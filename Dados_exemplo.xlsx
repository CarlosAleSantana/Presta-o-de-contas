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4"/>
  </bookViews>
  <sheets>
    <sheet name="Despesa" sheetId="1" r:id="rId1"/>
    <sheet name="quitado Despesa" sheetId="3" r:id="rId2"/>
    <sheet name="Fornecedores" sheetId="2" r:id="rId3"/>
    <sheet name="Quitados DUPP" sheetId="4" r:id="rId4"/>
    <sheet name="CONFERENCIA" sheetId="5" r:id="rId5"/>
  </sheets>
  <definedNames>
    <definedName name="_xlnm._FilterDatabase" localSheetId="0" hidden="1">Despesa!$AE$1:$AJ$4603</definedName>
    <definedName name="DadosExternos_1" localSheetId="0" hidden="1">Despesa!$A$1:$AD$246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sulta - DESPESAS 080826 A 110926" description="Conexão com a consulta 'DESPESAS 080826 A 110926' na pasta de trabalho." type="5" background="1" refreshedVersion="2" saveData="1">
    <dbPr connection="Provider=Microsoft.Mashup.OleDb.1;Data Source=$Workbook$;Location=&quot;DESPESAS 080826 A 110926&quot;;Extended Properties=&quot;&quot;" command="SELECT * FROM [DESPESAS 080826 A 110926]" commandType="2"/>
  </connection>
</connections>
</file>

<file path=xl/sharedStrings.xml><?xml version="1.0" encoding="utf-8"?>
<sst xmlns="http://schemas.openxmlformats.org/spreadsheetml/2006/main" count="458" uniqueCount="191">
  <si>
    <t>Pessoa</t>
  </si>
  <si>
    <t>Empr.</t>
  </si>
  <si>
    <t>Bco</t>
  </si>
  <si>
    <t>Agência</t>
  </si>
  <si>
    <t>Espécie</t>
  </si>
  <si>
    <t>Título</t>
  </si>
  <si>
    <t>Série</t>
  </si>
  <si>
    <t>Parc</t>
  </si>
  <si>
    <t>Depositário</t>
  </si>
  <si>
    <t>Dt. Emissão</t>
  </si>
  <si>
    <t>Dt. Movimento</t>
  </si>
  <si>
    <t>Vencimento Programado</t>
  </si>
  <si>
    <t>Prazo Efetivo</t>
  </si>
  <si>
    <t>SC</t>
  </si>
  <si>
    <t>SJ</t>
  </si>
  <si>
    <t>Dias de Atraso</t>
  </si>
  <si>
    <t>DV</t>
  </si>
  <si>
    <t>Multa</t>
  </si>
  <si>
    <t>Juros</t>
  </si>
  <si>
    <t>% Desc. Financeiro</t>
  </si>
  <si>
    <t>% Desc. Acordo</t>
  </si>
  <si>
    <t>Desconto</t>
  </si>
  <si>
    <t>Taxa Adm.</t>
  </si>
  <si>
    <t>Vlr Original</t>
  </si>
  <si>
    <t>Valor Aberto</t>
  </si>
  <si>
    <t>Valor Líquido</t>
  </si>
  <si>
    <t>A</t>
  </si>
  <si>
    <t>P</t>
  </si>
  <si>
    <t>Column1</t>
  </si>
  <si>
    <t>_1</t>
  </si>
  <si>
    <t>STATUS</t>
  </si>
  <si>
    <t>CHAVE</t>
  </si>
  <si>
    <t>LINHA_QUITADO_DESPESA</t>
  </si>
  <si>
    <t>QTD_NESTA_ABA</t>
  </si>
  <si>
    <t>VLRNOMINAL_QUITADO</t>
  </si>
  <si>
    <t>DIF_ORIGINAL_MENOS_NOMINAL</t>
  </si>
  <si>
    <t>1447 - GABRIEL ARAUJO DOS SANTOS ME</t>
  </si>
  <si>
    <t>CARTEIRA</t>
  </si>
  <si>
    <t>DUMAIM</t>
  </si>
  <si>
    <t>2 - Contas a Pagar</t>
  </si>
  <si>
    <t>N</t>
  </si>
  <si>
    <t>1871 - GRAFICA JB LTDA</t>
  </si>
  <si>
    <t>DUPROP</t>
  </si>
  <si>
    <t>1949 - LG INFORMATICA LTDA</t>
  </si>
  <si>
    <t>DUSOFT</t>
  </si>
  <si>
    <t>1978 - ACOMAIS LTDA</t>
  </si>
  <si>
    <t>DUPIMO</t>
  </si>
  <si>
    <t>COLUNAS CALCULADAS</t>
  </si>
  <si>
    <t>PESSOA</t>
  </si>
  <si>
    <t>NROEMPRESA</t>
  </si>
  <si>
    <t>TÍTULO</t>
  </si>
  <si>
    <t>CODESPÉCIE</t>
  </si>
  <si>
    <t>DTAVENCIMENTO</t>
  </si>
  <si>
    <t>DTAQUITAÇÃO</t>
  </si>
  <si>
    <t>VLRNOMINAL</t>
  </si>
  <si>
    <t>VLRPAGO</t>
  </si>
  <si>
    <t>OPERAÇÃO</t>
  </si>
  <si>
    <t>DTAOPERAÇÃO</t>
  </si>
  <si>
    <t>DTACONTABILIZA</t>
  </si>
  <si>
    <t>DTAALTERAÇÃO</t>
  </si>
  <si>
    <t>OBSERVAÇÃO</t>
  </si>
  <si>
    <t>VLROPERAÇÃO</t>
  </si>
  <si>
    <t>USUALTERAÇÃO</t>
  </si>
  <si>
    <t>ESPECIEABATCOMP</t>
  </si>
  <si>
    <t>OBSTÍTULO</t>
  </si>
  <si>
    <t>CONTASQUITAÇÃO</t>
  </si>
  <si>
    <t>DTAPROGRAMADA</t>
  </si>
  <si>
    <t>TITULO_NORM</t>
  </si>
  <si>
    <t>LINHA_DESPESA</t>
  </si>
  <si>
    <t>VLR_ORIGINAL_PREVISTO</t>
  </si>
  <si>
    <t>DIF_NOMINAL_MENOS_ORIGINAL</t>
  </si>
  <si>
    <t>AIR HOUSE COMERCIO E SERVICOS LTDA - 394458</t>
  </si>
  <si>
    <t>1561/1-1</t>
  </si>
  <si>
    <t>DUMAMA</t>
  </si>
  <si>
    <t>6 - Pagamento de Conta Corrente</t>
  </si>
  <si>
    <t xml:space="preserve">Pagamento de Conta Corrente Titulo: 1561/1/1 Programação número: 2393606895 </t>
  </si>
  <si>
    <t>IARA CX16</t>
  </si>
  <si>
    <t>1613/1-1</t>
  </si>
  <si>
    <t xml:space="preserve">Pagamento de Conta Corrente Titulo: 1613/1/1 Programação número: 2393606896 </t>
  </si>
  <si>
    <t>1742/1-1</t>
  </si>
  <si>
    <t xml:space="preserve">Pagamento de Conta Corrente Titulo: 1742/1/1 Programação número: 2393606894 </t>
  </si>
  <si>
    <t>AQUAVITAL SOLUÇÕES INTEGRADAS LTDA - 556459</t>
  </si>
  <si>
    <t>96/1-1</t>
  </si>
  <si>
    <t xml:space="preserve">Pagamento de Conta Corrente Titulo: 96/1/1 Programação número: 2393558105 </t>
  </si>
  <si>
    <t>97/1-1</t>
  </si>
  <si>
    <t xml:space="preserve">Pagamento de Conta Corrente Titulo: 97/1/1 Programação número: 2393558104 </t>
  </si>
  <si>
    <t>169/1-1</t>
  </si>
  <si>
    <t>DUPEQU</t>
  </si>
  <si>
    <t xml:space="preserve">Pagamento de Conta Corrente Titulo: 169/1/1 Programação número: 2393558103 </t>
  </si>
  <si>
    <t>170/1-1</t>
  </si>
  <si>
    <t xml:space="preserve">Pagamento de Conta Corrente Titulo: 170/1/1 Programação número: 2393558106 </t>
  </si>
  <si>
    <t>95/1-1</t>
  </si>
  <si>
    <t xml:space="preserve">Pagamento de Conta Corrente Titulo: 95/1/1 Programação número: 2393558107 </t>
  </si>
  <si>
    <t>ARAUJO CASA E CONSTRUCAO LTDA ME - 227526</t>
  </si>
  <si>
    <t>DUPPER</t>
  </si>
  <si>
    <t>Pagamento de Conta Corrente Pagto Eletrônico Titulo: 2281-2/1</t>
  </si>
  <si>
    <t>MARIALUCIA</t>
  </si>
  <si>
    <t>ARMAZEM CORAL - 71139</t>
  </si>
  <si>
    <t>130914/1-1</t>
  </si>
  <si>
    <t>Pagamento de Conta Corrente Pagto Eletrônico Titulo: 130914-1/1</t>
  </si>
  <si>
    <t>ARMAZEM CORAL LTDA - 2125</t>
  </si>
  <si>
    <t>124636/1-4</t>
  </si>
  <si>
    <t>IMOB</t>
  </si>
  <si>
    <t xml:space="preserve">Pagamento de Conta Corrente Titulo: 124636/1/4 Programação número: 2393611419 </t>
  </si>
  <si>
    <t xml:space="preserve"> Vlr Original </t>
  </si>
  <si>
    <t xml:space="preserve"> Valor Aberto </t>
  </si>
  <si>
    <t xml:space="preserve"> Valor Líquido </t>
  </si>
  <si>
    <t>ornecedores</t>
  </si>
  <si>
    <t>LINHA_QUITADOS_DUPP</t>
  </si>
  <si>
    <t>1016 - DIA DISTRIB. E IMPORTACAO AFOGADOS LTDA</t>
  </si>
  <si>
    <t>DUPP</t>
  </si>
  <si>
    <t>DUPTRA</t>
  </si>
  <si>
    <t>1019 - COMERCIAL VITA NORTE LTDA</t>
  </si>
  <si>
    <t>LINHA_FORNECEDORES</t>
  </si>
  <si>
    <t>AGRICOLA QDELICIA FRUTAS LTDA - 55614</t>
  </si>
  <si>
    <t>297581/1-1</t>
  </si>
  <si>
    <t>Pagamento de Conta Corrente Pagto Eletrônico Titulo: 297581-1/1</t>
  </si>
  <si>
    <t>297735/1-1</t>
  </si>
  <si>
    <t xml:space="preserve">Pagamento de Conta Corrente Titulo: 297735/1/1 Programação número: 2393973193 </t>
  </si>
  <si>
    <t>297733/1-1</t>
  </si>
  <si>
    <t>Pagamento de Conta Corrente Pagto Eletrônico Titulo: 297733-1/1</t>
  </si>
  <si>
    <t>297730/1-1</t>
  </si>
  <si>
    <t>Pagamento de Conta Corrente Pagto Eletrônico Titulo: 297730-1/1</t>
  </si>
  <si>
    <t>297737/1-1</t>
  </si>
  <si>
    <t>Pagamento de Conta Corrente Pagto Eletrônico Titulo: 297737-1/1</t>
  </si>
  <si>
    <t>297852/1-1</t>
  </si>
  <si>
    <t>Pagamento de Conta Corrente Título: 297852-1/1</t>
  </si>
  <si>
    <t>297853/1-1</t>
  </si>
  <si>
    <t>Pagamento de Conta Corrente Título: 297853-1/1</t>
  </si>
  <si>
    <t>297854/1-1</t>
  </si>
  <si>
    <t>Pagamento de Conta Corrente Título: 297854-1/1</t>
  </si>
  <si>
    <t>AMBEV S.A. - 68527</t>
  </si>
  <si>
    <t>104885/27-1</t>
  </si>
  <si>
    <t xml:space="preserve">Pagamento de Conta Corrente Titulo: 104885/27/1 Programação número: 2393449000 </t>
  </si>
  <si>
    <t>106041/27-1</t>
  </si>
  <si>
    <t>Pagamento de Conta Corrente Pagto Eletrônico Titulo: 106041-27/1</t>
  </si>
  <si>
    <t>106042/27-1</t>
  </si>
  <si>
    <t>Pagamento de Conta Corrente Pagto Eletrônico Titulo: 106042-27/1</t>
  </si>
  <si>
    <t>106043/27-1</t>
  </si>
  <si>
    <t>Pagamento de Conta Corrente Pagto Eletrônico Titulo: 106043-27/1</t>
  </si>
  <si>
    <t>106044/27-1</t>
  </si>
  <si>
    <t>Pagamento de Conta Corrente Pagto Eletrônico Titulo: 106044-27/1</t>
  </si>
  <si>
    <t>106045/27-1</t>
  </si>
  <si>
    <t>Pagamento de Conta Corrente Pagto Eletrônico Titulo: 106045-27/1</t>
  </si>
  <si>
    <t>106056/27-1</t>
  </si>
  <si>
    <t>Pagamento de Conta Corrente Pagto Eletrônico Titulo: 106056-27/1</t>
  </si>
  <si>
    <t>106057/27-1</t>
  </si>
  <si>
    <t>Pagamento de Conta Corrente Pagto Eletrônico Titulo: 106057-27/1</t>
  </si>
  <si>
    <t>106058/27-1</t>
  </si>
  <si>
    <t>Pagamento de Conta Corrente Pagto Eletrônico Titulo: 106058-27/1</t>
  </si>
  <si>
    <t>106059/27-1</t>
  </si>
  <si>
    <t>Pagamento de Conta Corrente Pagto Eletrônico Titulo: 106059-27/1</t>
  </si>
  <si>
    <t>106046/27-1</t>
  </si>
  <si>
    <t>Pagamento de Conta Corrente Pagto Eletrônico Titulo: 106046-27/1</t>
  </si>
  <si>
    <t>106047/27-1</t>
  </si>
  <si>
    <t>Pagamento de Conta Corrente Pagto Eletrônico Titulo: 106047-27/1</t>
  </si>
  <si>
    <t>106048/27-1</t>
  </si>
  <si>
    <t>Pagamento de Conta Corrente Pagto Eletrônico Titulo: 106048-27/1</t>
  </si>
  <si>
    <t>106049/27-1</t>
  </si>
  <si>
    <t>Pagamento de Conta Corrente Pagto Eletrônico Titulo: 106049-27/1</t>
  </si>
  <si>
    <t>CONFERÊNCIA DOS STATUS (atualiza sozinha)</t>
  </si>
  <si>
    <t/>
  </si>
  <si>
    <t>Aba</t>
  </si>
  <si>
    <t>Linhas com chave</t>
  </si>
  <si>
    <t>PAGO</t>
  </si>
  <si>
    <t>NÃO PAGO</t>
  </si>
  <si>
    <t>FORA DA PREVISÃO</t>
  </si>
  <si>
    <t>VERIFICAR</t>
  </si>
  <si>
    <t>Linhas com chave repetida na aba</t>
  </si>
  <si>
    <t>Linhas com valor diferente da outra aba</t>
  </si>
  <si>
    <t>Soma dos status confere?</t>
  </si>
  <si>
    <t>Fornecedores</t>
  </si>
  <si>
    <t>Quitados DUPP</t>
  </si>
  <si>
    <t>Despesa</t>
  </si>
  <si>
    <t>quitado Despesa</t>
  </si>
  <si>
    <t>Conferências cruzadas</t>
  </si>
  <si>
    <t>Fornecedores x Quitados DUPP</t>
  </si>
  <si>
    <t>PAGO nas duas abas:</t>
  </si>
  <si>
    <t>Despesa x quitado Despesa</t>
  </si>
  <si>
    <t>COMO ATUALIZAR TODA SEMANA</t>
  </si>
  <si>
    <t>1) Em cada aba, selecione SÓ as colunas de dados da linha 2 até o fim e aperte Delete (limpar conteúdo). Fornecedores e Despesa: colunas A a AD. Quitados DUPP e quitado Despesa: colunas A a T.</t>
  </si>
  <si>
    <t>2) NÃO exclua linhas e NÃO apague as colunas de fórmula (STATUS, CHAVE, LINHA..., QTD..., VLR..., DIF...). Elas já estão prontas para as linhas abaixo.</t>
  </si>
  <si>
    <t>3) Cole os dados novos, sem o cabeçalho, a partir da célula A2 de cada aba.</t>
  </si>
  <si>
    <t>4) Volte aqui: a coluna "Soma dos status confere?" deve estar OK e VERIFICAR deve ser 0.</t>
  </si>
  <si>
    <t>Capacidade: Fornecedores e Quitados DUPP até 9.999 linhas; Despesa e quitado Despesa até 4.999 linhas.</t>
  </si>
  <si>
    <t>COMO CONFERIR O QUE A CHAVE ESTÁ CRUZANDO</t>
  </si>
  <si>
    <t>CHAVE = código do fornecedor | empresa | espécie | nº do título | série | parcela. Se a chave é igual nas duas abas, o título está nas duas.</t>
  </si>
  <si>
    <t>LINHA_...: número da linha correspondente na outra aba (Ctrl+G, digite A e o número, ex.: A1234). Vazio = não encontrado.</t>
  </si>
  <si>
    <t>VLRNOMINAL_QUITADO / VLR_ORIGINAL_PREVISTO: valor do título na outra aba. DIF_...: diferença entre os dois (diferente de 0 = valores não batem).</t>
  </si>
  <si>
    <t>QTD_NESTA_ABA maior que 1: o mesmo título aparece mais de uma vez na própria aba (possível duplicidade).</t>
  </si>
  <si>
    <t>VERIFICAR: não foi possível montar a chave (nome da pessoa sem " - ", título fora do padrão ou sem "Título:" na OBSERVAÇÃO).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</si>
</sst>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#,##0.00;[Red]\-&quot;R$&quot;#,##0.00"/>
    <numFmt numFmtId="181" formatCode="&quot;R$&quot;\ #,##0.00;[Red]\-&quot;R$&quot;\ #,##0.00"/>
  </numFmts>
  <fonts count="26">
    <font>
      <sz val="11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Aptos Narrow"/>
      <charset val="0"/>
      <scheme val="minor"/>
    </font>
    <font>
      <sz val="10"/>
      <color theme="1"/>
      <name val="Liberation Sans"/>
      <charset val="1"/>
    </font>
    <font>
      <sz val="11"/>
      <name val="Aptos Narrow"/>
      <charset val="134"/>
      <scheme val="minor"/>
    </font>
    <font>
      <sz val="11"/>
      <color theme="1"/>
      <name val="Calibri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theme="3" tint="0.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8ED9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58" fontId="0" fillId="0" borderId="0" xfId="0" applyNumberFormat="1"/>
    <xf numFmtId="4" fontId="0" fillId="0" borderId="0" xfId="0" applyNumberFormat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0" fontId="2" fillId="5" borderId="0" xfId="0" applyFont="1" applyFill="1"/>
    <xf numFmtId="0" fontId="2" fillId="0" borderId="0" xfId="0" applyFont="1"/>
    <xf numFmtId="58" fontId="2" fillId="5" borderId="0" xfId="0" applyNumberFormat="1" applyFont="1" applyFill="1"/>
    <xf numFmtId="58" fontId="2" fillId="0" borderId="0" xfId="0" applyNumberFormat="1" applyFont="1"/>
    <xf numFmtId="180" fontId="2" fillId="5" borderId="0" xfId="0" applyNumberFormat="1" applyFont="1" applyFill="1"/>
    <xf numFmtId="180" fontId="2" fillId="0" borderId="0" xfId="0" applyNumberFormat="1" applyFont="1"/>
    <xf numFmtId="0" fontId="3" fillId="4" borderId="0" xfId="0" applyFont="1" applyFill="1"/>
    <xf numFmtId="0" fontId="3" fillId="0" borderId="0" xfId="0" applyFont="1"/>
    <xf numFmtId="181" fontId="3" fillId="4" borderId="0" xfId="0" applyNumberFormat="1" applyFont="1" applyFill="1"/>
    <xf numFmtId="181" fontId="3" fillId="0" borderId="0" xfId="0" applyNumberFormat="1" applyFont="1"/>
    <xf numFmtId="0" fontId="4" fillId="4" borderId="0" xfId="0" applyFont="1" applyFill="1"/>
    <xf numFmtId="0" fontId="4" fillId="4" borderId="0" xfId="0" applyFont="1" applyFill="1"/>
    <xf numFmtId="4" fontId="4" fillId="4" borderId="0" xfId="0" applyNumberFormat="1" applyFont="1" applyFill="1"/>
    <xf numFmtId="0" fontId="5" fillId="0" borderId="0" xfId="0" applyFont="1"/>
    <xf numFmtId="177" fontId="5" fillId="0" borderId="0" xfId="2" applyFont="1"/>
    <xf numFmtId="58" fontId="3" fillId="0" borderId="0" xfId="0" applyNumberFormat="1" applyFont="1"/>
    <xf numFmtId="58" fontId="5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74"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58" formatCode="dd/mm/yyyy"/>
    </dxf>
    <dxf>
      <font>
        <name val="Calibri"/>
        <scheme val="none"/>
        <family val="2"/>
        <strike val="0"/>
        <u val="none"/>
        <sz val="11"/>
        <color theme="1"/>
      </font>
      <numFmt numFmtId="58" formatCode="dd/mm/yyyy"/>
    </dxf>
    <dxf>
      <font>
        <name val="Calibri"/>
        <scheme val="none"/>
        <family val="2"/>
        <strike val="0"/>
        <u val="none"/>
        <sz val="11"/>
        <color theme="1"/>
      </font>
      <numFmt numFmtId="58" formatCode="dd/mm/yyyy"/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name val="Calibri"/>
        <scheme val="none"/>
        <family val="2"/>
        <strike val="0"/>
        <u val="none"/>
        <sz val="11"/>
        <color theme="1"/>
      </font>
      <numFmt numFmtId="0" formatCode="General"/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5B21B6"/>
      </font>
      <fill>
        <patternFill patternType="solid">
          <bgColor rgb="FFEDE9FE"/>
        </patternFill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dd/mm/yyyy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dd/mm/yyyy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dd/mm/yyyy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181" formatCode="&quot;R$&quot;\ #,##0.00;[Red]\-&quot;R$&quot;\ #,##0.00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181" formatCode="&quot;R$&quot;\ #,##0.00;[Red]\-&quot;R$&quot;\ #,##0.00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181" formatCode="&quot;R$&quot;\ #,##0.00;[Red]\-&quot;R$&quot;\ #,##0.00"/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border>
        <left/>
        <right/>
        <top style="thin">
          <color rgb="FF8ED973"/>
        </top>
        <bottom style="thin">
          <color rgb="FF8ED973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0" formatCode="General"/>
      <border>
        <left/>
        <right/>
        <top style="thin">
          <color rgb="FF8ED973"/>
        </top>
        <bottom style="thin">
          <color rgb="FF8ED973"/>
        </bottom>
      </border>
    </dxf>
    <dxf>
      <numFmt numFmtId="58" formatCode="dd/mm/yyyy"/>
    </dxf>
    <dxf>
      <numFmt numFmtId="58" formatCode="dd/mm/yyyy"/>
    </dxf>
    <dxf>
      <numFmt numFmtId="4" formatCode="#,##0.00"/>
    </dxf>
    <dxf>
      <numFmt numFmtId="4" formatCode="#,##0.00"/>
    </dxf>
    <dxf>
      <numFmt numFmtId="58" formatCode="dd/mm/yyyy"/>
    </dxf>
    <dxf>
      <numFmt numFmtId="58" formatCode="dd/mm/yyyy"/>
    </dxf>
    <dxf>
      <numFmt numFmtId="58" formatCode="dd/mm/yyyy"/>
    </dxf>
    <dxf>
      <numFmt numFmtId="4" formatCode="#,##0.00"/>
      <fill>
        <patternFill patternType="solid">
          <bgColor theme="3" tint="0.9"/>
        </patternFill>
      </fill>
    </dxf>
    <dxf>
      <numFmt numFmtId="5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1" applyPatternFormats="1" applyAlignmentFormats="0" applyWidthHeightFormats="0">
  <queryTableRefresh preserveSortFilterLayout="1" nextId="31">
    <queryTableFields count="30">
      <queryTableField id="1" name="Pessoa" tableColumnId="1"/>
      <queryTableField id="2" name="Empr." tableColumnId="2"/>
      <queryTableField id="3" name="Bco" tableColumnId="3"/>
      <queryTableField id="4" name="Agência" tableColumnId="4"/>
      <queryTableField id="5" name="Espécie" tableColumnId="5"/>
      <queryTableField id="6" name="Título" tableColumnId="6"/>
      <queryTableField id="7" name="Série" tableColumnId="7"/>
      <queryTableField id="8" name="Parc" tableColumnId="8"/>
      <queryTableField id="9" name="Depositário" tableColumnId="9"/>
      <queryTableField id="10" name="Dt. Emissão" tableColumnId="10"/>
      <queryTableField id="11" name="Dt. Movimento" tableColumnId="11"/>
      <queryTableField id="12" name="Vencimento Programado" tableColumnId="12"/>
      <queryTableField id="13" name="Prazo Efetivo" tableColumnId="13"/>
      <queryTableField id="14" name="SC" tableColumnId="14"/>
      <queryTableField id="15" name="SJ" tableColumnId="15"/>
      <queryTableField id="16" name="Dias de Atraso" tableColumnId="16"/>
      <queryTableField id="17" name="DV" tableColumnId="17"/>
      <queryTableField id="18" name="Multa" tableColumnId="18"/>
      <queryTableField id="19" name="Juros" tableColumnId="19"/>
      <queryTableField id="20" name="% Desc. Financeiro" tableColumnId="20"/>
      <queryTableField id="21" name="% Desc. Acordo" tableColumnId="21"/>
      <queryTableField id="22" name="Desconto" tableColumnId="22"/>
      <queryTableField id="23" name="Taxa Adm." tableColumnId="23"/>
      <queryTableField id="24" name="Vlr Original" tableColumnId="24"/>
      <queryTableField id="25" name="Valor Aberto" tableColumnId="25"/>
      <queryTableField id="26" name="Valor Líquido" tableColumnId="26"/>
      <queryTableField id="27" name="A" tableColumnId="27"/>
      <queryTableField id="28" name="P" tableColumnId="28"/>
      <queryTableField id="29" name="Column1" tableColumnId="29"/>
      <queryTableField id="30" name="_1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ESPESAS_080826_A_110926" displayName="DESPESAS_080826_A_110926" ref="A1:AD246" tableType="queryTable" totalsRowShown="0">
  <autoFilter xmlns:etc="http://www.wps.cn/officeDocument/2017/etCustomData" ref="A1:AD246" etc:filterBottomFollowUsedRange="0"/>
  <tableColumns count="30">
    <tableColumn id="1" name="Pessoa" uniqueName="1" queryTableFieldId="1" dataDxfId="0"/>
    <tableColumn id="2" name="Empr." uniqueName="2" queryTableFieldId="2" dataDxfId="1"/>
    <tableColumn id="3" name="Bco" uniqueName="3" queryTableFieldId="3" dataDxfId="2"/>
    <tableColumn id="4" name="Agência" uniqueName="4" queryTableFieldId="4" dataDxfId="3"/>
    <tableColumn id="5" name="Espécie" uniqueName="5" queryTableFieldId="5" dataDxfId="4"/>
    <tableColumn id="6" name="Título" uniqueName="6" queryTableFieldId="6" dataDxfId="5"/>
    <tableColumn id="7" name="Série" uniqueName="7" queryTableFieldId="7" dataDxfId="6"/>
    <tableColumn id="8" name="Parc" uniqueName="8" queryTableFieldId="8" dataDxfId="7"/>
    <tableColumn id="9" name="Depositário" uniqueName="9" queryTableFieldId="9" dataDxfId="8"/>
    <tableColumn id="10" name="Dt. Emissão" uniqueName="10" queryTableFieldId="10" dataDxfId="9"/>
    <tableColumn id="11" name="Dt. Movimento" uniqueName="11" queryTableFieldId="11" dataDxfId="10"/>
    <tableColumn id="12" name="Vencimento Programado" uniqueName="12" queryTableFieldId="12" dataDxfId="11"/>
    <tableColumn id="13" name="Prazo Efetivo" uniqueName="13" queryTableFieldId="13" dataDxfId="12"/>
    <tableColumn id="14" name="SC" uniqueName="14" queryTableFieldId="14" dataDxfId="13"/>
    <tableColumn id="15" name="SJ" uniqueName="15" queryTableFieldId="15" dataDxfId="14"/>
    <tableColumn id="16" name="Dias de Atraso" uniqueName="16" queryTableFieldId="16" dataDxfId="15"/>
    <tableColumn id="17" name="DV" uniqueName="17" queryTableFieldId="17" dataDxfId="16"/>
    <tableColumn id="18" name="Multa" uniqueName="18" queryTableFieldId="18" dataDxfId="17"/>
    <tableColumn id="19" name="Juros" uniqueName="19" queryTableFieldId="19" dataDxfId="18"/>
    <tableColumn id="20" name="% Desc. Financeiro" uniqueName="20" queryTableFieldId="20" dataDxfId="19"/>
    <tableColumn id="21" name="% Desc. Acordo" uniqueName="21" queryTableFieldId="21" dataDxfId="20"/>
    <tableColumn id="22" name="Desconto" uniqueName="22" queryTableFieldId="22" dataDxfId="21"/>
    <tableColumn id="23" name="Taxa Adm." uniqueName="23" queryTableFieldId="23" dataDxfId="22"/>
    <tableColumn id="24" name="Vlr Original" uniqueName="24" queryTableFieldId="24" dataDxfId="23"/>
    <tableColumn id="25" name="Valor Aberto" uniqueName="25" queryTableFieldId="25" dataDxfId="24"/>
    <tableColumn id="26" name="Valor Líquido" uniqueName="26" queryTableFieldId="26" dataDxfId="25"/>
    <tableColumn id="27" name="A" uniqueName="27" queryTableFieldId="27" dataDxfId="26"/>
    <tableColumn id="28" name="P" uniqueName="28" queryTableFieldId="28" dataDxfId="27"/>
    <tableColumn id="29" name="Column1" uniqueName="29" queryTableFieldId="29" dataDxfId="28"/>
    <tableColumn id="30" name="_1" uniqueName="30" queryTableFieldId="30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_quitado_Despesa" displayName="Tabela_quitado_Despesa" ref="A1:Z12" totalsRowShown="0">
  <autoFilter xmlns:etc="http://www.wps.cn/officeDocument/2017/etCustomData" ref="A1:Z12" etc:filterBottomFollowUsedRange="0"/>
  <tableColumns count="26">
    <tableColumn id="1" name="PESSOA"/>
    <tableColumn id="3" name="NROEMPRESA"/>
    <tableColumn id="4" name="TÍTULO"/>
    <tableColumn id="5" name="CODESPÉCIE"/>
    <tableColumn id="6" name="DTAVENCIMENTO"/>
    <tableColumn id="7" name="DTAQUITAÇÃO"/>
    <tableColumn id="8" name="VLRNOMINAL"/>
    <tableColumn id="9" name="VLRPAGO"/>
    <tableColumn id="10" name="OPERAÇÃO"/>
    <tableColumn id="11" name="DTAOPERAÇÃO"/>
    <tableColumn id="12" name="DTACONTABILIZA"/>
    <tableColumn id="13" name="DTAALTERAÇÃO"/>
    <tableColumn id="14" name="OBSERVAÇÃO"/>
    <tableColumn id="15" name="VLROPERAÇÃO"/>
    <tableColumn id="16" name="USUALTERAÇÃO"/>
    <tableColumn id="17" name="ESPECIEABATCOMP"/>
    <tableColumn id="18" name="OBSTÍTULO"/>
    <tableColumn id="19" name="CONTASQUITAÇÃO"/>
    <tableColumn id="20" name="DTAPROGRAMADA"/>
    <tableColumn id="21" name="STATUS"/>
    <tableColumn id="22" name="TITULO_NORM"/>
    <tableColumn id="23" name="CHAVE"/>
    <tableColumn id="24" name="LINHA_DESPESA"/>
    <tableColumn id="25" name="QTD_NESTA_ABA"/>
    <tableColumn id="26" name="VLR_ORIGINAL_PREVISTO"/>
    <tableColumn id="27" name="DIF_NOMINAL_MENOS_ORIG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a_Fornecedores" displayName="Tabela_Fornecedores" ref="A1:AJ6631" totalsRowShown="0">
  <autoFilter xmlns:etc="http://www.wps.cn/officeDocument/2017/etCustomData" ref="A1:AJ6631" etc:filterBottomFollowUsedRange="0"/>
  <tableColumns count="36">
    <tableColumn id="1" name="Pessoa" dataDxfId="34"/>
    <tableColumn id="2" name="Empr." dataDxfId="35"/>
    <tableColumn id="3" name="Bco" dataDxfId="36"/>
    <tableColumn id="4" name="Agência" dataDxfId="37"/>
    <tableColumn id="5" name="Espécie" dataDxfId="38"/>
    <tableColumn id="6" name="Título" dataDxfId="39"/>
    <tableColumn id="7" name="Série" dataDxfId="40"/>
    <tableColumn id="8" name="Parc" dataDxfId="41"/>
    <tableColumn id="9" name="Depositário" dataDxfId="42"/>
    <tableColumn id="10" name="Dt. Emissão" dataDxfId="43"/>
    <tableColumn id="11" name="Dt. Movimento" dataDxfId="44"/>
    <tableColumn id="12" name="Vencimento Programado" dataDxfId="45"/>
    <tableColumn id="13" name="Prazo Efetivo" dataDxfId="46"/>
    <tableColumn id="14" name="SC" dataDxfId="47"/>
    <tableColumn id="15" name="SJ" dataDxfId="48"/>
    <tableColumn id="16" name="Dias de Atraso" dataDxfId="49"/>
    <tableColumn id="17" name="DV" dataDxfId="50"/>
    <tableColumn id="18" name="Multa" dataDxfId="51"/>
    <tableColumn id="19" name="Juros" dataDxfId="52"/>
    <tableColumn id="20" name="% Desc. Financeiro" dataDxfId="53"/>
    <tableColumn id="21" name="% Desc. Acordo" dataDxfId="54"/>
    <tableColumn id="22" name="Desconto" dataDxfId="55"/>
    <tableColumn id="23" name="Taxa Adm." dataDxfId="56"/>
    <tableColumn id="24" name=" Vlr Original " dataDxfId="57"/>
    <tableColumn id="25" name=" Valor Aberto " dataDxfId="58"/>
    <tableColumn id="26" name=" Valor Líquido " dataDxfId="59"/>
    <tableColumn id="27" name="A" dataDxfId="60"/>
    <tableColumn id="28" name="P" dataDxfId="61"/>
    <tableColumn id="29" name="Column1" dataDxfId="62"/>
    <tableColumn id="30" name="ornecedores" dataDxfId="63"/>
    <tableColumn id="31" name="STATUS" dataDxfId="64"/>
    <tableColumn id="32" name="CHAVE"/>
    <tableColumn id="33" name="LINHA_QUITADOS_DUPP"/>
    <tableColumn id="34" name="QTD_NESTA_ABA"/>
    <tableColumn id="35" name="VLRNOMINAL_QUITADO"/>
    <tableColumn id="36" name="DIF_ORIGINAL_MENOS_NOMI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Y6635" totalsRowShown="0">
  <autoFilter xmlns:etc="http://www.wps.cn/officeDocument/2017/etCustomData" ref="A1:Y6635" etc:filterBottomFollowUsedRange="0"/>
  <tableColumns count="25">
    <tableColumn id="1" name="PESSOA"/>
    <tableColumn id="3" name="NROEMPRESA"/>
    <tableColumn id="4" name="TÍTULO"/>
    <tableColumn id="5" name="CODESPÉCIE"/>
    <tableColumn id="6" name="DTAVENCIMENTO" dataDxfId="65"/>
    <tableColumn id="7" name="DTAQUITAÇÃO" dataDxfId="66"/>
    <tableColumn id="8" name="VLRNOMINAL" dataDxfId="67"/>
    <tableColumn id="9" name="VLRPAGO" dataDxfId="68"/>
    <tableColumn id="10" name="OPERAÇÃO"/>
    <tableColumn id="11" name="DTAOPERAÇÃO" dataDxfId="69"/>
    <tableColumn id="12" name="DTACONTABILIZA" dataDxfId="70"/>
    <tableColumn id="13" name="DTAALTERAÇÃO" dataDxfId="71"/>
    <tableColumn id="14" name="OBSERVAÇÃO"/>
    <tableColumn id="15" name="VLROPERAÇÃO" dataDxfId="72"/>
    <tableColumn id="17" name="ESPECIEABATCOMP"/>
    <tableColumn id="18" name="OBSTÍTULO"/>
    <tableColumn id="19" name="CONTASQUITAÇÃO"/>
    <tableColumn id="20" name="DTAPROGRAMADA" dataDxfId="73"/>
    <tableColumn id="21" name="STATUS"/>
    <tableColumn id="22" name="TITULO_NORM"/>
    <tableColumn id="23" name="CHAVE"/>
    <tableColumn id="24" name="LINHA_FORNECEDORES"/>
    <tableColumn id="25" name="QTD_NESTA_ABA"/>
    <tableColumn id="26" name="VLR_ORIGINAL_PREVISTO"/>
    <tableColumn id="27" name="DIF_NOMINAL_MENOS_ORIGIN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03"/>
  <sheetViews>
    <sheetView workbookViewId="0">
      <pane ySplit="1" topLeftCell="A2" activePane="bottomLeft" state="frozen"/>
      <selection/>
      <selection pane="bottomLeft" activeCell="AE10" sqref="AE10"/>
    </sheetView>
  </sheetViews>
  <sheetFormatPr defaultColWidth="8.70833333333333" defaultRowHeight="14.5"/>
  <cols>
    <col min="1" max="1" width="72.425" style="21" customWidth="1"/>
    <col min="2" max="2" width="8.70833333333333" style="21" customWidth="1"/>
    <col min="3" max="3" width="6.70833333333333" style="21" customWidth="1"/>
    <col min="4" max="4" width="10.425" style="21" customWidth="1"/>
    <col min="5" max="5" width="10" style="21" customWidth="1"/>
    <col min="6" max="6" width="12" style="21" customWidth="1"/>
    <col min="7" max="7" width="7.85833333333333" style="21" customWidth="1"/>
    <col min="8" max="8" width="7.28333333333333" style="21" customWidth="1"/>
    <col min="9" max="9" width="16.8583333333333" style="21" customWidth="1"/>
    <col min="10" max="10" width="13.8583333333333" style="21" customWidth="1"/>
    <col min="11" max="11" width="17.1333333333333" style="21" customWidth="1"/>
    <col min="12" max="12" width="26.1333333333333" style="21" customWidth="1"/>
    <col min="13" max="13" width="15.1333333333333" style="21" customWidth="1"/>
    <col min="14" max="14" width="5.575" style="21" customWidth="1"/>
    <col min="15" max="15" width="5.13333333333333" style="21" customWidth="1"/>
    <col min="16" max="16" width="16.425" style="21" customWidth="1"/>
    <col min="17" max="17" width="6" style="21" customWidth="1"/>
    <col min="18" max="18" width="8.70833333333333" style="21" customWidth="1"/>
    <col min="19" max="19" width="8" style="21" customWidth="1"/>
    <col min="20" max="20" width="20.2833333333333" style="21" customWidth="1"/>
    <col min="21" max="21" width="17.2833333333333" style="21" customWidth="1"/>
    <col min="22" max="22" width="11.8583333333333" style="21" customWidth="1"/>
    <col min="23" max="23" width="12.8583333333333" style="21" customWidth="1"/>
    <col min="24" max="24" width="14.425" style="22" customWidth="1"/>
    <col min="25" max="25" width="16" style="22" customWidth="1"/>
    <col min="26" max="26" width="16.2833333333333" style="22" customWidth="1"/>
    <col min="27" max="27" width="4.70833333333333" style="21" customWidth="1"/>
    <col min="28" max="28" width="4.575" style="21" customWidth="1"/>
    <col min="29" max="29" width="11.425" style="21" customWidth="1"/>
    <col min="30" max="30" width="5.575" style="21" customWidth="1"/>
    <col min="31" max="31" width="20.1333333333333" style="21" customWidth="1"/>
    <col min="32" max="32" width="55" style="21" customWidth="1"/>
    <col min="33" max="33" width="26" style="21" customWidth="1"/>
    <col min="34" max="34" width="16" style="21" customWidth="1"/>
    <col min="35" max="35" width="22" style="21" customWidth="1"/>
    <col min="36" max="36" width="30" style="21" customWidth="1"/>
    <col min="37" max="16384" width="8.70833333333333" style="21"/>
  </cols>
  <sheetData>
    <row r="1" spans="1:3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2" t="s">
        <v>23</v>
      </c>
      <c r="Y1" s="22" t="s">
        <v>24</v>
      </c>
      <c r="Z1" s="22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</row>
    <row r="2" ht="14" spans="1:36">
      <c r="A2" s="9" t="s">
        <v>36</v>
      </c>
      <c r="B2" s="9">
        <v>23</v>
      </c>
      <c r="C2" s="9">
        <v>900</v>
      </c>
      <c r="D2" s="9" t="s">
        <v>37</v>
      </c>
      <c r="E2" s="9" t="s">
        <v>38</v>
      </c>
      <c r="F2" s="9">
        <v>64</v>
      </c>
      <c r="G2" s="9">
        <v>1</v>
      </c>
      <c r="H2" s="9">
        <v>1</v>
      </c>
      <c r="I2" s="9" t="s">
        <v>39</v>
      </c>
      <c r="J2" s="11">
        <v>46280</v>
      </c>
      <c r="K2" s="11">
        <v>46296</v>
      </c>
      <c r="L2" s="11">
        <v>46300</v>
      </c>
      <c r="M2" s="9">
        <v>20</v>
      </c>
      <c r="N2" s="9"/>
      <c r="O2" s="9" t="s">
        <v>40</v>
      </c>
      <c r="P2" s="9">
        <v>0</v>
      </c>
      <c r="Q2" s="9">
        <v>16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13">
        <v>1600</v>
      </c>
      <c r="Y2" s="13">
        <v>1600</v>
      </c>
      <c r="Z2" s="13">
        <v>1600</v>
      </c>
      <c r="AA2" s="9" t="s">
        <v>26</v>
      </c>
      <c r="AB2" s="9"/>
      <c r="AC2" s="9"/>
      <c r="AD2" s="9"/>
      <c r="AE2" s="14" t="str">
        <f>IF(AF2="","",IF(AF2="ERRO_CHAVE","VERIFICAR",IF(AG2="","NÃO PAGO","PAGO")))</f>
        <v>NÃO PAGO</v>
      </c>
      <c r="AF2" s="14" t="str">
        <f>IF(A2="","",IFERROR(TRIM(LEFT(A2,FIND(" - ",A2)-1))&amp;"|"&amp;IFERROR(TEXT(VALUE(B2&amp;""),"0"),UPPER(TRIM(B2&amp;"")))&amp;"|"&amp;UPPER(TRIM(E2))&amp;"|"&amp;IFERROR(TEXT(VALUE(F2&amp;""),"0"),UPPER(TRIM(F2&amp;"")))&amp;"|"&amp;IFERROR(TEXT(VALUE(G2&amp;""),"0"),UPPER(TRIM(G2&amp;"")))&amp;"|"&amp;IFERROR(TEXT(VALUE(H2&amp;""),"0"),UPPER(TRIM(H2&amp;""))),"ERRO_CHAVE"))</f>
        <v>1447|23|DUMAIM|64|1|1</v>
      </c>
      <c r="AG2" s="14" t="str">
        <f>IF(OR(AF2="",AF2="ERRO_CHAVE"),"",IFERROR(MATCH(AF2,'quitado Despesa'!$V$1:$V$12,0),""))</f>
        <v/>
      </c>
      <c r="AH2" s="14">
        <f>IF(OR(AF2="",AF2="ERRO_CHAVE"),"",COUNTIF($AF$2:$AF$4603,AF2))</f>
        <v>1</v>
      </c>
      <c r="AI2" s="16" t="str">
        <f>IF(AG2="","",INDEX('quitado Despesa'!$G$1:$G$12,AG2))</f>
        <v/>
      </c>
      <c r="AJ2" s="16" t="str">
        <f>IF(AG2="","",ROUND(X2-AI2,2))</f>
        <v/>
      </c>
    </row>
    <row r="3" ht="14" spans="1:36">
      <c r="A3" s="9" t="s">
        <v>41</v>
      </c>
      <c r="B3" s="9">
        <v>987</v>
      </c>
      <c r="C3" s="9">
        <v>900</v>
      </c>
      <c r="D3" s="9" t="s">
        <v>37</v>
      </c>
      <c r="E3" s="9" t="s">
        <v>42</v>
      </c>
      <c r="F3" s="9">
        <v>1119757</v>
      </c>
      <c r="G3" s="9">
        <v>1</v>
      </c>
      <c r="H3" s="9">
        <v>1</v>
      </c>
      <c r="I3" s="9" t="s">
        <v>39</v>
      </c>
      <c r="J3" s="11">
        <v>46267</v>
      </c>
      <c r="K3" s="11">
        <v>46296</v>
      </c>
      <c r="L3" s="11">
        <v>46300</v>
      </c>
      <c r="M3" s="9">
        <v>33</v>
      </c>
      <c r="N3" s="9"/>
      <c r="O3" s="9" t="s">
        <v>40</v>
      </c>
      <c r="P3" s="9">
        <v>0</v>
      </c>
      <c r="Q3" s="9">
        <v>29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13">
        <v>8827.5</v>
      </c>
      <c r="Y3" s="13">
        <v>8827.5</v>
      </c>
      <c r="Z3" s="13">
        <v>8827.5</v>
      </c>
      <c r="AA3" s="9" t="s">
        <v>26</v>
      </c>
      <c r="AB3" s="9"/>
      <c r="AC3" s="9"/>
      <c r="AD3" s="9"/>
      <c r="AE3" s="14" t="str">
        <f>IF(AF3="","",IF(AF3="ERRO_CHAVE","VERIFICAR",IF(AG3="","NÃO PAGO","PAGO")))</f>
        <v>NÃO PAGO</v>
      </c>
      <c r="AF3" s="14" t="str">
        <f>IF(A3="","",IFERROR(TRIM(LEFT(A3,FIND(" - ",A3)-1))&amp;"|"&amp;IFERROR(TEXT(VALUE(B3&amp;""),"0"),UPPER(TRIM(B3&amp;"")))&amp;"|"&amp;UPPER(TRIM(E3))&amp;"|"&amp;IFERROR(TEXT(VALUE(F3&amp;""),"0"),UPPER(TRIM(F3&amp;"")))&amp;"|"&amp;IFERROR(TEXT(VALUE(G3&amp;""),"0"),UPPER(TRIM(G3&amp;"")))&amp;"|"&amp;IFERROR(TEXT(VALUE(H3&amp;""),"0"),UPPER(TRIM(H3&amp;""))),"ERRO_CHAVE"))</f>
        <v>1871|987|DUPROP|1119757|1|1</v>
      </c>
      <c r="AG3" s="14" t="str">
        <f>IF(OR(AF3="",AF3="ERRO_CHAVE"),"",IFERROR(MATCH(AF3,'quitado Despesa'!$V$1:$V$12,0),""))</f>
        <v/>
      </c>
      <c r="AH3" s="14">
        <f>IF(OR(AF3="",AF3="ERRO_CHAVE"),"",COUNTIF($AF$2:$AF$4603,AF3))</f>
        <v>1</v>
      </c>
      <c r="AI3" s="16" t="str">
        <f>IF(AG3="","",INDEX('quitado Despesa'!$G$1:$G$12,AG3))</f>
        <v/>
      </c>
      <c r="AJ3" s="16" t="str">
        <f>IF(AG3="","",ROUND(X3-AI3,2))</f>
        <v/>
      </c>
    </row>
    <row r="4" ht="14" spans="1:36">
      <c r="A4" s="8" t="s">
        <v>41</v>
      </c>
      <c r="B4" s="8">
        <v>987</v>
      </c>
      <c r="C4" s="8">
        <v>900</v>
      </c>
      <c r="D4" s="8" t="s">
        <v>37</v>
      </c>
      <c r="E4" s="8" t="s">
        <v>42</v>
      </c>
      <c r="F4" s="8">
        <v>1119756</v>
      </c>
      <c r="G4" s="8">
        <v>1</v>
      </c>
      <c r="H4" s="8">
        <v>1</v>
      </c>
      <c r="I4" s="8" t="s">
        <v>39</v>
      </c>
      <c r="J4" s="10">
        <v>46267</v>
      </c>
      <c r="K4" s="10">
        <v>46296</v>
      </c>
      <c r="L4" s="10">
        <v>46300</v>
      </c>
      <c r="M4" s="8">
        <v>33</v>
      </c>
      <c r="N4" s="8"/>
      <c r="O4" s="8" t="s">
        <v>40</v>
      </c>
      <c r="P4" s="8">
        <v>0</v>
      </c>
      <c r="Q4" s="8">
        <v>29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12">
        <v>2472</v>
      </c>
      <c r="Y4" s="12">
        <v>2472</v>
      </c>
      <c r="Z4" s="12">
        <v>2472</v>
      </c>
      <c r="AA4" s="8" t="s">
        <v>26</v>
      </c>
      <c r="AB4" s="8"/>
      <c r="AC4" s="8"/>
      <c r="AD4" s="8"/>
      <c r="AE4" s="14" t="str">
        <f>IF(AF4="","",IF(AF4="ERRO_CHAVE","VERIFICAR",IF(AG4="","NÃO PAGO","PAGO")))</f>
        <v>NÃO PAGO</v>
      </c>
      <c r="AF4" s="14" t="str">
        <f>IF(A4="","",IFERROR(TRIM(LEFT(A4,FIND(" - ",A4)-1))&amp;"|"&amp;IFERROR(TEXT(VALUE(B4&amp;""),"0"),UPPER(TRIM(B4&amp;"")))&amp;"|"&amp;UPPER(TRIM(E4))&amp;"|"&amp;IFERROR(TEXT(VALUE(F4&amp;""),"0"),UPPER(TRIM(F4&amp;"")))&amp;"|"&amp;IFERROR(TEXT(VALUE(G4&amp;""),"0"),UPPER(TRIM(G4&amp;"")))&amp;"|"&amp;IFERROR(TEXT(VALUE(H4&amp;""),"0"),UPPER(TRIM(H4&amp;""))),"ERRO_CHAVE"))</f>
        <v>1871|987|DUPROP|1119756|1|1</v>
      </c>
      <c r="AG4" s="14" t="str">
        <f>IF(OR(AF4="",AF4="ERRO_CHAVE"),"",IFERROR(MATCH(AF4,'quitado Despesa'!$V$1:$V$12,0),""))</f>
        <v/>
      </c>
      <c r="AH4" s="14">
        <f>IF(OR(AF4="",AF4="ERRO_CHAVE"),"",COUNTIF($AF$2:$AF$4603,AF4))</f>
        <v>1</v>
      </c>
      <c r="AI4" s="16" t="str">
        <f>IF(AG4="","",INDEX('quitado Despesa'!$G$1:$G$12,AG4))</f>
        <v/>
      </c>
      <c r="AJ4" s="16" t="str">
        <f>IF(AG4="","",ROUND(X4-AI4,2))</f>
        <v/>
      </c>
    </row>
    <row r="5" ht="14" spans="1:36">
      <c r="A5" s="9" t="s">
        <v>43</v>
      </c>
      <c r="B5" s="9">
        <v>987</v>
      </c>
      <c r="C5" s="9">
        <v>900</v>
      </c>
      <c r="D5" s="9" t="s">
        <v>37</v>
      </c>
      <c r="E5" s="9" t="s">
        <v>44</v>
      </c>
      <c r="F5" s="9">
        <v>202314</v>
      </c>
      <c r="G5" s="9"/>
      <c r="H5" s="9">
        <v>1</v>
      </c>
      <c r="I5" s="9" t="s">
        <v>39</v>
      </c>
      <c r="J5" s="11">
        <v>46199</v>
      </c>
      <c r="K5" s="11">
        <v>46210</v>
      </c>
      <c r="L5" s="11">
        <v>46300</v>
      </c>
      <c r="M5" s="9">
        <v>101</v>
      </c>
      <c r="N5" s="9"/>
      <c r="O5" s="9" t="s">
        <v>40</v>
      </c>
      <c r="P5" s="9">
        <v>0</v>
      </c>
      <c r="Q5" s="9">
        <v>11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13">
        <v>33168.43</v>
      </c>
      <c r="Y5" s="13">
        <v>33168.43</v>
      </c>
      <c r="Z5" s="13">
        <v>33168.43</v>
      </c>
      <c r="AA5" s="9" t="s">
        <v>26</v>
      </c>
      <c r="AB5" s="9" t="s">
        <v>27</v>
      </c>
      <c r="AC5" s="9"/>
      <c r="AD5" s="9"/>
      <c r="AE5" s="14" t="str">
        <f>IF(AF5="","",IF(AF5="ERRO_CHAVE","VERIFICAR",IF(AG5="","NÃO PAGO","PAGO")))</f>
        <v>NÃO PAGO</v>
      </c>
      <c r="AF5" s="14" t="str">
        <f>IF(A5="","",IFERROR(TRIM(LEFT(A5,FIND(" - ",A5)-1))&amp;"|"&amp;IFERROR(TEXT(VALUE(B5&amp;""),"0"),UPPER(TRIM(B5&amp;"")))&amp;"|"&amp;UPPER(TRIM(E5))&amp;"|"&amp;IFERROR(TEXT(VALUE(F5&amp;""),"0"),UPPER(TRIM(F5&amp;"")))&amp;"|"&amp;IFERROR(TEXT(VALUE(G5&amp;""),"0"),UPPER(TRIM(G5&amp;"")))&amp;"|"&amp;IFERROR(TEXT(VALUE(H5&amp;""),"0"),UPPER(TRIM(H5&amp;""))),"ERRO_CHAVE"))</f>
        <v>1949|987|DUSOFT|202314||1</v>
      </c>
      <c r="AG5" s="14" t="str">
        <f>IF(OR(AF5="",AF5="ERRO_CHAVE"),"",IFERROR(MATCH(AF5,'quitado Despesa'!$V$1:$V$12,0),""))</f>
        <v/>
      </c>
      <c r="AH5" s="14">
        <f>IF(OR(AF5="",AF5="ERRO_CHAVE"),"",COUNTIF($AF$2:$AF$4603,AF5))</f>
        <v>1</v>
      </c>
      <c r="AI5" s="16" t="str">
        <f>IF(AG5="","",INDEX('quitado Despesa'!$G$1:$G$12,AG5))</f>
        <v/>
      </c>
      <c r="AJ5" s="16" t="str">
        <f>IF(AG5="","",ROUND(X5-AI5,2))</f>
        <v/>
      </c>
    </row>
    <row r="6" ht="14" spans="1:36">
      <c r="A6" s="8" t="s">
        <v>45</v>
      </c>
      <c r="B6" s="8">
        <v>19</v>
      </c>
      <c r="C6" s="8">
        <v>900</v>
      </c>
      <c r="D6" s="8" t="s">
        <v>37</v>
      </c>
      <c r="E6" s="8" t="s">
        <v>46</v>
      </c>
      <c r="F6" s="8">
        <v>338890</v>
      </c>
      <c r="G6" s="8">
        <v>3</v>
      </c>
      <c r="H6" s="8">
        <v>2</v>
      </c>
      <c r="I6" s="8" t="s">
        <v>39</v>
      </c>
      <c r="J6" s="10">
        <v>46255</v>
      </c>
      <c r="K6" s="10">
        <v>46279</v>
      </c>
      <c r="L6" s="10">
        <v>46300</v>
      </c>
      <c r="M6" s="8">
        <v>45</v>
      </c>
      <c r="N6" s="8"/>
      <c r="O6" s="8" t="s">
        <v>40</v>
      </c>
      <c r="P6" s="8">
        <v>0</v>
      </c>
      <c r="Q6" s="8">
        <v>24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12">
        <v>296.85</v>
      </c>
      <c r="Y6" s="12">
        <v>296.85</v>
      </c>
      <c r="Z6" s="12">
        <v>296.85</v>
      </c>
      <c r="AA6" s="8" t="s">
        <v>26</v>
      </c>
      <c r="AB6" s="8" t="s">
        <v>27</v>
      </c>
      <c r="AC6" s="8"/>
      <c r="AD6" s="8"/>
      <c r="AE6" s="14" t="str">
        <f>IF(AF6="","",IF(AF6="ERRO_CHAVE","VERIFICAR",IF(AG6="","NÃO PAGO","PAGO")))</f>
        <v>NÃO PAGO</v>
      </c>
      <c r="AF6" s="14" t="str">
        <f>IF(A6="","",IFERROR(TRIM(LEFT(A6,FIND(" - ",A6)-1))&amp;"|"&amp;IFERROR(TEXT(VALUE(B6&amp;""),"0"),UPPER(TRIM(B6&amp;"")))&amp;"|"&amp;UPPER(TRIM(E6))&amp;"|"&amp;IFERROR(TEXT(VALUE(F6&amp;""),"0"),UPPER(TRIM(F6&amp;"")))&amp;"|"&amp;IFERROR(TEXT(VALUE(G6&amp;""),"0"),UPPER(TRIM(G6&amp;"")))&amp;"|"&amp;IFERROR(TEXT(VALUE(H6&amp;""),"0"),UPPER(TRIM(H6&amp;""))),"ERRO_CHAVE"))</f>
        <v>1978|19|DUPIMO|338890|3|2</v>
      </c>
      <c r="AG6" s="14" t="str">
        <f>IF(OR(AF6="",AF6="ERRO_CHAVE"),"",IFERROR(MATCH(AF6,'quitado Despesa'!$V$1:$V$12,0),""))</f>
        <v/>
      </c>
      <c r="AH6" s="14">
        <f>IF(OR(AF6="",AF6="ERRO_CHAVE"),"",COUNTIF($AF$2:$AF$4603,AF6))</f>
        <v>1</v>
      </c>
      <c r="AI6" s="16" t="str">
        <f>IF(AG6="","",INDEX('quitado Despesa'!$G$1:$G$12,AG6))</f>
        <v/>
      </c>
      <c r="AJ6" s="16" t="str">
        <f>IF(AG6="","",ROUND(X6-AI6,2))</f>
        <v/>
      </c>
    </row>
    <row r="7" ht="14" spans="1:36">
      <c r="A7" s="9" t="s">
        <v>45</v>
      </c>
      <c r="B7" s="9">
        <v>21</v>
      </c>
      <c r="C7" s="9">
        <v>900</v>
      </c>
      <c r="D7" s="9" t="s">
        <v>37</v>
      </c>
      <c r="E7" s="9" t="s">
        <v>46</v>
      </c>
      <c r="F7" s="9">
        <v>339475</v>
      </c>
      <c r="G7" s="9">
        <v>3</v>
      </c>
      <c r="H7" s="9">
        <v>1</v>
      </c>
      <c r="I7" s="9" t="s">
        <v>39</v>
      </c>
      <c r="J7" s="11">
        <v>46274</v>
      </c>
      <c r="K7" s="11">
        <v>46289</v>
      </c>
      <c r="L7" s="11">
        <v>46300</v>
      </c>
      <c r="M7" s="9">
        <v>26</v>
      </c>
      <c r="N7" s="9"/>
      <c r="O7" s="9" t="s">
        <v>40</v>
      </c>
      <c r="P7" s="9">
        <v>0</v>
      </c>
      <c r="Q7" s="9">
        <v>15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13">
        <v>136.36</v>
      </c>
      <c r="Y7" s="13">
        <v>136.36</v>
      </c>
      <c r="Z7" s="13">
        <v>136.36</v>
      </c>
      <c r="AA7" s="9" t="s">
        <v>26</v>
      </c>
      <c r="AB7" s="9" t="s">
        <v>27</v>
      </c>
      <c r="AC7" s="9"/>
      <c r="AD7" s="9"/>
      <c r="AE7" s="14" t="str">
        <f>IF(AF7="","",IF(AF7="ERRO_CHAVE","VERIFICAR",IF(AG7="","NÃO PAGO","PAGO")))</f>
        <v>NÃO PAGO</v>
      </c>
      <c r="AF7" s="14" t="str">
        <f>IF(A7="","",IFERROR(TRIM(LEFT(A7,FIND(" - ",A7)-1))&amp;"|"&amp;IFERROR(TEXT(VALUE(B7&amp;""),"0"),UPPER(TRIM(B7&amp;"")))&amp;"|"&amp;UPPER(TRIM(E7))&amp;"|"&amp;IFERROR(TEXT(VALUE(F7&amp;""),"0"),UPPER(TRIM(F7&amp;"")))&amp;"|"&amp;IFERROR(TEXT(VALUE(G7&amp;""),"0"),UPPER(TRIM(G7&amp;"")))&amp;"|"&amp;IFERROR(TEXT(VALUE(H7&amp;""),"0"),UPPER(TRIM(H7&amp;""))),"ERRO_CHAVE"))</f>
        <v>1978|21|DUPIMO|339475|3|1</v>
      </c>
      <c r="AG7" s="14" t="str">
        <f>IF(OR(AF7="",AF7="ERRO_CHAVE"),"",IFERROR(MATCH(AF7,'quitado Despesa'!$V$1:$V$12,0),""))</f>
        <v/>
      </c>
      <c r="AH7" s="14">
        <f>IF(OR(AF7="",AF7="ERRO_CHAVE"),"",COUNTIF($AF$2:$AF$4603,AF7))</f>
        <v>1</v>
      </c>
      <c r="AI7" s="16" t="str">
        <f>IF(AG7="","",INDEX('quitado Despesa'!$G$1:$G$12,AG7))</f>
        <v/>
      </c>
      <c r="AJ7" s="16" t="str">
        <f>IF(AG7="","",ROUND(X7-AI7,2))</f>
        <v/>
      </c>
    </row>
    <row r="8" ht="14" spans="1:36">
      <c r="A8" s="15"/>
      <c r="B8" s="15"/>
      <c r="C8" s="15"/>
      <c r="D8" s="15"/>
      <c r="E8" s="15"/>
      <c r="F8" s="15"/>
      <c r="G8" s="15"/>
      <c r="H8" s="15"/>
      <c r="I8" s="15"/>
      <c r="J8" s="23"/>
      <c r="K8" s="23"/>
      <c r="L8" s="23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7"/>
      <c r="Y8" s="17"/>
      <c r="Z8" s="17"/>
      <c r="AA8" s="15"/>
      <c r="AE8" s="15" t="str">
        <f t="shared" ref="AE8:AE4603" si="0">IF(AF8="","",IF(AF8="ERRO_CHAVE","VERIFICAR",IF(AG8="","NÃO PAGO","PAGO")))</f>
        <v/>
      </c>
      <c r="AF8" s="15" t="str">
        <f t="shared" ref="AF8:AF4603" si="1">IF(A8="","",IFERROR(TRIM(LEFT(A8,FIND(" - ",A8)-1))&amp;"|"&amp;IFERROR(TEXT(VALUE(B8&amp;""),"0"),UPPER(TRIM(B8&amp;"")))&amp;"|"&amp;UPPER(TRIM(E8))&amp;"|"&amp;IFERROR(TEXT(VALUE(F8&amp;""),"0"),UPPER(TRIM(F8&amp;"")))&amp;"|"&amp;IFERROR(TEXT(VALUE(G8&amp;""),"0"),UPPER(TRIM(G8&amp;"")))&amp;"|"&amp;IFERROR(TEXT(VALUE(H8&amp;""),"0"),UPPER(TRIM(H8&amp;""))),"ERRO_CHAVE"))</f>
        <v/>
      </c>
      <c r="AG8" s="15" t="str">
        <f>IF(OR(AF8="",AF8="ERRO_CHAVE"),"",IFERROR(MATCH(AF8,'quitado Despesa'!$V$1:$V$12,0),""))</f>
        <v/>
      </c>
      <c r="AH8" s="15" t="str">
        <f t="shared" ref="AH8:AH4603" si="2">IF(OR(AF8="",AF8="ERRO_CHAVE"),"",COUNTIF($AF$2:$AF$4603,AF8))</f>
        <v/>
      </c>
      <c r="AI8" s="17" t="str">
        <f>IF(AG8="","",INDEX('quitado Despesa'!$G$1:$G$12,AG8))</f>
        <v/>
      </c>
      <c r="AJ8" s="17" t="str">
        <f t="shared" ref="AJ8:AJ4603" si="3">IF(AG8="","",ROUND(X8-AI8,2))</f>
        <v/>
      </c>
    </row>
    <row r="9" ht="14" spans="1:36">
      <c r="A9" s="15"/>
      <c r="B9" s="15"/>
      <c r="C9" s="15"/>
      <c r="D9" s="15"/>
      <c r="E9" s="15"/>
      <c r="F9" s="15"/>
      <c r="G9" s="15"/>
      <c r="H9" s="15"/>
      <c r="I9" s="15"/>
      <c r="J9" s="23"/>
      <c r="K9" s="23"/>
      <c r="L9" s="23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7"/>
      <c r="Y9" s="17"/>
      <c r="Z9" s="17"/>
      <c r="AA9" s="15"/>
      <c r="AE9" s="15" t="s">
        <v>47</v>
      </c>
      <c r="AF9" s="15" t="str">
        <f t="shared" si="1"/>
        <v/>
      </c>
      <c r="AG9" s="15" t="str">
        <f>IF(OR(AF9="",AF9="ERRO_CHAVE"),"",IFERROR(MATCH(AF9,'quitado Despesa'!$V$1:$V$12,0),""))</f>
        <v/>
      </c>
      <c r="AH9" s="15" t="str">
        <f t="shared" si="2"/>
        <v/>
      </c>
      <c r="AI9" s="17" t="str">
        <f>IF(AG9="","",INDEX('quitado Despesa'!$G$1:$G$12,AG9))</f>
        <v/>
      </c>
      <c r="AJ9" s="17" t="str">
        <f t="shared" si="3"/>
        <v/>
      </c>
    </row>
    <row r="10" ht="14" spans="1:36">
      <c r="A10" s="15"/>
      <c r="B10" s="15"/>
      <c r="C10" s="15"/>
      <c r="D10" s="15"/>
      <c r="E10" s="15"/>
      <c r="F10" s="15"/>
      <c r="G10" s="15"/>
      <c r="H10" s="15"/>
      <c r="I10" s="15"/>
      <c r="J10" s="23"/>
      <c r="K10" s="23"/>
      <c r="L10" s="23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7"/>
      <c r="Y10" s="17"/>
      <c r="Z10" s="17"/>
      <c r="AA10" s="15"/>
      <c r="AE10" s="15" t="str">
        <f t="shared" si="0"/>
        <v/>
      </c>
      <c r="AF10" s="15" t="str">
        <f t="shared" si="1"/>
        <v/>
      </c>
      <c r="AG10" s="15" t="str">
        <f>IF(OR(AF10="",AF10="ERRO_CHAVE"),"",IFERROR(MATCH(AF10,'quitado Despesa'!$V$1:$V$12,0),""))</f>
        <v/>
      </c>
      <c r="AH10" s="15" t="str">
        <f t="shared" si="2"/>
        <v/>
      </c>
      <c r="AI10" s="17" t="str">
        <f>IF(AG10="","",INDEX('quitado Despesa'!$G$1:$G$12,AG10))</f>
        <v/>
      </c>
      <c r="AJ10" s="17" t="str">
        <f t="shared" si="3"/>
        <v/>
      </c>
    </row>
    <row r="11" ht="14" spans="1:36">
      <c r="A11" s="15"/>
      <c r="B11" s="15"/>
      <c r="C11" s="15"/>
      <c r="D11" s="15"/>
      <c r="E11" s="15"/>
      <c r="F11" s="15"/>
      <c r="G11" s="15"/>
      <c r="H11" s="15"/>
      <c r="I11" s="15"/>
      <c r="J11" s="23"/>
      <c r="K11" s="23"/>
      <c r="L11" s="23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7"/>
      <c r="Y11" s="17"/>
      <c r="Z11" s="17"/>
      <c r="AA11" s="15"/>
      <c r="AE11" s="15" t="str">
        <f t="shared" si="0"/>
        <v/>
      </c>
      <c r="AF11" s="15" t="str">
        <f t="shared" si="1"/>
        <v/>
      </c>
      <c r="AG11" s="15" t="str">
        <f>IF(OR(AF11="",AF11="ERRO_CHAVE"),"",IFERROR(MATCH(AF11,'quitado Despesa'!$V$1:$V$12,0),""))</f>
        <v/>
      </c>
      <c r="AH11" s="15" t="str">
        <f t="shared" si="2"/>
        <v/>
      </c>
      <c r="AI11" s="17" t="str">
        <f>IF(AG11="","",INDEX('quitado Despesa'!$G$1:$G$12,AG11))</f>
        <v/>
      </c>
      <c r="AJ11" s="17" t="str">
        <f t="shared" si="3"/>
        <v/>
      </c>
    </row>
    <row r="12" ht="14" spans="1:36">
      <c r="A12" s="15"/>
      <c r="B12" s="15"/>
      <c r="C12" s="15"/>
      <c r="D12" s="15"/>
      <c r="E12" s="15"/>
      <c r="F12" s="15"/>
      <c r="G12" s="15"/>
      <c r="H12" s="15"/>
      <c r="I12" s="15"/>
      <c r="J12" s="23"/>
      <c r="K12" s="23"/>
      <c r="L12" s="23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7"/>
      <c r="Y12" s="17"/>
      <c r="Z12" s="17"/>
      <c r="AA12" s="15"/>
      <c r="AE12" s="15" t="str">
        <f t="shared" si="0"/>
        <v/>
      </c>
      <c r="AF12" s="15" t="str">
        <f t="shared" si="1"/>
        <v/>
      </c>
      <c r="AG12" s="15" t="str">
        <f>IF(OR(AF12="",AF12="ERRO_CHAVE"),"",IFERROR(MATCH(AF12,'quitado Despesa'!$V$1:$V$12,0),""))</f>
        <v/>
      </c>
      <c r="AH12" s="15" t="str">
        <f t="shared" si="2"/>
        <v/>
      </c>
      <c r="AI12" s="17" t="str">
        <f>IF(AG12="","",INDEX('quitado Despesa'!$G$1:$G$12,AG12))</f>
        <v/>
      </c>
      <c r="AJ12" s="17" t="str">
        <f t="shared" si="3"/>
        <v/>
      </c>
    </row>
    <row r="13" ht="14" spans="1:36">
      <c r="A13" s="15"/>
      <c r="B13" s="15"/>
      <c r="C13" s="15"/>
      <c r="D13" s="15"/>
      <c r="E13" s="15"/>
      <c r="F13" s="15"/>
      <c r="G13" s="15"/>
      <c r="H13" s="15"/>
      <c r="I13" s="15"/>
      <c r="J13" s="23"/>
      <c r="K13" s="23"/>
      <c r="L13" s="23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7"/>
      <c r="Y13" s="17"/>
      <c r="Z13" s="17"/>
      <c r="AA13" s="15"/>
      <c r="AE13" s="15" t="str">
        <f t="shared" si="0"/>
        <v/>
      </c>
      <c r="AF13" s="15" t="str">
        <f t="shared" si="1"/>
        <v/>
      </c>
      <c r="AG13" s="15" t="str">
        <f>IF(OR(AF13="",AF13="ERRO_CHAVE"),"",IFERROR(MATCH(AF13,'quitado Despesa'!$V$1:$V$12,0),""))</f>
        <v/>
      </c>
      <c r="AH13" s="15" t="str">
        <f t="shared" si="2"/>
        <v/>
      </c>
      <c r="AI13" s="17" t="str">
        <f>IF(AG13="","",INDEX('quitado Despesa'!$G$1:$G$12,AG13))</f>
        <v/>
      </c>
      <c r="AJ13" s="17" t="str">
        <f t="shared" si="3"/>
        <v/>
      </c>
    </row>
    <row r="14" ht="14" spans="1:36">
      <c r="A14" s="15"/>
      <c r="B14" s="15"/>
      <c r="C14" s="15"/>
      <c r="D14" s="15"/>
      <c r="E14" s="15"/>
      <c r="F14" s="15"/>
      <c r="G14" s="15"/>
      <c r="H14" s="15"/>
      <c r="I14" s="15"/>
      <c r="J14" s="23"/>
      <c r="K14" s="23"/>
      <c r="L14" s="23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7"/>
      <c r="Y14" s="17"/>
      <c r="Z14" s="17"/>
      <c r="AA14" s="15"/>
      <c r="AE14" s="15" t="str">
        <f t="shared" si="0"/>
        <v/>
      </c>
      <c r="AF14" s="15" t="str">
        <f t="shared" si="1"/>
        <v/>
      </c>
      <c r="AG14" s="15" t="str">
        <f>IF(OR(AF14="",AF14="ERRO_CHAVE"),"",IFERROR(MATCH(AF14,'quitado Despesa'!$V$1:$V$12,0),""))</f>
        <v/>
      </c>
      <c r="AH14" s="15" t="str">
        <f t="shared" si="2"/>
        <v/>
      </c>
      <c r="AI14" s="17" t="str">
        <f>IF(AG14="","",INDEX('quitado Despesa'!$G$1:$G$12,AG14))</f>
        <v/>
      </c>
      <c r="AJ14" s="17" t="str">
        <f t="shared" si="3"/>
        <v/>
      </c>
    </row>
    <row r="15" ht="14" spans="1:36">
      <c r="A15" s="15"/>
      <c r="B15" s="15"/>
      <c r="C15" s="15"/>
      <c r="D15" s="15"/>
      <c r="E15" s="15"/>
      <c r="F15" s="15"/>
      <c r="G15" s="15"/>
      <c r="H15" s="15"/>
      <c r="I15" s="15"/>
      <c r="J15" s="23"/>
      <c r="K15" s="23"/>
      <c r="L15" s="23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7"/>
      <c r="Y15" s="17"/>
      <c r="Z15" s="17"/>
      <c r="AA15" s="15"/>
      <c r="AE15" s="15" t="str">
        <f t="shared" si="0"/>
        <v/>
      </c>
      <c r="AF15" s="15" t="str">
        <f t="shared" si="1"/>
        <v/>
      </c>
      <c r="AG15" s="15" t="str">
        <f>IF(OR(AF15="",AF15="ERRO_CHAVE"),"",IFERROR(MATCH(AF15,'quitado Despesa'!$V$1:$V$12,0),""))</f>
        <v/>
      </c>
      <c r="AH15" s="15" t="str">
        <f t="shared" si="2"/>
        <v/>
      </c>
      <c r="AI15" s="17" t="str">
        <f>IF(AG15="","",INDEX('quitado Despesa'!$G$1:$G$12,AG15))</f>
        <v/>
      </c>
      <c r="AJ15" s="17" t="str">
        <f t="shared" si="3"/>
        <v/>
      </c>
    </row>
    <row r="16" ht="14" spans="1:36">
      <c r="A16" s="15"/>
      <c r="B16" s="15"/>
      <c r="C16" s="15"/>
      <c r="D16" s="15"/>
      <c r="E16" s="15"/>
      <c r="F16" s="15"/>
      <c r="G16" s="15"/>
      <c r="H16" s="15"/>
      <c r="I16" s="15"/>
      <c r="J16" s="23"/>
      <c r="K16" s="23"/>
      <c r="L16" s="23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7"/>
      <c r="Y16" s="17"/>
      <c r="Z16" s="17"/>
      <c r="AA16" s="15"/>
      <c r="AE16" s="15" t="str">
        <f t="shared" si="0"/>
        <v/>
      </c>
      <c r="AF16" s="15" t="str">
        <f t="shared" si="1"/>
        <v/>
      </c>
      <c r="AG16" s="15" t="str">
        <f>IF(OR(AF16="",AF16="ERRO_CHAVE"),"",IFERROR(MATCH(AF16,'quitado Despesa'!$V$1:$V$12,0),""))</f>
        <v/>
      </c>
      <c r="AH16" s="15" t="str">
        <f t="shared" si="2"/>
        <v/>
      </c>
      <c r="AI16" s="17" t="str">
        <f>IF(AG16="","",INDEX('quitado Despesa'!$G$1:$G$12,AG16))</f>
        <v/>
      </c>
      <c r="AJ16" s="17" t="str">
        <f t="shared" si="3"/>
        <v/>
      </c>
    </row>
    <row r="17" ht="14" spans="1:36">
      <c r="A17" s="15"/>
      <c r="B17" s="15"/>
      <c r="C17" s="15"/>
      <c r="D17" s="15"/>
      <c r="E17" s="15"/>
      <c r="F17" s="15"/>
      <c r="G17" s="15"/>
      <c r="H17" s="15"/>
      <c r="I17" s="15"/>
      <c r="J17" s="23"/>
      <c r="K17" s="23"/>
      <c r="L17" s="23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7"/>
      <c r="Y17" s="17"/>
      <c r="Z17" s="17"/>
      <c r="AA17" s="15"/>
      <c r="AE17" s="15" t="str">
        <f t="shared" si="0"/>
        <v/>
      </c>
      <c r="AF17" s="15" t="str">
        <f t="shared" si="1"/>
        <v/>
      </c>
      <c r="AG17" s="15" t="str">
        <f>IF(OR(AF17="",AF17="ERRO_CHAVE"),"",IFERROR(MATCH(AF17,'quitado Despesa'!$V$1:$V$12,0),""))</f>
        <v/>
      </c>
      <c r="AH17" s="15" t="str">
        <f t="shared" si="2"/>
        <v/>
      </c>
      <c r="AI17" s="17" t="str">
        <f>IF(AG17="","",INDEX('quitado Despesa'!$G$1:$G$12,AG17))</f>
        <v/>
      </c>
      <c r="AJ17" s="17" t="str">
        <f t="shared" si="3"/>
        <v/>
      </c>
    </row>
    <row r="18" ht="14" spans="1:36">
      <c r="A18" s="15"/>
      <c r="B18" s="15"/>
      <c r="C18" s="15"/>
      <c r="D18" s="15"/>
      <c r="E18" s="15"/>
      <c r="F18" s="15"/>
      <c r="G18" s="15"/>
      <c r="H18" s="15"/>
      <c r="I18" s="15"/>
      <c r="J18" s="23"/>
      <c r="K18" s="23"/>
      <c r="L18" s="23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7"/>
      <c r="Y18" s="17"/>
      <c r="Z18" s="17"/>
      <c r="AA18" s="15"/>
      <c r="AE18" s="15" t="str">
        <f t="shared" si="0"/>
        <v/>
      </c>
      <c r="AF18" s="15" t="str">
        <f t="shared" si="1"/>
        <v/>
      </c>
      <c r="AG18" s="15" t="str">
        <f>IF(OR(AF18="",AF18="ERRO_CHAVE"),"",IFERROR(MATCH(AF18,'quitado Despesa'!$V$1:$V$12,0),""))</f>
        <v/>
      </c>
      <c r="AH18" s="15" t="str">
        <f t="shared" si="2"/>
        <v/>
      </c>
      <c r="AI18" s="17" t="str">
        <f>IF(AG18="","",INDEX('quitado Despesa'!$G$1:$G$12,AG18))</f>
        <v/>
      </c>
      <c r="AJ18" s="17" t="str">
        <f t="shared" si="3"/>
        <v/>
      </c>
    </row>
    <row r="19" ht="14" spans="1:36">
      <c r="A19" s="15"/>
      <c r="B19" s="15"/>
      <c r="C19" s="15"/>
      <c r="D19" s="15"/>
      <c r="E19" s="15"/>
      <c r="F19" s="15"/>
      <c r="G19" s="15"/>
      <c r="H19" s="15"/>
      <c r="I19" s="15"/>
      <c r="J19" s="23"/>
      <c r="K19" s="23"/>
      <c r="L19" s="23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7"/>
      <c r="Y19" s="17"/>
      <c r="Z19" s="17"/>
      <c r="AA19" s="15"/>
      <c r="AE19" s="15" t="str">
        <f t="shared" si="0"/>
        <v/>
      </c>
      <c r="AF19" s="15" t="str">
        <f t="shared" si="1"/>
        <v/>
      </c>
      <c r="AG19" s="15" t="str">
        <f>IF(OR(AF19="",AF19="ERRO_CHAVE"),"",IFERROR(MATCH(AF19,'quitado Despesa'!$V$1:$V$12,0),""))</f>
        <v/>
      </c>
      <c r="AH19" s="15" t="str">
        <f t="shared" si="2"/>
        <v/>
      </c>
      <c r="AI19" s="17" t="str">
        <f>IF(AG19="","",INDEX('quitado Despesa'!$G$1:$G$12,AG19))</f>
        <v/>
      </c>
      <c r="AJ19" s="17" t="str">
        <f t="shared" si="3"/>
        <v/>
      </c>
    </row>
    <row r="20" ht="14" spans="1:36">
      <c r="A20" s="15"/>
      <c r="B20" s="15"/>
      <c r="C20" s="15"/>
      <c r="D20" s="15"/>
      <c r="E20" s="15"/>
      <c r="F20" s="15"/>
      <c r="G20" s="15"/>
      <c r="H20" s="15"/>
      <c r="I20" s="15"/>
      <c r="J20" s="23"/>
      <c r="K20" s="23"/>
      <c r="L20" s="23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7"/>
      <c r="Y20" s="17"/>
      <c r="Z20" s="17"/>
      <c r="AA20" s="15"/>
      <c r="AE20" s="15" t="str">
        <f t="shared" si="0"/>
        <v/>
      </c>
      <c r="AF20" s="15" t="str">
        <f t="shared" si="1"/>
        <v/>
      </c>
      <c r="AG20" s="15" t="str">
        <f>IF(OR(AF20="",AF20="ERRO_CHAVE"),"",IFERROR(MATCH(AF20,'quitado Despesa'!$V$1:$V$12,0),""))</f>
        <v/>
      </c>
      <c r="AH20" s="15" t="str">
        <f t="shared" si="2"/>
        <v/>
      </c>
      <c r="AI20" s="17" t="str">
        <f>IF(AG20="","",INDEX('quitado Despesa'!$G$1:$G$12,AG20))</f>
        <v/>
      </c>
      <c r="AJ20" s="17" t="str">
        <f t="shared" si="3"/>
        <v/>
      </c>
    </row>
    <row r="21" ht="14" spans="1:36">
      <c r="A21" s="15"/>
      <c r="B21" s="15"/>
      <c r="C21" s="15"/>
      <c r="D21" s="15"/>
      <c r="E21" s="15"/>
      <c r="F21" s="15"/>
      <c r="G21" s="15"/>
      <c r="H21" s="15"/>
      <c r="I21" s="15"/>
      <c r="J21" s="23"/>
      <c r="K21" s="23"/>
      <c r="L21" s="23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7"/>
      <c r="Y21" s="17"/>
      <c r="Z21" s="17"/>
      <c r="AA21" s="15"/>
      <c r="AE21" s="15" t="str">
        <f t="shared" si="0"/>
        <v/>
      </c>
      <c r="AF21" s="15" t="str">
        <f t="shared" si="1"/>
        <v/>
      </c>
      <c r="AG21" s="15" t="str">
        <f>IF(OR(AF21="",AF21="ERRO_CHAVE"),"",IFERROR(MATCH(AF21,'quitado Despesa'!$V$1:$V$12,0),""))</f>
        <v/>
      </c>
      <c r="AH21" s="15" t="str">
        <f t="shared" si="2"/>
        <v/>
      </c>
      <c r="AI21" s="17" t="str">
        <f>IF(AG21="","",INDEX('quitado Despesa'!$G$1:$G$12,AG21))</f>
        <v/>
      </c>
      <c r="AJ21" s="17" t="str">
        <f t="shared" si="3"/>
        <v/>
      </c>
    </row>
    <row r="22" ht="14" spans="1:36">
      <c r="A22" s="15"/>
      <c r="B22" s="15"/>
      <c r="C22" s="15"/>
      <c r="D22" s="15"/>
      <c r="E22" s="15"/>
      <c r="F22" s="15"/>
      <c r="G22" s="15"/>
      <c r="H22" s="15"/>
      <c r="I22" s="15"/>
      <c r="J22" s="23"/>
      <c r="K22" s="23"/>
      <c r="L22" s="23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7"/>
      <c r="Y22" s="17"/>
      <c r="Z22" s="17"/>
      <c r="AA22" s="15"/>
      <c r="AE22" s="15" t="str">
        <f t="shared" si="0"/>
        <v/>
      </c>
      <c r="AF22" s="15" t="str">
        <f t="shared" si="1"/>
        <v/>
      </c>
      <c r="AG22" s="15" t="str">
        <f>IF(OR(AF22="",AF22="ERRO_CHAVE"),"",IFERROR(MATCH(AF22,'quitado Despesa'!$V$1:$V$12,0),""))</f>
        <v/>
      </c>
      <c r="AH22" s="15" t="str">
        <f t="shared" si="2"/>
        <v/>
      </c>
      <c r="AI22" s="17" t="str">
        <f>IF(AG22="","",INDEX('quitado Despesa'!$G$1:$G$12,AG22))</f>
        <v/>
      </c>
      <c r="AJ22" s="17" t="str">
        <f t="shared" si="3"/>
        <v/>
      </c>
    </row>
    <row r="23" ht="14" spans="1:36">
      <c r="A23" s="15"/>
      <c r="B23" s="15"/>
      <c r="C23" s="15"/>
      <c r="D23" s="15"/>
      <c r="E23" s="15"/>
      <c r="F23" s="15"/>
      <c r="G23" s="15"/>
      <c r="H23" s="15"/>
      <c r="I23" s="15"/>
      <c r="J23" s="23"/>
      <c r="K23" s="23"/>
      <c r="L23" s="23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7"/>
      <c r="Y23" s="17"/>
      <c r="Z23" s="17"/>
      <c r="AA23" s="15"/>
      <c r="AE23" s="15" t="str">
        <f t="shared" si="0"/>
        <v/>
      </c>
      <c r="AF23" s="15" t="str">
        <f t="shared" si="1"/>
        <v/>
      </c>
      <c r="AG23" s="15" t="str">
        <f>IF(OR(AF23="",AF23="ERRO_CHAVE"),"",IFERROR(MATCH(AF23,'quitado Despesa'!$V$1:$V$12,0),""))</f>
        <v/>
      </c>
      <c r="AH23" s="15" t="str">
        <f t="shared" si="2"/>
        <v/>
      </c>
      <c r="AI23" s="17" t="str">
        <f>IF(AG23="","",INDEX('quitado Despesa'!$G$1:$G$12,AG23))</f>
        <v/>
      </c>
      <c r="AJ23" s="17" t="str">
        <f t="shared" si="3"/>
        <v/>
      </c>
    </row>
    <row r="24" ht="14" spans="1:36">
      <c r="A24" s="15"/>
      <c r="B24" s="15"/>
      <c r="C24" s="15"/>
      <c r="D24" s="15"/>
      <c r="E24" s="15"/>
      <c r="F24" s="15"/>
      <c r="G24" s="15"/>
      <c r="H24" s="15"/>
      <c r="I24" s="15"/>
      <c r="J24" s="23"/>
      <c r="K24" s="23"/>
      <c r="L24" s="2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7"/>
      <c r="Y24" s="17"/>
      <c r="Z24" s="17"/>
      <c r="AA24" s="15"/>
      <c r="AE24" s="15" t="str">
        <f t="shared" si="0"/>
        <v/>
      </c>
      <c r="AF24" s="15" t="str">
        <f t="shared" si="1"/>
        <v/>
      </c>
      <c r="AG24" s="15" t="str">
        <f>IF(OR(AF24="",AF24="ERRO_CHAVE"),"",IFERROR(MATCH(AF24,'quitado Despesa'!$V$1:$V$12,0),""))</f>
        <v/>
      </c>
      <c r="AH24" s="15" t="str">
        <f t="shared" si="2"/>
        <v/>
      </c>
      <c r="AI24" s="17" t="str">
        <f>IF(AG24="","",INDEX('quitado Despesa'!$G$1:$G$12,AG24))</f>
        <v/>
      </c>
      <c r="AJ24" s="17" t="str">
        <f t="shared" si="3"/>
        <v/>
      </c>
    </row>
    <row r="25" ht="14" spans="1:36">
      <c r="A25" s="15"/>
      <c r="B25" s="15"/>
      <c r="C25" s="15"/>
      <c r="D25" s="15"/>
      <c r="E25" s="15"/>
      <c r="F25" s="15"/>
      <c r="G25" s="15"/>
      <c r="H25" s="15"/>
      <c r="I25" s="15"/>
      <c r="J25" s="23"/>
      <c r="K25" s="23"/>
      <c r="L25" s="23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7"/>
      <c r="Y25" s="17"/>
      <c r="Z25" s="17"/>
      <c r="AA25" s="15"/>
      <c r="AE25" s="15" t="str">
        <f t="shared" si="0"/>
        <v/>
      </c>
      <c r="AF25" s="15" t="str">
        <f t="shared" si="1"/>
        <v/>
      </c>
      <c r="AG25" s="15" t="str">
        <f>IF(OR(AF25="",AF25="ERRO_CHAVE"),"",IFERROR(MATCH(AF25,'quitado Despesa'!$V$1:$V$12,0),""))</f>
        <v/>
      </c>
      <c r="AH25" s="15" t="str">
        <f t="shared" si="2"/>
        <v/>
      </c>
      <c r="AI25" s="17" t="str">
        <f>IF(AG25="","",INDEX('quitado Despesa'!$G$1:$G$12,AG25))</f>
        <v/>
      </c>
      <c r="AJ25" s="17" t="str">
        <f t="shared" si="3"/>
        <v/>
      </c>
    </row>
    <row r="26" ht="14" spans="1:36">
      <c r="A26" s="15"/>
      <c r="B26" s="15"/>
      <c r="C26" s="15"/>
      <c r="D26" s="15"/>
      <c r="E26" s="15"/>
      <c r="F26" s="15"/>
      <c r="G26" s="15"/>
      <c r="H26" s="15"/>
      <c r="I26" s="15"/>
      <c r="J26" s="23"/>
      <c r="K26" s="23"/>
      <c r="L26" s="23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7"/>
      <c r="Y26" s="17"/>
      <c r="Z26" s="17"/>
      <c r="AA26" s="15"/>
      <c r="AE26" s="15" t="str">
        <f t="shared" si="0"/>
        <v/>
      </c>
      <c r="AF26" s="15" t="str">
        <f t="shared" si="1"/>
        <v/>
      </c>
      <c r="AG26" s="15" t="str">
        <f>IF(OR(AF26="",AF26="ERRO_CHAVE"),"",IFERROR(MATCH(AF26,'quitado Despesa'!$V$1:$V$12,0),""))</f>
        <v/>
      </c>
      <c r="AH26" s="15" t="str">
        <f t="shared" si="2"/>
        <v/>
      </c>
      <c r="AI26" s="17" t="str">
        <f>IF(AG26="","",INDEX('quitado Despesa'!$G$1:$G$12,AG26))</f>
        <v/>
      </c>
      <c r="AJ26" s="17" t="str">
        <f t="shared" si="3"/>
        <v/>
      </c>
    </row>
    <row r="27" ht="14" spans="1:36">
      <c r="A27" s="15"/>
      <c r="B27" s="15"/>
      <c r="C27" s="15"/>
      <c r="D27" s="15"/>
      <c r="E27" s="15"/>
      <c r="F27" s="15"/>
      <c r="G27" s="15"/>
      <c r="H27" s="15"/>
      <c r="I27" s="15"/>
      <c r="J27" s="23"/>
      <c r="K27" s="23"/>
      <c r="L27" s="23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7"/>
      <c r="Y27" s="17"/>
      <c r="Z27" s="17"/>
      <c r="AA27" s="15"/>
      <c r="AE27" s="15" t="str">
        <f t="shared" si="0"/>
        <v/>
      </c>
      <c r="AF27" s="15" t="str">
        <f t="shared" si="1"/>
        <v/>
      </c>
      <c r="AG27" s="15" t="str">
        <f>IF(OR(AF27="",AF27="ERRO_CHAVE"),"",IFERROR(MATCH(AF27,'quitado Despesa'!$V$1:$V$12,0),""))</f>
        <v/>
      </c>
      <c r="AH27" s="15" t="str">
        <f t="shared" si="2"/>
        <v/>
      </c>
      <c r="AI27" s="17" t="str">
        <f>IF(AG27="","",INDEX('quitado Despesa'!$G$1:$G$12,AG27))</f>
        <v/>
      </c>
      <c r="AJ27" s="17" t="str">
        <f t="shared" si="3"/>
        <v/>
      </c>
    </row>
    <row r="28" ht="14" spans="1:36">
      <c r="A28" s="15"/>
      <c r="B28" s="15"/>
      <c r="C28" s="15"/>
      <c r="D28" s="15"/>
      <c r="E28" s="15"/>
      <c r="F28" s="15"/>
      <c r="G28" s="15"/>
      <c r="H28" s="15"/>
      <c r="I28" s="15"/>
      <c r="J28" s="23"/>
      <c r="K28" s="23"/>
      <c r="L28" s="23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7"/>
      <c r="Y28" s="17"/>
      <c r="Z28" s="17"/>
      <c r="AA28" s="15"/>
      <c r="AE28" s="15" t="str">
        <f t="shared" si="0"/>
        <v/>
      </c>
      <c r="AF28" s="15" t="str">
        <f t="shared" si="1"/>
        <v/>
      </c>
      <c r="AG28" s="15" t="str">
        <f>IF(OR(AF28="",AF28="ERRO_CHAVE"),"",IFERROR(MATCH(AF28,'quitado Despesa'!$V$1:$V$12,0),""))</f>
        <v/>
      </c>
      <c r="AH28" s="15" t="str">
        <f t="shared" si="2"/>
        <v/>
      </c>
      <c r="AI28" s="17" t="str">
        <f>IF(AG28="","",INDEX('quitado Despesa'!$G$1:$G$12,AG28))</f>
        <v/>
      </c>
      <c r="AJ28" s="17" t="str">
        <f t="shared" si="3"/>
        <v/>
      </c>
    </row>
    <row r="29" ht="14" spans="1:36">
      <c r="A29" s="15"/>
      <c r="B29" s="15"/>
      <c r="C29" s="15"/>
      <c r="D29" s="15"/>
      <c r="E29" s="15"/>
      <c r="F29" s="15"/>
      <c r="G29" s="15"/>
      <c r="H29" s="15"/>
      <c r="I29" s="15"/>
      <c r="J29" s="23"/>
      <c r="K29" s="23"/>
      <c r="L29" s="23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7"/>
      <c r="Y29" s="17"/>
      <c r="Z29" s="17"/>
      <c r="AA29" s="15"/>
      <c r="AE29" s="15" t="str">
        <f t="shared" si="0"/>
        <v/>
      </c>
      <c r="AF29" s="15" t="str">
        <f t="shared" si="1"/>
        <v/>
      </c>
      <c r="AG29" s="15" t="str">
        <f>IF(OR(AF29="",AF29="ERRO_CHAVE"),"",IFERROR(MATCH(AF29,'quitado Despesa'!$V$1:$V$12,0),""))</f>
        <v/>
      </c>
      <c r="AH29" s="15" t="str">
        <f t="shared" si="2"/>
        <v/>
      </c>
      <c r="AI29" s="17" t="str">
        <f>IF(AG29="","",INDEX('quitado Despesa'!$G$1:$G$12,AG29))</f>
        <v/>
      </c>
      <c r="AJ29" s="17" t="str">
        <f t="shared" si="3"/>
        <v/>
      </c>
    </row>
    <row r="30" ht="14" spans="1:36">
      <c r="A30" s="15"/>
      <c r="B30" s="15"/>
      <c r="C30" s="15"/>
      <c r="D30" s="15"/>
      <c r="E30" s="15"/>
      <c r="F30" s="15"/>
      <c r="G30" s="15"/>
      <c r="H30" s="15"/>
      <c r="I30" s="15"/>
      <c r="J30" s="23"/>
      <c r="K30" s="23"/>
      <c r="L30" s="23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7"/>
      <c r="Y30" s="17"/>
      <c r="Z30" s="17"/>
      <c r="AA30" s="15"/>
      <c r="AE30" s="15" t="str">
        <f t="shared" si="0"/>
        <v/>
      </c>
      <c r="AF30" s="15" t="str">
        <f t="shared" si="1"/>
        <v/>
      </c>
      <c r="AG30" s="15" t="str">
        <f>IF(OR(AF30="",AF30="ERRO_CHAVE"),"",IFERROR(MATCH(AF30,'quitado Despesa'!$V$1:$V$12,0),""))</f>
        <v/>
      </c>
      <c r="AH30" s="15" t="str">
        <f t="shared" si="2"/>
        <v/>
      </c>
      <c r="AI30" s="17" t="str">
        <f>IF(AG30="","",INDEX('quitado Despesa'!$G$1:$G$12,AG30))</f>
        <v/>
      </c>
      <c r="AJ30" s="17" t="str">
        <f t="shared" si="3"/>
        <v/>
      </c>
    </row>
    <row r="31" ht="14" spans="1:36">
      <c r="A31" s="15"/>
      <c r="B31" s="15"/>
      <c r="C31" s="15"/>
      <c r="D31" s="15"/>
      <c r="E31" s="15"/>
      <c r="F31" s="15"/>
      <c r="G31" s="15"/>
      <c r="H31" s="15"/>
      <c r="I31" s="15"/>
      <c r="J31" s="23"/>
      <c r="K31" s="23"/>
      <c r="L31" s="23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7"/>
      <c r="Y31" s="17"/>
      <c r="Z31" s="17"/>
      <c r="AA31" s="15"/>
      <c r="AE31" s="15" t="str">
        <f t="shared" si="0"/>
        <v/>
      </c>
      <c r="AF31" s="15" t="str">
        <f t="shared" si="1"/>
        <v/>
      </c>
      <c r="AG31" s="15" t="str">
        <f>IF(OR(AF31="",AF31="ERRO_CHAVE"),"",IFERROR(MATCH(AF31,'quitado Despesa'!$V$1:$V$12,0),""))</f>
        <v/>
      </c>
      <c r="AH31" s="15" t="str">
        <f t="shared" si="2"/>
        <v/>
      </c>
      <c r="AI31" s="17" t="str">
        <f>IF(AG31="","",INDEX('quitado Despesa'!$G$1:$G$12,AG31))</f>
        <v/>
      </c>
      <c r="AJ31" s="17" t="str">
        <f t="shared" si="3"/>
        <v/>
      </c>
    </row>
    <row r="32" ht="14" spans="1:36">
      <c r="A32" s="15"/>
      <c r="B32" s="15"/>
      <c r="C32" s="15"/>
      <c r="D32" s="15"/>
      <c r="E32" s="15"/>
      <c r="F32" s="15"/>
      <c r="G32" s="15"/>
      <c r="H32" s="15"/>
      <c r="I32" s="15"/>
      <c r="J32" s="23"/>
      <c r="K32" s="23"/>
      <c r="L32" s="23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7"/>
      <c r="Y32" s="17"/>
      <c r="Z32" s="17"/>
      <c r="AA32" s="15"/>
      <c r="AE32" s="15" t="str">
        <f t="shared" si="0"/>
        <v/>
      </c>
      <c r="AF32" s="15" t="str">
        <f t="shared" si="1"/>
        <v/>
      </c>
      <c r="AG32" s="15" t="str">
        <f>IF(OR(AF32="",AF32="ERRO_CHAVE"),"",IFERROR(MATCH(AF32,'quitado Despesa'!$V$1:$V$12,0),""))</f>
        <v/>
      </c>
      <c r="AH32" s="15" t="str">
        <f t="shared" si="2"/>
        <v/>
      </c>
      <c r="AI32" s="17" t="str">
        <f>IF(AG32="","",INDEX('quitado Despesa'!$G$1:$G$12,AG32))</f>
        <v/>
      </c>
      <c r="AJ32" s="17" t="str">
        <f t="shared" si="3"/>
        <v/>
      </c>
    </row>
    <row r="33" ht="14" spans="1:36">
      <c r="A33" s="15"/>
      <c r="B33" s="15"/>
      <c r="C33" s="15"/>
      <c r="D33" s="15"/>
      <c r="E33" s="15"/>
      <c r="F33" s="15"/>
      <c r="G33" s="15"/>
      <c r="H33" s="15"/>
      <c r="I33" s="15"/>
      <c r="J33" s="23"/>
      <c r="K33" s="23"/>
      <c r="L33" s="23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7"/>
      <c r="Y33" s="17"/>
      <c r="Z33" s="17"/>
      <c r="AA33" s="15"/>
      <c r="AE33" s="15" t="str">
        <f t="shared" si="0"/>
        <v/>
      </c>
      <c r="AF33" s="15" t="str">
        <f t="shared" si="1"/>
        <v/>
      </c>
      <c r="AG33" s="15" t="str">
        <f>IF(OR(AF33="",AF33="ERRO_CHAVE"),"",IFERROR(MATCH(AF33,'quitado Despesa'!$V$1:$V$12,0),""))</f>
        <v/>
      </c>
      <c r="AH33" s="15" t="str">
        <f t="shared" si="2"/>
        <v/>
      </c>
      <c r="AI33" s="17" t="str">
        <f>IF(AG33="","",INDEX('quitado Despesa'!$G$1:$G$12,AG33))</f>
        <v/>
      </c>
      <c r="AJ33" s="17" t="str">
        <f t="shared" si="3"/>
        <v/>
      </c>
    </row>
    <row r="34" ht="14" spans="1:36">
      <c r="A34" s="15"/>
      <c r="B34" s="15"/>
      <c r="C34" s="15"/>
      <c r="D34" s="15"/>
      <c r="E34" s="15"/>
      <c r="F34" s="15"/>
      <c r="G34" s="15"/>
      <c r="H34" s="15"/>
      <c r="I34" s="15"/>
      <c r="J34" s="23"/>
      <c r="K34" s="23"/>
      <c r="L34" s="23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7"/>
      <c r="Y34" s="17"/>
      <c r="Z34" s="17"/>
      <c r="AA34" s="15"/>
      <c r="AE34" s="15" t="str">
        <f t="shared" si="0"/>
        <v/>
      </c>
      <c r="AF34" s="15" t="str">
        <f t="shared" si="1"/>
        <v/>
      </c>
      <c r="AG34" s="15" t="str">
        <f>IF(OR(AF34="",AF34="ERRO_CHAVE"),"",IFERROR(MATCH(AF34,'quitado Despesa'!$V$1:$V$12,0),""))</f>
        <v/>
      </c>
      <c r="AH34" s="15" t="str">
        <f t="shared" si="2"/>
        <v/>
      </c>
      <c r="AI34" s="17" t="str">
        <f>IF(AG34="","",INDEX('quitado Despesa'!$G$1:$G$12,AG34))</f>
        <v/>
      </c>
      <c r="AJ34" s="17" t="str">
        <f t="shared" si="3"/>
        <v/>
      </c>
    </row>
    <row r="35" ht="14" spans="1:36">
      <c r="A35" s="15"/>
      <c r="B35" s="15"/>
      <c r="C35" s="15"/>
      <c r="D35" s="15"/>
      <c r="E35" s="15"/>
      <c r="F35" s="15"/>
      <c r="G35" s="15"/>
      <c r="H35" s="15"/>
      <c r="I35" s="15"/>
      <c r="J35" s="23"/>
      <c r="K35" s="23"/>
      <c r="L35" s="23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7"/>
      <c r="Y35" s="17"/>
      <c r="Z35" s="17"/>
      <c r="AA35" s="15"/>
      <c r="AE35" s="15" t="str">
        <f t="shared" si="0"/>
        <v/>
      </c>
      <c r="AF35" s="15" t="str">
        <f t="shared" si="1"/>
        <v/>
      </c>
      <c r="AG35" s="15" t="str">
        <f>IF(OR(AF35="",AF35="ERRO_CHAVE"),"",IFERROR(MATCH(AF35,'quitado Despesa'!$V$1:$V$12,0),""))</f>
        <v/>
      </c>
      <c r="AH35" s="15" t="str">
        <f t="shared" si="2"/>
        <v/>
      </c>
      <c r="AI35" s="17" t="str">
        <f>IF(AG35="","",INDEX('quitado Despesa'!$G$1:$G$12,AG35))</f>
        <v/>
      </c>
      <c r="AJ35" s="17" t="str">
        <f t="shared" si="3"/>
        <v/>
      </c>
    </row>
    <row r="36" ht="14" spans="1:36">
      <c r="A36" s="15"/>
      <c r="B36" s="15"/>
      <c r="C36" s="15"/>
      <c r="D36" s="15"/>
      <c r="E36" s="15"/>
      <c r="F36" s="15"/>
      <c r="G36" s="15"/>
      <c r="H36" s="15"/>
      <c r="I36" s="15"/>
      <c r="J36" s="23"/>
      <c r="K36" s="23"/>
      <c r="L36" s="23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7"/>
      <c r="Y36" s="17"/>
      <c r="Z36" s="17"/>
      <c r="AA36" s="15"/>
      <c r="AE36" s="15" t="str">
        <f t="shared" si="0"/>
        <v/>
      </c>
      <c r="AF36" s="15" t="str">
        <f t="shared" si="1"/>
        <v/>
      </c>
      <c r="AG36" s="15" t="str">
        <f>IF(OR(AF36="",AF36="ERRO_CHAVE"),"",IFERROR(MATCH(AF36,'quitado Despesa'!$V$1:$V$12,0),""))</f>
        <v/>
      </c>
      <c r="AH36" s="15" t="str">
        <f t="shared" si="2"/>
        <v/>
      </c>
      <c r="AI36" s="17" t="str">
        <f>IF(AG36="","",INDEX('quitado Despesa'!$G$1:$G$12,AG36))</f>
        <v/>
      </c>
      <c r="AJ36" s="17" t="str">
        <f t="shared" si="3"/>
        <v/>
      </c>
    </row>
    <row r="37" ht="14" spans="1:36">
      <c r="A37" s="15"/>
      <c r="B37" s="15"/>
      <c r="C37" s="15"/>
      <c r="D37" s="15"/>
      <c r="E37" s="15"/>
      <c r="F37" s="15"/>
      <c r="G37" s="15"/>
      <c r="H37" s="15"/>
      <c r="I37" s="15"/>
      <c r="J37" s="23"/>
      <c r="K37" s="23"/>
      <c r="L37" s="23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7"/>
      <c r="Y37" s="17"/>
      <c r="Z37" s="17"/>
      <c r="AA37" s="15"/>
      <c r="AE37" s="15" t="str">
        <f t="shared" si="0"/>
        <v/>
      </c>
      <c r="AF37" s="15" t="str">
        <f t="shared" si="1"/>
        <v/>
      </c>
      <c r="AG37" s="15" t="str">
        <f>IF(OR(AF37="",AF37="ERRO_CHAVE"),"",IFERROR(MATCH(AF37,'quitado Despesa'!$V$1:$V$12,0),""))</f>
        <v/>
      </c>
      <c r="AH37" s="15" t="str">
        <f t="shared" si="2"/>
        <v/>
      </c>
      <c r="AI37" s="17" t="str">
        <f>IF(AG37="","",INDEX('quitado Despesa'!$G$1:$G$12,AG37))</f>
        <v/>
      </c>
      <c r="AJ37" s="17" t="str">
        <f t="shared" si="3"/>
        <v/>
      </c>
    </row>
    <row r="38" ht="14" spans="1:36">
      <c r="A38" s="15"/>
      <c r="B38" s="15"/>
      <c r="C38" s="15"/>
      <c r="D38" s="15"/>
      <c r="E38" s="15"/>
      <c r="F38" s="15"/>
      <c r="G38" s="15"/>
      <c r="H38" s="15"/>
      <c r="I38" s="15"/>
      <c r="J38" s="23"/>
      <c r="K38" s="23"/>
      <c r="L38" s="23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7"/>
      <c r="Y38" s="17"/>
      <c r="Z38" s="17"/>
      <c r="AA38" s="15"/>
      <c r="AE38" s="15" t="str">
        <f t="shared" si="0"/>
        <v/>
      </c>
      <c r="AF38" s="15" t="str">
        <f t="shared" si="1"/>
        <v/>
      </c>
      <c r="AG38" s="15" t="str">
        <f>IF(OR(AF38="",AF38="ERRO_CHAVE"),"",IFERROR(MATCH(AF38,'quitado Despesa'!$V$1:$V$12,0),""))</f>
        <v/>
      </c>
      <c r="AH38" s="15" t="str">
        <f t="shared" si="2"/>
        <v/>
      </c>
      <c r="AI38" s="17" t="str">
        <f>IF(AG38="","",INDEX('quitado Despesa'!$G$1:$G$12,AG38))</f>
        <v/>
      </c>
      <c r="AJ38" s="17" t="str">
        <f t="shared" si="3"/>
        <v/>
      </c>
    </row>
    <row r="39" ht="14" spans="1:36">
      <c r="A39" s="15"/>
      <c r="B39" s="15"/>
      <c r="C39" s="15"/>
      <c r="D39" s="15"/>
      <c r="E39" s="15"/>
      <c r="F39" s="15"/>
      <c r="G39" s="15"/>
      <c r="H39" s="15"/>
      <c r="I39" s="15"/>
      <c r="J39" s="23"/>
      <c r="K39" s="23"/>
      <c r="L39" s="23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7"/>
      <c r="Y39" s="17"/>
      <c r="Z39" s="17"/>
      <c r="AA39" s="15"/>
      <c r="AE39" s="15" t="str">
        <f t="shared" si="0"/>
        <v/>
      </c>
      <c r="AF39" s="15" t="str">
        <f t="shared" si="1"/>
        <v/>
      </c>
      <c r="AG39" s="15" t="str">
        <f>IF(OR(AF39="",AF39="ERRO_CHAVE"),"",IFERROR(MATCH(AF39,'quitado Despesa'!$V$1:$V$12,0),""))</f>
        <v/>
      </c>
      <c r="AH39" s="15" t="str">
        <f t="shared" si="2"/>
        <v/>
      </c>
      <c r="AI39" s="17" t="str">
        <f>IF(AG39="","",INDEX('quitado Despesa'!$G$1:$G$12,AG39))</f>
        <v/>
      </c>
      <c r="AJ39" s="17" t="str">
        <f t="shared" si="3"/>
        <v/>
      </c>
    </row>
    <row r="40" ht="14" spans="1:36">
      <c r="A40" s="15"/>
      <c r="B40" s="15"/>
      <c r="C40" s="15"/>
      <c r="D40" s="15"/>
      <c r="E40" s="15"/>
      <c r="F40" s="15"/>
      <c r="G40" s="15"/>
      <c r="H40" s="15"/>
      <c r="I40" s="15"/>
      <c r="J40" s="23"/>
      <c r="K40" s="23"/>
      <c r="L40" s="23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7"/>
      <c r="Y40" s="17"/>
      <c r="Z40" s="17"/>
      <c r="AA40" s="15"/>
      <c r="AE40" s="15" t="str">
        <f t="shared" si="0"/>
        <v/>
      </c>
      <c r="AF40" s="15" t="str">
        <f t="shared" si="1"/>
        <v/>
      </c>
      <c r="AG40" s="15" t="str">
        <f>IF(OR(AF40="",AF40="ERRO_CHAVE"),"",IFERROR(MATCH(AF40,'quitado Despesa'!$V$1:$V$12,0),""))</f>
        <v/>
      </c>
      <c r="AH40" s="15" t="str">
        <f t="shared" si="2"/>
        <v/>
      </c>
      <c r="AI40" s="17" t="str">
        <f>IF(AG40="","",INDEX('quitado Despesa'!$G$1:$G$12,AG40))</f>
        <v/>
      </c>
      <c r="AJ40" s="17" t="str">
        <f t="shared" si="3"/>
        <v/>
      </c>
    </row>
    <row r="41" ht="14" spans="1:36">
      <c r="A41" s="15"/>
      <c r="B41" s="15"/>
      <c r="C41" s="15"/>
      <c r="D41" s="15"/>
      <c r="E41" s="15"/>
      <c r="F41" s="15"/>
      <c r="G41" s="15"/>
      <c r="H41" s="15"/>
      <c r="I41" s="15"/>
      <c r="J41" s="23"/>
      <c r="K41" s="23"/>
      <c r="L41" s="23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7"/>
      <c r="Y41" s="17"/>
      <c r="Z41" s="17"/>
      <c r="AA41" s="15"/>
      <c r="AE41" s="15" t="str">
        <f t="shared" si="0"/>
        <v/>
      </c>
      <c r="AF41" s="15" t="str">
        <f t="shared" si="1"/>
        <v/>
      </c>
      <c r="AG41" s="15" t="str">
        <f>IF(OR(AF41="",AF41="ERRO_CHAVE"),"",IFERROR(MATCH(AF41,'quitado Despesa'!$V$1:$V$12,0),""))</f>
        <v/>
      </c>
      <c r="AH41" s="15" t="str">
        <f t="shared" si="2"/>
        <v/>
      </c>
      <c r="AI41" s="17" t="str">
        <f>IF(AG41="","",INDEX('quitado Despesa'!$G$1:$G$12,AG41))</f>
        <v/>
      </c>
      <c r="AJ41" s="17" t="str">
        <f t="shared" si="3"/>
        <v/>
      </c>
    </row>
    <row r="42" ht="14" spans="1:36">
      <c r="A42" s="15"/>
      <c r="B42" s="15"/>
      <c r="C42" s="15"/>
      <c r="D42" s="15"/>
      <c r="E42" s="15"/>
      <c r="F42" s="15"/>
      <c r="G42" s="15"/>
      <c r="H42" s="15"/>
      <c r="I42" s="15"/>
      <c r="J42" s="23"/>
      <c r="K42" s="23"/>
      <c r="L42" s="23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7"/>
      <c r="Y42" s="17"/>
      <c r="Z42" s="17"/>
      <c r="AA42" s="15"/>
      <c r="AE42" s="15" t="str">
        <f t="shared" si="0"/>
        <v/>
      </c>
      <c r="AF42" s="15" t="str">
        <f t="shared" si="1"/>
        <v/>
      </c>
      <c r="AG42" s="15" t="str">
        <f>IF(OR(AF42="",AF42="ERRO_CHAVE"),"",IFERROR(MATCH(AF42,'quitado Despesa'!$V$1:$V$12,0),""))</f>
        <v/>
      </c>
      <c r="AH42" s="15" t="str">
        <f t="shared" si="2"/>
        <v/>
      </c>
      <c r="AI42" s="17" t="str">
        <f>IF(AG42="","",INDEX('quitado Despesa'!$G$1:$G$12,AG42))</f>
        <v/>
      </c>
      <c r="AJ42" s="17" t="str">
        <f t="shared" si="3"/>
        <v/>
      </c>
    </row>
    <row r="43" ht="14" spans="1:36">
      <c r="A43" s="15"/>
      <c r="B43" s="15"/>
      <c r="C43" s="15"/>
      <c r="D43" s="15"/>
      <c r="E43" s="15"/>
      <c r="F43" s="15"/>
      <c r="G43" s="15"/>
      <c r="H43" s="15"/>
      <c r="I43" s="15"/>
      <c r="J43" s="23"/>
      <c r="K43" s="23"/>
      <c r="L43" s="23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7"/>
      <c r="Y43" s="17"/>
      <c r="Z43" s="17"/>
      <c r="AA43" s="15"/>
      <c r="AE43" s="15" t="str">
        <f t="shared" si="0"/>
        <v/>
      </c>
      <c r="AF43" s="15" t="str">
        <f t="shared" si="1"/>
        <v/>
      </c>
      <c r="AG43" s="15" t="str">
        <f>IF(OR(AF43="",AF43="ERRO_CHAVE"),"",IFERROR(MATCH(AF43,'quitado Despesa'!$V$1:$V$12,0),""))</f>
        <v/>
      </c>
      <c r="AH43" s="15" t="str">
        <f t="shared" si="2"/>
        <v/>
      </c>
      <c r="AI43" s="17" t="str">
        <f>IF(AG43="","",INDEX('quitado Despesa'!$G$1:$G$12,AG43))</f>
        <v/>
      </c>
      <c r="AJ43" s="17" t="str">
        <f t="shared" si="3"/>
        <v/>
      </c>
    </row>
    <row r="44" ht="14" spans="1:36">
      <c r="A44" s="15"/>
      <c r="B44" s="15"/>
      <c r="C44" s="15"/>
      <c r="D44" s="15"/>
      <c r="E44" s="15"/>
      <c r="F44" s="15"/>
      <c r="G44" s="15"/>
      <c r="H44" s="15"/>
      <c r="I44" s="15"/>
      <c r="J44" s="23"/>
      <c r="K44" s="23"/>
      <c r="L44" s="23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7"/>
      <c r="Y44" s="17"/>
      <c r="Z44" s="17"/>
      <c r="AA44" s="15"/>
      <c r="AE44" s="15" t="str">
        <f t="shared" si="0"/>
        <v/>
      </c>
      <c r="AF44" s="15" t="str">
        <f t="shared" si="1"/>
        <v/>
      </c>
      <c r="AG44" s="15" t="str">
        <f>IF(OR(AF44="",AF44="ERRO_CHAVE"),"",IFERROR(MATCH(AF44,'quitado Despesa'!$V$1:$V$12,0),""))</f>
        <v/>
      </c>
      <c r="AH44" s="15" t="str">
        <f t="shared" si="2"/>
        <v/>
      </c>
      <c r="AI44" s="17" t="str">
        <f>IF(AG44="","",INDEX('quitado Despesa'!$G$1:$G$12,AG44))</f>
        <v/>
      </c>
      <c r="AJ44" s="17" t="str">
        <f t="shared" si="3"/>
        <v/>
      </c>
    </row>
    <row r="45" ht="14" spans="1:36">
      <c r="A45" s="15"/>
      <c r="B45" s="15"/>
      <c r="C45" s="15"/>
      <c r="D45" s="15"/>
      <c r="E45" s="15"/>
      <c r="F45" s="15"/>
      <c r="G45" s="15"/>
      <c r="H45" s="15"/>
      <c r="I45" s="15"/>
      <c r="J45" s="23"/>
      <c r="K45" s="23"/>
      <c r="L45" s="23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7"/>
      <c r="Y45" s="17"/>
      <c r="Z45" s="17"/>
      <c r="AA45" s="15"/>
      <c r="AE45" s="15" t="str">
        <f t="shared" si="0"/>
        <v/>
      </c>
      <c r="AF45" s="15" t="str">
        <f t="shared" si="1"/>
        <v/>
      </c>
      <c r="AG45" s="15" t="str">
        <f>IF(OR(AF45="",AF45="ERRO_CHAVE"),"",IFERROR(MATCH(AF45,'quitado Despesa'!$V$1:$V$12,0),""))</f>
        <v/>
      </c>
      <c r="AH45" s="15" t="str">
        <f t="shared" si="2"/>
        <v/>
      </c>
      <c r="AI45" s="17" t="str">
        <f>IF(AG45="","",INDEX('quitado Despesa'!$G$1:$G$12,AG45))</f>
        <v/>
      </c>
      <c r="AJ45" s="17" t="str">
        <f t="shared" si="3"/>
        <v/>
      </c>
    </row>
    <row r="46" ht="14" spans="1:36">
      <c r="A46" s="15"/>
      <c r="B46" s="15"/>
      <c r="C46" s="15"/>
      <c r="D46" s="15"/>
      <c r="E46" s="15"/>
      <c r="F46" s="15"/>
      <c r="G46" s="15"/>
      <c r="H46" s="15"/>
      <c r="I46" s="15"/>
      <c r="J46" s="23"/>
      <c r="K46" s="23"/>
      <c r="L46" s="23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7"/>
      <c r="Y46" s="17"/>
      <c r="Z46" s="17"/>
      <c r="AA46" s="15"/>
      <c r="AE46" s="15" t="str">
        <f t="shared" si="0"/>
        <v/>
      </c>
      <c r="AF46" s="15" t="str">
        <f t="shared" si="1"/>
        <v/>
      </c>
      <c r="AG46" s="15" t="str">
        <f>IF(OR(AF46="",AF46="ERRO_CHAVE"),"",IFERROR(MATCH(AF46,'quitado Despesa'!$V$1:$V$12,0),""))</f>
        <v/>
      </c>
      <c r="AH46" s="15" t="str">
        <f t="shared" si="2"/>
        <v/>
      </c>
      <c r="AI46" s="17" t="str">
        <f>IF(AG46="","",INDEX('quitado Despesa'!$G$1:$G$12,AG46))</f>
        <v/>
      </c>
      <c r="AJ46" s="17" t="str">
        <f t="shared" si="3"/>
        <v/>
      </c>
    </row>
    <row r="47" ht="14" spans="1:36">
      <c r="A47" s="15"/>
      <c r="B47" s="15"/>
      <c r="C47" s="15"/>
      <c r="D47" s="15"/>
      <c r="E47" s="15"/>
      <c r="F47" s="15"/>
      <c r="G47" s="15"/>
      <c r="H47" s="15"/>
      <c r="I47" s="15"/>
      <c r="J47" s="23"/>
      <c r="K47" s="23"/>
      <c r="L47" s="23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7"/>
      <c r="Y47" s="17"/>
      <c r="Z47" s="17"/>
      <c r="AA47" s="15"/>
      <c r="AE47" s="15" t="str">
        <f t="shared" si="0"/>
        <v/>
      </c>
      <c r="AF47" s="15" t="str">
        <f t="shared" si="1"/>
        <v/>
      </c>
      <c r="AG47" s="15" t="str">
        <f>IF(OR(AF47="",AF47="ERRO_CHAVE"),"",IFERROR(MATCH(AF47,'quitado Despesa'!$V$1:$V$12,0),""))</f>
        <v/>
      </c>
      <c r="AH47" s="15" t="str">
        <f t="shared" si="2"/>
        <v/>
      </c>
      <c r="AI47" s="17" t="str">
        <f>IF(AG47="","",INDEX('quitado Despesa'!$G$1:$G$12,AG47))</f>
        <v/>
      </c>
      <c r="AJ47" s="17" t="str">
        <f t="shared" si="3"/>
        <v/>
      </c>
    </row>
    <row r="48" ht="14" spans="1:36">
      <c r="A48" s="15"/>
      <c r="B48" s="15"/>
      <c r="C48" s="15"/>
      <c r="D48" s="15"/>
      <c r="E48" s="15"/>
      <c r="F48" s="15"/>
      <c r="G48" s="15"/>
      <c r="H48" s="15"/>
      <c r="I48" s="15"/>
      <c r="J48" s="23"/>
      <c r="K48" s="23"/>
      <c r="L48" s="23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7"/>
      <c r="Y48" s="17"/>
      <c r="Z48" s="17"/>
      <c r="AA48" s="15"/>
      <c r="AE48" s="15" t="str">
        <f t="shared" si="0"/>
        <v/>
      </c>
      <c r="AF48" s="15" t="str">
        <f t="shared" si="1"/>
        <v/>
      </c>
      <c r="AG48" s="15" t="str">
        <f>IF(OR(AF48="",AF48="ERRO_CHAVE"),"",IFERROR(MATCH(AF48,'quitado Despesa'!$V$1:$V$12,0),""))</f>
        <v/>
      </c>
      <c r="AH48" s="15" t="str">
        <f t="shared" si="2"/>
        <v/>
      </c>
      <c r="AI48" s="17" t="str">
        <f>IF(AG48="","",INDEX('quitado Despesa'!$G$1:$G$12,AG48))</f>
        <v/>
      </c>
      <c r="AJ48" s="17" t="str">
        <f t="shared" si="3"/>
        <v/>
      </c>
    </row>
    <row r="49" ht="14" spans="1:36">
      <c r="A49" s="15"/>
      <c r="B49" s="15"/>
      <c r="C49" s="15"/>
      <c r="D49" s="15"/>
      <c r="E49" s="15"/>
      <c r="F49" s="15"/>
      <c r="G49" s="15"/>
      <c r="H49" s="15"/>
      <c r="I49" s="15"/>
      <c r="J49" s="23"/>
      <c r="K49" s="23"/>
      <c r="L49" s="23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7"/>
      <c r="Y49" s="17"/>
      <c r="Z49" s="17"/>
      <c r="AA49" s="15"/>
      <c r="AE49" s="15" t="str">
        <f t="shared" si="0"/>
        <v/>
      </c>
      <c r="AF49" s="15" t="str">
        <f t="shared" si="1"/>
        <v/>
      </c>
      <c r="AG49" s="15" t="str">
        <f>IF(OR(AF49="",AF49="ERRO_CHAVE"),"",IFERROR(MATCH(AF49,'quitado Despesa'!$V$1:$V$12,0),""))</f>
        <v/>
      </c>
      <c r="AH49" s="15" t="str">
        <f t="shared" si="2"/>
        <v/>
      </c>
      <c r="AI49" s="17" t="str">
        <f>IF(AG49="","",INDEX('quitado Despesa'!$G$1:$G$12,AG49))</f>
        <v/>
      </c>
      <c r="AJ49" s="17" t="str">
        <f t="shared" si="3"/>
        <v/>
      </c>
    </row>
    <row r="50" ht="14" spans="1:36">
      <c r="A50" s="15"/>
      <c r="B50" s="15"/>
      <c r="C50" s="15"/>
      <c r="D50" s="15"/>
      <c r="E50" s="15"/>
      <c r="F50" s="15"/>
      <c r="G50" s="15"/>
      <c r="H50" s="15"/>
      <c r="I50" s="15"/>
      <c r="J50" s="23"/>
      <c r="K50" s="23"/>
      <c r="L50" s="23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7"/>
      <c r="Y50" s="17"/>
      <c r="Z50" s="17"/>
      <c r="AA50" s="15"/>
      <c r="AE50" s="15" t="str">
        <f t="shared" si="0"/>
        <v/>
      </c>
      <c r="AF50" s="15" t="str">
        <f t="shared" si="1"/>
        <v/>
      </c>
      <c r="AG50" s="15" t="str">
        <f>IF(OR(AF50="",AF50="ERRO_CHAVE"),"",IFERROR(MATCH(AF50,'quitado Despesa'!$V$1:$V$12,0),""))</f>
        <v/>
      </c>
      <c r="AH50" s="15" t="str">
        <f t="shared" si="2"/>
        <v/>
      </c>
      <c r="AI50" s="17" t="str">
        <f>IF(AG50="","",INDEX('quitado Despesa'!$G$1:$G$12,AG50))</f>
        <v/>
      </c>
      <c r="AJ50" s="17" t="str">
        <f t="shared" si="3"/>
        <v/>
      </c>
    </row>
    <row r="51" ht="14" spans="1:36">
      <c r="A51" s="15"/>
      <c r="B51" s="15"/>
      <c r="C51" s="15"/>
      <c r="D51" s="15"/>
      <c r="E51" s="15"/>
      <c r="F51" s="15"/>
      <c r="G51" s="15"/>
      <c r="H51" s="15"/>
      <c r="I51" s="15"/>
      <c r="J51" s="23"/>
      <c r="K51" s="23"/>
      <c r="L51" s="23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7"/>
      <c r="Y51" s="17"/>
      <c r="Z51" s="17"/>
      <c r="AA51" s="15"/>
      <c r="AE51" s="15" t="str">
        <f t="shared" si="0"/>
        <v/>
      </c>
      <c r="AF51" s="15" t="str">
        <f t="shared" si="1"/>
        <v/>
      </c>
      <c r="AG51" s="15" t="str">
        <f>IF(OR(AF51="",AF51="ERRO_CHAVE"),"",IFERROR(MATCH(AF51,'quitado Despesa'!$V$1:$V$12,0),""))</f>
        <v/>
      </c>
      <c r="AH51" s="15" t="str">
        <f t="shared" si="2"/>
        <v/>
      </c>
      <c r="AI51" s="17" t="str">
        <f>IF(AG51="","",INDEX('quitado Despesa'!$G$1:$G$12,AG51))</f>
        <v/>
      </c>
      <c r="AJ51" s="17" t="str">
        <f t="shared" si="3"/>
        <v/>
      </c>
    </row>
    <row r="52" ht="14" spans="1:36">
      <c r="A52" s="15"/>
      <c r="B52" s="15"/>
      <c r="C52" s="15"/>
      <c r="D52" s="15"/>
      <c r="E52" s="15"/>
      <c r="F52" s="15"/>
      <c r="G52" s="15"/>
      <c r="H52" s="15"/>
      <c r="I52" s="15"/>
      <c r="J52" s="23"/>
      <c r="K52" s="23"/>
      <c r="L52" s="23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7"/>
      <c r="Y52" s="17"/>
      <c r="Z52" s="17"/>
      <c r="AA52" s="15"/>
      <c r="AE52" s="15" t="str">
        <f t="shared" si="0"/>
        <v/>
      </c>
      <c r="AF52" s="15" t="str">
        <f t="shared" si="1"/>
        <v/>
      </c>
      <c r="AG52" s="15" t="str">
        <f>IF(OR(AF52="",AF52="ERRO_CHAVE"),"",IFERROR(MATCH(AF52,'quitado Despesa'!$V$1:$V$12,0),""))</f>
        <v/>
      </c>
      <c r="AH52" s="15" t="str">
        <f t="shared" si="2"/>
        <v/>
      </c>
      <c r="AI52" s="17" t="str">
        <f>IF(AG52="","",INDEX('quitado Despesa'!$G$1:$G$12,AG52))</f>
        <v/>
      </c>
      <c r="AJ52" s="17" t="str">
        <f t="shared" si="3"/>
        <v/>
      </c>
    </row>
    <row r="53" ht="14" spans="1:36">
      <c r="A53" s="15"/>
      <c r="B53" s="15"/>
      <c r="C53" s="15"/>
      <c r="D53" s="15"/>
      <c r="E53" s="15"/>
      <c r="F53" s="15"/>
      <c r="G53" s="15"/>
      <c r="H53" s="15"/>
      <c r="I53" s="15"/>
      <c r="J53" s="23"/>
      <c r="K53" s="23"/>
      <c r="L53" s="23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7"/>
      <c r="Y53" s="17"/>
      <c r="Z53" s="17"/>
      <c r="AA53" s="15"/>
      <c r="AE53" s="15" t="str">
        <f t="shared" si="0"/>
        <v/>
      </c>
      <c r="AF53" s="15" t="str">
        <f t="shared" si="1"/>
        <v/>
      </c>
      <c r="AG53" s="15" t="str">
        <f>IF(OR(AF53="",AF53="ERRO_CHAVE"),"",IFERROR(MATCH(AF53,'quitado Despesa'!$V$1:$V$12,0),""))</f>
        <v/>
      </c>
      <c r="AH53" s="15" t="str">
        <f t="shared" si="2"/>
        <v/>
      </c>
      <c r="AI53" s="17" t="str">
        <f>IF(AG53="","",INDEX('quitado Despesa'!$G$1:$G$12,AG53))</f>
        <v/>
      </c>
      <c r="AJ53" s="17" t="str">
        <f t="shared" si="3"/>
        <v/>
      </c>
    </row>
    <row r="54" ht="14" spans="1:36">
      <c r="A54" s="15"/>
      <c r="B54" s="15"/>
      <c r="C54" s="15"/>
      <c r="D54" s="15"/>
      <c r="E54" s="15"/>
      <c r="F54" s="15"/>
      <c r="G54" s="15"/>
      <c r="H54" s="15"/>
      <c r="I54" s="15"/>
      <c r="J54" s="23"/>
      <c r="K54" s="23"/>
      <c r="L54" s="23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7"/>
      <c r="Y54" s="17"/>
      <c r="Z54" s="17"/>
      <c r="AA54" s="15"/>
      <c r="AE54" s="15" t="str">
        <f t="shared" si="0"/>
        <v/>
      </c>
      <c r="AF54" s="15" t="str">
        <f t="shared" si="1"/>
        <v/>
      </c>
      <c r="AG54" s="15" t="str">
        <f>IF(OR(AF54="",AF54="ERRO_CHAVE"),"",IFERROR(MATCH(AF54,'quitado Despesa'!$V$1:$V$12,0),""))</f>
        <v/>
      </c>
      <c r="AH54" s="15" t="str">
        <f t="shared" si="2"/>
        <v/>
      </c>
      <c r="AI54" s="17" t="str">
        <f>IF(AG54="","",INDEX('quitado Despesa'!$G$1:$G$12,AG54))</f>
        <v/>
      </c>
      <c r="AJ54" s="17" t="str">
        <f t="shared" si="3"/>
        <v/>
      </c>
    </row>
    <row r="55" ht="14" spans="1:36">
      <c r="A55" s="15"/>
      <c r="B55" s="15"/>
      <c r="C55" s="15"/>
      <c r="D55" s="15"/>
      <c r="E55" s="15"/>
      <c r="F55" s="15"/>
      <c r="G55" s="15"/>
      <c r="H55" s="15"/>
      <c r="I55" s="15"/>
      <c r="J55" s="23"/>
      <c r="K55" s="23"/>
      <c r="L55" s="23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7"/>
      <c r="Y55" s="17"/>
      <c r="Z55" s="17"/>
      <c r="AA55" s="15"/>
      <c r="AE55" s="15" t="str">
        <f t="shared" si="0"/>
        <v/>
      </c>
      <c r="AF55" s="15" t="str">
        <f t="shared" si="1"/>
        <v/>
      </c>
      <c r="AG55" s="15" t="str">
        <f>IF(OR(AF55="",AF55="ERRO_CHAVE"),"",IFERROR(MATCH(AF55,'quitado Despesa'!$V$1:$V$12,0),""))</f>
        <v/>
      </c>
      <c r="AH55" s="15" t="str">
        <f t="shared" si="2"/>
        <v/>
      </c>
      <c r="AI55" s="17" t="str">
        <f>IF(AG55="","",INDEX('quitado Despesa'!$G$1:$G$12,AG55))</f>
        <v/>
      </c>
      <c r="AJ55" s="17" t="str">
        <f t="shared" si="3"/>
        <v/>
      </c>
    </row>
    <row r="56" ht="14" spans="1:36">
      <c r="A56" s="15"/>
      <c r="B56" s="15"/>
      <c r="C56" s="15"/>
      <c r="D56" s="15"/>
      <c r="E56" s="15"/>
      <c r="F56" s="15"/>
      <c r="G56" s="15"/>
      <c r="H56" s="15"/>
      <c r="I56" s="15"/>
      <c r="J56" s="23"/>
      <c r="K56" s="23"/>
      <c r="L56" s="23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7"/>
      <c r="Y56" s="17"/>
      <c r="Z56" s="17"/>
      <c r="AA56" s="15"/>
      <c r="AE56" s="15" t="str">
        <f t="shared" si="0"/>
        <v/>
      </c>
      <c r="AF56" s="15" t="str">
        <f t="shared" si="1"/>
        <v/>
      </c>
      <c r="AG56" s="15" t="str">
        <f>IF(OR(AF56="",AF56="ERRO_CHAVE"),"",IFERROR(MATCH(AF56,'quitado Despesa'!$V$1:$V$12,0),""))</f>
        <v/>
      </c>
      <c r="AH56" s="15" t="str">
        <f t="shared" si="2"/>
        <v/>
      </c>
      <c r="AI56" s="17" t="str">
        <f>IF(AG56="","",INDEX('quitado Despesa'!$G$1:$G$12,AG56))</f>
        <v/>
      </c>
      <c r="AJ56" s="17" t="str">
        <f t="shared" si="3"/>
        <v/>
      </c>
    </row>
    <row r="57" ht="14" spans="1:36">
      <c r="A57" s="15"/>
      <c r="B57" s="15"/>
      <c r="C57" s="15"/>
      <c r="D57" s="15"/>
      <c r="E57" s="15"/>
      <c r="F57" s="15"/>
      <c r="G57" s="15"/>
      <c r="H57" s="15"/>
      <c r="I57" s="15"/>
      <c r="J57" s="23"/>
      <c r="K57" s="23"/>
      <c r="L57" s="23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7"/>
      <c r="Y57" s="17"/>
      <c r="Z57" s="17"/>
      <c r="AA57" s="15"/>
      <c r="AE57" s="15" t="str">
        <f t="shared" si="0"/>
        <v/>
      </c>
      <c r="AF57" s="15" t="str">
        <f t="shared" si="1"/>
        <v/>
      </c>
      <c r="AG57" s="15" t="str">
        <f>IF(OR(AF57="",AF57="ERRO_CHAVE"),"",IFERROR(MATCH(AF57,'quitado Despesa'!$V$1:$V$12,0),""))</f>
        <v/>
      </c>
      <c r="AH57" s="15" t="str">
        <f t="shared" si="2"/>
        <v/>
      </c>
      <c r="AI57" s="17" t="str">
        <f>IF(AG57="","",INDEX('quitado Despesa'!$G$1:$G$12,AG57))</f>
        <v/>
      </c>
      <c r="AJ57" s="17" t="str">
        <f t="shared" si="3"/>
        <v/>
      </c>
    </row>
    <row r="58" ht="14" spans="1:36">
      <c r="A58" s="15"/>
      <c r="B58" s="15"/>
      <c r="C58" s="15"/>
      <c r="D58" s="15"/>
      <c r="E58" s="15"/>
      <c r="F58" s="15"/>
      <c r="G58" s="15"/>
      <c r="H58" s="15"/>
      <c r="I58" s="15"/>
      <c r="J58" s="23"/>
      <c r="K58" s="23"/>
      <c r="L58" s="23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7"/>
      <c r="Y58" s="17"/>
      <c r="Z58" s="17"/>
      <c r="AA58" s="15"/>
      <c r="AE58" s="15" t="str">
        <f t="shared" si="0"/>
        <v/>
      </c>
      <c r="AF58" s="15" t="str">
        <f t="shared" si="1"/>
        <v/>
      </c>
      <c r="AG58" s="15" t="str">
        <f>IF(OR(AF58="",AF58="ERRO_CHAVE"),"",IFERROR(MATCH(AF58,'quitado Despesa'!$V$1:$V$12,0),""))</f>
        <v/>
      </c>
      <c r="AH58" s="15" t="str">
        <f t="shared" si="2"/>
        <v/>
      </c>
      <c r="AI58" s="17" t="str">
        <f>IF(AG58="","",INDEX('quitado Despesa'!$G$1:$G$12,AG58))</f>
        <v/>
      </c>
      <c r="AJ58" s="17" t="str">
        <f t="shared" si="3"/>
        <v/>
      </c>
    </row>
    <row r="59" ht="14" spans="1:36">
      <c r="A59" s="15"/>
      <c r="B59" s="15"/>
      <c r="C59" s="15"/>
      <c r="D59" s="15"/>
      <c r="E59" s="15"/>
      <c r="F59" s="15"/>
      <c r="G59" s="15"/>
      <c r="H59" s="15"/>
      <c r="I59" s="15"/>
      <c r="J59" s="23"/>
      <c r="K59" s="23"/>
      <c r="L59" s="23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7"/>
      <c r="Y59" s="17"/>
      <c r="Z59" s="17"/>
      <c r="AA59" s="15"/>
      <c r="AE59" s="15" t="str">
        <f t="shared" si="0"/>
        <v/>
      </c>
      <c r="AF59" s="15" t="str">
        <f t="shared" si="1"/>
        <v/>
      </c>
      <c r="AG59" s="15" t="str">
        <f>IF(OR(AF59="",AF59="ERRO_CHAVE"),"",IFERROR(MATCH(AF59,'quitado Despesa'!$V$1:$V$12,0),""))</f>
        <v/>
      </c>
      <c r="AH59" s="15" t="str">
        <f t="shared" si="2"/>
        <v/>
      </c>
      <c r="AI59" s="17" t="str">
        <f>IF(AG59="","",INDEX('quitado Despesa'!$G$1:$G$12,AG59))</f>
        <v/>
      </c>
      <c r="AJ59" s="17" t="str">
        <f t="shared" si="3"/>
        <v/>
      </c>
    </row>
    <row r="60" ht="14" spans="1:36">
      <c r="A60" s="15"/>
      <c r="B60" s="15"/>
      <c r="C60" s="15"/>
      <c r="D60" s="15"/>
      <c r="E60" s="15"/>
      <c r="F60" s="15"/>
      <c r="G60" s="15"/>
      <c r="H60" s="15"/>
      <c r="I60" s="15"/>
      <c r="J60" s="23"/>
      <c r="K60" s="23"/>
      <c r="L60" s="23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7"/>
      <c r="Y60" s="17"/>
      <c r="Z60" s="17"/>
      <c r="AA60" s="15"/>
      <c r="AE60" s="15" t="str">
        <f t="shared" si="0"/>
        <v/>
      </c>
      <c r="AF60" s="15" t="str">
        <f t="shared" si="1"/>
        <v/>
      </c>
      <c r="AG60" s="15" t="str">
        <f>IF(OR(AF60="",AF60="ERRO_CHAVE"),"",IFERROR(MATCH(AF60,'quitado Despesa'!$V$1:$V$12,0),""))</f>
        <v/>
      </c>
      <c r="AH60" s="15" t="str">
        <f t="shared" si="2"/>
        <v/>
      </c>
      <c r="AI60" s="17" t="str">
        <f>IF(AG60="","",INDEX('quitado Despesa'!$G$1:$G$12,AG60))</f>
        <v/>
      </c>
      <c r="AJ60" s="17" t="str">
        <f t="shared" si="3"/>
        <v/>
      </c>
    </row>
    <row r="61" ht="14" spans="1:36">
      <c r="A61" s="15"/>
      <c r="B61" s="15"/>
      <c r="C61" s="15"/>
      <c r="D61" s="15"/>
      <c r="E61" s="15"/>
      <c r="F61" s="15"/>
      <c r="G61" s="15"/>
      <c r="H61" s="15"/>
      <c r="I61" s="15"/>
      <c r="J61" s="23"/>
      <c r="K61" s="23"/>
      <c r="L61" s="23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7"/>
      <c r="Y61" s="17"/>
      <c r="Z61" s="17"/>
      <c r="AA61" s="15"/>
      <c r="AE61" s="15" t="str">
        <f t="shared" si="0"/>
        <v/>
      </c>
      <c r="AF61" s="15" t="str">
        <f t="shared" si="1"/>
        <v/>
      </c>
      <c r="AG61" s="15" t="str">
        <f>IF(OR(AF61="",AF61="ERRO_CHAVE"),"",IFERROR(MATCH(AF61,'quitado Despesa'!$V$1:$V$12,0),""))</f>
        <v/>
      </c>
      <c r="AH61" s="15" t="str">
        <f t="shared" si="2"/>
        <v/>
      </c>
      <c r="AI61" s="17" t="str">
        <f>IF(AG61="","",INDEX('quitado Despesa'!$G$1:$G$12,AG61))</f>
        <v/>
      </c>
      <c r="AJ61" s="17" t="str">
        <f t="shared" si="3"/>
        <v/>
      </c>
    </row>
    <row r="62" ht="14" spans="1:36">
      <c r="A62" s="15"/>
      <c r="B62" s="15"/>
      <c r="C62" s="15"/>
      <c r="D62" s="15"/>
      <c r="E62" s="15"/>
      <c r="F62" s="15"/>
      <c r="G62" s="15"/>
      <c r="H62" s="15"/>
      <c r="I62" s="15"/>
      <c r="J62" s="23"/>
      <c r="K62" s="23"/>
      <c r="L62" s="23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7"/>
      <c r="Y62" s="17"/>
      <c r="Z62" s="17"/>
      <c r="AA62" s="15"/>
      <c r="AE62" s="15" t="str">
        <f t="shared" si="0"/>
        <v/>
      </c>
      <c r="AF62" s="15" t="str">
        <f t="shared" si="1"/>
        <v/>
      </c>
      <c r="AG62" s="15" t="str">
        <f>IF(OR(AF62="",AF62="ERRO_CHAVE"),"",IFERROR(MATCH(AF62,'quitado Despesa'!$V$1:$V$12,0),""))</f>
        <v/>
      </c>
      <c r="AH62" s="15" t="str">
        <f t="shared" si="2"/>
        <v/>
      </c>
      <c r="AI62" s="17" t="str">
        <f>IF(AG62="","",INDEX('quitado Despesa'!$G$1:$G$12,AG62))</f>
        <v/>
      </c>
      <c r="AJ62" s="17" t="str">
        <f t="shared" si="3"/>
        <v/>
      </c>
    </row>
    <row r="63" ht="14" spans="1:36">
      <c r="A63" s="15"/>
      <c r="B63" s="15"/>
      <c r="C63" s="15"/>
      <c r="D63" s="15"/>
      <c r="E63" s="15"/>
      <c r="F63" s="15"/>
      <c r="G63" s="15"/>
      <c r="H63" s="15"/>
      <c r="I63" s="15"/>
      <c r="J63" s="23"/>
      <c r="K63" s="23"/>
      <c r="L63" s="23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7"/>
      <c r="Y63" s="17"/>
      <c r="Z63" s="17"/>
      <c r="AA63" s="15"/>
      <c r="AE63" s="15" t="str">
        <f t="shared" si="0"/>
        <v/>
      </c>
      <c r="AF63" s="15" t="str">
        <f t="shared" si="1"/>
        <v/>
      </c>
      <c r="AG63" s="15" t="str">
        <f>IF(OR(AF63="",AF63="ERRO_CHAVE"),"",IFERROR(MATCH(AF63,'quitado Despesa'!$V$1:$V$12,0),""))</f>
        <v/>
      </c>
      <c r="AH63" s="15" t="str">
        <f t="shared" si="2"/>
        <v/>
      </c>
      <c r="AI63" s="17" t="str">
        <f>IF(AG63="","",INDEX('quitado Despesa'!$G$1:$G$12,AG63))</f>
        <v/>
      </c>
      <c r="AJ63" s="17" t="str">
        <f t="shared" si="3"/>
        <v/>
      </c>
    </row>
    <row r="64" ht="14" spans="1:36">
      <c r="A64" s="15"/>
      <c r="B64" s="15"/>
      <c r="C64" s="15"/>
      <c r="D64" s="15"/>
      <c r="E64" s="15"/>
      <c r="F64" s="15"/>
      <c r="G64" s="15"/>
      <c r="H64" s="15"/>
      <c r="I64" s="15"/>
      <c r="J64" s="23"/>
      <c r="K64" s="23"/>
      <c r="L64" s="23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7"/>
      <c r="Y64" s="17"/>
      <c r="Z64" s="17"/>
      <c r="AA64" s="15"/>
      <c r="AE64" s="15" t="str">
        <f t="shared" si="0"/>
        <v/>
      </c>
      <c r="AF64" s="15" t="str">
        <f t="shared" si="1"/>
        <v/>
      </c>
      <c r="AG64" s="15" t="str">
        <f>IF(OR(AF64="",AF64="ERRO_CHAVE"),"",IFERROR(MATCH(AF64,'quitado Despesa'!$V$1:$V$12,0),""))</f>
        <v/>
      </c>
      <c r="AH64" s="15" t="str">
        <f t="shared" si="2"/>
        <v/>
      </c>
      <c r="AI64" s="17" t="str">
        <f>IF(AG64="","",INDEX('quitado Despesa'!$G$1:$G$12,AG64))</f>
        <v/>
      </c>
      <c r="AJ64" s="17" t="str">
        <f t="shared" si="3"/>
        <v/>
      </c>
    </row>
    <row r="65" ht="14" spans="1:36">
      <c r="A65" s="15"/>
      <c r="B65" s="15"/>
      <c r="C65" s="15"/>
      <c r="D65" s="15"/>
      <c r="E65" s="15"/>
      <c r="F65" s="15"/>
      <c r="G65" s="15"/>
      <c r="H65" s="15"/>
      <c r="I65" s="15"/>
      <c r="J65" s="23"/>
      <c r="K65" s="23"/>
      <c r="L65" s="23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7"/>
      <c r="Y65" s="17"/>
      <c r="Z65" s="17"/>
      <c r="AA65" s="15"/>
      <c r="AE65" s="15" t="str">
        <f t="shared" si="0"/>
        <v/>
      </c>
      <c r="AF65" s="15" t="str">
        <f t="shared" si="1"/>
        <v/>
      </c>
      <c r="AG65" s="15" t="str">
        <f>IF(OR(AF65="",AF65="ERRO_CHAVE"),"",IFERROR(MATCH(AF65,'quitado Despesa'!$V$1:$V$12,0),""))</f>
        <v/>
      </c>
      <c r="AH65" s="15" t="str">
        <f t="shared" si="2"/>
        <v/>
      </c>
      <c r="AI65" s="17" t="str">
        <f>IF(AG65="","",INDEX('quitado Despesa'!$G$1:$G$12,AG65))</f>
        <v/>
      </c>
      <c r="AJ65" s="17" t="str">
        <f t="shared" si="3"/>
        <v/>
      </c>
    </row>
    <row r="66" ht="14" spans="1:36">
      <c r="A66" s="15"/>
      <c r="B66" s="15"/>
      <c r="C66" s="15"/>
      <c r="D66" s="15"/>
      <c r="E66" s="15"/>
      <c r="F66" s="15"/>
      <c r="G66" s="15"/>
      <c r="H66" s="15"/>
      <c r="I66" s="15"/>
      <c r="J66" s="23"/>
      <c r="K66" s="23"/>
      <c r="L66" s="23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7"/>
      <c r="Y66" s="17"/>
      <c r="Z66" s="17"/>
      <c r="AA66" s="15"/>
      <c r="AE66" s="15" t="str">
        <f t="shared" si="0"/>
        <v/>
      </c>
      <c r="AF66" s="15" t="str">
        <f t="shared" si="1"/>
        <v/>
      </c>
      <c r="AG66" s="15" t="str">
        <f>IF(OR(AF66="",AF66="ERRO_CHAVE"),"",IFERROR(MATCH(AF66,'quitado Despesa'!$V$1:$V$12,0),""))</f>
        <v/>
      </c>
      <c r="AH66" s="15" t="str">
        <f t="shared" si="2"/>
        <v/>
      </c>
      <c r="AI66" s="17" t="str">
        <f>IF(AG66="","",INDEX('quitado Despesa'!$G$1:$G$12,AG66))</f>
        <v/>
      </c>
      <c r="AJ66" s="17" t="str">
        <f t="shared" si="3"/>
        <v/>
      </c>
    </row>
    <row r="67" ht="14" spans="1:36">
      <c r="A67" s="15"/>
      <c r="B67" s="15"/>
      <c r="C67" s="15"/>
      <c r="D67" s="15"/>
      <c r="E67" s="15"/>
      <c r="F67" s="15"/>
      <c r="G67" s="15"/>
      <c r="H67" s="15"/>
      <c r="I67" s="15"/>
      <c r="J67" s="23"/>
      <c r="K67" s="23"/>
      <c r="L67" s="23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7"/>
      <c r="Y67" s="17"/>
      <c r="Z67" s="17"/>
      <c r="AA67" s="15"/>
      <c r="AE67" s="15" t="str">
        <f t="shared" si="0"/>
        <v/>
      </c>
      <c r="AF67" s="15" t="str">
        <f t="shared" si="1"/>
        <v/>
      </c>
      <c r="AG67" s="15" t="str">
        <f>IF(OR(AF67="",AF67="ERRO_CHAVE"),"",IFERROR(MATCH(AF67,'quitado Despesa'!$V$1:$V$12,0),""))</f>
        <v/>
      </c>
      <c r="AH67" s="15" t="str">
        <f t="shared" si="2"/>
        <v/>
      </c>
      <c r="AI67" s="17" t="str">
        <f>IF(AG67="","",INDEX('quitado Despesa'!$G$1:$G$12,AG67))</f>
        <v/>
      </c>
      <c r="AJ67" s="17" t="str">
        <f t="shared" si="3"/>
        <v/>
      </c>
    </row>
    <row r="68" ht="14" spans="1:36">
      <c r="A68" s="15"/>
      <c r="B68" s="15"/>
      <c r="C68" s="15"/>
      <c r="D68" s="15"/>
      <c r="E68" s="15"/>
      <c r="F68" s="15"/>
      <c r="G68" s="15"/>
      <c r="H68" s="15"/>
      <c r="I68" s="15"/>
      <c r="J68" s="23"/>
      <c r="K68" s="23"/>
      <c r="L68" s="23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7"/>
      <c r="Y68" s="17"/>
      <c r="Z68" s="17"/>
      <c r="AA68" s="15"/>
      <c r="AE68" s="15" t="str">
        <f t="shared" si="0"/>
        <v/>
      </c>
      <c r="AF68" s="15" t="str">
        <f t="shared" si="1"/>
        <v/>
      </c>
      <c r="AG68" s="15" t="str">
        <f>IF(OR(AF68="",AF68="ERRO_CHAVE"),"",IFERROR(MATCH(AF68,'quitado Despesa'!$V$1:$V$12,0),""))</f>
        <v/>
      </c>
      <c r="AH68" s="15" t="str">
        <f t="shared" si="2"/>
        <v/>
      </c>
      <c r="AI68" s="17" t="str">
        <f>IF(AG68="","",INDEX('quitado Despesa'!$G$1:$G$12,AG68))</f>
        <v/>
      </c>
      <c r="AJ68" s="17" t="str">
        <f t="shared" si="3"/>
        <v/>
      </c>
    </row>
    <row r="69" ht="14" spans="1:36">
      <c r="A69" s="15"/>
      <c r="B69" s="15"/>
      <c r="C69" s="15"/>
      <c r="D69" s="15"/>
      <c r="E69" s="15"/>
      <c r="F69" s="15"/>
      <c r="G69" s="15"/>
      <c r="H69" s="15"/>
      <c r="I69" s="15"/>
      <c r="J69" s="23"/>
      <c r="K69" s="23"/>
      <c r="L69" s="23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7"/>
      <c r="Y69" s="17"/>
      <c r="Z69" s="17"/>
      <c r="AA69" s="15"/>
      <c r="AE69" s="15" t="str">
        <f t="shared" si="0"/>
        <v/>
      </c>
      <c r="AF69" s="15" t="str">
        <f t="shared" si="1"/>
        <v/>
      </c>
      <c r="AG69" s="15" t="str">
        <f>IF(OR(AF69="",AF69="ERRO_CHAVE"),"",IFERROR(MATCH(AF69,'quitado Despesa'!$V$1:$V$12,0),""))</f>
        <v/>
      </c>
      <c r="AH69" s="15" t="str">
        <f t="shared" si="2"/>
        <v/>
      </c>
      <c r="AI69" s="17" t="str">
        <f>IF(AG69="","",INDEX('quitado Despesa'!$G$1:$G$12,AG69))</f>
        <v/>
      </c>
      <c r="AJ69" s="17" t="str">
        <f t="shared" si="3"/>
        <v/>
      </c>
    </row>
    <row r="70" ht="14" spans="1:36">
      <c r="A70" s="15"/>
      <c r="B70" s="15"/>
      <c r="C70" s="15"/>
      <c r="D70" s="15"/>
      <c r="E70" s="15"/>
      <c r="F70" s="15"/>
      <c r="G70" s="15"/>
      <c r="H70" s="15"/>
      <c r="I70" s="15"/>
      <c r="J70" s="23"/>
      <c r="K70" s="23"/>
      <c r="L70" s="23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7"/>
      <c r="Y70" s="17"/>
      <c r="Z70" s="17"/>
      <c r="AA70" s="15"/>
      <c r="AE70" s="15" t="str">
        <f t="shared" si="0"/>
        <v/>
      </c>
      <c r="AF70" s="15" t="str">
        <f t="shared" si="1"/>
        <v/>
      </c>
      <c r="AG70" s="15" t="str">
        <f>IF(OR(AF70="",AF70="ERRO_CHAVE"),"",IFERROR(MATCH(AF70,'quitado Despesa'!$V$1:$V$12,0),""))</f>
        <v/>
      </c>
      <c r="AH70" s="15" t="str">
        <f t="shared" si="2"/>
        <v/>
      </c>
      <c r="AI70" s="17" t="str">
        <f>IF(AG70="","",INDEX('quitado Despesa'!$G$1:$G$12,AG70))</f>
        <v/>
      </c>
      <c r="AJ70" s="17" t="str">
        <f t="shared" si="3"/>
        <v/>
      </c>
    </row>
    <row r="71" ht="14" spans="1:36">
      <c r="A71" s="15"/>
      <c r="B71" s="15"/>
      <c r="C71" s="15"/>
      <c r="D71" s="15"/>
      <c r="E71" s="15"/>
      <c r="F71" s="15"/>
      <c r="G71" s="15"/>
      <c r="H71" s="15"/>
      <c r="I71" s="15"/>
      <c r="J71" s="23"/>
      <c r="K71" s="23"/>
      <c r="L71" s="23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7"/>
      <c r="Y71" s="17"/>
      <c r="Z71" s="17"/>
      <c r="AA71" s="15"/>
      <c r="AE71" s="15" t="str">
        <f t="shared" si="0"/>
        <v/>
      </c>
      <c r="AF71" s="15" t="str">
        <f t="shared" si="1"/>
        <v/>
      </c>
      <c r="AG71" s="15" t="str">
        <f>IF(OR(AF71="",AF71="ERRO_CHAVE"),"",IFERROR(MATCH(AF71,'quitado Despesa'!$V$1:$V$12,0),""))</f>
        <v/>
      </c>
      <c r="AH71" s="15" t="str">
        <f t="shared" si="2"/>
        <v/>
      </c>
      <c r="AI71" s="17" t="str">
        <f>IF(AG71="","",INDEX('quitado Despesa'!$G$1:$G$12,AG71))</f>
        <v/>
      </c>
      <c r="AJ71" s="17" t="str">
        <f t="shared" si="3"/>
        <v/>
      </c>
    </row>
    <row r="72" ht="14" spans="1:36">
      <c r="A72" s="15"/>
      <c r="B72" s="15"/>
      <c r="C72" s="15"/>
      <c r="D72" s="15"/>
      <c r="E72" s="15"/>
      <c r="F72" s="15"/>
      <c r="G72" s="15"/>
      <c r="H72" s="15"/>
      <c r="I72" s="15"/>
      <c r="J72" s="23"/>
      <c r="K72" s="23"/>
      <c r="L72" s="23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7"/>
      <c r="Y72" s="17"/>
      <c r="Z72" s="17"/>
      <c r="AA72" s="15"/>
      <c r="AE72" s="15" t="str">
        <f t="shared" si="0"/>
        <v/>
      </c>
      <c r="AF72" s="15" t="str">
        <f t="shared" si="1"/>
        <v/>
      </c>
      <c r="AG72" s="15" t="str">
        <f>IF(OR(AF72="",AF72="ERRO_CHAVE"),"",IFERROR(MATCH(AF72,'quitado Despesa'!$V$1:$V$12,0),""))</f>
        <v/>
      </c>
      <c r="AH72" s="15" t="str">
        <f t="shared" si="2"/>
        <v/>
      </c>
      <c r="AI72" s="17" t="str">
        <f>IF(AG72="","",INDEX('quitado Despesa'!$G$1:$G$12,AG72))</f>
        <v/>
      </c>
      <c r="AJ72" s="17" t="str">
        <f t="shared" si="3"/>
        <v/>
      </c>
    </row>
    <row r="73" ht="14" spans="1:36">
      <c r="A73" s="15"/>
      <c r="B73" s="15"/>
      <c r="C73" s="15"/>
      <c r="D73" s="15"/>
      <c r="E73" s="15"/>
      <c r="F73" s="15"/>
      <c r="G73" s="15"/>
      <c r="H73" s="15"/>
      <c r="I73" s="15"/>
      <c r="J73" s="23"/>
      <c r="K73" s="23"/>
      <c r="L73" s="23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7"/>
      <c r="Y73" s="17"/>
      <c r="Z73" s="17"/>
      <c r="AA73" s="15"/>
      <c r="AE73" s="15" t="str">
        <f t="shared" si="0"/>
        <v/>
      </c>
      <c r="AF73" s="15" t="str">
        <f t="shared" si="1"/>
        <v/>
      </c>
      <c r="AG73" s="15" t="str">
        <f>IF(OR(AF73="",AF73="ERRO_CHAVE"),"",IFERROR(MATCH(AF73,'quitado Despesa'!$V$1:$V$12,0),""))</f>
        <v/>
      </c>
      <c r="AH73" s="15" t="str">
        <f t="shared" si="2"/>
        <v/>
      </c>
      <c r="AI73" s="17" t="str">
        <f>IF(AG73="","",INDEX('quitado Despesa'!$G$1:$G$12,AG73))</f>
        <v/>
      </c>
      <c r="AJ73" s="17" t="str">
        <f t="shared" si="3"/>
        <v/>
      </c>
    </row>
    <row r="74" ht="14" spans="1:36">
      <c r="A74" s="15"/>
      <c r="B74" s="15"/>
      <c r="C74" s="15"/>
      <c r="D74" s="15"/>
      <c r="E74" s="15"/>
      <c r="F74" s="15"/>
      <c r="G74" s="15"/>
      <c r="H74" s="15"/>
      <c r="I74" s="15"/>
      <c r="J74" s="23"/>
      <c r="K74" s="23"/>
      <c r="L74" s="23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7"/>
      <c r="Y74" s="17"/>
      <c r="Z74" s="17"/>
      <c r="AA74" s="15"/>
      <c r="AE74" s="15" t="str">
        <f t="shared" si="0"/>
        <v/>
      </c>
      <c r="AF74" s="15" t="str">
        <f t="shared" si="1"/>
        <v/>
      </c>
      <c r="AG74" s="15" t="str">
        <f>IF(OR(AF74="",AF74="ERRO_CHAVE"),"",IFERROR(MATCH(AF74,'quitado Despesa'!$V$1:$V$12,0),""))</f>
        <v/>
      </c>
      <c r="AH74" s="15" t="str">
        <f t="shared" si="2"/>
        <v/>
      </c>
      <c r="AI74" s="17" t="str">
        <f>IF(AG74="","",INDEX('quitado Despesa'!$G$1:$G$12,AG74))</f>
        <v/>
      </c>
      <c r="AJ74" s="17" t="str">
        <f t="shared" si="3"/>
        <v/>
      </c>
    </row>
    <row r="75" ht="14" spans="1:36">
      <c r="A75" s="15"/>
      <c r="B75" s="15"/>
      <c r="C75" s="15"/>
      <c r="D75" s="15"/>
      <c r="E75" s="15"/>
      <c r="F75" s="15"/>
      <c r="G75" s="15"/>
      <c r="H75" s="15"/>
      <c r="I75" s="15"/>
      <c r="J75" s="23"/>
      <c r="K75" s="23"/>
      <c r="L75" s="23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7"/>
      <c r="Y75" s="17"/>
      <c r="Z75" s="17"/>
      <c r="AA75" s="15"/>
      <c r="AE75" s="15" t="str">
        <f t="shared" si="0"/>
        <v/>
      </c>
      <c r="AF75" s="15" t="str">
        <f t="shared" si="1"/>
        <v/>
      </c>
      <c r="AG75" s="15" t="str">
        <f>IF(OR(AF75="",AF75="ERRO_CHAVE"),"",IFERROR(MATCH(AF75,'quitado Despesa'!$V$1:$V$12,0),""))</f>
        <v/>
      </c>
      <c r="AH75" s="15" t="str">
        <f t="shared" si="2"/>
        <v/>
      </c>
      <c r="AI75" s="17" t="str">
        <f>IF(AG75="","",INDEX('quitado Despesa'!$G$1:$G$12,AG75))</f>
        <v/>
      </c>
      <c r="AJ75" s="17" t="str">
        <f t="shared" si="3"/>
        <v/>
      </c>
    </row>
    <row r="76" ht="14" spans="1:36">
      <c r="A76" s="15"/>
      <c r="B76" s="15"/>
      <c r="C76" s="15"/>
      <c r="D76" s="15"/>
      <c r="E76" s="15"/>
      <c r="F76" s="15"/>
      <c r="G76" s="15"/>
      <c r="H76" s="15"/>
      <c r="I76" s="15"/>
      <c r="J76" s="23"/>
      <c r="K76" s="23"/>
      <c r="L76" s="23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7"/>
      <c r="Y76" s="17"/>
      <c r="Z76" s="17"/>
      <c r="AA76" s="15"/>
      <c r="AE76" s="15" t="str">
        <f t="shared" si="0"/>
        <v/>
      </c>
      <c r="AF76" s="15" t="str">
        <f t="shared" si="1"/>
        <v/>
      </c>
      <c r="AG76" s="15" t="str">
        <f>IF(OR(AF76="",AF76="ERRO_CHAVE"),"",IFERROR(MATCH(AF76,'quitado Despesa'!$V$1:$V$12,0),""))</f>
        <v/>
      </c>
      <c r="AH76" s="15" t="str">
        <f t="shared" si="2"/>
        <v/>
      </c>
      <c r="AI76" s="17" t="str">
        <f>IF(AG76="","",INDEX('quitado Despesa'!$G$1:$G$12,AG76))</f>
        <v/>
      </c>
      <c r="AJ76" s="17" t="str">
        <f t="shared" si="3"/>
        <v/>
      </c>
    </row>
    <row r="77" ht="14" spans="1:36">
      <c r="A77" s="15"/>
      <c r="B77" s="15"/>
      <c r="C77" s="15"/>
      <c r="D77" s="15"/>
      <c r="E77" s="15"/>
      <c r="F77" s="15"/>
      <c r="G77" s="15"/>
      <c r="H77" s="15"/>
      <c r="I77" s="15"/>
      <c r="J77" s="23"/>
      <c r="K77" s="23"/>
      <c r="L77" s="23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7"/>
      <c r="Y77" s="17"/>
      <c r="Z77" s="17"/>
      <c r="AA77" s="15"/>
      <c r="AE77" s="15" t="str">
        <f t="shared" si="0"/>
        <v/>
      </c>
      <c r="AF77" s="15" t="str">
        <f t="shared" si="1"/>
        <v/>
      </c>
      <c r="AG77" s="15" t="str">
        <f>IF(OR(AF77="",AF77="ERRO_CHAVE"),"",IFERROR(MATCH(AF77,'quitado Despesa'!$V$1:$V$12,0),""))</f>
        <v/>
      </c>
      <c r="AH77" s="15" t="str">
        <f t="shared" si="2"/>
        <v/>
      </c>
      <c r="AI77" s="17" t="str">
        <f>IF(AG77="","",INDEX('quitado Despesa'!$G$1:$G$12,AG77))</f>
        <v/>
      </c>
      <c r="AJ77" s="17" t="str">
        <f t="shared" si="3"/>
        <v/>
      </c>
    </row>
    <row r="78" ht="14" spans="1:36">
      <c r="A78" s="15"/>
      <c r="B78" s="15"/>
      <c r="C78" s="15"/>
      <c r="D78" s="15"/>
      <c r="E78" s="15"/>
      <c r="F78" s="15"/>
      <c r="G78" s="15"/>
      <c r="H78" s="15"/>
      <c r="I78" s="15"/>
      <c r="J78" s="23"/>
      <c r="K78" s="23"/>
      <c r="L78" s="23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7"/>
      <c r="Y78" s="17"/>
      <c r="Z78" s="17"/>
      <c r="AA78" s="15"/>
      <c r="AE78" s="15" t="str">
        <f t="shared" si="0"/>
        <v/>
      </c>
      <c r="AF78" s="15" t="str">
        <f t="shared" si="1"/>
        <v/>
      </c>
      <c r="AG78" s="15" t="str">
        <f>IF(OR(AF78="",AF78="ERRO_CHAVE"),"",IFERROR(MATCH(AF78,'quitado Despesa'!$V$1:$V$12,0),""))</f>
        <v/>
      </c>
      <c r="AH78" s="15" t="str">
        <f t="shared" si="2"/>
        <v/>
      </c>
      <c r="AI78" s="17" t="str">
        <f>IF(AG78="","",INDEX('quitado Despesa'!$G$1:$G$12,AG78))</f>
        <v/>
      </c>
      <c r="AJ78" s="17" t="str">
        <f t="shared" si="3"/>
        <v/>
      </c>
    </row>
    <row r="79" ht="14" spans="1:36">
      <c r="A79" s="15"/>
      <c r="B79" s="15"/>
      <c r="C79" s="15"/>
      <c r="D79" s="15"/>
      <c r="E79" s="15"/>
      <c r="F79" s="15"/>
      <c r="G79" s="15"/>
      <c r="H79" s="15"/>
      <c r="I79" s="15"/>
      <c r="J79" s="23"/>
      <c r="K79" s="23"/>
      <c r="L79" s="23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7"/>
      <c r="Y79" s="17"/>
      <c r="Z79" s="17"/>
      <c r="AA79" s="15"/>
      <c r="AE79" s="15" t="str">
        <f t="shared" si="0"/>
        <v/>
      </c>
      <c r="AF79" s="15" t="str">
        <f t="shared" si="1"/>
        <v/>
      </c>
      <c r="AG79" s="15" t="str">
        <f>IF(OR(AF79="",AF79="ERRO_CHAVE"),"",IFERROR(MATCH(AF79,'quitado Despesa'!$V$1:$V$12,0),""))</f>
        <v/>
      </c>
      <c r="AH79" s="15" t="str">
        <f t="shared" si="2"/>
        <v/>
      </c>
      <c r="AI79" s="17" t="str">
        <f>IF(AG79="","",INDEX('quitado Despesa'!$G$1:$G$12,AG79))</f>
        <v/>
      </c>
      <c r="AJ79" s="17" t="str">
        <f t="shared" si="3"/>
        <v/>
      </c>
    </row>
    <row r="80" ht="14" spans="1:36">
      <c r="A80" s="15"/>
      <c r="B80" s="15"/>
      <c r="C80" s="15"/>
      <c r="D80" s="15"/>
      <c r="E80" s="15"/>
      <c r="F80" s="15"/>
      <c r="G80" s="15"/>
      <c r="H80" s="15"/>
      <c r="I80" s="15"/>
      <c r="J80" s="23"/>
      <c r="K80" s="23"/>
      <c r="L80" s="23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7"/>
      <c r="Y80" s="17"/>
      <c r="Z80" s="17"/>
      <c r="AA80" s="15"/>
      <c r="AE80" s="15" t="str">
        <f t="shared" si="0"/>
        <v/>
      </c>
      <c r="AF80" s="15" t="str">
        <f t="shared" si="1"/>
        <v/>
      </c>
      <c r="AG80" s="15" t="str">
        <f>IF(OR(AF80="",AF80="ERRO_CHAVE"),"",IFERROR(MATCH(AF80,'quitado Despesa'!$V$1:$V$12,0),""))</f>
        <v/>
      </c>
      <c r="AH80" s="15" t="str">
        <f t="shared" si="2"/>
        <v/>
      </c>
      <c r="AI80" s="17" t="str">
        <f>IF(AG80="","",INDEX('quitado Despesa'!$G$1:$G$12,AG80))</f>
        <v/>
      </c>
      <c r="AJ80" s="17" t="str">
        <f t="shared" si="3"/>
        <v/>
      </c>
    </row>
    <row r="81" ht="14" spans="1:36">
      <c r="A81" s="15"/>
      <c r="B81" s="15"/>
      <c r="C81" s="15"/>
      <c r="D81" s="15"/>
      <c r="E81" s="15"/>
      <c r="F81" s="15"/>
      <c r="G81" s="15"/>
      <c r="H81" s="15"/>
      <c r="I81" s="15"/>
      <c r="J81" s="23"/>
      <c r="K81" s="23"/>
      <c r="L81" s="23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7"/>
      <c r="Y81" s="17"/>
      <c r="Z81" s="17"/>
      <c r="AA81" s="15"/>
      <c r="AE81" s="15" t="str">
        <f t="shared" si="0"/>
        <v/>
      </c>
      <c r="AF81" s="15" t="str">
        <f t="shared" si="1"/>
        <v/>
      </c>
      <c r="AG81" s="15" t="str">
        <f>IF(OR(AF81="",AF81="ERRO_CHAVE"),"",IFERROR(MATCH(AF81,'quitado Despesa'!$V$1:$V$12,0),""))</f>
        <v/>
      </c>
      <c r="AH81" s="15" t="str">
        <f t="shared" si="2"/>
        <v/>
      </c>
      <c r="AI81" s="17" t="str">
        <f>IF(AG81="","",INDEX('quitado Despesa'!$G$1:$G$12,AG81))</f>
        <v/>
      </c>
      <c r="AJ81" s="17" t="str">
        <f t="shared" si="3"/>
        <v/>
      </c>
    </row>
    <row r="82" ht="14" spans="1:36">
      <c r="A82" s="15"/>
      <c r="B82" s="15"/>
      <c r="C82" s="15"/>
      <c r="D82" s="15"/>
      <c r="E82" s="15"/>
      <c r="F82" s="15"/>
      <c r="G82" s="15"/>
      <c r="H82" s="15"/>
      <c r="I82" s="15"/>
      <c r="J82" s="23"/>
      <c r="K82" s="23"/>
      <c r="L82" s="23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7"/>
      <c r="Y82" s="17"/>
      <c r="Z82" s="17"/>
      <c r="AA82" s="15"/>
      <c r="AE82" s="15" t="str">
        <f t="shared" si="0"/>
        <v/>
      </c>
      <c r="AF82" s="15" t="str">
        <f t="shared" si="1"/>
        <v/>
      </c>
      <c r="AG82" s="15" t="str">
        <f>IF(OR(AF82="",AF82="ERRO_CHAVE"),"",IFERROR(MATCH(AF82,'quitado Despesa'!$V$1:$V$12,0),""))</f>
        <v/>
      </c>
      <c r="AH82" s="15" t="str">
        <f t="shared" si="2"/>
        <v/>
      </c>
      <c r="AI82" s="17" t="str">
        <f>IF(AG82="","",INDEX('quitado Despesa'!$G$1:$G$12,AG82))</f>
        <v/>
      </c>
      <c r="AJ82" s="17" t="str">
        <f t="shared" si="3"/>
        <v/>
      </c>
    </row>
    <row r="83" ht="14" spans="1:36">
      <c r="A83" s="15"/>
      <c r="B83" s="15"/>
      <c r="C83" s="15"/>
      <c r="D83" s="15"/>
      <c r="E83" s="15"/>
      <c r="F83" s="15"/>
      <c r="G83" s="15"/>
      <c r="H83" s="15"/>
      <c r="I83" s="15"/>
      <c r="J83" s="23"/>
      <c r="K83" s="23"/>
      <c r="L83" s="23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7"/>
      <c r="Y83" s="17"/>
      <c r="Z83" s="17"/>
      <c r="AA83" s="15"/>
      <c r="AE83" s="15" t="str">
        <f t="shared" si="0"/>
        <v/>
      </c>
      <c r="AF83" s="15" t="str">
        <f t="shared" si="1"/>
        <v/>
      </c>
      <c r="AG83" s="15" t="str">
        <f>IF(OR(AF83="",AF83="ERRO_CHAVE"),"",IFERROR(MATCH(AF83,'quitado Despesa'!$V$1:$V$12,0),""))</f>
        <v/>
      </c>
      <c r="AH83" s="15" t="str">
        <f t="shared" si="2"/>
        <v/>
      </c>
      <c r="AI83" s="17" t="str">
        <f>IF(AG83="","",INDEX('quitado Despesa'!$G$1:$G$12,AG83))</f>
        <v/>
      </c>
      <c r="AJ83" s="17" t="str">
        <f t="shared" si="3"/>
        <v/>
      </c>
    </row>
    <row r="84" ht="14" spans="1:36">
      <c r="A84" s="15"/>
      <c r="B84" s="15"/>
      <c r="C84" s="15"/>
      <c r="D84" s="15"/>
      <c r="E84" s="15"/>
      <c r="F84" s="15"/>
      <c r="G84" s="15"/>
      <c r="H84" s="15"/>
      <c r="I84" s="15"/>
      <c r="J84" s="23"/>
      <c r="K84" s="23"/>
      <c r="L84" s="23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7"/>
      <c r="Y84" s="17"/>
      <c r="Z84" s="17"/>
      <c r="AA84" s="15"/>
      <c r="AE84" s="15" t="str">
        <f t="shared" si="0"/>
        <v/>
      </c>
      <c r="AF84" s="15" t="str">
        <f t="shared" si="1"/>
        <v/>
      </c>
      <c r="AG84" s="15" t="str">
        <f>IF(OR(AF84="",AF84="ERRO_CHAVE"),"",IFERROR(MATCH(AF84,'quitado Despesa'!$V$1:$V$12,0),""))</f>
        <v/>
      </c>
      <c r="AH84" s="15" t="str">
        <f t="shared" si="2"/>
        <v/>
      </c>
      <c r="AI84" s="17" t="str">
        <f>IF(AG84="","",INDEX('quitado Despesa'!$G$1:$G$12,AG84))</f>
        <v/>
      </c>
      <c r="AJ84" s="17" t="str">
        <f t="shared" si="3"/>
        <v/>
      </c>
    </row>
    <row r="85" ht="14" spans="1:36">
      <c r="A85" s="15"/>
      <c r="B85" s="15"/>
      <c r="C85" s="15"/>
      <c r="D85" s="15"/>
      <c r="E85" s="15"/>
      <c r="F85" s="15"/>
      <c r="G85" s="15"/>
      <c r="H85" s="15"/>
      <c r="I85" s="15"/>
      <c r="J85" s="23"/>
      <c r="K85" s="23"/>
      <c r="L85" s="23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7"/>
      <c r="Y85" s="17"/>
      <c r="Z85" s="17"/>
      <c r="AA85" s="15"/>
      <c r="AE85" s="15" t="str">
        <f t="shared" si="0"/>
        <v/>
      </c>
      <c r="AF85" s="15" t="str">
        <f t="shared" si="1"/>
        <v/>
      </c>
      <c r="AG85" s="15" t="str">
        <f>IF(OR(AF85="",AF85="ERRO_CHAVE"),"",IFERROR(MATCH(AF85,'quitado Despesa'!$V$1:$V$12,0),""))</f>
        <v/>
      </c>
      <c r="AH85" s="15" t="str">
        <f t="shared" si="2"/>
        <v/>
      </c>
      <c r="AI85" s="17" t="str">
        <f>IF(AG85="","",INDEX('quitado Despesa'!$G$1:$G$12,AG85))</f>
        <v/>
      </c>
      <c r="AJ85" s="17" t="str">
        <f t="shared" si="3"/>
        <v/>
      </c>
    </row>
    <row r="86" ht="14" spans="1:36">
      <c r="A86" s="15"/>
      <c r="B86" s="15"/>
      <c r="C86" s="15"/>
      <c r="D86" s="15"/>
      <c r="E86" s="15"/>
      <c r="F86" s="15"/>
      <c r="G86" s="15"/>
      <c r="H86" s="15"/>
      <c r="I86" s="15"/>
      <c r="J86" s="23"/>
      <c r="K86" s="23"/>
      <c r="L86" s="23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7"/>
      <c r="Y86" s="17"/>
      <c r="Z86" s="17"/>
      <c r="AA86" s="15"/>
      <c r="AE86" s="15" t="str">
        <f t="shared" si="0"/>
        <v/>
      </c>
      <c r="AF86" s="15" t="str">
        <f t="shared" si="1"/>
        <v/>
      </c>
      <c r="AG86" s="15" t="str">
        <f>IF(OR(AF86="",AF86="ERRO_CHAVE"),"",IFERROR(MATCH(AF86,'quitado Despesa'!$V$1:$V$12,0),""))</f>
        <v/>
      </c>
      <c r="AH86" s="15" t="str">
        <f t="shared" si="2"/>
        <v/>
      </c>
      <c r="AI86" s="17" t="str">
        <f>IF(AG86="","",INDEX('quitado Despesa'!$G$1:$G$12,AG86))</f>
        <v/>
      </c>
      <c r="AJ86" s="17" t="str">
        <f t="shared" si="3"/>
        <v/>
      </c>
    </row>
    <row r="87" ht="14" spans="1:36">
      <c r="A87" s="15"/>
      <c r="B87" s="15"/>
      <c r="C87" s="15"/>
      <c r="D87" s="15"/>
      <c r="E87" s="15"/>
      <c r="F87" s="15"/>
      <c r="G87" s="15"/>
      <c r="H87" s="15"/>
      <c r="I87" s="15"/>
      <c r="J87" s="23"/>
      <c r="K87" s="23"/>
      <c r="L87" s="23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7"/>
      <c r="Y87" s="17"/>
      <c r="Z87" s="17"/>
      <c r="AA87" s="15"/>
      <c r="AE87" s="15" t="str">
        <f t="shared" si="0"/>
        <v/>
      </c>
      <c r="AF87" s="15" t="str">
        <f t="shared" si="1"/>
        <v/>
      </c>
      <c r="AG87" s="15" t="str">
        <f>IF(OR(AF87="",AF87="ERRO_CHAVE"),"",IFERROR(MATCH(AF87,'quitado Despesa'!$V$1:$V$12,0),""))</f>
        <v/>
      </c>
      <c r="AH87" s="15" t="str">
        <f t="shared" si="2"/>
        <v/>
      </c>
      <c r="AI87" s="17" t="str">
        <f>IF(AG87="","",INDEX('quitado Despesa'!$G$1:$G$12,AG87))</f>
        <v/>
      </c>
      <c r="AJ87" s="17" t="str">
        <f t="shared" si="3"/>
        <v/>
      </c>
    </row>
    <row r="88" ht="14" spans="1:36">
      <c r="A88" s="15"/>
      <c r="B88" s="15"/>
      <c r="C88" s="15"/>
      <c r="D88" s="15"/>
      <c r="E88" s="15"/>
      <c r="F88" s="15"/>
      <c r="G88" s="15"/>
      <c r="H88" s="15"/>
      <c r="I88" s="15"/>
      <c r="J88" s="23"/>
      <c r="K88" s="23"/>
      <c r="L88" s="23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7"/>
      <c r="Y88" s="17"/>
      <c r="Z88" s="17"/>
      <c r="AA88" s="15"/>
      <c r="AE88" s="15" t="str">
        <f t="shared" si="0"/>
        <v/>
      </c>
      <c r="AF88" s="15" t="str">
        <f t="shared" si="1"/>
        <v/>
      </c>
      <c r="AG88" s="15" t="str">
        <f>IF(OR(AF88="",AF88="ERRO_CHAVE"),"",IFERROR(MATCH(AF88,'quitado Despesa'!$V$1:$V$12,0),""))</f>
        <v/>
      </c>
      <c r="AH88" s="15" t="str">
        <f t="shared" si="2"/>
        <v/>
      </c>
      <c r="AI88" s="17" t="str">
        <f>IF(AG88="","",INDEX('quitado Despesa'!$G$1:$G$12,AG88))</f>
        <v/>
      </c>
      <c r="AJ88" s="17" t="str">
        <f t="shared" si="3"/>
        <v/>
      </c>
    </row>
    <row r="89" ht="14" spans="1:36">
      <c r="A89" s="15"/>
      <c r="B89" s="15"/>
      <c r="C89" s="15"/>
      <c r="D89" s="15"/>
      <c r="E89" s="15"/>
      <c r="F89" s="15"/>
      <c r="G89" s="15"/>
      <c r="H89" s="15"/>
      <c r="I89" s="15"/>
      <c r="J89" s="23"/>
      <c r="K89" s="23"/>
      <c r="L89" s="23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7"/>
      <c r="Y89" s="17"/>
      <c r="Z89" s="17"/>
      <c r="AA89" s="15"/>
      <c r="AE89" s="15" t="str">
        <f t="shared" si="0"/>
        <v/>
      </c>
      <c r="AF89" s="15" t="str">
        <f t="shared" si="1"/>
        <v/>
      </c>
      <c r="AG89" s="15" t="str">
        <f>IF(OR(AF89="",AF89="ERRO_CHAVE"),"",IFERROR(MATCH(AF89,'quitado Despesa'!$V$1:$V$12,0),""))</f>
        <v/>
      </c>
      <c r="AH89" s="15" t="str">
        <f t="shared" si="2"/>
        <v/>
      </c>
      <c r="AI89" s="17" t="str">
        <f>IF(AG89="","",INDEX('quitado Despesa'!$G$1:$G$12,AG89))</f>
        <v/>
      </c>
      <c r="AJ89" s="17" t="str">
        <f t="shared" si="3"/>
        <v/>
      </c>
    </row>
    <row r="90" ht="14" spans="1:36">
      <c r="A90" s="15"/>
      <c r="B90" s="15"/>
      <c r="C90" s="15"/>
      <c r="D90" s="15"/>
      <c r="E90" s="15"/>
      <c r="F90" s="15"/>
      <c r="G90" s="15"/>
      <c r="H90" s="15"/>
      <c r="I90" s="15"/>
      <c r="J90" s="23"/>
      <c r="K90" s="23"/>
      <c r="L90" s="23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7"/>
      <c r="Y90" s="17"/>
      <c r="Z90" s="17"/>
      <c r="AA90" s="15"/>
      <c r="AE90" s="15" t="str">
        <f t="shared" si="0"/>
        <v/>
      </c>
      <c r="AF90" s="15" t="str">
        <f t="shared" si="1"/>
        <v/>
      </c>
      <c r="AG90" s="15" t="str">
        <f>IF(OR(AF90="",AF90="ERRO_CHAVE"),"",IFERROR(MATCH(AF90,'quitado Despesa'!$V$1:$V$12,0),""))</f>
        <v/>
      </c>
      <c r="AH90" s="15" t="str">
        <f t="shared" si="2"/>
        <v/>
      </c>
      <c r="AI90" s="17" t="str">
        <f>IF(AG90="","",INDEX('quitado Despesa'!$G$1:$G$12,AG90))</f>
        <v/>
      </c>
      <c r="AJ90" s="17" t="str">
        <f t="shared" si="3"/>
        <v/>
      </c>
    </row>
    <row r="91" ht="14" spans="1:36">
      <c r="A91" s="15"/>
      <c r="B91" s="15"/>
      <c r="C91" s="15"/>
      <c r="D91" s="15"/>
      <c r="E91" s="15"/>
      <c r="F91" s="15"/>
      <c r="G91" s="15"/>
      <c r="H91" s="15"/>
      <c r="I91" s="15"/>
      <c r="J91" s="23"/>
      <c r="K91" s="23"/>
      <c r="L91" s="23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7"/>
      <c r="Y91" s="17"/>
      <c r="Z91" s="17"/>
      <c r="AA91" s="15"/>
      <c r="AE91" s="15" t="str">
        <f t="shared" si="0"/>
        <v/>
      </c>
      <c r="AF91" s="15" t="str">
        <f t="shared" si="1"/>
        <v/>
      </c>
      <c r="AG91" s="15" t="str">
        <f>IF(OR(AF91="",AF91="ERRO_CHAVE"),"",IFERROR(MATCH(AF91,'quitado Despesa'!$V$1:$V$12,0),""))</f>
        <v/>
      </c>
      <c r="AH91" s="15" t="str">
        <f t="shared" si="2"/>
        <v/>
      </c>
      <c r="AI91" s="17" t="str">
        <f>IF(AG91="","",INDEX('quitado Despesa'!$G$1:$G$12,AG91))</f>
        <v/>
      </c>
      <c r="AJ91" s="17" t="str">
        <f t="shared" si="3"/>
        <v/>
      </c>
    </row>
    <row r="92" ht="14" spans="1:36">
      <c r="A92" s="15"/>
      <c r="B92" s="15"/>
      <c r="C92" s="15"/>
      <c r="D92" s="15"/>
      <c r="E92" s="15"/>
      <c r="F92" s="15"/>
      <c r="G92" s="15"/>
      <c r="H92" s="15"/>
      <c r="I92" s="15"/>
      <c r="J92" s="23"/>
      <c r="K92" s="23"/>
      <c r="L92" s="23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7"/>
      <c r="Y92" s="17"/>
      <c r="Z92" s="17"/>
      <c r="AA92" s="15"/>
      <c r="AE92" s="15" t="str">
        <f t="shared" si="0"/>
        <v/>
      </c>
      <c r="AF92" s="15" t="str">
        <f t="shared" si="1"/>
        <v/>
      </c>
      <c r="AG92" s="15" t="str">
        <f>IF(OR(AF92="",AF92="ERRO_CHAVE"),"",IFERROR(MATCH(AF92,'quitado Despesa'!$V$1:$V$12,0),""))</f>
        <v/>
      </c>
      <c r="AH92" s="15" t="str">
        <f t="shared" si="2"/>
        <v/>
      </c>
      <c r="AI92" s="17" t="str">
        <f>IF(AG92="","",INDEX('quitado Despesa'!$G$1:$G$12,AG92))</f>
        <v/>
      </c>
      <c r="AJ92" s="17" t="str">
        <f t="shared" si="3"/>
        <v/>
      </c>
    </row>
    <row r="93" ht="14" spans="1:36">
      <c r="A93" s="15"/>
      <c r="B93" s="15"/>
      <c r="C93" s="15"/>
      <c r="D93" s="15"/>
      <c r="E93" s="15"/>
      <c r="F93" s="15"/>
      <c r="G93" s="15"/>
      <c r="H93" s="15"/>
      <c r="I93" s="15"/>
      <c r="J93" s="23"/>
      <c r="K93" s="23"/>
      <c r="L93" s="23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7"/>
      <c r="Y93" s="17"/>
      <c r="Z93" s="17"/>
      <c r="AA93" s="15"/>
      <c r="AE93" s="15" t="str">
        <f t="shared" si="0"/>
        <v/>
      </c>
      <c r="AF93" s="15" t="str">
        <f t="shared" si="1"/>
        <v/>
      </c>
      <c r="AG93" s="15" t="str">
        <f>IF(OR(AF93="",AF93="ERRO_CHAVE"),"",IFERROR(MATCH(AF93,'quitado Despesa'!$V$1:$V$12,0),""))</f>
        <v/>
      </c>
      <c r="AH93" s="15" t="str">
        <f t="shared" si="2"/>
        <v/>
      </c>
      <c r="AI93" s="17" t="str">
        <f>IF(AG93="","",INDEX('quitado Despesa'!$G$1:$G$12,AG93))</f>
        <v/>
      </c>
      <c r="AJ93" s="17" t="str">
        <f t="shared" si="3"/>
        <v/>
      </c>
    </row>
    <row r="94" ht="14" spans="1:36">
      <c r="A94" s="15"/>
      <c r="B94" s="15"/>
      <c r="C94" s="15"/>
      <c r="D94" s="15"/>
      <c r="E94" s="15"/>
      <c r="F94" s="15"/>
      <c r="G94" s="15"/>
      <c r="H94" s="15"/>
      <c r="I94" s="15"/>
      <c r="J94" s="23"/>
      <c r="K94" s="23"/>
      <c r="L94" s="23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7"/>
      <c r="Y94" s="17"/>
      <c r="Z94" s="17"/>
      <c r="AA94" s="15"/>
      <c r="AE94" s="15" t="str">
        <f t="shared" si="0"/>
        <v/>
      </c>
      <c r="AF94" s="15" t="str">
        <f t="shared" si="1"/>
        <v/>
      </c>
      <c r="AG94" s="15" t="str">
        <f>IF(OR(AF94="",AF94="ERRO_CHAVE"),"",IFERROR(MATCH(AF94,'quitado Despesa'!$V$1:$V$12,0),""))</f>
        <v/>
      </c>
      <c r="AH94" s="15" t="str">
        <f t="shared" si="2"/>
        <v/>
      </c>
      <c r="AI94" s="17" t="str">
        <f>IF(AG94="","",INDEX('quitado Despesa'!$G$1:$G$12,AG94))</f>
        <v/>
      </c>
      <c r="AJ94" s="17" t="str">
        <f t="shared" si="3"/>
        <v/>
      </c>
    </row>
    <row r="95" ht="14" spans="1:36">
      <c r="A95" s="15"/>
      <c r="B95" s="15"/>
      <c r="C95" s="15"/>
      <c r="D95" s="15"/>
      <c r="E95" s="15"/>
      <c r="F95" s="15"/>
      <c r="G95" s="15"/>
      <c r="H95" s="15"/>
      <c r="I95" s="15"/>
      <c r="J95" s="23"/>
      <c r="K95" s="23"/>
      <c r="L95" s="23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7"/>
      <c r="Y95" s="17"/>
      <c r="Z95" s="17"/>
      <c r="AA95" s="15"/>
      <c r="AE95" s="15" t="str">
        <f t="shared" si="0"/>
        <v/>
      </c>
      <c r="AF95" s="15" t="str">
        <f t="shared" si="1"/>
        <v/>
      </c>
      <c r="AG95" s="15" t="str">
        <f>IF(OR(AF95="",AF95="ERRO_CHAVE"),"",IFERROR(MATCH(AF95,'quitado Despesa'!$V$1:$V$12,0),""))</f>
        <v/>
      </c>
      <c r="AH95" s="15" t="str">
        <f t="shared" si="2"/>
        <v/>
      </c>
      <c r="AI95" s="17" t="str">
        <f>IF(AG95="","",INDEX('quitado Despesa'!$G$1:$G$12,AG95))</f>
        <v/>
      </c>
      <c r="AJ95" s="17" t="str">
        <f t="shared" si="3"/>
        <v/>
      </c>
    </row>
    <row r="96" ht="14" spans="1:36">
      <c r="A96" s="15"/>
      <c r="B96" s="15"/>
      <c r="C96" s="15"/>
      <c r="D96" s="15"/>
      <c r="E96" s="15"/>
      <c r="F96" s="15"/>
      <c r="G96" s="15"/>
      <c r="H96" s="15"/>
      <c r="I96" s="15"/>
      <c r="J96" s="23"/>
      <c r="K96" s="23"/>
      <c r="L96" s="23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7"/>
      <c r="Y96" s="17"/>
      <c r="Z96" s="17"/>
      <c r="AA96" s="15"/>
      <c r="AE96" s="15" t="str">
        <f t="shared" si="0"/>
        <v/>
      </c>
      <c r="AF96" s="15" t="str">
        <f t="shared" si="1"/>
        <v/>
      </c>
      <c r="AG96" s="15" t="str">
        <f>IF(OR(AF96="",AF96="ERRO_CHAVE"),"",IFERROR(MATCH(AF96,'quitado Despesa'!$V$1:$V$12,0),""))</f>
        <v/>
      </c>
      <c r="AH96" s="15" t="str">
        <f t="shared" si="2"/>
        <v/>
      </c>
      <c r="AI96" s="17" t="str">
        <f>IF(AG96="","",INDEX('quitado Despesa'!$G$1:$G$12,AG96))</f>
        <v/>
      </c>
      <c r="AJ96" s="17" t="str">
        <f t="shared" si="3"/>
        <v/>
      </c>
    </row>
    <row r="97" ht="14" spans="1:36">
      <c r="A97" s="15"/>
      <c r="B97" s="15"/>
      <c r="C97" s="15"/>
      <c r="D97" s="15"/>
      <c r="E97" s="15"/>
      <c r="F97" s="15"/>
      <c r="G97" s="15"/>
      <c r="H97" s="15"/>
      <c r="I97" s="15"/>
      <c r="J97" s="23"/>
      <c r="K97" s="23"/>
      <c r="L97" s="23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7"/>
      <c r="Y97" s="17"/>
      <c r="Z97" s="17"/>
      <c r="AA97" s="15"/>
      <c r="AE97" s="15" t="str">
        <f t="shared" si="0"/>
        <v/>
      </c>
      <c r="AF97" s="15" t="str">
        <f t="shared" si="1"/>
        <v/>
      </c>
      <c r="AG97" s="15" t="str">
        <f>IF(OR(AF97="",AF97="ERRO_CHAVE"),"",IFERROR(MATCH(AF97,'quitado Despesa'!$V$1:$V$12,0),""))</f>
        <v/>
      </c>
      <c r="AH97" s="15" t="str">
        <f t="shared" si="2"/>
        <v/>
      </c>
      <c r="AI97" s="17" t="str">
        <f>IF(AG97="","",INDEX('quitado Despesa'!$G$1:$G$12,AG97))</f>
        <v/>
      </c>
      <c r="AJ97" s="17" t="str">
        <f t="shared" si="3"/>
        <v/>
      </c>
    </row>
    <row r="98" ht="14" spans="1:36">
      <c r="A98" s="15"/>
      <c r="B98" s="15"/>
      <c r="C98" s="15"/>
      <c r="D98" s="15"/>
      <c r="E98" s="15"/>
      <c r="F98" s="15"/>
      <c r="G98" s="15"/>
      <c r="H98" s="15"/>
      <c r="I98" s="15"/>
      <c r="J98" s="23"/>
      <c r="K98" s="23"/>
      <c r="L98" s="23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7"/>
      <c r="Y98" s="17"/>
      <c r="Z98" s="17"/>
      <c r="AA98" s="15"/>
      <c r="AE98" s="15" t="str">
        <f t="shared" si="0"/>
        <v/>
      </c>
      <c r="AF98" s="15" t="str">
        <f t="shared" si="1"/>
        <v/>
      </c>
      <c r="AG98" s="15" t="str">
        <f>IF(OR(AF98="",AF98="ERRO_CHAVE"),"",IFERROR(MATCH(AF98,'quitado Despesa'!$V$1:$V$12,0),""))</f>
        <v/>
      </c>
      <c r="AH98" s="15" t="str">
        <f t="shared" si="2"/>
        <v/>
      </c>
      <c r="AI98" s="17" t="str">
        <f>IF(AG98="","",INDEX('quitado Despesa'!$G$1:$G$12,AG98))</f>
        <v/>
      </c>
      <c r="AJ98" s="17" t="str">
        <f t="shared" si="3"/>
        <v/>
      </c>
    </row>
    <row r="99" ht="14" spans="1:36">
      <c r="A99" s="15"/>
      <c r="B99" s="15"/>
      <c r="C99" s="15"/>
      <c r="D99" s="15"/>
      <c r="E99" s="15"/>
      <c r="F99" s="15"/>
      <c r="G99" s="15"/>
      <c r="H99" s="15"/>
      <c r="I99" s="15"/>
      <c r="J99" s="23"/>
      <c r="K99" s="23"/>
      <c r="L99" s="23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7"/>
      <c r="Y99" s="17"/>
      <c r="Z99" s="17"/>
      <c r="AA99" s="15"/>
      <c r="AE99" s="15" t="str">
        <f t="shared" si="0"/>
        <v/>
      </c>
      <c r="AF99" s="15" t="str">
        <f t="shared" si="1"/>
        <v/>
      </c>
      <c r="AG99" s="15" t="str">
        <f>IF(OR(AF99="",AF99="ERRO_CHAVE"),"",IFERROR(MATCH(AF99,'quitado Despesa'!$V$1:$V$12,0),""))</f>
        <v/>
      </c>
      <c r="AH99" s="15" t="str">
        <f t="shared" si="2"/>
        <v/>
      </c>
      <c r="AI99" s="17" t="str">
        <f>IF(AG99="","",INDEX('quitado Despesa'!$G$1:$G$12,AG99))</f>
        <v/>
      </c>
      <c r="AJ99" s="17" t="str">
        <f t="shared" si="3"/>
        <v/>
      </c>
    </row>
    <row r="100" ht="14" spans="1:36">
      <c r="A100" s="15"/>
      <c r="B100" s="15"/>
      <c r="C100" s="15"/>
      <c r="D100" s="15"/>
      <c r="E100" s="15"/>
      <c r="F100" s="15"/>
      <c r="G100" s="15"/>
      <c r="H100" s="15"/>
      <c r="I100" s="15"/>
      <c r="J100" s="23"/>
      <c r="K100" s="23"/>
      <c r="L100" s="23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7"/>
      <c r="Y100" s="17"/>
      <c r="Z100" s="17"/>
      <c r="AA100" s="15"/>
      <c r="AE100" s="15" t="str">
        <f t="shared" si="0"/>
        <v/>
      </c>
      <c r="AF100" s="15" t="str">
        <f t="shared" si="1"/>
        <v/>
      </c>
      <c r="AG100" s="15" t="str">
        <f>IF(OR(AF100="",AF100="ERRO_CHAVE"),"",IFERROR(MATCH(AF100,'quitado Despesa'!$V$1:$V$12,0),""))</f>
        <v/>
      </c>
      <c r="AH100" s="15" t="str">
        <f t="shared" si="2"/>
        <v/>
      </c>
      <c r="AI100" s="17" t="str">
        <f>IF(AG100="","",INDEX('quitado Despesa'!$G$1:$G$12,AG100))</f>
        <v/>
      </c>
      <c r="AJ100" s="17" t="str">
        <f t="shared" si="3"/>
        <v/>
      </c>
    </row>
    <row r="101" ht="14" spans="1:36">
      <c r="A101" s="15"/>
      <c r="B101" s="15"/>
      <c r="C101" s="15"/>
      <c r="D101" s="15"/>
      <c r="E101" s="15"/>
      <c r="F101" s="15"/>
      <c r="G101" s="15"/>
      <c r="H101" s="15"/>
      <c r="I101" s="15"/>
      <c r="J101" s="23"/>
      <c r="K101" s="23"/>
      <c r="L101" s="23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7"/>
      <c r="Y101" s="17"/>
      <c r="Z101" s="17"/>
      <c r="AA101" s="15"/>
      <c r="AE101" s="15" t="str">
        <f t="shared" si="0"/>
        <v/>
      </c>
      <c r="AF101" s="15" t="str">
        <f t="shared" si="1"/>
        <v/>
      </c>
      <c r="AG101" s="15" t="str">
        <f>IF(OR(AF101="",AF101="ERRO_CHAVE"),"",IFERROR(MATCH(AF101,'quitado Despesa'!$V$1:$V$12,0),""))</f>
        <v/>
      </c>
      <c r="AH101" s="15" t="str">
        <f t="shared" si="2"/>
        <v/>
      </c>
      <c r="AI101" s="17" t="str">
        <f>IF(AG101="","",INDEX('quitado Despesa'!$G$1:$G$12,AG101))</f>
        <v/>
      </c>
      <c r="AJ101" s="17" t="str">
        <f t="shared" si="3"/>
        <v/>
      </c>
    </row>
    <row r="102" ht="14" spans="1:36">
      <c r="A102" s="15"/>
      <c r="B102" s="15"/>
      <c r="C102" s="15"/>
      <c r="D102" s="15"/>
      <c r="E102" s="15"/>
      <c r="F102" s="15"/>
      <c r="G102" s="15"/>
      <c r="H102" s="15"/>
      <c r="I102" s="15"/>
      <c r="J102" s="23"/>
      <c r="K102" s="23"/>
      <c r="L102" s="23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7"/>
      <c r="Y102" s="17"/>
      <c r="Z102" s="17"/>
      <c r="AA102" s="15"/>
      <c r="AE102" s="15" t="str">
        <f t="shared" si="0"/>
        <v/>
      </c>
      <c r="AF102" s="15" t="str">
        <f t="shared" si="1"/>
        <v/>
      </c>
      <c r="AG102" s="15" t="str">
        <f>IF(OR(AF102="",AF102="ERRO_CHAVE"),"",IFERROR(MATCH(AF102,'quitado Despesa'!$V$1:$V$12,0),""))</f>
        <v/>
      </c>
      <c r="AH102" s="15" t="str">
        <f t="shared" si="2"/>
        <v/>
      </c>
      <c r="AI102" s="17" t="str">
        <f>IF(AG102="","",INDEX('quitado Despesa'!$G$1:$G$12,AG102))</f>
        <v/>
      </c>
      <c r="AJ102" s="17" t="str">
        <f t="shared" si="3"/>
        <v/>
      </c>
    </row>
    <row r="103" ht="14" spans="1:36">
      <c r="A103" s="15"/>
      <c r="B103" s="15"/>
      <c r="C103" s="15"/>
      <c r="D103" s="15"/>
      <c r="E103" s="15"/>
      <c r="F103" s="15"/>
      <c r="G103" s="15"/>
      <c r="H103" s="15"/>
      <c r="I103" s="15"/>
      <c r="J103" s="23"/>
      <c r="K103" s="23"/>
      <c r="L103" s="23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7"/>
      <c r="Y103" s="17"/>
      <c r="Z103" s="17"/>
      <c r="AA103" s="15"/>
      <c r="AE103" s="15" t="str">
        <f t="shared" si="0"/>
        <v/>
      </c>
      <c r="AF103" s="15" t="str">
        <f t="shared" si="1"/>
        <v/>
      </c>
      <c r="AG103" s="15" t="str">
        <f>IF(OR(AF103="",AF103="ERRO_CHAVE"),"",IFERROR(MATCH(AF103,'quitado Despesa'!$V$1:$V$12,0),""))</f>
        <v/>
      </c>
      <c r="AH103" s="15" t="str">
        <f t="shared" si="2"/>
        <v/>
      </c>
      <c r="AI103" s="17" t="str">
        <f>IF(AG103="","",INDEX('quitado Despesa'!$G$1:$G$12,AG103))</f>
        <v/>
      </c>
      <c r="AJ103" s="17" t="str">
        <f t="shared" si="3"/>
        <v/>
      </c>
    </row>
    <row r="104" ht="14" spans="1:36">
      <c r="A104" s="15"/>
      <c r="B104" s="15"/>
      <c r="C104" s="15"/>
      <c r="D104" s="15"/>
      <c r="E104" s="15"/>
      <c r="F104" s="15"/>
      <c r="G104" s="15"/>
      <c r="H104" s="15"/>
      <c r="I104" s="15"/>
      <c r="J104" s="23"/>
      <c r="K104" s="23"/>
      <c r="L104" s="23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7"/>
      <c r="Y104" s="17"/>
      <c r="Z104" s="17"/>
      <c r="AA104" s="15"/>
      <c r="AE104" s="15" t="str">
        <f t="shared" si="0"/>
        <v/>
      </c>
      <c r="AF104" s="15" t="str">
        <f t="shared" si="1"/>
        <v/>
      </c>
      <c r="AG104" s="15" t="str">
        <f>IF(OR(AF104="",AF104="ERRO_CHAVE"),"",IFERROR(MATCH(AF104,'quitado Despesa'!$V$1:$V$12,0),""))</f>
        <v/>
      </c>
      <c r="AH104" s="15" t="str">
        <f t="shared" si="2"/>
        <v/>
      </c>
      <c r="AI104" s="17" t="str">
        <f>IF(AG104="","",INDEX('quitado Despesa'!$G$1:$G$12,AG104))</f>
        <v/>
      </c>
      <c r="AJ104" s="17" t="str">
        <f t="shared" si="3"/>
        <v/>
      </c>
    </row>
    <row r="105" ht="14" spans="1:36">
      <c r="A105" s="15"/>
      <c r="B105" s="15"/>
      <c r="C105" s="15"/>
      <c r="D105" s="15"/>
      <c r="E105" s="15"/>
      <c r="F105" s="15"/>
      <c r="G105" s="15"/>
      <c r="H105" s="15"/>
      <c r="I105" s="15"/>
      <c r="J105" s="23"/>
      <c r="K105" s="23"/>
      <c r="L105" s="23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7"/>
      <c r="Y105" s="17"/>
      <c r="Z105" s="17"/>
      <c r="AA105" s="15"/>
      <c r="AE105" s="15" t="str">
        <f t="shared" si="0"/>
        <v/>
      </c>
      <c r="AF105" s="15" t="str">
        <f t="shared" si="1"/>
        <v/>
      </c>
      <c r="AG105" s="15" t="str">
        <f>IF(OR(AF105="",AF105="ERRO_CHAVE"),"",IFERROR(MATCH(AF105,'quitado Despesa'!$V$1:$V$12,0),""))</f>
        <v/>
      </c>
      <c r="AH105" s="15" t="str">
        <f t="shared" si="2"/>
        <v/>
      </c>
      <c r="AI105" s="17" t="str">
        <f>IF(AG105="","",INDEX('quitado Despesa'!$G$1:$G$12,AG105))</f>
        <v/>
      </c>
      <c r="AJ105" s="17" t="str">
        <f t="shared" si="3"/>
        <v/>
      </c>
    </row>
    <row r="106" ht="14" spans="1:36">
      <c r="A106" s="15"/>
      <c r="B106" s="15"/>
      <c r="C106" s="15"/>
      <c r="D106" s="15"/>
      <c r="E106" s="15"/>
      <c r="F106" s="15"/>
      <c r="G106" s="15"/>
      <c r="H106" s="15"/>
      <c r="I106" s="15"/>
      <c r="J106" s="23"/>
      <c r="K106" s="23"/>
      <c r="L106" s="23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7"/>
      <c r="Y106" s="17"/>
      <c r="Z106" s="17"/>
      <c r="AA106" s="15"/>
      <c r="AE106" s="15" t="str">
        <f t="shared" si="0"/>
        <v/>
      </c>
      <c r="AF106" s="15" t="str">
        <f t="shared" si="1"/>
        <v/>
      </c>
      <c r="AG106" s="15" t="str">
        <f>IF(OR(AF106="",AF106="ERRO_CHAVE"),"",IFERROR(MATCH(AF106,'quitado Despesa'!$V$1:$V$12,0),""))</f>
        <v/>
      </c>
      <c r="AH106" s="15" t="str">
        <f t="shared" si="2"/>
        <v/>
      </c>
      <c r="AI106" s="17" t="str">
        <f>IF(AG106="","",INDEX('quitado Despesa'!$G$1:$G$12,AG106))</f>
        <v/>
      </c>
      <c r="AJ106" s="17" t="str">
        <f t="shared" si="3"/>
        <v/>
      </c>
    </row>
    <row r="107" ht="14" spans="1:36">
      <c r="A107" s="15"/>
      <c r="B107" s="15"/>
      <c r="C107" s="15"/>
      <c r="D107" s="15"/>
      <c r="E107" s="15"/>
      <c r="F107" s="15"/>
      <c r="G107" s="15"/>
      <c r="H107" s="15"/>
      <c r="I107" s="15"/>
      <c r="J107" s="23"/>
      <c r="K107" s="23"/>
      <c r="L107" s="23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7"/>
      <c r="Y107" s="17"/>
      <c r="Z107" s="17"/>
      <c r="AA107" s="15"/>
      <c r="AE107" s="15" t="str">
        <f t="shared" si="0"/>
        <v/>
      </c>
      <c r="AF107" s="15" t="str">
        <f t="shared" si="1"/>
        <v/>
      </c>
      <c r="AG107" s="15" t="str">
        <f>IF(OR(AF107="",AF107="ERRO_CHAVE"),"",IFERROR(MATCH(AF107,'quitado Despesa'!$V$1:$V$12,0),""))</f>
        <v/>
      </c>
      <c r="AH107" s="15" t="str">
        <f t="shared" si="2"/>
        <v/>
      </c>
      <c r="AI107" s="17" t="str">
        <f>IF(AG107="","",INDEX('quitado Despesa'!$G$1:$G$12,AG107))</f>
        <v/>
      </c>
      <c r="AJ107" s="17" t="str">
        <f t="shared" si="3"/>
        <v/>
      </c>
    </row>
    <row r="108" ht="14" spans="1:36">
      <c r="A108" s="15"/>
      <c r="B108" s="15"/>
      <c r="C108" s="15"/>
      <c r="D108" s="15"/>
      <c r="E108" s="15"/>
      <c r="F108" s="15"/>
      <c r="G108" s="15"/>
      <c r="H108" s="15"/>
      <c r="I108" s="15"/>
      <c r="J108" s="23"/>
      <c r="K108" s="23"/>
      <c r="L108" s="23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7"/>
      <c r="Y108" s="17"/>
      <c r="Z108" s="17"/>
      <c r="AA108" s="15"/>
      <c r="AE108" s="15" t="str">
        <f t="shared" si="0"/>
        <v/>
      </c>
      <c r="AF108" s="15" t="str">
        <f t="shared" si="1"/>
        <v/>
      </c>
      <c r="AG108" s="15" t="str">
        <f>IF(OR(AF108="",AF108="ERRO_CHAVE"),"",IFERROR(MATCH(AF108,'quitado Despesa'!$V$1:$V$12,0),""))</f>
        <v/>
      </c>
      <c r="AH108" s="15" t="str">
        <f t="shared" si="2"/>
        <v/>
      </c>
      <c r="AI108" s="17" t="str">
        <f>IF(AG108="","",INDEX('quitado Despesa'!$G$1:$G$12,AG108))</f>
        <v/>
      </c>
      <c r="AJ108" s="17" t="str">
        <f t="shared" si="3"/>
        <v/>
      </c>
    </row>
    <row r="109" ht="14" spans="1:36">
      <c r="A109" s="15"/>
      <c r="B109" s="15"/>
      <c r="C109" s="15"/>
      <c r="D109" s="15"/>
      <c r="E109" s="15"/>
      <c r="F109" s="15"/>
      <c r="G109" s="15"/>
      <c r="H109" s="15"/>
      <c r="I109" s="15"/>
      <c r="J109" s="23"/>
      <c r="K109" s="23"/>
      <c r="L109" s="23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7"/>
      <c r="Y109" s="17"/>
      <c r="Z109" s="17"/>
      <c r="AA109" s="15"/>
      <c r="AE109" s="15" t="str">
        <f t="shared" si="0"/>
        <v/>
      </c>
      <c r="AF109" s="15" t="str">
        <f t="shared" si="1"/>
        <v/>
      </c>
      <c r="AG109" s="15" t="str">
        <f>IF(OR(AF109="",AF109="ERRO_CHAVE"),"",IFERROR(MATCH(AF109,'quitado Despesa'!$V$1:$V$12,0),""))</f>
        <v/>
      </c>
      <c r="AH109" s="15" t="str">
        <f t="shared" si="2"/>
        <v/>
      </c>
      <c r="AI109" s="17" t="str">
        <f>IF(AG109="","",INDEX('quitado Despesa'!$G$1:$G$12,AG109))</f>
        <v/>
      </c>
      <c r="AJ109" s="17" t="str">
        <f t="shared" si="3"/>
        <v/>
      </c>
    </row>
    <row r="110" ht="14" spans="1:36">
      <c r="A110" s="15"/>
      <c r="B110" s="15"/>
      <c r="C110" s="15"/>
      <c r="D110" s="15"/>
      <c r="E110" s="15"/>
      <c r="F110" s="15"/>
      <c r="G110" s="15"/>
      <c r="H110" s="15"/>
      <c r="I110" s="15"/>
      <c r="J110" s="23"/>
      <c r="K110" s="23"/>
      <c r="L110" s="23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7"/>
      <c r="Y110" s="17"/>
      <c r="Z110" s="17"/>
      <c r="AA110" s="15"/>
      <c r="AE110" s="15" t="str">
        <f t="shared" si="0"/>
        <v/>
      </c>
      <c r="AF110" s="15" t="str">
        <f t="shared" si="1"/>
        <v/>
      </c>
      <c r="AG110" s="15" t="str">
        <f>IF(OR(AF110="",AF110="ERRO_CHAVE"),"",IFERROR(MATCH(AF110,'quitado Despesa'!$V$1:$V$12,0),""))</f>
        <v/>
      </c>
      <c r="AH110" s="15" t="str">
        <f t="shared" si="2"/>
        <v/>
      </c>
      <c r="AI110" s="17" t="str">
        <f>IF(AG110="","",INDEX('quitado Despesa'!$G$1:$G$12,AG110))</f>
        <v/>
      </c>
      <c r="AJ110" s="17" t="str">
        <f t="shared" si="3"/>
        <v/>
      </c>
    </row>
    <row r="111" ht="14" spans="1:36">
      <c r="A111" s="15"/>
      <c r="B111" s="15"/>
      <c r="C111" s="15"/>
      <c r="D111" s="15"/>
      <c r="E111" s="15"/>
      <c r="F111" s="15"/>
      <c r="G111" s="15"/>
      <c r="H111" s="15"/>
      <c r="I111" s="15"/>
      <c r="J111" s="23"/>
      <c r="K111" s="23"/>
      <c r="L111" s="23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7"/>
      <c r="Y111" s="17"/>
      <c r="Z111" s="17"/>
      <c r="AA111" s="15"/>
      <c r="AE111" s="15" t="str">
        <f t="shared" si="0"/>
        <v/>
      </c>
      <c r="AF111" s="15" t="str">
        <f t="shared" si="1"/>
        <v/>
      </c>
      <c r="AG111" s="15" t="str">
        <f>IF(OR(AF111="",AF111="ERRO_CHAVE"),"",IFERROR(MATCH(AF111,'quitado Despesa'!$V$1:$V$12,0),""))</f>
        <v/>
      </c>
      <c r="AH111" s="15" t="str">
        <f t="shared" si="2"/>
        <v/>
      </c>
      <c r="AI111" s="17" t="str">
        <f>IF(AG111="","",INDEX('quitado Despesa'!$G$1:$G$12,AG111))</f>
        <v/>
      </c>
      <c r="AJ111" s="17" t="str">
        <f t="shared" si="3"/>
        <v/>
      </c>
    </row>
    <row r="112" ht="14" spans="1:36">
      <c r="A112" s="15"/>
      <c r="B112" s="15"/>
      <c r="C112" s="15"/>
      <c r="D112" s="15"/>
      <c r="E112" s="15"/>
      <c r="F112" s="15"/>
      <c r="G112" s="15"/>
      <c r="H112" s="15"/>
      <c r="I112" s="15"/>
      <c r="J112" s="23"/>
      <c r="K112" s="23"/>
      <c r="L112" s="23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7"/>
      <c r="Y112" s="17"/>
      <c r="Z112" s="17"/>
      <c r="AA112" s="15"/>
      <c r="AE112" s="15" t="str">
        <f t="shared" si="0"/>
        <v/>
      </c>
      <c r="AF112" s="15" t="str">
        <f t="shared" si="1"/>
        <v/>
      </c>
      <c r="AG112" s="15" t="str">
        <f>IF(OR(AF112="",AF112="ERRO_CHAVE"),"",IFERROR(MATCH(AF112,'quitado Despesa'!$V$1:$V$12,0),""))</f>
        <v/>
      </c>
      <c r="AH112" s="15" t="str">
        <f t="shared" si="2"/>
        <v/>
      </c>
      <c r="AI112" s="17" t="str">
        <f>IF(AG112="","",INDEX('quitado Despesa'!$G$1:$G$12,AG112))</f>
        <v/>
      </c>
      <c r="AJ112" s="17" t="str">
        <f t="shared" si="3"/>
        <v/>
      </c>
    </row>
    <row r="113" ht="14" spans="1:36">
      <c r="A113" s="15"/>
      <c r="B113" s="15"/>
      <c r="C113" s="15"/>
      <c r="D113" s="15"/>
      <c r="E113" s="15"/>
      <c r="F113" s="15"/>
      <c r="G113" s="15"/>
      <c r="H113" s="15"/>
      <c r="I113" s="15"/>
      <c r="J113" s="23"/>
      <c r="K113" s="23"/>
      <c r="L113" s="23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7"/>
      <c r="Y113" s="17"/>
      <c r="Z113" s="17"/>
      <c r="AA113" s="15"/>
      <c r="AE113" s="15" t="str">
        <f t="shared" si="0"/>
        <v/>
      </c>
      <c r="AF113" s="15" t="str">
        <f t="shared" si="1"/>
        <v/>
      </c>
      <c r="AG113" s="15" t="str">
        <f>IF(OR(AF113="",AF113="ERRO_CHAVE"),"",IFERROR(MATCH(AF113,'quitado Despesa'!$V$1:$V$12,0),""))</f>
        <v/>
      </c>
      <c r="AH113" s="15" t="str">
        <f t="shared" si="2"/>
        <v/>
      </c>
      <c r="AI113" s="17" t="str">
        <f>IF(AG113="","",INDEX('quitado Despesa'!$G$1:$G$12,AG113))</f>
        <v/>
      </c>
      <c r="AJ113" s="17" t="str">
        <f t="shared" si="3"/>
        <v/>
      </c>
    </row>
    <row r="114" ht="14" spans="1:36">
      <c r="A114" s="15"/>
      <c r="B114" s="15"/>
      <c r="C114" s="15"/>
      <c r="D114" s="15"/>
      <c r="E114" s="15"/>
      <c r="F114" s="15"/>
      <c r="G114" s="15"/>
      <c r="H114" s="15"/>
      <c r="I114" s="15"/>
      <c r="J114" s="23"/>
      <c r="K114" s="23"/>
      <c r="L114" s="23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7"/>
      <c r="Y114" s="17"/>
      <c r="Z114" s="17"/>
      <c r="AA114" s="15"/>
      <c r="AE114" s="15" t="str">
        <f t="shared" si="0"/>
        <v/>
      </c>
      <c r="AF114" s="15" t="str">
        <f t="shared" si="1"/>
        <v/>
      </c>
      <c r="AG114" s="15" t="str">
        <f>IF(OR(AF114="",AF114="ERRO_CHAVE"),"",IFERROR(MATCH(AF114,'quitado Despesa'!$V$1:$V$12,0),""))</f>
        <v/>
      </c>
      <c r="AH114" s="15" t="str">
        <f t="shared" si="2"/>
        <v/>
      </c>
      <c r="AI114" s="17" t="str">
        <f>IF(AG114="","",INDEX('quitado Despesa'!$G$1:$G$12,AG114))</f>
        <v/>
      </c>
      <c r="AJ114" s="17" t="str">
        <f t="shared" si="3"/>
        <v/>
      </c>
    </row>
    <row r="115" ht="14" spans="1:36">
      <c r="A115" s="15"/>
      <c r="B115" s="15"/>
      <c r="C115" s="15"/>
      <c r="D115" s="15"/>
      <c r="E115" s="15"/>
      <c r="F115" s="15"/>
      <c r="G115" s="15"/>
      <c r="H115" s="15"/>
      <c r="I115" s="15"/>
      <c r="J115" s="23"/>
      <c r="K115" s="23"/>
      <c r="L115" s="23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7"/>
      <c r="Y115" s="17"/>
      <c r="Z115" s="17"/>
      <c r="AA115" s="15"/>
      <c r="AE115" s="15" t="str">
        <f t="shared" si="0"/>
        <v/>
      </c>
      <c r="AF115" s="15" t="str">
        <f t="shared" si="1"/>
        <v/>
      </c>
      <c r="AG115" s="15" t="str">
        <f>IF(OR(AF115="",AF115="ERRO_CHAVE"),"",IFERROR(MATCH(AF115,'quitado Despesa'!$V$1:$V$12,0),""))</f>
        <v/>
      </c>
      <c r="AH115" s="15" t="str">
        <f t="shared" si="2"/>
        <v/>
      </c>
      <c r="AI115" s="17" t="str">
        <f>IF(AG115="","",INDEX('quitado Despesa'!$G$1:$G$12,AG115))</f>
        <v/>
      </c>
      <c r="AJ115" s="17" t="str">
        <f t="shared" si="3"/>
        <v/>
      </c>
    </row>
    <row r="116" ht="14" spans="1:36">
      <c r="A116" s="15"/>
      <c r="B116" s="15"/>
      <c r="C116" s="15"/>
      <c r="D116" s="15"/>
      <c r="E116" s="15"/>
      <c r="F116" s="15"/>
      <c r="G116" s="15"/>
      <c r="H116" s="15"/>
      <c r="I116" s="15"/>
      <c r="J116" s="23"/>
      <c r="K116" s="23"/>
      <c r="L116" s="23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7"/>
      <c r="Y116" s="17"/>
      <c r="Z116" s="17"/>
      <c r="AA116" s="15"/>
      <c r="AE116" s="15" t="str">
        <f t="shared" si="0"/>
        <v/>
      </c>
      <c r="AF116" s="15" t="str">
        <f t="shared" si="1"/>
        <v/>
      </c>
      <c r="AG116" s="15" t="str">
        <f>IF(OR(AF116="",AF116="ERRO_CHAVE"),"",IFERROR(MATCH(AF116,'quitado Despesa'!$V$1:$V$12,0),""))</f>
        <v/>
      </c>
      <c r="AH116" s="15" t="str">
        <f t="shared" si="2"/>
        <v/>
      </c>
      <c r="AI116" s="17" t="str">
        <f>IF(AG116="","",INDEX('quitado Despesa'!$G$1:$G$12,AG116))</f>
        <v/>
      </c>
      <c r="AJ116" s="17" t="str">
        <f t="shared" si="3"/>
        <v/>
      </c>
    </row>
    <row r="117" ht="14" spans="1:36">
      <c r="A117" s="15"/>
      <c r="B117" s="15"/>
      <c r="C117" s="15"/>
      <c r="D117" s="15"/>
      <c r="E117" s="15"/>
      <c r="F117" s="15"/>
      <c r="G117" s="15"/>
      <c r="H117" s="15"/>
      <c r="I117" s="15"/>
      <c r="J117" s="23"/>
      <c r="K117" s="23"/>
      <c r="L117" s="23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7"/>
      <c r="Y117" s="17"/>
      <c r="Z117" s="17"/>
      <c r="AA117" s="15"/>
      <c r="AE117" s="15" t="str">
        <f t="shared" si="0"/>
        <v/>
      </c>
      <c r="AF117" s="15" t="str">
        <f t="shared" si="1"/>
        <v/>
      </c>
      <c r="AG117" s="15" t="str">
        <f>IF(OR(AF117="",AF117="ERRO_CHAVE"),"",IFERROR(MATCH(AF117,'quitado Despesa'!$V$1:$V$12,0),""))</f>
        <v/>
      </c>
      <c r="AH117" s="15" t="str">
        <f t="shared" si="2"/>
        <v/>
      </c>
      <c r="AI117" s="17" t="str">
        <f>IF(AG117="","",INDEX('quitado Despesa'!$G$1:$G$12,AG117))</f>
        <v/>
      </c>
      <c r="AJ117" s="17" t="str">
        <f t="shared" si="3"/>
        <v/>
      </c>
    </row>
    <row r="118" ht="14" spans="1:36">
      <c r="A118" s="15"/>
      <c r="B118" s="15"/>
      <c r="C118" s="15"/>
      <c r="D118" s="15"/>
      <c r="E118" s="15"/>
      <c r="F118" s="15"/>
      <c r="G118" s="15"/>
      <c r="H118" s="15"/>
      <c r="I118" s="15"/>
      <c r="J118" s="23"/>
      <c r="K118" s="23"/>
      <c r="L118" s="23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7"/>
      <c r="Y118" s="17"/>
      <c r="Z118" s="17"/>
      <c r="AA118" s="15"/>
      <c r="AE118" s="15" t="str">
        <f t="shared" si="0"/>
        <v/>
      </c>
      <c r="AF118" s="15" t="str">
        <f t="shared" si="1"/>
        <v/>
      </c>
      <c r="AG118" s="15" t="str">
        <f>IF(OR(AF118="",AF118="ERRO_CHAVE"),"",IFERROR(MATCH(AF118,'quitado Despesa'!$V$1:$V$12,0),""))</f>
        <v/>
      </c>
      <c r="AH118" s="15" t="str">
        <f t="shared" si="2"/>
        <v/>
      </c>
      <c r="AI118" s="17" t="str">
        <f>IF(AG118="","",INDEX('quitado Despesa'!$G$1:$G$12,AG118))</f>
        <v/>
      </c>
      <c r="AJ118" s="17" t="str">
        <f t="shared" si="3"/>
        <v/>
      </c>
    </row>
    <row r="119" ht="14" spans="1:36">
      <c r="A119" s="15"/>
      <c r="B119" s="15"/>
      <c r="C119" s="15"/>
      <c r="D119" s="15"/>
      <c r="E119" s="15"/>
      <c r="F119" s="15"/>
      <c r="G119" s="15"/>
      <c r="H119" s="15"/>
      <c r="I119" s="15"/>
      <c r="J119" s="23"/>
      <c r="K119" s="23"/>
      <c r="L119" s="23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7"/>
      <c r="Y119" s="17"/>
      <c r="Z119" s="17"/>
      <c r="AA119" s="15"/>
      <c r="AE119" s="15" t="str">
        <f t="shared" si="0"/>
        <v/>
      </c>
      <c r="AF119" s="15" t="str">
        <f t="shared" si="1"/>
        <v/>
      </c>
      <c r="AG119" s="15" t="str">
        <f>IF(OR(AF119="",AF119="ERRO_CHAVE"),"",IFERROR(MATCH(AF119,'quitado Despesa'!$V$1:$V$12,0),""))</f>
        <v/>
      </c>
      <c r="AH119" s="15" t="str">
        <f t="shared" si="2"/>
        <v/>
      </c>
      <c r="AI119" s="17" t="str">
        <f>IF(AG119="","",INDEX('quitado Despesa'!$G$1:$G$12,AG119))</f>
        <v/>
      </c>
      <c r="AJ119" s="17" t="str">
        <f t="shared" si="3"/>
        <v/>
      </c>
    </row>
    <row r="120" ht="14" spans="1:36">
      <c r="A120" s="15"/>
      <c r="B120" s="15"/>
      <c r="C120" s="15"/>
      <c r="D120" s="15"/>
      <c r="E120" s="15"/>
      <c r="F120" s="15"/>
      <c r="G120" s="15"/>
      <c r="H120" s="15"/>
      <c r="I120" s="15"/>
      <c r="J120" s="23"/>
      <c r="K120" s="23"/>
      <c r="L120" s="23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7"/>
      <c r="Y120" s="17"/>
      <c r="Z120" s="17"/>
      <c r="AA120" s="15"/>
      <c r="AE120" s="15" t="str">
        <f t="shared" si="0"/>
        <v/>
      </c>
      <c r="AF120" s="15" t="str">
        <f t="shared" si="1"/>
        <v/>
      </c>
      <c r="AG120" s="15" t="str">
        <f>IF(OR(AF120="",AF120="ERRO_CHAVE"),"",IFERROR(MATCH(AF120,'quitado Despesa'!$V$1:$V$12,0),""))</f>
        <v/>
      </c>
      <c r="AH120" s="15" t="str">
        <f t="shared" si="2"/>
        <v/>
      </c>
      <c r="AI120" s="17" t="str">
        <f>IF(AG120="","",INDEX('quitado Despesa'!$G$1:$G$12,AG120))</f>
        <v/>
      </c>
      <c r="AJ120" s="17" t="str">
        <f t="shared" si="3"/>
        <v/>
      </c>
    </row>
    <row r="121" ht="14" spans="1:36">
      <c r="A121" s="15"/>
      <c r="B121" s="15"/>
      <c r="C121" s="15"/>
      <c r="D121" s="15"/>
      <c r="E121" s="15"/>
      <c r="F121" s="15"/>
      <c r="G121" s="15"/>
      <c r="H121" s="15"/>
      <c r="I121" s="15"/>
      <c r="J121" s="23"/>
      <c r="K121" s="23"/>
      <c r="L121" s="23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7"/>
      <c r="Y121" s="17"/>
      <c r="Z121" s="17"/>
      <c r="AA121" s="15"/>
      <c r="AE121" s="15" t="str">
        <f t="shared" si="0"/>
        <v/>
      </c>
      <c r="AF121" s="15" t="str">
        <f t="shared" si="1"/>
        <v/>
      </c>
      <c r="AG121" s="15" t="str">
        <f>IF(OR(AF121="",AF121="ERRO_CHAVE"),"",IFERROR(MATCH(AF121,'quitado Despesa'!$V$1:$V$12,0),""))</f>
        <v/>
      </c>
      <c r="AH121" s="15" t="str">
        <f t="shared" si="2"/>
        <v/>
      </c>
      <c r="AI121" s="17" t="str">
        <f>IF(AG121="","",INDEX('quitado Despesa'!$G$1:$G$12,AG121))</f>
        <v/>
      </c>
      <c r="AJ121" s="17" t="str">
        <f t="shared" si="3"/>
        <v/>
      </c>
    </row>
    <row r="122" ht="14" spans="1:36">
      <c r="A122" s="15"/>
      <c r="B122" s="15"/>
      <c r="C122" s="15"/>
      <c r="D122" s="15"/>
      <c r="E122" s="15"/>
      <c r="F122" s="15"/>
      <c r="G122" s="15"/>
      <c r="H122" s="15"/>
      <c r="I122" s="15"/>
      <c r="J122" s="23"/>
      <c r="K122" s="23"/>
      <c r="L122" s="23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7"/>
      <c r="Y122" s="17"/>
      <c r="Z122" s="17"/>
      <c r="AA122" s="15"/>
      <c r="AE122" s="15" t="str">
        <f t="shared" si="0"/>
        <v/>
      </c>
      <c r="AF122" s="15" t="str">
        <f t="shared" si="1"/>
        <v/>
      </c>
      <c r="AG122" s="15" t="str">
        <f>IF(OR(AF122="",AF122="ERRO_CHAVE"),"",IFERROR(MATCH(AF122,'quitado Despesa'!$V$1:$V$12,0),""))</f>
        <v/>
      </c>
      <c r="AH122" s="15" t="str">
        <f t="shared" si="2"/>
        <v/>
      </c>
      <c r="AI122" s="17" t="str">
        <f>IF(AG122="","",INDEX('quitado Despesa'!$G$1:$G$12,AG122))</f>
        <v/>
      </c>
      <c r="AJ122" s="17" t="str">
        <f t="shared" si="3"/>
        <v/>
      </c>
    </row>
    <row r="123" ht="14" spans="1:36">
      <c r="A123" s="15"/>
      <c r="B123" s="15"/>
      <c r="C123" s="15"/>
      <c r="D123" s="15"/>
      <c r="E123" s="15"/>
      <c r="F123" s="15"/>
      <c r="G123" s="15"/>
      <c r="H123" s="15"/>
      <c r="I123" s="15"/>
      <c r="J123" s="23"/>
      <c r="K123" s="23"/>
      <c r="L123" s="23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7"/>
      <c r="Y123" s="17"/>
      <c r="Z123" s="17"/>
      <c r="AA123" s="15"/>
      <c r="AE123" s="15" t="str">
        <f t="shared" si="0"/>
        <v/>
      </c>
      <c r="AF123" s="15" t="str">
        <f t="shared" si="1"/>
        <v/>
      </c>
      <c r="AG123" s="15" t="str">
        <f>IF(OR(AF123="",AF123="ERRO_CHAVE"),"",IFERROR(MATCH(AF123,'quitado Despesa'!$V$1:$V$12,0),""))</f>
        <v/>
      </c>
      <c r="AH123" s="15" t="str">
        <f t="shared" si="2"/>
        <v/>
      </c>
      <c r="AI123" s="17" t="str">
        <f>IF(AG123="","",INDEX('quitado Despesa'!$G$1:$G$12,AG123))</f>
        <v/>
      </c>
      <c r="AJ123" s="17" t="str">
        <f t="shared" si="3"/>
        <v/>
      </c>
    </row>
    <row r="124" ht="14" spans="1:36">
      <c r="A124" s="15"/>
      <c r="B124" s="15"/>
      <c r="C124" s="15"/>
      <c r="D124" s="15"/>
      <c r="E124" s="15"/>
      <c r="F124" s="15"/>
      <c r="G124" s="15"/>
      <c r="H124" s="15"/>
      <c r="I124" s="15"/>
      <c r="J124" s="23"/>
      <c r="K124" s="23"/>
      <c r="L124" s="23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7"/>
      <c r="Y124" s="17"/>
      <c r="Z124" s="17"/>
      <c r="AA124" s="15"/>
      <c r="AE124" s="15" t="str">
        <f t="shared" si="0"/>
        <v/>
      </c>
      <c r="AF124" s="15" t="str">
        <f t="shared" si="1"/>
        <v/>
      </c>
      <c r="AG124" s="15" t="str">
        <f>IF(OR(AF124="",AF124="ERRO_CHAVE"),"",IFERROR(MATCH(AF124,'quitado Despesa'!$V$1:$V$12,0),""))</f>
        <v/>
      </c>
      <c r="AH124" s="15" t="str">
        <f t="shared" si="2"/>
        <v/>
      </c>
      <c r="AI124" s="17" t="str">
        <f>IF(AG124="","",INDEX('quitado Despesa'!$G$1:$G$12,AG124))</f>
        <v/>
      </c>
      <c r="AJ124" s="17" t="str">
        <f t="shared" si="3"/>
        <v/>
      </c>
    </row>
    <row r="125" ht="14" spans="1:36">
      <c r="A125" s="15"/>
      <c r="B125" s="15"/>
      <c r="C125" s="15"/>
      <c r="D125" s="15"/>
      <c r="E125" s="15"/>
      <c r="F125" s="15"/>
      <c r="G125" s="15"/>
      <c r="H125" s="15"/>
      <c r="I125" s="15"/>
      <c r="J125" s="23"/>
      <c r="K125" s="23"/>
      <c r="L125" s="23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7"/>
      <c r="Y125" s="17"/>
      <c r="Z125" s="17"/>
      <c r="AA125" s="15"/>
      <c r="AE125" s="15" t="str">
        <f t="shared" si="0"/>
        <v/>
      </c>
      <c r="AF125" s="15" t="str">
        <f t="shared" si="1"/>
        <v/>
      </c>
      <c r="AG125" s="15" t="str">
        <f>IF(OR(AF125="",AF125="ERRO_CHAVE"),"",IFERROR(MATCH(AF125,'quitado Despesa'!$V$1:$V$12,0),""))</f>
        <v/>
      </c>
      <c r="AH125" s="15" t="str">
        <f t="shared" si="2"/>
        <v/>
      </c>
      <c r="AI125" s="17" t="str">
        <f>IF(AG125="","",INDEX('quitado Despesa'!$G$1:$G$12,AG125))</f>
        <v/>
      </c>
      <c r="AJ125" s="17" t="str">
        <f t="shared" si="3"/>
        <v/>
      </c>
    </row>
    <row r="126" ht="14" spans="1:36">
      <c r="A126" s="15"/>
      <c r="B126" s="15"/>
      <c r="C126" s="15"/>
      <c r="D126" s="15"/>
      <c r="E126" s="15"/>
      <c r="F126" s="15"/>
      <c r="G126" s="15"/>
      <c r="H126" s="15"/>
      <c r="I126" s="15"/>
      <c r="J126" s="23"/>
      <c r="K126" s="23"/>
      <c r="L126" s="23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7"/>
      <c r="Y126" s="17"/>
      <c r="Z126" s="17"/>
      <c r="AA126" s="15"/>
      <c r="AE126" s="15" t="str">
        <f t="shared" si="0"/>
        <v/>
      </c>
      <c r="AF126" s="15" t="str">
        <f t="shared" si="1"/>
        <v/>
      </c>
      <c r="AG126" s="15" t="str">
        <f>IF(OR(AF126="",AF126="ERRO_CHAVE"),"",IFERROR(MATCH(AF126,'quitado Despesa'!$V$1:$V$12,0),""))</f>
        <v/>
      </c>
      <c r="AH126" s="15" t="str">
        <f t="shared" si="2"/>
        <v/>
      </c>
      <c r="AI126" s="17" t="str">
        <f>IF(AG126="","",INDEX('quitado Despesa'!$G$1:$G$12,AG126))</f>
        <v/>
      </c>
      <c r="AJ126" s="17" t="str">
        <f t="shared" si="3"/>
        <v/>
      </c>
    </row>
    <row r="127" ht="14" spans="1:36">
      <c r="A127" s="15"/>
      <c r="B127" s="15"/>
      <c r="C127" s="15"/>
      <c r="D127" s="15"/>
      <c r="E127" s="15"/>
      <c r="F127" s="15"/>
      <c r="G127" s="15"/>
      <c r="H127" s="15"/>
      <c r="I127" s="15"/>
      <c r="J127" s="23"/>
      <c r="K127" s="23"/>
      <c r="L127" s="23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7"/>
      <c r="Y127" s="17"/>
      <c r="Z127" s="17"/>
      <c r="AA127" s="15"/>
      <c r="AE127" s="15" t="str">
        <f t="shared" si="0"/>
        <v/>
      </c>
      <c r="AF127" s="15" t="str">
        <f t="shared" si="1"/>
        <v/>
      </c>
      <c r="AG127" s="15" t="str">
        <f>IF(OR(AF127="",AF127="ERRO_CHAVE"),"",IFERROR(MATCH(AF127,'quitado Despesa'!$V$1:$V$12,0),""))</f>
        <v/>
      </c>
      <c r="AH127" s="15" t="str">
        <f t="shared" si="2"/>
        <v/>
      </c>
      <c r="AI127" s="17" t="str">
        <f>IF(AG127="","",INDEX('quitado Despesa'!$G$1:$G$12,AG127))</f>
        <v/>
      </c>
      <c r="AJ127" s="17" t="str">
        <f t="shared" si="3"/>
        <v/>
      </c>
    </row>
    <row r="128" ht="14" spans="1:36">
      <c r="A128" s="15"/>
      <c r="B128" s="15"/>
      <c r="C128" s="15"/>
      <c r="D128" s="15"/>
      <c r="E128" s="15"/>
      <c r="F128" s="15"/>
      <c r="G128" s="15"/>
      <c r="H128" s="15"/>
      <c r="I128" s="15"/>
      <c r="J128" s="23"/>
      <c r="K128" s="23"/>
      <c r="L128" s="23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7"/>
      <c r="Y128" s="17"/>
      <c r="Z128" s="17"/>
      <c r="AA128" s="15"/>
      <c r="AE128" s="15" t="str">
        <f t="shared" si="0"/>
        <v/>
      </c>
      <c r="AF128" s="15" t="str">
        <f t="shared" si="1"/>
        <v/>
      </c>
      <c r="AG128" s="15" t="str">
        <f>IF(OR(AF128="",AF128="ERRO_CHAVE"),"",IFERROR(MATCH(AF128,'quitado Despesa'!$V$1:$V$12,0),""))</f>
        <v/>
      </c>
      <c r="AH128" s="15" t="str">
        <f t="shared" si="2"/>
        <v/>
      </c>
      <c r="AI128" s="17" t="str">
        <f>IF(AG128="","",INDEX('quitado Despesa'!$G$1:$G$12,AG128))</f>
        <v/>
      </c>
      <c r="AJ128" s="17" t="str">
        <f t="shared" si="3"/>
        <v/>
      </c>
    </row>
    <row r="129" ht="14" spans="1:36">
      <c r="A129" s="15"/>
      <c r="B129" s="15"/>
      <c r="C129" s="15"/>
      <c r="D129" s="15"/>
      <c r="E129" s="15"/>
      <c r="F129" s="15"/>
      <c r="G129" s="15"/>
      <c r="H129" s="15"/>
      <c r="I129" s="15"/>
      <c r="J129" s="23"/>
      <c r="K129" s="23"/>
      <c r="L129" s="23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7"/>
      <c r="Y129" s="17"/>
      <c r="Z129" s="17"/>
      <c r="AA129" s="15"/>
      <c r="AE129" s="15" t="str">
        <f t="shared" si="0"/>
        <v/>
      </c>
      <c r="AF129" s="15" t="str">
        <f t="shared" si="1"/>
        <v/>
      </c>
      <c r="AG129" s="15" t="str">
        <f>IF(OR(AF129="",AF129="ERRO_CHAVE"),"",IFERROR(MATCH(AF129,'quitado Despesa'!$V$1:$V$12,0),""))</f>
        <v/>
      </c>
      <c r="AH129" s="15" t="str">
        <f t="shared" si="2"/>
        <v/>
      </c>
      <c r="AI129" s="17" t="str">
        <f>IF(AG129="","",INDEX('quitado Despesa'!$G$1:$G$12,AG129))</f>
        <v/>
      </c>
      <c r="AJ129" s="17" t="str">
        <f t="shared" si="3"/>
        <v/>
      </c>
    </row>
    <row r="130" ht="14" spans="1:36">
      <c r="A130" s="15"/>
      <c r="B130" s="15"/>
      <c r="C130" s="15"/>
      <c r="D130" s="15"/>
      <c r="E130" s="15"/>
      <c r="F130" s="15"/>
      <c r="G130" s="15"/>
      <c r="H130" s="15"/>
      <c r="I130" s="15"/>
      <c r="J130" s="23"/>
      <c r="K130" s="23"/>
      <c r="L130" s="23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7"/>
      <c r="Y130" s="17"/>
      <c r="Z130" s="17"/>
      <c r="AA130" s="15"/>
      <c r="AE130" s="15" t="str">
        <f t="shared" si="0"/>
        <v/>
      </c>
      <c r="AF130" s="15" t="str">
        <f t="shared" si="1"/>
        <v/>
      </c>
      <c r="AG130" s="15" t="str">
        <f>IF(OR(AF130="",AF130="ERRO_CHAVE"),"",IFERROR(MATCH(AF130,'quitado Despesa'!$V$1:$V$12,0),""))</f>
        <v/>
      </c>
      <c r="AH130" s="15" t="str">
        <f t="shared" si="2"/>
        <v/>
      </c>
      <c r="AI130" s="17" t="str">
        <f>IF(AG130="","",INDEX('quitado Despesa'!$G$1:$G$12,AG130))</f>
        <v/>
      </c>
      <c r="AJ130" s="17" t="str">
        <f t="shared" si="3"/>
        <v/>
      </c>
    </row>
    <row r="131" ht="14" spans="1:36">
      <c r="A131" s="15"/>
      <c r="B131" s="15"/>
      <c r="C131" s="15"/>
      <c r="D131" s="15"/>
      <c r="E131" s="15"/>
      <c r="F131" s="15"/>
      <c r="G131" s="15"/>
      <c r="H131" s="15"/>
      <c r="I131" s="15"/>
      <c r="J131" s="23"/>
      <c r="K131" s="23"/>
      <c r="L131" s="23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7"/>
      <c r="Y131" s="17"/>
      <c r="Z131" s="17"/>
      <c r="AA131" s="15"/>
      <c r="AE131" s="15" t="str">
        <f t="shared" si="0"/>
        <v/>
      </c>
      <c r="AF131" s="15" t="str">
        <f t="shared" si="1"/>
        <v/>
      </c>
      <c r="AG131" s="15" t="str">
        <f>IF(OR(AF131="",AF131="ERRO_CHAVE"),"",IFERROR(MATCH(AF131,'quitado Despesa'!$V$1:$V$12,0),""))</f>
        <v/>
      </c>
      <c r="AH131" s="15" t="str">
        <f t="shared" si="2"/>
        <v/>
      </c>
      <c r="AI131" s="17" t="str">
        <f>IF(AG131="","",INDEX('quitado Despesa'!$G$1:$G$12,AG131))</f>
        <v/>
      </c>
      <c r="AJ131" s="17" t="str">
        <f t="shared" si="3"/>
        <v/>
      </c>
    </row>
    <row r="132" ht="14" spans="1:36">
      <c r="A132" s="15"/>
      <c r="B132" s="15"/>
      <c r="C132" s="15"/>
      <c r="D132" s="15"/>
      <c r="E132" s="15"/>
      <c r="F132" s="15"/>
      <c r="G132" s="15"/>
      <c r="H132" s="15"/>
      <c r="I132" s="15"/>
      <c r="J132" s="23"/>
      <c r="K132" s="23"/>
      <c r="L132" s="23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7"/>
      <c r="Y132" s="17"/>
      <c r="Z132" s="17"/>
      <c r="AA132" s="15"/>
      <c r="AE132" s="15" t="str">
        <f t="shared" si="0"/>
        <v/>
      </c>
      <c r="AF132" s="15" t="str">
        <f t="shared" si="1"/>
        <v/>
      </c>
      <c r="AG132" s="15" t="str">
        <f>IF(OR(AF132="",AF132="ERRO_CHAVE"),"",IFERROR(MATCH(AF132,'quitado Despesa'!$V$1:$V$12,0),""))</f>
        <v/>
      </c>
      <c r="AH132" s="15" t="str">
        <f t="shared" si="2"/>
        <v/>
      </c>
      <c r="AI132" s="17" t="str">
        <f>IF(AG132="","",INDEX('quitado Despesa'!$G$1:$G$12,AG132))</f>
        <v/>
      </c>
      <c r="AJ132" s="17" t="str">
        <f t="shared" si="3"/>
        <v/>
      </c>
    </row>
    <row r="133" ht="14" spans="1:36">
      <c r="A133" s="15"/>
      <c r="B133" s="15"/>
      <c r="C133" s="15"/>
      <c r="D133" s="15"/>
      <c r="E133" s="15"/>
      <c r="F133" s="15"/>
      <c r="G133" s="15"/>
      <c r="H133" s="15"/>
      <c r="I133" s="15"/>
      <c r="J133" s="23"/>
      <c r="K133" s="23"/>
      <c r="L133" s="23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7"/>
      <c r="Y133" s="17"/>
      <c r="Z133" s="17"/>
      <c r="AA133" s="15"/>
      <c r="AE133" s="15" t="str">
        <f t="shared" si="0"/>
        <v/>
      </c>
      <c r="AF133" s="15" t="str">
        <f t="shared" si="1"/>
        <v/>
      </c>
      <c r="AG133" s="15" t="str">
        <f>IF(OR(AF133="",AF133="ERRO_CHAVE"),"",IFERROR(MATCH(AF133,'quitado Despesa'!$V$1:$V$12,0),""))</f>
        <v/>
      </c>
      <c r="AH133" s="15" t="str">
        <f t="shared" si="2"/>
        <v/>
      </c>
      <c r="AI133" s="17" t="str">
        <f>IF(AG133="","",INDEX('quitado Despesa'!$G$1:$G$12,AG133))</f>
        <v/>
      </c>
      <c r="AJ133" s="17" t="str">
        <f t="shared" si="3"/>
        <v/>
      </c>
    </row>
    <row r="134" ht="14" spans="1:36">
      <c r="A134" s="15"/>
      <c r="B134" s="15"/>
      <c r="C134" s="15"/>
      <c r="D134" s="15"/>
      <c r="E134" s="15"/>
      <c r="F134" s="15"/>
      <c r="G134" s="15"/>
      <c r="H134" s="15"/>
      <c r="I134" s="15"/>
      <c r="J134" s="23"/>
      <c r="K134" s="23"/>
      <c r="L134" s="23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7"/>
      <c r="Y134" s="17"/>
      <c r="Z134" s="17"/>
      <c r="AA134" s="15"/>
      <c r="AE134" s="15" t="str">
        <f t="shared" si="0"/>
        <v/>
      </c>
      <c r="AF134" s="15" t="str">
        <f t="shared" si="1"/>
        <v/>
      </c>
      <c r="AG134" s="15" t="str">
        <f>IF(OR(AF134="",AF134="ERRO_CHAVE"),"",IFERROR(MATCH(AF134,'quitado Despesa'!$V$1:$V$12,0),""))</f>
        <v/>
      </c>
      <c r="AH134" s="15" t="str">
        <f t="shared" si="2"/>
        <v/>
      </c>
      <c r="AI134" s="17" t="str">
        <f>IF(AG134="","",INDEX('quitado Despesa'!$G$1:$G$12,AG134))</f>
        <v/>
      </c>
      <c r="AJ134" s="17" t="str">
        <f t="shared" si="3"/>
        <v/>
      </c>
    </row>
    <row r="135" ht="14" spans="1:36">
      <c r="A135" s="15"/>
      <c r="B135" s="15"/>
      <c r="C135" s="15"/>
      <c r="D135" s="15"/>
      <c r="E135" s="15"/>
      <c r="F135" s="15"/>
      <c r="G135" s="15"/>
      <c r="H135" s="15"/>
      <c r="I135" s="15"/>
      <c r="J135" s="23"/>
      <c r="K135" s="23"/>
      <c r="L135" s="23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7"/>
      <c r="Y135" s="17"/>
      <c r="Z135" s="17"/>
      <c r="AA135" s="15"/>
      <c r="AE135" s="15" t="str">
        <f t="shared" si="0"/>
        <v/>
      </c>
      <c r="AF135" s="15" t="str">
        <f t="shared" si="1"/>
        <v/>
      </c>
      <c r="AG135" s="15" t="str">
        <f>IF(OR(AF135="",AF135="ERRO_CHAVE"),"",IFERROR(MATCH(AF135,'quitado Despesa'!$V$1:$V$12,0),""))</f>
        <v/>
      </c>
      <c r="AH135" s="15" t="str">
        <f t="shared" si="2"/>
        <v/>
      </c>
      <c r="AI135" s="17" t="str">
        <f>IF(AG135="","",INDEX('quitado Despesa'!$G$1:$G$12,AG135))</f>
        <v/>
      </c>
      <c r="AJ135" s="17" t="str">
        <f t="shared" si="3"/>
        <v/>
      </c>
    </row>
    <row r="136" ht="14" spans="1:36">
      <c r="A136" s="15"/>
      <c r="B136" s="15"/>
      <c r="C136" s="15"/>
      <c r="D136" s="15"/>
      <c r="E136" s="15"/>
      <c r="F136" s="15"/>
      <c r="G136" s="15"/>
      <c r="H136" s="15"/>
      <c r="I136" s="15"/>
      <c r="J136" s="23"/>
      <c r="K136" s="23"/>
      <c r="L136" s="23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7"/>
      <c r="Y136" s="17"/>
      <c r="Z136" s="17"/>
      <c r="AA136" s="15"/>
      <c r="AE136" s="15" t="str">
        <f t="shared" si="0"/>
        <v/>
      </c>
      <c r="AF136" s="15" t="str">
        <f t="shared" si="1"/>
        <v/>
      </c>
      <c r="AG136" s="15" t="str">
        <f>IF(OR(AF136="",AF136="ERRO_CHAVE"),"",IFERROR(MATCH(AF136,'quitado Despesa'!$V$1:$V$12,0),""))</f>
        <v/>
      </c>
      <c r="AH136" s="15" t="str">
        <f t="shared" si="2"/>
        <v/>
      </c>
      <c r="AI136" s="17" t="str">
        <f>IF(AG136="","",INDEX('quitado Despesa'!$G$1:$G$12,AG136))</f>
        <v/>
      </c>
      <c r="AJ136" s="17" t="str">
        <f t="shared" si="3"/>
        <v/>
      </c>
    </row>
    <row r="137" ht="14" spans="1:36">
      <c r="A137" s="15"/>
      <c r="B137" s="15"/>
      <c r="C137" s="15"/>
      <c r="D137" s="15"/>
      <c r="E137" s="15"/>
      <c r="F137" s="15"/>
      <c r="G137" s="15"/>
      <c r="H137" s="15"/>
      <c r="I137" s="15"/>
      <c r="J137" s="23"/>
      <c r="K137" s="23"/>
      <c r="L137" s="23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7"/>
      <c r="Y137" s="17"/>
      <c r="Z137" s="17"/>
      <c r="AA137" s="15"/>
      <c r="AE137" s="15" t="str">
        <f t="shared" si="0"/>
        <v/>
      </c>
      <c r="AF137" s="15" t="str">
        <f t="shared" si="1"/>
        <v/>
      </c>
      <c r="AG137" s="15" t="str">
        <f>IF(OR(AF137="",AF137="ERRO_CHAVE"),"",IFERROR(MATCH(AF137,'quitado Despesa'!$V$1:$V$12,0),""))</f>
        <v/>
      </c>
      <c r="AH137" s="15" t="str">
        <f t="shared" si="2"/>
        <v/>
      </c>
      <c r="AI137" s="17" t="str">
        <f>IF(AG137="","",INDEX('quitado Despesa'!$G$1:$G$12,AG137))</f>
        <v/>
      </c>
      <c r="AJ137" s="17" t="str">
        <f t="shared" si="3"/>
        <v/>
      </c>
    </row>
    <row r="138" ht="14" spans="1:36">
      <c r="A138" s="15"/>
      <c r="B138" s="15"/>
      <c r="C138" s="15"/>
      <c r="D138" s="15"/>
      <c r="E138" s="15"/>
      <c r="F138" s="15"/>
      <c r="G138" s="15"/>
      <c r="H138" s="15"/>
      <c r="I138" s="15"/>
      <c r="J138" s="23"/>
      <c r="K138" s="23"/>
      <c r="L138" s="23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7"/>
      <c r="Y138" s="17"/>
      <c r="Z138" s="17"/>
      <c r="AA138" s="15"/>
      <c r="AE138" s="15" t="str">
        <f t="shared" si="0"/>
        <v/>
      </c>
      <c r="AF138" s="15" t="str">
        <f t="shared" si="1"/>
        <v/>
      </c>
      <c r="AG138" s="15" t="str">
        <f>IF(OR(AF138="",AF138="ERRO_CHAVE"),"",IFERROR(MATCH(AF138,'quitado Despesa'!$V$1:$V$12,0),""))</f>
        <v/>
      </c>
      <c r="AH138" s="15" t="str">
        <f t="shared" si="2"/>
        <v/>
      </c>
      <c r="AI138" s="17" t="str">
        <f>IF(AG138="","",INDEX('quitado Despesa'!$G$1:$G$12,AG138))</f>
        <v/>
      </c>
      <c r="AJ138" s="17" t="str">
        <f t="shared" si="3"/>
        <v/>
      </c>
    </row>
    <row r="139" ht="14" spans="1:36">
      <c r="A139" s="15"/>
      <c r="B139" s="15"/>
      <c r="C139" s="15"/>
      <c r="D139" s="15"/>
      <c r="E139" s="15"/>
      <c r="F139" s="15"/>
      <c r="G139" s="15"/>
      <c r="H139" s="15"/>
      <c r="I139" s="15"/>
      <c r="J139" s="23"/>
      <c r="K139" s="23"/>
      <c r="L139" s="23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7"/>
      <c r="Y139" s="17"/>
      <c r="Z139" s="17"/>
      <c r="AA139" s="15"/>
      <c r="AE139" s="15" t="str">
        <f t="shared" si="0"/>
        <v/>
      </c>
      <c r="AF139" s="15" t="str">
        <f t="shared" si="1"/>
        <v/>
      </c>
      <c r="AG139" s="15" t="str">
        <f>IF(OR(AF139="",AF139="ERRO_CHAVE"),"",IFERROR(MATCH(AF139,'quitado Despesa'!$V$1:$V$12,0),""))</f>
        <v/>
      </c>
      <c r="AH139" s="15" t="str">
        <f t="shared" si="2"/>
        <v/>
      </c>
      <c r="AI139" s="17" t="str">
        <f>IF(AG139="","",INDEX('quitado Despesa'!$G$1:$G$12,AG139))</f>
        <v/>
      </c>
      <c r="AJ139" s="17" t="str">
        <f t="shared" si="3"/>
        <v/>
      </c>
    </row>
    <row r="140" ht="14" spans="1:36">
      <c r="A140" s="15"/>
      <c r="B140" s="15"/>
      <c r="C140" s="15"/>
      <c r="D140" s="15"/>
      <c r="E140" s="15"/>
      <c r="F140" s="15"/>
      <c r="G140" s="15"/>
      <c r="H140" s="15"/>
      <c r="I140" s="15"/>
      <c r="J140" s="23"/>
      <c r="K140" s="23"/>
      <c r="L140" s="23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7"/>
      <c r="Y140" s="17"/>
      <c r="Z140" s="17"/>
      <c r="AA140" s="15"/>
      <c r="AE140" s="15" t="str">
        <f t="shared" si="0"/>
        <v/>
      </c>
      <c r="AF140" s="15" t="str">
        <f t="shared" si="1"/>
        <v/>
      </c>
      <c r="AG140" s="15" t="str">
        <f>IF(OR(AF140="",AF140="ERRO_CHAVE"),"",IFERROR(MATCH(AF140,'quitado Despesa'!$V$1:$V$12,0),""))</f>
        <v/>
      </c>
      <c r="AH140" s="15" t="str">
        <f t="shared" si="2"/>
        <v/>
      </c>
      <c r="AI140" s="17" t="str">
        <f>IF(AG140="","",INDEX('quitado Despesa'!$G$1:$G$12,AG140))</f>
        <v/>
      </c>
      <c r="AJ140" s="17" t="str">
        <f t="shared" si="3"/>
        <v/>
      </c>
    </row>
    <row r="141" ht="14" spans="1:36">
      <c r="A141" s="15"/>
      <c r="B141" s="15"/>
      <c r="C141" s="15"/>
      <c r="D141" s="15"/>
      <c r="E141" s="15"/>
      <c r="F141" s="15"/>
      <c r="G141" s="15"/>
      <c r="H141" s="15"/>
      <c r="I141" s="15"/>
      <c r="J141" s="23"/>
      <c r="K141" s="23"/>
      <c r="L141" s="23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7"/>
      <c r="Y141" s="17"/>
      <c r="Z141" s="17"/>
      <c r="AA141" s="15"/>
      <c r="AE141" s="15" t="str">
        <f t="shared" si="0"/>
        <v/>
      </c>
      <c r="AF141" s="15" t="str">
        <f t="shared" si="1"/>
        <v/>
      </c>
      <c r="AG141" s="15" t="str">
        <f>IF(OR(AF141="",AF141="ERRO_CHAVE"),"",IFERROR(MATCH(AF141,'quitado Despesa'!$V$1:$V$12,0),""))</f>
        <v/>
      </c>
      <c r="AH141" s="15" t="str">
        <f t="shared" si="2"/>
        <v/>
      </c>
      <c r="AI141" s="17" t="str">
        <f>IF(AG141="","",INDEX('quitado Despesa'!$G$1:$G$12,AG141))</f>
        <v/>
      </c>
      <c r="AJ141" s="17" t="str">
        <f t="shared" si="3"/>
        <v/>
      </c>
    </row>
    <row r="142" ht="14" spans="1:36">
      <c r="A142" s="15"/>
      <c r="B142" s="15"/>
      <c r="C142" s="15"/>
      <c r="D142" s="15"/>
      <c r="E142" s="15"/>
      <c r="F142" s="15"/>
      <c r="G142" s="15"/>
      <c r="H142" s="15"/>
      <c r="I142" s="15"/>
      <c r="J142" s="23"/>
      <c r="K142" s="23"/>
      <c r="L142" s="23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7"/>
      <c r="Y142" s="17"/>
      <c r="Z142" s="17"/>
      <c r="AA142" s="15"/>
      <c r="AE142" s="15" t="str">
        <f t="shared" si="0"/>
        <v/>
      </c>
      <c r="AF142" s="15" t="str">
        <f t="shared" si="1"/>
        <v/>
      </c>
      <c r="AG142" s="15" t="str">
        <f>IF(OR(AF142="",AF142="ERRO_CHAVE"),"",IFERROR(MATCH(AF142,'quitado Despesa'!$V$1:$V$12,0),""))</f>
        <v/>
      </c>
      <c r="AH142" s="15" t="str">
        <f t="shared" si="2"/>
        <v/>
      </c>
      <c r="AI142" s="17" t="str">
        <f>IF(AG142="","",INDEX('quitado Despesa'!$G$1:$G$12,AG142))</f>
        <v/>
      </c>
      <c r="AJ142" s="17" t="str">
        <f t="shared" si="3"/>
        <v/>
      </c>
    </row>
    <row r="143" ht="14" spans="1:36">
      <c r="A143" s="15"/>
      <c r="B143" s="15"/>
      <c r="C143" s="15"/>
      <c r="D143" s="15"/>
      <c r="E143" s="15"/>
      <c r="F143" s="15"/>
      <c r="G143" s="15"/>
      <c r="H143" s="15"/>
      <c r="I143" s="15"/>
      <c r="J143" s="23"/>
      <c r="K143" s="23"/>
      <c r="L143" s="23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7"/>
      <c r="Y143" s="17"/>
      <c r="Z143" s="17"/>
      <c r="AA143" s="15"/>
      <c r="AE143" s="15" t="str">
        <f t="shared" si="0"/>
        <v/>
      </c>
      <c r="AF143" s="15" t="str">
        <f t="shared" si="1"/>
        <v/>
      </c>
      <c r="AG143" s="15" t="str">
        <f>IF(OR(AF143="",AF143="ERRO_CHAVE"),"",IFERROR(MATCH(AF143,'quitado Despesa'!$V$1:$V$12,0),""))</f>
        <v/>
      </c>
      <c r="AH143" s="15" t="str">
        <f t="shared" si="2"/>
        <v/>
      </c>
      <c r="AI143" s="17" t="str">
        <f>IF(AG143="","",INDEX('quitado Despesa'!$G$1:$G$12,AG143))</f>
        <v/>
      </c>
      <c r="AJ143" s="17" t="str">
        <f t="shared" si="3"/>
        <v/>
      </c>
    </row>
    <row r="144" ht="14" spans="1:36">
      <c r="A144" s="15"/>
      <c r="B144" s="15"/>
      <c r="C144" s="15"/>
      <c r="D144" s="15"/>
      <c r="E144" s="15"/>
      <c r="F144" s="15"/>
      <c r="G144" s="15"/>
      <c r="H144" s="15"/>
      <c r="I144" s="15"/>
      <c r="J144" s="23"/>
      <c r="K144" s="23"/>
      <c r="L144" s="23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7"/>
      <c r="Y144" s="17"/>
      <c r="Z144" s="17"/>
      <c r="AA144" s="15"/>
      <c r="AE144" s="15" t="str">
        <f t="shared" si="0"/>
        <v/>
      </c>
      <c r="AF144" s="15" t="str">
        <f t="shared" si="1"/>
        <v/>
      </c>
      <c r="AG144" s="15" t="str">
        <f>IF(OR(AF144="",AF144="ERRO_CHAVE"),"",IFERROR(MATCH(AF144,'quitado Despesa'!$V$1:$V$12,0),""))</f>
        <v/>
      </c>
      <c r="AH144" s="15" t="str">
        <f t="shared" si="2"/>
        <v/>
      </c>
      <c r="AI144" s="17" t="str">
        <f>IF(AG144="","",INDEX('quitado Despesa'!$G$1:$G$12,AG144))</f>
        <v/>
      </c>
      <c r="AJ144" s="17" t="str">
        <f t="shared" si="3"/>
        <v/>
      </c>
    </row>
    <row r="145" ht="14" spans="1:36">
      <c r="A145" s="15"/>
      <c r="B145" s="15"/>
      <c r="C145" s="15"/>
      <c r="D145" s="15"/>
      <c r="E145" s="15"/>
      <c r="F145" s="15"/>
      <c r="G145" s="15"/>
      <c r="H145" s="15"/>
      <c r="I145" s="15"/>
      <c r="J145" s="23"/>
      <c r="K145" s="23"/>
      <c r="L145" s="23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7"/>
      <c r="Y145" s="17"/>
      <c r="Z145" s="17"/>
      <c r="AA145" s="15"/>
      <c r="AE145" s="15" t="str">
        <f t="shared" si="0"/>
        <v/>
      </c>
      <c r="AF145" s="15" t="str">
        <f t="shared" si="1"/>
        <v/>
      </c>
      <c r="AG145" s="15" t="str">
        <f>IF(OR(AF145="",AF145="ERRO_CHAVE"),"",IFERROR(MATCH(AF145,'quitado Despesa'!$V$1:$V$12,0),""))</f>
        <v/>
      </c>
      <c r="AH145" s="15" t="str">
        <f t="shared" si="2"/>
        <v/>
      </c>
      <c r="AI145" s="17" t="str">
        <f>IF(AG145="","",INDEX('quitado Despesa'!$G$1:$G$12,AG145))</f>
        <v/>
      </c>
      <c r="AJ145" s="17" t="str">
        <f t="shared" si="3"/>
        <v/>
      </c>
    </row>
    <row r="146" ht="14" spans="1:36">
      <c r="A146" s="15"/>
      <c r="B146" s="15"/>
      <c r="C146" s="15"/>
      <c r="D146" s="15"/>
      <c r="E146" s="15"/>
      <c r="F146" s="15"/>
      <c r="G146" s="15"/>
      <c r="H146" s="15"/>
      <c r="I146" s="15"/>
      <c r="J146" s="23"/>
      <c r="K146" s="23"/>
      <c r="L146" s="23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7"/>
      <c r="Y146" s="17"/>
      <c r="Z146" s="17"/>
      <c r="AA146" s="15"/>
      <c r="AE146" s="15" t="str">
        <f t="shared" si="0"/>
        <v/>
      </c>
      <c r="AF146" s="15" t="str">
        <f t="shared" si="1"/>
        <v/>
      </c>
      <c r="AG146" s="15" t="str">
        <f>IF(OR(AF146="",AF146="ERRO_CHAVE"),"",IFERROR(MATCH(AF146,'quitado Despesa'!$V$1:$V$12,0),""))</f>
        <v/>
      </c>
      <c r="AH146" s="15" t="str">
        <f t="shared" si="2"/>
        <v/>
      </c>
      <c r="AI146" s="17" t="str">
        <f>IF(AG146="","",INDEX('quitado Despesa'!$G$1:$G$12,AG146))</f>
        <v/>
      </c>
      <c r="AJ146" s="17" t="str">
        <f t="shared" si="3"/>
        <v/>
      </c>
    </row>
    <row r="147" ht="14" spans="1:36">
      <c r="A147" s="15"/>
      <c r="B147" s="15"/>
      <c r="C147" s="15"/>
      <c r="D147" s="15"/>
      <c r="E147" s="15"/>
      <c r="F147" s="15"/>
      <c r="G147" s="15"/>
      <c r="H147" s="15"/>
      <c r="I147" s="15"/>
      <c r="J147" s="23"/>
      <c r="K147" s="23"/>
      <c r="L147" s="23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7"/>
      <c r="Y147" s="17"/>
      <c r="Z147" s="17"/>
      <c r="AA147" s="15"/>
      <c r="AE147" s="15" t="str">
        <f t="shared" si="0"/>
        <v/>
      </c>
      <c r="AF147" s="15" t="str">
        <f t="shared" si="1"/>
        <v/>
      </c>
      <c r="AG147" s="15" t="str">
        <f>IF(OR(AF147="",AF147="ERRO_CHAVE"),"",IFERROR(MATCH(AF147,'quitado Despesa'!$V$1:$V$12,0),""))</f>
        <v/>
      </c>
      <c r="AH147" s="15" t="str">
        <f t="shared" si="2"/>
        <v/>
      </c>
      <c r="AI147" s="17" t="str">
        <f>IF(AG147="","",INDEX('quitado Despesa'!$G$1:$G$12,AG147))</f>
        <v/>
      </c>
      <c r="AJ147" s="17" t="str">
        <f t="shared" si="3"/>
        <v/>
      </c>
    </row>
    <row r="148" ht="14" spans="1:36">
      <c r="A148" s="15"/>
      <c r="B148" s="15"/>
      <c r="C148" s="15"/>
      <c r="D148" s="15"/>
      <c r="E148" s="15"/>
      <c r="F148" s="15"/>
      <c r="G148" s="15"/>
      <c r="H148" s="15"/>
      <c r="I148" s="15"/>
      <c r="J148" s="23"/>
      <c r="K148" s="23"/>
      <c r="L148" s="23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7"/>
      <c r="Y148" s="17"/>
      <c r="Z148" s="17"/>
      <c r="AA148" s="15"/>
      <c r="AE148" s="15" t="str">
        <f t="shared" si="0"/>
        <v/>
      </c>
      <c r="AF148" s="15" t="str">
        <f t="shared" si="1"/>
        <v/>
      </c>
      <c r="AG148" s="15" t="str">
        <f>IF(OR(AF148="",AF148="ERRO_CHAVE"),"",IFERROR(MATCH(AF148,'quitado Despesa'!$V$1:$V$12,0),""))</f>
        <v/>
      </c>
      <c r="AH148" s="15" t="str">
        <f t="shared" si="2"/>
        <v/>
      </c>
      <c r="AI148" s="17" t="str">
        <f>IF(AG148="","",INDEX('quitado Despesa'!$G$1:$G$12,AG148))</f>
        <v/>
      </c>
      <c r="AJ148" s="17" t="str">
        <f t="shared" si="3"/>
        <v/>
      </c>
    </row>
    <row r="149" ht="14" spans="1:36">
      <c r="A149" s="15"/>
      <c r="B149" s="15"/>
      <c r="C149" s="15"/>
      <c r="D149" s="15"/>
      <c r="E149" s="15"/>
      <c r="F149" s="15"/>
      <c r="G149" s="15"/>
      <c r="H149" s="15"/>
      <c r="I149" s="15"/>
      <c r="J149" s="23"/>
      <c r="K149" s="23"/>
      <c r="L149" s="23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7"/>
      <c r="Y149" s="17"/>
      <c r="Z149" s="17"/>
      <c r="AA149" s="15"/>
      <c r="AE149" s="15" t="str">
        <f t="shared" si="0"/>
        <v/>
      </c>
      <c r="AF149" s="15" t="str">
        <f t="shared" si="1"/>
        <v/>
      </c>
      <c r="AG149" s="15" t="str">
        <f>IF(OR(AF149="",AF149="ERRO_CHAVE"),"",IFERROR(MATCH(AF149,'quitado Despesa'!$V$1:$V$12,0),""))</f>
        <v/>
      </c>
      <c r="AH149" s="15" t="str">
        <f t="shared" si="2"/>
        <v/>
      </c>
      <c r="AI149" s="17" t="str">
        <f>IF(AG149="","",INDEX('quitado Despesa'!$G$1:$G$12,AG149))</f>
        <v/>
      </c>
      <c r="AJ149" s="17" t="str">
        <f t="shared" si="3"/>
        <v/>
      </c>
    </row>
    <row r="150" ht="14" spans="1:36">
      <c r="A150" s="15"/>
      <c r="B150" s="15"/>
      <c r="C150" s="15"/>
      <c r="D150" s="15"/>
      <c r="E150" s="15"/>
      <c r="F150" s="15"/>
      <c r="G150" s="15"/>
      <c r="H150" s="15"/>
      <c r="I150" s="15"/>
      <c r="J150" s="23"/>
      <c r="K150" s="23"/>
      <c r="L150" s="23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7"/>
      <c r="Y150" s="17"/>
      <c r="Z150" s="17"/>
      <c r="AA150" s="15"/>
      <c r="AE150" s="15" t="str">
        <f t="shared" si="0"/>
        <v/>
      </c>
      <c r="AF150" s="15" t="str">
        <f t="shared" si="1"/>
        <v/>
      </c>
      <c r="AG150" s="15" t="str">
        <f>IF(OR(AF150="",AF150="ERRO_CHAVE"),"",IFERROR(MATCH(AF150,'quitado Despesa'!$V$1:$V$12,0),""))</f>
        <v/>
      </c>
      <c r="AH150" s="15" t="str">
        <f t="shared" si="2"/>
        <v/>
      </c>
      <c r="AI150" s="17" t="str">
        <f>IF(AG150="","",INDEX('quitado Despesa'!$G$1:$G$12,AG150))</f>
        <v/>
      </c>
      <c r="AJ150" s="17" t="str">
        <f t="shared" si="3"/>
        <v/>
      </c>
    </row>
    <row r="151" ht="14" spans="1:36">
      <c r="A151" s="15"/>
      <c r="B151" s="15"/>
      <c r="C151" s="15"/>
      <c r="D151" s="15"/>
      <c r="E151" s="15"/>
      <c r="F151" s="15"/>
      <c r="G151" s="15"/>
      <c r="H151" s="15"/>
      <c r="I151" s="15"/>
      <c r="J151" s="23"/>
      <c r="K151" s="23"/>
      <c r="L151" s="23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7"/>
      <c r="Y151" s="17"/>
      <c r="Z151" s="17"/>
      <c r="AA151" s="15"/>
      <c r="AE151" s="15" t="str">
        <f t="shared" si="0"/>
        <v/>
      </c>
      <c r="AF151" s="15" t="str">
        <f t="shared" si="1"/>
        <v/>
      </c>
      <c r="AG151" s="15" t="str">
        <f>IF(OR(AF151="",AF151="ERRO_CHAVE"),"",IFERROR(MATCH(AF151,'quitado Despesa'!$V$1:$V$12,0),""))</f>
        <v/>
      </c>
      <c r="AH151" s="15" t="str">
        <f t="shared" si="2"/>
        <v/>
      </c>
      <c r="AI151" s="17" t="str">
        <f>IF(AG151="","",INDEX('quitado Despesa'!$G$1:$G$12,AG151))</f>
        <v/>
      </c>
      <c r="AJ151" s="17" t="str">
        <f t="shared" si="3"/>
        <v/>
      </c>
    </row>
    <row r="152" ht="14" spans="1:36">
      <c r="A152" s="15"/>
      <c r="B152" s="15"/>
      <c r="C152" s="15"/>
      <c r="D152" s="15"/>
      <c r="E152" s="15"/>
      <c r="F152" s="15"/>
      <c r="G152" s="15"/>
      <c r="H152" s="15"/>
      <c r="I152" s="15"/>
      <c r="J152" s="23"/>
      <c r="K152" s="23"/>
      <c r="L152" s="23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7"/>
      <c r="Y152" s="17"/>
      <c r="Z152" s="17"/>
      <c r="AA152" s="15"/>
      <c r="AE152" s="15" t="str">
        <f t="shared" si="0"/>
        <v/>
      </c>
      <c r="AF152" s="15" t="str">
        <f t="shared" si="1"/>
        <v/>
      </c>
      <c r="AG152" s="15" t="str">
        <f>IF(OR(AF152="",AF152="ERRO_CHAVE"),"",IFERROR(MATCH(AF152,'quitado Despesa'!$V$1:$V$12,0),""))</f>
        <v/>
      </c>
      <c r="AH152" s="15" t="str">
        <f t="shared" si="2"/>
        <v/>
      </c>
      <c r="AI152" s="17" t="str">
        <f>IF(AG152="","",INDEX('quitado Despesa'!$G$1:$G$12,AG152))</f>
        <v/>
      </c>
      <c r="AJ152" s="17" t="str">
        <f t="shared" si="3"/>
        <v/>
      </c>
    </row>
    <row r="153" ht="14" spans="1:36">
      <c r="A153" s="15"/>
      <c r="B153" s="15"/>
      <c r="C153" s="15"/>
      <c r="D153" s="15"/>
      <c r="E153" s="15"/>
      <c r="F153" s="15"/>
      <c r="G153" s="15"/>
      <c r="H153" s="15"/>
      <c r="I153" s="15"/>
      <c r="J153" s="23"/>
      <c r="K153" s="23"/>
      <c r="L153" s="23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7"/>
      <c r="Y153" s="17"/>
      <c r="Z153" s="17"/>
      <c r="AA153" s="15"/>
      <c r="AE153" s="15" t="str">
        <f t="shared" si="0"/>
        <v/>
      </c>
      <c r="AF153" s="15" t="str">
        <f t="shared" si="1"/>
        <v/>
      </c>
      <c r="AG153" s="15" t="str">
        <f>IF(OR(AF153="",AF153="ERRO_CHAVE"),"",IFERROR(MATCH(AF153,'quitado Despesa'!$V$1:$V$12,0),""))</f>
        <v/>
      </c>
      <c r="AH153" s="15" t="str">
        <f t="shared" si="2"/>
        <v/>
      </c>
      <c r="AI153" s="17" t="str">
        <f>IF(AG153="","",INDEX('quitado Despesa'!$G$1:$G$12,AG153))</f>
        <v/>
      </c>
      <c r="AJ153" s="17" t="str">
        <f t="shared" si="3"/>
        <v/>
      </c>
    </row>
    <row r="154" ht="14" spans="1:36">
      <c r="A154" s="15"/>
      <c r="B154" s="15"/>
      <c r="C154" s="15"/>
      <c r="D154" s="15"/>
      <c r="E154" s="15"/>
      <c r="F154" s="15"/>
      <c r="G154" s="15"/>
      <c r="H154" s="15"/>
      <c r="I154" s="15"/>
      <c r="J154" s="23"/>
      <c r="K154" s="23"/>
      <c r="L154" s="23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7"/>
      <c r="Y154" s="17"/>
      <c r="Z154" s="17"/>
      <c r="AA154" s="15"/>
      <c r="AE154" s="15" t="str">
        <f t="shared" si="0"/>
        <v/>
      </c>
      <c r="AF154" s="15" t="str">
        <f t="shared" si="1"/>
        <v/>
      </c>
      <c r="AG154" s="15" t="str">
        <f>IF(OR(AF154="",AF154="ERRO_CHAVE"),"",IFERROR(MATCH(AF154,'quitado Despesa'!$V$1:$V$12,0),""))</f>
        <v/>
      </c>
      <c r="AH154" s="15" t="str">
        <f t="shared" si="2"/>
        <v/>
      </c>
      <c r="AI154" s="17" t="str">
        <f>IF(AG154="","",INDEX('quitado Despesa'!$G$1:$G$12,AG154))</f>
        <v/>
      </c>
      <c r="AJ154" s="17" t="str">
        <f t="shared" si="3"/>
        <v/>
      </c>
    </row>
    <row r="155" ht="14" spans="1:36">
      <c r="A155" s="15"/>
      <c r="B155" s="15"/>
      <c r="C155" s="15"/>
      <c r="D155" s="15"/>
      <c r="E155" s="15"/>
      <c r="F155" s="15"/>
      <c r="G155" s="15"/>
      <c r="H155" s="15"/>
      <c r="I155" s="15"/>
      <c r="J155" s="23"/>
      <c r="K155" s="23"/>
      <c r="L155" s="23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7"/>
      <c r="Y155" s="17"/>
      <c r="Z155" s="17"/>
      <c r="AA155" s="15"/>
      <c r="AE155" s="15" t="str">
        <f t="shared" si="0"/>
        <v/>
      </c>
      <c r="AF155" s="15" t="str">
        <f t="shared" si="1"/>
        <v/>
      </c>
      <c r="AG155" s="15" t="str">
        <f>IF(OR(AF155="",AF155="ERRO_CHAVE"),"",IFERROR(MATCH(AF155,'quitado Despesa'!$V$1:$V$12,0),""))</f>
        <v/>
      </c>
      <c r="AH155" s="15" t="str">
        <f t="shared" si="2"/>
        <v/>
      </c>
      <c r="AI155" s="17" t="str">
        <f>IF(AG155="","",INDEX('quitado Despesa'!$G$1:$G$12,AG155))</f>
        <v/>
      </c>
      <c r="AJ155" s="17" t="str">
        <f t="shared" si="3"/>
        <v/>
      </c>
    </row>
    <row r="156" ht="14" spans="1:36">
      <c r="A156" s="15"/>
      <c r="B156" s="15"/>
      <c r="C156" s="15"/>
      <c r="D156" s="15"/>
      <c r="E156" s="15"/>
      <c r="F156" s="15"/>
      <c r="G156" s="15"/>
      <c r="H156" s="15"/>
      <c r="I156" s="15"/>
      <c r="J156" s="23"/>
      <c r="K156" s="23"/>
      <c r="L156" s="23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7"/>
      <c r="Y156" s="17"/>
      <c r="Z156" s="17"/>
      <c r="AA156" s="15"/>
      <c r="AE156" s="15" t="str">
        <f t="shared" si="0"/>
        <v/>
      </c>
      <c r="AF156" s="15" t="str">
        <f t="shared" si="1"/>
        <v/>
      </c>
      <c r="AG156" s="15" t="str">
        <f>IF(OR(AF156="",AF156="ERRO_CHAVE"),"",IFERROR(MATCH(AF156,'quitado Despesa'!$V$1:$V$12,0),""))</f>
        <v/>
      </c>
      <c r="AH156" s="15" t="str">
        <f t="shared" si="2"/>
        <v/>
      </c>
      <c r="AI156" s="17" t="str">
        <f>IF(AG156="","",INDEX('quitado Despesa'!$G$1:$G$12,AG156))</f>
        <v/>
      </c>
      <c r="AJ156" s="17" t="str">
        <f t="shared" si="3"/>
        <v/>
      </c>
    </row>
    <row r="157" ht="14" spans="1:36">
      <c r="A157" s="15"/>
      <c r="B157" s="15"/>
      <c r="C157" s="15"/>
      <c r="D157" s="15"/>
      <c r="E157" s="15"/>
      <c r="F157" s="15"/>
      <c r="G157" s="15"/>
      <c r="H157" s="15"/>
      <c r="I157" s="15"/>
      <c r="J157" s="23"/>
      <c r="K157" s="23"/>
      <c r="L157" s="23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7"/>
      <c r="Y157" s="17"/>
      <c r="Z157" s="17"/>
      <c r="AA157" s="15"/>
      <c r="AE157" s="15" t="str">
        <f t="shared" si="0"/>
        <v/>
      </c>
      <c r="AF157" s="15" t="str">
        <f t="shared" si="1"/>
        <v/>
      </c>
      <c r="AG157" s="15" t="str">
        <f>IF(OR(AF157="",AF157="ERRO_CHAVE"),"",IFERROR(MATCH(AF157,'quitado Despesa'!$V$1:$V$12,0),""))</f>
        <v/>
      </c>
      <c r="AH157" s="15" t="str">
        <f t="shared" si="2"/>
        <v/>
      </c>
      <c r="AI157" s="17" t="str">
        <f>IF(AG157="","",INDEX('quitado Despesa'!$G$1:$G$12,AG157))</f>
        <v/>
      </c>
      <c r="AJ157" s="17" t="str">
        <f t="shared" si="3"/>
        <v/>
      </c>
    </row>
    <row r="158" ht="14" spans="1:36">
      <c r="A158" s="15"/>
      <c r="B158" s="15"/>
      <c r="C158" s="15"/>
      <c r="D158" s="15"/>
      <c r="E158" s="15"/>
      <c r="F158" s="15"/>
      <c r="G158" s="15"/>
      <c r="H158" s="15"/>
      <c r="I158" s="15"/>
      <c r="J158" s="23"/>
      <c r="K158" s="23"/>
      <c r="L158" s="23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7"/>
      <c r="Y158" s="17"/>
      <c r="Z158" s="17"/>
      <c r="AA158" s="15"/>
      <c r="AE158" s="15" t="str">
        <f t="shared" si="0"/>
        <v/>
      </c>
      <c r="AF158" s="15" t="str">
        <f t="shared" si="1"/>
        <v/>
      </c>
      <c r="AG158" s="15" t="str">
        <f>IF(OR(AF158="",AF158="ERRO_CHAVE"),"",IFERROR(MATCH(AF158,'quitado Despesa'!$V$1:$V$12,0),""))</f>
        <v/>
      </c>
      <c r="AH158" s="15" t="str">
        <f t="shared" si="2"/>
        <v/>
      </c>
      <c r="AI158" s="17" t="str">
        <f>IF(AG158="","",INDEX('quitado Despesa'!$G$1:$G$12,AG158))</f>
        <v/>
      </c>
      <c r="AJ158" s="17" t="str">
        <f t="shared" si="3"/>
        <v/>
      </c>
    </row>
    <row r="159" ht="14" spans="1:36">
      <c r="A159" s="15"/>
      <c r="B159" s="15"/>
      <c r="C159" s="15"/>
      <c r="D159" s="15"/>
      <c r="E159" s="15"/>
      <c r="F159" s="15"/>
      <c r="G159" s="15"/>
      <c r="H159" s="15"/>
      <c r="I159" s="15"/>
      <c r="J159" s="23"/>
      <c r="K159" s="23"/>
      <c r="L159" s="23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7"/>
      <c r="Y159" s="17"/>
      <c r="Z159" s="17"/>
      <c r="AA159" s="15"/>
      <c r="AE159" s="15" t="str">
        <f t="shared" si="0"/>
        <v/>
      </c>
      <c r="AF159" s="15" t="str">
        <f t="shared" si="1"/>
        <v/>
      </c>
      <c r="AG159" s="15" t="str">
        <f>IF(OR(AF159="",AF159="ERRO_CHAVE"),"",IFERROR(MATCH(AF159,'quitado Despesa'!$V$1:$V$12,0),""))</f>
        <v/>
      </c>
      <c r="AH159" s="15" t="str">
        <f t="shared" si="2"/>
        <v/>
      </c>
      <c r="AI159" s="17" t="str">
        <f>IF(AG159="","",INDEX('quitado Despesa'!$G$1:$G$12,AG159))</f>
        <v/>
      </c>
      <c r="AJ159" s="17" t="str">
        <f t="shared" si="3"/>
        <v/>
      </c>
    </row>
    <row r="160" ht="14" spans="1:36">
      <c r="A160" s="15"/>
      <c r="B160" s="15"/>
      <c r="C160" s="15"/>
      <c r="D160" s="15"/>
      <c r="E160" s="15"/>
      <c r="F160" s="15"/>
      <c r="G160" s="15"/>
      <c r="H160" s="15"/>
      <c r="I160" s="15"/>
      <c r="J160" s="23"/>
      <c r="K160" s="23"/>
      <c r="L160" s="23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7"/>
      <c r="Y160" s="17"/>
      <c r="Z160" s="17"/>
      <c r="AA160" s="15"/>
      <c r="AE160" s="15" t="str">
        <f t="shared" si="0"/>
        <v/>
      </c>
      <c r="AF160" s="15" t="str">
        <f t="shared" si="1"/>
        <v/>
      </c>
      <c r="AG160" s="15" t="str">
        <f>IF(OR(AF160="",AF160="ERRO_CHAVE"),"",IFERROR(MATCH(AF160,'quitado Despesa'!$V$1:$V$12,0),""))</f>
        <v/>
      </c>
      <c r="AH160" s="15" t="str">
        <f t="shared" si="2"/>
        <v/>
      </c>
      <c r="AI160" s="17" t="str">
        <f>IF(AG160="","",INDEX('quitado Despesa'!$G$1:$G$12,AG160))</f>
        <v/>
      </c>
      <c r="AJ160" s="17" t="str">
        <f t="shared" si="3"/>
        <v/>
      </c>
    </row>
    <row r="161" ht="14" spans="1:36">
      <c r="A161" s="15"/>
      <c r="B161" s="15"/>
      <c r="C161" s="15"/>
      <c r="D161" s="15"/>
      <c r="E161" s="15"/>
      <c r="F161" s="15"/>
      <c r="G161" s="15"/>
      <c r="H161" s="15"/>
      <c r="I161" s="15"/>
      <c r="J161" s="23"/>
      <c r="K161" s="23"/>
      <c r="L161" s="23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7"/>
      <c r="Y161" s="17"/>
      <c r="Z161" s="17"/>
      <c r="AA161" s="15"/>
      <c r="AE161" s="15" t="str">
        <f t="shared" si="0"/>
        <v/>
      </c>
      <c r="AF161" s="15" t="str">
        <f t="shared" si="1"/>
        <v/>
      </c>
      <c r="AG161" s="15" t="str">
        <f>IF(OR(AF161="",AF161="ERRO_CHAVE"),"",IFERROR(MATCH(AF161,'quitado Despesa'!$V$1:$V$12,0),""))</f>
        <v/>
      </c>
      <c r="AH161" s="15" t="str">
        <f t="shared" si="2"/>
        <v/>
      </c>
      <c r="AI161" s="17" t="str">
        <f>IF(AG161="","",INDEX('quitado Despesa'!$G$1:$G$12,AG161))</f>
        <v/>
      </c>
      <c r="AJ161" s="17" t="str">
        <f t="shared" si="3"/>
        <v/>
      </c>
    </row>
    <row r="162" ht="14" spans="1:36">
      <c r="A162" s="15"/>
      <c r="B162" s="15"/>
      <c r="C162" s="15"/>
      <c r="D162" s="15"/>
      <c r="E162" s="15"/>
      <c r="F162" s="15"/>
      <c r="G162" s="15"/>
      <c r="H162" s="15"/>
      <c r="I162" s="15"/>
      <c r="J162" s="23"/>
      <c r="K162" s="23"/>
      <c r="L162" s="23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7"/>
      <c r="Y162" s="17"/>
      <c r="Z162" s="17"/>
      <c r="AA162" s="15"/>
      <c r="AE162" s="15" t="str">
        <f t="shared" si="0"/>
        <v/>
      </c>
      <c r="AF162" s="15" t="str">
        <f t="shared" si="1"/>
        <v/>
      </c>
      <c r="AG162" s="15" t="str">
        <f>IF(OR(AF162="",AF162="ERRO_CHAVE"),"",IFERROR(MATCH(AF162,'quitado Despesa'!$V$1:$V$12,0),""))</f>
        <v/>
      </c>
      <c r="AH162" s="15" t="str">
        <f t="shared" si="2"/>
        <v/>
      </c>
      <c r="AI162" s="17" t="str">
        <f>IF(AG162="","",INDEX('quitado Despesa'!$G$1:$G$12,AG162))</f>
        <v/>
      </c>
      <c r="AJ162" s="17" t="str">
        <f t="shared" si="3"/>
        <v/>
      </c>
    </row>
    <row r="163" ht="14" spans="1:36">
      <c r="A163" s="15"/>
      <c r="B163" s="15"/>
      <c r="C163" s="15"/>
      <c r="D163" s="15"/>
      <c r="E163" s="15"/>
      <c r="F163" s="15"/>
      <c r="G163" s="15"/>
      <c r="H163" s="15"/>
      <c r="I163" s="15"/>
      <c r="J163" s="23"/>
      <c r="K163" s="23"/>
      <c r="L163" s="23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7"/>
      <c r="Y163" s="17"/>
      <c r="Z163" s="17"/>
      <c r="AA163" s="15"/>
      <c r="AE163" s="15" t="str">
        <f t="shared" si="0"/>
        <v/>
      </c>
      <c r="AF163" s="15" t="str">
        <f t="shared" si="1"/>
        <v/>
      </c>
      <c r="AG163" s="15" t="str">
        <f>IF(OR(AF163="",AF163="ERRO_CHAVE"),"",IFERROR(MATCH(AF163,'quitado Despesa'!$V$1:$V$12,0),""))</f>
        <v/>
      </c>
      <c r="AH163" s="15" t="str">
        <f t="shared" si="2"/>
        <v/>
      </c>
      <c r="AI163" s="17" t="str">
        <f>IF(AG163="","",INDEX('quitado Despesa'!$G$1:$G$12,AG163))</f>
        <v/>
      </c>
      <c r="AJ163" s="17" t="str">
        <f t="shared" si="3"/>
        <v/>
      </c>
    </row>
    <row r="164" ht="14" spans="1:36">
      <c r="A164" s="15"/>
      <c r="B164" s="15"/>
      <c r="C164" s="15"/>
      <c r="D164" s="15"/>
      <c r="E164" s="15"/>
      <c r="F164" s="15"/>
      <c r="G164" s="15"/>
      <c r="H164" s="15"/>
      <c r="I164" s="15"/>
      <c r="J164" s="23"/>
      <c r="K164" s="23"/>
      <c r="L164" s="23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7"/>
      <c r="Y164" s="17"/>
      <c r="Z164" s="17"/>
      <c r="AA164" s="15"/>
      <c r="AE164" s="15" t="str">
        <f t="shared" si="0"/>
        <v/>
      </c>
      <c r="AF164" s="15" t="str">
        <f t="shared" si="1"/>
        <v/>
      </c>
      <c r="AG164" s="15" t="str">
        <f>IF(OR(AF164="",AF164="ERRO_CHAVE"),"",IFERROR(MATCH(AF164,'quitado Despesa'!$V$1:$V$12,0),""))</f>
        <v/>
      </c>
      <c r="AH164" s="15" t="str">
        <f t="shared" si="2"/>
        <v/>
      </c>
      <c r="AI164" s="17" t="str">
        <f>IF(AG164="","",INDEX('quitado Despesa'!$G$1:$G$12,AG164))</f>
        <v/>
      </c>
      <c r="AJ164" s="17" t="str">
        <f t="shared" si="3"/>
        <v/>
      </c>
    </row>
    <row r="165" ht="14" spans="1:36">
      <c r="A165" s="15"/>
      <c r="B165" s="15"/>
      <c r="C165" s="15"/>
      <c r="D165" s="15"/>
      <c r="E165" s="15"/>
      <c r="F165" s="15"/>
      <c r="G165" s="15"/>
      <c r="H165" s="15"/>
      <c r="I165" s="15"/>
      <c r="J165" s="23"/>
      <c r="K165" s="23"/>
      <c r="L165" s="23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7"/>
      <c r="Y165" s="17"/>
      <c r="Z165" s="17"/>
      <c r="AA165" s="15"/>
      <c r="AE165" s="15" t="str">
        <f t="shared" si="0"/>
        <v/>
      </c>
      <c r="AF165" s="15" t="str">
        <f t="shared" si="1"/>
        <v/>
      </c>
      <c r="AG165" s="15" t="str">
        <f>IF(OR(AF165="",AF165="ERRO_CHAVE"),"",IFERROR(MATCH(AF165,'quitado Despesa'!$V$1:$V$12,0),""))</f>
        <v/>
      </c>
      <c r="AH165" s="15" t="str">
        <f t="shared" si="2"/>
        <v/>
      </c>
      <c r="AI165" s="17" t="str">
        <f>IF(AG165="","",INDEX('quitado Despesa'!$G$1:$G$12,AG165))</f>
        <v/>
      </c>
      <c r="AJ165" s="17" t="str">
        <f t="shared" si="3"/>
        <v/>
      </c>
    </row>
    <row r="166" ht="14" spans="1:36">
      <c r="A166" s="15"/>
      <c r="B166" s="15"/>
      <c r="C166" s="15"/>
      <c r="D166" s="15"/>
      <c r="E166" s="15"/>
      <c r="F166" s="15"/>
      <c r="G166" s="15"/>
      <c r="H166" s="15"/>
      <c r="I166" s="15"/>
      <c r="J166" s="23"/>
      <c r="K166" s="23"/>
      <c r="L166" s="23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7"/>
      <c r="Y166" s="17"/>
      <c r="Z166" s="17"/>
      <c r="AA166" s="15"/>
      <c r="AE166" s="15" t="str">
        <f t="shared" si="0"/>
        <v/>
      </c>
      <c r="AF166" s="15" t="str">
        <f t="shared" si="1"/>
        <v/>
      </c>
      <c r="AG166" s="15" t="str">
        <f>IF(OR(AF166="",AF166="ERRO_CHAVE"),"",IFERROR(MATCH(AF166,'quitado Despesa'!$V$1:$V$12,0),""))</f>
        <v/>
      </c>
      <c r="AH166" s="15" t="str">
        <f t="shared" si="2"/>
        <v/>
      </c>
      <c r="AI166" s="17" t="str">
        <f>IF(AG166="","",INDEX('quitado Despesa'!$G$1:$G$12,AG166))</f>
        <v/>
      </c>
      <c r="AJ166" s="17" t="str">
        <f t="shared" si="3"/>
        <v/>
      </c>
    </row>
    <row r="167" ht="14" spans="1:36">
      <c r="A167" s="15"/>
      <c r="B167" s="15"/>
      <c r="C167" s="15"/>
      <c r="D167" s="15"/>
      <c r="E167" s="15"/>
      <c r="F167" s="15"/>
      <c r="G167" s="15"/>
      <c r="H167" s="15"/>
      <c r="I167" s="15"/>
      <c r="J167" s="23"/>
      <c r="K167" s="23"/>
      <c r="L167" s="23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7"/>
      <c r="Y167" s="17"/>
      <c r="Z167" s="17"/>
      <c r="AA167" s="15"/>
      <c r="AE167" s="15" t="str">
        <f t="shared" si="0"/>
        <v/>
      </c>
      <c r="AF167" s="15" t="str">
        <f t="shared" si="1"/>
        <v/>
      </c>
      <c r="AG167" s="15" t="str">
        <f>IF(OR(AF167="",AF167="ERRO_CHAVE"),"",IFERROR(MATCH(AF167,'quitado Despesa'!$V$1:$V$12,0),""))</f>
        <v/>
      </c>
      <c r="AH167" s="15" t="str">
        <f t="shared" si="2"/>
        <v/>
      </c>
      <c r="AI167" s="17" t="str">
        <f>IF(AG167="","",INDEX('quitado Despesa'!$G$1:$G$12,AG167))</f>
        <v/>
      </c>
      <c r="AJ167" s="17" t="str">
        <f t="shared" si="3"/>
        <v/>
      </c>
    </row>
    <row r="168" ht="14" spans="1:36">
      <c r="A168" s="15"/>
      <c r="B168" s="15"/>
      <c r="C168" s="15"/>
      <c r="D168" s="15"/>
      <c r="E168" s="15"/>
      <c r="F168" s="15"/>
      <c r="G168" s="15"/>
      <c r="H168" s="15"/>
      <c r="I168" s="15"/>
      <c r="J168" s="23"/>
      <c r="K168" s="23"/>
      <c r="L168" s="23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7"/>
      <c r="Y168" s="17"/>
      <c r="Z168" s="17"/>
      <c r="AA168" s="15"/>
      <c r="AE168" s="15" t="str">
        <f t="shared" si="0"/>
        <v/>
      </c>
      <c r="AF168" s="15" t="str">
        <f t="shared" si="1"/>
        <v/>
      </c>
      <c r="AG168" s="15" t="str">
        <f>IF(OR(AF168="",AF168="ERRO_CHAVE"),"",IFERROR(MATCH(AF168,'quitado Despesa'!$V$1:$V$12,0),""))</f>
        <v/>
      </c>
      <c r="AH168" s="15" t="str">
        <f t="shared" si="2"/>
        <v/>
      </c>
      <c r="AI168" s="17" t="str">
        <f>IF(AG168="","",INDEX('quitado Despesa'!$G$1:$G$12,AG168))</f>
        <v/>
      </c>
      <c r="AJ168" s="17" t="str">
        <f t="shared" si="3"/>
        <v/>
      </c>
    </row>
    <row r="169" ht="14" spans="1:36">
      <c r="A169" s="15"/>
      <c r="B169" s="15"/>
      <c r="C169" s="15"/>
      <c r="D169" s="15"/>
      <c r="E169" s="15"/>
      <c r="F169" s="15"/>
      <c r="G169" s="15"/>
      <c r="H169" s="15"/>
      <c r="I169" s="15"/>
      <c r="J169" s="23"/>
      <c r="K169" s="23"/>
      <c r="L169" s="23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7"/>
      <c r="Y169" s="17"/>
      <c r="Z169" s="17"/>
      <c r="AA169" s="15"/>
      <c r="AE169" s="15" t="str">
        <f t="shared" si="0"/>
        <v/>
      </c>
      <c r="AF169" s="15" t="str">
        <f t="shared" si="1"/>
        <v/>
      </c>
      <c r="AG169" s="15" t="str">
        <f>IF(OR(AF169="",AF169="ERRO_CHAVE"),"",IFERROR(MATCH(AF169,'quitado Despesa'!$V$1:$V$12,0),""))</f>
        <v/>
      </c>
      <c r="AH169" s="15" t="str">
        <f t="shared" si="2"/>
        <v/>
      </c>
      <c r="AI169" s="17" t="str">
        <f>IF(AG169="","",INDEX('quitado Despesa'!$G$1:$G$12,AG169))</f>
        <v/>
      </c>
      <c r="AJ169" s="17" t="str">
        <f t="shared" si="3"/>
        <v/>
      </c>
    </row>
    <row r="170" ht="14" spans="1:36">
      <c r="A170" s="15"/>
      <c r="B170" s="15"/>
      <c r="C170" s="15"/>
      <c r="D170" s="15"/>
      <c r="E170" s="15"/>
      <c r="F170" s="15"/>
      <c r="G170" s="15"/>
      <c r="H170" s="15"/>
      <c r="I170" s="15"/>
      <c r="J170" s="23"/>
      <c r="K170" s="23"/>
      <c r="L170" s="23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7"/>
      <c r="Y170" s="17"/>
      <c r="Z170" s="17"/>
      <c r="AA170" s="15"/>
      <c r="AE170" s="15" t="str">
        <f t="shared" si="0"/>
        <v/>
      </c>
      <c r="AF170" s="15" t="str">
        <f t="shared" si="1"/>
        <v/>
      </c>
      <c r="AG170" s="15" t="str">
        <f>IF(OR(AF170="",AF170="ERRO_CHAVE"),"",IFERROR(MATCH(AF170,'quitado Despesa'!$V$1:$V$12,0),""))</f>
        <v/>
      </c>
      <c r="AH170" s="15" t="str">
        <f t="shared" si="2"/>
        <v/>
      </c>
      <c r="AI170" s="17" t="str">
        <f>IF(AG170="","",INDEX('quitado Despesa'!$G$1:$G$12,AG170))</f>
        <v/>
      </c>
      <c r="AJ170" s="17" t="str">
        <f t="shared" si="3"/>
        <v/>
      </c>
    </row>
    <row r="171" ht="14" spans="1:36">
      <c r="A171" s="15"/>
      <c r="B171" s="15"/>
      <c r="C171" s="15"/>
      <c r="D171" s="15"/>
      <c r="E171" s="15"/>
      <c r="F171" s="15"/>
      <c r="G171" s="15"/>
      <c r="H171" s="15"/>
      <c r="I171" s="15"/>
      <c r="J171" s="23"/>
      <c r="K171" s="23"/>
      <c r="L171" s="23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7"/>
      <c r="Y171" s="17"/>
      <c r="Z171" s="17"/>
      <c r="AA171" s="15"/>
      <c r="AE171" s="15" t="str">
        <f t="shared" si="0"/>
        <v/>
      </c>
      <c r="AF171" s="15" t="str">
        <f t="shared" si="1"/>
        <v/>
      </c>
      <c r="AG171" s="15" t="str">
        <f>IF(OR(AF171="",AF171="ERRO_CHAVE"),"",IFERROR(MATCH(AF171,'quitado Despesa'!$V$1:$V$12,0),""))</f>
        <v/>
      </c>
      <c r="AH171" s="15" t="str">
        <f t="shared" si="2"/>
        <v/>
      </c>
      <c r="AI171" s="17" t="str">
        <f>IF(AG171="","",INDEX('quitado Despesa'!$G$1:$G$12,AG171))</f>
        <v/>
      </c>
      <c r="AJ171" s="17" t="str">
        <f t="shared" si="3"/>
        <v/>
      </c>
    </row>
    <row r="172" ht="14" spans="1:36">
      <c r="A172" s="15"/>
      <c r="B172" s="15"/>
      <c r="C172" s="15"/>
      <c r="D172" s="15"/>
      <c r="E172" s="15"/>
      <c r="F172" s="15"/>
      <c r="G172" s="15"/>
      <c r="H172" s="15"/>
      <c r="I172" s="15"/>
      <c r="J172" s="23"/>
      <c r="K172" s="23"/>
      <c r="L172" s="23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7"/>
      <c r="Y172" s="17"/>
      <c r="Z172" s="17"/>
      <c r="AA172" s="15"/>
      <c r="AE172" s="15" t="str">
        <f t="shared" si="0"/>
        <v/>
      </c>
      <c r="AF172" s="15" t="str">
        <f t="shared" si="1"/>
        <v/>
      </c>
      <c r="AG172" s="15" t="str">
        <f>IF(OR(AF172="",AF172="ERRO_CHAVE"),"",IFERROR(MATCH(AF172,'quitado Despesa'!$V$1:$V$12,0),""))</f>
        <v/>
      </c>
      <c r="AH172" s="15" t="str">
        <f t="shared" si="2"/>
        <v/>
      </c>
      <c r="AI172" s="17" t="str">
        <f>IF(AG172="","",INDEX('quitado Despesa'!$G$1:$G$12,AG172))</f>
        <v/>
      </c>
      <c r="AJ172" s="17" t="str">
        <f t="shared" si="3"/>
        <v/>
      </c>
    </row>
    <row r="173" ht="14" spans="1:36">
      <c r="A173" s="15"/>
      <c r="B173" s="15"/>
      <c r="C173" s="15"/>
      <c r="D173" s="15"/>
      <c r="E173" s="15"/>
      <c r="F173" s="15"/>
      <c r="G173" s="15"/>
      <c r="H173" s="15"/>
      <c r="I173" s="15"/>
      <c r="J173" s="23"/>
      <c r="K173" s="23"/>
      <c r="L173" s="23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7"/>
      <c r="Y173" s="17"/>
      <c r="Z173" s="17"/>
      <c r="AA173" s="15"/>
      <c r="AE173" s="15" t="str">
        <f t="shared" si="0"/>
        <v/>
      </c>
      <c r="AF173" s="15" t="str">
        <f t="shared" si="1"/>
        <v/>
      </c>
      <c r="AG173" s="15" t="str">
        <f>IF(OR(AF173="",AF173="ERRO_CHAVE"),"",IFERROR(MATCH(AF173,'quitado Despesa'!$V$1:$V$12,0),""))</f>
        <v/>
      </c>
      <c r="AH173" s="15" t="str">
        <f t="shared" si="2"/>
        <v/>
      </c>
      <c r="AI173" s="17" t="str">
        <f>IF(AG173="","",INDEX('quitado Despesa'!$G$1:$G$12,AG173))</f>
        <v/>
      </c>
      <c r="AJ173" s="17" t="str">
        <f t="shared" si="3"/>
        <v/>
      </c>
    </row>
    <row r="174" ht="14" spans="1:36">
      <c r="A174" s="15"/>
      <c r="B174" s="15"/>
      <c r="C174" s="15"/>
      <c r="D174" s="15"/>
      <c r="E174" s="15"/>
      <c r="F174" s="15"/>
      <c r="G174" s="15"/>
      <c r="H174" s="15"/>
      <c r="I174" s="15"/>
      <c r="J174" s="23"/>
      <c r="K174" s="23"/>
      <c r="L174" s="23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7"/>
      <c r="Y174" s="17"/>
      <c r="Z174" s="17"/>
      <c r="AA174" s="15"/>
      <c r="AE174" s="15" t="str">
        <f t="shared" si="0"/>
        <v/>
      </c>
      <c r="AF174" s="15" t="str">
        <f t="shared" si="1"/>
        <v/>
      </c>
      <c r="AG174" s="15" t="str">
        <f>IF(OR(AF174="",AF174="ERRO_CHAVE"),"",IFERROR(MATCH(AF174,'quitado Despesa'!$V$1:$V$12,0),""))</f>
        <v/>
      </c>
      <c r="AH174" s="15" t="str">
        <f t="shared" si="2"/>
        <v/>
      </c>
      <c r="AI174" s="17" t="str">
        <f>IF(AG174="","",INDEX('quitado Despesa'!$G$1:$G$12,AG174))</f>
        <v/>
      </c>
      <c r="AJ174" s="17" t="str">
        <f t="shared" si="3"/>
        <v/>
      </c>
    </row>
    <row r="175" ht="14" spans="1:36">
      <c r="A175" s="15"/>
      <c r="B175" s="15"/>
      <c r="C175" s="15"/>
      <c r="D175" s="15"/>
      <c r="E175" s="15"/>
      <c r="F175" s="15"/>
      <c r="G175" s="15"/>
      <c r="H175" s="15"/>
      <c r="I175" s="15"/>
      <c r="J175" s="23"/>
      <c r="K175" s="23"/>
      <c r="L175" s="23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7"/>
      <c r="Y175" s="17"/>
      <c r="Z175" s="17"/>
      <c r="AA175" s="15"/>
      <c r="AE175" s="15" t="str">
        <f t="shared" si="0"/>
        <v/>
      </c>
      <c r="AF175" s="15" t="str">
        <f t="shared" si="1"/>
        <v/>
      </c>
      <c r="AG175" s="15" t="str">
        <f>IF(OR(AF175="",AF175="ERRO_CHAVE"),"",IFERROR(MATCH(AF175,'quitado Despesa'!$V$1:$V$12,0),""))</f>
        <v/>
      </c>
      <c r="AH175" s="15" t="str">
        <f t="shared" si="2"/>
        <v/>
      </c>
      <c r="AI175" s="17" t="str">
        <f>IF(AG175="","",INDEX('quitado Despesa'!$G$1:$G$12,AG175))</f>
        <v/>
      </c>
      <c r="AJ175" s="17" t="str">
        <f t="shared" si="3"/>
        <v/>
      </c>
    </row>
    <row r="176" ht="14" spans="1:36">
      <c r="A176" s="15"/>
      <c r="B176" s="15"/>
      <c r="C176" s="15"/>
      <c r="D176" s="15"/>
      <c r="E176" s="15"/>
      <c r="F176" s="15"/>
      <c r="G176" s="15"/>
      <c r="H176" s="15"/>
      <c r="I176" s="15"/>
      <c r="J176" s="23"/>
      <c r="K176" s="23"/>
      <c r="L176" s="23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7"/>
      <c r="Y176" s="17"/>
      <c r="Z176" s="17"/>
      <c r="AA176" s="15"/>
      <c r="AE176" s="15" t="str">
        <f t="shared" si="0"/>
        <v/>
      </c>
      <c r="AF176" s="15" t="str">
        <f t="shared" si="1"/>
        <v/>
      </c>
      <c r="AG176" s="15" t="str">
        <f>IF(OR(AF176="",AF176="ERRO_CHAVE"),"",IFERROR(MATCH(AF176,'quitado Despesa'!$V$1:$V$12,0),""))</f>
        <v/>
      </c>
      <c r="AH176" s="15" t="str">
        <f t="shared" si="2"/>
        <v/>
      </c>
      <c r="AI176" s="17" t="str">
        <f>IF(AG176="","",INDEX('quitado Despesa'!$G$1:$G$12,AG176))</f>
        <v/>
      </c>
      <c r="AJ176" s="17" t="str">
        <f t="shared" si="3"/>
        <v/>
      </c>
    </row>
    <row r="177" ht="14" spans="1:36">
      <c r="A177" s="15"/>
      <c r="B177" s="15"/>
      <c r="C177" s="15"/>
      <c r="D177" s="15"/>
      <c r="E177" s="15"/>
      <c r="F177" s="15"/>
      <c r="G177" s="15"/>
      <c r="H177" s="15"/>
      <c r="I177" s="15"/>
      <c r="J177" s="23"/>
      <c r="K177" s="23"/>
      <c r="L177" s="23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7"/>
      <c r="Y177" s="17"/>
      <c r="Z177" s="17"/>
      <c r="AA177" s="15"/>
      <c r="AE177" s="15" t="str">
        <f t="shared" si="0"/>
        <v/>
      </c>
      <c r="AF177" s="15" t="str">
        <f t="shared" si="1"/>
        <v/>
      </c>
      <c r="AG177" s="15" t="str">
        <f>IF(OR(AF177="",AF177="ERRO_CHAVE"),"",IFERROR(MATCH(AF177,'quitado Despesa'!$V$1:$V$12,0),""))</f>
        <v/>
      </c>
      <c r="AH177" s="15" t="str">
        <f t="shared" si="2"/>
        <v/>
      </c>
      <c r="AI177" s="17" t="str">
        <f>IF(AG177="","",INDEX('quitado Despesa'!$G$1:$G$12,AG177))</f>
        <v/>
      </c>
      <c r="AJ177" s="17" t="str">
        <f t="shared" si="3"/>
        <v/>
      </c>
    </row>
    <row r="178" ht="14" spans="1:36">
      <c r="A178" s="15"/>
      <c r="B178" s="15"/>
      <c r="C178" s="15"/>
      <c r="D178" s="15"/>
      <c r="E178" s="15"/>
      <c r="F178" s="15"/>
      <c r="G178" s="15"/>
      <c r="H178" s="15"/>
      <c r="I178" s="15"/>
      <c r="J178" s="23"/>
      <c r="K178" s="23"/>
      <c r="L178" s="23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7"/>
      <c r="Y178" s="17"/>
      <c r="Z178" s="17"/>
      <c r="AA178" s="15"/>
      <c r="AE178" s="15" t="str">
        <f t="shared" si="0"/>
        <v/>
      </c>
      <c r="AF178" s="15" t="str">
        <f t="shared" si="1"/>
        <v/>
      </c>
      <c r="AG178" s="15" t="str">
        <f>IF(OR(AF178="",AF178="ERRO_CHAVE"),"",IFERROR(MATCH(AF178,'quitado Despesa'!$V$1:$V$12,0),""))</f>
        <v/>
      </c>
      <c r="AH178" s="15" t="str">
        <f t="shared" si="2"/>
        <v/>
      </c>
      <c r="AI178" s="17" t="str">
        <f>IF(AG178="","",INDEX('quitado Despesa'!$G$1:$G$12,AG178))</f>
        <v/>
      </c>
      <c r="AJ178" s="17" t="str">
        <f t="shared" si="3"/>
        <v/>
      </c>
    </row>
    <row r="179" ht="14" spans="1:36">
      <c r="A179" s="15"/>
      <c r="B179" s="15"/>
      <c r="C179" s="15"/>
      <c r="D179" s="15"/>
      <c r="E179" s="15"/>
      <c r="F179" s="15"/>
      <c r="G179" s="15"/>
      <c r="H179" s="15"/>
      <c r="I179" s="15"/>
      <c r="J179" s="23"/>
      <c r="K179" s="23"/>
      <c r="L179" s="23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7"/>
      <c r="Y179" s="17"/>
      <c r="Z179" s="17"/>
      <c r="AA179" s="15"/>
      <c r="AE179" s="15" t="str">
        <f t="shared" si="0"/>
        <v/>
      </c>
      <c r="AF179" s="15" t="str">
        <f t="shared" si="1"/>
        <v/>
      </c>
      <c r="AG179" s="15" t="str">
        <f>IF(OR(AF179="",AF179="ERRO_CHAVE"),"",IFERROR(MATCH(AF179,'quitado Despesa'!$V$1:$V$12,0),""))</f>
        <v/>
      </c>
      <c r="AH179" s="15" t="str">
        <f t="shared" si="2"/>
        <v/>
      </c>
      <c r="AI179" s="17" t="str">
        <f>IF(AG179="","",INDEX('quitado Despesa'!$G$1:$G$12,AG179))</f>
        <v/>
      </c>
      <c r="AJ179" s="17" t="str">
        <f t="shared" si="3"/>
        <v/>
      </c>
    </row>
    <row r="180" ht="14" spans="1:36">
      <c r="A180" s="15"/>
      <c r="B180" s="15"/>
      <c r="C180" s="15"/>
      <c r="D180" s="15"/>
      <c r="E180" s="15"/>
      <c r="F180" s="15"/>
      <c r="G180" s="15"/>
      <c r="H180" s="15"/>
      <c r="I180" s="15"/>
      <c r="J180" s="23"/>
      <c r="K180" s="23"/>
      <c r="L180" s="23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7"/>
      <c r="Y180" s="17"/>
      <c r="Z180" s="17"/>
      <c r="AA180" s="15"/>
      <c r="AE180" s="15" t="str">
        <f t="shared" si="0"/>
        <v/>
      </c>
      <c r="AF180" s="15" t="str">
        <f t="shared" si="1"/>
        <v/>
      </c>
      <c r="AG180" s="15" t="str">
        <f>IF(OR(AF180="",AF180="ERRO_CHAVE"),"",IFERROR(MATCH(AF180,'quitado Despesa'!$V$1:$V$12,0),""))</f>
        <v/>
      </c>
      <c r="AH180" s="15" t="str">
        <f t="shared" si="2"/>
        <v/>
      </c>
      <c r="AI180" s="17" t="str">
        <f>IF(AG180="","",INDEX('quitado Despesa'!$G$1:$G$12,AG180))</f>
        <v/>
      </c>
      <c r="AJ180" s="17" t="str">
        <f t="shared" si="3"/>
        <v/>
      </c>
    </row>
    <row r="181" ht="14" spans="1:36">
      <c r="A181" s="15"/>
      <c r="B181" s="15"/>
      <c r="C181" s="15"/>
      <c r="D181" s="15"/>
      <c r="E181" s="15"/>
      <c r="F181" s="15"/>
      <c r="G181" s="15"/>
      <c r="H181" s="15"/>
      <c r="I181" s="15"/>
      <c r="J181" s="23"/>
      <c r="K181" s="23"/>
      <c r="L181" s="23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7"/>
      <c r="Y181" s="17"/>
      <c r="Z181" s="17"/>
      <c r="AA181" s="15"/>
      <c r="AE181" s="15" t="str">
        <f t="shared" si="0"/>
        <v/>
      </c>
      <c r="AF181" s="15" t="str">
        <f t="shared" si="1"/>
        <v/>
      </c>
      <c r="AG181" s="15" t="str">
        <f>IF(OR(AF181="",AF181="ERRO_CHAVE"),"",IFERROR(MATCH(AF181,'quitado Despesa'!$V$1:$V$12,0),""))</f>
        <v/>
      </c>
      <c r="AH181" s="15" t="str">
        <f t="shared" si="2"/>
        <v/>
      </c>
      <c r="AI181" s="17" t="str">
        <f>IF(AG181="","",INDEX('quitado Despesa'!$G$1:$G$12,AG181))</f>
        <v/>
      </c>
      <c r="AJ181" s="17" t="str">
        <f t="shared" si="3"/>
        <v/>
      </c>
    </row>
    <row r="182" ht="14" spans="1:36">
      <c r="A182" s="15"/>
      <c r="B182" s="15"/>
      <c r="C182" s="15"/>
      <c r="D182" s="15"/>
      <c r="E182" s="15"/>
      <c r="F182" s="15"/>
      <c r="G182" s="15"/>
      <c r="H182" s="15"/>
      <c r="I182" s="15"/>
      <c r="J182" s="23"/>
      <c r="K182" s="23"/>
      <c r="L182" s="23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7"/>
      <c r="Y182" s="17"/>
      <c r="Z182" s="17"/>
      <c r="AA182" s="15"/>
      <c r="AE182" s="15" t="str">
        <f t="shared" si="0"/>
        <v/>
      </c>
      <c r="AF182" s="15" t="str">
        <f t="shared" si="1"/>
        <v/>
      </c>
      <c r="AG182" s="15" t="str">
        <f>IF(OR(AF182="",AF182="ERRO_CHAVE"),"",IFERROR(MATCH(AF182,'quitado Despesa'!$V$1:$V$12,0),""))</f>
        <v/>
      </c>
      <c r="AH182" s="15" t="str">
        <f t="shared" si="2"/>
        <v/>
      </c>
      <c r="AI182" s="17" t="str">
        <f>IF(AG182="","",INDEX('quitado Despesa'!$G$1:$G$12,AG182))</f>
        <v/>
      </c>
      <c r="AJ182" s="17" t="str">
        <f t="shared" si="3"/>
        <v/>
      </c>
    </row>
    <row r="183" ht="14" spans="1:36">
      <c r="A183" s="15"/>
      <c r="B183" s="15"/>
      <c r="C183" s="15"/>
      <c r="D183" s="15"/>
      <c r="E183" s="15"/>
      <c r="F183" s="15"/>
      <c r="G183" s="15"/>
      <c r="H183" s="15"/>
      <c r="I183" s="15"/>
      <c r="J183" s="23"/>
      <c r="K183" s="23"/>
      <c r="L183" s="23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7"/>
      <c r="Y183" s="17"/>
      <c r="Z183" s="17"/>
      <c r="AA183" s="15"/>
      <c r="AE183" s="15" t="str">
        <f t="shared" si="0"/>
        <v/>
      </c>
      <c r="AF183" s="15" t="str">
        <f t="shared" si="1"/>
        <v/>
      </c>
      <c r="AG183" s="15" t="str">
        <f>IF(OR(AF183="",AF183="ERRO_CHAVE"),"",IFERROR(MATCH(AF183,'quitado Despesa'!$V$1:$V$12,0),""))</f>
        <v/>
      </c>
      <c r="AH183" s="15" t="str">
        <f t="shared" si="2"/>
        <v/>
      </c>
      <c r="AI183" s="17" t="str">
        <f>IF(AG183="","",INDEX('quitado Despesa'!$G$1:$G$12,AG183))</f>
        <v/>
      </c>
      <c r="AJ183" s="17" t="str">
        <f t="shared" si="3"/>
        <v/>
      </c>
    </row>
    <row r="184" ht="14" spans="1:36">
      <c r="A184" s="15"/>
      <c r="B184" s="15"/>
      <c r="C184" s="15"/>
      <c r="D184" s="15"/>
      <c r="E184" s="15"/>
      <c r="F184" s="15"/>
      <c r="G184" s="15"/>
      <c r="H184" s="15"/>
      <c r="I184" s="15"/>
      <c r="J184" s="23"/>
      <c r="K184" s="23"/>
      <c r="L184" s="23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7"/>
      <c r="Y184" s="17"/>
      <c r="Z184" s="17"/>
      <c r="AA184" s="15"/>
      <c r="AE184" s="15" t="str">
        <f t="shared" si="0"/>
        <v/>
      </c>
      <c r="AF184" s="15" t="str">
        <f t="shared" si="1"/>
        <v/>
      </c>
      <c r="AG184" s="15" t="str">
        <f>IF(OR(AF184="",AF184="ERRO_CHAVE"),"",IFERROR(MATCH(AF184,'quitado Despesa'!$V$1:$V$12,0),""))</f>
        <v/>
      </c>
      <c r="AH184" s="15" t="str">
        <f t="shared" si="2"/>
        <v/>
      </c>
      <c r="AI184" s="17" t="str">
        <f>IF(AG184="","",INDEX('quitado Despesa'!$G$1:$G$12,AG184))</f>
        <v/>
      </c>
      <c r="AJ184" s="17" t="str">
        <f t="shared" si="3"/>
        <v/>
      </c>
    </row>
    <row r="185" ht="14" spans="1:36">
      <c r="A185" s="15"/>
      <c r="B185" s="15"/>
      <c r="C185" s="15"/>
      <c r="D185" s="15"/>
      <c r="E185" s="15"/>
      <c r="F185" s="15"/>
      <c r="G185" s="15"/>
      <c r="H185" s="15"/>
      <c r="I185" s="15"/>
      <c r="J185" s="23"/>
      <c r="K185" s="23"/>
      <c r="L185" s="23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7"/>
      <c r="Y185" s="17"/>
      <c r="Z185" s="17"/>
      <c r="AA185" s="15"/>
      <c r="AE185" s="15" t="str">
        <f t="shared" si="0"/>
        <v/>
      </c>
      <c r="AF185" s="15" t="str">
        <f t="shared" si="1"/>
        <v/>
      </c>
      <c r="AG185" s="15" t="str">
        <f>IF(OR(AF185="",AF185="ERRO_CHAVE"),"",IFERROR(MATCH(AF185,'quitado Despesa'!$V$1:$V$12,0),""))</f>
        <v/>
      </c>
      <c r="AH185" s="15" t="str">
        <f t="shared" si="2"/>
        <v/>
      </c>
      <c r="AI185" s="17" t="str">
        <f>IF(AG185="","",INDEX('quitado Despesa'!$G$1:$G$12,AG185))</f>
        <v/>
      </c>
      <c r="AJ185" s="17" t="str">
        <f t="shared" si="3"/>
        <v/>
      </c>
    </row>
    <row r="186" ht="14" spans="1:36">
      <c r="A186" s="15"/>
      <c r="B186" s="15"/>
      <c r="C186" s="15"/>
      <c r="D186" s="15"/>
      <c r="E186" s="15"/>
      <c r="F186" s="15"/>
      <c r="G186" s="15"/>
      <c r="H186" s="15"/>
      <c r="I186" s="15"/>
      <c r="J186" s="23"/>
      <c r="K186" s="23"/>
      <c r="L186" s="23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7"/>
      <c r="Y186" s="17"/>
      <c r="Z186" s="17"/>
      <c r="AA186" s="15"/>
      <c r="AE186" s="15" t="str">
        <f t="shared" si="0"/>
        <v/>
      </c>
      <c r="AF186" s="15" t="str">
        <f t="shared" si="1"/>
        <v/>
      </c>
      <c r="AG186" s="15" t="str">
        <f>IF(OR(AF186="",AF186="ERRO_CHAVE"),"",IFERROR(MATCH(AF186,'quitado Despesa'!$V$1:$V$12,0),""))</f>
        <v/>
      </c>
      <c r="AH186" s="15" t="str">
        <f t="shared" si="2"/>
        <v/>
      </c>
      <c r="AI186" s="17" t="str">
        <f>IF(AG186="","",INDEX('quitado Despesa'!$G$1:$G$12,AG186))</f>
        <v/>
      </c>
      <c r="AJ186" s="17" t="str">
        <f t="shared" si="3"/>
        <v/>
      </c>
    </row>
    <row r="187" ht="14" spans="1:36">
      <c r="A187" s="15"/>
      <c r="B187" s="15"/>
      <c r="C187" s="15"/>
      <c r="D187" s="15"/>
      <c r="E187" s="15"/>
      <c r="F187" s="15"/>
      <c r="G187" s="15"/>
      <c r="H187" s="15"/>
      <c r="I187" s="15"/>
      <c r="J187" s="23"/>
      <c r="K187" s="23"/>
      <c r="L187" s="23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7"/>
      <c r="Y187" s="17"/>
      <c r="Z187" s="17"/>
      <c r="AA187" s="15"/>
      <c r="AE187" s="15" t="str">
        <f t="shared" si="0"/>
        <v/>
      </c>
      <c r="AF187" s="15" t="str">
        <f t="shared" si="1"/>
        <v/>
      </c>
      <c r="AG187" s="15" t="str">
        <f>IF(OR(AF187="",AF187="ERRO_CHAVE"),"",IFERROR(MATCH(AF187,'quitado Despesa'!$V$1:$V$12,0),""))</f>
        <v/>
      </c>
      <c r="AH187" s="15" t="str">
        <f t="shared" si="2"/>
        <v/>
      </c>
      <c r="AI187" s="17" t="str">
        <f>IF(AG187="","",INDEX('quitado Despesa'!$G$1:$G$12,AG187))</f>
        <v/>
      </c>
      <c r="AJ187" s="17" t="str">
        <f t="shared" si="3"/>
        <v/>
      </c>
    </row>
    <row r="188" ht="14" spans="1:36">
      <c r="A188" s="15"/>
      <c r="B188" s="15"/>
      <c r="C188" s="15"/>
      <c r="D188" s="15"/>
      <c r="E188" s="15"/>
      <c r="F188" s="15"/>
      <c r="G188" s="15"/>
      <c r="H188" s="15"/>
      <c r="I188" s="15"/>
      <c r="J188" s="23"/>
      <c r="K188" s="23"/>
      <c r="L188" s="23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7"/>
      <c r="Y188" s="17"/>
      <c r="Z188" s="17"/>
      <c r="AA188" s="15"/>
      <c r="AE188" s="15" t="str">
        <f t="shared" si="0"/>
        <v/>
      </c>
      <c r="AF188" s="15" t="str">
        <f t="shared" si="1"/>
        <v/>
      </c>
      <c r="AG188" s="15" t="str">
        <f>IF(OR(AF188="",AF188="ERRO_CHAVE"),"",IFERROR(MATCH(AF188,'quitado Despesa'!$V$1:$V$12,0),""))</f>
        <v/>
      </c>
      <c r="AH188" s="15" t="str">
        <f t="shared" si="2"/>
        <v/>
      </c>
      <c r="AI188" s="17" t="str">
        <f>IF(AG188="","",INDEX('quitado Despesa'!$G$1:$G$12,AG188))</f>
        <v/>
      </c>
      <c r="AJ188" s="17" t="str">
        <f t="shared" si="3"/>
        <v/>
      </c>
    </row>
    <row r="189" ht="14" spans="1:36">
      <c r="A189" s="15"/>
      <c r="B189" s="15"/>
      <c r="C189" s="15"/>
      <c r="D189" s="15"/>
      <c r="E189" s="15"/>
      <c r="F189" s="15"/>
      <c r="G189" s="15"/>
      <c r="H189" s="15"/>
      <c r="I189" s="15"/>
      <c r="J189" s="23"/>
      <c r="K189" s="23"/>
      <c r="L189" s="23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7"/>
      <c r="Y189" s="17"/>
      <c r="Z189" s="17"/>
      <c r="AA189" s="15"/>
      <c r="AE189" s="15" t="str">
        <f t="shared" si="0"/>
        <v/>
      </c>
      <c r="AF189" s="15" t="str">
        <f t="shared" si="1"/>
        <v/>
      </c>
      <c r="AG189" s="15" t="str">
        <f>IF(OR(AF189="",AF189="ERRO_CHAVE"),"",IFERROR(MATCH(AF189,'quitado Despesa'!$V$1:$V$12,0),""))</f>
        <v/>
      </c>
      <c r="AH189" s="15" t="str">
        <f t="shared" si="2"/>
        <v/>
      </c>
      <c r="AI189" s="17" t="str">
        <f>IF(AG189="","",INDEX('quitado Despesa'!$G$1:$G$12,AG189))</f>
        <v/>
      </c>
      <c r="AJ189" s="17" t="str">
        <f t="shared" si="3"/>
        <v/>
      </c>
    </row>
    <row r="190" ht="14" spans="1:36">
      <c r="A190" s="15"/>
      <c r="B190" s="15"/>
      <c r="C190" s="15"/>
      <c r="D190" s="15"/>
      <c r="E190" s="15"/>
      <c r="F190" s="15"/>
      <c r="G190" s="15"/>
      <c r="H190" s="15"/>
      <c r="I190" s="15"/>
      <c r="J190" s="23"/>
      <c r="K190" s="23"/>
      <c r="L190" s="23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7"/>
      <c r="Y190" s="17"/>
      <c r="Z190" s="17"/>
      <c r="AA190" s="15"/>
      <c r="AE190" s="15" t="str">
        <f t="shared" si="0"/>
        <v/>
      </c>
      <c r="AF190" s="15" t="str">
        <f t="shared" si="1"/>
        <v/>
      </c>
      <c r="AG190" s="15" t="str">
        <f>IF(OR(AF190="",AF190="ERRO_CHAVE"),"",IFERROR(MATCH(AF190,'quitado Despesa'!$V$1:$V$12,0),""))</f>
        <v/>
      </c>
      <c r="AH190" s="15" t="str">
        <f t="shared" si="2"/>
        <v/>
      </c>
      <c r="AI190" s="17" t="str">
        <f>IF(AG190="","",INDEX('quitado Despesa'!$G$1:$G$12,AG190))</f>
        <v/>
      </c>
      <c r="AJ190" s="17" t="str">
        <f t="shared" si="3"/>
        <v/>
      </c>
    </row>
    <row r="191" ht="14" spans="1:36">
      <c r="A191" s="15"/>
      <c r="B191" s="15"/>
      <c r="C191" s="15"/>
      <c r="D191" s="15"/>
      <c r="E191" s="15"/>
      <c r="F191" s="15"/>
      <c r="G191" s="15"/>
      <c r="H191" s="15"/>
      <c r="I191" s="15"/>
      <c r="J191" s="23"/>
      <c r="K191" s="23"/>
      <c r="L191" s="23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7"/>
      <c r="Y191" s="17"/>
      <c r="Z191" s="17"/>
      <c r="AA191" s="15"/>
      <c r="AE191" s="15" t="str">
        <f t="shared" si="0"/>
        <v/>
      </c>
      <c r="AF191" s="15" t="str">
        <f t="shared" si="1"/>
        <v/>
      </c>
      <c r="AG191" s="15" t="str">
        <f>IF(OR(AF191="",AF191="ERRO_CHAVE"),"",IFERROR(MATCH(AF191,'quitado Despesa'!$V$1:$V$12,0),""))</f>
        <v/>
      </c>
      <c r="AH191" s="15" t="str">
        <f t="shared" si="2"/>
        <v/>
      </c>
      <c r="AI191" s="17" t="str">
        <f>IF(AG191="","",INDEX('quitado Despesa'!$G$1:$G$12,AG191))</f>
        <v/>
      </c>
      <c r="AJ191" s="17" t="str">
        <f t="shared" si="3"/>
        <v/>
      </c>
    </row>
    <row r="192" ht="14" spans="1:36">
      <c r="A192" s="15"/>
      <c r="B192" s="15"/>
      <c r="C192" s="15"/>
      <c r="D192" s="15"/>
      <c r="E192" s="15"/>
      <c r="F192" s="15"/>
      <c r="G192" s="15"/>
      <c r="H192" s="15"/>
      <c r="I192" s="15"/>
      <c r="J192" s="23"/>
      <c r="K192" s="23"/>
      <c r="L192" s="23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7"/>
      <c r="Y192" s="17"/>
      <c r="Z192" s="17"/>
      <c r="AA192" s="15"/>
      <c r="AE192" s="15" t="str">
        <f t="shared" si="0"/>
        <v/>
      </c>
      <c r="AF192" s="15" t="str">
        <f t="shared" si="1"/>
        <v/>
      </c>
      <c r="AG192" s="15" t="str">
        <f>IF(OR(AF192="",AF192="ERRO_CHAVE"),"",IFERROR(MATCH(AF192,'quitado Despesa'!$V$1:$V$12,0),""))</f>
        <v/>
      </c>
      <c r="AH192" s="15" t="str">
        <f t="shared" si="2"/>
        <v/>
      </c>
      <c r="AI192" s="17" t="str">
        <f>IF(AG192="","",INDEX('quitado Despesa'!$G$1:$G$12,AG192))</f>
        <v/>
      </c>
      <c r="AJ192" s="17" t="str">
        <f t="shared" si="3"/>
        <v/>
      </c>
    </row>
    <row r="193" ht="14" spans="1:36">
      <c r="A193" s="15"/>
      <c r="B193" s="15"/>
      <c r="C193" s="15"/>
      <c r="D193" s="15"/>
      <c r="E193" s="15"/>
      <c r="F193" s="15"/>
      <c r="G193" s="15"/>
      <c r="H193" s="15"/>
      <c r="I193" s="15"/>
      <c r="J193" s="23"/>
      <c r="K193" s="23"/>
      <c r="L193" s="23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7"/>
      <c r="Y193" s="17"/>
      <c r="Z193" s="17"/>
      <c r="AA193" s="15"/>
      <c r="AE193" s="15" t="str">
        <f t="shared" si="0"/>
        <v/>
      </c>
      <c r="AF193" s="15" t="str">
        <f t="shared" si="1"/>
        <v/>
      </c>
      <c r="AG193" s="15" t="str">
        <f>IF(OR(AF193="",AF193="ERRO_CHAVE"),"",IFERROR(MATCH(AF193,'quitado Despesa'!$V$1:$V$12,0),""))</f>
        <v/>
      </c>
      <c r="AH193" s="15" t="str">
        <f t="shared" si="2"/>
        <v/>
      </c>
      <c r="AI193" s="17" t="str">
        <f>IF(AG193="","",INDEX('quitado Despesa'!$G$1:$G$12,AG193))</f>
        <v/>
      </c>
      <c r="AJ193" s="17" t="str">
        <f t="shared" si="3"/>
        <v/>
      </c>
    </row>
    <row r="194" ht="14" spans="1:36">
      <c r="A194" s="15"/>
      <c r="B194" s="15"/>
      <c r="C194" s="15"/>
      <c r="D194" s="15"/>
      <c r="E194" s="15"/>
      <c r="F194" s="15"/>
      <c r="G194" s="15"/>
      <c r="H194" s="15"/>
      <c r="I194" s="15"/>
      <c r="J194" s="23"/>
      <c r="K194" s="23"/>
      <c r="L194" s="23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7"/>
      <c r="Y194" s="17"/>
      <c r="Z194" s="17"/>
      <c r="AA194" s="15"/>
      <c r="AE194" s="15" t="str">
        <f t="shared" si="0"/>
        <v/>
      </c>
      <c r="AF194" s="15" t="str">
        <f t="shared" si="1"/>
        <v/>
      </c>
      <c r="AG194" s="15" t="str">
        <f>IF(OR(AF194="",AF194="ERRO_CHAVE"),"",IFERROR(MATCH(AF194,'quitado Despesa'!$V$1:$V$12,0),""))</f>
        <v/>
      </c>
      <c r="AH194" s="15" t="str">
        <f t="shared" si="2"/>
        <v/>
      </c>
      <c r="AI194" s="17" t="str">
        <f>IF(AG194="","",INDEX('quitado Despesa'!$G$1:$G$12,AG194))</f>
        <v/>
      </c>
      <c r="AJ194" s="17" t="str">
        <f t="shared" si="3"/>
        <v/>
      </c>
    </row>
    <row r="195" ht="14" spans="1:36">
      <c r="A195" s="15"/>
      <c r="B195" s="15"/>
      <c r="C195" s="15"/>
      <c r="D195" s="15"/>
      <c r="E195" s="15"/>
      <c r="F195" s="15"/>
      <c r="G195" s="15"/>
      <c r="H195" s="15"/>
      <c r="I195" s="15"/>
      <c r="J195" s="23"/>
      <c r="K195" s="23"/>
      <c r="L195" s="23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7"/>
      <c r="Y195" s="17"/>
      <c r="Z195" s="17"/>
      <c r="AA195" s="15"/>
      <c r="AE195" s="15" t="str">
        <f t="shared" si="0"/>
        <v/>
      </c>
      <c r="AF195" s="15" t="str">
        <f t="shared" si="1"/>
        <v/>
      </c>
      <c r="AG195" s="15" t="str">
        <f>IF(OR(AF195="",AF195="ERRO_CHAVE"),"",IFERROR(MATCH(AF195,'quitado Despesa'!$V$1:$V$12,0),""))</f>
        <v/>
      </c>
      <c r="AH195" s="15" t="str">
        <f t="shared" si="2"/>
        <v/>
      </c>
      <c r="AI195" s="17" t="str">
        <f>IF(AG195="","",INDEX('quitado Despesa'!$G$1:$G$12,AG195))</f>
        <v/>
      </c>
      <c r="AJ195" s="17" t="str">
        <f t="shared" si="3"/>
        <v/>
      </c>
    </row>
    <row r="196" ht="14" spans="1:36">
      <c r="A196" s="15"/>
      <c r="B196" s="15"/>
      <c r="C196" s="15"/>
      <c r="D196" s="15"/>
      <c r="E196" s="15"/>
      <c r="F196" s="15"/>
      <c r="G196" s="15"/>
      <c r="H196" s="15"/>
      <c r="I196" s="15"/>
      <c r="J196" s="23"/>
      <c r="K196" s="23"/>
      <c r="L196" s="23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7"/>
      <c r="Y196" s="17"/>
      <c r="Z196" s="17"/>
      <c r="AA196" s="15"/>
      <c r="AE196" s="15" t="str">
        <f t="shared" si="0"/>
        <v/>
      </c>
      <c r="AF196" s="15" t="str">
        <f t="shared" si="1"/>
        <v/>
      </c>
      <c r="AG196" s="15" t="str">
        <f>IF(OR(AF196="",AF196="ERRO_CHAVE"),"",IFERROR(MATCH(AF196,'quitado Despesa'!$V$1:$V$12,0),""))</f>
        <v/>
      </c>
      <c r="AH196" s="15" t="str">
        <f t="shared" si="2"/>
        <v/>
      </c>
      <c r="AI196" s="17" t="str">
        <f>IF(AG196="","",INDEX('quitado Despesa'!$G$1:$G$12,AG196))</f>
        <v/>
      </c>
      <c r="AJ196" s="17" t="str">
        <f t="shared" si="3"/>
        <v/>
      </c>
    </row>
    <row r="197" ht="14" spans="1:36">
      <c r="A197" s="15"/>
      <c r="B197" s="15"/>
      <c r="C197" s="15"/>
      <c r="D197" s="15"/>
      <c r="E197" s="15"/>
      <c r="F197" s="15"/>
      <c r="G197" s="15"/>
      <c r="H197" s="15"/>
      <c r="I197" s="15"/>
      <c r="J197" s="23"/>
      <c r="K197" s="23"/>
      <c r="L197" s="23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7"/>
      <c r="Y197" s="17"/>
      <c r="Z197" s="17"/>
      <c r="AA197" s="15"/>
      <c r="AE197" s="15" t="str">
        <f t="shared" si="0"/>
        <v/>
      </c>
      <c r="AF197" s="15" t="str">
        <f t="shared" si="1"/>
        <v/>
      </c>
      <c r="AG197" s="15" t="str">
        <f>IF(OR(AF197="",AF197="ERRO_CHAVE"),"",IFERROR(MATCH(AF197,'quitado Despesa'!$V$1:$V$12,0),""))</f>
        <v/>
      </c>
      <c r="AH197" s="15" t="str">
        <f t="shared" si="2"/>
        <v/>
      </c>
      <c r="AI197" s="17" t="str">
        <f>IF(AG197="","",INDEX('quitado Despesa'!$G$1:$G$12,AG197))</f>
        <v/>
      </c>
      <c r="AJ197" s="17" t="str">
        <f t="shared" si="3"/>
        <v/>
      </c>
    </row>
    <row r="198" ht="14" spans="1:36">
      <c r="A198" s="15"/>
      <c r="B198" s="15"/>
      <c r="C198" s="15"/>
      <c r="D198" s="15"/>
      <c r="E198" s="15"/>
      <c r="F198" s="15"/>
      <c r="G198" s="15"/>
      <c r="H198" s="15"/>
      <c r="I198" s="15"/>
      <c r="J198" s="23"/>
      <c r="K198" s="23"/>
      <c r="L198" s="23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7"/>
      <c r="Y198" s="17"/>
      <c r="Z198" s="17"/>
      <c r="AA198" s="15"/>
      <c r="AE198" s="15" t="str">
        <f t="shared" si="0"/>
        <v/>
      </c>
      <c r="AF198" s="15" t="str">
        <f t="shared" si="1"/>
        <v/>
      </c>
      <c r="AG198" s="15" t="str">
        <f>IF(OR(AF198="",AF198="ERRO_CHAVE"),"",IFERROR(MATCH(AF198,'quitado Despesa'!$V$1:$V$12,0),""))</f>
        <v/>
      </c>
      <c r="AH198" s="15" t="str">
        <f t="shared" si="2"/>
        <v/>
      </c>
      <c r="AI198" s="17" t="str">
        <f>IF(AG198="","",INDEX('quitado Despesa'!$G$1:$G$12,AG198))</f>
        <v/>
      </c>
      <c r="AJ198" s="17" t="str">
        <f t="shared" si="3"/>
        <v/>
      </c>
    </row>
    <row r="199" ht="14" spans="1:36">
      <c r="A199" s="15"/>
      <c r="B199" s="15"/>
      <c r="C199" s="15"/>
      <c r="D199" s="15"/>
      <c r="E199" s="15"/>
      <c r="F199" s="15"/>
      <c r="G199" s="15"/>
      <c r="H199" s="15"/>
      <c r="I199" s="15"/>
      <c r="J199" s="23"/>
      <c r="K199" s="23"/>
      <c r="L199" s="23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7"/>
      <c r="Y199" s="17"/>
      <c r="Z199" s="17"/>
      <c r="AA199" s="15"/>
      <c r="AE199" s="15" t="str">
        <f t="shared" si="0"/>
        <v/>
      </c>
      <c r="AF199" s="15" t="str">
        <f t="shared" si="1"/>
        <v/>
      </c>
      <c r="AG199" s="15" t="str">
        <f>IF(OR(AF199="",AF199="ERRO_CHAVE"),"",IFERROR(MATCH(AF199,'quitado Despesa'!$V$1:$V$12,0),""))</f>
        <v/>
      </c>
      <c r="AH199" s="15" t="str">
        <f t="shared" si="2"/>
        <v/>
      </c>
      <c r="AI199" s="17" t="str">
        <f>IF(AG199="","",INDEX('quitado Despesa'!$G$1:$G$12,AG199))</f>
        <v/>
      </c>
      <c r="AJ199" s="17" t="str">
        <f t="shared" si="3"/>
        <v/>
      </c>
    </row>
    <row r="200" ht="14" spans="1:36">
      <c r="A200" s="15"/>
      <c r="B200" s="15"/>
      <c r="C200" s="15"/>
      <c r="D200" s="15"/>
      <c r="E200" s="15"/>
      <c r="F200" s="15"/>
      <c r="G200" s="15"/>
      <c r="H200" s="15"/>
      <c r="I200" s="15"/>
      <c r="J200" s="23"/>
      <c r="K200" s="23"/>
      <c r="L200" s="23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7"/>
      <c r="Y200" s="17"/>
      <c r="Z200" s="17"/>
      <c r="AA200" s="15"/>
      <c r="AE200" s="15" t="str">
        <f t="shared" si="0"/>
        <v/>
      </c>
      <c r="AF200" s="15" t="str">
        <f t="shared" si="1"/>
        <v/>
      </c>
      <c r="AG200" s="15" t="str">
        <f>IF(OR(AF200="",AF200="ERRO_CHAVE"),"",IFERROR(MATCH(AF200,'quitado Despesa'!$V$1:$V$12,0),""))</f>
        <v/>
      </c>
      <c r="AH200" s="15" t="str">
        <f t="shared" si="2"/>
        <v/>
      </c>
      <c r="AI200" s="17" t="str">
        <f>IF(AG200="","",INDEX('quitado Despesa'!$G$1:$G$12,AG200))</f>
        <v/>
      </c>
      <c r="AJ200" s="17" t="str">
        <f t="shared" si="3"/>
        <v/>
      </c>
    </row>
    <row r="201" ht="14" spans="1:36">
      <c r="A201" s="15"/>
      <c r="B201" s="15"/>
      <c r="C201" s="15"/>
      <c r="D201" s="15"/>
      <c r="E201" s="15"/>
      <c r="F201" s="15"/>
      <c r="G201" s="15"/>
      <c r="H201" s="15"/>
      <c r="I201" s="15"/>
      <c r="J201" s="23"/>
      <c r="K201" s="23"/>
      <c r="L201" s="23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7"/>
      <c r="Y201" s="17"/>
      <c r="Z201" s="17"/>
      <c r="AA201" s="15"/>
      <c r="AE201" s="15" t="str">
        <f t="shared" si="0"/>
        <v/>
      </c>
      <c r="AF201" s="15" t="str">
        <f t="shared" si="1"/>
        <v/>
      </c>
      <c r="AG201" s="15" t="str">
        <f>IF(OR(AF201="",AF201="ERRO_CHAVE"),"",IFERROR(MATCH(AF201,'quitado Despesa'!$V$1:$V$12,0),""))</f>
        <v/>
      </c>
      <c r="AH201" s="15" t="str">
        <f t="shared" si="2"/>
        <v/>
      </c>
      <c r="AI201" s="17" t="str">
        <f>IF(AG201="","",INDEX('quitado Despesa'!$G$1:$G$12,AG201))</f>
        <v/>
      </c>
      <c r="AJ201" s="17" t="str">
        <f t="shared" si="3"/>
        <v/>
      </c>
    </row>
    <row r="202" ht="14" spans="1:36">
      <c r="A202" s="15"/>
      <c r="B202" s="15"/>
      <c r="C202" s="15"/>
      <c r="D202" s="15"/>
      <c r="E202" s="15"/>
      <c r="F202" s="15"/>
      <c r="G202" s="15"/>
      <c r="H202" s="15"/>
      <c r="I202" s="15"/>
      <c r="J202" s="23"/>
      <c r="K202" s="23"/>
      <c r="L202" s="23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7"/>
      <c r="Y202" s="17"/>
      <c r="Z202" s="17"/>
      <c r="AA202" s="15"/>
      <c r="AE202" s="15" t="str">
        <f t="shared" si="0"/>
        <v/>
      </c>
      <c r="AF202" s="15" t="str">
        <f t="shared" si="1"/>
        <v/>
      </c>
      <c r="AG202" s="15" t="str">
        <f>IF(OR(AF202="",AF202="ERRO_CHAVE"),"",IFERROR(MATCH(AF202,'quitado Despesa'!$V$1:$V$12,0),""))</f>
        <v/>
      </c>
      <c r="AH202" s="15" t="str">
        <f t="shared" si="2"/>
        <v/>
      </c>
      <c r="AI202" s="17" t="str">
        <f>IF(AG202="","",INDEX('quitado Despesa'!$G$1:$G$12,AG202))</f>
        <v/>
      </c>
      <c r="AJ202" s="17" t="str">
        <f t="shared" si="3"/>
        <v/>
      </c>
    </row>
    <row r="203" ht="14" spans="1:36">
      <c r="A203" s="15"/>
      <c r="B203" s="15"/>
      <c r="C203" s="15"/>
      <c r="D203" s="15"/>
      <c r="E203" s="15"/>
      <c r="F203" s="15"/>
      <c r="G203" s="15"/>
      <c r="H203" s="15"/>
      <c r="I203" s="15"/>
      <c r="J203" s="23"/>
      <c r="K203" s="23"/>
      <c r="L203" s="23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7"/>
      <c r="Y203" s="17"/>
      <c r="Z203" s="17"/>
      <c r="AA203" s="15"/>
      <c r="AE203" s="15" t="str">
        <f t="shared" si="0"/>
        <v/>
      </c>
      <c r="AF203" s="15" t="str">
        <f t="shared" si="1"/>
        <v/>
      </c>
      <c r="AG203" s="15" t="str">
        <f>IF(OR(AF203="",AF203="ERRO_CHAVE"),"",IFERROR(MATCH(AF203,'quitado Despesa'!$V$1:$V$12,0),""))</f>
        <v/>
      </c>
      <c r="AH203" s="15" t="str">
        <f t="shared" si="2"/>
        <v/>
      </c>
      <c r="AI203" s="17" t="str">
        <f>IF(AG203="","",INDEX('quitado Despesa'!$G$1:$G$12,AG203))</f>
        <v/>
      </c>
      <c r="AJ203" s="17" t="str">
        <f t="shared" si="3"/>
        <v/>
      </c>
    </row>
    <row r="204" ht="14" spans="1:36">
      <c r="A204" s="15"/>
      <c r="B204" s="15"/>
      <c r="C204" s="15"/>
      <c r="D204" s="15"/>
      <c r="E204" s="15"/>
      <c r="F204" s="15"/>
      <c r="G204" s="15"/>
      <c r="H204" s="15"/>
      <c r="I204" s="15"/>
      <c r="J204" s="23"/>
      <c r="K204" s="23"/>
      <c r="L204" s="23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7"/>
      <c r="Y204" s="17"/>
      <c r="Z204" s="17"/>
      <c r="AA204" s="15"/>
      <c r="AE204" s="15" t="str">
        <f t="shared" si="0"/>
        <v/>
      </c>
      <c r="AF204" s="15" t="str">
        <f t="shared" si="1"/>
        <v/>
      </c>
      <c r="AG204" s="15" t="str">
        <f>IF(OR(AF204="",AF204="ERRO_CHAVE"),"",IFERROR(MATCH(AF204,'quitado Despesa'!$V$1:$V$12,0),""))</f>
        <v/>
      </c>
      <c r="AH204" s="15" t="str">
        <f t="shared" si="2"/>
        <v/>
      </c>
      <c r="AI204" s="17" t="str">
        <f>IF(AG204="","",INDEX('quitado Despesa'!$G$1:$G$12,AG204))</f>
        <v/>
      </c>
      <c r="AJ204" s="17" t="str">
        <f t="shared" si="3"/>
        <v/>
      </c>
    </row>
    <row r="205" ht="14" spans="1:36">
      <c r="A205" s="15"/>
      <c r="B205" s="15"/>
      <c r="C205" s="15"/>
      <c r="D205" s="15"/>
      <c r="E205" s="15"/>
      <c r="F205" s="15"/>
      <c r="G205" s="15"/>
      <c r="H205" s="15"/>
      <c r="I205" s="15"/>
      <c r="J205" s="23"/>
      <c r="K205" s="23"/>
      <c r="L205" s="23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7"/>
      <c r="Y205" s="17"/>
      <c r="Z205" s="17"/>
      <c r="AA205" s="15"/>
      <c r="AE205" s="15" t="str">
        <f t="shared" si="0"/>
        <v/>
      </c>
      <c r="AF205" s="15" t="str">
        <f t="shared" si="1"/>
        <v/>
      </c>
      <c r="AG205" s="15" t="str">
        <f>IF(OR(AF205="",AF205="ERRO_CHAVE"),"",IFERROR(MATCH(AF205,'quitado Despesa'!$V$1:$V$12,0),""))</f>
        <v/>
      </c>
      <c r="AH205" s="15" t="str">
        <f t="shared" si="2"/>
        <v/>
      </c>
      <c r="AI205" s="17" t="str">
        <f>IF(AG205="","",INDEX('quitado Despesa'!$G$1:$G$12,AG205))</f>
        <v/>
      </c>
      <c r="AJ205" s="17" t="str">
        <f t="shared" si="3"/>
        <v/>
      </c>
    </row>
    <row r="206" ht="14" spans="1:36">
      <c r="A206" s="15"/>
      <c r="B206" s="15"/>
      <c r="C206" s="15"/>
      <c r="D206" s="15"/>
      <c r="E206" s="15"/>
      <c r="F206" s="15"/>
      <c r="G206" s="15"/>
      <c r="H206" s="15"/>
      <c r="I206" s="15"/>
      <c r="J206" s="23"/>
      <c r="K206" s="23"/>
      <c r="L206" s="23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7"/>
      <c r="Y206" s="17"/>
      <c r="Z206" s="17"/>
      <c r="AA206" s="15"/>
      <c r="AE206" s="15" t="str">
        <f t="shared" si="0"/>
        <v/>
      </c>
      <c r="AF206" s="15" t="str">
        <f t="shared" si="1"/>
        <v/>
      </c>
      <c r="AG206" s="15" t="str">
        <f>IF(OR(AF206="",AF206="ERRO_CHAVE"),"",IFERROR(MATCH(AF206,'quitado Despesa'!$V$1:$V$12,0),""))</f>
        <v/>
      </c>
      <c r="AH206" s="15" t="str">
        <f t="shared" si="2"/>
        <v/>
      </c>
      <c r="AI206" s="17" t="str">
        <f>IF(AG206="","",INDEX('quitado Despesa'!$G$1:$G$12,AG206))</f>
        <v/>
      </c>
      <c r="AJ206" s="17" t="str">
        <f t="shared" si="3"/>
        <v/>
      </c>
    </row>
    <row r="207" ht="14" spans="1:36">
      <c r="A207" s="15"/>
      <c r="B207" s="15"/>
      <c r="C207" s="15"/>
      <c r="D207" s="15"/>
      <c r="E207" s="15"/>
      <c r="F207" s="15"/>
      <c r="G207" s="15"/>
      <c r="H207" s="15"/>
      <c r="I207" s="15"/>
      <c r="J207" s="23"/>
      <c r="K207" s="23"/>
      <c r="L207" s="23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7"/>
      <c r="Y207" s="17"/>
      <c r="Z207" s="17"/>
      <c r="AA207" s="15"/>
      <c r="AE207" s="15" t="str">
        <f t="shared" si="0"/>
        <v/>
      </c>
      <c r="AF207" s="15" t="str">
        <f t="shared" si="1"/>
        <v/>
      </c>
      <c r="AG207" s="15" t="str">
        <f>IF(OR(AF207="",AF207="ERRO_CHAVE"),"",IFERROR(MATCH(AF207,'quitado Despesa'!$V$1:$V$12,0),""))</f>
        <v/>
      </c>
      <c r="AH207" s="15" t="str">
        <f t="shared" si="2"/>
        <v/>
      </c>
      <c r="AI207" s="17" t="str">
        <f>IF(AG207="","",INDEX('quitado Despesa'!$G$1:$G$12,AG207))</f>
        <v/>
      </c>
      <c r="AJ207" s="17" t="str">
        <f t="shared" si="3"/>
        <v/>
      </c>
    </row>
    <row r="208" ht="14" spans="1:36">
      <c r="A208" s="15"/>
      <c r="B208" s="15"/>
      <c r="C208" s="15"/>
      <c r="D208" s="15"/>
      <c r="E208" s="15"/>
      <c r="F208" s="15"/>
      <c r="G208" s="15"/>
      <c r="H208" s="15"/>
      <c r="I208" s="15"/>
      <c r="J208" s="23"/>
      <c r="K208" s="23"/>
      <c r="L208" s="23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7"/>
      <c r="Y208" s="17"/>
      <c r="Z208" s="17"/>
      <c r="AA208" s="15"/>
      <c r="AE208" s="15" t="str">
        <f t="shared" si="0"/>
        <v/>
      </c>
      <c r="AF208" s="15" t="str">
        <f t="shared" si="1"/>
        <v/>
      </c>
      <c r="AG208" s="15" t="str">
        <f>IF(OR(AF208="",AF208="ERRO_CHAVE"),"",IFERROR(MATCH(AF208,'quitado Despesa'!$V$1:$V$12,0),""))</f>
        <v/>
      </c>
      <c r="AH208" s="15" t="str">
        <f t="shared" si="2"/>
        <v/>
      </c>
      <c r="AI208" s="17" t="str">
        <f>IF(AG208="","",INDEX('quitado Despesa'!$G$1:$G$12,AG208))</f>
        <v/>
      </c>
      <c r="AJ208" s="17" t="str">
        <f t="shared" si="3"/>
        <v/>
      </c>
    </row>
    <row r="209" ht="14" spans="1:36">
      <c r="A209" s="15"/>
      <c r="B209" s="15"/>
      <c r="C209" s="15"/>
      <c r="D209" s="15"/>
      <c r="E209" s="15"/>
      <c r="F209" s="15"/>
      <c r="G209" s="15"/>
      <c r="H209" s="15"/>
      <c r="I209" s="15"/>
      <c r="J209" s="23"/>
      <c r="K209" s="23"/>
      <c r="L209" s="23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7"/>
      <c r="Y209" s="17"/>
      <c r="Z209" s="17"/>
      <c r="AA209" s="15"/>
      <c r="AE209" s="15" t="str">
        <f t="shared" si="0"/>
        <v/>
      </c>
      <c r="AF209" s="15" t="str">
        <f t="shared" si="1"/>
        <v/>
      </c>
      <c r="AG209" s="15" t="str">
        <f>IF(OR(AF209="",AF209="ERRO_CHAVE"),"",IFERROR(MATCH(AF209,'quitado Despesa'!$V$1:$V$12,0),""))</f>
        <v/>
      </c>
      <c r="AH209" s="15" t="str">
        <f t="shared" si="2"/>
        <v/>
      </c>
      <c r="AI209" s="17" t="str">
        <f>IF(AG209="","",INDEX('quitado Despesa'!$G$1:$G$12,AG209))</f>
        <v/>
      </c>
      <c r="AJ209" s="17" t="str">
        <f t="shared" si="3"/>
        <v/>
      </c>
    </row>
    <row r="210" ht="14" spans="1:36">
      <c r="A210" s="15"/>
      <c r="B210" s="15"/>
      <c r="C210" s="15"/>
      <c r="D210" s="15"/>
      <c r="E210" s="15"/>
      <c r="F210" s="15"/>
      <c r="G210" s="15"/>
      <c r="H210" s="15"/>
      <c r="I210" s="15"/>
      <c r="J210" s="23"/>
      <c r="K210" s="23"/>
      <c r="L210" s="23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7"/>
      <c r="Y210" s="17"/>
      <c r="Z210" s="17"/>
      <c r="AA210" s="15"/>
      <c r="AE210" s="15" t="str">
        <f t="shared" si="0"/>
        <v/>
      </c>
      <c r="AF210" s="15" t="str">
        <f t="shared" si="1"/>
        <v/>
      </c>
      <c r="AG210" s="15" t="str">
        <f>IF(OR(AF210="",AF210="ERRO_CHAVE"),"",IFERROR(MATCH(AF210,'quitado Despesa'!$V$1:$V$12,0),""))</f>
        <v/>
      </c>
      <c r="AH210" s="15" t="str">
        <f t="shared" si="2"/>
        <v/>
      </c>
      <c r="AI210" s="17" t="str">
        <f>IF(AG210="","",INDEX('quitado Despesa'!$G$1:$G$12,AG210))</f>
        <v/>
      </c>
      <c r="AJ210" s="17" t="str">
        <f t="shared" si="3"/>
        <v/>
      </c>
    </row>
    <row r="211" ht="14" spans="1:36">
      <c r="A211" s="15"/>
      <c r="B211" s="15"/>
      <c r="C211" s="15"/>
      <c r="D211" s="15"/>
      <c r="E211" s="15"/>
      <c r="F211" s="15"/>
      <c r="G211" s="15"/>
      <c r="H211" s="15"/>
      <c r="I211" s="15"/>
      <c r="J211" s="23"/>
      <c r="K211" s="23"/>
      <c r="L211" s="23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7"/>
      <c r="Y211" s="17"/>
      <c r="Z211" s="17"/>
      <c r="AA211" s="15"/>
      <c r="AE211" s="15" t="str">
        <f t="shared" si="0"/>
        <v/>
      </c>
      <c r="AF211" s="15" t="str">
        <f t="shared" si="1"/>
        <v/>
      </c>
      <c r="AG211" s="15" t="str">
        <f>IF(OR(AF211="",AF211="ERRO_CHAVE"),"",IFERROR(MATCH(AF211,'quitado Despesa'!$V$1:$V$12,0),""))</f>
        <v/>
      </c>
      <c r="AH211" s="15" t="str">
        <f t="shared" si="2"/>
        <v/>
      </c>
      <c r="AI211" s="17" t="str">
        <f>IF(AG211="","",INDEX('quitado Despesa'!$G$1:$G$12,AG211))</f>
        <v/>
      </c>
      <c r="AJ211" s="17" t="str">
        <f t="shared" si="3"/>
        <v/>
      </c>
    </row>
    <row r="212" ht="14" spans="1:36">
      <c r="A212" s="15"/>
      <c r="B212" s="15"/>
      <c r="C212" s="15"/>
      <c r="D212" s="15"/>
      <c r="E212" s="15"/>
      <c r="F212" s="15"/>
      <c r="G212" s="15"/>
      <c r="H212" s="15"/>
      <c r="I212" s="15"/>
      <c r="J212" s="23"/>
      <c r="K212" s="23"/>
      <c r="L212" s="23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7"/>
      <c r="Y212" s="17"/>
      <c r="Z212" s="17"/>
      <c r="AA212" s="15"/>
      <c r="AE212" s="15" t="str">
        <f t="shared" si="0"/>
        <v/>
      </c>
      <c r="AF212" s="15" t="str">
        <f t="shared" si="1"/>
        <v/>
      </c>
      <c r="AG212" s="15" t="str">
        <f>IF(OR(AF212="",AF212="ERRO_CHAVE"),"",IFERROR(MATCH(AF212,'quitado Despesa'!$V$1:$V$12,0),""))</f>
        <v/>
      </c>
      <c r="AH212" s="15" t="str">
        <f t="shared" si="2"/>
        <v/>
      </c>
      <c r="AI212" s="17" t="str">
        <f>IF(AG212="","",INDEX('quitado Despesa'!$G$1:$G$12,AG212))</f>
        <v/>
      </c>
      <c r="AJ212" s="17" t="str">
        <f t="shared" si="3"/>
        <v/>
      </c>
    </row>
    <row r="213" ht="14" spans="1:36">
      <c r="A213" s="15"/>
      <c r="B213" s="15"/>
      <c r="C213" s="15"/>
      <c r="D213" s="15"/>
      <c r="E213" s="15"/>
      <c r="F213" s="15"/>
      <c r="G213" s="15"/>
      <c r="H213" s="15"/>
      <c r="I213" s="15"/>
      <c r="J213" s="23"/>
      <c r="K213" s="23"/>
      <c r="L213" s="23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7"/>
      <c r="Y213" s="17"/>
      <c r="Z213" s="17"/>
      <c r="AA213" s="15"/>
      <c r="AE213" s="15" t="str">
        <f t="shared" si="0"/>
        <v/>
      </c>
      <c r="AF213" s="15" t="str">
        <f t="shared" si="1"/>
        <v/>
      </c>
      <c r="AG213" s="15" t="str">
        <f>IF(OR(AF213="",AF213="ERRO_CHAVE"),"",IFERROR(MATCH(AF213,'quitado Despesa'!$V$1:$V$12,0),""))</f>
        <v/>
      </c>
      <c r="AH213" s="15" t="str">
        <f t="shared" si="2"/>
        <v/>
      </c>
      <c r="AI213" s="17" t="str">
        <f>IF(AG213="","",INDEX('quitado Despesa'!$G$1:$G$12,AG213))</f>
        <v/>
      </c>
      <c r="AJ213" s="17" t="str">
        <f t="shared" si="3"/>
        <v/>
      </c>
    </row>
    <row r="214" ht="14" spans="1:36">
      <c r="A214" s="15"/>
      <c r="B214" s="15"/>
      <c r="C214" s="15"/>
      <c r="D214" s="15"/>
      <c r="E214" s="15"/>
      <c r="F214" s="15"/>
      <c r="G214" s="15"/>
      <c r="H214" s="15"/>
      <c r="I214" s="15"/>
      <c r="J214" s="23"/>
      <c r="K214" s="23"/>
      <c r="L214" s="23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7"/>
      <c r="Y214" s="17"/>
      <c r="Z214" s="17"/>
      <c r="AA214" s="15"/>
      <c r="AE214" s="15" t="str">
        <f t="shared" si="0"/>
        <v/>
      </c>
      <c r="AF214" s="15" t="str">
        <f t="shared" si="1"/>
        <v/>
      </c>
      <c r="AG214" s="15" t="str">
        <f>IF(OR(AF214="",AF214="ERRO_CHAVE"),"",IFERROR(MATCH(AF214,'quitado Despesa'!$V$1:$V$12,0),""))</f>
        <v/>
      </c>
      <c r="AH214" s="15" t="str">
        <f t="shared" si="2"/>
        <v/>
      </c>
      <c r="AI214" s="17" t="str">
        <f>IF(AG214="","",INDEX('quitado Despesa'!$G$1:$G$12,AG214))</f>
        <v/>
      </c>
      <c r="AJ214" s="17" t="str">
        <f t="shared" si="3"/>
        <v/>
      </c>
    </row>
    <row r="215" ht="14" spans="1:36">
      <c r="A215" s="15"/>
      <c r="B215" s="15"/>
      <c r="C215" s="15"/>
      <c r="D215" s="15"/>
      <c r="E215" s="15"/>
      <c r="F215" s="15"/>
      <c r="G215" s="15"/>
      <c r="H215" s="15"/>
      <c r="I215" s="15"/>
      <c r="J215" s="23"/>
      <c r="K215" s="23"/>
      <c r="L215" s="23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7"/>
      <c r="Y215" s="17"/>
      <c r="Z215" s="17"/>
      <c r="AA215" s="15"/>
      <c r="AE215" s="15" t="str">
        <f t="shared" si="0"/>
        <v/>
      </c>
      <c r="AF215" s="15" t="str">
        <f t="shared" si="1"/>
        <v/>
      </c>
      <c r="AG215" s="15" t="str">
        <f>IF(OR(AF215="",AF215="ERRO_CHAVE"),"",IFERROR(MATCH(AF215,'quitado Despesa'!$V$1:$V$12,0),""))</f>
        <v/>
      </c>
      <c r="AH215" s="15" t="str">
        <f t="shared" si="2"/>
        <v/>
      </c>
      <c r="AI215" s="17" t="str">
        <f>IF(AG215="","",INDEX('quitado Despesa'!$G$1:$G$12,AG215))</f>
        <v/>
      </c>
      <c r="AJ215" s="17" t="str">
        <f t="shared" si="3"/>
        <v/>
      </c>
    </row>
    <row r="216" ht="14" spans="1:36">
      <c r="A216" s="15"/>
      <c r="B216" s="15"/>
      <c r="C216" s="15"/>
      <c r="D216" s="15"/>
      <c r="E216" s="15"/>
      <c r="F216" s="15"/>
      <c r="G216" s="15"/>
      <c r="H216" s="15"/>
      <c r="I216" s="15"/>
      <c r="J216" s="23"/>
      <c r="K216" s="23"/>
      <c r="L216" s="23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7"/>
      <c r="Y216" s="17"/>
      <c r="Z216" s="17"/>
      <c r="AA216" s="15"/>
      <c r="AE216" s="15" t="str">
        <f t="shared" si="0"/>
        <v/>
      </c>
      <c r="AF216" s="15" t="str">
        <f t="shared" si="1"/>
        <v/>
      </c>
      <c r="AG216" s="15" t="str">
        <f>IF(OR(AF216="",AF216="ERRO_CHAVE"),"",IFERROR(MATCH(AF216,'quitado Despesa'!$V$1:$V$12,0),""))</f>
        <v/>
      </c>
      <c r="AH216" s="15" t="str">
        <f t="shared" si="2"/>
        <v/>
      </c>
      <c r="AI216" s="17" t="str">
        <f>IF(AG216="","",INDEX('quitado Despesa'!$G$1:$G$12,AG216))</f>
        <v/>
      </c>
      <c r="AJ216" s="17" t="str">
        <f t="shared" si="3"/>
        <v/>
      </c>
    </row>
    <row r="217" ht="14" spans="1:36">
      <c r="A217" s="15"/>
      <c r="B217" s="15"/>
      <c r="C217" s="15"/>
      <c r="D217" s="15"/>
      <c r="E217" s="15"/>
      <c r="F217" s="15"/>
      <c r="G217" s="15"/>
      <c r="H217" s="15"/>
      <c r="I217" s="15"/>
      <c r="J217" s="23"/>
      <c r="K217" s="23"/>
      <c r="L217" s="23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7"/>
      <c r="Y217" s="17"/>
      <c r="Z217" s="17"/>
      <c r="AA217" s="15"/>
      <c r="AE217" s="15" t="str">
        <f t="shared" si="0"/>
        <v/>
      </c>
      <c r="AF217" s="15" t="str">
        <f t="shared" si="1"/>
        <v/>
      </c>
      <c r="AG217" s="15" t="str">
        <f>IF(OR(AF217="",AF217="ERRO_CHAVE"),"",IFERROR(MATCH(AF217,'quitado Despesa'!$V$1:$V$12,0),""))</f>
        <v/>
      </c>
      <c r="AH217" s="15" t="str">
        <f t="shared" si="2"/>
        <v/>
      </c>
      <c r="AI217" s="17" t="str">
        <f>IF(AG217="","",INDEX('quitado Despesa'!$G$1:$G$12,AG217))</f>
        <v/>
      </c>
      <c r="AJ217" s="17" t="str">
        <f t="shared" si="3"/>
        <v/>
      </c>
    </row>
    <row r="218" ht="14" spans="1:36">
      <c r="A218" s="15"/>
      <c r="B218" s="15"/>
      <c r="C218" s="15"/>
      <c r="D218" s="15"/>
      <c r="E218" s="15"/>
      <c r="F218" s="15"/>
      <c r="G218" s="15"/>
      <c r="H218" s="15"/>
      <c r="I218" s="15"/>
      <c r="J218" s="23"/>
      <c r="K218" s="23"/>
      <c r="L218" s="23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7"/>
      <c r="Y218" s="17"/>
      <c r="Z218" s="17"/>
      <c r="AA218" s="15"/>
      <c r="AE218" s="15" t="str">
        <f t="shared" si="0"/>
        <v/>
      </c>
      <c r="AF218" s="15" t="str">
        <f t="shared" si="1"/>
        <v/>
      </c>
      <c r="AG218" s="15" t="str">
        <f>IF(OR(AF218="",AF218="ERRO_CHAVE"),"",IFERROR(MATCH(AF218,'quitado Despesa'!$V$1:$V$12,0),""))</f>
        <v/>
      </c>
      <c r="AH218" s="15" t="str">
        <f t="shared" si="2"/>
        <v/>
      </c>
      <c r="AI218" s="17" t="str">
        <f>IF(AG218="","",INDEX('quitado Despesa'!$G$1:$G$12,AG218))</f>
        <v/>
      </c>
      <c r="AJ218" s="17" t="str">
        <f t="shared" si="3"/>
        <v/>
      </c>
    </row>
    <row r="219" ht="14" spans="1:36">
      <c r="A219" s="15"/>
      <c r="B219" s="15"/>
      <c r="C219" s="15"/>
      <c r="D219" s="15"/>
      <c r="E219" s="15"/>
      <c r="F219" s="15"/>
      <c r="G219" s="15"/>
      <c r="H219" s="15"/>
      <c r="I219" s="15"/>
      <c r="J219" s="23"/>
      <c r="K219" s="23"/>
      <c r="L219" s="23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7"/>
      <c r="Y219" s="17"/>
      <c r="Z219" s="17"/>
      <c r="AA219" s="15"/>
      <c r="AE219" s="15" t="str">
        <f t="shared" si="0"/>
        <v/>
      </c>
      <c r="AF219" s="15" t="str">
        <f t="shared" si="1"/>
        <v/>
      </c>
      <c r="AG219" s="15" t="str">
        <f>IF(OR(AF219="",AF219="ERRO_CHAVE"),"",IFERROR(MATCH(AF219,'quitado Despesa'!$V$1:$V$12,0),""))</f>
        <v/>
      </c>
      <c r="AH219" s="15" t="str">
        <f t="shared" si="2"/>
        <v/>
      </c>
      <c r="AI219" s="17" t="str">
        <f>IF(AG219="","",INDEX('quitado Despesa'!$G$1:$G$12,AG219))</f>
        <v/>
      </c>
      <c r="AJ219" s="17" t="str">
        <f t="shared" si="3"/>
        <v/>
      </c>
    </row>
    <row r="220" ht="14" spans="1:36">
      <c r="A220" s="15"/>
      <c r="B220" s="15"/>
      <c r="C220" s="15"/>
      <c r="D220" s="15"/>
      <c r="E220" s="15"/>
      <c r="F220" s="15"/>
      <c r="G220" s="15"/>
      <c r="H220" s="15"/>
      <c r="I220" s="15"/>
      <c r="J220" s="23"/>
      <c r="K220" s="23"/>
      <c r="L220" s="23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7"/>
      <c r="Y220" s="17"/>
      <c r="Z220" s="17"/>
      <c r="AA220" s="15"/>
      <c r="AE220" s="15" t="str">
        <f t="shared" si="0"/>
        <v/>
      </c>
      <c r="AF220" s="15" t="str">
        <f t="shared" si="1"/>
        <v/>
      </c>
      <c r="AG220" s="15" t="str">
        <f>IF(OR(AF220="",AF220="ERRO_CHAVE"),"",IFERROR(MATCH(AF220,'quitado Despesa'!$V$1:$V$12,0),""))</f>
        <v/>
      </c>
      <c r="AH220" s="15" t="str">
        <f t="shared" si="2"/>
        <v/>
      </c>
      <c r="AI220" s="17" t="str">
        <f>IF(AG220="","",INDEX('quitado Despesa'!$G$1:$G$12,AG220))</f>
        <v/>
      </c>
      <c r="AJ220" s="17" t="str">
        <f t="shared" si="3"/>
        <v/>
      </c>
    </row>
    <row r="221" ht="14" spans="1:36">
      <c r="A221" s="15"/>
      <c r="B221" s="15"/>
      <c r="C221" s="15"/>
      <c r="D221" s="15"/>
      <c r="E221" s="15"/>
      <c r="F221" s="15"/>
      <c r="G221" s="15"/>
      <c r="H221" s="15"/>
      <c r="I221" s="15"/>
      <c r="J221" s="23"/>
      <c r="K221" s="23"/>
      <c r="L221" s="23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7"/>
      <c r="Y221" s="17"/>
      <c r="Z221" s="17"/>
      <c r="AA221" s="15"/>
      <c r="AE221" s="15" t="str">
        <f t="shared" si="0"/>
        <v/>
      </c>
      <c r="AF221" s="15" t="str">
        <f t="shared" si="1"/>
        <v/>
      </c>
      <c r="AG221" s="15" t="str">
        <f>IF(OR(AF221="",AF221="ERRO_CHAVE"),"",IFERROR(MATCH(AF221,'quitado Despesa'!$V$1:$V$12,0),""))</f>
        <v/>
      </c>
      <c r="AH221" s="15" t="str">
        <f t="shared" si="2"/>
        <v/>
      </c>
      <c r="AI221" s="17" t="str">
        <f>IF(AG221="","",INDEX('quitado Despesa'!$G$1:$G$12,AG221))</f>
        <v/>
      </c>
      <c r="AJ221" s="17" t="str">
        <f t="shared" si="3"/>
        <v/>
      </c>
    </row>
    <row r="222" ht="14" spans="1:36">
      <c r="A222" s="15"/>
      <c r="B222" s="15"/>
      <c r="C222" s="15"/>
      <c r="D222" s="15"/>
      <c r="E222" s="15"/>
      <c r="F222" s="15"/>
      <c r="G222" s="15"/>
      <c r="H222" s="15"/>
      <c r="I222" s="15"/>
      <c r="J222" s="23"/>
      <c r="K222" s="23"/>
      <c r="L222" s="23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7"/>
      <c r="Y222" s="17"/>
      <c r="Z222" s="17"/>
      <c r="AA222" s="15"/>
      <c r="AE222" s="15" t="str">
        <f t="shared" si="0"/>
        <v/>
      </c>
      <c r="AF222" s="15" t="str">
        <f t="shared" si="1"/>
        <v/>
      </c>
      <c r="AG222" s="15" t="str">
        <f>IF(OR(AF222="",AF222="ERRO_CHAVE"),"",IFERROR(MATCH(AF222,'quitado Despesa'!$V$1:$V$12,0),""))</f>
        <v/>
      </c>
      <c r="AH222" s="15" t="str">
        <f t="shared" si="2"/>
        <v/>
      </c>
      <c r="AI222" s="17" t="str">
        <f>IF(AG222="","",INDEX('quitado Despesa'!$G$1:$G$12,AG222))</f>
        <v/>
      </c>
      <c r="AJ222" s="17" t="str">
        <f t="shared" si="3"/>
        <v/>
      </c>
    </row>
    <row r="223" ht="14" spans="1:36">
      <c r="A223" s="15"/>
      <c r="B223" s="15"/>
      <c r="C223" s="15"/>
      <c r="D223" s="15"/>
      <c r="E223" s="15"/>
      <c r="F223" s="15"/>
      <c r="G223" s="15"/>
      <c r="H223" s="15"/>
      <c r="I223" s="15"/>
      <c r="J223" s="23"/>
      <c r="K223" s="23"/>
      <c r="L223" s="23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7"/>
      <c r="Y223" s="17"/>
      <c r="Z223" s="17"/>
      <c r="AA223" s="15"/>
      <c r="AE223" s="15" t="str">
        <f t="shared" si="0"/>
        <v/>
      </c>
      <c r="AF223" s="15" t="str">
        <f t="shared" si="1"/>
        <v/>
      </c>
      <c r="AG223" s="15" t="str">
        <f>IF(OR(AF223="",AF223="ERRO_CHAVE"),"",IFERROR(MATCH(AF223,'quitado Despesa'!$V$1:$V$12,0),""))</f>
        <v/>
      </c>
      <c r="AH223" s="15" t="str">
        <f t="shared" si="2"/>
        <v/>
      </c>
      <c r="AI223" s="17" t="str">
        <f>IF(AG223="","",INDEX('quitado Despesa'!$G$1:$G$12,AG223))</f>
        <v/>
      </c>
      <c r="AJ223" s="17" t="str">
        <f t="shared" si="3"/>
        <v/>
      </c>
    </row>
    <row r="224" ht="14" spans="1:36">
      <c r="A224" s="15"/>
      <c r="B224" s="15"/>
      <c r="C224" s="15"/>
      <c r="D224" s="15"/>
      <c r="E224" s="15"/>
      <c r="F224" s="15"/>
      <c r="G224" s="15"/>
      <c r="H224" s="15"/>
      <c r="I224" s="15"/>
      <c r="J224" s="23"/>
      <c r="K224" s="23"/>
      <c r="L224" s="23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7"/>
      <c r="Y224" s="17"/>
      <c r="Z224" s="17"/>
      <c r="AA224" s="15"/>
      <c r="AE224" s="15" t="str">
        <f t="shared" si="0"/>
        <v/>
      </c>
      <c r="AF224" s="15" t="str">
        <f t="shared" si="1"/>
        <v/>
      </c>
      <c r="AG224" s="15" t="str">
        <f>IF(OR(AF224="",AF224="ERRO_CHAVE"),"",IFERROR(MATCH(AF224,'quitado Despesa'!$V$1:$V$12,0),""))</f>
        <v/>
      </c>
      <c r="AH224" s="15" t="str">
        <f t="shared" si="2"/>
        <v/>
      </c>
      <c r="AI224" s="17" t="str">
        <f>IF(AG224="","",INDEX('quitado Despesa'!$G$1:$G$12,AG224))</f>
        <v/>
      </c>
      <c r="AJ224" s="17" t="str">
        <f t="shared" si="3"/>
        <v/>
      </c>
    </row>
    <row r="225" ht="14" spans="1:36">
      <c r="A225" s="15"/>
      <c r="B225" s="15"/>
      <c r="C225" s="15"/>
      <c r="D225" s="15"/>
      <c r="E225" s="15"/>
      <c r="F225" s="15"/>
      <c r="G225" s="15"/>
      <c r="H225" s="15"/>
      <c r="I225" s="15"/>
      <c r="J225" s="23"/>
      <c r="K225" s="23"/>
      <c r="L225" s="23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7"/>
      <c r="Y225" s="17"/>
      <c r="Z225" s="17"/>
      <c r="AA225" s="15"/>
      <c r="AE225" s="15" t="str">
        <f t="shared" si="0"/>
        <v/>
      </c>
      <c r="AF225" s="15" t="str">
        <f t="shared" si="1"/>
        <v/>
      </c>
      <c r="AG225" s="15" t="str">
        <f>IF(OR(AF225="",AF225="ERRO_CHAVE"),"",IFERROR(MATCH(AF225,'quitado Despesa'!$V$1:$V$12,0),""))</f>
        <v/>
      </c>
      <c r="AH225" s="15" t="str">
        <f t="shared" si="2"/>
        <v/>
      </c>
      <c r="AI225" s="17" t="str">
        <f>IF(AG225="","",INDEX('quitado Despesa'!$G$1:$G$12,AG225))</f>
        <v/>
      </c>
      <c r="AJ225" s="17" t="str">
        <f t="shared" si="3"/>
        <v/>
      </c>
    </row>
    <row r="226" ht="14" spans="1:36">
      <c r="A226" s="15"/>
      <c r="B226" s="15"/>
      <c r="C226" s="15"/>
      <c r="D226" s="15"/>
      <c r="E226" s="15"/>
      <c r="F226" s="15"/>
      <c r="G226" s="15"/>
      <c r="H226" s="15"/>
      <c r="I226" s="15"/>
      <c r="J226" s="23"/>
      <c r="K226" s="23"/>
      <c r="L226" s="23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7"/>
      <c r="Y226" s="17"/>
      <c r="Z226" s="17"/>
      <c r="AA226" s="15"/>
      <c r="AE226" s="15" t="str">
        <f t="shared" si="0"/>
        <v/>
      </c>
      <c r="AF226" s="15" t="str">
        <f t="shared" si="1"/>
        <v/>
      </c>
      <c r="AG226" s="15" t="str">
        <f>IF(OR(AF226="",AF226="ERRO_CHAVE"),"",IFERROR(MATCH(AF226,'quitado Despesa'!$V$1:$V$12,0),""))</f>
        <v/>
      </c>
      <c r="AH226" s="15" t="str">
        <f t="shared" si="2"/>
        <v/>
      </c>
      <c r="AI226" s="17" t="str">
        <f>IF(AG226="","",INDEX('quitado Despesa'!$G$1:$G$12,AG226))</f>
        <v/>
      </c>
      <c r="AJ226" s="17" t="str">
        <f t="shared" si="3"/>
        <v/>
      </c>
    </row>
    <row r="227" ht="14" spans="1:36">
      <c r="A227" s="15"/>
      <c r="B227" s="15"/>
      <c r="C227" s="15"/>
      <c r="D227" s="15"/>
      <c r="E227" s="15"/>
      <c r="F227" s="15"/>
      <c r="G227" s="15"/>
      <c r="H227" s="15"/>
      <c r="I227" s="15"/>
      <c r="J227" s="23"/>
      <c r="K227" s="23"/>
      <c r="L227" s="23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7"/>
      <c r="Y227" s="17"/>
      <c r="Z227" s="17"/>
      <c r="AA227" s="15"/>
      <c r="AE227" s="15" t="str">
        <f t="shared" si="0"/>
        <v/>
      </c>
      <c r="AF227" s="15" t="str">
        <f t="shared" si="1"/>
        <v/>
      </c>
      <c r="AG227" s="15" t="str">
        <f>IF(OR(AF227="",AF227="ERRO_CHAVE"),"",IFERROR(MATCH(AF227,'quitado Despesa'!$V$1:$V$12,0),""))</f>
        <v/>
      </c>
      <c r="AH227" s="15" t="str">
        <f t="shared" si="2"/>
        <v/>
      </c>
      <c r="AI227" s="17" t="str">
        <f>IF(AG227="","",INDEX('quitado Despesa'!$G$1:$G$12,AG227))</f>
        <v/>
      </c>
      <c r="AJ227" s="17" t="str">
        <f t="shared" si="3"/>
        <v/>
      </c>
    </row>
    <row r="228" ht="14" spans="1:36">
      <c r="A228" s="15"/>
      <c r="B228" s="15"/>
      <c r="C228" s="15"/>
      <c r="D228" s="15"/>
      <c r="E228" s="15"/>
      <c r="F228" s="15"/>
      <c r="G228" s="15"/>
      <c r="H228" s="15"/>
      <c r="I228" s="15"/>
      <c r="J228" s="23"/>
      <c r="K228" s="23"/>
      <c r="L228" s="23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7"/>
      <c r="Y228" s="17"/>
      <c r="Z228" s="17"/>
      <c r="AA228" s="15"/>
      <c r="AE228" s="15" t="str">
        <f t="shared" si="0"/>
        <v/>
      </c>
      <c r="AF228" s="15" t="str">
        <f t="shared" si="1"/>
        <v/>
      </c>
      <c r="AG228" s="15" t="str">
        <f>IF(OR(AF228="",AF228="ERRO_CHAVE"),"",IFERROR(MATCH(AF228,'quitado Despesa'!$V$1:$V$12,0),""))</f>
        <v/>
      </c>
      <c r="AH228" s="15" t="str">
        <f t="shared" si="2"/>
        <v/>
      </c>
      <c r="AI228" s="17" t="str">
        <f>IF(AG228="","",INDEX('quitado Despesa'!$G$1:$G$12,AG228))</f>
        <v/>
      </c>
      <c r="AJ228" s="17" t="str">
        <f t="shared" si="3"/>
        <v/>
      </c>
    </row>
    <row r="229" ht="14" spans="1:36">
      <c r="A229" s="15"/>
      <c r="B229" s="15"/>
      <c r="C229" s="15"/>
      <c r="D229" s="15"/>
      <c r="E229" s="15"/>
      <c r="F229" s="15"/>
      <c r="G229" s="15"/>
      <c r="H229" s="15"/>
      <c r="I229" s="15"/>
      <c r="J229" s="23"/>
      <c r="K229" s="23"/>
      <c r="L229" s="23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7"/>
      <c r="Y229" s="17"/>
      <c r="Z229" s="17"/>
      <c r="AA229" s="15"/>
      <c r="AE229" s="15" t="str">
        <f t="shared" si="0"/>
        <v/>
      </c>
      <c r="AF229" s="15" t="str">
        <f t="shared" si="1"/>
        <v/>
      </c>
      <c r="AG229" s="15" t="str">
        <f>IF(OR(AF229="",AF229="ERRO_CHAVE"),"",IFERROR(MATCH(AF229,'quitado Despesa'!$V$1:$V$12,0),""))</f>
        <v/>
      </c>
      <c r="AH229" s="15" t="str">
        <f t="shared" si="2"/>
        <v/>
      </c>
      <c r="AI229" s="17" t="str">
        <f>IF(AG229="","",INDEX('quitado Despesa'!$G$1:$G$12,AG229))</f>
        <v/>
      </c>
      <c r="AJ229" s="17" t="str">
        <f t="shared" si="3"/>
        <v/>
      </c>
    </row>
    <row r="230" ht="14" spans="1:36">
      <c r="A230" s="15"/>
      <c r="B230" s="15"/>
      <c r="C230" s="15"/>
      <c r="D230" s="15"/>
      <c r="E230" s="15"/>
      <c r="F230" s="15"/>
      <c r="G230" s="15"/>
      <c r="H230" s="15"/>
      <c r="I230" s="15"/>
      <c r="J230" s="23"/>
      <c r="K230" s="23"/>
      <c r="L230" s="23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7"/>
      <c r="Y230" s="17"/>
      <c r="Z230" s="17"/>
      <c r="AA230" s="15"/>
      <c r="AE230" s="15" t="str">
        <f t="shared" si="0"/>
        <v/>
      </c>
      <c r="AF230" s="15" t="str">
        <f t="shared" si="1"/>
        <v/>
      </c>
      <c r="AG230" s="15" t="str">
        <f>IF(OR(AF230="",AF230="ERRO_CHAVE"),"",IFERROR(MATCH(AF230,'quitado Despesa'!$V$1:$V$12,0),""))</f>
        <v/>
      </c>
      <c r="AH230" s="15" t="str">
        <f t="shared" si="2"/>
        <v/>
      </c>
      <c r="AI230" s="17" t="str">
        <f>IF(AG230="","",INDEX('quitado Despesa'!$G$1:$G$12,AG230))</f>
        <v/>
      </c>
      <c r="AJ230" s="17" t="str">
        <f t="shared" si="3"/>
        <v/>
      </c>
    </row>
    <row r="231" ht="14" spans="1:36">
      <c r="A231" s="15"/>
      <c r="B231" s="15"/>
      <c r="C231" s="15"/>
      <c r="D231" s="15"/>
      <c r="E231" s="15"/>
      <c r="F231" s="15"/>
      <c r="G231" s="15"/>
      <c r="H231" s="15"/>
      <c r="I231" s="15"/>
      <c r="J231" s="23"/>
      <c r="K231" s="23"/>
      <c r="L231" s="23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7"/>
      <c r="Y231" s="17"/>
      <c r="Z231" s="17"/>
      <c r="AA231" s="15"/>
      <c r="AE231" s="15" t="str">
        <f t="shared" si="0"/>
        <v/>
      </c>
      <c r="AF231" s="15" t="str">
        <f t="shared" si="1"/>
        <v/>
      </c>
      <c r="AG231" s="15" t="str">
        <f>IF(OR(AF231="",AF231="ERRO_CHAVE"),"",IFERROR(MATCH(AF231,'quitado Despesa'!$V$1:$V$12,0),""))</f>
        <v/>
      </c>
      <c r="AH231" s="15" t="str">
        <f t="shared" si="2"/>
        <v/>
      </c>
      <c r="AI231" s="17" t="str">
        <f>IF(AG231="","",INDEX('quitado Despesa'!$G$1:$G$12,AG231))</f>
        <v/>
      </c>
      <c r="AJ231" s="17" t="str">
        <f t="shared" si="3"/>
        <v/>
      </c>
    </row>
    <row r="232" ht="14" spans="1:36">
      <c r="A232" s="15"/>
      <c r="B232" s="15"/>
      <c r="C232" s="15"/>
      <c r="D232" s="15"/>
      <c r="E232" s="15"/>
      <c r="F232" s="15"/>
      <c r="G232" s="15"/>
      <c r="H232" s="15"/>
      <c r="I232" s="15"/>
      <c r="J232" s="23"/>
      <c r="K232" s="23"/>
      <c r="L232" s="23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7"/>
      <c r="Y232" s="17"/>
      <c r="Z232" s="17"/>
      <c r="AA232" s="15"/>
      <c r="AE232" s="15" t="str">
        <f t="shared" si="0"/>
        <v/>
      </c>
      <c r="AF232" s="15" t="str">
        <f t="shared" si="1"/>
        <v/>
      </c>
      <c r="AG232" s="15" t="str">
        <f>IF(OR(AF232="",AF232="ERRO_CHAVE"),"",IFERROR(MATCH(AF232,'quitado Despesa'!$V$1:$V$12,0),""))</f>
        <v/>
      </c>
      <c r="AH232" s="15" t="str">
        <f t="shared" si="2"/>
        <v/>
      </c>
      <c r="AI232" s="17" t="str">
        <f>IF(AG232="","",INDEX('quitado Despesa'!$G$1:$G$12,AG232))</f>
        <v/>
      </c>
      <c r="AJ232" s="17" t="str">
        <f t="shared" si="3"/>
        <v/>
      </c>
    </row>
    <row r="233" ht="14" spans="1:36">
      <c r="A233" s="15"/>
      <c r="B233" s="15"/>
      <c r="C233" s="15"/>
      <c r="D233" s="15"/>
      <c r="E233" s="15"/>
      <c r="F233" s="15"/>
      <c r="G233" s="15"/>
      <c r="H233" s="15"/>
      <c r="I233" s="15"/>
      <c r="J233" s="23"/>
      <c r="K233" s="23"/>
      <c r="L233" s="23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7"/>
      <c r="Y233" s="17"/>
      <c r="Z233" s="17"/>
      <c r="AA233" s="15"/>
      <c r="AE233" s="15" t="str">
        <f t="shared" si="0"/>
        <v/>
      </c>
      <c r="AF233" s="15" t="str">
        <f t="shared" si="1"/>
        <v/>
      </c>
      <c r="AG233" s="15" t="str">
        <f>IF(OR(AF233="",AF233="ERRO_CHAVE"),"",IFERROR(MATCH(AF233,'quitado Despesa'!$V$1:$V$12,0),""))</f>
        <v/>
      </c>
      <c r="AH233" s="15" t="str">
        <f t="shared" si="2"/>
        <v/>
      </c>
      <c r="AI233" s="17" t="str">
        <f>IF(AG233="","",INDEX('quitado Despesa'!$G$1:$G$12,AG233))</f>
        <v/>
      </c>
      <c r="AJ233" s="17" t="str">
        <f t="shared" si="3"/>
        <v/>
      </c>
    </row>
    <row r="234" ht="14" spans="1:36">
      <c r="A234" s="15"/>
      <c r="B234" s="15"/>
      <c r="C234" s="15"/>
      <c r="D234" s="15"/>
      <c r="E234" s="15"/>
      <c r="F234" s="15"/>
      <c r="G234" s="15"/>
      <c r="H234" s="15"/>
      <c r="I234" s="15"/>
      <c r="J234" s="23"/>
      <c r="K234" s="23"/>
      <c r="L234" s="23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7"/>
      <c r="Y234" s="17"/>
      <c r="Z234" s="17"/>
      <c r="AA234" s="15"/>
      <c r="AE234" s="15" t="str">
        <f t="shared" si="0"/>
        <v/>
      </c>
      <c r="AF234" s="15" t="str">
        <f t="shared" si="1"/>
        <v/>
      </c>
      <c r="AG234" s="15" t="str">
        <f>IF(OR(AF234="",AF234="ERRO_CHAVE"),"",IFERROR(MATCH(AF234,'quitado Despesa'!$V$1:$V$12,0),""))</f>
        <v/>
      </c>
      <c r="AH234" s="15" t="str">
        <f t="shared" si="2"/>
        <v/>
      </c>
      <c r="AI234" s="17" t="str">
        <f>IF(AG234="","",INDEX('quitado Despesa'!$G$1:$G$12,AG234))</f>
        <v/>
      </c>
      <c r="AJ234" s="17" t="str">
        <f t="shared" si="3"/>
        <v/>
      </c>
    </row>
    <row r="235" ht="14" spans="1:36">
      <c r="A235" s="15"/>
      <c r="B235" s="15"/>
      <c r="C235" s="15"/>
      <c r="D235" s="15"/>
      <c r="E235" s="15"/>
      <c r="F235" s="15"/>
      <c r="G235" s="15"/>
      <c r="H235" s="15"/>
      <c r="I235" s="15"/>
      <c r="J235" s="23"/>
      <c r="K235" s="23"/>
      <c r="L235" s="23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7"/>
      <c r="Y235" s="17"/>
      <c r="Z235" s="17"/>
      <c r="AA235" s="15"/>
      <c r="AE235" s="15" t="str">
        <f t="shared" si="0"/>
        <v/>
      </c>
      <c r="AF235" s="15" t="str">
        <f t="shared" si="1"/>
        <v/>
      </c>
      <c r="AG235" s="15" t="str">
        <f>IF(OR(AF235="",AF235="ERRO_CHAVE"),"",IFERROR(MATCH(AF235,'quitado Despesa'!$V$1:$V$12,0),""))</f>
        <v/>
      </c>
      <c r="AH235" s="15" t="str">
        <f t="shared" si="2"/>
        <v/>
      </c>
      <c r="AI235" s="17" t="str">
        <f>IF(AG235="","",INDEX('quitado Despesa'!$G$1:$G$12,AG235))</f>
        <v/>
      </c>
      <c r="AJ235" s="17" t="str">
        <f t="shared" si="3"/>
        <v/>
      </c>
    </row>
    <row r="236" ht="14" spans="1:36">
      <c r="A236" s="15"/>
      <c r="B236" s="15"/>
      <c r="C236" s="15"/>
      <c r="D236" s="15"/>
      <c r="E236" s="15"/>
      <c r="F236" s="15"/>
      <c r="G236" s="15"/>
      <c r="H236" s="15"/>
      <c r="I236" s="15"/>
      <c r="J236" s="23"/>
      <c r="K236" s="23"/>
      <c r="L236" s="23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7"/>
      <c r="Y236" s="17"/>
      <c r="Z236" s="17"/>
      <c r="AA236" s="15"/>
      <c r="AE236" s="15" t="str">
        <f t="shared" si="0"/>
        <v/>
      </c>
      <c r="AF236" s="15" t="str">
        <f t="shared" si="1"/>
        <v/>
      </c>
      <c r="AG236" s="15" t="str">
        <f>IF(OR(AF236="",AF236="ERRO_CHAVE"),"",IFERROR(MATCH(AF236,'quitado Despesa'!$V$1:$V$12,0),""))</f>
        <v/>
      </c>
      <c r="AH236" s="15" t="str">
        <f t="shared" si="2"/>
        <v/>
      </c>
      <c r="AI236" s="17" t="str">
        <f>IF(AG236="","",INDEX('quitado Despesa'!$G$1:$G$12,AG236))</f>
        <v/>
      </c>
      <c r="AJ236" s="17" t="str">
        <f t="shared" si="3"/>
        <v/>
      </c>
    </row>
    <row r="237" ht="14" spans="1:36">
      <c r="A237" s="15"/>
      <c r="B237" s="15"/>
      <c r="C237" s="15"/>
      <c r="D237" s="15"/>
      <c r="E237" s="15"/>
      <c r="F237" s="15"/>
      <c r="G237" s="15"/>
      <c r="H237" s="15"/>
      <c r="I237" s="15"/>
      <c r="J237" s="23"/>
      <c r="K237" s="23"/>
      <c r="L237" s="23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7"/>
      <c r="Y237" s="17"/>
      <c r="Z237" s="17"/>
      <c r="AA237" s="15"/>
      <c r="AE237" s="15" t="str">
        <f t="shared" si="0"/>
        <v/>
      </c>
      <c r="AF237" s="15" t="str">
        <f t="shared" si="1"/>
        <v/>
      </c>
      <c r="AG237" s="15" t="str">
        <f>IF(OR(AF237="",AF237="ERRO_CHAVE"),"",IFERROR(MATCH(AF237,'quitado Despesa'!$V$1:$V$12,0),""))</f>
        <v/>
      </c>
      <c r="AH237" s="15" t="str">
        <f t="shared" si="2"/>
        <v/>
      </c>
      <c r="AI237" s="17" t="str">
        <f>IF(AG237="","",INDEX('quitado Despesa'!$G$1:$G$12,AG237))</f>
        <v/>
      </c>
      <c r="AJ237" s="17" t="str">
        <f t="shared" si="3"/>
        <v/>
      </c>
    </row>
    <row r="238" spans="10:36">
      <c r="J238" s="24"/>
      <c r="K238" s="24"/>
      <c r="L238" s="24"/>
      <c r="AE238" s="15" t="str">
        <f t="shared" si="0"/>
        <v/>
      </c>
      <c r="AF238" s="15" t="str">
        <f t="shared" si="1"/>
        <v/>
      </c>
      <c r="AG238" s="15" t="str">
        <f>IF(OR(AF238="",AF238="ERRO_CHAVE"),"",IFERROR(MATCH(AF238,'quitado Despesa'!$V$1:$V$12,0),""))</f>
        <v/>
      </c>
      <c r="AH238" s="15" t="str">
        <f t="shared" si="2"/>
        <v/>
      </c>
      <c r="AI238" s="17" t="str">
        <f>IF(AG238="","",INDEX('quitado Despesa'!$G$1:$G$12,AG238))</f>
        <v/>
      </c>
      <c r="AJ238" s="17" t="str">
        <f t="shared" si="3"/>
        <v/>
      </c>
    </row>
    <row r="239" spans="10:36">
      <c r="J239" s="24"/>
      <c r="K239" s="24"/>
      <c r="L239" s="24"/>
      <c r="AE239" s="15" t="str">
        <f t="shared" si="0"/>
        <v/>
      </c>
      <c r="AF239" s="15" t="str">
        <f t="shared" si="1"/>
        <v/>
      </c>
      <c r="AG239" s="15" t="str">
        <f>IF(OR(AF239="",AF239="ERRO_CHAVE"),"",IFERROR(MATCH(AF239,'quitado Despesa'!$V$1:$V$12,0),""))</f>
        <v/>
      </c>
      <c r="AH239" s="15" t="str">
        <f t="shared" si="2"/>
        <v/>
      </c>
      <c r="AI239" s="17" t="str">
        <f>IF(AG239="","",INDEX('quitado Despesa'!$G$1:$G$12,AG239))</f>
        <v/>
      </c>
      <c r="AJ239" s="17" t="str">
        <f t="shared" si="3"/>
        <v/>
      </c>
    </row>
    <row r="240" spans="10:36">
      <c r="J240" s="24"/>
      <c r="K240" s="24"/>
      <c r="L240" s="24"/>
      <c r="AE240" s="15" t="str">
        <f t="shared" si="0"/>
        <v/>
      </c>
      <c r="AF240" s="15" t="str">
        <f t="shared" si="1"/>
        <v/>
      </c>
      <c r="AG240" s="15" t="str">
        <f>IF(OR(AF240="",AF240="ERRO_CHAVE"),"",IFERROR(MATCH(AF240,'quitado Despesa'!$V$1:$V$12,0),""))</f>
        <v/>
      </c>
      <c r="AH240" s="15" t="str">
        <f t="shared" si="2"/>
        <v/>
      </c>
      <c r="AI240" s="17" t="str">
        <f>IF(AG240="","",INDEX('quitado Despesa'!$G$1:$G$12,AG240))</f>
        <v/>
      </c>
      <c r="AJ240" s="17" t="str">
        <f t="shared" si="3"/>
        <v/>
      </c>
    </row>
    <row r="241" spans="10:36">
      <c r="J241" s="24"/>
      <c r="K241" s="24"/>
      <c r="L241" s="24"/>
      <c r="AE241" s="15" t="str">
        <f t="shared" si="0"/>
        <v/>
      </c>
      <c r="AF241" s="15" t="str">
        <f t="shared" si="1"/>
        <v/>
      </c>
      <c r="AG241" s="15" t="str">
        <f>IF(OR(AF241="",AF241="ERRO_CHAVE"),"",IFERROR(MATCH(AF241,'quitado Despesa'!$V$1:$V$12,0),""))</f>
        <v/>
      </c>
      <c r="AH241" s="15" t="str">
        <f t="shared" si="2"/>
        <v/>
      </c>
      <c r="AI241" s="17" t="str">
        <f>IF(AG241="","",INDEX('quitado Despesa'!$G$1:$G$12,AG241))</f>
        <v/>
      </c>
      <c r="AJ241" s="17" t="str">
        <f t="shared" si="3"/>
        <v/>
      </c>
    </row>
    <row r="242" spans="10:36">
      <c r="J242" s="24"/>
      <c r="K242" s="24"/>
      <c r="L242" s="24"/>
      <c r="AE242" s="15" t="str">
        <f t="shared" si="0"/>
        <v/>
      </c>
      <c r="AF242" s="15" t="str">
        <f t="shared" si="1"/>
        <v/>
      </c>
      <c r="AG242" s="15" t="str">
        <f>IF(OR(AF242="",AF242="ERRO_CHAVE"),"",IFERROR(MATCH(AF242,'quitado Despesa'!$V$1:$V$12,0),""))</f>
        <v/>
      </c>
      <c r="AH242" s="15" t="str">
        <f t="shared" si="2"/>
        <v/>
      </c>
      <c r="AI242" s="17" t="str">
        <f>IF(AG242="","",INDEX('quitado Despesa'!$G$1:$G$12,AG242))</f>
        <v/>
      </c>
      <c r="AJ242" s="17" t="str">
        <f t="shared" si="3"/>
        <v/>
      </c>
    </row>
    <row r="243" spans="10:36">
      <c r="J243" s="24"/>
      <c r="K243" s="24"/>
      <c r="L243" s="24"/>
      <c r="AE243" s="15" t="str">
        <f t="shared" si="0"/>
        <v/>
      </c>
      <c r="AF243" s="15" t="str">
        <f t="shared" si="1"/>
        <v/>
      </c>
      <c r="AG243" s="15" t="str">
        <f>IF(OR(AF243="",AF243="ERRO_CHAVE"),"",IFERROR(MATCH(AF243,'quitado Despesa'!$V$1:$V$12,0),""))</f>
        <v/>
      </c>
      <c r="AH243" s="15" t="str">
        <f t="shared" si="2"/>
        <v/>
      </c>
      <c r="AI243" s="17" t="str">
        <f>IF(AG243="","",INDEX('quitado Despesa'!$G$1:$G$12,AG243))</f>
        <v/>
      </c>
      <c r="AJ243" s="17" t="str">
        <f t="shared" si="3"/>
        <v/>
      </c>
    </row>
    <row r="244" spans="10:36">
      <c r="J244" s="24"/>
      <c r="K244" s="24"/>
      <c r="L244" s="24"/>
      <c r="AE244" s="15" t="str">
        <f t="shared" si="0"/>
        <v/>
      </c>
      <c r="AF244" s="15" t="str">
        <f t="shared" si="1"/>
        <v/>
      </c>
      <c r="AG244" s="15" t="str">
        <f>IF(OR(AF244="",AF244="ERRO_CHAVE"),"",IFERROR(MATCH(AF244,'quitado Despesa'!$V$1:$V$12,0),""))</f>
        <v/>
      </c>
      <c r="AH244" s="15" t="str">
        <f t="shared" si="2"/>
        <v/>
      </c>
      <c r="AI244" s="17" t="str">
        <f>IF(AG244="","",INDEX('quitado Despesa'!$G$1:$G$12,AG244))</f>
        <v/>
      </c>
      <c r="AJ244" s="17" t="str">
        <f t="shared" si="3"/>
        <v/>
      </c>
    </row>
    <row r="245" spans="10:36">
      <c r="J245" s="24"/>
      <c r="K245" s="24"/>
      <c r="L245" s="24"/>
      <c r="AE245" s="15" t="str">
        <f t="shared" si="0"/>
        <v/>
      </c>
      <c r="AF245" s="15" t="str">
        <f t="shared" si="1"/>
        <v/>
      </c>
      <c r="AG245" s="15" t="str">
        <f>IF(OR(AF245="",AF245="ERRO_CHAVE"),"",IFERROR(MATCH(AF245,'quitado Despesa'!$V$1:$V$12,0),""))</f>
        <v/>
      </c>
      <c r="AH245" s="15" t="str">
        <f t="shared" si="2"/>
        <v/>
      </c>
      <c r="AI245" s="17" t="str">
        <f>IF(AG245="","",INDEX('quitado Despesa'!$G$1:$G$12,AG245))</f>
        <v/>
      </c>
      <c r="AJ245" s="17" t="str">
        <f t="shared" si="3"/>
        <v/>
      </c>
    </row>
    <row r="246" spans="10:36">
      <c r="J246" s="24"/>
      <c r="K246" s="24"/>
      <c r="L246" s="24"/>
      <c r="AE246" s="15" t="str">
        <f t="shared" si="0"/>
        <v/>
      </c>
      <c r="AF246" s="15" t="str">
        <f t="shared" si="1"/>
        <v/>
      </c>
      <c r="AG246" s="15" t="str">
        <f>IF(OR(AF246="",AF246="ERRO_CHAVE"),"",IFERROR(MATCH(AF246,'quitado Despesa'!$V$1:$V$12,0),""))</f>
        <v/>
      </c>
      <c r="AH246" s="15" t="str">
        <f t="shared" si="2"/>
        <v/>
      </c>
      <c r="AI246" s="17" t="str">
        <f>IF(AG246="","",INDEX('quitado Despesa'!$G$1:$G$12,AG246))</f>
        <v/>
      </c>
      <c r="AJ246" s="17" t="str">
        <f t="shared" si="3"/>
        <v/>
      </c>
    </row>
    <row r="247" spans="31:36">
      <c r="AE247" s="15" t="str">
        <f t="shared" si="0"/>
        <v/>
      </c>
      <c r="AF247" s="15" t="str">
        <f t="shared" si="1"/>
        <v/>
      </c>
      <c r="AG247" s="15" t="str">
        <f>IF(OR(AF247="",AF247="ERRO_CHAVE"),"",IFERROR(MATCH(AF247,'quitado Despesa'!$V$1:$V$12,0),""))</f>
        <v/>
      </c>
      <c r="AH247" s="15" t="str">
        <f t="shared" si="2"/>
        <v/>
      </c>
      <c r="AI247" s="17" t="str">
        <f>IF(AG247="","",INDEX('quitado Despesa'!$G$1:$G$12,AG247))</f>
        <v/>
      </c>
      <c r="AJ247" s="17" t="str">
        <f t="shared" si="3"/>
        <v/>
      </c>
    </row>
    <row r="248" spans="31:36">
      <c r="AE248" s="15" t="str">
        <f t="shared" si="0"/>
        <v/>
      </c>
      <c r="AF248" s="15" t="str">
        <f t="shared" si="1"/>
        <v/>
      </c>
      <c r="AG248" s="15" t="str">
        <f>IF(OR(AF248="",AF248="ERRO_CHAVE"),"",IFERROR(MATCH(AF248,'quitado Despesa'!$V$1:$V$12,0),""))</f>
        <v/>
      </c>
      <c r="AH248" s="15" t="str">
        <f t="shared" si="2"/>
        <v/>
      </c>
      <c r="AI248" s="17" t="str">
        <f>IF(AG248="","",INDEX('quitado Despesa'!$G$1:$G$12,AG248))</f>
        <v/>
      </c>
      <c r="AJ248" s="17" t="str">
        <f t="shared" si="3"/>
        <v/>
      </c>
    </row>
    <row r="249" spans="31:36">
      <c r="AE249" s="15" t="str">
        <f t="shared" si="0"/>
        <v/>
      </c>
      <c r="AF249" s="15" t="str">
        <f t="shared" si="1"/>
        <v/>
      </c>
      <c r="AG249" s="15" t="str">
        <f>IF(OR(AF249="",AF249="ERRO_CHAVE"),"",IFERROR(MATCH(AF249,'quitado Despesa'!$V$1:$V$12,0),""))</f>
        <v/>
      </c>
      <c r="AH249" s="15" t="str">
        <f t="shared" si="2"/>
        <v/>
      </c>
      <c r="AI249" s="17" t="str">
        <f>IF(AG249="","",INDEX('quitado Despesa'!$G$1:$G$12,AG249))</f>
        <v/>
      </c>
      <c r="AJ249" s="17" t="str">
        <f t="shared" si="3"/>
        <v/>
      </c>
    </row>
    <row r="250" spans="31:36">
      <c r="AE250" s="15" t="str">
        <f t="shared" si="0"/>
        <v/>
      </c>
      <c r="AF250" s="15" t="str">
        <f t="shared" si="1"/>
        <v/>
      </c>
      <c r="AG250" s="15" t="str">
        <f>IF(OR(AF250="",AF250="ERRO_CHAVE"),"",IFERROR(MATCH(AF250,'quitado Despesa'!$V$1:$V$12,0),""))</f>
        <v/>
      </c>
      <c r="AH250" s="15" t="str">
        <f t="shared" si="2"/>
        <v/>
      </c>
      <c r="AI250" s="17" t="str">
        <f>IF(AG250="","",INDEX('quitado Despesa'!$G$1:$G$12,AG250))</f>
        <v/>
      </c>
      <c r="AJ250" s="17" t="str">
        <f t="shared" si="3"/>
        <v/>
      </c>
    </row>
    <row r="251" spans="31:36">
      <c r="AE251" s="15" t="str">
        <f t="shared" si="0"/>
        <v/>
      </c>
      <c r="AF251" s="15" t="str">
        <f t="shared" si="1"/>
        <v/>
      </c>
      <c r="AG251" s="15" t="str">
        <f>IF(OR(AF251="",AF251="ERRO_CHAVE"),"",IFERROR(MATCH(AF251,'quitado Despesa'!$V$1:$V$12,0),""))</f>
        <v/>
      </c>
      <c r="AH251" s="15" t="str">
        <f t="shared" si="2"/>
        <v/>
      </c>
      <c r="AI251" s="17" t="str">
        <f>IF(AG251="","",INDEX('quitado Despesa'!$G$1:$G$12,AG251))</f>
        <v/>
      </c>
      <c r="AJ251" s="17" t="str">
        <f t="shared" si="3"/>
        <v/>
      </c>
    </row>
    <row r="252" spans="31:36">
      <c r="AE252" s="15" t="str">
        <f t="shared" si="0"/>
        <v/>
      </c>
      <c r="AF252" s="15" t="str">
        <f t="shared" si="1"/>
        <v/>
      </c>
      <c r="AG252" s="15" t="str">
        <f>IF(OR(AF252="",AF252="ERRO_CHAVE"),"",IFERROR(MATCH(AF252,'quitado Despesa'!$V$1:$V$12,0),""))</f>
        <v/>
      </c>
      <c r="AH252" s="15" t="str">
        <f t="shared" si="2"/>
        <v/>
      </c>
      <c r="AI252" s="17" t="str">
        <f>IF(AG252="","",INDEX('quitado Despesa'!$G$1:$G$12,AG252))</f>
        <v/>
      </c>
      <c r="AJ252" s="17" t="str">
        <f t="shared" si="3"/>
        <v/>
      </c>
    </row>
    <row r="253" spans="31:36">
      <c r="AE253" s="15" t="str">
        <f t="shared" si="0"/>
        <v/>
      </c>
      <c r="AF253" s="15" t="str">
        <f t="shared" si="1"/>
        <v/>
      </c>
      <c r="AG253" s="15" t="str">
        <f>IF(OR(AF253="",AF253="ERRO_CHAVE"),"",IFERROR(MATCH(AF253,'quitado Despesa'!$V$1:$V$12,0),""))</f>
        <v/>
      </c>
      <c r="AH253" s="15" t="str">
        <f t="shared" si="2"/>
        <v/>
      </c>
      <c r="AI253" s="17" t="str">
        <f>IF(AG253="","",INDEX('quitado Despesa'!$G$1:$G$12,AG253))</f>
        <v/>
      </c>
      <c r="AJ253" s="17" t="str">
        <f t="shared" si="3"/>
        <v/>
      </c>
    </row>
    <row r="254" spans="31:36">
      <c r="AE254" s="15" t="str">
        <f t="shared" si="0"/>
        <v/>
      </c>
      <c r="AF254" s="15" t="str">
        <f t="shared" si="1"/>
        <v/>
      </c>
      <c r="AG254" s="15" t="str">
        <f>IF(OR(AF254="",AF254="ERRO_CHAVE"),"",IFERROR(MATCH(AF254,'quitado Despesa'!$V$1:$V$12,0),""))</f>
        <v/>
      </c>
      <c r="AH254" s="15" t="str">
        <f t="shared" si="2"/>
        <v/>
      </c>
      <c r="AI254" s="17" t="str">
        <f>IF(AG254="","",INDEX('quitado Despesa'!$G$1:$G$12,AG254))</f>
        <v/>
      </c>
      <c r="AJ254" s="17" t="str">
        <f t="shared" si="3"/>
        <v/>
      </c>
    </row>
    <row r="255" spans="31:36">
      <c r="AE255" s="15" t="str">
        <f t="shared" si="0"/>
        <v/>
      </c>
      <c r="AF255" s="15" t="str">
        <f t="shared" si="1"/>
        <v/>
      </c>
      <c r="AG255" s="15" t="str">
        <f>IF(OR(AF255="",AF255="ERRO_CHAVE"),"",IFERROR(MATCH(AF255,'quitado Despesa'!$V$1:$V$12,0),""))</f>
        <v/>
      </c>
      <c r="AH255" s="15" t="str">
        <f t="shared" si="2"/>
        <v/>
      </c>
      <c r="AI255" s="17" t="str">
        <f>IF(AG255="","",INDEX('quitado Despesa'!$G$1:$G$12,AG255))</f>
        <v/>
      </c>
      <c r="AJ255" s="17" t="str">
        <f t="shared" si="3"/>
        <v/>
      </c>
    </row>
    <row r="256" spans="31:36">
      <c r="AE256" s="15" t="str">
        <f t="shared" si="0"/>
        <v/>
      </c>
      <c r="AF256" s="15" t="str">
        <f t="shared" si="1"/>
        <v/>
      </c>
      <c r="AG256" s="15" t="str">
        <f>IF(OR(AF256="",AF256="ERRO_CHAVE"),"",IFERROR(MATCH(AF256,'quitado Despesa'!$V$1:$V$12,0),""))</f>
        <v/>
      </c>
      <c r="AH256" s="15" t="str">
        <f t="shared" si="2"/>
        <v/>
      </c>
      <c r="AI256" s="17" t="str">
        <f>IF(AG256="","",INDEX('quitado Despesa'!$G$1:$G$12,AG256))</f>
        <v/>
      </c>
      <c r="AJ256" s="17" t="str">
        <f t="shared" si="3"/>
        <v/>
      </c>
    </row>
    <row r="257" spans="31:36">
      <c r="AE257" s="15" t="str">
        <f t="shared" si="0"/>
        <v/>
      </c>
      <c r="AF257" s="15" t="str">
        <f t="shared" si="1"/>
        <v/>
      </c>
      <c r="AG257" s="15" t="str">
        <f>IF(OR(AF257="",AF257="ERRO_CHAVE"),"",IFERROR(MATCH(AF257,'quitado Despesa'!$V$1:$V$12,0),""))</f>
        <v/>
      </c>
      <c r="AH257" s="15" t="str">
        <f t="shared" si="2"/>
        <v/>
      </c>
      <c r="AI257" s="17" t="str">
        <f>IF(AG257="","",INDEX('quitado Despesa'!$G$1:$G$12,AG257))</f>
        <v/>
      </c>
      <c r="AJ257" s="17" t="str">
        <f t="shared" si="3"/>
        <v/>
      </c>
    </row>
    <row r="258" spans="31:36">
      <c r="AE258" s="15" t="str">
        <f t="shared" si="0"/>
        <v/>
      </c>
      <c r="AF258" s="15" t="str">
        <f t="shared" si="1"/>
        <v/>
      </c>
      <c r="AG258" s="15" t="str">
        <f>IF(OR(AF258="",AF258="ERRO_CHAVE"),"",IFERROR(MATCH(AF258,'quitado Despesa'!$V$1:$V$12,0),""))</f>
        <v/>
      </c>
      <c r="AH258" s="15" t="str">
        <f t="shared" si="2"/>
        <v/>
      </c>
      <c r="AI258" s="17" t="str">
        <f>IF(AG258="","",INDEX('quitado Despesa'!$G$1:$G$12,AG258))</f>
        <v/>
      </c>
      <c r="AJ258" s="17" t="str">
        <f t="shared" si="3"/>
        <v/>
      </c>
    </row>
    <row r="259" spans="31:36">
      <c r="AE259" s="15" t="str">
        <f t="shared" si="0"/>
        <v/>
      </c>
      <c r="AF259" s="15" t="str">
        <f t="shared" si="1"/>
        <v/>
      </c>
      <c r="AG259" s="15" t="str">
        <f>IF(OR(AF259="",AF259="ERRO_CHAVE"),"",IFERROR(MATCH(AF259,'quitado Despesa'!$V$1:$V$12,0),""))</f>
        <v/>
      </c>
      <c r="AH259" s="15" t="str">
        <f t="shared" si="2"/>
        <v/>
      </c>
      <c r="AI259" s="17" t="str">
        <f>IF(AG259="","",INDEX('quitado Despesa'!$G$1:$G$12,AG259))</f>
        <v/>
      </c>
      <c r="AJ259" s="17" t="str">
        <f t="shared" si="3"/>
        <v/>
      </c>
    </row>
    <row r="260" spans="31:36">
      <c r="AE260" s="15" t="str">
        <f t="shared" si="0"/>
        <v/>
      </c>
      <c r="AF260" s="15" t="str">
        <f t="shared" si="1"/>
        <v/>
      </c>
      <c r="AG260" s="15" t="str">
        <f>IF(OR(AF260="",AF260="ERRO_CHAVE"),"",IFERROR(MATCH(AF260,'quitado Despesa'!$V$1:$V$12,0),""))</f>
        <v/>
      </c>
      <c r="AH260" s="15" t="str">
        <f t="shared" si="2"/>
        <v/>
      </c>
      <c r="AI260" s="17" t="str">
        <f>IF(AG260="","",INDEX('quitado Despesa'!$G$1:$G$12,AG260))</f>
        <v/>
      </c>
      <c r="AJ260" s="17" t="str">
        <f t="shared" si="3"/>
        <v/>
      </c>
    </row>
    <row r="261" spans="31:36">
      <c r="AE261" s="15" t="str">
        <f t="shared" si="0"/>
        <v/>
      </c>
      <c r="AF261" s="15" t="str">
        <f t="shared" si="1"/>
        <v/>
      </c>
      <c r="AG261" s="15" t="str">
        <f>IF(OR(AF261="",AF261="ERRO_CHAVE"),"",IFERROR(MATCH(AF261,'quitado Despesa'!$V$1:$V$12,0),""))</f>
        <v/>
      </c>
      <c r="AH261" s="15" t="str">
        <f t="shared" si="2"/>
        <v/>
      </c>
      <c r="AI261" s="17" t="str">
        <f>IF(AG261="","",INDEX('quitado Despesa'!$G$1:$G$12,AG261))</f>
        <v/>
      </c>
      <c r="AJ261" s="17" t="str">
        <f t="shared" si="3"/>
        <v/>
      </c>
    </row>
    <row r="262" spans="31:36">
      <c r="AE262" s="15" t="str">
        <f t="shared" si="0"/>
        <v/>
      </c>
      <c r="AF262" s="15" t="str">
        <f t="shared" si="1"/>
        <v/>
      </c>
      <c r="AG262" s="15" t="str">
        <f>IF(OR(AF262="",AF262="ERRO_CHAVE"),"",IFERROR(MATCH(AF262,'quitado Despesa'!$V$1:$V$12,0),""))</f>
        <v/>
      </c>
      <c r="AH262" s="15" t="str">
        <f t="shared" si="2"/>
        <v/>
      </c>
      <c r="AI262" s="17" t="str">
        <f>IF(AG262="","",INDEX('quitado Despesa'!$G$1:$G$12,AG262))</f>
        <v/>
      </c>
      <c r="AJ262" s="17" t="str">
        <f t="shared" si="3"/>
        <v/>
      </c>
    </row>
    <row r="263" spans="31:36">
      <c r="AE263" s="15" t="str">
        <f t="shared" si="0"/>
        <v/>
      </c>
      <c r="AF263" s="15" t="str">
        <f t="shared" si="1"/>
        <v/>
      </c>
      <c r="AG263" s="15" t="str">
        <f>IF(OR(AF263="",AF263="ERRO_CHAVE"),"",IFERROR(MATCH(AF263,'quitado Despesa'!$V$1:$V$12,0),""))</f>
        <v/>
      </c>
      <c r="AH263" s="15" t="str">
        <f t="shared" si="2"/>
        <v/>
      </c>
      <c r="AI263" s="17" t="str">
        <f>IF(AG263="","",INDEX('quitado Despesa'!$G$1:$G$12,AG263))</f>
        <v/>
      </c>
      <c r="AJ263" s="17" t="str">
        <f t="shared" si="3"/>
        <v/>
      </c>
    </row>
    <row r="264" spans="31:36">
      <c r="AE264" s="15" t="str">
        <f t="shared" si="0"/>
        <v/>
      </c>
      <c r="AF264" s="15" t="str">
        <f t="shared" si="1"/>
        <v/>
      </c>
      <c r="AG264" s="15" t="str">
        <f>IF(OR(AF264="",AF264="ERRO_CHAVE"),"",IFERROR(MATCH(AF264,'quitado Despesa'!$V$1:$V$12,0),""))</f>
        <v/>
      </c>
      <c r="AH264" s="15" t="str">
        <f t="shared" si="2"/>
        <v/>
      </c>
      <c r="AI264" s="17" t="str">
        <f>IF(AG264="","",INDEX('quitado Despesa'!$G$1:$G$12,AG264))</f>
        <v/>
      </c>
      <c r="AJ264" s="17" t="str">
        <f t="shared" si="3"/>
        <v/>
      </c>
    </row>
    <row r="265" spans="31:36">
      <c r="AE265" s="15" t="str">
        <f t="shared" si="0"/>
        <v/>
      </c>
      <c r="AF265" s="15" t="str">
        <f t="shared" si="1"/>
        <v/>
      </c>
      <c r="AG265" s="15" t="str">
        <f>IF(OR(AF265="",AF265="ERRO_CHAVE"),"",IFERROR(MATCH(AF265,'quitado Despesa'!$V$1:$V$12,0),""))</f>
        <v/>
      </c>
      <c r="AH265" s="15" t="str">
        <f t="shared" si="2"/>
        <v/>
      </c>
      <c r="AI265" s="17" t="str">
        <f>IF(AG265="","",INDEX('quitado Despesa'!$G$1:$G$12,AG265))</f>
        <v/>
      </c>
      <c r="AJ265" s="17" t="str">
        <f t="shared" si="3"/>
        <v/>
      </c>
    </row>
    <row r="266" spans="31:36">
      <c r="AE266" s="15" t="str">
        <f t="shared" si="0"/>
        <v/>
      </c>
      <c r="AF266" s="15" t="str">
        <f t="shared" si="1"/>
        <v/>
      </c>
      <c r="AG266" s="15" t="str">
        <f>IF(OR(AF266="",AF266="ERRO_CHAVE"),"",IFERROR(MATCH(AF266,'quitado Despesa'!$V$1:$V$12,0),""))</f>
        <v/>
      </c>
      <c r="AH266" s="15" t="str">
        <f t="shared" si="2"/>
        <v/>
      </c>
      <c r="AI266" s="17" t="str">
        <f>IF(AG266="","",INDEX('quitado Despesa'!$G$1:$G$12,AG266))</f>
        <v/>
      </c>
      <c r="AJ266" s="17" t="str">
        <f t="shared" si="3"/>
        <v/>
      </c>
    </row>
    <row r="267" spans="31:36">
      <c r="AE267" s="15" t="str">
        <f t="shared" si="0"/>
        <v/>
      </c>
      <c r="AF267" s="15" t="str">
        <f t="shared" si="1"/>
        <v/>
      </c>
      <c r="AG267" s="15" t="str">
        <f>IF(OR(AF267="",AF267="ERRO_CHAVE"),"",IFERROR(MATCH(AF267,'quitado Despesa'!$V$1:$V$12,0),""))</f>
        <v/>
      </c>
      <c r="AH267" s="15" t="str">
        <f t="shared" si="2"/>
        <v/>
      </c>
      <c r="AI267" s="17" t="str">
        <f>IF(AG267="","",INDEX('quitado Despesa'!$G$1:$G$12,AG267))</f>
        <v/>
      </c>
      <c r="AJ267" s="17" t="str">
        <f t="shared" si="3"/>
        <v/>
      </c>
    </row>
    <row r="268" spans="31:36">
      <c r="AE268" s="15" t="str">
        <f t="shared" si="0"/>
        <v/>
      </c>
      <c r="AF268" s="15" t="str">
        <f t="shared" si="1"/>
        <v/>
      </c>
      <c r="AG268" s="15" t="str">
        <f>IF(OR(AF268="",AF268="ERRO_CHAVE"),"",IFERROR(MATCH(AF268,'quitado Despesa'!$V$1:$V$12,0),""))</f>
        <v/>
      </c>
      <c r="AH268" s="15" t="str">
        <f t="shared" si="2"/>
        <v/>
      </c>
      <c r="AI268" s="17" t="str">
        <f>IF(AG268="","",INDEX('quitado Despesa'!$G$1:$G$12,AG268))</f>
        <v/>
      </c>
      <c r="AJ268" s="17" t="str">
        <f t="shared" si="3"/>
        <v/>
      </c>
    </row>
    <row r="269" spans="31:36">
      <c r="AE269" s="15" t="str">
        <f t="shared" si="0"/>
        <v/>
      </c>
      <c r="AF269" s="15" t="str">
        <f t="shared" si="1"/>
        <v/>
      </c>
      <c r="AG269" s="15" t="str">
        <f>IF(OR(AF269="",AF269="ERRO_CHAVE"),"",IFERROR(MATCH(AF269,'quitado Despesa'!$V$1:$V$12,0),""))</f>
        <v/>
      </c>
      <c r="AH269" s="15" t="str">
        <f t="shared" si="2"/>
        <v/>
      </c>
      <c r="AI269" s="17" t="str">
        <f>IF(AG269="","",INDEX('quitado Despesa'!$G$1:$G$12,AG269))</f>
        <v/>
      </c>
      <c r="AJ269" s="17" t="str">
        <f t="shared" si="3"/>
        <v/>
      </c>
    </row>
    <row r="270" spans="31:36">
      <c r="AE270" s="15" t="str">
        <f t="shared" si="0"/>
        <v/>
      </c>
      <c r="AF270" s="15" t="str">
        <f t="shared" si="1"/>
        <v/>
      </c>
      <c r="AG270" s="15" t="str">
        <f>IF(OR(AF270="",AF270="ERRO_CHAVE"),"",IFERROR(MATCH(AF270,'quitado Despesa'!$V$1:$V$12,0),""))</f>
        <v/>
      </c>
      <c r="AH270" s="15" t="str">
        <f t="shared" si="2"/>
        <v/>
      </c>
      <c r="AI270" s="17" t="str">
        <f>IF(AG270="","",INDEX('quitado Despesa'!$G$1:$G$12,AG270))</f>
        <v/>
      </c>
      <c r="AJ270" s="17" t="str">
        <f t="shared" si="3"/>
        <v/>
      </c>
    </row>
    <row r="271" spans="31:36">
      <c r="AE271" s="15" t="str">
        <f t="shared" si="0"/>
        <v/>
      </c>
      <c r="AF271" s="15" t="str">
        <f t="shared" si="1"/>
        <v/>
      </c>
      <c r="AG271" s="15" t="str">
        <f>IF(OR(AF271="",AF271="ERRO_CHAVE"),"",IFERROR(MATCH(AF271,'quitado Despesa'!$V$1:$V$12,0),""))</f>
        <v/>
      </c>
      <c r="AH271" s="15" t="str">
        <f t="shared" si="2"/>
        <v/>
      </c>
      <c r="AI271" s="17" t="str">
        <f>IF(AG271="","",INDEX('quitado Despesa'!$G$1:$G$12,AG271))</f>
        <v/>
      </c>
      <c r="AJ271" s="17" t="str">
        <f t="shared" si="3"/>
        <v/>
      </c>
    </row>
    <row r="272" spans="31:36">
      <c r="AE272" s="15" t="str">
        <f t="shared" si="0"/>
        <v/>
      </c>
      <c r="AF272" s="15" t="str">
        <f t="shared" si="1"/>
        <v/>
      </c>
      <c r="AG272" s="15" t="str">
        <f>IF(OR(AF272="",AF272="ERRO_CHAVE"),"",IFERROR(MATCH(AF272,'quitado Despesa'!$V$1:$V$12,0),""))</f>
        <v/>
      </c>
      <c r="AH272" s="15" t="str">
        <f t="shared" si="2"/>
        <v/>
      </c>
      <c r="AI272" s="17" t="str">
        <f>IF(AG272="","",INDEX('quitado Despesa'!$G$1:$G$12,AG272))</f>
        <v/>
      </c>
      <c r="AJ272" s="17" t="str">
        <f t="shared" si="3"/>
        <v/>
      </c>
    </row>
    <row r="273" spans="31:36">
      <c r="AE273" s="15" t="str">
        <f t="shared" si="0"/>
        <v/>
      </c>
      <c r="AF273" s="15" t="str">
        <f t="shared" si="1"/>
        <v/>
      </c>
      <c r="AG273" s="15" t="str">
        <f>IF(OR(AF273="",AF273="ERRO_CHAVE"),"",IFERROR(MATCH(AF273,'quitado Despesa'!$V$1:$V$12,0),""))</f>
        <v/>
      </c>
      <c r="AH273" s="15" t="str">
        <f t="shared" si="2"/>
        <v/>
      </c>
      <c r="AI273" s="17" t="str">
        <f>IF(AG273="","",INDEX('quitado Despesa'!$G$1:$G$12,AG273))</f>
        <v/>
      </c>
      <c r="AJ273" s="17" t="str">
        <f t="shared" si="3"/>
        <v/>
      </c>
    </row>
    <row r="274" spans="31:36">
      <c r="AE274" s="15" t="str">
        <f t="shared" si="0"/>
        <v/>
      </c>
      <c r="AF274" s="15" t="str">
        <f t="shared" si="1"/>
        <v/>
      </c>
      <c r="AG274" s="15" t="str">
        <f>IF(OR(AF274="",AF274="ERRO_CHAVE"),"",IFERROR(MATCH(AF274,'quitado Despesa'!$V$1:$V$12,0),""))</f>
        <v/>
      </c>
      <c r="AH274" s="15" t="str">
        <f t="shared" si="2"/>
        <v/>
      </c>
      <c r="AI274" s="17" t="str">
        <f>IF(AG274="","",INDEX('quitado Despesa'!$G$1:$G$12,AG274))</f>
        <v/>
      </c>
      <c r="AJ274" s="17" t="str">
        <f t="shared" si="3"/>
        <v/>
      </c>
    </row>
    <row r="275" spans="31:36">
      <c r="AE275" s="15" t="str">
        <f t="shared" si="0"/>
        <v/>
      </c>
      <c r="AF275" s="15" t="str">
        <f t="shared" si="1"/>
        <v/>
      </c>
      <c r="AG275" s="15" t="str">
        <f>IF(OR(AF275="",AF275="ERRO_CHAVE"),"",IFERROR(MATCH(AF275,'quitado Despesa'!$V$1:$V$12,0),""))</f>
        <v/>
      </c>
      <c r="AH275" s="15" t="str">
        <f t="shared" si="2"/>
        <v/>
      </c>
      <c r="AI275" s="17" t="str">
        <f>IF(AG275="","",INDEX('quitado Despesa'!$G$1:$G$12,AG275))</f>
        <v/>
      </c>
      <c r="AJ275" s="17" t="str">
        <f t="shared" si="3"/>
        <v/>
      </c>
    </row>
    <row r="276" spans="31:36">
      <c r="AE276" s="15" t="str">
        <f t="shared" si="0"/>
        <v/>
      </c>
      <c r="AF276" s="15" t="str">
        <f t="shared" si="1"/>
        <v/>
      </c>
      <c r="AG276" s="15" t="str">
        <f>IF(OR(AF276="",AF276="ERRO_CHAVE"),"",IFERROR(MATCH(AF276,'quitado Despesa'!$V$1:$V$12,0),""))</f>
        <v/>
      </c>
      <c r="AH276" s="15" t="str">
        <f t="shared" si="2"/>
        <v/>
      </c>
      <c r="AI276" s="17" t="str">
        <f>IF(AG276="","",INDEX('quitado Despesa'!$G$1:$G$12,AG276))</f>
        <v/>
      </c>
      <c r="AJ276" s="17" t="str">
        <f t="shared" si="3"/>
        <v/>
      </c>
    </row>
    <row r="277" spans="31:36">
      <c r="AE277" s="15" t="str">
        <f t="shared" si="0"/>
        <v/>
      </c>
      <c r="AF277" s="15" t="str">
        <f t="shared" si="1"/>
        <v/>
      </c>
      <c r="AG277" s="15" t="str">
        <f>IF(OR(AF277="",AF277="ERRO_CHAVE"),"",IFERROR(MATCH(AF277,'quitado Despesa'!$V$1:$V$12,0),""))</f>
        <v/>
      </c>
      <c r="AH277" s="15" t="str">
        <f t="shared" si="2"/>
        <v/>
      </c>
      <c r="AI277" s="17" t="str">
        <f>IF(AG277="","",INDEX('quitado Despesa'!$G$1:$G$12,AG277))</f>
        <v/>
      </c>
      <c r="AJ277" s="17" t="str">
        <f t="shared" si="3"/>
        <v/>
      </c>
    </row>
    <row r="278" spans="31:36">
      <c r="AE278" s="15" t="str">
        <f t="shared" si="0"/>
        <v/>
      </c>
      <c r="AF278" s="15" t="str">
        <f t="shared" si="1"/>
        <v/>
      </c>
      <c r="AG278" s="15" t="str">
        <f>IF(OR(AF278="",AF278="ERRO_CHAVE"),"",IFERROR(MATCH(AF278,'quitado Despesa'!$V$1:$V$12,0),""))</f>
        <v/>
      </c>
      <c r="AH278" s="15" t="str">
        <f t="shared" si="2"/>
        <v/>
      </c>
      <c r="AI278" s="17" t="str">
        <f>IF(AG278="","",INDEX('quitado Despesa'!$G$1:$G$12,AG278))</f>
        <v/>
      </c>
      <c r="AJ278" s="17" t="str">
        <f t="shared" si="3"/>
        <v/>
      </c>
    </row>
    <row r="279" spans="31:36">
      <c r="AE279" s="15" t="str">
        <f t="shared" si="0"/>
        <v/>
      </c>
      <c r="AF279" s="15" t="str">
        <f t="shared" si="1"/>
        <v/>
      </c>
      <c r="AG279" s="15" t="str">
        <f>IF(OR(AF279="",AF279="ERRO_CHAVE"),"",IFERROR(MATCH(AF279,'quitado Despesa'!$V$1:$V$12,0),""))</f>
        <v/>
      </c>
      <c r="AH279" s="15" t="str">
        <f t="shared" si="2"/>
        <v/>
      </c>
      <c r="AI279" s="17" t="str">
        <f>IF(AG279="","",INDEX('quitado Despesa'!$G$1:$G$12,AG279))</f>
        <v/>
      </c>
      <c r="AJ279" s="17" t="str">
        <f t="shared" si="3"/>
        <v/>
      </c>
    </row>
    <row r="280" spans="31:36">
      <c r="AE280" s="15" t="str">
        <f t="shared" si="0"/>
        <v/>
      </c>
      <c r="AF280" s="15" t="str">
        <f t="shared" si="1"/>
        <v/>
      </c>
      <c r="AG280" s="15" t="str">
        <f>IF(OR(AF280="",AF280="ERRO_CHAVE"),"",IFERROR(MATCH(AF280,'quitado Despesa'!$V$1:$V$12,0),""))</f>
        <v/>
      </c>
      <c r="AH280" s="15" t="str">
        <f t="shared" si="2"/>
        <v/>
      </c>
      <c r="AI280" s="17" t="str">
        <f>IF(AG280="","",INDEX('quitado Despesa'!$G$1:$G$12,AG280))</f>
        <v/>
      </c>
      <c r="AJ280" s="17" t="str">
        <f t="shared" si="3"/>
        <v/>
      </c>
    </row>
    <row r="281" spans="31:36">
      <c r="AE281" s="15" t="str">
        <f t="shared" si="0"/>
        <v/>
      </c>
      <c r="AF281" s="15" t="str">
        <f t="shared" si="1"/>
        <v/>
      </c>
      <c r="AG281" s="15" t="str">
        <f>IF(OR(AF281="",AF281="ERRO_CHAVE"),"",IFERROR(MATCH(AF281,'quitado Despesa'!$V$1:$V$12,0),""))</f>
        <v/>
      </c>
      <c r="AH281" s="15" t="str">
        <f t="shared" si="2"/>
        <v/>
      </c>
      <c r="AI281" s="17" t="str">
        <f>IF(AG281="","",INDEX('quitado Despesa'!$G$1:$G$12,AG281))</f>
        <v/>
      </c>
      <c r="AJ281" s="17" t="str">
        <f t="shared" si="3"/>
        <v/>
      </c>
    </row>
    <row r="282" spans="31:36">
      <c r="AE282" s="15" t="str">
        <f t="shared" si="0"/>
        <v/>
      </c>
      <c r="AF282" s="15" t="str">
        <f t="shared" si="1"/>
        <v/>
      </c>
      <c r="AG282" s="15" t="str">
        <f>IF(OR(AF282="",AF282="ERRO_CHAVE"),"",IFERROR(MATCH(AF282,'quitado Despesa'!$V$1:$V$12,0),""))</f>
        <v/>
      </c>
      <c r="AH282" s="15" t="str">
        <f t="shared" si="2"/>
        <v/>
      </c>
      <c r="AI282" s="17" t="str">
        <f>IF(AG282="","",INDEX('quitado Despesa'!$G$1:$G$12,AG282))</f>
        <v/>
      </c>
      <c r="AJ282" s="17" t="str">
        <f t="shared" si="3"/>
        <v/>
      </c>
    </row>
    <row r="283" spans="31:36">
      <c r="AE283" s="15" t="str">
        <f t="shared" si="0"/>
        <v/>
      </c>
      <c r="AF283" s="15" t="str">
        <f t="shared" si="1"/>
        <v/>
      </c>
      <c r="AG283" s="15" t="str">
        <f>IF(OR(AF283="",AF283="ERRO_CHAVE"),"",IFERROR(MATCH(AF283,'quitado Despesa'!$V$1:$V$12,0),""))</f>
        <v/>
      </c>
      <c r="AH283" s="15" t="str">
        <f t="shared" si="2"/>
        <v/>
      </c>
      <c r="AI283" s="17" t="str">
        <f>IF(AG283="","",INDEX('quitado Despesa'!$G$1:$G$12,AG283))</f>
        <v/>
      </c>
      <c r="AJ283" s="17" t="str">
        <f t="shared" si="3"/>
        <v/>
      </c>
    </row>
    <row r="284" spans="31:36">
      <c r="AE284" s="15" t="str">
        <f t="shared" si="0"/>
        <v/>
      </c>
      <c r="AF284" s="15" t="str">
        <f t="shared" si="1"/>
        <v/>
      </c>
      <c r="AG284" s="15" t="str">
        <f>IF(OR(AF284="",AF284="ERRO_CHAVE"),"",IFERROR(MATCH(AF284,'quitado Despesa'!$V$1:$V$12,0),""))</f>
        <v/>
      </c>
      <c r="AH284" s="15" t="str">
        <f t="shared" si="2"/>
        <v/>
      </c>
      <c r="AI284" s="17" t="str">
        <f>IF(AG284="","",INDEX('quitado Despesa'!$G$1:$G$12,AG284))</f>
        <v/>
      </c>
      <c r="AJ284" s="17" t="str">
        <f t="shared" si="3"/>
        <v/>
      </c>
    </row>
    <row r="285" spans="31:36">
      <c r="AE285" s="15" t="str">
        <f t="shared" si="0"/>
        <v/>
      </c>
      <c r="AF285" s="15" t="str">
        <f t="shared" si="1"/>
        <v/>
      </c>
      <c r="AG285" s="15" t="str">
        <f>IF(OR(AF285="",AF285="ERRO_CHAVE"),"",IFERROR(MATCH(AF285,'quitado Despesa'!$V$1:$V$12,0),""))</f>
        <v/>
      </c>
      <c r="AH285" s="15" t="str">
        <f t="shared" si="2"/>
        <v/>
      </c>
      <c r="AI285" s="17" t="str">
        <f>IF(AG285="","",INDEX('quitado Despesa'!$G$1:$G$12,AG285))</f>
        <v/>
      </c>
      <c r="AJ285" s="17" t="str">
        <f t="shared" si="3"/>
        <v/>
      </c>
    </row>
    <row r="286" spans="31:36">
      <c r="AE286" s="15" t="str">
        <f t="shared" si="0"/>
        <v/>
      </c>
      <c r="AF286" s="15" t="str">
        <f t="shared" si="1"/>
        <v/>
      </c>
      <c r="AG286" s="15" t="str">
        <f>IF(OR(AF286="",AF286="ERRO_CHAVE"),"",IFERROR(MATCH(AF286,'quitado Despesa'!$V$1:$V$12,0),""))</f>
        <v/>
      </c>
      <c r="AH286" s="15" t="str">
        <f t="shared" si="2"/>
        <v/>
      </c>
      <c r="AI286" s="17" t="str">
        <f>IF(AG286="","",INDEX('quitado Despesa'!$G$1:$G$12,AG286))</f>
        <v/>
      </c>
      <c r="AJ286" s="17" t="str">
        <f t="shared" si="3"/>
        <v/>
      </c>
    </row>
    <row r="287" spans="31:36">
      <c r="AE287" s="15" t="str">
        <f t="shared" si="0"/>
        <v/>
      </c>
      <c r="AF287" s="15" t="str">
        <f t="shared" si="1"/>
        <v/>
      </c>
      <c r="AG287" s="15" t="str">
        <f>IF(OR(AF287="",AF287="ERRO_CHAVE"),"",IFERROR(MATCH(AF287,'quitado Despesa'!$V$1:$V$12,0),""))</f>
        <v/>
      </c>
      <c r="AH287" s="15" t="str">
        <f t="shared" si="2"/>
        <v/>
      </c>
      <c r="AI287" s="17" t="str">
        <f>IF(AG287="","",INDEX('quitado Despesa'!$G$1:$G$12,AG287))</f>
        <v/>
      </c>
      <c r="AJ287" s="17" t="str">
        <f t="shared" si="3"/>
        <v/>
      </c>
    </row>
    <row r="288" spans="31:36">
      <c r="AE288" s="15" t="str">
        <f t="shared" si="0"/>
        <v/>
      </c>
      <c r="AF288" s="15" t="str">
        <f t="shared" si="1"/>
        <v/>
      </c>
      <c r="AG288" s="15" t="str">
        <f>IF(OR(AF288="",AF288="ERRO_CHAVE"),"",IFERROR(MATCH(AF288,'quitado Despesa'!$V$1:$V$12,0),""))</f>
        <v/>
      </c>
      <c r="AH288" s="15" t="str">
        <f t="shared" si="2"/>
        <v/>
      </c>
      <c r="AI288" s="17" t="str">
        <f>IF(AG288="","",INDEX('quitado Despesa'!$G$1:$G$12,AG288))</f>
        <v/>
      </c>
      <c r="AJ288" s="17" t="str">
        <f t="shared" si="3"/>
        <v/>
      </c>
    </row>
    <row r="289" spans="31:36">
      <c r="AE289" s="15" t="str">
        <f t="shared" si="0"/>
        <v/>
      </c>
      <c r="AF289" s="15" t="str">
        <f t="shared" si="1"/>
        <v/>
      </c>
      <c r="AG289" s="15" t="str">
        <f>IF(OR(AF289="",AF289="ERRO_CHAVE"),"",IFERROR(MATCH(AF289,'quitado Despesa'!$V$1:$V$12,0),""))</f>
        <v/>
      </c>
      <c r="AH289" s="15" t="str">
        <f t="shared" si="2"/>
        <v/>
      </c>
      <c r="AI289" s="17" t="str">
        <f>IF(AG289="","",INDEX('quitado Despesa'!$G$1:$G$12,AG289))</f>
        <v/>
      </c>
      <c r="AJ289" s="17" t="str">
        <f t="shared" si="3"/>
        <v/>
      </c>
    </row>
    <row r="290" spans="31:36">
      <c r="AE290" s="15" t="str">
        <f t="shared" si="0"/>
        <v/>
      </c>
      <c r="AF290" s="15" t="str">
        <f t="shared" si="1"/>
        <v/>
      </c>
      <c r="AG290" s="15" t="str">
        <f>IF(OR(AF290="",AF290="ERRO_CHAVE"),"",IFERROR(MATCH(AF290,'quitado Despesa'!$V$1:$V$12,0),""))</f>
        <v/>
      </c>
      <c r="AH290" s="15" t="str">
        <f t="shared" si="2"/>
        <v/>
      </c>
      <c r="AI290" s="17" t="str">
        <f>IF(AG290="","",INDEX('quitado Despesa'!$G$1:$G$12,AG290))</f>
        <v/>
      </c>
      <c r="AJ290" s="17" t="str">
        <f t="shared" si="3"/>
        <v/>
      </c>
    </row>
    <row r="291" spans="31:36">
      <c r="AE291" s="15" t="str">
        <f t="shared" si="0"/>
        <v/>
      </c>
      <c r="AF291" s="15" t="str">
        <f t="shared" si="1"/>
        <v/>
      </c>
      <c r="AG291" s="15" t="str">
        <f>IF(OR(AF291="",AF291="ERRO_CHAVE"),"",IFERROR(MATCH(AF291,'quitado Despesa'!$V$1:$V$12,0),""))</f>
        <v/>
      </c>
      <c r="AH291" s="15" t="str">
        <f t="shared" si="2"/>
        <v/>
      </c>
      <c r="AI291" s="17" t="str">
        <f>IF(AG291="","",INDEX('quitado Despesa'!$G$1:$G$12,AG291))</f>
        <v/>
      </c>
      <c r="AJ291" s="17" t="str">
        <f t="shared" si="3"/>
        <v/>
      </c>
    </row>
    <row r="292" spans="31:36">
      <c r="AE292" s="15" t="str">
        <f t="shared" si="0"/>
        <v/>
      </c>
      <c r="AF292" s="15" t="str">
        <f t="shared" si="1"/>
        <v/>
      </c>
      <c r="AG292" s="15" t="str">
        <f>IF(OR(AF292="",AF292="ERRO_CHAVE"),"",IFERROR(MATCH(AF292,'quitado Despesa'!$V$1:$V$12,0),""))</f>
        <v/>
      </c>
      <c r="AH292" s="15" t="str">
        <f t="shared" si="2"/>
        <v/>
      </c>
      <c r="AI292" s="17" t="str">
        <f>IF(AG292="","",INDEX('quitado Despesa'!$G$1:$G$12,AG292))</f>
        <v/>
      </c>
      <c r="AJ292" s="17" t="str">
        <f t="shared" si="3"/>
        <v/>
      </c>
    </row>
    <row r="293" spans="31:36">
      <c r="AE293" s="15" t="str">
        <f t="shared" si="0"/>
        <v/>
      </c>
      <c r="AF293" s="15" t="str">
        <f t="shared" si="1"/>
        <v/>
      </c>
      <c r="AG293" s="15" t="str">
        <f>IF(OR(AF293="",AF293="ERRO_CHAVE"),"",IFERROR(MATCH(AF293,'quitado Despesa'!$V$1:$V$12,0),""))</f>
        <v/>
      </c>
      <c r="AH293" s="15" t="str">
        <f t="shared" si="2"/>
        <v/>
      </c>
      <c r="AI293" s="17" t="str">
        <f>IF(AG293="","",INDEX('quitado Despesa'!$G$1:$G$12,AG293))</f>
        <v/>
      </c>
      <c r="AJ293" s="17" t="str">
        <f t="shared" si="3"/>
        <v/>
      </c>
    </row>
    <row r="294" spans="31:36">
      <c r="AE294" s="15" t="str">
        <f t="shared" si="0"/>
        <v/>
      </c>
      <c r="AF294" s="15" t="str">
        <f t="shared" si="1"/>
        <v/>
      </c>
      <c r="AG294" s="15" t="str">
        <f>IF(OR(AF294="",AF294="ERRO_CHAVE"),"",IFERROR(MATCH(AF294,'quitado Despesa'!$V$1:$V$12,0),""))</f>
        <v/>
      </c>
      <c r="AH294" s="15" t="str">
        <f t="shared" si="2"/>
        <v/>
      </c>
      <c r="AI294" s="17" t="str">
        <f>IF(AG294="","",INDEX('quitado Despesa'!$G$1:$G$12,AG294))</f>
        <v/>
      </c>
      <c r="AJ294" s="17" t="str">
        <f t="shared" si="3"/>
        <v/>
      </c>
    </row>
    <row r="295" spans="31:36">
      <c r="AE295" s="15" t="str">
        <f t="shared" si="0"/>
        <v/>
      </c>
      <c r="AF295" s="15" t="str">
        <f t="shared" si="1"/>
        <v/>
      </c>
      <c r="AG295" s="15" t="str">
        <f>IF(OR(AF295="",AF295="ERRO_CHAVE"),"",IFERROR(MATCH(AF295,'quitado Despesa'!$V$1:$V$12,0),""))</f>
        <v/>
      </c>
      <c r="AH295" s="15" t="str">
        <f t="shared" si="2"/>
        <v/>
      </c>
      <c r="AI295" s="17" t="str">
        <f>IF(AG295="","",INDEX('quitado Despesa'!$G$1:$G$12,AG295))</f>
        <v/>
      </c>
      <c r="AJ295" s="17" t="str">
        <f t="shared" si="3"/>
        <v/>
      </c>
    </row>
    <row r="296" spans="31:36">
      <c r="AE296" s="15" t="str">
        <f t="shared" si="0"/>
        <v/>
      </c>
      <c r="AF296" s="15" t="str">
        <f t="shared" si="1"/>
        <v/>
      </c>
      <c r="AG296" s="15" t="str">
        <f>IF(OR(AF296="",AF296="ERRO_CHAVE"),"",IFERROR(MATCH(AF296,'quitado Despesa'!$V$1:$V$12,0),""))</f>
        <v/>
      </c>
      <c r="AH296" s="15" t="str">
        <f t="shared" si="2"/>
        <v/>
      </c>
      <c r="AI296" s="17" t="str">
        <f>IF(AG296="","",INDEX('quitado Despesa'!$G$1:$G$12,AG296))</f>
        <v/>
      </c>
      <c r="AJ296" s="17" t="str">
        <f t="shared" si="3"/>
        <v/>
      </c>
    </row>
    <row r="297" spans="31:36">
      <c r="AE297" s="15" t="str">
        <f t="shared" si="0"/>
        <v/>
      </c>
      <c r="AF297" s="15" t="str">
        <f t="shared" si="1"/>
        <v/>
      </c>
      <c r="AG297" s="15" t="str">
        <f>IF(OR(AF297="",AF297="ERRO_CHAVE"),"",IFERROR(MATCH(AF297,'quitado Despesa'!$V$1:$V$12,0),""))</f>
        <v/>
      </c>
      <c r="AH297" s="15" t="str">
        <f t="shared" si="2"/>
        <v/>
      </c>
      <c r="AI297" s="17" t="str">
        <f>IF(AG297="","",INDEX('quitado Despesa'!$G$1:$G$12,AG297))</f>
        <v/>
      </c>
      <c r="AJ297" s="17" t="str">
        <f t="shared" si="3"/>
        <v/>
      </c>
    </row>
    <row r="298" spans="31:36">
      <c r="AE298" s="15" t="str">
        <f t="shared" si="0"/>
        <v/>
      </c>
      <c r="AF298" s="15" t="str">
        <f t="shared" si="1"/>
        <v/>
      </c>
      <c r="AG298" s="15" t="str">
        <f>IF(OR(AF298="",AF298="ERRO_CHAVE"),"",IFERROR(MATCH(AF298,'quitado Despesa'!$V$1:$V$12,0),""))</f>
        <v/>
      </c>
      <c r="AH298" s="15" t="str">
        <f t="shared" si="2"/>
        <v/>
      </c>
      <c r="AI298" s="17" t="str">
        <f>IF(AG298="","",INDEX('quitado Despesa'!$G$1:$G$12,AG298))</f>
        <v/>
      </c>
      <c r="AJ298" s="17" t="str">
        <f t="shared" si="3"/>
        <v/>
      </c>
    </row>
    <row r="299" spans="31:36">
      <c r="AE299" s="15" t="str">
        <f t="shared" si="0"/>
        <v/>
      </c>
      <c r="AF299" s="15" t="str">
        <f t="shared" si="1"/>
        <v/>
      </c>
      <c r="AG299" s="15" t="str">
        <f>IF(OR(AF299="",AF299="ERRO_CHAVE"),"",IFERROR(MATCH(AF299,'quitado Despesa'!$V$1:$V$12,0),""))</f>
        <v/>
      </c>
      <c r="AH299" s="15" t="str">
        <f t="shared" si="2"/>
        <v/>
      </c>
      <c r="AI299" s="17" t="str">
        <f>IF(AG299="","",INDEX('quitado Despesa'!$G$1:$G$12,AG299))</f>
        <v/>
      </c>
      <c r="AJ299" s="17" t="str">
        <f t="shared" si="3"/>
        <v/>
      </c>
    </row>
    <row r="300" spans="31:36">
      <c r="AE300" s="15" t="str">
        <f t="shared" si="0"/>
        <v/>
      </c>
      <c r="AF300" s="15" t="str">
        <f t="shared" si="1"/>
        <v/>
      </c>
      <c r="AG300" s="15" t="str">
        <f>IF(OR(AF300="",AF300="ERRO_CHAVE"),"",IFERROR(MATCH(AF300,'quitado Despesa'!$V$1:$V$12,0),""))</f>
        <v/>
      </c>
      <c r="AH300" s="15" t="str">
        <f t="shared" si="2"/>
        <v/>
      </c>
      <c r="AI300" s="17" t="str">
        <f>IF(AG300="","",INDEX('quitado Despesa'!$G$1:$G$12,AG300))</f>
        <v/>
      </c>
      <c r="AJ300" s="17" t="str">
        <f t="shared" si="3"/>
        <v/>
      </c>
    </row>
    <row r="301" spans="31:36">
      <c r="AE301" s="15" t="str">
        <f t="shared" si="0"/>
        <v/>
      </c>
      <c r="AF301" s="15" t="str">
        <f t="shared" si="1"/>
        <v/>
      </c>
      <c r="AG301" s="15" t="str">
        <f>IF(OR(AF301="",AF301="ERRO_CHAVE"),"",IFERROR(MATCH(AF301,'quitado Despesa'!$V$1:$V$12,0),""))</f>
        <v/>
      </c>
      <c r="AH301" s="15" t="str">
        <f t="shared" si="2"/>
        <v/>
      </c>
      <c r="AI301" s="17" t="str">
        <f>IF(AG301="","",INDEX('quitado Despesa'!$G$1:$G$12,AG301))</f>
        <v/>
      </c>
      <c r="AJ301" s="17" t="str">
        <f t="shared" si="3"/>
        <v/>
      </c>
    </row>
    <row r="302" spans="31:36">
      <c r="AE302" s="15" t="str">
        <f t="shared" si="0"/>
        <v/>
      </c>
      <c r="AF302" s="15" t="str">
        <f t="shared" si="1"/>
        <v/>
      </c>
      <c r="AG302" s="15" t="str">
        <f>IF(OR(AF302="",AF302="ERRO_CHAVE"),"",IFERROR(MATCH(AF302,'quitado Despesa'!$V$1:$V$12,0),""))</f>
        <v/>
      </c>
      <c r="AH302" s="15" t="str">
        <f t="shared" si="2"/>
        <v/>
      </c>
      <c r="AI302" s="17" t="str">
        <f>IF(AG302="","",INDEX('quitado Despesa'!$G$1:$G$12,AG302))</f>
        <v/>
      </c>
      <c r="AJ302" s="17" t="str">
        <f t="shared" si="3"/>
        <v/>
      </c>
    </row>
    <row r="303" spans="31:36">
      <c r="AE303" s="15" t="str">
        <f t="shared" si="0"/>
        <v/>
      </c>
      <c r="AF303" s="15" t="str">
        <f t="shared" si="1"/>
        <v/>
      </c>
      <c r="AG303" s="15" t="str">
        <f>IF(OR(AF303="",AF303="ERRO_CHAVE"),"",IFERROR(MATCH(AF303,'quitado Despesa'!$V$1:$V$12,0),""))</f>
        <v/>
      </c>
      <c r="AH303" s="15" t="str">
        <f t="shared" si="2"/>
        <v/>
      </c>
      <c r="AI303" s="17" t="str">
        <f>IF(AG303="","",INDEX('quitado Despesa'!$G$1:$G$12,AG303))</f>
        <v/>
      </c>
      <c r="AJ303" s="17" t="str">
        <f t="shared" si="3"/>
        <v/>
      </c>
    </row>
    <row r="304" spans="31:36">
      <c r="AE304" s="15" t="str">
        <f t="shared" si="0"/>
        <v/>
      </c>
      <c r="AF304" s="15" t="str">
        <f t="shared" si="1"/>
        <v/>
      </c>
      <c r="AG304" s="15" t="str">
        <f>IF(OR(AF304="",AF304="ERRO_CHAVE"),"",IFERROR(MATCH(AF304,'quitado Despesa'!$V$1:$V$12,0),""))</f>
        <v/>
      </c>
      <c r="AH304" s="15" t="str">
        <f t="shared" si="2"/>
        <v/>
      </c>
      <c r="AI304" s="17" t="str">
        <f>IF(AG304="","",INDEX('quitado Despesa'!$G$1:$G$12,AG304))</f>
        <v/>
      </c>
      <c r="AJ304" s="17" t="str">
        <f t="shared" si="3"/>
        <v/>
      </c>
    </row>
    <row r="305" spans="31:36">
      <c r="AE305" s="15" t="str">
        <f t="shared" si="0"/>
        <v/>
      </c>
      <c r="AF305" s="15" t="str">
        <f t="shared" si="1"/>
        <v/>
      </c>
      <c r="AG305" s="15" t="str">
        <f>IF(OR(AF305="",AF305="ERRO_CHAVE"),"",IFERROR(MATCH(AF305,'quitado Despesa'!$V$1:$V$12,0),""))</f>
        <v/>
      </c>
      <c r="AH305" s="15" t="str">
        <f t="shared" si="2"/>
        <v/>
      </c>
      <c r="AI305" s="17" t="str">
        <f>IF(AG305="","",INDEX('quitado Despesa'!$G$1:$G$12,AG305))</f>
        <v/>
      </c>
      <c r="AJ305" s="17" t="str">
        <f t="shared" si="3"/>
        <v/>
      </c>
    </row>
    <row r="306" spans="31:36">
      <c r="AE306" s="15" t="str">
        <f t="shared" si="0"/>
        <v/>
      </c>
      <c r="AF306" s="15" t="str">
        <f t="shared" si="1"/>
        <v/>
      </c>
      <c r="AG306" s="15" t="str">
        <f>IF(OR(AF306="",AF306="ERRO_CHAVE"),"",IFERROR(MATCH(AF306,'quitado Despesa'!$V$1:$V$12,0),""))</f>
        <v/>
      </c>
      <c r="AH306" s="15" t="str">
        <f t="shared" si="2"/>
        <v/>
      </c>
      <c r="AI306" s="17" t="str">
        <f>IF(AG306="","",INDEX('quitado Despesa'!$G$1:$G$12,AG306))</f>
        <v/>
      </c>
      <c r="AJ306" s="17" t="str">
        <f t="shared" si="3"/>
        <v/>
      </c>
    </row>
    <row r="307" spans="31:36">
      <c r="AE307" s="15" t="str">
        <f t="shared" si="0"/>
        <v/>
      </c>
      <c r="AF307" s="15" t="str">
        <f t="shared" si="1"/>
        <v/>
      </c>
      <c r="AG307" s="15" t="str">
        <f>IF(OR(AF307="",AF307="ERRO_CHAVE"),"",IFERROR(MATCH(AF307,'quitado Despesa'!$V$1:$V$12,0),""))</f>
        <v/>
      </c>
      <c r="AH307" s="15" t="str">
        <f t="shared" si="2"/>
        <v/>
      </c>
      <c r="AI307" s="17" t="str">
        <f>IF(AG307="","",INDEX('quitado Despesa'!$G$1:$G$12,AG307))</f>
        <v/>
      </c>
      <c r="AJ307" s="17" t="str">
        <f t="shared" si="3"/>
        <v/>
      </c>
    </row>
    <row r="308" spans="31:36">
      <c r="AE308" s="15" t="str">
        <f t="shared" si="0"/>
        <v/>
      </c>
      <c r="AF308" s="15" t="str">
        <f t="shared" si="1"/>
        <v/>
      </c>
      <c r="AG308" s="15" t="str">
        <f>IF(OR(AF308="",AF308="ERRO_CHAVE"),"",IFERROR(MATCH(AF308,'quitado Despesa'!$V$1:$V$12,0),""))</f>
        <v/>
      </c>
      <c r="AH308" s="15" t="str">
        <f t="shared" si="2"/>
        <v/>
      </c>
      <c r="AI308" s="17" t="str">
        <f>IF(AG308="","",INDEX('quitado Despesa'!$G$1:$G$12,AG308))</f>
        <v/>
      </c>
      <c r="AJ308" s="17" t="str">
        <f t="shared" si="3"/>
        <v/>
      </c>
    </row>
    <row r="309" spans="31:36">
      <c r="AE309" s="15" t="str">
        <f t="shared" si="0"/>
        <v/>
      </c>
      <c r="AF309" s="15" t="str">
        <f t="shared" si="1"/>
        <v/>
      </c>
      <c r="AG309" s="15" t="str">
        <f>IF(OR(AF309="",AF309="ERRO_CHAVE"),"",IFERROR(MATCH(AF309,'quitado Despesa'!$V$1:$V$12,0),""))</f>
        <v/>
      </c>
      <c r="AH309" s="15" t="str">
        <f t="shared" si="2"/>
        <v/>
      </c>
      <c r="AI309" s="17" t="str">
        <f>IF(AG309="","",INDEX('quitado Despesa'!$G$1:$G$12,AG309))</f>
        <v/>
      </c>
      <c r="AJ309" s="17" t="str">
        <f t="shared" si="3"/>
        <v/>
      </c>
    </row>
    <row r="310" spans="31:36">
      <c r="AE310" s="15" t="str">
        <f t="shared" si="0"/>
        <v/>
      </c>
      <c r="AF310" s="15" t="str">
        <f t="shared" si="1"/>
        <v/>
      </c>
      <c r="AG310" s="15" t="str">
        <f>IF(OR(AF310="",AF310="ERRO_CHAVE"),"",IFERROR(MATCH(AF310,'quitado Despesa'!$V$1:$V$12,0),""))</f>
        <v/>
      </c>
      <c r="AH310" s="15" t="str">
        <f t="shared" si="2"/>
        <v/>
      </c>
      <c r="AI310" s="17" t="str">
        <f>IF(AG310="","",INDEX('quitado Despesa'!$G$1:$G$12,AG310))</f>
        <v/>
      </c>
      <c r="AJ310" s="17" t="str">
        <f t="shared" si="3"/>
        <v/>
      </c>
    </row>
    <row r="311" spans="31:36">
      <c r="AE311" s="15" t="str">
        <f t="shared" si="0"/>
        <v/>
      </c>
      <c r="AF311" s="15" t="str">
        <f t="shared" si="1"/>
        <v/>
      </c>
      <c r="AG311" s="15" t="str">
        <f>IF(OR(AF311="",AF311="ERRO_CHAVE"),"",IFERROR(MATCH(AF311,'quitado Despesa'!$V$1:$V$12,0),""))</f>
        <v/>
      </c>
      <c r="AH311" s="15" t="str">
        <f t="shared" si="2"/>
        <v/>
      </c>
      <c r="AI311" s="17" t="str">
        <f>IF(AG311="","",INDEX('quitado Despesa'!$G$1:$G$12,AG311))</f>
        <v/>
      </c>
      <c r="AJ311" s="17" t="str">
        <f t="shared" si="3"/>
        <v/>
      </c>
    </row>
    <row r="312" spans="31:36">
      <c r="AE312" s="15" t="str">
        <f t="shared" si="0"/>
        <v/>
      </c>
      <c r="AF312" s="15" t="str">
        <f t="shared" si="1"/>
        <v/>
      </c>
      <c r="AG312" s="15" t="str">
        <f>IF(OR(AF312="",AF312="ERRO_CHAVE"),"",IFERROR(MATCH(AF312,'quitado Despesa'!$V$1:$V$12,0),""))</f>
        <v/>
      </c>
      <c r="AH312" s="15" t="str">
        <f t="shared" si="2"/>
        <v/>
      </c>
      <c r="AI312" s="17" t="str">
        <f>IF(AG312="","",INDEX('quitado Despesa'!$G$1:$G$12,AG312))</f>
        <v/>
      </c>
      <c r="AJ312" s="17" t="str">
        <f t="shared" si="3"/>
        <v/>
      </c>
    </row>
    <row r="313" spans="31:36">
      <c r="AE313" s="15" t="str">
        <f t="shared" si="0"/>
        <v/>
      </c>
      <c r="AF313" s="15" t="str">
        <f t="shared" si="1"/>
        <v/>
      </c>
      <c r="AG313" s="15" t="str">
        <f>IF(OR(AF313="",AF313="ERRO_CHAVE"),"",IFERROR(MATCH(AF313,'quitado Despesa'!$V$1:$V$12,0),""))</f>
        <v/>
      </c>
      <c r="AH313" s="15" t="str">
        <f t="shared" si="2"/>
        <v/>
      </c>
      <c r="AI313" s="17" t="str">
        <f>IF(AG313="","",INDEX('quitado Despesa'!$G$1:$G$12,AG313))</f>
        <v/>
      </c>
      <c r="AJ313" s="17" t="str">
        <f t="shared" si="3"/>
        <v/>
      </c>
    </row>
    <row r="314" spans="31:36">
      <c r="AE314" s="15" t="str">
        <f t="shared" si="0"/>
        <v/>
      </c>
      <c r="AF314" s="15" t="str">
        <f t="shared" si="1"/>
        <v/>
      </c>
      <c r="AG314" s="15" t="str">
        <f>IF(OR(AF314="",AF314="ERRO_CHAVE"),"",IFERROR(MATCH(AF314,'quitado Despesa'!$V$1:$V$12,0),""))</f>
        <v/>
      </c>
      <c r="AH314" s="15" t="str">
        <f t="shared" si="2"/>
        <v/>
      </c>
      <c r="AI314" s="17" t="str">
        <f>IF(AG314="","",INDEX('quitado Despesa'!$G$1:$G$12,AG314))</f>
        <v/>
      </c>
      <c r="AJ314" s="17" t="str">
        <f t="shared" si="3"/>
        <v/>
      </c>
    </row>
    <row r="315" spans="31:36">
      <c r="AE315" s="15" t="str">
        <f t="shared" si="0"/>
        <v/>
      </c>
      <c r="AF315" s="15" t="str">
        <f t="shared" si="1"/>
        <v/>
      </c>
      <c r="AG315" s="15" t="str">
        <f>IF(OR(AF315="",AF315="ERRO_CHAVE"),"",IFERROR(MATCH(AF315,'quitado Despesa'!$V$1:$V$12,0),""))</f>
        <v/>
      </c>
      <c r="AH315" s="15" t="str">
        <f t="shared" si="2"/>
        <v/>
      </c>
      <c r="AI315" s="17" t="str">
        <f>IF(AG315="","",INDEX('quitado Despesa'!$G$1:$G$12,AG315))</f>
        <v/>
      </c>
      <c r="AJ315" s="17" t="str">
        <f t="shared" si="3"/>
        <v/>
      </c>
    </row>
    <row r="316" spans="31:36">
      <c r="AE316" s="15" t="str">
        <f t="shared" si="0"/>
        <v/>
      </c>
      <c r="AF316" s="15" t="str">
        <f t="shared" si="1"/>
        <v/>
      </c>
      <c r="AG316" s="15" t="str">
        <f>IF(OR(AF316="",AF316="ERRO_CHAVE"),"",IFERROR(MATCH(AF316,'quitado Despesa'!$V$1:$V$12,0),""))</f>
        <v/>
      </c>
      <c r="AH316" s="15" t="str">
        <f t="shared" si="2"/>
        <v/>
      </c>
      <c r="AI316" s="17" t="str">
        <f>IF(AG316="","",INDEX('quitado Despesa'!$G$1:$G$12,AG316))</f>
        <v/>
      </c>
      <c r="AJ316" s="17" t="str">
        <f t="shared" si="3"/>
        <v/>
      </c>
    </row>
    <row r="317" spans="31:36">
      <c r="AE317" s="15" t="str">
        <f t="shared" si="0"/>
        <v/>
      </c>
      <c r="AF317" s="15" t="str">
        <f t="shared" si="1"/>
        <v/>
      </c>
      <c r="AG317" s="15" t="str">
        <f>IF(OR(AF317="",AF317="ERRO_CHAVE"),"",IFERROR(MATCH(AF317,'quitado Despesa'!$V$1:$V$12,0),""))</f>
        <v/>
      </c>
      <c r="AH317" s="15" t="str">
        <f t="shared" si="2"/>
        <v/>
      </c>
      <c r="AI317" s="17" t="str">
        <f>IF(AG317="","",INDEX('quitado Despesa'!$G$1:$G$12,AG317))</f>
        <v/>
      </c>
      <c r="AJ317" s="17" t="str">
        <f t="shared" si="3"/>
        <v/>
      </c>
    </row>
    <row r="318" spans="31:36">
      <c r="AE318" s="15" t="str">
        <f t="shared" si="0"/>
        <v/>
      </c>
      <c r="AF318" s="15" t="str">
        <f t="shared" si="1"/>
        <v/>
      </c>
      <c r="AG318" s="15" t="str">
        <f>IF(OR(AF318="",AF318="ERRO_CHAVE"),"",IFERROR(MATCH(AF318,'quitado Despesa'!$V$1:$V$12,0),""))</f>
        <v/>
      </c>
      <c r="AH318" s="15" t="str">
        <f t="shared" si="2"/>
        <v/>
      </c>
      <c r="AI318" s="17" t="str">
        <f>IF(AG318="","",INDEX('quitado Despesa'!$G$1:$G$12,AG318))</f>
        <v/>
      </c>
      <c r="AJ318" s="17" t="str">
        <f t="shared" si="3"/>
        <v/>
      </c>
    </row>
    <row r="319" spans="31:36">
      <c r="AE319" s="15" t="str">
        <f t="shared" si="0"/>
        <v/>
      </c>
      <c r="AF319" s="15" t="str">
        <f t="shared" si="1"/>
        <v/>
      </c>
      <c r="AG319" s="15" t="str">
        <f>IF(OR(AF319="",AF319="ERRO_CHAVE"),"",IFERROR(MATCH(AF319,'quitado Despesa'!$V$1:$V$12,0),""))</f>
        <v/>
      </c>
      <c r="AH319" s="15" t="str">
        <f t="shared" si="2"/>
        <v/>
      </c>
      <c r="AI319" s="17" t="str">
        <f>IF(AG319="","",INDEX('quitado Despesa'!$G$1:$G$12,AG319))</f>
        <v/>
      </c>
      <c r="AJ319" s="17" t="str">
        <f t="shared" si="3"/>
        <v/>
      </c>
    </row>
    <row r="320" spans="31:36">
      <c r="AE320" s="15" t="str">
        <f t="shared" si="0"/>
        <v/>
      </c>
      <c r="AF320" s="15" t="str">
        <f t="shared" si="1"/>
        <v/>
      </c>
      <c r="AG320" s="15" t="str">
        <f>IF(OR(AF320="",AF320="ERRO_CHAVE"),"",IFERROR(MATCH(AF320,'quitado Despesa'!$V$1:$V$12,0),""))</f>
        <v/>
      </c>
      <c r="AH320" s="15" t="str">
        <f t="shared" si="2"/>
        <v/>
      </c>
      <c r="AI320" s="17" t="str">
        <f>IF(AG320="","",INDEX('quitado Despesa'!$G$1:$G$12,AG320))</f>
        <v/>
      </c>
      <c r="AJ320" s="17" t="str">
        <f t="shared" si="3"/>
        <v/>
      </c>
    </row>
    <row r="321" spans="31:36">
      <c r="AE321" s="15" t="str">
        <f t="shared" si="0"/>
        <v/>
      </c>
      <c r="AF321" s="15" t="str">
        <f t="shared" si="1"/>
        <v/>
      </c>
      <c r="AG321" s="15" t="str">
        <f>IF(OR(AF321="",AF321="ERRO_CHAVE"),"",IFERROR(MATCH(AF321,'quitado Despesa'!$V$1:$V$12,0),""))</f>
        <v/>
      </c>
      <c r="AH321" s="15" t="str">
        <f t="shared" si="2"/>
        <v/>
      </c>
      <c r="AI321" s="17" t="str">
        <f>IF(AG321="","",INDEX('quitado Despesa'!$G$1:$G$12,AG321))</f>
        <v/>
      </c>
      <c r="AJ321" s="17" t="str">
        <f t="shared" si="3"/>
        <v/>
      </c>
    </row>
    <row r="322" spans="31:36">
      <c r="AE322" s="15" t="str">
        <f t="shared" si="0"/>
        <v/>
      </c>
      <c r="AF322" s="15" t="str">
        <f t="shared" si="1"/>
        <v/>
      </c>
      <c r="AG322" s="15" t="str">
        <f>IF(OR(AF322="",AF322="ERRO_CHAVE"),"",IFERROR(MATCH(AF322,'quitado Despesa'!$V$1:$V$12,0),""))</f>
        <v/>
      </c>
      <c r="AH322" s="15" t="str">
        <f t="shared" si="2"/>
        <v/>
      </c>
      <c r="AI322" s="17" t="str">
        <f>IF(AG322="","",INDEX('quitado Despesa'!$G$1:$G$12,AG322))</f>
        <v/>
      </c>
      <c r="AJ322" s="17" t="str">
        <f t="shared" si="3"/>
        <v/>
      </c>
    </row>
    <row r="323" spans="31:36">
      <c r="AE323" s="15" t="str">
        <f t="shared" si="0"/>
        <v/>
      </c>
      <c r="AF323" s="15" t="str">
        <f t="shared" si="1"/>
        <v/>
      </c>
      <c r="AG323" s="15" t="str">
        <f>IF(OR(AF323="",AF323="ERRO_CHAVE"),"",IFERROR(MATCH(AF323,'quitado Despesa'!$V$1:$V$12,0),""))</f>
        <v/>
      </c>
      <c r="AH323" s="15" t="str">
        <f t="shared" si="2"/>
        <v/>
      </c>
      <c r="AI323" s="17" t="str">
        <f>IF(AG323="","",INDEX('quitado Despesa'!$G$1:$G$12,AG323))</f>
        <v/>
      </c>
      <c r="AJ323" s="17" t="str">
        <f t="shared" si="3"/>
        <v/>
      </c>
    </row>
    <row r="324" spans="31:36">
      <c r="AE324" s="15" t="str">
        <f t="shared" si="0"/>
        <v/>
      </c>
      <c r="AF324" s="15" t="str">
        <f t="shared" si="1"/>
        <v/>
      </c>
      <c r="AG324" s="15" t="str">
        <f>IF(OR(AF324="",AF324="ERRO_CHAVE"),"",IFERROR(MATCH(AF324,'quitado Despesa'!$V$1:$V$12,0),""))</f>
        <v/>
      </c>
      <c r="AH324" s="15" t="str">
        <f t="shared" si="2"/>
        <v/>
      </c>
      <c r="AI324" s="17" t="str">
        <f>IF(AG324="","",INDEX('quitado Despesa'!$G$1:$G$12,AG324))</f>
        <v/>
      </c>
      <c r="AJ324" s="17" t="str">
        <f t="shared" si="3"/>
        <v/>
      </c>
    </row>
    <row r="325" spans="31:36">
      <c r="AE325" s="15" t="str">
        <f t="shared" si="0"/>
        <v/>
      </c>
      <c r="AF325" s="15" t="str">
        <f t="shared" si="1"/>
        <v/>
      </c>
      <c r="AG325" s="15" t="str">
        <f>IF(OR(AF325="",AF325="ERRO_CHAVE"),"",IFERROR(MATCH(AF325,'quitado Despesa'!$V$1:$V$12,0),""))</f>
        <v/>
      </c>
      <c r="AH325" s="15" t="str">
        <f t="shared" si="2"/>
        <v/>
      </c>
      <c r="AI325" s="17" t="str">
        <f>IF(AG325="","",INDEX('quitado Despesa'!$G$1:$G$12,AG325))</f>
        <v/>
      </c>
      <c r="AJ325" s="17" t="str">
        <f t="shared" si="3"/>
        <v/>
      </c>
    </row>
    <row r="326" spans="31:36">
      <c r="AE326" s="15" t="str">
        <f t="shared" si="0"/>
        <v/>
      </c>
      <c r="AF326" s="15" t="str">
        <f t="shared" si="1"/>
        <v/>
      </c>
      <c r="AG326" s="15" t="str">
        <f>IF(OR(AF326="",AF326="ERRO_CHAVE"),"",IFERROR(MATCH(AF326,'quitado Despesa'!$V$1:$V$12,0),""))</f>
        <v/>
      </c>
      <c r="AH326" s="15" t="str">
        <f t="shared" si="2"/>
        <v/>
      </c>
      <c r="AI326" s="17" t="str">
        <f>IF(AG326="","",INDEX('quitado Despesa'!$G$1:$G$12,AG326))</f>
        <v/>
      </c>
      <c r="AJ326" s="17" t="str">
        <f t="shared" si="3"/>
        <v/>
      </c>
    </row>
    <row r="327" spans="31:36">
      <c r="AE327" s="15" t="str">
        <f t="shared" si="0"/>
        <v/>
      </c>
      <c r="AF327" s="15" t="str">
        <f t="shared" si="1"/>
        <v/>
      </c>
      <c r="AG327" s="15" t="str">
        <f>IF(OR(AF327="",AF327="ERRO_CHAVE"),"",IFERROR(MATCH(AF327,'quitado Despesa'!$V$1:$V$12,0),""))</f>
        <v/>
      </c>
      <c r="AH327" s="15" t="str">
        <f t="shared" si="2"/>
        <v/>
      </c>
      <c r="AI327" s="17" t="str">
        <f>IF(AG327="","",INDEX('quitado Despesa'!$G$1:$G$12,AG327))</f>
        <v/>
      </c>
      <c r="AJ327" s="17" t="str">
        <f t="shared" si="3"/>
        <v/>
      </c>
    </row>
    <row r="328" spans="31:36">
      <c r="AE328" s="15" t="str">
        <f t="shared" si="0"/>
        <v/>
      </c>
      <c r="AF328" s="15" t="str">
        <f t="shared" si="1"/>
        <v/>
      </c>
      <c r="AG328" s="15" t="str">
        <f>IF(OR(AF328="",AF328="ERRO_CHAVE"),"",IFERROR(MATCH(AF328,'quitado Despesa'!$V$1:$V$12,0),""))</f>
        <v/>
      </c>
      <c r="AH328" s="15" t="str">
        <f t="shared" si="2"/>
        <v/>
      </c>
      <c r="AI328" s="17" t="str">
        <f>IF(AG328="","",INDEX('quitado Despesa'!$G$1:$G$12,AG328))</f>
        <v/>
      </c>
      <c r="AJ328" s="17" t="str">
        <f t="shared" si="3"/>
        <v/>
      </c>
    </row>
    <row r="329" spans="31:36">
      <c r="AE329" s="15" t="str">
        <f t="shared" si="0"/>
        <v/>
      </c>
      <c r="AF329" s="15" t="str">
        <f t="shared" si="1"/>
        <v/>
      </c>
      <c r="AG329" s="15" t="str">
        <f>IF(OR(AF329="",AF329="ERRO_CHAVE"),"",IFERROR(MATCH(AF329,'quitado Despesa'!$V$1:$V$12,0),""))</f>
        <v/>
      </c>
      <c r="AH329" s="15" t="str">
        <f t="shared" si="2"/>
        <v/>
      </c>
      <c r="AI329" s="17" t="str">
        <f>IF(AG329="","",INDEX('quitado Despesa'!$G$1:$G$12,AG329))</f>
        <v/>
      </c>
      <c r="AJ329" s="17" t="str">
        <f t="shared" si="3"/>
        <v/>
      </c>
    </row>
    <row r="330" spans="31:36">
      <c r="AE330" s="15" t="str">
        <f t="shared" si="0"/>
        <v/>
      </c>
      <c r="AF330" s="15" t="str">
        <f t="shared" si="1"/>
        <v/>
      </c>
      <c r="AG330" s="15" t="str">
        <f>IF(OR(AF330="",AF330="ERRO_CHAVE"),"",IFERROR(MATCH(AF330,'quitado Despesa'!$V$1:$V$12,0),""))</f>
        <v/>
      </c>
      <c r="AH330" s="15" t="str">
        <f t="shared" si="2"/>
        <v/>
      </c>
      <c r="AI330" s="17" t="str">
        <f>IF(AG330="","",INDEX('quitado Despesa'!$G$1:$G$12,AG330))</f>
        <v/>
      </c>
      <c r="AJ330" s="17" t="str">
        <f t="shared" si="3"/>
        <v/>
      </c>
    </row>
    <row r="331" spans="31:36">
      <c r="AE331" s="15" t="str">
        <f t="shared" si="0"/>
        <v/>
      </c>
      <c r="AF331" s="15" t="str">
        <f t="shared" si="1"/>
        <v/>
      </c>
      <c r="AG331" s="15" t="str">
        <f>IF(OR(AF331="",AF331="ERRO_CHAVE"),"",IFERROR(MATCH(AF331,'quitado Despesa'!$V$1:$V$12,0),""))</f>
        <v/>
      </c>
      <c r="AH331" s="15" t="str">
        <f t="shared" si="2"/>
        <v/>
      </c>
      <c r="AI331" s="17" t="str">
        <f>IF(AG331="","",INDEX('quitado Despesa'!$G$1:$G$12,AG331))</f>
        <v/>
      </c>
      <c r="AJ331" s="17" t="str">
        <f t="shared" si="3"/>
        <v/>
      </c>
    </row>
    <row r="332" spans="31:36">
      <c r="AE332" s="15" t="str">
        <f t="shared" si="0"/>
        <v/>
      </c>
      <c r="AF332" s="15" t="str">
        <f t="shared" si="1"/>
        <v/>
      </c>
      <c r="AG332" s="15" t="str">
        <f>IF(OR(AF332="",AF332="ERRO_CHAVE"),"",IFERROR(MATCH(AF332,'quitado Despesa'!$V$1:$V$12,0),""))</f>
        <v/>
      </c>
      <c r="AH332" s="15" t="str">
        <f t="shared" si="2"/>
        <v/>
      </c>
      <c r="AI332" s="17" t="str">
        <f>IF(AG332="","",INDEX('quitado Despesa'!$G$1:$G$12,AG332))</f>
        <v/>
      </c>
      <c r="AJ332" s="17" t="str">
        <f t="shared" si="3"/>
        <v/>
      </c>
    </row>
    <row r="333" spans="31:36">
      <c r="AE333" s="15" t="str">
        <f t="shared" si="0"/>
        <v/>
      </c>
      <c r="AF333" s="15" t="str">
        <f t="shared" si="1"/>
        <v/>
      </c>
      <c r="AG333" s="15" t="str">
        <f>IF(OR(AF333="",AF333="ERRO_CHAVE"),"",IFERROR(MATCH(AF333,'quitado Despesa'!$V$1:$V$12,0),""))</f>
        <v/>
      </c>
      <c r="AH333" s="15" t="str">
        <f t="shared" si="2"/>
        <v/>
      </c>
      <c r="AI333" s="17" t="str">
        <f>IF(AG333="","",INDEX('quitado Despesa'!$G$1:$G$12,AG333))</f>
        <v/>
      </c>
      <c r="AJ333" s="17" t="str">
        <f t="shared" si="3"/>
        <v/>
      </c>
    </row>
    <row r="334" spans="31:36">
      <c r="AE334" s="15" t="str">
        <f t="shared" si="0"/>
        <v/>
      </c>
      <c r="AF334" s="15" t="str">
        <f t="shared" si="1"/>
        <v/>
      </c>
      <c r="AG334" s="15" t="str">
        <f>IF(OR(AF334="",AF334="ERRO_CHAVE"),"",IFERROR(MATCH(AF334,'quitado Despesa'!$V$1:$V$12,0),""))</f>
        <v/>
      </c>
      <c r="AH334" s="15" t="str">
        <f t="shared" si="2"/>
        <v/>
      </c>
      <c r="AI334" s="17" t="str">
        <f>IF(AG334="","",INDEX('quitado Despesa'!$G$1:$G$12,AG334))</f>
        <v/>
      </c>
      <c r="AJ334" s="17" t="str">
        <f t="shared" si="3"/>
        <v/>
      </c>
    </row>
    <row r="335" spans="31:36">
      <c r="AE335" s="15" t="str">
        <f t="shared" si="0"/>
        <v/>
      </c>
      <c r="AF335" s="15" t="str">
        <f t="shared" si="1"/>
        <v/>
      </c>
      <c r="AG335" s="15" t="str">
        <f>IF(OR(AF335="",AF335="ERRO_CHAVE"),"",IFERROR(MATCH(AF335,'quitado Despesa'!$V$1:$V$12,0),""))</f>
        <v/>
      </c>
      <c r="AH335" s="15" t="str">
        <f t="shared" si="2"/>
        <v/>
      </c>
      <c r="AI335" s="17" t="str">
        <f>IF(AG335="","",INDEX('quitado Despesa'!$G$1:$G$12,AG335))</f>
        <v/>
      </c>
      <c r="AJ335" s="17" t="str">
        <f t="shared" si="3"/>
        <v/>
      </c>
    </row>
    <row r="336" spans="31:36">
      <c r="AE336" s="15" t="str">
        <f t="shared" si="0"/>
        <v/>
      </c>
      <c r="AF336" s="15" t="str">
        <f t="shared" si="1"/>
        <v/>
      </c>
      <c r="AG336" s="15" t="str">
        <f>IF(OR(AF336="",AF336="ERRO_CHAVE"),"",IFERROR(MATCH(AF336,'quitado Despesa'!$V$1:$V$12,0),""))</f>
        <v/>
      </c>
      <c r="AH336" s="15" t="str">
        <f t="shared" si="2"/>
        <v/>
      </c>
      <c r="AI336" s="17" t="str">
        <f>IF(AG336="","",INDEX('quitado Despesa'!$G$1:$G$12,AG336))</f>
        <v/>
      </c>
      <c r="AJ336" s="17" t="str">
        <f t="shared" si="3"/>
        <v/>
      </c>
    </row>
    <row r="337" spans="31:36">
      <c r="AE337" s="15" t="str">
        <f t="shared" si="0"/>
        <v/>
      </c>
      <c r="AF337" s="15" t="str">
        <f t="shared" si="1"/>
        <v/>
      </c>
      <c r="AG337" s="15" t="str">
        <f>IF(OR(AF337="",AF337="ERRO_CHAVE"),"",IFERROR(MATCH(AF337,'quitado Despesa'!$V$1:$V$12,0),""))</f>
        <v/>
      </c>
      <c r="AH337" s="15" t="str">
        <f t="shared" si="2"/>
        <v/>
      </c>
      <c r="AI337" s="17" t="str">
        <f>IF(AG337="","",INDEX('quitado Despesa'!$G$1:$G$12,AG337))</f>
        <v/>
      </c>
      <c r="AJ337" s="17" t="str">
        <f t="shared" si="3"/>
        <v/>
      </c>
    </row>
    <row r="338" spans="31:36">
      <c r="AE338" s="15" t="str">
        <f t="shared" si="0"/>
        <v/>
      </c>
      <c r="AF338" s="15" t="str">
        <f t="shared" si="1"/>
        <v/>
      </c>
      <c r="AG338" s="15" t="str">
        <f>IF(OR(AF338="",AF338="ERRO_CHAVE"),"",IFERROR(MATCH(AF338,'quitado Despesa'!$V$1:$V$12,0),""))</f>
        <v/>
      </c>
      <c r="AH338" s="15" t="str">
        <f t="shared" si="2"/>
        <v/>
      </c>
      <c r="AI338" s="17" t="str">
        <f>IF(AG338="","",INDEX('quitado Despesa'!$G$1:$G$12,AG338))</f>
        <v/>
      </c>
      <c r="AJ338" s="17" t="str">
        <f t="shared" si="3"/>
        <v/>
      </c>
    </row>
    <row r="339" spans="31:36">
      <c r="AE339" s="15" t="str">
        <f t="shared" si="0"/>
        <v/>
      </c>
      <c r="AF339" s="15" t="str">
        <f t="shared" si="1"/>
        <v/>
      </c>
      <c r="AG339" s="15" t="str">
        <f>IF(OR(AF339="",AF339="ERRO_CHAVE"),"",IFERROR(MATCH(AF339,'quitado Despesa'!$V$1:$V$12,0),""))</f>
        <v/>
      </c>
      <c r="AH339" s="15" t="str">
        <f t="shared" si="2"/>
        <v/>
      </c>
      <c r="AI339" s="17" t="str">
        <f>IF(AG339="","",INDEX('quitado Despesa'!$G$1:$G$12,AG339))</f>
        <v/>
      </c>
      <c r="AJ339" s="17" t="str">
        <f t="shared" si="3"/>
        <v/>
      </c>
    </row>
    <row r="340" spans="31:36">
      <c r="AE340" s="15" t="str">
        <f t="shared" si="0"/>
        <v/>
      </c>
      <c r="AF340" s="15" t="str">
        <f t="shared" si="1"/>
        <v/>
      </c>
      <c r="AG340" s="15" t="str">
        <f>IF(OR(AF340="",AF340="ERRO_CHAVE"),"",IFERROR(MATCH(AF340,'quitado Despesa'!$V$1:$V$12,0),""))</f>
        <v/>
      </c>
      <c r="AH340" s="15" t="str">
        <f t="shared" si="2"/>
        <v/>
      </c>
      <c r="AI340" s="17" t="str">
        <f>IF(AG340="","",INDEX('quitado Despesa'!$G$1:$G$12,AG340))</f>
        <v/>
      </c>
      <c r="AJ340" s="17" t="str">
        <f t="shared" si="3"/>
        <v/>
      </c>
    </row>
    <row r="341" spans="31:36">
      <c r="AE341" s="15" t="str">
        <f t="shared" si="0"/>
        <v/>
      </c>
      <c r="AF341" s="15" t="str">
        <f t="shared" si="1"/>
        <v/>
      </c>
      <c r="AG341" s="15" t="str">
        <f>IF(OR(AF341="",AF341="ERRO_CHAVE"),"",IFERROR(MATCH(AF341,'quitado Despesa'!$V$1:$V$12,0),""))</f>
        <v/>
      </c>
      <c r="AH341" s="15" t="str">
        <f t="shared" si="2"/>
        <v/>
      </c>
      <c r="AI341" s="17" t="str">
        <f>IF(AG341="","",INDEX('quitado Despesa'!$G$1:$G$12,AG341))</f>
        <v/>
      </c>
      <c r="AJ341" s="17" t="str">
        <f t="shared" si="3"/>
        <v/>
      </c>
    </row>
    <row r="342" spans="31:36">
      <c r="AE342" s="15" t="str">
        <f t="shared" si="0"/>
        <v/>
      </c>
      <c r="AF342" s="15" t="str">
        <f t="shared" si="1"/>
        <v/>
      </c>
      <c r="AG342" s="15" t="str">
        <f>IF(OR(AF342="",AF342="ERRO_CHAVE"),"",IFERROR(MATCH(AF342,'quitado Despesa'!$V$1:$V$12,0),""))</f>
        <v/>
      </c>
      <c r="AH342" s="15" t="str">
        <f t="shared" si="2"/>
        <v/>
      </c>
      <c r="AI342" s="17" t="str">
        <f>IF(AG342="","",INDEX('quitado Despesa'!$G$1:$G$12,AG342))</f>
        <v/>
      </c>
      <c r="AJ342" s="17" t="str">
        <f t="shared" si="3"/>
        <v/>
      </c>
    </row>
    <row r="343" spans="31:36">
      <c r="AE343" s="15" t="str">
        <f t="shared" si="0"/>
        <v/>
      </c>
      <c r="AF343" s="15" t="str">
        <f t="shared" si="1"/>
        <v/>
      </c>
      <c r="AG343" s="15" t="str">
        <f>IF(OR(AF343="",AF343="ERRO_CHAVE"),"",IFERROR(MATCH(AF343,'quitado Despesa'!$V$1:$V$12,0),""))</f>
        <v/>
      </c>
      <c r="AH343" s="15" t="str">
        <f t="shared" si="2"/>
        <v/>
      </c>
      <c r="AI343" s="17" t="str">
        <f>IF(AG343="","",INDEX('quitado Despesa'!$G$1:$G$12,AG343))</f>
        <v/>
      </c>
      <c r="AJ343" s="17" t="str">
        <f t="shared" si="3"/>
        <v/>
      </c>
    </row>
    <row r="344" spans="31:36">
      <c r="AE344" s="15" t="str">
        <f t="shared" si="0"/>
        <v/>
      </c>
      <c r="AF344" s="15" t="str">
        <f t="shared" si="1"/>
        <v/>
      </c>
      <c r="AG344" s="15" t="str">
        <f>IF(OR(AF344="",AF344="ERRO_CHAVE"),"",IFERROR(MATCH(AF344,'quitado Despesa'!$V$1:$V$12,0),""))</f>
        <v/>
      </c>
      <c r="AH344" s="15" t="str">
        <f t="shared" si="2"/>
        <v/>
      </c>
      <c r="AI344" s="17" t="str">
        <f>IF(AG344="","",INDEX('quitado Despesa'!$G$1:$G$12,AG344))</f>
        <v/>
      </c>
      <c r="AJ344" s="17" t="str">
        <f t="shared" si="3"/>
        <v/>
      </c>
    </row>
    <row r="345" spans="31:36">
      <c r="AE345" s="15" t="str">
        <f t="shared" si="0"/>
        <v/>
      </c>
      <c r="AF345" s="15" t="str">
        <f t="shared" si="1"/>
        <v/>
      </c>
      <c r="AG345" s="15" t="str">
        <f>IF(OR(AF345="",AF345="ERRO_CHAVE"),"",IFERROR(MATCH(AF345,'quitado Despesa'!$V$1:$V$12,0),""))</f>
        <v/>
      </c>
      <c r="AH345" s="15" t="str">
        <f t="shared" si="2"/>
        <v/>
      </c>
      <c r="AI345" s="17" t="str">
        <f>IF(AG345="","",INDEX('quitado Despesa'!$G$1:$G$12,AG345))</f>
        <v/>
      </c>
      <c r="AJ345" s="17" t="str">
        <f t="shared" si="3"/>
        <v/>
      </c>
    </row>
    <row r="346" spans="31:36">
      <c r="AE346" s="15" t="str">
        <f t="shared" si="0"/>
        <v/>
      </c>
      <c r="AF346" s="15" t="str">
        <f t="shared" si="1"/>
        <v/>
      </c>
      <c r="AG346" s="15" t="str">
        <f>IF(OR(AF346="",AF346="ERRO_CHAVE"),"",IFERROR(MATCH(AF346,'quitado Despesa'!$V$1:$V$12,0),""))</f>
        <v/>
      </c>
      <c r="AH346" s="15" t="str">
        <f t="shared" si="2"/>
        <v/>
      </c>
      <c r="AI346" s="17" t="str">
        <f>IF(AG346="","",INDEX('quitado Despesa'!$G$1:$G$12,AG346))</f>
        <v/>
      </c>
      <c r="AJ346" s="17" t="str">
        <f t="shared" si="3"/>
        <v/>
      </c>
    </row>
    <row r="347" spans="31:36">
      <c r="AE347" s="15" t="str">
        <f t="shared" si="0"/>
        <v/>
      </c>
      <c r="AF347" s="15" t="str">
        <f t="shared" si="1"/>
        <v/>
      </c>
      <c r="AG347" s="15" t="str">
        <f>IF(OR(AF347="",AF347="ERRO_CHAVE"),"",IFERROR(MATCH(AF347,'quitado Despesa'!$V$1:$V$12,0),""))</f>
        <v/>
      </c>
      <c r="AH347" s="15" t="str">
        <f t="shared" si="2"/>
        <v/>
      </c>
      <c r="AI347" s="17" t="str">
        <f>IF(AG347="","",INDEX('quitado Despesa'!$G$1:$G$12,AG347))</f>
        <v/>
      </c>
      <c r="AJ347" s="17" t="str">
        <f t="shared" si="3"/>
        <v/>
      </c>
    </row>
    <row r="348" spans="31:36">
      <c r="AE348" s="15" t="str">
        <f t="shared" si="0"/>
        <v/>
      </c>
      <c r="AF348" s="15" t="str">
        <f t="shared" si="1"/>
        <v/>
      </c>
      <c r="AG348" s="15" t="str">
        <f>IF(OR(AF348="",AF348="ERRO_CHAVE"),"",IFERROR(MATCH(AF348,'quitado Despesa'!$V$1:$V$12,0),""))</f>
        <v/>
      </c>
      <c r="AH348" s="15" t="str">
        <f t="shared" si="2"/>
        <v/>
      </c>
      <c r="AI348" s="17" t="str">
        <f>IF(AG348="","",INDEX('quitado Despesa'!$G$1:$G$12,AG348))</f>
        <v/>
      </c>
      <c r="AJ348" s="17" t="str">
        <f t="shared" si="3"/>
        <v/>
      </c>
    </row>
    <row r="349" spans="31:36">
      <c r="AE349" s="15" t="str">
        <f t="shared" si="0"/>
        <v/>
      </c>
      <c r="AF349" s="15" t="str">
        <f t="shared" si="1"/>
        <v/>
      </c>
      <c r="AG349" s="15" t="str">
        <f>IF(OR(AF349="",AF349="ERRO_CHAVE"),"",IFERROR(MATCH(AF349,'quitado Despesa'!$V$1:$V$12,0),""))</f>
        <v/>
      </c>
      <c r="AH349" s="15" t="str">
        <f t="shared" si="2"/>
        <v/>
      </c>
      <c r="AI349" s="17" t="str">
        <f>IF(AG349="","",INDEX('quitado Despesa'!$G$1:$G$12,AG349))</f>
        <v/>
      </c>
      <c r="AJ349" s="17" t="str">
        <f t="shared" si="3"/>
        <v/>
      </c>
    </row>
    <row r="350" spans="31:36">
      <c r="AE350" s="15" t="str">
        <f t="shared" si="0"/>
        <v/>
      </c>
      <c r="AF350" s="15" t="str">
        <f t="shared" si="1"/>
        <v/>
      </c>
      <c r="AG350" s="15" t="str">
        <f>IF(OR(AF350="",AF350="ERRO_CHAVE"),"",IFERROR(MATCH(AF350,'quitado Despesa'!$V$1:$V$12,0),""))</f>
        <v/>
      </c>
      <c r="AH350" s="15" t="str">
        <f t="shared" si="2"/>
        <v/>
      </c>
      <c r="AI350" s="17" t="str">
        <f>IF(AG350="","",INDEX('quitado Despesa'!$G$1:$G$12,AG350))</f>
        <v/>
      </c>
      <c r="AJ350" s="17" t="str">
        <f t="shared" si="3"/>
        <v/>
      </c>
    </row>
    <row r="351" spans="31:36">
      <c r="AE351" s="15" t="str">
        <f t="shared" si="0"/>
        <v/>
      </c>
      <c r="AF351" s="15" t="str">
        <f t="shared" si="1"/>
        <v/>
      </c>
      <c r="AG351" s="15" t="str">
        <f>IF(OR(AF351="",AF351="ERRO_CHAVE"),"",IFERROR(MATCH(AF351,'quitado Despesa'!$V$1:$V$12,0),""))</f>
        <v/>
      </c>
      <c r="AH351" s="15" t="str">
        <f t="shared" si="2"/>
        <v/>
      </c>
      <c r="AI351" s="17" t="str">
        <f>IF(AG351="","",INDEX('quitado Despesa'!$G$1:$G$12,AG351))</f>
        <v/>
      </c>
      <c r="AJ351" s="17" t="str">
        <f t="shared" si="3"/>
        <v/>
      </c>
    </row>
    <row r="352" spans="31:36">
      <c r="AE352" s="15" t="str">
        <f t="shared" si="0"/>
        <v/>
      </c>
      <c r="AF352" s="15" t="str">
        <f t="shared" si="1"/>
        <v/>
      </c>
      <c r="AG352" s="15" t="str">
        <f>IF(OR(AF352="",AF352="ERRO_CHAVE"),"",IFERROR(MATCH(AF352,'quitado Despesa'!$V$1:$V$12,0),""))</f>
        <v/>
      </c>
      <c r="AH352" s="15" t="str">
        <f t="shared" si="2"/>
        <v/>
      </c>
      <c r="AI352" s="17" t="str">
        <f>IF(AG352="","",INDEX('quitado Despesa'!$G$1:$G$12,AG352))</f>
        <v/>
      </c>
      <c r="AJ352" s="17" t="str">
        <f t="shared" si="3"/>
        <v/>
      </c>
    </row>
    <row r="353" spans="31:36">
      <c r="AE353" s="15" t="str">
        <f t="shared" si="0"/>
        <v/>
      </c>
      <c r="AF353" s="15" t="str">
        <f t="shared" si="1"/>
        <v/>
      </c>
      <c r="AG353" s="15" t="str">
        <f>IF(OR(AF353="",AF353="ERRO_CHAVE"),"",IFERROR(MATCH(AF353,'quitado Despesa'!$V$1:$V$12,0),""))</f>
        <v/>
      </c>
      <c r="AH353" s="15" t="str">
        <f t="shared" si="2"/>
        <v/>
      </c>
      <c r="AI353" s="17" t="str">
        <f>IF(AG353="","",INDEX('quitado Despesa'!$G$1:$G$12,AG353))</f>
        <v/>
      </c>
      <c r="AJ353" s="17" t="str">
        <f t="shared" si="3"/>
        <v/>
      </c>
    </row>
    <row r="354" spans="31:36">
      <c r="AE354" s="15" t="str">
        <f t="shared" si="0"/>
        <v/>
      </c>
      <c r="AF354" s="15" t="str">
        <f t="shared" si="1"/>
        <v/>
      </c>
      <c r="AG354" s="15" t="str">
        <f>IF(OR(AF354="",AF354="ERRO_CHAVE"),"",IFERROR(MATCH(AF354,'quitado Despesa'!$V$1:$V$12,0),""))</f>
        <v/>
      </c>
      <c r="AH354" s="15" t="str">
        <f t="shared" si="2"/>
        <v/>
      </c>
      <c r="AI354" s="17" t="str">
        <f>IF(AG354="","",INDEX('quitado Despesa'!$G$1:$G$12,AG354))</f>
        <v/>
      </c>
      <c r="AJ354" s="17" t="str">
        <f t="shared" si="3"/>
        <v/>
      </c>
    </row>
    <row r="355" spans="31:36">
      <c r="AE355" s="15" t="str">
        <f t="shared" si="0"/>
        <v/>
      </c>
      <c r="AF355" s="15" t="str">
        <f t="shared" si="1"/>
        <v/>
      </c>
      <c r="AG355" s="15" t="str">
        <f>IF(OR(AF355="",AF355="ERRO_CHAVE"),"",IFERROR(MATCH(AF355,'quitado Despesa'!$V$1:$V$12,0),""))</f>
        <v/>
      </c>
      <c r="AH355" s="15" t="str">
        <f t="shared" si="2"/>
        <v/>
      </c>
      <c r="AI355" s="17" t="str">
        <f>IF(AG355="","",INDEX('quitado Despesa'!$G$1:$G$12,AG355))</f>
        <v/>
      </c>
      <c r="AJ355" s="17" t="str">
        <f t="shared" si="3"/>
        <v/>
      </c>
    </row>
    <row r="356" spans="31:36">
      <c r="AE356" s="15" t="str">
        <f t="shared" si="0"/>
        <v/>
      </c>
      <c r="AF356" s="15" t="str">
        <f t="shared" si="1"/>
        <v/>
      </c>
      <c r="AG356" s="15" t="str">
        <f>IF(OR(AF356="",AF356="ERRO_CHAVE"),"",IFERROR(MATCH(AF356,'quitado Despesa'!$V$1:$V$12,0),""))</f>
        <v/>
      </c>
      <c r="AH356" s="15" t="str">
        <f t="shared" si="2"/>
        <v/>
      </c>
      <c r="AI356" s="17" t="str">
        <f>IF(AG356="","",INDEX('quitado Despesa'!$G$1:$G$12,AG356))</f>
        <v/>
      </c>
      <c r="AJ356" s="17" t="str">
        <f t="shared" si="3"/>
        <v/>
      </c>
    </row>
    <row r="357" spans="31:36">
      <c r="AE357" s="15" t="str">
        <f t="shared" si="0"/>
        <v/>
      </c>
      <c r="AF357" s="15" t="str">
        <f t="shared" si="1"/>
        <v/>
      </c>
      <c r="AG357" s="15" t="str">
        <f>IF(OR(AF357="",AF357="ERRO_CHAVE"),"",IFERROR(MATCH(AF357,'quitado Despesa'!$V$1:$V$12,0),""))</f>
        <v/>
      </c>
      <c r="AH357" s="15" t="str">
        <f t="shared" si="2"/>
        <v/>
      </c>
      <c r="AI357" s="17" t="str">
        <f>IF(AG357="","",INDEX('quitado Despesa'!$G$1:$G$12,AG357))</f>
        <v/>
      </c>
      <c r="AJ357" s="17" t="str">
        <f t="shared" si="3"/>
        <v/>
      </c>
    </row>
    <row r="358" spans="31:36">
      <c r="AE358" s="15" t="str">
        <f t="shared" si="0"/>
        <v/>
      </c>
      <c r="AF358" s="15" t="str">
        <f t="shared" si="1"/>
        <v/>
      </c>
      <c r="AG358" s="15" t="str">
        <f>IF(OR(AF358="",AF358="ERRO_CHAVE"),"",IFERROR(MATCH(AF358,'quitado Despesa'!$V$1:$V$12,0),""))</f>
        <v/>
      </c>
      <c r="AH358" s="15" t="str">
        <f t="shared" si="2"/>
        <v/>
      </c>
      <c r="AI358" s="17" t="str">
        <f>IF(AG358="","",INDEX('quitado Despesa'!$G$1:$G$12,AG358))</f>
        <v/>
      </c>
      <c r="AJ358" s="17" t="str">
        <f t="shared" si="3"/>
        <v/>
      </c>
    </row>
    <row r="359" spans="31:36">
      <c r="AE359" s="15" t="str">
        <f t="shared" si="0"/>
        <v/>
      </c>
      <c r="AF359" s="15" t="str">
        <f t="shared" si="1"/>
        <v/>
      </c>
      <c r="AG359" s="15" t="str">
        <f>IF(OR(AF359="",AF359="ERRO_CHAVE"),"",IFERROR(MATCH(AF359,'quitado Despesa'!$V$1:$V$12,0),""))</f>
        <v/>
      </c>
      <c r="AH359" s="15" t="str">
        <f t="shared" si="2"/>
        <v/>
      </c>
      <c r="AI359" s="17" t="str">
        <f>IF(AG359="","",INDEX('quitado Despesa'!$G$1:$G$12,AG359))</f>
        <v/>
      </c>
      <c r="AJ359" s="17" t="str">
        <f t="shared" si="3"/>
        <v/>
      </c>
    </row>
    <row r="360" spans="31:36">
      <c r="AE360" s="15" t="str">
        <f t="shared" si="0"/>
        <v/>
      </c>
      <c r="AF360" s="15" t="str">
        <f t="shared" si="1"/>
        <v/>
      </c>
      <c r="AG360" s="15" t="str">
        <f>IF(OR(AF360="",AF360="ERRO_CHAVE"),"",IFERROR(MATCH(AF360,'quitado Despesa'!$V$1:$V$12,0),""))</f>
        <v/>
      </c>
      <c r="AH360" s="15" t="str">
        <f t="shared" si="2"/>
        <v/>
      </c>
      <c r="AI360" s="17" t="str">
        <f>IF(AG360="","",INDEX('quitado Despesa'!$G$1:$G$12,AG360))</f>
        <v/>
      </c>
      <c r="AJ360" s="17" t="str">
        <f t="shared" si="3"/>
        <v/>
      </c>
    </row>
    <row r="361" spans="31:36">
      <c r="AE361" s="15" t="str">
        <f t="shared" si="0"/>
        <v/>
      </c>
      <c r="AF361" s="15" t="str">
        <f t="shared" si="1"/>
        <v/>
      </c>
      <c r="AG361" s="15" t="str">
        <f>IF(OR(AF361="",AF361="ERRO_CHAVE"),"",IFERROR(MATCH(AF361,'quitado Despesa'!$V$1:$V$12,0),""))</f>
        <v/>
      </c>
      <c r="AH361" s="15" t="str">
        <f t="shared" si="2"/>
        <v/>
      </c>
      <c r="AI361" s="17" t="str">
        <f>IF(AG361="","",INDEX('quitado Despesa'!$G$1:$G$12,AG361))</f>
        <v/>
      </c>
      <c r="AJ361" s="17" t="str">
        <f t="shared" si="3"/>
        <v/>
      </c>
    </row>
    <row r="362" spans="31:36">
      <c r="AE362" s="15" t="str">
        <f t="shared" si="0"/>
        <v/>
      </c>
      <c r="AF362" s="15" t="str">
        <f t="shared" si="1"/>
        <v/>
      </c>
      <c r="AG362" s="15" t="str">
        <f>IF(OR(AF362="",AF362="ERRO_CHAVE"),"",IFERROR(MATCH(AF362,'quitado Despesa'!$V$1:$V$12,0),""))</f>
        <v/>
      </c>
      <c r="AH362" s="15" t="str">
        <f t="shared" si="2"/>
        <v/>
      </c>
      <c r="AI362" s="17" t="str">
        <f>IF(AG362="","",INDEX('quitado Despesa'!$G$1:$G$12,AG362))</f>
        <v/>
      </c>
      <c r="AJ362" s="17" t="str">
        <f t="shared" si="3"/>
        <v/>
      </c>
    </row>
    <row r="363" spans="31:36">
      <c r="AE363" s="15" t="str">
        <f t="shared" si="0"/>
        <v/>
      </c>
      <c r="AF363" s="15" t="str">
        <f t="shared" si="1"/>
        <v/>
      </c>
      <c r="AG363" s="15" t="str">
        <f>IF(OR(AF363="",AF363="ERRO_CHAVE"),"",IFERROR(MATCH(AF363,'quitado Despesa'!$V$1:$V$12,0),""))</f>
        <v/>
      </c>
      <c r="AH363" s="15" t="str">
        <f t="shared" si="2"/>
        <v/>
      </c>
      <c r="AI363" s="17" t="str">
        <f>IF(AG363="","",INDEX('quitado Despesa'!$G$1:$G$12,AG363))</f>
        <v/>
      </c>
      <c r="AJ363" s="17" t="str">
        <f t="shared" si="3"/>
        <v/>
      </c>
    </row>
    <row r="364" spans="31:36">
      <c r="AE364" s="15" t="str">
        <f t="shared" si="0"/>
        <v/>
      </c>
      <c r="AF364" s="15" t="str">
        <f t="shared" si="1"/>
        <v/>
      </c>
      <c r="AG364" s="15" t="str">
        <f>IF(OR(AF364="",AF364="ERRO_CHAVE"),"",IFERROR(MATCH(AF364,'quitado Despesa'!$V$1:$V$12,0),""))</f>
        <v/>
      </c>
      <c r="AH364" s="15" t="str">
        <f t="shared" si="2"/>
        <v/>
      </c>
      <c r="AI364" s="17" t="str">
        <f>IF(AG364="","",INDEX('quitado Despesa'!$G$1:$G$12,AG364))</f>
        <v/>
      </c>
      <c r="AJ364" s="17" t="str">
        <f t="shared" si="3"/>
        <v/>
      </c>
    </row>
    <row r="365" spans="31:36">
      <c r="AE365" s="15" t="str">
        <f t="shared" si="0"/>
        <v/>
      </c>
      <c r="AF365" s="15" t="str">
        <f t="shared" si="1"/>
        <v/>
      </c>
      <c r="AG365" s="15" t="str">
        <f>IF(OR(AF365="",AF365="ERRO_CHAVE"),"",IFERROR(MATCH(AF365,'quitado Despesa'!$V$1:$V$12,0),""))</f>
        <v/>
      </c>
      <c r="AH365" s="15" t="str">
        <f t="shared" si="2"/>
        <v/>
      </c>
      <c r="AI365" s="17" t="str">
        <f>IF(AG365="","",INDEX('quitado Despesa'!$G$1:$G$12,AG365))</f>
        <v/>
      </c>
      <c r="AJ365" s="17" t="str">
        <f t="shared" si="3"/>
        <v/>
      </c>
    </row>
    <row r="366" spans="31:36">
      <c r="AE366" s="15" t="str">
        <f t="shared" si="0"/>
        <v/>
      </c>
      <c r="AF366" s="15" t="str">
        <f t="shared" si="1"/>
        <v/>
      </c>
      <c r="AG366" s="15" t="str">
        <f>IF(OR(AF366="",AF366="ERRO_CHAVE"),"",IFERROR(MATCH(AF366,'quitado Despesa'!$V$1:$V$12,0),""))</f>
        <v/>
      </c>
      <c r="AH366" s="15" t="str">
        <f t="shared" si="2"/>
        <v/>
      </c>
      <c r="AI366" s="17" t="str">
        <f>IF(AG366="","",INDEX('quitado Despesa'!$G$1:$G$12,AG366))</f>
        <v/>
      </c>
      <c r="AJ366" s="17" t="str">
        <f t="shared" si="3"/>
        <v/>
      </c>
    </row>
    <row r="367" spans="31:36">
      <c r="AE367" s="15" t="str">
        <f t="shared" si="0"/>
        <v/>
      </c>
      <c r="AF367" s="15" t="str">
        <f t="shared" si="1"/>
        <v/>
      </c>
      <c r="AG367" s="15" t="str">
        <f>IF(OR(AF367="",AF367="ERRO_CHAVE"),"",IFERROR(MATCH(AF367,'quitado Despesa'!$V$1:$V$12,0),""))</f>
        <v/>
      </c>
      <c r="AH367" s="15" t="str">
        <f t="shared" si="2"/>
        <v/>
      </c>
      <c r="AI367" s="17" t="str">
        <f>IF(AG367="","",INDEX('quitado Despesa'!$G$1:$G$12,AG367))</f>
        <v/>
      </c>
      <c r="AJ367" s="17" t="str">
        <f t="shared" si="3"/>
        <v/>
      </c>
    </row>
    <row r="368" spans="31:36">
      <c r="AE368" s="15" t="str">
        <f t="shared" si="0"/>
        <v/>
      </c>
      <c r="AF368" s="15" t="str">
        <f t="shared" si="1"/>
        <v/>
      </c>
      <c r="AG368" s="15" t="str">
        <f>IF(OR(AF368="",AF368="ERRO_CHAVE"),"",IFERROR(MATCH(AF368,'quitado Despesa'!$V$1:$V$12,0),""))</f>
        <v/>
      </c>
      <c r="AH368" s="15" t="str">
        <f t="shared" si="2"/>
        <v/>
      </c>
      <c r="AI368" s="17" t="str">
        <f>IF(AG368="","",INDEX('quitado Despesa'!$G$1:$G$12,AG368))</f>
        <v/>
      </c>
      <c r="AJ368" s="17" t="str">
        <f t="shared" si="3"/>
        <v/>
      </c>
    </row>
    <row r="369" spans="31:36">
      <c r="AE369" s="15" t="str">
        <f t="shared" si="0"/>
        <v/>
      </c>
      <c r="AF369" s="15" t="str">
        <f t="shared" si="1"/>
        <v/>
      </c>
      <c r="AG369" s="15" t="str">
        <f>IF(OR(AF369="",AF369="ERRO_CHAVE"),"",IFERROR(MATCH(AF369,'quitado Despesa'!$V$1:$V$12,0),""))</f>
        <v/>
      </c>
      <c r="AH369" s="15" t="str">
        <f t="shared" si="2"/>
        <v/>
      </c>
      <c r="AI369" s="17" t="str">
        <f>IF(AG369="","",INDEX('quitado Despesa'!$G$1:$G$12,AG369))</f>
        <v/>
      </c>
      <c r="AJ369" s="17" t="str">
        <f t="shared" si="3"/>
        <v/>
      </c>
    </row>
    <row r="370" spans="31:36">
      <c r="AE370" s="15" t="str">
        <f t="shared" si="0"/>
        <v/>
      </c>
      <c r="AF370" s="15" t="str">
        <f t="shared" si="1"/>
        <v/>
      </c>
      <c r="AG370" s="15" t="str">
        <f>IF(OR(AF370="",AF370="ERRO_CHAVE"),"",IFERROR(MATCH(AF370,'quitado Despesa'!$V$1:$V$12,0),""))</f>
        <v/>
      </c>
      <c r="AH370" s="15" t="str">
        <f t="shared" si="2"/>
        <v/>
      </c>
      <c r="AI370" s="17" t="str">
        <f>IF(AG370="","",INDEX('quitado Despesa'!$G$1:$G$12,AG370))</f>
        <v/>
      </c>
      <c r="AJ370" s="17" t="str">
        <f t="shared" si="3"/>
        <v/>
      </c>
    </row>
    <row r="371" spans="31:36">
      <c r="AE371" s="15" t="str">
        <f t="shared" si="0"/>
        <v/>
      </c>
      <c r="AF371" s="15" t="str">
        <f t="shared" si="1"/>
        <v/>
      </c>
      <c r="AG371" s="15" t="str">
        <f>IF(OR(AF371="",AF371="ERRO_CHAVE"),"",IFERROR(MATCH(AF371,'quitado Despesa'!$V$1:$V$12,0),""))</f>
        <v/>
      </c>
      <c r="AH371" s="15" t="str">
        <f t="shared" si="2"/>
        <v/>
      </c>
      <c r="AI371" s="17" t="str">
        <f>IF(AG371="","",INDEX('quitado Despesa'!$G$1:$G$12,AG371))</f>
        <v/>
      </c>
      <c r="AJ371" s="17" t="str">
        <f t="shared" si="3"/>
        <v/>
      </c>
    </row>
    <row r="372" spans="31:36">
      <c r="AE372" s="15" t="str">
        <f t="shared" si="0"/>
        <v/>
      </c>
      <c r="AF372" s="15" t="str">
        <f t="shared" si="1"/>
        <v/>
      </c>
      <c r="AG372" s="15" t="str">
        <f>IF(OR(AF372="",AF372="ERRO_CHAVE"),"",IFERROR(MATCH(AF372,'quitado Despesa'!$V$1:$V$12,0),""))</f>
        <v/>
      </c>
      <c r="AH372" s="15" t="str">
        <f t="shared" si="2"/>
        <v/>
      </c>
      <c r="AI372" s="17" t="str">
        <f>IF(AG372="","",INDEX('quitado Despesa'!$G$1:$G$12,AG372))</f>
        <v/>
      </c>
      <c r="AJ372" s="17" t="str">
        <f t="shared" si="3"/>
        <v/>
      </c>
    </row>
    <row r="373" spans="31:36">
      <c r="AE373" s="15" t="str">
        <f t="shared" si="0"/>
        <v/>
      </c>
      <c r="AF373" s="15" t="str">
        <f t="shared" si="1"/>
        <v/>
      </c>
      <c r="AG373" s="15" t="str">
        <f>IF(OR(AF373="",AF373="ERRO_CHAVE"),"",IFERROR(MATCH(AF373,'quitado Despesa'!$V$1:$V$12,0),""))</f>
        <v/>
      </c>
      <c r="AH373" s="15" t="str">
        <f t="shared" si="2"/>
        <v/>
      </c>
      <c r="AI373" s="17" t="str">
        <f>IF(AG373="","",INDEX('quitado Despesa'!$G$1:$G$12,AG373))</f>
        <v/>
      </c>
      <c r="AJ373" s="17" t="str">
        <f t="shared" si="3"/>
        <v/>
      </c>
    </row>
    <row r="374" spans="31:36">
      <c r="AE374" s="15" t="str">
        <f t="shared" si="0"/>
        <v/>
      </c>
      <c r="AF374" s="15" t="str">
        <f t="shared" si="1"/>
        <v/>
      </c>
      <c r="AG374" s="15" t="str">
        <f>IF(OR(AF374="",AF374="ERRO_CHAVE"),"",IFERROR(MATCH(AF374,'quitado Despesa'!$V$1:$V$12,0),""))</f>
        <v/>
      </c>
      <c r="AH374" s="15" t="str">
        <f t="shared" si="2"/>
        <v/>
      </c>
      <c r="AI374" s="17" t="str">
        <f>IF(AG374="","",INDEX('quitado Despesa'!$G$1:$G$12,AG374))</f>
        <v/>
      </c>
      <c r="AJ374" s="17" t="str">
        <f t="shared" si="3"/>
        <v/>
      </c>
    </row>
    <row r="375" spans="31:36">
      <c r="AE375" s="15" t="str">
        <f t="shared" si="0"/>
        <v/>
      </c>
      <c r="AF375" s="15" t="str">
        <f t="shared" si="1"/>
        <v/>
      </c>
      <c r="AG375" s="15" t="str">
        <f>IF(OR(AF375="",AF375="ERRO_CHAVE"),"",IFERROR(MATCH(AF375,'quitado Despesa'!$V$1:$V$12,0),""))</f>
        <v/>
      </c>
      <c r="AH375" s="15" t="str">
        <f t="shared" si="2"/>
        <v/>
      </c>
      <c r="AI375" s="17" t="str">
        <f>IF(AG375="","",INDEX('quitado Despesa'!$G$1:$G$12,AG375))</f>
        <v/>
      </c>
      <c r="AJ375" s="17" t="str">
        <f t="shared" si="3"/>
        <v/>
      </c>
    </row>
    <row r="376" spans="31:36">
      <c r="AE376" s="15" t="str">
        <f t="shared" si="0"/>
        <v/>
      </c>
      <c r="AF376" s="15" t="str">
        <f t="shared" si="1"/>
        <v/>
      </c>
      <c r="AG376" s="15" t="str">
        <f>IF(OR(AF376="",AF376="ERRO_CHAVE"),"",IFERROR(MATCH(AF376,'quitado Despesa'!$V$1:$V$12,0),""))</f>
        <v/>
      </c>
      <c r="AH376" s="15" t="str">
        <f t="shared" si="2"/>
        <v/>
      </c>
      <c r="AI376" s="17" t="str">
        <f>IF(AG376="","",INDEX('quitado Despesa'!$G$1:$G$12,AG376))</f>
        <v/>
      </c>
      <c r="AJ376" s="17" t="str">
        <f t="shared" si="3"/>
        <v/>
      </c>
    </row>
    <row r="377" spans="31:36">
      <c r="AE377" s="15" t="str">
        <f t="shared" si="0"/>
        <v/>
      </c>
      <c r="AF377" s="15" t="str">
        <f t="shared" si="1"/>
        <v/>
      </c>
      <c r="AG377" s="15" t="str">
        <f>IF(OR(AF377="",AF377="ERRO_CHAVE"),"",IFERROR(MATCH(AF377,'quitado Despesa'!$V$1:$V$12,0),""))</f>
        <v/>
      </c>
      <c r="AH377" s="15" t="str">
        <f t="shared" si="2"/>
        <v/>
      </c>
      <c r="AI377" s="17" t="str">
        <f>IF(AG377="","",INDEX('quitado Despesa'!$G$1:$G$12,AG377))</f>
        <v/>
      </c>
      <c r="AJ377" s="17" t="str">
        <f t="shared" si="3"/>
        <v/>
      </c>
    </row>
    <row r="378" spans="31:36">
      <c r="AE378" s="15" t="str">
        <f t="shared" si="0"/>
        <v/>
      </c>
      <c r="AF378" s="15" t="str">
        <f t="shared" si="1"/>
        <v/>
      </c>
      <c r="AG378" s="15" t="str">
        <f>IF(OR(AF378="",AF378="ERRO_CHAVE"),"",IFERROR(MATCH(AF378,'quitado Despesa'!$V$1:$V$12,0),""))</f>
        <v/>
      </c>
      <c r="AH378" s="15" t="str">
        <f t="shared" si="2"/>
        <v/>
      </c>
      <c r="AI378" s="17" t="str">
        <f>IF(AG378="","",INDEX('quitado Despesa'!$G$1:$G$12,AG378))</f>
        <v/>
      </c>
      <c r="AJ378" s="17" t="str">
        <f t="shared" si="3"/>
        <v/>
      </c>
    </row>
    <row r="379" spans="31:36">
      <c r="AE379" s="15" t="str">
        <f t="shared" si="0"/>
        <v/>
      </c>
      <c r="AF379" s="15" t="str">
        <f t="shared" si="1"/>
        <v/>
      </c>
      <c r="AG379" s="15" t="str">
        <f>IF(OR(AF379="",AF379="ERRO_CHAVE"),"",IFERROR(MATCH(AF379,'quitado Despesa'!$V$1:$V$12,0),""))</f>
        <v/>
      </c>
      <c r="AH379" s="15" t="str">
        <f t="shared" si="2"/>
        <v/>
      </c>
      <c r="AI379" s="17" t="str">
        <f>IF(AG379="","",INDEX('quitado Despesa'!$G$1:$G$12,AG379))</f>
        <v/>
      </c>
      <c r="AJ379" s="17" t="str">
        <f t="shared" si="3"/>
        <v/>
      </c>
    </row>
    <row r="380" spans="31:36">
      <c r="AE380" s="15" t="str">
        <f t="shared" si="0"/>
        <v/>
      </c>
      <c r="AF380" s="15" t="str">
        <f t="shared" si="1"/>
        <v/>
      </c>
      <c r="AG380" s="15" t="str">
        <f>IF(OR(AF380="",AF380="ERRO_CHAVE"),"",IFERROR(MATCH(AF380,'quitado Despesa'!$V$1:$V$12,0),""))</f>
        <v/>
      </c>
      <c r="AH380" s="15" t="str">
        <f t="shared" si="2"/>
        <v/>
      </c>
      <c r="AI380" s="17" t="str">
        <f>IF(AG380="","",INDEX('quitado Despesa'!$G$1:$G$12,AG380))</f>
        <v/>
      </c>
      <c r="AJ380" s="17" t="str">
        <f t="shared" si="3"/>
        <v/>
      </c>
    </row>
    <row r="381" spans="31:36">
      <c r="AE381" s="15" t="str">
        <f t="shared" si="0"/>
        <v/>
      </c>
      <c r="AF381" s="15" t="str">
        <f t="shared" si="1"/>
        <v/>
      </c>
      <c r="AG381" s="15" t="str">
        <f>IF(OR(AF381="",AF381="ERRO_CHAVE"),"",IFERROR(MATCH(AF381,'quitado Despesa'!$V$1:$V$12,0),""))</f>
        <v/>
      </c>
      <c r="AH381" s="15" t="str">
        <f t="shared" si="2"/>
        <v/>
      </c>
      <c r="AI381" s="17" t="str">
        <f>IF(AG381="","",INDEX('quitado Despesa'!$G$1:$G$12,AG381))</f>
        <v/>
      </c>
      <c r="AJ381" s="17" t="str">
        <f t="shared" si="3"/>
        <v/>
      </c>
    </row>
    <row r="382" spans="31:36">
      <c r="AE382" s="15" t="str">
        <f t="shared" si="0"/>
        <v/>
      </c>
      <c r="AF382" s="15" t="str">
        <f t="shared" si="1"/>
        <v/>
      </c>
      <c r="AG382" s="15" t="str">
        <f>IF(OR(AF382="",AF382="ERRO_CHAVE"),"",IFERROR(MATCH(AF382,'quitado Despesa'!$V$1:$V$12,0),""))</f>
        <v/>
      </c>
      <c r="AH382" s="15" t="str">
        <f t="shared" si="2"/>
        <v/>
      </c>
      <c r="AI382" s="17" t="str">
        <f>IF(AG382="","",INDEX('quitado Despesa'!$G$1:$G$12,AG382))</f>
        <v/>
      </c>
      <c r="AJ382" s="17" t="str">
        <f t="shared" si="3"/>
        <v/>
      </c>
    </row>
    <row r="383" spans="31:36">
      <c r="AE383" s="15" t="str">
        <f t="shared" si="0"/>
        <v/>
      </c>
      <c r="AF383" s="15" t="str">
        <f t="shared" si="1"/>
        <v/>
      </c>
      <c r="AG383" s="15" t="str">
        <f>IF(OR(AF383="",AF383="ERRO_CHAVE"),"",IFERROR(MATCH(AF383,'quitado Despesa'!$V$1:$V$12,0),""))</f>
        <v/>
      </c>
      <c r="AH383" s="15" t="str">
        <f t="shared" si="2"/>
        <v/>
      </c>
      <c r="AI383" s="17" t="str">
        <f>IF(AG383="","",INDEX('quitado Despesa'!$G$1:$G$12,AG383))</f>
        <v/>
      </c>
      <c r="AJ383" s="17" t="str">
        <f t="shared" si="3"/>
        <v/>
      </c>
    </row>
    <row r="384" spans="31:36">
      <c r="AE384" s="15" t="str">
        <f t="shared" si="0"/>
        <v/>
      </c>
      <c r="AF384" s="15" t="str">
        <f t="shared" si="1"/>
        <v/>
      </c>
      <c r="AG384" s="15" t="str">
        <f>IF(OR(AF384="",AF384="ERRO_CHAVE"),"",IFERROR(MATCH(AF384,'quitado Despesa'!$V$1:$V$12,0),""))</f>
        <v/>
      </c>
      <c r="AH384" s="15" t="str">
        <f t="shared" si="2"/>
        <v/>
      </c>
      <c r="AI384" s="17" t="str">
        <f>IF(AG384="","",INDEX('quitado Despesa'!$G$1:$G$12,AG384))</f>
        <v/>
      </c>
      <c r="AJ384" s="17" t="str">
        <f t="shared" si="3"/>
        <v/>
      </c>
    </row>
    <row r="385" spans="31:36">
      <c r="AE385" s="15" t="str">
        <f t="shared" si="0"/>
        <v/>
      </c>
      <c r="AF385" s="15" t="str">
        <f t="shared" si="1"/>
        <v/>
      </c>
      <c r="AG385" s="15" t="str">
        <f>IF(OR(AF385="",AF385="ERRO_CHAVE"),"",IFERROR(MATCH(AF385,'quitado Despesa'!$V$1:$V$12,0),""))</f>
        <v/>
      </c>
      <c r="AH385" s="15" t="str">
        <f t="shared" si="2"/>
        <v/>
      </c>
      <c r="AI385" s="17" t="str">
        <f>IF(AG385="","",INDEX('quitado Despesa'!$G$1:$G$12,AG385))</f>
        <v/>
      </c>
      <c r="AJ385" s="17" t="str">
        <f t="shared" si="3"/>
        <v/>
      </c>
    </row>
    <row r="386" spans="31:36">
      <c r="AE386" s="15" t="str">
        <f t="shared" si="0"/>
        <v/>
      </c>
      <c r="AF386" s="15" t="str">
        <f t="shared" si="1"/>
        <v/>
      </c>
      <c r="AG386" s="15" t="str">
        <f>IF(OR(AF386="",AF386="ERRO_CHAVE"),"",IFERROR(MATCH(AF386,'quitado Despesa'!$V$1:$V$12,0),""))</f>
        <v/>
      </c>
      <c r="AH386" s="15" t="str">
        <f t="shared" si="2"/>
        <v/>
      </c>
      <c r="AI386" s="17" t="str">
        <f>IF(AG386="","",INDEX('quitado Despesa'!$G$1:$G$12,AG386))</f>
        <v/>
      </c>
      <c r="AJ386" s="17" t="str">
        <f t="shared" si="3"/>
        <v/>
      </c>
    </row>
    <row r="387" spans="31:36">
      <c r="AE387" s="15" t="str">
        <f t="shared" si="0"/>
        <v/>
      </c>
      <c r="AF387" s="15" t="str">
        <f t="shared" si="1"/>
        <v/>
      </c>
      <c r="AG387" s="15" t="str">
        <f>IF(OR(AF387="",AF387="ERRO_CHAVE"),"",IFERROR(MATCH(AF387,'quitado Despesa'!$V$1:$V$12,0),""))</f>
        <v/>
      </c>
      <c r="AH387" s="15" t="str">
        <f t="shared" si="2"/>
        <v/>
      </c>
      <c r="AI387" s="17" t="str">
        <f>IF(AG387="","",INDEX('quitado Despesa'!$G$1:$G$12,AG387))</f>
        <v/>
      </c>
      <c r="AJ387" s="17" t="str">
        <f t="shared" si="3"/>
        <v/>
      </c>
    </row>
    <row r="388" spans="31:36">
      <c r="AE388" s="15" t="str">
        <f t="shared" si="0"/>
        <v/>
      </c>
      <c r="AF388" s="15" t="str">
        <f t="shared" si="1"/>
        <v/>
      </c>
      <c r="AG388" s="15" t="str">
        <f>IF(OR(AF388="",AF388="ERRO_CHAVE"),"",IFERROR(MATCH(AF388,'quitado Despesa'!$V$1:$V$12,0),""))</f>
        <v/>
      </c>
      <c r="AH388" s="15" t="str">
        <f t="shared" si="2"/>
        <v/>
      </c>
      <c r="AI388" s="17" t="str">
        <f>IF(AG388="","",INDEX('quitado Despesa'!$G$1:$G$12,AG388))</f>
        <v/>
      </c>
      <c r="AJ388" s="17" t="str">
        <f t="shared" si="3"/>
        <v/>
      </c>
    </row>
    <row r="389" spans="31:36">
      <c r="AE389" s="15" t="str">
        <f t="shared" si="0"/>
        <v/>
      </c>
      <c r="AF389" s="15" t="str">
        <f t="shared" si="1"/>
        <v/>
      </c>
      <c r="AG389" s="15" t="str">
        <f>IF(OR(AF389="",AF389="ERRO_CHAVE"),"",IFERROR(MATCH(AF389,'quitado Despesa'!$V$1:$V$12,0),""))</f>
        <v/>
      </c>
      <c r="AH389" s="15" t="str">
        <f t="shared" si="2"/>
        <v/>
      </c>
      <c r="AI389" s="17" t="str">
        <f>IF(AG389="","",INDEX('quitado Despesa'!$G$1:$G$12,AG389))</f>
        <v/>
      </c>
      <c r="AJ389" s="17" t="str">
        <f t="shared" si="3"/>
        <v/>
      </c>
    </row>
    <row r="390" spans="31:36">
      <c r="AE390" s="15" t="str">
        <f t="shared" si="0"/>
        <v/>
      </c>
      <c r="AF390" s="15" t="str">
        <f t="shared" si="1"/>
        <v/>
      </c>
      <c r="AG390" s="15" t="str">
        <f>IF(OR(AF390="",AF390="ERRO_CHAVE"),"",IFERROR(MATCH(AF390,'quitado Despesa'!$V$1:$V$12,0),""))</f>
        <v/>
      </c>
      <c r="AH390" s="15" t="str">
        <f t="shared" si="2"/>
        <v/>
      </c>
      <c r="AI390" s="17" t="str">
        <f>IF(AG390="","",INDEX('quitado Despesa'!$G$1:$G$12,AG390))</f>
        <v/>
      </c>
      <c r="AJ390" s="17" t="str">
        <f t="shared" si="3"/>
        <v/>
      </c>
    </row>
    <row r="391" spans="31:36">
      <c r="AE391" s="15" t="str">
        <f t="shared" si="0"/>
        <v/>
      </c>
      <c r="AF391" s="15" t="str">
        <f t="shared" si="1"/>
        <v/>
      </c>
      <c r="AG391" s="15" t="str">
        <f>IF(OR(AF391="",AF391="ERRO_CHAVE"),"",IFERROR(MATCH(AF391,'quitado Despesa'!$V$1:$V$12,0),""))</f>
        <v/>
      </c>
      <c r="AH391" s="15" t="str">
        <f t="shared" si="2"/>
        <v/>
      </c>
      <c r="AI391" s="17" t="str">
        <f>IF(AG391="","",INDEX('quitado Despesa'!$G$1:$G$12,AG391))</f>
        <v/>
      </c>
      <c r="AJ391" s="17" t="str">
        <f t="shared" si="3"/>
        <v/>
      </c>
    </row>
    <row r="392" spans="31:36">
      <c r="AE392" s="15" t="str">
        <f t="shared" si="0"/>
        <v/>
      </c>
      <c r="AF392" s="15" t="str">
        <f t="shared" si="1"/>
        <v/>
      </c>
      <c r="AG392" s="15" t="str">
        <f>IF(OR(AF392="",AF392="ERRO_CHAVE"),"",IFERROR(MATCH(AF392,'quitado Despesa'!$V$1:$V$12,0),""))</f>
        <v/>
      </c>
      <c r="AH392" s="15" t="str">
        <f t="shared" si="2"/>
        <v/>
      </c>
      <c r="AI392" s="17" t="str">
        <f>IF(AG392="","",INDEX('quitado Despesa'!$G$1:$G$12,AG392))</f>
        <v/>
      </c>
      <c r="AJ392" s="17" t="str">
        <f t="shared" si="3"/>
        <v/>
      </c>
    </row>
    <row r="393" spans="31:36">
      <c r="AE393" s="15" t="str">
        <f t="shared" si="0"/>
        <v/>
      </c>
      <c r="AF393" s="15" t="str">
        <f t="shared" si="1"/>
        <v/>
      </c>
      <c r="AG393" s="15" t="str">
        <f>IF(OR(AF393="",AF393="ERRO_CHAVE"),"",IFERROR(MATCH(AF393,'quitado Despesa'!$V$1:$V$12,0),""))</f>
        <v/>
      </c>
      <c r="AH393" s="15" t="str">
        <f t="shared" si="2"/>
        <v/>
      </c>
      <c r="AI393" s="17" t="str">
        <f>IF(AG393="","",INDEX('quitado Despesa'!$G$1:$G$12,AG393))</f>
        <v/>
      </c>
      <c r="AJ393" s="17" t="str">
        <f t="shared" si="3"/>
        <v/>
      </c>
    </row>
    <row r="394" spans="31:36">
      <c r="AE394" s="15" t="str">
        <f t="shared" si="0"/>
        <v/>
      </c>
      <c r="AF394" s="15" t="str">
        <f t="shared" si="1"/>
        <v/>
      </c>
      <c r="AG394" s="15" t="str">
        <f>IF(OR(AF394="",AF394="ERRO_CHAVE"),"",IFERROR(MATCH(AF394,'quitado Despesa'!$V$1:$V$12,0),""))</f>
        <v/>
      </c>
      <c r="AH394" s="15" t="str">
        <f t="shared" si="2"/>
        <v/>
      </c>
      <c r="AI394" s="17" t="str">
        <f>IF(AG394="","",INDEX('quitado Despesa'!$G$1:$G$12,AG394))</f>
        <v/>
      </c>
      <c r="AJ394" s="17" t="str">
        <f t="shared" si="3"/>
        <v/>
      </c>
    </row>
    <row r="395" spans="31:36">
      <c r="AE395" s="15" t="str">
        <f t="shared" si="0"/>
        <v/>
      </c>
      <c r="AF395" s="15" t="str">
        <f t="shared" si="1"/>
        <v/>
      </c>
      <c r="AG395" s="15" t="str">
        <f>IF(OR(AF395="",AF395="ERRO_CHAVE"),"",IFERROR(MATCH(AF395,'quitado Despesa'!$V$1:$V$12,0),""))</f>
        <v/>
      </c>
      <c r="AH395" s="15" t="str">
        <f t="shared" si="2"/>
        <v/>
      </c>
      <c r="AI395" s="17" t="str">
        <f>IF(AG395="","",INDEX('quitado Despesa'!$G$1:$G$12,AG395))</f>
        <v/>
      </c>
      <c r="AJ395" s="17" t="str">
        <f t="shared" si="3"/>
        <v/>
      </c>
    </row>
    <row r="396" spans="31:36">
      <c r="AE396" s="15" t="str">
        <f t="shared" si="0"/>
        <v/>
      </c>
      <c r="AF396" s="15" t="str">
        <f t="shared" si="1"/>
        <v/>
      </c>
      <c r="AG396" s="15" t="str">
        <f>IF(OR(AF396="",AF396="ERRO_CHAVE"),"",IFERROR(MATCH(AF396,'quitado Despesa'!$V$1:$V$12,0),""))</f>
        <v/>
      </c>
      <c r="AH396" s="15" t="str">
        <f t="shared" si="2"/>
        <v/>
      </c>
      <c r="AI396" s="17" t="str">
        <f>IF(AG396="","",INDEX('quitado Despesa'!$G$1:$G$12,AG396))</f>
        <v/>
      </c>
      <c r="AJ396" s="17" t="str">
        <f t="shared" si="3"/>
        <v/>
      </c>
    </row>
    <row r="397" spans="31:36">
      <c r="AE397" s="15" t="str">
        <f t="shared" si="0"/>
        <v/>
      </c>
      <c r="AF397" s="15" t="str">
        <f t="shared" si="1"/>
        <v/>
      </c>
      <c r="AG397" s="15" t="str">
        <f>IF(OR(AF397="",AF397="ERRO_CHAVE"),"",IFERROR(MATCH(AF397,'quitado Despesa'!$V$1:$V$12,0),""))</f>
        <v/>
      </c>
      <c r="AH397" s="15" t="str">
        <f t="shared" si="2"/>
        <v/>
      </c>
      <c r="AI397" s="17" t="str">
        <f>IF(AG397="","",INDEX('quitado Despesa'!$G$1:$G$12,AG397))</f>
        <v/>
      </c>
      <c r="AJ397" s="17" t="str">
        <f t="shared" si="3"/>
        <v/>
      </c>
    </row>
    <row r="398" spans="31:36">
      <c r="AE398" s="15" t="str">
        <f t="shared" si="0"/>
        <v/>
      </c>
      <c r="AF398" s="15" t="str">
        <f t="shared" si="1"/>
        <v/>
      </c>
      <c r="AG398" s="15" t="str">
        <f>IF(OR(AF398="",AF398="ERRO_CHAVE"),"",IFERROR(MATCH(AF398,'quitado Despesa'!$V$1:$V$12,0),""))</f>
        <v/>
      </c>
      <c r="AH398" s="15" t="str">
        <f t="shared" si="2"/>
        <v/>
      </c>
      <c r="AI398" s="17" t="str">
        <f>IF(AG398="","",INDEX('quitado Despesa'!$G$1:$G$12,AG398))</f>
        <v/>
      </c>
      <c r="AJ398" s="17" t="str">
        <f t="shared" si="3"/>
        <v/>
      </c>
    </row>
    <row r="399" spans="31:36">
      <c r="AE399" s="15" t="str">
        <f t="shared" si="0"/>
        <v/>
      </c>
      <c r="AF399" s="15" t="str">
        <f t="shared" si="1"/>
        <v/>
      </c>
      <c r="AG399" s="15" t="str">
        <f>IF(OR(AF399="",AF399="ERRO_CHAVE"),"",IFERROR(MATCH(AF399,'quitado Despesa'!$V$1:$V$12,0),""))</f>
        <v/>
      </c>
      <c r="AH399" s="15" t="str">
        <f t="shared" si="2"/>
        <v/>
      </c>
      <c r="AI399" s="17" t="str">
        <f>IF(AG399="","",INDEX('quitado Despesa'!$G$1:$G$12,AG399))</f>
        <v/>
      </c>
      <c r="AJ399" s="17" t="str">
        <f t="shared" si="3"/>
        <v/>
      </c>
    </row>
    <row r="400" spans="31:36">
      <c r="AE400" s="15" t="str">
        <f t="shared" si="0"/>
        <v/>
      </c>
      <c r="AF400" s="15" t="str">
        <f t="shared" si="1"/>
        <v/>
      </c>
      <c r="AG400" s="15" t="str">
        <f>IF(OR(AF400="",AF400="ERRO_CHAVE"),"",IFERROR(MATCH(AF400,'quitado Despesa'!$V$1:$V$12,0),""))</f>
        <v/>
      </c>
      <c r="AH400" s="15" t="str">
        <f t="shared" si="2"/>
        <v/>
      </c>
      <c r="AI400" s="17" t="str">
        <f>IF(AG400="","",INDEX('quitado Despesa'!$G$1:$G$12,AG400))</f>
        <v/>
      </c>
      <c r="AJ400" s="17" t="str">
        <f t="shared" si="3"/>
        <v/>
      </c>
    </row>
    <row r="401" spans="31:36">
      <c r="AE401" s="15" t="str">
        <f t="shared" si="0"/>
        <v/>
      </c>
      <c r="AF401" s="15" t="str">
        <f t="shared" si="1"/>
        <v/>
      </c>
      <c r="AG401" s="15" t="str">
        <f>IF(OR(AF401="",AF401="ERRO_CHAVE"),"",IFERROR(MATCH(AF401,'quitado Despesa'!$V$1:$V$12,0),""))</f>
        <v/>
      </c>
      <c r="AH401" s="15" t="str">
        <f t="shared" si="2"/>
        <v/>
      </c>
      <c r="AI401" s="17" t="str">
        <f>IF(AG401="","",INDEX('quitado Despesa'!$G$1:$G$12,AG401))</f>
        <v/>
      </c>
      <c r="AJ401" s="17" t="str">
        <f t="shared" si="3"/>
        <v/>
      </c>
    </row>
    <row r="402" spans="31:36">
      <c r="AE402" s="15" t="str">
        <f t="shared" si="0"/>
        <v/>
      </c>
      <c r="AF402" s="15" t="str">
        <f t="shared" si="1"/>
        <v/>
      </c>
      <c r="AG402" s="15" t="str">
        <f>IF(OR(AF402="",AF402="ERRO_CHAVE"),"",IFERROR(MATCH(AF402,'quitado Despesa'!$V$1:$V$12,0),""))</f>
        <v/>
      </c>
      <c r="AH402" s="15" t="str">
        <f t="shared" si="2"/>
        <v/>
      </c>
      <c r="AI402" s="17" t="str">
        <f>IF(AG402="","",INDEX('quitado Despesa'!$G$1:$G$12,AG402))</f>
        <v/>
      </c>
      <c r="AJ402" s="17" t="str">
        <f t="shared" si="3"/>
        <v/>
      </c>
    </row>
    <row r="403" spans="31:36">
      <c r="AE403" s="15" t="str">
        <f t="shared" si="0"/>
        <v/>
      </c>
      <c r="AF403" s="15" t="str">
        <f t="shared" si="1"/>
        <v/>
      </c>
      <c r="AG403" s="15" t="str">
        <f>IF(OR(AF403="",AF403="ERRO_CHAVE"),"",IFERROR(MATCH(AF403,'quitado Despesa'!$V$1:$V$12,0),""))</f>
        <v/>
      </c>
      <c r="AH403" s="15" t="str">
        <f t="shared" si="2"/>
        <v/>
      </c>
      <c r="AI403" s="17" t="str">
        <f>IF(AG403="","",INDEX('quitado Despesa'!$G$1:$G$12,AG403))</f>
        <v/>
      </c>
      <c r="AJ403" s="17" t="str">
        <f t="shared" si="3"/>
        <v/>
      </c>
    </row>
    <row r="404" spans="31:36">
      <c r="AE404" s="15" t="str">
        <f t="shared" si="0"/>
        <v/>
      </c>
      <c r="AF404" s="15" t="str">
        <f t="shared" si="1"/>
        <v/>
      </c>
      <c r="AG404" s="15" t="str">
        <f>IF(OR(AF404="",AF404="ERRO_CHAVE"),"",IFERROR(MATCH(AF404,'quitado Despesa'!$V$1:$V$12,0),""))</f>
        <v/>
      </c>
      <c r="AH404" s="15" t="str">
        <f t="shared" si="2"/>
        <v/>
      </c>
      <c r="AI404" s="17" t="str">
        <f>IF(AG404="","",INDEX('quitado Despesa'!$G$1:$G$12,AG404))</f>
        <v/>
      </c>
      <c r="AJ404" s="17" t="str">
        <f t="shared" si="3"/>
        <v/>
      </c>
    </row>
    <row r="405" spans="31:36">
      <c r="AE405" s="15" t="str">
        <f t="shared" si="0"/>
        <v/>
      </c>
      <c r="AF405" s="15" t="str">
        <f t="shared" si="1"/>
        <v/>
      </c>
      <c r="AG405" s="15" t="str">
        <f>IF(OR(AF405="",AF405="ERRO_CHAVE"),"",IFERROR(MATCH(AF405,'quitado Despesa'!$V$1:$V$12,0),""))</f>
        <v/>
      </c>
      <c r="AH405" s="15" t="str">
        <f t="shared" si="2"/>
        <v/>
      </c>
      <c r="AI405" s="17" t="str">
        <f>IF(AG405="","",INDEX('quitado Despesa'!$G$1:$G$12,AG405))</f>
        <v/>
      </c>
      <c r="AJ405" s="17" t="str">
        <f t="shared" si="3"/>
        <v/>
      </c>
    </row>
    <row r="406" spans="31:36">
      <c r="AE406" s="15" t="str">
        <f t="shared" si="0"/>
        <v/>
      </c>
      <c r="AF406" s="15" t="str">
        <f t="shared" si="1"/>
        <v/>
      </c>
      <c r="AG406" s="15" t="str">
        <f>IF(OR(AF406="",AF406="ERRO_CHAVE"),"",IFERROR(MATCH(AF406,'quitado Despesa'!$V$1:$V$12,0),""))</f>
        <v/>
      </c>
      <c r="AH406" s="15" t="str">
        <f t="shared" si="2"/>
        <v/>
      </c>
      <c r="AI406" s="17" t="str">
        <f>IF(AG406="","",INDEX('quitado Despesa'!$G$1:$G$12,AG406))</f>
        <v/>
      </c>
      <c r="AJ406" s="17" t="str">
        <f t="shared" si="3"/>
        <v/>
      </c>
    </row>
    <row r="407" spans="31:36">
      <c r="AE407" s="15" t="str">
        <f t="shared" si="0"/>
        <v/>
      </c>
      <c r="AF407" s="15" t="str">
        <f t="shared" si="1"/>
        <v/>
      </c>
      <c r="AG407" s="15" t="str">
        <f>IF(OR(AF407="",AF407="ERRO_CHAVE"),"",IFERROR(MATCH(AF407,'quitado Despesa'!$V$1:$V$12,0),""))</f>
        <v/>
      </c>
      <c r="AH407" s="15" t="str">
        <f t="shared" si="2"/>
        <v/>
      </c>
      <c r="AI407" s="17" t="str">
        <f>IF(AG407="","",INDEX('quitado Despesa'!$G$1:$G$12,AG407))</f>
        <v/>
      </c>
      <c r="AJ407" s="17" t="str">
        <f t="shared" si="3"/>
        <v/>
      </c>
    </row>
    <row r="408" spans="31:36">
      <c r="AE408" s="15" t="str">
        <f t="shared" si="0"/>
        <v/>
      </c>
      <c r="AF408" s="15" t="str">
        <f t="shared" si="1"/>
        <v/>
      </c>
      <c r="AG408" s="15" t="str">
        <f>IF(OR(AF408="",AF408="ERRO_CHAVE"),"",IFERROR(MATCH(AF408,'quitado Despesa'!$V$1:$V$12,0),""))</f>
        <v/>
      </c>
      <c r="AH408" s="15" t="str">
        <f t="shared" si="2"/>
        <v/>
      </c>
      <c r="AI408" s="17" t="str">
        <f>IF(AG408="","",INDEX('quitado Despesa'!$G$1:$G$12,AG408))</f>
        <v/>
      </c>
      <c r="AJ408" s="17" t="str">
        <f t="shared" si="3"/>
        <v/>
      </c>
    </row>
    <row r="409" spans="31:36">
      <c r="AE409" s="15" t="str">
        <f t="shared" si="0"/>
        <v/>
      </c>
      <c r="AF409" s="15" t="str">
        <f t="shared" si="1"/>
        <v/>
      </c>
      <c r="AG409" s="15" t="str">
        <f>IF(OR(AF409="",AF409="ERRO_CHAVE"),"",IFERROR(MATCH(AF409,'quitado Despesa'!$V$1:$V$12,0),""))</f>
        <v/>
      </c>
      <c r="AH409" s="15" t="str">
        <f t="shared" si="2"/>
        <v/>
      </c>
      <c r="AI409" s="17" t="str">
        <f>IF(AG409="","",INDEX('quitado Despesa'!$G$1:$G$12,AG409))</f>
        <v/>
      </c>
      <c r="AJ409" s="17" t="str">
        <f t="shared" si="3"/>
        <v/>
      </c>
    </row>
    <row r="410" spans="31:36">
      <c r="AE410" s="15" t="str">
        <f t="shared" si="0"/>
        <v/>
      </c>
      <c r="AF410" s="15" t="str">
        <f t="shared" si="1"/>
        <v/>
      </c>
      <c r="AG410" s="15" t="str">
        <f>IF(OR(AF410="",AF410="ERRO_CHAVE"),"",IFERROR(MATCH(AF410,'quitado Despesa'!$V$1:$V$12,0),""))</f>
        <v/>
      </c>
      <c r="AH410" s="15" t="str">
        <f t="shared" si="2"/>
        <v/>
      </c>
      <c r="AI410" s="17" t="str">
        <f>IF(AG410="","",INDEX('quitado Despesa'!$G$1:$G$12,AG410))</f>
        <v/>
      </c>
      <c r="AJ410" s="17" t="str">
        <f t="shared" si="3"/>
        <v/>
      </c>
    </row>
    <row r="411" spans="31:36">
      <c r="AE411" s="15" t="str">
        <f t="shared" si="0"/>
        <v/>
      </c>
      <c r="AF411" s="15" t="str">
        <f t="shared" si="1"/>
        <v/>
      </c>
      <c r="AG411" s="15" t="str">
        <f>IF(OR(AF411="",AF411="ERRO_CHAVE"),"",IFERROR(MATCH(AF411,'quitado Despesa'!$V$1:$V$12,0),""))</f>
        <v/>
      </c>
      <c r="AH411" s="15" t="str">
        <f t="shared" si="2"/>
        <v/>
      </c>
      <c r="AI411" s="17" t="str">
        <f>IF(AG411="","",INDEX('quitado Despesa'!$G$1:$G$12,AG411))</f>
        <v/>
      </c>
      <c r="AJ411" s="17" t="str">
        <f t="shared" si="3"/>
        <v/>
      </c>
    </row>
    <row r="412" spans="31:36">
      <c r="AE412" s="15" t="str">
        <f t="shared" si="0"/>
        <v/>
      </c>
      <c r="AF412" s="15" t="str">
        <f t="shared" si="1"/>
        <v/>
      </c>
      <c r="AG412" s="15" t="str">
        <f>IF(OR(AF412="",AF412="ERRO_CHAVE"),"",IFERROR(MATCH(AF412,'quitado Despesa'!$V$1:$V$12,0),""))</f>
        <v/>
      </c>
      <c r="AH412" s="15" t="str">
        <f t="shared" si="2"/>
        <v/>
      </c>
      <c r="AI412" s="17" t="str">
        <f>IF(AG412="","",INDEX('quitado Despesa'!$G$1:$G$12,AG412))</f>
        <v/>
      </c>
      <c r="AJ412" s="17" t="str">
        <f t="shared" si="3"/>
        <v/>
      </c>
    </row>
    <row r="413" spans="31:36">
      <c r="AE413" s="15" t="str">
        <f t="shared" si="0"/>
        <v/>
      </c>
      <c r="AF413" s="15" t="str">
        <f t="shared" si="1"/>
        <v/>
      </c>
      <c r="AG413" s="15" t="str">
        <f>IF(OR(AF413="",AF413="ERRO_CHAVE"),"",IFERROR(MATCH(AF413,'quitado Despesa'!$V$1:$V$12,0),""))</f>
        <v/>
      </c>
      <c r="AH413" s="15" t="str">
        <f t="shared" si="2"/>
        <v/>
      </c>
      <c r="AI413" s="17" t="str">
        <f>IF(AG413="","",INDEX('quitado Despesa'!$G$1:$G$12,AG413))</f>
        <v/>
      </c>
      <c r="AJ413" s="17" t="str">
        <f t="shared" si="3"/>
        <v/>
      </c>
    </row>
    <row r="414" spans="31:36">
      <c r="AE414" s="15" t="str">
        <f t="shared" si="0"/>
        <v/>
      </c>
      <c r="AF414" s="15" t="str">
        <f t="shared" si="1"/>
        <v/>
      </c>
      <c r="AG414" s="15" t="str">
        <f>IF(OR(AF414="",AF414="ERRO_CHAVE"),"",IFERROR(MATCH(AF414,'quitado Despesa'!$V$1:$V$12,0),""))</f>
        <v/>
      </c>
      <c r="AH414" s="15" t="str">
        <f t="shared" si="2"/>
        <v/>
      </c>
      <c r="AI414" s="17" t="str">
        <f>IF(AG414="","",INDEX('quitado Despesa'!$G$1:$G$12,AG414))</f>
        <v/>
      </c>
      <c r="AJ414" s="17" t="str">
        <f t="shared" si="3"/>
        <v/>
      </c>
    </row>
    <row r="415" spans="31:36">
      <c r="AE415" s="15" t="str">
        <f t="shared" si="0"/>
        <v/>
      </c>
      <c r="AF415" s="15" t="str">
        <f t="shared" si="1"/>
        <v/>
      </c>
      <c r="AG415" s="15" t="str">
        <f>IF(OR(AF415="",AF415="ERRO_CHAVE"),"",IFERROR(MATCH(AF415,'quitado Despesa'!$V$1:$V$12,0),""))</f>
        <v/>
      </c>
      <c r="AH415" s="15" t="str">
        <f t="shared" si="2"/>
        <v/>
      </c>
      <c r="AI415" s="17" t="str">
        <f>IF(AG415="","",INDEX('quitado Despesa'!$G$1:$G$12,AG415))</f>
        <v/>
      </c>
      <c r="AJ415" s="17" t="str">
        <f t="shared" si="3"/>
        <v/>
      </c>
    </row>
    <row r="416" spans="31:36">
      <c r="AE416" s="15" t="str">
        <f t="shared" si="0"/>
        <v/>
      </c>
      <c r="AF416" s="15" t="str">
        <f t="shared" si="1"/>
        <v/>
      </c>
      <c r="AG416" s="15" t="str">
        <f>IF(OR(AF416="",AF416="ERRO_CHAVE"),"",IFERROR(MATCH(AF416,'quitado Despesa'!$V$1:$V$12,0),""))</f>
        <v/>
      </c>
      <c r="AH416" s="15" t="str">
        <f t="shared" si="2"/>
        <v/>
      </c>
      <c r="AI416" s="17" t="str">
        <f>IF(AG416="","",INDEX('quitado Despesa'!$G$1:$G$12,AG416))</f>
        <v/>
      </c>
      <c r="AJ416" s="17" t="str">
        <f t="shared" si="3"/>
        <v/>
      </c>
    </row>
    <row r="417" spans="31:36">
      <c r="AE417" s="15" t="str">
        <f t="shared" si="0"/>
        <v/>
      </c>
      <c r="AF417" s="15" t="str">
        <f t="shared" si="1"/>
        <v/>
      </c>
      <c r="AG417" s="15" t="str">
        <f>IF(OR(AF417="",AF417="ERRO_CHAVE"),"",IFERROR(MATCH(AF417,'quitado Despesa'!$V$1:$V$12,0),""))</f>
        <v/>
      </c>
      <c r="AH417" s="15" t="str">
        <f t="shared" si="2"/>
        <v/>
      </c>
      <c r="AI417" s="17" t="str">
        <f>IF(AG417="","",INDEX('quitado Despesa'!$G$1:$G$12,AG417))</f>
        <v/>
      </c>
      <c r="AJ417" s="17" t="str">
        <f t="shared" si="3"/>
        <v/>
      </c>
    </row>
    <row r="418" spans="31:36">
      <c r="AE418" s="15" t="str">
        <f t="shared" si="0"/>
        <v/>
      </c>
      <c r="AF418" s="15" t="str">
        <f t="shared" si="1"/>
        <v/>
      </c>
      <c r="AG418" s="15" t="str">
        <f>IF(OR(AF418="",AF418="ERRO_CHAVE"),"",IFERROR(MATCH(AF418,'quitado Despesa'!$V$1:$V$12,0),""))</f>
        <v/>
      </c>
      <c r="AH418" s="15" t="str">
        <f t="shared" si="2"/>
        <v/>
      </c>
      <c r="AI418" s="17" t="str">
        <f>IF(AG418="","",INDEX('quitado Despesa'!$G$1:$G$12,AG418))</f>
        <v/>
      </c>
      <c r="AJ418" s="17" t="str">
        <f t="shared" si="3"/>
        <v/>
      </c>
    </row>
    <row r="419" spans="31:36">
      <c r="AE419" s="15" t="str">
        <f t="shared" si="0"/>
        <v/>
      </c>
      <c r="AF419" s="15" t="str">
        <f t="shared" si="1"/>
        <v/>
      </c>
      <c r="AG419" s="15" t="str">
        <f>IF(OR(AF419="",AF419="ERRO_CHAVE"),"",IFERROR(MATCH(AF419,'quitado Despesa'!$V$1:$V$12,0),""))</f>
        <v/>
      </c>
      <c r="AH419" s="15" t="str">
        <f t="shared" si="2"/>
        <v/>
      </c>
      <c r="AI419" s="17" t="str">
        <f>IF(AG419="","",INDEX('quitado Despesa'!$G$1:$G$12,AG419))</f>
        <v/>
      </c>
      <c r="AJ419" s="17" t="str">
        <f t="shared" si="3"/>
        <v/>
      </c>
    </row>
    <row r="420" spans="31:36">
      <c r="AE420" s="15" t="str">
        <f t="shared" si="0"/>
        <v/>
      </c>
      <c r="AF420" s="15" t="str">
        <f t="shared" si="1"/>
        <v/>
      </c>
      <c r="AG420" s="15" t="str">
        <f>IF(OR(AF420="",AF420="ERRO_CHAVE"),"",IFERROR(MATCH(AF420,'quitado Despesa'!$V$1:$V$12,0),""))</f>
        <v/>
      </c>
      <c r="AH420" s="15" t="str">
        <f t="shared" si="2"/>
        <v/>
      </c>
      <c r="AI420" s="17" t="str">
        <f>IF(AG420="","",INDEX('quitado Despesa'!$G$1:$G$12,AG420))</f>
        <v/>
      </c>
      <c r="AJ420" s="17" t="str">
        <f t="shared" si="3"/>
        <v/>
      </c>
    </row>
    <row r="421" spans="31:36">
      <c r="AE421" s="15" t="str">
        <f t="shared" si="0"/>
        <v/>
      </c>
      <c r="AF421" s="15" t="str">
        <f t="shared" si="1"/>
        <v/>
      </c>
      <c r="AG421" s="15" t="str">
        <f>IF(OR(AF421="",AF421="ERRO_CHAVE"),"",IFERROR(MATCH(AF421,'quitado Despesa'!$V$1:$V$12,0),""))</f>
        <v/>
      </c>
      <c r="AH421" s="15" t="str">
        <f t="shared" si="2"/>
        <v/>
      </c>
      <c r="AI421" s="17" t="str">
        <f>IF(AG421="","",INDEX('quitado Despesa'!$G$1:$G$12,AG421))</f>
        <v/>
      </c>
      <c r="AJ421" s="17" t="str">
        <f t="shared" si="3"/>
        <v/>
      </c>
    </row>
    <row r="422" spans="31:36">
      <c r="AE422" s="15" t="str">
        <f t="shared" si="0"/>
        <v/>
      </c>
      <c r="AF422" s="15" t="str">
        <f t="shared" si="1"/>
        <v/>
      </c>
      <c r="AG422" s="15" t="str">
        <f>IF(OR(AF422="",AF422="ERRO_CHAVE"),"",IFERROR(MATCH(AF422,'quitado Despesa'!$V$1:$V$12,0),""))</f>
        <v/>
      </c>
      <c r="AH422" s="15" t="str">
        <f t="shared" si="2"/>
        <v/>
      </c>
      <c r="AI422" s="17" t="str">
        <f>IF(AG422="","",INDEX('quitado Despesa'!$G$1:$G$12,AG422))</f>
        <v/>
      </c>
      <c r="AJ422" s="17" t="str">
        <f t="shared" si="3"/>
        <v/>
      </c>
    </row>
    <row r="423" spans="31:36">
      <c r="AE423" s="15" t="str">
        <f t="shared" si="0"/>
        <v/>
      </c>
      <c r="AF423" s="15" t="str">
        <f t="shared" si="1"/>
        <v/>
      </c>
      <c r="AG423" s="15" t="str">
        <f>IF(OR(AF423="",AF423="ERRO_CHAVE"),"",IFERROR(MATCH(AF423,'quitado Despesa'!$V$1:$V$12,0),""))</f>
        <v/>
      </c>
      <c r="AH423" s="15" t="str">
        <f t="shared" si="2"/>
        <v/>
      </c>
      <c r="AI423" s="17" t="str">
        <f>IF(AG423="","",INDEX('quitado Despesa'!$G$1:$G$12,AG423))</f>
        <v/>
      </c>
      <c r="AJ423" s="17" t="str">
        <f t="shared" si="3"/>
        <v/>
      </c>
    </row>
    <row r="424" spans="31:36">
      <c r="AE424" s="15" t="str">
        <f t="shared" si="0"/>
        <v/>
      </c>
      <c r="AF424" s="15" t="str">
        <f t="shared" si="1"/>
        <v/>
      </c>
      <c r="AG424" s="15" t="str">
        <f>IF(OR(AF424="",AF424="ERRO_CHAVE"),"",IFERROR(MATCH(AF424,'quitado Despesa'!$V$1:$V$12,0),""))</f>
        <v/>
      </c>
      <c r="AH424" s="15" t="str">
        <f t="shared" si="2"/>
        <v/>
      </c>
      <c r="AI424" s="17" t="str">
        <f>IF(AG424="","",INDEX('quitado Despesa'!$G$1:$G$12,AG424))</f>
        <v/>
      </c>
      <c r="AJ424" s="17" t="str">
        <f t="shared" si="3"/>
        <v/>
      </c>
    </row>
    <row r="425" spans="31:36">
      <c r="AE425" s="15" t="str">
        <f t="shared" si="0"/>
        <v/>
      </c>
      <c r="AF425" s="15" t="str">
        <f t="shared" si="1"/>
        <v/>
      </c>
      <c r="AG425" s="15" t="str">
        <f>IF(OR(AF425="",AF425="ERRO_CHAVE"),"",IFERROR(MATCH(AF425,'quitado Despesa'!$V$1:$V$12,0),""))</f>
        <v/>
      </c>
      <c r="AH425" s="15" t="str">
        <f t="shared" si="2"/>
        <v/>
      </c>
      <c r="AI425" s="17" t="str">
        <f>IF(AG425="","",INDEX('quitado Despesa'!$G$1:$G$12,AG425))</f>
        <v/>
      </c>
      <c r="AJ425" s="17" t="str">
        <f t="shared" si="3"/>
        <v/>
      </c>
    </row>
    <row r="426" spans="31:36">
      <c r="AE426" s="15" t="str">
        <f t="shared" si="0"/>
        <v/>
      </c>
      <c r="AF426" s="15" t="str">
        <f t="shared" si="1"/>
        <v/>
      </c>
      <c r="AG426" s="15" t="str">
        <f>IF(OR(AF426="",AF426="ERRO_CHAVE"),"",IFERROR(MATCH(AF426,'quitado Despesa'!$V$1:$V$12,0),""))</f>
        <v/>
      </c>
      <c r="AH426" s="15" t="str">
        <f t="shared" si="2"/>
        <v/>
      </c>
      <c r="AI426" s="17" t="str">
        <f>IF(AG426="","",INDEX('quitado Despesa'!$G$1:$G$12,AG426))</f>
        <v/>
      </c>
      <c r="AJ426" s="17" t="str">
        <f t="shared" si="3"/>
        <v/>
      </c>
    </row>
    <row r="427" spans="31:36">
      <c r="AE427" s="15" t="str">
        <f t="shared" si="0"/>
        <v/>
      </c>
      <c r="AF427" s="15" t="str">
        <f t="shared" si="1"/>
        <v/>
      </c>
      <c r="AG427" s="15" t="str">
        <f>IF(OR(AF427="",AF427="ERRO_CHAVE"),"",IFERROR(MATCH(AF427,'quitado Despesa'!$V$1:$V$12,0),""))</f>
        <v/>
      </c>
      <c r="AH427" s="15" t="str">
        <f t="shared" si="2"/>
        <v/>
      </c>
      <c r="AI427" s="17" t="str">
        <f>IF(AG427="","",INDEX('quitado Despesa'!$G$1:$G$12,AG427))</f>
        <v/>
      </c>
      <c r="AJ427" s="17" t="str">
        <f t="shared" si="3"/>
        <v/>
      </c>
    </row>
    <row r="428" spans="31:36">
      <c r="AE428" s="15" t="str">
        <f t="shared" si="0"/>
        <v/>
      </c>
      <c r="AF428" s="15" t="str">
        <f t="shared" si="1"/>
        <v/>
      </c>
      <c r="AG428" s="15" t="str">
        <f>IF(OR(AF428="",AF428="ERRO_CHAVE"),"",IFERROR(MATCH(AF428,'quitado Despesa'!$V$1:$V$12,0),""))</f>
        <v/>
      </c>
      <c r="AH428" s="15" t="str">
        <f t="shared" si="2"/>
        <v/>
      </c>
      <c r="AI428" s="17" t="str">
        <f>IF(AG428="","",INDEX('quitado Despesa'!$G$1:$G$12,AG428))</f>
        <v/>
      </c>
      <c r="AJ428" s="17" t="str">
        <f t="shared" si="3"/>
        <v/>
      </c>
    </row>
    <row r="429" spans="31:36">
      <c r="AE429" s="15" t="str">
        <f t="shared" si="0"/>
        <v/>
      </c>
      <c r="AF429" s="15" t="str">
        <f t="shared" si="1"/>
        <v/>
      </c>
      <c r="AG429" s="15" t="str">
        <f>IF(OR(AF429="",AF429="ERRO_CHAVE"),"",IFERROR(MATCH(AF429,'quitado Despesa'!$V$1:$V$12,0),""))</f>
        <v/>
      </c>
      <c r="AH429" s="15" t="str">
        <f t="shared" si="2"/>
        <v/>
      </c>
      <c r="AI429" s="17" t="str">
        <f>IF(AG429="","",INDEX('quitado Despesa'!$G$1:$G$12,AG429))</f>
        <v/>
      </c>
      <c r="AJ429" s="17" t="str">
        <f t="shared" si="3"/>
        <v/>
      </c>
    </row>
    <row r="430" spans="31:36">
      <c r="AE430" s="15" t="str">
        <f t="shared" si="0"/>
        <v/>
      </c>
      <c r="AF430" s="15" t="str">
        <f t="shared" si="1"/>
        <v/>
      </c>
      <c r="AG430" s="15" t="str">
        <f>IF(OR(AF430="",AF430="ERRO_CHAVE"),"",IFERROR(MATCH(AF430,'quitado Despesa'!$V$1:$V$12,0),""))</f>
        <v/>
      </c>
      <c r="AH430" s="15" t="str">
        <f t="shared" si="2"/>
        <v/>
      </c>
      <c r="AI430" s="17" t="str">
        <f>IF(AG430="","",INDEX('quitado Despesa'!$G$1:$G$12,AG430))</f>
        <v/>
      </c>
      <c r="AJ430" s="17" t="str">
        <f t="shared" si="3"/>
        <v/>
      </c>
    </row>
    <row r="431" spans="31:36">
      <c r="AE431" s="15" t="str">
        <f t="shared" si="0"/>
        <v/>
      </c>
      <c r="AF431" s="15" t="str">
        <f t="shared" si="1"/>
        <v/>
      </c>
      <c r="AG431" s="15" t="str">
        <f>IF(OR(AF431="",AF431="ERRO_CHAVE"),"",IFERROR(MATCH(AF431,'quitado Despesa'!$V$1:$V$12,0),""))</f>
        <v/>
      </c>
      <c r="AH431" s="15" t="str">
        <f t="shared" si="2"/>
        <v/>
      </c>
      <c r="AI431" s="17" t="str">
        <f>IF(AG431="","",INDEX('quitado Despesa'!$G$1:$G$12,AG431))</f>
        <v/>
      </c>
      <c r="AJ431" s="17" t="str">
        <f t="shared" si="3"/>
        <v/>
      </c>
    </row>
    <row r="432" spans="31:36">
      <c r="AE432" s="15" t="str">
        <f t="shared" si="0"/>
        <v/>
      </c>
      <c r="AF432" s="15" t="str">
        <f t="shared" si="1"/>
        <v/>
      </c>
      <c r="AG432" s="15" t="str">
        <f>IF(OR(AF432="",AF432="ERRO_CHAVE"),"",IFERROR(MATCH(AF432,'quitado Despesa'!$V$1:$V$12,0),""))</f>
        <v/>
      </c>
      <c r="AH432" s="15" t="str">
        <f t="shared" si="2"/>
        <v/>
      </c>
      <c r="AI432" s="17" t="str">
        <f>IF(AG432="","",INDEX('quitado Despesa'!$G$1:$G$12,AG432))</f>
        <v/>
      </c>
      <c r="AJ432" s="17" t="str">
        <f t="shared" si="3"/>
        <v/>
      </c>
    </row>
    <row r="433" spans="31:36">
      <c r="AE433" s="15" t="str">
        <f t="shared" si="0"/>
        <v/>
      </c>
      <c r="AF433" s="15" t="str">
        <f t="shared" si="1"/>
        <v/>
      </c>
      <c r="AG433" s="15" t="str">
        <f>IF(OR(AF433="",AF433="ERRO_CHAVE"),"",IFERROR(MATCH(AF433,'quitado Despesa'!$V$1:$V$12,0),""))</f>
        <v/>
      </c>
      <c r="AH433" s="15" t="str">
        <f t="shared" si="2"/>
        <v/>
      </c>
      <c r="AI433" s="17" t="str">
        <f>IF(AG433="","",INDEX('quitado Despesa'!$G$1:$G$12,AG433))</f>
        <v/>
      </c>
      <c r="AJ433" s="17" t="str">
        <f t="shared" si="3"/>
        <v/>
      </c>
    </row>
    <row r="434" spans="31:36">
      <c r="AE434" s="15" t="str">
        <f t="shared" si="0"/>
        <v/>
      </c>
      <c r="AF434" s="15" t="str">
        <f t="shared" si="1"/>
        <v/>
      </c>
      <c r="AG434" s="15" t="str">
        <f>IF(OR(AF434="",AF434="ERRO_CHAVE"),"",IFERROR(MATCH(AF434,'quitado Despesa'!$V$1:$V$12,0),""))</f>
        <v/>
      </c>
      <c r="AH434" s="15" t="str">
        <f t="shared" si="2"/>
        <v/>
      </c>
      <c r="AI434" s="17" t="str">
        <f>IF(AG434="","",INDEX('quitado Despesa'!$G$1:$G$12,AG434))</f>
        <v/>
      </c>
      <c r="AJ434" s="17" t="str">
        <f t="shared" si="3"/>
        <v/>
      </c>
    </row>
    <row r="435" spans="31:36">
      <c r="AE435" s="15" t="str">
        <f t="shared" si="0"/>
        <v/>
      </c>
      <c r="AF435" s="15" t="str">
        <f t="shared" si="1"/>
        <v/>
      </c>
      <c r="AG435" s="15" t="str">
        <f>IF(OR(AF435="",AF435="ERRO_CHAVE"),"",IFERROR(MATCH(AF435,'quitado Despesa'!$V$1:$V$12,0),""))</f>
        <v/>
      </c>
      <c r="AH435" s="15" t="str">
        <f t="shared" si="2"/>
        <v/>
      </c>
      <c r="AI435" s="17" t="str">
        <f>IF(AG435="","",INDEX('quitado Despesa'!$G$1:$G$12,AG435))</f>
        <v/>
      </c>
      <c r="AJ435" s="17" t="str">
        <f t="shared" si="3"/>
        <v/>
      </c>
    </row>
    <row r="436" spans="31:36">
      <c r="AE436" s="15" t="str">
        <f t="shared" si="0"/>
        <v/>
      </c>
      <c r="AF436" s="15" t="str">
        <f t="shared" si="1"/>
        <v/>
      </c>
      <c r="AG436" s="15" t="str">
        <f>IF(OR(AF436="",AF436="ERRO_CHAVE"),"",IFERROR(MATCH(AF436,'quitado Despesa'!$V$1:$V$12,0),""))</f>
        <v/>
      </c>
      <c r="AH436" s="15" t="str">
        <f t="shared" si="2"/>
        <v/>
      </c>
      <c r="AI436" s="17" t="str">
        <f>IF(AG436="","",INDEX('quitado Despesa'!$G$1:$G$12,AG436))</f>
        <v/>
      </c>
      <c r="AJ436" s="17" t="str">
        <f t="shared" si="3"/>
        <v/>
      </c>
    </row>
    <row r="437" spans="31:36">
      <c r="AE437" s="15" t="str">
        <f t="shared" si="0"/>
        <v/>
      </c>
      <c r="AF437" s="15" t="str">
        <f t="shared" si="1"/>
        <v/>
      </c>
      <c r="AG437" s="15" t="str">
        <f>IF(OR(AF437="",AF437="ERRO_CHAVE"),"",IFERROR(MATCH(AF437,'quitado Despesa'!$V$1:$V$12,0),""))</f>
        <v/>
      </c>
      <c r="AH437" s="15" t="str">
        <f t="shared" si="2"/>
        <v/>
      </c>
      <c r="AI437" s="17" t="str">
        <f>IF(AG437="","",INDEX('quitado Despesa'!$G$1:$G$12,AG437))</f>
        <v/>
      </c>
      <c r="AJ437" s="17" t="str">
        <f t="shared" si="3"/>
        <v/>
      </c>
    </row>
    <row r="438" spans="31:36">
      <c r="AE438" s="15" t="str">
        <f t="shared" si="0"/>
        <v/>
      </c>
      <c r="AF438" s="15" t="str">
        <f t="shared" si="1"/>
        <v/>
      </c>
      <c r="AG438" s="15" t="str">
        <f>IF(OR(AF438="",AF438="ERRO_CHAVE"),"",IFERROR(MATCH(AF438,'quitado Despesa'!$V$1:$V$12,0),""))</f>
        <v/>
      </c>
      <c r="AH438" s="15" t="str">
        <f t="shared" si="2"/>
        <v/>
      </c>
      <c r="AI438" s="17" t="str">
        <f>IF(AG438="","",INDEX('quitado Despesa'!$G$1:$G$12,AG438))</f>
        <v/>
      </c>
      <c r="AJ438" s="17" t="str">
        <f t="shared" si="3"/>
        <v/>
      </c>
    </row>
    <row r="439" spans="31:36">
      <c r="AE439" s="15" t="str">
        <f t="shared" si="0"/>
        <v/>
      </c>
      <c r="AF439" s="15" t="str">
        <f t="shared" si="1"/>
        <v/>
      </c>
      <c r="AG439" s="15" t="str">
        <f>IF(OR(AF439="",AF439="ERRO_CHAVE"),"",IFERROR(MATCH(AF439,'quitado Despesa'!$V$1:$V$12,0),""))</f>
        <v/>
      </c>
      <c r="AH439" s="15" t="str">
        <f t="shared" si="2"/>
        <v/>
      </c>
      <c r="AI439" s="17" t="str">
        <f>IF(AG439="","",INDEX('quitado Despesa'!$G$1:$G$12,AG439))</f>
        <v/>
      </c>
      <c r="AJ439" s="17" t="str">
        <f t="shared" si="3"/>
        <v/>
      </c>
    </row>
    <row r="440" spans="31:36">
      <c r="AE440" s="15" t="str">
        <f t="shared" si="0"/>
        <v/>
      </c>
      <c r="AF440" s="15" t="str">
        <f t="shared" si="1"/>
        <v/>
      </c>
      <c r="AG440" s="15" t="str">
        <f>IF(OR(AF440="",AF440="ERRO_CHAVE"),"",IFERROR(MATCH(AF440,'quitado Despesa'!$V$1:$V$12,0),""))</f>
        <v/>
      </c>
      <c r="AH440" s="15" t="str">
        <f t="shared" si="2"/>
        <v/>
      </c>
      <c r="AI440" s="17" t="str">
        <f>IF(AG440="","",INDEX('quitado Despesa'!$G$1:$G$12,AG440))</f>
        <v/>
      </c>
      <c r="AJ440" s="17" t="str">
        <f t="shared" si="3"/>
        <v/>
      </c>
    </row>
    <row r="441" spans="31:36">
      <c r="AE441" s="15" t="str">
        <f t="shared" si="0"/>
        <v/>
      </c>
      <c r="AF441" s="15" t="str">
        <f t="shared" si="1"/>
        <v/>
      </c>
      <c r="AG441" s="15" t="str">
        <f>IF(OR(AF441="",AF441="ERRO_CHAVE"),"",IFERROR(MATCH(AF441,'quitado Despesa'!$V$1:$V$12,0),""))</f>
        <v/>
      </c>
      <c r="AH441" s="15" t="str">
        <f t="shared" si="2"/>
        <v/>
      </c>
      <c r="AI441" s="17" t="str">
        <f>IF(AG441="","",INDEX('quitado Despesa'!$G$1:$G$12,AG441))</f>
        <v/>
      </c>
      <c r="AJ441" s="17" t="str">
        <f t="shared" si="3"/>
        <v/>
      </c>
    </row>
    <row r="442" spans="31:36">
      <c r="AE442" s="15" t="str">
        <f t="shared" si="0"/>
        <v/>
      </c>
      <c r="AF442" s="15" t="str">
        <f t="shared" si="1"/>
        <v/>
      </c>
      <c r="AG442" s="15" t="str">
        <f>IF(OR(AF442="",AF442="ERRO_CHAVE"),"",IFERROR(MATCH(AF442,'quitado Despesa'!$V$1:$V$12,0),""))</f>
        <v/>
      </c>
      <c r="AH442" s="15" t="str">
        <f t="shared" si="2"/>
        <v/>
      </c>
      <c r="AI442" s="17" t="str">
        <f>IF(AG442="","",INDEX('quitado Despesa'!$G$1:$G$12,AG442))</f>
        <v/>
      </c>
      <c r="AJ442" s="17" t="str">
        <f t="shared" si="3"/>
        <v/>
      </c>
    </row>
    <row r="443" spans="31:36">
      <c r="AE443" s="15" t="str">
        <f t="shared" si="0"/>
        <v/>
      </c>
      <c r="AF443" s="15" t="str">
        <f t="shared" si="1"/>
        <v/>
      </c>
      <c r="AG443" s="15" t="str">
        <f>IF(OR(AF443="",AF443="ERRO_CHAVE"),"",IFERROR(MATCH(AF443,'quitado Despesa'!$V$1:$V$12,0),""))</f>
        <v/>
      </c>
      <c r="AH443" s="15" t="str">
        <f t="shared" si="2"/>
        <v/>
      </c>
      <c r="AI443" s="17" t="str">
        <f>IF(AG443="","",INDEX('quitado Despesa'!$G$1:$G$12,AG443))</f>
        <v/>
      </c>
      <c r="AJ443" s="17" t="str">
        <f t="shared" si="3"/>
        <v/>
      </c>
    </row>
    <row r="444" spans="31:36">
      <c r="AE444" s="15" t="str">
        <f t="shared" si="0"/>
        <v/>
      </c>
      <c r="AF444" s="15" t="str">
        <f t="shared" si="1"/>
        <v/>
      </c>
      <c r="AG444" s="15" t="str">
        <f>IF(OR(AF444="",AF444="ERRO_CHAVE"),"",IFERROR(MATCH(AF444,'quitado Despesa'!$V$1:$V$12,0),""))</f>
        <v/>
      </c>
      <c r="AH444" s="15" t="str">
        <f t="shared" si="2"/>
        <v/>
      </c>
      <c r="AI444" s="17" t="str">
        <f>IF(AG444="","",INDEX('quitado Despesa'!$G$1:$G$12,AG444))</f>
        <v/>
      </c>
      <c r="AJ444" s="17" t="str">
        <f t="shared" si="3"/>
        <v/>
      </c>
    </row>
    <row r="445" spans="31:36">
      <c r="AE445" s="15" t="str">
        <f t="shared" si="0"/>
        <v/>
      </c>
      <c r="AF445" s="15" t="str">
        <f t="shared" si="1"/>
        <v/>
      </c>
      <c r="AG445" s="15" t="str">
        <f>IF(OR(AF445="",AF445="ERRO_CHAVE"),"",IFERROR(MATCH(AF445,'quitado Despesa'!$V$1:$V$12,0),""))</f>
        <v/>
      </c>
      <c r="AH445" s="15" t="str">
        <f t="shared" si="2"/>
        <v/>
      </c>
      <c r="AI445" s="17" t="str">
        <f>IF(AG445="","",INDEX('quitado Despesa'!$G$1:$G$12,AG445))</f>
        <v/>
      </c>
      <c r="AJ445" s="17" t="str">
        <f t="shared" si="3"/>
        <v/>
      </c>
    </row>
    <row r="446" spans="31:36">
      <c r="AE446" s="15" t="str">
        <f t="shared" si="0"/>
        <v/>
      </c>
      <c r="AF446" s="15" t="str">
        <f t="shared" si="1"/>
        <v/>
      </c>
      <c r="AG446" s="15" t="str">
        <f>IF(OR(AF446="",AF446="ERRO_CHAVE"),"",IFERROR(MATCH(AF446,'quitado Despesa'!$V$1:$V$12,0),""))</f>
        <v/>
      </c>
      <c r="AH446" s="15" t="str">
        <f t="shared" si="2"/>
        <v/>
      </c>
      <c r="AI446" s="17" t="str">
        <f>IF(AG446="","",INDEX('quitado Despesa'!$G$1:$G$12,AG446))</f>
        <v/>
      </c>
      <c r="AJ446" s="17" t="str">
        <f t="shared" si="3"/>
        <v/>
      </c>
    </row>
    <row r="447" spans="31:36">
      <c r="AE447" s="15" t="str">
        <f t="shared" si="0"/>
        <v/>
      </c>
      <c r="AF447" s="15" t="str">
        <f t="shared" si="1"/>
        <v/>
      </c>
      <c r="AG447" s="15" t="str">
        <f>IF(OR(AF447="",AF447="ERRO_CHAVE"),"",IFERROR(MATCH(AF447,'quitado Despesa'!$V$1:$V$12,0),""))</f>
        <v/>
      </c>
      <c r="AH447" s="15" t="str">
        <f t="shared" si="2"/>
        <v/>
      </c>
      <c r="AI447" s="17" t="str">
        <f>IF(AG447="","",INDEX('quitado Despesa'!$G$1:$G$12,AG447))</f>
        <v/>
      </c>
      <c r="AJ447" s="17" t="str">
        <f t="shared" si="3"/>
        <v/>
      </c>
    </row>
    <row r="448" spans="31:36">
      <c r="AE448" s="15" t="str">
        <f t="shared" si="0"/>
        <v/>
      </c>
      <c r="AF448" s="15" t="str">
        <f t="shared" si="1"/>
        <v/>
      </c>
      <c r="AG448" s="15" t="str">
        <f>IF(OR(AF448="",AF448="ERRO_CHAVE"),"",IFERROR(MATCH(AF448,'quitado Despesa'!$V$1:$V$12,0),""))</f>
        <v/>
      </c>
      <c r="AH448" s="15" t="str">
        <f t="shared" si="2"/>
        <v/>
      </c>
      <c r="AI448" s="17" t="str">
        <f>IF(AG448="","",INDEX('quitado Despesa'!$G$1:$G$12,AG448))</f>
        <v/>
      </c>
      <c r="AJ448" s="17" t="str">
        <f t="shared" si="3"/>
        <v/>
      </c>
    </row>
    <row r="449" spans="31:36">
      <c r="AE449" s="15" t="str">
        <f t="shared" si="0"/>
        <v/>
      </c>
      <c r="AF449" s="15" t="str">
        <f t="shared" si="1"/>
        <v/>
      </c>
      <c r="AG449" s="15" t="str">
        <f>IF(OR(AF449="",AF449="ERRO_CHAVE"),"",IFERROR(MATCH(AF449,'quitado Despesa'!$V$1:$V$12,0),""))</f>
        <v/>
      </c>
      <c r="AH449" s="15" t="str">
        <f t="shared" si="2"/>
        <v/>
      </c>
      <c r="AI449" s="17" t="str">
        <f>IF(AG449="","",INDEX('quitado Despesa'!$G$1:$G$12,AG449))</f>
        <v/>
      </c>
      <c r="AJ449" s="17" t="str">
        <f t="shared" si="3"/>
        <v/>
      </c>
    </row>
    <row r="450" spans="31:36">
      <c r="AE450" s="15" t="str">
        <f t="shared" si="0"/>
        <v/>
      </c>
      <c r="AF450" s="15" t="str">
        <f t="shared" si="1"/>
        <v/>
      </c>
      <c r="AG450" s="15" t="str">
        <f>IF(OR(AF450="",AF450="ERRO_CHAVE"),"",IFERROR(MATCH(AF450,'quitado Despesa'!$V$1:$V$12,0),""))</f>
        <v/>
      </c>
      <c r="AH450" s="15" t="str">
        <f t="shared" si="2"/>
        <v/>
      </c>
      <c r="AI450" s="17" t="str">
        <f>IF(AG450="","",INDEX('quitado Despesa'!$G$1:$G$12,AG450))</f>
        <v/>
      </c>
      <c r="AJ450" s="17" t="str">
        <f t="shared" si="3"/>
        <v/>
      </c>
    </row>
    <row r="451" spans="31:36">
      <c r="AE451" s="15" t="str">
        <f t="shared" si="0"/>
        <v/>
      </c>
      <c r="AF451" s="15" t="str">
        <f t="shared" si="1"/>
        <v/>
      </c>
      <c r="AG451" s="15" t="str">
        <f>IF(OR(AF451="",AF451="ERRO_CHAVE"),"",IFERROR(MATCH(AF451,'quitado Despesa'!$V$1:$V$12,0),""))</f>
        <v/>
      </c>
      <c r="AH451" s="15" t="str">
        <f t="shared" si="2"/>
        <v/>
      </c>
      <c r="AI451" s="17" t="str">
        <f>IF(AG451="","",INDEX('quitado Despesa'!$G$1:$G$12,AG451))</f>
        <v/>
      </c>
      <c r="AJ451" s="17" t="str">
        <f t="shared" si="3"/>
        <v/>
      </c>
    </row>
    <row r="452" spans="31:36">
      <c r="AE452" s="15" t="str">
        <f t="shared" si="0"/>
        <v/>
      </c>
      <c r="AF452" s="15" t="str">
        <f t="shared" si="1"/>
        <v/>
      </c>
      <c r="AG452" s="15" t="str">
        <f>IF(OR(AF452="",AF452="ERRO_CHAVE"),"",IFERROR(MATCH(AF452,'quitado Despesa'!$V$1:$V$12,0),""))</f>
        <v/>
      </c>
      <c r="AH452" s="15" t="str">
        <f t="shared" si="2"/>
        <v/>
      </c>
      <c r="AI452" s="17" t="str">
        <f>IF(AG452="","",INDEX('quitado Despesa'!$G$1:$G$12,AG452))</f>
        <v/>
      </c>
      <c r="AJ452" s="17" t="str">
        <f t="shared" si="3"/>
        <v/>
      </c>
    </row>
    <row r="453" spans="31:36">
      <c r="AE453" s="15" t="str">
        <f t="shared" si="0"/>
        <v/>
      </c>
      <c r="AF453" s="15" t="str">
        <f t="shared" si="1"/>
        <v/>
      </c>
      <c r="AG453" s="15" t="str">
        <f>IF(OR(AF453="",AF453="ERRO_CHAVE"),"",IFERROR(MATCH(AF453,'quitado Despesa'!$V$1:$V$12,0),""))</f>
        <v/>
      </c>
      <c r="AH453" s="15" t="str">
        <f t="shared" si="2"/>
        <v/>
      </c>
      <c r="AI453" s="17" t="str">
        <f>IF(AG453="","",INDEX('quitado Despesa'!$G$1:$G$12,AG453))</f>
        <v/>
      </c>
      <c r="AJ453" s="17" t="str">
        <f t="shared" si="3"/>
        <v/>
      </c>
    </row>
    <row r="454" spans="31:36">
      <c r="AE454" s="15" t="str">
        <f t="shared" si="0"/>
        <v/>
      </c>
      <c r="AF454" s="15" t="str">
        <f t="shared" si="1"/>
        <v/>
      </c>
      <c r="AG454" s="15" t="str">
        <f>IF(OR(AF454="",AF454="ERRO_CHAVE"),"",IFERROR(MATCH(AF454,'quitado Despesa'!$V$1:$V$12,0),""))</f>
        <v/>
      </c>
      <c r="AH454" s="15" t="str">
        <f t="shared" si="2"/>
        <v/>
      </c>
      <c r="AI454" s="17" t="str">
        <f>IF(AG454="","",INDEX('quitado Despesa'!$G$1:$G$12,AG454))</f>
        <v/>
      </c>
      <c r="AJ454" s="17" t="str">
        <f t="shared" si="3"/>
        <v/>
      </c>
    </row>
    <row r="455" spans="31:36">
      <c r="AE455" s="15" t="str">
        <f t="shared" si="0"/>
        <v/>
      </c>
      <c r="AF455" s="15" t="str">
        <f t="shared" si="1"/>
        <v/>
      </c>
      <c r="AG455" s="15" t="str">
        <f>IF(OR(AF455="",AF455="ERRO_CHAVE"),"",IFERROR(MATCH(AF455,'quitado Despesa'!$V$1:$V$12,0),""))</f>
        <v/>
      </c>
      <c r="AH455" s="15" t="str">
        <f t="shared" si="2"/>
        <v/>
      </c>
      <c r="AI455" s="17" t="str">
        <f>IF(AG455="","",INDEX('quitado Despesa'!$G$1:$G$12,AG455))</f>
        <v/>
      </c>
      <c r="AJ455" s="17" t="str">
        <f t="shared" si="3"/>
        <v/>
      </c>
    </row>
    <row r="456" spans="31:36">
      <c r="AE456" s="15" t="str">
        <f t="shared" si="0"/>
        <v/>
      </c>
      <c r="AF456" s="15" t="str">
        <f t="shared" si="1"/>
        <v/>
      </c>
      <c r="AG456" s="15" t="str">
        <f>IF(OR(AF456="",AF456="ERRO_CHAVE"),"",IFERROR(MATCH(AF456,'quitado Despesa'!$V$1:$V$12,0),""))</f>
        <v/>
      </c>
      <c r="AH456" s="15" t="str">
        <f t="shared" si="2"/>
        <v/>
      </c>
      <c r="AI456" s="17" t="str">
        <f>IF(AG456="","",INDEX('quitado Despesa'!$G$1:$G$12,AG456))</f>
        <v/>
      </c>
      <c r="AJ456" s="17" t="str">
        <f t="shared" si="3"/>
        <v/>
      </c>
    </row>
    <row r="457" spans="31:36">
      <c r="AE457" s="15" t="str">
        <f t="shared" si="0"/>
        <v/>
      </c>
      <c r="AF457" s="15" t="str">
        <f t="shared" si="1"/>
        <v/>
      </c>
      <c r="AG457" s="15" t="str">
        <f>IF(OR(AF457="",AF457="ERRO_CHAVE"),"",IFERROR(MATCH(AF457,'quitado Despesa'!$V$1:$V$12,0),""))</f>
        <v/>
      </c>
      <c r="AH457" s="15" t="str">
        <f t="shared" si="2"/>
        <v/>
      </c>
      <c r="AI457" s="17" t="str">
        <f>IF(AG457="","",INDEX('quitado Despesa'!$G$1:$G$12,AG457))</f>
        <v/>
      </c>
      <c r="AJ457" s="17" t="str">
        <f t="shared" si="3"/>
        <v/>
      </c>
    </row>
    <row r="458" spans="31:36">
      <c r="AE458" s="15" t="str">
        <f t="shared" si="0"/>
        <v/>
      </c>
      <c r="AF458" s="15" t="str">
        <f t="shared" si="1"/>
        <v/>
      </c>
      <c r="AG458" s="15" t="str">
        <f>IF(OR(AF458="",AF458="ERRO_CHAVE"),"",IFERROR(MATCH(AF458,'quitado Despesa'!$V$1:$V$12,0),""))</f>
        <v/>
      </c>
      <c r="AH458" s="15" t="str">
        <f t="shared" si="2"/>
        <v/>
      </c>
      <c r="AI458" s="17" t="str">
        <f>IF(AG458="","",INDEX('quitado Despesa'!$G$1:$G$12,AG458))</f>
        <v/>
      </c>
      <c r="AJ458" s="17" t="str">
        <f t="shared" si="3"/>
        <v/>
      </c>
    </row>
    <row r="459" spans="31:36">
      <c r="AE459" s="15" t="str">
        <f t="shared" si="0"/>
        <v/>
      </c>
      <c r="AF459" s="15" t="str">
        <f t="shared" si="1"/>
        <v/>
      </c>
      <c r="AG459" s="15" t="str">
        <f>IF(OR(AF459="",AF459="ERRO_CHAVE"),"",IFERROR(MATCH(AF459,'quitado Despesa'!$V$1:$V$12,0),""))</f>
        <v/>
      </c>
      <c r="AH459" s="15" t="str">
        <f t="shared" si="2"/>
        <v/>
      </c>
      <c r="AI459" s="17" t="str">
        <f>IF(AG459="","",INDEX('quitado Despesa'!$G$1:$G$12,AG459))</f>
        <v/>
      </c>
      <c r="AJ459" s="17" t="str">
        <f t="shared" si="3"/>
        <v/>
      </c>
    </row>
    <row r="460" spans="31:36">
      <c r="AE460" s="15" t="str">
        <f t="shared" si="0"/>
        <v/>
      </c>
      <c r="AF460" s="15" t="str">
        <f t="shared" si="1"/>
        <v/>
      </c>
      <c r="AG460" s="15" t="str">
        <f>IF(OR(AF460="",AF460="ERRO_CHAVE"),"",IFERROR(MATCH(AF460,'quitado Despesa'!$V$1:$V$12,0),""))</f>
        <v/>
      </c>
      <c r="AH460" s="15" t="str">
        <f t="shared" si="2"/>
        <v/>
      </c>
      <c r="AI460" s="17" t="str">
        <f>IF(AG460="","",INDEX('quitado Despesa'!$G$1:$G$12,AG460))</f>
        <v/>
      </c>
      <c r="AJ460" s="17" t="str">
        <f t="shared" si="3"/>
        <v/>
      </c>
    </row>
    <row r="461" spans="31:36">
      <c r="AE461" s="15" t="str">
        <f t="shared" si="0"/>
        <v/>
      </c>
      <c r="AF461" s="15" t="str">
        <f t="shared" si="1"/>
        <v/>
      </c>
      <c r="AG461" s="15" t="str">
        <f>IF(OR(AF461="",AF461="ERRO_CHAVE"),"",IFERROR(MATCH(AF461,'quitado Despesa'!$V$1:$V$12,0),""))</f>
        <v/>
      </c>
      <c r="AH461" s="15" t="str">
        <f t="shared" si="2"/>
        <v/>
      </c>
      <c r="AI461" s="17" t="str">
        <f>IF(AG461="","",INDEX('quitado Despesa'!$G$1:$G$12,AG461))</f>
        <v/>
      </c>
      <c r="AJ461" s="17" t="str">
        <f t="shared" si="3"/>
        <v/>
      </c>
    </row>
    <row r="462" spans="31:36">
      <c r="AE462" s="15" t="str">
        <f t="shared" si="0"/>
        <v/>
      </c>
      <c r="AF462" s="15" t="str">
        <f t="shared" si="1"/>
        <v/>
      </c>
      <c r="AG462" s="15" t="str">
        <f>IF(OR(AF462="",AF462="ERRO_CHAVE"),"",IFERROR(MATCH(AF462,'quitado Despesa'!$V$1:$V$12,0),""))</f>
        <v/>
      </c>
      <c r="AH462" s="15" t="str">
        <f t="shared" si="2"/>
        <v/>
      </c>
      <c r="AI462" s="17" t="str">
        <f>IF(AG462="","",INDEX('quitado Despesa'!$G$1:$G$12,AG462))</f>
        <v/>
      </c>
      <c r="AJ462" s="17" t="str">
        <f t="shared" si="3"/>
        <v/>
      </c>
    </row>
    <row r="463" spans="31:36">
      <c r="AE463" s="15" t="str">
        <f t="shared" si="0"/>
        <v/>
      </c>
      <c r="AF463" s="15" t="str">
        <f t="shared" si="1"/>
        <v/>
      </c>
      <c r="AG463" s="15" t="str">
        <f>IF(OR(AF463="",AF463="ERRO_CHAVE"),"",IFERROR(MATCH(AF463,'quitado Despesa'!$V$1:$V$12,0),""))</f>
        <v/>
      </c>
      <c r="AH463" s="15" t="str">
        <f t="shared" si="2"/>
        <v/>
      </c>
      <c r="AI463" s="17" t="str">
        <f>IF(AG463="","",INDEX('quitado Despesa'!$G$1:$G$12,AG463))</f>
        <v/>
      </c>
      <c r="AJ463" s="17" t="str">
        <f t="shared" si="3"/>
        <v/>
      </c>
    </row>
    <row r="464" spans="31:36">
      <c r="AE464" s="15" t="str">
        <f t="shared" si="0"/>
        <v/>
      </c>
      <c r="AF464" s="15" t="str">
        <f t="shared" si="1"/>
        <v/>
      </c>
      <c r="AG464" s="15" t="str">
        <f>IF(OR(AF464="",AF464="ERRO_CHAVE"),"",IFERROR(MATCH(AF464,'quitado Despesa'!$V$1:$V$12,0),""))</f>
        <v/>
      </c>
      <c r="AH464" s="15" t="str">
        <f t="shared" si="2"/>
        <v/>
      </c>
      <c r="AI464" s="17" t="str">
        <f>IF(AG464="","",INDEX('quitado Despesa'!$G$1:$G$12,AG464))</f>
        <v/>
      </c>
      <c r="AJ464" s="17" t="str">
        <f t="shared" si="3"/>
        <v/>
      </c>
    </row>
    <row r="465" spans="31:36">
      <c r="AE465" s="15" t="str">
        <f t="shared" si="0"/>
        <v/>
      </c>
      <c r="AF465" s="15" t="str">
        <f t="shared" si="1"/>
        <v/>
      </c>
      <c r="AG465" s="15" t="str">
        <f>IF(OR(AF465="",AF465="ERRO_CHAVE"),"",IFERROR(MATCH(AF465,'quitado Despesa'!$V$1:$V$12,0),""))</f>
        <v/>
      </c>
      <c r="AH465" s="15" t="str">
        <f t="shared" si="2"/>
        <v/>
      </c>
      <c r="AI465" s="17" t="str">
        <f>IF(AG465="","",INDEX('quitado Despesa'!$G$1:$G$12,AG465))</f>
        <v/>
      </c>
      <c r="AJ465" s="17" t="str">
        <f t="shared" si="3"/>
        <v/>
      </c>
    </row>
    <row r="466" spans="31:36">
      <c r="AE466" s="15" t="str">
        <f t="shared" si="0"/>
        <v/>
      </c>
      <c r="AF466" s="15" t="str">
        <f t="shared" si="1"/>
        <v/>
      </c>
      <c r="AG466" s="15" t="str">
        <f>IF(OR(AF466="",AF466="ERRO_CHAVE"),"",IFERROR(MATCH(AF466,'quitado Despesa'!$V$1:$V$12,0),""))</f>
        <v/>
      </c>
      <c r="AH466" s="15" t="str">
        <f t="shared" si="2"/>
        <v/>
      </c>
      <c r="AI466" s="17" t="str">
        <f>IF(AG466="","",INDEX('quitado Despesa'!$G$1:$G$12,AG466))</f>
        <v/>
      </c>
      <c r="AJ466" s="17" t="str">
        <f t="shared" si="3"/>
        <v/>
      </c>
    </row>
    <row r="467" spans="31:36">
      <c r="AE467" s="15" t="str">
        <f t="shared" si="0"/>
        <v/>
      </c>
      <c r="AF467" s="15" t="str">
        <f t="shared" si="1"/>
        <v/>
      </c>
      <c r="AG467" s="15" t="str">
        <f>IF(OR(AF467="",AF467="ERRO_CHAVE"),"",IFERROR(MATCH(AF467,'quitado Despesa'!$V$1:$V$12,0),""))</f>
        <v/>
      </c>
      <c r="AH467" s="15" t="str">
        <f t="shared" si="2"/>
        <v/>
      </c>
      <c r="AI467" s="17" t="str">
        <f>IF(AG467="","",INDEX('quitado Despesa'!$G$1:$G$12,AG467))</f>
        <v/>
      </c>
      <c r="AJ467" s="17" t="str">
        <f t="shared" si="3"/>
        <v/>
      </c>
    </row>
    <row r="468" spans="31:36">
      <c r="AE468" s="15" t="str">
        <f t="shared" si="0"/>
        <v/>
      </c>
      <c r="AF468" s="15" t="str">
        <f t="shared" si="1"/>
        <v/>
      </c>
      <c r="AG468" s="15" t="str">
        <f>IF(OR(AF468="",AF468="ERRO_CHAVE"),"",IFERROR(MATCH(AF468,'quitado Despesa'!$V$1:$V$12,0),""))</f>
        <v/>
      </c>
      <c r="AH468" s="15" t="str">
        <f t="shared" si="2"/>
        <v/>
      </c>
      <c r="AI468" s="17" t="str">
        <f>IF(AG468="","",INDEX('quitado Despesa'!$G$1:$G$12,AG468))</f>
        <v/>
      </c>
      <c r="AJ468" s="17" t="str">
        <f t="shared" si="3"/>
        <v/>
      </c>
    </row>
    <row r="469" spans="31:36">
      <c r="AE469" s="15" t="str">
        <f t="shared" si="0"/>
        <v/>
      </c>
      <c r="AF469" s="15" t="str">
        <f t="shared" si="1"/>
        <v/>
      </c>
      <c r="AG469" s="15" t="str">
        <f>IF(OR(AF469="",AF469="ERRO_CHAVE"),"",IFERROR(MATCH(AF469,'quitado Despesa'!$V$1:$V$12,0),""))</f>
        <v/>
      </c>
      <c r="AH469" s="15" t="str">
        <f t="shared" si="2"/>
        <v/>
      </c>
      <c r="AI469" s="17" t="str">
        <f>IF(AG469="","",INDEX('quitado Despesa'!$G$1:$G$12,AG469))</f>
        <v/>
      </c>
      <c r="AJ469" s="17" t="str">
        <f t="shared" si="3"/>
        <v/>
      </c>
    </row>
    <row r="470" spans="31:36">
      <c r="AE470" s="15" t="str">
        <f t="shared" si="0"/>
        <v/>
      </c>
      <c r="AF470" s="15" t="str">
        <f t="shared" si="1"/>
        <v/>
      </c>
      <c r="AG470" s="15" t="str">
        <f>IF(OR(AF470="",AF470="ERRO_CHAVE"),"",IFERROR(MATCH(AF470,'quitado Despesa'!$V$1:$V$12,0),""))</f>
        <v/>
      </c>
      <c r="AH470" s="15" t="str">
        <f t="shared" si="2"/>
        <v/>
      </c>
      <c r="AI470" s="17" t="str">
        <f>IF(AG470="","",INDEX('quitado Despesa'!$G$1:$G$12,AG470))</f>
        <v/>
      </c>
      <c r="AJ470" s="17" t="str">
        <f t="shared" si="3"/>
        <v/>
      </c>
    </row>
    <row r="471" spans="31:36">
      <c r="AE471" s="15" t="str">
        <f t="shared" si="0"/>
        <v/>
      </c>
      <c r="AF471" s="15" t="str">
        <f t="shared" si="1"/>
        <v/>
      </c>
      <c r="AG471" s="15" t="str">
        <f>IF(OR(AF471="",AF471="ERRO_CHAVE"),"",IFERROR(MATCH(AF471,'quitado Despesa'!$V$1:$V$12,0),""))</f>
        <v/>
      </c>
      <c r="AH471" s="15" t="str">
        <f t="shared" si="2"/>
        <v/>
      </c>
      <c r="AI471" s="17" t="str">
        <f>IF(AG471="","",INDEX('quitado Despesa'!$G$1:$G$12,AG471))</f>
        <v/>
      </c>
      <c r="AJ471" s="17" t="str">
        <f t="shared" si="3"/>
        <v/>
      </c>
    </row>
    <row r="472" spans="31:36">
      <c r="AE472" s="15" t="str">
        <f t="shared" si="0"/>
        <v/>
      </c>
      <c r="AF472" s="15" t="str">
        <f t="shared" si="1"/>
        <v/>
      </c>
      <c r="AG472" s="15" t="str">
        <f>IF(OR(AF472="",AF472="ERRO_CHAVE"),"",IFERROR(MATCH(AF472,'quitado Despesa'!$V$1:$V$12,0),""))</f>
        <v/>
      </c>
      <c r="AH472" s="15" t="str">
        <f t="shared" si="2"/>
        <v/>
      </c>
      <c r="AI472" s="17" t="str">
        <f>IF(AG472="","",INDEX('quitado Despesa'!$G$1:$G$12,AG472))</f>
        <v/>
      </c>
      <c r="AJ472" s="17" t="str">
        <f t="shared" si="3"/>
        <v/>
      </c>
    </row>
    <row r="473" spans="31:36">
      <c r="AE473" s="15" t="str">
        <f t="shared" si="0"/>
        <v/>
      </c>
      <c r="AF473" s="15" t="str">
        <f t="shared" si="1"/>
        <v/>
      </c>
      <c r="AG473" s="15" t="str">
        <f>IF(OR(AF473="",AF473="ERRO_CHAVE"),"",IFERROR(MATCH(AF473,'quitado Despesa'!$V$1:$V$12,0),""))</f>
        <v/>
      </c>
      <c r="AH473" s="15" t="str">
        <f t="shared" si="2"/>
        <v/>
      </c>
      <c r="AI473" s="17" t="str">
        <f>IF(AG473="","",INDEX('quitado Despesa'!$G$1:$G$12,AG473))</f>
        <v/>
      </c>
      <c r="AJ473" s="17" t="str">
        <f t="shared" si="3"/>
        <v/>
      </c>
    </row>
    <row r="474" spans="31:36">
      <c r="AE474" s="15" t="str">
        <f t="shared" si="0"/>
        <v/>
      </c>
      <c r="AF474" s="15" t="str">
        <f t="shared" si="1"/>
        <v/>
      </c>
      <c r="AG474" s="15" t="str">
        <f>IF(OR(AF474="",AF474="ERRO_CHAVE"),"",IFERROR(MATCH(AF474,'quitado Despesa'!$V$1:$V$12,0),""))</f>
        <v/>
      </c>
      <c r="AH474" s="15" t="str">
        <f t="shared" si="2"/>
        <v/>
      </c>
      <c r="AI474" s="17" t="str">
        <f>IF(AG474="","",INDEX('quitado Despesa'!$G$1:$G$12,AG474))</f>
        <v/>
      </c>
      <c r="AJ474" s="17" t="str">
        <f t="shared" si="3"/>
        <v/>
      </c>
    </row>
    <row r="475" spans="31:36">
      <c r="AE475" s="15" t="str">
        <f t="shared" si="0"/>
        <v/>
      </c>
      <c r="AF475" s="15" t="str">
        <f t="shared" si="1"/>
        <v/>
      </c>
      <c r="AG475" s="15" t="str">
        <f>IF(OR(AF475="",AF475="ERRO_CHAVE"),"",IFERROR(MATCH(AF475,'quitado Despesa'!$V$1:$V$12,0),""))</f>
        <v/>
      </c>
      <c r="AH475" s="15" t="str">
        <f t="shared" si="2"/>
        <v/>
      </c>
      <c r="AI475" s="17" t="str">
        <f>IF(AG475="","",INDEX('quitado Despesa'!$G$1:$G$12,AG475))</f>
        <v/>
      </c>
      <c r="AJ475" s="17" t="str">
        <f t="shared" si="3"/>
        <v/>
      </c>
    </row>
    <row r="476" spans="31:36">
      <c r="AE476" s="15" t="str">
        <f t="shared" si="0"/>
        <v/>
      </c>
      <c r="AF476" s="15" t="str">
        <f t="shared" si="1"/>
        <v/>
      </c>
      <c r="AG476" s="15" t="str">
        <f>IF(OR(AF476="",AF476="ERRO_CHAVE"),"",IFERROR(MATCH(AF476,'quitado Despesa'!$V$1:$V$12,0),""))</f>
        <v/>
      </c>
      <c r="AH476" s="15" t="str">
        <f t="shared" si="2"/>
        <v/>
      </c>
      <c r="AI476" s="17" t="str">
        <f>IF(AG476="","",INDEX('quitado Despesa'!$G$1:$G$12,AG476))</f>
        <v/>
      </c>
      <c r="AJ476" s="17" t="str">
        <f t="shared" si="3"/>
        <v/>
      </c>
    </row>
    <row r="477" spans="31:36">
      <c r="AE477" s="15" t="str">
        <f t="shared" si="0"/>
        <v/>
      </c>
      <c r="AF477" s="15" t="str">
        <f t="shared" si="1"/>
        <v/>
      </c>
      <c r="AG477" s="15" t="str">
        <f>IF(OR(AF477="",AF477="ERRO_CHAVE"),"",IFERROR(MATCH(AF477,'quitado Despesa'!$V$1:$V$12,0),""))</f>
        <v/>
      </c>
      <c r="AH477" s="15" t="str">
        <f t="shared" si="2"/>
        <v/>
      </c>
      <c r="AI477" s="17" t="str">
        <f>IF(AG477="","",INDEX('quitado Despesa'!$G$1:$G$12,AG477))</f>
        <v/>
      </c>
      <c r="AJ477" s="17" t="str">
        <f t="shared" si="3"/>
        <v/>
      </c>
    </row>
    <row r="478" spans="31:36">
      <c r="AE478" s="15" t="str">
        <f t="shared" si="0"/>
        <v/>
      </c>
      <c r="AF478" s="15" t="str">
        <f t="shared" si="1"/>
        <v/>
      </c>
      <c r="AG478" s="15" t="str">
        <f>IF(OR(AF478="",AF478="ERRO_CHAVE"),"",IFERROR(MATCH(AF478,'quitado Despesa'!$V$1:$V$12,0),""))</f>
        <v/>
      </c>
      <c r="AH478" s="15" t="str">
        <f t="shared" si="2"/>
        <v/>
      </c>
      <c r="AI478" s="17" t="str">
        <f>IF(AG478="","",INDEX('quitado Despesa'!$G$1:$G$12,AG478))</f>
        <v/>
      </c>
      <c r="AJ478" s="17" t="str">
        <f t="shared" si="3"/>
        <v/>
      </c>
    </row>
    <row r="479" spans="31:36">
      <c r="AE479" s="15" t="str">
        <f t="shared" si="0"/>
        <v/>
      </c>
      <c r="AF479" s="15" t="str">
        <f t="shared" si="1"/>
        <v/>
      </c>
      <c r="AG479" s="15" t="str">
        <f>IF(OR(AF479="",AF479="ERRO_CHAVE"),"",IFERROR(MATCH(AF479,'quitado Despesa'!$V$1:$V$12,0),""))</f>
        <v/>
      </c>
      <c r="AH479" s="15" t="str">
        <f t="shared" si="2"/>
        <v/>
      </c>
      <c r="AI479" s="17" t="str">
        <f>IF(AG479="","",INDEX('quitado Despesa'!$G$1:$G$12,AG479))</f>
        <v/>
      </c>
      <c r="AJ479" s="17" t="str">
        <f t="shared" si="3"/>
        <v/>
      </c>
    </row>
    <row r="480" spans="31:36">
      <c r="AE480" s="15" t="str">
        <f t="shared" si="0"/>
        <v/>
      </c>
      <c r="AF480" s="15" t="str">
        <f t="shared" si="1"/>
        <v/>
      </c>
      <c r="AG480" s="15" t="str">
        <f>IF(OR(AF480="",AF480="ERRO_CHAVE"),"",IFERROR(MATCH(AF480,'quitado Despesa'!$V$1:$V$12,0),""))</f>
        <v/>
      </c>
      <c r="AH480" s="15" t="str">
        <f t="shared" si="2"/>
        <v/>
      </c>
      <c r="AI480" s="17" t="str">
        <f>IF(AG480="","",INDEX('quitado Despesa'!$G$1:$G$12,AG480))</f>
        <v/>
      </c>
      <c r="AJ480" s="17" t="str">
        <f t="shared" si="3"/>
        <v/>
      </c>
    </row>
    <row r="481" spans="31:36">
      <c r="AE481" s="15" t="str">
        <f t="shared" si="0"/>
        <v/>
      </c>
      <c r="AF481" s="15" t="str">
        <f t="shared" si="1"/>
        <v/>
      </c>
      <c r="AG481" s="15" t="str">
        <f>IF(OR(AF481="",AF481="ERRO_CHAVE"),"",IFERROR(MATCH(AF481,'quitado Despesa'!$V$1:$V$12,0),""))</f>
        <v/>
      </c>
      <c r="AH481" s="15" t="str">
        <f t="shared" si="2"/>
        <v/>
      </c>
      <c r="AI481" s="17" t="str">
        <f>IF(AG481="","",INDEX('quitado Despesa'!$G$1:$G$12,AG481))</f>
        <v/>
      </c>
      <c r="AJ481" s="17" t="str">
        <f t="shared" si="3"/>
        <v/>
      </c>
    </row>
    <row r="482" spans="31:36">
      <c r="AE482" s="15" t="str">
        <f t="shared" si="0"/>
        <v/>
      </c>
      <c r="AF482" s="15" t="str">
        <f t="shared" si="1"/>
        <v/>
      </c>
      <c r="AG482" s="15" t="str">
        <f>IF(OR(AF482="",AF482="ERRO_CHAVE"),"",IFERROR(MATCH(AF482,'quitado Despesa'!$V$1:$V$12,0),""))</f>
        <v/>
      </c>
      <c r="AH482" s="15" t="str">
        <f t="shared" si="2"/>
        <v/>
      </c>
      <c r="AI482" s="17" t="str">
        <f>IF(AG482="","",INDEX('quitado Despesa'!$G$1:$G$12,AG482))</f>
        <v/>
      </c>
      <c r="AJ482" s="17" t="str">
        <f t="shared" si="3"/>
        <v/>
      </c>
    </row>
    <row r="483" spans="31:36">
      <c r="AE483" s="15" t="str">
        <f t="shared" si="0"/>
        <v/>
      </c>
      <c r="AF483" s="15" t="str">
        <f t="shared" si="1"/>
        <v/>
      </c>
      <c r="AG483" s="15" t="str">
        <f>IF(OR(AF483="",AF483="ERRO_CHAVE"),"",IFERROR(MATCH(AF483,'quitado Despesa'!$V$1:$V$12,0),""))</f>
        <v/>
      </c>
      <c r="AH483" s="15" t="str">
        <f t="shared" si="2"/>
        <v/>
      </c>
      <c r="AI483" s="17" t="str">
        <f>IF(AG483="","",INDEX('quitado Despesa'!$G$1:$G$12,AG483))</f>
        <v/>
      </c>
      <c r="AJ483" s="17" t="str">
        <f t="shared" si="3"/>
        <v/>
      </c>
    </row>
    <row r="484" spans="31:36">
      <c r="AE484" s="15" t="str">
        <f t="shared" si="0"/>
        <v/>
      </c>
      <c r="AF484" s="15" t="str">
        <f t="shared" si="1"/>
        <v/>
      </c>
      <c r="AG484" s="15" t="str">
        <f>IF(OR(AF484="",AF484="ERRO_CHAVE"),"",IFERROR(MATCH(AF484,'quitado Despesa'!$V$1:$V$12,0),""))</f>
        <v/>
      </c>
      <c r="AH484" s="15" t="str">
        <f t="shared" si="2"/>
        <v/>
      </c>
      <c r="AI484" s="17" t="str">
        <f>IF(AG484="","",INDEX('quitado Despesa'!$G$1:$G$12,AG484))</f>
        <v/>
      </c>
      <c r="AJ484" s="17" t="str">
        <f t="shared" si="3"/>
        <v/>
      </c>
    </row>
    <row r="485" spans="31:36">
      <c r="AE485" s="15" t="str">
        <f t="shared" si="0"/>
        <v/>
      </c>
      <c r="AF485" s="15" t="str">
        <f t="shared" si="1"/>
        <v/>
      </c>
      <c r="AG485" s="15" t="str">
        <f>IF(OR(AF485="",AF485="ERRO_CHAVE"),"",IFERROR(MATCH(AF485,'quitado Despesa'!$V$1:$V$12,0),""))</f>
        <v/>
      </c>
      <c r="AH485" s="15" t="str">
        <f t="shared" si="2"/>
        <v/>
      </c>
      <c r="AI485" s="17" t="str">
        <f>IF(AG485="","",INDEX('quitado Despesa'!$G$1:$G$12,AG485))</f>
        <v/>
      </c>
      <c r="AJ485" s="17" t="str">
        <f t="shared" si="3"/>
        <v/>
      </c>
    </row>
    <row r="486" spans="31:36">
      <c r="AE486" s="15" t="str">
        <f t="shared" si="0"/>
        <v/>
      </c>
      <c r="AF486" s="15" t="str">
        <f t="shared" si="1"/>
        <v/>
      </c>
      <c r="AG486" s="15" t="str">
        <f>IF(OR(AF486="",AF486="ERRO_CHAVE"),"",IFERROR(MATCH(AF486,'quitado Despesa'!$V$1:$V$12,0),""))</f>
        <v/>
      </c>
      <c r="AH486" s="15" t="str">
        <f t="shared" si="2"/>
        <v/>
      </c>
      <c r="AI486" s="17" t="str">
        <f>IF(AG486="","",INDEX('quitado Despesa'!$G$1:$G$12,AG486))</f>
        <v/>
      </c>
      <c r="AJ486" s="17" t="str">
        <f t="shared" si="3"/>
        <v/>
      </c>
    </row>
    <row r="487" spans="31:36">
      <c r="AE487" s="15" t="str">
        <f t="shared" si="0"/>
        <v/>
      </c>
      <c r="AF487" s="15" t="str">
        <f t="shared" si="1"/>
        <v/>
      </c>
      <c r="AG487" s="15" t="str">
        <f>IF(OR(AF487="",AF487="ERRO_CHAVE"),"",IFERROR(MATCH(AF487,'quitado Despesa'!$V$1:$V$12,0),""))</f>
        <v/>
      </c>
      <c r="AH487" s="15" t="str">
        <f t="shared" si="2"/>
        <v/>
      </c>
      <c r="AI487" s="17" t="str">
        <f>IF(AG487="","",INDEX('quitado Despesa'!$G$1:$G$12,AG487))</f>
        <v/>
      </c>
      <c r="AJ487" s="17" t="str">
        <f t="shared" si="3"/>
        <v/>
      </c>
    </row>
    <row r="488" spans="31:36">
      <c r="AE488" s="15" t="str">
        <f t="shared" si="0"/>
        <v/>
      </c>
      <c r="AF488" s="15" t="str">
        <f t="shared" si="1"/>
        <v/>
      </c>
      <c r="AG488" s="15" t="str">
        <f>IF(OR(AF488="",AF488="ERRO_CHAVE"),"",IFERROR(MATCH(AF488,'quitado Despesa'!$V$1:$V$12,0),""))</f>
        <v/>
      </c>
      <c r="AH488" s="15" t="str">
        <f t="shared" si="2"/>
        <v/>
      </c>
      <c r="AI488" s="17" t="str">
        <f>IF(AG488="","",INDEX('quitado Despesa'!$G$1:$G$12,AG488))</f>
        <v/>
      </c>
      <c r="AJ488" s="17" t="str">
        <f t="shared" si="3"/>
        <v/>
      </c>
    </row>
    <row r="489" spans="31:36">
      <c r="AE489" s="15" t="str">
        <f t="shared" si="0"/>
        <v/>
      </c>
      <c r="AF489" s="15" t="str">
        <f t="shared" si="1"/>
        <v/>
      </c>
      <c r="AG489" s="15" t="str">
        <f>IF(OR(AF489="",AF489="ERRO_CHAVE"),"",IFERROR(MATCH(AF489,'quitado Despesa'!$V$1:$V$12,0),""))</f>
        <v/>
      </c>
      <c r="AH489" s="15" t="str">
        <f t="shared" si="2"/>
        <v/>
      </c>
      <c r="AI489" s="17" t="str">
        <f>IF(AG489="","",INDEX('quitado Despesa'!$G$1:$G$12,AG489))</f>
        <v/>
      </c>
      <c r="AJ489" s="17" t="str">
        <f t="shared" si="3"/>
        <v/>
      </c>
    </row>
    <row r="490" spans="31:36">
      <c r="AE490" s="15" t="str">
        <f t="shared" si="0"/>
        <v/>
      </c>
      <c r="AF490" s="15" t="str">
        <f t="shared" si="1"/>
        <v/>
      </c>
      <c r="AG490" s="15" t="str">
        <f>IF(OR(AF490="",AF490="ERRO_CHAVE"),"",IFERROR(MATCH(AF490,'quitado Despesa'!$V$1:$V$12,0),""))</f>
        <v/>
      </c>
      <c r="AH490" s="15" t="str">
        <f t="shared" si="2"/>
        <v/>
      </c>
      <c r="AI490" s="17" t="str">
        <f>IF(AG490="","",INDEX('quitado Despesa'!$G$1:$G$12,AG490))</f>
        <v/>
      </c>
      <c r="AJ490" s="17" t="str">
        <f t="shared" si="3"/>
        <v/>
      </c>
    </row>
    <row r="491" spans="31:36">
      <c r="AE491" s="15" t="str">
        <f t="shared" si="0"/>
        <v/>
      </c>
      <c r="AF491" s="15" t="str">
        <f t="shared" si="1"/>
        <v/>
      </c>
      <c r="AG491" s="15" t="str">
        <f>IF(OR(AF491="",AF491="ERRO_CHAVE"),"",IFERROR(MATCH(AF491,'quitado Despesa'!$V$1:$V$12,0),""))</f>
        <v/>
      </c>
      <c r="AH491" s="15" t="str">
        <f t="shared" si="2"/>
        <v/>
      </c>
      <c r="AI491" s="17" t="str">
        <f>IF(AG491="","",INDEX('quitado Despesa'!$G$1:$G$12,AG491))</f>
        <v/>
      </c>
      <c r="AJ491" s="17" t="str">
        <f t="shared" si="3"/>
        <v/>
      </c>
    </row>
    <row r="492" spans="31:36">
      <c r="AE492" s="15" t="str">
        <f t="shared" si="0"/>
        <v/>
      </c>
      <c r="AF492" s="15" t="str">
        <f t="shared" si="1"/>
        <v/>
      </c>
      <c r="AG492" s="15" t="str">
        <f>IF(OR(AF492="",AF492="ERRO_CHAVE"),"",IFERROR(MATCH(AF492,'quitado Despesa'!$V$1:$V$12,0),""))</f>
        <v/>
      </c>
      <c r="AH492" s="15" t="str">
        <f t="shared" si="2"/>
        <v/>
      </c>
      <c r="AI492" s="17" t="str">
        <f>IF(AG492="","",INDEX('quitado Despesa'!$G$1:$G$12,AG492))</f>
        <v/>
      </c>
      <c r="AJ492" s="17" t="str">
        <f t="shared" si="3"/>
        <v/>
      </c>
    </row>
    <row r="493" spans="31:36">
      <c r="AE493" s="15" t="str">
        <f t="shared" si="0"/>
        <v/>
      </c>
      <c r="AF493" s="15" t="str">
        <f t="shared" si="1"/>
        <v/>
      </c>
      <c r="AG493" s="15" t="str">
        <f>IF(OR(AF493="",AF493="ERRO_CHAVE"),"",IFERROR(MATCH(AF493,'quitado Despesa'!$V$1:$V$12,0),""))</f>
        <v/>
      </c>
      <c r="AH493" s="15" t="str">
        <f t="shared" si="2"/>
        <v/>
      </c>
      <c r="AI493" s="17" t="str">
        <f>IF(AG493="","",INDEX('quitado Despesa'!$G$1:$G$12,AG493))</f>
        <v/>
      </c>
      <c r="AJ493" s="17" t="str">
        <f t="shared" si="3"/>
        <v/>
      </c>
    </row>
    <row r="494" spans="31:36">
      <c r="AE494" s="15" t="str">
        <f t="shared" si="0"/>
        <v/>
      </c>
      <c r="AF494" s="15" t="str">
        <f t="shared" si="1"/>
        <v/>
      </c>
      <c r="AG494" s="15" t="str">
        <f>IF(OR(AF494="",AF494="ERRO_CHAVE"),"",IFERROR(MATCH(AF494,'quitado Despesa'!$V$1:$V$12,0),""))</f>
        <v/>
      </c>
      <c r="AH494" s="15" t="str">
        <f t="shared" si="2"/>
        <v/>
      </c>
      <c r="AI494" s="17" t="str">
        <f>IF(AG494="","",INDEX('quitado Despesa'!$G$1:$G$12,AG494))</f>
        <v/>
      </c>
      <c r="AJ494" s="17" t="str">
        <f t="shared" si="3"/>
        <v/>
      </c>
    </row>
    <row r="495" spans="31:36">
      <c r="AE495" s="15" t="str">
        <f t="shared" si="0"/>
        <v/>
      </c>
      <c r="AF495" s="15" t="str">
        <f t="shared" si="1"/>
        <v/>
      </c>
      <c r="AG495" s="15" t="str">
        <f>IF(OR(AF495="",AF495="ERRO_CHAVE"),"",IFERROR(MATCH(AF495,'quitado Despesa'!$V$1:$V$12,0),""))</f>
        <v/>
      </c>
      <c r="AH495" s="15" t="str">
        <f t="shared" si="2"/>
        <v/>
      </c>
      <c r="AI495" s="17" t="str">
        <f>IF(AG495="","",INDEX('quitado Despesa'!$G$1:$G$12,AG495))</f>
        <v/>
      </c>
      <c r="AJ495" s="17" t="str">
        <f t="shared" si="3"/>
        <v/>
      </c>
    </row>
    <row r="496" spans="31:36">
      <c r="AE496" s="15" t="str">
        <f t="shared" si="0"/>
        <v/>
      </c>
      <c r="AF496" s="15" t="str">
        <f t="shared" si="1"/>
        <v/>
      </c>
      <c r="AG496" s="15" t="str">
        <f>IF(OR(AF496="",AF496="ERRO_CHAVE"),"",IFERROR(MATCH(AF496,'quitado Despesa'!$V$1:$V$12,0),""))</f>
        <v/>
      </c>
      <c r="AH496" s="15" t="str">
        <f t="shared" si="2"/>
        <v/>
      </c>
      <c r="AI496" s="17" t="str">
        <f>IF(AG496="","",INDEX('quitado Despesa'!$G$1:$G$12,AG496))</f>
        <v/>
      </c>
      <c r="AJ496" s="17" t="str">
        <f t="shared" si="3"/>
        <v/>
      </c>
    </row>
    <row r="497" spans="31:36">
      <c r="AE497" s="15" t="str">
        <f t="shared" si="0"/>
        <v/>
      </c>
      <c r="AF497" s="15" t="str">
        <f t="shared" si="1"/>
        <v/>
      </c>
      <c r="AG497" s="15" t="str">
        <f>IF(OR(AF497="",AF497="ERRO_CHAVE"),"",IFERROR(MATCH(AF497,'quitado Despesa'!$V$1:$V$12,0),""))</f>
        <v/>
      </c>
      <c r="AH497" s="15" t="str">
        <f t="shared" si="2"/>
        <v/>
      </c>
      <c r="AI497" s="17" t="str">
        <f>IF(AG497="","",INDEX('quitado Despesa'!$G$1:$G$12,AG497))</f>
        <v/>
      </c>
      <c r="AJ497" s="17" t="str">
        <f t="shared" si="3"/>
        <v/>
      </c>
    </row>
    <row r="498" spans="31:36">
      <c r="AE498" s="15" t="str">
        <f t="shared" si="0"/>
        <v/>
      </c>
      <c r="AF498" s="15" t="str">
        <f t="shared" si="1"/>
        <v/>
      </c>
      <c r="AG498" s="15" t="str">
        <f>IF(OR(AF498="",AF498="ERRO_CHAVE"),"",IFERROR(MATCH(AF498,'quitado Despesa'!$V$1:$V$12,0),""))</f>
        <v/>
      </c>
      <c r="AH498" s="15" t="str">
        <f t="shared" si="2"/>
        <v/>
      </c>
      <c r="AI498" s="17" t="str">
        <f>IF(AG498="","",INDEX('quitado Despesa'!$G$1:$G$12,AG498))</f>
        <v/>
      </c>
      <c r="AJ498" s="17" t="str">
        <f t="shared" si="3"/>
        <v/>
      </c>
    </row>
    <row r="499" spans="31:36">
      <c r="AE499" s="15" t="str">
        <f t="shared" si="0"/>
        <v/>
      </c>
      <c r="AF499" s="15" t="str">
        <f t="shared" si="1"/>
        <v/>
      </c>
      <c r="AG499" s="15" t="str">
        <f>IF(OR(AF499="",AF499="ERRO_CHAVE"),"",IFERROR(MATCH(AF499,'quitado Despesa'!$V$1:$V$12,0),""))</f>
        <v/>
      </c>
      <c r="AH499" s="15" t="str">
        <f t="shared" si="2"/>
        <v/>
      </c>
      <c r="AI499" s="17" t="str">
        <f>IF(AG499="","",INDEX('quitado Despesa'!$G$1:$G$12,AG499))</f>
        <v/>
      </c>
      <c r="AJ499" s="17" t="str">
        <f t="shared" si="3"/>
        <v/>
      </c>
    </row>
    <row r="500" spans="31:36">
      <c r="AE500" s="15" t="str">
        <f t="shared" si="0"/>
        <v/>
      </c>
      <c r="AF500" s="15" t="str">
        <f t="shared" si="1"/>
        <v/>
      </c>
      <c r="AG500" s="15" t="str">
        <f>IF(OR(AF500="",AF500="ERRO_CHAVE"),"",IFERROR(MATCH(AF500,'quitado Despesa'!$V$1:$V$12,0),""))</f>
        <v/>
      </c>
      <c r="AH500" s="15" t="str">
        <f t="shared" si="2"/>
        <v/>
      </c>
      <c r="AI500" s="17" t="str">
        <f>IF(AG500="","",INDEX('quitado Despesa'!$G$1:$G$12,AG500))</f>
        <v/>
      </c>
      <c r="AJ500" s="17" t="str">
        <f t="shared" si="3"/>
        <v/>
      </c>
    </row>
    <row r="501" spans="31:36">
      <c r="AE501" s="15" t="str">
        <f t="shared" si="0"/>
        <v/>
      </c>
      <c r="AF501" s="15" t="str">
        <f t="shared" si="1"/>
        <v/>
      </c>
      <c r="AG501" s="15" t="str">
        <f>IF(OR(AF501="",AF501="ERRO_CHAVE"),"",IFERROR(MATCH(AF501,'quitado Despesa'!$V$1:$V$12,0),""))</f>
        <v/>
      </c>
      <c r="AH501" s="15" t="str">
        <f t="shared" si="2"/>
        <v/>
      </c>
      <c r="AI501" s="17" t="str">
        <f>IF(AG501="","",INDEX('quitado Despesa'!$G$1:$G$12,AG501))</f>
        <v/>
      </c>
      <c r="AJ501" s="17" t="str">
        <f t="shared" si="3"/>
        <v/>
      </c>
    </row>
    <row r="502" spans="31:36">
      <c r="AE502" s="15" t="str">
        <f t="shared" si="0"/>
        <v/>
      </c>
      <c r="AF502" s="15" t="str">
        <f t="shared" si="1"/>
        <v/>
      </c>
      <c r="AG502" s="15" t="str">
        <f>IF(OR(AF502="",AF502="ERRO_CHAVE"),"",IFERROR(MATCH(AF502,'quitado Despesa'!$V$1:$V$12,0),""))</f>
        <v/>
      </c>
      <c r="AH502" s="15" t="str">
        <f t="shared" si="2"/>
        <v/>
      </c>
      <c r="AI502" s="17" t="str">
        <f>IF(AG502="","",INDEX('quitado Despesa'!$G$1:$G$12,AG502))</f>
        <v/>
      </c>
      <c r="AJ502" s="17" t="str">
        <f t="shared" si="3"/>
        <v/>
      </c>
    </row>
    <row r="503" spans="31:36">
      <c r="AE503" s="15" t="str">
        <f t="shared" si="0"/>
        <v/>
      </c>
      <c r="AF503" s="15" t="str">
        <f t="shared" si="1"/>
        <v/>
      </c>
      <c r="AG503" s="15" t="str">
        <f>IF(OR(AF503="",AF503="ERRO_CHAVE"),"",IFERROR(MATCH(AF503,'quitado Despesa'!$V$1:$V$12,0),""))</f>
        <v/>
      </c>
      <c r="AH503" s="15" t="str">
        <f t="shared" si="2"/>
        <v/>
      </c>
      <c r="AI503" s="17" t="str">
        <f>IF(AG503="","",INDEX('quitado Despesa'!$G$1:$G$12,AG503))</f>
        <v/>
      </c>
      <c r="AJ503" s="17" t="str">
        <f t="shared" si="3"/>
        <v/>
      </c>
    </row>
    <row r="504" spans="31:36">
      <c r="AE504" s="15" t="str">
        <f t="shared" si="0"/>
        <v/>
      </c>
      <c r="AF504" s="15" t="str">
        <f t="shared" si="1"/>
        <v/>
      </c>
      <c r="AG504" s="15" t="str">
        <f>IF(OR(AF504="",AF504="ERRO_CHAVE"),"",IFERROR(MATCH(AF504,'quitado Despesa'!$V$1:$V$12,0),""))</f>
        <v/>
      </c>
      <c r="AH504" s="15" t="str">
        <f t="shared" si="2"/>
        <v/>
      </c>
      <c r="AI504" s="17" t="str">
        <f>IF(AG504="","",INDEX('quitado Despesa'!$G$1:$G$12,AG504))</f>
        <v/>
      </c>
      <c r="AJ504" s="17" t="str">
        <f t="shared" si="3"/>
        <v/>
      </c>
    </row>
    <row r="505" spans="31:36">
      <c r="AE505" s="15" t="str">
        <f t="shared" si="0"/>
        <v/>
      </c>
      <c r="AF505" s="15" t="str">
        <f t="shared" si="1"/>
        <v/>
      </c>
      <c r="AG505" s="15" t="str">
        <f>IF(OR(AF505="",AF505="ERRO_CHAVE"),"",IFERROR(MATCH(AF505,'quitado Despesa'!$V$1:$V$12,0),""))</f>
        <v/>
      </c>
      <c r="AH505" s="15" t="str">
        <f t="shared" si="2"/>
        <v/>
      </c>
      <c r="AI505" s="17" t="str">
        <f>IF(AG505="","",INDEX('quitado Despesa'!$G$1:$G$12,AG505))</f>
        <v/>
      </c>
      <c r="AJ505" s="17" t="str">
        <f t="shared" si="3"/>
        <v/>
      </c>
    </row>
    <row r="506" spans="31:36">
      <c r="AE506" s="15" t="str">
        <f t="shared" si="0"/>
        <v/>
      </c>
      <c r="AF506" s="15" t="str">
        <f t="shared" si="1"/>
        <v/>
      </c>
      <c r="AG506" s="15" t="str">
        <f>IF(OR(AF506="",AF506="ERRO_CHAVE"),"",IFERROR(MATCH(AF506,'quitado Despesa'!$V$1:$V$12,0),""))</f>
        <v/>
      </c>
      <c r="AH506" s="15" t="str">
        <f t="shared" si="2"/>
        <v/>
      </c>
      <c r="AI506" s="17" t="str">
        <f>IF(AG506="","",INDEX('quitado Despesa'!$G$1:$G$12,AG506))</f>
        <v/>
      </c>
      <c r="AJ506" s="17" t="str">
        <f t="shared" si="3"/>
        <v/>
      </c>
    </row>
    <row r="507" spans="31:36">
      <c r="AE507" s="15" t="str">
        <f t="shared" si="0"/>
        <v/>
      </c>
      <c r="AF507" s="15" t="str">
        <f t="shared" si="1"/>
        <v/>
      </c>
      <c r="AG507" s="15" t="str">
        <f>IF(OR(AF507="",AF507="ERRO_CHAVE"),"",IFERROR(MATCH(AF507,'quitado Despesa'!$V$1:$V$12,0),""))</f>
        <v/>
      </c>
      <c r="AH507" s="15" t="str">
        <f t="shared" si="2"/>
        <v/>
      </c>
      <c r="AI507" s="17" t="str">
        <f>IF(AG507="","",INDEX('quitado Despesa'!$G$1:$G$12,AG507))</f>
        <v/>
      </c>
      <c r="AJ507" s="17" t="str">
        <f t="shared" si="3"/>
        <v/>
      </c>
    </row>
    <row r="508" spans="31:36">
      <c r="AE508" s="15" t="str">
        <f t="shared" si="0"/>
        <v/>
      </c>
      <c r="AF508" s="15" t="str">
        <f t="shared" si="1"/>
        <v/>
      </c>
      <c r="AG508" s="15" t="str">
        <f>IF(OR(AF508="",AF508="ERRO_CHAVE"),"",IFERROR(MATCH(AF508,'quitado Despesa'!$V$1:$V$12,0),""))</f>
        <v/>
      </c>
      <c r="AH508" s="15" t="str">
        <f t="shared" si="2"/>
        <v/>
      </c>
      <c r="AI508" s="17" t="str">
        <f>IF(AG508="","",INDEX('quitado Despesa'!$G$1:$G$12,AG508))</f>
        <v/>
      </c>
      <c r="AJ508" s="17" t="str">
        <f t="shared" si="3"/>
        <v/>
      </c>
    </row>
    <row r="509" spans="31:36">
      <c r="AE509" s="15" t="str">
        <f t="shared" si="0"/>
        <v/>
      </c>
      <c r="AF509" s="15" t="str">
        <f t="shared" si="1"/>
        <v/>
      </c>
      <c r="AG509" s="15" t="str">
        <f>IF(OR(AF509="",AF509="ERRO_CHAVE"),"",IFERROR(MATCH(AF509,'quitado Despesa'!$V$1:$V$12,0),""))</f>
        <v/>
      </c>
      <c r="AH509" s="15" t="str">
        <f t="shared" si="2"/>
        <v/>
      </c>
      <c r="AI509" s="17" t="str">
        <f>IF(AG509="","",INDEX('quitado Despesa'!$G$1:$G$12,AG509))</f>
        <v/>
      </c>
      <c r="AJ509" s="17" t="str">
        <f t="shared" si="3"/>
        <v/>
      </c>
    </row>
    <row r="510" spans="31:36">
      <c r="AE510" s="15" t="str">
        <f t="shared" si="0"/>
        <v/>
      </c>
      <c r="AF510" s="15" t="str">
        <f t="shared" si="1"/>
        <v/>
      </c>
      <c r="AG510" s="15" t="str">
        <f>IF(OR(AF510="",AF510="ERRO_CHAVE"),"",IFERROR(MATCH(AF510,'quitado Despesa'!$V$1:$V$12,0),""))</f>
        <v/>
      </c>
      <c r="AH510" s="15" t="str">
        <f t="shared" si="2"/>
        <v/>
      </c>
      <c r="AI510" s="17" t="str">
        <f>IF(AG510="","",INDEX('quitado Despesa'!$G$1:$G$12,AG510))</f>
        <v/>
      </c>
      <c r="AJ510" s="17" t="str">
        <f t="shared" si="3"/>
        <v/>
      </c>
    </row>
    <row r="511" spans="31:36">
      <c r="AE511" s="15" t="str">
        <f t="shared" si="0"/>
        <v/>
      </c>
      <c r="AF511" s="15" t="str">
        <f t="shared" si="1"/>
        <v/>
      </c>
      <c r="AG511" s="15" t="str">
        <f>IF(OR(AF511="",AF511="ERRO_CHAVE"),"",IFERROR(MATCH(AF511,'quitado Despesa'!$V$1:$V$12,0),""))</f>
        <v/>
      </c>
      <c r="AH511" s="15" t="str">
        <f t="shared" si="2"/>
        <v/>
      </c>
      <c r="AI511" s="17" t="str">
        <f>IF(AG511="","",INDEX('quitado Despesa'!$G$1:$G$12,AG511))</f>
        <v/>
      </c>
      <c r="AJ511" s="17" t="str">
        <f t="shared" si="3"/>
        <v/>
      </c>
    </row>
    <row r="512" spans="31:36">
      <c r="AE512" s="15" t="str">
        <f t="shared" si="0"/>
        <v/>
      </c>
      <c r="AF512" s="15" t="str">
        <f t="shared" si="1"/>
        <v/>
      </c>
      <c r="AG512" s="15" t="str">
        <f>IF(OR(AF512="",AF512="ERRO_CHAVE"),"",IFERROR(MATCH(AF512,'quitado Despesa'!$V$1:$V$12,0),""))</f>
        <v/>
      </c>
      <c r="AH512" s="15" t="str">
        <f t="shared" si="2"/>
        <v/>
      </c>
      <c r="AI512" s="17" t="str">
        <f>IF(AG512="","",INDEX('quitado Despesa'!$G$1:$G$12,AG512))</f>
        <v/>
      </c>
      <c r="AJ512" s="17" t="str">
        <f t="shared" si="3"/>
        <v/>
      </c>
    </row>
    <row r="513" spans="31:36">
      <c r="AE513" s="15" t="str">
        <f t="shared" si="0"/>
        <v/>
      </c>
      <c r="AF513" s="15" t="str">
        <f t="shared" si="1"/>
        <v/>
      </c>
      <c r="AG513" s="15" t="str">
        <f>IF(OR(AF513="",AF513="ERRO_CHAVE"),"",IFERROR(MATCH(AF513,'quitado Despesa'!$V$1:$V$12,0),""))</f>
        <v/>
      </c>
      <c r="AH513" s="15" t="str">
        <f t="shared" si="2"/>
        <v/>
      </c>
      <c r="AI513" s="17" t="str">
        <f>IF(AG513="","",INDEX('quitado Despesa'!$G$1:$G$12,AG513))</f>
        <v/>
      </c>
      <c r="AJ513" s="17" t="str">
        <f t="shared" si="3"/>
        <v/>
      </c>
    </row>
    <row r="514" spans="31:36">
      <c r="AE514" s="15" t="str">
        <f t="shared" si="0"/>
        <v/>
      </c>
      <c r="AF514" s="15" t="str">
        <f t="shared" si="1"/>
        <v/>
      </c>
      <c r="AG514" s="15" t="str">
        <f>IF(OR(AF514="",AF514="ERRO_CHAVE"),"",IFERROR(MATCH(AF514,'quitado Despesa'!$V$1:$V$12,0),""))</f>
        <v/>
      </c>
      <c r="AH514" s="15" t="str">
        <f t="shared" si="2"/>
        <v/>
      </c>
      <c r="AI514" s="17" t="str">
        <f>IF(AG514="","",INDEX('quitado Despesa'!$G$1:$G$12,AG514))</f>
        <v/>
      </c>
      <c r="AJ514" s="17" t="str">
        <f t="shared" si="3"/>
        <v/>
      </c>
    </row>
    <row r="515" spans="31:36">
      <c r="AE515" s="15" t="str">
        <f t="shared" si="0"/>
        <v/>
      </c>
      <c r="AF515" s="15" t="str">
        <f t="shared" si="1"/>
        <v/>
      </c>
      <c r="AG515" s="15" t="str">
        <f>IF(OR(AF515="",AF515="ERRO_CHAVE"),"",IFERROR(MATCH(AF515,'quitado Despesa'!$V$1:$V$12,0),""))</f>
        <v/>
      </c>
      <c r="AH515" s="15" t="str">
        <f t="shared" si="2"/>
        <v/>
      </c>
      <c r="AI515" s="17" t="str">
        <f>IF(AG515="","",INDEX('quitado Despesa'!$G$1:$G$12,AG515))</f>
        <v/>
      </c>
      <c r="AJ515" s="17" t="str">
        <f t="shared" si="3"/>
        <v/>
      </c>
    </row>
    <row r="516" spans="31:36">
      <c r="AE516" s="15" t="str">
        <f t="shared" si="0"/>
        <v/>
      </c>
      <c r="AF516" s="15" t="str">
        <f t="shared" si="1"/>
        <v/>
      </c>
      <c r="AG516" s="15" t="str">
        <f>IF(OR(AF516="",AF516="ERRO_CHAVE"),"",IFERROR(MATCH(AF516,'quitado Despesa'!$V$1:$V$12,0),""))</f>
        <v/>
      </c>
      <c r="AH516" s="15" t="str">
        <f t="shared" si="2"/>
        <v/>
      </c>
      <c r="AI516" s="17" t="str">
        <f>IF(AG516="","",INDEX('quitado Despesa'!$G$1:$G$12,AG516))</f>
        <v/>
      </c>
      <c r="AJ516" s="17" t="str">
        <f t="shared" si="3"/>
        <v/>
      </c>
    </row>
    <row r="517" spans="31:36">
      <c r="AE517" s="15" t="str">
        <f t="shared" si="0"/>
        <v/>
      </c>
      <c r="AF517" s="15" t="str">
        <f t="shared" si="1"/>
        <v/>
      </c>
      <c r="AG517" s="15" t="str">
        <f>IF(OR(AF517="",AF517="ERRO_CHAVE"),"",IFERROR(MATCH(AF517,'quitado Despesa'!$V$1:$V$12,0),""))</f>
        <v/>
      </c>
      <c r="AH517" s="15" t="str">
        <f t="shared" si="2"/>
        <v/>
      </c>
      <c r="AI517" s="17" t="str">
        <f>IF(AG517="","",INDEX('quitado Despesa'!$G$1:$G$12,AG517))</f>
        <v/>
      </c>
      <c r="AJ517" s="17" t="str">
        <f t="shared" si="3"/>
        <v/>
      </c>
    </row>
    <row r="518" spans="31:36">
      <c r="AE518" s="15" t="str">
        <f t="shared" si="0"/>
        <v/>
      </c>
      <c r="AF518" s="15" t="str">
        <f t="shared" si="1"/>
        <v/>
      </c>
      <c r="AG518" s="15" t="str">
        <f>IF(OR(AF518="",AF518="ERRO_CHAVE"),"",IFERROR(MATCH(AF518,'quitado Despesa'!$V$1:$V$12,0),""))</f>
        <v/>
      </c>
      <c r="AH518" s="15" t="str">
        <f t="shared" si="2"/>
        <v/>
      </c>
      <c r="AI518" s="17" t="str">
        <f>IF(AG518="","",INDEX('quitado Despesa'!$G$1:$G$12,AG518))</f>
        <v/>
      </c>
      <c r="AJ518" s="17" t="str">
        <f t="shared" si="3"/>
        <v/>
      </c>
    </row>
    <row r="519" spans="31:36">
      <c r="AE519" s="15" t="str">
        <f t="shared" si="0"/>
        <v/>
      </c>
      <c r="AF519" s="15" t="str">
        <f t="shared" si="1"/>
        <v/>
      </c>
      <c r="AG519" s="15" t="str">
        <f>IF(OR(AF519="",AF519="ERRO_CHAVE"),"",IFERROR(MATCH(AF519,'quitado Despesa'!$V$1:$V$12,0),""))</f>
        <v/>
      </c>
      <c r="AH519" s="15" t="str">
        <f t="shared" si="2"/>
        <v/>
      </c>
      <c r="AI519" s="17" t="str">
        <f>IF(AG519="","",INDEX('quitado Despesa'!$G$1:$G$12,AG519))</f>
        <v/>
      </c>
      <c r="AJ519" s="17" t="str">
        <f t="shared" si="3"/>
        <v/>
      </c>
    </row>
    <row r="520" spans="31:36">
      <c r="AE520" s="15" t="str">
        <f t="shared" si="0"/>
        <v/>
      </c>
      <c r="AF520" s="15" t="str">
        <f t="shared" si="1"/>
        <v/>
      </c>
      <c r="AG520" s="15" t="str">
        <f>IF(OR(AF520="",AF520="ERRO_CHAVE"),"",IFERROR(MATCH(AF520,'quitado Despesa'!$V$1:$V$12,0),""))</f>
        <v/>
      </c>
      <c r="AH520" s="15" t="str">
        <f t="shared" si="2"/>
        <v/>
      </c>
      <c r="AI520" s="17" t="str">
        <f>IF(AG520="","",INDEX('quitado Despesa'!$G$1:$G$12,AG520))</f>
        <v/>
      </c>
      <c r="AJ520" s="17" t="str">
        <f t="shared" si="3"/>
        <v/>
      </c>
    </row>
    <row r="521" spans="31:36">
      <c r="AE521" s="15" t="str">
        <f t="shared" si="0"/>
        <v/>
      </c>
      <c r="AF521" s="15" t="str">
        <f t="shared" si="1"/>
        <v/>
      </c>
      <c r="AG521" s="15" t="str">
        <f>IF(OR(AF521="",AF521="ERRO_CHAVE"),"",IFERROR(MATCH(AF521,'quitado Despesa'!$V$1:$V$12,0),""))</f>
        <v/>
      </c>
      <c r="AH521" s="15" t="str">
        <f t="shared" si="2"/>
        <v/>
      </c>
      <c r="AI521" s="17" t="str">
        <f>IF(AG521="","",INDEX('quitado Despesa'!$G$1:$G$12,AG521))</f>
        <v/>
      </c>
      <c r="AJ521" s="17" t="str">
        <f t="shared" si="3"/>
        <v/>
      </c>
    </row>
    <row r="522" spans="31:36">
      <c r="AE522" s="15" t="str">
        <f t="shared" si="0"/>
        <v/>
      </c>
      <c r="AF522" s="15" t="str">
        <f t="shared" si="1"/>
        <v/>
      </c>
      <c r="AG522" s="15" t="str">
        <f>IF(OR(AF522="",AF522="ERRO_CHAVE"),"",IFERROR(MATCH(AF522,'quitado Despesa'!$V$1:$V$12,0),""))</f>
        <v/>
      </c>
      <c r="AH522" s="15" t="str">
        <f t="shared" si="2"/>
        <v/>
      </c>
      <c r="AI522" s="17" t="str">
        <f>IF(AG522="","",INDEX('quitado Despesa'!$G$1:$G$12,AG522))</f>
        <v/>
      </c>
      <c r="AJ522" s="17" t="str">
        <f t="shared" si="3"/>
        <v/>
      </c>
    </row>
    <row r="523" spans="31:36">
      <c r="AE523" s="15" t="str">
        <f t="shared" si="0"/>
        <v/>
      </c>
      <c r="AF523" s="15" t="str">
        <f t="shared" si="1"/>
        <v/>
      </c>
      <c r="AG523" s="15" t="str">
        <f>IF(OR(AF523="",AF523="ERRO_CHAVE"),"",IFERROR(MATCH(AF523,'quitado Despesa'!$V$1:$V$12,0),""))</f>
        <v/>
      </c>
      <c r="AH523" s="15" t="str">
        <f t="shared" si="2"/>
        <v/>
      </c>
      <c r="AI523" s="17" t="str">
        <f>IF(AG523="","",INDEX('quitado Despesa'!$G$1:$G$12,AG523))</f>
        <v/>
      </c>
      <c r="AJ523" s="17" t="str">
        <f t="shared" si="3"/>
        <v/>
      </c>
    </row>
    <row r="524" spans="31:36">
      <c r="AE524" s="15" t="str">
        <f t="shared" si="0"/>
        <v/>
      </c>
      <c r="AF524" s="15" t="str">
        <f t="shared" si="1"/>
        <v/>
      </c>
      <c r="AG524" s="15" t="str">
        <f>IF(OR(AF524="",AF524="ERRO_CHAVE"),"",IFERROR(MATCH(AF524,'quitado Despesa'!$V$1:$V$12,0),""))</f>
        <v/>
      </c>
      <c r="AH524" s="15" t="str">
        <f t="shared" si="2"/>
        <v/>
      </c>
      <c r="AI524" s="17" t="str">
        <f>IF(AG524="","",INDEX('quitado Despesa'!$G$1:$G$12,AG524))</f>
        <v/>
      </c>
      <c r="AJ524" s="17" t="str">
        <f t="shared" si="3"/>
        <v/>
      </c>
    </row>
    <row r="525" spans="31:36">
      <c r="AE525" s="15" t="str">
        <f t="shared" si="0"/>
        <v/>
      </c>
      <c r="AF525" s="15" t="str">
        <f t="shared" si="1"/>
        <v/>
      </c>
      <c r="AG525" s="15" t="str">
        <f>IF(OR(AF525="",AF525="ERRO_CHAVE"),"",IFERROR(MATCH(AF525,'quitado Despesa'!$V$1:$V$12,0),""))</f>
        <v/>
      </c>
      <c r="AH525" s="15" t="str">
        <f t="shared" si="2"/>
        <v/>
      </c>
      <c r="AI525" s="17" t="str">
        <f>IF(AG525="","",INDEX('quitado Despesa'!$G$1:$G$12,AG525))</f>
        <v/>
      </c>
      <c r="AJ525" s="17" t="str">
        <f t="shared" si="3"/>
        <v/>
      </c>
    </row>
    <row r="526" spans="31:36">
      <c r="AE526" s="15" t="str">
        <f t="shared" si="0"/>
        <v/>
      </c>
      <c r="AF526" s="15" t="str">
        <f t="shared" si="1"/>
        <v/>
      </c>
      <c r="AG526" s="15" t="str">
        <f>IF(OR(AF526="",AF526="ERRO_CHAVE"),"",IFERROR(MATCH(AF526,'quitado Despesa'!$V$1:$V$12,0),""))</f>
        <v/>
      </c>
      <c r="AH526" s="15" t="str">
        <f t="shared" si="2"/>
        <v/>
      </c>
      <c r="AI526" s="17" t="str">
        <f>IF(AG526="","",INDEX('quitado Despesa'!$G$1:$G$12,AG526))</f>
        <v/>
      </c>
      <c r="AJ526" s="17" t="str">
        <f t="shared" si="3"/>
        <v/>
      </c>
    </row>
    <row r="527" spans="31:36">
      <c r="AE527" s="15" t="str">
        <f t="shared" si="0"/>
        <v/>
      </c>
      <c r="AF527" s="15" t="str">
        <f t="shared" si="1"/>
        <v/>
      </c>
      <c r="AG527" s="15" t="str">
        <f>IF(OR(AF527="",AF527="ERRO_CHAVE"),"",IFERROR(MATCH(AF527,'quitado Despesa'!$V$1:$V$12,0),""))</f>
        <v/>
      </c>
      <c r="AH527" s="15" t="str">
        <f t="shared" si="2"/>
        <v/>
      </c>
      <c r="AI527" s="17" t="str">
        <f>IF(AG527="","",INDEX('quitado Despesa'!$G$1:$G$12,AG527))</f>
        <v/>
      </c>
      <c r="AJ527" s="17" t="str">
        <f t="shared" si="3"/>
        <v/>
      </c>
    </row>
    <row r="528" spans="31:36">
      <c r="AE528" s="15" t="str">
        <f t="shared" si="0"/>
        <v/>
      </c>
      <c r="AF528" s="15" t="str">
        <f t="shared" si="1"/>
        <v/>
      </c>
      <c r="AG528" s="15" t="str">
        <f>IF(OR(AF528="",AF528="ERRO_CHAVE"),"",IFERROR(MATCH(AF528,'quitado Despesa'!$V$1:$V$12,0),""))</f>
        <v/>
      </c>
      <c r="AH528" s="15" t="str">
        <f t="shared" si="2"/>
        <v/>
      </c>
      <c r="AI528" s="17" t="str">
        <f>IF(AG528="","",INDEX('quitado Despesa'!$G$1:$G$12,AG528))</f>
        <v/>
      </c>
      <c r="AJ528" s="17" t="str">
        <f t="shared" si="3"/>
        <v/>
      </c>
    </row>
    <row r="529" spans="31:36">
      <c r="AE529" s="15" t="str">
        <f t="shared" si="0"/>
        <v/>
      </c>
      <c r="AF529" s="15" t="str">
        <f t="shared" si="1"/>
        <v/>
      </c>
      <c r="AG529" s="15" t="str">
        <f>IF(OR(AF529="",AF529="ERRO_CHAVE"),"",IFERROR(MATCH(AF529,'quitado Despesa'!$V$1:$V$12,0),""))</f>
        <v/>
      </c>
      <c r="AH529" s="15" t="str">
        <f t="shared" si="2"/>
        <v/>
      </c>
      <c r="AI529" s="17" t="str">
        <f>IF(AG529="","",INDEX('quitado Despesa'!$G$1:$G$12,AG529))</f>
        <v/>
      </c>
      <c r="AJ529" s="17" t="str">
        <f t="shared" si="3"/>
        <v/>
      </c>
    </row>
    <row r="530" spans="31:36">
      <c r="AE530" s="15" t="str">
        <f t="shared" si="0"/>
        <v/>
      </c>
      <c r="AF530" s="15" t="str">
        <f t="shared" si="1"/>
        <v/>
      </c>
      <c r="AG530" s="15" t="str">
        <f>IF(OR(AF530="",AF530="ERRO_CHAVE"),"",IFERROR(MATCH(AF530,'quitado Despesa'!$V$1:$V$12,0),""))</f>
        <v/>
      </c>
      <c r="AH530" s="15" t="str">
        <f t="shared" si="2"/>
        <v/>
      </c>
      <c r="AI530" s="17" t="str">
        <f>IF(AG530="","",INDEX('quitado Despesa'!$G$1:$G$12,AG530))</f>
        <v/>
      </c>
      <c r="AJ530" s="17" t="str">
        <f t="shared" si="3"/>
        <v/>
      </c>
    </row>
    <row r="531" spans="31:36">
      <c r="AE531" s="15" t="str">
        <f t="shared" si="0"/>
        <v/>
      </c>
      <c r="AF531" s="15" t="str">
        <f t="shared" si="1"/>
        <v/>
      </c>
      <c r="AG531" s="15" t="str">
        <f>IF(OR(AF531="",AF531="ERRO_CHAVE"),"",IFERROR(MATCH(AF531,'quitado Despesa'!$V$1:$V$12,0),""))</f>
        <v/>
      </c>
      <c r="AH531" s="15" t="str">
        <f t="shared" si="2"/>
        <v/>
      </c>
      <c r="AI531" s="17" t="str">
        <f>IF(AG531="","",INDEX('quitado Despesa'!$G$1:$G$12,AG531))</f>
        <v/>
      </c>
      <c r="AJ531" s="17" t="str">
        <f t="shared" si="3"/>
        <v/>
      </c>
    </row>
    <row r="532" spans="31:36">
      <c r="AE532" s="15" t="str">
        <f t="shared" si="0"/>
        <v/>
      </c>
      <c r="AF532" s="15" t="str">
        <f t="shared" si="1"/>
        <v/>
      </c>
      <c r="AG532" s="15" t="str">
        <f>IF(OR(AF532="",AF532="ERRO_CHAVE"),"",IFERROR(MATCH(AF532,'quitado Despesa'!$V$1:$V$12,0),""))</f>
        <v/>
      </c>
      <c r="AH532" s="15" t="str">
        <f t="shared" si="2"/>
        <v/>
      </c>
      <c r="AI532" s="17" t="str">
        <f>IF(AG532="","",INDEX('quitado Despesa'!$G$1:$G$12,AG532))</f>
        <v/>
      </c>
      <c r="AJ532" s="17" t="str">
        <f t="shared" si="3"/>
        <v/>
      </c>
    </row>
    <row r="533" spans="31:36">
      <c r="AE533" s="15" t="str">
        <f t="shared" si="0"/>
        <v/>
      </c>
      <c r="AF533" s="15" t="str">
        <f t="shared" si="1"/>
        <v/>
      </c>
      <c r="AG533" s="15" t="str">
        <f>IF(OR(AF533="",AF533="ERRO_CHAVE"),"",IFERROR(MATCH(AF533,'quitado Despesa'!$V$1:$V$12,0),""))</f>
        <v/>
      </c>
      <c r="AH533" s="15" t="str">
        <f t="shared" si="2"/>
        <v/>
      </c>
      <c r="AI533" s="17" t="str">
        <f>IF(AG533="","",INDEX('quitado Despesa'!$G$1:$G$12,AG533))</f>
        <v/>
      </c>
      <c r="AJ533" s="17" t="str">
        <f t="shared" si="3"/>
        <v/>
      </c>
    </row>
    <row r="534" spans="31:36">
      <c r="AE534" s="15" t="str">
        <f t="shared" si="0"/>
        <v/>
      </c>
      <c r="AF534" s="15" t="str">
        <f t="shared" si="1"/>
        <v/>
      </c>
      <c r="AG534" s="15" t="str">
        <f>IF(OR(AF534="",AF534="ERRO_CHAVE"),"",IFERROR(MATCH(AF534,'quitado Despesa'!$V$1:$V$12,0),""))</f>
        <v/>
      </c>
      <c r="AH534" s="15" t="str">
        <f t="shared" si="2"/>
        <v/>
      </c>
      <c r="AI534" s="17" t="str">
        <f>IF(AG534="","",INDEX('quitado Despesa'!$G$1:$G$12,AG534))</f>
        <v/>
      </c>
      <c r="AJ534" s="17" t="str">
        <f t="shared" si="3"/>
        <v/>
      </c>
    </row>
    <row r="535" spans="31:36">
      <c r="AE535" s="15" t="str">
        <f t="shared" si="0"/>
        <v/>
      </c>
      <c r="AF535" s="15" t="str">
        <f t="shared" si="1"/>
        <v/>
      </c>
      <c r="AG535" s="15" t="str">
        <f>IF(OR(AF535="",AF535="ERRO_CHAVE"),"",IFERROR(MATCH(AF535,'quitado Despesa'!$V$1:$V$12,0),""))</f>
        <v/>
      </c>
      <c r="AH535" s="15" t="str">
        <f t="shared" si="2"/>
        <v/>
      </c>
      <c r="AI535" s="17" t="str">
        <f>IF(AG535="","",INDEX('quitado Despesa'!$G$1:$G$12,AG535))</f>
        <v/>
      </c>
      <c r="AJ535" s="17" t="str">
        <f t="shared" si="3"/>
        <v/>
      </c>
    </row>
    <row r="536" spans="31:36">
      <c r="AE536" s="15" t="str">
        <f t="shared" si="0"/>
        <v/>
      </c>
      <c r="AF536" s="15" t="str">
        <f t="shared" si="1"/>
        <v/>
      </c>
      <c r="AG536" s="15" t="str">
        <f>IF(OR(AF536="",AF536="ERRO_CHAVE"),"",IFERROR(MATCH(AF536,'quitado Despesa'!$V$1:$V$12,0),""))</f>
        <v/>
      </c>
      <c r="AH536" s="15" t="str">
        <f t="shared" si="2"/>
        <v/>
      </c>
      <c r="AI536" s="17" t="str">
        <f>IF(AG536="","",INDEX('quitado Despesa'!$G$1:$G$12,AG536))</f>
        <v/>
      </c>
      <c r="AJ536" s="17" t="str">
        <f t="shared" si="3"/>
        <v/>
      </c>
    </row>
    <row r="537" spans="31:36">
      <c r="AE537" s="15" t="str">
        <f t="shared" si="0"/>
        <v/>
      </c>
      <c r="AF537" s="15" t="str">
        <f t="shared" si="1"/>
        <v/>
      </c>
      <c r="AG537" s="15" t="str">
        <f>IF(OR(AF537="",AF537="ERRO_CHAVE"),"",IFERROR(MATCH(AF537,'quitado Despesa'!$V$1:$V$12,0),""))</f>
        <v/>
      </c>
      <c r="AH537" s="15" t="str">
        <f t="shared" si="2"/>
        <v/>
      </c>
      <c r="AI537" s="17" t="str">
        <f>IF(AG537="","",INDEX('quitado Despesa'!$G$1:$G$12,AG537))</f>
        <v/>
      </c>
      <c r="AJ537" s="17" t="str">
        <f t="shared" si="3"/>
        <v/>
      </c>
    </row>
    <row r="538" spans="31:36">
      <c r="AE538" s="15" t="str">
        <f t="shared" si="0"/>
        <v/>
      </c>
      <c r="AF538" s="15" t="str">
        <f t="shared" si="1"/>
        <v/>
      </c>
      <c r="AG538" s="15" t="str">
        <f>IF(OR(AF538="",AF538="ERRO_CHAVE"),"",IFERROR(MATCH(AF538,'quitado Despesa'!$V$1:$V$12,0),""))</f>
        <v/>
      </c>
      <c r="AH538" s="15" t="str">
        <f t="shared" si="2"/>
        <v/>
      </c>
      <c r="AI538" s="17" t="str">
        <f>IF(AG538="","",INDEX('quitado Despesa'!$G$1:$G$12,AG538))</f>
        <v/>
      </c>
      <c r="AJ538" s="17" t="str">
        <f t="shared" si="3"/>
        <v/>
      </c>
    </row>
    <row r="539" spans="31:36">
      <c r="AE539" s="15" t="str">
        <f t="shared" si="0"/>
        <v/>
      </c>
      <c r="AF539" s="15" t="str">
        <f t="shared" si="1"/>
        <v/>
      </c>
      <c r="AG539" s="15" t="str">
        <f>IF(OR(AF539="",AF539="ERRO_CHAVE"),"",IFERROR(MATCH(AF539,'quitado Despesa'!$V$1:$V$12,0),""))</f>
        <v/>
      </c>
      <c r="AH539" s="15" t="str">
        <f t="shared" si="2"/>
        <v/>
      </c>
      <c r="AI539" s="17" t="str">
        <f>IF(AG539="","",INDEX('quitado Despesa'!$G$1:$G$12,AG539))</f>
        <v/>
      </c>
      <c r="AJ539" s="17" t="str">
        <f t="shared" si="3"/>
        <v/>
      </c>
    </row>
    <row r="540" spans="31:36">
      <c r="AE540" s="15" t="str">
        <f t="shared" si="0"/>
        <v/>
      </c>
      <c r="AF540" s="15" t="str">
        <f t="shared" si="1"/>
        <v/>
      </c>
      <c r="AG540" s="15" t="str">
        <f>IF(OR(AF540="",AF540="ERRO_CHAVE"),"",IFERROR(MATCH(AF540,'quitado Despesa'!$V$1:$V$12,0),""))</f>
        <v/>
      </c>
      <c r="AH540" s="15" t="str">
        <f t="shared" si="2"/>
        <v/>
      </c>
      <c r="AI540" s="17" t="str">
        <f>IF(AG540="","",INDEX('quitado Despesa'!$G$1:$G$12,AG540))</f>
        <v/>
      </c>
      <c r="AJ540" s="17" t="str">
        <f t="shared" si="3"/>
        <v/>
      </c>
    </row>
    <row r="541" spans="31:36">
      <c r="AE541" s="15" t="str">
        <f t="shared" si="0"/>
        <v/>
      </c>
      <c r="AF541" s="15" t="str">
        <f t="shared" si="1"/>
        <v/>
      </c>
      <c r="AG541" s="15" t="str">
        <f>IF(OR(AF541="",AF541="ERRO_CHAVE"),"",IFERROR(MATCH(AF541,'quitado Despesa'!$V$1:$V$12,0),""))</f>
        <v/>
      </c>
      <c r="AH541" s="15" t="str">
        <f t="shared" si="2"/>
        <v/>
      </c>
      <c r="AI541" s="17" t="str">
        <f>IF(AG541="","",INDEX('quitado Despesa'!$G$1:$G$12,AG541))</f>
        <v/>
      </c>
      <c r="AJ541" s="17" t="str">
        <f t="shared" si="3"/>
        <v/>
      </c>
    </row>
    <row r="542" spans="31:36">
      <c r="AE542" s="15" t="str">
        <f t="shared" si="0"/>
        <v/>
      </c>
      <c r="AF542" s="15" t="str">
        <f t="shared" si="1"/>
        <v/>
      </c>
      <c r="AG542" s="15" t="str">
        <f>IF(OR(AF542="",AF542="ERRO_CHAVE"),"",IFERROR(MATCH(AF542,'quitado Despesa'!$V$1:$V$12,0),""))</f>
        <v/>
      </c>
      <c r="AH542" s="15" t="str">
        <f t="shared" si="2"/>
        <v/>
      </c>
      <c r="AI542" s="17" t="str">
        <f>IF(AG542="","",INDEX('quitado Despesa'!$G$1:$G$12,AG542))</f>
        <v/>
      </c>
      <c r="AJ542" s="17" t="str">
        <f t="shared" si="3"/>
        <v/>
      </c>
    </row>
    <row r="543" spans="31:36">
      <c r="AE543" s="15" t="str">
        <f t="shared" si="0"/>
        <v/>
      </c>
      <c r="AF543" s="15" t="str">
        <f t="shared" si="1"/>
        <v/>
      </c>
      <c r="AG543" s="15" t="str">
        <f>IF(OR(AF543="",AF543="ERRO_CHAVE"),"",IFERROR(MATCH(AF543,'quitado Despesa'!$V$1:$V$12,0),""))</f>
        <v/>
      </c>
      <c r="AH543" s="15" t="str">
        <f t="shared" si="2"/>
        <v/>
      </c>
      <c r="AI543" s="17" t="str">
        <f>IF(AG543="","",INDEX('quitado Despesa'!$G$1:$G$12,AG543))</f>
        <v/>
      </c>
      <c r="AJ543" s="17" t="str">
        <f t="shared" si="3"/>
        <v/>
      </c>
    </row>
    <row r="544" spans="31:36">
      <c r="AE544" s="15" t="str">
        <f t="shared" si="0"/>
        <v/>
      </c>
      <c r="AF544" s="15" t="str">
        <f t="shared" si="1"/>
        <v/>
      </c>
      <c r="AG544" s="15" t="str">
        <f>IF(OR(AF544="",AF544="ERRO_CHAVE"),"",IFERROR(MATCH(AF544,'quitado Despesa'!$V$1:$V$12,0),""))</f>
        <v/>
      </c>
      <c r="AH544" s="15" t="str">
        <f t="shared" si="2"/>
        <v/>
      </c>
      <c r="AI544" s="17" t="str">
        <f>IF(AG544="","",INDEX('quitado Despesa'!$G$1:$G$12,AG544))</f>
        <v/>
      </c>
      <c r="AJ544" s="17" t="str">
        <f t="shared" si="3"/>
        <v/>
      </c>
    </row>
    <row r="545" spans="31:36">
      <c r="AE545" s="15" t="str">
        <f t="shared" si="0"/>
        <v/>
      </c>
      <c r="AF545" s="15" t="str">
        <f t="shared" si="1"/>
        <v/>
      </c>
      <c r="AG545" s="15" t="str">
        <f>IF(OR(AF545="",AF545="ERRO_CHAVE"),"",IFERROR(MATCH(AF545,'quitado Despesa'!$V$1:$V$12,0),""))</f>
        <v/>
      </c>
      <c r="AH545" s="15" t="str">
        <f t="shared" si="2"/>
        <v/>
      </c>
      <c r="AI545" s="17" t="str">
        <f>IF(AG545="","",INDEX('quitado Despesa'!$G$1:$G$12,AG545))</f>
        <v/>
      </c>
      <c r="AJ545" s="17" t="str">
        <f t="shared" si="3"/>
        <v/>
      </c>
    </row>
    <row r="546" spans="31:36">
      <c r="AE546" s="15" t="str">
        <f t="shared" si="0"/>
        <v/>
      </c>
      <c r="AF546" s="15" t="str">
        <f t="shared" si="1"/>
        <v/>
      </c>
      <c r="AG546" s="15" t="str">
        <f>IF(OR(AF546="",AF546="ERRO_CHAVE"),"",IFERROR(MATCH(AF546,'quitado Despesa'!$V$1:$V$12,0),""))</f>
        <v/>
      </c>
      <c r="AH546" s="15" t="str">
        <f t="shared" si="2"/>
        <v/>
      </c>
      <c r="AI546" s="17" t="str">
        <f>IF(AG546="","",INDEX('quitado Despesa'!$G$1:$G$12,AG546))</f>
        <v/>
      </c>
      <c r="AJ546" s="17" t="str">
        <f t="shared" si="3"/>
        <v/>
      </c>
    </row>
    <row r="547" spans="31:36">
      <c r="AE547" s="15" t="str">
        <f t="shared" si="0"/>
        <v/>
      </c>
      <c r="AF547" s="15" t="str">
        <f t="shared" si="1"/>
        <v/>
      </c>
      <c r="AG547" s="15" t="str">
        <f>IF(OR(AF547="",AF547="ERRO_CHAVE"),"",IFERROR(MATCH(AF547,'quitado Despesa'!$V$1:$V$12,0),""))</f>
        <v/>
      </c>
      <c r="AH547" s="15" t="str">
        <f t="shared" si="2"/>
        <v/>
      </c>
      <c r="AI547" s="17" t="str">
        <f>IF(AG547="","",INDEX('quitado Despesa'!$G$1:$G$12,AG547))</f>
        <v/>
      </c>
      <c r="AJ547" s="17" t="str">
        <f t="shared" si="3"/>
        <v/>
      </c>
    </row>
    <row r="548" spans="31:36">
      <c r="AE548" s="15" t="str">
        <f t="shared" si="0"/>
        <v/>
      </c>
      <c r="AF548" s="15" t="str">
        <f t="shared" si="1"/>
        <v/>
      </c>
      <c r="AG548" s="15" t="str">
        <f>IF(OR(AF548="",AF548="ERRO_CHAVE"),"",IFERROR(MATCH(AF548,'quitado Despesa'!$V$1:$V$12,0),""))</f>
        <v/>
      </c>
      <c r="AH548" s="15" t="str">
        <f t="shared" si="2"/>
        <v/>
      </c>
      <c r="AI548" s="17" t="str">
        <f>IF(AG548="","",INDEX('quitado Despesa'!$G$1:$G$12,AG548))</f>
        <v/>
      </c>
      <c r="AJ548" s="17" t="str">
        <f t="shared" si="3"/>
        <v/>
      </c>
    </row>
    <row r="549" spans="31:36">
      <c r="AE549" s="15" t="str">
        <f t="shared" si="0"/>
        <v/>
      </c>
      <c r="AF549" s="15" t="str">
        <f t="shared" si="1"/>
        <v/>
      </c>
      <c r="AG549" s="15" t="str">
        <f>IF(OR(AF549="",AF549="ERRO_CHAVE"),"",IFERROR(MATCH(AF549,'quitado Despesa'!$V$1:$V$12,0),""))</f>
        <v/>
      </c>
      <c r="AH549" s="15" t="str">
        <f t="shared" si="2"/>
        <v/>
      </c>
      <c r="AI549" s="17" t="str">
        <f>IF(AG549="","",INDEX('quitado Despesa'!$G$1:$G$12,AG549))</f>
        <v/>
      </c>
      <c r="AJ549" s="17" t="str">
        <f t="shared" si="3"/>
        <v/>
      </c>
    </row>
    <row r="550" spans="31:36">
      <c r="AE550" s="15" t="str">
        <f t="shared" si="0"/>
        <v/>
      </c>
      <c r="AF550" s="15" t="str">
        <f t="shared" si="1"/>
        <v/>
      </c>
      <c r="AG550" s="15" t="str">
        <f>IF(OR(AF550="",AF550="ERRO_CHAVE"),"",IFERROR(MATCH(AF550,'quitado Despesa'!$V$1:$V$12,0),""))</f>
        <v/>
      </c>
      <c r="AH550" s="15" t="str">
        <f t="shared" si="2"/>
        <v/>
      </c>
      <c r="AI550" s="17" t="str">
        <f>IF(AG550="","",INDEX('quitado Despesa'!$G$1:$G$12,AG550))</f>
        <v/>
      </c>
      <c r="AJ550" s="17" t="str">
        <f t="shared" si="3"/>
        <v/>
      </c>
    </row>
    <row r="551" spans="31:36">
      <c r="AE551" s="15" t="str">
        <f t="shared" si="0"/>
        <v/>
      </c>
      <c r="AF551" s="15" t="str">
        <f t="shared" si="1"/>
        <v/>
      </c>
      <c r="AG551" s="15" t="str">
        <f>IF(OR(AF551="",AF551="ERRO_CHAVE"),"",IFERROR(MATCH(AF551,'quitado Despesa'!$V$1:$V$12,0),""))</f>
        <v/>
      </c>
      <c r="AH551" s="15" t="str">
        <f t="shared" si="2"/>
        <v/>
      </c>
      <c r="AI551" s="17" t="str">
        <f>IF(AG551="","",INDEX('quitado Despesa'!$G$1:$G$12,AG551))</f>
        <v/>
      </c>
      <c r="AJ551" s="17" t="str">
        <f t="shared" si="3"/>
        <v/>
      </c>
    </row>
    <row r="552" spans="31:36">
      <c r="AE552" s="15" t="str">
        <f t="shared" si="0"/>
        <v/>
      </c>
      <c r="AF552" s="15" t="str">
        <f t="shared" si="1"/>
        <v/>
      </c>
      <c r="AG552" s="15" t="str">
        <f>IF(OR(AF552="",AF552="ERRO_CHAVE"),"",IFERROR(MATCH(AF552,'quitado Despesa'!$V$1:$V$12,0),""))</f>
        <v/>
      </c>
      <c r="AH552" s="15" t="str">
        <f t="shared" si="2"/>
        <v/>
      </c>
      <c r="AI552" s="17" t="str">
        <f>IF(AG552="","",INDEX('quitado Despesa'!$G$1:$G$12,AG552))</f>
        <v/>
      </c>
      <c r="AJ552" s="17" t="str">
        <f t="shared" si="3"/>
        <v/>
      </c>
    </row>
    <row r="553" spans="31:36">
      <c r="AE553" s="15" t="str">
        <f t="shared" si="0"/>
        <v/>
      </c>
      <c r="AF553" s="15" t="str">
        <f t="shared" si="1"/>
        <v/>
      </c>
      <c r="AG553" s="15" t="str">
        <f>IF(OR(AF553="",AF553="ERRO_CHAVE"),"",IFERROR(MATCH(AF553,'quitado Despesa'!$V$1:$V$12,0),""))</f>
        <v/>
      </c>
      <c r="AH553" s="15" t="str">
        <f t="shared" si="2"/>
        <v/>
      </c>
      <c r="AI553" s="17" t="str">
        <f>IF(AG553="","",INDEX('quitado Despesa'!$G$1:$G$12,AG553))</f>
        <v/>
      </c>
      <c r="AJ553" s="17" t="str">
        <f t="shared" si="3"/>
        <v/>
      </c>
    </row>
    <row r="554" spans="31:36">
      <c r="AE554" s="15" t="str">
        <f t="shared" si="0"/>
        <v/>
      </c>
      <c r="AF554" s="15" t="str">
        <f t="shared" si="1"/>
        <v/>
      </c>
      <c r="AG554" s="15" t="str">
        <f>IF(OR(AF554="",AF554="ERRO_CHAVE"),"",IFERROR(MATCH(AF554,'quitado Despesa'!$V$1:$V$12,0),""))</f>
        <v/>
      </c>
      <c r="AH554" s="15" t="str">
        <f t="shared" si="2"/>
        <v/>
      </c>
      <c r="AI554" s="17" t="str">
        <f>IF(AG554="","",INDEX('quitado Despesa'!$G$1:$G$12,AG554))</f>
        <v/>
      </c>
      <c r="AJ554" s="17" t="str">
        <f t="shared" si="3"/>
        <v/>
      </c>
    </row>
    <row r="555" spans="31:36">
      <c r="AE555" s="15" t="str">
        <f t="shared" si="0"/>
        <v/>
      </c>
      <c r="AF555" s="15" t="str">
        <f t="shared" si="1"/>
        <v/>
      </c>
      <c r="AG555" s="15" t="str">
        <f>IF(OR(AF555="",AF555="ERRO_CHAVE"),"",IFERROR(MATCH(AF555,'quitado Despesa'!$V$1:$V$12,0),""))</f>
        <v/>
      </c>
      <c r="AH555" s="15" t="str">
        <f t="shared" si="2"/>
        <v/>
      </c>
      <c r="AI555" s="17" t="str">
        <f>IF(AG555="","",INDEX('quitado Despesa'!$G$1:$G$12,AG555))</f>
        <v/>
      </c>
      <c r="AJ555" s="17" t="str">
        <f t="shared" si="3"/>
        <v/>
      </c>
    </row>
    <row r="556" spans="31:36">
      <c r="AE556" s="15" t="str">
        <f t="shared" si="0"/>
        <v/>
      </c>
      <c r="AF556" s="15" t="str">
        <f t="shared" si="1"/>
        <v/>
      </c>
      <c r="AG556" s="15" t="str">
        <f>IF(OR(AF556="",AF556="ERRO_CHAVE"),"",IFERROR(MATCH(AF556,'quitado Despesa'!$V$1:$V$12,0),""))</f>
        <v/>
      </c>
      <c r="AH556" s="15" t="str">
        <f t="shared" si="2"/>
        <v/>
      </c>
      <c r="AI556" s="17" t="str">
        <f>IF(AG556="","",INDEX('quitado Despesa'!$G$1:$G$12,AG556))</f>
        <v/>
      </c>
      <c r="AJ556" s="17" t="str">
        <f t="shared" si="3"/>
        <v/>
      </c>
    </row>
    <row r="557" spans="31:36">
      <c r="AE557" s="15" t="str">
        <f t="shared" si="0"/>
        <v/>
      </c>
      <c r="AF557" s="15" t="str">
        <f t="shared" si="1"/>
        <v/>
      </c>
      <c r="AG557" s="15" t="str">
        <f>IF(OR(AF557="",AF557="ERRO_CHAVE"),"",IFERROR(MATCH(AF557,'quitado Despesa'!$V$1:$V$12,0),""))</f>
        <v/>
      </c>
      <c r="AH557" s="15" t="str">
        <f t="shared" si="2"/>
        <v/>
      </c>
      <c r="AI557" s="17" t="str">
        <f>IF(AG557="","",INDEX('quitado Despesa'!$G$1:$G$12,AG557))</f>
        <v/>
      </c>
      <c r="AJ557" s="17" t="str">
        <f t="shared" si="3"/>
        <v/>
      </c>
    </row>
    <row r="558" spans="31:36">
      <c r="AE558" s="15" t="str">
        <f t="shared" si="0"/>
        <v/>
      </c>
      <c r="AF558" s="15" t="str">
        <f t="shared" si="1"/>
        <v/>
      </c>
      <c r="AG558" s="15" t="str">
        <f>IF(OR(AF558="",AF558="ERRO_CHAVE"),"",IFERROR(MATCH(AF558,'quitado Despesa'!$V$1:$V$12,0),""))</f>
        <v/>
      </c>
      <c r="AH558" s="15" t="str">
        <f t="shared" si="2"/>
        <v/>
      </c>
      <c r="AI558" s="17" t="str">
        <f>IF(AG558="","",INDEX('quitado Despesa'!$G$1:$G$12,AG558))</f>
        <v/>
      </c>
      <c r="AJ558" s="17" t="str">
        <f t="shared" si="3"/>
        <v/>
      </c>
    </row>
    <row r="559" spans="31:36">
      <c r="AE559" s="15" t="str">
        <f t="shared" si="0"/>
        <v/>
      </c>
      <c r="AF559" s="15" t="str">
        <f t="shared" si="1"/>
        <v/>
      </c>
      <c r="AG559" s="15" t="str">
        <f>IF(OR(AF559="",AF559="ERRO_CHAVE"),"",IFERROR(MATCH(AF559,'quitado Despesa'!$V$1:$V$12,0),""))</f>
        <v/>
      </c>
      <c r="AH559" s="15" t="str">
        <f t="shared" si="2"/>
        <v/>
      </c>
      <c r="AI559" s="17" t="str">
        <f>IF(AG559="","",INDEX('quitado Despesa'!$G$1:$G$12,AG559))</f>
        <v/>
      </c>
      <c r="AJ559" s="17" t="str">
        <f t="shared" si="3"/>
        <v/>
      </c>
    </row>
    <row r="560" spans="31:36">
      <c r="AE560" s="15" t="str">
        <f t="shared" si="0"/>
        <v/>
      </c>
      <c r="AF560" s="15" t="str">
        <f t="shared" si="1"/>
        <v/>
      </c>
      <c r="AG560" s="15" t="str">
        <f>IF(OR(AF560="",AF560="ERRO_CHAVE"),"",IFERROR(MATCH(AF560,'quitado Despesa'!$V$1:$V$12,0),""))</f>
        <v/>
      </c>
      <c r="AH560" s="15" t="str">
        <f t="shared" si="2"/>
        <v/>
      </c>
      <c r="AI560" s="17" t="str">
        <f>IF(AG560="","",INDEX('quitado Despesa'!$G$1:$G$12,AG560))</f>
        <v/>
      </c>
      <c r="AJ560" s="17" t="str">
        <f t="shared" si="3"/>
        <v/>
      </c>
    </row>
    <row r="561" spans="31:36">
      <c r="AE561" s="15" t="str">
        <f t="shared" si="0"/>
        <v/>
      </c>
      <c r="AF561" s="15" t="str">
        <f t="shared" si="1"/>
        <v/>
      </c>
      <c r="AG561" s="15" t="str">
        <f>IF(OR(AF561="",AF561="ERRO_CHAVE"),"",IFERROR(MATCH(AF561,'quitado Despesa'!$V$1:$V$12,0),""))</f>
        <v/>
      </c>
      <c r="AH561" s="15" t="str">
        <f t="shared" si="2"/>
        <v/>
      </c>
      <c r="AI561" s="17" t="str">
        <f>IF(AG561="","",INDEX('quitado Despesa'!$G$1:$G$12,AG561))</f>
        <v/>
      </c>
      <c r="AJ561" s="17" t="str">
        <f t="shared" si="3"/>
        <v/>
      </c>
    </row>
    <row r="562" spans="31:36">
      <c r="AE562" s="15" t="str">
        <f t="shared" si="0"/>
        <v/>
      </c>
      <c r="AF562" s="15" t="str">
        <f t="shared" si="1"/>
        <v/>
      </c>
      <c r="AG562" s="15" t="str">
        <f>IF(OR(AF562="",AF562="ERRO_CHAVE"),"",IFERROR(MATCH(AF562,'quitado Despesa'!$V$1:$V$12,0),""))</f>
        <v/>
      </c>
      <c r="AH562" s="15" t="str">
        <f t="shared" si="2"/>
        <v/>
      </c>
      <c r="AI562" s="17" t="str">
        <f>IF(AG562="","",INDEX('quitado Despesa'!$G$1:$G$12,AG562))</f>
        <v/>
      </c>
      <c r="AJ562" s="17" t="str">
        <f t="shared" si="3"/>
        <v/>
      </c>
    </row>
    <row r="563" spans="31:36">
      <c r="AE563" s="15" t="str">
        <f t="shared" si="0"/>
        <v/>
      </c>
      <c r="AF563" s="15" t="str">
        <f t="shared" si="1"/>
        <v/>
      </c>
      <c r="AG563" s="15" t="str">
        <f>IF(OR(AF563="",AF563="ERRO_CHAVE"),"",IFERROR(MATCH(AF563,'quitado Despesa'!$V$1:$V$12,0),""))</f>
        <v/>
      </c>
      <c r="AH563" s="15" t="str">
        <f t="shared" si="2"/>
        <v/>
      </c>
      <c r="AI563" s="17" t="str">
        <f>IF(AG563="","",INDEX('quitado Despesa'!$G$1:$G$12,AG563))</f>
        <v/>
      </c>
      <c r="AJ563" s="17" t="str">
        <f t="shared" si="3"/>
        <v/>
      </c>
    </row>
    <row r="564" spans="31:36">
      <c r="AE564" s="15" t="str">
        <f t="shared" si="0"/>
        <v/>
      </c>
      <c r="AF564" s="15" t="str">
        <f t="shared" si="1"/>
        <v/>
      </c>
      <c r="AG564" s="15" t="str">
        <f>IF(OR(AF564="",AF564="ERRO_CHAVE"),"",IFERROR(MATCH(AF564,'quitado Despesa'!$V$1:$V$12,0),""))</f>
        <v/>
      </c>
      <c r="AH564" s="15" t="str">
        <f t="shared" si="2"/>
        <v/>
      </c>
      <c r="AI564" s="17" t="str">
        <f>IF(AG564="","",INDEX('quitado Despesa'!$G$1:$G$12,AG564))</f>
        <v/>
      </c>
      <c r="AJ564" s="17" t="str">
        <f t="shared" si="3"/>
        <v/>
      </c>
    </row>
    <row r="565" spans="31:36">
      <c r="AE565" s="15" t="str">
        <f t="shared" si="0"/>
        <v/>
      </c>
      <c r="AF565" s="15" t="str">
        <f t="shared" si="1"/>
        <v/>
      </c>
      <c r="AG565" s="15" t="str">
        <f>IF(OR(AF565="",AF565="ERRO_CHAVE"),"",IFERROR(MATCH(AF565,'quitado Despesa'!$V$1:$V$12,0),""))</f>
        <v/>
      </c>
      <c r="AH565" s="15" t="str">
        <f t="shared" si="2"/>
        <v/>
      </c>
      <c r="AI565" s="17" t="str">
        <f>IF(AG565="","",INDEX('quitado Despesa'!$G$1:$G$12,AG565))</f>
        <v/>
      </c>
      <c r="AJ565" s="17" t="str">
        <f t="shared" si="3"/>
        <v/>
      </c>
    </row>
    <row r="566" spans="31:36">
      <c r="AE566" s="15" t="str">
        <f t="shared" si="0"/>
        <v/>
      </c>
      <c r="AF566" s="15" t="str">
        <f t="shared" si="1"/>
        <v/>
      </c>
      <c r="AG566" s="15" t="str">
        <f>IF(OR(AF566="",AF566="ERRO_CHAVE"),"",IFERROR(MATCH(AF566,'quitado Despesa'!$V$1:$V$12,0),""))</f>
        <v/>
      </c>
      <c r="AH566" s="15" t="str">
        <f t="shared" si="2"/>
        <v/>
      </c>
      <c r="AI566" s="17" t="str">
        <f>IF(AG566="","",INDEX('quitado Despesa'!$G$1:$G$12,AG566))</f>
        <v/>
      </c>
      <c r="AJ566" s="17" t="str">
        <f t="shared" si="3"/>
        <v/>
      </c>
    </row>
    <row r="567" spans="31:36">
      <c r="AE567" s="15" t="str">
        <f t="shared" si="0"/>
        <v/>
      </c>
      <c r="AF567" s="15" t="str">
        <f t="shared" si="1"/>
        <v/>
      </c>
      <c r="AG567" s="15" t="str">
        <f>IF(OR(AF567="",AF567="ERRO_CHAVE"),"",IFERROR(MATCH(AF567,'quitado Despesa'!$V$1:$V$12,0),""))</f>
        <v/>
      </c>
      <c r="AH567" s="15" t="str">
        <f t="shared" si="2"/>
        <v/>
      </c>
      <c r="AI567" s="17" t="str">
        <f>IF(AG567="","",INDEX('quitado Despesa'!$G$1:$G$12,AG567))</f>
        <v/>
      </c>
      <c r="AJ567" s="17" t="str">
        <f t="shared" si="3"/>
        <v/>
      </c>
    </row>
    <row r="568" spans="31:36">
      <c r="AE568" s="15" t="str">
        <f t="shared" si="0"/>
        <v/>
      </c>
      <c r="AF568" s="15" t="str">
        <f t="shared" si="1"/>
        <v/>
      </c>
      <c r="AG568" s="15" t="str">
        <f>IF(OR(AF568="",AF568="ERRO_CHAVE"),"",IFERROR(MATCH(AF568,'quitado Despesa'!$V$1:$V$12,0),""))</f>
        <v/>
      </c>
      <c r="AH568" s="15" t="str">
        <f t="shared" si="2"/>
        <v/>
      </c>
      <c r="AI568" s="17" t="str">
        <f>IF(AG568="","",INDEX('quitado Despesa'!$G$1:$G$12,AG568))</f>
        <v/>
      </c>
      <c r="AJ568" s="17" t="str">
        <f t="shared" si="3"/>
        <v/>
      </c>
    </row>
    <row r="569" spans="31:36">
      <c r="AE569" s="15" t="str">
        <f t="shared" si="0"/>
        <v/>
      </c>
      <c r="AF569" s="15" t="str">
        <f t="shared" si="1"/>
        <v/>
      </c>
      <c r="AG569" s="15" t="str">
        <f>IF(OR(AF569="",AF569="ERRO_CHAVE"),"",IFERROR(MATCH(AF569,'quitado Despesa'!$V$1:$V$12,0),""))</f>
        <v/>
      </c>
      <c r="AH569" s="15" t="str">
        <f t="shared" si="2"/>
        <v/>
      </c>
      <c r="AI569" s="17" t="str">
        <f>IF(AG569="","",INDEX('quitado Despesa'!$G$1:$G$12,AG569))</f>
        <v/>
      </c>
      <c r="AJ569" s="17" t="str">
        <f t="shared" si="3"/>
        <v/>
      </c>
    </row>
    <row r="570" spans="31:36">
      <c r="AE570" s="15" t="str">
        <f t="shared" si="0"/>
        <v/>
      </c>
      <c r="AF570" s="15" t="str">
        <f t="shared" si="1"/>
        <v/>
      </c>
      <c r="AG570" s="15" t="str">
        <f>IF(OR(AF570="",AF570="ERRO_CHAVE"),"",IFERROR(MATCH(AF570,'quitado Despesa'!$V$1:$V$12,0),""))</f>
        <v/>
      </c>
      <c r="AH570" s="15" t="str">
        <f t="shared" si="2"/>
        <v/>
      </c>
      <c r="AI570" s="17" t="str">
        <f>IF(AG570="","",INDEX('quitado Despesa'!$G$1:$G$12,AG570))</f>
        <v/>
      </c>
      <c r="AJ570" s="17" t="str">
        <f t="shared" si="3"/>
        <v/>
      </c>
    </row>
    <row r="571" spans="31:36">
      <c r="AE571" s="15" t="str">
        <f t="shared" si="0"/>
        <v/>
      </c>
      <c r="AF571" s="15" t="str">
        <f t="shared" si="1"/>
        <v/>
      </c>
      <c r="AG571" s="15" t="str">
        <f>IF(OR(AF571="",AF571="ERRO_CHAVE"),"",IFERROR(MATCH(AF571,'quitado Despesa'!$V$1:$V$12,0),""))</f>
        <v/>
      </c>
      <c r="AH571" s="15" t="str">
        <f t="shared" si="2"/>
        <v/>
      </c>
      <c r="AI571" s="17" t="str">
        <f>IF(AG571="","",INDEX('quitado Despesa'!$G$1:$G$12,AG571))</f>
        <v/>
      </c>
      <c r="AJ571" s="17" t="str">
        <f t="shared" si="3"/>
        <v/>
      </c>
    </row>
    <row r="572" spans="31:36">
      <c r="AE572" s="15" t="str">
        <f t="shared" si="0"/>
        <v/>
      </c>
      <c r="AF572" s="15" t="str">
        <f t="shared" si="1"/>
        <v/>
      </c>
      <c r="AG572" s="15" t="str">
        <f>IF(OR(AF572="",AF572="ERRO_CHAVE"),"",IFERROR(MATCH(AF572,'quitado Despesa'!$V$1:$V$12,0),""))</f>
        <v/>
      </c>
      <c r="AH572" s="15" t="str">
        <f t="shared" si="2"/>
        <v/>
      </c>
      <c r="AI572" s="17" t="str">
        <f>IF(AG572="","",INDEX('quitado Despesa'!$G$1:$G$12,AG572))</f>
        <v/>
      </c>
      <c r="AJ572" s="17" t="str">
        <f t="shared" si="3"/>
        <v/>
      </c>
    </row>
    <row r="573" spans="31:36">
      <c r="AE573" s="15" t="str">
        <f t="shared" si="0"/>
        <v/>
      </c>
      <c r="AF573" s="15" t="str">
        <f t="shared" si="1"/>
        <v/>
      </c>
      <c r="AG573" s="15" t="str">
        <f>IF(OR(AF573="",AF573="ERRO_CHAVE"),"",IFERROR(MATCH(AF573,'quitado Despesa'!$V$1:$V$12,0),""))</f>
        <v/>
      </c>
      <c r="AH573" s="15" t="str">
        <f t="shared" si="2"/>
        <v/>
      </c>
      <c r="AI573" s="17" t="str">
        <f>IF(AG573="","",INDEX('quitado Despesa'!$G$1:$G$12,AG573))</f>
        <v/>
      </c>
      <c r="AJ573" s="17" t="str">
        <f t="shared" si="3"/>
        <v/>
      </c>
    </row>
    <row r="574" spans="31:36">
      <c r="AE574" s="15" t="str">
        <f t="shared" si="0"/>
        <v/>
      </c>
      <c r="AF574" s="15" t="str">
        <f t="shared" si="1"/>
        <v/>
      </c>
      <c r="AG574" s="15" t="str">
        <f>IF(OR(AF574="",AF574="ERRO_CHAVE"),"",IFERROR(MATCH(AF574,'quitado Despesa'!$V$1:$V$12,0),""))</f>
        <v/>
      </c>
      <c r="AH574" s="15" t="str">
        <f t="shared" si="2"/>
        <v/>
      </c>
      <c r="AI574" s="17" t="str">
        <f>IF(AG574="","",INDEX('quitado Despesa'!$G$1:$G$12,AG574))</f>
        <v/>
      </c>
      <c r="AJ574" s="17" t="str">
        <f t="shared" si="3"/>
        <v/>
      </c>
    </row>
    <row r="575" spans="31:36">
      <c r="AE575" s="15" t="str">
        <f t="shared" si="0"/>
        <v/>
      </c>
      <c r="AF575" s="15" t="str">
        <f t="shared" si="1"/>
        <v/>
      </c>
      <c r="AG575" s="15" t="str">
        <f>IF(OR(AF575="",AF575="ERRO_CHAVE"),"",IFERROR(MATCH(AF575,'quitado Despesa'!$V$1:$V$12,0),""))</f>
        <v/>
      </c>
      <c r="AH575" s="15" t="str">
        <f t="shared" si="2"/>
        <v/>
      </c>
      <c r="AI575" s="17" t="str">
        <f>IF(AG575="","",INDEX('quitado Despesa'!$G$1:$G$12,AG575))</f>
        <v/>
      </c>
      <c r="AJ575" s="17" t="str">
        <f t="shared" si="3"/>
        <v/>
      </c>
    </row>
    <row r="576" spans="31:36">
      <c r="AE576" s="15" t="str">
        <f t="shared" si="0"/>
        <v/>
      </c>
      <c r="AF576" s="15" t="str">
        <f t="shared" si="1"/>
        <v/>
      </c>
      <c r="AG576" s="15" t="str">
        <f>IF(OR(AF576="",AF576="ERRO_CHAVE"),"",IFERROR(MATCH(AF576,'quitado Despesa'!$V$1:$V$12,0),""))</f>
        <v/>
      </c>
      <c r="AH576" s="15" t="str">
        <f t="shared" si="2"/>
        <v/>
      </c>
      <c r="AI576" s="17" t="str">
        <f>IF(AG576="","",INDEX('quitado Despesa'!$G$1:$G$12,AG576))</f>
        <v/>
      </c>
      <c r="AJ576" s="17" t="str">
        <f t="shared" si="3"/>
        <v/>
      </c>
    </row>
    <row r="577" spans="31:36">
      <c r="AE577" s="15" t="str">
        <f t="shared" si="0"/>
        <v/>
      </c>
      <c r="AF577" s="15" t="str">
        <f t="shared" si="1"/>
        <v/>
      </c>
      <c r="AG577" s="15" t="str">
        <f>IF(OR(AF577="",AF577="ERRO_CHAVE"),"",IFERROR(MATCH(AF577,'quitado Despesa'!$V$1:$V$12,0),""))</f>
        <v/>
      </c>
      <c r="AH577" s="15" t="str">
        <f t="shared" si="2"/>
        <v/>
      </c>
      <c r="AI577" s="17" t="str">
        <f>IF(AG577="","",INDEX('quitado Despesa'!$G$1:$G$12,AG577))</f>
        <v/>
      </c>
      <c r="AJ577" s="17" t="str">
        <f t="shared" si="3"/>
        <v/>
      </c>
    </row>
    <row r="578" spans="31:36">
      <c r="AE578" s="15" t="str">
        <f t="shared" si="0"/>
        <v/>
      </c>
      <c r="AF578" s="15" t="str">
        <f t="shared" si="1"/>
        <v/>
      </c>
      <c r="AG578" s="15" t="str">
        <f>IF(OR(AF578="",AF578="ERRO_CHAVE"),"",IFERROR(MATCH(AF578,'quitado Despesa'!$V$1:$V$12,0),""))</f>
        <v/>
      </c>
      <c r="AH578" s="15" t="str">
        <f t="shared" si="2"/>
        <v/>
      </c>
      <c r="AI578" s="17" t="str">
        <f>IF(AG578="","",INDEX('quitado Despesa'!$G$1:$G$12,AG578))</f>
        <v/>
      </c>
      <c r="AJ578" s="17" t="str">
        <f t="shared" si="3"/>
        <v/>
      </c>
    </row>
    <row r="579" spans="31:36">
      <c r="AE579" s="15" t="str">
        <f t="shared" si="0"/>
        <v/>
      </c>
      <c r="AF579" s="15" t="str">
        <f t="shared" si="1"/>
        <v/>
      </c>
      <c r="AG579" s="15" t="str">
        <f>IF(OR(AF579="",AF579="ERRO_CHAVE"),"",IFERROR(MATCH(AF579,'quitado Despesa'!$V$1:$V$12,0),""))</f>
        <v/>
      </c>
      <c r="AH579" s="15" t="str">
        <f t="shared" si="2"/>
        <v/>
      </c>
      <c r="AI579" s="17" t="str">
        <f>IF(AG579="","",INDEX('quitado Despesa'!$G$1:$G$12,AG579))</f>
        <v/>
      </c>
      <c r="AJ579" s="17" t="str">
        <f t="shared" si="3"/>
        <v/>
      </c>
    </row>
    <row r="580" spans="31:36">
      <c r="AE580" s="15" t="str">
        <f t="shared" si="0"/>
        <v/>
      </c>
      <c r="AF580" s="15" t="str">
        <f t="shared" si="1"/>
        <v/>
      </c>
      <c r="AG580" s="15" t="str">
        <f>IF(OR(AF580="",AF580="ERRO_CHAVE"),"",IFERROR(MATCH(AF580,'quitado Despesa'!$V$1:$V$12,0),""))</f>
        <v/>
      </c>
      <c r="AH580" s="15" t="str">
        <f t="shared" si="2"/>
        <v/>
      </c>
      <c r="AI580" s="17" t="str">
        <f>IF(AG580="","",INDEX('quitado Despesa'!$G$1:$G$12,AG580))</f>
        <v/>
      </c>
      <c r="AJ580" s="17" t="str">
        <f t="shared" si="3"/>
        <v/>
      </c>
    </row>
    <row r="581" spans="31:36">
      <c r="AE581" s="15" t="str">
        <f t="shared" si="0"/>
        <v/>
      </c>
      <c r="AF581" s="15" t="str">
        <f t="shared" si="1"/>
        <v/>
      </c>
      <c r="AG581" s="15" t="str">
        <f>IF(OR(AF581="",AF581="ERRO_CHAVE"),"",IFERROR(MATCH(AF581,'quitado Despesa'!$V$1:$V$12,0),""))</f>
        <v/>
      </c>
      <c r="AH581" s="15" t="str">
        <f t="shared" si="2"/>
        <v/>
      </c>
      <c r="AI581" s="17" t="str">
        <f>IF(AG581="","",INDEX('quitado Despesa'!$G$1:$G$12,AG581))</f>
        <v/>
      </c>
      <c r="AJ581" s="17" t="str">
        <f t="shared" si="3"/>
        <v/>
      </c>
    </row>
    <row r="582" spans="31:36">
      <c r="AE582" s="15" t="str">
        <f t="shared" si="0"/>
        <v/>
      </c>
      <c r="AF582" s="15" t="str">
        <f t="shared" si="1"/>
        <v/>
      </c>
      <c r="AG582" s="15" t="str">
        <f>IF(OR(AF582="",AF582="ERRO_CHAVE"),"",IFERROR(MATCH(AF582,'quitado Despesa'!$V$1:$V$12,0),""))</f>
        <v/>
      </c>
      <c r="AH582" s="15" t="str">
        <f t="shared" si="2"/>
        <v/>
      </c>
      <c r="AI582" s="17" t="str">
        <f>IF(AG582="","",INDEX('quitado Despesa'!$G$1:$G$12,AG582))</f>
        <v/>
      </c>
      <c r="AJ582" s="17" t="str">
        <f t="shared" si="3"/>
        <v/>
      </c>
    </row>
    <row r="583" spans="31:36">
      <c r="AE583" s="15" t="str">
        <f t="shared" si="0"/>
        <v/>
      </c>
      <c r="AF583" s="15" t="str">
        <f t="shared" si="1"/>
        <v/>
      </c>
      <c r="AG583" s="15" t="str">
        <f>IF(OR(AF583="",AF583="ERRO_CHAVE"),"",IFERROR(MATCH(AF583,'quitado Despesa'!$V$1:$V$12,0),""))</f>
        <v/>
      </c>
      <c r="AH583" s="15" t="str">
        <f t="shared" si="2"/>
        <v/>
      </c>
      <c r="AI583" s="17" t="str">
        <f>IF(AG583="","",INDEX('quitado Despesa'!$G$1:$G$12,AG583))</f>
        <v/>
      </c>
      <c r="AJ583" s="17" t="str">
        <f t="shared" si="3"/>
        <v/>
      </c>
    </row>
    <row r="584" spans="31:36">
      <c r="AE584" s="15" t="str">
        <f t="shared" si="0"/>
        <v/>
      </c>
      <c r="AF584" s="15" t="str">
        <f t="shared" si="1"/>
        <v/>
      </c>
      <c r="AG584" s="15" t="str">
        <f>IF(OR(AF584="",AF584="ERRO_CHAVE"),"",IFERROR(MATCH(AF584,'quitado Despesa'!$V$1:$V$12,0),""))</f>
        <v/>
      </c>
      <c r="AH584" s="15" t="str">
        <f t="shared" si="2"/>
        <v/>
      </c>
      <c r="AI584" s="17" t="str">
        <f>IF(AG584="","",INDEX('quitado Despesa'!$G$1:$G$12,AG584))</f>
        <v/>
      </c>
      <c r="AJ584" s="17" t="str">
        <f t="shared" si="3"/>
        <v/>
      </c>
    </row>
    <row r="585" spans="31:36">
      <c r="AE585" s="15" t="str">
        <f t="shared" si="0"/>
        <v/>
      </c>
      <c r="AF585" s="15" t="str">
        <f t="shared" si="1"/>
        <v/>
      </c>
      <c r="AG585" s="15" t="str">
        <f>IF(OR(AF585="",AF585="ERRO_CHAVE"),"",IFERROR(MATCH(AF585,'quitado Despesa'!$V$1:$V$12,0),""))</f>
        <v/>
      </c>
      <c r="AH585" s="15" t="str">
        <f t="shared" si="2"/>
        <v/>
      </c>
      <c r="AI585" s="17" t="str">
        <f>IF(AG585="","",INDEX('quitado Despesa'!$G$1:$G$12,AG585))</f>
        <v/>
      </c>
      <c r="AJ585" s="17" t="str">
        <f t="shared" si="3"/>
        <v/>
      </c>
    </row>
    <row r="586" spans="31:36">
      <c r="AE586" s="15" t="str">
        <f t="shared" si="0"/>
        <v/>
      </c>
      <c r="AF586" s="15" t="str">
        <f t="shared" si="1"/>
        <v/>
      </c>
      <c r="AG586" s="15" t="str">
        <f>IF(OR(AF586="",AF586="ERRO_CHAVE"),"",IFERROR(MATCH(AF586,'quitado Despesa'!$V$1:$V$12,0),""))</f>
        <v/>
      </c>
      <c r="AH586" s="15" t="str">
        <f t="shared" si="2"/>
        <v/>
      </c>
      <c r="AI586" s="17" t="str">
        <f>IF(AG586="","",INDEX('quitado Despesa'!$G$1:$G$12,AG586))</f>
        <v/>
      </c>
      <c r="AJ586" s="17" t="str">
        <f t="shared" si="3"/>
        <v/>
      </c>
    </row>
    <row r="587" spans="31:36">
      <c r="AE587" s="15" t="str">
        <f t="shared" si="0"/>
        <v/>
      </c>
      <c r="AF587" s="15" t="str">
        <f t="shared" si="1"/>
        <v/>
      </c>
      <c r="AG587" s="15" t="str">
        <f>IF(OR(AF587="",AF587="ERRO_CHAVE"),"",IFERROR(MATCH(AF587,'quitado Despesa'!$V$1:$V$12,0),""))</f>
        <v/>
      </c>
      <c r="AH587" s="15" t="str">
        <f t="shared" si="2"/>
        <v/>
      </c>
      <c r="AI587" s="17" t="str">
        <f>IF(AG587="","",INDEX('quitado Despesa'!$G$1:$G$12,AG587))</f>
        <v/>
      </c>
      <c r="AJ587" s="17" t="str">
        <f t="shared" si="3"/>
        <v/>
      </c>
    </row>
    <row r="588" spans="31:36">
      <c r="AE588" s="15" t="str">
        <f t="shared" si="0"/>
        <v/>
      </c>
      <c r="AF588" s="15" t="str">
        <f t="shared" si="1"/>
        <v/>
      </c>
      <c r="AG588" s="15" t="str">
        <f>IF(OR(AF588="",AF588="ERRO_CHAVE"),"",IFERROR(MATCH(AF588,'quitado Despesa'!$V$1:$V$12,0),""))</f>
        <v/>
      </c>
      <c r="AH588" s="15" t="str">
        <f t="shared" si="2"/>
        <v/>
      </c>
      <c r="AI588" s="17" t="str">
        <f>IF(AG588="","",INDEX('quitado Despesa'!$G$1:$G$12,AG588))</f>
        <v/>
      </c>
      <c r="AJ588" s="17" t="str">
        <f t="shared" si="3"/>
        <v/>
      </c>
    </row>
    <row r="589" spans="31:36">
      <c r="AE589" s="15" t="str">
        <f t="shared" si="0"/>
        <v/>
      </c>
      <c r="AF589" s="15" t="str">
        <f t="shared" si="1"/>
        <v/>
      </c>
      <c r="AG589" s="15" t="str">
        <f>IF(OR(AF589="",AF589="ERRO_CHAVE"),"",IFERROR(MATCH(AF589,'quitado Despesa'!$V$1:$V$12,0),""))</f>
        <v/>
      </c>
      <c r="AH589" s="15" t="str">
        <f t="shared" si="2"/>
        <v/>
      </c>
      <c r="AI589" s="17" t="str">
        <f>IF(AG589="","",INDEX('quitado Despesa'!$G$1:$G$12,AG589))</f>
        <v/>
      </c>
      <c r="AJ589" s="17" t="str">
        <f t="shared" si="3"/>
        <v/>
      </c>
    </row>
    <row r="590" spans="31:36">
      <c r="AE590" s="15" t="str">
        <f t="shared" si="0"/>
        <v/>
      </c>
      <c r="AF590" s="15" t="str">
        <f t="shared" si="1"/>
        <v/>
      </c>
      <c r="AG590" s="15" t="str">
        <f>IF(OR(AF590="",AF590="ERRO_CHAVE"),"",IFERROR(MATCH(AF590,'quitado Despesa'!$V$1:$V$12,0),""))</f>
        <v/>
      </c>
      <c r="AH590" s="15" t="str">
        <f t="shared" si="2"/>
        <v/>
      </c>
      <c r="AI590" s="17" t="str">
        <f>IF(AG590="","",INDEX('quitado Despesa'!$G$1:$G$12,AG590))</f>
        <v/>
      </c>
      <c r="AJ590" s="17" t="str">
        <f t="shared" si="3"/>
        <v/>
      </c>
    </row>
    <row r="591" spans="31:36">
      <c r="AE591" s="15" t="str">
        <f t="shared" si="0"/>
        <v/>
      </c>
      <c r="AF591" s="15" t="str">
        <f t="shared" si="1"/>
        <v/>
      </c>
      <c r="AG591" s="15" t="str">
        <f>IF(OR(AF591="",AF591="ERRO_CHAVE"),"",IFERROR(MATCH(AF591,'quitado Despesa'!$V$1:$V$12,0),""))</f>
        <v/>
      </c>
      <c r="AH591" s="15" t="str">
        <f t="shared" si="2"/>
        <v/>
      </c>
      <c r="AI591" s="17" t="str">
        <f>IF(AG591="","",INDEX('quitado Despesa'!$G$1:$G$12,AG591))</f>
        <v/>
      </c>
      <c r="AJ591" s="17" t="str">
        <f t="shared" si="3"/>
        <v/>
      </c>
    </row>
    <row r="592" spans="31:36">
      <c r="AE592" s="15" t="str">
        <f t="shared" si="0"/>
        <v/>
      </c>
      <c r="AF592" s="15" t="str">
        <f t="shared" si="1"/>
        <v/>
      </c>
      <c r="AG592" s="15" t="str">
        <f>IF(OR(AF592="",AF592="ERRO_CHAVE"),"",IFERROR(MATCH(AF592,'quitado Despesa'!$V$1:$V$12,0),""))</f>
        <v/>
      </c>
      <c r="AH592" s="15" t="str">
        <f t="shared" si="2"/>
        <v/>
      </c>
      <c r="AI592" s="17" t="str">
        <f>IF(AG592="","",INDEX('quitado Despesa'!$G$1:$G$12,AG592))</f>
        <v/>
      </c>
      <c r="AJ592" s="17" t="str">
        <f t="shared" si="3"/>
        <v/>
      </c>
    </row>
    <row r="593" spans="31:36">
      <c r="AE593" s="15" t="str">
        <f t="shared" si="0"/>
        <v/>
      </c>
      <c r="AF593" s="15" t="str">
        <f t="shared" si="1"/>
        <v/>
      </c>
      <c r="AG593" s="15" t="str">
        <f>IF(OR(AF593="",AF593="ERRO_CHAVE"),"",IFERROR(MATCH(AF593,'quitado Despesa'!$V$1:$V$12,0),""))</f>
        <v/>
      </c>
      <c r="AH593" s="15" t="str">
        <f t="shared" si="2"/>
        <v/>
      </c>
      <c r="AI593" s="17" t="str">
        <f>IF(AG593="","",INDEX('quitado Despesa'!$G$1:$G$12,AG593))</f>
        <v/>
      </c>
      <c r="AJ593" s="17" t="str">
        <f t="shared" si="3"/>
        <v/>
      </c>
    </row>
    <row r="594" spans="31:36">
      <c r="AE594" s="15" t="str">
        <f t="shared" si="0"/>
        <v/>
      </c>
      <c r="AF594" s="15" t="str">
        <f t="shared" si="1"/>
        <v/>
      </c>
      <c r="AG594" s="15" t="str">
        <f>IF(OR(AF594="",AF594="ERRO_CHAVE"),"",IFERROR(MATCH(AF594,'quitado Despesa'!$V$1:$V$12,0),""))</f>
        <v/>
      </c>
      <c r="AH594" s="15" t="str">
        <f t="shared" si="2"/>
        <v/>
      </c>
      <c r="AI594" s="17" t="str">
        <f>IF(AG594="","",INDEX('quitado Despesa'!$G$1:$G$12,AG594))</f>
        <v/>
      </c>
      <c r="AJ594" s="17" t="str">
        <f t="shared" si="3"/>
        <v/>
      </c>
    </row>
    <row r="595" spans="31:36">
      <c r="AE595" s="15" t="str">
        <f t="shared" si="0"/>
        <v/>
      </c>
      <c r="AF595" s="15" t="str">
        <f t="shared" si="1"/>
        <v/>
      </c>
      <c r="AG595" s="15" t="str">
        <f>IF(OR(AF595="",AF595="ERRO_CHAVE"),"",IFERROR(MATCH(AF595,'quitado Despesa'!$V$1:$V$12,0),""))</f>
        <v/>
      </c>
      <c r="AH595" s="15" t="str">
        <f t="shared" si="2"/>
        <v/>
      </c>
      <c r="AI595" s="17" t="str">
        <f>IF(AG595="","",INDEX('quitado Despesa'!$G$1:$G$12,AG595))</f>
        <v/>
      </c>
      <c r="AJ595" s="17" t="str">
        <f t="shared" si="3"/>
        <v/>
      </c>
    </row>
    <row r="596" spans="31:36">
      <c r="AE596" s="15" t="str">
        <f t="shared" si="0"/>
        <v/>
      </c>
      <c r="AF596" s="15" t="str">
        <f t="shared" si="1"/>
        <v/>
      </c>
      <c r="AG596" s="15" t="str">
        <f>IF(OR(AF596="",AF596="ERRO_CHAVE"),"",IFERROR(MATCH(AF596,'quitado Despesa'!$V$1:$V$12,0),""))</f>
        <v/>
      </c>
      <c r="AH596" s="15" t="str">
        <f t="shared" si="2"/>
        <v/>
      </c>
      <c r="AI596" s="17" t="str">
        <f>IF(AG596="","",INDEX('quitado Despesa'!$G$1:$G$12,AG596))</f>
        <v/>
      </c>
      <c r="AJ596" s="17" t="str">
        <f t="shared" si="3"/>
        <v/>
      </c>
    </row>
    <row r="597" spans="31:36">
      <c r="AE597" s="15" t="str">
        <f t="shared" si="0"/>
        <v/>
      </c>
      <c r="AF597" s="15" t="str">
        <f t="shared" si="1"/>
        <v/>
      </c>
      <c r="AG597" s="15" t="str">
        <f>IF(OR(AF597="",AF597="ERRO_CHAVE"),"",IFERROR(MATCH(AF597,'quitado Despesa'!$V$1:$V$12,0),""))</f>
        <v/>
      </c>
      <c r="AH597" s="15" t="str">
        <f t="shared" si="2"/>
        <v/>
      </c>
      <c r="AI597" s="17" t="str">
        <f>IF(AG597="","",INDEX('quitado Despesa'!$G$1:$G$12,AG597))</f>
        <v/>
      </c>
      <c r="AJ597" s="17" t="str">
        <f t="shared" si="3"/>
        <v/>
      </c>
    </row>
    <row r="598" spans="31:36">
      <c r="AE598" s="15" t="str">
        <f t="shared" si="0"/>
        <v/>
      </c>
      <c r="AF598" s="15" t="str">
        <f t="shared" si="1"/>
        <v/>
      </c>
      <c r="AG598" s="15" t="str">
        <f>IF(OR(AF598="",AF598="ERRO_CHAVE"),"",IFERROR(MATCH(AF598,'quitado Despesa'!$V$1:$V$12,0),""))</f>
        <v/>
      </c>
      <c r="AH598" s="15" t="str">
        <f t="shared" si="2"/>
        <v/>
      </c>
      <c r="AI598" s="17" t="str">
        <f>IF(AG598="","",INDEX('quitado Despesa'!$G$1:$G$12,AG598))</f>
        <v/>
      </c>
      <c r="AJ598" s="17" t="str">
        <f t="shared" si="3"/>
        <v/>
      </c>
    </row>
    <row r="599" spans="31:36">
      <c r="AE599" s="15" t="str">
        <f t="shared" si="0"/>
        <v/>
      </c>
      <c r="AF599" s="15" t="str">
        <f t="shared" si="1"/>
        <v/>
      </c>
      <c r="AG599" s="15" t="str">
        <f>IF(OR(AF599="",AF599="ERRO_CHAVE"),"",IFERROR(MATCH(AF599,'quitado Despesa'!$V$1:$V$12,0),""))</f>
        <v/>
      </c>
      <c r="AH599" s="15" t="str">
        <f t="shared" si="2"/>
        <v/>
      </c>
      <c r="AI599" s="17" t="str">
        <f>IF(AG599="","",INDEX('quitado Despesa'!$G$1:$G$12,AG599))</f>
        <v/>
      </c>
      <c r="AJ599" s="17" t="str">
        <f t="shared" si="3"/>
        <v/>
      </c>
    </row>
    <row r="600" spans="31:36">
      <c r="AE600" s="15" t="str">
        <f t="shared" si="0"/>
        <v/>
      </c>
      <c r="AF600" s="15" t="str">
        <f t="shared" si="1"/>
        <v/>
      </c>
      <c r="AG600" s="15" t="str">
        <f>IF(OR(AF600="",AF600="ERRO_CHAVE"),"",IFERROR(MATCH(AF600,'quitado Despesa'!$V$1:$V$12,0),""))</f>
        <v/>
      </c>
      <c r="AH600" s="15" t="str">
        <f t="shared" si="2"/>
        <v/>
      </c>
      <c r="AI600" s="17" t="str">
        <f>IF(AG600="","",INDEX('quitado Despesa'!$G$1:$G$12,AG600))</f>
        <v/>
      </c>
      <c r="AJ600" s="17" t="str">
        <f t="shared" si="3"/>
        <v/>
      </c>
    </row>
    <row r="601" spans="31:36">
      <c r="AE601" s="15" t="str">
        <f t="shared" si="0"/>
        <v/>
      </c>
      <c r="AF601" s="15" t="str">
        <f t="shared" si="1"/>
        <v/>
      </c>
      <c r="AG601" s="15" t="str">
        <f>IF(OR(AF601="",AF601="ERRO_CHAVE"),"",IFERROR(MATCH(AF601,'quitado Despesa'!$V$1:$V$12,0),""))</f>
        <v/>
      </c>
      <c r="AH601" s="15" t="str">
        <f t="shared" si="2"/>
        <v/>
      </c>
      <c r="AI601" s="17" t="str">
        <f>IF(AG601="","",INDEX('quitado Despesa'!$G$1:$G$12,AG601))</f>
        <v/>
      </c>
      <c r="AJ601" s="17" t="str">
        <f t="shared" si="3"/>
        <v/>
      </c>
    </row>
    <row r="602" spans="31:36">
      <c r="AE602" s="15" t="str">
        <f t="shared" si="0"/>
        <v/>
      </c>
      <c r="AF602" s="15" t="str">
        <f t="shared" si="1"/>
        <v/>
      </c>
      <c r="AG602" s="15" t="str">
        <f>IF(OR(AF602="",AF602="ERRO_CHAVE"),"",IFERROR(MATCH(AF602,'quitado Despesa'!$V$1:$V$12,0),""))</f>
        <v/>
      </c>
      <c r="AH602" s="15" t="str">
        <f t="shared" si="2"/>
        <v/>
      </c>
      <c r="AI602" s="17" t="str">
        <f>IF(AG602="","",INDEX('quitado Despesa'!$G$1:$G$12,AG602))</f>
        <v/>
      </c>
      <c r="AJ602" s="17" t="str">
        <f t="shared" si="3"/>
        <v/>
      </c>
    </row>
    <row r="603" spans="31:36">
      <c r="AE603" s="15" t="str">
        <f t="shared" si="0"/>
        <v/>
      </c>
      <c r="AF603" s="15" t="str">
        <f t="shared" si="1"/>
        <v/>
      </c>
      <c r="AG603" s="15" t="str">
        <f>IF(OR(AF603="",AF603="ERRO_CHAVE"),"",IFERROR(MATCH(AF603,'quitado Despesa'!$V$1:$V$12,0),""))</f>
        <v/>
      </c>
      <c r="AH603" s="15" t="str">
        <f t="shared" si="2"/>
        <v/>
      </c>
      <c r="AI603" s="17" t="str">
        <f>IF(AG603="","",INDEX('quitado Despesa'!$G$1:$G$12,AG603))</f>
        <v/>
      </c>
      <c r="AJ603" s="17" t="str">
        <f t="shared" si="3"/>
        <v/>
      </c>
    </row>
    <row r="604" spans="31:36">
      <c r="AE604" s="15" t="str">
        <f t="shared" si="0"/>
        <v/>
      </c>
      <c r="AF604" s="15" t="str">
        <f t="shared" si="1"/>
        <v/>
      </c>
      <c r="AG604" s="15" t="str">
        <f>IF(OR(AF604="",AF604="ERRO_CHAVE"),"",IFERROR(MATCH(AF604,'quitado Despesa'!$V$1:$V$12,0),""))</f>
        <v/>
      </c>
      <c r="AH604" s="15" t="str">
        <f t="shared" si="2"/>
        <v/>
      </c>
      <c r="AI604" s="17" t="str">
        <f>IF(AG604="","",INDEX('quitado Despesa'!$G$1:$G$12,AG604))</f>
        <v/>
      </c>
      <c r="AJ604" s="17" t="str">
        <f t="shared" si="3"/>
        <v/>
      </c>
    </row>
    <row r="605" spans="31:36">
      <c r="AE605" s="15" t="str">
        <f t="shared" si="0"/>
        <v/>
      </c>
      <c r="AF605" s="15" t="str">
        <f t="shared" si="1"/>
        <v/>
      </c>
      <c r="AG605" s="15" t="str">
        <f>IF(OR(AF605="",AF605="ERRO_CHAVE"),"",IFERROR(MATCH(AF605,'quitado Despesa'!$V$1:$V$12,0),""))</f>
        <v/>
      </c>
      <c r="AH605" s="15" t="str">
        <f t="shared" si="2"/>
        <v/>
      </c>
      <c r="AI605" s="17" t="str">
        <f>IF(AG605="","",INDEX('quitado Despesa'!$G$1:$G$12,AG605))</f>
        <v/>
      </c>
      <c r="AJ605" s="17" t="str">
        <f t="shared" si="3"/>
        <v/>
      </c>
    </row>
    <row r="606" spans="31:36">
      <c r="AE606" s="15" t="str">
        <f t="shared" si="0"/>
        <v/>
      </c>
      <c r="AF606" s="15" t="str">
        <f t="shared" si="1"/>
        <v/>
      </c>
      <c r="AG606" s="15" t="str">
        <f>IF(OR(AF606="",AF606="ERRO_CHAVE"),"",IFERROR(MATCH(AF606,'quitado Despesa'!$V$1:$V$12,0),""))</f>
        <v/>
      </c>
      <c r="AH606" s="15" t="str">
        <f t="shared" si="2"/>
        <v/>
      </c>
      <c r="AI606" s="17" t="str">
        <f>IF(AG606="","",INDEX('quitado Despesa'!$G$1:$G$12,AG606))</f>
        <v/>
      </c>
      <c r="AJ606" s="17" t="str">
        <f t="shared" si="3"/>
        <v/>
      </c>
    </row>
    <row r="607" spans="31:36">
      <c r="AE607" s="15" t="str">
        <f t="shared" si="0"/>
        <v/>
      </c>
      <c r="AF607" s="15" t="str">
        <f t="shared" si="1"/>
        <v/>
      </c>
      <c r="AG607" s="15" t="str">
        <f>IF(OR(AF607="",AF607="ERRO_CHAVE"),"",IFERROR(MATCH(AF607,'quitado Despesa'!$V$1:$V$12,0),""))</f>
        <v/>
      </c>
      <c r="AH607" s="15" t="str">
        <f t="shared" si="2"/>
        <v/>
      </c>
      <c r="AI607" s="17" t="str">
        <f>IF(AG607="","",INDEX('quitado Despesa'!$G$1:$G$12,AG607))</f>
        <v/>
      </c>
      <c r="AJ607" s="17" t="str">
        <f t="shared" si="3"/>
        <v/>
      </c>
    </row>
    <row r="608" spans="31:36">
      <c r="AE608" s="15" t="str">
        <f t="shared" si="0"/>
        <v/>
      </c>
      <c r="AF608" s="15" t="str">
        <f t="shared" si="1"/>
        <v/>
      </c>
      <c r="AG608" s="15" t="str">
        <f>IF(OR(AF608="",AF608="ERRO_CHAVE"),"",IFERROR(MATCH(AF608,'quitado Despesa'!$V$1:$V$12,0),""))</f>
        <v/>
      </c>
      <c r="AH608" s="15" t="str">
        <f t="shared" si="2"/>
        <v/>
      </c>
      <c r="AI608" s="17" t="str">
        <f>IF(AG608="","",INDEX('quitado Despesa'!$G$1:$G$12,AG608))</f>
        <v/>
      </c>
      <c r="AJ608" s="17" t="str">
        <f t="shared" si="3"/>
        <v/>
      </c>
    </row>
    <row r="609" spans="31:36">
      <c r="AE609" s="15" t="str">
        <f t="shared" si="0"/>
        <v/>
      </c>
      <c r="AF609" s="15" t="str">
        <f t="shared" si="1"/>
        <v/>
      </c>
      <c r="AG609" s="15" t="str">
        <f>IF(OR(AF609="",AF609="ERRO_CHAVE"),"",IFERROR(MATCH(AF609,'quitado Despesa'!$V$1:$V$12,0),""))</f>
        <v/>
      </c>
      <c r="AH609" s="15" t="str">
        <f t="shared" si="2"/>
        <v/>
      </c>
      <c r="AI609" s="17" t="str">
        <f>IF(AG609="","",INDEX('quitado Despesa'!$G$1:$G$12,AG609))</f>
        <v/>
      </c>
      <c r="AJ609" s="17" t="str">
        <f t="shared" si="3"/>
        <v/>
      </c>
    </row>
    <row r="610" spans="31:36">
      <c r="AE610" s="15" t="str">
        <f t="shared" si="0"/>
        <v/>
      </c>
      <c r="AF610" s="15" t="str">
        <f t="shared" si="1"/>
        <v/>
      </c>
      <c r="AG610" s="15" t="str">
        <f>IF(OR(AF610="",AF610="ERRO_CHAVE"),"",IFERROR(MATCH(AF610,'quitado Despesa'!$V$1:$V$12,0),""))</f>
        <v/>
      </c>
      <c r="AH610" s="15" t="str">
        <f t="shared" si="2"/>
        <v/>
      </c>
      <c r="AI610" s="17" t="str">
        <f>IF(AG610="","",INDEX('quitado Despesa'!$G$1:$G$12,AG610))</f>
        <v/>
      </c>
      <c r="AJ610" s="17" t="str">
        <f t="shared" si="3"/>
        <v/>
      </c>
    </row>
    <row r="611" spans="31:36">
      <c r="AE611" s="15" t="str">
        <f t="shared" si="0"/>
        <v/>
      </c>
      <c r="AF611" s="15" t="str">
        <f t="shared" si="1"/>
        <v/>
      </c>
      <c r="AG611" s="15" t="str">
        <f>IF(OR(AF611="",AF611="ERRO_CHAVE"),"",IFERROR(MATCH(AF611,'quitado Despesa'!$V$1:$V$12,0),""))</f>
        <v/>
      </c>
      <c r="AH611" s="15" t="str">
        <f t="shared" si="2"/>
        <v/>
      </c>
      <c r="AI611" s="17" t="str">
        <f>IF(AG611="","",INDEX('quitado Despesa'!$G$1:$G$12,AG611))</f>
        <v/>
      </c>
      <c r="AJ611" s="17" t="str">
        <f t="shared" si="3"/>
        <v/>
      </c>
    </row>
    <row r="612" spans="31:36">
      <c r="AE612" s="15" t="str">
        <f t="shared" si="0"/>
        <v/>
      </c>
      <c r="AF612" s="15" t="str">
        <f t="shared" si="1"/>
        <v/>
      </c>
      <c r="AG612" s="15" t="str">
        <f>IF(OR(AF612="",AF612="ERRO_CHAVE"),"",IFERROR(MATCH(AF612,'quitado Despesa'!$V$1:$V$12,0),""))</f>
        <v/>
      </c>
      <c r="AH612" s="15" t="str">
        <f t="shared" si="2"/>
        <v/>
      </c>
      <c r="AI612" s="17" t="str">
        <f>IF(AG612="","",INDEX('quitado Despesa'!$G$1:$G$12,AG612))</f>
        <v/>
      </c>
      <c r="AJ612" s="17" t="str">
        <f t="shared" si="3"/>
        <v/>
      </c>
    </row>
    <row r="613" spans="31:36">
      <c r="AE613" s="15" t="str">
        <f t="shared" si="0"/>
        <v/>
      </c>
      <c r="AF613" s="15" t="str">
        <f t="shared" si="1"/>
        <v/>
      </c>
      <c r="AG613" s="15" t="str">
        <f>IF(OR(AF613="",AF613="ERRO_CHAVE"),"",IFERROR(MATCH(AF613,'quitado Despesa'!$V$1:$V$12,0),""))</f>
        <v/>
      </c>
      <c r="AH613" s="15" t="str">
        <f t="shared" si="2"/>
        <v/>
      </c>
      <c r="AI613" s="17" t="str">
        <f>IF(AG613="","",INDEX('quitado Despesa'!$G$1:$G$12,AG613))</f>
        <v/>
      </c>
      <c r="AJ613" s="17" t="str">
        <f t="shared" si="3"/>
        <v/>
      </c>
    </row>
    <row r="614" spans="31:36">
      <c r="AE614" s="15" t="str">
        <f t="shared" si="0"/>
        <v/>
      </c>
      <c r="AF614" s="15" t="str">
        <f t="shared" si="1"/>
        <v/>
      </c>
      <c r="AG614" s="15" t="str">
        <f>IF(OR(AF614="",AF614="ERRO_CHAVE"),"",IFERROR(MATCH(AF614,'quitado Despesa'!$V$1:$V$12,0),""))</f>
        <v/>
      </c>
      <c r="AH614" s="15" t="str">
        <f t="shared" si="2"/>
        <v/>
      </c>
      <c r="AI614" s="17" t="str">
        <f>IF(AG614="","",INDEX('quitado Despesa'!$G$1:$G$12,AG614))</f>
        <v/>
      </c>
      <c r="AJ614" s="17" t="str">
        <f t="shared" si="3"/>
        <v/>
      </c>
    </row>
    <row r="615" spans="31:36">
      <c r="AE615" s="15" t="str">
        <f t="shared" si="0"/>
        <v/>
      </c>
      <c r="AF615" s="15" t="str">
        <f t="shared" si="1"/>
        <v/>
      </c>
      <c r="AG615" s="15" t="str">
        <f>IF(OR(AF615="",AF615="ERRO_CHAVE"),"",IFERROR(MATCH(AF615,'quitado Despesa'!$V$1:$V$12,0),""))</f>
        <v/>
      </c>
      <c r="AH615" s="15" t="str">
        <f t="shared" si="2"/>
        <v/>
      </c>
      <c r="AI615" s="17" t="str">
        <f>IF(AG615="","",INDEX('quitado Despesa'!$G$1:$G$12,AG615))</f>
        <v/>
      </c>
      <c r="AJ615" s="17" t="str">
        <f t="shared" si="3"/>
        <v/>
      </c>
    </row>
    <row r="616" spans="31:36">
      <c r="AE616" s="15" t="str">
        <f t="shared" si="0"/>
        <v/>
      </c>
      <c r="AF616" s="15" t="str">
        <f t="shared" si="1"/>
        <v/>
      </c>
      <c r="AG616" s="15" t="str">
        <f>IF(OR(AF616="",AF616="ERRO_CHAVE"),"",IFERROR(MATCH(AF616,'quitado Despesa'!$V$1:$V$12,0),""))</f>
        <v/>
      </c>
      <c r="AH616" s="15" t="str">
        <f t="shared" si="2"/>
        <v/>
      </c>
      <c r="AI616" s="17" t="str">
        <f>IF(AG616="","",INDEX('quitado Despesa'!$G$1:$G$12,AG616))</f>
        <v/>
      </c>
      <c r="AJ616" s="17" t="str">
        <f t="shared" si="3"/>
        <v/>
      </c>
    </row>
    <row r="617" spans="31:36">
      <c r="AE617" s="15" t="str">
        <f t="shared" si="0"/>
        <v/>
      </c>
      <c r="AF617" s="15" t="str">
        <f t="shared" si="1"/>
        <v/>
      </c>
      <c r="AG617" s="15" t="str">
        <f>IF(OR(AF617="",AF617="ERRO_CHAVE"),"",IFERROR(MATCH(AF617,'quitado Despesa'!$V$1:$V$12,0),""))</f>
        <v/>
      </c>
      <c r="AH617" s="15" t="str">
        <f t="shared" si="2"/>
        <v/>
      </c>
      <c r="AI617" s="17" t="str">
        <f>IF(AG617="","",INDEX('quitado Despesa'!$G$1:$G$12,AG617))</f>
        <v/>
      </c>
      <c r="AJ617" s="17" t="str">
        <f t="shared" si="3"/>
        <v/>
      </c>
    </row>
    <row r="618" spans="31:36">
      <c r="AE618" s="15" t="str">
        <f t="shared" si="0"/>
        <v/>
      </c>
      <c r="AF618" s="15" t="str">
        <f t="shared" si="1"/>
        <v/>
      </c>
      <c r="AG618" s="15" t="str">
        <f>IF(OR(AF618="",AF618="ERRO_CHAVE"),"",IFERROR(MATCH(AF618,'quitado Despesa'!$V$1:$V$12,0),""))</f>
        <v/>
      </c>
      <c r="AH618" s="15" t="str">
        <f t="shared" si="2"/>
        <v/>
      </c>
      <c r="AI618" s="17" t="str">
        <f>IF(AG618="","",INDEX('quitado Despesa'!$G$1:$G$12,AG618))</f>
        <v/>
      </c>
      <c r="AJ618" s="17" t="str">
        <f t="shared" si="3"/>
        <v/>
      </c>
    </row>
    <row r="619" spans="31:36">
      <c r="AE619" s="15" t="str">
        <f t="shared" si="0"/>
        <v/>
      </c>
      <c r="AF619" s="15" t="str">
        <f t="shared" si="1"/>
        <v/>
      </c>
      <c r="AG619" s="15" t="str">
        <f>IF(OR(AF619="",AF619="ERRO_CHAVE"),"",IFERROR(MATCH(AF619,'quitado Despesa'!$V$1:$V$12,0),""))</f>
        <v/>
      </c>
      <c r="AH619" s="15" t="str">
        <f t="shared" si="2"/>
        <v/>
      </c>
      <c r="AI619" s="17" t="str">
        <f>IF(AG619="","",INDEX('quitado Despesa'!$G$1:$G$12,AG619))</f>
        <v/>
      </c>
      <c r="AJ619" s="17" t="str">
        <f t="shared" si="3"/>
        <v/>
      </c>
    </row>
    <row r="620" spans="31:36">
      <c r="AE620" s="15" t="str">
        <f t="shared" si="0"/>
        <v/>
      </c>
      <c r="AF620" s="15" t="str">
        <f t="shared" si="1"/>
        <v/>
      </c>
      <c r="AG620" s="15" t="str">
        <f>IF(OR(AF620="",AF620="ERRO_CHAVE"),"",IFERROR(MATCH(AF620,'quitado Despesa'!$V$1:$V$12,0),""))</f>
        <v/>
      </c>
      <c r="AH620" s="15" t="str">
        <f t="shared" si="2"/>
        <v/>
      </c>
      <c r="AI620" s="17" t="str">
        <f>IF(AG620="","",INDEX('quitado Despesa'!$G$1:$G$12,AG620))</f>
        <v/>
      </c>
      <c r="AJ620" s="17" t="str">
        <f t="shared" si="3"/>
        <v/>
      </c>
    </row>
    <row r="621" spans="31:36">
      <c r="AE621" s="15" t="str">
        <f t="shared" si="0"/>
        <v/>
      </c>
      <c r="AF621" s="15" t="str">
        <f t="shared" si="1"/>
        <v/>
      </c>
      <c r="AG621" s="15" t="str">
        <f>IF(OR(AF621="",AF621="ERRO_CHAVE"),"",IFERROR(MATCH(AF621,'quitado Despesa'!$V$1:$V$12,0),""))</f>
        <v/>
      </c>
      <c r="AH621" s="15" t="str">
        <f t="shared" si="2"/>
        <v/>
      </c>
      <c r="AI621" s="17" t="str">
        <f>IF(AG621="","",INDEX('quitado Despesa'!$G$1:$G$12,AG621))</f>
        <v/>
      </c>
      <c r="AJ621" s="17" t="str">
        <f t="shared" si="3"/>
        <v/>
      </c>
    </row>
    <row r="622" spans="31:36">
      <c r="AE622" s="15" t="str">
        <f t="shared" si="0"/>
        <v/>
      </c>
      <c r="AF622" s="15" t="str">
        <f t="shared" si="1"/>
        <v/>
      </c>
      <c r="AG622" s="15" t="str">
        <f>IF(OR(AF622="",AF622="ERRO_CHAVE"),"",IFERROR(MATCH(AF622,'quitado Despesa'!$V$1:$V$12,0),""))</f>
        <v/>
      </c>
      <c r="AH622" s="15" t="str">
        <f t="shared" si="2"/>
        <v/>
      </c>
      <c r="AI622" s="17" t="str">
        <f>IF(AG622="","",INDEX('quitado Despesa'!$G$1:$G$12,AG622))</f>
        <v/>
      </c>
      <c r="AJ622" s="17" t="str">
        <f t="shared" si="3"/>
        <v/>
      </c>
    </row>
    <row r="623" spans="31:36">
      <c r="AE623" s="15" t="str">
        <f t="shared" si="0"/>
        <v/>
      </c>
      <c r="AF623" s="15" t="str">
        <f t="shared" si="1"/>
        <v/>
      </c>
      <c r="AG623" s="15" t="str">
        <f>IF(OR(AF623="",AF623="ERRO_CHAVE"),"",IFERROR(MATCH(AF623,'quitado Despesa'!$V$1:$V$12,0),""))</f>
        <v/>
      </c>
      <c r="AH623" s="15" t="str">
        <f t="shared" si="2"/>
        <v/>
      </c>
      <c r="AI623" s="17" t="str">
        <f>IF(AG623="","",INDEX('quitado Despesa'!$G$1:$G$12,AG623))</f>
        <v/>
      </c>
      <c r="AJ623" s="17" t="str">
        <f t="shared" si="3"/>
        <v/>
      </c>
    </row>
    <row r="624" spans="31:36">
      <c r="AE624" s="15" t="str">
        <f t="shared" si="0"/>
        <v/>
      </c>
      <c r="AF624" s="15" t="str">
        <f t="shared" si="1"/>
        <v/>
      </c>
      <c r="AG624" s="15" t="str">
        <f>IF(OR(AF624="",AF624="ERRO_CHAVE"),"",IFERROR(MATCH(AF624,'quitado Despesa'!$V$1:$V$12,0),""))</f>
        <v/>
      </c>
      <c r="AH624" s="15" t="str">
        <f t="shared" si="2"/>
        <v/>
      </c>
      <c r="AI624" s="17" t="str">
        <f>IF(AG624="","",INDEX('quitado Despesa'!$G$1:$G$12,AG624))</f>
        <v/>
      </c>
      <c r="AJ624" s="17" t="str">
        <f t="shared" si="3"/>
        <v/>
      </c>
    </row>
    <row r="625" spans="31:36">
      <c r="AE625" s="15" t="str">
        <f t="shared" si="0"/>
        <v/>
      </c>
      <c r="AF625" s="15" t="str">
        <f t="shared" si="1"/>
        <v/>
      </c>
      <c r="AG625" s="15" t="str">
        <f>IF(OR(AF625="",AF625="ERRO_CHAVE"),"",IFERROR(MATCH(AF625,'quitado Despesa'!$V$1:$V$12,0),""))</f>
        <v/>
      </c>
      <c r="AH625" s="15" t="str">
        <f t="shared" si="2"/>
        <v/>
      </c>
      <c r="AI625" s="17" t="str">
        <f>IF(AG625="","",INDEX('quitado Despesa'!$G$1:$G$12,AG625))</f>
        <v/>
      </c>
      <c r="AJ625" s="17" t="str">
        <f t="shared" si="3"/>
        <v/>
      </c>
    </row>
    <row r="626" spans="31:36">
      <c r="AE626" s="15" t="str">
        <f t="shared" si="0"/>
        <v/>
      </c>
      <c r="AF626" s="15" t="str">
        <f t="shared" si="1"/>
        <v/>
      </c>
      <c r="AG626" s="15" t="str">
        <f>IF(OR(AF626="",AF626="ERRO_CHAVE"),"",IFERROR(MATCH(AF626,'quitado Despesa'!$V$1:$V$12,0),""))</f>
        <v/>
      </c>
      <c r="AH626" s="15" t="str">
        <f t="shared" si="2"/>
        <v/>
      </c>
      <c r="AI626" s="17" t="str">
        <f>IF(AG626="","",INDEX('quitado Despesa'!$G$1:$G$12,AG626))</f>
        <v/>
      </c>
      <c r="AJ626" s="17" t="str">
        <f t="shared" si="3"/>
        <v/>
      </c>
    </row>
    <row r="627" spans="31:36">
      <c r="AE627" s="15" t="str">
        <f t="shared" si="0"/>
        <v/>
      </c>
      <c r="AF627" s="15" t="str">
        <f t="shared" si="1"/>
        <v/>
      </c>
      <c r="AG627" s="15" t="str">
        <f>IF(OR(AF627="",AF627="ERRO_CHAVE"),"",IFERROR(MATCH(AF627,'quitado Despesa'!$V$1:$V$12,0),""))</f>
        <v/>
      </c>
      <c r="AH627" s="15" t="str">
        <f t="shared" si="2"/>
        <v/>
      </c>
      <c r="AI627" s="17" t="str">
        <f>IF(AG627="","",INDEX('quitado Despesa'!$G$1:$G$12,AG627))</f>
        <v/>
      </c>
      <c r="AJ627" s="17" t="str">
        <f t="shared" si="3"/>
        <v/>
      </c>
    </row>
    <row r="628" spans="31:36">
      <c r="AE628" s="15" t="str">
        <f t="shared" si="0"/>
        <v/>
      </c>
      <c r="AF628" s="15" t="str">
        <f t="shared" si="1"/>
        <v/>
      </c>
      <c r="AG628" s="15" t="str">
        <f>IF(OR(AF628="",AF628="ERRO_CHAVE"),"",IFERROR(MATCH(AF628,'quitado Despesa'!$V$1:$V$12,0),""))</f>
        <v/>
      </c>
      <c r="AH628" s="15" t="str">
        <f t="shared" si="2"/>
        <v/>
      </c>
      <c r="AI628" s="17" t="str">
        <f>IF(AG628="","",INDEX('quitado Despesa'!$G$1:$G$12,AG628))</f>
        <v/>
      </c>
      <c r="AJ628" s="17" t="str">
        <f t="shared" si="3"/>
        <v/>
      </c>
    </row>
    <row r="629" spans="31:36">
      <c r="AE629" s="15" t="str">
        <f t="shared" si="0"/>
        <v/>
      </c>
      <c r="AF629" s="15" t="str">
        <f t="shared" si="1"/>
        <v/>
      </c>
      <c r="AG629" s="15" t="str">
        <f>IF(OR(AF629="",AF629="ERRO_CHAVE"),"",IFERROR(MATCH(AF629,'quitado Despesa'!$V$1:$V$12,0),""))</f>
        <v/>
      </c>
      <c r="AH629" s="15" t="str">
        <f t="shared" si="2"/>
        <v/>
      </c>
      <c r="AI629" s="17" t="str">
        <f>IF(AG629="","",INDEX('quitado Despesa'!$G$1:$G$12,AG629))</f>
        <v/>
      </c>
      <c r="AJ629" s="17" t="str">
        <f t="shared" si="3"/>
        <v/>
      </c>
    </row>
    <row r="630" spans="31:36">
      <c r="AE630" s="15" t="str">
        <f t="shared" si="0"/>
        <v/>
      </c>
      <c r="AF630" s="15" t="str">
        <f t="shared" si="1"/>
        <v/>
      </c>
      <c r="AG630" s="15" t="str">
        <f>IF(OR(AF630="",AF630="ERRO_CHAVE"),"",IFERROR(MATCH(AF630,'quitado Despesa'!$V$1:$V$12,0),""))</f>
        <v/>
      </c>
      <c r="AH630" s="15" t="str">
        <f t="shared" si="2"/>
        <v/>
      </c>
      <c r="AI630" s="17" t="str">
        <f>IF(AG630="","",INDEX('quitado Despesa'!$G$1:$G$12,AG630))</f>
        <v/>
      </c>
      <c r="AJ630" s="17" t="str">
        <f t="shared" si="3"/>
        <v/>
      </c>
    </row>
    <row r="631" spans="31:36">
      <c r="AE631" s="15" t="str">
        <f t="shared" si="0"/>
        <v/>
      </c>
      <c r="AF631" s="15" t="str">
        <f t="shared" si="1"/>
        <v/>
      </c>
      <c r="AG631" s="15" t="str">
        <f>IF(OR(AF631="",AF631="ERRO_CHAVE"),"",IFERROR(MATCH(AF631,'quitado Despesa'!$V$1:$V$12,0),""))</f>
        <v/>
      </c>
      <c r="AH631" s="15" t="str">
        <f t="shared" si="2"/>
        <v/>
      </c>
      <c r="AI631" s="17" t="str">
        <f>IF(AG631="","",INDEX('quitado Despesa'!$G$1:$G$12,AG631))</f>
        <v/>
      </c>
      <c r="AJ631" s="17" t="str">
        <f t="shared" si="3"/>
        <v/>
      </c>
    </row>
    <row r="632" spans="31:36">
      <c r="AE632" s="15" t="str">
        <f t="shared" si="0"/>
        <v/>
      </c>
      <c r="AF632" s="15" t="str">
        <f t="shared" si="1"/>
        <v/>
      </c>
      <c r="AG632" s="15" t="str">
        <f>IF(OR(AF632="",AF632="ERRO_CHAVE"),"",IFERROR(MATCH(AF632,'quitado Despesa'!$V$1:$V$12,0),""))</f>
        <v/>
      </c>
      <c r="AH632" s="15" t="str">
        <f t="shared" si="2"/>
        <v/>
      </c>
      <c r="AI632" s="17" t="str">
        <f>IF(AG632="","",INDEX('quitado Despesa'!$G$1:$G$12,AG632))</f>
        <v/>
      </c>
      <c r="AJ632" s="17" t="str">
        <f t="shared" si="3"/>
        <v/>
      </c>
    </row>
    <row r="633" spans="31:36">
      <c r="AE633" s="15" t="str">
        <f t="shared" si="0"/>
        <v/>
      </c>
      <c r="AF633" s="15" t="str">
        <f t="shared" si="1"/>
        <v/>
      </c>
      <c r="AG633" s="15" t="str">
        <f>IF(OR(AF633="",AF633="ERRO_CHAVE"),"",IFERROR(MATCH(AF633,'quitado Despesa'!$V$1:$V$12,0),""))</f>
        <v/>
      </c>
      <c r="AH633" s="15" t="str">
        <f t="shared" si="2"/>
        <v/>
      </c>
      <c r="AI633" s="17" t="str">
        <f>IF(AG633="","",INDEX('quitado Despesa'!$G$1:$G$12,AG633))</f>
        <v/>
      </c>
      <c r="AJ633" s="17" t="str">
        <f t="shared" si="3"/>
        <v/>
      </c>
    </row>
    <row r="634" spans="31:36">
      <c r="AE634" s="15" t="str">
        <f t="shared" si="0"/>
        <v/>
      </c>
      <c r="AF634" s="15" t="str">
        <f t="shared" si="1"/>
        <v/>
      </c>
      <c r="AG634" s="15" t="str">
        <f>IF(OR(AF634="",AF634="ERRO_CHAVE"),"",IFERROR(MATCH(AF634,'quitado Despesa'!$V$1:$V$12,0),""))</f>
        <v/>
      </c>
      <c r="AH634" s="15" t="str">
        <f t="shared" si="2"/>
        <v/>
      </c>
      <c r="AI634" s="17" t="str">
        <f>IF(AG634="","",INDEX('quitado Despesa'!$G$1:$G$12,AG634))</f>
        <v/>
      </c>
      <c r="AJ634" s="17" t="str">
        <f t="shared" si="3"/>
        <v/>
      </c>
    </row>
    <row r="635" spans="31:36">
      <c r="AE635" s="15" t="str">
        <f t="shared" si="0"/>
        <v/>
      </c>
      <c r="AF635" s="15" t="str">
        <f t="shared" si="1"/>
        <v/>
      </c>
      <c r="AG635" s="15" t="str">
        <f>IF(OR(AF635="",AF635="ERRO_CHAVE"),"",IFERROR(MATCH(AF635,'quitado Despesa'!$V$1:$V$12,0),""))</f>
        <v/>
      </c>
      <c r="AH635" s="15" t="str">
        <f t="shared" si="2"/>
        <v/>
      </c>
      <c r="AI635" s="17" t="str">
        <f>IF(AG635="","",INDEX('quitado Despesa'!$G$1:$G$12,AG635))</f>
        <v/>
      </c>
      <c r="AJ635" s="17" t="str">
        <f t="shared" si="3"/>
        <v/>
      </c>
    </row>
    <row r="636" spans="31:36">
      <c r="AE636" s="15" t="str">
        <f t="shared" si="0"/>
        <v/>
      </c>
      <c r="AF636" s="15" t="str">
        <f t="shared" si="1"/>
        <v/>
      </c>
      <c r="AG636" s="15" t="str">
        <f>IF(OR(AF636="",AF636="ERRO_CHAVE"),"",IFERROR(MATCH(AF636,'quitado Despesa'!$V$1:$V$12,0),""))</f>
        <v/>
      </c>
      <c r="AH636" s="15" t="str">
        <f t="shared" si="2"/>
        <v/>
      </c>
      <c r="AI636" s="17" t="str">
        <f>IF(AG636="","",INDEX('quitado Despesa'!$G$1:$G$12,AG636))</f>
        <v/>
      </c>
      <c r="AJ636" s="17" t="str">
        <f t="shared" si="3"/>
        <v/>
      </c>
    </row>
    <row r="637" spans="31:36">
      <c r="AE637" s="15" t="str">
        <f t="shared" si="0"/>
        <v/>
      </c>
      <c r="AF637" s="15" t="str">
        <f t="shared" si="1"/>
        <v/>
      </c>
      <c r="AG637" s="15" t="str">
        <f>IF(OR(AF637="",AF637="ERRO_CHAVE"),"",IFERROR(MATCH(AF637,'quitado Despesa'!$V$1:$V$12,0),""))</f>
        <v/>
      </c>
      <c r="AH637" s="15" t="str">
        <f t="shared" si="2"/>
        <v/>
      </c>
      <c r="AI637" s="17" t="str">
        <f>IF(AG637="","",INDEX('quitado Despesa'!$G$1:$G$12,AG637))</f>
        <v/>
      </c>
      <c r="AJ637" s="17" t="str">
        <f t="shared" si="3"/>
        <v/>
      </c>
    </row>
    <row r="638" spans="31:36">
      <c r="AE638" s="15" t="str">
        <f t="shared" si="0"/>
        <v/>
      </c>
      <c r="AF638" s="15" t="str">
        <f t="shared" si="1"/>
        <v/>
      </c>
      <c r="AG638" s="15" t="str">
        <f>IF(OR(AF638="",AF638="ERRO_CHAVE"),"",IFERROR(MATCH(AF638,'quitado Despesa'!$V$1:$V$12,0),""))</f>
        <v/>
      </c>
      <c r="AH638" s="15" t="str">
        <f t="shared" si="2"/>
        <v/>
      </c>
      <c r="AI638" s="17" t="str">
        <f>IF(AG638="","",INDEX('quitado Despesa'!$G$1:$G$12,AG638))</f>
        <v/>
      </c>
      <c r="AJ638" s="17" t="str">
        <f t="shared" si="3"/>
        <v/>
      </c>
    </row>
    <row r="639" spans="31:36">
      <c r="AE639" s="15" t="str">
        <f t="shared" si="0"/>
        <v/>
      </c>
      <c r="AF639" s="15" t="str">
        <f t="shared" si="1"/>
        <v/>
      </c>
      <c r="AG639" s="15" t="str">
        <f>IF(OR(AF639="",AF639="ERRO_CHAVE"),"",IFERROR(MATCH(AF639,'quitado Despesa'!$V$1:$V$12,0),""))</f>
        <v/>
      </c>
      <c r="AH639" s="15" t="str">
        <f t="shared" si="2"/>
        <v/>
      </c>
      <c r="AI639" s="17" t="str">
        <f>IF(AG639="","",INDEX('quitado Despesa'!$G$1:$G$12,AG639))</f>
        <v/>
      </c>
      <c r="AJ639" s="17" t="str">
        <f t="shared" si="3"/>
        <v/>
      </c>
    </row>
    <row r="640" spans="31:36">
      <c r="AE640" s="15" t="str">
        <f t="shared" si="0"/>
        <v/>
      </c>
      <c r="AF640" s="15" t="str">
        <f t="shared" si="1"/>
        <v/>
      </c>
      <c r="AG640" s="15" t="str">
        <f>IF(OR(AF640="",AF640="ERRO_CHAVE"),"",IFERROR(MATCH(AF640,'quitado Despesa'!$V$1:$V$12,0),""))</f>
        <v/>
      </c>
      <c r="AH640" s="15" t="str">
        <f t="shared" si="2"/>
        <v/>
      </c>
      <c r="AI640" s="17" t="str">
        <f>IF(AG640="","",INDEX('quitado Despesa'!$G$1:$G$12,AG640))</f>
        <v/>
      </c>
      <c r="AJ640" s="17" t="str">
        <f t="shared" si="3"/>
        <v/>
      </c>
    </row>
    <row r="641" spans="31:36">
      <c r="AE641" s="15" t="str">
        <f t="shared" si="0"/>
        <v/>
      </c>
      <c r="AF641" s="15" t="str">
        <f t="shared" si="1"/>
        <v/>
      </c>
      <c r="AG641" s="15" t="str">
        <f>IF(OR(AF641="",AF641="ERRO_CHAVE"),"",IFERROR(MATCH(AF641,'quitado Despesa'!$V$1:$V$12,0),""))</f>
        <v/>
      </c>
      <c r="AH641" s="15" t="str">
        <f t="shared" si="2"/>
        <v/>
      </c>
      <c r="AI641" s="17" t="str">
        <f>IF(AG641="","",INDEX('quitado Despesa'!$G$1:$G$12,AG641))</f>
        <v/>
      </c>
      <c r="AJ641" s="17" t="str">
        <f t="shared" si="3"/>
        <v/>
      </c>
    </row>
    <row r="642" spans="31:36">
      <c r="AE642" s="15" t="str">
        <f t="shared" si="0"/>
        <v/>
      </c>
      <c r="AF642" s="15" t="str">
        <f t="shared" si="1"/>
        <v/>
      </c>
      <c r="AG642" s="15" t="str">
        <f>IF(OR(AF642="",AF642="ERRO_CHAVE"),"",IFERROR(MATCH(AF642,'quitado Despesa'!$V$1:$V$12,0),""))</f>
        <v/>
      </c>
      <c r="AH642" s="15" t="str">
        <f t="shared" si="2"/>
        <v/>
      </c>
      <c r="AI642" s="17" t="str">
        <f>IF(AG642="","",INDEX('quitado Despesa'!$G$1:$G$12,AG642))</f>
        <v/>
      </c>
      <c r="AJ642" s="17" t="str">
        <f t="shared" si="3"/>
        <v/>
      </c>
    </row>
    <row r="643" spans="31:36">
      <c r="AE643" s="15" t="str">
        <f t="shared" si="0"/>
        <v/>
      </c>
      <c r="AF643" s="15" t="str">
        <f t="shared" si="1"/>
        <v/>
      </c>
      <c r="AG643" s="15" t="str">
        <f>IF(OR(AF643="",AF643="ERRO_CHAVE"),"",IFERROR(MATCH(AF643,'quitado Despesa'!$V$1:$V$12,0),""))</f>
        <v/>
      </c>
      <c r="AH643" s="15" t="str">
        <f t="shared" si="2"/>
        <v/>
      </c>
      <c r="AI643" s="17" t="str">
        <f>IF(AG643="","",INDEX('quitado Despesa'!$G$1:$G$12,AG643))</f>
        <v/>
      </c>
      <c r="AJ643" s="17" t="str">
        <f t="shared" si="3"/>
        <v/>
      </c>
    </row>
    <row r="644" spans="31:36">
      <c r="AE644" s="15" t="str">
        <f t="shared" si="0"/>
        <v/>
      </c>
      <c r="AF644" s="15" t="str">
        <f t="shared" si="1"/>
        <v/>
      </c>
      <c r="AG644" s="15" t="str">
        <f>IF(OR(AF644="",AF644="ERRO_CHAVE"),"",IFERROR(MATCH(AF644,'quitado Despesa'!$V$1:$V$12,0),""))</f>
        <v/>
      </c>
      <c r="AH644" s="15" t="str">
        <f t="shared" si="2"/>
        <v/>
      </c>
      <c r="AI644" s="17" t="str">
        <f>IF(AG644="","",INDEX('quitado Despesa'!$G$1:$G$12,AG644))</f>
        <v/>
      </c>
      <c r="AJ644" s="17" t="str">
        <f t="shared" si="3"/>
        <v/>
      </c>
    </row>
    <row r="645" spans="31:36">
      <c r="AE645" s="15" t="str">
        <f t="shared" si="0"/>
        <v/>
      </c>
      <c r="AF645" s="15" t="str">
        <f t="shared" si="1"/>
        <v/>
      </c>
      <c r="AG645" s="15" t="str">
        <f>IF(OR(AF645="",AF645="ERRO_CHAVE"),"",IFERROR(MATCH(AF645,'quitado Despesa'!$V$1:$V$12,0),""))</f>
        <v/>
      </c>
      <c r="AH645" s="15" t="str">
        <f t="shared" si="2"/>
        <v/>
      </c>
      <c r="AI645" s="17" t="str">
        <f>IF(AG645="","",INDEX('quitado Despesa'!$G$1:$G$12,AG645))</f>
        <v/>
      </c>
      <c r="AJ645" s="17" t="str">
        <f t="shared" si="3"/>
        <v/>
      </c>
    </row>
    <row r="646" spans="31:36">
      <c r="AE646" s="15" t="str">
        <f t="shared" si="0"/>
        <v/>
      </c>
      <c r="AF646" s="15" t="str">
        <f t="shared" si="1"/>
        <v/>
      </c>
      <c r="AG646" s="15" t="str">
        <f>IF(OR(AF646="",AF646="ERRO_CHAVE"),"",IFERROR(MATCH(AF646,'quitado Despesa'!$V$1:$V$12,0),""))</f>
        <v/>
      </c>
      <c r="AH646" s="15" t="str">
        <f t="shared" si="2"/>
        <v/>
      </c>
      <c r="AI646" s="17" t="str">
        <f>IF(AG646="","",INDEX('quitado Despesa'!$G$1:$G$12,AG646))</f>
        <v/>
      </c>
      <c r="AJ646" s="17" t="str">
        <f t="shared" si="3"/>
        <v/>
      </c>
    </row>
    <row r="647" spans="31:36">
      <c r="AE647" s="15" t="str">
        <f t="shared" si="0"/>
        <v/>
      </c>
      <c r="AF647" s="15" t="str">
        <f t="shared" si="1"/>
        <v/>
      </c>
      <c r="AG647" s="15" t="str">
        <f>IF(OR(AF647="",AF647="ERRO_CHAVE"),"",IFERROR(MATCH(AF647,'quitado Despesa'!$V$1:$V$12,0),""))</f>
        <v/>
      </c>
      <c r="AH647" s="15" t="str">
        <f t="shared" si="2"/>
        <v/>
      </c>
      <c r="AI647" s="17" t="str">
        <f>IF(AG647="","",INDEX('quitado Despesa'!$G$1:$G$12,AG647))</f>
        <v/>
      </c>
      <c r="AJ647" s="17" t="str">
        <f t="shared" si="3"/>
        <v/>
      </c>
    </row>
    <row r="648" spans="31:36">
      <c r="AE648" s="15" t="str">
        <f t="shared" si="0"/>
        <v/>
      </c>
      <c r="AF648" s="15" t="str">
        <f t="shared" si="1"/>
        <v/>
      </c>
      <c r="AG648" s="15" t="str">
        <f>IF(OR(AF648="",AF648="ERRO_CHAVE"),"",IFERROR(MATCH(AF648,'quitado Despesa'!$V$1:$V$12,0),""))</f>
        <v/>
      </c>
      <c r="AH648" s="15" t="str">
        <f t="shared" si="2"/>
        <v/>
      </c>
      <c r="AI648" s="17" t="str">
        <f>IF(AG648="","",INDEX('quitado Despesa'!$G$1:$G$12,AG648))</f>
        <v/>
      </c>
      <c r="AJ648" s="17" t="str">
        <f t="shared" si="3"/>
        <v/>
      </c>
    </row>
    <row r="649" spans="31:36">
      <c r="AE649" s="15" t="str">
        <f t="shared" si="0"/>
        <v/>
      </c>
      <c r="AF649" s="15" t="str">
        <f t="shared" si="1"/>
        <v/>
      </c>
      <c r="AG649" s="15" t="str">
        <f>IF(OR(AF649="",AF649="ERRO_CHAVE"),"",IFERROR(MATCH(AF649,'quitado Despesa'!$V$1:$V$12,0),""))</f>
        <v/>
      </c>
      <c r="AH649" s="15" t="str">
        <f t="shared" si="2"/>
        <v/>
      </c>
      <c r="AI649" s="17" t="str">
        <f>IF(AG649="","",INDEX('quitado Despesa'!$G$1:$G$12,AG649))</f>
        <v/>
      </c>
      <c r="AJ649" s="17" t="str">
        <f t="shared" si="3"/>
        <v/>
      </c>
    </row>
    <row r="650" spans="31:36">
      <c r="AE650" s="15" t="str">
        <f t="shared" si="0"/>
        <v/>
      </c>
      <c r="AF650" s="15" t="str">
        <f t="shared" si="1"/>
        <v/>
      </c>
      <c r="AG650" s="15" t="str">
        <f>IF(OR(AF650="",AF650="ERRO_CHAVE"),"",IFERROR(MATCH(AF650,'quitado Despesa'!$V$1:$V$12,0),""))</f>
        <v/>
      </c>
      <c r="AH650" s="15" t="str">
        <f t="shared" si="2"/>
        <v/>
      </c>
      <c r="AI650" s="17" t="str">
        <f>IF(AG650="","",INDEX('quitado Despesa'!$G$1:$G$12,AG650))</f>
        <v/>
      </c>
      <c r="AJ650" s="17" t="str">
        <f t="shared" si="3"/>
        <v/>
      </c>
    </row>
    <row r="651" spans="31:36">
      <c r="AE651" s="15" t="str">
        <f t="shared" si="0"/>
        <v/>
      </c>
      <c r="AF651" s="15" t="str">
        <f t="shared" si="1"/>
        <v/>
      </c>
      <c r="AG651" s="15" t="str">
        <f>IF(OR(AF651="",AF651="ERRO_CHAVE"),"",IFERROR(MATCH(AF651,'quitado Despesa'!$V$1:$V$12,0),""))</f>
        <v/>
      </c>
      <c r="AH651" s="15" t="str">
        <f t="shared" si="2"/>
        <v/>
      </c>
      <c r="AI651" s="17" t="str">
        <f>IF(AG651="","",INDEX('quitado Despesa'!$G$1:$G$12,AG651))</f>
        <v/>
      </c>
      <c r="AJ651" s="17" t="str">
        <f t="shared" si="3"/>
        <v/>
      </c>
    </row>
    <row r="652" spans="31:36">
      <c r="AE652" s="15" t="str">
        <f t="shared" si="0"/>
        <v/>
      </c>
      <c r="AF652" s="15" t="str">
        <f t="shared" si="1"/>
        <v/>
      </c>
      <c r="AG652" s="15" t="str">
        <f>IF(OR(AF652="",AF652="ERRO_CHAVE"),"",IFERROR(MATCH(AF652,'quitado Despesa'!$V$1:$V$12,0),""))</f>
        <v/>
      </c>
      <c r="AH652" s="15" t="str">
        <f t="shared" si="2"/>
        <v/>
      </c>
      <c r="AI652" s="17" t="str">
        <f>IF(AG652="","",INDEX('quitado Despesa'!$G$1:$G$12,AG652))</f>
        <v/>
      </c>
      <c r="AJ652" s="17" t="str">
        <f t="shared" si="3"/>
        <v/>
      </c>
    </row>
    <row r="653" spans="31:36">
      <c r="AE653" s="15" t="str">
        <f t="shared" si="0"/>
        <v/>
      </c>
      <c r="AF653" s="15" t="str">
        <f t="shared" si="1"/>
        <v/>
      </c>
      <c r="AG653" s="15" t="str">
        <f>IF(OR(AF653="",AF653="ERRO_CHAVE"),"",IFERROR(MATCH(AF653,'quitado Despesa'!$V$1:$V$12,0),""))</f>
        <v/>
      </c>
      <c r="AH653" s="15" t="str">
        <f t="shared" si="2"/>
        <v/>
      </c>
      <c r="AI653" s="17" t="str">
        <f>IF(AG653="","",INDEX('quitado Despesa'!$G$1:$G$12,AG653))</f>
        <v/>
      </c>
      <c r="AJ653" s="17" t="str">
        <f t="shared" si="3"/>
        <v/>
      </c>
    </row>
    <row r="654" spans="31:36">
      <c r="AE654" s="15" t="str">
        <f t="shared" si="0"/>
        <v/>
      </c>
      <c r="AF654" s="15" t="str">
        <f t="shared" si="1"/>
        <v/>
      </c>
      <c r="AG654" s="15" t="str">
        <f>IF(OR(AF654="",AF654="ERRO_CHAVE"),"",IFERROR(MATCH(AF654,'quitado Despesa'!$V$1:$V$12,0),""))</f>
        <v/>
      </c>
      <c r="AH654" s="15" t="str">
        <f t="shared" si="2"/>
        <v/>
      </c>
      <c r="AI654" s="17" t="str">
        <f>IF(AG654="","",INDEX('quitado Despesa'!$G$1:$G$12,AG654))</f>
        <v/>
      </c>
      <c r="AJ654" s="17" t="str">
        <f t="shared" si="3"/>
        <v/>
      </c>
    </row>
    <row r="655" spans="31:36">
      <c r="AE655" s="15" t="str">
        <f t="shared" si="0"/>
        <v/>
      </c>
      <c r="AF655" s="15" t="str">
        <f t="shared" si="1"/>
        <v/>
      </c>
      <c r="AG655" s="15" t="str">
        <f>IF(OR(AF655="",AF655="ERRO_CHAVE"),"",IFERROR(MATCH(AF655,'quitado Despesa'!$V$1:$V$12,0),""))</f>
        <v/>
      </c>
      <c r="AH655" s="15" t="str">
        <f t="shared" si="2"/>
        <v/>
      </c>
      <c r="AI655" s="17" t="str">
        <f>IF(AG655="","",INDEX('quitado Despesa'!$G$1:$G$12,AG655))</f>
        <v/>
      </c>
      <c r="AJ655" s="17" t="str">
        <f t="shared" si="3"/>
        <v/>
      </c>
    </row>
    <row r="656" spans="31:36">
      <c r="AE656" s="15" t="str">
        <f t="shared" si="0"/>
        <v/>
      </c>
      <c r="AF656" s="15" t="str">
        <f t="shared" si="1"/>
        <v/>
      </c>
      <c r="AG656" s="15" t="str">
        <f>IF(OR(AF656="",AF656="ERRO_CHAVE"),"",IFERROR(MATCH(AF656,'quitado Despesa'!$V$1:$V$12,0),""))</f>
        <v/>
      </c>
      <c r="AH656" s="15" t="str">
        <f t="shared" si="2"/>
        <v/>
      </c>
      <c r="AI656" s="17" t="str">
        <f>IF(AG656="","",INDEX('quitado Despesa'!$G$1:$G$12,AG656))</f>
        <v/>
      </c>
      <c r="AJ656" s="17" t="str">
        <f t="shared" si="3"/>
        <v/>
      </c>
    </row>
    <row r="657" spans="31:36">
      <c r="AE657" s="15" t="str">
        <f t="shared" si="0"/>
        <v/>
      </c>
      <c r="AF657" s="15" t="str">
        <f t="shared" si="1"/>
        <v/>
      </c>
      <c r="AG657" s="15" t="str">
        <f>IF(OR(AF657="",AF657="ERRO_CHAVE"),"",IFERROR(MATCH(AF657,'quitado Despesa'!$V$1:$V$12,0),""))</f>
        <v/>
      </c>
      <c r="AH657" s="15" t="str">
        <f t="shared" si="2"/>
        <v/>
      </c>
      <c r="AI657" s="17" t="str">
        <f>IF(AG657="","",INDEX('quitado Despesa'!$G$1:$G$12,AG657))</f>
        <v/>
      </c>
      <c r="AJ657" s="17" t="str">
        <f t="shared" si="3"/>
        <v/>
      </c>
    </row>
    <row r="658" spans="31:36">
      <c r="AE658" s="15" t="str">
        <f t="shared" si="0"/>
        <v/>
      </c>
      <c r="AF658" s="15" t="str">
        <f t="shared" si="1"/>
        <v/>
      </c>
      <c r="AG658" s="15" t="str">
        <f>IF(OR(AF658="",AF658="ERRO_CHAVE"),"",IFERROR(MATCH(AF658,'quitado Despesa'!$V$1:$V$12,0),""))</f>
        <v/>
      </c>
      <c r="AH658" s="15" t="str">
        <f t="shared" si="2"/>
        <v/>
      </c>
      <c r="AI658" s="17" t="str">
        <f>IF(AG658="","",INDEX('quitado Despesa'!$G$1:$G$12,AG658))</f>
        <v/>
      </c>
      <c r="AJ658" s="17" t="str">
        <f t="shared" si="3"/>
        <v/>
      </c>
    </row>
    <row r="659" spans="31:36">
      <c r="AE659" s="15" t="str">
        <f t="shared" si="0"/>
        <v/>
      </c>
      <c r="AF659" s="15" t="str">
        <f t="shared" si="1"/>
        <v/>
      </c>
      <c r="AG659" s="15" t="str">
        <f>IF(OR(AF659="",AF659="ERRO_CHAVE"),"",IFERROR(MATCH(AF659,'quitado Despesa'!$V$1:$V$12,0),""))</f>
        <v/>
      </c>
      <c r="AH659" s="15" t="str">
        <f t="shared" si="2"/>
        <v/>
      </c>
      <c r="AI659" s="17" t="str">
        <f>IF(AG659="","",INDEX('quitado Despesa'!$G$1:$G$12,AG659))</f>
        <v/>
      </c>
      <c r="AJ659" s="17" t="str">
        <f t="shared" si="3"/>
        <v/>
      </c>
    </row>
    <row r="660" spans="31:36">
      <c r="AE660" s="15" t="str">
        <f t="shared" si="0"/>
        <v/>
      </c>
      <c r="AF660" s="15" t="str">
        <f t="shared" si="1"/>
        <v/>
      </c>
      <c r="AG660" s="15" t="str">
        <f>IF(OR(AF660="",AF660="ERRO_CHAVE"),"",IFERROR(MATCH(AF660,'quitado Despesa'!$V$1:$V$12,0),""))</f>
        <v/>
      </c>
      <c r="AH660" s="15" t="str">
        <f t="shared" si="2"/>
        <v/>
      </c>
      <c r="AI660" s="17" t="str">
        <f>IF(AG660="","",INDEX('quitado Despesa'!$G$1:$G$12,AG660))</f>
        <v/>
      </c>
      <c r="AJ660" s="17" t="str">
        <f t="shared" si="3"/>
        <v/>
      </c>
    </row>
    <row r="661" spans="31:36">
      <c r="AE661" s="15" t="str">
        <f t="shared" si="0"/>
        <v/>
      </c>
      <c r="AF661" s="15" t="str">
        <f t="shared" si="1"/>
        <v/>
      </c>
      <c r="AG661" s="15" t="str">
        <f>IF(OR(AF661="",AF661="ERRO_CHAVE"),"",IFERROR(MATCH(AF661,'quitado Despesa'!$V$1:$V$12,0),""))</f>
        <v/>
      </c>
      <c r="AH661" s="15" t="str">
        <f t="shared" si="2"/>
        <v/>
      </c>
      <c r="AI661" s="17" t="str">
        <f>IF(AG661="","",INDEX('quitado Despesa'!$G$1:$G$12,AG661))</f>
        <v/>
      </c>
      <c r="AJ661" s="17" t="str">
        <f t="shared" si="3"/>
        <v/>
      </c>
    </row>
    <row r="662" spans="31:36">
      <c r="AE662" s="15" t="str">
        <f t="shared" si="0"/>
        <v/>
      </c>
      <c r="AF662" s="15" t="str">
        <f t="shared" si="1"/>
        <v/>
      </c>
      <c r="AG662" s="15" t="str">
        <f>IF(OR(AF662="",AF662="ERRO_CHAVE"),"",IFERROR(MATCH(AF662,'quitado Despesa'!$V$1:$V$12,0),""))</f>
        <v/>
      </c>
      <c r="AH662" s="15" t="str">
        <f t="shared" si="2"/>
        <v/>
      </c>
      <c r="AI662" s="17" t="str">
        <f>IF(AG662="","",INDEX('quitado Despesa'!$G$1:$G$12,AG662))</f>
        <v/>
      </c>
      <c r="AJ662" s="17" t="str">
        <f t="shared" si="3"/>
        <v/>
      </c>
    </row>
    <row r="663" spans="31:36">
      <c r="AE663" s="15" t="str">
        <f t="shared" si="0"/>
        <v/>
      </c>
      <c r="AF663" s="15" t="str">
        <f t="shared" si="1"/>
        <v/>
      </c>
      <c r="AG663" s="15" t="str">
        <f>IF(OR(AF663="",AF663="ERRO_CHAVE"),"",IFERROR(MATCH(AF663,'quitado Despesa'!$V$1:$V$12,0),""))</f>
        <v/>
      </c>
      <c r="AH663" s="15" t="str">
        <f t="shared" si="2"/>
        <v/>
      </c>
      <c r="AI663" s="17" t="str">
        <f>IF(AG663="","",INDEX('quitado Despesa'!$G$1:$G$12,AG663))</f>
        <v/>
      </c>
      <c r="AJ663" s="17" t="str">
        <f t="shared" si="3"/>
        <v/>
      </c>
    </row>
    <row r="664" spans="31:36">
      <c r="AE664" s="15" t="str">
        <f t="shared" si="0"/>
        <v/>
      </c>
      <c r="AF664" s="15" t="str">
        <f t="shared" si="1"/>
        <v/>
      </c>
      <c r="AG664" s="15" t="str">
        <f>IF(OR(AF664="",AF664="ERRO_CHAVE"),"",IFERROR(MATCH(AF664,'quitado Despesa'!$V$1:$V$12,0),""))</f>
        <v/>
      </c>
      <c r="AH664" s="15" t="str">
        <f t="shared" si="2"/>
        <v/>
      </c>
      <c r="AI664" s="17" t="str">
        <f>IF(AG664="","",INDEX('quitado Despesa'!$G$1:$G$12,AG664))</f>
        <v/>
      </c>
      <c r="AJ664" s="17" t="str">
        <f t="shared" si="3"/>
        <v/>
      </c>
    </row>
    <row r="665" spans="31:36">
      <c r="AE665" s="15" t="str">
        <f t="shared" si="0"/>
        <v/>
      </c>
      <c r="AF665" s="15" t="str">
        <f t="shared" si="1"/>
        <v/>
      </c>
      <c r="AG665" s="15" t="str">
        <f>IF(OR(AF665="",AF665="ERRO_CHAVE"),"",IFERROR(MATCH(AF665,'quitado Despesa'!$V$1:$V$12,0),""))</f>
        <v/>
      </c>
      <c r="AH665" s="15" t="str">
        <f t="shared" si="2"/>
        <v/>
      </c>
      <c r="AI665" s="17" t="str">
        <f>IF(AG665="","",INDEX('quitado Despesa'!$G$1:$G$12,AG665))</f>
        <v/>
      </c>
      <c r="AJ665" s="17" t="str">
        <f t="shared" si="3"/>
        <v/>
      </c>
    </row>
    <row r="666" spans="31:36">
      <c r="AE666" s="15" t="str">
        <f t="shared" si="0"/>
        <v/>
      </c>
      <c r="AF666" s="15" t="str">
        <f t="shared" si="1"/>
        <v/>
      </c>
      <c r="AG666" s="15" t="str">
        <f>IF(OR(AF666="",AF666="ERRO_CHAVE"),"",IFERROR(MATCH(AF666,'quitado Despesa'!$V$1:$V$12,0),""))</f>
        <v/>
      </c>
      <c r="AH666" s="15" t="str">
        <f t="shared" si="2"/>
        <v/>
      </c>
      <c r="AI666" s="17" t="str">
        <f>IF(AG666="","",INDEX('quitado Despesa'!$G$1:$G$12,AG666))</f>
        <v/>
      </c>
      <c r="AJ666" s="17" t="str">
        <f t="shared" si="3"/>
        <v/>
      </c>
    </row>
    <row r="667" spans="31:36">
      <c r="AE667" s="15" t="str">
        <f t="shared" si="0"/>
        <v/>
      </c>
      <c r="AF667" s="15" t="str">
        <f t="shared" si="1"/>
        <v/>
      </c>
      <c r="AG667" s="15" t="str">
        <f>IF(OR(AF667="",AF667="ERRO_CHAVE"),"",IFERROR(MATCH(AF667,'quitado Despesa'!$V$1:$V$12,0),""))</f>
        <v/>
      </c>
      <c r="AH667" s="15" t="str">
        <f t="shared" si="2"/>
        <v/>
      </c>
      <c r="AI667" s="17" t="str">
        <f>IF(AG667="","",INDEX('quitado Despesa'!$G$1:$G$12,AG667))</f>
        <v/>
      </c>
      <c r="AJ667" s="17" t="str">
        <f t="shared" si="3"/>
        <v/>
      </c>
    </row>
    <row r="668" spans="31:36">
      <c r="AE668" s="15" t="str">
        <f t="shared" si="0"/>
        <v/>
      </c>
      <c r="AF668" s="15" t="str">
        <f t="shared" si="1"/>
        <v/>
      </c>
      <c r="AG668" s="15" t="str">
        <f>IF(OR(AF668="",AF668="ERRO_CHAVE"),"",IFERROR(MATCH(AF668,'quitado Despesa'!$V$1:$V$12,0),""))</f>
        <v/>
      </c>
      <c r="AH668" s="15" t="str">
        <f t="shared" si="2"/>
        <v/>
      </c>
      <c r="AI668" s="17" t="str">
        <f>IF(AG668="","",INDEX('quitado Despesa'!$G$1:$G$12,AG668))</f>
        <v/>
      </c>
      <c r="AJ668" s="17" t="str">
        <f t="shared" si="3"/>
        <v/>
      </c>
    </row>
    <row r="669" spans="31:36">
      <c r="AE669" s="15" t="str">
        <f t="shared" si="0"/>
        <v/>
      </c>
      <c r="AF669" s="15" t="str">
        <f t="shared" si="1"/>
        <v/>
      </c>
      <c r="AG669" s="15" t="str">
        <f>IF(OR(AF669="",AF669="ERRO_CHAVE"),"",IFERROR(MATCH(AF669,'quitado Despesa'!$V$1:$V$12,0),""))</f>
        <v/>
      </c>
      <c r="AH669" s="15" t="str">
        <f t="shared" si="2"/>
        <v/>
      </c>
      <c r="AI669" s="17" t="str">
        <f>IF(AG669="","",INDEX('quitado Despesa'!$G$1:$G$12,AG669))</f>
        <v/>
      </c>
      <c r="AJ669" s="17" t="str">
        <f t="shared" si="3"/>
        <v/>
      </c>
    </row>
    <row r="670" spans="31:36">
      <c r="AE670" s="15" t="str">
        <f t="shared" si="0"/>
        <v/>
      </c>
      <c r="AF670" s="15" t="str">
        <f t="shared" si="1"/>
        <v/>
      </c>
      <c r="AG670" s="15" t="str">
        <f>IF(OR(AF670="",AF670="ERRO_CHAVE"),"",IFERROR(MATCH(AF670,'quitado Despesa'!$V$1:$V$12,0),""))</f>
        <v/>
      </c>
      <c r="AH670" s="15" t="str">
        <f t="shared" si="2"/>
        <v/>
      </c>
      <c r="AI670" s="17" t="str">
        <f>IF(AG670="","",INDEX('quitado Despesa'!$G$1:$G$12,AG670))</f>
        <v/>
      </c>
      <c r="AJ670" s="17" t="str">
        <f t="shared" si="3"/>
        <v/>
      </c>
    </row>
    <row r="671" spans="31:36">
      <c r="AE671" s="15" t="str">
        <f t="shared" si="0"/>
        <v/>
      </c>
      <c r="AF671" s="15" t="str">
        <f t="shared" si="1"/>
        <v/>
      </c>
      <c r="AG671" s="15" t="str">
        <f>IF(OR(AF671="",AF671="ERRO_CHAVE"),"",IFERROR(MATCH(AF671,'quitado Despesa'!$V$1:$V$12,0),""))</f>
        <v/>
      </c>
      <c r="AH671" s="15" t="str">
        <f t="shared" si="2"/>
        <v/>
      </c>
      <c r="AI671" s="17" t="str">
        <f>IF(AG671="","",INDEX('quitado Despesa'!$G$1:$G$12,AG671))</f>
        <v/>
      </c>
      <c r="AJ671" s="17" t="str">
        <f t="shared" si="3"/>
        <v/>
      </c>
    </row>
    <row r="672" spans="31:36">
      <c r="AE672" s="15" t="str">
        <f t="shared" si="0"/>
        <v/>
      </c>
      <c r="AF672" s="15" t="str">
        <f t="shared" si="1"/>
        <v/>
      </c>
      <c r="AG672" s="15" t="str">
        <f>IF(OR(AF672="",AF672="ERRO_CHAVE"),"",IFERROR(MATCH(AF672,'quitado Despesa'!$V$1:$V$12,0),""))</f>
        <v/>
      </c>
      <c r="AH672" s="15" t="str">
        <f t="shared" si="2"/>
        <v/>
      </c>
      <c r="AI672" s="17" t="str">
        <f>IF(AG672="","",INDEX('quitado Despesa'!$G$1:$G$12,AG672))</f>
        <v/>
      </c>
      <c r="AJ672" s="17" t="str">
        <f t="shared" si="3"/>
        <v/>
      </c>
    </row>
    <row r="673" spans="31:36">
      <c r="AE673" s="15" t="str">
        <f t="shared" si="0"/>
        <v/>
      </c>
      <c r="AF673" s="15" t="str">
        <f t="shared" si="1"/>
        <v/>
      </c>
      <c r="AG673" s="15" t="str">
        <f>IF(OR(AF673="",AF673="ERRO_CHAVE"),"",IFERROR(MATCH(AF673,'quitado Despesa'!$V$1:$V$12,0),""))</f>
        <v/>
      </c>
      <c r="AH673" s="15" t="str">
        <f t="shared" si="2"/>
        <v/>
      </c>
      <c r="AI673" s="17" t="str">
        <f>IF(AG673="","",INDEX('quitado Despesa'!$G$1:$G$12,AG673))</f>
        <v/>
      </c>
      <c r="AJ673" s="17" t="str">
        <f t="shared" si="3"/>
        <v/>
      </c>
    </row>
    <row r="674" spans="31:36">
      <c r="AE674" s="15" t="str">
        <f t="shared" si="0"/>
        <v/>
      </c>
      <c r="AF674" s="15" t="str">
        <f t="shared" si="1"/>
        <v/>
      </c>
      <c r="AG674" s="15" t="str">
        <f>IF(OR(AF674="",AF674="ERRO_CHAVE"),"",IFERROR(MATCH(AF674,'quitado Despesa'!$V$1:$V$12,0),""))</f>
        <v/>
      </c>
      <c r="AH674" s="15" t="str">
        <f t="shared" si="2"/>
        <v/>
      </c>
      <c r="AI674" s="17" t="str">
        <f>IF(AG674="","",INDEX('quitado Despesa'!$G$1:$G$12,AG674))</f>
        <v/>
      </c>
      <c r="AJ674" s="17" t="str">
        <f t="shared" si="3"/>
        <v/>
      </c>
    </row>
    <row r="675" spans="31:36">
      <c r="AE675" s="15" t="str">
        <f t="shared" si="0"/>
        <v/>
      </c>
      <c r="AF675" s="15" t="str">
        <f t="shared" si="1"/>
        <v/>
      </c>
      <c r="AG675" s="15" t="str">
        <f>IF(OR(AF675="",AF675="ERRO_CHAVE"),"",IFERROR(MATCH(AF675,'quitado Despesa'!$V$1:$V$12,0),""))</f>
        <v/>
      </c>
      <c r="AH675" s="15" t="str">
        <f t="shared" si="2"/>
        <v/>
      </c>
      <c r="AI675" s="17" t="str">
        <f>IF(AG675="","",INDEX('quitado Despesa'!$G$1:$G$12,AG675))</f>
        <v/>
      </c>
      <c r="AJ675" s="17" t="str">
        <f t="shared" si="3"/>
        <v/>
      </c>
    </row>
    <row r="676" spans="31:36">
      <c r="AE676" s="15" t="str">
        <f t="shared" si="0"/>
        <v/>
      </c>
      <c r="AF676" s="15" t="str">
        <f t="shared" si="1"/>
        <v/>
      </c>
      <c r="AG676" s="15" t="str">
        <f>IF(OR(AF676="",AF676="ERRO_CHAVE"),"",IFERROR(MATCH(AF676,'quitado Despesa'!$V$1:$V$12,0),""))</f>
        <v/>
      </c>
      <c r="AH676" s="15" t="str">
        <f t="shared" si="2"/>
        <v/>
      </c>
      <c r="AI676" s="17" t="str">
        <f>IF(AG676="","",INDEX('quitado Despesa'!$G$1:$G$12,AG676))</f>
        <v/>
      </c>
      <c r="AJ676" s="17" t="str">
        <f t="shared" si="3"/>
        <v/>
      </c>
    </row>
    <row r="677" spans="31:36">
      <c r="AE677" s="15" t="str">
        <f t="shared" si="0"/>
        <v/>
      </c>
      <c r="AF677" s="15" t="str">
        <f t="shared" si="1"/>
        <v/>
      </c>
      <c r="AG677" s="15" t="str">
        <f>IF(OR(AF677="",AF677="ERRO_CHAVE"),"",IFERROR(MATCH(AF677,'quitado Despesa'!$V$1:$V$12,0),""))</f>
        <v/>
      </c>
      <c r="AH677" s="15" t="str">
        <f t="shared" si="2"/>
        <v/>
      </c>
      <c r="AI677" s="17" t="str">
        <f>IF(AG677="","",INDEX('quitado Despesa'!$G$1:$G$12,AG677))</f>
        <v/>
      </c>
      <c r="AJ677" s="17" t="str">
        <f t="shared" si="3"/>
        <v/>
      </c>
    </row>
    <row r="678" spans="31:36">
      <c r="AE678" s="15" t="str">
        <f t="shared" si="0"/>
        <v/>
      </c>
      <c r="AF678" s="15" t="str">
        <f t="shared" si="1"/>
        <v/>
      </c>
      <c r="AG678" s="15" t="str">
        <f>IF(OR(AF678="",AF678="ERRO_CHAVE"),"",IFERROR(MATCH(AF678,'quitado Despesa'!$V$1:$V$12,0),""))</f>
        <v/>
      </c>
      <c r="AH678" s="15" t="str">
        <f t="shared" si="2"/>
        <v/>
      </c>
      <c r="AI678" s="17" t="str">
        <f>IF(AG678="","",INDEX('quitado Despesa'!$G$1:$G$12,AG678))</f>
        <v/>
      </c>
      <c r="AJ678" s="17" t="str">
        <f t="shared" si="3"/>
        <v/>
      </c>
    </row>
    <row r="679" spans="31:36">
      <c r="AE679" s="15" t="str">
        <f t="shared" si="0"/>
        <v/>
      </c>
      <c r="AF679" s="15" t="str">
        <f t="shared" si="1"/>
        <v/>
      </c>
      <c r="AG679" s="15" t="str">
        <f>IF(OR(AF679="",AF679="ERRO_CHAVE"),"",IFERROR(MATCH(AF679,'quitado Despesa'!$V$1:$V$12,0),""))</f>
        <v/>
      </c>
      <c r="AH679" s="15" t="str">
        <f t="shared" si="2"/>
        <v/>
      </c>
      <c r="AI679" s="17" t="str">
        <f>IF(AG679="","",INDEX('quitado Despesa'!$G$1:$G$12,AG679))</f>
        <v/>
      </c>
      <c r="AJ679" s="17" t="str">
        <f t="shared" si="3"/>
        <v/>
      </c>
    </row>
    <row r="680" spans="31:36">
      <c r="AE680" s="15" t="str">
        <f t="shared" si="0"/>
        <v/>
      </c>
      <c r="AF680" s="15" t="str">
        <f t="shared" si="1"/>
        <v/>
      </c>
      <c r="AG680" s="15" t="str">
        <f>IF(OR(AF680="",AF680="ERRO_CHAVE"),"",IFERROR(MATCH(AF680,'quitado Despesa'!$V$1:$V$12,0),""))</f>
        <v/>
      </c>
      <c r="AH680" s="15" t="str">
        <f t="shared" si="2"/>
        <v/>
      </c>
      <c r="AI680" s="17" t="str">
        <f>IF(AG680="","",INDEX('quitado Despesa'!$G$1:$G$12,AG680))</f>
        <v/>
      </c>
      <c r="AJ680" s="17" t="str">
        <f t="shared" si="3"/>
        <v/>
      </c>
    </row>
    <row r="681" spans="31:36">
      <c r="AE681" s="15" t="str">
        <f t="shared" si="0"/>
        <v/>
      </c>
      <c r="AF681" s="15" t="str">
        <f t="shared" si="1"/>
        <v/>
      </c>
      <c r="AG681" s="15" t="str">
        <f>IF(OR(AF681="",AF681="ERRO_CHAVE"),"",IFERROR(MATCH(AF681,'quitado Despesa'!$V$1:$V$12,0),""))</f>
        <v/>
      </c>
      <c r="AH681" s="15" t="str">
        <f t="shared" si="2"/>
        <v/>
      </c>
      <c r="AI681" s="17" t="str">
        <f>IF(AG681="","",INDEX('quitado Despesa'!$G$1:$G$12,AG681))</f>
        <v/>
      </c>
      <c r="AJ681" s="17" t="str">
        <f t="shared" si="3"/>
        <v/>
      </c>
    </row>
    <row r="682" spans="31:36">
      <c r="AE682" s="15" t="str">
        <f t="shared" si="0"/>
        <v/>
      </c>
      <c r="AF682" s="15" t="str">
        <f t="shared" si="1"/>
        <v/>
      </c>
      <c r="AG682" s="15" t="str">
        <f>IF(OR(AF682="",AF682="ERRO_CHAVE"),"",IFERROR(MATCH(AF682,'quitado Despesa'!$V$1:$V$12,0),""))</f>
        <v/>
      </c>
      <c r="AH682" s="15" t="str">
        <f t="shared" si="2"/>
        <v/>
      </c>
      <c r="AI682" s="17" t="str">
        <f>IF(AG682="","",INDEX('quitado Despesa'!$G$1:$G$12,AG682))</f>
        <v/>
      </c>
      <c r="AJ682" s="17" t="str">
        <f t="shared" si="3"/>
        <v/>
      </c>
    </row>
    <row r="683" spans="31:36">
      <c r="AE683" s="15" t="str">
        <f t="shared" si="0"/>
        <v/>
      </c>
      <c r="AF683" s="15" t="str">
        <f t="shared" si="1"/>
        <v/>
      </c>
      <c r="AG683" s="15" t="str">
        <f>IF(OR(AF683="",AF683="ERRO_CHAVE"),"",IFERROR(MATCH(AF683,'quitado Despesa'!$V$1:$V$12,0),""))</f>
        <v/>
      </c>
      <c r="AH683" s="15" t="str">
        <f t="shared" si="2"/>
        <v/>
      </c>
      <c r="AI683" s="17" t="str">
        <f>IF(AG683="","",INDEX('quitado Despesa'!$G$1:$G$12,AG683))</f>
        <v/>
      </c>
      <c r="AJ683" s="17" t="str">
        <f t="shared" si="3"/>
        <v/>
      </c>
    </row>
    <row r="684" spans="31:36">
      <c r="AE684" s="15" t="str">
        <f t="shared" si="0"/>
        <v/>
      </c>
      <c r="AF684" s="15" t="str">
        <f t="shared" si="1"/>
        <v/>
      </c>
      <c r="AG684" s="15" t="str">
        <f>IF(OR(AF684="",AF684="ERRO_CHAVE"),"",IFERROR(MATCH(AF684,'quitado Despesa'!$V$1:$V$12,0),""))</f>
        <v/>
      </c>
      <c r="AH684" s="15" t="str">
        <f t="shared" si="2"/>
        <v/>
      </c>
      <c r="AI684" s="17" t="str">
        <f>IF(AG684="","",INDEX('quitado Despesa'!$G$1:$G$12,AG684))</f>
        <v/>
      </c>
      <c r="AJ684" s="17" t="str">
        <f t="shared" si="3"/>
        <v/>
      </c>
    </row>
    <row r="685" spans="31:36">
      <c r="AE685" s="15" t="str">
        <f t="shared" si="0"/>
        <v/>
      </c>
      <c r="AF685" s="15" t="str">
        <f t="shared" si="1"/>
        <v/>
      </c>
      <c r="AG685" s="15" t="str">
        <f>IF(OR(AF685="",AF685="ERRO_CHAVE"),"",IFERROR(MATCH(AF685,'quitado Despesa'!$V$1:$V$12,0),""))</f>
        <v/>
      </c>
      <c r="AH685" s="15" t="str">
        <f t="shared" si="2"/>
        <v/>
      </c>
      <c r="AI685" s="17" t="str">
        <f>IF(AG685="","",INDEX('quitado Despesa'!$G$1:$G$12,AG685))</f>
        <v/>
      </c>
      <c r="AJ685" s="17" t="str">
        <f t="shared" si="3"/>
        <v/>
      </c>
    </row>
    <row r="686" spans="31:36">
      <c r="AE686" s="15" t="str">
        <f t="shared" si="0"/>
        <v/>
      </c>
      <c r="AF686" s="15" t="str">
        <f t="shared" si="1"/>
        <v/>
      </c>
      <c r="AG686" s="15" t="str">
        <f>IF(OR(AF686="",AF686="ERRO_CHAVE"),"",IFERROR(MATCH(AF686,'quitado Despesa'!$V$1:$V$12,0),""))</f>
        <v/>
      </c>
      <c r="AH686" s="15" t="str">
        <f t="shared" si="2"/>
        <v/>
      </c>
      <c r="AI686" s="17" t="str">
        <f>IF(AG686="","",INDEX('quitado Despesa'!$G$1:$G$12,AG686))</f>
        <v/>
      </c>
      <c r="AJ686" s="17" t="str">
        <f t="shared" si="3"/>
        <v/>
      </c>
    </row>
    <row r="687" spans="31:36">
      <c r="AE687" s="15" t="str">
        <f t="shared" si="0"/>
        <v/>
      </c>
      <c r="AF687" s="15" t="str">
        <f t="shared" si="1"/>
        <v/>
      </c>
      <c r="AG687" s="15" t="str">
        <f>IF(OR(AF687="",AF687="ERRO_CHAVE"),"",IFERROR(MATCH(AF687,'quitado Despesa'!$V$1:$V$12,0),""))</f>
        <v/>
      </c>
      <c r="AH687" s="15" t="str">
        <f t="shared" si="2"/>
        <v/>
      </c>
      <c r="AI687" s="17" t="str">
        <f>IF(AG687="","",INDEX('quitado Despesa'!$G$1:$G$12,AG687))</f>
        <v/>
      </c>
      <c r="AJ687" s="17" t="str">
        <f t="shared" si="3"/>
        <v/>
      </c>
    </row>
    <row r="688" spans="31:36">
      <c r="AE688" s="15" t="str">
        <f t="shared" si="0"/>
        <v/>
      </c>
      <c r="AF688" s="15" t="str">
        <f t="shared" si="1"/>
        <v/>
      </c>
      <c r="AG688" s="15" t="str">
        <f>IF(OR(AF688="",AF688="ERRO_CHAVE"),"",IFERROR(MATCH(AF688,'quitado Despesa'!$V$1:$V$12,0),""))</f>
        <v/>
      </c>
      <c r="AH688" s="15" t="str">
        <f t="shared" si="2"/>
        <v/>
      </c>
      <c r="AI688" s="17" t="str">
        <f>IF(AG688="","",INDEX('quitado Despesa'!$G$1:$G$12,AG688))</f>
        <v/>
      </c>
      <c r="AJ688" s="17" t="str">
        <f t="shared" si="3"/>
        <v/>
      </c>
    </row>
    <row r="689" spans="31:36">
      <c r="AE689" s="15" t="str">
        <f t="shared" si="0"/>
        <v/>
      </c>
      <c r="AF689" s="15" t="str">
        <f t="shared" si="1"/>
        <v/>
      </c>
      <c r="AG689" s="15" t="str">
        <f>IF(OR(AF689="",AF689="ERRO_CHAVE"),"",IFERROR(MATCH(AF689,'quitado Despesa'!$V$1:$V$12,0),""))</f>
        <v/>
      </c>
      <c r="AH689" s="15" t="str">
        <f t="shared" si="2"/>
        <v/>
      </c>
      <c r="AI689" s="17" t="str">
        <f>IF(AG689="","",INDEX('quitado Despesa'!$G$1:$G$12,AG689))</f>
        <v/>
      </c>
      <c r="AJ689" s="17" t="str">
        <f t="shared" si="3"/>
        <v/>
      </c>
    </row>
    <row r="690" spans="31:36">
      <c r="AE690" s="15" t="str">
        <f t="shared" si="0"/>
        <v/>
      </c>
      <c r="AF690" s="15" t="str">
        <f t="shared" si="1"/>
        <v/>
      </c>
      <c r="AG690" s="15" t="str">
        <f>IF(OR(AF690="",AF690="ERRO_CHAVE"),"",IFERROR(MATCH(AF690,'quitado Despesa'!$V$1:$V$12,0),""))</f>
        <v/>
      </c>
      <c r="AH690" s="15" t="str">
        <f t="shared" si="2"/>
        <v/>
      </c>
      <c r="AI690" s="17" t="str">
        <f>IF(AG690="","",INDEX('quitado Despesa'!$G$1:$G$12,AG690))</f>
        <v/>
      </c>
      <c r="AJ690" s="17" t="str">
        <f t="shared" si="3"/>
        <v/>
      </c>
    </row>
    <row r="691" spans="31:36">
      <c r="AE691" s="15" t="str">
        <f t="shared" si="0"/>
        <v/>
      </c>
      <c r="AF691" s="15" t="str">
        <f t="shared" si="1"/>
        <v/>
      </c>
      <c r="AG691" s="15" t="str">
        <f>IF(OR(AF691="",AF691="ERRO_CHAVE"),"",IFERROR(MATCH(AF691,'quitado Despesa'!$V$1:$V$12,0),""))</f>
        <v/>
      </c>
      <c r="AH691" s="15" t="str">
        <f t="shared" si="2"/>
        <v/>
      </c>
      <c r="AI691" s="17" t="str">
        <f>IF(AG691="","",INDEX('quitado Despesa'!$G$1:$G$12,AG691))</f>
        <v/>
      </c>
      <c r="AJ691" s="17" t="str">
        <f t="shared" si="3"/>
        <v/>
      </c>
    </row>
    <row r="692" spans="31:36">
      <c r="AE692" s="15" t="str">
        <f t="shared" si="0"/>
        <v/>
      </c>
      <c r="AF692" s="15" t="str">
        <f t="shared" si="1"/>
        <v/>
      </c>
      <c r="AG692" s="15" t="str">
        <f>IF(OR(AF692="",AF692="ERRO_CHAVE"),"",IFERROR(MATCH(AF692,'quitado Despesa'!$V$1:$V$12,0),""))</f>
        <v/>
      </c>
      <c r="AH692" s="15" t="str">
        <f t="shared" si="2"/>
        <v/>
      </c>
      <c r="AI692" s="17" t="str">
        <f>IF(AG692="","",INDEX('quitado Despesa'!$G$1:$G$12,AG692))</f>
        <v/>
      </c>
      <c r="AJ692" s="17" t="str">
        <f t="shared" si="3"/>
        <v/>
      </c>
    </row>
    <row r="693" spans="31:36">
      <c r="AE693" s="15" t="str">
        <f t="shared" si="0"/>
        <v/>
      </c>
      <c r="AF693" s="15" t="str">
        <f t="shared" si="1"/>
        <v/>
      </c>
      <c r="AG693" s="15" t="str">
        <f>IF(OR(AF693="",AF693="ERRO_CHAVE"),"",IFERROR(MATCH(AF693,'quitado Despesa'!$V$1:$V$12,0),""))</f>
        <v/>
      </c>
      <c r="AH693" s="15" t="str">
        <f t="shared" si="2"/>
        <v/>
      </c>
      <c r="AI693" s="17" t="str">
        <f>IF(AG693="","",INDEX('quitado Despesa'!$G$1:$G$12,AG693))</f>
        <v/>
      </c>
      <c r="AJ693" s="17" t="str">
        <f t="shared" si="3"/>
        <v/>
      </c>
    </row>
    <row r="694" spans="31:36">
      <c r="AE694" s="15" t="str">
        <f t="shared" si="0"/>
        <v/>
      </c>
      <c r="AF694" s="15" t="str">
        <f t="shared" si="1"/>
        <v/>
      </c>
      <c r="AG694" s="15" t="str">
        <f>IF(OR(AF694="",AF694="ERRO_CHAVE"),"",IFERROR(MATCH(AF694,'quitado Despesa'!$V$1:$V$12,0),""))</f>
        <v/>
      </c>
      <c r="AH694" s="15" t="str">
        <f t="shared" si="2"/>
        <v/>
      </c>
      <c r="AI694" s="17" t="str">
        <f>IF(AG694="","",INDEX('quitado Despesa'!$G$1:$G$12,AG694))</f>
        <v/>
      </c>
      <c r="AJ694" s="17" t="str">
        <f t="shared" si="3"/>
        <v/>
      </c>
    </row>
    <row r="695" spans="31:36">
      <c r="AE695" s="15" t="str">
        <f t="shared" si="0"/>
        <v/>
      </c>
      <c r="AF695" s="15" t="str">
        <f t="shared" si="1"/>
        <v/>
      </c>
      <c r="AG695" s="15" t="str">
        <f>IF(OR(AF695="",AF695="ERRO_CHAVE"),"",IFERROR(MATCH(AF695,'quitado Despesa'!$V$1:$V$12,0),""))</f>
        <v/>
      </c>
      <c r="AH695" s="15" t="str">
        <f t="shared" si="2"/>
        <v/>
      </c>
      <c r="AI695" s="17" t="str">
        <f>IF(AG695="","",INDEX('quitado Despesa'!$G$1:$G$12,AG695))</f>
        <v/>
      </c>
      <c r="AJ695" s="17" t="str">
        <f t="shared" si="3"/>
        <v/>
      </c>
    </row>
    <row r="696" spans="31:36">
      <c r="AE696" s="15" t="str">
        <f t="shared" si="0"/>
        <v/>
      </c>
      <c r="AF696" s="15" t="str">
        <f t="shared" si="1"/>
        <v/>
      </c>
      <c r="AG696" s="15" t="str">
        <f>IF(OR(AF696="",AF696="ERRO_CHAVE"),"",IFERROR(MATCH(AF696,'quitado Despesa'!$V$1:$V$12,0),""))</f>
        <v/>
      </c>
      <c r="AH696" s="15" t="str">
        <f t="shared" si="2"/>
        <v/>
      </c>
      <c r="AI696" s="17" t="str">
        <f>IF(AG696="","",INDEX('quitado Despesa'!$G$1:$G$12,AG696))</f>
        <v/>
      </c>
      <c r="AJ696" s="17" t="str">
        <f t="shared" si="3"/>
        <v/>
      </c>
    </row>
    <row r="697" spans="31:36">
      <c r="AE697" s="15" t="str">
        <f t="shared" si="0"/>
        <v/>
      </c>
      <c r="AF697" s="15" t="str">
        <f t="shared" si="1"/>
        <v/>
      </c>
      <c r="AG697" s="15" t="str">
        <f>IF(OR(AF697="",AF697="ERRO_CHAVE"),"",IFERROR(MATCH(AF697,'quitado Despesa'!$V$1:$V$12,0),""))</f>
        <v/>
      </c>
      <c r="AH697" s="15" t="str">
        <f t="shared" si="2"/>
        <v/>
      </c>
      <c r="AI697" s="17" t="str">
        <f>IF(AG697="","",INDEX('quitado Despesa'!$G$1:$G$12,AG697))</f>
        <v/>
      </c>
      <c r="AJ697" s="17" t="str">
        <f t="shared" si="3"/>
        <v/>
      </c>
    </row>
    <row r="698" spans="31:36">
      <c r="AE698" s="15" t="str">
        <f t="shared" si="0"/>
        <v/>
      </c>
      <c r="AF698" s="15" t="str">
        <f t="shared" si="1"/>
        <v/>
      </c>
      <c r="AG698" s="15" t="str">
        <f>IF(OR(AF698="",AF698="ERRO_CHAVE"),"",IFERROR(MATCH(AF698,'quitado Despesa'!$V$1:$V$12,0),""))</f>
        <v/>
      </c>
      <c r="AH698" s="15" t="str">
        <f t="shared" si="2"/>
        <v/>
      </c>
      <c r="AI698" s="17" t="str">
        <f>IF(AG698="","",INDEX('quitado Despesa'!$G$1:$G$12,AG698))</f>
        <v/>
      </c>
      <c r="AJ698" s="17" t="str">
        <f t="shared" si="3"/>
        <v/>
      </c>
    </row>
    <row r="699" spans="31:36">
      <c r="AE699" s="15" t="str">
        <f t="shared" si="0"/>
        <v/>
      </c>
      <c r="AF699" s="15" t="str">
        <f t="shared" si="1"/>
        <v/>
      </c>
      <c r="AG699" s="15" t="str">
        <f>IF(OR(AF699="",AF699="ERRO_CHAVE"),"",IFERROR(MATCH(AF699,'quitado Despesa'!$V$1:$V$12,0),""))</f>
        <v/>
      </c>
      <c r="AH699" s="15" t="str">
        <f t="shared" si="2"/>
        <v/>
      </c>
      <c r="AI699" s="17" t="str">
        <f>IF(AG699="","",INDEX('quitado Despesa'!$G$1:$G$12,AG699))</f>
        <v/>
      </c>
      <c r="AJ699" s="17" t="str">
        <f t="shared" si="3"/>
        <v/>
      </c>
    </row>
    <row r="700" spans="31:36">
      <c r="AE700" s="15" t="str">
        <f t="shared" si="0"/>
        <v/>
      </c>
      <c r="AF700" s="15" t="str">
        <f t="shared" si="1"/>
        <v/>
      </c>
      <c r="AG700" s="15" t="str">
        <f>IF(OR(AF700="",AF700="ERRO_CHAVE"),"",IFERROR(MATCH(AF700,'quitado Despesa'!$V$1:$V$12,0),""))</f>
        <v/>
      </c>
      <c r="AH700" s="15" t="str">
        <f t="shared" si="2"/>
        <v/>
      </c>
      <c r="AI700" s="17" t="str">
        <f>IF(AG700="","",INDEX('quitado Despesa'!$G$1:$G$12,AG700))</f>
        <v/>
      </c>
      <c r="AJ700" s="17" t="str">
        <f t="shared" si="3"/>
        <v/>
      </c>
    </row>
    <row r="701" spans="31:36">
      <c r="AE701" s="15" t="str">
        <f t="shared" si="0"/>
        <v/>
      </c>
      <c r="AF701" s="15" t="str">
        <f t="shared" si="1"/>
        <v/>
      </c>
      <c r="AG701" s="15" t="str">
        <f>IF(OR(AF701="",AF701="ERRO_CHAVE"),"",IFERROR(MATCH(AF701,'quitado Despesa'!$V$1:$V$12,0),""))</f>
        <v/>
      </c>
      <c r="AH701" s="15" t="str">
        <f t="shared" si="2"/>
        <v/>
      </c>
      <c r="AI701" s="17" t="str">
        <f>IF(AG701="","",INDEX('quitado Despesa'!$G$1:$G$12,AG701))</f>
        <v/>
      </c>
      <c r="AJ701" s="17" t="str">
        <f t="shared" si="3"/>
        <v/>
      </c>
    </row>
    <row r="702" spans="31:36">
      <c r="AE702" s="15" t="str">
        <f t="shared" si="0"/>
        <v/>
      </c>
      <c r="AF702" s="15" t="str">
        <f t="shared" si="1"/>
        <v/>
      </c>
      <c r="AG702" s="15" t="str">
        <f>IF(OR(AF702="",AF702="ERRO_CHAVE"),"",IFERROR(MATCH(AF702,'quitado Despesa'!$V$1:$V$12,0),""))</f>
        <v/>
      </c>
      <c r="AH702" s="15" t="str">
        <f t="shared" si="2"/>
        <v/>
      </c>
      <c r="AI702" s="17" t="str">
        <f>IF(AG702="","",INDEX('quitado Despesa'!$G$1:$G$12,AG702))</f>
        <v/>
      </c>
      <c r="AJ702" s="17" t="str">
        <f t="shared" si="3"/>
        <v/>
      </c>
    </row>
    <row r="703" spans="31:36">
      <c r="AE703" s="15" t="str">
        <f t="shared" si="0"/>
        <v/>
      </c>
      <c r="AF703" s="15" t="str">
        <f t="shared" si="1"/>
        <v/>
      </c>
      <c r="AG703" s="15" t="str">
        <f>IF(OR(AF703="",AF703="ERRO_CHAVE"),"",IFERROR(MATCH(AF703,'quitado Despesa'!$V$1:$V$12,0),""))</f>
        <v/>
      </c>
      <c r="AH703" s="15" t="str">
        <f t="shared" si="2"/>
        <v/>
      </c>
      <c r="AI703" s="17" t="str">
        <f>IF(AG703="","",INDEX('quitado Despesa'!$G$1:$G$12,AG703))</f>
        <v/>
      </c>
      <c r="AJ703" s="17" t="str">
        <f t="shared" si="3"/>
        <v/>
      </c>
    </row>
    <row r="704" spans="31:36">
      <c r="AE704" s="15" t="str">
        <f t="shared" si="0"/>
        <v/>
      </c>
      <c r="AF704" s="15" t="str">
        <f t="shared" si="1"/>
        <v/>
      </c>
      <c r="AG704" s="15" t="str">
        <f>IF(OR(AF704="",AF704="ERRO_CHAVE"),"",IFERROR(MATCH(AF704,'quitado Despesa'!$V$1:$V$12,0),""))</f>
        <v/>
      </c>
      <c r="AH704" s="15" t="str">
        <f t="shared" si="2"/>
        <v/>
      </c>
      <c r="AI704" s="17" t="str">
        <f>IF(AG704="","",INDEX('quitado Despesa'!$G$1:$G$12,AG704))</f>
        <v/>
      </c>
      <c r="AJ704" s="17" t="str">
        <f t="shared" si="3"/>
        <v/>
      </c>
    </row>
    <row r="705" spans="31:36">
      <c r="AE705" s="15" t="str">
        <f t="shared" si="0"/>
        <v/>
      </c>
      <c r="AF705" s="15" t="str">
        <f t="shared" si="1"/>
        <v/>
      </c>
      <c r="AG705" s="15" t="str">
        <f>IF(OR(AF705="",AF705="ERRO_CHAVE"),"",IFERROR(MATCH(AF705,'quitado Despesa'!$V$1:$V$12,0),""))</f>
        <v/>
      </c>
      <c r="AH705" s="15" t="str">
        <f t="shared" si="2"/>
        <v/>
      </c>
      <c r="AI705" s="17" t="str">
        <f>IF(AG705="","",INDEX('quitado Despesa'!$G$1:$G$12,AG705))</f>
        <v/>
      </c>
      <c r="AJ705" s="17" t="str">
        <f t="shared" si="3"/>
        <v/>
      </c>
    </row>
    <row r="706" spans="31:36">
      <c r="AE706" s="15" t="str">
        <f t="shared" si="0"/>
        <v/>
      </c>
      <c r="AF706" s="15" t="str">
        <f t="shared" si="1"/>
        <v/>
      </c>
      <c r="AG706" s="15" t="str">
        <f>IF(OR(AF706="",AF706="ERRO_CHAVE"),"",IFERROR(MATCH(AF706,'quitado Despesa'!$V$1:$V$12,0),""))</f>
        <v/>
      </c>
      <c r="AH706" s="15" t="str">
        <f t="shared" si="2"/>
        <v/>
      </c>
      <c r="AI706" s="17" t="str">
        <f>IF(AG706="","",INDEX('quitado Despesa'!$G$1:$G$12,AG706))</f>
        <v/>
      </c>
      <c r="AJ706" s="17" t="str">
        <f t="shared" si="3"/>
        <v/>
      </c>
    </row>
    <row r="707" spans="31:36">
      <c r="AE707" s="15" t="str">
        <f t="shared" si="0"/>
        <v/>
      </c>
      <c r="AF707" s="15" t="str">
        <f t="shared" si="1"/>
        <v/>
      </c>
      <c r="AG707" s="15" t="str">
        <f>IF(OR(AF707="",AF707="ERRO_CHAVE"),"",IFERROR(MATCH(AF707,'quitado Despesa'!$V$1:$V$12,0),""))</f>
        <v/>
      </c>
      <c r="AH707" s="15" t="str">
        <f t="shared" si="2"/>
        <v/>
      </c>
      <c r="AI707" s="17" t="str">
        <f>IF(AG707="","",INDEX('quitado Despesa'!$G$1:$G$12,AG707))</f>
        <v/>
      </c>
      <c r="AJ707" s="17" t="str">
        <f t="shared" si="3"/>
        <v/>
      </c>
    </row>
    <row r="708" spans="31:36">
      <c r="AE708" s="15" t="str">
        <f t="shared" si="0"/>
        <v/>
      </c>
      <c r="AF708" s="15" t="str">
        <f t="shared" si="1"/>
        <v/>
      </c>
      <c r="AG708" s="15" t="str">
        <f>IF(OR(AF708="",AF708="ERRO_CHAVE"),"",IFERROR(MATCH(AF708,'quitado Despesa'!$V$1:$V$12,0),""))</f>
        <v/>
      </c>
      <c r="AH708" s="15" t="str">
        <f t="shared" si="2"/>
        <v/>
      </c>
      <c r="AI708" s="17" t="str">
        <f>IF(AG708="","",INDEX('quitado Despesa'!$G$1:$G$12,AG708))</f>
        <v/>
      </c>
      <c r="AJ708" s="17" t="str">
        <f t="shared" si="3"/>
        <v/>
      </c>
    </row>
    <row r="709" spans="31:36">
      <c r="AE709" s="15" t="str">
        <f t="shared" si="0"/>
        <v/>
      </c>
      <c r="AF709" s="15" t="str">
        <f t="shared" si="1"/>
        <v/>
      </c>
      <c r="AG709" s="15" t="str">
        <f>IF(OR(AF709="",AF709="ERRO_CHAVE"),"",IFERROR(MATCH(AF709,'quitado Despesa'!$V$1:$V$12,0),""))</f>
        <v/>
      </c>
      <c r="AH709" s="15" t="str">
        <f t="shared" si="2"/>
        <v/>
      </c>
      <c r="AI709" s="17" t="str">
        <f>IF(AG709="","",INDEX('quitado Despesa'!$G$1:$G$12,AG709))</f>
        <v/>
      </c>
      <c r="AJ709" s="17" t="str">
        <f t="shared" si="3"/>
        <v/>
      </c>
    </row>
    <row r="710" spans="31:36">
      <c r="AE710" s="15" t="str">
        <f t="shared" si="0"/>
        <v/>
      </c>
      <c r="AF710" s="15" t="str">
        <f t="shared" si="1"/>
        <v/>
      </c>
      <c r="AG710" s="15" t="str">
        <f>IF(OR(AF710="",AF710="ERRO_CHAVE"),"",IFERROR(MATCH(AF710,'quitado Despesa'!$V$1:$V$12,0),""))</f>
        <v/>
      </c>
      <c r="AH710" s="15" t="str">
        <f t="shared" si="2"/>
        <v/>
      </c>
      <c r="AI710" s="17" t="str">
        <f>IF(AG710="","",INDEX('quitado Despesa'!$G$1:$G$12,AG710))</f>
        <v/>
      </c>
      <c r="AJ710" s="17" t="str">
        <f t="shared" si="3"/>
        <v/>
      </c>
    </row>
    <row r="711" spans="31:36">
      <c r="AE711" s="15" t="str">
        <f t="shared" si="0"/>
        <v/>
      </c>
      <c r="AF711" s="15" t="str">
        <f t="shared" si="1"/>
        <v/>
      </c>
      <c r="AG711" s="15" t="str">
        <f>IF(OR(AF711="",AF711="ERRO_CHAVE"),"",IFERROR(MATCH(AF711,'quitado Despesa'!$V$1:$V$12,0),""))</f>
        <v/>
      </c>
      <c r="AH711" s="15" t="str">
        <f t="shared" si="2"/>
        <v/>
      </c>
      <c r="AI711" s="17" t="str">
        <f>IF(AG711="","",INDEX('quitado Despesa'!$G$1:$G$12,AG711))</f>
        <v/>
      </c>
      <c r="AJ711" s="17" t="str">
        <f t="shared" si="3"/>
        <v/>
      </c>
    </row>
    <row r="712" spans="31:36">
      <c r="AE712" s="15" t="str">
        <f t="shared" si="0"/>
        <v/>
      </c>
      <c r="AF712" s="15" t="str">
        <f t="shared" si="1"/>
        <v/>
      </c>
      <c r="AG712" s="15" t="str">
        <f>IF(OR(AF712="",AF712="ERRO_CHAVE"),"",IFERROR(MATCH(AF712,'quitado Despesa'!$V$1:$V$12,0),""))</f>
        <v/>
      </c>
      <c r="AH712" s="15" t="str">
        <f t="shared" si="2"/>
        <v/>
      </c>
      <c r="AI712" s="17" t="str">
        <f>IF(AG712="","",INDEX('quitado Despesa'!$G$1:$G$12,AG712))</f>
        <v/>
      </c>
      <c r="AJ712" s="17" t="str">
        <f t="shared" si="3"/>
        <v/>
      </c>
    </row>
    <row r="713" spans="31:36">
      <c r="AE713" s="15" t="str">
        <f t="shared" si="0"/>
        <v/>
      </c>
      <c r="AF713" s="15" t="str">
        <f t="shared" si="1"/>
        <v/>
      </c>
      <c r="AG713" s="15" t="str">
        <f>IF(OR(AF713="",AF713="ERRO_CHAVE"),"",IFERROR(MATCH(AF713,'quitado Despesa'!$V$1:$V$12,0),""))</f>
        <v/>
      </c>
      <c r="AH713" s="15" t="str">
        <f t="shared" si="2"/>
        <v/>
      </c>
      <c r="AI713" s="17" t="str">
        <f>IF(AG713="","",INDEX('quitado Despesa'!$G$1:$G$12,AG713))</f>
        <v/>
      </c>
      <c r="AJ713" s="17" t="str">
        <f t="shared" si="3"/>
        <v/>
      </c>
    </row>
    <row r="714" spans="31:36">
      <c r="AE714" s="15" t="str">
        <f t="shared" si="0"/>
        <v/>
      </c>
      <c r="AF714" s="15" t="str">
        <f t="shared" si="1"/>
        <v/>
      </c>
      <c r="AG714" s="15" t="str">
        <f>IF(OR(AF714="",AF714="ERRO_CHAVE"),"",IFERROR(MATCH(AF714,'quitado Despesa'!$V$1:$V$12,0),""))</f>
        <v/>
      </c>
      <c r="AH714" s="15" t="str">
        <f t="shared" si="2"/>
        <v/>
      </c>
      <c r="AI714" s="17" t="str">
        <f>IF(AG714="","",INDEX('quitado Despesa'!$G$1:$G$12,AG714))</f>
        <v/>
      </c>
      <c r="AJ714" s="17" t="str">
        <f t="shared" si="3"/>
        <v/>
      </c>
    </row>
    <row r="715" spans="31:36">
      <c r="AE715" s="15" t="str">
        <f t="shared" si="0"/>
        <v/>
      </c>
      <c r="AF715" s="15" t="str">
        <f t="shared" si="1"/>
        <v/>
      </c>
      <c r="AG715" s="15" t="str">
        <f>IF(OR(AF715="",AF715="ERRO_CHAVE"),"",IFERROR(MATCH(AF715,'quitado Despesa'!$V$1:$V$12,0),""))</f>
        <v/>
      </c>
      <c r="AH715" s="15" t="str">
        <f t="shared" si="2"/>
        <v/>
      </c>
      <c r="AI715" s="17" t="str">
        <f>IF(AG715="","",INDEX('quitado Despesa'!$G$1:$G$12,AG715))</f>
        <v/>
      </c>
      <c r="AJ715" s="17" t="str">
        <f t="shared" si="3"/>
        <v/>
      </c>
    </row>
    <row r="716" spans="31:36">
      <c r="AE716" s="15" t="str">
        <f t="shared" si="0"/>
        <v/>
      </c>
      <c r="AF716" s="15" t="str">
        <f t="shared" si="1"/>
        <v/>
      </c>
      <c r="AG716" s="15" t="str">
        <f>IF(OR(AF716="",AF716="ERRO_CHAVE"),"",IFERROR(MATCH(AF716,'quitado Despesa'!$V$1:$V$12,0),""))</f>
        <v/>
      </c>
      <c r="AH716" s="15" t="str">
        <f t="shared" si="2"/>
        <v/>
      </c>
      <c r="AI716" s="17" t="str">
        <f>IF(AG716="","",INDEX('quitado Despesa'!$G$1:$G$12,AG716))</f>
        <v/>
      </c>
      <c r="AJ716" s="17" t="str">
        <f t="shared" si="3"/>
        <v/>
      </c>
    </row>
    <row r="717" spans="31:36">
      <c r="AE717" s="15" t="str">
        <f t="shared" si="0"/>
        <v/>
      </c>
      <c r="AF717" s="15" t="str">
        <f t="shared" si="1"/>
        <v/>
      </c>
      <c r="AG717" s="15" t="str">
        <f>IF(OR(AF717="",AF717="ERRO_CHAVE"),"",IFERROR(MATCH(AF717,'quitado Despesa'!$V$1:$V$12,0),""))</f>
        <v/>
      </c>
      <c r="AH717" s="15" t="str">
        <f t="shared" si="2"/>
        <v/>
      </c>
      <c r="AI717" s="17" t="str">
        <f>IF(AG717="","",INDEX('quitado Despesa'!$G$1:$G$12,AG717))</f>
        <v/>
      </c>
      <c r="AJ717" s="17" t="str">
        <f t="shared" si="3"/>
        <v/>
      </c>
    </row>
    <row r="718" spans="31:36">
      <c r="AE718" s="15" t="str">
        <f t="shared" si="0"/>
        <v/>
      </c>
      <c r="AF718" s="15" t="str">
        <f t="shared" si="1"/>
        <v/>
      </c>
      <c r="AG718" s="15" t="str">
        <f>IF(OR(AF718="",AF718="ERRO_CHAVE"),"",IFERROR(MATCH(AF718,'quitado Despesa'!$V$1:$V$12,0),""))</f>
        <v/>
      </c>
      <c r="AH718" s="15" t="str">
        <f t="shared" si="2"/>
        <v/>
      </c>
      <c r="AI718" s="17" t="str">
        <f>IF(AG718="","",INDEX('quitado Despesa'!$G$1:$G$12,AG718))</f>
        <v/>
      </c>
      <c r="AJ718" s="17" t="str">
        <f t="shared" si="3"/>
        <v/>
      </c>
    </row>
    <row r="719" spans="31:36">
      <c r="AE719" s="15" t="str">
        <f t="shared" si="0"/>
        <v/>
      </c>
      <c r="AF719" s="15" t="str">
        <f t="shared" si="1"/>
        <v/>
      </c>
      <c r="AG719" s="15" t="str">
        <f>IF(OR(AF719="",AF719="ERRO_CHAVE"),"",IFERROR(MATCH(AF719,'quitado Despesa'!$V$1:$V$12,0),""))</f>
        <v/>
      </c>
      <c r="AH719" s="15" t="str">
        <f t="shared" si="2"/>
        <v/>
      </c>
      <c r="AI719" s="17" t="str">
        <f>IF(AG719="","",INDEX('quitado Despesa'!$G$1:$G$12,AG719))</f>
        <v/>
      </c>
      <c r="AJ719" s="17" t="str">
        <f t="shared" si="3"/>
        <v/>
      </c>
    </row>
    <row r="720" spans="31:36">
      <c r="AE720" s="15" t="str">
        <f t="shared" si="0"/>
        <v/>
      </c>
      <c r="AF720" s="15" t="str">
        <f t="shared" si="1"/>
        <v/>
      </c>
      <c r="AG720" s="15" t="str">
        <f>IF(OR(AF720="",AF720="ERRO_CHAVE"),"",IFERROR(MATCH(AF720,'quitado Despesa'!$V$1:$V$12,0),""))</f>
        <v/>
      </c>
      <c r="AH720" s="15" t="str">
        <f t="shared" si="2"/>
        <v/>
      </c>
      <c r="AI720" s="17" t="str">
        <f>IF(AG720="","",INDEX('quitado Despesa'!$G$1:$G$12,AG720))</f>
        <v/>
      </c>
      <c r="AJ720" s="17" t="str">
        <f t="shared" si="3"/>
        <v/>
      </c>
    </row>
    <row r="721" spans="31:36">
      <c r="AE721" s="15" t="str">
        <f t="shared" si="0"/>
        <v/>
      </c>
      <c r="AF721" s="15" t="str">
        <f t="shared" si="1"/>
        <v/>
      </c>
      <c r="AG721" s="15" t="str">
        <f>IF(OR(AF721="",AF721="ERRO_CHAVE"),"",IFERROR(MATCH(AF721,'quitado Despesa'!$V$1:$V$12,0),""))</f>
        <v/>
      </c>
      <c r="AH721" s="15" t="str">
        <f t="shared" si="2"/>
        <v/>
      </c>
      <c r="AI721" s="17" t="str">
        <f>IF(AG721="","",INDEX('quitado Despesa'!$G$1:$G$12,AG721))</f>
        <v/>
      </c>
      <c r="AJ721" s="17" t="str">
        <f t="shared" si="3"/>
        <v/>
      </c>
    </row>
    <row r="722" spans="31:36">
      <c r="AE722" s="15" t="str">
        <f t="shared" si="0"/>
        <v/>
      </c>
      <c r="AF722" s="15" t="str">
        <f t="shared" si="1"/>
        <v/>
      </c>
      <c r="AG722" s="15" t="str">
        <f>IF(OR(AF722="",AF722="ERRO_CHAVE"),"",IFERROR(MATCH(AF722,'quitado Despesa'!$V$1:$V$12,0),""))</f>
        <v/>
      </c>
      <c r="AH722" s="15" t="str">
        <f t="shared" si="2"/>
        <v/>
      </c>
      <c r="AI722" s="17" t="str">
        <f>IF(AG722="","",INDEX('quitado Despesa'!$G$1:$G$12,AG722))</f>
        <v/>
      </c>
      <c r="AJ722" s="17" t="str">
        <f t="shared" si="3"/>
        <v/>
      </c>
    </row>
    <row r="723" spans="31:36">
      <c r="AE723" s="15" t="str">
        <f t="shared" si="0"/>
        <v/>
      </c>
      <c r="AF723" s="15" t="str">
        <f t="shared" si="1"/>
        <v/>
      </c>
      <c r="AG723" s="15" t="str">
        <f>IF(OR(AF723="",AF723="ERRO_CHAVE"),"",IFERROR(MATCH(AF723,'quitado Despesa'!$V$1:$V$12,0),""))</f>
        <v/>
      </c>
      <c r="AH723" s="15" t="str">
        <f t="shared" si="2"/>
        <v/>
      </c>
      <c r="AI723" s="17" t="str">
        <f>IF(AG723="","",INDEX('quitado Despesa'!$G$1:$G$12,AG723))</f>
        <v/>
      </c>
      <c r="AJ723" s="17" t="str">
        <f t="shared" si="3"/>
        <v/>
      </c>
    </row>
    <row r="724" spans="31:36">
      <c r="AE724" s="15" t="str">
        <f t="shared" si="0"/>
        <v/>
      </c>
      <c r="AF724" s="15" t="str">
        <f t="shared" si="1"/>
        <v/>
      </c>
      <c r="AG724" s="15" t="str">
        <f>IF(OR(AF724="",AF724="ERRO_CHAVE"),"",IFERROR(MATCH(AF724,'quitado Despesa'!$V$1:$V$12,0),""))</f>
        <v/>
      </c>
      <c r="AH724" s="15" t="str">
        <f t="shared" si="2"/>
        <v/>
      </c>
      <c r="AI724" s="17" t="str">
        <f>IF(AG724="","",INDEX('quitado Despesa'!$G$1:$G$12,AG724))</f>
        <v/>
      </c>
      <c r="AJ724" s="17" t="str">
        <f t="shared" si="3"/>
        <v/>
      </c>
    </row>
    <row r="725" spans="31:36">
      <c r="AE725" s="15" t="str">
        <f t="shared" si="0"/>
        <v/>
      </c>
      <c r="AF725" s="15" t="str">
        <f t="shared" si="1"/>
        <v/>
      </c>
      <c r="AG725" s="15" t="str">
        <f>IF(OR(AF725="",AF725="ERRO_CHAVE"),"",IFERROR(MATCH(AF725,'quitado Despesa'!$V$1:$V$12,0),""))</f>
        <v/>
      </c>
      <c r="AH725" s="15" t="str">
        <f t="shared" si="2"/>
        <v/>
      </c>
      <c r="AI725" s="17" t="str">
        <f>IF(AG725="","",INDEX('quitado Despesa'!$G$1:$G$12,AG725))</f>
        <v/>
      </c>
      <c r="AJ725" s="17" t="str">
        <f t="shared" si="3"/>
        <v/>
      </c>
    </row>
    <row r="726" spans="31:36">
      <c r="AE726" s="15" t="str">
        <f t="shared" si="0"/>
        <v/>
      </c>
      <c r="AF726" s="15" t="str">
        <f t="shared" si="1"/>
        <v/>
      </c>
      <c r="AG726" s="15" t="str">
        <f>IF(OR(AF726="",AF726="ERRO_CHAVE"),"",IFERROR(MATCH(AF726,'quitado Despesa'!$V$1:$V$12,0),""))</f>
        <v/>
      </c>
      <c r="AH726" s="15" t="str">
        <f t="shared" si="2"/>
        <v/>
      </c>
      <c r="AI726" s="17" t="str">
        <f>IF(AG726="","",INDEX('quitado Despesa'!$G$1:$G$12,AG726))</f>
        <v/>
      </c>
      <c r="AJ726" s="17" t="str">
        <f t="shared" si="3"/>
        <v/>
      </c>
    </row>
    <row r="727" spans="31:36">
      <c r="AE727" s="15" t="str">
        <f t="shared" si="0"/>
        <v/>
      </c>
      <c r="AF727" s="15" t="str">
        <f t="shared" si="1"/>
        <v/>
      </c>
      <c r="AG727" s="15" t="str">
        <f>IF(OR(AF727="",AF727="ERRO_CHAVE"),"",IFERROR(MATCH(AF727,'quitado Despesa'!$V$1:$V$12,0),""))</f>
        <v/>
      </c>
      <c r="AH727" s="15" t="str">
        <f t="shared" si="2"/>
        <v/>
      </c>
      <c r="AI727" s="17" t="str">
        <f>IF(AG727="","",INDEX('quitado Despesa'!$G$1:$G$12,AG727))</f>
        <v/>
      </c>
      <c r="AJ727" s="17" t="str">
        <f t="shared" si="3"/>
        <v/>
      </c>
    </row>
    <row r="728" spans="31:36">
      <c r="AE728" s="15" t="str">
        <f t="shared" si="0"/>
        <v/>
      </c>
      <c r="AF728" s="15" t="str">
        <f t="shared" si="1"/>
        <v/>
      </c>
      <c r="AG728" s="15" t="str">
        <f>IF(OR(AF728="",AF728="ERRO_CHAVE"),"",IFERROR(MATCH(AF728,'quitado Despesa'!$V$1:$V$12,0),""))</f>
        <v/>
      </c>
      <c r="AH728" s="15" t="str">
        <f t="shared" si="2"/>
        <v/>
      </c>
      <c r="AI728" s="17" t="str">
        <f>IF(AG728="","",INDEX('quitado Despesa'!$G$1:$G$12,AG728))</f>
        <v/>
      </c>
      <c r="AJ728" s="17" t="str">
        <f t="shared" si="3"/>
        <v/>
      </c>
    </row>
    <row r="729" spans="31:36">
      <c r="AE729" s="15" t="str">
        <f t="shared" si="0"/>
        <v/>
      </c>
      <c r="AF729" s="15" t="str">
        <f t="shared" si="1"/>
        <v/>
      </c>
      <c r="AG729" s="15" t="str">
        <f>IF(OR(AF729="",AF729="ERRO_CHAVE"),"",IFERROR(MATCH(AF729,'quitado Despesa'!$V$1:$V$12,0),""))</f>
        <v/>
      </c>
      <c r="AH729" s="15" t="str">
        <f t="shared" si="2"/>
        <v/>
      </c>
      <c r="AI729" s="17" t="str">
        <f>IF(AG729="","",INDEX('quitado Despesa'!$G$1:$G$12,AG729))</f>
        <v/>
      </c>
      <c r="AJ729" s="17" t="str">
        <f t="shared" si="3"/>
        <v/>
      </c>
    </row>
    <row r="730" spans="31:36">
      <c r="AE730" s="15" t="str">
        <f t="shared" si="0"/>
        <v/>
      </c>
      <c r="AF730" s="15" t="str">
        <f t="shared" si="1"/>
        <v/>
      </c>
      <c r="AG730" s="15" t="str">
        <f>IF(OR(AF730="",AF730="ERRO_CHAVE"),"",IFERROR(MATCH(AF730,'quitado Despesa'!$V$1:$V$12,0),""))</f>
        <v/>
      </c>
      <c r="AH730" s="15" t="str">
        <f t="shared" si="2"/>
        <v/>
      </c>
      <c r="AI730" s="17" t="str">
        <f>IF(AG730="","",INDEX('quitado Despesa'!$G$1:$G$12,AG730))</f>
        <v/>
      </c>
      <c r="AJ730" s="17" t="str">
        <f t="shared" si="3"/>
        <v/>
      </c>
    </row>
    <row r="731" spans="31:36">
      <c r="AE731" s="15" t="str">
        <f t="shared" si="0"/>
        <v/>
      </c>
      <c r="AF731" s="15" t="str">
        <f t="shared" si="1"/>
        <v/>
      </c>
      <c r="AG731" s="15" t="str">
        <f>IF(OR(AF731="",AF731="ERRO_CHAVE"),"",IFERROR(MATCH(AF731,'quitado Despesa'!$V$1:$V$12,0),""))</f>
        <v/>
      </c>
      <c r="AH731" s="15" t="str">
        <f t="shared" si="2"/>
        <v/>
      </c>
      <c r="AI731" s="17" t="str">
        <f>IF(AG731="","",INDEX('quitado Despesa'!$G$1:$G$12,AG731))</f>
        <v/>
      </c>
      <c r="AJ731" s="17" t="str">
        <f t="shared" si="3"/>
        <v/>
      </c>
    </row>
    <row r="732" spans="31:36">
      <c r="AE732" s="15" t="str">
        <f t="shared" si="0"/>
        <v/>
      </c>
      <c r="AF732" s="15" t="str">
        <f t="shared" si="1"/>
        <v/>
      </c>
      <c r="AG732" s="15" t="str">
        <f>IF(OR(AF732="",AF732="ERRO_CHAVE"),"",IFERROR(MATCH(AF732,'quitado Despesa'!$V$1:$V$12,0),""))</f>
        <v/>
      </c>
      <c r="AH732" s="15" t="str">
        <f t="shared" si="2"/>
        <v/>
      </c>
      <c r="AI732" s="17" t="str">
        <f>IF(AG732="","",INDEX('quitado Despesa'!$G$1:$G$12,AG732))</f>
        <v/>
      </c>
      <c r="AJ732" s="17" t="str">
        <f t="shared" si="3"/>
        <v/>
      </c>
    </row>
    <row r="733" spans="31:36">
      <c r="AE733" s="15" t="str">
        <f t="shared" si="0"/>
        <v/>
      </c>
      <c r="AF733" s="15" t="str">
        <f t="shared" si="1"/>
        <v/>
      </c>
      <c r="AG733" s="15" t="str">
        <f>IF(OR(AF733="",AF733="ERRO_CHAVE"),"",IFERROR(MATCH(AF733,'quitado Despesa'!$V$1:$V$12,0),""))</f>
        <v/>
      </c>
      <c r="AH733" s="15" t="str">
        <f t="shared" si="2"/>
        <v/>
      </c>
      <c r="AI733" s="17" t="str">
        <f>IF(AG733="","",INDEX('quitado Despesa'!$G$1:$G$12,AG733))</f>
        <v/>
      </c>
      <c r="AJ733" s="17" t="str">
        <f t="shared" si="3"/>
        <v/>
      </c>
    </row>
    <row r="734" spans="31:36">
      <c r="AE734" s="15" t="str">
        <f t="shared" si="0"/>
        <v/>
      </c>
      <c r="AF734" s="15" t="str">
        <f t="shared" si="1"/>
        <v/>
      </c>
      <c r="AG734" s="15" t="str">
        <f>IF(OR(AF734="",AF734="ERRO_CHAVE"),"",IFERROR(MATCH(AF734,'quitado Despesa'!$V$1:$V$12,0),""))</f>
        <v/>
      </c>
      <c r="AH734" s="15" t="str">
        <f t="shared" si="2"/>
        <v/>
      </c>
      <c r="AI734" s="17" t="str">
        <f>IF(AG734="","",INDEX('quitado Despesa'!$G$1:$G$12,AG734))</f>
        <v/>
      </c>
      <c r="AJ734" s="17" t="str">
        <f t="shared" si="3"/>
        <v/>
      </c>
    </row>
    <row r="735" spans="31:36">
      <c r="AE735" s="15" t="str">
        <f t="shared" si="0"/>
        <v/>
      </c>
      <c r="AF735" s="15" t="str">
        <f t="shared" si="1"/>
        <v/>
      </c>
      <c r="AG735" s="15" t="str">
        <f>IF(OR(AF735="",AF735="ERRO_CHAVE"),"",IFERROR(MATCH(AF735,'quitado Despesa'!$V$1:$V$12,0),""))</f>
        <v/>
      </c>
      <c r="AH735" s="15" t="str">
        <f t="shared" si="2"/>
        <v/>
      </c>
      <c r="AI735" s="17" t="str">
        <f>IF(AG735="","",INDEX('quitado Despesa'!$G$1:$G$12,AG735))</f>
        <v/>
      </c>
      <c r="AJ735" s="17" t="str">
        <f t="shared" si="3"/>
        <v/>
      </c>
    </row>
    <row r="736" spans="31:36">
      <c r="AE736" s="15" t="str">
        <f t="shared" si="0"/>
        <v/>
      </c>
      <c r="AF736" s="15" t="str">
        <f t="shared" si="1"/>
        <v/>
      </c>
      <c r="AG736" s="15" t="str">
        <f>IF(OR(AF736="",AF736="ERRO_CHAVE"),"",IFERROR(MATCH(AF736,'quitado Despesa'!$V$1:$V$12,0),""))</f>
        <v/>
      </c>
      <c r="AH736" s="15" t="str">
        <f t="shared" si="2"/>
        <v/>
      </c>
      <c r="AI736" s="17" t="str">
        <f>IF(AG736="","",INDEX('quitado Despesa'!$G$1:$G$12,AG736))</f>
        <v/>
      </c>
      <c r="AJ736" s="17" t="str">
        <f t="shared" si="3"/>
        <v/>
      </c>
    </row>
    <row r="737" spans="31:36">
      <c r="AE737" s="15" t="str">
        <f t="shared" si="0"/>
        <v/>
      </c>
      <c r="AF737" s="15" t="str">
        <f t="shared" si="1"/>
        <v/>
      </c>
      <c r="AG737" s="15" t="str">
        <f>IF(OR(AF737="",AF737="ERRO_CHAVE"),"",IFERROR(MATCH(AF737,'quitado Despesa'!$V$1:$V$12,0),""))</f>
        <v/>
      </c>
      <c r="AH737" s="15" t="str">
        <f t="shared" si="2"/>
        <v/>
      </c>
      <c r="AI737" s="17" t="str">
        <f>IF(AG737="","",INDEX('quitado Despesa'!$G$1:$G$12,AG737))</f>
        <v/>
      </c>
      <c r="AJ737" s="17" t="str">
        <f t="shared" si="3"/>
        <v/>
      </c>
    </row>
    <row r="738" spans="31:36">
      <c r="AE738" s="15" t="str">
        <f t="shared" si="0"/>
        <v/>
      </c>
      <c r="AF738" s="15" t="str">
        <f t="shared" si="1"/>
        <v/>
      </c>
      <c r="AG738" s="15" t="str">
        <f>IF(OR(AF738="",AF738="ERRO_CHAVE"),"",IFERROR(MATCH(AF738,'quitado Despesa'!$V$1:$V$12,0),""))</f>
        <v/>
      </c>
      <c r="AH738" s="15" t="str">
        <f t="shared" si="2"/>
        <v/>
      </c>
      <c r="AI738" s="17" t="str">
        <f>IF(AG738="","",INDEX('quitado Despesa'!$G$1:$G$12,AG738))</f>
        <v/>
      </c>
      <c r="AJ738" s="17" t="str">
        <f t="shared" si="3"/>
        <v/>
      </c>
    </row>
    <row r="739" spans="31:36">
      <c r="AE739" s="15" t="str">
        <f t="shared" si="0"/>
        <v/>
      </c>
      <c r="AF739" s="15" t="str">
        <f t="shared" si="1"/>
        <v/>
      </c>
      <c r="AG739" s="15" t="str">
        <f>IF(OR(AF739="",AF739="ERRO_CHAVE"),"",IFERROR(MATCH(AF739,'quitado Despesa'!$V$1:$V$12,0),""))</f>
        <v/>
      </c>
      <c r="AH739" s="15" t="str">
        <f t="shared" si="2"/>
        <v/>
      </c>
      <c r="AI739" s="17" t="str">
        <f>IF(AG739="","",INDEX('quitado Despesa'!$G$1:$G$12,AG739))</f>
        <v/>
      </c>
      <c r="AJ739" s="17" t="str">
        <f t="shared" si="3"/>
        <v/>
      </c>
    </row>
    <row r="740" spans="31:36">
      <c r="AE740" s="15" t="str">
        <f t="shared" si="0"/>
        <v/>
      </c>
      <c r="AF740" s="15" t="str">
        <f t="shared" si="1"/>
        <v/>
      </c>
      <c r="AG740" s="15" t="str">
        <f>IF(OR(AF740="",AF740="ERRO_CHAVE"),"",IFERROR(MATCH(AF740,'quitado Despesa'!$V$1:$V$12,0),""))</f>
        <v/>
      </c>
      <c r="AH740" s="15" t="str">
        <f t="shared" si="2"/>
        <v/>
      </c>
      <c r="AI740" s="17" t="str">
        <f>IF(AG740="","",INDEX('quitado Despesa'!$G$1:$G$12,AG740))</f>
        <v/>
      </c>
      <c r="AJ740" s="17" t="str">
        <f t="shared" si="3"/>
        <v/>
      </c>
    </row>
    <row r="741" spans="31:36">
      <c r="AE741" s="15" t="str">
        <f t="shared" si="0"/>
        <v/>
      </c>
      <c r="AF741" s="15" t="str">
        <f t="shared" si="1"/>
        <v/>
      </c>
      <c r="AG741" s="15" t="str">
        <f>IF(OR(AF741="",AF741="ERRO_CHAVE"),"",IFERROR(MATCH(AF741,'quitado Despesa'!$V$1:$V$12,0),""))</f>
        <v/>
      </c>
      <c r="AH741" s="15" t="str">
        <f t="shared" si="2"/>
        <v/>
      </c>
      <c r="AI741" s="17" t="str">
        <f>IF(AG741="","",INDEX('quitado Despesa'!$G$1:$G$12,AG741))</f>
        <v/>
      </c>
      <c r="AJ741" s="17" t="str">
        <f t="shared" si="3"/>
        <v/>
      </c>
    </row>
    <row r="742" spans="31:36">
      <c r="AE742" s="15" t="str">
        <f t="shared" si="0"/>
        <v/>
      </c>
      <c r="AF742" s="15" t="str">
        <f t="shared" si="1"/>
        <v/>
      </c>
      <c r="AG742" s="15" t="str">
        <f>IF(OR(AF742="",AF742="ERRO_CHAVE"),"",IFERROR(MATCH(AF742,'quitado Despesa'!$V$1:$V$12,0),""))</f>
        <v/>
      </c>
      <c r="AH742" s="15" t="str">
        <f t="shared" si="2"/>
        <v/>
      </c>
      <c r="AI742" s="17" t="str">
        <f>IF(AG742="","",INDEX('quitado Despesa'!$G$1:$G$12,AG742))</f>
        <v/>
      </c>
      <c r="AJ742" s="17" t="str">
        <f t="shared" si="3"/>
        <v/>
      </c>
    </row>
    <row r="743" spans="31:36">
      <c r="AE743" s="15" t="str">
        <f t="shared" si="0"/>
        <v/>
      </c>
      <c r="AF743" s="15" t="str">
        <f t="shared" si="1"/>
        <v/>
      </c>
      <c r="AG743" s="15" t="str">
        <f>IF(OR(AF743="",AF743="ERRO_CHAVE"),"",IFERROR(MATCH(AF743,'quitado Despesa'!$V$1:$V$12,0),""))</f>
        <v/>
      </c>
      <c r="AH743" s="15" t="str">
        <f t="shared" si="2"/>
        <v/>
      </c>
      <c r="AI743" s="17" t="str">
        <f>IF(AG743="","",INDEX('quitado Despesa'!$G$1:$G$12,AG743))</f>
        <v/>
      </c>
      <c r="AJ743" s="17" t="str">
        <f t="shared" si="3"/>
        <v/>
      </c>
    </row>
    <row r="744" spans="31:36">
      <c r="AE744" s="15" t="str">
        <f t="shared" si="0"/>
        <v/>
      </c>
      <c r="AF744" s="15" t="str">
        <f t="shared" si="1"/>
        <v/>
      </c>
      <c r="AG744" s="15" t="str">
        <f>IF(OR(AF744="",AF744="ERRO_CHAVE"),"",IFERROR(MATCH(AF744,'quitado Despesa'!$V$1:$V$12,0),""))</f>
        <v/>
      </c>
      <c r="AH744" s="15" t="str">
        <f t="shared" si="2"/>
        <v/>
      </c>
      <c r="AI744" s="17" t="str">
        <f>IF(AG744="","",INDEX('quitado Despesa'!$G$1:$G$12,AG744))</f>
        <v/>
      </c>
      <c r="AJ744" s="17" t="str">
        <f t="shared" si="3"/>
        <v/>
      </c>
    </row>
    <row r="745" spans="31:36">
      <c r="AE745" s="15" t="str">
        <f t="shared" si="0"/>
        <v/>
      </c>
      <c r="AF745" s="15" t="str">
        <f t="shared" si="1"/>
        <v/>
      </c>
      <c r="AG745" s="15" t="str">
        <f>IF(OR(AF745="",AF745="ERRO_CHAVE"),"",IFERROR(MATCH(AF745,'quitado Despesa'!$V$1:$V$12,0),""))</f>
        <v/>
      </c>
      <c r="AH745" s="15" t="str">
        <f t="shared" si="2"/>
        <v/>
      </c>
      <c r="AI745" s="17" t="str">
        <f>IF(AG745="","",INDEX('quitado Despesa'!$G$1:$G$12,AG745))</f>
        <v/>
      </c>
      <c r="AJ745" s="17" t="str">
        <f t="shared" si="3"/>
        <v/>
      </c>
    </row>
    <row r="746" spans="31:36">
      <c r="AE746" s="15" t="str">
        <f t="shared" si="0"/>
        <v/>
      </c>
      <c r="AF746" s="15" t="str">
        <f t="shared" si="1"/>
        <v/>
      </c>
      <c r="AG746" s="15" t="str">
        <f>IF(OR(AF746="",AF746="ERRO_CHAVE"),"",IFERROR(MATCH(AF746,'quitado Despesa'!$V$1:$V$12,0),""))</f>
        <v/>
      </c>
      <c r="AH746" s="15" t="str">
        <f t="shared" si="2"/>
        <v/>
      </c>
      <c r="AI746" s="17" t="str">
        <f>IF(AG746="","",INDEX('quitado Despesa'!$G$1:$G$12,AG746))</f>
        <v/>
      </c>
      <c r="AJ746" s="17" t="str">
        <f t="shared" si="3"/>
        <v/>
      </c>
    </row>
    <row r="747" spans="31:36">
      <c r="AE747" s="15" t="str">
        <f t="shared" si="0"/>
        <v/>
      </c>
      <c r="AF747" s="15" t="str">
        <f t="shared" si="1"/>
        <v/>
      </c>
      <c r="AG747" s="15" t="str">
        <f>IF(OR(AF747="",AF747="ERRO_CHAVE"),"",IFERROR(MATCH(AF747,'quitado Despesa'!$V$1:$V$12,0),""))</f>
        <v/>
      </c>
      <c r="AH747" s="15" t="str">
        <f t="shared" si="2"/>
        <v/>
      </c>
      <c r="AI747" s="17" t="str">
        <f>IF(AG747="","",INDEX('quitado Despesa'!$G$1:$G$12,AG747))</f>
        <v/>
      </c>
      <c r="AJ747" s="17" t="str">
        <f t="shared" si="3"/>
        <v/>
      </c>
    </row>
    <row r="748" spans="31:36">
      <c r="AE748" s="15" t="str">
        <f t="shared" si="0"/>
        <v/>
      </c>
      <c r="AF748" s="15" t="str">
        <f t="shared" si="1"/>
        <v/>
      </c>
      <c r="AG748" s="15" t="str">
        <f>IF(OR(AF748="",AF748="ERRO_CHAVE"),"",IFERROR(MATCH(AF748,'quitado Despesa'!$V$1:$V$12,0),""))</f>
        <v/>
      </c>
      <c r="AH748" s="15" t="str">
        <f t="shared" si="2"/>
        <v/>
      </c>
      <c r="AI748" s="17" t="str">
        <f>IF(AG748="","",INDEX('quitado Despesa'!$G$1:$G$12,AG748))</f>
        <v/>
      </c>
      <c r="AJ748" s="17" t="str">
        <f t="shared" si="3"/>
        <v/>
      </c>
    </row>
    <row r="749" spans="31:36">
      <c r="AE749" s="15" t="str">
        <f t="shared" si="0"/>
        <v/>
      </c>
      <c r="AF749" s="15" t="str">
        <f t="shared" si="1"/>
        <v/>
      </c>
      <c r="AG749" s="15" t="str">
        <f>IF(OR(AF749="",AF749="ERRO_CHAVE"),"",IFERROR(MATCH(AF749,'quitado Despesa'!$V$1:$V$12,0),""))</f>
        <v/>
      </c>
      <c r="AH749" s="15" t="str">
        <f t="shared" si="2"/>
        <v/>
      </c>
      <c r="AI749" s="17" t="str">
        <f>IF(AG749="","",INDEX('quitado Despesa'!$G$1:$G$12,AG749))</f>
        <v/>
      </c>
      <c r="AJ749" s="17" t="str">
        <f t="shared" si="3"/>
        <v/>
      </c>
    </row>
    <row r="750" spans="31:36">
      <c r="AE750" s="15" t="str">
        <f t="shared" si="0"/>
        <v/>
      </c>
      <c r="AF750" s="15" t="str">
        <f t="shared" si="1"/>
        <v/>
      </c>
      <c r="AG750" s="15" t="str">
        <f>IF(OR(AF750="",AF750="ERRO_CHAVE"),"",IFERROR(MATCH(AF750,'quitado Despesa'!$V$1:$V$12,0),""))</f>
        <v/>
      </c>
      <c r="AH750" s="15" t="str">
        <f t="shared" si="2"/>
        <v/>
      </c>
      <c r="AI750" s="17" t="str">
        <f>IF(AG750="","",INDEX('quitado Despesa'!$G$1:$G$12,AG750))</f>
        <v/>
      </c>
      <c r="AJ750" s="17" t="str">
        <f t="shared" si="3"/>
        <v/>
      </c>
    </row>
    <row r="751" spans="31:36">
      <c r="AE751" s="15" t="str">
        <f t="shared" si="0"/>
        <v/>
      </c>
      <c r="AF751" s="15" t="str">
        <f t="shared" si="1"/>
        <v/>
      </c>
      <c r="AG751" s="15" t="str">
        <f>IF(OR(AF751="",AF751="ERRO_CHAVE"),"",IFERROR(MATCH(AF751,'quitado Despesa'!$V$1:$V$12,0),""))</f>
        <v/>
      </c>
      <c r="AH751" s="15" t="str">
        <f t="shared" si="2"/>
        <v/>
      </c>
      <c r="AI751" s="17" t="str">
        <f>IF(AG751="","",INDEX('quitado Despesa'!$G$1:$G$12,AG751))</f>
        <v/>
      </c>
      <c r="AJ751" s="17" t="str">
        <f t="shared" si="3"/>
        <v/>
      </c>
    </row>
    <row r="752" spans="31:36">
      <c r="AE752" s="15" t="str">
        <f t="shared" si="0"/>
        <v/>
      </c>
      <c r="AF752" s="15" t="str">
        <f t="shared" si="1"/>
        <v/>
      </c>
      <c r="AG752" s="15" t="str">
        <f>IF(OR(AF752="",AF752="ERRO_CHAVE"),"",IFERROR(MATCH(AF752,'quitado Despesa'!$V$1:$V$12,0),""))</f>
        <v/>
      </c>
      <c r="AH752" s="15" t="str">
        <f t="shared" si="2"/>
        <v/>
      </c>
      <c r="AI752" s="17" t="str">
        <f>IF(AG752="","",INDEX('quitado Despesa'!$G$1:$G$12,AG752))</f>
        <v/>
      </c>
      <c r="AJ752" s="17" t="str">
        <f t="shared" si="3"/>
        <v/>
      </c>
    </row>
    <row r="753" spans="31:36">
      <c r="AE753" s="15" t="str">
        <f t="shared" si="0"/>
        <v/>
      </c>
      <c r="AF753" s="15" t="str">
        <f t="shared" si="1"/>
        <v/>
      </c>
      <c r="AG753" s="15" t="str">
        <f>IF(OR(AF753="",AF753="ERRO_CHAVE"),"",IFERROR(MATCH(AF753,'quitado Despesa'!$V$1:$V$12,0),""))</f>
        <v/>
      </c>
      <c r="AH753" s="15" t="str">
        <f t="shared" si="2"/>
        <v/>
      </c>
      <c r="AI753" s="17" t="str">
        <f>IF(AG753="","",INDEX('quitado Despesa'!$G$1:$G$12,AG753))</f>
        <v/>
      </c>
      <c r="AJ753" s="17" t="str">
        <f t="shared" si="3"/>
        <v/>
      </c>
    </row>
    <row r="754" spans="31:36">
      <c r="AE754" s="15" t="str">
        <f t="shared" si="0"/>
        <v/>
      </c>
      <c r="AF754" s="15" t="str">
        <f t="shared" si="1"/>
        <v/>
      </c>
      <c r="AG754" s="15" t="str">
        <f>IF(OR(AF754="",AF754="ERRO_CHAVE"),"",IFERROR(MATCH(AF754,'quitado Despesa'!$V$1:$V$12,0),""))</f>
        <v/>
      </c>
      <c r="AH754" s="15" t="str">
        <f t="shared" si="2"/>
        <v/>
      </c>
      <c r="AI754" s="17" t="str">
        <f>IF(AG754="","",INDEX('quitado Despesa'!$G$1:$G$12,AG754))</f>
        <v/>
      </c>
      <c r="AJ754" s="17" t="str">
        <f t="shared" si="3"/>
        <v/>
      </c>
    </row>
    <row r="755" spans="31:36">
      <c r="AE755" s="15" t="str">
        <f t="shared" si="0"/>
        <v/>
      </c>
      <c r="AF755" s="15" t="str">
        <f t="shared" si="1"/>
        <v/>
      </c>
      <c r="AG755" s="15" t="str">
        <f>IF(OR(AF755="",AF755="ERRO_CHAVE"),"",IFERROR(MATCH(AF755,'quitado Despesa'!$V$1:$V$12,0),""))</f>
        <v/>
      </c>
      <c r="AH755" s="15" t="str">
        <f t="shared" si="2"/>
        <v/>
      </c>
      <c r="AI755" s="17" t="str">
        <f>IF(AG755="","",INDEX('quitado Despesa'!$G$1:$G$12,AG755))</f>
        <v/>
      </c>
      <c r="AJ755" s="17" t="str">
        <f t="shared" si="3"/>
        <v/>
      </c>
    </row>
    <row r="756" spans="31:36">
      <c r="AE756" s="15" t="str">
        <f t="shared" si="0"/>
        <v/>
      </c>
      <c r="AF756" s="15" t="str">
        <f t="shared" si="1"/>
        <v/>
      </c>
      <c r="AG756" s="15" t="str">
        <f>IF(OR(AF756="",AF756="ERRO_CHAVE"),"",IFERROR(MATCH(AF756,'quitado Despesa'!$V$1:$V$12,0),""))</f>
        <v/>
      </c>
      <c r="AH756" s="15" t="str">
        <f t="shared" si="2"/>
        <v/>
      </c>
      <c r="AI756" s="17" t="str">
        <f>IF(AG756="","",INDEX('quitado Despesa'!$G$1:$G$12,AG756))</f>
        <v/>
      </c>
      <c r="AJ756" s="17" t="str">
        <f t="shared" si="3"/>
        <v/>
      </c>
    </row>
    <row r="757" spans="31:36">
      <c r="AE757" s="15" t="str">
        <f t="shared" si="0"/>
        <v/>
      </c>
      <c r="AF757" s="15" t="str">
        <f t="shared" si="1"/>
        <v/>
      </c>
      <c r="AG757" s="15" t="str">
        <f>IF(OR(AF757="",AF757="ERRO_CHAVE"),"",IFERROR(MATCH(AF757,'quitado Despesa'!$V$1:$V$12,0),""))</f>
        <v/>
      </c>
      <c r="AH757" s="15" t="str">
        <f t="shared" si="2"/>
        <v/>
      </c>
      <c r="AI757" s="17" t="str">
        <f>IF(AG757="","",INDEX('quitado Despesa'!$G$1:$G$12,AG757))</f>
        <v/>
      </c>
      <c r="AJ757" s="17" t="str">
        <f t="shared" si="3"/>
        <v/>
      </c>
    </row>
    <row r="758" spans="31:36">
      <c r="AE758" s="15" t="str">
        <f t="shared" si="0"/>
        <v/>
      </c>
      <c r="AF758" s="15" t="str">
        <f t="shared" si="1"/>
        <v/>
      </c>
      <c r="AG758" s="15" t="str">
        <f>IF(OR(AF758="",AF758="ERRO_CHAVE"),"",IFERROR(MATCH(AF758,'quitado Despesa'!$V$1:$V$12,0),""))</f>
        <v/>
      </c>
      <c r="AH758" s="15" t="str">
        <f t="shared" si="2"/>
        <v/>
      </c>
      <c r="AI758" s="17" t="str">
        <f>IF(AG758="","",INDEX('quitado Despesa'!$G$1:$G$12,AG758))</f>
        <v/>
      </c>
      <c r="AJ758" s="17" t="str">
        <f t="shared" si="3"/>
        <v/>
      </c>
    </row>
    <row r="759" spans="31:36">
      <c r="AE759" s="15" t="str">
        <f t="shared" si="0"/>
        <v/>
      </c>
      <c r="AF759" s="15" t="str">
        <f t="shared" si="1"/>
        <v/>
      </c>
      <c r="AG759" s="15" t="str">
        <f>IF(OR(AF759="",AF759="ERRO_CHAVE"),"",IFERROR(MATCH(AF759,'quitado Despesa'!$V$1:$V$12,0),""))</f>
        <v/>
      </c>
      <c r="AH759" s="15" t="str">
        <f t="shared" si="2"/>
        <v/>
      </c>
      <c r="AI759" s="17" t="str">
        <f>IF(AG759="","",INDEX('quitado Despesa'!$G$1:$G$12,AG759))</f>
        <v/>
      </c>
      <c r="AJ759" s="17" t="str">
        <f t="shared" si="3"/>
        <v/>
      </c>
    </row>
    <row r="760" spans="31:36">
      <c r="AE760" s="15" t="str">
        <f t="shared" si="0"/>
        <v/>
      </c>
      <c r="AF760" s="15" t="str">
        <f t="shared" si="1"/>
        <v/>
      </c>
      <c r="AG760" s="15" t="str">
        <f>IF(OR(AF760="",AF760="ERRO_CHAVE"),"",IFERROR(MATCH(AF760,'quitado Despesa'!$V$1:$V$12,0),""))</f>
        <v/>
      </c>
      <c r="AH760" s="15" t="str">
        <f t="shared" si="2"/>
        <v/>
      </c>
      <c r="AI760" s="17" t="str">
        <f>IF(AG760="","",INDEX('quitado Despesa'!$G$1:$G$12,AG760))</f>
        <v/>
      </c>
      <c r="AJ760" s="17" t="str">
        <f t="shared" si="3"/>
        <v/>
      </c>
    </row>
    <row r="761" spans="31:36">
      <c r="AE761" s="15" t="str">
        <f t="shared" si="0"/>
        <v/>
      </c>
      <c r="AF761" s="15" t="str">
        <f t="shared" si="1"/>
        <v/>
      </c>
      <c r="AG761" s="15" t="str">
        <f>IF(OR(AF761="",AF761="ERRO_CHAVE"),"",IFERROR(MATCH(AF761,'quitado Despesa'!$V$1:$V$12,0),""))</f>
        <v/>
      </c>
      <c r="AH761" s="15" t="str">
        <f t="shared" si="2"/>
        <v/>
      </c>
      <c r="AI761" s="17" t="str">
        <f>IF(AG761="","",INDEX('quitado Despesa'!$G$1:$G$12,AG761))</f>
        <v/>
      </c>
      <c r="AJ761" s="17" t="str">
        <f t="shared" si="3"/>
        <v/>
      </c>
    </row>
    <row r="762" spans="31:36">
      <c r="AE762" s="15" t="str">
        <f t="shared" si="0"/>
        <v/>
      </c>
      <c r="AF762" s="15" t="str">
        <f t="shared" si="1"/>
        <v/>
      </c>
      <c r="AG762" s="15" t="str">
        <f>IF(OR(AF762="",AF762="ERRO_CHAVE"),"",IFERROR(MATCH(AF762,'quitado Despesa'!$V$1:$V$12,0),""))</f>
        <v/>
      </c>
      <c r="AH762" s="15" t="str">
        <f t="shared" si="2"/>
        <v/>
      </c>
      <c r="AI762" s="17" t="str">
        <f>IF(AG762="","",INDEX('quitado Despesa'!$G$1:$G$12,AG762))</f>
        <v/>
      </c>
      <c r="AJ762" s="17" t="str">
        <f t="shared" si="3"/>
        <v/>
      </c>
    </row>
    <row r="763" spans="31:36">
      <c r="AE763" s="15" t="str">
        <f t="shared" si="0"/>
        <v/>
      </c>
      <c r="AF763" s="15" t="str">
        <f t="shared" si="1"/>
        <v/>
      </c>
      <c r="AG763" s="15" t="str">
        <f>IF(OR(AF763="",AF763="ERRO_CHAVE"),"",IFERROR(MATCH(AF763,'quitado Despesa'!$V$1:$V$12,0),""))</f>
        <v/>
      </c>
      <c r="AH763" s="15" t="str">
        <f t="shared" si="2"/>
        <v/>
      </c>
      <c r="AI763" s="17" t="str">
        <f>IF(AG763="","",INDEX('quitado Despesa'!$G$1:$G$12,AG763))</f>
        <v/>
      </c>
      <c r="AJ763" s="17" t="str">
        <f t="shared" si="3"/>
        <v/>
      </c>
    </row>
    <row r="764" spans="31:36">
      <c r="AE764" s="15" t="str">
        <f t="shared" si="0"/>
        <v/>
      </c>
      <c r="AF764" s="15" t="str">
        <f t="shared" si="1"/>
        <v/>
      </c>
      <c r="AG764" s="15" t="str">
        <f>IF(OR(AF764="",AF764="ERRO_CHAVE"),"",IFERROR(MATCH(AF764,'quitado Despesa'!$V$1:$V$12,0),""))</f>
        <v/>
      </c>
      <c r="AH764" s="15" t="str">
        <f t="shared" si="2"/>
        <v/>
      </c>
      <c r="AI764" s="17" t="str">
        <f>IF(AG764="","",INDEX('quitado Despesa'!$G$1:$G$12,AG764))</f>
        <v/>
      </c>
      <c r="AJ764" s="17" t="str">
        <f t="shared" si="3"/>
        <v/>
      </c>
    </row>
    <row r="765" spans="31:36">
      <c r="AE765" s="15" t="str">
        <f t="shared" si="0"/>
        <v/>
      </c>
      <c r="AF765" s="15" t="str">
        <f t="shared" si="1"/>
        <v/>
      </c>
      <c r="AG765" s="15" t="str">
        <f>IF(OR(AF765="",AF765="ERRO_CHAVE"),"",IFERROR(MATCH(AF765,'quitado Despesa'!$V$1:$V$12,0),""))</f>
        <v/>
      </c>
      <c r="AH765" s="15" t="str">
        <f t="shared" si="2"/>
        <v/>
      </c>
      <c r="AI765" s="17" t="str">
        <f>IF(AG765="","",INDEX('quitado Despesa'!$G$1:$G$12,AG765))</f>
        <v/>
      </c>
      <c r="AJ765" s="17" t="str">
        <f t="shared" si="3"/>
        <v/>
      </c>
    </row>
    <row r="766" spans="31:36">
      <c r="AE766" s="15" t="str">
        <f t="shared" si="0"/>
        <v/>
      </c>
      <c r="AF766" s="15" t="str">
        <f t="shared" si="1"/>
        <v/>
      </c>
      <c r="AG766" s="15" t="str">
        <f>IF(OR(AF766="",AF766="ERRO_CHAVE"),"",IFERROR(MATCH(AF766,'quitado Despesa'!$V$1:$V$12,0),""))</f>
        <v/>
      </c>
      <c r="AH766" s="15" t="str">
        <f t="shared" si="2"/>
        <v/>
      </c>
      <c r="AI766" s="17" t="str">
        <f>IF(AG766="","",INDEX('quitado Despesa'!$G$1:$G$12,AG766))</f>
        <v/>
      </c>
      <c r="AJ766" s="17" t="str">
        <f t="shared" si="3"/>
        <v/>
      </c>
    </row>
    <row r="767" spans="31:36">
      <c r="AE767" s="15" t="str">
        <f t="shared" si="0"/>
        <v/>
      </c>
      <c r="AF767" s="15" t="str">
        <f t="shared" si="1"/>
        <v/>
      </c>
      <c r="AG767" s="15" t="str">
        <f>IF(OR(AF767="",AF767="ERRO_CHAVE"),"",IFERROR(MATCH(AF767,'quitado Despesa'!$V$1:$V$12,0),""))</f>
        <v/>
      </c>
      <c r="AH767" s="15" t="str">
        <f t="shared" si="2"/>
        <v/>
      </c>
      <c r="AI767" s="17" t="str">
        <f>IF(AG767="","",INDEX('quitado Despesa'!$G$1:$G$12,AG767))</f>
        <v/>
      </c>
      <c r="AJ767" s="17" t="str">
        <f t="shared" si="3"/>
        <v/>
      </c>
    </row>
    <row r="768" spans="31:36">
      <c r="AE768" s="15" t="str">
        <f t="shared" si="0"/>
        <v/>
      </c>
      <c r="AF768" s="15" t="str">
        <f t="shared" si="1"/>
        <v/>
      </c>
      <c r="AG768" s="15" t="str">
        <f>IF(OR(AF768="",AF768="ERRO_CHAVE"),"",IFERROR(MATCH(AF768,'quitado Despesa'!$V$1:$V$12,0),""))</f>
        <v/>
      </c>
      <c r="AH768" s="15" t="str">
        <f t="shared" si="2"/>
        <v/>
      </c>
      <c r="AI768" s="17" t="str">
        <f>IF(AG768="","",INDEX('quitado Despesa'!$G$1:$G$12,AG768))</f>
        <v/>
      </c>
      <c r="AJ768" s="17" t="str">
        <f t="shared" si="3"/>
        <v/>
      </c>
    </row>
    <row r="769" spans="31:36">
      <c r="AE769" s="15" t="str">
        <f t="shared" si="0"/>
        <v/>
      </c>
      <c r="AF769" s="15" t="str">
        <f t="shared" si="1"/>
        <v/>
      </c>
      <c r="AG769" s="15" t="str">
        <f>IF(OR(AF769="",AF769="ERRO_CHAVE"),"",IFERROR(MATCH(AF769,'quitado Despesa'!$V$1:$V$12,0),""))</f>
        <v/>
      </c>
      <c r="AH769" s="15" t="str">
        <f t="shared" si="2"/>
        <v/>
      </c>
      <c r="AI769" s="17" t="str">
        <f>IF(AG769="","",INDEX('quitado Despesa'!$G$1:$G$12,AG769))</f>
        <v/>
      </c>
      <c r="AJ769" s="17" t="str">
        <f t="shared" si="3"/>
        <v/>
      </c>
    </row>
    <row r="770" spans="31:36">
      <c r="AE770" s="15" t="str">
        <f t="shared" si="0"/>
        <v/>
      </c>
      <c r="AF770" s="15" t="str">
        <f t="shared" si="1"/>
        <v/>
      </c>
      <c r="AG770" s="15" t="str">
        <f>IF(OR(AF770="",AF770="ERRO_CHAVE"),"",IFERROR(MATCH(AF770,'quitado Despesa'!$V$1:$V$12,0),""))</f>
        <v/>
      </c>
      <c r="AH770" s="15" t="str">
        <f t="shared" si="2"/>
        <v/>
      </c>
      <c r="AI770" s="17" t="str">
        <f>IF(AG770="","",INDEX('quitado Despesa'!$G$1:$G$12,AG770))</f>
        <v/>
      </c>
      <c r="AJ770" s="17" t="str">
        <f t="shared" si="3"/>
        <v/>
      </c>
    </row>
    <row r="771" spans="31:36">
      <c r="AE771" s="15" t="str">
        <f t="shared" si="0"/>
        <v/>
      </c>
      <c r="AF771" s="15" t="str">
        <f t="shared" si="1"/>
        <v/>
      </c>
      <c r="AG771" s="15" t="str">
        <f>IF(OR(AF771="",AF771="ERRO_CHAVE"),"",IFERROR(MATCH(AF771,'quitado Despesa'!$V$1:$V$12,0),""))</f>
        <v/>
      </c>
      <c r="AH771" s="15" t="str">
        <f t="shared" si="2"/>
        <v/>
      </c>
      <c r="AI771" s="17" t="str">
        <f>IF(AG771="","",INDEX('quitado Despesa'!$G$1:$G$12,AG771))</f>
        <v/>
      </c>
      <c r="AJ771" s="17" t="str">
        <f t="shared" si="3"/>
        <v/>
      </c>
    </row>
    <row r="772" spans="31:36">
      <c r="AE772" s="15" t="str">
        <f t="shared" si="0"/>
        <v/>
      </c>
      <c r="AF772" s="15" t="str">
        <f t="shared" si="1"/>
        <v/>
      </c>
      <c r="AG772" s="15" t="str">
        <f>IF(OR(AF772="",AF772="ERRO_CHAVE"),"",IFERROR(MATCH(AF772,'quitado Despesa'!$V$1:$V$12,0),""))</f>
        <v/>
      </c>
      <c r="AH772" s="15" t="str">
        <f t="shared" si="2"/>
        <v/>
      </c>
      <c r="AI772" s="17" t="str">
        <f>IF(AG772="","",INDEX('quitado Despesa'!$G$1:$G$12,AG772))</f>
        <v/>
      </c>
      <c r="AJ772" s="17" t="str">
        <f t="shared" si="3"/>
        <v/>
      </c>
    </row>
    <row r="773" spans="31:36">
      <c r="AE773" s="15" t="str">
        <f t="shared" si="0"/>
        <v/>
      </c>
      <c r="AF773" s="15" t="str">
        <f t="shared" si="1"/>
        <v/>
      </c>
      <c r="AG773" s="15" t="str">
        <f>IF(OR(AF773="",AF773="ERRO_CHAVE"),"",IFERROR(MATCH(AF773,'quitado Despesa'!$V$1:$V$12,0),""))</f>
        <v/>
      </c>
      <c r="AH773" s="15" t="str">
        <f t="shared" si="2"/>
        <v/>
      </c>
      <c r="AI773" s="17" t="str">
        <f>IF(AG773="","",INDEX('quitado Despesa'!$G$1:$G$12,AG773))</f>
        <v/>
      </c>
      <c r="AJ773" s="17" t="str">
        <f t="shared" si="3"/>
        <v/>
      </c>
    </row>
    <row r="774" spans="31:36">
      <c r="AE774" s="15" t="str">
        <f t="shared" si="0"/>
        <v/>
      </c>
      <c r="AF774" s="15" t="str">
        <f t="shared" si="1"/>
        <v/>
      </c>
      <c r="AG774" s="15" t="str">
        <f>IF(OR(AF774="",AF774="ERRO_CHAVE"),"",IFERROR(MATCH(AF774,'quitado Despesa'!$V$1:$V$12,0),""))</f>
        <v/>
      </c>
      <c r="AH774" s="15" t="str">
        <f t="shared" si="2"/>
        <v/>
      </c>
      <c r="AI774" s="17" t="str">
        <f>IF(AG774="","",INDEX('quitado Despesa'!$G$1:$G$12,AG774))</f>
        <v/>
      </c>
      <c r="AJ774" s="17" t="str">
        <f t="shared" si="3"/>
        <v/>
      </c>
    </row>
    <row r="775" spans="31:36">
      <c r="AE775" s="15" t="str">
        <f t="shared" si="0"/>
        <v/>
      </c>
      <c r="AF775" s="15" t="str">
        <f t="shared" si="1"/>
        <v/>
      </c>
      <c r="AG775" s="15" t="str">
        <f>IF(OR(AF775="",AF775="ERRO_CHAVE"),"",IFERROR(MATCH(AF775,'quitado Despesa'!$V$1:$V$12,0),""))</f>
        <v/>
      </c>
      <c r="AH775" s="15" t="str">
        <f t="shared" si="2"/>
        <v/>
      </c>
      <c r="AI775" s="17" t="str">
        <f>IF(AG775="","",INDEX('quitado Despesa'!$G$1:$G$12,AG775))</f>
        <v/>
      </c>
      <c r="AJ775" s="17" t="str">
        <f t="shared" si="3"/>
        <v/>
      </c>
    </row>
    <row r="776" spans="31:36">
      <c r="AE776" s="15" t="str">
        <f t="shared" si="0"/>
        <v/>
      </c>
      <c r="AF776" s="15" t="str">
        <f t="shared" si="1"/>
        <v/>
      </c>
      <c r="AG776" s="15" t="str">
        <f>IF(OR(AF776="",AF776="ERRO_CHAVE"),"",IFERROR(MATCH(AF776,'quitado Despesa'!$V$1:$V$12,0),""))</f>
        <v/>
      </c>
      <c r="AH776" s="15" t="str">
        <f t="shared" si="2"/>
        <v/>
      </c>
      <c r="AI776" s="17" t="str">
        <f>IF(AG776="","",INDEX('quitado Despesa'!$G$1:$G$12,AG776))</f>
        <v/>
      </c>
      <c r="AJ776" s="17" t="str">
        <f t="shared" si="3"/>
        <v/>
      </c>
    </row>
    <row r="777" spans="31:36">
      <c r="AE777" s="15" t="str">
        <f t="shared" si="0"/>
        <v/>
      </c>
      <c r="AF777" s="15" t="str">
        <f t="shared" si="1"/>
        <v/>
      </c>
      <c r="AG777" s="15" t="str">
        <f>IF(OR(AF777="",AF777="ERRO_CHAVE"),"",IFERROR(MATCH(AF777,'quitado Despesa'!$V$1:$V$12,0),""))</f>
        <v/>
      </c>
      <c r="AH777" s="15" t="str">
        <f t="shared" si="2"/>
        <v/>
      </c>
      <c r="AI777" s="17" t="str">
        <f>IF(AG777="","",INDEX('quitado Despesa'!$G$1:$G$12,AG777))</f>
        <v/>
      </c>
      <c r="AJ777" s="17" t="str">
        <f t="shared" si="3"/>
        <v/>
      </c>
    </row>
    <row r="778" spans="31:36">
      <c r="AE778" s="15" t="str">
        <f t="shared" si="0"/>
        <v/>
      </c>
      <c r="AF778" s="15" t="str">
        <f t="shared" si="1"/>
        <v/>
      </c>
      <c r="AG778" s="15" t="str">
        <f>IF(OR(AF778="",AF778="ERRO_CHAVE"),"",IFERROR(MATCH(AF778,'quitado Despesa'!$V$1:$V$12,0),""))</f>
        <v/>
      </c>
      <c r="AH778" s="15" t="str">
        <f t="shared" si="2"/>
        <v/>
      </c>
      <c r="AI778" s="17" t="str">
        <f>IF(AG778="","",INDEX('quitado Despesa'!$G$1:$G$12,AG778))</f>
        <v/>
      </c>
      <c r="AJ778" s="17" t="str">
        <f t="shared" si="3"/>
        <v/>
      </c>
    </row>
    <row r="779" spans="31:36">
      <c r="AE779" s="15" t="str">
        <f t="shared" si="0"/>
        <v/>
      </c>
      <c r="AF779" s="15" t="str">
        <f t="shared" si="1"/>
        <v/>
      </c>
      <c r="AG779" s="15" t="str">
        <f>IF(OR(AF779="",AF779="ERRO_CHAVE"),"",IFERROR(MATCH(AF779,'quitado Despesa'!$V$1:$V$12,0),""))</f>
        <v/>
      </c>
      <c r="AH779" s="15" t="str">
        <f t="shared" si="2"/>
        <v/>
      </c>
      <c r="AI779" s="17" t="str">
        <f>IF(AG779="","",INDEX('quitado Despesa'!$G$1:$G$12,AG779))</f>
        <v/>
      </c>
      <c r="AJ779" s="17" t="str">
        <f t="shared" si="3"/>
        <v/>
      </c>
    </row>
    <row r="780" spans="31:36">
      <c r="AE780" s="15" t="str">
        <f t="shared" si="0"/>
        <v/>
      </c>
      <c r="AF780" s="15" t="str">
        <f t="shared" si="1"/>
        <v/>
      </c>
      <c r="AG780" s="15" t="str">
        <f>IF(OR(AF780="",AF780="ERRO_CHAVE"),"",IFERROR(MATCH(AF780,'quitado Despesa'!$V$1:$V$12,0),""))</f>
        <v/>
      </c>
      <c r="AH780" s="15" t="str">
        <f t="shared" si="2"/>
        <v/>
      </c>
      <c r="AI780" s="17" t="str">
        <f>IF(AG780="","",INDEX('quitado Despesa'!$G$1:$G$12,AG780))</f>
        <v/>
      </c>
      <c r="AJ780" s="17" t="str">
        <f t="shared" si="3"/>
        <v/>
      </c>
    </row>
    <row r="781" spans="31:36">
      <c r="AE781" s="15" t="str">
        <f t="shared" si="0"/>
        <v/>
      </c>
      <c r="AF781" s="15" t="str">
        <f t="shared" si="1"/>
        <v/>
      </c>
      <c r="AG781" s="15" t="str">
        <f>IF(OR(AF781="",AF781="ERRO_CHAVE"),"",IFERROR(MATCH(AF781,'quitado Despesa'!$V$1:$V$12,0),""))</f>
        <v/>
      </c>
      <c r="AH781" s="15" t="str">
        <f t="shared" si="2"/>
        <v/>
      </c>
      <c r="AI781" s="17" t="str">
        <f>IF(AG781="","",INDEX('quitado Despesa'!$G$1:$G$12,AG781))</f>
        <v/>
      </c>
      <c r="AJ781" s="17" t="str">
        <f t="shared" si="3"/>
        <v/>
      </c>
    </row>
    <row r="782" spans="31:36">
      <c r="AE782" s="15" t="str">
        <f t="shared" si="0"/>
        <v/>
      </c>
      <c r="AF782" s="15" t="str">
        <f t="shared" si="1"/>
        <v/>
      </c>
      <c r="AG782" s="15" t="str">
        <f>IF(OR(AF782="",AF782="ERRO_CHAVE"),"",IFERROR(MATCH(AF782,'quitado Despesa'!$V$1:$V$12,0),""))</f>
        <v/>
      </c>
      <c r="AH782" s="15" t="str">
        <f t="shared" si="2"/>
        <v/>
      </c>
      <c r="AI782" s="17" t="str">
        <f>IF(AG782="","",INDEX('quitado Despesa'!$G$1:$G$12,AG782))</f>
        <v/>
      </c>
      <c r="AJ782" s="17" t="str">
        <f t="shared" si="3"/>
        <v/>
      </c>
    </row>
    <row r="783" spans="31:36">
      <c r="AE783" s="15" t="str">
        <f t="shared" si="0"/>
        <v/>
      </c>
      <c r="AF783" s="15" t="str">
        <f t="shared" si="1"/>
        <v/>
      </c>
      <c r="AG783" s="15" t="str">
        <f>IF(OR(AF783="",AF783="ERRO_CHAVE"),"",IFERROR(MATCH(AF783,'quitado Despesa'!$V$1:$V$12,0),""))</f>
        <v/>
      </c>
      <c r="AH783" s="15" t="str">
        <f t="shared" si="2"/>
        <v/>
      </c>
      <c r="AI783" s="17" t="str">
        <f>IF(AG783="","",INDEX('quitado Despesa'!$G$1:$G$12,AG783))</f>
        <v/>
      </c>
      <c r="AJ783" s="17" t="str">
        <f t="shared" si="3"/>
        <v/>
      </c>
    </row>
    <row r="784" spans="31:36">
      <c r="AE784" s="15" t="str">
        <f t="shared" si="0"/>
        <v/>
      </c>
      <c r="AF784" s="15" t="str">
        <f t="shared" si="1"/>
        <v/>
      </c>
      <c r="AG784" s="15" t="str">
        <f>IF(OR(AF784="",AF784="ERRO_CHAVE"),"",IFERROR(MATCH(AF784,'quitado Despesa'!$V$1:$V$12,0),""))</f>
        <v/>
      </c>
      <c r="AH784" s="15" t="str">
        <f t="shared" si="2"/>
        <v/>
      </c>
      <c r="AI784" s="17" t="str">
        <f>IF(AG784="","",INDEX('quitado Despesa'!$G$1:$G$12,AG784))</f>
        <v/>
      </c>
      <c r="AJ784" s="17" t="str">
        <f t="shared" si="3"/>
        <v/>
      </c>
    </row>
    <row r="785" spans="31:36">
      <c r="AE785" s="15" t="str">
        <f t="shared" si="0"/>
        <v/>
      </c>
      <c r="AF785" s="15" t="str">
        <f t="shared" si="1"/>
        <v/>
      </c>
      <c r="AG785" s="15" t="str">
        <f>IF(OR(AF785="",AF785="ERRO_CHAVE"),"",IFERROR(MATCH(AF785,'quitado Despesa'!$V$1:$V$12,0),""))</f>
        <v/>
      </c>
      <c r="AH785" s="15" t="str">
        <f t="shared" si="2"/>
        <v/>
      </c>
      <c r="AI785" s="17" t="str">
        <f>IF(AG785="","",INDEX('quitado Despesa'!$G$1:$G$12,AG785))</f>
        <v/>
      </c>
      <c r="AJ785" s="17" t="str">
        <f t="shared" si="3"/>
        <v/>
      </c>
    </row>
    <row r="786" spans="31:36">
      <c r="AE786" s="15" t="str">
        <f t="shared" si="0"/>
        <v/>
      </c>
      <c r="AF786" s="15" t="str">
        <f t="shared" si="1"/>
        <v/>
      </c>
      <c r="AG786" s="15" t="str">
        <f>IF(OR(AF786="",AF786="ERRO_CHAVE"),"",IFERROR(MATCH(AF786,'quitado Despesa'!$V$1:$V$12,0),""))</f>
        <v/>
      </c>
      <c r="AH786" s="15" t="str">
        <f t="shared" si="2"/>
        <v/>
      </c>
      <c r="AI786" s="17" t="str">
        <f>IF(AG786="","",INDEX('quitado Despesa'!$G$1:$G$12,AG786))</f>
        <v/>
      </c>
      <c r="AJ786" s="17" t="str">
        <f t="shared" si="3"/>
        <v/>
      </c>
    </row>
    <row r="787" spans="31:36">
      <c r="AE787" s="15" t="str">
        <f t="shared" si="0"/>
        <v/>
      </c>
      <c r="AF787" s="15" t="str">
        <f t="shared" si="1"/>
        <v/>
      </c>
      <c r="AG787" s="15" t="str">
        <f>IF(OR(AF787="",AF787="ERRO_CHAVE"),"",IFERROR(MATCH(AF787,'quitado Despesa'!$V$1:$V$12,0),""))</f>
        <v/>
      </c>
      <c r="AH787" s="15" t="str">
        <f t="shared" si="2"/>
        <v/>
      </c>
      <c r="AI787" s="17" t="str">
        <f>IF(AG787="","",INDEX('quitado Despesa'!$G$1:$G$12,AG787))</f>
        <v/>
      </c>
      <c r="AJ787" s="17" t="str">
        <f t="shared" si="3"/>
        <v/>
      </c>
    </row>
    <row r="788" spans="31:36">
      <c r="AE788" s="15" t="str">
        <f t="shared" si="0"/>
        <v/>
      </c>
      <c r="AF788" s="15" t="str">
        <f t="shared" si="1"/>
        <v/>
      </c>
      <c r="AG788" s="15" t="str">
        <f>IF(OR(AF788="",AF788="ERRO_CHAVE"),"",IFERROR(MATCH(AF788,'quitado Despesa'!$V$1:$V$12,0),""))</f>
        <v/>
      </c>
      <c r="AH788" s="15" t="str">
        <f t="shared" si="2"/>
        <v/>
      </c>
      <c r="AI788" s="17" t="str">
        <f>IF(AG788="","",INDEX('quitado Despesa'!$G$1:$G$12,AG788))</f>
        <v/>
      </c>
      <c r="AJ788" s="17" t="str">
        <f t="shared" si="3"/>
        <v/>
      </c>
    </row>
    <row r="789" spans="31:36">
      <c r="AE789" s="15" t="str">
        <f t="shared" si="0"/>
        <v/>
      </c>
      <c r="AF789" s="15" t="str">
        <f t="shared" si="1"/>
        <v/>
      </c>
      <c r="AG789" s="15" t="str">
        <f>IF(OR(AF789="",AF789="ERRO_CHAVE"),"",IFERROR(MATCH(AF789,'quitado Despesa'!$V$1:$V$12,0),""))</f>
        <v/>
      </c>
      <c r="AH789" s="15" t="str">
        <f t="shared" si="2"/>
        <v/>
      </c>
      <c r="AI789" s="17" t="str">
        <f>IF(AG789="","",INDEX('quitado Despesa'!$G$1:$G$12,AG789))</f>
        <v/>
      </c>
      <c r="AJ789" s="17" t="str">
        <f t="shared" si="3"/>
        <v/>
      </c>
    </row>
    <row r="790" spans="31:36">
      <c r="AE790" s="15" t="str">
        <f t="shared" si="0"/>
        <v/>
      </c>
      <c r="AF790" s="15" t="str">
        <f t="shared" si="1"/>
        <v/>
      </c>
      <c r="AG790" s="15" t="str">
        <f>IF(OR(AF790="",AF790="ERRO_CHAVE"),"",IFERROR(MATCH(AF790,'quitado Despesa'!$V$1:$V$12,0),""))</f>
        <v/>
      </c>
      <c r="AH790" s="15" t="str">
        <f t="shared" si="2"/>
        <v/>
      </c>
      <c r="AI790" s="17" t="str">
        <f>IF(AG790="","",INDEX('quitado Despesa'!$G$1:$G$12,AG790))</f>
        <v/>
      </c>
      <c r="AJ790" s="17" t="str">
        <f t="shared" si="3"/>
        <v/>
      </c>
    </row>
    <row r="791" spans="31:36">
      <c r="AE791" s="15" t="str">
        <f t="shared" si="0"/>
        <v/>
      </c>
      <c r="AF791" s="15" t="str">
        <f t="shared" si="1"/>
        <v/>
      </c>
      <c r="AG791" s="15" t="str">
        <f>IF(OR(AF791="",AF791="ERRO_CHAVE"),"",IFERROR(MATCH(AF791,'quitado Despesa'!$V$1:$V$12,0),""))</f>
        <v/>
      </c>
      <c r="AH791" s="15" t="str">
        <f t="shared" si="2"/>
        <v/>
      </c>
      <c r="AI791" s="17" t="str">
        <f>IF(AG791="","",INDEX('quitado Despesa'!$G$1:$G$12,AG791))</f>
        <v/>
      </c>
      <c r="AJ791" s="17" t="str">
        <f t="shared" si="3"/>
        <v/>
      </c>
    </row>
    <row r="792" spans="31:36">
      <c r="AE792" s="15" t="str">
        <f t="shared" si="0"/>
        <v/>
      </c>
      <c r="AF792" s="15" t="str">
        <f t="shared" si="1"/>
        <v/>
      </c>
      <c r="AG792" s="15" t="str">
        <f>IF(OR(AF792="",AF792="ERRO_CHAVE"),"",IFERROR(MATCH(AF792,'quitado Despesa'!$V$1:$V$12,0),""))</f>
        <v/>
      </c>
      <c r="AH792" s="15" t="str">
        <f t="shared" si="2"/>
        <v/>
      </c>
      <c r="AI792" s="17" t="str">
        <f>IF(AG792="","",INDEX('quitado Despesa'!$G$1:$G$12,AG792))</f>
        <v/>
      </c>
      <c r="AJ792" s="17" t="str">
        <f t="shared" si="3"/>
        <v/>
      </c>
    </row>
    <row r="793" spans="31:36">
      <c r="AE793" s="15" t="str">
        <f t="shared" si="0"/>
        <v/>
      </c>
      <c r="AF793" s="15" t="str">
        <f t="shared" si="1"/>
        <v/>
      </c>
      <c r="AG793" s="15" t="str">
        <f>IF(OR(AF793="",AF793="ERRO_CHAVE"),"",IFERROR(MATCH(AF793,'quitado Despesa'!$V$1:$V$12,0),""))</f>
        <v/>
      </c>
      <c r="AH793" s="15" t="str">
        <f t="shared" si="2"/>
        <v/>
      </c>
      <c r="AI793" s="17" t="str">
        <f>IF(AG793="","",INDEX('quitado Despesa'!$G$1:$G$12,AG793))</f>
        <v/>
      </c>
      <c r="AJ793" s="17" t="str">
        <f t="shared" si="3"/>
        <v/>
      </c>
    </row>
    <row r="794" spans="31:36">
      <c r="AE794" s="15" t="str">
        <f t="shared" si="0"/>
        <v/>
      </c>
      <c r="AF794" s="15" t="str">
        <f t="shared" si="1"/>
        <v/>
      </c>
      <c r="AG794" s="15" t="str">
        <f>IF(OR(AF794="",AF794="ERRO_CHAVE"),"",IFERROR(MATCH(AF794,'quitado Despesa'!$V$1:$V$12,0),""))</f>
        <v/>
      </c>
      <c r="AH794" s="15" t="str">
        <f t="shared" si="2"/>
        <v/>
      </c>
      <c r="AI794" s="17" t="str">
        <f>IF(AG794="","",INDEX('quitado Despesa'!$G$1:$G$12,AG794))</f>
        <v/>
      </c>
      <c r="AJ794" s="17" t="str">
        <f t="shared" si="3"/>
        <v/>
      </c>
    </row>
    <row r="795" spans="31:36">
      <c r="AE795" s="15" t="str">
        <f t="shared" si="0"/>
        <v/>
      </c>
      <c r="AF795" s="15" t="str">
        <f t="shared" si="1"/>
        <v/>
      </c>
      <c r="AG795" s="15" t="str">
        <f>IF(OR(AF795="",AF795="ERRO_CHAVE"),"",IFERROR(MATCH(AF795,'quitado Despesa'!$V$1:$V$12,0),""))</f>
        <v/>
      </c>
      <c r="AH795" s="15" t="str">
        <f t="shared" si="2"/>
        <v/>
      </c>
      <c r="AI795" s="17" t="str">
        <f>IF(AG795="","",INDEX('quitado Despesa'!$G$1:$G$12,AG795))</f>
        <v/>
      </c>
      <c r="AJ795" s="17" t="str">
        <f t="shared" si="3"/>
        <v/>
      </c>
    </row>
    <row r="796" spans="31:36">
      <c r="AE796" s="15" t="str">
        <f t="shared" si="0"/>
        <v/>
      </c>
      <c r="AF796" s="15" t="str">
        <f t="shared" si="1"/>
        <v/>
      </c>
      <c r="AG796" s="15" t="str">
        <f>IF(OR(AF796="",AF796="ERRO_CHAVE"),"",IFERROR(MATCH(AF796,'quitado Despesa'!$V$1:$V$12,0),""))</f>
        <v/>
      </c>
      <c r="AH796" s="15" t="str">
        <f t="shared" si="2"/>
        <v/>
      </c>
      <c r="AI796" s="17" t="str">
        <f>IF(AG796="","",INDEX('quitado Despesa'!$G$1:$G$12,AG796))</f>
        <v/>
      </c>
      <c r="AJ796" s="17" t="str">
        <f t="shared" si="3"/>
        <v/>
      </c>
    </row>
    <row r="797" spans="31:36">
      <c r="AE797" s="15" t="str">
        <f t="shared" si="0"/>
        <v/>
      </c>
      <c r="AF797" s="15" t="str">
        <f t="shared" si="1"/>
        <v/>
      </c>
      <c r="AG797" s="15" t="str">
        <f>IF(OR(AF797="",AF797="ERRO_CHAVE"),"",IFERROR(MATCH(AF797,'quitado Despesa'!$V$1:$V$12,0),""))</f>
        <v/>
      </c>
      <c r="AH797" s="15" t="str">
        <f t="shared" si="2"/>
        <v/>
      </c>
      <c r="AI797" s="17" t="str">
        <f>IF(AG797="","",INDEX('quitado Despesa'!$G$1:$G$12,AG797))</f>
        <v/>
      </c>
      <c r="AJ797" s="17" t="str">
        <f t="shared" si="3"/>
        <v/>
      </c>
    </row>
    <row r="798" spans="31:36">
      <c r="AE798" s="15" t="str">
        <f t="shared" si="0"/>
        <v/>
      </c>
      <c r="AF798" s="15" t="str">
        <f t="shared" si="1"/>
        <v/>
      </c>
      <c r="AG798" s="15" t="str">
        <f>IF(OR(AF798="",AF798="ERRO_CHAVE"),"",IFERROR(MATCH(AF798,'quitado Despesa'!$V$1:$V$12,0),""))</f>
        <v/>
      </c>
      <c r="AH798" s="15" t="str">
        <f t="shared" si="2"/>
        <v/>
      </c>
      <c r="AI798" s="17" t="str">
        <f>IF(AG798="","",INDEX('quitado Despesa'!$G$1:$G$12,AG798))</f>
        <v/>
      </c>
      <c r="AJ798" s="17" t="str">
        <f t="shared" si="3"/>
        <v/>
      </c>
    </row>
    <row r="799" spans="31:36">
      <c r="AE799" s="15" t="str">
        <f t="shared" si="0"/>
        <v/>
      </c>
      <c r="AF799" s="15" t="str">
        <f t="shared" si="1"/>
        <v/>
      </c>
      <c r="AG799" s="15" t="str">
        <f>IF(OR(AF799="",AF799="ERRO_CHAVE"),"",IFERROR(MATCH(AF799,'quitado Despesa'!$V$1:$V$12,0),""))</f>
        <v/>
      </c>
      <c r="AH799" s="15" t="str">
        <f t="shared" si="2"/>
        <v/>
      </c>
      <c r="AI799" s="17" t="str">
        <f>IF(AG799="","",INDEX('quitado Despesa'!$G$1:$G$12,AG799))</f>
        <v/>
      </c>
      <c r="AJ799" s="17" t="str">
        <f t="shared" si="3"/>
        <v/>
      </c>
    </row>
    <row r="800" spans="31:36">
      <c r="AE800" s="15" t="str">
        <f t="shared" si="0"/>
        <v/>
      </c>
      <c r="AF800" s="15" t="str">
        <f t="shared" si="1"/>
        <v/>
      </c>
      <c r="AG800" s="15" t="str">
        <f>IF(OR(AF800="",AF800="ERRO_CHAVE"),"",IFERROR(MATCH(AF800,'quitado Despesa'!$V$1:$V$12,0),""))</f>
        <v/>
      </c>
      <c r="AH800" s="15" t="str">
        <f t="shared" si="2"/>
        <v/>
      </c>
      <c r="AI800" s="17" t="str">
        <f>IF(AG800="","",INDEX('quitado Despesa'!$G$1:$G$12,AG800))</f>
        <v/>
      </c>
      <c r="AJ800" s="17" t="str">
        <f t="shared" si="3"/>
        <v/>
      </c>
    </row>
    <row r="801" spans="31:36">
      <c r="AE801" s="15" t="str">
        <f t="shared" si="0"/>
        <v/>
      </c>
      <c r="AF801" s="15" t="str">
        <f t="shared" si="1"/>
        <v/>
      </c>
      <c r="AG801" s="15" t="str">
        <f>IF(OR(AF801="",AF801="ERRO_CHAVE"),"",IFERROR(MATCH(AF801,'quitado Despesa'!$V$1:$V$12,0),""))</f>
        <v/>
      </c>
      <c r="AH801" s="15" t="str">
        <f t="shared" si="2"/>
        <v/>
      </c>
      <c r="AI801" s="17" t="str">
        <f>IF(AG801="","",INDEX('quitado Despesa'!$G$1:$G$12,AG801))</f>
        <v/>
      </c>
      <c r="AJ801" s="17" t="str">
        <f t="shared" si="3"/>
        <v/>
      </c>
    </row>
    <row r="802" spans="31:36">
      <c r="AE802" s="15" t="str">
        <f t="shared" si="0"/>
        <v/>
      </c>
      <c r="AF802" s="15" t="str">
        <f t="shared" si="1"/>
        <v/>
      </c>
      <c r="AG802" s="15" t="str">
        <f>IF(OR(AF802="",AF802="ERRO_CHAVE"),"",IFERROR(MATCH(AF802,'quitado Despesa'!$V$1:$V$12,0),""))</f>
        <v/>
      </c>
      <c r="AH802" s="15" t="str">
        <f t="shared" si="2"/>
        <v/>
      </c>
      <c r="AI802" s="17" t="str">
        <f>IF(AG802="","",INDEX('quitado Despesa'!$G$1:$G$12,AG802))</f>
        <v/>
      </c>
      <c r="AJ802" s="17" t="str">
        <f t="shared" si="3"/>
        <v/>
      </c>
    </row>
    <row r="803" spans="31:36">
      <c r="AE803" s="15" t="str">
        <f t="shared" si="0"/>
        <v/>
      </c>
      <c r="AF803" s="15" t="str">
        <f t="shared" si="1"/>
        <v/>
      </c>
      <c r="AG803" s="15" t="str">
        <f>IF(OR(AF803="",AF803="ERRO_CHAVE"),"",IFERROR(MATCH(AF803,'quitado Despesa'!$V$1:$V$12,0),""))</f>
        <v/>
      </c>
      <c r="AH803" s="15" t="str">
        <f t="shared" si="2"/>
        <v/>
      </c>
      <c r="AI803" s="17" t="str">
        <f>IF(AG803="","",INDEX('quitado Despesa'!$G$1:$G$12,AG803))</f>
        <v/>
      </c>
      <c r="AJ803" s="17" t="str">
        <f t="shared" si="3"/>
        <v/>
      </c>
    </row>
    <row r="804" spans="31:36">
      <c r="AE804" s="15" t="str">
        <f t="shared" si="0"/>
        <v/>
      </c>
      <c r="AF804" s="15" t="str">
        <f t="shared" si="1"/>
        <v/>
      </c>
      <c r="AG804" s="15" t="str">
        <f>IF(OR(AF804="",AF804="ERRO_CHAVE"),"",IFERROR(MATCH(AF804,'quitado Despesa'!$V$1:$V$12,0),""))</f>
        <v/>
      </c>
      <c r="AH804" s="15" t="str">
        <f t="shared" si="2"/>
        <v/>
      </c>
      <c r="AI804" s="17" t="str">
        <f>IF(AG804="","",INDEX('quitado Despesa'!$G$1:$G$12,AG804))</f>
        <v/>
      </c>
      <c r="AJ804" s="17" t="str">
        <f t="shared" si="3"/>
        <v/>
      </c>
    </row>
    <row r="805" spans="31:36">
      <c r="AE805" s="15" t="str">
        <f t="shared" si="0"/>
        <v/>
      </c>
      <c r="AF805" s="15" t="str">
        <f t="shared" si="1"/>
        <v/>
      </c>
      <c r="AG805" s="15" t="str">
        <f>IF(OR(AF805="",AF805="ERRO_CHAVE"),"",IFERROR(MATCH(AF805,'quitado Despesa'!$V$1:$V$12,0),""))</f>
        <v/>
      </c>
      <c r="AH805" s="15" t="str">
        <f t="shared" si="2"/>
        <v/>
      </c>
      <c r="AI805" s="17" t="str">
        <f>IF(AG805="","",INDEX('quitado Despesa'!$G$1:$G$12,AG805))</f>
        <v/>
      </c>
      <c r="AJ805" s="17" t="str">
        <f t="shared" si="3"/>
        <v/>
      </c>
    </row>
    <row r="806" spans="31:36">
      <c r="AE806" s="15" t="str">
        <f t="shared" si="0"/>
        <v/>
      </c>
      <c r="AF806" s="15" t="str">
        <f t="shared" si="1"/>
        <v/>
      </c>
      <c r="AG806" s="15" t="str">
        <f>IF(OR(AF806="",AF806="ERRO_CHAVE"),"",IFERROR(MATCH(AF806,'quitado Despesa'!$V$1:$V$12,0),""))</f>
        <v/>
      </c>
      <c r="AH806" s="15" t="str">
        <f t="shared" si="2"/>
        <v/>
      </c>
      <c r="AI806" s="17" t="str">
        <f>IF(AG806="","",INDEX('quitado Despesa'!$G$1:$G$12,AG806))</f>
        <v/>
      </c>
      <c r="AJ806" s="17" t="str">
        <f t="shared" si="3"/>
        <v/>
      </c>
    </row>
    <row r="807" spans="31:36">
      <c r="AE807" s="15" t="str">
        <f t="shared" si="0"/>
        <v/>
      </c>
      <c r="AF807" s="15" t="str">
        <f t="shared" si="1"/>
        <v/>
      </c>
      <c r="AG807" s="15" t="str">
        <f>IF(OR(AF807="",AF807="ERRO_CHAVE"),"",IFERROR(MATCH(AF807,'quitado Despesa'!$V$1:$V$12,0),""))</f>
        <v/>
      </c>
      <c r="AH807" s="15" t="str">
        <f t="shared" si="2"/>
        <v/>
      </c>
      <c r="AI807" s="17" t="str">
        <f>IF(AG807="","",INDEX('quitado Despesa'!$G$1:$G$12,AG807))</f>
        <v/>
      </c>
      <c r="AJ807" s="17" t="str">
        <f t="shared" si="3"/>
        <v/>
      </c>
    </row>
    <row r="808" spans="31:36">
      <c r="AE808" s="15" t="str">
        <f t="shared" si="0"/>
        <v/>
      </c>
      <c r="AF808" s="15" t="str">
        <f t="shared" si="1"/>
        <v/>
      </c>
      <c r="AG808" s="15" t="str">
        <f>IF(OR(AF808="",AF808="ERRO_CHAVE"),"",IFERROR(MATCH(AF808,'quitado Despesa'!$V$1:$V$12,0),""))</f>
        <v/>
      </c>
      <c r="AH808" s="15" t="str">
        <f t="shared" si="2"/>
        <v/>
      </c>
      <c r="AI808" s="17" t="str">
        <f>IF(AG808="","",INDEX('quitado Despesa'!$G$1:$G$12,AG808))</f>
        <v/>
      </c>
      <c r="AJ808" s="17" t="str">
        <f t="shared" si="3"/>
        <v/>
      </c>
    </row>
    <row r="809" spans="31:36">
      <c r="AE809" s="15" t="str">
        <f t="shared" si="0"/>
        <v/>
      </c>
      <c r="AF809" s="15" t="str">
        <f t="shared" si="1"/>
        <v/>
      </c>
      <c r="AG809" s="15" t="str">
        <f>IF(OR(AF809="",AF809="ERRO_CHAVE"),"",IFERROR(MATCH(AF809,'quitado Despesa'!$V$1:$V$12,0),""))</f>
        <v/>
      </c>
      <c r="AH809" s="15" t="str">
        <f t="shared" si="2"/>
        <v/>
      </c>
      <c r="AI809" s="17" t="str">
        <f>IF(AG809="","",INDEX('quitado Despesa'!$G$1:$G$12,AG809))</f>
        <v/>
      </c>
      <c r="AJ809" s="17" t="str">
        <f t="shared" si="3"/>
        <v/>
      </c>
    </row>
    <row r="810" spans="31:36">
      <c r="AE810" s="15" t="str">
        <f t="shared" si="0"/>
        <v/>
      </c>
      <c r="AF810" s="15" t="str">
        <f t="shared" si="1"/>
        <v/>
      </c>
      <c r="AG810" s="15" t="str">
        <f>IF(OR(AF810="",AF810="ERRO_CHAVE"),"",IFERROR(MATCH(AF810,'quitado Despesa'!$V$1:$V$12,0),""))</f>
        <v/>
      </c>
      <c r="AH810" s="15" t="str">
        <f t="shared" si="2"/>
        <v/>
      </c>
      <c r="AI810" s="17" t="str">
        <f>IF(AG810="","",INDEX('quitado Despesa'!$G$1:$G$12,AG810))</f>
        <v/>
      </c>
      <c r="AJ810" s="17" t="str">
        <f t="shared" si="3"/>
        <v/>
      </c>
    </row>
    <row r="811" spans="31:36">
      <c r="AE811" s="15" t="str">
        <f t="shared" si="0"/>
        <v/>
      </c>
      <c r="AF811" s="15" t="str">
        <f t="shared" si="1"/>
        <v/>
      </c>
      <c r="AG811" s="15" t="str">
        <f>IF(OR(AF811="",AF811="ERRO_CHAVE"),"",IFERROR(MATCH(AF811,'quitado Despesa'!$V$1:$V$12,0),""))</f>
        <v/>
      </c>
      <c r="AH811" s="15" t="str">
        <f t="shared" si="2"/>
        <v/>
      </c>
      <c r="AI811" s="17" t="str">
        <f>IF(AG811="","",INDEX('quitado Despesa'!$G$1:$G$12,AG811))</f>
        <v/>
      </c>
      <c r="AJ811" s="17" t="str">
        <f t="shared" si="3"/>
        <v/>
      </c>
    </row>
    <row r="812" spans="31:36">
      <c r="AE812" s="15" t="str">
        <f t="shared" si="0"/>
        <v/>
      </c>
      <c r="AF812" s="15" t="str">
        <f t="shared" si="1"/>
        <v/>
      </c>
      <c r="AG812" s="15" t="str">
        <f>IF(OR(AF812="",AF812="ERRO_CHAVE"),"",IFERROR(MATCH(AF812,'quitado Despesa'!$V$1:$V$12,0),""))</f>
        <v/>
      </c>
      <c r="AH812" s="15" t="str">
        <f t="shared" si="2"/>
        <v/>
      </c>
      <c r="AI812" s="17" t="str">
        <f>IF(AG812="","",INDEX('quitado Despesa'!$G$1:$G$12,AG812))</f>
        <v/>
      </c>
      <c r="AJ812" s="17" t="str">
        <f t="shared" si="3"/>
        <v/>
      </c>
    </row>
    <row r="813" spans="31:36">
      <c r="AE813" s="15" t="str">
        <f t="shared" si="0"/>
        <v/>
      </c>
      <c r="AF813" s="15" t="str">
        <f t="shared" si="1"/>
        <v/>
      </c>
      <c r="AG813" s="15" t="str">
        <f>IF(OR(AF813="",AF813="ERRO_CHAVE"),"",IFERROR(MATCH(AF813,'quitado Despesa'!$V$1:$V$12,0),""))</f>
        <v/>
      </c>
      <c r="AH813" s="15" t="str">
        <f t="shared" si="2"/>
        <v/>
      </c>
      <c r="AI813" s="17" t="str">
        <f>IF(AG813="","",INDEX('quitado Despesa'!$G$1:$G$12,AG813))</f>
        <v/>
      </c>
      <c r="AJ813" s="17" t="str">
        <f t="shared" si="3"/>
        <v/>
      </c>
    </row>
    <row r="814" spans="31:36">
      <c r="AE814" s="15" t="str">
        <f t="shared" si="0"/>
        <v/>
      </c>
      <c r="AF814" s="15" t="str">
        <f t="shared" si="1"/>
        <v/>
      </c>
      <c r="AG814" s="15" t="str">
        <f>IF(OR(AF814="",AF814="ERRO_CHAVE"),"",IFERROR(MATCH(AF814,'quitado Despesa'!$V$1:$V$12,0),""))</f>
        <v/>
      </c>
      <c r="AH814" s="15" t="str">
        <f t="shared" si="2"/>
        <v/>
      </c>
      <c r="AI814" s="17" t="str">
        <f>IF(AG814="","",INDEX('quitado Despesa'!$G$1:$G$12,AG814))</f>
        <v/>
      </c>
      <c r="AJ814" s="17" t="str">
        <f t="shared" si="3"/>
        <v/>
      </c>
    </row>
    <row r="815" spans="31:36">
      <c r="AE815" s="15" t="str">
        <f t="shared" si="0"/>
        <v/>
      </c>
      <c r="AF815" s="15" t="str">
        <f t="shared" si="1"/>
        <v/>
      </c>
      <c r="AG815" s="15" t="str">
        <f>IF(OR(AF815="",AF815="ERRO_CHAVE"),"",IFERROR(MATCH(AF815,'quitado Despesa'!$V$1:$V$12,0),""))</f>
        <v/>
      </c>
      <c r="AH815" s="15" t="str">
        <f t="shared" si="2"/>
        <v/>
      </c>
      <c r="AI815" s="17" t="str">
        <f>IF(AG815="","",INDEX('quitado Despesa'!$G$1:$G$12,AG815))</f>
        <v/>
      </c>
      <c r="AJ815" s="17" t="str">
        <f t="shared" si="3"/>
        <v/>
      </c>
    </row>
    <row r="816" spans="31:36">
      <c r="AE816" s="15" t="str">
        <f t="shared" si="0"/>
        <v/>
      </c>
      <c r="AF816" s="15" t="str">
        <f t="shared" si="1"/>
        <v/>
      </c>
      <c r="AG816" s="15" t="str">
        <f>IF(OR(AF816="",AF816="ERRO_CHAVE"),"",IFERROR(MATCH(AF816,'quitado Despesa'!$V$1:$V$12,0),""))</f>
        <v/>
      </c>
      <c r="AH816" s="15" t="str">
        <f t="shared" si="2"/>
        <v/>
      </c>
      <c r="AI816" s="17" t="str">
        <f>IF(AG816="","",INDEX('quitado Despesa'!$G$1:$G$12,AG816))</f>
        <v/>
      </c>
      <c r="AJ816" s="17" t="str">
        <f t="shared" si="3"/>
        <v/>
      </c>
    </row>
    <row r="817" spans="31:36">
      <c r="AE817" s="15" t="str">
        <f t="shared" si="0"/>
        <v/>
      </c>
      <c r="AF817" s="15" t="str">
        <f t="shared" si="1"/>
        <v/>
      </c>
      <c r="AG817" s="15" t="str">
        <f>IF(OR(AF817="",AF817="ERRO_CHAVE"),"",IFERROR(MATCH(AF817,'quitado Despesa'!$V$1:$V$12,0),""))</f>
        <v/>
      </c>
      <c r="AH817" s="15" t="str">
        <f t="shared" si="2"/>
        <v/>
      </c>
      <c r="AI817" s="17" t="str">
        <f>IF(AG817="","",INDEX('quitado Despesa'!$G$1:$G$12,AG817))</f>
        <v/>
      </c>
      <c r="AJ817" s="17" t="str">
        <f t="shared" si="3"/>
        <v/>
      </c>
    </row>
    <row r="818" spans="31:36">
      <c r="AE818" s="15" t="str">
        <f t="shared" si="0"/>
        <v/>
      </c>
      <c r="AF818" s="15" t="str">
        <f t="shared" si="1"/>
        <v/>
      </c>
      <c r="AG818" s="15" t="str">
        <f>IF(OR(AF818="",AF818="ERRO_CHAVE"),"",IFERROR(MATCH(AF818,'quitado Despesa'!$V$1:$V$12,0),""))</f>
        <v/>
      </c>
      <c r="AH818" s="15" t="str">
        <f t="shared" si="2"/>
        <v/>
      </c>
      <c r="AI818" s="17" t="str">
        <f>IF(AG818="","",INDEX('quitado Despesa'!$G$1:$G$12,AG818))</f>
        <v/>
      </c>
      <c r="AJ818" s="17" t="str">
        <f t="shared" si="3"/>
        <v/>
      </c>
    </row>
    <row r="819" spans="31:36">
      <c r="AE819" s="15" t="str">
        <f t="shared" si="0"/>
        <v/>
      </c>
      <c r="AF819" s="15" t="str">
        <f t="shared" si="1"/>
        <v/>
      </c>
      <c r="AG819" s="15" t="str">
        <f>IF(OR(AF819="",AF819="ERRO_CHAVE"),"",IFERROR(MATCH(AF819,'quitado Despesa'!$V$1:$V$12,0),""))</f>
        <v/>
      </c>
      <c r="AH819" s="15" t="str">
        <f t="shared" si="2"/>
        <v/>
      </c>
      <c r="AI819" s="17" t="str">
        <f>IF(AG819="","",INDEX('quitado Despesa'!$G$1:$G$12,AG819))</f>
        <v/>
      </c>
      <c r="AJ819" s="17" t="str">
        <f t="shared" si="3"/>
        <v/>
      </c>
    </row>
    <row r="820" spans="31:36">
      <c r="AE820" s="15" t="str">
        <f t="shared" si="0"/>
        <v/>
      </c>
      <c r="AF820" s="15" t="str">
        <f t="shared" si="1"/>
        <v/>
      </c>
      <c r="AG820" s="15" t="str">
        <f>IF(OR(AF820="",AF820="ERRO_CHAVE"),"",IFERROR(MATCH(AF820,'quitado Despesa'!$V$1:$V$12,0),""))</f>
        <v/>
      </c>
      <c r="AH820" s="15" t="str">
        <f t="shared" si="2"/>
        <v/>
      </c>
      <c r="AI820" s="17" t="str">
        <f>IF(AG820="","",INDEX('quitado Despesa'!$G$1:$G$12,AG820))</f>
        <v/>
      </c>
      <c r="AJ820" s="17" t="str">
        <f t="shared" si="3"/>
        <v/>
      </c>
    </row>
    <row r="821" spans="31:36">
      <c r="AE821" s="15" t="str">
        <f t="shared" si="0"/>
        <v/>
      </c>
      <c r="AF821" s="15" t="str">
        <f t="shared" si="1"/>
        <v/>
      </c>
      <c r="AG821" s="15" t="str">
        <f>IF(OR(AF821="",AF821="ERRO_CHAVE"),"",IFERROR(MATCH(AF821,'quitado Despesa'!$V$1:$V$12,0),""))</f>
        <v/>
      </c>
      <c r="AH821" s="15" t="str">
        <f t="shared" si="2"/>
        <v/>
      </c>
      <c r="AI821" s="17" t="str">
        <f>IF(AG821="","",INDEX('quitado Despesa'!$G$1:$G$12,AG821))</f>
        <v/>
      </c>
      <c r="AJ821" s="17" t="str">
        <f t="shared" si="3"/>
        <v/>
      </c>
    </row>
    <row r="822" spans="31:36">
      <c r="AE822" s="15" t="str">
        <f t="shared" si="0"/>
        <v/>
      </c>
      <c r="AF822" s="15" t="str">
        <f t="shared" si="1"/>
        <v/>
      </c>
      <c r="AG822" s="15" t="str">
        <f>IF(OR(AF822="",AF822="ERRO_CHAVE"),"",IFERROR(MATCH(AF822,'quitado Despesa'!$V$1:$V$12,0),""))</f>
        <v/>
      </c>
      <c r="AH822" s="15" t="str">
        <f t="shared" si="2"/>
        <v/>
      </c>
      <c r="AI822" s="17" t="str">
        <f>IF(AG822="","",INDEX('quitado Despesa'!$G$1:$G$12,AG822))</f>
        <v/>
      </c>
      <c r="AJ822" s="17" t="str">
        <f t="shared" si="3"/>
        <v/>
      </c>
    </row>
    <row r="823" spans="31:36">
      <c r="AE823" s="15" t="str">
        <f t="shared" si="0"/>
        <v/>
      </c>
      <c r="AF823" s="15" t="str">
        <f t="shared" si="1"/>
        <v/>
      </c>
      <c r="AG823" s="15" t="str">
        <f>IF(OR(AF823="",AF823="ERRO_CHAVE"),"",IFERROR(MATCH(AF823,'quitado Despesa'!$V$1:$V$12,0),""))</f>
        <v/>
      </c>
      <c r="AH823" s="15" t="str">
        <f t="shared" si="2"/>
        <v/>
      </c>
      <c r="AI823" s="17" t="str">
        <f>IF(AG823="","",INDEX('quitado Despesa'!$G$1:$G$12,AG823))</f>
        <v/>
      </c>
      <c r="AJ823" s="17" t="str">
        <f t="shared" si="3"/>
        <v/>
      </c>
    </row>
    <row r="824" spans="31:36">
      <c r="AE824" s="15" t="str">
        <f t="shared" si="0"/>
        <v/>
      </c>
      <c r="AF824" s="15" t="str">
        <f t="shared" si="1"/>
        <v/>
      </c>
      <c r="AG824" s="15" t="str">
        <f>IF(OR(AF824="",AF824="ERRO_CHAVE"),"",IFERROR(MATCH(AF824,'quitado Despesa'!$V$1:$V$12,0),""))</f>
        <v/>
      </c>
      <c r="AH824" s="15" t="str">
        <f t="shared" si="2"/>
        <v/>
      </c>
      <c r="AI824" s="17" t="str">
        <f>IF(AG824="","",INDEX('quitado Despesa'!$G$1:$G$12,AG824))</f>
        <v/>
      </c>
      <c r="AJ824" s="17" t="str">
        <f t="shared" si="3"/>
        <v/>
      </c>
    </row>
    <row r="825" spans="31:36">
      <c r="AE825" s="15" t="str">
        <f t="shared" si="0"/>
        <v/>
      </c>
      <c r="AF825" s="15" t="str">
        <f t="shared" si="1"/>
        <v/>
      </c>
      <c r="AG825" s="15" t="str">
        <f>IF(OR(AF825="",AF825="ERRO_CHAVE"),"",IFERROR(MATCH(AF825,'quitado Despesa'!$V$1:$V$12,0),""))</f>
        <v/>
      </c>
      <c r="AH825" s="15" t="str">
        <f t="shared" si="2"/>
        <v/>
      </c>
      <c r="AI825" s="17" t="str">
        <f>IF(AG825="","",INDEX('quitado Despesa'!$G$1:$G$12,AG825))</f>
        <v/>
      </c>
      <c r="AJ825" s="17" t="str">
        <f t="shared" si="3"/>
        <v/>
      </c>
    </row>
    <row r="826" spans="31:36">
      <c r="AE826" s="15" t="str">
        <f t="shared" si="0"/>
        <v/>
      </c>
      <c r="AF826" s="15" t="str">
        <f t="shared" si="1"/>
        <v/>
      </c>
      <c r="AG826" s="15" t="str">
        <f>IF(OR(AF826="",AF826="ERRO_CHAVE"),"",IFERROR(MATCH(AF826,'quitado Despesa'!$V$1:$V$12,0),""))</f>
        <v/>
      </c>
      <c r="AH826" s="15" t="str">
        <f t="shared" si="2"/>
        <v/>
      </c>
      <c r="AI826" s="17" t="str">
        <f>IF(AG826="","",INDEX('quitado Despesa'!$G$1:$G$12,AG826))</f>
        <v/>
      </c>
      <c r="AJ826" s="17" t="str">
        <f t="shared" si="3"/>
        <v/>
      </c>
    </row>
    <row r="827" spans="31:36">
      <c r="AE827" s="15" t="str">
        <f t="shared" si="0"/>
        <v/>
      </c>
      <c r="AF827" s="15" t="str">
        <f t="shared" si="1"/>
        <v/>
      </c>
      <c r="AG827" s="15" t="str">
        <f>IF(OR(AF827="",AF827="ERRO_CHAVE"),"",IFERROR(MATCH(AF827,'quitado Despesa'!$V$1:$V$12,0),""))</f>
        <v/>
      </c>
      <c r="AH827" s="15" t="str">
        <f t="shared" si="2"/>
        <v/>
      </c>
      <c r="AI827" s="17" t="str">
        <f>IF(AG827="","",INDEX('quitado Despesa'!$G$1:$G$12,AG827))</f>
        <v/>
      </c>
      <c r="AJ827" s="17" t="str">
        <f t="shared" si="3"/>
        <v/>
      </c>
    </row>
    <row r="828" spans="31:36">
      <c r="AE828" s="15" t="str">
        <f t="shared" si="0"/>
        <v/>
      </c>
      <c r="AF828" s="15" t="str">
        <f t="shared" si="1"/>
        <v/>
      </c>
      <c r="AG828" s="15" t="str">
        <f>IF(OR(AF828="",AF828="ERRO_CHAVE"),"",IFERROR(MATCH(AF828,'quitado Despesa'!$V$1:$V$12,0),""))</f>
        <v/>
      </c>
      <c r="AH828" s="15" t="str">
        <f t="shared" si="2"/>
        <v/>
      </c>
      <c r="AI828" s="17" t="str">
        <f>IF(AG828="","",INDEX('quitado Despesa'!$G$1:$G$12,AG828))</f>
        <v/>
      </c>
      <c r="AJ828" s="17" t="str">
        <f t="shared" si="3"/>
        <v/>
      </c>
    </row>
    <row r="829" spans="31:36">
      <c r="AE829" s="15" t="str">
        <f t="shared" si="0"/>
        <v/>
      </c>
      <c r="AF829" s="15" t="str">
        <f t="shared" si="1"/>
        <v/>
      </c>
      <c r="AG829" s="15" t="str">
        <f>IF(OR(AF829="",AF829="ERRO_CHAVE"),"",IFERROR(MATCH(AF829,'quitado Despesa'!$V$1:$V$12,0),""))</f>
        <v/>
      </c>
      <c r="AH829" s="15" t="str">
        <f t="shared" si="2"/>
        <v/>
      </c>
      <c r="AI829" s="17" t="str">
        <f>IF(AG829="","",INDEX('quitado Despesa'!$G$1:$G$12,AG829))</f>
        <v/>
      </c>
      <c r="AJ829" s="17" t="str">
        <f t="shared" si="3"/>
        <v/>
      </c>
    </row>
    <row r="830" spans="31:36">
      <c r="AE830" s="15" t="str">
        <f t="shared" si="0"/>
        <v/>
      </c>
      <c r="AF830" s="15" t="str">
        <f t="shared" si="1"/>
        <v/>
      </c>
      <c r="AG830" s="15" t="str">
        <f>IF(OR(AF830="",AF830="ERRO_CHAVE"),"",IFERROR(MATCH(AF830,'quitado Despesa'!$V$1:$V$12,0),""))</f>
        <v/>
      </c>
      <c r="AH830" s="15" t="str">
        <f t="shared" si="2"/>
        <v/>
      </c>
      <c r="AI830" s="17" t="str">
        <f>IF(AG830="","",INDEX('quitado Despesa'!$G$1:$G$12,AG830))</f>
        <v/>
      </c>
      <c r="AJ830" s="17" t="str">
        <f t="shared" si="3"/>
        <v/>
      </c>
    </row>
    <row r="831" spans="31:36">
      <c r="AE831" s="15" t="str">
        <f t="shared" si="0"/>
        <v/>
      </c>
      <c r="AF831" s="15" t="str">
        <f t="shared" si="1"/>
        <v/>
      </c>
      <c r="AG831" s="15" t="str">
        <f>IF(OR(AF831="",AF831="ERRO_CHAVE"),"",IFERROR(MATCH(AF831,'quitado Despesa'!$V$1:$V$12,0),""))</f>
        <v/>
      </c>
      <c r="AH831" s="15" t="str">
        <f t="shared" si="2"/>
        <v/>
      </c>
      <c r="AI831" s="17" t="str">
        <f>IF(AG831="","",INDEX('quitado Despesa'!$G$1:$G$12,AG831))</f>
        <v/>
      </c>
      <c r="AJ831" s="17" t="str">
        <f t="shared" si="3"/>
        <v/>
      </c>
    </row>
    <row r="832" spans="31:36">
      <c r="AE832" s="15" t="str">
        <f t="shared" si="0"/>
        <v/>
      </c>
      <c r="AF832" s="15" t="str">
        <f t="shared" si="1"/>
        <v/>
      </c>
      <c r="AG832" s="15" t="str">
        <f>IF(OR(AF832="",AF832="ERRO_CHAVE"),"",IFERROR(MATCH(AF832,'quitado Despesa'!$V$1:$V$12,0),""))</f>
        <v/>
      </c>
      <c r="AH832" s="15" t="str">
        <f t="shared" si="2"/>
        <v/>
      </c>
      <c r="AI832" s="17" t="str">
        <f>IF(AG832="","",INDEX('quitado Despesa'!$G$1:$G$12,AG832))</f>
        <v/>
      </c>
      <c r="AJ832" s="17" t="str">
        <f t="shared" si="3"/>
        <v/>
      </c>
    </row>
    <row r="833" spans="31:36">
      <c r="AE833" s="15" t="str">
        <f t="shared" si="0"/>
        <v/>
      </c>
      <c r="AF833" s="15" t="str">
        <f t="shared" si="1"/>
        <v/>
      </c>
      <c r="AG833" s="15" t="str">
        <f>IF(OR(AF833="",AF833="ERRO_CHAVE"),"",IFERROR(MATCH(AF833,'quitado Despesa'!$V$1:$V$12,0),""))</f>
        <v/>
      </c>
      <c r="AH833" s="15" t="str">
        <f t="shared" si="2"/>
        <v/>
      </c>
      <c r="AI833" s="17" t="str">
        <f>IF(AG833="","",INDEX('quitado Despesa'!$G$1:$G$12,AG833))</f>
        <v/>
      </c>
      <c r="AJ833" s="17" t="str">
        <f t="shared" si="3"/>
        <v/>
      </c>
    </row>
    <row r="834" spans="31:36">
      <c r="AE834" s="15" t="str">
        <f t="shared" si="0"/>
        <v/>
      </c>
      <c r="AF834" s="15" t="str">
        <f t="shared" si="1"/>
        <v/>
      </c>
      <c r="AG834" s="15" t="str">
        <f>IF(OR(AF834="",AF834="ERRO_CHAVE"),"",IFERROR(MATCH(AF834,'quitado Despesa'!$V$1:$V$12,0),""))</f>
        <v/>
      </c>
      <c r="AH834" s="15" t="str">
        <f t="shared" si="2"/>
        <v/>
      </c>
      <c r="AI834" s="17" t="str">
        <f>IF(AG834="","",INDEX('quitado Despesa'!$G$1:$G$12,AG834))</f>
        <v/>
      </c>
      <c r="AJ834" s="17" t="str">
        <f t="shared" si="3"/>
        <v/>
      </c>
    </row>
    <row r="835" spans="31:36">
      <c r="AE835" s="15" t="str">
        <f t="shared" si="0"/>
        <v/>
      </c>
      <c r="AF835" s="15" t="str">
        <f t="shared" si="1"/>
        <v/>
      </c>
      <c r="AG835" s="15" t="str">
        <f>IF(OR(AF835="",AF835="ERRO_CHAVE"),"",IFERROR(MATCH(AF835,'quitado Despesa'!$V$1:$V$12,0),""))</f>
        <v/>
      </c>
      <c r="AH835" s="15" t="str">
        <f t="shared" si="2"/>
        <v/>
      </c>
      <c r="AI835" s="17" t="str">
        <f>IF(AG835="","",INDEX('quitado Despesa'!$G$1:$G$12,AG835))</f>
        <v/>
      </c>
      <c r="AJ835" s="17" t="str">
        <f t="shared" si="3"/>
        <v/>
      </c>
    </row>
    <row r="836" spans="31:36">
      <c r="AE836" s="15" t="str">
        <f t="shared" si="0"/>
        <v/>
      </c>
      <c r="AF836" s="15" t="str">
        <f t="shared" si="1"/>
        <v/>
      </c>
      <c r="AG836" s="15" t="str">
        <f>IF(OR(AF836="",AF836="ERRO_CHAVE"),"",IFERROR(MATCH(AF836,'quitado Despesa'!$V$1:$V$12,0),""))</f>
        <v/>
      </c>
      <c r="AH836" s="15" t="str">
        <f t="shared" si="2"/>
        <v/>
      </c>
      <c r="AI836" s="17" t="str">
        <f>IF(AG836="","",INDEX('quitado Despesa'!$G$1:$G$12,AG836))</f>
        <v/>
      </c>
      <c r="AJ836" s="17" t="str">
        <f t="shared" si="3"/>
        <v/>
      </c>
    </row>
    <row r="837" spans="31:36">
      <c r="AE837" s="15" t="str">
        <f t="shared" si="0"/>
        <v/>
      </c>
      <c r="AF837" s="15" t="str">
        <f t="shared" si="1"/>
        <v/>
      </c>
      <c r="AG837" s="15" t="str">
        <f>IF(OR(AF837="",AF837="ERRO_CHAVE"),"",IFERROR(MATCH(AF837,'quitado Despesa'!$V$1:$V$12,0),""))</f>
        <v/>
      </c>
      <c r="AH837" s="15" t="str">
        <f t="shared" si="2"/>
        <v/>
      </c>
      <c r="AI837" s="17" t="str">
        <f>IF(AG837="","",INDEX('quitado Despesa'!$G$1:$G$12,AG837))</f>
        <v/>
      </c>
      <c r="AJ837" s="17" t="str">
        <f t="shared" si="3"/>
        <v/>
      </c>
    </row>
    <row r="838" spans="31:36">
      <c r="AE838" s="15" t="str">
        <f t="shared" si="0"/>
        <v/>
      </c>
      <c r="AF838" s="15" t="str">
        <f t="shared" si="1"/>
        <v/>
      </c>
      <c r="AG838" s="15" t="str">
        <f>IF(OR(AF838="",AF838="ERRO_CHAVE"),"",IFERROR(MATCH(AF838,'quitado Despesa'!$V$1:$V$12,0),""))</f>
        <v/>
      </c>
      <c r="AH838" s="15" t="str">
        <f t="shared" si="2"/>
        <v/>
      </c>
      <c r="AI838" s="17" t="str">
        <f>IF(AG838="","",INDEX('quitado Despesa'!$G$1:$G$12,AG838))</f>
        <v/>
      </c>
      <c r="AJ838" s="17" t="str">
        <f t="shared" si="3"/>
        <v/>
      </c>
    </row>
    <row r="839" spans="31:36">
      <c r="AE839" s="15" t="str">
        <f t="shared" si="0"/>
        <v/>
      </c>
      <c r="AF839" s="15" t="str">
        <f t="shared" si="1"/>
        <v/>
      </c>
      <c r="AG839" s="15" t="str">
        <f>IF(OR(AF839="",AF839="ERRO_CHAVE"),"",IFERROR(MATCH(AF839,'quitado Despesa'!$V$1:$V$12,0),""))</f>
        <v/>
      </c>
      <c r="AH839" s="15" t="str">
        <f t="shared" si="2"/>
        <v/>
      </c>
      <c r="AI839" s="17" t="str">
        <f>IF(AG839="","",INDEX('quitado Despesa'!$G$1:$G$12,AG839))</f>
        <v/>
      </c>
      <c r="AJ839" s="17" t="str">
        <f t="shared" si="3"/>
        <v/>
      </c>
    </row>
    <row r="840" spans="31:36">
      <c r="AE840" s="15" t="str">
        <f t="shared" si="0"/>
        <v/>
      </c>
      <c r="AF840" s="15" t="str">
        <f t="shared" si="1"/>
        <v/>
      </c>
      <c r="AG840" s="15" t="str">
        <f>IF(OR(AF840="",AF840="ERRO_CHAVE"),"",IFERROR(MATCH(AF840,'quitado Despesa'!$V$1:$V$12,0),""))</f>
        <v/>
      </c>
      <c r="AH840" s="15" t="str">
        <f t="shared" si="2"/>
        <v/>
      </c>
      <c r="AI840" s="17" t="str">
        <f>IF(AG840="","",INDEX('quitado Despesa'!$G$1:$G$12,AG840))</f>
        <v/>
      </c>
      <c r="AJ840" s="17" t="str">
        <f t="shared" si="3"/>
        <v/>
      </c>
    </row>
    <row r="841" spans="31:36">
      <c r="AE841" s="15" t="str">
        <f t="shared" si="0"/>
        <v/>
      </c>
      <c r="AF841" s="15" t="str">
        <f t="shared" si="1"/>
        <v/>
      </c>
      <c r="AG841" s="15" t="str">
        <f>IF(OR(AF841="",AF841="ERRO_CHAVE"),"",IFERROR(MATCH(AF841,'quitado Despesa'!$V$1:$V$12,0),""))</f>
        <v/>
      </c>
      <c r="AH841" s="15" t="str">
        <f t="shared" si="2"/>
        <v/>
      </c>
      <c r="AI841" s="17" t="str">
        <f>IF(AG841="","",INDEX('quitado Despesa'!$G$1:$G$12,AG841))</f>
        <v/>
      </c>
      <c r="AJ841" s="17" t="str">
        <f t="shared" si="3"/>
        <v/>
      </c>
    </row>
    <row r="842" spans="31:36">
      <c r="AE842" s="15" t="str">
        <f t="shared" si="0"/>
        <v/>
      </c>
      <c r="AF842" s="15" t="str">
        <f t="shared" si="1"/>
        <v/>
      </c>
      <c r="AG842" s="15" t="str">
        <f>IF(OR(AF842="",AF842="ERRO_CHAVE"),"",IFERROR(MATCH(AF842,'quitado Despesa'!$V$1:$V$12,0),""))</f>
        <v/>
      </c>
      <c r="AH842" s="15" t="str">
        <f t="shared" si="2"/>
        <v/>
      </c>
      <c r="AI842" s="17" t="str">
        <f>IF(AG842="","",INDEX('quitado Despesa'!$G$1:$G$12,AG842))</f>
        <v/>
      </c>
      <c r="AJ842" s="17" t="str">
        <f t="shared" si="3"/>
        <v/>
      </c>
    </row>
    <row r="843" spans="31:36">
      <c r="AE843" s="15" t="str">
        <f t="shared" si="0"/>
        <v/>
      </c>
      <c r="AF843" s="15" t="str">
        <f t="shared" si="1"/>
        <v/>
      </c>
      <c r="AG843" s="15" t="str">
        <f>IF(OR(AF843="",AF843="ERRO_CHAVE"),"",IFERROR(MATCH(AF843,'quitado Despesa'!$V$1:$V$12,0),""))</f>
        <v/>
      </c>
      <c r="AH843" s="15" t="str">
        <f t="shared" si="2"/>
        <v/>
      </c>
      <c r="AI843" s="17" t="str">
        <f>IF(AG843="","",INDEX('quitado Despesa'!$G$1:$G$12,AG843))</f>
        <v/>
      </c>
      <c r="AJ843" s="17" t="str">
        <f t="shared" si="3"/>
        <v/>
      </c>
    </row>
    <row r="844" spans="31:36">
      <c r="AE844" s="15" t="str">
        <f t="shared" si="0"/>
        <v/>
      </c>
      <c r="AF844" s="15" t="str">
        <f t="shared" si="1"/>
        <v/>
      </c>
      <c r="AG844" s="15" t="str">
        <f>IF(OR(AF844="",AF844="ERRO_CHAVE"),"",IFERROR(MATCH(AF844,'quitado Despesa'!$V$1:$V$12,0),""))</f>
        <v/>
      </c>
      <c r="AH844" s="15" t="str">
        <f t="shared" si="2"/>
        <v/>
      </c>
      <c r="AI844" s="17" t="str">
        <f>IF(AG844="","",INDEX('quitado Despesa'!$G$1:$G$12,AG844))</f>
        <v/>
      </c>
      <c r="AJ844" s="17" t="str">
        <f t="shared" si="3"/>
        <v/>
      </c>
    </row>
    <row r="845" spans="31:36">
      <c r="AE845" s="15" t="str">
        <f t="shared" si="0"/>
        <v/>
      </c>
      <c r="AF845" s="15" t="str">
        <f t="shared" si="1"/>
        <v/>
      </c>
      <c r="AG845" s="15" t="str">
        <f>IF(OR(AF845="",AF845="ERRO_CHAVE"),"",IFERROR(MATCH(AF845,'quitado Despesa'!$V$1:$V$12,0),""))</f>
        <v/>
      </c>
      <c r="AH845" s="15" t="str">
        <f t="shared" si="2"/>
        <v/>
      </c>
      <c r="AI845" s="17" t="str">
        <f>IF(AG845="","",INDEX('quitado Despesa'!$G$1:$G$12,AG845))</f>
        <v/>
      </c>
      <c r="AJ845" s="17" t="str">
        <f t="shared" si="3"/>
        <v/>
      </c>
    </row>
    <row r="846" spans="31:36">
      <c r="AE846" s="15" t="str">
        <f t="shared" si="0"/>
        <v/>
      </c>
      <c r="AF846" s="15" t="str">
        <f t="shared" si="1"/>
        <v/>
      </c>
      <c r="AG846" s="15" t="str">
        <f>IF(OR(AF846="",AF846="ERRO_CHAVE"),"",IFERROR(MATCH(AF846,'quitado Despesa'!$V$1:$V$12,0),""))</f>
        <v/>
      </c>
      <c r="AH846" s="15" t="str">
        <f t="shared" si="2"/>
        <v/>
      </c>
      <c r="AI846" s="17" t="str">
        <f>IF(AG846="","",INDEX('quitado Despesa'!$G$1:$G$12,AG846))</f>
        <v/>
      </c>
      <c r="AJ846" s="17" t="str">
        <f t="shared" si="3"/>
        <v/>
      </c>
    </row>
    <row r="847" spans="31:36">
      <c r="AE847" s="15" t="str">
        <f t="shared" si="0"/>
        <v/>
      </c>
      <c r="AF847" s="15" t="str">
        <f t="shared" si="1"/>
        <v/>
      </c>
      <c r="AG847" s="15" t="str">
        <f>IF(OR(AF847="",AF847="ERRO_CHAVE"),"",IFERROR(MATCH(AF847,'quitado Despesa'!$V$1:$V$12,0),""))</f>
        <v/>
      </c>
      <c r="AH847" s="15" t="str">
        <f t="shared" si="2"/>
        <v/>
      </c>
      <c r="AI847" s="17" t="str">
        <f>IF(AG847="","",INDEX('quitado Despesa'!$G$1:$G$12,AG847))</f>
        <v/>
      </c>
      <c r="AJ847" s="17" t="str">
        <f t="shared" si="3"/>
        <v/>
      </c>
    </row>
    <row r="848" spans="31:36">
      <c r="AE848" s="15" t="str">
        <f t="shared" si="0"/>
        <v/>
      </c>
      <c r="AF848" s="15" t="str">
        <f t="shared" si="1"/>
        <v/>
      </c>
      <c r="AG848" s="15" t="str">
        <f>IF(OR(AF848="",AF848="ERRO_CHAVE"),"",IFERROR(MATCH(AF848,'quitado Despesa'!$V$1:$V$12,0),""))</f>
        <v/>
      </c>
      <c r="AH848" s="15" t="str">
        <f t="shared" si="2"/>
        <v/>
      </c>
      <c r="AI848" s="17" t="str">
        <f>IF(AG848="","",INDEX('quitado Despesa'!$G$1:$G$12,AG848))</f>
        <v/>
      </c>
      <c r="AJ848" s="17" t="str">
        <f t="shared" si="3"/>
        <v/>
      </c>
    </row>
    <row r="849" spans="31:36">
      <c r="AE849" s="15" t="str">
        <f t="shared" si="0"/>
        <v/>
      </c>
      <c r="AF849" s="15" t="str">
        <f t="shared" si="1"/>
        <v/>
      </c>
      <c r="AG849" s="15" t="str">
        <f>IF(OR(AF849="",AF849="ERRO_CHAVE"),"",IFERROR(MATCH(AF849,'quitado Despesa'!$V$1:$V$12,0),""))</f>
        <v/>
      </c>
      <c r="AH849" s="15" t="str">
        <f t="shared" si="2"/>
        <v/>
      </c>
      <c r="AI849" s="17" t="str">
        <f>IF(AG849="","",INDEX('quitado Despesa'!$G$1:$G$12,AG849))</f>
        <v/>
      </c>
      <c r="AJ849" s="17" t="str">
        <f t="shared" si="3"/>
        <v/>
      </c>
    </row>
    <row r="850" spans="31:36">
      <c r="AE850" s="15" t="str">
        <f t="shared" si="0"/>
        <v/>
      </c>
      <c r="AF850" s="15" t="str">
        <f t="shared" si="1"/>
        <v/>
      </c>
      <c r="AG850" s="15" t="str">
        <f>IF(OR(AF850="",AF850="ERRO_CHAVE"),"",IFERROR(MATCH(AF850,'quitado Despesa'!$V$1:$V$12,0),""))</f>
        <v/>
      </c>
      <c r="AH850" s="15" t="str">
        <f t="shared" si="2"/>
        <v/>
      </c>
      <c r="AI850" s="17" t="str">
        <f>IF(AG850="","",INDEX('quitado Despesa'!$G$1:$G$12,AG850))</f>
        <v/>
      </c>
      <c r="AJ850" s="17" t="str">
        <f t="shared" si="3"/>
        <v/>
      </c>
    </row>
    <row r="851" spans="31:36">
      <c r="AE851" s="15" t="str">
        <f t="shared" si="0"/>
        <v/>
      </c>
      <c r="AF851" s="15" t="str">
        <f t="shared" si="1"/>
        <v/>
      </c>
      <c r="AG851" s="15" t="str">
        <f>IF(OR(AF851="",AF851="ERRO_CHAVE"),"",IFERROR(MATCH(AF851,'quitado Despesa'!$V$1:$V$12,0),""))</f>
        <v/>
      </c>
      <c r="AH851" s="15" t="str">
        <f t="shared" si="2"/>
        <v/>
      </c>
      <c r="AI851" s="17" t="str">
        <f>IF(AG851="","",INDEX('quitado Despesa'!$G$1:$G$12,AG851))</f>
        <v/>
      </c>
      <c r="AJ851" s="17" t="str">
        <f t="shared" si="3"/>
        <v/>
      </c>
    </row>
    <row r="852" spans="31:36">
      <c r="AE852" s="15" t="str">
        <f t="shared" si="0"/>
        <v/>
      </c>
      <c r="AF852" s="15" t="str">
        <f t="shared" si="1"/>
        <v/>
      </c>
      <c r="AG852" s="15" t="str">
        <f>IF(OR(AF852="",AF852="ERRO_CHAVE"),"",IFERROR(MATCH(AF852,'quitado Despesa'!$V$1:$V$12,0),""))</f>
        <v/>
      </c>
      <c r="AH852" s="15" t="str">
        <f t="shared" si="2"/>
        <v/>
      </c>
      <c r="AI852" s="17" t="str">
        <f>IF(AG852="","",INDEX('quitado Despesa'!$G$1:$G$12,AG852))</f>
        <v/>
      </c>
      <c r="AJ852" s="17" t="str">
        <f t="shared" si="3"/>
        <v/>
      </c>
    </row>
    <row r="853" spans="31:36">
      <c r="AE853" s="15" t="str">
        <f t="shared" si="0"/>
        <v/>
      </c>
      <c r="AF853" s="15" t="str">
        <f t="shared" si="1"/>
        <v/>
      </c>
      <c r="AG853" s="15" t="str">
        <f>IF(OR(AF853="",AF853="ERRO_CHAVE"),"",IFERROR(MATCH(AF853,'quitado Despesa'!$V$1:$V$12,0),""))</f>
        <v/>
      </c>
      <c r="AH853" s="15" t="str">
        <f t="shared" si="2"/>
        <v/>
      </c>
      <c r="AI853" s="17" t="str">
        <f>IF(AG853="","",INDEX('quitado Despesa'!$G$1:$G$12,AG853))</f>
        <v/>
      </c>
      <c r="AJ853" s="17" t="str">
        <f t="shared" si="3"/>
        <v/>
      </c>
    </row>
    <row r="854" spans="31:36">
      <c r="AE854" s="15" t="str">
        <f t="shared" si="0"/>
        <v/>
      </c>
      <c r="AF854" s="15" t="str">
        <f t="shared" si="1"/>
        <v/>
      </c>
      <c r="AG854" s="15" t="str">
        <f>IF(OR(AF854="",AF854="ERRO_CHAVE"),"",IFERROR(MATCH(AF854,'quitado Despesa'!$V$1:$V$12,0),""))</f>
        <v/>
      </c>
      <c r="AH854" s="15" t="str">
        <f t="shared" si="2"/>
        <v/>
      </c>
      <c r="AI854" s="17" t="str">
        <f>IF(AG854="","",INDEX('quitado Despesa'!$G$1:$G$12,AG854))</f>
        <v/>
      </c>
      <c r="AJ854" s="17" t="str">
        <f t="shared" si="3"/>
        <v/>
      </c>
    </row>
    <row r="855" spans="31:36">
      <c r="AE855" s="15" t="str">
        <f t="shared" si="0"/>
        <v/>
      </c>
      <c r="AF855" s="15" t="str">
        <f t="shared" si="1"/>
        <v/>
      </c>
      <c r="AG855" s="15" t="str">
        <f>IF(OR(AF855="",AF855="ERRO_CHAVE"),"",IFERROR(MATCH(AF855,'quitado Despesa'!$V$1:$V$12,0),""))</f>
        <v/>
      </c>
      <c r="AH855" s="15" t="str">
        <f t="shared" si="2"/>
        <v/>
      </c>
      <c r="AI855" s="17" t="str">
        <f>IF(AG855="","",INDEX('quitado Despesa'!$G$1:$G$12,AG855))</f>
        <v/>
      </c>
      <c r="AJ855" s="17" t="str">
        <f t="shared" si="3"/>
        <v/>
      </c>
    </row>
    <row r="856" spans="31:36">
      <c r="AE856" s="15" t="str">
        <f t="shared" si="0"/>
        <v/>
      </c>
      <c r="AF856" s="15" t="str">
        <f t="shared" si="1"/>
        <v/>
      </c>
      <c r="AG856" s="15" t="str">
        <f>IF(OR(AF856="",AF856="ERRO_CHAVE"),"",IFERROR(MATCH(AF856,'quitado Despesa'!$V$1:$V$12,0),""))</f>
        <v/>
      </c>
      <c r="AH856" s="15" t="str">
        <f t="shared" si="2"/>
        <v/>
      </c>
      <c r="AI856" s="17" t="str">
        <f>IF(AG856="","",INDEX('quitado Despesa'!$G$1:$G$12,AG856))</f>
        <v/>
      </c>
      <c r="AJ856" s="17" t="str">
        <f t="shared" si="3"/>
        <v/>
      </c>
    </row>
    <row r="857" spans="31:36">
      <c r="AE857" s="15" t="str">
        <f t="shared" si="0"/>
        <v/>
      </c>
      <c r="AF857" s="15" t="str">
        <f t="shared" si="1"/>
        <v/>
      </c>
      <c r="AG857" s="15" t="str">
        <f>IF(OR(AF857="",AF857="ERRO_CHAVE"),"",IFERROR(MATCH(AF857,'quitado Despesa'!$V$1:$V$12,0),""))</f>
        <v/>
      </c>
      <c r="AH857" s="15" t="str">
        <f t="shared" si="2"/>
        <v/>
      </c>
      <c r="AI857" s="17" t="str">
        <f>IF(AG857="","",INDEX('quitado Despesa'!$G$1:$G$12,AG857))</f>
        <v/>
      </c>
      <c r="AJ857" s="17" t="str">
        <f t="shared" si="3"/>
        <v/>
      </c>
    </row>
    <row r="858" spans="31:36">
      <c r="AE858" s="15" t="str">
        <f t="shared" si="0"/>
        <v/>
      </c>
      <c r="AF858" s="15" t="str">
        <f t="shared" si="1"/>
        <v/>
      </c>
      <c r="AG858" s="15" t="str">
        <f>IF(OR(AF858="",AF858="ERRO_CHAVE"),"",IFERROR(MATCH(AF858,'quitado Despesa'!$V$1:$V$12,0),""))</f>
        <v/>
      </c>
      <c r="AH858" s="15" t="str">
        <f t="shared" si="2"/>
        <v/>
      </c>
      <c r="AI858" s="17" t="str">
        <f>IF(AG858="","",INDEX('quitado Despesa'!$G$1:$G$12,AG858))</f>
        <v/>
      </c>
      <c r="AJ858" s="17" t="str">
        <f t="shared" si="3"/>
        <v/>
      </c>
    </row>
    <row r="859" spans="31:36">
      <c r="AE859" s="15" t="str">
        <f t="shared" si="0"/>
        <v/>
      </c>
      <c r="AF859" s="15" t="str">
        <f t="shared" si="1"/>
        <v/>
      </c>
      <c r="AG859" s="15" t="str">
        <f>IF(OR(AF859="",AF859="ERRO_CHAVE"),"",IFERROR(MATCH(AF859,'quitado Despesa'!$V$1:$V$12,0),""))</f>
        <v/>
      </c>
      <c r="AH859" s="15" t="str">
        <f t="shared" si="2"/>
        <v/>
      </c>
      <c r="AI859" s="17" t="str">
        <f>IF(AG859="","",INDEX('quitado Despesa'!$G$1:$G$12,AG859))</f>
        <v/>
      </c>
      <c r="AJ859" s="17" t="str">
        <f t="shared" si="3"/>
        <v/>
      </c>
    </row>
    <row r="860" spans="31:36">
      <c r="AE860" s="15" t="str">
        <f t="shared" si="0"/>
        <v/>
      </c>
      <c r="AF860" s="15" t="str">
        <f t="shared" si="1"/>
        <v/>
      </c>
      <c r="AG860" s="15" t="str">
        <f>IF(OR(AF860="",AF860="ERRO_CHAVE"),"",IFERROR(MATCH(AF860,'quitado Despesa'!$V$1:$V$12,0),""))</f>
        <v/>
      </c>
      <c r="AH860" s="15" t="str">
        <f t="shared" si="2"/>
        <v/>
      </c>
      <c r="AI860" s="17" t="str">
        <f>IF(AG860="","",INDEX('quitado Despesa'!$G$1:$G$12,AG860))</f>
        <v/>
      </c>
      <c r="AJ860" s="17" t="str">
        <f t="shared" si="3"/>
        <v/>
      </c>
    </row>
    <row r="861" spans="31:36">
      <c r="AE861" s="15" t="str">
        <f t="shared" si="0"/>
        <v/>
      </c>
      <c r="AF861" s="15" t="str">
        <f t="shared" si="1"/>
        <v/>
      </c>
      <c r="AG861" s="15" t="str">
        <f>IF(OR(AF861="",AF861="ERRO_CHAVE"),"",IFERROR(MATCH(AF861,'quitado Despesa'!$V$1:$V$12,0),""))</f>
        <v/>
      </c>
      <c r="AH861" s="15" t="str">
        <f t="shared" si="2"/>
        <v/>
      </c>
      <c r="AI861" s="17" t="str">
        <f>IF(AG861="","",INDEX('quitado Despesa'!$G$1:$G$12,AG861))</f>
        <v/>
      </c>
      <c r="AJ861" s="17" t="str">
        <f t="shared" si="3"/>
        <v/>
      </c>
    </row>
    <row r="862" spans="31:36">
      <c r="AE862" s="15" t="str">
        <f t="shared" si="0"/>
        <v/>
      </c>
      <c r="AF862" s="15" t="str">
        <f t="shared" si="1"/>
        <v/>
      </c>
      <c r="AG862" s="15" t="str">
        <f>IF(OR(AF862="",AF862="ERRO_CHAVE"),"",IFERROR(MATCH(AF862,'quitado Despesa'!$V$1:$V$12,0),""))</f>
        <v/>
      </c>
      <c r="AH862" s="15" t="str">
        <f t="shared" si="2"/>
        <v/>
      </c>
      <c r="AI862" s="17" t="str">
        <f>IF(AG862="","",INDEX('quitado Despesa'!$G$1:$G$12,AG862))</f>
        <v/>
      </c>
      <c r="AJ862" s="17" t="str">
        <f t="shared" si="3"/>
        <v/>
      </c>
    </row>
    <row r="863" spans="31:36">
      <c r="AE863" s="15" t="str">
        <f t="shared" si="0"/>
        <v/>
      </c>
      <c r="AF863" s="15" t="str">
        <f t="shared" si="1"/>
        <v/>
      </c>
      <c r="AG863" s="15" t="str">
        <f>IF(OR(AF863="",AF863="ERRO_CHAVE"),"",IFERROR(MATCH(AF863,'quitado Despesa'!$V$1:$V$12,0),""))</f>
        <v/>
      </c>
      <c r="AH863" s="15" t="str">
        <f t="shared" si="2"/>
        <v/>
      </c>
      <c r="AI863" s="17" t="str">
        <f>IF(AG863="","",INDEX('quitado Despesa'!$G$1:$G$12,AG863))</f>
        <v/>
      </c>
      <c r="AJ863" s="17" t="str">
        <f t="shared" si="3"/>
        <v/>
      </c>
    </row>
    <row r="864" spans="31:36">
      <c r="AE864" s="15" t="str">
        <f t="shared" si="0"/>
        <v/>
      </c>
      <c r="AF864" s="15" t="str">
        <f t="shared" si="1"/>
        <v/>
      </c>
      <c r="AG864" s="15" t="str">
        <f>IF(OR(AF864="",AF864="ERRO_CHAVE"),"",IFERROR(MATCH(AF864,'quitado Despesa'!$V$1:$V$12,0),""))</f>
        <v/>
      </c>
      <c r="AH864" s="15" t="str">
        <f t="shared" si="2"/>
        <v/>
      </c>
      <c r="AI864" s="17" t="str">
        <f>IF(AG864="","",INDEX('quitado Despesa'!$G$1:$G$12,AG864))</f>
        <v/>
      </c>
      <c r="AJ864" s="17" t="str">
        <f t="shared" si="3"/>
        <v/>
      </c>
    </row>
    <row r="865" spans="31:36">
      <c r="AE865" s="15" t="str">
        <f t="shared" si="0"/>
        <v/>
      </c>
      <c r="AF865" s="15" t="str">
        <f t="shared" si="1"/>
        <v/>
      </c>
      <c r="AG865" s="15" t="str">
        <f>IF(OR(AF865="",AF865="ERRO_CHAVE"),"",IFERROR(MATCH(AF865,'quitado Despesa'!$V$1:$V$12,0),""))</f>
        <v/>
      </c>
      <c r="AH865" s="15" t="str">
        <f t="shared" si="2"/>
        <v/>
      </c>
      <c r="AI865" s="17" t="str">
        <f>IF(AG865="","",INDEX('quitado Despesa'!$G$1:$G$12,AG865))</f>
        <v/>
      </c>
      <c r="AJ865" s="17" t="str">
        <f t="shared" si="3"/>
        <v/>
      </c>
    </row>
    <row r="866" spans="31:36">
      <c r="AE866" s="15" t="str">
        <f t="shared" si="0"/>
        <v/>
      </c>
      <c r="AF866" s="15" t="str">
        <f t="shared" si="1"/>
        <v/>
      </c>
      <c r="AG866" s="15" t="str">
        <f>IF(OR(AF866="",AF866="ERRO_CHAVE"),"",IFERROR(MATCH(AF866,'quitado Despesa'!$V$1:$V$12,0),""))</f>
        <v/>
      </c>
      <c r="AH866" s="15" t="str">
        <f t="shared" si="2"/>
        <v/>
      </c>
      <c r="AI866" s="17" t="str">
        <f>IF(AG866="","",INDEX('quitado Despesa'!$G$1:$G$12,AG866))</f>
        <v/>
      </c>
      <c r="AJ866" s="17" t="str">
        <f t="shared" si="3"/>
        <v/>
      </c>
    </row>
    <row r="867" spans="31:36">
      <c r="AE867" s="15" t="str">
        <f t="shared" si="0"/>
        <v/>
      </c>
      <c r="AF867" s="15" t="str">
        <f t="shared" si="1"/>
        <v/>
      </c>
      <c r="AG867" s="15" t="str">
        <f>IF(OR(AF867="",AF867="ERRO_CHAVE"),"",IFERROR(MATCH(AF867,'quitado Despesa'!$V$1:$V$12,0),""))</f>
        <v/>
      </c>
      <c r="AH867" s="15" t="str">
        <f t="shared" si="2"/>
        <v/>
      </c>
      <c r="AI867" s="17" t="str">
        <f>IF(AG867="","",INDEX('quitado Despesa'!$G$1:$G$12,AG867))</f>
        <v/>
      </c>
      <c r="AJ867" s="17" t="str">
        <f t="shared" si="3"/>
        <v/>
      </c>
    </row>
    <row r="868" spans="31:36">
      <c r="AE868" s="15" t="str">
        <f t="shared" si="0"/>
        <v/>
      </c>
      <c r="AF868" s="15" t="str">
        <f t="shared" si="1"/>
        <v/>
      </c>
      <c r="AG868" s="15" t="str">
        <f>IF(OR(AF868="",AF868="ERRO_CHAVE"),"",IFERROR(MATCH(AF868,'quitado Despesa'!$V$1:$V$12,0),""))</f>
        <v/>
      </c>
      <c r="AH868" s="15" t="str">
        <f t="shared" si="2"/>
        <v/>
      </c>
      <c r="AI868" s="17" t="str">
        <f>IF(AG868="","",INDEX('quitado Despesa'!$G$1:$G$12,AG868))</f>
        <v/>
      </c>
      <c r="AJ868" s="17" t="str">
        <f t="shared" si="3"/>
        <v/>
      </c>
    </row>
    <row r="869" spans="31:36">
      <c r="AE869" s="15" t="str">
        <f t="shared" si="0"/>
        <v/>
      </c>
      <c r="AF869" s="15" t="str">
        <f t="shared" si="1"/>
        <v/>
      </c>
      <c r="AG869" s="15" t="str">
        <f>IF(OR(AF869="",AF869="ERRO_CHAVE"),"",IFERROR(MATCH(AF869,'quitado Despesa'!$V$1:$V$12,0),""))</f>
        <v/>
      </c>
      <c r="AH869" s="15" t="str">
        <f t="shared" si="2"/>
        <v/>
      </c>
      <c r="AI869" s="17" t="str">
        <f>IF(AG869="","",INDEX('quitado Despesa'!$G$1:$G$12,AG869))</f>
        <v/>
      </c>
      <c r="AJ869" s="17" t="str">
        <f t="shared" si="3"/>
        <v/>
      </c>
    </row>
    <row r="870" spans="31:36">
      <c r="AE870" s="15" t="str">
        <f t="shared" si="0"/>
        <v/>
      </c>
      <c r="AF870" s="15" t="str">
        <f t="shared" si="1"/>
        <v/>
      </c>
      <c r="AG870" s="15" t="str">
        <f>IF(OR(AF870="",AF870="ERRO_CHAVE"),"",IFERROR(MATCH(AF870,'quitado Despesa'!$V$1:$V$12,0),""))</f>
        <v/>
      </c>
      <c r="AH870" s="15" t="str">
        <f t="shared" si="2"/>
        <v/>
      </c>
      <c r="AI870" s="17" t="str">
        <f>IF(AG870="","",INDEX('quitado Despesa'!$G$1:$G$12,AG870))</f>
        <v/>
      </c>
      <c r="AJ870" s="17" t="str">
        <f t="shared" si="3"/>
        <v/>
      </c>
    </row>
    <row r="871" spans="31:36">
      <c r="AE871" s="15" t="str">
        <f t="shared" si="0"/>
        <v/>
      </c>
      <c r="AF871" s="15" t="str">
        <f t="shared" si="1"/>
        <v/>
      </c>
      <c r="AG871" s="15" t="str">
        <f>IF(OR(AF871="",AF871="ERRO_CHAVE"),"",IFERROR(MATCH(AF871,'quitado Despesa'!$V$1:$V$12,0),""))</f>
        <v/>
      </c>
      <c r="AH871" s="15" t="str">
        <f t="shared" si="2"/>
        <v/>
      </c>
      <c r="AI871" s="17" t="str">
        <f>IF(AG871="","",INDEX('quitado Despesa'!$G$1:$G$12,AG871))</f>
        <v/>
      </c>
      <c r="AJ871" s="17" t="str">
        <f t="shared" si="3"/>
        <v/>
      </c>
    </row>
    <row r="872" spans="31:36">
      <c r="AE872" s="15" t="str">
        <f t="shared" si="0"/>
        <v/>
      </c>
      <c r="AF872" s="15" t="str">
        <f t="shared" si="1"/>
        <v/>
      </c>
      <c r="AG872" s="15" t="str">
        <f>IF(OR(AF872="",AF872="ERRO_CHAVE"),"",IFERROR(MATCH(AF872,'quitado Despesa'!$V$1:$V$12,0),""))</f>
        <v/>
      </c>
      <c r="AH872" s="15" t="str">
        <f t="shared" si="2"/>
        <v/>
      </c>
      <c r="AI872" s="17" t="str">
        <f>IF(AG872="","",INDEX('quitado Despesa'!$G$1:$G$12,AG872))</f>
        <v/>
      </c>
      <c r="AJ872" s="17" t="str">
        <f t="shared" si="3"/>
        <v/>
      </c>
    </row>
    <row r="873" spans="31:36">
      <c r="AE873" s="15" t="str">
        <f t="shared" si="0"/>
        <v/>
      </c>
      <c r="AF873" s="15" t="str">
        <f t="shared" si="1"/>
        <v/>
      </c>
      <c r="AG873" s="15" t="str">
        <f>IF(OR(AF873="",AF873="ERRO_CHAVE"),"",IFERROR(MATCH(AF873,'quitado Despesa'!$V$1:$V$12,0),""))</f>
        <v/>
      </c>
      <c r="AH873" s="15" t="str">
        <f t="shared" si="2"/>
        <v/>
      </c>
      <c r="AI873" s="17" t="str">
        <f>IF(AG873="","",INDEX('quitado Despesa'!$G$1:$G$12,AG873))</f>
        <v/>
      </c>
      <c r="AJ873" s="17" t="str">
        <f t="shared" si="3"/>
        <v/>
      </c>
    </row>
    <row r="874" spans="31:36">
      <c r="AE874" s="15" t="str">
        <f t="shared" si="0"/>
        <v/>
      </c>
      <c r="AF874" s="15" t="str">
        <f t="shared" si="1"/>
        <v/>
      </c>
      <c r="AG874" s="15" t="str">
        <f>IF(OR(AF874="",AF874="ERRO_CHAVE"),"",IFERROR(MATCH(AF874,'quitado Despesa'!$V$1:$V$12,0),""))</f>
        <v/>
      </c>
      <c r="AH874" s="15" t="str">
        <f t="shared" si="2"/>
        <v/>
      </c>
      <c r="AI874" s="17" t="str">
        <f>IF(AG874="","",INDEX('quitado Despesa'!$G$1:$G$12,AG874))</f>
        <v/>
      </c>
      <c r="AJ874" s="17" t="str">
        <f t="shared" si="3"/>
        <v/>
      </c>
    </row>
    <row r="875" spans="31:36">
      <c r="AE875" s="15" t="str">
        <f t="shared" si="0"/>
        <v/>
      </c>
      <c r="AF875" s="15" t="str">
        <f t="shared" si="1"/>
        <v/>
      </c>
      <c r="AG875" s="15" t="str">
        <f>IF(OR(AF875="",AF875="ERRO_CHAVE"),"",IFERROR(MATCH(AF875,'quitado Despesa'!$V$1:$V$12,0),""))</f>
        <v/>
      </c>
      <c r="AH875" s="15" t="str">
        <f t="shared" si="2"/>
        <v/>
      </c>
      <c r="AI875" s="17" t="str">
        <f>IF(AG875="","",INDEX('quitado Despesa'!$G$1:$G$12,AG875))</f>
        <v/>
      </c>
      <c r="AJ875" s="17" t="str">
        <f t="shared" si="3"/>
        <v/>
      </c>
    </row>
    <row r="876" spans="31:36">
      <c r="AE876" s="15" t="str">
        <f t="shared" si="0"/>
        <v/>
      </c>
      <c r="AF876" s="15" t="str">
        <f t="shared" si="1"/>
        <v/>
      </c>
      <c r="AG876" s="15" t="str">
        <f>IF(OR(AF876="",AF876="ERRO_CHAVE"),"",IFERROR(MATCH(AF876,'quitado Despesa'!$V$1:$V$12,0),""))</f>
        <v/>
      </c>
      <c r="AH876" s="15" t="str">
        <f t="shared" si="2"/>
        <v/>
      </c>
      <c r="AI876" s="17" t="str">
        <f>IF(AG876="","",INDEX('quitado Despesa'!$G$1:$G$12,AG876))</f>
        <v/>
      </c>
      <c r="AJ876" s="17" t="str">
        <f t="shared" si="3"/>
        <v/>
      </c>
    </row>
    <row r="877" spans="31:36">
      <c r="AE877" s="15" t="str">
        <f t="shared" si="0"/>
        <v/>
      </c>
      <c r="AF877" s="15" t="str">
        <f t="shared" si="1"/>
        <v/>
      </c>
      <c r="AG877" s="15" t="str">
        <f>IF(OR(AF877="",AF877="ERRO_CHAVE"),"",IFERROR(MATCH(AF877,'quitado Despesa'!$V$1:$V$12,0),""))</f>
        <v/>
      </c>
      <c r="AH877" s="15" t="str">
        <f t="shared" si="2"/>
        <v/>
      </c>
      <c r="AI877" s="17" t="str">
        <f>IF(AG877="","",INDEX('quitado Despesa'!$G$1:$G$12,AG877))</f>
        <v/>
      </c>
      <c r="AJ877" s="17" t="str">
        <f t="shared" si="3"/>
        <v/>
      </c>
    </row>
    <row r="878" spans="31:36">
      <c r="AE878" s="15" t="str">
        <f t="shared" si="0"/>
        <v/>
      </c>
      <c r="AF878" s="15" t="str">
        <f t="shared" si="1"/>
        <v/>
      </c>
      <c r="AG878" s="15" t="str">
        <f>IF(OR(AF878="",AF878="ERRO_CHAVE"),"",IFERROR(MATCH(AF878,'quitado Despesa'!$V$1:$V$12,0),""))</f>
        <v/>
      </c>
      <c r="AH878" s="15" t="str">
        <f t="shared" si="2"/>
        <v/>
      </c>
      <c r="AI878" s="17" t="str">
        <f>IF(AG878="","",INDEX('quitado Despesa'!$G$1:$G$12,AG878))</f>
        <v/>
      </c>
      <c r="AJ878" s="17" t="str">
        <f t="shared" si="3"/>
        <v/>
      </c>
    </row>
    <row r="879" spans="31:36">
      <c r="AE879" s="15" t="str">
        <f t="shared" si="0"/>
        <v/>
      </c>
      <c r="AF879" s="15" t="str">
        <f t="shared" si="1"/>
        <v/>
      </c>
      <c r="AG879" s="15" t="str">
        <f>IF(OR(AF879="",AF879="ERRO_CHAVE"),"",IFERROR(MATCH(AF879,'quitado Despesa'!$V$1:$V$12,0),""))</f>
        <v/>
      </c>
      <c r="AH879" s="15" t="str">
        <f t="shared" si="2"/>
        <v/>
      </c>
      <c r="AI879" s="17" t="str">
        <f>IF(AG879="","",INDEX('quitado Despesa'!$G$1:$G$12,AG879))</f>
        <v/>
      </c>
      <c r="AJ879" s="17" t="str">
        <f t="shared" si="3"/>
        <v/>
      </c>
    </row>
    <row r="880" spans="31:36">
      <c r="AE880" s="15" t="str">
        <f t="shared" si="0"/>
        <v/>
      </c>
      <c r="AF880" s="15" t="str">
        <f t="shared" si="1"/>
        <v/>
      </c>
      <c r="AG880" s="15" t="str">
        <f>IF(OR(AF880="",AF880="ERRO_CHAVE"),"",IFERROR(MATCH(AF880,'quitado Despesa'!$V$1:$V$12,0),""))</f>
        <v/>
      </c>
      <c r="AH880" s="15" t="str">
        <f t="shared" si="2"/>
        <v/>
      </c>
      <c r="AI880" s="17" t="str">
        <f>IF(AG880="","",INDEX('quitado Despesa'!$G$1:$G$12,AG880))</f>
        <v/>
      </c>
      <c r="AJ880" s="17" t="str">
        <f t="shared" si="3"/>
        <v/>
      </c>
    </row>
    <row r="881" spans="31:36">
      <c r="AE881" s="15" t="str">
        <f t="shared" si="0"/>
        <v/>
      </c>
      <c r="AF881" s="15" t="str">
        <f t="shared" si="1"/>
        <v/>
      </c>
      <c r="AG881" s="15" t="str">
        <f>IF(OR(AF881="",AF881="ERRO_CHAVE"),"",IFERROR(MATCH(AF881,'quitado Despesa'!$V$1:$V$12,0),""))</f>
        <v/>
      </c>
      <c r="AH881" s="15" t="str">
        <f t="shared" si="2"/>
        <v/>
      </c>
      <c r="AI881" s="17" t="str">
        <f>IF(AG881="","",INDEX('quitado Despesa'!$G$1:$G$12,AG881))</f>
        <v/>
      </c>
      <c r="AJ881" s="17" t="str">
        <f t="shared" si="3"/>
        <v/>
      </c>
    </row>
    <row r="882" spans="31:36">
      <c r="AE882" s="15" t="str">
        <f t="shared" si="0"/>
        <v/>
      </c>
      <c r="AF882" s="15" t="str">
        <f t="shared" si="1"/>
        <v/>
      </c>
      <c r="AG882" s="15" t="str">
        <f>IF(OR(AF882="",AF882="ERRO_CHAVE"),"",IFERROR(MATCH(AF882,'quitado Despesa'!$V$1:$V$12,0),""))</f>
        <v/>
      </c>
      <c r="AH882" s="15" t="str">
        <f t="shared" si="2"/>
        <v/>
      </c>
      <c r="AI882" s="17" t="str">
        <f>IF(AG882="","",INDEX('quitado Despesa'!$G$1:$G$12,AG882))</f>
        <v/>
      </c>
      <c r="AJ882" s="17" t="str">
        <f t="shared" si="3"/>
        <v/>
      </c>
    </row>
    <row r="883" spans="31:36">
      <c r="AE883" s="15" t="str">
        <f t="shared" si="0"/>
        <v/>
      </c>
      <c r="AF883" s="15" t="str">
        <f t="shared" si="1"/>
        <v/>
      </c>
      <c r="AG883" s="15" t="str">
        <f>IF(OR(AF883="",AF883="ERRO_CHAVE"),"",IFERROR(MATCH(AF883,'quitado Despesa'!$V$1:$V$12,0),""))</f>
        <v/>
      </c>
      <c r="AH883" s="15" t="str">
        <f t="shared" si="2"/>
        <v/>
      </c>
      <c r="AI883" s="17" t="str">
        <f>IF(AG883="","",INDEX('quitado Despesa'!$G$1:$G$12,AG883))</f>
        <v/>
      </c>
      <c r="AJ883" s="17" t="str">
        <f t="shared" si="3"/>
        <v/>
      </c>
    </row>
    <row r="884" spans="31:36">
      <c r="AE884" s="15" t="str">
        <f t="shared" si="0"/>
        <v/>
      </c>
      <c r="AF884" s="15" t="str">
        <f t="shared" si="1"/>
        <v/>
      </c>
      <c r="AG884" s="15" t="str">
        <f>IF(OR(AF884="",AF884="ERRO_CHAVE"),"",IFERROR(MATCH(AF884,'quitado Despesa'!$V$1:$V$12,0),""))</f>
        <v/>
      </c>
      <c r="AH884" s="15" t="str">
        <f t="shared" si="2"/>
        <v/>
      </c>
      <c r="AI884" s="17" t="str">
        <f>IF(AG884="","",INDEX('quitado Despesa'!$G$1:$G$12,AG884))</f>
        <v/>
      </c>
      <c r="AJ884" s="17" t="str">
        <f t="shared" si="3"/>
        <v/>
      </c>
    </row>
    <row r="885" spans="31:36">
      <c r="AE885" s="15" t="str">
        <f t="shared" si="0"/>
        <v/>
      </c>
      <c r="AF885" s="15" t="str">
        <f t="shared" si="1"/>
        <v/>
      </c>
      <c r="AG885" s="15" t="str">
        <f>IF(OR(AF885="",AF885="ERRO_CHAVE"),"",IFERROR(MATCH(AF885,'quitado Despesa'!$V$1:$V$12,0),""))</f>
        <v/>
      </c>
      <c r="AH885" s="15" t="str">
        <f t="shared" si="2"/>
        <v/>
      </c>
      <c r="AI885" s="17" t="str">
        <f>IF(AG885="","",INDEX('quitado Despesa'!$G$1:$G$12,AG885))</f>
        <v/>
      </c>
      <c r="AJ885" s="17" t="str">
        <f t="shared" si="3"/>
        <v/>
      </c>
    </row>
    <row r="886" spans="31:36">
      <c r="AE886" s="15" t="str">
        <f t="shared" si="0"/>
        <v/>
      </c>
      <c r="AF886" s="15" t="str">
        <f t="shared" si="1"/>
        <v/>
      </c>
      <c r="AG886" s="15" t="str">
        <f>IF(OR(AF886="",AF886="ERRO_CHAVE"),"",IFERROR(MATCH(AF886,'quitado Despesa'!$V$1:$V$12,0),""))</f>
        <v/>
      </c>
      <c r="AH886" s="15" t="str">
        <f t="shared" si="2"/>
        <v/>
      </c>
      <c r="AI886" s="17" t="str">
        <f>IF(AG886="","",INDEX('quitado Despesa'!$G$1:$G$12,AG886))</f>
        <v/>
      </c>
      <c r="AJ886" s="17" t="str">
        <f t="shared" si="3"/>
        <v/>
      </c>
    </row>
    <row r="887" spans="31:36">
      <c r="AE887" s="15" t="str">
        <f t="shared" si="0"/>
        <v/>
      </c>
      <c r="AF887" s="15" t="str">
        <f t="shared" si="1"/>
        <v/>
      </c>
      <c r="AG887" s="15" t="str">
        <f>IF(OR(AF887="",AF887="ERRO_CHAVE"),"",IFERROR(MATCH(AF887,'quitado Despesa'!$V$1:$V$12,0),""))</f>
        <v/>
      </c>
      <c r="AH887" s="15" t="str">
        <f t="shared" si="2"/>
        <v/>
      </c>
      <c r="AI887" s="17" t="str">
        <f>IF(AG887="","",INDEX('quitado Despesa'!$G$1:$G$12,AG887))</f>
        <v/>
      </c>
      <c r="AJ887" s="17" t="str">
        <f t="shared" si="3"/>
        <v/>
      </c>
    </row>
    <row r="888" spans="31:36">
      <c r="AE888" s="15" t="str">
        <f t="shared" si="0"/>
        <v/>
      </c>
      <c r="AF888" s="15" t="str">
        <f t="shared" si="1"/>
        <v/>
      </c>
      <c r="AG888" s="15" t="str">
        <f>IF(OR(AF888="",AF888="ERRO_CHAVE"),"",IFERROR(MATCH(AF888,'quitado Despesa'!$V$1:$V$12,0),""))</f>
        <v/>
      </c>
      <c r="AH888" s="15" t="str">
        <f t="shared" si="2"/>
        <v/>
      </c>
      <c r="AI888" s="17" t="str">
        <f>IF(AG888="","",INDEX('quitado Despesa'!$G$1:$G$12,AG888))</f>
        <v/>
      </c>
      <c r="AJ888" s="17" t="str">
        <f t="shared" si="3"/>
        <v/>
      </c>
    </row>
    <row r="889" spans="31:36">
      <c r="AE889" s="15" t="str">
        <f t="shared" si="0"/>
        <v/>
      </c>
      <c r="AF889" s="15" t="str">
        <f t="shared" si="1"/>
        <v/>
      </c>
      <c r="AG889" s="15" t="str">
        <f>IF(OR(AF889="",AF889="ERRO_CHAVE"),"",IFERROR(MATCH(AF889,'quitado Despesa'!$V$1:$V$12,0),""))</f>
        <v/>
      </c>
      <c r="AH889" s="15" t="str">
        <f t="shared" si="2"/>
        <v/>
      </c>
      <c r="AI889" s="17" t="str">
        <f>IF(AG889="","",INDEX('quitado Despesa'!$G$1:$G$12,AG889))</f>
        <v/>
      </c>
      <c r="AJ889" s="17" t="str">
        <f t="shared" si="3"/>
        <v/>
      </c>
    </row>
    <row r="890" spans="31:36">
      <c r="AE890" s="15" t="str">
        <f t="shared" si="0"/>
        <v/>
      </c>
      <c r="AF890" s="15" t="str">
        <f t="shared" si="1"/>
        <v/>
      </c>
      <c r="AG890" s="15" t="str">
        <f>IF(OR(AF890="",AF890="ERRO_CHAVE"),"",IFERROR(MATCH(AF890,'quitado Despesa'!$V$1:$V$12,0),""))</f>
        <v/>
      </c>
      <c r="AH890" s="15" t="str">
        <f t="shared" si="2"/>
        <v/>
      </c>
      <c r="AI890" s="17" t="str">
        <f>IF(AG890="","",INDEX('quitado Despesa'!$G$1:$G$12,AG890))</f>
        <v/>
      </c>
      <c r="AJ890" s="17" t="str">
        <f t="shared" si="3"/>
        <v/>
      </c>
    </row>
    <row r="891" spans="31:36">
      <c r="AE891" s="15" t="str">
        <f t="shared" si="0"/>
        <v/>
      </c>
      <c r="AF891" s="15" t="str">
        <f t="shared" si="1"/>
        <v/>
      </c>
      <c r="AG891" s="15" t="str">
        <f>IF(OR(AF891="",AF891="ERRO_CHAVE"),"",IFERROR(MATCH(AF891,'quitado Despesa'!$V$1:$V$12,0),""))</f>
        <v/>
      </c>
      <c r="AH891" s="15" t="str">
        <f t="shared" si="2"/>
        <v/>
      </c>
      <c r="AI891" s="17" t="str">
        <f>IF(AG891="","",INDEX('quitado Despesa'!$G$1:$G$12,AG891))</f>
        <v/>
      </c>
      <c r="AJ891" s="17" t="str">
        <f t="shared" si="3"/>
        <v/>
      </c>
    </row>
    <row r="892" spans="31:36">
      <c r="AE892" s="15" t="str">
        <f t="shared" si="0"/>
        <v/>
      </c>
      <c r="AF892" s="15" t="str">
        <f t="shared" si="1"/>
        <v/>
      </c>
      <c r="AG892" s="15" t="str">
        <f>IF(OR(AF892="",AF892="ERRO_CHAVE"),"",IFERROR(MATCH(AF892,'quitado Despesa'!$V$1:$V$12,0),""))</f>
        <v/>
      </c>
      <c r="AH892" s="15" t="str">
        <f t="shared" si="2"/>
        <v/>
      </c>
      <c r="AI892" s="17" t="str">
        <f>IF(AG892="","",INDEX('quitado Despesa'!$G$1:$G$12,AG892))</f>
        <v/>
      </c>
      <c r="AJ892" s="17" t="str">
        <f t="shared" si="3"/>
        <v/>
      </c>
    </row>
    <row r="893" spans="31:36">
      <c r="AE893" s="15" t="str">
        <f t="shared" si="0"/>
        <v/>
      </c>
      <c r="AF893" s="15" t="str">
        <f t="shared" si="1"/>
        <v/>
      </c>
      <c r="AG893" s="15" t="str">
        <f>IF(OR(AF893="",AF893="ERRO_CHAVE"),"",IFERROR(MATCH(AF893,'quitado Despesa'!$V$1:$V$12,0),""))</f>
        <v/>
      </c>
      <c r="AH893" s="15" t="str">
        <f t="shared" si="2"/>
        <v/>
      </c>
      <c r="AI893" s="17" t="str">
        <f>IF(AG893="","",INDEX('quitado Despesa'!$G$1:$G$12,AG893))</f>
        <v/>
      </c>
      <c r="AJ893" s="17" t="str">
        <f t="shared" si="3"/>
        <v/>
      </c>
    </row>
    <row r="894" spans="31:36">
      <c r="AE894" s="15" t="str">
        <f t="shared" si="0"/>
        <v/>
      </c>
      <c r="AF894" s="15" t="str">
        <f t="shared" si="1"/>
        <v/>
      </c>
      <c r="AG894" s="15" t="str">
        <f>IF(OR(AF894="",AF894="ERRO_CHAVE"),"",IFERROR(MATCH(AF894,'quitado Despesa'!$V$1:$V$12,0),""))</f>
        <v/>
      </c>
      <c r="AH894" s="15" t="str">
        <f t="shared" si="2"/>
        <v/>
      </c>
      <c r="AI894" s="17" t="str">
        <f>IF(AG894="","",INDEX('quitado Despesa'!$G$1:$G$12,AG894))</f>
        <v/>
      </c>
      <c r="AJ894" s="17" t="str">
        <f t="shared" si="3"/>
        <v/>
      </c>
    </row>
    <row r="895" spans="31:36">
      <c r="AE895" s="15" t="str">
        <f t="shared" si="0"/>
        <v/>
      </c>
      <c r="AF895" s="15" t="str">
        <f t="shared" si="1"/>
        <v/>
      </c>
      <c r="AG895" s="15" t="str">
        <f>IF(OR(AF895="",AF895="ERRO_CHAVE"),"",IFERROR(MATCH(AF895,'quitado Despesa'!$V$1:$V$12,0),""))</f>
        <v/>
      </c>
      <c r="AH895" s="15" t="str">
        <f t="shared" si="2"/>
        <v/>
      </c>
      <c r="AI895" s="17" t="str">
        <f>IF(AG895="","",INDEX('quitado Despesa'!$G$1:$G$12,AG895))</f>
        <v/>
      </c>
      <c r="AJ895" s="17" t="str">
        <f t="shared" si="3"/>
        <v/>
      </c>
    </row>
    <row r="896" spans="31:36">
      <c r="AE896" s="15" t="str">
        <f t="shared" si="0"/>
        <v/>
      </c>
      <c r="AF896" s="15" t="str">
        <f t="shared" si="1"/>
        <v/>
      </c>
      <c r="AG896" s="15" t="str">
        <f>IF(OR(AF896="",AF896="ERRO_CHAVE"),"",IFERROR(MATCH(AF896,'quitado Despesa'!$V$1:$V$12,0),""))</f>
        <v/>
      </c>
      <c r="AH896" s="15" t="str">
        <f t="shared" si="2"/>
        <v/>
      </c>
      <c r="AI896" s="17" t="str">
        <f>IF(AG896="","",INDEX('quitado Despesa'!$G$1:$G$12,AG896))</f>
        <v/>
      </c>
      <c r="AJ896" s="17" t="str">
        <f t="shared" si="3"/>
        <v/>
      </c>
    </row>
    <row r="897" spans="31:36">
      <c r="AE897" s="15" t="str">
        <f t="shared" si="0"/>
        <v/>
      </c>
      <c r="AF897" s="15" t="str">
        <f t="shared" si="1"/>
        <v/>
      </c>
      <c r="AG897" s="15" t="str">
        <f>IF(OR(AF897="",AF897="ERRO_CHAVE"),"",IFERROR(MATCH(AF897,'quitado Despesa'!$V$1:$V$12,0),""))</f>
        <v/>
      </c>
      <c r="AH897" s="15" t="str">
        <f t="shared" si="2"/>
        <v/>
      </c>
      <c r="AI897" s="17" t="str">
        <f>IF(AG897="","",INDEX('quitado Despesa'!$G$1:$G$12,AG897))</f>
        <v/>
      </c>
      <c r="AJ897" s="17" t="str">
        <f t="shared" si="3"/>
        <v/>
      </c>
    </row>
    <row r="898" spans="31:36">
      <c r="AE898" s="15" t="str">
        <f t="shared" si="0"/>
        <v/>
      </c>
      <c r="AF898" s="15" t="str">
        <f t="shared" si="1"/>
        <v/>
      </c>
      <c r="AG898" s="15" t="str">
        <f>IF(OR(AF898="",AF898="ERRO_CHAVE"),"",IFERROR(MATCH(AF898,'quitado Despesa'!$V$1:$V$12,0),""))</f>
        <v/>
      </c>
      <c r="AH898" s="15" t="str">
        <f t="shared" si="2"/>
        <v/>
      </c>
      <c r="AI898" s="17" t="str">
        <f>IF(AG898="","",INDEX('quitado Despesa'!$G$1:$G$12,AG898))</f>
        <v/>
      </c>
      <c r="AJ898" s="17" t="str">
        <f t="shared" si="3"/>
        <v/>
      </c>
    </row>
    <row r="899" spans="31:36">
      <c r="AE899" s="15" t="str">
        <f t="shared" si="0"/>
        <v/>
      </c>
      <c r="AF899" s="15" t="str">
        <f t="shared" si="1"/>
        <v/>
      </c>
      <c r="AG899" s="15" t="str">
        <f>IF(OR(AF899="",AF899="ERRO_CHAVE"),"",IFERROR(MATCH(AF899,'quitado Despesa'!$V$1:$V$12,0),""))</f>
        <v/>
      </c>
      <c r="AH899" s="15" t="str">
        <f t="shared" si="2"/>
        <v/>
      </c>
      <c r="AI899" s="17" t="str">
        <f>IF(AG899="","",INDEX('quitado Despesa'!$G$1:$G$12,AG899))</f>
        <v/>
      </c>
      <c r="AJ899" s="17" t="str">
        <f t="shared" si="3"/>
        <v/>
      </c>
    </row>
    <row r="900" spans="31:36">
      <c r="AE900" s="15" t="str">
        <f t="shared" si="0"/>
        <v/>
      </c>
      <c r="AF900" s="15" t="str">
        <f t="shared" si="1"/>
        <v/>
      </c>
      <c r="AG900" s="15" t="str">
        <f>IF(OR(AF900="",AF900="ERRO_CHAVE"),"",IFERROR(MATCH(AF900,'quitado Despesa'!$V$1:$V$12,0),""))</f>
        <v/>
      </c>
      <c r="AH900" s="15" t="str">
        <f t="shared" si="2"/>
        <v/>
      </c>
      <c r="AI900" s="17" t="str">
        <f>IF(AG900="","",INDEX('quitado Despesa'!$G$1:$G$12,AG900))</f>
        <v/>
      </c>
      <c r="AJ900" s="17" t="str">
        <f t="shared" si="3"/>
        <v/>
      </c>
    </row>
    <row r="901" spans="31:36">
      <c r="AE901" s="15" t="str">
        <f t="shared" si="0"/>
        <v/>
      </c>
      <c r="AF901" s="15" t="str">
        <f t="shared" si="1"/>
        <v/>
      </c>
      <c r="AG901" s="15" t="str">
        <f>IF(OR(AF901="",AF901="ERRO_CHAVE"),"",IFERROR(MATCH(AF901,'quitado Despesa'!$V$1:$V$12,0),""))</f>
        <v/>
      </c>
      <c r="AH901" s="15" t="str">
        <f t="shared" si="2"/>
        <v/>
      </c>
      <c r="AI901" s="17" t="str">
        <f>IF(AG901="","",INDEX('quitado Despesa'!$G$1:$G$12,AG901))</f>
        <v/>
      </c>
      <c r="AJ901" s="17" t="str">
        <f t="shared" si="3"/>
        <v/>
      </c>
    </row>
    <row r="902" spans="31:36">
      <c r="AE902" s="15" t="str">
        <f t="shared" si="0"/>
        <v/>
      </c>
      <c r="AF902" s="15" t="str">
        <f t="shared" si="1"/>
        <v/>
      </c>
      <c r="AG902" s="15" t="str">
        <f>IF(OR(AF902="",AF902="ERRO_CHAVE"),"",IFERROR(MATCH(AF902,'quitado Despesa'!$V$1:$V$12,0),""))</f>
        <v/>
      </c>
      <c r="AH902" s="15" t="str">
        <f t="shared" si="2"/>
        <v/>
      </c>
      <c r="AI902" s="17" t="str">
        <f>IF(AG902="","",INDEX('quitado Despesa'!$G$1:$G$12,AG902))</f>
        <v/>
      </c>
      <c r="AJ902" s="17" t="str">
        <f t="shared" si="3"/>
        <v/>
      </c>
    </row>
    <row r="903" spans="31:36">
      <c r="AE903" s="15" t="str">
        <f t="shared" si="0"/>
        <v/>
      </c>
      <c r="AF903" s="15" t="str">
        <f t="shared" si="1"/>
        <v/>
      </c>
      <c r="AG903" s="15" t="str">
        <f>IF(OR(AF903="",AF903="ERRO_CHAVE"),"",IFERROR(MATCH(AF903,'quitado Despesa'!$V$1:$V$12,0),""))</f>
        <v/>
      </c>
      <c r="AH903" s="15" t="str">
        <f t="shared" si="2"/>
        <v/>
      </c>
      <c r="AI903" s="17" t="str">
        <f>IF(AG903="","",INDEX('quitado Despesa'!$G$1:$G$12,AG903))</f>
        <v/>
      </c>
      <c r="AJ903" s="17" t="str">
        <f t="shared" si="3"/>
        <v/>
      </c>
    </row>
    <row r="904" spans="31:36">
      <c r="AE904" s="15" t="str">
        <f t="shared" si="0"/>
        <v/>
      </c>
      <c r="AF904" s="15" t="str">
        <f t="shared" si="1"/>
        <v/>
      </c>
      <c r="AG904" s="15" t="str">
        <f>IF(OR(AF904="",AF904="ERRO_CHAVE"),"",IFERROR(MATCH(AF904,'quitado Despesa'!$V$1:$V$12,0),""))</f>
        <v/>
      </c>
      <c r="AH904" s="15" t="str">
        <f t="shared" si="2"/>
        <v/>
      </c>
      <c r="AI904" s="17" t="str">
        <f>IF(AG904="","",INDEX('quitado Despesa'!$G$1:$G$12,AG904))</f>
        <v/>
      </c>
      <c r="AJ904" s="17" t="str">
        <f t="shared" si="3"/>
        <v/>
      </c>
    </row>
    <row r="905" spans="31:36">
      <c r="AE905" s="15" t="str">
        <f t="shared" si="0"/>
        <v/>
      </c>
      <c r="AF905" s="15" t="str">
        <f t="shared" si="1"/>
        <v/>
      </c>
      <c r="AG905" s="15" t="str">
        <f>IF(OR(AF905="",AF905="ERRO_CHAVE"),"",IFERROR(MATCH(AF905,'quitado Despesa'!$V$1:$V$12,0),""))</f>
        <v/>
      </c>
      <c r="AH905" s="15" t="str">
        <f t="shared" si="2"/>
        <v/>
      </c>
      <c r="AI905" s="17" t="str">
        <f>IF(AG905="","",INDEX('quitado Despesa'!$G$1:$G$12,AG905))</f>
        <v/>
      </c>
      <c r="AJ905" s="17" t="str">
        <f t="shared" si="3"/>
        <v/>
      </c>
    </row>
    <row r="906" spans="31:36">
      <c r="AE906" s="15" t="str">
        <f t="shared" si="0"/>
        <v/>
      </c>
      <c r="AF906" s="15" t="str">
        <f t="shared" si="1"/>
        <v/>
      </c>
      <c r="AG906" s="15" t="str">
        <f>IF(OR(AF906="",AF906="ERRO_CHAVE"),"",IFERROR(MATCH(AF906,'quitado Despesa'!$V$1:$V$12,0),""))</f>
        <v/>
      </c>
      <c r="AH906" s="15" t="str">
        <f t="shared" si="2"/>
        <v/>
      </c>
      <c r="AI906" s="17" t="str">
        <f>IF(AG906="","",INDEX('quitado Despesa'!$G$1:$G$12,AG906))</f>
        <v/>
      </c>
      <c r="AJ906" s="17" t="str">
        <f t="shared" si="3"/>
        <v/>
      </c>
    </row>
    <row r="907" spans="31:36">
      <c r="AE907" s="15" t="str">
        <f t="shared" si="0"/>
        <v/>
      </c>
      <c r="AF907" s="15" t="str">
        <f t="shared" si="1"/>
        <v/>
      </c>
      <c r="AG907" s="15" t="str">
        <f>IF(OR(AF907="",AF907="ERRO_CHAVE"),"",IFERROR(MATCH(AF907,'quitado Despesa'!$V$1:$V$12,0),""))</f>
        <v/>
      </c>
      <c r="AH907" s="15" t="str">
        <f t="shared" si="2"/>
        <v/>
      </c>
      <c r="AI907" s="17" t="str">
        <f>IF(AG907="","",INDEX('quitado Despesa'!$G$1:$G$12,AG907))</f>
        <v/>
      </c>
      <c r="AJ907" s="17" t="str">
        <f t="shared" si="3"/>
        <v/>
      </c>
    </row>
    <row r="908" spans="31:36">
      <c r="AE908" s="15" t="str">
        <f t="shared" si="0"/>
        <v/>
      </c>
      <c r="AF908" s="15" t="str">
        <f t="shared" si="1"/>
        <v/>
      </c>
      <c r="AG908" s="15" t="str">
        <f>IF(OR(AF908="",AF908="ERRO_CHAVE"),"",IFERROR(MATCH(AF908,'quitado Despesa'!$V$1:$V$12,0),""))</f>
        <v/>
      </c>
      <c r="AH908" s="15" t="str">
        <f t="shared" si="2"/>
        <v/>
      </c>
      <c r="AI908" s="17" t="str">
        <f>IF(AG908="","",INDEX('quitado Despesa'!$G$1:$G$12,AG908))</f>
        <v/>
      </c>
      <c r="AJ908" s="17" t="str">
        <f t="shared" si="3"/>
        <v/>
      </c>
    </row>
    <row r="909" spans="31:36">
      <c r="AE909" s="15" t="str">
        <f t="shared" si="0"/>
        <v/>
      </c>
      <c r="AF909" s="15" t="str">
        <f t="shared" si="1"/>
        <v/>
      </c>
      <c r="AG909" s="15" t="str">
        <f>IF(OR(AF909="",AF909="ERRO_CHAVE"),"",IFERROR(MATCH(AF909,'quitado Despesa'!$V$1:$V$12,0),""))</f>
        <v/>
      </c>
      <c r="AH909" s="15" t="str">
        <f t="shared" si="2"/>
        <v/>
      </c>
      <c r="AI909" s="17" t="str">
        <f>IF(AG909="","",INDEX('quitado Despesa'!$G$1:$G$12,AG909))</f>
        <v/>
      </c>
      <c r="AJ909" s="17" t="str">
        <f t="shared" si="3"/>
        <v/>
      </c>
    </row>
    <row r="910" spans="31:36">
      <c r="AE910" s="15" t="str">
        <f t="shared" si="0"/>
        <v/>
      </c>
      <c r="AF910" s="15" t="str">
        <f t="shared" si="1"/>
        <v/>
      </c>
      <c r="AG910" s="15" t="str">
        <f>IF(OR(AF910="",AF910="ERRO_CHAVE"),"",IFERROR(MATCH(AF910,'quitado Despesa'!$V$1:$V$12,0),""))</f>
        <v/>
      </c>
      <c r="AH910" s="15" t="str">
        <f t="shared" si="2"/>
        <v/>
      </c>
      <c r="AI910" s="17" t="str">
        <f>IF(AG910="","",INDEX('quitado Despesa'!$G$1:$G$12,AG910))</f>
        <v/>
      </c>
      <c r="AJ910" s="17" t="str">
        <f t="shared" si="3"/>
        <v/>
      </c>
    </row>
    <row r="911" spans="31:36">
      <c r="AE911" s="15" t="str">
        <f t="shared" si="0"/>
        <v/>
      </c>
      <c r="AF911" s="15" t="str">
        <f t="shared" si="1"/>
        <v/>
      </c>
      <c r="AG911" s="15" t="str">
        <f>IF(OR(AF911="",AF911="ERRO_CHAVE"),"",IFERROR(MATCH(AF911,'quitado Despesa'!$V$1:$V$12,0),""))</f>
        <v/>
      </c>
      <c r="AH911" s="15" t="str">
        <f t="shared" si="2"/>
        <v/>
      </c>
      <c r="AI911" s="17" t="str">
        <f>IF(AG911="","",INDEX('quitado Despesa'!$G$1:$G$12,AG911))</f>
        <v/>
      </c>
      <c r="AJ911" s="17" t="str">
        <f t="shared" si="3"/>
        <v/>
      </c>
    </row>
    <row r="912" spans="31:36">
      <c r="AE912" s="15" t="str">
        <f t="shared" si="0"/>
        <v/>
      </c>
      <c r="AF912" s="15" t="str">
        <f t="shared" si="1"/>
        <v/>
      </c>
      <c r="AG912" s="15" t="str">
        <f>IF(OR(AF912="",AF912="ERRO_CHAVE"),"",IFERROR(MATCH(AF912,'quitado Despesa'!$V$1:$V$12,0),""))</f>
        <v/>
      </c>
      <c r="AH912" s="15" t="str">
        <f t="shared" si="2"/>
        <v/>
      </c>
      <c r="AI912" s="17" t="str">
        <f>IF(AG912="","",INDEX('quitado Despesa'!$G$1:$G$12,AG912))</f>
        <v/>
      </c>
      <c r="AJ912" s="17" t="str">
        <f t="shared" si="3"/>
        <v/>
      </c>
    </row>
    <row r="913" spans="31:36">
      <c r="AE913" s="15" t="str">
        <f t="shared" si="0"/>
        <v/>
      </c>
      <c r="AF913" s="15" t="str">
        <f t="shared" si="1"/>
        <v/>
      </c>
      <c r="AG913" s="15" t="str">
        <f>IF(OR(AF913="",AF913="ERRO_CHAVE"),"",IFERROR(MATCH(AF913,'quitado Despesa'!$V$1:$V$12,0),""))</f>
        <v/>
      </c>
      <c r="AH913" s="15" t="str">
        <f t="shared" si="2"/>
        <v/>
      </c>
      <c r="AI913" s="17" t="str">
        <f>IF(AG913="","",INDEX('quitado Despesa'!$G$1:$G$12,AG913))</f>
        <v/>
      </c>
      <c r="AJ913" s="17" t="str">
        <f t="shared" si="3"/>
        <v/>
      </c>
    </row>
    <row r="914" spans="31:36">
      <c r="AE914" s="15" t="str">
        <f t="shared" si="0"/>
        <v/>
      </c>
      <c r="AF914" s="15" t="str">
        <f t="shared" si="1"/>
        <v/>
      </c>
      <c r="AG914" s="15" t="str">
        <f>IF(OR(AF914="",AF914="ERRO_CHAVE"),"",IFERROR(MATCH(AF914,'quitado Despesa'!$V$1:$V$12,0),""))</f>
        <v/>
      </c>
      <c r="AH914" s="15" t="str">
        <f t="shared" si="2"/>
        <v/>
      </c>
      <c r="AI914" s="17" t="str">
        <f>IF(AG914="","",INDEX('quitado Despesa'!$G$1:$G$12,AG914))</f>
        <v/>
      </c>
      <c r="AJ914" s="17" t="str">
        <f t="shared" si="3"/>
        <v/>
      </c>
    </row>
    <row r="915" spans="31:36">
      <c r="AE915" s="15" t="str">
        <f t="shared" si="0"/>
        <v/>
      </c>
      <c r="AF915" s="15" t="str">
        <f t="shared" si="1"/>
        <v/>
      </c>
      <c r="AG915" s="15" t="str">
        <f>IF(OR(AF915="",AF915="ERRO_CHAVE"),"",IFERROR(MATCH(AF915,'quitado Despesa'!$V$1:$V$12,0),""))</f>
        <v/>
      </c>
      <c r="AH915" s="15" t="str">
        <f t="shared" si="2"/>
        <v/>
      </c>
      <c r="AI915" s="17" t="str">
        <f>IF(AG915="","",INDEX('quitado Despesa'!$G$1:$G$12,AG915))</f>
        <v/>
      </c>
      <c r="AJ915" s="17" t="str">
        <f t="shared" si="3"/>
        <v/>
      </c>
    </row>
    <row r="916" spans="31:36">
      <c r="AE916" s="15" t="str">
        <f t="shared" si="0"/>
        <v/>
      </c>
      <c r="AF916" s="15" t="str">
        <f t="shared" si="1"/>
        <v/>
      </c>
      <c r="AG916" s="15" t="str">
        <f>IF(OR(AF916="",AF916="ERRO_CHAVE"),"",IFERROR(MATCH(AF916,'quitado Despesa'!$V$1:$V$12,0),""))</f>
        <v/>
      </c>
      <c r="AH916" s="15" t="str">
        <f t="shared" si="2"/>
        <v/>
      </c>
      <c r="AI916" s="17" t="str">
        <f>IF(AG916="","",INDEX('quitado Despesa'!$G$1:$G$12,AG916))</f>
        <v/>
      </c>
      <c r="AJ916" s="17" t="str">
        <f t="shared" si="3"/>
        <v/>
      </c>
    </row>
    <row r="917" spans="31:36">
      <c r="AE917" s="15" t="str">
        <f t="shared" si="0"/>
        <v/>
      </c>
      <c r="AF917" s="15" t="str">
        <f t="shared" si="1"/>
        <v/>
      </c>
      <c r="AG917" s="15" t="str">
        <f>IF(OR(AF917="",AF917="ERRO_CHAVE"),"",IFERROR(MATCH(AF917,'quitado Despesa'!$V$1:$V$12,0),""))</f>
        <v/>
      </c>
      <c r="AH917" s="15" t="str">
        <f t="shared" si="2"/>
        <v/>
      </c>
      <c r="AI917" s="17" t="str">
        <f>IF(AG917="","",INDEX('quitado Despesa'!$G$1:$G$12,AG917))</f>
        <v/>
      </c>
      <c r="AJ917" s="17" t="str">
        <f t="shared" si="3"/>
        <v/>
      </c>
    </row>
    <row r="918" spans="31:36">
      <c r="AE918" s="15" t="str">
        <f t="shared" si="0"/>
        <v/>
      </c>
      <c r="AF918" s="15" t="str">
        <f t="shared" si="1"/>
        <v/>
      </c>
      <c r="AG918" s="15" t="str">
        <f>IF(OR(AF918="",AF918="ERRO_CHAVE"),"",IFERROR(MATCH(AF918,'quitado Despesa'!$V$1:$V$12,0),""))</f>
        <v/>
      </c>
      <c r="AH918" s="15" t="str">
        <f t="shared" si="2"/>
        <v/>
      </c>
      <c r="AI918" s="17" t="str">
        <f>IF(AG918="","",INDEX('quitado Despesa'!$G$1:$G$12,AG918))</f>
        <v/>
      </c>
      <c r="AJ918" s="17" t="str">
        <f t="shared" si="3"/>
        <v/>
      </c>
    </row>
    <row r="919" spans="31:36">
      <c r="AE919" s="15" t="str">
        <f t="shared" si="0"/>
        <v/>
      </c>
      <c r="AF919" s="15" t="str">
        <f t="shared" si="1"/>
        <v/>
      </c>
      <c r="AG919" s="15" t="str">
        <f>IF(OR(AF919="",AF919="ERRO_CHAVE"),"",IFERROR(MATCH(AF919,'quitado Despesa'!$V$1:$V$12,0),""))</f>
        <v/>
      </c>
      <c r="AH919" s="15" t="str">
        <f t="shared" si="2"/>
        <v/>
      </c>
      <c r="AI919" s="17" t="str">
        <f>IF(AG919="","",INDEX('quitado Despesa'!$G$1:$G$12,AG919))</f>
        <v/>
      </c>
      <c r="AJ919" s="17" t="str">
        <f t="shared" si="3"/>
        <v/>
      </c>
    </row>
    <row r="920" spans="31:36">
      <c r="AE920" s="15" t="str">
        <f t="shared" si="0"/>
        <v/>
      </c>
      <c r="AF920" s="15" t="str">
        <f t="shared" si="1"/>
        <v/>
      </c>
      <c r="AG920" s="15" t="str">
        <f>IF(OR(AF920="",AF920="ERRO_CHAVE"),"",IFERROR(MATCH(AF920,'quitado Despesa'!$V$1:$V$12,0),""))</f>
        <v/>
      </c>
      <c r="AH920" s="15" t="str">
        <f t="shared" si="2"/>
        <v/>
      </c>
      <c r="AI920" s="17" t="str">
        <f>IF(AG920="","",INDEX('quitado Despesa'!$G$1:$G$12,AG920))</f>
        <v/>
      </c>
      <c r="AJ920" s="17" t="str">
        <f t="shared" si="3"/>
        <v/>
      </c>
    </row>
    <row r="921" spans="31:36">
      <c r="AE921" s="15" t="str">
        <f t="shared" si="0"/>
        <v/>
      </c>
      <c r="AF921" s="15" t="str">
        <f t="shared" si="1"/>
        <v/>
      </c>
      <c r="AG921" s="15" t="str">
        <f>IF(OR(AF921="",AF921="ERRO_CHAVE"),"",IFERROR(MATCH(AF921,'quitado Despesa'!$V$1:$V$12,0),""))</f>
        <v/>
      </c>
      <c r="AH921" s="15" t="str">
        <f t="shared" si="2"/>
        <v/>
      </c>
      <c r="AI921" s="17" t="str">
        <f>IF(AG921="","",INDEX('quitado Despesa'!$G$1:$G$12,AG921))</f>
        <v/>
      </c>
      <c r="AJ921" s="17" t="str">
        <f t="shared" si="3"/>
        <v/>
      </c>
    </row>
    <row r="922" spans="31:36">
      <c r="AE922" s="15" t="str">
        <f t="shared" si="0"/>
        <v/>
      </c>
      <c r="AF922" s="15" t="str">
        <f t="shared" si="1"/>
        <v/>
      </c>
      <c r="AG922" s="15" t="str">
        <f>IF(OR(AF922="",AF922="ERRO_CHAVE"),"",IFERROR(MATCH(AF922,'quitado Despesa'!$V$1:$V$12,0),""))</f>
        <v/>
      </c>
      <c r="AH922" s="15" t="str">
        <f t="shared" si="2"/>
        <v/>
      </c>
      <c r="AI922" s="17" t="str">
        <f>IF(AG922="","",INDEX('quitado Despesa'!$G$1:$G$12,AG922))</f>
        <v/>
      </c>
      <c r="AJ922" s="17" t="str">
        <f t="shared" si="3"/>
        <v/>
      </c>
    </row>
    <row r="923" spans="31:36">
      <c r="AE923" s="15" t="str">
        <f t="shared" si="0"/>
        <v/>
      </c>
      <c r="AF923" s="15" t="str">
        <f t="shared" si="1"/>
        <v/>
      </c>
      <c r="AG923" s="15" t="str">
        <f>IF(OR(AF923="",AF923="ERRO_CHAVE"),"",IFERROR(MATCH(AF923,'quitado Despesa'!$V$1:$V$12,0),""))</f>
        <v/>
      </c>
      <c r="AH923" s="15" t="str">
        <f t="shared" si="2"/>
        <v/>
      </c>
      <c r="AI923" s="17" t="str">
        <f>IF(AG923="","",INDEX('quitado Despesa'!$G$1:$G$12,AG923))</f>
        <v/>
      </c>
      <c r="AJ923" s="17" t="str">
        <f t="shared" si="3"/>
        <v/>
      </c>
    </row>
    <row r="924" spans="31:36">
      <c r="AE924" s="15" t="str">
        <f t="shared" si="0"/>
        <v/>
      </c>
      <c r="AF924" s="15" t="str">
        <f t="shared" si="1"/>
        <v/>
      </c>
      <c r="AG924" s="15" t="str">
        <f>IF(OR(AF924="",AF924="ERRO_CHAVE"),"",IFERROR(MATCH(AF924,'quitado Despesa'!$V$1:$V$12,0),""))</f>
        <v/>
      </c>
      <c r="AH924" s="15" t="str">
        <f t="shared" si="2"/>
        <v/>
      </c>
      <c r="AI924" s="17" t="str">
        <f>IF(AG924="","",INDEX('quitado Despesa'!$G$1:$G$12,AG924))</f>
        <v/>
      </c>
      <c r="AJ924" s="17" t="str">
        <f t="shared" si="3"/>
        <v/>
      </c>
    </row>
    <row r="925" spans="31:36">
      <c r="AE925" s="15" t="str">
        <f t="shared" si="0"/>
        <v/>
      </c>
      <c r="AF925" s="15" t="str">
        <f t="shared" si="1"/>
        <v/>
      </c>
      <c r="AG925" s="15" t="str">
        <f>IF(OR(AF925="",AF925="ERRO_CHAVE"),"",IFERROR(MATCH(AF925,'quitado Despesa'!$V$1:$V$12,0),""))</f>
        <v/>
      </c>
      <c r="AH925" s="15" t="str">
        <f t="shared" si="2"/>
        <v/>
      </c>
      <c r="AI925" s="17" t="str">
        <f>IF(AG925="","",INDEX('quitado Despesa'!$G$1:$G$12,AG925))</f>
        <v/>
      </c>
      <c r="AJ925" s="17" t="str">
        <f t="shared" si="3"/>
        <v/>
      </c>
    </row>
    <row r="926" spans="31:36">
      <c r="AE926" s="15" t="str">
        <f t="shared" si="0"/>
        <v/>
      </c>
      <c r="AF926" s="15" t="str">
        <f t="shared" si="1"/>
        <v/>
      </c>
      <c r="AG926" s="15" t="str">
        <f>IF(OR(AF926="",AF926="ERRO_CHAVE"),"",IFERROR(MATCH(AF926,'quitado Despesa'!$V$1:$V$12,0),""))</f>
        <v/>
      </c>
      <c r="AH926" s="15" t="str">
        <f t="shared" si="2"/>
        <v/>
      </c>
      <c r="AI926" s="17" t="str">
        <f>IF(AG926="","",INDEX('quitado Despesa'!$G$1:$G$12,AG926))</f>
        <v/>
      </c>
      <c r="AJ926" s="17" t="str">
        <f t="shared" si="3"/>
        <v/>
      </c>
    </row>
    <row r="927" spans="31:36">
      <c r="AE927" s="15" t="str">
        <f t="shared" si="0"/>
        <v/>
      </c>
      <c r="AF927" s="15" t="str">
        <f t="shared" si="1"/>
        <v/>
      </c>
      <c r="AG927" s="15" t="str">
        <f>IF(OR(AF927="",AF927="ERRO_CHAVE"),"",IFERROR(MATCH(AF927,'quitado Despesa'!$V$1:$V$12,0),""))</f>
        <v/>
      </c>
      <c r="AH927" s="15" t="str">
        <f t="shared" si="2"/>
        <v/>
      </c>
      <c r="AI927" s="17" t="str">
        <f>IF(AG927="","",INDEX('quitado Despesa'!$G$1:$G$12,AG927))</f>
        <v/>
      </c>
      <c r="AJ927" s="17" t="str">
        <f t="shared" si="3"/>
        <v/>
      </c>
    </row>
    <row r="928" spans="31:36">
      <c r="AE928" s="15" t="str">
        <f t="shared" si="0"/>
        <v/>
      </c>
      <c r="AF928" s="15" t="str">
        <f t="shared" si="1"/>
        <v/>
      </c>
      <c r="AG928" s="15" t="str">
        <f>IF(OR(AF928="",AF928="ERRO_CHAVE"),"",IFERROR(MATCH(AF928,'quitado Despesa'!$V$1:$V$12,0),""))</f>
        <v/>
      </c>
      <c r="AH928" s="15" t="str">
        <f t="shared" si="2"/>
        <v/>
      </c>
      <c r="AI928" s="17" t="str">
        <f>IF(AG928="","",INDEX('quitado Despesa'!$G$1:$G$12,AG928))</f>
        <v/>
      </c>
      <c r="AJ928" s="17" t="str">
        <f t="shared" si="3"/>
        <v/>
      </c>
    </row>
    <row r="929" spans="31:36">
      <c r="AE929" s="15" t="str">
        <f t="shared" si="0"/>
        <v/>
      </c>
      <c r="AF929" s="15" t="str">
        <f t="shared" si="1"/>
        <v/>
      </c>
      <c r="AG929" s="15" t="str">
        <f>IF(OR(AF929="",AF929="ERRO_CHAVE"),"",IFERROR(MATCH(AF929,'quitado Despesa'!$V$1:$V$12,0),""))</f>
        <v/>
      </c>
      <c r="AH929" s="15" t="str">
        <f t="shared" si="2"/>
        <v/>
      </c>
      <c r="AI929" s="17" t="str">
        <f>IF(AG929="","",INDEX('quitado Despesa'!$G$1:$G$12,AG929))</f>
        <v/>
      </c>
      <c r="AJ929" s="17" t="str">
        <f t="shared" si="3"/>
        <v/>
      </c>
    </row>
    <row r="930" spans="31:36">
      <c r="AE930" s="15" t="str">
        <f t="shared" si="0"/>
        <v/>
      </c>
      <c r="AF930" s="15" t="str">
        <f t="shared" si="1"/>
        <v/>
      </c>
      <c r="AG930" s="15" t="str">
        <f>IF(OR(AF930="",AF930="ERRO_CHAVE"),"",IFERROR(MATCH(AF930,'quitado Despesa'!$V$1:$V$12,0),""))</f>
        <v/>
      </c>
      <c r="AH930" s="15" t="str">
        <f t="shared" si="2"/>
        <v/>
      </c>
      <c r="AI930" s="17" t="str">
        <f>IF(AG930="","",INDEX('quitado Despesa'!$G$1:$G$12,AG930))</f>
        <v/>
      </c>
      <c r="AJ930" s="17" t="str">
        <f t="shared" si="3"/>
        <v/>
      </c>
    </row>
    <row r="931" spans="31:36">
      <c r="AE931" s="15" t="str">
        <f t="shared" si="0"/>
        <v/>
      </c>
      <c r="AF931" s="15" t="str">
        <f t="shared" si="1"/>
        <v/>
      </c>
      <c r="AG931" s="15" t="str">
        <f>IF(OR(AF931="",AF931="ERRO_CHAVE"),"",IFERROR(MATCH(AF931,'quitado Despesa'!$V$1:$V$12,0),""))</f>
        <v/>
      </c>
      <c r="AH931" s="15" t="str">
        <f t="shared" si="2"/>
        <v/>
      </c>
      <c r="AI931" s="17" t="str">
        <f>IF(AG931="","",INDEX('quitado Despesa'!$G$1:$G$12,AG931))</f>
        <v/>
      </c>
      <c r="AJ931" s="17" t="str">
        <f t="shared" si="3"/>
        <v/>
      </c>
    </row>
    <row r="932" spans="31:36">
      <c r="AE932" s="15" t="str">
        <f t="shared" si="0"/>
        <v/>
      </c>
      <c r="AF932" s="15" t="str">
        <f t="shared" si="1"/>
        <v/>
      </c>
      <c r="AG932" s="15" t="str">
        <f>IF(OR(AF932="",AF932="ERRO_CHAVE"),"",IFERROR(MATCH(AF932,'quitado Despesa'!$V$1:$V$12,0),""))</f>
        <v/>
      </c>
      <c r="AH932" s="15" t="str">
        <f t="shared" si="2"/>
        <v/>
      </c>
      <c r="AI932" s="17" t="str">
        <f>IF(AG932="","",INDEX('quitado Despesa'!$G$1:$G$12,AG932))</f>
        <v/>
      </c>
      <c r="AJ932" s="17" t="str">
        <f t="shared" si="3"/>
        <v/>
      </c>
    </row>
    <row r="933" spans="31:36">
      <c r="AE933" s="15" t="str">
        <f t="shared" si="0"/>
        <v/>
      </c>
      <c r="AF933" s="15" t="str">
        <f t="shared" si="1"/>
        <v/>
      </c>
      <c r="AG933" s="15" t="str">
        <f>IF(OR(AF933="",AF933="ERRO_CHAVE"),"",IFERROR(MATCH(AF933,'quitado Despesa'!$V$1:$V$12,0),""))</f>
        <v/>
      </c>
      <c r="AH933" s="15" t="str">
        <f t="shared" si="2"/>
        <v/>
      </c>
      <c r="AI933" s="17" t="str">
        <f>IF(AG933="","",INDEX('quitado Despesa'!$G$1:$G$12,AG933))</f>
        <v/>
      </c>
      <c r="AJ933" s="17" t="str">
        <f t="shared" si="3"/>
        <v/>
      </c>
    </row>
    <row r="934" spans="31:36">
      <c r="AE934" s="15" t="str">
        <f t="shared" si="0"/>
        <v/>
      </c>
      <c r="AF934" s="15" t="str">
        <f t="shared" si="1"/>
        <v/>
      </c>
      <c r="AG934" s="15" t="str">
        <f>IF(OR(AF934="",AF934="ERRO_CHAVE"),"",IFERROR(MATCH(AF934,'quitado Despesa'!$V$1:$V$12,0),""))</f>
        <v/>
      </c>
      <c r="AH934" s="15" t="str">
        <f t="shared" si="2"/>
        <v/>
      </c>
      <c r="AI934" s="17" t="str">
        <f>IF(AG934="","",INDEX('quitado Despesa'!$G$1:$G$12,AG934))</f>
        <v/>
      </c>
      <c r="AJ934" s="17" t="str">
        <f t="shared" si="3"/>
        <v/>
      </c>
    </row>
    <row r="935" spans="31:36">
      <c r="AE935" s="15" t="str">
        <f t="shared" si="0"/>
        <v/>
      </c>
      <c r="AF935" s="15" t="str">
        <f t="shared" si="1"/>
        <v/>
      </c>
      <c r="AG935" s="15" t="str">
        <f>IF(OR(AF935="",AF935="ERRO_CHAVE"),"",IFERROR(MATCH(AF935,'quitado Despesa'!$V$1:$V$12,0),""))</f>
        <v/>
      </c>
      <c r="AH935" s="15" t="str">
        <f t="shared" si="2"/>
        <v/>
      </c>
      <c r="AI935" s="17" t="str">
        <f>IF(AG935="","",INDEX('quitado Despesa'!$G$1:$G$12,AG935))</f>
        <v/>
      </c>
      <c r="AJ935" s="17" t="str">
        <f t="shared" si="3"/>
        <v/>
      </c>
    </row>
    <row r="936" spans="31:36">
      <c r="AE936" s="15" t="str">
        <f t="shared" si="0"/>
        <v/>
      </c>
      <c r="AF936" s="15" t="str">
        <f t="shared" si="1"/>
        <v/>
      </c>
      <c r="AG936" s="15" t="str">
        <f>IF(OR(AF936="",AF936="ERRO_CHAVE"),"",IFERROR(MATCH(AF936,'quitado Despesa'!$V$1:$V$12,0),""))</f>
        <v/>
      </c>
      <c r="AH936" s="15" t="str">
        <f t="shared" si="2"/>
        <v/>
      </c>
      <c r="AI936" s="17" t="str">
        <f>IF(AG936="","",INDEX('quitado Despesa'!$G$1:$G$12,AG936))</f>
        <v/>
      </c>
      <c r="AJ936" s="17" t="str">
        <f t="shared" si="3"/>
        <v/>
      </c>
    </row>
    <row r="937" spans="31:36">
      <c r="AE937" s="15" t="str">
        <f t="shared" si="0"/>
        <v/>
      </c>
      <c r="AF937" s="15" t="str">
        <f t="shared" si="1"/>
        <v/>
      </c>
      <c r="AG937" s="15" t="str">
        <f>IF(OR(AF937="",AF937="ERRO_CHAVE"),"",IFERROR(MATCH(AF937,'quitado Despesa'!$V$1:$V$12,0),""))</f>
        <v/>
      </c>
      <c r="AH937" s="15" t="str">
        <f t="shared" si="2"/>
        <v/>
      </c>
      <c r="AI937" s="17" t="str">
        <f>IF(AG937="","",INDEX('quitado Despesa'!$G$1:$G$12,AG937))</f>
        <v/>
      </c>
      <c r="AJ937" s="17" t="str">
        <f t="shared" si="3"/>
        <v/>
      </c>
    </row>
    <row r="938" spans="31:36">
      <c r="AE938" s="15" t="str">
        <f t="shared" si="0"/>
        <v/>
      </c>
      <c r="AF938" s="15" t="str">
        <f t="shared" si="1"/>
        <v/>
      </c>
      <c r="AG938" s="15" t="str">
        <f>IF(OR(AF938="",AF938="ERRO_CHAVE"),"",IFERROR(MATCH(AF938,'quitado Despesa'!$V$1:$V$12,0),""))</f>
        <v/>
      </c>
      <c r="AH938" s="15" t="str">
        <f t="shared" si="2"/>
        <v/>
      </c>
      <c r="AI938" s="17" t="str">
        <f>IF(AG938="","",INDEX('quitado Despesa'!$G$1:$G$12,AG938))</f>
        <v/>
      </c>
      <c r="AJ938" s="17" t="str">
        <f t="shared" si="3"/>
        <v/>
      </c>
    </row>
    <row r="939" spans="31:36">
      <c r="AE939" s="15" t="str">
        <f t="shared" si="0"/>
        <v/>
      </c>
      <c r="AF939" s="15" t="str">
        <f t="shared" si="1"/>
        <v/>
      </c>
      <c r="AG939" s="15" t="str">
        <f>IF(OR(AF939="",AF939="ERRO_CHAVE"),"",IFERROR(MATCH(AF939,'quitado Despesa'!$V$1:$V$12,0),""))</f>
        <v/>
      </c>
      <c r="AH939" s="15" t="str">
        <f t="shared" si="2"/>
        <v/>
      </c>
      <c r="AI939" s="17" t="str">
        <f>IF(AG939="","",INDEX('quitado Despesa'!$G$1:$G$12,AG939))</f>
        <v/>
      </c>
      <c r="AJ939" s="17" t="str">
        <f t="shared" si="3"/>
        <v/>
      </c>
    </row>
    <row r="940" spans="31:36">
      <c r="AE940" s="15" t="str">
        <f t="shared" si="0"/>
        <v/>
      </c>
      <c r="AF940" s="15" t="str">
        <f t="shared" si="1"/>
        <v/>
      </c>
      <c r="AG940" s="15" t="str">
        <f>IF(OR(AF940="",AF940="ERRO_CHAVE"),"",IFERROR(MATCH(AF940,'quitado Despesa'!$V$1:$V$12,0),""))</f>
        <v/>
      </c>
      <c r="AH940" s="15" t="str">
        <f t="shared" si="2"/>
        <v/>
      </c>
      <c r="AI940" s="17" t="str">
        <f>IF(AG940="","",INDEX('quitado Despesa'!$G$1:$G$12,AG940))</f>
        <v/>
      </c>
      <c r="AJ940" s="17" t="str">
        <f t="shared" si="3"/>
        <v/>
      </c>
    </row>
    <row r="941" spans="31:36">
      <c r="AE941" s="15" t="str">
        <f t="shared" si="0"/>
        <v/>
      </c>
      <c r="AF941" s="15" t="str">
        <f t="shared" si="1"/>
        <v/>
      </c>
      <c r="AG941" s="15" t="str">
        <f>IF(OR(AF941="",AF941="ERRO_CHAVE"),"",IFERROR(MATCH(AF941,'quitado Despesa'!$V$1:$V$12,0),""))</f>
        <v/>
      </c>
      <c r="AH941" s="15" t="str">
        <f t="shared" si="2"/>
        <v/>
      </c>
      <c r="AI941" s="17" t="str">
        <f>IF(AG941="","",INDEX('quitado Despesa'!$G$1:$G$12,AG941))</f>
        <v/>
      </c>
      <c r="AJ941" s="17" t="str">
        <f t="shared" si="3"/>
        <v/>
      </c>
    </row>
    <row r="942" spans="31:36">
      <c r="AE942" s="15" t="str">
        <f t="shared" si="0"/>
        <v/>
      </c>
      <c r="AF942" s="15" t="str">
        <f t="shared" si="1"/>
        <v/>
      </c>
      <c r="AG942" s="15" t="str">
        <f>IF(OR(AF942="",AF942="ERRO_CHAVE"),"",IFERROR(MATCH(AF942,'quitado Despesa'!$V$1:$V$12,0),""))</f>
        <v/>
      </c>
      <c r="AH942" s="15" t="str">
        <f t="shared" si="2"/>
        <v/>
      </c>
      <c r="AI942" s="17" t="str">
        <f>IF(AG942="","",INDEX('quitado Despesa'!$G$1:$G$12,AG942))</f>
        <v/>
      </c>
      <c r="AJ942" s="17" t="str">
        <f t="shared" si="3"/>
        <v/>
      </c>
    </row>
    <row r="943" spans="31:36">
      <c r="AE943" s="15" t="str">
        <f t="shared" si="0"/>
        <v/>
      </c>
      <c r="AF943" s="15" t="str">
        <f t="shared" si="1"/>
        <v/>
      </c>
      <c r="AG943" s="15" t="str">
        <f>IF(OR(AF943="",AF943="ERRO_CHAVE"),"",IFERROR(MATCH(AF943,'quitado Despesa'!$V$1:$V$12,0),""))</f>
        <v/>
      </c>
      <c r="AH943" s="15" t="str">
        <f t="shared" si="2"/>
        <v/>
      </c>
      <c r="AI943" s="17" t="str">
        <f>IF(AG943="","",INDEX('quitado Despesa'!$G$1:$G$12,AG943))</f>
        <v/>
      </c>
      <c r="AJ943" s="17" t="str">
        <f t="shared" si="3"/>
        <v/>
      </c>
    </row>
    <row r="944" spans="31:36">
      <c r="AE944" s="15" t="str">
        <f t="shared" si="0"/>
        <v/>
      </c>
      <c r="AF944" s="15" t="str">
        <f t="shared" si="1"/>
        <v/>
      </c>
      <c r="AG944" s="15" t="str">
        <f>IF(OR(AF944="",AF944="ERRO_CHAVE"),"",IFERROR(MATCH(AF944,'quitado Despesa'!$V$1:$V$12,0),""))</f>
        <v/>
      </c>
      <c r="AH944" s="15" t="str">
        <f t="shared" si="2"/>
        <v/>
      </c>
      <c r="AI944" s="17" t="str">
        <f>IF(AG944="","",INDEX('quitado Despesa'!$G$1:$G$12,AG944))</f>
        <v/>
      </c>
      <c r="AJ944" s="17" t="str">
        <f t="shared" si="3"/>
        <v/>
      </c>
    </row>
    <row r="945" spans="31:36">
      <c r="AE945" s="15" t="str">
        <f t="shared" si="0"/>
        <v/>
      </c>
      <c r="AF945" s="15" t="str">
        <f t="shared" si="1"/>
        <v/>
      </c>
      <c r="AG945" s="15" t="str">
        <f>IF(OR(AF945="",AF945="ERRO_CHAVE"),"",IFERROR(MATCH(AF945,'quitado Despesa'!$V$1:$V$12,0),""))</f>
        <v/>
      </c>
      <c r="AH945" s="15" t="str">
        <f t="shared" si="2"/>
        <v/>
      </c>
      <c r="AI945" s="17" t="str">
        <f>IF(AG945="","",INDEX('quitado Despesa'!$G$1:$G$12,AG945))</f>
        <v/>
      </c>
      <c r="AJ945" s="17" t="str">
        <f t="shared" si="3"/>
        <v/>
      </c>
    </row>
    <row r="946" spans="31:36">
      <c r="AE946" s="15" t="str">
        <f t="shared" si="0"/>
        <v/>
      </c>
      <c r="AF946" s="15" t="str">
        <f t="shared" si="1"/>
        <v/>
      </c>
      <c r="AG946" s="15" t="str">
        <f>IF(OR(AF946="",AF946="ERRO_CHAVE"),"",IFERROR(MATCH(AF946,'quitado Despesa'!$V$1:$V$12,0),""))</f>
        <v/>
      </c>
      <c r="AH946" s="15" t="str">
        <f t="shared" si="2"/>
        <v/>
      </c>
      <c r="AI946" s="17" t="str">
        <f>IF(AG946="","",INDEX('quitado Despesa'!$G$1:$G$12,AG946))</f>
        <v/>
      </c>
      <c r="AJ946" s="17" t="str">
        <f t="shared" si="3"/>
        <v/>
      </c>
    </row>
    <row r="947" spans="31:36">
      <c r="AE947" s="15" t="str">
        <f t="shared" si="0"/>
        <v/>
      </c>
      <c r="AF947" s="15" t="str">
        <f t="shared" si="1"/>
        <v/>
      </c>
      <c r="AG947" s="15" t="str">
        <f>IF(OR(AF947="",AF947="ERRO_CHAVE"),"",IFERROR(MATCH(AF947,'quitado Despesa'!$V$1:$V$12,0),""))</f>
        <v/>
      </c>
      <c r="AH947" s="15" t="str">
        <f t="shared" si="2"/>
        <v/>
      </c>
      <c r="AI947" s="17" t="str">
        <f>IF(AG947="","",INDEX('quitado Despesa'!$G$1:$G$12,AG947))</f>
        <v/>
      </c>
      <c r="AJ947" s="17" t="str">
        <f t="shared" si="3"/>
        <v/>
      </c>
    </row>
    <row r="948" spans="31:36">
      <c r="AE948" s="15" t="str">
        <f t="shared" si="0"/>
        <v/>
      </c>
      <c r="AF948" s="15" t="str">
        <f t="shared" si="1"/>
        <v/>
      </c>
      <c r="AG948" s="15" t="str">
        <f>IF(OR(AF948="",AF948="ERRO_CHAVE"),"",IFERROR(MATCH(AF948,'quitado Despesa'!$V$1:$V$12,0),""))</f>
        <v/>
      </c>
      <c r="AH948" s="15" t="str">
        <f t="shared" si="2"/>
        <v/>
      </c>
      <c r="AI948" s="17" t="str">
        <f>IF(AG948="","",INDEX('quitado Despesa'!$G$1:$G$12,AG948))</f>
        <v/>
      </c>
      <c r="AJ948" s="17" t="str">
        <f t="shared" si="3"/>
        <v/>
      </c>
    </row>
    <row r="949" spans="31:36">
      <c r="AE949" s="15" t="str">
        <f t="shared" si="0"/>
        <v/>
      </c>
      <c r="AF949" s="15" t="str">
        <f t="shared" si="1"/>
        <v/>
      </c>
      <c r="AG949" s="15" t="str">
        <f>IF(OR(AF949="",AF949="ERRO_CHAVE"),"",IFERROR(MATCH(AF949,'quitado Despesa'!$V$1:$V$12,0),""))</f>
        <v/>
      </c>
      <c r="AH949" s="15" t="str">
        <f t="shared" si="2"/>
        <v/>
      </c>
      <c r="AI949" s="17" t="str">
        <f>IF(AG949="","",INDEX('quitado Despesa'!$G$1:$G$12,AG949))</f>
        <v/>
      </c>
      <c r="AJ949" s="17" t="str">
        <f t="shared" si="3"/>
        <v/>
      </c>
    </row>
    <row r="950" spans="31:36">
      <c r="AE950" s="15" t="str">
        <f t="shared" si="0"/>
        <v/>
      </c>
      <c r="AF950" s="15" t="str">
        <f t="shared" si="1"/>
        <v/>
      </c>
      <c r="AG950" s="15" t="str">
        <f>IF(OR(AF950="",AF950="ERRO_CHAVE"),"",IFERROR(MATCH(AF950,'quitado Despesa'!$V$1:$V$12,0),""))</f>
        <v/>
      </c>
      <c r="AH950" s="15" t="str">
        <f t="shared" si="2"/>
        <v/>
      </c>
      <c r="AI950" s="17" t="str">
        <f>IF(AG950="","",INDEX('quitado Despesa'!$G$1:$G$12,AG950))</f>
        <v/>
      </c>
      <c r="AJ950" s="17" t="str">
        <f t="shared" si="3"/>
        <v/>
      </c>
    </row>
    <row r="951" spans="31:36">
      <c r="AE951" s="15" t="str">
        <f t="shared" si="0"/>
        <v/>
      </c>
      <c r="AF951" s="15" t="str">
        <f t="shared" si="1"/>
        <v/>
      </c>
      <c r="AG951" s="15" t="str">
        <f>IF(OR(AF951="",AF951="ERRO_CHAVE"),"",IFERROR(MATCH(AF951,'quitado Despesa'!$V$1:$V$12,0),""))</f>
        <v/>
      </c>
      <c r="AH951" s="15" t="str">
        <f t="shared" si="2"/>
        <v/>
      </c>
      <c r="AI951" s="17" t="str">
        <f>IF(AG951="","",INDEX('quitado Despesa'!$G$1:$G$12,AG951))</f>
        <v/>
      </c>
      <c r="AJ951" s="17" t="str">
        <f t="shared" si="3"/>
        <v/>
      </c>
    </row>
    <row r="952" spans="31:36">
      <c r="AE952" s="15" t="str">
        <f t="shared" si="0"/>
        <v/>
      </c>
      <c r="AF952" s="15" t="str">
        <f t="shared" si="1"/>
        <v/>
      </c>
      <c r="AG952" s="15" t="str">
        <f>IF(OR(AF952="",AF952="ERRO_CHAVE"),"",IFERROR(MATCH(AF952,'quitado Despesa'!$V$1:$V$12,0),""))</f>
        <v/>
      </c>
      <c r="AH952" s="15" t="str">
        <f t="shared" si="2"/>
        <v/>
      </c>
      <c r="AI952" s="17" t="str">
        <f>IF(AG952="","",INDEX('quitado Despesa'!$G$1:$G$12,AG952))</f>
        <v/>
      </c>
      <c r="AJ952" s="17" t="str">
        <f t="shared" si="3"/>
        <v/>
      </c>
    </row>
    <row r="953" spans="31:36">
      <c r="AE953" s="15" t="str">
        <f t="shared" si="0"/>
        <v/>
      </c>
      <c r="AF953" s="15" t="str">
        <f t="shared" si="1"/>
        <v/>
      </c>
      <c r="AG953" s="15" t="str">
        <f>IF(OR(AF953="",AF953="ERRO_CHAVE"),"",IFERROR(MATCH(AF953,'quitado Despesa'!$V$1:$V$12,0),""))</f>
        <v/>
      </c>
      <c r="AH953" s="15" t="str">
        <f t="shared" si="2"/>
        <v/>
      </c>
      <c r="AI953" s="17" t="str">
        <f>IF(AG953="","",INDEX('quitado Despesa'!$G$1:$G$12,AG953))</f>
        <v/>
      </c>
      <c r="AJ953" s="17" t="str">
        <f t="shared" si="3"/>
        <v/>
      </c>
    </row>
    <row r="954" spans="31:36">
      <c r="AE954" s="15" t="str">
        <f t="shared" si="0"/>
        <v/>
      </c>
      <c r="AF954" s="15" t="str">
        <f t="shared" si="1"/>
        <v/>
      </c>
      <c r="AG954" s="15" t="str">
        <f>IF(OR(AF954="",AF954="ERRO_CHAVE"),"",IFERROR(MATCH(AF954,'quitado Despesa'!$V$1:$V$12,0),""))</f>
        <v/>
      </c>
      <c r="AH954" s="15" t="str">
        <f t="shared" si="2"/>
        <v/>
      </c>
      <c r="AI954" s="17" t="str">
        <f>IF(AG954="","",INDEX('quitado Despesa'!$G$1:$G$12,AG954))</f>
        <v/>
      </c>
      <c r="AJ954" s="17" t="str">
        <f t="shared" si="3"/>
        <v/>
      </c>
    </row>
    <row r="955" spans="31:36">
      <c r="AE955" s="15" t="str">
        <f t="shared" si="0"/>
        <v/>
      </c>
      <c r="AF955" s="15" t="str">
        <f t="shared" si="1"/>
        <v/>
      </c>
      <c r="AG955" s="15" t="str">
        <f>IF(OR(AF955="",AF955="ERRO_CHAVE"),"",IFERROR(MATCH(AF955,'quitado Despesa'!$V$1:$V$12,0),""))</f>
        <v/>
      </c>
      <c r="AH955" s="15" t="str">
        <f t="shared" si="2"/>
        <v/>
      </c>
      <c r="AI955" s="17" t="str">
        <f>IF(AG955="","",INDEX('quitado Despesa'!$G$1:$G$12,AG955))</f>
        <v/>
      </c>
      <c r="AJ955" s="17" t="str">
        <f t="shared" si="3"/>
        <v/>
      </c>
    </row>
    <row r="956" spans="31:36">
      <c r="AE956" s="15" t="str">
        <f t="shared" si="0"/>
        <v/>
      </c>
      <c r="AF956" s="15" t="str">
        <f t="shared" si="1"/>
        <v/>
      </c>
      <c r="AG956" s="15" t="str">
        <f>IF(OR(AF956="",AF956="ERRO_CHAVE"),"",IFERROR(MATCH(AF956,'quitado Despesa'!$V$1:$V$12,0),""))</f>
        <v/>
      </c>
      <c r="AH956" s="15" t="str">
        <f t="shared" si="2"/>
        <v/>
      </c>
      <c r="AI956" s="17" t="str">
        <f>IF(AG956="","",INDEX('quitado Despesa'!$G$1:$G$12,AG956))</f>
        <v/>
      </c>
      <c r="AJ956" s="17" t="str">
        <f t="shared" si="3"/>
        <v/>
      </c>
    </row>
    <row r="957" spans="31:36">
      <c r="AE957" s="15" t="str">
        <f t="shared" si="0"/>
        <v/>
      </c>
      <c r="AF957" s="15" t="str">
        <f t="shared" si="1"/>
        <v/>
      </c>
      <c r="AG957" s="15" t="str">
        <f>IF(OR(AF957="",AF957="ERRO_CHAVE"),"",IFERROR(MATCH(AF957,'quitado Despesa'!$V$1:$V$12,0),""))</f>
        <v/>
      </c>
      <c r="AH957" s="15" t="str">
        <f t="shared" si="2"/>
        <v/>
      </c>
      <c r="AI957" s="17" t="str">
        <f>IF(AG957="","",INDEX('quitado Despesa'!$G$1:$G$12,AG957))</f>
        <v/>
      </c>
      <c r="AJ957" s="17" t="str">
        <f t="shared" si="3"/>
        <v/>
      </c>
    </row>
    <row r="958" spans="31:36">
      <c r="AE958" s="15" t="str">
        <f t="shared" si="0"/>
        <v/>
      </c>
      <c r="AF958" s="15" t="str">
        <f t="shared" si="1"/>
        <v/>
      </c>
      <c r="AG958" s="15" t="str">
        <f>IF(OR(AF958="",AF958="ERRO_CHAVE"),"",IFERROR(MATCH(AF958,'quitado Despesa'!$V$1:$V$12,0),""))</f>
        <v/>
      </c>
      <c r="AH958" s="15" t="str">
        <f t="shared" si="2"/>
        <v/>
      </c>
      <c r="AI958" s="17" t="str">
        <f>IF(AG958="","",INDEX('quitado Despesa'!$G$1:$G$12,AG958))</f>
        <v/>
      </c>
      <c r="AJ958" s="17" t="str">
        <f t="shared" si="3"/>
        <v/>
      </c>
    </row>
    <row r="959" spans="31:36">
      <c r="AE959" s="15" t="str">
        <f t="shared" si="0"/>
        <v/>
      </c>
      <c r="AF959" s="15" t="str">
        <f t="shared" si="1"/>
        <v/>
      </c>
      <c r="AG959" s="15" t="str">
        <f>IF(OR(AF959="",AF959="ERRO_CHAVE"),"",IFERROR(MATCH(AF959,'quitado Despesa'!$V$1:$V$12,0),""))</f>
        <v/>
      </c>
      <c r="AH959" s="15" t="str">
        <f t="shared" si="2"/>
        <v/>
      </c>
      <c r="AI959" s="17" t="str">
        <f>IF(AG959="","",INDEX('quitado Despesa'!$G$1:$G$12,AG959))</f>
        <v/>
      </c>
      <c r="AJ959" s="17" t="str">
        <f t="shared" si="3"/>
        <v/>
      </c>
    </row>
    <row r="960" spans="31:36">
      <c r="AE960" s="15" t="str">
        <f t="shared" si="0"/>
        <v/>
      </c>
      <c r="AF960" s="15" t="str">
        <f t="shared" si="1"/>
        <v/>
      </c>
      <c r="AG960" s="15" t="str">
        <f>IF(OR(AF960="",AF960="ERRO_CHAVE"),"",IFERROR(MATCH(AF960,'quitado Despesa'!$V$1:$V$12,0),""))</f>
        <v/>
      </c>
      <c r="AH960" s="15" t="str">
        <f t="shared" si="2"/>
        <v/>
      </c>
      <c r="AI960" s="17" t="str">
        <f>IF(AG960="","",INDEX('quitado Despesa'!$G$1:$G$12,AG960))</f>
        <v/>
      </c>
      <c r="AJ960" s="17" t="str">
        <f t="shared" si="3"/>
        <v/>
      </c>
    </row>
    <row r="961" spans="31:36">
      <c r="AE961" s="15" t="str">
        <f t="shared" si="0"/>
        <v/>
      </c>
      <c r="AF961" s="15" t="str">
        <f t="shared" si="1"/>
        <v/>
      </c>
      <c r="AG961" s="15" t="str">
        <f>IF(OR(AF961="",AF961="ERRO_CHAVE"),"",IFERROR(MATCH(AF961,'quitado Despesa'!$V$1:$V$12,0),""))</f>
        <v/>
      </c>
      <c r="AH961" s="15" t="str">
        <f t="shared" si="2"/>
        <v/>
      </c>
      <c r="AI961" s="17" t="str">
        <f>IF(AG961="","",INDEX('quitado Despesa'!$G$1:$G$12,AG961))</f>
        <v/>
      </c>
      <c r="AJ961" s="17" t="str">
        <f t="shared" si="3"/>
        <v/>
      </c>
    </row>
    <row r="962" spans="31:36">
      <c r="AE962" s="15" t="str">
        <f t="shared" si="0"/>
        <v/>
      </c>
      <c r="AF962" s="15" t="str">
        <f t="shared" si="1"/>
        <v/>
      </c>
      <c r="AG962" s="15" t="str">
        <f>IF(OR(AF962="",AF962="ERRO_CHAVE"),"",IFERROR(MATCH(AF962,'quitado Despesa'!$V$1:$V$12,0),""))</f>
        <v/>
      </c>
      <c r="AH962" s="15" t="str">
        <f t="shared" si="2"/>
        <v/>
      </c>
      <c r="AI962" s="17" t="str">
        <f>IF(AG962="","",INDEX('quitado Despesa'!$G$1:$G$12,AG962))</f>
        <v/>
      </c>
      <c r="AJ962" s="17" t="str">
        <f t="shared" si="3"/>
        <v/>
      </c>
    </row>
    <row r="963" spans="31:36">
      <c r="AE963" s="15" t="str">
        <f t="shared" si="0"/>
        <v/>
      </c>
      <c r="AF963" s="15" t="str">
        <f t="shared" si="1"/>
        <v/>
      </c>
      <c r="AG963" s="15" t="str">
        <f>IF(OR(AF963="",AF963="ERRO_CHAVE"),"",IFERROR(MATCH(AF963,'quitado Despesa'!$V$1:$V$12,0),""))</f>
        <v/>
      </c>
      <c r="AH963" s="15" t="str">
        <f t="shared" si="2"/>
        <v/>
      </c>
      <c r="AI963" s="17" t="str">
        <f>IF(AG963="","",INDEX('quitado Despesa'!$G$1:$G$12,AG963))</f>
        <v/>
      </c>
      <c r="AJ963" s="17" t="str">
        <f t="shared" si="3"/>
        <v/>
      </c>
    </row>
    <row r="964" spans="31:36">
      <c r="AE964" s="15" t="str">
        <f t="shared" si="0"/>
        <v/>
      </c>
      <c r="AF964" s="15" t="str">
        <f t="shared" si="1"/>
        <v/>
      </c>
      <c r="AG964" s="15" t="str">
        <f>IF(OR(AF964="",AF964="ERRO_CHAVE"),"",IFERROR(MATCH(AF964,'quitado Despesa'!$V$1:$V$12,0),""))</f>
        <v/>
      </c>
      <c r="AH964" s="15" t="str">
        <f t="shared" si="2"/>
        <v/>
      </c>
      <c r="AI964" s="17" t="str">
        <f>IF(AG964="","",INDEX('quitado Despesa'!$G$1:$G$12,AG964))</f>
        <v/>
      </c>
      <c r="AJ964" s="17" t="str">
        <f t="shared" si="3"/>
        <v/>
      </c>
    </row>
    <row r="965" spans="31:36">
      <c r="AE965" s="15" t="str">
        <f t="shared" si="0"/>
        <v/>
      </c>
      <c r="AF965" s="15" t="str">
        <f t="shared" si="1"/>
        <v/>
      </c>
      <c r="AG965" s="15" t="str">
        <f>IF(OR(AF965="",AF965="ERRO_CHAVE"),"",IFERROR(MATCH(AF965,'quitado Despesa'!$V$1:$V$12,0),""))</f>
        <v/>
      </c>
      <c r="AH965" s="15" t="str">
        <f t="shared" si="2"/>
        <v/>
      </c>
      <c r="AI965" s="17" t="str">
        <f>IF(AG965="","",INDEX('quitado Despesa'!$G$1:$G$12,AG965))</f>
        <v/>
      </c>
      <c r="AJ965" s="17" t="str">
        <f t="shared" si="3"/>
        <v/>
      </c>
    </row>
    <row r="966" spans="31:36">
      <c r="AE966" s="15" t="str">
        <f t="shared" si="0"/>
        <v/>
      </c>
      <c r="AF966" s="15" t="str">
        <f t="shared" si="1"/>
        <v/>
      </c>
      <c r="AG966" s="15" t="str">
        <f>IF(OR(AF966="",AF966="ERRO_CHAVE"),"",IFERROR(MATCH(AF966,'quitado Despesa'!$V$1:$V$12,0),""))</f>
        <v/>
      </c>
      <c r="AH966" s="15" t="str">
        <f t="shared" si="2"/>
        <v/>
      </c>
      <c r="AI966" s="17" t="str">
        <f>IF(AG966="","",INDEX('quitado Despesa'!$G$1:$G$12,AG966))</f>
        <v/>
      </c>
      <c r="AJ966" s="17" t="str">
        <f t="shared" si="3"/>
        <v/>
      </c>
    </row>
    <row r="967" spans="31:36">
      <c r="AE967" s="15" t="str">
        <f t="shared" si="0"/>
        <v/>
      </c>
      <c r="AF967" s="15" t="str">
        <f t="shared" si="1"/>
        <v/>
      </c>
      <c r="AG967" s="15" t="str">
        <f>IF(OR(AF967="",AF967="ERRO_CHAVE"),"",IFERROR(MATCH(AF967,'quitado Despesa'!$V$1:$V$12,0),""))</f>
        <v/>
      </c>
      <c r="AH967" s="15" t="str">
        <f t="shared" si="2"/>
        <v/>
      </c>
      <c r="AI967" s="17" t="str">
        <f>IF(AG967="","",INDEX('quitado Despesa'!$G$1:$G$12,AG967))</f>
        <v/>
      </c>
      <c r="AJ967" s="17" t="str">
        <f t="shared" si="3"/>
        <v/>
      </c>
    </row>
    <row r="968" spans="31:36">
      <c r="AE968" s="15" t="str">
        <f t="shared" si="0"/>
        <v/>
      </c>
      <c r="AF968" s="15" t="str">
        <f t="shared" si="1"/>
        <v/>
      </c>
      <c r="AG968" s="15" t="str">
        <f>IF(OR(AF968="",AF968="ERRO_CHAVE"),"",IFERROR(MATCH(AF968,'quitado Despesa'!$V$1:$V$12,0),""))</f>
        <v/>
      </c>
      <c r="AH968" s="15" t="str">
        <f t="shared" si="2"/>
        <v/>
      </c>
      <c r="AI968" s="17" t="str">
        <f>IF(AG968="","",INDEX('quitado Despesa'!$G$1:$G$12,AG968))</f>
        <v/>
      </c>
      <c r="AJ968" s="17" t="str">
        <f t="shared" si="3"/>
        <v/>
      </c>
    </row>
    <row r="969" spans="31:36">
      <c r="AE969" s="15" t="str">
        <f t="shared" si="0"/>
        <v/>
      </c>
      <c r="AF969" s="15" t="str">
        <f t="shared" si="1"/>
        <v/>
      </c>
      <c r="AG969" s="15" t="str">
        <f>IF(OR(AF969="",AF969="ERRO_CHAVE"),"",IFERROR(MATCH(AF969,'quitado Despesa'!$V$1:$V$12,0),""))</f>
        <v/>
      </c>
      <c r="AH969" s="15" t="str">
        <f t="shared" si="2"/>
        <v/>
      </c>
      <c r="AI969" s="17" t="str">
        <f>IF(AG969="","",INDEX('quitado Despesa'!$G$1:$G$12,AG969))</f>
        <v/>
      </c>
      <c r="AJ969" s="17" t="str">
        <f t="shared" si="3"/>
        <v/>
      </c>
    </row>
    <row r="970" spans="31:36">
      <c r="AE970" s="15" t="str">
        <f t="shared" si="0"/>
        <v/>
      </c>
      <c r="AF970" s="15" t="str">
        <f t="shared" si="1"/>
        <v/>
      </c>
      <c r="AG970" s="15" t="str">
        <f>IF(OR(AF970="",AF970="ERRO_CHAVE"),"",IFERROR(MATCH(AF970,'quitado Despesa'!$V$1:$V$12,0),""))</f>
        <v/>
      </c>
      <c r="AH970" s="15" t="str">
        <f t="shared" si="2"/>
        <v/>
      </c>
      <c r="AI970" s="17" t="str">
        <f>IF(AG970="","",INDEX('quitado Despesa'!$G$1:$G$12,AG970))</f>
        <v/>
      </c>
      <c r="AJ970" s="17" t="str">
        <f t="shared" si="3"/>
        <v/>
      </c>
    </row>
    <row r="971" spans="31:36">
      <c r="AE971" s="15" t="str">
        <f t="shared" si="0"/>
        <v/>
      </c>
      <c r="AF971" s="15" t="str">
        <f t="shared" si="1"/>
        <v/>
      </c>
      <c r="AG971" s="15" t="str">
        <f>IF(OR(AF971="",AF971="ERRO_CHAVE"),"",IFERROR(MATCH(AF971,'quitado Despesa'!$V$1:$V$12,0),""))</f>
        <v/>
      </c>
      <c r="AH971" s="15" t="str">
        <f t="shared" si="2"/>
        <v/>
      </c>
      <c r="AI971" s="17" t="str">
        <f>IF(AG971="","",INDEX('quitado Despesa'!$G$1:$G$12,AG971))</f>
        <v/>
      </c>
      <c r="AJ971" s="17" t="str">
        <f t="shared" si="3"/>
        <v/>
      </c>
    </row>
    <row r="972" spans="31:36">
      <c r="AE972" s="15" t="str">
        <f t="shared" si="0"/>
        <v/>
      </c>
      <c r="AF972" s="15" t="str">
        <f t="shared" si="1"/>
        <v/>
      </c>
      <c r="AG972" s="15" t="str">
        <f>IF(OR(AF972="",AF972="ERRO_CHAVE"),"",IFERROR(MATCH(AF972,'quitado Despesa'!$V$1:$V$12,0),""))</f>
        <v/>
      </c>
      <c r="AH972" s="15" t="str">
        <f t="shared" si="2"/>
        <v/>
      </c>
      <c r="AI972" s="17" t="str">
        <f>IF(AG972="","",INDEX('quitado Despesa'!$G$1:$G$12,AG972))</f>
        <v/>
      </c>
      <c r="AJ972" s="17" t="str">
        <f t="shared" si="3"/>
        <v/>
      </c>
    </row>
    <row r="973" spans="31:36">
      <c r="AE973" s="15" t="str">
        <f t="shared" si="0"/>
        <v/>
      </c>
      <c r="AF973" s="15" t="str">
        <f t="shared" si="1"/>
        <v/>
      </c>
      <c r="AG973" s="15" t="str">
        <f>IF(OR(AF973="",AF973="ERRO_CHAVE"),"",IFERROR(MATCH(AF973,'quitado Despesa'!$V$1:$V$12,0),""))</f>
        <v/>
      </c>
      <c r="AH973" s="15" t="str">
        <f t="shared" si="2"/>
        <v/>
      </c>
      <c r="AI973" s="17" t="str">
        <f>IF(AG973="","",INDEX('quitado Despesa'!$G$1:$G$12,AG973))</f>
        <v/>
      </c>
      <c r="AJ973" s="17" t="str">
        <f t="shared" si="3"/>
        <v/>
      </c>
    </row>
    <row r="974" spans="31:36">
      <c r="AE974" s="15" t="str">
        <f t="shared" si="0"/>
        <v/>
      </c>
      <c r="AF974" s="15" t="str">
        <f t="shared" si="1"/>
        <v/>
      </c>
      <c r="AG974" s="15" t="str">
        <f>IF(OR(AF974="",AF974="ERRO_CHAVE"),"",IFERROR(MATCH(AF974,'quitado Despesa'!$V$1:$V$12,0),""))</f>
        <v/>
      </c>
      <c r="AH974" s="15" t="str">
        <f t="shared" si="2"/>
        <v/>
      </c>
      <c r="AI974" s="17" t="str">
        <f>IF(AG974="","",INDEX('quitado Despesa'!$G$1:$G$12,AG974))</f>
        <v/>
      </c>
      <c r="AJ974" s="17" t="str">
        <f t="shared" si="3"/>
        <v/>
      </c>
    </row>
    <row r="975" spans="31:36">
      <c r="AE975" s="15" t="str">
        <f t="shared" si="0"/>
        <v/>
      </c>
      <c r="AF975" s="15" t="str">
        <f t="shared" si="1"/>
        <v/>
      </c>
      <c r="AG975" s="15" t="str">
        <f>IF(OR(AF975="",AF975="ERRO_CHAVE"),"",IFERROR(MATCH(AF975,'quitado Despesa'!$V$1:$V$12,0),""))</f>
        <v/>
      </c>
      <c r="AH975" s="15" t="str">
        <f t="shared" si="2"/>
        <v/>
      </c>
      <c r="AI975" s="17" t="str">
        <f>IF(AG975="","",INDEX('quitado Despesa'!$G$1:$G$12,AG975))</f>
        <v/>
      </c>
      <c r="AJ975" s="17" t="str">
        <f t="shared" si="3"/>
        <v/>
      </c>
    </row>
    <row r="976" spans="31:36">
      <c r="AE976" s="15" t="str">
        <f t="shared" si="0"/>
        <v/>
      </c>
      <c r="AF976" s="15" t="str">
        <f t="shared" si="1"/>
        <v/>
      </c>
      <c r="AG976" s="15" t="str">
        <f>IF(OR(AF976="",AF976="ERRO_CHAVE"),"",IFERROR(MATCH(AF976,'quitado Despesa'!$V$1:$V$12,0),""))</f>
        <v/>
      </c>
      <c r="AH976" s="15" t="str">
        <f t="shared" si="2"/>
        <v/>
      </c>
      <c r="AI976" s="17" t="str">
        <f>IF(AG976="","",INDEX('quitado Despesa'!$G$1:$G$12,AG976))</f>
        <v/>
      </c>
      <c r="AJ976" s="17" t="str">
        <f t="shared" si="3"/>
        <v/>
      </c>
    </row>
    <row r="977" spans="31:36">
      <c r="AE977" s="15" t="str">
        <f t="shared" si="0"/>
        <v/>
      </c>
      <c r="AF977" s="15" t="str">
        <f t="shared" si="1"/>
        <v/>
      </c>
      <c r="AG977" s="15" t="str">
        <f>IF(OR(AF977="",AF977="ERRO_CHAVE"),"",IFERROR(MATCH(AF977,'quitado Despesa'!$V$1:$V$12,0),""))</f>
        <v/>
      </c>
      <c r="AH977" s="15" t="str">
        <f t="shared" si="2"/>
        <v/>
      </c>
      <c r="AI977" s="17" t="str">
        <f>IF(AG977="","",INDEX('quitado Despesa'!$G$1:$G$12,AG977))</f>
        <v/>
      </c>
      <c r="AJ977" s="17" t="str">
        <f t="shared" si="3"/>
        <v/>
      </c>
    </row>
    <row r="978" spans="31:36">
      <c r="AE978" s="15" t="str">
        <f t="shared" si="0"/>
        <v/>
      </c>
      <c r="AF978" s="15" t="str">
        <f t="shared" si="1"/>
        <v/>
      </c>
      <c r="AG978" s="15" t="str">
        <f>IF(OR(AF978="",AF978="ERRO_CHAVE"),"",IFERROR(MATCH(AF978,'quitado Despesa'!$V$1:$V$12,0),""))</f>
        <v/>
      </c>
      <c r="AH978" s="15" t="str">
        <f t="shared" si="2"/>
        <v/>
      </c>
      <c r="AI978" s="17" t="str">
        <f>IF(AG978="","",INDEX('quitado Despesa'!$G$1:$G$12,AG978))</f>
        <v/>
      </c>
      <c r="AJ978" s="17" t="str">
        <f t="shared" si="3"/>
        <v/>
      </c>
    </row>
    <row r="979" spans="31:36">
      <c r="AE979" s="15" t="str">
        <f t="shared" si="0"/>
        <v/>
      </c>
      <c r="AF979" s="15" t="str">
        <f t="shared" si="1"/>
        <v/>
      </c>
      <c r="AG979" s="15" t="str">
        <f>IF(OR(AF979="",AF979="ERRO_CHAVE"),"",IFERROR(MATCH(AF979,'quitado Despesa'!$V$1:$V$12,0),""))</f>
        <v/>
      </c>
      <c r="AH979" s="15" t="str">
        <f t="shared" si="2"/>
        <v/>
      </c>
      <c r="AI979" s="17" t="str">
        <f>IF(AG979="","",INDEX('quitado Despesa'!$G$1:$G$12,AG979))</f>
        <v/>
      </c>
      <c r="AJ979" s="17" t="str">
        <f t="shared" si="3"/>
        <v/>
      </c>
    </row>
    <row r="980" spans="31:36">
      <c r="AE980" s="15" t="str">
        <f t="shared" si="0"/>
        <v/>
      </c>
      <c r="AF980" s="15" t="str">
        <f t="shared" si="1"/>
        <v/>
      </c>
      <c r="AG980" s="15" t="str">
        <f>IF(OR(AF980="",AF980="ERRO_CHAVE"),"",IFERROR(MATCH(AF980,'quitado Despesa'!$V$1:$V$12,0),""))</f>
        <v/>
      </c>
      <c r="AH980" s="15" t="str">
        <f t="shared" si="2"/>
        <v/>
      </c>
      <c r="AI980" s="17" t="str">
        <f>IF(AG980="","",INDEX('quitado Despesa'!$G$1:$G$12,AG980))</f>
        <v/>
      </c>
      <c r="AJ980" s="17" t="str">
        <f t="shared" si="3"/>
        <v/>
      </c>
    </row>
    <row r="981" spans="31:36">
      <c r="AE981" s="15" t="str">
        <f t="shared" si="0"/>
        <v/>
      </c>
      <c r="AF981" s="15" t="str">
        <f t="shared" si="1"/>
        <v/>
      </c>
      <c r="AG981" s="15" t="str">
        <f>IF(OR(AF981="",AF981="ERRO_CHAVE"),"",IFERROR(MATCH(AF981,'quitado Despesa'!$V$1:$V$12,0),""))</f>
        <v/>
      </c>
      <c r="AH981" s="15" t="str">
        <f t="shared" si="2"/>
        <v/>
      </c>
      <c r="AI981" s="17" t="str">
        <f>IF(AG981="","",INDEX('quitado Despesa'!$G$1:$G$12,AG981))</f>
        <v/>
      </c>
      <c r="AJ981" s="17" t="str">
        <f t="shared" si="3"/>
        <v/>
      </c>
    </row>
    <row r="982" spans="31:36">
      <c r="AE982" s="15" t="str">
        <f t="shared" si="0"/>
        <v/>
      </c>
      <c r="AF982" s="15" t="str">
        <f t="shared" si="1"/>
        <v/>
      </c>
      <c r="AG982" s="15" t="str">
        <f>IF(OR(AF982="",AF982="ERRO_CHAVE"),"",IFERROR(MATCH(AF982,'quitado Despesa'!$V$1:$V$12,0),""))</f>
        <v/>
      </c>
      <c r="AH982" s="15" t="str">
        <f t="shared" si="2"/>
        <v/>
      </c>
      <c r="AI982" s="17" t="str">
        <f>IF(AG982="","",INDEX('quitado Despesa'!$G$1:$G$12,AG982))</f>
        <v/>
      </c>
      <c r="AJ982" s="17" t="str">
        <f t="shared" si="3"/>
        <v/>
      </c>
    </row>
    <row r="983" spans="31:36">
      <c r="AE983" s="15" t="str">
        <f t="shared" si="0"/>
        <v/>
      </c>
      <c r="AF983" s="15" t="str">
        <f t="shared" si="1"/>
        <v/>
      </c>
      <c r="AG983" s="15" t="str">
        <f>IF(OR(AF983="",AF983="ERRO_CHAVE"),"",IFERROR(MATCH(AF983,'quitado Despesa'!$V$1:$V$12,0),""))</f>
        <v/>
      </c>
      <c r="AH983" s="15" t="str">
        <f t="shared" si="2"/>
        <v/>
      </c>
      <c r="AI983" s="17" t="str">
        <f>IF(AG983="","",INDEX('quitado Despesa'!$G$1:$G$12,AG983))</f>
        <v/>
      </c>
      <c r="AJ983" s="17" t="str">
        <f t="shared" si="3"/>
        <v/>
      </c>
    </row>
    <row r="984" spans="31:36">
      <c r="AE984" s="15" t="str">
        <f t="shared" si="0"/>
        <v/>
      </c>
      <c r="AF984" s="15" t="str">
        <f t="shared" si="1"/>
        <v/>
      </c>
      <c r="AG984" s="15" t="str">
        <f>IF(OR(AF984="",AF984="ERRO_CHAVE"),"",IFERROR(MATCH(AF984,'quitado Despesa'!$V$1:$V$12,0),""))</f>
        <v/>
      </c>
      <c r="AH984" s="15" t="str">
        <f t="shared" si="2"/>
        <v/>
      </c>
      <c r="AI984" s="17" t="str">
        <f>IF(AG984="","",INDEX('quitado Despesa'!$G$1:$G$12,AG984))</f>
        <v/>
      </c>
      <c r="AJ984" s="17" t="str">
        <f t="shared" si="3"/>
        <v/>
      </c>
    </row>
    <row r="985" spans="31:36">
      <c r="AE985" s="15" t="str">
        <f t="shared" si="0"/>
        <v/>
      </c>
      <c r="AF985" s="15" t="str">
        <f t="shared" si="1"/>
        <v/>
      </c>
      <c r="AG985" s="15" t="str">
        <f>IF(OR(AF985="",AF985="ERRO_CHAVE"),"",IFERROR(MATCH(AF985,'quitado Despesa'!$V$1:$V$12,0),""))</f>
        <v/>
      </c>
      <c r="AH985" s="15" t="str">
        <f t="shared" si="2"/>
        <v/>
      </c>
      <c r="AI985" s="17" t="str">
        <f>IF(AG985="","",INDEX('quitado Despesa'!$G$1:$G$12,AG985))</f>
        <v/>
      </c>
      <c r="AJ985" s="17" t="str">
        <f t="shared" si="3"/>
        <v/>
      </c>
    </row>
    <row r="986" spans="31:36">
      <c r="AE986" s="15" t="str">
        <f t="shared" si="0"/>
        <v/>
      </c>
      <c r="AF986" s="15" t="str">
        <f t="shared" si="1"/>
        <v/>
      </c>
      <c r="AG986" s="15" t="str">
        <f>IF(OR(AF986="",AF986="ERRO_CHAVE"),"",IFERROR(MATCH(AF986,'quitado Despesa'!$V$1:$V$12,0),""))</f>
        <v/>
      </c>
      <c r="AH986" s="15" t="str">
        <f t="shared" si="2"/>
        <v/>
      </c>
      <c r="AI986" s="17" t="str">
        <f>IF(AG986="","",INDEX('quitado Despesa'!$G$1:$G$12,AG986))</f>
        <v/>
      </c>
      <c r="AJ986" s="17" t="str">
        <f t="shared" si="3"/>
        <v/>
      </c>
    </row>
    <row r="987" spans="31:36">
      <c r="AE987" s="15" t="str">
        <f t="shared" si="0"/>
        <v/>
      </c>
      <c r="AF987" s="15" t="str">
        <f t="shared" si="1"/>
        <v/>
      </c>
      <c r="AG987" s="15" t="str">
        <f>IF(OR(AF987="",AF987="ERRO_CHAVE"),"",IFERROR(MATCH(AF987,'quitado Despesa'!$V$1:$V$12,0),""))</f>
        <v/>
      </c>
      <c r="AH987" s="15" t="str">
        <f t="shared" si="2"/>
        <v/>
      </c>
      <c r="AI987" s="17" t="str">
        <f>IF(AG987="","",INDEX('quitado Despesa'!$G$1:$G$12,AG987))</f>
        <v/>
      </c>
      <c r="AJ987" s="17" t="str">
        <f t="shared" si="3"/>
        <v/>
      </c>
    </row>
    <row r="988" spans="31:36">
      <c r="AE988" s="15" t="str">
        <f t="shared" si="0"/>
        <v/>
      </c>
      <c r="AF988" s="15" t="str">
        <f t="shared" si="1"/>
        <v/>
      </c>
      <c r="AG988" s="15" t="str">
        <f>IF(OR(AF988="",AF988="ERRO_CHAVE"),"",IFERROR(MATCH(AF988,'quitado Despesa'!$V$1:$V$12,0),""))</f>
        <v/>
      </c>
      <c r="AH988" s="15" t="str">
        <f t="shared" si="2"/>
        <v/>
      </c>
      <c r="AI988" s="17" t="str">
        <f>IF(AG988="","",INDEX('quitado Despesa'!$G$1:$G$12,AG988))</f>
        <v/>
      </c>
      <c r="AJ988" s="17" t="str">
        <f t="shared" si="3"/>
        <v/>
      </c>
    </row>
    <row r="989" spans="31:36">
      <c r="AE989" s="15" t="str">
        <f t="shared" si="0"/>
        <v/>
      </c>
      <c r="AF989" s="15" t="str">
        <f t="shared" si="1"/>
        <v/>
      </c>
      <c r="AG989" s="15" t="str">
        <f>IF(OR(AF989="",AF989="ERRO_CHAVE"),"",IFERROR(MATCH(AF989,'quitado Despesa'!$V$1:$V$12,0),""))</f>
        <v/>
      </c>
      <c r="AH989" s="15" t="str">
        <f t="shared" si="2"/>
        <v/>
      </c>
      <c r="AI989" s="17" t="str">
        <f>IF(AG989="","",INDEX('quitado Despesa'!$G$1:$G$12,AG989))</f>
        <v/>
      </c>
      <c r="AJ989" s="17" t="str">
        <f t="shared" si="3"/>
        <v/>
      </c>
    </row>
    <row r="990" spans="31:36">
      <c r="AE990" s="15" t="str">
        <f t="shared" si="0"/>
        <v/>
      </c>
      <c r="AF990" s="15" t="str">
        <f t="shared" si="1"/>
        <v/>
      </c>
      <c r="AG990" s="15" t="str">
        <f>IF(OR(AF990="",AF990="ERRO_CHAVE"),"",IFERROR(MATCH(AF990,'quitado Despesa'!$V$1:$V$12,0),""))</f>
        <v/>
      </c>
      <c r="AH990" s="15" t="str">
        <f t="shared" si="2"/>
        <v/>
      </c>
      <c r="AI990" s="17" t="str">
        <f>IF(AG990="","",INDEX('quitado Despesa'!$G$1:$G$12,AG990))</f>
        <v/>
      </c>
      <c r="AJ990" s="17" t="str">
        <f t="shared" si="3"/>
        <v/>
      </c>
    </row>
    <row r="991" spans="31:36">
      <c r="AE991" s="15" t="str">
        <f t="shared" si="0"/>
        <v/>
      </c>
      <c r="AF991" s="15" t="str">
        <f t="shared" si="1"/>
        <v/>
      </c>
      <c r="AG991" s="15" t="str">
        <f>IF(OR(AF991="",AF991="ERRO_CHAVE"),"",IFERROR(MATCH(AF991,'quitado Despesa'!$V$1:$V$12,0),""))</f>
        <v/>
      </c>
      <c r="AH991" s="15" t="str">
        <f t="shared" si="2"/>
        <v/>
      </c>
      <c r="AI991" s="17" t="str">
        <f>IF(AG991="","",INDEX('quitado Despesa'!$G$1:$G$12,AG991))</f>
        <v/>
      </c>
      <c r="AJ991" s="17" t="str">
        <f t="shared" si="3"/>
        <v/>
      </c>
    </row>
    <row r="992" spans="31:36">
      <c r="AE992" s="15" t="str">
        <f t="shared" si="0"/>
        <v/>
      </c>
      <c r="AF992" s="15" t="str">
        <f t="shared" si="1"/>
        <v/>
      </c>
      <c r="AG992" s="15" t="str">
        <f>IF(OR(AF992="",AF992="ERRO_CHAVE"),"",IFERROR(MATCH(AF992,'quitado Despesa'!$V$1:$V$12,0),""))</f>
        <v/>
      </c>
      <c r="AH992" s="15" t="str">
        <f t="shared" si="2"/>
        <v/>
      </c>
      <c r="AI992" s="17" t="str">
        <f>IF(AG992="","",INDEX('quitado Despesa'!$G$1:$G$12,AG992))</f>
        <v/>
      </c>
      <c r="AJ992" s="17" t="str">
        <f t="shared" si="3"/>
        <v/>
      </c>
    </row>
    <row r="993" spans="31:36">
      <c r="AE993" s="15" t="str">
        <f t="shared" si="0"/>
        <v/>
      </c>
      <c r="AF993" s="15" t="str">
        <f t="shared" si="1"/>
        <v/>
      </c>
      <c r="AG993" s="15" t="str">
        <f>IF(OR(AF993="",AF993="ERRO_CHAVE"),"",IFERROR(MATCH(AF993,'quitado Despesa'!$V$1:$V$12,0),""))</f>
        <v/>
      </c>
      <c r="AH993" s="15" t="str">
        <f t="shared" si="2"/>
        <v/>
      </c>
      <c r="AI993" s="17" t="str">
        <f>IF(AG993="","",INDEX('quitado Despesa'!$G$1:$G$12,AG993))</f>
        <v/>
      </c>
      <c r="AJ993" s="17" t="str">
        <f t="shared" si="3"/>
        <v/>
      </c>
    </row>
    <row r="994" spans="31:36">
      <c r="AE994" s="15" t="str">
        <f t="shared" si="0"/>
        <v/>
      </c>
      <c r="AF994" s="15" t="str">
        <f t="shared" si="1"/>
        <v/>
      </c>
      <c r="AG994" s="15" t="str">
        <f>IF(OR(AF994="",AF994="ERRO_CHAVE"),"",IFERROR(MATCH(AF994,'quitado Despesa'!$V$1:$V$12,0),""))</f>
        <v/>
      </c>
      <c r="AH994" s="15" t="str">
        <f t="shared" si="2"/>
        <v/>
      </c>
      <c r="AI994" s="17" t="str">
        <f>IF(AG994="","",INDEX('quitado Despesa'!$G$1:$G$12,AG994))</f>
        <v/>
      </c>
      <c r="AJ994" s="17" t="str">
        <f t="shared" si="3"/>
        <v/>
      </c>
    </row>
    <row r="995" spans="31:36">
      <c r="AE995" s="15" t="str">
        <f t="shared" si="0"/>
        <v/>
      </c>
      <c r="AF995" s="15" t="str">
        <f t="shared" si="1"/>
        <v/>
      </c>
      <c r="AG995" s="15" t="str">
        <f>IF(OR(AF995="",AF995="ERRO_CHAVE"),"",IFERROR(MATCH(AF995,'quitado Despesa'!$V$1:$V$12,0),""))</f>
        <v/>
      </c>
      <c r="AH995" s="15" t="str">
        <f t="shared" si="2"/>
        <v/>
      </c>
      <c r="AI995" s="17" t="str">
        <f>IF(AG995="","",INDEX('quitado Despesa'!$G$1:$G$12,AG995))</f>
        <v/>
      </c>
      <c r="AJ995" s="17" t="str">
        <f t="shared" si="3"/>
        <v/>
      </c>
    </row>
    <row r="996" spans="31:36">
      <c r="AE996" s="15" t="str">
        <f t="shared" si="0"/>
        <v/>
      </c>
      <c r="AF996" s="15" t="str">
        <f t="shared" si="1"/>
        <v/>
      </c>
      <c r="AG996" s="15" t="str">
        <f>IF(OR(AF996="",AF996="ERRO_CHAVE"),"",IFERROR(MATCH(AF996,'quitado Despesa'!$V$1:$V$12,0),""))</f>
        <v/>
      </c>
      <c r="AH996" s="15" t="str">
        <f t="shared" si="2"/>
        <v/>
      </c>
      <c r="AI996" s="17" t="str">
        <f>IF(AG996="","",INDEX('quitado Despesa'!$G$1:$G$12,AG996))</f>
        <v/>
      </c>
      <c r="AJ996" s="17" t="str">
        <f t="shared" si="3"/>
        <v/>
      </c>
    </row>
    <row r="997" spans="31:36">
      <c r="AE997" s="15" t="str">
        <f t="shared" si="0"/>
        <v/>
      </c>
      <c r="AF997" s="15" t="str">
        <f t="shared" si="1"/>
        <v/>
      </c>
      <c r="AG997" s="15" t="str">
        <f>IF(OR(AF997="",AF997="ERRO_CHAVE"),"",IFERROR(MATCH(AF997,'quitado Despesa'!$V$1:$V$12,0),""))</f>
        <v/>
      </c>
      <c r="AH997" s="15" t="str">
        <f t="shared" si="2"/>
        <v/>
      </c>
      <c r="AI997" s="17" t="str">
        <f>IF(AG997="","",INDEX('quitado Despesa'!$G$1:$G$12,AG997))</f>
        <v/>
      </c>
      <c r="AJ997" s="17" t="str">
        <f t="shared" si="3"/>
        <v/>
      </c>
    </row>
    <row r="998" spans="31:36">
      <c r="AE998" s="15" t="str">
        <f t="shared" si="0"/>
        <v/>
      </c>
      <c r="AF998" s="15" t="str">
        <f t="shared" si="1"/>
        <v/>
      </c>
      <c r="AG998" s="15" t="str">
        <f>IF(OR(AF998="",AF998="ERRO_CHAVE"),"",IFERROR(MATCH(AF998,'quitado Despesa'!$V$1:$V$12,0),""))</f>
        <v/>
      </c>
      <c r="AH998" s="15" t="str">
        <f t="shared" si="2"/>
        <v/>
      </c>
      <c r="AI998" s="17" t="str">
        <f>IF(AG998="","",INDEX('quitado Despesa'!$G$1:$G$12,AG998))</f>
        <v/>
      </c>
      <c r="AJ998" s="17" t="str">
        <f t="shared" si="3"/>
        <v/>
      </c>
    </row>
    <row r="999" spans="31:36">
      <c r="AE999" s="15" t="str">
        <f t="shared" si="0"/>
        <v/>
      </c>
      <c r="AF999" s="15" t="str">
        <f t="shared" si="1"/>
        <v/>
      </c>
      <c r="AG999" s="15" t="str">
        <f>IF(OR(AF999="",AF999="ERRO_CHAVE"),"",IFERROR(MATCH(AF999,'quitado Despesa'!$V$1:$V$12,0),""))</f>
        <v/>
      </c>
      <c r="AH999" s="15" t="str">
        <f t="shared" si="2"/>
        <v/>
      </c>
      <c r="AI999" s="17" t="str">
        <f>IF(AG999="","",INDEX('quitado Despesa'!$G$1:$G$12,AG999))</f>
        <v/>
      </c>
      <c r="AJ999" s="17" t="str">
        <f t="shared" si="3"/>
        <v/>
      </c>
    </row>
    <row r="1000" spans="31:36">
      <c r="AE1000" s="15" t="str">
        <f t="shared" si="0"/>
        <v/>
      </c>
      <c r="AF1000" s="15" t="str">
        <f t="shared" si="1"/>
        <v/>
      </c>
      <c r="AG1000" s="15" t="str">
        <f>IF(OR(AF1000="",AF1000="ERRO_CHAVE"),"",IFERROR(MATCH(AF1000,'quitado Despesa'!$V$1:$V$12,0),""))</f>
        <v/>
      </c>
      <c r="AH1000" s="15" t="str">
        <f t="shared" si="2"/>
        <v/>
      </c>
      <c r="AI1000" s="17" t="str">
        <f>IF(AG1000="","",INDEX('quitado Despesa'!$G$1:$G$12,AG1000))</f>
        <v/>
      </c>
      <c r="AJ1000" s="17" t="str">
        <f t="shared" si="3"/>
        <v/>
      </c>
    </row>
    <row r="1001" spans="31:36">
      <c r="AE1001" s="15" t="str">
        <f t="shared" si="0"/>
        <v/>
      </c>
      <c r="AF1001" s="15" t="str">
        <f t="shared" si="1"/>
        <v/>
      </c>
      <c r="AG1001" s="15" t="str">
        <f>IF(OR(AF1001="",AF1001="ERRO_CHAVE"),"",IFERROR(MATCH(AF1001,'quitado Despesa'!$V$1:$V$12,0),""))</f>
        <v/>
      </c>
      <c r="AH1001" s="15" t="str">
        <f t="shared" si="2"/>
        <v/>
      </c>
      <c r="AI1001" s="17" t="str">
        <f>IF(AG1001="","",INDEX('quitado Despesa'!$G$1:$G$12,AG1001))</f>
        <v/>
      </c>
      <c r="AJ1001" s="17" t="str">
        <f t="shared" si="3"/>
        <v/>
      </c>
    </row>
    <row r="1002" spans="31:36">
      <c r="AE1002" s="15" t="str">
        <f t="shared" si="0"/>
        <v/>
      </c>
      <c r="AF1002" s="15" t="str">
        <f t="shared" si="1"/>
        <v/>
      </c>
      <c r="AG1002" s="15" t="str">
        <f>IF(OR(AF1002="",AF1002="ERRO_CHAVE"),"",IFERROR(MATCH(AF1002,'quitado Despesa'!$V$1:$V$12,0),""))</f>
        <v/>
      </c>
      <c r="AH1002" s="15" t="str">
        <f t="shared" si="2"/>
        <v/>
      </c>
      <c r="AI1002" s="17" t="str">
        <f>IF(AG1002="","",INDEX('quitado Despesa'!$G$1:$G$12,AG1002))</f>
        <v/>
      </c>
      <c r="AJ1002" s="17" t="str">
        <f t="shared" si="3"/>
        <v/>
      </c>
    </row>
    <row r="1003" spans="31:36">
      <c r="AE1003" s="15" t="str">
        <f t="shared" si="0"/>
        <v/>
      </c>
      <c r="AF1003" s="15" t="str">
        <f t="shared" si="1"/>
        <v/>
      </c>
      <c r="AG1003" s="15" t="str">
        <f>IF(OR(AF1003="",AF1003="ERRO_CHAVE"),"",IFERROR(MATCH(AF1003,'quitado Despesa'!$V$1:$V$12,0),""))</f>
        <v/>
      </c>
      <c r="AH1003" s="15" t="str">
        <f t="shared" si="2"/>
        <v/>
      </c>
      <c r="AI1003" s="17" t="str">
        <f>IF(AG1003="","",INDEX('quitado Despesa'!$G$1:$G$12,AG1003))</f>
        <v/>
      </c>
      <c r="AJ1003" s="17" t="str">
        <f t="shared" si="3"/>
        <v/>
      </c>
    </row>
    <row r="1004" spans="31:36">
      <c r="AE1004" s="15" t="str">
        <f t="shared" si="0"/>
        <v/>
      </c>
      <c r="AF1004" s="15" t="str">
        <f t="shared" si="1"/>
        <v/>
      </c>
      <c r="AG1004" s="15" t="str">
        <f>IF(OR(AF1004="",AF1004="ERRO_CHAVE"),"",IFERROR(MATCH(AF1004,'quitado Despesa'!$V$1:$V$12,0),""))</f>
        <v/>
      </c>
      <c r="AH1004" s="15" t="str">
        <f t="shared" si="2"/>
        <v/>
      </c>
      <c r="AI1004" s="17" t="str">
        <f>IF(AG1004="","",INDEX('quitado Despesa'!$G$1:$G$12,AG1004))</f>
        <v/>
      </c>
      <c r="AJ1004" s="17" t="str">
        <f t="shared" si="3"/>
        <v/>
      </c>
    </row>
    <row r="1005" spans="31:36">
      <c r="AE1005" s="15" t="str">
        <f t="shared" si="0"/>
        <v/>
      </c>
      <c r="AF1005" s="15" t="str">
        <f t="shared" si="1"/>
        <v/>
      </c>
      <c r="AG1005" s="15" t="str">
        <f>IF(OR(AF1005="",AF1005="ERRO_CHAVE"),"",IFERROR(MATCH(AF1005,'quitado Despesa'!$V$1:$V$12,0),""))</f>
        <v/>
      </c>
      <c r="AH1005" s="15" t="str">
        <f t="shared" si="2"/>
        <v/>
      </c>
      <c r="AI1005" s="17" t="str">
        <f>IF(AG1005="","",INDEX('quitado Despesa'!$G$1:$G$12,AG1005))</f>
        <v/>
      </c>
      <c r="AJ1005" s="17" t="str">
        <f t="shared" si="3"/>
        <v/>
      </c>
    </row>
    <row r="1006" spans="31:36">
      <c r="AE1006" s="15" t="str">
        <f t="shared" si="0"/>
        <v/>
      </c>
      <c r="AF1006" s="15" t="str">
        <f t="shared" si="1"/>
        <v/>
      </c>
      <c r="AG1006" s="15" t="str">
        <f>IF(OR(AF1006="",AF1006="ERRO_CHAVE"),"",IFERROR(MATCH(AF1006,'quitado Despesa'!$V$1:$V$12,0),""))</f>
        <v/>
      </c>
      <c r="AH1006" s="15" t="str">
        <f t="shared" si="2"/>
        <v/>
      </c>
      <c r="AI1006" s="17" t="str">
        <f>IF(AG1006="","",INDEX('quitado Despesa'!$G$1:$G$12,AG1006))</f>
        <v/>
      </c>
      <c r="AJ1006" s="17" t="str">
        <f t="shared" si="3"/>
        <v/>
      </c>
    </row>
    <row r="1007" spans="31:36">
      <c r="AE1007" s="15" t="str">
        <f t="shared" si="0"/>
        <v/>
      </c>
      <c r="AF1007" s="15" t="str">
        <f t="shared" si="1"/>
        <v/>
      </c>
      <c r="AG1007" s="15" t="str">
        <f>IF(OR(AF1007="",AF1007="ERRO_CHAVE"),"",IFERROR(MATCH(AF1007,'quitado Despesa'!$V$1:$V$12,0),""))</f>
        <v/>
      </c>
      <c r="AH1007" s="15" t="str">
        <f t="shared" si="2"/>
        <v/>
      </c>
      <c r="AI1007" s="17" t="str">
        <f>IF(AG1007="","",INDEX('quitado Despesa'!$G$1:$G$12,AG1007))</f>
        <v/>
      </c>
      <c r="AJ1007" s="17" t="str">
        <f t="shared" si="3"/>
        <v/>
      </c>
    </row>
    <row r="1008" spans="31:36">
      <c r="AE1008" s="15" t="str">
        <f t="shared" si="0"/>
        <v/>
      </c>
      <c r="AF1008" s="15" t="str">
        <f t="shared" si="1"/>
        <v/>
      </c>
      <c r="AG1008" s="15" t="str">
        <f>IF(OR(AF1008="",AF1008="ERRO_CHAVE"),"",IFERROR(MATCH(AF1008,'quitado Despesa'!$V$1:$V$12,0),""))</f>
        <v/>
      </c>
      <c r="AH1008" s="15" t="str">
        <f t="shared" si="2"/>
        <v/>
      </c>
      <c r="AI1008" s="17" t="str">
        <f>IF(AG1008="","",INDEX('quitado Despesa'!$G$1:$G$12,AG1008))</f>
        <v/>
      </c>
      <c r="AJ1008" s="17" t="str">
        <f t="shared" si="3"/>
        <v/>
      </c>
    </row>
    <row r="1009" spans="31:36">
      <c r="AE1009" s="15" t="str">
        <f t="shared" si="0"/>
        <v/>
      </c>
      <c r="AF1009" s="15" t="str">
        <f t="shared" si="1"/>
        <v/>
      </c>
      <c r="AG1009" s="15" t="str">
        <f>IF(OR(AF1009="",AF1009="ERRO_CHAVE"),"",IFERROR(MATCH(AF1009,'quitado Despesa'!$V$1:$V$12,0),""))</f>
        <v/>
      </c>
      <c r="AH1009" s="15" t="str">
        <f t="shared" si="2"/>
        <v/>
      </c>
      <c r="AI1009" s="17" t="str">
        <f>IF(AG1009="","",INDEX('quitado Despesa'!$G$1:$G$12,AG1009))</f>
        <v/>
      </c>
      <c r="AJ1009" s="17" t="str">
        <f t="shared" si="3"/>
        <v/>
      </c>
    </row>
    <row r="1010" spans="31:36">
      <c r="AE1010" s="15" t="str">
        <f t="shared" si="0"/>
        <v/>
      </c>
      <c r="AF1010" s="15" t="str">
        <f t="shared" si="1"/>
        <v/>
      </c>
      <c r="AG1010" s="15" t="str">
        <f>IF(OR(AF1010="",AF1010="ERRO_CHAVE"),"",IFERROR(MATCH(AF1010,'quitado Despesa'!$V$1:$V$12,0),""))</f>
        <v/>
      </c>
      <c r="AH1010" s="15" t="str">
        <f t="shared" si="2"/>
        <v/>
      </c>
      <c r="AI1010" s="17" t="str">
        <f>IF(AG1010="","",INDEX('quitado Despesa'!$G$1:$G$12,AG1010))</f>
        <v/>
      </c>
      <c r="AJ1010" s="17" t="str">
        <f t="shared" si="3"/>
        <v/>
      </c>
    </row>
    <row r="1011" spans="31:36">
      <c r="AE1011" s="15" t="str">
        <f t="shared" si="0"/>
        <v/>
      </c>
      <c r="AF1011" s="15" t="str">
        <f t="shared" si="1"/>
        <v/>
      </c>
      <c r="AG1011" s="15" t="str">
        <f>IF(OR(AF1011="",AF1011="ERRO_CHAVE"),"",IFERROR(MATCH(AF1011,'quitado Despesa'!$V$1:$V$12,0),""))</f>
        <v/>
      </c>
      <c r="AH1011" s="15" t="str">
        <f t="shared" si="2"/>
        <v/>
      </c>
      <c r="AI1011" s="17" t="str">
        <f>IF(AG1011="","",INDEX('quitado Despesa'!$G$1:$G$12,AG1011))</f>
        <v/>
      </c>
      <c r="AJ1011" s="17" t="str">
        <f t="shared" si="3"/>
        <v/>
      </c>
    </row>
    <row r="1012" spans="31:36">
      <c r="AE1012" s="15" t="str">
        <f t="shared" si="0"/>
        <v/>
      </c>
      <c r="AF1012" s="15" t="str">
        <f t="shared" si="1"/>
        <v/>
      </c>
      <c r="AG1012" s="15" t="str">
        <f>IF(OR(AF1012="",AF1012="ERRO_CHAVE"),"",IFERROR(MATCH(AF1012,'quitado Despesa'!$V$1:$V$12,0),""))</f>
        <v/>
      </c>
      <c r="AH1012" s="15" t="str">
        <f t="shared" si="2"/>
        <v/>
      </c>
      <c r="AI1012" s="17" t="str">
        <f>IF(AG1012="","",INDEX('quitado Despesa'!$G$1:$G$12,AG1012))</f>
        <v/>
      </c>
      <c r="AJ1012" s="17" t="str">
        <f t="shared" si="3"/>
        <v/>
      </c>
    </row>
    <row r="1013" spans="31:36">
      <c r="AE1013" s="15" t="str">
        <f t="shared" si="0"/>
        <v/>
      </c>
      <c r="AF1013" s="15" t="str">
        <f t="shared" si="1"/>
        <v/>
      </c>
      <c r="AG1013" s="15" t="str">
        <f>IF(OR(AF1013="",AF1013="ERRO_CHAVE"),"",IFERROR(MATCH(AF1013,'quitado Despesa'!$V$1:$V$12,0),""))</f>
        <v/>
      </c>
      <c r="AH1013" s="15" t="str">
        <f t="shared" si="2"/>
        <v/>
      </c>
      <c r="AI1013" s="17" t="str">
        <f>IF(AG1013="","",INDEX('quitado Despesa'!$G$1:$G$12,AG1013))</f>
        <v/>
      </c>
      <c r="AJ1013" s="17" t="str">
        <f t="shared" si="3"/>
        <v/>
      </c>
    </row>
    <row r="1014" spans="31:36">
      <c r="AE1014" s="15" t="str">
        <f t="shared" si="0"/>
        <v/>
      </c>
      <c r="AF1014" s="15" t="str">
        <f t="shared" si="1"/>
        <v/>
      </c>
      <c r="AG1014" s="15" t="str">
        <f>IF(OR(AF1014="",AF1014="ERRO_CHAVE"),"",IFERROR(MATCH(AF1014,'quitado Despesa'!$V$1:$V$12,0),""))</f>
        <v/>
      </c>
      <c r="AH1014" s="15" t="str">
        <f t="shared" si="2"/>
        <v/>
      </c>
      <c r="AI1014" s="17" t="str">
        <f>IF(AG1014="","",INDEX('quitado Despesa'!$G$1:$G$12,AG1014))</f>
        <v/>
      </c>
      <c r="AJ1014" s="17" t="str">
        <f t="shared" si="3"/>
        <v/>
      </c>
    </row>
    <row r="1015" spans="31:36">
      <c r="AE1015" s="15" t="str">
        <f t="shared" si="0"/>
        <v/>
      </c>
      <c r="AF1015" s="15" t="str">
        <f t="shared" si="1"/>
        <v/>
      </c>
      <c r="AG1015" s="15" t="str">
        <f>IF(OR(AF1015="",AF1015="ERRO_CHAVE"),"",IFERROR(MATCH(AF1015,'quitado Despesa'!$V$1:$V$12,0),""))</f>
        <v/>
      </c>
      <c r="AH1015" s="15" t="str">
        <f t="shared" si="2"/>
        <v/>
      </c>
      <c r="AI1015" s="17" t="str">
        <f>IF(AG1015="","",INDEX('quitado Despesa'!$G$1:$G$12,AG1015))</f>
        <v/>
      </c>
      <c r="AJ1015" s="17" t="str">
        <f t="shared" si="3"/>
        <v/>
      </c>
    </row>
    <row r="1016" spans="31:36">
      <c r="AE1016" s="15" t="str">
        <f t="shared" si="0"/>
        <v/>
      </c>
      <c r="AF1016" s="15" t="str">
        <f t="shared" si="1"/>
        <v/>
      </c>
      <c r="AG1016" s="15" t="str">
        <f>IF(OR(AF1016="",AF1016="ERRO_CHAVE"),"",IFERROR(MATCH(AF1016,'quitado Despesa'!$V$1:$V$12,0),""))</f>
        <v/>
      </c>
      <c r="AH1016" s="15" t="str">
        <f t="shared" si="2"/>
        <v/>
      </c>
      <c r="AI1016" s="17" t="str">
        <f>IF(AG1016="","",INDEX('quitado Despesa'!$G$1:$G$12,AG1016))</f>
        <v/>
      </c>
      <c r="AJ1016" s="17" t="str">
        <f t="shared" si="3"/>
        <v/>
      </c>
    </row>
    <row r="1017" spans="31:36">
      <c r="AE1017" s="15" t="str">
        <f t="shared" si="0"/>
        <v/>
      </c>
      <c r="AF1017" s="15" t="str">
        <f t="shared" si="1"/>
        <v/>
      </c>
      <c r="AG1017" s="15" t="str">
        <f>IF(OR(AF1017="",AF1017="ERRO_CHAVE"),"",IFERROR(MATCH(AF1017,'quitado Despesa'!$V$1:$V$12,0),""))</f>
        <v/>
      </c>
      <c r="AH1017" s="15" t="str">
        <f t="shared" si="2"/>
        <v/>
      </c>
      <c r="AI1017" s="17" t="str">
        <f>IF(AG1017="","",INDEX('quitado Despesa'!$G$1:$G$12,AG1017))</f>
        <v/>
      </c>
      <c r="AJ1017" s="17" t="str">
        <f t="shared" si="3"/>
        <v/>
      </c>
    </row>
    <row r="1018" spans="31:36">
      <c r="AE1018" s="15" t="str">
        <f t="shared" si="0"/>
        <v/>
      </c>
      <c r="AF1018" s="15" t="str">
        <f t="shared" si="1"/>
        <v/>
      </c>
      <c r="AG1018" s="15" t="str">
        <f>IF(OR(AF1018="",AF1018="ERRO_CHAVE"),"",IFERROR(MATCH(AF1018,'quitado Despesa'!$V$1:$V$12,0),""))</f>
        <v/>
      </c>
      <c r="AH1018" s="15" t="str">
        <f t="shared" si="2"/>
        <v/>
      </c>
      <c r="AI1018" s="17" t="str">
        <f>IF(AG1018="","",INDEX('quitado Despesa'!$G$1:$G$12,AG1018))</f>
        <v/>
      </c>
      <c r="AJ1018" s="17" t="str">
        <f t="shared" si="3"/>
        <v/>
      </c>
    </row>
    <row r="1019" spans="31:36">
      <c r="AE1019" s="15" t="str">
        <f t="shared" si="0"/>
        <v/>
      </c>
      <c r="AF1019" s="15" t="str">
        <f t="shared" si="1"/>
        <v/>
      </c>
      <c r="AG1019" s="15" t="str">
        <f>IF(OR(AF1019="",AF1019="ERRO_CHAVE"),"",IFERROR(MATCH(AF1019,'quitado Despesa'!$V$1:$V$12,0),""))</f>
        <v/>
      </c>
      <c r="AH1019" s="15" t="str">
        <f t="shared" si="2"/>
        <v/>
      </c>
      <c r="AI1019" s="17" t="str">
        <f>IF(AG1019="","",INDEX('quitado Despesa'!$G$1:$G$12,AG1019))</f>
        <v/>
      </c>
      <c r="AJ1019" s="17" t="str">
        <f t="shared" si="3"/>
        <v/>
      </c>
    </row>
    <row r="1020" spans="31:36">
      <c r="AE1020" s="15" t="str">
        <f t="shared" si="0"/>
        <v/>
      </c>
      <c r="AF1020" s="15" t="str">
        <f t="shared" si="1"/>
        <v/>
      </c>
      <c r="AG1020" s="15" t="str">
        <f>IF(OR(AF1020="",AF1020="ERRO_CHAVE"),"",IFERROR(MATCH(AF1020,'quitado Despesa'!$V$1:$V$12,0),""))</f>
        <v/>
      </c>
      <c r="AH1020" s="15" t="str">
        <f t="shared" si="2"/>
        <v/>
      </c>
      <c r="AI1020" s="17" t="str">
        <f>IF(AG1020="","",INDEX('quitado Despesa'!$G$1:$G$12,AG1020))</f>
        <v/>
      </c>
      <c r="AJ1020" s="17" t="str">
        <f t="shared" si="3"/>
        <v/>
      </c>
    </row>
    <row r="1021" spans="31:36">
      <c r="AE1021" s="15" t="str">
        <f t="shared" si="0"/>
        <v/>
      </c>
      <c r="AF1021" s="15" t="str">
        <f t="shared" si="1"/>
        <v/>
      </c>
      <c r="AG1021" s="15" t="str">
        <f>IF(OR(AF1021="",AF1021="ERRO_CHAVE"),"",IFERROR(MATCH(AF1021,'quitado Despesa'!$V$1:$V$12,0),""))</f>
        <v/>
      </c>
      <c r="AH1021" s="15" t="str">
        <f t="shared" si="2"/>
        <v/>
      </c>
      <c r="AI1021" s="17" t="str">
        <f>IF(AG1021="","",INDEX('quitado Despesa'!$G$1:$G$12,AG1021))</f>
        <v/>
      </c>
      <c r="AJ1021" s="17" t="str">
        <f t="shared" si="3"/>
        <v/>
      </c>
    </row>
    <row r="1022" spans="31:36">
      <c r="AE1022" s="15" t="str">
        <f t="shared" si="0"/>
        <v/>
      </c>
      <c r="AF1022" s="15" t="str">
        <f t="shared" si="1"/>
        <v/>
      </c>
      <c r="AG1022" s="15" t="str">
        <f>IF(OR(AF1022="",AF1022="ERRO_CHAVE"),"",IFERROR(MATCH(AF1022,'quitado Despesa'!$V$1:$V$12,0),""))</f>
        <v/>
      </c>
      <c r="AH1022" s="15" t="str">
        <f t="shared" si="2"/>
        <v/>
      </c>
      <c r="AI1022" s="17" t="str">
        <f>IF(AG1022="","",INDEX('quitado Despesa'!$G$1:$G$12,AG1022))</f>
        <v/>
      </c>
      <c r="AJ1022" s="17" t="str">
        <f t="shared" si="3"/>
        <v/>
      </c>
    </row>
    <row r="1023" spans="31:36">
      <c r="AE1023" s="15" t="str">
        <f t="shared" si="0"/>
        <v/>
      </c>
      <c r="AF1023" s="15" t="str">
        <f t="shared" si="1"/>
        <v/>
      </c>
      <c r="AG1023" s="15" t="str">
        <f>IF(OR(AF1023="",AF1023="ERRO_CHAVE"),"",IFERROR(MATCH(AF1023,'quitado Despesa'!$V$1:$V$12,0),""))</f>
        <v/>
      </c>
      <c r="AH1023" s="15" t="str">
        <f t="shared" si="2"/>
        <v/>
      </c>
      <c r="AI1023" s="17" t="str">
        <f>IF(AG1023="","",INDEX('quitado Despesa'!$G$1:$G$12,AG1023))</f>
        <v/>
      </c>
      <c r="AJ1023" s="17" t="str">
        <f t="shared" si="3"/>
        <v/>
      </c>
    </row>
    <row r="1024" spans="31:36">
      <c r="AE1024" s="15" t="str">
        <f t="shared" si="0"/>
        <v/>
      </c>
      <c r="AF1024" s="15" t="str">
        <f t="shared" si="1"/>
        <v/>
      </c>
      <c r="AG1024" s="15" t="str">
        <f>IF(OR(AF1024="",AF1024="ERRO_CHAVE"),"",IFERROR(MATCH(AF1024,'quitado Despesa'!$V$1:$V$12,0),""))</f>
        <v/>
      </c>
      <c r="AH1024" s="15" t="str">
        <f t="shared" si="2"/>
        <v/>
      </c>
      <c r="AI1024" s="17" t="str">
        <f>IF(AG1024="","",INDEX('quitado Despesa'!$G$1:$G$12,AG1024))</f>
        <v/>
      </c>
      <c r="AJ1024" s="17" t="str">
        <f t="shared" si="3"/>
        <v/>
      </c>
    </row>
    <row r="1025" spans="31:36">
      <c r="AE1025" s="15" t="str">
        <f t="shared" si="0"/>
        <v/>
      </c>
      <c r="AF1025" s="15" t="str">
        <f t="shared" si="1"/>
        <v/>
      </c>
      <c r="AG1025" s="15" t="str">
        <f>IF(OR(AF1025="",AF1025="ERRO_CHAVE"),"",IFERROR(MATCH(AF1025,'quitado Despesa'!$V$1:$V$12,0),""))</f>
        <v/>
      </c>
      <c r="AH1025" s="15" t="str">
        <f t="shared" si="2"/>
        <v/>
      </c>
      <c r="AI1025" s="17" t="str">
        <f>IF(AG1025="","",INDEX('quitado Despesa'!$G$1:$G$12,AG1025))</f>
        <v/>
      </c>
      <c r="AJ1025" s="17" t="str">
        <f t="shared" si="3"/>
        <v/>
      </c>
    </row>
    <row r="1026" spans="31:36">
      <c r="AE1026" s="15" t="str">
        <f t="shared" si="0"/>
        <v/>
      </c>
      <c r="AF1026" s="15" t="str">
        <f t="shared" si="1"/>
        <v/>
      </c>
      <c r="AG1026" s="15" t="str">
        <f>IF(OR(AF1026="",AF1026="ERRO_CHAVE"),"",IFERROR(MATCH(AF1026,'quitado Despesa'!$V$1:$V$12,0),""))</f>
        <v/>
      </c>
      <c r="AH1026" s="15" t="str">
        <f t="shared" si="2"/>
        <v/>
      </c>
      <c r="AI1026" s="17" t="str">
        <f>IF(AG1026="","",INDEX('quitado Despesa'!$G$1:$G$12,AG1026))</f>
        <v/>
      </c>
      <c r="AJ1026" s="17" t="str">
        <f t="shared" si="3"/>
        <v/>
      </c>
    </row>
    <row r="1027" spans="31:36">
      <c r="AE1027" s="15" t="str">
        <f t="shared" si="0"/>
        <v/>
      </c>
      <c r="AF1027" s="15" t="str">
        <f t="shared" si="1"/>
        <v/>
      </c>
      <c r="AG1027" s="15" t="str">
        <f>IF(OR(AF1027="",AF1027="ERRO_CHAVE"),"",IFERROR(MATCH(AF1027,'quitado Despesa'!$V$1:$V$12,0),""))</f>
        <v/>
      </c>
      <c r="AH1027" s="15" t="str">
        <f t="shared" si="2"/>
        <v/>
      </c>
      <c r="AI1027" s="17" t="str">
        <f>IF(AG1027="","",INDEX('quitado Despesa'!$G$1:$G$12,AG1027))</f>
        <v/>
      </c>
      <c r="AJ1027" s="17" t="str">
        <f t="shared" si="3"/>
        <v/>
      </c>
    </row>
    <row r="1028" spans="31:36">
      <c r="AE1028" s="15" t="str">
        <f t="shared" si="0"/>
        <v/>
      </c>
      <c r="AF1028" s="15" t="str">
        <f t="shared" si="1"/>
        <v/>
      </c>
      <c r="AG1028" s="15" t="str">
        <f>IF(OR(AF1028="",AF1028="ERRO_CHAVE"),"",IFERROR(MATCH(AF1028,'quitado Despesa'!$V$1:$V$12,0),""))</f>
        <v/>
      </c>
      <c r="AH1028" s="15" t="str">
        <f t="shared" si="2"/>
        <v/>
      </c>
      <c r="AI1028" s="17" t="str">
        <f>IF(AG1028="","",INDEX('quitado Despesa'!$G$1:$G$12,AG1028))</f>
        <v/>
      </c>
      <c r="AJ1028" s="17" t="str">
        <f t="shared" si="3"/>
        <v/>
      </c>
    </row>
    <row r="1029" spans="31:36">
      <c r="AE1029" s="15" t="str">
        <f t="shared" si="0"/>
        <v/>
      </c>
      <c r="AF1029" s="15" t="str">
        <f t="shared" si="1"/>
        <v/>
      </c>
      <c r="AG1029" s="15" t="str">
        <f>IF(OR(AF1029="",AF1029="ERRO_CHAVE"),"",IFERROR(MATCH(AF1029,'quitado Despesa'!$V$1:$V$12,0),""))</f>
        <v/>
      </c>
      <c r="AH1029" s="15" t="str">
        <f t="shared" si="2"/>
        <v/>
      </c>
      <c r="AI1029" s="17" t="str">
        <f>IF(AG1029="","",INDEX('quitado Despesa'!$G$1:$G$12,AG1029))</f>
        <v/>
      </c>
      <c r="AJ1029" s="17" t="str">
        <f t="shared" si="3"/>
        <v/>
      </c>
    </row>
    <row r="1030" spans="31:36">
      <c r="AE1030" s="15" t="str">
        <f t="shared" si="0"/>
        <v/>
      </c>
      <c r="AF1030" s="15" t="str">
        <f t="shared" si="1"/>
        <v/>
      </c>
      <c r="AG1030" s="15" t="str">
        <f>IF(OR(AF1030="",AF1030="ERRO_CHAVE"),"",IFERROR(MATCH(AF1030,'quitado Despesa'!$V$1:$V$12,0),""))</f>
        <v/>
      </c>
      <c r="AH1030" s="15" t="str">
        <f t="shared" si="2"/>
        <v/>
      </c>
      <c r="AI1030" s="17" t="str">
        <f>IF(AG1030="","",INDEX('quitado Despesa'!$G$1:$G$12,AG1030))</f>
        <v/>
      </c>
      <c r="AJ1030" s="17" t="str">
        <f t="shared" si="3"/>
        <v/>
      </c>
    </row>
    <row r="1031" spans="31:36">
      <c r="AE1031" s="15" t="str">
        <f t="shared" si="0"/>
        <v/>
      </c>
      <c r="AF1031" s="15" t="str">
        <f t="shared" si="1"/>
        <v/>
      </c>
      <c r="AG1031" s="15" t="str">
        <f>IF(OR(AF1031="",AF1031="ERRO_CHAVE"),"",IFERROR(MATCH(AF1031,'quitado Despesa'!$V$1:$V$12,0),""))</f>
        <v/>
      </c>
      <c r="AH1031" s="15" t="str">
        <f t="shared" si="2"/>
        <v/>
      </c>
      <c r="AI1031" s="17" t="str">
        <f>IF(AG1031="","",INDEX('quitado Despesa'!$G$1:$G$12,AG1031))</f>
        <v/>
      </c>
      <c r="AJ1031" s="17" t="str">
        <f t="shared" si="3"/>
        <v/>
      </c>
    </row>
    <row r="1032" spans="31:36">
      <c r="AE1032" s="15" t="str">
        <f t="shared" si="0"/>
        <v/>
      </c>
      <c r="AF1032" s="15" t="str">
        <f t="shared" si="1"/>
        <v/>
      </c>
      <c r="AG1032" s="15" t="str">
        <f>IF(OR(AF1032="",AF1032="ERRO_CHAVE"),"",IFERROR(MATCH(AF1032,'quitado Despesa'!$V$1:$V$12,0),""))</f>
        <v/>
      </c>
      <c r="AH1032" s="15" t="str">
        <f t="shared" si="2"/>
        <v/>
      </c>
      <c r="AI1032" s="17" t="str">
        <f>IF(AG1032="","",INDEX('quitado Despesa'!$G$1:$G$12,AG1032))</f>
        <v/>
      </c>
      <c r="AJ1032" s="17" t="str">
        <f t="shared" si="3"/>
        <v/>
      </c>
    </row>
    <row r="1033" spans="31:36">
      <c r="AE1033" s="15" t="str">
        <f t="shared" si="0"/>
        <v/>
      </c>
      <c r="AF1033" s="15" t="str">
        <f t="shared" si="1"/>
        <v/>
      </c>
      <c r="AG1033" s="15" t="str">
        <f>IF(OR(AF1033="",AF1033="ERRO_CHAVE"),"",IFERROR(MATCH(AF1033,'quitado Despesa'!$V$1:$V$12,0),""))</f>
        <v/>
      </c>
      <c r="AH1033" s="15" t="str">
        <f t="shared" si="2"/>
        <v/>
      </c>
      <c r="AI1033" s="17" t="str">
        <f>IF(AG1033="","",INDEX('quitado Despesa'!$G$1:$G$12,AG1033))</f>
        <v/>
      </c>
      <c r="AJ1033" s="17" t="str">
        <f t="shared" si="3"/>
        <v/>
      </c>
    </row>
    <row r="1034" spans="31:36">
      <c r="AE1034" s="15" t="str">
        <f t="shared" si="0"/>
        <v/>
      </c>
      <c r="AF1034" s="15" t="str">
        <f t="shared" si="1"/>
        <v/>
      </c>
      <c r="AG1034" s="15" t="str">
        <f>IF(OR(AF1034="",AF1034="ERRO_CHAVE"),"",IFERROR(MATCH(AF1034,'quitado Despesa'!$V$1:$V$12,0),""))</f>
        <v/>
      </c>
      <c r="AH1034" s="15" t="str">
        <f t="shared" si="2"/>
        <v/>
      </c>
      <c r="AI1034" s="17" t="str">
        <f>IF(AG1034="","",INDEX('quitado Despesa'!$G$1:$G$12,AG1034))</f>
        <v/>
      </c>
      <c r="AJ1034" s="17" t="str">
        <f t="shared" si="3"/>
        <v/>
      </c>
    </row>
    <row r="1035" spans="31:36">
      <c r="AE1035" s="15" t="str">
        <f t="shared" si="0"/>
        <v/>
      </c>
      <c r="AF1035" s="15" t="str">
        <f t="shared" si="1"/>
        <v/>
      </c>
      <c r="AG1035" s="15" t="str">
        <f>IF(OR(AF1035="",AF1035="ERRO_CHAVE"),"",IFERROR(MATCH(AF1035,'quitado Despesa'!$V$1:$V$12,0),""))</f>
        <v/>
      </c>
      <c r="AH1035" s="15" t="str">
        <f t="shared" si="2"/>
        <v/>
      </c>
      <c r="AI1035" s="17" t="str">
        <f>IF(AG1035="","",INDEX('quitado Despesa'!$G$1:$G$12,AG1035))</f>
        <v/>
      </c>
      <c r="AJ1035" s="17" t="str">
        <f t="shared" si="3"/>
        <v/>
      </c>
    </row>
    <row r="1036" spans="31:36">
      <c r="AE1036" s="15" t="str">
        <f t="shared" si="0"/>
        <v/>
      </c>
      <c r="AF1036" s="15" t="str">
        <f t="shared" si="1"/>
        <v/>
      </c>
      <c r="AG1036" s="15" t="str">
        <f>IF(OR(AF1036="",AF1036="ERRO_CHAVE"),"",IFERROR(MATCH(AF1036,'quitado Despesa'!$V$1:$V$12,0),""))</f>
        <v/>
      </c>
      <c r="AH1036" s="15" t="str">
        <f t="shared" si="2"/>
        <v/>
      </c>
      <c r="AI1036" s="17" t="str">
        <f>IF(AG1036="","",INDEX('quitado Despesa'!$G$1:$G$12,AG1036))</f>
        <v/>
      </c>
      <c r="AJ1036" s="17" t="str">
        <f t="shared" si="3"/>
        <v/>
      </c>
    </row>
    <row r="1037" spans="31:36">
      <c r="AE1037" s="15" t="str">
        <f t="shared" si="0"/>
        <v/>
      </c>
      <c r="AF1037" s="15" t="str">
        <f t="shared" si="1"/>
        <v/>
      </c>
      <c r="AG1037" s="15" t="str">
        <f>IF(OR(AF1037="",AF1037="ERRO_CHAVE"),"",IFERROR(MATCH(AF1037,'quitado Despesa'!$V$1:$V$12,0),""))</f>
        <v/>
      </c>
      <c r="AH1037" s="15" t="str">
        <f t="shared" si="2"/>
        <v/>
      </c>
      <c r="AI1037" s="17" t="str">
        <f>IF(AG1037="","",INDEX('quitado Despesa'!$G$1:$G$12,AG1037))</f>
        <v/>
      </c>
      <c r="AJ1037" s="17" t="str">
        <f t="shared" si="3"/>
        <v/>
      </c>
    </row>
    <row r="1038" spans="31:36">
      <c r="AE1038" s="15" t="str">
        <f t="shared" si="0"/>
        <v/>
      </c>
      <c r="AF1038" s="15" t="str">
        <f t="shared" si="1"/>
        <v/>
      </c>
      <c r="AG1038" s="15" t="str">
        <f>IF(OR(AF1038="",AF1038="ERRO_CHAVE"),"",IFERROR(MATCH(AF1038,'quitado Despesa'!$V$1:$V$12,0),""))</f>
        <v/>
      </c>
      <c r="AH1038" s="15" t="str">
        <f t="shared" si="2"/>
        <v/>
      </c>
      <c r="AI1038" s="17" t="str">
        <f>IF(AG1038="","",INDEX('quitado Despesa'!$G$1:$G$12,AG1038))</f>
        <v/>
      </c>
      <c r="AJ1038" s="17" t="str">
        <f t="shared" si="3"/>
        <v/>
      </c>
    </row>
    <row r="1039" spans="31:36">
      <c r="AE1039" s="15" t="str">
        <f t="shared" si="0"/>
        <v/>
      </c>
      <c r="AF1039" s="15" t="str">
        <f t="shared" si="1"/>
        <v/>
      </c>
      <c r="AG1039" s="15" t="str">
        <f>IF(OR(AF1039="",AF1039="ERRO_CHAVE"),"",IFERROR(MATCH(AF1039,'quitado Despesa'!$V$1:$V$12,0),""))</f>
        <v/>
      </c>
      <c r="AH1039" s="15" t="str">
        <f t="shared" si="2"/>
        <v/>
      </c>
      <c r="AI1039" s="17" t="str">
        <f>IF(AG1039="","",INDEX('quitado Despesa'!$G$1:$G$12,AG1039))</f>
        <v/>
      </c>
      <c r="AJ1039" s="17" t="str">
        <f t="shared" si="3"/>
        <v/>
      </c>
    </row>
    <row r="1040" spans="31:36">
      <c r="AE1040" s="15" t="str">
        <f t="shared" si="0"/>
        <v/>
      </c>
      <c r="AF1040" s="15" t="str">
        <f t="shared" si="1"/>
        <v/>
      </c>
      <c r="AG1040" s="15" t="str">
        <f>IF(OR(AF1040="",AF1040="ERRO_CHAVE"),"",IFERROR(MATCH(AF1040,'quitado Despesa'!$V$1:$V$12,0),""))</f>
        <v/>
      </c>
      <c r="AH1040" s="15" t="str">
        <f t="shared" si="2"/>
        <v/>
      </c>
      <c r="AI1040" s="17" t="str">
        <f>IF(AG1040="","",INDEX('quitado Despesa'!$G$1:$G$12,AG1040))</f>
        <v/>
      </c>
      <c r="AJ1040" s="17" t="str">
        <f t="shared" si="3"/>
        <v/>
      </c>
    </row>
    <row r="1041" spans="31:36">
      <c r="AE1041" s="15" t="str">
        <f t="shared" si="0"/>
        <v/>
      </c>
      <c r="AF1041" s="15" t="str">
        <f t="shared" si="1"/>
        <v/>
      </c>
      <c r="AG1041" s="15" t="str">
        <f>IF(OR(AF1041="",AF1041="ERRO_CHAVE"),"",IFERROR(MATCH(AF1041,'quitado Despesa'!$V$1:$V$12,0),""))</f>
        <v/>
      </c>
      <c r="AH1041" s="15" t="str">
        <f t="shared" si="2"/>
        <v/>
      </c>
      <c r="AI1041" s="17" t="str">
        <f>IF(AG1041="","",INDEX('quitado Despesa'!$G$1:$G$12,AG1041))</f>
        <v/>
      </c>
      <c r="AJ1041" s="17" t="str">
        <f t="shared" si="3"/>
        <v/>
      </c>
    </row>
    <row r="1042" spans="31:36">
      <c r="AE1042" s="15" t="str">
        <f t="shared" si="0"/>
        <v/>
      </c>
      <c r="AF1042" s="15" t="str">
        <f t="shared" si="1"/>
        <v/>
      </c>
      <c r="AG1042" s="15" t="str">
        <f>IF(OR(AF1042="",AF1042="ERRO_CHAVE"),"",IFERROR(MATCH(AF1042,'quitado Despesa'!$V$1:$V$12,0),""))</f>
        <v/>
      </c>
      <c r="AH1042" s="15" t="str">
        <f t="shared" si="2"/>
        <v/>
      </c>
      <c r="AI1042" s="17" t="str">
        <f>IF(AG1042="","",INDEX('quitado Despesa'!$G$1:$G$12,AG1042))</f>
        <v/>
      </c>
      <c r="AJ1042" s="17" t="str">
        <f t="shared" si="3"/>
        <v/>
      </c>
    </row>
    <row r="1043" spans="31:36">
      <c r="AE1043" s="15" t="str">
        <f t="shared" si="0"/>
        <v/>
      </c>
      <c r="AF1043" s="15" t="str">
        <f t="shared" si="1"/>
        <v/>
      </c>
      <c r="AG1043" s="15" t="str">
        <f>IF(OR(AF1043="",AF1043="ERRO_CHAVE"),"",IFERROR(MATCH(AF1043,'quitado Despesa'!$V$1:$V$12,0),""))</f>
        <v/>
      </c>
      <c r="AH1043" s="15" t="str">
        <f t="shared" si="2"/>
        <v/>
      </c>
      <c r="AI1043" s="17" t="str">
        <f>IF(AG1043="","",INDEX('quitado Despesa'!$G$1:$G$12,AG1043))</f>
        <v/>
      </c>
      <c r="AJ1043" s="17" t="str">
        <f t="shared" si="3"/>
        <v/>
      </c>
    </row>
    <row r="1044" spans="31:36">
      <c r="AE1044" s="15" t="str">
        <f t="shared" si="0"/>
        <v/>
      </c>
      <c r="AF1044" s="15" t="str">
        <f t="shared" si="1"/>
        <v/>
      </c>
      <c r="AG1044" s="15" t="str">
        <f>IF(OR(AF1044="",AF1044="ERRO_CHAVE"),"",IFERROR(MATCH(AF1044,'quitado Despesa'!$V$1:$V$12,0),""))</f>
        <v/>
      </c>
      <c r="AH1044" s="15" t="str">
        <f t="shared" si="2"/>
        <v/>
      </c>
      <c r="AI1044" s="17" t="str">
        <f>IF(AG1044="","",INDEX('quitado Despesa'!$G$1:$G$12,AG1044))</f>
        <v/>
      </c>
      <c r="AJ1044" s="17" t="str">
        <f t="shared" si="3"/>
        <v/>
      </c>
    </row>
    <row r="1045" spans="31:36">
      <c r="AE1045" s="15" t="str">
        <f t="shared" si="0"/>
        <v/>
      </c>
      <c r="AF1045" s="15" t="str">
        <f t="shared" si="1"/>
        <v/>
      </c>
      <c r="AG1045" s="15" t="str">
        <f>IF(OR(AF1045="",AF1045="ERRO_CHAVE"),"",IFERROR(MATCH(AF1045,'quitado Despesa'!$V$1:$V$12,0),""))</f>
        <v/>
      </c>
      <c r="AH1045" s="15" t="str">
        <f t="shared" si="2"/>
        <v/>
      </c>
      <c r="AI1045" s="17" t="str">
        <f>IF(AG1045="","",INDEX('quitado Despesa'!$G$1:$G$12,AG1045))</f>
        <v/>
      </c>
      <c r="AJ1045" s="17" t="str">
        <f t="shared" si="3"/>
        <v/>
      </c>
    </row>
    <row r="1046" spans="31:36">
      <c r="AE1046" s="15" t="str">
        <f t="shared" si="0"/>
        <v/>
      </c>
      <c r="AF1046" s="15" t="str">
        <f t="shared" si="1"/>
        <v/>
      </c>
      <c r="AG1046" s="15" t="str">
        <f>IF(OR(AF1046="",AF1046="ERRO_CHAVE"),"",IFERROR(MATCH(AF1046,'quitado Despesa'!$V$1:$V$12,0),""))</f>
        <v/>
      </c>
      <c r="AH1046" s="15" t="str">
        <f t="shared" si="2"/>
        <v/>
      </c>
      <c r="AI1046" s="17" t="str">
        <f>IF(AG1046="","",INDEX('quitado Despesa'!$G$1:$G$12,AG1046))</f>
        <v/>
      </c>
      <c r="AJ1046" s="17" t="str">
        <f t="shared" si="3"/>
        <v/>
      </c>
    </row>
    <row r="1047" spans="31:36">
      <c r="AE1047" s="15" t="str">
        <f t="shared" si="0"/>
        <v/>
      </c>
      <c r="AF1047" s="15" t="str">
        <f t="shared" si="1"/>
        <v/>
      </c>
      <c r="AG1047" s="15" t="str">
        <f>IF(OR(AF1047="",AF1047="ERRO_CHAVE"),"",IFERROR(MATCH(AF1047,'quitado Despesa'!$V$1:$V$12,0),""))</f>
        <v/>
      </c>
      <c r="AH1047" s="15" t="str">
        <f t="shared" si="2"/>
        <v/>
      </c>
      <c r="AI1047" s="17" t="str">
        <f>IF(AG1047="","",INDEX('quitado Despesa'!$G$1:$G$12,AG1047))</f>
        <v/>
      </c>
      <c r="AJ1047" s="17" t="str">
        <f t="shared" si="3"/>
        <v/>
      </c>
    </row>
    <row r="1048" spans="31:36">
      <c r="AE1048" s="15" t="str">
        <f t="shared" si="0"/>
        <v/>
      </c>
      <c r="AF1048" s="15" t="str">
        <f t="shared" si="1"/>
        <v/>
      </c>
      <c r="AG1048" s="15" t="str">
        <f>IF(OR(AF1048="",AF1048="ERRO_CHAVE"),"",IFERROR(MATCH(AF1048,'quitado Despesa'!$V$1:$V$12,0),""))</f>
        <v/>
      </c>
      <c r="AH1048" s="15" t="str">
        <f t="shared" si="2"/>
        <v/>
      </c>
      <c r="AI1048" s="17" t="str">
        <f>IF(AG1048="","",INDEX('quitado Despesa'!$G$1:$G$12,AG1048))</f>
        <v/>
      </c>
      <c r="AJ1048" s="17" t="str">
        <f t="shared" si="3"/>
        <v/>
      </c>
    </row>
    <row r="1049" spans="31:36">
      <c r="AE1049" s="15" t="str">
        <f t="shared" si="0"/>
        <v/>
      </c>
      <c r="AF1049" s="15" t="str">
        <f t="shared" si="1"/>
        <v/>
      </c>
      <c r="AG1049" s="15" t="str">
        <f>IF(OR(AF1049="",AF1049="ERRO_CHAVE"),"",IFERROR(MATCH(AF1049,'quitado Despesa'!$V$1:$V$12,0),""))</f>
        <v/>
      </c>
      <c r="AH1049" s="15" t="str">
        <f t="shared" si="2"/>
        <v/>
      </c>
      <c r="AI1049" s="17" t="str">
        <f>IF(AG1049="","",INDEX('quitado Despesa'!$G$1:$G$12,AG1049))</f>
        <v/>
      </c>
      <c r="AJ1049" s="17" t="str">
        <f t="shared" si="3"/>
        <v/>
      </c>
    </row>
    <row r="1050" spans="31:36">
      <c r="AE1050" s="15" t="str">
        <f t="shared" si="0"/>
        <v/>
      </c>
      <c r="AF1050" s="15" t="str">
        <f t="shared" si="1"/>
        <v/>
      </c>
      <c r="AG1050" s="15" t="str">
        <f>IF(OR(AF1050="",AF1050="ERRO_CHAVE"),"",IFERROR(MATCH(AF1050,'quitado Despesa'!$V$1:$V$12,0),""))</f>
        <v/>
      </c>
      <c r="AH1050" s="15" t="str">
        <f t="shared" si="2"/>
        <v/>
      </c>
      <c r="AI1050" s="17" t="str">
        <f>IF(AG1050="","",INDEX('quitado Despesa'!$G$1:$G$12,AG1050))</f>
        <v/>
      </c>
      <c r="AJ1050" s="17" t="str">
        <f t="shared" si="3"/>
        <v/>
      </c>
    </row>
    <row r="1051" spans="31:36">
      <c r="AE1051" s="15" t="str">
        <f t="shared" si="0"/>
        <v/>
      </c>
      <c r="AF1051" s="15" t="str">
        <f t="shared" si="1"/>
        <v/>
      </c>
      <c r="AG1051" s="15" t="str">
        <f>IF(OR(AF1051="",AF1051="ERRO_CHAVE"),"",IFERROR(MATCH(AF1051,'quitado Despesa'!$V$1:$V$12,0),""))</f>
        <v/>
      </c>
      <c r="AH1051" s="15" t="str">
        <f t="shared" si="2"/>
        <v/>
      </c>
      <c r="AI1051" s="17" t="str">
        <f>IF(AG1051="","",INDEX('quitado Despesa'!$G$1:$G$12,AG1051))</f>
        <v/>
      </c>
      <c r="AJ1051" s="17" t="str">
        <f t="shared" si="3"/>
        <v/>
      </c>
    </row>
    <row r="1052" spans="31:36">
      <c r="AE1052" s="15" t="str">
        <f t="shared" si="0"/>
        <v/>
      </c>
      <c r="AF1052" s="15" t="str">
        <f t="shared" si="1"/>
        <v/>
      </c>
      <c r="AG1052" s="15" t="str">
        <f>IF(OR(AF1052="",AF1052="ERRO_CHAVE"),"",IFERROR(MATCH(AF1052,'quitado Despesa'!$V$1:$V$12,0),""))</f>
        <v/>
      </c>
      <c r="AH1052" s="15" t="str">
        <f t="shared" si="2"/>
        <v/>
      </c>
      <c r="AI1052" s="17" t="str">
        <f>IF(AG1052="","",INDEX('quitado Despesa'!$G$1:$G$12,AG1052))</f>
        <v/>
      </c>
      <c r="AJ1052" s="17" t="str">
        <f t="shared" si="3"/>
        <v/>
      </c>
    </row>
    <row r="1053" spans="31:36">
      <c r="AE1053" s="15" t="str">
        <f t="shared" si="0"/>
        <v/>
      </c>
      <c r="AF1053" s="15" t="str">
        <f t="shared" si="1"/>
        <v/>
      </c>
      <c r="AG1053" s="15" t="str">
        <f>IF(OR(AF1053="",AF1053="ERRO_CHAVE"),"",IFERROR(MATCH(AF1053,'quitado Despesa'!$V$1:$V$12,0),""))</f>
        <v/>
      </c>
      <c r="AH1053" s="15" t="str">
        <f t="shared" si="2"/>
        <v/>
      </c>
      <c r="AI1053" s="17" t="str">
        <f>IF(AG1053="","",INDEX('quitado Despesa'!$G$1:$G$12,AG1053))</f>
        <v/>
      </c>
      <c r="AJ1053" s="17" t="str">
        <f t="shared" si="3"/>
        <v/>
      </c>
    </row>
    <row r="1054" spans="31:36">
      <c r="AE1054" s="15" t="str">
        <f t="shared" si="0"/>
        <v/>
      </c>
      <c r="AF1054" s="15" t="str">
        <f t="shared" si="1"/>
        <v/>
      </c>
      <c r="AG1054" s="15" t="str">
        <f>IF(OR(AF1054="",AF1054="ERRO_CHAVE"),"",IFERROR(MATCH(AF1054,'quitado Despesa'!$V$1:$V$12,0),""))</f>
        <v/>
      </c>
      <c r="AH1054" s="15" t="str">
        <f t="shared" si="2"/>
        <v/>
      </c>
      <c r="AI1054" s="17" t="str">
        <f>IF(AG1054="","",INDEX('quitado Despesa'!$G$1:$G$12,AG1054))</f>
        <v/>
      </c>
      <c r="AJ1054" s="17" t="str">
        <f t="shared" si="3"/>
        <v/>
      </c>
    </row>
    <row r="1055" spans="31:36">
      <c r="AE1055" s="15" t="str">
        <f t="shared" si="0"/>
        <v/>
      </c>
      <c r="AF1055" s="15" t="str">
        <f t="shared" si="1"/>
        <v/>
      </c>
      <c r="AG1055" s="15" t="str">
        <f>IF(OR(AF1055="",AF1055="ERRO_CHAVE"),"",IFERROR(MATCH(AF1055,'quitado Despesa'!$V$1:$V$12,0),""))</f>
        <v/>
      </c>
      <c r="AH1055" s="15" t="str">
        <f t="shared" si="2"/>
        <v/>
      </c>
      <c r="AI1055" s="17" t="str">
        <f>IF(AG1055="","",INDEX('quitado Despesa'!$G$1:$G$12,AG1055))</f>
        <v/>
      </c>
      <c r="AJ1055" s="17" t="str">
        <f t="shared" si="3"/>
        <v/>
      </c>
    </row>
    <row r="1056" spans="31:36">
      <c r="AE1056" s="15" t="str">
        <f t="shared" si="0"/>
        <v/>
      </c>
      <c r="AF1056" s="15" t="str">
        <f t="shared" si="1"/>
        <v/>
      </c>
      <c r="AG1056" s="15" t="str">
        <f>IF(OR(AF1056="",AF1056="ERRO_CHAVE"),"",IFERROR(MATCH(AF1056,'quitado Despesa'!$V$1:$V$12,0),""))</f>
        <v/>
      </c>
      <c r="AH1056" s="15" t="str">
        <f t="shared" si="2"/>
        <v/>
      </c>
      <c r="AI1056" s="17" t="str">
        <f>IF(AG1056="","",INDEX('quitado Despesa'!$G$1:$G$12,AG1056))</f>
        <v/>
      </c>
      <c r="AJ1056" s="17" t="str">
        <f t="shared" si="3"/>
        <v/>
      </c>
    </row>
    <row r="1057" spans="31:36">
      <c r="AE1057" s="15" t="str">
        <f t="shared" si="0"/>
        <v/>
      </c>
      <c r="AF1057" s="15" t="str">
        <f t="shared" si="1"/>
        <v/>
      </c>
      <c r="AG1057" s="15" t="str">
        <f>IF(OR(AF1057="",AF1057="ERRO_CHAVE"),"",IFERROR(MATCH(AF1057,'quitado Despesa'!$V$1:$V$12,0),""))</f>
        <v/>
      </c>
      <c r="AH1057" s="15" t="str">
        <f t="shared" si="2"/>
        <v/>
      </c>
      <c r="AI1057" s="17" t="str">
        <f>IF(AG1057="","",INDEX('quitado Despesa'!$G$1:$G$12,AG1057))</f>
        <v/>
      </c>
      <c r="AJ1057" s="17" t="str">
        <f t="shared" si="3"/>
        <v/>
      </c>
    </row>
    <row r="1058" spans="31:36">
      <c r="AE1058" s="15" t="str">
        <f t="shared" si="0"/>
        <v/>
      </c>
      <c r="AF1058" s="15" t="str">
        <f t="shared" si="1"/>
        <v/>
      </c>
      <c r="AG1058" s="15" t="str">
        <f>IF(OR(AF1058="",AF1058="ERRO_CHAVE"),"",IFERROR(MATCH(AF1058,'quitado Despesa'!$V$1:$V$12,0),""))</f>
        <v/>
      </c>
      <c r="AH1058" s="15" t="str">
        <f t="shared" si="2"/>
        <v/>
      </c>
      <c r="AI1058" s="17" t="str">
        <f>IF(AG1058="","",INDEX('quitado Despesa'!$G$1:$G$12,AG1058))</f>
        <v/>
      </c>
      <c r="AJ1058" s="17" t="str">
        <f t="shared" si="3"/>
        <v/>
      </c>
    </row>
    <row r="1059" spans="31:36">
      <c r="AE1059" s="15" t="str">
        <f t="shared" si="0"/>
        <v/>
      </c>
      <c r="AF1059" s="15" t="str">
        <f t="shared" si="1"/>
        <v/>
      </c>
      <c r="AG1059" s="15" t="str">
        <f>IF(OR(AF1059="",AF1059="ERRO_CHAVE"),"",IFERROR(MATCH(AF1059,'quitado Despesa'!$V$1:$V$12,0),""))</f>
        <v/>
      </c>
      <c r="AH1059" s="15" t="str">
        <f t="shared" si="2"/>
        <v/>
      </c>
      <c r="AI1059" s="17" t="str">
        <f>IF(AG1059="","",INDEX('quitado Despesa'!$G$1:$G$12,AG1059))</f>
        <v/>
      </c>
      <c r="AJ1059" s="17" t="str">
        <f t="shared" si="3"/>
        <v/>
      </c>
    </row>
    <row r="1060" spans="31:36">
      <c r="AE1060" s="15" t="str">
        <f t="shared" si="0"/>
        <v/>
      </c>
      <c r="AF1060" s="15" t="str">
        <f t="shared" si="1"/>
        <v/>
      </c>
      <c r="AG1060" s="15" t="str">
        <f>IF(OR(AF1060="",AF1060="ERRO_CHAVE"),"",IFERROR(MATCH(AF1060,'quitado Despesa'!$V$1:$V$12,0),""))</f>
        <v/>
      </c>
      <c r="AH1060" s="15" t="str">
        <f t="shared" si="2"/>
        <v/>
      </c>
      <c r="AI1060" s="17" t="str">
        <f>IF(AG1060="","",INDEX('quitado Despesa'!$G$1:$G$12,AG1060))</f>
        <v/>
      </c>
      <c r="AJ1060" s="17" t="str">
        <f t="shared" si="3"/>
        <v/>
      </c>
    </row>
    <row r="1061" spans="31:36">
      <c r="AE1061" s="15" t="str">
        <f t="shared" si="0"/>
        <v/>
      </c>
      <c r="AF1061" s="15" t="str">
        <f t="shared" si="1"/>
        <v/>
      </c>
      <c r="AG1061" s="15" t="str">
        <f>IF(OR(AF1061="",AF1061="ERRO_CHAVE"),"",IFERROR(MATCH(AF1061,'quitado Despesa'!$V$1:$V$12,0),""))</f>
        <v/>
      </c>
      <c r="AH1061" s="15" t="str">
        <f t="shared" si="2"/>
        <v/>
      </c>
      <c r="AI1061" s="17" t="str">
        <f>IF(AG1061="","",INDEX('quitado Despesa'!$G$1:$G$12,AG1061))</f>
        <v/>
      </c>
      <c r="AJ1061" s="17" t="str">
        <f t="shared" si="3"/>
        <v/>
      </c>
    </row>
    <row r="1062" spans="31:36">
      <c r="AE1062" s="15" t="str">
        <f t="shared" si="0"/>
        <v/>
      </c>
      <c r="AF1062" s="15" t="str">
        <f t="shared" si="1"/>
        <v/>
      </c>
      <c r="AG1062" s="15" t="str">
        <f>IF(OR(AF1062="",AF1062="ERRO_CHAVE"),"",IFERROR(MATCH(AF1062,'quitado Despesa'!$V$1:$V$12,0),""))</f>
        <v/>
      </c>
      <c r="AH1062" s="15" t="str">
        <f t="shared" si="2"/>
        <v/>
      </c>
      <c r="AI1062" s="17" t="str">
        <f>IF(AG1062="","",INDEX('quitado Despesa'!$G$1:$G$12,AG1062))</f>
        <v/>
      </c>
      <c r="AJ1062" s="17" t="str">
        <f t="shared" si="3"/>
        <v/>
      </c>
    </row>
    <row r="1063" spans="31:36">
      <c r="AE1063" s="15" t="str">
        <f t="shared" si="0"/>
        <v/>
      </c>
      <c r="AF1063" s="15" t="str">
        <f t="shared" si="1"/>
        <v/>
      </c>
      <c r="AG1063" s="15" t="str">
        <f>IF(OR(AF1063="",AF1063="ERRO_CHAVE"),"",IFERROR(MATCH(AF1063,'quitado Despesa'!$V$1:$V$12,0),""))</f>
        <v/>
      </c>
      <c r="AH1063" s="15" t="str">
        <f t="shared" si="2"/>
        <v/>
      </c>
      <c r="AI1063" s="17" t="str">
        <f>IF(AG1063="","",INDEX('quitado Despesa'!$G$1:$G$12,AG1063))</f>
        <v/>
      </c>
      <c r="AJ1063" s="17" t="str">
        <f t="shared" si="3"/>
        <v/>
      </c>
    </row>
    <row r="1064" spans="31:36">
      <c r="AE1064" s="15" t="str">
        <f t="shared" si="0"/>
        <v/>
      </c>
      <c r="AF1064" s="15" t="str">
        <f t="shared" si="1"/>
        <v/>
      </c>
      <c r="AG1064" s="15" t="str">
        <f>IF(OR(AF1064="",AF1064="ERRO_CHAVE"),"",IFERROR(MATCH(AF1064,'quitado Despesa'!$V$1:$V$12,0),""))</f>
        <v/>
      </c>
      <c r="AH1064" s="15" t="str">
        <f t="shared" si="2"/>
        <v/>
      </c>
      <c r="AI1064" s="17" t="str">
        <f>IF(AG1064="","",INDEX('quitado Despesa'!$G$1:$G$12,AG1064))</f>
        <v/>
      </c>
      <c r="AJ1064" s="17" t="str">
        <f t="shared" si="3"/>
        <v/>
      </c>
    </row>
    <row r="1065" spans="31:36">
      <c r="AE1065" s="15" t="str">
        <f t="shared" si="0"/>
        <v/>
      </c>
      <c r="AF1065" s="15" t="str">
        <f t="shared" si="1"/>
        <v/>
      </c>
      <c r="AG1065" s="15" t="str">
        <f>IF(OR(AF1065="",AF1065="ERRO_CHAVE"),"",IFERROR(MATCH(AF1065,'quitado Despesa'!$V$1:$V$12,0),""))</f>
        <v/>
      </c>
      <c r="AH1065" s="15" t="str">
        <f t="shared" si="2"/>
        <v/>
      </c>
      <c r="AI1065" s="17" t="str">
        <f>IF(AG1065="","",INDEX('quitado Despesa'!$G$1:$G$12,AG1065))</f>
        <v/>
      </c>
      <c r="AJ1065" s="17" t="str">
        <f t="shared" si="3"/>
        <v/>
      </c>
    </row>
    <row r="1066" spans="31:36">
      <c r="AE1066" s="15" t="str">
        <f t="shared" si="0"/>
        <v/>
      </c>
      <c r="AF1066" s="15" t="str">
        <f t="shared" si="1"/>
        <v/>
      </c>
      <c r="AG1066" s="15" t="str">
        <f>IF(OR(AF1066="",AF1066="ERRO_CHAVE"),"",IFERROR(MATCH(AF1066,'quitado Despesa'!$V$1:$V$12,0),""))</f>
        <v/>
      </c>
      <c r="AH1066" s="15" t="str">
        <f t="shared" si="2"/>
        <v/>
      </c>
      <c r="AI1066" s="17" t="str">
        <f>IF(AG1066="","",INDEX('quitado Despesa'!$G$1:$G$12,AG1066))</f>
        <v/>
      </c>
      <c r="AJ1066" s="17" t="str">
        <f t="shared" si="3"/>
        <v/>
      </c>
    </row>
    <row r="1067" spans="31:36">
      <c r="AE1067" s="15" t="str">
        <f t="shared" si="0"/>
        <v/>
      </c>
      <c r="AF1067" s="15" t="str">
        <f t="shared" si="1"/>
        <v/>
      </c>
      <c r="AG1067" s="15" t="str">
        <f>IF(OR(AF1067="",AF1067="ERRO_CHAVE"),"",IFERROR(MATCH(AF1067,'quitado Despesa'!$V$1:$V$12,0),""))</f>
        <v/>
      </c>
      <c r="AH1067" s="15" t="str">
        <f t="shared" si="2"/>
        <v/>
      </c>
      <c r="AI1067" s="17" t="str">
        <f>IF(AG1067="","",INDEX('quitado Despesa'!$G$1:$G$12,AG1067))</f>
        <v/>
      </c>
      <c r="AJ1067" s="17" t="str">
        <f t="shared" si="3"/>
        <v/>
      </c>
    </row>
    <row r="1068" spans="31:36">
      <c r="AE1068" s="15" t="str">
        <f t="shared" si="0"/>
        <v/>
      </c>
      <c r="AF1068" s="15" t="str">
        <f t="shared" si="1"/>
        <v/>
      </c>
      <c r="AG1068" s="15" t="str">
        <f>IF(OR(AF1068="",AF1068="ERRO_CHAVE"),"",IFERROR(MATCH(AF1068,'quitado Despesa'!$V$1:$V$12,0),""))</f>
        <v/>
      </c>
      <c r="AH1068" s="15" t="str">
        <f t="shared" si="2"/>
        <v/>
      </c>
      <c r="AI1068" s="17" t="str">
        <f>IF(AG1068="","",INDEX('quitado Despesa'!$G$1:$G$12,AG1068))</f>
        <v/>
      </c>
      <c r="AJ1068" s="17" t="str">
        <f t="shared" si="3"/>
        <v/>
      </c>
    </row>
    <row r="1069" spans="31:36">
      <c r="AE1069" s="15" t="str">
        <f t="shared" si="0"/>
        <v/>
      </c>
      <c r="AF1069" s="15" t="str">
        <f t="shared" si="1"/>
        <v/>
      </c>
      <c r="AG1069" s="15" t="str">
        <f>IF(OR(AF1069="",AF1069="ERRO_CHAVE"),"",IFERROR(MATCH(AF1069,'quitado Despesa'!$V$1:$V$12,0),""))</f>
        <v/>
      </c>
      <c r="AH1069" s="15" t="str">
        <f t="shared" si="2"/>
        <v/>
      </c>
      <c r="AI1069" s="17" t="str">
        <f>IF(AG1069="","",INDEX('quitado Despesa'!$G$1:$G$12,AG1069))</f>
        <v/>
      </c>
      <c r="AJ1069" s="17" t="str">
        <f t="shared" si="3"/>
        <v/>
      </c>
    </row>
    <row r="1070" spans="31:36">
      <c r="AE1070" s="15" t="str">
        <f t="shared" si="0"/>
        <v/>
      </c>
      <c r="AF1070" s="15" t="str">
        <f t="shared" si="1"/>
        <v/>
      </c>
      <c r="AG1070" s="15" t="str">
        <f>IF(OR(AF1070="",AF1070="ERRO_CHAVE"),"",IFERROR(MATCH(AF1070,'quitado Despesa'!$V$1:$V$12,0),""))</f>
        <v/>
      </c>
      <c r="AH1070" s="15" t="str">
        <f t="shared" si="2"/>
        <v/>
      </c>
      <c r="AI1070" s="17" t="str">
        <f>IF(AG1070="","",INDEX('quitado Despesa'!$G$1:$G$12,AG1070))</f>
        <v/>
      </c>
      <c r="AJ1070" s="17" t="str">
        <f t="shared" si="3"/>
        <v/>
      </c>
    </row>
    <row r="1071" spans="31:36">
      <c r="AE1071" s="15" t="str">
        <f t="shared" si="0"/>
        <v/>
      </c>
      <c r="AF1071" s="15" t="str">
        <f t="shared" si="1"/>
        <v/>
      </c>
      <c r="AG1071" s="15" t="str">
        <f>IF(OR(AF1071="",AF1071="ERRO_CHAVE"),"",IFERROR(MATCH(AF1071,'quitado Despesa'!$V$1:$V$12,0),""))</f>
        <v/>
      </c>
      <c r="AH1071" s="15" t="str">
        <f t="shared" si="2"/>
        <v/>
      </c>
      <c r="AI1071" s="17" t="str">
        <f>IF(AG1071="","",INDEX('quitado Despesa'!$G$1:$G$12,AG1071))</f>
        <v/>
      </c>
      <c r="AJ1071" s="17" t="str">
        <f t="shared" si="3"/>
        <v/>
      </c>
    </row>
    <row r="1072" spans="31:36">
      <c r="AE1072" s="15" t="str">
        <f t="shared" si="0"/>
        <v/>
      </c>
      <c r="AF1072" s="15" t="str">
        <f t="shared" si="1"/>
        <v/>
      </c>
      <c r="AG1072" s="15" t="str">
        <f>IF(OR(AF1072="",AF1072="ERRO_CHAVE"),"",IFERROR(MATCH(AF1072,'quitado Despesa'!$V$1:$V$12,0),""))</f>
        <v/>
      </c>
      <c r="AH1072" s="15" t="str">
        <f t="shared" si="2"/>
        <v/>
      </c>
      <c r="AI1072" s="17" t="str">
        <f>IF(AG1072="","",INDEX('quitado Despesa'!$G$1:$G$12,AG1072))</f>
        <v/>
      </c>
      <c r="AJ1072" s="17" t="str">
        <f t="shared" si="3"/>
        <v/>
      </c>
    </row>
    <row r="1073" spans="31:36">
      <c r="AE1073" s="15" t="str">
        <f t="shared" si="0"/>
        <v/>
      </c>
      <c r="AF1073" s="15" t="str">
        <f t="shared" si="1"/>
        <v/>
      </c>
      <c r="AG1073" s="15" t="str">
        <f>IF(OR(AF1073="",AF1073="ERRO_CHAVE"),"",IFERROR(MATCH(AF1073,'quitado Despesa'!$V$1:$V$12,0),""))</f>
        <v/>
      </c>
      <c r="AH1073" s="15" t="str">
        <f t="shared" si="2"/>
        <v/>
      </c>
      <c r="AI1073" s="17" t="str">
        <f>IF(AG1073="","",INDEX('quitado Despesa'!$G$1:$G$12,AG1073))</f>
        <v/>
      </c>
      <c r="AJ1073" s="17" t="str">
        <f t="shared" si="3"/>
        <v/>
      </c>
    </row>
    <row r="1074" spans="31:36">
      <c r="AE1074" s="15" t="str">
        <f t="shared" si="0"/>
        <v/>
      </c>
      <c r="AF1074" s="15" t="str">
        <f t="shared" si="1"/>
        <v/>
      </c>
      <c r="AG1074" s="15" t="str">
        <f>IF(OR(AF1074="",AF1074="ERRO_CHAVE"),"",IFERROR(MATCH(AF1074,'quitado Despesa'!$V$1:$V$12,0),""))</f>
        <v/>
      </c>
      <c r="AH1074" s="15" t="str">
        <f t="shared" si="2"/>
        <v/>
      </c>
      <c r="AI1074" s="17" t="str">
        <f>IF(AG1074="","",INDEX('quitado Despesa'!$G$1:$G$12,AG1074))</f>
        <v/>
      </c>
      <c r="AJ1074" s="17" t="str">
        <f t="shared" si="3"/>
        <v/>
      </c>
    </row>
    <row r="1075" spans="31:36">
      <c r="AE1075" s="15" t="str">
        <f t="shared" si="0"/>
        <v/>
      </c>
      <c r="AF1075" s="15" t="str">
        <f t="shared" si="1"/>
        <v/>
      </c>
      <c r="AG1075" s="15" t="str">
        <f>IF(OR(AF1075="",AF1075="ERRO_CHAVE"),"",IFERROR(MATCH(AF1075,'quitado Despesa'!$V$1:$V$12,0),""))</f>
        <v/>
      </c>
      <c r="AH1075" s="15" t="str">
        <f t="shared" si="2"/>
        <v/>
      </c>
      <c r="AI1075" s="17" t="str">
        <f>IF(AG1075="","",INDEX('quitado Despesa'!$G$1:$G$12,AG1075))</f>
        <v/>
      </c>
      <c r="AJ1075" s="17" t="str">
        <f t="shared" si="3"/>
        <v/>
      </c>
    </row>
    <row r="1076" spans="31:36">
      <c r="AE1076" s="15" t="str">
        <f t="shared" si="0"/>
        <v/>
      </c>
      <c r="AF1076" s="15" t="str">
        <f t="shared" si="1"/>
        <v/>
      </c>
      <c r="AG1076" s="15" t="str">
        <f>IF(OR(AF1076="",AF1076="ERRO_CHAVE"),"",IFERROR(MATCH(AF1076,'quitado Despesa'!$V$1:$V$12,0),""))</f>
        <v/>
      </c>
      <c r="AH1076" s="15" t="str">
        <f t="shared" si="2"/>
        <v/>
      </c>
      <c r="AI1076" s="17" t="str">
        <f>IF(AG1076="","",INDEX('quitado Despesa'!$G$1:$G$12,AG1076))</f>
        <v/>
      </c>
      <c r="AJ1076" s="17" t="str">
        <f t="shared" si="3"/>
        <v/>
      </c>
    </row>
    <row r="1077" spans="31:36">
      <c r="AE1077" s="15" t="str">
        <f t="shared" si="0"/>
        <v/>
      </c>
      <c r="AF1077" s="15" t="str">
        <f t="shared" si="1"/>
        <v/>
      </c>
      <c r="AG1077" s="15" t="str">
        <f>IF(OR(AF1077="",AF1077="ERRO_CHAVE"),"",IFERROR(MATCH(AF1077,'quitado Despesa'!$V$1:$V$12,0),""))</f>
        <v/>
      </c>
      <c r="AH1077" s="15" t="str">
        <f t="shared" si="2"/>
        <v/>
      </c>
      <c r="AI1077" s="17" t="str">
        <f>IF(AG1077="","",INDEX('quitado Despesa'!$G$1:$G$12,AG1077))</f>
        <v/>
      </c>
      <c r="AJ1077" s="17" t="str">
        <f t="shared" si="3"/>
        <v/>
      </c>
    </row>
    <row r="1078" spans="31:36">
      <c r="AE1078" s="15" t="str">
        <f t="shared" si="0"/>
        <v/>
      </c>
      <c r="AF1078" s="15" t="str">
        <f t="shared" si="1"/>
        <v/>
      </c>
      <c r="AG1078" s="15" t="str">
        <f>IF(OR(AF1078="",AF1078="ERRO_CHAVE"),"",IFERROR(MATCH(AF1078,'quitado Despesa'!$V$1:$V$12,0),""))</f>
        <v/>
      </c>
      <c r="AH1078" s="15" t="str">
        <f t="shared" si="2"/>
        <v/>
      </c>
      <c r="AI1078" s="17" t="str">
        <f>IF(AG1078="","",INDEX('quitado Despesa'!$G$1:$G$12,AG1078))</f>
        <v/>
      </c>
      <c r="AJ1078" s="17" t="str">
        <f t="shared" si="3"/>
        <v/>
      </c>
    </row>
    <row r="1079" spans="31:36">
      <c r="AE1079" s="15" t="str">
        <f t="shared" si="0"/>
        <v/>
      </c>
      <c r="AF1079" s="15" t="str">
        <f t="shared" si="1"/>
        <v/>
      </c>
      <c r="AG1079" s="15" t="str">
        <f>IF(OR(AF1079="",AF1079="ERRO_CHAVE"),"",IFERROR(MATCH(AF1079,'quitado Despesa'!$V$1:$V$12,0),""))</f>
        <v/>
      </c>
      <c r="AH1079" s="15" t="str">
        <f t="shared" si="2"/>
        <v/>
      </c>
      <c r="AI1079" s="17" t="str">
        <f>IF(AG1079="","",INDEX('quitado Despesa'!$G$1:$G$12,AG1079))</f>
        <v/>
      </c>
      <c r="AJ1079" s="17" t="str">
        <f t="shared" si="3"/>
        <v/>
      </c>
    </row>
    <row r="1080" spans="31:36">
      <c r="AE1080" s="15" t="str">
        <f t="shared" si="0"/>
        <v/>
      </c>
      <c r="AF1080" s="15" t="str">
        <f t="shared" si="1"/>
        <v/>
      </c>
      <c r="AG1080" s="15" t="str">
        <f>IF(OR(AF1080="",AF1080="ERRO_CHAVE"),"",IFERROR(MATCH(AF1080,'quitado Despesa'!$V$1:$V$12,0),""))</f>
        <v/>
      </c>
      <c r="AH1080" s="15" t="str">
        <f t="shared" si="2"/>
        <v/>
      </c>
      <c r="AI1080" s="17" t="str">
        <f>IF(AG1080="","",INDEX('quitado Despesa'!$G$1:$G$12,AG1080))</f>
        <v/>
      </c>
      <c r="AJ1080" s="17" t="str">
        <f t="shared" si="3"/>
        <v/>
      </c>
    </row>
    <row r="1081" spans="31:36">
      <c r="AE1081" s="15" t="str">
        <f t="shared" si="0"/>
        <v/>
      </c>
      <c r="AF1081" s="15" t="str">
        <f t="shared" si="1"/>
        <v/>
      </c>
      <c r="AG1081" s="15" t="str">
        <f>IF(OR(AF1081="",AF1081="ERRO_CHAVE"),"",IFERROR(MATCH(AF1081,'quitado Despesa'!$V$1:$V$12,0),""))</f>
        <v/>
      </c>
      <c r="AH1081" s="15" t="str">
        <f t="shared" si="2"/>
        <v/>
      </c>
      <c r="AI1081" s="17" t="str">
        <f>IF(AG1081="","",INDEX('quitado Despesa'!$G$1:$G$12,AG1081))</f>
        <v/>
      </c>
      <c r="AJ1081" s="17" t="str">
        <f t="shared" si="3"/>
        <v/>
      </c>
    </row>
    <row r="1082" spans="31:36">
      <c r="AE1082" s="15" t="str">
        <f t="shared" si="0"/>
        <v/>
      </c>
      <c r="AF1082" s="15" t="str">
        <f t="shared" si="1"/>
        <v/>
      </c>
      <c r="AG1082" s="15" t="str">
        <f>IF(OR(AF1082="",AF1082="ERRO_CHAVE"),"",IFERROR(MATCH(AF1082,'quitado Despesa'!$V$1:$V$12,0),""))</f>
        <v/>
      </c>
      <c r="AH1082" s="15" t="str">
        <f t="shared" si="2"/>
        <v/>
      </c>
      <c r="AI1082" s="17" t="str">
        <f>IF(AG1082="","",INDEX('quitado Despesa'!$G$1:$G$12,AG1082))</f>
        <v/>
      </c>
      <c r="AJ1082" s="17" t="str">
        <f t="shared" si="3"/>
        <v/>
      </c>
    </row>
    <row r="1083" spans="31:36">
      <c r="AE1083" s="15" t="str">
        <f t="shared" si="0"/>
        <v/>
      </c>
      <c r="AF1083" s="15" t="str">
        <f t="shared" si="1"/>
        <v/>
      </c>
      <c r="AG1083" s="15" t="str">
        <f>IF(OR(AF1083="",AF1083="ERRO_CHAVE"),"",IFERROR(MATCH(AF1083,'quitado Despesa'!$V$1:$V$12,0),""))</f>
        <v/>
      </c>
      <c r="AH1083" s="15" t="str">
        <f t="shared" si="2"/>
        <v/>
      </c>
      <c r="AI1083" s="17" t="str">
        <f>IF(AG1083="","",INDEX('quitado Despesa'!$G$1:$G$12,AG1083))</f>
        <v/>
      </c>
      <c r="AJ1083" s="17" t="str">
        <f t="shared" si="3"/>
        <v/>
      </c>
    </row>
    <row r="1084" spans="31:36">
      <c r="AE1084" s="15" t="str">
        <f t="shared" si="0"/>
        <v/>
      </c>
      <c r="AF1084" s="15" t="str">
        <f t="shared" si="1"/>
        <v/>
      </c>
      <c r="AG1084" s="15" t="str">
        <f>IF(OR(AF1084="",AF1084="ERRO_CHAVE"),"",IFERROR(MATCH(AF1084,'quitado Despesa'!$V$1:$V$12,0),""))</f>
        <v/>
      </c>
      <c r="AH1084" s="15" t="str">
        <f t="shared" si="2"/>
        <v/>
      </c>
      <c r="AI1084" s="17" t="str">
        <f>IF(AG1084="","",INDEX('quitado Despesa'!$G$1:$G$12,AG1084))</f>
        <v/>
      </c>
      <c r="AJ1084" s="17" t="str">
        <f t="shared" si="3"/>
        <v/>
      </c>
    </row>
    <row r="1085" spans="31:36">
      <c r="AE1085" s="15" t="str">
        <f t="shared" si="0"/>
        <v/>
      </c>
      <c r="AF1085" s="15" t="str">
        <f t="shared" si="1"/>
        <v/>
      </c>
      <c r="AG1085" s="15" t="str">
        <f>IF(OR(AF1085="",AF1085="ERRO_CHAVE"),"",IFERROR(MATCH(AF1085,'quitado Despesa'!$V$1:$V$12,0),""))</f>
        <v/>
      </c>
      <c r="AH1085" s="15" t="str">
        <f t="shared" si="2"/>
        <v/>
      </c>
      <c r="AI1085" s="17" t="str">
        <f>IF(AG1085="","",INDEX('quitado Despesa'!$G$1:$G$12,AG1085))</f>
        <v/>
      </c>
      <c r="AJ1085" s="17" t="str">
        <f t="shared" si="3"/>
        <v/>
      </c>
    </row>
    <row r="1086" spans="31:36">
      <c r="AE1086" s="15" t="str">
        <f t="shared" si="0"/>
        <v/>
      </c>
      <c r="AF1086" s="15" t="str">
        <f t="shared" si="1"/>
        <v/>
      </c>
      <c r="AG1086" s="15" t="str">
        <f>IF(OR(AF1086="",AF1086="ERRO_CHAVE"),"",IFERROR(MATCH(AF1086,'quitado Despesa'!$V$1:$V$12,0),""))</f>
        <v/>
      </c>
      <c r="AH1086" s="15" t="str">
        <f t="shared" si="2"/>
        <v/>
      </c>
      <c r="AI1086" s="17" t="str">
        <f>IF(AG1086="","",INDEX('quitado Despesa'!$G$1:$G$12,AG1086))</f>
        <v/>
      </c>
      <c r="AJ1086" s="17" t="str">
        <f t="shared" si="3"/>
        <v/>
      </c>
    </row>
    <row r="1087" spans="31:36">
      <c r="AE1087" s="15" t="str">
        <f t="shared" si="0"/>
        <v/>
      </c>
      <c r="AF1087" s="15" t="str">
        <f t="shared" si="1"/>
        <v/>
      </c>
      <c r="AG1087" s="15" t="str">
        <f>IF(OR(AF1087="",AF1087="ERRO_CHAVE"),"",IFERROR(MATCH(AF1087,'quitado Despesa'!$V$1:$V$12,0),""))</f>
        <v/>
      </c>
      <c r="AH1087" s="15" t="str">
        <f t="shared" si="2"/>
        <v/>
      </c>
      <c r="AI1087" s="17" t="str">
        <f>IF(AG1087="","",INDEX('quitado Despesa'!$G$1:$G$12,AG1087))</f>
        <v/>
      </c>
      <c r="AJ1087" s="17" t="str">
        <f t="shared" si="3"/>
        <v/>
      </c>
    </row>
    <row r="1088" spans="31:36">
      <c r="AE1088" s="15" t="str">
        <f t="shared" si="0"/>
        <v/>
      </c>
      <c r="AF1088" s="15" t="str">
        <f t="shared" si="1"/>
        <v/>
      </c>
      <c r="AG1088" s="15" t="str">
        <f>IF(OR(AF1088="",AF1088="ERRO_CHAVE"),"",IFERROR(MATCH(AF1088,'quitado Despesa'!$V$1:$V$12,0),""))</f>
        <v/>
      </c>
      <c r="AH1088" s="15" t="str">
        <f t="shared" si="2"/>
        <v/>
      </c>
      <c r="AI1088" s="17" t="str">
        <f>IF(AG1088="","",INDEX('quitado Despesa'!$G$1:$G$12,AG1088))</f>
        <v/>
      </c>
      <c r="AJ1088" s="17" t="str">
        <f t="shared" si="3"/>
        <v/>
      </c>
    </row>
    <row r="1089" spans="31:36">
      <c r="AE1089" s="15" t="str">
        <f t="shared" si="0"/>
        <v/>
      </c>
      <c r="AF1089" s="15" t="str">
        <f t="shared" si="1"/>
        <v/>
      </c>
      <c r="AG1089" s="15" t="str">
        <f>IF(OR(AF1089="",AF1089="ERRO_CHAVE"),"",IFERROR(MATCH(AF1089,'quitado Despesa'!$V$1:$V$12,0),""))</f>
        <v/>
      </c>
      <c r="AH1089" s="15" t="str">
        <f t="shared" si="2"/>
        <v/>
      </c>
      <c r="AI1089" s="17" t="str">
        <f>IF(AG1089="","",INDEX('quitado Despesa'!$G$1:$G$12,AG1089))</f>
        <v/>
      </c>
      <c r="AJ1089" s="17" t="str">
        <f t="shared" si="3"/>
        <v/>
      </c>
    </row>
    <row r="1090" spans="31:36">
      <c r="AE1090" s="15" t="str">
        <f t="shared" si="0"/>
        <v/>
      </c>
      <c r="AF1090" s="15" t="str">
        <f t="shared" si="1"/>
        <v/>
      </c>
      <c r="AG1090" s="15" t="str">
        <f>IF(OR(AF1090="",AF1090="ERRO_CHAVE"),"",IFERROR(MATCH(AF1090,'quitado Despesa'!$V$1:$V$12,0),""))</f>
        <v/>
      </c>
      <c r="AH1090" s="15" t="str">
        <f t="shared" si="2"/>
        <v/>
      </c>
      <c r="AI1090" s="17" t="str">
        <f>IF(AG1090="","",INDEX('quitado Despesa'!$G$1:$G$12,AG1090))</f>
        <v/>
      </c>
      <c r="AJ1090" s="17" t="str">
        <f t="shared" si="3"/>
        <v/>
      </c>
    </row>
    <row r="1091" spans="31:36">
      <c r="AE1091" s="15" t="str">
        <f t="shared" si="0"/>
        <v/>
      </c>
      <c r="AF1091" s="15" t="str">
        <f t="shared" si="1"/>
        <v/>
      </c>
      <c r="AG1091" s="15" t="str">
        <f>IF(OR(AF1091="",AF1091="ERRO_CHAVE"),"",IFERROR(MATCH(AF1091,'quitado Despesa'!$V$1:$V$12,0),""))</f>
        <v/>
      </c>
      <c r="AH1091" s="15" t="str">
        <f t="shared" si="2"/>
        <v/>
      </c>
      <c r="AI1091" s="17" t="str">
        <f>IF(AG1091="","",INDEX('quitado Despesa'!$G$1:$G$12,AG1091))</f>
        <v/>
      </c>
      <c r="AJ1091" s="17" t="str">
        <f t="shared" si="3"/>
        <v/>
      </c>
    </row>
    <row r="1092" spans="31:36">
      <c r="AE1092" s="15" t="str">
        <f t="shared" si="0"/>
        <v/>
      </c>
      <c r="AF1092" s="15" t="str">
        <f t="shared" si="1"/>
        <v/>
      </c>
      <c r="AG1092" s="15" t="str">
        <f>IF(OR(AF1092="",AF1092="ERRO_CHAVE"),"",IFERROR(MATCH(AF1092,'quitado Despesa'!$V$1:$V$12,0),""))</f>
        <v/>
      </c>
      <c r="AH1092" s="15" t="str">
        <f t="shared" si="2"/>
        <v/>
      </c>
      <c r="AI1092" s="17" t="str">
        <f>IF(AG1092="","",INDEX('quitado Despesa'!$G$1:$G$12,AG1092))</f>
        <v/>
      </c>
      <c r="AJ1092" s="17" t="str">
        <f t="shared" si="3"/>
        <v/>
      </c>
    </row>
    <row r="1093" spans="31:36">
      <c r="AE1093" s="15" t="str">
        <f t="shared" si="0"/>
        <v/>
      </c>
      <c r="AF1093" s="15" t="str">
        <f t="shared" si="1"/>
        <v/>
      </c>
      <c r="AG1093" s="15" t="str">
        <f>IF(OR(AF1093="",AF1093="ERRO_CHAVE"),"",IFERROR(MATCH(AF1093,'quitado Despesa'!$V$1:$V$12,0),""))</f>
        <v/>
      </c>
      <c r="AH1093" s="15" t="str">
        <f t="shared" si="2"/>
        <v/>
      </c>
      <c r="AI1093" s="17" t="str">
        <f>IF(AG1093="","",INDEX('quitado Despesa'!$G$1:$G$12,AG1093))</f>
        <v/>
      </c>
      <c r="AJ1093" s="17" t="str">
        <f t="shared" si="3"/>
        <v/>
      </c>
    </row>
    <row r="1094" spans="31:36">
      <c r="AE1094" s="15" t="str">
        <f t="shared" si="0"/>
        <v/>
      </c>
      <c r="AF1094" s="15" t="str">
        <f t="shared" si="1"/>
        <v/>
      </c>
      <c r="AG1094" s="15" t="str">
        <f>IF(OR(AF1094="",AF1094="ERRO_CHAVE"),"",IFERROR(MATCH(AF1094,'quitado Despesa'!$V$1:$V$12,0),""))</f>
        <v/>
      </c>
      <c r="AH1094" s="15" t="str">
        <f t="shared" si="2"/>
        <v/>
      </c>
      <c r="AI1094" s="17" t="str">
        <f>IF(AG1094="","",INDEX('quitado Despesa'!$G$1:$G$12,AG1094))</f>
        <v/>
      </c>
      <c r="AJ1094" s="17" t="str">
        <f t="shared" si="3"/>
        <v/>
      </c>
    </row>
    <row r="1095" spans="31:36">
      <c r="AE1095" s="15" t="str">
        <f t="shared" si="0"/>
        <v/>
      </c>
      <c r="AF1095" s="15" t="str">
        <f t="shared" si="1"/>
        <v/>
      </c>
      <c r="AG1095" s="15" t="str">
        <f>IF(OR(AF1095="",AF1095="ERRO_CHAVE"),"",IFERROR(MATCH(AF1095,'quitado Despesa'!$V$1:$V$12,0),""))</f>
        <v/>
      </c>
      <c r="AH1095" s="15" t="str">
        <f t="shared" si="2"/>
        <v/>
      </c>
      <c r="AI1095" s="17" t="str">
        <f>IF(AG1095="","",INDEX('quitado Despesa'!$G$1:$G$12,AG1095))</f>
        <v/>
      </c>
      <c r="AJ1095" s="17" t="str">
        <f t="shared" si="3"/>
        <v/>
      </c>
    </row>
    <row r="1096" spans="31:36">
      <c r="AE1096" s="15" t="str">
        <f t="shared" si="0"/>
        <v/>
      </c>
      <c r="AF1096" s="15" t="str">
        <f t="shared" si="1"/>
        <v/>
      </c>
      <c r="AG1096" s="15" t="str">
        <f>IF(OR(AF1096="",AF1096="ERRO_CHAVE"),"",IFERROR(MATCH(AF1096,'quitado Despesa'!$V$1:$V$12,0),""))</f>
        <v/>
      </c>
      <c r="AH1096" s="15" t="str">
        <f t="shared" si="2"/>
        <v/>
      </c>
      <c r="AI1096" s="17" t="str">
        <f>IF(AG1096="","",INDEX('quitado Despesa'!$G$1:$G$12,AG1096))</f>
        <v/>
      </c>
      <c r="AJ1096" s="17" t="str">
        <f t="shared" si="3"/>
        <v/>
      </c>
    </row>
    <row r="1097" spans="31:36">
      <c r="AE1097" s="15" t="str">
        <f t="shared" si="0"/>
        <v/>
      </c>
      <c r="AF1097" s="15" t="str">
        <f t="shared" si="1"/>
        <v/>
      </c>
      <c r="AG1097" s="15" t="str">
        <f>IF(OR(AF1097="",AF1097="ERRO_CHAVE"),"",IFERROR(MATCH(AF1097,'quitado Despesa'!$V$1:$V$12,0),""))</f>
        <v/>
      </c>
      <c r="AH1097" s="15" t="str">
        <f t="shared" si="2"/>
        <v/>
      </c>
      <c r="AI1097" s="17" t="str">
        <f>IF(AG1097="","",INDEX('quitado Despesa'!$G$1:$G$12,AG1097))</f>
        <v/>
      </c>
      <c r="AJ1097" s="17" t="str">
        <f t="shared" si="3"/>
        <v/>
      </c>
    </row>
    <row r="1098" spans="31:36">
      <c r="AE1098" s="15" t="str">
        <f t="shared" si="0"/>
        <v/>
      </c>
      <c r="AF1098" s="15" t="str">
        <f t="shared" si="1"/>
        <v/>
      </c>
      <c r="AG1098" s="15" t="str">
        <f>IF(OR(AF1098="",AF1098="ERRO_CHAVE"),"",IFERROR(MATCH(AF1098,'quitado Despesa'!$V$1:$V$12,0),""))</f>
        <v/>
      </c>
      <c r="AH1098" s="15" t="str">
        <f t="shared" si="2"/>
        <v/>
      </c>
      <c r="AI1098" s="17" t="str">
        <f>IF(AG1098="","",INDEX('quitado Despesa'!$G$1:$G$12,AG1098))</f>
        <v/>
      </c>
      <c r="AJ1098" s="17" t="str">
        <f t="shared" si="3"/>
        <v/>
      </c>
    </row>
    <row r="1099" spans="31:36">
      <c r="AE1099" s="15" t="str">
        <f t="shared" si="0"/>
        <v/>
      </c>
      <c r="AF1099" s="15" t="str">
        <f t="shared" si="1"/>
        <v/>
      </c>
      <c r="AG1099" s="15" t="str">
        <f>IF(OR(AF1099="",AF1099="ERRO_CHAVE"),"",IFERROR(MATCH(AF1099,'quitado Despesa'!$V$1:$V$12,0),""))</f>
        <v/>
      </c>
      <c r="AH1099" s="15" t="str">
        <f t="shared" si="2"/>
        <v/>
      </c>
      <c r="AI1099" s="17" t="str">
        <f>IF(AG1099="","",INDEX('quitado Despesa'!$G$1:$G$12,AG1099))</f>
        <v/>
      </c>
      <c r="AJ1099" s="17" t="str">
        <f t="shared" si="3"/>
        <v/>
      </c>
    </row>
    <row r="1100" spans="31:36">
      <c r="AE1100" s="15" t="str">
        <f t="shared" si="0"/>
        <v/>
      </c>
      <c r="AF1100" s="15" t="str">
        <f t="shared" si="1"/>
        <v/>
      </c>
      <c r="AG1100" s="15" t="str">
        <f>IF(OR(AF1100="",AF1100="ERRO_CHAVE"),"",IFERROR(MATCH(AF1100,'quitado Despesa'!$V$1:$V$12,0),""))</f>
        <v/>
      </c>
      <c r="AH1100" s="15" t="str">
        <f t="shared" si="2"/>
        <v/>
      </c>
      <c r="AI1100" s="17" t="str">
        <f>IF(AG1100="","",INDEX('quitado Despesa'!$G$1:$G$12,AG1100))</f>
        <v/>
      </c>
      <c r="AJ1100" s="17" t="str">
        <f t="shared" si="3"/>
        <v/>
      </c>
    </row>
    <row r="1101" spans="31:36">
      <c r="AE1101" s="15" t="str">
        <f t="shared" si="0"/>
        <v/>
      </c>
      <c r="AF1101" s="15" t="str">
        <f t="shared" si="1"/>
        <v/>
      </c>
      <c r="AG1101" s="15" t="str">
        <f>IF(OR(AF1101="",AF1101="ERRO_CHAVE"),"",IFERROR(MATCH(AF1101,'quitado Despesa'!$V$1:$V$12,0),""))</f>
        <v/>
      </c>
      <c r="AH1101" s="15" t="str">
        <f t="shared" si="2"/>
        <v/>
      </c>
      <c r="AI1101" s="17" t="str">
        <f>IF(AG1101="","",INDEX('quitado Despesa'!$G$1:$G$12,AG1101))</f>
        <v/>
      </c>
      <c r="AJ1101" s="17" t="str">
        <f t="shared" si="3"/>
        <v/>
      </c>
    </row>
    <row r="1102" spans="31:36">
      <c r="AE1102" s="15" t="str">
        <f t="shared" si="0"/>
        <v/>
      </c>
      <c r="AF1102" s="15" t="str">
        <f t="shared" si="1"/>
        <v/>
      </c>
      <c r="AG1102" s="15" t="str">
        <f>IF(OR(AF1102="",AF1102="ERRO_CHAVE"),"",IFERROR(MATCH(AF1102,'quitado Despesa'!$V$1:$V$12,0),""))</f>
        <v/>
      </c>
      <c r="AH1102" s="15" t="str">
        <f t="shared" si="2"/>
        <v/>
      </c>
      <c r="AI1102" s="17" t="str">
        <f>IF(AG1102="","",INDEX('quitado Despesa'!$G$1:$G$12,AG1102))</f>
        <v/>
      </c>
      <c r="AJ1102" s="17" t="str">
        <f t="shared" si="3"/>
        <v/>
      </c>
    </row>
    <row r="1103" spans="31:36">
      <c r="AE1103" s="15" t="str">
        <f t="shared" si="0"/>
        <v/>
      </c>
      <c r="AF1103" s="15" t="str">
        <f t="shared" si="1"/>
        <v/>
      </c>
      <c r="AG1103" s="15" t="str">
        <f>IF(OR(AF1103="",AF1103="ERRO_CHAVE"),"",IFERROR(MATCH(AF1103,'quitado Despesa'!$V$1:$V$12,0),""))</f>
        <v/>
      </c>
      <c r="AH1103" s="15" t="str">
        <f t="shared" si="2"/>
        <v/>
      </c>
      <c r="AI1103" s="17" t="str">
        <f>IF(AG1103="","",INDEX('quitado Despesa'!$G$1:$G$12,AG1103))</f>
        <v/>
      </c>
      <c r="AJ1103" s="17" t="str">
        <f t="shared" si="3"/>
        <v/>
      </c>
    </row>
    <row r="1104" spans="31:36">
      <c r="AE1104" s="15" t="str">
        <f t="shared" si="0"/>
        <v/>
      </c>
      <c r="AF1104" s="15" t="str">
        <f t="shared" si="1"/>
        <v/>
      </c>
      <c r="AG1104" s="15" t="str">
        <f>IF(OR(AF1104="",AF1104="ERRO_CHAVE"),"",IFERROR(MATCH(AF1104,'quitado Despesa'!$V$1:$V$12,0),""))</f>
        <v/>
      </c>
      <c r="AH1104" s="15" t="str">
        <f t="shared" si="2"/>
        <v/>
      </c>
      <c r="AI1104" s="17" t="str">
        <f>IF(AG1104="","",INDEX('quitado Despesa'!$G$1:$G$12,AG1104))</f>
        <v/>
      </c>
      <c r="AJ1104" s="17" t="str">
        <f t="shared" si="3"/>
        <v/>
      </c>
    </row>
    <row r="1105" spans="31:36">
      <c r="AE1105" s="15" t="str">
        <f t="shared" si="0"/>
        <v/>
      </c>
      <c r="AF1105" s="15" t="str">
        <f t="shared" si="1"/>
        <v/>
      </c>
      <c r="AG1105" s="15" t="str">
        <f>IF(OR(AF1105="",AF1105="ERRO_CHAVE"),"",IFERROR(MATCH(AF1105,'quitado Despesa'!$V$1:$V$12,0),""))</f>
        <v/>
      </c>
      <c r="AH1105" s="15" t="str">
        <f t="shared" si="2"/>
        <v/>
      </c>
      <c r="AI1105" s="17" t="str">
        <f>IF(AG1105="","",INDEX('quitado Despesa'!$G$1:$G$12,AG1105))</f>
        <v/>
      </c>
      <c r="AJ1105" s="17" t="str">
        <f t="shared" si="3"/>
        <v/>
      </c>
    </row>
    <row r="1106" spans="31:36">
      <c r="AE1106" s="15" t="str">
        <f t="shared" si="0"/>
        <v/>
      </c>
      <c r="AF1106" s="15" t="str">
        <f t="shared" si="1"/>
        <v/>
      </c>
      <c r="AG1106" s="15" t="str">
        <f>IF(OR(AF1106="",AF1106="ERRO_CHAVE"),"",IFERROR(MATCH(AF1106,'quitado Despesa'!$V$1:$V$12,0),""))</f>
        <v/>
      </c>
      <c r="AH1106" s="15" t="str">
        <f t="shared" si="2"/>
        <v/>
      </c>
      <c r="AI1106" s="17" t="str">
        <f>IF(AG1106="","",INDEX('quitado Despesa'!$G$1:$G$12,AG1106))</f>
        <v/>
      </c>
      <c r="AJ1106" s="17" t="str">
        <f t="shared" si="3"/>
        <v/>
      </c>
    </row>
    <row r="1107" spans="31:36">
      <c r="AE1107" s="15" t="str">
        <f t="shared" si="0"/>
        <v/>
      </c>
      <c r="AF1107" s="15" t="str">
        <f t="shared" si="1"/>
        <v/>
      </c>
      <c r="AG1107" s="15" t="str">
        <f>IF(OR(AF1107="",AF1107="ERRO_CHAVE"),"",IFERROR(MATCH(AF1107,'quitado Despesa'!$V$1:$V$12,0),""))</f>
        <v/>
      </c>
      <c r="AH1107" s="15" t="str">
        <f t="shared" si="2"/>
        <v/>
      </c>
      <c r="AI1107" s="17" t="str">
        <f>IF(AG1107="","",INDEX('quitado Despesa'!$G$1:$G$12,AG1107))</f>
        <v/>
      </c>
      <c r="AJ1107" s="17" t="str">
        <f t="shared" si="3"/>
        <v/>
      </c>
    </row>
    <row r="1108" spans="31:36">
      <c r="AE1108" s="15" t="str">
        <f t="shared" si="0"/>
        <v/>
      </c>
      <c r="AF1108" s="15" t="str">
        <f t="shared" si="1"/>
        <v/>
      </c>
      <c r="AG1108" s="15" t="str">
        <f>IF(OR(AF1108="",AF1108="ERRO_CHAVE"),"",IFERROR(MATCH(AF1108,'quitado Despesa'!$V$1:$V$12,0),""))</f>
        <v/>
      </c>
      <c r="AH1108" s="15" t="str">
        <f t="shared" si="2"/>
        <v/>
      </c>
      <c r="AI1108" s="17" t="str">
        <f>IF(AG1108="","",INDEX('quitado Despesa'!$G$1:$G$12,AG1108))</f>
        <v/>
      </c>
      <c r="AJ1108" s="17" t="str">
        <f t="shared" si="3"/>
        <v/>
      </c>
    </row>
    <row r="1109" spans="31:36">
      <c r="AE1109" s="15" t="str">
        <f t="shared" si="0"/>
        <v/>
      </c>
      <c r="AF1109" s="15" t="str">
        <f t="shared" si="1"/>
        <v/>
      </c>
      <c r="AG1109" s="15" t="str">
        <f>IF(OR(AF1109="",AF1109="ERRO_CHAVE"),"",IFERROR(MATCH(AF1109,'quitado Despesa'!$V$1:$V$12,0),""))</f>
        <v/>
      </c>
      <c r="AH1109" s="15" t="str">
        <f t="shared" si="2"/>
        <v/>
      </c>
      <c r="AI1109" s="17" t="str">
        <f>IF(AG1109="","",INDEX('quitado Despesa'!$G$1:$G$12,AG1109))</f>
        <v/>
      </c>
      <c r="AJ1109" s="17" t="str">
        <f t="shared" si="3"/>
        <v/>
      </c>
    </row>
    <row r="1110" spans="31:36">
      <c r="AE1110" s="15" t="str">
        <f t="shared" si="0"/>
        <v/>
      </c>
      <c r="AF1110" s="15" t="str">
        <f t="shared" si="1"/>
        <v/>
      </c>
      <c r="AG1110" s="15" t="str">
        <f>IF(OR(AF1110="",AF1110="ERRO_CHAVE"),"",IFERROR(MATCH(AF1110,'quitado Despesa'!$V$1:$V$12,0),""))</f>
        <v/>
      </c>
      <c r="AH1110" s="15" t="str">
        <f t="shared" si="2"/>
        <v/>
      </c>
      <c r="AI1110" s="17" t="str">
        <f>IF(AG1110="","",INDEX('quitado Despesa'!$G$1:$G$12,AG1110))</f>
        <v/>
      </c>
      <c r="AJ1110" s="17" t="str">
        <f t="shared" si="3"/>
        <v/>
      </c>
    </row>
    <row r="1111" spans="31:36">
      <c r="AE1111" s="15" t="str">
        <f t="shared" si="0"/>
        <v/>
      </c>
      <c r="AF1111" s="15" t="str">
        <f t="shared" si="1"/>
        <v/>
      </c>
      <c r="AG1111" s="15" t="str">
        <f>IF(OR(AF1111="",AF1111="ERRO_CHAVE"),"",IFERROR(MATCH(AF1111,'quitado Despesa'!$V$1:$V$12,0),""))</f>
        <v/>
      </c>
      <c r="AH1111" s="15" t="str">
        <f t="shared" si="2"/>
        <v/>
      </c>
      <c r="AI1111" s="17" t="str">
        <f>IF(AG1111="","",INDEX('quitado Despesa'!$G$1:$G$12,AG1111))</f>
        <v/>
      </c>
      <c r="AJ1111" s="17" t="str">
        <f t="shared" si="3"/>
        <v/>
      </c>
    </row>
    <row r="1112" spans="31:36">
      <c r="AE1112" s="15" t="str">
        <f t="shared" si="0"/>
        <v/>
      </c>
      <c r="AF1112" s="15" t="str">
        <f t="shared" si="1"/>
        <v/>
      </c>
      <c r="AG1112" s="15" t="str">
        <f>IF(OR(AF1112="",AF1112="ERRO_CHAVE"),"",IFERROR(MATCH(AF1112,'quitado Despesa'!$V$1:$V$12,0),""))</f>
        <v/>
      </c>
      <c r="AH1112" s="15" t="str">
        <f t="shared" si="2"/>
        <v/>
      </c>
      <c r="AI1112" s="17" t="str">
        <f>IF(AG1112="","",INDEX('quitado Despesa'!$G$1:$G$12,AG1112))</f>
        <v/>
      </c>
      <c r="AJ1112" s="17" t="str">
        <f t="shared" si="3"/>
        <v/>
      </c>
    </row>
    <row r="1113" spans="31:36">
      <c r="AE1113" s="15" t="str">
        <f t="shared" si="0"/>
        <v/>
      </c>
      <c r="AF1113" s="15" t="str">
        <f t="shared" si="1"/>
        <v/>
      </c>
      <c r="AG1113" s="15" t="str">
        <f>IF(OR(AF1113="",AF1113="ERRO_CHAVE"),"",IFERROR(MATCH(AF1113,'quitado Despesa'!$V$1:$V$12,0),""))</f>
        <v/>
      </c>
      <c r="AH1113" s="15" t="str">
        <f t="shared" si="2"/>
        <v/>
      </c>
      <c r="AI1113" s="17" t="str">
        <f>IF(AG1113="","",INDEX('quitado Despesa'!$G$1:$G$12,AG1113))</f>
        <v/>
      </c>
      <c r="AJ1113" s="17" t="str">
        <f t="shared" si="3"/>
        <v/>
      </c>
    </row>
    <row r="1114" spans="31:36">
      <c r="AE1114" s="15" t="str">
        <f t="shared" si="0"/>
        <v/>
      </c>
      <c r="AF1114" s="15" t="str">
        <f t="shared" si="1"/>
        <v/>
      </c>
      <c r="AG1114" s="15" t="str">
        <f>IF(OR(AF1114="",AF1114="ERRO_CHAVE"),"",IFERROR(MATCH(AF1114,'quitado Despesa'!$V$1:$V$12,0),""))</f>
        <v/>
      </c>
      <c r="AH1114" s="15" t="str">
        <f t="shared" si="2"/>
        <v/>
      </c>
      <c r="AI1114" s="17" t="str">
        <f>IF(AG1114="","",INDEX('quitado Despesa'!$G$1:$G$12,AG1114))</f>
        <v/>
      </c>
      <c r="AJ1114" s="17" t="str">
        <f t="shared" si="3"/>
        <v/>
      </c>
    </row>
    <row r="1115" spans="31:36">
      <c r="AE1115" s="15" t="str">
        <f t="shared" si="0"/>
        <v/>
      </c>
      <c r="AF1115" s="15" t="str">
        <f t="shared" si="1"/>
        <v/>
      </c>
      <c r="AG1115" s="15" t="str">
        <f>IF(OR(AF1115="",AF1115="ERRO_CHAVE"),"",IFERROR(MATCH(AF1115,'quitado Despesa'!$V$1:$V$12,0),""))</f>
        <v/>
      </c>
      <c r="AH1115" s="15" t="str">
        <f t="shared" si="2"/>
        <v/>
      </c>
      <c r="AI1115" s="17" t="str">
        <f>IF(AG1115="","",INDEX('quitado Despesa'!$G$1:$G$12,AG1115))</f>
        <v/>
      </c>
      <c r="AJ1115" s="17" t="str">
        <f t="shared" si="3"/>
        <v/>
      </c>
    </row>
    <row r="1116" spans="31:36">
      <c r="AE1116" s="15" t="str">
        <f t="shared" si="0"/>
        <v/>
      </c>
      <c r="AF1116" s="15" t="str">
        <f t="shared" si="1"/>
        <v/>
      </c>
      <c r="AG1116" s="15" t="str">
        <f>IF(OR(AF1116="",AF1116="ERRO_CHAVE"),"",IFERROR(MATCH(AF1116,'quitado Despesa'!$V$1:$V$12,0),""))</f>
        <v/>
      </c>
      <c r="AH1116" s="15" t="str">
        <f t="shared" si="2"/>
        <v/>
      </c>
      <c r="AI1116" s="17" t="str">
        <f>IF(AG1116="","",INDEX('quitado Despesa'!$G$1:$G$12,AG1116))</f>
        <v/>
      </c>
      <c r="AJ1116" s="17" t="str">
        <f t="shared" si="3"/>
        <v/>
      </c>
    </row>
    <row r="1117" spans="31:36">
      <c r="AE1117" s="15" t="str">
        <f t="shared" si="0"/>
        <v/>
      </c>
      <c r="AF1117" s="15" t="str">
        <f t="shared" si="1"/>
        <v/>
      </c>
      <c r="AG1117" s="15" t="str">
        <f>IF(OR(AF1117="",AF1117="ERRO_CHAVE"),"",IFERROR(MATCH(AF1117,'quitado Despesa'!$V$1:$V$12,0),""))</f>
        <v/>
      </c>
      <c r="AH1117" s="15" t="str">
        <f t="shared" si="2"/>
        <v/>
      </c>
      <c r="AI1117" s="17" t="str">
        <f>IF(AG1117="","",INDEX('quitado Despesa'!$G$1:$G$12,AG1117))</f>
        <v/>
      </c>
      <c r="AJ1117" s="17" t="str">
        <f t="shared" si="3"/>
        <v/>
      </c>
    </row>
    <row r="1118" spans="31:36">
      <c r="AE1118" s="15" t="str">
        <f t="shared" si="0"/>
        <v/>
      </c>
      <c r="AF1118" s="15" t="str">
        <f t="shared" si="1"/>
        <v/>
      </c>
      <c r="AG1118" s="15" t="str">
        <f>IF(OR(AF1118="",AF1118="ERRO_CHAVE"),"",IFERROR(MATCH(AF1118,'quitado Despesa'!$V$1:$V$12,0),""))</f>
        <v/>
      </c>
      <c r="AH1118" s="15" t="str">
        <f t="shared" si="2"/>
        <v/>
      </c>
      <c r="AI1118" s="17" t="str">
        <f>IF(AG1118="","",INDEX('quitado Despesa'!$G$1:$G$12,AG1118))</f>
        <v/>
      </c>
      <c r="AJ1118" s="17" t="str">
        <f t="shared" si="3"/>
        <v/>
      </c>
    </row>
    <row r="1119" spans="31:36">
      <c r="AE1119" s="15" t="str">
        <f t="shared" si="0"/>
        <v/>
      </c>
      <c r="AF1119" s="15" t="str">
        <f t="shared" si="1"/>
        <v/>
      </c>
      <c r="AG1119" s="15" t="str">
        <f>IF(OR(AF1119="",AF1119="ERRO_CHAVE"),"",IFERROR(MATCH(AF1119,'quitado Despesa'!$V$1:$V$12,0),""))</f>
        <v/>
      </c>
      <c r="AH1119" s="15" t="str">
        <f t="shared" si="2"/>
        <v/>
      </c>
      <c r="AI1119" s="17" t="str">
        <f>IF(AG1119="","",INDEX('quitado Despesa'!$G$1:$G$12,AG1119))</f>
        <v/>
      </c>
      <c r="AJ1119" s="17" t="str">
        <f t="shared" si="3"/>
        <v/>
      </c>
    </row>
    <row r="1120" spans="31:36">
      <c r="AE1120" s="15" t="str">
        <f t="shared" si="0"/>
        <v/>
      </c>
      <c r="AF1120" s="15" t="str">
        <f t="shared" si="1"/>
        <v/>
      </c>
      <c r="AG1120" s="15" t="str">
        <f>IF(OR(AF1120="",AF1120="ERRO_CHAVE"),"",IFERROR(MATCH(AF1120,'quitado Despesa'!$V$1:$V$12,0),""))</f>
        <v/>
      </c>
      <c r="AH1120" s="15" t="str">
        <f t="shared" si="2"/>
        <v/>
      </c>
      <c r="AI1120" s="17" t="str">
        <f>IF(AG1120="","",INDEX('quitado Despesa'!$G$1:$G$12,AG1120))</f>
        <v/>
      </c>
      <c r="AJ1120" s="17" t="str">
        <f t="shared" si="3"/>
        <v/>
      </c>
    </row>
    <row r="1121" spans="31:36">
      <c r="AE1121" s="15" t="str">
        <f t="shared" si="0"/>
        <v/>
      </c>
      <c r="AF1121" s="15" t="str">
        <f t="shared" si="1"/>
        <v/>
      </c>
      <c r="AG1121" s="15" t="str">
        <f>IF(OR(AF1121="",AF1121="ERRO_CHAVE"),"",IFERROR(MATCH(AF1121,'quitado Despesa'!$V$1:$V$12,0),""))</f>
        <v/>
      </c>
      <c r="AH1121" s="15" t="str">
        <f t="shared" si="2"/>
        <v/>
      </c>
      <c r="AI1121" s="17" t="str">
        <f>IF(AG1121="","",INDEX('quitado Despesa'!$G$1:$G$12,AG1121))</f>
        <v/>
      </c>
      <c r="AJ1121" s="17" t="str">
        <f t="shared" si="3"/>
        <v/>
      </c>
    </row>
    <row r="1122" spans="31:36">
      <c r="AE1122" s="15" t="str">
        <f t="shared" si="0"/>
        <v/>
      </c>
      <c r="AF1122" s="15" t="str">
        <f t="shared" si="1"/>
        <v/>
      </c>
      <c r="AG1122" s="15" t="str">
        <f>IF(OR(AF1122="",AF1122="ERRO_CHAVE"),"",IFERROR(MATCH(AF1122,'quitado Despesa'!$V$1:$V$12,0),""))</f>
        <v/>
      </c>
      <c r="AH1122" s="15" t="str">
        <f t="shared" si="2"/>
        <v/>
      </c>
      <c r="AI1122" s="17" t="str">
        <f>IF(AG1122="","",INDEX('quitado Despesa'!$G$1:$G$12,AG1122))</f>
        <v/>
      </c>
      <c r="AJ1122" s="17" t="str">
        <f t="shared" si="3"/>
        <v/>
      </c>
    </row>
    <row r="1123" spans="31:36">
      <c r="AE1123" s="15" t="str">
        <f t="shared" si="0"/>
        <v/>
      </c>
      <c r="AF1123" s="15" t="str">
        <f t="shared" si="1"/>
        <v/>
      </c>
      <c r="AG1123" s="15" t="str">
        <f>IF(OR(AF1123="",AF1123="ERRO_CHAVE"),"",IFERROR(MATCH(AF1123,'quitado Despesa'!$V$1:$V$12,0),""))</f>
        <v/>
      </c>
      <c r="AH1123" s="15" t="str">
        <f t="shared" si="2"/>
        <v/>
      </c>
      <c r="AI1123" s="17" t="str">
        <f>IF(AG1123="","",INDEX('quitado Despesa'!$G$1:$G$12,AG1123))</f>
        <v/>
      </c>
      <c r="AJ1123" s="17" t="str">
        <f t="shared" si="3"/>
        <v/>
      </c>
    </row>
    <row r="1124" spans="31:36">
      <c r="AE1124" s="15" t="str">
        <f t="shared" si="0"/>
        <v/>
      </c>
      <c r="AF1124" s="15" t="str">
        <f t="shared" si="1"/>
        <v/>
      </c>
      <c r="AG1124" s="15" t="str">
        <f>IF(OR(AF1124="",AF1124="ERRO_CHAVE"),"",IFERROR(MATCH(AF1124,'quitado Despesa'!$V$1:$V$12,0),""))</f>
        <v/>
      </c>
      <c r="AH1124" s="15" t="str">
        <f t="shared" si="2"/>
        <v/>
      </c>
      <c r="AI1124" s="17" t="str">
        <f>IF(AG1124="","",INDEX('quitado Despesa'!$G$1:$G$12,AG1124))</f>
        <v/>
      </c>
      <c r="AJ1124" s="17" t="str">
        <f t="shared" si="3"/>
        <v/>
      </c>
    </row>
    <row r="1125" spans="31:36">
      <c r="AE1125" s="15" t="str">
        <f t="shared" si="0"/>
        <v/>
      </c>
      <c r="AF1125" s="15" t="str">
        <f t="shared" si="1"/>
        <v/>
      </c>
      <c r="AG1125" s="15" t="str">
        <f>IF(OR(AF1125="",AF1125="ERRO_CHAVE"),"",IFERROR(MATCH(AF1125,'quitado Despesa'!$V$1:$V$12,0),""))</f>
        <v/>
      </c>
      <c r="AH1125" s="15" t="str">
        <f t="shared" si="2"/>
        <v/>
      </c>
      <c r="AI1125" s="17" t="str">
        <f>IF(AG1125="","",INDEX('quitado Despesa'!$G$1:$G$12,AG1125))</f>
        <v/>
      </c>
      <c r="AJ1125" s="17" t="str">
        <f t="shared" si="3"/>
        <v/>
      </c>
    </row>
    <row r="1126" spans="31:36">
      <c r="AE1126" s="15" t="str">
        <f t="shared" si="0"/>
        <v/>
      </c>
      <c r="AF1126" s="15" t="str">
        <f t="shared" si="1"/>
        <v/>
      </c>
      <c r="AG1126" s="15" t="str">
        <f>IF(OR(AF1126="",AF1126="ERRO_CHAVE"),"",IFERROR(MATCH(AF1126,'quitado Despesa'!$V$1:$V$12,0),""))</f>
        <v/>
      </c>
      <c r="AH1126" s="15" t="str">
        <f t="shared" si="2"/>
        <v/>
      </c>
      <c r="AI1126" s="17" t="str">
        <f>IF(AG1126="","",INDEX('quitado Despesa'!$G$1:$G$12,AG1126))</f>
        <v/>
      </c>
      <c r="AJ1126" s="17" t="str">
        <f t="shared" si="3"/>
        <v/>
      </c>
    </row>
    <row r="1127" spans="31:36">
      <c r="AE1127" s="15" t="str">
        <f t="shared" si="0"/>
        <v/>
      </c>
      <c r="AF1127" s="15" t="str">
        <f t="shared" si="1"/>
        <v/>
      </c>
      <c r="AG1127" s="15" t="str">
        <f>IF(OR(AF1127="",AF1127="ERRO_CHAVE"),"",IFERROR(MATCH(AF1127,'quitado Despesa'!$V$1:$V$12,0),""))</f>
        <v/>
      </c>
      <c r="AH1127" s="15" t="str">
        <f t="shared" si="2"/>
        <v/>
      </c>
      <c r="AI1127" s="17" t="str">
        <f>IF(AG1127="","",INDEX('quitado Despesa'!$G$1:$G$12,AG1127))</f>
        <v/>
      </c>
      <c r="AJ1127" s="17" t="str">
        <f t="shared" si="3"/>
        <v/>
      </c>
    </row>
    <row r="1128" spans="31:36">
      <c r="AE1128" s="15" t="str">
        <f t="shared" si="0"/>
        <v/>
      </c>
      <c r="AF1128" s="15" t="str">
        <f t="shared" si="1"/>
        <v/>
      </c>
      <c r="AG1128" s="15" t="str">
        <f>IF(OR(AF1128="",AF1128="ERRO_CHAVE"),"",IFERROR(MATCH(AF1128,'quitado Despesa'!$V$1:$V$12,0),""))</f>
        <v/>
      </c>
      <c r="AH1128" s="15" t="str">
        <f t="shared" si="2"/>
        <v/>
      </c>
      <c r="AI1128" s="17" t="str">
        <f>IF(AG1128="","",INDEX('quitado Despesa'!$G$1:$G$12,AG1128))</f>
        <v/>
      </c>
      <c r="AJ1128" s="17" t="str">
        <f t="shared" si="3"/>
        <v/>
      </c>
    </row>
    <row r="1129" spans="31:36">
      <c r="AE1129" s="15" t="str">
        <f t="shared" si="0"/>
        <v/>
      </c>
      <c r="AF1129" s="15" t="str">
        <f t="shared" si="1"/>
        <v/>
      </c>
      <c r="AG1129" s="15" t="str">
        <f>IF(OR(AF1129="",AF1129="ERRO_CHAVE"),"",IFERROR(MATCH(AF1129,'quitado Despesa'!$V$1:$V$12,0),""))</f>
        <v/>
      </c>
      <c r="AH1129" s="15" t="str">
        <f t="shared" si="2"/>
        <v/>
      </c>
      <c r="AI1129" s="17" t="str">
        <f>IF(AG1129="","",INDEX('quitado Despesa'!$G$1:$G$12,AG1129))</f>
        <v/>
      </c>
      <c r="AJ1129" s="17" t="str">
        <f t="shared" si="3"/>
        <v/>
      </c>
    </row>
    <row r="1130" spans="31:36">
      <c r="AE1130" s="15" t="str">
        <f t="shared" si="0"/>
        <v/>
      </c>
      <c r="AF1130" s="15" t="str">
        <f t="shared" si="1"/>
        <v/>
      </c>
      <c r="AG1130" s="15" t="str">
        <f>IF(OR(AF1130="",AF1130="ERRO_CHAVE"),"",IFERROR(MATCH(AF1130,'quitado Despesa'!$V$1:$V$12,0),""))</f>
        <v/>
      </c>
      <c r="AH1130" s="15" t="str">
        <f t="shared" si="2"/>
        <v/>
      </c>
      <c r="AI1130" s="17" t="str">
        <f>IF(AG1130="","",INDEX('quitado Despesa'!$G$1:$G$12,AG1130))</f>
        <v/>
      </c>
      <c r="AJ1130" s="17" t="str">
        <f t="shared" si="3"/>
        <v/>
      </c>
    </row>
    <row r="1131" spans="31:36">
      <c r="AE1131" s="15" t="str">
        <f t="shared" si="0"/>
        <v/>
      </c>
      <c r="AF1131" s="15" t="str">
        <f t="shared" si="1"/>
        <v/>
      </c>
      <c r="AG1131" s="15" t="str">
        <f>IF(OR(AF1131="",AF1131="ERRO_CHAVE"),"",IFERROR(MATCH(AF1131,'quitado Despesa'!$V$1:$V$12,0),""))</f>
        <v/>
      </c>
      <c r="AH1131" s="15" t="str">
        <f t="shared" si="2"/>
        <v/>
      </c>
      <c r="AI1131" s="17" t="str">
        <f>IF(AG1131="","",INDEX('quitado Despesa'!$G$1:$G$12,AG1131))</f>
        <v/>
      </c>
      <c r="AJ1131" s="17" t="str">
        <f t="shared" si="3"/>
        <v/>
      </c>
    </row>
    <row r="1132" spans="31:36">
      <c r="AE1132" s="15" t="str">
        <f t="shared" si="0"/>
        <v/>
      </c>
      <c r="AF1132" s="15" t="str">
        <f t="shared" si="1"/>
        <v/>
      </c>
      <c r="AG1132" s="15" t="str">
        <f>IF(OR(AF1132="",AF1132="ERRO_CHAVE"),"",IFERROR(MATCH(AF1132,'quitado Despesa'!$V$1:$V$12,0),""))</f>
        <v/>
      </c>
      <c r="AH1132" s="15" t="str">
        <f t="shared" si="2"/>
        <v/>
      </c>
      <c r="AI1132" s="17" t="str">
        <f>IF(AG1132="","",INDEX('quitado Despesa'!$G$1:$G$12,AG1132))</f>
        <v/>
      </c>
      <c r="AJ1132" s="17" t="str">
        <f t="shared" si="3"/>
        <v/>
      </c>
    </row>
    <row r="1133" spans="31:36">
      <c r="AE1133" s="15" t="str">
        <f t="shared" si="0"/>
        <v/>
      </c>
      <c r="AF1133" s="15" t="str">
        <f t="shared" si="1"/>
        <v/>
      </c>
      <c r="AG1133" s="15" t="str">
        <f>IF(OR(AF1133="",AF1133="ERRO_CHAVE"),"",IFERROR(MATCH(AF1133,'quitado Despesa'!$V$1:$V$12,0),""))</f>
        <v/>
      </c>
      <c r="AH1133" s="15" t="str">
        <f t="shared" si="2"/>
        <v/>
      </c>
      <c r="AI1133" s="17" t="str">
        <f>IF(AG1133="","",INDEX('quitado Despesa'!$G$1:$G$12,AG1133))</f>
        <v/>
      </c>
      <c r="AJ1133" s="17" t="str">
        <f t="shared" si="3"/>
        <v/>
      </c>
    </row>
    <row r="1134" spans="31:36">
      <c r="AE1134" s="15" t="str">
        <f t="shared" si="0"/>
        <v/>
      </c>
      <c r="AF1134" s="15" t="str">
        <f t="shared" si="1"/>
        <v/>
      </c>
      <c r="AG1134" s="15" t="str">
        <f>IF(OR(AF1134="",AF1134="ERRO_CHAVE"),"",IFERROR(MATCH(AF1134,'quitado Despesa'!$V$1:$V$12,0),""))</f>
        <v/>
      </c>
      <c r="AH1134" s="15" t="str">
        <f t="shared" si="2"/>
        <v/>
      </c>
      <c r="AI1134" s="17" t="str">
        <f>IF(AG1134="","",INDEX('quitado Despesa'!$G$1:$G$12,AG1134))</f>
        <v/>
      </c>
      <c r="AJ1134" s="17" t="str">
        <f t="shared" si="3"/>
        <v/>
      </c>
    </row>
    <row r="1135" spans="31:36">
      <c r="AE1135" s="15" t="str">
        <f t="shared" si="0"/>
        <v/>
      </c>
      <c r="AF1135" s="15" t="str">
        <f t="shared" si="1"/>
        <v/>
      </c>
      <c r="AG1135" s="15" t="str">
        <f>IF(OR(AF1135="",AF1135="ERRO_CHAVE"),"",IFERROR(MATCH(AF1135,'quitado Despesa'!$V$1:$V$12,0),""))</f>
        <v/>
      </c>
      <c r="AH1135" s="15" t="str">
        <f t="shared" si="2"/>
        <v/>
      </c>
      <c r="AI1135" s="17" t="str">
        <f>IF(AG1135="","",INDEX('quitado Despesa'!$G$1:$G$12,AG1135))</f>
        <v/>
      </c>
      <c r="AJ1135" s="17" t="str">
        <f t="shared" si="3"/>
        <v/>
      </c>
    </row>
    <row r="1136" spans="31:36">
      <c r="AE1136" s="15" t="str">
        <f t="shared" si="0"/>
        <v/>
      </c>
      <c r="AF1136" s="15" t="str">
        <f t="shared" si="1"/>
        <v/>
      </c>
      <c r="AG1136" s="15" t="str">
        <f>IF(OR(AF1136="",AF1136="ERRO_CHAVE"),"",IFERROR(MATCH(AF1136,'quitado Despesa'!$V$1:$V$12,0),""))</f>
        <v/>
      </c>
      <c r="AH1136" s="15" t="str">
        <f t="shared" si="2"/>
        <v/>
      </c>
      <c r="AI1136" s="17" t="str">
        <f>IF(AG1136="","",INDEX('quitado Despesa'!$G$1:$G$12,AG1136))</f>
        <v/>
      </c>
      <c r="AJ1136" s="17" t="str">
        <f t="shared" si="3"/>
        <v/>
      </c>
    </row>
    <row r="1137" spans="31:36">
      <c r="AE1137" s="15" t="str">
        <f t="shared" si="0"/>
        <v/>
      </c>
      <c r="AF1137" s="15" t="str">
        <f t="shared" si="1"/>
        <v/>
      </c>
      <c r="AG1137" s="15" t="str">
        <f>IF(OR(AF1137="",AF1137="ERRO_CHAVE"),"",IFERROR(MATCH(AF1137,'quitado Despesa'!$V$1:$V$12,0),""))</f>
        <v/>
      </c>
      <c r="AH1137" s="15" t="str">
        <f t="shared" si="2"/>
        <v/>
      </c>
      <c r="AI1137" s="17" t="str">
        <f>IF(AG1137="","",INDEX('quitado Despesa'!$G$1:$G$12,AG1137))</f>
        <v/>
      </c>
      <c r="AJ1137" s="17" t="str">
        <f t="shared" si="3"/>
        <v/>
      </c>
    </row>
    <row r="1138" spans="31:36">
      <c r="AE1138" s="15" t="str">
        <f t="shared" si="0"/>
        <v/>
      </c>
      <c r="AF1138" s="15" t="str">
        <f t="shared" si="1"/>
        <v/>
      </c>
      <c r="AG1138" s="15" t="str">
        <f>IF(OR(AF1138="",AF1138="ERRO_CHAVE"),"",IFERROR(MATCH(AF1138,'quitado Despesa'!$V$1:$V$12,0),""))</f>
        <v/>
      </c>
      <c r="AH1138" s="15" t="str">
        <f t="shared" si="2"/>
        <v/>
      </c>
      <c r="AI1138" s="17" t="str">
        <f>IF(AG1138="","",INDEX('quitado Despesa'!$G$1:$G$12,AG1138))</f>
        <v/>
      </c>
      <c r="AJ1138" s="17" t="str">
        <f t="shared" si="3"/>
        <v/>
      </c>
    </row>
    <row r="1139" spans="31:36">
      <c r="AE1139" s="15" t="str">
        <f t="shared" si="0"/>
        <v/>
      </c>
      <c r="AF1139" s="15" t="str">
        <f t="shared" si="1"/>
        <v/>
      </c>
      <c r="AG1139" s="15" t="str">
        <f>IF(OR(AF1139="",AF1139="ERRO_CHAVE"),"",IFERROR(MATCH(AF1139,'quitado Despesa'!$V$1:$V$12,0),""))</f>
        <v/>
      </c>
      <c r="AH1139" s="15" t="str">
        <f t="shared" si="2"/>
        <v/>
      </c>
      <c r="AI1139" s="17" t="str">
        <f>IF(AG1139="","",INDEX('quitado Despesa'!$G$1:$G$12,AG1139))</f>
        <v/>
      </c>
      <c r="AJ1139" s="17" t="str">
        <f t="shared" si="3"/>
        <v/>
      </c>
    </row>
    <row r="1140" spans="31:36">
      <c r="AE1140" s="15" t="str">
        <f t="shared" si="0"/>
        <v/>
      </c>
      <c r="AF1140" s="15" t="str">
        <f t="shared" si="1"/>
        <v/>
      </c>
      <c r="AG1140" s="15" t="str">
        <f>IF(OR(AF1140="",AF1140="ERRO_CHAVE"),"",IFERROR(MATCH(AF1140,'quitado Despesa'!$V$1:$V$12,0),""))</f>
        <v/>
      </c>
      <c r="AH1140" s="15" t="str">
        <f t="shared" si="2"/>
        <v/>
      </c>
      <c r="AI1140" s="17" t="str">
        <f>IF(AG1140="","",INDEX('quitado Despesa'!$G$1:$G$12,AG1140))</f>
        <v/>
      </c>
      <c r="AJ1140" s="17" t="str">
        <f t="shared" si="3"/>
        <v/>
      </c>
    </row>
    <row r="1141" spans="31:36">
      <c r="AE1141" s="15" t="str">
        <f t="shared" si="0"/>
        <v/>
      </c>
      <c r="AF1141" s="15" t="str">
        <f t="shared" si="1"/>
        <v/>
      </c>
      <c r="AG1141" s="15" t="str">
        <f>IF(OR(AF1141="",AF1141="ERRO_CHAVE"),"",IFERROR(MATCH(AF1141,'quitado Despesa'!$V$1:$V$12,0),""))</f>
        <v/>
      </c>
      <c r="AH1141" s="15" t="str">
        <f t="shared" si="2"/>
        <v/>
      </c>
      <c r="AI1141" s="17" t="str">
        <f>IF(AG1141="","",INDEX('quitado Despesa'!$G$1:$G$12,AG1141))</f>
        <v/>
      </c>
      <c r="AJ1141" s="17" t="str">
        <f t="shared" si="3"/>
        <v/>
      </c>
    </row>
    <row r="1142" spans="31:36">
      <c r="AE1142" s="15" t="str">
        <f t="shared" si="0"/>
        <v/>
      </c>
      <c r="AF1142" s="15" t="str">
        <f t="shared" si="1"/>
        <v/>
      </c>
      <c r="AG1142" s="15" t="str">
        <f>IF(OR(AF1142="",AF1142="ERRO_CHAVE"),"",IFERROR(MATCH(AF1142,'quitado Despesa'!$V$1:$V$12,0),""))</f>
        <v/>
      </c>
      <c r="AH1142" s="15" t="str">
        <f t="shared" si="2"/>
        <v/>
      </c>
      <c r="AI1142" s="17" t="str">
        <f>IF(AG1142="","",INDEX('quitado Despesa'!$G$1:$G$12,AG1142))</f>
        <v/>
      </c>
      <c r="AJ1142" s="17" t="str">
        <f t="shared" si="3"/>
        <v/>
      </c>
    </row>
    <row r="1143" spans="31:36">
      <c r="AE1143" s="15" t="str">
        <f t="shared" si="0"/>
        <v/>
      </c>
      <c r="AF1143" s="15" t="str">
        <f t="shared" si="1"/>
        <v/>
      </c>
      <c r="AG1143" s="15" t="str">
        <f>IF(OR(AF1143="",AF1143="ERRO_CHAVE"),"",IFERROR(MATCH(AF1143,'quitado Despesa'!$V$1:$V$12,0),""))</f>
        <v/>
      </c>
      <c r="AH1143" s="15" t="str">
        <f t="shared" si="2"/>
        <v/>
      </c>
      <c r="AI1143" s="17" t="str">
        <f>IF(AG1143="","",INDEX('quitado Despesa'!$G$1:$G$12,AG1143))</f>
        <v/>
      </c>
      <c r="AJ1143" s="17" t="str">
        <f t="shared" si="3"/>
        <v/>
      </c>
    </row>
    <row r="1144" spans="31:36">
      <c r="AE1144" s="15" t="str">
        <f t="shared" si="0"/>
        <v/>
      </c>
      <c r="AF1144" s="15" t="str">
        <f t="shared" si="1"/>
        <v/>
      </c>
      <c r="AG1144" s="15" t="str">
        <f>IF(OR(AF1144="",AF1144="ERRO_CHAVE"),"",IFERROR(MATCH(AF1144,'quitado Despesa'!$V$1:$V$12,0),""))</f>
        <v/>
      </c>
      <c r="AH1144" s="15" t="str">
        <f t="shared" si="2"/>
        <v/>
      </c>
      <c r="AI1144" s="17" t="str">
        <f>IF(AG1144="","",INDEX('quitado Despesa'!$G$1:$G$12,AG1144))</f>
        <v/>
      </c>
      <c r="AJ1144" s="17" t="str">
        <f t="shared" si="3"/>
        <v/>
      </c>
    </row>
    <row r="1145" spans="31:36">
      <c r="AE1145" s="15" t="str">
        <f t="shared" si="0"/>
        <v/>
      </c>
      <c r="AF1145" s="15" t="str">
        <f t="shared" si="1"/>
        <v/>
      </c>
      <c r="AG1145" s="15" t="str">
        <f>IF(OR(AF1145="",AF1145="ERRO_CHAVE"),"",IFERROR(MATCH(AF1145,'quitado Despesa'!$V$1:$V$12,0),""))</f>
        <v/>
      </c>
      <c r="AH1145" s="15" t="str">
        <f t="shared" si="2"/>
        <v/>
      </c>
      <c r="AI1145" s="17" t="str">
        <f>IF(AG1145="","",INDEX('quitado Despesa'!$G$1:$G$12,AG1145))</f>
        <v/>
      </c>
      <c r="AJ1145" s="17" t="str">
        <f t="shared" si="3"/>
        <v/>
      </c>
    </row>
    <row r="1146" spans="31:36">
      <c r="AE1146" s="15" t="str">
        <f t="shared" si="0"/>
        <v/>
      </c>
      <c r="AF1146" s="15" t="str">
        <f t="shared" si="1"/>
        <v/>
      </c>
      <c r="AG1146" s="15" t="str">
        <f>IF(OR(AF1146="",AF1146="ERRO_CHAVE"),"",IFERROR(MATCH(AF1146,'quitado Despesa'!$V$1:$V$12,0),""))</f>
        <v/>
      </c>
      <c r="AH1146" s="15" t="str">
        <f t="shared" si="2"/>
        <v/>
      </c>
      <c r="AI1146" s="17" t="str">
        <f>IF(AG1146="","",INDEX('quitado Despesa'!$G$1:$G$12,AG1146))</f>
        <v/>
      </c>
      <c r="AJ1146" s="17" t="str">
        <f t="shared" si="3"/>
        <v/>
      </c>
    </row>
    <row r="1147" spans="31:36">
      <c r="AE1147" s="15" t="str">
        <f t="shared" si="0"/>
        <v/>
      </c>
      <c r="AF1147" s="15" t="str">
        <f t="shared" si="1"/>
        <v/>
      </c>
      <c r="AG1147" s="15" t="str">
        <f>IF(OR(AF1147="",AF1147="ERRO_CHAVE"),"",IFERROR(MATCH(AF1147,'quitado Despesa'!$V$1:$V$12,0),""))</f>
        <v/>
      </c>
      <c r="AH1147" s="15" t="str">
        <f t="shared" si="2"/>
        <v/>
      </c>
      <c r="AI1147" s="17" t="str">
        <f>IF(AG1147="","",INDEX('quitado Despesa'!$G$1:$G$12,AG1147))</f>
        <v/>
      </c>
      <c r="AJ1147" s="17" t="str">
        <f t="shared" si="3"/>
        <v/>
      </c>
    </row>
    <row r="1148" spans="31:36">
      <c r="AE1148" s="15" t="str">
        <f t="shared" si="0"/>
        <v/>
      </c>
      <c r="AF1148" s="15" t="str">
        <f t="shared" si="1"/>
        <v/>
      </c>
      <c r="AG1148" s="15" t="str">
        <f>IF(OR(AF1148="",AF1148="ERRO_CHAVE"),"",IFERROR(MATCH(AF1148,'quitado Despesa'!$V$1:$V$12,0),""))</f>
        <v/>
      </c>
      <c r="AH1148" s="15" t="str">
        <f t="shared" si="2"/>
        <v/>
      </c>
      <c r="AI1148" s="17" t="str">
        <f>IF(AG1148="","",INDEX('quitado Despesa'!$G$1:$G$12,AG1148))</f>
        <v/>
      </c>
      <c r="AJ1148" s="17" t="str">
        <f t="shared" si="3"/>
        <v/>
      </c>
    </row>
    <row r="1149" spans="31:36">
      <c r="AE1149" s="15" t="str">
        <f t="shared" si="0"/>
        <v/>
      </c>
      <c r="AF1149" s="15" t="str">
        <f t="shared" si="1"/>
        <v/>
      </c>
      <c r="AG1149" s="15" t="str">
        <f>IF(OR(AF1149="",AF1149="ERRO_CHAVE"),"",IFERROR(MATCH(AF1149,'quitado Despesa'!$V$1:$V$12,0),""))</f>
        <v/>
      </c>
      <c r="AH1149" s="15" t="str">
        <f t="shared" si="2"/>
        <v/>
      </c>
      <c r="AI1149" s="17" t="str">
        <f>IF(AG1149="","",INDEX('quitado Despesa'!$G$1:$G$12,AG1149))</f>
        <v/>
      </c>
      <c r="AJ1149" s="17" t="str">
        <f t="shared" si="3"/>
        <v/>
      </c>
    </row>
    <row r="1150" spans="31:36">
      <c r="AE1150" s="15" t="str">
        <f t="shared" si="0"/>
        <v/>
      </c>
      <c r="AF1150" s="15" t="str">
        <f t="shared" si="1"/>
        <v/>
      </c>
      <c r="AG1150" s="15" t="str">
        <f>IF(OR(AF1150="",AF1150="ERRO_CHAVE"),"",IFERROR(MATCH(AF1150,'quitado Despesa'!$V$1:$V$12,0),""))</f>
        <v/>
      </c>
      <c r="AH1150" s="15" t="str">
        <f t="shared" si="2"/>
        <v/>
      </c>
      <c r="AI1150" s="17" t="str">
        <f>IF(AG1150="","",INDEX('quitado Despesa'!$G$1:$G$12,AG1150))</f>
        <v/>
      </c>
      <c r="AJ1150" s="17" t="str">
        <f t="shared" si="3"/>
        <v/>
      </c>
    </row>
    <row r="1151" spans="31:36">
      <c r="AE1151" s="15" t="str">
        <f t="shared" si="0"/>
        <v/>
      </c>
      <c r="AF1151" s="15" t="str">
        <f t="shared" si="1"/>
        <v/>
      </c>
      <c r="AG1151" s="15" t="str">
        <f>IF(OR(AF1151="",AF1151="ERRO_CHAVE"),"",IFERROR(MATCH(AF1151,'quitado Despesa'!$V$1:$V$12,0),""))</f>
        <v/>
      </c>
      <c r="AH1151" s="15" t="str">
        <f t="shared" si="2"/>
        <v/>
      </c>
      <c r="AI1151" s="17" t="str">
        <f>IF(AG1151="","",INDEX('quitado Despesa'!$G$1:$G$12,AG1151))</f>
        <v/>
      </c>
      <c r="AJ1151" s="17" t="str">
        <f t="shared" si="3"/>
        <v/>
      </c>
    </row>
    <row r="1152" spans="31:36">
      <c r="AE1152" s="15" t="str">
        <f t="shared" si="0"/>
        <v/>
      </c>
      <c r="AF1152" s="15" t="str">
        <f t="shared" si="1"/>
        <v/>
      </c>
      <c r="AG1152" s="15" t="str">
        <f>IF(OR(AF1152="",AF1152="ERRO_CHAVE"),"",IFERROR(MATCH(AF1152,'quitado Despesa'!$V$1:$V$12,0),""))</f>
        <v/>
      </c>
      <c r="AH1152" s="15" t="str">
        <f t="shared" si="2"/>
        <v/>
      </c>
      <c r="AI1152" s="17" t="str">
        <f>IF(AG1152="","",INDEX('quitado Despesa'!$G$1:$G$12,AG1152))</f>
        <v/>
      </c>
      <c r="AJ1152" s="17" t="str">
        <f t="shared" si="3"/>
        <v/>
      </c>
    </row>
    <row r="1153" spans="31:36">
      <c r="AE1153" s="15" t="str">
        <f t="shared" si="0"/>
        <v/>
      </c>
      <c r="AF1153" s="15" t="str">
        <f t="shared" si="1"/>
        <v/>
      </c>
      <c r="AG1153" s="15" t="str">
        <f>IF(OR(AF1153="",AF1153="ERRO_CHAVE"),"",IFERROR(MATCH(AF1153,'quitado Despesa'!$V$1:$V$12,0),""))</f>
        <v/>
      </c>
      <c r="AH1153" s="15" t="str">
        <f t="shared" si="2"/>
        <v/>
      </c>
      <c r="AI1153" s="17" t="str">
        <f>IF(AG1153="","",INDEX('quitado Despesa'!$G$1:$G$12,AG1153))</f>
        <v/>
      </c>
      <c r="AJ1153" s="17" t="str">
        <f t="shared" si="3"/>
        <v/>
      </c>
    </row>
    <row r="1154" spans="31:36">
      <c r="AE1154" s="15" t="str">
        <f t="shared" si="0"/>
        <v/>
      </c>
      <c r="AF1154" s="15" t="str">
        <f t="shared" si="1"/>
        <v/>
      </c>
      <c r="AG1154" s="15" t="str">
        <f>IF(OR(AF1154="",AF1154="ERRO_CHAVE"),"",IFERROR(MATCH(AF1154,'quitado Despesa'!$V$1:$V$12,0),""))</f>
        <v/>
      </c>
      <c r="AH1154" s="15" t="str">
        <f t="shared" si="2"/>
        <v/>
      </c>
      <c r="AI1154" s="17" t="str">
        <f>IF(AG1154="","",INDEX('quitado Despesa'!$G$1:$G$12,AG1154))</f>
        <v/>
      </c>
      <c r="AJ1154" s="17" t="str">
        <f t="shared" si="3"/>
        <v/>
      </c>
    </row>
    <row r="1155" spans="31:36">
      <c r="AE1155" s="15" t="str">
        <f t="shared" si="0"/>
        <v/>
      </c>
      <c r="AF1155" s="15" t="str">
        <f t="shared" si="1"/>
        <v/>
      </c>
      <c r="AG1155" s="15" t="str">
        <f>IF(OR(AF1155="",AF1155="ERRO_CHAVE"),"",IFERROR(MATCH(AF1155,'quitado Despesa'!$V$1:$V$12,0),""))</f>
        <v/>
      </c>
      <c r="AH1155" s="15" t="str">
        <f t="shared" si="2"/>
        <v/>
      </c>
      <c r="AI1155" s="17" t="str">
        <f>IF(AG1155="","",INDEX('quitado Despesa'!$G$1:$G$12,AG1155))</f>
        <v/>
      </c>
      <c r="AJ1155" s="17" t="str">
        <f t="shared" si="3"/>
        <v/>
      </c>
    </row>
    <row r="1156" spans="31:36">
      <c r="AE1156" s="15" t="str">
        <f t="shared" si="0"/>
        <v/>
      </c>
      <c r="AF1156" s="15" t="str">
        <f t="shared" si="1"/>
        <v/>
      </c>
      <c r="AG1156" s="15" t="str">
        <f>IF(OR(AF1156="",AF1156="ERRO_CHAVE"),"",IFERROR(MATCH(AF1156,'quitado Despesa'!$V$1:$V$12,0),""))</f>
        <v/>
      </c>
      <c r="AH1156" s="15" t="str">
        <f t="shared" si="2"/>
        <v/>
      </c>
      <c r="AI1156" s="17" t="str">
        <f>IF(AG1156="","",INDEX('quitado Despesa'!$G$1:$G$12,AG1156))</f>
        <v/>
      </c>
      <c r="AJ1156" s="17" t="str">
        <f t="shared" si="3"/>
        <v/>
      </c>
    </row>
    <row r="1157" spans="31:36">
      <c r="AE1157" s="15" t="str">
        <f t="shared" si="0"/>
        <v/>
      </c>
      <c r="AF1157" s="15" t="str">
        <f t="shared" si="1"/>
        <v/>
      </c>
      <c r="AG1157" s="15" t="str">
        <f>IF(OR(AF1157="",AF1157="ERRO_CHAVE"),"",IFERROR(MATCH(AF1157,'quitado Despesa'!$V$1:$V$12,0),""))</f>
        <v/>
      </c>
      <c r="AH1157" s="15" t="str">
        <f t="shared" si="2"/>
        <v/>
      </c>
      <c r="AI1157" s="17" t="str">
        <f>IF(AG1157="","",INDEX('quitado Despesa'!$G$1:$G$12,AG1157))</f>
        <v/>
      </c>
      <c r="AJ1157" s="17" t="str">
        <f t="shared" si="3"/>
        <v/>
      </c>
    </row>
    <row r="1158" spans="31:36">
      <c r="AE1158" s="15" t="str">
        <f t="shared" si="0"/>
        <v/>
      </c>
      <c r="AF1158" s="15" t="str">
        <f t="shared" si="1"/>
        <v/>
      </c>
      <c r="AG1158" s="15" t="str">
        <f>IF(OR(AF1158="",AF1158="ERRO_CHAVE"),"",IFERROR(MATCH(AF1158,'quitado Despesa'!$V$1:$V$12,0),""))</f>
        <v/>
      </c>
      <c r="AH1158" s="15" t="str">
        <f t="shared" si="2"/>
        <v/>
      </c>
      <c r="AI1158" s="17" t="str">
        <f>IF(AG1158="","",INDEX('quitado Despesa'!$G$1:$G$12,AG1158))</f>
        <v/>
      </c>
      <c r="AJ1158" s="17" t="str">
        <f t="shared" si="3"/>
        <v/>
      </c>
    </row>
    <row r="1159" spans="31:36">
      <c r="AE1159" s="15" t="str">
        <f t="shared" si="0"/>
        <v/>
      </c>
      <c r="AF1159" s="15" t="str">
        <f t="shared" si="1"/>
        <v/>
      </c>
      <c r="AG1159" s="15" t="str">
        <f>IF(OR(AF1159="",AF1159="ERRO_CHAVE"),"",IFERROR(MATCH(AF1159,'quitado Despesa'!$V$1:$V$12,0),""))</f>
        <v/>
      </c>
      <c r="AH1159" s="15" t="str">
        <f t="shared" si="2"/>
        <v/>
      </c>
      <c r="AI1159" s="17" t="str">
        <f>IF(AG1159="","",INDEX('quitado Despesa'!$G$1:$G$12,AG1159))</f>
        <v/>
      </c>
      <c r="AJ1159" s="17" t="str">
        <f t="shared" si="3"/>
        <v/>
      </c>
    </row>
    <row r="1160" spans="31:36">
      <c r="AE1160" s="15" t="str">
        <f t="shared" si="0"/>
        <v/>
      </c>
      <c r="AF1160" s="15" t="str">
        <f t="shared" si="1"/>
        <v/>
      </c>
      <c r="AG1160" s="15" t="str">
        <f>IF(OR(AF1160="",AF1160="ERRO_CHAVE"),"",IFERROR(MATCH(AF1160,'quitado Despesa'!$V$1:$V$12,0),""))</f>
        <v/>
      </c>
      <c r="AH1160" s="15" t="str">
        <f t="shared" si="2"/>
        <v/>
      </c>
      <c r="AI1160" s="17" t="str">
        <f>IF(AG1160="","",INDEX('quitado Despesa'!$G$1:$G$12,AG1160))</f>
        <v/>
      </c>
      <c r="AJ1160" s="17" t="str">
        <f t="shared" si="3"/>
        <v/>
      </c>
    </row>
    <row r="1161" spans="31:36">
      <c r="AE1161" s="15" t="str">
        <f t="shared" si="0"/>
        <v/>
      </c>
      <c r="AF1161" s="15" t="str">
        <f t="shared" si="1"/>
        <v/>
      </c>
      <c r="AG1161" s="15" t="str">
        <f>IF(OR(AF1161="",AF1161="ERRO_CHAVE"),"",IFERROR(MATCH(AF1161,'quitado Despesa'!$V$1:$V$12,0),""))</f>
        <v/>
      </c>
      <c r="AH1161" s="15" t="str">
        <f t="shared" si="2"/>
        <v/>
      </c>
      <c r="AI1161" s="17" t="str">
        <f>IF(AG1161="","",INDEX('quitado Despesa'!$G$1:$G$12,AG1161))</f>
        <v/>
      </c>
      <c r="AJ1161" s="17" t="str">
        <f t="shared" si="3"/>
        <v/>
      </c>
    </row>
    <row r="1162" spans="31:36">
      <c r="AE1162" s="15" t="str">
        <f t="shared" si="0"/>
        <v/>
      </c>
      <c r="AF1162" s="15" t="str">
        <f t="shared" si="1"/>
        <v/>
      </c>
      <c r="AG1162" s="15" t="str">
        <f>IF(OR(AF1162="",AF1162="ERRO_CHAVE"),"",IFERROR(MATCH(AF1162,'quitado Despesa'!$V$1:$V$12,0),""))</f>
        <v/>
      </c>
      <c r="AH1162" s="15" t="str">
        <f t="shared" si="2"/>
        <v/>
      </c>
      <c r="AI1162" s="17" t="str">
        <f>IF(AG1162="","",INDEX('quitado Despesa'!$G$1:$G$12,AG1162))</f>
        <v/>
      </c>
      <c r="AJ1162" s="17" t="str">
        <f t="shared" si="3"/>
        <v/>
      </c>
    </row>
    <row r="1163" spans="31:36">
      <c r="AE1163" s="15" t="str">
        <f t="shared" si="0"/>
        <v/>
      </c>
      <c r="AF1163" s="15" t="str">
        <f t="shared" si="1"/>
        <v/>
      </c>
      <c r="AG1163" s="15" t="str">
        <f>IF(OR(AF1163="",AF1163="ERRO_CHAVE"),"",IFERROR(MATCH(AF1163,'quitado Despesa'!$V$1:$V$12,0),""))</f>
        <v/>
      </c>
      <c r="AH1163" s="15" t="str">
        <f t="shared" si="2"/>
        <v/>
      </c>
      <c r="AI1163" s="17" t="str">
        <f>IF(AG1163="","",INDEX('quitado Despesa'!$G$1:$G$12,AG1163))</f>
        <v/>
      </c>
      <c r="AJ1163" s="17" t="str">
        <f t="shared" si="3"/>
        <v/>
      </c>
    </row>
    <row r="1164" spans="31:36">
      <c r="AE1164" s="15" t="str">
        <f t="shared" si="0"/>
        <v/>
      </c>
      <c r="AF1164" s="15" t="str">
        <f t="shared" si="1"/>
        <v/>
      </c>
      <c r="AG1164" s="15" t="str">
        <f>IF(OR(AF1164="",AF1164="ERRO_CHAVE"),"",IFERROR(MATCH(AF1164,'quitado Despesa'!$V$1:$V$12,0),""))</f>
        <v/>
      </c>
      <c r="AH1164" s="15" t="str">
        <f t="shared" si="2"/>
        <v/>
      </c>
      <c r="AI1164" s="17" t="str">
        <f>IF(AG1164="","",INDEX('quitado Despesa'!$G$1:$G$12,AG1164))</f>
        <v/>
      </c>
      <c r="AJ1164" s="17" t="str">
        <f t="shared" si="3"/>
        <v/>
      </c>
    </row>
    <row r="1165" spans="31:36">
      <c r="AE1165" s="15" t="str">
        <f t="shared" si="0"/>
        <v/>
      </c>
      <c r="AF1165" s="15" t="str">
        <f t="shared" si="1"/>
        <v/>
      </c>
      <c r="AG1165" s="15" t="str">
        <f>IF(OR(AF1165="",AF1165="ERRO_CHAVE"),"",IFERROR(MATCH(AF1165,'quitado Despesa'!$V$1:$V$12,0),""))</f>
        <v/>
      </c>
      <c r="AH1165" s="15" t="str">
        <f t="shared" si="2"/>
        <v/>
      </c>
      <c r="AI1165" s="17" t="str">
        <f>IF(AG1165="","",INDEX('quitado Despesa'!$G$1:$G$12,AG1165))</f>
        <v/>
      </c>
      <c r="AJ1165" s="17" t="str">
        <f t="shared" si="3"/>
        <v/>
      </c>
    </row>
    <row r="1166" spans="31:36">
      <c r="AE1166" s="15" t="str">
        <f t="shared" si="0"/>
        <v/>
      </c>
      <c r="AF1166" s="15" t="str">
        <f t="shared" si="1"/>
        <v/>
      </c>
      <c r="AG1166" s="15" t="str">
        <f>IF(OR(AF1166="",AF1166="ERRO_CHAVE"),"",IFERROR(MATCH(AF1166,'quitado Despesa'!$V$1:$V$12,0),""))</f>
        <v/>
      </c>
      <c r="AH1166" s="15" t="str">
        <f t="shared" si="2"/>
        <v/>
      </c>
      <c r="AI1166" s="17" t="str">
        <f>IF(AG1166="","",INDEX('quitado Despesa'!$G$1:$G$12,AG1166))</f>
        <v/>
      </c>
      <c r="AJ1166" s="17" t="str">
        <f t="shared" si="3"/>
        <v/>
      </c>
    </row>
    <row r="1167" spans="31:36">
      <c r="AE1167" s="15" t="str">
        <f t="shared" si="0"/>
        <v/>
      </c>
      <c r="AF1167" s="15" t="str">
        <f t="shared" si="1"/>
        <v/>
      </c>
      <c r="AG1167" s="15" t="str">
        <f>IF(OR(AF1167="",AF1167="ERRO_CHAVE"),"",IFERROR(MATCH(AF1167,'quitado Despesa'!$V$1:$V$12,0),""))</f>
        <v/>
      </c>
      <c r="AH1167" s="15" t="str">
        <f t="shared" si="2"/>
        <v/>
      </c>
      <c r="AI1167" s="17" t="str">
        <f>IF(AG1167="","",INDEX('quitado Despesa'!$G$1:$G$12,AG1167))</f>
        <v/>
      </c>
      <c r="AJ1167" s="17" t="str">
        <f t="shared" si="3"/>
        <v/>
      </c>
    </row>
    <row r="1168" spans="31:36">
      <c r="AE1168" s="15" t="str">
        <f t="shared" si="0"/>
        <v/>
      </c>
      <c r="AF1168" s="15" t="str">
        <f t="shared" si="1"/>
        <v/>
      </c>
      <c r="AG1168" s="15" t="str">
        <f>IF(OR(AF1168="",AF1168="ERRO_CHAVE"),"",IFERROR(MATCH(AF1168,'quitado Despesa'!$V$1:$V$12,0),""))</f>
        <v/>
      </c>
      <c r="AH1168" s="15" t="str">
        <f t="shared" si="2"/>
        <v/>
      </c>
      <c r="AI1168" s="17" t="str">
        <f>IF(AG1168="","",INDEX('quitado Despesa'!$G$1:$G$12,AG1168))</f>
        <v/>
      </c>
      <c r="AJ1168" s="17" t="str">
        <f t="shared" si="3"/>
        <v/>
      </c>
    </row>
    <row r="1169" spans="31:36">
      <c r="AE1169" s="15" t="str">
        <f t="shared" si="0"/>
        <v/>
      </c>
      <c r="AF1169" s="15" t="str">
        <f t="shared" si="1"/>
        <v/>
      </c>
      <c r="AG1169" s="15" t="str">
        <f>IF(OR(AF1169="",AF1169="ERRO_CHAVE"),"",IFERROR(MATCH(AF1169,'quitado Despesa'!$V$1:$V$12,0),""))</f>
        <v/>
      </c>
      <c r="AH1169" s="15" t="str">
        <f t="shared" si="2"/>
        <v/>
      </c>
      <c r="AI1169" s="17" t="str">
        <f>IF(AG1169="","",INDEX('quitado Despesa'!$G$1:$G$12,AG1169))</f>
        <v/>
      </c>
      <c r="AJ1169" s="17" t="str">
        <f t="shared" si="3"/>
        <v/>
      </c>
    </row>
    <row r="1170" spans="31:36">
      <c r="AE1170" s="15" t="str">
        <f t="shared" si="0"/>
        <v/>
      </c>
      <c r="AF1170" s="15" t="str">
        <f t="shared" si="1"/>
        <v/>
      </c>
      <c r="AG1170" s="15" t="str">
        <f>IF(OR(AF1170="",AF1170="ERRO_CHAVE"),"",IFERROR(MATCH(AF1170,'quitado Despesa'!$V$1:$V$12,0),""))</f>
        <v/>
      </c>
      <c r="AH1170" s="15" t="str">
        <f t="shared" si="2"/>
        <v/>
      </c>
      <c r="AI1170" s="17" t="str">
        <f>IF(AG1170="","",INDEX('quitado Despesa'!$G$1:$G$12,AG1170))</f>
        <v/>
      </c>
      <c r="AJ1170" s="17" t="str">
        <f t="shared" si="3"/>
        <v/>
      </c>
    </row>
    <row r="1171" spans="31:36">
      <c r="AE1171" s="15" t="str">
        <f t="shared" si="0"/>
        <v/>
      </c>
      <c r="AF1171" s="15" t="str">
        <f t="shared" si="1"/>
        <v/>
      </c>
      <c r="AG1171" s="15" t="str">
        <f>IF(OR(AF1171="",AF1171="ERRO_CHAVE"),"",IFERROR(MATCH(AF1171,'quitado Despesa'!$V$1:$V$12,0),""))</f>
        <v/>
      </c>
      <c r="AH1171" s="15" t="str">
        <f t="shared" si="2"/>
        <v/>
      </c>
      <c r="AI1171" s="17" t="str">
        <f>IF(AG1171="","",INDEX('quitado Despesa'!$G$1:$G$12,AG1171))</f>
        <v/>
      </c>
      <c r="AJ1171" s="17" t="str">
        <f t="shared" si="3"/>
        <v/>
      </c>
    </row>
    <row r="1172" spans="31:36">
      <c r="AE1172" s="15" t="str">
        <f t="shared" si="0"/>
        <v/>
      </c>
      <c r="AF1172" s="15" t="str">
        <f t="shared" si="1"/>
        <v/>
      </c>
      <c r="AG1172" s="15" t="str">
        <f>IF(OR(AF1172="",AF1172="ERRO_CHAVE"),"",IFERROR(MATCH(AF1172,'quitado Despesa'!$V$1:$V$12,0),""))</f>
        <v/>
      </c>
      <c r="AH1172" s="15" t="str">
        <f t="shared" si="2"/>
        <v/>
      </c>
      <c r="AI1172" s="17" t="str">
        <f>IF(AG1172="","",INDEX('quitado Despesa'!$G$1:$G$12,AG1172))</f>
        <v/>
      </c>
      <c r="AJ1172" s="17" t="str">
        <f t="shared" si="3"/>
        <v/>
      </c>
    </row>
    <row r="1173" spans="31:36">
      <c r="AE1173" s="15" t="str">
        <f t="shared" si="0"/>
        <v/>
      </c>
      <c r="AF1173" s="15" t="str">
        <f t="shared" si="1"/>
        <v/>
      </c>
      <c r="AG1173" s="15" t="str">
        <f>IF(OR(AF1173="",AF1173="ERRO_CHAVE"),"",IFERROR(MATCH(AF1173,'quitado Despesa'!$V$1:$V$12,0),""))</f>
        <v/>
      </c>
      <c r="AH1173" s="15" t="str">
        <f t="shared" si="2"/>
        <v/>
      </c>
      <c r="AI1173" s="17" t="str">
        <f>IF(AG1173="","",INDEX('quitado Despesa'!$G$1:$G$12,AG1173))</f>
        <v/>
      </c>
      <c r="AJ1173" s="17" t="str">
        <f t="shared" si="3"/>
        <v/>
      </c>
    </row>
    <row r="1174" spans="31:36">
      <c r="AE1174" s="15" t="str">
        <f t="shared" si="0"/>
        <v/>
      </c>
      <c r="AF1174" s="15" t="str">
        <f t="shared" si="1"/>
        <v/>
      </c>
      <c r="AG1174" s="15" t="str">
        <f>IF(OR(AF1174="",AF1174="ERRO_CHAVE"),"",IFERROR(MATCH(AF1174,'quitado Despesa'!$V$1:$V$12,0),""))</f>
        <v/>
      </c>
      <c r="AH1174" s="15" t="str">
        <f t="shared" si="2"/>
        <v/>
      </c>
      <c r="AI1174" s="17" t="str">
        <f>IF(AG1174="","",INDEX('quitado Despesa'!$G$1:$G$12,AG1174))</f>
        <v/>
      </c>
      <c r="AJ1174" s="17" t="str">
        <f t="shared" si="3"/>
        <v/>
      </c>
    </row>
    <row r="1175" spans="31:36">
      <c r="AE1175" s="15" t="str">
        <f t="shared" si="0"/>
        <v/>
      </c>
      <c r="AF1175" s="15" t="str">
        <f t="shared" si="1"/>
        <v/>
      </c>
      <c r="AG1175" s="15" t="str">
        <f>IF(OR(AF1175="",AF1175="ERRO_CHAVE"),"",IFERROR(MATCH(AF1175,'quitado Despesa'!$V$1:$V$12,0),""))</f>
        <v/>
      </c>
      <c r="AH1175" s="15" t="str">
        <f t="shared" si="2"/>
        <v/>
      </c>
      <c r="AI1175" s="17" t="str">
        <f>IF(AG1175="","",INDEX('quitado Despesa'!$G$1:$G$12,AG1175))</f>
        <v/>
      </c>
      <c r="AJ1175" s="17" t="str">
        <f t="shared" si="3"/>
        <v/>
      </c>
    </row>
    <row r="1176" spans="31:36">
      <c r="AE1176" s="15" t="str">
        <f t="shared" si="0"/>
        <v/>
      </c>
      <c r="AF1176" s="15" t="str">
        <f t="shared" si="1"/>
        <v/>
      </c>
      <c r="AG1176" s="15" t="str">
        <f>IF(OR(AF1176="",AF1176="ERRO_CHAVE"),"",IFERROR(MATCH(AF1176,'quitado Despesa'!$V$1:$V$12,0),""))</f>
        <v/>
      </c>
      <c r="AH1176" s="15" t="str">
        <f t="shared" si="2"/>
        <v/>
      </c>
      <c r="AI1176" s="17" t="str">
        <f>IF(AG1176="","",INDEX('quitado Despesa'!$G$1:$G$12,AG1176))</f>
        <v/>
      </c>
      <c r="AJ1176" s="17" t="str">
        <f t="shared" si="3"/>
        <v/>
      </c>
    </row>
    <row r="1177" spans="31:36">
      <c r="AE1177" s="15" t="str">
        <f t="shared" si="0"/>
        <v/>
      </c>
      <c r="AF1177" s="15" t="str">
        <f t="shared" si="1"/>
        <v/>
      </c>
      <c r="AG1177" s="15" t="str">
        <f>IF(OR(AF1177="",AF1177="ERRO_CHAVE"),"",IFERROR(MATCH(AF1177,'quitado Despesa'!$V$1:$V$12,0),""))</f>
        <v/>
      </c>
      <c r="AH1177" s="15" t="str">
        <f t="shared" si="2"/>
        <v/>
      </c>
      <c r="AI1177" s="17" t="str">
        <f>IF(AG1177="","",INDEX('quitado Despesa'!$G$1:$G$12,AG1177))</f>
        <v/>
      </c>
      <c r="AJ1177" s="17" t="str">
        <f t="shared" si="3"/>
        <v/>
      </c>
    </row>
    <row r="1178" spans="31:36">
      <c r="AE1178" s="15" t="str">
        <f t="shared" si="0"/>
        <v/>
      </c>
      <c r="AF1178" s="15" t="str">
        <f t="shared" si="1"/>
        <v/>
      </c>
      <c r="AG1178" s="15" t="str">
        <f>IF(OR(AF1178="",AF1178="ERRO_CHAVE"),"",IFERROR(MATCH(AF1178,'quitado Despesa'!$V$1:$V$12,0),""))</f>
        <v/>
      </c>
      <c r="AH1178" s="15" t="str">
        <f t="shared" si="2"/>
        <v/>
      </c>
      <c r="AI1178" s="17" t="str">
        <f>IF(AG1178="","",INDEX('quitado Despesa'!$G$1:$G$12,AG1178))</f>
        <v/>
      </c>
      <c r="AJ1178" s="17" t="str">
        <f t="shared" si="3"/>
        <v/>
      </c>
    </row>
    <row r="1179" spans="31:36">
      <c r="AE1179" s="15" t="str">
        <f t="shared" si="0"/>
        <v/>
      </c>
      <c r="AF1179" s="15" t="str">
        <f t="shared" si="1"/>
        <v/>
      </c>
      <c r="AG1179" s="15" t="str">
        <f>IF(OR(AF1179="",AF1179="ERRO_CHAVE"),"",IFERROR(MATCH(AF1179,'quitado Despesa'!$V$1:$V$12,0),""))</f>
        <v/>
      </c>
      <c r="AH1179" s="15" t="str">
        <f t="shared" si="2"/>
        <v/>
      </c>
      <c r="AI1179" s="17" t="str">
        <f>IF(AG1179="","",INDEX('quitado Despesa'!$G$1:$G$12,AG1179))</f>
        <v/>
      </c>
      <c r="AJ1179" s="17" t="str">
        <f t="shared" si="3"/>
        <v/>
      </c>
    </row>
    <row r="1180" spans="31:36">
      <c r="AE1180" s="15" t="str">
        <f t="shared" si="0"/>
        <v/>
      </c>
      <c r="AF1180" s="15" t="str">
        <f t="shared" si="1"/>
        <v/>
      </c>
      <c r="AG1180" s="15" t="str">
        <f>IF(OR(AF1180="",AF1180="ERRO_CHAVE"),"",IFERROR(MATCH(AF1180,'quitado Despesa'!$V$1:$V$12,0),""))</f>
        <v/>
      </c>
      <c r="AH1180" s="15" t="str">
        <f t="shared" si="2"/>
        <v/>
      </c>
      <c r="AI1180" s="17" t="str">
        <f>IF(AG1180="","",INDEX('quitado Despesa'!$G$1:$G$12,AG1180))</f>
        <v/>
      </c>
      <c r="AJ1180" s="17" t="str">
        <f t="shared" si="3"/>
        <v/>
      </c>
    </row>
    <row r="1181" spans="31:36">
      <c r="AE1181" s="15" t="str">
        <f t="shared" si="0"/>
        <v/>
      </c>
      <c r="AF1181" s="15" t="str">
        <f t="shared" si="1"/>
        <v/>
      </c>
      <c r="AG1181" s="15" t="str">
        <f>IF(OR(AF1181="",AF1181="ERRO_CHAVE"),"",IFERROR(MATCH(AF1181,'quitado Despesa'!$V$1:$V$12,0),""))</f>
        <v/>
      </c>
      <c r="AH1181" s="15" t="str">
        <f t="shared" si="2"/>
        <v/>
      </c>
      <c r="AI1181" s="17" t="str">
        <f>IF(AG1181="","",INDEX('quitado Despesa'!$G$1:$G$12,AG1181))</f>
        <v/>
      </c>
      <c r="AJ1181" s="17" t="str">
        <f t="shared" si="3"/>
        <v/>
      </c>
    </row>
    <row r="1182" spans="31:36">
      <c r="AE1182" s="15" t="str">
        <f t="shared" si="0"/>
        <v/>
      </c>
      <c r="AF1182" s="15" t="str">
        <f t="shared" si="1"/>
        <v/>
      </c>
      <c r="AG1182" s="15" t="str">
        <f>IF(OR(AF1182="",AF1182="ERRO_CHAVE"),"",IFERROR(MATCH(AF1182,'quitado Despesa'!$V$1:$V$12,0),""))</f>
        <v/>
      </c>
      <c r="AH1182" s="15" t="str">
        <f t="shared" si="2"/>
        <v/>
      </c>
      <c r="AI1182" s="17" t="str">
        <f>IF(AG1182="","",INDEX('quitado Despesa'!$G$1:$G$12,AG1182))</f>
        <v/>
      </c>
      <c r="AJ1182" s="17" t="str">
        <f t="shared" si="3"/>
        <v/>
      </c>
    </row>
    <row r="1183" spans="31:36">
      <c r="AE1183" s="15" t="str">
        <f t="shared" si="0"/>
        <v/>
      </c>
      <c r="AF1183" s="15" t="str">
        <f t="shared" si="1"/>
        <v/>
      </c>
      <c r="AG1183" s="15" t="str">
        <f>IF(OR(AF1183="",AF1183="ERRO_CHAVE"),"",IFERROR(MATCH(AF1183,'quitado Despesa'!$V$1:$V$12,0),""))</f>
        <v/>
      </c>
      <c r="AH1183" s="15" t="str">
        <f t="shared" si="2"/>
        <v/>
      </c>
      <c r="AI1183" s="17" t="str">
        <f>IF(AG1183="","",INDEX('quitado Despesa'!$G$1:$G$12,AG1183))</f>
        <v/>
      </c>
      <c r="AJ1183" s="17" t="str">
        <f t="shared" si="3"/>
        <v/>
      </c>
    </row>
    <row r="1184" spans="31:36">
      <c r="AE1184" s="15" t="str">
        <f t="shared" si="0"/>
        <v/>
      </c>
      <c r="AF1184" s="15" t="str">
        <f t="shared" si="1"/>
        <v/>
      </c>
      <c r="AG1184" s="15" t="str">
        <f>IF(OR(AF1184="",AF1184="ERRO_CHAVE"),"",IFERROR(MATCH(AF1184,'quitado Despesa'!$V$1:$V$12,0),""))</f>
        <v/>
      </c>
      <c r="AH1184" s="15" t="str">
        <f t="shared" si="2"/>
        <v/>
      </c>
      <c r="AI1184" s="17" t="str">
        <f>IF(AG1184="","",INDEX('quitado Despesa'!$G$1:$G$12,AG1184))</f>
        <v/>
      </c>
      <c r="AJ1184" s="17" t="str">
        <f t="shared" si="3"/>
        <v/>
      </c>
    </row>
    <row r="1185" spans="31:36">
      <c r="AE1185" s="15" t="str">
        <f t="shared" si="0"/>
        <v/>
      </c>
      <c r="AF1185" s="15" t="str">
        <f t="shared" si="1"/>
        <v/>
      </c>
      <c r="AG1185" s="15" t="str">
        <f>IF(OR(AF1185="",AF1185="ERRO_CHAVE"),"",IFERROR(MATCH(AF1185,'quitado Despesa'!$V$1:$V$12,0),""))</f>
        <v/>
      </c>
      <c r="AH1185" s="15" t="str">
        <f t="shared" si="2"/>
        <v/>
      </c>
      <c r="AI1185" s="17" t="str">
        <f>IF(AG1185="","",INDEX('quitado Despesa'!$G$1:$G$12,AG1185))</f>
        <v/>
      </c>
      <c r="AJ1185" s="17" t="str">
        <f t="shared" si="3"/>
        <v/>
      </c>
    </row>
    <row r="1186" spans="31:36">
      <c r="AE1186" s="15" t="str">
        <f t="shared" si="0"/>
        <v/>
      </c>
      <c r="AF1186" s="15" t="str">
        <f t="shared" si="1"/>
        <v/>
      </c>
      <c r="AG1186" s="15" t="str">
        <f>IF(OR(AF1186="",AF1186="ERRO_CHAVE"),"",IFERROR(MATCH(AF1186,'quitado Despesa'!$V$1:$V$12,0),""))</f>
        <v/>
      </c>
      <c r="AH1186" s="15" t="str">
        <f t="shared" si="2"/>
        <v/>
      </c>
      <c r="AI1186" s="17" t="str">
        <f>IF(AG1186="","",INDEX('quitado Despesa'!$G$1:$G$12,AG1186))</f>
        <v/>
      </c>
      <c r="AJ1186" s="17" t="str">
        <f t="shared" si="3"/>
        <v/>
      </c>
    </row>
    <row r="1187" spans="31:36">
      <c r="AE1187" s="15" t="str">
        <f t="shared" si="0"/>
        <v/>
      </c>
      <c r="AF1187" s="15" t="str">
        <f t="shared" si="1"/>
        <v/>
      </c>
      <c r="AG1187" s="15" t="str">
        <f>IF(OR(AF1187="",AF1187="ERRO_CHAVE"),"",IFERROR(MATCH(AF1187,'quitado Despesa'!$V$1:$V$12,0),""))</f>
        <v/>
      </c>
      <c r="AH1187" s="15" t="str">
        <f t="shared" si="2"/>
        <v/>
      </c>
      <c r="AI1187" s="17" t="str">
        <f>IF(AG1187="","",INDEX('quitado Despesa'!$G$1:$G$12,AG1187))</f>
        <v/>
      </c>
      <c r="AJ1187" s="17" t="str">
        <f t="shared" si="3"/>
        <v/>
      </c>
    </row>
    <row r="1188" spans="31:36">
      <c r="AE1188" s="15" t="str">
        <f t="shared" si="0"/>
        <v/>
      </c>
      <c r="AF1188" s="15" t="str">
        <f t="shared" si="1"/>
        <v/>
      </c>
      <c r="AG1188" s="15" t="str">
        <f>IF(OR(AF1188="",AF1188="ERRO_CHAVE"),"",IFERROR(MATCH(AF1188,'quitado Despesa'!$V$1:$V$12,0),""))</f>
        <v/>
      </c>
      <c r="AH1188" s="15" t="str">
        <f t="shared" si="2"/>
        <v/>
      </c>
      <c r="AI1188" s="17" t="str">
        <f>IF(AG1188="","",INDEX('quitado Despesa'!$G$1:$G$12,AG1188))</f>
        <v/>
      </c>
      <c r="AJ1188" s="17" t="str">
        <f t="shared" si="3"/>
        <v/>
      </c>
    </row>
    <row r="1189" spans="31:36">
      <c r="AE1189" s="15" t="str">
        <f t="shared" si="0"/>
        <v/>
      </c>
      <c r="AF1189" s="15" t="str">
        <f t="shared" si="1"/>
        <v/>
      </c>
      <c r="AG1189" s="15" t="str">
        <f>IF(OR(AF1189="",AF1189="ERRO_CHAVE"),"",IFERROR(MATCH(AF1189,'quitado Despesa'!$V$1:$V$12,0),""))</f>
        <v/>
      </c>
      <c r="AH1189" s="15" t="str">
        <f t="shared" si="2"/>
        <v/>
      </c>
      <c r="AI1189" s="17" t="str">
        <f>IF(AG1189="","",INDEX('quitado Despesa'!$G$1:$G$12,AG1189))</f>
        <v/>
      </c>
      <c r="AJ1189" s="17" t="str">
        <f t="shared" si="3"/>
        <v/>
      </c>
    </row>
    <row r="1190" spans="31:36">
      <c r="AE1190" s="15" t="str">
        <f t="shared" si="0"/>
        <v/>
      </c>
      <c r="AF1190" s="15" t="str">
        <f t="shared" si="1"/>
        <v/>
      </c>
      <c r="AG1190" s="15" t="str">
        <f>IF(OR(AF1190="",AF1190="ERRO_CHAVE"),"",IFERROR(MATCH(AF1190,'quitado Despesa'!$V$1:$V$12,0),""))</f>
        <v/>
      </c>
      <c r="AH1190" s="15" t="str">
        <f t="shared" si="2"/>
        <v/>
      </c>
      <c r="AI1190" s="17" t="str">
        <f>IF(AG1190="","",INDEX('quitado Despesa'!$G$1:$G$12,AG1190))</f>
        <v/>
      </c>
      <c r="AJ1190" s="17" t="str">
        <f t="shared" si="3"/>
        <v/>
      </c>
    </row>
    <row r="1191" spans="31:36">
      <c r="AE1191" s="15" t="str">
        <f t="shared" si="0"/>
        <v/>
      </c>
      <c r="AF1191" s="15" t="str">
        <f t="shared" si="1"/>
        <v/>
      </c>
      <c r="AG1191" s="15" t="str">
        <f>IF(OR(AF1191="",AF1191="ERRO_CHAVE"),"",IFERROR(MATCH(AF1191,'quitado Despesa'!$V$1:$V$12,0),""))</f>
        <v/>
      </c>
      <c r="AH1191" s="15" t="str">
        <f t="shared" si="2"/>
        <v/>
      </c>
      <c r="AI1191" s="17" t="str">
        <f>IF(AG1191="","",INDEX('quitado Despesa'!$G$1:$G$12,AG1191))</f>
        <v/>
      </c>
      <c r="AJ1191" s="17" t="str">
        <f t="shared" si="3"/>
        <v/>
      </c>
    </row>
    <row r="1192" spans="31:36">
      <c r="AE1192" s="15" t="str">
        <f t="shared" si="0"/>
        <v/>
      </c>
      <c r="AF1192" s="15" t="str">
        <f t="shared" si="1"/>
        <v/>
      </c>
      <c r="AG1192" s="15" t="str">
        <f>IF(OR(AF1192="",AF1192="ERRO_CHAVE"),"",IFERROR(MATCH(AF1192,'quitado Despesa'!$V$1:$V$12,0),""))</f>
        <v/>
      </c>
      <c r="AH1192" s="15" t="str">
        <f t="shared" si="2"/>
        <v/>
      </c>
      <c r="AI1192" s="17" t="str">
        <f>IF(AG1192="","",INDEX('quitado Despesa'!$G$1:$G$12,AG1192))</f>
        <v/>
      </c>
      <c r="AJ1192" s="17" t="str">
        <f t="shared" si="3"/>
        <v/>
      </c>
    </row>
    <row r="1193" spans="31:36">
      <c r="AE1193" s="15" t="str">
        <f t="shared" si="0"/>
        <v/>
      </c>
      <c r="AF1193" s="15" t="str">
        <f t="shared" si="1"/>
        <v/>
      </c>
      <c r="AG1193" s="15" t="str">
        <f>IF(OR(AF1193="",AF1193="ERRO_CHAVE"),"",IFERROR(MATCH(AF1193,'quitado Despesa'!$V$1:$V$12,0),""))</f>
        <v/>
      </c>
      <c r="AH1193" s="15" t="str">
        <f t="shared" si="2"/>
        <v/>
      </c>
      <c r="AI1193" s="17" t="str">
        <f>IF(AG1193="","",INDEX('quitado Despesa'!$G$1:$G$12,AG1193))</f>
        <v/>
      </c>
      <c r="AJ1193" s="17" t="str">
        <f t="shared" si="3"/>
        <v/>
      </c>
    </row>
    <row r="1194" spans="31:36">
      <c r="AE1194" s="15" t="str">
        <f t="shared" si="0"/>
        <v/>
      </c>
      <c r="AF1194" s="15" t="str">
        <f t="shared" si="1"/>
        <v/>
      </c>
      <c r="AG1194" s="15" t="str">
        <f>IF(OR(AF1194="",AF1194="ERRO_CHAVE"),"",IFERROR(MATCH(AF1194,'quitado Despesa'!$V$1:$V$12,0),""))</f>
        <v/>
      </c>
      <c r="AH1194" s="15" t="str">
        <f t="shared" si="2"/>
        <v/>
      </c>
      <c r="AI1194" s="17" t="str">
        <f>IF(AG1194="","",INDEX('quitado Despesa'!$G$1:$G$12,AG1194))</f>
        <v/>
      </c>
      <c r="AJ1194" s="17" t="str">
        <f t="shared" si="3"/>
        <v/>
      </c>
    </row>
    <row r="1195" spans="31:36">
      <c r="AE1195" s="15" t="str">
        <f t="shared" si="0"/>
        <v/>
      </c>
      <c r="AF1195" s="15" t="str">
        <f t="shared" si="1"/>
        <v/>
      </c>
      <c r="AG1195" s="15" t="str">
        <f>IF(OR(AF1195="",AF1195="ERRO_CHAVE"),"",IFERROR(MATCH(AF1195,'quitado Despesa'!$V$1:$V$12,0),""))</f>
        <v/>
      </c>
      <c r="AH1195" s="15" t="str">
        <f t="shared" si="2"/>
        <v/>
      </c>
      <c r="AI1195" s="17" t="str">
        <f>IF(AG1195="","",INDEX('quitado Despesa'!$G$1:$G$12,AG1195))</f>
        <v/>
      </c>
      <c r="AJ1195" s="17" t="str">
        <f t="shared" si="3"/>
        <v/>
      </c>
    </row>
    <row r="1196" spans="31:36">
      <c r="AE1196" s="15" t="str">
        <f t="shared" si="0"/>
        <v/>
      </c>
      <c r="AF1196" s="15" t="str">
        <f t="shared" si="1"/>
        <v/>
      </c>
      <c r="AG1196" s="15" t="str">
        <f>IF(OR(AF1196="",AF1196="ERRO_CHAVE"),"",IFERROR(MATCH(AF1196,'quitado Despesa'!$V$1:$V$12,0),""))</f>
        <v/>
      </c>
      <c r="AH1196" s="15" t="str">
        <f t="shared" si="2"/>
        <v/>
      </c>
      <c r="AI1196" s="17" t="str">
        <f>IF(AG1196="","",INDEX('quitado Despesa'!$G$1:$G$12,AG1196))</f>
        <v/>
      </c>
      <c r="AJ1196" s="17" t="str">
        <f t="shared" si="3"/>
        <v/>
      </c>
    </row>
    <row r="1197" spans="31:36">
      <c r="AE1197" s="15" t="str">
        <f t="shared" si="0"/>
        <v/>
      </c>
      <c r="AF1197" s="15" t="str">
        <f t="shared" si="1"/>
        <v/>
      </c>
      <c r="AG1197" s="15" t="str">
        <f>IF(OR(AF1197="",AF1197="ERRO_CHAVE"),"",IFERROR(MATCH(AF1197,'quitado Despesa'!$V$1:$V$12,0),""))</f>
        <v/>
      </c>
      <c r="AH1197" s="15" t="str">
        <f t="shared" si="2"/>
        <v/>
      </c>
      <c r="AI1197" s="17" t="str">
        <f>IF(AG1197="","",INDEX('quitado Despesa'!$G$1:$G$12,AG1197))</f>
        <v/>
      </c>
      <c r="AJ1197" s="17" t="str">
        <f t="shared" si="3"/>
        <v/>
      </c>
    </row>
    <row r="1198" spans="31:36">
      <c r="AE1198" s="15" t="str">
        <f t="shared" si="0"/>
        <v/>
      </c>
      <c r="AF1198" s="15" t="str">
        <f t="shared" si="1"/>
        <v/>
      </c>
      <c r="AG1198" s="15" t="str">
        <f>IF(OR(AF1198="",AF1198="ERRO_CHAVE"),"",IFERROR(MATCH(AF1198,'quitado Despesa'!$V$1:$V$12,0),""))</f>
        <v/>
      </c>
      <c r="AH1198" s="15" t="str">
        <f t="shared" si="2"/>
        <v/>
      </c>
      <c r="AI1198" s="17" t="str">
        <f>IF(AG1198="","",INDEX('quitado Despesa'!$G$1:$G$12,AG1198))</f>
        <v/>
      </c>
      <c r="AJ1198" s="17" t="str">
        <f t="shared" si="3"/>
        <v/>
      </c>
    </row>
    <row r="1199" spans="31:36">
      <c r="AE1199" s="15" t="str">
        <f t="shared" si="0"/>
        <v/>
      </c>
      <c r="AF1199" s="15" t="str">
        <f t="shared" si="1"/>
        <v/>
      </c>
      <c r="AG1199" s="15" t="str">
        <f>IF(OR(AF1199="",AF1199="ERRO_CHAVE"),"",IFERROR(MATCH(AF1199,'quitado Despesa'!$V$1:$V$12,0),""))</f>
        <v/>
      </c>
      <c r="AH1199" s="15" t="str">
        <f t="shared" si="2"/>
        <v/>
      </c>
      <c r="AI1199" s="17" t="str">
        <f>IF(AG1199="","",INDEX('quitado Despesa'!$G$1:$G$12,AG1199))</f>
        <v/>
      </c>
      <c r="AJ1199" s="17" t="str">
        <f t="shared" si="3"/>
        <v/>
      </c>
    </row>
    <row r="1200" spans="31:36">
      <c r="AE1200" s="15" t="str">
        <f t="shared" si="0"/>
        <v/>
      </c>
      <c r="AF1200" s="15" t="str">
        <f t="shared" si="1"/>
        <v/>
      </c>
      <c r="AG1200" s="15" t="str">
        <f>IF(OR(AF1200="",AF1200="ERRO_CHAVE"),"",IFERROR(MATCH(AF1200,'quitado Despesa'!$V$1:$V$12,0),""))</f>
        <v/>
      </c>
      <c r="AH1200" s="15" t="str">
        <f t="shared" si="2"/>
        <v/>
      </c>
      <c r="AI1200" s="17" t="str">
        <f>IF(AG1200="","",INDEX('quitado Despesa'!$G$1:$G$12,AG1200))</f>
        <v/>
      </c>
      <c r="AJ1200" s="17" t="str">
        <f t="shared" si="3"/>
        <v/>
      </c>
    </row>
    <row r="1201" spans="31:36">
      <c r="AE1201" s="15" t="str">
        <f t="shared" si="0"/>
        <v/>
      </c>
      <c r="AF1201" s="15" t="str">
        <f t="shared" si="1"/>
        <v/>
      </c>
      <c r="AG1201" s="15" t="str">
        <f>IF(OR(AF1201="",AF1201="ERRO_CHAVE"),"",IFERROR(MATCH(AF1201,'quitado Despesa'!$V$1:$V$12,0),""))</f>
        <v/>
      </c>
      <c r="AH1201" s="15" t="str">
        <f t="shared" si="2"/>
        <v/>
      </c>
      <c r="AI1201" s="17" t="str">
        <f>IF(AG1201="","",INDEX('quitado Despesa'!$G$1:$G$12,AG1201))</f>
        <v/>
      </c>
      <c r="AJ1201" s="17" t="str">
        <f t="shared" si="3"/>
        <v/>
      </c>
    </row>
    <row r="1202" spans="31:36">
      <c r="AE1202" s="15" t="str">
        <f t="shared" si="0"/>
        <v/>
      </c>
      <c r="AF1202" s="15" t="str">
        <f t="shared" si="1"/>
        <v/>
      </c>
      <c r="AG1202" s="15" t="str">
        <f>IF(OR(AF1202="",AF1202="ERRO_CHAVE"),"",IFERROR(MATCH(AF1202,'quitado Despesa'!$V$1:$V$12,0),""))</f>
        <v/>
      </c>
      <c r="AH1202" s="15" t="str">
        <f t="shared" si="2"/>
        <v/>
      </c>
      <c r="AI1202" s="17" t="str">
        <f>IF(AG1202="","",INDEX('quitado Despesa'!$G$1:$G$12,AG1202))</f>
        <v/>
      </c>
      <c r="AJ1202" s="17" t="str">
        <f t="shared" si="3"/>
        <v/>
      </c>
    </row>
    <row r="1203" spans="31:36">
      <c r="AE1203" s="15" t="str">
        <f t="shared" si="0"/>
        <v/>
      </c>
      <c r="AF1203" s="15" t="str">
        <f t="shared" si="1"/>
        <v/>
      </c>
      <c r="AG1203" s="15" t="str">
        <f>IF(OR(AF1203="",AF1203="ERRO_CHAVE"),"",IFERROR(MATCH(AF1203,'quitado Despesa'!$V$1:$V$12,0),""))</f>
        <v/>
      </c>
      <c r="AH1203" s="15" t="str">
        <f t="shared" si="2"/>
        <v/>
      </c>
      <c r="AI1203" s="17" t="str">
        <f>IF(AG1203="","",INDEX('quitado Despesa'!$G$1:$G$12,AG1203))</f>
        <v/>
      </c>
      <c r="AJ1203" s="17" t="str">
        <f t="shared" si="3"/>
        <v/>
      </c>
    </row>
    <row r="1204" spans="31:36">
      <c r="AE1204" s="15" t="str">
        <f t="shared" si="0"/>
        <v/>
      </c>
      <c r="AF1204" s="15" t="str">
        <f t="shared" si="1"/>
        <v/>
      </c>
      <c r="AG1204" s="15" t="str">
        <f>IF(OR(AF1204="",AF1204="ERRO_CHAVE"),"",IFERROR(MATCH(AF1204,'quitado Despesa'!$V$1:$V$12,0),""))</f>
        <v/>
      </c>
      <c r="AH1204" s="15" t="str">
        <f t="shared" si="2"/>
        <v/>
      </c>
      <c r="AI1204" s="17" t="str">
        <f>IF(AG1204="","",INDEX('quitado Despesa'!$G$1:$G$12,AG1204))</f>
        <v/>
      </c>
      <c r="AJ1204" s="17" t="str">
        <f t="shared" si="3"/>
        <v/>
      </c>
    </row>
    <row r="1205" spans="31:36">
      <c r="AE1205" s="15" t="str">
        <f t="shared" si="0"/>
        <v/>
      </c>
      <c r="AF1205" s="15" t="str">
        <f t="shared" si="1"/>
        <v/>
      </c>
      <c r="AG1205" s="15" t="str">
        <f>IF(OR(AF1205="",AF1205="ERRO_CHAVE"),"",IFERROR(MATCH(AF1205,'quitado Despesa'!$V$1:$V$12,0),""))</f>
        <v/>
      </c>
      <c r="AH1205" s="15" t="str">
        <f t="shared" si="2"/>
        <v/>
      </c>
      <c r="AI1205" s="17" t="str">
        <f>IF(AG1205="","",INDEX('quitado Despesa'!$G$1:$G$12,AG1205))</f>
        <v/>
      </c>
      <c r="AJ1205" s="17" t="str">
        <f t="shared" si="3"/>
        <v/>
      </c>
    </row>
    <row r="1206" spans="31:36">
      <c r="AE1206" s="15" t="str">
        <f t="shared" si="0"/>
        <v/>
      </c>
      <c r="AF1206" s="15" t="str">
        <f t="shared" si="1"/>
        <v/>
      </c>
      <c r="AG1206" s="15" t="str">
        <f>IF(OR(AF1206="",AF1206="ERRO_CHAVE"),"",IFERROR(MATCH(AF1206,'quitado Despesa'!$V$1:$V$12,0),""))</f>
        <v/>
      </c>
      <c r="AH1206" s="15" t="str">
        <f t="shared" si="2"/>
        <v/>
      </c>
      <c r="AI1206" s="17" t="str">
        <f>IF(AG1206="","",INDEX('quitado Despesa'!$G$1:$G$12,AG1206))</f>
        <v/>
      </c>
      <c r="AJ1206" s="17" t="str">
        <f t="shared" si="3"/>
        <v/>
      </c>
    </row>
    <row r="1207" spans="31:36">
      <c r="AE1207" s="15" t="str">
        <f t="shared" si="0"/>
        <v/>
      </c>
      <c r="AF1207" s="15" t="str">
        <f t="shared" si="1"/>
        <v/>
      </c>
      <c r="AG1207" s="15" t="str">
        <f>IF(OR(AF1207="",AF1207="ERRO_CHAVE"),"",IFERROR(MATCH(AF1207,'quitado Despesa'!$V$1:$V$12,0),""))</f>
        <v/>
      </c>
      <c r="AH1207" s="15" t="str">
        <f t="shared" si="2"/>
        <v/>
      </c>
      <c r="AI1207" s="17" t="str">
        <f>IF(AG1207="","",INDEX('quitado Despesa'!$G$1:$G$12,AG1207))</f>
        <v/>
      </c>
      <c r="AJ1207" s="17" t="str">
        <f t="shared" si="3"/>
        <v/>
      </c>
    </row>
    <row r="1208" spans="31:36">
      <c r="AE1208" s="15" t="str">
        <f t="shared" si="0"/>
        <v/>
      </c>
      <c r="AF1208" s="15" t="str">
        <f t="shared" si="1"/>
        <v/>
      </c>
      <c r="AG1208" s="15" t="str">
        <f>IF(OR(AF1208="",AF1208="ERRO_CHAVE"),"",IFERROR(MATCH(AF1208,'quitado Despesa'!$V$1:$V$12,0),""))</f>
        <v/>
      </c>
      <c r="AH1208" s="15" t="str">
        <f t="shared" si="2"/>
        <v/>
      </c>
      <c r="AI1208" s="17" t="str">
        <f>IF(AG1208="","",INDEX('quitado Despesa'!$G$1:$G$12,AG1208))</f>
        <v/>
      </c>
      <c r="AJ1208" s="17" t="str">
        <f t="shared" si="3"/>
        <v/>
      </c>
    </row>
    <row r="1209" spans="31:36">
      <c r="AE1209" s="15" t="str">
        <f t="shared" si="0"/>
        <v/>
      </c>
      <c r="AF1209" s="15" t="str">
        <f t="shared" si="1"/>
        <v/>
      </c>
      <c r="AG1209" s="15" t="str">
        <f>IF(OR(AF1209="",AF1209="ERRO_CHAVE"),"",IFERROR(MATCH(AF1209,'quitado Despesa'!$V$1:$V$12,0),""))</f>
        <v/>
      </c>
      <c r="AH1209" s="15" t="str">
        <f t="shared" si="2"/>
        <v/>
      </c>
      <c r="AI1209" s="17" t="str">
        <f>IF(AG1209="","",INDEX('quitado Despesa'!$G$1:$G$12,AG1209))</f>
        <v/>
      </c>
      <c r="AJ1209" s="17" t="str">
        <f t="shared" si="3"/>
        <v/>
      </c>
    </row>
    <row r="1210" spans="31:36">
      <c r="AE1210" s="15" t="str">
        <f t="shared" si="0"/>
        <v/>
      </c>
      <c r="AF1210" s="15" t="str">
        <f t="shared" si="1"/>
        <v/>
      </c>
      <c r="AG1210" s="15" t="str">
        <f>IF(OR(AF1210="",AF1210="ERRO_CHAVE"),"",IFERROR(MATCH(AF1210,'quitado Despesa'!$V$1:$V$12,0),""))</f>
        <v/>
      </c>
      <c r="AH1210" s="15" t="str">
        <f t="shared" si="2"/>
        <v/>
      </c>
      <c r="AI1210" s="17" t="str">
        <f>IF(AG1210="","",INDEX('quitado Despesa'!$G$1:$G$12,AG1210))</f>
        <v/>
      </c>
      <c r="AJ1210" s="17" t="str">
        <f t="shared" si="3"/>
        <v/>
      </c>
    </row>
    <row r="1211" spans="31:36">
      <c r="AE1211" s="15" t="str">
        <f t="shared" si="0"/>
        <v/>
      </c>
      <c r="AF1211" s="15" t="str">
        <f t="shared" si="1"/>
        <v/>
      </c>
      <c r="AG1211" s="15" t="str">
        <f>IF(OR(AF1211="",AF1211="ERRO_CHAVE"),"",IFERROR(MATCH(AF1211,'quitado Despesa'!$V$1:$V$12,0),""))</f>
        <v/>
      </c>
      <c r="AH1211" s="15" t="str">
        <f t="shared" si="2"/>
        <v/>
      </c>
      <c r="AI1211" s="17" t="str">
        <f>IF(AG1211="","",INDEX('quitado Despesa'!$G$1:$G$12,AG1211))</f>
        <v/>
      </c>
      <c r="AJ1211" s="17" t="str">
        <f t="shared" si="3"/>
        <v/>
      </c>
    </row>
    <row r="1212" spans="31:36">
      <c r="AE1212" s="15" t="str">
        <f t="shared" si="0"/>
        <v/>
      </c>
      <c r="AF1212" s="15" t="str">
        <f t="shared" si="1"/>
        <v/>
      </c>
      <c r="AG1212" s="15" t="str">
        <f>IF(OR(AF1212="",AF1212="ERRO_CHAVE"),"",IFERROR(MATCH(AF1212,'quitado Despesa'!$V$1:$V$12,0),""))</f>
        <v/>
      </c>
      <c r="AH1212" s="15" t="str">
        <f t="shared" si="2"/>
        <v/>
      </c>
      <c r="AI1212" s="17" t="str">
        <f>IF(AG1212="","",INDEX('quitado Despesa'!$G$1:$G$12,AG1212))</f>
        <v/>
      </c>
      <c r="AJ1212" s="17" t="str">
        <f t="shared" si="3"/>
        <v/>
      </c>
    </row>
    <row r="1213" spans="31:36">
      <c r="AE1213" s="15" t="str">
        <f t="shared" si="0"/>
        <v/>
      </c>
      <c r="AF1213" s="15" t="str">
        <f t="shared" si="1"/>
        <v/>
      </c>
      <c r="AG1213" s="15" t="str">
        <f>IF(OR(AF1213="",AF1213="ERRO_CHAVE"),"",IFERROR(MATCH(AF1213,'quitado Despesa'!$V$1:$V$12,0),""))</f>
        <v/>
      </c>
      <c r="AH1213" s="15" t="str">
        <f t="shared" si="2"/>
        <v/>
      </c>
      <c r="AI1213" s="17" t="str">
        <f>IF(AG1213="","",INDEX('quitado Despesa'!$G$1:$G$12,AG1213))</f>
        <v/>
      </c>
      <c r="AJ1213" s="17" t="str">
        <f t="shared" si="3"/>
        <v/>
      </c>
    </row>
    <row r="1214" spans="31:36">
      <c r="AE1214" s="15" t="str">
        <f t="shared" si="0"/>
        <v/>
      </c>
      <c r="AF1214" s="15" t="str">
        <f t="shared" si="1"/>
        <v/>
      </c>
      <c r="AG1214" s="15" t="str">
        <f>IF(OR(AF1214="",AF1214="ERRO_CHAVE"),"",IFERROR(MATCH(AF1214,'quitado Despesa'!$V$1:$V$12,0),""))</f>
        <v/>
      </c>
      <c r="AH1214" s="15" t="str">
        <f t="shared" si="2"/>
        <v/>
      </c>
      <c r="AI1214" s="17" t="str">
        <f>IF(AG1214="","",INDEX('quitado Despesa'!$G$1:$G$12,AG1214))</f>
        <v/>
      </c>
      <c r="AJ1214" s="17" t="str">
        <f t="shared" si="3"/>
        <v/>
      </c>
    </row>
    <row r="1215" spans="31:36">
      <c r="AE1215" s="15" t="str">
        <f t="shared" si="0"/>
        <v/>
      </c>
      <c r="AF1215" s="15" t="str">
        <f t="shared" si="1"/>
        <v/>
      </c>
      <c r="AG1215" s="15" t="str">
        <f>IF(OR(AF1215="",AF1215="ERRO_CHAVE"),"",IFERROR(MATCH(AF1215,'quitado Despesa'!$V$1:$V$12,0),""))</f>
        <v/>
      </c>
      <c r="AH1215" s="15" t="str">
        <f t="shared" si="2"/>
        <v/>
      </c>
      <c r="AI1215" s="17" t="str">
        <f>IF(AG1215="","",INDEX('quitado Despesa'!$G$1:$G$12,AG1215))</f>
        <v/>
      </c>
      <c r="AJ1215" s="17" t="str">
        <f t="shared" si="3"/>
        <v/>
      </c>
    </row>
    <row r="1216" spans="31:36">
      <c r="AE1216" s="15" t="str">
        <f t="shared" si="0"/>
        <v/>
      </c>
      <c r="AF1216" s="15" t="str">
        <f t="shared" si="1"/>
        <v/>
      </c>
      <c r="AG1216" s="15" t="str">
        <f>IF(OR(AF1216="",AF1216="ERRO_CHAVE"),"",IFERROR(MATCH(AF1216,'quitado Despesa'!$V$1:$V$12,0),""))</f>
        <v/>
      </c>
      <c r="AH1216" s="15" t="str">
        <f t="shared" si="2"/>
        <v/>
      </c>
      <c r="AI1216" s="17" t="str">
        <f>IF(AG1216="","",INDEX('quitado Despesa'!$G$1:$G$12,AG1216))</f>
        <v/>
      </c>
      <c r="AJ1216" s="17" t="str">
        <f t="shared" si="3"/>
        <v/>
      </c>
    </row>
    <row r="1217" spans="31:36">
      <c r="AE1217" s="15" t="str">
        <f t="shared" si="0"/>
        <v/>
      </c>
      <c r="AF1217" s="15" t="str">
        <f t="shared" si="1"/>
        <v/>
      </c>
      <c r="AG1217" s="15" t="str">
        <f>IF(OR(AF1217="",AF1217="ERRO_CHAVE"),"",IFERROR(MATCH(AF1217,'quitado Despesa'!$V$1:$V$12,0),""))</f>
        <v/>
      </c>
      <c r="AH1217" s="15" t="str">
        <f t="shared" si="2"/>
        <v/>
      </c>
      <c r="AI1217" s="17" t="str">
        <f>IF(AG1217="","",INDEX('quitado Despesa'!$G$1:$G$12,AG1217))</f>
        <v/>
      </c>
      <c r="AJ1217" s="17" t="str">
        <f t="shared" si="3"/>
        <v/>
      </c>
    </row>
    <row r="1218" spans="31:36">
      <c r="AE1218" s="15" t="str">
        <f t="shared" si="0"/>
        <v/>
      </c>
      <c r="AF1218" s="15" t="str">
        <f t="shared" si="1"/>
        <v/>
      </c>
      <c r="AG1218" s="15" t="str">
        <f>IF(OR(AF1218="",AF1218="ERRO_CHAVE"),"",IFERROR(MATCH(AF1218,'quitado Despesa'!$V$1:$V$12,0),""))</f>
        <v/>
      </c>
      <c r="AH1218" s="15" t="str">
        <f t="shared" si="2"/>
        <v/>
      </c>
      <c r="AI1218" s="17" t="str">
        <f>IF(AG1218="","",INDEX('quitado Despesa'!$G$1:$G$12,AG1218))</f>
        <v/>
      </c>
      <c r="AJ1218" s="17" t="str">
        <f t="shared" si="3"/>
        <v/>
      </c>
    </row>
    <row r="1219" spans="31:36">
      <c r="AE1219" s="15" t="str">
        <f t="shared" si="0"/>
        <v/>
      </c>
      <c r="AF1219" s="15" t="str">
        <f t="shared" si="1"/>
        <v/>
      </c>
      <c r="AG1219" s="15" t="str">
        <f>IF(OR(AF1219="",AF1219="ERRO_CHAVE"),"",IFERROR(MATCH(AF1219,'quitado Despesa'!$V$1:$V$12,0),""))</f>
        <v/>
      </c>
      <c r="AH1219" s="15" t="str">
        <f t="shared" si="2"/>
        <v/>
      </c>
      <c r="AI1219" s="17" t="str">
        <f>IF(AG1219="","",INDEX('quitado Despesa'!$G$1:$G$12,AG1219))</f>
        <v/>
      </c>
      <c r="AJ1219" s="17" t="str">
        <f t="shared" si="3"/>
        <v/>
      </c>
    </row>
    <row r="1220" spans="31:36">
      <c r="AE1220" s="15" t="str">
        <f t="shared" si="0"/>
        <v/>
      </c>
      <c r="AF1220" s="15" t="str">
        <f t="shared" si="1"/>
        <v/>
      </c>
      <c r="AG1220" s="15" t="str">
        <f>IF(OR(AF1220="",AF1220="ERRO_CHAVE"),"",IFERROR(MATCH(AF1220,'quitado Despesa'!$V$1:$V$12,0),""))</f>
        <v/>
      </c>
      <c r="AH1220" s="15" t="str">
        <f t="shared" si="2"/>
        <v/>
      </c>
      <c r="AI1220" s="17" t="str">
        <f>IF(AG1220="","",INDEX('quitado Despesa'!$G$1:$G$12,AG1220))</f>
        <v/>
      </c>
      <c r="AJ1220" s="17" t="str">
        <f t="shared" si="3"/>
        <v/>
      </c>
    </row>
    <row r="1221" spans="31:36">
      <c r="AE1221" s="15" t="str">
        <f t="shared" si="0"/>
        <v/>
      </c>
      <c r="AF1221" s="15" t="str">
        <f t="shared" si="1"/>
        <v/>
      </c>
      <c r="AG1221" s="15" t="str">
        <f>IF(OR(AF1221="",AF1221="ERRO_CHAVE"),"",IFERROR(MATCH(AF1221,'quitado Despesa'!$V$1:$V$12,0),""))</f>
        <v/>
      </c>
      <c r="AH1221" s="15" t="str">
        <f t="shared" si="2"/>
        <v/>
      </c>
      <c r="AI1221" s="17" t="str">
        <f>IF(AG1221="","",INDEX('quitado Despesa'!$G$1:$G$12,AG1221))</f>
        <v/>
      </c>
      <c r="AJ1221" s="17" t="str">
        <f t="shared" si="3"/>
        <v/>
      </c>
    </row>
    <row r="1222" spans="31:36">
      <c r="AE1222" s="15" t="str">
        <f t="shared" si="0"/>
        <v/>
      </c>
      <c r="AF1222" s="15" t="str">
        <f t="shared" si="1"/>
        <v/>
      </c>
      <c r="AG1222" s="15" t="str">
        <f>IF(OR(AF1222="",AF1222="ERRO_CHAVE"),"",IFERROR(MATCH(AF1222,'quitado Despesa'!$V$1:$V$12,0),""))</f>
        <v/>
      </c>
      <c r="AH1222" s="15" t="str">
        <f t="shared" si="2"/>
        <v/>
      </c>
      <c r="AI1222" s="17" t="str">
        <f>IF(AG1222="","",INDEX('quitado Despesa'!$G$1:$G$12,AG1222))</f>
        <v/>
      </c>
      <c r="AJ1222" s="17" t="str">
        <f t="shared" si="3"/>
        <v/>
      </c>
    </row>
    <row r="1223" spans="31:36">
      <c r="AE1223" s="15" t="str">
        <f t="shared" si="0"/>
        <v/>
      </c>
      <c r="AF1223" s="15" t="str">
        <f t="shared" si="1"/>
        <v/>
      </c>
      <c r="AG1223" s="15" t="str">
        <f>IF(OR(AF1223="",AF1223="ERRO_CHAVE"),"",IFERROR(MATCH(AF1223,'quitado Despesa'!$V$1:$V$12,0),""))</f>
        <v/>
      </c>
      <c r="AH1223" s="15" t="str">
        <f t="shared" si="2"/>
        <v/>
      </c>
      <c r="AI1223" s="17" t="str">
        <f>IF(AG1223="","",INDEX('quitado Despesa'!$G$1:$G$12,AG1223))</f>
        <v/>
      </c>
      <c r="AJ1223" s="17" t="str">
        <f t="shared" si="3"/>
        <v/>
      </c>
    </row>
    <row r="1224" spans="31:36">
      <c r="AE1224" s="15" t="str">
        <f t="shared" si="0"/>
        <v/>
      </c>
      <c r="AF1224" s="15" t="str">
        <f t="shared" si="1"/>
        <v/>
      </c>
      <c r="AG1224" s="15" t="str">
        <f>IF(OR(AF1224="",AF1224="ERRO_CHAVE"),"",IFERROR(MATCH(AF1224,'quitado Despesa'!$V$1:$V$12,0),""))</f>
        <v/>
      </c>
      <c r="AH1224" s="15" t="str">
        <f t="shared" si="2"/>
        <v/>
      </c>
      <c r="AI1224" s="17" t="str">
        <f>IF(AG1224="","",INDEX('quitado Despesa'!$G$1:$G$12,AG1224))</f>
        <v/>
      </c>
      <c r="AJ1224" s="17" t="str">
        <f t="shared" si="3"/>
        <v/>
      </c>
    </row>
    <row r="1225" spans="31:36">
      <c r="AE1225" s="15" t="str">
        <f t="shared" si="0"/>
        <v/>
      </c>
      <c r="AF1225" s="15" t="str">
        <f t="shared" si="1"/>
        <v/>
      </c>
      <c r="AG1225" s="15" t="str">
        <f>IF(OR(AF1225="",AF1225="ERRO_CHAVE"),"",IFERROR(MATCH(AF1225,'quitado Despesa'!$V$1:$V$12,0),""))</f>
        <v/>
      </c>
      <c r="AH1225" s="15" t="str">
        <f t="shared" si="2"/>
        <v/>
      </c>
      <c r="AI1225" s="17" t="str">
        <f>IF(AG1225="","",INDEX('quitado Despesa'!$G$1:$G$12,AG1225))</f>
        <v/>
      </c>
      <c r="AJ1225" s="17" t="str">
        <f t="shared" si="3"/>
        <v/>
      </c>
    </row>
    <row r="1226" spans="31:36">
      <c r="AE1226" s="15" t="str">
        <f t="shared" si="0"/>
        <v/>
      </c>
      <c r="AF1226" s="15" t="str">
        <f t="shared" si="1"/>
        <v/>
      </c>
      <c r="AG1226" s="15" t="str">
        <f>IF(OR(AF1226="",AF1226="ERRO_CHAVE"),"",IFERROR(MATCH(AF1226,'quitado Despesa'!$V$1:$V$12,0),""))</f>
        <v/>
      </c>
      <c r="AH1226" s="15" t="str">
        <f t="shared" si="2"/>
        <v/>
      </c>
      <c r="AI1226" s="17" t="str">
        <f>IF(AG1226="","",INDEX('quitado Despesa'!$G$1:$G$12,AG1226))</f>
        <v/>
      </c>
      <c r="AJ1226" s="17" t="str">
        <f t="shared" si="3"/>
        <v/>
      </c>
    </row>
    <row r="1227" spans="31:36">
      <c r="AE1227" s="15" t="str">
        <f t="shared" si="0"/>
        <v/>
      </c>
      <c r="AF1227" s="15" t="str">
        <f t="shared" si="1"/>
        <v/>
      </c>
      <c r="AG1227" s="15" t="str">
        <f>IF(OR(AF1227="",AF1227="ERRO_CHAVE"),"",IFERROR(MATCH(AF1227,'quitado Despesa'!$V$1:$V$12,0),""))</f>
        <v/>
      </c>
      <c r="AH1227" s="15" t="str">
        <f t="shared" si="2"/>
        <v/>
      </c>
      <c r="AI1227" s="17" t="str">
        <f>IF(AG1227="","",INDEX('quitado Despesa'!$G$1:$G$12,AG1227))</f>
        <v/>
      </c>
      <c r="AJ1227" s="17" t="str">
        <f t="shared" si="3"/>
        <v/>
      </c>
    </row>
    <row r="1228" spans="31:36">
      <c r="AE1228" s="15" t="str">
        <f t="shared" si="0"/>
        <v/>
      </c>
      <c r="AF1228" s="15" t="str">
        <f t="shared" si="1"/>
        <v/>
      </c>
      <c r="AG1228" s="15" t="str">
        <f>IF(OR(AF1228="",AF1228="ERRO_CHAVE"),"",IFERROR(MATCH(AF1228,'quitado Despesa'!$V$1:$V$12,0),""))</f>
        <v/>
      </c>
      <c r="AH1228" s="15" t="str">
        <f t="shared" si="2"/>
        <v/>
      </c>
      <c r="AI1228" s="17" t="str">
        <f>IF(AG1228="","",INDEX('quitado Despesa'!$G$1:$G$12,AG1228))</f>
        <v/>
      </c>
      <c r="AJ1228" s="17" t="str">
        <f t="shared" si="3"/>
        <v/>
      </c>
    </row>
    <row r="1229" spans="31:36">
      <c r="AE1229" s="15" t="str">
        <f t="shared" si="0"/>
        <v/>
      </c>
      <c r="AF1229" s="15" t="str">
        <f t="shared" si="1"/>
        <v/>
      </c>
      <c r="AG1229" s="15" t="str">
        <f>IF(OR(AF1229="",AF1229="ERRO_CHAVE"),"",IFERROR(MATCH(AF1229,'quitado Despesa'!$V$1:$V$12,0),""))</f>
        <v/>
      </c>
      <c r="AH1229" s="15" t="str">
        <f t="shared" si="2"/>
        <v/>
      </c>
      <c r="AI1229" s="17" t="str">
        <f>IF(AG1229="","",INDEX('quitado Despesa'!$G$1:$G$12,AG1229))</f>
        <v/>
      </c>
      <c r="AJ1229" s="17" t="str">
        <f t="shared" si="3"/>
        <v/>
      </c>
    </row>
    <row r="1230" spans="31:36">
      <c r="AE1230" s="15" t="str">
        <f t="shared" si="0"/>
        <v/>
      </c>
      <c r="AF1230" s="15" t="str">
        <f t="shared" si="1"/>
        <v/>
      </c>
      <c r="AG1230" s="15" t="str">
        <f>IF(OR(AF1230="",AF1230="ERRO_CHAVE"),"",IFERROR(MATCH(AF1230,'quitado Despesa'!$V$1:$V$12,0),""))</f>
        <v/>
      </c>
      <c r="AH1230" s="15" t="str">
        <f t="shared" si="2"/>
        <v/>
      </c>
      <c r="AI1230" s="17" t="str">
        <f>IF(AG1230="","",INDEX('quitado Despesa'!$G$1:$G$12,AG1230))</f>
        <v/>
      </c>
      <c r="AJ1230" s="17" t="str">
        <f t="shared" si="3"/>
        <v/>
      </c>
    </row>
    <row r="1231" spans="31:36">
      <c r="AE1231" s="15" t="str">
        <f t="shared" si="0"/>
        <v/>
      </c>
      <c r="AF1231" s="15" t="str">
        <f t="shared" si="1"/>
        <v/>
      </c>
      <c r="AG1231" s="15" t="str">
        <f>IF(OR(AF1231="",AF1231="ERRO_CHAVE"),"",IFERROR(MATCH(AF1231,'quitado Despesa'!$V$1:$V$12,0),""))</f>
        <v/>
      </c>
      <c r="AH1231" s="15" t="str">
        <f t="shared" si="2"/>
        <v/>
      </c>
      <c r="AI1231" s="17" t="str">
        <f>IF(AG1231="","",INDEX('quitado Despesa'!$G$1:$G$12,AG1231))</f>
        <v/>
      </c>
      <c r="AJ1231" s="17" t="str">
        <f t="shared" si="3"/>
        <v/>
      </c>
    </row>
    <row r="1232" spans="31:36">
      <c r="AE1232" s="15" t="str">
        <f t="shared" si="0"/>
        <v/>
      </c>
      <c r="AF1232" s="15" t="str">
        <f t="shared" si="1"/>
        <v/>
      </c>
      <c r="AG1232" s="15" t="str">
        <f>IF(OR(AF1232="",AF1232="ERRO_CHAVE"),"",IFERROR(MATCH(AF1232,'quitado Despesa'!$V$1:$V$12,0),""))</f>
        <v/>
      </c>
      <c r="AH1232" s="15" t="str">
        <f t="shared" si="2"/>
        <v/>
      </c>
      <c r="AI1232" s="17" t="str">
        <f>IF(AG1232="","",INDEX('quitado Despesa'!$G$1:$G$12,AG1232))</f>
        <v/>
      </c>
      <c r="AJ1232" s="17" t="str">
        <f t="shared" si="3"/>
        <v/>
      </c>
    </row>
    <row r="1233" spans="31:36">
      <c r="AE1233" s="15" t="str">
        <f t="shared" si="0"/>
        <v/>
      </c>
      <c r="AF1233" s="15" t="str">
        <f t="shared" si="1"/>
        <v/>
      </c>
      <c r="AG1233" s="15" t="str">
        <f>IF(OR(AF1233="",AF1233="ERRO_CHAVE"),"",IFERROR(MATCH(AF1233,'quitado Despesa'!$V$1:$V$12,0),""))</f>
        <v/>
      </c>
      <c r="AH1233" s="15" t="str">
        <f t="shared" si="2"/>
        <v/>
      </c>
      <c r="AI1233" s="17" t="str">
        <f>IF(AG1233="","",INDEX('quitado Despesa'!$G$1:$G$12,AG1233))</f>
        <v/>
      </c>
      <c r="AJ1233" s="17" t="str">
        <f t="shared" si="3"/>
        <v/>
      </c>
    </row>
    <row r="1234" spans="31:36">
      <c r="AE1234" s="15" t="str">
        <f t="shared" si="0"/>
        <v/>
      </c>
      <c r="AF1234" s="15" t="str">
        <f t="shared" si="1"/>
        <v/>
      </c>
      <c r="AG1234" s="15" t="str">
        <f>IF(OR(AF1234="",AF1234="ERRO_CHAVE"),"",IFERROR(MATCH(AF1234,'quitado Despesa'!$V$1:$V$12,0),""))</f>
        <v/>
      </c>
      <c r="AH1234" s="15" t="str">
        <f t="shared" si="2"/>
        <v/>
      </c>
      <c r="AI1234" s="17" t="str">
        <f>IF(AG1234="","",INDEX('quitado Despesa'!$G$1:$G$12,AG1234))</f>
        <v/>
      </c>
      <c r="AJ1234" s="17" t="str">
        <f t="shared" si="3"/>
        <v/>
      </c>
    </row>
    <row r="1235" spans="31:36">
      <c r="AE1235" s="15" t="str">
        <f t="shared" si="0"/>
        <v/>
      </c>
      <c r="AF1235" s="15" t="str">
        <f t="shared" si="1"/>
        <v/>
      </c>
      <c r="AG1235" s="15" t="str">
        <f>IF(OR(AF1235="",AF1235="ERRO_CHAVE"),"",IFERROR(MATCH(AF1235,'quitado Despesa'!$V$1:$V$12,0),""))</f>
        <v/>
      </c>
      <c r="AH1235" s="15" t="str">
        <f t="shared" si="2"/>
        <v/>
      </c>
      <c r="AI1235" s="17" t="str">
        <f>IF(AG1235="","",INDEX('quitado Despesa'!$G$1:$G$12,AG1235))</f>
        <v/>
      </c>
      <c r="AJ1235" s="17" t="str">
        <f t="shared" si="3"/>
        <v/>
      </c>
    </row>
    <row r="1236" spans="31:36">
      <c r="AE1236" s="15" t="str">
        <f t="shared" si="0"/>
        <v/>
      </c>
      <c r="AF1236" s="15" t="str">
        <f t="shared" si="1"/>
        <v/>
      </c>
      <c r="AG1236" s="15" t="str">
        <f>IF(OR(AF1236="",AF1236="ERRO_CHAVE"),"",IFERROR(MATCH(AF1236,'quitado Despesa'!$V$1:$V$12,0),""))</f>
        <v/>
      </c>
      <c r="AH1236" s="15" t="str">
        <f t="shared" si="2"/>
        <v/>
      </c>
      <c r="AI1236" s="17" t="str">
        <f>IF(AG1236="","",INDEX('quitado Despesa'!$G$1:$G$12,AG1236))</f>
        <v/>
      </c>
      <c r="AJ1236" s="17" t="str">
        <f t="shared" si="3"/>
        <v/>
      </c>
    </row>
    <row r="1237" spans="31:36">
      <c r="AE1237" s="15" t="str">
        <f t="shared" si="0"/>
        <v/>
      </c>
      <c r="AF1237" s="15" t="str">
        <f t="shared" si="1"/>
        <v/>
      </c>
      <c r="AG1237" s="15" t="str">
        <f>IF(OR(AF1237="",AF1237="ERRO_CHAVE"),"",IFERROR(MATCH(AF1237,'quitado Despesa'!$V$1:$V$12,0),""))</f>
        <v/>
      </c>
      <c r="AH1237" s="15" t="str">
        <f t="shared" si="2"/>
        <v/>
      </c>
      <c r="AI1237" s="17" t="str">
        <f>IF(AG1237="","",INDEX('quitado Despesa'!$G$1:$G$12,AG1237))</f>
        <v/>
      </c>
      <c r="AJ1237" s="17" t="str">
        <f t="shared" si="3"/>
        <v/>
      </c>
    </row>
    <row r="1238" spans="31:36">
      <c r="AE1238" s="15" t="str">
        <f t="shared" si="0"/>
        <v/>
      </c>
      <c r="AF1238" s="15" t="str">
        <f t="shared" si="1"/>
        <v/>
      </c>
      <c r="AG1238" s="15" t="str">
        <f>IF(OR(AF1238="",AF1238="ERRO_CHAVE"),"",IFERROR(MATCH(AF1238,'quitado Despesa'!$V$1:$V$12,0),""))</f>
        <v/>
      </c>
      <c r="AH1238" s="15" t="str">
        <f t="shared" si="2"/>
        <v/>
      </c>
      <c r="AI1238" s="17" t="str">
        <f>IF(AG1238="","",INDEX('quitado Despesa'!$G$1:$G$12,AG1238))</f>
        <v/>
      </c>
      <c r="AJ1238" s="17" t="str">
        <f t="shared" si="3"/>
        <v/>
      </c>
    </row>
    <row r="1239" spans="31:36">
      <c r="AE1239" s="15" t="str">
        <f t="shared" si="0"/>
        <v/>
      </c>
      <c r="AF1239" s="15" t="str">
        <f t="shared" si="1"/>
        <v/>
      </c>
      <c r="AG1239" s="15" t="str">
        <f>IF(OR(AF1239="",AF1239="ERRO_CHAVE"),"",IFERROR(MATCH(AF1239,'quitado Despesa'!$V$1:$V$12,0),""))</f>
        <v/>
      </c>
      <c r="AH1239" s="15" t="str">
        <f t="shared" si="2"/>
        <v/>
      </c>
      <c r="AI1239" s="17" t="str">
        <f>IF(AG1239="","",INDEX('quitado Despesa'!$G$1:$G$12,AG1239))</f>
        <v/>
      </c>
      <c r="AJ1239" s="17" t="str">
        <f t="shared" si="3"/>
        <v/>
      </c>
    </row>
    <row r="1240" spans="31:36">
      <c r="AE1240" s="15" t="str">
        <f t="shared" si="0"/>
        <v/>
      </c>
      <c r="AF1240" s="15" t="str">
        <f t="shared" si="1"/>
        <v/>
      </c>
      <c r="AG1240" s="15" t="str">
        <f>IF(OR(AF1240="",AF1240="ERRO_CHAVE"),"",IFERROR(MATCH(AF1240,'quitado Despesa'!$V$1:$V$12,0),""))</f>
        <v/>
      </c>
      <c r="AH1240" s="15" t="str">
        <f t="shared" si="2"/>
        <v/>
      </c>
      <c r="AI1240" s="17" t="str">
        <f>IF(AG1240="","",INDEX('quitado Despesa'!$G$1:$G$12,AG1240))</f>
        <v/>
      </c>
      <c r="AJ1240" s="17" t="str">
        <f t="shared" si="3"/>
        <v/>
      </c>
    </row>
    <row r="1241" spans="31:36">
      <c r="AE1241" s="15" t="str">
        <f t="shared" si="0"/>
        <v/>
      </c>
      <c r="AF1241" s="15" t="str">
        <f t="shared" si="1"/>
        <v/>
      </c>
      <c r="AG1241" s="15" t="str">
        <f>IF(OR(AF1241="",AF1241="ERRO_CHAVE"),"",IFERROR(MATCH(AF1241,'quitado Despesa'!$V$1:$V$12,0),""))</f>
        <v/>
      </c>
      <c r="AH1241" s="15" t="str">
        <f t="shared" si="2"/>
        <v/>
      </c>
      <c r="AI1241" s="17" t="str">
        <f>IF(AG1241="","",INDEX('quitado Despesa'!$G$1:$G$12,AG1241))</f>
        <v/>
      </c>
      <c r="AJ1241" s="17" t="str">
        <f t="shared" si="3"/>
        <v/>
      </c>
    </row>
    <row r="1242" spans="31:36">
      <c r="AE1242" s="15" t="str">
        <f t="shared" si="0"/>
        <v/>
      </c>
      <c r="AF1242" s="15" t="str">
        <f t="shared" si="1"/>
        <v/>
      </c>
      <c r="AG1242" s="15" t="str">
        <f>IF(OR(AF1242="",AF1242="ERRO_CHAVE"),"",IFERROR(MATCH(AF1242,'quitado Despesa'!$V$1:$V$12,0),""))</f>
        <v/>
      </c>
      <c r="AH1242" s="15" t="str">
        <f t="shared" si="2"/>
        <v/>
      </c>
      <c r="AI1242" s="17" t="str">
        <f>IF(AG1242="","",INDEX('quitado Despesa'!$G$1:$G$12,AG1242))</f>
        <v/>
      </c>
      <c r="AJ1242" s="17" t="str">
        <f t="shared" si="3"/>
        <v/>
      </c>
    </row>
    <row r="1243" spans="31:36">
      <c r="AE1243" s="15" t="str">
        <f t="shared" si="0"/>
        <v/>
      </c>
      <c r="AF1243" s="15" t="str">
        <f t="shared" si="1"/>
        <v/>
      </c>
      <c r="AG1243" s="15" t="str">
        <f>IF(OR(AF1243="",AF1243="ERRO_CHAVE"),"",IFERROR(MATCH(AF1243,'quitado Despesa'!$V$1:$V$12,0),""))</f>
        <v/>
      </c>
      <c r="AH1243" s="15" t="str">
        <f t="shared" si="2"/>
        <v/>
      </c>
      <c r="AI1243" s="17" t="str">
        <f>IF(AG1243="","",INDEX('quitado Despesa'!$G$1:$G$12,AG1243))</f>
        <v/>
      </c>
      <c r="AJ1243" s="17" t="str">
        <f t="shared" si="3"/>
        <v/>
      </c>
    </row>
    <row r="1244" spans="31:36">
      <c r="AE1244" s="15" t="str">
        <f t="shared" si="0"/>
        <v/>
      </c>
      <c r="AF1244" s="15" t="str">
        <f t="shared" si="1"/>
        <v/>
      </c>
      <c r="AG1244" s="15" t="str">
        <f>IF(OR(AF1244="",AF1244="ERRO_CHAVE"),"",IFERROR(MATCH(AF1244,'quitado Despesa'!$V$1:$V$12,0),""))</f>
        <v/>
      </c>
      <c r="AH1244" s="15" t="str">
        <f t="shared" si="2"/>
        <v/>
      </c>
      <c r="AI1244" s="17" t="str">
        <f>IF(AG1244="","",INDEX('quitado Despesa'!$G$1:$G$12,AG1244))</f>
        <v/>
      </c>
      <c r="AJ1244" s="17" t="str">
        <f t="shared" si="3"/>
        <v/>
      </c>
    </row>
    <row r="1245" spans="31:36">
      <c r="AE1245" s="15" t="str">
        <f t="shared" si="0"/>
        <v/>
      </c>
      <c r="AF1245" s="15" t="str">
        <f t="shared" si="1"/>
        <v/>
      </c>
      <c r="AG1245" s="15" t="str">
        <f>IF(OR(AF1245="",AF1245="ERRO_CHAVE"),"",IFERROR(MATCH(AF1245,'quitado Despesa'!$V$1:$V$12,0),""))</f>
        <v/>
      </c>
      <c r="AH1245" s="15" t="str">
        <f t="shared" si="2"/>
        <v/>
      </c>
      <c r="AI1245" s="17" t="str">
        <f>IF(AG1245="","",INDEX('quitado Despesa'!$G$1:$G$12,AG1245))</f>
        <v/>
      </c>
      <c r="AJ1245" s="17" t="str">
        <f t="shared" si="3"/>
        <v/>
      </c>
    </row>
    <row r="1246" spans="31:36">
      <c r="AE1246" s="15" t="str">
        <f t="shared" si="0"/>
        <v/>
      </c>
      <c r="AF1246" s="15" t="str">
        <f t="shared" si="1"/>
        <v/>
      </c>
      <c r="AG1246" s="15" t="str">
        <f>IF(OR(AF1246="",AF1246="ERRO_CHAVE"),"",IFERROR(MATCH(AF1246,'quitado Despesa'!$V$1:$V$12,0),""))</f>
        <v/>
      </c>
      <c r="AH1246" s="15" t="str">
        <f t="shared" si="2"/>
        <v/>
      </c>
      <c r="AI1246" s="17" t="str">
        <f>IF(AG1246="","",INDEX('quitado Despesa'!$G$1:$G$12,AG1246))</f>
        <v/>
      </c>
      <c r="AJ1246" s="17" t="str">
        <f t="shared" si="3"/>
        <v/>
      </c>
    </row>
    <row r="1247" spans="31:36">
      <c r="AE1247" s="15" t="str">
        <f t="shared" si="0"/>
        <v/>
      </c>
      <c r="AF1247" s="15" t="str">
        <f t="shared" si="1"/>
        <v/>
      </c>
      <c r="AG1247" s="15" t="str">
        <f>IF(OR(AF1247="",AF1247="ERRO_CHAVE"),"",IFERROR(MATCH(AF1247,'quitado Despesa'!$V$1:$V$12,0),""))</f>
        <v/>
      </c>
      <c r="AH1247" s="15" t="str">
        <f t="shared" si="2"/>
        <v/>
      </c>
      <c r="AI1247" s="17" t="str">
        <f>IF(AG1247="","",INDEX('quitado Despesa'!$G$1:$G$12,AG1247))</f>
        <v/>
      </c>
      <c r="AJ1247" s="17" t="str">
        <f t="shared" si="3"/>
        <v/>
      </c>
    </row>
    <row r="1248" spans="31:36">
      <c r="AE1248" s="15" t="str">
        <f t="shared" si="0"/>
        <v/>
      </c>
      <c r="AF1248" s="15" t="str">
        <f t="shared" si="1"/>
        <v/>
      </c>
      <c r="AG1248" s="15" t="str">
        <f>IF(OR(AF1248="",AF1248="ERRO_CHAVE"),"",IFERROR(MATCH(AF1248,'quitado Despesa'!$V$1:$V$12,0),""))</f>
        <v/>
      </c>
      <c r="AH1248" s="15" t="str">
        <f t="shared" si="2"/>
        <v/>
      </c>
      <c r="AI1248" s="17" t="str">
        <f>IF(AG1248="","",INDEX('quitado Despesa'!$G$1:$G$12,AG1248))</f>
        <v/>
      </c>
      <c r="AJ1248" s="17" t="str">
        <f t="shared" si="3"/>
        <v/>
      </c>
    </row>
    <row r="1249" spans="31:36">
      <c r="AE1249" s="15" t="str">
        <f t="shared" si="0"/>
        <v/>
      </c>
      <c r="AF1249" s="15" t="str">
        <f t="shared" si="1"/>
        <v/>
      </c>
      <c r="AG1249" s="15" t="str">
        <f>IF(OR(AF1249="",AF1249="ERRO_CHAVE"),"",IFERROR(MATCH(AF1249,'quitado Despesa'!$V$1:$V$12,0),""))</f>
        <v/>
      </c>
      <c r="AH1249" s="15" t="str">
        <f t="shared" si="2"/>
        <v/>
      </c>
      <c r="AI1249" s="17" t="str">
        <f>IF(AG1249="","",INDEX('quitado Despesa'!$G$1:$G$12,AG1249))</f>
        <v/>
      </c>
      <c r="AJ1249" s="17" t="str">
        <f t="shared" si="3"/>
        <v/>
      </c>
    </row>
    <row r="1250" spans="31:36">
      <c r="AE1250" s="15" t="str">
        <f t="shared" si="0"/>
        <v/>
      </c>
      <c r="AF1250" s="15" t="str">
        <f t="shared" si="1"/>
        <v/>
      </c>
      <c r="AG1250" s="15" t="str">
        <f>IF(OR(AF1250="",AF1250="ERRO_CHAVE"),"",IFERROR(MATCH(AF1250,'quitado Despesa'!$V$1:$V$12,0),""))</f>
        <v/>
      </c>
      <c r="AH1250" s="15" t="str">
        <f t="shared" si="2"/>
        <v/>
      </c>
      <c r="AI1250" s="17" t="str">
        <f>IF(AG1250="","",INDEX('quitado Despesa'!$G$1:$G$12,AG1250))</f>
        <v/>
      </c>
      <c r="AJ1250" s="17" t="str">
        <f t="shared" si="3"/>
        <v/>
      </c>
    </row>
    <row r="1251" spans="31:36">
      <c r="AE1251" s="15" t="str">
        <f t="shared" si="0"/>
        <v/>
      </c>
      <c r="AF1251" s="15" t="str">
        <f t="shared" si="1"/>
        <v/>
      </c>
      <c r="AG1251" s="15" t="str">
        <f>IF(OR(AF1251="",AF1251="ERRO_CHAVE"),"",IFERROR(MATCH(AF1251,'quitado Despesa'!$V$1:$V$12,0),""))</f>
        <v/>
      </c>
      <c r="AH1251" s="15" t="str">
        <f t="shared" si="2"/>
        <v/>
      </c>
      <c r="AI1251" s="17" t="str">
        <f>IF(AG1251="","",INDEX('quitado Despesa'!$G$1:$G$12,AG1251))</f>
        <v/>
      </c>
      <c r="AJ1251" s="17" t="str">
        <f t="shared" si="3"/>
        <v/>
      </c>
    </row>
    <row r="1252" spans="31:36">
      <c r="AE1252" s="15" t="str">
        <f t="shared" si="0"/>
        <v/>
      </c>
      <c r="AF1252" s="15" t="str">
        <f t="shared" si="1"/>
        <v/>
      </c>
      <c r="AG1252" s="15" t="str">
        <f>IF(OR(AF1252="",AF1252="ERRO_CHAVE"),"",IFERROR(MATCH(AF1252,'quitado Despesa'!$V$1:$V$12,0),""))</f>
        <v/>
      </c>
      <c r="AH1252" s="15" t="str">
        <f t="shared" si="2"/>
        <v/>
      </c>
      <c r="AI1252" s="17" t="str">
        <f>IF(AG1252="","",INDEX('quitado Despesa'!$G$1:$G$12,AG1252))</f>
        <v/>
      </c>
      <c r="AJ1252" s="17" t="str">
        <f t="shared" si="3"/>
        <v/>
      </c>
    </row>
    <row r="1253" spans="31:36">
      <c r="AE1253" s="15" t="str">
        <f t="shared" si="0"/>
        <v/>
      </c>
      <c r="AF1253" s="15" t="str">
        <f t="shared" si="1"/>
        <v/>
      </c>
      <c r="AG1253" s="15" t="str">
        <f>IF(OR(AF1253="",AF1253="ERRO_CHAVE"),"",IFERROR(MATCH(AF1253,'quitado Despesa'!$V$1:$V$12,0),""))</f>
        <v/>
      </c>
      <c r="AH1253" s="15" t="str">
        <f t="shared" si="2"/>
        <v/>
      </c>
      <c r="AI1253" s="17" t="str">
        <f>IF(AG1253="","",INDEX('quitado Despesa'!$G$1:$G$12,AG1253))</f>
        <v/>
      </c>
      <c r="AJ1253" s="17" t="str">
        <f t="shared" si="3"/>
        <v/>
      </c>
    </row>
    <row r="1254" spans="31:36">
      <c r="AE1254" s="15" t="str">
        <f t="shared" si="0"/>
        <v/>
      </c>
      <c r="AF1254" s="15" t="str">
        <f t="shared" si="1"/>
        <v/>
      </c>
      <c r="AG1254" s="15" t="str">
        <f>IF(OR(AF1254="",AF1254="ERRO_CHAVE"),"",IFERROR(MATCH(AF1254,'quitado Despesa'!$V$1:$V$12,0),""))</f>
        <v/>
      </c>
      <c r="AH1254" s="15" t="str">
        <f t="shared" si="2"/>
        <v/>
      </c>
      <c r="AI1254" s="17" t="str">
        <f>IF(AG1254="","",INDEX('quitado Despesa'!$G$1:$G$12,AG1254))</f>
        <v/>
      </c>
      <c r="AJ1254" s="17" t="str">
        <f t="shared" si="3"/>
        <v/>
      </c>
    </row>
    <row r="1255" spans="31:36">
      <c r="AE1255" s="15" t="str">
        <f t="shared" si="0"/>
        <v/>
      </c>
      <c r="AF1255" s="15" t="str">
        <f t="shared" si="1"/>
        <v/>
      </c>
      <c r="AG1255" s="15" t="str">
        <f>IF(OR(AF1255="",AF1255="ERRO_CHAVE"),"",IFERROR(MATCH(AF1255,'quitado Despesa'!$V$1:$V$12,0),""))</f>
        <v/>
      </c>
      <c r="AH1255" s="15" t="str">
        <f t="shared" si="2"/>
        <v/>
      </c>
      <c r="AI1255" s="17" t="str">
        <f>IF(AG1255="","",INDEX('quitado Despesa'!$G$1:$G$12,AG1255))</f>
        <v/>
      </c>
      <c r="AJ1255" s="17" t="str">
        <f t="shared" si="3"/>
        <v/>
      </c>
    </row>
    <row r="1256" spans="31:36">
      <c r="AE1256" s="15" t="str">
        <f t="shared" si="0"/>
        <v/>
      </c>
      <c r="AF1256" s="15" t="str">
        <f t="shared" si="1"/>
        <v/>
      </c>
      <c r="AG1256" s="15" t="str">
        <f>IF(OR(AF1256="",AF1256="ERRO_CHAVE"),"",IFERROR(MATCH(AF1256,'quitado Despesa'!$V$1:$V$12,0),""))</f>
        <v/>
      </c>
      <c r="AH1256" s="15" t="str">
        <f t="shared" si="2"/>
        <v/>
      </c>
      <c r="AI1256" s="17" t="str">
        <f>IF(AG1256="","",INDEX('quitado Despesa'!$G$1:$G$12,AG1256))</f>
        <v/>
      </c>
      <c r="AJ1256" s="17" t="str">
        <f t="shared" si="3"/>
        <v/>
      </c>
    </row>
    <row r="1257" spans="31:36">
      <c r="AE1257" s="15" t="str">
        <f t="shared" si="0"/>
        <v/>
      </c>
      <c r="AF1257" s="15" t="str">
        <f t="shared" si="1"/>
        <v/>
      </c>
      <c r="AG1257" s="15" t="str">
        <f>IF(OR(AF1257="",AF1257="ERRO_CHAVE"),"",IFERROR(MATCH(AF1257,'quitado Despesa'!$V$1:$V$12,0),""))</f>
        <v/>
      </c>
      <c r="AH1257" s="15" t="str">
        <f t="shared" si="2"/>
        <v/>
      </c>
      <c r="AI1257" s="17" t="str">
        <f>IF(AG1257="","",INDEX('quitado Despesa'!$G$1:$G$12,AG1257))</f>
        <v/>
      </c>
      <c r="AJ1257" s="17" t="str">
        <f t="shared" si="3"/>
        <v/>
      </c>
    </row>
    <row r="1258" spans="31:36">
      <c r="AE1258" s="15" t="str">
        <f t="shared" si="0"/>
        <v/>
      </c>
      <c r="AF1258" s="15" t="str">
        <f t="shared" si="1"/>
        <v/>
      </c>
      <c r="AG1258" s="15" t="str">
        <f>IF(OR(AF1258="",AF1258="ERRO_CHAVE"),"",IFERROR(MATCH(AF1258,'quitado Despesa'!$V$1:$V$12,0),""))</f>
        <v/>
      </c>
      <c r="AH1258" s="15" t="str">
        <f t="shared" si="2"/>
        <v/>
      </c>
      <c r="AI1258" s="17" t="str">
        <f>IF(AG1258="","",INDEX('quitado Despesa'!$G$1:$G$12,AG1258))</f>
        <v/>
      </c>
      <c r="AJ1258" s="17" t="str">
        <f t="shared" si="3"/>
        <v/>
      </c>
    </row>
    <row r="1259" spans="31:36">
      <c r="AE1259" s="15" t="str">
        <f t="shared" si="0"/>
        <v/>
      </c>
      <c r="AF1259" s="15" t="str">
        <f t="shared" si="1"/>
        <v/>
      </c>
      <c r="AG1259" s="15" t="str">
        <f>IF(OR(AF1259="",AF1259="ERRO_CHAVE"),"",IFERROR(MATCH(AF1259,'quitado Despesa'!$V$1:$V$12,0),""))</f>
        <v/>
      </c>
      <c r="AH1259" s="15" t="str">
        <f t="shared" si="2"/>
        <v/>
      </c>
      <c r="AI1259" s="17" t="str">
        <f>IF(AG1259="","",INDEX('quitado Despesa'!$G$1:$G$12,AG1259))</f>
        <v/>
      </c>
      <c r="AJ1259" s="17" t="str">
        <f t="shared" si="3"/>
        <v/>
      </c>
    </row>
    <row r="1260" spans="31:36">
      <c r="AE1260" s="15" t="str">
        <f t="shared" si="0"/>
        <v/>
      </c>
      <c r="AF1260" s="15" t="str">
        <f t="shared" si="1"/>
        <v/>
      </c>
      <c r="AG1260" s="15" t="str">
        <f>IF(OR(AF1260="",AF1260="ERRO_CHAVE"),"",IFERROR(MATCH(AF1260,'quitado Despesa'!$V$1:$V$12,0),""))</f>
        <v/>
      </c>
      <c r="AH1260" s="15" t="str">
        <f t="shared" si="2"/>
        <v/>
      </c>
      <c r="AI1260" s="17" t="str">
        <f>IF(AG1260="","",INDEX('quitado Despesa'!$G$1:$G$12,AG1260))</f>
        <v/>
      </c>
      <c r="AJ1260" s="17" t="str">
        <f t="shared" si="3"/>
        <v/>
      </c>
    </row>
    <row r="1261" spans="31:36">
      <c r="AE1261" s="15" t="str">
        <f t="shared" si="0"/>
        <v/>
      </c>
      <c r="AF1261" s="15" t="str">
        <f t="shared" si="1"/>
        <v/>
      </c>
      <c r="AG1261" s="15" t="str">
        <f>IF(OR(AF1261="",AF1261="ERRO_CHAVE"),"",IFERROR(MATCH(AF1261,'quitado Despesa'!$V$1:$V$12,0),""))</f>
        <v/>
      </c>
      <c r="AH1261" s="15" t="str">
        <f t="shared" si="2"/>
        <v/>
      </c>
      <c r="AI1261" s="17" t="str">
        <f>IF(AG1261="","",INDEX('quitado Despesa'!$G$1:$G$12,AG1261))</f>
        <v/>
      </c>
      <c r="AJ1261" s="17" t="str">
        <f t="shared" si="3"/>
        <v/>
      </c>
    </row>
    <row r="1262" spans="31:36">
      <c r="AE1262" s="15" t="str">
        <f t="shared" si="0"/>
        <v/>
      </c>
      <c r="AF1262" s="15" t="str">
        <f t="shared" si="1"/>
        <v/>
      </c>
      <c r="AG1262" s="15" t="str">
        <f>IF(OR(AF1262="",AF1262="ERRO_CHAVE"),"",IFERROR(MATCH(AF1262,'quitado Despesa'!$V$1:$V$12,0),""))</f>
        <v/>
      </c>
      <c r="AH1262" s="15" t="str">
        <f t="shared" si="2"/>
        <v/>
      </c>
      <c r="AI1262" s="17" t="str">
        <f>IF(AG1262="","",INDEX('quitado Despesa'!$G$1:$G$12,AG1262))</f>
        <v/>
      </c>
      <c r="AJ1262" s="17" t="str">
        <f t="shared" si="3"/>
        <v/>
      </c>
    </row>
    <row r="1263" spans="31:36">
      <c r="AE1263" s="15" t="str">
        <f t="shared" si="0"/>
        <v/>
      </c>
      <c r="AF1263" s="15" t="str">
        <f t="shared" si="1"/>
        <v/>
      </c>
      <c r="AG1263" s="15" t="str">
        <f>IF(OR(AF1263="",AF1263="ERRO_CHAVE"),"",IFERROR(MATCH(AF1263,'quitado Despesa'!$V$1:$V$12,0),""))</f>
        <v/>
      </c>
      <c r="AH1263" s="15" t="str">
        <f t="shared" si="2"/>
        <v/>
      </c>
      <c r="AI1263" s="17" t="str">
        <f>IF(AG1263="","",INDEX('quitado Despesa'!$G$1:$G$12,AG1263))</f>
        <v/>
      </c>
      <c r="AJ1263" s="17" t="str">
        <f t="shared" si="3"/>
        <v/>
      </c>
    </row>
    <row r="1264" spans="31:36">
      <c r="AE1264" s="15" t="str">
        <f t="shared" si="0"/>
        <v/>
      </c>
      <c r="AF1264" s="15" t="str">
        <f t="shared" si="1"/>
        <v/>
      </c>
      <c r="AG1264" s="15" t="str">
        <f>IF(OR(AF1264="",AF1264="ERRO_CHAVE"),"",IFERROR(MATCH(AF1264,'quitado Despesa'!$V$1:$V$12,0),""))</f>
        <v/>
      </c>
      <c r="AH1264" s="15" t="str">
        <f t="shared" si="2"/>
        <v/>
      </c>
      <c r="AI1264" s="17" t="str">
        <f>IF(AG1264="","",INDEX('quitado Despesa'!$G$1:$G$12,AG1264))</f>
        <v/>
      </c>
      <c r="AJ1264" s="17" t="str">
        <f t="shared" si="3"/>
        <v/>
      </c>
    </row>
    <row r="1265" spans="31:36">
      <c r="AE1265" s="15" t="str">
        <f t="shared" si="0"/>
        <v/>
      </c>
      <c r="AF1265" s="15" t="str">
        <f t="shared" si="1"/>
        <v/>
      </c>
      <c r="AG1265" s="15" t="str">
        <f>IF(OR(AF1265="",AF1265="ERRO_CHAVE"),"",IFERROR(MATCH(AF1265,'quitado Despesa'!$V$1:$V$12,0),""))</f>
        <v/>
      </c>
      <c r="AH1265" s="15" t="str">
        <f t="shared" si="2"/>
        <v/>
      </c>
      <c r="AI1265" s="17" t="str">
        <f>IF(AG1265="","",INDEX('quitado Despesa'!$G$1:$G$12,AG1265))</f>
        <v/>
      </c>
      <c r="AJ1265" s="17" t="str">
        <f t="shared" si="3"/>
        <v/>
      </c>
    </row>
    <row r="1266" spans="31:36">
      <c r="AE1266" s="15" t="str">
        <f t="shared" si="0"/>
        <v/>
      </c>
      <c r="AF1266" s="15" t="str">
        <f t="shared" si="1"/>
        <v/>
      </c>
      <c r="AG1266" s="15" t="str">
        <f>IF(OR(AF1266="",AF1266="ERRO_CHAVE"),"",IFERROR(MATCH(AF1266,'quitado Despesa'!$V$1:$V$12,0),""))</f>
        <v/>
      </c>
      <c r="AH1266" s="15" t="str">
        <f t="shared" si="2"/>
        <v/>
      </c>
      <c r="AI1266" s="17" t="str">
        <f>IF(AG1266="","",INDEX('quitado Despesa'!$G$1:$G$12,AG1266))</f>
        <v/>
      </c>
      <c r="AJ1266" s="17" t="str">
        <f t="shared" si="3"/>
        <v/>
      </c>
    </row>
    <row r="1267" spans="31:36">
      <c r="AE1267" s="15" t="str">
        <f t="shared" si="0"/>
        <v/>
      </c>
      <c r="AF1267" s="15" t="str">
        <f t="shared" si="1"/>
        <v/>
      </c>
      <c r="AG1267" s="15" t="str">
        <f>IF(OR(AF1267="",AF1267="ERRO_CHAVE"),"",IFERROR(MATCH(AF1267,'quitado Despesa'!$V$1:$V$12,0),""))</f>
        <v/>
      </c>
      <c r="AH1267" s="15" t="str">
        <f t="shared" si="2"/>
        <v/>
      </c>
      <c r="AI1267" s="17" t="str">
        <f>IF(AG1267="","",INDEX('quitado Despesa'!$G$1:$G$12,AG1267))</f>
        <v/>
      </c>
      <c r="AJ1267" s="17" t="str">
        <f t="shared" si="3"/>
        <v/>
      </c>
    </row>
    <row r="1268" spans="31:36">
      <c r="AE1268" s="15" t="str">
        <f t="shared" si="0"/>
        <v/>
      </c>
      <c r="AF1268" s="15" t="str">
        <f t="shared" si="1"/>
        <v/>
      </c>
      <c r="AG1268" s="15" t="str">
        <f>IF(OR(AF1268="",AF1268="ERRO_CHAVE"),"",IFERROR(MATCH(AF1268,'quitado Despesa'!$V$1:$V$12,0),""))</f>
        <v/>
      </c>
      <c r="AH1268" s="15" t="str">
        <f t="shared" si="2"/>
        <v/>
      </c>
      <c r="AI1268" s="17" t="str">
        <f>IF(AG1268="","",INDEX('quitado Despesa'!$G$1:$G$12,AG1268))</f>
        <v/>
      </c>
      <c r="AJ1268" s="17" t="str">
        <f t="shared" si="3"/>
        <v/>
      </c>
    </row>
    <row r="1269" spans="31:36">
      <c r="AE1269" s="15" t="str">
        <f t="shared" si="0"/>
        <v/>
      </c>
      <c r="AF1269" s="15" t="str">
        <f t="shared" si="1"/>
        <v/>
      </c>
      <c r="AG1269" s="15" t="str">
        <f>IF(OR(AF1269="",AF1269="ERRO_CHAVE"),"",IFERROR(MATCH(AF1269,'quitado Despesa'!$V$1:$V$12,0),""))</f>
        <v/>
      </c>
      <c r="AH1269" s="15" t="str">
        <f t="shared" si="2"/>
        <v/>
      </c>
      <c r="AI1269" s="17" t="str">
        <f>IF(AG1269="","",INDEX('quitado Despesa'!$G$1:$G$12,AG1269))</f>
        <v/>
      </c>
      <c r="AJ1269" s="17" t="str">
        <f t="shared" si="3"/>
        <v/>
      </c>
    </row>
    <row r="1270" spans="31:36">
      <c r="AE1270" s="15" t="str">
        <f t="shared" si="0"/>
        <v/>
      </c>
      <c r="AF1270" s="15" t="str">
        <f t="shared" si="1"/>
        <v/>
      </c>
      <c r="AG1270" s="15" t="str">
        <f>IF(OR(AF1270="",AF1270="ERRO_CHAVE"),"",IFERROR(MATCH(AF1270,'quitado Despesa'!$V$1:$V$12,0),""))</f>
        <v/>
      </c>
      <c r="AH1270" s="15" t="str">
        <f t="shared" si="2"/>
        <v/>
      </c>
      <c r="AI1270" s="17" t="str">
        <f>IF(AG1270="","",INDEX('quitado Despesa'!$G$1:$G$12,AG1270))</f>
        <v/>
      </c>
      <c r="AJ1270" s="17" t="str">
        <f t="shared" si="3"/>
        <v/>
      </c>
    </row>
    <row r="1271" spans="31:36">
      <c r="AE1271" s="15" t="str">
        <f t="shared" si="0"/>
        <v/>
      </c>
      <c r="AF1271" s="15" t="str">
        <f t="shared" si="1"/>
        <v/>
      </c>
      <c r="AG1271" s="15" t="str">
        <f>IF(OR(AF1271="",AF1271="ERRO_CHAVE"),"",IFERROR(MATCH(AF1271,'quitado Despesa'!$V$1:$V$12,0),""))</f>
        <v/>
      </c>
      <c r="AH1271" s="15" t="str">
        <f t="shared" si="2"/>
        <v/>
      </c>
      <c r="AI1271" s="17" t="str">
        <f>IF(AG1271="","",INDEX('quitado Despesa'!$G$1:$G$12,AG1271))</f>
        <v/>
      </c>
      <c r="AJ1271" s="17" t="str">
        <f t="shared" si="3"/>
        <v/>
      </c>
    </row>
    <row r="1272" spans="31:36">
      <c r="AE1272" s="15" t="str">
        <f t="shared" si="0"/>
        <v/>
      </c>
      <c r="AF1272" s="15" t="str">
        <f t="shared" si="1"/>
        <v/>
      </c>
      <c r="AG1272" s="15" t="str">
        <f>IF(OR(AF1272="",AF1272="ERRO_CHAVE"),"",IFERROR(MATCH(AF1272,'quitado Despesa'!$V$1:$V$12,0),""))</f>
        <v/>
      </c>
      <c r="AH1272" s="15" t="str">
        <f t="shared" si="2"/>
        <v/>
      </c>
      <c r="AI1272" s="17" t="str">
        <f>IF(AG1272="","",INDEX('quitado Despesa'!$G$1:$G$12,AG1272))</f>
        <v/>
      </c>
      <c r="AJ1272" s="17" t="str">
        <f t="shared" si="3"/>
        <v/>
      </c>
    </row>
    <row r="1273" spans="31:36">
      <c r="AE1273" s="15" t="str">
        <f t="shared" si="0"/>
        <v/>
      </c>
      <c r="AF1273" s="15" t="str">
        <f t="shared" si="1"/>
        <v/>
      </c>
      <c r="AG1273" s="15" t="str">
        <f>IF(OR(AF1273="",AF1273="ERRO_CHAVE"),"",IFERROR(MATCH(AF1273,'quitado Despesa'!$V$1:$V$12,0),""))</f>
        <v/>
      </c>
      <c r="AH1273" s="15" t="str">
        <f t="shared" si="2"/>
        <v/>
      </c>
      <c r="AI1273" s="17" t="str">
        <f>IF(AG1273="","",INDEX('quitado Despesa'!$G$1:$G$12,AG1273))</f>
        <v/>
      </c>
      <c r="AJ1273" s="17" t="str">
        <f t="shared" si="3"/>
        <v/>
      </c>
    </row>
    <row r="1274" spans="31:36">
      <c r="AE1274" s="15" t="str">
        <f t="shared" si="0"/>
        <v/>
      </c>
      <c r="AF1274" s="15" t="str">
        <f t="shared" si="1"/>
        <v/>
      </c>
      <c r="AG1274" s="15" t="str">
        <f>IF(OR(AF1274="",AF1274="ERRO_CHAVE"),"",IFERROR(MATCH(AF1274,'quitado Despesa'!$V$1:$V$12,0),""))</f>
        <v/>
      </c>
      <c r="AH1274" s="15" t="str">
        <f t="shared" si="2"/>
        <v/>
      </c>
      <c r="AI1274" s="17" t="str">
        <f>IF(AG1274="","",INDEX('quitado Despesa'!$G$1:$G$12,AG1274))</f>
        <v/>
      </c>
      <c r="AJ1274" s="17" t="str">
        <f t="shared" si="3"/>
        <v/>
      </c>
    </row>
    <row r="1275" spans="31:36">
      <c r="AE1275" s="15" t="str">
        <f t="shared" si="0"/>
        <v/>
      </c>
      <c r="AF1275" s="15" t="str">
        <f t="shared" si="1"/>
        <v/>
      </c>
      <c r="AG1275" s="15" t="str">
        <f>IF(OR(AF1275="",AF1275="ERRO_CHAVE"),"",IFERROR(MATCH(AF1275,'quitado Despesa'!$V$1:$V$12,0),""))</f>
        <v/>
      </c>
      <c r="AH1275" s="15" t="str">
        <f t="shared" si="2"/>
        <v/>
      </c>
      <c r="AI1275" s="17" t="str">
        <f>IF(AG1275="","",INDEX('quitado Despesa'!$G$1:$G$12,AG1275))</f>
        <v/>
      </c>
      <c r="AJ1275" s="17" t="str">
        <f t="shared" si="3"/>
        <v/>
      </c>
    </row>
    <row r="1276" spans="31:36">
      <c r="AE1276" s="15" t="str">
        <f t="shared" si="0"/>
        <v/>
      </c>
      <c r="AF1276" s="15" t="str">
        <f t="shared" si="1"/>
        <v/>
      </c>
      <c r="AG1276" s="15" t="str">
        <f>IF(OR(AF1276="",AF1276="ERRO_CHAVE"),"",IFERROR(MATCH(AF1276,'quitado Despesa'!$V$1:$V$12,0),""))</f>
        <v/>
      </c>
      <c r="AH1276" s="15" t="str">
        <f t="shared" si="2"/>
        <v/>
      </c>
      <c r="AI1276" s="17" t="str">
        <f>IF(AG1276="","",INDEX('quitado Despesa'!$G$1:$G$12,AG1276))</f>
        <v/>
      </c>
      <c r="AJ1276" s="17" t="str">
        <f t="shared" si="3"/>
        <v/>
      </c>
    </row>
    <row r="1277" spans="31:36">
      <c r="AE1277" s="15" t="str">
        <f t="shared" si="0"/>
        <v/>
      </c>
      <c r="AF1277" s="15" t="str">
        <f t="shared" si="1"/>
        <v/>
      </c>
      <c r="AG1277" s="15" t="str">
        <f>IF(OR(AF1277="",AF1277="ERRO_CHAVE"),"",IFERROR(MATCH(AF1277,'quitado Despesa'!$V$1:$V$12,0),""))</f>
        <v/>
      </c>
      <c r="AH1277" s="15" t="str">
        <f t="shared" si="2"/>
        <v/>
      </c>
      <c r="AI1277" s="17" t="str">
        <f>IF(AG1277="","",INDEX('quitado Despesa'!$G$1:$G$12,AG1277))</f>
        <v/>
      </c>
      <c r="AJ1277" s="17" t="str">
        <f t="shared" si="3"/>
        <v/>
      </c>
    </row>
    <row r="1278" spans="31:36">
      <c r="AE1278" s="15" t="str">
        <f t="shared" si="0"/>
        <v/>
      </c>
      <c r="AF1278" s="15" t="str">
        <f t="shared" si="1"/>
        <v/>
      </c>
      <c r="AG1278" s="15" t="str">
        <f>IF(OR(AF1278="",AF1278="ERRO_CHAVE"),"",IFERROR(MATCH(AF1278,'quitado Despesa'!$V$1:$V$12,0),""))</f>
        <v/>
      </c>
      <c r="AH1278" s="15" t="str">
        <f t="shared" si="2"/>
        <v/>
      </c>
      <c r="AI1278" s="17" t="str">
        <f>IF(AG1278="","",INDEX('quitado Despesa'!$G$1:$G$12,AG1278))</f>
        <v/>
      </c>
      <c r="AJ1278" s="17" t="str">
        <f t="shared" si="3"/>
        <v/>
      </c>
    </row>
    <row r="1279" spans="31:36">
      <c r="AE1279" s="15" t="str">
        <f t="shared" si="0"/>
        <v/>
      </c>
      <c r="AF1279" s="15" t="str">
        <f t="shared" si="1"/>
        <v/>
      </c>
      <c r="AG1279" s="15" t="str">
        <f>IF(OR(AF1279="",AF1279="ERRO_CHAVE"),"",IFERROR(MATCH(AF1279,'quitado Despesa'!$V$1:$V$12,0),""))</f>
        <v/>
      </c>
      <c r="AH1279" s="15" t="str">
        <f t="shared" si="2"/>
        <v/>
      </c>
      <c r="AI1279" s="17" t="str">
        <f>IF(AG1279="","",INDEX('quitado Despesa'!$G$1:$G$12,AG1279))</f>
        <v/>
      </c>
      <c r="AJ1279" s="17" t="str">
        <f t="shared" si="3"/>
        <v/>
      </c>
    </row>
    <row r="1280" spans="31:36">
      <c r="AE1280" s="15" t="str">
        <f t="shared" si="0"/>
        <v/>
      </c>
      <c r="AF1280" s="15" t="str">
        <f t="shared" si="1"/>
        <v/>
      </c>
      <c r="AG1280" s="15" t="str">
        <f>IF(OR(AF1280="",AF1280="ERRO_CHAVE"),"",IFERROR(MATCH(AF1280,'quitado Despesa'!$V$1:$V$12,0),""))</f>
        <v/>
      </c>
      <c r="AH1280" s="15" t="str">
        <f t="shared" si="2"/>
        <v/>
      </c>
      <c r="AI1280" s="17" t="str">
        <f>IF(AG1280="","",INDEX('quitado Despesa'!$G$1:$G$12,AG1280))</f>
        <v/>
      </c>
      <c r="AJ1280" s="17" t="str">
        <f t="shared" si="3"/>
        <v/>
      </c>
    </row>
    <row r="1281" spans="31:36">
      <c r="AE1281" s="15" t="str">
        <f t="shared" si="0"/>
        <v/>
      </c>
      <c r="AF1281" s="15" t="str">
        <f t="shared" si="1"/>
        <v/>
      </c>
      <c r="AG1281" s="15" t="str">
        <f>IF(OR(AF1281="",AF1281="ERRO_CHAVE"),"",IFERROR(MATCH(AF1281,'quitado Despesa'!$V$1:$V$12,0),""))</f>
        <v/>
      </c>
      <c r="AH1281" s="15" t="str">
        <f t="shared" si="2"/>
        <v/>
      </c>
      <c r="AI1281" s="17" t="str">
        <f>IF(AG1281="","",INDEX('quitado Despesa'!$G$1:$G$12,AG1281))</f>
        <v/>
      </c>
      <c r="AJ1281" s="17" t="str">
        <f t="shared" si="3"/>
        <v/>
      </c>
    </row>
    <row r="1282" spans="31:36">
      <c r="AE1282" s="15" t="str">
        <f t="shared" si="0"/>
        <v/>
      </c>
      <c r="AF1282" s="15" t="str">
        <f t="shared" si="1"/>
        <v/>
      </c>
      <c r="AG1282" s="15" t="str">
        <f>IF(OR(AF1282="",AF1282="ERRO_CHAVE"),"",IFERROR(MATCH(AF1282,'quitado Despesa'!$V$1:$V$12,0),""))</f>
        <v/>
      </c>
      <c r="AH1282" s="15" t="str">
        <f t="shared" si="2"/>
        <v/>
      </c>
      <c r="AI1282" s="17" t="str">
        <f>IF(AG1282="","",INDEX('quitado Despesa'!$G$1:$G$12,AG1282))</f>
        <v/>
      </c>
      <c r="AJ1282" s="17" t="str">
        <f t="shared" si="3"/>
        <v/>
      </c>
    </row>
    <row r="1283" spans="31:36">
      <c r="AE1283" s="15" t="str">
        <f t="shared" si="0"/>
        <v/>
      </c>
      <c r="AF1283" s="15" t="str">
        <f t="shared" si="1"/>
        <v/>
      </c>
      <c r="AG1283" s="15" t="str">
        <f>IF(OR(AF1283="",AF1283="ERRO_CHAVE"),"",IFERROR(MATCH(AF1283,'quitado Despesa'!$V$1:$V$12,0),""))</f>
        <v/>
      </c>
      <c r="AH1283" s="15" t="str">
        <f t="shared" si="2"/>
        <v/>
      </c>
      <c r="AI1283" s="17" t="str">
        <f>IF(AG1283="","",INDEX('quitado Despesa'!$G$1:$G$12,AG1283))</f>
        <v/>
      </c>
      <c r="AJ1283" s="17" t="str">
        <f t="shared" si="3"/>
        <v/>
      </c>
    </row>
    <row r="1284" spans="31:36">
      <c r="AE1284" s="15" t="str">
        <f t="shared" si="0"/>
        <v/>
      </c>
      <c r="AF1284" s="15" t="str">
        <f t="shared" si="1"/>
        <v/>
      </c>
      <c r="AG1284" s="15" t="str">
        <f>IF(OR(AF1284="",AF1284="ERRO_CHAVE"),"",IFERROR(MATCH(AF1284,'quitado Despesa'!$V$1:$V$12,0),""))</f>
        <v/>
      </c>
      <c r="AH1284" s="15" t="str">
        <f t="shared" si="2"/>
        <v/>
      </c>
      <c r="AI1284" s="17" t="str">
        <f>IF(AG1284="","",INDEX('quitado Despesa'!$G$1:$G$12,AG1284))</f>
        <v/>
      </c>
      <c r="AJ1284" s="17" t="str">
        <f t="shared" si="3"/>
        <v/>
      </c>
    </row>
    <row r="1285" spans="31:36">
      <c r="AE1285" s="15" t="str">
        <f t="shared" si="0"/>
        <v/>
      </c>
      <c r="AF1285" s="15" t="str">
        <f t="shared" si="1"/>
        <v/>
      </c>
      <c r="AG1285" s="15" t="str">
        <f>IF(OR(AF1285="",AF1285="ERRO_CHAVE"),"",IFERROR(MATCH(AF1285,'quitado Despesa'!$V$1:$V$12,0),""))</f>
        <v/>
      </c>
      <c r="AH1285" s="15" t="str">
        <f t="shared" si="2"/>
        <v/>
      </c>
      <c r="AI1285" s="17" t="str">
        <f>IF(AG1285="","",INDEX('quitado Despesa'!$G$1:$G$12,AG1285))</f>
        <v/>
      </c>
      <c r="AJ1285" s="17" t="str">
        <f t="shared" si="3"/>
        <v/>
      </c>
    </row>
    <row r="1286" spans="31:36">
      <c r="AE1286" s="15" t="str">
        <f t="shared" si="0"/>
        <v/>
      </c>
      <c r="AF1286" s="15" t="str">
        <f t="shared" si="1"/>
        <v/>
      </c>
      <c r="AG1286" s="15" t="str">
        <f>IF(OR(AF1286="",AF1286="ERRO_CHAVE"),"",IFERROR(MATCH(AF1286,'quitado Despesa'!$V$1:$V$12,0),""))</f>
        <v/>
      </c>
      <c r="AH1286" s="15" t="str">
        <f t="shared" si="2"/>
        <v/>
      </c>
      <c r="AI1286" s="17" t="str">
        <f>IF(AG1286="","",INDEX('quitado Despesa'!$G$1:$G$12,AG1286))</f>
        <v/>
      </c>
      <c r="AJ1286" s="17" t="str">
        <f t="shared" si="3"/>
        <v/>
      </c>
    </row>
    <row r="1287" spans="31:36">
      <c r="AE1287" s="15" t="str">
        <f t="shared" si="0"/>
        <v/>
      </c>
      <c r="AF1287" s="15" t="str">
        <f t="shared" si="1"/>
        <v/>
      </c>
      <c r="AG1287" s="15" t="str">
        <f>IF(OR(AF1287="",AF1287="ERRO_CHAVE"),"",IFERROR(MATCH(AF1287,'quitado Despesa'!$V$1:$V$12,0),""))</f>
        <v/>
      </c>
      <c r="AH1287" s="15" t="str">
        <f t="shared" si="2"/>
        <v/>
      </c>
      <c r="AI1287" s="17" t="str">
        <f>IF(AG1287="","",INDEX('quitado Despesa'!$G$1:$G$12,AG1287))</f>
        <v/>
      </c>
      <c r="AJ1287" s="17" t="str">
        <f t="shared" si="3"/>
        <v/>
      </c>
    </row>
    <row r="1288" spans="31:36">
      <c r="AE1288" s="15" t="str">
        <f t="shared" si="0"/>
        <v/>
      </c>
      <c r="AF1288" s="15" t="str">
        <f t="shared" si="1"/>
        <v/>
      </c>
      <c r="AG1288" s="15" t="str">
        <f>IF(OR(AF1288="",AF1288="ERRO_CHAVE"),"",IFERROR(MATCH(AF1288,'quitado Despesa'!$V$1:$V$12,0),""))</f>
        <v/>
      </c>
      <c r="AH1288" s="15" t="str">
        <f t="shared" si="2"/>
        <v/>
      </c>
      <c r="AI1288" s="17" t="str">
        <f>IF(AG1288="","",INDEX('quitado Despesa'!$G$1:$G$12,AG1288))</f>
        <v/>
      </c>
      <c r="AJ1288" s="17" t="str">
        <f t="shared" si="3"/>
        <v/>
      </c>
    </row>
    <row r="1289" spans="31:36">
      <c r="AE1289" s="15" t="str">
        <f t="shared" si="0"/>
        <v/>
      </c>
      <c r="AF1289" s="15" t="str">
        <f t="shared" si="1"/>
        <v/>
      </c>
      <c r="AG1289" s="15" t="str">
        <f>IF(OR(AF1289="",AF1289="ERRO_CHAVE"),"",IFERROR(MATCH(AF1289,'quitado Despesa'!$V$1:$V$12,0),""))</f>
        <v/>
      </c>
      <c r="AH1289" s="15" t="str">
        <f t="shared" si="2"/>
        <v/>
      </c>
      <c r="AI1289" s="17" t="str">
        <f>IF(AG1289="","",INDEX('quitado Despesa'!$G$1:$G$12,AG1289))</f>
        <v/>
      </c>
      <c r="AJ1289" s="17" t="str">
        <f t="shared" si="3"/>
        <v/>
      </c>
    </row>
    <row r="1290" spans="31:36">
      <c r="AE1290" s="15" t="str">
        <f t="shared" si="0"/>
        <v/>
      </c>
      <c r="AF1290" s="15" t="str">
        <f t="shared" si="1"/>
        <v/>
      </c>
      <c r="AG1290" s="15" t="str">
        <f>IF(OR(AF1290="",AF1290="ERRO_CHAVE"),"",IFERROR(MATCH(AF1290,'quitado Despesa'!$V$1:$V$12,0),""))</f>
        <v/>
      </c>
      <c r="AH1290" s="15" t="str">
        <f t="shared" si="2"/>
        <v/>
      </c>
      <c r="AI1290" s="17" t="str">
        <f>IF(AG1290="","",INDEX('quitado Despesa'!$G$1:$G$12,AG1290))</f>
        <v/>
      </c>
      <c r="AJ1290" s="17" t="str">
        <f t="shared" si="3"/>
        <v/>
      </c>
    </row>
    <row r="1291" spans="31:36">
      <c r="AE1291" s="15" t="str">
        <f t="shared" si="0"/>
        <v/>
      </c>
      <c r="AF1291" s="15" t="str">
        <f t="shared" si="1"/>
        <v/>
      </c>
      <c r="AG1291" s="15" t="str">
        <f>IF(OR(AF1291="",AF1291="ERRO_CHAVE"),"",IFERROR(MATCH(AF1291,'quitado Despesa'!$V$1:$V$12,0),""))</f>
        <v/>
      </c>
      <c r="AH1291" s="15" t="str">
        <f t="shared" si="2"/>
        <v/>
      </c>
      <c r="AI1291" s="17" t="str">
        <f>IF(AG1291="","",INDEX('quitado Despesa'!$G$1:$G$12,AG1291))</f>
        <v/>
      </c>
      <c r="AJ1291" s="17" t="str">
        <f t="shared" si="3"/>
        <v/>
      </c>
    </row>
    <row r="1292" spans="31:36">
      <c r="AE1292" s="15" t="str">
        <f t="shared" si="0"/>
        <v/>
      </c>
      <c r="AF1292" s="15" t="str">
        <f t="shared" si="1"/>
        <v/>
      </c>
      <c r="AG1292" s="15" t="str">
        <f>IF(OR(AF1292="",AF1292="ERRO_CHAVE"),"",IFERROR(MATCH(AF1292,'quitado Despesa'!$V$1:$V$12,0),""))</f>
        <v/>
      </c>
      <c r="AH1292" s="15" t="str">
        <f t="shared" si="2"/>
        <v/>
      </c>
      <c r="AI1292" s="17" t="str">
        <f>IF(AG1292="","",INDEX('quitado Despesa'!$G$1:$G$12,AG1292))</f>
        <v/>
      </c>
      <c r="AJ1292" s="17" t="str">
        <f t="shared" si="3"/>
        <v/>
      </c>
    </row>
    <row r="1293" spans="31:36">
      <c r="AE1293" s="15" t="str">
        <f t="shared" si="0"/>
        <v/>
      </c>
      <c r="AF1293" s="15" t="str">
        <f t="shared" si="1"/>
        <v/>
      </c>
      <c r="AG1293" s="15" t="str">
        <f>IF(OR(AF1293="",AF1293="ERRO_CHAVE"),"",IFERROR(MATCH(AF1293,'quitado Despesa'!$V$1:$V$12,0),""))</f>
        <v/>
      </c>
      <c r="AH1293" s="15" t="str">
        <f t="shared" si="2"/>
        <v/>
      </c>
      <c r="AI1293" s="17" t="str">
        <f>IF(AG1293="","",INDEX('quitado Despesa'!$G$1:$G$12,AG1293))</f>
        <v/>
      </c>
      <c r="AJ1293" s="17" t="str">
        <f t="shared" si="3"/>
        <v/>
      </c>
    </row>
    <row r="1294" spans="31:36">
      <c r="AE1294" s="15" t="str">
        <f t="shared" si="0"/>
        <v/>
      </c>
      <c r="AF1294" s="15" t="str">
        <f t="shared" si="1"/>
        <v/>
      </c>
      <c r="AG1294" s="15" t="str">
        <f>IF(OR(AF1294="",AF1294="ERRO_CHAVE"),"",IFERROR(MATCH(AF1294,'quitado Despesa'!$V$1:$V$12,0),""))</f>
        <v/>
      </c>
      <c r="AH1294" s="15" t="str">
        <f t="shared" si="2"/>
        <v/>
      </c>
      <c r="AI1294" s="17" t="str">
        <f>IF(AG1294="","",INDEX('quitado Despesa'!$G$1:$G$12,AG1294))</f>
        <v/>
      </c>
      <c r="AJ1294" s="17" t="str">
        <f t="shared" si="3"/>
        <v/>
      </c>
    </row>
    <row r="1295" spans="31:36">
      <c r="AE1295" s="15" t="str">
        <f t="shared" si="0"/>
        <v/>
      </c>
      <c r="AF1295" s="15" t="str">
        <f t="shared" si="1"/>
        <v/>
      </c>
      <c r="AG1295" s="15" t="str">
        <f>IF(OR(AF1295="",AF1295="ERRO_CHAVE"),"",IFERROR(MATCH(AF1295,'quitado Despesa'!$V$1:$V$12,0),""))</f>
        <v/>
      </c>
      <c r="AH1295" s="15" t="str">
        <f t="shared" si="2"/>
        <v/>
      </c>
      <c r="AI1295" s="17" t="str">
        <f>IF(AG1295="","",INDEX('quitado Despesa'!$G$1:$G$12,AG1295))</f>
        <v/>
      </c>
      <c r="AJ1295" s="17" t="str">
        <f t="shared" si="3"/>
        <v/>
      </c>
    </row>
    <row r="1296" spans="31:36">
      <c r="AE1296" s="15" t="str">
        <f t="shared" si="0"/>
        <v/>
      </c>
      <c r="AF1296" s="15" t="str">
        <f t="shared" si="1"/>
        <v/>
      </c>
      <c r="AG1296" s="15" t="str">
        <f>IF(OR(AF1296="",AF1296="ERRO_CHAVE"),"",IFERROR(MATCH(AF1296,'quitado Despesa'!$V$1:$V$12,0),""))</f>
        <v/>
      </c>
      <c r="AH1296" s="15" t="str">
        <f t="shared" si="2"/>
        <v/>
      </c>
      <c r="AI1296" s="17" t="str">
        <f>IF(AG1296="","",INDEX('quitado Despesa'!$G$1:$G$12,AG1296))</f>
        <v/>
      </c>
      <c r="AJ1296" s="17" t="str">
        <f t="shared" si="3"/>
        <v/>
      </c>
    </row>
    <row r="1297" spans="31:36">
      <c r="AE1297" s="15" t="str">
        <f t="shared" si="0"/>
        <v/>
      </c>
      <c r="AF1297" s="15" t="str">
        <f t="shared" si="1"/>
        <v/>
      </c>
      <c r="AG1297" s="15" t="str">
        <f>IF(OR(AF1297="",AF1297="ERRO_CHAVE"),"",IFERROR(MATCH(AF1297,'quitado Despesa'!$V$1:$V$12,0),""))</f>
        <v/>
      </c>
      <c r="AH1297" s="15" t="str">
        <f t="shared" si="2"/>
        <v/>
      </c>
      <c r="AI1297" s="17" t="str">
        <f>IF(AG1297="","",INDEX('quitado Despesa'!$G$1:$G$12,AG1297))</f>
        <v/>
      </c>
      <c r="AJ1297" s="17" t="str">
        <f t="shared" si="3"/>
        <v/>
      </c>
    </row>
    <row r="1298" spans="31:36">
      <c r="AE1298" s="15" t="str">
        <f t="shared" si="0"/>
        <v/>
      </c>
      <c r="AF1298" s="15" t="str">
        <f t="shared" si="1"/>
        <v/>
      </c>
      <c r="AG1298" s="15" t="str">
        <f>IF(OR(AF1298="",AF1298="ERRO_CHAVE"),"",IFERROR(MATCH(AF1298,'quitado Despesa'!$V$1:$V$12,0),""))</f>
        <v/>
      </c>
      <c r="AH1298" s="15" t="str">
        <f t="shared" si="2"/>
        <v/>
      </c>
      <c r="AI1298" s="17" t="str">
        <f>IF(AG1298="","",INDEX('quitado Despesa'!$G$1:$G$12,AG1298))</f>
        <v/>
      </c>
      <c r="AJ1298" s="17" t="str">
        <f t="shared" si="3"/>
        <v/>
      </c>
    </row>
    <row r="1299" spans="31:36">
      <c r="AE1299" s="15" t="str">
        <f t="shared" si="0"/>
        <v/>
      </c>
      <c r="AF1299" s="15" t="str">
        <f t="shared" si="1"/>
        <v/>
      </c>
      <c r="AG1299" s="15" t="str">
        <f>IF(OR(AF1299="",AF1299="ERRO_CHAVE"),"",IFERROR(MATCH(AF1299,'quitado Despesa'!$V$1:$V$12,0),""))</f>
        <v/>
      </c>
      <c r="AH1299" s="15" t="str">
        <f t="shared" si="2"/>
        <v/>
      </c>
      <c r="AI1299" s="17" t="str">
        <f>IF(AG1299="","",INDEX('quitado Despesa'!$G$1:$G$12,AG1299))</f>
        <v/>
      </c>
      <c r="AJ1299" s="17" t="str">
        <f t="shared" si="3"/>
        <v/>
      </c>
    </row>
    <row r="1300" spans="31:36">
      <c r="AE1300" s="15" t="str">
        <f t="shared" si="0"/>
        <v/>
      </c>
      <c r="AF1300" s="15" t="str">
        <f t="shared" si="1"/>
        <v/>
      </c>
      <c r="AG1300" s="15" t="str">
        <f>IF(OR(AF1300="",AF1300="ERRO_CHAVE"),"",IFERROR(MATCH(AF1300,'quitado Despesa'!$V$1:$V$12,0),""))</f>
        <v/>
      </c>
      <c r="AH1300" s="15" t="str">
        <f t="shared" si="2"/>
        <v/>
      </c>
      <c r="AI1300" s="17" t="str">
        <f>IF(AG1300="","",INDEX('quitado Despesa'!$G$1:$G$12,AG1300))</f>
        <v/>
      </c>
      <c r="AJ1300" s="17" t="str">
        <f t="shared" si="3"/>
        <v/>
      </c>
    </row>
    <row r="1301" spans="31:36">
      <c r="AE1301" s="15" t="str">
        <f t="shared" si="0"/>
        <v/>
      </c>
      <c r="AF1301" s="15" t="str">
        <f t="shared" si="1"/>
        <v/>
      </c>
      <c r="AG1301" s="15" t="str">
        <f>IF(OR(AF1301="",AF1301="ERRO_CHAVE"),"",IFERROR(MATCH(AF1301,'quitado Despesa'!$V$1:$V$12,0),""))</f>
        <v/>
      </c>
      <c r="AH1301" s="15" t="str">
        <f t="shared" si="2"/>
        <v/>
      </c>
      <c r="AI1301" s="17" t="str">
        <f>IF(AG1301="","",INDEX('quitado Despesa'!$G$1:$G$12,AG1301))</f>
        <v/>
      </c>
      <c r="AJ1301" s="17" t="str">
        <f t="shared" si="3"/>
        <v/>
      </c>
    </row>
    <row r="1302" spans="31:36">
      <c r="AE1302" s="15" t="str">
        <f t="shared" si="0"/>
        <v/>
      </c>
      <c r="AF1302" s="15" t="str">
        <f t="shared" si="1"/>
        <v/>
      </c>
      <c r="AG1302" s="15" t="str">
        <f>IF(OR(AF1302="",AF1302="ERRO_CHAVE"),"",IFERROR(MATCH(AF1302,'quitado Despesa'!$V$1:$V$12,0),""))</f>
        <v/>
      </c>
      <c r="AH1302" s="15" t="str">
        <f t="shared" si="2"/>
        <v/>
      </c>
      <c r="AI1302" s="17" t="str">
        <f>IF(AG1302="","",INDEX('quitado Despesa'!$G$1:$G$12,AG1302))</f>
        <v/>
      </c>
      <c r="AJ1302" s="17" t="str">
        <f t="shared" si="3"/>
        <v/>
      </c>
    </row>
    <row r="1303" spans="31:36">
      <c r="AE1303" s="15" t="str">
        <f t="shared" si="0"/>
        <v/>
      </c>
      <c r="AF1303" s="15" t="str">
        <f t="shared" si="1"/>
        <v/>
      </c>
      <c r="AG1303" s="15" t="str">
        <f>IF(OR(AF1303="",AF1303="ERRO_CHAVE"),"",IFERROR(MATCH(AF1303,'quitado Despesa'!$V$1:$V$12,0),""))</f>
        <v/>
      </c>
      <c r="AH1303" s="15" t="str">
        <f t="shared" si="2"/>
        <v/>
      </c>
      <c r="AI1303" s="17" t="str">
        <f>IF(AG1303="","",INDEX('quitado Despesa'!$G$1:$G$12,AG1303))</f>
        <v/>
      </c>
      <c r="AJ1303" s="17" t="str">
        <f t="shared" si="3"/>
        <v/>
      </c>
    </row>
    <row r="1304" spans="31:36">
      <c r="AE1304" s="15" t="str">
        <f t="shared" si="0"/>
        <v/>
      </c>
      <c r="AF1304" s="15" t="str">
        <f t="shared" si="1"/>
        <v/>
      </c>
      <c r="AG1304" s="15" t="str">
        <f>IF(OR(AF1304="",AF1304="ERRO_CHAVE"),"",IFERROR(MATCH(AF1304,'quitado Despesa'!$V$1:$V$12,0),""))</f>
        <v/>
      </c>
      <c r="AH1304" s="15" t="str">
        <f t="shared" si="2"/>
        <v/>
      </c>
      <c r="AI1304" s="17" t="str">
        <f>IF(AG1304="","",INDEX('quitado Despesa'!$G$1:$G$12,AG1304))</f>
        <v/>
      </c>
      <c r="AJ1304" s="17" t="str">
        <f t="shared" si="3"/>
        <v/>
      </c>
    </row>
    <row r="1305" spans="31:36">
      <c r="AE1305" s="15" t="str">
        <f t="shared" si="0"/>
        <v/>
      </c>
      <c r="AF1305" s="15" t="str">
        <f t="shared" si="1"/>
        <v/>
      </c>
      <c r="AG1305" s="15" t="str">
        <f>IF(OR(AF1305="",AF1305="ERRO_CHAVE"),"",IFERROR(MATCH(AF1305,'quitado Despesa'!$V$1:$V$12,0),""))</f>
        <v/>
      </c>
      <c r="AH1305" s="15" t="str">
        <f t="shared" si="2"/>
        <v/>
      </c>
      <c r="AI1305" s="17" t="str">
        <f>IF(AG1305="","",INDEX('quitado Despesa'!$G$1:$G$12,AG1305))</f>
        <v/>
      </c>
      <c r="AJ1305" s="17" t="str">
        <f t="shared" si="3"/>
        <v/>
      </c>
    </row>
    <row r="1306" spans="31:36">
      <c r="AE1306" s="15" t="str">
        <f t="shared" si="0"/>
        <v/>
      </c>
      <c r="AF1306" s="15" t="str">
        <f t="shared" si="1"/>
        <v/>
      </c>
      <c r="AG1306" s="15" t="str">
        <f>IF(OR(AF1306="",AF1306="ERRO_CHAVE"),"",IFERROR(MATCH(AF1306,'quitado Despesa'!$V$1:$V$12,0),""))</f>
        <v/>
      </c>
      <c r="AH1306" s="15" t="str">
        <f t="shared" si="2"/>
        <v/>
      </c>
      <c r="AI1306" s="17" t="str">
        <f>IF(AG1306="","",INDEX('quitado Despesa'!$G$1:$G$12,AG1306))</f>
        <v/>
      </c>
      <c r="AJ1306" s="17" t="str">
        <f t="shared" si="3"/>
        <v/>
      </c>
    </row>
    <row r="1307" spans="31:36">
      <c r="AE1307" s="15" t="str">
        <f t="shared" si="0"/>
        <v/>
      </c>
      <c r="AF1307" s="15" t="str">
        <f t="shared" si="1"/>
        <v/>
      </c>
      <c r="AG1307" s="15" t="str">
        <f>IF(OR(AF1307="",AF1307="ERRO_CHAVE"),"",IFERROR(MATCH(AF1307,'quitado Despesa'!$V$1:$V$12,0),""))</f>
        <v/>
      </c>
      <c r="AH1307" s="15" t="str">
        <f t="shared" si="2"/>
        <v/>
      </c>
      <c r="AI1307" s="17" t="str">
        <f>IF(AG1307="","",INDEX('quitado Despesa'!$G$1:$G$12,AG1307))</f>
        <v/>
      </c>
      <c r="AJ1307" s="17" t="str">
        <f t="shared" si="3"/>
        <v/>
      </c>
    </row>
    <row r="1308" spans="31:36">
      <c r="AE1308" s="15" t="str">
        <f t="shared" si="0"/>
        <v/>
      </c>
      <c r="AF1308" s="15" t="str">
        <f t="shared" si="1"/>
        <v/>
      </c>
      <c r="AG1308" s="15" t="str">
        <f>IF(OR(AF1308="",AF1308="ERRO_CHAVE"),"",IFERROR(MATCH(AF1308,'quitado Despesa'!$V$1:$V$12,0),""))</f>
        <v/>
      </c>
      <c r="AH1308" s="15" t="str">
        <f t="shared" si="2"/>
        <v/>
      </c>
      <c r="AI1308" s="17" t="str">
        <f>IF(AG1308="","",INDEX('quitado Despesa'!$G$1:$G$12,AG1308))</f>
        <v/>
      </c>
      <c r="AJ1308" s="17" t="str">
        <f t="shared" si="3"/>
        <v/>
      </c>
    </row>
    <row r="1309" spans="31:36">
      <c r="AE1309" s="15" t="str">
        <f t="shared" si="0"/>
        <v/>
      </c>
      <c r="AF1309" s="15" t="str">
        <f t="shared" si="1"/>
        <v/>
      </c>
      <c r="AG1309" s="15" t="str">
        <f>IF(OR(AF1309="",AF1309="ERRO_CHAVE"),"",IFERROR(MATCH(AF1309,'quitado Despesa'!$V$1:$V$12,0),""))</f>
        <v/>
      </c>
      <c r="AH1309" s="15" t="str">
        <f t="shared" si="2"/>
        <v/>
      </c>
      <c r="AI1309" s="17" t="str">
        <f>IF(AG1309="","",INDEX('quitado Despesa'!$G$1:$G$12,AG1309))</f>
        <v/>
      </c>
      <c r="AJ1309" s="17" t="str">
        <f t="shared" si="3"/>
        <v/>
      </c>
    </row>
    <row r="1310" spans="31:36">
      <c r="AE1310" s="15" t="str">
        <f t="shared" si="0"/>
        <v/>
      </c>
      <c r="AF1310" s="15" t="str">
        <f t="shared" si="1"/>
        <v/>
      </c>
      <c r="AG1310" s="15" t="str">
        <f>IF(OR(AF1310="",AF1310="ERRO_CHAVE"),"",IFERROR(MATCH(AF1310,'quitado Despesa'!$V$1:$V$12,0),""))</f>
        <v/>
      </c>
      <c r="AH1310" s="15" t="str">
        <f t="shared" si="2"/>
        <v/>
      </c>
      <c r="AI1310" s="17" t="str">
        <f>IF(AG1310="","",INDEX('quitado Despesa'!$G$1:$G$12,AG1310))</f>
        <v/>
      </c>
      <c r="AJ1310" s="17" t="str">
        <f t="shared" si="3"/>
        <v/>
      </c>
    </row>
    <row r="1311" spans="31:36">
      <c r="AE1311" s="15" t="str">
        <f t="shared" si="0"/>
        <v/>
      </c>
      <c r="AF1311" s="15" t="str">
        <f t="shared" si="1"/>
        <v/>
      </c>
      <c r="AG1311" s="15" t="str">
        <f>IF(OR(AF1311="",AF1311="ERRO_CHAVE"),"",IFERROR(MATCH(AF1311,'quitado Despesa'!$V$1:$V$12,0),""))</f>
        <v/>
      </c>
      <c r="AH1311" s="15" t="str">
        <f t="shared" si="2"/>
        <v/>
      </c>
      <c r="AI1311" s="17" t="str">
        <f>IF(AG1311="","",INDEX('quitado Despesa'!$G$1:$G$12,AG1311))</f>
        <v/>
      </c>
      <c r="AJ1311" s="17" t="str">
        <f t="shared" si="3"/>
        <v/>
      </c>
    </row>
    <row r="1312" spans="31:36">
      <c r="AE1312" s="15" t="str">
        <f t="shared" si="0"/>
        <v/>
      </c>
      <c r="AF1312" s="15" t="str">
        <f t="shared" si="1"/>
        <v/>
      </c>
      <c r="AG1312" s="15" t="str">
        <f>IF(OR(AF1312="",AF1312="ERRO_CHAVE"),"",IFERROR(MATCH(AF1312,'quitado Despesa'!$V$1:$V$12,0),""))</f>
        <v/>
      </c>
      <c r="AH1312" s="15" t="str">
        <f t="shared" si="2"/>
        <v/>
      </c>
      <c r="AI1312" s="17" t="str">
        <f>IF(AG1312="","",INDEX('quitado Despesa'!$G$1:$G$12,AG1312))</f>
        <v/>
      </c>
      <c r="AJ1312" s="17" t="str">
        <f t="shared" si="3"/>
        <v/>
      </c>
    </row>
    <row r="1313" spans="31:36">
      <c r="AE1313" s="15" t="str">
        <f t="shared" si="0"/>
        <v/>
      </c>
      <c r="AF1313" s="15" t="str">
        <f t="shared" si="1"/>
        <v/>
      </c>
      <c r="AG1313" s="15" t="str">
        <f>IF(OR(AF1313="",AF1313="ERRO_CHAVE"),"",IFERROR(MATCH(AF1313,'quitado Despesa'!$V$1:$V$12,0),""))</f>
        <v/>
      </c>
      <c r="AH1313" s="15" t="str">
        <f t="shared" si="2"/>
        <v/>
      </c>
      <c r="AI1313" s="17" t="str">
        <f>IF(AG1313="","",INDEX('quitado Despesa'!$G$1:$G$12,AG1313))</f>
        <v/>
      </c>
      <c r="AJ1313" s="17" t="str">
        <f t="shared" si="3"/>
        <v/>
      </c>
    </row>
    <row r="1314" spans="31:36">
      <c r="AE1314" s="15" t="str">
        <f t="shared" si="0"/>
        <v/>
      </c>
      <c r="AF1314" s="15" t="str">
        <f t="shared" si="1"/>
        <v/>
      </c>
      <c r="AG1314" s="15" t="str">
        <f>IF(OR(AF1314="",AF1314="ERRO_CHAVE"),"",IFERROR(MATCH(AF1314,'quitado Despesa'!$V$1:$V$12,0),""))</f>
        <v/>
      </c>
      <c r="AH1314" s="15" t="str">
        <f t="shared" si="2"/>
        <v/>
      </c>
      <c r="AI1314" s="17" t="str">
        <f>IF(AG1314="","",INDEX('quitado Despesa'!$G$1:$G$12,AG1314))</f>
        <v/>
      </c>
      <c r="AJ1314" s="17" t="str">
        <f t="shared" si="3"/>
        <v/>
      </c>
    </row>
    <row r="1315" spans="31:36">
      <c r="AE1315" s="15" t="str">
        <f t="shared" si="0"/>
        <v/>
      </c>
      <c r="AF1315" s="15" t="str">
        <f t="shared" si="1"/>
        <v/>
      </c>
      <c r="AG1315" s="15" t="str">
        <f>IF(OR(AF1315="",AF1315="ERRO_CHAVE"),"",IFERROR(MATCH(AF1315,'quitado Despesa'!$V$1:$V$12,0),""))</f>
        <v/>
      </c>
      <c r="AH1315" s="15" t="str">
        <f t="shared" si="2"/>
        <v/>
      </c>
      <c r="AI1315" s="17" t="str">
        <f>IF(AG1315="","",INDEX('quitado Despesa'!$G$1:$G$12,AG1315))</f>
        <v/>
      </c>
      <c r="AJ1315" s="17" t="str">
        <f t="shared" si="3"/>
        <v/>
      </c>
    </row>
    <row r="1316" spans="31:36">
      <c r="AE1316" s="15" t="str">
        <f t="shared" si="0"/>
        <v/>
      </c>
      <c r="AF1316" s="15" t="str">
        <f t="shared" si="1"/>
        <v/>
      </c>
      <c r="AG1316" s="15" t="str">
        <f>IF(OR(AF1316="",AF1316="ERRO_CHAVE"),"",IFERROR(MATCH(AF1316,'quitado Despesa'!$V$1:$V$12,0),""))</f>
        <v/>
      </c>
      <c r="AH1316" s="15" t="str">
        <f t="shared" si="2"/>
        <v/>
      </c>
      <c r="AI1316" s="17" t="str">
        <f>IF(AG1316="","",INDEX('quitado Despesa'!$G$1:$G$12,AG1316))</f>
        <v/>
      </c>
      <c r="AJ1316" s="17" t="str">
        <f t="shared" si="3"/>
        <v/>
      </c>
    </row>
    <row r="1317" spans="31:36">
      <c r="AE1317" s="15" t="str">
        <f t="shared" si="0"/>
        <v/>
      </c>
      <c r="AF1317" s="15" t="str">
        <f t="shared" si="1"/>
        <v/>
      </c>
      <c r="AG1317" s="15" t="str">
        <f>IF(OR(AF1317="",AF1317="ERRO_CHAVE"),"",IFERROR(MATCH(AF1317,'quitado Despesa'!$V$1:$V$12,0),""))</f>
        <v/>
      </c>
      <c r="AH1317" s="15" t="str">
        <f t="shared" si="2"/>
        <v/>
      </c>
      <c r="AI1317" s="17" t="str">
        <f>IF(AG1317="","",INDEX('quitado Despesa'!$G$1:$G$12,AG1317))</f>
        <v/>
      </c>
      <c r="AJ1317" s="17" t="str">
        <f t="shared" si="3"/>
        <v/>
      </c>
    </row>
    <row r="1318" spans="31:36">
      <c r="AE1318" s="15" t="str">
        <f t="shared" si="0"/>
        <v/>
      </c>
      <c r="AF1318" s="15" t="str">
        <f t="shared" si="1"/>
        <v/>
      </c>
      <c r="AG1318" s="15" t="str">
        <f>IF(OR(AF1318="",AF1318="ERRO_CHAVE"),"",IFERROR(MATCH(AF1318,'quitado Despesa'!$V$1:$V$12,0),""))</f>
        <v/>
      </c>
      <c r="AH1318" s="15" t="str">
        <f t="shared" si="2"/>
        <v/>
      </c>
      <c r="AI1318" s="17" t="str">
        <f>IF(AG1318="","",INDEX('quitado Despesa'!$G$1:$G$12,AG1318))</f>
        <v/>
      </c>
      <c r="AJ1318" s="17" t="str">
        <f t="shared" si="3"/>
        <v/>
      </c>
    </row>
    <row r="1319" spans="31:36">
      <c r="AE1319" s="15" t="str">
        <f t="shared" si="0"/>
        <v/>
      </c>
      <c r="AF1319" s="15" t="str">
        <f t="shared" si="1"/>
        <v/>
      </c>
      <c r="AG1319" s="15" t="str">
        <f>IF(OR(AF1319="",AF1319="ERRO_CHAVE"),"",IFERROR(MATCH(AF1319,'quitado Despesa'!$V$1:$V$12,0),""))</f>
        <v/>
      </c>
      <c r="AH1319" s="15" t="str">
        <f t="shared" si="2"/>
        <v/>
      </c>
      <c r="AI1319" s="17" t="str">
        <f>IF(AG1319="","",INDEX('quitado Despesa'!$G$1:$G$12,AG1319))</f>
        <v/>
      </c>
      <c r="AJ1319" s="17" t="str">
        <f t="shared" si="3"/>
        <v/>
      </c>
    </row>
    <row r="1320" spans="31:36">
      <c r="AE1320" s="15" t="str">
        <f t="shared" si="0"/>
        <v/>
      </c>
      <c r="AF1320" s="15" t="str">
        <f t="shared" si="1"/>
        <v/>
      </c>
      <c r="AG1320" s="15" t="str">
        <f>IF(OR(AF1320="",AF1320="ERRO_CHAVE"),"",IFERROR(MATCH(AF1320,'quitado Despesa'!$V$1:$V$12,0),""))</f>
        <v/>
      </c>
      <c r="AH1320" s="15" t="str">
        <f t="shared" si="2"/>
        <v/>
      </c>
      <c r="AI1320" s="17" t="str">
        <f>IF(AG1320="","",INDEX('quitado Despesa'!$G$1:$G$12,AG1320))</f>
        <v/>
      </c>
      <c r="AJ1320" s="17" t="str">
        <f t="shared" si="3"/>
        <v/>
      </c>
    </row>
    <row r="1321" spans="31:36">
      <c r="AE1321" s="15" t="str">
        <f t="shared" si="0"/>
        <v/>
      </c>
      <c r="AF1321" s="15" t="str">
        <f t="shared" si="1"/>
        <v/>
      </c>
      <c r="AG1321" s="15" t="str">
        <f>IF(OR(AF1321="",AF1321="ERRO_CHAVE"),"",IFERROR(MATCH(AF1321,'quitado Despesa'!$V$1:$V$12,0),""))</f>
        <v/>
      </c>
      <c r="AH1321" s="15" t="str">
        <f t="shared" si="2"/>
        <v/>
      </c>
      <c r="AI1321" s="17" t="str">
        <f>IF(AG1321="","",INDEX('quitado Despesa'!$G$1:$G$12,AG1321))</f>
        <v/>
      </c>
      <c r="AJ1321" s="17" t="str">
        <f t="shared" si="3"/>
        <v/>
      </c>
    </row>
    <row r="1322" spans="31:36">
      <c r="AE1322" s="15" t="str">
        <f t="shared" si="0"/>
        <v/>
      </c>
      <c r="AF1322" s="15" t="str">
        <f t="shared" si="1"/>
        <v/>
      </c>
      <c r="AG1322" s="15" t="str">
        <f>IF(OR(AF1322="",AF1322="ERRO_CHAVE"),"",IFERROR(MATCH(AF1322,'quitado Despesa'!$V$1:$V$12,0),""))</f>
        <v/>
      </c>
      <c r="AH1322" s="15" t="str">
        <f t="shared" si="2"/>
        <v/>
      </c>
      <c r="AI1322" s="17" t="str">
        <f>IF(AG1322="","",INDEX('quitado Despesa'!$G$1:$G$12,AG1322))</f>
        <v/>
      </c>
      <c r="AJ1322" s="17" t="str">
        <f t="shared" si="3"/>
        <v/>
      </c>
    </row>
    <row r="1323" spans="31:36">
      <c r="AE1323" s="15" t="str">
        <f t="shared" si="0"/>
        <v/>
      </c>
      <c r="AF1323" s="15" t="str">
        <f t="shared" si="1"/>
        <v/>
      </c>
      <c r="AG1323" s="15" t="str">
        <f>IF(OR(AF1323="",AF1323="ERRO_CHAVE"),"",IFERROR(MATCH(AF1323,'quitado Despesa'!$V$1:$V$12,0),""))</f>
        <v/>
      </c>
      <c r="AH1323" s="15" t="str">
        <f t="shared" si="2"/>
        <v/>
      </c>
      <c r="AI1323" s="17" t="str">
        <f>IF(AG1323="","",INDEX('quitado Despesa'!$G$1:$G$12,AG1323))</f>
        <v/>
      </c>
      <c r="AJ1323" s="17" t="str">
        <f t="shared" si="3"/>
        <v/>
      </c>
    </row>
    <row r="1324" spans="31:36">
      <c r="AE1324" s="15" t="str">
        <f t="shared" si="0"/>
        <v/>
      </c>
      <c r="AF1324" s="15" t="str">
        <f t="shared" si="1"/>
        <v/>
      </c>
      <c r="AG1324" s="15" t="str">
        <f>IF(OR(AF1324="",AF1324="ERRO_CHAVE"),"",IFERROR(MATCH(AF1324,'quitado Despesa'!$V$1:$V$12,0),""))</f>
        <v/>
      </c>
      <c r="AH1324" s="15" t="str">
        <f t="shared" si="2"/>
        <v/>
      </c>
      <c r="AI1324" s="17" t="str">
        <f>IF(AG1324="","",INDEX('quitado Despesa'!$G$1:$G$12,AG1324))</f>
        <v/>
      </c>
      <c r="AJ1324" s="17" t="str">
        <f t="shared" si="3"/>
        <v/>
      </c>
    </row>
    <row r="1325" spans="31:36">
      <c r="AE1325" s="15" t="str">
        <f t="shared" si="0"/>
        <v/>
      </c>
      <c r="AF1325" s="15" t="str">
        <f t="shared" si="1"/>
        <v/>
      </c>
      <c r="AG1325" s="15" t="str">
        <f>IF(OR(AF1325="",AF1325="ERRO_CHAVE"),"",IFERROR(MATCH(AF1325,'quitado Despesa'!$V$1:$V$12,0),""))</f>
        <v/>
      </c>
      <c r="AH1325" s="15" t="str">
        <f t="shared" si="2"/>
        <v/>
      </c>
      <c r="AI1325" s="17" t="str">
        <f>IF(AG1325="","",INDEX('quitado Despesa'!$G$1:$G$12,AG1325))</f>
        <v/>
      </c>
      <c r="AJ1325" s="17" t="str">
        <f t="shared" si="3"/>
        <v/>
      </c>
    </row>
    <row r="1326" spans="31:36">
      <c r="AE1326" s="15" t="str">
        <f t="shared" si="0"/>
        <v/>
      </c>
      <c r="AF1326" s="15" t="str">
        <f t="shared" si="1"/>
        <v/>
      </c>
      <c r="AG1326" s="15" t="str">
        <f>IF(OR(AF1326="",AF1326="ERRO_CHAVE"),"",IFERROR(MATCH(AF1326,'quitado Despesa'!$V$1:$V$12,0),""))</f>
        <v/>
      </c>
      <c r="AH1326" s="15" t="str">
        <f t="shared" si="2"/>
        <v/>
      </c>
      <c r="AI1326" s="17" t="str">
        <f>IF(AG1326="","",INDEX('quitado Despesa'!$G$1:$G$12,AG1326))</f>
        <v/>
      </c>
      <c r="AJ1326" s="17" t="str">
        <f t="shared" si="3"/>
        <v/>
      </c>
    </row>
    <row r="1327" spans="31:36">
      <c r="AE1327" s="15" t="str">
        <f t="shared" si="0"/>
        <v/>
      </c>
      <c r="AF1327" s="15" t="str">
        <f t="shared" si="1"/>
        <v/>
      </c>
      <c r="AG1327" s="15" t="str">
        <f>IF(OR(AF1327="",AF1327="ERRO_CHAVE"),"",IFERROR(MATCH(AF1327,'quitado Despesa'!$V$1:$V$12,0),""))</f>
        <v/>
      </c>
      <c r="AH1327" s="15" t="str">
        <f t="shared" si="2"/>
        <v/>
      </c>
      <c r="AI1327" s="17" t="str">
        <f>IF(AG1327="","",INDEX('quitado Despesa'!$G$1:$G$12,AG1327))</f>
        <v/>
      </c>
      <c r="AJ1327" s="17" t="str">
        <f t="shared" si="3"/>
        <v/>
      </c>
    </row>
    <row r="1328" spans="31:36">
      <c r="AE1328" s="15" t="str">
        <f t="shared" si="0"/>
        <v/>
      </c>
      <c r="AF1328" s="15" t="str">
        <f t="shared" si="1"/>
        <v/>
      </c>
      <c r="AG1328" s="15" t="str">
        <f>IF(OR(AF1328="",AF1328="ERRO_CHAVE"),"",IFERROR(MATCH(AF1328,'quitado Despesa'!$V$1:$V$12,0),""))</f>
        <v/>
      </c>
      <c r="AH1328" s="15" t="str">
        <f t="shared" si="2"/>
        <v/>
      </c>
      <c r="AI1328" s="17" t="str">
        <f>IF(AG1328="","",INDEX('quitado Despesa'!$G$1:$G$12,AG1328))</f>
        <v/>
      </c>
      <c r="AJ1328" s="17" t="str">
        <f t="shared" si="3"/>
        <v/>
      </c>
    </row>
    <row r="1329" spans="31:36">
      <c r="AE1329" s="15" t="str">
        <f t="shared" si="0"/>
        <v/>
      </c>
      <c r="AF1329" s="15" t="str">
        <f t="shared" si="1"/>
        <v/>
      </c>
      <c r="AG1329" s="15" t="str">
        <f>IF(OR(AF1329="",AF1329="ERRO_CHAVE"),"",IFERROR(MATCH(AF1329,'quitado Despesa'!$V$1:$V$12,0),""))</f>
        <v/>
      </c>
      <c r="AH1329" s="15" t="str">
        <f t="shared" si="2"/>
        <v/>
      </c>
      <c r="AI1329" s="17" t="str">
        <f>IF(AG1329="","",INDEX('quitado Despesa'!$G$1:$G$12,AG1329))</f>
        <v/>
      </c>
      <c r="AJ1329" s="17" t="str">
        <f t="shared" si="3"/>
        <v/>
      </c>
    </row>
    <row r="1330" spans="31:36">
      <c r="AE1330" s="15" t="str">
        <f t="shared" si="0"/>
        <v/>
      </c>
      <c r="AF1330" s="15" t="str">
        <f t="shared" si="1"/>
        <v/>
      </c>
      <c r="AG1330" s="15" t="str">
        <f>IF(OR(AF1330="",AF1330="ERRO_CHAVE"),"",IFERROR(MATCH(AF1330,'quitado Despesa'!$V$1:$V$12,0),""))</f>
        <v/>
      </c>
      <c r="AH1330" s="15" t="str">
        <f t="shared" si="2"/>
        <v/>
      </c>
      <c r="AI1330" s="17" t="str">
        <f>IF(AG1330="","",INDEX('quitado Despesa'!$G$1:$G$12,AG1330))</f>
        <v/>
      </c>
      <c r="AJ1330" s="17" t="str">
        <f t="shared" si="3"/>
        <v/>
      </c>
    </row>
    <row r="1331" spans="31:36">
      <c r="AE1331" s="15" t="str">
        <f t="shared" si="0"/>
        <v/>
      </c>
      <c r="AF1331" s="15" t="str">
        <f t="shared" si="1"/>
        <v/>
      </c>
      <c r="AG1331" s="15" t="str">
        <f>IF(OR(AF1331="",AF1331="ERRO_CHAVE"),"",IFERROR(MATCH(AF1331,'quitado Despesa'!$V$1:$V$12,0),""))</f>
        <v/>
      </c>
      <c r="AH1331" s="15" t="str">
        <f t="shared" si="2"/>
        <v/>
      </c>
      <c r="AI1331" s="17" t="str">
        <f>IF(AG1331="","",INDEX('quitado Despesa'!$G$1:$G$12,AG1331))</f>
        <v/>
      </c>
      <c r="AJ1331" s="17" t="str">
        <f t="shared" si="3"/>
        <v/>
      </c>
    </row>
    <row r="1332" spans="31:36">
      <c r="AE1332" s="15" t="str">
        <f t="shared" si="0"/>
        <v/>
      </c>
      <c r="AF1332" s="15" t="str">
        <f t="shared" si="1"/>
        <v/>
      </c>
      <c r="AG1332" s="15" t="str">
        <f>IF(OR(AF1332="",AF1332="ERRO_CHAVE"),"",IFERROR(MATCH(AF1332,'quitado Despesa'!$V$1:$V$12,0),""))</f>
        <v/>
      </c>
      <c r="AH1332" s="15" t="str">
        <f t="shared" si="2"/>
        <v/>
      </c>
      <c r="AI1332" s="17" t="str">
        <f>IF(AG1332="","",INDEX('quitado Despesa'!$G$1:$G$12,AG1332))</f>
        <v/>
      </c>
      <c r="AJ1332" s="17" t="str">
        <f t="shared" si="3"/>
        <v/>
      </c>
    </row>
    <row r="1333" spans="31:36">
      <c r="AE1333" s="15" t="str">
        <f t="shared" si="0"/>
        <v/>
      </c>
      <c r="AF1333" s="15" t="str">
        <f t="shared" si="1"/>
        <v/>
      </c>
      <c r="AG1333" s="15" t="str">
        <f>IF(OR(AF1333="",AF1333="ERRO_CHAVE"),"",IFERROR(MATCH(AF1333,'quitado Despesa'!$V$1:$V$12,0),""))</f>
        <v/>
      </c>
      <c r="AH1333" s="15" t="str">
        <f t="shared" si="2"/>
        <v/>
      </c>
      <c r="AI1333" s="17" t="str">
        <f>IF(AG1333="","",INDEX('quitado Despesa'!$G$1:$G$12,AG1333))</f>
        <v/>
      </c>
      <c r="AJ1333" s="17" t="str">
        <f t="shared" si="3"/>
        <v/>
      </c>
    </row>
    <row r="1334" spans="31:36">
      <c r="AE1334" s="15" t="str">
        <f t="shared" si="0"/>
        <v/>
      </c>
      <c r="AF1334" s="15" t="str">
        <f t="shared" si="1"/>
        <v/>
      </c>
      <c r="AG1334" s="15" t="str">
        <f>IF(OR(AF1334="",AF1334="ERRO_CHAVE"),"",IFERROR(MATCH(AF1334,'quitado Despesa'!$V$1:$V$12,0),""))</f>
        <v/>
      </c>
      <c r="AH1334" s="15" t="str">
        <f t="shared" si="2"/>
        <v/>
      </c>
      <c r="AI1334" s="17" t="str">
        <f>IF(AG1334="","",INDEX('quitado Despesa'!$G$1:$G$12,AG1334))</f>
        <v/>
      </c>
      <c r="AJ1334" s="17" t="str">
        <f t="shared" si="3"/>
        <v/>
      </c>
    </row>
    <row r="1335" spans="31:36">
      <c r="AE1335" s="15" t="str">
        <f t="shared" si="0"/>
        <v/>
      </c>
      <c r="AF1335" s="15" t="str">
        <f t="shared" si="1"/>
        <v/>
      </c>
      <c r="AG1335" s="15" t="str">
        <f>IF(OR(AF1335="",AF1335="ERRO_CHAVE"),"",IFERROR(MATCH(AF1335,'quitado Despesa'!$V$1:$V$12,0),""))</f>
        <v/>
      </c>
      <c r="AH1335" s="15" t="str">
        <f t="shared" si="2"/>
        <v/>
      </c>
      <c r="AI1335" s="17" t="str">
        <f>IF(AG1335="","",INDEX('quitado Despesa'!$G$1:$G$12,AG1335))</f>
        <v/>
      </c>
      <c r="AJ1335" s="17" t="str">
        <f t="shared" si="3"/>
        <v/>
      </c>
    </row>
    <row r="1336" spans="31:36">
      <c r="AE1336" s="15" t="str">
        <f t="shared" si="0"/>
        <v/>
      </c>
      <c r="AF1336" s="15" t="str">
        <f t="shared" si="1"/>
        <v/>
      </c>
      <c r="AG1336" s="15" t="str">
        <f>IF(OR(AF1336="",AF1336="ERRO_CHAVE"),"",IFERROR(MATCH(AF1336,'quitado Despesa'!$V$1:$V$12,0),""))</f>
        <v/>
      </c>
      <c r="AH1336" s="15" t="str">
        <f t="shared" si="2"/>
        <v/>
      </c>
      <c r="AI1336" s="17" t="str">
        <f>IF(AG1336="","",INDEX('quitado Despesa'!$G$1:$G$12,AG1336))</f>
        <v/>
      </c>
      <c r="AJ1336" s="17" t="str">
        <f t="shared" si="3"/>
        <v/>
      </c>
    </row>
    <row r="1337" spans="31:36">
      <c r="AE1337" s="15" t="str">
        <f t="shared" si="0"/>
        <v/>
      </c>
      <c r="AF1337" s="15" t="str">
        <f t="shared" si="1"/>
        <v/>
      </c>
      <c r="AG1337" s="15" t="str">
        <f>IF(OR(AF1337="",AF1337="ERRO_CHAVE"),"",IFERROR(MATCH(AF1337,'quitado Despesa'!$V$1:$V$12,0),""))</f>
        <v/>
      </c>
      <c r="AH1337" s="15" t="str">
        <f t="shared" si="2"/>
        <v/>
      </c>
      <c r="AI1337" s="17" t="str">
        <f>IF(AG1337="","",INDEX('quitado Despesa'!$G$1:$G$12,AG1337))</f>
        <v/>
      </c>
      <c r="AJ1337" s="17" t="str">
        <f t="shared" si="3"/>
        <v/>
      </c>
    </row>
    <row r="1338" spans="31:36">
      <c r="AE1338" s="15" t="str">
        <f t="shared" si="0"/>
        <v/>
      </c>
      <c r="AF1338" s="15" t="str">
        <f t="shared" si="1"/>
        <v/>
      </c>
      <c r="AG1338" s="15" t="str">
        <f>IF(OR(AF1338="",AF1338="ERRO_CHAVE"),"",IFERROR(MATCH(AF1338,'quitado Despesa'!$V$1:$V$12,0),""))</f>
        <v/>
      </c>
      <c r="AH1338" s="15" t="str">
        <f t="shared" si="2"/>
        <v/>
      </c>
      <c r="AI1338" s="17" t="str">
        <f>IF(AG1338="","",INDEX('quitado Despesa'!$G$1:$G$12,AG1338))</f>
        <v/>
      </c>
      <c r="AJ1338" s="17" t="str">
        <f t="shared" si="3"/>
        <v/>
      </c>
    </row>
    <row r="1339" spans="31:36">
      <c r="AE1339" s="15" t="str">
        <f t="shared" si="0"/>
        <v/>
      </c>
      <c r="AF1339" s="15" t="str">
        <f t="shared" si="1"/>
        <v/>
      </c>
      <c r="AG1339" s="15" t="str">
        <f>IF(OR(AF1339="",AF1339="ERRO_CHAVE"),"",IFERROR(MATCH(AF1339,'quitado Despesa'!$V$1:$V$12,0),""))</f>
        <v/>
      </c>
      <c r="AH1339" s="15" t="str">
        <f t="shared" si="2"/>
        <v/>
      </c>
      <c r="AI1339" s="17" t="str">
        <f>IF(AG1339="","",INDEX('quitado Despesa'!$G$1:$G$12,AG1339))</f>
        <v/>
      </c>
      <c r="AJ1339" s="17" t="str">
        <f t="shared" si="3"/>
        <v/>
      </c>
    </row>
    <row r="1340" spans="31:36">
      <c r="AE1340" s="15" t="str">
        <f t="shared" si="0"/>
        <v/>
      </c>
      <c r="AF1340" s="15" t="str">
        <f t="shared" si="1"/>
        <v/>
      </c>
      <c r="AG1340" s="15" t="str">
        <f>IF(OR(AF1340="",AF1340="ERRO_CHAVE"),"",IFERROR(MATCH(AF1340,'quitado Despesa'!$V$1:$V$12,0),""))</f>
        <v/>
      </c>
      <c r="AH1340" s="15" t="str">
        <f t="shared" si="2"/>
        <v/>
      </c>
      <c r="AI1340" s="17" t="str">
        <f>IF(AG1340="","",INDEX('quitado Despesa'!$G$1:$G$12,AG1340))</f>
        <v/>
      </c>
      <c r="AJ1340" s="17" t="str">
        <f t="shared" si="3"/>
        <v/>
      </c>
    </row>
    <row r="1341" spans="31:36">
      <c r="AE1341" s="15" t="str">
        <f t="shared" si="0"/>
        <v/>
      </c>
      <c r="AF1341" s="15" t="str">
        <f t="shared" si="1"/>
        <v/>
      </c>
      <c r="AG1341" s="15" t="str">
        <f>IF(OR(AF1341="",AF1341="ERRO_CHAVE"),"",IFERROR(MATCH(AF1341,'quitado Despesa'!$V$1:$V$12,0),""))</f>
        <v/>
      </c>
      <c r="AH1341" s="15" t="str">
        <f t="shared" si="2"/>
        <v/>
      </c>
      <c r="AI1341" s="17" t="str">
        <f>IF(AG1341="","",INDEX('quitado Despesa'!$G$1:$G$12,AG1341))</f>
        <v/>
      </c>
      <c r="AJ1341" s="17" t="str">
        <f t="shared" si="3"/>
        <v/>
      </c>
    </row>
    <row r="1342" spans="31:36">
      <c r="AE1342" s="15" t="str">
        <f t="shared" si="0"/>
        <v/>
      </c>
      <c r="AF1342" s="15" t="str">
        <f t="shared" si="1"/>
        <v/>
      </c>
      <c r="AG1342" s="15" t="str">
        <f>IF(OR(AF1342="",AF1342="ERRO_CHAVE"),"",IFERROR(MATCH(AF1342,'quitado Despesa'!$V$1:$V$12,0),""))</f>
        <v/>
      </c>
      <c r="AH1342" s="15" t="str">
        <f t="shared" si="2"/>
        <v/>
      </c>
      <c r="AI1342" s="17" t="str">
        <f>IF(AG1342="","",INDEX('quitado Despesa'!$G$1:$G$12,AG1342))</f>
        <v/>
      </c>
      <c r="AJ1342" s="17" t="str">
        <f t="shared" si="3"/>
        <v/>
      </c>
    </row>
    <row r="1343" spans="31:36">
      <c r="AE1343" s="15" t="str">
        <f t="shared" si="0"/>
        <v/>
      </c>
      <c r="AF1343" s="15" t="str">
        <f t="shared" si="1"/>
        <v/>
      </c>
      <c r="AG1343" s="15" t="str">
        <f>IF(OR(AF1343="",AF1343="ERRO_CHAVE"),"",IFERROR(MATCH(AF1343,'quitado Despesa'!$V$1:$V$12,0),""))</f>
        <v/>
      </c>
      <c r="AH1343" s="15" t="str">
        <f t="shared" si="2"/>
        <v/>
      </c>
      <c r="AI1343" s="17" t="str">
        <f>IF(AG1343="","",INDEX('quitado Despesa'!$G$1:$G$12,AG1343))</f>
        <v/>
      </c>
      <c r="AJ1343" s="17" t="str">
        <f t="shared" si="3"/>
        <v/>
      </c>
    </row>
    <row r="1344" spans="31:36">
      <c r="AE1344" s="15" t="str">
        <f t="shared" si="0"/>
        <v/>
      </c>
      <c r="AF1344" s="15" t="str">
        <f t="shared" si="1"/>
        <v/>
      </c>
      <c r="AG1344" s="15" t="str">
        <f>IF(OR(AF1344="",AF1344="ERRO_CHAVE"),"",IFERROR(MATCH(AF1344,'quitado Despesa'!$V$1:$V$12,0),""))</f>
        <v/>
      </c>
      <c r="AH1344" s="15" t="str">
        <f t="shared" si="2"/>
        <v/>
      </c>
      <c r="AI1344" s="17" t="str">
        <f>IF(AG1344="","",INDEX('quitado Despesa'!$G$1:$G$12,AG1344))</f>
        <v/>
      </c>
      <c r="AJ1344" s="17" t="str">
        <f t="shared" si="3"/>
        <v/>
      </c>
    </row>
    <row r="1345" spans="31:36">
      <c r="AE1345" s="15" t="str">
        <f t="shared" si="0"/>
        <v/>
      </c>
      <c r="AF1345" s="15" t="str">
        <f t="shared" si="1"/>
        <v/>
      </c>
      <c r="AG1345" s="15" t="str">
        <f>IF(OR(AF1345="",AF1345="ERRO_CHAVE"),"",IFERROR(MATCH(AF1345,'quitado Despesa'!$V$1:$V$12,0),""))</f>
        <v/>
      </c>
      <c r="AH1345" s="15" t="str">
        <f t="shared" si="2"/>
        <v/>
      </c>
      <c r="AI1345" s="17" t="str">
        <f>IF(AG1345="","",INDEX('quitado Despesa'!$G$1:$G$12,AG1345))</f>
        <v/>
      </c>
      <c r="AJ1345" s="17" t="str">
        <f t="shared" si="3"/>
        <v/>
      </c>
    </row>
    <row r="1346" spans="31:36">
      <c r="AE1346" s="15" t="str">
        <f t="shared" si="0"/>
        <v/>
      </c>
      <c r="AF1346" s="15" t="str">
        <f t="shared" si="1"/>
        <v/>
      </c>
      <c r="AG1346" s="15" t="str">
        <f>IF(OR(AF1346="",AF1346="ERRO_CHAVE"),"",IFERROR(MATCH(AF1346,'quitado Despesa'!$V$1:$V$12,0),""))</f>
        <v/>
      </c>
      <c r="AH1346" s="15" t="str">
        <f t="shared" si="2"/>
        <v/>
      </c>
      <c r="AI1346" s="17" t="str">
        <f>IF(AG1346="","",INDEX('quitado Despesa'!$G$1:$G$12,AG1346))</f>
        <v/>
      </c>
      <c r="AJ1346" s="17" t="str">
        <f t="shared" si="3"/>
        <v/>
      </c>
    </row>
    <row r="1347" spans="31:36">
      <c r="AE1347" s="15" t="str">
        <f t="shared" si="0"/>
        <v/>
      </c>
      <c r="AF1347" s="15" t="str">
        <f t="shared" si="1"/>
        <v/>
      </c>
      <c r="AG1347" s="15" t="str">
        <f>IF(OR(AF1347="",AF1347="ERRO_CHAVE"),"",IFERROR(MATCH(AF1347,'quitado Despesa'!$V$1:$V$12,0),""))</f>
        <v/>
      </c>
      <c r="AH1347" s="15" t="str">
        <f t="shared" si="2"/>
        <v/>
      </c>
      <c r="AI1347" s="17" t="str">
        <f>IF(AG1347="","",INDEX('quitado Despesa'!$G$1:$G$12,AG1347))</f>
        <v/>
      </c>
      <c r="AJ1347" s="17" t="str">
        <f t="shared" si="3"/>
        <v/>
      </c>
    </row>
    <row r="1348" spans="31:36">
      <c r="AE1348" s="15" t="str">
        <f t="shared" si="0"/>
        <v/>
      </c>
      <c r="AF1348" s="15" t="str">
        <f t="shared" si="1"/>
        <v/>
      </c>
      <c r="AG1348" s="15" t="str">
        <f>IF(OR(AF1348="",AF1348="ERRO_CHAVE"),"",IFERROR(MATCH(AF1348,'quitado Despesa'!$V$1:$V$12,0),""))</f>
        <v/>
      </c>
      <c r="AH1348" s="15" t="str">
        <f t="shared" si="2"/>
        <v/>
      </c>
      <c r="AI1348" s="17" t="str">
        <f>IF(AG1348="","",INDEX('quitado Despesa'!$G$1:$G$12,AG1348))</f>
        <v/>
      </c>
      <c r="AJ1348" s="17" t="str">
        <f t="shared" si="3"/>
        <v/>
      </c>
    </row>
    <row r="1349" spans="31:36">
      <c r="AE1349" s="15" t="str">
        <f t="shared" si="0"/>
        <v/>
      </c>
      <c r="AF1349" s="15" t="str">
        <f t="shared" si="1"/>
        <v/>
      </c>
      <c r="AG1349" s="15" t="str">
        <f>IF(OR(AF1349="",AF1349="ERRO_CHAVE"),"",IFERROR(MATCH(AF1349,'quitado Despesa'!$V$1:$V$12,0),""))</f>
        <v/>
      </c>
      <c r="AH1349" s="15" t="str">
        <f t="shared" si="2"/>
        <v/>
      </c>
      <c r="AI1349" s="17" t="str">
        <f>IF(AG1349="","",INDEX('quitado Despesa'!$G$1:$G$12,AG1349))</f>
        <v/>
      </c>
      <c r="AJ1349" s="17" t="str">
        <f t="shared" si="3"/>
        <v/>
      </c>
    </row>
    <row r="1350" spans="31:36">
      <c r="AE1350" s="15" t="str">
        <f t="shared" si="0"/>
        <v/>
      </c>
      <c r="AF1350" s="15" t="str">
        <f t="shared" si="1"/>
        <v/>
      </c>
      <c r="AG1350" s="15" t="str">
        <f>IF(OR(AF1350="",AF1350="ERRO_CHAVE"),"",IFERROR(MATCH(AF1350,'quitado Despesa'!$V$1:$V$12,0),""))</f>
        <v/>
      </c>
      <c r="AH1350" s="15" t="str">
        <f t="shared" si="2"/>
        <v/>
      </c>
      <c r="AI1350" s="17" t="str">
        <f>IF(AG1350="","",INDEX('quitado Despesa'!$G$1:$G$12,AG1350))</f>
        <v/>
      </c>
      <c r="AJ1350" s="17" t="str">
        <f t="shared" si="3"/>
        <v/>
      </c>
    </row>
    <row r="1351" spans="31:36">
      <c r="AE1351" s="15" t="str">
        <f t="shared" si="0"/>
        <v/>
      </c>
      <c r="AF1351" s="15" t="str">
        <f t="shared" si="1"/>
        <v/>
      </c>
      <c r="AG1351" s="15" t="str">
        <f>IF(OR(AF1351="",AF1351="ERRO_CHAVE"),"",IFERROR(MATCH(AF1351,'quitado Despesa'!$V$1:$V$12,0),""))</f>
        <v/>
      </c>
      <c r="AH1351" s="15" t="str">
        <f t="shared" si="2"/>
        <v/>
      </c>
      <c r="AI1351" s="17" t="str">
        <f>IF(AG1351="","",INDEX('quitado Despesa'!$G$1:$G$12,AG1351))</f>
        <v/>
      </c>
      <c r="AJ1351" s="17" t="str">
        <f t="shared" si="3"/>
        <v/>
      </c>
    </row>
    <row r="1352" spans="31:36">
      <c r="AE1352" s="15" t="str">
        <f t="shared" si="0"/>
        <v/>
      </c>
      <c r="AF1352" s="15" t="str">
        <f t="shared" si="1"/>
        <v/>
      </c>
      <c r="AG1352" s="15" t="str">
        <f>IF(OR(AF1352="",AF1352="ERRO_CHAVE"),"",IFERROR(MATCH(AF1352,'quitado Despesa'!$V$1:$V$12,0),""))</f>
        <v/>
      </c>
      <c r="AH1352" s="15" t="str">
        <f t="shared" si="2"/>
        <v/>
      </c>
      <c r="AI1352" s="17" t="str">
        <f>IF(AG1352="","",INDEX('quitado Despesa'!$G$1:$G$12,AG1352))</f>
        <v/>
      </c>
      <c r="AJ1352" s="17" t="str">
        <f t="shared" si="3"/>
        <v/>
      </c>
    </row>
    <row r="1353" spans="31:36">
      <c r="AE1353" s="15" t="str">
        <f t="shared" si="0"/>
        <v/>
      </c>
      <c r="AF1353" s="15" t="str">
        <f t="shared" si="1"/>
        <v/>
      </c>
      <c r="AG1353" s="15" t="str">
        <f>IF(OR(AF1353="",AF1353="ERRO_CHAVE"),"",IFERROR(MATCH(AF1353,'quitado Despesa'!$V$1:$V$12,0),""))</f>
        <v/>
      </c>
      <c r="AH1353" s="15" t="str">
        <f t="shared" si="2"/>
        <v/>
      </c>
      <c r="AI1353" s="17" t="str">
        <f>IF(AG1353="","",INDEX('quitado Despesa'!$G$1:$G$12,AG1353))</f>
        <v/>
      </c>
      <c r="AJ1353" s="17" t="str">
        <f t="shared" si="3"/>
        <v/>
      </c>
    </row>
    <row r="1354" spans="31:36">
      <c r="AE1354" s="15" t="str">
        <f t="shared" si="0"/>
        <v/>
      </c>
      <c r="AF1354" s="15" t="str">
        <f t="shared" si="1"/>
        <v/>
      </c>
      <c r="AG1354" s="15" t="str">
        <f>IF(OR(AF1354="",AF1354="ERRO_CHAVE"),"",IFERROR(MATCH(AF1354,'quitado Despesa'!$V$1:$V$12,0),""))</f>
        <v/>
      </c>
      <c r="AH1354" s="15" t="str">
        <f t="shared" si="2"/>
        <v/>
      </c>
      <c r="AI1354" s="17" t="str">
        <f>IF(AG1354="","",INDEX('quitado Despesa'!$G$1:$G$12,AG1354))</f>
        <v/>
      </c>
      <c r="AJ1354" s="17" t="str">
        <f t="shared" si="3"/>
        <v/>
      </c>
    </row>
    <row r="1355" spans="31:36">
      <c r="AE1355" s="15" t="str">
        <f t="shared" si="0"/>
        <v/>
      </c>
      <c r="AF1355" s="15" t="str">
        <f t="shared" si="1"/>
        <v/>
      </c>
      <c r="AG1355" s="15" t="str">
        <f>IF(OR(AF1355="",AF1355="ERRO_CHAVE"),"",IFERROR(MATCH(AF1355,'quitado Despesa'!$V$1:$V$12,0),""))</f>
        <v/>
      </c>
      <c r="AH1355" s="15" t="str">
        <f t="shared" si="2"/>
        <v/>
      </c>
      <c r="AI1355" s="17" t="str">
        <f>IF(AG1355="","",INDEX('quitado Despesa'!$G$1:$G$12,AG1355))</f>
        <v/>
      </c>
      <c r="AJ1355" s="17" t="str">
        <f t="shared" si="3"/>
        <v/>
      </c>
    </row>
    <row r="1356" spans="31:36">
      <c r="AE1356" s="15" t="str">
        <f t="shared" si="0"/>
        <v/>
      </c>
      <c r="AF1356" s="15" t="str">
        <f t="shared" si="1"/>
        <v/>
      </c>
      <c r="AG1356" s="15" t="str">
        <f>IF(OR(AF1356="",AF1356="ERRO_CHAVE"),"",IFERROR(MATCH(AF1356,'quitado Despesa'!$V$1:$V$12,0),""))</f>
        <v/>
      </c>
      <c r="AH1356" s="15" t="str">
        <f t="shared" si="2"/>
        <v/>
      </c>
      <c r="AI1356" s="17" t="str">
        <f>IF(AG1356="","",INDEX('quitado Despesa'!$G$1:$G$12,AG1356))</f>
        <v/>
      </c>
      <c r="AJ1356" s="17" t="str">
        <f t="shared" si="3"/>
        <v/>
      </c>
    </row>
    <row r="1357" spans="31:36">
      <c r="AE1357" s="15" t="str">
        <f t="shared" si="0"/>
        <v/>
      </c>
      <c r="AF1357" s="15" t="str">
        <f t="shared" si="1"/>
        <v/>
      </c>
      <c r="AG1357" s="15" t="str">
        <f>IF(OR(AF1357="",AF1357="ERRO_CHAVE"),"",IFERROR(MATCH(AF1357,'quitado Despesa'!$V$1:$V$12,0),""))</f>
        <v/>
      </c>
      <c r="AH1357" s="15" t="str">
        <f t="shared" si="2"/>
        <v/>
      </c>
      <c r="AI1357" s="17" t="str">
        <f>IF(AG1357="","",INDEX('quitado Despesa'!$G$1:$G$12,AG1357))</f>
        <v/>
      </c>
      <c r="AJ1357" s="17" t="str">
        <f t="shared" si="3"/>
        <v/>
      </c>
    </row>
    <row r="1358" spans="31:36">
      <c r="AE1358" s="15" t="str">
        <f t="shared" si="0"/>
        <v/>
      </c>
      <c r="AF1358" s="15" t="str">
        <f t="shared" si="1"/>
        <v/>
      </c>
      <c r="AG1358" s="15" t="str">
        <f>IF(OR(AF1358="",AF1358="ERRO_CHAVE"),"",IFERROR(MATCH(AF1358,'quitado Despesa'!$V$1:$V$12,0),""))</f>
        <v/>
      </c>
      <c r="AH1358" s="15" t="str">
        <f t="shared" si="2"/>
        <v/>
      </c>
      <c r="AI1358" s="17" t="str">
        <f>IF(AG1358="","",INDEX('quitado Despesa'!$G$1:$G$12,AG1358))</f>
        <v/>
      </c>
      <c r="AJ1358" s="17" t="str">
        <f t="shared" si="3"/>
        <v/>
      </c>
    </row>
    <row r="1359" spans="31:36">
      <c r="AE1359" s="15" t="str">
        <f t="shared" si="0"/>
        <v/>
      </c>
      <c r="AF1359" s="15" t="str">
        <f t="shared" si="1"/>
        <v/>
      </c>
      <c r="AG1359" s="15" t="str">
        <f>IF(OR(AF1359="",AF1359="ERRO_CHAVE"),"",IFERROR(MATCH(AF1359,'quitado Despesa'!$V$1:$V$12,0),""))</f>
        <v/>
      </c>
      <c r="AH1359" s="15" t="str">
        <f t="shared" si="2"/>
        <v/>
      </c>
      <c r="AI1359" s="17" t="str">
        <f>IF(AG1359="","",INDEX('quitado Despesa'!$G$1:$G$12,AG1359))</f>
        <v/>
      </c>
      <c r="AJ1359" s="17" t="str">
        <f t="shared" si="3"/>
        <v/>
      </c>
    </row>
    <row r="1360" spans="31:36">
      <c r="AE1360" s="15" t="str">
        <f t="shared" si="0"/>
        <v/>
      </c>
      <c r="AF1360" s="15" t="str">
        <f t="shared" si="1"/>
        <v/>
      </c>
      <c r="AG1360" s="15" t="str">
        <f>IF(OR(AF1360="",AF1360="ERRO_CHAVE"),"",IFERROR(MATCH(AF1360,'quitado Despesa'!$V$1:$V$12,0),""))</f>
        <v/>
      </c>
      <c r="AH1360" s="15" t="str">
        <f t="shared" si="2"/>
        <v/>
      </c>
      <c r="AI1360" s="17" t="str">
        <f>IF(AG1360="","",INDEX('quitado Despesa'!$G$1:$G$12,AG1360))</f>
        <v/>
      </c>
      <c r="AJ1360" s="17" t="str">
        <f t="shared" si="3"/>
        <v/>
      </c>
    </row>
    <row r="1361" spans="31:36">
      <c r="AE1361" s="15" t="str">
        <f t="shared" si="0"/>
        <v/>
      </c>
      <c r="AF1361" s="15" t="str">
        <f t="shared" si="1"/>
        <v/>
      </c>
      <c r="AG1361" s="15" t="str">
        <f>IF(OR(AF1361="",AF1361="ERRO_CHAVE"),"",IFERROR(MATCH(AF1361,'quitado Despesa'!$V$1:$V$12,0),""))</f>
        <v/>
      </c>
      <c r="AH1361" s="15" t="str">
        <f t="shared" si="2"/>
        <v/>
      </c>
      <c r="AI1361" s="17" t="str">
        <f>IF(AG1361="","",INDEX('quitado Despesa'!$G$1:$G$12,AG1361))</f>
        <v/>
      </c>
      <c r="AJ1361" s="17" t="str">
        <f t="shared" si="3"/>
        <v/>
      </c>
    </row>
    <row r="1362" spans="31:36">
      <c r="AE1362" s="15" t="str">
        <f t="shared" si="0"/>
        <v/>
      </c>
      <c r="AF1362" s="15" t="str">
        <f t="shared" si="1"/>
        <v/>
      </c>
      <c r="AG1362" s="15" t="str">
        <f>IF(OR(AF1362="",AF1362="ERRO_CHAVE"),"",IFERROR(MATCH(AF1362,'quitado Despesa'!$V$1:$V$12,0),""))</f>
        <v/>
      </c>
      <c r="AH1362" s="15" t="str">
        <f t="shared" si="2"/>
        <v/>
      </c>
      <c r="AI1362" s="17" t="str">
        <f>IF(AG1362="","",INDEX('quitado Despesa'!$G$1:$G$12,AG1362))</f>
        <v/>
      </c>
      <c r="AJ1362" s="17" t="str">
        <f t="shared" si="3"/>
        <v/>
      </c>
    </row>
    <row r="1363" spans="31:36">
      <c r="AE1363" s="15" t="str">
        <f t="shared" si="0"/>
        <v/>
      </c>
      <c r="AF1363" s="15" t="str">
        <f t="shared" si="1"/>
        <v/>
      </c>
      <c r="AG1363" s="15" t="str">
        <f>IF(OR(AF1363="",AF1363="ERRO_CHAVE"),"",IFERROR(MATCH(AF1363,'quitado Despesa'!$V$1:$V$12,0),""))</f>
        <v/>
      </c>
      <c r="AH1363" s="15" t="str">
        <f t="shared" si="2"/>
        <v/>
      </c>
      <c r="AI1363" s="17" t="str">
        <f>IF(AG1363="","",INDEX('quitado Despesa'!$G$1:$G$12,AG1363))</f>
        <v/>
      </c>
      <c r="AJ1363" s="17" t="str">
        <f t="shared" si="3"/>
        <v/>
      </c>
    </row>
    <row r="1364" spans="31:36">
      <c r="AE1364" s="15" t="str">
        <f t="shared" si="0"/>
        <v/>
      </c>
      <c r="AF1364" s="15" t="str">
        <f t="shared" si="1"/>
        <v/>
      </c>
      <c r="AG1364" s="15" t="str">
        <f>IF(OR(AF1364="",AF1364="ERRO_CHAVE"),"",IFERROR(MATCH(AF1364,'quitado Despesa'!$V$1:$V$12,0),""))</f>
        <v/>
      </c>
      <c r="AH1364" s="15" t="str">
        <f t="shared" si="2"/>
        <v/>
      </c>
      <c r="AI1364" s="17" t="str">
        <f>IF(AG1364="","",INDEX('quitado Despesa'!$G$1:$G$12,AG1364))</f>
        <v/>
      </c>
      <c r="AJ1364" s="17" t="str">
        <f t="shared" si="3"/>
        <v/>
      </c>
    </row>
    <row r="1365" spans="31:36">
      <c r="AE1365" s="15" t="str">
        <f t="shared" si="0"/>
        <v/>
      </c>
      <c r="AF1365" s="15" t="str">
        <f t="shared" si="1"/>
        <v/>
      </c>
      <c r="AG1365" s="15" t="str">
        <f>IF(OR(AF1365="",AF1365="ERRO_CHAVE"),"",IFERROR(MATCH(AF1365,'quitado Despesa'!$V$1:$V$12,0),""))</f>
        <v/>
      </c>
      <c r="AH1365" s="15" t="str">
        <f t="shared" si="2"/>
        <v/>
      </c>
      <c r="AI1365" s="17" t="str">
        <f>IF(AG1365="","",INDEX('quitado Despesa'!$G$1:$G$12,AG1365))</f>
        <v/>
      </c>
      <c r="AJ1365" s="17" t="str">
        <f t="shared" si="3"/>
        <v/>
      </c>
    </row>
    <row r="1366" spans="31:36">
      <c r="AE1366" s="15" t="str">
        <f t="shared" si="0"/>
        <v/>
      </c>
      <c r="AF1366" s="15" t="str">
        <f t="shared" si="1"/>
        <v/>
      </c>
      <c r="AG1366" s="15" t="str">
        <f>IF(OR(AF1366="",AF1366="ERRO_CHAVE"),"",IFERROR(MATCH(AF1366,'quitado Despesa'!$V$1:$V$12,0),""))</f>
        <v/>
      </c>
      <c r="AH1366" s="15" t="str">
        <f t="shared" si="2"/>
        <v/>
      </c>
      <c r="AI1366" s="17" t="str">
        <f>IF(AG1366="","",INDEX('quitado Despesa'!$G$1:$G$12,AG1366))</f>
        <v/>
      </c>
      <c r="AJ1366" s="17" t="str">
        <f t="shared" si="3"/>
        <v/>
      </c>
    </row>
    <row r="1367" spans="31:36">
      <c r="AE1367" s="15" t="str">
        <f t="shared" si="0"/>
        <v/>
      </c>
      <c r="AF1367" s="15" t="str">
        <f t="shared" si="1"/>
        <v/>
      </c>
      <c r="AG1367" s="15" t="str">
        <f>IF(OR(AF1367="",AF1367="ERRO_CHAVE"),"",IFERROR(MATCH(AF1367,'quitado Despesa'!$V$1:$V$12,0),""))</f>
        <v/>
      </c>
      <c r="AH1367" s="15" t="str">
        <f t="shared" si="2"/>
        <v/>
      </c>
      <c r="AI1367" s="17" t="str">
        <f>IF(AG1367="","",INDEX('quitado Despesa'!$G$1:$G$12,AG1367))</f>
        <v/>
      </c>
      <c r="AJ1367" s="17" t="str">
        <f t="shared" si="3"/>
        <v/>
      </c>
    </row>
    <row r="1368" spans="31:36">
      <c r="AE1368" s="15" t="str">
        <f t="shared" si="0"/>
        <v/>
      </c>
      <c r="AF1368" s="15" t="str">
        <f t="shared" si="1"/>
        <v/>
      </c>
      <c r="AG1368" s="15" t="str">
        <f>IF(OR(AF1368="",AF1368="ERRO_CHAVE"),"",IFERROR(MATCH(AF1368,'quitado Despesa'!$V$1:$V$12,0),""))</f>
        <v/>
      </c>
      <c r="AH1368" s="15" t="str">
        <f t="shared" si="2"/>
        <v/>
      </c>
      <c r="AI1368" s="17" t="str">
        <f>IF(AG1368="","",INDEX('quitado Despesa'!$G$1:$G$12,AG1368))</f>
        <v/>
      </c>
      <c r="AJ1368" s="17" t="str">
        <f t="shared" si="3"/>
        <v/>
      </c>
    </row>
    <row r="1369" spans="31:36">
      <c r="AE1369" s="15" t="str">
        <f t="shared" si="0"/>
        <v/>
      </c>
      <c r="AF1369" s="15" t="str">
        <f t="shared" si="1"/>
        <v/>
      </c>
      <c r="AG1369" s="15" t="str">
        <f>IF(OR(AF1369="",AF1369="ERRO_CHAVE"),"",IFERROR(MATCH(AF1369,'quitado Despesa'!$V$1:$V$12,0),""))</f>
        <v/>
      </c>
      <c r="AH1369" s="15" t="str">
        <f t="shared" si="2"/>
        <v/>
      </c>
      <c r="AI1369" s="17" t="str">
        <f>IF(AG1369="","",INDEX('quitado Despesa'!$G$1:$G$12,AG1369))</f>
        <v/>
      </c>
      <c r="AJ1369" s="17" t="str">
        <f t="shared" si="3"/>
        <v/>
      </c>
    </row>
    <row r="1370" spans="31:36">
      <c r="AE1370" s="15" t="str">
        <f t="shared" si="0"/>
        <v/>
      </c>
      <c r="AF1370" s="15" t="str">
        <f t="shared" si="1"/>
        <v/>
      </c>
      <c r="AG1370" s="15" t="str">
        <f>IF(OR(AF1370="",AF1370="ERRO_CHAVE"),"",IFERROR(MATCH(AF1370,'quitado Despesa'!$V$1:$V$12,0),""))</f>
        <v/>
      </c>
      <c r="AH1370" s="15" t="str">
        <f t="shared" si="2"/>
        <v/>
      </c>
      <c r="AI1370" s="17" t="str">
        <f>IF(AG1370="","",INDEX('quitado Despesa'!$G$1:$G$12,AG1370))</f>
        <v/>
      </c>
      <c r="AJ1370" s="17" t="str">
        <f t="shared" si="3"/>
        <v/>
      </c>
    </row>
    <row r="1371" spans="31:36">
      <c r="AE1371" s="15" t="str">
        <f t="shared" si="0"/>
        <v/>
      </c>
      <c r="AF1371" s="15" t="str">
        <f t="shared" si="1"/>
        <v/>
      </c>
      <c r="AG1371" s="15" t="str">
        <f>IF(OR(AF1371="",AF1371="ERRO_CHAVE"),"",IFERROR(MATCH(AF1371,'quitado Despesa'!$V$1:$V$12,0),""))</f>
        <v/>
      </c>
      <c r="AH1371" s="15" t="str">
        <f t="shared" si="2"/>
        <v/>
      </c>
      <c r="AI1371" s="17" t="str">
        <f>IF(AG1371="","",INDEX('quitado Despesa'!$G$1:$G$12,AG1371))</f>
        <v/>
      </c>
      <c r="AJ1371" s="17" t="str">
        <f t="shared" si="3"/>
        <v/>
      </c>
    </row>
    <row r="1372" spans="31:36">
      <c r="AE1372" s="15" t="str">
        <f t="shared" si="0"/>
        <v/>
      </c>
      <c r="AF1372" s="15" t="str">
        <f t="shared" si="1"/>
        <v/>
      </c>
      <c r="AG1372" s="15" t="str">
        <f>IF(OR(AF1372="",AF1372="ERRO_CHAVE"),"",IFERROR(MATCH(AF1372,'quitado Despesa'!$V$1:$V$12,0),""))</f>
        <v/>
      </c>
      <c r="AH1372" s="15" t="str">
        <f t="shared" si="2"/>
        <v/>
      </c>
      <c r="AI1372" s="17" t="str">
        <f>IF(AG1372="","",INDEX('quitado Despesa'!$G$1:$G$12,AG1372))</f>
        <v/>
      </c>
      <c r="AJ1372" s="17" t="str">
        <f t="shared" si="3"/>
        <v/>
      </c>
    </row>
    <row r="1373" spans="31:36">
      <c r="AE1373" s="15" t="str">
        <f t="shared" si="0"/>
        <v/>
      </c>
      <c r="AF1373" s="15" t="str">
        <f t="shared" si="1"/>
        <v/>
      </c>
      <c r="AG1373" s="15" t="str">
        <f>IF(OR(AF1373="",AF1373="ERRO_CHAVE"),"",IFERROR(MATCH(AF1373,'quitado Despesa'!$V$1:$V$12,0),""))</f>
        <v/>
      </c>
      <c r="AH1373" s="15" t="str">
        <f t="shared" si="2"/>
        <v/>
      </c>
      <c r="AI1373" s="17" t="str">
        <f>IF(AG1373="","",INDEX('quitado Despesa'!$G$1:$G$12,AG1373))</f>
        <v/>
      </c>
      <c r="AJ1373" s="17" t="str">
        <f t="shared" si="3"/>
        <v/>
      </c>
    </row>
    <row r="1374" spans="31:36">
      <c r="AE1374" s="15" t="str">
        <f t="shared" si="0"/>
        <v/>
      </c>
      <c r="AF1374" s="15" t="str">
        <f t="shared" si="1"/>
        <v/>
      </c>
      <c r="AG1374" s="15" t="str">
        <f>IF(OR(AF1374="",AF1374="ERRO_CHAVE"),"",IFERROR(MATCH(AF1374,'quitado Despesa'!$V$1:$V$12,0),""))</f>
        <v/>
      </c>
      <c r="AH1374" s="15" t="str">
        <f t="shared" si="2"/>
        <v/>
      </c>
      <c r="AI1374" s="17" t="str">
        <f>IF(AG1374="","",INDEX('quitado Despesa'!$G$1:$G$12,AG1374))</f>
        <v/>
      </c>
      <c r="AJ1374" s="17" t="str">
        <f t="shared" si="3"/>
        <v/>
      </c>
    </row>
    <row r="1375" spans="31:36">
      <c r="AE1375" s="15" t="str">
        <f t="shared" si="0"/>
        <v/>
      </c>
      <c r="AF1375" s="15" t="str">
        <f t="shared" si="1"/>
        <v/>
      </c>
      <c r="AG1375" s="15" t="str">
        <f>IF(OR(AF1375="",AF1375="ERRO_CHAVE"),"",IFERROR(MATCH(AF1375,'quitado Despesa'!$V$1:$V$12,0),""))</f>
        <v/>
      </c>
      <c r="AH1375" s="15" t="str">
        <f t="shared" si="2"/>
        <v/>
      </c>
      <c r="AI1375" s="17" t="str">
        <f>IF(AG1375="","",INDEX('quitado Despesa'!$G$1:$G$12,AG1375))</f>
        <v/>
      </c>
      <c r="AJ1375" s="17" t="str">
        <f t="shared" si="3"/>
        <v/>
      </c>
    </row>
    <row r="1376" spans="31:36">
      <c r="AE1376" s="15" t="str">
        <f t="shared" si="0"/>
        <v/>
      </c>
      <c r="AF1376" s="15" t="str">
        <f t="shared" si="1"/>
        <v/>
      </c>
      <c r="AG1376" s="15" t="str">
        <f>IF(OR(AF1376="",AF1376="ERRO_CHAVE"),"",IFERROR(MATCH(AF1376,'quitado Despesa'!$V$1:$V$12,0),""))</f>
        <v/>
      </c>
      <c r="AH1376" s="15" t="str">
        <f t="shared" si="2"/>
        <v/>
      </c>
      <c r="AI1376" s="17" t="str">
        <f>IF(AG1376="","",INDEX('quitado Despesa'!$G$1:$G$12,AG1376))</f>
        <v/>
      </c>
      <c r="AJ1376" s="17" t="str">
        <f t="shared" si="3"/>
        <v/>
      </c>
    </row>
    <row r="1377" spans="31:36">
      <c r="AE1377" s="15" t="str">
        <f t="shared" si="0"/>
        <v/>
      </c>
      <c r="AF1377" s="15" t="str">
        <f t="shared" si="1"/>
        <v/>
      </c>
      <c r="AG1377" s="15" t="str">
        <f>IF(OR(AF1377="",AF1377="ERRO_CHAVE"),"",IFERROR(MATCH(AF1377,'quitado Despesa'!$V$1:$V$12,0),""))</f>
        <v/>
      </c>
      <c r="AH1377" s="15" t="str">
        <f t="shared" si="2"/>
        <v/>
      </c>
      <c r="AI1377" s="17" t="str">
        <f>IF(AG1377="","",INDEX('quitado Despesa'!$G$1:$G$12,AG1377))</f>
        <v/>
      </c>
      <c r="AJ1377" s="17" t="str">
        <f t="shared" si="3"/>
        <v/>
      </c>
    </row>
    <row r="1378" spans="31:36">
      <c r="AE1378" s="15" t="str">
        <f t="shared" si="0"/>
        <v/>
      </c>
      <c r="AF1378" s="15" t="str">
        <f t="shared" si="1"/>
        <v/>
      </c>
      <c r="AG1378" s="15" t="str">
        <f>IF(OR(AF1378="",AF1378="ERRO_CHAVE"),"",IFERROR(MATCH(AF1378,'quitado Despesa'!$V$1:$V$12,0),""))</f>
        <v/>
      </c>
      <c r="AH1378" s="15" t="str">
        <f t="shared" si="2"/>
        <v/>
      </c>
      <c r="AI1378" s="17" t="str">
        <f>IF(AG1378="","",INDEX('quitado Despesa'!$G$1:$G$12,AG1378))</f>
        <v/>
      </c>
      <c r="AJ1378" s="17" t="str">
        <f t="shared" si="3"/>
        <v/>
      </c>
    </row>
    <row r="1379" spans="31:36">
      <c r="AE1379" s="15" t="str">
        <f t="shared" si="0"/>
        <v/>
      </c>
      <c r="AF1379" s="15" t="str">
        <f t="shared" si="1"/>
        <v/>
      </c>
      <c r="AG1379" s="15" t="str">
        <f>IF(OR(AF1379="",AF1379="ERRO_CHAVE"),"",IFERROR(MATCH(AF1379,'quitado Despesa'!$V$1:$V$12,0),""))</f>
        <v/>
      </c>
      <c r="AH1379" s="15" t="str">
        <f t="shared" si="2"/>
        <v/>
      </c>
      <c r="AI1379" s="17" t="str">
        <f>IF(AG1379="","",INDEX('quitado Despesa'!$G$1:$G$12,AG1379))</f>
        <v/>
      </c>
      <c r="AJ1379" s="17" t="str">
        <f t="shared" si="3"/>
        <v/>
      </c>
    </row>
    <row r="1380" spans="31:36">
      <c r="AE1380" s="15" t="str">
        <f t="shared" si="0"/>
        <v/>
      </c>
      <c r="AF1380" s="15" t="str">
        <f t="shared" si="1"/>
        <v/>
      </c>
      <c r="AG1380" s="15" t="str">
        <f>IF(OR(AF1380="",AF1380="ERRO_CHAVE"),"",IFERROR(MATCH(AF1380,'quitado Despesa'!$V$1:$V$12,0),""))</f>
        <v/>
      </c>
      <c r="AH1380" s="15" t="str">
        <f t="shared" si="2"/>
        <v/>
      </c>
      <c r="AI1380" s="17" t="str">
        <f>IF(AG1380="","",INDEX('quitado Despesa'!$G$1:$G$12,AG1380))</f>
        <v/>
      </c>
      <c r="AJ1380" s="17" t="str">
        <f t="shared" si="3"/>
        <v/>
      </c>
    </row>
    <row r="1381" spans="31:36">
      <c r="AE1381" s="15" t="str">
        <f t="shared" si="0"/>
        <v/>
      </c>
      <c r="AF1381" s="15" t="str">
        <f t="shared" si="1"/>
        <v/>
      </c>
      <c r="AG1381" s="15" t="str">
        <f>IF(OR(AF1381="",AF1381="ERRO_CHAVE"),"",IFERROR(MATCH(AF1381,'quitado Despesa'!$V$1:$V$12,0),""))</f>
        <v/>
      </c>
      <c r="AH1381" s="15" t="str">
        <f t="shared" si="2"/>
        <v/>
      </c>
      <c r="AI1381" s="17" t="str">
        <f>IF(AG1381="","",INDEX('quitado Despesa'!$G$1:$G$12,AG1381))</f>
        <v/>
      </c>
      <c r="AJ1381" s="17" t="str">
        <f t="shared" si="3"/>
        <v/>
      </c>
    </row>
    <row r="1382" spans="31:36">
      <c r="AE1382" s="15" t="str">
        <f t="shared" si="0"/>
        <v/>
      </c>
      <c r="AF1382" s="15" t="str">
        <f t="shared" si="1"/>
        <v/>
      </c>
      <c r="AG1382" s="15" t="str">
        <f>IF(OR(AF1382="",AF1382="ERRO_CHAVE"),"",IFERROR(MATCH(AF1382,'quitado Despesa'!$V$1:$V$12,0),""))</f>
        <v/>
      </c>
      <c r="AH1382" s="15" t="str">
        <f t="shared" si="2"/>
        <v/>
      </c>
      <c r="AI1382" s="17" t="str">
        <f>IF(AG1382="","",INDEX('quitado Despesa'!$G$1:$G$12,AG1382))</f>
        <v/>
      </c>
      <c r="AJ1382" s="17" t="str">
        <f t="shared" si="3"/>
        <v/>
      </c>
    </row>
    <row r="1383" spans="31:36">
      <c r="AE1383" s="15" t="str">
        <f t="shared" si="0"/>
        <v/>
      </c>
      <c r="AF1383" s="15" t="str">
        <f t="shared" si="1"/>
        <v/>
      </c>
      <c r="AG1383" s="15" t="str">
        <f>IF(OR(AF1383="",AF1383="ERRO_CHAVE"),"",IFERROR(MATCH(AF1383,'quitado Despesa'!$V$1:$V$12,0),""))</f>
        <v/>
      </c>
      <c r="AH1383" s="15" t="str">
        <f t="shared" si="2"/>
        <v/>
      </c>
      <c r="AI1383" s="17" t="str">
        <f>IF(AG1383="","",INDEX('quitado Despesa'!$G$1:$G$12,AG1383))</f>
        <v/>
      </c>
      <c r="AJ1383" s="17" t="str">
        <f t="shared" si="3"/>
        <v/>
      </c>
    </row>
    <row r="1384" spans="31:36">
      <c r="AE1384" s="15" t="str">
        <f t="shared" si="0"/>
        <v/>
      </c>
      <c r="AF1384" s="15" t="str">
        <f t="shared" si="1"/>
        <v/>
      </c>
      <c r="AG1384" s="15" t="str">
        <f>IF(OR(AF1384="",AF1384="ERRO_CHAVE"),"",IFERROR(MATCH(AF1384,'quitado Despesa'!$V$1:$V$12,0),""))</f>
        <v/>
      </c>
      <c r="AH1384" s="15" t="str">
        <f t="shared" si="2"/>
        <v/>
      </c>
      <c r="AI1384" s="17" t="str">
        <f>IF(AG1384="","",INDEX('quitado Despesa'!$G$1:$G$12,AG1384))</f>
        <v/>
      </c>
      <c r="AJ1384" s="17" t="str">
        <f t="shared" si="3"/>
        <v/>
      </c>
    </row>
    <row r="1385" spans="31:36">
      <c r="AE1385" s="15" t="str">
        <f t="shared" si="0"/>
        <v/>
      </c>
      <c r="AF1385" s="15" t="str">
        <f t="shared" si="1"/>
        <v/>
      </c>
      <c r="AG1385" s="15" t="str">
        <f>IF(OR(AF1385="",AF1385="ERRO_CHAVE"),"",IFERROR(MATCH(AF1385,'quitado Despesa'!$V$1:$V$12,0),""))</f>
        <v/>
      </c>
      <c r="AH1385" s="15" t="str">
        <f t="shared" si="2"/>
        <v/>
      </c>
      <c r="AI1385" s="17" t="str">
        <f>IF(AG1385="","",INDEX('quitado Despesa'!$G$1:$G$12,AG1385))</f>
        <v/>
      </c>
      <c r="AJ1385" s="17" t="str">
        <f t="shared" si="3"/>
        <v/>
      </c>
    </row>
    <row r="1386" spans="31:36">
      <c r="AE1386" s="15" t="str">
        <f t="shared" si="0"/>
        <v/>
      </c>
      <c r="AF1386" s="15" t="str">
        <f t="shared" si="1"/>
        <v/>
      </c>
      <c r="AG1386" s="15" t="str">
        <f>IF(OR(AF1386="",AF1386="ERRO_CHAVE"),"",IFERROR(MATCH(AF1386,'quitado Despesa'!$V$1:$V$12,0),""))</f>
        <v/>
      </c>
      <c r="AH1386" s="15" t="str">
        <f t="shared" si="2"/>
        <v/>
      </c>
      <c r="AI1386" s="17" t="str">
        <f>IF(AG1386="","",INDEX('quitado Despesa'!$G$1:$G$12,AG1386))</f>
        <v/>
      </c>
      <c r="AJ1386" s="17" t="str">
        <f t="shared" si="3"/>
        <v/>
      </c>
    </row>
    <row r="1387" spans="31:36">
      <c r="AE1387" s="15" t="str">
        <f t="shared" si="0"/>
        <v/>
      </c>
      <c r="AF1387" s="15" t="str">
        <f t="shared" si="1"/>
        <v/>
      </c>
      <c r="AG1387" s="15" t="str">
        <f>IF(OR(AF1387="",AF1387="ERRO_CHAVE"),"",IFERROR(MATCH(AF1387,'quitado Despesa'!$V$1:$V$12,0),""))</f>
        <v/>
      </c>
      <c r="AH1387" s="15" t="str">
        <f t="shared" si="2"/>
        <v/>
      </c>
      <c r="AI1387" s="17" t="str">
        <f>IF(AG1387="","",INDEX('quitado Despesa'!$G$1:$G$12,AG1387))</f>
        <v/>
      </c>
      <c r="AJ1387" s="17" t="str">
        <f t="shared" si="3"/>
        <v/>
      </c>
    </row>
    <row r="1388" spans="31:36">
      <c r="AE1388" s="15" t="str">
        <f t="shared" si="0"/>
        <v/>
      </c>
      <c r="AF1388" s="15" t="str">
        <f t="shared" si="1"/>
        <v/>
      </c>
      <c r="AG1388" s="15" t="str">
        <f>IF(OR(AF1388="",AF1388="ERRO_CHAVE"),"",IFERROR(MATCH(AF1388,'quitado Despesa'!$V$1:$V$12,0),""))</f>
        <v/>
      </c>
      <c r="AH1388" s="15" t="str">
        <f t="shared" si="2"/>
        <v/>
      </c>
      <c r="AI1388" s="17" t="str">
        <f>IF(AG1388="","",INDEX('quitado Despesa'!$G$1:$G$12,AG1388))</f>
        <v/>
      </c>
      <c r="AJ1388" s="17" t="str">
        <f t="shared" si="3"/>
        <v/>
      </c>
    </row>
    <row r="1389" spans="31:36">
      <c r="AE1389" s="15" t="str">
        <f t="shared" si="0"/>
        <v/>
      </c>
      <c r="AF1389" s="15" t="str">
        <f t="shared" si="1"/>
        <v/>
      </c>
      <c r="AG1389" s="15" t="str">
        <f>IF(OR(AF1389="",AF1389="ERRO_CHAVE"),"",IFERROR(MATCH(AF1389,'quitado Despesa'!$V$1:$V$12,0),""))</f>
        <v/>
      </c>
      <c r="AH1389" s="15" t="str">
        <f t="shared" si="2"/>
        <v/>
      </c>
      <c r="AI1389" s="17" t="str">
        <f>IF(AG1389="","",INDEX('quitado Despesa'!$G$1:$G$12,AG1389))</f>
        <v/>
      </c>
      <c r="AJ1389" s="17" t="str">
        <f t="shared" si="3"/>
        <v/>
      </c>
    </row>
    <row r="1390" spans="31:36">
      <c r="AE1390" s="15" t="str">
        <f t="shared" si="0"/>
        <v/>
      </c>
      <c r="AF1390" s="15" t="str">
        <f t="shared" si="1"/>
        <v/>
      </c>
      <c r="AG1390" s="15" t="str">
        <f>IF(OR(AF1390="",AF1390="ERRO_CHAVE"),"",IFERROR(MATCH(AF1390,'quitado Despesa'!$V$1:$V$12,0),""))</f>
        <v/>
      </c>
      <c r="AH1390" s="15" t="str">
        <f t="shared" si="2"/>
        <v/>
      </c>
      <c r="AI1390" s="17" t="str">
        <f>IF(AG1390="","",INDEX('quitado Despesa'!$G$1:$G$12,AG1390))</f>
        <v/>
      </c>
      <c r="AJ1390" s="17" t="str">
        <f t="shared" si="3"/>
        <v/>
      </c>
    </row>
    <row r="1391" spans="31:36">
      <c r="AE1391" s="15" t="str">
        <f t="shared" si="0"/>
        <v/>
      </c>
      <c r="AF1391" s="15" t="str">
        <f t="shared" si="1"/>
        <v/>
      </c>
      <c r="AG1391" s="15" t="str">
        <f>IF(OR(AF1391="",AF1391="ERRO_CHAVE"),"",IFERROR(MATCH(AF1391,'quitado Despesa'!$V$1:$V$12,0),""))</f>
        <v/>
      </c>
      <c r="AH1391" s="15" t="str">
        <f t="shared" si="2"/>
        <v/>
      </c>
      <c r="AI1391" s="17" t="str">
        <f>IF(AG1391="","",INDEX('quitado Despesa'!$G$1:$G$12,AG1391))</f>
        <v/>
      </c>
      <c r="AJ1391" s="17" t="str">
        <f t="shared" si="3"/>
        <v/>
      </c>
    </row>
    <row r="1392" spans="31:36">
      <c r="AE1392" s="15" t="str">
        <f t="shared" si="0"/>
        <v/>
      </c>
      <c r="AF1392" s="15" t="str">
        <f t="shared" si="1"/>
        <v/>
      </c>
      <c r="AG1392" s="15" t="str">
        <f>IF(OR(AF1392="",AF1392="ERRO_CHAVE"),"",IFERROR(MATCH(AF1392,'quitado Despesa'!$V$1:$V$12,0),""))</f>
        <v/>
      </c>
      <c r="AH1392" s="15" t="str">
        <f t="shared" si="2"/>
        <v/>
      </c>
      <c r="AI1392" s="17" t="str">
        <f>IF(AG1392="","",INDEX('quitado Despesa'!$G$1:$G$12,AG1392))</f>
        <v/>
      </c>
      <c r="AJ1392" s="17" t="str">
        <f t="shared" si="3"/>
        <v/>
      </c>
    </row>
    <row r="1393" spans="31:36">
      <c r="AE1393" s="15" t="str">
        <f t="shared" si="0"/>
        <v/>
      </c>
      <c r="AF1393" s="15" t="str">
        <f t="shared" si="1"/>
        <v/>
      </c>
      <c r="AG1393" s="15" t="str">
        <f>IF(OR(AF1393="",AF1393="ERRO_CHAVE"),"",IFERROR(MATCH(AF1393,'quitado Despesa'!$V$1:$V$12,0),""))</f>
        <v/>
      </c>
      <c r="AH1393" s="15" t="str">
        <f t="shared" si="2"/>
        <v/>
      </c>
      <c r="AI1393" s="17" t="str">
        <f>IF(AG1393="","",INDEX('quitado Despesa'!$G$1:$G$12,AG1393))</f>
        <v/>
      </c>
      <c r="AJ1393" s="17" t="str">
        <f t="shared" si="3"/>
        <v/>
      </c>
    </row>
    <row r="1394" spans="31:36">
      <c r="AE1394" s="15" t="str">
        <f t="shared" si="0"/>
        <v/>
      </c>
      <c r="AF1394" s="15" t="str">
        <f t="shared" si="1"/>
        <v/>
      </c>
      <c r="AG1394" s="15" t="str">
        <f>IF(OR(AF1394="",AF1394="ERRO_CHAVE"),"",IFERROR(MATCH(AF1394,'quitado Despesa'!$V$1:$V$12,0),""))</f>
        <v/>
      </c>
      <c r="AH1394" s="15" t="str">
        <f t="shared" si="2"/>
        <v/>
      </c>
      <c r="AI1394" s="17" t="str">
        <f>IF(AG1394="","",INDEX('quitado Despesa'!$G$1:$G$12,AG1394))</f>
        <v/>
      </c>
      <c r="AJ1394" s="17" t="str">
        <f t="shared" si="3"/>
        <v/>
      </c>
    </row>
    <row r="1395" spans="31:36">
      <c r="AE1395" s="15" t="str">
        <f t="shared" si="0"/>
        <v/>
      </c>
      <c r="AF1395" s="15" t="str">
        <f t="shared" si="1"/>
        <v/>
      </c>
      <c r="AG1395" s="15" t="str">
        <f>IF(OR(AF1395="",AF1395="ERRO_CHAVE"),"",IFERROR(MATCH(AF1395,'quitado Despesa'!$V$1:$V$12,0),""))</f>
        <v/>
      </c>
      <c r="AH1395" s="15" t="str">
        <f t="shared" si="2"/>
        <v/>
      </c>
      <c r="AI1395" s="17" t="str">
        <f>IF(AG1395="","",INDEX('quitado Despesa'!$G$1:$G$12,AG1395))</f>
        <v/>
      </c>
      <c r="AJ1395" s="17" t="str">
        <f t="shared" si="3"/>
        <v/>
      </c>
    </row>
    <row r="1396" spans="31:36">
      <c r="AE1396" s="15" t="str">
        <f t="shared" si="0"/>
        <v/>
      </c>
      <c r="AF1396" s="15" t="str">
        <f t="shared" si="1"/>
        <v/>
      </c>
      <c r="AG1396" s="15" t="str">
        <f>IF(OR(AF1396="",AF1396="ERRO_CHAVE"),"",IFERROR(MATCH(AF1396,'quitado Despesa'!$V$1:$V$12,0),""))</f>
        <v/>
      </c>
      <c r="AH1396" s="15" t="str">
        <f t="shared" si="2"/>
        <v/>
      </c>
      <c r="AI1396" s="17" t="str">
        <f>IF(AG1396="","",INDEX('quitado Despesa'!$G$1:$G$12,AG1396))</f>
        <v/>
      </c>
      <c r="AJ1396" s="17" t="str">
        <f t="shared" si="3"/>
        <v/>
      </c>
    </row>
    <row r="1397" spans="31:36">
      <c r="AE1397" s="15" t="str">
        <f t="shared" si="0"/>
        <v/>
      </c>
      <c r="AF1397" s="15" t="str">
        <f t="shared" si="1"/>
        <v/>
      </c>
      <c r="AG1397" s="15" t="str">
        <f>IF(OR(AF1397="",AF1397="ERRO_CHAVE"),"",IFERROR(MATCH(AF1397,'quitado Despesa'!$V$1:$V$12,0),""))</f>
        <v/>
      </c>
      <c r="AH1397" s="15" t="str">
        <f t="shared" si="2"/>
        <v/>
      </c>
      <c r="AI1397" s="17" t="str">
        <f>IF(AG1397="","",INDEX('quitado Despesa'!$G$1:$G$12,AG1397))</f>
        <v/>
      </c>
      <c r="AJ1397" s="17" t="str">
        <f t="shared" si="3"/>
        <v/>
      </c>
    </row>
    <row r="1398" spans="31:36">
      <c r="AE1398" s="15" t="str">
        <f t="shared" si="0"/>
        <v/>
      </c>
      <c r="AF1398" s="15" t="str">
        <f t="shared" si="1"/>
        <v/>
      </c>
      <c r="AG1398" s="15" t="str">
        <f>IF(OR(AF1398="",AF1398="ERRO_CHAVE"),"",IFERROR(MATCH(AF1398,'quitado Despesa'!$V$1:$V$12,0),""))</f>
        <v/>
      </c>
      <c r="AH1398" s="15" t="str">
        <f t="shared" si="2"/>
        <v/>
      </c>
      <c r="AI1398" s="17" t="str">
        <f>IF(AG1398="","",INDEX('quitado Despesa'!$G$1:$G$12,AG1398))</f>
        <v/>
      </c>
      <c r="AJ1398" s="17" t="str">
        <f t="shared" si="3"/>
        <v/>
      </c>
    </row>
    <row r="1399" spans="31:36">
      <c r="AE1399" s="15" t="str">
        <f t="shared" si="0"/>
        <v/>
      </c>
      <c r="AF1399" s="15" t="str">
        <f t="shared" si="1"/>
        <v/>
      </c>
      <c r="AG1399" s="15" t="str">
        <f>IF(OR(AF1399="",AF1399="ERRO_CHAVE"),"",IFERROR(MATCH(AF1399,'quitado Despesa'!$V$1:$V$12,0),""))</f>
        <v/>
      </c>
      <c r="AH1399" s="15" t="str">
        <f t="shared" si="2"/>
        <v/>
      </c>
      <c r="AI1399" s="17" t="str">
        <f>IF(AG1399="","",INDEX('quitado Despesa'!$G$1:$G$12,AG1399))</f>
        <v/>
      </c>
      <c r="AJ1399" s="17" t="str">
        <f t="shared" si="3"/>
        <v/>
      </c>
    </row>
    <row r="1400" spans="31:36">
      <c r="AE1400" s="15" t="str">
        <f t="shared" si="0"/>
        <v/>
      </c>
      <c r="AF1400" s="15" t="str">
        <f t="shared" si="1"/>
        <v/>
      </c>
      <c r="AG1400" s="15" t="str">
        <f>IF(OR(AF1400="",AF1400="ERRO_CHAVE"),"",IFERROR(MATCH(AF1400,'quitado Despesa'!$V$1:$V$12,0),""))</f>
        <v/>
      </c>
      <c r="AH1400" s="15" t="str">
        <f t="shared" si="2"/>
        <v/>
      </c>
      <c r="AI1400" s="17" t="str">
        <f>IF(AG1400="","",INDEX('quitado Despesa'!$G$1:$G$12,AG1400))</f>
        <v/>
      </c>
      <c r="AJ1400" s="17" t="str">
        <f t="shared" si="3"/>
        <v/>
      </c>
    </row>
    <row r="1401" spans="31:36">
      <c r="AE1401" s="15" t="str">
        <f t="shared" si="0"/>
        <v/>
      </c>
      <c r="AF1401" s="15" t="str">
        <f t="shared" si="1"/>
        <v/>
      </c>
      <c r="AG1401" s="15" t="str">
        <f>IF(OR(AF1401="",AF1401="ERRO_CHAVE"),"",IFERROR(MATCH(AF1401,'quitado Despesa'!$V$1:$V$12,0),""))</f>
        <v/>
      </c>
      <c r="AH1401" s="15" t="str">
        <f t="shared" si="2"/>
        <v/>
      </c>
      <c r="AI1401" s="17" t="str">
        <f>IF(AG1401="","",INDEX('quitado Despesa'!$G$1:$G$12,AG1401))</f>
        <v/>
      </c>
      <c r="AJ1401" s="17" t="str">
        <f t="shared" si="3"/>
        <v/>
      </c>
    </row>
    <row r="1402" spans="31:36">
      <c r="AE1402" s="15" t="str">
        <f t="shared" si="0"/>
        <v/>
      </c>
      <c r="AF1402" s="15" t="str">
        <f t="shared" si="1"/>
        <v/>
      </c>
      <c r="AG1402" s="15" t="str">
        <f>IF(OR(AF1402="",AF1402="ERRO_CHAVE"),"",IFERROR(MATCH(AF1402,'quitado Despesa'!$V$1:$V$12,0),""))</f>
        <v/>
      </c>
      <c r="AH1402" s="15" t="str">
        <f t="shared" si="2"/>
        <v/>
      </c>
      <c r="AI1402" s="17" t="str">
        <f>IF(AG1402="","",INDEX('quitado Despesa'!$G$1:$G$12,AG1402))</f>
        <v/>
      </c>
      <c r="AJ1402" s="17" t="str">
        <f t="shared" si="3"/>
        <v/>
      </c>
    </row>
    <row r="1403" spans="31:36">
      <c r="AE1403" s="15" t="str">
        <f t="shared" si="0"/>
        <v/>
      </c>
      <c r="AF1403" s="15" t="str">
        <f t="shared" si="1"/>
        <v/>
      </c>
      <c r="AG1403" s="15" t="str">
        <f>IF(OR(AF1403="",AF1403="ERRO_CHAVE"),"",IFERROR(MATCH(AF1403,'quitado Despesa'!$V$1:$V$12,0),""))</f>
        <v/>
      </c>
      <c r="AH1403" s="15" t="str">
        <f t="shared" si="2"/>
        <v/>
      </c>
      <c r="AI1403" s="17" t="str">
        <f>IF(AG1403="","",INDEX('quitado Despesa'!$G$1:$G$12,AG1403))</f>
        <v/>
      </c>
      <c r="AJ1403" s="17" t="str">
        <f t="shared" si="3"/>
        <v/>
      </c>
    </row>
    <row r="1404" spans="31:36">
      <c r="AE1404" s="15" t="str">
        <f t="shared" si="0"/>
        <v/>
      </c>
      <c r="AF1404" s="15" t="str">
        <f t="shared" si="1"/>
        <v/>
      </c>
      <c r="AG1404" s="15" t="str">
        <f>IF(OR(AF1404="",AF1404="ERRO_CHAVE"),"",IFERROR(MATCH(AF1404,'quitado Despesa'!$V$1:$V$12,0),""))</f>
        <v/>
      </c>
      <c r="AH1404" s="15" t="str">
        <f t="shared" si="2"/>
        <v/>
      </c>
      <c r="AI1404" s="17" t="str">
        <f>IF(AG1404="","",INDEX('quitado Despesa'!$G$1:$G$12,AG1404))</f>
        <v/>
      </c>
      <c r="AJ1404" s="17" t="str">
        <f t="shared" si="3"/>
        <v/>
      </c>
    </row>
    <row r="1405" spans="31:36">
      <c r="AE1405" s="15" t="str">
        <f t="shared" si="0"/>
        <v/>
      </c>
      <c r="AF1405" s="15" t="str">
        <f t="shared" si="1"/>
        <v/>
      </c>
      <c r="AG1405" s="15" t="str">
        <f>IF(OR(AF1405="",AF1405="ERRO_CHAVE"),"",IFERROR(MATCH(AF1405,'quitado Despesa'!$V$1:$V$12,0),""))</f>
        <v/>
      </c>
      <c r="AH1405" s="15" t="str">
        <f t="shared" si="2"/>
        <v/>
      </c>
      <c r="AI1405" s="17" t="str">
        <f>IF(AG1405="","",INDEX('quitado Despesa'!$G$1:$G$12,AG1405))</f>
        <v/>
      </c>
      <c r="AJ1405" s="17" t="str">
        <f t="shared" si="3"/>
        <v/>
      </c>
    </row>
    <row r="1406" spans="31:36">
      <c r="AE1406" s="15" t="str">
        <f t="shared" si="0"/>
        <v/>
      </c>
      <c r="AF1406" s="15" t="str">
        <f t="shared" si="1"/>
        <v/>
      </c>
      <c r="AG1406" s="15" t="str">
        <f>IF(OR(AF1406="",AF1406="ERRO_CHAVE"),"",IFERROR(MATCH(AF1406,'quitado Despesa'!$V$1:$V$12,0),""))</f>
        <v/>
      </c>
      <c r="AH1406" s="15" t="str">
        <f t="shared" si="2"/>
        <v/>
      </c>
      <c r="AI1406" s="17" t="str">
        <f>IF(AG1406="","",INDEX('quitado Despesa'!$G$1:$G$12,AG1406))</f>
        <v/>
      </c>
      <c r="AJ1406" s="17" t="str">
        <f t="shared" si="3"/>
        <v/>
      </c>
    </row>
    <row r="1407" spans="31:36">
      <c r="AE1407" s="15" t="str">
        <f t="shared" si="0"/>
        <v/>
      </c>
      <c r="AF1407" s="15" t="str">
        <f t="shared" si="1"/>
        <v/>
      </c>
      <c r="AG1407" s="15" t="str">
        <f>IF(OR(AF1407="",AF1407="ERRO_CHAVE"),"",IFERROR(MATCH(AF1407,'quitado Despesa'!$V$1:$V$12,0),""))</f>
        <v/>
      </c>
      <c r="AH1407" s="15" t="str">
        <f t="shared" si="2"/>
        <v/>
      </c>
      <c r="AI1407" s="17" t="str">
        <f>IF(AG1407="","",INDEX('quitado Despesa'!$G$1:$G$12,AG1407))</f>
        <v/>
      </c>
      <c r="AJ1407" s="17" t="str">
        <f t="shared" si="3"/>
        <v/>
      </c>
    </row>
    <row r="1408" spans="31:36">
      <c r="AE1408" s="15" t="str">
        <f t="shared" si="0"/>
        <v/>
      </c>
      <c r="AF1408" s="15" t="str">
        <f t="shared" si="1"/>
        <v/>
      </c>
      <c r="AG1408" s="15" t="str">
        <f>IF(OR(AF1408="",AF1408="ERRO_CHAVE"),"",IFERROR(MATCH(AF1408,'quitado Despesa'!$V$1:$V$12,0),""))</f>
        <v/>
      </c>
      <c r="AH1408" s="15" t="str">
        <f t="shared" si="2"/>
        <v/>
      </c>
      <c r="AI1408" s="17" t="str">
        <f>IF(AG1408="","",INDEX('quitado Despesa'!$G$1:$G$12,AG1408))</f>
        <v/>
      </c>
      <c r="AJ1408" s="17" t="str">
        <f t="shared" si="3"/>
        <v/>
      </c>
    </row>
    <row r="1409" spans="31:36">
      <c r="AE1409" s="15" t="str">
        <f t="shared" si="0"/>
        <v/>
      </c>
      <c r="AF1409" s="15" t="str">
        <f t="shared" si="1"/>
        <v/>
      </c>
      <c r="AG1409" s="15" t="str">
        <f>IF(OR(AF1409="",AF1409="ERRO_CHAVE"),"",IFERROR(MATCH(AF1409,'quitado Despesa'!$V$1:$V$12,0),""))</f>
        <v/>
      </c>
      <c r="AH1409" s="15" t="str">
        <f t="shared" si="2"/>
        <v/>
      </c>
      <c r="AI1409" s="17" t="str">
        <f>IF(AG1409="","",INDEX('quitado Despesa'!$G$1:$G$12,AG1409))</f>
        <v/>
      </c>
      <c r="AJ1409" s="17" t="str">
        <f t="shared" si="3"/>
        <v/>
      </c>
    </row>
    <row r="1410" spans="31:36">
      <c r="AE1410" s="15" t="str">
        <f t="shared" si="0"/>
        <v/>
      </c>
      <c r="AF1410" s="15" t="str">
        <f t="shared" si="1"/>
        <v/>
      </c>
      <c r="AG1410" s="15" t="str">
        <f>IF(OR(AF1410="",AF1410="ERRO_CHAVE"),"",IFERROR(MATCH(AF1410,'quitado Despesa'!$V$1:$V$12,0),""))</f>
        <v/>
      </c>
      <c r="AH1410" s="15" t="str">
        <f t="shared" si="2"/>
        <v/>
      </c>
      <c r="AI1410" s="17" t="str">
        <f>IF(AG1410="","",INDEX('quitado Despesa'!$G$1:$G$12,AG1410))</f>
        <v/>
      </c>
      <c r="AJ1410" s="17" t="str">
        <f t="shared" si="3"/>
        <v/>
      </c>
    </row>
    <row r="1411" spans="31:36">
      <c r="AE1411" s="15" t="str">
        <f t="shared" si="0"/>
        <v/>
      </c>
      <c r="AF1411" s="15" t="str">
        <f t="shared" si="1"/>
        <v/>
      </c>
      <c r="AG1411" s="15" t="str">
        <f>IF(OR(AF1411="",AF1411="ERRO_CHAVE"),"",IFERROR(MATCH(AF1411,'quitado Despesa'!$V$1:$V$12,0),""))</f>
        <v/>
      </c>
      <c r="AH1411" s="15" t="str">
        <f t="shared" si="2"/>
        <v/>
      </c>
      <c r="AI1411" s="17" t="str">
        <f>IF(AG1411="","",INDEX('quitado Despesa'!$G$1:$G$12,AG1411))</f>
        <v/>
      </c>
      <c r="AJ1411" s="17" t="str">
        <f t="shared" si="3"/>
        <v/>
      </c>
    </row>
    <row r="1412" spans="31:36">
      <c r="AE1412" s="15" t="str">
        <f t="shared" si="0"/>
        <v/>
      </c>
      <c r="AF1412" s="15" t="str">
        <f t="shared" si="1"/>
        <v/>
      </c>
      <c r="AG1412" s="15" t="str">
        <f>IF(OR(AF1412="",AF1412="ERRO_CHAVE"),"",IFERROR(MATCH(AF1412,'quitado Despesa'!$V$1:$V$12,0),""))</f>
        <v/>
      </c>
      <c r="AH1412" s="15" t="str">
        <f t="shared" si="2"/>
        <v/>
      </c>
      <c r="AI1412" s="17" t="str">
        <f>IF(AG1412="","",INDEX('quitado Despesa'!$G$1:$G$12,AG1412))</f>
        <v/>
      </c>
      <c r="AJ1412" s="17" t="str">
        <f t="shared" si="3"/>
        <v/>
      </c>
    </row>
    <row r="1413" spans="31:36">
      <c r="AE1413" s="15" t="str">
        <f t="shared" si="0"/>
        <v/>
      </c>
      <c r="AF1413" s="15" t="str">
        <f t="shared" si="1"/>
        <v/>
      </c>
      <c r="AG1413" s="15" t="str">
        <f>IF(OR(AF1413="",AF1413="ERRO_CHAVE"),"",IFERROR(MATCH(AF1413,'quitado Despesa'!$V$1:$V$12,0),""))</f>
        <v/>
      </c>
      <c r="AH1413" s="15" t="str">
        <f t="shared" si="2"/>
        <v/>
      </c>
      <c r="AI1413" s="17" t="str">
        <f>IF(AG1413="","",INDEX('quitado Despesa'!$G$1:$G$12,AG1413))</f>
        <v/>
      </c>
      <c r="AJ1413" s="17" t="str">
        <f t="shared" si="3"/>
        <v/>
      </c>
    </row>
    <row r="1414" spans="31:36">
      <c r="AE1414" s="15" t="str">
        <f t="shared" si="0"/>
        <v/>
      </c>
      <c r="AF1414" s="15" t="str">
        <f t="shared" si="1"/>
        <v/>
      </c>
      <c r="AG1414" s="15" t="str">
        <f>IF(OR(AF1414="",AF1414="ERRO_CHAVE"),"",IFERROR(MATCH(AF1414,'quitado Despesa'!$V$1:$V$12,0),""))</f>
        <v/>
      </c>
      <c r="AH1414" s="15" t="str">
        <f t="shared" si="2"/>
        <v/>
      </c>
      <c r="AI1414" s="17" t="str">
        <f>IF(AG1414="","",INDEX('quitado Despesa'!$G$1:$G$12,AG1414))</f>
        <v/>
      </c>
      <c r="AJ1414" s="17" t="str">
        <f t="shared" si="3"/>
        <v/>
      </c>
    </row>
    <row r="1415" spans="31:36">
      <c r="AE1415" s="15" t="str">
        <f t="shared" si="0"/>
        <v/>
      </c>
      <c r="AF1415" s="15" t="str">
        <f t="shared" si="1"/>
        <v/>
      </c>
      <c r="AG1415" s="15" t="str">
        <f>IF(OR(AF1415="",AF1415="ERRO_CHAVE"),"",IFERROR(MATCH(AF1415,'quitado Despesa'!$V$1:$V$12,0),""))</f>
        <v/>
      </c>
      <c r="AH1415" s="15" t="str">
        <f t="shared" si="2"/>
        <v/>
      </c>
      <c r="AI1415" s="17" t="str">
        <f>IF(AG1415="","",INDEX('quitado Despesa'!$G$1:$G$12,AG1415))</f>
        <v/>
      </c>
      <c r="AJ1415" s="17" t="str">
        <f t="shared" si="3"/>
        <v/>
      </c>
    </row>
    <row r="1416" spans="31:36">
      <c r="AE1416" s="15" t="str">
        <f t="shared" si="0"/>
        <v/>
      </c>
      <c r="AF1416" s="15" t="str">
        <f t="shared" si="1"/>
        <v/>
      </c>
      <c r="AG1416" s="15" t="str">
        <f>IF(OR(AF1416="",AF1416="ERRO_CHAVE"),"",IFERROR(MATCH(AF1416,'quitado Despesa'!$V$1:$V$12,0),""))</f>
        <v/>
      </c>
      <c r="AH1416" s="15" t="str">
        <f t="shared" si="2"/>
        <v/>
      </c>
      <c r="AI1416" s="17" t="str">
        <f>IF(AG1416="","",INDEX('quitado Despesa'!$G$1:$G$12,AG1416))</f>
        <v/>
      </c>
      <c r="AJ1416" s="17" t="str">
        <f t="shared" si="3"/>
        <v/>
      </c>
    </row>
    <row r="1417" spans="31:36">
      <c r="AE1417" s="15" t="str">
        <f t="shared" si="0"/>
        <v/>
      </c>
      <c r="AF1417" s="15" t="str">
        <f t="shared" si="1"/>
        <v/>
      </c>
      <c r="AG1417" s="15" t="str">
        <f>IF(OR(AF1417="",AF1417="ERRO_CHAVE"),"",IFERROR(MATCH(AF1417,'quitado Despesa'!$V$1:$V$12,0),""))</f>
        <v/>
      </c>
      <c r="AH1417" s="15" t="str">
        <f t="shared" si="2"/>
        <v/>
      </c>
      <c r="AI1417" s="17" t="str">
        <f>IF(AG1417="","",INDEX('quitado Despesa'!$G$1:$G$12,AG1417))</f>
        <v/>
      </c>
      <c r="AJ1417" s="17" t="str">
        <f t="shared" si="3"/>
        <v/>
      </c>
    </row>
    <row r="1418" spans="31:36">
      <c r="AE1418" s="15" t="str">
        <f t="shared" si="0"/>
        <v/>
      </c>
      <c r="AF1418" s="15" t="str">
        <f t="shared" si="1"/>
        <v/>
      </c>
      <c r="AG1418" s="15" t="str">
        <f>IF(OR(AF1418="",AF1418="ERRO_CHAVE"),"",IFERROR(MATCH(AF1418,'quitado Despesa'!$V$1:$V$12,0),""))</f>
        <v/>
      </c>
      <c r="AH1418" s="15" t="str">
        <f t="shared" si="2"/>
        <v/>
      </c>
      <c r="AI1418" s="17" t="str">
        <f>IF(AG1418="","",INDEX('quitado Despesa'!$G$1:$G$12,AG1418))</f>
        <v/>
      </c>
      <c r="AJ1418" s="17" t="str">
        <f t="shared" si="3"/>
        <v/>
      </c>
    </row>
    <row r="1419" spans="31:36">
      <c r="AE1419" s="15" t="str">
        <f t="shared" si="0"/>
        <v/>
      </c>
      <c r="AF1419" s="15" t="str">
        <f t="shared" si="1"/>
        <v/>
      </c>
      <c r="AG1419" s="15" t="str">
        <f>IF(OR(AF1419="",AF1419="ERRO_CHAVE"),"",IFERROR(MATCH(AF1419,'quitado Despesa'!$V$1:$V$12,0),""))</f>
        <v/>
      </c>
      <c r="AH1419" s="15" t="str">
        <f t="shared" si="2"/>
        <v/>
      </c>
      <c r="AI1419" s="17" t="str">
        <f>IF(AG1419="","",INDEX('quitado Despesa'!$G$1:$G$12,AG1419))</f>
        <v/>
      </c>
      <c r="AJ1419" s="17" t="str">
        <f t="shared" si="3"/>
        <v/>
      </c>
    </row>
    <row r="1420" spans="31:36">
      <c r="AE1420" s="15" t="str">
        <f t="shared" si="0"/>
        <v/>
      </c>
      <c r="AF1420" s="15" t="str">
        <f t="shared" si="1"/>
        <v/>
      </c>
      <c r="AG1420" s="15" t="str">
        <f>IF(OR(AF1420="",AF1420="ERRO_CHAVE"),"",IFERROR(MATCH(AF1420,'quitado Despesa'!$V$1:$V$12,0),""))</f>
        <v/>
      </c>
      <c r="AH1420" s="15" t="str">
        <f t="shared" si="2"/>
        <v/>
      </c>
      <c r="AI1420" s="17" t="str">
        <f>IF(AG1420="","",INDEX('quitado Despesa'!$G$1:$G$12,AG1420))</f>
        <v/>
      </c>
      <c r="AJ1420" s="17" t="str">
        <f t="shared" si="3"/>
        <v/>
      </c>
    </row>
    <row r="1421" spans="31:36">
      <c r="AE1421" s="15" t="str">
        <f t="shared" si="0"/>
        <v/>
      </c>
      <c r="AF1421" s="15" t="str">
        <f t="shared" si="1"/>
        <v/>
      </c>
      <c r="AG1421" s="15" t="str">
        <f>IF(OR(AF1421="",AF1421="ERRO_CHAVE"),"",IFERROR(MATCH(AF1421,'quitado Despesa'!$V$1:$V$12,0),""))</f>
        <v/>
      </c>
      <c r="AH1421" s="15" t="str">
        <f t="shared" si="2"/>
        <v/>
      </c>
      <c r="AI1421" s="17" t="str">
        <f>IF(AG1421="","",INDEX('quitado Despesa'!$G$1:$G$12,AG1421))</f>
        <v/>
      </c>
      <c r="AJ1421" s="17" t="str">
        <f t="shared" si="3"/>
        <v/>
      </c>
    </row>
    <row r="1422" spans="31:36">
      <c r="AE1422" s="15" t="str">
        <f t="shared" si="0"/>
        <v/>
      </c>
      <c r="AF1422" s="15" t="str">
        <f t="shared" si="1"/>
        <v/>
      </c>
      <c r="AG1422" s="15" t="str">
        <f>IF(OR(AF1422="",AF1422="ERRO_CHAVE"),"",IFERROR(MATCH(AF1422,'quitado Despesa'!$V$1:$V$12,0),""))</f>
        <v/>
      </c>
      <c r="AH1422" s="15" t="str">
        <f t="shared" si="2"/>
        <v/>
      </c>
      <c r="AI1422" s="17" t="str">
        <f>IF(AG1422="","",INDEX('quitado Despesa'!$G$1:$G$12,AG1422))</f>
        <v/>
      </c>
      <c r="AJ1422" s="17" t="str">
        <f t="shared" si="3"/>
        <v/>
      </c>
    </row>
    <row r="1423" spans="31:36">
      <c r="AE1423" s="15" t="str">
        <f t="shared" si="0"/>
        <v/>
      </c>
      <c r="AF1423" s="15" t="str">
        <f t="shared" si="1"/>
        <v/>
      </c>
      <c r="AG1423" s="15" t="str">
        <f>IF(OR(AF1423="",AF1423="ERRO_CHAVE"),"",IFERROR(MATCH(AF1423,'quitado Despesa'!$V$1:$V$12,0),""))</f>
        <v/>
      </c>
      <c r="AH1423" s="15" t="str">
        <f t="shared" si="2"/>
        <v/>
      </c>
      <c r="AI1423" s="17" t="str">
        <f>IF(AG1423="","",INDEX('quitado Despesa'!$G$1:$G$12,AG1423))</f>
        <v/>
      </c>
      <c r="AJ1423" s="17" t="str">
        <f t="shared" si="3"/>
        <v/>
      </c>
    </row>
    <row r="1424" spans="31:36">
      <c r="AE1424" s="15" t="str">
        <f t="shared" si="0"/>
        <v/>
      </c>
      <c r="AF1424" s="15" t="str">
        <f t="shared" si="1"/>
        <v/>
      </c>
      <c r="AG1424" s="15" t="str">
        <f>IF(OR(AF1424="",AF1424="ERRO_CHAVE"),"",IFERROR(MATCH(AF1424,'quitado Despesa'!$V$1:$V$12,0),""))</f>
        <v/>
      </c>
      <c r="AH1424" s="15" t="str">
        <f t="shared" si="2"/>
        <v/>
      </c>
      <c r="AI1424" s="17" t="str">
        <f>IF(AG1424="","",INDEX('quitado Despesa'!$G$1:$G$12,AG1424))</f>
        <v/>
      </c>
      <c r="AJ1424" s="17" t="str">
        <f t="shared" si="3"/>
        <v/>
      </c>
    </row>
    <row r="1425" spans="31:36">
      <c r="AE1425" s="15" t="str">
        <f t="shared" si="0"/>
        <v/>
      </c>
      <c r="AF1425" s="15" t="str">
        <f t="shared" si="1"/>
        <v/>
      </c>
      <c r="AG1425" s="15" t="str">
        <f>IF(OR(AF1425="",AF1425="ERRO_CHAVE"),"",IFERROR(MATCH(AF1425,'quitado Despesa'!$V$1:$V$12,0),""))</f>
        <v/>
      </c>
      <c r="AH1425" s="15" t="str">
        <f t="shared" si="2"/>
        <v/>
      </c>
      <c r="AI1425" s="17" t="str">
        <f>IF(AG1425="","",INDEX('quitado Despesa'!$G$1:$G$12,AG1425))</f>
        <v/>
      </c>
      <c r="AJ1425" s="17" t="str">
        <f t="shared" si="3"/>
        <v/>
      </c>
    </row>
    <row r="1426" spans="31:36">
      <c r="AE1426" s="15" t="str">
        <f t="shared" si="0"/>
        <v/>
      </c>
      <c r="AF1426" s="15" t="str">
        <f t="shared" si="1"/>
        <v/>
      </c>
      <c r="AG1426" s="15" t="str">
        <f>IF(OR(AF1426="",AF1426="ERRO_CHAVE"),"",IFERROR(MATCH(AF1426,'quitado Despesa'!$V$1:$V$12,0),""))</f>
        <v/>
      </c>
      <c r="AH1426" s="15" t="str">
        <f t="shared" si="2"/>
        <v/>
      </c>
      <c r="AI1426" s="17" t="str">
        <f>IF(AG1426="","",INDEX('quitado Despesa'!$G$1:$G$12,AG1426))</f>
        <v/>
      </c>
      <c r="AJ1426" s="17" t="str">
        <f t="shared" si="3"/>
        <v/>
      </c>
    </row>
    <row r="1427" spans="31:36">
      <c r="AE1427" s="15" t="str">
        <f t="shared" si="0"/>
        <v/>
      </c>
      <c r="AF1427" s="15" t="str">
        <f t="shared" si="1"/>
        <v/>
      </c>
      <c r="AG1427" s="15" t="str">
        <f>IF(OR(AF1427="",AF1427="ERRO_CHAVE"),"",IFERROR(MATCH(AF1427,'quitado Despesa'!$V$1:$V$12,0),""))</f>
        <v/>
      </c>
      <c r="AH1427" s="15" t="str">
        <f t="shared" si="2"/>
        <v/>
      </c>
      <c r="AI1427" s="17" t="str">
        <f>IF(AG1427="","",INDEX('quitado Despesa'!$G$1:$G$12,AG1427))</f>
        <v/>
      </c>
      <c r="AJ1427" s="17" t="str">
        <f t="shared" si="3"/>
        <v/>
      </c>
    </row>
    <row r="1428" spans="31:36">
      <c r="AE1428" s="15" t="str">
        <f t="shared" si="0"/>
        <v/>
      </c>
      <c r="AF1428" s="15" t="str">
        <f t="shared" si="1"/>
        <v/>
      </c>
      <c r="AG1428" s="15" t="str">
        <f>IF(OR(AF1428="",AF1428="ERRO_CHAVE"),"",IFERROR(MATCH(AF1428,'quitado Despesa'!$V$1:$V$12,0),""))</f>
        <v/>
      </c>
      <c r="AH1428" s="15" t="str">
        <f t="shared" si="2"/>
        <v/>
      </c>
      <c r="AI1428" s="17" t="str">
        <f>IF(AG1428="","",INDEX('quitado Despesa'!$G$1:$G$12,AG1428))</f>
        <v/>
      </c>
      <c r="AJ1428" s="17" t="str">
        <f t="shared" si="3"/>
        <v/>
      </c>
    </row>
    <row r="1429" spans="31:36">
      <c r="AE1429" s="15" t="str">
        <f t="shared" si="0"/>
        <v/>
      </c>
      <c r="AF1429" s="15" t="str">
        <f t="shared" si="1"/>
        <v/>
      </c>
      <c r="AG1429" s="15" t="str">
        <f>IF(OR(AF1429="",AF1429="ERRO_CHAVE"),"",IFERROR(MATCH(AF1429,'quitado Despesa'!$V$1:$V$12,0),""))</f>
        <v/>
      </c>
      <c r="AH1429" s="15" t="str">
        <f t="shared" si="2"/>
        <v/>
      </c>
      <c r="AI1429" s="17" t="str">
        <f>IF(AG1429="","",INDEX('quitado Despesa'!$G$1:$G$12,AG1429))</f>
        <v/>
      </c>
      <c r="AJ1429" s="17" t="str">
        <f t="shared" si="3"/>
        <v/>
      </c>
    </row>
    <row r="1430" spans="31:36">
      <c r="AE1430" s="15" t="str">
        <f t="shared" si="0"/>
        <v/>
      </c>
      <c r="AF1430" s="15" t="str">
        <f t="shared" si="1"/>
        <v/>
      </c>
      <c r="AG1430" s="15" t="str">
        <f>IF(OR(AF1430="",AF1430="ERRO_CHAVE"),"",IFERROR(MATCH(AF1430,'quitado Despesa'!$V$1:$V$12,0),""))</f>
        <v/>
      </c>
      <c r="AH1430" s="15" t="str">
        <f t="shared" si="2"/>
        <v/>
      </c>
      <c r="AI1430" s="17" t="str">
        <f>IF(AG1430="","",INDEX('quitado Despesa'!$G$1:$G$12,AG1430))</f>
        <v/>
      </c>
      <c r="AJ1430" s="17" t="str">
        <f t="shared" si="3"/>
        <v/>
      </c>
    </row>
    <row r="1431" spans="31:36">
      <c r="AE1431" s="15" t="str">
        <f t="shared" si="0"/>
        <v/>
      </c>
      <c r="AF1431" s="15" t="str">
        <f t="shared" si="1"/>
        <v/>
      </c>
      <c r="AG1431" s="15" t="str">
        <f>IF(OR(AF1431="",AF1431="ERRO_CHAVE"),"",IFERROR(MATCH(AF1431,'quitado Despesa'!$V$1:$V$12,0),""))</f>
        <v/>
      </c>
      <c r="AH1431" s="15" t="str">
        <f t="shared" si="2"/>
        <v/>
      </c>
      <c r="AI1431" s="17" t="str">
        <f>IF(AG1431="","",INDEX('quitado Despesa'!$G$1:$G$12,AG1431))</f>
        <v/>
      </c>
      <c r="AJ1431" s="17" t="str">
        <f t="shared" si="3"/>
        <v/>
      </c>
    </row>
    <row r="1432" spans="31:36">
      <c r="AE1432" s="15" t="str">
        <f t="shared" si="0"/>
        <v/>
      </c>
      <c r="AF1432" s="15" t="str">
        <f t="shared" si="1"/>
        <v/>
      </c>
      <c r="AG1432" s="15" t="str">
        <f>IF(OR(AF1432="",AF1432="ERRO_CHAVE"),"",IFERROR(MATCH(AF1432,'quitado Despesa'!$V$1:$V$12,0),""))</f>
        <v/>
      </c>
      <c r="AH1432" s="15" t="str">
        <f t="shared" si="2"/>
        <v/>
      </c>
      <c r="AI1432" s="17" t="str">
        <f>IF(AG1432="","",INDEX('quitado Despesa'!$G$1:$G$12,AG1432))</f>
        <v/>
      </c>
      <c r="AJ1432" s="17" t="str">
        <f t="shared" si="3"/>
        <v/>
      </c>
    </row>
    <row r="1433" spans="31:36">
      <c r="AE1433" s="15" t="str">
        <f t="shared" si="0"/>
        <v/>
      </c>
      <c r="AF1433" s="15" t="str">
        <f t="shared" si="1"/>
        <v/>
      </c>
      <c r="AG1433" s="15" t="str">
        <f>IF(OR(AF1433="",AF1433="ERRO_CHAVE"),"",IFERROR(MATCH(AF1433,'quitado Despesa'!$V$1:$V$12,0),""))</f>
        <v/>
      </c>
      <c r="AH1433" s="15" t="str">
        <f t="shared" si="2"/>
        <v/>
      </c>
      <c r="AI1433" s="17" t="str">
        <f>IF(AG1433="","",INDEX('quitado Despesa'!$G$1:$G$12,AG1433))</f>
        <v/>
      </c>
      <c r="AJ1433" s="17" t="str">
        <f t="shared" si="3"/>
        <v/>
      </c>
    </row>
    <row r="1434" spans="31:36">
      <c r="AE1434" s="15" t="str">
        <f t="shared" si="0"/>
        <v/>
      </c>
      <c r="AF1434" s="15" t="str">
        <f t="shared" si="1"/>
        <v/>
      </c>
      <c r="AG1434" s="15" t="str">
        <f>IF(OR(AF1434="",AF1434="ERRO_CHAVE"),"",IFERROR(MATCH(AF1434,'quitado Despesa'!$V$1:$V$12,0),""))</f>
        <v/>
      </c>
      <c r="AH1434" s="15" t="str">
        <f t="shared" si="2"/>
        <v/>
      </c>
      <c r="AI1434" s="17" t="str">
        <f>IF(AG1434="","",INDEX('quitado Despesa'!$G$1:$G$12,AG1434))</f>
        <v/>
      </c>
      <c r="AJ1434" s="17" t="str">
        <f t="shared" si="3"/>
        <v/>
      </c>
    </row>
    <row r="1435" spans="31:36">
      <c r="AE1435" s="15" t="str">
        <f t="shared" si="0"/>
        <v/>
      </c>
      <c r="AF1435" s="15" t="str">
        <f t="shared" si="1"/>
        <v/>
      </c>
      <c r="AG1435" s="15" t="str">
        <f>IF(OR(AF1435="",AF1435="ERRO_CHAVE"),"",IFERROR(MATCH(AF1435,'quitado Despesa'!$V$1:$V$12,0),""))</f>
        <v/>
      </c>
      <c r="AH1435" s="15" t="str">
        <f t="shared" si="2"/>
        <v/>
      </c>
      <c r="AI1435" s="17" t="str">
        <f>IF(AG1435="","",INDEX('quitado Despesa'!$G$1:$G$12,AG1435))</f>
        <v/>
      </c>
      <c r="AJ1435" s="17" t="str">
        <f t="shared" si="3"/>
        <v/>
      </c>
    </row>
    <row r="1436" spans="31:36">
      <c r="AE1436" s="15" t="str">
        <f t="shared" si="0"/>
        <v/>
      </c>
      <c r="AF1436" s="15" t="str">
        <f t="shared" si="1"/>
        <v/>
      </c>
      <c r="AG1436" s="15" t="str">
        <f>IF(OR(AF1436="",AF1436="ERRO_CHAVE"),"",IFERROR(MATCH(AF1436,'quitado Despesa'!$V$1:$V$12,0),""))</f>
        <v/>
      </c>
      <c r="AH1436" s="15" t="str">
        <f t="shared" si="2"/>
        <v/>
      </c>
      <c r="AI1436" s="17" t="str">
        <f>IF(AG1436="","",INDEX('quitado Despesa'!$G$1:$G$12,AG1436))</f>
        <v/>
      </c>
      <c r="AJ1436" s="17" t="str">
        <f t="shared" si="3"/>
        <v/>
      </c>
    </row>
    <row r="1437" spans="31:36">
      <c r="AE1437" s="15" t="str">
        <f t="shared" si="0"/>
        <v/>
      </c>
      <c r="AF1437" s="15" t="str">
        <f t="shared" si="1"/>
        <v/>
      </c>
      <c r="AG1437" s="15" t="str">
        <f>IF(OR(AF1437="",AF1437="ERRO_CHAVE"),"",IFERROR(MATCH(AF1437,'quitado Despesa'!$V$1:$V$12,0),""))</f>
        <v/>
      </c>
      <c r="AH1437" s="15" t="str">
        <f t="shared" si="2"/>
        <v/>
      </c>
      <c r="AI1437" s="17" t="str">
        <f>IF(AG1437="","",INDEX('quitado Despesa'!$G$1:$G$12,AG1437))</f>
        <v/>
      </c>
      <c r="AJ1437" s="17" t="str">
        <f t="shared" si="3"/>
        <v/>
      </c>
    </row>
    <row r="1438" spans="31:36">
      <c r="AE1438" s="15" t="str">
        <f t="shared" si="0"/>
        <v/>
      </c>
      <c r="AF1438" s="15" t="str">
        <f t="shared" si="1"/>
        <v/>
      </c>
      <c r="AG1438" s="15" t="str">
        <f>IF(OR(AF1438="",AF1438="ERRO_CHAVE"),"",IFERROR(MATCH(AF1438,'quitado Despesa'!$V$1:$V$12,0),""))</f>
        <v/>
      </c>
      <c r="AH1438" s="15" t="str">
        <f t="shared" si="2"/>
        <v/>
      </c>
      <c r="AI1438" s="17" t="str">
        <f>IF(AG1438="","",INDEX('quitado Despesa'!$G$1:$G$12,AG1438))</f>
        <v/>
      </c>
      <c r="AJ1438" s="17" t="str">
        <f t="shared" si="3"/>
        <v/>
      </c>
    </row>
    <row r="1439" spans="31:36">
      <c r="AE1439" s="15" t="str">
        <f t="shared" si="0"/>
        <v/>
      </c>
      <c r="AF1439" s="15" t="str">
        <f t="shared" si="1"/>
        <v/>
      </c>
      <c r="AG1439" s="15" t="str">
        <f>IF(OR(AF1439="",AF1439="ERRO_CHAVE"),"",IFERROR(MATCH(AF1439,'quitado Despesa'!$V$1:$V$12,0),""))</f>
        <v/>
      </c>
      <c r="AH1439" s="15" t="str">
        <f t="shared" si="2"/>
        <v/>
      </c>
      <c r="AI1439" s="17" t="str">
        <f>IF(AG1439="","",INDEX('quitado Despesa'!$G$1:$G$12,AG1439))</f>
        <v/>
      </c>
      <c r="AJ1439" s="17" t="str">
        <f t="shared" si="3"/>
        <v/>
      </c>
    </row>
    <row r="1440" spans="31:36">
      <c r="AE1440" s="15" t="str">
        <f t="shared" si="0"/>
        <v/>
      </c>
      <c r="AF1440" s="15" t="str">
        <f t="shared" si="1"/>
        <v/>
      </c>
      <c r="AG1440" s="15" t="str">
        <f>IF(OR(AF1440="",AF1440="ERRO_CHAVE"),"",IFERROR(MATCH(AF1440,'quitado Despesa'!$V$1:$V$12,0),""))</f>
        <v/>
      </c>
      <c r="AH1440" s="15" t="str">
        <f t="shared" si="2"/>
        <v/>
      </c>
      <c r="AI1440" s="17" t="str">
        <f>IF(AG1440="","",INDEX('quitado Despesa'!$G$1:$G$12,AG1440))</f>
        <v/>
      </c>
      <c r="AJ1440" s="17" t="str">
        <f t="shared" si="3"/>
        <v/>
      </c>
    </row>
    <row r="1441" spans="31:36">
      <c r="AE1441" s="15" t="str">
        <f t="shared" si="0"/>
        <v/>
      </c>
      <c r="AF1441" s="15" t="str">
        <f t="shared" si="1"/>
        <v/>
      </c>
      <c r="AG1441" s="15" t="str">
        <f>IF(OR(AF1441="",AF1441="ERRO_CHAVE"),"",IFERROR(MATCH(AF1441,'quitado Despesa'!$V$1:$V$12,0),""))</f>
        <v/>
      </c>
      <c r="AH1441" s="15" t="str">
        <f t="shared" si="2"/>
        <v/>
      </c>
      <c r="AI1441" s="17" t="str">
        <f>IF(AG1441="","",INDEX('quitado Despesa'!$G$1:$G$12,AG1441))</f>
        <v/>
      </c>
      <c r="AJ1441" s="17" t="str">
        <f t="shared" si="3"/>
        <v/>
      </c>
    </row>
    <row r="1442" spans="31:36">
      <c r="AE1442" s="15" t="str">
        <f t="shared" si="0"/>
        <v/>
      </c>
      <c r="AF1442" s="15" t="str">
        <f t="shared" si="1"/>
        <v/>
      </c>
      <c r="AG1442" s="15" t="str">
        <f>IF(OR(AF1442="",AF1442="ERRO_CHAVE"),"",IFERROR(MATCH(AF1442,'quitado Despesa'!$V$1:$V$12,0),""))</f>
        <v/>
      </c>
      <c r="AH1442" s="15" t="str">
        <f t="shared" si="2"/>
        <v/>
      </c>
      <c r="AI1442" s="17" t="str">
        <f>IF(AG1442="","",INDEX('quitado Despesa'!$G$1:$G$12,AG1442))</f>
        <v/>
      </c>
      <c r="AJ1442" s="17" t="str">
        <f t="shared" si="3"/>
        <v/>
      </c>
    </row>
    <row r="1443" spans="31:36">
      <c r="AE1443" s="15" t="str">
        <f t="shared" si="0"/>
        <v/>
      </c>
      <c r="AF1443" s="15" t="str">
        <f t="shared" si="1"/>
        <v/>
      </c>
      <c r="AG1443" s="15" t="str">
        <f>IF(OR(AF1443="",AF1443="ERRO_CHAVE"),"",IFERROR(MATCH(AF1443,'quitado Despesa'!$V$1:$V$12,0),""))</f>
        <v/>
      </c>
      <c r="AH1443" s="15" t="str">
        <f t="shared" si="2"/>
        <v/>
      </c>
      <c r="AI1443" s="17" t="str">
        <f>IF(AG1443="","",INDEX('quitado Despesa'!$G$1:$G$12,AG1443))</f>
        <v/>
      </c>
      <c r="AJ1443" s="17" t="str">
        <f t="shared" si="3"/>
        <v/>
      </c>
    </row>
    <row r="1444" spans="31:36">
      <c r="AE1444" s="15" t="str">
        <f t="shared" si="0"/>
        <v/>
      </c>
      <c r="AF1444" s="15" t="str">
        <f t="shared" si="1"/>
        <v/>
      </c>
      <c r="AG1444" s="15" t="str">
        <f>IF(OR(AF1444="",AF1444="ERRO_CHAVE"),"",IFERROR(MATCH(AF1444,'quitado Despesa'!$V$1:$V$12,0),""))</f>
        <v/>
      </c>
      <c r="AH1444" s="15" t="str">
        <f t="shared" si="2"/>
        <v/>
      </c>
      <c r="AI1444" s="17" t="str">
        <f>IF(AG1444="","",INDEX('quitado Despesa'!$G$1:$G$12,AG1444))</f>
        <v/>
      </c>
      <c r="AJ1444" s="17" t="str">
        <f t="shared" si="3"/>
        <v/>
      </c>
    </row>
    <row r="1445" spans="31:36">
      <c r="AE1445" s="15" t="str">
        <f t="shared" si="0"/>
        <v/>
      </c>
      <c r="AF1445" s="15" t="str">
        <f t="shared" si="1"/>
        <v/>
      </c>
      <c r="AG1445" s="15" t="str">
        <f>IF(OR(AF1445="",AF1445="ERRO_CHAVE"),"",IFERROR(MATCH(AF1445,'quitado Despesa'!$V$1:$V$12,0),""))</f>
        <v/>
      </c>
      <c r="AH1445" s="15" t="str">
        <f t="shared" si="2"/>
        <v/>
      </c>
      <c r="AI1445" s="17" t="str">
        <f>IF(AG1445="","",INDEX('quitado Despesa'!$G$1:$G$12,AG1445))</f>
        <v/>
      </c>
      <c r="AJ1445" s="17" t="str">
        <f t="shared" si="3"/>
        <v/>
      </c>
    </row>
    <row r="1446" spans="31:36">
      <c r="AE1446" s="15" t="str">
        <f t="shared" si="0"/>
        <v/>
      </c>
      <c r="AF1446" s="15" t="str">
        <f t="shared" si="1"/>
        <v/>
      </c>
      <c r="AG1446" s="15" t="str">
        <f>IF(OR(AF1446="",AF1446="ERRO_CHAVE"),"",IFERROR(MATCH(AF1446,'quitado Despesa'!$V$1:$V$12,0),""))</f>
        <v/>
      </c>
      <c r="AH1446" s="15" t="str">
        <f t="shared" si="2"/>
        <v/>
      </c>
      <c r="AI1446" s="17" t="str">
        <f>IF(AG1446="","",INDEX('quitado Despesa'!$G$1:$G$12,AG1446))</f>
        <v/>
      </c>
      <c r="AJ1446" s="17" t="str">
        <f t="shared" si="3"/>
        <v/>
      </c>
    </row>
    <row r="1447" spans="31:36">
      <c r="AE1447" s="15" t="str">
        <f t="shared" si="0"/>
        <v/>
      </c>
      <c r="AF1447" s="15" t="str">
        <f t="shared" si="1"/>
        <v/>
      </c>
      <c r="AG1447" s="15" t="str">
        <f>IF(OR(AF1447="",AF1447="ERRO_CHAVE"),"",IFERROR(MATCH(AF1447,'quitado Despesa'!$V$1:$V$12,0),""))</f>
        <v/>
      </c>
      <c r="AH1447" s="15" t="str">
        <f t="shared" si="2"/>
        <v/>
      </c>
      <c r="AI1447" s="17" t="str">
        <f>IF(AG1447="","",INDEX('quitado Despesa'!$G$1:$G$12,AG1447))</f>
        <v/>
      </c>
      <c r="AJ1447" s="17" t="str">
        <f t="shared" si="3"/>
        <v/>
      </c>
    </row>
    <row r="1448" spans="31:36">
      <c r="AE1448" s="15" t="str">
        <f t="shared" si="0"/>
        <v/>
      </c>
      <c r="AF1448" s="15" t="str">
        <f t="shared" si="1"/>
        <v/>
      </c>
      <c r="AG1448" s="15" t="str">
        <f>IF(OR(AF1448="",AF1448="ERRO_CHAVE"),"",IFERROR(MATCH(AF1448,'quitado Despesa'!$V$1:$V$12,0),""))</f>
        <v/>
      </c>
      <c r="AH1448" s="15" t="str">
        <f t="shared" si="2"/>
        <v/>
      </c>
      <c r="AI1448" s="17" t="str">
        <f>IF(AG1448="","",INDEX('quitado Despesa'!$G$1:$G$12,AG1448))</f>
        <v/>
      </c>
      <c r="AJ1448" s="17" t="str">
        <f t="shared" si="3"/>
        <v/>
      </c>
    </row>
    <row r="1449" spans="31:36">
      <c r="AE1449" s="15" t="str">
        <f t="shared" si="0"/>
        <v/>
      </c>
      <c r="AF1449" s="15" t="str">
        <f t="shared" si="1"/>
        <v/>
      </c>
      <c r="AG1449" s="15" t="str">
        <f>IF(OR(AF1449="",AF1449="ERRO_CHAVE"),"",IFERROR(MATCH(AF1449,'quitado Despesa'!$V$1:$V$12,0),""))</f>
        <v/>
      </c>
      <c r="AH1449" s="15" t="str">
        <f t="shared" si="2"/>
        <v/>
      </c>
      <c r="AI1449" s="17" t="str">
        <f>IF(AG1449="","",INDEX('quitado Despesa'!$G$1:$G$12,AG1449))</f>
        <v/>
      </c>
      <c r="AJ1449" s="17" t="str">
        <f t="shared" si="3"/>
        <v/>
      </c>
    </row>
    <row r="1450" spans="31:36">
      <c r="AE1450" s="15" t="str">
        <f t="shared" si="0"/>
        <v/>
      </c>
      <c r="AF1450" s="15" t="str">
        <f t="shared" si="1"/>
        <v/>
      </c>
      <c r="AG1450" s="15" t="str">
        <f>IF(OR(AF1450="",AF1450="ERRO_CHAVE"),"",IFERROR(MATCH(AF1450,'quitado Despesa'!$V$1:$V$12,0),""))</f>
        <v/>
      </c>
      <c r="AH1450" s="15" t="str">
        <f t="shared" si="2"/>
        <v/>
      </c>
      <c r="AI1450" s="17" t="str">
        <f>IF(AG1450="","",INDEX('quitado Despesa'!$G$1:$G$12,AG1450))</f>
        <v/>
      </c>
      <c r="AJ1450" s="17" t="str">
        <f t="shared" si="3"/>
        <v/>
      </c>
    </row>
    <row r="1451" spans="31:36">
      <c r="AE1451" s="15" t="str">
        <f t="shared" si="0"/>
        <v/>
      </c>
      <c r="AF1451" s="15" t="str">
        <f t="shared" si="1"/>
        <v/>
      </c>
      <c r="AG1451" s="15" t="str">
        <f>IF(OR(AF1451="",AF1451="ERRO_CHAVE"),"",IFERROR(MATCH(AF1451,'quitado Despesa'!$V$1:$V$12,0),""))</f>
        <v/>
      </c>
      <c r="AH1451" s="15" t="str">
        <f t="shared" si="2"/>
        <v/>
      </c>
      <c r="AI1451" s="17" t="str">
        <f>IF(AG1451="","",INDEX('quitado Despesa'!$G$1:$G$12,AG1451))</f>
        <v/>
      </c>
      <c r="AJ1451" s="17" t="str">
        <f t="shared" si="3"/>
        <v/>
      </c>
    </row>
    <row r="1452" spans="31:36">
      <c r="AE1452" s="15" t="str">
        <f t="shared" si="0"/>
        <v/>
      </c>
      <c r="AF1452" s="15" t="str">
        <f t="shared" si="1"/>
        <v/>
      </c>
      <c r="AG1452" s="15" t="str">
        <f>IF(OR(AF1452="",AF1452="ERRO_CHAVE"),"",IFERROR(MATCH(AF1452,'quitado Despesa'!$V$1:$V$12,0),""))</f>
        <v/>
      </c>
      <c r="AH1452" s="15" t="str">
        <f t="shared" si="2"/>
        <v/>
      </c>
      <c r="AI1452" s="17" t="str">
        <f>IF(AG1452="","",INDEX('quitado Despesa'!$G$1:$G$12,AG1452))</f>
        <v/>
      </c>
      <c r="AJ1452" s="17" t="str">
        <f t="shared" si="3"/>
        <v/>
      </c>
    </row>
    <row r="1453" spans="31:36">
      <c r="AE1453" s="15" t="str">
        <f t="shared" si="0"/>
        <v/>
      </c>
      <c r="AF1453" s="15" t="str">
        <f t="shared" si="1"/>
        <v/>
      </c>
      <c r="AG1453" s="15" t="str">
        <f>IF(OR(AF1453="",AF1453="ERRO_CHAVE"),"",IFERROR(MATCH(AF1453,'quitado Despesa'!$V$1:$V$12,0),""))</f>
        <v/>
      </c>
      <c r="AH1453" s="15" t="str">
        <f t="shared" si="2"/>
        <v/>
      </c>
      <c r="AI1453" s="17" t="str">
        <f>IF(AG1453="","",INDEX('quitado Despesa'!$G$1:$G$12,AG1453))</f>
        <v/>
      </c>
      <c r="AJ1453" s="17" t="str">
        <f t="shared" si="3"/>
        <v/>
      </c>
    </row>
    <row r="1454" spans="31:36">
      <c r="AE1454" s="15" t="str">
        <f t="shared" si="0"/>
        <v/>
      </c>
      <c r="AF1454" s="15" t="str">
        <f t="shared" si="1"/>
        <v/>
      </c>
      <c r="AG1454" s="15" t="str">
        <f>IF(OR(AF1454="",AF1454="ERRO_CHAVE"),"",IFERROR(MATCH(AF1454,'quitado Despesa'!$V$1:$V$12,0),""))</f>
        <v/>
      </c>
      <c r="AH1454" s="15" t="str">
        <f t="shared" si="2"/>
        <v/>
      </c>
      <c r="AI1454" s="17" t="str">
        <f>IF(AG1454="","",INDEX('quitado Despesa'!$G$1:$G$12,AG1454))</f>
        <v/>
      </c>
      <c r="AJ1454" s="17" t="str">
        <f t="shared" si="3"/>
        <v/>
      </c>
    </row>
    <row r="1455" spans="31:36">
      <c r="AE1455" s="15" t="str">
        <f t="shared" si="0"/>
        <v/>
      </c>
      <c r="AF1455" s="15" t="str">
        <f t="shared" si="1"/>
        <v/>
      </c>
      <c r="AG1455" s="15" t="str">
        <f>IF(OR(AF1455="",AF1455="ERRO_CHAVE"),"",IFERROR(MATCH(AF1455,'quitado Despesa'!$V$1:$V$12,0),""))</f>
        <v/>
      </c>
      <c r="AH1455" s="15" t="str">
        <f t="shared" si="2"/>
        <v/>
      </c>
      <c r="AI1455" s="17" t="str">
        <f>IF(AG1455="","",INDEX('quitado Despesa'!$G$1:$G$12,AG1455))</f>
        <v/>
      </c>
      <c r="AJ1455" s="17" t="str">
        <f t="shared" si="3"/>
        <v/>
      </c>
    </row>
    <row r="1456" spans="31:36">
      <c r="AE1456" s="15" t="str">
        <f t="shared" si="0"/>
        <v/>
      </c>
      <c r="AF1456" s="15" t="str">
        <f t="shared" si="1"/>
        <v/>
      </c>
      <c r="AG1456" s="15" t="str">
        <f>IF(OR(AF1456="",AF1456="ERRO_CHAVE"),"",IFERROR(MATCH(AF1456,'quitado Despesa'!$V$1:$V$12,0),""))</f>
        <v/>
      </c>
      <c r="AH1456" s="15" t="str">
        <f t="shared" si="2"/>
        <v/>
      </c>
      <c r="AI1456" s="17" t="str">
        <f>IF(AG1456="","",INDEX('quitado Despesa'!$G$1:$G$12,AG1456))</f>
        <v/>
      </c>
      <c r="AJ1456" s="17" t="str">
        <f t="shared" si="3"/>
        <v/>
      </c>
    </row>
    <row r="1457" spans="31:36">
      <c r="AE1457" s="15" t="str">
        <f t="shared" si="0"/>
        <v/>
      </c>
      <c r="AF1457" s="15" t="str">
        <f t="shared" si="1"/>
        <v/>
      </c>
      <c r="AG1457" s="15" t="str">
        <f>IF(OR(AF1457="",AF1457="ERRO_CHAVE"),"",IFERROR(MATCH(AF1457,'quitado Despesa'!$V$1:$V$12,0),""))</f>
        <v/>
      </c>
      <c r="AH1457" s="15" t="str">
        <f t="shared" si="2"/>
        <v/>
      </c>
      <c r="AI1457" s="17" t="str">
        <f>IF(AG1457="","",INDEX('quitado Despesa'!$G$1:$G$12,AG1457))</f>
        <v/>
      </c>
      <c r="AJ1457" s="17" t="str">
        <f t="shared" si="3"/>
        <v/>
      </c>
    </row>
    <row r="1458" spans="31:36">
      <c r="AE1458" s="15" t="str">
        <f t="shared" si="0"/>
        <v/>
      </c>
      <c r="AF1458" s="15" t="str">
        <f t="shared" si="1"/>
        <v/>
      </c>
      <c r="AG1458" s="15" t="str">
        <f>IF(OR(AF1458="",AF1458="ERRO_CHAVE"),"",IFERROR(MATCH(AF1458,'quitado Despesa'!$V$1:$V$12,0),""))</f>
        <v/>
      </c>
      <c r="AH1458" s="15" t="str">
        <f t="shared" si="2"/>
        <v/>
      </c>
      <c r="AI1458" s="17" t="str">
        <f>IF(AG1458="","",INDEX('quitado Despesa'!$G$1:$G$12,AG1458))</f>
        <v/>
      </c>
      <c r="AJ1458" s="17" t="str">
        <f t="shared" si="3"/>
        <v/>
      </c>
    </row>
    <row r="1459" spans="31:36">
      <c r="AE1459" s="15" t="str">
        <f t="shared" si="0"/>
        <v/>
      </c>
      <c r="AF1459" s="15" t="str">
        <f t="shared" si="1"/>
        <v/>
      </c>
      <c r="AG1459" s="15" t="str">
        <f>IF(OR(AF1459="",AF1459="ERRO_CHAVE"),"",IFERROR(MATCH(AF1459,'quitado Despesa'!$V$1:$V$12,0),""))</f>
        <v/>
      </c>
      <c r="AH1459" s="15" t="str">
        <f t="shared" si="2"/>
        <v/>
      </c>
      <c r="AI1459" s="17" t="str">
        <f>IF(AG1459="","",INDEX('quitado Despesa'!$G$1:$G$12,AG1459))</f>
        <v/>
      </c>
      <c r="AJ1459" s="17" t="str">
        <f t="shared" si="3"/>
        <v/>
      </c>
    </row>
    <row r="1460" spans="31:36">
      <c r="AE1460" s="15" t="str">
        <f t="shared" si="0"/>
        <v/>
      </c>
      <c r="AF1460" s="15" t="str">
        <f t="shared" si="1"/>
        <v/>
      </c>
      <c r="AG1460" s="15" t="str">
        <f>IF(OR(AF1460="",AF1460="ERRO_CHAVE"),"",IFERROR(MATCH(AF1460,'quitado Despesa'!$V$1:$V$12,0),""))</f>
        <v/>
      </c>
      <c r="AH1460" s="15" t="str">
        <f t="shared" si="2"/>
        <v/>
      </c>
      <c r="AI1460" s="17" t="str">
        <f>IF(AG1460="","",INDEX('quitado Despesa'!$G$1:$G$12,AG1460))</f>
        <v/>
      </c>
      <c r="AJ1460" s="17" t="str">
        <f t="shared" si="3"/>
        <v/>
      </c>
    </row>
    <row r="1461" spans="31:36">
      <c r="AE1461" s="15" t="str">
        <f t="shared" si="0"/>
        <v/>
      </c>
      <c r="AF1461" s="15" t="str">
        <f t="shared" si="1"/>
        <v/>
      </c>
      <c r="AG1461" s="15" t="str">
        <f>IF(OR(AF1461="",AF1461="ERRO_CHAVE"),"",IFERROR(MATCH(AF1461,'quitado Despesa'!$V$1:$V$12,0),""))</f>
        <v/>
      </c>
      <c r="AH1461" s="15" t="str">
        <f t="shared" si="2"/>
        <v/>
      </c>
      <c r="AI1461" s="17" t="str">
        <f>IF(AG1461="","",INDEX('quitado Despesa'!$G$1:$G$12,AG1461))</f>
        <v/>
      </c>
      <c r="AJ1461" s="17" t="str">
        <f t="shared" si="3"/>
        <v/>
      </c>
    </row>
    <row r="1462" spans="31:36">
      <c r="AE1462" s="15" t="str">
        <f t="shared" si="0"/>
        <v/>
      </c>
      <c r="AF1462" s="15" t="str">
        <f t="shared" si="1"/>
        <v/>
      </c>
      <c r="AG1462" s="15" t="str">
        <f>IF(OR(AF1462="",AF1462="ERRO_CHAVE"),"",IFERROR(MATCH(AF1462,'quitado Despesa'!$V$1:$V$12,0),""))</f>
        <v/>
      </c>
      <c r="AH1462" s="15" t="str">
        <f t="shared" si="2"/>
        <v/>
      </c>
      <c r="AI1462" s="17" t="str">
        <f>IF(AG1462="","",INDEX('quitado Despesa'!$G$1:$G$12,AG1462))</f>
        <v/>
      </c>
      <c r="AJ1462" s="17" t="str">
        <f t="shared" si="3"/>
        <v/>
      </c>
    </row>
    <row r="1463" spans="31:36">
      <c r="AE1463" s="15" t="str">
        <f t="shared" si="0"/>
        <v/>
      </c>
      <c r="AF1463" s="15" t="str">
        <f t="shared" si="1"/>
        <v/>
      </c>
      <c r="AG1463" s="15" t="str">
        <f>IF(OR(AF1463="",AF1463="ERRO_CHAVE"),"",IFERROR(MATCH(AF1463,'quitado Despesa'!$V$1:$V$12,0),""))</f>
        <v/>
      </c>
      <c r="AH1463" s="15" t="str">
        <f t="shared" si="2"/>
        <v/>
      </c>
      <c r="AI1463" s="17" t="str">
        <f>IF(AG1463="","",INDEX('quitado Despesa'!$G$1:$G$12,AG1463))</f>
        <v/>
      </c>
      <c r="AJ1463" s="17" t="str">
        <f t="shared" si="3"/>
        <v/>
      </c>
    </row>
    <row r="1464" spans="31:36">
      <c r="AE1464" s="15" t="str">
        <f t="shared" si="0"/>
        <v/>
      </c>
      <c r="AF1464" s="15" t="str">
        <f t="shared" si="1"/>
        <v/>
      </c>
      <c r="AG1464" s="15" t="str">
        <f>IF(OR(AF1464="",AF1464="ERRO_CHAVE"),"",IFERROR(MATCH(AF1464,'quitado Despesa'!$V$1:$V$12,0),""))</f>
        <v/>
      </c>
      <c r="AH1464" s="15" t="str">
        <f t="shared" si="2"/>
        <v/>
      </c>
      <c r="AI1464" s="17" t="str">
        <f>IF(AG1464="","",INDEX('quitado Despesa'!$G$1:$G$12,AG1464))</f>
        <v/>
      </c>
      <c r="AJ1464" s="17" t="str">
        <f t="shared" si="3"/>
        <v/>
      </c>
    </row>
    <row r="1465" spans="31:36">
      <c r="AE1465" s="15" t="str">
        <f t="shared" si="0"/>
        <v/>
      </c>
      <c r="AF1465" s="15" t="str">
        <f t="shared" si="1"/>
        <v/>
      </c>
      <c r="AG1465" s="15" t="str">
        <f>IF(OR(AF1465="",AF1465="ERRO_CHAVE"),"",IFERROR(MATCH(AF1465,'quitado Despesa'!$V$1:$V$12,0),""))</f>
        <v/>
      </c>
      <c r="AH1465" s="15" t="str">
        <f t="shared" si="2"/>
        <v/>
      </c>
      <c r="AI1465" s="17" t="str">
        <f>IF(AG1465="","",INDEX('quitado Despesa'!$G$1:$G$12,AG1465))</f>
        <v/>
      </c>
      <c r="AJ1465" s="17" t="str">
        <f t="shared" si="3"/>
        <v/>
      </c>
    </row>
    <row r="1466" spans="31:36">
      <c r="AE1466" s="15" t="str">
        <f t="shared" si="0"/>
        <v/>
      </c>
      <c r="AF1466" s="15" t="str">
        <f t="shared" si="1"/>
        <v/>
      </c>
      <c r="AG1466" s="15" t="str">
        <f>IF(OR(AF1466="",AF1466="ERRO_CHAVE"),"",IFERROR(MATCH(AF1466,'quitado Despesa'!$V$1:$V$12,0),""))</f>
        <v/>
      </c>
      <c r="AH1466" s="15" t="str">
        <f t="shared" si="2"/>
        <v/>
      </c>
      <c r="AI1466" s="17" t="str">
        <f>IF(AG1466="","",INDEX('quitado Despesa'!$G$1:$G$12,AG1466))</f>
        <v/>
      </c>
      <c r="AJ1466" s="17" t="str">
        <f t="shared" si="3"/>
        <v/>
      </c>
    </row>
    <row r="1467" spans="31:36">
      <c r="AE1467" s="15" t="str">
        <f t="shared" si="0"/>
        <v/>
      </c>
      <c r="AF1467" s="15" t="str">
        <f t="shared" si="1"/>
        <v/>
      </c>
      <c r="AG1467" s="15" t="str">
        <f>IF(OR(AF1467="",AF1467="ERRO_CHAVE"),"",IFERROR(MATCH(AF1467,'quitado Despesa'!$V$1:$V$12,0),""))</f>
        <v/>
      </c>
      <c r="AH1467" s="15" t="str">
        <f t="shared" si="2"/>
        <v/>
      </c>
      <c r="AI1467" s="17" t="str">
        <f>IF(AG1467="","",INDEX('quitado Despesa'!$G$1:$G$12,AG1467))</f>
        <v/>
      </c>
      <c r="AJ1467" s="17" t="str">
        <f t="shared" si="3"/>
        <v/>
      </c>
    </row>
    <row r="1468" spans="31:36">
      <c r="AE1468" s="15" t="str">
        <f t="shared" si="0"/>
        <v/>
      </c>
      <c r="AF1468" s="15" t="str">
        <f t="shared" si="1"/>
        <v/>
      </c>
      <c r="AG1468" s="15" t="str">
        <f>IF(OR(AF1468="",AF1468="ERRO_CHAVE"),"",IFERROR(MATCH(AF1468,'quitado Despesa'!$V$1:$V$12,0),""))</f>
        <v/>
      </c>
      <c r="AH1468" s="15" t="str">
        <f t="shared" si="2"/>
        <v/>
      </c>
      <c r="AI1468" s="17" t="str">
        <f>IF(AG1468="","",INDEX('quitado Despesa'!$G$1:$G$12,AG1468))</f>
        <v/>
      </c>
      <c r="AJ1468" s="17" t="str">
        <f t="shared" si="3"/>
        <v/>
      </c>
    </row>
    <row r="1469" spans="31:36">
      <c r="AE1469" s="15" t="str">
        <f t="shared" si="0"/>
        <v/>
      </c>
      <c r="AF1469" s="15" t="str">
        <f t="shared" si="1"/>
        <v/>
      </c>
      <c r="AG1469" s="15" t="str">
        <f>IF(OR(AF1469="",AF1469="ERRO_CHAVE"),"",IFERROR(MATCH(AF1469,'quitado Despesa'!$V$1:$V$12,0),""))</f>
        <v/>
      </c>
      <c r="AH1469" s="15" t="str">
        <f t="shared" si="2"/>
        <v/>
      </c>
      <c r="AI1469" s="17" t="str">
        <f>IF(AG1469="","",INDEX('quitado Despesa'!$G$1:$G$12,AG1469))</f>
        <v/>
      </c>
      <c r="AJ1469" s="17" t="str">
        <f t="shared" si="3"/>
        <v/>
      </c>
    </row>
    <row r="1470" spans="31:36">
      <c r="AE1470" s="15" t="str">
        <f t="shared" si="0"/>
        <v/>
      </c>
      <c r="AF1470" s="15" t="str">
        <f t="shared" si="1"/>
        <v/>
      </c>
      <c r="AG1470" s="15" t="str">
        <f>IF(OR(AF1470="",AF1470="ERRO_CHAVE"),"",IFERROR(MATCH(AF1470,'quitado Despesa'!$V$1:$V$12,0),""))</f>
        <v/>
      </c>
      <c r="AH1470" s="15" t="str">
        <f t="shared" si="2"/>
        <v/>
      </c>
      <c r="AI1470" s="17" t="str">
        <f>IF(AG1470="","",INDEX('quitado Despesa'!$G$1:$G$12,AG1470))</f>
        <v/>
      </c>
      <c r="AJ1470" s="17" t="str">
        <f t="shared" si="3"/>
        <v/>
      </c>
    </row>
    <row r="1471" spans="31:36">
      <c r="AE1471" s="15" t="str">
        <f t="shared" si="0"/>
        <v/>
      </c>
      <c r="AF1471" s="15" t="str">
        <f t="shared" si="1"/>
        <v/>
      </c>
      <c r="AG1471" s="15" t="str">
        <f>IF(OR(AF1471="",AF1471="ERRO_CHAVE"),"",IFERROR(MATCH(AF1471,'quitado Despesa'!$V$1:$V$12,0),""))</f>
        <v/>
      </c>
      <c r="AH1471" s="15" t="str">
        <f t="shared" si="2"/>
        <v/>
      </c>
      <c r="AI1471" s="17" t="str">
        <f>IF(AG1471="","",INDEX('quitado Despesa'!$G$1:$G$12,AG1471))</f>
        <v/>
      </c>
      <c r="AJ1471" s="17" t="str">
        <f t="shared" si="3"/>
        <v/>
      </c>
    </row>
    <row r="1472" spans="31:36">
      <c r="AE1472" s="15" t="str">
        <f t="shared" si="0"/>
        <v/>
      </c>
      <c r="AF1472" s="15" t="str">
        <f t="shared" si="1"/>
        <v/>
      </c>
      <c r="AG1472" s="15" t="str">
        <f>IF(OR(AF1472="",AF1472="ERRO_CHAVE"),"",IFERROR(MATCH(AF1472,'quitado Despesa'!$V$1:$V$12,0),""))</f>
        <v/>
      </c>
      <c r="AH1472" s="15" t="str">
        <f t="shared" si="2"/>
        <v/>
      </c>
      <c r="AI1472" s="17" t="str">
        <f>IF(AG1472="","",INDEX('quitado Despesa'!$G$1:$G$12,AG1472))</f>
        <v/>
      </c>
      <c r="AJ1472" s="17" t="str">
        <f t="shared" si="3"/>
        <v/>
      </c>
    </row>
    <row r="1473" spans="31:36">
      <c r="AE1473" s="15" t="str">
        <f t="shared" si="0"/>
        <v/>
      </c>
      <c r="AF1473" s="15" t="str">
        <f t="shared" si="1"/>
        <v/>
      </c>
      <c r="AG1473" s="15" t="str">
        <f>IF(OR(AF1473="",AF1473="ERRO_CHAVE"),"",IFERROR(MATCH(AF1473,'quitado Despesa'!$V$1:$V$12,0),""))</f>
        <v/>
      </c>
      <c r="AH1473" s="15" t="str">
        <f t="shared" si="2"/>
        <v/>
      </c>
      <c r="AI1473" s="17" t="str">
        <f>IF(AG1473="","",INDEX('quitado Despesa'!$G$1:$G$12,AG1473))</f>
        <v/>
      </c>
      <c r="AJ1473" s="17" t="str">
        <f t="shared" si="3"/>
        <v/>
      </c>
    </row>
    <row r="1474" spans="31:36">
      <c r="AE1474" s="15" t="str">
        <f t="shared" si="0"/>
        <v/>
      </c>
      <c r="AF1474" s="15" t="str">
        <f t="shared" si="1"/>
        <v/>
      </c>
      <c r="AG1474" s="15" t="str">
        <f>IF(OR(AF1474="",AF1474="ERRO_CHAVE"),"",IFERROR(MATCH(AF1474,'quitado Despesa'!$V$1:$V$12,0),""))</f>
        <v/>
      </c>
      <c r="AH1474" s="15" t="str">
        <f t="shared" si="2"/>
        <v/>
      </c>
      <c r="AI1474" s="17" t="str">
        <f>IF(AG1474="","",INDEX('quitado Despesa'!$G$1:$G$12,AG1474))</f>
        <v/>
      </c>
      <c r="AJ1474" s="17" t="str">
        <f t="shared" si="3"/>
        <v/>
      </c>
    </row>
    <row r="1475" spans="31:36">
      <c r="AE1475" s="15" t="str">
        <f t="shared" si="0"/>
        <v/>
      </c>
      <c r="AF1475" s="15" t="str">
        <f t="shared" si="1"/>
        <v/>
      </c>
      <c r="AG1475" s="15" t="str">
        <f>IF(OR(AF1475="",AF1475="ERRO_CHAVE"),"",IFERROR(MATCH(AF1475,'quitado Despesa'!$V$1:$V$12,0),""))</f>
        <v/>
      </c>
      <c r="AH1475" s="15" t="str">
        <f t="shared" si="2"/>
        <v/>
      </c>
      <c r="AI1475" s="17" t="str">
        <f>IF(AG1475="","",INDEX('quitado Despesa'!$G$1:$G$12,AG1475))</f>
        <v/>
      </c>
      <c r="AJ1475" s="17" t="str">
        <f t="shared" si="3"/>
        <v/>
      </c>
    </row>
    <row r="1476" spans="31:36">
      <c r="AE1476" s="15" t="str">
        <f t="shared" si="0"/>
        <v/>
      </c>
      <c r="AF1476" s="15" t="str">
        <f t="shared" si="1"/>
        <v/>
      </c>
      <c r="AG1476" s="15" t="str">
        <f>IF(OR(AF1476="",AF1476="ERRO_CHAVE"),"",IFERROR(MATCH(AF1476,'quitado Despesa'!$V$1:$V$12,0),""))</f>
        <v/>
      </c>
      <c r="AH1476" s="15" t="str">
        <f t="shared" si="2"/>
        <v/>
      </c>
      <c r="AI1476" s="17" t="str">
        <f>IF(AG1476="","",INDEX('quitado Despesa'!$G$1:$G$12,AG1476))</f>
        <v/>
      </c>
      <c r="AJ1476" s="17" t="str">
        <f t="shared" si="3"/>
        <v/>
      </c>
    </row>
    <row r="1477" spans="31:36">
      <c r="AE1477" s="15" t="str">
        <f t="shared" si="0"/>
        <v/>
      </c>
      <c r="AF1477" s="15" t="str">
        <f t="shared" si="1"/>
        <v/>
      </c>
      <c r="AG1477" s="15" t="str">
        <f>IF(OR(AF1477="",AF1477="ERRO_CHAVE"),"",IFERROR(MATCH(AF1477,'quitado Despesa'!$V$1:$V$12,0),""))</f>
        <v/>
      </c>
      <c r="AH1477" s="15" t="str">
        <f t="shared" si="2"/>
        <v/>
      </c>
      <c r="AI1477" s="17" t="str">
        <f>IF(AG1477="","",INDEX('quitado Despesa'!$G$1:$G$12,AG1477))</f>
        <v/>
      </c>
      <c r="AJ1477" s="17" t="str">
        <f t="shared" si="3"/>
        <v/>
      </c>
    </row>
    <row r="1478" spans="31:36">
      <c r="AE1478" s="15" t="str">
        <f t="shared" si="0"/>
        <v/>
      </c>
      <c r="AF1478" s="15" t="str">
        <f t="shared" si="1"/>
        <v/>
      </c>
      <c r="AG1478" s="15" t="str">
        <f>IF(OR(AF1478="",AF1478="ERRO_CHAVE"),"",IFERROR(MATCH(AF1478,'quitado Despesa'!$V$1:$V$12,0),""))</f>
        <v/>
      </c>
      <c r="AH1478" s="15" t="str">
        <f t="shared" si="2"/>
        <v/>
      </c>
      <c r="AI1478" s="17" t="str">
        <f>IF(AG1478="","",INDEX('quitado Despesa'!$G$1:$G$12,AG1478))</f>
        <v/>
      </c>
      <c r="AJ1478" s="17" t="str">
        <f t="shared" si="3"/>
        <v/>
      </c>
    </row>
    <row r="1479" spans="31:36">
      <c r="AE1479" s="15" t="str">
        <f t="shared" si="0"/>
        <v/>
      </c>
      <c r="AF1479" s="15" t="str">
        <f t="shared" si="1"/>
        <v/>
      </c>
      <c r="AG1479" s="15" t="str">
        <f>IF(OR(AF1479="",AF1479="ERRO_CHAVE"),"",IFERROR(MATCH(AF1479,'quitado Despesa'!$V$1:$V$12,0),""))</f>
        <v/>
      </c>
      <c r="AH1479" s="15" t="str">
        <f t="shared" si="2"/>
        <v/>
      </c>
      <c r="AI1479" s="17" t="str">
        <f>IF(AG1479="","",INDEX('quitado Despesa'!$G$1:$G$12,AG1479))</f>
        <v/>
      </c>
      <c r="AJ1479" s="17" t="str">
        <f t="shared" si="3"/>
        <v/>
      </c>
    </row>
    <row r="1480" spans="31:36">
      <c r="AE1480" s="15" t="str">
        <f t="shared" si="0"/>
        <v/>
      </c>
      <c r="AF1480" s="15" t="str">
        <f t="shared" si="1"/>
        <v/>
      </c>
      <c r="AG1480" s="15" t="str">
        <f>IF(OR(AF1480="",AF1480="ERRO_CHAVE"),"",IFERROR(MATCH(AF1480,'quitado Despesa'!$V$1:$V$12,0),""))</f>
        <v/>
      </c>
      <c r="AH1480" s="15" t="str">
        <f t="shared" si="2"/>
        <v/>
      </c>
      <c r="AI1480" s="17" t="str">
        <f>IF(AG1480="","",INDEX('quitado Despesa'!$G$1:$G$12,AG1480))</f>
        <v/>
      </c>
      <c r="AJ1480" s="17" t="str">
        <f t="shared" si="3"/>
        <v/>
      </c>
    </row>
    <row r="1481" spans="31:36">
      <c r="AE1481" s="15" t="str">
        <f t="shared" si="0"/>
        <v/>
      </c>
      <c r="AF1481" s="15" t="str">
        <f t="shared" si="1"/>
        <v/>
      </c>
      <c r="AG1481" s="15" t="str">
        <f>IF(OR(AF1481="",AF1481="ERRO_CHAVE"),"",IFERROR(MATCH(AF1481,'quitado Despesa'!$V$1:$V$12,0),""))</f>
        <v/>
      </c>
      <c r="AH1481" s="15" t="str">
        <f t="shared" si="2"/>
        <v/>
      </c>
      <c r="AI1481" s="17" t="str">
        <f>IF(AG1481="","",INDEX('quitado Despesa'!$G$1:$G$12,AG1481))</f>
        <v/>
      </c>
      <c r="AJ1481" s="17" t="str">
        <f t="shared" si="3"/>
        <v/>
      </c>
    </row>
    <row r="1482" spans="31:36">
      <c r="AE1482" s="15" t="str">
        <f t="shared" si="0"/>
        <v/>
      </c>
      <c r="AF1482" s="15" t="str">
        <f t="shared" si="1"/>
        <v/>
      </c>
      <c r="AG1482" s="15" t="str">
        <f>IF(OR(AF1482="",AF1482="ERRO_CHAVE"),"",IFERROR(MATCH(AF1482,'quitado Despesa'!$V$1:$V$12,0),""))</f>
        <v/>
      </c>
      <c r="AH1482" s="15" t="str">
        <f t="shared" si="2"/>
        <v/>
      </c>
      <c r="AI1482" s="17" t="str">
        <f>IF(AG1482="","",INDEX('quitado Despesa'!$G$1:$G$12,AG1482))</f>
        <v/>
      </c>
      <c r="AJ1482" s="17" t="str">
        <f t="shared" si="3"/>
        <v/>
      </c>
    </row>
    <row r="1483" spans="31:36">
      <c r="AE1483" s="15" t="str">
        <f t="shared" si="0"/>
        <v/>
      </c>
      <c r="AF1483" s="15" t="str">
        <f t="shared" si="1"/>
        <v/>
      </c>
      <c r="AG1483" s="15" t="str">
        <f>IF(OR(AF1483="",AF1483="ERRO_CHAVE"),"",IFERROR(MATCH(AF1483,'quitado Despesa'!$V$1:$V$12,0),""))</f>
        <v/>
      </c>
      <c r="AH1483" s="15" t="str">
        <f t="shared" si="2"/>
        <v/>
      </c>
      <c r="AI1483" s="17" t="str">
        <f>IF(AG1483="","",INDEX('quitado Despesa'!$G$1:$G$12,AG1483))</f>
        <v/>
      </c>
      <c r="AJ1483" s="17" t="str">
        <f t="shared" si="3"/>
        <v/>
      </c>
    </row>
    <row r="1484" spans="31:36">
      <c r="AE1484" s="15" t="str">
        <f t="shared" si="0"/>
        <v/>
      </c>
      <c r="AF1484" s="15" t="str">
        <f t="shared" si="1"/>
        <v/>
      </c>
      <c r="AG1484" s="15" t="str">
        <f>IF(OR(AF1484="",AF1484="ERRO_CHAVE"),"",IFERROR(MATCH(AF1484,'quitado Despesa'!$V$1:$V$12,0),""))</f>
        <v/>
      </c>
      <c r="AH1484" s="15" t="str">
        <f t="shared" si="2"/>
        <v/>
      </c>
      <c r="AI1484" s="17" t="str">
        <f>IF(AG1484="","",INDEX('quitado Despesa'!$G$1:$G$12,AG1484))</f>
        <v/>
      </c>
      <c r="AJ1484" s="17" t="str">
        <f t="shared" si="3"/>
        <v/>
      </c>
    </row>
    <row r="1485" spans="31:36">
      <c r="AE1485" s="15" t="str">
        <f t="shared" si="0"/>
        <v/>
      </c>
      <c r="AF1485" s="15" t="str">
        <f t="shared" si="1"/>
        <v/>
      </c>
      <c r="AG1485" s="15" t="str">
        <f>IF(OR(AF1485="",AF1485="ERRO_CHAVE"),"",IFERROR(MATCH(AF1485,'quitado Despesa'!$V$1:$V$12,0),""))</f>
        <v/>
      </c>
      <c r="AH1485" s="15" t="str">
        <f t="shared" si="2"/>
        <v/>
      </c>
      <c r="AI1485" s="17" t="str">
        <f>IF(AG1485="","",INDEX('quitado Despesa'!$G$1:$G$12,AG1485))</f>
        <v/>
      </c>
      <c r="AJ1485" s="17" t="str">
        <f t="shared" si="3"/>
        <v/>
      </c>
    </row>
    <row r="1486" spans="31:36">
      <c r="AE1486" s="15" t="str">
        <f t="shared" si="0"/>
        <v/>
      </c>
      <c r="AF1486" s="15" t="str">
        <f t="shared" si="1"/>
        <v/>
      </c>
      <c r="AG1486" s="15" t="str">
        <f>IF(OR(AF1486="",AF1486="ERRO_CHAVE"),"",IFERROR(MATCH(AF1486,'quitado Despesa'!$V$1:$V$12,0),""))</f>
        <v/>
      </c>
      <c r="AH1486" s="15" t="str">
        <f t="shared" si="2"/>
        <v/>
      </c>
      <c r="AI1486" s="17" t="str">
        <f>IF(AG1486="","",INDEX('quitado Despesa'!$G$1:$G$12,AG1486))</f>
        <v/>
      </c>
      <c r="AJ1486" s="17" t="str">
        <f t="shared" si="3"/>
        <v/>
      </c>
    </row>
    <row r="1487" spans="31:36">
      <c r="AE1487" s="15" t="str">
        <f t="shared" si="0"/>
        <v/>
      </c>
      <c r="AF1487" s="15" t="str">
        <f t="shared" si="1"/>
        <v/>
      </c>
      <c r="AG1487" s="15" t="str">
        <f>IF(OR(AF1487="",AF1487="ERRO_CHAVE"),"",IFERROR(MATCH(AF1487,'quitado Despesa'!$V$1:$V$12,0),""))</f>
        <v/>
      </c>
      <c r="AH1487" s="15" t="str">
        <f t="shared" si="2"/>
        <v/>
      </c>
      <c r="AI1487" s="17" t="str">
        <f>IF(AG1487="","",INDEX('quitado Despesa'!$G$1:$G$12,AG1487))</f>
        <v/>
      </c>
      <c r="AJ1487" s="17" t="str">
        <f t="shared" si="3"/>
        <v/>
      </c>
    </row>
    <row r="1488" spans="31:36">
      <c r="AE1488" s="15" t="str">
        <f t="shared" si="0"/>
        <v/>
      </c>
      <c r="AF1488" s="15" t="str">
        <f t="shared" si="1"/>
        <v/>
      </c>
      <c r="AG1488" s="15" t="str">
        <f>IF(OR(AF1488="",AF1488="ERRO_CHAVE"),"",IFERROR(MATCH(AF1488,'quitado Despesa'!$V$1:$V$12,0),""))</f>
        <v/>
      </c>
      <c r="AH1488" s="15" t="str">
        <f t="shared" si="2"/>
        <v/>
      </c>
      <c r="AI1488" s="17" t="str">
        <f>IF(AG1488="","",INDEX('quitado Despesa'!$G$1:$G$12,AG1488))</f>
        <v/>
      </c>
      <c r="AJ1488" s="17" t="str">
        <f t="shared" si="3"/>
        <v/>
      </c>
    </row>
    <row r="1489" spans="31:36">
      <c r="AE1489" s="15" t="str">
        <f t="shared" si="0"/>
        <v/>
      </c>
      <c r="AF1489" s="15" t="str">
        <f t="shared" si="1"/>
        <v/>
      </c>
      <c r="AG1489" s="15" t="str">
        <f>IF(OR(AF1489="",AF1489="ERRO_CHAVE"),"",IFERROR(MATCH(AF1489,'quitado Despesa'!$V$1:$V$12,0),""))</f>
        <v/>
      </c>
      <c r="AH1489" s="15" t="str">
        <f t="shared" si="2"/>
        <v/>
      </c>
      <c r="AI1489" s="17" t="str">
        <f>IF(AG1489="","",INDEX('quitado Despesa'!$G$1:$G$12,AG1489))</f>
        <v/>
      </c>
      <c r="AJ1489" s="17" t="str">
        <f t="shared" si="3"/>
        <v/>
      </c>
    </row>
    <row r="1490" spans="31:36">
      <c r="AE1490" s="15" t="str">
        <f t="shared" si="0"/>
        <v/>
      </c>
      <c r="AF1490" s="15" t="str">
        <f t="shared" si="1"/>
        <v/>
      </c>
      <c r="AG1490" s="15" t="str">
        <f>IF(OR(AF1490="",AF1490="ERRO_CHAVE"),"",IFERROR(MATCH(AF1490,'quitado Despesa'!$V$1:$V$12,0),""))</f>
        <v/>
      </c>
      <c r="AH1490" s="15" t="str">
        <f t="shared" si="2"/>
        <v/>
      </c>
      <c r="AI1490" s="17" t="str">
        <f>IF(AG1490="","",INDEX('quitado Despesa'!$G$1:$G$12,AG1490))</f>
        <v/>
      </c>
      <c r="AJ1490" s="17" t="str">
        <f t="shared" si="3"/>
        <v/>
      </c>
    </row>
    <row r="1491" spans="31:36">
      <c r="AE1491" s="15" t="str">
        <f t="shared" si="0"/>
        <v/>
      </c>
      <c r="AF1491" s="15" t="str">
        <f t="shared" si="1"/>
        <v/>
      </c>
      <c r="AG1491" s="15" t="str">
        <f>IF(OR(AF1491="",AF1491="ERRO_CHAVE"),"",IFERROR(MATCH(AF1491,'quitado Despesa'!$V$1:$V$12,0),""))</f>
        <v/>
      </c>
      <c r="AH1491" s="15" t="str">
        <f t="shared" si="2"/>
        <v/>
      </c>
      <c r="AI1491" s="17" t="str">
        <f>IF(AG1491="","",INDEX('quitado Despesa'!$G$1:$G$12,AG1491))</f>
        <v/>
      </c>
      <c r="AJ1491" s="17" t="str">
        <f t="shared" si="3"/>
        <v/>
      </c>
    </row>
    <row r="1492" spans="31:36">
      <c r="AE1492" s="15" t="str">
        <f t="shared" si="0"/>
        <v/>
      </c>
      <c r="AF1492" s="15" t="str">
        <f t="shared" si="1"/>
        <v/>
      </c>
      <c r="AG1492" s="15" t="str">
        <f>IF(OR(AF1492="",AF1492="ERRO_CHAVE"),"",IFERROR(MATCH(AF1492,'quitado Despesa'!$V$1:$V$12,0),""))</f>
        <v/>
      </c>
      <c r="AH1492" s="15" t="str">
        <f t="shared" si="2"/>
        <v/>
      </c>
      <c r="AI1492" s="17" t="str">
        <f>IF(AG1492="","",INDEX('quitado Despesa'!$G$1:$G$12,AG1492))</f>
        <v/>
      </c>
      <c r="AJ1492" s="17" t="str">
        <f t="shared" si="3"/>
        <v/>
      </c>
    </row>
    <row r="1493" spans="31:36">
      <c r="AE1493" s="15" t="str">
        <f t="shared" si="0"/>
        <v/>
      </c>
      <c r="AF1493" s="15" t="str">
        <f t="shared" si="1"/>
        <v/>
      </c>
      <c r="AG1493" s="15" t="str">
        <f>IF(OR(AF1493="",AF1493="ERRO_CHAVE"),"",IFERROR(MATCH(AF1493,'quitado Despesa'!$V$1:$V$12,0),""))</f>
        <v/>
      </c>
      <c r="AH1493" s="15" t="str">
        <f t="shared" si="2"/>
        <v/>
      </c>
      <c r="AI1493" s="17" t="str">
        <f>IF(AG1493="","",INDEX('quitado Despesa'!$G$1:$G$12,AG1493))</f>
        <v/>
      </c>
      <c r="AJ1493" s="17" t="str">
        <f t="shared" si="3"/>
        <v/>
      </c>
    </row>
    <row r="1494" spans="31:36">
      <c r="AE1494" s="15" t="str">
        <f t="shared" si="0"/>
        <v/>
      </c>
      <c r="AF1494" s="15" t="str">
        <f t="shared" si="1"/>
        <v/>
      </c>
      <c r="AG1494" s="15" t="str">
        <f>IF(OR(AF1494="",AF1494="ERRO_CHAVE"),"",IFERROR(MATCH(AF1494,'quitado Despesa'!$V$1:$V$12,0),""))</f>
        <v/>
      </c>
      <c r="AH1494" s="15" t="str">
        <f t="shared" si="2"/>
        <v/>
      </c>
      <c r="AI1494" s="17" t="str">
        <f>IF(AG1494="","",INDEX('quitado Despesa'!$G$1:$G$12,AG1494))</f>
        <v/>
      </c>
      <c r="AJ1494" s="17" t="str">
        <f t="shared" si="3"/>
        <v/>
      </c>
    </row>
    <row r="1495" spans="31:36">
      <c r="AE1495" s="15" t="str">
        <f t="shared" si="0"/>
        <v/>
      </c>
      <c r="AF1495" s="15" t="str">
        <f t="shared" si="1"/>
        <v/>
      </c>
      <c r="AG1495" s="15" t="str">
        <f>IF(OR(AF1495="",AF1495="ERRO_CHAVE"),"",IFERROR(MATCH(AF1495,'quitado Despesa'!$V$1:$V$12,0),""))</f>
        <v/>
      </c>
      <c r="AH1495" s="15" t="str">
        <f t="shared" si="2"/>
        <v/>
      </c>
      <c r="AI1495" s="17" t="str">
        <f>IF(AG1495="","",INDEX('quitado Despesa'!$G$1:$G$12,AG1495))</f>
        <v/>
      </c>
      <c r="AJ1495" s="17" t="str">
        <f t="shared" si="3"/>
        <v/>
      </c>
    </row>
    <row r="1496" spans="31:36">
      <c r="AE1496" s="15" t="str">
        <f t="shared" si="0"/>
        <v/>
      </c>
      <c r="AF1496" s="15" t="str">
        <f t="shared" si="1"/>
        <v/>
      </c>
      <c r="AG1496" s="15" t="str">
        <f>IF(OR(AF1496="",AF1496="ERRO_CHAVE"),"",IFERROR(MATCH(AF1496,'quitado Despesa'!$V$1:$V$12,0),""))</f>
        <v/>
      </c>
      <c r="AH1496" s="15" t="str">
        <f t="shared" si="2"/>
        <v/>
      </c>
      <c r="AI1496" s="17" t="str">
        <f>IF(AG1496="","",INDEX('quitado Despesa'!$G$1:$G$12,AG1496))</f>
        <v/>
      </c>
      <c r="AJ1496" s="17" t="str">
        <f t="shared" si="3"/>
        <v/>
      </c>
    </row>
    <row r="1497" spans="31:36">
      <c r="AE1497" s="15" t="str">
        <f t="shared" si="0"/>
        <v/>
      </c>
      <c r="AF1497" s="15" t="str">
        <f t="shared" si="1"/>
        <v/>
      </c>
      <c r="AG1497" s="15" t="str">
        <f>IF(OR(AF1497="",AF1497="ERRO_CHAVE"),"",IFERROR(MATCH(AF1497,'quitado Despesa'!$V$1:$V$12,0),""))</f>
        <v/>
      </c>
      <c r="AH1497" s="15" t="str">
        <f t="shared" si="2"/>
        <v/>
      </c>
      <c r="AI1497" s="17" t="str">
        <f>IF(AG1497="","",INDEX('quitado Despesa'!$G$1:$G$12,AG1497))</f>
        <v/>
      </c>
      <c r="AJ1497" s="17" t="str">
        <f t="shared" si="3"/>
        <v/>
      </c>
    </row>
    <row r="1498" spans="31:36">
      <c r="AE1498" s="15" t="str">
        <f t="shared" si="0"/>
        <v/>
      </c>
      <c r="AF1498" s="15" t="str">
        <f t="shared" si="1"/>
        <v/>
      </c>
      <c r="AG1498" s="15" t="str">
        <f>IF(OR(AF1498="",AF1498="ERRO_CHAVE"),"",IFERROR(MATCH(AF1498,'quitado Despesa'!$V$1:$V$12,0),""))</f>
        <v/>
      </c>
      <c r="AH1498" s="15" t="str">
        <f t="shared" si="2"/>
        <v/>
      </c>
      <c r="AI1498" s="17" t="str">
        <f>IF(AG1498="","",INDEX('quitado Despesa'!$G$1:$G$12,AG1498))</f>
        <v/>
      </c>
      <c r="AJ1498" s="17" t="str">
        <f t="shared" si="3"/>
        <v/>
      </c>
    </row>
    <row r="1499" spans="31:36">
      <c r="AE1499" s="15" t="str">
        <f t="shared" si="0"/>
        <v/>
      </c>
      <c r="AF1499" s="15" t="str">
        <f t="shared" si="1"/>
        <v/>
      </c>
      <c r="AG1499" s="15" t="str">
        <f>IF(OR(AF1499="",AF1499="ERRO_CHAVE"),"",IFERROR(MATCH(AF1499,'quitado Despesa'!$V$1:$V$12,0),""))</f>
        <v/>
      </c>
      <c r="AH1499" s="15" t="str">
        <f t="shared" si="2"/>
        <v/>
      </c>
      <c r="AI1499" s="17" t="str">
        <f>IF(AG1499="","",INDEX('quitado Despesa'!$G$1:$G$12,AG1499))</f>
        <v/>
      </c>
      <c r="AJ1499" s="17" t="str">
        <f t="shared" si="3"/>
        <v/>
      </c>
    </row>
    <row r="1500" spans="31:36">
      <c r="AE1500" s="15" t="str">
        <f t="shared" si="0"/>
        <v/>
      </c>
      <c r="AF1500" s="15" t="str">
        <f t="shared" si="1"/>
        <v/>
      </c>
      <c r="AG1500" s="15" t="str">
        <f>IF(OR(AF1500="",AF1500="ERRO_CHAVE"),"",IFERROR(MATCH(AF1500,'quitado Despesa'!$V$1:$V$12,0),""))</f>
        <v/>
      </c>
      <c r="AH1500" s="15" t="str">
        <f t="shared" si="2"/>
        <v/>
      </c>
      <c r="AI1500" s="17" t="str">
        <f>IF(AG1500="","",INDEX('quitado Despesa'!$G$1:$G$12,AG1500))</f>
        <v/>
      </c>
      <c r="AJ1500" s="17" t="str">
        <f t="shared" si="3"/>
        <v/>
      </c>
    </row>
    <row r="1501" spans="31:36">
      <c r="AE1501" s="15" t="str">
        <f t="shared" si="0"/>
        <v/>
      </c>
      <c r="AF1501" s="15" t="str">
        <f t="shared" si="1"/>
        <v/>
      </c>
      <c r="AG1501" s="15" t="str">
        <f>IF(OR(AF1501="",AF1501="ERRO_CHAVE"),"",IFERROR(MATCH(AF1501,'quitado Despesa'!$V$1:$V$12,0),""))</f>
        <v/>
      </c>
      <c r="AH1501" s="15" t="str">
        <f t="shared" si="2"/>
        <v/>
      </c>
      <c r="AI1501" s="17" t="str">
        <f>IF(AG1501="","",INDEX('quitado Despesa'!$G$1:$G$12,AG1501))</f>
        <v/>
      </c>
      <c r="AJ1501" s="17" t="str">
        <f t="shared" si="3"/>
        <v/>
      </c>
    </row>
    <row r="1502" spans="31:36">
      <c r="AE1502" s="15" t="str">
        <f t="shared" si="0"/>
        <v/>
      </c>
      <c r="AF1502" s="15" t="str">
        <f t="shared" si="1"/>
        <v/>
      </c>
      <c r="AG1502" s="15" t="str">
        <f>IF(OR(AF1502="",AF1502="ERRO_CHAVE"),"",IFERROR(MATCH(AF1502,'quitado Despesa'!$V$1:$V$12,0),""))</f>
        <v/>
      </c>
      <c r="AH1502" s="15" t="str">
        <f t="shared" si="2"/>
        <v/>
      </c>
      <c r="AI1502" s="17" t="str">
        <f>IF(AG1502="","",INDEX('quitado Despesa'!$G$1:$G$12,AG1502))</f>
        <v/>
      </c>
      <c r="AJ1502" s="17" t="str">
        <f t="shared" si="3"/>
        <v/>
      </c>
    </row>
    <row r="1503" spans="31:36">
      <c r="AE1503" s="15" t="str">
        <f t="shared" si="0"/>
        <v/>
      </c>
      <c r="AF1503" s="15" t="str">
        <f t="shared" si="1"/>
        <v/>
      </c>
      <c r="AG1503" s="15" t="str">
        <f>IF(OR(AF1503="",AF1503="ERRO_CHAVE"),"",IFERROR(MATCH(AF1503,'quitado Despesa'!$V$1:$V$12,0),""))</f>
        <v/>
      </c>
      <c r="AH1503" s="15" t="str">
        <f t="shared" si="2"/>
        <v/>
      </c>
      <c r="AI1503" s="17" t="str">
        <f>IF(AG1503="","",INDEX('quitado Despesa'!$G$1:$G$12,AG1503))</f>
        <v/>
      </c>
      <c r="AJ1503" s="17" t="str">
        <f t="shared" si="3"/>
        <v/>
      </c>
    </row>
    <row r="1504" spans="31:36">
      <c r="AE1504" s="15" t="str">
        <f t="shared" si="0"/>
        <v/>
      </c>
      <c r="AF1504" s="15" t="str">
        <f t="shared" si="1"/>
        <v/>
      </c>
      <c r="AG1504" s="15" t="str">
        <f>IF(OR(AF1504="",AF1504="ERRO_CHAVE"),"",IFERROR(MATCH(AF1504,'quitado Despesa'!$V$1:$V$12,0),""))</f>
        <v/>
      </c>
      <c r="AH1504" s="15" t="str">
        <f t="shared" si="2"/>
        <v/>
      </c>
      <c r="AI1504" s="17" t="str">
        <f>IF(AG1504="","",INDEX('quitado Despesa'!$G$1:$G$12,AG1504))</f>
        <v/>
      </c>
      <c r="AJ1504" s="17" t="str">
        <f t="shared" si="3"/>
        <v/>
      </c>
    </row>
    <row r="1505" spans="31:36">
      <c r="AE1505" s="15" t="str">
        <f t="shared" si="0"/>
        <v/>
      </c>
      <c r="AF1505" s="15" t="str">
        <f t="shared" si="1"/>
        <v/>
      </c>
      <c r="AG1505" s="15" t="str">
        <f>IF(OR(AF1505="",AF1505="ERRO_CHAVE"),"",IFERROR(MATCH(AF1505,'quitado Despesa'!$V$1:$V$12,0),""))</f>
        <v/>
      </c>
      <c r="AH1505" s="15" t="str">
        <f t="shared" si="2"/>
        <v/>
      </c>
      <c r="AI1505" s="17" t="str">
        <f>IF(AG1505="","",INDEX('quitado Despesa'!$G$1:$G$12,AG1505))</f>
        <v/>
      </c>
      <c r="AJ1505" s="17" t="str">
        <f t="shared" si="3"/>
        <v/>
      </c>
    </row>
    <row r="1506" spans="31:36">
      <c r="AE1506" s="15" t="str">
        <f t="shared" si="0"/>
        <v/>
      </c>
      <c r="AF1506" s="15" t="str">
        <f t="shared" si="1"/>
        <v/>
      </c>
      <c r="AG1506" s="15" t="str">
        <f>IF(OR(AF1506="",AF1506="ERRO_CHAVE"),"",IFERROR(MATCH(AF1506,'quitado Despesa'!$V$1:$V$12,0),""))</f>
        <v/>
      </c>
      <c r="AH1506" s="15" t="str">
        <f t="shared" si="2"/>
        <v/>
      </c>
      <c r="AI1506" s="17" t="str">
        <f>IF(AG1506="","",INDEX('quitado Despesa'!$G$1:$G$12,AG1506))</f>
        <v/>
      </c>
      <c r="AJ1506" s="17" t="str">
        <f t="shared" si="3"/>
        <v/>
      </c>
    </row>
    <row r="1507" spans="31:36">
      <c r="AE1507" s="15" t="str">
        <f t="shared" si="0"/>
        <v/>
      </c>
      <c r="AF1507" s="15" t="str">
        <f t="shared" si="1"/>
        <v/>
      </c>
      <c r="AG1507" s="15" t="str">
        <f>IF(OR(AF1507="",AF1507="ERRO_CHAVE"),"",IFERROR(MATCH(AF1507,'quitado Despesa'!$V$1:$V$12,0),""))</f>
        <v/>
      </c>
      <c r="AH1507" s="15" t="str">
        <f t="shared" si="2"/>
        <v/>
      </c>
      <c r="AI1507" s="17" t="str">
        <f>IF(AG1507="","",INDEX('quitado Despesa'!$G$1:$G$12,AG1507))</f>
        <v/>
      </c>
      <c r="AJ1507" s="17" t="str">
        <f t="shared" si="3"/>
        <v/>
      </c>
    </row>
    <row r="1508" spans="31:36">
      <c r="AE1508" s="15" t="str">
        <f t="shared" si="0"/>
        <v/>
      </c>
      <c r="AF1508" s="15" t="str">
        <f t="shared" si="1"/>
        <v/>
      </c>
      <c r="AG1508" s="15" t="str">
        <f>IF(OR(AF1508="",AF1508="ERRO_CHAVE"),"",IFERROR(MATCH(AF1508,'quitado Despesa'!$V$1:$V$12,0),""))</f>
        <v/>
      </c>
      <c r="AH1508" s="15" t="str">
        <f t="shared" si="2"/>
        <v/>
      </c>
      <c r="AI1508" s="17" t="str">
        <f>IF(AG1508="","",INDEX('quitado Despesa'!$G$1:$G$12,AG1508))</f>
        <v/>
      </c>
      <c r="AJ1508" s="17" t="str">
        <f t="shared" si="3"/>
        <v/>
      </c>
    </row>
    <row r="1509" spans="31:36">
      <c r="AE1509" s="15" t="str">
        <f t="shared" si="0"/>
        <v/>
      </c>
      <c r="AF1509" s="15" t="str">
        <f t="shared" si="1"/>
        <v/>
      </c>
      <c r="AG1509" s="15" t="str">
        <f>IF(OR(AF1509="",AF1509="ERRO_CHAVE"),"",IFERROR(MATCH(AF1509,'quitado Despesa'!$V$1:$V$12,0),""))</f>
        <v/>
      </c>
      <c r="AH1509" s="15" t="str">
        <f t="shared" si="2"/>
        <v/>
      </c>
      <c r="AI1509" s="17" t="str">
        <f>IF(AG1509="","",INDEX('quitado Despesa'!$G$1:$G$12,AG1509))</f>
        <v/>
      </c>
      <c r="AJ1509" s="17" t="str">
        <f t="shared" si="3"/>
        <v/>
      </c>
    </row>
    <row r="1510" spans="31:36">
      <c r="AE1510" s="15" t="str">
        <f t="shared" si="0"/>
        <v/>
      </c>
      <c r="AF1510" s="15" t="str">
        <f t="shared" si="1"/>
        <v/>
      </c>
      <c r="AG1510" s="15" t="str">
        <f>IF(OR(AF1510="",AF1510="ERRO_CHAVE"),"",IFERROR(MATCH(AF1510,'quitado Despesa'!$V$1:$V$12,0),""))</f>
        <v/>
      </c>
      <c r="AH1510" s="15" t="str">
        <f t="shared" si="2"/>
        <v/>
      </c>
      <c r="AI1510" s="17" t="str">
        <f>IF(AG1510="","",INDEX('quitado Despesa'!$G$1:$G$12,AG1510))</f>
        <v/>
      </c>
      <c r="AJ1510" s="17" t="str">
        <f t="shared" si="3"/>
        <v/>
      </c>
    </row>
    <row r="1511" spans="31:36">
      <c r="AE1511" s="15" t="str">
        <f t="shared" si="0"/>
        <v/>
      </c>
      <c r="AF1511" s="15" t="str">
        <f t="shared" si="1"/>
        <v/>
      </c>
      <c r="AG1511" s="15" t="str">
        <f>IF(OR(AF1511="",AF1511="ERRO_CHAVE"),"",IFERROR(MATCH(AF1511,'quitado Despesa'!$V$1:$V$12,0),""))</f>
        <v/>
      </c>
      <c r="AH1511" s="15" t="str">
        <f t="shared" si="2"/>
        <v/>
      </c>
      <c r="AI1511" s="17" t="str">
        <f>IF(AG1511="","",INDEX('quitado Despesa'!$G$1:$G$12,AG1511))</f>
        <v/>
      </c>
      <c r="AJ1511" s="17" t="str">
        <f t="shared" si="3"/>
        <v/>
      </c>
    </row>
    <row r="1512" spans="31:36">
      <c r="AE1512" s="15" t="str">
        <f t="shared" si="0"/>
        <v/>
      </c>
      <c r="AF1512" s="15" t="str">
        <f t="shared" si="1"/>
        <v/>
      </c>
      <c r="AG1512" s="15" t="str">
        <f>IF(OR(AF1512="",AF1512="ERRO_CHAVE"),"",IFERROR(MATCH(AF1512,'quitado Despesa'!$V$1:$V$12,0),""))</f>
        <v/>
      </c>
      <c r="AH1512" s="15" t="str">
        <f t="shared" si="2"/>
        <v/>
      </c>
      <c r="AI1512" s="17" t="str">
        <f>IF(AG1512="","",INDEX('quitado Despesa'!$G$1:$G$12,AG1512))</f>
        <v/>
      </c>
      <c r="AJ1512" s="17" t="str">
        <f t="shared" si="3"/>
        <v/>
      </c>
    </row>
    <row r="1513" spans="31:36">
      <c r="AE1513" s="15" t="str">
        <f t="shared" si="0"/>
        <v/>
      </c>
      <c r="AF1513" s="15" t="str">
        <f t="shared" si="1"/>
        <v/>
      </c>
      <c r="AG1513" s="15" t="str">
        <f>IF(OR(AF1513="",AF1513="ERRO_CHAVE"),"",IFERROR(MATCH(AF1513,'quitado Despesa'!$V$1:$V$12,0),""))</f>
        <v/>
      </c>
      <c r="AH1513" s="15" t="str">
        <f t="shared" si="2"/>
        <v/>
      </c>
      <c r="AI1513" s="17" t="str">
        <f>IF(AG1513="","",INDEX('quitado Despesa'!$G$1:$G$12,AG1513))</f>
        <v/>
      </c>
      <c r="AJ1513" s="17" t="str">
        <f t="shared" si="3"/>
        <v/>
      </c>
    </row>
    <row r="1514" spans="31:36">
      <c r="AE1514" s="15" t="str">
        <f t="shared" si="0"/>
        <v/>
      </c>
      <c r="AF1514" s="15" t="str">
        <f t="shared" si="1"/>
        <v/>
      </c>
      <c r="AG1514" s="15" t="str">
        <f>IF(OR(AF1514="",AF1514="ERRO_CHAVE"),"",IFERROR(MATCH(AF1514,'quitado Despesa'!$V$1:$V$12,0),""))</f>
        <v/>
      </c>
      <c r="AH1514" s="15" t="str">
        <f t="shared" si="2"/>
        <v/>
      </c>
      <c r="AI1514" s="17" t="str">
        <f>IF(AG1514="","",INDEX('quitado Despesa'!$G$1:$G$12,AG1514))</f>
        <v/>
      </c>
      <c r="AJ1514" s="17" t="str">
        <f t="shared" si="3"/>
        <v/>
      </c>
    </row>
    <row r="1515" spans="31:36">
      <c r="AE1515" s="15" t="str">
        <f t="shared" si="0"/>
        <v/>
      </c>
      <c r="AF1515" s="15" t="str">
        <f t="shared" si="1"/>
        <v/>
      </c>
      <c r="AG1515" s="15" t="str">
        <f>IF(OR(AF1515="",AF1515="ERRO_CHAVE"),"",IFERROR(MATCH(AF1515,'quitado Despesa'!$V$1:$V$12,0),""))</f>
        <v/>
      </c>
      <c r="AH1515" s="15" t="str">
        <f t="shared" si="2"/>
        <v/>
      </c>
      <c r="AI1515" s="17" t="str">
        <f>IF(AG1515="","",INDEX('quitado Despesa'!$G$1:$G$12,AG1515))</f>
        <v/>
      </c>
      <c r="AJ1515" s="17" t="str">
        <f t="shared" si="3"/>
        <v/>
      </c>
    </row>
    <row r="1516" spans="31:36">
      <c r="AE1516" s="15" t="str">
        <f t="shared" si="0"/>
        <v/>
      </c>
      <c r="AF1516" s="15" t="str">
        <f t="shared" si="1"/>
        <v/>
      </c>
      <c r="AG1516" s="15" t="str">
        <f>IF(OR(AF1516="",AF1516="ERRO_CHAVE"),"",IFERROR(MATCH(AF1516,'quitado Despesa'!$V$1:$V$12,0),""))</f>
        <v/>
      </c>
      <c r="AH1516" s="15" t="str">
        <f t="shared" si="2"/>
        <v/>
      </c>
      <c r="AI1516" s="17" t="str">
        <f>IF(AG1516="","",INDEX('quitado Despesa'!$G$1:$G$12,AG1516))</f>
        <v/>
      </c>
      <c r="AJ1516" s="17" t="str">
        <f t="shared" si="3"/>
        <v/>
      </c>
    </row>
    <row r="1517" spans="31:36">
      <c r="AE1517" s="15" t="str">
        <f t="shared" si="0"/>
        <v/>
      </c>
      <c r="AF1517" s="15" t="str">
        <f t="shared" si="1"/>
        <v/>
      </c>
      <c r="AG1517" s="15" t="str">
        <f>IF(OR(AF1517="",AF1517="ERRO_CHAVE"),"",IFERROR(MATCH(AF1517,'quitado Despesa'!$V$1:$V$12,0),""))</f>
        <v/>
      </c>
      <c r="AH1517" s="15" t="str">
        <f t="shared" si="2"/>
        <v/>
      </c>
      <c r="AI1517" s="17" t="str">
        <f>IF(AG1517="","",INDEX('quitado Despesa'!$G$1:$G$12,AG1517))</f>
        <v/>
      </c>
      <c r="AJ1517" s="17" t="str">
        <f t="shared" si="3"/>
        <v/>
      </c>
    </row>
    <row r="1518" spans="31:36">
      <c r="AE1518" s="15" t="str">
        <f t="shared" si="0"/>
        <v/>
      </c>
      <c r="AF1518" s="15" t="str">
        <f t="shared" si="1"/>
        <v/>
      </c>
      <c r="AG1518" s="15" t="str">
        <f>IF(OR(AF1518="",AF1518="ERRO_CHAVE"),"",IFERROR(MATCH(AF1518,'quitado Despesa'!$V$1:$V$12,0),""))</f>
        <v/>
      </c>
      <c r="AH1518" s="15" t="str">
        <f t="shared" si="2"/>
        <v/>
      </c>
      <c r="AI1518" s="17" t="str">
        <f>IF(AG1518="","",INDEX('quitado Despesa'!$G$1:$G$12,AG1518))</f>
        <v/>
      </c>
      <c r="AJ1518" s="17" t="str">
        <f t="shared" si="3"/>
        <v/>
      </c>
    </row>
    <row r="1519" spans="31:36">
      <c r="AE1519" s="15" t="str">
        <f t="shared" si="0"/>
        <v/>
      </c>
      <c r="AF1519" s="15" t="str">
        <f t="shared" si="1"/>
        <v/>
      </c>
      <c r="AG1519" s="15" t="str">
        <f>IF(OR(AF1519="",AF1519="ERRO_CHAVE"),"",IFERROR(MATCH(AF1519,'quitado Despesa'!$V$1:$V$12,0),""))</f>
        <v/>
      </c>
      <c r="AH1519" s="15" t="str">
        <f t="shared" si="2"/>
        <v/>
      </c>
      <c r="AI1519" s="17" t="str">
        <f>IF(AG1519="","",INDEX('quitado Despesa'!$G$1:$G$12,AG1519))</f>
        <v/>
      </c>
      <c r="AJ1519" s="17" t="str">
        <f t="shared" si="3"/>
        <v/>
      </c>
    </row>
    <row r="1520" spans="31:36">
      <c r="AE1520" s="15" t="str">
        <f t="shared" si="0"/>
        <v/>
      </c>
      <c r="AF1520" s="15" t="str">
        <f t="shared" si="1"/>
        <v/>
      </c>
      <c r="AG1520" s="15" t="str">
        <f>IF(OR(AF1520="",AF1520="ERRO_CHAVE"),"",IFERROR(MATCH(AF1520,'quitado Despesa'!$V$1:$V$12,0),""))</f>
        <v/>
      </c>
      <c r="AH1520" s="15" t="str">
        <f t="shared" si="2"/>
        <v/>
      </c>
      <c r="AI1520" s="17" t="str">
        <f>IF(AG1520="","",INDEX('quitado Despesa'!$G$1:$G$12,AG1520))</f>
        <v/>
      </c>
      <c r="AJ1520" s="17" t="str">
        <f t="shared" si="3"/>
        <v/>
      </c>
    </row>
    <row r="1521" spans="31:36">
      <c r="AE1521" s="15" t="str">
        <f t="shared" si="0"/>
        <v/>
      </c>
      <c r="AF1521" s="15" t="str">
        <f t="shared" si="1"/>
        <v/>
      </c>
      <c r="AG1521" s="15" t="str">
        <f>IF(OR(AF1521="",AF1521="ERRO_CHAVE"),"",IFERROR(MATCH(AF1521,'quitado Despesa'!$V$1:$V$12,0),""))</f>
        <v/>
      </c>
      <c r="AH1521" s="15" t="str">
        <f t="shared" si="2"/>
        <v/>
      </c>
      <c r="AI1521" s="17" t="str">
        <f>IF(AG1521="","",INDEX('quitado Despesa'!$G$1:$G$12,AG1521))</f>
        <v/>
      </c>
      <c r="AJ1521" s="17" t="str">
        <f t="shared" si="3"/>
        <v/>
      </c>
    </row>
    <row r="1522" spans="31:36">
      <c r="AE1522" s="15" t="str">
        <f t="shared" si="0"/>
        <v/>
      </c>
      <c r="AF1522" s="15" t="str">
        <f t="shared" si="1"/>
        <v/>
      </c>
      <c r="AG1522" s="15" t="str">
        <f>IF(OR(AF1522="",AF1522="ERRO_CHAVE"),"",IFERROR(MATCH(AF1522,'quitado Despesa'!$V$1:$V$12,0),""))</f>
        <v/>
      </c>
      <c r="AH1522" s="15" t="str">
        <f t="shared" si="2"/>
        <v/>
      </c>
      <c r="AI1522" s="17" t="str">
        <f>IF(AG1522="","",INDEX('quitado Despesa'!$G$1:$G$12,AG1522))</f>
        <v/>
      </c>
      <c r="AJ1522" s="17" t="str">
        <f t="shared" si="3"/>
        <v/>
      </c>
    </row>
    <row r="1523" spans="31:36">
      <c r="AE1523" s="15" t="str">
        <f t="shared" si="0"/>
        <v/>
      </c>
      <c r="AF1523" s="15" t="str">
        <f t="shared" si="1"/>
        <v/>
      </c>
      <c r="AG1523" s="15" t="str">
        <f>IF(OR(AF1523="",AF1523="ERRO_CHAVE"),"",IFERROR(MATCH(AF1523,'quitado Despesa'!$V$1:$V$12,0),""))</f>
        <v/>
      </c>
      <c r="AH1523" s="15" t="str">
        <f t="shared" si="2"/>
        <v/>
      </c>
      <c r="AI1523" s="17" t="str">
        <f>IF(AG1523="","",INDEX('quitado Despesa'!$G$1:$G$12,AG1523))</f>
        <v/>
      </c>
      <c r="AJ1523" s="17" t="str">
        <f t="shared" si="3"/>
        <v/>
      </c>
    </row>
    <row r="1524" spans="31:36">
      <c r="AE1524" s="15" t="str">
        <f t="shared" si="0"/>
        <v/>
      </c>
      <c r="AF1524" s="15" t="str">
        <f t="shared" si="1"/>
        <v/>
      </c>
      <c r="AG1524" s="15" t="str">
        <f>IF(OR(AF1524="",AF1524="ERRO_CHAVE"),"",IFERROR(MATCH(AF1524,'quitado Despesa'!$V$1:$V$12,0),""))</f>
        <v/>
      </c>
      <c r="AH1524" s="15" t="str">
        <f t="shared" si="2"/>
        <v/>
      </c>
      <c r="AI1524" s="17" t="str">
        <f>IF(AG1524="","",INDEX('quitado Despesa'!$G$1:$G$12,AG1524))</f>
        <v/>
      </c>
      <c r="AJ1524" s="17" t="str">
        <f t="shared" si="3"/>
        <v/>
      </c>
    </row>
    <row r="1525" spans="31:36">
      <c r="AE1525" s="15" t="str">
        <f t="shared" si="0"/>
        <v/>
      </c>
      <c r="AF1525" s="15" t="str">
        <f t="shared" si="1"/>
        <v/>
      </c>
      <c r="AG1525" s="15" t="str">
        <f>IF(OR(AF1525="",AF1525="ERRO_CHAVE"),"",IFERROR(MATCH(AF1525,'quitado Despesa'!$V$1:$V$12,0),""))</f>
        <v/>
      </c>
      <c r="AH1525" s="15" t="str">
        <f t="shared" si="2"/>
        <v/>
      </c>
      <c r="AI1525" s="17" t="str">
        <f>IF(AG1525="","",INDEX('quitado Despesa'!$G$1:$G$12,AG1525))</f>
        <v/>
      </c>
      <c r="AJ1525" s="17" t="str">
        <f t="shared" si="3"/>
        <v/>
      </c>
    </row>
    <row r="1526" spans="31:36">
      <c r="AE1526" s="15" t="str">
        <f t="shared" si="0"/>
        <v/>
      </c>
      <c r="AF1526" s="15" t="str">
        <f t="shared" si="1"/>
        <v/>
      </c>
      <c r="AG1526" s="15" t="str">
        <f>IF(OR(AF1526="",AF1526="ERRO_CHAVE"),"",IFERROR(MATCH(AF1526,'quitado Despesa'!$V$1:$V$12,0),""))</f>
        <v/>
      </c>
      <c r="AH1526" s="15" t="str">
        <f t="shared" si="2"/>
        <v/>
      </c>
      <c r="AI1526" s="17" t="str">
        <f>IF(AG1526="","",INDEX('quitado Despesa'!$G$1:$G$12,AG1526))</f>
        <v/>
      </c>
      <c r="AJ1526" s="17" t="str">
        <f t="shared" si="3"/>
        <v/>
      </c>
    </row>
    <row r="1527" spans="31:36">
      <c r="AE1527" s="15" t="str">
        <f t="shared" si="0"/>
        <v/>
      </c>
      <c r="AF1527" s="15" t="str">
        <f t="shared" si="1"/>
        <v/>
      </c>
      <c r="AG1527" s="15" t="str">
        <f>IF(OR(AF1527="",AF1527="ERRO_CHAVE"),"",IFERROR(MATCH(AF1527,'quitado Despesa'!$V$1:$V$12,0),""))</f>
        <v/>
      </c>
      <c r="AH1527" s="15" t="str">
        <f t="shared" si="2"/>
        <v/>
      </c>
      <c r="AI1527" s="17" t="str">
        <f>IF(AG1527="","",INDEX('quitado Despesa'!$G$1:$G$12,AG1527))</f>
        <v/>
      </c>
      <c r="AJ1527" s="17" t="str">
        <f t="shared" si="3"/>
        <v/>
      </c>
    </row>
    <row r="1528" spans="31:36">
      <c r="AE1528" s="15" t="str">
        <f t="shared" si="0"/>
        <v/>
      </c>
      <c r="AF1528" s="15" t="str">
        <f t="shared" si="1"/>
        <v/>
      </c>
      <c r="AG1528" s="15" t="str">
        <f>IF(OR(AF1528="",AF1528="ERRO_CHAVE"),"",IFERROR(MATCH(AF1528,'quitado Despesa'!$V$1:$V$12,0),""))</f>
        <v/>
      </c>
      <c r="AH1528" s="15" t="str">
        <f t="shared" si="2"/>
        <v/>
      </c>
      <c r="AI1528" s="17" t="str">
        <f>IF(AG1528="","",INDEX('quitado Despesa'!$G$1:$G$12,AG1528))</f>
        <v/>
      </c>
      <c r="AJ1528" s="17" t="str">
        <f t="shared" si="3"/>
        <v/>
      </c>
    </row>
    <row r="1529" spans="31:36">
      <c r="AE1529" s="15" t="str">
        <f t="shared" si="0"/>
        <v/>
      </c>
      <c r="AF1529" s="15" t="str">
        <f t="shared" si="1"/>
        <v/>
      </c>
      <c r="AG1529" s="15" t="str">
        <f>IF(OR(AF1529="",AF1529="ERRO_CHAVE"),"",IFERROR(MATCH(AF1529,'quitado Despesa'!$V$1:$V$12,0),""))</f>
        <v/>
      </c>
      <c r="AH1529" s="15" t="str">
        <f t="shared" si="2"/>
        <v/>
      </c>
      <c r="AI1529" s="17" t="str">
        <f>IF(AG1529="","",INDEX('quitado Despesa'!$G$1:$G$12,AG1529))</f>
        <v/>
      </c>
      <c r="AJ1529" s="17" t="str">
        <f t="shared" si="3"/>
        <v/>
      </c>
    </row>
    <row r="1530" spans="31:36">
      <c r="AE1530" s="15" t="str">
        <f t="shared" si="0"/>
        <v/>
      </c>
      <c r="AF1530" s="15" t="str">
        <f t="shared" si="1"/>
        <v/>
      </c>
      <c r="AG1530" s="15" t="str">
        <f>IF(OR(AF1530="",AF1530="ERRO_CHAVE"),"",IFERROR(MATCH(AF1530,'quitado Despesa'!$V$1:$V$12,0),""))</f>
        <v/>
      </c>
      <c r="AH1530" s="15" t="str">
        <f t="shared" si="2"/>
        <v/>
      </c>
      <c r="AI1530" s="17" t="str">
        <f>IF(AG1530="","",INDEX('quitado Despesa'!$G$1:$G$12,AG1530))</f>
        <v/>
      </c>
      <c r="AJ1530" s="17" t="str">
        <f t="shared" si="3"/>
        <v/>
      </c>
    </row>
    <row r="1531" spans="31:36">
      <c r="AE1531" s="15" t="str">
        <f t="shared" si="0"/>
        <v/>
      </c>
      <c r="AF1531" s="15" t="str">
        <f t="shared" si="1"/>
        <v/>
      </c>
      <c r="AG1531" s="15" t="str">
        <f>IF(OR(AF1531="",AF1531="ERRO_CHAVE"),"",IFERROR(MATCH(AF1531,'quitado Despesa'!$V$1:$V$12,0),""))</f>
        <v/>
      </c>
      <c r="AH1531" s="15" t="str">
        <f t="shared" si="2"/>
        <v/>
      </c>
      <c r="AI1531" s="17" t="str">
        <f>IF(AG1531="","",INDEX('quitado Despesa'!$G$1:$G$12,AG1531))</f>
        <v/>
      </c>
      <c r="AJ1531" s="17" t="str">
        <f t="shared" si="3"/>
        <v/>
      </c>
    </row>
    <row r="1532" spans="31:36">
      <c r="AE1532" s="15" t="str">
        <f t="shared" si="0"/>
        <v/>
      </c>
      <c r="AF1532" s="15" t="str">
        <f t="shared" si="1"/>
        <v/>
      </c>
      <c r="AG1532" s="15" t="str">
        <f>IF(OR(AF1532="",AF1532="ERRO_CHAVE"),"",IFERROR(MATCH(AF1532,'quitado Despesa'!$V$1:$V$12,0),""))</f>
        <v/>
      </c>
      <c r="AH1532" s="15" t="str">
        <f t="shared" si="2"/>
        <v/>
      </c>
      <c r="AI1532" s="17" t="str">
        <f>IF(AG1532="","",INDEX('quitado Despesa'!$G$1:$G$12,AG1532))</f>
        <v/>
      </c>
      <c r="AJ1532" s="17" t="str">
        <f t="shared" si="3"/>
        <v/>
      </c>
    </row>
    <row r="1533" spans="31:36">
      <c r="AE1533" s="15" t="str">
        <f t="shared" si="0"/>
        <v/>
      </c>
      <c r="AF1533" s="15" t="str">
        <f t="shared" si="1"/>
        <v/>
      </c>
      <c r="AG1533" s="15" t="str">
        <f>IF(OR(AF1533="",AF1533="ERRO_CHAVE"),"",IFERROR(MATCH(AF1533,'quitado Despesa'!$V$1:$V$12,0),""))</f>
        <v/>
      </c>
      <c r="AH1533" s="15" t="str">
        <f t="shared" si="2"/>
        <v/>
      </c>
      <c r="AI1533" s="17" t="str">
        <f>IF(AG1533="","",INDEX('quitado Despesa'!$G$1:$G$12,AG1533))</f>
        <v/>
      </c>
      <c r="AJ1533" s="17" t="str">
        <f t="shared" si="3"/>
        <v/>
      </c>
    </row>
    <row r="1534" spans="31:36">
      <c r="AE1534" s="15" t="str">
        <f t="shared" si="0"/>
        <v/>
      </c>
      <c r="AF1534" s="15" t="str">
        <f t="shared" si="1"/>
        <v/>
      </c>
      <c r="AG1534" s="15" t="str">
        <f>IF(OR(AF1534="",AF1534="ERRO_CHAVE"),"",IFERROR(MATCH(AF1534,'quitado Despesa'!$V$1:$V$12,0),""))</f>
        <v/>
      </c>
      <c r="AH1534" s="15" t="str">
        <f t="shared" si="2"/>
        <v/>
      </c>
      <c r="AI1534" s="17" t="str">
        <f>IF(AG1534="","",INDEX('quitado Despesa'!$G$1:$G$12,AG1534))</f>
        <v/>
      </c>
      <c r="AJ1534" s="17" t="str">
        <f t="shared" si="3"/>
        <v/>
      </c>
    </row>
    <row r="1535" spans="31:36">
      <c r="AE1535" s="15" t="str">
        <f t="shared" si="0"/>
        <v/>
      </c>
      <c r="AF1535" s="15" t="str">
        <f t="shared" si="1"/>
        <v/>
      </c>
      <c r="AG1535" s="15" t="str">
        <f>IF(OR(AF1535="",AF1535="ERRO_CHAVE"),"",IFERROR(MATCH(AF1535,'quitado Despesa'!$V$1:$V$12,0),""))</f>
        <v/>
      </c>
      <c r="AH1535" s="15" t="str">
        <f t="shared" si="2"/>
        <v/>
      </c>
      <c r="AI1535" s="17" t="str">
        <f>IF(AG1535="","",INDEX('quitado Despesa'!$G$1:$G$12,AG1535))</f>
        <v/>
      </c>
      <c r="AJ1535" s="17" t="str">
        <f t="shared" si="3"/>
        <v/>
      </c>
    </row>
    <row r="1536" spans="31:36">
      <c r="AE1536" s="15" t="str">
        <f t="shared" si="0"/>
        <v/>
      </c>
      <c r="AF1536" s="15" t="str">
        <f t="shared" si="1"/>
        <v/>
      </c>
      <c r="AG1536" s="15" t="str">
        <f>IF(OR(AF1536="",AF1536="ERRO_CHAVE"),"",IFERROR(MATCH(AF1536,'quitado Despesa'!$V$1:$V$12,0),""))</f>
        <v/>
      </c>
      <c r="AH1536" s="15" t="str">
        <f t="shared" si="2"/>
        <v/>
      </c>
      <c r="AI1536" s="17" t="str">
        <f>IF(AG1536="","",INDEX('quitado Despesa'!$G$1:$G$12,AG1536))</f>
        <v/>
      </c>
      <c r="AJ1536" s="17" t="str">
        <f t="shared" si="3"/>
        <v/>
      </c>
    </row>
    <row r="1537" spans="31:36">
      <c r="AE1537" s="15" t="str">
        <f t="shared" si="0"/>
        <v/>
      </c>
      <c r="AF1537" s="15" t="str">
        <f t="shared" si="1"/>
        <v/>
      </c>
      <c r="AG1537" s="15" t="str">
        <f>IF(OR(AF1537="",AF1537="ERRO_CHAVE"),"",IFERROR(MATCH(AF1537,'quitado Despesa'!$V$1:$V$12,0),""))</f>
        <v/>
      </c>
      <c r="AH1537" s="15" t="str">
        <f t="shared" si="2"/>
        <v/>
      </c>
      <c r="AI1537" s="17" t="str">
        <f>IF(AG1537="","",INDEX('quitado Despesa'!$G$1:$G$12,AG1537))</f>
        <v/>
      </c>
      <c r="AJ1537" s="17" t="str">
        <f t="shared" si="3"/>
        <v/>
      </c>
    </row>
    <row r="1538" spans="31:36">
      <c r="AE1538" s="15" t="str">
        <f t="shared" si="0"/>
        <v/>
      </c>
      <c r="AF1538" s="15" t="str">
        <f t="shared" si="1"/>
        <v/>
      </c>
      <c r="AG1538" s="15" t="str">
        <f>IF(OR(AF1538="",AF1538="ERRO_CHAVE"),"",IFERROR(MATCH(AF1538,'quitado Despesa'!$V$1:$V$12,0),""))</f>
        <v/>
      </c>
      <c r="AH1538" s="15" t="str">
        <f t="shared" si="2"/>
        <v/>
      </c>
      <c r="AI1538" s="17" t="str">
        <f>IF(AG1538="","",INDEX('quitado Despesa'!$G$1:$G$12,AG1538))</f>
        <v/>
      </c>
      <c r="AJ1538" s="17" t="str">
        <f t="shared" si="3"/>
        <v/>
      </c>
    </row>
    <row r="1539" spans="31:36">
      <c r="AE1539" s="15" t="str">
        <f t="shared" si="0"/>
        <v/>
      </c>
      <c r="AF1539" s="15" t="str">
        <f t="shared" si="1"/>
        <v/>
      </c>
      <c r="AG1539" s="15" t="str">
        <f>IF(OR(AF1539="",AF1539="ERRO_CHAVE"),"",IFERROR(MATCH(AF1539,'quitado Despesa'!$V$1:$V$12,0),""))</f>
        <v/>
      </c>
      <c r="AH1539" s="15" t="str">
        <f t="shared" si="2"/>
        <v/>
      </c>
      <c r="AI1539" s="17" t="str">
        <f>IF(AG1539="","",INDEX('quitado Despesa'!$G$1:$G$12,AG1539))</f>
        <v/>
      </c>
      <c r="AJ1539" s="17" t="str">
        <f t="shared" si="3"/>
        <v/>
      </c>
    </row>
    <row r="1540" spans="31:36">
      <c r="AE1540" s="15" t="str">
        <f t="shared" si="0"/>
        <v/>
      </c>
      <c r="AF1540" s="15" t="str">
        <f t="shared" si="1"/>
        <v/>
      </c>
      <c r="AG1540" s="15" t="str">
        <f>IF(OR(AF1540="",AF1540="ERRO_CHAVE"),"",IFERROR(MATCH(AF1540,'quitado Despesa'!$V$1:$V$12,0),""))</f>
        <v/>
      </c>
      <c r="AH1540" s="15" t="str">
        <f t="shared" si="2"/>
        <v/>
      </c>
      <c r="AI1540" s="17" t="str">
        <f>IF(AG1540="","",INDEX('quitado Despesa'!$G$1:$G$12,AG1540))</f>
        <v/>
      </c>
      <c r="AJ1540" s="17" t="str">
        <f t="shared" si="3"/>
        <v/>
      </c>
    </row>
    <row r="1541" spans="31:36">
      <c r="AE1541" s="15" t="str">
        <f t="shared" si="0"/>
        <v/>
      </c>
      <c r="AF1541" s="15" t="str">
        <f t="shared" si="1"/>
        <v/>
      </c>
      <c r="AG1541" s="15" t="str">
        <f>IF(OR(AF1541="",AF1541="ERRO_CHAVE"),"",IFERROR(MATCH(AF1541,'quitado Despesa'!$V$1:$V$12,0),""))</f>
        <v/>
      </c>
      <c r="AH1541" s="15" t="str">
        <f t="shared" si="2"/>
        <v/>
      </c>
      <c r="AI1541" s="17" t="str">
        <f>IF(AG1541="","",INDEX('quitado Despesa'!$G$1:$G$12,AG1541))</f>
        <v/>
      </c>
      <c r="AJ1541" s="17" t="str">
        <f t="shared" si="3"/>
        <v/>
      </c>
    </row>
    <row r="1542" spans="31:36">
      <c r="AE1542" s="15" t="str">
        <f t="shared" si="0"/>
        <v/>
      </c>
      <c r="AF1542" s="15" t="str">
        <f t="shared" si="1"/>
        <v/>
      </c>
      <c r="AG1542" s="15" t="str">
        <f>IF(OR(AF1542="",AF1542="ERRO_CHAVE"),"",IFERROR(MATCH(AF1542,'quitado Despesa'!$V$1:$V$12,0),""))</f>
        <v/>
      </c>
      <c r="AH1542" s="15" t="str">
        <f t="shared" si="2"/>
        <v/>
      </c>
      <c r="AI1542" s="17" t="str">
        <f>IF(AG1542="","",INDEX('quitado Despesa'!$G$1:$G$12,AG1542))</f>
        <v/>
      </c>
      <c r="AJ1542" s="17" t="str">
        <f t="shared" si="3"/>
        <v/>
      </c>
    </row>
    <row r="1543" spans="31:36">
      <c r="AE1543" s="15" t="str">
        <f t="shared" si="0"/>
        <v/>
      </c>
      <c r="AF1543" s="15" t="str">
        <f t="shared" si="1"/>
        <v/>
      </c>
      <c r="AG1543" s="15" t="str">
        <f>IF(OR(AF1543="",AF1543="ERRO_CHAVE"),"",IFERROR(MATCH(AF1543,'quitado Despesa'!$V$1:$V$12,0),""))</f>
        <v/>
      </c>
      <c r="AH1543" s="15" t="str">
        <f t="shared" si="2"/>
        <v/>
      </c>
      <c r="AI1543" s="17" t="str">
        <f>IF(AG1543="","",INDEX('quitado Despesa'!$G$1:$G$12,AG1543))</f>
        <v/>
      </c>
      <c r="AJ1543" s="17" t="str">
        <f t="shared" si="3"/>
        <v/>
      </c>
    </row>
    <row r="1544" spans="31:36">
      <c r="AE1544" s="15" t="str">
        <f t="shared" si="0"/>
        <v/>
      </c>
      <c r="AF1544" s="15" t="str">
        <f t="shared" si="1"/>
        <v/>
      </c>
      <c r="AG1544" s="15" t="str">
        <f>IF(OR(AF1544="",AF1544="ERRO_CHAVE"),"",IFERROR(MATCH(AF1544,'quitado Despesa'!$V$1:$V$12,0),""))</f>
        <v/>
      </c>
      <c r="AH1544" s="15" t="str">
        <f t="shared" si="2"/>
        <v/>
      </c>
      <c r="AI1544" s="17" t="str">
        <f>IF(AG1544="","",INDEX('quitado Despesa'!$G$1:$G$12,AG1544))</f>
        <v/>
      </c>
      <c r="AJ1544" s="17" t="str">
        <f t="shared" si="3"/>
        <v/>
      </c>
    </row>
    <row r="1545" spans="31:36">
      <c r="AE1545" s="15" t="str">
        <f t="shared" si="0"/>
        <v/>
      </c>
      <c r="AF1545" s="15" t="str">
        <f t="shared" si="1"/>
        <v/>
      </c>
      <c r="AG1545" s="15" t="str">
        <f>IF(OR(AF1545="",AF1545="ERRO_CHAVE"),"",IFERROR(MATCH(AF1545,'quitado Despesa'!$V$1:$V$12,0),""))</f>
        <v/>
      </c>
      <c r="AH1545" s="15" t="str">
        <f t="shared" si="2"/>
        <v/>
      </c>
      <c r="AI1545" s="17" t="str">
        <f>IF(AG1545="","",INDEX('quitado Despesa'!$G$1:$G$12,AG1545))</f>
        <v/>
      </c>
      <c r="AJ1545" s="17" t="str">
        <f t="shared" si="3"/>
        <v/>
      </c>
    </row>
    <row r="1546" spans="31:36">
      <c r="AE1546" s="15" t="str">
        <f t="shared" si="0"/>
        <v/>
      </c>
      <c r="AF1546" s="15" t="str">
        <f t="shared" si="1"/>
        <v/>
      </c>
      <c r="AG1546" s="15" t="str">
        <f>IF(OR(AF1546="",AF1546="ERRO_CHAVE"),"",IFERROR(MATCH(AF1546,'quitado Despesa'!$V$1:$V$12,0),""))</f>
        <v/>
      </c>
      <c r="AH1546" s="15" t="str">
        <f t="shared" si="2"/>
        <v/>
      </c>
      <c r="AI1546" s="17" t="str">
        <f>IF(AG1546="","",INDEX('quitado Despesa'!$G$1:$G$12,AG1546))</f>
        <v/>
      </c>
      <c r="AJ1546" s="17" t="str">
        <f t="shared" si="3"/>
        <v/>
      </c>
    </row>
    <row r="1547" spans="31:36">
      <c r="AE1547" s="15" t="str">
        <f t="shared" si="0"/>
        <v/>
      </c>
      <c r="AF1547" s="15" t="str">
        <f t="shared" si="1"/>
        <v/>
      </c>
      <c r="AG1547" s="15" t="str">
        <f>IF(OR(AF1547="",AF1547="ERRO_CHAVE"),"",IFERROR(MATCH(AF1547,'quitado Despesa'!$V$1:$V$12,0),""))</f>
        <v/>
      </c>
      <c r="AH1547" s="15" t="str">
        <f t="shared" si="2"/>
        <v/>
      </c>
      <c r="AI1547" s="17" t="str">
        <f>IF(AG1547="","",INDEX('quitado Despesa'!$G$1:$G$12,AG1547))</f>
        <v/>
      </c>
      <c r="AJ1547" s="17" t="str">
        <f t="shared" si="3"/>
        <v/>
      </c>
    </row>
    <row r="1548" spans="31:36">
      <c r="AE1548" s="15" t="str">
        <f t="shared" si="0"/>
        <v/>
      </c>
      <c r="AF1548" s="15" t="str">
        <f t="shared" si="1"/>
        <v/>
      </c>
      <c r="AG1548" s="15" t="str">
        <f>IF(OR(AF1548="",AF1548="ERRO_CHAVE"),"",IFERROR(MATCH(AF1548,'quitado Despesa'!$V$1:$V$12,0),""))</f>
        <v/>
      </c>
      <c r="AH1548" s="15" t="str">
        <f t="shared" si="2"/>
        <v/>
      </c>
      <c r="AI1548" s="17" t="str">
        <f>IF(AG1548="","",INDEX('quitado Despesa'!$G$1:$G$12,AG1548))</f>
        <v/>
      </c>
      <c r="AJ1548" s="17" t="str">
        <f t="shared" si="3"/>
        <v/>
      </c>
    </row>
    <row r="1549" spans="31:36">
      <c r="AE1549" s="15" t="str">
        <f t="shared" si="0"/>
        <v/>
      </c>
      <c r="AF1549" s="15" t="str">
        <f t="shared" si="1"/>
        <v/>
      </c>
      <c r="AG1549" s="15" t="str">
        <f>IF(OR(AF1549="",AF1549="ERRO_CHAVE"),"",IFERROR(MATCH(AF1549,'quitado Despesa'!$V$1:$V$12,0),""))</f>
        <v/>
      </c>
      <c r="AH1549" s="15" t="str">
        <f t="shared" si="2"/>
        <v/>
      </c>
      <c r="AI1549" s="17" t="str">
        <f>IF(AG1549="","",INDEX('quitado Despesa'!$G$1:$G$12,AG1549))</f>
        <v/>
      </c>
      <c r="AJ1549" s="17" t="str">
        <f t="shared" si="3"/>
        <v/>
      </c>
    </row>
    <row r="1550" spans="31:36">
      <c r="AE1550" s="15" t="str">
        <f t="shared" si="0"/>
        <v/>
      </c>
      <c r="AF1550" s="15" t="str">
        <f t="shared" si="1"/>
        <v/>
      </c>
      <c r="AG1550" s="15" t="str">
        <f>IF(OR(AF1550="",AF1550="ERRO_CHAVE"),"",IFERROR(MATCH(AF1550,'quitado Despesa'!$V$1:$V$12,0),""))</f>
        <v/>
      </c>
      <c r="AH1550" s="15" t="str">
        <f t="shared" si="2"/>
        <v/>
      </c>
      <c r="AI1550" s="17" t="str">
        <f>IF(AG1550="","",INDEX('quitado Despesa'!$G$1:$G$12,AG1550))</f>
        <v/>
      </c>
      <c r="AJ1550" s="17" t="str">
        <f t="shared" si="3"/>
        <v/>
      </c>
    </row>
    <row r="1551" spans="31:36">
      <c r="AE1551" s="15" t="str">
        <f t="shared" si="0"/>
        <v/>
      </c>
      <c r="AF1551" s="15" t="str">
        <f t="shared" si="1"/>
        <v/>
      </c>
      <c r="AG1551" s="15" t="str">
        <f>IF(OR(AF1551="",AF1551="ERRO_CHAVE"),"",IFERROR(MATCH(AF1551,'quitado Despesa'!$V$1:$V$12,0),""))</f>
        <v/>
      </c>
      <c r="AH1551" s="15" t="str">
        <f t="shared" si="2"/>
        <v/>
      </c>
      <c r="AI1551" s="17" t="str">
        <f>IF(AG1551="","",INDEX('quitado Despesa'!$G$1:$G$12,AG1551))</f>
        <v/>
      </c>
      <c r="AJ1551" s="17" t="str">
        <f t="shared" si="3"/>
        <v/>
      </c>
    </row>
    <row r="1552" spans="31:36">
      <c r="AE1552" s="15" t="str">
        <f t="shared" si="0"/>
        <v/>
      </c>
      <c r="AF1552" s="15" t="str">
        <f t="shared" si="1"/>
        <v/>
      </c>
      <c r="AG1552" s="15" t="str">
        <f>IF(OR(AF1552="",AF1552="ERRO_CHAVE"),"",IFERROR(MATCH(AF1552,'quitado Despesa'!$V$1:$V$12,0),""))</f>
        <v/>
      </c>
      <c r="AH1552" s="15" t="str">
        <f t="shared" si="2"/>
        <v/>
      </c>
      <c r="AI1552" s="17" t="str">
        <f>IF(AG1552="","",INDEX('quitado Despesa'!$G$1:$G$12,AG1552))</f>
        <v/>
      </c>
      <c r="AJ1552" s="17" t="str">
        <f t="shared" si="3"/>
        <v/>
      </c>
    </row>
    <row r="1553" spans="31:36">
      <c r="AE1553" s="15" t="str">
        <f t="shared" si="0"/>
        <v/>
      </c>
      <c r="AF1553" s="15" t="str">
        <f t="shared" si="1"/>
        <v/>
      </c>
      <c r="AG1553" s="15" t="str">
        <f>IF(OR(AF1553="",AF1553="ERRO_CHAVE"),"",IFERROR(MATCH(AF1553,'quitado Despesa'!$V$1:$V$12,0),""))</f>
        <v/>
      </c>
      <c r="AH1553" s="15" t="str">
        <f t="shared" si="2"/>
        <v/>
      </c>
      <c r="AI1553" s="17" t="str">
        <f>IF(AG1553="","",INDEX('quitado Despesa'!$G$1:$G$12,AG1553))</f>
        <v/>
      </c>
      <c r="AJ1553" s="17" t="str">
        <f t="shared" si="3"/>
        <v/>
      </c>
    </row>
    <row r="1554" spans="31:36">
      <c r="AE1554" s="15" t="str">
        <f t="shared" si="0"/>
        <v/>
      </c>
      <c r="AF1554" s="15" t="str">
        <f t="shared" si="1"/>
        <v/>
      </c>
      <c r="AG1554" s="15" t="str">
        <f>IF(OR(AF1554="",AF1554="ERRO_CHAVE"),"",IFERROR(MATCH(AF1554,'quitado Despesa'!$V$1:$V$12,0),""))</f>
        <v/>
      </c>
      <c r="AH1554" s="15" t="str">
        <f t="shared" si="2"/>
        <v/>
      </c>
      <c r="AI1554" s="17" t="str">
        <f>IF(AG1554="","",INDEX('quitado Despesa'!$G$1:$G$12,AG1554))</f>
        <v/>
      </c>
      <c r="AJ1554" s="17" t="str">
        <f t="shared" si="3"/>
        <v/>
      </c>
    </row>
    <row r="1555" spans="31:36">
      <c r="AE1555" s="15" t="str">
        <f t="shared" si="0"/>
        <v/>
      </c>
      <c r="AF1555" s="15" t="str">
        <f t="shared" si="1"/>
        <v/>
      </c>
      <c r="AG1555" s="15" t="str">
        <f>IF(OR(AF1555="",AF1555="ERRO_CHAVE"),"",IFERROR(MATCH(AF1555,'quitado Despesa'!$V$1:$V$12,0),""))</f>
        <v/>
      </c>
      <c r="AH1555" s="15" t="str">
        <f t="shared" si="2"/>
        <v/>
      </c>
      <c r="AI1555" s="17" t="str">
        <f>IF(AG1555="","",INDEX('quitado Despesa'!$G$1:$G$12,AG1555))</f>
        <v/>
      </c>
      <c r="AJ1555" s="17" t="str">
        <f t="shared" si="3"/>
        <v/>
      </c>
    </row>
    <row r="1556" spans="31:36">
      <c r="AE1556" s="15" t="str">
        <f t="shared" si="0"/>
        <v/>
      </c>
      <c r="AF1556" s="15" t="str">
        <f t="shared" si="1"/>
        <v/>
      </c>
      <c r="AG1556" s="15" t="str">
        <f>IF(OR(AF1556="",AF1556="ERRO_CHAVE"),"",IFERROR(MATCH(AF1556,'quitado Despesa'!$V$1:$V$12,0),""))</f>
        <v/>
      </c>
      <c r="AH1556" s="15" t="str">
        <f t="shared" si="2"/>
        <v/>
      </c>
      <c r="AI1556" s="17" t="str">
        <f>IF(AG1556="","",INDEX('quitado Despesa'!$G$1:$G$12,AG1556))</f>
        <v/>
      </c>
      <c r="AJ1556" s="17" t="str">
        <f t="shared" si="3"/>
        <v/>
      </c>
    </row>
    <row r="1557" spans="31:36">
      <c r="AE1557" s="15" t="str">
        <f t="shared" si="0"/>
        <v/>
      </c>
      <c r="AF1557" s="15" t="str">
        <f t="shared" si="1"/>
        <v/>
      </c>
      <c r="AG1557" s="15" t="str">
        <f>IF(OR(AF1557="",AF1557="ERRO_CHAVE"),"",IFERROR(MATCH(AF1557,'quitado Despesa'!$V$1:$V$12,0),""))</f>
        <v/>
      </c>
      <c r="AH1557" s="15" t="str">
        <f t="shared" si="2"/>
        <v/>
      </c>
      <c r="AI1557" s="17" t="str">
        <f>IF(AG1557="","",INDEX('quitado Despesa'!$G$1:$G$12,AG1557))</f>
        <v/>
      </c>
      <c r="AJ1557" s="17" t="str">
        <f t="shared" si="3"/>
        <v/>
      </c>
    </row>
    <row r="1558" spans="31:36">
      <c r="AE1558" s="15" t="str">
        <f t="shared" si="0"/>
        <v/>
      </c>
      <c r="AF1558" s="15" t="str">
        <f t="shared" si="1"/>
        <v/>
      </c>
      <c r="AG1558" s="15" t="str">
        <f>IF(OR(AF1558="",AF1558="ERRO_CHAVE"),"",IFERROR(MATCH(AF1558,'quitado Despesa'!$V$1:$V$12,0),""))</f>
        <v/>
      </c>
      <c r="AH1558" s="15" t="str">
        <f t="shared" si="2"/>
        <v/>
      </c>
      <c r="AI1558" s="17" t="str">
        <f>IF(AG1558="","",INDEX('quitado Despesa'!$G$1:$G$12,AG1558))</f>
        <v/>
      </c>
      <c r="AJ1558" s="17" t="str">
        <f t="shared" si="3"/>
        <v/>
      </c>
    </row>
    <row r="1559" spans="31:36">
      <c r="AE1559" s="15" t="str">
        <f t="shared" si="0"/>
        <v/>
      </c>
      <c r="AF1559" s="15" t="str">
        <f t="shared" si="1"/>
        <v/>
      </c>
      <c r="AG1559" s="15" t="str">
        <f>IF(OR(AF1559="",AF1559="ERRO_CHAVE"),"",IFERROR(MATCH(AF1559,'quitado Despesa'!$V$1:$V$12,0),""))</f>
        <v/>
      </c>
      <c r="AH1559" s="15" t="str">
        <f t="shared" si="2"/>
        <v/>
      </c>
      <c r="AI1559" s="17" t="str">
        <f>IF(AG1559="","",INDEX('quitado Despesa'!$G$1:$G$12,AG1559))</f>
        <v/>
      </c>
      <c r="AJ1559" s="17" t="str">
        <f t="shared" si="3"/>
        <v/>
      </c>
    </row>
    <row r="1560" spans="31:36">
      <c r="AE1560" s="15" t="str">
        <f t="shared" si="0"/>
        <v/>
      </c>
      <c r="AF1560" s="15" t="str">
        <f t="shared" si="1"/>
        <v/>
      </c>
      <c r="AG1560" s="15" t="str">
        <f>IF(OR(AF1560="",AF1560="ERRO_CHAVE"),"",IFERROR(MATCH(AF1560,'quitado Despesa'!$V$1:$V$12,0),""))</f>
        <v/>
      </c>
      <c r="AH1560" s="15" t="str">
        <f t="shared" si="2"/>
        <v/>
      </c>
      <c r="AI1560" s="17" t="str">
        <f>IF(AG1560="","",INDEX('quitado Despesa'!$G$1:$G$12,AG1560))</f>
        <v/>
      </c>
      <c r="AJ1560" s="17" t="str">
        <f t="shared" si="3"/>
        <v/>
      </c>
    </row>
    <row r="1561" spans="31:36">
      <c r="AE1561" s="15" t="str">
        <f t="shared" si="0"/>
        <v/>
      </c>
      <c r="AF1561" s="15" t="str">
        <f t="shared" si="1"/>
        <v/>
      </c>
      <c r="AG1561" s="15" t="str">
        <f>IF(OR(AF1561="",AF1561="ERRO_CHAVE"),"",IFERROR(MATCH(AF1561,'quitado Despesa'!$V$1:$V$12,0),""))</f>
        <v/>
      </c>
      <c r="AH1561" s="15" t="str">
        <f t="shared" si="2"/>
        <v/>
      </c>
      <c r="AI1561" s="17" t="str">
        <f>IF(AG1561="","",INDEX('quitado Despesa'!$G$1:$G$12,AG1561))</f>
        <v/>
      </c>
      <c r="AJ1561" s="17" t="str">
        <f t="shared" si="3"/>
        <v/>
      </c>
    </row>
    <row r="1562" spans="31:36">
      <c r="AE1562" s="15" t="str">
        <f t="shared" si="0"/>
        <v/>
      </c>
      <c r="AF1562" s="15" t="str">
        <f t="shared" si="1"/>
        <v/>
      </c>
      <c r="AG1562" s="15" t="str">
        <f>IF(OR(AF1562="",AF1562="ERRO_CHAVE"),"",IFERROR(MATCH(AF1562,'quitado Despesa'!$V$1:$V$12,0),""))</f>
        <v/>
      </c>
      <c r="AH1562" s="15" t="str">
        <f t="shared" si="2"/>
        <v/>
      </c>
      <c r="AI1562" s="17" t="str">
        <f>IF(AG1562="","",INDEX('quitado Despesa'!$G$1:$G$12,AG1562))</f>
        <v/>
      </c>
      <c r="AJ1562" s="17" t="str">
        <f t="shared" si="3"/>
        <v/>
      </c>
    </row>
    <row r="1563" spans="31:36">
      <c r="AE1563" s="15" t="str">
        <f t="shared" si="0"/>
        <v/>
      </c>
      <c r="AF1563" s="15" t="str">
        <f t="shared" si="1"/>
        <v/>
      </c>
      <c r="AG1563" s="15" t="str">
        <f>IF(OR(AF1563="",AF1563="ERRO_CHAVE"),"",IFERROR(MATCH(AF1563,'quitado Despesa'!$V$1:$V$12,0),""))</f>
        <v/>
      </c>
      <c r="AH1563" s="15" t="str">
        <f t="shared" si="2"/>
        <v/>
      </c>
      <c r="AI1563" s="17" t="str">
        <f>IF(AG1563="","",INDEX('quitado Despesa'!$G$1:$G$12,AG1563))</f>
        <v/>
      </c>
      <c r="AJ1563" s="17" t="str">
        <f t="shared" si="3"/>
        <v/>
      </c>
    </row>
    <row r="1564" spans="31:36">
      <c r="AE1564" s="15" t="str">
        <f t="shared" si="0"/>
        <v/>
      </c>
      <c r="AF1564" s="15" t="str">
        <f t="shared" si="1"/>
        <v/>
      </c>
      <c r="AG1564" s="15" t="str">
        <f>IF(OR(AF1564="",AF1564="ERRO_CHAVE"),"",IFERROR(MATCH(AF1564,'quitado Despesa'!$V$1:$V$12,0),""))</f>
        <v/>
      </c>
      <c r="AH1564" s="15" t="str">
        <f t="shared" si="2"/>
        <v/>
      </c>
      <c r="AI1564" s="17" t="str">
        <f>IF(AG1564="","",INDEX('quitado Despesa'!$G$1:$G$12,AG1564))</f>
        <v/>
      </c>
      <c r="AJ1564" s="17" t="str">
        <f t="shared" si="3"/>
        <v/>
      </c>
    </row>
    <row r="1565" spans="31:36">
      <c r="AE1565" s="15" t="str">
        <f t="shared" si="0"/>
        <v/>
      </c>
      <c r="AF1565" s="15" t="str">
        <f t="shared" si="1"/>
        <v/>
      </c>
      <c r="AG1565" s="15" t="str">
        <f>IF(OR(AF1565="",AF1565="ERRO_CHAVE"),"",IFERROR(MATCH(AF1565,'quitado Despesa'!$V$1:$V$12,0),""))</f>
        <v/>
      </c>
      <c r="AH1565" s="15" t="str">
        <f t="shared" si="2"/>
        <v/>
      </c>
      <c r="AI1565" s="17" t="str">
        <f>IF(AG1565="","",INDEX('quitado Despesa'!$G$1:$G$12,AG1565))</f>
        <v/>
      </c>
      <c r="AJ1565" s="17" t="str">
        <f t="shared" si="3"/>
        <v/>
      </c>
    </row>
    <row r="1566" spans="31:36">
      <c r="AE1566" s="15" t="str">
        <f t="shared" si="0"/>
        <v/>
      </c>
      <c r="AF1566" s="15" t="str">
        <f t="shared" si="1"/>
        <v/>
      </c>
      <c r="AG1566" s="15" t="str">
        <f>IF(OR(AF1566="",AF1566="ERRO_CHAVE"),"",IFERROR(MATCH(AF1566,'quitado Despesa'!$V$1:$V$12,0),""))</f>
        <v/>
      </c>
      <c r="AH1566" s="15" t="str">
        <f t="shared" si="2"/>
        <v/>
      </c>
      <c r="AI1566" s="17" t="str">
        <f>IF(AG1566="","",INDEX('quitado Despesa'!$G$1:$G$12,AG1566))</f>
        <v/>
      </c>
      <c r="AJ1566" s="17" t="str">
        <f t="shared" si="3"/>
        <v/>
      </c>
    </row>
    <row r="1567" spans="31:36">
      <c r="AE1567" s="15" t="str">
        <f t="shared" si="0"/>
        <v/>
      </c>
      <c r="AF1567" s="15" t="str">
        <f t="shared" si="1"/>
        <v/>
      </c>
      <c r="AG1567" s="15" t="str">
        <f>IF(OR(AF1567="",AF1567="ERRO_CHAVE"),"",IFERROR(MATCH(AF1567,'quitado Despesa'!$V$1:$V$12,0),""))</f>
        <v/>
      </c>
      <c r="AH1567" s="15" t="str">
        <f t="shared" si="2"/>
        <v/>
      </c>
      <c r="AI1567" s="17" t="str">
        <f>IF(AG1567="","",INDEX('quitado Despesa'!$G$1:$G$12,AG1567))</f>
        <v/>
      </c>
      <c r="AJ1567" s="17" t="str">
        <f t="shared" si="3"/>
        <v/>
      </c>
    </row>
    <row r="1568" spans="31:36">
      <c r="AE1568" s="15" t="str">
        <f t="shared" si="0"/>
        <v/>
      </c>
      <c r="AF1568" s="15" t="str">
        <f t="shared" si="1"/>
        <v/>
      </c>
      <c r="AG1568" s="15" t="str">
        <f>IF(OR(AF1568="",AF1568="ERRO_CHAVE"),"",IFERROR(MATCH(AF1568,'quitado Despesa'!$V$1:$V$12,0),""))</f>
        <v/>
      </c>
      <c r="AH1568" s="15" t="str">
        <f t="shared" si="2"/>
        <v/>
      </c>
      <c r="AI1568" s="17" t="str">
        <f>IF(AG1568="","",INDEX('quitado Despesa'!$G$1:$G$12,AG1568))</f>
        <v/>
      </c>
      <c r="AJ1568" s="17" t="str">
        <f t="shared" si="3"/>
        <v/>
      </c>
    </row>
    <row r="1569" spans="31:36">
      <c r="AE1569" s="15" t="str">
        <f t="shared" si="0"/>
        <v/>
      </c>
      <c r="AF1569" s="15" t="str">
        <f t="shared" si="1"/>
        <v/>
      </c>
      <c r="AG1569" s="15" t="str">
        <f>IF(OR(AF1569="",AF1569="ERRO_CHAVE"),"",IFERROR(MATCH(AF1569,'quitado Despesa'!$V$1:$V$12,0),""))</f>
        <v/>
      </c>
      <c r="AH1569" s="15" t="str">
        <f t="shared" si="2"/>
        <v/>
      </c>
      <c r="AI1569" s="17" t="str">
        <f>IF(AG1569="","",INDEX('quitado Despesa'!$G$1:$G$12,AG1569))</f>
        <v/>
      </c>
      <c r="AJ1569" s="17" t="str">
        <f t="shared" si="3"/>
        <v/>
      </c>
    </row>
    <row r="1570" spans="31:36">
      <c r="AE1570" s="15" t="str">
        <f t="shared" si="0"/>
        <v/>
      </c>
      <c r="AF1570" s="15" t="str">
        <f t="shared" si="1"/>
        <v/>
      </c>
      <c r="AG1570" s="15" t="str">
        <f>IF(OR(AF1570="",AF1570="ERRO_CHAVE"),"",IFERROR(MATCH(AF1570,'quitado Despesa'!$V$1:$V$12,0),""))</f>
        <v/>
      </c>
      <c r="AH1570" s="15" t="str">
        <f t="shared" si="2"/>
        <v/>
      </c>
      <c r="AI1570" s="17" t="str">
        <f>IF(AG1570="","",INDEX('quitado Despesa'!$G$1:$G$12,AG1570))</f>
        <v/>
      </c>
      <c r="AJ1570" s="17" t="str">
        <f t="shared" si="3"/>
        <v/>
      </c>
    </row>
    <row r="1571" spans="31:36">
      <c r="AE1571" s="15" t="str">
        <f t="shared" si="0"/>
        <v/>
      </c>
      <c r="AF1571" s="15" t="str">
        <f t="shared" si="1"/>
        <v/>
      </c>
      <c r="AG1571" s="15" t="str">
        <f>IF(OR(AF1571="",AF1571="ERRO_CHAVE"),"",IFERROR(MATCH(AF1571,'quitado Despesa'!$V$1:$V$12,0),""))</f>
        <v/>
      </c>
      <c r="AH1571" s="15" t="str">
        <f t="shared" si="2"/>
        <v/>
      </c>
      <c r="AI1571" s="17" t="str">
        <f>IF(AG1571="","",INDEX('quitado Despesa'!$G$1:$G$12,AG1571))</f>
        <v/>
      </c>
      <c r="AJ1571" s="17" t="str">
        <f t="shared" si="3"/>
        <v/>
      </c>
    </row>
    <row r="1572" spans="31:36">
      <c r="AE1572" s="15" t="str">
        <f t="shared" si="0"/>
        <v/>
      </c>
      <c r="AF1572" s="15" t="str">
        <f t="shared" si="1"/>
        <v/>
      </c>
      <c r="AG1572" s="15" t="str">
        <f>IF(OR(AF1572="",AF1572="ERRO_CHAVE"),"",IFERROR(MATCH(AF1572,'quitado Despesa'!$V$1:$V$12,0),""))</f>
        <v/>
      </c>
      <c r="AH1572" s="15" t="str">
        <f t="shared" si="2"/>
        <v/>
      </c>
      <c r="AI1572" s="17" t="str">
        <f>IF(AG1572="","",INDEX('quitado Despesa'!$G$1:$G$12,AG1572))</f>
        <v/>
      </c>
      <c r="AJ1572" s="17" t="str">
        <f t="shared" si="3"/>
        <v/>
      </c>
    </row>
    <row r="1573" spans="31:36">
      <c r="AE1573" s="15" t="str">
        <f t="shared" si="0"/>
        <v/>
      </c>
      <c r="AF1573" s="15" t="str">
        <f t="shared" si="1"/>
        <v/>
      </c>
      <c r="AG1573" s="15" t="str">
        <f>IF(OR(AF1573="",AF1573="ERRO_CHAVE"),"",IFERROR(MATCH(AF1573,'quitado Despesa'!$V$1:$V$12,0),""))</f>
        <v/>
      </c>
      <c r="AH1573" s="15" t="str">
        <f t="shared" si="2"/>
        <v/>
      </c>
      <c r="AI1573" s="17" t="str">
        <f>IF(AG1573="","",INDEX('quitado Despesa'!$G$1:$G$12,AG1573))</f>
        <v/>
      </c>
      <c r="AJ1573" s="17" t="str">
        <f t="shared" si="3"/>
        <v/>
      </c>
    </row>
    <row r="1574" spans="31:36">
      <c r="AE1574" s="15" t="str">
        <f t="shared" si="0"/>
        <v/>
      </c>
      <c r="AF1574" s="15" t="str">
        <f t="shared" si="1"/>
        <v/>
      </c>
      <c r="AG1574" s="15" t="str">
        <f>IF(OR(AF1574="",AF1574="ERRO_CHAVE"),"",IFERROR(MATCH(AF1574,'quitado Despesa'!$V$1:$V$12,0),""))</f>
        <v/>
      </c>
      <c r="AH1574" s="15" t="str">
        <f t="shared" si="2"/>
        <v/>
      </c>
      <c r="AI1574" s="17" t="str">
        <f>IF(AG1574="","",INDEX('quitado Despesa'!$G$1:$G$12,AG1574))</f>
        <v/>
      </c>
      <c r="AJ1574" s="17" t="str">
        <f t="shared" si="3"/>
        <v/>
      </c>
    </row>
    <row r="1575" spans="31:36">
      <c r="AE1575" s="15" t="str">
        <f t="shared" si="0"/>
        <v/>
      </c>
      <c r="AF1575" s="15" t="str">
        <f t="shared" si="1"/>
        <v/>
      </c>
      <c r="AG1575" s="15" t="str">
        <f>IF(OR(AF1575="",AF1575="ERRO_CHAVE"),"",IFERROR(MATCH(AF1575,'quitado Despesa'!$V$1:$V$12,0),""))</f>
        <v/>
      </c>
      <c r="AH1575" s="15" t="str">
        <f t="shared" si="2"/>
        <v/>
      </c>
      <c r="AI1575" s="17" t="str">
        <f>IF(AG1575="","",INDEX('quitado Despesa'!$G$1:$G$12,AG1575))</f>
        <v/>
      </c>
      <c r="AJ1575" s="17" t="str">
        <f t="shared" si="3"/>
        <v/>
      </c>
    </row>
    <row r="1576" spans="31:36">
      <c r="AE1576" s="15" t="str">
        <f t="shared" si="0"/>
        <v/>
      </c>
      <c r="AF1576" s="15" t="str">
        <f t="shared" si="1"/>
        <v/>
      </c>
      <c r="AG1576" s="15" t="str">
        <f>IF(OR(AF1576="",AF1576="ERRO_CHAVE"),"",IFERROR(MATCH(AF1576,'quitado Despesa'!$V$1:$V$12,0),""))</f>
        <v/>
      </c>
      <c r="AH1576" s="15" t="str">
        <f t="shared" si="2"/>
        <v/>
      </c>
      <c r="AI1576" s="17" t="str">
        <f>IF(AG1576="","",INDEX('quitado Despesa'!$G$1:$G$12,AG1576))</f>
        <v/>
      </c>
      <c r="AJ1576" s="17" t="str">
        <f t="shared" si="3"/>
        <v/>
      </c>
    </row>
    <row r="1577" spans="31:36">
      <c r="AE1577" s="15" t="str">
        <f t="shared" si="0"/>
        <v/>
      </c>
      <c r="AF1577" s="15" t="str">
        <f t="shared" si="1"/>
        <v/>
      </c>
      <c r="AG1577" s="15" t="str">
        <f>IF(OR(AF1577="",AF1577="ERRO_CHAVE"),"",IFERROR(MATCH(AF1577,'quitado Despesa'!$V$1:$V$12,0),""))</f>
        <v/>
      </c>
      <c r="AH1577" s="15" t="str">
        <f t="shared" si="2"/>
        <v/>
      </c>
      <c r="AI1577" s="17" t="str">
        <f>IF(AG1577="","",INDEX('quitado Despesa'!$G$1:$G$12,AG1577))</f>
        <v/>
      </c>
      <c r="AJ1577" s="17" t="str">
        <f t="shared" si="3"/>
        <v/>
      </c>
    </row>
    <row r="1578" spans="31:36">
      <c r="AE1578" s="15" t="str">
        <f t="shared" si="0"/>
        <v/>
      </c>
      <c r="AF1578" s="15" t="str">
        <f t="shared" si="1"/>
        <v/>
      </c>
      <c r="AG1578" s="15" t="str">
        <f>IF(OR(AF1578="",AF1578="ERRO_CHAVE"),"",IFERROR(MATCH(AF1578,'quitado Despesa'!$V$1:$V$12,0),""))</f>
        <v/>
      </c>
      <c r="AH1578" s="15" t="str">
        <f t="shared" si="2"/>
        <v/>
      </c>
      <c r="AI1578" s="17" t="str">
        <f>IF(AG1578="","",INDEX('quitado Despesa'!$G$1:$G$12,AG1578))</f>
        <v/>
      </c>
      <c r="AJ1578" s="17" t="str">
        <f t="shared" si="3"/>
        <v/>
      </c>
    </row>
    <row r="1579" spans="31:36">
      <c r="AE1579" s="15" t="str">
        <f t="shared" si="0"/>
        <v/>
      </c>
      <c r="AF1579" s="15" t="str">
        <f t="shared" si="1"/>
        <v/>
      </c>
      <c r="AG1579" s="15" t="str">
        <f>IF(OR(AF1579="",AF1579="ERRO_CHAVE"),"",IFERROR(MATCH(AF1579,'quitado Despesa'!$V$1:$V$12,0),""))</f>
        <v/>
      </c>
      <c r="AH1579" s="15" t="str">
        <f t="shared" si="2"/>
        <v/>
      </c>
      <c r="AI1579" s="17" t="str">
        <f>IF(AG1579="","",INDEX('quitado Despesa'!$G$1:$G$12,AG1579))</f>
        <v/>
      </c>
      <c r="AJ1579" s="17" t="str">
        <f t="shared" si="3"/>
        <v/>
      </c>
    </row>
    <row r="1580" spans="31:36">
      <c r="AE1580" s="15" t="str">
        <f t="shared" si="0"/>
        <v/>
      </c>
      <c r="AF1580" s="15" t="str">
        <f t="shared" si="1"/>
        <v/>
      </c>
      <c r="AG1580" s="15" t="str">
        <f>IF(OR(AF1580="",AF1580="ERRO_CHAVE"),"",IFERROR(MATCH(AF1580,'quitado Despesa'!$V$1:$V$12,0),""))</f>
        <v/>
      </c>
      <c r="AH1580" s="15" t="str">
        <f t="shared" si="2"/>
        <v/>
      </c>
      <c r="AI1580" s="17" t="str">
        <f>IF(AG1580="","",INDEX('quitado Despesa'!$G$1:$G$12,AG1580))</f>
        <v/>
      </c>
      <c r="AJ1580" s="17" t="str">
        <f t="shared" si="3"/>
        <v/>
      </c>
    </row>
    <row r="1581" spans="31:36">
      <c r="AE1581" s="15" t="str">
        <f t="shared" si="0"/>
        <v/>
      </c>
      <c r="AF1581" s="15" t="str">
        <f t="shared" si="1"/>
        <v/>
      </c>
      <c r="AG1581" s="15" t="str">
        <f>IF(OR(AF1581="",AF1581="ERRO_CHAVE"),"",IFERROR(MATCH(AF1581,'quitado Despesa'!$V$1:$V$12,0),""))</f>
        <v/>
      </c>
      <c r="AH1581" s="15" t="str">
        <f t="shared" si="2"/>
        <v/>
      </c>
      <c r="AI1581" s="17" t="str">
        <f>IF(AG1581="","",INDEX('quitado Despesa'!$G$1:$G$12,AG1581))</f>
        <v/>
      </c>
      <c r="AJ1581" s="17" t="str">
        <f t="shared" si="3"/>
        <v/>
      </c>
    </row>
    <row r="1582" spans="31:36">
      <c r="AE1582" s="15" t="str">
        <f t="shared" si="0"/>
        <v/>
      </c>
      <c r="AF1582" s="15" t="str">
        <f t="shared" si="1"/>
        <v/>
      </c>
      <c r="AG1582" s="15" t="str">
        <f>IF(OR(AF1582="",AF1582="ERRO_CHAVE"),"",IFERROR(MATCH(AF1582,'quitado Despesa'!$V$1:$V$12,0),""))</f>
        <v/>
      </c>
      <c r="AH1582" s="15" t="str">
        <f t="shared" si="2"/>
        <v/>
      </c>
      <c r="AI1582" s="17" t="str">
        <f>IF(AG1582="","",INDEX('quitado Despesa'!$G$1:$G$12,AG1582))</f>
        <v/>
      </c>
      <c r="AJ1582" s="17" t="str">
        <f t="shared" si="3"/>
        <v/>
      </c>
    </row>
    <row r="1583" spans="31:36">
      <c r="AE1583" s="15" t="str">
        <f t="shared" si="0"/>
        <v/>
      </c>
      <c r="AF1583" s="15" t="str">
        <f t="shared" si="1"/>
        <v/>
      </c>
      <c r="AG1583" s="15" t="str">
        <f>IF(OR(AF1583="",AF1583="ERRO_CHAVE"),"",IFERROR(MATCH(AF1583,'quitado Despesa'!$V$1:$V$12,0),""))</f>
        <v/>
      </c>
      <c r="AH1583" s="15" t="str">
        <f t="shared" si="2"/>
        <v/>
      </c>
      <c r="AI1583" s="17" t="str">
        <f>IF(AG1583="","",INDEX('quitado Despesa'!$G$1:$G$12,AG1583))</f>
        <v/>
      </c>
      <c r="AJ1583" s="17" t="str">
        <f t="shared" si="3"/>
        <v/>
      </c>
    </row>
    <row r="1584" spans="31:36">
      <c r="AE1584" s="15" t="str">
        <f t="shared" si="0"/>
        <v/>
      </c>
      <c r="AF1584" s="15" t="str">
        <f t="shared" si="1"/>
        <v/>
      </c>
      <c r="AG1584" s="15" t="str">
        <f>IF(OR(AF1584="",AF1584="ERRO_CHAVE"),"",IFERROR(MATCH(AF1584,'quitado Despesa'!$V$1:$V$12,0),""))</f>
        <v/>
      </c>
      <c r="AH1584" s="15" t="str">
        <f t="shared" si="2"/>
        <v/>
      </c>
      <c r="AI1584" s="17" t="str">
        <f>IF(AG1584="","",INDEX('quitado Despesa'!$G$1:$G$12,AG1584))</f>
        <v/>
      </c>
      <c r="AJ1584" s="17" t="str">
        <f t="shared" si="3"/>
        <v/>
      </c>
    </row>
    <row r="1585" spans="31:36">
      <c r="AE1585" s="15" t="str">
        <f t="shared" si="0"/>
        <v/>
      </c>
      <c r="AF1585" s="15" t="str">
        <f t="shared" si="1"/>
        <v/>
      </c>
      <c r="AG1585" s="15" t="str">
        <f>IF(OR(AF1585="",AF1585="ERRO_CHAVE"),"",IFERROR(MATCH(AF1585,'quitado Despesa'!$V$1:$V$12,0),""))</f>
        <v/>
      </c>
      <c r="AH1585" s="15" t="str">
        <f t="shared" si="2"/>
        <v/>
      </c>
      <c r="AI1585" s="17" t="str">
        <f>IF(AG1585="","",INDEX('quitado Despesa'!$G$1:$G$12,AG1585))</f>
        <v/>
      </c>
      <c r="AJ1585" s="17" t="str">
        <f t="shared" si="3"/>
        <v/>
      </c>
    </row>
    <row r="1586" spans="31:36">
      <c r="AE1586" s="15" t="str">
        <f t="shared" si="0"/>
        <v/>
      </c>
      <c r="AF1586" s="15" t="str">
        <f t="shared" si="1"/>
        <v/>
      </c>
      <c r="AG1586" s="15" t="str">
        <f>IF(OR(AF1586="",AF1586="ERRO_CHAVE"),"",IFERROR(MATCH(AF1586,'quitado Despesa'!$V$1:$V$12,0),""))</f>
        <v/>
      </c>
      <c r="AH1586" s="15" t="str">
        <f t="shared" si="2"/>
        <v/>
      </c>
      <c r="AI1586" s="17" t="str">
        <f>IF(AG1586="","",INDEX('quitado Despesa'!$G$1:$G$12,AG1586))</f>
        <v/>
      </c>
      <c r="AJ1586" s="17" t="str">
        <f t="shared" si="3"/>
        <v/>
      </c>
    </row>
    <row r="1587" spans="31:36">
      <c r="AE1587" s="15" t="str">
        <f t="shared" si="0"/>
        <v/>
      </c>
      <c r="AF1587" s="15" t="str">
        <f t="shared" si="1"/>
        <v/>
      </c>
      <c r="AG1587" s="15" t="str">
        <f>IF(OR(AF1587="",AF1587="ERRO_CHAVE"),"",IFERROR(MATCH(AF1587,'quitado Despesa'!$V$1:$V$12,0),""))</f>
        <v/>
      </c>
      <c r="AH1587" s="15" t="str">
        <f t="shared" si="2"/>
        <v/>
      </c>
      <c r="AI1587" s="17" t="str">
        <f>IF(AG1587="","",INDEX('quitado Despesa'!$G$1:$G$12,AG1587))</f>
        <v/>
      </c>
      <c r="AJ1587" s="17" t="str">
        <f t="shared" si="3"/>
        <v/>
      </c>
    </row>
    <row r="1588" spans="31:36">
      <c r="AE1588" s="15" t="str">
        <f t="shared" si="0"/>
        <v/>
      </c>
      <c r="AF1588" s="15" t="str">
        <f t="shared" si="1"/>
        <v/>
      </c>
      <c r="AG1588" s="15" t="str">
        <f>IF(OR(AF1588="",AF1588="ERRO_CHAVE"),"",IFERROR(MATCH(AF1588,'quitado Despesa'!$V$1:$V$12,0),""))</f>
        <v/>
      </c>
      <c r="AH1588" s="15" t="str">
        <f t="shared" si="2"/>
        <v/>
      </c>
      <c r="AI1588" s="17" t="str">
        <f>IF(AG1588="","",INDEX('quitado Despesa'!$G$1:$G$12,AG1588))</f>
        <v/>
      </c>
      <c r="AJ1588" s="17" t="str">
        <f t="shared" si="3"/>
        <v/>
      </c>
    </row>
    <row r="1589" spans="31:36">
      <c r="AE1589" s="15" t="str">
        <f t="shared" si="0"/>
        <v/>
      </c>
      <c r="AF1589" s="15" t="str">
        <f t="shared" si="1"/>
        <v/>
      </c>
      <c r="AG1589" s="15" t="str">
        <f>IF(OR(AF1589="",AF1589="ERRO_CHAVE"),"",IFERROR(MATCH(AF1589,'quitado Despesa'!$V$1:$V$12,0),""))</f>
        <v/>
      </c>
      <c r="AH1589" s="15" t="str">
        <f t="shared" si="2"/>
        <v/>
      </c>
      <c r="AI1589" s="17" t="str">
        <f>IF(AG1589="","",INDEX('quitado Despesa'!$G$1:$G$12,AG1589))</f>
        <v/>
      </c>
      <c r="AJ1589" s="17" t="str">
        <f t="shared" si="3"/>
        <v/>
      </c>
    </row>
    <row r="1590" spans="31:36">
      <c r="AE1590" s="15" t="str">
        <f t="shared" si="0"/>
        <v/>
      </c>
      <c r="AF1590" s="15" t="str">
        <f t="shared" si="1"/>
        <v/>
      </c>
      <c r="AG1590" s="15" t="str">
        <f>IF(OR(AF1590="",AF1590="ERRO_CHAVE"),"",IFERROR(MATCH(AF1590,'quitado Despesa'!$V$1:$V$12,0),""))</f>
        <v/>
      </c>
      <c r="AH1590" s="15" t="str">
        <f t="shared" si="2"/>
        <v/>
      </c>
      <c r="AI1590" s="17" t="str">
        <f>IF(AG1590="","",INDEX('quitado Despesa'!$G$1:$G$12,AG1590))</f>
        <v/>
      </c>
      <c r="AJ1590" s="17" t="str">
        <f t="shared" si="3"/>
        <v/>
      </c>
    </row>
    <row r="1591" spans="31:36">
      <c r="AE1591" s="15" t="str">
        <f t="shared" si="0"/>
        <v/>
      </c>
      <c r="AF1591" s="15" t="str">
        <f t="shared" si="1"/>
        <v/>
      </c>
      <c r="AG1591" s="15" t="str">
        <f>IF(OR(AF1591="",AF1591="ERRO_CHAVE"),"",IFERROR(MATCH(AF1591,'quitado Despesa'!$V$1:$V$12,0),""))</f>
        <v/>
      </c>
      <c r="AH1591" s="15" t="str">
        <f t="shared" si="2"/>
        <v/>
      </c>
      <c r="AI1591" s="17" t="str">
        <f>IF(AG1591="","",INDEX('quitado Despesa'!$G$1:$G$12,AG1591))</f>
        <v/>
      </c>
      <c r="AJ1591" s="17" t="str">
        <f t="shared" si="3"/>
        <v/>
      </c>
    </row>
    <row r="1592" spans="31:36">
      <c r="AE1592" s="15" t="str">
        <f t="shared" si="0"/>
        <v/>
      </c>
      <c r="AF1592" s="15" t="str">
        <f t="shared" si="1"/>
        <v/>
      </c>
      <c r="AG1592" s="15" t="str">
        <f>IF(OR(AF1592="",AF1592="ERRO_CHAVE"),"",IFERROR(MATCH(AF1592,'quitado Despesa'!$V$1:$V$12,0),""))</f>
        <v/>
      </c>
      <c r="AH1592" s="15" t="str">
        <f t="shared" si="2"/>
        <v/>
      </c>
      <c r="AI1592" s="17" t="str">
        <f>IF(AG1592="","",INDEX('quitado Despesa'!$G$1:$G$12,AG1592))</f>
        <v/>
      </c>
      <c r="AJ1592" s="17" t="str">
        <f t="shared" si="3"/>
        <v/>
      </c>
    </row>
    <row r="1593" spans="31:36">
      <c r="AE1593" s="15" t="str">
        <f t="shared" si="0"/>
        <v/>
      </c>
      <c r="AF1593" s="15" t="str">
        <f t="shared" si="1"/>
        <v/>
      </c>
      <c r="AG1593" s="15" t="str">
        <f>IF(OR(AF1593="",AF1593="ERRO_CHAVE"),"",IFERROR(MATCH(AF1593,'quitado Despesa'!$V$1:$V$12,0),""))</f>
        <v/>
      </c>
      <c r="AH1593" s="15" t="str">
        <f t="shared" si="2"/>
        <v/>
      </c>
      <c r="AI1593" s="17" t="str">
        <f>IF(AG1593="","",INDEX('quitado Despesa'!$G$1:$G$12,AG1593))</f>
        <v/>
      </c>
      <c r="AJ1593" s="17" t="str">
        <f t="shared" si="3"/>
        <v/>
      </c>
    </row>
    <row r="1594" spans="31:36">
      <c r="AE1594" s="15" t="str">
        <f t="shared" si="0"/>
        <v/>
      </c>
      <c r="AF1594" s="15" t="str">
        <f t="shared" si="1"/>
        <v/>
      </c>
      <c r="AG1594" s="15" t="str">
        <f>IF(OR(AF1594="",AF1594="ERRO_CHAVE"),"",IFERROR(MATCH(AF1594,'quitado Despesa'!$V$1:$V$12,0),""))</f>
        <v/>
      </c>
      <c r="AH1594" s="15" t="str">
        <f t="shared" si="2"/>
        <v/>
      </c>
      <c r="AI1594" s="17" t="str">
        <f>IF(AG1594="","",INDEX('quitado Despesa'!$G$1:$G$12,AG1594))</f>
        <v/>
      </c>
      <c r="AJ1594" s="17" t="str">
        <f t="shared" si="3"/>
        <v/>
      </c>
    </row>
    <row r="1595" spans="31:36">
      <c r="AE1595" s="15" t="str">
        <f t="shared" si="0"/>
        <v/>
      </c>
      <c r="AF1595" s="15" t="str">
        <f t="shared" si="1"/>
        <v/>
      </c>
      <c r="AG1595" s="15" t="str">
        <f>IF(OR(AF1595="",AF1595="ERRO_CHAVE"),"",IFERROR(MATCH(AF1595,'quitado Despesa'!$V$1:$V$12,0),""))</f>
        <v/>
      </c>
      <c r="AH1595" s="15" t="str">
        <f t="shared" si="2"/>
        <v/>
      </c>
      <c r="AI1595" s="17" t="str">
        <f>IF(AG1595="","",INDEX('quitado Despesa'!$G$1:$G$12,AG1595))</f>
        <v/>
      </c>
      <c r="AJ1595" s="17" t="str">
        <f t="shared" si="3"/>
        <v/>
      </c>
    </row>
    <row r="1596" spans="31:36">
      <c r="AE1596" s="15" t="str">
        <f t="shared" si="0"/>
        <v/>
      </c>
      <c r="AF1596" s="15" t="str">
        <f t="shared" si="1"/>
        <v/>
      </c>
      <c r="AG1596" s="15" t="str">
        <f>IF(OR(AF1596="",AF1596="ERRO_CHAVE"),"",IFERROR(MATCH(AF1596,'quitado Despesa'!$V$1:$V$12,0),""))</f>
        <v/>
      </c>
      <c r="AH1596" s="15" t="str">
        <f t="shared" si="2"/>
        <v/>
      </c>
      <c r="AI1596" s="17" t="str">
        <f>IF(AG1596="","",INDEX('quitado Despesa'!$G$1:$G$12,AG1596))</f>
        <v/>
      </c>
      <c r="AJ1596" s="17" t="str">
        <f t="shared" si="3"/>
        <v/>
      </c>
    </row>
    <row r="1597" spans="31:36">
      <c r="AE1597" s="15" t="str">
        <f t="shared" si="0"/>
        <v/>
      </c>
      <c r="AF1597" s="15" t="str">
        <f t="shared" si="1"/>
        <v/>
      </c>
      <c r="AG1597" s="15" t="str">
        <f>IF(OR(AF1597="",AF1597="ERRO_CHAVE"),"",IFERROR(MATCH(AF1597,'quitado Despesa'!$V$1:$V$12,0),""))</f>
        <v/>
      </c>
      <c r="AH1597" s="15" t="str">
        <f t="shared" si="2"/>
        <v/>
      </c>
      <c r="AI1597" s="17" t="str">
        <f>IF(AG1597="","",INDEX('quitado Despesa'!$G$1:$G$12,AG1597))</f>
        <v/>
      </c>
      <c r="AJ1597" s="17" t="str">
        <f t="shared" si="3"/>
        <v/>
      </c>
    </row>
    <row r="1598" spans="31:36">
      <c r="AE1598" s="15" t="str">
        <f t="shared" si="0"/>
        <v/>
      </c>
      <c r="AF1598" s="15" t="str">
        <f t="shared" si="1"/>
        <v/>
      </c>
      <c r="AG1598" s="15" t="str">
        <f>IF(OR(AF1598="",AF1598="ERRO_CHAVE"),"",IFERROR(MATCH(AF1598,'quitado Despesa'!$V$1:$V$12,0),""))</f>
        <v/>
      </c>
      <c r="AH1598" s="15" t="str">
        <f t="shared" si="2"/>
        <v/>
      </c>
      <c r="AI1598" s="17" t="str">
        <f>IF(AG1598="","",INDEX('quitado Despesa'!$G$1:$G$12,AG1598))</f>
        <v/>
      </c>
      <c r="AJ1598" s="17" t="str">
        <f t="shared" si="3"/>
        <v/>
      </c>
    </row>
    <row r="1599" spans="31:36">
      <c r="AE1599" s="15" t="str">
        <f t="shared" si="0"/>
        <v/>
      </c>
      <c r="AF1599" s="15" t="str">
        <f t="shared" si="1"/>
        <v/>
      </c>
      <c r="AG1599" s="15" t="str">
        <f>IF(OR(AF1599="",AF1599="ERRO_CHAVE"),"",IFERROR(MATCH(AF1599,'quitado Despesa'!$V$1:$V$12,0),""))</f>
        <v/>
      </c>
      <c r="AH1599" s="15" t="str">
        <f t="shared" si="2"/>
        <v/>
      </c>
      <c r="AI1599" s="17" t="str">
        <f>IF(AG1599="","",INDEX('quitado Despesa'!$G$1:$G$12,AG1599))</f>
        <v/>
      </c>
      <c r="AJ1599" s="17" t="str">
        <f t="shared" si="3"/>
        <v/>
      </c>
    </row>
    <row r="1600" spans="31:36">
      <c r="AE1600" s="15" t="str">
        <f t="shared" si="0"/>
        <v/>
      </c>
      <c r="AF1600" s="15" t="str">
        <f t="shared" si="1"/>
        <v/>
      </c>
      <c r="AG1600" s="15" t="str">
        <f>IF(OR(AF1600="",AF1600="ERRO_CHAVE"),"",IFERROR(MATCH(AF1600,'quitado Despesa'!$V$1:$V$12,0),""))</f>
        <v/>
      </c>
      <c r="AH1600" s="15" t="str">
        <f t="shared" si="2"/>
        <v/>
      </c>
      <c r="AI1600" s="17" t="str">
        <f>IF(AG1600="","",INDEX('quitado Despesa'!$G$1:$G$12,AG1600))</f>
        <v/>
      </c>
      <c r="AJ1600" s="17" t="str">
        <f t="shared" si="3"/>
        <v/>
      </c>
    </row>
    <row r="1601" spans="31:36">
      <c r="AE1601" s="15" t="str">
        <f t="shared" si="0"/>
        <v/>
      </c>
      <c r="AF1601" s="15" t="str">
        <f t="shared" si="1"/>
        <v/>
      </c>
      <c r="AG1601" s="15" t="str">
        <f>IF(OR(AF1601="",AF1601="ERRO_CHAVE"),"",IFERROR(MATCH(AF1601,'quitado Despesa'!$V$1:$V$12,0),""))</f>
        <v/>
      </c>
      <c r="AH1601" s="15" t="str">
        <f t="shared" si="2"/>
        <v/>
      </c>
      <c r="AI1601" s="17" t="str">
        <f>IF(AG1601="","",INDEX('quitado Despesa'!$G$1:$G$12,AG1601))</f>
        <v/>
      </c>
      <c r="AJ1601" s="17" t="str">
        <f t="shared" si="3"/>
        <v/>
      </c>
    </row>
    <row r="1602" spans="31:36">
      <c r="AE1602" s="15" t="str">
        <f t="shared" si="0"/>
        <v/>
      </c>
      <c r="AF1602" s="15" t="str">
        <f t="shared" si="1"/>
        <v/>
      </c>
      <c r="AG1602" s="15" t="str">
        <f>IF(OR(AF1602="",AF1602="ERRO_CHAVE"),"",IFERROR(MATCH(AF1602,'quitado Despesa'!$V$1:$V$12,0),""))</f>
        <v/>
      </c>
      <c r="AH1602" s="15" t="str">
        <f t="shared" si="2"/>
        <v/>
      </c>
      <c r="AI1602" s="17" t="str">
        <f>IF(AG1602="","",INDEX('quitado Despesa'!$G$1:$G$12,AG1602))</f>
        <v/>
      </c>
      <c r="AJ1602" s="17" t="str">
        <f t="shared" si="3"/>
        <v/>
      </c>
    </row>
    <row r="1603" spans="31:36">
      <c r="AE1603" s="15" t="str">
        <f t="shared" si="0"/>
        <v/>
      </c>
      <c r="AF1603" s="15" t="str">
        <f t="shared" si="1"/>
        <v/>
      </c>
      <c r="AG1603" s="15" t="str">
        <f>IF(OR(AF1603="",AF1603="ERRO_CHAVE"),"",IFERROR(MATCH(AF1603,'quitado Despesa'!$V$1:$V$12,0),""))</f>
        <v/>
      </c>
      <c r="AH1603" s="15" t="str">
        <f t="shared" si="2"/>
        <v/>
      </c>
      <c r="AI1603" s="17" t="str">
        <f>IF(AG1603="","",INDEX('quitado Despesa'!$G$1:$G$12,AG1603))</f>
        <v/>
      </c>
      <c r="AJ1603" s="17" t="str">
        <f t="shared" si="3"/>
        <v/>
      </c>
    </row>
    <row r="1604" spans="31:36">
      <c r="AE1604" s="15" t="str">
        <f t="shared" si="0"/>
        <v/>
      </c>
      <c r="AF1604" s="15" t="str">
        <f t="shared" si="1"/>
        <v/>
      </c>
      <c r="AG1604" s="15" t="str">
        <f>IF(OR(AF1604="",AF1604="ERRO_CHAVE"),"",IFERROR(MATCH(AF1604,'quitado Despesa'!$V$1:$V$12,0),""))</f>
        <v/>
      </c>
      <c r="AH1604" s="15" t="str">
        <f t="shared" si="2"/>
        <v/>
      </c>
      <c r="AI1604" s="17" t="str">
        <f>IF(AG1604="","",INDEX('quitado Despesa'!$G$1:$G$12,AG1604))</f>
        <v/>
      </c>
      <c r="AJ1604" s="17" t="str">
        <f t="shared" si="3"/>
        <v/>
      </c>
    </row>
    <row r="1605" spans="31:36">
      <c r="AE1605" s="15" t="str">
        <f t="shared" si="0"/>
        <v/>
      </c>
      <c r="AF1605" s="15" t="str">
        <f t="shared" si="1"/>
        <v/>
      </c>
      <c r="AG1605" s="15" t="str">
        <f>IF(OR(AF1605="",AF1605="ERRO_CHAVE"),"",IFERROR(MATCH(AF1605,'quitado Despesa'!$V$1:$V$12,0),""))</f>
        <v/>
      </c>
      <c r="AH1605" s="15" t="str">
        <f t="shared" si="2"/>
        <v/>
      </c>
      <c r="AI1605" s="17" t="str">
        <f>IF(AG1605="","",INDEX('quitado Despesa'!$G$1:$G$12,AG1605))</f>
        <v/>
      </c>
      <c r="AJ1605" s="17" t="str">
        <f t="shared" si="3"/>
        <v/>
      </c>
    </row>
    <row r="1606" spans="31:36">
      <c r="AE1606" s="15" t="str">
        <f t="shared" si="0"/>
        <v/>
      </c>
      <c r="AF1606" s="15" t="str">
        <f t="shared" si="1"/>
        <v/>
      </c>
      <c r="AG1606" s="15" t="str">
        <f>IF(OR(AF1606="",AF1606="ERRO_CHAVE"),"",IFERROR(MATCH(AF1606,'quitado Despesa'!$V$1:$V$12,0),""))</f>
        <v/>
      </c>
      <c r="AH1606" s="15" t="str">
        <f t="shared" si="2"/>
        <v/>
      </c>
      <c r="AI1606" s="17" t="str">
        <f>IF(AG1606="","",INDEX('quitado Despesa'!$G$1:$G$12,AG1606))</f>
        <v/>
      </c>
      <c r="AJ1606" s="17" t="str">
        <f t="shared" si="3"/>
        <v/>
      </c>
    </row>
    <row r="1607" spans="31:36">
      <c r="AE1607" s="15" t="str">
        <f t="shared" si="0"/>
        <v/>
      </c>
      <c r="AF1607" s="15" t="str">
        <f t="shared" si="1"/>
        <v/>
      </c>
      <c r="AG1607" s="15" t="str">
        <f>IF(OR(AF1607="",AF1607="ERRO_CHAVE"),"",IFERROR(MATCH(AF1607,'quitado Despesa'!$V$1:$V$12,0),""))</f>
        <v/>
      </c>
      <c r="AH1607" s="15" t="str">
        <f t="shared" si="2"/>
        <v/>
      </c>
      <c r="AI1607" s="17" t="str">
        <f>IF(AG1607="","",INDEX('quitado Despesa'!$G$1:$G$12,AG1607))</f>
        <v/>
      </c>
      <c r="AJ1607" s="17" t="str">
        <f t="shared" si="3"/>
        <v/>
      </c>
    </row>
    <row r="1608" spans="31:36">
      <c r="AE1608" s="15" t="str">
        <f t="shared" si="0"/>
        <v/>
      </c>
      <c r="AF1608" s="15" t="str">
        <f t="shared" si="1"/>
        <v/>
      </c>
      <c r="AG1608" s="15" t="str">
        <f>IF(OR(AF1608="",AF1608="ERRO_CHAVE"),"",IFERROR(MATCH(AF1608,'quitado Despesa'!$V$1:$V$12,0),""))</f>
        <v/>
      </c>
      <c r="AH1608" s="15" t="str">
        <f t="shared" si="2"/>
        <v/>
      </c>
      <c r="AI1608" s="17" t="str">
        <f>IF(AG1608="","",INDEX('quitado Despesa'!$G$1:$G$12,AG1608))</f>
        <v/>
      </c>
      <c r="AJ1608" s="17" t="str">
        <f t="shared" si="3"/>
        <v/>
      </c>
    </row>
    <row r="1609" spans="31:36">
      <c r="AE1609" s="15" t="str">
        <f t="shared" si="0"/>
        <v/>
      </c>
      <c r="AF1609" s="15" t="str">
        <f t="shared" si="1"/>
        <v/>
      </c>
      <c r="AG1609" s="15" t="str">
        <f>IF(OR(AF1609="",AF1609="ERRO_CHAVE"),"",IFERROR(MATCH(AF1609,'quitado Despesa'!$V$1:$V$12,0),""))</f>
        <v/>
      </c>
      <c r="AH1609" s="15" t="str">
        <f t="shared" si="2"/>
        <v/>
      </c>
      <c r="AI1609" s="17" t="str">
        <f>IF(AG1609="","",INDEX('quitado Despesa'!$G$1:$G$12,AG1609))</f>
        <v/>
      </c>
      <c r="AJ1609" s="17" t="str">
        <f t="shared" si="3"/>
        <v/>
      </c>
    </row>
    <row r="1610" spans="31:36">
      <c r="AE1610" s="15" t="str">
        <f t="shared" si="0"/>
        <v/>
      </c>
      <c r="AF1610" s="15" t="str">
        <f t="shared" si="1"/>
        <v/>
      </c>
      <c r="AG1610" s="15" t="str">
        <f>IF(OR(AF1610="",AF1610="ERRO_CHAVE"),"",IFERROR(MATCH(AF1610,'quitado Despesa'!$V$1:$V$12,0),""))</f>
        <v/>
      </c>
      <c r="AH1610" s="15" t="str">
        <f t="shared" si="2"/>
        <v/>
      </c>
      <c r="AI1610" s="17" t="str">
        <f>IF(AG1610="","",INDEX('quitado Despesa'!$G$1:$G$12,AG1610))</f>
        <v/>
      </c>
      <c r="AJ1610" s="17" t="str">
        <f t="shared" si="3"/>
        <v/>
      </c>
    </row>
    <row r="1611" spans="31:36">
      <c r="AE1611" s="15" t="str">
        <f t="shared" si="0"/>
        <v/>
      </c>
      <c r="AF1611" s="15" t="str">
        <f t="shared" si="1"/>
        <v/>
      </c>
      <c r="AG1611" s="15" t="str">
        <f>IF(OR(AF1611="",AF1611="ERRO_CHAVE"),"",IFERROR(MATCH(AF1611,'quitado Despesa'!$V$1:$V$12,0),""))</f>
        <v/>
      </c>
      <c r="AH1611" s="15" t="str">
        <f t="shared" si="2"/>
        <v/>
      </c>
      <c r="AI1611" s="17" t="str">
        <f>IF(AG1611="","",INDEX('quitado Despesa'!$G$1:$G$12,AG1611))</f>
        <v/>
      </c>
      <c r="AJ1611" s="17" t="str">
        <f t="shared" si="3"/>
        <v/>
      </c>
    </row>
    <row r="1612" spans="31:36">
      <c r="AE1612" s="15" t="str">
        <f t="shared" si="0"/>
        <v/>
      </c>
      <c r="AF1612" s="15" t="str">
        <f t="shared" si="1"/>
        <v/>
      </c>
      <c r="AG1612" s="15" t="str">
        <f>IF(OR(AF1612="",AF1612="ERRO_CHAVE"),"",IFERROR(MATCH(AF1612,'quitado Despesa'!$V$1:$V$12,0),""))</f>
        <v/>
      </c>
      <c r="AH1612" s="15" t="str">
        <f t="shared" si="2"/>
        <v/>
      </c>
      <c r="AI1612" s="17" t="str">
        <f>IF(AG1612="","",INDEX('quitado Despesa'!$G$1:$G$12,AG1612))</f>
        <v/>
      </c>
      <c r="AJ1612" s="17" t="str">
        <f t="shared" si="3"/>
        <v/>
      </c>
    </row>
    <row r="1613" spans="31:36">
      <c r="AE1613" s="15" t="str">
        <f t="shared" si="0"/>
        <v/>
      </c>
      <c r="AF1613" s="15" t="str">
        <f t="shared" si="1"/>
        <v/>
      </c>
      <c r="AG1613" s="15" t="str">
        <f>IF(OR(AF1613="",AF1613="ERRO_CHAVE"),"",IFERROR(MATCH(AF1613,'quitado Despesa'!$V$1:$V$12,0),""))</f>
        <v/>
      </c>
      <c r="AH1613" s="15" t="str">
        <f t="shared" si="2"/>
        <v/>
      </c>
      <c r="AI1613" s="17" t="str">
        <f>IF(AG1613="","",INDEX('quitado Despesa'!$G$1:$G$12,AG1613))</f>
        <v/>
      </c>
      <c r="AJ1613" s="17" t="str">
        <f t="shared" si="3"/>
        <v/>
      </c>
    </row>
    <row r="1614" spans="31:36">
      <c r="AE1614" s="15" t="str">
        <f t="shared" si="0"/>
        <v/>
      </c>
      <c r="AF1614" s="15" t="str">
        <f t="shared" si="1"/>
        <v/>
      </c>
      <c r="AG1614" s="15" t="str">
        <f>IF(OR(AF1614="",AF1614="ERRO_CHAVE"),"",IFERROR(MATCH(AF1614,'quitado Despesa'!$V$1:$V$12,0),""))</f>
        <v/>
      </c>
      <c r="AH1614" s="15" t="str">
        <f t="shared" si="2"/>
        <v/>
      </c>
      <c r="AI1614" s="17" t="str">
        <f>IF(AG1614="","",INDEX('quitado Despesa'!$G$1:$G$12,AG1614))</f>
        <v/>
      </c>
      <c r="AJ1614" s="17" t="str">
        <f t="shared" si="3"/>
        <v/>
      </c>
    </row>
    <row r="1615" spans="31:36">
      <c r="AE1615" s="15" t="str">
        <f t="shared" si="0"/>
        <v/>
      </c>
      <c r="AF1615" s="15" t="str">
        <f t="shared" si="1"/>
        <v/>
      </c>
      <c r="AG1615" s="15" t="str">
        <f>IF(OR(AF1615="",AF1615="ERRO_CHAVE"),"",IFERROR(MATCH(AF1615,'quitado Despesa'!$V$1:$V$12,0),""))</f>
        <v/>
      </c>
      <c r="AH1615" s="15" t="str">
        <f t="shared" si="2"/>
        <v/>
      </c>
      <c r="AI1615" s="17" t="str">
        <f>IF(AG1615="","",INDEX('quitado Despesa'!$G$1:$G$12,AG1615))</f>
        <v/>
      </c>
      <c r="AJ1615" s="17" t="str">
        <f t="shared" si="3"/>
        <v/>
      </c>
    </row>
    <row r="1616" spans="31:36">
      <c r="AE1616" s="15" t="str">
        <f t="shared" si="0"/>
        <v/>
      </c>
      <c r="AF1616" s="15" t="str">
        <f t="shared" si="1"/>
        <v/>
      </c>
      <c r="AG1616" s="15" t="str">
        <f>IF(OR(AF1616="",AF1616="ERRO_CHAVE"),"",IFERROR(MATCH(AF1616,'quitado Despesa'!$V$1:$V$12,0),""))</f>
        <v/>
      </c>
      <c r="AH1616" s="15" t="str">
        <f t="shared" si="2"/>
        <v/>
      </c>
      <c r="AI1616" s="17" t="str">
        <f>IF(AG1616="","",INDEX('quitado Despesa'!$G$1:$G$12,AG1616))</f>
        <v/>
      </c>
      <c r="AJ1616" s="17" t="str">
        <f t="shared" si="3"/>
        <v/>
      </c>
    </row>
    <row r="1617" spans="31:36">
      <c r="AE1617" s="15" t="str">
        <f t="shared" si="0"/>
        <v/>
      </c>
      <c r="AF1617" s="15" t="str">
        <f t="shared" si="1"/>
        <v/>
      </c>
      <c r="AG1617" s="15" t="str">
        <f>IF(OR(AF1617="",AF1617="ERRO_CHAVE"),"",IFERROR(MATCH(AF1617,'quitado Despesa'!$V$1:$V$12,0),""))</f>
        <v/>
      </c>
      <c r="AH1617" s="15" t="str">
        <f t="shared" si="2"/>
        <v/>
      </c>
      <c r="AI1617" s="17" t="str">
        <f>IF(AG1617="","",INDEX('quitado Despesa'!$G$1:$G$12,AG1617))</f>
        <v/>
      </c>
      <c r="AJ1617" s="17" t="str">
        <f t="shared" si="3"/>
        <v/>
      </c>
    </row>
    <row r="1618" spans="31:36">
      <c r="AE1618" s="15" t="str">
        <f t="shared" si="0"/>
        <v/>
      </c>
      <c r="AF1618" s="15" t="str">
        <f t="shared" si="1"/>
        <v/>
      </c>
      <c r="AG1618" s="15" t="str">
        <f>IF(OR(AF1618="",AF1618="ERRO_CHAVE"),"",IFERROR(MATCH(AF1618,'quitado Despesa'!$V$1:$V$12,0),""))</f>
        <v/>
      </c>
      <c r="AH1618" s="15" t="str">
        <f t="shared" si="2"/>
        <v/>
      </c>
      <c r="AI1618" s="17" t="str">
        <f>IF(AG1618="","",INDEX('quitado Despesa'!$G$1:$G$12,AG1618))</f>
        <v/>
      </c>
      <c r="AJ1618" s="17" t="str">
        <f t="shared" si="3"/>
        <v/>
      </c>
    </row>
    <row r="1619" spans="31:36">
      <c r="AE1619" s="15" t="str">
        <f t="shared" si="0"/>
        <v/>
      </c>
      <c r="AF1619" s="15" t="str">
        <f t="shared" si="1"/>
        <v/>
      </c>
      <c r="AG1619" s="15" t="str">
        <f>IF(OR(AF1619="",AF1619="ERRO_CHAVE"),"",IFERROR(MATCH(AF1619,'quitado Despesa'!$V$1:$V$12,0),""))</f>
        <v/>
      </c>
      <c r="AH1619" s="15" t="str">
        <f t="shared" si="2"/>
        <v/>
      </c>
      <c r="AI1619" s="17" t="str">
        <f>IF(AG1619="","",INDEX('quitado Despesa'!$G$1:$G$12,AG1619))</f>
        <v/>
      </c>
      <c r="AJ1619" s="17" t="str">
        <f t="shared" si="3"/>
        <v/>
      </c>
    </row>
    <row r="1620" spans="31:36">
      <c r="AE1620" s="15" t="str">
        <f t="shared" si="0"/>
        <v/>
      </c>
      <c r="AF1620" s="15" t="str">
        <f t="shared" si="1"/>
        <v/>
      </c>
      <c r="AG1620" s="15" t="str">
        <f>IF(OR(AF1620="",AF1620="ERRO_CHAVE"),"",IFERROR(MATCH(AF1620,'quitado Despesa'!$V$1:$V$12,0),""))</f>
        <v/>
      </c>
      <c r="AH1620" s="15" t="str">
        <f t="shared" si="2"/>
        <v/>
      </c>
      <c r="AI1620" s="17" t="str">
        <f>IF(AG1620="","",INDEX('quitado Despesa'!$G$1:$G$12,AG1620))</f>
        <v/>
      </c>
      <c r="AJ1620" s="17" t="str">
        <f t="shared" si="3"/>
        <v/>
      </c>
    </row>
    <row r="1621" spans="31:36">
      <c r="AE1621" s="15" t="str">
        <f t="shared" si="0"/>
        <v/>
      </c>
      <c r="AF1621" s="15" t="str">
        <f t="shared" si="1"/>
        <v/>
      </c>
      <c r="AG1621" s="15" t="str">
        <f>IF(OR(AF1621="",AF1621="ERRO_CHAVE"),"",IFERROR(MATCH(AF1621,'quitado Despesa'!$V$1:$V$12,0),""))</f>
        <v/>
      </c>
      <c r="AH1621" s="15" t="str">
        <f t="shared" si="2"/>
        <v/>
      </c>
      <c r="AI1621" s="17" t="str">
        <f>IF(AG1621="","",INDEX('quitado Despesa'!$G$1:$G$12,AG1621))</f>
        <v/>
      </c>
      <c r="AJ1621" s="17" t="str">
        <f t="shared" si="3"/>
        <v/>
      </c>
    </row>
    <row r="1622" spans="31:36">
      <c r="AE1622" s="15" t="str">
        <f t="shared" si="0"/>
        <v/>
      </c>
      <c r="AF1622" s="15" t="str">
        <f t="shared" si="1"/>
        <v/>
      </c>
      <c r="AG1622" s="15" t="str">
        <f>IF(OR(AF1622="",AF1622="ERRO_CHAVE"),"",IFERROR(MATCH(AF1622,'quitado Despesa'!$V$1:$V$12,0),""))</f>
        <v/>
      </c>
      <c r="AH1622" s="15" t="str">
        <f t="shared" si="2"/>
        <v/>
      </c>
      <c r="AI1622" s="17" t="str">
        <f>IF(AG1622="","",INDEX('quitado Despesa'!$G$1:$G$12,AG1622))</f>
        <v/>
      </c>
      <c r="AJ1622" s="17" t="str">
        <f t="shared" si="3"/>
        <v/>
      </c>
    </row>
    <row r="1623" spans="31:36">
      <c r="AE1623" s="15" t="str">
        <f t="shared" si="0"/>
        <v/>
      </c>
      <c r="AF1623" s="15" t="str">
        <f t="shared" si="1"/>
        <v/>
      </c>
      <c r="AG1623" s="15" t="str">
        <f>IF(OR(AF1623="",AF1623="ERRO_CHAVE"),"",IFERROR(MATCH(AF1623,'quitado Despesa'!$V$1:$V$12,0),""))</f>
        <v/>
      </c>
      <c r="AH1623" s="15" t="str">
        <f t="shared" si="2"/>
        <v/>
      </c>
      <c r="AI1623" s="17" t="str">
        <f>IF(AG1623="","",INDEX('quitado Despesa'!$G$1:$G$12,AG1623))</f>
        <v/>
      </c>
      <c r="AJ1623" s="17" t="str">
        <f t="shared" si="3"/>
        <v/>
      </c>
    </row>
    <row r="1624" spans="31:36">
      <c r="AE1624" s="15" t="str">
        <f t="shared" si="0"/>
        <v/>
      </c>
      <c r="AF1624" s="15" t="str">
        <f t="shared" si="1"/>
        <v/>
      </c>
      <c r="AG1624" s="15" t="str">
        <f>IF(OR(AF1624="",AF1624="ERRO_CHAVE"),"",IFERROR(MATCH(AF1624,'quitado Despesa'!$V$1:$V$12,0),""))</f>
        <v/>
      </c>
      <c r="AH1624" s="15" t="str">
        <f t="shared" si="2"/>
        <v/>
      </c>
      <c r="AI1624" s="17" t="str">
        <f>IF(AG1624="","",INDEX('quitado Despesa'!$G$1:$G$12,AG1624))</f>
        <v/>
      </c>
      <c r="AJ1624" s="17" t="str">
        <f t="shared" si="3"/>
        <v/>
      </c>
    </row>
    <row r="1625" spans="31:36">
      <c r="AE1625" s="15" t="str">
        <f t="shared" si="0"/>
        <v/>
      </c>
      <c r="AF1625" s="15" t="str">
        <f t="shared" si="1"/>
        <v/>
      </c>
      <c r="AG1625" s="15" t="str">
        <f>IF(OR(AF1625="",AF1625="ERRO_CHAVE"),"",IFERROR(MATCH(AF1625,'quitado Despesa'!$V$1:$V$12,0),""))</f>
        <v/>
      </c>
      <c r="AH1625" s="15" t="str">
        <f t="shared" si="2"/>
        <v/>
      </c>
      <c r="AI1625" s="17" t="str">
        <f>IF(AG1625="","",INDEX('quitado Despesa'!$G$1:$G$12,AG1625))</f>
        <v/>
      </c>
      <c r="AJ1625" s="17" t="str">
        <f t="shared" si="3"/>
        <v/>
      </c>
    </row>
    <row r="1626" spans="31:36">
      <c r="AE1626" s="15" t="str">
        <f t="shared" si="0"/>
        <v/>
      </c>
      <c r="AF1626" s="15" t="str">
        <f t="shared" si="1"/>
        <v/>
      </c>
      <c r="AG1626" s="15" t="str">
        <f>IF(OR(AF1626="",AF1626="ERRO_CHAVE"),"",IFERROR(MATCH(AF1626,'quitado Despesa'!$V$1:$V$12,0),""))</f>
        <v/>
      </c>
      <c r="AH1626" s="15" t="str">
        <f t="shared" si="2"/>
        <v/>
      </c>
      <c r="AI1626" s="17" t="str">
        <f>IF(AG1626="","",INDEX('quitado Despesa'!$G$1:$G$12,AG1626))</f>
        <v/>
      </c>
      <c r="AJ1626" s="17" t="str">
        <f t="shared" si="3"/>
        <v/>
      </c>
    </row>
    <row r="1627" spans="31:36">
      <c r="AE1627" s="15" t="str">
        <f t="shared" si="0"/>
        <v/>
      </c>
      <c r="AF1627" s="15" t="str">
        <f t="shared" si="1"/>
        <v/>
      </c>
      <c r="AG1627" s="15" t="str">
        <f>IF(OR(AF1627="",AF1627="ERRO_CHAVE"),"",IFERROR(MATCH(AF1627,'quitado Despesa'!$V$1:$V$12,0),""))</f>
        <v/>
      </c>
      <c r="AH1627" s="15" t="str">
        <f t="shared" si="2"/>
        <v/>
      </c>
      <c r="AI1627" s="17" t="str">
        <f>IF(AG1627="","",INDEX('quitado Despesa'!$G$1:$G$12,AG1627))</f>
        <v/>
      </c>
      <c r="AJ1627" s="17" t="str">
        <f t="shared" si="3"/>
        <v/>
      </c>
    </row>
    <row r="1628" spans="31:36">
      <c r="AE1628" s="15" t="str">
        <f t="shared" si="0"/>
        <v/>
      </c>
      <c r="AF1628" s="15" t="str">
        <f t="shared" si="1"/>
        <v/>
      </c>
      <c r="AG1628" s="15" t="str">
        <f>IF(OR(AF1628="",AF1628="ERRO_CHAVE"),"",IFERROR(MATCH(AF1628,'quitado Despesa'!$V$1:$V$12,0),""))</f>
        <v/>
      </c>
      <c r="AH1628" s="15" t="str">
        <f t="shared" si="2"/>
        <v/>
      </c>
      <c r="AI1628" s="17" t="str">
        <f>IF(AG1628="","",INDEX('quitado Despesa'!$G$1:$G$12,AG1628))</f>
        <v/>
      </c>
      <c r="AJ1628" s="17" t="str">
        <f t="shared" si="3"/>
        <v/>
      </c>
    </row>
    <row r="1629" spans="31:36">
      <c r="AE1629" s="15" t="str">
        <f t="shared" si="0"/>
        <v/>
      </c>
      <c r="AF1629" s="15" t="str">
        <f t="shared" si="1"/>
        <v/>
      </c>
      <c r="AG1629" s="15" t="str">
        <f>IF(OR(AF1629="",AF1629="ERRO_CHAVE"),"",IFERROR(MATCH(AF1629,'quitado Despesa'!$V$1:$V$12,0),""))</f>
        <v/>
      </c>
      <c r="AH1629" s="15" t="str">
        <f t="shared" si="2"/>
        <v/>
      </c>
      <c r="AI1629" s="17" t="str">
        <f>IF(AG1629="","",INDEX('quitado Despesa'!$G$1:$G$12,AG1629))</f>
        <v/>
      </c>
      <c r="AJ1629" s="17" t="str">
        <f t="shared" si="3"/>
        <v/>
      </c>
    </row>
    <row r="1630" spans="31:36">
      <c r="AE1630" s="15" t="str">
        <f t="shared" si="0"/>
        <v/>
      </c>
      <c r="AF1630" s="15" t="str">
        <f t="shared" si="1"/>
        <v/>
      </c>
      <c r="AG1630" s="15" t="str">
        <f>IF(OR(AF1630="",AF1630="ERRO_CHAVE"),"",IFERROR(MATCH(AF1630,'quitado Despesa'!$V$1:$V$12,0),""))</f>
        <v/>
      </c>
      <c r="AH1630" s="15" t="str">
        <f t="shared" si="2"/>
        <v/>
      </c>
      <c r="AI1630" s="17" t="str">
        <f>IF(AG1630="","",INDEX('quitado Despesa'!$G$1:$G$12,AG1630))</f>
        <v/>
      </c>
      <c r="AJ1630" s="17" t="str">
        <f t="shared" si="3"/>
        <v/>
      </c>
    </row>
    <row r="1631" spans="31:36">
      <c r="AE1631" s="15" t="str">
        <f t="shared" si="0"/>
        <v/>
      </c>
      <c r="AF1631" s="15" t="str">
        <f t="shared" si="1"/>
        <v/>
      </c>
      <c r="AG1631" s="15" t="str">
        <f>IF(OR(AF1631="",AF1631="ERRO_CHAVE"),"",IFERROR(MATCH(AF1631,'quitado Despesa'!$V$1:$V$12,0),""))</f>
        <v/>
      </c>
      <c r="AH1631" s="15" t="str">
        <f t="shared" si="2"/>
        <v/>
      </c>
      <c r="AI1631" s="17" t="str">
        <f>IF(AG1631="","",INDEX('quitado Despesa'!$G$1:$G$12,AG1631))</f>
        <v/>
      </c>
      <c r="AJ1631" s="17" t="str">
        <f t="shared" si="3"/>
        <v/>
      </c>
    </row>
    <row r="1632" spans="31:36">
      <c r="AE1632" s="15" t="str">
        <f t="shared" si="0"/>
        <v/>
      </c>
      <c r="AF1632" s="15" t="str">
        <f t="shared" si="1"/>
        <v/>
      </c>
      <c r="AG1632" s="15" t="str">
        <f>IF(OR(AF1632="",AF1632="ERRO_CHAVE"),"",IFERROR(MATCH(AF1632,'quitado Despesa'!$V$1:$V$12,0),""))</f>
        <v/>
      </c>
      <c r="AH1632" s="15" t="str">
        <f t="shared" si="2"/>
        <v/>
      </c>
      <c r="AI1632" s="17" t="str">
        <f>IF(AG1632="","",INDEX('quitado Despesa'!$G$1:$G$12,AG1632))</f>
        <v/>
      </c>
      <c r="AJ1632" s="17" t="str">
        <f t="shared" si="3"/>
        <v/>
      </c>
    </row>
    <row r="1633" spans="31:36">
      <c r="AE1633" s="15" t="str">
        <f t="shared" si="0"/>
        <v/>
      </c>
      <c r="AF1633" s="15" t="str">
        <f t="shared" si="1"/>
        <v/>
      </c>
      <c r="AG1633" s="15" t="str">
        <f>IF(OR(AF1633="",AF1633="ERRO_CHAVE"),"",IFERROR(MATCH(AF1633,'quitado Despesa'!$V$1:$V$12,0),""))</f>
        <v/>
      </c>
      <c r="AH1633" s="15" t="str">
        <f t="shared" si="2"/>
        <v/>
      </c>
      <c r="AI1633" s="17" t="str">
        <f>IF(AG1633="","",INDEX('quitado Despesa'!$G$1:$G$12,AG1633))</f>
        <v/>
      </c>
      <c r="AJ1633" s="17" t="str">
        <f t="shared" si="3"/>
        <v/>
      </c>
    </row>
    <row r="1634" spans="31:36">
      <c r="AE1634" s="15" t="str">
        <f t="shared" si="0"/>
        <v/>
      </c>
      <c r="AF1634" s="15" t="str">
        <f t="shared" si="1"/>
        <v/>
      </c>
      <c r="AG1634" s="15" t="str">
        <f>IF(OR(AF1634="",AF1634="ERRO_CHAVE"),"",IFERROR(MATCH(AF1634,'quitado Despesa'!$V$1:$V$12,0),""))</f>
        <v/>
      </c>
      <c r="AH1634" s="15" t="str">
        <f t="shared" si="2"/>
        <v/>
      </c>
      <c r="AI1634" s="17" t="str">
        <f>IF(AG1634="","",INDEX('quitado Despesa'!$G$1:$G$12,AG1634))</f>
        <v/>
      </c>
      <c r="AJ1634" s="17" t="str">
        <f t="shared" si="3"/>
        <v/>
      </c>
    </row>
    <row r="1635" spans="31:36">
      <c r="AE1635" s="15" t="str">
        <f t="shared" si="0"/>
        <v/>
      </c>
      <c r="AF1635" s="15" t="str">
        <f t="shared" si="1"/>
        <v/>
      </c>
      <c r="AG1635" s="15" t="str">
        <f>IF(OR(AF1635="",AF1635="ERRO_CHAVE"),"",IFERROR(MATCH(AF1635,'quitado Despesa'!$V$1:$V$12,0),""))</f>
        <v/>
      </c>
      <c r="AH1635" s="15" t="str">
        <f t="shared" si="2"/>
        <v/>
      </c>
      <c r="AI1635" s="17" t="str">
        <f>IF(AG1635="","",INDEX('quitado Despesa'!$G$1:$G$12,AG1635))</f>
        <v/>
      </c>
      <c r="AJ1635" s="17" t="str">
        <f t="shared" si="3"/>
        <v/>
      </c>
    </row>
    <row r="1636" spans="31:36">
      <c r="AE1636" s="15" t="str">
        <f t="shared" si="0"/>
        <v/>
      </c>
      <c r="AF1636" s="15" t="str">
        <f t="shared" si="1"/>
        <v/>
      </c>
      <c r="AG1636" s="15" t="str">
        <f>IF(OR(AF1636="",AF1636="ERRO_CHAVE"),"",IFERROR(MATCH(AF1636,'quitado Despesa'!$V$1:$V$12,0),""))</f>
        <v/>
      </c>
      <c r="AH1636" s="15" t="str">
        <f t="shared" si="2"/>
        <v/>
      </c>
      <c r="AI1636" s="17" t="str">
        <f>IF(AG1636="","",INDEX('quitado Despesa'!$G$1:$G$12,AG1636))</f>
        <v/>
      </c>
      <c r="AJ1636" s="17" t="str">
        <f t="shared" si="3"/>
        <v/>
      </c>
    </row>
    <row r="1637" spans="31:36">
      <c r="AE1637" s="15" t="str">
        <f t="shared" si="0"/>
        <v/>
      </c>
      <c r="AF1637" s="15" t="str">
        <f t="shared" si="1"/>
        <v/>
      </c>
      <c r="AG1637" s="15" t="str">
        <f>IF(OR(AF1637="",AF1637="ERRO_CHAVE"),"",IFERROR(MATCH(AF1637,'quitado Despesa'!$V$1:$V$12,0),""))</f>
        <v/>
      </c>
      <c r="AH1637" s="15" t="str">
        <f t="shared" si="2"/>
        <v/>
      </c>
      <c r="AI1637" s="17" t="str">
        <f>IF(AG1637="","",INDEX('quitado Despesa'!$G$1:$G$12,AG1637))</f>
        <v/>
      </c>
      <c r="AJ1637" s="17" t="str">
        <f t="shared" si="3"/>
        <v/>
      </c>
    </row>
    <row r="1638" spans="31:36">
      <c r="AE1638" s="15" t="str">
        <f t="shared" si="0"/>
        <v/>
      </c>
      <c r="AF1638" s="15" t="str">
        <f t="shared" si="1"/>
        <v/>
      </c>
      <c r="AG1638" s="15" t="str">
        <f>IF(OR(AF1638="",AF1638="ERRO_CHAVE"),"",IFERROR(MATCH(AF1638,'quitado Despesa'!$V$1:$V$12,0),""))</f>
        <v/>
      </c>
      <c r="AH1638" s="15" t="str">
        <f t="shared" si="2"/>
        <v/>
      </c>
      <c r="AI1638" s="17" t="str">
        <f>IF(AG1638="","",INDEX('quitado Despesa'!$G$1:$G$12,AG1638))</f>
        <v/>
      </c>
      <c r="AJ1638" s="17" t="str">
        <f t="shared" si="3"/>
        <v/>
      </c>
    </row>
    <row r="1639" spans="31:36">
      <c r="AE1639" s="15" t="str">
        <f t="shared" si="0"/>
        <v/>
      </c>
      <c r="AF1639" s="15" t="str">
        <f t="shared" si="1"/>
        <v/>
      </c>
      <c r="AG1639" s="15" t="str">
        <f>IF(OR(AF1639="",AF1639="ERRO_CHAVE"),"",IFERROR(MATCH(AF1639,'quitado Despesa'!$V$1:$V$12,0),""))</f>
        <v/>
      </c>
      <c r="AH1639" s="15" t="str">
        <f t="shared" si="2"/>
        <v/>
      </c>
      <c r="AI1639" s="17" t="str">
        <f>IF(AG1639="","",INDEX('quitado Despesa'!$G$1:$G$12,AG1639))</f>
        <v/>
      </c>
      <c r="AJ1639" s="17" t="str">
        <f t="shared" si="3"/>
        <v/>
      </c>
    </row>
    <row r="1640" spans="31:36">
      <c r="AE1640" s="15" t="str">
        <f t="shared" si="0"/>
        <v/>
      </c>
      <c r="AF1640" s="15" t="str">
        <f t="shared" si="1"/>
        <v/>
      </c>
      <c r="AG1640" s="15" t="str">
        <f>IF(OR(AF1640="",AF1640="ERRO_CHAVE"),"",IFERROR(MATCH(AF1640,'quitado Despesa'!$V$1:$V$12,0),""))</f>
        <v/>
      </c>
      <c r="AH1640" s="15" t="str">
        <f t="shared" si="2"/>
        <v/>
      </c>
      <c r="AI1640" s="17" t="str">
        <f>IF(AG1640="","",INDEX('quitado Despesa'!$G$1:$G$12,AG1640))</f>
        <v/>
      </c>
      <c r="AJ1640" s="17" t="str">
        <f t="shared" si="3"/>
        <v/>
      </c>
    </row>
    <row r="1641" spans="31:36">
      <c r="AE1641" s="15" t="str">
        <f t="shared" si="0"/>
        <v/>
      </c>
      <c r="AF1641" s="15" t="str">
        <f t="shared" si="1"/>
        <v/>
      </c>
      <c r="AG1641" s="15" t="str">
        <f>IF(OR(AF1641="",AF1641="ERRO_CHAVE"),"",IFERROR(MATCH(AF1641,'quitado Despesa'!$V$1:$V$12,0),""))</f>
        <v/>
      </c>
      <c r="AH1641" s="15" t="str">
        <f t="shared" si="2"/>
        <v/>
      </c>
      <c r="AI1641" s="17" t="str">
        <f>IF(AG1641="","",INDEX('quitado Despesa'!$G$1:$G$12,AG1641))</f>
        <v/>
      </c>
      <c r="AJ1641" s="17" t="str">
        <f t="shared" si="3"/>
        <v/>
      </c>
    </row>
    <row r="1642" spans="31:36">
      <c r="AE1642" s="15" t="str">
        <f t="shared" si="0"/>
        <v/>
      </c>
      <c r="AF1642" s="15" t="str">
        <f t="shared" si="1"/>
        <v/>
      </c>
      <c r="AG1642" s="15" t="str">
        <f>IF(OR(AF1642="",AF1642="ERRO_CHAVE"),"",IFERROR(MATCH(AF1642,'quitado Despesa'!$V$1:$V$12,0),""))</f>
        <v/>
      </c>
      <c r="AH1642" s="15" t="str">
        <f t="shared" si="2"/>
        <v/>
      </c>
      <c r="AI1642" s="17" t="str">
        <f>IF(AG1642="","",INDEX('quitado Despesa'!$G$1:$G$12,AG1642))</f>
        <v/>
      </c>
      <c r="AJ1642" s="17" t="str">
        <f t="shared" si="3"/>
        <v/>
      </c>
    </row>
    <row r="1643" spans="31:36">
      <c r="AE1643" s="15" t="str">
        <f t="shared" si="0"/>
        <v/>
      </c>
      <c r="AF1643" s="15" t="str">
        <f t="shared" si="1"/>
        <v/>
      </c>
      <c r="AG1643" s="15" t="str">
        <f>IF(OR(AF1643="",AF1643="ERRO_CHAVE"),"",IFERROR(MATCH(AF1643,'quitado Despesa'!$V$1:$V$12,0),""))</f>
        <v/>
      </c>
      <c r="AH1643" s="15" t="str">
        <f t="shared" si="2"/>
        <v/>
      </c>
      <c r="AI1643" s="17" t="str">
        <f>IF(AG1643="","",INDEX('quitado Despesa'!$G$1:$G$12,AG1643))</f>
        <v/>
      </c>
      <c r="AJ1643" s="17" t="str">
        <f t="shared" si="3"/>
        <v/>
      </c>
    </row>
    <row r="1644" spans="31:36">
      <c r="AE1644" s="15" t="str">
        <f t="shared" si="0"/>
        <v/>
      </c>
      <c r="AF1644" s="15" t="str">
        <f t="shared" si="1"/>
        <v/>
      </c>
      <c r="AG1644" s="15" t="str">
        <f>IF(OR(AF1644="",AF1644="ERRO_CHAVE"),"",IFERROR(MATCH(AF1644,'quitado Despesa'!$V$1:$V$12,0),""))</f>
        <v/>
      </c>
      <c r="AH1644" s="15" t="str">
        <f t="shared" si="2"/>
        <v/>
      </c>
      <c r="AI1644" s="17" t="str">
        <f>IF(AG1644="","",INDEX('quitado Despesa'!$G$1:$G$12,AG1644))</f>
        <v/>
      </c>
      <c r="AJ1644" s="17" t="str">
        <f t="shared" si="3"/>
        <v/>
      </c>
    </row>
    <row r="1645" spans="31:36">
      <c r="AE1645" s="15" t="str">
        <f t="shared" si="0"/>
        <v/>
      </c>
      <c r="AF1645" s="15" t="str">
        <f t="shared" si="1"/>
        <v/>
      </c>
      <c r="AG1645" s="15" t="str">
        <f>IF(OR(AF1645="",AF1645="ERRO_CHAVE"),"",IFERROR(MATCH(AF1645,'quitado Despesa'!$V$1:$V$12,0),""))</f>
        <v/>
      </c>
      <c r="AH1645" s="15" t="str">
        <f t="shared" si="2"/>
        <v/>
      </c>
      <c r="AI1645" s="17" t="str">
        <f>IF(AG1645="","",INDEX('quitado Despesa'!$G$1:$G$12,AG1645))</f>
        <v/>
      </c>
      <c r="AJ1645" s="17" t="str">
        <f t="shared" si="3"/>
        <v/>
      </c>
    </row>
    <row r="1646" spans="31:36">
      <c r="AE1646" s="15" t="str">
        <f t="shared" si="0"/>
        <v/>
      </c>
      <c r="AF1646" s="15" t="str">
        <f t="shared" si="1"/>
        <v/>
      </c>
      <c r="AG1646" s="15" t="str">
        <f>IF(OR(AF1646="",AF1646="ERRO_CHAVE"),"",IFERROR(MATCH(AF1646,'quitado Despesa'!$V$1:$V$12,0),""))</f>
        <v/>
      </c>
      <c r="AH1646" s="15" t="str">
        <f t="shared" si="2"/>
        <v/>
      </c>
      <c r="AI1646" s="17" t="str">
        <f>IF(AG1646="","",INDEX('quitado Despesa'!$G$1:$G$12,AG1646))</f>
        <v/>
      </c>
      <c r="AJ1646" s="17" t="str">
        <f t="shared" si="3"/>
        <v/>
      </c>
    </row>
    <row r="1647" spans="31:36">
      <c r="AE1647" s="15" t="str">
        <f t="shared" si="0"/>
        <v/>
      </c>
      <c r="AF1647" s="15" t="str">
        <f t="shared" si="1"/>
        <v/>
      </c>
      <c r="AG1647" s="15" t="str">
        <f>IF(OR(AF1647="",AF1647="ERRO_CHAVE"),"",IFERROR(MATCH(AF1647,'quitado Despesa'!$V$1:$V$12,0),""))</f>
        <v/>
      </c>
      <c r="AH1647" s="15" t="str">
        <f t="shared" si="2"/>
        <v/>
      </c>
      <c r="AI1647" s="17" t="str">
        <f>IF(AG1647="","",INDEX('quitado Despesa'!$G$1:$G$12,AG1647))</f>
        <v/>
      </c>
      <c r="AJ1647" s="17" t="str">
        <f t="shared" si="3"/>
        <v/>
      </c>
    </row>
    <row r="1648" spans="31:36">
      <c r="AE1648" s="15" t="str">
        <f t="shared" si="0"/>
        <v/>
      </c>
      <c r="AF1648" s="15" t="str">
        <f t="shared" si="1"/>
        <v/>
      </c>
      <c r="AG1648" s="15" t="str">
        <f>IF(OR(AF1648="",AF1648="ERRO_CHAVE"),"",IFERROR(MATCH(AF1648,'quitado Despesa'!$V$1:$V$12,0),""))</f>
        <v/>
      </c>
      <c r="AH1648" s="15" t="str">
        <f t="shared" si="2"/>
        <v/>
      </c>
      <c r="AI1648" s="17" t="str">
        <f>IF(AG1648="","",INDEX('quitado Despesa'!$G$1:$G$12,AG1648))</f>
        <v/>
      </c>
      <c r="AJ1648" s="17" t="str">
        <f t="shared" si="3"/>
        <v/>
      </c>
    </row>
    <row r="1649" spans="31:36">
      <c r="AE1649" s="15" t="str">
        <f t="shared" si="0"/>
        <v/>
      </c>
      <c r="AF1649" s="15" t="str">
        <f t="shared" si="1"/>
        <v/>
      </c>
      <c r="AG1649" s="15" t="str">
        <f>IF(OR(AF1649="",AF1649="ERRO_CHAVE"),"",IFERROR(MATCH(AF1649,'quitado Despesa'!$V$1:$V$12,0),""))</f>
        <v/>
      </c>
      <c r="AH1649" s="15" t="str">
        <f t="shared" si="2"/>
        <v/>
      </c>
      <c r="AI1649" s="17" t="str">
        <f>IF(AG1649="","",INDEX('quitado Despesa'!$G$1:$G$12,AG1649))</f>
        <v/>
      </c>
      <c r="AJ1649" s="17" t="str">
        <f t="shared" si="3"/>
        <v/>
      </c>
    </row>
    <row r="1650" spans="31:36">
      <c r="AE1650" s="15" t="str">
        <f t="shared" si="0"/>
        <v/>
      </c>
      <c r="AF1650" s="15" t="str">
        <f t="shared" si="1"/>
        <v/>
      </c>
      <c r="AG1650" s="15" t="str">
        <f>IF(OR(AF1650="",AF1650="ERRO_CHAVE"),"",IFERROR(MATCH(AF1650,'quitado Despesa'!$V$1:$V$12,0),""))</f>
        <v/>
      </c>
      <c r="AH1650" s="15" t="str">
        <f t="shared" si="2"/>
        <v/>
      </c>
      <c r="AI1650" s="17" t="str">
        <f>IF(AG1650="","",INDEX('quitado Despesa'!$G$1:$G$12,AG1650))</f>
        <v/>
      </c>
      <c r="AJ1650" s="17" t="str">
        <f t="shared" si="3"/>
        <v/>
      </c>
    </row>
    <row r="1651" spans="31:36">
      <c r="AE1651" s="15" t="str">
        <f t="shared" si="0"/>
        <v/>
      </c>
      <c r="AF1651" s="15" t="str">
        <f t="shared" si="1"/>
        <v/>
      </c>
      <c r="AG1651" s="15" t="str">
        <f>IF(OR(AF1651="",AF1651="ERRO_CHAVE"),"",IFERROR(MATCH(AF1651,'quitado Despesa'!$V$1:$V$12,0),""))</f>
        <v/>
      </c>
      <c r="AH1651" s="15" t="str">
        <f t="shared" si="2"/>
        <v/>
      </c>
      <c r="AI1651" s="17" t="str">
        <f>IF(AG1651="","",INDEX('quitado Despesa'!$G$1:$G$12,AG1651))</f>
        <v/>
      </c>
      <c r="AJ1651" s="17" t="str">
        <f t="shared" si="3"/>
        <v/>
      </c>
    </row>
    <row r="1652" spans="31:36">
      <c r="AE1652" s="15" t="str">
        <f t="shared" si="0"/>
        <v/>
      </c>
      <c r="AF1652" s="15" t="str">
        <f t="shared" si="1"/>
        <v/>
      </c>
      <c r="AG1652" s="15" t="str">
        <f>IF(OR(AF1652="",AF1652="ERRO_CHAVE"),"",IFERROR(MATCH(AF1652,'quitado Despesa'!$V$1:$V$12,0),""))</f>
        <v/>
      </c>
      <c r="AH1652" s="15" t="str">
        <f t="shared" si="2"/>
        <v/>
      </c>
      <c r="AI1652" s="17" t="str">
        <f>IF(AG1652="","",INDEX('quitado Despesa'!$G$1:$G$12,AG1652))</f>
        <v/>
      </c>
      <c r="AJ1652" s="17" t="str">
        <f t="shared" si="3"/>
        <v/>
      </c>
    </row>
    <row r="1653" spans="31:36">
      <c r="AE1653" s="15" t="str">
        <f t="shared" si="0"/>
        <v/>
      </c>
      <c r="AF1653" s="15" t="str">
        <f t="shared" si="1"/>
        <v/>
      </c>
      <c r="AG1653" s="15" t="str">
        <f>IF(OR(AF1653="",AF1653="ERRO_CHAVE"),"",IFERROR(MATCH(AF1653,'quitado Despesa'!$V$1:$V$12,0),""))</f>
        <v/>
      </c>
      <c r="AH1653" s="15" t="str">
        <f t="shared" si="2"/>
        <v/>
      </c>
      <c r="AI1653" s="17" t="str">
        <f>IF(AG1653="","",INDEX('quitado Despesa'!$G$1:$G$12,AG1653))</f>
        <v/>
      </c>
      <c r="AJ1653" s="17" t="str">
        <f t="shared" si="3"/>
        <v/>
      </c>
    </row>
    <row r="1654" spans="31:36">
      <c r="AE1654" s="15" t="str">
        <f t="shared" si="0"/>
        <v/>
      </c>
      <c r="AF1654" s="15" t="str">
        <f t="shared" si="1"/>
        <v/>
      </c>
      <c r="AG1654" s="15" t="str">
        <f>IF(OR(AF1654="",AF1654="ERRO_CHAVE"),"",IFERROR(MATCH(AF1654,'quitado Despesa'!$V$1:$V$12,0),""))</f>
        <v/>
      </c>
      <c r="AH1654" s="15" t="str">
        <f t="shared" si="2"/>
        <v/>
      </c>
      <c r="AI1654" s="17" t="str">
        <f>IF(AG1654="","",INDEX('quitado Despesa'!$G$1:$G$12,AG1654))</f>
        <v/>
      </c>
      <c r="AJ1654" s="17" t="str">
        <f t="shared" si="3"/>
        <v/>
      </c>
    </row>
    <row r="1655" spans="31:36">
      <c r="AE1655" s="15" t="str">
        <f t="shared" si="0"/>
        <v/>
      </c>
      <c r="AF1655" s="15" t="str">
        <f t="shared" si="1"/>
        <v/>
      </c>
      <c r="AG1655" s="15" t="str">
        <f>IF(OR(AF1655="",AF1655="ERRO_CHAVE"),"",IFERROR(MATCH(AF1655,'quitado Despesa'!$V$1:$V$12,0),""))</f>
        <v/>
      </c>
      <c r="AH1655" s="15" t="str">
        <f t="shared" si="2"/>
        <v/>
      </c>
      <c r="AI1655" s="17" t="str">
        <f>IF(AG1655="","",INDEX('quitado Despesa'!$G$1:$G$12,AG1655))</f>
        <v/>
      </c>
      <c r="AJ1655" s="17" t="str">
        <f t="shared" si="3"/>
        <v/>
      </c>
    </row>
    <row r="1656" spans="31:36">
      <c r="AE1656" s="15" t="str">
        <f t="shared" si="0"/>
        <v/>
      </c>
      <c r="AF1656" s="15" t="str">
        <f t="shared" si="1"/>
        <v/>
      </c>
      <c r="AG1656" s="15" t="str">
        <f>IF(OR(AF1656="",AF1656="ERRO_CHAVE"),"",IFERROR(MATCH(AF1656,'quitado Despesa'!$V$1:$V$12,0),""))</f>
        <v/>
      </c>
      <c r="AH1656" s="15" t="str">
        <f t="shared" si="2"/>
        <v/>
      </c>
      <c r="AI1656" s="17" t="str">
        <f>IF(AG1656="","",INDEX('quitado Despesa'!$G$1:$G$12,AG1656))</f>
        <v/>
      </c>
      <c r="AJ1656" s="17" t="str">
        <f t="shared" si="3"/>
        <v/>
      </c>
    </row>
    <row r="1657" spans="31:36">
      <c r="AE1657" s="15" t="str">
        <f t="shared" si="0"/>
        <v/>
      </c>
      <c r="AF1657" s="15" t="str">
        <f t="shared" si="1"/>
        <v/>
      </c>
      <c r="AG1657" s="15" t="str">
        <f>IF(OR(AF1657="",AF1657="ERRO_CHAVE"),"",IFERROR(MATCH(AF1657,'quitado Despesa'!$V$1:$V$12,0),""))</f>
        <v/>
      </c>
      <c r="AH1657" s="15" t="str">
        <f t="shared" si="2"/>
        <v/>
      </c>
      <c r="AI1657" s="17" t="str">
        <f>IF(AG1657="","",INDEX('quitado Despesa'!$G$1:$G$12,AG1657))</f>
        <v/>
      </c>
      <c r="AJ1657" s="17" t="str">
        <f t="shared" si="3"/>
        <v/>
      </c>
    </row>
    <row r="1658" spans="31:36">
      <c r="AE1658" s="15" t="str">
        <f t="shared" si="0"/>
        <v/>
      </c>
      <c r="AF1658" s="15" t="str">
        <f t="shared" si="1"/>
        <v/>
      </c>
      <c r="AG1658" s="15" t="str">
        <f>IF(OR(AF1658="",AF1658="ERRO_CHAVE"),"",IFERROR(MATCH(AF1658,'quitado Despesa'!$V$1:$V$12,0),""))</f>
        <v/>
      </c>
      <c r="AH1658" s="15" t="str">
        <f t="shared" si="2"/>
        <v/>
      </c>
      <c r="AI1658" s="17" t="str">
        <f>IF(AG1658="","",INDEX('quitado Despesa'!$G$1:$G$12,AG1658))</f>
        <v/>
      </c>
      <c r="AJ1658" s="17" t="str">
        <f t="shared" si="3"/>
        <v/>
      </c>
    </row>
    <row r="1659" spans="31:36">
      <c r="AE1659" s="15" t="str">
        <f t="shared" si="0"/>
        <v/>
      </c>
      <c r="AF1659" s="15" t="str">
        <f t="shared" si="1"/>
        <v/>
      </c>
      <c r="AG1659" s="15" t="str">
        <f>IF(OR(AF1659="",AF1659="ERRO_CHAVE"),"",IFERROR(MATCH(AF1659,'quitado Despesa'!$V$1:$V$12,0),""))</f>
        <v/>
      </c>
      <c r="AH1659" s="15" t="str">
        <f t="shared" si="2"/>
        <v/>
      </c>
      <c r="AI1659" s="17" t="str">
        <f>IF(AG1659="","",INDEX('quitado Despesa'!$G$1:$G$12,AG1659))</f>
        <v/>
      </c>
      <c r="AJ1659" s="17" t="str">
        <f t="shared" si="3"/>
        <v/>
      </c>
    </row>
    <row r="1660" spans="31:36">
      <c r="AE1660" s="15" t="str">
        <f t="shared" si="0"/>
        <v/>
      </c>
      <c r="AF1660" s="15" t="str">
        <f t="shared" si="1"/>
        <v/>
      </c>
      <c r="AG1660" s="15" t="str">
        <f>IF(OR(AF1660="",AF1660="ERRO_CHAVE"),"",IFERROR(MATCH(AF1660,'quitado Despesa'!$V$1:$V$12,0),""))</f>
        <v/>
      </c>
      <c r="AH1660" s="15" t="str">
        <f t="shared" si="2"/>
        <v/>
      </c>
      <c r="AI1660" s="17" t="str">
        <f>IF(AG1660="","",INDEX('quitado Despesa'!$G$1:$G$12,AG1660))</f>
        <v/>
      </c>
      <c r="AJ1660" s="17" t="str">
        <f t="shared" si="3"/>
        <v/>
      </c>
    </row>
    <row r="1661" spans="31:36">
      <c r="AE1661" s="15" t="str">
        <f t="shared" si="0"/>
        <v/>
      </c>
      <c r="AF1661" s="15" t="str">
        <f t="shared" si="1"/>
        <v/>
      </c>
      <c r="AG1661" s="15" t="str">
        <f>IF(OR(AF1661="",AF1661="ERRO_CHAVE"),"",IFERROR(MATCH(AF1661,'quitado Despesa'!$V$1:$V$12,0),""))</f>
        <v/>
      </c>
      <c r="AH1661" s="15" t="str">
        <f t="shared" si="2"/>
        <v/>
      </c>
      <c r="AI1661" s="17" t="str">
        <f>IF(AG1661="","",INDEX('quitado Despesa'!$G$1:$G$12,AG1661))</f>
        <v/>
      </c>
      <c r="AJ1661" s="17" t="str">
        <f t="shared" si="3"/>
        <v/>
      </c>
    </row>
    <row r="1662" spans="31:36">
      <c r="AE1662" s="15" t="str">
        <f t="shared" si="0"/>
        <v/>
      </c>
      <c r="AF1662" s="15" t="str">
        <f t="shared" si="1"/>
        <v/>
      </c>
      <c r="AG1662" s="15" t="str">
        <f>IF(OR(AF1662="",AF1662="ERRO_CHAVE"),"",IFERROR(MATCH(AF1662,'quitado Despesa'!$V$1:$V$12,0),""))</f>
        <v/>
      </c>
      <c r="AH1662" s="15" t="str">
        <f t="shared" si="2"/>
        <v/>
      </c>
      <c r="AI1662" s="17" t="str">
        <f>IF(AG1662="","",INDEX('quitado Despesa'!$G$1:$G$12,AG1662))</f>
        <v/>
      </c>
      <c r="AJ1662" s="17" t="str">
        <f t="shared" si="3"/>
        <v/>
      </c>
    </row>
    <row r="1663" spans="31:36">
      <c r="AE1663" s="15" t="str">
        <f t="shared" si="0"/>
        <v/>
      </c>
      <c r="AF1663" s="15" t="str">
        <f t="shared" si="1"/>
        <v/>
      </c>
      <c r="AG1663" s="15" t="str">
        <f>IF(OR(AF1663="",AF1663="ERRO_CHAVE"),"",IFERROR(MATCH(AF1663,'quitado Despesa'!$V$1:$V$12,0),""))</f>
        <v/>
      </c>
      <c r="AH1663" s="15" t="str">
        <f t="shared" si="2"/>
        <v/>
      </c>
      <c r="AI1663" s="17" t="str">
        <f>IF(AG1663="","",INDEX('quitado Despesa'!$G$1:$G$12,AG1663))</f>
        <v/>
      </c>
      <c r="AJ1663" s="17" t="str">
        <f t="shared" si="3"/>
        <v/>
      </c>
    </row>
    <row r="1664" spans="31:36">
      <c r="AE1664" s="15" t="str">
        <f t="shared" si="0"/>
        <v/>
      </c>
      <c r="AF1664" s="15" t="str">
        <f t="shared" si="1"/>
        <v/>
      </c>
      <c r="AG1664" s="15" t="str">
        <f>IF(OR(AF1664="",AF1664="ERRO_CHAVE"),"",IFERROR(MATCH(AF1664,'quitado Despesa'!$V$1:$V$12,0),""))</f>
        <v/>
      </c>
      <c r="AH1664" s="15" t="str">
        <f t="shared" si="2"/>
        <v/>
      </c>
      <c r="AI1664" s="17" t="str">
        <f>IF(AG1664="","",INDEX('quitado Despesa'!$G$1:$G$12,AG1664))</f>
        <v/>
      </c>
      <c r="AJ1664" s="17" t="str">
        <f t="shared" si="3"/>
        <v/>
      </c>
    </row>
    <row r="1665" spans="31:36">
      <c r="AE1665" s="15" t="str">
        <f t="shared" si="0"/>
        <v/>
      </c>
      <c r="AF1665" s="15" t="str">
        <f t="shared" si="1"/>
        <v/>
      </c>
      <c r="AG1665" s="15" t="str">
        <f>IF(OR(AF1665="",AF1665="ERRO_CHAVE"),"",IFERROR(MATCH(AF1665,'quitado Despesa'!$V$1:$V$12,0),""))</f>
        <v/>
      </c>
      <c r="AH1665" s="15" t="str">
        <f t="shared" si="2"/>
        <v/>
      </c>
      <c r="AI1665" s="17" t="str">
        <f>IF(AG1665="","",INDEX('quitado Despesa'!$G$1:$G$12,AG1665))</f>
        <v/>
      </c>
      <c r="AJ1665" s="17" t="str">
        <f t="shared" si="3"/>
        <v/>
      </c>
    </row>
    <row r="1666" spans="31:36">
      <c r="AE1666" s="15" t="str">
        <f t="shared" si="0"/>
        <v/>
      </c>
      <c r="AF1666" s="15" t="str">
        <f t="shared" si="1"/>
        <v/>
      </c>
      <c r="AG1666" s="15" t="str">
        <f>IF(OR(AF1666="",AF1666="ERRO_CHAVE"),"",IFERROR(MATCH(AF1666,'quitado Despesa'!$V$1:$V$12,0),""))</f>
        <v/>
      </c>
      <c r="AH1666" s="15" t="str">
        <f t="shared" si="2"/>
        <v/>
      </c>
      <c r="AI1666" s="17" t="str">
        <f>IF(AG1666="","",INDEX('quitado Despesa'!$G$1:$G$12,AG1666))</f>
        <v/>
      </c>
      <c r="AJ1666" s="17" t="str">
        <f t="shared" si="3"/>
        <v/>
      </c>
    </row>
    <row r="1667" spans="31:36">
      <c r="AE1667" s="15" t="str">
        <f t="shared" si="0"/>
        <v/>
      </c>
      <c r="AF1667" s="15" t="str">
        <f t="shared" si="1"/>
        <v/>
      </c>
      <c r="AG1667" s="15" t="str">
        <f>IF(OR(AF1667="",AF1667="ERRO_CHAVE"),"",IFERROR(MATCH(AF1667,'quitado Despesa'!$V$1:$V$12,0),""))</f>
        <v/>
      </c>
      <c r="AH1667" s="15" t="str">
        <f t="shared" si="2"/>
        <v/>
      </c>
      <c r="AI1667" s="17" t="str">
        <f>IF(AG1667="","",INDEX('quitado Despesa'!$G$1:$G$12,AG1667))</f>
        <v/>
      </c>
      <c r="AJ1667" s="17" t="str">
        <f t="shared" si="3"/>
        <v/>
      </c>
    </row>
    <row r="1668" spans="31:36">
      <c r="AE1668" s="15" t="str">
        <f t="shared" si="0"/>
        <v/>
      </c>
      <c r="AF1668" s="15" t="str">
        <f t="shared" si="1"/>
        <v/>
      </c>
      <c r="AG1668" s="15" t="str">
        <f>IF(OR(AF1668="",AF1668="ERRO_CHAVE"),"",IFERROR(MATCH(AF1668,'quitado Despesa'!$V$1:$V$12,0),""))</f>
        <v/>
      </c>
      <c r="AH1668" s="15" t="str">
        <f t="shared" si="2"/>
        <v/>
      </c>
      <c r="AI1668" s="17" t="str">
        <f>IF(AG1668="","",INDEX('quitado Despesa'!$G$1:$G$12,AG1668))</f>
        <v/>
      </c>
      <c r="AJ1668" s="17" t="str">
        <f t="shared" si="3"/>
        <v/>
      </c>
    </row>
    <row r="1669" spans="31:36">
      <c r="AE1669" s="15" t="str">
        <f t="shared" si="0"/>
        <v/>
      </c>
      <c r="AF1669" s="15" t="str">
        <f t="shared" si="1"/>
        <v/>
      </c>
      <c r="AG1669" s="15" t="str">
        <f>IF(OR(AF1669="",AF1669="ERRO_CHAVE"),"",IFERROR(MATCH(AF1669,'quitado Despesa'!$V$1:$V$12,0),""))</f>
        <v/>
      </c>
      <c r="AH1669" s="15" t="str">
        <f t="shared" si="2"/>
        <v/>
      </c>
      <c r="AI1669" s="17" t="str">
        <f>IF(AG1669="","",INDEX('quitado Despesa'!$G$1:$G$12,AG1669))</f>
        <v/>
      </c>
      <c r="AJ1669" s="17" t="str">
        <f t="shared" si="3"/>
        <v/>
      </c>
    </row>
    <row r="1670" spans="31:36">
      <c r="AE1670" s="15" t="str">
        <f t="shared" si="0"/>
        <v/>
      </c>
      <c r="AF1670" s="15" t="str">
        <f t="shared" si="1"/>
        <v/>
      </c>
      <c r="AG1670" s="15" t="str">
        <f>IF(OR(AF1670="",AF1670="ERRO_CHAVE"),"",IFERROR(MATCH(AF1670,'quitado Despesa'!$V$1:$V$12,0),""))</f>
        <v/>
      </c>
      <c r="AH1670" s="15" t="str">
        <f t="shared" si="2"/>
        <v/>
      </c>
      <c r="AI1670" s="17" t="str">
        <f>IF(AG1670="","",INDEX('quitado Despesa'!$G$1:$G$12,AG1670))</f>
        <v/>
      </c>
      <c r="AJ1670" s="17" t="str">
        <f t="shared" si="3"/>
        <v/>
      </c>
    </row>
    <row r="1671" spans="31:36">
      <c r="AE1671" s="15" t="str">
        <f t="shared" si="0"/>
        <v/>
      </c>
      <c r="AF1671" s="15" t="str">
        <f t="shared" si="1"/>
        <v/>
      </c>
      <c r="AG1671" s="15" t="str">
        <f>IF(OR(AF1671="",AF1671="ERRO_CHAVE"),"",IFERROR(MATCH(AF1671,'quitado Despesa'!$V$1:$V$12,0),""))</f>
        <v/>
      </c>
      <c r="AH1671" s="15" t="str">
        <f t="shared" si="2"/>
        <v/>
      </c>
      <c r="AI1671" s="17" t="str">
        <f>IF(AG1671="","",INDEX('quitado Despesa'!$G$1:$G$12,AG1671))</f>
        <v/>
      </c>
      <c r="AJ1671" s="17" t="str">
        <f t="shared" si="3"/>
        <v/>
      </c>
    </row>
    <row r="1672" spans="31:36">
      <c r="AE1672" s="15" t="str">
        <f t="shared" si="0"/>
        <v/>
      </c>
      <c r="AF1672" s="15" t="str">
        <f t="shared" si="1"/>
        <v/>
      </c>
      <c r="AG1672" s="15" t="str">
        <f>IF(OR(AF1672="",AF1672="ERRO_CHAVE"),"",IFERROR(MATCH(AF1672,'quitado Despesa'!$V$1:$V$12,0),""))</f>
        <v/>
      </c>
      <c r="AH1672" s="15" t="str">
        <f t="shared" si="2"/>
        <v/>
      </c>
      <c r="AI1672" s="17" t="str">
        <f>IF(AG1672="","",INDEX('quitado Despesa'!$G$1:$G$12,AG1672))</f>
        <v/>
      </c>
      <c r="AJ1672" s="17" t="str">
        <f t="shared" si="3"/>
        <v/>
      </c>
    </row>
    <row r="1673" spans="31:36">
      <c r="AE1673" s="15" t="str">
        <f t="shared" si="0"/>
        <v/>
      </c>
      <c r="AF1673" s="15" t="str">
        <f t="shared" si="1"/>
        <v/>
      </c>
      <c r="AG1673" s="15" t="str">
        <f>IF(OR(AF1673="",AF1673="ERRO_CHAVE"),"",IFERROR(MATCH(AF1673,'quitado Despesa'!$V$1:$V$12,0),""))</f>
        <v/>
      </c>
      <c r="AH1673" s="15" t="str">
        <f t="shared" si="2"/>
        <v/>
      </c>
      <c r="AI1673" s="17" t="str">
        <f>IF(AG1673="","",INDEX('quitado Despesa'!$G$1:$G$12,AG1673))</f>
        <v/>
      </c>
      <c r="AJ1673" s="17" t="str">
        <f t="shared" si="3"/>
        <v/>
      </c>
    </row>
    <row r="1674" spans="31:36">
      <c r="AE1674" s="15" t="str">
        <f t="shared" si="0"/>
        <v/>
      </c>
      <c r="AF1674" s="15" t="str">
        <f t="shared" si="1"/>
        <v/>
      </c>
      <c r="AG1674" s="15" t="str">
        <f>IF(OR(AF1674="",AF1674="ERRO_CHAVE"),"",IFERROR(MATCH(AF1674,'quitado Despesa'!$V$1:$V$12,0),""))</f>
        <v/>
      </c>
      <c r="AH1674" s="15" t="str">
        <f t="shared" si="2"/>
        <v/>
      </c>
      <c r="AI1674" s="17" t="str">
        <f>IF(AG1674="","",INDEX('quitado Despesa'!$G$1:$G$12,AG1674))</f>
        <v/>
      </c>
      <c r="AJ1674" s="17" t="str">
        <f t="shared" si="3"/>
        <v/>
      </c>
    </row>
    <row r="1675" spans="31:36">
      <c r="AE1675" s="15" t="str">
        <f t="shared" si="0"/>
        <v/>
      </c>
      <c r="AF1675" s="15" t="str">
        <f t="shared" si="1"/>
        <v/>
      </c>
      <c r="AG1675" s="15" t="str">
        <f>IF(OR(AF1675="",AF1675="ERRO_CHAVE"),"",IFERROR(MATCH(AF1675,'quitado Despesa'!$V$1:$V$12,0),""))</f>
        <v/>
      </c>
      <c r="AH1675" s="15" t="str">
        <f t="shared" si="2"/>
        <v/>
      </c>
      <c r="AI1675" s="17" t="str">
        <f>IF(AG1675="","",INDEX('quitado Despesa'!$G$1:$G$12,AG1675))</f>
        <v/>
      </c>
      <c r="AJ1675" s="17" t="str">
        <f t="shared" si="3"/>
        <v/>
      </c>
    </row>
    <row r="1676" spans="31:36">
      <c r="AE1676" s="15" t="str">
        <f t="shared" si="0"/>
        <v/>
      </c>
      <c r="AF1676" s="15" t="str">
        <f t="shared" si="1"/>
        <v/>
      </c>
      <c r="AG1676" s="15" t="str">
        <f>IF(OR(AF1676="",AF1676="ERRO_CHAVE"),"",IFERROR(MATCH(AF1676,'quitado Despesa'!$V$1:$V$12,0),""))</f>
        <v/>
      </c>
      <c r="AH1676" s="15" t="str">
        <f t="shared" si="2"/>
        <v/>
      </c>
      <c r="AI1676" s="17" t="str">
        <f>IF(AG1676="","",INDEX('quitado Despesa'!$G$1:$G$12,AG1676))</f>
        <v/>
      </c>
      <c r="AJ1676" s="17" t="str">
        <f t="shared" si="3"/>
        <v/>
      </c>
    </row>
    <row r="1677" spans="31:36">
      <c r="AE1677" s="15" t="str">
        <f t="shared" si="0"/>
        <v/>
      </c>
      <c r="AF1677" s="15" t="str">
        <f t="shared" si="1"/>
        <v/>
      </c>
      <c r="AG1677" s="15" t="str">
        <f>IF(OR(AF1677="",AF1677="ERRO_CHAVE"),"",IFERROR(MATCH(AF1677,'quitado Despesa'!$V$1:$V$12,0),""))</f>
        <v/>
      </c>
      <c r="AH1677" s="15" t="str">
        <f t="shared" si="2"/>
        <v/>
      </c>
      <c r="AI1677" s="17" t="str">
        <f>IF(AG1677="","",INDEX('quitado Despesa'!$G$1:$G$12,AG1677))</f>
        <v/>
      </c>
      <c r="AJ1677" s="17" t="str">
        <f t="shared" si="3"/>
        <v/>
      </c>
    </row>
    <row r="1678" spans="31:36">
      <c r="AE1678" s="15" t="str">
        <f t="shared" si="0"/>
        <v/>
      </c>
      <c r="AF1678" s="15" t="str">
        <f t="shared" si="1"/>
        <v/>
      </c>
      <c r="AG1678" s="15" t="str">
        <f>IF(OR(AF1678="",AF1678="ERRO_CHAVE"),"",IFERROR(MATCH(AF1678,'quitado Despesa'!$V$1:$V$12,0),""))</f>
        <v/>
      </c>
      <c r="AH1678" s="15" t="str">
        <f t="shared" si="2"/>
        <v/>
      </c>
      <c r="AI1678" s="17" t="str">
        <f>IF(AG1678="","",INDEX('quitado Despesa'!$G$1:$G$12,AG1678))</f>
        <v/>
      </c>
      <c r="AJ1678" s="17" t="str">
        <f t="shared" si="3"/>
        <v/>
      </c>
    </row>
    <row r="1679" spans="31:36">
      <c r="AE1679" s="15" t="str">
        <f t="shared" si="0"/>
        <v/>
      </c>
      <c r="AF1679" s="15" t="str">
        <f t="shared" si="1"/>
        <v/>
      </c>
      <c r="AG1679" s="15" t="str">
        <f>IF(OR(AF1679="",AF1679="ERRO_CHAVE"),"",IFERROR(MATCH(AF1679,'quitado Despesa'!$V$1:$V$12,0),""))</f>
        <v/>
      </c>
      <c r="AH1679" s="15" t="str">
        <f t="shared" si="2"/>
        <v/>
      </c>
      <c r="AI1679" s="17" t="str">
        <f>IF(AG1679="","",INDEX('quitado Despesa'!$G$1:$G$12,AG1679))</f>
        <v/>
      </c>
      <c r="AJ1679" s="17" t="str">
        <f t="shared" si="3"/>
        <v/>
      </c>
    </row>
    <row r="1680" spans="31:36">
      <c r="AE1680" s="15" t="str">
        <f t="shared" si="0"/>
        <v/>
      </c>
      <c r="AF1680" s="15" t="str">
        <f t="shared" si="1"/>
        <v/>
      </c>
      <c r="AG1680" s="15" t="str">
        <f>IF(OR(AF1680="",AF1680="ERRO_CHAVE"),"",IFERROR(MATCH(AF1680,'quitado Despesa'!$V$1:$V$12,0),""))</f>
        <v/>
      </c>
      <c r="AH1680" s="15" t="str">
        <f t="shared" si="2"/>
        <v/>
      </c>
      <c r="AI1680" s="17" t="str">
        <f>IF(AG1680="","",INDEX('quitado Despesa'!$G$1:$G$12,AG1680))</f>
        <v/>
      </c>
      <c r="AJ1680" s="17" t="str">
        <f t="shared" si="3"/>
        <v/>
      </c>
    </row>
    <row r="1681" spans="31:36">
      <c r="AE1681" s="15" t="str">
        <f t="shared" si="0"/>
        <v/>
      </c>
      <c r="AF1681" s="15" t="str">
        <f t="shared" si="1"/>
        <v/>
      </c>
      <c r="AG1681" s="15" t="str">
        <f>IF(OR(AF1681="",AF1681="ERRO_CHAVE"),"",IFERROR(MATCH(AF1681,'quitado Despesa'!$V$1:$V$12,0),""))</f>
        <v/>
      </c>
      <c r="AH1681" s="15" t="str">
        <f t="shared" si="2"/>
        <v/>
      </c>
      <c r="AI1681" s="17" t="str">
        <f>IF(AG1681="","",INDEX('quitado Despesa'!$G$1:$G$12,AG1681))</f>
        <v/>
      </c>
      <c r="AJ1681" s="17" t="str">
        <f t="shared" si="3"/>
        <v/>
      </c>
    </row>
    <row r="1682" spans="31:36">
      <c r="AE1682" s="15" t="str">
        <f t="shared" si="0"/>
        <v/>
      </c>
      <c r="AF1682" s="15" t="str">
        <f t="shared" si="1"/>
        <v/>
      </c>
      <c r="AG1682" s="15" t="str">
        <f>IF(OR(AF1682="",AF1682="ERRO_CHAVE"),"",IFERROR(MATCH(AF1682,'quitado Despesa'!$V$1:$V$12,0),""))</f>
        <v/>
      </c>
      <c r="AH1682" s="15" t="str">
        <f t="shared" si="2"/>
        <v/>
      </c>
      <c r="AI1682" s="17" t="str">
        <f>IF(AG1682="","",INDEX('quitado Despesa'!$G$1:$G$12,AG1682))</f>
        <v/>
      </c>
      <c r="AJ1682" s="17" t="str">
        <f t="shared" si="3"/>
        <v/>
      </c>
    </row>
    <row r="1683" spans="31:36">
      <c r="AE1683" s="15" t="str">
        <f t="shared" si="0"/>
        <v/>
      </c>
      <c r="AF1683" s="15" t="str">
        <f t="shared" si="1"/>
        <v/>
      </c>
      <c r="AG1683" s="15" t="str">
        <f>IF(OR(AF1683="",AF1683="ERRO_CHAVE"),"",IFERROR(MATCH(AF1683,'quitado Despesa'!$V$1:$V$12,0),""))</f>
        <v/>
      </c>
      <c r="AH1683" s="15" t="str">
        <f t="shared" si="2"/>
        <v/>
      </c>
      <c r="AI1683" s="17" t="str">
        <f>IF(AG1683="","",INDEX('quitado Despesa'!$G$1:$G$12,AG1683))</f>
        <v/>
      </c>
      <c r="AJ1683" s="17" t="str">
        <f t="shared" si="3"/>
        <v/>
      </c>
    </row>
    <row r="1684" spans="31:36">
      <c r="AE1684" s="15" t="str">
        <f t="shared" si="0"/>
        <v/>
      </c>
      <c r="AF1684" s="15" t="str">
        <f t="shared" si="1"/>
        <v/>
      </c>
      <c r="AG1684" s="15" t="str">
        <f>IF(OR(AF1684="",AF1684="ERRO_CHAVE"),"",IFERROR(MATCH(AF1684,'quitado Despesa'!$V$1:$V$12,0),""))</f>
        <v/>
      </c>
      <c r="AH1684" s="15" t="str">
        <f t="shared" si="2"/>
        <v/>
      </c>
      <c r="AI1684" s="17" t="str">
        <f>IF(AG1684="","",INDEX('quitado Despesa'!$G$1:$G$12,AG1684))</f>
        <v/>
      </c>
      <c r="AJ1684" s="17" t="str">
        <f t="shared" si="3"/>
        <v/>
      </c>
    </row>
    <row r="1685" spans="31:36">
      <c r="AE1685" s="15" t="str">
        <f t="shared" si="0"/>
        <v/>
      </c>
      <c r="AF1685" s="15" t="str">
        <f t="shared" si="1"/>
        <v/>
      </c>
      <c r="AG1685" s="15" t="str">
        <f>IF(OR(AF1685="",AF1685="ERRO_CHAVE"),"",IFERROR(MATCH(AF1685,'quitado Despesa'!$V$1:$V$12,0),""))</f>
        <v/>
      </c>
      <c r="AH1685" s="15" t="str">
        <f t="shared" si="2"/>
        <v/>
      </c>
      <c r="AI1685" s="17" t="str">
        <f>IF(AG1685="","",INDEX('quitado Despesa'!$G$1:$G$12,AG1685))</f>
        <v/>
      </c>
      <c r="AJ1685" s="17" t="str">
        <f t="shared" si="3"/>
        <v/>
      </c>
    </row>
    <row r="1686" spans="31:36">
      <c r="AE1686" s="15" t="str">
        <f t="shared" si="0"/>
        <v/>
      </c>
      <c r="AF1686" s="15" t="str">
        <f t="shared" si="1"/>
        <v/>
      </c>
      <c r="AG1686" s="15" t="str">
        <f>IF(OR(AF1686="",AF1686="ERRO_CHAVE"),"",IFERROR(MATCH(AF1686,'quitado Despesa'!$V$1:$V$12,0),""))</f>
        <v/>
      </c>
      <c r="AH1686" s="15" t="str">
        <f t="shared" si="2"/>
        <v/>
      </c>
      <c r="AI1686" s="17" t="str">
        <f>IF(AG1686="","",INDEX('quitado Despesa'!$G$1:$G$12,AG1686))</f>
        <v/>
      </c>
      <c r="AJ1686" s="17" t="str">
        <f t="shared" si="3"/>
        <v/>
      </c>
    </row>
    <row r="1687" spans="31:36">
      <c r="AE1687" s="15" t="str">
        <f t="shared" si="0"/>
        <v/>
      </c>
      <c r="AF1687" s="15" t="str">
        <f t="shared" si="1"/>
        <v/>
      </c>
      <c r="AG1687" s="15" t="str">
        <f>IF(OR(AF1687="",AF1687="ERRO_CHAVE"),"",IFERROR(MATCH(AF1687,'quitado Despesa'!$V$1:$V$12,0),""))</f>
        <v/>
      </c>
      <c r="AH1687" s="15" t="str">
        <f t="shared" si="2"/>
        <v/>
      </c>
      <c r="AI1687" s="17" t="str">
        <f>IF(AG1687="","",INDEX('quitado Despesa'!$G$1:$G$12,AG1687))</f>
        <v/>
      </c>
      <c r="AJ1687" s="17" t="str">
        <f t="shared" si="3"/>
        <v/>
      </c>
    </row>
    <row r="1688" spans="31:36">
      <c r="AE1688" s="15" t="str">
        <f t="shared" si="0"/>
        <v/>
      </c>
      <c r="AF1688" s="15" t="str">
        <f t="shared" si="1"/>
        <v/>
      </c>
      <c r="AG1688" s="15" t="str">
        <f>IF(OR(AF1688="",AF1688="ERRO_CHAVE"),"",IFERROR(MATCH(AF1688,'quitado Despesa'!$V$1:$V$12,0),""))</f>
        <v/>
      </c>
      <c r="AH1688" s="15" t="str">
        <f t="shared" si="2"/>
        <v/>
      </c>
      <c r="AI1688" s="17" t="str">
        <f>IF(AG1688="","",INDEX('quitado Despesa'!$G$1:$G$12,AG1688))</f>
        <v/>
      </c>
      <c r="AJ1688" s="17" t="str">
        <f t="shared" si="3"/>
        <v/>
      </c>
    </row>
    <row r="1689" spans="31:36">
      <c r="AE1689" s="15" t="str">
        <f t="shared" si="0"/>
        <v/>
      </c>
      <c r="AF1689" s="15" t="str">
        <f t="shared" si="1"/>
        <v/>
      </c>
      <c r="AG1689" s="15" t="str">
        <f>IF(OR(AF1689="",AF1689="ERRO_CHAVE"),"",IFERROR(MATCH(AF1689,'quitado Despesa'!$V$1:$V$12,0),""))</f>
        <v/>
      </c>
      <c r="AH1689" s="15" t="str">
        <f t="shared" si="2"/>
        <v/>
      </c>
      <c r="AI1689" s="17" t="str">
        <f>IF(AG1689="","",INDEX('quitado Despesa'!$G$1:$G$12,AG1689))</f>
        <v/>
      </c>
      <c r="AJ1689" s="17" t="str">
        <f t="shared" si="3"/>
        <v/>
      </c>
    </row>
    <row r="1690" spans="31:36">
      <c r="AE1690" s="15" t="str">
        <f t="shared" si="0"/>
        <v/>
      </c>
      <c r="AF1690" s="15" t="str">
        <f t="shared" si="1"/>
        <v/>
      </c>
      <c r="AG1690" s="15" t="str">
        <f>IF(OR(AF1690="",AF1690="ERRO_CHAVE"),"",IFERROR(MATCH(AF1690,'quitado Despesa'!$V$1:$V$12,0),""))</f>
        <v/>
      </c>
      <c r="AH1690" s="15" t="str">
        <f t="shared" si="2"/>
        <v/>
      </c>
      <c r="AI1690" s="17" t="str">
        <f>IF(AG1690="","",INDEX('quitado Despesa'!$G$1:$G$12,AG1690))</f>
        <v/>
      </c>
      <c r="AJ1690" s="17" t="str">
        <f t="shared" si="3"/>
        <v/>
      </c>
    </row>
    <row r="1691" spans="31:36">
      <c r="AE1691" s="15" t="str">
        <f t="shared" si="0"/>
        <v/>
      </c>
      <c r="AF1691" s="15" t="str">
        <f t="shared" si="1"/>
        <v/>
      </c>
      <c r="AG1691" s="15" t="str">
        <f>IF(OR(AF1691="",AF1691="ERRO_CHAVE"),"",IFERROR(MATCH(AF1691,'quitado Despesa'!$V$1:$V$12,0),""))</f>
        <v/>
      </c>
      <c r="AH1691" s="15" t="str">
        <f t="shared" si="2"/>
        <v/>
      </c>
      <c r="AI1691" s="17" t="str">
        <f>IF(AG1691="","",INDEX('quitado Despesa'!$G$1:$G$12,AG1691))</f>
        <v/>
      </c>
      <c r="AJ1691" s="17" t="str">
        <f t="shared" si="3"/>
        <v/>
      </c>
    </row>
    <row r="1692" spans="31:36">
      <c r="AE1692" s="15" t="str">
        <f t="shared" si="0"/>
        <v/>
      </c>
      <c r="AF1692" s="15" t="str">
        <f t="shared" si="1"/>
        <v/>
      </c>
      <c r="AG1692" s="15" t="str">
        <f>IF(OR(AF1692="",AF1692="ERRO_CHAVE"),"",IFERROR(MATCH(AF1692,'quitado Despesa'!$V$1:$V$12,0),""))</f>
        <v/>
      </c>
      <c r="AH1692" s="15" t="str">
        <f t="shared" si="2"/>
        <v/>
      </c>
      <c r="AI1692" s="17" t="str">
        <f>IF(AG1692="","",INDEX('quitado Despesa'!$G$1:$G$12,AG1692))</f>
        <v/>
      </c>
      <c r="AJ1692" s="17" t="str">
        <f t="shared" si="3"/>
        <v/>
      </c>
    </row>
    <row r="1693" spans="31:36">
      <c r="AE1693" s="15" t="str">
        <f t="shared" si="0"/>
        <v/>
      </c>
      <c r="AF1693" s="15" t="str">
        <f t="shared" si="1"/>
        <v/>
      </c>
      <c r="AG1693" s="15" t="str">
        <f>IF(OR(AF1693="",AF1693="ERRO_CHAVE"),"",IFERROR(MATCH(AF1693,'quitado Despesa'!$V$1:$V$12,0),""))</f>
        <v/>
      </c>
      <c r="AH1693" s="15" t="str">
        <f t="shared" si="2"/>
        <v/>
      </c>
      <c r="AI1693" s="17" t="str">
        <f>IF(AG1693="","",INDEX('quitado Despesa'!$G$1:$G$12,AG1693))</f>
        <v/>
      </c>
      <c r="AJ1693" s="17" t="str">
        <f t="shared" si="3"/>
        <v/>
      </c>
    </row>
    <row r="1694" spans="31:36">
      <c r="AE1694" s="15" t="str">
        <f t="shared" si="0"/>
        <v/>
      </c>
      <c r="AF1694" s="15" t="str">
        <f t="shared" si="1"/>
        <v/>
      </c>
      <c r="AG1694" s="15" t="str">
        <f>IF(OR(AF1694="",AF1694="ERRO_CHAVE"),"",IFERROR(MATCH(AF1694,'quitado Despesa'!$V$1:$V$12,0),""))</f>
        <v/>
      </c>
      <c r="AH1694" s="15" t="str">
        <f t="shared" si="2"/>
        <v/>
      </c>
      <c r="AI1694" s="17" t="str">
        <f>IF(AG1694="","",INDEX('quitado Despesa'!$G$1:$G$12,AG1694))</f>
        <v/>
      </c>
      <c r="AJ1694" s="17" t="str">
        <f t="shared" si="3"/>
        <v/>
      </c>
    </row>
    <row r="1695" spans="31:36">
      <c r="AE1695" s="15" t="str">
        <f t="shared" si="0"/>
        <v/>
      </c>
      <c r="AF1695" s="15" t="str">
        <f t="shared" si="1"/>
        <v/>
      </c>
      <c r="AG1695" s="15" t="str">
        <f>IF(OR(AF1695="",AF1695="ERRO_CHAVE"),"",IFERROR(MATCH(AF1695,'quitado Despesa'!$V$1:$V$12,0),""))</f>
        <v/>
      </c>
      <c r="AH1695" s="15" t="str">
        <f t="shared" si="2"/>
        <v/>
      </c>
      <c r="AI1695" s="17" t="str">
        <f>IF(AG1695="","",INDEX('quitado Despesa'!$G$1:$G$12,AG1695))</f>
        <v/>
      </c>
      <c r="AJ1695" s="17" t="str">
        <f t="shared" si="3"/>
        <v/>
      </c>
    </row>
    <row r="1696" spans="31:36">
      <c r="AE1696" s="15" t="str">
        <f t="shared" si="0"/>
        <v/>
      </c>
      <c r="AF1696" s="15" t="str">
        <f t="shared" si="1"/>
        <v/>
      </c>
      <c r="AG1696" s="15" t="str">
        <f>IF(OR(AF1696="",AF1696="ERRO_CHAVE"),"",IFERROR(MATCH(AF1696,'quitado Despesa'!$V$1:$V$12,0),""))</f>
        <v/>
      </c>
      <c r="AH1696" s="15" t="str">
        <f t="shared" si="2"/>
        <v/>
      </c>
      <c r="AI1696" s="17" t="str">
        <f>IF(AG1696="","",INDEX('quitado Despesa'!$G$1:$G$12,AG1696))</f>
        <v/>
      </c>
      <c r="AJ1696" s="17" t="str">
        <f t="shared" si="3"/>
        <v/>
      </c>
    </row>
    <row r="1697" spans="31:36">
      <c r="AE1697" s="15" t="str">
        <f t="shared" si="0"/>
        <v/>
      </c>
      <c r="AF1697" s="15" t="str">
        <f t="shared" si="1"/>
        <v/>
      </c>
      <c r="AG1697" s="15" t="str">
        <f>IF(OR(AF1697="",AF1697="ERRO_CHAVE"),"",IFERROR(MATCH(AF1697,'quitado Despesa'!$V$1:$V$12,0),""))</f>
        <v/>
      </c>
      <c r="AH1697" s="15" t="str">
        <f t="shared" si="2"/>
        <v/>
      </c>
      <c r="AI1697" s="17" t="str">
        <f>IF(AG1697="","",INDEX('quitado Despesa'!$G$1:$G$12,AG1697))</f>
        <v/>
      </c>
      <c r="AJ1697" s="17" t="str">
        <f t="shared" si="3"/>
        <v/>
      </c>
    </row>
    <row r="1698" spans="31:36">
      <c r="AE1698" s="15" t="str">
        <f t="shared" si="0"/>
        <v/>
      </c>
      <c r="AF1698" s="15" t="str">
        <f t="shared" si="1"/>
        <v/>
      </c>
      <c r="AG1698" s="15" t="str">
        <f>IF(OR(AF1698="",AF1698="ERRO_CHAVE"),"",IFERROR(MATCH(AF1698,'quitado Despesa'!$V$1:$V$12,0),""))</f>
        <v/>
      </c>
      <c r="AH1698" s="15" t="str">
        <f t="shared" si="2"/>
        <v/>
      </c>
      <c r="AI1698" s="17" t="str">
        <f>IF(AG1698="","",INDEX('quitado Despesa'!$G$1:$G$12,AG1698))</f>
        <v/>
      </c>
      <c r="AJ1698" s="17" t="str">
        <f t="shared" si="3"/>
        <v/>
      </c>
    </row>
    <row r="1699" spans="31:36">
      <c r="AE1699" s="15" t="str">
        <f t="shared" si="0"/>
        <v/>
      </c>
      <c r="AF1699" s="15" t="str">
        <f t="shared" si="1"/>
        <v/>
      </c>
      <c r="AG1699" s="15" t="str">
        <f>IF(OR(AF1699="",AF1699="ERRO_CHAVE"),"",IFERROR(MATCH(AF1699,'quitado Despesa'!$V$1:$V$12,0),""))</f>
        <v/>
      </c>
      <c r="AH1699" s="15" t="str">
        <f t="shared" si="2"/>
        <v/>
      </c>
      <c r="AI1699" s="17" t="str">
        <f>IF(AG1699="","",INDEX('quitado Despesa'!$G$1:$G$12,AG1699))</f>
        <v/>
      </c>
      <c r="AJ1699" s="17" t="str">
        <f t="shared" si="3"/>
        <v/>
      </c>
    </row>
    <row r="1700" spans="31:36">
      <c r="AE1700" s="15" t="str">
        <f t="shared" si="0"/>
        <v/>
      </c>
      <c r="AF1700" s="15" t="str">
        <f t="shared" si="1"/>
        <v/>
      </c>
      <c r="AG1700" s="15" t="str">
        <f>IF(OR(AF1700="",AF1700="ERRO_CHAVE"),"",IFERROR(MATCH(AF1700,'quitado Despesa'!$V$1:$V$12,0),""))</f>
        <v/>
      </c>
      <c r="AH1700" s="15" t="str">
        <f t="shared" si="2"/>
        <v/>
      </c>
      <c r="AI1700" s="17" t="str">
        <f>IF(AG1700="","",INDEX('quitado Despesa'!$G$1:$G$12,AG1700))</f>
        <v/>
      </c>
      <c r="AJ1700" s="17" t="str">
        <f t="shared" si="3"/>
        <v/>
      </c>
    </row>
    <row r="1701" spans="31:36">
      <c r="AE1701" s="15" t="str">
        <f t="shared" si="0"/>
        <v/>
      </c>
      <c r="AF1701" s="15" t="str">
        <f t="shared" si="1"/>
        <v/>
      </c>
      <c r="AG1701" s="15" t="str">
        <f>IF(OR(AF1701="",AF1701="ERRO_CHAVE"),"",IFERROR(MATCH(AF1701,'quitado Despesa'!$V$1:$V$12,0),""))</f>
        <v/>
      </c>
      <c r="AH1701" s="15" t="str">
        <f t="shared" si="2"/>
        <v/>
      </c>
      <c r="AI1701" s="17" t="str">
        <f>IF(AG1701="","",INDEX('quitado Despesa'!$G$1:$G$12,AG1701))</f>
        <v/>
      </c>
      <c r="AJ1701" s="17" t="str">
        <f t="shared" si="3"/>
        <v/>
      </c>
    </row>
    <row r="1702" spans="31:36">
      <c r="AE1702" s="15" t="str">
        <f t="shared" si="0"/>
        <v/>
      </c>
      <c r="AF1702" s="15" t="str">
        <f t="shared" si="1"/>
        <v/>
      </c>
      <c r="AG1702" s="15" t="str">
        <f>IF(OR(AF1702="",AF1702="ERRO_CHAVE"),"",IFERROR(MATCH(AF1702,'quitado Despesa'!$V$1:$V$12,0),""))</f>
        <v/>
      </c>
      <c r="AH1702" s="15" t="str">
        <f t="shared" si="2"/>
        <v/>
      </c>
      <c r="AI1702" s="17" t="str">
        <f>IF(AG1702="","",INDEX('quitado Despesa'!$G$1:$G$12,AG1702))</f>
        <v/>
      </c>
      <c r="AJ1702" s="17" t="str">
        <f t="shared" si="3"/>
        <v/>
      </c>
    </row>
    <row r="1703" spans="31:36">
      <c r="AE1703" s="15" t="str">
        <f t="shared" si="0"/>
        <v/>
      </c>
      <c r="AF1703" s="15" t="str">
        <f t="shared" si="1"/>
        <v/>
      </c>
      <c r="AG1703" s="15" t="str">
        <f>IF(OR(AF1703="",AF1703="ERRO_CHAVE"),"",IFERROR(MATCH(AF1703,'quitado Despesa'!$V$1:$V$12,0),""))</f>
        <v/>
      </c>
      <c r="AH1703" s="15" t="str">
        <f t="shared" si="2"/>
        <v/>
      </c>
      <c r="AI1703" s="17" t="str">
        <f>IF(AG1703="","",INDEX('quitado Despesa'!$G$1:$G$12,AG1703))</f>
        <v/>
      </c>
      <c r="AJ1703" s="17" t="str">
        <f t="shared" si="3"/>
        <v/>
      </c>
    </row>
    <row r="1704" spans="31:36">
      <c r="AE1704" s="15" t="str">
        <f t="shared" si="0"/>
        <v/>
      </c>
      <c r="AF1704" s="15" t="str">
        <f t="shared" si="1"/>
        <v/>
      </c>
      <c r="AG1704" s="15" t="str">
        <f>IF(OR(AF1704="",AF1704="ERRO_CHAVE"),"",IFERROR(MATCH(AF1704,'quitado Despesa'!$V$1:$V$12,0),""))</f>
        <v/>
      </c>
      <c r="AH1704" s="15" t="str">
        <f t="shared" si="2"/>
        <v/>
      </c>
      <c r="AI1704" s="17" t="str">
        <f>IF(AG1704="","",INDEX('quitado Despesa'!$G$1:$G$12,AG1704))</f>
        <v/>
      </c>
      <c r="AJ1704" s="17" t="str">
        <f t="shared" si="3"/>
        <v/>
      </c>
    </row>
    <row r="1705" spans="31:36">
      <c r="AE1705" s="15" t="str">
        <f t="shared" si="0"/>
        <v/>
      </c>
      <c r="AF1705" s="15" t="str">
        <f t="shared" si="1"/>
        <v/>
      </c>
      <c r="AG1705" s="15" t="str">
        <f>IF(OR(AF1705="",AF1705="ERRO_CHAVE"),"",IFERROR(MATCH(AF1705,'quitado Despesa'!$V$1:$V$12,0),""))</f>
        <v/>
      </c>
      <c r="AH1705" s="15" t="str">
        <f t="shared" si="2"/>
        <v/>
      </c>
      <c r="AI1705" s="17" t="str">
        <f>IF(AG1705="","",INDEX('quitado Despesa'!$G$1:$G$12,AG1705))</f>
        <v/>
      </c>
      <c r="AJ1705" s="17" t="str">
        <f t="shared" si="3"/>
        <v/>
      </c>
    </row>
    <row r="1706" spans="31:36">
      <c r="AE1706" s="15" t="str">
        <f t="shared" si="0"/>
        <v/>
      </c>
      <c r="AF1706" s="15" t="str">
        <f t="shared" si="1"/>
        <v/>
      </c>
      <c r="AG1706" s="15" t="str">
        <f>IF(OR(AF1706="",AF1706="ERRO_CHAVE"),"",IFERROR(MATCH(AF1706,'quitado Despesa'!$V$1:$V$12,0),""))</f>
        <v/>
      </c>
      <c r="AH1706" s="15" t="str">
        <f t="shared" si="2"/>
        <v/>
      </c>
      <c r="AI1706" s="17" t="str">
        <f>IF(AG1706="","",INDEX('quitado Despesa'!$G$1:$G$12,AG1706))</f>
        <v/>
      </c>
      <c r="AJ1706" s="17" t="str">
        <f t="shared" si="3"/>
        <v/>
      </c>
    </row>
    <row r="1707" spans="31:36">
      <c r="AE1707" s="15" t="str">
        <f t="shared" si="0"/>
        <v/>
      </c>
      <c r="AF1707" s="15" t="str">
        <f t="shared" si="1"/>
        <v/>
      </c>
      <c r="AG1707" s="15" t="str">
        <f>IF(OR(AF1707="",AF1707="ERRO_CHAVE"),"",IFERROR(MATCH(AF1707,'quitado Despesa'!$V$1:$V$12,0),""))</f>
        <v/>
      </c>
      <c r="AH1707" s="15" t="str">
        <f t="shared" si="2"/>
        <v/>
      </c>
      <c r="AI1707" s="17" t="str">
        <f>IF(AG1707="","",INDEX('quitado Despesa'!$G$1:$G$12,AG1707))</f>
        <v/>
      </c>
      <c r="AJ1707" s="17" t="str">
        <f t="shared" si="3"/>
        <v/>
      </c>
    </row>
    <row r="1708" spans="31:36">
      <c r="AE1708" s="15" t="str">
        <f t="shared" si="0"/>
        <v/>
      </c>
      <c r="AF1708" s="15" t="str">
        <f t="shared" si="1"/>
        <v/>
      </c>
      <c r="AG1708" s="15" t="str">
        <f>IF(OR(AF1708="",AF1708="ERRO_CHAVE"),"",IFERROR(MATCH(AF1708,'quitado Despesa'!$V$1:$V$12,0),""))</f>
        <v/>
      </c>
      <c r="AH1708" s="15" t="str">
        <f t="shared" si="2"/>
        <v/>
      </c>
      <c r="AI1708" s="17" t="str">
        <f>IF(AG1708="","",INDEX('quitado Despesa'!$G$1:$G$12,AG1708))</f>
        <v/>
      </c>
      <c r="AJ1708" s="17" t="str">
        <f t="shared" si="3"/>
        <v/>
      </c>
    </row>
    <row r="1709" spans="31:36">
      <c r="AE1709" s="15" t="str">
        <f t="shared" si="0"/>
        <v/>
      </c>
      <c r="AF1709" s="15" t="str">
        <f t="shared" si="1"/>
        <v/>
      </c>
      <c r="AG1709" s="15" t="str">
        <f>IF(OR(AF1709="",AF1709="ERRO_CHAVE"),"",IFERROR(MATCH(AF1709,'quitado Despesa'!$V$1:$V$12,0),""))</f>
        <v/>
      </c>
      <c r="AH1709" s="15" t="str">
        <f t="shared" si="2"/>
        <v/>
      </c>
      <c r="AI1709" s="17" t="str">
        <f>IF(AG1709="","",INDEX('quitado Despesa'!$G$1:$G$12,AG1709))</f>
        <v/>
      </c>
      <c r="AJ1709" s="17" t="str">
        <f t="shared" si="3"/>
        <v/>
      </c>
    </row>
    <row r="1710" spans="31:36">
      <c r="AE1710" s="15" t="str">
        <f t="shared" si="0"/>
        <v/>
      </c>
      <c r="AF1710" s="15" t="str">
        <f t="shared" si="1"/>
        <v/>
      </c>
      <c r="AG1710" s="15" t="str">
        <f>IF(OR(AF1710="",AF1710="ERRO_CHAVE"),"",IFERROR(MATCH(AF1710,'quitado Despesa'!$V$1:$V$12,0),""))</f>
        <v/>
      </c>
      <c r="AH1710" s="15" t="str">
        <f t="shared" si="2"/>
        <v/>
      </c>
      <c r="AI1710" s="17" t="str">
        <f>IF(AG1710="","",INDEX('quitado Despesa'!$G$1:$G$12,AG1710))</f>
        <v/>
      </c>
      <c r="AJ1710" s="17" t="str">
        <f t="shared" si="3"/>
        <v/>
      </c>
    </row>
    <row r="1711" spans="31:36">
      <c r="AE1711" s="15" t="str">
        <f t="shared" si="0"/>
        <v/>
      </c>
      <c r="AF1711" s="15" t="str">
        <f t="shared" si="1"/>
        <v/>
      </c>
      <c r="AG1711" s="15" t="str">
        <f>IF(OR(AF1711="",AF1711="ERRO_CHAVE"),"",IFERROR(MATCH(AF1711,'quitado Despesa'!$V$1:$V$12,0),""))</f>
        <v/>
      </c>
      <c r="AH1711" s="15" t="str">
        <f t="shared" si="2"/>
        <v/>
      </c>
      <c r="AI1711" s="17" t="str">
        <f>IF(AG1711="","",INDEX('quitado Despesa'!$G$1:$G$12,AG1711))</f>
        <v/>
      </c>
      <c r="AJ1711" s="17" t="str">
        <f t="shared" si="3"/>
        <v/>
      </c>
    </row>
    <row r="1712" spans="31:36">
      <c r="AE1712" s="15" t="str">
        <f t="shared" si="0"/>
        <v/>
      </c>
      <c r="AF1712" s="15" t="str">
        <f t="shared" si="1"/>
        <v/>
      </c>
      <c r="AG1712" s="15" t="str">
        <f>IF(OR(AF1712="",AF1712="ERRO_CHAVE"),"",IFERROR(MATCH(AF1712,'quitado Despesa'!$V$1:$V$12,0),""))</f>
        <v/>
      </c>
      <c r="AH1712" s="15" t="str">
        <f t="shared" si="2"/>
        <v/>
      </c>
      <c r="AI1712" s="17" t="str">
        <f>IF(AG1712="","",INDEX('quitado Despesa'!$G$1:$G$12,AG1712))</f>
        <v/>
      </c>
      <c r="AJ1712" s="17" t="str">
        <f t="shared" si="3"/>
        <v/>
      </c>
    </row>
    <row r="1713" spans="31:36">
      <c r="AE1713" s="15" t="str">
        <f t="shared" si="0"/>
        <v/>
      </c>
      <c r="AF1713" s="15" t="str">
        <f t="shared" si="1"/>
        <v/>
      </c>
      <c r="AG1713" s="15" t="str">
        <f>IF(OR(AF1713="",AF1713="ERRO_CHAVE"),"",IFERROR(MATCH(AF1713,'quitado Despesa'!$V$1:$V$12,0),""))</f>
        <v/>
      </c>
      <c r="AH1713" s="15" t="str">
        <f t="shared" si="2"/>
        <v/>
      </c>
      <c r="AI1713" s="17" t="str">
        <f>IF(AG1713="","",INDEX('quitado Despesa'!$G$1:$G$12,AG1713))</f>
        <v/>
      </c>
      <c r="AJ1713" s="17" t="str">
        <f t="shared" si="3"/>
        <v/>
      </c>
    </row>
    <row r="1714" spans="31:36">
      <c r="AE1714" s="15" t="str">
        <f t="shared" si="0"/>
        <v/>
      </c>
      <c r="AF1714" s="15" t="str">
        <f t="shared" si="1"/>
        <v/>
      </c>
      <c r="AG1714" s="15" t="str">
        <f>IF(OR(AF1714="",AF1714="ERRO_CHAVE"),"",IFERROR(MATCH(AF1714,'quitado Despesa'!$V$1:$V$12,0),""))</f>
        <v/>
      </c>
      <c r="AH1714" s="15" t="str">
        <f t="shared" si="2"/>
        <v/>
      </c>
      <c r="AI1714" s="17" t="str">
        <f>IF(AG1714="","",INDEX('quitado Despesa'!$G$1:$G$12,AG1714))</f>
        <v/>
      </c>
      <c r="AJ1714" s="17" t="str">
        <f t="shared" si="3"/>
        <v/>
      </c>
    </row>
    <row r="1715" spans="31:36">
      <c r="AE1715" s="15" t="str">
        <f t="shared" si="0"/>
        <v/>
      </c>
      <c r="AF1715" s="15" t="str">
        <f t="shared" si="1"/>
        <v/>
      </c>
      <c r="AG1715" s="15" t="str">
        <f>IF(OR(AF1715="",AF1715="ERRO_CHAVE"),"",IFERROR(MATCH(AF1715,'quitado Despesa'!$V$1:$V$12,0),""))</f>
        <v/>
      </c>
      <c r="AH1715" s="15" t="str">
        <f t="shared" si="2"/>
        <v/>
      </c>
      <c r="AI1715" s="17" t="str">
        <f>IF(AG1715="","",INDEX('quitado Despesa'!$G$1:$G$12,AG1715))</f>
        <v/>
      </c>
      <c r="AJ1715" s="17" t="str">
        <f t="shared" si="3"/>
        <v/>
      </c>
    </row>
    <row r="1716" spans="31:36">
      <c r="AE1716" s="15" t="str">
        <f t="shared" si="0"/>
        <v/>
      </c>
      <c r="AF1716" s="15" t="str">
        <f t="shared" si="1"/>
        <v/>
      </c>
      <c r="AG1716" s="15" t="str">
        <f>IF(OR(AF1716="",AF1716="ERRO_CHAVE"),"",IFERROR(MATCH(AF1716,'quitado Despesa'!$V$1:$V$12,0),""))</f>
        <v/>
      </c>
      <c r="AH1716" s="15" t="str">
        <f t="shared" si="2"/>
        <v/>
      </c>
      <c r="AI1716" s="17" t="str">
        <f>IF(AG1716="","",INDEX('quitado Despesa'!$G$1:$G$12,AG1716))</f>
        <v/>
      </c>
      <c r="AJ1716" s="17" t="str">
        <f t="shared" si="3"/>
        <v/>
      </c>
    </row>
    <row r="1717" spans="31:36">
      <c r="AE1717" s="15" t="str">
        <f t="shared" si="0"/>
        <v/>
      </c>
      <c r="AF1717" s="15" t="str">
        <f t="shared" si="1"/>
        <v/>
      </c>
      <c r="AG1717" s="15" t="str">
        <f>IF(OR(AF1717="",AF1717="ERRO_CHAVE"),"",IFERROR(MATCH(AF1717,'quitado Despesa'!$V$1:$V$12,0),""))</f>
        <v/>
      </c>
      <c r="AH1717" s="15" t="str">
        <f t="shared" si="2"/>
        <v/>
      </c>
      <c r="AI1717" s="17" t="str">
        <f>IF(AG1717="","",INDEX('quitado Despesa'!$G$1:$G$12,AG1717))</f>
        <v/>
      </c>
      <c r="AJ1717" s="17" t="str">
        <f t="shared" si="3"/>
        <v/>
      </c>
    </row>
    <row r="1718" spans="31:36">
      <c r="AE1718" s="15" t="str">
        <f t="shared" si="0"/>
        <v/>
      </c>
      <c r="AF1718" s="15" t="str">
        <f t="shared" si="1"/>
        <v/>
      </c>
      <c r="AG1718" s="15" t="str">
        <f>IF(OR(AF1718="",AF1718="ERRO_CHAVE"),"",IFERROR(MATCH(AF1718,'quitado Despesa'!$V$1:$V$12,0),""))</f>
        <v/>
      </c>
      <c r="AH1718" s="15" t="str">
        <f t="shared" si="2"/>
        <v/>
      </c>
      <c r="AI1718" s="17" t="str">
        <f>IF(AG1718="","",INDEX('quitado Despesa'!$G$1:$G$12,AG1718))</f>
        <v/>
      </c>
      <c r="AJ1718" s="17" t="str">
        <f t="shared" si="3"/>
        <v/>
      </c>
    </row>
    <row r="1719" spans="31:36">
      <c r="AE1719" s="15" t="str">
        <f t="shared" si="0"/>
        <v/>
      </c>
      <c r="AF1719" s="15" t="str">
        <f t="shared" si="1"/>
        <v/>
      </c>
      <c r="AG1719" s="15" t="str">
        <f>IF(OR(AF1719="",AF1719="ERRO_CHAVE"),"",IFERROR(MATCH(AF1719,'quitado Despesa'!$V$1:$V$12,0),""))</f>
        <v/>
      </c>
      <c r="AH1719" s="15" t="str">
        <f t="shared" si="2"/>
        <v/>
      </c>
      <c r="AI1719" s="17" t="str">
        <f>IF(AG1719="","",INDEX('quitado Despesa'!$G$1:$G$12,AG1719))</f>
        <v/>
      </c>
      <c r="AJ1719" s="17" t="str">
        <f t="shared" si="3"/>
        <v/>
      </c>
    </row>
    <row r="1720" spans="31:36">
      <c r="AE1720" s="15" t="str">
        <f t="shared" si="0"/>
        <v/>
      </c>
      <c r="AF1720" s="15" t="str">
        <f t="shared" si="1"/>
        <v/>
      </c>
      <c r="AG1720" s="15" t="str">
        <f>IF(OR(AF1720="",AF1720="ERRO_CHAVE"),"",IFERROR(MATCH(AF1720,'quitado Despesa'!$V$1:$V$12,0),""))</f>
        <v/>
      </c>
      <c r="AH1720" s="15" t="str">
        <f t="shared" si="2"/>
        <v/>
      </c>
      <c r="AI1720" s="17" t="str">
        <f>IF(AG1720="","",INDEX('quitado Despesa'!$G$1:$G$12,AG1720))</f>
        <v/>
      </c>
      <c r="AJ1720" s="17" t="str">
        <f t="shared" si="3"/>
        <v/>
      </c>
    </row>
    <row r="1721" spans="31:36">
      <c r="AE1721" s="15" t="str">
        <f t="shared" si="0"/>
        <v/>
      </c>
      <c r="AF1721" s="15" t="str">
        <f t="shared" si="1"/>
        <v/>
      </c>
      <c r="AG1721" s="15" t="str">
        <f>IF(OR(AF1721="",AF1721="ERRO_CHAVE"),"",IFERROR(MATCH(AF1721,'quitado Despesa'!$V$1:$V$12,0),""))</f>
        <v/>
      </c>
      <c r="AH1721" s="15" t="str">
        <f t="shared" si="2"/>
        <v/>
      </c>
      <c r="AI1721" s="17" t="str">
        <f>IF(AG1721="","",INDEX('quitado Despesa'!$G$1:$G$12,AG1721))</f>
        <v/>
      </c>
      <c r="AJ1721" s="17" t="str">
        <f t="shared" si="3"/>
        <v/>
      </c>
    </row>
    <row r="1722" spans="31:36">
      <c r="AE1722" s="15" t="str">
        <f t="shared" si="0"/>
        <v/>
      </c>
      <c r="AF1722" s="15" t="str">
        <f t="shared" si="1"/>
        <v/>
      </c>
      <c r="AG1722" s="15" t="str">
        <f>IF(OR(AF1722="",AF1722="ERRO_CHAVE"),"",IFERROR(MATCH(AF1722,'quitado Despesa'!$V$1:$V$12,0),""))</f>
        <v/>
      </c>
      <c r="AH1722" s="15" t="str">
        <f t="shared" si="2"/>
        <v/>
      </c>
      <c r="AI1722" s="17" t="str">
        <f>IF(AG1722="","",INDEX('quitado Despesa'!$G$1:$G$12,AG1722))</f>
        <v/>
      </c>
      <c r="AJ1722" s="17" t="str">
        <f t="shared" si="3"/>
        <v/>
      </c>
    </row>
    <row r="1723" spans="31:36">
      <c r="AE1723" s="15" t="str">
        <f t="shared" si="0"/>
        <v/>
      </c>
      <c r="AF1723" s="15" t="str">
        <f t="shared" si="1"/>
        <v/>
      </c>
      <c r="AG1723" s="15" t="str">
        <f>IF(OR(AF1723="",AF1723="ERRO_CHAVE"),"",IFERROR(MATCH(AF1723,'quitado Despesa'!$V$1:$V$12,0),""))</f>
        <v/>
      </c>
      <c r="AH1723" s="15" t="str">
        <f t="shared" si="2"/>
        <v/>
      </c>
      <c r="AI1723" s="17" t="str">
        <f>IF(AG1723="","",INDEX('quitado Despesa'!$G$1:$G$12,AG1723))</f>
        <v/>
      </c>
      <c r="AJ1723" s="17" t="str">
        <f t="shared" si="3"/>
        <v/>
      </c>
    </row>
    <row r="1724" spans="31:36">
      <c r="AE1724" s="15" t="str">
        <f t="shared" si="0"/>
        <v/>
      </c>
      <c r="AF1724" s="15" t="str">
        <f t="shared" si="1"/>
        <v/>
      </c>
      <c r="AG1724" s="15" t="str">
        <f>IF(OR(AF1724="",AF1724="ERRO_CHAVE"),"",IFERROR(MATCH(AF1724,'quitado Despesa'!$V$1:$V$12,0),""))</f>
        <v/>
      </c>
      <c r="AH1724" s="15" t="str">
        <f t="shared" si="2"/>
        <v/>
      </c>
      <c r="AI1724" s="17" t="str">
        <f>IF(AG1724="","",INDEX('quitado Despesa'!$G$1:$G$12,AG1724))</f>
        <v/>
      </c>
      <c r="AJ1724" s="17" t="str">
        <f t="shared" si="3"/>
        <v/>
      </c>
    </row>
    <row r="1725" spans="31:36">
      <c r="AE1725" s="15" t="str">
        <f t="shared" si="0"/>
        <v/>
      </c>
      <c r="AF1725" s="15" t="str">
        <f t="shared" si="1"/>
        <v/>
      </c>
      <c r="AG1725" s="15" t="str">
        <f>IF(OR(AF1725="",AF1725="ERRO_CHAVE"),"",IFERROR(MATCH(AF1725,'quitado Despesa'!$V$1:$V$12,0),""))</f>
        <v/>
      </c>
      <c r="AH1725" s="15" t="str">
        <f t="shared" si="2"/>
        <v/>
      </c>
      <c r="AI1725" s="17" t="str">
        <f>IF(AG1725="","",INDEX('quitado Despesa'!$G$1:$G$12,AG1725))</f>
        <v/>
      </c>
      <c r="AJ1725" s="17" t="str">
        <f t="shared" si="3"/>
        <v/>
      </c>
    </row>
    <row r="1726" spans="31:36">
      <c r="AE1726" s="15" t="str">
        <f t="shared" si="0"/>
        <v/>
      </c>
      <c r="AF1726" s="15" t="str">
        <f t="shared" si="1"/>
        <v/>
      </c>
      <c r="AG1726" s="15" t="str">
        <f>IF(OR(AF1726="",AF1726="ERRO_CHAVE"),"",IFERROR(MATCH(AF1726,'quitado Despesa'!$V$1:$V$12,0),""))</f>
        <v/>
      </c>
      <c r="AH1726" s="15" t="str">
        <f t="shared" si="2"/>
        <v/>
      </c>
      <c r="AI1726" s="17" t="str">
        <f>IF(AG1726="","",INDEX('quitado Despesa'!$G$1:$G$12,AG1726))</f>
        <v/>
      </c>
      <c r="AJ1726" s="17" t="str">
        <f t="shared" si="3"/>
        <v/>
      </c>
    </row>
    <row r="1727" spans="31:36">
      <c r="AE1727" s="15" t="str">
        <f t="shared" si="0"/>
        <v/>
      </c>
      <c r="AF1727" s="15" t="str">
        <f t="shared" si="1"/>
        <v/>
      </c>
      <c r="AG1727" s="15" t="str">
        <f>IF(OR(AF1727="",AF1727="ERRO_CHAVE"),"",IFERROR(MATCH(AF1727,'quitado Despesa'!$V$1:$V$12,0),""))</f>
        <v/>
      </c>
      <c r="AH1727" s="15" t="str">
        <f t="shared" si="2"/>
        <v/>
      </c>
      <c r="AI1727" s="17" t="str">
        <f>IF(AG1727="","",INDEX('quitado Despesa'!$G$1:$G$12,AG1727))</f>
        <v/>
      </c>
      <c r="AJ1727" s="17" t="str">
        <f t="shared" si="3"/>
        <v/>
      </c>
    </row>
    <row r="1728" spans="31:36">
      <c r="AE1728" s="15" t="str">
        <f t="shared" si="0"/>
        <v/>
      </c>
      <c r="AF1728" s="15" t="str">
        <f t="shared" si="1"/>
        <v/>
      </c>
      <c r="AG1728" s="15" t="str">
        <f>IF(OR(AF1728="",AF1728="ERRO_CHAVE"),"",IFERROR(MATCH(AF1728,'quitado Despesa'!$V$1:$V$12,0),""))</f>
        <v/>
      </c>
      <c r="AH1728" s="15" t="str">
        <f t="shared" si="2"/>
        <v/>
      </c>
      <c r="AI1728" s="17" t="str">
        <f>IF(AG1728="","",INDEX('quitado Despesa'!$G$1:$G$12,AG1728))</f>
        <v/>
      </c>
      <c r="AJ1728" s="17" t="str">
        <f t="shared" si="3"/>
        <v/>
      </c>
    </row>
    <row r="1729" spans="31:36">
      <c r="AE1729" s="15" t="str">
        <f t="shared" si="0"/>
        <v/>
      </c>
      <c r="AF1729" s="15" t="str">
        <f t="shared" si="1"/>
        <v/>
      </c>
      <c r="AG1729" s="15" t="str">
        <f>IF(OR(AF1729="",AF1729="ERRO_CHAVE"),"",IFERROR(MATCH(AF1729,'quitado Despesa'!$V$1:$V$12,0),""))</f>
        <v/>
      </c>
      <c r="AH1729" s="15" t="str">
        <f t="shared" si="2"/>
        <v/>
      </c>
      <c r="AI1729" s="17" t="str">
        <f>IF(AG1729="","",INDEX('quitado Despesa'!$G$1:$G$12,AG1729))</f>
        <v/>
      </c>
      <c r="AJ1729" s="17" t="str">
        <f t="shared" si="3"/>
        <v/>
      </c>
    </row>
    <row r="1730" spans="31:36">
      <c r="AE1730" s="15" t="str">
        <f t="shared" si="0"/>
        <v/>
      </c>
      <c r="AF1730" s="15" t="str">
        <f t="shared" si="1"/>
        <v/>
      </c>
      <c r="AG1730" s="15" t="str">
        <f>IF(OR(AF1730="",AF1730="ERRO_CHAVE"),"",IFERROR(MATCH(AF1730,'quitado Despesa'!$V$1:$V$12,0),""))</f>
        <v/>
      </c>
      <c r="AH1730" s="15" t="str">
        <f t="shared" si="2"/>
        <v/>
      </c>
      <c r="AI1730" s="17" t="str">
        <f>IF(AG1730="","",INDEX('quitado Despesa'!$G$1:$G$12,AG1730))</f>
        <v/>
      </c>
      <c r="AJ1730" s="17" t="str">
        <f t="shared" si="3"/>
        <v/>
      </c>
    </row>
    <row r="1731" spans="31:36">
      <c r="AE1731" s="15" t="str">
        <f t="shared" si="0"/>
        <v/>
      </c>
      <c r="AF1731" s="15" t="str">
        <f t="shared" si="1"/>
        <v/>
      </c>
      <c r="AG1731" s="15" t="str">
        <f>IF(OR(AF1731="",AF1731="ERRO_CHAVE"),"",IFERROR(MATCH(AF1731,'quitado Despesa'!$V$1:$V$12,0),""))</f>
        <v/>
      </c>
      <c r="AH1731" s="15" t="str">
        <f t="shared" si="2"/>
        <v/>
      </c>
      <c r="AI1731" s="17" t="str">
        <f>IF(AG1731="","",INDEX('quitado Despesa'!$G$1:$G$12,AG1731))</f>
        <v/>
      </c>
      <c r="AJ1731" s="17" t="str">
        <f t="shared" si="3"/>
        <v/>
      </c>
    </row>
    <row r="1732" spans="31:36">
      <c r="AE1732" s="15" t="str">
        <f t="shared" si="0"/>
        <v/>
      </c>
      <c r="AF1732" s="15" t="str">
        <f t="shared" si="1"/>
        <v/>
      </c>
      <c r="AG1732" s="15" t="str">
        <f>IF(OR(AF1732="",AF1732="ERRO_CHAVE"),"",IFERROR(MATCH(AF1732,'quitado Despesa'!$V$1:$V$12,0),""))</f>
        <v/>
      </c>
      <c r="AH1732" s="15" t="str">
        <f t="shared" si="2"/>
        <v/>
      </c>
      <c r="AI1732" s="17" t="str">
        <f>IF(AG1732="","",INDEX('quitado Despesa'!$G$1:$G$12,AG1732))</f>
        <v/>
      </c>
      <c r="AJ1732" s="17" t="str">
        <f t="shared" si="3"/>
        <v/>
      </c>
    </row>
    <row r="1733" spans="31:36">
      <c r="AE1733" s="15" t="str">
        <f t="shared" si="0"/>
        <v/>
      </c>
      <c r="AF1733" s="15" t="str">
        <f t="shared" si="1"/>
        <v/>
      </c>
      <c r="AG1733" s="15" t="str">
        <f>IF(OR(AF1733="",AF1733="ERRO_CHAVE"),"",IFERROR(MATCH(AF1733,'quitado Despesa'!$V$1:$V$12,0),""))</f>
        <v/>
      </c>
      <c r="AH1733" s="15" t="str">
        <f t="shared" si="2"/>
        <v/>
      </c>
      <c r="AI1733" s="17" t="str">
        <f>IF(AG1733="","",INDEX('quitado Despesa'!$G$1:$G$12,AG1733))</f>
        <v/>
      </c>
      <c r="AJ1733" s="17" t="str">
        <f t="shared" si="3"/>
        <v/>
      </c>
    </row>
    <row r="1734" spans="31:36">
      <c r="AE1734" s="15" t="str">
        <f t="shared" si="0"/>
        <v/>
      </c>
      <c r="AF1734" s="15" t="str">
        <f t="shared" si="1"/>
        <v/>
      </c>
      <c r="AG1734" s="15" t="str">
        <f>IF(OR(AF1734="",AF1734="ERRO_CHAVE"),"",IFERROR(MATCH(AF1734,'quitado Despesa'!$V$1:$V$12,0),""))</f>
        <v/>
      </c>
      <c r="AH1734" s="15" t="str">
        <f t="shared" si="2"/>
        <v/>
      </c>
      <c r="AI1734" s="17" t="str">
        <f>IF(AG1734="","",INDEX('quitado Despesa'!$G$1:$G$12,AG1734))</f>
        <v/>
      </c>
      <c r="AJ1734" s="17" t="str">
        <f t="shared" si="3"/>
        <v/>
      </c>
    </row>
    <row r="1735" spans="31:36">
      <c r="AE1735" s="15" t="str">
        <f t="shared" si="0"/>
        <v/>
      </c>
      <c r="AF1735" s="15" t="str">
        <f t="shared" si="1"/>
        <v/>
      </c>
      <c r="AG1735" s="15" t="str">
        <f>IF(OR(AF1735="",AF1735="ERRO_CHAVE"),"",IFERROR(MATCH(AF1735,'quitado Despesa'!$V$1:$V$12,0),""))</f>
        <v/>
      </c>
      <c r="AH1735" s="15" t="str">
        <f t="shared" si="2"/>
        <v/>
      </c>
      <c r="AI1735" s="17" t="str">
        <f>IF(AG1735="","",INDEX('quitado Despesa'!$G$1:$G$12,AG1735))</f>
        <v/>
      </c>
      <c r="AJ1735" s="17" t="str">
        <f t="shared" si="3"/>
        <v/>
      </c>
    </row>
    <row r="1736" spans="31:36">
      <c r="AE1736" s="15" t="str">
        <f t="shared" si="0"/>
        <v/>
      </c>
      <c r="AF1736" s="15" t="str">
        <f t="shared" si="1"/>
        <v/>
      </c>
      <c r="AG1736" s="15" t="str">
        <f>IF(OR(AF1736="",AF1736="ERRO_CHAVE"),"",IFERROR(MATCH(AF1736,'quitado Despesa'!$V$1:$V$12,0),""))</f>
        <v/>
      </c>
      <c r="AH1736" s="15" t="str">
        <f t="shared" si="2"/>
        <v/>
      </c>
      <c r="AI1736" s="17" t="str">
        <f>IF(AG1736="","",INDEX('quitado Despesa'!$G$1:$G$12,AG1736))</f>
        <v/>
      </c>
      <c r="AJ1736" s="17" t="str">
        <f t="shared" si="3"/>
        <v/>
      </c>
    </row>
    <row r="1737" spans="31:36">
      <c r="AE1737" s="15" t="str">
        <f t="shared" si="0"/>
        <v/>
      </c>
      <c r="AF1737" s="15" t="str">
        <f t="shared" si="1"/>
        <v/>
      </c>
      <c r="AG1737" s="15" t="str">
        <f>IF(OR(AF1737="",AF1737="ERRO_CHAVE"),"",IFERROR(MATCH(AF1737,'quitado Despesa'!$V$1:$V$12,0),""))</f>
        <v/>
      </c>
      <c r="AH1737" s="15" t="str">
        <f t="shared" si="2"/>
        <v/>
      </c>
      <c r="AI1737" s="17" t="str">
        <f>IF(AG1737="","",INDEX('quitado Despesa'!$G$1:$G$12,AG1737))</f>
        <v/>
      </c>
      <c r="AJ1737" s="17" t="str">
        <f t="shared" si="3"/>
        <v/>
      </c>
    </row>
    <row r="1738" spans="31:36">
      <c r="AE1738" s="15" t="str">
        <f t="shared" si="0"/>
        <v/>
      </c>
      <c r="AF1738" s="15" t="str">
        <f t="shared" si="1"/>
        <v/>
      </c>
      <c r="AG1738" s="15" t="str">
        <f>IF(OR(AF1738="",AF1738="ERRO_CHAVE"),"",IFERROR(MATCH(AF1738,'quitado Despesa'!$V$1:$V$12,0),""))</f>
        <v/>
      </c>
      <c r="AH1738" s="15" t="str">
        <f t="shared" si="2"/>
        <v/>
      </c>
      <c r="AI1738" s="17" t="str">
        <f>IF(AG1738="","",INDEX('quitado Despesa'!$G$1:$G$12,AG1738))</f>
        <v/>
      </c>
      <c r="AJ1738" s="17" t="str">
        <f t="shared" si="3"/>
        <v/>
      </c>
    </row>
    <row r="1739" spans="31:36">
      <c r="AE1739" s="15" t="str">
        <f t="shared" si="0"/>
        <v/>
      </c>
      <c r="AF1739" s="15" t="str">
        <f t="shared" si="1"/>
        <v/>
      </c>
      <c r="AG1739" s="15" t="str">
        <f>IF(OR(AF1739="",AF1739="ERRO_CHAVE"),"",IFERROR(MATCH(AF1739,'quitado Despesa'!$V$1:$V$12,0),""))</f>
        <v/>
      </c>
      <c r="AH1739" s="15" t="str">
        <f t="shared" si="2"/>
        <v/>
      </c>
      <c r="AI1739" s="17" t="str">
        <f>IF(AG1739="","",INDEX('quitado Despesa'!$G$1:$G$12,AG1739))</f>
        <v/>
      </c>
      <c r="AJ1739" s="17" t="str">
        <f t="shared" si="3"/>
        <v/>
      </c>
    </row>
    <row r="1740" spans="31:36">
      <c r="AE1740" s="15" t="str">
        <f t="shared" si="0"/>
        <v/>
      </c>
      <c r="AF1740" s="15" t="str">
        <f t="shared" si="1"/>
        <v/>
      </c>
      <c r="AG1740" s="15" t="str">
        <f>IF(OR(AF1740="",AF1740="ERRO_CHAVE"),"",IFERROR(MATCH(AF1740,'quitado Despesa'!$V$1:$V$12,0),""))</f>
        <v/>
      </c>
      <c r="AH1740" s="15" t="str">
        <f t="shared" si="2"/>
        <v/>
      </c>
      <c r="AI1740" s="17" t="str">
        <f>IF(AG1740="","",INDEX('quitado Despesa'!$G$1:$G$12,AG1740))</f>
        <v/>
      </c>
      <c r="AJ1740" s="17" t="str">
        <f t="shared" si="3"/>
        <v/>
      </c>
    </row>
    <row r="1741" spans="31:36">
      <c r="AE1741" s="15" t="str">
        <f t="shared" si="0"/>
        <v/>
      </c>
      <c r="AF1741" s="15" t="str">
        <f t="shared" si="1"/>
        <v/>
      </c>
      <c r="AG1741" s="15" t="str">
        <f>IF(OR(AF1741="",AF1741="ERRO_CHAVE"),"",IFERROR(MATCH(AF1741,'quitado Despesa'!$V$1:$V$12,0),""))</f>
        <v/>
      </c>
      <c r="AH1741" s="15" t="str">
        <f t="shared" si="2"/>
        <v/>
      </c>
      <c r="AI1741" s="17" t="str">
        <f>IF(AG1741="","",INDEX('quitado Despesa'!$G$1:$G$12,AG1741))</f>
        <v/>
      </c>
      <c r="AJ1741" s="17" t="str">
        <f t="shared" si="3"/>
        <v/>
      </c>
    </row>
    <row r="1742" spans="31:36">
      <c r="AE1742" s="15" t="str">
        <f t="shared" si="0"/>
        <v/>
      </c>
      <c r="AF1742" s="15" t="str">
        <f t="shared" si="1"/>
        <v/>
      </c>
      <c r="AG1742" s="15" t="str">
        <f>IF(OR(AF1742="",AF1742="ERRO_CHAVE"),"",IFERROR(MATCH(AF1742,'quitado Despesa'!$V$1:$V$12,0),""))</f>
        <v/>
      </c>
      <c r="AH1742" s="15" t="str">
        <f t="shared" si="2"/>
        <v/>
      </c>
      <c r="AI1742" s="17" t="str">
        <f>IF(AG1742="","",INDEX('quitado Despesa'!$G$1:$G$12,AG1742))</f>
        <v/>
      </c>
      <c r="AJ1742" s="17" t="str">
        <f t="shared" si="3"/>
        <v/>
      </c>
    </row>
    <row r="1743" spans="31:36">
      <c r="AE1743" s="15" t="str">
        <f t="shared" si="0"/>
        <v/>
      </c>
      <c r="AF1743" s="15" t="str">
        <f t="shared" si="1"/>
        <v/>
      </c>
      <c r="AG1743" s="15" t="str">
        <f>IF(OR(AF1743="",AF1743="ERRO_CHAVE"),"",IFERROR(MATCH(AF1743,'quitado Despesa'!$V$1:$V$12,0),""))</f>
        <v/>
      </c>
      <c r="AH1743" s="15" t="str">
        <f t="shared" si="2"/>
        <v/>
      </c>
      <c r="AI1743" s="17" t="str">
        <f>IF(AG1743="","",INDEX('quitado Despesa'!$G$1:$G$12,AG1743))</f>
        <v/>
      </c>
      <c r="AJ1743" s="17" t="str">
        <f t="shared" si="3"/>
        <v/>
      </c>
    </row>
    <row r="1744" spans="31:36">
      <c r="AE1744" s="15" t="str">
        <f t="shared" si="0"/>
        <v/>
      </c>
      <c r="AF1744" s="15" t="str">
        <f t="shared" si="1"/>
        <v/>
      </c>
      <c r="AG1744" s="15" t="str">
        <f>IF(OR(AF1744="",AF1744="ERRO_CHAVE"),"",IFERROR(MATCH(AF1744,'quitado Despesa'!$V$1:$V$12,0),""))</f>
        <v/>
      </c>
      <c r="AH1744" s="15" t="str">
        <f t="shared" si="2"/>
        <v/>
      </c>
      <c r="AI1744" s="17" t="str">
        <f>IF(AG1744="","",INDEX('quitado Despesa'!$G$1:$G$12,AG1744))</f>
        <v/>
      </c>
      <c r="AJ1744" s="17" t="str">
        <f t="shared" si="3"/>
        <v/>
      </c>
    </row>
    <row r="1745" spans="31:36">
      <c r="AE1745" s="15" t="str">
        <f t="shared" si="0"/>
        <v/>
      </c>
      <c r="AF1745" s="15" t="str">
        <f t="shared" si="1"/>
        <v/>
      </c>
      <c r="AG1745" s="15" t="str">
        <f>IF(OR(AF1745="",AF1745="ERRO_CHAVE"),"",IFERROR(MATCH(AF1745,'quitado Despesa'!$V$1:$V$12,0),""))</f>
        <v/>
      </c>
      <c r="AH1745" s="15" t="str">
        <f t="shared" si="2"/>
        <v/>
      </c>
      <c r="AI1745" s="17" t="str">
        <f>IF(AG1745="","",INDEX('quitado Despesa'!$G$1:$G$12,AG1745))</f>
        <v/>
      </c>
      <c r="AJ1745" s="17" t="str">
        <f t="shared" si="3"/>
        <v/>
      </c>
    </row>
    <row r="1746" spans="31:36">
      <c r="AE1746" s="15" t="str">
        <f t="shared" si="0"/>
        <v/>
      </c>
      <c r="AF1746" s="15" t="str">
        <f t="shared" si="1"/>
        <v/>
      </c>
      <c r="AG1746" s="15" t="str">
        <f>IF(OR(AF1746="",AF1746="ERRO_CHAVE"),"",IFERROR(MATCH(AF1746,'quitado Despesa'!$V$1:$V$12,0),""))</f>
        <v/>
      </c>
      <c r="AH1746" s="15" t="str">
        <f t="shared" si="2"/>
        <v/>
      </c>
      <c r="AI1746" s="17" t="str">
        <f>IF(AG1746="","",INDEX('quitado Despesa'!$G$1:$G$12,AG1746))</f>
        <v/>
      </c>
      <c r="AJ1746" s="17" t="str">
        <f t="shared" si="3"/>
        <v/>
      </c>
    </row>
    <row r="1747" spans="31:36">
      <c r="AE1747" s="15" t="str">
        <f t="shared" si="0"/>
        <v/>
      </c>
      <c r="AF1747" s="15" t="str">
        <f t="shared" si="1"/>
        <v/>
      </c>
      <c r="AG1747" s="15" t="str">
        <f>IF(OR(AF1747="",AF1747="ERRO_CHAVE"),"",IFERROR(MATCH(AF1747,'quitado Despesa'!$V$1:$V$12,0),""))</f>
        <v/>
      </c>
      <c r="AH1747" s="15" t="str">
        <f t="shared" si="2"/>
        <v/>
      </c>
      <c r="AI1747" s="17" t="str">
        <f>IF(AG1747="","",INDEX('quitado Despesa'!$G$1:$G$12,AG1747))</f>
        <v/>
      </c>
      <c r="AJ1747" s="17" t="str">
        <f t="shared" si="3"/>
        <v/>
      </c>
    </row>
    <row r="1748" spans="31:36">
      <c r="AE1748" s="15" t="str">
        <f t="shared" si="0"/>
        <v/>
      </c>
      <c r="AF1748" s="15" t="str">
        <f t="shared" si="1"/>
        <v/>
      </c>
      <c r="AG1748" s="15" t="str">
        <f>IF(OR(AF1748="",AF1748="ERRO_CHAVE"),"",IFERROR(MATCH(AF1748,'quitado Despesa'!$V$1:$V$12,0),""))</f>
        <v/>
      </c>
      <c r="AH1748" s="15" t="str">
        <f t="shared" si="2"/>
        <v/>
      </c>
      <c r="AI1748" s="17" t="str">
        <f>IF(AG1748="","",INDEX('quitado Despesa'!$G$1:$G$12,AG1748))</f>
        <v/>
      </c>
      <c r="AJ1748" s="17" t="str">
        <f t="shared" si="3"/>
        <v/>
      </c>
    </row>
    <row r="1749" spans="31:36">
      <c r="AE1749" s="15" t="str">
        <f t="shared" si="0"/>
        <v/>
      </c>
      <c r="AF1749" s="15" t="str">
        <f t="shared" si="1"/>
        <v/>
      </c>
      <c r="AG1749" s="15" t="str">
        <f>IF(OR(AF1749="",AF1749="ERRO_CHAVE"),"",IFERROR(MATCH(AF1749,'quitado Despesa'!$V$1:$V$12,0),""))</f>
        <v/>
      </c>
      <c r="AH1749" s="15" t="str">
        <f t="shared" si="2"/>
        <v/>
      </c>
      <c r="AI1749" s="17" t="str">
        <f>IF(AG1749="","",INDEX('quitado Despesa'!$G$1:$G$12,AG1749))</f>
        <v/>
      </c>
      <c r="AJ1749" s="17" t="str">
        <f t="shared" si="3"/>
        <v/>
      </c>
    </row>
    <row r="1750" spans="31:36">
      <c r="AE1750" s="15" t="str">
        <f t="shared" si="0"/>
        <v/>
      </c>
      <c r="AF1750" s="15" t="str">
        <f t="shared" si="1"/>
        <v/>
      </c>
      <c r="AG1750" s="15" t="str">
        <f>IF(OR(AF1750="",AF1750="ERRO_CHAVE"),"",IFERROR(MATCH(AF1750,'quitado Despesa'!$V$1:$V$12,0),""))</f>
        <v/>
      </c>
      <c r="AH1750" s="15" t="str">
        <f t="shared" si="2"/>
        <v/>
      </c>
      <c r="AI1750" s="17" t="str">
        <f>IF(AG1750="","",INDEX('quitado Despesa'!$G$1:$G$12,AG1750))</f>
        <v/>
      </c>
      <c r="AJ1750" s="17" t="str">
        <f t="shared" si="3"/>
        <v/>
      </c>
    </row>
    <row r="1751" spans="31:36">
      <c r="AE1751" s="15" t="str">
        <f t="shared" si="0"/>
        <v/>
      </c>
      <c r="AF1751" s="15" t="str">
        <f t="shared" si="1"/>
        <v/>
      </c>
      <c r="AG1751" s="15" t="str">
        <f>IF(OR(AF1751="",AF1751="ERRO_CHAVE"),"",IFERROR(MATCH(AF1751,'quitado Despesa'!$V$1:$V$12,0),""))</f>
        <v/>
      </c>
      <c r="AH1751" s="15" t="str">
        <f t="shared" si="2"/>
        <v/>
      </c>
      <c r="AI1751" s="17" t="str">
        <f>IF(AG1751="","",INDEX('quitado Despesa'!$G$1:$G$12,AG1751))</f>
        <v/>
      </c>
      <c r="AJ1751" s="17" t="str">
        <f t="shared" si="3"/>
        <v/>
      </c>
    </row>
    <row r="1752" spans="31:36">
      <c r="AE1752" s="15" t="str">
        <f t="shared" si="0"/>
        <v/>
      </c>
      <c r="AF1752" s="15" t="str">
        <f t="shared" si="1"/>
        <v/>
      </c>
      <c r="AG1752" s="15" t="str">
        <f>IF(OR(AF1752="",AF1752="ERRO_CHAVE"),"",IFERROR(MATCH(AF1752,'quitado Despesa'!$V$1:$V$12,0),""))</f>
        <v/>
      </c>
      <c r="AH1752" s="15" t="str">
        <f t="shared" si="2"/>
        <v/>
      </c>
      <c r="AI1752" s="17" t="str">
        <f>IF(AG1752="","",INDEX('quitado Despesa'!$G$1:$G$12,AG1752))</f>
        <v/>
      </c>
      <c r="AJ1752" s="17" t="str">
        <f t="shared" si="3"/>
        <v/>
      </c>
    </row>
    <row r="1753" spans="31:36">
      <c r="AE1753" s="15" t="str">
        <f t="shared" si="0"/>
        <v/>
      </c>
      <c r="AF1753" s="15" t="str">
        <f t="shared" si="1"/>
        <v/>
      </c>
      <c r="AG1753" s="15" t="str">
        <f>IF(OR(AF1753="",AF1753="ERRO_CHAVE"),"",IFERROR(MATCH(AF1753,'quitado Despesa'!$V$1:$V$12,0),""))</f>
        <v/>
      </c>
      <c r="AH1753" s="15" t="str">
        <f t="shared" si="2"/>
        <v/>
      </c>
      <c r="AI1753" s="17" t="str">
        <f>IF(AG1753="","",INDEX('quitado Despesa'!$G$1:$G$12,AG1753))</f>
        <v/>
      </c>
      <c r="AJ1753" s="17" t="str">
        <f t="shared" si="3"/>
        <v/>
      </c>
    </row>
    <row r="1754" spans="31:36">
      <c r="AE1754" s="15" t="str">
        <f t="shared" si="0"/>
        <v/>
      </c>
      <c r="AF1754" s="15" t="str">
        <f t="shared" si="1"/>
        <v/>
      </c>
      <c r="AG1754" s="15" t="str">
        <f>IF(OR(AF1754="",AF1754="ERRO_CHAVE"),"",IFERROR(MATCH(AF1754,'quitado Despesa'!$V$1:$V$12,0),""))</f>
        <v/>
      </c>
      <c r="AH1754" s="15" t="str">
        <f t="shared" si="2"/>
        <v/>
      </c>
      <c r="AI1754" s="17" t="str">
        <f>IF(AG1754="","",INDEX('quitado Despesa'!$G$1:$G$12,AG1754))</f>
        <v/>
      </c>
      <c r="AJ1754" s="17" t="str">
        <f t="shared" si="3"/>
        <v/>
      </c>
    </row>
    <row r="1755" spans="31:36">
      <c r="AE1755" s="15" t="str">
        <f t="shared" si="0"/>
        <v/>
      </c>
      <c r="AF1755" s="15" t="str">
        <f t="shared" si="1"/>
        <v/>
      </c>
      <c r="AG1755" s="15" t="str">
        <f>IF(OR(AF1755="",AF1755="ERRO_CHAVE"),"",IFERROR(MATCH(AF1755,'quitado Despesa'!$V$1:$V$12,0),""))</f>
        <v/>
      </c>
      <c r="AH1755" s="15" t="str">
        <f t="shared" si="2"/>
        <v/>
      </c>
      <c r="AI1755" s="17" t="str">
        <f>IF(AG1755="","",INDEX('quitado Despesa'!$G$1:$G$12,AG1755))</f>
        <v/>
      </c>
      <c r="AJ1755" s="17" t="str">
        <f t="shared" si="3"/>
        <v/>
      </c>
    </row>
    <row r="1756" spans="31:36">
      <c r="AE1756" s="15" t="str">
        <f t="shared" si="0"/>
        <v/>
      </c>
      <c r="AF1756" s="15" t="str">
        <f t="shared" si="1"/>
        <v/>
      </c>
      <c r="AG1756" s="15" t="str">
        <f>IF(OR(AF1756="",AF1756="ERRO_CHAVE"),"",IFERROR(MATCH(AF1756,'quitado Despesa'!$V$1:$V$12,0),""))</f>
        <v/>
      </c>
      <c r="AH1756" s="15" t="str">
        <f t="shared" si="2"/>
        <v/>
      </c>
      <c r="AI1756" s="17" t="str">
        <f>IF(AG1756="","",INDEX('quitado Despesa'!$G$1:$G$12,AG1756))</f>
        <v/>
      </c>
      <c r="AJ1756" s="17" t="str">
        <f t="shared" si="3"/>
        <v/>
      </c>
    </row>
    <row r="1757" spans="31:36">
      <c r="AE1757" s="15" t="str">
        <f t="shared" si="0"/>
        <v/>
      </c>
      <c r="AF1757" s="15" t="str">
        <f t="shared" si="1"/>
        <v/>
      </c>
      <c r="AG1757" s="15" t="str">
        <f>IF(OR(AF1757="",AF1757="ERRO_CHAVE"),"",IFERROR(MATCH(AF1757,'quitado Despesa'!$V$1:$V$12,0),""))</f>
        <v/>
      </c>
      <c r="AH1757" s="15" t="str">
        <f t="shared" si="2"/>
        <v/>
      </c>
      <c r="AI1757" s="17" t="str">
        <f>IF(AG1757="","",INDEX('quitado Despesa'!$G$1:$G$12,AG1757))</f>
        <v/>
      </c>
      <c r="AJ1757" s="17" t="str">
        <f t="shared" si="3"/>
        <v/>
      </c>
    </row>
    <row r="1758" spans="31:36">
      <c r="AE1758" s="15" t="str">
        <f t="shared" si="0"/>
        <v/>
      </c>
      <c r="AF1758" s="15" t="str">
        <f t="shared" si="1"/>
        <v/>
      </c>
      <c r="AG1758" s="15" t="str">
        <f>IF(OR(AF1758="",AF1758="ERRO_CHAVE"),"",IFERROR(MATCH(AF1758,'quitado Despesa'!$V$1:$V$12,0),""))</f>
        <v/>
      </c>
      <c r="AH1758" s="15" t="str">
        <f t="shared" si="2"/>
        <v/>
      </c>
      <c r="AI1758" s="17" t="str">
        <f>IF(AG1758="","",INDEX('quitado Despesa'!$G$1:$G$12,AG1758))</f>
        <v/>
      </c>
      <c r="AJ1758" s="17" t="str">
        <f t="shared" si="3"/>
        <v/>
      </c>
    </row>
    <row r="1759" spans="31:36">
      <c r="AE1759" s="15" t="str">
        <f t="shared" si="0"/>
        <v/>
      </c>
      <c r="AF1759" s="15" t="str">
        <f t="shared" si="1"/>
        <v/>
      </c>
      <c r="AG1759" s="15" t="str">
        <f>IF(OR(AF1759="",AF1759="ERRO_CHAVE"),"",IFERROR(MATCH(AF1759,'quitado Despesa'!$V$1:$V$12,0),""))</f>
        <v/>
      </c>
      <c r="AH1759" s="15" t="str">
        <f t="shared" si="2"/>
        <v/>
      </c>
      <c r="AI1759" s="17" t="str">
        <f>IF(AG1759="","",INDEX('quitado Despesa'!$G$1:$G$12,AG1759))</f>
        <v/>
      </c>
      <c r="AJ1759" s="17" t="str">
        <f t="shared" si="3"/>
        <v/>
      </c>
    </row>
    <row r="1760" spans="31:36">
      <c r="AE1760" s="15" t="str">
        <f t="shared" si="0"/>
        <v/>
      </c>
      <c r="AF1760" s="15" t="str">
        <f t="shared" si="1"/>
        <v/>
      </c>
      <c r="AG1760" s="15" t="str">
        <f>IF(OR(AF1760="",AF1760="ERRO_CHAVE"),"",IFERROR(MATCH(AF1760,'quitado Despesa'!$V$1:$V$12,0),""))</f>
        <v/>
      </c>
      <c r="AH1760" s="15" t="str">
        <f t="shared" si="2"/>
        <v/>
      </c>
      <c r="AI1760" s="17" t="str">
        <f>IF(AG1760="","",INDEX('quitado Despesa'!$G$1:$G$12,AG1760))</f>
        <v/>
      </c>
      <c r="AJ1760" s="17" t="str">
        <f t="shared" si="3"/>
        <v/>
      </c>
    </row>
    <row r="1761" spans="31:36">
      <c r="AE1761" s="15" t="str">
        <f t="shared" si="0"/>
        <v/>
      </c>
      <c r="AF1761" s="15" t="str">
        <f t="shared" si="1"/>
        <v/>
      </c>
      <c r="AG1761" s="15" t="str">
        <f>IF(OR(AF1761="",AF1761="ERRO_CHAVE"),"",IFERROR(MATCH(AF1761,'quitado Despesa'!$V$1:$V$12,0),""))</f>
        <v/>
      </c>
      <c r="AH1761" s="15" t="str">
        <f t="shared" si="2"/>
        <v/>
      </c>
      <c r="AI1761" s="17" t="str">
        <f>IF(AG1761="","",INDEX('quitado Despesa'!$G$1:$G$12,AG1761))</f>
        <v/>
      </c>
      <c r="AJ1761" s="17" t="str">
        <f t="shared" si="3"/>
        <v/>
      </c>
    </row>
    <row r="1762" spans="31:36">
      <c r="AE1762" s="15" t="str">
        <f t="shared" si="0"/>
        <v/>
      </c>
      <c r="AF1762" s="15" t="str">
        <f t="shared" si="1"/>
        <v/>
      </c>
      <c r="AG1762" s="15" t="str">
        <f>IF(OR(AF1762="",AF1762="ERRO_CHAVE"),"",IFERROR(MATCH(AF1762,'quitado Despesa'!$V$1:$V$12,0),""))</f>
        <v/>
      </c>
      <c r="AH1762" s="15" t="str">
        <f t="shared" si="2"/>
        <v/>
      </c>
      <c r="AI1762" s="17" t="str">
        <f>IF(AG1762="","",INDEX('quitado Despesa'!$G$1:$G$12,AG1762))</f>
        <v/>
      </c>
      <c r="AJ1762" s="17" t="str">
        <f t="shared" si="3"/>
        <v/>
      </c>
    </row>
    <row r="1763" spans="31:36">
      <c r="AE1763" s="15" t="str">
        <f t="shared" si="0"/>
        <v/>
      </c>
      <c r="AF1763" s="15" t="str">
        <f t="shared" si="1"/>
        <v/>
      </c>
      <c r="AG1763" s="15" t="str">
        <f>IF(OR(AF1763="",AF1763="ERRO_CHAVE"),"",IFERROR(MATCH(AF1763,'quitado Despesa'!$V$1:$V$12,0),""))</f>
        <v/>
      </c>
      <c r="AH1763" s="15" t="str">
        <f t="shared" si="2"/>
        <v/>
      </c>
      <c r="AI1763" s="17" t="str">
        <f>IF(AG1763="","",INDEX('quitado Despesa'!$G$1:$G$12,AG1763))</f>
        <v/>
      </c>
      <c r="AJ1763" s="17" t="str">
        <f t="shared" si="3"/>
        <v/>
      </c>
    </row>
    <row r="1764" spans="31:36">
      <c r="AE1764" s="15" t="str">
        <f t="shared" si="0"/>
        <v/>
      </c>
      <c r="AF1764" s="15" t="str">
        <f t="shared" si="1"/>
        <v/>
      </c>
      <c r="AG1764" s="15" t="str">
        <f>IF(OR(AF1764="",AF1764="ERRO_CHAVE"),"",IFERROR(MATCH(AF1764,'quitado Despesa'!$V$1:$V$12,0),""))</f>
        <v/>
      </c>
      <c r="AH1764" s="15" t="str">
        <f t="shared" si="2"/>
        <v/>
      </c>
      <c r="AI1764" s="17" t="str">
        <f>IF(AG1764="","",INDEX('quitado Despesa'!$G$1:$G$12,AG1764))</f>
        <v/>
      </c>
      <c r="AJ1764" s="17" t="str">
        <f t="shared" si="3"/>
        <v/>
      </c>
    </row>
    <row r="1765" spans="31:36">
      <c r="AE1765" s="15" t="str">
        <f t="shared" si="0"/>
        <v/>
      </c>
      <c r="AF1765" s="15" t="str">
        <f t="shared" si="1"/>
        <v/>
      </c>
      <c r="AG1765" s="15" t="str">
        <f>IF(OR(AF1765="",AF1765="ERRO_CHAVE"),"",IFERROR(MATCH(AF1765,'quitado Despesa'!$V$1:$V$12,0),""))</f>
        <v/>
      </c>
      <c r="AH1765" s="15" t="str">
        <f t="shared" si="2"/>
        <v/>
      </c>
      <c r="AI1765" s="17" t="str">
        <f>IF(AG1765="","",INDEX('quitado Despesa'!$G$1:$G$12,AG1765))</f>
        <v/>
      </c>
      <c r="AJ1765" s="17" t="str">
        <f t="shared" si="3"/>
        <v/>
      </c>
    </row>
    <row r="1766" spans="31:36">
      <c r="AE1766" s="15" t="str">
        <f t="shared" si="0"/>
        <v/>
      </c>
      <c r="AF1766" s="15" t="str">
        <f t="shared" si="1"/>
        <v/>
      </c>
      <c r="AG1766" s="15" t="str">
        <f>IF(OR(AF1766="",AF1766="ERRO_CHAVE"),"",IFERROR(MATCH(AF1766,'quitado Despesa'!$V$1:$V$12,0),""))</f>
        <v/>
      </c>
      <c r="AH1766" s="15" t="str">
        <f t="shared" si="2"/>
        <v/>
      </c>
      <c r="AI1766" s="17" t="str">
        <f>IF(AG1766="","",INDEX('quitado Despesa'!$G$1:$G$12,AG1766))</f>
        <v/>
      </c>
      <c r="AJ1766" s="17" t="str">
        <f t="shared" si="3"/>
        <v/>
      </c>
    </row>
    <row r="1767" spans="31:36">
      <c r="AE1767" s="15" t="str">
        <f t="shared" si="0"/>
        <v/>
      </c>
      <c r="AF1767" s="15" t="str">
        <f t="shared" si="1"/>
        <v/>
      </c>
      <c r="AG1767" s="15" t="str">
        <f>IF(OR(AF1767="",AF1767="ERRO_CHAVE"),"",IFERROR(MATCH(AF1767,'quitado Despesa'!$V$1:$V$12,0),""))</f>
        <v/>
      </c>
      <c r="AH1767" s="15" t="str">
        <f t="shared" si="2"/>
        <v/>
      </c>
      <c r="AI1767" s="17" t="str">
        <f>IF(AG1767="","",INDEX('quitado Despesa'!$G$1:$G$12,AG1767))</f>
        <v/>
      </c>
      <c r="AJ1767" s="17" t="str">
        <f t="shared" si="3"/>
        <v/>
      </c>
    </row>
    <row r="1768" spans="31:36">
      <c r="AE1768" s="15" t="str">
        <f t="shared" si="0"/>
        <v/>
      </c>
      <c r="AF1768" s="15" t="str">
        <f t="shared" si="1"/>
        <v/>
      </c>
      <c r="AG1768" s="15" t="str">
        <f>IF(OR(AF1768="",AF1768="ERRO_CHAVE"),"",IFERROR(MATCH(AF1768,'quitado Despesa'!$V$1:$V$12,0),""))</f>
        <v/>
      </c>
      <c r="AH1768" s="15" t="str">
        <f t="shared" si="2"/>
        <v/>
      </c>
      <c r="AI1768" s="17" t="str">
        <f>IF(AG1768="","",INDEX('quitado Despesa'!$G$1:$G$12,AG1768))</f>
        <v/>
      </c>
      <c r="AJ1768" s="17" t="str">
        <f t="shared" si="3"/>
        <v/>
      </c>
    </row>
    <row r="1769" spans="31:36">
      <c r="AE1769" s="15" t="str">
        <f t="shared" si="0"/>
        <v/>
      </c>
      <c r="AF1769" s="15" t="str">
        <f t="shared" si="1"/>
        <v/>
      </c>
      <c r="AG1769" s="15" t="str">
        <f>IF(OR(AF1769="",AF1769="ERRO_CHAVE"),"",IFERROR(MATCH(AF1769,'quitado Despesa'!$V$1:$V$12,0),""))</f>
        <v/>
      </c>
      <c r="AH1769" s="15" t="str">
        <f t="shared" si="2"/>
        <v/>
      </c>
      <c r="AI1769" s="17" t="str">
        <f>IF(AG1769="","",INDEX('quitado Despesa'!$G$1:$G$12,AG1769))</f>
        <v/>
      </c>
      <c r="AJ1769" s="17" t="str">
        <f t="shared" si="3"/>
        <v/>
      </c>
    </row>
    <row r="1770" spans="31:36">
      <c r="AE1770" s="15" t="str">
        <f t="shared" si="0"/>
        <v/>
      </c>
      <c r="AF1770" s="15" t="str">
        <f t="shared" si="1"/>
        <v/>
      </c>
      <c r="AG1770" s="15" t="str">
        <f>IF(OR(AF1770="",AF1770="ERRO_CHAVE"),"",IFERROR(MATCH(AF1770,'quitado Despesa'!$V$1:$V$12,0),""))</f>
        <v/>
      </c>
      <c r="AH1770" s="15" t="str">
        <f t="shared" si="2"/>
        <v/>
      </c>
      <c r="AI1770" s="17" t="str">
        <f>IF(AG1770="","",INDEX('quitado Despesa'!$G$1:$G$12,AG1770))</f>
        <v/>
      </c>
      <c r="AJ1770" s="17" t="str">
        <f t="shared" si="3"/>
        <v/>
      </c>
    </row>
    <row r="1771" spans="31:36">
      <c r="AE1771" s="15" t="str">
        <f t="shared" si="0"/>
        <v/>
      </c>
      <c r="AF1771" s="15" t="str">
        <f t="shared" si="1"/>
        <v/>
      </c>
      <c r="AG1771" s="15" t="str">
        <f>IF(OR(AF1771="",AF1771="ERRO_CHAVE"),"",IFERROR(MATCH(AF1771,'quitado Despesa'!$V$1:$V$12,0),""))</f>
        <v/>
      </c>
      <c r="AH1771" s="15" t="str">
        <f t="shared" si="2"/>
        <v/>
      </c>
      <c r="AI1771" s="17" t="str">
        <f>IF(AG1771="","",INDEX('quitado Despesa'!$G$1:$G$12,AG1771))</f>
        <v/>
      </c>
      <c r="AJ1771" s="17" t="str">
        <f t="shared" si="3"/>
        <v/>
      </c>
    </row>
    <row r="1772" spans="31:36">
      <c r="AE1772" s="15" t="str">
        <f t="shared" si="0"/>
        <v/>
      </c>
      <c r="AF1772" s="15" t="str">
        <f t="shared" si="1"/>
        <v/>
      </c>
      <c r="AG1772" s="15" t="str">
        <f>IF(OR(AF1772="",AF1772="ERRO_CHAVE"),"",IFERROR(MATCH(AF1772,'quitado Despesa'!$V$1:$V$12,0),""))</f>
        <v/>
      </c>
      <c r="AH1772" s="15" t="str">
        <f t="shared" si="2"/>
        <v/>
      </c>
      <c r="AI1772" s="17" t="str">
        <f>IF(AG1772="","",INDEX('quitado Despesa'!$G$1:$G$12,AG1772))</f>
        <v/>
      </c>
      <c r="AJ1772" s="17" t="str">
        <f t="shared" si="3"/>
        <v/>
      </c>
    </row>
    <row r="1773" spans="31:36">
      <c r="AE1773" s="15" t="str">
        <f t="shared" si="0"/>
        <v/>
      </c>
      <c r="AF1773" s="15" t="str">
        <f t="shared" si="1"/>
        <v/>
      </c>
      <c r="AG1773" s="15" t="str">
        <f>IF(OR(AF1773="",AF1773="ERRO_CHAVE"),"",IFERROR(MATCH(AF1773,'quitado Despesa'!$V$1:$V$12,0),""))</f>
        <v/>
      </c>
      <c r="AH1773" s="15" t="str">
        <f t="shared" si="2"/>
        <v/>
      </c>
      <c r="AI1773" s="17" t="str">
        <f>IF(AG1773="","",INDEX('quitado Despesa'!$G$1:$G$12,AG1773))</f>
        <v/>
      </c>
      <c r="AJ1773" s="17" t="str">
        <f t="shared" si="3"/>
        <v/>
      </c>
    </row>
    <row r="1774" spans="31:36">
      <c r="AE1774" s="15" t="str">
        <f t="shared" si="0"/>
        <v/>
      </c>
      <c r="AF1774" s="15" t="str">
        <f t="shared" si="1"/>
        <v/>
      </c>
      <c r="AG1774" s="15" t="str">
        <f>IF(OR(AF1774="",AF1774="ERRO_CHAVE"),"",IFERROR(MATCH(AF1774,'quitado Despesa'!$V$1:$V$12,0),""))</f>
        <v/>
      </c>
      <c r="AH1774" s="15" t="str">
        <f t="shared" si="2"/>
        <v/>
      </c>
      <c r="AI1774" s="17" t="str">
        <f>IF(AG1774="","",INDEX('quitado Despesa'!$G$1:$G$12,AG1774))</f>
        <v/>
      </c>
      <c r="AJ1774" s="17" t="str">
        <f t="shared" si="3"/>
        <v/>
      </c>
    </row>
    <row r="1775" spans="31:36">
      <c r="AE1775" s="15" t="str">
        <f t="shared" si="0"/>
        <v/>
      </c>
      <c r="AF1775" s="15" t="str">
        <f t="shared" si="1"/>
        <v/>
      </c>
      <c r="AG1775" s="15" t="str">
        <f>IF(OR(AF1775="",AF1775="ERRO_CHAVE"),"",IFERROR(MATCH(AF1775,'quitado Despesa'!$V$1:$V$12,0),""))</f>
        <v/>
      </c>
      <c r="AH1775" s="15" t="str">
        <f t="shared" si="2"/>
        <v/>
      </c>
      <c r="AI1775" s="17" t="str">
        <f>IF(AG1775="","",INDEX('quitado Despesa'!$G$1:$G$12,AG1775))</f>
        <v/>
      </c>
      <c r="AJ1775" s="17" t="str">
        <f t="shared" si="3"/>
        <v/>
      </c>
    </row>
    <row r="1776" spans="31:36">
      <c r="AE1776" s="15" t="str">
        <f t="shared" si="0"/>
        <v/>
      </c>
      <c r="AF1776" s="15" t="str">
        <f t="shared" si="1"/>
        <v/>
      </c>
      <c r="AG1776" s="15" t="str">
        <f>IF(OR(AF1776="",AF1776="ERRO_CHAVE"),"",IFERROR(MATCH(AF1776,'quitado Despesa'!$V$1:$V$12,0),""))</f>
        <v/>
      </c>
      <c r="AH1776" s="15" t="str">
        <f t="shared" si="2"/>
        <v/>
      </c>
      <c r="AI1776" s="17" t="str">
        <f>IF(AG1776="","",INDEX('quitado Despesa'!$G$1:$G$12,AG1776))</f>
        <v/>
      </c>
      <c r="AJ1776" s="17" t="str">
        <f t="shared" si="3"/>
        <v/>
      </c>
    </row>
    <row r="1777" spans="31:36">
      <c r="AE1777" s="15" t="str">
        <f t="shared" si="0"/>
        <v/>
      </c>
      <c r="AF1777" s="15" t="str">
        <f t="shared" si="1"/>
        <v/>
      </c>
      <c r="AG1777" s="15" t="str">
        <f>IF(OR(AF1777="",AF1777="ERRO_CHAVE"),"",IFERROR(MATCH(AF1777,'quitado Despesa'!$V$1:$V$12,0),""))</f>
        <v/>
      </c>
      <c r="AH1777" s="15" t="str">
        <f t="shared" si="2"/>
        <v/>
      </c>
      <c r="AI1777" s="17" t="str">
        <f>IF(AG1777="","",INDEX('quitado Despesa'!$G$1:$G$12,AG1777))</f>
        <v/>
      </c>
      <c r="AJ1777" s="17" t="str">
        <f t="shared" si="3"/>
        <v/>
      </c>
    </row>
    <row r="1778" spans="31:36">
      <c r="AE1778" s="15" t="str">
        <f t="shared" si="0"/>
        <v/>
      </c>
      <c r="AF1778" s="15" t="str">
        <f t="shared" si="1"/>
        <v/>
      </c>
      <c r="AG1778" s="15" t="str">
        <f>IF(OR(AF1778="",AF1778="ERRO_CHAVE"),"",IFERROR(MATCH(AF1778,'quitado Despesa'!$V$1:$V$12,0),""))</f>
        <v/>
      </c>
      <c r="AH1778" s="15" t="str">
        <f t="shared" si="2"/>
        <v/>
      </c>
      <c r="AI1778" s="17" t="str">
        <f>IF(AG1778="","",INDEX('quitado Despesa'!$G$1:$G$12,AG1778))</f>
        <v/>
      </c>
      <c r="AJ1778" s="17" t="str">
        <f t="shared" si="3"/>
        <v/>
      </c>
    </row>
    <row r="1779" spans="31:36">
      <c r="AE1779" s="15" t="str">
        <f t="shared" si="0"/>
        <v/>
      </c>
      <c r="AF1779" s="15" t="str">
        <f t="shared" si="1"/>
        <v/>
      </c>
      <c r="AG1779" s="15" t="str">
        <f>IF(OR(AF1779="",AF1779="ERRO_CHAVE"),"",IFERROR(MATCH(AF1779,'quitado Despesa'!$V$1:$V$12,0),""))</f>
        <v/>
      </c>
      <c r="AH1779" s="15" t="str">
        <f t="shared" si="2"/>
        <v/>
      </c>
      <c r="AI1779" s="17" t="str">
        <f>IF(AG1779="","",INDEX('quitado Despesa'!$G$1:$G$12,AG1779))</f>
        <v/>
      </c>
      <c r="AJ1779" s="17" t="str">
        <f t="shared" si="3"/>
        <v/>
      </c>
    </row>
    <row r="1780" spans="31:36">
      <c r="AE1780" s="15" t="str">
        <f t="shared" si="0"/>
        <v/>
      </c>
      <c r="AF1780" s="15" t="str">
        <f t="shared" si="1"/>
        <v/>
      </c>
      <c r="AG1780" s="15" t="str">
        <f>IF(OR(AF1780="",AF1780="ERRO_CHAVE"),"",IFERROR(MATCH(AF1780,'quitado Despesa'!$V$1:$V$12,0),""))</f>
        <v/>
      </c>
      <c r="AH1780" s="15" t="str">
        <f t="shared" si="2"/>
        <v/>
      </c>
      <c r="AI1780" s="17" t="str">
        <f>IF(AG1780="","",INDEX('quitado Despesa'!$G$1:$G$12,AG1780))</f>
        <v/>
      </c>
      <c r="AJ1780" s="17" t="str">
        <f t="shared" si="3"/>
        <v/>
      </c>
    </row>
    <row r="1781" spans="31:36">
      <c r="AE1781" s="15" t="str">
        <f t="shared" si="0"/>
        <v/>
      </c>
      <c r="AF1781" s="15" t="str">
        <f t="shared" si="1"/>
        <v/>
      </c>
      <c r="AG1781" s="15" t="str">
        <f>IF(OR(AF1781="",AF1781="ERRO_CHAVE"),"",IFERROR(MATCH(AF1781,'quitado Despesa'!$V$1:$V$12,0),""))</f>
        <v/>
      </c>
      <c r="AH1781" s="15" t="str">
        <f t="shared" si="2"/>
        <v/>
      </c>
      <c r="AI1781" s="17" t="str">
        <f>IF(AG1781="","",INDEX('quitado Despesa'!$G$1:$G$12,AG1781))</f>
        <v/>
      </c>
      <c r="AJ1781" s="17" t="str">
        <f t="shared" si="3"/>
        <v/>
      </c>
    </row>
    <row r="1782" spans="31:36">
      <c r="AE1782" s="15" t="str">
        <f t="shared" si="0"/>
        <v/>
      </c>
      <c r="AF1782" s="15" t="str">
        <f t="shared" si="1"/>
        <v/>
      </c>
      <c r="AG1782" s="15" t="str">
        <f>IF(OR(AF1782="",AF1782="ERRO_CHAVE"),"",IFERROR(MATCH(AF1782,'quitado Despesa'!$V$1:$V$12,0),""))</f>
        <v/>
      </c>
      <c r="AH1782" s="15" t="str">
        <f t="shared" si="2"/>
        <v/>
      </c>
      <c r="AI1782" s="17" t="str">
        <f>IF(AG1782="","",INDEX('quitado Despesa'!$G$1:$G$12,AG1782))</f>
        <v/>
      </c>
      <c r="AJ1782" s="17" t="str">
        <f t="shared" si="3"/>
        <v/>
      </c>
    </row>
    <row r="1783" spans="31:36">
      <c r="AE1783" s="15" t="str">
        <f t="shared" si="0"/>
        <v/>
      </c>
      <c r="AF1783" s="15" t="str">
        <f t="shared" si="1"/>
        <v/>
      </c>
      <c r="AG1783" s="15" t="str">
        <f>IF(OR(AF1783="",AF1783="ERRO_CHAVE"),"",IFERROR(MATCH(AF1783,'quitado Despesa'!$V$1:$V$12,0),""))</f>
        <v/>
      </c>
      <c r="AH1783" s="15" t="str">
        <f t="shared" si="2"/>
        <v/>
      </c>
      <c r="AI1783" s="17" t="str">
        <f>IF(AG1783="","",INDEX('quitado Despesa'!$G$1:$G$12,AG1783))</f>
        <v/>
      </c>
      <c r="AJ1783" s="17" t="str">
        <f t="shared" si="3"/>
        <v/>
      </c>
    </row>
    <row r="1784" spans="31:36">
      <c r="AE1784" s="15" t="str">
        <f t="shared" si="0"/>
        <v/>
      </c>
      <c r="AF1784" s="15" t="str">
        <f t="shared" si="1"/>
        <v/>
      </c>
      <c r="AG1784" s="15" t="str">
        <f>IF(OR(AF1784="",AF1784="ERRO_CHAVE"),"",IFERROR(MATCH(AF1784,'quitado Despesa'!$V$1:$V$12,0),""))</f>
        <v/>
      </c>
      <c r="AH1784" s="15" t="str">
        <f t="shared" si="2"/>
        <v/>
      </c>
      <c r="AI1784" s="17" t="str">
        <f>IF(AG1784="","",INDEX('quitado Despesa'!$G$1:$G$12,AG1784))</f>
        <v/>
      </c>
      <c r="AJ1784" s="17" t="str">
        <f t="shared" si="3"/>
        <v/>
      </c>
    </row>
    <row r="1785" spans="31:36">
      <c r="AE1785" s="15" t="str">
        <f t="shared" si="0"/>
        <v/>
      </c>
      <c r="AF1785" s="15" t="str">
        <f t="shared" si="1"/>
        <v/>
      </c>
      <c r="AG1785" s="15" t="str">
        <f>IF(OR(AF1785="",AF1785="ERRO_CHAVE"),"",IFERROR(MATCH(AF1785,'quitado Despesa'!$V$1:$V$12,0),""))</f>
        <v/>
      </c>
      <c r="AH1785" s="15" t="str">
        <f t="shared" si="2"/>
        <v/>
      </c>
      <c r="AI1785" s="17" t="str">
        <f>IF(AG1785="","",INDEX('quitado Despesa'!$G$1:$G$12,AG1785))</f>
        <v/>
      </c>
      <c r="AJ1785" s="17" t="str">
        <f t="shared" si="3"/>
        <v/>
      </c>
    </row>
    <row r="1786" spans="31:36">
      <c r="AE1786" s="15" t="str">
        <f t="shared" si="0"/>
        <v/>
      </c>
      <c r="AF1786" s="15" t="str">
        <f t="shared" si="1"/>
        <v/>
      </c>
      <c r="AG1786" s="15" t="str">
        <f>IF(OR(AF1786="",AF1786="ERRO_CHAVE"),"",IFERROR(MATCH(AF1786,'quitado Despesa'!$V$1:$V$12,0),""))</f>
        <v/>
      </c>
      <c r="AH1786" s="15" t="str">
        <f t="shared" si="2"/>
        <v/>
      </c>
      <c r="AI1786" s="17" t="str">
        <f>IF(AG1786="","",INDEX('quitado Despesa'!$G$1:$G$12,AG1786))</f>
        <v/>
      </c>
      <c r="AJ1786" s="17" t="str">
        <f t="shared" si="3"/>
        <v/>
      </c>
    </row>
    <row r="1787" spans="31:36">
      <c r="AE1787" s="15" t="str">
        <f t="shared" si="0"/>
        <v/>
      </c>
      <c r="AF1787" s="15" t="str">
        <f t="shared" si="1"/>
        <v/>
      </c>
      <c r="AG1787" s="15" t="str">
        <f>IF(OR(AF1787="",AF1787="ERRO_CHAVE"),"",IFERROR(MATCH(AF1787,'quitado Despesa'!$V$1:$V$12,0),""))</f>
        <v/>
      </c>
      <c r="AH1787" s="15" t="str">
        <f t="shared" si="2"/>
        <v/>
      </c>
      <c r="AI1787" s="17" t="str">
        <f>IF(AG1787="","",INDEX('quitado Despesa'!$G$1:$G$12,AG1787))</f>
        <v/>
      </c>
      <c r="AJ1787" s="17" t="str">
        <f t="shared" si="3"/>
        <v/>
      </c>
    </row>
    <row r="1788" spans="31:36">
      <c r="AE1788" s="15" t="str">
        <f t="shared" si="0"/>
        <v/>
      </c>
      <c r="AF1788" s="15" t="str">
        <f t="shared" si="1"/>
        <v/>
      </c>
      <c r="AG1788" s="15" t="str">
        <f>IF(OR(AF1788="",AF1788="ERRO_CHAVE"),"",IFERROR(MATCH(AF1788,'quitado Despesa'!$V$1:$V$12,0),""))</f>
        <v/>
      </c>
      <c r="AH1788" s="15" t="str">
        <f t="shared" si="2"/>
        <v/>
      </c>
      <c r="AI1788" s="17" t="str">
        <f>IF(AG1788="","",INDEX('quitado Despesa'!$G$1:$G$12,AG1788))</f>
        <v/>
      </c>
      <c r="AJ1788" s="17" t="str">
        <f t="shared" si="3"/>
        <v/>
      </c>
    </row>
    <row r="1789" spans="31:36">
      <c r="AE1789" s="15" t="str">
        <f t="shared" si="0"/>
        <v/>
      </c>
      <c r="AF1789" s="15" t="str">
        <f t="shared" si="1"/>
        <v/>
      </c>
      <c r="AG1789" s="15" t="str">
        <f>IF(OR(AF1789="",AF1789="ERRO_CHAVE"),"",IFERROR(MATCH(AF1789,'quitado Despesa'!$V$1:$V$12,0),""))</f>
        <v/>
      </c>
      <c r="AH1789" s="15" t="str">
        <f t="shared" si="2"/>
        <v/>
      </c>
      <c r="AI1789" s="17" t="str">
        <f>IF(AG1789="","",INDEX('quitado Despesa'!$G$1:$G$12,AG1789))</f>
        <v/>
      </c>
      <c r="AJ1789" s="17" t="str">
        <f t="shared" si="3"/>
        <v/>
      </c>
    </row>
    <row r="1790" spans="31:36">
      <c r="AE1790" s="15" t="str">
        <f t="shared" si="0"/>
        <v/>
      </c>
      <c r="AF1790" s="15" t="str">
        <f t="shared" si="1"/>
        <v/>
      </c>
      <c r="AG1790" s="15" t="str">
        <f>IF(OR(AF1790="",AF1790="ERRO_CHAVE"),"",IFERROR(MATCH(AF1790,'quitado Despesa'!$V$1:$V$12,0),""))</f>
        <v/>
      </c>
      <c r="AH1790" s="15" t="str">
        <f t="shared" si="2"/>
        <v/>
      </c>
      <c r="AI1790" s="17" t="str">
        <f>IF(AG1790="","",INDEX('quitado Despesa'!$G$1:$G$12,AG1790))</f>
        <v/>
      </c>
      <c r="AJ1790" s="17" t="str">
        <f t="shared" si="3"/>
        <v/>
      </c>
    </row>
    <row r="1791" spans="31:36">
      <c r="AE1791" s="15" t="str">
        <f t="shared" si="0"/>
        <v/>
      </c>
      <c r="AF1791" s="15" t="str">
        <f t="shared" si="1"/>
        <v/>
      </c>
      <c r="AG1791" s="15" t="str">
        <f>IF(OR(AF1791="",AF1791="ERRO_CHAVE"),"",IFERROR(MATCH(AF1791,'quitado Despesa'!$V$1:$V$12,0),""))</f>
        <v/>
      </c>
      <c r="AH1791" s="15" t="str">
        <f t="shared" si="2"/>
        <v/>
      </c>
      <c r="AI1791" s="17" t="str">
        <f>IF(AG1791="","",INDEX('quitado Despesa'!$G$1:$G$12,AG1791))</f>
        <v/>
      </c>
      <c r="AJ1791" s="17" t="str">
        <f t="shared" si="3"/>
        <v/>
      </c>
    </row>
    <row r="1792" spans="31:36">
      <c r="AE1792" s="15" t="str">
        <f t="shared" si="0"/>
        <v/>
      </c>
      <c r="AF1792" s="15" t="str">
        <f t="shared" si="1"/>
        <v/>
      </c>
      <c r="AG1792" s="15" t="str">
        <f>IF(OR(AF1792="",AF1792="ERRO_CHAVE"),"",IFERROR(MATCH(AF1792,'quitado Despesa'!$V$1:$V$12,0),""))</f>
        <v/>
      </c>
      <c r="AH1792" s="15" t="str">
        <f t="shared" si="2"/>
        <v/>
      </c>
      <c r="AI1792" s="17" t="str">
        <f>IF(AG1792="","",INDEX('quitado Despesa'!$G$1:$G$12,AG1792))</f>
        <v/>
      </c>
      <c r="AJ1792" s="17" t="str">
        <f t="shared" si="3"/>
        <v/>
      </c>
    </row>
    <row r="1793" spans="31:36">
      <c r="AE1793" s="15" t="str">
        <f t="shared" si="0"/>
        <v/>
      </c>
      <c r="AF1793" s="15" t="str">
        <f t="shared" si="1"/>
        <v/>
      </c>
      <c r="AG1793" s="15" t="str">
        <f>IF(OR(AF1793="",AF1793="ERRO_CHAVE"),"",IFERROR(MATCH(AF1793,'quitado Despesa'!$V$1:$V$12,0),""))</f>
        <v/>
      </c>
      <c r="AH1793" s="15" t="str">
        <f t="shared" si="2"/>
        <v/>
      </c>
      <c r="AI1793" s="17" t="str">
        <f>IF(AG1793="","",INDEX('quitado Despesa'!$G$1:$G$12,AG1793))</f>
        <v/>
      </c>
      <c r="AJ1793" s="17" t="str">
        <f t="shared" si="3"/>
        <v/>
      </c>
    </row>
    <row r="1794" spans="31:36">
      <c r="AE1794" s="15" t="str">
        <f t="shared" si="0"/>
        <v/>
      </c>
      <c r="AF1794" s="15" t="str">
        <f t="shared" si="1"/>
        <v/>
      </c>
      <c r="AG1794" s="15" t="str">
        <f>IF(OR(AF1794="",AF1794="ERRO_CHAVE"),"",IFERROR(MATCH(AF1794,'quitado Despesa'!$V$1:$V$12,0),""))</f>
        <v/>
      </c>
      <c r="AH1794" s="15" t="str">
        <f t="shared" si="2"/>
        <v/>
      </c>
      <c r="AI1794" s="17" t="str">
        <f>IF(AG1794="","",INDEX('quitado Despesa'!$G$1:$G$12,AG1794))</f>
        <v/>
      </c>
      <c r="AJ1794" s="17" t="str">
        <f t="shared" si="3"/>
        <v/>
      </c>
    </row>
    <row r="1795" spans="31:36">
      <c r="AE1795" s="15" t="str">
        <f t="shared" si="0"/>
        <v/>
      </c>
      <c r="AF1795" s="15" t="str">
        <f t="shared" si="1"/>
        <v/>
      </c>
      <c r="AG1795" s="15" t="str">
        <f>IF(OR(AF1795="",AF1795="ERRO_CHAVE"),"",IFERROR(MATCH(AF1795,'quitado Despesa'!$V$1:$V$12,0),""))</f>
        <v/>
      </c>
      <c r="AH1795" s="15" t="str">
        <f t="shared" si="2"/>
        <v/>
      </c>
      <c r="AI1795" s="17" t="str">
        <f>IF(AG1795="","",INDEX('quitado Despesa'!$G$1:$G$12,AG1795))</f>
        <v/>
      </c>
      <c r="AJ1795" s="17" t="str">
        <f t="shared" si="3"/>
        <v/>
      </c>
    </row>
    <row r="1796" spans="31:36">
      <c r="AE1796" s="15" t="str">
        <f t="shared" si="0"/>
        <v/>
      </c>
      <c r="AF1796" s="15" t="str">
        <f t="shared" si="1"/>
        <v/>
      </c>
      <c r="AG1796" s="15" t="str">
        <f>IF(OR(AF1796="",AF1796="ERRO_CHAVE"),"",IFERROR(MATCH(AF1796,'quitado Despesa'!$V$1:$V$12,0),""))</f>
        <v/>
      </c>
      <c r="AH1796" s="15" t="str">
        <f t="shared" si="2"/>
        <v/>
      </c>
      <c r="AI1796" s="17" t="str">
        <f>IF(AG1796="","",INDEX('quitado Despesa'!$G$1:$G$12,AG1796))</f>
        <v/>
      </c>
      <c r="AJ1796" s="17" t="str">
        <f t="shared" si="3"/>
        <v/>
      </c>
    </row>
    <row r="1797" spans="31:36">
      <c r="AE1797" s="15" t="str">
        <f t="shared" si="0"/>
        <v/>
      </c>
      <c r="AF1797" s="15" t="str">
        <f t="shared" si="1"/>
        <v/>
      </c>
      <c r="AG1797" s="15" t="str">
        <f>IF(OR(AF1797="",AF1797="ERRO_CHAVE"),"",IFERROR(MATCH(AF1797,'quitado Despesa'!$V$1:$V$12,0),""))</f>
        <v/>
      </c>
      <c r="AH1797" s="15" t="str">
        <f t="shared" si="2"/>
        <v/>
      </c>
      <c r="AI1797" s="17" t="str">
        <f>IF(AG1797="","",INDEX('quitado Despesa'!$G$1:$G$12,AG1797))</f>
        <v/>
      </c>
      <c r="AJ1797" s="17" t="str">
        <f t="shared" si="3"/>
        <v/>
      </c>
    </row>
    <row r="1798" spans="31:36">
      <c r="AE1798" s="15" t="str">
        <f t="shared" si="0"/>
        <v/>
      </c>
      <c r="AF1798" s="15" t="str">
        <f t="shared" si="1"/>
        <v/>
      </c>
      <c r="AG1798" s="15" t="str">
        <f>IF(OR(AF1798="",AF1798="ERRO_CHAVE"),"",IFERROR(MATCH(AF1798,'quitado Despesa'!$V$1:$V$12,0),""))</f>
        <v/>
      </c>
      <c r="AH1798" s="15" t="str">
        <f t="shared" si="2"/>
        <v/>
      </c>
      <c r="AI1798" s="17" t="str">
        <f>IF(AG1798="","",INDEX('quitado Despesa'!$G$1:$G$12,AG1798))</f>
        <v/>
      </c>
      <c r="AJ1798" s="17" t="str">
        <f t="shared" si="3"/>
        <v/>
      </c>
    </row>
    <row r="1799" spans="31:36">
      <c r="AE1799" s="15" t="str">
        <f t="shared" si="0"/>
        <v/>
      </c>
      <c r="AF1799" s="15" t="str">
        <f t="shared" si="1"/>
        <v/>
      </c>
      <c r="AG1799" s="15" t="str">
        <f>IF(OR(AF1799="",AF1799="ERRO_CHAVE"),"",IFERROR(MATCH(AF1799,'quitado Despesa'!$V$1:$V$12,0),""))</f>
        <v/>
      </c>
      <c r="AH1799" s="15" t="str">
        <f t="shared" si="2"/>
        <v/>
      </c>
      <c r="AI1799" s="17" t="str">
        <f>IF(AG1799="","",INDEX('quitado Despesa'!$G$1:$G$12,AG1799))</f>
        <v/>
      </c>
      <c r="AJ1799" s="17" t="str">
        <f t="shared" si="3"/>
        <v/>
      </c>
    </row>
    <row r="1800" spans="31:36">
      <c r="AE1800" s="15" t="str">
        <f t="shared" si="0"/>
        <v/>
      </c>
      <c r="AF1800" s="15" t="str">
        <f t="shared" si="1"/>
        <v/>
      </c>
      <c r="AG1800" s="15" t="str">
        <f>IF(OR(AF1800="",AF1800="ERRO_CHAVE"),"",IFERROR(MATCH(AF1800,'quitado Despesa'!$V$1:$V$12,0),""))</f>
        <v/>
      </c>
      <c r="AH1800" s="15" t="str">
        <f t="shared" si="2"/>
        <v/>
      </c>
      <c r="AI1800" s="17" t="str">
        <f>IF(AG1800="","",INDEX('quitado Despesa'!$G$1:$G$12,AG1800))</f>
        <v/>
      </c>
      <c r="AJ1800" s="17" t="str">
        <f t="shared" si="3"/>
        <v/>
      </c>
    </row>
    <row r="1801" spans="31:36">
      <c r="AE1801" s="15" t="str">
        <f t="shared" si="0"/>
        <v/>
      </c>
      <c r="AF1801" s="15" t="str">
        <f t="shared" si="1"/>
        <v/>
      </c>
      <c r="AG1801" s="15" t="str">
        <f>IF(OR(AF1801="",AF1801="ERRO_CHAVE"),"",IFERROR(MATCH(AF1801,'quitado Despesa'!$V$1:$V$12,0),""))</f>
        <v/>
      </c>
      <c r="AH1801" s="15" t="str">
        <f t="shared" si="2"/>
        <v/>
      </c>
      <c r="AI1801" s="17" t="str">
        <f>IF(AG1801="","",INDEX('quitado Despesa'!$G$1:$G$12,AG1801))</f>
        <v/>
      </c>
      <c r="AJ1801" s="17" t="str">
        <f t="shared" si="3"/>
        <v/>
      </c>
    </row>
    <row r="1802" spans="31:36">
      <c r="AE1802" s="15" t="str">
        <f t="shared" si="0"/>
        <v/>
      </c>
      <c r="AF1802" s="15" t="str">
        <f t="shared" si="1"/>
        <v/>
      </c>
      <c r="AG1802" s="15" t="str">
        <f>IF(OR(AF1802="",AF1802="ERRO_CHAVE"),"",IFERROR(MATCH(AF1802,'quitado Despesa'!$V$1:$V$12,0),""))</f>
        <v/>
      </c>
      <c r="AH1802" s="15" t="str">
        <f t="shared" si="2"/>
        <v/>
      </c>
      <c r="AI1802" s="17" t="str">
        <f>IF(AG1802="","",INDEX('quitado Despesa'!$G$1:$G$12,AG1802))</f>
        <v/>
      </c>
      <c r="AJ1802" s="17" t="str">
        <f t="shared" si="3"/>
        <v/>
      </c>
    </row>
    <row r="1803" spans="31:36">
      <c r="AE1803" s="15" t="str">
        <f t="shared" si="0"/>
        <v/>
      </c>
      <c r="AF1803" s="15" t="str">
        <f t="shared" si="1"/>
        <v/>
      </c>
      <c r="AG1803" s="15" t="str">
        <f>IF(OR(AF1803="",AF1803="ERRO_CHAVE"),"",IFERROR(MATCH(AF1803,'quitado Despesa'!$V$1:$V$12,0),""))</f>
        <v/>
      </c>
      <c r="AH1803" s="15" t="str">
        <f t="shared" si="2"/>
        <v/>
      </c>
      <c r="AI1803" s="17" t="str">
        <f>IF(AG1803="","",INDEX('quitado Despesa'!$G$1:$G$12,AG1803))</f>
        <v/>
      </c>
      <c r="AJ1803" s="17" t="str">
        <f t="shared" si="3"/>
        <v/>
      </c>
    </row>
    <row r="1804" spans="31:36">
      <c r="AE1804" s="15" t="str">
        <f t="shared" si="0"/>
        <v/>
      </c>
      <c r="AF1804" s="15" t="str">
        <f t="shared" si="1"/>
        <v/>
      </c>
      <c r="AG1804" s="15" t="str">
        <f>IF(OR(AF1804="",AF1804="ERRO_CHAVE"),"",IFERROR(MATCH(AF1804,'quitado Despesa'!$V$1:$V$12,0),""))</f>
        <v/>
      </c>
      <c r="AH1804" s="15" t="str">
        <f t="shared" si="2"/>
        <v/>
      </c>
      <c r="AI1804" s="17" t="str">
        <f>IF(AG1804="","",INDEX('quitado Despesa'!$G$1:$G$12,AG1804))</f>
        <v/>
      </c>
      <c r="AJ1804" s="17" t="str">
        <f t="shared" si="3"/>
        <v/>
      </c>
    </row>
    <row r="1805" spans="31:36">
      <c r="AE1805" s="15" t="str">
        <f t="shared" si="0"/>
        <v/>
      </c>
      <c r="AF1805" s="15" t="str">
        <f t="shared" si="1"/>
        <v/>
      </c>
      <c r="AG1805" s="15" t="str">
        <f>IF(OR(AF1805="",AF1805="ERRO_CHAVE"),"",IFERROR(MATCH(AF1805,'quitado Despesa'!$V$1:$V$12,0),""))</f>
        <v/>
      </c>
      <c r="AH1805" s="15" t="str">
        <f t="shared" si="2"/>
        <v/>
      </c>
      <c r="AI1805" s="17" t="str">
        <f>IF(AG1805="","",INDEX('quitado Despesa'!$G$1:$G$12,AG1805))</f>
        <v/>
      </c>
      <c r="AJ1805" s="17" t="str">
        <f t="shared" si="3"/>
        <v/>
      </c>
    </row>
    <row r="1806" spans="31:36">
      <c r="AE1806" s="15" t="str">
        <f t="shared" si="0"/>
        <v/>
      </c>
      <c r="AF1806" s="15" t="str">
        <f t="shared" si="1"/>
        <v/>
      </c>
      <c r="AG1806" s="15" t="str">
        <f>IF(OR(AF1806="",AF1806="ERRO_CHAVE"),"",IFERROR(MATCH(AF1806,'quitado Despesa'!$V$1:$V$12,0),""))</f>
        <v/>
      </c>
      <c r="AH1806" s="15" t="str">
        <f t="shared" si="2"/>
        <v/>
      </c>
      <c r="AI1806" s="17" t="str">
        <f>IF(AG1806="","",INDEX('quitado Despesa'!$G$1:$G$12,AG1806))</f>
        <v/>
      </c>
      <c r="AJ1806" s="17" t="str">
        <f t="shared" si="3"/>
        <v/>
      </c>
    </row>
    <row r="1807" spans="31:36">
      <c r="AE1807" s="15" t="str">
        <f t="shared" si="0"/>
        <v/>
      </c>
      <c r="AF1807" s="15" t="str">
        <f t="shared" si="1"/>
        <v/>
      </c>
      <c r="AG1807" s="15" t="str">
        <f>IF(OR(AF1807="",AF1807="ERRO_CHAVE"),"",IFERROR(MATCH(AF1807,'quitado Despesa'!$V$1:$V$12,0),""))</f>
        <v/>
      </c>
      <c r="AH1807" s="15" t="str">
        <f t="shared" si="2"/>
        <v/>
      </c>
      <c r="AI1807" s="17" t="str">
        <f>IF(AG1807="","",INDEX('quitado Despesa'!$G$1:$G$12,AG1807))</f>
        <v/>
      </c>
      <c r="AJ1807" s="17" t="str">
        <f t="shared" si="3"/>
        <v/>
      </c>
    </row>
    <row r="1808" spans="31:36">
      <c r="AE1808" s="15" t="str">
        <f t="shared" si="0"/>
        <v/>
      </c>
      <c r="AF1808" s="15" t="str">
        <f t="shared" si="1"/>
        <v/>
      </c>
      <c r="AG1808" s="15" t="str">
        <f>IF(OR(AF1808="",AF1808="ERRO_CHAVE"),"",IFERROR(MATCH(AF1808,'quitado Despesa'!$V$1:$V$12,0),""))</f>
        <v/>
      </c>
      <c r="AH1808" s="15" t="str">
        <f t="shared" si="2"/>
        <v/>
      </c>
      <c r="AI1808" s="17" t="str">
        <f>IF(AG1808="","",INDEX('quitado Despesa'!$G$1:$G$12,AG1808))</f>
        <v/>
      </c>
      <c r="AJ1808" s="17" t="str">
        <f t="shared" si="3"/>
        <v/>
      </c>
    </row>
    <row r="1809" spans="31:36">
      <c r="AE1809" s="15" t="str">
        <f t="shared" si="0"/>
        <v/>
      </c>
      <c r="AF1809" s="15" t="str">
        <f t="shared" si="1"/>
        <v/>
      </c>
      <c r="AG1809" s="15" t="str">
        <f>IF(OR(AF1809="",AF1809="ERRO_CHAVE"),"",IFERROR(MATCH(AF1809,'quitado Despesa'!$V$1:$V$12,0),""))</f>
        <v/>
      </c>
      <c r="AH1809" s="15" t="str">
        <f t="shared" si="2"/>
        <v/>
      </c>
      <c r="AI1809" s="17" t="str">
        <f>IF(AG1809="","",INDEX('quitado Despesa'!$G$1:$G$12,AG1809))</f>
        <v/>
      </c>
      <c r="AJ1809" s="17" t="str">
        <f t="shared" si="3"/>
        <v/>
      </c>
    </row>
    <row r="1810" spans="31:36">
      <c r="AE1810" s="15" t="str">
        <f t="shared" si="0"/>
        <v/>
      </c>
      <c r="AF1810" s="15" t="str">
        <f t="shared" si="1"/>
        <v/>
      </c>
      <c r="AG1810" s="15" t="str">
        <f>IF(OR(AF1810="",AF1810="ERRO_CHAVE"),"",IFERROR(MATCH(AF1810,'quitado Despesa'!$V$1:$V$12,0),""))</f>
        <v/>
      </c>
      <c r="AH1810" s="15" t="str">
        <f t="shared" si="2"/>
        <v/>
      </c>
      <c r="AI1810" s="17" t="str">
        <f>IF(AG1810="","",INDEX('quitado Despesa'!$G$1:$G$12,AG1810))</f>
        <v/>
      </c>
      <c r="AJ1810" s="17" t="str">
        <f t="shared" si="3"/>
        <v/>
      </c>
    </row>
    <row r="1811" spans="31:36">
      <c r="AE1811" s="15" t="str">
        <f t="shared" si="0"/>
        <v/>
      </c>
      <c r="AF1811" s="15" t="str">
        <f t="shared" si="1"/>
        <v/>
      </c>
      <c r="AG1811" s="15" t="str">
        <f>IF(OR(AF1811="",AF1811="ERRO_CHAVE"),"",IFERROR(MATCH(AF1811,'quitado Despesa'!$V$1:$V$12,0),""))</f>
        <v/>
      </c>
      <c r="AH1811" s="15" t="str">
        <f t="shared" si="2"/>
        <v/>
      </c>
      <c r="AI1811" s="17" t="str">
        <f>IF(AG1811="","",INDEX('quitado Despesa'!$G$1:$G$12,AG1811))</f>
        <v/>
      </c>
      <c r="AJ1811" s="17" t="str">
        <f t="shared" si="3"/>
        <v/>
      </c>
    </row>
    <row r="1812" spans="31:36">
      <c r="AE1812" s="15" t="str">
        <f t="shared" si="0"/>
        <v/>
      </c>
      <c r="AF1812" s="15" t="str">
        <f t="shared" si="1"/>
        <v/>
      </c>
      <c r="AG1812" s="15" t="str">
        <f>IF(OR(AF1812="",AF1812="ERRO_CHAVE"),"",IFERROR(MATCH(AF1812,'quitado Despesa'!$V$1:$V$12,0),""))</f>
        <v/>
      </c>
      <c r="AH1812" s="15" t="str">
        <f t="shared" si="2"/>
        <v/>
      </c>
      <c r="AI1812" s="17" t="str">
        <f>IF(AG1812="","",INDEX('quitado Despesa'!$G$1:$G$12,AG1812))</f>
        <v/>
      </c>
      <c r="AJ1812" s="17" t="str">
        <f t="shared" si="3"/>
        <v/>
      </c>
    </row>
    <row r="1813" spans="31:36">
      <c r="AE1813" s="15" t="str">
        <f t="shared" si="0"/>
        <v/>
      </c>
      <c r="AF1813" s="15" t="str">
        <f t="shared" si="1"/>
        <v/>
      </c>
      <c r="AG1813" s="15" t="str">
        <f>IF(OR(AF1813="",AF1813="ERRO_CHAVE"),"",IFERROR(MATCH(AF1813,'quitado Despesa'!$V$1:$V$12,0),""))</f>
        <v/>
      </c>
      <c r="AH1813" s="15" t="str">
        <f t="shared" si="2"/>
        <v/>
      </c>
      <c r="AI1813" s="17" t="str">
        <f>IF(AG1813="","",INDEX('quitado Despesa'!$G$1:$G$12,AG1813))</f>
        <v/>
      </c>
      <c r="AJ1813" s="17" t="str">
        <f t="shared" si="3"/>
        <v/>
      </c>
    </row>
    <row r="1814" spans="31:36">
      <c r="AE1814" s="15" t="str">
        <f t="shared" si="0"/>
        <v/>
      </c>
      <c r="AF1814" s="15" t="str">
        <f t="shared" si="1"/>
        <v/>
      </c>
      <c r="AG1814" s="15" t="str">
        <f>IF(OR(AF1814="",AF1814="ERRO_CHAVE"),"",IFERROR(MATCH(AF1814,'quitado Despesa'!$V$1:$V$12,0),""))</f>
        <v/>
      </c>
      <c r="AH1814" s="15" t="str">
        <f t="shared" si="2"/>
        <v/>
      </c>
      <c r="AI1814" s="17" t="str">
        <f>IF(AG1814="","",INDEX('quitado Despesa'!$G$1:$G$12,AG1814))</f>
        <v/>
      </c>
      <c r="AJ1814" s="17" t="str">
        <f t="shared" si="3"/>
        <v/>
      </c>
    </row>
    <row r="1815" spans="31:36">
      <c r="AE1815" s="15" t="str">
        <f t="shared" si="0"/>
        <v/>
      </c>
      <c r="AF1815" s="15" t="str">
        <f t="shared" si="1"/>
        <v/>
      </c>
      <c r="AG1815" s="15" t="str">
        <f>IF(OR(AF1815="",AF1815="ERRO_CHAVE"),"",IFERROR(MATCH(AF1815,'quitado Despesa'!$V$1:$V$12,0),""))</f>
        <v/>
      </c>
      <c r="AH1815" s="15" t="str">
        <f t="shared" si="2"/>
        <v/>
      </c>
      <c r="AI1815" s="17" t="str">
        <f>IF(AG1815="","",INDEX('quitado Despesa'!$G$1:$G$12,AG1815))</f>
        <v/>
      </c>
      <c r="AJ1815" s="17" t="str">
        <f t="shared" si="3"/>
        <v/>
      </c>
    </row>
    <row r="1816" spans="31:36">
      <c r="AE1816" s="15" t="str">
        <f t="shared" si="0"/>
        <v/>
      </c>
      <c r="AF1816" s="15" t="str">
        <f t="shared" si="1"/>
        <v/>
      </c>
      <c r="AG1816" s="15" t="str">
        <f>IF(OR(AF1816="",AF1816="ERRO_CHAVE"),"",IFERROR(MATCH(AF1816,'quitado Despesa'!$V$1:$V$12,0),""))</f>
        <v/>
      </c>
      <c r="AH1816" s="15" t="str">
        <f t="shared" si="2"/>
        <v/>
      </c>
      <c r="AI1816" s="17" t="str">
        <f>IF(AG1816="","",INDEX('quitado Despesa'!$G$1:$G$12,AG1816))</f>
        <v/>
      </c>
      <c r="AJ1816" s="17" t="str">
        <f t="shared" si="3"/>
        <v/>
      </c>
    </row>
    <row r="1817" spans="31:36">
      <c r="AE1817" s="15" t="str">
        <f t="shared" si="0"/>
        <v/>
      </c>
      <c r="AF1817" s="15" t="str">
        <f t="shared" si="1"/>
        <v/>
      </c>
      <c r="AG1817" s="15" t="str">
        <f>IF(OR(AF1817="",AF1817="ERRO_CHAVE"),"",IFERROR(MATCH(AF1817,'quitado Despesa'!$V$1:$V$12,0),""))</f>
        <v/>
      </c>
      <c r="AH1817" s="15" t="str">
        <f t="shared" si="2"/>
        <v/>
      </c>
      <c r="AI1817" s="17" t="str">
        <f>IF(AG1817="","",INDEX('quitado Despesa'!$G$1:$G$12,AG1817))</f>
        <v/>
      </c>
      <c r="AJ1817" s="17" t="str">
        <f t="shared" si="3"/>
        <v/>
      </c>
    </row>
    <row r="1818" spans="31:36">
      <c r="AE1818" s="15" t="str">
        <f t="shared" si="0"/>
        <v/>
      </c>
      <c r="AF1818" s="15" t="str">
        <f t="shared" si="1"/>
        <v/>
      </c>
      <c r="AG1818" s="15" t="str">
        <f>IF(OR(AF1818="",AF1818="ERRO_CHAVE"),"",IFERROR(MATCH(AF1818,'quitado Despesa'!$V$1:$V$12,0),""))</f>
        <v/>
      </c>
      <c r="AH1818" s="15" t="str">
        <f t="shared" si="2"/>
        <v/>
      </c>
      <c r="AI1818" s="17" t="str">
        <f>IF(AG1818="","",INDEX('quitado Despesa'!$G$1:$G$12,AG1818))</f>
        <v/>
      </c>
      <c r="AJ1818" s="17" t="str">
        <f t="shared" si="3"/>
        <v/>
      </c>
    </row>
    <row r="1819" spans="31:36">
      <c r="AE1819" s="15" t="str">
        <f t="shared" si="0"/>
        <v/>
      </c>
      <c r="AF1819" s="15" t="str">
        <f t="shared" si="1"/>
        <v/>
      </c>
      <c r="AG1819" s="15" t="str">
        <f>IF(OR(AF1819="",AF1819="ERRO_CHAVE"),"",IFERROR(MATCH(AF1819,'quitado Despesa'!$V$1:$V$12,0),""))</f>
        <v/>
      </c>
      <c r="AH1819" s="15" t="str">
        <f t="shared" si="2"/>
        <v/>
      </c>
      <c r="AI1819" s="17" t="str">
        <f>IF(AG1819="","",INDEX('quitado Despesa'!$G$1:$G$12,AG1819))</f>
        <v/>
      </c>
      <c r="AJ1819" s="17" t="str">
        <f t="shared" si="3"/>
        <v/>
      </c>
    </row>
    <row r="1820" spans="31:36">
      <c r="AE1820" s="15" t="str">
        <f t="shared" si="0"/>
        <v/>
      </c>
      <c r="AF1820" s="15" t="str">
        <f t="shared" si="1"/>
        <v/>
      </c>
      <c r="AG1820" s="15" t="str">
        <f>IF(OR(AF1820="",AF1820="ERRO_CHAVE"),"",IFERROR(MATCH(AF1820,'quitado Despesa'!$V$1:$V$12,0),""))</f>
        <v/>
      </c>
      <c r="AH1820" s="15" t="str">
        <f t="shared" si="2"/>
        <v/>
      </c>
      <c r="AI1820" s="17" t="str">
        <f>IF(AG1820="","",INDEX('quitado Despesa'!$G$1:$G$12,AG1820))</f>
        <v/>
      </c>
      <c r="AJ1820" s="17" t="str">
        <f t="shared" si="3"/>
        <v/>
      </c>
    </row>
    <row r="1821" spans="31:36">
      <c r="AE1821" s="15" t="str">
        <f t="shared" si="0"/>
        <v/>
      </c>
      <c r="AF1821" s="15" t="str">
        <f t="shared" si="1"/>
        <v/>
      </c>
      <c r="AG1821" s="15" t="str">
        <f>IF(OR(AF1821="",AF1821="ERRO_CHAVE"),"",IFERROR(MATCH(AF1821,'quitado Despesa'!$V$1:$V$12,0),""))</f>
        <v/>
      </c>
      <c r="AH1821" s="15" t="str">
        <f t="shared" si="2"/>
        <v/>
      </c>
      <c r="AI1821" s="17" t="str">
        <f>IF(AG1821="","",INDEX('quitado Despesa'!$G$1:$G$12,AG1821))</f>
        <v/>
      </c>
      <c r="AJ1821" s="17" t="str">
        <f t="shared" si="3"/>
        <v/>
      </c>
    </row>
    <row r="1822" spans="31:36">
      <c r="AE1822" s="15" t="str">
        <f t="shared" si="0"/>
        <v/>
      </c>
      <c r="AF1822" s="15" t="str">
        <f t="shared" si="1"/>
        <v/>
      </c>
      <c r="AG1822" s="15" t="str">
        <f>IF(OR(AF1822="",AF1822="ERRO_CHAVE"),"",IFERROR(MATCH(AF1822,'quitado Despesa'!$V$1:$V$12,0),""))</f>
        <v/>
      </c>
      <c r="AH1822" s="15" t="str">
        <f t="shared" si="2"/>
        <v/>
      </c>
      <c r="AI1822" s="17" t="str">
        <f>IF(AG1822="","",INDEX('quitado Despesa'!$G$1:$G$12,AG1822))</f>
        <v/>
      </c>
      <c r="AJ1822" s="17" t="str">
        <f t="shared" si="3"/>
        <v/>
      </c>
    </row>
    <row r="1823" spans="31:36">
      <c r="AE1823" s="15" t="str">
        <f t="shared" si="0"/>
        <v/>
      </c>
      <c r="AF1823" s="15" t="str">
        <f t="shared" si="1"/>
        <v/>
      </c>
      <c r="AG1823" s="15" t="str">
        <f>IF(OR(AF1823="",AF1823="ERRO_CHAVE"),"",IFERROR(MATCH(AF1823,'quitado Despesa'!$V$1:$V$12,0),""))</f>
        <v/>
      </c>
      <c r="AH1823" s="15" t="str">
        <f t="shared" si="2"/>
        <v/>
      </c>
      <c r="AI1823" s="17" t="str">
        <f>IF(AG1823="","",INDEX('quitado Despesa'!$G$1:$G$12,AG1823))</f>
        <v/>
      </c>
      <c r="AJ1823" s="17" t="str">
        <f t="shared" si="3"/>
        <v/>
      </c>
    </row>
    <row r="1824" spans="31:36">
      <c r="AE1824" s="15" t="str">
        <f t="shared" si="0"/>
        <v/>
      </c>
      <c r="AF1824" s="15" t="str">
        <f t="shared" si="1"/>
        <v/>
      </c>
      <c r="AG1824" s="15" t="str">
        <f>IF(OR(AF1824="",AF1824="ERRO_CHAVE"),"",IFERROR(MATCH(AF1824,'quitado Despesa'!$V$1:$V$12,0),""))</f>
        <v/>
      </c>
      <c r="AH1824" s="15" t="str">
        <f t="shared" si="2"/>
        <v/>
      </c>
      <c r="AI1824" s="17" t="str">
        <f>IF(AG1824="","",INDEX('quitado Despesa'!$G$1:$G$12,AG1824))</f>
        <v/>
      </c>
      <c r="AJ1824" s="17" t="str">
        <f t="shared" si="3"/>
        <v/>
      </c>
    </row>
    <row r="1825" spans="31:36">
      <c r="AE1825" s="15" t="str">
        <f t="shared" si="0"/>
        <v/>
      </c>
      <c r="AF1825" s="15" t="str">
        <f t="shared" si="1"/>
        <v/>
      </c>
      <c r="AG1825" s="15" t="str">
        <f>IF(OR(AF1825="",AF1825="ERRO_CHAVE"),"",IFERROR(MATCH(AF1825,'quitado Despesa'!$V$1:$V$12,0),""))</f>
        <v/>
      </c>
      <c r="AH1825" s="15" t="str">
        <f t="shared" si="2"/>
        <v/>
      </c>
      <c r="AI1825" s="17" t="str">
        <f>IF(AG1825="","",INDEX('quitado Despesa'!$G$1:$G$12,AG1825))</f>
        <v/>
      </c>
      <c r="AJ1825" s="17" t="str">
        <f t="shared" si="3"/>
        <v/>
      </c>
    </row>
    <row r="1826" spans="31:36">
      <c r="AE1826" s="15" t="str">
        <f t="shared" si="0"/>
        <v/>
      </c>
      <c r="AF1826" s="15" t="str">
        <f t="shared" si="1"/>
        <v/>
      </c>
      <c r="AG1826" s="15" t="str">
        <f>IF(OR(AF1826="",AF1826="ERRO_CHAVE"),"",IFERROR(MATCH(AF1826,'quitado Despesa'!$V$1:$V$12,0),""))</f>
        <v/>
      </c>
      <c r="AH1826" s="15" t="str">
        <f t="shared" si="2"/>
        <v/>
      </c>
      <c r="AI1826" s="17" t="str">
        <f>IF(AG1826="","",INDEX('quitado Despesa'!$G$1:$G$12,AG1826))</f>
        <v/>
      </c>
      <c r="AJ1826" s="17" t="str">
        <f t="shared" si="3"/>
        <v/>
      </c>
    </row>
    <row r="1827" spans="31:36">
      <c r="AE1827" s="15" t="str">
        <f t="shared" si="0"/>
        <v/>
      </c>
      <c r="AF1827" s="15" t="str">
        <f t="shared" si="1"/>
        <v/>
      </c>
      <c r="AG1827" s="15" t="str">
        <f>IF(OR(AF1827="",AF1827="ERRO_CHAVE"),"",IFERROR(MATCH(AF1827,'quitado Despesa'!$V$1:$V$12,0),""))</f>
        <v/>
      </c>
      <c r="AH1827" s="15" t="str">
        <f t="shared" si="2"/>
        <v/>
      </c>
      <c r="AI1827" s="17" t="str">
        <f>IF(AG1827="","",INDEX('quitado Despesa'!$G$1:$G$12,AG1827))</f>
        <v/>
      </c>
      <c r="AJ1827" s="17" t="str">
        <f t="shared" si="3"/>
        <v/>
      </c>
    </row>
    <row r="1828" spans="31:36">
      <c r="AE1828" s="15" t="str">
        <f t="shared" si="0"/>
        <v/>
      </c>
      <c r="AF1828" s="15" t="str">
        <f t="shared" si="1"/>
        <v/>
      </c>
      <c r="AG1828" s="15" t="str">
        <f>IF(OR(AF1828="",AF1828="ERRO_CHAVE"),"",IFERROR(MATCH(AF1828,'quitado Despesa'!$V$1:$V$12,0),""))</f>
        <v/>
      </c>
      <c r="AH1828" s="15" t="str">
        <f t="shared" si="2"/>
        <v/>
      </c>
      <c r="AI1828" s="17" t="str">
        <f>IF(AG1828="","",INDEX('quitado Despesa'!$G$1:$G$12,AG1828))</f>
        <v/>
      </c>
      <c r="AJ1828" s="17" t="str">
        <f t="shared" si="3"/>
        <v/>
      </c>
    </row>
    <row r="1829" spans="31:36">
      <c r="AE1829" s="15" t="str">
        <f t="shared" si="0"/>
        <v/>
      </c>
      <c r="AF1829" s="15" t="str">
        <f t="shared" si="1"/>
        <v/>
      </c>
      <c r="AG1829" s="15" t="str">
        <f>IF(OR(AF1829="",AF1829="ERRO_CHAVE"),"",IFERROR(MATCH(AF1829,'quitado Despesa'!$V$1:$V$12,0),""))</f>
        <v/>
      </c>
      <c r="AH1829" s="15" t="str">
        <f t="shared" si="2"/>
        <v/>
      </c>
      <c r="AI1829" s="17" t="str">
        <f>IF(AG1829="","",INDEX('quitado Despesa'!$G$1:$G$12,AG1829))</f>
        <v/>
      </c>
      <c r="AJ1829" s="17" t="str">
        <f t="shared" si="3"/>
        <v/>
      </c>
    </row>
    <row r="1830" spans="31:36">
      <c r="AE1830" s="15" t="str">
        <f t="shared" si="0"/>
        <v/>
      </c>
      <c r="AF1830" s="15" t="str">
        <f t="shared" si="1"/>
        <v/>
      </c>
      <c r="AG1830" s="15" t="str">
        <f>IF(OR(AF1830="",AF1830="ERRO_CHAVE"),"",IFERROR(MATCH(AF1830,'quitado Despesa'!$V$1:$V$12,0),""))</f>
        <v/>
      </c>
      <c r="AH1830" s="15" t="str">
        <f t="shared" si="2"/>
        <v/>
      </c>
      <c r="AI1830" s="17" t="str">
        <f>IF(AG1830="","",INDEX('quitado Despesa'!$G$1:$G$12,AG1830))</f>
        <v/>
      </c>
      <c r="AJ1830" s="17" t="str">
        <f t="shared" si="3"/>
        <v/>
      </c>
    </row>
    <row r="1831" spans="31:36">
      <c r="AE1831" s="15" t="str">
        <f t="shared" si="0"/>
        <v/>
      </c>
      <c r="AF1831" s="15" t="str">
        <f t="shared" si="1"/>
        <v/>
      </c>
      <c r="AG1831" s="15" t="str">
        <f>IF(OR(AF1831="",AF1831="ERRO_CHAVE"),"",IFERROR(MATCH(AF1831,'quitado Despesa'!$V$1:$V$12,0),""))</f>
        <v/>
      </c>
      <c r="AH1831" s="15" t="str">
        <f t="shared" si="2"/>
        <v/>
      </c>
      <c r="AI1831" s="17" t="str">
        <f>IF(AG1831="","",INDEX('quitado Despesa'!$G$1:$G$12,AG1831))</f>
        <v/>
      </c>
      <c r="AJ1831" s="17" t="str">
        <f t="shared" si="3"/>
        <v/>
      </c>
    </row>
    <row r="1832" spans="31:36">
      <c r="AE1832" s="15" t="str">
        <f t="shared" si="0"/>
        <v/>
      </c>
      <c r="AF1832" s="15" t="str">
        <f t="shared" si="1"/>
        <v/>
      </c>
      <c r="AG1832" s="15" t="str">
        <f>IF(OR(AF1832="",AF1832="ERRO_CHAVE"),"",IFERROR(MATCH(AF1832,'quitado Despesa'!$V$1:$V$12,0),""))</f>
        <v/>
      </c>
      <c r="AH1832" s="15" t="str">
        <f t="shared" si="2"/>
        <v/>
      </c>
      <c r="AI1832" s="17" t="str">
        <f>IF(AG1832="","",INDEX('quitado Despesa'!$G$1:$G$12,AG1832))</f>
        <v/>
      </c>
      <c r="AJ1832" s="17" t="str">
        <f t="shared" si="3"/>
        <v/>
      </c>
    </row>
    <row r="1833" spans="31:36">
      <c r="AE1833" s="15" t="str">
        <f t="shared" si="0"/>
        <v/>
      </c>
      <c r="AF1833" s="15" t="str">
        <f t="shared" si="1"/>
        <v/>
      </c>
      <c r="AG1833" s="15" t="str">
        <f>IF(OR(AF1833="",AF1833="ERRO_CHAVE"),"",IFERROR(MATCH(AF1833,'quitado Despesa'!$V$1:$V$12,0),""))</f>
        <v/>
      </c>
      <c r="AH1833" s="15" t="str">
        <f t="shared" si="2"/>
        <v/>
      </c>
      <c r="AI1833" s="17" t="str">
        <f>IF(AG1833="","",INDEX('quitado Despesa'!$G$1:$G$12,AG1833))</f>
        <v/>
      </c>
      <c r="AJ1833" s="17" t="str">
        <f t="shared" si="3"/>
        <v/>
      </c>
    </row>
    <row r="1834" spans="31:36">
      <c r="AE1834" s="15" t="str">
        <f t="shared" si="0"/>
        <v/>
      </c>
      <c r="AF1834" s="15" t="str">
        <f t="shared" si="1"/>
        <v/>
      </c>
      <c r="AG1834" s="15" t="str">
        <f>IF(OR(AF1834="",AF1834="ERRO_CHAVE"),"",IFERROR(MATCH(AF1834,'quitado Despesa'!$V$1:$V$12,0),""))</f>
        <v/>
      </c>
      <c r="AH1834" s="15" t="str">
        <f t="shared" si="2"/>
        <v/>
      </c>
      <c r="AI1834" s="17" t="str">
        <f>IF(AG1834="","",INDEX('quitado Despesa'!$G$1:$G$12,AG1834))</f>
        <v/>
      </c>
      <c r="AJ1834" s="17" t="str">
        <f t="shared" si="3"/>
        <v/>
      </c>
    </row>
    <row r="1835" spans="31:36">
      <c r="AE1835" s="15" t="str">
        <f t="shared" si="0"/>
        <v/>
      </c>
      <c r="AF1835" s="15" t="str">
        <f t="shared" si="1"/>
        <v/>
      </c>
      <c r="AG1835" s="15" t="str">
        <f>IF(OR(AF1835="",AF1835="ERRO_CHAVE"),"",IFERROR(MATCH(AF1835,'quitado Despesa'!$V$1:$V$12,0),""))</f>
        <v/>
      </c>
      <c r="AH1835" s="15" t="str">
        <f t="shared" si="2"/>
        <v/>
      </c>
      <c r="AI1835" s="17" t="str">
        <f>IF(AG1835="","",INDEX('quitado Despesa'!$G$1:$G$12,AG1835))</f>
        <v/>
      </c>
      <c r="AJ1835" s="17" t="str">
        <f t="shared" si="3"/>
        <v/>
      </c>
    </row>
    <row r="1836" spans="31:36">
      <c r="AE1836" s="15" t="str">
        <f t="shared" si="0"/>
        <v/>
      </c>
      <c r="AF1836" s="15" t="str">
        <f t="shared" si="1"/>
        <v/>
      </c>
      <c r="AG1836" s="15" t="str">
        <f>IF(OR(AF1836="",AF1836="ERRO_CHAVE"),"",IFERROR(MATCH(AF1836,'quitado Despesa'!$V$1:$V$12,0),""))</f>
        <v/>
      </c>
      <c r="AH1836" s="15" t="str">
        <f t="shared" si="2"/>
        <v/>
      </c>
      <c r="AI1836" s="17" t="str">
        <f>IF(AG1836="","",INDEX('quitado Despesa'!$G$1:$G$12,AG1836))</f>
        <v/>
      </c>
      <c r="AJ1836" s="17" t="str">
        <f t="shared" si="3"/>
        <v/>
      </c>
    </row>
    <row r="1837" spans="31:36">
      <c r="AE1837" s="15" t="str">
        <f t="shared" si="0"/>
        <v/>
      </c>
      <c r="AF1837" s="15" t="str">
        <f t="shared" si="1"/>
        <v/>
      </c>
      <c r="AG1837" s="15" t="str">
        <f>IF(OR(AF1837="",AF1837="ERRO_CHAVE"),"",IFERROR(MATCH(AF1837,'quitado Despesa'!$V$1:$V$12,0),""))</f>
        <v/>
      </c>
      <c r="AH1837" s="15" t="str">
        <f t="shared" si="2"/>
        <v/>
      </c>
      <c r="AI1837" s="17" t="str">
        <f>IF(AG1837="","",INDEX('quitado Despesa'!$G$1:$G$12,AG1837))</f>
        <v/>
      </c>
      <c r="AJ1837" s="17" t="str">
        <f t="shared" si="3"/>
        <v/>
      </c>
    </row>
    <row r="1838" spans="31:36">
      <c r="AE1838" s="15" t="str">
        <f t="shared" si="0"/>
        <v/>
      </c>
      <c r="AF1838" s="15" t="str">
        <f t="shared" si="1"/>
        <v/>
      </c>
      <c r="AG1838" s="15" t="str">
        <f>IF(OR(AF1838="",AF1838="ERRO_CHAVE"),"",IFERROR(MATCH(AF1838,'quitado Despesa'!$V$1:$V$12,0),""))</f>
        <v/>
      </c>
      <c r="AH1838" s="15" t="str">
        <f t="shared" si="2"/>
        <v/>
      </c>
      <c r="AI1838" s="17" t="str">
        <f>IF(AG1838="","",INDEX('quitado Despesa'!$G$1:$G$12,AG1838))</f>
        <v/>
      </c>
      <c r="AJ1838" s="17" t="str">
        <f t="shared" si="3"/>
        <v/>
      </c>
    </row>
    <row r="1839" spans="31:36">
      <c r="AE1839" s="15" t="str">
        <f t="shared" si="0"/>
        <v/>
      </c>
      <c r="AF1839" s="15" t="str">
        <f t="shared" si="1"/>
        <v/>
      </c>
      <c r="AG1839" s="15" t="str">
        <f>IF(OR(AF1839="",AF1839="ERRO_CHAVE"),"",IFERROR(MATCH(AF1839,'quitado Despesa'!$V$1:$V$12,0),""))</f>
        <v/>
      </c>
      <c r="AH1839" s="15" t="str">
        <f t="shared" si="2"/>
        <v/>
      </c>
      <c r="AI1839" s="17" t="str">
        <f>IF(AG1839="","",INDEX('quitado Despesa'!$G$1:$G$12,AG1839))</f>
        <v/>
      </c>
      <c r="AJ1839" s="17" t="str">
        <f t="shared" si="3"/>
        <v/>
      </c>
    </row>
    <row r="1840" spans="31:36">
      <c r="AE1840" s="15" t="str">
        <f t="shared" si="0"/>
        <v/>
      </c>
      <c r="AF1840" s="15" t="str">
        <f t="shared" si="1"/>
        <v/>
      </c>
      <c r="AG1840" s="15" t="str">
        <f>IF(OR(AF1840="",AF1840="ERRO_CHAVE"),"",IFERROR(MATCH(AF1840,'quitado Despesa'!$V$1:$V$12,0),""))</f>
        <v/>
      </c>
      <c r="AH1840" s="15" t="str">
        <f t="shared" si="2"/>
        <v/>
      </c>
      <c r="AI1840" s="17" t="str">
        <f>IF(AG1840="","",INDEX('quitado Despesa'!$G$1:$G$12,AG1840))</f>
        <v/>
      </c>
      <c r="AJ1840" s="17" t="str">
        <f t="shared" si="3"/>
        <v/>
      </c>
    </row>
    <row r="1841" spans="31:36">
      <c r="AE1841" s="15" t="str">
        <f t="shared" si="0"/>
        <v/>
      </c>
      <c r="AF1841" s="15" t="str">
        <f t="shared" si="1"/>
        <v/>
      </c>
      <c r="AG1841" s="15" t="str">
        <f>IF(OR(AF1841="",AF1841="ERRO_CHAVE"),"",IFERROR(MATCH(AF1841,'quitado Despesa'!$V$1:$V$12,0),""))</f>
        <v/>
      </c>
      <c r="AH1841" s="15" t="str">
        <f t="shared" si="2"/>
        <v/>
      </c>
      <c r="AI1841" s="17" t="str">
        <f>IF(AG1841="","",INDEX('quitado Despesa'!$G$1:$G$12,AG1841))</f>
        <v/>
      </c>
      <c r="AJ1841" s="17" t="str">
        <f t="shared" si="3"/>
        <v/>
      </c>
    </row>
    <row r="1842" spans="31:36">
      <c r="AE1842" s="15" t="str">
        <f t="shared" si="0"/>
        <v/>
      </c>
      <c r="AF1842" s="15" t="str">
        <f t="shared" si="1"/>
        <v/>
      </c>
      <c r="AG1842" s="15" t="str">
        <f>IF(OR(AF1842="",AF1842="ERRO_CHAVE"),"",IFERROR(MATCH(AF1842,'quitado Despesa'!$V$1:$V$12,0),""))</f>
        <v/>
      </c>
      <c r="AH1842" s="15" t="str">
        <f t="shared" si="2"/>
        <v/>
      </c>
      <c r="AI1842" s="17" t="str">
        <f>IF(AG1842="","",INDEX('quitado Despesa'!$G$1:$G$12,AG1842))</f>
        <v/>
      </c>
      <c r="AJ1842" s="17" t="str">
        <f t="shared" si="3"/>
        <v/>
      </c>
    </row>
    <row r="1843" spans="31:36">
      <c r="AE1843" s="15" t="str">
        <f t="shared" si="0"/>
        <v/>
      </c>
      <c r="AF1843" s="15" t="str">
        <f t="shared" si="1"/>
        <v/>
      </c>
      <c r="AG1843" s="15" t="str">
        <f>IF(OR(AF1843="",AF1843="ERRO_CHAVE"),"",IFERROR(MATCH(AF1843,'quitado Despesa'!$V$1:$V$12,0),""))</f>
        <v/>
      </c>
      <c r="AH1843" s="15" t="str">
        <f t="shared" si="2"/>
        <v/>
      </c>
      <c r="AI1843" s="17" t="str">
        <f>IF(AG1843="","",INDEX('quitado Despesa'!$G$1:$G$12,AG1843))</f>
        <v/>
      </c>
      <c r="AJ1843" s="17" t="str">
        <f t="shared" si="3"/>
        <v/>
      </c>
    </row>
    <row r="1844" spans="31:36">
      <c r="AE1844" s="15" t="str">
        <f t="shared" si="0"/>
        <v/>
      </c>
      <c r="AF1844" s="15" t="str">
        <f t="shared" si="1"/>
        <v/>
      </c>
      <c r="AG1844" s="15" t="str">
        <f>IF(OR(AF1844="",AF1844="ERRO_CHAVE"),"",IFERROR(MATCH(AF1844,'quitado Despesa'!$V$1:$V$12,0),""))</f>
        <v/>
      </c>
      <c r="AH1844" s="15" t="str">
        <f t="shared" si="2"/>
        <v/>
      </c>
      <c r="AI1844" s="17" t="str">
        <f>IF(AG1844="","",INDEX('quitado Despesa'!$G$1:$G$12,AG1844))</f>
        <v/>
      </c>
      <c r="AJ1844" s="17" t="str">
        <f t="shared" si="3"/>
        <v/>
      </c>
    </row>
    <row r="1845" spans="31:36">
      <c r="AE1845" s="15" t="str">
        <f t="shared" si="0"/>
        <v/>
      </c>
      <c r="AF1845" s="15" t="str">
        <f t="shared" si="1"/>
        <v/>
      </c>
      <c r="AG1845" s="15" t="str">
        <f>IF(OR(AF1845="",AF1845="ERRO_CHAVE"),"",IFERROR(MATCH(AF1845,'quitado Despesa'!$V$1:$V$12,0),""))</f>
        <v/>
      </c>
      <c r="AH1845" s="15" t="str">
        <f t="shared" si="2"/>
        <v/>
      </c>
      <c r="AI1845" s="17" t="str">
        <f>IF(AG1845="","",INDEX('quitado Despesa'!$G$1:$G$12,AG1845))</f>
        <v/>
      </c>
      <c r="AJ1845" s="17" t="str">
        <f t="shared" si="3"/>
        <v/>
      </c>
    </row>
    <row r="1846" spans="31:36">
      <c r="AE1846" s="15" t="str">
        <f t="shared" si="0"/>
        <v/>
      </c>
      <c r="AF1846" s="15" t="str">
        <f t="shared" si="1"/>
        <v/>
      </c>
      <c r="AG1846" s="15" t="str">
        <f>IF(OR(AF1846="",AF1846="ERRO_CHAVE"),"",IFERROR(MATCH(AF1846,'quitado Despesa'!$V$1:$V$12,0),""))</f>
        <v/>
      </c>
      <c r="AH1846" s="15" t="str">
        <f t="shared" si="2"/>
        <v/>
      </c>
      <c r="AI1846" s="17" t="str">
        <f>IF(AG1846="","",INDEX('quitado Despesa'!$G$1:$G$12,AG1846))</f>
        <v/>
      </c>
      <c r="AJ1846" s="17" t="str">
        <f t="shared" si="3"/>
        <v/>
      </c>
    </row>
    <row r="1847" spans="31:36">
      <c r="AE1847" s="15" t="str">
        <f t="shared" si="0"/>
        <v/>
      </c>
      <c r="AF1847" s="15" t="str">
        <f t="shared" si="1"/>
        <v/>
      </c>
      <c r="AG1847" s="15" t="str">
        <f>IF(OR(AF1847="",AF1847="ERRO_CHAVE"),"",IFERROR(MATCH(AF1847,'quitado Despesa'!$V$1:$V$12,0),""))</f>
        <v/>
      </c>
      <c r="AH1847" s="15" t="str">
        <f t="shared" si="2"/>
        <v/>
      </c>
      <c r="AI1847" s="17" t="str">
        <f>IF(AG1847="","",INDEX('quitado Despesa'!$G$1:$G$12,AG1847))</f>
        <v/>
      </c>
      <c r="AJ1847" s="17" t="str">
        <f t="shared" si="3"/>
        <v/>
      </c>
    </row>
    <row r="1848" spans="31:36">
      <c r="AE1848" s="15" t="str">
        <f t="shared" si="0"/>
        <v/>
      </c>
      <c r="AF1848" s="15" t="str">
        <f t="shared" si="1"/>
        <v/>
      </c>
      <c r="AG1848" s="15" t="str">
        <f>IF(OR(AF1848="",AF1848="ERRO_CHAVE"),"",IFERROR(MATCH(AF1848,'quitado Despesa'!$V$1:$V$12,0),""))</f>
        <v/>
      </c>
      <c r="AH1848" s="15" t="str">
        <f t="shared" si="2"/>
        <v/>
      </c>
      <c r="AI1848" s="17" t="str">
        <f>IF(AG1848="","",INDEX('quitado Despesa'!$G$1:$G$12,AG1848))</f>
        <v/>
      </c>
      <c r="AJ1848" s="17" t="str">
        <f t="shared" si="3"/>
        <v/>
      </c>
    </row>
    <row r="1849" spans="31:36">
      <c r="AE1849" s="15" t="str">
        <f t="shared" si="0"/>
        <v/>
      </c>
      <c r="AF1849" s="15" t="str">
        <f t="shared" si="1"/>
        <v/>
      </c>
      <c r="AG1849" s="15" t="str">
        <f>IF(OR(AF1849="",AF1849="ERRO_CHAVE"),"",IFERROR(MATCH(AF1849,'quitado Despesa'!$V$1:$V$12,0),""))</f>
        <v/>
      </c>
      <c r="AH1849" s="15" t="str">
        <f t="shared" si="2"/>
        <v/>
      </c>
      <c r="AI1849" s="17" t="str">
        <f>IF(AG1849="","",INDEX('quitado Despesa'!$G$1:$G$12,AG1849))</f>
        <v/>
      </c>
      <c r="AJ1849" s="17" t="str">
        <f t="shared" si="3"/>
        <v/>
      </c>
    </row>
    <row r="1850" spans="31:36">
      <c r="AE1850" s="15" t="str">
        <f t="shared" si="0"/>
        <v/>
      </c>
      <c r="AF1850" s="15" t="str">
        <f t="shared" si="1"/>
        <v/>
      </c>
      <c r="AG1850" s="15" t="str">
        <f>IF(OR(AF1850="",AF1850="ERRO_CHAVE"),"",IFERROR(MATCH(AF1850,'quitado Despesa'!$V$1:$V$12,0),""))</f>
        <v/>
      </c>
      <c r="AH1850" s="15" t="str">
        <f t="shared" si="2"/>
        <v/>
      </c>
      <c r="AI1850" s="17" t="str">
        <f>IF(AG1850="","",INDEX('quitado Despesa'!$G$1:$G$12,AG1850))</f>
        <v/>
      </c>
      <c r="AJ1850" s="17" t="str">
        <f t="shared" si="3"/>
        <v/>
      </c>
    </row>
    <row r="1851" spans="31:36">
      <c r="AE1851" s="15" t="str">
        <f t="shared" si="0"/>
        <v/>
      </c>
      <c r="AF1851" s="15" t="str">
        <f t="shared" si="1"/>
        <v/>
      </c>
      <c r="AG1851" s="15" t="str">
        <f>IF(OR(AF1851="",AF1851="ERRO_CHAVE"),"",IFERROR(MATCH(AF1851,'quitado Despesa'!$V$1:$V$12,0),""))</f>
        <v/>
      </c>
      <c r="AH1851" s="15" t="str">
        <f t="shared" si="2"/>
        <v/>
      </c>
      <c r="AI1851" s="17" t="str">
        <f>IF(AG1851="","",INDEX('quitado Despesa'!$G$1:$G$12,AG1851))</f>
        <v/>
      </c>
      <c r="AJ1851" s="17" t="str">
        <f t="shared" si="3"/>
        <v/>
      </c>
    </row>
    <row r="1852" spans="31:36">
      <c r="AE1852" s="15" t="str">
        <f t="shared" si="0"/>
        <v/>
      </c>
      <c r="AF1852" s="15" t="str">
        <f t="shared" si="1"/>
        <v/>
      </c>
      <c r="AG1852" s="15" t="str">
        <f>IF(OR(AF1852="",AF1852="ERRO_CHAVE"),"",IFERROR(MATCH(AF1852,'quitado Despesa'!$V$1:$V$12,0),""))</f>
        <v/>
      </c>
      <c r="AH1852" s="15" t="str">
        <f t="shared" si="2"/>
        <v/>
      </c>
      <c r="AI1852" s="17" t="str">
        <f>IF(AG1852="","",INDEX('quitado Despesa'!$G$1:$G$12,AG1852))</f>
        <v/>
      </c>
      <c r="AJ1852" s="17" t="str">
        <f t="shared" si="3"/>
        <v/>
      </c>
    </row>
    <row r="1853" spans="31:36">
      <c r="AE1853" s="15" t="str">
        <f t="shared" si="0"/>
        <v/>
      </c>
      <c r="AF1853" s="15" t="str">
        <f t="shared" si="1"/>
        <v/>
      </c>
      <c r="AG1853" s="15" t="str">
        <f>IF(OR(AF1853="",AF1853="ERRO_CHAVE"),"",IFERROR(MATCH(AF1853,'quitado Despesa'!$V$1:$V$12,0),""))</f>
        <v/>
      </c>
      <c r="AH1853" s="15" t="str">
        <f t="shared" si="2"/>
        <v/>
      </c>
      <c r="AI1853" s="17" t="str">
        <f>IF(AG1853="","",INDEX('quitado Despesa'!$G$1:$G$12,AG1853))</f>
        <v/>
      </c>
      <c r="AJ1853" s="17" t="str">
        <f t="shared" si="3"/>
        <v/>
      </c>
    </row>
    <row r="1854" spans="31:36">
      <c r="AE1854" s="15" t="str">
        <f t="shared" si="0"/>
        <v/>
      </c>
      <c r="AF1854" s="15" t="str">
        <f t="shared" si="1"/>
        <v/>
      </c>
      <c r="AG1854" s="15" t="str">
        <f>IF(OR(AF1854="",AF1854="ERRO_CHAVE"),"",IFERROR(MATCH(AF1854,'quitado Despesa'!$V$1:$V$12,0),""))</f>
        <v/>
      </c>
      <c r="AH1854" s="15" t="str">
        <f t="shared" si="2"/>
        <v/>
      </c>
      <c r="AI1854" s="17" t="str">
        <f>IF(AG1854="","",INDEX('quitado Despesa'!$G$1:$G$12,AG1854))</f>
        <v/>
      </c>
      <c r="AJ1854" s="17" t="str">
        <f t="shared" si="3"/>
        <v/>
      </c>
    </row>
    <row r="1855" spans="31:36">
      <c r="AE1855" s="15" t="str">
        <f t="shared" si="0"/>
        <v/>
      </c>
      <c r="AF1855" s="15" t="str">
        <f t="shared" si="1"/>
        <v/>
      </c>
      <c r="AG1855" s="15" t="str">
        <f>IF(OR(AF1855="",AF1855="ERRO_CHAVE"),"",IFERROR(MATCH(AF1855,'quitado Despesa'!$V$1:$V$12,0),""))</f>
        <v/>
      </c>
      <c r="AH1855" s="15" t="str">
        <f t="shared" si="2"/>
        <v/>
      </c>
      <c r="AI1855" s="17" t="str">
        <f>IF(AG1855="","",INDEX('quitado Despesa'!$G$1:$G$12,AG1855))</f>
        <v/>
      </c>
      <c r="AJ1855" s="17" t="str">
        <f t="shared" si="3"/>
        <v/>
      </c>
    </row>
    <row r="1856" spans="31:36">
      <c r="AE1856" s="15" t="str">
        <f t="shared" si="0"/>
        <v/>
      </c>
      <c r="AF1856" s="15" t="str">
        <f t="shared" si="1"/>
        <v/>
      </c>
      <c r="AG1856" s="15" t="str">
        <f>IF(OR(AF1856="",AF1856="ERRO_CHAVE"),"",IFERROR(MATCH(AF1856,'quitado Despesa'!$V$1:$V$12,0),""))</f>
        <v/>
      </c>
      <c r="AH1856" s="15" t="str">
        <f t="shared" si="2"/>
        <v/>
      </c>
      <c r="AI1856" s="17" t="str">
        <f>IF(AG1856="","",INDEX('quitado Despesa'!$G$1:$G$12,AG1856))</f>
        <v/>
      </c>
      <c r="AJ1856" s="17" t="str">
        <f t="shared" si="3"/>
        <v/>
      </c>
    </row>
    <row r="1857" spans="31:36">
      <c r="AE1857" s="15" t="str">
        <f t="shared" si="0"/>
        <v/>
      </c>
      <c r="AF1857" s="15" t="str">
        <f t="shared" si="1"/>
        <v/>
      </c>
      <c r="AG1857" s="15" t="str">
        <f>IF(OR(AF1857="",AF1857="ERRO_CHAVE"),"",IFERROR(MATCH(AF1857,'quitado Despesa'!$V$1:$V$12,0),""))</f>
        <v/>
      </c>
      <c r="AH1857" s="15" t="str">
        <f t="shared" si="2"/>
        <v/>
      </c>
      <c r="AI1857" s="17" t="str">
        <f>IF(AG1857="","",INDEX('quitado Despesa'!$G$1:$G$12,AG1857))</f>
        <v/>
      </c>
      <c r="AJ1857" s="17" t="str">
        <f t="shared" si="3"/>
        <v/>
      </c>
    </row>
    <row r="1858" spans="31:36">
      <c r="AE1858" s="15" t="str">
        <f t="shared" si="0"/>
        <v/>
      </c>
      <c r="AF1858" s="15" t="str">
        <f t="shared" si="1"/>
        <v/>
      </c>
      <c r="AG1858" s="15" t="str">
        <f>IF(OR(AF1858="",AF1858="ERRO_CHAVE"),"",IFERROR(MATCH(AF1858,'quitado Despesa'!$V$1:$V$12,0),""))</f>
        <v/>
      </c>
      <c r="AH1858" s="15" t="str">
        <f t="shared" si="2"/>
        <v/>
      </c>
      <c r="AI1858" s="17" t="str">
        <f>IF(AG1858="","",INDEX('quitado Despesa'!$G$1:$G$12,AG1858))</f>
        <v/>
      </c>
      <c r="AJ1858" s="17" t="str">
        <f t="shared" si="3"/>
        <v/>
      </c>
    </row>
    <row r="1859" spans="31:36">
      <c r="AE1859" s="15" t="str">
        <f t="shared" si="0"/>
        <v/>
      </c>
      <c r="AF1859" s="15" t="str">
        <f t="shared" si="1"/>
        <v/>
      </c>
      <c r="AG1859" s="15" t="str">
        <f>IF(OR(AF1859="",AF1859="ERRO_CHAVE"),"",IFERROR(MATCH(AF1859,'quitado Despesa'!$V$1:$V$12,0),""))</f>
        <v/>
      </c>
      <c r="AH1859" s="15" t="str">
        <f t="shared" si="2"/>
        <v/>
      </c>
      <c r="AI1859" s="17" t="str">
        <f>IF(AG1859="","",INDEX('quitado Despesa'!$G$1:$G$12,AG1859))</f>
        <v/>
      </c>
      <c r="AJ1859" s="17" t="str">
        <f t="shared" si="3"/>
        <v/>
      </c>
    </row>
    <row r="1860" spans="31:36">
      <c r="AE1860" s="15" t="str">
        <f t="shared" si="0"/>
        <v/>
      </c>
      <c r="AF1860" s="15" t="str">
        <f t="shared" si="1"/>
        <v/>
      </c>
      <c r="AG1860" s="15" t="str">
        <f>IF(OR(AF1860="",AF1860="ERRO_CHAVE"),"",IFERROR(MATCH(AF1860,'quitado Despesa'!$V$1:$V$12,0),""))</f>
        <v/>
      </c>
      <c r="AH1860" s="15" t="str">
        <f t="shared" si="2"/>
        <v/>
      </c>
      <c r="AI1860" s="17" t="str">
        <f>IF(AG1860="","",INDEX('quitado Despesa'!$G$1:$G$12,AG1860))</f>
        <v/>
      </c>
      <c r="AJ1860" s="17" t="str">
        <f t="shared" si="3"/>
        <v/>
      </c>
    </row>
    <row r="1861" spans="31:36">
      <c r="AE1861" s="15" t="str">
        <f t="shared" si="0"/>
        <v/>
      </c>
      <c r="AF1861" s="15" t="str">
        <f t="shared" si="1"/>
        <v/>
      </c>
      <c r="AG1861" s="15" t="str">
        <f>IF(OR(AF1861="",AF1861="ERRO_CHAVE"),"",IFERROR(MATCH(AF1861,'quitado Despesa'!$V$1:$V$12,0),""))</f>
        <v/>
      </c>
      <c r="AH1861" s="15" t="str">
        <f t="shared" si="2"/>
        <v/>
      </c>
      <c r="AI1861" s="17" t="str">
        <f>IF(AG1861="","",INDEX('quitado Despesa'!$G$1:$G$12,AG1861))</f>
        <v/>
      </c>
      <c r="AJ1861" s="17" t="str">
        <f t="shared" si="3"/>
        <v/>
      </c>
    </row>
    <row r="1862" spans="31:36">
      <c r="AE1862" s="15" t="str">
        <f t="shared" si="0"/>
        <v/>
      </c>
      <c r="AF1862" s="15" t="str">
        <f t="shared" si="1"/>
        <v/>
      </c>
      <c r="AG1862" s="15" t="str">
        <f>IF(OR(AF1862="",AF1862="ERRO_CHAVE"),"",IFERROR(MATCH(AF1862,'quitado Despesa'!$V$1:$V$12,0),""))</f>
        <v/>
      </c>
      <c r="AH1862" s="15" t="str">
        <f t="shared" si="2"/>
        <v/>
      </c>
      <c r="AI1862" s="17" t="str">
        <f>IF(AG1862="","",INDEX('quitado Despesa'!$G$1:$G$12,AG1862))</f>
        <v/>
      </c>
      <c r="AJ1862" s="17" t="str">
        <f t="shared" si="3"/>
        <v/>
      </c>
    </row>
    <row r="1863" spans="31:36">
      <c r="AE1863" s="15" t="str">
        <f t="shared" si="0"/>
        <v/>
      </c>
      <c r="AF1863" s="15" t="str">
        <f t="shared" si="1"/>
        <v/>
      </c>
      <c r="AG1863" s="15" t="str">
        <f>IF(OR(AF1863="",AF1863="ERRO_CHAVE"),"",IFERROR(MATCH(AF1863,'quitado Despesa'!$V$1:$V$12,0),""))</f>
        <v/>
      </c>
      <c r="AH1863" s="15" t="str">
        <f t="shared" si="2"/>
        <v/>
      </c>
      <c r="AI1863" s="17" t="str">
        <f>IF(AG1863="","",INDEX('quitado Despesa'!$G$1:$G$12,AG1863))</f>
        <v/>
      </c>
      <c r="AJ1863" s="17" t="str">
        <f t="shared" si="3"/>
        <v/>
      </c>
    </row>
    <row r="1864" spans="31:36">
      <c r="AE1864" s="15" t="str">
        <f t="shared" si="0"/>
        <v/>
      </c>
      <c r="AF1864" s="15" t="str">
        <f t="shared" si="1"/>
        <v/>
      </c>
      <c r="AG1864" s="15" t="str">
        <f>IF(OR(AF1864="",AF1864="ERRO_CHAVE"),"",IFERROR(MATCH(AF1864,'quitado Despesa'!$V$1:$V$12,0),""))</f>
        <v/>
      </c>
      <c r="AH1864" s="15" t="str">
        <f t="shared" si="2"/>
        <v/>
      </c>
      <c r="AI1864" s="17" t="str">
        <f>IF(AG1864="","",INDEX('quitado Despesa'!$G$1:$G$12,AG1864))</f>
        <v/>
      </c>
      <c r="AJ1864" s="17" t="str">
        <f t="shared" si="3"/>
        <v/>
      </c>
    </row>
    <row r="1865" spans="31:36">
      <c r="AE1865" s="15" t="str">
        <f t="shared" si="0"/>
        <v/>
      </c>
      <c r="AF1865" s="15" t="str">
        <f t="shared" si="1"/>
        <v/>
      </c>
      <c r="AG1865" s="15" t="str">
        <f>IF(OR(AF1865="",AF1865="ERRO_CHAVE"),"",IFERROR(MATCH(AF1865,'quitado Despesa'!$V$1:$V$12,0),""))</f>
        <v/>
      </c>
      <c r="AH1865" s="15" t="str">
        <f t="shared" si="2"/>
        <v/>
      </c>
      <c r="AI1865" s="17" t="str">
        <f>IF(AG1865="","",INDEX('quitado Despesa'!$G$1:$G$12,AG1865))</f>
        <v/>
      </c>
      <c r="AJ1865" s="17" t="str">
        <f t="shared" si="3"/>
        <v/>
      </c>
    </row>
    <row r="1866" spans="31:36">
      <c r="AE1866" s="15" t="str">
        <f t="shared" si="0"/>
        <v/>
      </c>
      <c r="AF1866" s="15" t="str">
        <f t="shared" si="1"/>
        <v/>
      </c>
      <c r="AG1866" s="15" t="str">
        <f>IF(OR(AF1866="",AF1866="ERRO_CHAVE"),"",IFERROR(MATCH(AF1866,'quitado Despesa'!$V$1:$V$12,0),""))</f>
        <v/>
      </c>
      <c r="AH1866" s="15" t="str">
        <f t="shared" si="2"/>
        <v/>
      </c>
      <c r="AI1866" s="17" t="str">
        <f>IF(AG1866="","",INDEX('quitado Despesa'!$G$1:$G$12,AG1866))</f>
        <v/>
      </c>
      <c r="AJ1866" s="17" t="str">
        <f t="shared" si="3"/>
        <v/>
      </c>
    </row>
    <row r="1867" spans="31:36">
      <c r="AE1867" s="15" t="str">
        <f t="shared" si="0"/>
        <v/>
      </c>
      <c r="AF1867" s="15" t="str">
        <f t="shared" si="1"/>
        <v/>
      </c>
      <c r="AG1867" s="15" t="str">
        <f>IF(OR(AF1867="",AF1867="ERRO_CHAVE"),"",IFERROR(MATCH(AF1867,'quitado Despesa'!$V$1:$V$12,0),""))</f>
        <v/>
      </c>
      <c r="AH1867" s="15" t="str">
        <f t="shared" si="2"/>
        <v/>
      </c>
      <c r="AI1867" s="17" t="str">
        <f>IF(AG1867="","",INDEX('quitado Despesa'!$G$1:$G$12,AG1867))</f>
        <v/>
      </c>
      <c r="AJ1867" s="17" t="str">
        <f t="shared" si="3"/>
        <v/>
      </c>
    </row>
    <row r="1868" spans="31:36">
      <c r="AE1868" s="15" t="str">
        <f t="shared" si="0"/>
        <v/>
      </c>
      <c r="AF1868" s="15" t="str">
        <f t="shared" si="1"/>
        <v/>
      </c>
      <c r="AG1868" s="15" t="str">
        <f>IF(OR(AF1868="",AF1868="ERRO_CHAVE"),"",IFERROR(MATCH(AF1868,'quitado Despesa'!$V$1:$V$12,0),""))</f>
        <v/>
      </c>
      <c r="AH1868" s="15" t="str">
        <f t="shared" si="2"/>
        <v/>
      </c>
      <c r="AI1868" s="17" t="str">
        <f>IF(AG1868="","",INDEX('quitado Despesa'!$G$1:$G$12,AG1868))</f>
        <v/>
      </c>
      <c r="AJ1868" s="17" t="str">
        <f t="shared" si="3"/>
        <v/>
      </c>
    </row>
    <row r="1869" spans="31:36">
      <c r="AE1869" s="15" t="str">
        <f t="shared" si="0"/>
        <v/>
      </c>
      <c r="AF1869" s="15" t="str">
        <f t="shared" si="1"/>
        <v/>
      </c>
      <c r="AG1869" s="15" t="str">
        <f>IF(OR(AF1869="",AF1869="ERRO_CHAVE"),"",IFERROR(MATCH(AF1869,'quitado Despesa'!$V$1:$V$12,0),""))</f>
        <v/>
      </c>
      <c r="AH1869" s="15" t="str">
        <f t="shared" si="2"/>
        <v/>
      </c>
      <c r="AI1869" s="17" t="str">
        <f>IF(AG1869="","",INDEX('quitado Despesa'!$G$1:$G$12,AG1869))</f>
        <v/>
      </c>
      <c r="AJ1869" s="17" t="str">
        <f t="shared" si="3"/>
        <v/>
      </c>
    </row>
    <row r="1870" spans="31:36">
      <c r="AE1870" s="15" t="str">
        <f t="shared" si="0"/>
        <v/>
      </c>
      <c r="AF1870" s="15" t="str">
        <f t="shared" si="1"/>
        <v/>
      </c>
      <c r="AG1870" s="15" t="str">
        <f>IF(OR(AF1870="",AF1870="ERRO_CHAVE"),"",IFERROR(MATCH(AF1870,'quitado Despesa'!$V$1:$V$12,0),""))</f>
        <v/>
      </c>
      <c r="AH1870" s="15" t="str">
        <f t="shared" si="2"/>
        <v/>
      </c>
      <c r="AI1870" s="17" t="str">
        <f>IF(AG1870="","",INDEX('quitado Despesa'!$G$1:$G$12,AG1870))</f>
        <v/>
      </c>
      <c r="AJ1870" s="17" t="str">
        <f t="shared" si="3"/>
        <v/>
      </c>
    </row>
    <row r="1871" spans="31:36">
      <c r="AE1871" s="15" t="str">
        <f t="shared" si="0"/>
        <v/>
      </c>
      <c r="AF1871" s="15" t="str">
        <f t="shared" si="1"/>
        <v/>
      </c>
      <c r="AG1871" s="15" t="str">
        <f>IF(OR(AF1871="",AF1871="ERRO_CHAVE"),"",IFERROR(MATCH(AF1871,'quitado Despesa'!$V$1:$V$12,0),""))</f>
        <v/>
      </c>
      <c r="AH1871" s="15" t="str">
        <f t="shared" si="2"/>
        <v/>
      </c>
      <c r="AI1871" s="17" t="str">
        <f>IF(AG1871="","",INDEX('quitado Despesa'!$G$1:$G$12,AG1871))</f>
        <v/>
      </c>
      <c r="AJ1871" s="17" t="str">
        <f t="shared" si="3"/>
        <v/>
      </c>
    </row>
    <row r="1872" spans="31:36">
      <c r="AE1872" s="15" t="str">
        <f t="shared" si="0"/>
        <v/>
      </c>
      <c r="AF1872" s="15" t="str">
        <f t="shared" si="1"/>
        <v/>
      </c>
      <c r="AG1872" s="15" t="str">
        <f>IF(OR(AF1872="",AF1872="ERRO_CHAVE"),"",IFERROR(MATCH(AF1872,'quitado Despesa'!$V$1:$V$12,0),""))</f>
        <v/>
      </c>
      <c r="AH1872" s="15" t="str">
        <f t="shared" si="2"/>
        <v/>
      </c>
      <c r="AI1872" s="17" t="str">
        <f>IF(AG1872="","",INDEX('quitado Despesa'!$G$1:$G$12,AG1872))</f>
        <v/>
      </c>
      <c r="AJ1872" s="17" t="str">
        <f t="shared" si="3"/>
        <v/>
      </c>
    </row>
    <row r="1873" spans="31:36">
      <c r="AE1873" s="15" t="str">
        <f t="shared" si="0"/>
        <v/>
      </c>
      <c r="AF1873" s="15" t="str">
        <f t="shared" si="1"/>
        <v/>
      </c>
      <c r="AG1873" s="15" t="str">
        <f>IF(OR(AF1873="",AF1873="ERRO_CHAVE"),"",IFERROR(MATCH(AF1873,'quitado Despesa'!$V$1:$V$12,0),""))</f>
        <v/>
      </c>
      <c r="AH1873" s="15" t="str">
        <f t="shared" si="2"/>
        <v/>
      </c>
      <c r="AI1873" s="17" t="str">
        <f>IF(AG1873="","",INDEX('quitado Despesa'!$G$1:$G$12,AG1873))</f>
        <v/>
      </c>
      <c r="AJ1873" s="17" t="str">
        <f t="shared" si="3"/>
        <v/>
      </c>
    </row>
    <row r="1874" spans="31:36">
      <c r="AE1874" s="15" t="str">
        <f t="shared" si="0"/>
        <v/>
      </c>
      <c r="AF1874" s="15" t="str">
        <f t="shared" si="1"/>
        <v/>
      </c>
      <c r="AG1874" s="15" t="str">
        <f>IF(OR(AF1874="",AF1874="ERRO_CHAVE"),"",IFERROR(MATCH(AF1874,'quitado Despesa'!$V$1:$V$12,0),""))</f>
        <v/>
      </c>
      <c r="AH1874" s="15" t="str">
        <f t="shared" si="2"/>
        <v/>
      </c>
      <c r="AI1874" s="17" t="str">
        <f>IF(AG1874="","",INDEX('quitado Despesa'!$G$1:$G$12,AG1874))</f>
        <v/>
      </c>
      <c r="AJ1874" s="17" t="str">
        <f t="shared" si="3"/>
        <v/>
      </c>
    </row>
    <row r="1875" spans="31:36">
      <c r="AE1875" s="15" t="str">
        <f t="shared" si="0"/>
        <v/>
      </c>
      <c r="AF1875" s="15" t="str">
        <f t="shared" si="1"/>
        <v/>
      </c>
      <c r="AG1875" s="15" t="str">
        <f>IF(OR(AF1875="",AF1875="ERRO_CHAVE"),"",IFERROR(MATCH(AF1875,'quitado Despesa'!$V$1:$V$12,0),""))</f>
        <v/>
      </c>
      <c r="AH1875" s="15" t="str">
        <f t="shared" si="2"/>
        <v/>
      </c>
      <c r="AI1875" s="17" t="str">
        <f>IF(AG1875="","",INDEX('quitado Despesa'!$G$1:$G$12,AG1875))</f>
        <v/>
      </c>
      <c r="AJ1875" s="17" t="str">
        <f t="shared" si="3"/>
        <v/>
      </c>
    </row>
    <row r="1876" spans="31:36">
      <c r="AE1876" s="15" t="str">
        <f t="shared" si="0"/>
        <v/>
      </c>
      <c r="AF1876" s="15" t="str">
        <f t="shared" si="1"/>
        <v/>
      </c>
      <c r="AG1876" s="15" t="str">
        <f>IF(OR(AF1876="",AF1876="ERRO_CHAVE"),"",IFERROR(MATCH(AF1876,'quitado Despesa'!$V$1:$V$12,0),""))</f>
        <v/>
      </c>
      <c r="AH1876" s="15" t="str">
        <f t="shared" si="2"/>
        <v/>
      </c>
      <c r="AI1876" s="17" t="str">
        <f>IF(AG1876="","",INDEX('quitado Despesa'!$G$1:$G$12,AG1876))</f>
        <v/>
      </c>
      <c r="AJ1876" s="17" t="str">
        <f t="shared" si="3"/>
        <v/>
      </c>
    </row>
    <row r="1877" spans="31:36">
      <c r="AE1877" s="15" t="str">
        <f t="shared" si="0"/>
        <v/>
      </c>
      <c r="AF1877" s="15" t="str">
        <f t="shared" si="1"/>
        <v/>
      </c>
      <c r="AG1877" s="15" t="str">
        <f>IF(OR(AF1877="",AF1877="ERRO_CHAVE"),"",IFERROR(MATCH(AF1877,'quitado Despesa'!$V$1:$V$12,0),""))</f>
        <v/>
      </c>
      <c r="AH1877" s="15" t="str">
        <f t="shared" si="2"/>
        <v/>
      </c>
      <c r="AI1877" s="17" t="str">
        <f>IF(AG1877="","",INDEX('quitado Despesa'!$G$1:$G$12,AG1877))</f>
        <v/>
      </c>
      <c r="AJ1877" s="17" t="str">
        <f t="shared" si="3"/>
        <v/>
      </c>
    </row>
    <row r="1878" spans="31:36">
      <c r="AE1878" s="15" t="str">
        <f t="shared" si="0"/>
        <v/>
      </c>
      <c r="AF1878" s="15" t="str">
        <f t="shared" si="1"/>
        <v/>
      </c>
      <c r="AG1878" s="15" t="str">
        <f>IF(OR(AF1878="",AF1878="ERRO_CHAVE"),"",IFERROR(MATCH(AF1878,'quitado Despesa'!$V$1:$V$12,0),""))</f>
        <v/>
      </c>
      <c r="AH1878" s="15" t="str">
        <f t="shared" si="2"/>
        <v/>
      </c>
      <c r="AI1878" s="17" t="str">
        <f>IF(AG1878="","",INDEX('quitado Despesa'!$G$1:$G$12,AG1878))</f>
        <v/>
      </c>
      <c r="AJ1878" s="17" t="str">
        <f t="shared" si="3"/>
        <v/>
      </c>
    </row>
    <row r="1879" spans="31:36">
      <c r="AE1879" s="15" t="str">
        <f t="shared" si="0"/>
        <v/>
      </c>
      <c r="AF1879" s="15" t="str">
        <f t="shared" si="1"/>
        <v/>
      </c>
      <c r="AG1879" s="15" t="str">
        <f>IF(OR(AF1879="",AF1879="ERRO_CHAVE"),"",IFERROR(MATCH(AF1879,'quitado Despesa'!$V$1:$V$12,0),""))</f>
        <v/>
      </c>
      <c r="AH1879" s="15" t="str">
        <f t="shared" si="2"/>
        <v/>
      </c>
      <c r="AI1879" s="17" t="str">
        <f>IF(AG1879="","",INDEX('quitado Despesa'!$G$1:$G$12,AG1879))</f>
        <v/>
      </c>
      <c r="AJ1879" s="17" t="str">
        <f t="shared" si="3"/>
        <v/>
      </c>
    </row>
    <row r="1880" spans="31:36">
      <c r="AE1880" s="15" t="str">
        <f t="shared" si="0"/>
        <v/>
      </c>
      <c r="AF1880" s="15" t="str">
        <f t="shared" si="1"/>
        <v/>
      </c>
      <c r="AG1880" s="15" t="str">
        <f>IF(OR(AF1880="",AF1880="ERRO_CHAVE"),"",IFERROR(MATCH(AF1880,'quitado Despesa'!$V$1:$V$12,0),""))</f>
        <v/>
      </c>
      <c r="AH1880" s="15" t="str">
        <f t="shared" si="2"/>
        <v/>
      </c>
      <c r="AI1880" s="17" t="str">
        <f>IF(AG1880="","",INDEX('quitado Despesa'!$G$1:$G$12,AG1880))</f>
        <v/>
      </c>
      <c r="AJ1880" s="17" t="str">
        <f t="shared" si="3"/>
        <v/>
      </c>
    </row>
    <row r="1881" spans="31:36">
      <c r="AE1881" s="15" t="str">
        <f t="shared" si="0"/>
        <v/>
      </c>
      <c r="AF1881" s="15" t="str">
        <f t="shared" si="1"/>
        <v/>
      </c>
      <c r="AG1881" s="15" t="str">
        <f>IF(OR(AF1881="",AF1881="ERRO_CHAVE"),"",IFERROR(MATCH(AF1881,'quitado Despesa'!$V$1:$V$12,0),""))</f>
        <v/>
      </c>
      <c r="AH1881" s="15" t="str">
        <f t="shared" si="2"/>
        <v/>
      </c>
      <c r="AI1881" s="17" t="str">
        <f>IF(AG1881="","",INDEX('quitado Despesa'!$G$1:$G$12,AG1881))</f>
        <v/>
      </c>
      <c r="AJ1881" s="17" t="str">
        <f t="shared" si="3"/>
        <v/>
      </c>
    </row>
    <row r="1882" spans="31:36">
      <c r="AE1882" s="15" t="str">
        <f t="shared" si="0"/>
        <v/>
      </c>
      <c r="AF1882" s="15" t="str">
        <f t="shared" si="1"/>
        <v/>
      </c>
      <c r="AG1882" s="15" t="str">
        <f>IF(OR(AF1882="",AF1882="ERRO_CHAVE"),"",IFERROR(MATCH(AF1882,'quitado Despesa'!$V$1:$V$12,0),""))</f>
        <v/>
      </c>
      <c r="AH1882" s="15" t="str">
        <f t="shared" si="2"/>
        <v/>
      </c>
      <c r="AI1882" s="17" t="str">
        <f>IF(AG1882="","",INDEX('quitado Despesa'!$G$1:$G$12,AG1882))</f>
        <v/>
      </c>
      <c r="AJ1882" s="17" t="str">
        <f t="shared" si="3"/>
        <v/>
      </c>
    </row>
    <row r="1883" spans="31:36">
      <c r="AE1883" s="15" t="str">
        <f t="shared" si="0"/>
        <v/>
      </c>
      <c r="AF1883" s="15" t="str">
        <f t="shared" si="1"/>
        <v/>
      </c>
      <c r="AG1883" s="15" t="str">
        <f>IF(OR(AF1883="",AF1883="ERRO_CHAVE"),"",IFERROR(MATCH(AF1883,'quitado Despesa'!$V$1:$V$12,0),""))</f>
        <v/>
      </c>
      <c r="AH1883" s="15" t="str">
        <f t="shared" si="2"/>
        <v/>
      </c>
      <c r="AI1883" s="17" t="str">
        <f>IF(AG1883="","",INDEX('quitado Despesa'!$G$1:$G$12,AG1883))</f>
        <v/>
      </c>
      <c r="AJ1883" s="17" t="str">
        <f t="shared" si="3"/>
        <v/>
      </c>
    </row>
    <row r="1884" spans="31:36">
      <c r="AE1884" s="15" t="str">
        <f t="shared" si="0"/>
        <v/>
      </c>
      <c r="AF1884" s="15" t="str">
        <f t="shared" si="1"/>
        <v/>
      </c>
      <c r="AG1884" s="15" t="str">
        <f>IF(OR(AF1884="",AF1884="ERRO_CHAVE"),"",IFERROR(MATCH(AF1884,'quitado Despesa'!$V$1:$V$12,0),""))</f>
        <v/>
      </c>
      <c r="AH1884" s="15" t="str">
        <f t="shared" si="2"/>
        <v/>
      </c>
      <c r="AI1884" s="17" t="str">
        <f>IF(AG1884="","",INDEX('quitado Despesa'!$G$1:$G$12,AG1884))</f>
        <v/>
      </c>
      <c r="AJ1884" s="17" t="str">
        <f t="shared" si="3"/>
        <v/>
      </c>
    </row>
    <row r="1885" spans="31:36">
      <c r="AE1885" s="15" t="str">
        <f t="shared" si="0"/>
        <v/>
      </c>
      <c r="AF1885" s="15" t="str">
        <f t="shared" si="1"/>
        <v/>
      </c>
      <c r="AG1885" s="15" t="str">
        <f>IF(OR(AF1885="",AF1885="ERRO_CHAVE"),"",IFERROR(MATCH(AF1885,'quitado Despesa'!$V$1:$V$12,0),""))</f>
        <v/>
      </c>
      <c r="AH1885" s="15" t="str">
        <f t="shared" si="2"/>
        <v/>
      </c>
      <c r="AI1885" s="17" t="str">
        <f>IF(AG1885="","",INDEX('quitado Despesa'!$G$1:$G$12,AG1885))</f>
        <v/>
      </c>
      <c r="AJ1885" s="17" t="str">
        <f t="shared" si="3"/>
        <v/>
      </c>
    </row>
    <row r="1886" spans="31:36">
      <c r="AE1886" s="15" t="str">
        <f t="shared" si="0"/>
        <v/>
      </c>
      <c r="AF1886" s="15" t="str">
        <f t="shared" si="1"/>
        <v/>
      </c>
      <c r="AG1886" s="15" t="str">
        <f>IF(OR(AF1886="",AF1886="ERRO_CHAVE"),"",IFERROR(MATCH(AF1886,'quitado Despesa'!$V$1:$V$12,0),""))</f>
        <v/>
      </c>
      <c r="AH1886" s="15" t="str">
        <f t="shared" si="2"/>
        <v/>
      </c>
      <c r="AI1886" s="17" t="str">
        <f>IF(AG1886="","",INDEX('quitado Despesa'!$G$1:$G$12,AG1886))</f>
        <v/>
      </c>
      <c r="AJ1886" s="17" t="str">
        <f t="shared" si="3"/>
        <v/>
      </c>
    </row>
    <row r="1887" spans="31:36">
      <c r="AE1887" s="15" t="str">
        <f t="shared" si="0"/>
        <v/>
      </c>
      <c r="AF1887" s="15" t="str">
        <f t="shared" si="1"/>
        <v/>
      </c>
      <c r="AG1887" s="15" t="str">
        <f>IF(OR(AF1887="",AF1887="ERRO_CHAVE"),"",IFERROR(MATCH(AF1887,'quitado Despesa'!$V$1:$V$12,0),""))</f>
        <v/>
      </c>
      <c r="AH1887" s="15" t="str">
        <f t="shared" si="2"/>
        <v/>
      </c>
      <c r="AI1887" s="17" t="str">
        <f>IF(AG1887="","",INDEX('quitado Despesa'!$G$1:$G$12,AG1887))</f>
        <v/>
      </c>
      <c r="AJ1887" s="17" t="str">
        <f t="shared" si="3"/>
        <v/>
      </c>
    </row>
    <row r="1888" spans="31:36">
      <c r="AE1888" s="15" t="str">
        <f t="shared" si="0"/>
        <v/>
      </c>
      <c r="AF1888" s="15" t="str">
        <f t="shared" si="1"/>
        <v/>
      </c>
      <c r="AG1888" s="15" t="str">
        <f>IF(OR(AF1888="",AF1888="ERRO_CHAVE"),"",IFERROR(MATCH(AF1888,'quitado Despesa'!$V$1:$V$12,0),""))</f>
        <v/>
      </c>
      <c r="AH1888" s="15" t="str">
        <f t="shared" si="2"/>
        <v/>
      </c>
      <c r="AI1888" s="17" t="str">
        <f>IF(AG1888="","",INDEX('quitado Despesa'!$G$1:$G$12,AG1888))</f>
        <v/>
      </c>
      <c r="AJ1888" s="17" t="str">
        <f t="shared" si="3"/>
        <v/>
      </c>
    </row>
    <row r="1889" spans="31:36">
      <c r="AE1889" s="15" t="str">
        <f t="shared" si="0"/>
        <v/>
      </c>
      <c r="AF1889" s="15" t="str">
        <f t="shared" si="1"/>
        <v/>
      </c>
      <c r="AG1889" s="15" t="str">
        <f>IF(OR(AF1889="",AF1889="ERRO_CHAVE"),"",IFERROR(MATCH(AF1889,'quitado Despesa'!$V$1:$V$12,0),""))</f>
        <v/>
      </c>
      <c r="AH1889" s="15" t="str">
        <f t="shared" si="2"/>
        <v/>
      </c>
      <c r="AI1889" s="17" t="str">
        <f>IF(AG1889="","",INDEX('quitado Despesa'!$G$1:$G$12,AG1889))</f>
        <v/>
      </c>
      <c r="AJ1889" s="17" t="str">
        <f t="shared" si="3"/>
        <v/>
      </c>
    </row>
    <row r="1890" spans="31:36">
      <c r="AE1890" s="15" t="str">
        <f t="shared" si="0"/>
        <v/>
      </c>
      <c r="AF1890" s="15" t="str">
        <f t="shared" si="1"/>
        <v/>
      </c>
      <c r="AG1890" s="15" t="str">
        <f>IF(OR(AF1890="",AF1890="ERRO_CHAVE"),"",IFERROR(MATCH(AF1890,'quitado Despesa'!$V$1:$V$12,0),""))</f>
        <v/>
      </c>
      <c r="AH1890" s="15" t="str">
        <f t="shared" si="2"/>
        <v/>
      </c>
      <c r="AI1890" s="17" t="str">
        <f>IF(AG1890="","",INDEX('quitado Despesa'!$G$1:$G$12,AG1890))</f>
        <v/>
      </c>
      <c r="AJ1890" s="17" t="str">
        <f t="shared" si="3"/>
        <v/>
      </c>
    </row>
    <row r="1891" spans="31:36">
      <c r="AE1891" s="15" t="str">
        <f t="shared" si="0"/>
        <v/>
      </c>
      <c r="AF1891" s="15" t="str">
        <f t="shared" si="1"/>
        <v/>
      </c>
      <c r="AG1891" s="15" t="str">
        <f>IF(OR(AF1891="",AF1891="ERRO_CHAVE"),"",IFERROR(MATCH(AF1891,'quitado Despesa'!$V$1:$V$12,0),""))</f>
        <v/>
      </c>
      <c r="AH1891" s="15" t="str">
        <f t="shared" si="2"/>
        <v/>
      </c>
      <c r="AI1891" s="17" t="str">
        <f>IF(AG1891="","",INDEX('quitado Despesa'!$G$1:$G$12,AG1891))</f>
        <v/>
      </c>
      <c r="AJ1891" s="17" t="str">
        <f t="shared" si="3"/>
        <v/>
      </c>
    </row>
    <row r="1892" spans="31:36">
      <c r="AE1892" s="15" t="str">
        <f t="shared" si="0"/>
        <v/>
      </c>
      <c r="AF1892" s="15" t="str">
        <f t="shared" si="1"/>
        <v/>
      </c>
      <c r="AG1892" s="15" t="str">
        <f>IF(OR(AF1892="",AF1892="ERRO_CHAVE"),"",IFERROR(MATCH(AF1892,'quitado Despesa'!$V$1:$V$12,0),""))</f>
        <v/>
      </c>
      <c r="AH1892" s="15" t="str">
        <f t="shared" si="2"/>
        <v/>
      </c>
      <c r="AI1892" s="17" t="str">
        <f>IF(AG1892="","",INDEX('quitado Despesa'!$G$1:$G$12,AG1892))</f>
        <v/>
      </c>
      <c r="AJ1892" s="17" t="str">
        <f t="shared" si="3"/>
        <v/>
      </c>
    </row>
    <row r="1893" spans="31:36">
      <c r="AE1893" s="15" t="str">
        <f t="shared" si="0"/>
        <v/>
      </c>
      <c r="AF1893" s="15" t="str">
        <f t="shared" si="1"/>
        <v/>
      </c>
      <c r="AG1893" s="15" t="str">
        <f>IF(OR(AF1893="",AF1893="ERRO_CHAVE"),"",IFERROR(MATCH(AF1893,'quitado Despesa'!$V$1:$V$12,0),""))</f>
        <v/>
      </c>
      <c r="AH1893" s="15" t="str">
        <f t="shared" si="2"/>
        <v/>
      </c>
      <c r="AI1893" s="17" t="str">
        <f>IF(AG1893="","",INDEX('quitado Despesa'!$G$1:$G$12,AG1893))</f>
        <v/>
      </c>
      <c r="AJ1893" s="17" t="str">
        <f t="shared" si="3"/>
        <v/>
      </c>
    </row>
    <row r="1894" spans="31:36">
      <c r="AE1894" s="15" t="str">
        <f t="shared" si="0"/>
        <v/>
      </c>
      <c r="AF1894" s="15" t="str">
        <f t="shared" si="1"/>
        <v/>
      </c>
      <c r="AG1894" s="15" t="str">
        <f>IF(OR(AF1894="",AF1894="ERRO_CHAVE"),"",IFERROR(MATCH(AF1894,'quitado Despesa'!$V$1:$V$12,0),""))</f>
        <v/>
      </c>
      <c r="AH1894" s="15" t="str">
        <f t="shared" si="2"/>
        <v/>
      </c>
      <c r="AI1894" s="17" t="str">
        <f>IF(AG1894="","",INDEX('quitado Despesa'!$G$1:$G$12,AG1894))</f>
        <v/>
      </c>
      <c r="AJ1894" s="17" t="str">
        <f t="shared" si="3"/>
        <v/>
      </c>
    </row>
    <row r="1895" spans="31:36">
      <c r="AE1895" s="15" t="str">
        <f t="shared" si="0"/>
        <v/>
      </c>
      <c r="AF1895" s="15" t="str">
        <f t="shared" si="1"/>
        <v/>
      </c>
      <c r="AG1895" s="15" t="str">
        <f>IF(OR(AF1895="",AF1895="ERRO_CHAVE"),"",IFERROR(MATCH(AF1895,'quitado Despesa'!$V$1:$V$12,0),""))</f>
        <v/>
      </c>
      <c r="AH1895" s="15" t="str">
        <f t="shared" si="2"/>
        <v/>
      </c>
      <c r="AI1895" s="17" t="str">
        <f>IF(AG1895="","",INDEX('quitado Despesa'!$G$1:$G$12,AG1895))</f>
        <v/>
      </c>
      <c r="AJ1895" s="17" t="str">
        <f t="shared" si="3"/>
        <v/>
      </c>
    </row>
    <row r="1896" spans="31:36">
      <c r="AE1896" s="15" t="str">
        <f t="shared" si="0"/>
        <v/>
      </c>
      <c r="AF1896" s="15" t="str">
        <f t="shared" si="1"/>
        <v/>
      </c>
      <c r="AG1896" s="15" t="str">
        <f>IF(OR(AF1896="",AF1896="ERRO_CHAVE"),"",IFERROR(MATCH(AF1896,'quitado Despesa'!$V$1:$V$12,0),""))</f>
        <v/>
      </c>
      <c r="AH1896" s="15" t="str">
        <f t="shared" si="2"/>
        <v/>
      </c>
      <c r="AI1896" s="17" t="str">
        <f>IF(AG1896="","",INDEX('quitado Despesa'!$G$1:$G$12,AG1896))</f>
        <v/>
      </c>
      <c r="AJ1896" s="17" t="str">
        <f t="shared" si="3"/>
        <v/>
      </c>
    </row>
    <row r="1897" spans="31:36">
      <c r="AE1897" s="15" t="str">
        <f t="shared" si="0"/>
        <v/>
      </c>
      <c r="AF1897" s="15" t="str">
        <f t="shared" si="1"/>
        <v/>
      </c>
      <c r="AG1897" s="15" t="str">
        <f>IF(OR(AF1897="",AF1897="ERRO_CHAVE"),"",IFERROR(MATCH(AF1897,'quitado Despesa'!$V$1:$V$12,0),""))</f>
        <v/>
      </c>
      <c r="AH1897" s="15" t="str">
        <f t="shared" si="2"/>
        <v/>
      </c>
      <c r="AI1897" s="17" t="str">
        <f>IF(AG1897="","",INDEX('quitado Despesa'!$G$1:$G$12,AG1897))</f>
        <v/>
      </c>
      <c r="AJ1897" s="17" t="str">
        <f t="shared" si="3"/>
        <v/>
      </c>
    </row>
    <row r="1898" spans="31:36">
      <c r="AE1898" s="15" t="str">
        <f t="shared" si="0"/>
        <v/>
      </c>
      <c r="AF1898" s="15" t="str">
        <f t="shared" si="1"/>
        <v/>
      </c>
      <c r="AG1898" s="15" t="str">
        <f>IF(OR(AF1898="",AF1898="ERRO_CHAVE"),"",IFERROR(MATCH(AF1898,'quitado Despesa'!$V$1:$V$12,0),""))</f>
        <v/>
      </c>
      <c r="AH1898" s="15" t="str">
        <f t="shared" si="2"/>
        <v/>
      </c>
      <c r="AI1898" s="17" t="str">
        <f>IF(AG1898="","",INDEX('quitado Despesa'!$G$1:$G$12,AG1898))</f>
        <v/>
      </c>
      <c r="AJ1898" s="17" t="str">
        <f t="shared" si="3"/>
        <v/>
      </c>
    </row>
    <row r="1899" spans="31:36">
      <c r="AE1899" s="15" t="str">
        <f t="shared" si="0"/>
        <v/>
      </c>
      <c r="AF1899" s="15" t="str">
        <f t="shared" si="1"/>
        <v/>
      </c>
      <c r="AG1899" s="15" t="str">
        <f>IF(OR(AF1899="",AF1899="ERRO_CHAVE"),"",IFERROR(MATCH(AF1899,'quitado Despesa'!$V$1:$V$12,0),""))</f>
        <v/>
      </c>
      <c r="AH1899" s="15" t="str">
        <f t="shared" si="2"/>
        <v/>
      </c>
      <c r="AI1899" s="17" t="str">
        <f>IF(AG1899="","",INDEX('quitado Despesa'!$G$1:$G$12,AG1899))</f>
        <v/>
      </c>
      <c r="AJ1899" s="17" t="str">
        <f t="shared" si="3"/>
        <v/>
      </c>
    </row>
    <row r="1900" spans="31:36">
      <c r="AE1900" s="15" t="str">
        <f t="shared" si="0"/>
        <v/>
      </c>
      <c r="AF1900" s="15" t="str">
        <f t="shared" si="1"/>
        <v/>
      </c>
      <c r="AG1900" s="15" t="str">
        <f>IF(OR(AF1900="",AF1900="ERRO_CHAVE"),"",IFERROR(MATCH(AF1900,'quitado Despesa'!$V$1:$V$12,0),""))</f>
        <v/>
      </c>
      <c r="AH1900" s="15" t="str">
        <f t="shared" si="2"/>
        <v/>
      </c>
      <c r="AI1900" s="17" t="str">
        <f>IF(AG1900="","",INDEX('quitado Despesa'!$G$1:$G$12,AG1900))</f>
        <v/>
      </c>
      <c r="AJ1900" s="17" t="str">
        <f t="shared" si="3"/>
        <v/>
      </c>
    </row>
    <row r="1901" spans="31:36">
      <c r="AE1901" s="15" t="str">
        <f t="shared" si="0"/>
        <v/>
      </c>
      <c r="AF1901" s="15" t="str">
        <f t="shared" si="1"/>
        <v/>
      </c>
      <c r="AG1901" s="15" t="str">
        <f>IF(OR(AF1901="",AF1901="ERRO_CHAVE"),"",IFERROR(MATCH(AF1901,'quitado Despesa'!$V$1:$V$12,0),""))</f>
        <v/>
      </c>
      <c r="AH1901" s="15" t="str">
        <f t="shared" si="2"/>
        <v/>
      </c>
      <c r="AI1901" s="17" t="str">
        <f>IF(AG1901="","",INDEX('quitado Despesa'!$G$1:$G$12,AG1901))</f>
        <v/>
      </c>
      <c r="AJ1901" s="17" t="str">
        <f t="shared" si="3"/>
        <v/>
      </c>
    </row>
    <row r="1902" spans="31:36">
      <c r="AE1902" s="15" t="str">
        <f t="shared" si="0"/>
        <v/>
      </c>
      <c r="AF1902" s="15" t="str">
        <f t="shared" si="1"/>
        <v/>
      </c>
      <c r="AG1902" s="15" t="str">
        <f>IF(OR(AF1902="",AF1902="ERRO_CHAVE"),"",IFERROR(MATCH(AF1902,'quitado Despesa'!$V$1:$V$12,0),""))</f>
        <v/>
      </c>
      <c r="AH1902" s="15" t="str">
        <f t="shared" si="2"/>
        <v/>
      </c>
      <c r="AI1902" s="17" t="str">
        <f>IF(AG1902="","",INDEX('quitado Despesa'!$G$1:$G$12,AG1902))</f>
        <v/>
      </c>
      <c r="AJ1902" s="17" t="str">
        <f t="shared" si="3"/>
        <v/>
      </c>
    </row>
    <row r="1903" spans="31:36">
      <c r="AE1903" s="15" t="str">
        <f t="shared" si="0"/>
        <v/>
      </c>
      <c r="AF1903" s="15" t="str">
        <f t="shared" si="1"/>
        <v/>
      </c>
      <c r="AG1903" s="15" t="str">
        <f>IF(OR(AF1903="",AF1903="ERRO_CHAVE"),"",IFERROR(MATCH(AF1903,'quitado Despesa'!$V$1:$V$12,0),""))</f>
        <v/>
      </c>
      <c r="AH1903" s="15" t="str">
        <f t="shared" si="2"/>
        <v/>
      </c>
      <c r="AI1903" s="17" t="str">
        <f>IF(AG1903="","",INDEX('quitado Despesa'!$G$1:$G$12,AG1903))</f>
        <v/>
      </c>
      <c r="AJ1903" s="17" t="str">
        <f t="shared" si="3"/>
        <v/>
      </c>
    </row>
    <row r="1904" spans="31:36">
      <c r="AE1904" s="15" t="str">
        <f t="shared" si="0"/>
        <v/>
      </c>
      <c r="AF1904" s="15" t="str">
        <f t="shared" si="1"/>
        <v/>
      </c>
      <c r="AG1904" s="15" t="str">
        <f>IF(OR(AF1904="",AF1904="ERRO_CHAVE"),"",IFERROR(MATCH(AF1904,'quitado Despesa'!$V$1:$V$12,0),""))</f>
        <v/>
      </c>
      <c r="AH1904" s="15" t="str">
        <f t="shared" si="2"/>
        <v/>
      </c>
      <c r="AI1904" s="17" t="str">
        <f>IF(AG1904="","",INDEX('quitado Despesa'!$G$1:$G$12,AG1904))</f>
        <v/>
      </c>
      <c r="AJ1904" s="17" t="str">
        <f t="shared" si="3"/>
        <v/>
      </c>
    </row>
    <row r="1905" spans="31:36">
      <c r="AE1905" s="15" t="str">
        <f t="shared" si="0"/>
        <v/>
      </c>
      <c r="AF1905" s="15" t="str">
        <f t="shared" si="1"/>
        <v/>
      </c>
      <c r="AG1905" s="15" t="str">
        <f>IF(OR(AF1905="",AF1905="ERRO_CHAVE"),"",IFERROR(MATCH(AF1905,'quitado Despesa'!$V$1:$V$12,0),""))</f>
        <v/>
      </c>
      <c r="AH1905" s="15" t="str">
        <f t="shared" si="2"/>
        <v/>
      </c>
      <c r="AI1905" s="17" t="str">
        <f>IF(AG1905="","",INDEX('quitado Despesa'!$G$1:$G$12,AG1905))</f>
        <v/>
      </c>
      <c r="AJ1905" s="17" t="str">
        <f t="shared" si="3"/>
        <v/>
      </c>
    </row>
    <row r="1906" spans="31:36">
      <c r="AE1906" s="15" t="str">
        <f t="shared" si="0"/>
        <v/>
      </c>
      <c r="AF1906" s="15" t="str">
        <f t="shared" si="1"/>
        <v/>
      </c>
      <c r="AG1906" s="15" t="str">
        <f>IF(OR(AF1906="",AF1906="ERRO_CHAVE"),"",IFERROR(MATCH(AF1906,'quitado Despesa'!$V$1:$V$12,0),""))</f>
        <v/>
      </c>
      <c r="AH1906" s="15" t="str">
        <f t="shared" si="2"/>
        <v/>
      </c>
      <c r="AI1906" s="17" t="str">
        <f>IF(AG1906="","",INDEX('quitado Despesa'!$G$1:$G$12,AG1906))</f>
        <v/>
      </c>
      <c r="AJ1906" s="17" t="str">
        <f t="shared" si="3"/>
        <v/>
      </c>
    </row>
    <row r="1907" spans="31:36">
      <c r="AE1907" s="15" t="str">
        <f t="shared" si="0"/>
        <v/>
      </c>
      <c r="AF1907" s="15" t="str">
        <f t="shared" si="1"/>
        <v/>
      </c>
      <c r="AG1907" s="15" t="str">
        <f>IF(OR(AF1907="",AF1907="ERRO_CHAVE"),"",IFERROR(MATCH(AF1907,'quitado Despesa'!$V$1:$V$12,0),""))</f>
        <v/>
      </c>
      <c r="AH1907" s="15" t="str">
        <f t="shared" si="2"/>
        <v/>
      </c>
      <c r="AI1907" s="17" t="str">
        <f>IF(AG1907="","",INDEX('quitado Despesa'!$G$1:$G$12,AG1907))</f>
        <v/>
      </c>
      <c r="AJ1907" s="17" t="str">
        <f t="shared" si="3"/>
        <v/>
      </c>
    </row>
    <row r="1908" spans="31:36">
      <c r="AE1908" s="15" t="str">
        <f t="shared" si="0"/>
        <v/>
      </c>
      <c r="AF1908" s="15" t="str">
        <f t="shared" si="1"/>
        <v/>
      </c>
      <c r="AG1908" s="15" t="str">
        <f>IF(OR(AF1908="",AF1908="ERRO_CHAVE"),"",IFERROR(MATCH(AF1908,'quitado Despesa'!$V$1:$V$12,0),""))</f>
        <v/>
      </c>
      <c r="AH1908" s="15" t="str">
        <f t="shared" si="2"/>
        <v/>
      </c>
      <c r="AI1908" s="17" t="str">
        <f>IF(AG1908="","",INDEX('quitado Despesa'!$G$1:$G$12,AG1908))</f>
        <v/>
      </c>
      <c r="AJ1908" s="17" t="str">
        <f t="shared" si="3"/>
        <v/>
      </c>
    </row>
    <row r="1909" spans="31:36">
      <c r="AE1909" s="15" t="str">
        <f t="shared" si="0"/>
        <v/>
      </c>
      <c r="AF1909" s="15" t="str">
        <f t="shared" si="1"/>
        <v/>
      </c>
      <c r="AG1909" s="15" t="str">
        <f>IF(OR(AF1909="",AF1909="ERRO_CHAVE"),"",IFERROR(MATCH(AF1909,'quitado Despesa'!$V$1:$V$12,0),""))</f>
        <v/>
      </c>
      <c r="AH1909" s="15" t="str">
        <f t="shared" si="2"/>
        <v/>
      </c>
      <c r="AI1909" s="17" t="str">
        <f>IF(AG1909="","",INDEX('quitado Despesa'!$G$1:$G$12,AG1909))</f>
        <v/>
      </c>
      <c r="AJ1909" s="17" t="str">
        <f t="shared" si="3"/>
        <v/>
      </c>
    </row>
    <row r="1910" spans="31:36">
      <c r="AE1910" s="15" t="str">
        <f t="shared" si="0"/>
        <v/>
      </c>
      <c r="AF1910" s="15" t="str">
        <f t="shared" si="1"/>
        <v/>
      </c>
      <c r="AG1910" s="15" t="str">
        <f>IF(OR(AF1910="",AF1910="ERRO_CHAVE"),"",IFERROR(MATCH(AF1910,'quitado Despesa'!$V$1:$V$12,0),""))</f>
        <v/>
      </c>
      <c r="AH1910" s="15" t="str">
        <f t="shared" si="2"/>
        <v/>
      </c>
      <c r="AI1910" s="17" t="str">
        <f>IF(AG1910="","",INDEX('quitado Despesa'!$G$1:$G$12,AG1910))</f>
        <v/>
      </c>
      <c r="AJ1910" s="17" t="str">
        <f t="shared" si="3"/>
        <v/>
      </c>
    </row>
    <row r="1911" spans="31:36">
      <c r="AE1911" s="15" t="str">
        <f t="shared" si="0"/>
        <v/>
      </c>
      <c r="AF1911" s="15" t="str">
        <f t="shared" si="1"/>
        <v/>
      </c>
      <c r="AG1911" s="15" t="str">
        <f>IF(OR(AF1911="",AF1911="ERRO_CHAVE"),"",IFERROR(MATCH(AF1911,'quitado Despesa'!$V$1:$V$12,0),""))</f>
        <v/>
      </c>
      <c r="AH1911" s="15" t="str">
        <f t="shared" si="2"/>
        <v/>
      </c>
      <c r="AI1911" s="17" t="str">
        <f>IF(AG1911="","",INDEX('quitado Despesa'!$G$1:$G$12,AG1911))</f>
        <v/>
      </c>
      <c r="AJ1911" s="17" t="str">
        <f t="shared" si="3"/>
        <v/>
      </c>
    </row>
    <row r="1912" spans="31:36">
      <c r="AE1912" s="15" t="str">
        <f t="shared" si="0"/>
        <v/>
      </c>
      <c r="AF1912" s="15" t="str">
        <f t="shared" si="1"/>
        <v/>
      </c>
      <c r="AG1912" s="15" t="str">
        <f>IF(OR(AF1912="",AF1912="ERRO_CHAVE"),"",IFERROR(MATCH(AF1912,'quitado Despesa'!$V$1:$V$12,0),""))</f>
        <v/>
      </c>
      <c r="AH1912" s="15" t="str">
        <f t="shared" si="2"/>
        <v/>
      </c>
      <c r="AI1912" s="17" t="str">
        <f>IF(AG1912="","",INDEX('quitado Despesa'!$G$1:$G$12,AG1912))</f>
        <v/>
      </c>
      <c r="AJ1912" s="17" t="str">
        <f t="shared" si="3"/>
        <v/>
      </c>
    </row>
    <row r="1913" spans="31:36">
      <c r="AE1913" s="15" t="str">
        <f t="shared" si="0"/>
        <v/>
      </c>
      <c r="AF1913" s="15" t="str">
        <f t="shared" si="1"/>
        <v/>
      </c>
      <c r="AG1913" s="15" t="str">
        <f>IF(OR(AF1913="",AF1913="ERRO_CHAVE"),"",IFERROR(MATCH(AF1913,'quitado Despesa'!$V$1:$V$12,0),""))</f>
        <v/>
      </c>
      <c r="AH1913" s="15" t="str">
        <f t="shared" si="2"/>
        <v/>
      </c>
      <c r="AI1913" s="17" t="str">
        <f>IF(AG1913="","",INDEX('quitado Despesa'!$G$1:$G$12,AG1913))</f>
        <v/>
      </c>
      <c r="AJ1913" s="17" t="str">
        <f t="shared" si="3"/>
        <v/>
      </c>
    </row>
    <row r="1914" spans="31:36">
      <c r="AE1914" s="15" t="str">
        <f t="shared" si="0"/>
        <v/>
      </c>
      <c r="AF1914" s="15" t="str">
        <f t="shared" si="1"/>
        <v/>
      </c>
      <c r="AG1914" s="15" t="str">
        <f>IF(OR(AF1914="",AF1914="ERRO_CHAVE"),"",IFERROR(MATCH(AF1914,'quitado Despesa'!$V$1:$V$12,0),""))</f>
        <v/>
      </c>
      <c r="AH1914" s="15" t="str">
        <f t="shared" si="2"/>
        <v/>
      </c>
      <c r="AI1914" s="17" t="str">
        <f>IF(AG1914="","",INDEX('quitado Despesa'!$G$1:$G$12,AG1914))</f>
        <v/>
      </c>
      <c r="AJ1914" s="17" t="str">
        <f t="shared" si="3"/>
        <v/>
      </c>
    </row>
    <row r="1915" spans="31:36">
      <c r="AE1915" s="15" t="str">
        <f t="shared" si="0"/>
        <v/>
      </c>
      <c r="AF1915" s="15" t="str">
        <f t="shared" si="1"/>
        <v/>
      </c>
      <c r="AG1915" s="15" t="str">
        <f>IF(OR(AF1915="",AF1915="ERRO_CHAVE"),"",IFERROR(MATCH(AF1915,'quitado Despesa'!$V$1:$V$12,0),""))</f>
        <v/>
      </c>
      <c r="AH1915" s="15" t="str">
        <f t="shared" si="2"/>
        <v/>
      </c>
      <c r="AI1915" s="17" t="str">
        <f>IF(AG1915="","",INDEX('quitado Despesa'!$G$1:$G$12,AG1915))</f>
        <v/>
      </c>
      <c r="AJ1915" s="17" t="str">
        <f t="shared" si="3"/>
        <v/>
      </c>
    </row>
    <row r="1916" spans="31:36">
      <c r="AE1916" s="15" t="str">
        <f t="shared" si="0"/>
        <v/>
      </c>
      <c r="AF1916" s="15" t="str">
        <f t="shared" si="1"/>
        <v/>
      </c>
      <c r="AG1916" s="15" t="str">
        <f>IF(OR(AF1916="",AF1916="ERRO_CHAVE"),"",IFERROR(MATCH(AF1916,'quitado Despesa'!$V$1:$V$12,0),""))</f>
        <v/>
      </c>
      <c r="AH1916" s="15" t="str">
        <f t="shared" si="2"/>
        <v/>
      </c>
      <c r="AI1916" s="17" t="str">
        <f>IF(AG1916="","",INDEX('quitado Despesa'!$G$1:$G$12,AG1916))</f>
        <v/>
      </c>
      <c r="AJ1916" s="17" t="str">
        <f t="shared" si="3"/>
        <v/>
      </c>
    </row>
    <row r="1917" spans="31:36">
      <c r="AE1917" s="15" t="str">
        <f t="shared" si="0"/>
        <v/>
      </c>
      <c r="AF1917" s="15" t="str">
        <f t="shared" si="1"/>
        <v/>
      </c>
      <c r="AG1917" s="15" t="str">
        <f>IF(OR(AF1917="",AF1917="ERRO_CHAVE"),"",IFERROR(MATCH(AF1917,'quitado Despesa'!$V$1:$V$12,0),""))</f>
        <v/>
      </c>
      <c r="AH1917" s="15" t="str">
        <f t="shared" si="2"/>
        <v/>
      </c>
      <c r="AI1917" s="17" t="str">
        <f>IF(AG1917="","",INDEX('quitado Despesa'!$G$1:$G$12,AG1917))</f>
        <v/>
      </c>
      <c r="AJ1917" s="17" t="str">
        <f t="shared" si="3"/>
        <v/>
      </c>
    </row>
    <row r="1918" spans="31:36">
      <c r="AE1918" s="15" t="str">
        <f t="shared" si="0"/>
        <v/>
      </c>
      <c r="AF1918" s="15" t="str">
        <f t="shared" si="1"/>
        <v/>
      </c>
      <c r="AG1918" s="15" t="str">
        <f>IF(OR(AF1918="",AF1918="ERRO_CHAVE"),"",IFERROR(MATCH(AF1918,'quitado Despesa'!$V$1:$V$12,0),""))</f>
        <v/>
      </c>
      <c r="AH1918" s="15" t="str">
        <f t="shared" si="2"/>
        <v/>
      </c>
      <c r="AI1918" s="17" t="str">
        <f>IF(AG1918="","",INDEX('quitado Despesa'!$G$1:$G$12,AG1918))</f>
        <v/>
      </c>
      <c r="AJ1918" s="17" t="str">
        <f t="shared" si="3"/>
        <v/>
      </c>
    </row>
    <row r="1919" spans="31:36">
      <c r="AE1919" s="15" t="str">
        <f t="shared" si="0"/>
        <v/>
      </c>
      <c r="AF1919" s="15" t="str">
        <f t="shared" si="1"/>
        <v/>
      </c>
      <c r="AG1919" s="15" t="str">
        <f>IF(OR(AF1919="",AF1919="ERRO_CHAVE"),"",IFERROR(MATCH(AF1919,'quitado Despesa'!$V$1:$V$12,0),""))</f>
        <v/>
      </c>
      <c r="AH1919" s="15" t="str">
        <f t="shared" si="2"/>
        <v/>
      </c>
      <c r="AI1919" s="17" t="str">
        <f>IF(AG1919="","",INDEX('quitado Despesa'!$G$1:$G$12,AG1919))</f>
        <v/>
      </c>
      <c r="AJ1919" s="17" t="str">
        <f t="shared" si="3"/>
        <v/>
      </c>
    </row>
    <row r="1920" spans="31:36">
      <c r="AE1920" s="15" t="str">
        <f t="shared" si="0"/>
        <v/>
      </c>
      <c r="AF1920" s="15" t="str">
        <f t="shared" si="1"/>
        <v/>
      </c>
      <c r="AG1920" s="15" t="str">
        <f>IF(OR(AF1920="",AF1920="ERRO_CHAVE"),"",IFERROR(MATCH(AF1920,'quitado Despesa'!$V$1:$V$12,0),""))</f>
        <v/>
      </c>
      <c r="AH1920" s="15" t="str">
        <f t="shared" si="2"/>
        <v/>
      </c>
      <c r="AI1920" s="17" t="str">
        <f>IF(AG1920="","",INDEX('quitado Despesa'!$G$1:$G$12,AG1920))</f>
        <v/>
      </c>
      <c r="AJ1920" s="17" t="str">
        <f t="shared" si="3"/>
        <v/>
      </c>
    </row>
    <row r="1921" spans="31:36">
      <c r="AE1921" s="15" t="str">
        <f t="shared" si="0"/>
        <v/>
      </c>
      <c r="AF1921" s="15" t="str">
        <f t="shared" si="1"/>
        <v/>
      </c>
      <c r="AG1921" s="15" t="str">
        <f>IF(OR(AF1921="",AF1921="ERRO_CHAVE"),"",IFERROR(MATCH(AF1921,'quitado Despesa'!$V$1:$V$12,0),""))</f>
        <v/>
      </c>
      <c r="AH1921" s="15" t="str">
        <f t="shared" si="2"/>
        <v/>
      </c>
      <c r="AI1921" s="17" t="str">
        <f>IF(AG1921="","",INDEX('quitado Despesa'!$G$1:$G$12,AG1921))</f>
        <v/>
      </c>
      <c r="AJ1921" s="17" t="str">
        <f t="shared" si="3"/>
        <v/>
      </c>
    </row>
    <row r="1922" spans="31:36">
      <c r="AE1922" s="15" t="str">
        <f t="shared" si="0"/>
        <v/>
      </c>
      <c r="AF1922" s="15" t="str">
        <f t="shared" si="1"/>
        <v/>
      </c>
      <c r="AG1922" s="15" t="str">
        <f>IF(OR(AF1922="",AF1922="ERRO_CHAVE"),"",IFERROR(MATCH(AF1922,'quitado Despesa'!$V$1:$V$12,0),""))</f>
        <v/>
      </c>
      <c r="AH1922" s="15" t="str">
        <f t="shared" si="2"/>
        <v/>
      </c>
      <c r="AI1922" s="17" t="str">
        <f>IF(AG1922="","",INDEX('quitado Despesa'!$G$1:$G$12,AG1922))</f>
        <v/>
      </c>
      <c r="AJ1922" s="17" t="str">
        <f t="shared" si="3"/>
        <v/>
      </c>
    </row>
    <row r="1923" spans="31:36">
      <c r="AE1923" s="15" t="str">
        <f t="shared" si="0"/>
        <v/>
      </c>
      <c r="AF1923" s="15" t="str">
        <f t="shared" si="1"/>
        <v/>
      </c>
      <c r="AG1923" s="15" t="str">
        <f>IF(OR(AF1923="",AF1923="ERRO_CHAVE"),"",IFERROR(MATCH(AF1923,'quitado Despesa'!$V$1:$V$12,0),""))</f>
        <v/>
      </c>
      <c r="AH1923" s="15" t="str">
        <f t="shared" si="2"/>
        <v/>
      </c>
      <c r="AI1923" s="17" t="str">
        <f>IF(AG1923="","",INDEX('quitado Despesa'!$G$1:$G$12,AG1923))</f>
        <v/>
      </c>
      <c r="AJ1923" s="17" t="str">
        <f t="shared" si="3"/>
        <v/>
      </c>
    </row>
    <row r="1924" spans="31:36">
      <c r="AE1924" s="15" t="str">
        <f t="shared" si="0"/>
        <v/>
      </c>
      <c r="AF1924" s="15" t="str">
        <f t="shared" si="1"/>
        <v/>
      </c>
      <c r="AG1924" s="15" t="str">
        <f>IF(OR(AF1924="",AF1924="ERRO_CHAVE"),"",IFERROR(MATCH(AF1924,'quitado Despesa'!$V$1:$V$12,0),""))</f>
        <v/>
      </c>
      <c r="AH1924" s="15" t="str">
        <f t="shared" si="2"/>
        <v/>
      </c>
      <c r="AI1924" s="17" t="str">
        <f>IF(AG1924="","",INDEX('quitado Despesa'!$G$1:$G$12,AG1924))</f>
        <v/>
      </c>
      <c r="AJ1924" s="17" t="str">
        <f t="shared" si="3"/>
        <v/>
      </c>
    </row>
    <row r="1925" spans="31:36">
      <c r="AE1925" s="15" t="str">
        <f t="shared" si="0"/>
        <v/>
      </c>
      <c r="AF1925" s="15" t="str">
        <f t="shared" si="1"/>
        <v/>
      </c>
      <c r="AG1925" s="15" t="str">
        <f>IF(OR(AF1925="",AF1925="ERRO_CHAVE"),"",IFERROR(MATCH(AF1925,'quitado Despesa'!$V$1:$V$12,0),""))</f>
        <v/>
      </c>
      <c r="AH1925" s="15" t="str">
        <f t="shared" si="2"/>
        <v/>
      </c>
      <c r="AI1925" s="17" t="str">
        <f>IF(AG1925="","",INDEX('quitado Despesa'!$G$1:$G$12,AG1925))</f>
        <v/>
      </c>
      <c r="AJ1925" s="17" t="str">
        <f t="shared" si="3"/>
        <v/>
      </c>
    </row>
    <row r="1926" spans="31:36">
      <c r="AE1926" s="15" t="str">
        <f t="shared" si="0"/>
        <v/>
      </c>
      <c r="AF1926" s="15" t="str">
        <f t="shared" si="1"/>
        <v/>
      </c>
      <c r="AG1926" s="15" t="str">
        <f>IF(OR(AF1926="",AF1926="ERRO_CHAVE"),"",IFERROR(MATCH(AF1926,'quitado Despesa'!$V$1:$V$12,0),""))</f>
        <v/>
      </c>
      <c r="AH1926" s="15" t="str">
        <f t="shared" si="2"/>
        <v/>
      </c>
      <c r="AI1926" s="17" t="str">
        <f>IF(AG1926="","",INDEX('quitado Despesa'!$G$1:$G$12,AG1926))</f>
        <v/>
      </c>
      <c r="AJ1926" s="17" t="str">
        <f t="shared" si="3"/>
        <v/>
      </c>
    </row>
    <row r="1927" spans="31:36">
      <c r="AE1927" s="15" t="str">
        <f t="shared" si="0"/>
        <v/>
      </c>
      <c r="AF1927" s="15" t="str">
        <f t="shared" si="1"/>
        <v/>
      </c>
      <c r="AG1927" s="15" t="str">
        <f>IF(OR(AF1927="",AF1927="ERRO_CHAVE"),"",IFERROR(MATCH(AF1927,'quitado Despesa'!$V$1:$V$12,0),""))</f>
        <v/>
      </c>
      <c r="AH1927" s="15" t="str">
        <f t="shared" si="2"/>
        <v/>
      </c>
      <c r="AI1927" s="17" t="str">
        <f>IF(AG1927="","",INDEX('quitado Despesa'!$G$1:$G$12,AG1927))</f>
        <v/>
      </c>
      <c r="AJ1927" s="17" t="str">
        <f t="shared" si="3"/>
        <v/>
      </c>
    </row>
    <row r="1928" spans="31:36">
      <c r="AE1928" s="15" t="str">
        <f t="shared" si="0"/>
        <v/>
      </c>
      <c r="AF1928" s="15" t="str">
        <f t="shared" si="1"/>
        <v/>
      </c>
      <c r="AG1928" s="15" t="str">
        <f>IF(OR(AF1928="",AF1928="ERRO_CHAVE"),"",IFERROR(MATCH(AF1928,'quitado Despesa'!$V$1:$V$12,0),""))</f>
        <v/>
      </c>
      <c r="AH1928" s="15" t="str">
        <f t="shared" si="2"/>
        <v/>
      </c>
      <c r="AI1928" s="17" t="str">
        <f>IF(AG1928="","",INDEX('quitado Despesa'!$G$1:$G$12,AG1928))</f>
        <v/>
      </c>
      <c r="AJ1928" s="17" t="str">
        <f t="shared" si="3"/>
        <v/>
      </c>
    </row>
    <row r="1929" spans="31:36">
      <c r="AE1929" s="15" t="str">
        <f t="shared" si="0"/>
        <v/>
      </c>
      <c r="AF1929" s="15" t="str">
        <f t="shared" si="1"/>
        <v/>
      </c>
      <c r="AG1929" s="15" t="str">
        <f>IF(OR(AF1929="",AF1929="ERRO_CHAVE"),"",IFERROR(MATCH(AF1929,'quitado Despesa'!$V$1:$V$12,0),""))</f>
        <v/>
      </c>
      <c r="AH1929" s="15" t="str">
        <f t="shared" si="2"/>
        <v/>
      </c>
      <c r="AI1929" s="17" t="str">
        <f>IF(AG1929="","",INDEX('quitado Despesa'!$G$1:$G$12,AG1929))</f>
        <v/>
      </c>
      <c r="AJ1929" s="17" t="str">
        <f t="shared" si="3"/>
        <v/>
      </c>
    </row>
    <row r="1930" spans="31:36">
      <c r="AE1930" s="15" t="str">
        <f t="shared" si="0"/>
        <v/>
      </c>
      <c r="AF1930" s="15" t="str">
        <f t="shared" si="1"/>
        <v/>
      </c>
      <c r="AG1930" s="15" t="str">
        <f>IF(OR(AF1930="",AF1930="ERRO_CHAVE"),"",IFERROR(MATCH(AF1930,'quitado Despesa'!$V$1:$V$12,0),""))</f>
        <v/>
      </c>
      <c r="AH1930" s="15" t="str">
        <f t="shared" si="2"/>
        <v/>
      </c>
      <c r="AI1930" s="17" t="str">
        <f>IF(AG1930="","",INDEX('quitado Despesa'!$G$1:$G$12,AG1930))</f>
        <v/>
      </c>
      <c r="AJ1930" s="17" t="str">
        <f t="shared" si="3"/>
        <v/>
      </c>
    </row>
    <row r="1931" spans="31:36">
      <c r="AE1931" s="15" t="str">
        <f t="shared" si="0"/>
        <v/>
      </c>
      <c r="AF1931" s="15" t="str">
        <f t="shared" si="1"/>
        <v/>
      </c>
      <c r="AG1931" s="15" t="str">
        <f>IF(OR(AF1931="",AF1931="ERRO_CHAVE"),"",IFERROR(MATCH(AF1931,'quitado Despesa'!$V$1:$V$12,0),""))</f>
        <v/>
      </c>
      <c r="AH1931" s="15" t="str">
        <f t="shared" si="2"/>
        <v/>
      </c>
      <c r="AI1931" s="17" t="str">
        <f>IF(AG1931="","",INDEX('quitado Despesa'!$G$1:$G$12,AG1931))</f>
        <v/>
      </c>
      <c r="AJ1931" s="17" t="str">
        <f t="shared" si="3"/>
        <v/>
      </c>
    </row>
    <row r="1932" spans="31:36">
      <c r="AE1932" s="15" t="str">
        <f t="shared" si="0"/>
        <v/>
      </c>
      <c r="AF1932" s="15" t="str">
        <f t="shared" si="1"/>
        <v/>
      </c>
      <c r="AG1932" s="15" t="str">
        <f>IF(OR(AF1932="",AF1932="ERRO_CHAVE"),"",IFERROR(MATCH(AF1932,'quitado Despesa'!$V$1:$V$12,0),""))</f>
        <v/>
      </c>
      <c r="AH1932" s="15" t="str">
        <f t="shared" si="2"/>
        <v/>
      </c>
      <c r="AI1932" s="17" t="str">
        <f>IF(AG1932="","",INDEX('quitado Despesa'!$G$1:$G$12,AG1932))</f>
        <v/>
      </c>
      <c r="AJ1932" s="17" t="str">
        <f t="shared" si="3"/>
        <v/>
      </c>
    </row>
    <row r="1933" spans="31:36">
      <c r="AE1933" s="15" t="str">
        <f t="shared" si="0"/>
        <v/>
      </c>
      <c r="AF1933" s="15" t="str">
        <f t="shared" si="1"/>
        <v/>
      </c>
      <c r="AG1933" s="15" t="str">
        <f>IF(OR(AF1933="",AF1933="ERRO_CHAVE"),"",IFERROR(MATCH(AF1933,'quitado Despesa'!$V$1:$V$12,0),""))</f>
        <v/>
      </c>
      <c r="AH1933" s="15" t="str">
        <f t="shared" si="2"/>
        <v/>
      </c>
      <c r="AI1933" s="17" t="str">
        <f>IF(AG1933="","",INDEX('quitado Despesa'!$G$1:$G$12,AG1933))</f>
        <v/>
      </c>
      <c r="AJ1933" s="17" t="str">
        <f t="shared" si="3"/>
        <v/>
      </c>
    </row>
    <row r="1934" spans="31:36">
      <c r="AE1934" s="15" t="str">
        <f t="shared" si="0"/>
        <v/>
      </c>
      <c r="AF1934" s="15" t="str">
        <f t="shared" si="1"/>
        <v/>
      </c>
      <c r="AG1934" s="15" t="str">
        <f>IF(OR(AF1934="",AF1934="ERRO_CHAVE"),"",IFERROR(MATCH(AF1934,'quitado Despesa'!$V$1:$V$12,0),""))</f>
        <v/>
      </c>
      <c r="AH1934" s="15" t="str">
        <f t="shared" si="2"/>
        <v/>
      </c>
      <c r="AI1934" s="17" t="str">
        <f>IF(AG1934="","",INDEX('quitado Despesa'!$G$1:$G$12,AG1934))</f>
        <v/>
      </c>
      <c r="AJ1934" s="17" t="str">
        <f t="shared" si="3"/>
        <v/>
      </c>
    </row>
    <row r="1935" spans="31:36">
      <c r="AE1935" s="15" t="str">
        <f t="shared" si="0"/>
        <v/>
      </c>
      <c r="AF1935" s="15" t="str">
        <f t="shared" si="1"/>
        <v/>
      </c>
      <c r="AG1935" s="15" t="str">
        <f>IF(OR(AF1935="",AF1935="ERRO_CHAVE"),"",IFERROR(MATCH(AF1935,'quitado Despesa'!$V$1:$V$12,0),""))</f>
        <v/>
      </c>
      <c r="AH1935" s="15" t="str">
        <f t="shared" si="2"/>
        <v/>
      </c>
      <c r="AI1935" s="17" t="str">
        <f>IF(AG1935="","",INDEX('quitado Despesa'!$G$1:$G$12,AG1935))</f>
        <v/>
      </c>
      <c r="AJ1935" s="17" t="str">
        <f t="shared" si="3"/>
        <v/>
      </c>
    </row>
    <row r="1936" spans="31:36">
      <c r="AE1936" s="15" t="str">
        <f t="shared" si="0"/>
        <v/>
      </c>
      <c r="AF1936" s="15" t="str">
        <f t="shared" si="1"/>
        <v/>
      </c>
      <c r="AG1936" s="15" t="str">
        <f>IF(OR(AF1936="",AF1936="ERRO_CHAVE"),"",IFERROR(MATCH(AF1936,'quitado Despesa'!$V$1:$V$12,0),""))</f>
        <v/>
      </c>
      <c r="AH1936" s="15" t="str">
        <f t="shared" si="2"/>
        <v/>
      </c>
      <c r="AI1936" s="17" t="str">
        <f>IF(AG1936="","",INDEX('quitado Despesa'!$G$1:$G$12,AG1936))</f>
        <v/>
      </c>
      <c r="AJ1936" s="17" t="str">
        <f t="shared" si="3"/>
        <v/>
      </c>
    </row>
    <row r="1937" spans="31:36">
      <c r="AE1937" s="15" t="str">
        <f t="shared" si="0"/>
        <v/>
      </c>
      <c r="AF1937" s="15" t="str">
        <f t="shared" si="1"/>
        <v/>
      </c>
      <c r="AG1937" s="15" t="str">
        <f>IF(OR(AF1937="",AF1937="ERRO_CHAVE"),"",IFERROR(MATCH(AF1937,'quitado Despesa'!$V$1:$V$12,0),""))</f>
        <v/>
      </c>
      <c r="AH1937" s="15" t="str">
        <f t="shared" si="2"/>
        <v/>
      </c>
      <c r="AI1937" s="17" t="str">
        <f>IF(AG1937="","",INDEX('quitado Despesa'!$G$1:$G$12,AG1937))</f>
        <v/>
      </c>
      <c r="AJ1937" s="17" t="str">
        <f t="shared" si="3"/>
        <v/>
      </c>
    </row>
    <row r="1938" spans="31:36">
      <c r="AE1938" s="15" t="str">
        <f t="shared" si="0"/>
        <v/>
      </c>
      <c r="AF1938" s="15" t="str">
        <f t="shared" si="1"/>
        <v/>
      </c>
      <c r="AG1938" s="15" t="str">
        <f>IF(OR(AF1938="",AF1938="ERRO_CHAVE"),"",IFERROR(MATCH(AF1938,'quitado Despesa'!$V$1:$V$12,0),""))</f>
        <v/>
      </c>
      <c r="AH1938" s="15" t="str">
        <f t="shared" si="2"/>
        <v/>
      </c>
      <c r="AI1938" s="17" t="str">
        <f>IF(AG1938="","",INDEX('quitado Despesa'!$G$1:$G$12,AG1938))</f>
        <v/>
      </c>
      <c r="AJ1938" s="17" t="str">
        <f t="shared" si="3"/>
        <v/>
      </c>
    </row>
    <row r="1939" spans="31:36">
      <c r="AE1939" s="15" t="str">
        <f t="shared" si="0"/>
        <v/>
      </c>
      <c r="AF1939" s="15" t="str">
        <f t="shared" si="1"/>
        <v/>
      </c>
      <c r="AG1939" s="15" t="str">
        <f>IF(OR(AF1939="",AF1939="ERRO_CHAVE"),"",IFERROR(MATCH(AF1939,'quitado Despesa'!$V$1:$V$12,0),""))</f>
        <v/>
      </c>
      <c r="AH1939" s="15" t="str">
        <f t="shared" si="2"/>
        <v/>
      </c>
      <c r="AI1939" s="17" t="str">
        <f>IF(AG1939="","",INDEX('quitado Despesa'!$G$1:$G$12,AG1939))</f>
        <v/>
      </c>
      <c r="AJ1939" s="17" t="str">
        <f t="shared" si="3"/>
        <v/>
      </c>
    </row>
    <row r="1940" spans="31:36">
      <c r="AE1940" s="15" t="str">
        <f t="shared" si="0"/>
        <v/>
      </c>
      <c r="AF1940" s="15" t="str">
        <f t="shared" si="1"/>
        <v/>
      </c>
      <c r="AG1940" s="15" t="str">
        <f>IF(OR(AF1940="",AF1940="ERRO_CHAVE"),"",IFERROR(MATCH(AF1940,'quitado Despesa'!$V$1:$V$12,0),""))</f>
        <v/>
      </c>
      <c r="AH1940" s="15" t="str">
        <f t="shared" si="2"/>
        <v/>
      </c>
      <c r="AI1940" s="17" t="str">
        <f>IF(AG1940="","",INDEX('quitado Despesa'!$G$1:$G$12,AG1940))</f>
        <v/>
      </c>
      <c r="AJ1940" s="17" t="str">
        <f t="shared" si="3"/>
        <v/>
      </c>
    </row>
    <row r="1941" spans="31:36">
      <c r="AE1941" s="15" t="str">
        <f t="shared" si="0"/>
        <v/>
      </c>
      <c r="AF1941" s="15" t="str">
        <f t="shared" si="1"/>
        <v/>
      </c>
      <c r="AG1941" s="15" t="str">
        <f>IF(OR(AF1941="",AF1941="ERRO_CHAVE"),"",IFERROR(MATCH(AF1941,'quitado Despesa'!$V$1:$V$12,0),""))</f>
        <v/>
      </c>
      <c r="AH1941" s="15" t="str">
        <f t="shared" si="2"/>
        <v/>
      </c>
      <c r="AI1941" s="17" t="str">
        <f>IF(AG1941="","",INDEX('quitado Despesa'!$G$1:$G$12,AG1941))</f>
        <v/>
      </c>
      <c r="AJ1941" s="17" t="str">
        <f t="shared" si="3"/>
        <v/>
      </c>
    </row>
    <row r="1942" spans="31:36">
      <c r="AE1942" s="15" t="str">
        <f t="shared" si="0"/>
        <v/>
      </c>
      <c r="AF1942" s="15" t="str">
        <f t="shared" si="1"/>
        <v/>
      </c>
      <c r="AG1942" s="15" t="str">
        <f>IF(OR(AF1942="",AF1942="ERRO_CHAVE"),"",IFERROR(MATCH(AF1942,'quitado Despesa'!$V$1:$V$12,0),""))</f>
        <v/>
      </c>
      <c r="AH1942" s="15" t="str">
        <f t="shared" si="2"/>
        <v/>
      </c>
      <c r="AI1942" s="17" t="str">
        <f>IF(AG1942="","",INDEX('quitado Despesa'!$G$1:$G$12,AG1942))</f>
        <v/>
      </c>
      <c r="AJ1942" s="17" t="str">
        <f t="shared" si="3"/>
        <v/>
      </c>
    </row>
    <row r="1943" spans="31:36">
      <c r="AE1943" s="15" t="str">
        <f t="shared" si="0"/>
        <v/>
      </c>
      <c r="AF1943" s="15" t="str">
        <f t="shared" si="1"/>
        <v/>
      </c>
      <c r="AG1943" s="15" t="str">
        <f>IF(OR(AF1943="",AF1943="ERRO_CHAVE"),"",IFERROR(MATCH(AF1943,'quitado Despesa'!$V$1:$V$12,0),""))</f>
        <v/>
      </c>
      <c r="AH1943" s="15" t="str">
        <f t="shared" si="2"/>
        <v/>
      </c>
      <c r="AI1943" s="17" t="str">
        <f>IF(AG1943="","",INDEX('quitado Despesa'!$G$1:$G$12,AG1943))</f>
        <v/>
      </c>
      <c r="AJ1943" s="17" t="str">
        <f t="shared" si="3"/>
        <v/>
      </c>
    </row>
    <row r="1944" spans="31:36">
      <c r="AE1944" s="15" t="str">
        <f t="shared" si="0"/>
        <v/>
      </c>
      <c r="AF1944" s="15" t="str">
        <f t="shared" si="1"/>
        <v/>
      </c>
      <c r="AG1944" s="15" t="str">
        <f>IF(OR(AF1944="",AF1944="ERRO_CHAVE"),"",IFERROR(MATCH(AF1944,'quitado Despesa'!$V$1:$V$12,0),""))</f>
        <v/>
      </c>
      <c r="AH1944" s="15" t="str">
        <f t="shared" si="2"/>
        <v/>
      </c>
      <c r="AI1944" s="17" t="str">
        <f>IF(AG1944="","",INDEX('quitado Despesa'!$G$1:$G$12,AG1944))</f>
        <v/>
      </c>
      <c r="AJ1944" s="17" t="str">
        <f t="shared" si="3"/>
        <v/>
      </c>
    </row>
    <row r="1945" spans="31:36">
      <c r="AE1945" s="15" t="str">
        <f t="shared" si="0"/>
        <v/>
      </c>
      <c r="AF1945" s="15" t="str">
        <f t="shared" si="1"/>
        <v/>
      </c>
      <c r="AG1945" s="15" t="str">
        <f>IF(OR(AF1945="",AF1945="ERRO_CHAVE"),"",IFERROR(MATCH(AF1945,'quitado Despesa'!$V$1:$V$12,0),""))</f>
        <v/>
      </c>
      <c r="AH1945" s="15" t="str">
        <f t="shared" si="2"/>
        <v/>
      </c>
      <c r="AI1945" s="17" t="str">
        <f>IF(AG1945="","",INDEX('quitado Despesa'!$G$1:$G$12,AG1945))</f>
        <v/>
      </c>
      <c r="AJ1945" s="17" t="str">
        <f t="shared" si="3"/>
        <v/>
      </c>
    </row>
    <row r="1946" spans="31:36">
      <c r="AE1946" s="15" t="str">
        <f t="shared" si="0"/>
        <v/>
      </c>
      <c r="AF1946" s="15" t="str">
        <f t="shared" si="1"/>
        <v/>
      </c>
      <c r="AG1946" s="15" t="str">
        <f>IF(OR(AF1946="",AF1946="ERRO_CHAVE"),"",IFERROR(MATCH(AF1946,'quitado Despesa'!$V$1:$V$12,0),""))</f>
        <v/>
      </c>
      <c r="AH1946" s="15" t="str">
        <f t="shared" si="2"/>
        <v/>
      </c>
      <c r="AI1946" s="17" t="str">
        <f>IF(AG1946="","",INDEX('quitado Despesa'!$G$1:$G$12,AG1946))</f>
        <v/>
      </c>
      <c r="AJ1946" s="17" t="str">
        <f t="shared" si="3"/>
        <v/>
      </c>
    </row>
    <row r="1947" spans="31:36">
      <c r="AE1947" s="15" t="str">
        <f t="shared" si="0"/>
        <v/>
      </c>
      <c r="AF1947" s="15" t="str">
        <f t="shared" si="1"/>
        <v/>
      </c>
      <c r="AG1947" s="15" t="str">
        <f>IF(OR(AF1947="",AF1947="ERRO_CHAVE"),"",IFERROR(MATCH(AF1947,'quitado Despesa'!$V$1:$V$12,0),""))</f>
        <v/>
      </c>
      <c r="AH1947" s="15" t="str">
        <f t="shared" si="2"/>
        <v/>
      </c>
      <c r="AI1947" s="17" t="str">
        <f>IF(AG1947="","",INDEX('quitado Despesa'!$G$1:$G$12,AG1947))</f>
        <v/>
      </c>
      <c r="AJ1947" s="17" t="str">
        <f t="shared" si="3"/>
        <v/>
      </c>
    </row>
    <row r="1948" spans="31:36">
      <c r="AE1948" s="15" t="str">
        <f t="shared" si="0"/>
        <v/>
      </c>
      <c r="AF1948" s="15" t="str">
        <f t="shared" si="1"/>
        <v/>
      </c>
      <c r="AG1948" s="15" t="str">
        <f>IF(OR(AF1948="",AF1948="ERRO_CHAVE"),"",IFERROR(MATCH(AF1948,'quitado Despesa'!$V$1:$V$12,0),""))</f>
        <v/>
      </c>
      <c r="AH1948" s="15" t="str">
        <f t="shared" si="2"/>
        <v/>
      </c>
      <c r="AI1948" s="17" t="str">
        <f>IF(AG1948="","",INDEX('quitado Despesa'!$G$1:$G$12,AG1948))</f>
        <v/>
      </c>
      <c r="AJ1948" s="17" t="str">
        <f t="shared" si="3"/>
        <v/>
      </c>
    </row>
    <row r="1949" spans="31:36">
      <c r="AE1949" s="15" t="str">
        <f t="shared" si="0"/>
        <v/>
      </c>
      <c r="AF1949" s="15" t="str">
        <f t="shared" si="1"/>
        <v/>
      </c>
      <c r="AG1949" s="15" t="str">
        <f>IF(OR(AF1949="",AF1949="ERRO_CHAVE"),"",IFERROR(MATCH(AF1949,'quitado Despesa'!$V$1:$V$12,0),""))</f>
        <v/>
      </c>
      <c r="AH1949" s="15" t="str">
        <f t="shared" si="2"/>
        <v/>
      </c>
      <c r="AI1949" s="17" t="str">
        <f>IF(AG1949="","",INDEX('quitado Despesa'!$G$1:$G$12,AG1949))</f>
        <v/>
      </c>
      <c r="AJ1949" s="17" t="str">
        <f t="shared" si="3"/>
        <v/>
      </c>
    </row>
    <row r="1950" spans="31:36">
      <c r="AE1950" s="15" t="str">
        <f t="shared" si="0"/>
        <v/>
      </c>
      <c r="AF1950" s="15" t="str">
        <f t="shared" si="1"/>
        <v/>
      </c>
      <c r="AG1950" s="15" t="str">
        <f>IF(OR(AF1950="",AF1950="ERRO_CHAVE"),"",IFERROR(MATCH(AF1950,'quitado Despesa'!$V$1:$V$12,0),""))</f>
        <v/>
      </c>
      <c r="AH1950" s="15" t="str">
        <f t="shared" si="2"/>
        <v/>
      </c>
      <c r="AI1950" s="17" t="str">
        <f>IF(AG1950="","",INDEX('quitado Despesa'!$G$1:$G$12,AG1950))</f>
        <v/>
      </c>
      <c r="AJ1950" s="17" t="str">
        <f t="shared" si="3"/>
        <v/>
      </c>
    </row>
    <row r="1951" spans="31:36">
      <c r="AE1951" s="15" t="str">
        <f t="shared" si="0"/>
        <v/>
      </c>
      <c r="AF1951" s="15" t="str">
        <f t="shared" si="1"/>
        <v/>
      </c>
      <c r="AG1951" s="15" t="str">
        <f>IF(OR(AF1951="",AF1951="ERRO_CHAVE"),"",IFERROR(MATCH(AF1951,'quitado Despesa'!$V$1:$V$12,0),""))</f>
        <v/>
      </c>
      <c r="AH1951" s="15" t="str">
        <f t="shared" si="2"/>
        <v/>
      </c>
      <c r="AI1951" s="17" t="str">
        <f>IF(AG1951="","",INDEX('quitado Despesa'!$G$1:$G$12,AG1951))</f>
        <v/>
      </c>
      <c r="AJ1951" s="17" t="str">
        <f t="shared" si="3"/>
        <v/>
      </c>
    </row>
    <row r="1952" spans="31:36">
      <c r="AE1952" s="15" t="str">
        <f t="shared" si="0"/>
        <v/>
      </c>
      <c r="AF1952" s="15" t="str">
        <f t="shared" si="1"/>
        <v/>
      </c>
      <c r="AG1952" s="15" t="str">
        <f>IF(OR(AF1952="",AF1952="ERRO_CHAVE"),"",IFERROR(MATCH(AF1952,'quitado Despesa'!$V$1:$V$12,0),""))</f>
        <v/>
      </c>
      <c r="AH1952" s="15" t="str">
        <f t="shared" si="2"/>
        <v/>
      </c>
      <c r="AI1952" s="17" t="str">
        <f>IF(AG1952="","",INDEX('quitado Despesa'!$G$1:$G$12,AG1952))</f>
        <v/>
      </c>
      <c r="AJ1952" s="17" t="str">
        <f t="shared" si="3"/>
        <v/>
      </c>
    </row>
    <row r="1953" spans="31:36">
      <c r="AE1953" s="15" t="str">
        <f t="shared" si="0"/>
        <v/>
      </c>
      <c r="AF1953" s="15" t="str">
        <f t="shared" si="1"/>
        <v/>
      </c>
      <c r="AG1953" s="15" t="str">
        <f>IF(OR(AF1953="",AF1953="ERRO_CHAVE"),"",IFERROR(MATCH(AF1953,'quitado Despesa'!$V$1:$V$12,0),""))</f>
        <v/>
      </c>
      <c r="AH1953" s="15" t="str">
        <f t="shared" si="2"/>
        <v/>
      </c>
      <c r="AI1953" s="17" t="str">
        <f>IF(AG1953="","",INDEX('quitado Despesa'!$G$1:$G$12,AG1953))</f>
        <v/>
      </c>
      <c r="AJ1953" s="17" t="str">
        <f t="shared" si="3"/>
        <v/>
      </c>
    </row>
    <row r="1954" spans="31:36">
      <c r="AE1954" s="15" t="str">
        <f t="shared" si="0"/>
        <v/>
      </c>
      <c r="AF1954" s="15" t="str">
        <f t="shared" si="1"/>
        <v/>
      </c>
      <c r="AG1954" s="15" t="str">
        <f>IF(OR(AF1954="",AF1954="ERRO_CHAVE"),"",IFERROR(MATCH(AF1954,'quitado Despesa'!$V$1:$V$12,0),""))</f>
        <v/>
      </c>
      <c r="AH1954" s="15" t="str">
        <f t="shared" si="2"/>
        <v/>
      </c>
      <c r="AI1954" s="17" t="str">
        <f>IF(AG1954="","",INDEX('quitado Despesa'!$G$1:$G$12,AG1954))</f>
        <v/>
      </c>
      <c r="AJ1954" s="17" t="str">
        <f t="shared" si="3"/>
        <v/>
      </c>
    </row>
    <row r="1955" spans="31:36">
      <c r="AE1955" s="15" t="str">
        <f t="shared" si="0"/>
        <v/>
      </c>
      <c r="AF1955" s="15" t="str">
        <f t="shared" si="1"/>
        <v/>
      </c>
      <c r="AG1955" s="15" t="str">
        <f>IF(OR(AF1955="",AF1955="ERRO_CHAVE"),"",IFERROR(MATCH(AF1955,'quitado Despesa'!$V$1:$V$12,0),""))</f>
        <v/>
      </c>
      <c r="AH1955" s="15" t="str">
        <f t="shared" si="2"/>
        <v/>
      </c>
      <c r="AI1955" s="17" t="str">
        <f>IF(AG1955="","",INDEX('quitado Despesa'!$G$1:$G$12,AG1955))</f>
        <v/>
      </c>
      <c r="AJ1955" s="17" t="str">
        <f t="shared" si="3"/>
        <v/>
      </c>
    </row>
    <row r="1956" spans="31:36">
      <c r="AE1956" s="15" t="str">
        <f t="shared" si="0"/>
        <v/>
      </c>
      <c r="AF1956" s="15" t="str">
        <f t="shared" si="1"/>
        <v/>
      </c>
      <c r="AG1956" s="15" t="str">
        <f>IF(OR(AF1956="",AF1956="ERRO_CHAVE"),"",IFERROR(MATCH(AF1956,'quitado Despesa'!$V$1:$V$12,0),""))</f>
        <v/>
      </c>
      <c r="AH1956" s="15" t="str">
        <f t="shared" si="2"/>
        <v/>
      </c>
      <c r="AI1956" s="17" t="str">
        <f>IF(AG1956="","",INDEX('quitado Despesa'!$G$1:$G$12,AG1956))</f>
        <v/>
      </c>
      <c r="AJ1956" s="17" t="str">
        <f t="shared" si="3"/>
        <v/>
      </c>
    </row>
    <row r="1957" spans="31:36">
      <c r="AE1957" s="15" t="str">
        <f t="shared" si="0"/>
        <v/>
      </c>
      <c r="AF1957" s="15" t="str">
        <f t="shared" si="1"/>
        <v/>
      </c>
      <c r="AG1957" s="15" t="str">
        <f>IF(OR(AF1957="",AF1957="ERRO_CHAVE"),"",IFERROR(MATCH(AF1957,'quitado Despesa'!$V$1:$V$12,0),""))</f>
        <v/>
      </c>
      <c r="AH1957" s="15" t="str">
        <f t="shared" si="2"/>
        <v/>
      </c>
      <c r="AI1957" s="17" t="str">
        <f>IF(AG1957="","",INDEX('quitado Despesa'!$G$1:$G$12,AG1957))</f>
        <v/>
      </c>
      <c r="AJ1957" s="17" t="str">
        <f t="shared" si="3"/>
        <v/>
      </c>
    </row>
    <row r="1958" spans="31:36">
      <c r="AE1958" s="15" t="str">
        <f t="shared" si="0"/>
        <v/>
      </c>
      <c r="AF1958" s="15" t="str">
        <f t="shared" si="1"/>
        <v/>
      </c>
      <c r="AG1958" s="15" t="str">
        <f>IF(OR(AF1958="",AF1958="ERRO_CHAVE"),"",IFERROR(MATCH(AF1958,'quitado Despesa'!$V$1:$V$12,0),""))</f>
        <v/>
      </c>
      <c r="AH1958" s="15" t="str">
        <f t="shared" si="2"/>
        <v/>
      </c>
      <c r="AI1958" s="17" t="str">
        <f>IF(AG1958="","",INDEX('quitado Despesa'!$G$1:$G$12,AG1958))</f>
        <v/>
      </c>
      <c r="AJ1958" s="17" t="str">
        <f t="shared" si="3"/>
        <v/>
      </c>
    </row>
    <row r="1959" spans="31:36">
      <c r="AE1959" s="15" t="str">
        <f t="shared" si="0"/>
        <v/>
      </c>
      <c r="AF1959" s="15" t="str">
        <f t="shared" si="1"/>
        <v/>
      </c>
      <c r="AG1959" s="15" t="str">
        <f>IF(OR(AF1959="",AF1959="ERRO_CHAVE"),"",IFERROR(MATCH(AF1959,'quitado Despesa'!$V$1:$V$12,0),""))</f>
        <v/>
      </c>
      <c r="AH1959" s="15" t="str">
        <f t="shared" si="2"/>
        <v/>
      </c>
      <c r="AI1959" s="17" t="str">
        <f>IF(AG1959="","",INDEX('quitado Despesa'!$G$1:$G$12,AG1959))</f>
        <v/>
      </c>
      <c r="AJ1959" s="17" t="str">
        <f t="shared" si="3"/>
        <v/>
      </c>
    </row>
    <row r="1960" spans="31:36">
      <c r="AE1960" s="15" t="str">
        <f t="shared" si="0"/>
        <v/>
      </c>
      <c r="AF1960" s="15" t="str">
        <f t="shared" si="1"/>
        <v/>
      </c>
      <c r="AG1960" s="15" t="str">
        <f>IF(OR(AF1960="",AF1960="ERRO_CHAVE"),"",IFERROR(MATCH(AF1960,'quitado Despesa'!$V$1:$V$12,0),""))</f>
        <v/>
      </c>
      <c r="AH1960" s="15" t="str">
        <f t="shared" si="2"/>
        <v/>
      </c>
      <c r="AI1960" s="17" t="str">
        <f>IF(AG1960="","",INDEX('quitado Despesa'!$G$1:$G$12,AG1960))</f>
        <v/>
      </c>
      <c r="AJ1960" s="17" t="str">
        <f t="shared" si="3"/>
        <v/>
      </c>
    </row>
    <row r="1961" spans="31:36">
      <c r="AE1961" s="15" t="str">
        <f t="shared" si="0"/>
        <v/>
      </c>
      <c r="AF1961" s="15" t="str">
        <f t="shared" si="1"/>
        <v/>
      </c>
      <c r="AG1961" s="15" t="str">
        <f>IF(OR(AF1961="",AF1961="ERRO_CHAVE"),"",IFERROR(MATCH(AF1961,'quitado Despesa'!$V$1:$V$12,0),""))</f>
        <v/>
      </c>
      <c r="AH1961" s="15" t="str">
        <f t="shared" si="2"/>
        <v/>
      </c>
      <c r="AI1961" s="17" t="str">
        <f>IF(AG1961="","",INDEX('quitado Despesa'!$G$1:$G$12,AG1961))</f>
        <v/>
      </c>
      <c r="AJ1961" s="17" t="str">
        <f t="shared" si="3"/>
        <v/>
      </c>
    </row>
    <row r="1962" spans="31:36">
      <c r="AE1962" s="15" t="str">
        <f t="shared" si="0"/>
        <v/>
      </c>
      <c r="AF1962" s="15" t="str">
        <f t="shared" si="1"/>
        <v/>
      </c>
      <c r="AG1962" s="15" t="str">
        <f>IF(OR(AF1962="",AF1962="ERRO_CHAVE"),"",IFERROR(MATCH(AF1962,'quitado Despesa'!$V$1:$V$12,0),""))</f>
        <v/>
      </c>
      <c r="AH1962" s="15" t="str">
        <f t="shared" si="2"/>
        <v/>
      </c>
      <c r="AI1962" s="17" t="str">
        <f>IF(AG1962="","",INDEX('quitado Despesa'!$G$1:$G$12,AG1962))</f>
        <v/>
      </c>
      <c r="AJ1962" s="17" t="str">
        <f t="shared" si="3"/>
        <v/>
      </c>
    </row>
    <row r="1963" spans="31:36">
      <c r="AE1963" s="15" t="str">
        <f t="shared" si="0"/>
        <v/>
      </c>
      <c r="AF1963" s="15" t="str">
        <f t="shared" si="1"/>
        <v/>
      </c>
      <c r="AG1963" s="15" t="str">
        <f>IF(OR(AF1963="",AF1963="ERRO_CHAVE"),"",IFERROR(MATCH(AF1963,'quitado Despesa'!$V$1:$V$12,0),""))</f>
        <v/>
      </c>
      <c r="AH1963" s="15" t="str">
        <f t="shared" si="2"/>
        <v/>
      </c>
      <c r="AI1963" s="17" t="str">
        <f>IF(AG1963="","",INDEX('quitado Despesa'!$G$1:$G$12,AG1963))</f>
        <v/>
      </c>
      <c r="AJ1963" s="17" t="str">
        <f t="shared" si="3"/>
        <v/>
      </c>
    </row>
    <row r="1964" spans="31:36">
      <c r="AE1964" s="15" t="str">
        <f t="shared" si="0"/>
        <v/>
      </c>
      <c r="AF1964" s="15" t="str">
        <f t="shared" si="1"/>
        <v/>
      </c>
      <c r="AG1964" s="15" t="str">
        <f>IF(OR(AF1964="",AF1964="ERRO_CHAVE"),"",IFERROR(MATCH(AF1964,'quitado Despesa'!$V$1:$V$12,0),""))</f>
        <v/>
      </c>
      <c r="AH1964" s="15" t="str">
        <f t="shared" si="2"/>
        <v/>
      </c>
      <c r="AI1964" s="17" t="str">
        <f>IF(AG1964="","",INDEX('quitado Despesa'!$G$1:$G$12,AG1964))</f>
        <v/>
      </c>
      <c r="AJ1964" s="17" t="str">
        <f t="shared" si="3"/>
        <v/>
      </c>
    </row>
    <row r="1965" spans="31:36">
      <c r="AE1965" s="15" t="str">
        <f t="shared" si="0"/>
        <v/>
      </c>
      <c r="AF1965" s="15" t="str">
        <f t="shared" si="1"/>
        <v/>
      </c>
      <c r="AG1965" s="15" t="str">
        <f>IF(OR(AF1965="",AF1965="ERRO_CHAVE"),"",IFERROR(MATCH(AF1965,'quitado Despesa'!$V$1:$V$12,0),""))</f>
        <v/>
      </c>
      <c r="AH1965" s="15" t="str">
        <f t="shared" si="2"/>
        <v/>
      </c>
      <c r="AI1965" s="17" t="str">
        <f>IF(AG1965="","",INDEX('quitado Despesa'!$G$1:$G$12,AG1965))</f>
        <v/>
      </c>
      <c r="AJ1965" s="17" t="str">
        <f t="shared" si="3"/>
        <v/>
      </c>
    </row>
    <row r="1966" spans="31:36">
      <c r="AE1966" s="15" t="str">
        <f t="shared" si="0"/>
        <v/>
      </c>
      <c r="AF1966" s="15" t="str">
        <f t="shared" si="1"/>
        <v/>
      </c>
      <c r="AG1966" s="15" t="str">
        <f>IF(OR(AF1966="",AF1966="ERRO_CHAVE"),"",IFERROR(MATCH(AF1966,'quitado Despesa'!$V$1:$V$12,0),""))</f>
        <v/>
      </c>
      <c r="AH1966" s="15" t="str">
        <f t="shared" si="2"/>
        <v/>
      </c>
      <c r="AI1966" s="17" t="str">
        <f>IF(AG1966="","",INDEX('quitado Despesa'!$G$1:$G$12,AG1966))</f>
        <v/>
      </c>
      <c r="AJ1966" s="17" t="str">
        <f t="shared" si="3"/>
        <v/>
      </c>
    </row>
    <row r="1967" spans="31:36">
      <c r="AE1967" s="15" t="str">
        <f t="shared" si="0"/>
        <v/>
      </c>
      <c r="AF1967" s="15" t="str">
        <f t="shared" si="1"/>
        <v/>
      </c>
      <c r="AG1967" s="15" t="str">
        <f>IF(OR(AF1967="",AF1967="ERRO_CHAVE"),"",IFERROR(MATCH(AF1967,'quitado Despesa'!$V$1:$V$12,0),""))</f>
        <v/>
      </c>
      <c r="AH1967" s="15" t="str">
        <f t="shared" si="2"/>
        <v/>
      </c>
      <c r="AI1967" s="17" t="str">
        <f>IF(AG1967="","",INDEX('quitado Despesa'!$G$1:$G$12,AG1967))</f>
        <v/>
      </c>
      <c r="AJ1967" s="17" t="str">
        <f t="shared" si="3"/>
        <v/>
      </c>
    </row>
    <row r="1968" spans="31:36">
      <c r="AE1968" s="15" t="str">
        <f t="shared" si="0"/>
        <v/>
      </c>
      <c r="AF1968" s="15" t="str">
        <f t="shared" si="1"/>
        <v/>
      </c>
      <c r="AG1968" s="15" t="str">
        <f>IF(OR(AF1968="",AF1968="ERRO_CHAVE"),"",IFERROR(MATCH(AF1968,'quitado Despesa'!$V$1:$V$12,0),""))</f>
        <v/>
      </c>
      <c r="AH1968" s="15" t="str">
        <f t="shared" si="2"/>
        <v/>
      </c>
      <c r="AI1968" s="17" t="str">
        <f>IF(AG1968="","",INDEX('quitado Despesa'!$G$1:$G$12,AG1968))</f>
        <v/>
      </c>
      <c r="AJ1968" s="17" t="str">
        <f t="shared" si="3"/>
        <v/>
      </c>
    </row>
    <row r="1969" spans="31:36">
      <c r="AE1969" s="15" t="str">
        <f t="shared" si="0"/>
        <v/>
      </c>
      <c r="AF1969" s="15" t="str">
        <f t="shared" si="1"/>
        <v/>
      </c>
      <c r="AG1969" s="15" t="str">
        <f>IF(OR(AF1969="",AF1969="ERRO_CHAVE"),"",IFERROR(MATCH(AF1969,'quitado Despesa'!$V$1:$V$12,0),""))</f>
        <v/>
      </c>
      <c r="AH1969" s="15" t="str">
        <f t="shared" si="2"/>
        <v/>
      </c>
      <c r="AI1969" s="17" t="str">
        <f>IF(AG1969="","",INDEX('quitado Despesa'!$G$1:$G$12,AG1969))</f>
        <v/>
      </c>
      <c r="AJ1969" s="17" t="str">
        <f t="shared" si="3"/>
        <v/>
      </c>
    </row>
    <row r="1970" spans="31:36">
      <c r="AE1970" s="15" t="str">
        <f t="shared" si="0"/>
        <v/>
      </c>
      <c r="AF1970" s="15" t="str">
        <f t="shared" si="1"/>
        <v/>
      </c>
      <c r="AG1970" s="15" t="str">
        <f>IF(OR(AF1970="",AF1970="ERRO_CHAVE"),"",IFERROR(MATCH(AF1970,'quitado Despesa'!$V$1:$V$12,0),""))</f>
        <v/>
      </c>
      <c r="AH1970" s="15" t="str">
        <f t="shared" si="2"/>
        <v/>
      </c>
      <c r="AI1970" s="17" t="str">
        <f>IF(AG1970="","",INDEX('quitado Despesa'!$G$1:$G$12,AG1970))</f>
        <v/>
      </c>
      <c r="AJ1970" s="17" t="str">
        <f t="shared" si="3"/>
        <v/>
      </c>
    </row>
    <row r="1971" spans="31:36">
      <c r="AE1971" s="15" t="str">
        <f t="shared" si="0"/>
        <v/>
      </c>
      <c r="AF1971" s="15" t="str">
        <f t="shared" si="1"/>
        <v/>
      </c>
      <c r="AG1971" s="15" t="str">
        <f>IF(OR(AF1971="",AF1971="ERRO_CHAVE"),"",IFERROR(MATCH(AF1971,'quitado Despesa'!$V$1:$V$12,0),""))</f>
        <v/>
      </c>
      <c r="AH1971" s="15" t="str">
        <f t="shared" si="2"/>
        <v/>
      </c>
      <c r="AI1971" s="17" t="str">
        <f>IF(AG1971="","",INDEX('quitado Despesa'!$G$1:$G$12,AG1971))</f>
        <v/>
      </c>
      <c r="AJ1971" s="17" t="str">
        <f t="shared" si="3"/>
        <v/>
      </c>
    </row>
    <row r="1972" spans="31:36">
      <c r="AE1972" s="15" t="str">
        <f t="shared" si="0"/>
        <v/>
      </c>
      <c r="AF1972" s="15" t="str">
        <f t="shared" si="1"/>
        <v/>
      </c>
      <c r="AG1972" s="15" t="str">
        <f>IF(OR(AF1972="",AF1972="ERRO_CHAVE"),"",IFERROR(MATCH(AF1972,'quitado Despesa'!$V$1:$V$12,0),""))</f>
        <v/>
      </c>
      <c r="AH1972" s="15" t="str">
        <f t="shared" si="2"/>
        <v/>
      </c>
      <c r="AI1972" s="17" t="str">
        <f>IF(AG1972="","",INDEX('quitado Despesa'!$G$1:$G$12,AG1972))</f>
        <v/>
      </c>
      <c r="AJ1972" s="17" t="str">
        <f t="shared" si="3"/>
        <v/>
      </c>
    </row>
    <row r="1973" spans="31:36">
      <c r="AE1973" s="15" t="str">
        <f t="shared" si="0"/>
        <v/>
      </c>
      <c r="AF1973" s="15" t="str">
        <f t="shared" si="1"/>
        <v/>
      </c>
      <c r="AG1973" s="15" t="str">
        <f>IF(OR(AF1973="",AF1973="ERRO_CHAVE"),"",IFERROR(MATCH(AF1973,'quitado Despesa'!$V$1:$V$12,0),""))</f>
        <v/>
      </c>
      <c r="AH1973" s="15" t="str">
        <f t="shared" si="2"/>
        <v/>
      </c>
      <c r="AI1973" s="17" t="str">
        <f>IF(AG1973="","",INDEX('quitado Despesa'!$G$1:$G$12,AG1973))</f>
        <v/>
      </c>
      <c r="AJ1973" s="17" t="str">
        <f t="shared" si="3"/>
        <v/>
      </c>
    </row>
    <row r="1974" spans="31:36">
      <c r="AE1974" s="15" t="str">
        <f t="shared" si="0"/>
        <v/>
      </c>
      <c r="AF1974" s="15" t="str">
        <f t="shared" si="1"/>
        <v/>
      </c>
      <c r="AG1974" s="15" t="str">
        <f>IF(OR(AF1974="",AF1974="ERRO_CHAVE"),"",IFERROR(MATCH(AF1974,'quitado Despesa'!$V$1:$V$12,0),""))</f>
        <v/>
      </c>
      <c r="AH1974" s="15" t="str">
        <f t="shared" si="2"/>
        <v/>
      </c>
      <c r="AI1974" s="17" t="str">
        <f>IF(AG1974="","",INDEX('quitado Despesa'!$G$1:$G$12,AG1974))</f>
        <v/>
      </c>
      <c r="AJ1974" s="17" t="str">
        <f t="shared" si="3"/>
        <v/>
      </c>
    </row>
    <row r="1975" spans="31:36">
      <c r="AE1975" s="15" t="str">
        <f t="shared" si="0"/>
        <v/>
      </c>
      <c r="AF1975" s="15" t="str">
        <f t="shared" si="1"/>
        <v/>
      </c>
      <c r="AG1975" s="15" t="str">
        <f>IF(OR(AF1975="",AF1975="ERRO_CHAVE"),"",IFERROR(MATCH(AF1975,'quitado Despesa'!$V$1:$V$12,0),""))</f>
        <v/>
      </c>
      <c r="AH1975" s="15" t="str">
        <f t="shared" si="2"/>
        <v/>
      </c>
      <c r="AI1975" s="17" t="str">
        <f>IF(AG1975="","",INDEX('quitado Despesa'!$G$1:$G$12,AG1975))</f>
        <v/>
      </c>
      <c r="AJ1975" s="17" t="str">
        <f t="shared" si="3"/>
        <v/>
      </c>
    </row>
    <row r="1976" spans="31:36">
      <c r="AE1976" s="15" t="str">
        <f t="shared" si="0"/>
        <v/>
      </c>
      <c r="AF1976" s="15" t="str">
        <f t="shared" si="1"/>
        <v/>
      </c>
      <c r="AG1976" s="15" t="str">
        <f>IF(OR(AF1976="",AF1976="ERRO_CHAVE"),"",IFERROR(MATCH(AF1976,'quitado Despesa'!$V$1:$V$12,0),""))</f>
        <v/>
      </c>
      <c r="AH1976" s="15" t="str">
        <f t="shared" si="2"/>
        <v/>
      </c>
      <c r="AI1976" s="17" t="str">
        <f>IF(AG1976="","",INDEX('quitado Despesa'!$G$1:$G$12,AG1976))</f>
        <v/>
      </c>
      <c r="AJ1976" s="17" t="str">
        <f t="shared" si="3"/>
        <v/>
      </c>
    </row>
    <row r="1977" spans="31:36">
      <c r="AE1977" s="15" t="str">
        <f t="shared" si="0"/>
        <v/>
      </c>
      <c r="AF1977" s="15" t="str">
        <f t="shared" si="1"/>
        <v/>
      </c>
      <c r="AG1977" s="15" t="str">
        <f>IF(OR(AF1977="",AF1977="ERRO_CHAVE"),"",IFERROR(MATCH(AF1977,'quitado Despesa'!$V$1:$V$12,0),""))</f>
        <v/>
      </c>
      <c r="AH1977" s="15" t="str">
        <f t="shared" si="2"/>
        <v/>
      </c>
      <c r="AI1977" s="17" t="str">
        <f>IF(AG1977="","",INDEX('quitado Despesa'!$G$1:$G$12,AG1977))</f>
        <v/>
      </c>
      <c r="AJ1977" s="17" t="str">
        <f t="shared" si="3"/>
        <v/>
      </c>
    </row>
    <row r="1978" spans="31:36">
      <c r="AE1978" s="15" t="str">
        <f t="shared" si="0"/>
        <v/>
      </c>
      <c r="AF1978" s="15" t="str">
        <f t="shared" si="1"/>
        <v/>
      </c>
      <c r="AG1978" s="15" t="str">
        <f>IF(OR(AF1978="",AF1978="ERRO_CHAVE"),"",IFERROR(MATCH(AF1978,'quitado Despesa'!$V$1:$V$12,0),""))</f>
        <v/>
      </c>
      <c r="AH1978" s="15" t="str">
        <f t="shared" si="2"/>
        <v/>
      </c>
      <c r="AI1978" s="17" t="str">
        <f>IF(AG1978="","",INDEX('quitado Despesa'!$G$1:$G$12,AG1978))</f>
        <v/>
      </c>
      <c r="AJ1978" s="17" t="str">
        <f t="shared" si="3"/>
        <v/>
      </c>
    </row>
    <row r="1979" spans="31:36">
      <c r="AE1979" s="15" t="str">
        <f t="shared" si="0"/>
        <v/>
      </c>
      <c r="AF1979" s="15" t="str">
        <f t="shared" si="1"/>
        <v/>
      </c>
      <c r="AG1979" s="15" t="str">
        <f>IF(OR(AF1979="",AF1979="ERRO_CHAVE"),"",IFERROR(MATCH(AF1979,'quitado Despesa'!$V$1:$V$12,0),""))</f>
        <v/>
      </c>
      <c r="AH1979" s="15" t="str">
        <f t="shared" si="2"/>
        <v/>
      </c>
      <c r="AI1979" s="17" t="str">
        <f>IF(AG1979="","",INDEX('quitado Despesa'!$G$1:$G$12,AG1979))</f>
        <v/>
      </c>
      <c r="AJ1979" s="17" t="str">
        <f t="shared" si="3"/>
        <v/>
      </c>
    </row>
    <row r="1980" spans="31:36">
      <c r="AE1980" s="15" t="str">
        <f t="shared" si="0"/>
        <v/>
      </c>
      <c r="AF1980" s="15" t="str">
        <f t="shared" si="1"/>
        <v/>
      </c>
      <c r="AG1980" s="15" t="str">
        <f>IF(OR(AF1980="",AF1980="ERRO_CHAVE"),"",IFERROR(MATCH(AF1980,'quitado Despesa'!$V$1:$V$12,0),""))</f>
        <v/>
      </c>
      <c r="AH1980" s="15" t="str">
        <f t="shared" si="2"/>
        <v/>
      </c>
      <c r="AI1980" s="17" t="str">
        <f>IF(AG1980="","",INDEX('quitado Despesa'!$G$1:$G$12,AG1980))</f>
        <v/>
      </c>
      <c r="AJ1980" s="17" t="str">
        <f t="shared" si="3"/>
        <v/>
      </c>
    </row>
    <row r="1981" spans="31:36">
      <c r="AE1981" s="15" t="str">
        <f t="shared" si="0"/>
        <v/>
      </c>
      <c r="AF1981" s="15" t="str">
        <f t="shared" si="1"/>
        <v/>
      </c>
      <c r="AG1981" s="15" t="str">
        <f>IF(OR(AF1981="",AF1981="ERRO_CHAVE"),"",IFERROR(MATCH(AF1981,'quitado Despesa'!$V$1:$V$12,0),""))</f>
        <v/>
      </c>
      <c r="AH1981" s="15" t="str">
        <f t="shared" si="2"/>
        <v/>
      </c>
      <c r="AI1981" s="17" t="str">
        <f>IF(AG1981="","",INDEX('quitado Despesa'!$G$1:$G$12,AG1981))</f>
        <v/>
      </c>
      <c r="AJ1981" s="17" t="str">
        <f t="shared" si="3"/>
        <v/>
      </c>
    </row>
    <row r="1982" spans="31:36">
      <c r="AE1982" s="15" t="str">
        <f t="shared" si="0"/>
        <v/>
      </c>
      <c r="AF1982" s="15" t="str">
        <f t="shared" si="1"/>
        <v/>
      </c>
      <c r="AG1982" s="15" t="str">
        <f>IF(OR(AF1982="",AF1982="ERRO_CHAVE"),"",IFERROR(MATCH(AF1982,'quitado Despesa'!$V$1:$V$12,0),""))</f>
        <v/>
      </c>
      <c r="AH1982" s="15" t="str">
        <f t="shared" si="2"/>
        <v/>
      </c>
      <c r="AI1982" s="17" t="str">
        <f>IF(AG1982="","",INDEX('quitado Despesa'!$G$1:$G$12,AG1982))</f>
        <v/>
      </c>
      <c r="AJ1982" s="17" t="str">
        <f t="shared" si="3"/>
        <v/>
      </c>
    </row>
    <row r="1983" spans="31:36">
      <c r="AE1983" s="15" t="str">
        <f t="shared" si="0"/>
        <v/>
      </c>
      <c r="AF1983" s="15" t="str">
        <f t="shared" si="1"/>
        <v/>
      </c>
      <c r="AG1983" s="15" t="str">
        <f>IF(OR(AF1983="",AF1983="ERRO_CHAVE"),"",IFERROR(MATCH(AF1983,'quitado Despesa'!$V$1:$V$12,0),""))</f>
        <v/>
      </c>
      <c r="AH1983" s="15" t="str">
        <f t="shared" si="2"/>
        <v/>
      </c>
      <c r="AI1983" s="17" t="str">
        <f>IF(AG1983="","",INDEX('quitado Despesa'!$G$1:$G$12,AG1983))</f>
        <v/>
      </c>
      <c r="AJ1983" s="17" t="str">
        <f t="shared" si="3"/>
        <v/>
      </c>
    </row>
    <row r="1984" spans="31:36">
      <c r="AE1984" s="15" t="str">
        <f t="shared" si="0"/>
        <v/>
      </c>
      <c r="AF1984" s="15" t="str">
        <f t="shared" si="1"/>
        <v/>
      </c>
      <c r="AG1984" s="15" t="str">
        <f>IF(OR(AF1984="",AF1984="ERRO_CHAVE"),"",IFERROR(MATCH(AF1984,'quitado Despesa'!$V$1:$V$12,0),""))</f>
        <v/>
      </c>
      <c r="AH1984" s="15" t="str">
        <f t="shared" si="2"/>
        <v/>
      </c>
      <c r="AI1984" s="17" t="str">
        <f>IF(AG1984="","",INDEX('quitado Despesa'!$G$1:$G$12,AG1984))</f>
        <v/>
      </c>
      <c r="AJ1984" s="17" t="str">
        <f t="shared" si="3"/>
        <v/>
      </c>
    </row>
    <row r="1985" spans="31:36">
      <c r="AE1985" s="15" t="str">
        <f t="shared" si="0"/>
        <v/>
      </c>
      <c r="AF1985" s="15" t="str">
        <f t="shared" si="1"/>
        <v/>
      </c>
      <c r="AG1985" s="15" t="str">
        <f>IF(OR(AF1985="",AF1985="ERRO_CHAVE"),"",IFERROR(MATCH(AF1985,'quitado Despesa'!$V$1:$V$12,0),""))</f>
        <v/>
      </c>
      <c r="AH1985" s="15" t="str">
        <f t="shared" si="2"/>
        <v/>
      </c>
      <c r="AI1985" s="17" t="str">
        <f>IF(AG1985="","",INDEX('quitado Despesa'!$G$1:$G$12,AG1985))</f>
        <v/>
      </c>
      <c r="AJ1985" s="17" t="str">
        <f t="shared" si="3"/>
        <v/>
      </c>
    </row>
    <row r="1986" spans="31:36">
      <c r="AE1986" s="15" t="str">
        <f t="shared" si="0"/>
        <v/>
      </c>
      <c r="AF1986" s="15" t="str">
        <f t="shared" si="1"/>
        <v/>
      </c>
      <c r="AG1986" s="15" t="str">
        <f>IF(OR(AF1986="",AF1986="ERRO_CHAVE"),"",IFERROR(MATCH(AF1986,'quitado Despesa'!$V$1:$V$12,0),""))</f>
        <v/>
      </c>
      <c r="AH1986" s="15" t="str">
        <f t="shared" si="2"/>
        <v/>
      </c>
      <c r="AI1986" s="17" t="str">
        <f>IF(AG1986="","",INDEX('quitado Despesa'!$G$1:$G$12,AG1986))</f>
        <v/>
      </c>
      <c r="AJ1986" s="17" t="str">
        <f t="shared" si="3"/>
        <v/>
      </c>
    </row>
    <row r="1987" spans="31:36">
      <c r="AE1987" s="15" t="str">
        <f t="shared" si="0"/>
        <v/>
      </c>
      <c r="AF1987" s="15" t="str">
        <f t="shared" si="1"/>
        <v/>
      </c>
      <c r="AG1987" s="15" t="str">
        <f>IF(OR(AF1987="",AF1987="ERRO_CHAVE"),"",IFERROR(MATCH(AF1987,'quitado Despesa'!$V$1:$V$12,0),""))</f>
        <v/>
      </c>
      <c r="AH1987" s="15" t="str">
        <f t="shared" si="2"/>
        <v/>
      </c>
      <c r="AI1987" s="17" t="str">
        <f>IF(AG1987="","",INDEX('quitado Despesa'!$G$1:$G$12,AG1987))</f>
        <v/>
      </c>
      <c r="AJ1987" s="17" t="str">
        <f t="shared" si="3"/>
        <v/>
      </c>
    </row>
    <row r="1988" spans="31:36">
      <c r="AE1988" s="15" t="str">
        <f t="shared" si="0"/>
        <v/>
      </c>
      <c r="AF1988" s="15" t="str">
        <f t="shared" si="1"/>
        <v/>
      </c>
      <c r="AG1988" s="15" t="str">
        <f>IF(OR(AF1988="",AF1988="ERRO_CHAVE"),"",IFERROR(MATCH(AF1988,'quitado Despesa'!$V$1:$V$12,0),""))</f>
        <v/>
      </c>
      <c r="AH1988" s="15" t="str">
        <f t="shared" si="2"/>
        <v/>
      </c>
      <c r="AI1988" s="17" t="str">
        <f>IF(AG1988="","",INDEX('quitado Despesa'!$G$1:$G$12,AG1988))</f>
        <v/>
      </c>
      <c r="AJ1988" s="17" t="str">
        <f t="shared" si="3"/>
        <v/>
      </c>
    </row>
    <row r="1989" spans="31:36">
      <c r="AE1989" s="15" t="str">
        <f t="shared" si="0"/>
        <v/>
      </c>
      <c r="AF1989" s="15" t="str">
        <f t="shared" si="1"/>
        <v/>
      </c>
      <c r="AG1989" s="15" t="str">
        <f>IF(OR(AF1989="",AF1989="ERRO_CHAVE"),"",IFERROR(MATCH(AF1989,'quitado Despesa'!$V$1:$V$12,0),""))</f>
        <v/>
      </c>
      <c r="AH1989" s="15" t="str">
        <f t="shared" si="2"/>
        <v/>
      </c>
      <c r="AI1989" s="17" t="str">
        <f>IF(AG1989="","",INDEX('quitado Despesa'!$G$1:$G$12,AG1989))</f>
        <v/>
      </c>
      <c r="AJ1989" s="17" t="str">
        <f t="shared" si="3"/>
        <v/>
      </c>
    </row>
    <row r="1990" spans="31:36">
      <c r="AE1990" s="15" t="str">
        <f t="shared" si="0"/>
        <v/>
      </c>
      <c r="AF1990" s="15" t="str">
        <f t="shared" si="1"/>
        <v/>
      </c>
      <c r="AG1990" s="15" t="str">
        <f>IF(OR(AF1990="",AF1990="ERRO_CHAVE"),"",IFERROR(MATCH(AF1990,'quitado Despesa'!$V$1:$V$12,0),""))</f>
        <v/>
      </c>
      <c r="AH1990" s="15" t="str">
        <f t="shared" si="2"/>
        <v/>
      </c>
      <c r="AI1990" s="17" t="str">
        <f>IF(AG1990="","",INDEX('quitado Despesa'!$G$1:$G$12,AG1990))</f>
        <v/>
      </c>
      <c r="AJ1990" s="17" t="str">
        <f t="shared" si="3"/>
        <v/>
      </c>
    </row>
    <row r="1991" spans="31:36">
      <c r="AE1991" s="15" t="str">
        <f t="shared" si="0"/>
        <v/>
      </c>
      <c r="AF1991" s="15" t="str">
        <f t="shared" si="1"/>
        <v/>
      </c>
      <c r="AG1991" s="15" t="str">
        <f>IF(OR(AF1991="",AF1991="ERRO_CHAVE"),"",IFERROR(MATCH(AF1991,'quitado Despesa'!$V$1:$V$12,0),""))</f>
        <v/>
      </c>
      <c r="AH1991" s="15" t="str">
        <f t="shared" si="2"/>
        <v/>
      </c>
      <c r="AI1991" s="17" t="str">
        <f>IF(AG1991="","",INDEX('quitado Despesa'!$G$1:$G$12,AG1991))</f>
        <v/>
      </c>
      <c r="AJ1991" s="17" t="str">
        <f t="shared" si="3"/>
        <v/>
      </c>
    </row>
    <row r="1992" spans="31:36">
      <c r="AE1992" s="15" t="str">
        <f t="shared" si="0"/>
        <v/>
      </c>
      <c r="AF1992" s="15" t="str">
        <f t="shared" si="1"/>
        <v/>
      </c>
      <c r="AG1992" s="15" t="str">
        <f>IF(OR(AF1992="",AF1992="ERRO_CHAVE"),"",IFERROR(MATCH(AF1992,'quitado Despesa'!$V$1:$V$12,0),""))</f>
        <v/>
      </c>
      <c r="AH1992" s="15" t="str">
        <f t="shared" si="2"/>
        <v/>
      </c>
      <c r="AI1992" s="17" t="str">
        <f>IF(AG1992="","",INDEX('quitado Despesa'!$G$1:$G$12,AG1992))</f>
        <v/>
      </c>
      <c r="AJ1992" s="17" t="str">
        <f t="shared" si="3"/>
        <v/>
      </c>
    </row>
    <row r="1993" spans="31:36">
      <c r="AE1993" s="15" t="str">
        <f t="shared" si="0"/>
        <v/>
      </c>
      <c r="AF1993" s="15" t="str">
        <f t="shared" si="1"/>
        <v/>
      </c>
      <c r="AG1993" s="15" t="str">
        <f>IF(OR(AF1993="",AF1993="ERRO_CHAVE"),"",IFERROR(MATCH(AF1993,'quitado Despesa'!$V$1:$V$12,0),""))</f>
        <v/>
      </c>
      <c r="AH1993" s="15" t="str">
        <f t="shared" si="2"/>
        <v/>
      </c>
      <c r="AI1993" s="17" t="str">
        <f>IF(AG1993="","",INDEX('quitado Despesa'!$G$1:$G$12,AG1993))</f>
        <v/>
      </c>
      <c r="AJ1993" s="17" t="str">
        <f t="shared" si="3"/>
        <v/>
      </c>
    </row>
    <row r="1994" spans="31:36">
      <c r="AE1994" s="15" t="str">
        <f t="shared" si="0"/>
        <v/>
      </c>
      <c r="AF1994" s="15" t="str">
        <f t="shared" si="1"/>
        <v/>
      </c>
      <c r="AG1994" s="15" t="str">
        <f>IF(OR(AF1994="",AF1994="ERRO_CHAVE"),"",IFERROR(MATCH(AF1994,'quitado Despesa'!$V$1:$V$12,0),""))</f>
        <v/>
      </c>
      <c r="AH1994" s="15" t="str">
        <f t="shared" si="2"/>
        <v/>
      </c>
      <c r="AI1994" s="17" t="str">
        <f>IF(AG1994="","",INDEX('quitado Despesa'!$G$1:$G$12,AG1994))</f>
        <v/>
      </c>
      <c r="AJ1994" s="17" t="str">
        <f t="shared" si="3"/>
        <v/>
      </c>
    </row>
    <row r="1995" spans="31:36">
      <c r="AE1995" s="15" t="str">
        <f t="shared" si="0"/>
        <v/>
      </c>
      <c r="AF1995" s="15" t="str">
        <f t="shared" si="1"/>
        <v/>
      </c>
      <c r="AG1995" s="15" t="str">
        <f>IF(OR(AF1995="",AF1995="ERRO_CHAVE"),"",IFERROR(MATCH(AF1995,'quitado Despesa'!$V$1:$V$12,0),""))</f>
        <v/>
      </c>
      <c r="AH1995" s="15" t="str">
        <f t="shared" si="2"/>
        <v/>
      </c>
      <c r="AI1995" s="17" t="str">
        <f>IF(AG1995="","",INDEX('quitado Despesa'!$G$1:$G$12,AG1995))</f>
        <v/>
      </c>
      <c r="AJ1995" s="17" t="str">
        <f t="shared" si="3"/>
        <v/>
      </c>
    </row>
    <row r="1996" spans="31:36">
      <c r="AE1996" s="15" t="str">
        <f t="shared" si="0"/>
        <v/>
      </c>
      <c r="AF1996" s="15" t="str">
        <f t="shared" si="1"/>
        <v/>
      </c>
      <c r="AG1996" s="15" t="str">
        <f>IF(OR(AF1996="",AF1996="ERRO_CHAVE"),"",IFERROR(MATCH(AF1996,'quitado Despesa'!$V$1:$V$12,0),""))</f>
        <v/>
      </c>
      <c r="AH1996" s="15" t="str">
        <f t="shared" si="2"/>
        <v/>
      </c>
      <c r="AI1996" s="17" t="str">
        <f>IF(AG1996="","",INDEX('quitado Despesa'!$G$1:$G$12,AG1996))</f>
        <v/>
      </c>
      <c r="AJ1996" s="17" t="str">
        <f t="shared" si="3"/>
        <v/>
      </c>
    </row>
    <row r="1997" spans="31:36">
      <c r="AE1997" s="15" t="str">
        <f t="shared" si="0"/>
        <v/>
      </c>
      <c r="AF1997" s="15" t="str">
        <f t="shared" si="1"/>
        <v/>
      </c>
      <c r="AG1997" s="15" t="str">
        <f>IF(OR(AF1997="",AF1997="ERRO_CHAVE"),"",IFERROR(MATCH(AF1997,'quitado Despesa'!$V$1:$V$12,0),""))</f>
        <v/>
      </c>
      <c r="AH1997" s="15" t="str">
        <f t="shared" si="2"/>
        <v/>
      </c>
      <c r="AI1997" s="17" t="str">
        <f>IF(AG1997="","",INDEX('quitado Despesa'!$G$1:$G$12,AG1997))</f>
        <v/>
      </c>
      <c r="AJ1997" s="17" t="str">
        <f t="shared" si="3"/>
        <v/>
      </c>
    </row>
    <row r="1998" spans="31:36">
      <c r="AE1998" s="15" t="str">
        <f t="shared" si="0"/>
        <v/>
      </c>
      <c r="AF1998" s="15" t="str">
        <f t="shared" si="1"/>
        <v/>
      </c>
      <c r="AG1998" s="15" t="str">
        <f>IF(OR(AF1998="",AF1998="ERRO_CHAVE"),"",IFERROR(MATCH(AF1998,'quitado Despesa'!$V$1:$V$12,0),""))</f>
        <v/>
      </c>
      <c r="AH1998" s="15" t="str">
        <f t="shared" si="2"/>
        <v/>
      </c>
      <c r="AI1998" s="17" t="str">
        <f>IF(AG1998="","",INDEX('quitado Despesa'!$G$1:$G$12,AG1998))</f>
        <v/>
      </c>
      <c r="AJ1998" s="17" t="str">
        <f t="shared" si="3"/>
        <v/>
      </c>
    </row>
    <row r="1999" spans="31:36">
      <c r="AE1999" s="15" t="str">
        <f t="shared" si="0"/>
        <v/>
      </c>
      <c r="AF1999" s="15" t="str">
        <f t="shared" si="1"/>
        <v/>
      </c>
      <c r="AG1999" s="15" t="str">
        <f>IF(OR(AF1999="",AF1999="ERRO_CHAVE"),"",IFERROR(MATCH(AF1999,'quitado Despesa'!$V$1:$V$12,0),""))</f>
        <v/>
      </c>
      <c r="AH1999" s="15" t="str">
        <f t="shared" si="2"/>
        <v/>
      </c>
      <c r="AI1999" s="17" t="str">
        <f>IF(AG1999="","",INDEX('quitado Despesa'!$G$1:$G$12,AG1999))</f>
        <v/>
      </c>
      <c r="AJ1999" s="17" t="str">
        <f t="shared" si="3"/>
        <v/>
      </c>
    </row>
    <row r="2000" spans="31:36">
      <c r="AE2000" s="15" t="str">
        <f t="shared" si="0"/>
        <v/>
      </c>
      <c r="AF2000" s="15" t="str">
        <f t="shared" si="1"/>
        <v/>
      </c>
      <c r="AG2000" s="15" t="str">
        <f>IF(OR(AF2000="",AF2000="ERRO_CHAVE"),"",IFERROR(MATCH(AF2000,'quitado Despesa'!$V$1:$V$12,0),""))</f>
        <v/>
      </c>
      <c r="AH2000" s="15" t="str">
        <f t="shared" si="2"/>
        <v/>
      </c>
      <c r="AI2000" s="17" t="str">
        <f>IF(AG2000="","",INDEX('quitado Despesa'!$G$1:$G$12,AG2000))</f>
        <v/>
      </c>
      <c r="AJ2000" s="17" t="str">
        <f t="shared" si="3"/>
        <v/>
      </c>
    </row>
    <row r="2001" spans="31:36">
      <c r="AE2001" s="15" t="str">
        <f t="shared" si="0"/>
        <v/>
      </c>
      <c r="AF2001" s="15" t="str">
        <f t="shared" si="1"/>
        <v/>
      </c>
      <c r="AG2001" s="15" t="str">
        <f>IF(OR(AF2001="",AF2001="ERRO_CHAVE"),"",IFERROR(MATCH(AF2001,'quitado Despesa'!$V$1:$V$12,0),""))</f>
        <v/>
      </c>
      <c r="AH2001" s="15" t="str">
        <f t="shared" si="2"/>
        <v/>
      </c>
      <c r="AI2001" s="17" t="str">
        <f>IF(AG2001="","",INDEX('quitado Despesa'!$G$1:$G$12,AG2001))</f>
        <v/>
      </c>
      <c r="AJ2001" s="17" t="str">
        <f t="shared" si="3"/>
        <v/>
      </c>
    </row>
    <row r="2002" spans="31:36">
      <c r="AE2002" s="15" t="str">
        <f t="shared" si="0"/>
        <v/>
      </c>
      <c r="AF2002" s="15" t="str">
        <f t="shared" si="1"/>
        <v/>
      </c>
      <c r="AG2002" s="15" t="str">
        <f>IF(OR(AF2002="",AF2002="ERRO_CHAVE"),"",IFERROR(MATCH(AF2002,'quitado Despesa'!$V$1:$V$12,0),""))</f>
        <v/>
      </c>
      <c r="AH2002" s="15" t="str">
        <f t="shared" si="2"/>
        <v/>
      </c>
      <c r="AI2002" s="17" t="str">
        <f>IF(AG2002="","",INDEX('quitado Despesa'!$G$1:$G$12,AG2002))</f>
        <v/>
      </c>
      <c r="AJ2002" s="17" t="str">
        <f t="shared" si="3"/>
        <v/>
      </c>
    </row>
    <row r="2003" spans="31:36">
      <c r="AE2003" s="15" t="str">
        <f t="shared" si="0"/>
        <v/>
      </c>
      <c r="AF2003" s="15" t="str">
        <f t="shared" si="1"/>
        <v/>
      </c>
      <c r="AG2003" s="15" t="str">
        <f>IF(OR(AF2003="",AF2003="ERRO_CHAVE"),"",IFERROR(MATCH(AF2003,'quitado Despesa'!$V$1:$V$12,0),""))</f>
        <v/>
      </c>
      <c r="AH2003" s="15" t="str">
        <f t="shared" si="2"/>
        <v/>
      </c>
      <c r="AI2003" s="17" t="str">
        <f>IF(AG2003="","",INDEX('quitado Despesa'!$G$1:$G$12,AG2003))</f>
        <v/>
      </c>
      <c r="AJ2003" s="17" t="str">
        <f t="shared" si="3"/>
        <v/>
      </c>
    </row>
    <row r="2004" spans="31:36">
      <c r="AE2004" s="15" t="str">
        <f t="shared" si="0"/>
        <v/>
      </c>
      <c r="AF2004" s="15" t="str">
        <f t="shared" si="1"/>
        <v/>
      </c>
      <c r="AG2004" s="15" t="str">
        <f>IF(OR(AF2004="",AF2004="ERRO_CHAVE"),"",IFERROR(MATCH(AF2004,'quitado Despesa'!$V$1:$V$12,0),""))</f>
        <v/>
      </c>
      <c r="AH2004" s="15" t="str">
        <f t="shared" si="2"/>
        <v/>
      </c>
      <c r="AI2004" s="17" t="str">
        <f>IF(AG2004="","",INDEX('quitado Despesa'!$G$1:$G$12,AG2004))</f>
        <v/>
      </c>
      <c r="AJ2004" s="17" t="str">
        <f t="shared" si="3"/>
        <v/>
      </c>
    </row>
    <row r="2005" spans="31:36">
      <c r="AE2005" s="15" t="str">
        <f t="shared" si="0"/>
        <v/>
      </c>
      <c r="AF2005" s="15" t="str">
        <f t="shared" si="1"/>
        <v/>
      </c>
      <c r="AG2005" s="15" t="str">
        <f>IF(OR(AF2005="",AF2005="ERRO_CHAVE"),"",IFERROR(MATCH(AF2005,'quitado Despesa'!$V$1:$V$12,0),""))</f>
        <v/>
      </c>
      <c r="AH2005" s="15" t="str">
        <f t="shared" si="2"/>
        <v/>
      </c>
      <c r="AI2005" s="17" t="str">
        <f>IF(AG2005="","",INDEX('quitado Despesa'!$G$1:$G$12,AG2005))</f>
        <v/>
      </c>
      <c r="AJ2005" s="17" t="str">
        <f t="shared" si="3"/>
        <v/>
      </c>
    </row>
    <row r="2006" spans="31:36">
      <c r="AE2006" s="15" t="str">
        <f t="shared" si="0"/>
        <v/>
      </c>
      <c r="AF2006" s="15" t="str">
        <f t="shared" si="1"/>
        <v/>
      </c>
      <c r="AG2006" s="15" t="str">
        <f>IF(OR(AF2006="",AF2006="ERRO_CHAVE"),"",IFERROR(MATCH(AF2006,'quitado Despesa'!$V$1:$V$12,0),""))</f>
        <v/>
      </c>
      <c r="AH2006" s="15" t="str">
        <f t="shared" si="2"/>
        <v/>
      </c>
      <c r="AI2006" s="17" t="str">
        <f>IF(AG2006="","",INDEX('quitado Despesa'!$G$1:$G$12,AG2006))</f>
        <v/>
      </c>
      <c r="AJ2006" s="17" t="str">
        <f t="shared" si="3"/>
        <v/>
      </c>
    </row>
    <row r="2007" spans="31:36">
      <c r="AE2007" s="15" t="str">
        <f t="shared" si="0"/>
        <v/>
      </c>
      <c r="AF2007" s="15" t="str">
        <f t="shared" si="1"/>
        <v/>
      </c>
      <c r="AG2007" s="15" t="str">
        <f>IF(OR(AF2007="",AF2007="ERRO_CHAVE"),"",IFERROR(MATCH(AF2007,'quitado Despesa'!$V$1:$V$12,0),""))</f>
        <v/>
      </c>
      <c r="AH2007" s="15" t="str">
        <f t="shared" si="2"/>
        <v/>
      </c>
      <c r="AI2007" s="17" t="str">
        <f>IF(AG2007="","",INDEX('quitado Despesa'!$G$1:$G$12,AG2007))</f>
        <v/>
      </c>
      <c r="AJ2007" s="17" t="str">
        <f t="shared" si="3"/>
        <v/>
      </c>
    </row>
    <row r="2008" spans="31:36">
      <c r="AE2008" s="15" t="str">
        <f t="shared" si="0"/>
        <v/>
      </c>
      <c r="AF2008" s="15" t="str">
        <f t="shared" si="1"/>
        <v/>
      </c>
      <c r="AG2008" s="15" t="str">
        <f>IF(OR(AF2008="",AF2008="ERRO_CHAVE"),"",IFERROR(MATCH(AF2008,'quitado Despesa'!$V$1:$V$12,0),""))</f>
        <v/>
      </c>
      <c r="AH2008" s="15" t="str">
        <f t="shared" si="2"/>
        <v/>
      </c>
      <c r="AI2008" s="17" t="str">
        <f>IF(AG2008="","",INDEX('quitado Despesa'!$G$1:$G$12,AG2008))</f>
        <v/>
      </c>
      <c r="AJ2008" s="17" t="str">
        <f t="shared" si="3"/>
        <v/>
      </c>
    </row>
    <row r="2009" spans="31:36">
      <c r="AE2009" s="15" t="str">
        <f t="shared" si="0"/>
        <v/>
      </c>
      <c r="AF2009" s="15" t="str">
        <f t="shared" si="1"/>
        <v/>
      </c>
      <c r="AG2009" s="15" t="str">
        <f>IF(OR(AF2009="",AF2009="ERRO_CHAVE"),"",IFERROR(MATCH(AF2009,'quitado Despesa'!$V$1:$V$12,0),""))</f>
        <v/>
      </c>
      <c r="AH2009" s="15" t="str">
        <f t="shared" si="2"/>
        <v/>
      </c>
      <c r="AI2009" s="17" t="str">
        <f>IF(AG2009="","",INDEX('quitado Despesa'!$G$1:$G$12,AG2009))</f>
        <v/>
      </c>
      <c r="AJ2009" s="17" t="str">
        <f t="shared" si="3"/>
        <v/>
      </c>
    </row>
    <row r="2010" spans="31:36">
      <c r="AE2010" s="15" t="str">
        <f t="shared" si="0"/>
        <v/>
      </c>
      <c r="AF2010" s="15" t="str">
        <f t="shared" si="1"/>
        <v/>
      </c>
      <c r="AG2010" s="15" t="str">
        <f>IF(OR(AF2010="",AF2010="ERRO_CHAVE"),"",IFERROR(MATCH(AF2010,'quitado Despesa'!$V$1:$V$12,0),""))</f>
        <v/>
      </c>
      <c r="AH2010" s="15" t="str">
        <f t="shared" si="2"/>
        <v/>
      </c>
      <c r="AI2010" s="17" t="str">
        <f>IF(AG2010="","",INDEX('quitado Despesa'!$G$1:$G$12,AG2010))</f>
        <v/>
      </c>
      <c r="AJ2010" s="17" t="str">
        <f t="shared" si="3"/>
        <v/>
      </c>
    </row>
    <row r="2011" spans="31:36">
      <c r="AE2011" s="15" t="str">
        <f t="shared" si="0"/>
        <v/>
      </c>
      <c r="AF2011" s="15" t="str">
        <f t="shared" si="1"/>
        <v/>
      </c>
      <c r="AG2011" s="15" t="str">
        <f>IF(OR(AF2011="",AF2011="ERRO_CHAVE"),"",IFERROR(MATCH(AF2011,'quitado Despesa'!$V$1:$V$12,0),""))</f>
        <v/>
      </c>
      <c r="AH2011" s="15" t="str">
        <f t="shared" si="2"/>
        <v/>
      </c>
      <c r="AI2011" s="17" t="str">
        <f>IF(AG2011="","",INDEX('quitado Despesa'!$G$1:$G$12,AG2011))</f>
        <v/>
      </c>
      <c r="AJ2011" s="17" t="str">
        <f t="shared" si="3"/>
        <v/>
      </c>
    </row>
    <row r="2012" spans="31:36">
      <c r="AE2012" s="15" t="str">
        <f t="shared" si="0"/>
        <v/>
      </c>
      <c r="AF2012" s="15" t="str">
        <f t="shared" si="1"/>
        <v/>
      </c>
      <c r="AG2012" s="15" t="str">
        <f>IF(OR(AF2012="",AF2012="ERRO_CHAVE"),"",IFERROR(MATCH(AF2012,'quitado Despesa'!$V$1:$V$12,0),""))</f>
        <v/>
      </c>
      <c r="AH2012" s="15" t="str">
        <f t="shared" si="2"/>
        <v/>
      </c>
      <c r="AI2012" s="17" t="str">
        <f>IF(AG2012="","",INDEX('quitado Despesa'!$G$1:$G$12,AG2012))</f>
        <v/>
      </c>
      <c r="AJ2012" s="17" t="str">
        <f t="shared" si="3"/>
        <v/>
      </c>
    </row>
    <row r="2013" spans="31:36">
      <c r="AE2013" s="15" t="str">
        <f t="shared" si="0"/>
        <v/>
      </c>
      <c r="AF2013" s="15" t="str">
        <f t="shared" si="1"/>
        <v/>
      </c>
      <c r="AG2013" s="15" t="str">
        <f>IF(OR(AF2013="",AF2013="ERRO_CHAVE"),"",IFERROR(MATCH(AF2013,'quitado Despesa'!$V$1:$V$12,0),""))</f>
        <v/>
      </c>
      <c r="AH2013" s="15" t="str">
        <f t="shared" si="2"/>
        <v/>
      </c>
      <c r="AI2013" s="17" t="str">
        <f>IF(AG2013="","",INDEX('quitado Despesa'!$G$1:$G$12,AG2013))</f>
        <v/>
      </c>
      <c r="AJ2013" s="17" t="str">
        <f t="shared" si="3"/>
        <v/>
      </c>
    </row>
    <row r="2014" spans="31:36">
      <c r="AE2014" s="15" t="str">
        <f t="shared" si="0"/>
        <v/>
      </c>
      <c r="AF2014" s="15" t="str">
        <f t="shared" si="1"/>
        <v/>
      </c>
      <c r="AG2014" s="15" t="str">
        <f>IF(OR(AF2014="",AF2014="ERRO_CHAVE"),"",IFERROR(MATCH(AF2014,'quitado Despesa'!$V$1:$V$12,0),""))</f>
        <v/>
      </c>
      <c r="AH2014" s="15" t="str">
        <f t="shared" si="2"/>
        <v/>
      </c>
      <c r="AI2014" s="17" t="str">
        <f>IF(AG2014="","",INDEX('quitado Despesa'!$G$1:$G$12,AG2014))</f>
        <v/>
      </c>
      <c r="AJ2014" s="17" t="str">
        <f t="shared" si="3"/>
        <v/>
      </c>
    </row>
    <row r="2015" spans="31:36">
      <c r="AE2015" s="15" t="str">
        <f t="shared" si="0"/>
        <v/>
      </c>
      <c r="AF2015" s="15" t="str">
        <f t="shared" si="1"/>
        <v/>
      </c>
      <c r="AG2015" s="15" t="str">
        <f>IF(OR(AF2015="",AF2015="ERRO_CHAVE"),"",IFERROR(MATCH(AF2015,'quitado Despesa'!$V$1:$V$12,0),""))</f>
        <v/>
      </c>
      <c r="AH2015" s="15" t="str">
        <f t="shared" si="2"/>
        <v/>
      </c>
      <c r="AI2015" s="17" t="str">
        <f>IF(AG2015="","",INDEX('quitado Despesa'!$G$1:$G$12,AG2015))</f>
        <v/>
      </c>
      <c r="AJ2015" s="17" t="str">
        <f t="shared" si="3"/>
        <v/>
      </c>
    </row>
    <row r="2016" spans="31:36">
      <c r="AE2016" s="15" t="str">
        <f t="shared" si="0"/>
        <v/>
      </c>
      <c r="AF2016" s="15" t="str">
        <f t="shared" si="1"/>
        <v/>
      </c>
      <c r="AG2016" s="15" t="str">
        <f>IF(OR(AF2016="",AF2016="ERRO_CHAVE"),"",IFERROR(MATCH(AF2016,'quitado Despesa'!$V$1:$V$12,0),""))</f>
        <v/>
      </c>
      <c r="AH2016" s="15" t="str">
        <f t="shared" si="2"/>
        <v/>
      </c>
      <c r="AI2016" s="17" t="str">
        <f>IF(AG2016="","",INDEX('quitado Despesa'!$G$1:$G$12,AG2016))</f>
        <v/>
      </c>
      <c r="AJ2016" s="17" t="str">
        <f t="shared" si="3"/>
        <v/>
      </c>
    </row>
    <row r="2017" spans="31:36">
      <c r="AE2017" s="15" t="str">
        <f t="shared" si="0"/>
        <v/>
      </c>
      <c r="AF2017" s="15" t="str">
        <f t="shared" si="1"/>
        <v/>
      </c>
      <c r="AG2017" s="15" t="str">
        <f>IF(OR(AF2017="",AF2017="ERRO_CHAVE"),"",IFERROR(MATCH(AF2017,'quitado Despesa'!$V$1:$V$12,0),""))</f>
        <v/>
      </c>
      <c r="AH2017" s="15" t="str">
        <f t="shared" si="2"/>
        <v/>
      </c>
      <c r="AI2017" s="17" t="str">
        <f>IF(AG2017="","",INDEX('quitado Despesa'!$G$1:$G$12,AG2017))</f>
        <v/>
      </c>
      <c r="AJ2017" s="17" t="str">
        <f t="shared" si="3"/>
        <v/>
      </c>
    </row>
    <row r="2018" spans="31:36">
      <c r="AE2018" s="15" t="str">
        <f t="shared" si="0"/>
        <v/>
      </c>
      <c r="AF2018" s="15" t="str">
        <f t="shared" si="1"/>
        <v/>
      </c>
      <c r="AG2018" s="15" t="str">
        <f>IF(OR(AF2018="",AF2018="ERRO_CHAVE"),"",IFERROR(MATCH(AF2018,'quitado Despesa'!$V$1:$V$12,0),""))</f>
        <v/>
      </c>
      <c r="AH2018" s="15" t="str">
        <f t="shared" si="2"/>
        <v/>
      </c>
      <c r="AI2018" s="17" t="str">
        <f>IF(AG2018="","",INDEX('quitado Despesa'!$G$1:$G$12,AG2018))</f>
        <v/>
      </c>
      <c r="AJ2018" s="17" t="str">
        <f t="shared" si="3"/>
        <v/>
      </c>
    </row>
    <row r="2019" spans="31:36">
      <c r="AE2019" s="15" t="str">
        <f t="shared" si="0"/>
        <v/>
      </c>
      <c r="AF2019" s="15" t="str">
        <f t="shared" si="1"/>
        <v/>
      </c>
      <c r="AG2019" s="15" t="str">
        <f>IF(OR(AF2019="",AF2019="ERRO_CHAVE"),"",IFERROR(MATCH(AF2019,'quitado Despesa'!$V$1:$V$12,0),""))</f>
        <v/>
      </c>
      <c r="AH2019" s="15" t="str">
        <f t="shared" si="2"/>
        <v/>
      </c>
      <c r="AI2019" s="17" t="str">
        <f>IF(AG2019="","",INDEX('quitado Despesa'!$G$1:$G$12,AG2019))</f>
        <v/>
      </c>
      <c r="AJ2019" s="17" t="str">
        <f t="shared" si="3"/>
        <v/>
      </c>
    </row>
    <row r="2020" spans="31:36">
      <c r="AE2020" s="15" t="str">
        <f t="shared" si="0"/>
        <v/>
      </c>
      <c r="AF2020" s="15" t="str">
        <f t="shared" si="1"/>
        <v/>
      </c>
      <c r="AG2020" s="15" t="str">
        <f>IF(OR(AF2020="",AF2020="ERRO_CHAVE"),"",IFERROR(MATCH(AF2020,'quitado Despesa'!$V$1:$V$12,0),""))</f>
        <v/>
      </c>
      <c r="AH2020" s="15" t="str">
        <f t="shared" si="2"/>
        <v/>
      </c>
      <c r="AI2020" s="17" t="str">
        <f>IF(AG2020="","",INDEX('quitado Despesa'!$G$1:$G$12,AG2020))</f>
        <v/>
      </c>
      <c r="AJ2020" s="17" t="str">
        <f t="shared" si="3"/>
        <v/>
      </c>
    </row>
    <row r="2021" spans="31:36">
      <c r="AE2021" s="15" t="str">
        <f t="shared" si="0"/>
        <v/>
      </c>
      <c r="AF2021" s="15" t="str">
        <f t="shared" si="1"/>
        <v/>
      </c>
      <c r="AG2021" s="15" t="str">
        <f>IF(OR(AF2021="",AF2021="ERRO_CHAVE"),"",IFERROR(MATCH(AF2021,'quitado Despesa'!$V$1:$V$12,0),""))</f>
        <v/>
      </c>
      <c r="AH2021" s="15" t="str">
        <f t="shared" si="2"/>
        <v/>
      </c>
      <c r="AI2021" s="17" t="str">
        <f>IF(AG2021="","",INDEX('quitado Despesa'!$G$1:$G$12,AG2021))</f>
        <v/>
      </c>
      <c r="AJ2021" s="17" t="str">
        <f t="shared" si="3"/>
        <v/>
      </c>
    </row>
    <row r="2022" spans="31:36">
      <c r="AE2022" s="15" t="str">
        <f t="shared" si="0"/>
        <v/>
      </c>
      <c r="AF2022" s="15" t="str">
        <f t="shared" si="1"/>
        <v/>
      </c>
      <c r="AG2022" s="15" t="str">
        <f>IF(OR(AF2022="",AF2022="ERRO_CHAVE"),"",IFERROR(MATCH(AF2022,'quitado Despesa'!$V$1:$V$12,0),""))</f>
        <v/>
      </c>
      <c r="AH2022" s="15" t="str">
        <f t="shared" si="2"/>
        <v/>
      </c>
      <c r="AI2022" s="17" t="str">
        <f>IF(AG2022="","",INDEX('quitado Despesa'!$G$1:$G$12,AG2022))</f>
        <v/>
      </c>
      <c r="AJ2022" s="17" t="str">
        <f t="shared" si="3"/>
        <v/>
      </c>
    </row>
    <row r="2023" spans="31:36">
      <c r="AE2023" s="15" t="str">
        <f t="shared" si="0"/>
        <v/>
      </c>
      <c r="AF2023" s="15" t="str">
        <f t="shared" si="1"/>
        <v/>
      </c>
      <c r="AG2023" s="15" t="str">
        <f>IF(OR(AF2023="",AF2023="ERRO_CHAVE"),"",IFERROR(MATCH(AF2023,'quitado Despesa'!$V$1:$V$12,0),""))</f>
        <v/>
      </c>
      <c r="AH2023" s="15" t="str">
        <f t="shared" si="2"/>
        <v/>
      </c>
      <c r="AI2023" s="17" t="str">
        <f>IF(AG2023="","",INDEX('quitado Despesa'!$G$1:$G$12,AG2023))</f>
        <v/>
      </c>
      <c r="AJ2023" s="17" t="str">
        <f t="shared" si="3"/>
        <v/>
      </c>
    </row>
    <row r="2024" spans="31:36">
      <c r="AE2024" s="15" t="str">
        <f t="shared" si="0"/>
        <v/>
      </c>
      <c r="AF2024" s="15" t="str">
        <f t="shared" si="1"/>
        <v/>
      </c>
      <c r="AG2024" s="15" t="str">
        <f>IF(OR(AF2024="",AF2024="ERRO_CHAVE"),"",IFERROR(MATCH(AF2024,'quitado Despesa'!$V$1:$V$12,0),""))</f>
        <v/>
      </c>
      <c r="AH2024" s="15" t="str">
        <f t="shared" si="2"/>
        <v/>
      </c>
      <c r="AI2024" s="17" t="str">
        <f>IF(AG2024="","",INDEX('quitado Despesa'!$G$1:$G$12,AG2024))</f>
        <v/>
      </c>
      <c r="AJ2024" s="17" t="str">
        <f t="shared" si="3"/>
        <v/>
      </c>
    </row>
    <row r="2025" spans="31:36">
      <c r="AE2025" s="15" t="str">
        <f t="shared" si="0"/>
        <v/>
      </c>
      <c r="AF2025" s="15" t="str">
        <f t="shared" si="1"/>
        <v/>
      </c>
      <c r="AG2025" s="15" t="str">
        <f>IF(OR(AF2025="",AF2025="ERRO_CHAVE"),"",IFERROR(MATCH(AF2025,'quitado Despesa'!$V$1:$V$12,0),""))</f>
        <v/>
      </c>
      <c r="AH2025" s="15" t="str">
        <f t="shared" si="2"/>
        <v/>
      </c>
      <c r="AI2025" s="17" t="str">
        <f>IF(AG2025="","",INDEX('quitado Despesa'!$G$1:$G$12,AG2025))</f>
        <v/>
      </c>
      <c r="AJ2025" s="17" t="str">
        <f t="shared" si="3"/>
        <v/>
      </c>
    </row>
    <row r="2026" spans="31:36">
      <c r="AE2026" s="15" t="str">
        <f t="shared" si="0"/>
        <v/>
      </c>
      <c r="AF2026" s="15" t="str">
        <f t="shared" si="1"/>
        <v/>
      </c>
      <c r="AG2026" s="15" t="str">
        <f>IF(OR(AF2026="",AF2026="ERRO_CHAVE"),"",IFERROR(MATCH(AF2026,'quitado Despesa'!$V$1:$V$12,0),""))</f>
        <v/>
      </c>
      <c r="AH2026" s="15" t="str">
        <f t="shared" si="2"/>
        <v/>
      </c>
      <c r="AI2026" s="17" t="str">
        <f>IF(AG2026="","",INDEX('quitado Despesa'!$G$1:$G$12,AG2026))</f>
        <v/>
      </c>
      <c r="AJ2026" s="17" t="str">
        <f t="shared" si="3"/>
        <v/>
      </c>
    </row>
    <row r="2027" spans="31:36">
      <c r="AE2027" s="15" t="str">
        <f t="shared" si="0"/>
        <v/>
      </c>
      <c r="AF2027" s="15" t="str">
        <f t="shared" si="1"/>
        <v/>
      </c>
      <c r="AG2027" s="15" t="str">
        <f>IF(OR(AF2027="",AF2027="ERRO_CHAVE"),"",IFERROR(MATCH(AF2027,'quitado Despesa'!$V$1:$V$12,0),""))</f>
        <v/>
      </c>
      <c r="AH2027" s="15" t="str">
        <f t="shared" si="2"/>
        <v/>
      </c>
      <c r="AI2027" s="17" t="str">
        <f>IF(AG2027="","",INDEX('quitado Despesa'!$G$1:$G$12,AG2027))</f>
        <v/>
      </c>
      <c r="AJ2027" s="17" t="str">
        <f t="shared" si="3"/>
        <v/>
      </c>
    </row>
    <row r="2028" spans="31:36">
      <c r="AE2028" s="15" t="str">
        <f t="shared" si="0"/>
        <v/>
      </c>
      <c r="AF2028" s="15" t="str">
        <f t="shared" si="1"/>
        <v/>
      </c>
      <c r="AG2028" s="15" t="str">
        <f>IF(OR(AF2028="",AF2028="ERRO_CHAVE"),"",IFERROR(MATCH(AF2028,'quitado Despesa'!$V$1:$V$12,0),""))</f>
        <v/>
      </c>
      <c r="AH2028" s="15" t="str">
        <f t="shared" si="2"/>
        <v/>
      </c>
      <c r="AI2028" s="17" t="str">
        <f>IF(AG2028="","",INDEX('quitado Despesa'!$G$1:$G$12,AG2028))</f>
        <v/>
      </c>
      <c r="AJ2028" s="17" t="str">
        <f t="shared" si="3"/>
        <v/>
      </c>
    </row>
    <row r="2029" spans="31:36">
      <c r="AE2029" s="15" t="str">
        <f t="shared" si="0"/>
        <v/>
      </c>
      <c r="AF2029" s="15" t="str">
        <f t="shared" si="1"/>
        <v/>
      </c>
      <c r="AG2029" s="15" t="str">
        <f>IF(OR(AF2029="",AF2029="ERRO_CHAVE"),"",IFERROR(MATCH(AF2029,'quitado Despesa'!$V$1:$V$12,0),""))</f>
        <v/>
      </c>
      <c r="AH2029" s="15" t="str">
        <f t="shared" si="2"/>
        <v/>
      </c>
      <c r="AI2029" s="17" t="str">
        <f>IF(AG2029="","",INDEX('quitado Despesa'!$G$1:$G$12,AG2029))</f>
        <v/>
      </c>
      <c r="AJ2029" s="17" t="str">
        <f t="shared" si="3"/>
        <v/>
      </c>
    </row>
    <row r="2030" spans="31:36">
      <c r="AE2030" s="15" t="str">
        <f t="shared" si="0"/>
        <v/>
      </c>
      <c r="AF2030" s="15" t="str">
        <f t="shared" si="1"/>
        <v/>
      </c>
      <c r="AG2030" s="15" t="str">
        <f>IF(OR(AF2030="",AF2030="ERRO_CHAVE"),"",IFERROR(MATCH(AF2030,'quitado Despesa'!$V$1:$V$12,0),""))</f>
        <v/>
      </c>
      <c r="AH2030" s="15" t="str">
        <f t="shared" si="2"/>
        <v/>
      </c>
      <c r="AI2030" s="17" t="str">
        <f>IF(AG2030="","",INDEX('quitado Despesa'!$G$1:$G$12,AG2030))</f>
        <v/>
      </c>
      <c r="AJ2030" s="17" t="str">
        <f t="shared" si="3"/>
        <v/>
      </c>
    </row>
    <row r="2031" spans="31:36">
      <c r="AE2031" s="15" t="str">
        <f t="shared" si="0"/>
        <v/>
      </c>
      <c r="AF2031" s="15" t="str">
        <f t="shared" si="1"/>
        <v/>
      </c>
      <c r="AG2031" s="15" t="str">
        <f>IF(OR(AF2031="",AF2031="ERRO_CHAVE"),"",IFERROR(MATCH(AF2031,'quitado Despesa'!$V$1:$V$12,0),""))</f>
        <v/>
      </c>
      <c r="AH2031" s="15" t="str">
        <f t="shared" si="2"/>
        <v/>
      </c>
      <c r="AI2031" s="17" t="str">
        <f>IF(AG2031="","",INDEX('quitado Despesa'!$G$1:$G$12,AG2031))</f>
        <v/>
      </c>
      <c r="AJ2031" s="17" t="str">
        <f t="shared" si="3"/>
        <v/>
      </c>
    </row>
    <row r="2032" spans="31:36">
      <c r="AE2032" s="15" t="str">
        <f t="shared" si="0"/>
        <v/>
      </c>
      <c r="AF2032" s="15" t="str">
        <f t="shared" si="1"/>
        <v/>
      </c>
      <c r="AG2032" s="15" t="str">
        <f>IF(OR(AF2032="",AF2032="ERRO_CHAVE"),"",IFERROR(MATCH(AF2032,'quitado Despesa'!$V$1:$V$12,0),""))</f>
        <v/>
      </c>
      <c r="AH2032" s="15" t="str">
        <f t="shared" si="2"/>
        <v/>
      </c>
      <c r="AI2032" s="17" t="str">
        <f>IF(AG2032="","",INDEX('quitado Despesa'!$G$1:$G$12,AG2032))</f>
        <v/>
      </c>
      <c r="AJ2032" s="17" t="str">
        <f t="shared" si="3"/>
        <v/>
      </c>
    </row>
    <row r="2033" spans="31:36">
      <c r="AE2033" s="15" t="str">
        <f t="shared" si="0"/>
        <v/>
      </c>
      <c r="AF2033" s="15" t="str">
        <f t="shared" si="1"/>
        <v/>
      </c>
      <c r="AG2033" s="15" t="str">
        <f>IF(OR(AF2033="",AF2033="ERRO_CHAVE"),"",IFERROR(MATCH(AF2033,'quitado Despesa'!$V$1:$V$12,0),""))</f>
        <v/>
      </c>
      <c r="AH2033" s="15" t="str">
        <f t="shared" si="2"/>
        <v/>
      </c>
      <c r="AI2033" s="17" t="str">
        <f>IF(AG2033="","",INDEX('quitado Despesa'!$G$1:$G$12,AG2033))</f>
        <v/>
      </c>
      <c r="AJ2033" s="17" t="str">
        <f t="shared" si="3"/>
        <v/>
      </c>
    </row>
    <row r="2034" spans="31:36">
      <c r="AE2034" s="15" t="str">
        <f t="shared" si="0"/>
        <v/>
      </c>
      <c r="AF2034" s="15" t="str">
        <f t="shared" si="1"/>
        <v/>
      </c>
      <c r="AG2034" s="15" t="str">
        <f>IF(OR(AF2034="",AF2034="ERRO_CHAVE"),"",IFERROR(MATCH(AF2034,'quitado Despesa'!$V$1:$V$12,0),""))</f>
        <v/>
      </c>
      <c r="AH2034" s="15" t="str">
        <f t="shared" si="2"/>
        <v/>
      </c>
      <c r="AI2034" s="17" t="str">
        <f>IF(AG2034="","",INDEX('quitado Despesa'!$G$1:$G$12,AG2034))</f>
        <v/>
      </c>
      <c r="AJ2034" s="17" t="str">
        <f t="shared" si="3"/>
        <v/>
      </c>
    </row>
    <row r="2035" spans="31:36">
      <c r="AE2035" s="15" t="str">
        <f t="shared" si="0"/>
        <v/>
      </c>
      <c r="AF2035" s="15" t="str">
        <f t="shared" si="1"/>
        <v/>
      </c>
      <c r="AG2035" s="15" t="str">
        <f>IF(OR(AF2035="",AF2035="ERRO_CHAVE"),"",IFERROR(MATCH(AF2035,'quitado Despesa'!$V$1:$V$12,0),""))</f>
        <v/>
      </c>
      <c r="AH2035" s="15" t="str">
        <f t="shared" si="2"/>
        <v/>
      </c>
      <c r="AI2035" s="17" t="str">
        <f>IF(AG2035="","",INDEX('quitado Despesa'!$G$1:$G$12,AG2035))</f>
        <v/>
      </c>
      <c r="AJ2035" s="17" t="str">
        <f t="shared" si="3"/>
        <v/>
      </c>
    </row>
    <row r="2036" spans="31:36">
      <c r="AE2036" s="15" t="str">
        <f t="shared" si="0"/>
        <v/>
      </c>
      <c r="AF2036" s="15" t="str">
        <f t="shared" si="1"/>
        <v/>
      </c>
      <c r="AG2036" s="15" t="str">
        <f>IF(OR(AF2036="",AF2036="ERRO_CHAVE"),"",IFERROR(MATCH(AF2036,'quitado Despesa'!$V$1:$V$12,0),""))</f>
        <v/>
      </c>
      <c r="AH2036" s="15" t="str">
        <f t="shared" si="2"/>
        <v/>
      </c>
      <c r="AI2036" s="17" t="str">
        <f>IF(AG2036="","",INDEX('quitado Despesa'!$G$1:$G$12,AG2036))</f>
        <v/>
      </c>
      <c r="AJ2036" s="17" t="str">
        <f t="shared" si="3"/>
        <v/>
      </c>
    </row>
    <row r="2037" spans="31:36">
      <c r="AE2037" s="15" t="str">
        <f t="shared" si="0"/>
        <v/>
      </c>
      <c r="AF2037" s="15" t="str">
        <f t="shared" si="1"/>
        <v/>
      </c>
      <c r="AG2037" s="15" t="str">
        <f>IF(OR(AF2037="",AF2037="ERRO_CHAVE"),"",IFERROR(MATCH(AF2037,'quitado Despesa'!$V$1:$V$12,0),""))</f>
        <v/>
      </c>
      <c r="AH2037" s="15" t="str">
        <f t="shared" si="2"/>
        <v/>
      </c>
      <c r="AI2037" s="17" t="str">
        <f>IF(AG2037="","",INDEX('quitado Despesa'!$G$1:$G$12,AG2037))</f>
        <v/>
      </c>
      <c r="AJ2037" s="17" t="str">
        <f t="shared" si="3"/>
        <v/>
      </c>
    </row>
    <row r="2038" spans="31:36">
      <c r="AE2038" s="15" t="str">
        <f t="shared" si="0"/>
        <v/>
      </c>
      <c r="AF2038" s="15" t="str">
        <f t="shared" si="1"/>
        <v/>
      </c>
      <c r="AG2038" s="15" t="str">
        <f>IF(OR(AF2038="",AF2038="ERRO_CHAVE"),"",IFERROR(MATCH(AF2038,'quitado Despesa'!$V$1:$V$12,0),""))</f>
        <v/>
      </c>
      <c r="AH2038" s="15" t="str">
        <f t="shared" si="2"/>
        <v/>
      </c>
      <c r="AI2038" s="17" t="str">
        <f>IF(AG2038="","",INDEX('quitado Despesa'!$G$1:$G$12,AG2038))</f>
        <v/>
      </c>
      <c r="AJ2038" s="17" t="str">
        <f t="shared" si="3"/>
        <v/>
      </c>
    </row>
    <row r="2039" spans="31:36">
      <c r="AE2039" s="15" t="str">
        <f t="shared" si="0"/>
        <v/>
      </c>
      <c r="AF2039" s="15" t="str">
        <f t="shared" si="1"/>
        <v/>
      </c>
      <c r="AG2039" s="15" t="str">
        <f>IF(OR(AF2039="",AF2039="ERRO_CHAVE"),"",IFERROR(MATCH(AF2039,'quitado Despesa'!$V$1:$V$12,0),""))</f>
        <v/>
      </c>
      <c r="AH2039" s="15" t="str">
        <f t="shared" si="2"/>
        <v/>
      </c>
      <c r="AI2039" s="17" t="str">
        <f>IF(AG2039="","",INDEX('quitado Despesa'!$G$1:$G$12,AG2039))</f>
        <v/>
      </c>
      <c r="AJ2039" s="17" t="str">
        <f t="shared" si="3"/>
        <v/>
      </c>
    </row>
    <row r="2040" spans="31:36">
      <c r="AE2040" s="15" t="str">
        <f t="shared" si="0"/>
        <v/>
      </c>
      <c r="AF2040" s="15" t="str">
        <f t="shared" si="1"/>
        <v/>
      </c>
      <c r="AG2040" s="15" t="str">
        <f>IF(OR(AF2040="",AF2040="ERRO_CHAVE"),"",IFERROR(MATCH(AF2040,'quitado Despesa'!$V$1:$V$12,0),""))</f>
        <v/>
      </c>
      <c r="AH2040" s="15" t="str">
        <f t="shared" si="2"/>
        <v/>
      </c>
      <c r="AI2040" s="17" t="str">
        <f>IF(AG2040="","",INDEX('quitado Despesa'!$G$1:$G$12,AG2040))</f>
        <v/>
      </c>
      <c r="AJ2040" s="17" t="str">
        <f t="shared" si="3"/>
        <v/>
      </c>
    </row>
    <row r="2041" spans="31:36">
      <c r="AE2041" s="15" t="str">
        <f t="shared" si="0"/>
        <v/>
      </c>
      <c r="AF2041" s="15" t="str">
        <f t="shared" si="1"/>
        <v/>
      </c>
      <c r="AG2041" s="15" t="str">
        <f>IF(OR(AF2041="",AF2041="ERRO_CHAVE"),"",IFERROR(MATCH(AF2041,'quitado Despesa'!$V$1:$V$12,0),""))</f>
        <v/>
      </c>
      <c r="AH2041" s="15" t="str">
        <f t="shared" si="2"/>
        <v/>
      </c>
      <c r="AI2041" s="17" t="str">
        <f>IF(AG2041="","",INDEX('quitado Despesa'!$G$1:$G$12,AG2041))</f>
        <v/>
      </c>
      <c r="AJ2041" s="17" t="str">
        <f t="shared" si="3"/>
        <v/>
      </c>
    </row>
    <row r="2042" spans="31:36">
      <c r="AE2042" s="15" t="str">
        <f t="shared" si="0"/>
        <v/>
      </c>
      <c r="AF2042" s="15" t="str">
        <f t="shared" si="1"/>
        <v/>
      </c>
      <c r="AG2042" s="15" t="str">
        <f>IF(OR(AF2042="",AF2042="ERRO_CHAVE"),"",IFERROR(MATCH(AF2042,'quitado Despesa'!$V$1:$V$12,0),""))</f>
        <v/>
      </c>
      <c r="AH2042" s="15" t="str">
        <f t="shared" si="2"/>
        <v/>
      </c>
      <c r="AI2042" s="17" t="str">
        <f>IF(AG2042="","",INDEX('quitado Despesa'!$G$1:$G$12,AG2042))</f>
        <v/>
      </c>
      <c r="AJ2042" s="17" t="str">
        <f t="shared" si="3"/>
        <v/>
      </c>
    </row>
    <row r="2043" spans="31:36">
      <c r="AE2043" s="15" t="str">
        <f t="shared" si="0"/>
        <v/>
      </c>
      <c r="AF2043" s="15" t="str">
        <f t="shared" si="1"/>
        <v/>
      </c>
      <c r="AG2043" s="15" t="str">
        <f>IF(OR(AF2043="",AF2043="ERRO_CHAVE"),"",IFERROR(MATCH(AF2043,'quitado Despesa'!$V$1:$V$12,0),""))</f>
        <v/>
      </c>
      <c r="AH2043" s="15" t="str">
        <f t="shared" si="2"/>
        <v/>
      </c>
      <c r="AI2043" s="17" t="str">
        <f>IF(AG2043="","",INDEX('quitado Despesa'!$G$1:$G$12,AG2043))</f>
        <v/>
      </c>
      <c r="AJ2043" s="17" t="str">
        <f t="shared" si="3"/>
        <v/>
      </c>
    </row>
    <row r="2044" spans="31:36">
      <c r="AE2044" s="15" t="str">
        <f t="shared" si="0"/>
        <v/>
      </c>
      <c r="AF2044" s="15" t="str">
        <f t="shared" si="1"/>
        <v/>
      </c>
      <c r="AG2044" s="15" t="str">
        <f>IF(OR(AF2044="",AF2044="ERRO_CHAVE"),"",IFERROR(MATCH(AF2044,'quitado Despesa'!$V$1:$V$12,0),""))</f>
        <v/>
      </c>
      <c r="AH2044" s="15" t="str">
        <f t="shared" si="2"/>
        <v/>
      </c>
      <c r="AI2044" s="17" t="str">
        <f>IF(AG2044="","",INDEX('quitado Despesa'!$G$1:$G$12,AG2044))</f>
        <v/>
      </c>
      <c r="AJ2044" s="17" t="str">
        <f t="shared" si="3"/>
        <v/>
      </c>
    </row>
    <row r="2045" spans="31:36">
      <c r="AE2045" s="15" t="str">
        <f t="shared" si="0"/>
        <v/>
      </c>
      <c r="AF2045" s="15" t="str">
        <f t="shared" si="1"/>
        <v/>
      </c>
      <c r="AG2045" s="15" t="str">
        <f>IF(OR(AF2045="",AF2045="ERRO_CHAVE"),"",IFERROR(MATCH(AF2045,'quitado Despesa'!$V$1:$V$12,0),""))</f>
        <v/>
      </c>
      <c r="AH2045" s="15" t="str">
        <f t="shared" si="2"/>
        <v/>
      </c>
      <c r="AI2045" s="17" t="str">
        <f>IF(AG2045="","",INDEX('quitado Despesa'!$G$1:$G$12,AG2045))</f>
        <v/>
      </c>
      <c r="AJ2045" s="17" t="str">
        <f t="shared" si="3"/>
        <v/>
      </c>
    </row>
    <row r="2046" spans="31:36">
      <c r="AE2046" s="15" t="str">
        <f t="shared" si="0"/>
        <v/>
      </c>
      <c r="AF2046" s="15" t="str">
        <f t="shared" si="1"/>
        <v/>
      </c>
      <c r="AG2046" s="15" t="str">
        <f>IF(OR(AF2046="",AF2046="ERRO_CHAVE"),"",IFERROR(MATCH(AF2046,'quitado Despesa'!$V$1:$V$12,0),""))</f>
        <v/>
      </c>
      <c r="AH2046" s="15" t="str">
        <f t="shared" si="2"/>
        <v/>
      </c>
      <c r="AI2046" s="17" t="str">
        <f>IF(AG2046="","",INDEX('quitado Despesa'!$G$1:$G$12,AG2046))</f>
        <v/>
      </c>
      <c r="AJ2046" s="17" t="str">
        <f t="shared" si="3"/>
        <v/>
      </c>
    </row>
    <row r="2047" spans="31:36">
      <c r="AE2047" s="15" t="str">
        <f t="shared" si="0"/>
        <v/>
      </c>
      <c r="AF2047" s="15" t="str">
        <f t="shared" si="1"/>
        <v/>
      </c>
      <c r="AG2047" s="15" t="str">
        <f>IF(OR(AF2047="",AF2047="ERRO_CHAVE"),"",IFERROR(MATCH(AF2047,'quitado Despesa'!$V$1:$V$12,0),""))</f>
        <v/>
      </c>
      <c r="AH2047" s="15" t="str">
        <f t="shared" si="2"/>
        <v/>
      </c>
      <c r="AI2047" s="17" t="str">
        <f>IF(AG2047="","",INDEX('quitado Despesa'!$G$1:$G$12,AG2047))</f>
        <v/>
      </c>
      <c r="AJ2047" s="17" t="str">
        <f t="shared" si="3"/>
        <v/>
      </c>
    </row>
    <row r="2048" spans="31:36">
      <c r="AE2048" s="15" t="str">
        <f t="shared" si="0"/>
        <v/>
      </c>
      <c r="AF2048" s="15" t="str">
        <f t="shared" si="1"/>
        <v/>
      </c>
      <c r="AG2048" s="15" t="str">
        <f>IF(OR(AF2048="",AF2048="ERRO_CHAVE"),"",IFERROR(MATCH(AF2048,'quitado Despesa'!$V$1:$V$12,0),""))</f>
        <v/>
      </c>
      <c r="AH2048" s="15" t="str">
        <f t="shared" si="2"/>
        <v/>
      </c>
      <c r="AI2048" s="17" t="str">
        <f>IF(AG2048="","",INDEX('quitado Despesa'!$G$1:$G$12,AG2048))</f>
        <v/>
      </c>
      <c r="AJ2048" s="17" t="str">
        <f t="shared" si="3"/>
        <v/>
      </c>
    </row>
    <row r="2049" spans="31:36">
      <c r="AE2049" s="15" t="str">
        <f t="shared" si="0"/>
        <v/>
      </c>
      <c r="AF2049" s="15" t="str">
        <f t="shared" si="1"/>
        <v/>
      </c>
      <c r="AG2049" s="15" t="str">
        <f>IF(OR(AF2049="",AF2049="ERRO_CHAVE"),"",IFERROR(MATCH(AF2049,'quitado Despesa'!$V$1:$V$12,0),""))</f>
        <v/>
      </c>
      <c r="AH2049" s="15" t="str">
        <f t="shared" si="2"/>
        <v/>
      </c>
      <c r="AI2049" s="17" t="str">
        <f>IF(AG2049="","",INDEX('quitado Despesa'!$G$1:$G$12,AG2049))</f>
        <v/>
      </c>
      <c r="AJ2049" s="17" t="str">
        <f t="shared" si="3"/>
        <v/>
      </c>
    </row>
    <row r="2050" spans="31:36">
      <c r="AE2050" s="15" t="str">
        <f t="shared" si="0"/>
        <v/>
      </c>
      <c r="AF2050" s="15" t="str">
        <f t="shared" si="1"/>
        <v/>
      </c>
      <c r="AG2050" s="15" t="str">
        <f>IF(OR(AF2050="",AF2050="ERRO_CHAVE"),"",IFERROR(MATCH(AF2050,'quitado Despesa'!$V$1:$V$12,0),""))</f>
        <v/>
      </c>
      <c r="AH2050" s="15" t="str">
        <f t="shared" si="2"/>
        <v/>
      </c>
      <c r="AI2050" s="17" t="str">
        <f>IF(AG2050="","",INDEX('quitado Despesa'!$G$1:$G$12,AG2050))</f>
        <v/>
      </c>
      <c r="AJ2050" s="17" t="str">
        <f t="shared" si="3"/>
        <v/>
      </c>
    </row>
    <row r="2051" spans="31:36">
      <c r="AE2051" s="15" t="str">
        <f t="shared" si="0"/>
        <v/>
      </c>
      <c r="AF2051" s="15" t="str">
        <f t="shared" si="1"/>
        <v/>
      </c>
      <c r="AG2051" s="15" t="str">
        <f>IF(OR(AF2051="",AF2051="ERRO_CHAVE"),"",IFERROR(MATCH(AF2051,'quitado Despesa'!$V$1:$V$12,0),""))</f>
        <v/>
      </c>
      <c r="AH2051" s="15" t="str">
        <f t="shared" si="2"/>
        <v/>
      </c>
      <c r="AI2051" s="17" t="str">
        <f>IF(AG2051="","",INDEX('quitado Despesa'!$G$1:$G$12,AG2051))</f>
        <v/>
      </c>
      <c r="AJ2051" s="17" t="str">
        <f t="shared" si="3"/>
        <v/>
      </c>
    </row>
    <row r="2052" spans="31:36">
      <c r="AE2052" s="15" t="str">
        <f t="shared" si="0"/>
        <v/>
      </c>
      <c r="AF2052" s="15" t="str">
        <f t="shared" si="1"/>
        <v/>
      </c>
      <c r="AG2052" s="15" t="str">
        <f>IF(OR(AF2052="",AF2052="ERRO_CHAVE"),"",IFERROR(MATCH(AF2052,'quitado Despesa'!$V$1:$V$12,0),""))</f>
        <v/>
      </c>
      <c r="AH2052" s="15" t="str">
        <f t="shared" si="2"/>
        <v/>
      </c>
      <c r="AI2052" s="17" t="str">
        <f>IF(AG2052="","",INDEX('quitado Despesa'!$G$1:$G$12,AG2052))</f>
        <v/>
      </c>
      <c r="AJ2052" s="17" t="str">
        <f t="shared" si="3"/>
        <v/>
      </c>
    </row>
    <row r="2053" spans="31:36">
      <c r="AE2053" s="15" t="str">
        <f t="shared" si="0"/>
        <v/>
      </c>
      <c r="AF2053" s="15" t="str">
        <f t="shared" si="1"/>
        <v/>
      </c>
      <c r="AG2053" s="15" t="str">
        <f>IF(OR(AF2053="",AF2053="ERRO_CHAVE"),"",IFERROR(MATCH(AF2053,'quitado Despesa'!$V$1:$V$12,0),""))</f>
        <v/>
      </c>
      <c r="AH2053" s="15" t="str">
        <f t="shared" si="2"/>
        <v/>
      </c>
      <c r="AI2053" s="17" t="str">
        <f>IF(AG2053="","",INDEX('quitado Despesa'!$G$1:$G$12,AG2053))</f>
        <v/>
      </c>
      <c r="AJ2053" s="17" t="str">
        <f t="shared" si="3"/>
        <v/>
      </c>
    </row>
    <row r="2054" spans="31:36">
      <c r="AE2054" s="15" t="str">
        <f t="shared" si="0"/>
        <v/>
      </c>
      <c r="AF2054" s="15" t="str">
        <f t="shared" si="1"/>
        <v/>
      </c>
      <c r="AG2054" s="15" t="str">
        <f>IF(OR(AF2054="",AF2054="ERRO_CHAVE"),"",IFERROR(MATCH(AF2054,'quitado Despesa'!$V$1:$V$12,0),""))</f>
        <v/>
      </c>
      <c r="AH2054" s="15" t="str">
        <f t="shared" si="2"/>
        <v/>
      </c>
      <c r="AI2054" s="17" t="str">
        <f>IF(AG2054="","",INDEX('quitado Despesa'!$G$1:$G$12,AG2054))</f>
        <v/>
      </c>
      <c r="AJ2054" s="17" t="str">
        <f t="shared" si="3"/>
        <v/>
      </c>
    </row>
    <row r="2055" spans="31:36">
      <c r="AE2055" s="15" t="str">
        <f t="shared" si="0"/>
        <v/>
      </c>
      <c r="AF2055" s="15" t="str">
        <f t="shared" si="1"/>
        <v/>
      </c>
      <c r="AG2055" s="15" t="str">
        <f>IF(OR(AF2055="",AF2055="ERRO_CHAVE"),"",IFERROR(MATCH(AF2055,'quitado Despesa'!$V$1:$V$12,0),""))</f>
        <v/>
      </c>
      <c r="AH2055" s="15" t="str">
        <f t="shared" si="2"/>
        <v/>
      </c>
      <c r="AI2055" s="17" t="str">
        <f>IF(AG2055="","",INDEX('quitado Despesa'!$G$1:$G$12,AG2055))</f>
        <v/>
      </c>
      <c r="AJ2055" s="17" t="str">
        <f t="shared" si="3"/>
        <v/>
      </c>
    </row>
    <row r="2056" spans="31:36">
      <c r="AE2056" s="15" t="str">
        <f t="shared" si="0"/>
        <v/>
      </c>
      <c r="AF2056" s="15" t="str">
        <f t="shared" si="1"/>
        <v/>
      </c>
      <c r="AG2056" s="15" t="str">
        <f>IF(OR(AF2056="",AF2056="ERRO_CHAVE"),"",IFERROR(MATCH(AF2056,'quitado Despesa'!$V$1:$V$12,0),""))</f>
        <v/>
      </c>
      <c r="AH2056" s="15" t="str">
        <f t="shared" si="2"/>
        <v/>
      </c>
      <c r="AI2056" s="17" t="str">
        <f>IF(AG2056="","",INDEX('quitado Despesa'!$G$1:$G$12,AG2056))</f>
        <v/>
      </c>
      <c r="AJ2056" s="17" t="str">
        <f t="shared" si="3"/>
        <v/>
      </c>
    </row>
    <row r="2057" spans="31:36">
      <c r="AE2057" s="15" t="str">
        <f t="shared" si="0"/>
        <v/>
      </c>
      <c r="AF2057" s="15" t="str">
        <f t="shared" si="1"/>
        <v/>
      </c>
      <c r="AG2057" s="15" t="str">
        <f>IF(OR(AF2057="",AF2057="ERRO_CHAVE"),"",IFERROR(MATCH(AF2057,'quitado Despesa'!$V$1:$V$12,0),""))</f>
        <v/>
      </c>
      <c r="AH2057" s="15" t="str">
        <f t="shared" si="2"/>
        <v/>
      </c>
      <c r="AI2057" s="17" t="str">
        <f>IF(AG2057="","",INDEX('quitado Despesa'!$G$1:$G$12,AG2057))</f>
        <v/>
      </c>
      <c r="AJ2057" s="17" t="str">
        <f t="shared" si="3"/>
        <v/>
      </c>
    </row>
    <row r="2058" spans="31:36">
      <c r="AE2058" s="15" t="str">
        <f t="shared" si="0"/>
        <v/>
      </c>
      <c r="AF2058" s="15" t="str">
        <f t="shared" si="1"/>
        <v/>
      </c>
      <c r="AG2058" s="15" t="str">
        <f>IF(OR(AF2058="",AF2058="ERRO_CHAVE"),"",IFERROR(MATCH(AF2058,'quitado Despesa'!$V$1:$V$12,0),""))</f>
        <v/>
      </c>
      <c r="AH2058" s="15" t="str">
        <f t="shared" si="2"/>
        <v/>
      </c>
      <c r="AI2058" s="17" t="str">
        <f>IF(AG2058="","",INDEX('quitado Despesa'!$G$1:$G$12,AG2058))</f>
        <v/>
      </c>
      <c r="AJ2058" s="17" t="str">
        <f t="shared" si="3"/>
        <v/>
      </c>
    </row>
    <row r="2059" spans="31:36">
      <c r="AE2059" s="15" t="str">
        <f t="shared" si="0"/>
        <v/>
      </c>
      <c r="AF2059" s="15" t="str">
        <f t="shared" si="1"/>
        <v/>
      </c>
      <c r="AG2059" s="15" t="str">
        <f>IF(OR(AF2059="",AF2059="ERRO_CHAVE"),"",IFERROR(MATCH(AF2059,'quitado Despesa'!$V$1:$V$12,0),""))</f>
        <v/>
      </c>
      <c r="AH2059" s="15" t="str">
        <f t="shared" si="2"/>
        <v/>
      </c>
      <c r="AI2059" s="17" t="str">
        <f>IF(AG2059="","",INDEX('quitado Despesa'!$G$1:$G$12,AG2059))</f>
        <v/>
      </c>
      <c r="AJ2059" s="17" t="str">
        <f t="shared" si="3"/>
        <v/>
      </c>
    </row>
    <row r="2060" spans="31:36">
      <c r="AE2060" s="15" t="str">
        <f t="shared" si="0"/>
        <v/>
      </c>
      <c r="AF2060" s="15" t="str">
        <f t="shared" si="1"/>
        <v/>
      </c>
      <c r="AG2060" s="15" t="str">
        <f>IF(OR(AF2060="",AF2060="ERRO_CHAVE"),"",IFERROR(MATCH(AF2060,'quitado Despesa'!$V$1:$V$12,0),""))</f>
        <v/>
      </c>
      <c r="AH2060" s="15" t="str">
        <f t="shared" si="2"/>
        <v/>
      </c>
      <c r="AI2060" s="17" t="str">
        <f>IF(AG2060="","",INDEX('quitado Despesa'!$G$1:$G$12,AG2060))</f>
        <v/>
      </c>
      <c r="AJ2060" s="17" t="str">
        <f t="shared" si="3"/>
        <v/>
      </c>
    </row>
    <row r="2061" spans="31:36">
      <c r="AE2061" s="15" t="str">
        <f t="shared" si="0"/>
        <v/>
      </c>
      <c r="AF2061" s="15" t="str">
        <f t="shared" si="1"/>
        <v/>
      </c>
      <c r="AG2061" s="15" t="str">
        <f>IF(OR(AF2061="",AF2061="ERRO_CHAVE"),"",IFERROR(MATCH(AF2061,'quitado Despesa'!$V$1:$V$12,0),""))</f>
        <v/>
      </c>
      <c r="AH2061" s="15" t="str">
        <f t="shared" si="2"/>
        <v/>
      </c>
      <c r="AI2061" s="17" t="str">
        <f>IF(AG2061="","",INDEX('quitado Despesa'!$G$1:$G$12,AG2061))</f>
        <v/>
      </c>
      <c r="AJ2061" s="17" t="str">
        <f t="shared" si="3"/>
        <v/>
      </c>
    </row>
    <row r="2062" spans="31:36">
      <c r="AE2062" s="15" t="str">
        <f t="shared" si="0"/>
        <v/>
      </c>
      <c r="AF2062" s="15" t="str">
        <f t="shared" si="1"/>
        <v/>
      </c>
      <c r="AG2062" s="15" t="str">
        <f>IF(OR(AF2062="",AF2062="ERRO_CHAVE"),"",IFERROR(MATCH(AF2062,'quitado Despesa'!$V$1:$V$12,0),""))</f>
        <v/>
      </c>
      <c r="AH2062" s="15" t="str">
        <f t="shared" si="2"/>
        <v/>
      </c>
      <c r="AI2062" s="17" t="str">
        <f>IF(AG2062="","",INDEX('quitado Despesa'!$G$1:$G$12,AG2062))</f>
        <v/>
      </c>
      <c r="AJ2062" s="17" t="str">
        <f t="shared" si="3"/>
        <v/>
      </c>
    </row>
    <row r="2063" spans="31:36">
      <c r="AE2063" s="15" t="str">
        <f t="shared" si="0"/>
        <v/>
      </c>
      <c r="AF2063" s="15" t="str">
        <f t="shared" si="1"/>
        <v/>
      </c>
      <c r="AG2063" s="15" t="str">
        <f>IF(OR(AF2063="",AF2063="ERRO_CHAVE"),"",IFERROR(MATCH(AF2063,'quitado Despesa'!$V$1:$V$12,0),""))</f>
        <v/>
      </c>
      <c r="AH2063" s="15" t="str">
        <f t="shared" si="2"/>
        <v/>
      </c>
      <c r="AI2063" s="17" t="str">
        <f>IF(AG2063="","",INDEX('quitado Despesa'!$G$1:$G$12,AG2063))</f>
        <v/>
      </c>
      <c r="AJ2063" s="17" t="str">
        <f t="shared" si="3"/>
        <v/>
      </c>
    </row>
    <row r="2064" spans="31:36">
      <c r="AE2064" s="15" t="str">
        <f t="shared" si="0"/>
        <v/>
      </c>
      <c r="AF2064" s="15" t="str">
        <f t="shared" si="1"/>
        <v/>
      </c>
      <c r="AG2064" s="15" t="str">
        <f>IF(OR(AF2064="",AF2064="ERRO_CHAVE"),"",IFERROR(MATCH(AF2064,'quitado Despesa'!$V$1:$V$12,0),""))</f>
        <v/>
      </c>
      <c r="AH2064" s="15" t="str">
        <f t="shared" si="2"/>
        <v/>
      </c>
      <c r="AI2064" s="17" t="str">
        <f>IF(AG2064="","",INDEX('quitado Despesa'!$G$1:$G$12,AG2064))</f>
        <v/>
      </c>
      <c r="AJ2064" s="17" t="str">
        <f t="shared" si="3"/>
        <v/>
      </c>
    </row>
    <row r="2065" spans="31:36">
      <c r="AE2065" s="15" t="str">
        <f t="shared" si="0"/>
        <v/>
      </c>
      <c r="AF2065" s="15" t="str">
        <f t="shared" si="1"/>
        <v/>
      </c>
      <c r="AG2065" s="15" t="str">
        <f>IF(OR(AF2065="",AF2065="ERRO_CHAVE"),"",IFERROR(MATCH(AF2065,'quitado Despesa'!$V$1:$V$12,0),""))</f>
        <v/>
      </c>
      <c r="AH2065" s="15" t="str">
        <f t="shared" si="2"/>
        <v/>
      </c>
      <c r="AI2065" s="17" t="str">
        <f>IF(AG2065="","",INDEX('quitado Despesa'!$G$1:$G$12,AG2065))</f>
        <v/>
      </c>
      <c r="AJ2065" s="17" t="str">
        <f t="shared" si="3"/>
        <v/>
      </c>
    </row>
    <row r="2066" spans="31:36">
      <c r="AE2066" s="15" t="str">
        <f t="shared" si="0"/>
        <v/>
      </c>
      <c r="AF2066" s="15" t="str">
        <f t="shared" si="1"/>
        <v/>
      </c>
      <c r="AG2066" s="15" t="str">
        <f>IF(OR(AF2066="",AF2066="ERRO_CHAVE"),"",IFERROR(MATCH(AF2066,'quitado Despesa'!$V$1:$V$12,0),""))</f>
        <v/>
      </c>
      <c r="AH2066" s="15" t="str">
        <f t="shared" si="2"/>
        <v/>
      </c>
      <c r="AI2066" s="17" t="str">
        <f>IF(AG2066="","",INDEX('quitado Despesa'!$G$1:$G$12,AG2066))</f>
        <v/>
      </c>
      <c r="AJ2066" s="17" t="str">
        <f t="shared" si="3"/>
        <v/>
      </c>
    </row>
    <row r="2067" spans="31:36">
      <c r="AE2067" s="15" t="str">
        <f t="shared" si="0"/>
        <v/>
      </c>
      <c r="AF2067" s="15" t="str">
        <f t="shared" si="1"/>
        <v/>
      </c>
      <c r="AG2067" s="15" t="str">
        <f>IF(OR(AF2067="",AF2067="ERRO_CHAVE"),"",IFERROR(MATCH(AF2067,'quitado Despesa'!$V$1:$V$12,0),""))</f>
        <v/>
      </c>
      <c r="AH2067" s="15" t="str">
        <f t="shared" si="2"/>
        <v/>
      </c>
      <c r="AI2067" s="17" t="str">
        <f>IF(AG2067="","",INDEX('quitado Despesa'!$G$1:$G$12,AG2067))</f>
        <v/>
      </c>
      <c r="AJ2067" s="17" t="str">
        <f t="shared" si="3"/>
        <v/>
      </c>
    </row>
    <row r="2068" spans="31:36">
      <c r="AE2068" s="15" t="str">
        <f t="shared" si="0"/>
        <v/>
      </c>
      <c r="AF2068" s="15" t="str">
        <f t="shared" si="1"/>
        <v/>
      </c>
      <c r="AG2068" s="15" t="str">
        <f>IF(OR(AF2068="",AF2068="ERRO_CHAVE"),"",IFERROR(MATCH(AF2068,'quitado Despesa'!$V$1:$V$12,0),""))</f>
        <v/>
      </c>
      <c r="AH2068" s="15" t="str">
        <f t="shared" si="2"/>
        <v/>
      </c>
      <c r="AI2068" s="17" t="str">
        <f>IF(AG2068="","",INDEX('quitado Despesa'!$G$1:$G$12,AG2068))</f>
        <v/>
      </c>
      <c r="AJ2068" s="17" t="str">
        <f t="shared" si="3"/>
        <v/>
      </c>
    </row>
    <row r="2069" spans="31:36">
      <c r="AE2069" s="15" t="str">
        <f t="shared" si="0"/>
        <v/>
      </c>
      <c r="AF2069" s="15" t="str">
        <f t="shared" si="1"/>
        <v/>
      </c>
      <c r="AG2069" s="15" t="str">
        <f>IF(OR(AF2069="",AF2069="ERRO_CHAVE"),"",IFERROR(MATCH(AF2069,'quitado Despesa'!$V$1:$V$12,0),""))</f>
        <v/>
      </c>
      <c r="AH2069" s="15" t="str">
        <f t="shared" si="2"/>
        <v/>
      </c>
      <c r="AI2069" s="17" t="str">
        <f>IF(AG2069="","",INDEX('quitado Despesa'!$G$1:$G$12,AG2069))</f>
        <v/>
      </c>
      <c r="AJ2069" s="17" t="str">
        <f t="shared" si="3"/>
        <v/>
      </c>
    </row>
    <row r="2070" spans="31:36">
      <c r="AE2070" s="15" t="str">
        <f t="shared" si="0"/>
        <v/>
      </c>
      <c r="AF2070" s="15" t="str">
        <f t="shared" si="1"/>
        <v/>
      </c>
      <c r="AG2070" s="15" t="str">
        <f>IF(OR(AF2070="",AF2070="ERRO_CHAVE"),"",IFERROR(MATCH(AF2070,'quitado Despesa'!$V$1:$V$12,0),""))</f>
        <v/>
      </c>
      <c r="AH2070" s="15" t="str">
        <f t="shared" si="2"/>
        <v/>
      </c>
      <c r="AI2070" s="17" t="str">
        <f>IF(AG2070="","",INDEX('quitado Despesa'!$G$1:$G$12,AG2070))</f>
        <v/>
      </c>
      <c r="AJ2070" s="17" t="str">
        <f t="shared" si="3"/>
        <v/>
      </c>
    </row>
    <row r="2071" spans="31:36">
      <c r="AE2071" s="15" t="str">
        <f t="shared" si="0"/>
        <v/>
      </c>
      <c r="AF2071" s="15" t="str">
        <f t="shared" si="1"/>
        <v/>
      </c>
      <c r="AG2071" s="15" t="str">
        <f>IF(OR(AF2071="",AF2071="ERRO_CHAVE"),"",IFERROR(MATCH(AF2071,'quitado Despesa'!$V$1:$V$12,0),""))</f>
        <v/>
      </c>
      <c r="AH2071" s="15" t="str">
        <f t="shared" si="2"/>
        <v/>
      </c>
      <c r="AI2071" s="17" t="str">
        <f>IF(AG2071="","",INDEX('quitado Despesa'!$G$1:$G$12,AG2071))</f>
        <v/>
      </c>
      <c r="AJ2071" s="17" t="str">
        <f t="shared" si="3"/>
        <v/>
      </c>
    </row>
    <row r="2072" spans="31:36">
      <c r="AE2072" s="15" t="str">
        <f t="shared" si="0"/>
        <v/>
      </c>
      <c r="AF2072" s="15" t="str">
        <f t="shared" si="1"/>
        <v/>
      </c>
      <c r="AG2072" s="15" t="str">
        <f>IF(OR(AF2072="",AF2072="ERRO_CHAVE"),"",IFERROR(MATCH(AF2072,'quitado Despesa'!$V$1:$V$12,0),""))</f>
        <v/>
      </c>
      <c r="AH2072" s="15" t="str">
        <f t="shared" si="2"/>
        <v/>
      </c>
      <c r="AI2072" s="17" t="str">
        <f>IF(AG2072="","",INDEX('quitado Despesa'!$G$1:$G$12,AG2072))</f>
        <v/>
      </c>
      <c r="AJ2072" s="17" t="str">
        <f t="shared" si="3"/>
        <v/>
      </c>
    </row>
    <row r="2073" spans="31:36">
      <c r="AE2073" s="15" t="str">
        <f t="shared" si="0"/>
        <v/>
      </c>
      <c r="AF2073" s="15" t="str">
        <f t="shared" si="1"/>
        <v/>
      </c>
      <c r="AG2073" s="15" t="str">
        <f>IF(OR(AF2073="",AF2073="ERRO_CHAVE"),"",IFERROR(MATCH(AF2073,'quitado Despesa'!$V$1:$V$12,0),""))</f>
        <v/>
      </c>
      <c r="AH2073" s="15" t="str">
        <f t="shared" si="2"/>
        <v/>
      </c>
      <c r="AI2073" s="17" t="str">
        <f>IF(AG2073="","",INDEX('quitado Despesa'!$G$1:$G$12,AG2073))</f>
        <v/>
      </c>
      <c r="AJ2073" s="17" t="str">
        <f t="shared" si="3"/>
        <v/>
      </c>
    </row>
    <row r="2074" spans="31:36">
      <c r="AE2074" s="15" t="str">
        <f t="shared" si="0"/>
        <v/>
      </c>
      <c r="AF2074" s="15" t="str">
        <f t="shared" si="1"/>
        <v/>
      </c>
      <c r="AG2074" s="15" t="str">
        <f>IF(OR(AF2074="",AF2074="ERRO_CHAVE"),"",IFERROR(MATCH(AF2074,'quitado Despesa'!$V$1:$V$12,0),""))</f>
        <v/>
      </c>
      <c r="AH2074" s="15" t="str">
        <f t="shared" si="2"/>
        <v/>
      </c>
      <c r="AI2074" s="17" t="str">
        <f>IF(AG2074="","",INDEX('quitado Despesa'!$G$1:$G$12,AG2074))</f>
        <v/>
      </c>
      <c r="AJ2074" s="17" t="str">
        <f t="shared" si="3"/>
        <v/>
      </c>
    </row>
    <row r="2075" spans="31:36">
      <c r="AE2075" s="15" t="str">
        <f t="shared" si="0"/>
        <v/>
      </c>
      <c r="AF2075" s="15" t="str">
        <f t="shared" si="1"/>
        <v/>
      </c>
      <c r="AG2075" s="15" t="str">
        <f>IF(OR(AF2075="",AF2075="ERRO_CHAVE"),"",IFERROR(MATCH(AF2075,'quitado Despesa'!$V$1:$V$12,0),""))</f>
        <v/>
      </c>
      <c r="AH2075" s="15" t="str">
        <f t="shared" si="2"/>
        <v/>
      </c>
      <c r="AI2075" s="17" t="str">
        <f>IF(AG2075="","",INDEX('quitado Despesa'!$G$1:$G$12,AG2075))</f>
        <v/>
      </c>
      <c r="AJ2075" s="17" t="str">
        <f t="shared" si="3"/>
        <v/>
      </c>
    </row>
    <row r="2076" spans="31:36">
      <c r="AE2076" s="15" t="str">
        <f t="shared" si="0"/>
        <v/>
      </c>
      <c r="AF2076" s="15" t="str">
        <f t="shared" si="1"/>
        <v/>
      </c>
      <c r="AG2076" s="15" t="str">
        <f>IF(OR(AF2076="",AF2076="ERRO_CHAVE"),"",IFERROR(MATCH(AF2076,'quitado Despesa'!$V$1:$V$12,0),""))</f>
        <v/>
      </c>
      <c r="AH2076" s="15" t="str">
        <f t="shared" si="2"/>
        <v/>
      </c>
      <c r="AI2076" s="17" t="str">
        <f>IF(AG2076="","",INDEX('quitado Despesa'!$G$1:$G$12,AG2076))</f>
        <v/>
      </c>
      <c r="AJ2076" s="17" t="str">
        <f t="shared" si="3"/>
        <v/>
      </c>
    </row>
    <row r="2077" spans="31:36">
      <c r="AE2077" s="15" t="str">
        <f t="shared" si="0"/>
        <v/>
      </c>
      <c r="AF2077" s="15" t="str">
        <f t="shared" si="1"/>
        <v/>
      </c>
      <c r="AG2077" s="15" t="str">
        <f>IF(OR(AF2077="",AF2077="ERRO_CHAVE"),"",IFERROR(MATCH(AF2077,'quitado Despesa'!$V$1:$V$12,0),""))</f>
        <v/>
      </c>
      <c r="AH2077" s="15" t="str">
        <f t="shared" si="2"/>
        <v/>
      </c>
      <c r="AI2077" s="17" t="str">
        <f>IF(AG2077="","",INDEX('quitado Despesa'!$G$1:$G$12,AG2077))</f>
        <v/>
      </c>
      <c r="AJ2077" s="17" t="str">
        <f t="shared" si="3"/>
        <v/>
      </c>
    </row>
    <row r="2078" spans="31:36">
      <c r="AE2078" s="15" t="str">
        <f t="shared" si="0"/>
        <v/>
      </c>
      <c r="AF2078" s="15" t="str">
        <f t="shared" si="1"/>
        <v/>
      </c>
      <c r="AG2078" s="15" t="str">
        <f>IF(OR(AF2078="",AF2078="ERRO_CHAVE"),"",IFERROR(MATCH(AF2078,'quitado Despesa'!$V$1:$V$12,0),""))</f>
        <v/>
      </c>
      <c r="AH2078" s="15" t="str">
        <f t="shared" si="2"/>
        <v/>
      </c>
      <c r="AI2078" s="17" t="str">
        <f>IF(AG2078="","",INDEX('quitado Despesa'!$G$1:$G$12,AG2078))</f>
        <v/>
      </c>
      <c r="AJ2078" s="17" t="str">
        <f t="shared" si="3"/>
        <v/>
      </c>
    </row>
    <row r="2079" spans="31:36">
      <c r="AE2079" s="15" t="str">
        <f t="shared" si="0"/>
        <v/>
      </c>
      <c r="AF2079" s="15" t="str">
        <f t="shared" si="1"/>
        <v/>
      </c>
      <c r="AG2079" s="15" t="str">
        <f>IF(OR(AF2079="",AF2079="ERRO_CHAVE"),"",IFERROR(MATCH(AF2079,'quitado Despesa'!$V$1:$V$12,0),""))</f>
        <v/>
      </c>
      <c r="AH2079" s="15" t="str">
        <f t="shared" si="2"/>
        <v/>
      </c>
      <c r="AI2079" s="17" t="str">
        <f>IF(AG2079="","",INDEX('quitado Despesa'!$G$1:$G$12,AG2079))</f>
        <v/>
      </c>
      <c r="AJ2079" s="17" t="str">
        <f t="shared" si="3"/>
        <v/>
      </c>
    </row>
    <row r="2080" spans="31:36">
      <c r="AE2080" s="15" t="str">
        <f t="shared" si="0"/>
        <v/>
      </c>
      <c r="AF2080" s="15" t="str">
        <f t="shared" si="1"/>
        <v/>
      </c>
      <c r="AG2080" s="15" t="str">
        <f>IF(OR(AF2080="",AF2080="ERRO_CHAVE"),"",IFERROR(MATCH(AF2080,'quitado Despesa'!$V$1:$V$12,0),""))</f>
        <v/>
      </c>
      <c r="AH2080" s="15" t="str">
        <f t="shared" si="2"/>
        <v/>
      </c>
      <c r="AI2080" s="17" t="str">
        <f>IF(AG2080="","",INDEX('quitado Despesa'!$G$1:$G$12,AG2080))</f>
        <v/>
      </c>
      <c r="AJ2080" s="17" t="str">
        <f t="shared" si="3"/>
        <v/>
      </c>
    </row>
    <row r="2081" spans="31:36">
      <c r="AE2081" s="15" t="str">
        <f t="shared" si="0"/>
        <v/>
      </c>
      <c r="AF2081" s="15" t="str">
        <f t="shared" si="1"/>
        <v/>
      </c>
      <c r="AG2081" s="15" t="str">
        <f>IF(OR(AF2081="",AF2081="ERRO_CHAVE"),"",IFERROR(MATCH(AF2081,'quitado Despesa'!$V$1:$V$12,0),""))</f>
        <v/>
      </c>
      <c r="AH2081" s="15" t="str">
        <f t="shared" si="2"/>
        <v/>
      </c>
      <c r="AI2081" s="17" t="str">
        <f>IF(AG2081="","",INDEX('quitado Despesa'!$G$1:$G$12,AG2081))</f>
        <v/>
      </c>
      <c r="AJ2081" s="17" t="str">
        <f t="shared" si="3"/>
        <v/>
      </c>
    </row>
    <row r="2082" spans="31:36">
      <c r="AE2082" s="15" t="str">
        <f t="shared" si="0"/>
        <v/>
      </c>
      <c r="AF2082" s="15" t="str">
        <f t="shared" si="1"/>
        <v/>
      </c>
      <c r="AG2082" s="15" t="str">
        <f>IF(OR(AF2082="",AF2082="ERRO_CHAVE"),"",IFERROR(MATCH(AF2082,'quitado Despesa'!$V$1:$V$12,0),""))</f>
        <v/>
      </c>
      <c r="AH2082" s="15" t="str">
        <f t="shared" si="2"/>
        <v/>
      </c>
      <c r="AI2082" s="17" t="str">
        <f>IF(AG2082="","",INDEX('quitado Despesa'!$G$1:$G$12,AG2082))</f>
        <v/>
      </c>
      <c r="AJ2082" s="17" t="str">
        <f t="shared" si="3"/>
        <v/>
      </c>
    </row>
    <row r="2083" spans="31:36">
      <c r="AE2083" s="15" t="str">
        <f t="shared" si="0"/>
        <v/>
      </c>
      <c r="AF2083" s="15" t="str">
        <f t="shared" si="1"/>
        <v/>
      </c>
      <c r="AG2083" s="15" t="str">
        <f>IF(OR(AF2083="",AF2083="ERRO_CHAVE"),"",IFERROR(MATCH(AF2083,'quitado Despesa'!$V$1:$V$12,0),""))</f>
        <v/>
      </c>
      <c r="AH2083" s="15" t="str">
        <f t="shared" si="2"/>
        <v/>
      </c>
      <c r="AI2083" s="17" t="str">
        <f>IF(AG2083="","",INDEX('quitado Despesa'!$G$1:$G$12,AG2083))</f>
        <v/>
      </c>
      <c r="AJ2083" s="17" t="str">
        <f t="shared" si="3"/>
        <v/>
      </c>
    </row>
    <row r="2084" spans="31:36">
      <c r="AE2084" s="15" t="str">
        <f t="shared" si="0"/>
        <v/>
      </c>
      <c r="AF2084" s="15" t="str">
        <f t="shared" si="1"/>
        <v/>
      </c>
      <c r="AG2084" s="15" t="str">
        <f>IF(OR(AF2084="",AF2084="ERRO_CHAVE"),"",IFERROR(MATCH(AF2084,'quitado Despesa'!$V$1:$V$12,0),""))</f>
        <v/>
      </c>
      <c r="AH2084" s="15" t="str">
        <f t="shared" si="2"/>
        <v/>
      </c>
      <c r="AI2084" s="17" t="str">
        <f>IF(AG2084="","",INDEX('quitado Despesa'!$G$1:$G$12,AG2084))</f>
        <v/>
      </c>
      <c r="AJ2084" s="17" t="str">
        <f t="shared" si="3"/>
        <v/>
      </c>
    </row>
    <row r="2085" spans="31:36">
      <c r="AE2085" s="15" t="str">
        <f t="shared" si="0"/>
        <v/>
      </c>
      <c r="AF2085" s="15" t="str">
        <f t="shared" si="1"/>
        <v/>
      </c>
      <c r="AG2085" s="15" t="str">
        <f>IF(OR(AF2085="",AF2085="ERRO_CHAVE"),"",IFERROR(MATCH(AF2085,'quitado Despesa'!$V$1:$V$12,0),""))</f>
        <v/>
      </c>
      <c r="AH2085" s="15" t="str">
        <f t="shared" si="2"/>
        <v/>
      </c>
      <c r="AI2085" s="17" t="str">
        <f>IF(AG2085="","",INDEX('quitado Despesa'!$G$1:$G$12,AG2085))</f>
        <v/>
      </c>
      <c r="AJ2085" s="17" t="str">
        <f t="shared" si="3"/>
        <v/>
      </c>
    </row>
    <row r="2086" spans="31:36">
      <c r="AE2086" s="15" t="str">
        <f t="shared" si="0"/>
        <v/>
      </c>
      <c r="AF2086" s="15" t="str">
        <f t="shared" si="1"/>
        <v/>
      </c>
      <c r="AG2086" s="15" t="str">
        <f>IF(OR(AF2086="",AF2086="ERRO_CHAVE"),"",IFERROR(MATCH(AF2086,'quitado Despesa'!$V$1:$V$12,0),""))</f>
        <v/>
      </c>
      <c r="AH2086" s="15" t="str">
        <f t="shared" si="2"/>
        <v/>
      </c>
      <c r="AI2086" s="17" t="str">
        <f>IF(AG2086="","",INDEX('quitado Despesa'!$G$1:$G$12,AG2086))</f>
        <v/>
      </c>
      <c r="AJ2086" s="17" t="str">
        <f t="shared" si="3"/>
        <v/>
      </c>
    </row>
    <row r="2087" spans="31:36">
      <c r="AE2087" s="15" t="str">
        <f t="shared" si="0"/>
        <v/>
      </c>
      <c r="AF2087" s="15" t="str">
        <f t="shared" si="1"/>
        <v/>
      </c>
      <c r="AG2087" s="15" t="str">
        <f>IF(OR(AF2087="",AF2087="ERRO_CHAVE"),"",IFERROR(MATCH(AF2087,'quitado Despesa'!$V$1:$V$12,0),""))</f>
        <v/>
      </c>
      <c r="AH2087" s="15" t="str">
        <f t="shared" si="2"/>
        <v/>
      </c>
      <c r="AI2087" s="17" t="str">
        <f>IF(AG2087="","",INDEX('quitado Despesa'!$G$1:$G$12,AG2087))</f>
        <v/>
      </c>
      <c r="AJ2087" s="17" t="str">
        <f t="shared" si="3"/>
        <v/>
      </c>
    </row>
    <row r="2088" spans="31:36">
      <c r="AE2088" s="15" t="str">
        <f t="shared" si="0"/>
        <v/>
      </c>
      <c r="AF2088" s="15" t="str">
        <f t="shared" si="1"/>
        <v/>
      </c>
      <c r="AG2088" s="15" t="str">
        <f>IF(OR(AF2088="",AF2088="ERRO_CHAVE"),"",IFERROR(MATCH(AF2088,'quitado Despesa'!$V$1:$V$12,0),""))</f>
        <v/>
      </c>
      <c r="AH2088" s="15" t="str">
        <f t="shared" si="2"/>
        <v/>
      </c>
      <c r="AI2088" s="17" t="str">
        <f>IF(AG2088="","",INDEX('quitado Despesa'!$G$1:$G$12,AG2088))</f>
        <v/>
      </c>
      <c r="AJ2088" s="17" t="str">
        <f t="shared" si="3"/>
        <v/>
      </c>
    </row>
    <row r="2089" spans="31:36">
      <c r="AE2089" s="15" t="str">
        <f t="shared" si="0"/>
        <v/>
      </c>
      <c r="AF2089" s="15" t="str">
        <f t="shared" si="1"/>
        <v/>
      </c>
      <c r="AG2089" s="15" t="str">
        <f>IF(OR(AF2089="",AF2089="ERRO_CHAVE"),"",IFERROR(MATCH(AF2089,'quitado Despesa'!$V$1:$V$12,0),""))</f>
        <v/>
      </c>
      <c r="AH2089" s="15" t="str">
        <f t="shared" si="2"/>
        <v/>
      </c>
      <c r="AI2089" s="17" t="str">
        <f>IF(AG2089="","",INDEX('quitado Despesa'!$G$1:$G$12,AG2089))</f>
        <v/>
      </c>
      <c r="AJ2089" s="17" t="str">
        <f t="shared" si="3"/>
        <v/>
      </c>
    </row>
    <row r="2090" spans="31:36">
      <c r="AE2090" s="15" t="str">
        <f t="shared" si="0"/>
        <v/>
      </c>
      <c r="AF2090" s="15" t="str">
        <f t="shared" si="1"/>
        <v/>
      </c>
      <c r="AG2090" s="15" t="str">
        <f>IF(OR(AF2090="",AF2090="ERRO_CHAVE"),"",IFERROR(MATCH(AF2090,'quitado Despesa'!$V$1:$V$12,0),""))</f>
        <v/>
      </c>
      <c r="AH2090" s="15" t="str">
        <f t="shared" si="2"/>
        <v/>
      </c>
      <c r="AI2090" s="17" t="str">
        <f>IF(AG2090="","",INDEX('quitado Despesa'!$G$1:$G$12,AG2090))</f>
        <v/>
      </c>
      <c r="AJ2090" s="17" t="str">
        <f t="shared" si="3"/>
        <v/>
      </c>
    </row>
    <row r="2091" spans="31:36">
      <c r="AE2091" s="15" t="str">
        <f t="shared" si="0"/>
        <v/>
      </c>
      <c r="AF2091" s="15" t="str">
        <f t="shared" si="1"/>
        <v/>
      </c>
      <c r="AG2091" s="15" t="str">
        <f>IF(OR(AF2091="",AF2091="ERRO_CHAVE"),"",IFERROR(MATCH(AF2091,'quitado Despesa'!$V$1:$V$12,0),""))</f>
        <v/>
      </c>
      <c r="AH2091" s="15" t="str">
        <f t="shared" si="2"/>
        <v/>
      </c>
      <c r="AI2091" s="17" t="str">
        <f>IF(AG2091="","",INDEX('quitado Despesa'!$G$1:$G$12,AG2091))</f>
        <v/>
      </c>
      <c r="AJ2091" s="17" t="str">
        <f t="shared" si="3"/>
        <v/>
      </c>
    </row>
    <row r="2092" spans="31:36">
      <c r="AE2092" s="15" t="str">
        <f t="shared" si="0"/>
        <v/>
      </c>
      <c r="AF2092" s="15" t="str">
        <f t="shared" si="1"/>
        <v/>
      </c>
      <c r="AG2092" s="15" t="str">
        <f>IF(OR(AF2092="",AF2092="ERRO_CHAVE"),"",IFERROR(MATCH(AF2092,'quitado Despesa'!$V$1:$V$12,0),""))</f>
        <v/>
      </c>
      <c r="AH2092" s="15" t="str">
        <f t="shared" si="2"/>
        <v/>
      </c>
      <c r="AI2092" s="17" t="str">
        <f>IF(AG2092="","",INDEX('quitado Despesa'!$G$1:$G$12,AG2092))</f>
        <v/>
      </c>
      <c r="AJ2092" s="17" t="str">
        <f t="shared" si="3"/>
        <v/>
      </c>
    </row>
    <row r="2093" spans="31:36">
      <c r="AE2093" s="15" t="str">
        <f t="shared" si="0"/>
        <v/>
      </c>
      <c r="AF2093" s="15" t="str">
        <f t="shared" si="1"/>
        <v/>
      </c>
      <c r="AG2093" s="15" t="str">
        <f>IF(OR(AF2093="",AF2093="ERRO_CHAVE"),"",IFERROR(MATCH(AF2093,'quitado Despesa'!$V$1:$V$12,0),""))</f>
        <v/>
      </c>
      <c r="AH2093" s="15" t="str">
        <f t="shared" si="2"/>
        <v/>
      </c>
      <c r="AI2093" s="17" t="str">
        <f>IF(AG2093="","",INDEX('quitado Despesa'!$G$1:$G$12,AG2093))</f>
        <v/>
      </c>
      <c r="AJ2093" s="17" t="str">
        <f t="shared" si="3"/>
        <v/>
      </c>
    </row>
    <row r="2094" spans="31:36">
      <c r="AE2094" s="15" t="str">
        <f t="shared" si="0"/>
        <v/>
      </c>
      <c r="AF2094" s="15" t="str">
        <f t="shared" si="1"/>
        <v/>
      </c>
      <c r="AG2094" s="15" t="str">
        <f>IF(OR(AF2094="",AF2094="ERRO_CHAVE"),"",IFERROR(MATCH(AF2094,'quitado Despesa'!$V$1:$V$12,0),""))</f>
        <v/>
      </c>
      <c r="AH2094" s="15" t="str">
        <f t="shared" si="2"/>
        <v/>
      </c>
      <c r="AI2094" s="17" t="str">
        <f>IF(AG2094="","",INDEX('quitado Despesa'!$G$1:$G$12,AG2094))</f>
        <v/>
      </c>
      <c r="AJ2094" s="17" t="str">
        <f t="shared" si="3"/>
        <v/>
      </c>
    </row>
    <row r="2095" spans="31:36">
      <c r="AE2095" s="15" t="str">
        <f t="shared" si="0"/>
        <v/>
      </c>
      <c r="AF2095" s="15" t="str">
        <f t="shared" si="1"/>
        <v/>
      </c>
      <c r="AG2095" s="15" t="str">
        <f>IF(OR(AF2095="",AF2095="ERRO_CHAVE"),"",IFERROR(MATCH(AF2095,'quitado Despesa'!$V$1:$V$12,0),""))</f>
        <v/>
      </c>
      <c r="AH2095" s="15" t="str">
        <f t="shared" si="2"/>
        <v/>
      </c>
      <c r="AI2095" s="17" t="str">
        <f>IF(AG2095="","",INDEX('quitado Despesa'!$G$1:$G$12,AG2095))</f>
        <v/>
      </c>
      <c r="AJ2095" s="17" t="str">
        <f t="shared" si="3"/>
        <v/>
      </c>
    </row>
    <row r="2096" spans="31:36">
      <c r="AE2096" s="15" t="str">
        <f t="shared" si="0"/>
        <v/>
      </c>
      <c r="AF2096" s="15" t="str">
        <f t="shared" si="1"/>
        <v/>
      </c>
      <c r="AG2096" s="15" t="str">
        <f>IF(OR(AF2096="",AF2096="ERRO_CHAVE"),"",IFERROR(MATCH(AF2096,'quitado Despesa'!$V$1:$V$12,0),""))</f>
        <v/>
      </c>
      <c r="AH2096" s="15" t="str">
        <f t="shared" si="2"/>
        <v/>
      </c>
      <c r="AI2096" s="17" t="str">
        <f>IF(AG2096="","",INDEX('quitado Despesa'!$G$1:$G$12,AG2096))</f>
        <v/>
      </c>
      <c r="AJ2096" s="17" t="str">
        <f t="shared" si="3"/>
        <v/>
      </c>
    </row>
    <row r="2097" spans="31:36">
      <c r="AE2097" s="15" t="str">
        <f t="shared" si="0"/>
        <v/>
      </c>
      <c r="AF2097" s="15" t="str">
        <f t="shared" si="1"/>
        <v/>
      </c>
      <c r="AG2097" s="15" t="str">
        <f>IF(OR(AF2097="",AF2097="ERRO_CHAVE"),"",IFERROR(MATCH(AF2097,'quitado Despesa'!$V$1:$V$12,0),""))</f>
        <v/>
      </c>
      <c r="AH2097" s="15" t="str">
        <f t="shared" si="2"/>
        <v/>
      </c>
      <c r="AI2097" s="17" t="str">
        <f>IF(AG2097="","",INDEX('quitado Despesa'!$G$1:$G$12,AG2097))</f>
        <v/>
      </c>
      <c r="AJ2097" s="17" t="str">
        <f t="shared" si="3"/>
        <v/>
      </c>
    </row>
    <row r="2098" spans="31:36">
      <c r="AE2098" s="15" t="str">
        <f t="shared" si="0"/>
        <v/>
      </c>
      <c r="AF2098" s="15" t="str">
        <f t="shared" si="1"/>
        <v/>
      </c>
      <c r="AG2098" s="15" t="str">
        <f>IF(OR(AF2098="",AF2098="ERRO_CHAVE"),"",IFERROR(MATCH(AF2098,'quitado Despesa'!$V$1:$V$12,0),""))</f>
        <v/>
      </c>
      <c r="AH2098" s="15" t="str">
        <f t="shared" si="2"/>
        <v/>
      </c>
      <c r="AI2098" s="17" t="str">
        <f>IF(AG2098="","",INDEX('quitado Despesa'!$G$1:$G$12,AG2098))</f>
        <v/>
      </c>
      <c r="AJ2098" s="17" t="str">
        <f t="shared" si="3"/>
        <v/>
      </c>
    </row>
    <row r="2099" spans="31:36">
      <c r="AE2099" s="15" t="str">
        <f t="shared" si="0"/>
        <v/>
      </c>
      <c r="AF2099" s="15" t="str">
        <f t="shared" si="1"/>
        <v/>
      </c>
      <c r="AG2099" s="15" t="str">
        <f>IF(OR(AF2099="",AF2099="ERRO_CHAVE"),"",IFERROR(MATCH(AF2099,'quitado Despesa'!$V$1:$V$12,0),""))</f>
        <v/>
      </c>
      <c r="AH2099" s="15" t="str">
        <f t="shared" si="2"/>
        <v/>
      </c>
      <c r="AI2099" s="17" t="str">
        <f>IF(AG2099="","",INDEX('quitado Despesa'!$G$1:$G$12,AG2099))</f>
        <v/>
      </c>
      <c r="AJ2099" s="17" t="str">
        <f t="shared" si="3"/>
        <v/>
      </c>
    </row>
    <row r="2100" spans="31:36">
      <c r="AE2100" s="15" t="str">
        <f t="shared" si="0"/>
        <v/>
      </c>
      <c r="AF2100" s="15" t="str">
        <f t="shared" si="1"/>
        <v/>
      </c>
      <c r="AG2100" s="15" t="str">
        <f>IF(OR(AF2100="",AF2100="ERRO_CHAVE"),"",IFERROR(MATCH(AF2100,'quitado Despesa'!$V$1:$V$12,0),""))</f>
        <v/>
      </c>
      <c r="AH2100" s="15" t="str">
        <f t="shared" si="2"/>
        <v/>
      </c>
      <c r="AI2100" s="17" t="str">
        <f>IF(AG2100="","",INDEX('quitado Despesa'!$G$1:$G$12,AG2100))</f>
        <v/>
      </c>
      <c r="AJ2100" s="17" t="str">
        <f t="shared" si="3"/>
        <v/>
      </c>
    </row>
    <row r="2101" spans="31:36">
      <c r="AE2101" s="15" t="str">
        <f t="shared" si="0"/>
        <v/>
      </c>
      <c r="AF2101" s="15" t="str">
        <f t="shared" si="1"/>
        <v/>
      </c>
      <c r="AG2101" s="15" t="str">
        <f>IF(OR(AF2101="",AF2101="ERRO_CHAVE"),"",IFERROR(MATCH(AF2101,'quitado Despesa'!$V$1:$V$12,0),""))</f>
        <v/>
      </c>
      <c r="AH2101" s="15" t="str">
        <f t="shared" si="2"/>
        <v/>
      </c>
      <c r="AI2101" s="17" t="str">
        <f>IF(AG2101="","",INDEX('quitado Despesa'!$G$1:$G$12,AG2101))</f>
        <v/>
      </c>
      <c r="AJ2101" s="17" t="str">
        <f t="shared" si="3"/>
        <v/>
      </c>
    </row>
    <row r="2102" spans="31:36">
      <c r="AE2102" s="15" t="str">
        <f t="shared" si="0"/>
        <v/>
      </c>
      <c r="AF2102" s="15" t="str">
        <f t="shared" si="1"/>
        <v/>
      </c>
      <c r="AG2102" s="15" t="str">
        <f>IF(OR(AF2102="",AF2102="ERRO_CHAVE"),"",IFERROR(MATCH(AF2102,'quitado Despesa'!$V$1:$V$12,0),""))</f>
        <v/>
      </c>
      <c r="AH2102" s="15" t="str">
        <f t="shared" si="2"/>
        <v/>
      </c>
      <c r="AI2102" s="17" t="str">
        <f>IF(AG2102="","",INDEX('quitado Despesa'!$G$1:$G$12,AG2102))</f>
        <v/>
      </c>
      <c r="AJ2102" s="17" t="str">
        <f t="shared" si="3"/>
        <v/>
      </c>
    </row>
    <row r="2103" spans="31:36">
      <c r="AE2103" s="15" t="str">
        <f t="shared" si="0"/>
        <v/>
      </c>
      <c r="AF2103" s="15" t="str">
        <f t="shared" si="1"/>
        <v/>
      </c>
      <c r="AG2103" s="15" t="str">
        <f>IF(OR(AF2103="",AF2103="ERRO_CHAVE"),"",IFERROR(MATCH(AF2103,'quitado Despesa'!$V$1:$V$12,0),""))</f>
        <v/>
      </c>
      <c r="AH2103" s="15" t="str">
        <f t="shared" si="2"/>
        <v/>
      </c>
      <c r="AI2103" s="17" t="str">
        <f>IF(AG2103="","",INDEX('quitado Despesa'!$G$1:$G$12,AG2103))</f>
        <v/>
      </c>
      <c r="AJ2103" s="17" t="str">
        <f t="shared" si="3"/>
        <v/>
      </c>
    </row>
    <row r="2104" spans="31:36">
      <c r="AE2104" s="15" t="str">
        <f t="shared" si="0"/>
        <v/>
      </c>
      <c r="AF2104" s="15" t="str">
        <f t="shared" si="1"/>
        <v/>
      </c>
      <c r="AG2104" s="15" t="str">
        <f>IF(OR(AF2104="",AF2104="ERRO_CHAVE"),"",IFERROR(MATCH(AF2104,'quitado Despesa'!$V$1:$V$12,0),""))</f>
        <v/>
      </c>
      <c r="AH2104" s="15" t="str">
        <f t="shared" si="2"/>
        <v/>
      </c>
      <c r="AI2104" s="17" t="str">
        <f>IF(AG2104="","",INDEX('quitado Despesa'!$G$1:$G$12,AG2104))</f>
        <v/>
      </c>
      <c r="AJ2104" s="17" t="str">
        <f t="shared" si="3"/>
        <v/>
      </c>
    </row>
    <row r="2105" spans="31:36">
      <c r="AE2105" s="15" t="str">
        <f t="shared" si="0"/>
        <v/>
      </c>
      <c r="AF2105" s="15" t="str">
        <f t="shared" si="1"/>
        <v/>
      </c>
      <c r="AG2105" s="15" t="str">
        <f>IF(OR(AF2105="",AF2105="ERRO_CHAVE"),"",IFERROR(MATCH(AF2105,'quitado Despesa'!$V$1:$V$12,0),""))</f>
        <v/>
      </c>
      <c r="AH2105" s="15" t="str">
        <f t="shared" si="2"/>
        <v/>
      </c>
      <c r="AI2105" s="17" t="str">
        <f>IF(AG2105="","",INDEX('quitado Despesa'!$G$1:$G$12,AG2105))</f>
        <v/>
      </c>
      <c r="AJ2105" s="17" t="str">
        <f t="shared" si="3"/>
        <v/>
      </c>
    </row>
    <row r="2106" spans="31:36">
      <c r="AE2106" s="15" t="str">
        <f t="shared" si="0"/>
        <v/>
      </c>
      <c r="AF2106" s="15" t="str">
        <f t="shared" si="1"/>
        <v/>
      </c>
      <c r="AG2106" s="15" t="str">
        <f>IF(OR(AF2106="",AF2106="ERRO_CHAVE"),"",IFERROR(MATCH(AF2106,'quitado Despesa'!$V$1:$V$12,0),""))</f>
        <v/>
      </c>
      <c r="AH2106" s="15" t="str">
        <f t="shared" si="2"/>
        <v/>
      </c>
      <c r="AI2106" s="17" t="str">
        <f>IF(AG2106="","",INDEX('quitado Despesa'!$G$1:$G$12,AG2106))</f>
        <v/>
      </c>
      <c r="AJ2106" s="17" t="str">
        <f t="shared" si="3"/>
        <v/>
      </c>
    </row>
    <row r="2107" spans="31:36">
      <c r="AE2107" s="15" t="str">
        <f t="shared" si="0"/>
        <v/>
      </c>
      <c r="AF2107" s="15" t="str">
        <f t="shared" si="1"/>
        <v/>
      </c>
      <c r="AG2107" s="15" t="str">
        <f>IF(OR(AF2107="",AF2107="ERRO_CHAVE"),"",IFERROR(MATCH(AF2107,'quitado Despesa'!$V$1:$V$12,0),""))</f>
        <v/>
      </c>
      <c r="AH2107" s="15" t="str">
        <f t="shared" si="2"/>
        <v/>
      </c>
      <c r="AI2107" s="17" t="str">
        <f>IF(AG2107="","",INDEX('quitado Despesa'!$G$1:$G$12,AG2107))</f>
        <v/>
      </c>
      <c r="AJ2107" s="17" t="str">
        <f t="shared" si="3"/>
        <v/>
      </c>
    </row>
    <row r="2108" spans="31:36">
      <c r="AE2108" s="15" t="str">
        <f t="shared" si="0"/>
        <v/>
      </c>
      <c r="AF2108" s="15" t="str">
        <f t="shared" si="1"/>
        <v/>
      </c>
      <c r="AG2108" s="15" t="str">
        <f>IF(OR(AF2108="",AF2108="ERRO_CHAVE"),"",IFERROR(MATCH(AF2108,'quitado Despesa'!$V$1:$V$12,0),""))</f>
        <v/>
      </c>
      <c r="AH2108" s="15" t="str">
        <f t="shared" si="2"/>
        <v/>
      </c>
      <c r="AI2108" s="17" t="str">
        <f>IF(AG2108="","",INDEX('quitado Despesa'!$G$1:$G$12,AG2108))</f>
        <v/>
      </c>
      <c r="AJ2108" s="17" t="str">
        <f t="shared" si="3"/>
        <v/>
      </c>
    </row>
    <row r="2109" spans="31:36">
      <c r="AE2109" s="15" t="str">
        <f t="shared" si="0"/>
        <v/>
      </c>
      <c r="AF2109" s="15" t="str">
        <f t="shared" si="1"/>
        <v/>
      </c>
      <c r="AG2109" s="15" t="str">
        <f>IF(OR(AF2109="",AF2109="ERRO_CHAVE"),"",IFERROR(MATCH(AF2109,'quitado Despesa'!$V$1:$V$12,0),""))</f>
        <v/>
      </c>
      <c r="AH2109" s="15" t="str">
        <f t="shared" si="2"/>
        <v/>
      </c>
      <c r="AI2109" s="17" t="str">
        <f>IF(AG2109="","",INDEX('quitado Despesa'!$G$1:$G$12,AG2109))</f>
        <v/>
      </c>
      <c r="AJ2109" s="17" t="str">
        <f t="shared" si="3"/>
        <v/>
      </c>
    </row>
    <row r="2110" spans="31:36">
      <c r="AE2110" s="15" t="str">
        <f t="shared" si="0"/>
        <v/>
      </c>
      <c r="AF2110" s="15" t="str">
        <f t="shared" si="1"/>
        <v/>
      </c>
      <c r="AG2110" s="15" t="str">
        <f>IF(OR(AF2110="",AF2110="ERRO_CHAVE"),"",IFERROR(MATCH(AF2110,'quitado Despesa'!$V$1:$V$12,0),""))</f>
        <v/>
      </c>
      <c r="AH2110" s="15" t="str">
        <f t="shared" si="2"/>
        <v/>
      </c>
      <c r="AI2110" s="17" t="str">
        <f>IF(AG2110="","",INDEX('quitado Despesa'!$G$1:$G$12,AG2110))</f>
        <v/>
      </c>
      <c r="AJ2110" s="17" t="str">
        <f t="shared" si="3"/>
        <v/>
      </c>
    </row>
    <row r="2111" spans="31:36">
      <c r="AE2111" s="15" t="str">
        <f t="shared" si="0"/>
        <v/>
      </c>
      <c r="AF2111" s="15" t="str">
        <f t="shared" si="1"/>
        <v/>
      </c>
      <c r="AG2111" s="15" t="str">
        <f>IF(OR(AF2111="",AF2111="ERRO_CHAVE"),"",IFERROR(MATCH(AF2111,'quitado Despesa'!$V$1:$V$12,0),""))</f>
        <v/>
      </c>
      <c r="AH2111" s="15" t="str">
        <f t="shared" si="2"/>
        <v/>
      </c>
      <c r="AI2111" s="17" t="str">
        <f>IF(AG2111="","",INDEX('quitado Despesa'!$G$1:$G$12,AG2111))</f>
        <v/>
      </c>
      <c r="AJ2111" s="17" t="str">
        <f t="shared" si="3"/>
        <v/>
      </c>
    </row>
    <row r="2112" spans="31:36">
      <c r="AE2112" s="15" t="str">
        <f t="shared" si="0"/>
        <v/>
      </c>
      <c r="AF2112" s="15" t="str">
        <f t="shared" si="1"/>
        <v/>
      </c>
      <c r="AG2112" s="15" t="str">
        <f>IF(OR(AF2112="",AF2112="ERRO_CHAVE"),"",IFERROR(MATCH(AF2112,'quitado Despesa'!$V$1:$V$12,0),""))</f>
        <v/>
      </c>
      <c r="AH2112" s="15" t="str">
        <f t="shared" si="2"/>
        <v/>
      </c>
      <c r="AI2112" s="17" t="str">
        <f>IF(AG2112="","",INDEX('quitado Despesa'!$G$1:$G$12,AG2112))</f>
        <v/>
      </c>
      <c r="AJ2112" s="17" t="str">
        <f t="shared" si="3"/>
        <v/>
      </c>
    </row>
    <row r="2113" spans="31:36">
      <c r="AE2113" s="15" t="str">
        <f t="shared" si="0"/>
        <v/>
      </c>
      <c r="AF2113" s="15" t="str">
        <f t="shared" si="1"/>
        <v/>
      </c>
      <c r="AG2113" s="15" t="str">
        <f>IF(OR(AF2113="",AF2113="ERRO_CHAVE"),"",IFERROR(MATCH(AF2113,'quitado Despesa'!$V$1:$V$12,0),""))</f>
        <v/>
      </c>
      <c r="AH2113" s="15" t="str">
        <f t="shared" si="2"/>
        <v/>
      </c>
      <c r="AI2113" s="17" t="str">
        <f>IF(AG2113="","",INDEX('quitado Despesa'!$G$1:$G$12,AG2113))</f>
        <v/>
      </c>
      <c r="AJ2113" s="17" t="str">
        <f t="shared" si="3"/>
        <v/>
      </c>
    </row>
    <row r="2114" spans="31:36">
      <c r="AE2114" s="15" t="str">
        <f t="shared" si="0"/>
        <v/>
      </c>
      <c r="AF2114" s="15" t="str">
        <f t="shared" si="1"/>
        <v/>
      </c>
      <c r="AG2114" s="15" t="str">
        <f>IF(OR(AF2114="",AF2114="ERRO_CHAVE"),"",IFERROR(MATCH(AF2114,'quitado Despesa'!$V$1:$V$12,0),""))</f>
        <v/>
      </c>
      <c r="AH2114" s="15" t="str">
        <f t="shared" si="2"/>
        <v/>
      </c>
      <c r="AI2114" s="17" t="str">
        <f>IF(AG2114="","",INDEX('quitado Despesa'!$G$1:$G$12,AG2114))</f>
        <v/>
      </c>
      <c r="AJ2114" s="17" t="str">
        <f t="shared" si="3"/>
        <v/>
      </c>
    </row>
    <row r="2115" spans="31:36">
      <c r="AE2115" s="15" t="str">
        <f t="shared" si="0"/>
        <v/>
      </c>
      <c r="AF2115" s="15" t="str">
        <f t="shared" si="1"/>
        <v/>
      </c>
      <c r="AG2115" s="15" t="str">
        <f>IF(OR(AF2115="",AF2115="ERRO_CHAVE"),"",IFERROR(MATCH(AF2115,'quitado Despesa'!$V$1:$V$12,0),""))</f>
        <v/>
      </c>
      <c r="AH2115" s="15" t="str">
        <f t="shared" si="2"/>
        <v/>
      </c>
      <c r="AI2115" s="17" t="str">
        <f>IF(AG2115="","",INDEX('quitado Despesa'!$G$1:$G$12,AG2115))</f>
        <v/>
      </c>
      <c r="AJ2115" s="17" t="str">
        <f t="shared" si="3"/>
        <v/>
      </c>
    </row>
    <row r="2116" spans="31:36">
      <c r="AE2116" s="15" t="str">
        <f t="shared" si="0"/>
        <v/>
      </c>
      <c r="AF2116" s="15" t="str">
        <f t="shared" si="1"/>
        <v/>
      </c>
      <c r="AG2116" s="15" t="str">
        <f>IF(OR(AF2116="",AF2116="ERRO_CHAVE"),"",IFERROR(MATCH(AF2116,'quitado Despesa'!$V$1:$V$12,0),""))</f>
        <v/>
      </c>
      <c r="AH2116" s="15" t="str">
        <f t="shared" si="2"/>
        <v/>
      </c>
      <c r="AI2116" s="17" t="str">
        <f>IF(AG2116="","",INDEX('quitado Despesa'!$G$1:$G$12,AG2116))</f>
        <v/>
      </c>
      <c r="AJ2116" s="17" t="str">
        <f t="shared" si="3"/>
        <v/>
      </c>
    </row>
    <row r="2117" spans="31:36">
      <c r="AE2117" s="15" t="str">
        <f t="shared" si="0"/>
        <v/>
      </c>
      <c r="AF2117" s="15" t="str">
        <f t="shared" si="1"/>
        <v/>
      </c>
      <c r="AG2117" s="15" t="str">
        <f>IF(OR(AF2117="",AF2117="ERRO_CHAVE"),"",IFERROR(MATCH(AF2117,'quitado Despesa'!$V$1:$V$12,0),""))</f>
        <v/>
      </c>
      <c r="AH2117" s="15" t="str">
        <f t="shared" si="2"/>
        <v/>
      </c>
      <c r="AI2117" s="17" t="str">
        <f>IF(AG2117="","",INDEX('quitado Despesa'!$G$1:$G$12,AG2117))</f>
        <v/>
      </c>
      <c r="AJ2117" s="17" t="str">
        <f t="shared" si="3"/>
        <v/>
      </c>
    </row>
    <row r="2118" spans="31:36">
      <c r="AE2118" s="15" t="str">
        <f t="shared" si="0"/>
        <v/>
      </c>
      <c r="AF2118" s="15" t="str">
        <f t="shared" si="1"/>
        <v/>
      </c>
      <c r="AG2118" s="15" t="str">
        <f>IF(OR(AF2118="",AF2118="ERRO_CHAVE"),"",IFERROR(MATCH(AF2118,'quitado Despesa'!$V$1:$V$12,0),""))</f>
        <v/>
      </c>
      <c r="AH2118" s="15" t="str">
        <f t="shared" si="2"/>
        <v/>
      </c>
      <c r="AI2118" s="17" t="str">
        <f>IF(AG2118="","",INDEX('quitado Despesa'!$G$1:$G$12,AG2118))</f>
        <v/>
      </c>
      <c r="AJ2118" s="17" t="str">
        <f t="shared" si="3"/>
        <v/>
      </c>
    </row>
    <row r="2119" spans="31:36">
      <c r="AE2119" s="15" t="str">
        <f t="shared" si="0"/>
        <v/>
      </c>
      <c r="AF2119" s="15" t="str">
        <f t="shared" si="1"/>
        <v/>
      </c>
      <c r="AG2119" s="15" t="str">
        <f>IF(OR(AF2119="",AF2119="ERRO_CHAVE"),"",IFERROR(MATCH(AF2119,'quitado Despesa'!$V$1:$V$12,0),""))</f>
        <v/>
      </c>
      <c r="AH2119" s="15" t="str">
        <f t="shared" si="2"/>
        <v/>
      </c>
      <c r="AI2119" s="17" t="str">
        <f>IF(AG2119="","",INDEX('quitado Despesa'!$G$1:$G$12,AG2119))</f>
        <v/>
      </c>
      <c r="AJ2119" s="17" t="str">
        <f t="shared" si="3"/>
        <v/>
      </c>
    </row>
    <row r="2120" spans="31:36">
      <c r="AE2120" s="15" t="str">
        <f t="shared" si="0"/>
        <v/>
      </c>
      <c r="AF2120" s="15" t="str">
        <f t="shared" si="1"/>
        <v/>
      </c>
      <c r="AG2120" s="15" t="str">
        <f>IF(OR(AF2120="",AF2120="ERRO_CHAVE"),"",IFERROR(MATCH(AF2120,'quitado Despesa'!$V$1:$V$12,0),""))</f>
        <v/>
      </c>
      <c r="AH2120" s="15" t="str">
        <f t="shared" si="2"/>
        <v/>
      </c>
      <c r="AI2120" s="17" t="str">
        <f>IF(AG2120="","",INDEX('quitado Despesa'!$G$1:$G$12,AG2120))</f>
        <v/>
      </c>
      <c r="AJ2120" s="17" t="str">
        <f t="shared" si="3"/>
        <v/>
      </c>
    </row>
    <row r="2121" spans="31:36">
      <c r="AE2121" s="15" t="str">
        <f t="shared" si="0"/>
        <v/>
      </c>
      <c r="AF2121" s="15" t="str">
        <f t="shared" si="1"/>
        <v/>
      </c>
      <c r="AG2121" s="15" t="str">
        <f>IF(OR(AF2121="",AF2121="ERRO_CHAVE"),"",IFERROR(MATCH(AF2121,'quitado Despesa'!$V$1:$V$12,0),""))</f>
        <v/>
      </c>
      <c r="AH2121" s="15" t="str">
        <f t="shared" si="2"/>
        <v/>
      </c>
      <c r="AI2121" s="17" t="str">
        <f>IF(AG2121="","",INDEX('quitado Despesa'!$G$1:$G$12,AG2121))</f>
        <v/>
      </c>
      <c r="AJ2121" s="17" t="str">
        <f t="shared" si="3"/>
        <v/>
      </c>
    </row>
    <row r="2122" spans="31:36">
      <c r="AE2122" s="15" t="str">
        <f t="shared" si="0"/>
        <v/>
      </c>
      <c r="AF2122" s="15" t="str">
        <f t="shared" si="1"/>
        <v/>
      </c>
      <c r="AG2122" s="15" t="str">
        <f>IF(OR(AF2122="",AF2122="ERRO_CHAVE"),"",IFERROR(MATCH(AF2122,'quitado Despesa'!$V$1:$V$12,0),""))</f>
        <v/>
      </c>
      <c r="AH2122" s="15" t="str">
        <f t="shared" si="2"/>
        <v/>
      </c>
      <c r="AI2122" s="17" t="str">
        <f>IF(AG2122="","",INDEX('quitado Despesa'!$G$1:$G$12,AG2122))</f>
        <v/>
      </c>
      <c r="AJ2122" s="17" t="str">
        <f t="shared" si="3"/>
        <v/>
      </c>
    </row>
    <row r="2123" spans="31:36">
      <c r="AE2123" s="15" t="str">
        <f t="shared" si="0"/>
        <v/>
      </c>
      <c r="AF2123" s="15" t="str">
        <f t="shared" si="1"/>
        <v/>
      </c>
      <c r="AG2123" s="15" t="str">
        <f>IF(OR(AF2123="",AF2123="ERRO_CHAVE"),"",IFERROR(MATCH(AF2123,'quitado Despesa'!$V$1:$V$12,0),""))</f>
        <v/>
      </c>
      <c r="AH2123" s="15" t="str">
        <f t="shared" si="2"/>
        <v/>
      </c>
      <c r="AI2123" s="17" t="str">
        <f>IF(AG2123="","",INDEX('quitado Despesa'!$G$1:$G$12,AG2123))</f>
        <v/>
      </c>
      <c r="AJ2123" s="17" t="str">
        <f t="shared" si="3"/>
        <v/>
      </c>
    </row>
    <row r="2124" spans="31:36">
      <c r="AE2124" s="15" t="str">
        <f t="shared" si="0"/>
        <v/>
      </c>
      <c r="AF2124" s="15" t="str">
        <f t="shared" si="1"/>
        <v/>
      </c>
      <c r="AG2124" s="15" t="str">
        <f>IF(OR(AF2124="",AF2124="ERRO_CHAVE"),"",IFERROR(MATCH(AF2124,'quitado Despesa'!$V$1:$V$12,0),""))</f>
        <v/>
      </c>
      <c r="AH2124" s="15" t="str">
        <f t="shared" si="2"/>
        <v/>
      </c>
      <c r="AI2124" s="17" t="str">
        <f>IF(AG2124="","",INDEX('quitado Despesa'!$G$1:$G$12,AG2124))</f>
        <v/>
      </c>
      <c r="AJ2124" s="17" t="str">
        <f t="shared" si="3"/>
        <v/>
      </c>
    </row>
    <row r="2125" spans="31:36">
      <c r="AE2125" s="15" t="str">
        <f t="shared" si="0"/>
        <v/>
      </c>
      <c r="AF2125" s="15" t="str">
        <f t="shared" si="1"/>
        <v/>
      </c>
      <c r="AG2125" s="15" t="str">
        <f>IF(OR(AF2125="",AF2125="ERRO_CHAVE"),"",IFERROR(MATCH(AF2125,'quitado Despesa'!$V$1:$V$12,0),""))</f>
        <v/>
      </c>
      <c r="AH2125" s="15" t="str">
        <f t="shared" si="2"/>
        <v/>
      </c>
      <c r="AI2125" s="17" t="str">
        <f>IF(AG2125="","",INDEX('quitado Despesa'!$G$1:$G$12,AG2125))</f>
        <v/>
      </c>
      <c r="AJ2125" s="17" t="str">
        <f t="shared" si="3"/>
        <v/>
      </c>
    </row>
    <row r="2126" spans="31:36">
      <c r="AE2126" s="15" t="str">
        <f t="shared" si="0"/>
        <v/>
      </c>
      <c r="AF2126" s="15" t="str">
        <f t="shared" si="1"/>
        <v/>
      </c>
      <c r="AG2126" s="15" t="str">
        <f>IF(OR(AF2126="",AF2126="ERRO_CHAVE"),"",IFERROR(MATCH(AF2126,'quitado Despesa'!$V$1:$V$12,0),""))</f>
        <v/>
      </c>
      <c r="AH2126" s="15" t="str">
        <f t="shared" si="2"/>
        <v/>
      </c>
      <c r="AI2126" s="17" t="str">
        <f>IF(AG2126="","",INDEX('quitado Despesa'!$G$1:$G$12,AG2126))</f>
        <v/>
      </c>
      <c r="AJ2126" s="17" t="str">
        <f t="shared" si="3"/>
        <v/>
      </c>
    </row>
    <row r="2127" spans="31:36">
      <c r="AE2127" s="15" t="str">
        <f t="shared" si="0"/>
        <v/>
      </c>
      <c r="AF2127" s="15" t="str">
        <f t="shared" si="1"/>
        <v/>
      </c>
      <c r="AG2127" s="15" t="str">
        <f>IF(OR(AF2127="",AF2127="ERRO_CHAVE"),"",IFERROR(MATCH(AF2127,'quitado Despesa'!$V$1:$V$12,0),""))</f>
        <v/>
      </c>
      <c r="AH2127" s="15" t="str">
        <f t="shared" si="2"/>
        <v/>
      </c>
      <c r="AI2127" s="17" t="str">
        <f>IF(AG2127="","",INDEX('quitado Despesa'!$G$1:$G$12,AG2127))</f>
        <v/>
      </c>
      <c r="AJ2127" s="17" t="str">
        <f t="shared" si="3"/>
        <v/>
      </c>
    </row>
    <row r="2128" spans="31:36">
      <c r="AE2128" s="15" t="str">
        <f t="shared" si="0"/>
        <v/>
      </c>
      <c r="AF2128" s="15" t="str">
        <f t="shared" si="1"/>
        <v/>
      </c>
      <c r="AG2128" s="15" t="str">
        <f>IF(OR(AF2128="",AF2128="ERRO_CHAVE"),"",IFERROR(MATCH(AF2128,'quitado Despesa'!$V$1:$V$12,0),""))</f>
        <v/>
      </c>
      <c r="AH2128" s="15" t="str">
        <f t="shared" si="2"/>
        <v/>
      </c>
      <c r="AI2128" s="17" t="str">
        <f>IF(AG2128="","",INDEX('quitado Despesa'!$G$1:$G$12,AG2128))</f>
        <v/>
      </c>
      <c r="AJ2128" s="17" t="str">
        <f t="shared" si="3"/>
        <v/>
      </c>
    </row>
    <row r="2129" spans="31:36">
      <c r="AE2129" s="15" t="str">
        <f t="shared" si="0"/>
        <v/>
      </c>
      <c r="AF2129" s="15" t="str">
        <f t="shared" si="1"/>
        <v/>
      </c>
      <c r="AG2129" s="15" t="str">
        <f>IF(OR(AF2129="",AF2129="ERRO_CHAVE"),"",IFERROR(MATCH(AF2129,'quitado Despesa'!$V$1:$V$12,0),""))</f>
        <v/>
      </c>
      <c r="AH2129" s="15" t="str">
        <f t="shared" si="2"/>
        <v/>
      </c>
      <c r="AI2129" s="17" t="str">
        <f>IF(AG2129="","",INDEX('quitado Despesa'!$G$1:$G$12,AG2129))</f>
        <v/>
      </c>
      <c r="AJ2129" s="17" t="str">
        <f t="shared" si="3"/>
        <v/>
      </c>
    </row>
    <row r="2130" spans="31:36">
      <c r="AE2130" s="15" t="str">
        <f t="shared" si="0"/>
        <v/>
      </c>
      <c r="AF2130" s="15" t="str">
        <f t="shared" si="1"/>
        <v/>
      </c>
      <c r="AG2130" s="15" t="str">
        <f>IF(OR(AF2130="",AF2130="ERRO_CHAVE"),"",IFERROR(MATCH(AF2130,'quitado Despesa'!$V$1:$V$12,0),""))</f>
        <v/>
      </c>
      <c r="AH2130" s="15" t="str">
        <f t="shared" si="2"/>
        <v/>
      </c>
      <c r="AI2130" s="17" t="str">
        <f>IF(AG2130="","",INDEX('quitado Despesa'!$G$1:$G$12,AG2130))</f>
        <v/>
      </c>
      <c r="AJ2130" s="17" t="str">
        <f t="shared" si="3"/>
        <v/>
      </c>
    </row>
    <row r="2131" spans="31:36">
      <c r="AE2131" s="15" t="str">
        <f t="shared" si="0"/>
        <v/>
      </c>
      <c r="AF2131" s="15" t="str">
        <f t="shared" si="1"/>
        <v/>
      </c>
      <c r="AG2131" s="15" t="str">
        <f>IF(OR(AF2131="",AF2131="ERRO_CHAVE"),"",IFERROR(MATCH(AF2131,'quitado Despesa'!$V$1:$V$12,0),""))</f>
        <v/>
      </c>
      <c r="AH2131" s="15" t="str">
        <f t="shared" si="2"/>
        <v/>
      </c>
      <c r="AI2131" s="17" t="str">
        <f>IF(AG2131="","",INDEX('quitado Despesa'!$G$1:$G$12,AG2131))</f>
        <v/>
      </c>
      <c r="AJ2131" s="17" t="str">
        <f t="shared" si="3"/>
        <v/>
      </c>
    </row>
    <row r="2132" spans="31:36">
      <c r="AE2132" s="15" t="str">
        <f t="shared" si="0"/>
        <v/>
      </c>
      <c r="AF2132" s="15" t="str">
        <f t="shared" si="1"/>
        <v/>
      </c>
      <c r="AG2132" s="15" t="str">
        <f>IF(OR(AF2132="",AF2132="ERRO_CHAVE"),"",IFERROR(MATCH(AF2132,'quitado Despesa'!$V$1:$V$12,0),""))</f>
        <v/>
      </c>
      <c r="AH2132" s="15" t="str">
        <f t="shared" si="2"/>
        <v/>
      </c>
      <c r="AI2132" s="17" t="str">
        <f>IF(AG2132="","",INDEX('quitado Despesa'!$G$1:$G$12,AG2132))</f>
        <v/>
      </c>
      <c r="AJ2132" s="17" t="str">
        <f t="shared" si="3"/>
        <v/>
      </c>
    </row>
    <row r="2133" spans="31:36">
      <c r="AE2133" s="15" t="str">
        <f t="shared" si="0"/>
        <v/>
      </c>
      <c r="AF2133" s="15" t="str">
        <f t="shared" si="1"/>
        <v/>
      </c>
      <c r="AG2133" s="15" t="str">
        <f>IF(OR(AF2133="",AF2133="ERRO_CHAVE"),"",IFERROR(MATCH(AF2133,'quitado Despesa'!$V$1:$V$12,0),""))</f>
        <v/>
      </c>
      <c r="AH2133" s="15" t="str">
        <f t="shared" si="2"/>
        <v/>
      </c>
      <c r="AI2133" s="17" t="str">
        <f>IF(AG2133="","",INDEX('quitado Despesa'!$G$1:$G$12,AG2133))</f>
        <v/>
      </c>
      <c r="AJ2133" s="17" t="str">
        <f t="shared" si="3"/>
        <v/>
      </c>
    </row>
    <row r="2134" spans="31:36">
      <c r="AE2134" s="15" t="str">
        <f t="shared" si="0"/>
        <v/>
      </c>
      <c r="AF2134" s="15" t="str">
        <f t="shared" si="1"/>
        <v/>
      </c>
      <c r="AG2134" s="15" t="str">
        <f>IF(OR(AF2134="",AF2134="ERRO_CHAVE"),"",IFERROR(MATCH(AF2134,'quitado Despesa'!$V$1:$V$12,0),""))</f>
        <v/>
      </c>
      <c r="AH2134" s="15" t="str">
        <f t="shared" si="2"/>
        <v/>
      </c>
      <c r="AI2134" s="17" t="str">
        <f>IF(AG2134="","",INDEX('quitado Despesa'!$G$1:$G$12,AG2134))</f>
        <v/>
      </c>
      <c r="AJ2134" s="17" t="str">
        <f t="shared" si="3"/>
        <v/>
      </c>
    </row>
    <row r="2135" spans="31:36">
      <c r="AE2135" s="15" t="str">
        <f t="shared" si="0"/>
        <v/>
      </c>
      <c r="AF2135" s="15" t="str">
        <f t="shared" si="1"/>
        <v/>
      </c>
      <c r="AG2135" s="15" t="str">
        <f>IF(OR(AF2135="",AF2135="ERRO_CHAVE"),"",IFERROR(MATCH(AF2135,'quitado Despesa'!$V$1:$V$12,0),""))</f>
        <v/>
      </c>
      <c r="AH2135" s="15" t="str">
        <f t="shared" si="2"/>
        <v/>
      </c>
      <c r="AI2135" s="17" t="str">
        <f>IF(AG2135="","",INDEX('quitado Despesa'!$G$1:$G$12,AG2135))</f>
        <v/>
      </c>
      <c r="AJ2135" s="17" t="str">
        <f t="shared" si="3"/>
        <v/>
      </c>
    </row>
    <row r="2136" spans="31:36">
      <c r="AE2136" s="15" t="str">
        <f t="shared" si="0"/>
        <v/>
      </c>
      <c r="AF2136" s="15" t="str">
        <f t="shared" si="1"/>
        <v/>
      </c>
      <c r="AG2136" s="15" t="str">
        <f>IF(OR(AF2136="",AF2136="ERRO_CHAVE"),"",IFERROR(MATCH(AF2136,'quitado Despesa'!$V$1:$V$12,0),""))</f>
        <v/>
      </c>
      <c r="AH2136" s="15" t="str">
        <f t="shared" si="2"/>
        <v/>
      </c>
      <c r="AI2136" s="17" t="str">
        <f>IF(AG2136="","",INDEX('quitado Despesa'!$G$1:$G$12,AG2136))</f>
        <v/>
      </c>
      <c r="AJ2136" s="17" t="str">
        <f t="shared" si="3"/>
        <v/>
      </c>
    </row>
    <row r="2137" spans="31:36">
      <c r="AE2137" s="15" t="str">
        <f t="shared" si="0"/>
        <v/>
      </c>
      <c r="AF2137" s="15" t="str">
        <f t="shared" si="1"/>
        <v/>
      </c>
      <c r="AG2137" s="15" t="str">
        <f>IF(OR(AF2137="",AF2137="ERRO_CHAVE"),"",IFERROR(MATCH(AF2137,'quitado Despesa'!$V$1:$V$12,0),""))</f>
        <v/>
      </c>
      <c r="AH2137" s="15" t="str">
        <f t="shared" si="2"/>
        <v/>
      </c>
      <c r="AI2137" s="17" t="str">
        <f>IF(AG2137="","",INDEX('quitado Despesa'!$G$1:$G$12,AG2137))</f>
        <v/>
      </c>
      <c r="AJ2137" s="17" t="str">
        <f t="shared" si="3"/>
        <v/>
      </c>
    </row>
    <row r="2138" spans="31:36">
      <c r="AE2138" s="15" t="str">
        <f t="shared" si="0"/>
        <v/>
      </c>
      <c r="AF2138" s="15" t="str">
        <f t="shared" si="1"/>
        <v/>
      </c>
      <c r="AG2138" s="15" t="str">
        <f>IF(OR(AF2138="",AF2138="ERRO_CHAVE"),"",IFERROR(MATCH(AF2138,'quitado Despesa'!$V$1:$V$12,0),""))</f>
        <v/>
      </c>
      <c r="AH2138" s="15" t="str">
        <f t="shared" si="2"/>
        <v/>
      </c>
      <c r="AI2138" s="17" t="str">
        <f>IF(AG2138="","",INDEX('quitado Despesa'!$G$1:$G$12,AG2138))</f>
        <v/>
      </c>
      <c r="AJ2138" s="17" t="str">
        <f t="shared" si="3"/>
        <v/>
      </c>
    </row>
    <row r="2139" spans="31:36">
      <c r="AE2139" s="15" t="str">
        <f t="shared" si="0"/>
        <v/>
      </c>
      <c r="AF2139" s="15" t="str">
        <f t="shared" si="1"/>
        <v/>
      </c>
      <c r="AG2139" s="15" t="str">
        <f>IF(OR(AF2139="",AF2139="ERRO_CHAVE"),"",IFERROR(MATCH(AF2139,'quitado Despesa'!$V$1:$V$12,0),""))</f>
        <v/>
      </c>
      <c r="AH2139" s="15" t="str">
        <f t="shared" si="2"/>
        <v/>
      </c>
      <c r="AI2139" s="17" t="str">
        <f>IF(AG2139="","",INDEX('quitado Despesa'!$G$1:$G$12,AG2139))</f>
        <v/>
      </c>
      <c r="AJ2139" s="17" t="str">
        <f t="shared" si="3"/>
        <v/>
      </c>
    </row>
    <row r="2140" spans="31:36">
      <c r="AE2140" s="15" t="str">
        <f t="shared" si="0"/>
        <v/>
      </c>
      <c r="AF2140" s="15" t="str">
        <f t="shared" si="1"/>
        <v/>
      </c>
      <c r="AG2140" s="15" t="str">
        <f>IF(OR(AF2140="",AF2140="ERRO_CHAVE"),"",IFERROR(MATCH(AF2140,'quitado Despesa'!$V$1:$V$12,0),""))</f>
        <v/>
      </c>
      <c r="AH2140" s="15" t="str">
        <f t="shared" si="2"/>
        <v/>
      </c>
      <c r="AI2140" s="17" t="str">
        <f>IF(AG2140="","",INDEX('quitado Despesa'!$G$1:$G$12,AG2140))</f>
        <v/>
      </c>
      <c r="AJ2140" s="17" t="str">
        <f t="shared" si="3"/>
        <v/>
      </c>
    </row>
    <row r="2141" spans="31:36">
      <c r="AE2141" s="15" t="str">
        <f t="shared" si="0"/>
        <v/>
      </c>
      <c r="AF2141" s="15" t="str">
        <f t="shared" si="1"/>
        <v/>
      </c>
      <c r="AG2141" s="15" t="str">
        <f>IF(OR(AF2141="",AF2141="ERRO_CHAVE"),"",IFERROR(MATCH(AF2141,'quitado Despesa'!$V$1:$V$12,0),""))</f>
        <v/>
      </c>
      <c r="AH2141" s="15" t="str">
        <f t="shared" si="2"/>
        <v/>
      </c>
      <c r="AI2141" s="17" t="str">
        <f>IF(AG2141="","",INDEX('quitado Despesa'!$G$1:$G$12,AG2141))</f>
        <v/>
      </c>
      <c r="AJ2141" s="17" t="str">
        <f t="shared" si="3"/>
        <v/>
      </c>
    </row>
    <row r="2142" spans="31:36">
      <c r="AE2142" s="15" t="str">
        <f t="shared" si="0"/>
        <v/>
      </c>
      <c r="AF2142" s="15" t="str">
        <f t="shared" si="1"/>
        <v/>
      </c>
      <c r="AG2142" s="15" t="str">
        <f>IF(OR(AF2142="",AF2142="ERRO_CHAVE"),"",IFERROR(MATCH(AF2142,'quitado Despesa'!$V$1:$V$12,0),""))</f>
        <v/>
      </c>
      <c r="AH2142" s="15" t="str">
        <f t="shared" si="2"/>
        <v/>
      </c>
      <c r="AI2142" s="17" t="str">
        <f>IF(AG2142="","",INDEX('quitado Despesa'!$G$1:$G$12,AG2142))</f>
        <v/>
      </c>
      <c r="AJ2142" s="17" t="str">
        <f t="shared" si="3"/>
        <v/>
      </c>
    </row>
    <row r="2143" spans="31:36">
      <c r="AE2143" s="15" t="str">
        <f t="shared" si="0"/>
        <v/>
      </c>
      <c r="AF2143" s="15" t="str">
        <f t="shared" si="1"/>
        <v/>
      </c>
      <c r="AG2143" s="15" t="str">
        <f>IF(OR(AF2143="",AF2143="ERRO_CHAVE"),"",IFERROR(MATCH(AF2143,'quitado Despesa'!$V$1:$V$12,0),""))</f>
        <v/>
      </c>
      <c r="AH2143" s="15" t="str">
        <f t="shared" si="2"/>
        <v/>
      </c>
      <c r="AI2143" s="17" t="str">
        <f>IF(AG2143="","",INDEX('quitado Despesa'!$G$1:$G$12,AG2143))</f>
        <v/>
      </c>
      <c r="AJ2143" s="17" t="str">
        <f t="shared" si="3"/>
        <v/>
      </c>
    </row>
    <row r="2144" spans="31:36">
      <c r="AE2144" s="15" t="str">
        <f t="shared" si="0"/>
        <v/>
      </c>
      <c r="AF2144" s="15" t="str">
        <f t="shared" si="1"/>
        <v/>
      </c>
      <c r="AG2144" s="15" t="str">
        <f>IF(OR(AF2144="",AF2144="ERRO_CHAVE"),"",IFERROR(MATCH(AF2144,'quitado Despesa'!$V$1:$V$12,0),""))</f>
        <v/>
      </c>
      <c r="AH2144" s="15" t="str">
        <f t="shared" si="2"/>
        <v/>
      </c>
      <c r="AI2144" s="17" t="str">
        <f>IF(AG2144="","",INDEX('quitado Despesa'!$G$1:$G$12,AG2144))</f>
        <v/>
      </c>
      <c r="AJ2144" s="17" t="str">
        <f t="shared" si="3"/>
        <v/>
      </c>
    </row>
    <row r="2145" spans="31:36">
      <c r="AE2145" s="15" t="str">
        <f t="shared" si="0"/>
        <v/>
      </c>
      <c r="AF2145" s="15" t="str">
        <f t="shared" si="1"/>
        <v/>
      </c>
      <c r="AG2145" s="15" t="str">
        <f>IF(OR(AF2145="",AF2145="ERRO_CHAVE"),"",IFERROR(MATCH(AF2145,'quitado Despesa'!$V$1:$V$12,0),""))</f>
        <v/>
      </c>
      <c r="AH2145" s="15" t="str">
        <f t="shared" si="2"/>
        <v/>
      </c>
      <c r="AI2145" s="17" t="str">
        <f>IF(AG2145="","",INDEX('quitado Despesa'!$G$1:$G$12,AG2145))</f>
        <v/>
      </c>
      <c r="AJ2145" s="17" t="str">
        <f t="shared" si="3"/>
        <v/>
      </c>
    </row>
    <row r="2146" spans="31:36">
      <c r="AE2146" s="15" t="str">
        <f t="shared" si="0"/>
        <v/>
      </c>
      <c r="AF2146" s="15" t="str">
        <f t="shared" si="1"/>
        <v/>
      </c>
      <c r="AG2146" s="15" t="str">
        <f>IF(OR(AF2146="",AF2146="ERRO_CHAVE"),"",IFERROR(MATCH(AF2146,'quitado Despesa'!$V$1:$V$12,0),""))</f>
        <v/>
      </c>
      <c r="AH2146" s="15" t="str">
        <f t="shared" si="2"/>
        <v/>
      </c>
      <c r="AI2146" s="17" t="str">
        <f>IF(AG2146="","",INDEX('quitado Despesa'!$G$1:$G$12,AG2146))</f>
        <v/>
      </c>
      <c r="AJ2146" s="17" t="str">
        <f t="shared" si="3"/>
        <v/>
      </c>
    </row>
    <row r="2147" spans="31:36">
      <c r="AE2147" s="15" t="str">
        <f t="shared" si="0"/>
        <v/>
      </c>
      <c r="AF2147" s="15" t="str">
        <f t="shared" si="1"/>
        <v/>
      </c>
      <c r="AG2147" s="15" t="str">
        <f>IF(OR(AF2147="",AF2147="ERRO_CHAVE"),"",IFERROR(MATCH(AF2147,'quitado Despesa'!$V$1:$V$12,0),""))</f>
        <v/>
      </c>
      <c r="AH2147" s="15" t="str">
        <f t="shared" si="2"/>
        <v/>
      </c>
      <c r="AI2147" s="17" t="str">
        <f>IF(AG2147="","",INDEX('quitado Despesa'!$G$1:$G$12,AG2147))</f>
        <v/>
      </c>
      <c r="AJ2147" s="17" t="str">
        <f t="shared" si="3"/>
        <v/>
      </c>
    </row>
    <row r="2148" spans="31:36">
      <c r="AE2148" s="15" t="str">
        <f t="shared" si="0"/>
        <v/>
      </c>
      <c r="AF2148" s="15" t="str">
        <f t="shared" si="1"/>
        <v/>
      </c>
      <c r="AG2148" s="15" t="str">
        <f>IF(OR(AF2148="",AF2148="ERRO_CHAVE"),"",IFERROR(MATCH(AF2148,'quitado Despesa'!$V$1:$V$12,0),""))</f>
        <v/>
      </c>
      <c r="AH2148" s="15" t="str">
        <f t="shared" si="2"/>
        <v/>
      </c>
      <c r="AI2148" s="17" t="str">
        <f>IF(AG2148="","",INDEX('quitado Despesa'!$G$1:$G$12,AG2148))</f>
        <v/>
      </c>
      <c r="AJ2148" s="17" t="str">
        <f t="shared" si="3"/>
        <v/>
      </c>
    </row>
    <row r="2149" spans="31:36">
      <c r="AE2149" s="15" t="str">
        <f t="shared" si="0"/>
        <v/>
      </c>
      <c r="AF2149" s="15" t="str">
        <f t="shared" si="1"/>
        <v/>
      </c>
      <c r="AG2149" s="15" t="str">
        <f>IF(OR(AF2149="",AF2149="ERRO_CHAVE"),"",IFERROR(MATCH(AF2149,'quitado Despesa'!$V$1:$V$12,0),""))</f>
        <v/>
      </c>
      <c r="AH2149" s="15" t="str">
        <f t="shared" si="2"/>
        <v/>
      </c>
      <c r="AI2149" s="17" t="str">
        <f>IF(AG2149="","",INDEX('quitado Despesa'!$G$1:$G$12,AG2149))</f>
        <v/>
      </c>
      <c r="AJ2149" s="17" t="str">
        <f t="shared" si="3"/>
        <v/>
      </c>
    </row>
    <row r="2150" spans="31:36">
      <c r="AE2150" s="15" t="str">
        <f t="shared" si="0"/>
        <v/>
      </c>
      <c r="AF2150" s="15" t="str">
        <f t="shared" si="1"/>
        <v/>
      </c>
      <c r="AG2150" s="15" t="str">
        <f>IF(OR(AF2150="",AF2150="ERRO_CHAVE"),"",IFERROR(MATCH(AF2150,'quitado Despesa'!$V$1:$V$12,0),""))</f>
        <v/>
      </c>
      <c r="AH2150" s="15" t="str">
        <f t="shared" si="2"/>
        <v/>
      </c>
      <c r="AI2150" s="17" t="str">
        <f>IF(AG2150="","",INDEX('quitado Despesa'!$G$1:$G$12,AG2150))</f>
        <v/>
      </c>
      <c r="AJ2150" s="17" t="str">
        <f t="shared" si="3"/>
        <v/>
      </c>
    </row>
    <row r="2151" spans="31:36">
      <c r="AE2151" s="15" t="str">
        <f t="shared" si="0"/>
        <v/>
      </c>
      <c r="AF2151" s="15" t="str">
        <f t="shared" si="1"/>
        <v/>
      </c>
      <c r="AG2151" s="15" t="str">
        <f>IF(OR(AF2151="",AF2151="ERRO_CHAVE"),"",IFERROR(MATCH(AF2151,'quitado Despesa'!$V$1:$V$12,0),""))</f>
        <v/>
      </c>
      <c r="AH2151" s="15" t="str">
        <f t="shared" si="2"/>
        <v/>
      </c>
      <c r="AI2151" s="17" t="str">
        <f>IF(AG2151="","",INDEX('quitado Despesa'!$G$1:$G$12,AG2151))</f>
        <v/>
      </c>
      <c r="AJ2151" s="17" t="str">
        <f t="shared" si="3"/>
        <v/>
      </c>
    </row>
    <row r="2152" spans="31:36">
      <c r="AE2152" s="15" t="str">
        <f t="shared" si="0"/>
        <v/>
      </c>
      <c r="AF2152" s="15" t="str">
        <f t="shared" si="1"/>
        <v/>
      </c>
      <c r="AG2152" s="15" t="str">
        <f>IF(OR(AF2152="",AF2152="ERRO_CHAVE"),"",IFERROR(MATCH(AF2152,'quitado Despesa'!$V$1:$V$12,0),""))</f>
        <v/>
      </c>
      <c r="AH2152" s="15" t="str">
        <f t="shared" si="2"/>
        <v/>
      </c>
      <c r="AI2152" s="17" t="str">
        <f>IF(AG2152="","",INDEX('quitado Despesa'!$G$1:$G$12,AG2152))</f>
        <v/>
      </c>
      <c r="AJ2152" s="17" t="str">
        <f t="shared" si="3"/>
        <v/>
      </c>
    </row>
    <row r="2153" spans="31:36">
      <c r="AE2153" s="15" t="str">
        <f t="shared" si="0"/>
        <v/>
      </c>
      <c r="AF2153" s="15" t="str">
        <f t="shared" si="1"/>
        <v/>
      </c>
      <c r="AG2153" s="15" t="str">
        <f>IF(OR(AF2153="",AF2153="ERRO_CHAVE"),"",IFERROR(MATCH(AF2153,'quitado Despesa'!$V$1:$V$12,0),""))</f>
        <v/>
      </c>
      <c r="AH2153" s="15" t="str">
        <f t="shared" si="2"/>
        <v/>
      </c>
      <c r="AI2153" s="17" t="str">
        <f>IF(AG2153="","",INDEX('quitado Despesa'!$G$1:$G$12,AG2153))</f>
        <v/>
      </c>
      <c r="AJ2153" s="17" t="str">
        <f t="shared" si="3"/>
        <v/>
      </c>
    </row>
    <row r="2154" spans="31:36">
      <c r="AE2154" s="15" t="str">
        <f t="shared" si="0"/>
        <v/>
      </c>
      <c r="AF2154" s="15" t="str">
        <f t="shared" si="1"/>
        <v/>
      </c>
      <c r="AG2154" s="15" t="str">
        <f>IF(OR(AF2154="",AF2154="ERRO_CHAVE"),"",IFERROR(MATCH(AF2154,'quitado Despesa'!$V$1:$V$12,0),""))</f>
        <v/>
      </c>
      <c r="AH2154" s="15" t="str">
        <f t="shared" si="2"/>
        <v/>
      </c>
      <c r="AI2154" s="17" t="str">
        <f>IF(AG2154="","",INDEX('quitado Despesa'!$G$1:$G$12,AG2154))</f>
        <v/>
      </c>
      <c r="AJ2154" s="17" t="str">
        <f t="shared" si="3"/>
        <v/>
      </c>
    </row>
    <row r="2155" spans="31:36">
      <c r="AE2155" s="15" t="str">
        <f t="shared" si="0"/>
        <v/>
      </c>
      <c r="AF2155" s="15" t="str">
        <f t="shared" si="1"/>
        <v/>
      </c>
      <c r="AG2155" s="15" t="str">
        <f>IF(OR(AF2155="",AF2155="ERRO_CHAVE"),"",IFERROR(MATCH(AF2155,'quitado Despesa'!$V$1:$V$12,0),""))</f>
        <v/>
      </c>
      <c r="AH2155" s="15" t="str">
        <f t="shared" si="2"/>
        <v/>
      </c>
      <c r="AI2155" s="17" t="str">
        <f>IF(AG2155="","",INDEX('quitado Despesa'!$G$1:$G$12,AG2155))</f>
        <v/>
      </c>
      <c r="AJ2155" s="17" t="str">
        <f t="shared" si="3"/>
        <v/>
      </c>
    </row>
    <row r="2156" spans="31:36">
      <c r="AE2156" s="15" t="str">
        <f t="shared" si="0"/>
        <v/>
      </c>
      <c r="AF2156" s="15" t="str">
        <f t="shared" si="1"/>
        <v/>
      </c>
      <c r="AG2156" s="15" t="str">
        <f>IF(OR(AF2156="",AF2156="ERRO_CHAVE"),"",IFERROR(MATCH(AF2156,'quitado Despesa'!$V$1:$V$12,0),""))</f>
        <v/>
      </c>
      <c r="AH2156" s="15" t="str">
        <f t="shared" si="2"/>
        <v/>
      </c>
      <c r="AI2156" s="17" t="str">
        <f>IF(AG2156="","",INDEX('quitado Despesa'!$G$1:$G$12,AG2156))</f>
        <v/>
      </c>
      <c r="AJ2156" s="17" t="str">
        <f t="shared" si="3"/>
        <v/>
      </c>
    </row>
    <row r="2157" spans="31:36">
      <c r="AE2157" s="15" t="str">
        <f t="shared" si="0"/>
        <v/>
      </c>
      <c r="AF2157" s="15" t="str">
        <f t="shared" si="1"/>
        <v/>
      </c>
      <c r="AG2157" s="15" t="str">
        <f>IF(OR(AF2157="",AF2157="ERRO_CHAVE"),"",IFERROR(MATCH(AF2157,'quitado Despesa'!$V$1:$V$12,0),""))</f>
        <v/>
      </c>
      <c r="AH2157" s="15" t="str">
        <f t="shared" si="2"/>
        <v/>
      </c>
      <c r="AI2157" s="17" t="str">
        <f>IF(AG2157="","",INDEX('quitado Despesa'!$G$1:$G$12,AG2157))</f>
        <v/>
      </c>
      <c r="AJ2157" s="17" t="str">
        <f t="shared" si="3"/>
        <v/>
      </c>
    </row>
    <row r="2158" spans="31:36">
      <c r="AE2158" s="15" t="str">
        <f t="shared" si="0"/>
        <v/>
      </c>
      <c r="AF2158" s="15" t="str">
        <f t="shared" si="1"/>
        <v/>
      </c>
      <c r="AG2158" s="15" t="str">
        <f>IF(OR(AF2158="",AF2158="ERRO_CHAVE"),"",IFERROR(MATCH(AF2158,'quitado Despesa'!$V$1:$V$12,0),""))</f>
        <v/>
      </c>
      <c r="AH2158" s="15" t="str">
        <f t="shared" si="2"/>
        <v/>
      </c>
      <c r="AI2158" s="17" t="str">
        <f>IF(AG2158="","",INDEX('quitado Despesa'!$G$1:$G$12,AG2158))</f>
        <v/>
      </c>
      <c r="AJ2158" s="17" t="str">
        <f t="shared" si="3"/>
        <v/>
      </c>
    </row>
    <row r="2159" spans="31:36">
      <c r="AE2159" s="15" t="str">
        <f t="shared" si="0"/>
        <v/>
      </c>
      <c r="AF2159" s="15" t="str">
        <f t="shared" si="1"/>
        <v/>
      </c>
      <c r="AG2159" s="15" t="str">
        <f>IF(OR(AF2159="",AF2159="ERRO_CHAVE"),"",IFERROR(MATCH(AF2159,'quitado Despesa'!$V$1:$V$12,0),""))</f>
        <v/>
      </c>
      <c r="AH2159" s="15" t="str">
        <f t="shared" si="2"/>
        <v/>
      </c>
      <c r="AI2159" s="17" t="str">
        <f>IF(AG2159="","",INDEX('quitado Despesa'!$G$1:$G$12,AG2159))</f>
        <v/>
      </c>
      <c r="AJ2159" s="17" t="str">
        <f t="shared" si="3"/>
        <v/>
      </c>
    </row>
    <row r="2160" spans="31:36">
      <c r="AE2160" s="15" t="str">
        <f t="shared" si="0"/>
        <v/>
      </c>
      <c r="AF2160" s="15" t="str">
        <f t="shared" si="1"/>
        <v/>
      </c>
      <c r="AG2160" s="15" t="str">
        <f>IF(OR(AF2160="",AF2160="ERRO_CHAVE"),"",IFERROR(MATCH(AF2160,'quitado Despesa'!$V$1:$V$12,0),""))</f>
        <v/>
      </c>
      <c r="AH2160" s="15" t="str">
        <f t="shared" si="2"/>
        <v/>
      </c>
      <c r="AI2160" s="17" t="str">
        <f>IF(AG2160="","",INDEX('quitado Despesa'!$G$1:$G$12,AG2160))</f>
        <v/>
      </c>
      <c r="AJ2160" s="17" t="str">
        <f t="shared" si="3"/>
        <v/>
      </c>
    </row>
    <row r="2161" spans="31:36">
      <c r="AE2161" s="15" t="str">
        <f t="shared" si="0"/>
        <v/>
      </c>
      <c r="AF2161" s="15" t="str">
        <f t="shared" si="1"/>
        <v/>
      </c>
      <c r="AG2161" s="15" t="str">
        <f>IF(OR(AF2161="",AF2161="ERRO_CHAVE"),"",IFERROR(MATCH(AF2161,'quitado Despesa'!$V$1:$V$12,0),""))</f>
        <v/>
      </c>
      <c r="AH2161" s="15" t="str">
        <f t="shared" si="2"/>
        <v/>
      </c>
      <c r="AI2161" s="17" t="str">
        <f>IF(AG2161="","",INDEX('quitado Despesa'!$G$1:$G$12,AG2161))</f>
        <v/>
      </c>
      <c r="AJ2161" s="17" t="str">
        <f t="shared" si="3"/>
        <v/>
      </c>
    </row>
    <row r="2162" spans="31:36">
      <c r="AE2162" s="15" t="str">
        <f t="shared" si="0"/>
        <v/>
      </c>
      <c r="AF2162" s="15" t="str">
        <f t="shared" si="1"/>
        <v/>
      </c>
      <c r="AG2162" s="15" t="str">
        <f>IF(OR(AF2162="",AF2162="ERRO_CHAVE"),"",IFERROR(MATCH(AF2162,'quitado Despesa'!$V$1:$V$12,0),""))</f>
        <v/>
      </c>
      <c r="AH2162" s="15" t="str">
        <f t="shared" si="2"/>
        <v/>
      </c>
      <c r="AI2162" s="17" t="str">
        <f>IF(AG2162="","",INDEX('quitado Despesa'!$G$1:$G$12,AG2162))</f>
        <v/>
      </c>
      <c r="AJ2162" s="17" t="str">
        <f t="shared" si="3"/>
        <v/>
      </c>
    </row>
    <row r="2163" spans="31:36">
      <c r="AE2163" s="15" t="str">
        <f t="shared" si="0"/>
        <v/>
      </c>
      <c r="AF2163" s="15" t="str">
        <f t="shared" si="1"/>
        <v/>
      </c>
      <c r="AG2163" s="15" t="str">
        <f>IF(OR(AF2163="",AF2163="ERRO_CHAVE"),"",IFERROR(MATCH(AF2163,'quitado Despesa'!$V$1:$V$12,0),""))</f>
        <v/>
      </c>
      <c r="AH2163" s="15" t="str">
        <f t="shared" si="2"/>
        <v/>
      </c>
      <c r="AI2163" s="17" t="str">
        <f>IF(AG2163="","",INDEX('quitado Despesa'!$G$1:$G$12,AG2163))</f>
        <v/>
      </c>
      <c r="AJ2163" s="17" t="str">
        <f t="shared" si="3"/>
        <v/>
      </c>
    </row>
    <row r="2164" spans="31:36">
      <c r="AE2164" s="15" t="str">
        <f t="shared" si="0"/>
        <v/>
      </c>
      <c r="AF2164" s="15" t="str">
        <f t="shared" si="1"/>
        <v/>
      </c>
      <c r="AG2164" s="15" t="str">
        <f>IF(OR(AF2164="",AF2164="ERRO_CHAVE"),"",IFERROR(MATCH(AF2164,'quitado Despesa'!$V$1:$V$12,0),""))</f>
        <v/>
      </c>
      <c r="AH2164" s="15" t="str">
        <f t="shared" si="2"/>
        <v/>
      </c>
      <c r="AI2164" s="17" t="str">
        <f>IF(AG2164="","",INDEX('quitado Despesa'!$G$1:$G$12,AG2164))</f>
        <v/>
      </c>
      <c r="AJ2164" s="17" t="str">
        <f t="shared" si="3"/>
        <v/>
      </c>
    </row>
    <row r="2165" spans="31:36">
      <c r="AE2165" s="15" t="str">
        <f t="shared" si="0"/>
        <v/>
      </c>
      <c r="AF2165" s="15" t="str">
        <f t="shared" si="1"/>
        <v/>
      </c>
      <c r="AG2165" s="15" t="str">
        <f>IF(OR(AF2165="",AF2165="ERRO_CHAVE"),"",IFERROR(MATCH(AF2165,'quitado Despesa'!$V$1:$V$12,0),""))</f>
        <v/>
      </c>
      <c r="AH2165" s="15" t="str">
        <f t="shared" si="2"/>
        <v/>
      </c>
      <c r="AI2165" s="17" t="str">
        <f>IF(AG2165="","",INDEX('quitado Despesa'!$G$1:$G$12,AG2165))</f>
        <v/>
      </c>
      <c r="AJ2165" s="17" t="str">
        <f t="shared" si="3"/>
        <v/>
      </c>
    </row>
    <row r="2166" spans="31:36">
      <c r="AE2166" s="15" t="str">
        <f t="shared" si="0"/>
        <v/>
      </c>
      <c r="AF2166" s="15" t="str">
        <f t="shared" si="1"/>
        <v/>
      </c>
      <c r="AG2166" s="15" t="str">
        <f>IF(OR(AF2166="",AF2166="ERRO_CHAVE"),"",IFERROR(MATCH(AF2166,'quitado Despesa'!$V$1:$V$12,0),""))</f>
        <v/>
      </c>
      <c r="AH2166" s="15" t="str">
        <f t="shared" si="2"/>
        <v/>
      </c>
      <c r="AI2166" s="17" t="str">
        <f>IF(AG2166="","",INDEX('quitado Despesa'!$G$1:$G$12,AG2166))</f>
        <v/>
      </c>
      <c r="AJ2166" s="17" t="str">
        <f t="shared" si="3"/>
        <v/>
      </c>
    </row>
    <row r="2167" spans="31:36">
      <c r="AE2167" s="15" t="str">
        <f t="shared" si="0"/>
        <v/>
      </c>
      <c r="AF2167" s="15" t="str">
        <f t="shared" si="1"/>
        <v/>
      </c>
      <c r="AG2167" s="15" t="str">
        <f>IF(OR(AF2167="",AF2167="ERRO_CHAVE"),"",IFERROR(MATCH(AF2167,'quitado Despesa'!$V$1:$V$12,0),""))</f>
        <v/>
      </c>
      <c r="AH2167" s="15" t="str">
        <f t="shared" si="2"/>
        <v/>
      </c>
      <c r="AI2167" s="17" t="str">
        <f>IF(AG2167="","",INDEX('quitado Despesa'!$G$1:$G$12,AG2167))</f>
        <v/>
      </c>
      <c r="AJ2167" s="17" t="str">
        <f t="shared" si="3"/>
        <v/>
      </c>
    </row>
    <row r="2168" spans="31:36">
      <c r="AE2168" s="15" t="str">
        <f t="shared" si="0"/>
        <v/>
      </c>
      <c r="AF2168" s="15" t="str">
        <f t="shared" si="1"/>
        <v/>
      </c>
      <c r="AG2168" s="15" t="str">
        <f>IF(OR(AF2168="",AF2168="ERRO_CHAVE"),"",IFERROR(MATCH(AF2168,'quitado Despesa'!$V$1:$V$12,0),""))</f>
        <v/>
      </c>
      <c r="AH2168" s="15" t="str">
        <f t="shared" si="2"/>
        <v/>
      </c>
      <c r="AI2168" s="17" t="str">
        <f>IF(AG2168="","",INDEX('quitado Despesa'!$G$1:$G$12,AG2168))</f>
        <v/>
      </c>
      <c r="AJ2168" s="17" t="str">
        <f t="shared" si="3"/>
        <v/>
      </c>
    </row>
    <row r="2169" spans="31:36">
      <c r="AE2169" s="15" t="str">
        <f t="shared" si="0"/>
        <v/>
      </c>
      <c r="AF2169" s="15" t="str">
        <f t="shared" si="1"/>
        <v/>
      </c>
      <c r="AG2169" s="15" t="str">
        <f>IF(OR(AF2169="",AF2169="ERRO_CHAVE"),"",IFERROR(MATCH(AF2169,'quitado Despesa'!$V$1:$V$12,0),""))</f>
        <v/>
      </c>
      <c r="AH2169" s="15" t="str">
        <f t="shared" si="2"/>
        <v/>
      </c>
      <c r="AI2169" s="17" t="str">
        <f>IF(AG2169="","",INDEX('quitado Despesa'!$G$1:$G$12,AG2169))</f>
        <v/>
      </c>
      <c r="AJ2169" s="17" t="str">
        <f t="shared" si="3"/>
        <v/>
      </c>
    </row>
    <row r="2170" spans="31:36">
      <c r="AE2170" s="15" t="str">
        <f t="shared" si="0"/>
        <v/>
      </c>
      <c r="AF2170" s="15" t="str">
        <f t="shared" si="1"/>
        <v/>
      </c>
      <c r="AG2170" s="15" t="str">
        <f>IF(OR(AF2170="",AF2170="ERRO_CHAVE"),"",IFERROR(MATCH(AF2170,'quitado Despesa'!$V$1:$V$12,0),""))</f>
        <v/>
      </c>
      <c r="AH2170" s="15" t="str">
        <f t="shared" si="2"/>
        <v/>
      </c>
      <c r="AI2170" s="17" t="str">
        <f>IF(AG2170="","",INDEX('quitado Despesa'!$G$1:$G$12,AG2170))</f>
        <v/>
      </c>
      <c r="AJ2170" s="17" t="str">
        <f t="shared" si="3"/>
        <v/>
      </c>
    </row>
    <row r="2171" spans="31:36">
      <c r="AE2171" s="15" t="str">
        <f t="shared" si="0"/>
        <v/>
      </c>
      <c r="AF2171" s="15" t="str">
        <f t="shared" si="1"/>
        <v/>
      </c>
      <c r="AG2171" s="15" t="str">
        <f>IF(OR(AF2171="",AF2171="ERRO_CHAVE"),"",IFERROR(MATCH(AF2171,'quitado Despesa'!$V$1:$V$12,0),""))</f>
        <v/>
      </c>
      <c r="AH2171" s="15" t="str">
        <f t="shared" si="2"/>
        <v/>
      </c>
      <c r="AI2171" s="17" t="str">
        <f>IF(AG2171="","",INDEX('quitado Despesa'!$G$1:$G$12,AG2171))</f>
        <v/>
      </c>
      <c r="AJ2171" s="17" t="str">
        <f t="shared" si="3"/>
        <v/>
      </c>
    </row>
    <row r="2172" spans="31:36">
      <c r="AE2172" s="15" t="str">
        <f t="shared" si="0"/>
        <v/>
      </c>
      <c r="AF2172" s="15" t="str">
        <f t="shared" si="1"/>
        <v/>
      </c>
      <c r="AG2172" s="15" t="str">
        <f>IF(OR(AF2172="",AF2172="ERRO_CHAVE"),"",IFERROR(MATCH(AF2172,'quitado Despesa'!$V$1:$V$12,0),""))</f>
        <v/>
      </c>
      <c r="AH2172" s="15" t="str">
        <f t="shared" si="2"/>
        <v/>
      </c>
      <c r="AI2172" s="17" t="str">
        <f>IF(AG2172="","",INDEX('quitado Despesa'!$G$1:$G$12,AG2172))</f>
        <v/>
      </c>
      <c r="AJ2172" s="17" t="str">
        <f t="shared" si="3"/>
        <v/>
      </c>
    </row>
    <row r="2173" spans="31:36">
      <c r="AE2173" s="15" t="str">
        <f t="shared" si="0"/>
        <v/>
      </c>
      <c r="AF2173" s="15" t="str">
        <f t="shared" si="1"/>
        <v/>
      </c>
      <c r="AG2173" s="15" t="str">
        <f>IF(OR(AF2173="",AF2173="ERRO_CHAVE"),"",IFERROR(MATCH(AF2173,'quitado Despesa'!$V$1:$V$12,0),""))</f>
        <v/>
      </c>
      <c r="AH2173" s="15" t="str">
        <f t="shared" si="2"/>
        <v/>
      </c>
      <c r="AI2173" s="17" t="str">
        <f>IF(AG2173="","",INDEX('quitado Despesa'!$G$1:$G$12,AG2173))</f>
        <v/>
      </c>
      <c r="AJ2173" s="17" t="str">
        <f t="shared" si="3"/>
        <v/>
      </c>
    </row>
    <row r="2174" spans="31:36">
      <c r="AE2174" s="15" t="str">
        <f t="shared" si="0"/>
        <v/>
      </c>
      <c r="AF2174" s="15" t="str">
        <f t="shared" si="1"/>
        <v/>
      </c>
      <c r="AG2174" s="15" t="str">
        <f>IF(OR(AF2174="",AF2174="ERRO_CHAVE"),"",IFERROR(MATCH(AF2174,'quitado Despesa'!$V$1:$V$12,0),""))</f>
        <v/>
      </c>
      <c r="AH2174" s="15" t="str">
        <f t="shared" si="2"/>
        <v/>
      </c>
      <c r="AI2174" s="17" t="str">
        <f>IF(AG2174="","",INDEX('quitado Despesa'!$G$1:$G$12,AG2174))</f>
        <v/>
      </c>
      <c r="AJ2174" s="17" t="str">
        <f t="shared" si="3"/>
        <v/>
      </c>
    </row>
    <row r="2175" spans="31:36">
      <c r="AE2175" s="15" t="str">
        <f t="shared" si="0"/>
        <v/>
      </c>
      <c r="AF2175" s="15" t="str">
        <f t="shared" si="1"/>
        <v/>
      </c>
      <c r="AG2175" s="15" t="str">
        <f>IF(OR(AF2175="",AF2175="ERRO_CHAVE"),"",IFERROR(MATCH(AF2175,'quitado Despesa'!$V$1:$V$12,0),""))</f>
        <v/>
      </c>
      <c r="AH2175" s="15" t="str">
        <f t="shared" si="2"/>
        <v/>
      </c>
      <c r="AI2175" s="17" t="str">
        <f>IF(AG2175="","",INDEX('quitado Despesa'!$G$1:$G$12,AG2175))</f>
        <v/>
      </c>
      <c r="AJ2175" s="17" t="str">
        <f t="shared" si="3"/>
        <v/>
      </c>
    </row>
    <row r="2176" spans="31:36">
      <c r="AE2176" s="15" t="str">
        <f t="shared" si="0"/>
        <v/>
      </c>
      <c r="AF2176" s="15" t="str">
        <f t="shared" si="1"/>
        <v/>
      </c>
      <c r="AG2176" s="15" t="str">
        <f>IF(OR(AF2176="",AF2176="ERRO_CHAVE"),"",IFERROR(MATCH(AF2176,'quitado Despesa'!$V$1:$V$12,0),""))</f>
        <v/>
      </c>
      <c r="AH2176" s="15" t="str">
        <f t="shared" si="2"/>
        <v/>
      </c>
      <c r="AI2176" s="17" t="str">
        <f>IF(AG2176="","",INDEX('quitado Despesa'!$G$1:$G$12,AG2176))</f>
        <v/>
      </c>
      <c r="AJ2176" s="17" t="str">
        <f t="shared" si="3"/>
        <v/>
      </c>
    </row>
    <row r="2177" spans="31:36">
      <c r="AE2177" s="15" t="str">
        <f t="shared" si="0"/>
        <v/>
      </c>
      <c r="AF2177" s="15" t="str">
        <f t="shared" si="1"/>
        <v/>
      </c>
      <c r="AG2177" s="15" t="str">
        <f>IF(OR(AF2177="",AF2177="ERRO_CHAVE"),"",IFERROR(MATCH(AF2177,'quitado Despesa'!$V$1:$V$12,0),""))</f>
        <v/>
      </c>
      <c r="AH2177" s="15" t="str">
        <f t="shared" si="2"/>
        <v/>
      </c>
      <c r="AI2177" s="17" t="str">
        <f>IF(AG2177="","",INDEX('quitado Despesa'!$G$1:$G$12,AG2177))</f>
        <v/>
      </c>
      <c r="AJ2177" s="17" t="str">
        <f t="shared" si="3"/>
        <v/>
      </c>
    </row>
    <row r="2178" spans="31:36">
      <c r="AE2178" s="15" t="str">
        <f t="shared" si="0"/>
        <v/>
      </c>
      <c r="AF2178" s="15" t="str">
        <f t="shared" si="1"/>
        <v/>
      </c>
      <c r="AG2178" s="15" t="str">
        <f>IF(OR(AF2178="",AF2178="ERRO_CHAVE"),"",IFERROR(MATCH(AF2178,'quitado Despesa'!$V$1:$V$12,0),""))</f>
        <v/>
      </c>
      <c r="AH2178" s="15" t="str">
        <f t="shared" si="2"/>
        <v/>
      </c>
      <c r="AI2178" s="17" t="str">
        <f>IF(AG2178="","",INDEX('quitado Despesa'!$G$1:$G$12,AG2178))</f>
        <v/>
      </c>
      <c r="AJ2178" s="17" t="str">
        <f t="shared" si="3"/>
        <v/>
      </c>
    </row>
    <row r="2179" spans="31:36">
      <c r="AE2179" s="15" t="str">
        <f t="shared" si="0"/>
        <v/>
      </c>
      <c r="AF2179" s="15" t="str">
        <f t="shared" si="1"/>
        <v/>
      </c>
      <c r="AG2179" s="15" t="str">
        <f>IF(OR(AF2179="",AF2179="ERRO_CHAVE"),"",IFERROR(MATCH(AF2179,'quitado Despesa'!$V$1:$V$12,0),""))</f>
        <v/>
      </c>
      <c r="AH2179" s="15" t="str">
        <f t="shared" si="2"/>
        <v/>
      </c>
      <c r="AI2179" s="17" t="str">
        <f>IF(AG2179="","",INDEX('quitado Despesa'!$G$1:$G$12,AG2179))</f>
        <v/>
      </c>
      <c r="AJ2179" s="17" t="str">
        <f t="shared" si="3"/>
        <v/>
      </c>
    </row>
    <row r="2180" spans="31:36">
      <c r="AE2180" s="15" t="str">
        <f t="shared" si="0"/>
        <v/>
      </c>
      <c r="AF2180" s="15" t="str">
        <f t="shared" si="1"/>
        <v/>
      </c>
      <c r="AG2180" s="15" t="str">
        <f>IF(OR(AF2180="",AF2180="ERRO_CHAVE"),"",IFERROR(MATCH(AF2180,'quitado Despesa'!$V$1:$V$12,0),""))</f>
        <v/>
      </c>
      <c r="AH2180" s="15" t="str">
        <f t="shared" si="2"/>
        <v/>
      </c>
      <c r="AI2180" s="17" t="str">
        <f>IF(AG2180="","",INDEX('quitado Despesa'!$G$1:$G$12,AG2180))</f>
        <v/>
      </c>
      <c r="AJ2180" s="17" t="str">
        <f t="shared" si="3"/>
        <v/>
      </c>
    </row>
    <row r="2181" spans="31:36">
      <c r="AE2181" s="15" t="str">
        <f t="shared" si="0"/>
        <v/>
      </c>
      <c r="AF2181" s="15" t="str">
        <f t="shared" si="1"/>
        <v/>
      </c>
      <c r="AG2181" s="15" t="str">
        <f>IF(OR(AF2181="",AF2181="ERRO_CHAVE"),"",IFERROR(MATCH(AF2181,'quitado Despesa'!$V$1:$V$12,0),""))</f>
        <v/>
      </c>
      <c r="AH2181" s="15" t="str">
        <f t="shared" si="2"/>
        <v/>
      </c>
      <c r="AI2181" s="17" t="str">
        <f>IF(AG2181="","",INDEX('quitado Despesa'!$G$1:$G$12,AG2181))</f>
        <v/>
      </c>
      <c r="AJ2181" s="17" t="str">
        <f t="shared" si="3"/>
        <v/>
      </c>
    </row>
    <row r="2182" spans="31:36">
      <c r="AE2182" s="15" t="str">
        <f t="shared" si="0"/>
        <v/>
      </c>
      <c r="AF2182" s="15" t="str">
        <f t="shared" si="1"/>
        <v/>
      </c>
      <c r="AG2182" s="15" t="str">
        <f>IF(OR(AF2182="",AF2182="ERRO_CHAVE"),"",IFERROR(MATCH(AF2182,'quitado Despesa'!$V$1:$V$12,0),""))</f>
        <v/>
      </c>
      <c r="AH2182" s="15" t="str">
        <f t="shared" si="2"/>
        <v/>
      </c>
      <c r="AI2182" s="17" t="str">
        <f>IF(AG2182="","",INDEX('quitado Despesa'!$G$1:$G$12,AG2182))</f>
        <v/>
      </c>
      <c r="AJ2182" s="17" t="str">
        <f t="shared" si="3"/>
        <v/>
      </c>
    </row>
    <row r="2183" spans="31:36">
      <c r="AE2183" s="15" t="str">
        <f t="shared" si="0"/>
        <v/>
      </c>
      <c r="AF2183" s="15" t="str">
        <f t="shared" si="1"/>
        <v/>
      </c>
      <c r="AG2183" s="15" t="str">
        <f>IF(OR(AF2183="",AF2183="ERRO_CHAVE"),"",IFERROR(MATCH(AF2183,'quitado Despesa'!$V$1:$V$12,0),""))</f>
        <v/>
      </c>
      <c r="AH2183" s="15" t="str">
        <f t="shared" si="2"/>
        <v/>
      </c>
      <c r="AI2183" s="17" t="str">
        <f>IF(AG2183="","",INDEX('quitado Despesa'!$G$1:$G$12,AG2183))</f>
        <v/>
      </c>
      <c r="AJ2183" s="17" t="str">
        <f t="shared" si="3"/>
        <v/>
      </c>
    </row>
    <row r="2184" spans="31:36">
      <c r="AE2184" s="15" t="str">
        <f t="shared" si="0"/>
        <v/>
      </c>
      <c r="AF2184" s="15" t="str">
        <f t="shared" si="1"/>
        <v/>
      </c>
      <c r="AG2184" s="15" t="str">
        <f>IF(OR(AF2184="",AF2184="ERRO_CHAVE"),"",IFERROR(MATCH(AF2184,'quitado Despesa'!$V$1:$V$12,0),""))</f>
        <v/>
      </c>
      <c r="AH2184" s="15" t="str">
        <f t="shared" si="2"/>
        <v/>
      </c>
      <c r="AI2184" s="17" t="str">
        <f>IF(AG2184="","",INDEX('quitado Despesa'!$G$1:$G$12,AG2184))</f>
        <v/>
      </c>
      <c r="AJ2184" s="17" t="str">
        <f t="shared" si="3"/>
        <v/>
      </c>
    </row>
    <row r="2185" spans="31:36">
      <c r="AE2185" s="15" t="str">
        <f t="shared" si="0"/>
        <v/>
      </c>
      <c r="AF2185" s="15" t="str">
        <f t="shared" si="1"/>
        <v/>
      </c>
      <c r="AG2185" s="15" t="str">
        <f>IF(OR(AF2185="",AF2185="ERRO_CHAVE"),"",IFERROR(MATCH(AF2185,'quitado Despesa'!$V$1:$V$12,0),""))</f>
        <v/>
      </c>
      <c r="AH2185" s="15" t="str">
        <f t="shared" si="2"/>
        <v/>
      </c>
      <c r="AI2185" s="17" t="str">
        <f>IF(AG2185="","",INDEX('quitado Despesa'!$G$1:$G$12,AG2185))</f>
        <v/>
      </c>
      <c r="AJ2185" s="17" t="str">
        <f t="shared" si="3"/>
        <v/>
      </c>
    </row>
    <row r="2186" spans="31:36">
      <c r="AE2186" s="15" t="str">
        <f t="shared" si="0"/>
        <v/>
      </c>
      <c r="AF2186" s="15" t="str">
        <f t="shared" si="1"/>
        <v/>
      </c>
      <c r="AG2186" s="15" t="str">
        <f>IF(OR(AF2186="",AF2186="ERRO_CHAVE"),"",IFERROR(MATCH(AF2186,'quitado Despesa'!$V$1:$V$12,0),""))</f>
        <v/>
      </c>
      <c r="AH2186" s="15" t="str">
        <f t="shared" si="2"/>
        <v/>
      </c>
      <c r="AI2186" s="17" t="str">
        <f>IF(AG2186="","",INDEX('quitado Despesa'!$G$1:$G$12,AG2186))</f>
        <v/>
      </c>
      <c r="AJ2186" s="17" t="str">
        <f t="shared" si="3"/>
        <v/>
      </c>
    </row>
    <row r="2187" spans="31:36">
      <c r="AE2187" s="15" t="str">
        <f t="shared" si="0"/>
        <v/>
      </c>
      <c r="AF2187" s="15" t="str">
        <f t="shared" si="1"/>
        <v/>
      </c>
      <c r="AG2187" s="15" t="str">
        <f>IF(OR(AF2187="",AF2187="ERRO_CHAVE"),"",IFERROR(MATCH(AF2187,'quitado Despesa'!$V$1:$V$12,0),""))</f>
        <v/>
      </c>
      <c r="AH2187" s="15" t="str">
        <f t="shared" si="2"/>
        <v/>
      </c>
      <c r="AI2187" s="17" t="str">
        <f>IF(AG2187="","",INDEX('quitado Despesa'!$G$1:$G$12,AG2187))</f>
        <v/>
      </c>
      <c r="AJ2187" s="17" t="str">
        <f t="shared" si="3"/>
        <v/>
      </c>
    </row>
    <row r="2188" spans="31:36">
      <c r="AE2188" s="15" t="str">
        <f t="shared" si="0"/>
        <v/>
      </c>
      <c r="AF2188" s="15" t="str">
        <f t="shared" si="1"/>
        <v/>
      </c>
      <c r="AG2188" s="15" t="str">
        <f>IF(OR(AF2188="",AF2188="ERRO_CHAVE"),"",IFERROR(MATCH(AF2188,'quitado Despesa'!$V$1:$V$12,0),""))</f>
        <v/>
      </c>
      <c r="AH2188" s="15" t="str">
        <f t="shared" si="2"/>
        <v/>
      </c>
      <c r="AI2188" s="17" t="str">
        <f>IF(AG2188="","",INDEX('quitado Despesa'!$G$1:$G$12,AG2188))</f>
        <v/>
      </c>
      <c r="AJ2188" s="17" t="str">
        <f t="shared" si="3"/>
        <v/>
      </c>
    </row>
    <row r="2189" spans="31:36">
      <c r="AE2189" s="15" t="str">
        <f t="shared" si="0"/>
        <v/>
      </c>
      <c r="AF2189" s="15" t="str">
        <f t="shared" si="1"/>
        <v/>
      </c>
      <c r="AG2189" s="15" t="str">
        <f>IF(OR(AF2189="",AF2189="ERRO_CHAVE"),"",IFERROR(MATCH(AF2189,'quitado Despesa'!$V$1:$V$12,0),""))</f>
        <v/>
      </c>
      <c r="AH2189" s="15" t="str">
        <f t="shared" si="2"/>
        <v/>
      </c>
      <c r="AI2189" s="17" t="str">
        <f>IF(AG2189="","",INDEX('quitado Despesa'!$G$1:$G$12,AG2189))</f>
        <v/>
      </c>
      <c r="AJ2189" s="17" t="str">
        <f t="shared" si="3"/>
        <v/>
      </c>
    </row>
    <row r="2190" spans="31:36">
      <c r="AE2190" s="15" t="str">
        <f t="shared" si="0"/>
        <v/>
      </c>
      <c r="AF2190" s="15" t="str">
        <f t="shared" si="1"/>
        <v/>
      </c>
      <c r="AG2190" s="15" t="str">
        <f>IF(OR(AF2190="",AF2190="ERRO_CHAVE"),"",IFERROR(MATCH(AF2190,'quitado Despesa'!$V$1:$V$12,0),""))</f>
        <v/>
      </c>
      <c r="AH2190" s="15" t="str">
        <f t="shared" si="2"/>
        <v/>
      </c>
      <c r="AI2190" s="17" t="str">
        <f>IF(AG2190="","",INDEX('quitado Despesa'!$G$1:$G$12,AG2190))</f>
        <v/>
      </c>
      <c r="AJ2190" s="17" t="str">
        <f t="shared" si="3"/>
        <v/>
      </c>
    </row>
    <row r="2191" spans="31:36">
      <c r="AE2191" s="15" t="str">
        <f t="shared" si="0"/>
        <v/>
      </c>
      <c r="AF2191" s="15" t="str">
        <f t="shared" si="1"/>
        <v/>
      </c>
      <c r="AG2191" s="15" t="str">
        <f>IF(OR(AF2191="",AF2191="ERRO_CHAVE"),"",IFERROR(MATCH(AF2191,'quitado Despesa'!$V$1:$V$12,0),""))</f>
        <v/>
      </c>
      <c r="AH2191" s="15" t="str">
        <f t="shared" si="2"/>
        <v/>
      </c>
      <c r="AI2191" s="17" t="str">
        <f>IF(AG2191="","",INDEX('quitado Despesa'!$G$1:$G$12,AG2191))</f>
        <v/>
      </c>
      <c r="AJ2191" s="17" t="str">
        <f t="shared" si="3"/>
        <v/>
      </c>
    </row>
    <row r="2192" spans="31:36">
      <c r="AE2192" s="15" t="str">
        <f t="shared" si="0"/>
        <v/>
      </c>
      <c r="AF2192" s="15" t="str">
        <f t="shared" si="1"/>
        <v/>
      </c>
      <c r="AG2192" s="15" t="str">
        <f>IF(OR(AF2192="",AF2192="ERRO_CHAVE"),"",IFERROR(MATCH(AF2192,'quitado Despesa'!$V$1:$V$12,0),""))</f>
        <v/>
      </c>
      <c r="AH2192" s="15" t="str">
        <f t="shared" si="2"/>
        <v/>
      </c>
      <c r="AI2192" s="17" t="str">
        <f>IF(AG2192="","",INDEX('quitado Despesa'!$G$1:$G$12,AG2192))</f>
        <v/>
      </c>
      <c r="AJ2192" s="17" t="str">
        <f t="shared" si="3"/>
        <v/>
      </c>
    </row>
    <row r="2193" spans="31:36">
      <c r="AE2193" s="15" t="str">
        <f t="shared" si="0"/>
        <v/>
      </c>
      <c r="AF2193" s="15" t="str">
        <f t="shared" si="1"/>
        <v/>
      </c>
      <c r="AG2193" s="15" t="str">
        <f>IF(OR(AF2193="",AF2193="ERRO_CHAVE"),"",IFERROR(MATCH(AF2193,'quitado Despesa'!$V$1:$V$12,0),""))</f>
        <v/>
      </c>
      <c r="AH2193" s="15" t="str">
        <f t="shared" si="2"/>
        <v/>
      </c>
      <c r="AI2193" s="17" t="str">
        <f>IF(AG2193="","",INDEX('quitado Despesa'!$G$1:$G$12,AG2193))</f>
        <v/>
      </c>
      <c r="AJ2193" s="17" t="str">
        <f t="shared" si="3"/>
        <v/>
      </c>
    </row>
    <row r="2194" spans="31:36">
      <c r="AE2194" s="15" t="str">
        <f t="shared" si="0"/>
        <v/>
      </c>
      <c r="AF2194" s="15" t="str">
        <f t="shared" si="1"/>
        <v/>
      </c>
      <c r="AG2194" s="15" t="str">
        <f>IF(OR(AF2194="",AF2194="ERRO_CHAVE"),"",IFERROR(MATCH(AF2194,'quitado Despesa'!$V$1:$V$12,0),""))</f>
        <v/>
      </c>
      <c r="AH2194" s="15" t="str">
        <f t="shared" si="2"/>
        <v/>
      </c>
      <c r="AI2194" s="17" t="str">
        <f>IF(AG2194="","",INDEX('quitado Despesa'!$G$1:$G$12,AG2194))</f>
        <v/>
      </c>
      <c r="AJ2194" s="17" t="str">
        <f t="shared" si="3"/>
        <v/>
      </c>
    </row>
    <row r="2195" spans="31:36">
      <c r="AE2195" s="15" t="str">
        <f t="shared" si="0"/>
        <v/>
      </c>
      <c r="AF2195" s="15" t="str">
        <f t="shared" si="1"/>
        <v/>
      </c>
      <c r="AG2195" s="15" t="str">
        <f>IF(OR(AF2195="",AF2195="ERRO_CHAVE"),"",IFERROR(MATCH(AF2195,'quitado Despesa'!$V$1:$V$12,0),""))</f>
        <v/>
      </c>
      <c r="AH2195" s="15" t="str">
        <f t="shared" si="2"/>
        <v/>
      </c>
      <c r="AI2195" s="17" t="str">
        <f>IF(AG2195="","",INDEX('quitado Despesa'!$G$1:$G$12,AG2195))</f>
        <v/>
      </c>
      <c r="AJ2195" s="17" t="str">
        <f t="shared" si="3"/>
        <v/>
      </c>
    </row>
    <row r="2196" spans="31:36">
      <c r="AE2196" s="15" t="str">
        <f t="shared" si="0"/>
        <v/>
      </c>
      <c r="AF2196" s="15" t="str">
        <f t="shared" si="1"/>
        <v/>
      </c>
      <c r="AG2196" s="15" t="str">
        <f>IF(OR(AF2196="",AF2196="ERRO_CHAVE"),"",IFERROR(MATCH(AF2196,'quitado Despesa'!$V$1:$V$12,0),""))</f>
        <v/>
      </c>
      <c r="AH2196" s="15" t="str">
        <f t="shared" si="2"/>
        <v/>
      </c>
      <c r="AI2196" s="17" t="str">
        <f>IF(AG2196="","",INDEX('quitado Despesa'!$G$1:$G$12,AG2196))</f>
        <v/>
      </c>
      <c r="AJ2196" s="17" t="str">
        <f t="shared" si="3"/>
        <v/>
      </c>
    </row>
    <row r="2197" spans="31:36">
      <c r="AE2197" s="15" t="str">
        <f t="shared" si="0"/>
        <v/>
      </c>
      <c r="AF2197" s="15" t="str">
        <f t="shared" si="1"/>
        <v/>
      </c>
      <c r="AG2197" s="15" t="str">
        <f>IF(OR(AF2197="",AF2197="ERRO_CHAVE"),"",IFERROR(MATCH(AF2197,'quitado Despesa'!$V$1:$V$12,0),""))</f>
        <v/>
      </c>
      <c r="AH2197" s="15" t="str">
        <f t="shared" si="2"/>
        <v/>
      </c>
      <c r="AI2197" s="17" t="str">
        <f>IF(AG2197="","",INDEX('quitado Despesa'!$G$1:$G$12,AG2197))</f>
        <v/>
      </c>
      <c r="AJ2197" s="17" t="str">
        <f t="shared" si="3"/>
        <v/>
      </c>
    </row>
    <row r="2198" spans="31:36">
      <c r="AE2198" s="15" t="str">
        <f t="shared" si="0"/>
        <v/>
      </c>
      <c r="AF2198" s="15" t="str">
        <f t="shared" si="1"/>
        <v/>
      </c>
      <c r="AG2198" s="15" t="str">
        <f>IF(OR(AF2198="",AF2198="ERRO_CHAVE"),"",IFERROR(MATCH(AF2198,'quitado Despesa'!$V$1:$V$12,0),""))</f>
        <v/>
      </c>
      <c r="AH2198" s="15" t="str">
        <f t="shared" si="2"/>
        <v/>
      </c>
      <c r="AI2198" s="17" t="str">
        <f>IF(AG2198="","",INDEX('quitado Despesa'!$G$1:$G$12,AG2198))</f>
        <v/>
      </c>
      <c r="AJ2198" s="17" t="str">
        <f t="shared" si="3"/>
        <v/>
      </c>
    </row>
    <row r="2199" spans="31:36">
      <c r="AE2199" s="15" t="str">
        <f t="shared" si="0"/>
        <v/>
      </c>
      <c r="AF2199" s="15" t="str">
        <f t="shared" si="1"/>
        <v/>
      </c>
      <c r="AG2199" s="15" t="str">
        <f>IF(OR(AF2199="",AF2199="ERRO_CHAVE"),"",IFERROR(MATCH(AF2199,'quitado Despesa'!$V$1:$V$12,0),""))</f>
        <v/>
      </c>
      <c r="AH2199" s="15" t="str">
        <f t="shared" si="2"/>
        <v/>
      </c>
      <c r="AI2199" s="17" t="str">
        <f>IF(AG2199="","",INDEX('quitado Despesa'!$G$1:$G$12,AG2199))</f>
        <v/>
      </c>
      <c r="AJ2199" s="17" t="str">
        <f t="shared" si="3"/>
        <v/>
      </c>
    </row>
    <row r="2200" spans="31:36">
      <c r="AE2200" s="15" t="str">
        <f t="shared" si="0"/>
        <v/>
      </c>
      <c r="AF2200" s="15" t="str">
        <f t="shared" si="1"/>
        <v/>
      </c>
      <c r="AG2200" s="15" t="str">
        <f>IF(OR(AF2200="",AF2200="ERRO_CHAVE"),"",IFERROR(MATCH(AF2200,'quitado Despesa'!$V$1:$V$12,0),""))</f>
        <v/>
      </c>
      <c r="AH2200" s="15" t="str">
        <f t="shared" si="2"/>
        <v/>
      </c>
      <c r="AI2200" s="17" t="str">
        <f>IF(AG2200="","",INDEX('quitado Despesa'!$G$1:$G$12,AG2200))</f>
        <v/>
      </c>
      <c r="AJ2200" s="17" t="str">
        <f t="shared" si="3"/>
        <v/>
      </c>
    </row>
    <row r="2201" spans="31:36">
      <c r="AE2201" s="15" t="str">
        <f t="shared" si="0"/>
        <v/>
      </c>
      <c r="AF2201" s="15" t="str">
        <f t="shared" si="1"/>
        <v/>
      </c>
      <c r="AG2201" s="15" t="str">
        <f>IF(OR(AF2201="",AF2201="ERRO_CHAVE"),"",IFERROR(MATCH(AF2201,'quitado Despesa'!$V$1:$V$12,0),""))</f>
        <v/>
      </c>
      <c r="AH2201" s="15" t="str">
        <f t="shared" si="2"/>
        <v/>
      </c>
      <c r="AI2201" s="17" t="str">
        <f>IF(AG2201="","",INDEX('quitado Despesa'!$G$1:$G$12,AG2201))</f>
        <v/>
      </c>
      <c r="AJ2201" s="17" t="str">
        <f t="shared" si="3"/>
        <v/>
      </c>
    </row>
    <row r="2202" spans="31:36">
      <c r="AE2202" s="15" t="str">
        <f t="shared" si="0"/>
        <v/>
      </c>
      <c r="AF2202" s="15" t="str">
        <f t="shared" si="1"/>
        <v/>
      </c>
      <c r="AG2202" s="15" t="str">
        <f>IF(OR(AF2202="",AF2202="ERRO_CHAVE"),"",IFERROR(MATCH(AF2202,'quitado Despesa'!$V$1:$V$12,0),""))</f>
        <v/>
      </c>
      <c r="AH2202" s="15" t="str">
        <f t="shared" si="2"/>
        <v/>
      </c>
      <c r="AI2202" s="17" t="str">
        <f>IF(AG2202="","",INDEX('quitado Despesa'!$G$1:$G$12,AG2202))</f>
        <v/>
      </c>
      <c r="AJ2202" s="17" t="str">
        <f t="shared" si="3"/>
        <v/>
      </c>
    </row>
    <row r="2203" spans="31:36">
      <c r="AE2203" s="15" t="str">
        <f t="shared" si="0"/>
        <v/>
      </c>
      <c r="AF2203" s="15" t="str">
        <f t="shared" si="1"/>
        <v/>
      </c>
      <c r="AG2203" s="15" t="str">
        <f>IF(OR(AF2203="",AF2203="ERRO_CHAVE"),"",IFERROR(MATCH(AF2203,'quitado Despesa'!$V$1:$V$12,0),""))</f>
        <v/>
      </c>
      <c r="AH2203" s="15" t="str">
        <f t="shared" si="2"/>
        <v/>
      </c>
      <c r="AI2203" s="17" t="str">
        <f>IF(AG2203="","",INDEX('quitado Despesa'!$G$1:$G$12,AG2203))</f>
        <v/>
      </c>
      <c r="AJ2203" s="17" t="str">
        <f t="shared" si="3"/>
        <v/>
      </c>
    </row>
    <row r="2204" spans="31:36">
      <c r="AE2204" s="15" t="str">
        <f t="shared" si="0"/>
        <v/>
      </c>
      <c r="AF2204" s="15" t="str">
        <f t="shared" si="1"/>
        <v/>
      </c>
      <c r="AG2204" s="15" t="str">
        <f>IF(OR(AF2204="",AF2204="ERRO_CHAVE"),"",IFERROR(MATCH(AF2204,'quitado Despesa'!$V$1:$V$12,0),""))</f>
        <v/>
      </c>
      <c r="AH2204" s="15" t="str">
        <f t="shared" si="2"/>
        <v/>
      </c>
      <c r="AI2204" s="17" t="str">
        <f>IF(AG2204="","",INDEX('quitado Despesa'!$G$1:$G$12,AG2204))</f>
        <v/>
      </c>
      <c r="AJ2204" s="17" t="str">
        <f t="shared" si="3"/>
        <v/>
      </c>
    </row>
    <row r="2205" spans="31:36">
      <c r="AE2205" s="15" t="str">
        <f t="shared" si="0"/>
        <v/>
      </c>
      <c r="AF2205" s="15" t="str">
        <f t="shared" si="1"/>
        <v/>
      </c>
      <c r="AG2205" s="15" t="str">
        <f>IF(OR(AF2205="",AF2205="ERRO_CHAVE"),"",IFERROR(MATCH(AF2205,'quitado Despesa'!$V$1:$V$12,0),""))</f>
        <v/>
      </c>
      <c r="AH2205" s="15" t="str">
        <f t="shared" si="2"/>
        <v/>
      </c>
      <c r="AI2205" s="17" t="str">
        <f>IF(AG2205="","",INDEX('quitado Despesa'!$G$1:$G$12,AG2205))</f>
        <v/>
      </c>
      <c r="AJ2205" s="17" t="str">
        <f t="shared" si="3"/>
        <v/>
      </c>
    </row>
    <row r="2206" spans="31:36">
      <c r="AE2206" s="15" t="str">
        <f t="shared" si="0"/>
        <v/>
      </c>
      <c r="AF2206" s="15" t="str">
        <f t="shared" si="1"/>
        <v/>
      </c>
      <c r="AG2206" s="15" t="str">
        <f>IF(OR(AF2206="",AF2206="ERRO_CHAVE"),"",IFERROR(MATCH(AF2206,'quitado Despesa'!$V$1:$V$12,0),""))</f>
        <v/>
      </c>
      <c r="AH2206" s="15" t="str">
        <f t="shared" si="2"/>
        <v/>
      </c>
      <c r="AI2206" s="17" t="str">
        <f>IF(AG2206="","",INDEX('quitado Despesa'!$G$1:$G$12,AG2206))</f>
        <v/>
      </c>
      <c r="AJ2206" s="17" t="str">
        <f t="shared" si="3"/>
        <v/>
      </c>
    </row>
    <row r="2207" spans="31:36">
      <c r="AE2207" s="15" t="str">
        <f t="shared" si="0"/>
        <v/>
      </c>
      <c r="AF2207" s="15" t="str">
        <f t="shared" si="1"/>
        <v/>
      </c>
      <c r="AG2207" s="15" t="str">
        <f>IF(OR(AF2207="",AF2207="ERRO_CHAVE"),"",IFERROR(MATCH(AF2207,'quitado Despesa'!$V$1:$V$12,0),""))</f>
        <v/>
      </c>
      <c r="AH2207" s="15" t="str">
        <f t="shared" si="2"/>
        <v/>
      </c>
      <c r="AI2207" s="17" t="str">
        <f>IF(AG2207="","",INDEX('quitado Despesa'!$G$1:$G$12,AG2207))</f>
        <v/>
      </c>
      <c r="AJ2207" s="17" t="str">
        <f t="shared" si="3"/>
        <v/>
      </c>
    </row>
    <row r="2208" spans="31:36">
      <c r="AE2208" s="15" t="str">
        <f t="shared" si="0"/>
        <v/>
      </c>
      <c r="AF2208" s="15" t="str">
        <f t="shared" si="1"/>
        <v/>
      </c>
      <c r="AG2208" s="15" t="str">
        <f>IF(OR(AF2208="",AF2208="ERRO_CHAVE"),"",IFERROR(MATCH(AF2208,'quitado Despesa'!$V$1:$V$12,0),""))</f>
        <v/>
      </c>
      <c r="AH2208" s="15" t="str">
        <f t="shared" si="2"/>
        <v/>
      </c>
      <c r="AI2208" s="17" t="str">
        <f>IF(AG2208="","",INDEX('quitado Despesa'!$G$1:$G$12,AG2208))</f>
        <v/>
      </c>
      <c r="AJ2208" s="17" t="str">
        <f t="shared" si="3"/>
        <v/>
      </c>
    </row>
    <row r="2209" spans="31:36">
      <c r="AE2209" s="15" t="str">
        <f t="shared" si="0"/>
        <v/>
      </c>
      <c r="AF2209" s="15" t="str">
        <f t="shared" si="1"/>
        <v/>
      </c>
      <c r="AG2209" s="15" t="str">
        <f>IF(OR(AF2209="",AF2209="ERRO_CHAVE"),"",IFERROR(MATCH(AF2209,'quitado Despesa'!$V$1:$V$12,0),""))</f>
        <v/>
      </c>
      <c r="AH2209" s="15" t="str">
        <f t="shared" si="2"/>
        <v/>
      </c>
      <c r="AI2209" s="17" t="str">
        <f>IF(AG2209="","",INDEX('quitado Despesa'!$G$1:$G$12,AG2209))</f>
        <v/>
      </c>
      <c r="AJ2209" s="17" t="str">
        <f t="shared" si="3"/>
        <v/>
      </c>
    </row>
    <row r="2210" spans="31:36">
      <c r="AE2210" s="15" t="str">
        <f t="shared" si="0"/>
        <v/>
      </c>
      <c r="AF2210" s="15" t="str">
        <f t="shared" si="1"/>
        <v/>
      </c>
      <c r="AG2210" s="15" t="str">
        <f>IF(OR(AF2210="",AF2210="ERRO_CHAVE"),"",IFERROR(MATCH(AF2210,'quitado Despesa'!$V$1:$V$12,0),""))</f>
        <v/>
      </c>
      <c r="AH2210" s="15" t="str">
        <f t="shared" si="2"/>
        <v/>
      </c>
      <c r="AI2210" s="17" t="str">
        <f>IF(AG2210="","",INDEX('quitado Despesa'!$G$1:$G$12,AG2210))</f>
        <v/>
      </c>
      <c r="AJ2210" s="17" t="str">
        <f t="shared" si="3"/>
        <v/>
      </c>
    </row>
    <row r="2211" spans="31:36">
      <c r="AE2211" s="15" t="str">
        <f t="shared" si="0"/>
        <v/>
      </c>
      <c r="AF2211" s="15" t="str">
        <f t="shared" si="1"/>
        <v/>
      </c>
      <c r="AG2211" s="15" t="str">
        <f>IF(OR(AF2211="",AF2211="ERRO_CHAVE"),"",IFERROR(MATCH(AF2211,'quitado Despesa'!$V$1:$V$12,0),""))</f>
        <v/>
      </c>
      <c r="AH2211" s="15" t="str">
        <f t="shared" si="2"/>
        <v/>
      </c>
      <c r="AI2211" s="17" t="str">
        <f>IF(AG2211="","",INDEX('quitado Despesa'!$G$1:$G$12,AG2211))</f>
        <v/>
      </c>
      <c r="AJ2211" s="17" t="str">
        <f t="shared" si="3"/>
        <v/>
      </c>
    </row>
    <row r="2212" spans="31:36">
      <c r="AE2212" s="15" t="str">
        <f t="shared" si="0"/>
        <v/>
      </c>
      <c r="AF2212" s="15" t="str">
        <f t="shared" si="1"/>
        <v/>
      </c>
      <c r="AG2212" s="15" t="str">
        <f>IF(OR(AF2212="",AF2212="ERRO_CHAVE"),"",IFERROR(MATCH(AF2212,'quitado Despesa'!$V$1:$V$12,0),""))</f>
        <v/>
      </c>
      <c r="AH2212" s="15" t="str">
        <f t="shared" si="2"/>
        <v/>
      </c>
      <c r="AI2212" s="17" t="str">
        <f>IF(AG2212="","",INDEX('quitado Despesa'!$G$1:$G$12,AG2212))</f>
        <v/>
      </c>
      <c r="AJ2212" s="17" t="str">
        <f t="shared" si="3"/>
        <v/>
      </c>
    </row>
    <row r="2213" spans="31:36">
      <c r="AE2213" s="15" t="str">
        <f t="shared" si="0"/>
        <v/>
      </c>
      <c r="AF2213" s="15" t="str">
        <f t="shared" si="1"/>
        <v/>
      </c>
      <c r="AG2213" s="15" t="str">
        <f>IF(OR(AF2213="",AF2213="ERRO_CHAVE"),"",IFERROR(MATCH(AF2213,'quitado Despesa'!$V$1:$V$12,0),""))</f>
        <v/>
      </c>
      <c r="AH2213" s="15" t="str">
        <f t="shared" si="2"/>
        <v/>
      </c>
      <c r="AI2213" s="17" t="str">
        <f>IF(AG2213="","",INDEX('quitado Despesa'!$G$1:$G$12,AG2213))</f>
        <v/>
      </c>
      <c r="AJ2213" s="17" t="str">
        <f t="shared" si="3"/>
        <v/>
      </c>
    </row>
    <row r="2214" spans="31:36">
      <c r="AE2214" s="15" t="str">
        <f t="shared" si="0"/>
        <v/>
      </c>
      <c r="AF2214" s="15" t="str">
        <f t="shared" si="1"/>
        <v/>
      </c>
      <c r="AG2214" s="15" t="str">
        <f>IF(OR(AF2214="",AF2214="ERRO_CHAVE"),"",IFERROR(MATCH(AF2214,'quitado Despesa'!$V$1:$V$12,0),""))</f>
        <v/>
      </c>
      <c r="AH2214" s="15" t="str">
        <f t="shared" si="2"/>
        <v/>
      </c>
      <c r="AI2214" s="17" t="str">
        <f>IF(AG2214="","",INDEX('quitado Despesa'!$G$1:$G$12,AG2214))</f>
        <v/>
      </c>
      <c r="AJ2214" s="17" t="str">
        <f t="shared" si="3"/>
        <v/>
      </c>
    </row>
    <row r="2215" spans="31:36">
      <c r="AE2215" s="15" t="str">
        <f t="shared" si="0"/>
        <v/>
      </c>
      <c r="AF2215" s="15" t="str">
        <f t="shared" si="1"/>
        <v/>
      </c>
      <c r="AG2215" s="15" t="str">
        <f>IF(OR(AF2215="",AF2215="ERRO_CHAVE"),"",IFERROR(MATCH(AF2215,'quitado Despesa'!$V$1:$V$12,0),""))</f>
        <v/>
      </c>
      <c r="AH2215" s="15" t="str">
        <f t="shared" si="2"/>
        <v/>
      </c>
      <c r="AI2215" s="17" t="str">
        <f>IF(AG2215="","",INDEX('quitado Despesa'!$G$1:$G$12,AG2215))</f>
        <v/>
      </c>
      <c r="AJ2215" s="17" t="str">
        <f t="shared" si="3"/>
        <v/>
      </c>
    </row>
    <row r="2216" spans="31:36">
      <c r="AE2216" s="15" t="str">
        <f t="shared" si="0"/>
        <v/>
      </c>
      <c r="AF2216" s="15" t="str">
        <f t="shared" si="1"/>
        <v/>
      </c>
      <c r="AG2216" s="15" t="str">
        <f>IF(OR(AF2216="",AF2216="ERRO_CHAVE"),"",IFERROR(MATCH(AF2216,'quitado Despesa'!$V$1:$V$12,0),""))</f>
        <v/>
      </c>
      <c r="AH2216" s="15" t="str">
        <f t="shared" si="2"/>
        <v/>
      </c>
      <c r="AI2216" s="17" t="str">
        <f>IF(AG2216="","",INDEX('quitado Despesa'!$G$1:$G$12,AG2216))</f>
        <v/>
      </c>
      <c r="AJ2216" s="17" t="str">
        <f t="shared" si="3"/>
        <v/>
      </c>
    </row>
    <row r="2217" spans="31:36">
      <c r="AE2217" s="15" t="str">
        <f t="shared" si="0"/>
        <v/>
      </c>
      <c r="AF2217" s="15" t="str">
        <f t="shared" si="1"/>
        <v/>
      </c>
      <c r="AG2217" s="15" t="str">
        <f>IF(OR(AF2217="",AF2217="ERRO_CHAVE"),"",IFERROR(MATCH(AF2217,'quitado Despesa'!$V$1:$V$12,0),""))</f>
        <v/>
      </c>
      <c r="AH2217" s="15" t="str">
        <f t="shared" si="2"/>
        <v/>
      </c>
      <c r="AI2217" s="17" t="str">
        <f>IF(AG2217="","",INDEX('quitado Despesa'!$G$1:$G$12,AG2217))</f>
        <v/>
      </c>
      <c r="AJ2217" s="17" t="str">
        <f t="shared" si="3"/>
        <v/>
      </c>
    </row>
    <row r="2218" spans="31:36">
      <c r="AE2218" s="15" t="str">
        <f t="shared" si="0"/>
        <v/>
      </c>
      <c r="AF2218" s="15" t="str">
        <f t="shared" si="1"/>
        <v/>
      </c>
      <c r="AG2218" s="15" t="str">
        <f>IF(OR(AF2218="",AF2218="ERRO_CHAVE"),"",IFERROR(MATCH(AF2218,'quitado Despesa'!$V$1:$V$12,0),""))</f>
        <v/>
      </c>
      <c r="AH2218" s="15" t="str">
        <f t="shared" si="2"/>
        <v/>
      </c>
      <c r="AI2218" s="17" t="str">
        <f>IF(AG2218="","",INDEX('quitado Despesa'!$G$1:$G$12,AG2218))</f>
        <v/>
      </c>
      <c r="AJ2218" s="17" t="str">
        <f t="shared" si="3"/>
        <v/>
      </c>
    </row>
    <row r="2219" spans="31:36">
      <c r="AE2219" s="15" t="str">
        <f t="shared" si="0"/>
        <v/>
      </c>
      <c r="AF2219" s="15" t="str">
        <f t="shared" si="1"/>
        <v/>
      </c>
      <c r="AG2219" s="15" t="str">
        <f>IF(OR(AF2219="",AF2219="ERRO_CHAVE"),"",IFERROR(MATCH(AF2219,'quitado Despesa'!$V$1:$V$12,0),""))</f>
        <v/>
      </c>
      <c r="AH2219" s="15" t="str">
        <f t="shared" si="2"/>
        <v/>
      </c>
      <c r="AI2219" s="17" t="str">
        <f>IF(AG2219="","",INDEX('quitado Despesa'!$G$1:$G$12,AG2219))</f>
        <v/>
      </c>
      <c r="AJ2219" s="17" t="str">
        <f t="shared" si="3"/>
        <v/>
      </c>
    </row>
    <row r="2220" spans="31:36">
      <c r="AE2220" s="15" t="str">
        <f t="shared" si="0"/>
        <v/>
      </c>
      <c r="AF2220" s="15" t="str">
        <f t="shared" si="1"/>
        <v/>
      </c>
      <c r="AG2220" s="15" t="str">
        <f>IF(OR(AF2220="",AF2220="ERRO_CHAVE"),"",IFERROR(MATCH(AF2220,'quitado Despesa'!$V$1:$V$12,0),""))</f>
        <v/>
      </c>
      <c r="AH2220" s="15" t="str">
        <f t="shared" si="2"/>
        <v/>
      </c>
      <c r="AI2220" s="17" t="str">
        <f>IF(AG2220="","",INDEX('quitado Despesa'!$G$1:$G$12,AG2220))</f>
        <v/>
      </c>
      <c r="AJ2220" s="17" t="str">
        <f t="shared" si="3"/>
        <v/>
      </c>
    </row>
    <row r="2221" spans="31:36">
      <c r="AE2221" s="15" t="str">
        <f t="shared" si="0"/>
        <v/>
      </c>
      <c r="AF2221" s="15" t="str">
        <f t="shared" si="1"/>
        <v/>
      </c>
      <c r="AG2221" s="15" t="str">
        <f>IF(OR(AF2221="",AF2221="ERRO_CHAVE"),"",IFERROR(MATCH(AF2221,'quitado Despesa'!$V$1:$V$12,0),""))</f>
        <v/>
      </c>
      <c r="AH2221" s="15" t="str">
        <f t="shared" si="2"/>
        <v/>
      </c>
      <c r="AI2221" s="17" t="str">
        <f>IF(AG2221="","",INDEX('quitado Despesa'!$G$1:$G$12,AG2221))</f>
        <v/>
      </c>
      <c r="AJ2221" s="17" t="str">
        <f t="shared" si="3"/>
        <v/>
      </c>
    </row>
    <row r="2222" spans="31:36">
      <c r="AE2222" s="15" t="str">
        <f t="shared" si="0"/>
        <v/>
      </c>
      <c r="AF2222" s="15" t="str">
        <f t="shared" si="1"/>
        <v/>
      </c>
      <c r="AG2222" s="15" t="str">
        <f>IF(OR(AF2222="",AF2222="ERRO_CHAVE"),"",IFERROR(MATCH(AF2222,'quitado Despesa'!$V$1:$V$12,0),""))</f>
        <v/>
      </c>
      <c r="AH2222" s="15" t="str">
        <f t="shared" si="2"/>
        <v/>
      </c>
      <c r="AI2222" s="17" t="str">
        <f>IF(AG2222="","",INDEX('quitado Despesa'!$G$1:$G$12,AG2222))</f>
        <v/>
      </c>
      <c r="AJ2222" s="17" t="str">
        <f t="shared" si="3"/>
        <v/>
      </c>
    </row>
    <row r="2223" spans="31:36">
      <c r="AE2223" s="15" t="str">
        <f t="shared" si="0"/>
        <v/>
      </c>
      <c r="AF2223" s="15" t="str">
        <f t="shared" si="1"/>
        <v/>
      </c>
      <c r="AG2223" s="15" t="str">
        <f>IF(OR(AF2223="",AF2223="ERRO_CHAVE"),"",IFERROR(MATCH(AF2223,'quitado Despesa'!$V$1:$V$12,0),""))</f>
        <v/>
      </c>
      <c r="AH2223" s="15" t="str">
        <f t="shared" si="2"/>
        <v/>
      </c>
      <c r="AI2223" s="17" t="str">
        <f>IF(AG2223="","",INDEX('quitado Despesa'!$G$1:$G$12,AG2223))</f>
        <v/>
      </c>
      <c r="AJ2223" s="17" t="str">
        <f t="shared" si="3"/>
        <v/>
      </c>
    </row>
    <row r="2224" spans="31:36">
      <c r="AE2224" s="15" t="str">
        <f t="shared" si="0"/>
        <v/>
      </c>
      <c r="AF2224" s="15" t="str">
        <f t="shared" si="1"/>
        <v/>
      </c>
      <c r="AG2224" s="15" t="str">
        <f>IF(OR(AF2224="",AF2224="ERRO_CHAVE"),"",IFERROR(MATCH(AF2224,'quitado Despesa'!$V$1:$V$12,0),""))</f>
        <v/>
      </c>
      <c r="AH2224" s="15" t="str">
        <f t="shared" si="2"/>
        <v/>
      </c>
      <c r="AI2224" s="17" t="str">
        <f>IF(AG2224="","",INDEX('quitado Despesa'!$G$1:$G$12,AG2224))</f>
        <v/>
      </c>
      <c r="AJ2224" s="17" t="str">
        <f t="shared" si="3"/>
        <v/>
      </c>
    </row>
    <row r="2225" spans="31:36">
      <c r="AE2225" s="15" t="str">
        <f t="shared" si="0"/>
        <v/>
      </c>
      <c r="AF2225" s="15" t="str">
        <f t="shared" si="1"/>
        <v/>
      </c>
      <c r="AG2225" s="15" t="str">
        <f>IF(OR(AF2225="",AF2225="ERRO_CHAVE"),"",IFERROR(MATCH(AF2225,'quitado Despesa'!$V$1:$V$12,0),""))</f>
        <v/>
      </c>
      <c r="AH2225" s="15" t="str">
        <f t="shared" si="2"/>
        <v/>
      </c>
      <c r="AI2225" s="17" t="str">
        <f>IF(AG2225="","",INDEX('quitado Despesa'!$G$1:$G$12,AG2225))</f>
        <v/>
      </c>
      <c r="AJ2225" s="17" t="str">
        <f t="shared" si="3"/>
        <v/>
      </c>
    </row>
    <row r="2226" spans="31:36">
      <c r="AE2226" s="15" t="str">
        <f t="shared" si="0"/>
        <v/>
      </c>
      <c r="AF2226" s="15" t="str">
        <f t="shared" si="1"/>
        <v/>
      </c>
      <c r="AG2226" s="15" t="str">
        <f>IF(OR(AF2226="",AF2226="ERRO_CHAVE"),"",IFERROR(MATCH(AF2226,'quitado Despesa'!$V$1:$V$12,0),""))</f>
        <v/>
      </c>
      <c r="AH2226" s="15" t="str">
        <f t="shared" si="2"/>
        <v/>
      </c>
      <c r="AI2226" s="17" t="str">
        <f>IF(AG2226="","",INDEX('quitado Despesa'!$G$1:$G$12,AG2226))</f>
        <v/>
      </c>
      <c r="AJ2226" s="17" t="str">
        <f t="shared" si="3"/>
        <v/>
      </c>
    </row>
    <row r="2227" spans="31:36">
      <c r="AE2227" s="15" t="str">
        <f t="shared" si="0"/>
        <v/>
      </c>
      <c r="AF2227" s="15" t="str">
        <f t="shared" si="1"/>
        <v/>
      </c>
      <c r="AG2227" s="15" t="str">
        <f>IF(OR(AF2227="",AF2227="ERRO_CHAVE"),"",IFERROR(MATCH(AF2227,'quitado Despesa'!$V$1:$V$12,0),""))</f>
        <v/>
      </c>
      <c r="AH2227" s="15" t="str">
        <f t="shared" si="2"/>
        <v/>
      </c>
      <c r="AI2227" s="17" t="str">
        <f>IF(AG2227="","",INDEX('quitado Despesa'!$G$1:$G$12,AG2227))</f>
        <v/>
      </c>
      <c r="AJ2227" s="17" t="str">
        <f t="shared" si="3"/>
        <v/>
      </c>
    </row>
    <row r="2228" spans="31:36">
      <c r="AE2228" s="15" t="str">
        <f t="shared" si="0"/>
        <v/>
      </c>
      <c r="AF2228" s="15" t="str">
        <f t="shared" si="1"/>
        <v/>
      </c>
      <c r="AG2228" s="15" t="str">
        <f>IF(OR(AF2228="",AF2228="ERRO_CHAVE"),"",IFERROR(MATCH(AF2228,'quitado Despesa'!$V$1:$V$12,0),""))</f>
        <v/>
      </c>
      <c r="AH2228" s="15" t="str">
        <f t="shared" si="2"/>
        <v/>
      </c>
      <c r="AI2228" s="17" t="str">
        <f>IF(AG2228="","",INDEX('quitado Despesa'!$G$1:$G$12,AG2228))</f>
        <v/>
      </c>
      <c r="AJ2228" s="17" t="str">
        <f t="shared" si="3"/>
        <v/>
      </c>
    </row>
    <row r="2229" spans="31:36">
      <c r="AE2229" s="15" t="str">
        <f t="shared" si="0"/>
        <v/>
      </c>
      <c r="AF2229" s="15" t="str">
        <f t="shared" si="1"/>
        <v/>
      </c>
      <c r="AG2229" s="15" t="str">
        <f>IF(OR(AF2229="",AF2229="ERRO_CHAVE"),"",IFERROR(MATCH(AF2229,'quitado Despesa'!$V$1:$V$12,0),""))</f>
        <v/>
      </c>
      <c r="AH2229" s="15" t="str">
        <f t="shared" si="2"/>
        <v/>
      </c>
      <c r="AI2229" s="17" t="str">
        <f>IF(AG2229="","",INDEX('quitado Despesa'!$G$1:$G$12,AG2229))</f>
        <v/>
      </c>
      <c r="AJ2229" s="17" t="str">
        <f t="shared" si="3"/>
        <v/>
      </c>
    </row>
    <row r="2230" spans="31:36">
      <c r="AE2230" s="15" t="str">
        <f t="shared" si="0"/>
        <v/>
      </c>
      <c r="AF2230" s="15" t="str">
        <f t="shared" si="1"/>
        <v/>
      </c>
      <c r="AG2230" s="15" t="str">
        <f>IF(OR(AF2230="",AF2230="ERRO_CHAVE"),"",IFERROR(MATCH(AF2230,'quitado Despesa'!$V$1:$V$12,0),""))</f>
        <v/>
      </c>
      <c r="AH2230" s="15" t="str">
        <f t="shared" si="2"/>
        <v/>
      </c>
      <c r="AI2230" s="17" t="str">
        <f>IF(AG2230="","",INDEX('quitado Despesa'!$G$1:$G$12,AG2230))</f>
        <v/>
      </c>
      <c r="AJ2230" s="17" t="str">
        <f t="shared" si="3"/>
        <v/>
      </c>
    </row>
    <row r="2231" spans="31:36">
      <c r="AE2231" s="15" t="str">
        <f t="shared" si="0"/>
        <v/>
      </c>
      <c r="AF2231" s="15" t="str">
        <f t="shared" si="1"/>
        <v/>
      </c>
      <c r="AG2231" s="15" t="str">
        <f>IF(OR(AF2231="",AF2231="ERRO_CHAVE"),"",IFERROR(MATCH(AF2231,'quitado Despesa'!$V$1:$V$12,0),""))</f>
        <v/>
      </c>
      <c r="AH2231" s="15" t="str">
        <f t="shared" si="2"/>
        <v/>
      </c>
      <c r="AI2231" s="17" t="str">
        <f>IF(AG2231="","",INDEX('quitado Despesa'!$G$1:$G$12,AG2231))</f>
        <v/>
      </c>
      <c r="AJ2231" s="17" t="str">
        <f t="shared" si="3"/>
        <v/>
      </c>
    </row>
    <row r="2232" spans="31:36">
      <c r="AE2232" s="15" t="str">
        <f t="shared" si="0"/>
        <v/>
      </c>
      <c r="AF2232" s="15" t="str">
        <f t="shared" si="1"/>
        <v/>
      </c>
      <c r="AG2232" s="15" t="str">
        <f>IF(OR(AF2232="",AF2232="ERRO_CHAVE"),"",IFERROR(MATCH(AF2232,'quitado Despesa'!$V$1:$V$12,0),""))</f>
        <v/>
      </c>
      <c r="AH2232" s="15" t="str">
        <f t="shared" si="2"/>
        <v/>
      </c>
      <c r="AI2232" s="17" t="str">
        <f>IF(AG2232="","",INDEX('quitado Despesa'!$G$1:$G$12,AG2232))</f>
        <v/>
      </c>
      <c r="AJ2232" s="17" t="str">
        <f t="shared" si="3"/>
        <v/>
      </c>
    </row>
    <row r="2233" spans="31:36">
      <c r="AE2233" s="15" t="str">
        <f t="shared" si="0"/>
        <v/>
      </c>
      <c r="AF2233" s="15" t="str">
        <f t="shared" si="1"/>
        <v/>
      </c>
      <c r="AG2233" s="15" t="str">
        <f>IF(OR(AF2233="",AF2233="ERRO_CHAVE"),"",IFERROR(MATCH(AF2233,'quitado Despesa'!$V$1:$V$12,0),""))</f>
        <v/>
      </c>
      <c r="AH2233" s="15" t="str">
        <f t="shared" si="2"/>
        <v/>
      </c>
      <c r="AI2233" s="17" t="str">
        <f>IF(AG2233="","",INDEX('quitado Despesa'!$G$1:$G$12,AG2233))</f>
        <v/>
      </c>
      <c r="AJ2233" s="17" t="str">
        <f t="shared" si="3"/>
        <v/>
      </c>
    </row>
    <row r="2234" spans="31:36">
      <c r="AE2234" s="15" t="str">
        <f t="shared" si="0"/>
        <v/>
      </c>
      <c r="AF2234" s="15" t="str">
        <f t="shared" si="1"/>
        <v/>
      </c>
      <c r="AG2234" s="15" t="str">
        <f>IF(OR(AF2234="",AF2234="ERRO_CHAVE"),"",IFERROR(MATCH(AF2234,'quitado Despesa'!$V$1:$V$12,0),""))</f>
        <v/>
      </c>
      <c r="AH2234" s="15" t="str">
        <f t="shared" si="2"/>
        <v/>
      </c>
      <c r="AI2234" s="17" t="str">
        <f>IF(AG2234="","",INDEX('quitado Despesa'!$G$1:$G$12,AG2234))</f>
        <v/>
      </c>
      <c r="AJ2234" s="17" t="str">
        <f t="shared" si="3"/>
        <v/>
      </c>
    </row>
    <row r="2235" spans="31:36">
      <c r="AE2235" s="15" t="str">
        <f t="shared" si="0"/>
        <v/>
      </c>
      <c r="AF2235" s="15" t="str">
        <f t="shared" si="1"/>
        <v/>
      </c>
      <c r="AG2235" s="15" t="str">
        <f>IF(OR(AF2235="",AF2235="ERRO_CHAVE"),"",IFERROR(MATCH(AF2235,'quitado Despesa'!$V$1:$V$12,0),""))</f>
        <v/>
      </c>
      <c r="AH2235" s="15" t="str">
        <f t="shared" si="2"/>
        <v/>
      </c>
      <c r="AI2235" s="17" t="str">
        <f>IF(AG2235="","",INDEX('quitado Despesa'!$G$1:$G$12,AG2235))</f>
        <v/>
      </c>
      <c r="AJ2235" s="17" t="str">
        <f t="shared" si="3"/>
        <v/>
      </c>
    </row>
    <row r="2236" spans="31:36">
      <c r="AE2236" s="15" t="str">
        <f t="shared" si="0"/>
        <v/>
      </c>
      <c r="AF2236" s="15" t="str">
        <f t="shared" si="1"/>
        <v/>
      </c>
      <c r="AG2236" s="15" t="str">
        <f>IF(OR(AF2236="",AF2236="ERRO_CHAVE"),"",IFERROR(MATCH(AF2236,'quitado Despesa'!$V$1:$V$12,0),""))</f>
        <v/>
      </c>
      <c r="AH2236" s="15" t="str">
        <f t="shared" si="2"/>
        <v/>
      </c>
      <c r="AI2236" s="17" t="str">
        <f>IF(AG2236="","",INDEX('quitado Despesa'!$G$1:$G$12,AG2236))</f>
        <v/>
      </c>
      <c r="AJ2236" s="17" t="str">
        <f t="shared" si="3"/>
        <v/>
      </c>
    </row>
    <row r="2237" spans="31:36">
      <c r="AE2237" s="15" t="str">
        <f t="shared" si="0"/>
        <v/>
      </c>
      <c r="AF2237" s="15" t="str">
        <f t="shared" si="1"/>
        <v/>
      </c>
      <c r="AG2237" s="15" t="str">
        <f>IF(OR(AF2237="",AF2237="ERRO_CHAVE"),"",IFERROR(MATCH(AF2237,'quitado Despesa'!$V$1:$V$12,0),""))</f>
        <v/>
      </c>
      <c r="AH2237" s="15" t="str">
        <f t="shared" si="2"/>
        <v/>
      </c>
      <c r="AI2237" s="17" t="str">
        <f>IF(AG2237="","",INDEX('quitado Despesa'!$G$1:$G$12,AG2237))</f>
        <v/>
      </c>
      <c r="AJ2237" s="17" t="str">
        <f t="shared" si="3"/>
        <v/>
      </c>
    </row>
    <row r="2238" spans="31:36">
      <c r="AE2238" s="15" t="str">
        <f t="shared" si="0"/>
        <v/>
      </c>
      <c r="AF2238" s="15" t="str">
        <f t="shared" si="1"/>
        <v/>
      </c>
      <c r="AG2238" s="15" t="str">
        <f>IF(OR(AF2238="",AF2238="ERRO_CHAVE"),"",IFERROR(MATCH(AF2238,'quitado Despesa'!$V$1:$V$12,0),""))</f>
        <v/>
      </c>
      <c r="AH2238" s="15" t="str">
        <f t="shared" si="2"/>
        <v/>
      </c>
      <c r="AI2238" s="17" t="str">
        <f>IF(AG2238="","",INDEX('quitado Despesa'!$G$1:$G$12,AG2238))</f>
        <v/>
      </c>
      <c r="AJ2238" s="17" t="str">
        <f t="shared" si="3"/>
        <v/>
      </c>
    </row>
    <row r="2239" spans="31:36">
      <c r="AE2239" s="15" t="str">
        <f t="shared" si="0"/>
        <v/>
      </c>
      <c r="AF2239" s="15" t="str">
        <f t="shared" si="1"/>
        <v/>
      </c>
      <c r="AG2239" s="15" t="str">
        <f>IF(OR(AF2239="",AF2239="ERRO_CHAVE"),"",IFERROR(MATCH(AF2239,'quitado Despesa'!$V$1:$V$12,0),""))</f>
        <v/>
      </c>
      <c r="AH2239" s="15" t="str">
        <f t="shared" si="2"/>
        <v/>
      </c>
      <c r="AI2239" s="17" t="str">
        <f>IF(AG2239="","",INDEX('quitado Despesa'!$G$1:$G$12,AG2239))</f>
        <v/>
      </c>
      <c r="AJ2239" s="17" t="str">
        <f t="shared" si="3"/>
        <v/>
      </c>
    </row>
    <row r="2240" spans="31:36">
      <c r="AE2240" s="15" t="str">
        <f t="shared" si="0"/>
        <v/>
      </c>
      <c r="AF2240" s="15" t="str">
        <f t="shared" si="1"/>
        <v/>
      </c>
      <c r="AG2240" s="15" t="str">
        <f>IF(OR(AF2240="",AF2240="ERRO_CHAVE"),"",IFERROR(MATCH(AF2240,'quitado Despesa'!$V$1:$V$12,0),""))</f>
        <v/>
      </c>
      <c r="AH2240" s="15" t="str">
        <f t="shared" si="2"/>
        <v/>
      </c>
      <c r="AI2240" s="17" t="str">
        <f>IF(AG2240="","",INDEX('quitado Despesa'!$G$1:$G$12,AG2240))</f>
        <v/>
      </c>
      <c r="AJ2240" s="17" t="str">
        <f t="shared" si="3"/>
        <v/>
      </c>
    </row>
    <row r="2241" spans="31:36">
      <c r="AE2241" s="15" t="str">
        <f t="shared" si="0"/>
        <v/>
      </c>
      <c r="AF2241" s="15" t="str">
        <f t="shared" si="1"/>
        <v/>
      </c>
      <c r="AG2241" s="15" t="str">
        <f>IF(OR(AF2241="",AF2241="ERRO_CHAVE"),"",IFERROR(MATCH(AF2241,'quitado Despesa'!$V$1:$V$12,0),""))</f>
        <v/>
      </c>
      <c r="AH2241" s="15" t="str">
        <f t="shared" si="2"/>
        <v/>
      </c>
      <c r="AI2241" s="17" t="str">
        <f>IF(AG2241="","",INDEX('quitado Despesa'!$G$1:$G$12,AG2241))</f>
        <v/>
      </c>
      <c r="AJ2241" s="17" t="str">
        <f t="shared" si="3"/>
        <v/>
      </c>
    </row>
    <row r="2242" spans="31:36">
      <c r="AE2242" s="15" t="str">
        <f t="shared" si="0"/>
        <v/>
      </c>
      <c r="AF2242" s="15" t="str">
        <f t="shared" si="1"/>
        <v/>
      </c>
      <c r="AG2242" s="15" t="str">
        <f>IF(OR(AF2242="",AF2242="ERRO_CHAVE"),"",IFERROR(MATCH(AF2242,'quitado Despesa'!$V$1:$V$12,0),""))</f>
        <v/>
      </c>
      <c r="AH2242" s="15" t="str">
        <f t="shared" si="2"/>
        <v/>
      </c>
      <c r="AI2242" s="17" t="str">
        <f>IF(AG2242="","",INDEX('quitado Despesa'!$G$1:$G$12,AG2242))</f>
        <v/>
      </c>
      <c r="AJ2242" s="17" t="str">
        <f t="shared" si="3"/>
        <v/>
      </c>
    </row>
    <row r="2243" spans="31:36">
      <c r="AE2243" s="15" t="str">
        <f t="shared" si="0"/>
        <v/>
      </c>
      <c r="AF2243" s="15" t="str">
        <f t="shared" si="1"/>
        <v/>
      </c>
      <c r="AG2243" s="15" t="str">
        <f>IF(OR(AF2243="",AF2243="ERRO_CHAVE"),"",IFERROR(MATCH(AF2243,'quitado Despesa'!$V$1:$V$12,0),""))</f>
        <v/>
      </c>
      <c r="AH2243" s="15" t="str">
        <f t="shared" si="2"/>
        <v/>
      </c>
      <c r="AI2243" s="17" t="str">
        <f>IF(AG2243="","",INDEX('quitado Despesa'!$G$1:$G$12,AG2243))</f>
        <v/>
      </c>
      <c r="AJ2243" s="17" t="str">
        <f t="shared" si="3"/>
        <v/>
      </c>
    </row>
    <row r="2244" spans="31:36">
      <c r="AE2244" s="15" t="str">
        <f t="shared" si="0"/>
        <v/>
      </c>
      <c r="AF2244" s="15" t="str">
        <f t="shared" si="1"/>
        <v/>
      </c>
      <c r="AG2244" s="15" t="str">
        <f>IF(OR(AF2244="",AF2244="ERRO_CHAVE"),"",IFERROR(MATCH(AF2244,'quitado Despesa'!$V$1:$V$12,0),""))</f>
        <v/>
      </c>
      <c r="AH2244" s="15" t="str">
        <f t="shared" si="2"/>
        <v/>
      </c>
      <c r="AI2244" s="17" t="str">
        <f>IF(AG2244="","",INDEX('quitado Despesa'!$G$1:$G$12,AG2244))</f>
        <v/>
      </c>
      <c r="AJ2244" s="17" t="str">
        <f t="shared" si="3"/>
        <v/>
      </c>
    </row>
    <row r="2245" spans="31:36">
      <c r="AE2245" s="15" t="str">
        <f t="shared" si="0"/>
        <v/>
      </c>
      <c r="AF2245" s="15" t="str">
        <f t="shared" si="1"/>
        <v/>
      </c>
      <c r="AG2245" s="15" t="str">
        <f>IF(OR(AF2245="",AF2245="ERRO_CHAVE"),"",IFERROR(MATCH(AF2245,'quitado Despesa'!$V$1:$V$12,0),""))</f>
        <v/>
      </c>
      <c r="AH2245" s="15" t="str">
        <f t="shared" si="2"/>
        <v/>
      </c>
      <c r="AI2245" s="17" t="str">
        <f>IF(AG2245="","",INDEX('quitado Despesa'!$G$1:$G$12,AG2245))</f>
        <v/>
      </c>
      <c r="AJ2245" s="17" t="str">
        <f t="shared" si="3"/>
        <v/>
      </c>
    </row>
    <row r="2246" spans="31:36">
      <c r="AE2246" s="15" t="str">
        <f t="shared" si="0"/>
        <v/>
      </c>
      <c r="AF2246" s="15" t="str">
        <f t="shared" si="1"/>
        <v/>
      </c>
      <c r="AG2246" s="15" t="str">
        <f>IF(OR(AF2246="",AF2246="ERRO_CHAVE"),"",IFERROR(MATCH(AF2246,'quitado Despesa'!$V$1:$V$12,0),""))</f>
        <v/>
      </c>
      <c r="AH2246" s="15" t="str">
        <f t="shared" si="2"/>
        <v/>
      </c>
      <c r="AI2246" s="17" t="str">
        <f>IF(AG2246="","",INDEX('quitado Despesa'!$G$1:$G$12,AG2246))</f>
        <v/>
      </c>
      <c r="AJ2246" s="17" t="str">
        <f t="shared" si="3"/>
        <v/>
      </c>
    </row>
    <row r="2247" spans="31:36">
      <c r="AE2247" s="15" t="str">
        <f t="shared" si="0"/>
        <v/>
      </c>
      <c r="AF2247" s="15" t="str">
        <f t="shared" si="1"/>
        <v/>
      </c>
      <c r="AG2247" s="15" t="str">
        <f>IF(OR(AF2247="",AF2247="ERRO_CHAVE"),"",IFERROR(MATCH(AF2247,'quitado Despesa'!$V$1:$V$12,0),""))</f>
        <v/>
      </c>
      <c r="AH2247" s="15" t="str">
        <f t="shared" si="2"/>
        <v/>
      </c>
      <c r="AI2247" s="17" t="str">
        <f>IF(AG2247="","",INDEX('quitado Despesa'!$G$1:$G$12,AG2247))</f>
        <v/>
      </c>
      <c r="AJ2247" s="17" t="str">
        <f t="shared" si="3"/>
        <v/>
      </c>
    </row>
    <row r="2248" spans="31:36">
      <c r="AE2248" s="15" t="str">
        <f t="shared" si="0"/>
        <v/>
      </c>
      <c r="AF2248" s="15" t="str">
        <f t="shared" si="1"/>
        <v/>
      </c>
      <c r="AG2248" s="15" t="str">
        <f>IF(OR(AF2248="",AF2248="ERRO_CHAVE"),"",IFERROR(MATCH(AF2248,'quitado Despesa'!$V$1:$V$12,0),""))</f>
        <v/>
      </c>
      <c r="AH2248" s="15" t="str">
        <f t="shared" si="2"/>
        <v/>
      </c>
      <c r="AI2248" s="17" t="str">
        <f>IF(AG2248="","",INDEX('quitado Despesa'!$G$1:$G$12,AG2248))</f>
        <v/>
      </c>
      <c r="AJ2248" s="17" t="str">
        <f t="shared" si="3"/>
        <v/>
      </c>
    </row>
    <row r="2249" spans="31:36">
      <c r="AE2249" s="15" t="str">
        <f t="shared" si="0"/>
        <v/>
      </c>
      <c r="AF2249" s="15" t="str">
        <f t="shared" si="1"/>
        <v/>
      </c>
      <c r="AG2249" s="15" t="str">
        <f>IF(OR(AF2249="",AF2249="ERRO_CHAVE"),"",IFERROR(MATCH(AF2249,'quitado Despesa'!$V$1:$V$12,0),""))</f>
        <v/>
      </c>
      <c r="AH2249" s="15" t="str">
        <f t="shared" si="2"/>
        <v/>
      </c>
      <c r="AI2249" s="17" t="str">
        <f>IF(AG2249="","",INDEX('quitado Despesa'!$G$1:$G$12,AG2249))</f>
        <v/>
      </c>
      <c r="AJ2249" s="17" t="str">
        <f t="shared" si="3"/>
        <v/>
      </c>
    </row>
    <row r="2250" spans="31:36">
      <c r="AE2250" s="15" t="str">
        <f t="shared" si="0"/>
        <v/>
      </c>
      <c r="AF2250" s="15" t="str">
        <f t="shared" si="1"/>
        <v/>
      </c>
      <c r="AG2250" s="15" t="str">
        <f>IF(OR(AF2250="",AF2250="ERRO_CHAVE"),"",IFERROR(MATCH(AF2250,'quitado Despesa'!$V$1:$V$12,0),""))</f>
        <v/>
      </c>
      <c r="AH2250" s="15" t="str">
        <f t="shared" si="2"/>
        <v/>
      </c>
      <c r="AI2250" s="17" t="str">
        <f>IF(AG2250="","",INDEX('quitado Despesa'!$G$1:$G$12,AG2250))</f>
        <v/>
      </c>
      <c r="AJ2250" s="17" t="str">
        <f t="shared" si="3"/>
        <v/>
      </c>
    </row>
    <row r="2251" spans="31:36">
      <c r="AE2251" s="15" t="str">
        <f t="shared" si="0"/>
        <v/>
      </c>
      <c r="AF2251" s="15" t="str">
        <f t="shared" si="1"/>
        <v/>
      </c>
      <c r="AG2251" s="15" t="str">
        <f>IF(OR(AF2251="",AF2251="ERRO_CHAVE"),"",IFERROR(MATCH(AF2251,'quitado Despesa'!$V$1:$V$12,0),""))</f>
        <v/>
      </c>
      <c r="AH2251" s="15" t="str">
        <f t="shared" si="2"/>
        <v/>
      </c>
      <c r="AI2251" s="17" t="str">
        <f>IF(AG2251="","",INDEX('quitado Despesa'!$G$1:$G$12,AG2251))</f>
        <v/>
      </c>
      <c r="AJ2251" s="17" t="str">
        <f t="shared" si="3"/>
        <v/>
      </c>
    </row>
    <row r="2252" spans="31:36">
      <c r="AE2252" s="15" t="str">
        <f t="shared" si="0"/>
        <v/>
      </c>
      <c r="AF2252" s="15" t="str">
        <f t="shared" si="1"/>
        <v/>
      </c>
      <c r="AG2252" s="15" t="str">
        <f>IF(OR(AF2252="",AF2252="ERRO_CHAVE"),"",IFERROR(MATCH(AF2252,'quitado Despesa'!$V$1:$V$12,0),""))</f>
        <v/>
      </c>
      <c r="AH2252" s="15" t="str">
        <f t="shared" si="2"/>
        <v/>
      </c>
      <c r="AI2252" s="17" t="str">
        <f>IF(AG2252="","",INDEX('quitado Despesa'!$G$1:$G$12,AG2252))</f>
        <v/>
      </c>
      <c r="AJ2252" s="17" t="str">
        <f t="shared" si="3"/>
        <v/>
      </c>
    </row>
    <row r="2253" spans="31:36">
      <c r="AE2253" s="15" t="str">
        <f t="shared" si="0"/>
        <v/>
      </c>
      <c r="AF2253" s="15" t="str">
        <f t="shared" si="1"/>
        <v/>
      </c>
      <c r="AG2253" s="15" t="str">
        <f>IF(OR(AF2253="",AF2253="ERRO_CHAVE"),"",IFERROR(MATCH(AF2253,'quitado Despesa'!$V$1:$V$12,0),""))</f>
        <v/>
      </c>
      <c r="AH2253" s="15" t="str">
        <f t="shared" si="2"/>
        <v/>
      </c>
      <c r="AI2253" s="17" t="str">
        <f>IF(AG2253="","",INDEX('quitado Despesa'!$G$1:$G$12,AG2253))</f>
        <v/>
      </c>
      <c r="AJ2253" s="17" t="str">
        <f t="shared" si="3"/>
        <v/>
      </c>
    </row>
    <row r="2254" spans="31:36">
      <c r="AE2254" s="15" t="str">
        <f t="shared" si="0"/>
        <v/>
      </c>
      <c r="AF2254" s="15" t="str">
        <f t="shared" si="1"/>
        <v/>
      </c>
      <c r="AG2254" s="15" t="str">
        <f>IF(OR(AF2254="",AF2254="ERRO_CHAVE"),"",IFERROR(MATCH(AF2254,'quitado Despesa'!$V$1:$V$12,0),""))</f>
        <v/>
      </c>
      <c r="AH2254" s="15" t="str">
        <f t="shared" si="2"/>
        <v/>
      </c>
      <c r="AI2254" s="17" t="str">
        <f>IF(AG2254="","",INDEX('quitado Despesa'!$G$1:$G$12,AG2254))</f>
        <v/>
      </c>
      <c r="AJ2254" s="17" t="str">
        <f t="shared" si="3"/>
        <v/>
      </c>
    </row>
    <row r="2255" spans="31:36">
      <c r="AE2255" s="15" t="str">
        <f t="shared" si="0"/>
        <v/>
      </c>
      <c r="AF2255" s="15" t="str">
        <f t="shared" si="1"/>
        <v/>
      </c>
      <c r="AG2255" s="15" t="str">
        <f>IF(OR(AF2255="",AF2255="ERRO_CHAVE"),"",IFERROR(MATCH(AF2255,'quitado Despesa'!$V$1:$V$12,0),""))</f>
        <v/>
      </c>
      <c r="AH2255" s="15" t="str">
        <f t="shared" si="2"/>
        <v/>
      </c>
      <c r="AI2255" s="17" t="str">
        <f>IF(AG2255="","",INDEX('quitado Despesa'!$G$1:$G$12,AG2255))</f>
        <v/>
      </c>
      <c r="AJ2255" s="17" t="str">
        <f t="shared" si="3"/>
        <v/>
      </c>
    </row>
    <row r="2256" spans="31:36">
      <c r="AE2256" s="15" t="str">
        <f t="shared" si="0"/>
        <v/>
      </c>
      <c r="AF2256" s="15" t="str">
        <f t="shared" si="1"/>
        <v/>
      </c>
      <c r="AG2256" s="15" t="str">
        <f>IF(OR(AF2256="",AF2256="ERRO_CHAVE"),"",IFERROR(MATCH(AF2256,'quitado Despesa'!$V$1:$V$12,0),""))</f>
        <v/>
      </c>
      <c r="AH2256" s="15" t="str">
        <f t="shared" si="2"/>
        <v/>
      </c>
      <c r="AI2256" s="17" t="str">
        <f>IF(AG2256="","",INDEX('quitado Despesa'!$G$1:$G$12,AG2256))</f>
        <v/>
      </c>
      <c r="AJ2256" s="17" t="str">
        <f t="shared" si="3"/>
        <v/>
      </c>
    </row>
    <row r="2257" spans="31:36">
      <c r="AE2257" s="15" t="str">
        <f t="shared" si="0"/>
        <v/>
      </c>
      <c r="AF2257" s="15" t="str">
        <f t="shared" si="1"/>
        <v/>
      </c>
      <c r="AG2257" s="15" t="str">
        <f>IF(OR(AF2257="",AF2257="ERRO_CHAVE"),"",IFERROR(MATCH(AF2257,'quitado Despesa'!$V$1:$V$12,0),""))</f>
        <v/>
      </c>
      <c r="AH2257" s="15" t="str">
        <f t="shared" si="2"/>
        <v/>
      </c>
      <c r="AI2257" s="17" t="str">
        <f>IF(AG2257="","",INDEX('quitado Despesa'!$G$1:$G$12,AG2257))</f>
        <v/>
      </c>
      <c r="AJ2257" s="17" t="str">
        <f t="shared" si="3"/>
        <v/>
      </c>
    </row>
    <row r="2258" spans="31:36">
      <c r="AE2258" s="15" t="str">
        <f t="shared" si="0"/>
        <v/>
      </c>
      <c r="AF2258" s="15" t="str">
        <f t="shared" si="1"/>
        <v/>
      </c>
      <c r="AG2258" s="15" t="str">
        <f>IF(OR(AF2258="",AF2258="ERRO_CHAVE"),"",IFERROR(MATCH(AF2258,'quitado Despesa'!$V$1:$V$12,0),""))</f>
        <v/>
      </c>
      <c r="AH2258" s="15" t="str">
        <f t="shared" si="2"/>
        <v/>
      </c>
      <c r="AI2258" s="17" t="str">
        <f>IF(AG2258="","",INDEX('quitado Despesa'!$G$1:$G$12,AG2258))</f>
        <v/>
      </c>
      <c r="AJ2258" s="17" t="str">
        <f t="shared" si="3"/>
        <v/>
      </c>
    </row>
    <row r="2259" spans="31:36">
      <c r="AE2259" s="15" t="str">
        <f t="shared" si="0"/>
        <v/>
      </c>
      <c r="AF2259" s="15" t="str">
        <f t="shared" si="1"/>
        <v/>
      </c>
      <c r="AG2259" s="15" t="str">
        <f>IF(OR(AF2259="",AF2259="ERRO_CHAVE"),"",IFERROR(MATCH(AF2259,'quitado Despesa'!$V$1:$V$12,0),""))</f>
        <v/>
      </c>
      <c r="AH2259" s="15" t="str">
        <f t="shared" si="2"/>
        <v/>
      </c>
      <c r="AI2259" s="17" t="str">
        <f>IF(AG2259="","",INDEX('quitado Despesa'!$G$1:$G$12,AG2259))</f>
        <v/>
      </c>
      <c r="AJ2259" s="17" t="str">
        <f t="shared" si="3"/>
        <v/>
      </c>
    </row>
    <row r="2260" spans="31:36">
      <c r="AE2260" s="15" t="str">
        <f t="shared" si="0"/>
        <v/>
      </c>
      <c r="AF2260" s="15" t="str">
        <f t="shared" si="1"/>
        <v/>
      </c>
      <c r="AG2260" s="15" t="str">
        <f>IF(OR(AF2260="",AF2260="ERRO_CHAVE"),"",IFERROR(MATCH(AF2260,'quitado Despesa'!$V$1:$V$12,0),""))</f>
        <v/>
      </c>
      <c r="AH2260" s="15" t="str">
        <f t="shared" si="2"/>
        <v/>
      </c>
      <c r="AI2260" s="17" t="str">
        <f>IF(AG2260="","",INDEX('quitado Despesa'!$G$1:$G$12,AG2260))</f>
        <v/>
      </c>
      <c r="AJ2260" s="17" t="str">
        <f t="shared" si="3"/>
        <v/>
      </c>
    </row>
    <row r="2261" spans="31:36">
      <c r="AE2261" s="15" t="str">
        <f t="shared" si="0"/>
        <v/>
      </c>
      <c r="AF2261" s="15" t="str">
        <f t="shared" si="1"/>
        <v/>
      </c>
      <c r="AG2261" s="15" t="str">
        <f>IF(OR(AF2261="",AF2261="ERRO_CHAVE"),"",IFERROR(MATCH(AF2261,'quitado Despesa'!$V$1:$V$12,0),""))</f>
        <v/>
      </c>
      <c r="AH2261" s="15" t="str">
        <f t="shared" si="2"/>
        <v/>
      </c>
      <c r="AI2261" s="17" t="str">
        <f>IF(AG2261="","",INDEX('quitado Despesa'!$G$1:$G$12,AG2261))</f>
        <v/>
      </c>
      <c r="AJ2261" s="17" t="str">
        <f t="shared" si="3"/>
        <v/>
      </c>
    </row>
    <row r="2262" spans="31:36">
      <c r="AE2262" s="15" t="str">
        <f t="shared" si="0"/>
        <v/>
      </c>
      <c r="AF2262" s="15" t="str">
        <f t="shared" si="1"/>
        <v/>
      </c>
      <c r="AG2262" s="15" t="str">
        <f>IF(OR(AF2262="",AF2262="ERRO_CHAVE"),"",IFERROR(MATCH(AF2262,'quitado Despesa'!$V$1:$V$12,0),""))</f>
        <v/>
      </c>
      <c r="AH2262" s="15" t="str">
        <f t="shared" si="2"/>
        <v/>
      </c>
      <c r="AI2262" s="17" t="str">
        <f>IF(AG2262="","",INDEX('quitado Despesa'!$G$1:$G$12,AG2262))</f>
        <v/>
      </c>
      <c r="AJ2262" s="17" t="str">
        <f t="shared" si="3"/>
        <v/>
      </c>
    </row>
    <row r="2263" spans="31:36">
      <c r="AE2263" s="15" t="str">
        <f t="shared" si="0"/>
        <v/>
      </c>
      <c r="AF2263" s="15" t="str">
        <f t="shared" si="1"/>
        <v/>
      </c>
      <c r="AG2263" s="15" t="str">
        <f>IF(OR(AF2263="",AF2263="ERRO_CHAVE"),"",IFERROR(MATCH(AF2263,'quitado Despesa'!$V$1:$V$12,0),""))</f>
        <v/>
      </c>
      <c r="AH2263" s="15" t="str">
        <f t="shared" si="2"/>
        <v/>
      </c>
      <c r="AI2263" s="17" t="str">
        <f>IF(AG2263="","",INDEX('quitado Despesa'!$G$1:$G$12,AG2263))</f>
        <v/>
      </c>
      <c r="AJ2263" s="17" t="str">
        <f t="shared" si="3"/>
        <v/>
      </c>
    </row>
    <row r="2264" spans="31:36">
      <c r="AE2264" s="15" t="str">
        <f t="shared" si="0"/>
        <v/>
      </c>
      <c r="AF2264" s="15" t="str">
        <f t="shared" si="1"/>
        <v/>
      </c>
      <c r="AG2264" s="15" t="str">
        <f>IF(OR(AF2264="",AF2264="ERRO_CHAVE"),"",IFERROR(MATCH(AF2264,'quitado Despesa'!$V$1:$V$12,0),""))</f>
        <v/>
      </c>
      <c r="AH2264" s="15" t="str">
        <f t="shared" si="2"/>
        <v/>
      </c>
      <c r="AI2264" s="17" t="str">
        <f>IF(AG2264="","",INDEX('quitado Despesa'!$G$1:$G$12,AG2264))</f>
        <v/>
      </c>
      <c r="AJ2264" s="17" t="str">
        <f t="shared" si="3"/>
        <v/>
      </c>
    </row>
    <row r="2265" spans="31:36">
      <c r="AE2265" s="15" t="str">
        <f t="shared" si="0"/>
        <v/>
      </c>
      <c r="AF2265" s="15" t="str">
        <f t="shared" si="1"/>
        <v/>
      </c>
      <c r="AG2265" s="15" t="str">
        <f>IF(OR(AF2265="",AF2265="ERRO_CHAVE"),"",IFERROR(MATCH(AF2265,'quitado Despesa'!$V$1:$V$12,0),""))</f>
        <v/>
      </c>
      <c r="AH2265" s="15" t="str">
        <f t="shared" si="2"/>
        <v/>
      </c>
      <c r="AI2265" s="17" t="str">
        <f>IF(AG2265="","",INDEX('quitado Despesa'!$G$1:$G$12,AG2265))</f>
        <v/>
      </c>
      <c r="AJ2265" s="17" t="str">
        <f t="shared" si="3"/>
        <v/>
      </c>
    </row>
    <row r="2266" spans="31:36">
      <c r="AE2266" s="15" t="str">
        <f t="shared" si="0"/>
        <v/>
      </c>
      <c r="AF2266" s="15" t="str">
        <f t="shared" si="1"/>
        <v/>
      </c>
      <c r="AG2266" s="15" t="str">
        <f>IF(OR(AF2266="",AF2266="ERRO_CHAVE"),"",IFERROR(MATCH(AF2266,'quitado Despesa'!$V$1:$V$12,0),""))</f>
        <v/>
      </c>
      <c r="AH2266" s="15" t="str">
        <f t="shared" si="2"/>
        <v/>
      </c>
      <c r="AI2266" s="17" t="str">
        <f>IF(AG2266="","",INDEX('quitado Despesa'!$G$1:$G$12,AG2266))</f>
        <v/>
      </c>
      <c r="AJ2266" s="17" t="str">
        <f t="shared" si="3"/>
        <v/>
      </c>
    </row>
    <row r="2267" spans="31:36">
      <c r="AE2267" s="15" t="str">
        <f t="shared" si="0"/>
        <v/>
      </c>
      <c r="AF2267" s="15" t="str">
        <f t="shared" si="1"/>
        <v/>
      </c>
      <c r="AG2267" s="15" t="str">
        <f>IF(OR(AF2267="",AF2267="ERRO_CHAVE"),"",IFERROR(MATCH(AF2267,'quitado Despesa'!$V$1:$V$12,0),""))</f>
        <v/>
      </c>
      <c r="AH2267" s="15" t="str">
        <f t="shared" si="2"/>
        <v/>
      </c>
      <c r="AI2267" s="17" t="str">
        <f>IF(AG2267="","",INDEX('quitado Despesa'!$G$1:$G$12,AG2267))</f>
        <v/>
      </c>
      <c r="AJ2267" s="17" t="str">
        <f t="shared" si="3"/>
        <v/>
      </c>
    </row>
    <row r="2268" spans="31:36">
      <c r="AE2268" s="15" t="str">
        <f t="shared" si="0"/>
        <v/>
      </c>
      <c r="AF2268" s="15" t="str">
        <f t="shared" si="1"/>
        <v/>
      </c>
      <c r="AG2268" s="15" t="str">
        <f>IF(OR(AF2268="",AF2268="ERRO_CHAVE"),"",IFERROR(MATCH(AF2268,'quitado Despesa'!$V$1:$V$12,0),""))</f>
        <v/>
      </c>
      <c r="AH2268" s="15" t="str">
        <f t="shared" si="2"/>
        <v/>
      </c>
      <c r="AI2268" s="17" t="str">
        <f>IF(AG2268="","",INDEX('quitado Despesa'!$G$1:$G$12,AG2268))</f>
        <v/>
      </c>
      <c r="AJ2268" s="17" t="str">
        <f t="shared" si="3"/>
        <v/>
      </c>
    </row>
    <row r="2269" spans="31:36">
      <c r="AE2269" s="15" t="str">
        <f t="shared" si="0"/>
        <v/>
      </c>
      <c r="AF2269" s="15" t="str">
        <f t="shared" si="1"/>
        <v/>
      </c>
      <c r="AG2269" s="15" t="str">
        <f>IF(OR(AF2269="",AF2269="ERRO_CHAVE"),"",IFERROR(MATCH(AF2269,'quitado Despesa'!$V$1:$V$12,0),""))</f>
        <v/>
      </c>
      <c r="AH2269" s="15" t="str">
        <f t="shared" si="2"/>
        <v/>
      </c>
      <c r="AI2269" s="17" t="str">
        <f>IF(AG2269="","",INDEX('quitado Despesa'!$G$1:$G$12,AG2269))</f>
        <v/>
      </c>
      <c r="AJ2269" s="17" t="str">
        <f t="shared" si="3"/>
        <v/>
      </c>
    </row>
    <row r="2270" spans="31:36">
      <c r="AE2270" s="15" t="str">
        <f t="shared" si="0"/>
        <v/>
      </c>
      <c r="AF2270" s="15" t="str">
        <f t="shared" si="1"/>
        <v/>
      </c>
      <c r="AG2270" s="15" t="str">
        <f>IF(OR(AF2270="",AF2270="ERRO_CHAVE"),"",IFERROR(MATCH(AF2270,'quitado Despesa'!$V$1:$V$12,0),""))</f>
        <v/>
      </c>
      <c r="AH2270" s="15" t="str">
        <f t="shared" si="2"/>
        <v/>
      </c>
      <c r="AI2270" s="17" t="str">
        <f>IF(AG2270="","",INDEX('quitado Despesa'!$G$1:$G$12,AG2270))</f>
        <v/>
      </c>
      <c r="AJ2270" s="17" t="str">
        <f t="shared" si="3"/>
        <v/>
      </c>
    </row>
    <row r="2271" spans="31:36">
      <c r="AE2271" s="15" t="str">
        <f t="shared" si="0"/>
        <v/>
      </c>
      <c r="AF2271" s="15" t="str">
        <f t="shared" si="1"/>
        <v/>
      </c>
      <c r="AG2271" s="15" t="str">
        <f>IF(OR(AF2271="",AF2271="ERRO_CHAVE"),"",IFERROR(MATCH(AF2271,'quitado Despesa'!$V$1:$V$12,0),""))</f>
        <v/>
      </c>
      <c r="AH2271" s="15" t="str">
        <f t="shared" si="2"/>
        <v/>
      </c>
      <c r="AI2271" s="17" t="str">
        <f>IF(AG2271="","",INDEX('quitado Despesa'!$G$1:$G$12,AG2271))</f>
        <v/>
      </c>
      <c r="AJ2271" s="17" t="str">
        <f t="shared" si="3"/>
        <v/>
      </c>
    </row>
    <row r="2272" spans="31:36">
      <c r="AE2272" s="15" t="str">
        <f t="shared" si="0"/>
        <v/>
      </c>
      <c r="AF2272" s="15" t="str">
        <f t="shared" si="1"/>
        <v/>
      </c>
      <c r="AG2272" s="15" t="str">
        <f>IF(OR(AF2272="",AF2272="ERRO_CHAVE"),"",IFERROR(MATCH(AF2272,'quitado Despesa'!$V$1:$V$12,0),""))</f>
        <v/>
      </c>
      <c r="AH2272" s="15" t="str">
        <f t="shared" si="2"/>
        <v/>
      </c>
      <c r="AI2272" s="17" t="str">
        <f>IF(AG2272="","",INDEX('quitado Despesa'!$G$1:$G$12,AG2272))</f>
        <v/>
      </c>
      <c r="AJ2272" s="17" t="str">
        <f t="shared" si="3"/>
        <v/>
      </c>
    </row>
    <row r="2273" spans="31:36">
      <c r="AE2273" s="15" t="str">
        <f t="shared" si="0"/>
        <v/>
      </c>
      <c r="AF2273" s="15" t="str">
        <f t="shared" si="1"/>
        <v/>
      </c>
      <c r="AG2273" s="15" t="str">
        <f>IF(OR(AF2273="",AF2273="ERRO_CHAVE"),"",IFERROR(MATCH(AF2273,'quitado Despesa'!$V$1:$V$12,0),""))</f>
        <v/>
      </c>
      <c r="AH2273" s="15" t="str">
        <f t="shared" si="2"/>
        <v/>
      </c>
      <c r="AI2273" s="17" t="str">
        <f>IF(AG2273="","",INDEX('quitado Despesa'!$G$1:$G$12,AG2273))</f>
        <v/>
      </c>
      <c r="AJ2273" s="17" t="str">
        <f t="shared" si="3"/>
        <v/>
      </c>
    </row>
    <row r="2274" spans="31:36">
      <c r="AE2274" s="15" t="str">
        <f t="shared" si="0"/>
        <v/>
      </c>
      <c r="AF2274" s="15" t="str">
        <f t="shared" si="1"/>
        <v/>
      </c>
      <c r="AG2274" s="15" t="str">
        <f>IF(OR(AF2274="",AF2274="ERRO_CHAVE"),"",IFERROR(MATCH(AF2274,'quitado Despesa'!$V$1:$V$12,0),""))</f>
        <v/>
      </c>
      <c r="AH2274" s="15" t="str">
        <f t="shared" si="2"/>
        <v/>
      </c>
      <c r="AI2274" s="17" t="str">
        <f>IF(AG2274="","",INDEX('quitado Despesa'!$G$1:$G$12,AG2274))</f>
        <v/>
      </c>
      <c r="AJ2274" s="17" t="str">
        <f t="shared" si="3"/>
        <v/>
      </c>
    </row>
    <row r="2275" spans="31:36">
      <c r="AE2275" s="15" t="str">
        <f t="shared" si="0"/>
        <v/>
      </c>
      <c r="AF2275" s="15" t="str">
        <f t="shared" si="1"/>
        <v/>
      </c>
      <c r="AG2275" s="15" t="str">
        <f>IF(OR(AF2275="",AF2275="ERRO_CHAVE"),"",IFERROR(MATCH(AF2275,'quitado Despesa'!$V$1:$V$12,0),""))</f>
        <v/>
      </c>
      <c r="AH2275" s="15" t="str">
        <f t="shared" si="2"/>
        <v/>
      </c>
      <c r="AI2275" s="17" t="str">
        <f>IF(AG2275="","",INDEX('quitado Despesa'!$G$1:$G$12,AG2275))</f>
        <v/>
      </c>
      <c r="AJ2275" s="17" t="str">
        <f t="shared" si="3"/>
        <v/>
      </c>
    </row>
    <row r="2276" spans="31:36">
      <c r="AE2276" s="15" t="str">
        <f t="shared" si="0"/>
        <v/>
      </c>
      <c r="AF2276" s="15" t="str">
        <f t="shared" si="1"/>
        <v/>
      </c>
      <c r="AG2276" s="15" t="str">
        <f>IF(OR(AF2276="",AF2276="ERRO_CHAVE"),"",IFERROR(MATCH(AF2276,'quitado Despesa'!$V$1:$V$12,0),""))</f>
        <v/>
      </c>
      <c r="AH2276" s="15" t="str">
        <f t="shared" si="2"/>
        <v/>
      </c>
      <c r="AI2276" s="17" t="str">
        <f>IF(AG2276="","",INDEX('quitado Despesa'!$G$1:$G$12,AG2276))</f>
        <v/>
      </c>
      <c r="AJ2276" s="17" t="str">
        <f t="shared" si="3"/>
        <v/>
      </c>
    </row>
    <row r="2277" spans="31:36">
      <c r="AE2277" s="15" t="str">
        <f t="shared" si="0"/>
        <v/>
      </c>
      <c r="AF2277" s="15" t="str">
        <f t="shared" si="1"/>
        <v/>
      </c>
      <c r="AG2277" s="15" t="str">
        <f>IF(OR(AF2277="",AF2277="ERRO_CHAVE"),"",IFERROR(MATCH(AF2277,'quitado Despesa'!$V$1:$V$12,0),""))</f>
        <v/>
      </c>
      <c r="AH2277" s="15" t="str">
        <f t="shared" si="2"/>
        <v/>
      </c>
      <c r="AI2277" s="17" t="str">
        <f>IF(AG2277="","",INDEX('quitado Despesa'!$G$1:$G$12,AG2277))</f>
        <v/>
      </c>
      <c r="AJ2277" s="17" t="str">
        <f t="shared" si="3"/>
        <v/>
      </c>
    </row>
    <row r="2278" spans="31:36">
      <c r="AE2278" s="15" t="str">
        <f t="shared" si="0"/>
        <v/>
      </c>
      <c r="AF2278" s="15" t="str">
        <f t="shared" si="1"/>
        <v/>
      </c>
      <c r="AG2278" s="15" t="str">
        <f>IF(OR(AF2278="",AF2278="ERRO_CHAVE"),"",IFERROR(MATCH(AF2278,'quitado Despesa'!$V$1:$V$12,0),""))</f>
        <v/>
      </c>
      <c r="AH2278" s="15" t="str">
        <f t="shared" si="2"/>
        <v/>
      </c>
      <c r="AI2278" s="17" t="str">
        <f>IF(AG2278="","",INDEX('quitado Despesa'!$G$1:$G$12,AG2278))</f>
        <v/>
      </c>
      <c r="AJ2278" s="17" t="str">
        <f t="shared" si="3"/>
        <v/>
      </c>
    </row>
    <row r="2279" spans="31:36">
      <c r="AE2279" s="15" t="str">
        <f t="shared" si="0"/>
        <v/>
      </c>
      <c r="AF2279" s="15" t="str">
        <f t="shared" si="1"/>
        <v/>
      </c>
      <c r="AG2279" s="15" t="str">
        <f>IF(OR(AF2279="",AF2279="ERRO_CHAVE"),"",IFERROR(MATCH(AF2279,'quitado Despesa'!$V$1:$V$12,0),""))</f>
        <v/>
      </c>
      <c r="AH2279" s="15" t="str">
        <f t="shared" si="2"/>
        <v/>
      </c>
      <c r="AI2279" s="17" t="str">
        <f>IF(AG2279="","",INDEX('quitado Despesa'!$G$1:$G$12,AG2279))</f>
        <v/>
      </c>
      <c r="AJ2279" s="17" t="str">
        <f t="shared" si="3"/>
        <v/>
      </c>
    </row>
    <row r="2280" spans="31:36">
      <c r="AE2280" s="15" t="str">
        <f t="shared" si="0"/>
        <v/>
      </c>
      <c r="AF2280" s="15" t="str">
        <f t="shared" si="1"/>
        <v/>
      </c>
      <c r="AG2280" s="15" t="str">
        <f>IF(OR(AF2280="",AF2280="ERRO_CHAVE"),"",IFERROR(MATCH(AF2280,'quitado Despesa'!$V$1:$V$12,0),""))</f>
        <v/>
      </c>
      <c r="AH2280" s="15" t="str">
        <f t="shared" si="2"/>
        <v/>
      </c>
      <c r="AI2280" s="17" t="str">
        <f>IF(AG2280="","",INDEX('quitado Despesa'!$G$1:$G$12,AG2280))</f>
        <v/>
      </c>
      <c r="AJ2280" s="17" t="str">
        <f t="shared" si="3"/>
        <v/>
      </c>
    </row>
    <row r="2281" spans="31:36">
      <c r="AE2281" s="15" t="str">
        <f t="shared" si="0"/>
        <v/>
      </c>
      <c r="AF2281" s="15" t="str">
        <f t="shared" si="1"/>
        <v/>
      </c>
      <c r="AG2281" s="15" t="str">
        <f>IF(OR(AF2281="",AF2281="ERRO_CHAVE"),"",IFERROR(MATCH(AF2281,'quitado Despesa'!$V$1:$V$12,0),""))</f>
        <v/>
      </c>
      <c r="AH2281" s="15" t="str">
        <f t="shared" si="2"/>
        <v/>
      </c>
      <c r="AI2281" s="17" t="str">
        <f>IF(AG2281="","",INDEX('quitado Despesa'!$G$1:$G$12,AG2281))</f>
        <v/>
      </c>
      <c r="AJ2281" s="17" t="str">
        <f t="shared" si="3"/>
        <v/>
      </c>
    </row>
    <row r="2282" spans="31:36">
      <c r="AE2282" s="15" t="str">
        <f t="shared" si="0"/>
        <v/>
      </c>
      <c r="AF2282" s="15" t="str">
        <f t="shared" si="1"/>
        <v/>
      </c>
      <c r="AG2282" s="15" t="str">
        <f>IF(OR(AF2282="",AF2282="ERRO_CHAVE"),"",IFERROR(MATCH(AF2282,'quitado Despesa'!$V$1:$V$12,0),""))</f>
        <v/>
      </c>
      <c r="AH2282" s="15" t="str">
        <f t="shared" si="2"/>
        <v/>
      </c>
      <c r="AI2282" s="17" t="str">
        <f>IF(AG2282="","",INDEX('quitado Despesa'!$G$1:$G$12,AG2282))</f>
        <v/>
      </c>
      <c r="AJ2282" s="17" t="str">
        <f t="shared" si="3"/>
        <v/>
      </c>
    </row>
    <row r="2283" spans="31:36">
      <c r="AE2283" s="15" t="str">
        <f t="shared" si="0"/>
        <v/>
      </c>
      <c r="AF2283" s="15" t="str">
        <f t="shared" si="1"/>
        <v/>
      </c>
      <c r="AG2283" s="15" t="str">
        <f>IF(OR(AF2283="",AF2283="ERRO_CHAVE"),"",IFERROR(MATCH(AF2283,'quitado Despesa'!$V$1:$V$12,0),""))</f>
        <v/>
      </c>
      <c r="AH2283" s="15" t="str">
        <f t="shared" si="2"/>
        <v/>
      </c>
      <c r="AI2283" s="17" t="str">
        <f>IF(AG2283="","",INDEX('quitado Despesa'!$G$1:$G$12,AG2283))</f>
        <v/>
      </c>
      <c r="AJ2283" s="17" t="str">
        <f t="shared" si="3"/>
        <v/>
      </c>
    </row>
    <row r="2284" spans="31:36">
      <c r="AE2284" s="15" t="str">
        <f t="shared" si="0"/>
        <v/>
      </c>
      <c r="AF2284" s="15" t="str">
        <f t="shared" si="1"/>
        <v/>
      </c>
      <c r="AG2284" s="15" t="str">
        <f>IF(OR(AF2284="",AF2284="ERRO_CHAVE"),"",IFERROR(MATCH(AF2284,'quitado Despesa'!$V$1:$V$12,0),""))</f>
        <v/>
      </c>
      <c r="AH2284" s="15" t="str">
        <f t="shared" si="2"/>
        <v/>
      </c>
      <c r="AI2284" s="17" t="str">
        <f>IF(AG2284="","",INDEX('quitado Despesa'!$G$1:$G$12,AG2284))</f>
        <v/>
      </c>
      <c r="AJ2284" s="17" t="str">
        <f t="shared" si="3"/>
        <v/>
      </c>
    </row>
    <row r="2285" spans="31:36">
      <c r="AE2285" s="15" t="str">
        <f t="shared" si="0"/>
        <v/>
      </c>
      <c r="AF2285" s="15" t="str">
        <f t="shared" si="1"/>
        <v/>
      </c>
      <c r="AG2285" s="15" t="str">
        <f>IF(OR(AF2285="",AF2285="ERRO_CHAVE"),"",IFERROR(MATCH(AF2285,'quitado Despesa'!$V$1:$V$12,0),""))</f>
        <v/>
      </c>
      <c r="AH2285" s="15" t="str">
        <f t="shared" si="2"/>
        <v/>
      </c>
      <c r="AI2285" s="17" t="str">
        <f>IF(AG2285="","",INDEX('quitado Despesa'!$G$1:$G$12,AG2285))</f>
        <v/>
      </c>
      <c r="AJ2285" s="17" t="str">
        <f t="shared" si="3"/>
        <v/>
      </c>
    </row>
    <row r="2286" spans="31:36">
      <c r="AE2286" s="15" t="str">
        <f t="shared" si="0"/>
        <v/>
      </c>
      <c r="AF2286" s="15" t="str">
        <f t="shared" si="1"/>
        <v/>
      </c>
      <c r="AG2286" s="15" t="str">
        <f>IF(OR(AF2286="",AF2286="ERRO_CHAVE"),"",IFERROR(MATCH(AF2286,'quitado Despesa'!$V$1:$V$12,0),""))</f>
        <v/>
      </c>
      <c r="AH2286" s="15" t="str">
        <f t="shared" si="2"/>
        <v/>
      </c>
      <c r="AI2286" s="17" t="str">
        <f>IF(AG2286="","",INDEX('quitado Despesa'!$G$1:$G$12,AG2286))</f>
        <v/>
      </c>
      <c r="AJ2286" s="17" t="str">
        <f t="shared" si="3"/>
        <v/>
      </c>
    </row>
    <row r="2287" spans="31:36">
      <c r="AE2287" s="15" t="str">
        <f t="shared" si="0"/>
        <v/>
      </c>
      <c r="AF2287" s="15" t="str">
        <f t="shared" si="1"/>
        <v/>
      </c>
      <c r="AG2287" s="15" t="str">
        <f>IF(OR(AF2287="",AF2287="ERRO_CHAVE"),"",IFERROR(MATCH(AF2287,'quitado Despesa'!$V$1:$V$12,0),""))</f>
        <v/>
      </c>
      <c r="AH2287" s="15" t="str">
        <f t="shared" si="2"/>
        <v/>
      </c>
      <c r="AI2287" s="17" t="str">
        <f>IF(AG2287="","",INDEX('quitado Despesa'!$G$1:$G$12,AG2287))</f>
        <v/>
      </c>
      <c r="AJ2287" s="17" t="str">
        <f t="shared" si="3"/>
        <v/>
      </c>
    </row>
    <row r="2288" spans="31:36">
      <c r="AE2288" s="15" t="str">
        <f t="shared" si="0"/>
        <v/>
      </c>
      <c r="AF2288" s="15" t="str">
        <f t="shared" si="1"/>
        <v/>
      </c>
      <c r="AG2288" s="15" t="str">
        <f>IF(OR(AF2288="",AF2288="ERRO_CHAVE"),"",IFERROR(MATCH(AF2288,'quitado Despesa'!$V$1:$V$12,0),""))</f>
        <v/>
      </c>
      <c r="AH2288" s="15" t="str">
        <f t="shared" si="2"/>
        <v/>
      </c>
      <c r="AI2288" s="17" t="str">
        <f>IF(AG2288="","",INDEX('quitado Despesa'!$G$1:$G$12,AG2288))</f>
        <v/>
      </c>
      <c r="AJ2288" s="17" t="str">
        <f t="shared" si="3"/>
        <v/>
      </c>
    </row>
    <row r="2289" spans="31:36">
      <c r="AE2289" s="15" t="str">
        <f t="shared" si="0"/>
        <v/>
      </c>
      <c r="AF2289" s="15" t="str">
        <f t="shared" si="1"/>
        <v/>
      </c>
      <c r="AG2289" s="15" t="str">
        <f>IF(OR(AF2289="",AF2289="ERRO_CHAVE"),"",IFERROR(MATCH(AF2289,'quitado Despesa'!$V$1:$V$12,0),""))</f>
        <v/>
      </c>
      <c r="AH2289" s="15" t="str">
        <f t="shared" si="2"/>
        <v/>
      </c>
      <c r="AI2289" s="17" t="str">
        <f>IF(AG2289="","",INDEX('quitado Despesa'!$G$1:$G$12,AG2289))</f>
        <v/>
      </c>
      <c r="AJ2289" s="17" t="str">
        <f t="shared" si="3"/>
        <v/>
      </c>
    </row>
    <row r="2290" spans="31:36">
      <c r="AE2290" s="15" t="str">
        <f t="shared" si="0"/>
        <v/>
      </c>
      <c r="AF2290" s="15" t="str">
        <f t="shared" si="1"/>
        <v/>
      </c>
      <c r="AG2290" s="15" t="str">
        <f>IF(OR(AF2290="",AF2290="ERRO_CHAVE"),"",IFERROR(MATCH(AF2290,'quitado Despesa'!$V$1:$V$12,0),""))</f>
        <v/>
      </c>
      <c r="AH2290" s="15" t="str">
        <f t="shared" si="2"/>
        <v/>
      </c>
      <c r="AI2290" s="17" t="str">
        <f>IF(AG2290="","",INDEX('quitado Despesa'!$G$1:$G$12,AG2290))</f>
        <v/>
      </c>
      <c r="AJ2290" s="17" t="str">
        <f t="shared" si="3"/>
        <v/>
      </c>
    </row>
    <row r="2291" spans="31:36">
      <c r="AE2291" s="15" t="str">
        <f t="shared" si="0"/>
        <v/>
      </c>
      <c r="AF2291" s="15" t="str">
        <f t="shared" si="1"/>
        <v/>
      </c>
      <c r="AG2291" s="15" t="str">
        <f>IF(OR(AF2291="",AF2291="ERRO_CHAVE"),"",IFERROR(MATCH(AF2291,'quitado Despesa'!$V$1:$V$12,0),""))</f>
        <v/>
      </c>
      <c r="AH2291" s="15" t="str">
        <f t="shared" si="2"/>
        <v/>
      </c>
      <c r="AI2291" s="17" t="str">
        <f>IF(AG2291="","",INDEX('quitado Despesa'!$G$1:$G$12,AG2291))</f>
        <v/>
      </c>
      <c r="AJ2291" s="17" t="str">
        <f t="shared" si="3"/>
        <v/>
      </c>
    </row>
    <row r="2292" spans="31:36">
      <c r="AE2292" s="15" t="str">
        <f t="shared" si="0"/>
        <v/>
      </c>
      <c r="AF2292" s="15" t="str">
        <f t="shared" si="1"/>
        <v/>
      </c>
      <c r="AG2292" s="15" t="str">
        <f>IF(OR(AF2292="",AF2292="ERRO_CHAVE"),"",IFERROR(MATCH(AF2292,'quitado Despesa'!$V$1:$V$12,0),""))</f>
        <v/>
      </c>
      <c r="AH2292" s="15" t="str">
        <f t="shared" si="2"/>
        <v/>
      </c>
      <c r="AI2292" s="17" t="str">
        <f>IF(AG2292="","",INDEX('quitado Despesa'!$G$1:$G$12,AG2292))</f>
        <v/>
      </c>
      <c r="AJ2292" s="17" t="str">
        <f t="shared" si="3"/>
        <v/>
      </c>
    </row>
    <row r="2293" spans="31:36">
      <c r="AE2293" s="15" t="str">
        <f t="shared" si="0"/>
        <v/>
      </c>
      <c r="AF2293" s="15" t="str">
        <f t="shared" si="1"/>
        <v/>
      </c>
      <c r="AG2293" s="15" t="str">
        <f>IF(OR(AF2293="",AF2293="ERRO_CHAVE"),"",IFERROR(MATCH(AF2293,'quitado Despesa'!$V$1:$V$12,0),""))</f>
        <v/>
      </c>
      <c r="AH2293" s="15" t="str">
        <f t="shared" si="2"/>
        <v/>
      </c>
      <c r="AI2293" s="17" t="str">
        <f>IF(AG2293="","",INDEX('quitado Despesa'!$G$1:$G$12,AG2293))</f>
        <v/>
      </c>
      <c r="AJ2293" s="17" t="str">
        <f t="shared" si="3"/>
        <v/>
      </c>
    </row>
    <row r="2294" spans="31:36">
      <c r="AE2294" s="15" t="str">
        <f t="shared" si="0"/>
        <v/>
      </c>
      <c r="AF2294" s="15" t="str">
        <f t="shared" si="1"/>
        <v/>
      </c>
      <c r="AG2294" s="15" t="str">
        <f>IF(OR(AF2294="",AF2294="ERRO_CHAVE"),"",IFERROR(MATCH(AF2294,'quitado Despesa'!$V$1:$V$12,0),""))</f>
        <v/>
      </c>
      <c r="AH2294" s="15" t="str">
        <f t="shared" si="2"/>
        <v/>
      </c>
      <c r="AI2294" s="17" t="str">
        <f>IF(AG2294="","",INDEX('quitado Despesa'!$G$1:$G$12,AG2294))</f>
        <v/>
      </c>
      <c r="AJ2294" s="17" t="str">
        <f t="shared" si="3"/>
        <v/>
      </c>
    </row>
    <row r="2295" spans="31:36">
      <c r="AE2295" s="15" t="str">
        <f t="shared" si="0"/>
        <v/>
      </c>
      <c r="AF2295" s="15" t="str">
        <f t="shared" si="1"/>
        <v/>
      </c>
      <c r="AG2295" s="15" t="str">
        <f>IF(OR(AF2295="",AF2295="ERRO_CHAVE"),"",IFERROR(MATCH(AF2295,'quitado Despesa'!$V$1:$V$12,0),""))</f>
        <v/>
      </c>
      <c r="AH2295" s="15" t="str">
        <f t="shared" si="2"/>
        <v/>
      </c>
      <c r="AI2295" s="17" t="str">
        <f>IF(AG2295="","",INDEX('quitado Despesa'!$G$1:$G$12,AG2295))</f>
        <v/>
      </c>
      <c r="AJ2295" s="17" t="str">
        <f t="shared" si="3"/>
        <v/>
      </c>
    </row>
    <row r="2296" spans="31:36">
      <c r="AE2296" s="15" t="str">
        <f t="shared" si="0"/>
        <v/>
      </c>
      <c r="AF2296" s="15" t="str">
        <f t="shared" si="1"/>
        <v/>
      </c>
      <c r="AG2296" s="15" t="str">
        <f>IF(OR(AF2296="",AF2296="ERRO_CHAVE"),"",IFERROR(MATCH(AF2296,'quitado Despesa'!$V$1:$V$12,0),""))</f>
        <v/>
      </c>
      <c r="AH2296" s="15" t="str">
        <f t="shared" si="2"/>
        <v/>
      </c>
      <c r="AI2296" s="17" t="str">
        <f>IF(AG2296="","",INDEX('quitado Despesa'!$G$1:$G$12,AG2296))</f>
        <v/>
      </c>
      <c r="AJ2296" s="17" t="str">
        <f t="shared" si="3"/>
        <v/>
      </c>
    </row>
    <row r="2297" spans="31:36">
      <c r="AE2297" s="15" t="str">
        <f t="shared" si="0"/>
        <v/>
      </c>
      <c r="AF2297" s="15" t="str">
        <f t="shared" si="1"/>
        <v/>
      </c>
      <c r="AG2297" s="15" t="str">
        <f>IF(OR(AF2297="",AF2297="ERRO_CHAVE"),"",IFERROR(MATCH(AF2297,'quitado Despesa'!$V$1:$V$12,0),""))</f>
        <v/>
      </c>
      <c r="AH2297" s="15" t="str">
        <f t="shared" si="2"/>
        <v/>
      </c>
      <c r="AI2297" s="17" t="str">
        <f>IF(AG2297="","",INDEX('quitado Despesa'!$G$1:$G$12,AG2297))</f>
        <v/>
      </c>
      <c r="AJ2297" s="17" t="str">
        <f t="shared" si="3"/>
        <v/>
      </c>
    </row>
    <row r="2298" spans="31:36">
      <c r="AE2298" s="15" t="str">
        <f t="shared" si="0"/>
        <v/>
      </c>
      <c r="AF2298" s="15" t="str">
        <f t="shared" si="1"/>
        <v/>
      </c>
      <c r="AG2298" s="15" t="str">
        <f>IF(OR(AF2298="",AF2298="ERRO_CHAVE"),"",IFERROR(MATCH(AF2298,'quitado Despesa'!$V$1:$V$12,0),""))</f>
        <v/>
      </c>
      <c r="AH2298" s="15" t="str">
        <f t="shared" si="2"/>
        <v/>
      </c>
      <c r="AI2298" s="17" t="str">
        <f>IF(AG2298="","",INDEX('quitado Despesa'!$G$1:$G$12,AG2298))</f>
        <v/>
      </c>
      <c r="AJ2298" s="17" t="str">
        <f t="shared" si="3"/>
        <v/>
      </c>
    </row>
    <row r="2299" spans="31:36">
      <c r="AE2299" s="15" t="str">
        <f t="shared" si="0"/>
        <v/>
      </c>
      <c r="AF2299" s="15" t="str">
        <f t="shared" si="1"/>
        <v/>
      </c>
      <c r="AG2299" s="15" t="str">
        <f>IF(OR(AF2299="",AF2299="ERRO_CHAVE"),"",IFERROR(MATCH(AF2299,'quitado Despesa'!$V$1:$V$12,0),""))</f>
        <v/>
      </c>
      <c r="AH2299" s="15" t="str">
        <f t="shared" si="2"/>
        <v/>
      </c>
      <c r="AI2299" s="17" t="str">
        <f>IF(AG2299="","",INDEX('quitado Despesa'!$G$1:$G$12,AG2299))</f>
        <v/>
      </c>
      <c r="AJ2299" s="17" t="str">
        <f t="shared" si="3"/>
        <v/>
      </c>
    </row>
    <row r="2300" spans="31:36">
      <c r="AE2300" s="15" t="str">
        <f t="shared" si="0"/>
        <v/>
      </c>
      <c r="AF2300" s="15" t="str">
        <f t="shared" si="1"/>
        <v/>
      </c>
      <c r="AG2300" s="15" t="str">
        <f>IF(OR(AF2300="",AF2300="ERRO_CHAVE"),"",IFERROR(MATCH(AF2300,'quitado Despesa'!$V$1:$V$12,0),""))</f>
        <v/>
      </c>
      <c r="AH2300" s="15" t="str">
        <f t="shared" si="2"/>
        <v/>
      </c>
      <c r="AI2300" s="17" t="str">
        <f>IF(AG2300="","",INDEX('quitado Despesa'!$G$1:$G$12,AG2300))</f>
        <v/>
      </c>
      <c r="AJ2300" s="17" t="str">
        <f t="shared" si="3"/>
        <v/>
      </c>
    </row>
    <row r="2301" spans="31:36">
      <c r="AE2301" s="15" t="str">
        <f t="shared" si="0"/>
        <v/>
      </c>
      <c r="AF2301" s="15" t="str">
        <f t="shared" si="1"/>
        <v/>
      </c>
      <c r="AG2301" s="15" t="str">
        <f>IF(OR(AF2301="",AF2301="ERRO_CHAVE"),"",IFERROR(MATCH(AF2301,'quitado Despesa'!$V$1:$V$12,0),""))</f>
        <v/>
      </c>
      <c r="AH2301" s="15" t="str">
        <f t="shared" si="2"/>
        <v/>
      </c>
      <c r="AI2301" s="17" t="str">
        <f>IF(AG2301="","",INDEX('quitado Despesa'!$G$1:$G$12,AG2301))</f>
        <v/>
      </c>
      <c r="AJ2301" s="17" t="str">
        <f t="shared" si="3"/>
        <v/>
      </c>
    </row>
    <row r="2302" spans="31:36">
      <c r="AE2302" s="15" t="str">
        <f t="shared" si="0"/>
        <v/>
      </c>
      <c r="AF2302" s="15" t="str">
        <f t="shared" si="1"/>
        <v/>
      </c>
      <c r="AG2302" s="15" t="str">
        <f>IF(OR(AF2302="",AF2302="ERRO_CHAVE"),"",IFERROR(MATCH(AF2302,'quitado Despesa'!$V$1:$V$12,0),""))</f>
        <v/>
      </c>
      <c r="AH2302" s="15" t="str">
        <f t="shared" si="2"/>
        <v/>
      </c>
      <c r="AI2302" s="17" t="str">
        <f>IF(AG2302="","",INDEX('quitado Despesa'!$G$1:$G$12,AG2302))</f>
        <v/>
      </c>
      <c r="AJ2302" s="17" t="str">
        <f t="shared" si="3"/>
        <v/>
      </c>
    </row>
    <row r="2303" spans="31:36">
      <c r="AE2303" s="15" t="str">
        <f t="shared" si="0"/>
        <v/>
      </c>
      <c r="AF2303" s="15" t="str">
        <f t="shared" si="1"/>
        <v/>
      </c>
      <c r="AG2303" s="15" t="str">
        <f>IF(OR(AF2303="",AF2303="ERRO_CHAVE"),"",IFERROR(MATCH(AF2303,'quitado Despesa'!$V$1:$V$12,0),""))</f>
        <v/>
      </c>
      <c r="AH2303" s="15" t="str">
        <f t="shared" si="2"/>
        <v/>
      </c>
      <c r="AI2303" s="17" t="str">
        <f>IF(AG2303="","",INDEX('quitado Despesa'!$G$1:$G$12,AG2303))</f>
        <v/>
      </c>
      <c r="AJ2303" s="17" t="str">
        <f t="shared" si="3"/>
        <v/>
      </c>
    </row>
    <row r="2304" spans="31:36">
      <c r="AE2304" s="15" t="str">
        <f t="shared" si="0"/>
        <v/>
      </c>
      <c r="AF2304" s="15" t="str">
        <f t="shared" si="1"/>
        <v/>
      </c>
      <c r="AG2304" s="15" t="str">
        <f>IF(OR(AF2304="",AF2304="ERRO_CHAVE"),"",IFERROR(MATCH(AF2304,'quitado Despesa'!$V$1:$V$12,0),""))</f>
        <v/>
      </c>
      <c r="AH2304" s="15" t="str">
        <f t="shared" si="2"/>
        <v/>
      </c>
      <c r="AI2304" s="17" t="str">
        <f>IF(AG2304="","",INDEX('quitado Despesa'!$G$1:$G$12,AG2304))</f>
        <v/>
      </c>
      <c r="AJ2304" s="17" t="str">
        <f t="shared" si="3"/>
        <v/>
      </c>
    </row>
    <row r="2305" spans="31:36">
      <c r="AE2305" s="15" t="str">
        <f t="shared" si="0"/>
        <v/>
      </c>
      <c r="AF2305" s="15" t="str">
        <f t="shared" si="1"/>
        <v/>
      </c>
      <c r="AG2305" s="15" t="str">
        <f>IF(OR(AF2305="",AF2305="ERRO_CHAVE"),"",IFERROR(MATCH(AF2305,'quitado Despesa'!$V$1:$V$12,0),""))</f>
        <v/>
      </c>
      <c r="AH2305" s="15" t="str">
        <f t="shared" si="2"/>
        <v/>
      </c>
      <c r="AI2305" s="17" t="str">
        <f>IF(AG2305="","",INDEX('quitado Despesa'!$G$1:$G$12,AG2305))</f>
        <v/>
      </c>
      <c r="AJ2305" s="17" t="str">
        <f t="shared" si="3"/>
        <v/>
      </c>
    </row>
    <row r="2306" spans="31:36">
      <c r="AE2306" s="15" t="str">
        <f t="shared" si="0"/>
        <v/>
      </c>
      <c r="AF2306" s="15" t="str">
        <f t="shared" si="1"/>
        <v/>
      </c>
      <c r="AG2306" s="15" t="str">
        <f>IF(OR(AF2306="",AF2306="ERRO_CHAVE"),"",IFERROR(MATCH(AF2306,'quitado Despesa'!$V$1:$V$12,0),""))</f>
        <v/>
      </c>
      <c r="AH2306" s="15" t="str">
        <f t="shared" si="2"/>
        <v/>
      </c>
      <c r="AI2306" s="17" t="str">
        <f>IF(AG2306="","",INDEX('quitado Despesa'!$G$1:$G$12,AG2306))</f>
        <v/>
      </c>
      <c r="AJ2306" s="17" t="str">
        <f t="shared" si="3"/>
        <v/>
      </c>
    </row>
    <row r="2307" spans="31:36">
      <c r="AE2307" s="15" t="str">
        <f t="shared" si="0"/>
        <v/>
      </c>
      <c r="AF2307" s="15" t="str">
        <f t="shared" si="1"/>
        <v/>
      </c>
      <c r="AG2307" s="15" t="str">
        <f>IF(OR(AF2307="",AF2307="ERRO_CHAVE"),"",IFERROR(MATCH(AF2307,'quitado Despesa'!$V$1:$V$12,0),""))</f>
        <v/>
      </c>
      <c r="AH2307" s="15" t="str">
        <f t="shared" si="2"/>
        <v/>
      </c>
      <c r="AI2307" s="17" t="str">
        <f>IF(AG2307="","",INDEX('quitado Despesa'!$G$1:$G$12,AG2307))</f>
        <v/>
      </c>
      <c r="AJ2307" s="17" t="str">
        <f t="shared" si="3"/>
        <v/>
      </c>
    </row>
    <row r="2308" spans="31:36">
      <c r="AE2308" s="15" t="str">
        <f t="shared" si="0"/>
        <v/>
      </c>
      <c r="AF2308" s="15" t="str">
        <f t="shared" si="1"/>
        <v/>
      </c>
      <c r="AG2308" s="15" t="str">
        <f>IF(OR(AF2308="",AF2308="ERRO_CHAVE"),"",IFERROR(MATCH(AF2308,'quitado Despesa'!$V$1:$V$12,0),""))</f>
        <v/>
      </c>
      <c r="AH2308" s="15" t="str">
        <f t="shared" si="2"/>
        <v/>
      </c>
      <c r="AI2308" s="17" t="str">
        <f>IF(AG2308="","",INDEX('quitado Despesa'!$G$1:$G$12,AG2308))</f>
        <v/>
      </c>
      <c r="AJ2308" s="17" t="str">
        <f t="shared" si="3"/>
        <v/>
      </c>
    </row>
    <row r="2309" spans="31:36">
      <c r="AE2309" s="15" t="str">
        <f t="shared" si="0"/>
        <v/>
      </c>
      <c r="AF2309" s="15" t="str">
        <f t="shared" si="1"/>
        <v/>
      </c>
      <c r="AG2309" s="15" t="str">
        <f>IF(OR(AF2309="",AF2309="ERRO_CHAVE"),"",IFERROR(MATCH(AF2309,'quitado Despesa'!$V$1:$V$12,0),""))</f>
        <v/>
      </c>
      <c r="AH2309" s="15" t="str">
        <f t="shared" si="2"/>
        <v/>
      </c>
      <c r="AI2309" s="17" t="str">
        <f>IF(AG2309="","",INDEX('quitado Despesa'!$G$1:$G$12,AG2309))</f>
        <v/>
      </c>
      <c r="AJ2309" s="17" t="str">
        <f t="shared" si="3"/>
        <v/>
      </c>
    </row>
    <row r="2310" spans="31:36">
      <c r="AE2310" s="15" t="str">
        <f t="shared" si="0"/>
        <v/>
      </c>
      <c r="AF2310" s="15" t="str">
        <f t="shared" si="1"/>
        <v/>
      </c>
      <c r="AG2310" s="15" t="str">
        <f>IF(OR(AF2310="",AF2310="ERRO_CHAVE"),"",IFERROR(MATCH(AF2310,'quitado Despesa'!$V$1:$V$12,0),""))</f>
        <v/>
      </c>
      <c r="AH2310" s="15" t="str">
        <f t="shared" si="2"/>
        <v/>
      </c>
      <c r="AI2310" s="17" t="str">
        <f>IF(AG2310="","",INDEX('quitado Despesa'!$G$1:$G$12,AG2310))</f>
        <v/>
      </c>
      <c r="AJ2310" s="17" t="str">
        <f t="shared" si="3"/>
        <v/>
      </c>
    </row>
    <row r="2311" spans="31:36">
      <c r="AE2311" s="15" t="str">
        <f t="shared" si="0"/>
        <v/>
      </c>
      <c r="AF2311" s="15" t="str">
        <f t="shared" si="1"/>
        <v/>
      </c>
      <c r="AG2311" s="15" t="str">
        <f>IF(OR(AF2311="",AF2311="ERRO_CHAVE"),"",IFERROR(MATCH(AF2311,'quitado Despesa'!$V$1:$V$12,0),""))</f>
        <v/>
      </c>
      <c r="AH2311" s="15" t="str">
        <f t="shared" si="2"/>
        <v/>
      </c>
      <c r="AI2311" s="17" t="str">
        <f>IF(AG2311="","",INDEX('quitado Despesa'!$G$1:$G$12,AG2311))</f>
        <v/>
      </c>
      <c r="AJ2311" s="17" t="str">
        <f t="shared" si="3"/>
        <v/>
      </c>
    </row>
    <row r="2312" spans="31:36">
      <c r="AE2312" s="15" t="str">
        <f t="shared" si="0"/>
        <v/>
      </c>
      <c r="AF2312" s="15" t="str">
        <f t="shared" si="1"/>
        <v/>
      </c>
      <c r="AG2312" s="15" t="str">
        <f>IF(OR(AF2312="",AF2312="ERRO_CHAVE"),"",IFERROR(MATCH(AF2312,'quitado Despesa'!$V$1:$V$12,0),""))</f>
        <v/>
      </c>
      <c r="AH2312" s="15" t="str">
        <f t="shared" si="2"/>
        <v/>
      </c>
      <c r="AI2312" s="17" t="str">
        <f>IF(AG2312="","",INDEX('quitado Despesa'!$G$1:$G$12,AG2312))</f>
        <v/>
      </c>
      <c r="AJ2312" s="17" t="str">
        <f t="shared" si="3"/>
        <v/>
      </c>
    </row>
    <row r="2313" spans="31:36">
      <c r="AE2313" s="15" t="str">
        <f t="shared" si="0"/>
        <v/>
      </c>
      <c r="AF2313" s="15" t="str">
        <f t="shared" si="1"/>
        <v/>
      </c>
      <c r="AG2313" s="15" t="str">
        <f>IF(OR(AF2313="",AF2313="ERRO_CHAVE"),"",IFERROR(MATCH(AF2313,'quitado Despesa'!$V$1:$V$12,0),""))</f>
        <v/>
      </c>
      <c r="AH2313" s="15" t="str">
        <f t="shared" si="2"/>
        <v/>
      </c>
      <c r="AI2313" s="17" t="str">
        <f>IF(AG2313="","",INDEX('quitado Despesa'!$G$1:$G$12,AG2313))</f>
        <v/>
      </c>
      <c r="AJ2313" s="17" t="str">
        <f t="shared" si="3"/>
        <v/>
      </c>
    </row>
    <row r="2314" spans="31:36">
      <c r="AE2314" s="15" t="str">
        <f t="shared" si="0"/>
        <v/>
      </c>
      <c r="AF2314" s="15" t="str">
        <f t="shared" si="1"/>
        <v/>
      </c>
      <c r="AG2314" s="15" t="str">
        <f>IF(OR(AF2314="",AF2314="ERRO_CHAVE"),"",IFERROR(MATCH(AF2314,'quitado Despesa'!$V$1:$V$12,0),""))</f>
        <v/>
      </c>
      <c r="AH2314" s="15" t="str">
        <f t="shared" si="2"/>
        <v/>
      </c>
      <c r="AI2314" s="17" t="str">
        <f>IF(AG2314="","",INDEX('quitado Despesa'!$G$1:$G$12,AG2314))</f>
        <v/>
      </c>
      <c r="AJ2314" s="17" t="str">
        <f t="shared" si="3"/>
        <v/>
      </c>
    </row>
    <row r="2315" spans="31:36">
      <c r="AE2315" s="15" t="str">
        <f t="shared" si="0"/>
        <v/>
      </c>
      <c r="AF2315" s="15" t="str">
        <f t="shared" si="1"/>
        <v/>
      </c>
      <c r="AG2315" s="15" t="str">
        <f>IF(OR(AF2315="",AF2315="ERRO_CHAVE"),"",IFERROR(MATCH(AF2315,'quitado Despesa'!$V$1:$V$12,0),""))</f>
        <v/>
      </c>
      <c r="AH2315" s="15" t="str">
        <f t="shared" si="2"/>
        <v/>
      </c>
      <c r="AI2315" s="17" t="str">
        <f>IF(AG2315="","",INDEX('quitado Despesa'!$G$1:$G$12,AG2315))</f>
        <v/>
      </c>
      <c r="AJ2315" s="17" t="str">
        <f t="shared" si="3"/>
        <v/>
      </c>
    </row>
    <row r="2316" spans="31:36">
      <c r="AE2316" s="15" t="str">
        <f t="shared" si="0"/>
        <v/>
      </c>
      <c r="AF2316" s="15" t="str">
        <f t="shared" si="1"/>
        <v/>
      </c>
      <c r="AG2316" s="15" t="str">
        <f>IF(OR(AF2316="",AF2316="ERRO_CHAVE"),"",IFERROR(MATCH(AF2316,'quitado Despesa'!$V$1:$V$12,0),""))</f>
        <v/>
      </c>
      <c r="AH2316" s="15" t="str">
        <f t="shared" si="2"/>
        <v/>
      </c>
      <c r="AI2316" s="17" t="str">
        <f>IF(AG2316="","",INDEX('quitado Despesa'!$G$1:$G$12,AG2316))</f>
        <v/>
      </c>
      <c r="AJ2316" s="17" t="str">
        <f t="shared" si="3"/>
        <v/>
      </c>
    </row>
    <row r="2317" spans="31:36">
      <c r="AE2317" s="15" t="str">
        <f t="shared" si="0"/>
        <v/>
      </c>
      <c r="AF2317" s="15" t="str">
        <f t="shared" si="1"/>
        <v/>
      </c>
      <c r="AG2317" s="15" t="str">
        <f>IF(OR(AF2317="",AF2317="ERRO_CHAVE"),"",IFERROR(MATCH(AF2317,'quitado Despesa'!$V$1:$V$12,0),""))</f>
        <v/>
      </c>
      <c r="AH2317" s="15" t="str">
        <f t="shared" si="2"/>
        <v/>
      </c>
      <c r="AI2317" s="17" t="str">
        <f>IF(AG2317="","",INDEX('quitado Despesa'!$G$1:$G$12,AG2317))</f>
        <v/>
      </c>
      <c r="AJ2317" s="17" t="str">
        <f t="shared" si="3"/>
        <v/>
      </c>
    </row>
    <row r="2318" spans="31:36">
      <c r="AE2318" s="15" t="str">
        <f t="shared" si="0"/>
        <v/>
      </c>
      <c r="AF2318" s="15" t="str">
        <f t="shared" si="1"/>
        <v/>
      </c>
      <c r="AG2318" s="15" t="str">
        <f>IF(OR(AF2318="",AF2318="ERRO_CHAVE"),"",IFERROR(MATCH(AF2318,'quitado Despesa'!$V$1:$V$12,0),""))</f>
        <v/>
      </c>
      <c r="AH2318" s="15" t="str">
        <f t="shared" si="2"/>
        <v/>
      </c>
      <c r="AI2318" s="17" t="str">
        <f>IF(AG2318="","",INDEX('quitado Despesa'!$G$1:$G$12,AG2318))</f>
        <v/>
      </c>
      <c r="AJ2318" s="17" t="str">
        <f t="shared" si="3"/>
        <v/>
      </c>
    </row>
    <row r="2319" spans="31:36">
      <c r="AE2319" s="15" t="str">
        <f t="shared" si="0"/>
        <v/>
      </c>
      <c r="AF2319" s="15" t="str">
        <f t="shared" si="1"/>
        <v/>
      </c>
      <c r="AG2319" s="15" t="str">
        <f>IF(OR(AF2319="",AF2319="ERRO_CHAVE"),"",IFERROR(MATCH(AF2319,'quitado Despesa'!$V$1:$V$12,0),""))</f>
        <v/>
      </c>
      <c r="AH2319" s="15" t="str">
        <f t="shared" si="2"/>
        <v/>
      </c>
      <c r="AI2319" s="17" t="str">
        <f>IF(AG2319="","",INDEX('quitado Despesa'!$G$1:$G$12,AG2319))</f>
        <v/>
      </c>
      <c r="AJ2319" s="17" t="str">
        <f t="shared" si="3"/>
        <v/>
      </c>
    </row>
    <row r="2320" spans="31:36">
      <c r="AE2320" s="15" t="str">
        <f t="shared" si="0"/>
        <v/>
      </c>
      <c r="AF2320" s="15" t="str">
        <f t="shared" si="1"/>
        <v/>
      </c>
      <c r="AG2320" s="15" t="str">
        <f>IF(OR(AF2320="",AF2320="ERRO_CHAVE"),"",IFERROR(MATCH(AF2320,'quitado Despesa'!$V$1:$V$12,0),""))</f>
        <v/>
      </c>
      <c r="AH2320" s="15" t="str">
        <f t="shared" si="2"/>
        <v/>
      </c>
      <c r="AI2320" s="17" t="str">
        <f>IF(AG2320="","",INDEX('quitado Despesa'!$G$1:$G$12,AG2320))</f>
        <v/>
      </c>
      <c r="AJ2320" s="17" t="str">
        <f t="shared" si="3"/>
        <v/>
      </c>
    </row>
    <row r="2321" spans="31:36">
      <c r="AE2321" s="15" t="str">
        <f t="shared" si="0"/>
        <v/>
      </c>
      <c r="AF2321" s="15" t="str">
        <f t="shared" si="1"/>
        <v/>
      </c>
      <c r="AG2321" s="15" t="str">
        <f>IF(OR(AF2321="",AF2321="ERRO_CHAVE"),"",IFERROR(MATCH(AF2321,'quitado Despesa'!$V$1:$V$12,0),""))</f>
        <v/>
      </c>
      <c r="AH2321" s="15" t="str">
        <f t="shared" si="2"/>
        <v/>
      </c>
      <c r="AI2321" s="17" t="str">
        <f>IF(AG2321="","",INDEX('quitado Despesa'!$G$1:$G$12,AG2321))</f>
        <v/>
      </c>
      <c r="AJ2321" s="17" t="str">
        <f t="shared" si="3"/>
        <v/>
      </c>
    </row>
    <row r="2322" spans="31:36">
      <c r="AE2322" s="15" t="str">
        <f t="shared" si="0"/>
        <v/>
      </c>
      <c r="AF2322" s="15" t="str">
        <f t="shared" si="1"/>
        <v/>
      </c>
      <c r="AG2322" s="15" t="str">
        <f>IF(OR(AF2322="",AF2322="ERRO_CHAVE"),"",IFERROR(MATCH(AF2322,'quitado Despesa'!$V$1:$V$12,0),""))</f>
        <v/>
      </c>
      <c r="AH2322" s="15" t="str">
        <f t="shared" si="2"/>
        <v/>
      </c>
      <c r="AI2322" s="17" t="str">
        <f>IF(AG2322="","",INDEX('quitado Despesa'!$G$1:$G$12,AG2322))</f>
        <v/>
      </c>
      <c r="AJ2322" s="17" t="str">
        <f t="shared" si="3"/>
        <v/>
      </c>
    </row>
    <row r="2323" spans="31:36">
      <c r="AE2323" s="15" t="str">
        <f t="shared" si="0"/>
        <v/>
      </c>
      <c r="AF2323" s="15" t="str">
        <f t="shared" si="1"/>
        <v/>
      </c>
      <c r="AG2323" s="15" t="str">
        <f>IF(OR(AF2323="",AF2323="ERRO_CHAVE"),"",IFERROR(MATCH(AF2323,'quitado Despesa'!$V$1:$V$12,0),""))</f>
        <v/>
      </c>
      <c r="AH2323" s="15" t="str">
        <f t="shared" si="2"/>
        <v/>
      </c>
      <c r="AI2323" s="17" t="str">
        <f>IF(AG2323="","",INDEX('quitado Despesa'!$G$1:$G$12,AG2323))</f>
        <v/>
      </c>
      <c r="AJ2323" s="17" t="str">
        <f t="shared" si="3"/>
        <v/>
      </c>
    </row>
    <row r="2324" spans="31:36">
      <c r="AE2324" s="15" t="str">
        <f t="shared" si="0"/>
        <v/>
      </c>
      <c r="AF2324" s="15" t="str">
        <f t="shared" si="1"/>
        <v/>
      </c>
      <c r="AG2324" s="15" t="str">
        <f>IF(OR(AF2324="",AF2324="ERRO_CHAVE"),"",IFERROR(MATCH(AF2324,'quitado Despesa'!$V$1:$V$12,0),""))</f>
        <v/>
      </c>
      <c r="AH2324" s="15" t="str">
        <f t="shared" si="2"/>
        <v/>
      </c>
      <c r="AI2324" s="17" t="str">
        <f>IF(AG2324="","",INDEX('quitado Despesa'!$G$1:$G$12,AG2324))</f>
        <v/>
      </c>
      <c r="AJ2324" s="17" t="str">
        <f t="shared" si="3"/>
        <v/>
      </c>
    </row>
    <row r="2325" spans="31:36">
      <c r="AE2325" s="15" t="str">
        <f t="shared" si="0"/>
        <v/>
      </c>
      <c r="AF2325" s="15" t="str">
        <f t="shared" si="1"/>
        <v/>
      </c>
      <c r="AG2325" s="15" t="str">
        <f>IF(OR(AF2325="",AF2325="ERRO_CHAVE"),"",IFERROR(MATCH(AF2325,'quitado Despesa'!$V$1:$V$12,0),""))</f>
        <v/>
      </c>
      <c r="AH2325" s="15" t="str">
        <f t="shared" si="2"/>
        <v/>
      </c>
      <c r="AI2325" s="17" t="str">
        <f>IF(AG2325="","",INDEX('quitado Despesa'!$G$1:$G$12,AG2325))</f>
        <v/>
      </c>
      <c r="AJ2325" s="17" t="str">
        <f t="shared" si="3"/>
        <v/>
      </c>
    </row>
    <row r="2326" spans="31:36">
      <c r="AE2326" s="15" t="str">
        <f t="shared" si="0"/>
        <v/>
      </c>
      <c r="AF2326" s="15" t="str">
        <f t="shared" si="1"/>
        <v/>
      </c>
      <c r="AG2326" s="15" t="str">
        <f>IF(OR(AF2326="",AF2326="ERRO_CHAVE"),"",IFERROR(MATCH(AF2326,'quitado Despesa'!$V$1:$V$12,0),""))</f>
        <v/>
      </c>
      <c r="AH2326" s="15" t="str">
        <f t="shared" si="2"/>
        <v/>
      </c>
      <c r="AI2326" s="17" t="str">
        <f>IF(AG2326="","",INDEX('quitado Despesa'!$G$1:$G$12,AG2326))</f>
        <v/>
      </c>
      <c r="AJ2326" s="17" t="str">
        <f t="shared" si="3"/>
        <v/>
      </c>
    </row>
    <row r="2327" spans="31:36">
      <c r="AE2327" s="15" t="str">
        <f t="shared" si="0"/>
        <v/>
      </c>
      <c r="AF2327" s="15" t="str">
        <f t="shared" si="1"/>
        <v/>
      </c>
      <c r="AG2327" s="15" t="str">
        <f>IF(OR(AF2327="",AF2327="ERRO_CHAVE"),"",IFERROR(MATCH(AF2327,'quitado Despesa'!$V$1:$V$12,0),""))</f>
        <v/>
      </c>
      <c r="AH2327" s="15" t="str">
        <f t="shared" si="2"/>
        <v/>
      </c>
      <c r="AI2327" s="17" t="str">
        <f>IF(AG2327="","",INDEX('quitado Despesa'!$G$1:$G$12,AG2327))</f>
        <v/>
      </c>
      <c r="AJ2327" s="17" t="str">
        <f t="shared" si="3"/>
        <v/>
      </c>
    </row>
    <row r="2328" spans="31:36">
      <c r="AE2328" s="15" t="str">
        <f t="shared" si="0"/>
        <v/>
      </c>
      <c r="AF2328" s="15" t="str">
        <f t="shared" si="1"/>
        <v/>
      </c>
      <c r="AG2328" s="15" t="str">
        <f>IF(OR(AF2328="",AF2328="ERRO_CHAVE"),"",IFERROR(MATCH(AF2328,'quitado Despesa'!$V$1:$V$12,0),""))</f>
        <v/>
      </c>
      <c r="AH2328" s="15" t="str">
        <f t="shared" si="2"/>
        <v/>
      </c>
      <c r="AI2328" s="17" t="str">
        <f>IF(AG2328="","",INDEX('quitado Despesa'!$G$1:$G$12,AG2328))</f>
        <v/>
      </c>
      <c r="AJ2328" s="17" t="str">
        <f t="shared" si="3"/>
        <v/>
      </c>
    </row>
    <row r="2329" spans="31:36">
      <c r="AE2329" s="15" t="str">
        <f t="shared" si="0"/>
        <v/>
      </c>
      <c r="AF2329" s="15" t="str">
        <f t="shared" si="1"/>
        <v/>
      </c>
      <c r="AG2329" s="15" t="str">
        <f>IF(OR(AF2329="",AF2329="ERRO_CHAVE"),"",IFERROR(MATCH(AF2329,'quitado Despesa'!$V$1:$V$12,0),""))</f>
        <v/>
      </c>
      <c r="AH2329" s="15" t="str">
        <f t="shared" si="2"/>
        <v/>
      </c>
      <c r="AI2329" s="17" t="str">
        <f>IF(AG2329="","",INDEX('quitado Despesa'!$G$1:$G$12,AG2329))</f>
        <v/>
      </c>
      <c r="AJ2329" s="17" t="str">
        <f t="shared" si="3"/>
        <v/>
      </c>
    </row>
    <row r="2330" spans="31:36">
      <c r="AE2330" s="15" t="str">
        <f t="shared" si="0"/>
        <v/>
      </c>
      <c r="AF2330" s="15" t="str">
        <f t="shared" si="1"/>
        <v/>
      </c>
      <c r="AG2330" s="15" t="str">
        <f>IF(OR(AF2330="",AF2330="ERRO_CHAVE"),"",IFERROR(MATCH(AF2330,'quitado Despesa'!$V$1:$V$12,0),""))</f>
        <v/>
      </c>
      <c r="AH2330" s="15" t="str">
        <f t="shared" si="2"/>
        <v/>
      </c>
      <c r="AI2330" s="17" t="str">
        <f>IF(AG2330="","",INDEX('quitado Despesa'!$G$1:$G$12,AG2330))</f>
        <v/>
      </c>
      <c r="AJ2330" s="17" t="str">
        <f t="shared" si="3"/>
        <v/>
      </c>
    </row>
    <row r="2331" spans="31:36">
      <c r="AE2331" s="15" t="str">
        <f t="shared" si="0"/>
        <v/>
      </c>
      <c r="AF2331" s="15" t="str">
        <f t="shared" si="1"/>
        <v/>
      </c>
      <c r="AG2331" s="15" t="str">
        <f>IF(OR(AF2331="",AF2331="ERRO_CHAVE"),"",IFERROR(MATCH(AF2331,'quitado Despesa'!$V$1:$V$12,0),""))</f>
        <v/>
      </c>
      <c r="AH2331" s="15" t="str">
        <f t="shared" si="2"/>
        <v/>
      </c>
      <c r="AI2331" s="17" t="str">
        <f>IF(AG2331="","",INDEX('quitado Despesa'!$G$1:$G$12,AG2331))</f>
        <v/>
      </c>
      <c r="AJ2331" s="17" t="str">
        <f t="shared" si="3"/>
        <v/>
      </c>
    </row>
    <row r="2332" spans="31:36">
      <c r="AE2332" s="15" t="str">
        <f t="shared" si="0"/>
        <v/>
      </c>
      <c r="AF2332" s="15" t="str">
        <f t="shared" si="1"/>
        <v/>
      </c>
      <c r="AG2332" s="15" t="str">
        <f>IF(OR(AF2332="",AF2332="ERRO_CHAVE"),"",IFERROR(MATCH(AF2332,'quitado Despesa'!$V$1:$V$12,0),""))</f>
        <v/>
      </c>
      <c r="AH2332" s="15" t="str">
        <f t="shared" si="2"/>
        <v/>
      </c>
      <c r="AI2332" s="17" t="str">
        <f>IF(AG2332="","",INDEX('quitado Despesa'!$G$1:$G$12,AG2332))</f>
        <v/>
      </c>
      <c r="AJ2332" s="17" t="str">
        <f t="shared" si="3"/>
        <v/>
      </c>
    </row>
    <row r="2333" spans="31:36">
      <c r="AE2333" s="15" t="str">
        <f t="shared" si="0"/>
        <v/>
      </c>
      <c r="AF2333" s="15" t="str">
        <f t="shared" si="1"/>
        <v/>
      </c>
      <c r="AG2333" s="15" t="str">
        <f>IF(OR(AF2333="",AF2333="ERRO_CHAVE"),"",IFERROR(MATCH(AF2333,'quitado Despesa'!$V$1:$V$12,0),""))</f>
        <v/>
      </c>
      <c r="AH2333" s="15" t="str">
        <f t="shared" si="2"/>
        <v/>
      </c>
      <c r="AI2333" s="17" t="str">
        <f>IF(AG2333="","",INDEX('quitado Despesa'!$G$1:$G$12,AG2333))</f>
        <v/>
      </c>
      <c r="AJ2333" s="17" t="str">
        <f t="shared" si="3"/>
        <v/>
      </c>
    </row>
    <row r="2334" spans="31:36">
      <c r="AE2334" s="15" t="str">
        <f t="shared" si="0"/>
        <v/>
      </c>
      <c r="AF2334" s="15" t="str">
        <f t="shared" si="1"/>
        <v/>
      </c>
      <c r="AG2334" s="15" t="str">
        <f>IF(OR(AF2334="",AF2334="ERRO_CHAVE"),"",IFERROR(MATCH(AF2334,'quitado Despesa'!$V$1:$V$12,0),""))</f>
        <v/>
      </c>
      <c r="AH2334" s="15" t="str">
        <f t="shared" si="2"/>
        <v/>
      </c>
      <c r="AI2334" s="17" t="str">
        <f>IF(AG2334="","",INDEX('quitado Despesa'!$G$1:$G$12,AG2334))</f>
        <v/>
      </c>
      <c r="AJ2334" s="17" t="str">
        <f t="shared" si="3"/>
        <v/>
      </c>
    </row>
    <row r="2335" spans="31:36">
      <c r="AE2335" s="15" t="str">
        <f t="shared" si="0"/>
        <v/>
      </c>
      <c r="AF2335" s="15" t="str">
        <f t="shared" si="1"/>
        <v/>
      </c>
      <c r="AG2335" s="15" t="str">
        <f>IF(OR(AF2335="",AF2335="ERRO_CHAVE"),"",IFERROR(MATCH(AF2335,'quitado Despesa'!$V$1:$V$12,0),""))</f>
        <v/>
      </c>
      <c r="AH2335" s="15" t="str">
        <f t="shared" si="2"/>
        <v/>
      </c>
      <c r="AI2335" s="17" t="str">
        <f>IF(AG2335="","",INDEX('quitado Despesa'!$G$1:$G$12,AG2335))</f>
        <v/>
      </c>
      <c r="AJ2335" s="17" t="str">
        <f t="shared" si="3"/>
        <v/>
      </c>
    </row>
    <row r="2336" spans="31:36">
      <c r="AE2336" s="15" t="str">
        <f t="shared" si="0"/>
        <v/>
      </c>
      <c r="AF2336" s="15" t="str">
        <f t="shared" si="1"/>
        <v/>
      </c>
      <c r="AG2336" s="15" t="str">
        <f>IF(OR(AF2336="",AF2336="ERRO_CHAVE"),"",IFERROR(MATCH(AF2336,'quitado Despesa'!$V$1:$V$12,0),""))</f>
        <v/>
      </c>
      <c r="AH2336" s="15" t="str">
        <f t="shared" si="2"/>
        <v/>
      </c>
      <c r="AI2336" s="17" t="str">
        <f>IF(AG2336="","",INDEX('quitado Despesa'!$G$1:$G$12,AG2336))</f>
        <v/>
      </c>
      <c r="AJ2336" s="17" t="str">
        <f t="shared" si="3"/>
        <v/>
      </c>
    </row>
    <row r="2337" spans="31:36">
      <c r="AE2337" s="15" t="str">
        <f t="shared" si="0"/>
        <v/>
      </c>
      <c r="AF2337" s="15" t="str">
        <f t="shared" si="1"/>
        <v/>
      </c>
      <c r="AG2337" s="15" t="str">
        <f>IF(OR(AF2337="",AF2337="ERRO_CHAVE"),"",IFERROR(MATCH(AF2337,'quitado Despesa'!$V$1:$V$12,0),""))</f>
        <v/>
      </c>
      <c r="AH2337" s="15" t="str">
        <f t="shared" si="2"/>
        <v/>
      </c>
      <c r="AI2337" s="17" t="str">
        <f>IF(AG2337="","",INDEX('quitado Despesa'!$G$1:$G$12,AG2337))</f>
        <v/>
      </c>
      <c r="AJ2337" s="17" t="str">
        <f t="shared" si="3"/>
        <v/>
      </c>
    </row>
    <row r="2338" spans="31:36">
      <c r="AE2338" s="15" t="str">
        <f t="shared" si="0"/>
        <v/>
      </c>
      <c r="AF2338" s="15" t="str">
        <f t="shared" si="1"/>
        <v/>
      </c>
      <c r="AG2338" s="15" t="str">
        <f>IF(OR(AF2338="",AF2338="ERRO_CHAVE"),"",IFERROR(MATCH(AF2338,'quitado Despesa'!$V$1:$V$12,0),""))</f>
        <v/>
      </c>
      <c r="AH2338" s="15" t="str">
        <f t="shared" si="2"/>
        <v/>
      </c>
      <c r="AI2338" s="17" t="str">
        <f>IF(AG2338="","",INDEX('quitado Despesa'!$G$1:$G$12,AG2338))</f>
        <v/>
      </c>
      <c r="AJ2338" s="17" t="str">
        <f t="shared" si="3"/>
        <v/>
      </c>
    </row>
    <row r="2339" spans="31:36">
      <c r="AE2339" s="15" t="str">
        <f t="shared" si="0"/>
        <v/>
      </c>
      <c r="AF2339" s="15" t="str">
        <f t="shared" si="1"/>
        <v/>
      </c>
      <c r="AG2339" s="15" t="str">
        <f>IF(OR(AF2339="",AF2339="ERRO_CHAVE"),"",IFERROR(MATCH(AF2339,'quitado Despesa'!$V$1:$V$12,0),""))</f>
        <v/>
      </c>
      <c r="AH2339" s="15" t="str">
        <f t="shared" si="2"/>
        <v/>
      </c>
      <c r="AI2339" s="17" t="str">
        <f>IF(AG2339="","",INDEX('quitado Despesa'!$G$1:$G$12,AG2339))</f>
        <v/>
      </c>
      <c r="AJ2339" s="17" t="str">
        <f t="shared" si="3"/>
        <v/>
      </c>
    </row>
    <row r="2340" spans="31:36">
      <c r="AE2340" s="15" t="str">
        <f t="shared" si="0"/>
        <v/>
      </c>
      <c r="AF2340" s="15" t="str">
        <f t="shared" si="1"/>
        <v/>
      </c>
      <c r="AG2340" s="15" t="str">
        <f>IF(OR(AF2340="",AF2340="ERRO_CHAVE"),"",IFERROR(MATCH(AF2340,'quitado Despesa'!$V$1:$V$12,0),""))</f>
        <v/>
      </c>
      <c r="AH2340" s="15" t="str">
        <f t="shared" si="2"/>
        <v/>
      </c>
      <c r="AI2340" s="17" t="str">
        <f>IF(AG2340="","",INDEX('quitado Despesa'!$G$1:$G$12,AG2340))</f>
        <v/>
      </c>
      <c r="AJ2340" s="17" t="str">
        <f t="shared" si="3"/>
        <v/>
      </c>
    </row>
    <row r="2341" spans="31:36">
      <c r="AE2341" s="15" t="str">
        <f t="shared" si="0"/>
        <v/>
      </c>
      <c r="AF2341" s="15" t="str">
        <f t="shared" si="1"/>
        <v/>
      </c>
      <c r="AG2341" s="15" t="str">
        <f>IF(OR(AF2341="",AF2341="ERRO_CHAVE"),"",IFERROR(MATCH(AF2341,'quitado Despesa'!$V$1:$V$12,0),""))</f>
        <v/>
      </c>
      <c r="AH2341" s="15" t="str">
        <f t="shared" si="2"/>
        <v/>
      </c>
      <c r="AI2341" s="17" t="str">
        <f>IF(AG2341="","",INDEX('quitado Despesa'!$G$1:$G$12,AG2341))</f>
        <v/>
      </c>
      <c r="AJ2341" s="17" t="str">
        <f t="shared" si="3"/>
        <v/>
      </c>
    </row>
    <row r="2342" spans="31:36">
      <c r="AE2342" s="15" t="str">
        <f t="shared" si="0"/>
        <v/>
      </c>
      <c r="AF2342" s="15" t="str">
        <f t="shared" si="1"/>
        <v/>
      </c>
      <c r="AG2342" s="15" t="str">
        <f>IF(OR(AF2342="",AF2342="ERRO_CHAVE"),"",IFERROR(MATCH(AF2342,'quitado Despesa'!$V$1:$V$12,0),""))</f>
        <v/>
      </c>
      <c r="AH2342" s="15" t="str">
        <f t="shared" si="2"/>
        <v/>
      </c>
      <c r="AI2342" s="17" t="str">
        <f>IF(AG2342="","",INDEX('quitado Despesa'!$G$1:$G$12,AG2342))</f>
        <v/>
      </c>
      <c r="AJ2342" s="17" t="str">
        <f t="shared" si="3"/>
        <v/>
      </c>
    </row>
    <row r="2343" spans="31:36">
      <c r="AE2343" s="15" t="str">
        <f t="shared" si="0"/>
        <v/>
      </c>
      <c r="AF2343" s="15" t="str">
        <f t="shared" si="1"/>
        <v/>
      </c>
      <c r="AG2343" s="15" t="str">
        <f>IF(OR(AF2343="",AF2343="ERRO_CHAVE"),"",IFERROR(MATCH(AF2343,'quitado Despesa'!$V$1:$V$12,0),""))</f>
        <v/>
      </c>
      <c r="AH2343" s="15" t="str">
        <f t="shared" si="2"/>
        <v/>
      </c>
      <c r="AI2343" s="17" t="str">
        <f>IF(AG2343="","",INDEX('quitado Despesa'!$G$1:$G$12,AG2343))</f>
        <v/>
      </c>
      <c r="AJ2343" s="17" t="str">
        <f t="shared" si="3"/>
        <v/>
      </c>
    </row>
    <row r="2344" spans="31:36">
      <c r="AE2344" s="15" t="str">
        <f t="shared" si="0"/>
        <v/>
      </c>
      <c r="AF2344" s="15" t="str">
        <f t="shared" si="1"/>
        <v/>
      </c>
      <c r="AG2344" s="15" t="str">
        <f>IF(OR(AF2344="",AF2344="ERRO_CHAVE"),"",IFERROR(MATCH(AF2344,'quitado Despesa'!$V$1:$V$12,0),""))</f>
        <v/>
      </c>
      <c r="AH2344" s="15" t="str">
        <f t="shared" si="2"/>
        <v/>
      </c>
      <c r="AI2344" s="17" t="str">
        <f>IF(AG2344="","",INDEX('quitado Despesa'!$G$1:$G$12,AG2344))</f>
        <v/>
      </c>
      <c r="AJ2344" s="17" t="str">
        <f t="shared" si="3"/>
        <v/>
      </c>
    </row>
    <row r="2345" spans="31:36">
      <c r="AE2345" s="15" t="str">
        <f t="shared" si="0"/>
        <v/>
      </c>
      <c r="AF2345" s="15" t="str">
        <f t="shared" si="1"/>
        <v/>
      </c>
      <c r="AG2345" s="15" t="str">
        <f>IF(OR(AF2345="",AF2345="ERRO_CHAVE"),"",IFERROR(MATCH(AF2345,'quitado Despesa'!$V$1:$V$12,0),""))</f>
        <v/>
      </c>
      <c r="AH2345" s="15" t="str">
        <f t="shared" si="2"/>
        <v/>
      </c>
      <c r="AI2345" s="17" t="str">
        <f>IF(AG2345="","",INDEX('quitado Despesa'!$G$1:$G$12,AG2345))</f>
        <v/>
      </c>
      <c r="AJ2345" s="17" t="str">
        <f t="shared" si="3"/>
        <v/>
      </c>
    </row>
    <row r="2346" spans="31:36">
      <c r="AE2346" s="15" t="str">
        <f t="shared" si="0"/>
        <v/>
      </c>
      <c r="AF2346" s="15" t="str">
        <f t="shared" si="1"/>
        <v/>
      </c>
      <c r="AG2346" s="15" t="str">
        <f>IF(OR(AF2346="",AF2346="ERRO_CHAVE"),"",IFERROR(MATCH(AF2346,'quitado Despesa'!$V$1:$V$12,0),""))</f>
        <v/>
      </c>
      <c r="AH2346" s="15" t="str">
        <f t="shared" si="2"/>
        <v/>
      </c>
      <c r="AI2346" s="17" t="str">
        <f>IF(AG2346="","",INDEX('quitado Despesa'!$G$1:$G$12,AG2346))</f>
        <v/>
      </c>
      <c r="AJ2346" s="17" t="str">
        <f t="shared" si="3"/>
        <v/>
      </c>
    </row>
    <row r="2347" spans="31:36">
      <c r="AE2347" s="15" t="str">
        <f t="shared" si="0"/>
        <v/>
      </c>
      <c r="AF2347" s="15" t="str">
        <f t="shared" si="1"/>
        <v/>
      </c>
      <c r="AG2347" s="15" t="str">
        <f>IF(OR(AF2347="",AF2347="ERRO_CHAVE"),"",IFERROR(MATCH(AF2347,'quitado Despesa'!$V$1:$V$12,0),""))</f>
        <v/>
      </c>
      <c r="AH2347" s="15" t="str">
        <f t="shared" si="2"/>
        <v/>
      </c>
      <c r="AI2347" s="17" t="str">
        <f>IF(AG2347="","",INDEX('quitado Despesa'!$G$1:$G$12,AG2347))</f>
        <v/>
      </c>
      <c r="AJ2347" s="17" t="str">
        <f t="shared" si="3"/>
        <v/>
      </c>
    </row>
    <row r="2348" spans="31:36">
      <c r="AE2348" s="15" t="str">
        <f t="shared" si="0"/>
        <v/>
      </c>
      <c r="AF2348" s="15" t="str">
        <f t="shared" si="1"/>
        <v/>
      </c>
      <c r="AG2348" s="15" t="str">
        <f>IF(OR(AF2348="",AF2348="ERRO_CHAVE"),"",IFERROR(MATCH(AF2348,'quitado Despesa'!$V$1:$V$12,0),""))</f>
        <v/>
      </c>
      <c r="AH2348" s="15" t="str">
        <f t="shared" si="2"/>
        <v/>
      </c>
      <c r="AI2348" s="17" t="str">
        <f>IF(AG2348="","",INDEX('quitado Despesa'!$G$1:$G$12,AG2348))</f>
        <v/>
      </c>
      <c r="AJ2348" s="17" t="str">
        <f t="shared" si="3"/>
        <v/>
      </c>
    </row>
    <row r="2349" spans="31:36">
      <c r="AE2349" s="15" t="str">
        <f t="shared" si="0"/>
        <v/>
      </c>
      <c r="AF2349" s="15" t="str">
        <f t="shared" si="1"/>
        <v/>
      </c>
      <c r="AG2349" s="15" t="str">
        <f>IF(OR(AF2349="",AF2349="ERRO_CHAVE"),"",IFERROR(MATCH(AF2349,'quitado Despesa'!$V$1:$V$12,0),""))</f>
        <v/>
      </c>
      <c r="AH2349" s="15" t="str">
        <f t="shared" si="2"/>
        <v/>
      </c>
      <c r="AI2349" s="17" t="str">
        <f>IF(AG2349="","",INDEX('quitado Despesa'!$G$1:$G$12,AG2349))</f>
        <v/>
      </c>
      <c r="AJ2349" s="17" t="str">
        <f t="shared" si="3"/>
        <v/>
      </c>
    </row>
    <row r="2350" spans="31:36">
      <c r="AE2350" s="15" t="str">
        <f t="shared" si="0"/>
        <v/>
      </c>
      <c r="AF2350" s="15" t="str">
        <f t="shared" si="1"/>
        <v/>
      </c>
      <c r="AG2350" s="15" t="str">
        <f>IF(OR(AF2350="",AF2350="ERRO_CHAVE"),"",IFERROR(MATCH(AF2350,'quitado Despesa'!$V$1:$V$12,0),""))</f>
        <v/>
      </c>
      <c r="AH2350" s="15" t="str">
        <f t="shared" si="2"/>
        <v/>
      </c>
      <c r="AI2350" s="17" t="str">
        <f>IF(AG2350="","",INDEX('quitado Despesa'!$G$1:$G$12,AG2350))</f>
        <v/>
      </c>
      <c r="AJ2350" s="17" t="str">
        <f t="shared" si="3"/>
        <v/>
      </c>
    </row>
    <row r="2351" spans="31:36">
      <c r="AE2351" s="15" t="str">
        <f t="shared" si="0"/>
        <v/>
      </c>
      <c r="AF2351" s="15" t="str">
        <f t="shared" si="1"/>
        <v/>
      </c>
      <c r="AG2351" s="15" t="str">
        <f>IF(OR(AF2351="",AF2351="ERRO_CHAVE"),"",IFERROR(MATCH(AF2351,'quitado Despesa'!$V$1:$V$12,0),""))</f>
        <v/>
      </c>
      <c r="AH2351" s="15" t="str">
        <f t="shared" si="2"/>
        <v/>
      </c>
      <c r="AI2351" s="17" t="str">
        <f>IF(AG2351="","",INDEX('quitado Despesa'!$G$1:$G$12,AG2351))</f>
        <v/>
      </c>
      <c r="AJ2351" s="17" t="str">
        <f t="shared" si="3"/>
        <v/>
      </c>
    </row>
    <row r="2352" spans="31:36">
      <c r="AE2352" s="15" t="str">
        <f t="shared" si="0"/>
        <v/>
      </c>
      <c r="AF2352" s="15" t="str">
        <f t="shared" si="1"/>
        <v/>
      </c>
      <c r="AG2352" s="15" t="str">
        <f>IF(OR(AF2352="",AF2352="ERRO_CHAVE"),"",IFERROR(MATCH(AF2352,'quitado Despesa'!$V$1:$V$12,0),""))</f>
        <v/>
      </c>
      <c r="AH2352" s="15" t="str">
        <f t="shared" si="2"/>
        <v/>
      </c>
      <c r="AI2352" s="17" t="str">
        <f>IF(AG2352="","",INDEX('quitado Despesa'!$G$1:$G$12,AG2352))</f>
        <v/>
      </c>
      <c r="AJ2352" s="17" t="str">
        <f t="shared" si="3"/>
        <v/>
      </c>
    </row>
    <row r="2353" spans="31:36">
      <c r="AE2353" s="15" t="str">
        <f t="shared" si="0"/>
        <v/>
      </c>
      <c r="AF2353" s="15" t="str">
        <f t="shared" si="1"/>
        <v/>
      </c>
      <c r="AG2353" s="15" t="str">
        <f>IF(OR(AF2353="",AF2353="ERRO_CHAVE"),"",IFERROR(MATCH(AF2353,'quitado Despesa'!$V$1:$V$12,0),""))</f>
        <v/>
      </c>
      <c r="AH2353" s="15" t="str">
        <f t="shared" si="2"/>
        <v/>
      </c>
      <c r="AI2353" s="17" t="str">
        <f>IF(AG2353="","",INDEX('quitado Despesa'!$G$1:$G$12,AG2353))</f>
        <v/>
      </c>
      <c r="AJ2353" s="17" t="str">
        <f t="shared" si="3"/>
        <v/>
      </c>
    </row>
    <row r="2354" spans="31:36">
      <c r="AE2354" s="15" t="str">
        <f t="shared" si="0"/>
        <v/>
      </c>
      <c r="AF2354" s="15" t="str">
        <f t="shared" si="1"/>
        <v/>
      </c>
      <c r="AG2354" s="15" t="str">
        <f>IF(OR(AF2354="",AF2354="ERRO_CHAVE"),"",IFERROR(MATCH(AF2354,'quitado Despesa'!$V$1:$V$12,0),""))</f>
        <v/>
      </c>
      <c r="AH2354" s="15" t="str">
        <f t="shared" si="2"/>
        <v/>
      </c>
      <c r="AI2354" s="17" t="str">
        <f>IF(AG2354="","",INDEX('quitado Despesa'!$G$1:$G$12,AG2354))</f>
        <v/>
      </c>
      <c r="AJ2354" s="17" t="str">
        <f t="shared" si="3"/>
        <v/>
      </c>
    </row>
    <row r="2355" spans="31:36">
      <c r="AE2355" s="15" t="str">
        <f t="shared" si="0"/>
        <v/>
      </c>
      <c r="AF2355" s="15" t="str">
        <f t="shared" si="1"/>
        <v/>
      </c>
      <c r="AG2355" s="15" t="str">
        <f>IF(OR(AF2355="",AF2355="ERRO_CHAVE"),"",IFERROR(MATCH(AF2355,'quitado Despesa'!$V$1:$V$12,0),""))</f>
        <v/>
      </c>
      <c r="AH2355" s="15" t="str">
        <f t="shared" si="2"/>
        <v/>
      </c>
      <c r="AI2355" s="17" t="str">
        <f>IF(AG2355="","",INDEX('quitado Despesa'!$G$1:$G$12,AG2355))</f>
        <v/>
      </c>
      <c r="AJ2355" s="17" t="str">
        <f t="shared" si="3"/>
        <v/>
      </c>
    </row>
    <row r="2356" spans="31:36">
      <c r="AE2356" s="15" t="str">
        <f t="shared" si="0"/>
        <v/>
      </c>
      <c r="AF2356" s="15" t="str">
        <f t="shared" si="1"/>
        <v/>
      </c>
      <c r="AG2356" s="15" t="str">
        <f>IF(OR(AF2356="",AF2356="ERRO_CHAVE"),"",IFERROR(MATCH(AF2356,'quitado Despesa'!$V$1:$V$12,0),""))</f>
        <v/>
      </c>
      <c r="AH2356" s="15" t="str">
        <f t="shared" si="2"/>
        <v/>
      </c>
      <c r="AI2356" s="17" t="str">
        <f>IF(AG2356="","",INDEX('quitado Despesa'!$G$1:$G$12,AG2356))</f>
        <v/>
      </c>
      <c r="AJ2356" s="17" t="str">
        <f t="shared" si="3"/>
        <v/>
      </c>
    </row>
    <row r="2357" spans="31:36">
      <c r="AE2357" s="15" t="str">
        <f t="shared" si="0"/>
        <v/>
      </c>
      <c r="AF2357" s="15" t="str">
        <f t="shared" si="1"/>
        <v/>
      </c>
      <c r="AG2357" s="15" t="str">
        <f>IF(OR(AF2357="",AF2357="ERRO_CHAVE"),"",IFERROR(MATCH(AF2357,'quitado Despesa'!$V$1:$V$12,0),""))</f>
        <v/>
      </c>
      <c r="AH2357" s="15" t="str">
        <f t="shared" si="2"/>
        <v/>
      </c>
      <c r="AI2357" s="17" t="str">
        <f>IF(AG2357="","",INDEX('quitado Despesa'!$G$1:$G$12,AG2357))</f>
        <v/>
      </c>
      <c r="AJ2357" s="17" t="str">
        <f t="shared" si="3"/>
        <v/>
      </c>
    </row>
    <row r="2358" spans="31:36">
      <c r="AE2358" s="15" t="str">
        <f t="shared" si="0"/>
        <v/>
      </c>
      <c r="AF2358" s="15" t="str">
        <f t="shared" si="1"/>
        <v/>
      </c>
      <c r="AG2358" s="15" t="str">
        <f>IF(OR(AF2358="",AF2358="ERRO_CHAVE"),"",IFERROR(MATCH(AF2358,'quitado Despesa'!$V$1:$V$12,0),""))</f>
        <v/>
      </c>
      <c r="AH2358" s="15" t="str">
        <f t="shared" si="2"/>
        <v/>
      </c>
      <c r="AI2358" s="17" t="str">
        <f>IF(AG2358="","",INDEX('quitado Despesa'!$G$1:$G$12,AG2358))</f>
        <v/>
      </c>
      <c r="AJ2358" s="17" t="str">
        <f t="shared" si="3"/>
        <v/>
      </c>
    </row>
    <row r="2359" spans="31:36">
      <c r="AE2359" s="15" t="str">
        <f t="shared" si="0"/>
        <v/>
      </c>
      <c r="AF2359" s="15" t="str">
        <f t="shared" si="1"/>
        <v/>
      </c>
      <c r="AG2359" s="15" t="str">
        <f>IF(OR(AF2359="",AF2359="ERRO_CHAVE"),"",IFERROR(MATCH(AF2359,'quitado Despesa'!$V$1:$V$12,0),""))</f>
        <v/>
      </c>
      <c r="AH2359" s="15" t="str">
        <f t="shared" si="2"/>
        <v/>
      </c>
      <c r="AI2359" s="17" t="str">
        <f>IF(AG2359="","",INDEX('quitado Despesa'!$G$1:$G$12,AG2359))</f>
        <v/>
      </c>
      <c r="AJ2359" s="17" t="str">
        <f t="shared" si="3"/>
        <v/>
      </c>
    </row>
    <row r="2360" spans="31:36">
      <c r="AE2360" s="15" t="str">
        <f t="shared" si="0"/>
        <v/>
      </c>
      <c r="AF2360" s="15" t="str">
        <f t="shared" si="1"/>
        <v/>
      </c>
      <c r="AG2360" s="15" t="str">
        <f>IF(OR(AF2360="",AF2360="ERRO_CHAVE"),"",IFERROR(MATCH(AF2360,'quitado Despesa'!$V$1:$V$12,0),""))</f>
        <v/>
      </c>
      <c r="AH2360" s="15" t="str">
        <f t="shared" si="2"/>
        <v/>
      </c>
      <c r="AI2360" s="17" t="str">
        <f>IF(AG2360="","",INDEX('quitado Despesa'!$G$1:$G$12,AG2360))</f>
        <v/>
      </c>
      <c r="AJ2360" s="17" t="str">
        <f t="shared" si="3"/>
        <v/>
      </c>
    </row>
    <row r="2361" spans="31:36">
      <c r="AE2361" s="15" t="str">
        <f t="shared" si="0"/>
        <v/>
      </c>
      <c r="AF2361" s="15" t="str">
        <f t="shared" si="1"/>
        <v/>
      </c>
      <c r="AG2361" s="15" t="str">
        <f>IF(OR(AF2361="",AF2361="ERRO_CHAVE"),"",IFERROR(MATCH(AF2361,'quitado Despesa'!$V$1:$V$12,0),""))</f>
        <v/>
      </c>
      <c r="AH2361" s="15" t="str">
        <f t="shared" si="2"/>
        <v/>
      </c>
      <c r="AI2361" s="17" t="str">
        <f>IF(AG2361="","",INDEX('quitado Despesa'!$G$1:$G$12,AG2361))</f>
        <v/>
      </c>
      <c r="AJ2361" s="17" t="str">
        <f t="shared" si="3"/>
        <v/>
      </c>
    </row>
    <row r="2362" spans="31:36">
      <c r="AE2362" s="15" t="str">
        <f t="shared" si="0"/>
        <v/>
      </c>
      <c r="AF2362" s="15" t="str">
        <f t="shared" si="1"/>
        <v/>
      </c>
      <c r="AG2362" s="15" t="str">
        <f>IF(OR(AF2362="",AF2362="ERRO_CHAVE"),"",IFERROR(MATCH(AF2362,'quitado Despesa'!$V$1:$V$12,0),""))</f>
        <v/>
      </c>
      <c r="AH2362" s="15" t="str">
        <f t="shared" si="2"/>
        <v/>
      </c>
      <c r="AI2362" s="17" t="str">
        <f>IF(AG2362="","",INDEX('quitado Despesa'!$G$1:$G$12,AG2362))</f>
        <v/>
      </c>
      <c r="AJ2362" s="17" t="str">
        <f t="shared" si="3"/>
        <v/>
      </c>
    </row>
    <row r="2363" spans="31:36">
      <c r="AE2363" s="15" t="str">
        <f t="shared" si="0"/>
        <v/>
      </c>
      <c r="AF2363" s="15" t="str">
        <f t="shared" si="1"/>
        <v/>
      </c>
      <c r="AG2363" s="15" t="str">
        <f>IF(OR(AF2363="",AF2363="ERRO_CHAVE"),"",IFERROR(MATCH(AF2363,'quitado Despesa'!$V$1:$V$12,0),""))</f>
        <v/>
      </c>
      <c r="AH2363" s="15" t="str">
        <f t="shared" si="2"/>
        <v/>
      </c>
      <c r="AI2363" s="17" t="str">
        <f>IF(AG2363="","",INDEX('quitado Despesa'!$G$1:$G$12,AG2363))</f>
        <v/>
      </c>
      <c r="AJ2363" s="17" t="str">
        <f t="shared" si="3"/>
        <v/>
      </c>
    </row>
    <row r="2364" spans="31:36">
      <c r="AE2364" s="15" t="str">
        <f t="shared" si="0"/>
        <v/>
      </c>
      <c r="AF2364" s="15" t="str">
        <f t="shared" si="1"/>
        <v/>
      </c>
      <c r="AG2364" s="15" t="str">
        <f>IF(OR(AF2364="",AF2364="ERRO_CHAVE"),"",IFERROR(MATCH(AF2364,'quitado Despesa'!$V$1:$V$12,0),""))</f>
        <v/>
      </c>
      <c r="AH2364" s="15" t="str">
        <f t="shared" si="2"/>
        <v/>
      </c>
      <c r="AI2364" s="17" t="str">
        <f>IF(AG2364="","",INDEX('quitado Despesa'!$G$1:$G$12,AG2364))</f>
        <v/>
      </c>
      <c r="AJ2364" s="17" t="str">
        <f t="shared" si="3"/>
        <v/>
      </c>
    </row>
    <row r="2365" spans="31:36">
      <c r="AE2365" s="15" t="str">
        <f t="shared" si="0"/>
        <v/>
      </c>
      <c r="AF2365" s="15" t="str">
        <f t="shared" si="1"/>
        <v/>
      </c>
      <c r="AG2365" s="15" t="str">
        <f>IF(OR(AF2365="",AF2365="ERRO_CHAVE"),"",IFERROR(MATCH(AF2365,'quitado Despesa'!$V$1:$V$12,0),""))</f>
        <v/>
      </c>
      <c r="AH2365" s="15" t="str">
        <f t="shared" si="2"/>
        <v/>
      </c>
      <c r="AI2365" s="17" t="str">
        <f>IF(AG2365="","",INDEX('quitado Despesa'!$G$1:$G$12,AG2365))</f>
        <v/>
      </c>
      <c r="AJ2365" s="17" t="str">
        <f t="shared" si="3"/>
        <v/>
      </c>
    </row>
    <row r="2366" spans="31:36">
      <c r="AE2366" s="15" t="str">
        <f t="shared" si="0"/>
        <v/>
      </c>
      <c r="AF2366" s="15" t="str">
        <f t="shared" si="1"/>
        <v/>
      </c>
      <c r="AG2366" s="15" t="str">
        <f>IF(OR(AF2366="",AF2366="ERRO_CHAVE"),"",IFERROR(MATCH(AF2366,'quitado Despesa'!$V$1:$V$12,0),""))</f>
        <v/>
      </c>
      <c r="AH2366" s="15" t="str">
        <f t="shared" si="2"/>
        <v/>
      </c>
      <c r="AI2366" s="17" t="str">
        <f>IF(AG2366="","",INDEX('quitado Despesa'!$G$1:$G$12,AG2366))</f>
        <v/>
      </c>
      <c r="AJ2366" s="17" t="str">
        <f t="shared" si="3"/>
        <v/>
      </c>
    </row>
    <row r="2367" spans="31:36">
      <c r="AE2367" s="15" t="str">
        <f t="shared" si="0"/>
        <v/>
      </c>
      <c r="AF2367" s="15" t="str">
        <f t="shared" si="1"/>
        <v/>
      </c>
      <c r="AG2367" s="15" t="str">
        <f>IF(OR(AF2367="",AF2367="ERRO_CHAVE"),"",IFERROR(MATCH(AF2367,'quitado Despesa'!$V$1:$V$12,0),""))</f>
        <v/>
      </c>
      <c r="AH2367" s="15" t="str">
        <f t="shared" si="2"/>
        <v/>
      </c>
      <c r="AI2367" s="17" t="str">
        <f>IF(AG2367="","",INDEX('quitado Despesa'!$G$1:$G$12,AG2367))</f>
        <v/>
      </c>
      <c r="AJ2367" s="17" t="str">
        <f t="shared" si="3"/>
        <v/>
      </c>
    </row>
    <row r="2368" spans="31:36">
      <c r="AE2368" s="15" t="str">
        <f t="shared" si="0"/>
        <v/>
      </c>
      <c r="AF2368" s="15" t="str">
        <f t="shared" si="1"/>
        <v/>
      </c>
      <c r="AG2368" s="15" t="str">
        <f>IF(OR(AF2368="",AF2368="ERRO_CHAVE"),"",IFERROR(MATCH(AF2368,'quitado Despesa'!$V$1:$V$12,0),""))</f>
        <v/>
      </c>
      <c r="AH2368" s="15" t="str">
        <f t="shared" si="2"/>
        <v/>
      </c>
      <c r="AI2368" s="17" t="str">
        <f>IF(AG2368="","",INDEX('quitado Despesa'!$G$1:$G$12,AG2368))</f>
        <v/>
      </c>
      <c r="AJ2368" s="17" t="str">
        <f t="shared" si="3"/>
        <v/>
      </c>
    </row>
    <row r="2369" spans="31:36">
      <c r="AE2369" s="15" t="str">
        <f t="shared" si="0"/>
        <v/>
      </c>
      <c r="AF2369" s="15" t="str">
        <f t="shared" si="1"/>
        <v/>
      </c>
      <c r="AG2369" s="15" t="str">
        <f>IF(OR(AF2369="",AF2369="ERRO_CHAVE"),"",IFERROR(MATCH(AF2369,'quitado Despesa'!$V$1:$V$12,0),""))</f>
        <v/>
      </c>
      <c r="AH2369" s="15" t="str">
        <f t="shared" si="2"/>
        <v/>
      </c>
      <c r="AI2369" s="17" t="str">
        <f>IF(AG2369="","",INDEX('quitado Despesa'!$G$1:$G$12,AG2369))</f>
        <v/>
      </c>
      <c r="AJ2369" s="17" t="str">
        <f t="shared" si="3"/>
        <v/>
      </c>
    </row>
    <row r="2370" spans="31:36">
      <c r="AE2370" s="15" t="str">
        <f t="shared" si="0"/>
        <v/>
      </c>
      <c r="AF2370" s="15" t="str">
        <f t="shared" si="1"/>
        <v/>
      </c>
      <c r="AG2370" s="15" t="str">
        <f>IF(OR(AF2370="",AF2370="ERRO_CHAVE"),"",IFERROR(MATCH(AF2370,'quitado Despesa'!$V$1:$V$12,0),""))</f>
        <v/>
      </c>
      <c r="AH2370" s="15" t="str">
        <f t="shared" si="2"/>
        <v/>
      </c>
      <c r="AI2370" s="17" t="str">
        <f>IF(AG2370="","",INDEX('quitado Despesa'!$G$1:$G$12,AG2370))</f>
        <v/>
      </c>
      <c r="AJ2370" s="17" t="str">
        <f t="shared" si="3"/>
        <v/>
      </c>
    </row>
    <row r="2371" spans="31:36">
      <c r="AE2371" s="15" t="str">
        <f t="shared" si="0"/>
        <v/>
      </c>
      <c r="AF2371" s="15" t="str">
        <f t="shared" si="1"/>
        <v/>
      </c>
      <c r="AG2371" s="15" t="str">
        <f>IF(OR(AF2371="",AF2371="ERRO_CHAVE"),"",IFERROR(MATCH(AF2371,'quitado Despesa'!$V$1:$V$12,0),""))</f>
        <v/>
      </c>
      <c r="AH2371" s="15" t="str">
        <f t="shared" si="2"/>
        <v/>
      </c>
      <c r="AI2371" s="17" t="str">
        <f>IF(AG2371="","",INDEX('quitado Despesa'!$G$1:$G$12,AG2371))</f>
        <v/>
      </c>
      <c r="AJ2371" s="17" t="str">
        <f t="shared" si="3"/>
        <v/>
      </c>
    </row>
    <row r="2372" spans="31:36">
      <c r="AE2372" s="15" t="str">
        <f t="shared" si="0"/>
        <v/>
      </c>
      <c r="AF2372" s="15" t="str">
        <f t="shared" si="1"/>
        <v/>
      </c>
      <c r="AG2372" s="15" t="str">
        <f>IF(OR(AF2372="",AF2372="ERRO_CHAVE"),"",IFERROR(MATCH(AF2372,'quitado Despesa'!$V$1:$V$12,0),""))</f>
        <v/>
      </c>
      <c r="AH2372" s="15" t="str">
        <f t="shared" si="2"/>
        <v/>
      </c>
      <c r="AI2372" s="17" t="str">
        <f>IF(AG2372="","",INDEX('quitado Despesa'!$G$1:$G$12,AG2372))</f>
        <v/>
      </c>
      <c r="AJ2372" s="17" t="str">
        <f t="shared" si="3"/>
        <v/>
      </c>
    </row>
    <row r="2373" spans="31:36">
      <c r="AE2373" s="15" t="str">
        <f t="shared" si="0"/>
        <v/>
      </c>
      <c r="AF2373" s="15" t="str">
        <f t="shared" si="1"/>
        <v/>
      </c>
      <c r="AG2373" s="15" t="str">
        <f>IF(OR(AF2373="",AF2373="ERRO_CHAVE"),"",IFERROR(MATCH(AF2373,'quitado Despesa'!$V$1:$V$12,0),""))</f>
        <v/>
      </c>
      <c r="AH2373" s="15" t="str">
        <f t="shared" si="2"/>
        <v/>
      </c>
      <c r="AI2373" s="17" t="str">
        <f>IF(AG2373="","",INDEX('quitado Despesa'!$G$1:$G$12,AG2373))</f>
        <v/>
      </c>
      <c r="AJ2373" s="17" t="str">
        <f t="shared" si="3"/>
        <v/>
      </c>
    </row>
    <row r="2374" spans="31:36">
      <c r="AE2374" s="15" t="str">
        <f t="shared" si="0"/>
        <v/>
      </c>
      <c r="AF2374" s="15" t="str">
        <f t="shared" si="1"/>
        <v/>
      </c>
      <c r="AG2374" s="15" t="str">
        <f>IF(OR(AF2374="",AF2374="ERRO_CHAVE"),"",IFERROR(MATCH(AF2374,'quitado Despesa'!$V$1:$V$12,0),""))</f>
        <v/>
      </c>
      <c r="AH2374" s="15" t="str">
        <f t="shared" si="2"/>
        <v/>
      </c>
      <c r="AI2374" s="17" t="str">
        <f>IF(AG2374="","",INDEX('quitado Despesa'!$G$1:$G$12,AG2374))</f>
        <v/>
      </c>
      <c r="AJ2374" s="17" t="str">
        <f t="shared" si="3"/>
        <v/>
      </c>
    </row>
    <row r="2375" spans="31:36">
      <c r="AE2375" s="15" t="str">
        <f t="shared" si="0"/>
        <v/>
      </c>
      <c r="AF2375" s="15" t="str">
        <f t="shared" si="1"/>
        <v/>
      </c>
      <c r="AG2375" s="15" t="str">
        <f>IF(OR(AF2375="",AF2375="ERRO_CHAVE"),"",IFERROR(MATCH(AF2375,'quitado Despesa'!$V$1:$V$12,0),""))</f>
        <v/>
      </c>
      <c r="AH2375" s="15" t="str">
        <f t="shared" si="2"/>
        <v/>
      </c>
      <c r="AI2375" s="17" t="str">
        <f>IF(AG2375="","",INDEX('quitado Despesa'!$G$1:$G$12,AG2375))</f>
        <v/>
      </c>
      <c r="AJ2375" s="17" t="str">
        <f t="shared" si="3"/>
        <v/>
      </c>
    </row>
    <row r="2376" spans="31:36">
      <c r="AE2376" s="15" t="str">
        <f t="shared" si="0"/>
        <v/>
      </c>
      <c r="AF2376" s="15" t="str">
        <f t="shared" si="1"/>
        <v/>
      </c>
      <c r="AG2376" s="15" t="str">
        <f>IF(OR(AF2376="",AF2376="ERRO_CHAVE"),"",IFERROR(MATCH(AF2376,'quitado Despesa'!$V$1:$V$12,0),""))</f>
        <v/>
      </c>
      <c r="AH2376" s="15" t="str">
        <f t="shared" si="2"/>
        <v/>
      </c>
      <c r="AI2376" s="17" t="str">
        <f>IF(AG2376="","",INDEX('quitado Despesa'!$G$1:$G$12,AG2376))</f>
        <v/>
      </c>
      <c r="AJ2376" s="17" t="str">
        <f t="shared" si="3"/>
        <v/>
      </c>
    </row>
    <row r="2377" spans="31:36">
      <c r="AE2377" s="15" t="str">
        <f t="shared" si="0"/>
        <v/>
      </c>
      <c r="AF2377" s="15" t="str">
        <f t="shared" si="1"/>
        <v/>
      </c>
      <c r="AG2377" s="15" t="str">
        <f>IF(OR(AF2377="",AF2377="ERRO_CHAVE"),"",IFERROR(MATCH(AF2377,'quitado Despesa'!$V$1:$V$12,0),""))</f>
        <v/>
      </c>
      <c r="AH2377" s="15" t="str">
        <f t="shared" si="2"/>
        <v/>
      </c>
      <c r="AI2377" s="17" t="str">
        <f>IF(AG2377="","",INDEX('quitado Despesa'!$G$1:$G$12,AG2377))</f>
        <v/>
      </c>
      <c r="AJ2377" s="17" t="str">
        <f t="shared" si="3"/>
        <v/>
      </c>
    </row>
    <row r="2378" spans="31:36">
      <c r="AE2378" s="15" t="str">
        <f t="shared" si="0"/>
        <v/>
      </c>
      <c r="AF2378" s="15" t="str">
        <f t="shared" si="1"/>
        <v/>
      </c>
      <c r="AG2378" s="15" t="str">
        <f>IF(OR(AF2378="",AF2378="ERRO_CHAVE"),"",IFERROR(MATCH(AF2378,'quitado Despesa'!$V$1:$V$12,0),""))</f>
        <v/>
      </c>
      <c r="AH2378" s="15" t="str">
        <f t="shared" si="2"/>
        <v/>
      </c>
      <c r="AI2378" s="17" t="str">
        <f>IF(AG2378="","",INDEX('quitado Despesa'!$G$1:$G$12,AG2378))</f>
        <v/>
      </c>
      <c r="AJ2378" s="17" t="str">
        <f t="shared" si="3"/>
        <v/>
      </c>
    </row>
    <row r="2379" spans="31:36">
      <c r="AE2379" s="15" t="str">
        <f t="shared" si="0"/>
        <v/>
      </c>
      <c r="AF2379" s="15" t="str">
        <f t="shared" si="1"/>
        <v/>
      </c>
      <c r="AG2379" s="15" t="str">
        <f>IF(OR(AF2379="",AF2379="ERRO_CHAVE"),"",IFERROR(MATCH(AF2379,'quitado Despesa'!$V$1:$V$12,0),""))</f>
        <v/>
      </c>
      <c r="AH2379" s="15" t="str">
        <f t="shared" si="2"/>
        <v/>
      </c>
      <c r="AI2379" s="17" t="str">
        <f>IF(AG2379="","",INDEX('quitado Despesa'!$G$1:$G$12,AG2379))</f>
        <v/>
      </c>
      <c r="AJ2379" s="17" t="str">
        <f t="shared" si="3"/>
        <v/>
      </c>
    </row>
    <row r="2380" spans="31:36">
      <c r="AE2380" s="15" t="str">
        <f t="shared" si="0"/>
        <v/>
      </c>
      <c r="AF2380" s="15" t="str">
        <f t="shared" si="1"/>
        <v/>
      </c>
      <c r="AG2380" s="15" t="str">
        <f>IF(OR(AF2380="",AF2380="ERRO_CHAVE"),"",IFERROR(MATCH(AF2380,'quitado Despesa'!$V$1:$V$12,0),""))</f>
        <v/>
      </c>
      <c r="AH2380" s="15" t="str">
        <f t="shared" si="2"/>
        <v/>
      </c>
      <c r="AI2380" s="17" t="str">
        <f>IF(AG2380="","",INDEX('quitado Despesa'!$G$1:$G$12,AG2380))</f>
        <v/>
      </c>
      <c r="AJ2380" s="17" t="str">
        <f t="shared" si="3"/>
        <v/>
      </c>
    </row>
    <row r="2381" spans="31:36">
      <c r="AE2381" s="15" t="str">
        <f t="shared" si="0"/>
        <v/>
      </c>
      <c r="AF2381" s="15" t="str">
        <f t="shared" si="1"/>
        <v/>
      </c>
      <c r="AG2381" s="15" t="str">
        <f>IF(OR(AF2381="",AF2381="ERRO_CHAVE"),"",IFERROR(MATCH(AF2381,'quitado Despesa'!$V$1:$V$12,0),""))</f>
        <v/>
      </c>
      <c r="AH2381" s="15" t="str">
        <f t="shared" si="2"/>
        <v/>
      </c>
      <c r="AI2381" s="17" t="str">
        <f>IF(AG2381="","",INDEX('quitado Despesa'!$G$1:$G$12,AG2381))</f>
        <v/>
      </c>
      <c r="AJ2381" s="17" t="str">
        <f t="shared" si="3"/>
        <v/>
      </c>
    </row>
    <row r="2382" spans="31:36">
      <c r="AE2382" s="15" t="str">
        <f t="shared" si="0"/>
        <v/>
      </c>
      <c r="AF2382" s="15" t="str">
        <f t="shared" si="1"/>
        <v/>
      </c>
      <c r="AG2382" s="15" t="str">
        <f>IF(OR(AF2382="",AF2382="ERRO_CHAVE"),"",IFERROR(MATCH(AF2382,'quitado Despesa'!$V$1:$V$12,0),""))</f>
        <v/>
      </c>
      <c r="AH2382" s="15" t="str">
        <f t="shared" si="2"/>
        <v/>
      </c>
      <c r="AI2382" s="17" t="str">
        <f>IF(AG2382="","",INDEX('quitado Despesa'!$G$1:$G$12,AG2382))</f>
        <v/>
      </c>
      <c r="AJ2382" s="17" t="str">
        <f t="shared" si="3"/>
        <v/>
      </c>
    </row>
    <row r="2383" spans="31:36">
      <c r="AE2383" s="15" t="str">
        <f t="shared" si="0"/>
        <v/>
      </c>
      <c r="AF2383" s="15" t="str">
        <f t="shared" si="1"/>
        <v/>
      </c>
      <c r="AG2383" s="15" t="str">
        <f>IF(OR(AF2383="",AF2383="ERRO_CHAVE"),"",IFERROR(MATCH(AF2383,'quitado Despesa'!$V$1:$V$12,0),""))</f>
        <v/>
      </c>
      <c r="AH2383" s="15" t="str">
        <f t="shared" si="2"/>
        <v/>
      </c>
      <c r="AI2383" s="17" t="str">
        <f>IF(AG2383="","",INDEX('quitado Despesa'!$G$1:$G$12,AG2383))</f>
        <v/>
      </c>
      <c r="AJ2383" s="17" t="str">
        <f t="shared" si="3"/>
        <v/>
      </c>
    </row>
    <row r="2384" spans="31:36">
      <c r="AE2384" s="15" t="str">
        <f t="shared" si="0"/>
        <v/>
      </c>
      <c r="AF2384" s="15" t="str">
        <f t="shared" si="1"/>
        <v/>
      </c>
      <c r="AG2384" s="15" t="str">
        <f>IF(OR(AF2384="",AF2384="ERRO_CHAVE"),"",IFERROR(MATCH(AF2384,'quitado Despesa'!$V$1:$V$12,0),""))</f>
        <v/>
      </c>
      <c r="AH2384" s="15" t="str">
        <f t="shared" si="2"/>
        <v/>
      </c>
      <c r="AI2384" s="17" t="str">
        <f>IF(AG2384="","",INDEX('quitado Despesa'!$G$1:$G$12,AG2384))</f>
        <v/>
      </c>
      <c r="AJ2384" s="17" t="str">
        <f t="shared" si="3"/>
        <v/>
      </c>
    </row>
    <row r="2385" spans="31:36">
      <c r="AE2385" s="15" t="str">
        <f t="shared" si="0"/>
        <v/>
      </c>
      <c r="AF2385" s="15" t="str">
        <f t="shared" si="1"/>
        <v/>
      </c>
      <c r="AG2385" s="15" t="str">
        <f>IF(OR(AF2385="",AF2385="ERRO_CHAVE"),"",IFERROR(MATCH(AF2385,'quitado Despesa'!$V$1:$V$12,0),""))</f>
        <v/>
      </c>
      <c r="AH2385" s="15" t="str">
        <f t="shared" si="2"/>
        <v/>
      </c>
      <c r="AI2385" s="17" t="str">
        <f>IF(AG2385="","",INDEX('quitado Despesa'!$G$1:$G$12,AG2385))</f>
        <v/>
      </c>
      <c r="AJ2385" s="17" t="str">
        <f t="shared" si="3"/>
        <v/>
      </c>
    </row>
    <row r="2386" spans="31:36">
      <c r="AE2386" s="15" t="str">
        <f t="shared" si="0"/>
        <v/>
      </c>
      <c r="AF2386" s="15" t="str">
        <f t="shared" si="1"/>
        <v/>
      </c>
      <c r="AG2386" s="15" t="str">
        <f>IF(OR(AF2386="",AF2386="ERRO_CHAVE"),"",IFERROR(MATCH(AF2386,'quitado Despesa'!$V$1:$V$12,0),""))</f>
        <v/>
      </c>
      <c r="AH2386" s="15" t="str">
        <f t="shared" si="2"/>
        <v/>
      </c>
      <c r="AI2386" s="17" t="str">
        <f>IF(AG2386="","",INDEX('quitado Despesa'!$G$1:$G$12,AG2386))</f>
        <v/>
      </c>
      <c r="AJ2386" s="17" t="str">
        <f t="shared" si="3"/>
        <v/>
      </c>
    </row>
    <row r="2387" spans="31:36">
      <c r="AE2387" s="15" t="str">
        <f t="shared" si="0"/>
        <v/>
      </c>
      <c r="AF2387" s="15" t="str">
        <f t="shared" si="1"/>
        <v/>
      </c>
      <c r="AG2387" s="15" t="str">
        <f>IF(OR(AF2387="",AF2387="ERRO_CHAVE"),"",IFERROR(MATCH(AF2387,'quitado Despesa'!$V$1:$V$12,0),""))</f>
        <v/>
      </c>
      <c r="AH2387" s="15" t="str">
        <f t="shared" si="2"/>
        <v/>
      </c>
      <c r="AI2387" s="17" t="str">
        <f>IF(AG2387="","",INDEX('quitado Despesa'!$G$1:$G$12,AG2387))</f>
        <v/>
      </c>
      <c r="AJ2387" s="17" t="str">
        <f t="shared" si="3"/>
        <v/>
      </c>
    </row>
    <row r="2388" spans="31:36">
      <c r="AE2388" s="15" t="str">
        <f t="shared" si="0"/>
        <v/>
      </c>
      <c r="AF2388" s="15" t="str">
        <f t="shared" si="1"/>
        <v/>
      </c>
      <c r="AG2388" s="15" t="str">
        <f>IF(OR(AF2388="",AF2388="ERRO_CHAVE"),"",IFERROR(MATCH(AF2388,'quitado Despesa'!$V$1:$V$12,0),""))</f>
        <v/>
      </c>
      <c r="AH2388" s="15" t="str">
        <f t="shared" si="2"/>
        <v/>
      </c>
      <c r="AI2388" s="17" t="str">
        <f>IF(AG2388="","",INDEX('quitado Despesa'!$G$1:$G$12,AG2388))</f>
        <v/>
      </c>
      <c r="AJ2388" s="17" t="str">
        <f t="shared" si="3"/>
        <v/>
      </c>
    </row>
    <row r="2389" spans="31:36">
      <c r="AE2389" s="15" t="str">
        <f t="shared" si="0"/>
        <v/>
      </c>
      <c r="AF2389" s="15" t="str">
        <f t="shared" si="1"/>
        <v/>
      </c>
      <c r="AG2389" s="15" t="str">
        <f>IF(OR(AF2389="",AF2389="ERRO_CHAVE"),"",IFERROR(MATCH(AF2389,'quitado Despesa'!$V$1:$V$12,0),""))</f>
        <v/>
      </c>
      <c r="AH2389" s="15" t="str">
        <f t="shared" si="2"/>
        <v/>
      </c>
      <c r="AI2389" s="17" t="str">
        <f>IF(AG2389="","",INDEX('quitado Despesa'!$G$1:$G$12,AG2389))</f>
        <v/>
      </c>
      <c r="AJ2389" s="17" t="str">
        <f t="shared" si="3"/>
        <v/>
      </c>
    </row>
    <row r="2390" spans="31:36">
      <c r="AE2390" s="15" t="str">
        <f t="shared" si="0"/>
        <v/>
      </c>
      <c r="AF2390" s="15" t="str">
        <f t="shared" si="1"/>
        <v/>
      </c>
      <c r="AG2390" s="15" t="str">
        <f>IF(OR(AF2390="",AF2390="ERRO_CHAVE"),"",IFERROR(MATCH(AF2390,'quitado Despesa'!$V$1:$V$12,0),""))</f>
        <v/>
      </c>
      <c r="AH2390" s="15" t="str">
        <f t="shared" si="2"/>
        <v/>
      </c>
      <c r="AI2390" s="17" t="str">
        <f>IF(AG2390="","",INDEX('quitado Despesa'!$G$1:$G$12,AG2390))</f>
        <v/>
      </c>
      <c r="AJ2390" s="17" t="str">
        <f t="shared" si="3"/>
        <v/>
      </c>
    </row>
    <row r="2391" spans="31:36">
      <c r="AE2391" s="15" t="str">
        <f t="shared" si="0"/>
        <v/>
      </c>
      <c r="AF2391" s="15" t="str">
        <f t="shared" si="1"/>
        <v/>
      </c>
      <c r="AG2391" s="15" t="str">
        <f>IF(OR(AF2391="",AF2391="ERRO_CHAVE"),"",IFERROR(MATCH(AF2391,'quitado Despesa'!$V$1:$V$12,0),""))</f>
        <v/>
      </c>
      <c r="AH2391" s="15" t="str">
        <f t="shared" si="2"/>
        <v/>
      </c>
      <c r="AI2391" s="17" t="str">
        <f>IF(AG2391="","",INDEX('quitado Despesa'!$G$1:$G$12,AG2391))</f>
        <v/>
      </c>
      <c r="AJ2391" s="17" t="str">
        <f t="shared" si="3"/>
        <v/>
      </c>
    </row>
    <row r="2392" spans="31:36">
      <c r="AE2392" s="15" t="str">
        <f t="shared" si="0"/>
        <v/>
      </c>
      <c r="AF2392" s="15" t="str">
        <f t="shared" si="1"/>
        <v/>
      </c>
      <c r="AG2392" s="15" t="str">
        <f>IF(OR(AF2392="",AF2392="ERRO_CHAVE"),"",IFERROR(MATCH(AF2392,'quitado Despesa'!$V$1:$V$12,0),""))</f>
        <v/>
      </c>
      <c r="AH2392" s="15" t="str">
        <f t="shared" si="2"/>
        <v/>
      </c>
      <c r="AI2392" s="17" t="str">
        <f>IF(AG2392="","",INDEX('quitado Despesa'!$G$1:$G$12,AG2392))</f>
        <v/>
      </c>
      <c r="AJ2392" s="17" t="str">
        <f t="shared" si="3"/>
        <v/>
      </c>
    </row>
    <row r="2393" spans="31:36">
      <c r="AE2393" s="15" t="str">
        <f t="shared" si="0"/>
        <v/>
      </c>
      <c r="AF2393" s="15" t="str">
        <f t="shared" si="1"/>
        <v/>
      </c>
      <c r="AG2393" s="15" t="str">
        <f>IF(OR(AF2393="",AF2393="ERRO_CHAVE"),"",IFERROR(MATCH(AF2393,'quitado Despesa'!$V$1:$V$12,0),""))</f>
        <v/>
      </c>
      <c r="AH2393" s="15" t="str">
        <f t="shared" si="2"/>
        <v/>
      </c>
      <c r="AI2393" s="17" t="str">
        <f>IF(AG2393="","",INDEX('quitado Despesa'!$G$1:$G$12,AG2393))</f>
        <v/>
      </c>
      <c r="AJ2393" s="17" t="str">
        <f t="shared" si="3"/>
        <v/>
      </c>
    </row>
    <row r="2394" spans="31:36">
      <c r="AE2394" s="15" t="str">
        <f t="shared" si="0"/>
        <v/>
      </c>
      <c r="AF2394" s="15" t="str">
        <f t="shared" si="1"/>
        <v/>
      </c>
      <c r="AG2394" s="15" t="str">
        <f>IF(OR(AF2394="",AF2394="ERRO_CHAVE"),"",IFERROR(MATCH(AF2394,'quitado Despesa'!$V$1:$V$12,0),""))</f>
        <v/>
      </c>
      <c r="AH2394" s="15" t="str">
        <f t="shared" si="2"/>
        <v/>
      </c>
      <c r="AI2394" s="17" t="str">
        <f>IF(AG2394="","",INDEX('quitado Despesa'!$G$1:$G$12,AG2394))</f>
        <v/>
      </c>
      <c r="AJ2394" s="17" t="str">
        <f t="shared" si="3"/>
        <v/>
      </c>
    </row>
    <row r="2395" spans="31:36">
      <c r="AE2395" s="15" t="str">
        <f t="shared" si="0"/>
        <v/>
      </c>
      <c r="AF2395" s="15" t="str">
        <f t="shared" si="1"/>
        <v/>
      </c>
      <c r="AG2395" s="15" t="str">
        <f>IF(OR(AF2395="",AF2395="ERRO_CHAVE"),"",IFERROR(MATCH(AF2395,'quitado Despesa'!$V$1:$V$12,0),""))</f>
        <v/>
      </c>
      <c r="AH2395" s="15" t="str">
        <f t="shared" si="2"/>
        <v/>
      </c>
      <c r="AI2395" s="17" t="str">
        <f>IF(AG2395="","",INDEX('quitado Despesa'!$G$1:$G$12,AG2395))</f>
        <v/>
      </c>
      <c r="AJ2395" s="17" t="str">
        <f t="shared" si="3"/>
        <v/>
      </c>
    </row>
    <row r="2396" spans="31:36">
      <c r="AE2396" s="15" t="str">
        <f t="shared" si="0"/>
        <v/>
      </c>
      <c r="AF2396" s="15" t="str">
        <f t="shared" si="1"/>
        <v/>
      </c>
      <c r="AG2396" s="15" t="str">
        <f>IF(OR(AF2396="",AF2396="ERRO_CHAVE"),"",IFERROR(MATCH(AF2396,'quitado Despesa'!$V$1:$V$12,0),""))</f>
        <v/>
      </c>
      <c r="AH2396" s="15" t="str">
        <f t="shared" si="2"/>
        <v/>
      </c>
      <c r="AI2396" s="17" t="str">
        <f>IF(AG2396="","",INDEX('quitado Despesa'!$G$1:$G$12,AG2396))</f>
        <v/>
      </c>
      <c r="AJ2396" s="17" t="str">
        <f t="shared" si="3"/>
        <v/>
      </c>
    </row>
    <row r="2397" spans="31:36">
      <c r="AE2397" s="15" t="str">
        <f t="shared" si="0"/>
        <v/>
      </c>
      <c r="AF2397" s="15" t="str">
        <f t="shared" si="1"/>
        <v/>
      </c>
      <c r="AG2397" s="15" t="str">
        <f>IF(OR(AF2397="",AF2397="ERRO_CHAVE"),"",IFERROR(MATCH(AF2397,'quitado Despesa'!$V$1:$V$12,0),""))</f>
        <v/>
      </c>
      <c r="AH2397" s="15" t="str">
        <f t="shared" si="2"/>
        <v/>
      </c>
      <c r="AI2397" s="17" t="str">
        <f>IF(AG2397="","",INDEX('quitado Despesa'!$G$1:$G$12,AG2397))</f>
        <v/>
      </c>
      <c r="AJ2397" s="17" t="str">
        <f t="shared" si="3"/>
        <v/>
      </c>
    </row>
    <row r="2398" spans="31:36">
      <c r="AE2398" s="15" t="str">
        <f t="shared" si="0"/>
        <v/>
      </c>
      <c r="AF2398" s="15" t="str">
        <f t="shared" si="1"/>
        <v/>
      </c>
      <c r="AG2398" s="15" t="str">
        <f>IF(OR(AF2398="",AF2398="ERRO_CHAVE"),"",IFERROR(MATCH(AF2398,'quitado Despesa'!$V$1:$V$12,0),""))</f>
        <v/>
      </c>
      <c r="AH2398" s="15" t="str">
        <f t="shared" si="2"/>
        <v/>
      </c>
      <c r="AI2398" s="17" t="str">
        <f>IF(AG2398="","",INDEX('quitado Despesa'!$G$1:$G$12,AG2398))</f>
        <v/>
      </c>
      <c r="AJ2398" s="17" t="str">
        <f t="shared" si="3"/>
        <v/>
      </c>
    </row>
    <row r="2399" spans="31:36">
      <c r="AE2399" s="15" t="str">
        <f t="shared" si="0"/>
        <v/>
      </c>
      <c r="AF2399" s="15" t="str">
        <f t="shared" si="1"/>
        <v/>
      </c>
      <c r="AG2399" s="15" t="str">
        <f>IF(OR(AF2399="",AF2399="ERRO_CHAVE"),"",IFERROR(MATCH(AF2399,'quitado Despesa'!$V$1:$V$12,0),""))</f>
        <v/>
      </c>
      <c r="AH2399" s="15" t="str">
        <f t="shared" si="2"/>
        <v/>
      </c>
      <c r="AI2399" s="17" t="str">
        <f>IF(AG2399="","",INDEX('quitado Despesa'!$G$1:$G$12,AG2399))</f>
        <v/>
      </c>
      <c r="AJ2399" s="17" t="str">
        <f t="shared" si="3"/>
        <v/>
      </c>
    </row>
    <row r="2400" spans="31:36">
      <c r="AE2400" s="15" t="str">
        <f t="shared" si="0"/>
        <v/>
      </c>
      <c r="AF2400" s="15" t="str">
        <f t="shared" si="1"/>
        <v/>
      </c>
      <c r="AG2400" s="15" t="str">
        <f>IF(OR(AF2400="",AF2400="ERRO_CHAVE"),"",IFERROR(MATCH(AF2400,'quitado Despesa'!$V$1:$V$12,0),""))</f>
        <v/>
      </c>
      <c r="AH2400" s="15" t="str">
        <f t="shared" si="2"/>
        <v/>
      </c>
      <c r="AI2400" s="17" t="str">
        <f>IF(AG2400="","",INDEX('quitado Despesa'!$G$1:$G$12,AG2400))</f>
        <v/>
      </c>
      <c r="AJ2400" s="17" t="str">
        <f t="shared" si="3"/>
        <v/>
      </c>
    </row>
    <row r="2401" spans="31:36">
      <c r="AE2401" s="15" t="str">
        <f t="shared" si="0"/>
        <v/>
      </c>
      <c r="AF2401" s="15" t="str">
        <f t="shared" si="1"/>
        <v/>
      </c>
      <c r="AG2401" s="15" t="str">
        <f>IF(OR(AF2401="",AF2401="ERRO_CHAVE"),"",IFERROR(MATCH(AF2401,'quitado Despesa'!$V$1:$V$12,0),""))</f>
        <v/>
      </c>
      <c r="AH2401" s="15" t="str">
        <f t="shared" si="2"/>
        <v/>
      </c>
      <c r="AI2401" s="17" t="str">
        <f>IF(AG2401="","",INDEX('quitado Despesa'!$G$1:$G$12,AG2401))</f>
        <v/>
      </c>
      <c r="AJ2401" s="17" t="str">
        <f t="shared" si="3"/>
        <v/>
      </c>
    </row>
    <row r="2402" spans="31:36">
      <c r="AE2402" s="15" t="str">
        <f t="shared" si="0"/>
        <v/>
      </c>
      <c r="AF2402" s="15" t="str">
        <f t="shared" si="1"/>
        <v/>
      </c>
      <c r="AG2402" s="15" t="str">
        <f>IF(OR(AF2402="",AF2402="ERRO_CHAVE"),"",IFERROR(MATCH(AF2402,'quitado Despesa'!$V$1:$V$12,0),""))</f>
        <v/>
      </c>
      <c r="AH2402" s="15" t="str">
        <f t="shared" si="2"/>
        <v/>
      </c>
      <c r="AI2402" s="17" t="str">
        <f>IF(AG2402="","",INDEX('quitado Despesa'!$G$1:$G$12,AG2402))</f>
        <v/>
      </c>
      <c r="AJ2402" s="17" t="str">
        <f t="shared" si="3"/>
        <v/>
      </c>
    </row>
    <row r="2403" spans="31:36">
      <c r="AE2403" s="15" t="str">
        <f t="shared" si="0"/>
        <v/>
      </c>
      <c r="AF2403" s="15" t="str">
        <f t="shared" si="1"/>
        <v/>
      </c>
      <c r="AG2403" s="15" t="str">
        <f>IF(OR(AF2403="",AF2403="ERRO_CHAVE"),"",IFERROR(MATCH(AF2403,'quitado Despesa'!$V$1:$V$12,0),""))</f>
        <v/>
      </c>
      <c r="AH2403" s="15" t="str">
        <f t="shared" si="2"/>
        <v/>
      </c>
      <c r="AI2403" s="17" t="str">
        <f>IF(AG2403="","",INDEX('quitado Despesa'!$G$1:$G$12,AG2403))</f>
        <v/>
      </c>
      <c r="AJ2403" s="17" t="str">
        <f t="shared" si="3"/>
        <v/>
      </c>
    </row>
    <row r="2404" spans="31:36">
      <c r="AE2404" s="15" t="str">
        <f t="shared" si="0"/>
        <v/>
      </c>
      <c r="AF2404" s="15" t="str">
        <f t="shared" si="1"/>
        <v/>
      </c>
      <c r="AG2404" s="15" t="str">
        <f>IF(OR(AF2404="",AF2404="ERRO_CHAVE"),"",IFERROR(MATCH(AF2404,'quitado Despesa'!$V$1:$V$12,0),""))</f>
        <v/>
      </c>
      <c r="AH2404" s="15" t="str">
        <f t="shared" si="2"/>
        <v/>
      </c>
      <c r="AI2404" s="17" t="str">
        <f>IF(AG2404="","",INDEX('quitado Despesa'!$G$1:$G$12,AG2404))</f>
        <v/>
      </c>
      <c r="AJ2404" s="17" t="str">
        <f t="shared" si="3"/>
        <v/>
      </c>
    </row>
    <row r="2405" spans="31:36">
      <c r="AE2405" s="15" t="str">
        <f t="shared" si="0"/>
        <v/>
      </c>
      <c r="AF2405" s="15" t="str">
        <f t="shared" si="1"/>
        <v/>
      </c>
      <c r="AG2405" s="15" t="str">
        <f>IF(OR(AF2405="",AF2405="ERRO_CHAVE"),"",IFERROR(MATCH(AF2405,'quitado Despesa'!$V$1:$V$12,0),""))</f>
        <v/>
      </c>
      <c r="AH2405" s="15" t="str">
        <f t="shared" si="2"/>
        <v/>
      </c>
      <c r="AI2405" s="17" t="str">
        <f>IF(AG2405="","",INDEX('quitado Despesa'!$G$1:$G$12,AG2405))</f>
        <v/>
      </c>
      <c r="AJ2405" s="17" t="str">
        <f t="shared" si="3"/>
        <v/>
      </c>
    </row>
    <row r="2406" spans="31:36">
      <c r="AE2406" s="15" t="str">
        <f t="shared" si="0"/>
        <v/>
      </c>
      <c r="AF2406" s="15" t="str">
        <f t="shared" si="1"/>
        <v/>
      </c>
      <c r="AG2406" s="15" t="str">
        <f>IF(OR(AF2406="",AF2406="ERRO_CHAVE"),"",IFERROR(MATCH(AF2406,'quitado Despesa'!$V$1:$V$12,0),""))</f>
        <v/>
      </c>
      <c r="AH2406" s="15" t="str">
        <f t="shared" si="2"/>
        <v/>
      </c>
      <c r="AI2406" s="17" t="str">
        <f>IF(AG2406="","",INDEX('quitado Despesa'!$G$1:$G$12,AG2406))</f>
        <v/>
      </c>
      <c r="AJ2406" s="17" t="str">
        <f t="shared" si="3"/>
        <v/>
      </c>
    </row>
    <row r="2407" spans="31:36">
      <c r="AE2407" s="15" t="str">
        <f t="shared" si="0"/>
        <v/>
      </c>
      <c r="AF2407" s="15" t="str">
        <f t="shared" si="1"/>
        <v/>
      </c>
      <c r="AG2407" s="15" t="str">
        <f>IF(OR(AF2407="",AF2407="ERRO_CHAVE"),"",IFERROR(MATCH(AF2407,'quitado Despesa'!$V$1:$V$12,0),""))</f>
        <v/>
      </c>
      <c r="AH2407" s="15" t="str">
        <f t="shared" si="2"/>
        <v/>
      </c>
      <c r="AI2407" s="17" t="str">
        <f>IF(AG2407="","",INDEX('quitado Despesa'!$G$1:$G$12,AG2407))</f>
        <v/>
      </c>
      <c r="AJ2407" s="17" t="str">
        <f t="shared" si="3"/>
        <v/>
      </c>
    </row>
    <row r="2408" spans="31:36">
      <c r="AE2408" s="15" t="str">
        <f t="shared" si="0"/>
        <v/>
      </c>
      <c r="AF2408" s="15" t="str">
        <f t="shared" si="1"/>
        <v/>
      </c>
      <c r="AG2408" s="15" t="str">
        <f>IF(OR(AF2408="",AF2408="ERRO_CHAVE"),"",IFERROR(MATCH(AF2408,'quitado Despesa'!$V$1:$V$12,0),""))</f>
        <v/>
      </c>
      <c r="AH2408" s="15" t="str">
        <f t="shared" si="2"/>
        <v/>
      </c>
      <c r="AI2408" s="17" t="str">
        <f>IF(AG2408="","",INDEX('quitado Despesa'!$G$1:$G$12,AG2408))</f>
        <v/>
      </c>
      <c r="AJ2408" s="17" t="str">
        <f t="shared" si="3"/>
        <v/>
      </c>
    </row>
    <row r="2409" spans="31:36">
      <c r="AE2409" s="15" t="str">
        <f t="shared" si="0"/>
        <v/>
      </c>
      <c r="AF2409" s="15" t="str">
        <f t="shared" si="1"/>
        <v/>
      </c>
      <c r="AG2409" s="15" t="str">
        <f>IF(OR(AF2409="",AF2409="ERRO_CHAVE"),"",IFERROR(MATCH(AF2409,'quitado Despesa'!$V$1:$V$12,0),""))</f>
        <v/>
      </c>
      <c r="AH2409" s="15" t="str">
        <f t="shared" si="2"/>
        <v/>
      </c>
      <c r="AI2409" s="17" t="str">
        <f>IF(AG2409="","",INDEX('quitado Despesa'!$G$1:$G$12,AG2409))</f>
        <v/>
      </c>
      <c r="AJ2409" s="17" t="str">
        <f t="shared" si="3"/>
        <v/>
      </c>
    </row>
    <row r="2410" spans="31:36">
      <c r="AE2410" s="15" t="str">
        <f t="shared" si="0"/>
        <v/>
      </c>
      <c r="AF2410" s="15" t="str">
        <f t="shared" si="1"/>
        <v/>
      </c>
      <c r="AG2410" s="15" t="str">
        <f>IF(OR(AF2410="",AF2410="ERRO_CHAVE"),"",IFERROR(MATCH(AF2410,'quitado Despesa'!$V$1:$V$12,0),""))</f>
        <v/>
      </c>
      <c r="AH2410" s="15" t="str">
        <f t="shared" si="2"/>
        <v/>
      </c>
      <c r="AI2410" s="17" t="str">
        <f>IF(AG2410="","",INDEX('quitado Despesa'!$G$1:$G$12,AG2410))</f>
        <v/>
      </c>
      <c r="AJ2410" s="17" t="str">
        <f t="shared" si="3"/>
        <v/>
      </c>
    </row>
    <row r="2411" spans="31:36">
      <c r="AE2411" s="15" t="str">
        <f t="shared" si="0"/>
        <v/>
      </c>
      <c r="AF2411" s="15" t="str">
        <f t="shared" si="1"/>
        <v/>
      </c>
      <c r="AG2411" s="15" t="str">
        <f>IF(OR(AF2411="",AF2411="ERRO_CHAVE"),"",IFERROR(MATCH(AF2411,'quitado Despesa'!$V$1:$V$12,0),""))</f>
        <v/>
      </c>
      <c r="AH2411" s="15" t="str">
        <f t="shared" si="2"/>
        <v/>
      </c>
      <c r="AI2411" s="17" t="str">
        <f>IF(AG2411="","",INDEX('quitado Despesa'!$G$1:$G$12,AG2411))</f>
        <v/>
      </c>
      <c r="AJ2411" s="17" t="str">
        <f t="shared" si="3"/>
        <v/>
      </c>
    </row>
    <row r="2412" spans="31:36">
      <c r="AE2412" s="15" t="str">
        <f t="shared" si="0"/>
        <v/>
      </c>
      <c r="AF2412" s="15" t="str">
        <f t="shared" si="1"/>
        <v/>
      </c>
      <c r="AG2412" s="15" t="str">
        <f>IF(OR(AF2412="",AF2412="ERRO_CHAVE"),"",IFERROR(MATCH(AF2412,'quitado Despesa'!$V$1:$V$12,0),""))</f>
        <v/>
      </c>
      <c r="AH2412" s="15" t="str">
        <f t="shared" si="2"/>
        <v/>
      </c>
      <c r="AI2412" s="17" t="str">
        <f>IF(AG2412="","",INDEX('quitado Despesa'!$G$1:$G$12,AG2412))</f>
        <v/>
      </c>
      <c r="AJ2412" s="17" t="str">
        <f t="shared" si="3"/>
        <v/>
      </c>
    </row>
    <row r="2413" spans="31:36">
      <c r="AE2413" s="15" t="str">
        <f t="shared" si="0"/>
        <v/>
      </c>
      <c r="AF2413" s="15" t="str">
        <f t="shared" si="1"/>
        <v/>
      </c>
      <c r="AG2413" s="15" t="str">
        <f>IF(OR(AF2413="",AF2413="ERRO_CHAVE"),"",IFERROR(MATCH(AF2413,'quitado Despesa'!$V$1:$V$12,0),""))</f>
        <v/>
      </c>
      <c r="AH2413" s="15" t="str">
        <f t="shared" si="2"/>
        <v/>
      </c>
      <c r="AI2413" s="17" t="str">
        <f>IF(AG2413="","",INDEX('quitado Despesa'!$G$1:$G$12,AG2413))</f>
        <v/>
      </c>
      <c r="AJ2413" s="17" t="str">
        <f t="shared" si="3"/>
        <v/>
      </c>
    </row>
    <row r="2414" spans="31:36">
      <c r="AE2414" s="15" t="str">
        <f t="shared" si="0"/>
        <v/>
      </c>
      <c r="AF2414" s="15" t="str">
        <f t="shared" si="1"/>
        <v/>
      </c>
      <c r="AG2414" s="15" t="str">
        <f>IF(OR(AF2414="",AF2414="ERRO_CHAVE"),"",IFERROR(MATCH(AF2414,'quitado Despesa'!$V$1:$V$12,0),""))</f>
        <v/>
      </c>
      <c r="AH2414" s="15" t="str">
        <f t="shared" si="2"/>
        <v/>
      </c>
      <c r="AI2414" s="17" t="str">
        <f>IF(AG2414="","",INDEX('quitado Despesa'!$G$1:$G$12,AG2414))</f>
        <v/>
      </c>
      <c r="AJ2414" s="17" t="str">
        <f t="shared" si="3"/>
        <v/>
      </c>
    </row>
    <row r="2415" spans="31:36">
      <c r="AE2415" s="15" t="str">
        <f t="shared" si="0"/>
        <v/>
      </c>
      <c r="AF2415" s="15" t="str">
        <f t="shared" si="1"/>
        <v/>
      </c>
      <c r="AG2415" s="15" t="str">
        <f>IF(OR(AF2415="",AF2415="ERRO_CHAVE"),"",IFERROR(MATCH(AF2415,'quitado Despesa'!$V$1:$V$12,0),""))</f>
        <v/>
      </c>
      <c r="AH2415" s="15" t="str">
        <f t="shared" si="2"/>
        <v/>
      </c>
      <c r="AI2415" s="17" t="str">
        <f>IF(AG2415="","",INDEX('quitado Despesa'!$G$1:$G$12,AG2415))</f>
        <v/>
      </c>
      <c r="AJ2415" s="17" t="str">
        <f t="shared" si="3"/>
        <v/>
      </c>
    </row>
    <row r="2416" spans="31:36">
      <c r="AE2416" s="15" t="str">
        <f t="shared" si="0"/>
        <v/>
      </c>
      <c r="AF2416" s="15" t="str">
        <f t="shared" si="1"/>
        <v/>
      </c>
      <c r="AG2416" s="15" t="str">
        <f>IF(OR(AF2416="",AF2416="ERRO_CHAVE"),"",IFERROR(MATCH(AF2416,'quitado Despesa'!$V$1:$V$12,0),""))</f>
        <v/>
      </c>
      <c r="AH2416" s="15" t="str">
        <f t="shared" si="2"/>
        <v/>
      </c>
      <c r="AI2416" s="17" t="str">
        <f>IF(AG2416="","",INDEX('quitado Despesa'!$G$1:$G$12,AG2416))</f>
        <v/>
      </c>
      <c r="AJ2416" s="17" t="str">
        <f t="shared" si="3"/>
        <v/>
      </c>
    </row>
    <row r="2417" spans="31:36">
      <c r="AE2417" s="15" t="str">
        <f t="shared" si="0"/>
        <v/>
      </c>
      <c r="AF2417" s="15" t="str">
        <f t="shared" si="1"/>
        <v/>
      </c>
      <c r="AG2417" s="15" t="str">
        <f>IF(OR(AF2417="",AF2417="ERRO_CHAVE"),"",IFERROR(MATCH(AF2417,'quitado Despesa'!$V$1:$V$12,0),""))</f>
        <v/>
      </c>
      <c r="AH2417" s="15" t="str">
        <f t="shared" si="2"/>
        <v/>
      </c>
      <c r="AI2417" s="17" t="str">
        <f>IF(AG2417="","",INDEX('quitado Despesa'!$G$1:$G$12,AG2417))</f>
        <v/>
      </c>
      <c r="AJ2417" s="17" t="str">
        <f t="shared" si="3"/>
        <v/>
      </c>
    </row>
    <row r="2418" spans="31:36">
      <c r="AE2418" s="15" t="str">
        <f t="shared" si="0"/>
        <v/>
      </c>
      <c r="AF2418" s="15" t="str">
        <f t="shared" si="1"/>
        <v/>
      </c>
      <c r="AG2418" s="15" t="str">
        <f>IF(OR(AF2418="",AF2418="ERRO_CHAVE"),"",IFERROR(MATCH(AF2418,'quitado Despesa'!$V$1:$V$12,0),""))</f>
        <v/>
      </c>
      <c r="AH2418" s="15" t="str">
        <f t="shared" si="2"/>
        <v/>
      </c>
      <c r="AI2418" s="17" t="str">
        <f>IF(AG2418="","",INDEX('quitado Despesa'!$G$1:$G$12,AG2418))</f>
        <v/>
      </c>
      <c r="AJ2418" s="17" t="str">
        <f t="shared" si="3"/>
        <v/>
      </c>
    </row>
    <row r="2419" spans="31:36">
      <c r="AE2419" s="15" t="str">
        <f t="shared" si="0"/>
        <v/>
      </c>
      <c r="AF2419" s="15" t="str">
        <f t="shared" si="1"/>
        <v/>
      </c>
      <c r="AG2419" s="15" t="str">
        <f>IF(OR(AF2419="",AF2419="ERRO_CHAVE"),"",IFERROR(MATCH(AF2419,'quitado Despesa'!$V$1:$V$12,0),""))</f>
        <v/>
      </c>
      <c r="AH2419" s="15" t="str">
        <f t="shared" si="2"/>
        <v/>
      </c>
      <c r="AI2419" s="17" t="str">
        <f>IF(AG2419="","",INDEX('quitado Despesa'!$G$1:$G$12,AG2419))</f>
        <v/>
      </c>
      <c r="AJ2419" s="17" t="str">
        <f t="shared" si="3"/>
        <v/>
      </c>
    </row>
    <row r="2420" spans="31:36">
      <c r="AE2420" s="15" t="str">
        <f t="shared" si="0"/>
        <v/>
      </c>
      <c r="AF2420" s="15" t="str">
        <f t="shared" si="1"/>
        <v/>
      </c>
      <c r="AG2420" s="15" t="str">
        <f>IF(OR(AF2420="",AF2420="ERRO_CHAVE"),"",IFERROR(MATCH(AF2420,'quitado Despesa'!$V$1:$V$12,0),""))</f>
        <v/>
      </c>
      <c r="AH2420" s="15" t="str">
        <f t="shared" si="2"/>
        <v/>
      </c>
      <c r="AI2420" s="17" t="str">
        <f>IF(AG2420="","",INDEX('quitado Despesa'!$G$1:$G$12,AG2420))</f>
        <v/>
      </c>
      <c r="AJ2420" s="17" t="str">
        <f t="shared" si="3"/>
        <v/>
      </c>
    </row>
    <row r="2421" spans="31:36">
      <c r="AE2421" s="15" t="str">
        <f t="shared" si="0"/>
        <v/>
      </c>
      <c r="AF2421" s="15" t="str">
        <f t="shared" si="1"/>
        <v/>
      </c>
      <c r="AG2421" s="15" t="str">
        <f>IF(OR(AF2421="",AF2421="ERRO_CHAVE"),"",IFERROR(MATCH(AF2421,'quitado Despesa'!$V$1:$V$12,0),""))</f>
        <v/>
      </c>
      <c r="AH2421" s="15" t="str">
        <f t="shared" si="2"/>
        <v/>
      </c>
      <c r="AI2421" s="17" t="str">
        <f>IF(AG2421="","",INDEX('quitado Despesa'!$G$1:$G$12,AG2421))</f>
        <v/>
      </c>
      <c r="AJ2421" s="17" t="str">
        <f t="shared" si="3"/>
        <v/>
      </c>
    </row>
    <row r="2422" spans="31:36">
      <c r="AE2422" s="15" t="str">
        <f t="shared" si="0"/>
        <v/>
      </c>
      <c r="AF2422" s="15" t="str">
        <f t="shared" si="1"/>
        <v/>
      </c>
      <c r="AG2422" s="15" t="str">
        <f>IF(OR(AF2422="",AF2422="ERRO_CHAVE"),"",IFERROR(MATCH(AF2422,'quitado Despesa'!$V$1:$V$12,0),""))</f>
        <v/>
      </c>
      <c r="AH2422" s="15" t="str">
        <f t="shared" si="2"/>
        <v/>
      </c>
      <c r="AI2422" s="17" t="str">
        <f>IF(AG2422="","",INDEX('quitado Despesa'!$G$1:$G$12,AG2422))</f>
        <v/>
      </c>
      <c r="AJ2422" s="17" t="str">
        <f t="shared" si="3"/>
        <v/>
      </c>
    </row>
    <row r="2423" spans="31:36">
      <c r="AE2423" s="15" t="str">
        <f t="shared" si="0"/>
        <v/>
      </c>
      <c r="AF2423" s="15" t="str">
        <f t="shared" si="1"/>
        <v/>
      </c>
      <c r="AG2423" s="15" t="str">
        <f>IF(OR(AF2423="",AF2423="ERRO_CHAVE"),"",IFERROR(MATCH(AF2423,'quitado Despesa'!$V$1:$V$12,0),""))</f>
        <v/>
      </c>
      <c r="AH2423" s="15" t="str">
        <f t="shared" si="2"/>
        <v/>
      </c>
      <c r="AI2423" s="17" t="str">
        <f>IF(AG2423="","",INDEX('quitado Despesa'!$G$1:$G$12,AG2423))</f>
        <v/>
      </c>
      <c r="AJ2423" s="17" t="str">
        <f t="shared" si="3"/>
        <v/>
      </c>
    </row>
    <row r="2424" spans="31:36">
      <c r="AE2424" s="15" t="str">
        <f t="shared" si="0"/>
        <v/>
      </c>
      <c r="AF2424" s="15" t="str">
        <f t="shared" si="1"/>
        <v/>
      </c>
      <c r="AG2424" s="15" t="str">
        <f>IF(OR(AF2424="",AF2424="ERRO_CHAVE"),"",IFERROR(MATCH(AF2424,'quitado Despesa'!$V$1:$V$12,0),""))</f>
        <v/>
      </c>
      <c r="AH2424" s="15" t="str">
        <f t="shared" si="2"/>
        <v/>
      </c>
      <c r="AI2424" s="17" t="str">
        <f>IF(AG2424="","",INDEX('quitado Despesa'!$G$1:$G$12,AG2424))</f>
        <v/>
      </c>
      <c r="AJ2424" s="17" t="str">
        <f t="shared" si="3"/>
        <v/>
      </c>
    </row>
    <row r="2425" spans="31:36">
      <c r="AE2425" s="15" t="str">
        <f t="shared" si="0"/>
        <v/>
      </c>
      <c r="AF2425" s="15" t="str">
        <f t="shared" si="1"/>
        <v/>
      </c>
      <c r="AG2425" s="15" t="str">
        <f>IF(OR(AF2425="",AF2425="ERRO_CHAVE"),"",IFERROR(MATCH(AF2425,'quitado Despesa'!$V$1:$V$12,0),""))</f>
        <v/>
      </c>
      <c r="AH2425" s="15" t="str">
        <f t="shared" si="2"/>
        <v/>
      </c>
      <c r="AI2425" s="17" t="str">
        <f>IF(AG2425="","",INDEX('quitado Despesa'!$G$1:$G$12,AG2425))</f>
        <v/>
      </c>
      <c r="AJ2425" s="17" t="str">
        <f t="shared" si="3"/>
        <v/>
      </c>
    </row>
    <row r="2426" spans="31:36">
      <c r="AE2426" s="15" t="str">
        <f t="shared" si="0"/>
        <v/>
      </c>
      <c r="AF2426" s="15" t="str">
        <f t="shared" si="1"/>
        <v/>
      </c>
      <c r="AG2426" s="15" t="str">
        <f>IF(OR(AF2426="",AF2426="ERRO_CHAVE"),"",IFERROR(MATCH(AF2426,'quitado Despesa'!$V$1:$V$12,0),""))</f>
        <v/>
      </c>
      <c r="AH2426" s="15" t="str">
        <f t="shared" si="2"/>
        <v/>
      </c>
      <c r="AI2426" s="17" t="str">
        <f>IF(AG2426="","",INDEX('quitado Despesa'!$G$1:$G$12,AG2426))</f>
        <v/>
      </c>
      <c r="AJ2426" s="17" t="str">
        <f t="shared" si="3"/>
        <v/>
      </c>
    </row>
    <row r="2427" spans="31:36">
      <c r="AE2427" s="15" t="str">
        <f t="shared" si="0"/>
        <v/>
      </c>
      <c r="AF2427" s="15" t="str">
        <f t="shared" si="1"/>
        <v/>
      </c>
      <c r="AG2427" s="15" t="str">
        <f>IF(OR(AF2427="",AF2427="ERRO_CHAVE"),"",IFERROR(MATCH(AF2427,'quitado Despesa'!$V$1:$V$12,0),""))</f>
        <v/>
      </c>
      <c r="AH2427" s="15" t="str">
        <f t="shared" si="2"/>
        <v/>
      </c>
      <c r="AI2427" s="17" t="str">
        <f>IF(AG2427="","",INDEX('quitado Despesa'!$G$1:$G$12,AG2427))</f>
        <v/>
      </c>
      <c r="AJ2427" s="17" t="str">
        <f t="shared" si="3"/>
        <v/>
      </c>
    </row>
    <row r="2428" spans="31:36">
      <c r="AE2428" s="15" t="str">
        <f t="shared" si="0"/>
        <v/>
      </c>
      <c r="AF2428" s="15" t="str">
        <f t="shared" si="1"/>
        <v/>
      </c>
      <c r="AG2428" s="15" t="str">
        <f>IF(OR(AF2428="",AF2428="ERRO_CHAVE"),"",IFERROR(MATCH(AF2428,'quitado Despesa'!$V$1:$V$12,0),""))</f>
        <v/>
      </c>
      <c r="AH2428" s="15" t="str">
        <f t="shared" si="2"/>
        <v/>
      </c>
      <c r="AI2428" s="17" t="str">
        <f>IF(AG2428="","",INDEX('quitado Despesa'!$G$1:$G$12,AG2428))</f>
        <v/>
      </c>
      <c r="AJ2428" s="17" t="str">
        <f t="shared" si="3"/>
        <v/>
      </c>
    </row>
    <row r="2429" spans="31:36">
      <c r="AE2429" s="15" t="str">
        <f t="shared" si="0"/>
        <v/>
      </c>
      <c r="AF2429" s="15" t="str">
        <f t="shared" si="1"/>
        <v/>
      </c>
      <c r="AG2429" s="15" t="str">
        <f>IF(OR(AF2429="",AF2429="ERRO_CHAVE"),"",IFERROR(MATCH(AF2429,'quitado Despesa'!$V$1:$V$12,0),""))</f>
        <v/>
      </c>
      <c r="AH2429" s="15" t="str">
        <f t="shared" si="2"/>
        <v/>
      </c>
      <c r="AI2429" s="17" t="str">
        <f>IF(AG2429="","",INDEX('quitado Despesa'!$G$1:$G$12,AG2429))</f>
        <v/>
      </c>
      <c r="AJ2429" s="17" t="str">
        <f t="shared" si="3"/>
        <v/>
      </c>
    </row>
    <row r="2430" spans="31:36">
      <c r="AE2430" s="15" t="str">
        <f t="shared" si="0"/>
        <v/>
      </c>
      <c r="AF2430" s="15" t="str">
        <f t="shared" si="1"/>
        <v/>
      </c>
      <c r="AG2430" s="15" t="str">
        <f>IF(OR(AF2430="",AF2430="ERRO_CHAVE"),"",IFERROR(MATCH(AF2430,'quitado Despesa'!$V$1:$V$12,0),""))</f>
        <v/>
      </c>
      <c r="AH2430" s="15" t="str">
        <f t="shared" si="2"/>
        <v/>
      </c>
      <c r="AI2430" s="17" t="str">
        <f>IF(AG2430="","",INDEX('quitado Despesa'!$G$1:$G$12,AG2430))</f>
        <v/>
      </c>
      <c r="AJ2430" s="17" t="str">
        <f t="shared" si="3"/>
        <v/>
      </c>
    </row>
    <row r="2431" spans="31:36">
      <c r="AE2431" s="15" t="str">
        <f t="shared" si="0"/>
        <v/>
      </c>
      <c r="AF2431" s="15" t="str">
        <f t="shared" si="1"/>
        <v/>
      </c>
      <c r="AG2431" s="15" t="str">
        <f>IF(OR(AF2431="",AF2431="ERRO_CHAVE"),"",IFERROR(MATCH(AF2431,'quitado Despesa'!$V$1:$V$12,0),""))</f>
        <v/>
      </c>
      <c r="AH2431" s="15" t="str">
        <f t="shared" si="2"/>
        <v/>
      </c>
      <c r="AI2431" s="17" t="str">
        <f>IF(AG2431="","",INDEX('quitado Despesa'!$G$1:$G$12,AG2431))</f>
        <v/>
      </c>
      <c r="AJ2431" s="17" t="str">
        <f t="shared" si="3"/>
        <v/>
      </c>
    </row>
    <row r="2432" spans="31:36">
      <c r="AE2432" s="15" t="str">
        <f t="shared" si="0"/>
        <v/>
      </c>
      <c r="AF2432" s="15" t="str">
        <f t="shared" si="1"/>
        <v/>
      </c>
      <c r="AG2432" s="15" t="str">
        <f>IF(OR(AF2432="",AF2432="ERRO_CHAVE"),"",IFERROR(MATCH(AF2432,'quitado Despesa'!$V$1:$V$12,0),""))</f>
        <v/>
      </c>
      <c r="AH2432" s="15" t="str">
        <f t="shared" si="2"/>
        <v/>
      </c>
      <c r="AI2432" s="17" t="str">
        <f>IF(AG2432="","",INDEX('quitado Despesa'!$G$1:$G$12,AG2432))</f>
        <v/>
      </c>
      <c r="AJ2432" s="17" t="str">
        <f t="shared" si="3"/>
        <v/>
      </c>
    </row>
    <row r="2433" spans="31:36">
      <c r="AE2433" s="15" t="str">
        <f t="shared" si="0"/>
        <v/>
      </c>
      <c r="AF2433" s="15" t="str">
        <f t="shared" si="1"/>
        <v/>
      </c>
      <c r="AG2433" s="15" t="str">
        <f>IF(OR(AF2433="",AF2433="ERRO_CHAVE"),"",IFERROR(MATCH(AF2433,'quitado Despesa'!$V$1:$V$12,0),""))</f>
        <v/>
      </c>
      <c r="AH2433" s="15" t="str">
        <f t="shared" si="2"/>
        <v/>
      </c>
      <c r="AI2433" s="17" t="str">
        <f>IF(AG2433="","",INDEX('quitado Despesa'!$G$1:$G$12,AG2433))</f>
        <v/>
      </c>
      <c r="AJ2433" s="17" t="str">
        <f t="shared" si="3"/>
        <v/>
      </c>
    </row>
    <row r="2434" spans="31:36">
      <c r="AE2434" s="15" t="str">
        <f t="shared" si="0"/>
        <v/>
      </c>
      <c r="AF2434" s="15" t="str">
        <f t="shared" si="1"/>
        <v/>
      </c>
      <c r="AG2434" s="15" t="str">
        <f>IF(OR(AF2434="",AF2434="ERRO_CHAVE"),"",IFERROR(MATCH(AF2434,'quitado Despesa'!$V$1:$V$12,0),""))</f>
        <v/>
      </c>
      <c r="AH2434" s="15" t="str">
        <f t="shared" si="2"/>
        <v/>
      </c>
      <c r="AI2434" s="17" t="str">
        <f>IF(AG2434="","",INDEX('quitado Despesa'!$G$1:$G$12,AG2434))</f>
        <v/>
      </c>
      <c r="AJ2434" s="17" t="str">
        <f t="shared" si="3"/>
        <v/>
      </c>
    </row>
    <row r="2435" spans="31:36">
      <c r="AE2435" s="15" t="str">
        <f t="shared" si="0"/>
        <v/>
      </c>
      <c r="AF2435" s="15" t="str">
        <f t="shared" si="1"/>
        <v/>
      </c>
      <c r="AG2435" s="15" t="str">
        <f>IF(OR(AF2435="",AF2435="ERRO_CHAVE"),"",IFERROR(MATCH(AF2435,'quitado Despesa'!$V$1:$V$12,0),""))</f>
        <v/>
      </c>
      <c r="AH2435" s="15" t="str">
        <f t="shared" si="2"/>
        <v/>
      </c>
      <c r="AI2435" s="17" t="str">
        <f>IF(AG2435="","",INDEX('quitado Despesa'!$G$1:$G$12,AG2435))</f>
        <v/>
      </c>
      <c r="AJ2435" s="17" t="str">
        <f t="shared" si="3"/>
        <v/>
      </c>
    </row>
    <row r="2436" spans="31:36">
      <c r="AE2436" s="15" t="str">
        <f t="shared" si="0"/>
        <v/>
      </c>
      <c r="AF2436" s="15" t="str">
        <f t="shared" si="1"/>
        <v/>
      </c>
      <c r="AG2436" s="15" t="str">
        <f>IF(OR(AF2436="",AF2436="ERRO_CHAVE"),"",IFERROR(MATCH(AF2436,'quitado Despesa'!$V$1:$V$12,0),""))</f>
        <v/>
      </c>
      <c r="AH2436" s="15" t="str">
        <f t="shared" si="2"/>
        <v/>
      </c>
      <c r="AI2436" s="17" t="str">
        <f>IF(AG2436="","",INDEX('quitado Despesa'!$G$1:$G$12,AG2436))</f>
        <v/>
      </c>
      <c r="AJ2436" s="17" t="str">
        <f t="shared" si="3"/>
        <v/>
      </c>
    </row>
    <row r="2437" spans="31:36">
      <c r="AE2437" s="15" t="str">
        <f t="shared" si="0"/>
        <v/>
      </c>
      <c r="AF2437" s="15" t="str">
        <f t="shared" si="1"/>
        <v/>
      </c>
      <c r="AG2437" s="15" t="str">
        <f>IF(OR(AF2437="",AF2437="ERRO_CHAVE"),"",IFERROR(MATCH(AF2437,'quitado Despesa'!$V$1:$V$12,0),""))</f>
        <v/>
      </c>
      <c r="AH2437" s="15" t="str">
        <f t="shared" si="2"/>
        <v/>
      </c>
      <c r="AI2437" s="17" t="str">
        <f>IF(AG2437="","",INDEX('quitado Despesa'!$G$1:$G$12,AG2437))</f>
        <v/>
      </c>
      <c r="AJ2437" s="17" t="str">
        <f t="shared" si="3"/>
        <v/>
      </c>
    </row>
    <row r="2438" spans="31:36">
      <c r="AE2438" s="15" t="str">
        <f t="shared" si="0"/>
        <v/>
      </c>
      <c r="AF2438" s="15" t="str">
        <f t="shared" si="1"/>
        <v/>
      </c>
      <c r="AG2438" s="15" t="str">
        <f>IF(OR(AF2438="",AF2438="ERRO_CHAVE"),"",IFERROR(MATCH(AF2438,'quitado Despesa'!$V$1:$V$12,0),""))</f>
        <v/>
      </c>
      <c r="AH2438" s="15" t="str">
        <f t="shared" si="2"/>
        <v/>
      </c>
      <c r="AI2438" s="17" t="str">
        <f>IF(AG2438="","",INDEX('quitado Despesa'!$G$1:$G$12,AG2438))</f>
        <v/>
      </c>
      <c r="AJ2438" s="17" t="str">
        <f t="shared" si="3"/>
        <v/>
      </c>
    </row>
    <row r="2439" spans="31:36">
      <c r="AE2439" s="15" t="str">
        <f t="shared" si="0"/>
        <v/>
      </c>
      <c r="AF2439" s="15" t="str">
        <f t="shared" si="1"/>
        <v/>
      </c>
      <c r="AG2439" s="15" t="str">
        <f>IF(OR(AF2439="",AF2439="ERRO_CHAVE"),"",IFERROR(MATCH(AF2439,'quitado Despesa'!$V$1:$V$12,0),""))</f>
        <v/>
      </c>
      <c r="AH2439" s="15" t="str">
        <f t="shared" si="2"/>
        <v/>
      </c>
      <c r="AI2439" s="17" t="str">
        <f>IF(AG2439="","",INDEX('quitado Despesa'!$G$1:$G$12,AG2439))</f>
        <v/>
      </c>
      <c r="AJ2439" s="17" t="str">
        <f t="shared" si="3"/>
        <v/>
      </c>
    </row>
    <row r="2440" spans="31:36">
      <c r="AE2440" s="15" t="str">
        <f t="shared" si="0"/>
        <v/>
      </c>
      <c r="AF2440" s="15" t="str">
        <f t="shared" si="1"/>
        <v/>
      </c>
      <c r="AG2440" s="15" t="str">
        <f>IF(OR(AF2440="",AF2440="ERRO_CHAVE"),"",IFERROR(MATCH(AF2440,'quitado Despesa'!$V$1:$V$12,0),""))</f>
        <v/>
      </c>
      <c r="AH2440" s="15" t="str">
        <f t="shared" si="2"/>
        <v/>
      </c>
      <c r="AI2440" s="17" t="str">
        <f>IF(AG2440="","",INDEX('quitado Despesa'!$G$1:$G$12,AG2440))</f>
        <v/>
      </c>
      <c r="AJ2440" s="17" t="str">
        <f t="shared" si="3"/>
        <v/>
      </c>
    </row>
    <row r="2441" spans="31:36">
      <c r="AE2441" s="15" t="str">
        <f t="shared" si="0"/>
        <v/>
      </c>
      <c r="AF2441" s="15" t="str">
        <f t="shared" si="1"/>
        <v/>
      </c>
      <c r="AG2441" s="15" t="str">
        <f>IF(OR(AF2441="",AF2441="ERRO_CHAVE"),"",IFERROR(MATCH(AF2441,'quitado Despesa'!$V$1:$V$12,0),""))</f>
        <v/>
      </c>
      <c r="AH2441" s="15" t="str">
        <f t="shared" si="2"/>
        <v/>
      </c>
      <c r="AI2441" s="17" t="str">
        <f>IF(AG2441="","",INDEX('quitado Despesa'!$G$1:$G$12,AG2441))</f>
        <v/>
      </c>
      <c r="AJ2441" s="17" t="str">
        <f t="shared" si="3"/>
        <v/>
      </c>
    </row>
    <row r="2442" spans="31:36">
      <c r="AE2442" s="15" t="str">
        <f t="shared" si="0"/>
        <v/>
      </c>
      <c r="AF2442" s="15" t="str">
        <f t="shared" si="1"/>
        <v/>
      </c>
      <c r="AG2442" s="15" t="str">
        <f>IF(OR(AF2442="",AF2442="ERRO_CHAVE"),"",IFERROR(MATCH(AF2442,'quitado Despesa'!$V$1:$V$12,0),""))</f>
        <v/>
      </c>
      <c r="AH2442" s="15" t="str">
        <f t="shared" si="2"/>
        <v/>
      </c>
      <c r="AI2442" s="17" t="str">
        <f>IF(AG2442="","",INDEX('quitado Despesa'!$G$1:$G$12,AG2442))</f>
        <v/>
      </c>
      <c r="AJ2442" s="17" t="str">
        <f t="shared" si="3"/>
        <v/>
      </c>
    </row>
    <row r="2443" spans="31:36">
      <c r="AE2443" s="15" t="str">
        <f t="shared" si="0"/>
        <v/>
      </c>
      <c r="AF2443" s="15" t="str">
        <f t="shared" si="1"/>
        <v/>
      </c>
      <c r="AG2443" s="15" t="str">
        <f>IF(OR(AF2443="",AF2443="ERRO_CHAVE"),"",IFERROR(MATCH(AF2443,'quitado Despesa'!$V$1:$V$12,0),""))</f>
        <v/>
      </c>
      <c r="AH2443" s="15" t="str">
        <f t="shared" si="2"/>
        <v/>
      </c>
      <c r="AI2443" s="17" t="str">
        <f>IF(AG2443="","",INDEX('quitado Despesa'!$G$1:$G$12,AG2443))</f>
        <v/>
      </c>
      <c r="AJ2443" s="17" t="str">
        <f t="shared" si="3"/>
        <v/>
      </c>
    </row>
    <row r="2444" spans="31:36">
      <c r="AE2444" s="15" t="str">
        <f t="shared" si="0"/>
        <v/>
      </c>
      <c r="AF2444" s="15" t="str">
        <f t="shared" si="1"/>
        <v/>
      </c>
      <c r="AG2444" s="15" t="str">
        <f>IF(OR(AF2444="",AF2444="ERRO_CHAVE"),"",IFERROR(MATCH(AF2444,'quitado Despesa'!$V$1:$V$12,0),""))</f>
        <v/>
      </c>
      <c r="AH2444" s="15" t="str">
        <f t="shared" si="2"/>
        <v/>
      </c>
      <c r="AI2444" s="17" t="str">
        <f>IF(AG2444="","",INDEX('quitado Despesa'!$G$1:$G$12,AG2444))</f>
        <v/>
      </c>
      <c r="AJ2444" s="17" t="str">
        <f t="shared" si="3"/>
        <v/>
      </c>
    </row>
    <row r="2445" spans="31:36">
      <c r="AE2445" s="15" t="str">
        <f t="shared" si="0"/>
        <v/>
      </c>
      <c r="AF2445" s="15" t="str">
        <f t="shared" si="1"/>
        <v/>
      </c>
      <c r="AG2445" s="15" t="str">
        <f>IF(OR(AF2445="",AF2445="ERRO_CHAVE"),"",IFERROR(MATCH(AF2445,'quitado Despesa'!$V$1:$V$12,0),""))</f>
        <v/>
      </c>
      <c r="AH2445" s="15" t="str">
        <f t="shared" si="2"/>
        <v/>
      </c>
      <c r="AI2445" s="17" t="str">
        <f>IF(AG2445="","",INDEX('quitado Despesa'!$G$1:$G$12,AG2445))</f>
        <v/>
      </c>
      <c r="AJ2445" s="17" t="str">
        <f t="shared" si="3"/>
        <v/>
      </c>
    </row>
    <row r="2446" spans="31:36">
      <c r="AE2446" s="15" t="str">
        <f t="shared" si="0"/>
        <v/>
      </c>
      <c r="AF2446" s="15" t="str">
        <f t="shared" si="1"/>
        <v/>
      </c>
      <c r="AG2446" s="15" t="str">
        <f>IF(OR(AF2446="",AF2446="ERRO_CHAVE"),"",IFERROR(MATCH(AF2446,'quitado Despesa'!$V$1:$V$12,0),""))</f>
        <v/>
      </c>
      <c r="AH2446" s="15" t="str">
        <f t="shared" si="2"/>
        <v/>
      </c>
      <c r="AI2446" s="17" t="str">
        <f>IF(AG2446="","",INDEX('quitado Despesa'!$G$1:$G$12,AG2446))</f>
        <v/>
      </c>
      <c r="AJ2446" s="17" t="str">
        <f t="shared" si="3"/>
        <v/>
      </c>
    </row>
    <row r="2447" spans="31:36">
      <c r="AE2447" s="15" t="str">
        <f t="shared" si="0"/>
        <v/>
      </c>
      <c r="AF2447" s="15" t="str">
        <f t="shared" si="1"/>
        <v/>
      </c>
      <c r="AG2447" s="15" t="str">
        <f>IF(OR(AF2447="",AF2447="ERRO_CHAVE"),"",IFERROR(MATCH(AF2447,'quitado Despesa'!$V$1:$V$12,0),""))</f>
        <v/>
      </c>
      <c r="AH2447" s="15" t="str">
        <f t="shared" si="2"/>
        <v/>
      </c>
      <c r="AI2447" s="17" t="str">
        <f>IF(AG2447="","",INDEX('quitado Despesa'!$G$1:$G$12,AG2447))</f>
        <v/>
      </c>
      <c r="AJ2447" s="17" t="str">
        <f t="shared" si="3"/>
        <v/>
      </c>
    </row>
    <row r="2448" spans="31:36">
      <c r="AE2448" s="15" t="str">
        <f t="shared" si="0"/>
        <v/>
      </c>
      <c r="AF2448" s="15" t="str">
        <f t="shared" si="1"/>
        <v/>
      </c>
      <c r="AG2448" s="15" t="str">
        <f>IF(OR(AF2448="",AF2448="ERRO_CHAVE"),"",IFERROR(MATCH(AF2448,'quitado Despesa'!$V$1:$V$12,0),""))</f>
        <v/>
      </c>
      <c r="AH2448" s="15" t="str">
        <f t="shared" si="2"/>
        <v/>
      </c>
      <c r="AI2448" s="17" t="str">
        <f>IF(AG2448="","",INDEX('quitado Despesa'!$G$1:$G$12,AG2448))</f>
        <v/>
      </c>
      <c r="AJ2448" s="17" t="str">
        <f t="shared" si="3"/>
        <v/>
      </c>
    </row>
    <row r="2449" spans="31:36">
      <c r="AE2449" s="15" t="str">
        <f t="shared" si="0"/>
        <v/>
      </c>
      <c r="AF2449" s="15" t="str">
        <f t="shared" si="1"/>
        <v/>
      </c>
      <c r="AG2449" s="15" t="str">
        <f>IF(OR(AF2449="",AF2449="ERRO_CHAVE"),"",IFERROR(MATCH(AF2449,'quitado Despesa'!$V$1:$V$12,0),""))</f>
        <v/>
      </c>
      <c r="AH2449" s="15" t="str">
        <f t="shared" si="2"/>
        <v/>
      </c>
      <c r="AI2449" s="17" t="str">
        <f>IF(AG2449="","",INDEX('quitado Despesa'!$G$1:$G$12,AG2449))</f>
        <v/>
      </c>
      <c r="AJ2449" s="17" t="str">
        <f t="shared" si="3"/>
        <v/>
      </c>
    </row>
    <row r="2450" spans="31:36">
      <c r="AE2450" s="15" t="str">
        <f t="shared" si="0"/>
        <v/>
      </c>
      <c r="AF2450" s="15" t="str">
        <f t="shared" si="1"/>
        <v/>
      </c>
      <c r="AG2450" s="15" t="str">
        <f>IF(OR(AF2450="",AF2450="ERRO_CHAVE"),"",IFERROR(MATCH(AF2450,'quitado Despesa'!$V$1:$V$12,0),""))</f>
        <v/>
      </c>
      <c r="AH2450" s="15" t="str">
        <f t="shared" si="2"/>
        <v/>
      </c>
      <c r="AI2450" s="17" t="str">
        <f>IF(AG2450="","",INDEX('quitado Despesa'!$G$1:$G$12,AG2450))</f>
        <v/>
      </c>
      <c r="AJ2450" s="17" t="str">
        <f t="shared" si="3"/>
        <v/>
      </c>
    </row>
    <row r="2451" spans="31:36">
      <c r="AE2451" s="15" t="str">
        <f t="shared" si="0"/>
        <v/>
      </c>
      <c r="AF2451" s="15" t="str">
        <f t="shared" si="1"/>
        <v/>
      </c>
      <c r="AG2451" s="15" t="str">
        <f>IF(OR(AF2451="",AF2451="ERRO_CHAVE"),"",IFERROR(MATCH(AF2451,'quitado Despesa'!$V$1:$V$12,0),""))</f>
        <v/>
      </c>
      <c r="AH2451" s="15" t="str">
        <f t="shared" si="2"/>
        <v/>
      </c>
      <c r="AI2451" s="17" t="str">
        <f>IF(AG2451="","",INDEX('quitado Despesa'!$G$1:$G$12,AG2451))</f>
        <v/>
      </c>
      <c r="AJ2451" s="17" t="str">
        <f t="shared" si="3"/>
        <v/>
      </c>
    </row>
    <row r="2452" spans="31:36">
      <c r="AE2452" s="15" t="str">
        <f t="shared" si="0"/>
        <v/>
      </c>
      <c r="AF2452" s="15" t="str">
        <f t="shared" si="1"/>
        <v/>
      </c>
      <c r="AG2452" s="15" t="str">
        <f>IF(OR(AF2452="",AF2452="ERRO_CHAVE"),"",IFERROR(MATCH(AF2452,'quitado Despesa'!$V$1:$V$12,0),""))</f>
        <v/>
      </c>
      <c r="AH2452" s="15" t="str">
        <f t="shared" si="2"/>
        <v/>
      </c>
      <c r="AI2452" s="17" t="str">
        <f>IF(AG2452="","",INDEX('quitado Despesa'!$G$1:$G$12,AG2452))</f>
        <v/>
      </c>
      <c r="AJ2452" s="17" t="str">
        <f t="shared" si="3"/>
        <v/>
      </c>
    </row>
    <row r="2453" spans="31:36">
      <c r="AE2453" s="15" t="str">
        <f t="shared" si="0"/>
        <v/>
      </c>
      <c r="AF2453" s="15" t="str">
        <f t="shared" si="1"/>
        <v/>
      </c>
      <c r="AG2453" s="15" t="str">
        <f>IF(OR(AF2453="",AF2453="ERRO_CHAVE"),"",IFERROR(MATCH(AF2453,'quitado Despesa'!$V$1:$V$12,0),""))</f>
        <v/>
      </c>
      <c r="AH2453" s="15" t="str">
        <f t="shared" si="2"/>
        <v/>
      </c>
      <c r="AI2453" s="17" t="str">
        <f>IF(AG2453="","",INDEX('quitado Despesa'!$G$1:$G$12,AG2453))</f>
        <v/>
      </c>
      <c r="AJ2453" s="17" t="str">
        <f t="shared" si="3"/>
        <v/>
      </c>
    </row>
    <row r="2454" spans="31:36">
      <c r="AE2454" s="15" t="str">
        <f t="shared" si="0"/>
        <v/>
      </c>
      <c r="AF2454" s="15" t="str">
        <f t="shared" si="1"/>
        <v/>
      </c>
      <c r="AG2454" s="15" t="str">
        <f>IF(OR(AF2454="",AF2454="ERRO_CHAVE"),"",IFERROR(MATCH(AF2454,'quitado Despesa'!$V$1:$V$12,0),""))</f>
        <v/>
      </c>
      <c r="AH2454" s="15" t="str">
        <f t="shared" si="2"/>
        <v/>
      </c>
      <c r="AI2454" s="17" t="str">
        <f>IF(AG2454="","",INDEX('quitado Despesa'!$G$1:$G$12,AG2454))</f>
        <v/>
      </c>
      <c r="AJ2454" s="17" t="str">
        <f t="shared" si="3"/>
        <v/>
      </c>
    </row>
    <row r="2455" spans="31:36">
      <c r="AE2455" s="15" t="str">
        <f t="shared" si="0"/>
        <v/>
      </c>
      <c r="AF2455" s="15" t="str">
        <f t="shared" si="1"/>
        <v/>
      </c>
      <c r="AG2455" s="15" t="str">
        <f>IF(OR(AF2455="",AF2455="ERRO_CHAVE"),"",IFERROR(MATCH(AF2455,'quitado Despesa'!$V$1:$V$12,0),""))</f>
        <v/>
      </c>
      <c r="AH2455" s="15" t="str">
        <f t="shared" si="2"/>
        <v/>
      </c>
      <c r="AI2455" s="17" t="str">
        <f>IF(AG2455="","",INDEX('quitado Despesa'!$G$1:$G$12,AG2455))</f>
        <v/>
      </c>
      <c r="AJ2455" s="17" t="str">
        <f t="shared" si="3"/>
        <v/>
      </c>
    </row>
    <row r="2456" spans="31:36">
      <c r="AE2456" s="15" t="str">
        <f t="shared" si="0"/>
        <v/>
      </c>
      <c r="AF2456" s="15" t="str">
        <f t="shared" si="1"/>
        <v/>
      </c>
      <c r="AG2456" s="15" t="str">
        <f>IF(OR(AF2456="",AF2456="ERRO_CHAVE"),"",IFERROR(MATCH(AF2456,'quitado Despesa'!$V$1:$V$12,0),""))</f>
        <v/>
      </c>
      <c r="AH2456" s="15" t="str">
        <f t="shared" si="2"/>
        <v/>
      </c>
      <c r="AI2456" s="17" t="str">
        <f>IF(AG2456="","",INDEX('quitado Despesa'!$G$1:$G$12,AG2456))</f>
        <v/>
      </c>
      <c r="AJ2456" s="17" t="str">
        <f t="shared" si="3"/>
        <v/>
      </c>
    </row>
    <row r="2457" spans="31:36">
      <c r="AE2457" s="15" t="str">
        <f t="shared" si="0"/>
        <v/>
      </c>
      <c r="AF2457" s="15" t="str">
        <f t="shared" si="1"/>
        <v/>
      </c>
      <c r="AG2457" s="15" t="str">
        <f>IF(OR(AF2457="",AF2457="ERRO_CHAVE"),"",IFERROR(MATCH(AF2457,'quitado Despesa'!$V$1:$V$12,0),""))</f>
        <v/>
      </c>
      <c r="AH2457" s="15" t="str">
        <f t="shared" si="2"/>
        <v/>
      </c>
      <c r="AI2457" s="17" t="str">
        <f>IF(AG2457="","",INDEX('quitado Despesa'!$G$1:$G$12,AG2457))</f>
        <v/>
      </c>
      <c r="AJ2457" s="17" t="str">
        <f t="shared" si="3"/>
        <v/>
      </c>
    </row>
    <row r="2458" spans="31:36">
      <c r="AE2458" s="15" t="str">
        <f t="shared" si="0"/>
        <v/>
      </c>
      <c r="AF2458" s="15" t="str">
        <f t="shared" si="1"/>
        <v/>
      </c>
      <c r="AG2458" s="15" t="str">
        <f>IF(OR(AF2458="",AF2458="ERRO_CHAVE"),"",IFERROR(MATCH(AF2458,'quitado Despesa'!$V$1:$V$12,0),""))</f>
        <v/>
      </c>
      <c r="AH2458" s="15" t="str">
        <f t="shared" si="2"/>
        <v/>
      </c>
      <c r="AI2458" s="17" t="str">
        <f>IF(AG2458="","",INDEX('quitado Despesa'!$G$1:$G$12,AG2458))</f>
        <v/>
      </c>
      <c r="AJ2458" s="17" t="str">
        <f t="shared" si="3"/>
        <v/>
      </c>
    </row>
    <row r="2459" spans="31:36">
      <c r="AE2459" s="15" t="str">
        <f t="shared" si="0"/>
        <v/>
      </c>
      <c r="AF2459" s="15" t="str">
        <f t="shared" si="1"/>
        <v/>
      </c>
      <c r="AG2459" s="15" t="str">
        <f>IF(OR(AF2459="",AF2459="ERRO_CHAVE"),"",IFERROR(MATCH(AF2459,'quitado Despesa'!$V$1:$V$12,0),""))</f>
        <v/>
      </c>
      <c r="AH2459" s="15" t="str">
        <f t="shared" si="2"/>
        <v/>
      </c>
      <c r="AI2459" s="17" t="str">
        <f>IF(AG2459="","",INDEX('quitado Despesa'!$G$1:$G$12,AG2459))</f>
        <v/>
      </c>
      <c r="AJ2459" s="17" t="str">
        <f t="shared" si="3"/>
        <v/>
      </c>
    </row>
    <row r="2460" spans="31:36">
      <c r="AE2460" s="15" t="str">
        <f t="shared" si="0"/>
        <v/>
      </c>
      <c r="AF2460" s="15" t="str">
        <f t="shared" si="1"/>
        <v/>
      </c>
      <c r="AG2460" s="15" t="str">
        <f>IF(OR(AF2460="",AF2460="ERRO_CHAVE"),"",IFERROR(MATCH(AF2460,'quitado Despesa'!$V$1:$V$12,0),""))</f>
        <v/>
      </c>
      <c r="AH2460" s="15" t="str">
        <f t="shared" si="2"/>
        <v/>
      </c>
      <c r="AI2460" s="17" t="str">
        <f>IF(AG2460="","",INDEX('quitado Despesa'!$G$1:$G$12,AG2460))</f>
        <v/>
      </c>
      <c r="AJ2460" s="17" t="str">
        <f t="shared" si="3"/>
        <v/>
      </c>
    </row>
    <row r="2461" spans="31:36">
      <c r="AE2461" s="15" t="str">
        <f t="shared" si="0"/>
        <v/>
      </c>
      <c r="AF2461" s="15" t="str">
        <f t="shared" si="1"/>
        <v/>
      </c>
      <c r="AG2461" s="15" t="str">
        <f>IF(OR(AF2461="",AF2461="ERRO_CHAVE"),"",IFERROR(MATCH(AF2461,'quitado Despesa'!$V$1:$V$12,0),""))</f>
        <v/>
      </c>
      <c r="AH2461" s="15" t="str">
        <f t="shared" si="2"/>
        <v/>
      </c>
      <c r="AI2461" s="17" t="str">
        <f>IF(AG2461="","",INDEX('quitado Despesa'!$G$1:$G$12,AG2461))</f>
        <v/>
      </c>
      <c r="AJ2461" s="17" t="str">
        <f t="shared" si="3"/>
        <v/>
      </c>
    </row>
    <row r="2462" spans="31:36">
      <c r="AE2462" s="15" t="str">
        <f t="shared" si="0"/>
        <v/>
      </c>
      <c r="AF2462" s="15" t="str">
        <f t="shared" si="1"/>
        <v/>
      </c>
      <c r="AG2462" s="15" t="str">
        <f>IF(OR(AF2462="",AF2462="ERRO_CHAVE"),"",IFERROR(MATCH(AF2462,'quitado Despesa'!$V$1:$V$12,0),""))</f>
        <v/>
      </c>
      <c r="AH2462" s="15" t="str">
        <f t="shared" si="2"/>
        <v/>
      </c>
      <c r="AI2462" s="17" t="str">
        <f>IF(AG2462="","",INDEX('quitado Despesa'!$G$1:$G$12,AG2462))</f>
        <v/>
      </c>
      <c r="AJ2462" s="17" t="str">
        <f t="shared" si="3"/>
        <v/>
      </c>
    </row>
    <row r="2463" spans="31:36">
      <c r="AE2463" s="15" t="str">
        <f t="shared" si="0"/>
        <v/>
      </c>
      <c r="AF2463" s="15" t="str">
        <f t="shared" si="1"/>
        <v/>
      </c>
      <c r="AG2463" s="15" t="str">
        <f>IF(OR(AF2463="",AF2463="ERRO_CHAVE"),"",IFERROR(MATCH(AF2463,'quitado Despesa'!$V$1:$V$12,0),""))</f>
        <v/>
      </c>
      <c r="AH2463" s="15" t="str">
        <f t="shared" si="2"/>
        <v/>
      </c>
      <c r="AI2463" s="17" t="str">
        <f>IF(AG2463="","",INDEX('quitado Despesa'!$G$1:$G$12,AG2463))</f>
        <v/>
      </c>
      <c r="AJ2463" s="17" t="str">
        <f t="shared" si="3"/>
        <v/>
      </c>
    </row>
    <row r="2464" spans="31:36">
      <c r="AE2464" s="15" t="str">
        <f t="shared" si="0"/>
        <v/>
      </c>
      <c r="AF2464" s="15" t="str">
        <f t="shared" si="1"/>
        <v/>
      </c>
      <c r="AG2464" s="15" t="str">
        <f>IF(OR(AF2464="",AF2464="ERRO_CHAVE"),"",IFERROR(MATCH(AF2464,'quitado Despesa'!$V$1:$V$12,0),""))</f>
        <v/>
      </c>
      <c r="AH2464" s="15" t="str">
        <f t="shared" si="2"/>
        <v/>
      </c>
      <c r="AI2464" s="17" t="str">
        <f>IF(AG2464="","",INDEX('quitado Despesa'!$G$1:$G$12,AG2464))</f>
        <v/>
      </c>
      <c r="AJ2464" s="17" t="str">
        <f t="shared" si="3"/>
        <v/>
      </c>
    </row>
    <row r="2465" spans="31:36">
      <c r="AE2465" s="15" t="str">
        <f t="shared" si="0"/>
        <v/>
      </c>
      <c r="AF2465" s="15" t="str">
        <f t="shared" si="1"/>
        <v/>
      </c>
      <c r="AG2465" s="15" t="str">
        <f>IF(OR(AF2465="",AF2465="ERRO_CHAVE"),"",IFERROR(MATCH(AF2465,'quitado Despesa'!$V$1:$V$12,0),""))</f>
        <v/>
      </c>
      <c r="AH2465" s="15" t="str">
        <f t="shared" si="2"/>
        <v/>
      </c>
      <c r="AI2465" s="17" t="str">
        <f>IF(AG2465="","",INDEX('quitado Despesa'!$G$1:$G$12,AG2465))</f>
        <v/>
      </c>
      <c r="AJ2465" s="17" t="str">
        <f t="shared" si="3"/>
        <v/>
      </c>
    </row>
    <row r="2466" spans="31:36">
      <c r="AE2466" s="15" t="str">
        <f t="shared" si="0"/>
        <v/>
      </c>
      <c r="AF2466" s="15" t="str">
        <f t="shared" si="1"/>
        <v/>
      </c>
      <c r="AG2466" s="15" t="str">
        <f>IF(OR(AF2466="",AF2466="ERRO_CHAVE"),"",IFERROR(MATCH(AF2466,'quitado Despesa'!$V$1:$V$12,0),""))</f>
        <v/>
      </c>
      <c r="AH2466" s="15" t="str">
        <f t="shared" si="2"/>
        <v/>
      </c>
      <c r="AI2466" s="17" t="str">
        <f>IF(AG2466="","",INDEX('quitado Despesa'!$G$1:$G$12,AG2466))</f>
        <v/>
      </c>
      <c r="AJ2466" s="17" t="str">
        <f t="shared" si="3"/>
        <v/>
      </c>
    </row>
    <row r="2467" spans="31:36">
      <c r="AE2467" s="15" t="str">
        <f t="shared" si="0"/>
        <v/>
      </c>
      <c r="AF2467" s="15" t="str">
        <f t="shared" si="1"/>
        <v/>
      </c>
      <c r="AG2467" s="15" t="str">
        <f>IF(OR(AF2467="",AF2467="ERRO_CHAVE"),"",IFERROR(MATCH(AF2467,'quitado Despesa'!$V$1:$V$12,0),""))</f>
        <v/>
      </c>
      <c r="AH2467" s="15" t="str">
        <f t="shared" si="2"/>
        <v/>
      </c>
      <c r="AI2467" s="17" t="str">
        <f>IF(AG2467="","",INDEX('quitado Despesa'!$G$1:$G$12,AG2467))</f>
        <v/>
      </c>
      <c r="AJ2467" s="17" t="str">
        <f t="shared" si="3"/>
        <v/>
      </c>
    </row>
    <row r="2468" spans="31:36">
      <c r="AE2468" s="15" t="str">
        <f t="shared" si="0"/>
        <v/>
      </c>
      <c r="AF2468" s="15" t="str">
        <f t="shared" si="1"/>
        <v/>
      </c>
      <c r="AG2468" s="15" t="str">
        <f>IF(OR(AF2468="",AF2468="ERRO_CHAVE"),"",IFERROR(MATCH(AF2468,'quitado Despesa'!$V$1:$V$12,0),""))</f>
        <v/>
      </c>
      <c r="AH2468" s="15" t="str">
        <f t="shared" si="2"/>
        <v/>
      </c>
      <c r="AI2468" s="17" t="str">
        <f>IF(AG2468="","",INDEX('quitado Despesa'!$G$1:$G$12,AG2468))</f>
        <v/>
      </c>
      <c r="AJ2468" s="17" t="str">
        <f t="shared" si="3"/>
        <v/>
      </c>
    </row>
    <row r="2469" spans="31:36">
      <c r="AE2469" s="15" t="str">
        <f t="shared" si="0"/>
        <v/>
      </c>
      <c r="AF2469" s="15" t="str">
        <f t="shared" si="1"/>
        <v/>
      </c>
      <c r="AG2469" s="15" t="str">
        <f>IF(OR(AF2469="",AF2469="ERRO_CHAVE"),"",IFERROR(MATCH(AF2469,'quitado Despesa'!$V$1:$V$12,0),""))</f>
        <v/>
      </c>
      <c r="AH2469" s="15" t="str">
        <f t="shared" si="2"/>
        <v/>
      </c>
      <c r="AI2469" s="17" t="str">
        <f>IF(AG2469="","",INDEX('quitado Despesa'!$G$1:$G$12,AG2469))</f>
        <v/>
      </c>
      <c r="AJ2469" s="17" t="str">
        <f t="shared" si="3"/>
        <v/>
      </c>
    </row>
    <row r="2470" spans="31:36">
      <c r="AE2470" s="15" t="str">
        <f t="shared" si="0"/>
        <v/>
      </c>
      <c r="AF2470" s="15" t="str">
        <f t="shared" si="1"/>
        <v/>
      </c>
      <c r="AG2470" s="15" t="str">
        <f>IF(OR(AF2470="",AF2470="ERRO_CHAVE"),"",IFERROR(MATCH(AF2470,'quitado Despesa'!$V$1:$V$12,0),""))</f>
        <v/>
      </c>
      <c r="AH2470" s="15" t="str">
        <f t="shared" si="2"/>
        <v/>
      </c>
      <c r="AI2470" s="17" t="str">
        <f>IF(AG2470="","",INDEX('quitado Despesa'!$G$1:$G$12,AG2470))</f>
        <v/>
      </c>
      <c r="AJ2470" s="17" t="str">
        <f t="shared" si="3"/>
        <v/>
      </c>
    </row>
    <row r="2471" spans="31:36">
      <c r="AE2471" s="15" t="str">
        <f t="shared" si="0"/>
        <v/>
      </c>
      <c r="AF2471" s="15" t="str">
        <f t="shared" si="1"/>
        <v/>
      </c>
      <c r="AG2471" s="15" t="str">
        <f>IF(OR(AF2471="",AF2471="ERRO_CHAVE"),"",IFERROR(MATCH(AF2471,'quitado Despesa'!$V$1:$V$12,0),""))</f>
        <v/>
      </c>
      <c r="AH2471" s="15" t="str">
        <f t="shared" si="2"/>
        <v/>
      </c>
      <c r="AI2471" s="17" t="str">
        <f>IF(AG2471="","",INDEX('quitado Despesa'!$G$1:$G$12,AG2471))</f>
        <v/>
      </c>
      <c r="AJ2471" s="17" t="str">
        <f t="shared" si="3"/>
        <v/>
      </c>
    </row>
    <row r="2472" spans="31:36">
      <c r="AE2472" s="15" t="str">
        <f t="shared" si="0"/>
        <v/>
      </c>
      <c r="AF2472" s="15" t="str">
        <f t="shared" si="1"/>
        <v/>
      </c>
      <c r="AG2472" s="15" t="str">
        <f>IF(OR(AF2472="",AF2472="ERRO_CHAVE"),"",IFERROR(MATCH(AF2472,'quitado Despesa'!$V$1:$V$12,0),""))</f>
        <v/>
      </c>
      <c r="AH2472" s="15" t="str">
        <f t="shared" si="2"/>
        <v/>
      </c>
      <c r="AI2472" s="17" t="str">
        <f>IF(AG2472="","",INDEX('quitado Despesa'!$G$1:$G$12,AG2472))</f>
        <v/>
      </c>
      <c r="AJ2472" s="17" t="str">
        <f t="shared" si="3"/>
        <v/>
      </c>
    </row>
    <row r="2473" spans="31:36">
      <c r="AE2473" s="15" t="str">
        <f t="shared" si="0"/>
        <v/>
      </c>
      <c r="AF2473" s="15" t="str">
        <f t="shared" si="1"/>
        <v/>
      </c>
      <c r="AG2473" s="15" t="str">
        <f>IF(OR(AF2473="",AF2473="ERRO_CHAVE"),"",IFERROR(MATCH(AF2473,'quitado Despesa'!$V$1:$V$12,0),""))</f>
        <v/>
      </c>
      <c r="AH2473" s="15" t="str">
        <f t="shared" si="2"/>
        <v/>
      </c>
      <c r="AI2473" s="17" t="str">
        <f>IF(AG2473="","",INDEX('quitado Despesa'!$G$1:$G$12,AG2473))</f>
        <v/>
      </c>
      <c r="AJ2473" s="17" t="str">
        <f t="shared" si="3"/>
        <v/>
      </c>
    </row>
    <row r="2474" spans="31:36">
      <c r="AE2474" s="15" t="str">
        <f t="shared" si="0"/>
        <v/>
      </c>
      <c r="AF2474" s="15" t="str">
        <f t="shared" si="1"/>
        <v/>
      </c>
      <c r="AG2474" s="15" t="str">
        <f>IF(OR(AF2474="",AF2474="ERRO_CHAVE"),"",IFERROR(MATCH(AF2474,'quitado Despesa'!$V$1:$V$12,0),""))</f>
        <v/>
      </c>
      <c r="AH2474" s="15" t="str">
        <f t="shared" si="2"/>
        <v/>
      </c>
      <c r="AI2474" s="17" t="str">
        <f>IF(AG2474="","",INDEX('quitado Despesa'!$G$1:$G$12,AG2474))</f>
        <v/>
      </c>
      <c r="AJ2474" s="17" t="str">
        <f t="shared" si="3"/>
        <v/>
      </c>
    </row>
    <row r="2475" spans="31:36">
      <c r="AE2475" s="15" t="str">
        <f t="shared" si="0"/>
        <v/>
      </c>
      <c r="AF2475" s="15" t="str">
        <f t="shared" si="1"/>
        <v/>
      </c>
      <c r="AG2475" s="15" t="str">
        <f>IF(OR(AF2475="",AF2475="ERRO_CHAVE"),"",IFERROR(MATCH(AF2475,'quitado Despesa'!$V$1:$V$12,0),""))</f>
        <v/>
      </c>
      <c r="AH2475" s="15" t="str">
        <f t="shared" si="2"/>
        <v/>
      </c>
      <c r="AI2475" s="17" t="str">
        <f>IF(AG2475="","",INDEX('quitado Despesa'!$G$1:$G$12,AG2475))</f>
        <v/>
      </c>
      <c r="AJ2475" s="17" t="str">
        <f t="shared" si="3"/>
        <v/>
      </c>
    </row>
    <row r="2476" spans="31:36">
      <c r="AE2476" s="15" t="str">
        <f t="shared" si="0"/>
        <v/>
      </c>
      <c r="AF2476" s="15" t="str">
        <f t="shared" si="1"/>
        <v/>
      </c>
      <c r="AG2476" s="15" t="str">
        <f>IF(OR(AF2476="",AF2476="ERRO_CHAVE"),"",IFERROR(MATCH(AF2476,'quitado Despesa'!$V$1:$V$12,0),""))</f>
        <v/>
      </c>
      <c r="AH2476" s="15" t="str">
        <f t="shared" si="2"/>
        <v/>
      </c>
      <c r="AI2476" s="17" t="str">
        <f>IF(AG2476="","",INDEX('quitado Despesa'!$G$1:$G$12,AG2476))</f>
        <v/>
      </c>
      <c r="AJ2476" s="17" t="str">
        <f t="shared" si="3"/>
        <v/>
      </c>
    </row>
    <row r="2477" spans="31:36">
      <c r="AE2477" s="15" t="str">
        <f t="shared" si="0"/>
        <v/>
      </c>
      <c r="AF2477" s="15" t="str">
        <f t="shared" si="1"/>
        <v/>
      </c>
      <c r="AG2477" s="15" t="str">
        <f>IF(OR(AF2477="",AF2477="ERRO_CHAVE"),"",IFERROR(MATCH(AF2477,'quitado Despesa'!$V$1:$V$12,0),""))</f>
        <v/>
      </c>
      <c r="AH2477" s="15" t="str">
        <f t="shared" si="2"/>
        <v/>
      </c>
      <c r="AI2477" s="17" t="str">
        <f>IF(AG2477="","",INDEX('quitado Despesa'!$G$1:$G$12,AG2477))</f>
        <v/>
      </c>
      <c r="AJ2477" s="17" t="str">
        <f t="shared" si="3"/>
        <v/>
      </c>
    </row>
    <row r="2478" spans="31:36">
      <c r="AE2478" s="15" t="str">
        <f t="shared" si="0"/>
        <v/>
      </c>
      <c r="AF2478" s="15" t="str">
        <f t="shared" si="1"/>
        <v/>
      </c>
      <c r="AG2478" s="15" t="str">
        <f>IF(OR(AF2478="",AF2478="ERRO_CHAVE"),"",IFERROR(MATCH(AF2478,'quitado Despesa'!$V$1:$V$12,0),""))</f>
        <v/>
      </c>
      <c r="AH2478" s="15" t="str">
        <f t="shared" si="2"/>
        <v/>
      </c>
      <c r="AI2478" s="17" t="str">
        <f>IF(AG2478="","",INDEX('quitado Despesa'!$G$1:$G$12,AG2478))</f>
        <v/>
      </c>
      <c r="AJ2478" s="17" t="str">
        <f t="shared" si="3"/>
        <v/>
      </c>
    </row>
    <row r="2479" spans="31:36">
      <c r="AE2479" s="15" t="str">
        <f t="shared" si="0"/>
        <v/>
      </c>
      <c r="AF2479" s="15" t="str">
        <f t="shared" si="1"/>
        <v/>
      </c>
      <c r="AG2479" s="15" t="str">
        <f>IF(OR(AF2479="",AF2479="ERRO_CHAVE"),"",IFERROR(MATCH(AF2479,'quitado Despesa'!$V$1:$V$12,0),""))</f>
        <v/>
      </c>
      <c r="AH2479" s="15" t="str">
        <f t="shared" si="2"/>
        <v/>
      </c>
      <c r="AI2479" s="17" t="str">
        <f>IF(AG2479="","",INDEX('quitado Despesa'!$G$1:$G$12,AG2479))</f>
        <v/>
      </c>
      <c r="AJ2479" s="17" t="str">
        <f t="shared" si="3"/>
        <v/>
      </c>
    </row>
    <row r="2480" spans="31:36">
      <c r="AE2480" s="15" t="str">
        <f t="shared" si="0"/>
        <v/>
      </c>
      <c r="AF2480" s="15" t="str">
        <f t="shared" si="1"/>
        <v/>
      </c>
      <c r="AG2480" s="15" t="str">
        <f>IF(OR(AF2480="",AF2480="ERRO_CHAVE"),"",IFERROR(MATCH(AF2480,'quitado Despesa'!$V$1:$V$12,0),""))</f>
        <v/>
      </c>
      <c r="AH2480" s="15" t="str">
        <f t="shared" si="2"/>
        <v/>
      </c>
      <c r="AI2480" s="17" t="str">
        <f>IF(AG2480="","",INDEX('quitado Despesa'!$G$1:$G$12,AG2480))</f>
        <v/>
      </c>
      <c r="AJ2480" s="17" t="str">
        <f t="shared" si="3"/>
        <v/>
      </c>
    </row>
    <row r="2481" spans="31:36">
      <c r="AE2481" s="15" t="str">
        <f t="shared" si="0"/>
        <v/>
      </c>
      <c r="AF2481" s="15" t="str">
        <f t="shared" si="1"/>
        <v/>
      </c>
      <c r="AG2481" s="15" t="str">
        <f>IF(OR(AF2481="",AF2481="ERRO_CHAVE"),"",IFERROR(MATCH(AF2481,'quitado Despesa'!$V$1:$V$12,0),""))</f>
        <v/>
      </c>
      <c r="AH2481" s="15" t="str">
        <f t="shared" si="2"/>
        <v/>
      </c>
      <c r="AI2481" s="17" t="str">
        <f>IF(AG2481="","",INDEX('quitado Despesa'!$G$1:$G$12,AG2481))</f>
        <v/>
      </c>
      <c r="AJ2481" s="17" t="str">
        <f t="shared" si="3"/>
        <v/>
      </c>
    </row>
    <row r="2482" spans="31:36">
      <c r="AE2482" s="15" t="str">
        <f t="shared" si="0"/>
        <v/>
      </c>
      <c r="AF2482" s="15" t="str">
        <f t="shared" si="1"/>
        <v/>
      </c>
      <c r="AG2482" s="15" t="str">
        <f>IF(OR(AF2482="",AF2482="ERRO_CHAVE"),"",IFERROR(MATCH(AF2482,'quitado Despesa'!$V$1:$V$12,0),""))</f>
        <v/>
      </c>
      <c r="AH2482" s="15" t="str">
        <f t="shared" si="2"/>
        <v/>
      </c>
      <c r="AI2482" s="17" t="str">
        <f>IF(AG2482="","",INDEX('quitado Despesa'!$G$1:$G$12,AG2482))</f>
        <v/>
      </c>
      <c r="AJ2482" s="17" t="str">
        <f t="shared" si="3"/>
        <v/>
      </c>
    </row>
    <row r="2483" spans="31:36">
      <c r="AE2483" s="15" t="str">
        <f t="shared" si="0"/>
        <v/>
      </c>
      <c r="AF2483" s="15" t="str">
        <f t="shared" si="1"/>
        <v/>
      </c>
      <c r="AG2483" s="15" t="str">
        <f>IF(OR(AF2483="",AF2483="ERRO_CHAVE"),"",IFERROR(MATCH(AF2483,'quitado Despesa'!$V$1:$V$12,0),""))</f>
        <v/>
      </c>
      <c r="AH2483" s="15" t="str">
        <f t="shared" si="2"/>
        <v/>
      </c>
      <c r="AI2483" s="17" t="str">
        <f>IF(AG2483="","",INDEX('quitado Despesa'!$G$1:$G$12,AG2483))</f>
        <v/>
      </c>
      <c r="AJ2483" s="17" t="str">
        <f t="shared" si="3"/>
        <v/>
      </c>
    </row>
    <row r="2484" spans="31:36">
      <c r="AE2484" s="15" t="str">
        <f t="shared" si="0"/>
        <v/>
      </c>
      <c r="AF2484" s="15" t="str">
        <f t="shared" si="1"/>
        <v/>
      </c>
      <c r="AG2484" s="15" t="str">
        <f>IF(OR(AF2484="",AF2484="ERRO_CHAVE"),"",IFERROR(MATCH(AF2484,'quitado Despesa'!$V$1:$V$12,0),""))</f>
        <v/>
      </c>
      <c r="AH2484" s="15" t="str">
        <f t="shared" si="2"/>
        <v/>
      </c>
      <c r="AI2484" s="17" t="str">
        <f>IF(AG2484="","",INDEX('quitado Despesa'!$G$1:$G$12,AG2484))</f>
        <v/>
      </c>
      <c r="AJ2484" s="17" t="str">
        <f t="shared" si="3"/>
        <v/>
      </c>
    </row>
    <row r="2485" spans="31:36">
      <c r="AE2485" s="15" t="str">
        <f t="shared" si="0"/>
        <v/>
      </c>
      <c r="AF2485" s="15" t="str">
        <f t="shared" si="1"/>
        <v/>
      </c>
      <c r="AG2485" s="15" t="str">
        <f>IF(OR(AF2485="",AF2485="ERRO_CHAVE"),"",IFERROR(MATCH(AF2485,'quitado Despesa'!$V$1:$V$12,0),""))</f>
        <v/>
      </c>
      <c r="AH2485" s="15" t="str">
        <f t="shared" si="2"/>
        <v/>
      </c>
      <c r="AI2485" s="17" t="str">
        <f>IF(AG2485="","",INDEX('quitado Despesa'!$G$1:$G$12,AG2485))</f>
        <v/>
      </c>
      <c r="AJ2485" s="17" t="str">
        <f t="shared" si="3"/>
        <v/>
      </c>
    </row>
    <row r="2486" spans="31:36">
      <c r="AE2486" s="15" t="str">
        <f t="shared" si="0"/>
        <v/>
      </c>
      <c r="AF2486" s="15" t="str">
        <f t="shared" si="1"/>
        <v/>
      </c>
      <c r="AG2486" s="15" t="str">
        <f>IF(OR(AF2486="",AF2486="ERRO_CHAVE"),"",IFERROR(MATCH(AF2486,'quitado Despesa'!$V$1:$V$12,0),""))</f>
        <v/>
      </c>
      <c r="AH2486" s="15" t="str">
        <f t="shared" si="2"/>
        <v/>
      </c>
      <c r="AI2486" s="17" t="str">
        <f>IF(AG2486="","",INDEX('quitado Despesa'!$G$1:$G$12,AG2486))</f>
        <v/>
      </c>
      <c r="AJ2486" s="17" t="str">
        <f t="shared" si="3"/>
        <v/>
      </c>
    </row>
    <row r="2487" spans="31:36">
      <c r="AE2487" s="15" t="str">
        <f t="shared" si="0"/>
        <v/>
      </c>
      <c r="AF2487" s="15" t="str">
        <f t="shared" si="1"/>
        <v/>
      </c>
      <c r="AG2487" s="15" t="str">
        <f>IF(OR(AF2487="",AF2487="ERRO_CHAVE"),"",IFERROR(MATCH(AF2487,'quitado Despesa'!$V$1:$V$12,0),""))</f>
        <v/>
      </c>
      <c r="AH2487" s="15" t="str">
        <f t="shared" si="2"/>
        <v/>
      </c>
      <c r="AI2487" s="17" t="str">
        <f>IF(AG2487="","",INDEX('quitado Despesa'!$G$1:$G$12,AG2487))</f>
        <v/>
      </c>
      <c r="AJ2487" s="17" t="str">
        <f t="shared" si="3"/>
        <v/>
      </c>
    </row>
    <row r="2488" spans="31:36">
      <c r="AE2488" s="15" t="str">
        <f t="shared" si="0"/>
        <v/>
      </c>
      <c r="AF2488" s="15" t="str">
        <f t="shared" si="1"/>
        <v/>
      </c>
      <c r="AG2488" s="15" t="str">
        <f>IF(OR(AF2488="",AF2488="ERRO_CHAVE"),"",IFERROR(MATCH(AF2488,'quitado Despesa'!$V$1:$V$12,0),""))</f>
        <v/>
      </c>
      <c r="AH2488" s="15" t="str">
        <f t="shared" si="2"/>
        <v/>
      </c>
      <c r="AI2488" s="17" t="str">
        <f>IF(AG2488="","",INDEX('quitado Despesa'!$G$1:$G$12,AG2488))</f>
        <v/>
      </c>
      <c r="AJ2488" s="17" t="str">
        <f t="shared" si="3"/>
        <v/>
      </c>
    </row>
    <row r="2489" spans="31:36">
      <c r="AE2489" s="15" t="str">
        <f t="shared" si="0"/>
        <v/>
      </c>
      <c r="AF2489" s="15" t="str">
        <f t="shared" si="1"/>
        <v/>
      </c>
      <c r="AG2489" s="15" t="str">
        <f>IF(OR(AF2489="",AF2489="ERRO_CHAVE"),"",IFERROR(MATCH(AF2489,'quitado Despesa'!$V$1:$V$12,0),""))</f>
        <v/>
      </c>
      <c r="AH2489" s="15" t="str">
        <f t="shared" si="2"/>
        <v/>
      </c>
      <c r="AI2489" s="17" t="str">
        <f>IF(AG2489="","",INDEX('quitado Despesa'!$G$1:$G$12,AG2489))</f>
        <v/>
      </c>
      <c r="AJ2489" s="17" t="str">
        <f t="shared" si="3"/>
        <v/>
      </c>
    </row>
    <row r="2490" spans="31:36">
      <c r="AE2490" s="15" t="str">
        <f t="shared" si="0"/>
        <v/>
      </c>
      <c r="AF2490" s="15" t="str">
        <f t="shared" si="1"/>
        <v/>
      </c>
      <c r="AG2490" s="15" t="str">
        <f>IF(OR(AF2490="",AF2490="ERRO_CHAVE"),"",IFERROR(MATCH(AF2490,'quitado Despesa'!$V$1:$V$12,0),""))</f>
        <v/>
      </c>
      <c r="AH2490" s="15" t="str">
        <f t="shared" si="2"/>
        <v/>
      </c>
      <c r="AI2490" s="17" t="str">
        <f>IF(AG2490="","",INDEX('quitado Despesa'!$G$1:$G$12,AG2490))</f>
        <v/>
      </c>
      <c r="AJ2490" s="17" t="str">
        <f t="shared" si="3"/>
        <v/>
      </c>
    </row>
    <row r="2491" spans="31:36">
      <c r="AE2491" s="15" t="str">
        <f t="shared" si="0"/>
        <v/>
      </c>
      <c r="AF2491" s="15" t="str">
        <f t="shared" si="1"/>
        <v/>
      </c>
      <c r="AG2491" s="15" t="str">
        <f>IF(OR(AF2491="",AF2491="ERRO_CHAVE"),"",IFERROR(MATCH(AF2491,'quitado Despesa'!$V$1:$V$12,0),""))</f>
        <v/>
      </c>
      <c r="AH2491" s="15" t="str">
        <f t="shared" si="2"/>
        <v/>
      </c>
      <c r="AI2491" s="17" t="str">
        <f>IF(AG2491="","",INDEX('quitado Despesa'!$G$1:$G$12,AG2491))</f>
        <v/>
      </c>
      <c r="AJ2491" s="17" t="str">
        <f t="shared" si="3"/>
        <v/>
      </c>
    </row>
    <row r="2492" spans="31:36">
      <c r="AE2492" s="15" t="str">
        <f t="shared" si="0"/>
        <v/>
      </c>
      <c r="AF2492" s="15" t="str">
        <f t="shared" si="1"/>
        <v/>
      </c>
      <c r="AG2492" s="15" t="str">
        <f>IF(OR(AF2492="",AF2492="ERRO_CHAVE"),"",IFERROR(MATCH(AF2492,'quitado Despesa'!$V$1:$V$12,0),""))</f>
        <v/>
      </c>
      <c r="AH2492" s="15" t="str">
        <f t="shared" si="2"/>
        <v/>
      </c>
      <c r="AI2492" s="17" t="str">
        <f>IF(AG2492="","",INDEX('quitado Despesa'!$G$1:$G$12,AG2492))</f>
        <v/>
      </c>
      <c r="AJ2492" s="17" t="str">
        <f t="shared" si="3"/>
        <v/>
      </c>
    </row>
    <row r="2493" spans="31:36">
      <c r="AE2493" s="15" t="str">
        <f t="shared" si="0"/>
        <v/>
      </c>
      <c r="AF2493" s="15" t="str">
        <f t="shared" si="1"/>
        <v/>
      </c>
      <c r="AG2493" s="15" t="str">
        <f>IF(OR(AF2493="",AF2493="ERRO_CHAVE"),"",IFERROR(MATCH(AF2493,'quitado Despesa'!$V$1:$V$12,0),""))</f>
        <v/>
      </c>
      <c r="AH2493" s="15" t="str">
        <f t="shared" si="2"/>
        <v/>
      </c>
      <c r="AI2493" s="17" t="str">
        <f>IF(AG2493="","",INDEX('quitado Despesa'!$G$1:$G$12,AG2493))</f>
        <v/>
      </c>
      <c r="AJ2493" s="17" t="str">
        <f t="shared" si="3"/>
        <v/>
      </c>
    </row>
    <row r="2494" spans="31:36">
      <c r="AE2494" s="15" t="str">
        <f t="shared" si="0"/>
        <v/>
      </c>
      <c r="AF2494" s="15" t="str">
        <f t="shared" si="1"/>
        <v/>
      </c>
      <c r="AG2494" s="15" t="str">
        <f>IF(OR(AF2494="",AF2494="ERRO_CHAVE"),"",IFERROR(MATCH(AF2494,'quitado Despesa'!$V$1:$V$12,0),""))</f>
        <v/>
      </c>
      <c r="AH2494" s="15" t="str">
        <f t="shared" si="2"/>
        <v/>
      </c>
      <c r="AI2494" s="17" t="str">
        <f>IF(AG2494="","",INDEX('quitado Despesa'!$G$1:$G$12,AG2494))</f>
        <v/>
      </c>
      <c r="AJ2494" s="17" t="str">
        <f t="shared" si="3"/>
        <v/>
      </c>
    </row>
    <row r="2495" spans="31:36">
      <c r="AE2495" s="15" t="str">
        <f t="shared" si="0"/>
        <v/>
      </c>
      <c r="AF2495" s="15" t="str">
        <f t="shared" si="1"/>
        <v/>
      </c>
      <c r="AG2495" s="15" t="str">
        <f>IF(OR(AF2495="",AF2495="ERRO_CHAVE"),"",IFERROR(MATCH(AF2495,'quitado Despesa'!$V$1:$V$12,0),""))</f>
        <v/>
      </c>
      <c r="AH2495" s="15" t="str">
        <f t="shared" si="2"/>
        <v/>
      </c>
      <c r="AI2495" s="17" t="str">
        <f>IF(AG2495="","",INDEX('quitado Despesa'!$G$1:$G$12,AG2495))</f>
        <v/>
      </c>
      <c r="AJ2495" s="17" t="str">
        <f t="shared" si="3"/>
        <v/>
      </c>
    </row>
    <row r="2496" spans="31:36">
      <c r="AE2496" s="15" t="str">
        <f t="shared" si="0"/>
        <v/>
      </c>
      <c r="AF2496" s="15" t="str">
        <f t="shared" si="1"/>
        <v/>
      </c>
      <c r="AG2496" s="15" t="str">
        <f>IF(OR(AF2496="",AF2496="ERRO_CHAVE"),"",IFERROR(MATCH(AF2496,'quitado Despesa'!$V$1:$V$12,0),""))</f>
        <v/>
      </c>
      <c r="AH2496" s="15" t="str">
        <f t="shared" si="2"/>
        <v/>
      </c>
      <c r="AI2496" s="17" t="str">
        <f>IF(AG2496="","",INDEX('quitado Despesa'!$G$1:$G$12,AG2496))</f>
        <v/>
      </c>
      <c r="AJ2496" s="17" t="str">
        <f t="shared" si="3"/>
        <v/>
      </c>
    </row>
    <row r="2497" spans="31:36">
      <c r="AE2497" s="15" t="str">
        <f t="shared" si="0"/>
        <v/>
      </c>
      <c r="AF2497" s="15" t="str">
        <f t="shared" si="1"/>
        <v/>
      </c>
      <c r="AG2497" s="15" t="str">
        <f>IF(OR(AF2497="",AF2497="ERRO_CHAVE"),"",IFERROR(MATCH(AF2497,'quitado Despesa'!$V$1:$V$12,0),""))</f>
        <v/>
      </c>
      <c r="AH2497" s="15" t="str">
        <f t="shared" si="2"/>
        <v/>
      </c>
      <c r="AI2497" s="17" t="str">
        <f>IF(AG2497="","",INDEX('quitado Despesa'!$G$1:$G$12,AG2497))</f>
        <v/>
      </c>
      <c r="AJ2497" s="17" t="str">
        <f t="shared" si="3"/>
        <v/>
      </c>
    </row>
    <row r="2498" spans="31:36">
      <c r="AE2498" s="15" t="str">
        <f t="shared" si="0"/>
        <v/>
      </c>
      <c r="AF2498" s="15" t="str">
        <f t="shared" si="1"/>
        <v/>
      </c>
      <c r="AG2498" s="15" t="str">
        <f>IF(OR(AF2498="",AF2498="ERRO_CHAVE"),"",IFERROR(MATCH(AF2498,'quitado Despesa'!$V$1:$V$12,0),""))</f>
        <v/>
      </c>
      <c r="AH2498" s="15" t="str">
        <f t="shared" si="2"/>
        <v/>
      </c>
      <c r="AI2498" s="17" t="str">
        <f>IF(AG2498="","",INDEX('quitado Despesa'!$G$1:$G$12,AG2498))</f>
        <v/>
      </c>
      <c r="AJ2498" s="17" t="str">
        <f t="shared" si="3"/>
        <v/>
      </c>
    </row>
    <row r="2499" spans="31:36">
      <c r="AE2499" s="15" t="str">
        <f t="shared" si="0"/>
        <v/>
      </c>
      <c r="AF2499" s="15" t="str">
        <f t="shared" si="1"/>
        <v/>
      </c>
      <c r="AG2499" s="15" t="str">
        <f>IF(OR(AF2499="",AF2499="ERRO_CHAVE"),"",IFERROR(MATCH(AF2499,'quitado Despesa'!$V$1:$V$12,0),""))</f>
        <v/>
      </c>
      <c r="AH2499" s="15" t="str">
        <f t="shared" si="2"/>
        <v/>
      </c>
      <c r="AI2499" s="17" t="str">
        <f>IF(AG2499="","",INDEX('quitado Despesa'!$G$1:$G$12,AG2499))</f>
        <v/>
      </c>
      <c r="AJ2499" s="17" t="str">
        <f t="shared" si="3"/>
        <v/>
      </c>
    </row>
    <row r="2500" spans="31:36">
      <c r="AE2500" s="15" t="str">
        <f t="shared" si="0"/>
        <v/>
      </c>
      <c r="AF2500" s="15" t="str">
        <f t="shared" si="1"/>
        <v/>
      </c>
      <c r="AG2500" s="15" t="str">
        <f>IF(OR(AF2500="",AF2500="ERRO_CHAVE"),"",IFERROR(MATCH(AF2500,'quitado Despesa'!$V$1:$V$12,0),""))</f>
        <v/>
      </c>
      <c r="AH2500" s="15" t="str">
        <f t="shared" si="2"/>
        <v/>
      </c>
      <c r="AI2500" s="17" t="str">
        <f>IF(AG2500="","",INDEX('quitado Despesa'!$G$1:$G$12,AG2500))</f>
        <v/>
      </c>
      <c r="AJ2500" s="17" t="str">
        <f t="shared" si="3"/>
        <v/>
      </c>
    </row>
    <row r="2501" spans="31:36">
      <c r="AE2501" s="15" t="str">
        <f t="shared" si="0"/>
        <v/>
      </c>
      <c r="AF2501" s="15" t="str">
        <f t="shared" si="1"/>
        <v/>
      </c>
      <c r="AG2501" s="15" t="str">
        <f>IF(OR(AF2501="",AF2501="ERRO_CHAVE"),"",IFERROR(MATCH(AF2501,'quitado Despesa'!$V$1:$V$12,0),""))</f>
        <v/>
      </c>
      <c r="AH2501" s="15" t="str">
        <f t="shared" si="2"/>
        <v/>
      </c>
      <c r="AI2501" s="17" t="str">
        <f>IF(AG2501="","",INDEX('quitado Despesa'!$G$1:$G$12,AG2501))</f>
        <v/>
      </c>
      <c r="AJ2501" s="17" t="str">
        <f t="shared" si="3"/>
        <v/>
      </c>
    </row>
    <row r="2502" spans="31:36">
      <c r="AE2502" s="15" t="str">
        <f t="shared" si="0"/>
        <v/>
      </c>
      <c r="AF2502" s="15" t="str">
        <f t="shared" si="1"/>
        <v/>
      </c>
      <c r="AG2502" s="15" t="str">
        <f>IF(OR(AF2502="",AF2502="ERRO_CHAVE"),"",IFERROR(MATCH(AF2502,'quitado Despesa'!$V$1:$V$12,0),""))</f>
        <v/>
      </c>
      <c r="AH2502" s="15" t="str">
        <f t="shared" si="2"/>
        <v/>
      </c>
      <c r="AI2502" s="17" t="str">
        <f>IF(AG2502="","",INDEX('quitado Despesa'!$G$1:$G$12,AG2502))</f>
        <v/>
      </c>
      <c r="AJ2502" s="17" t="str">
        <f t="shared" si="3"/>
        <v/>
      </c>
    </row>
    <row r="2503" spans="31:36">
      <c r="AE2503" s="15" t="str">
        <f t="shared" si="0"/>
        <v/>
      </c>
      <c r="AF2503" s="15" t="str">
        <f t="shared" si="1"/>
        <v/>
      </c>
      <c r="AG2503" s="15" t="str">
        <f>IF(OR(AF2503="",AF2503="ERRO_CHAVE"),"",IFERROR(MATCH(AF2503,'quitado Despesa'!$V$1:$V$12,0),""))</f>
        <v/>
      </c>
      <c r="AH2503" s="15" t="str">
        <f t="shared" si="2"/>
        <v/>
      </c>
      <c r="AI2503" s="17" t="str">
        <f>IF(AG2503="","",INDEX('quitado Despesa'!$G$1:$G$12,AG2503))</f>
        <v/>
      </c>
      <c r="AJ2503" s="17" t="str">
        <f t="shared" si="3"/>
        <v/>
      </c>
    </row>
    <row r="2504" spans="31:36">
      <c r="AE2504" s="15" t="str">
        <f t="shared" si="0"/>
        <v/>
      </c>
      <c r="AF2504" s="15" t="str">
        <f t="shared" si="1"/>
        <v/>
      </c>
      <c r="AG2504" s="15" t="str">
        <f>IF(OR(AF2504="",AF2504="ERRO_CHAVE"),"",IFERROR(MATCH(AF2504,'quitado Despesa'!$V$1:$V$12,0),""))</f>
        <v/>
      </c>
      <c r="AH2504" s="15" t="str">
        <f t="shared" si="2"/>
        <v/>
      </c>
      <c r="AI2504" s="17" t="str">
        <f>IF(AG2504="","",INDEX('quitado Despesa'!$G$1:$G$12,AG2504))</f>
        <v/>
      </c>
      <c r="AJ2504" s="17" t="str">
        <f t="shared" si="3"/>
        <v/>
      </c>
    </row>
    <row r="2505" spans="31:36">
      <c r="AE2505" s="15" t="str">
        <f t="shared" si="0"/>
        <v/>
      </c>
      <c r="AF2505" s="15" t="str">
        <f t="shared" si="1"/>
        <v/>
      </c>
      <c r="AG2505" s="15" t="str">
        <f>IF(OR(AF2505="",AF2505="ERRO_CHAVE"),"",IFERROR(MATCH(AF2505,'quitado Despesa'!$V$1:$V$12,0),""))</f>
        <v/>
      </c>
      <c r="AH2505" s="15" t="str">
        <f t="shared" si="2"/>
        <v/>
      </c>
      <c r="AI2505" s="17" t="str">
        <f>IF(AG2505="","",INDEX('quitado Despesa'!$G$1:$G$12,AG2505))</f>
        <v/>
      </c>
      <c r="AJ2505" s="17" t="str">
        <f t="shared" si="3"/>
        <v/>
      </c>
    </row>
    <row r="2506" spans="31:36">
      <c r="AE2506" s="15" t="str">
        <f t="shared" si="0"/>
        <v/>
      </c>
      <c r="AF2506" s="15" t="str">
        <f t="shared" si="1"/>
        <v/>
      </c>
      <c r="AG2506" s="15" t="str">
        <f>IF(OR(AF2506="",AF2506="ERRO_CHAVE"),"",IFERROR(MATCH(AF2506,'quitado Despesa'!$V$1:$V$12,0),""))</f>
        <v/>
      </c>
      <c r="AH2506" s="15" t="str">
        <f t="shared" si="2"/>
        <v/>
      </c>
      <c r="AI2506" s="17" t="str">
        <f>IF(AG2506="","",INDEX('quitado Despesa'!$G$1:$G$12,AG2506))</f>
        <v/>
      </c>
      <c r="AJ2506" s="17" t="str">
        <f t="shared" si="3"/>
        <v/>
      </c>
    </row>
    <row r="2507" spans="31:36">
      <c r="AE2507" s="15" t="str">
        <f t="shared" si="0"/>
        <v/>
      </c>
      <c r="AF2507" s="15" t="str">
        <f t="shared" si="1"/>
        <v/>
      </c>
      <c r="AG2507" s="15" t="str">
        <f>IF(OR(AF2507="",AF2507="ERRO_CHAVE"),"",IFERROR(MATCH(AF2507,'quitado Despesa'!$V$1:$V$12,0),""))</f>
        <v/>
      </c>
      <c r="AH2507" s="15" t="str">
        <f t="shared" si="2"/>
        <v/>
      </c>
      <c r="AI2507" s="17" t="str">
        <f>IF(AG2507="","",INDEX('quitado Despesa'!$G$1:$G$12,AG2507))</f>
        <v/>
      </c>
      <c r="AJ2507" s="17" t="str">
        <f t="shared" si="3"/>
        <v/>
      </c>
    </row>
    <row r="2508" spans="31:36">
      <c r="AE2508" s="15" t="str">
        <f t="shared" si="0"/>
        <v/>
      </c>
      <c r="AF2508" s="15" t="str">
        <f t="shared" si="1"/>
        <v/>
      </c>
      <c r="AG2508" s="15" t="str">
        <f>IF(OR(AF2508="",AF2508="ERRO_CHAVE"),"",IFERROR(MATCH(AF2508,'quitado Despesa'!$V$1:$V$12,0),""))</f>
        <v/>
      </c>
      <c r="AH2508" s="15" t="str">
        <f t="shared" si="2"/>
        <v/>
      </c>
      <c r="AI2508" s="17" t="str">
        <f>IF(AG2508="","",INDEX('quitado Despesa'!$G$1:$G$12,AG2508))</f>
        <v/>
      </c>
      <c r="AJ2508" s="17" t="str">
        <f t="shared" si="3"/>
        <v/>
      </c>
    </row>
    <row r="2509" spans="31:36">
      <c r="AE2509" s="15" t="str">
        <f t="shared" si="0"/>
        <v/>
      </c>
      <c r="AF2509" s="15" t="str">
        <f t="shared" si="1"/>
        <v/>
      </c>
      <c r="AG2509" s="15" t="str">
        <f>IF(OR(AF2509="",AF2509="ERRO_CHAVE"),"",IFERROR(MATCH(AF2509,'quitado Despesa'!$V$1:$V$12,0),""))</f>
        <v/>
      </c>
      <c r="AH2509" s="15" t="str">
        <f t="shared" si="2"/>
        <v/>
      </c>
      <c r="AI2509" s="17" t="str">
        <f>IF(AG2509="","",INDEX('quitado Despesa'!$G$1:$G$12,AG2509))</f>
        <v/>
      </c>
      <c r="AJ2509" s="17" t="str">
        <f t="shared" si="3"/>
        <v/>
      </c>
    </row>
    <row r="2510" spans="31:36">
      <c r="AE2510" s="15" t="str">
        <f t="shared" si="0"/>
        <v/>
      </c>
      <c r="AF2510" s="15" t="str">
        <f t="shared" si="1"/>
        <v/>
      </c>
      <c r="AG2510" s="15" t="str">
        <f>IF(OR(AF2510="",AF2510="ERRO_CHAVE"),"",IFERROR(MATCH(AF2510,'quitado Despesa'!$V$1:$V$12,0),""))</f>
        <v/>
      </c>
      <c r="AH2510" s="15" t="str">
        <f t="shared" si="2"/>
        <v/>
      </c>
      <c r="AI2510" s="17" t="str">
        <f>IF(AG2510="","",INDEX('quitado Despesa'!$G$1:$G$12,AG2510))</f>
        <v/>
      </c>
      <c r="AJ2510" s="17" t="str">
        <f t="shared" si="3"/>
        <v/>
      </c>
    </row>
    <row r="2511" spans="31:36">
      <c r="AE2511" s="15" t="str">
        <f t="shared" si="0"/>
        <v/>
      </c>
      <c r="AF2511" s="15" t="str">
        <f t="shared" si="1"/>
        <v/>
      </c>
      <c r="AG2511" s="15" t="str">
        <f>IF(OR(AF2511="",AF2511="ERRO_CHAVE"),"",IFERROR(MATCH(AF2511,'quitado Despesa'!$V$1:$V$12,0),""))</f>
        <v/>
      </c>
      <c r="AH2511" s="15" t="str">
        <f t="shared" si="2"/>
        <v/>
      </c>
      <c r="AI2511" s="17" t="str">
        <f>IF(AG2511="","",INDEX('quitado Despesa'!$G$1:$G$12,AG2511))</f>
        <v/>
      </c>
      <c r="AJ2511" s="17" t="str">
        <f t="shared" si="3"/>
        <v/>
      </c>
    </row>
    <row r="2512" spans="31:36">
      <c r="AE2512" s="15" t="str">
        <f t="shared" si="0"/>
        <v/>
      </c>
      <c r="AF2512" s="15" t="str">
        <f t="shared" si="1"/>
        <v/>
      </c>
      <c r="AG2512" s="15" t="str">
        <f>IF(OR(AF2512="",AF2512="ERRO_CHAVE"),"",IFERROR(MATCH(AF2512,'quitado Despesa'!$V$1:$V$12,0),""))</f>
        <v/>
      </c>
      <c r="AH2512" s="15" t="str">
        <f t="shared" si="2"/>
        <v/>
      </c>
      <c r="AI2512" s="17" t="str">
        <f>IF(AG2512="","",INDEX('quitado Despesa'!$G$1:$G$12,AG2512))</f>
        <v/>
      </c>
      <c r="AJ2512" s="17" t="str">
        <f t="shared" si="3"/>
        <v/>
      </c>
    </row>
    <row r="2513" spans="31:36">
      <c r="AE2513" s="15" t="str">
        <f t="shared" si="0"/>
        <v/>
      </c>
      <c r="AF2513" s="15" t="str">
        <f t="shared" si="1"/>
        <v/>
      </c>
      <c r="AG2513" s="15" t="str">
        <f>IF(OR(AF2513="",AF2513="ERRO_CHAVE"),"",IFERROR(MATCH(AF2513,'quitado Despesa'!$V$1:$V$12,0),""))</f>
        <v/>
      </c>
      <c r="AH2513" s="15" t="str">
        <f t="shared" si="2"/>
        <v/>
      </c>
      <c r="AI2513" s="17" t="str">
        <f>IF(AG2513="","",INDEX('quitado Despesa'!$G$1:$G$12,AG2513))</f>
        <v/>
      </c>
      <c r="AJ2513" s="17" t="str">
        <f t="shared" si="3"/>
        <v/>
      </c>
    </row>
    <row r="2514" spans="31:36">
      <c r="AE2514" s="15" t="str">
        <f t="shared" si="0"/>
        <v/>
      </c>
      <c r="AF2514" s="15" t="str">
        <f t="shared" si="1"/>
        <v/>
      </c>
      <c r="AG2514" s="15" t="str">
        <f>IF(OR(AF2514="",AF2514="ERRO_CHAVE"),"",IFERROR(MATCH(AF2514,'quitado Despesa'!$V$1:$V$12,0),""))</f>
        <v/>
      </c>
      <c r="AH2514" s="15" t="str">
        <f t="shared" si="2"/>
        <v/>
      </c>
      <c r="AI2514" s="17" t="str">
        <f>IF(AG2514="","",INDEX('quitado Despesa'!$G$1:$G$12,AG2514))</f>
        <v/>
      </c>
      <c r="AJ2514" s="17" t="str">
        <f t="shared" si="3"/>
        <v/>
      </c>
    </row>
    <row r="2515" spans="31:36">
      <c r="AE2515" s="15" t="str">
        <f t="shared" si="0"/>
        <v/>
      </c>
      <c r="AF2515" s="15" t="str">
        <f t="shared" si="1"/>
        <v/>
      </c>
      <c r="AG2515" s="15" t="str">
        <f>IF(OR(AF2515="",AF2515="ERRO_CHAVE"),"",IFERROR(MATCH(AF2515,'quitado Despesa'!$V$1:$V$12,0),""))</f>
        <v/>
      </c>
      <c r="AH2515" s="15" t="str">
        <f t="shared" si="2"/>
        <v/>
      </c>
      <c r="AI2515" s="17" t="str">
        <f>IF(AG2515="","",INDEX('quitado Despesa'!$G$1:$G$12,AG2515))</f>
        <v/>
      </c>
      <c r="AJ2515" s="17" t="str">
        <f t="shared" si="3"/>
        <v/>
      </c>
    </row>
    <row r="2516" spans="31:36">
      <c r="AE2516" s="15" t="str">
        <f t="shared" si="0"/>
        <v/>
      </c>
      <c r="AF2516" s="15" t="str">
        <f t="shared" si="1"/>
        <v/>
      </c>
      <c r="AG2516" s="15" t="str">
        <f>IF(OR(AF2516="",AF2516="ERRO_CHAVE"),"",IFERROR(MATCH(AF2516,'quitado Despesa'!$V$1:$V$12,0),""))</f>
        <v/>
      </c>
      <c r="AH2516" s="15" t="str">
        <f t="shared" si="2"/>
        <v/>
      </c>
      <c r="AI2516" s="17" t="str">
        <f>IF(AG2516="","",INDEX('quitado Despesa'!$G$1:$G$12,AG2516))</f>
        <v/>
      </c>
      <c r="AJ2516" s="17" t="str">
        <f t="shared" si="3"/>
        <v/>
      </c>
    </row>
    <row r="2517" spans="31:36">
      <c r="AE2517" s="15" t="str">
        <f t="shared" si="0"/>
        <v/>
      </c>
      <c r="AF2517" s="15" t="str">
        <f t="shared" si="1"/>
        <v/>
      </c>
      <c r="AG2517" s="15" t="str">
        <f>IF(OR(AF2517="",AF2517="ERRO_CHAVE"),"",IFERROR(MATCH(AF2517,'quitado Despesa'!$V$1:$V$12,0),""))</f>
        <v/>
      </c>
      <c r="AH2517" s="15" t="str">
        <f t="shared" si="2"/>
        <v/>
      </c>
      <c r="AI2517" s="17" t="str">
        <f>IF(AG2517="","",INDEX('quitado Despesa'!$G$1:$G$12,AG2517))</f>
        <v/>
      </c>
      <c r="AJ2517" s="17" t="str">
        <f t="shared" si="3"/>
        <v/>
      </c>
    </row>
    <row r="2518" spans="31:36">
      <c r="AE2518" s="15" t="str">
        <f t="shared" si="0"/>
        <v/>
      </c>
      <c r="AF2518" s="15" t="str">
        <f t="shared" si="1"/>
        <v/>
      </c>
      <c r="AG2518" s="15" t="str">
        <f>IF(OR(AF2518="",AF2518="ERRO_CHAVE"),"",IFERROR(MATCH(AF2518,'quitado Despesa'!$V$1:$V$12,0),""))</f>
        <v/>
      </c>
      <c r="AH2518" s="15" t="str">
        <f t="shared" si="2"/>
        <v/>
      </c>
      <c r="AI2518" s="17" t="str">
        <f>IF(AG2518="","",INDEX('quitado Despesa'!$G$1:$G$12,AG2518))</f>
        <v/>
      </c>
      <c r="AJ2518" s="17" t="str">
        <f t="shared" si="3"/>
        <v/>
      </c>
    </row>
    <row r="2519" spans="31:36">
      <c r="AE2519" s="15" t="str">
        <f t="shared" si="0"/>
        <v/>
      </c>
      <c r="AF2519" s="15" t="str">
        <f t="shared" si="1"/>
        <v/>
      </c>
      <c r="AG2519" s="15" t="str">
        <f>IF(OR(AF2519="",AF2519="ERRO_CHAVE"),"",IFERROR(MATCH(AF2519,'quitado Despesa'!$V$1:$V$12,0),""))</f>
        <v/>
      </c>
      <c r="AH2519" s="15" t="str">
        <f t="shared" si="2"/>
        <v/>
      </c>
      <c r="AI2519" s="17" t="str">
        <f>IF(AG2519="","",INDEX('quitado Despesa'!$G$1:$G$12,AG2519))</f>
        <v/>
      </c>
      <c r="AJ2519" s="17" t="str">
        <f t="shared" si="3"/>
        <v/>
      </c>
    </row>
    <row r="2520" spans="31:36">
      <c r="AE2520" s="15" t="str">
        <f t="shared" si="0"/>
        <v/>
      </c>
      <c r="AF2520" s="15" t="str">
        <f t="shared" si="1"/>
        <v/>
      </c>
      <c r="AG2520" s="15" t="str">
        <f>IF(OR(AF2520="",AF2520="ERRO_CHAVE"),"",IFERROR(MATCH(AF2520,'quitado Despesa'!$V$1:$V$12,0),""))</f>
        <v/>
      </c>
      <c r="AH2520" s="15" t="str">
        <f t="shared" si="2"/>
        <v/>
      </c>
      <c r="AI2520" s="17" t="str">
        <f>IF(AG2520="","",INDEX('quitado Despesa'!$G$1:$G$12,AG2520))</f>
        <v/>
      </c>
      <c r="AJ2520" s="17" t="str">
        <f t="shared" si="3"/>
        <v/>
      </c>
    </row>
    <row r="2521" spans="31:36">
      <c r="AE2521" s="15" t="str">
        <f t="shared" si="0"/>
        <v/>
      </c>
      <c r="AF2521" s="15" t="str">
        <f t="shared" si="1"/>
        <v/>
      </c>
      <c r="AG2521" s="15" t="str">
        <f>IF(OR(AF2521="",AF2521="ERRO_CHAVE"),"",IFERROR(MATCH(AF2521,'quitado Despesa'!$V$1:$V$12,0),""))</f>
        <v/>
      </c>
      <c r="AH2521" s="15" t="str">
        <f t="shared" si="2"/>
        <v/>
      </c>
      <c r="AI2521" s="17" t="str">
        <f>IF(AG2521="","",INDEX('quitado Despesa'!$G$1:$G$12,AG2521))</f>
        <v/>
      </c>
      <c r="AJ2521" s="17" t="str">
        <f t="shared" si="3"/>
        <v/>
      </c>
    </row>
    <row r="2522" spans="31:36">
      <c r="AE2522" s="15" t="str">
        <f t="shared" si="0"/>
        <v/>
      </c>
      <c r="AF2522" s="15" t="str">
        <f t="shared" si="1"/>
        <v/>
      </c>
      <c r="AG2522" s="15" t="str">
        <f>IF(OR(AF2522="",AF2522="ERRO_CHAVE"),"",IFERROR(MATCH(AF2522,'quitado Despesa'!$V$1:$V$12,0),""))</f>
        <v/>
      </c>
      <c r="AH2522" s="15" t="str">
        <f t="shared" si="2"/>
        <v/>
      </c>
      <c r="AI2522" s="17" t="str">
        <f>IF(AG2522="","",INDEX('quitado Despesa'!$G$1:$G$12,AG2522))</f>
        <v/>
      </c>
      <c r="AJ2522" s="17" t="str">
        <f t="shared" si="3"/>
        <v/>
      </c>
    </row>
    <row r="2523" spans="31:36">
      <c r="AE2523" s="15" t="str">
        <f t="shared" si="0"/>
        <v/>
      </c>
      <c r="AF2523" s="15" t="str">
        <f t="shared" si="1"/>
        <v/>
      </c>
      <c r="AG2523" s="15" t="str">
        <f>IF(OR(AF2523="",AF2523="ERRO_CHAVE"),"",IFERROR(MATCH(AF2523,'quitado Despesa'!$V$1:$V$12,0),""))</f>
        <v/>
      </c>
      <c r="AH2523" s="15" t="str">
        <f t="shared" si="2"/>
        <v/>
      </c>
      <c r="AI2523" s="17" t="str">
        <f>IF(AG2523="","",INDEX('quitado Despesa'!$G$1:$G$12,AG2523))</f>
        <v/>
      </c>
      <c r="AJ2523" s="17" t="str">
        <f t="shared" si="3"/>
        <v/>
      </c>
    </row>
    <row r="2524" spans="31:36">
      <c r="AE2524" s="15" t="str">
        <f t="shared" si="0"/>
        <v/>
      </c>
      <c r="AF2524" s="15" t="str">
        <f t="shared" si="1"/>
        <v/>
      </c>
      <c r="AG2524" s="15" t="str">
        <f>IF(OR(AF2524="",AF2524="ERRO_CHAVE"),"",IFERROR(MATCH(AF2524,'quitado Despesa'!$V$1:$V$12,0),""))</f>
        <v/>
      </c>
      <c r="AH2524" s="15" t="str">
        <f t="shared" si="2"/>
        <v/>
      </c>
      <c r="AI2524" s="17" t="str">
        <f>IF(AG2524="","",INDEX('quitado Despesa'!$G$1:$G$12,AG2524))</f>
        <v/>
      </c>
      <c r="AJ2524" s="17" t="str">
        <f t="shared" si="3"/>
        <v/>
      </c>
    </row>
    <row r="2525" spans="31:36">
      <c r="AE2525" s="15" t="str">
        <f t="shared" si="0"/>
        <v/>
      </c>
      <c r="AF2525" s="15" t="str">
        <f t="shared" si="1"/>
        <v/>
      </c>
      <c r="AG2525" s="15" t="str">
        <f>IF(OR(AF2525="",AF2525="ERRO_CHAVE"),"",IFERROR(MATCH(AF2525,'quitado Despesa'!$V$1:$V$12,0),""))</f>
        <v/>
      </c>
      <c r="AH2525" s="15" t="str">
        <f t="shared" si="2"/>
        <v/>
      </c>
      <c r="AI2525" s="17" t="str">
        <f>IF(AG2525="","",INDEX('quitado Despesa'!$G$1:$G$12,AG2525))</f>
        <v/>
      </c>
      <c r="AJ2525" s="17" t="str">
        <f t="shared" si="3"/>
        <v/>
      </c>
    </row>
    <row r="2526" spans="31:36">
      <c r="AE2526" s="15" t="str">
        <f t="shared" si="0"/>
        <v/>
      </c>
      <c r="AF2526" s="15" t="str">
        <f t="shared" si="1"/>
        <v/>
      </c>
      <c r="AG2526" s="15" t="str">
        <f>IF(OR(AF2526="",AF2526="ERRO_CHAVE"),"",IFERROR(MATCH(AF2526,'quitado Despesa'!$V$1:$V$12,0),""))</f>
        <v/>
      </c>
      <c r="AH2526" s="15" t="str">
        <f t="shared" si="2"/>
        <v/>
      </c>
      <c r="AI2526" s="17" t="str">
        <f>IF(AG2526="","",INDEX('quitado Despesa'!$G$1:$G$12,AG2526))</f>
        <v/>
      </c>
      <c r="AJ2526" s="17" t="str">
        <f t="shared" si="3"/>
        <v/>
      </c>
    </row>
    <row r="2527" spans="31:36">
      <c r="AE2527" s="15" t="str">
        <f t="shared" si="0"/>
        <v/>
      </c>
      <c r="AF2527" s="15" t="str">
        <f t="shared" si="1"/>
        <v/>
      </c>
      <c r="AG2527" s="15" t="str">
        <f>IF(OR(AF2527="",AF2527="ERRO_CHAVE"),"",IFERROR(MATCH(AF2527,'quitado Despesa'!$V$1:$V$12,0),""))</f>
        <v/>
      </c>
      <c r="AH2527" s="15" t="str">
        <f t="shared" si="2"/>
        <v/>
      </c>
      <c r="AI2527" s="17" t="str">
        <f>IF(AG2527="","",INDEX('quitado Despesa'!$G$1:$G$12,AG2527))</f>
        <v/>
      </c>
      <c r="AJ2527" s="17" t="str">
        <f t="shared" si="3"/>
        <v/>
      </c>
    </row>
    <row r="2528" spans="31:36">
      <c r="AE2528" s="15" t="str">
        <f t="shared" si="0"/>
        <v/>
      </c>
      <c r="AF2528" s="15" t="str">
        <f t="shared" si="1"/>
        <v/>
      </c>
      <c r="AG2528" s="15" t="str">
        <f>IF(OR(AF2528="",AF2528="ERRO_CHAVE"),"",IFERROR(MATCH(AF2528,'quitado Despesa'!$V$1:$V$12,0),""))</f>
        <v/>
      </c>
      <c r="AH2528" s="15" t="str">
        <f t="shared" si="2"/>
        <v/>
      </c>
      <c r="AI2528" s="17" t="str">
        <f>IF(AG2528="","",INDEX('quitado Despesa'!$G$1:$G$12,AG2528))</f>
        <v/>
      </c>
      <c r="AJ2528" s="17" t="str">
        <f t="shared" si="3"/>
        <v/>
      </c>
    </row>
    <row r="2529" spans="31:36">
      <c r="AE2529" s="15" t="str">
        <f t="shared" si="0"/>
        <v/>
      </c>
      <c r="AF2529" s="15" t="str">
        <f t="shared" si="1"/>
        <v/>
      </c>
      <c r="AG2529" s="15" t="str">
        <f>IF(OR(AF2529="",AF2529="ERRO_CHAVE"),"",IFERROR(MATCH(AF2529,'quitado Despesa'!$V$1:$V$12,0),""))</f>
        <v/>
      </c>
      <c r="AH2529" s="15" t="str">
        <f t="shared" si="2"/>
        <v/>
      </c>
      <c r="AI2529" s="17" t="str">
        <f>IF(AG2529="","",INDEX('quitado Despesa'!$G$1:$G$12,AG2529))</f>
        <v/>
      </c>
      <c r="AJ2529" s="17" t="str">
        <f t="shared" si="3"/>
        <v/>
      </c>
    </row>
    <row r="2530" spans="31:36">
      <c r="AE2530" s="15" t="str">
        <f t="shared" si="0"/>
        <v/>
      </c>
      <c r="AF2530" s="15" t="str">
        <f t="shared" si="1"/>
        <v/>
      </c>
      <c r="AG2530" s="15" t="str">
        <f>IF(OR(AF2530="",AF2530="ERRO_CHAVE"),"",IFERROR(MATCH(AF2530,'quitado Despesa'!$V$1:$V$12,0),""))</f>
        <v/>
      </c>
      <c r="AH2530" s="15" t="str">
        <f t="shared" si="2"/>
        <v/>
      </c>
      <c r="AI2530" s="17" t="str">
        <f>IF(AG2530="","",INDEX('quitado Despesa'!$G$1:$G$12,AG2530))</f>
        <v/>
      </c>
      <c r="AJ2530" s="17" t="str">
        <f t="shared" si="3"/>
        <v/>
      </c>
    </row>
    <row r="2531" spans="31:36">
      <c r="AE2531" s="15" t="str">
        <f t="shared" si="0"/>
        <v/>
      </c>
      <c r="AF2531" s="15" t="str">
        <f t="shared" si="1"/>
        <v/>
      </c>
      <c r="AG2531" s="15" t="str">
        <f>IF(OR(AF2531="",AF2531="ERRO_CHAVE"),"",IFERROR(MATCH(AF2531,'quitado Despesa'!$V$1:$V$12,0),""))</f>
        <v/>
      </c>
      <c r="AH2531" s="15" t="str">
        <f t="shared" si="2"/>
        <v/>
      </c>
      <c r="AI2531" s="17" t="str">
        <f>IF(AG2531="","",INDEX('quitado Despesa'!$G$1:$G$12,AG2531))</f>
        <v/>
      </c>
      <c r="AJ2531" s="17" t="str">
        <f t="shared" si="3"/>
        <v/>
      </c>
    </row>
    <row r="2532" spans="31:36">
      <c r="AE2532" s="15" t="str">
        <f t="shared" si="0"/>
        <v/>
      </c>
      <c r="AF2532" s="15" t="str">
        <f t="shared" si="1"/>
        <v/>
      </c>
      <c r="AG2532" s="15" t="str">
        <f>IF(OR(AF2532="",AF2532="ERRO_CHAVE"),"",IFERROR(MATCH(AF2532,'quitado Despesa'!$V$1:$V$12,0),""))</f>
        <v/>
      </c>
      <c r="AH2532" s="15" t="str">
        <f t="shared" si="2"/>
        <v/>
      </c>
      <c r="AI2532" s="17" t="str">
        <f>IF(AG2532="","",INDEX('quitado Despesa'!$G$1:$G$12,AG2532))</f>
        <v/>
      </c>
      <c r="AJ2532" s="17" t="str">
        <f t="shared" si="3"/>
        <v/>
      </c>
    </row>
    <row r="2533" spans="31:36">
      <c r="AE2533" s="15" t="str">
        <f t="shared" si="0"/>
        <v/>
      </c>
      <c r="AF2533" s="15" t="str">
        <f t="shared" si="1"/>
        <v/>
      </c>
      <c r="AG2533" s="15" t="str">
        <f>IF(OR(AF2533="",AF2533="ERRO_CHAVE"),"",IFERROR(MATCH(AF2533,'quitado Despesa'!$V$1:$V$12,0),""))</f>
        <v/>
      </c>
      <c r="AH2533" s="15" t="str">
        <f t="shared" si="2"/>
        <v/>
      </c>
      <c r="AI2533" s="17" t="str">
        <f>IF(AG2533="","",INDEX('quitado Despesa'!$G$1:$G$12,AG2533))</f>
        <v/>
      </c>
      <c r="AJ2533" s="17" t="str">
        <f t="shared" si="3"/>
        <v/>
      </c>
    </row>
    <row r="2534" spans="31:36">
      <c r="AE2534" s="15" t="str">
        <f t="shared" si="0"/>
        <v/>
      </c>
      <c r="AF2534" s="15" t="str">
        <f t="shared" si="1"/>
        <v/>
      </c>
      <c r="AG2534" s="15" t="str">
        <f>IF(OR(AF2534="",AF2534="ERRO_CHAVE"),"",IFERROR(MATCH(AF2534,'quitado Despesa'!$V$1:$V$12,0),""))</f>
        <v/>
      </c>
      <c r="AH2534" s="15" t="str">
        <f t="shared" si="2"/>
        <v/>
      </c>
      <c r="AI2534" s="17" t="str">
        <f>IF(AG2534="","",INDEX('quitado Despesa'!$G$1:$G$12,AG2534))</f>
        <v/>
      </c>
      <c r="AJ2534" s="17" t="str">
        <f t="shared" si="3"/>
        <v/>
      </c>
    </row>
    <row r="2535" spans="31:36">
      <c r="AE2535" s="15" t="str">
        <f t="shared" si="0"/>
        <v/>
      </c>
      <c r="AF2535" s="15" t="str">
        <f t="shared" si="1"/>
        <v/>
      </c>
      <c r="AG2535" s="15" t="str">
        <f>IF(OR(AF2535="",AF2535="ERRO_CHAVE"),"",IFERROR(MATCH(AF2535,'quitado Despesa'!$V$1:$V$12,0),""))</f>
        <v/>
      </c>
      <c r="AH2535" s="15" t="str">
        <f t="shared" si="2"/>
        <v/>
      </c>
      <c r="AI2535" s="17" t="str">
        <f>IF(AG2535="","",INDEX('quitado Despesa'!$G$1:$G$12,AG2535))</f>
        <v/>
      </c>
      <c r="AJ2535" s="17" t="str">
        <f t="shared" si="3"/>
        <v/>
      </c>
    </row>
    <row r="2536" spans="31:36">
      <c r="AE2536" s="15" t="str">
        <f t="shared" si="0"/>
        <v/>
      </c>
      <c r="AF2536" s="15" t="str">
        <f t="shared" si="1"/>
        <v/>
      </c>
      <c r="AG2536" s="15" t="str">
        <f>IF(OR(AF2536="",AF2536="ERRO_CHAVE"),"",IFERROR(MATCH(AF2536,'quitado Despesa'!$V$1:$V$12,0),""))</f>
        <v/>
      </c>
      <c r="AH2536" s="15" t="str">
        <f t="shared" si="2"/>
        <v/>
      </c>
      <c r="AI2536" s="17" t="str">
        <f>IF(AG2536="","",INDEX('quitado Despesa'!$G$1:$G$12,AG2536))</f>
        <v/>
      </c>
      <c r="AJ2536" s="17" t="str">
        <f t="shared" si="3"/>
        <v/>
      </c>
    </row>
    <row r="2537" spans="31:36">
      <c r="AE2537" s="15" t="str">
        <f t="shared" si="0"/>
        <v/>
      </c>
      <c r="AF2537" s="15" t="str">
        <f t="shared" si="1"/>
        <v/>
      </c>
      <c r="AG2537" s="15" t="str">
        <f>IF(OR(AF2537="",AF2537="ERRO_CHAVE"),"",IFERROR(MATCH(AF2537,'quitado Despesa'!$V$1:$V$12,0),""))</f>
        <v/>
      </c>
      <c r="AH2537" s="15" t="str">
        <f t="shared" si="2"/>
        <v/>
      </c>
      <c r="AI2537" s="17" t="str">
        <f>IF(AG2537="","",INDEX('quitado Despesa'!$G$1:$G$12,AG2537))</f>
        <v/>
      </c>
      <c r="AJ2537" s="17" t="str">
        <f t="shared" si="3"/>
        <v/>
      </c>
    </row>
    <row r="2538" spans="31:36">
      <c r="AE2538" s="15" t="str">
        <f t="shared" si="0"/>
        <v/>
      </c>
      <c r="AF2538" s="15" t="str">
        <f t="shared" si="1"/>
        <v/>
      </c>
      <c r="AG2538" s="15" t="str">
        <f>IF(OR(AF2538="",AF2538="ERRO_CHAVE"),"",IFERROR(MATCH(AF2538,'quitado Despesa'!$V$1:$V$12,0),""))</f>
        <v/>
      </c>
      <c r="AH2538" s="15" t="str">
        <f t="shared" si="2"/>
        <v/>
      </c>
      <c r="AI2538" s="17" t="str">
        <f>IF(AG2538="","",INDEX('quitado Despesa'!$G$1:$G$12,AG2538))</f>
        <v/>
      </c>
      <c r="AJ2538" s="17" t="str">
        <f t="shared" si="3"/>
        <v/>
      </c>
    </row>
    <row r="2539" spans="31:36">
      <c r="AE2539" s="15" t="str">
        <f t="shared" si="0"/>
        <v/>
      </c>
      <c r="AF2539" s="15" t="str">
        <f t="shared" si="1"/>
        <v/>
      </c>
      <c r="AG2539" s="15" t="str">
        <f>IF(OR(AF2539="",AF2539="ERRO_CHAVE"),"",IFERROR(MATCH(AF2539,'quitado Despesa'!$V$1:$V$12,0),""))</f>
        <v/>
      </c>
      <c r="AH2539" s="15" t="str">
        <f t="shared" si="2"/>
        <v/>
      </c>
      <c r="AI2539" s="17" t="str">
        <f>IF(AG2539="","",INDEX('quitado Despesa'!$G$1:$G$12,AG2539))</f>
        <v/>
      </c>
      <c r="AJ2539" s="17" t="str">
        <f t="shared" si="3"/>
        <v/>
      </c>
    </row>
    <row r="2540" spans="31:36">
      <c r="AE2540" s="15" t="str">
        <f t="shared" si="0"/>
        <v/>
      </c>
      <c r="AF2540" s="15" t="str">
        <f t="shared" si="1"/>
        <v/>
      </c>
      <c r="AG2540" s="15" t="str">
        <f>IF(OR(AF2540="",AF2540="ERRO_CHAVE"),"",IFERROR(MATCH(AF2540,'quitado Despesa'!$V$1:$V$12,0),""))</f>
        <v/>
      </c>
      <c r="AH2540" s="15" t="str">
        <f t="shared" si="2"/>
        <v/>
      </c>
      <c r="AI2540" s="17" t="str">
        <f>IF(AG2540="","",INDEX('quitado Despesa'!$G$1:$G$12,AG2540))</f>
        <v/>
      </c>
      <c r="AJ2540" s="17" t="str">
        <f t="shared" si="3"/>
        <v/>
      </c>
    </row>
    <row r="2541" spans="31:36">
      <c r="AE2541" s="15" t="str">
        <f t="shared" si="0"/>
        <v/>
      </c>
      <c r="AF2541" s="15" t="str">
        <f t="shared" si="1"/>
        <v/>
      </c>
      <c r="AG2541" s="15" t="str">
        <f>IF(OR(AF2541="",AF2541="ERRO_CHAVE"),"",IFERROR(MATCH(AF2541,'quitado Despesa'!$V$1:$V$12,0),""))</f>
        <v/>
      </c>
      <c r="AH2541" s="15" t="str">
        <f t="shared" si="2"/>
        <v/>
      </c>
      <c r="AI2541" s="17" t="str">
        <f>IF(AG2541="","",INDEX('quitado Despesa'!$G$1:$G$12,AG2541))</f>
        <v/>
      </c>
      <c r="AJ2541" s="17" t="str">
        <f t="shared" si="3"/>
        <v/>
      </c>
    </row>
    <row r="2542" spans="31:36">
      <c r="AE2542" s="15" t="str">
        <f t="shared" si="0"/>
        <v/>
      </c>
      <c r="AF2542" s="15" t="str">
        <f t="shared" si="1"/>
        <v/>
      </c>
      <c r="AG2542" s="15" t="str">
        <f>IF(OR(AF2542="",AF2542="ERRO_CHAVE"),"",IFERROR(MATCH(AF2542,'quitado Despesa'!$V$1:$V$12,0),""))</f>
        <v/>
      </c>
      <c r="AH2542" s="15" t="str">
        <f t="shared" si="2"/>
        <v/>
      </c>
      <c r="AI2542" s="17" t="str">
        <f>IF(AG2542="","",INDEX('quitado Despesa'!$G$1:$G$12,AG2542))</f>
        <v/>
      </c>
      <c r="AJ2542" s="17" t="str">
        <f t="shared" si="3"/>
        <v/>
      </c>
    </row>
    <row r="2543" spans="31:36">
      <c r="AE2543" s="15" t="str">
        <f t="shared" si="0"/>
        <v/>
      </c>
      <c r="AF2543" s="15" t="str">
        <f t="shared" si="1"/>
        <v/>
      </c>
      <c r="AG2543" s="15" t="str">
        <f>IF(OR(AF2543="",AF2543="ERRO_CHAVE"),"",IFERROR(MATCH(AF2543,'quitado Despesa'!$V$1:$V$12,0),""))</f>
        <v/>
      </c>
      <c r="AH2543" s="15" t="str">
        <f t="shared" si="2"/>
        <v/>
      </c>
      <c r="AI2543" s="17" t="str">
        <f>IF(AG2543="","",INDEX('quitado Despesa'!$G$1:$G$12,AG2543))</f>
        <v/>
      </c>
      <c r="AJ2543" s="17" t="str">
        <f t="shared" si="3"/>
        <v/>
      </c>
    </row>
    <row r="2544" spans="31:36">
      <c r="AE2544" s="15" t="str">
        <f t="shared" si="0"/>
        <v/>
      </c>
      <c r="AF2544" s="15" t="str">
        <f t="shared" si="1"/>
        <v/>
      </c>
      <c r="AG2544" s="15" t="str">
        <f>IF(OR(AF2544="",AF2544="ERRO_CHAVE"),"",IFERROR(MATCH(AF2544,'quitado Despesa'!$V$1:$V$12,0),""))</f>
        <v/>
      </c>
      <c r="AH2544" s="15" t="str">
        <f t="shared" si="2"/>
        <v/>
      </c>
      <c r="AI2544" s="17" t="str">
        <f>IF(AG2544="","",INDEX('quitado Despesa'!$G$1:$G$12,AG2544))</f>
        <v/>
      </c>
      <c r="AJ2544" s="17" t="str">
        <f t="shared" si="3"/>
        <v/>
      </c>
    </row>
    <row r="2545" spans="31:36">
      <c r="AE2545" s="15" t="str">
        <f t="shared" si="0"/>
        <v/>
      </c>
      <c r="AF2545" s="15" t="str">
        <f t="shared" si="1"/>
        <v/>
      </c>
      <c r="AG2545" s="15" t="str">
        <f>IF(OR(AF2545="",AF2545="ERRO_CHAVE"),"",IFERROR(MATCH(AF2545,'quitado Despesa'!$V$1:$V$12,0),""))</f>
        <v/>
      </c>
      <c r="AH2545" s="15" t="str">
        <f t="shared" si="2"/>
        <v/>
      </c>
      <c r="AI2545" s="17" t="str">
        <f>IF(AG2545="","",INDEX('quitado Despesa'!$G$1:$G$12,AG2545))</f>
        <v/>
      </c>
      <c r="AJ2545" s="17" t="str">
        <f t="shared" si="3"/>
        <v/>
      </c>
    </row>
    <row r="2546" spans="31:36">
      <c r="AE2546" s="15" t="str">
        <f t="shared" si="0"/>
        <v/>
      </c>
      <c r="AF2546" s="15" t="str">
        <f t="shared" si="1"/>
        <v/>
      </c>
      <c r="AG2546" s="15" t="str">
        <f>IF(OR(AF2546="",AF2546="ERRO_CHAVE"),"",IFERROR(MATCH(AF2546,'quitado Despesa'!$V$1:$V$12,0),""))</f>
        <v/>
      </c>
      <c r="AH2546" s="15" t="str">
        <f t="shared" si="2"/>
        <v/>
      </c>
      <c r="AI2546" s="17" t="str">
        <f>IF(AG2546="","",INDEX('quitado Despesa'!$G$1:$G$12,AG2546))</f>
        <v/>
      </c>
      <c r="AJ2546" s="17" t="str">
        <f t="shared" si="3"/>
        <v/>
      </c>
    </row>
    <row r="2547" spans="31:36">
      <c r="AE2547" s="15" t="str">
        <f t="shared" si="0"/>
        <v/>
      </c>
      <c r="AF2547" s="15" t="str">
        <f t="shared" si="1"/>
        <v/>
      </c>
      <c r="AG2547" s="15" t="str">
        <f>IF(OR(AF2547="",AF2547="ERRO_CHAVE"),"",IFERROR(MATCH(AF2547,'quitado Despesa'!$V$1:$V$12,0),""))</f>
        <v/>
      </c>
      <c r="AH2547" s="15" t="str">
        <f t="shared" si="2"/>
        <v/>
      </c>
      <c r="AI2547" s="17" t="str">
        <f>IF(AG2547="","",INDEX('quitado Despesa'!$G$1:$G$12,AG2547))</f>
        <v/>
      </c>
      <c r="AJ2547" s="17" t="str">
        <f t="shared" si="3"/>
        <v/>
      </c>
    </row>
    <row r="2548" spans="31:36">
      <c r="AE2548" s="15" t="str">
        <f t="shared" si="0"/>
        <v/>
      </c>
      <c r="AF2548" s="15" t="str">
        <f t="shared" si="1"/>
        <v/>
      </c>
      <c r="AG2548" s="15" t="str">
        <f>IF(OR(AF2548="",AF2548="ERRO_CHAVE"),"",IFERROR(MATCH(AF2548,'quitado Despesa'!$V$1:$V$12,0),""))</f>
        <v/>
      </c>
      <c r="AH2548" s="15" t="str">
        <f t="shared" si="2"/>
        <v/>
      </c>
      <c r="AI2548" s="17" t="str">
        <f>IF(AG2548="","",INDEX('quitado Despesa'!$G$1:$G$12,AG2548))</f>
        <v/>
      </c>
      <c r="AJ2548" s="17" t="str">
        <f t="shared" si="3"/>
        <v/>
      </c>
    </row>
    <row r="2549" spans="31:36">
      <c r="AE2549" s="15" t="str">
        <f t="shared" si="0"/>
        <v/>
      </c>
      <c r="AF2549" s="15" t="str">
        <f t="shared" si="1"/>
        <v/>
      </c>
      <c r="AG2549" s="15" t="str">
        <f>IF(OR(AF2549="",AF2549="ERRO_CHAVE"),"",IFERROR(MATCH(AF2549,'quitado Despesa'!$V$1:$V$12,0),""))</f>
        <v/>
      </c>
      <c r="AH2549" s="15" t="str">
        <f t="shared" si="2"/>
        <v/>
      </c>
      <c r="AI2549" s="17" t="str">
        <f>IF(AG2549="","",INDEX('quitado Despesa'!$G$1:$G$12,AG2549))</f>
        <v/>
      </c>
      <c r="AJ2549" s="17" t="str">
        <f t="shared" si="3"/>
        <v/>
      </c>
    </row>
    <row r="2550" spans="31:36">
      <c r="AE2550" s="15" t="str">
        <f t="shared" si="0"/>
        <v/>
      </c>
      <c r="AF2550" s="15" t="str">
        <f t="shared" si="1"/>
        <v/>
      </c>
      <c r="AG2550" s="15" t="str">
        <f>IF(OR(AF2550="",AF2550="ERRO_CHAVE"),"",IFERROR(MATCH(AF2550,'quitado Despesa'!$V$1:$V$12,0),""))</f>
        <v/>
      </c>
      <c r="AH2550" s="15" t="str">
        <f t="shared" si="2"/>
        <v/>
      </c>
      <c r="AI2550" s="17" t="str">
        <f>IF(AG2550="","",INDEX('quitado Despesa'!$G$1:$G$12,AG2550))</f>
        <v/>
      </c>
      <c r="AJ2550" s="17" t="str">
        <f t="shared" si="3"/>
        <v/>
      </c>
    </row>
    <row r="2551" spans="31:36">
      <c r="AE2551" s="15" t="str">
        <f t="shared" si="0"/>
        <v/>
      </c>
      <c r="AF2551" s="15" t="str">
        <f t="shared" si="1"/>
        <v/>
      </c>
      <c r="AG2551" s="15" t="str">
        <f>IF(OR(AF2551="",AF2551="ERRO_CHAVE"),"",IFERROR(MATCH(AF2551,'quitado Despesa'!$V$1:$V$12,0),""))</f>
        <v/>
      </c>
      <c r="AH2551" s="15" t="str">
        <f t="shared" si="2"/>
        <v/>
      </c>
      <c r="AI2551" s="17" t="str">
        <f>IF(AG2551="","",INDEX('quitado Despesa'!$G$1:$G$12,AG2551))</f>
        <v/>
      </c>
      <c r="AJ2551" s="17" t="str">
        <f t="shared" si="3"/>
        <v/>
      </c>
    </row>
    <row r="2552" spans="31:36">
      <c r="AE2552" s="15" t="str">
        <f t="shared" si="0"/>
        <v/>
      </c>
      <c r="AF2552" s="15" t="str">
        <f t="shared" si="1"/>
        <v/>
      </c>
      <c r="AG2552" s="15" t="str">
        <f>IF(OR(AF2552="",AF2552="ERRO_CHAVE"),"",IFERROR(MATCH(AF2552,'quitado Despesa'!$V$1:$V$12,0),""))</f>
        <v/>
      </c>
      <c r="AH2552" s="15" t="str">
        <f t="shared" si="2"/>
        <v/>
      </c>
      <c r="AI2552" s="17" t="str">
        <f>IF(AG2552="","",INDEX('quitado Despesa'!$G$1:$G$12,AG2552))</f>
        <v/>
      </c>
      <c r="AJ2552" s="17" t="str">
        <f t="shared" si="3"/>
        <v/>
      </c>
    </row>
    <row r="2553" spans="31:36">
      <c r="AE2553" s="15" t="str">
        <f t="shared" si="0"/>
        <v/>
      </c>
      <c r="AF2553" s="15" t="str">
        <f t="shared" si="1"/>
        <v/>
      </c>
      <c r="AG2553" s="15" t="str">
        <f>IF(OR(AF2553="",AF2553="ERRO_CHAVE"),"",IFERROR(MATCH(AF2553,'quitado Despesa'!$V$1:$V$12,0),""))</f>
        <v/>
      </c>
      <c r="AH2553" s="15" t="str">
        <f t="shared" si="2"/>
        <v/>
      </c>
      <c r="AI2553" s="17" t="str">
        <f>IF(AG2553="","",INDEX('quitado Despesa'!$G$1:$G$12,AG2553))</f>
        <v/>
      </c>
      <c r="AJ2553" s="17" t="str">
        <f t="shared" si="3"/>
        <v/>
      </c>
    </row>
    <row r="2554" spans="31:36">
      <c r="AE2554" s="15" t="str">
        <f t="shared" si="0"/>
        <v/>
      </c>
      <c r="AF2554" s="15" t="str">
        <f t="shared" si="1"/>
        <v/>
      </c>
      <c r="AG2554" s="15" t="str">
        <f>IF(OR(AF2554="",AF2554="ERRO_CHAVE"),"",IFERROR(MATCH(AF2554,'quitado Despesa'!$V$1:$V$12,0),""))</f>
        <v/>
      </c>
      <c r="AH2554" s="15" t="str">
        <f t="shared" si="2"/>
        <v/>
      </c>
      <c r="AI2554" s="17" t="str">
        <f>IF(AG2554="","",INDEX('quitado Despesa'!$G$1:$G$12,AG2554))</f>
        <v/>
      </c>
      <c r="AJ2554" s="17" t="str">
        <f t="shared" si="3"/>
        <v/>
      </c>
    </row>
    <row r="2555" spans="31:36">
      <c r="AE2555" s="15" t="str">
        <f t="shared" si="0"/>
        <v/>
      </c>
      <c r="AF2555" s="15" t="str">
        <f t="shared" si="1"/>
        <v/>
      </c>
      <c r="AG2555" s="15" t="str">
        <f>IF(OR(AF2555="",AF2555="ERRO_CHAVE"),"",IFERROR(MATCH(AF2555,'quitado Despesa'!$V$1:$V$12,0),""))</f>
        <v/>
      </c>
      <c r="AH2555" s="15" t="str">
        <f t="shared" si="2"/>
        <v/>
      </c>
      <c r="AI2555" s="17" t="str">
        <f>IF(AG2555="","",INDEX('quitado Despesa'!$G$1:$G$12,AG2555))</f>
        <v/>
      </c>
      <c r="AJ2555" s="17" t="str">
        <f t="shared" si="3"/>
        <v/>
      </c>
    </row>
    <row r="2556" spans="31:36">
      <c r="AE2556" s="15" t="str">
        <f t="shared" si="0"/>
        <v/>
      </c>
      <c r="AF2556" s="15" t="str">
        <f t="shared" si="1"/>
        <v/>
      </c>
      <c r="AG2556" s="15" t="str">
        <f>IF(OR(AF2556="",AF2556="ERRO_CHAVE"),"",IFERROR(MATCH(AF2556,'quitado Despesa'!$V$1:$V$12,0),""))</f>
        <v/>
      </c>
      <c r="AH2556" s="15" t="str">
        <f t="shared" si="2"/>
        <v/>
      </c>
      <c r="AI2556" s="17" t="str">
        <f>IF(AG2556="","",INDEX('quitado Despesa'!$G$1:$G$12,AG2556))</f>
        <v/>
      </c>
      <c r="AJ2556" s="17" t="str">
        <f t="shared" si="3"/>
        <v/>
      </c>
    </row>
    <row r="2557" spans="31:36">
      <c r="AE2557" s="15" t="str">
        <f t="shared" si="0"/>
        <v/>
      </c>
      <c r="AF2557" s="15" t="str">
        <f t="shared" si="1"/>
        <v/>
      </c>
      <c r="AG2557" s="15" t="str">
        <f>IF(OR(AF2557="",AF2557="ERRO_CHAVE"),"",IFERROR(MATCH(AF2557,'quitado Despesa'!$V$1:$V$12,0),""))</f>
        <v/>
      </c>
      <c r="AH2557" s="15" t="str">
        <f t="shared" si="2"/>
        <v/>
      </c>
      <c r="AI2557" s="17" t="str">
        <f>IF(AG2557="","",INDEX('quitado Despesa'!$G$1:$G$12,AG2557))</f>
        <v/>
      </c>
      <c r="AJ2557" s="17" t="str">
        <f t="shared" si="3"/>
        <v/>
      </c>
    </row>
    <row r="2558" spans="31:36">
      <c r="AE2558" s="15" t="str">
        <f t="shared" si="0"/>
        <v/>
      </c>
      <c r="AF2558" s="15" t="str">
        <f t="shared" si="1"/>
        <v/>
      </c>
      <c r="AG2558" s="15" t="str">
        <f>IF(OR(AF2558="",AF2558="ERRO_CHAVE"),"",IFERROR(MATCH(AF2558,'quitado Despesa'!$V$1:$V$12,0),""))</f>
        <v/>
      </c>
      <c r="AH2558" s="15" t="str">
        <f t="shared" si="2"/>
        <v/>
      </c>
      <c r="AI2558" s="17" t="str">
        <f>IF(AG2558="","",INDEX('quitado Despesa'!$G$1:$G$12,AG2558))</f>
        <v/>
      </c>
      <c r="AJ2558" s="17" t="str">
        <f t="shared" si="3"/>
        <v/>
      </c>
    </row>
    <row r="2559" spans="31:36">
      <c r="AE2559" s="15" t="str">
        <f t="shared" si="0"/>
        <v/>
      </c>
      <c r="AF2559" s="15" t="str">
        <f t="shared" si="1"/>
        <v/>
      </c>
      <c r="AG2559" s="15" t="str">
        <f>IF(OR(AF2559="",AF2559="ERRO_CHAVE"),"",IFERROR(MATCH(AF2559,'quitado Despesa'!$V$1:$V$12,0),""))</f>
        <v/>
      </c>
      <c r="AH2559" s="15" t="str">
        <f t="shared" si="2"/>
        <v/>
      </c>
      <c r="AI2559" s="17" t="str">
        <f>IF(AG2559="","",INDEX('quitado Despesa'!$G$1:$G$12,AG2559))</f>
        <v/>
      </c>
      <c r="AJ2559" s="17" t="str">
        <f t="shared" si="3"/>
        <v/>
      </c>
    </row>
    <row r="2560" spans="31:36">
      <c r="AE2560" s="15" t="str">
        <f t="shared" si="0"/>
        <v/>
      </c>
      <c r="AF2560" s="15" t="str">
        <f t="shared" si="1"/>
        <v/>
      </c>
      <c r="AG2560" s="15" t="str">
        <f>IF(OR(AF2560="",AF2560="ERRO_CHAVE"),"",IFERROR(MATCH(AF2560,'quitado Despesa'!$V$1:$V$12,0),""))</f>
        <v/>
      </c>
      <c r="AH2560" s="15" t="str">
        <f t="shared" si="2"/>
        <v/>
      </c>
      <c r="AI2560" s="17" t="str">
        <f>IF(AG2560="","",INDEX('quitado Despesa'!$G$1:$G$12,AG2560))</f>
        <v/>
      </c>
      <c r="AJ2560" s="17" t="str">
        <f t="shared" si="3"/>
        <v/>
      </c>
    </row>
    <row r="2561" spans="31:36">
      <c r="AE2561" s="15" t="str">
        <f t="shared" si="0"/>
        <v/>
      </c>
      <c r="AF2561" s="15" t="str">
        <f t="shared" si="1"/>
        <v/>
      </c>
      <c r="AG2561" s="15" t="str">
        <f>IF(OR(AF2561="",AF2561="ERRO_CHAVE"),"",IFERROR(MATCH(AF2561,'quitado Despesa'!$V$1:$V$12,0),""))</f>
        <v/>
      </c>
      <c r="AH2561" s="15" t="str">
        <f t="shared" si="2"/>
        <v/>
      </c>
      <c r="AI2561" s="17" t="str">
        <f>IF(AG2561="","",INDEX('quitado Despesa'!$G$1:$G$12,AG2561))</f>
        <v/>
      </c>
      <c r="AJ2561" s="17" t="str">
        <f t="shared" si="3"/>
        <v/>
      </c>
    </row>
    <row r="2562" spans="31:36">
      <c r="AE2562" s="15" t="str">
        <f t="shared" si="0"/>
        <v/>
      </c>
      <c r="AF2562" s="15" t="str">
        <f t="shared" si="1"/>
        <v/>
      </c>
      <c r="AG2562" s="15" t="str">
        <f>IF(OR(AF2562="",AF2562="ERRO_CHAVE"),"",IFERROR(MATCH(AF2562,'quitado Despesa'!$V$1:$V$12,0),""))</f>
        <v/>
      </c>
      <c r="AH2562" s="15" t="str">
        <f t="shared" si="2"/>
        <v/>
      </c>
      <c r="AI2562" s="17" t="str">
        <f>IF(AG2562="","",INDEX('quitado Despesa'!$G$1:$G$12,AG2562))</f>
        <v/>
      </c>
      <c r="AJ2562" s="17" t="str">
        <f t="shared" si="3"/>
        <v/>
      </c>
    </row>
    <row r="2563" spans="31:36">
      <c r="AE2563" s="15" t="str">
        <f t="shared" si="0"/>
        <v/>
      </c>
      <c r="AF2563" s="15" t="str">
        <f t="shared" si="1"/>
        <v/>
      </c>
      <c r="AG2563" s="15" t="str">
        <f>IF(OR(AF2563="",AF2563="ERRO_CHAVE"),"",IFERROR(MATCH(AF2563,'quitado Despesa'!$V$1:$V$12,0),""))</f>
        <v/>
      </c>
      <c r="AH2563" s="15" t="str">
        <f t="shared" si="2"/>
        <v/>
      </c>
      <c r="AI2563" s="17" t="str">
        <f>IF(AG2563="","",INDEX('quitado Despesa'!$G$1:$G$12,AG2563))</f>
        <v/>
      </c>
      <c r="AJ2563" s="17" t="str">
        <f t="shared" si="3"/>
        <v/>
      </c>
    </row>
    <row r="2564" spans="31:36">
      <c r="AE2564" s="15" t="str">
        <f t="shared" si="0"/>
        <v/>
      </c>
      <c r="AF2564" s="15" t="str">
        <f t="shared" si="1"/>
        <v/>
      </c>
      <c r="AG2564" s="15" t="str">
        <f>IF(OR(AF2564="",AF2564="ERRO_CHAVE"),"",IFERROR(MATCH(AF2564,'quitado Despesa'!$V$1:$V$12,0),""))</f>
        <v/>
      </c>
      <c r="AH2564" s="15" t="str">
        <f t="shared" si="2"/>
        <v/>
      </c>
      <c r="AI2564" s="17" t="str">
        <f>IF(AG2564="","",INDEX('quitado Despesa'!$G$1:$G$12,AG2564))</f>
        <v/>
      </c>
      <c r="AJ2564" s="17" t="str">
        <f t="shared" si="3"/>
        <v/>
      </c>
    </row>
    <row r="2565" spans="31:36">
      <c r="AE2565" s="15" t="str">
        <f t="shared" si="0"/>
        <v/>
      </c>
      <c r="AF2565" s="15" t="str">
        <f t="shared" si="1"/>
        <v/>
      </c>
      <c r="AG2565" s="15" t="str">
        <f>IF(OR(AF2565="",AF2565="ERRO_CHAVE"),"",IFERROR(MATCH(AF2565,'quitado Despesa'!$V$1:$V$12,0),""))</f>
        <v/>
      </c>
      <c r="AH2565" s="15" t="str">
        <f t="shared" si="2"/>
        <v/>
      </c>
      <c r="AI2565" s="17" t="str">
        <f>IF(AG2565="","",INDEX('quitado Despesa'!$G$1:$G$12,AG2565))</f>
        <v/>
      </c>
      <c r="AJ2565" s="17" t="str">
        <f t="shared" si="3"/>
        <v/>
      </c>
    </row>
    <row r="2566" spans="31:36">
      <c r="AE2566" s="15" t="str">
        <f t="shared" si="0"/>
        <v/>
      </c>
      <c r="AF2566" s="15" t="str">
        <f t="shared" si="1"/>
        <v/>
      </c>
      <c r="AG2566" s="15" t="str">
        <f>IF(OR(AF2566="",AF2566="ERRO_CHAVE"),"",IFERROR(MATCH(AF2566,'quitado Despesa'!$V$1:$V$12,0),""))</f>
        <v/>
      </c>
      <c r="AH2566" s="15" t="str">
        <f t="shared" si="2"/>
        <v/>
      </c>
      <c r="AI2566" s="17" t="str">
        <f>IF(AG2566="","",INDEX('quitado Despesa'!$G$1:$G$12,AG2566))</f>
        <v/>
      </c>
      <c r="AJ2566" s="17" t="str">
        <f t="shared" si="3"/>
        <v/>
      </c>
    </row>
    <row r="2567" spans="31:36">
      <c r="AE2567" s="15" t="str">
        <f t="shared" si="0"/>
        <v/>
      </c>
      <c r="AF2567" s="15" t="str">
        <f t="shared" si="1"/>
        <v/>
      </c>
      <c r="AG2567" s="15" t="str">
        <f>IF(OR(AF2567="",AF2567="ERRO_CHAVE"),"",IFERROR(MATCH(AF2567,'quitado Despesa'!$V$1:$V$12,0),""))</f>
        <v/>
      </c>
      <c r="AH2567" s="15" t="str">
        <f t="shared" si="2"/>
        <v/>
      </c>
      <c r="AI2567" s="17" t="str">
        <f>IF(AG2567="","",INDEX('quitado Despesa'!$G$1:$G$12,AG2567))</f>
        <v/>
      </c>
      <c r="AJ2567" s="17" t="str">
        <f t="shared" si="3"/>
        <v/>
      </c>
    </row>
    <row r="2568" spans="31:36">
      <c r="AE2568" s="15" t="str">
        <f t="shared" si="0"/>
        <v/>
      </c>
      <c r="AF2568" s="15" t="str">
        <f t="shared" si="1"/>
        <v/>
      </c>
      <c r="AG2568" s="15" t="str">
        <f>IF(OR(AF2568="",AF2568="ERRO_CHAVE"),"",IFERROR(MATCH(AF2568,'quitado Despesa'!$V$1:$V$12,0),""))</f>
        <v/>
      </c>
      <c r="AH2568" s="15" t="str">
        <f t="shared" si="2"/>
        <v/>
      </c>
      <c r="AI2568" s="17" t="str">
        <f>IF(AG2568="","",INDEX('quitado Despesa'!$G$1:$G$12,AG2568))</f>
        <v/>
      </c>
      <c r="AJ2568" s="17" t="str">
        <f t="shared" si="3"/>
        <v/>
      </c>
    </row>
    <row r="2569" spans="31:36">
      <c r="AE2569" s="15" t="str">
        <f t="shared" si="0"/>
        <v/>
      </c>
      <c r="AF2569" s="15" t="str">
        <f t="shared" si="1"/>
        <v/>
      </c>
      <c r="AG2569" s="15" t="str">
        <f>IF(OR(AF2569="",AF2569="ERRO_CHAVE"),"",IFERROR(MATCH(AF2569,'quitado Despesa'!$V$1:$V$12,0),""))</f>
        <v/>
      </c>
      <c r="AH2569" s="15" t="str">
        <f t="shared" si="2"/>
        <v/>
      </c>
      <c r="AI2569" s="17" t="str">
        <f>IF(AG2569="","",INDEX('quitado Despesa'!$G$1:$G$12,AG2569))</f>
        <v/>
      </c>
      <c r="AJ2569" s="17" t="str">
        <f t="shared" si="3"/>
        <v/>
      </c>
    </row>
    <row r="2570" spans="31:36">
      <c r="AE2570" s="15" t="str">
        <f t="shared" si="0"/>
        <v/>
      </c>
      <c r="AF2570" s="15" t="str">
        <f t="shared" si="1"/>
        <v/>
      </c>
      <c r="AG2570" s="15" t="str">
        <f>IF(OR(AF2570="",AF2570="ERRO_CHAVE"),"",IFERROR(MATCH(AF2570,'quitado Despesa'!$V$1:$V$12,0),""))</f>
        <v/>
      </c>
      <c r="AH2570" s="15" t="str">
        <f t="shared" si="2"/>
        <v/>
      </c>
      <c r="AI2570" s="17" t="str">
        <f>IF(AG2570="","",INDEX('quitado Despesa'!$G$1:$G$12,AG2570))</f>
        <v/>
      </c>
      <c r="AJ2570" s="17" t="str">
        <f t="shared" si="3"/>
        <v/>
      </c>
    </row>
    <row r="2571" spans="31:36">
      <c r="AE2571" s="15" t="str">
        <f t="shared" si="0"/>
        <v/>
      </c>
      <c r="AF2571" s="15" t="str">
        <f t="shared" si="1"/>
        <v/>
      </c>
      <c r="AG2571" s="15" t="str">
        <f>IF(OR(AF2571="",AF2571="ERRO_CHAVE"),"",IFERROR(MATCH(AF2571,'quitado Despesa'!$V$1:$V$12,0),""))</f>
        <v/>
      </c>
      <c r="AH2571" s="15" t="str">
        <f t="shared" si="2"/>
        <v/>
      </c>
      <c r="AI2571" s="17" t="str">
        <f>IF(AG2571="","",INDEX('quitado Despesa'!$G$1:$G$12,AG2571))</f>
        <v/>
      </c>
      <c r="AJ2571" s="17" t="str">
        <f t="shared" si="3"/>
        <v/>
      </c>
    </row>
    <row r="2572" spans="31:36">
      <c r="AE2572" s="15" t="str">
        <f t="shared" si="0"/>
        <v/>
      </c>
      <c r="AF2572" s="15" t="str">
        <f t="shared" si="1"/>
        <v/>
      </c>
      <c r="AG2572" s="15" t="str">
        <f>IF(OR(AF2572="",AF2572="ERRO_CHAVE"),"",IFERROR(MATCH(AF2572,'quitado Despesa'!$V$1:$V$12,0),""))</f>
        <v/>
      </c>
      <c r="AH2572" s="15" t="str">
        <f t="shared" si="2"/>
        <v/>
      </c>
      <c r="AI2572" s="17" t="str">
        <f>IF(AG2572="","",INDEX('quitado Despesa'!$G$1:$G$12,AG2572))</f>
        <v/>
      </c>
      <c r="AJ2572" s="17" t="str">
        <f t="shared" si="3"/>
        <v/>
      </c>
    </row>
    <row r="2573" spans="31:36">
      <c r="AE2573" s="15" t="str">
        <f t="shared" si="0"/>
        <v/>
      </c>
      <c r="AF2573" s="15" t="str">
        <f t="shared" si="1"/>
        <v/>
      </c>
      <c r="AG2573" s="15" t="str">
        <f>IF(OR(AF2573="",AF2573="ERRO_CHAVE"),"",IFERROR(MATCH(AF2573,'quitado Despesa'!$V$1:$V$12,0),""))</f>
        <v/>
      </c>
      <c r="AH2573" s="15" t="str">
        <f t="shared" si="2"/>
        <v/>
      </c>
      <c r="AI2573" s="17" t="str">
        <f>IF(AG2573="","",INDEX('quitado Despesa'!$G$1:$G$12,AG2573))</f>
        <v/>
      </c>
      <c r="AJ2573" s="17" t="str">
        <f t="shared" si="3"/>
        <v/>
      </c>
    </row>
    <row r="2574" spans="31:36">
      <c r="AE2574" s="15" t="str">
        <f t="shared" si="0"/>
        <v/>
      </c>
      <c r="AF2574" s="15" t="str">
        <f t="shared" si="1"/>
        <v/>
      </c>
      <c r="AG2574" s="15" t="str">
        <f>IF(OR(AF2574="",AF2574="ERRO_CHAVE"),"",IFERROR(MATCH(AF2574,'quitado Despesa'!$V$1:$V$12,0),""))</f>
        <v/>
      </c>
      <c r="AH2574" s="15" t="str">
        <f t="shared" si="2"/>
        <v/>
      </c>
      <c r="AI2574" s="17" t="str">
        <f>IF(AG2574="","",INDEX('quitado Despesa'!$G$1:$G$12,AG2574))</f>
        <v/>
      </c>
      <c r="AJ2574" s="17" t="str">
        <f t="shared" si="3"/>
        <v/>
      </c>
    </row>
    <row r="2575" spans="31:36">
      <c r="AE2575" s="15" t="str">
        <f t="shared" si="0"/>
        <v/>
      </c>
      <c r="AF2575" s="15" t="str">
        <f t="shared" si="1"/>
        <v/>
      </c>
      <c r="AG2575" s="15" t="str">
        <f>IF(OR(AF2575="",AF2575="ERRO_CHAVE"),"",IFERROR(MATCH(AF2575,'quitado Despesa'!$V$1:$V$12,0),""))</f>
        <v/>
      </c>
      <c r="AH2575" s="15" t="str">
        <f t="shared" si="2"/>
        <v/>
      </c>
      <c r="AI2575" s="17" t="str">
        <f>IF(AG2575="","",INDEX('quitado Despesa'!$G$1:$G$12,AG2575))</f>
        <v/>
      </c>
      <c r="AJ2575" s="17" t="str">
        <f t="shared" si="3"/>
        <v/>
      </c>
    </row>
    <row r="2576" spans="31:36">
      <c r="AE2576" s="15" t="str">
        <f t="shared" si="0"/>
        <v/>
      </c>
      <c r="AF2576" s="15" t="str">
        <f t="shared" si="1"/>
        <v/>
      </c>
      <c r="AG2576" s="15" t="str">
        <f>IF(OR(AF2576="",AF2576="ERRO_CHAVE"),"",IFERROR(MATCH(AF2576,'quitado Despesa'!$V$1:$V$12,0),""))</f>
        <v/>
      </c>
      <c r="AH2576" s="15" t="str">
        <f t="shared" si="2"/>
        <v/>
      </c>
      <c r="AI2576" s="17" t="str">
        <f>IF(AG2576="","",INDEX('quitado Despesa'!$G$1:$G$12,AG2576))</f>
        <v/>
      </c>
      <c r="AJ2576" s="17" t="str">
        <f t="shared" si="3"/>
        <v/>
      </c>
    </row>
    <row r="2577" spans="31:36">
      <c r="AE2577" s="15" t="str">
        <f t="shared" si="0"/>
        <v/>
      </c>
      <c r="AF2577" s="15" t="str">
        <f t="shared" si="1"/>
        <v/>
      </c>
      <c r="AG2577" s="15" t="str">
        <f>IF(OR(AF2577="",AF2577="ERRO_CHAVE"),"",IFERROR(MATCH(AF2577,'quitado Despesa'!$V$1:$V$12,0),""))</f>
        <v/>
      </c>
      <c r="AH2577" s="15" t="str">
        <f t="shared" si="2"/>
        <v/>
      </c>
      <c r="AI2577" s="17" t="str">
        <f>IF(AG2577="","",INDEX('quitado Despesa'!$G$1:$G$12,AG2577))</f>
        <v/>
      </c>
      <c r="AJ2577" s="17" t="str">
        <f t="shared" si="3"/>
        <v/>
      </c>
    </row>
    <row r="2578" spans="31:36">
      <c r="AE2578" s="15" t="str">
        <f t="shared" si="0"/>
        <v/>
      </c>
      <c r="AF2578" s="15" t="str">
        <f t="shared" si="1"/>
        <v/>
      </c>
      <c r="AG2578" s="15" t="str">
        <f>IF(OR(AF2578="",AF2578="ERRO_CHAVE"),"",IFERROR(MATCH(AF2578,'quitado Despesa'!$V$1:$V$12,0),""))</f>
        <v/>
      </c>
      <c r="AH2578" s="15" t="str">
        <f t="shared" si="2"/>
        <v/>
      </c>
      <c r="AI2578" s="17" t="str">
        <f>IF(AG2578="","",INDEX('quitado Despesa'!$G$1:$G$12,AG2578))</f>
        <v/>
      </c>
      <c r="AJ2578" s="17" t="str">
        <f t="shared" si="3"/>
        <v/>
      </c>
    </row>
    <row r="2579" spans="31:36">
      <c r="AE2579" s="15" t="str">
        <f t="shared" si="0"/>
        <v/>
      </c>
      <c r="AF2579" s="15" t="str">
        <f t="shared" si="1"/>
        <v/>
      </c>
      <c r="AG2579" s="15" t="str">
        <f>IF(OR(AF2579="",AF2579="ERRO_CHAVE"),"",IFERROR(MATCH(AF2579,'quitado Despesa'!$V$1:$V$12,0),""))</f>
        <v/>
      </c>
      <c r="AH2579" s="15" t="str">
        <f t="shared" si="2"/>
        <v/>
      </c>
      <c r="AI2579" s="17" t="str">
        <f>IF(AG2579="","",INDEX('quitado Despesa'!$G$1:$G$12,AG2579))</f>
        <v/>
      </c>
      <c r="AJ2579" s="17" t="str">
        <f t="shared" si="3"/>
        <v/>
      </c>
    </row>
    <row r="2580" spans="31:36">
      <c r="AE2580" s="15" t="str">
        <f t="shared" si="0"/>
        <v/>
      </c>
      <c r="AF2580" s="15" t="str">
        <f t="shared" si="1"/>
        <v/>
      </c>
      <c r="AG2580" s="15" t="str">
        <f>IF(OR(AF2580="",AF2580="ERRO_CHAVE"),"",IFERROR(MATCH(AF2580,'quitado Despesa'!$V$1:$V$12,0),""))</f>
        <v/>
      </c>
      <c r="AH2580" s="15" t="str">
        <f t="shared" si="2"/>
        <v/>
      </c>
      <c r="AI2580" s="17" t="str">
        <f>IF(AG2580="","",INDEX('quitado Despesa'!$G$1:$G$12,AG2580))</f>
        <v/>
      </c>
      <c r="AJ2580" s="17" t="str">
        <f t="shared" si="3"/>
        <v/>
      </c>
    </row>
    <row r="2581" spans="31:36">
      <c r="AE2581" s="15" t="str">
        <f t="shared" si="0"/>
        <v/>
      </c>
      <c r="AF2581" s="15" t="str">
        <f t="shared" si="1"/>
        <v/>
      </c>
      <c r="AG2581" s="15" t="str">
        <f>IF(OR(AF2581="",AF2581="ERRO_CHAVE"),"",IFERROR(MATCH(AF2581,'quitado Despesa'!$V$1:$V$12,0),""))</f>
        <v/>
      </c>
      <c r="AH2581" s="15" t="str">
        <f t="shared" si="2"/>
        <v/>
      </c>
      <c r="AI2581" s="17" t="str">
        <f>IF(AG2581="","",INDEX('quitado Despesa'!$G$1:$G$12,AG2581))</f>
        <v/>
      </c>
      <c r="AJ2581" s="17" t="str">
        <f t="shared" si="3"/>
        <v/>
      </c>
    </row>
    <row r="2582" spans="31:36">
      <c r="AE2582" s="15" t="str">
        <f t="shared" si="0"/>
        <v/>
      </c>
      <c r="AF2582" s="15" t="str">
        <f t="shared" si="1"/>
        <v/>
      </c>
      <c r="AG2582" s="15" t="str">
        <f>IF(OR(AF2582="",AF2582="ERRO_CHAVE"),"",IFERROR(MATCH(AF2582,'quitado Despesa'!$V$1:$V$12,0),""))</f>
        <v/>
      </c>
      <c r="AH2582" s="15" t="str">
        <f t="shared" si="2"/>
        <v/>
      </c>
      <c r="AI2582" s="17" t="str">
        <f>IF(AG2582="","",INDEX('quitado Despesa'!$G$1:$G$12,AG2582))</f>
        <v/>
      </c>
      <c r="AJ2582" s="17" t="str">
        <f t="shared" si="3"/>
        <v/>
      </c>
    </row>
    <row r="2583" spans="31:36">
      <c r="AE2583" s="15" t="str">
        <f t="shared" si="0"/>
        <v/>
      </c>
      <c r="AF2583" s="15" t="str">
        <f t="shared" si="1"/>
        <v/>
      </c>
      <c r="AG2583" s="15" t="str">
        <f>IF(OR(AF2583="",AF2583="ERRO_CHAVE"),"",IFERROR(MATCH(AF2583,'quitado Despesa'!$V$1:$V$12,0),""))</f>
        <v/>
      </c>
      <c r="AH2583" s="15" t="str">
        <f t="shared" si="2"/>
        <v/>
      </c>
      <c r="AI2583" s="17" t="str">
        <f>IF(AG2583="","",INDEX('quitado Despesa'!$G$1:$G$12,AG2583))</f>
        <v/>
      </c>
      <c r="AJ2583" s="17" t="str">
        <f t="shared" si="3"/>
        <v/>
      </c>
    </row>
    <row r="2584" spans="31:36">
      <c r="AE2584" s="15" t="str">
        <f t="shared" si="0"/>
        <v/>
      </c>
      <c r="AF2584" s="15" t="str">
        <f t="shared" si="1"/>
        <v/>
      </c>
      <c r="AG2584" s="15" t="str">
        <f>IF(OR(AF2584="",AF2584="ERRO_CHAVE"),"",IFERROR(MATCH(AF2584,'quitado Despesa'!$V$1:$V$12,0),""))</f>
        <v/>
      </c>
      <c r="AH2584" s="15" t="str">
        <f t="shared" si="2"/>
        <v/>
      </c>
      <c r="AI2584" s="17" t="str">
        <f>IF(AG2584="","",INDEX('quitado Despesa'!$G$1:$G$12,AG2584))</f>
        <v/>
      </c>
      <c r="AJ2584" s="17" t="str">
        <f t="shared" si="3"/>
        <v/>
      </c>
    </row>
    <row r="2585" spans="31:36">
      <c r="AE2585" s="15" t="str">
        <f t="shared" si="0"/>
        <v/>
      </c>
      <c r="AF2585" s="15" t="str">
        <f t="shared" si="1"/>
        <v/>
      </c>
      <c r="AG2585" s="15" t="str">
        <f>IF(OR(AF2585="",AF2585="ERRO_CHAVE"),"",IFERROR(MATCH(AF2585,'quitado Despesa'!$V$1:$V$12,0),""))</f>
        <v/>
      </c>
      <c r="AH2585" s="15" t="str">
        <f t="shared" si="2"/>
        <v/>
      </c>
      <c r="AI2585" s="17" t="str">
        <f>IF(AG2585="","",INDEX('quitado Despesa'!$G$1:$G$12,AG2585))</f>
        <v/>
      </c>
      <c r="AJ2585" s="17" t="str">
        <f t="shared" si="3"/>
        <v/>
      </c>
    </row>
    <row r="2586" spans="31:36">
      <c r="AE2586" s="15" t="str">
        <f t="shared" si="0"/>
        <v/>
      </c>
      <c r="AF2586" s="15" t="str">
        <f t="shared" si="1"/>
        <v/>
      </c>
      <c r="AG2586" s="15" t="str">
        <f>IF(OR(AF2586="",AF2586="ERRO_CHAVE"),"",IFERROR(MATCH(AF2586,'quitado Despesa'!$V$1:$V$12,0),""))</f>
        <v/>
      </c>
      <c r="AH2586" s="15" t="str">
        <f t="shared" si="2"/>
        <v/>
      </c>
      <c r="AI2586" s="17" t="str">
        <f>IF(AG2586="","",INDEX('quitado Despesa'!$G$1:$G$12,AG2586))</f>
        <v/>
      </c>
      <c r="AJ2586" s="17" t="str">
        <f t="shared" si="3"/>
        <v/>
      </c>
    </row>
    <row r="2587" spans="31:36">
      <c r="AE2587" s="15" t="str">
        <f t="shared" si="0"/>
        <v/>
      </c>
      <c r="AF2587" s="15" t="str">
        <f t="shared" si="1"/>
        <v/>
      </c>
      <c r="AG2587" s="15" t="str">
        <f>IF(OR(AF2587="",AF2587="ERRO_CHAVE"),"",IFERROR(MATCH(AF2587,'quitado Despesa'!$V$1:$V$12,0),""))</f>
        <v/>
      </c>
      <c r="AH2587" s="15" t="str">
        <f t="shared" si="2"/>
        <v/>
      </c>
      <c r="AI2587" s="17" t="str">
        <f>IF(AG2587="","",INDEX('quitado Despesa'!$G$1:$G$12,AG2587))</f>
        <v/>
      </c>
      <c r="AJ2587" s="17" t="str">
        <f t="shared" si="3"/>
        <v/>
      </c>
    </row>
    <row r="2588" spans="31:36">
      <c r="AE2588" s="15" t="str">
        <f t="shared" si="0"/>
        <v/>
      </c>
      <c r="AF2588" s="15" t="str">
        <f t="shared" si="1"/>
        <v/>
      </c>
      <c r="AG2588" s="15" t="str">
        <f>IF(OR(AF2588="",AF2588="ERRO_CHAVE"),"",IFERROR(MATCH(AF2588,'quitado Despesa'!$V$1:$V$12,0),""))</f>
        <v/>
      </c>
      <c r="AH2588" s="15" t="str">
        <f t="shared" si="2"/>
        <v/>
      </c>
      <c r="AI2588" s="17" t="str">
        <f>IF(AG2588="","",INDEX('quitado Despesa'!$G$1:$G$12,AG2588))</f>
        <v/>
      </c>
      <c r="AJ2588" s="17" t="str">
        <f t="shared" si="3"/>
        <v/>
      </c>
    </row>
    <row r="2589" spans="31:36">
      <c r="AE2589" s="15" t="str">
        <f t="shared" si="0"/>
        <v/>
      </c>
      <c r="AF2589" s="15" t="str">
        <f t="shared" si="1"/>
        <v/>
      </c>
      <c r="AG2589" s="15" t="str">
        <f>IF(OR(AF2589="",AF2589="ERRO_CHAVE"),"",IFERROR(MATCH(AF2589,'quitado Despesa'!$V$1:$V$12,0),""))</f>
        <v/>
      </c>
      <c r="AH2589" s="15" t="str">
        <f t="shared" si="2"/>
        <v/>
      </c>
      <c r="AI2589" s="17" t="str">
        <f>IF(AG2589="","",INDEX('quitado Despesa'!$G$1:$G$12,AG2589))</f>
        <v/>
      </c>
      <c r="AJ2589" s="17" t="str">
        <f t="shared" si="3"/>
        <v/>
      </c>
    </row>
    <row r="2590" spans="31:36">
      <c r="AE2590" s="15" t="str">
        <f t="shared" si="0"/>
        <v/>
      </c>
      <c r="AF2590" s="15" t="str">
        <f t="shared" si="1"/>
        <v/>
      </c>
      <c r="AG2590" s="15" t="str">
        <f>IF(OR(AF2590="",AF2590="ERRO_CHAVE"),"",IFERROR(MATCH(AF2590,'quitado Despesa'!$V$1:$V$12,0),""))</f>
        <v/>
      </c>
      <c r="AH2590" s="15" t="str">
        <f t="shared" si="2"/>
        <v/>
      </c>
      <c r="AI2590" s="17" t="str">
        <f>IF(AG2590="","",INDEX('quitado Despesa'!$G$1:$G$12,AG2590))</f>
        <v/>
      </c>
      <c r="AJ2590" s="17" t="str">
        <f t="shared" si="3"/>
        <v/>
      </c>
    </row>
    <row r="2591" spans="31:36">
      <c r="AE2591" s="15" t="str">
        <f t="shared" si="0"/>
        <v/>
      </c>
      <c r="AF2591" s="15" t="str">
        <f t="shared" si="1"/>
        <v/>
      </c>
      <c r="AG2591" s="15" t="str">
        <f>IF(OR(AF2591="",AF2591="ERRO_CHAVE"),"",IFERROR(MATCH(AF2591,'quitado Despesa'!$V$1:$V$12,0),""))</f>
        <v/>
      </c>
      <c r="AH2591" s="15" t="str">
        <f t="shared" si="2"/>
        <v/>
      </c>
      <c r="AI2591" s="17" t="str">
        <f>IF(AG2591="","",INDEX('quitado Despesa'!$G$1:$G$12,AG2591))</f>
        <v/>
      </c>
      <c r="AJ2591" s="17" t="str">
        <f t="shared" si="3"/>
        <v/>
      </c>
    </row>
    <row r="2592" spans="31:36">
      <c r="AE2592" s="15" t="str">
        <f t="shared" si="0"/>
        <v/>
      </c>
      <c r="AF2592" s="15" t="str">
        <f t="shared" si="1"/>
        <v/>
      </c>
      <c r="AG2592" s="15" t="str">
        <f>IF(OR(AF2592="",AF2592="ERRO_CHAVE"),"",IFERROR(MATCH(AF2592,'quitado Despesa'!$V$1:$V$12,0),""))</f>
        <v/>
      </c>
      <c r="AH2592" s="15" t="str">
        <f t="shared" si="2"/>
        <v/>
      </c>
      <c r="AI2592" s="17" t="str">
        <f>IF(AG2592="","",INDEX('quitado Despesa'!$G$1:$G$12,AG2592))</f>
        <v/>
      </c>
      <c r="AJ2592" s="17" t="str">
        <f t="shared" si="3"/>
        <v/>
      </c>
    </row>
    <row r="2593" spans="31:36">
      <c r="AE2593" s="15" t="str">
        <f t="shared" si="0"/>
        <v/>
      </c>
      <c r="AF2593" s="15" t="str">
        <f t="shared" si="1"/>
        <v/>
      </c>
      <c r="AG2593" s="15" t="str">
        <f>IF(OR(AF2593="",AF2593="ERRO_CHAVE"),"",IFERROR(MATCH(AF2593,'quitado Despesa'!$V$1:$V$12,0),""))</f>
        <v/>
      </c>
      <c r="AH2593" s="15" t="str">
        <f t="shared" si="2"/>
        <v/>
      </c>
      <c r="AI2593" s="17" t="str">
        <f>IF(AG2593="","",INDEX('quitado Despesa'!$G$1:$G$12,AG2593))</f>
        <v/>
      </c>
      <c r="AJ2593" s="17" t="str">
        <f t="shared" si="3"/>
        <v/>
      </c>
    </row>
    <row r="2594" spans="31:36">
      <c r="AE2594" s="15" t="str">
        <f t="shared" si="0"/>
        <v/>
      </c>
      <c r="AF2594" s="15" t="str">
        <f t="shared" si="1"/>
        <v/>
      </c>
      <c r="AG2594" s="15" t="str">
        <f>IF(OR(AF2594="",AF2594="ERRO_CHAVE"),"",IFERROR(MATCH(AF2594,'quitado Despesa'!$V$1:$V$12,0),""))</f>
        <v/>
      </c>
      <c r="AH2594" s="15" t="str">
        <f t="shared" si="2"/>
        <v/>
      </c>
      <c r="AI2594" s="17" t="str">
        <f>IF(AG2594="","",INDEX('quitado Despesa'!$G$1:$G$12,AG2594))</f>
        <v/>
      </c>
      <c r="AJ2594" s="17" t="str">
        <f t="shared" si="3"/>
        <v/>
      </c>
    </row>
    <row r="2595" spans="31:36">
      <c r="AE2595" s="15" t="str">
        <f t="shared" si="0"/>
        <v/>
      </c>
      <c r="AF2595" s="15" t="str">
        <f t="shared" si="1"/>
        <v/>
      </c>
      <c r="AG2595" s="15" t="str">
        <f>IF(OR(AF2595="",AF2595="ERRO_CHAVE"),"",IFERROR(MATCH(AF2595,'quitado Despesa'!$V$1:$V$12,0),""))</f>
        <v/>
      </c>
      <c r="AH2595" s="15" t="str">
        <f t="shared" si="2"/>
        <v/>
      </c>
      <c r="AI2595" s="17" t="str">
        <f>IF(AG2595="","",INDEX('quitado Despesa'!$G$1:$G$12,AG2595))</f>
        <v/>
      </c>
      <c r="AJ2595" s="17" t="str">
        <f t="shared" si="3"/>
        <v/>
      </c>
    </row>
    <row r="2596" spans="31:36">
      <c r="AE2596" s="15" t="str">
        <f t="shared" si="0"/>
        <v/>
      </c>
      <c r="AF2596" s="15" t="str">
        <f t="shared" si="1"/>
        <v/>
      </c>
      <c r="AG2596" s="15" t="str">
        <f>IF(OR(AF2596="",AF2596="ERRO_CHAVE"),"",IFERROR(MATCH(AF2596,'quitado Despesa'!$V$1:$V$12,0),""))</f>
        <v/>
      </c>
      <c r="AH2596" s="15" t="str">
        <f t="shared" si="2"/>
        <v/>
      </c>
      <c r="AI2596" s="17" t="str">
        <f>IF(AG2596="","",INDEX('quitado Despesa'!$G$1:$G$12,AG2596))</f>
        <v/>
      </c>
      <c r="AJ2596" s="17" t="str">
        <f t="shared" si="3"/>
        <v/>
      </c>
    </row>
    <row r="2597" spans="31:36">
      <c r="AE2597" s="15" t="str">
        <f t="shared" si="0"/>
        <v/>
      </c>
      <c r="AF2597" s="15" t="str">
        <f t="shared" si="1"/>
        <v/>
      </c>
      <c r="AG2597" s="15" t="str">
        <f>IF(OR(AF2597="",AF2597="ERRO_CHAVE"),"",IFERROR(MATCH(AF2597,'quitado Despesa'!$V$1:$V$12,0),""))</f>
        <v/>
      </c>
      <c r="AH2597" s="15" t="str">
        <f t="shared" si="2"/>
        <v/>
      </c>
      <c r="AI2597" s="17" t="str">
        <f>IF(AG2597="","",INDEX('quitado Despesa'!$G$1:$G$12,AG2597))</f>
        <v/>
      </c>
      <c r="AJ2597" s="17" t="str">
        <f t="shared" si="3"/>
        <v/>
      </c>
    </row>
    <row r="2598" spans="31:36">
      <c r="AE2598" s="15" t="str">
        <f t="shared" si="0"/>
        <v/>
      </c>
      <c r="AF2598" s="15" t="str">
        <f t="shared" si="1"/>
        <v/>
      </c>
      <c r="AG2598" s="15" t="str">
        <f>IF(OR(AF2598="",AF2598="ERRO_CHAVE"),"",IFERROR(MATCH(AF2598,'quitado Despesa'!$V$1:$V$12,0),""))</f>
        <v/>
      </c>
      <c r="AH2598" s="15" t="str">
        <f t="shared" si="2"/>
        <v/>
      </c>
      <c r="AI2598" s="17" t="str">
        <f>IF(AG2598="","",INDEX('quitado Despesa'!$G$1:$G$12,AG2598))</f>
        <v/>
      </c>
      <c r="AJ2598" s="17" t="str">
        <f t="shared" si="3"/>
        <v/>
      </c>
    </row>
    <row r="2599" spans="31:36">
      <c r="AE2599" s="15" t="str">
        <f t="shared" si="0"/>
        <v/>
      </c>
      <c r="AF2599" s="15" t="str">
        <f t="shared" si="1"/>
        <v/>
      </c>
      <c r="AG2599" s="15" t="str">
        <f>IF(OR(AF2599="",AF2599="ERRO_CHAVE"),"",IFERROR(MATCH(AF2599,'quitado Despesa'!$V$1:$V$12,0),""))</f>
        <v/>
      </c>
      <c r="AH2599" s="15" t="str">
        <f t="shared" si="2"/>
        <v/>
      </c>
      <c r="AI2599" s="17" t="str">
        <f>IF(AG2599="","",INDEX('quitado Despesa'!$G$1:$G$12,AG2599))</f>
        <v/>
      </c>
      <c r="AJ2599" s="17" t="str">
        <f t="shared" si="3"/>
        <v/>
      </c>
    </row>
    <row r="2600" spans="31:36">
      <c r="AE2600" s="15" t="str">
        <f t="shared" si="0"/>
        <v/>
      </c>
      <c r="AF2600" s="15" t="str">
        <f t="shared" si="1"/>
        <v/>
      </c>
      <c r="AG2600" s="15" t="str">
        <f>IF(OR(AF2600="",AF2600="ERRO_CHAVE"),"",IFERROR(MATCH(AF2600,'quitado Despesa'!$V$1:$V$12,0),""))</f>
        <v/>
      </c>
      <c r="AH2600" s="15" t="str">
        <f t="shared" si="2"/>
        <v/>
      </c>
      <c r="AI2600" s="17" t="str">
        <f>IF(AG2600="","",INDEX('quitado Despesa'!$G$1:$G$12,AG2600))</f>
        <v/>
      </c>
      <c r="AJ2600" s="17" t="str">
        <f t="shared" si="3"/>
        <v/>
      </c>
    </row>
    <row r="2601" spans="31:36">
      <c r="AE2601" s="15" t="str">
        <f t="shared" si="0"/>
        <v/>
      </c>
      <c r="AF2601" s="15" t="str">
        <f t="shared" si="1"/>
        <v/>
      </c>
      <c r="AG2601" s="15" t="str">
        <f>IF(OR(AF2601="",AF2601="ERRO_CHAVE"),"",IFERROR(MATCH(AF2601,'quitado Despesa'!$V$1:$V$12,0),""))</f>
        <v/>
      </c>
      <c r="AH2601" s="15" t="str">
        <f t="shared" si="2"/>
        <v/>
      </c>
      <c r="AI2601" s="17" t="str">
        <f>IF(AG2601="","",INDEX('quitado Despesa'!$G$1:$G$12,AG2601))</f>
        <v/>
      </c>
      <c r="AJ2601" s="17" t="str">
        <f t="shared" si="3"/>
        <v/>
      </c>
    </row>
    <row r="2602" spans="31:36">
      <c r="AE2602" s="15" t="str">
        <f t="shared" si="0"/>
        <v/>
      </c>
      <c r="AF2602" s="15" t="str">
        <f t="shared" si="1"/>
        <v/>
      </c>
      <c r="AG2602" s="15" t="str">
        <f>IF(OR(AF2602="",AF2602="ERRO_CHAVE"),"",IFERROR(MATCH(AF2602,'quitado Despesa'!$V$1:$V$12,0),""))</f>
        <v/>
      </c>
      <c r="AH2602" s="15" t="str">
        <f t="shared" si="2"/>
        <v/>
      </c>
      <c r="AI2602" s="17" t="str">
        <f>IF(AG2602="","",INDEX('quitado Despesa'!$G$1:$G$12,AG2602))</f>
        <v/>
      </c>
      <c r="AJ2602" s="17" t="str">
        <f t="shared" si="3"/>
        <v/>
      </c>
    </row>
    <row r="2603" spans="31:36">
      <c r="AE2603" s="15" t="str">
        <f t="shared" si="0"/>
        <v/>
      </c>
      <c r="AF2603" s="15" t="str">
        <f t="shared" si="1"/>
        <v/>
      </c>
      <c r="AG2603" s="15" t="str">
        <f>IF(OR(AF2603="",AF2603="ERRO_CHAVE"),"",IFERROR(MATCH(AF2603,'quitado Despesa'!$V$1:$V$12,0),""))</f>
        <v/>
      </c>
      <c r="AH2603" s="15" t="str">
        <f t="shared" si="2"/>
        <v/>
      </c>
      <c r="AI2603" s="17" t="str">
        <f>IF(AG2603="","",INDEX('quitado Despesa'!$G$1:$G$12,AG2603))</f>
        <v/>
      </c>
      <c r="AJ2603" s="17" t="str">
        <f t="shared" si="3"/>
        <v/>
      </c>
    </row>
    <row r="2604" spans="31:36">
      <c r="AE2604" s="15" t="str">
        <f t="shared" si="0"/>
        <v/>
      </c>
      <c r="AF2604" s="15" t="str">
        <f t="shared" si="1"/>
        <v/>
      </c>
      <c r="AG2604" s="15" t="str">
        <f>IF(OR(AF2604="",AF2604="ERRO_CHAVE"),"",IFERROR(MATCH(AF2604,'quitado Despesa'!$V$1:$V$12,0),""))</f>
        <v/>
      </c>
      <c r="AH2604" s="15" t="str">
        <f t="shared" si="2"/>
        <v/>
      </c>
      <c r="AI2604" s="17" t="str">
        <f>IF(AG2604="","",INDEX('quitado Despesa'!$G$1:$G$12,AG2604))</f>
        <v/>
      </c>
      <c r="AJ2604" s="17" t="str">
        <f t="shared" si="3"/>
        <v/>
      </c>
    </row>
    <row r="2605" spans="31:36">
      <c r="AE2605" s="15" t="str">
        <f t="shared" si="0"/>
        <v/>
      </c>
      <c r="AF2605" s="15" t="str">
        <f t="shared" si="1"/>
        <v/>
      </c>
      <c r="AG2605" s="15" t="str">
        <f>IF(OR(AF2605="",AF2605="ERRO_CHAVE"),"",IFERROR(MATCH(AF2605,'quitado Despesa'!$V$1:$V$12,0),""))</f>
        <v/>
      </c>
      <c r="AH2605" s="15" t="str">
        <f t="shared" si="2"/>
        <v/>
      </c>
      <c r="AI2605" s="17" t="str">
        <f>IF(AG2605="","",INDEX('quitado Despesa'!$G$1:$G$12,AG2605))</f>
        <v/>
      </c>
      <c r="AJ2605" s="17" t="str">
        <f t="shared" si="3"/>
        <v/>
      </c>
    </row>
    <row r="2606" spans="31:36">
      <c r="AE2606" s="15" t="str">
        <f t="shared" si="0"/>
        <v/>
      </c>
      <c r="AF2606" s="15" t="str">
        <f t="shared" si="1"/>
        <v/>
      </c>
      <c r="AG2606" s="15" t="str">
        <f>IF(OR(AF2606="",AF2606="ERRO_CHAVE"),"",IFERROR(MATCH(AF2606,'quitado Despesa'!$V$1:$V$12,0),""))</f>
        <v/>
      </c>
      <c r="AH2606" s="15" t="str">
        <f t="shared" si="2"/>
        <v/>
      </c>
      <c r="AI2606" s="17" t="str">
        <f>IF(AG2606="","",INDEX('quitado Despesa'!$G$1:$G$12,AG2606))</f>
        <v/>
      </c>
      <c r="AJ2606" s="17" t="str">
        <f t="shared" si="3"/>
        <v/>
      </c>
    </row>
    <row r="2607" spans="31:36">
      <c r="AE2607" s="15" t="str">
        <f t="shared" si="0"/>
        <v/>
      </c>
      <c r="AF2607" s="15" t="str">
        <f t="shared" si="1"/>
        <v/>
      </c>
      <c r="AG2607" s="15" t="str">
        <f>IF(OR(AF2607="",AF2607="ERRO_CHAVE"),"",IFERROR(MATCH(AF2607,'quitado Despesa'!$V$1:$V$12,0),""))</f>
        <v/>
      </c>
      <c r="AH2607" s="15" t="str">
        <f t="shared" si="2"/>
        <v/>
      </c>
      <c r="AI2607" s="17" t="str">
        <f>IF(AG2607="","",INDEX('quitado Despesa'!$G$1:$G$12,AG2607))</f>
        <v/>
      </c>
      <c r="AJ2607" s="17" t="str">
        <f t="shared" si="3"/>
        <v/>
      </c>
    </row>
    <row r="2608" spans="31:36">
      <c r="AE2608" s="15" t="str">
        <f t="shared" si="0"/>
        <v/>
      </c>
      <c r="AF2608" s="15" t="str">
        <f t="shared" si="1"/>
        <v/>
      </c>
      <c r="AG2608" s="15" t="str">
        <f>IF(OR(AF2608="",AF2608="ERRO_CHAVE"),"",IFERROR(MATCH(AF2608,'quitado Despesa'!$V$1:$V$12,0),""))</f>
        <v/>
      </c>
      <c r="AH2608" s="15" t="str">
        <f t="shared" si="2"/>
        <v/>
      </c>
      <c r="AI2608" s="17" t="str">
        <f>IF(AG2608="","",INDEX('quitado Despesa'!$G$1:$G$12,AG2608))</f>
        <v/>
      </c>
      <c r="AJ2608" s="17" t="str">
        <f t="shared" si="3"/>
        <v/>
      </c>
    </row>
    <row r="2609" spans="31:36">
      <c r="AE2609" s="15" t="str">
        <f t="shared" si="0"/>
        <v/>
      </c>
      <c r="AF2609" s="15" t="str">
        <f t="shared" si="1"/>
        <v/>
      </c>
      <c r="AG2609" s="15" t="str">
        <f>IF(OR(AF2609="",AF2609="ERRO_CHAVE"),"",IFERROR(MATCH(AF2609,'quitado Despesa'!$V$1:$V$12,0),""))</f>
        <v/>
      </c>
      <c r="AH2609" s="15" t="str">
        <f t="shared" si="2"/>
        <v/>
      </c>
      <c r="AI2609" s="17" t="str">
        <f>IF(AG2609="","",INDEX('quitado Despesa'!$G$1:$G$12,AG2609))</f>
        <v/>
      </c>
      <c r="AJ2609" s="17" t="str">
        <f t="shared" si="3"/>
        <v/>
      </c>
    </row>
    <row r="2610" spans="31:36">
      <c r="AE2610" s="15" t="str">
        <f t="shared" si="0"/>
        <v/>
      </c>
      <c r="AF2610" s="15" t="str">
        <f t="shared" si="1"/>
        <v/>
      </c>
      <c r="AG2610" s="15" t="str">
        <f>IF(OR(AF2610="",AF2610="ERRO_CHAVE"),"",IFERROR(MATCH(AF2610,'quitado Despesa'!$V$1:$V$12,0),""))</f>
        <v/>
      </c>
      <c r="AH2610" s="15" t="str">
        <f t="shared" si="2"/>
        <v/>
      </c>
      <c r="AI2610" s="17" t="str">
        <f>IF(AG2610="","",INDEX('quitado Despesa'!$G$1:$G$12,AG2610))</f>
        <v/>
      </c>
      <c r="AJ2610" s="17" t="str">
        <f t="shared" si="3"/>
        <v/>
      </c>
    </row>
    <row r="2611" spans="31:36">
      <c r="AE2611" s="15" t="str">
        <f t="shared" si="0"/>
        <v/>
      </c>
      <c r="AF2611" s="15" t="str">
        <f t="shared" si="1"/>
        <v/>
      </c>
      <c r="AG2611" s="15" t="str">
        <f>IF(OR(AF2611="",AF2611="ERRO_CHAVE"),"",IFERROR(MATCH(AF2611,'quitado Despesa'!$V$1:$V$12,0),""))</f>
        <v/>
      </c>
      <c r="AH2611" s="15" t="str">
        <f t="shared" si="2"/>
        <v/>
      </c>
      <c r="AI2611" s="17" t="str">
        <f>IF(AG2611="","",INDEX('quitado Despesa'!$G$1:$G$12,AG2611))</f>
        <v/>
      </c>
      <c r="AJ2611" s="17" t="str">
        <f t="shared" si="3"/>
        <v/>
      </c>
    </row>
    <row r="2612" spans="31:36">
      <c r="AE2612" s="15" t="str">
        <f t="shared" si="0"/>
        <v/>
      </c>
      <c r="AF2612" s="15" t="str">
        <f t="shared" si="1"/>
        <v/>
      </c>
      <c r="AG2612" s="15" t="str">
        <f>IF(OR(AF2612="",AF2612="ERRO_CHAVE"),"",IFERROR(MATCH(AF2612,'quitado Despesa'!$V$1:$V$12,0),""))</f>
        <v/>
      </c>
      <c r="AH2612" s="15" t="str">
        <f t="shared" si="2"/>
        <v/>
      </c>
      <c r="AI2612" s="17" t="str">
        <f>IF(AG2612="","",INDEX('quitado Despesa'!$G$1:$G$12,AG2612))</f>
        <v/>
      </c>
      <c r="AJ2612" s="17" t="str">
        <f t="shared" si="3"/>
        <v/>
      </c>
    </row>
    <row r="2613" spans="31:36">
      <c r="AE2613" s="15" t="str">
        <f t="shared" si="0"/>
        <v/>
      </c>
      <c r="AF2613" s="15" t="str">
        <f t="shared" si="1"/>
        <v/>
      </c>
      <c r="AG2613" s="15" t="str">
        <f>IF(OR(AF2613="",AF2613="ERRO_CHAVE"),"",IFERROR(MATCH(AF2613,'quitado Despesa'!$V$1:$V$12,0),""))</f>
        <v/>
      </c>
      <c r="AH2613" s="15" t="str">
        <f t="shared" si="2"/>
        <v/>
      </c>
      <c r="AI2613" s="17" t="str">
        <f>IF(AG2613="","",INDEX('quitado Despesa'!$G$1:$G$12,AG2613))</f>
        <v/>
      </c>
      <c r="AJ2613" s="17" t="str">
        <f t="shared" si="3"/>
        <v/>
      </c>
    </row>
    <row r="2614" spans="31:36">
      <c r="AE2614" s="15" t="str">
        <f t="shared" si="0"/>
        <v/>
      </c>
      <c r="AF2614" s="15" t="str">
        <f t="shared" si="1"/>
        <v/>
      </c>
      <c r="AG2614" s="15" t="str">
        <f>IF(OR(AF2614="",AF2614="ERRO_CHAVE"),"",IFERROR(MATCH(AF2614,'quitado Despesa'!$V$1:$V$12,0),""))</f>
        <v/>
      </c>
      <c r="AH2614" s="15" t="str">
        <f t="shared" si="2"/>
        <v/>
      </c>
      <c r="AI2614" s="17" t="str">
        <f>IF(AG2614="","",INDEX('quitado Despesa'!$G$1:$G$12,AG2614))</f>
        <v/>
      </c>
      <c r="AJ2614" s="17" t="str">
        <f t="shared" si="3"/>
        <v/>
      </c>
    </row>
    <row r="2615" spans="31:36">
      <c r="AE2615" s="15" t="str">
        <f t="shared" si="0"/>
        <v/>
      </c>
      <c r="AF2615" s="15" t="str">
        <f t="shared" si="1"/>
        <v/>
      </c>
      <c r="AG2615" s="15" t="str">
        <f>IF(OR(AF2615="",AF2615="ERRO_CHAVE"),"",IFERROR(MATCH(AF2615,'quitado Despesa'!$V$1:$V$12,0),""))</f>
        <v/>
      </c>
      <c r="AH2615" s="15" t="str">
        <f t="shared" si="2"/>
        <v/>
      </c>
      <c r="AI2615" s="17" t="str">
        <f>IF(AG2615="","",INDEX('quitado Despesa'!$G$1:$G$12,AG2615))</f>
        <v/>
      </c>
      <c r="AJ2615" s="17" t="str">
        <f t="shared" si="3"/>
        <v/>
      </c>
    </row>
    <row r="2616" spans="31:36">
      <c r="AE2616" s="15" t="str">
        <f t="shared" si="0"/>
        <v/>
      </c>
      <c r="AF2616" s="15" t="str">
        <f t="shared" si="1"/>
        <v/>
      </c>
      <c r="AG2616" s="15" t="str">
        <f>IF(OR(AF2616="",AF2616="ERRO_CHAVE"),"",IFERROR(MATCH(AF2616,'quitado Despesa'!$V$1:$V$12,0),""))</f>
        <v/>
      </c>
      <c r="AH2616" s="15" t="str">
        <f t="shared" si="2"/>
        <v/>
      </c>
      <c r="AI2616" s="17" t="str">
        <f>IF(AG2616="","",INDEX('quitado Despesa'!$G$1:$G$12,AG2616))</f>
        <v/>
      </c>
      <c r="AJ2616" s="17" t="str">
        <f t="shared" si="3"/>
        <v/>
      </c>
    </row>
    <row r="2617" spans="31:36">
      <c r="AE2617" s="15" t="str">
        <f t="shared" si="0"/>
        <v/>
      </c>
      <c r="AF2617" s="15" t="str">
        <f t="shared" si="1"/>
        <v/>
      </c>
      <c r="AG2617" s="15" t="str">
        <f>IF(OR(AF2617="",AF2617="ERRO_CHAVE"),"",IFERROR(MATCH(AF2617,'quitado Despesa'!$V$1:$V$12,0),""))</f>
        <v/>
      </c>
      <c r="AH2617" s="15" t="str">
        <f t="shared" si="2"/>
        <v/>
      </c>
      <c r="AI2617" s="17" t="str">
        <f>IF(AG2617="","",INDEX('quitado Despesa'!$G$1:$G$12,AG2617))</f>
        <v/>
      </c>
      <c r="AJ2617" s="17" t="str">
        <f t="shared" si="3"/>
        <v/>
      </c>
    </row>
    <row r="2618" spans="31:36">
      <c r="AE2618" s="15" t="str">
        <f t="shared" si="0"/>
        <v/>
      </c>
      <c r="AF2618" s="15" t="str">
        <f t="shared" si="1"/>
        <v/>
      </c>
      <c r="AG2618" s="15" t="str">
        <f>IF(OR(AF2618="",AF2618="ERRO_CHAVE"),"",IFERROR(MATCH(AF2618,'quitado Despesa'!$V$1:$V$12,0),""))</f>
        <v/>
      </c>
      <c r="AH2618" s="15" t="str">
        <f t="shared" si="2"/>
        <v/>
      </c>
      <c r="AI2618" s="17" t="str">
        <f>IF(AG2618="","",INDEX('quitado Despesa'!$G$1:$G$12,AG2618))</f>
        <v/>
      </c>
      <c r="AJ2618" s="17" t="str">
        <f t="shared" si="3"/>
        <v/>
      </c>
    </row>
    <row r="2619" spans="31:36">
      <c r="AE2619" s="15" t="str">
        <f t="shared" si="0"/>
        <v/>
      </c>
      <c r="AF2619" s="15" t="str">
        <f t="shared" si="1"/>
        <v/>
      </c>
      <c r="AG2619" s="15" t="str">
        <f>IF(OR(AF2619="",AF2619="ERRO_CHAVE"),"",IFERROR(MATCH(AF2619,'quitado Despesa'!$V$1:$V$12,0),""))</f>
        <v/>
      </c>
      <c r="AH2619" s="15" t="str">
        <f t="shared" si="2"/>
        <v/>
      </c>
      <c r="AI2619" s="17" t="str">
        <f>IF(AG2619="","",INDEX('quitado Despesa'!$G$1:$G$12,AG2619))</f>
        <v/>
      </c>
      <c r="AJ2619" s="17" t="str">
        <f t="shared" si="3"/>
        <v/>
      </c>
    </row>
    <row r="2620" spans="31:36">
      <c r="AE2620" s="15" t="str">
        <f t="shared" si="0"/>
        <v/>
      </c>
      <c r="AF2620" s="15" t="str">
        <f t="shared" si="1"/>
        <v/>
      </c>
      <c r="AG2620" s="15" t="str">
        <f>IF(OR(AF2620="",AF2620="ERRO_CHAVE"),"",IFERROR(MATCH(AF2620,'quitado Despesa'!$V$1:$V$12,0),""))</f>
        <v/>
      </c>
      <c r="AH2620" s="15" t="str">
        <f t="shared" si="2"/>
        <v/>
      </c>
      <c r="AI2620" s="17" t="str">
        <f>IF(AG2620="","",INDEX('quitado Despesa'!$G$1:$G$12,AG2620))</f>
        <v/>
      </c>
      <c r="AJ2620" s="17" t="str">
        <f t="shared" si="3"/>
        <v/>
      </c>
    </row>
    <row r="2621" spans="31:36">
      <c r="AE2621" s="15" t="str">
        <f t="shared" si="0"/>
        <v/>
      </c>
      <c r="AF2621" s="15" t="str">
        <f t="shared" si="1"/>
        <v/>
      </c>
      <c r="AG2621" s="15" t="str">
        <f>IF(OR(AF2621="",AF2621="ERRO_CHAVE"),"",IFERROR(MATCH(AF2621,'quitado Despesa'!$V$1:$V$12,0),""))</f>
        <v/>
      </c>
      <c r="AH2621" s="15" t="str">
        <f t="shared" si="2"/>
        <v/>
      </c>
      <c r="AI2621" s="17" t="str">
        <f>IF(AG2621="","",INDEX('quitado Despesa'!$G$1:$G$12,AG2621))</f>
        <v/>
      </c>
      <c r="AJ2621" s="17" t="str">
        <f t="shared" si="3"/>
        <v/>
      </c>
    </row>
    <row r="2622" spans="31:36">
      <c r="AE2622" s="15" t="str">
        <f t="shared" si="0"/>
        <v/>
      </c>
      <c r="AF2622" s="15" t="str">
        <f t="shared" si="1"/>
        <v/>
      </c>
      <c r="AG2622" s="15" t="str">
        <f>IF(OR(AF2622="",AF2622="ERRO_CHAVE"),"",IFERROR(MATCH(AF2622,'quitado Despesa'!$V$1:$V$12,0),""))</f>
        <v/>
      </c>
      <c r="AH2622" s="15" t="str">
        <f t="shared" si="2"/>
        <v/>
      </c>
      <c r="AI2622" s="17" t="str">
        <f>IF(AG2622="","",INDEX('quitado Despesa'!$G$1:$G$12,AG2622))</f>
        <v/>
      </c>
      <c r="AJ2622" s="17" t="str">
        <f t="shared" si="3"/>
        <v/>
      </c>
    </row>
    <row r="2623" spans="31:36">
      <c r="AE2623" s="15" t="str">
        <f t="shared" si="0"/>
        <v/>
      </c>
      <c r="AF2623" s="15" t="str">
        <f t="shared" si="1"/>
        <v/>
      </c>
      <c r="AG2623" s="15" t="str">
        <f>IF(OR(AF2623="",AF2623="ERRO_CHAVE"),"",IFERROR(MATCH(AF2623,'quitado Despesa'!$V$1:$V$12,0),""))</f>
        <v/>
      </c>
      <c r="AH2623" s="15" t="str">
        <f t="shared" si="2"/>
        <v/>
      </c>
      <c r="AI2623" s="17" t="str">
        <f>IF(AG2623="","",INDEX('quitado Despesa'!$G$1:$G$12,AG2623))</f>
        <v/>
      </c>
      <c r="AJ2623" s="17" t="str">
        <f t="shared" si="3"/>
        <v/>
      </c>
    </row>
    <row r="2624" spans="31:36">
      <c r="AE2624" s="15" t="str">
        <f t="shared" si="0"/>
        <v/>
      </c>
      <c r="AF2624" s="15" t="str">
        <f t="shared" si="1"/>
        <v/>
      </c>
      <c r="AG2624" s="15" t="str">
        <f>IF(OR(AF2624="",AF2624="ERRO_CHAVE"),"",IFERROR(MATCH(AF2624,'quitado Despesa'!$V$1:$V$12,0),""))</f>
        <v/>
      </c>
      <c r="AH2624" s="15" t="str">
        <f t="shared" si="2"/>
        <v/>
      </c>
      <c r="AI2624" s="17" t="str">
        <f>IF(AG2624="","",INDEX('quitado Despesa'!$G$1:$G$12,AG2624))</f>
        <v/>
      </c>
      <c r="AJ2624" s="17" t="str">
        <f t="shared" si="3"/>
        <v/>
      </c>
    </row>
    <row r="2625" spans="31:36">
      <c r="AE2625" s="15" t="str">
        <f t="shared" si="0"/>
        <v/>
      </c>
      <c r="AF2625" s="15" t="str">
        <f t="shared" si="1"/>
        <v/>
      </c>
      <c r="AG2625" s="15" t="str">
        <f>IF(OR(AF2625="",AF2625="ERRO_CHAVE"),"",IFERROR(MATCH(AF2625,'quitado Despesa'!$V$1:$V$12,0),""))</f>
        <v/>
      </c>
      <c r="AH2625" s="15" t="str">
        <f t="shared" si="2"/>
        <v/>
      </c>
      <c r="AI2625" s="17" t="str">
        <f>IF(AG2625="","",INDEX('quitado Despesa'!$G$1:$G$12,AG2625))</f>
        <v/>
      </c>
      <c r="AJ2625" s="17" t="str">
        <f t="shared" si="3"/>
        <v/>
      </c>
    </row>
    <row r="2626" spans="31:36">
      <c r="AE2626" s="15" t="str">
        <f t="shared" si="0"/>
        <v/>
      </c>
      <c r="AF2626" s="15" t="str">
        <f t="shared" si="1"/>
        <v/>
      </c>
      <c r="AG2626" s="15" t="str">
        <f>IF(OR(AF2626="",AF2626="ERRO_CHAVE"),"",IFERROR(MATCH(AF2626,'quitado Despesa'!$V$1:$V$12,0),""))</f>
        <v/>
      </c>
      <c r="AH2626" s="15" t="str">
        <f t="shared" si="2"/>
        <v/>
      </c>
      <c r="AI2626" s="17" t="str">
        <f>IF(AG2626="","",INDEX('quitado Despesa'!$G$1:$G$12,AG2626))</f>
        <v/>
      </c>
      <c r="AJ2626" s="17" t="str">
        <f t="shared" si="3"/>
        <v/>
      </c>
    </row>
    <row r="2627" spans="31:36">
      <c r="AE2627" s="15" t="str">
        <f t="shared" si="0"/>
        <v/>
      </c>
      <c r="AF2627" s="15" t="str">
        <f t="shared" si="1"/>
        <v/>
      </c>
      <c r="AG2627" s="15" t="str">
        <f>IF(OR(AF2627="",AF2627="ERRO_CHAVE"),"",IFERROR(MATCH(AF2627,'quitado Despesa'!$V$1:$V$12,0),""))</f>
        <v/>
      </c>
      <c r="AH2627" s="15" t="str">
        <f t="shared" si="2"/>
        <v/>
      </c>
      <c r="AI2627" s="17" t="str">
        <f>IF(AG2627="","",INDEX('quitado Despesa'!$G$1:$G$12,AG2627))</f>
        <v/>
      </c>
      <c r="AJ2627" s="17" t="str">
        <f t="shared" si="3"/>
        <v/>
      </c>
    </row>
    <row r="2628" spans="31:36">
      <c r="AE2628" s="15" t="str">
        <f t="shared" si="0"/>
        <v/>
      </c>
      <c r="AF2628" s="15" t="str">
        <f t="shared" si="1"/>
        <v/>
      </c>
      <c r="AG2628" s="15" t="str">
        <f>IF(OR(AF2628="",AF2628="ERRO_CHAVE"),"",IFERROR(MATCH(AF2628,'quitado Despesa'!$V$1:$V$12,0),""))</f>
        <v/>
      </c>
      <c r="AH2628" s="15" t="str">
        <f t="shared" si="2"/>
        <v/>
      </c>
      <c r="AI2628" s="17" t="str">
        <f>IF(AG2628="","",INDEX('quitado Despesa'!$G$1:$G$12,AG2628))</f>
        <v/>
      </c>
      <c r="AJ2628" s="17" t="str">
        <f t="shared" si="3"/>
        <v/>
      </c>
    </row>
    <row r="2629" spans="31:36">
      <c r="AE2629" s="15" t="str">
        <f t="shared" si="0"/>
        <v/>
      </c>
      <c r="AF2629" s="15" t="str">
        <f t="shared" si="1"/>
        <v/>
      </c>
      <c r="AG2629" s="15" t="str">
        <f>IF(OR(AF2629="",AF2629="ERRO_CHAVE"),"",IFERROR(MATCH(AF2629,'quitado Despesa'!$V$1:$V$12,0),""))</f>
        <v/>
      </c>
      <c r="AH2629" s="15" t="str">
        <f t="shared" si="2"/>
        <v/>
      </c>
      <c r="AI2629" s="17" t="str">
        <f>IF(AG2629="","",INDEX('quitado Despesa'!$G$1:$G$12,AG2629))</f>
        <v/>
      </c>
      <c r="AJ2629" s="17" t="str">
        <f t="shared" si="3"/>
        <v/>
      </c>
    </row>
    <row r="2630" spans="31:36">
      <c r="AE2630" s="15" t="str">
        <f t="shared" si="0"/>
        <v/>
      </c>
      <c r="AF2630" s="15" t="str">
        <f t="shared" si="1"/>
        <v/>
      </c>
      <c r="AG2630" s="15" t="str">
        <f>IF(OR(AF2630="",AF2630="ERRO_CHAVE"),"",IFERROR(MATCH(AF2630,'quitado Despesa'!$V$1:$V$12,0),""))</f>
        <v/>
      </c>
      <c r="AH2630" s="15" t="str">
        <f t="shared" si="2"/>
        <v/>
      </c>
      <c r="AI2630" s="17" t="str">
        <f>IF(AG2630="","",INDEX('quitado Despesa'!$G$1:$G$12,AG2630))</f>
        <v/>
      </c>
      <c r="AJ2630" s="17" t="str">
        <f t="shared" si="3"/>
        <v/>
      </c>
    </row>
    <row r="2631" spans="31:36">
      <c r="AE2631" s="15" t="str">
        <f t="shared" si="0"/>
        <v/>
      </c>
      <c r="AF2631" s="15" t="str">
        <f t="shared" si="1"/>
        <v/>
      </c>
      <c r="AG2631" s="15" t="str">
        <f>IF(OR(AF2631="",AF2631="ERRO_CHAVE"),"",IFERROR(MATCH(AF2631,'quitado Despesa'!$V$1:$V$12,0),""))</f>
        <v/>
      </c>
      <c r="AH2631" s="15" t="str">
        <f t="shared" si="2"/>
        <v/>
      </c>
      <c r="AI2631" s="17" t="str">
        <f>IF(AG2631="","",INDEX('quitado Despesa'!$G$1:$G$12,AG2631))</f>
        <v/>
      </c>
      <c r="AJ2631" s="17" t="str">
        <f t="shared" si="3"/>
        <v/>
      </c>
    </row>
    <row r="2632" spans="31:36">
      <c r="AE2632" s="15" t="str">
        <f t="shared" si="0"/>
        <v/>
      </c>
      <c r="AF2632" s="15" t="str">
        <f t="shared" si="1"/>
        <v/>
      </c>
      <c r="AG2632" s="15" t="str">
        <f>IF(OR(AF2632="",AF2632="ERRO_CHAVE"),"",IFERROR(MATCH(AF2632,'quitado Despesa'!$V$1:$V$12,0),""))</f>
        <v/>
      </c>
      <c r="AH2632" s="15" t="str">
        <f t="shared" si="2"/>
        <v/>
      </c>
      <c r="AI2632" s="17" t="str">
        <f>IF(AG2632="","",INDEX('quitado Despesa'!$G$1:$G$12,AG2632))</f>
        <v/>
      </c>
      <c r="AJ2632" s="17" t="str">
        <f t="shared" si="3"/>
        <v/>
      </c>
    </row>
    <row r="2633" spans="31:36">
      <c r="AE2633" s="15" t="str">
        <f t="shared" si="0"/>
        <v/>
      </c>
      <c r="AF2633" s="15" t="str">
        <f t="shared" si="1"/>
        <v/>
      </c>
      <c r="AG2633" s="15" t="str">
        <f>IF(OR(AF2633="",AF2633="ERRO_CHAVE"),"",IFERROR(MATCH(AF2633,'quitado Despesa'!$V$1:$V$12,0),""))</f>
        <v/>
      </c>
      <c r="AH2633" s="15" t="str">
        <f t="shared" si="2"/>
        <v/>
      </c>
      <c r="AI2633" s="17" t="str">
        <f>IF(AG2633="","",INDEX('quitado Despesa'!$G$1:$G$12,AG2633))</f>
        <v/>
      </c>
      <c r="AJ2633" s="17" t="str">
        <f t="shared" si="3"/>
        <v/>
      </c>
    </row>
    <row r="2634" spans="31:36">
      <c r="AE2634" s="15" t="str">
        <f t="shared" si="0"/>
        <v/>
      </c>
      <c r="AF2634" s="15" t="str">
        <f t="shared" si="1"/>
        <v/>
      </c>
      <c r="AG2634" s="15" t="str">
        <f>IF(OR(AF2634="",AF2634="ERRO_CHAVE"),"",IFERROR(MATCH(AF2634,'quitado Despesa'!$V$1:$V$12,0),""))</f>
        <v/>
      </c>
      <c r="AH2634" s="15" t="str">
        <f t="shared" si="2"/>
        <v/>
      </c>
      <c r="AI2634" s="17" t="str">
        <f>IF(AG2634="","",INDEX('quitado Despesa'!$G$1:$G$12,AG2634))</f>
        <v/>
      </c>
      <c r="AJ2634" s="17" t="str">
        <f t="shared" si="3"/>
        <v/>
      </c>
    </row>
    <row r="2635" spans="31:36">
      <c r="AE2635" s="15" t="str">
        <f t="shared" si="0"/>
        <v/>
      </c>
      <c r="AF2635" s="15" t="str">
        <f t="shared" si="1"/>
        <v/>
      </c>
      <c r="AG2635" s="15" t="str">
        <f>IF(OR(AF2635="",AF2635="ERRO_CHAVE"),"",IFERROR(MATCH(AF2635,'quitado Despesa'!$V$1:$V$12,0),""))</f>
        <v/>
      </c>
      <c r="AH2635" s="15" t="str">
        <f t="shared" si="2"/>
        <v/>
      </c>
      <c r="AI2635" s="17" t="str">
        <f>IF(AG2635="","",INDEX('quitado Despesa'!$G$1:$G$12,AG2635))</f>
        <v/>
      </c>
      <c r="AJ2635" s="17" t="str">
        <f t="shared" si="3"/>
        <v/>
      </c>
    </row>
    <row r="2636" spans="31:36">
      <c r="AE2636" s="15" t="str">
        <f t="shared" si="0"/>
        <v/>
      </c>
      <c r="AF2636" s="15" t="str">
        <f t="shared" si="1"/>
        <v/>
      </c>
      <c r="AG2636" s="15" t="str">
        <f>IF(OR(AF2636="",AF2636="ERRO_CHAVE"),"",IFERROR(MATCH(AF2636,'quitado Despesa'!$V$1:$V$12,0),""))</f>
        <v/>
      </c>
      <c r="AH2636" s="15" t="str">
        <f t="shared" si="2"/>
        <v/>
      </c>
      <c r="AI2636" s="17" t="str">
        <f>IF(AG2636="","",INDEX('quitado Despesa'!$G$1:$G$12,AG2636))</f>
        <v/>
      </c>
      <c r="AJ2636" s="17" t="str">
        <f t="shared" si="3"/>
        <v/>
      </c>
    </row>
    <row r="2637" spans="31:36">
      <c r="AE2637" s="15" t="str">
        <f t="shared" si="0"/>
        <v/>
      </c>
      <c r="AF2637" s="15" t="str">
        <f t="shared" si="1"/>
        <v/>
      </c>
      <c r="AG2637" s="15" t="str">
        <f>IF(OR(AF2637="",AF2637="ERRO_CHAVE"),"",IFERROR(MATCH(AF2637,'quitado Despesa'!$V$1:$V$12,0),""))</f>
        <v/>
      </c>
      <c r="AH2637" s="15" t="str">
        <f t="shared" si="2"/>
        <v/>
      </c>
      <c r="AI2637" s="17" t="str">
        <f>IF(AG2637="","",INDEX('quitado Despesa'!$G$1:$G$12,AG2637))</f>
        <v/>
      </c>
      <c r="AJ2637" s="17" t="str">
        <f t="shared" si="3"/>
        <v/>
      </c>
    </row>
    <row r="2638" spans="31:36">
      <c r="AE2638" s="15" t="str">
        <f t="shared" si="0"/>
        <v/>
      </c>
      <c r="AF2638" s="15" t="str">
        <f t="shared" si="1"/>
        <v/>
      </c>
      <c r="AG2638" s="15" t="str">
        <f>IF(OR(AF2638="",AF2638="ERRO_CHAVE"),"",IFERROR(MATCH(AF2638,'quitado Despesa'!$V$1:$V$12,0),""))</f>
        <v/>
      </c>
      <c r="AH2638" s="15" t="str">
        <f t="shared" si="2"/>
        <v/>
      </c>
      <c r="AI2638" s="17" t="str">
        <f>IF(AG2638="","",INDEX('quitado Despesa'!$G$1:$G$12,AG2638))</f>
        <v/>
      </c>
      <c r="AJ2638" s="17" t="str">
        <f t="shared" si="3"/>
        <v/>
      </c>
    </row>
    <row r="2639" spans="31:36">
      <c r="AE2639" s="15" t="str">
        <f t="shared" si="0"/>
        <v/>
      </c>
      <c r="AF2639" s="15" t="str">
        <f t="shared" si="1"/>
        <v/>
      </c>
      <c r="AG2639" s="15" t="str">
        <f>IF(OR(AF2639="",AF2639="ERRO_CHAVE"),"",IFERROR(MATCH(AF2639,'quitado Despesa'!$V$1:$V$12,0),""))</f>
        <v/>
      </c>
      <c r="AH2639" s="15" t="str">
        <f t="shared" si="2"/>
        <v/>
      </c>
      <c r="AI2639" s="17" t="str">
        <f>IF(AG2639="","",INDEX('quitado Despesa'!$G$1:$G$12,AG2639))</f>
        <v/>
      </c>
      <c r="AJ2639" s="17" t="str">
        <f t="shared" si="3"/>
        <v/>
      </c>
    </row>
    <row r="2640" spans="31:36">
      <c r="AE2640" s="15" t="str">
        <f t="shared" si="0"/>
        <v/>
      </c>
      <c r="AF2640" s="15" t="str">
        <f t="shared" si="1"/>
        <v/>
      </c>
      <c r="AG2640" s="15" t="str">
        <f>IF(OR(AF2640="",AF2640="ERRO_CHAVE"),"",IFERROR(MATCH(AF2640,'quitado Despesa'!$V$1:$V$12,0),""))</f>
        <v/>
      </c>
      <c r="AH2640" s="15" t="str">
        <f t="shared" si="2"/>
        <v/>
      </c>
      <c r="AI2640" s="17" t="str">
        <f>IF(AG2640="","",INDEX('quitado Despesa'!$G$1:$G$12,AG2640))</f>
        <v/>
      </c>
      <c r="AJ2640" s="17" t="str">
        <f t="shared" si="3"/>
        <v/>
      </c>
    </row>
    <row r="2641" spans="31:36">
      <c r="AE2641" s="15" t="str">
        <f t="shared" si="0"/>
        <v/>
      </c>
      <c r="AF2641" s="15" t="str">
        <f t="shared" si="1"/>
        <v/>
      </c>
      <c r="AG2641" s="15" t="str">
        <f>IF(OR(AF2641="",AF2641="ERRO_CHAVE"),"",IFERROR(MATCH(AF2641,'quitado Despesa'!$V$1:$V$12,0),""))</f>
        <v/>
      </c>
      <c r="AH2641" s="15" t="str">
        <f t="shared" si="2"/>
        <v/>
      </c>
      <c r="AI2641" s="17" t="str">
        <f>IF(AG2641="","",INDEX('quitado Despesa'!$G$1:$G$12,AG2641))</f>
        <v/>
      </c>
      <c r="AJ2641" s="17" t="str">
        <f t="shared" si="3"/>
        <v/>
      </c>
    </row>
    <row r="2642" spans="31:36">
      <c r="AE2642" s="15" t="str">
        <f t="shared" si="0"/>
        <v/>
      </c>
      <c r="AF2642" s="15" t="str">
        <f t="shared" si="1"/>
        <v/>
      </c>
      <c r="AG2642" s="15" t="str">
        <f>IF(OR(AF2642="",AF2642="ERRO_CHAVE"),"",IFERROR(MATCH(AF2642,'quitado Despesa'!$V$1:$V$12,0),""))</f>
        <v/>
      </c>
      <c r="AH2642" s="15" t="str">
        <f t="shared" si="2"/>
        <v/>
      </c>
      <c r="AI2642" s="17" t="str">
        <f>IF(AG2642="","",INDEX('quitado Despesa'!$G$1:$G$12,AG2642))</f>
        <v/>
      </c>
      <c r="AJ2642" s="17" t="str">
        <f t="shared" si="3"/>
        <v/>
      </c>
    </row>
    <row r="2643" spans="31:36">
      <c r="AE2643" s="15" t="str">
        <f t="shared" si="0"/>
        <v/>
      </c>
      <c r="AF2643" s="15" t="str">
        <f t="shared" si="1"/>
        <v/>
      </c>
      <c r="AG2643" s="15" t="str">
        <f>IF(OR(AF2643="",AF2643="ERRO_CHAVE"),"",IFERROR(MATCH(AF2643,'quitado Despesa'!$V$1:$V$12,0),""))</f>
        <v/>
      </c>
      <c r="AH2643" s="15" t="str">
        <f t="shared" si="2"/>
        <v/>
      </c>
      <c r="AI2643" s="17" t="str">
        <f>IF(AG2643="","",INDEX('quitado Despesa'!$G$1:$G$12,AG2643))</f>
        <v/>
      </c>
      <c r="AJ2643" s="17" t="str">
        <f t="shared" si="3"/>
        <v/>
      </c>
    </row>
    <row r="2644" spans="31:36">
      <c r="AE2644" s="15" t="str">
        <f t="shared" si="0"/>
        <v/>
      </c>
      <c r="AF2644" s="15" t="str">
        <f t="shared" si="1"/>
        <v/>
      </c>
      <c r="AG2644" s="15" t="str">
        <f>IF(OR(AF2644="",AF2644="ERRO_CHAVE"),"",IFERROR(MATCH(AF2644,'quitado Despesa'!$V$1:$V$12,0),""))</f>
        <v/>
      </c>
      <c r="AH2644" s="15" t="str">
        <f t="shared" si="2"/>
        <v/>
      </c>
      <c r="AI2644" s="17" t="str">
        <f>IF(AG2644="","",INDEX('quitado Despesa'!$G$1:$G$12,AG2644))</f>
        <v/>
      </c>
      <c r="AJ2644" s="17" t="str">
        <f t="shared" si="3"/>
        <v/>
      </c>
    </row>
    <row r="2645" spans="31:36">
      <c r="AE2645" s="15" t="str">
        <f t="shared" si="0"/>
        <v/>
      </c>
      <c r="AF2645" s="15" t="str">
        <f t="shared" si="1"/>
        <v/>
      </c>
      <c r="AG2645" s="15" t="str">
        <f>IF(OR(AF2645="",AF2645="ERRO_CHAVE"),"",IFERROR(MATCH(AF2645,'quitado Despesa'!$V$1:$V$12,0),""))</f>
        <v/>
      </c>
      <c r="AH2645" s="15" t="str">
        <f t="shared" si="2"/>
        <v/>
      </c>
      <c r="AI2645" s="17" t="str">
        <f>IF(AG2645="","",INDEX('quitado Despesa'!$G$1:$G$12,AG2645))</f>
        <v/>
      </c>
      <c r="AJ2645" s="17" t="str">
        <f t="shared" si="3"/>
        <v/>
      </c>
    </row>
    <row r="2646" spans="31:36">
      <c r="AE2646" s="15" t="str">
        <f t="shared" si="0"/>
        <v/>
      </c>
      <c r="AF2646" s="15" t="str">
        <f t="shared" si="1"/>
        <v/>
      </c>
      <c r="AG2646" s="15" t="str">
        <f>IF(OR(AF2646="",AF2646="ERRO_CHAVE"),"",IFERROR(MATCH(AF2646,'quitado Despesa'!$V$1:$V$12,0),""))</f>
        <v/>
      </c>
      <c r="AH2646" s="15" t="str">
        <f t="shared" si="2"/>
        <v/>
      </c>
      <c r="AI2646" s="17" t="str">
        <f>IF(AG2646="","",INDEX('quitado Despesa'!$G$1:$G$12,AG2646))</f>
        <v/>
      </c>
      <c r="AJ2646" s="17" t="str">
        <f t="shared" si="3"/>
        <v/>
      </c>
    </row>
    <row r="2647" spans="31:36">
      <c r="AE2647" s="15" t="str">
        <f t="shared" si="0"/>
        <v/>
      </c>
      <c r="AF2647" s="15" t="str">
        <f t="shared" si="1"/>
        <v/>
      </c>
      <c r="AG2647" s="15" t="str">
        <f>IF(OR(AF2647="",AF2647="ERRO_CHAVE"),"",IFERROR(MATCH(AF2647,'quitado Despesa'!$V$1:$V$12,0),""))</f>
        <v/>
      </c>
      <c r="AH2647" s="15" t="str">
        <f t="shared" si="2"/>
        <v/>
      </c>
      <c r="AI2647" s="17" t="str">
        <f>IF(AG2647="","",INDEX('quitado Despesa'!$G$1:$G$12,AG2647))</f>
        <v/>
      </c>
      <c r="AJ2647" s="17" t="str">
        <f t="shared" si="3"/>
        <v/>
      </c>
    </row>
    <row r="2648" spans="31:36">
      <c r="AE2648" s="15" t="str">
        <f t="shared" si="0"/>
        <v/>
      </c>
      <c r="AF2648" s="15" t="str">
        <f t="shared" si="1"/>
        <v/>
      </c>
      <c r="AG2648" s="15" t="str">
        <f>IF(OR(AF2648="",AF2648="ERRO_CHAVE"),"",IFERROR(MATCH(AF2648,'quitado Despesa'!$V$1:$V$12,0),""))</f>
        <v/>
      </c>
      <c r="AH2648" s="15" t="str">
        <f t="shared" si="2"/>
        <v/>
      </c>
      <c r="AI2648" s="17" t="str">
        <f>IF(AG2648="","",INDEX('quitado Despesa'!$G$1:$G$12,AG2648))</f>
        <v/>
      </c>
      <c r="AJ2648" s="17" t="str">
        <f t="shared" si="3"/>
        <v/>
      </c>
    </row>
    <row r="2649" spans="31:36">
      <c r="AE2649" s="15" t="str">
        <f t="shared" si="0"/>
        <v/>
      </c>
      <c r="AF2649" s="15" t="str">
        <f t="shared" si="1"/>
        <v/>
      </c>
      <c r="AG2649" s="15" t="str">
        <f>IF(OR(AF2649="",AF2649="ERRO_CHAVE"),"",IFERROR(MATCH(AF2649,'quitado Despesa'!$V$1:$V$12,0),""))</f>
        <v/>
      </c>
      <c r="AH2649" s="15" t="str">
        <f t="shared" si="2"/>
        <v/>
      </c>
      <c r="AI2649" s="17" t="str">
        <f>IF(AG2649="","",INDEX('quitado Despesa'!$G$1:$G$12,AG2649))</f>
        <v/>
      </c>
      <c r="AJ2649" s="17" t="str">
        <f t="shared" si="3"/>
        <v/>
      </c>
    </row>
    <row r="2650" spans="31:36">
      <c r="AE2650" s="15" t="str">
        <f t="shared" si="0"/>
        <v/>
      </c>
      <c r="AF2650" s="15" t="str">
        <f t="shared" si="1"/>
        <v/>
      </c>
      <c r="AG2650" s="15" t="str">
        <f>IF(OR(AF2650="",AF2650="ERRO_CHAVE"),"",IFERROR(MATCH(AF2650,'quitado Despesa'!$V$1:$V$12,0),""))</f>
        <v/>
      </c>
      <c r="AH2650" s="15" t="str">
        <f t="shared" si="2"/>
        <v/>
      </c>
      <c r="AI2650" s="17" t="str">
        <f>IF(AG2650="","",INDEX('quitado Despesa'!$G$1:$G$12,AG2650))</f>
        <v/>
      </c>
      <c r="AJ2650" s="17" t="str">
        <f t="shared" si="3"/>
        <v/>
      </c>
    </row>
    <row r="2651" spans="31:36">
      <c r="AE2651" s="15" t="str">
        <f t="shared" si="0"/>
        <v/>
      </c>
      <c r="AF2651" s="15" t="str">
        <f t="shared" si="1"/>
        <v/>
      </c>
      <c r="AG2651" s="15" t="str">
        <f>IF(OR(AF2651="",AF2651="ERRO_CHAVE"),"",IFERROR(MATCH(AF2651,'quitado Despesa'!$V$1:$V$12,0),""))</f>
        <v/>
      </c>
      <c r="AH2651" s="15" t="str">
        <f t="shared" si="2"/>
        <v/>
      </c>
      <c r="AI2651" s="17" t="str">
        <f>IF(AG2651="","",INDEX('quitado Despesa'!$G$1:$G$12,AG2651))</f>
        <v/>
      </c>
      <c r="AJ2651" s="17" t="str">
        <f t="shared" si="3"/>
        <v/>
      </c>
    </row>
    <row r="2652" spans="31:36">
      <c r="AE2652" s="15" t="str">
        <f t="shared" si="0"/>
        <v/>
      </c>
      <c r="AF2652" s="15" t="str">
        <f t="shared" si="1"/>
        <v/>
      </c>
      <c r="AG2652" s="15" t="str">
        <f>IF(OR(AF2652="",AF2652="ERRO_CHAVE"),"",IFERROR(MATCH(AF2652,'quitado Despesa'!$V$1:$V$12,0),""))</f>
        <v/>
      </c>
      <c r="AH2652" s="15" t="str">
        <f t="shared" si="2"/>
        <v/>
      </c>
      <c r="AI2652" s="17" t="str">
        <f>IF(AG2652="","",INDEX('quitado Despesa'!$G$1:$G$12,AG2652))</f>
        <v/>
      </c>
      <c r="AJ2652" s="17" t="str">
        <f t="shared" si="3"/>
        <v/>
      </c>
    </row>
    <row r="2653" spans="31:36">
      <c r="AE2653" s="15" t="str">
        <f t="shared" si="0"/>
        <v/>
      </c>
      <c r="AF2653" s="15" t="str">
        <f t="shared" si="1"/>
        <v/>
      </c>
      <c r="AG2653" s="15" t="str">
        <f>IF(OR(AF2653="",AF2653="ERRO_CHAVE"),"",IFERROR(MATCH(AF2653,'quitado Despesa'!$V$1:$V$12,0),""))</f>
        <v/>
      </c>
      <c r="AH2653" s="15" t="str">
        <f t="shared" si="2"/>
        <v/>
      </c>
      <c r="AI2653" s="17" t="str">
        <f>IF(AG2653="","",INDEX('quitado Despesa'!$G$1:$G$12,AG2653))</f>
        <v/>
      </c>
      <c r="AJ2653" s="17" t="str">
        <f t="shared" si="3"/>
        <v/>
      </c>
    </row>
    <row r="2654" spans="31:36">
      <c r="AE2654" s="15" t="str">
        <f t="shared" si="0"/>
        <v/>
      </c>
      <c r="AF2654" s="15" t="str">
        <f t="shared" si="1"/>
        <v/>
      </c>
      <c r="AG2654" s="15" t="str">
        <f>IF(OR(AF2654="",AF2654="ERRO_CHAVE"),"",IFERROR(MATCH(AF2654,'quitado Despesa'!$V$1:$V$12,0),""))</f>
        <v/>
      </c>
      <c r="AH2654" s="15" t="str">
        <f t="shared" si="2"/>
        <v/>
      </c>
      <c r="AI2654" s="17" t="str">
        <f>IF(AG2654="","",INDEX('quitado Despesa'!$G$1:$G$12,AG2654))</f>
        <v/>
      </c>
      <c r="AJ2654" s="17" t="str">
        <f t="shared" si="3"/>
        <v/>
      </c>
    </row>
    <row r="2655" spans="31:36">
      <c r="AE2655" s="15" t="str">
        <f t="shared" si="0"/>
        <v/>
      </c>
      <c r="AF2655" s="15" t="str">
        <f t="shared" si="1"/>
        <v/>
      </c>
      <c r="AG2655" s="15" t="str">
        <f>IF(OR(AF2655="",AF2655="ERRO_CHAVE"),"",IFERROR(MATCH(AF2655,'quitado Despesa'!$V$1:$V$12,0),""))</f>
        <v/>
      </c>
      <c r="AH2655" s="15" t="str">
        <f t="shared" si="2"/>
        <v/>
      </c>
      <c r="AI2655" s="17" t="str">
        <f>IF(AG2655="","",INDEX('quitado Despesa'!$G$1:$G$12,AG2655))</f>
        <v/>
      </c>
      <c r="AJ2655" s="17" t="str">
        <f t="shared" si="3"/>
        <v/>
      </c>
    </row>
    <row r="2656" spans="31:36">
      <c r="AE2656" s="15" t="str">
        <f t="shared" si="0"/>
        <v/>
      </c>
      <c r="AF2656" s="15" t="str">
        <f t="shared" si="1"/>
        <v/>
      </c>
      <c r="AG2656" s="15" t="str">
        <f>IF(OR(AF2656="",AF2656="ERRO_CHAVE"),"",IFERROR(MATCH(AF2656,'quitado Despesa'!$V$1:$V$12,0),""))</f>
        <v/>
      </c>
      <c r="AH2656" s="15" t="str">
        <f t="shared" si="2"/>
        <v/>
      </c>
      <c r="AI2656" s="17" t="str">
        <f>IF(AG2656="","",INDEX('quitado Despesa'!$G$1:$G$12,AG2656))</f>
        <v/>
      </c>
      <c r="AJ2656" s="17" t="str">
        <f t="shared" si="3"/>
        <v/>
      </c>
    </row>
    <row r="2657" spans="31:36">
      <c r="AE2657" s="15" t="str">
        <f t="shared" si="0"/>
        <v/>
      </c>
      <c r="AF2657" s="15" t="str">
        <f t="shared" si="1"/>
        <v/>
      </c>
      <c r="AG2657" s="15" t="str">
        <f>IF(OR(AF2657="",AF2657="ERRO_CHAVE"),"",IFERROR(MATCH(AF2657,'quitado Despesa'!$V$1:$V$12,0),""))</f>
        <v/>
      </c>
      <c r="AH2657" s="15" t="str">
        <f t="shared" si="2"/>
        <v/>
      </c>
      <c r="AI2657" s="17" t="str">
        <f>IF(AG2657="","",INDEX('quitado Despesa'!$G$1:$G$12,AG2657))</f>
        <v/>
      </c>
      <c r="AJ2657" s="17" t="str">
        <f t="shared" si="3"/>
        <v/>
      </c>
    </row>
    <row r="2658" spans="31:36">
      <c r="AE2658" s="15" t="str">
        <f t="shared" si="0"/>
        <v/>
      </c>
      <c r="AF2658" s="15" t="str">
        <f t="shared" si="1"/>
        <v/>
      </c>
      <c r="AG2658" s="15" t="str">
        <f>IF(OR(AF2658="",AF2658="ERRO_CHAVE"),"",IFERROR(MATCH(AF2658,'quitado Despesa'!$V$1:$V$12,0),""))</f>
        <v/>
      </c>
      <c r="AH2658" s="15" t="str">
        <f t="shared" si="2"/>
        <v/>
      </c>
      <c r="AI2658" s="17" t="str">
        <f>IF(AG2658="","",INDEX('quitado Despesa'!$G$1:$G$12,AG2658))</f>
        <v/>
      </c>
      <c r="AJ2658" s="17" t="str">
        <f t="shared" si="3"/>
        <v/>
      </c>
    </row>
    <row r="2659" spans="31:36">
      <c r="AE2659" s="15" t="str">
        <f t="shared" si="0"/>
        <v/>
      </c>
      <c r="AF2659" s="15" t="str">
        <f t="shared" si="1"/>
        <v/>
      </c>
      <c r="AG2659" s="15" t="str">
        <f>IF(OR(AF2659="",AF2659="ERRO_CHAVE"),"",IFERROR(MATCH(AF2659,'quitado Despesa'!$V$1:$V$12,0),""))</f>
        <v/>
      </c>
      <c r="AH2659" s="15" t="str">
        <f t="shared" si="2"/>
        <v/>
      </c>
      <c r="AI2659" s="17" t="str">
        <f>IF(AG2659="","",INDEX('quitado Despesa'!$G$1:$G$12,AG2659))</f>
        <v/>
      </c>
      <c r="AJ2659" s="17" t="str">
        <f t="shared" si="3"/>
        <v/>
      </c>
    </row>
    <row r="2660" spans="31:36">
      <c r="AE2660" s="15" t="str">
        <f t="shared" si="0"/>
        <v/>
      </c>
      <c r="AF2660" s="15" t="str">
        <f t="shared" si="1"/>
        <v/>
      </c>
      <c r="AG2660" s="15" t="str">
        <f>IF(OR(AF2660="",AF2660="ERRO_CHAVE"),"",IFERROR(MATCH(AF2660,'quitado Despesa'!$V$1:$V$12,0),""))</f>
        <v/>
      </c>
      <c r="AH2660" s="15" t="str">
        <f t="shared" si="2"/>
        <v/>
      </c>
      <c r="AI2660" s="17" t="str">
        <f>IF(AG2660="","",INDEX('quitado Despesa'!$G$1:$G$12,AG2660))</f>
        <v/>
      </c>
      <c r="AJ2660" s="17" t="str">
        <f t="shared" si="3"/>
        <v/>
      </c>
    </row>
    <row r="2661" spans="31:36">
      <c r="AE2661" s="15" t="str">
        <f t="shared" si="0"/>
        <v/>
      </c>
      <c r="AF2661" s="15" t="str">
        <f t="shared" si="1"/>
        <v/>
      </c>
      <c r="AG2661" s="15" t="str">
        <f>IF(OR(AF2661="",AF2661="ERRO_CHAVE"),"",IFERROR(MATCH(AF2661,'quitado Despesa'!$V$1:$V$12,0),""))</f>
        <v/>
      </c>
      <c r="AH2661" s="15" t="str">
        <f t="shared" si="2"/>
        <v/>
      </c>
      <c r="AI2661" s="17" t="str">
        <f>IF(AG2661="","",INDEX('quitado Despesa'!$G$1:$G$12,AG2661))</f>
        <v/>
      </c>
      <c r="AJ2661" s="17" t="str">
        <f t="shared" si="3"/>
        <v/>
      </c>
    </row>
    <row r="2662" spans="31:36">
      <c r="AE2662" s="15" t="str">
        <f t="shared" si="0"/>
        <v/>
      </c>
      <c r="AF2662" s="15" t="str">
        <f t="shared" si="1"/>
        <v/>
      </c>
      <c r="AG2662" s="15" t="str">
        <f>IF(OR(AF2662="",AF2662="ERRO_CHAVE"),"",IFERROR(MATCH(AF2662,'quitado Despesa'!$V$1:$V$12,0),""))</f>
        <v/>
      </c>
      <c r="AH2662" s="15" t="str">
        <f t="shared" si="2"/>
        <v/>
      </c>
      <c r="AI2662" s="17" t="str">
        <f>IF(AG2662="","",INDEX('quitado Despesa'!$G$1:$G$12,AG2662))</f>
        <v/>
      </c>
      <c r="AJ2662" s="17" t="str">
        <f t="shared" si="3"/>
        <v/>
      </c>
    </row>
    <row r="2663" spans="31:36">
      <c r="AE2663" s="15" t="str">
        <f t="shared" si="0"/>
        <v/>
      </c>
      <c r="AF2663" s="15" t="str">
        <f t="shared" si="1"/>
        <v/>
      </c>
      <c r="AG2663" s="15" t="str">
        <f>IF(OR(AF2663="",AF2663="ERRO_CHAVE"),"",IFERROR(MATCH(AF2663,'quitado Despesa'!$V$1:$V$12,0),""))</f>
        <v/>
      </c>
      <c r="AH2663" s="15" t="str">
        <f t="shared" si="2"/>
        <v/>
      </c>
      <c r="AI2663" s="17" t="str">
        <f>IF(AG2663="","",INDEX('quitado Despesa'!$G$1:$G$12,AG2663))</f>
        <v/>
      </c>
      <c r="AJ2663" s="17" t="str">
        <f t="shared" si="3"/>
        <v/>
      </c>
    </row>
    <row r="2664" spans="31:36">
      <c r="AE2664" s="15" t="str">
        <f t="shared" si="0"/>
        <v/>
      </c>
      <c r="AF2664" s="15" t="str">
        <f t="shared" si="1"/>
        <v/>
      </c>
      <c r="AG2664" s="15" t="str">
        <f>IF(OR(AF2664="",AF2664="ERRO_CHAVE"),"",IFERROR(MATCH(AF2664,'quitado Despesa'!$V$1:$V$12,0),""))</f>
        <v/>
      </c>
      <c r="AH2664" s="15" t="str">
        <f t="shared" si="2"/>
        <v/>
      </c>
      <c r="AI2664" s="17" t="str">
        <f>IF(AG2664="","",INDEX('quitado Despesa'!$G$1:$G$12,AG2664))</f>
        <v/>
      </c>
      <c r="AJ2664" s="17" t="str">
        <f t="shared" si="3"/>
        <v/>
      </c>
    </row>
    <row r="2665" spans="31:36">
      <c r="AE2665" s="15" t="str">
        <f t="shared" si="0"/>
        <v/>
      </c>
      <c r="AF2665" s="15" t="str">
        <f t="shared" si="1"/>
        <v/>
      </c>
      <c r="AG2665" s="15" t="str">
        <f>IF(OR(AF2665="",AF2665="ERRO_CHAVE"),"",IFERROR(MATCH(AF2665,'quitado Despesa'!$V$1:$V$12,0),""))</f>
        <v/>
      </c>
      <c r="AH2665" s="15" t="str">
        <f t="shared" si="2"/>
        <v/>
      </c>
      <c r="AI2665" s="17" t="str">
        <f>IF(AG2665="","",INDEX('quitado Despesa'!$G$1:$G$12,AG2665))</f>
        <v/>
      </c>
      <c r="AJ2665" s="17" t="str">
        <f t="shared" si="3"/>
        <v/>
      </c>
    </row>
    <row r="2666" spans="31:36">
      <c r="AE2666" s="15" t="str">
        <f t="shared" si="0"/>
        <v/>
      </c>
      <c r="AF2666" s="15" t="str">
        <f t="shared" si="1"/>
        <v/>
      </c>
      <c r="AG2666" s="15" t="str">
        <f>IF(OR(AF2666="",AF2666="ERRO_CHAVE"),"",IFERROR(MATCH(AF2666,'quitado Despesa'!$V$1:$V$12,0),""))</f>
        <v/>
      </c>
      <c r="AH2666" s="15" t="str">
        <f t="shared" si="2"/>
        <v/>
      </c>
      <c r="AI2666" s="17" t="str">
        <f>IF(AG2666="","",INDEX('quitado Despesa'!$G$1:$G$12,AG2666))</f>
        <v/>
      </c>
      <c r="AJ2666" s="17" t="str">
        <f t="shared" si="3"/>
        <v/>
      </c>
    </row>
    <row r="2667" spans="31:36">
      <c r="AE2667" s="15" t="str">
        <f t="shared" si="0"/>
        <v/>
      </c>
      <c r="AF2667" s="15" t="str">
        <f t="shared" si="1"/>
        <v/>
      </c>
      <c r="AG2667" s="15" t="str">
        <f>IF(OR(AF2667="",AF2667="ERRO_CHAVE"),"",IFERROR(MATCH(AF2667,'quitado Despesa'!$V$1:$V$12,0),""))</f>
        <v/>
      </c>
      <c r="AH2667" s="15" t="str">
        <f t="shared" si="2"/>
        <v/>
      </c>
      <c r="AI2667" s="17" t="str">
        <f>IF(AG2667="","",INDEX('quitado Despesa'!$G$1:$G$12,AG2667))</f>
        <v/>
      </c>
      <c r="AJ2667" s="17" t="str">
        <f t="shared" si="3"/>
        <v/>
      </c>
    </row>
    <row r="2668" spans="31:36">
      <c r="AE2668" s="15" t="str">
        <f t="shared" si="0"/>
        <v/>
      </c>
      <c r="AF2668" s="15" t="str">
        <f t="shared" si="1"/>
        <v/>
      </c>
      <c r="AG2668" s="15" t="str">
        <f>IF(OR(AF2668="",AF2668="ERRO_CHAVE"),"",IFERROR(MATCH(AF2668,'quitado Despesa'!$V$1:$V$12,0),""))</f>
        <v/>
      </c>
      <c r="AH2668" s="15" t="str">
        <f t="shared" si="2"/>
        <v/>
      </c>
      <c r="AI2668" s="17" t="str">
        <f>IF(AG2668="","",INDEX('quitado Despesa'!$G$1:$G$12,AG2668))</f>
        <v/>
      </c>
      <c r="AJ2668" s="17" t="str">
        <f t="shared" si="3"/>
        <v/>
      </c>
    </row>
    <row r="2669" spans="31:36">
      <c r="AE2669" s="15" t="str">
        <f t="shared" si="0"/>
        <v/>
      </c>
      <c r="AF2669" s="15" t="str">
        <f t="shared" si="1"/>
        <v/>
      </c>
      <c r="AG2669" s="15" t="str">
        <f>IF(OR(AF2669="",AF2669="ERRO_CHAVE"),"",IFERROR(MATCH(AF2669,'quitado Despesa'!$V$1:$V$12,0),""))</f>
        <v/>
      </c>
      <c r="AH2669" s="15" t="str">
        <f t="shared" si="2"/>
        <v/>
      </c>
      <c r="AI2669" s="17" t="str">
        <f>IF(AG2669="","",INDEX('quitado Despesa'!$G$1:$G$12,AG2669))</f>
        <v/>
      </c>
      <c r="AJ2669" s="17" t="str">
        <f t="shared" si="3"/>
        <v/>
      </c>
    </row>
    <row r="2670" spans="31:36">
      <c r="AE2670" s="15" t="str">
        <f t="shared" si="0"/>
        <v/>
      </c>
      <c r="AF2670" s="15" t="str">
        <f t="shared" si="1"/>
        <v/>
      </c>
      <c r="AG2670" s="15" t="str">
        <f>IF(OR(AF2670="",AF2670="ERRO_CHAVE"),"",IFERROR(MATCH(AF2670,'quitado Despesa'!$V$1:$V$12,0),""))</f>
        <v/>
      </c>
      <c r="AH2670" s="15" t="str">
        <f t="shared" si="2"/>
        <v/>
      </c>
      <c r="AI2670" s="17" t="str">
        <f>IF(AG2670="","",INDEX('quitado Despesa'!$G$1:$G$12,AG2670))</f>
        <v/>
      </c>
      <c r="AJ2670" s="17" t="str">
        <f t="shared" si="3"/>
        <v/>
      </c>
    </row>
    <row r="2671" spans="31:36">
      <c r="AE2671" s="15" t="str">
        <f t="shared" si="0"/>
        <v/>
      </c>
      <c r="AF2671" s="15" t="str">
        <f t="shared" si="1"/>
        <v/>
      </c>
      <c r="AG2671" s="15" t="str">
        <f>IF(OR(AF2671="",AF2671="ERRO_CHAVE"),"",IFERROR(MATCH(AF2671,'quitado Despesa'!$V$1:$V$12,0),""))</f>
        <v/>
      </c>
      <c r="AH2671" s="15" t="str">
        <f t="shared" si="2"/>
        <v/>
      </c>
      <c r="AI2671" s="17" t="str">
        <f>IF(AG2671="","",INDEX('quitado Despesa'!$G$1:$G$12,AG2671))</f>
        <v/>
      </c>
      <c r="AJ2671" s="17" t="str">
        <f t="shared" si="3"/>
        <v/>
      </c>
    </row>
    <row r="2672" spans="31:36">
      <c r="AE2672" s="15" t="str">
        <f t="shared" si="0"/>
        <v/>
      </c>
      <c r="AF2672" s="15" t="str">
        <f t="shared" si="1"/>
        <v/>
      </c>
      <c r="AG2672" s="15" t="str">
        <f>IF(OR(AF2672="",AF2672="ERRO_CHAVE"),"",IFERROR(MATCH(AF2672,'quitado Despesa'!$V$1:$V$12,0),""))</f>
        <v/>
      </c>
      <c r="AH2672" s="15" t="str">
        <f t="shared" si="2"/>
        <v/>
      </c>
      <c r="AI2672" s="17" t="str">
        <f>IF(AG2672="","",INDEX('quitado Despesa'!$G$1:$G$12,AG2672))</f>
        <v/>
      </c>
      <c r="AJ2672" s="17" t="str">
        <f t="shared" si="3"/>
        <v/>
      </c>
    </row>
    <row r="2673" spans="31:36">
      <c r="AE2673" s="15" t="str">
        <f t="shared" si="0"/>
        <v/>
      </c>
      <c r="AF2673" s="15" t="str">
        <f t="shared" si="1"/>
        <v/>
      </c>
      <c r="AG2673" s="15" t="str">
        <f>IF(OR(AF2673="",AF2673="ERRO_CHAVE"),"",IFERROR(MATCH(AF2673,'quitado Despesa'!$V$1:$V$12,0),""))</f>
        <v/>
      </c>
      <c r="AH2673" s="15" t="str">
        <f t="shared" si="2"/>
        <v/>
      </c>
      <c r="AI2673" s="17" t="str">
        <f>IF(AG2673="","",INDEX('quitado Despesa'!$G$1:$G$12,AG2673))</f>
        <v/>
      </c>
      <c r="AJ2673" s="17" t="str">
        <f t="shared" si="3"/>
        <v/>
      </c>
    </row>
    <row r="2674" spans="31:36">
      <c r="AE2674" s="15" t="str">
        <f t="shared" si="0"/>
        <v/>
      </c>
      <c r="AF2674" s="15" t="str">
        <f t="shared" si="1"/>
        <v/>
      </c>
      <c r="AG2674" s="15" t="str">
        <f>IF(OR(AF2674="",AF2674="ERRO_CHAVE"),"",IFERROR(MATCH(AF2674,'quitado Despesa'!$V$1:$V$12,0),""))</f>
        <v/>
      </c>
      <c r="AH2674" s="15" t="str">
        <f t="shared" si="2"/>
        <v/>
      </c>
      <c r="AI2674" s="17" t="str">
        <f>IF(AG2674="","",INDEX('quitado Despesa'!$G$1:$G$12,AG2674))</f>
        <v/>
      </c>
      <c r="AJ2674" s="17" t="str">
        <f t="shared" si="3"/>
        <v/>
      </c>
    </row>
    <row r="2675" spans="31:36">
      <c r="AE2675" s="15" t="str">
        <f t="shared" si="0"/>
        <v/>
      </c>
      <c r="AF2675" s="15" t="str">
        <f t="shared" si="1"/>
        <v/>
      </c>
      <c r="AG2675" s="15" t="str">
        <f>IF(OR(AF2675="",AF2675="ERRO_CHAVE"),"",IFERROR(MATCH(AF2675,'quitado Despesa'!$V$1:$V$12,0),""))</f>
        <v/>
      </c>
      <c r="AH2675" s="15" t="str">
        <f t="shared" si="2"/>
        <v/>
      </c>
      <c r="AI2675" s="17" t="str">
        <f>IF(AG2675="","",INDEX('quitado Despesa'!$G$1:$G$12,AG2675))</f>
        <v/>
      </c>
      <c r="AJ2675" s="17" t="str">
        <f t="shared" si="3"/>
        <v/>
      </c>
    </row>
    <row r="2676" spans="31:36">
      <c r="AE2676" s="15" t="str">
        <f t="shared" si="0"/>
        <v/>
      </c>
      <c r="AF2676" s="15" t="str">
        <f t="shared" si="1"/>
        <v/>
      </c>
      <c r="AG2676" s="15" t="str">
        <f>IF(OR(AF2676="",AF2676="ERRO_CHAVE"),"",IFERROR(MATCH(AF2676,'quitado Despesa'!$V$1:$V$12,0),""))</f>
        <v/>
      </c>
      <c r="AH2676" s="15" t="str">
        <f t="shared" si="2"/>
        <v/>
      </c>
      <c r="AI2676" s="17" t="str">
        <f>IF(AG2676="","",INDEX('quitado Despesa'!$G$1:$G$12,AG2676))</f>
        <v/>
      </c>
      <c r="AJ2676" s="17" t="str">
        <f t="shared" si="3"/>
        <v/>
      </c>
    </row>
    <row r="2677" spans="31:36">
      <c r="AE2677" s="15" t="str">
        <f t="shared" si="0"/>
        <v/>
      </c>
      <c r="AF2677" s="15" t="str">
        <f t="shared" si="1"/>
        <v/>
      </c>
      <c r="AG2677" s="15" t="str">
        <f>IF(OR(AF2677="",AF2677="ERRO_CHAVE"),"",IFERROR(MATCH(AF2677,'quitado Despesa'!$V$1:$V$12,0),""))</f>
        <v/>
      </c>
      <c r="AH2677" s="15" t="str">
        <f t="shared" si="2"/>
        <v/>
      </c>
      <c r="AI2677" s="17" t="str">
        <f>IF(AG2677="","",INDEX('quitado Despesa'!$G$1:$G$12,AG2677))</f>
        <v/>
      </c>
      <c r="AJ2677" s="17" t="str">
        <f t="shared" si="3"/>
        <v/>
      </c>
    </row>
    <row r="2678" spans="31:36">
      <c r="AE2678" s="15" t="str">
        <f t="shared" si="0"/>
        <v/>
      </c>
      <c r="AF2678" s="15" t="str">
        <f t="shared" si="1"/>
        <v/>
      </c>
      <c r="AG2678" s="15" t="str">
        <f>IF(OR(AF2678="",AF2678="ERRO_CHAVE"),"",IFERROR(MATCH(AF2678,'quitado Despesa'!$V$1:$V$12,0),""))</f>
        <v/>
      </c>
      <c r="AH2678" s="15" t="str">
        <f t="shared" si="2"/>
        <v/>
      </c>
      <c r="AI2678" s="17" t="str">
        <f>IF(AG2678="","",INDEX('quitado Despesa'!$G$1:$G$12,AG2678))</f>
        <v/>
      </c>
      <c r="AJ2678" s="17" t="str">
        <f t="shared" si="3"/>
        <v/>
      </c>
    </row>
    <row r="2679" spans="31:36">
      <c r="AE2679" s="15" t="str">
        <f t="shared" si="0"/>
        <v/>
      </c>
      <c r="AF2679" s="15" t="str">
        <f t="shared" si="1"/>
        <v/>
      </c>
      <c r="AG2679" s="15" t="str">
        <f>IF(OR(AF2679="",AF2679="ERRO_CHAVE"),"",IFERROR(MATCH(AF2679,'quitado Despesa'!$V$1:$V$12,0),""))</f>
        <v/>
      </c>
      <c r="AH2679" s="15" t="str">
        <f t="shared" si="2"/>
        <v/>
      </c>
      <c r="AI2679" s="17" t="str">
        <f>IF(AG2679="","",INDEX('quitado Despesa'!$G$1:$G$12,AG2679))</f>
        <v/>
      </c>
      <c r="AJ2679" s="17" t="str">
        <f t="shared" si="3"/>
        <v/>
      </c>
    </row>
    <row r="2680" spans="31:36">
      <c r="AE2680" s="15" t="str">
        <f t="shared" si="0"/>
        <v/>
      </c>
      <c r="AF2680" s="15" t="str">
        <f t="shared" si="1"/>
        <v/>
      </c>
      <c r="AG2680" s="15" t="str">
        <f>IF(OR(AF2680="",AF2680="ERRO_CHAVE"),"",IFERROR(MATCH(AF2680,'quitado Despesa'!$V$1:$V$12,0),""))</f>
        <v/>
      </c>
      <c r="AH2680" s="15" t="str">
        <f t="shared" si="2"/>
        <v/>
      </c>
      <c r="AI2680" s="17" t="str">
        <f>IF(AG2680="","",INDEX('quitado Despesa'!$G$1:$G$12,AG2680))</f>
        <v/>
      </c>
      <c r="AJ2680" s="17" t="str">
        <f t="shared" si="3"/>
        <v/>
      </c>
    </row>
    <row r="2681" spans="31:36">
      <c r="AE2681" s="15" t="str">
        <f t="shared" si="0"/>
        <v/>
      </c>
      <c r="AF2681" s="15" t="str">
        <f t="shared" si="1"/>
        <v/>
      </c>
      <c r="AG2681" s="15" t="str">
        <f>IF(OR(AF2681="",AF2681="ERRO_CHAVE"),"",IFERROR(MATCH(AF2681,'quitado Despesa'!$V$1:$V$12,0),""))</f>
        <v/>
      </c>
      <c r="AH2681" s="15" t="str">
        <f t="shared" si="2"/>
        <v/>
      </c>
      <c r="AI2681" s="17" t="str">
        <f>IF(AG2681="","",INDEX('quitado Despesa'!$G$1:$G$12,AG2681))</f>
        <v/>
      </c>
      <c r="AJ2681" s="17" t="str">
        <f t="shared" si="3"/>
        <v/>
      </c>
    </row>
    <row r="2682" spans="31:36">
      <c r="AE2682" s="15" t="str">
        <f t="shared" si="0"/>
        <v/>
      </c>
      <c r="AF2682" s="15" t="str">
        <f t="shared" si="1"/>
        <v/>
      </c>
      <c r="AG2682" s="15" t="str">
        <f>IF(OR(AF2682="",AF2682="ERRO_CHAVE"),"",IFERROR(MATCH(AF2682,'quitado Despesa'!$V$1:$V$12,0),""))</f>
        <v/>
      </c>
      <c r="AH2682" s="15" t="str">
        <f t="shared" si="2"/>
        <v/>
      </c>
      <c r="AI2682" s="17" t="str">
        <f>IF(AG2682="","",INDEX('quitado Despesa'!$G$1:$G$12,AG2682))</f>
        <v/>
      </c>
      <c r="AJ2682" s="17" t="str">
        <f t="shared" si="3"/>
        <v/>
      </c>
    </row>
    <row r="2683" spans="31:36">
      <c r="AE2683" s="15" t="str">
        <f t="shared" si="0"/>
        <v/>
      </c>
      <c r="AF2683" s="15" t="str">
        <f t="shared" si="1"/>
        <v/>
      </c>
      <c r="AG2683" s="15" t="str">
        <f>IF(OR(AF2683="",AF2683="ERRO_CHAVE"),"",IFERROR(MATCH(AF2683,'quitado Despesa'!$V$1:$V$12,0),""))</f>
        <v/>
      </c>
      <c r="AH2683" s="15" t="str">
        <f t="shared" si="2"/>
        <v/>
      </c>
      <c r="AI2683" s="17" t="str">
        <f>IF(AG2683="","",INDEX('quitado Despesa'!$G$1:$G$12,AG2683))</f>
        <v/>
      </c>
      <c r="AJ2683" s="17" t="str">
        <f t="shared" si="3"/>
        <v/>
      </c>
    </row>
    <row r="2684" spans="31:36">
      <c r="AE2684" s="15" t="str">
        <f t="shared" si="0"/>
        <v/>
      </c>
      <c r="AF2684" s="15" t="str">
        <f t="shared" si="1"/>
        <v/>
      </c>
      <c r="AG2684" s="15" t="str">
        <f>IF(OR(AF2684="",AF2684="ERRO_CHAVE"),"",IFERROR(MATCH(AF2684,'quitado Despesa'!$V$1:$V$12,0),""))</f>
        <v/>
      </c>
      <c r="AH2684" s="15" t="str">
        <f t="shared" si="2"/>
        <v/>
      </c>
      <c r="AI2684" s="17" t="str">
        <f>IF(AG2684="","",INDEX('quitado Despesa'!$G$1:$G$12,AG2684))</f>
        <v/>
      </c>
      <c r="AJ2684" s="17" t="str">
        <f t="shared" si="3"/>
        <v/>
      </c>
    </row>
    <row r="2685" spans="31:36">
      <c r="AE2685" s="15" t="str">
        <f t="shared" si="0"/>
        <v/>
      </c>
      <c r="AF2685" s="15" t="str">
        <f t="shared" si="1"/>
        <v/>
      </c>
      <c r="AG2685" s="15" t="str">
        <f>IF(OR(AF2685="",AF2685="ERRO_CHAVE"),"",IFERROR(MATCH(AF2685,'quitado Despesa'!$V$1:$V$12,0),""))</f>
        <v/>
      </c>
      <c r="AH2685" s="15" t="str">
        <f t="shared" si="2"/>
        <v/>
      </c>
      <c r="AI2685" s="17" t="str">
        <f>IF(AG2685="","",INDEX('quitado Despesa'!$G$1:$G$12,AG2685))</f>
        <v/>
      </c>
      <c r="AJ2685" s="17" t="str">
        <f t="shared" si="3"/>
        <v/>
      </c>
    </row>
    <row r="2686" spans="31:36">
      <c r="AE2686" s="15" t="str">
        <f t="shared" si="0"/>
        <v/>
      </c>
      <c r="AF2686" s="15" t="str">
        <f t="shared" si="1"/>
        <v/>
      </c>
      <c r="AG2686" s="15" t="str">
        <f>IF(OR(AF2686="",AF2686="ERRO_CHAVE"),"",IFERROR(MATCH(AF2686,'quitado Despesa'!$V$1:$V$12,0),""))</f>
        <v/>
      </c>
      <c r="AH2686" s="15" t="str">
        <f t="shared" si="2"/>
        <v/>
      </c>
      <c r="AI2686" s="17" t="str">
        <f>IF(AG2686="","",INDEX('quitado Despesa'!$G$1:$G$12,AG2686))</f>
        <v/>
      </c>
      <c r="AJ2686" s="17" t="str">
        <f t="shared" si="3"/>
        <v/>
      </c>
    </row>
    <row r="2687" spans="31:36">
      <c r="AE2687" s="15" t="str">
        <f t="shared" si="0"/>
        <v/>
      </c>
      <c r="AF2687" s="15" t="str">
        <f t="shared" si="1"/>
        <v/>
      </c>
      <c r="AG2687" s="15" t="str">
        <f>IF(OR(AF2687="",AF2687="ERRO_CHAVE"),"",IFERROR(MATCH(AF2687,'quitado Despesa'!$V$1:$V$12,0),""))</f>
        <v/>
      </c>
      <c r="AH2687" s="15" t="str">
        <f t="shared" si="2"/>
        <v/>
      </c>
      <c r="AI2687" s="17" t="str">
        <f>IF(AG2687="","",INDEX('quitado Despesa'!$G$1:$G$12,AG2687))</f>
        <v/>
      </c>
      <c r="AJ2687" s="17" t="str">
        <f t="shared" si="3"/>
        <v/>
      </c>
    </row>
    <row r="2688" spans="31:36">
      <c r="AE2688" s="15" t="str">
        <f t="shared" si="0"/>
        <v/>
      </c>
      <c r="AF2688" s="15" t="str">
        <f t="shared" si="1"/>
        <v/>
      </c>
      <c r="AG2688" s="15" t="str">
        <f>IF(OR(AF2688="",AF2688="ERRO_CHAVE"),"",IFERROR(MATCH(AF2688,'quitado Despesa'!$V$1:$V$12,0),""))</f>
        <v/>
      </c>
      <c r="AH2688" s="15" t="str">
        <f t="shared" si="2"/>
        <v/>
      </c>
      <c r="AI2688" s="17" t="str">
        <f>IF(AG2688="","",INDEX('quitado Despesa'!$G$1:$G$12,AG2688))</f>
        <v/>
      </c>
      <c r="AJ2688" s="17" t="str">
        <f t="shared" si="3"/>
        <v/>
      </c>
    </row>
    <row r="2689" spans="31:36">
      <c r="AE2689" s="15" t="str">
        <f t="shared" si="0"/>
        <v/>
      </c>
      <c r="AF2689" s="15" t="str">
        <f t="shared" si="1"/>
        <v/>
      </c>
      <c r="AG2689" s="15" t="str">
        <f>IF(OR(AF2689="",AF2689="ERRO_CHAVE"),"",IFERROR(MATCH(AF2689,'quitado Despesa'!$V$1:$V$12,0),""))</f>
        <v/>
      </c>
      <c r="AH2689" s="15" t="str">
        <f t="shared" si="2"/>
        <v/>
      </c>
      <c r="AI2689" s="17" t="str">
        <f>IF(AG2689="","",INDEX('quitado Despesa'!$G$1:$G$12,AG2689))</f>
        <v/>
      </c>
      <c r="AJ2689" s="17" t="str">
        <f t="shared" si="3"/>
        <v/>
      </c>
    </row>
    <row r="2690" spans="31:36">
      <c r="AE2690" s="15" t="str">
        <f t="shared" si="0"/>
        <v/>
      </c>
      <c r="AF2690" s="15" t="str">
        <f t="shared" si="1"/>
        <v/>
      </c>
      <c r="AG2690" s="15" t="str">
        <f>IF(OR(AF2690="",AF2690="ERRO_CHAVE"),"",IFERROR(MATCH(AF2690,'quitado Despesa'!$V$1:$V$12,0),""))</f>
        <v/>
      </c>
      <c r="AH2690" s="15" t="str">
        <f t="shared" si="2"/>
        <v/>
      </c>
      <c r="AI2690" s="17" t="str">
        <f>IF(AG2690="","",INDEX('quitado Despesa'!$G$1:$G$12,AG2690))</f>
        <v/>
      </c>
      <c r="AJ2690" s="17" t="str">
        <f t="shared" si="3"/>
        <v/>
      </c>
    </row>
    <row r="2691" spans="31:36">
      <c r="AE2691" s="15" t="str">
        <f t="shared" si="0"/>
        <v/>
      </c>
      <c r="AF2691" s="15" t="str">
        <f t="shared" si="1"/>
        <v/>
      </c>
      <c r="AG2691" s="15" t="str">
        <f>IF(OR(AF2691="",AF2691="ERRO_CHAVE"),"",IFERROR(MATCH(AF2691,'quitado Despesa'!$V$1:$V$12,0),""))</f>
        <v/>
      </c>
      <c r="AH2691" s="15" t="str">
        <f t="shared" si="2"/>
        <v/>
      </c>
      <c r="AI2691" s="17" t="str">
        <f>IF(AG2691="","",INDEX('quitado Despesa'!$G$1:$G$12,AG2691))</f>
        <v/>
      </c>
      <c r="AJ2691" s="17" t="str">
        <f t="shared" si="3"/>
        <v/>
      </c>
    </row>
    <row r="2692" spans="31:36">
      <c r="AE2692" s="15" t="str">
        <f t="shared" si="0"/>
        <v/>
      </c>
      <c r="AF2692" s="15" t="str">
        <f t="shared" si="1"/>
        <v/>
      </c>
      <c r="AG2692" s="15" t="str">
        <f>IF(OR(AF2692="",AF2692="ERRO_CHAVE"),"",IFERROR(MATCH(AF2692,'quitado Despesa'!$V$1:$V$12,0),""))</f>
        <v/>
      </c>
      <c r="AH2692" s="15" t="str">
        <f t="shared" si="2"/>
        <v/>
      </c>
      <c r="AI2692" s="17" t="str">
        <f>IF(AG2692="","",INDEX('quitado Despesa'!$G$1:$G$12,AG2692))</f>
        <v/>
      </c>
      <c r="AJ2692" s="17" t="str">
        <f t="shared" si="3"/>
        <v/>
      </c>
    </row>
    <row r="2693" spans="31:36">
      <c r="AE2693" s="15" t="str">
        <f t="shared" si="0"/>
        <v/>
      </c>
      <c r="AF2693" s="15" t="str">
        <f t="shared" si="1"/>
        <v/>
      </c>
      <c r="AG2693" s="15" t="str">
        <f>IF(OR(AF2693="",AF2693="ERRO_CHAVE"),"",IFERROR(MATCH(AF2693,'quitado Despesa'!$V$1:$V$12,0),""))</f>
        <v/>
      </c>
      <c r="AH2693" s="15" t="str">
        <f t="shared" si="2"/>
        <v/>
      </c>
      <c r="AI2693" s="17" t="str">
        <f>IF(AG2693="","",INDEX('quitado Despesa'!$G$1:$G$12,AG2693))</f>
        <v/>
      </c>
      <c r="AJ2693" s="17" t="str">
        <f t="shared" si="3"/>
        <v/>
      </c>
    </row>
    <row r="2694" spans="31:36">
      <c r="AE2694" s="15" t="str">
        <f t="shared" si="0"/>
        <v/>
      </c>
      <c r="AF2694" s="15" t="str">
        <f t="shared" si="1"/>
        <v/>
      </c>
      <c r="AG2694" s="15" t="str">
        <f>IF(OR(AF2694="",AF2694="ERRO_CHAVE"),"",IFERROR(MATCH(AF2694,'quitado Despesa'!$V$1:$V$12,0),""))</f>
        <v/>
      </c>
      <c r="AH2694" s="15" t="str">
        <f t="shared" si="2"/>
        <v/>
      </c>
      <c r="AI2694" s="17" t="str">
        <f>IF(AG2694="","",INDEX('quitado Despesa'!$G$1:$G$12,AG2694))</f>
        <v/>
      </c>
      <c r="AJ2694" s="17" t="str">
        <f t="shared" si="3"/>
        <v/>
      </c>
    </row>
    <row r="2695" spans="31:36">
      <c r="AE2695" s="15" t="str">
        <f t="shared" si="0"/>
        <v/>
      </c>
      <c r="AF2695" s="15" t="str">
        <f t="shared" si="1"/>
        <v/>
      </c>
      <c r="AG2695" s="15" t="str">
        <f>IF(OR(AF2695="",AF2695="ERRO_CHAVE"),"",IFERROR(MATCH(AF2695,'quitado Despesa'!$V$1:$V$12,0),""))</f>
        <v/>
      </c>
      <c r="AH2695" s="15" t="str">
        <f t="shared" si="2"/>
        <v/>
      </c>
      <c r="AI2695" s="17" t="str">
        <f>IF(AG2695="","",INDEX('quitado Despesa'!$G$1:$G$12,AG2695))</f>
        <v/>
      </c>
      <c r="AJ2695" s="17" t="str">
        <f t="shared" si="3"/>
        <v/>
      </c>
    </row>
    <row r="2696" spans="31:36">
      <c r="AE2696" s="15" t="str">
        <f t="shared" si="0"/>
        <v/>
      </c>
      <c r="AF2696" s="15" t="str">
        <f t="shared" si="1"/>
        <v/>
      </c>
      <c r="AG2696" s="15" t="str">
        <f>IF(OR(AF2696="",AF2696="ERRO_CHAVE"),"",IFERROR(MATCH(AF2696,'quitado Despesa'!$V$1:$V$12,0),""))</f>
        <v/>
      </c>
      <c r="AH2696" s="15" t="str">
        <f t="shared" si="2"/>
        <v/>
      </c>
      <c r="AI2696" s="17" t="str">
        <f>IF(AG2696="","",INDEX('quitado Despesa'!$G$1:$G$12,AG2696))</f>
        <v/>
      </c>
      <c r="AJ2696" s="17" t="str">
        <f t="shared" si="3"/>
        <v/>
      </c>
    </row>
    <row r="2697" spans="31:36">
      <c r="AE2697" s="15" t="str">
        <f t="shared" si="0"/>
        <v/>
      </c>
      <c r="AF2697" s="15" t="str">
        <f t="shared" si="1"/>
        <v/>
      </c>
      <c r="AG2697" s="15" t="str">
        <f>IF(OR(AF2697="",AF2697="ERRO_CHAVE"),"",IFERROR(MATCH(AF2697,'quitado Despesa'!$V$1:$V$12,0),""))</f>
        <v/>
      </c>
      <c r="AH2697" s="15" t="str">
        <f t="shared" si="2"/>
        <v/>
      </c>
      <c r="AI2697" s="17" t="str">
        <f>IF(AG2697="","",INDEX('quitado Despesa'!$G$1:$G$12,AG2697))</f>
        <v/>
      </c>
      <c r="AJ2697" s="17" t="str">
        <f t="shared" si="3"/>
        <v/>
      </c>
    </row>
    <row r="2698" spans="31:36">
      <c r="AE2698" s="15" t="str">
        <f t="shared" si="0"/>
        <v/>
      </c>
      <c r="AF2698" s="15" t="str">
        <f t="shared" si="1"/>
        <v/>
      </c>
      <c r="AG2698" s="15" t="str">
        <f>IF(OR(AF2698="",AF2698="ERRO_CHAVE"),"",IFERROR(MATCH(AF2698,'quitado Despesa'!$V$1:$V$12,0),""))</f>
        <v/>
      </c>
      <c r="AH2698" s="15" t="str">
        <f t="shared" si="2"/>
        <v/>
      </c>
      <c r="AI2698" s="17" t="str">
        <f>IF(AG2698="","",INDEX('quitado Despesa'!$G$1:$G$12,AG2698))</f>
        <v/>
      </c>
      <c r="AJ2698" s="17" t="str">
        <f t="shared" si="3"/>
        <v/>
      </c>
    </row>
    <row r="2699" spans="31:36">
      <c r="AE2699" s="15" t="str">
        <f t="shared" si="0"/>
        <v/>
      </c>
      <c r="AF2699" s="15" t="str">
        <f t="shared" si="1"/>
        <v/>
      </c>
      <c r="AG2699" s="15" t="str">
        <f>IF(OR(AF2699="",AF2699="ERRO_CHAVE"),"",IFERROR(MATCH(AF2699,'quitado Despesa'!$V$1:$V$12,0),""))</f>
        <v/>
      </c>
      <c r="AH2699" s="15" t="str">
        <f t="shared" si="2"/>
        <v/>
      </c>
      <c r="AI2699" s="17" t="str">
        <f>IF(AG2699="","",INDEX('quitado Despesa'!$G$1:$G$12,AG2699))</f>
        <v/>
      </c>
      <c r="AJ2699" s="17" t="str">
        <f t="shared" si="3"/>
        <v/>
      </c>
    </row>
    <row r="2700" spans="31:36">
      <c r="AE2700" s="15" t="str">
        <f t="shared" si="0"/>
        <v/>
      </c>
      <c r="AF2700" s="15" t="str">
        <f t="shared" si="1"/>
        <v/>
      </c>
      <c r="AG2700" s="15" t="str">
        <f>IF(OR(AF2700="",AF2700="ERRO_CHAVE"),"",IFERROR(MATCH(AF2700,'quitado Despesa'!$V$1:$V$12,0),""))</f>
        <v/>
      </c>
      <c r="AH2700" s="15" t="str">
        <f t="shared" si="2"/>
        <v/>
      </c>
      <c r="AI2700" s="17" t="str">
        <f>IF(AG2700="","",INDEX('quitado Despesa'!$G$1:$G$12,AG2700))</f>
        <v/>
      </c>
      <c r="AJ2700" s="17" t="str">
        <f t="shared" si="3"/>
        <v/>
      </c>
    </row>
    <row r="2701" spans="31:36">
      <c r="AE2701" s="15" t="str">
        <f t="shared" si="0"/>
        <v/>
      </c>
      <c r="AF2701" s="15" t="str">
        <f t="shared" si="1"/>
        <v/>
      </c>
      <c r="AG2701" s="15" t="str">
        <f>IF(OR(AF2701="",AF2701="ERRO_CHAVE"),"",IFERROR(MATCH(AF2701,'quitado Despesa'!$V$1:$V$12,0),""))</f>
        <v/>
      </c>
      <c r="AH2701" s="15" t="str">
        <f t="shared" si="2"/>
        <v/>
      </c>
      <c r="AI2701" s="17" t="str">
        <f>IF(AG2701="","",INDEX('quitado Despesa'!$G$1:$G$12,AG2701))</f>
        <v/>
      </c>
      <c r="AJ2701" s="17" t="str">
        <f t="shared" si="3"/>
        <v/>
      </c>
    </row>
    <row r="2702" spans="31:36">
      <c r="AE2702" s="15" t="str">
        <f t="shared" si="0"/>
        <v/>
      </c>
      <c r="AF2702" s="15" t="str">
        <f t="shared" si="1"/>
        <v/>
      </c>
      <c r="AG2702" s="15" t="str">
        <f>IF(OR(AF2702="",AF2702="ERRO_CHAVE"),"",IFERROR(MATCH(AF2702,'quitado Despesa'!$V$1:$V$12,0),""))</f>
        <v/>
      </c>
      <c r="AH2702" s="15" t="str">
        <f t="shared" si="2"/>
        <v/>
      </c>
      <c r="AI2702" s="17" t="str">
        <f>IF(AG2702="","",INDEX('quitado Despesa'!$G$1:$G$12,AG2702))</f>
        <v/>
      </c>
      <c r="AJ2702" s="17" t="str">
        <f t="shared" si="3"/>
        <v/>
      </c>
    </row>
    <row r="2703" spans="31:36">
      <c r="AE2703" s="15" t="str">
        <f t="shared" si="0"/>
        <v/>
      </c>
      <c r="AF2703" s="15" t="str">
        <f t="shared" si="1"/>
        <v/>
      </c>
      <c r="AG2703" s="15" t="str">
        <f>IF(OR(AF2703="",AF2703="ERRO_CHAVE"),"",IFERROR(MATCH(AF2703,'quitado Despesa'!$V$1:$V$12,0),""))</f>
        <v/>
      </c>
      <c r="AH2703" s="15" t="str">
        <f t="shared" si="2"/>
        <v/>
      </c>
      <c r="AI2703" s="17" t="str">
        <f>IF(AG2703="","",INDEX('quitado Despesa'!$G$1:$G$12,AG2703))</f>
        <v/>
      </c>
      <c r="AJ2703" s="17" t="str">
        <f t="shared" si="3"/>
        <v/>
      </c>
    </row>
    <row r="2704" spans="31:36">
      <c r="AE2704" s="15" t="str">
        <f t="shared" si="0"/>
        <v/>
      </c>
      <c r="AF2704" s="15" t="str">
        <f t="shared" si="1"/>
        <v/>
      </c>
      <c r="AG2704" s="15" t="str">
        <f>IF(OR(AF2704="",AF2704="ERRO_CHAVE"),"",IFERROR(MATCH(AF2704,'quitado Despesa'!$V$1:$V$12,0),""))</f>
        <v/>
      </c>
      <c r="AH2704" s="15" t="str">
        <f t="shared" si="2"/>
        <v/>
      </c>
      <c r="AI2704" s="17" t="str">
        <f>IF(AG2704="","",INDEX('quitado Despesa'!$G$1:$G$12,AG2704))</f>
        <v/>
      </c>
      <c r="AJ2704" s="17" t="str">
        <f t="shared" si="3"/>
        <v/>
      </c>
    </row>
    <row r="2705" spans="31:36">
      <c r="AE2705" s="15" t="str">
        <f t="shared" si="0"/>
        <v/>
      </c>
      <c r="AF2705" s="15" t="str">
        <f t="shared" si="1"/>
        <v/>
      </c>
      <c r="AG2705" s="15" t="str">
        <f>IF(OR(AF2705="",AF2705="ERRO_CHAVE"),"",IFERROR(MATCH(AF2705,'quitado Despesa'!$V$1:$V$12,0),""))</f>
        <v/>
      </c>
      <c r="AH2705" s="15" t="str">
        <f t="shared" si="2"/>
        <v/>
      </c>
      <c r="AI2705" s="17" t="str">
        <f>IF(AG2705="","",INDEX('quitado Despesa'!$G$1:$G$12,AG2705))</f>
        <v/>
      </c>
      <c r="AJ2705" s="17" t="str">
        <f t="shared" si="3"/>
        <v/>
      </c>
    </row>
    <row r="2706" spans="31:36">
      <c r="AE2706" s="15" t="str">
        <f t="shared" si="0"/>
        <v/>
      </c>
      <c r="AF2706" s="15" t="str">
        <f t="shared" si="1"/>
        <v/>
      </c>
      <c r="AG2706" s="15" t="str">
        <f>IF(OR(AF2706="",AF2706="ERRO_CHAVE"),"",IFERROR(MATCH(AF2706,'quitado Despesa'!$V$1:$V$12,0),""))</f>
        <v/>
      </c>
      <c r="AH2706" s="15" t="str">
        <f t="shared" si="2"/>
        <v/>
      </c>
      <c r="AI2706" s="17" t="str">
        <f>IF(AG2706="","",INDEX('quitado Despesa'!$G$1:$G$12,AG2706))</f>
        <v/>
      </c>
      <c r="AJ2706" s="17" t="str">
        <f t="shared" si="3"/>
        <v/>
      </c>
    </row>
    <row r="2707" spans="31:36">
      <c r="AE2707" s="15" t="str">
        <f t="shared" si="0"/>
        <v/>
      </c>
      <c r="AF2707" s="15" t="str">
        <f t="shared" si="1"/>
        <v/>
      </c>
      <c r="AG2707" s="15" t="str">
        <f>IF(OR(AF2707="",AF2707="ERRO_CHAVE"),"",IFERROR(MATCH(AF2707,'quitado Despesa'!$V$1:$V$12,0),""))</f>
        <v/>
      </c>
      <c r="AH2707" s="15" t="str">
        <f t="shared" si="2"/>
        <v/>
      </c>
      <c r="AI2707" s="17" t="str">
        <f>IF(AG2707="","",INDEX('quitado Despesa'!$G$1:$G$12,AG2707))</f>
        <v/>
      </c>
      <c r="AJ2707" s="17" t="str">
        <f t="shared" si="3"/>
        <v/>
      </c>
    </row>
    <row r="2708" spans="31:36">
      <c r="AE2708" s="15" t="str">
        <f t="shared" si="0"/>
        <v/>
      </c>
      <c r="AF2708" s="15" t="str">
        <f t="shared" si="1"/>
        <v/>
      </c>
      <c r="AG2708" s="15" t="str">
        <f>IF(OR(AF2708="",AF2708="ERRO_CHAVE"),"",IFERROR(MATCH(AF2708,'quitado Despesa'!$V$1:$V$12,0),""))</f>
        <v/>
      </c>
      <c r="AH2708" s="15" t="str">
        <f t="shared" si="2"/>
        <v/>
      </c>
      <c r="AI2708" s="17" t="str">
        <f>IF(AG2708="","",INDEX('quitado Despesa'!$G$1:$G$12,AG2708))</f>
        <v/>
      </c>
      <c r="AJ2708" s="17" t="str">
        <f t="shared" si="3"/>
        <v/>
      </c>
    </row>
    <row r="2709" spans="31:36">
      <c r="AE2709" s="15" t="str">
        <f t="shared" si="0"/>
        <v/>
      </c>
      <c r="AF2709" s="15" t="str">
        <f t="shared" si="1"/>
        <v/>
      </c>
      <c r="AG2709" s="15" t="str">
        <f>IF(OR(AF2709="",AF2709="ERRO_CHAVE"),"",IFERROR(MATCH(AF2709,'quitado Despesa'!$V$1:$V$12,0),""))</f>
        <v/>
      </c>
      <c r="AH2709" s="15" t="str">
        <f t="shared" si="2"/>
        <v/>
      </c>
      <c r="AI2709" s="17" t="str">
        <f>IF(AG2709="","",INDEX('quitado Despesa'!$G$1:$G$12,AG2709))</f>
        <v/>
      </c>
      <c r="AJ2709" s="17" t="str">
        <f t="shared" si="3"/>
        <v/>
      </c>
    </row>
    <row r="2710" spans="31:36">
      <c r="AE2710" s="15" t="str">
        <f t="shared" si="0"/>
        <v/>
      </c>
      <c r="AF2710" s="15" t="str">
        <f t="shared" si="1"/>
        <v/>
      </c>
      <c r="AG2710" s="15" t="str">
        <f>IF(OR(AF2710="",AF2710="ERRO_CHAVE"),"",IFERROR(MATCH(AF2710,'quitado Despesa'!$V$1:$V$12,0),""))</f>
        <v/>
      </c>
      <c r="AH2710" s="15" t="str">
        <f t="shared" si="2"/>
        <v/>
      </c>
      <c r="AI2710" s="17" t="str">
        <f>IF(AG2710="","",INDEX('quitado Despesa'!$G$1:$G$12,AG2710))</f>
        <v/>
      </c>
      <c r="AJ2710" s="17" t="str">
        <f t="shared" si="3"/>
        <v/>
      </c>
    </row>
    <row r="2711" spans="31:36">
      <c r="AE2711" s="15" t="str">
        <f t="shared" si="0"/>
        <v/>
      </c>
      <c r="AF2711" s="15" t="str">
        <f t="shared" si="1"/>
        <v/>
      </c>
      <c r="AG2711" s="15" t="str">
        <f>IF(OR(AF2711="",AF2711="ERRO_CHAVE"),"",IFERROR(MATCH(AF2711,'quitado Despesa'!$V$1:$V$12,0),""))</f>
        <v/>
      </c>
      <c r="AH2711" s="15" t="str">
        <f t="shared" si="2"/>
        <v/>
      </c>
      <c r="AI2711" s="17" t="str">
        <f>IF(AG2711="","",INDEX('quitado Despesa'!$G$1:$G$12,AG2711))</f>
        <v/>
      </c>
      <c r="AJ2711" s="17" t="str">
        <f t="shared" si="3"/>
        <v/>
      </c>
    </row>
    <row r="2712" spans="31:36">
      <c r="AE2712" s="15" t="str">
        <f t="shared" si="0"/>
        <v/>
      </c>
      <c r="AF2712" s="15" t="str">
        <f t="shared" si="1"/>
        <v/>
      </c>
      <c r="AG2712" s="15" t="str">
        <f>IF(OR(AF2712="",AF2712="ERRO_CHAVE"),"",IFERROR(MATCH(AF2712,'quitado Despesa'!$V$1:$V$12,0),""))</f>
        <v/>
      </c>
      <c r="AH2712" s="15" t="str">
        <f t="shared" si="2"/>
        <v/>
      </c>
      <c r="AI2712" s="17" t="str">
        <f>IF(AG2712="","",INDEX('quitado Despesa'!$G$1:$G$12,AG2712))</f>
        <v/>
      </c>
      <c r="AJ2712" s="17" t="str">
        <f t="shared" si="3"/>
        <v/>
      </c>
    </row>
    <row r="2713" spans="31:36">
      <c r="AE2713" s="15" t="str">
        <f t="shared" si="0"/>
        <v/>
      </c>
      <c r="AF2713" s="15" t="str">
        <f t="shared" si="1"/>
        <v/>
      </c>
      <c r="AG2713" s="15" t="str">
        <f>IF(OR(AF2713="",AF2713="ERRO_CHAVE"),"",IFERROR(MATCH(AF2713,'quitado Despesa'!$V$1:$V$12,0),""))</f>
        <v/>
      </c>
      <c r="AH2713" s="15" t="str">
        <f t="shared" si="2"/>
        <v/>
      </c>
      <c r="AI2713" s="17" t="str">
        <f>IF(AG2713="","",INDEX('quitado Despesa'!$G$1:$G$12,AG2713))</f>
        <v/>
      </c>
      <c r="AJ2713" s="17" t="str">
        <f t="shared" si="3"/>
        <v/>
      </c>
    </row>
    <row r="2714" spans="31:36">
      <c r="AE2714" s="15" t="str">
        <f t="shared" si="0"/>
        <v/>
      </c>
      <c r="AF2714" s="15" t="str">
        <f t="shared" si="1"/>
        <v/>
      </c>
      <c r="AG2714" s="15" t="str">
        <f>IF(OR(AF2714="",AF2714="ERRO_CHAVE"),"",IFERROR(MATCH(AF2714,'quitado Despesa'!$V$1:$V$12,0),""))</f>
        <v/>
      </c>
      <c r="AH2714" s="15" t="str">
        <f t="shared" si="2"/>
        <v/>
      </c>
      <c r="AI2714" s="17" t="str">
        <f>IF(AG2714="","",INDEX('quitado Despesa'!$G$1:$G$12,AG2714))</f>
        <v/>
      </c>
      <c r="AJ2714" s="17" t="str">
        <f t="shared" si="3"/>
        <v/>
      </c>
    </row>
    <row r="2715" spans="31:36">
      <c r="AE2715" s="15" t="str">
        <f t="shared" si="0"/>
        <v/>
      </c>
      <c r="AF2715" s="15" t="str">
        <f t="shared" si="1"/>
        <v/>
      </c>
      <c r="AG2715" s="15" t="str">
        <f>IF(OR(AF2715="",AF2715="ERRO_CHAVE"),"",IFERROR(MATCH(AF2715,'quitado Despesa'!$V$1:$V$12,0),""))</f>
        <v/>
      </c>
      <c r="AH2715" s="15" t="str">
        <f t="shared" si="2"/>
        <v/>
      </c>
      <c r="AI2715" s="17" t="str">
        <f>IF(AG2715="","",INDEX('quitado Despesa'!$G$1:$G$12,AG2715))</f>
        <v/>
      </c>
      <c r="AJ2715" s="17" t="str">
        <f t="shared" si="3"/>
        <v/>
      </c>
    </row>
    <row r="2716" spans="31:36">
      <c r="AE2716" s="15" t="str">
        <f t="shared" si="0"/>
        <v/>
      </c>
      <c r="AF2716" s="15" t="str">
        <f t="shared" si="1"/>
        <v/>
      </c>
      <c r="AG2716" s="15" t="str">
        <f>IF(OR(AF2716="",AF2716="ERRO_CHAVE"),"",IFERROR(MATCH(AF2716,'quitado Despesa'!$V$1:$V$12,0),""))</f>
        <v/>
      </c>
      <c r="AH2716" s="15" t="str">
        <f t="shared" si="2"/>
        <v/>
      </c>
      <c r="AI2716" s="17" t="str">
        <f>IF(AG2716="","",INDEX('quitado Despesa'!$G$1:$G$12,AG2716))</f>
        <v/>
      </c>
      <c r="AJ2716" s="17" t="str">
        <f t="shared" si="3"/>
        <v/>
      </c>
    </row>
    <row r="2717" spans="31:36">
      <c r="AE2717" s="15" t="str">
        <f t="shared" si="0"/>
        <v/>
      </c>
      <c r="AF2717" s="15" t="str">
        <f t="shared" si="1"/>
        <v/>
      </c>
      <c r="AG2717" s="15" t="str">
        <f>IF(OR(AF2717="",AF2717="ERRO_CHAVE"),"",IFERROR(MATCH(AF2717,'quitado Despesa'!$V$1:$V$12,0),""))</f>
        <v/>
      </c>
      <c r="AH2717" s="15" t="str">
        <f t="shared" si="2"/>
        <v/>
      </c>
      <c r="AI2717" s="17" t="str">
        <f>IF(AG2717="","",INDEX('quitado Despesa'!$G$1:$G$12,AG2717))</f>
        <v/>
      </c>
      <c r="AJ2717" s="17" t="str">
        <f t="shared" si="3"/>
        <v/>
      </c>
    </row>
    <row r="2718" spans="31:36">
      <c r="AE2718" s="15" t="str">
        <f t="shared" si="0"/>
        <v/>
      </c>
      <c r="AF2718" s="15" t="str">
        <f t="shared" si="1"/>
        <v/>
      </c>
      <c r="AG2718" s="15" t="str">
        <f>IF(OR(AF2718="",AF2718="ERRO_CHAVE"),"",IFERROR(MATCH(AF2718,'quitado Despesa'!$V$1:$V$12,0),""))</f>
        <v/>
      </c>
      <c r="AH2718" s="15" t="str">
        <f t="shared" si="2"/>
        <v/>
      </c>
      <c r="AI2718" s="17" t="str">
        <f>IF(AG2718="","",INDEX('quitado Despesa'!$G$1:$G$12,AG2718))</f>
        <v/>
      </c>
      <c r="AJ2718" s="17" t="str">
        <f t="shared" si="3"/>
        <v/>
      </c>
    </row>
    <row r="2719" spans="31:36">
      <c r="AE2719" s="15" t="str">
        <f t="shared" si="0"/>
        <v/>
      </c>
      <c r="AF2719" s="15" t="str">
        <f t="shared" si="1"/>
        <v/>
      </c>
      <c r="AG2719" s="15" t="str">
        <f>IF(OR(AF2719="",AF2719="ERRO_CHAVE"),"",IFERROR(MATCH(AF2719,'quitado Despesa'!$V$1:$V$12,0),""))</f>
        <v/>
      </c>
      <c r="AH2719" s="15" t="str">
        <f t="shared" si="2"/>
        <v/>
      </c>
      <c r="AI2719" s="17" t="str">
        <f>IF(AG2719="","",INDEX('quitado Despesa'!$G$1:$G$12,AG2719))</f>
        <v/>
      </c>
      <c r="AJ2719" s="17" t="str">
        <f t="shared" si="3"/>
        <v/>
      </c>
    </row>
    <row r="2720" spans="31:36">
      <c r="AE2720" s="15" t="str">
        <f t="shared" si="0"/>
        <v/>
      </c>
      <c r="AF2720" s="15" t="str">
        <f t="shared" si="1"/>
        <v/>
      </c>
      <c r="AG2720" s="15" t="str">
        <f>IF(OR(AF2720="",AF2720="ERRO_CHAVE"),"",IFERROR(MATCH(AF2720,'quitado Despesa'!$V$1:$V$12,0),""))</f>
        <v/>
      </c>
      <c r="AH2720" s="15" t="str">
        <f t="shared" si="2"/>
        <v/>
      </c>
      <c r="AI2720" s="17" t="str">
        <f>IF(AG2720="","",INDEX('quitado Despesa'!$G$1:$G$12,AG2720))</f>
        <v/>
      </c>
      <c r="AJ2720" s="17" t="str">
        <f t="shared" si="3"/>
        <v/>
      </c>
    </row>
    <row r="2721" spans="31:36">
      <c r="AE2721" s="15" t="str">
        <f t="shared" si="0"/>
        <v/>
      </c>
      <c r="AF2721" s="15" t="str">
        <f t="shared" si="1"/>
        <v/>
      </c>
      <c r="AG2721" s="15" t="str">
        <f>IF(OR(AF2721="",AF2721="ERRO_CHAVE"),"",IFERROR(MATCH(AF2721,'quitado Despesa'!$V$1:$V$12,0),""))</f>
        <v/>
      </c>
      <c r="AH2721" s="15" t="str">
        <f t="shared" si="2"/>
        <v/>
      </c>
      <c r="AI2721" s="17" t="str">
        <f>IF(AG2721="","",INDEX('quitado Despesa'!$G$1:$G$12,AG2721))</f>
        <v/>
      </c>
      <c r="AJ2721" s="17" t="str">
        <f t="shared" si="3"/>
        <v/>
      </c>
    </row>
    <row r="2722" spans="31:36">
      <c r="AE2722" s="15" t="str">
        <f t="shared" si="0"/>
        <v/>
      </c>
      <c r="AF2722" s="15" t="str">
        <f t="shared" si="1"/>
        <v/>
      </c>
      <c r="AG2722" s="15" t="str">
        <f>IF(OR(AF2722="",AF2722="ERRO_CHAVE"),"",IFERROR(MATCH(AF2722,'quitado Despesa'!$V$1:$V$12,0),""))</f>
        <v/>
      </c>
      <c r="AH2722" s="15" t="str">
        <f t="shared" si="2"/>
        <v/>
      </c>
      <c r="AI2722" s="17" t="str">
        <f>IF(AG2722="","",INDEX('quitado Despesa'!$G$1:$G$12,AG2722))</f>
        <v/>
      </c>
      <c r="AJ2722" s="17" t="str">
        <f t="shared" si="3"/>
        <v/>
      </c>
    </row>
    <row r="2723" spans="31:36">
      <c r="AE2723" s="15" t="str">
        <f t="shared" si="0"/>
        <v/>
      </c>
      <c r="AF2723" s="15" t="str">
        <f t="shared" si="1"/>
        <v/>
      </c>
      <c r="AG2723" s="15" t="str">
        <f>IF(OR(AF2723="",AF2723="ERRO_CHAVE"),"",IFERROR(MATCH(AF2723,'quitado Despesa'!$V$1:$V$12,0),""))</f>
        <v/>
      </c>
      <c r="AH2723" s="15" t="str">
        <f t="shared" si="2"/>
        <v/>
      </c>
      <c r="AI2723" s="17" t="str">
        <f>IF(AG2723="","",INDEX('quitado Despesa'!$G$1:$G$12,AG2723))</f>
        <v/>
      </c>
      <c r="AJ2723" s="17" t="str">
        <f t="shared" si="3"/>
        <v/>
      </c>
    </row>
    <row r="2724" spans="31:36">
      <c r="AE2724" s="15" t="str">
        <f t="shared" si="0"/>
        <v/>
      </c>
      <c r="AF2724" s="15" t="str">
        <f t="shared" si="1"/>
        <v/>
      </c>
      <c r="AG2724" s="15" t="str">
        <f>IF(OR(AF2724="",AF2724="ERRO_CHAVE"),"",IFERROR(MATCH(AF2724,'quitado Despesa'!$V$1:$V$12,0),""))</f>
        <v/>
      </c>
      <c r="AH2724" s="15" t="str">
        <f t="shared" si="2"/>
        <v/>
      </c>
      <c r="AI2724" s="17" t="str">
        <f>IF(AG2724="","",INDEX('quitado Despesa'!$G$1:$G$12,AG2724))</f>
        <v/>
      </c>
      <c r="AJ2724" s="17" t="str">
        <f t="shared" si="3"/>
        <v/>
      </c>
    </row>
    <row r="2725" spans="31:36">
      <c r="AE2725" s="15" t="str">
        <f t="shared" si="0"/>
        <v/>
      </c>
      <c r="AF2725" s="15" t="str">
        <f t="shared" si="1"/>
        <v/>
      </c>
      <c r="AG2725" s="15" t="str">
        <f>IF(OR(AF2725="",AF2725="ERRO_CHAVE"),"",IFERROR(MATCH(AF2725,'quitado Despesa'!$V$1:$V$12,0),""))</f>
        <v/>
      </c>
      <c r="AH2725" s="15" t="str">
        <f t="shared" si="2"/>
        <v/>
      </c>
      <c r="AI2725" s="17" t="str">
        <f>IF(AG2725="","",INDEX('quitado Despesa'!$G$1:$G$12,AG2725))</f>
        <v/>
      </c>
      <c r="AJ2725" s="17" t="str">
        <f t="shared" si="3"/>
        <v/>
      </c>
    </row>
    <row r="2726" spans="31:36">
      <c r="AE2726" s="15" t="str">
        <f t="shared" si="0"/>
        <v/>
      </c>
      <c r="AF2726" s="15" t="str">
        <f t="shared" si="1"/>
        <v/>
      </c>
      <c r="AG2726" s="15" t="str">
        <f>IF(OR(AF2726="",AF2726="ERRO_CHAVE"),"",IFERROR(MATCH(AF2726,'quitado Despesa'!$V$1:$V$12,0),""))</f>
        <v/>
      </c>
      <c r="AH2726" s="15" t="str">
        <f t="shared" si="2"/>
        <v/>
      </c>
      <c r="AI2726" s="17" t="str">
        <f>IF(AG2726="","",INDEX('quitado Despesa'!$G$1:$G$12,AG2726))</f>
        <v/>
      </c>
      <c r="AJ2726" s="17" t="str">
        <f t="shared" si="3"/>
        <v/>
      </c>
    </row>
    <row r="2727" spans="31:36">
      <c r="AE2727" s="15" t="str">
        <f t="shared" si="0"/>
        <v/>
      </c>
      <c r="AF2727" s="15" t="str">
        <f t="shared" si="1"/>
        <v/>
      </c>
      <c r="AG2727" s="15" t="str">
        <f>IF(OR(AF2727="",AF2727="ERRO_CHAVE"),"",IFERROR(MATCH(AF2727,'quitado Despesa'!$V$1:$V$12,0),""))</f>
        <v/>
      </c>
      <c r="AH2727" s="15" t="str">
        <f t="shared" si="2"/>
        <v/>
      </c>
      <c r="AI2727" s="17" t="str">
        <f>IF(AG2727="","",INDEX('quitado Despesa'!$G$1:$G$12,AG2727))</f>
        <v/>
      </c>
      <c r="AJ2727" s="17" t="str">
        <f t="shared" si="3"/>
        <v/>
      </c>
    </row>
    <row r="2728" spans="31:36">
      <c r="AE2728" s="15" t="str">
        <f t="shared" si="0"/>
        <v/>
      </c>
      <c r="AF2728" s="15" t="str">
        <f t="shared" si="1"/>
        <v/>
      </c>
      <c r="AG2728" s="15" t="str">
        <f>IF(OR(AF2728="",AF2728="ERRO_CHAVE"),"",IFERROR(MATCH(AF2728,'quitado Despesa'!$V$1:$V$12,0),""))</f>
        <v/>
      </c>
      <c r="AH2728" s="15" t="str">
        <f t="shared" si="2"/>
        <v/>
      </c>
      <c r="AI2728" s="17" t="str">
        <f>IF(AG2728="","",INDEX('quitado Despesa'!$G$1:$G$12,AG2728))</f>
        <v/>
      </c>
      <c r="AJ2728" s="17" t="str">
        <f t="shared" si="3"/>
        <v/>
      </c>
    </row>
    <row r="2729" spans="31:36">
      <c r="AE2729" s="15" t="str">
        <f t="shared" si="0"/>
        <v/>
      </c>
      <c r="AF2729" s="15" t="str">
        <f t="shared" si="1"/>
        <v/>
      </c>
      <c r="AG2729" s="15" t="str">
        <f>IF(OR(AF2729="",AF2729="ERRO_CHAVE"),"",IFERROR(MATCH(AF2729,'quitado Despesa'!$V$1:$V$12,0),""))</f>
        <v/>
      </c>
      <c r="AH2729" s="15" t="str">
        <f t="shared" si="2"/>
        <v/>
      </c>
      <c r="AI2729" s="17" t="str">
        <f>IF(AG2729="","",INDEX('quitado Despesa'!$G$1:$G$12,AG2729))</f>
        <v/>
      </c>
      <c r="AJ2729" s="17" t="str">
        <f t="shared" si="3"/>
        <v/>
      </c>
    </row>
    <row r="2730" spans="31:36">
      <c r="AE2730" s="15" t="str">
        <f t="shared" si="0"/>
        <v/>
      </c>
      <c r="AF2730" s="15" t="str">
        <f t="shared" si="1"/>
        <v/>
      </c>
      <c r="AG2730" s="15" t="str">
        <f>IF(OR(AF2730="",AF2730="ERRO_CHAVE"),"",IFERROR(MATCH(AF2730,'quitado Despesa'!$V$1:$V$12,0),""))</f>
        <v/>
      </c>
      <c r="AH2730" s="15" t="str">
        <f t="shared" si="2"/>
        <v/>
      </c>
      <c r="AI2730" s="17" t="str">
        <f>IF(AG2730="","",INDEX('quitado Despesa'!$G$1:$G$12,AG2730))</f>
        <v/>
      </c>
      <c r="AJ2730" s="17" t="str">
        <f t="shared" si="3"/>
        <v/>
      </c>
    </row>
    <row r="2731" spans="31:36">
      <c r="AE2731" s="15" t="str">
        <f t="shared" si="0"/>
        <v/>
      </c>
      <c r="AF2731" s="15" t="str">
        <f t="shared" si="1"/>
        <v/>
      </c>
      <c r="AG2731" s="15" t="str">
        <f>IF(OR(AF2731="",AF2731="ERRO_CHAVE"),"",IFERROR(MATCH(AF2731,'quitado Despesa'!$V$1:$V$12,0),""))</f>
        <v/>
      </c>
      <c r="AH2731" s="15" t="str">
        <f t="shared" si="2"/>
        <v/>
      </c>
      <c r="AI2731" s="17" t="str">
        <f>IF(AG2731="","",INDEX('quitado Despesa'!$G$1:$G$12,AG2731))</f>
        <v/>
      </c>
      <c r="AJ2731" s="17" t="str">
        <f t="shared" si="3"/>
        <v/>
      </c>
    </row>
    <row r="2732" spans="31:36">
      <c r="AE2732" s="15" t="str">
        <f t="shared" si="0"/>
        <v/>
      </c>
      <c r="AF2732" s="15" t="str">
        <f t="shared" si="1"/>
        <v/>
      </c>
      <c r="AG2732" s="15" t="str">
        <f>IF(OR(AF2732="",AF2732="ERRO_CHAVE"),"",IFERROR(MATCH(AF2732,'quitado Despesa'!$V$1:$V$12,0),""))</f>
        <v/>
      </c>
      <c r="AH2732" s="15" t="str">
        <f t="shared" si="2"/>
        <v/>
      </c>
      <c r="AI2732" s="17" t="str">
        <f>IF(AG2732="","",INDEX('quitado Despesa'!$G$1:$G$12,AG2732))</f>
        <v/>
      </c>
      <c r="AJ2732" s="17" t="str">
        <f t="shared" si="3"/>
        <v/>
      </c>
    </row>
    <row r="2733" spans="31:36">
      <c r="AE2733" s="15" t="str">
        <f t="shared" si="0"/>
        <v/>
      </c>
      <c r="AF2733" s="15" t="str">
        <f t="shared" si="1"/>
        <v/>
      </c>
      <c r="AG2733" s="15" t="str">
        <f>IF(OR(AF2733="",AF2733="ERRO_CHAVE"),"",IFERROR(MATCH(AF2733,'quitado Despesa'!$V$1:$V$12,0),""))</f>
        <v/>
      </c>
      <c r="AH2733" s="15" t="str">
        <f t="shared" si="2"/>
        <v/>
      </c>
      <c r="AI2733" s="17" t="str">
        <f>IF(AG2733="","",INDEX('quitado Despesa'!$G$1:$G$12,AG2733))</f>
        <v/>
      </c>
      <c r="AJ2733" s="17" t="str">
        <f t="shared" si="3"/>
        <v/>
      </c>
    </row>
    <row r="2734" spans="31:36">
      <c r="AE2734" s="15" t="str">
        <f t="shared" si="0"/>
        <v/>
      </c>
      <c r="AF2734" s="15" t="str">
        <f t="shared" si="1"/>
        <v/>
      </c>
      <c r="AG2734" s="15" t="str">
        <f>IF(OR(AF2734="",AF2734="ERRO_CHAVE"),"",IFERROR(MATCH(AF2734,'quitado Despesa'!$V$1:$V$12,0),""))</f>
        <v/>
      </c>
      <c r="AH2734" s="15" t="str">
        <f t="shared" si="2"/>
        <v/>
      </c>
      <c r="AI2734" s="17" t="str">
        <f>IF(AG2734="","",INDEX('quitado Despesa'!$G$1:$G$12,AG2734))</f>
        <v/>
      </c>
      <c r="AJ2734" s="17" t="str">
        <f t="shared" si="3"/>
        <v/>
      </c>
    </row>
    <row r="2735" spans="31:36">
      <c r="AE2735" s="15" t="str">
        <f t="shared" si="0"/>
        <v/>
      </c>
      <c r="AF2735" s="15" t="str">
        <f t="shared" si="1"/>
        <v/>
      </c>
      <c r="AG2735" s="15" t="str">
        <f>IF(OR(AF2735="",AF2735="ERRO_CHAVE"),"",IFERROR(MATCH(AF2735,'quitado Despesa'!$V$1:$V$12,0),""))</f>
        <v/>
      </c>
      <c r="AH2735" s="15" t="str">
        <f t="shared" si="2"/>
        <v/>
      </c>
      <c r="AI2735" s="17" t="str">
        <f>IF(AG2735="","",INDEX('quitado Despesa'!$G$1:$G$12,AG2735))</f>
        <v/>
      </c>
      <c r="AJ2735" s="17" t="str">
        <f t="shared" si="3"/>
        <v/>
      </c>
    </row>
    <row r="2736" spans="31:36">
      <c r="AE2736" s="15" t="str">
        <f t="shared" si="0"/>
        <v/>
      </c>
      <c r="AF2736" s="15" t="str">
        <f t="shared" si="1"/>
        <v/>
      </c>
      <c r="AG2736" s="15" t="str">
        <f>IF(OR(AF2736="",AF2736="ERRO_CHAVE"),"",IFERROR(MATCH(AF2736,'quitado Despesa'!$V$1:$V$12,0),""))</f>
        <v/>
      </c>
      <c r="AH2736" s="15" t="str">
        <f t="shared" si="2"/>
        <v/>
      </c>
      <c r="AI2736" s="17" t="str">
        <f>IF(AG2736="","",INDEX('quitado Despesa'!$G$1:$G$12,AG2736))</f>
        <v/>
      </c>
      <c r="AJ2736" s="17" t="str">
        <f t="shared" si="3"/>
        <v/>
      </c>
    </row>
    <row r="2737" spans="31:36">
      <c r="AE2737" s="15" t="str">
        <f t="shared" si="0"/>
        <v/>
      </c>
      <c r="AF2737" s="15" t="str">
        <f t="shared" si="1"/>
        <v/>
      </c>
      <c r="AG2737" s="15" t="str">
        <f>IF(OR(AF2737="",AF2737="ERRO_CHAVE"),"",IFERROR(MATCH(AF2737,'quitado Despesa'!$V$1:$V$12,0),""))</f>
        <v/>
      </c>
      <c r="AH2737" s="15" t="str">
        <f t="shared" si="2"/>
        <v/>
      </c>
      <c r="AI2737" s="17" t="str">
        <f>IF(AG2737="","",INDEX('quitado Despesa'!$G$1:$G$12,AG2737))</f>
        <v/>
      </c>
      <c r="AJ2737" s="17" t="str">
        <f t="shared" si="3"/>
        <v/>
      </c>
    </row>
    <row r="2738" spans="31:36">
      <c r="AE2738" s="15" t="str">
        <f t="shared" si="0"/>
        <v/>
      </c>
      <c r="AF2738" s="15" t="str">
        <f t="shared" si="1"/>
        <v/>
      </c>
      <c r="AG2738" s="15" t="str">
        <f>IF(OR(AF2738="",AF2738="ERRO_CHAVE"),"",IFERROR(MATCH(AF2738,'quitado Despesa'!$V$1:$V$12,0),""))</f>
        <v/>
      </c>
      <c r="AH2738" s="15" t="str">
        <f t="shared" si="2"/>
        <v/>
      </c>
      <c r="AI2738" s="17" t="str">
        <f>IF(AG2738="","",INDEX('quitado Despesa'!$G$1:$G$12,AG2738))</f>
        <v/>
      </c>
      <c r="AJ2738" s="17" t="str">
        <f t="shared" si="3"/>
        <v/>
      </c>
    </row>
    <row r="2739" spans="31:36">
      <c r="AE2739" s="15" t="str">
        <f t="shared" si="0"/>
        <v/>
      </c>
      <c r="AF2739" s="15" t="str">
        <f t="shared" si="1"/>
        <v/>
      </c>
      <c r="AG2739" s="15" t="str">
        <f>IF(OR(AF2739="",AF2739="ERRO_CHAVE"),"",IFERROR(MATCH(AF2739,'quitado Despesa'!$V$1:$V$12,0),""))</f>
        <v/>
      </c>
      <c r="AH2739" s="15" t="str">
        <f t="shared" si="2"/>
        <v/>
      </c>
      <c r="AI2739" s="17" t="str">
        <f>IF(AG2739="","",INDEX('quitado Despesa'!$G$1:$G$12,AG2739))</f>
        <v/>
      </c>
      <c r="AJ2739" s="17" t="str">
        <f t="shared" si="3"/>
        <v/>
      </c>
    </row>
    <row r="2740" spans="31:36">
      <c r="AE2740" s="15" t="str">
        <f t="shared" si="0"/>
        <v/>
      </c>
      <c r="AF2740" s="15" t="str">
        <f t="shared" si="1"/>
        <v/>
      </c>
      <c r="AG2740" s="15" t="str">
        <f>IF(OR(AF2740="",AF2740="ERRO_CHAVE"),"",IFERROR(MATCH(AF2740,'quitado Despesa'!$V$1:$V$12,0),""))</f>
        <v/>
      </c>
      <c r="AH2740" s="15" t="str">
        <f t="shared" si="2"/>
        <v/>
      </c>
      <c r="AI2740" s="17" t="str">
        <f>IF(AG2740="","",INDEX('quitado Despesa'!$G$1:$G$12,AG2740))</f>
        <v/>
      </c>
      <c r="AJ2740" s="17" t="str">
        <f t="shared" si="3"/>
        <v/>
      </c>
    </row>
    <row r="2741" spans="31:36">
      <c r="AE2741" s="15" t="str">
        <f t="shared" si="0"/>
        <v/>
      </c>
      <c r="AF2741" s="15" t="str">
        <f t="shared" si="1"/>
        <v/>
      </c>
      <c r="AG2741" s="15" t="str">
        <f>IF(OR(AF2741="",AF2741="ERRO_CHAVE"),"",IFERROR(MATCH(AF2741,'quitado Despesa'!$V$1:$V$12,0),""))</f>
        <v/>
      </c>
      <c r="AH2741" s="15" t="str">
        <f t="shared" si="2"/>
        <v/>
      </c>
      <c r="AI2741" s="17" t="str">
        <f>IF(AG2741="","",INDEX('quitado Despesa'!$G$1:$G$12,AG2741))</f>
        <v/>
      </c>
      <c r="AJ2741" s="17" t="str">
        <f t="shared" si="3"/>
        <v/>
      </c>
    </row>
    <row r="2742" spans="31:36">
      <c r="AE2742" s="15" t="str">
        <f t="shared" si="0"/>
        <v/>
      </c>
      <c r="AF2742" s="15" t="str">
        <f t="shared" si="1"/>
        <v/>
      </c>
      <c r="AG2742" s="15" t="str">
        <f>IF(OR(AF2742="",AF2742="ERRO_CHAVE"),"",IFERROR(MATCH(AF2742,'quitado Despesa'!$V$1:$V$12,0),""))</f>
        <v/>
      </c>
      <c r="AH2742" s="15" t="str">
        <f t="shared" si="2"/>
        <v/>
      </c>
      <c r="AI2742" s="17" t="str">
        <f>IF(AG2742="","",INDEX('quitado Despesa'!$G$1:$G$12,AG2742))</f>
        <v/>
      </c>
      <c r="AJ2742" s="17" t="str">
        <f t="shared" si="3"/>
        <v/>
      </c>
    </row>
    <row r="2743" spans="31:36">
      <c r="AE2743" s="15" t="str">
        <f t="shared" si="0"/>
        <v/>
      </c>
      <c r="AF2743" s="15" t="str">
        <f t="shared" si="1"/>
        <v/>
      </c>
      <c r="AG2743" s="15" t="str">
        <f>IF(OR(AF2743="",AF2743="ERRO_CHAVE"),"",IFERROR(MATCH(AF2743,'quitado Despesa'!$V$1:$V$12,0),""))</f>
        <v/>
      </c>
      <c r="AH2743" s="15" t="str">
        <f t="shared" si="2"/>
        <v/>
      </c>
      <c r="AI2743" s="17" t="str">
        <f>IF(AG2743="","",INDEX('quitado Despesa'!$G$1:$G$12,AG2743))</f>
        <v/>
      </c>
      <c r="AJ2743" s="17" t="str">
        <f t="shared" si="3"/>
        <v/>
      </c>
    </row>
    <row r="2744" spans="31:36">
      <c r="AE2744" s="15" t="str">
        <f t="shared" si="0"/>
        <v/>
      </c>
      <c r="AF2744" s="15" t="str">
        <f t="shared" si="1"/>
        <v/>
      </c>
      <c r="AG2744" s="15" t="str">
        <f>IF(OR(AF2744="",AF2744="ERRO_CHAVE"),"",IFERROR(MATCH(AF2744,'quitado Despesa'!$V$1:$V$12,0),""))</f>
        <v/>
      </c>
      <c r="AH2744" s="15" t="str">
        <f t="shared" si="2"/>
        <v/>
      </c>
      <c r="AI2744" s="17" t="str">
        <f>IF(AG2744="","",INDEX('quitado Despesa'!$G$1:$G$12,AG2744))</f>
        <v/>
      </c>
      <c r="AJ2744" s="17" t="str">
        <f t="shared" si="3"/>
        <v/>
      </c>
    </row>
    <row r="2745" spans="31:36">
      <c r="AE2745" s="15" t="str">
        <f t="shared" si="0"/>
        <v/>
      </c>
      <c r="AF2745" s="15" t="str">
        <f t="shared" si="1"/>
        <v/>
      </c>
      <c r="AG2745" s="15" t="str">
        <f>IF(OR(AF2745="",AF2745="ERRO_CHAVE"),"",IFERROR(MATCH(AF2745,'quitado Despesa'!$V$1:$V$12,0),""))</f>
        <v/>
      </c>
      <c r="AH2745" s="15" t="str">
        <f t="shared" si="2"/>
        <v/>
      </c>
      <c r="AI2745" s="17" t="str">
        <f>IF(AG2745="","",INDEX('quitado Despesa'!$G$1:$G$12,AG2745))</f>
        <v/>
      </c>
      <c r="AJ2745" s="17" t="str">
        <f t="shared" si="3"/>
        <v/>
      </c>
    </row>
    <row r="2746" spans="31:36">
      <c r="AE2746" s="15" t="str">
        <f t="shared" si="0"/>
        <v/>
      </c>
      <c r="AF2746" s="15" t="str">
        <f t="shared" si="1"/>
        <v/>
      </c>
      <c r="AG2746" s="15" t="str">
        <f>IF(OR(AF2746="",AF2746="ERRO_CHAVE"),"",IFERROR(MATCH(AF2746,'quitado Despesa'!$V$1:$V$12,0),""))</f>
        <v/>
      </c>
      <c r="AH2746" s="15" t="str">
        <f t="shared" si="2"/>
        <v/>
      </c>
      <c r="AI2746" s="17" t="str">
        <f>IF(AG2746="","",INDEX('quitado Despesa'!$G$1:$G$12,AG2746))</f>
        <v/>
      </c>
      <c r="AJ2746" s="17" t="str">
        <f t="shared" si="3"/>
        <v/>
      </c>
    </row>
    <row r="2747" spans="31:36">
      <c r="AE2747" s="15" t="str">
        <f t="shared" si="0"/>
        <v/>
      </c>
      <c r="AF2747" s="15" t="str">
        <f t="shared" si="1"/>
        <v/>
      </c>
      <c r="AG2747" s="15" t="str">
        <f>IF(OR(AF2747="",AF2747="ERRO_CHAVE"),"",IFERROR(MATCH(AF2747,'quitado Despesa'!$V$1:$V$12,0),""))</f>
        <v/>
      </c>
      <c r="AH2747" s="15" t="str">
        <f t="shared" si="2"/>
        <v/>
      </c>
      <c r="AI2747" s="17" t="str">
        <f>IF(AG2747="","",INDEX('quitado Despesa'!$G$1:$G$12,AG2747))</f>
        <v/>
      </c>
      <c r="AJ2747" s="17" t="str">
        <f t="shared" si="3"/>
        <v/>
      </c>
    </row>
    <row r="2748" spans="31:36">
      <c r="AE2748" s="15" t="str">
        <f t="shared" si="0"/>
        <v/>
      </c>
      <c r="AF2748" s="15" t="str">
        <f t="shared" si="1"/>
        <v/>
      </c>
      <c r="AG2748" s="15" t="str">
        <f>IF(OR(AF2748="",AF2748="ERRO_CHAVE"),"",IFERROR(MATCH(AF2748,'quitado Despesa'!$V$1:$V$12,0),""))</f>
        <v/>
      </c>
      <c r="AH2748" s="15" t="str">
        <f t="shared" si="2"/>
        <v/>
      </c>
      <c r="AI2748" s="17" t="str">
        <f>IF(AG2748="","",INDEX('quitado Despesa'!$G$1:$G$12,AG2748))</f>
        <v/>
      </c>
      <c r="AJ2748" s="17" t="str">
        <f t="shared" si="3"/>
        <v/>
      </c>
    </row>
    <row r="2749" spans="31:36">
      <c r="AE2749" s="15" t="str">
        <f t="shared" si="0"/>
        <v/>
      </c>
      <c r="AF2749" s="15" t="str">
        <f t="shared" si="1"/>
        <v/>
      </c>
      <c r="AG2749" s="15" t="str">
        <f>IF(OR(AF2749="",AF2749="ERRO_CHAVE"),"",IFERROR(MATCH(AF2749,'quitado Despesa'!$V$1:$V$12,0),""))</f>
        <v/>
      </c>
      <c r="AH2749" s="15" t="str">
        <f t="shared" si="2"/>
        <v/>
      </c>
      <c r="AI2749" s="17" t="str">
        <f>IF(AG2749="","",INDEX('quitado Despesa'!$G$1:$G$12,AG2749))</f>
        <v/>
      </c>
      <c r="AJ2749" s="17" t="str">
        <f t="shared" si="3"/>
        <v/>
      </c>
    </row>
    <row r="2750" spans="31:36">
      <c r="AE2750" s="15" t="str">
        <f t="shared" si="0"/>
        <v/>
      </c>
      <c r="AF2750" s="15" t="str">
        <f t="shared" si="1"/>
        <v/>
      </c>
      <c r="AG2750" s="15" t="str">
        <f>IF(OR(AF2750="",AF2750="ERRO_CHAVE"),"",IFERROR(MATCH(AF2750,'quitado Despesa'!$V$1:$V$12,0),""))</f>
        <v/>
      </c>
      <c r="AH2750" s="15" t="str">
        <f t="shared" si="2"/>
        <v/>
      </c>
      <c r="AI2750" s="17" t="str">
        <f>IF(AG2750="","",INDEX('quitado Despesa'!$G$1:$G$12,AG2750))</f>
        <v/>
      </c>
      <c r="AJ2750" s="17" t="str">
        <f t="shared" si="3"/>
        <v/>
      </c>
    </row>
    <row r="2751" spans="31:36">
      <c r="AE2751" s="15" t="str">
        <f t="shared" si="0"/>
        <v/>
      </c>
      <c r="AF2751" s="15" t="str">
        <f t="shared" si="1"/>
        <v/>
      </c>
      <c r="AG2751" s="15" t="str">
        <f>IF(OR(AF2751="",AF2751="ERRO_CHAVE"),"",IFERROR(MATCH(AF2751,'quitado Despesa'!$V$1:$V$12,0),""))</f>
        <v/>
      </c>
      <c r="AH2751" s="15" t="str">
        <f t="shared" si="2"/>
        <v/>
      </c>
      <c r="AI2751" s="17" t="str">
        <f>IF(AG2751="","",INDEX('quitado Despesa'!$G$1:$G$12,AG2751))</f>
        <v/>
      </c>
      <c r="AJ2751" s="17" t="str">
        <f t="shared" si="3"/>
        <v/>
      </c>
    </row>
    <row r="2752" spans="31:36">
      <c r="AE2752" s="15" t="str">
        <f t="shared" si="0"/>
        <v/>
      </c>
      <c r="AF2752" s="15" t="str">
        <f t="shared" si="1"/>
        <v/>
      </c>
      <c r="AG2752" s="15" t="str">
        <f>IF(OR(AF2752="",AF2752="ERRO_CHAVE"),"",IFERROR(MATCH(AF2752,'quitado Despesa'!$V$1:$V$12,0),""))</f>
        <v/>
      </c>
      <c r="AH2752" s="15" t="str">
        <f t="shared" si="2"/>
        <v/>
      </c>
      <c r="AI2752" s="17" t="str">
        <f>IF(AG2752="","",INDEX('quitado Despesa'!$G$1:$G$12,AG2752))</f>
        <v/>
      </c>
      <c r="AJ2752" s="17" t="str">
        <f t="shared" si="3"/>
        <v/>
      </c>
    </row>
    <row r="2753" spans="31:36">
      <c r="AE2753" s="15" t="str">
        <f t="shared" si="0"/>
        <v/>
      </c>
      <c r="AF2753" s="15" t="str">
        <f t="shared" si="1"/>
        <v/>
      </c>
      <c r="AG2753" s="15" t="str">
        <f>IF(OR(AF2753="",AF2753="ERRO_CHAVE"),"",IFERROR(MATCH(AF2753,'quitado Despesa'!$V$1:$V$12,0),""))</f>
        <v/>
      </c>
      <c r="AH2753" s="15" t="str">
        <f t="shared" si="2"/>
        <v/>
      </c>
      <c r="AI2753" s="17" t="str">
        <f>IF(AG2753="","",INDEX('quitado Despesa'!$G$1:$G$12,AG2753))</f>
        <v/>
      </c>
      <c r="AJ2753" s="17" t="str">
        <f t="shared" si="3"/>
        <v/>
      </c>
    </row>
    <row r="2754" spans="31:36">
      <c r="AE2754" s="15" t="str">
        <f t="shared" si="0"/>
        <v/>
      </c>
      <c r="AF2754" s="15" t="str">
        <f t="shared" si="1"/>
        <v/>
      </c>
      <c r="AG2754" s="15" t="str">
        <f>IF(OR(AF2754="",AF2754="ERRO_CHAVE"),"",IFERROR(MATCH(AF2754,'quitado Despesa'!$V$1:$V$12,0),""))</f>
        <v/>
      </c>
      <c r="AH2754" s="15" t="str">
        <f t="shared" si="2"/>
        <v/>
      </c>
      <c r="AI2754" s="17" t="str">
        <f>IF(AG2754="","",INDEX('quitado Despesa'!$G$1:$G$12,AG2754))</f>
        <v/>
      </c>
      <c r="AJ2754" s="17" t="str">
        <f t="shared" si="3"/>
        <v/>
      </c>
    </row>
    <row r="2755" spans="31:36">
      <c r="AE2755" s="15" t="str">
        <f t="shared" si="0"/>
        <v/>
      </c>
      <c r="AF2755" s="15" t="str">
        <f t="shared" si="1"/>
        <v/>
      </c>
      <c r="AG2755" s="15" t="str">
        <f>IF(OR(AF2755="",AF2755="ERRO_CHAVE"),"",IFERROR(MATCH(AF2755,'quitado Despesa'!$V$1:$V$12,0),""))</f>
        <v/>
      </c>
      <c r="AH2755" s="15" t="str">
        <f t="shared" si="2"/>
        <v/>
      </c>
      <c r="AI2755" s="17" t="str">
        <f>IF(AG2755="","",INDEX('quitado Despesa'!$G$1:$G$12,AG2755))</f>
        <v/>
      </c>
      <c r="AJ2755" s="17" t="str">
        <f t="shared" si="3"/>
        <v/>
      </c>
    </row>
    <row r="2756" spans="31:36">
      <c r="AE2756" s="15" t="str">
        <f t="shared" si="0"/>
        <v/>
      </c>
      <c r="AF2756" s="15" t="str">
        <f t="shared" si="1"/>
        <v/>
      </c>
      <c r="AG2756" s="15" t="str">
        <f>IF(OR(AF2756="",AF2756="ERRO_CHAVE"),"",IFERROR(MATCH(AF2756,'quitado Despesa'!$V$1:$V$12,0),""))</f>
        <v/>
      </c>
      <c r="AH2756" s="15" t="str">
        <f t="shared" si="2"/>
        <v/>
      </c>
      <c r="AI2756" s="17" t="str">
        <f>IF(AG2756="","",INDEX('quitado Despesa'!$G$1:$G$12,AG2756))</f>
        <v/>
      </c>
      <c r="AJ2756" s="17" t="str">
        <f t="shared" si="3"/>
        <v/>
      </c>
    </row>
    <row r="2757" spans="31:36">
      <c r="AE2757" s="15" t="str">
        <f t="shared" si="0"/>
        <v/>
      </c>
      <c r="AF2757" s="15" t="str">
        <f t="shared" si="1"/>
        <v/>
      </c>
      <c r="AG2757" s="15" t="str">
        <f>IF(OR(AF2757="",AF2757="ERRO_CHAVE"),"",IFERROR(MATCH(AF2757,'quitado Despesa'!$V$1:$V$12,0),""))</f>
        <v/>
      </c>
      <c r="AH2757" s="15" t="str">
        <f t="shared" si="2"/>
        <v/>
      </c>
      <c r="AI2757" s="17" t="str">
        <f>IF(AG2757="","",INDEX('quitado Despesa'!$G$1:$G$12,AG2757))</f>
        <v/>
      </c>
      <c r="AJ2757" s="17" t="str">
        <f t="shared" si="3"/>
        <v/>
      </c>
    </row>
    <row r="2758" spans="31:36">
      <c r="AE2758" s="15" t="str">
        <f t="shared" si="0"/>
        <v/>
      </c>
      <c r="AF2758" s="15" t="str">
        <f t="shared" si="1"/>
        <v/>
      </c>
      <c r="AG2758" s="15" t="str">
        <f>IF(OR(AF2758="",AF2758="ERRO_CHAVE"),"",IFERROR(MATCH(AF2758,'quitado Despesa'!$V$1:$V$12,0),""))</f>
        <v/>
      </c>
      <c r="AH2758" s="15" t="str">
        <f t="shared" si="2"/>
        <v/>
      </c>
      <c r="AI2758" s="17" t="str">
        <f>IF(AG2758="","",INDEX('quitado Despesa'!$G$1:$G$12,AG2758))</f>
        <v/>
      </c>
      <c r="AJ2758" s="17" t="str">
        <f t="shared" si="3"/>
        <v/>
      </c>
    </row>
    <row r="2759" spans="31:36">
      <c r="AE2759" s="15" t="str">
        <f t="shared" si="0"/>
        <v/>
      </c>
      <c r="AF2759" s="15" t="str">
        <f t="shared" si="1"/>
        <v/>
      </c>
      <c r="AG2759" s="15" t="str">
        <f>IF(OR(AF2759="",AF2759="ERRO_CHAVE"),"",IFERROR(MATCH(AF2759,'quitado Despesa'!$V$1:$V$12,0),""))</f>
        <v/>
      </c>
      <c r="AH2759" s="15" t="str">
        <f t="shared" si="2"/>
        <v/>
      </c>
      <c r="AI2759" s="17" t="str">
        <f>IF(AG2759="","",INDEX('quitado Despesa'!$G$1:$G$12,AG2759))</f>
        <v/>
      </c>
      <c r="AJ2759" s="17" t="str">
        <f t="shared" si="3"/>
        <v/>
      </c>
    </row>
    <row r="2760" spans="31:36">
      <c r="AE2760" s="15" t="str">
        <f t="shared" si="0"/>
        <v/>
      </c>
      <c r="AF2760" s="15" t="str">
        <f t="shared" si="1"/>
        <v/>
      </c>
      <c r="AG2760" s="15" t="str">
        <f>IF(OR(AF2760="",AF2760="ERRO_CHAVE"),"",IFERROR(MATCH(AF2760,'quitado Despesa'!$V$1:$V$12,0),""))</f>
        <v/>
      </c>
      <c r="AH2760" s="15" t="str">
        <f t="shared" si="2"/>
        <v/>
      </c>
      <c r="AI2760" s="17" t="str">
        <f>IF(AG2760="","",INDEX('quitado Despesa'!$G$1:$G$12,AG2760))</f>
        <v/>
      </c>
      <c r="AJ2760" s="17" t="str">
        <f t="shared" si="3"/>
        <v/>
      </c>
    </row>
    <row r="2761" spans="31:36">
      <c r="AE2761" s="15" t="str">
        <f t="shared" si="0"/>
        <v/>
      </c>
      <c r="AF2761" s="15" t="str">
        <f t="shared" si="1"/>
        <v/>
      </c>
      <c r="AG2761" s="15" t="str">
        <f>IF(OR(AF2761="",AF2761="ERRO_CHAVE"),"",IFERROR(MATCH(AF2761,'quitado Despesa'!$V$1:$V$12,0),""))</f>
        <v/>
      </c>
      <c r="AH2761" s="15" t="str">
        <f t="shared" si="2"/>
        <v/>
      </c>
      <c r="AI2761" s="17" t="str">
        <f>IF(AG2761="","",INDEX('quitado Despesa'!$G$1:$G$12,AG2761))</f>
        <v/>
      </c>
      <c r="AJ2761" s="17" t="str">
        <f t="shared" si="3"/>
        <v/>
      </c>
    </row>
    <row r="2762" spans="31:36">
      <c r="AE2762" s="15" t="str">
        <f t="shared" si="0"/>
        <v/>
      </c>
      <c r="AF2762" s="15" t="str">
        <f t="shared" si="1"/>
        <v/>
      </c>
      <c r="AG2762" s="15" t="str">
        <f>IF(OR(AF2762="",AF2762="ERRO_CHAVE"),"",IFERROR(MATCH(AF2762,'quitado Despesa'!$V$1:$V$12,0),""))</f>
        <v/>
      </c>
      <c r="AH2762" s="15" t="str">
        <f t="shared" si="2"/>
        <v/>
      </c>
      <c r="AI2762" s="17" t="str">
        <f>IF(AG2762="","",INDEX('quitado Despesa'!$G$1:$G$12,AG2762))</f>
        <v/>
      </c>
      <c r="AJ2762" s="17" t="str">
        <f t="shared" si="3"/>
        <v/>
      </c>
    </row>
    <row r="2763" spans="31:36">
      <c r="AE2763" s="15" t="str">
        <f t="shared" si="0"/>
        <v/>
      </c>
      <c r="AF2763" s="15" t="str">
        <f t="shared" si="1"/>
        <v/>
      </c>
      <c r="AG2763" s="15" t="str">
        <f>IF(OR(AF2763="",AF2763="ERRO_CHAVE"),"",IFERROR(MATCH(AF2763,'quitado Despesa'!$V$1:$V$12,0),""))</f>
        <v/>
      </c>
      <c r="AH2763" s="15" t="str">
        <f t="shared" si="2"/>
        <v/>
      </c>
      <c r="AI2763" s="17" t="str">
        <f>IF(AG2763="","",INDEX('quitado Despesa'!$G$1:$G$12,AG2763))</f>
        <v/>
      </c>
      <c r="AJ2763" s="17" t="str">
        <f t="shared" si="3"/>
        <v/>
      </c>
    </row>
    <row r="2764" spans="31:36">
      <c r="AE2764" s="15" t="str">
        <f t="shared" si="0"/>
        <v/>
      </c>
      <c r="AF2764" s="15" t="str">
        <f t="shared" si="1"/>
        <v/>
      </c>
      <c r="AG2764" s="15" t="str">
        <f>IF(OR(AF2764="",AF2764="ERRO_CHAVE"),"",IFERROR(MATCH(AF2764,'quitado Despesa'!$V$1:$V$12,0),""))</f>
        <v/>
      </c>
      <c r="AH2764" s="15" t="str">
        <f t="shared" si="2"/>
        <v/>
      </c>
      <c r="AI2764" s="17" t="str">
        <f>IF(AG2764="","",INDEX('quitado Despesa'!$G$1:$G$12,AG2764))</f>
        <v/>
      </c>
      <c r="AJ2764" s="17" t="str">
        <f t="shared" si="3"/>
        <v/>
      </c>
    </row>
    <row r="2765" spans="31:36">
      <c r="AE2765" s="15" t="str">
        <f t="shared" si="0"/>
        <v/>
      </c>
      <c r="AF2765" s="15" t="str">
        <f t="shared" si="1"/>
        <v/>
      </c>
      <c r="AG2765" s="15" t="str">
        <f>IF(OR(AF2765="",AF2765="ERRO_CHAVE"),"",IFERROR(MATCH(AF2765,'quitado Despesa'!$V$1:$V$12,0),""))</f>
        <v/>
      </c>
      <c r="AH2765" s="15" t="str">
        <f t="shared" si="2"/>
        <v/>
      </c>
      <c r="AI2765" s="17" t="str">
        <f>IF(AG2765="","",INDEX('quitado Despesa'!$G$1:$G$12,AG2765))</f>
        <v/>
      </c>
      <c r="AJ2765" s="17" t="str">
        <f t="shared" si="3"/>
        <v/>
      </c>
    </row>
    <row r="2766" spans="31:36">
      <c r="AE2766" s="15" t="str">
        <f t="shared" si="0"/>
        <v/>
      </c>
      <c r="AF2766" s="15" t="str">
        <f t="shared" si="1"/>
        <v/>
      </c>
      <c r="AG2766" s="15" t="str">
        <f>IF(OR(AF2766="",AF2766="ERRO_CHAVE"),"",IFERROR(MATCH(AF2766,'quitado Despesa'!$V$1:$V$12,0),""))</f>
        <v/>
      </c>
      <c r="AH2766" s="15" t="str">
        <f t="shared" si="2"/>
        <v/>
      </c>
      <c r="AI2766" s="17" t="str">
        <f>IF(AG2766="","",INDEX('quitado Despesa'!$G$1:$G$12,AG2766))</f>
        <v/>
      </c>
      <c r="AJ2766" s="17" t="str">
        <f t="shared" si="3"/>
        <v/>
      </c>
    </row>
    <row r="2767" spans="31:36">
      <c r="AE2767" s="15" t="str">
        <f t="shared" si="0"/>
        <v/>
      </c>
      <c r="AF2767" s="15" t="str">
        <f t="shared" si="1"/>
        <v/>
      </c>
      <c r="AG2767" s="15" t="str">
        <f>IF(OR(AF2767="",AF2767="ERRO_CHAVE"),"",IFERROR(MATCH(AF2767,'quitado Despesa'!$V$1:$V$12,0),""))</f>
        <v/>
      </c>
      <c r="AH2767" s="15" t="str">
        <f t="shared" si="2"/>
        <v/>
      </c>
      <c r="AI2767" s="17" t="str">
        <f>IF(AG2767="","",INDEX('quitado Despesa'!$G$1:$G$12,AG2767))</f>
        <v/>
      </c>
      <c r="AJ2767" s="17" t="str">
        <f t="shared" si="3"/>
        <v/>
      </c>
    </row>
    <row r="2768" spans="31:36">
      <c r="AE2768" s="15" t="str">
        <f t="shared" si="0"/>
        <v/>
      </c>
      <c r="AF2768" s="15" t="str">
        <f t="shared" si="1"/>
        <v/>
      </c>
      <c r="AG2768" s="15" t="str">
        <f>IF(OR(AF2768="",AF2768="ERRO_CHAVE"),"",IFERROR(MATCH(AF2768,'quitado Despesa'!$V$1:$V$12,0),""))</f>
        <v/>
      </c>
      <c r="AH2768" s="15" t="str">
        <f t="shared" si="2"/>
        <v/>
      </c>
      <c r="AI2768" s="17" t="str">
        <f>IF(AG2768="","",INDEX('quitado Despesa'!$G$1:$G$12,AG2768))</f>
        <v/>
      </c>
      <c r="AJ2768" s="17" t="str">
        <f t="shared" si="3"/>
        <v/>
      </c>
    </row>
    <row r="2769" spans="31:36">
      <c r="AE2769" s="15" t="str">
        <f t="shared" si="0"/>
        <v/>
      </c>
      <c r="AF2769" s="15" t="str">
        <f t="shared" si="1"/>
        <v/>
      </c>
      <c r="AG2769" s="15" t="str">
        <f>IF(OR(AF2769="",AF2769="ERRO_CHAVE"),"",IFERROR(MATCH(AF2769,'quitado Despesa'!$V$1:$V$12,0),""))</f>
        <v/>
      </c>
      <c r="AH2769" s="15" t="str">
        <f t="shared" si="2"/>
        <v/>
      </c>
      <c r="AI2769" s="17" t="str">
        <f>IF(AG2769="","",INDEX('quitado Despesa'!$G$1:$G$12,AG2769))</f>
        <v/>
      </c>
      <c r="AJ2769" s="17" t="str">
        <f t="shared" si="3"/>
        <v/>
      </c>
    </row>
    <row r="2770" spans="31:36">
      <c r="AE2770" s="15" t="str">
        <f t="shared" si="0"/>
        <v/>
      </c>
      <c r="AF2770" s="15" t="str">
        <f t="shared" si="1"/>
        <v/>
      </c>
      <c r="AG2770" s="15" t="str">
        <f>IF(OR(AF2770="",AF2770="ERRO_CHAVE"),"",IFERROR(MATCH(AF2770,'quitado Despesa'!$V$1:$V$12,0),""))</f>
        <v/>
      </c>
      <c r="AH2770" s="15" t="str">
        <f t="shared" si="2"/>
        <v/>
      </c>
      <c r="AI2770" s="17" t="str">
        <f>IF(AG2770="","",INDEX('quitado Despesa'!$G$1:$G$12,AG2770))</f>
        <v/>
      </c>
      <c r="AJ2770" s="17" t="str">
        <f t="shared" si="3"/>
        <v/>
      </c>
    </row>
    <row r="2771" spans="31:36">
      <c r="AE2771" s="15" t="str">
        <f t="shared" si="0"/>
        <v/>
      </c>
      <c r="AF2771" s="15" t="str">
        <f t="shared" si="1"/>
        <v/>
      </c>
      <c r="AG2771" s="15" t="str">
        <f>IF(OR(AF2771="",AF2771="ERRO_CHAVE"),"",IFERROR(MATCH(AF2771,'quitado Despesa'!$V$1:$V$12,0),""))</f>
        <v/>
      </c>
      <c r="AH2771" s="15" t="str">
        <f t="shared" si="2"/>
        <v/>
      </c>
      <c r="AI2771" s="17" t="str">
        <f>IF(AG2771="","",INDEX('quitado Despesa'!$G$1:$G$12,AG2771))</f>
        <v/>
      </c>
      <c r="AJ2771" s="17" t="str">
        <f t="shared" si="3"/>
        <v/>
      </c>
    </row>
    <row r="2772" spans="31:36">
      <c r="AE2772" s="15" t="str">
        <f t="shared" si="0"/>
        <v/>
      </c>
      <c r="AF2772" s="15" t="str">
        <f t="shared" si="1"/>
        <v/>
      </c>
      <c r="AG2772" s="15" t="str">
        <f>IF(OR(AF2772="",AF2772="ERRO_CHAVE"),"",IFERROR(MATCH(AF2772,'quitado Despesa'!$V$1:$V$12,0),""))</f>
        <v/>
      </c>
      <c r="AH2772" s="15" t="str">
        <f t="shared" si="2"/>
        <v/>
      </c>
      <c r="AI2772" s="17" t="str">
        <f>IF(AG2772="","",INDEX('quitado Despesa'!$G$1:$G$12,AG2772))</f>
        <v/>
      </c>
      <c r="AJ2772" s="17" t="str">
        <f t="shared" si="3"/>
        <v/>
      </c>
    </row>
    <row r="2773" spans="31:36">
      <c r="AE2773" s="15" t="str">
        <f t="shared" si="0"/>
        <v/>
      </c>
      <c r="AF2773" s="15" t="str">
        <f t="shared" si="1"/>
        <v/>
      </c>
      <c r="AG2773" s="15" t="str">
        <f>IF(OR(AF2773="",AF2773="ERRO_CHAVE"),"",IFERROR(MATCH(AF2773,'quitado Despesa'!$V$1:$V$12,0),""))</f>
        <v/>
      </c>
      <c r="AH2773" s="15" t="str">
        <f t="shared" si="2"/>
        <v/>
      </c>
      <c r="AI2773" s="17" t="str">
        <f>IF(AG2773="","",INDEX('quitado Despesa'!$G$1:$G$12,AG2773))</f>
        <v/>
      </c>
      <c r="AJ2773" s="17" t="str">
        <f t="shared" si="3"/>
        <v/>
      </c>
    </row>
    <row r="2774" spans="31:36">
      <c r="AE2774" s="15" t="str">
        <f t="shared" si="0"/>
        <v/>
      </c>
      <c r="AF2774" s="15" t="str">
        <f t="shared" si="1"/>
        <v/>
      </c>
      <c r="AG2774" s="15" t="str">
        <f>IF(OR(AF2774="",AF2774="ERRO_CHAVE"),"",IFERROR(MATCH(AF2774,'quitado Despesa'!$V$1:$V$12,0),""))</f>
        <v/>
      </c>
      <c r="AH2774" s="15" t="str">
        <f t="shared" si="2"/>
        <v/>
      </c>
      <c r="AI2774" s="17" t="str">
        <f>IF(AG2774="","",INDEX('quitado Despesa'!$G$1:$G$12,AG2774))</f>
        <v/>
      </c>
      <c r="AJ2774" s="17" t="str">
        <f t="shared" si="3"/>
        <v/>
      </c>
    </row>
    <row r="2775" spans="31:36">
      <c r="AE2775" s="15" t="str">
        <f t="shared" si="0"/>
        <v/>
      </c>
      <c r="AF2775" s="15" t="str">
        <f t="shared" si="1"/>
        <v/>
      </c>
      <c r="AG2775" s="15" t="str">
        <f>IF(OR(AF2775="",AF2775="ERRO_CHAVE"),"",IFERROR(MATCH(AF2775,'quitado Despesa'!$V$1:$V$12,0),""))</f>
        <v/>
      </c>
      <c r="AH2775" s="15" t="str">
        <f t="shared" si="2"/>
        <v/>
      </c>
      <c r="AI2775" s="17" t="str">
        <f>IF(AG2775="","",INDEX('quitado Despesa'!$G$1:$G$12,AG2775))</f>
        <v/>
      </c>
      <c r="AJ2775" s="17" t="str">
        <f t="shared" si="3"/>
        <v/>
      </c>
    </row>
    <row r="2776" spans="31:36">
      <c r="AE2776" s="15" t="str">
        <f t="shared" si="0"/>
        <v/>
      </c>
      <c r="AF2776" s="15" t="str">
        <f t="shared" si="1"/>
        <v/>
      </c>
      <c r="AG2776" s="15" t="str">
        <f>IF(OR(AF2776="",AF2776="ERRO_CHAVE"),"",IFERROR(MATCH(AF2776,'quitado Despesa'!$V$1:$V$12,0),""))</f>
        <v/>
      </c>
      <c r="AH2776" s="15" t="str">
        <f t="shared" si="2"/>
        <v/>
      </c>
      <c r="AI2776" s="17" t="str">
        <f>IF(AG2776="","",INDEX('quitado Despesa'!$G$1:$G$12,AG2776))</f>
        <v/>
      </c>
      <c r="AJ2776" s="17" t="str">
        <f t="shared" si="3"/>
        <v/>
      </c>
    </row>
    <row r="2777" spans="31:36">
      <c r="AE2777" s="15" t="str">
        <f t="shared" si="0"/>
        <v/>
      </c>
      <c r="AF2777" s="15" t="str">
        <f t="shared" si="1"/>
        <v/>
      </c>
      <c r="AG2777" s="15" t="str">
        <f>IF(OR(AF2777="",AF2777="ERRO_CHAVE"),"",IFERROR(MATCH(AF2777,'quitado Despesa'!$V$1:$V$12,0),""))</f>
        <v/>
      </c>
      <c r="AH2777" s="15" t="str">
        <f t="shared" si="2"/>
        <v/>
      </c>
      <c r="AI2777" s="17" t="str">
        <f>IF(AG2777="","",INDEX('quitado Despesa'!$G$1:$G$12,AG2777))</f>
        <v/>
      </c>
      <c r="AJ2777" s="17" t="str">
        <f t="shared" si="3"/>
        <v/>
      </c>
    </row>
    <row r="2778" spans="31:36">
      <c r="AE2778" s="15" t="str">
        <f t="shared" si="0"/>
        <v/>
      </c>
      <c r="AF2778" s="15" t="str">
        <f t="shared" si="1"/>
        <v/>
      </c>
      <c r="AG2778" s="15" t="str">
        <f>IF(OR(AF2778="",AF2778="ERRO_CHAVE"),"",IFERROR(MATCH(AF2778,'quitado Despesa'!$V$1:$V$12,0),""))</f>
        <v/>
      </c>
      <c r="AH2778" s="15" t="str">
        <f t="shared" si="2"/>
        <v/>
      </c>
      <c r="AI2778" s="17" t="str">
        <f>IF(AG2778="","",INDEX('quitado Despesa'!$G$1:$G$12,AG2778))</f>
        <v/>
      </c>
      <c r="AJ2778" s="17" t="str">
        <f t="shared" si="3"/>
        <v/>
      </c>
    </row>
    <row r="2779" spans="31:36">
      <c r="AE2779" s="15" t="str">
        <f t="shared" si="0"/>
        <v/>
      </c>
      <c r="AF2779" s="15" t="str">
        <f t="shared" si="1"/>
        <v/>
      </c>
      <c r="AG2779" s="15" t="str">
        <f>IF(OR(AF2779="",AF2779="ERRO_CHAVE"),"",IFERROR(MATCH(AF2779,'quitado Despesa'!$V$1:$V$12,0),""))</f>
        <v/>
      </c>
      <c r="AH2779" s="15" t="str">
        <f t="shared" si="2"/>
        <v/>
      </c>
      <c r="AI2779" s="17" t="str">
        <f>IF(AG2779="","",INDEX('quitado Despesa'!$G$1:$G$12,AG2779))</f>
        <v/>
      </c>
      <c r="AJ2779" s="17" t="str">
        <f t="shared" si="3"/>
        <v/>
      </c>
    </row>
    <row r="2780" spans="31:36">
      <c r="AE2780" s="15" t="str">
        <f t="shared" si="0"/>
        <v/>
      </c>
      <c r="AF2780" s="15" t="str">
        <f t="shared" si="1"/>
        <v/>
      </c>
      <c r="AG2780" s="15" t="str">
        <f>IF(OR(AF2780="",AF2780="ERRO_CHAVE"),"",IFERROR(MATCH(AF2780,'quitado Despesa'!$V$1:$V$12,0),""))</f>
        <v/>
      </c>
      <c r="AH2780" s="15" t="str">
        <f t="shared" si="2"/>
        <v/>
      </c>
      <c r="AI2780" s="17" t="str">
        <f>IF(AG2780="","",INDEX('quitado Despesa'!$G$1:$G$12,AG2780))</f>
        <v/>
      </c>
      <c r="AJ2780" s="17" t="str">
        <f t="shared" si="3"/>
        <v/>
      </c>
    </row>
    <row r="2781" spans="31:36">
      <c r="AE2781" s="15" t="str">
        <f t="shared" si="0"/>
        <v/>
      </c>
      <c r="AF2781" s="15" t="str">
        <f t="shared" si="1"/>
        <v/>
      </c>
      <c r="AG2781" s="15" t="str">
        <f>IF(OR(AF2781="",AF2781="ERRO_CHAVE"),"",IFERROR(MATCH(AF2781,'quitado Despesa'!$V$1:$V$12,0),""))</f>
        <v/>
      </c>
      <c r="AH2781" s="15" t="str">
        <f t="shared" si="2"/>
        <v/>
      </c>
      <c r="AI2781" s="17" t="str">
        <f>IF(AG2781="","",INDEX('quitado Despesa'!$G$1:$G$12,AG2781))</f>
        <v/>
      </c>
      <c r="AJ2781" s="17" t="str">
        <f t="shared" si="3"/>
        <v/>
      </c>
    </row>
    <row r="2782" spans="31:36">
      <c r="AE2782" s="15" t="str">
        <f t="shared" si="0"/>
        <v/>
      </c>
      <c r="AF2782" s="15" t="str">
        <f t="shared" si="1"/>
        <v/>
      </c>
      <c r="AG2782" s="15" t="str">
        <f>IF(OR(AF2782="",AF2782="ERRO_CHAVE"),"",IFERROR(MATCH(AF2782,'quitado Despesa'!$V$1:$V$12,0),""))</f>
        <v/>
      </c>
      <c r="AH2782" s="15" t="str">
        <f t="shared" si="2"/>
        <v/>
      </c>
      <c r="AI2782" s="17" t="str">
        <f>IF(AG2782="","",INDEX('quitado Despesa'!$G$1:$G$12,AG2782))</f>
        <v/>
      </c>
      <c r="AJ2782" s="17" t="str">
        <f t="shared" si="3"/>
        <v/>
      </c>
    </row>
    <row r="2783" spans="31:36">
      <c r="AE2783" s="15" t="str">
        <f t="shared" si="0"/>
        <v/>
      </c>
      <c r="AF2783" s="15" t="str">
        <f t="shared" si="1"/>
        <v/>
      </c>
      <c r="AG2783" s="15" t="str">
        <f>IF(OR(AF2783="",AF2783="ERRO_CHAVE"),"",IFERROR(MATCH(AF2783,'quitado Despesa'!$V$1:$V$12,0),""))</f>
        <v/>
      </c>
      <c r="AH2783" s="15" t="str">
        <f t="shared" si="2"/>
        <v/>
      </c>
      <c r="AI2783" s="17" t="str">
        <f>IF(AG2783="","",INDEX('quitado Despesa'!$G$1:$G$12,AG2783))</f>
        <v/>
      </c>
      <c r="AJ2783" s="17" t="str">
        <f t="shared" si="3"/>
        <v/>
      </c>
    </row>
    <row r="2784" spans="31:36">
      <c r="AE2784" s="15" t="str">
        <f t="shared" si="0"/>
        <v/>
      </c>
      <c r="AF2784" s="15" t="str">
        <f t="shared" si="1"/>
        <v/>
      </c>
      <c r="AG2784" s="15" t="str">
        <f>IF(OR(AF2784="",AF2784="ERRO_CHAVE"),"",IFERROR(MATCH(AF2784,'quitado Despesa'!$V$1:$V$12,0),""))</f>
        <v/>
      </c>
      <c r="AH2784" s="15" t="str">
        <f t="shared" si="2"/>
        <v/>
      </c>
      <c r="AI2784" s="17" t="str">
        <f>IF(AG2784="","",INDEX('quitado Despesa'!$G$1:$G$12,AG2784))</f>
        <v/>
      </c>
      <c r="AJ2784" s="17" t="str">
        <f t="shared" si="3"/>
        <v/>
      </c>
    </row>
    <row r="2785" spans="31:36">
      <c r="AE2785" s="15" t="str">
        <f t="shared" si="0"/>
        <v/>
      </c>
      <c r="AF2785" s="15" t="str">
        <f t="shared" si="1"/>
        <v/>
      </c>
      <c r="AG2785" s="15" t="str">
        <f>IF(OR(AF2785="",AF2785="ERRO_CHAVE"),"",IFERROR(MATCH(AF2785,'quitado Despesa'!$V$1:$V$12,0),""))</f>
        <v/>
      </c>
      <c r="AH2785" s="15" t="str">
        <f t="shared" si="2"/>
        <v/>
      </c>
      <c r="AI2785" s="17" t="str">
        <f>IF(AG2785="","",INDEX('quitado Despesa'!$G$1:$G$12,AG2785))</f>
        <v/>
      </c>
      <c r="AJ2785" s="17" t="str">
        <f t="shared" si="3"/>
        <v/>
      </c>
    </row>
    <row r="2786" spans="31:36">
      <c r="AE2786" s="15" t="str">
        <f t="shared" si="0"/>
        <v/>
      </c>
      <c r="AF2786" s="15" t="str">
        <f t="shared" si="1"/>
        <v/>
      </c>
      <c r="AG2786" s="15" t="str">
        <f>IF(OR(AF2786="",AF2786="ERRO_CHAVE"),"",IFERROR(MATCH(AF2786,'quitado Despesa'!$V$1:$V$12,0),""))</f>
        <v/>
      </c>
      <c r="AH2786" s="15" t="str">
        <f t="shared" si="2"/>
        <v/>
      </c>
      <c r="AI2786" s="17" t="str">
        <f>IF(AG2786="","",INDEX('quitado Despesa'!$G$1:$G$12,AG2786))</f>
        <v/>
      </c>
      <c r="AJ2786" s="17" t="str">
        <f t="shared" si="3"/>
        <v/>
      </c>
    </row>
    <row r="2787" spans="31:36">
      <c r="AE2787" s="15" t="str">
        <f t="shared" si="0"/>
        <v/>
      </c>
      <c r="AF2787" s="15" t="str">
        <f t="shared" si="1"/>
        <v/>
      </c>
      <c r="AG2787" s="15" t="str">
        <f>IF(OR(AF2787="",AF2787="ERRO_CHAVE"),"",IFERROR(MATCH(AF2787,'quitado Despesa'!$V$1:$V$12,0),""))</f>
        <v/>
      </c>
      <c r="AH2787" s="15" t="str">
        <f t="shared" si="2"/>
        <v/>
      </c>
      <c r="AI2787" s="17" t="str">
        <f>IF(AG2787="","",INDEX('quitado Despesa'!$G$1:$G$12,AG2787))</f>
        <v/>
      </c>
      <c r="AJ2787" s="17" t="str">
        <f t="shared" si="3"/>
        <v/>
      </c>
    </row>
    <row r="2788" spans="31:36">
      <c r="AE2788" s="15" t="str">
        <f t="shared" si="0"/>
        <v/>
      </c>
      <c r="AF2788" s="15" t="str">
        <f t="shared" si="1"/>
        <v/>
      </c>
      <c r="AG2788" s="15" t="str">
        <f>IF(OR(AF2788="",AF2788="ERRO_CHAVE"),"",IFERROR(MATCH(AF2788,'quitado Despesa'!$V$1:$V$12,0),""))</f>
        <v/>
      </c>
      <c r="AH2788" s="15" t="str">
        <f t="shared" si="2"/>
        <v/>
      </c>
      <c r="AI2788" s="17" t="str">
        <f>IF(AG2788="","",INDEX('quitado Despesa'!$G$1:$G$12,AG2788))</f>
        <v/>
      </c>
      <c r="AJ2788" s="17" t="str">
        <f t="shared" si="3"/>
        <v/>
      </c>
    </row>
    <row r="2789" spans="31:36">
      <c r="AE2789" s="15" t="str">
        <f t="shared" si="0"/>
        <v/>
      </c>
      <c r="AF2789" s="15" t="str">
        <f t="shared" si="1"/>
        <v/>
      </c>
      <c r="AG2789" s="15" t="str">
        <f>IF(OR(AF2789="",AF2789="ERRO_CHAVE"),"",IFERROR(MATCH(AF2789,'quitado Despesa'!$V$1:$V$12,0),""))</f>
        <v/>
      </c>
      <c r="AH2789" s="15" t="str">
        <f t="shared" si="2"/>
        <v/>
      </c>
      <c r="AI2789" s="17" t="str">
        <f>IF(AG2789="","",INDEX('quitado Despesa'!$G$1:$G$12,AG2789))</f>
        <v/>
      </c>
      <c r="AJ2789" s="17" t="str">
        <f t="shared" si="3"/>
        <v/>
      </c>
    </row>
    <row r="2790" spans="31:36">
      <c r="AE2790" s="15" t="str">
        <f t="shared" si="0"/>
        <v/>
      </c>
      <c r="AF2790" s="15" t="str">
        <f t="shared" si="1"/>
        <v/>
      </c>
      <c r="AG2790" s="15" t="str">
        <f>IF(OR(AF2790="",AF2790="ERRO_CHAVE"),"",IFERROR(MATCH(AF2790,'quitado Despesa'!$V$1:$V$12,0),""))</f>
        <v/>
      </c>
      <c r="AH2790" s="15" t="str">
        <f t="shared" si="2"/>
        <v/>
      </c>
      <c r="AI2790" s="17" t="str">
        <f>IF(AG2790="","",INDEX('quitado Despesa'!$G$1:$G$12,AG2790))</f>
        <v/>
      </c>
      <c r="AJ2790" s="17" t="str">
        <f t="shared" si="3"/>
        <v/>
      </c>
    </row>
    <row r="2791" spans="31:36">
      <c r="AE2791" s="15" t="str">
        <f t="shared" si="0"/>
        <v/>
      </c>
      <c r="AF2791" s="15" t="str">
        <f t="shared" si="1"/>
        <v/>
      </c>
      <c r="AG2791" s="15" t="str">
        <f>IF(OR(AF2791="",AF2791="ERRO_CHAVE"),"",IFERROR(MATCH(AF2791,'quitado Despesa'!$V$1:$V$12,0),""))</f>
        <v/>
      </c>
      <c r="AH2791" s="15" t="str">
        <f t="shared" si="2"/>
        <v/>
      </c>
      <c r="AI2791" s="17" t="str">
        <f>IF(AG2791="","",INDEX('quitado Despesa'!$G$1:$G$12,AG2791))</f>
        <v/>
      </c>
      <c r="AJ2791" s="17" t="str">
        <f t="shared" si="3"/>
        <v/>
      </c>
    </row>
    <row r="2792" spans="31:36">
      <c r="AE2792" s="15" t="str">
        <f t="shared" si="0"/>
        <v/>
      </c>
      <c r="AF2792" s="15" t="str">
        <f t="shared" si="1"/>
        <v/>
      </c>
      <c r="AG2792" s="15" t="str">
        <f>IF(OR(AF2792="",AF2792="ERRO_CHAVE"),"",IFERROR(MATCH(AF2792,'quitado Despesa'!$V$1:$V$12,0),""))</f>
        <v/>
      </c>
      <c r="AH2792" s="15" t="str">
        <f t="shared" si="2"/>
        <v/>
      </c>
      <c r="AI2792" s="17" t="str">
        <f>IF(AG2792="","",INDEX('quitado Despesa'!$G$1:$G$12,AG2792))</f>
        <v/>
      </c>
      <c r="AJ2792" s="17" t="str">
        <f t="shared" si="3"/>
        <v/>
      </c>
    </row>
    <row r="2793" spans="31:36">
      <c r="AE2793" s="15" t="str">
        <f t="shared" si="0"/>
        <v/>
      </c>
      <c r="AF2793" s="15" t="str">
        <f t="shared" si="1"/>
        <v/>
      </c>
      <c r="AG2793" s="15" t="str">
        <f>IF(OR(AF2793="",AF2793="ERRO_CHAVE"),"",IFERROR(MATCH(AF2793,'quitado Despesa'!$V$1:$V$12,0),""))</f>
        <v/>
      </c>
      <c r="AH2793" s="15" t="str">
        <f t="shared" si="2"/>
        <v/>
      </c>
      <c r="AI2793" s="17" t="str">
        <f>IF(AG2793="","",INDEX('quitado Despesa'!$G$1:$G$12,AG2793))</f>
        <v/>
      </c>
      <c r="AJ2793" s="17" t="str">
        <f t="shared" si="3"/>
        <v/>
      </c>
    </row>
    <row r="2794" spans="31:36">
      <c r="AE2794" s="15" t="str">
        <f t="shared" si="0"/>
        <v/>
      </c>
      <c r="AF2794" s="15" t="str">
        <f t="shared" si="1"/>
        <v/>
      </c>
      <c r="AG2794" s="15" t="str">
        <f>IF(OR(AF2794="",AF2794="ERRO_CHAVE"),"",IFERROR(MATCH(AF2794,'quitado Despesa'!$V$1:$V$12,0),""))</f>
        <v/>
      </c>
      <c r="AH2794" s="15" t="str">
        <f t="shared" si="2"/>
        <v/>
      </c>
      <c r="AI2794" s="17" t="str">
        <f>IF(AG2794="","",INDEX('quitado Despesa'!$G$1:$G$12,AG2794))</f>
        <v/>
      </c>
      <c r="AJ2794" s="17" t="str">
        <f t="shared" si="3"/>
        <v/>
      </c>
    </row>
    <row r="2795" spans="31:36">
      <c r="AE2795" s="15" t="str">
        <f t="shared" si="0"/>
        <v/>
      </c>
      <c r="AF2795" s="15" t="str">
        <f t="shared" si="1"/>
        <v/>
      </c>
      <c r="AG2795" s="15" t="str">
        <f>IF(OR(AF2795="",AF2795="ERRO_CHAVE"),"",IFERROR(MATCH(AF2795,'quitado Despesa'!$V$1:$V$12,0),""))</f>
        <v/>
      </c>
      <c r="AH2795" s="15" t="str">
        <f t="shared" si="2"/>
        <v/>
      </c>
      <c r="AI2795" s="17" t="str">
        <f>IF(AG2795="","",INDEX('quitado Despesa'!$G$1:$G$12,AG2795))</f>
        <v/>
      </c>
      <c r="AJ2795" s="17" t="str">
        <f t="shared" si="3"/>
        <v/>
      </c>
    </row>
    <row r="2796" spans="31:36">
      <c r="AE2796" s="15" t="str">
        <f t="shared" si="0"/>
        <v/>
      </c>
      <c r="AF2796" s="15" t="str">
        <f t="shared" si="1"/>
        <v/>
      </c>
      <c r="AG2796" s="15" t="str">
        <f>IF(OR(AF2796="",AF2796="ERRO_CHAVE"),"",IFERROR(MATCH(AF2796,'quitado Despesa'!$V$1:$V$12,0),""))</f>
        <v/>
      </c>
      <c r="AH2796" s="15" t="str">
        <f t="shared" si="2"/>
        <v/>
      </c>
      <c r="AI2796" s="17" t="str">
        <f>IF(AG2796="","",INDEX('quitado Despesa'!$G$1:$G$12,AG2796))</f>
        <v/>
      </c>
      <c r="AJ2796" s="17" t="str">
        <f t="shared" si="3"/>
        <v/>
      </c>
    </row>
    <row r="2797" spans="31:36">
      <c r="AE2797" s="15" t="str">
        <f t="shared" si="0"/>
        <v/>
      </c>
      <c r="AF2797" s="15" t="str">
        <f t="shared" si="1"/>
        <v/>
      </c>
      <c r="AG2797" s="15" t="str">
        <f>IF(OR(AF2797="",AF2797="ERRO_CHAVE"),"",IFERROR(MATCH(AF2797,'quitado Despesa'!$V$1:$V$12,0),""))</f>
        <v/>
      </c>
      <c r="AH2797" s="15" t="str">
        <f t="shared" si="2"/>
        <v/>
      </c>
      <c r="AI2797" s="17" t="str">
        <f>IF(AG2797="","",INDEX('quitado Despesa'!$G$1:$G$12,AG2797))</f>
        <v/>
      </c>
      <c r="AJ2797" s="17" t="str">
        <f t="shared" si="3"/>
        <v/>
      </c>
    </row>
    <row r="2798" spans="31:36">
      <c r="AE2798" s="15" t="str">
        <f t="shared" si="0"/>
        <v/>
      </c>
      <c r="AF2798" s="15" t="str">
        <f t="shared" si="1"/>
        <v/>
      </c>
      <c r="AG2798" s="15" t="str">
        <f>IF(OR(AF2798="",AF2798="ERRO_CHAVE"),"",IFERROR(MATCH(AF2798,'quitado Despesa'!$V$1:$V$12,0),""))</f>
        <v/>
      </c>
      <c r="AH2798" s="15" t="str">
        <f t="shared" si="2"/>
        <v/>
      </c>
      <c r="AI2798" s="17" t="str">
        <f>IF(AG2798="","",INDEX('quitado Despesa'!$G$1:$G$12,AG2798))</f>
        <v/>
      </c>
      <c r="AJ2798" s="17" t="str">
        <f t="shared" si="3"/>
        <v/>
      </c>
    </row>
    <row r="2799" spans="31:36">
      <c r="AE2799" s="15" t="str">
        <f t="shared" si="0"/>
        <v/>
      </c>
      <c r="AF2799" s="15" t="str">
        <f t="shared" si="1"/>
        <v/>
      </c>
      <c r="AG2799" s="15" t="str">
        <f>IF(OR(AF2799="",AF2799="ERRO_CHAVE"),"",IFERROR(MATCH(AF2799,'quitado Despesa'!$V$1:$V$12,0),""))</f>
        <v/>
      </c>
      <c r="AH2799" s="15" t="str">
        <f t="shared" si="2"/>
        <v/>
      </c>
      <c r="AI2799" s="17" t="str">
        <f>IF(AG2799="","",INDEX('quitado Despesa'!$G$1:$G$12,AG2799))</f>
        <v/>
      </c>
      <c r="AJ2799" s="17" t="str">
        <f t="shared" si="3"/>
        <v/>
      </c>
    </row>
    <row r="2800" spans="31:36">
      <c r="AE2800" s="15" t="str">
        <f t="shared" si="0"/>
        <v/>
      </c>
      <c r="AF2800" s="15" t="str">
        <f t="shared" si="1"/>
        <v/>
      </c>
      <c r="AG2800" s="15" t="str">
        <f>IF(OR(AF2800="",AF2800="ERRO_CHAVE"),"",IFERROR(MATCH(AF2800,'quitado Despesa'!$V$1:$V$12,0),""))</f>
        <v/>
      </c>
      <c r="AH2800" s="15" t="str">
        <f t="shared" si="2"/>
        <v/>
      </c>
      <c r="AI2800" s="17" t="str">
        <f>IF(AG2800="","",INDEX('quitado Despesa'!$G$1:$G$12,AG2800))</f>
        <v/>
      </c>
      <c r="AJ2800" s="17" t="str">
        <f t="shared" si="3"/>
        <v/>
      </c>
    </row>
    <row r="2801" spans="31:36">
      <c r="AE2801" s="15" t="str">
        <f t="shared" si="0"/>
        <v/>
      </c>
      <c r="AF2801" s="15" t="str">
        <f t="shared" si="1"/>
        <v/>
      </c>
      <c r="AG2801" s="15" t="str">
        <f>IF(OR(AF2801="",AF2801="ERRO_CHAVE"),"",IFERROR(MATCH(AF2801,'quitado Despesa'!$V$1:$V$12,0),""))</f>
        <v/>
      </c>
      <c r="AH2801" s="15" t="str">
        <f t="shared" si="2"/>
        <v/>
      </c>
      <c r="AI2801" s="17" t="str">
        <f>IF(AG2801="","",INDEX('quitado Despesa'!$G$1:$G$12,AG2801))</f>
        <v/>
      </c>
      <c r="AJ2801" s="17" t="str">
        <f t="shared" si="3"/>
        <v/>
      </c>
    </row>
    <row r="2802" spans="31:36">
      <c r="AE2802" s="15" t="str">
        <f t="shared" si="0"/>
        <v/>
      </c>
      <c r="AF2802" s="15" t="str">
        <f t="shared" si="1"/>
        <v/>
      </c>
      <c r="AG2802" s="15" t="str">
        <f>IF(OR(AF2802="",AF2802="ERRO_CHAVE"),"",IFERROR(MATCH(AF2802,'quitado Despesa'!$V$1:$V$12,0),""))</f>
        <v/>
      </c>
      <c r="AH2802" s="15" t="str">
        <f t="shared" si="2"/>
        <v/>
      </c>
      <c r="AI2802" s="17" t="str">
        <f>IF(AG2802="","",INDEX('quitado Despesa'!$G$1:$G$12,AG2802))</f>
        <v/>
      </c>
      <c r="AJ2802" s="17" t="str">
        <f t="shared" si="3"/>
        <v/>
      </c>
    </row>
    <row r="2803" spans="31:36">
      <c r="AE2803" s="15" t="str">
        <f t="shared" si="0"/>
        <v/>
      </c>
      <c r="AF2803" s="15" t="str">
        <f t="shared" si="1"/>
        <v/>
      </c>
      <c r="AG2803" s="15" t="str">
        <f>IF(OR(AF2803="",AF2803="ERRO_CHAVE"),"",IFERROR(MATCH(AF2803,'quitado Despesa'!$V$1:$V$12,0),""))</f>
        <v/>
      </c>
      <c r="AH2803" s="15" t="str">
        <f t="shared" si="2"/>
        <v/>
      </c>
      <c r="AI2803" s="17" t="str">
        <f>IF(AG2803="","",INDEX('quitado Despesa'!$G$1:$G$12,AG2803))</f>
        <v/>
      </c>
      <c r="AJ2803" s="17" t="str">
        <f t="shared" si="3"/>
        <v/>
      </c>
    </row>
    <row r="2804" spans="31:36">
      <c r="AE2804" s="15" t="str">
        <f t="shared" si="0"/>
        <v/>
      </c>
      <c r="AF2804" s="15" t="str">
        <f t="shared" si="1"/>
        <v/>
      </c>
      <c r="AG2804" s="15" t="str">
        <f>IF(OR(AF2804="",AF2804="ERRO_CHAVE"),"",IFERROR(MATCH(AF2804,'quitado Despesa'!$V$1:$V$12,0),""))</f>
        <v/>
      </c>
      <c r="AH2804" s="15" t="str">
        <f t="shared" si="2"/>
        <v/>
      </c>
      <c r="AI2804" s="17" t="str">
        <f>IF(AG2804="","",INDEX('quitado Despesa'!$G$1:$G$12,AG2804))</f>
        <v/>
      </c>
      <c r="AJ2804" s="17" t="str">
        <f t="shared" si="3"/>
        <v/>
      </c>
    </row>
    <row r="2805" spans="31:36">
      <c r="AE2805" s="15" t="str">
        <f t="shared" si="0"/>
        <v/>
      </c>
      <c r="AF2805" s="15" t="str">
        <f t="shared" si="1"/>
        <v/>
      </c>
      <c r="AG2805" s="15" t="str">
        <f>IF(OR(AF2805="",AF2805="ERRO_CHAVE"),"",IFERROR(MATCH(AF2805,'quitado Despesa'!$V$1:$V$12,0),""))</f>
        <v/>
      </c>
      <c r="AH2805" s="15" t="str">
        <f t="shared" si="2"/>
        <v/>
      </c>
      <c r="AI2805" s="17" t="str">
        <f>IF(AG2805="","",INDEX('quitado Despesa'!$G$1:$G$12,AG2805))</f>
        <v/>
      </c>
      <c r="AJ2805" s="17" t="str">
        <f t="shared" si="3"/>
        <v/>
      </c>
    </row>
    <row r="2806" spans="31:36">
      <c r="AE2806" s="15" t="str">
        <f t="shared" si="0"/>
        <v/>
      </c>
      <c r="AF2806" s="15" t="str">
        <f t="shared" si="1"/>
        <v/>
      </c>
      <c r="AG2806" s="15" t="str">
        <f>IF(OR(AF2806="",AF2806="ERRO_CHAVE"),"",IFERROR(MATCH(AF2806,'quitado Despesa'!$V$1:$V$12,0),""))</f>
        <v/>
      </c>
      <c r="AH2806" s="15" t="str">
        <f t="shared" si="2"/>
        <v/>
      </c>
      <c r="AI2806" s="17" t="str">
        <f>IF(AG2806="","",INDEX('quitado Despesa'!$G$1:$G$12,AG2806))</f>
        <v/>
      </c>
      <c r="AJ2806" s="17" t="str">
        <f t="shared" si="3"/>
        <v/>
      </c>
    </row>
    <row r="2807" spans="31:36">
      <c r="AE2807" s="15" t="str">
        <f t="shared" si="0"/>
        <v/>
      </c>
      <c r="AF2807" s="15" t="str">
        <f t="shared" si="1"/>
        <v/>
      </c>
      <c r="AG2807" s="15" t="str">
        <f>IF(OR(AF2807="",AF2807="ERRO_CHAVE"),"",IFERROR(MATCH(AF2807,'quitado Despesa'!$V$1:$V$12,0),""))</f>
        <v/>
      </c>
      <c r="AH2807" s="15" t="str">
        <f t="shared" si="2"/>
        <v/>
      </c>
      <c r="AI2807" s="17" t="str">
        <f>IF(AG2807="","",INDEX('quitado Despesa'!$G$1:$G$12,AG2807))</f>
        <v/>
      </c>
      <c r="AJ2807" s="17" t="str">
        <f t="shared" si="3"/>
        <v/>
      </c>
    </row>
    <row r="2808" spans="31:36">
      <c r="AE2808" s="15" t="str">
        <f t="shared" si="0"/>
        <v/>
      </c>
      <c r="AF2808" s="15" t="str">
        <f t="shared" si="1"/>
        <v/>
      </c>
      <c r="AG2808" s="15" t="str">
        <f>IF(OR(AF2808="",AF2808="ERRO_CHAVE"),"",IFERROR(MATCH(AF2808,'quitado Despesa'!$V$1:$V$12,0),""))</f>
        <v/>
      </c>
      <c r="AH2808" s="15" t="str">
        <f t="shared" si="2"/>
        <v/>
      </c>
      <c r="AI2808" s="17" t="str">
        <f>IF(AG2808="","",INDEX('quitado Despesa'!$G$1:$G$12,AG2808))</f>
        <v/>
      </c>
      <c r="AJ2808" s="17" t="str">
        <f t="shared" si="3"/>
        <v/>
      </c>
    </row>
    <row r="2809" spans="31:36">
      <c r="AE2809" s="15" t="str">
        <f t="shared" si="0"/>
        <v/>
      </c>
      <c r="AF2809" s="15" t="str">
        <f t="shared" si="1"/>
        <v/>
      </c>
      <c r="AG2809" s="15" t="str">
        <f>IF(OR(AF2809="",AF2809="ERRO_CHAVE"),"",IFERROR(MATCH(AF2809,'quitado Despesa'!$V$1:$V$12,0),""))</f>
        <v/>
      </c>
      <c r="AH2809" s="15" t="str">
        <f t="shared" si="2"/>
        <v/>
      </c>
      <c r="AI2809" s="17" t="str">
        <f>IF(AG2809="","",INDEX('quitado Despesa'!$G$1:$G$12,AG2809))</f>
        <v/>
      </c>
      <c r="AJ2809" s="17" t="str">
        <f t="shared" si="3"/>
        <v/>
      </c>
    </row>
    <row r="2810" spans="31:36">
      <c r="AE2810" s="15" t="str">
        <f t="shared" si="0"/>
        <v/>
      </c>
      <c r="AF2810" s="15" t="str">
        <f t="shared" si="1"/>
        <v/>
      </c>
      <c r="AG2810" s="15" t="str">
        <f>IF(OR(AF2810="",AF2810="ERRO_CHAVE"),"",IFERROR(MATCH(AF2810,'quitado Despesa'!$V$1:$V$12,0),""))</f>
        <v/>
      </c>
      <c r="AH2810" s="15" t="str">
        <f t="shared" si="2"/>
        <v/>
      </c>
      <c r="AI2810" s="17" t="str">
        <f>IF(AG2810="","",INDEX('quitado Despesa'!$G$1:$G$12,AG2810))</f>
        <v/>
      </c>
      <c r="AJ2810" s="17" t="str">
        <f t="shared" si="3"/>
        <v/>
      </c>
    </row>
    <row r="2811" spans="31:36">
      <c r="AE2811" s="15" t="str">
        <f t="shared" si="0"/>
        <v/>
      </c>
      <c r="AF2811" s="15" t="str">
        <f t="shared" si="1"/>
        <v/>
      </c>
      <c r="AG2811" s="15" t="str">
        <f>IF(OR(AF2811="",AF2811="ERRO_CHAVE"),"",IFERROR(MATCH(AF2811,'quitado Despesa'!$V$1:$V$12,0),""))</f>
        <v/>
      </c>
      <c r="AH2811" s="15" t="str">
        <f t="shared" si="2"/>
        <v/>
      </c>
      <c r="AI2811" s="17" t="str">
        <f>IF(AG2811="","",INDEX('quitado Despesa'!$G$1:$G$12,AG2811))</f>
        <v/>
      </c>
      <c r="AJ2811" s="17" t="str">
        <f t="shared" si="3"/>
        <v/>
      </c>
    </row>
    <row r="2812" spans="31:36">
      <c r="AE2812" s="15" t="str">
        <f t="shared" si="0"/>
        <v/>
      </c>
      <c r="AF2812" s="15" t="str">
        <f t="shared" si="1"/>
        <v/>
      </c>
      <c r="AG2812" s="15" t="str">
        <f>IF(OR(AF2812="",AF2812="ERRO_CHAVE"),"",IFERROR(MATCH(AF2812,'quitado Despesa'!$V$1:$V$12,0),""))</f>
        <v/>
      </c>
      <c r="AH2812" s="15" t="str">
        <f t="shared" si="2"/>
        <v/>
      </c>
      <c r="AI2812" s="17" t="str">
        <f>IF(AG2812="","",INDEX('quitado Despesa'!$G$1:$G$12,AG2812))</f>
        <v/>
      </c>
      <c r="AJ2812" s="17" t="str">
        <f t="shared" si="3"/>
        <v/>
      </c>
    </row>
    <row r="2813" spans="31:36">
      <c r="AE2813" s="15" t="str">
        <f t="shared" si="0"/>
        <v/>
      </c>
      <c r="AF2813" s="15" t="str">
        <f t="shared" si="1"/>
        <v/>
      </c>
      <c r="AG2813" s="15" t="str">
        <f>IF(OR(AF2813="",AF2813="ERRO_CHAVE"),"",IFERROR(MATCH(AF2813,'quitado Despesa'!$V$1:$V$12,0),""))</f>
        <v/>
      </c>
      <c r="AH2813" s="15" t="str">
        <f t="shared" si="2"/>
        <v/>
      </c>
      <c r="AI2813" s="17" t="str">
        <f>IF(AG2813="","",INDEX('quitado Despesa'!$G$1:$G$12,AG2813))</f>
        <v/>
      </c>
      <c r="AJ2813" s="17" t="str">
        <f t="shared" si="3"/>
        <v/>
      </c>
    </row>
    <row r="2814" spans="31:36">
      <c r="AE2814" s="15" t="str">
        <f t="shared" si="0"/>
        <v/>
      </c>
      <c r="AF2814" s="15" t="str">
        <f t="shared" si="1"/>
        <v/>
      </c>
      <c r="AG2814" s="15" t="str">
        <f>IF(OR(AF2814="",AF2814="ERRO_CHAVE"),"",IFERROR(MATCH(AF2814,'quitado Despesa'!$V$1:$V$12,0),""))</f>
        <v/>
      </c>
      <c r="AH2814" s="15" t="str">
        <f t="shared" si="2"/>
        <v/>
      </c>
      <c r="AI2814" s="17" t="str">
        <f>IF(AG2814="","",INDEX('quitado Despesa'!$G$1:$G$12,AG2814))</f>
        <v/>
      </c>
      <c r="AJ2814" s="17" t="str">
        <f t="shared" si="3"/>
        <v/>
      </c>
    </row>
    <row r="2815" spans="31:36">
      <c r="AE2815" s="15" t="str">
        <f t="shared" si="0"/>
        <v/>
      </c>
      <c r="AF2815" s="15" t="str">
        <f t="shared" si="1"/>
        <v/>
      </c>
      <c r="AG2815" s="15" t="str">
        <f>IF(OR(AF2815="",AF2815="ERRO_CHAVE"),"",IFERROR(MATCH(AF2815,'quitado Despesa'!$V$1:$V$12,0),""))</f>
        <v/>
      </c>
      <c r="AH2815" s="15" t="str">
        <f t="shared" si="2"/>
        <v/>
      </c>
      <c r="AI2815" s="17" t="str">
        <f>IF(AG2815="","",INDEX('quitado Despesa'!$G$1:$G$12,AG2815))</f>
        <v/>
      </c>
      <c r="AJ2815" s="17" t="str">
        <f t="shared" si="3"/>
        <v/>
      </c>
    </row>
    <row r="2816" spans="31:36">
      <c r="AE2816" s="15" t="str">
        <f t="shared" si="0"/>
        <v/>
      </c>
      <c r="AF2816" s="15" t="str">
        <f t="shared" si="1"/>
        <v/>
      </c>
      <c r="AG2816" s="15" t="str">
        <f>IF(OR(AF2816="",AF2816="ERRO_CHAVE"),"",IFERROR(MATCH(AF2816,'quitado Despesa'!$V$1:$V$12,0),""))</f>
        <v/>
      </c>
      <c r="AH2816" s="15" t="str">
        <f t="shared" si="2"/>
        <v/>
      </c>
      <c r="AI2816" s="17" t="str">
        <f>IF(AG2816="","",INDEX('quitado Despesa'!$G$1:$G$12,AG2816))</f>
        <v/>
      </c>
      <c r="AJ2816" s="17" t="str">
        <f t="shared" si="3"/>
        <v/>
      </c>
    </row>
    <row r="2817" spans="31:36">
      <c r="AE2817" s="15" t="str">
        <f t="shared" si="0"/>
        <v/>
      </c>
      <c r="AF2817" s="15" t="str">
        <f t="shared" si="1"/>
        <v/>
      </c>
      <c r="AG2817" s="15" t="str">
        <f>IF(OR(AF2817="",AF2817="ERRO_CHAVE"),"",IFERROR(MATCH(AF2817,'quitado Despesa'!$V$1:$V$12,0),""))</f>
        <v/>
      </c>
      <c r="AH2817" s="15" t="str">
        <f t="shared" si="2"/>
        <v/>
      </c>
      <c r="AI2817" s="17" t="str">
        <f>IF(AG2817="","",INDEX('quitado Despesa'!$G$1:$G$12,AG2817))</f>
        <v/>
      </c>
      <c r="AJ2817" s="17" t="str">
        <f t="shared" si="3"/>
        <v/>
      </c>
    </row>
    <row r="2818" spans="31:36">
      <c r="AE2818" s="15" t="str">
        <f t="shared" si="0"/>
        <v/>
      </c>
      <c r="AF2818" s="15" t="str">
        <f t="shared" si="1"/>
        <v/>
      </c>
      <c r="AG2818" s="15" t="str">
        <f>IF(OR(AF2818="",AF2818="ERRO_CHAVE"),"",IFERROR(MATCH(AF2818,'quitado Despesa'!$V$1:$V$12,0),""))</f>
        <v/>
      </c>
      <c r="AH2818" s="15" t="str">
        <f t="shared" si="2"/>
        <v/>
      </c>
      <c r="AI2818" s="17" t="str">
        <f>IF(AG2818="","",INDEX('quitado Despesa'!$G$1:$G$12,AG2818))</f>
        <v/>
      </c>
      <c r="AJ2818" s="17" t="str">
        <f t="shared" si="3"/>
        <v/>
      </c>
    </row>
    <row r="2819" spans="31:36">
      <c r="AE2819" s="15" t="str">
        <f t="shared" si="0"/>
        <v/>
      </c>
      <c r="AF2819" s="15" t="str">
        <f t="shared" si="1"/>
        <v/>
      </c>
      <c r="AG2819" s="15" t="str">
        <f>IF(OR(AF2819="",AF2819="ERRO_CHAVE"),"",IFERROR(MATCH(AF2819,'quitado Despesa'!$V$1:$V$12,0),""))</f>
        <v/>
      </c>
      <c r="AH2819" s="15" t="str">
        <f t="shared" si="2"/>
        <v/>
      </c>
      <c r="AI2819" s="17" t="str">
        <f>IF(AG2819="","",INDEX('quitado Despesa'!$G$1:$G$12,AG2819))</f>
        <v/>
      </c>
      <c r="AJ2819" s="17" t="str">
        <f t="shared" si="3"/>
        <v/>
      </c>
    </row>
    <row r="2820" spans="31:36">
      <c r="AE2820" s="15" t="str">
        <f t="shared" si="0"/>
        <v/>
      </c>
      <c r="AF2820" s="15" t="str">
        <f t="shared" si="1"/>
        <v/>
      </c>
      <c r="AG2820" s="15" t="str">
        <f>IF(OR(AF2820="",AF2820="ERRO_CHAVE"),"",IFERROR(MATCH(AF2820,'quitado Despesa'!$V$1:$V$12,0),""))</f>
        <v/>
      </c>
      <c r="AH2820" s="15" t="str">
        <f t="shared" si="2"/>
        <v/>
      </c>
      <c r="AI2820" s="17" t="str">
        <f>IF(AG2820="","",INDEX('quitado Despesa'!$G$1:$G$12,AG2820))</f>
        <v/>
      </c>
      <c r="AJ2820" s="17" t="str">
        <f t="shared" si="3"/>
        <v/>
      </c>
    </row>
    <row r="2821" spans="31:36">
      <c r="AE2821" s="15" t="str">
        <f t="shared" si="0"/>
        <v/>
      </c>
      <c r="AF2821" s="15" t="str">
        <f t="shared" si="1"/>
        <v/>
      </c>
      <c r="AG2821" s="15" t="str">
        <f>IF(OR(AF2821="",AF2821="ERRO_CHAVE"),"",IFERROR(MATCH(AF2821,'quitado Despesa'!$V$1:$V$12,0),""))</f>
        <v/>
      </c>
      <c r="AH2821" s="15" t="str">
        <f t="shared" si="2"/>
        <v/>
      </c>
      <c r="AI2821" s="17" t="str">
        <f>IF(AG2821="","",INDEX('quitado Despesa'!$G$1:$G$12,AG2821))</f>
        <v/>
      </c>
      <c r="AJ2821" s="17" t="str">
        <f t="shared" si="3"/>
        <v/>
      </c>
    </row>
    <row r="2822" spans="31:36">
      <c r="AE2822" s="15" t="str">
        <f t="shared" si="0"/>
        <v/>
      </c>
      <c r="AF2822" s="15" t="str">
        <f t="shared" si="1"/>
        <v/>
      </c>
      <c r="AG2822" s="15" t="str">
        <f>IF(OR(AF2822="",AF2822="ERRO_CHAVE"),"",IFERROR(MATCH(AF2822,'quitado Despesa'!$V$1:$V$12,0),""))</f>
        <v/>
      </c>
      <c r="AH2822" s="15" t="str">
        <f t="shared" si="2"/>
        <v/>
      </c>
      <c r="AI2822" s="17" t="str">
        <f>IF(AG2822="","",INDEX('quitado Despesa'!$G$1:$G$12,AG2822))</f>
        <v/>
      </c>
      <c r="AJ2822" s="17" t="str">
        <f t="shared" si="3"/>
        <v/>
      </c>
    </row>
    <row r="2823" spans="31:36">
      <c r="AE2823" s="15" t="str">
        <f t="shared" si="0"/>
        <v/>
      </c>
      <c r="AF2823" s="15" t="str">
        <f t="shared" si="1"/>
        <v/>
      </c>
      <c r="AG2823" s="15" t="str">
        <f>IF(OR(AF2823="",AF2823="ERRO_CHAVE"),"",IFERROR(MATCH(AF2823,'quitado Despesa'!$V$1:$V$12,0),""))</f>
        <v/>
      </c>
      <c r="AH2823" s="15" t="str">
        <f t="shared" si="2"/>
        <v/>
      </c>
      <c r="AI2823" s="17" t="str">
        <f>IF(AG2823="","",INDEX('quitado Despesa'!$G$1:$G$12,AG2823))</f>
        <v/>
      </c>
      <c r="AJ2823" s="17" t="str">
        <f t="shared" si="3"/>
        <v/>
      </c>
    </row>
    <row r="2824" spans="31:36">
      <c r="AE2824" s="15" t="str">
        <f t="shared" si="0"/>
        <v/>
      </c>
      <c r="AF2824" s="15" t="str">
        <f t="shared" si="1"/>
        <v/>
      </c>
      <c r="AG2824" s="15" t="str">
        <f>IF(OR(AF2824="",AF2824="ERRO_CHAVE"),"",IFERROR(MATCH(AF2824,'quitado Despesa'!$V$1:$V$12,0),""))</f>
        <v/>
      </c>
      <c r="AH2824" s="15" t="str">
        <f t="shared" si="2"/>
        <v/>
      </c>
      <c r="AI2824" s="17" t="str">
        <f>IF(AG2824="","",INDEX('quitado Despesa'!$G$1:$G$12,AG2824))</f>
        <v/>
      </c>
      <c r="AJ2824" s="17" t="str">
        <f t="shared" si="3"/>
        <v/>
      </c>
    </row>
    <row r="2825" spans="31:36">
      <c r="AE2825" s="15" t="str">
        <f t="shared" si="0"/>
        <v/>
      </c>
      <c r="AF2825" s="15" t="str">
        <f t="shared" si="1"/>
        <v/>
      </c>
      <c r="AG2825" s="15" t="str">
        <f>IF(OR(AF2825="",AF2825="ERRO_CHAVE"),"",IFERROR(MATCH(AF2825,'quitado Despesa'!$V$1:$V$12,0),""))</f>
        <v/>
      </c>
      <c r="AH2825" s="15" t="str">
        <f t="shared" si="2"/>
        <v/>
      </c>
      <c r="AI2825" s="17" t="str">
        <f>IF(AG2825="","",INDEX('quitado Despesa'!$G$1:$G$12,AG2825))</f>
        <v/>
      </c>
      <c r="AJ2825" s="17" t="str">
        <f t="shared" si="3"/>
        <v/>
      </c>
    </row>
    <row r="2826" spans="31:36">
      <c r="AE2826" s="15" t="str">
        <f t="shared" si="0"/>
        <v/>
      </c>
      <c r="AF2826" s="15" t="str">
        <f t="shared" si="1"/>
        <v/>
      </c>
      <c r="AG2826" s="15" t="str">
        <f>IF(OR(AF2826="",AF2826="ERRO_CHAVE"),"",IFERROR(MATCH(AF2826,'quitado Despesa'!$V$1:$V$12,0),""))</f>
        <v/>
      </c>
      <c r="AH2826" s="15" t="str">
        <f t="shared" si="2"/>
        <v/>
      </c>
      <c r="AI2826" s="17" t="str">
        <f>IF(AG2826="","",INDEX('quitado Despesa'!$G$1:$G$12,AG2826))</f>
        <v/>
      </c>
      <c r="AJ2826" s="17" t="str">
        <f t="shared" si="3"/>
        <v/>
      </c>
    </row>
    <row r="2827" spans="31:36">
      <c r="AE2827" s="15" t="str">
        <f t="shared" si="0"/>
        <v/>
      </c>
      <c r="AF2827" s="15" t="str">
        <f t="shared" si="1"/>
        <v/>
      </c>
      <c r="AG2827" s="15" t="str">
        <f>IF(OR(AF2827="",AF2827="ERRO_CHAVE"),"",IFERROR(MATCH(AF2827,'quitado Despesa'!$V$1:$V$12,0),""))</f>
        <v/>
      </c>
      <c r="AH2827" s="15" t="str">
        <f t="shared" si="2"/>
        <v/>
      </c>
      <c r="AI2827" s="17" t="str">
        <f>IF(AG2827="","",INDEX('quitado Despesa'!$G$1:$G$12,AG2827))</f>
        <v/>
      </c>
      <c r="AJ2827" s="17" t="str">
        <f t="shared" si="3"/>
        <v/>
      </c>
    </row>
    <row r="2828" spans="31:36">
      <c r="AE2828" s="15" t="str">
        <f t="shared" si="0"/>
        <v/>
      </c>
      <c r="AF2828" s="15" t="str">
        <f t="shared" si="1"/>
        <v/>
      </c>
      <c r="AG2828" s="15" t="str">
        <f>IF(OR(AF2828="",AF2828="ERRO_CHAVE"),"",IFERROR(MATCH(AF2828,'quitado Despesa'!$V$1:$V$12,0),""))</f>
        <v/>
      </c>
      <c r="AH2828" s="15" t="str">
        <f t="shared" si="2"/>
        <v/>
      </c>
      <c r="AI2828" s="17" t="str">
        <f>IF(AG2828="","",INDEX('quitado Despesa'!$G$1:$G$12,AG2828))</f>
        <v/>
      </c>
      <c r="AJ2828" s="17" t="str">
        <f t="shared" si="3"/>
        <v/>
      </c>
    </row>
    <row r="2829" spans="31:36">
      <c r="AE2829" s="15" t="str">
        <f t="shared" si="0"/>
        <v/>
      </c>
      <c r="AF2829" s="15" t="str">
        <f t="shared" si="1"/>
        <v/>
      </c>
      <c r="AG2829" s="15" t="str">
        <f>IF(OR(AF2829="",AF2829="ERRO_CHAVE"),"",IFERROR(MATCH(AF2829,'quitado Despesa'!$V$1:$V$12,0),""))</f>
        <v/>
      </c>
      <c r="AH2829" s="15" t="str">
        <f t="shared" si="2"/>
        <v/>
      </c>
      <c r="AI2829" s="17" t="str">
        <f>IF(AG2829="","",INDEX('quitado Despesa'!$G$1:$G$12,AG2829))</f>
        <v/>
      </c>
      <c r="AJ2829" s="17" t="str">
        <f t="shared" si="3"/>
        <v/>
      </c>
    </row>
    <row r="2830" spans="31:36">
      <c r="AE2830" s="15" t="str">
        <f t="shared" si="0"/>
        <v/>
      </c>
      <c r="AF2830" s="15" t="str">
        <f t="shared" si="1"/>
        <v/>
      </c>
      <c r="AG2830" s="15" t="str">
        <f>IF(OR(AF2830="",AF2830="ERRO_CHAVE"),"",IFERROR(MATCH(AF2830,'quitado Despesa'!$V$1:$V$12,0),""))</f>
        <v/>
      </c>
      <c r="AH2830" s="15" t="str">
        <f t="shared" si="2"/>
        <v/>
      </c>
      <c r="AI2830" s="17" t="str">
        <f>IF(AG2830="","",INDEX('quitado Despesa'!$G$1:$G$12,AG2830))</f>
        <v/>
      </c>
      <c r="AJ2830" s="17" t="str">
        <f t="shared" si="3"/>
        <v/>
      </c>
    </row>
    <row r="2831" spans="31:36">
      <c r="AE2831" s="15" t="str">
        <f t="shared" si="0"/>
        <v/>
      </c>
      <c r="AF2831" s="15" t="str">
        <f t="shared" si="1"/>
        <v/>
      </c>
      <c r="AG2831" s="15" t="str">
        <f>IF(OR(AF2831="",AF2831="ERRO_CHAVE"),"",IFERROR(MATCH(AF2831,'quitado Despesa'!$V$1:$V$12,0),""))</f>
        <v/>
      </c>
      <c r="AH2831" s="15" t="str">
        <f t="shared" si="2"/>
        <v/>
      </c>
      <c r="AI2831" s="17" t="str">
        <f>IF(AG2831="","",INDEX('quitado Despesa'!$G$1:$G$12,AG2831))</f>
        <v/>
      </c>
      <c r="AJ2831" s="17" t="str">
        <f t="shared" si="3"/>
        <v/>
      </c>
    </row>
    <row r="2832" spans="31:36">
      <c r="AE2832" s="15" t="str">
        <f t="shared" si="0"/>
        <v/>
      </c>
      <c r="AF2832" s="15" t="str">
        <f t="shared" si="1"/>
        <v/>
      </c>
      <c r="AG2832" s="15" t="str">
        <f>IF(OR(AF2832="",AF2832="ERRO_CHAVE"),"",IFERROR(MATCH(AF2832,'quitado Despesa'!$V$1:$V$12,0),""))</f>
        <v/>
      </c>
      <c r="AH2832" s="15" t="str">
        <f t="shared" si="2"/>
        <v/>
      </c>
      <c r="AI2832" s="17" t="str">
        <f>IF(AG2832="","",INDEX('quitado Despesa'!$G$1:$G$12,AG2832))</f>
        <v/>
      </c>
      <c r="AJ2832" s="17" t="str">
        <f t="shared" si="3"/>
        <v/>
      </c>
    </row>
    <row r="2833" spans="31:36">
      <c r="AE2833" s="15" t="str">
        <f t="shared" si="0"/>
        <v/>
      </c>
      <c r="AF2833" s="15" t="str">
        <f t="shared" si="1"/>
        <v/>
      </c>
      <c r="AG2833" s="15" t="str">
        <f>IF(OR(AF2833="",AF2833="ERRO_CHAVE"),"",IFERROR(MATCH(AF2833,'quitado Despesa'!$V$1:$V$12,0),""))</f>
        <v/>
      </c>
      <c r="AH2833" s="15" t="str">
        <f t="shared" si="2"/>
        <v/>
      </c>
      <c r="AI2833" s="17" t="str">
        <f>IF(AG2833="","",INDEX('quitado Despesa'!$G$1:$G$12,AG2833))</f>
        <v/>
      </c>
      <c r="AJ2833" s="17" t="str">
        <f t="shared" si="3"/>
        <v/>
      </c>
    </row>
    <row r="2834" spans="31:36">
      <c r="AE2834" s="15" t="str">
        <f t="shared" si="0"/>
        <v/>
      </c>
      <c r="AF2834" s="15" t="str">
        <f t="shared" si="1"/>
        <v/>
      </c>
      <c r="AG2834" s="15" t="str">
        <f>IF(OR(AF2834="",AF2834="ERRO_CHAVE"),"",IFERROR(MATCH(AF2834,'quitado Despesa'!$V$1:$V$12,0),""))</f>
        <v/>
      </c>
      <c r="AH2834" s="15" t="str">
        <f t="shared" si="2"/>
        <v/>
      </c>
      <c r="AI2834" s="17" t="str">
        <f>IF(AG2834="","",INDEX('quitado Despesa'!$G$1:$G$12,AG2834))</f>
        <v/>
      </c>
      <c r="AJ2834" s="17" t="str">
        <f t="shared" si="3"/>
        <v/>
      </c>
    </row>
    <row r="2835" spans="31:36">
      <c r="AE2835" s="15" t="str">
        <f t="shared" si="0"/>
        <v/>
      </c>
      <c r="AF2835" s="15" t="str">
        <f t="shared" si="1"/>
        <v/>
      </c>
      <c r="AG2835" s="15" t="str">
        <f>IF(OR(AF2835="",AF2835="ERRO_CHAVE"),"",IFERROR(MATCH(AF2835,'quitado Despesa'!$V$1:$V$12,0),""))</f>
        <v/>
      </c>
      <c r="AH2835" s="15" t="str">
        <f t="shared" si="2"/>
        <v/>
      </c>
      <c r="AI2835" s="17" t="str">
        <f>IF(AG2835="","",INDEX('quitado Despesa'!$G$1:$G$12,AG2835))</f>
        <v/>
      </c>
      <c r="AJ2835" s="17" t="str">
        <f t="shared" si="3"/>
        <v/>
      </c>
    </row>
    <row r="2836" spans="31:36">
      <c r="AE2836" s="15" t="str">
        <f t="shared" si="0"/>
        <v/>
      </c>
      <c r="AF2836" s="15" t="str">
        <f t="shared" si="1"/>
        <v/>
      </c>
      <c r="AG2836" s="15" t="str">
        <f>IF(OR(AF2836="",AF2836="ERRO_CHAVE"),"",IFERROR(MATCH(AF2836,'quitado Despesa'!$V$1:$V$12,0),""))</f>
        <v/>
      </c>
      <c r="AH2836" s="15" t="str">
        <f t="shared" si="2"/>
        <v/>
      </c>
      <c r="AI2836" s="17" t="str">
        <f>IF(AG2836="","",INDEX('quitado Despesa'!$G$1:$G$12,AG2836))</f>
        <v/>
      </c>
      <c r="AJ2836" s="17" t="str">
        <f t="shared" si="3"/>
        <v/>
      </c>
    </row>
    <row r="2837" spans="31:36">
      <c r="AE2837" s="15" t="str">
        <f t="shared" si="0"/>
        <v/>
      </c>
      <c r="AF2837" s="15" t="str">
        <f t="shared" si="1"/>
        <v/>
      </c>
      <c r="AG2837" s="15" t="str">
        <f>IF(OR(AF2837="",AF2837="ERRO_CHAVE"),"",IFERROR(MATCH(AF2837,'quitado Despesa'!$V$1:$V$12,0),""))</f>
        <v/>
      </c>
      <c r="AH2837" s="15" t="str">
        <f t="shared" si="2"/>
        <v/>
      </c>
      <c r="AI2837" s="17" t="str">
        <f>IF(AG2837="","",INDEX('quitado Despesa'!$G$1:$G$12,AG2837))</f>
        <v/>
      </c>
      <c r="AJ2837" s="17" t="str">
        <f t="shared" si="3"/>
        <v/>
      </c>
    </row>
    <row r="2838" spans="31:36">
      <c r="AE2838" s="15" t="str">
        <f t="shared" si="0"/>
        <v/>
      </c>
      <c r="AF2838" s="15" t="str">
        <f t="shared" si="1"/>
        <v/>
      </c>
      <c r="AG2838" s="15" t="str">
        <f>IF(OR(AF2838="",AF2838="ERRO_CHAVE"),"",IFERROR(MATCH(AF2838,'quitado Despesa'!$V$1:$V$12,0),""))</f>
        <v/>
      </c>
      <c r="AH2838" s="15" t="str">
        <f t="shared" si="2"/>
        <v/>
      </c>
      <c r="AI2838" s="17" t="str">
        <f>IF(AG2838="","",INDEX('quitado Despesa'!$G$1:$G$12,AG2838))</f>
        <v/>
      </c>
      <c r="AJ2838" s="17" t="str">
        <f t="shared" si="3"/>
        <v/>
      </c>
    </row>
    <row r="2839" spans="31:36">
      <c r="AE2839" s="15" t="str">
        <f t="shared" si="0"/>
        <v/>
      </c>
      <c r="AF2839" s="15" t="str">
        <f t="shared" si="1"/>
        <v/>
      </c>
      <c r="AG2839" s="15" t="str">
        <f>IF(OR(AF2839="",AF2839="ERRO_CHAVE"),"",IFERROR(MATCH(AF2839,'quitado Despesa'!$V$1:$V$12,0),""))</f>
        <v/>
      </c>
      <c r="AH2839" s="15" t="str">
        <f t="shared" si="2"/>
        <v/>
      </c>
      <c r="AI2839" s="17" t="str">
        <f>IF(AG2839="","",INDEX('quitado Despesa'!$G$1:$G$12,AG2839))</f>
        <v/>
      </c>
      <c r="AJ2839" s="17" t="str">
        <f t="shared" si="3"/>
        <v/>
      </c>
    </row>
    <row r="2840" spans="31:36">
      <c r="AE2840" s="15" t="str">
        <f t="shared" si="0"/>
        <v/>
      </c>
      <c r="AF2840" s="15" t="str">
        <f t="shared" si="1"/>
        <v/>
      </c>
      <c r="AG2840" s="15" t="str">
        <f>IF(OR(AF2840="",AF2840="ERRO_CHAVE"),"",IFERROR(MATCH(AF2840,'quitado Despesa'!$V$1:$V$12,0),""))</f>
        <v/>
      </c>
      <c r="AH2840" s="15" t="str">
        <f t="shared" si="2"/>
        <v/>
      </c>
      <c r="AI2840" s="17" t="str">
        <f>IF(AG2840="","",INDEX('quitado Despesa'!$G$1:$G$12,AG2840))</f>
        <v/>
      </c>
      <c r="AJ2840" s="17" t="str">
        <f t="shared" si="3"/>
        <v/>
      </c>
    </row>
    <row r="2841" spans="31:36">
      <c r="AE2841" s="15" t="str">
        <f t="shared" si="0"/>
        <v/>
      </c>
      <c r="AF2841" s="15" t="str">
        <f t="shared" si="1"/>
        <v/>
      </c>
      <c r="AG2841" s="15" t="str">
        <f>IF(OR(AF2841="",AF2841="ERRO_CHAVE"),"",IFERROR(MATCH(AF2841,'quitado Despesa'!$V$1:$V$12,0),""))</f>
        <v/>
      </c>
      <c r="AH2841" s="15" t="str">
        <f t="shared" si="2"/>
        <v/>
      </c>
      <c r="AI2841" s="17" t="str">
        <f>IF(AG2841="","",INDEX('quitado Despesa'!$G$1:$G$12,AG2841))</f>
        <v/>
      </c>
      <c r="AJ2841" s="17" t="str">
        <f t="shared" si="3"/>
        <v/>
      </c>
    </row>
    <row r="2842" spans="31:36">
      <c r="AE2842" s="15" t="str">
        <f t="shared" si="0"/>
        <v/>
      </c>
      <c r="AF2842" s="15" t="str">
        <f t="shared" si="1"/>
        <v/>
      </c>
      <c r="AG2842" s="15" t="str">
        <f>IF(OR(AF2842="",AF2842="ERRO_CHAVE"),"",IFERROR(MATCH(AF2842,'quitado Despesa'!$V$1:$V$12,0),""))</f>
        <v/>
      </c>
      <c r="AH2842" s="15" t="str">
        <f t="shared" si="2"/>
        <v/>
      </c>
      <c r="AI2842" s="17" t="str">
        <f>IF(AG2842="","",INDEX('quitado Despesa'!$G$1:$G$12,AG2842))</f>
        <v/>
      </c>
      <c r="AJ2842" s="17" t="str">
        <f t="shared" si="3"/>
        <v/>
      </c>
    </row>
    <row r="2843" spans="31:36">
      <c r="AE2843" s="15" t="str">
        <f t="shared" si="0"/>
        <v/>
      </c>
      <c r="AF2843" s="15" t="str">
        <f t="shared" si="1"/>
        <v/>
      </c>
      <c r="AG2843" s="15" t="str">
        <f>IF(OR(AF2843="",AF2843="ERRO_CHAVE"),"",IFERROR(MATCH(AF2843,'quitado Despesa'!$V$1:$V$12,0),""))</f>
        <v/>
      </c>
      <c r="AH2843" s="15" t="str">
        <f t="shared" si="2"/>
        <v/>
      </c>
      <c r="AI2843" s="17" t="str">
        <f>IF(AG2843="","",INDEX('quitado Despesa'!$G$1:$G$12,AG2843))</f>
        <v/>
      </c>
      <c r="AJ2843" s="17" t="str">
        <f t="shared" si="3"/>
        <v/>
      </c>
    </row>
    <row r="2844" spans="31:36">
      <c r="AE2844" s="15" t="str">
        <f t="shared" si="0"/>
        <v/>
      </c>
      <c r="AF2844" s="15" t="str">
        <f t="shared" si="1"/>
        <v/>
      </c>
      <c r="AG2844" s="15" t="str">
        <f>IF(OR(AF2844="",AF2844="ERRO_CHAVE"),"",IFERROR(MATCH(AF2844,'quitado Despesa'!$V$1:$V$12,0),""))</f>
        <v/>
      </c>
      <c r="AH2844" s="15" t="str">
        <f t="shared" si="2"/>
        <v/>
      </c>
      <c r="AI2844" s="17" t="str">
        <f>IF(AG2844="","",INDEX('quitado Despesa'!$G$1:$G$12,AG2844))</f>
        <v/>
      </c>
      <c r="AJ2844" s="17" t="str">
        <f t="shared" si="3"/>
        <v/>
      </c>
    </row>
    <row r="2845" spans="31:36">
      <c r="AE2845" s="15" t="str">
        <f t="shared" si="0"/>
        <v/>
      </c>
      <c r="AF2845" s="15" t="str">
        <f t="shared" si="1"/>
        <v/>
      </c>
      <c r="AG2845" s="15" t="str">
        <f>IF(OR(AF2845="",AF2845="ERRO_CHAVE"),"",IFERROR(MATCH(AF2845,'quitado Despesa'!$V$1:$V$12,0),""))</f>
        <v/>
      </c>
      <c r="AH2845" s="15" t="str">
        <f t="shared" si="2"/>
        <v/>
      </c>
      <c r="AI2845" s="17" t="str">
        <f>IF(AG2845="","",INDEX('quitado Despesa'!$G$1:$G$12,AG2845))</f>
        <v/>
      </c>
      <c r="AJ2845" s="17" t="str">
        <f t="shared" si="3"/>
        <v/>
      </c>
    </row>
    <row r="2846" spans="31:36">
      <c r="AE2846" s="15" t="str">
        <f t="shared" si="0"/>
        <v/>
      </c>
      <c r="AF2846" s="15" t="str">
        <f t="shared" si="1"/>
        <v/>
      </c>
      <c r="AG2846" s="15" t="str">
        <f>IF(OR(AF2846="",AF2846="ERRO_CHAVE"),"",IFERROR(MATCH(AF2846,'quitado Despesa'!$V$1:$V$12,0),""))</f>
        <v/>
      </c>
      <c r="AH2846" s="15" t="str">
        <f t="shared" si="2"/>
        <v/>
      </c>
      <c r="AI2846" s="17" t="str">
        <f>IF(AG2846="","",INDEX('quitado Despesa'!$G$1:$G$12,AG2846))</f>
        <v/>
      </c>
      <c r="AJ2846" s="17" t="str">
        <f t="shared" si="3"/>
        <v/>
      </c>
    </row>
    <row r="2847" spans="31:36">
      <c r="AE2847" s="15" t="str">
        <f t="shared" si="0"/>
        <v/>
      </c>
      <c r="AF2847" s="15" t="str">
        <f t="shared" si="1"/>
        <v/>
      </c>
      <c r="AG2847" s="15" t="str">
        <f>IF(OR(AF2847="",AF2847="ERRO_CHAVE"),"",IFERROR(MATCH(AF2847,'quitado Despesa'!$V$1:$V$12,0),""))</f>
        <v/>
      </c>
      <c r="AH2847" s="15" t="str">
        <f t="shared" si="2"/>
        <v/>
      </c>
      <c r="AI2847" s="17" t="str">
        <f>IF(AG2847="","",INDEX('quitado Despesa'!$G$1:$G$12,AG2847))</f>
        <v/>
      </c>
      <c r="AJ2847" s="17" t="str">
        <f t="shared" si="3"/>
        <v/>
      </c>
    </row>
    <row r="2848" spans="31:36">
      <c r="AE2848" s="15" t="str">
        <f t="shared" si="0"/>
        <v/>
      </c>
      <c r="AF2848" s="15" t="str">
        <f t="shared" si="1"/>
        <v/>
      </c>
      <c r="AG2848" s="15" t="str">
        <f>IF(OR(AF2848="",AF2848="ERRO_CHAVE"),"",IFERROR(MATCH(AF2848,'quitado Despesa'!$V$1:$V$12,0),""))</f>
        <v/>
      </c>
      <c r="AH2848" s="15" t="str">
        <f t="shared" si="2"/>
        <v/>
      </c>
      <c r="AI2848" s="17" t="str">
        <f>IF(AG2848="","",INDEX('quitado Despesa'!$G$1:$G$12,AG2848))</f>
        <v/>
      </c>
      <c r="AJ2848" s="17" t="str">
        <f t="shared" si="3"/>
        <v/>
      </c>
    </row>
    <row r="2849" spans="31:36">
      <c r="AE2849" s="15" t="str">
        <f t="shared" si="0"/>
        <v/>
      </c>
      <c r="AF2849" s="15" t="str">
        <f t="shared" si="1"/>
        <v/>
      </c>
      <c r="AG2849" s="15" t="str">
        <f>IF(OR(AF2849="",AF2849="ERRO_CHAVE"),"",IFERROR(MATCH(AF2849,'quitado Despesa'!$V$1:$V$12,0),""))</f>
        <v/>
      </c>
      <c r="AH2849" s="15" t="str">
        <f t="shared" si="2"/>
        <v/>
      </c>
      <c r="AI2849" s="17" t="str">
        <f>IF(AG2849="","",INDEX('quitado Despesa'!$G$1:$G$12,AG2849))</f>
        <v/>
      </c>
      <c r="AJ2849" s="17" t="str">
        <f t="shared" si="3"/>
        <v/>
      </c>
    </row>
    <row r="2850" spans="31:36">
      <c r="AE2850" s="15" t="str">
        <f t="shared" si="0"/>
        <v/>
      </c>
      <c r="AF2850" s="15" t="str">
        <f t="shared" si="1"/>
        <v/>
      </c>
      <c r="AG2850" s="15" t="str">
        <f>IF(OR(AF2850="",AF2850="ERRO_CHAVE"),"",IFERROR(MATCH(AF2850,'quitado Despesa'!$V$1:$V$12,0),""))</f>
        <v/>
      </c>
      <c r="AH2850" s="15" t="str">
        <f t="shared" si="2"/>
        <v/>
      </c>
      <c r="AI2850" s="17" t="str">
        <f>IF(AG2850="","",INDEX('quitado Despesa'!$G$1:$G$12,AG2850))</f>
        <v/>
      </c>
      <c r="AJ2850" s="17" t="str">
        <f t="shared" si="3"/>
        <v/>
      </c>
    </row>
    <row r="2851" spans="31:36">
      <c r="AE2851" s="15" t="str">
        <f t="shared" si="0"/>
        <v/>
      </c>
      <c r="AF2851" s="15" t="str">
        <f t="shared" si="1"/>
        <v/>
      </c>
      <c r="AG2851" s="15" t="str">
        <f>IF(OR(AF2851="",AF2851="ERRO_CHAVE"),"",IFERROR(MATCH(AF2851,'quitado Despesa'!$V$1:$V$12,0),""))</f>
        <v/>
      </c>
      <c r="AH2851" s="15" t="str">
        <f t="shared" si="2"/>
        <v/>
      </c>
      <c r="AI2851" s="17" t="str">
        <f>IF(AG2851="","",INDEX('quitado Despesa'!$G$1:$G$12,AG2851))</f>
        <v/>
      </c>
      <c r="AJ2851" s="17" t="str">
        <f t="shared" si="3"/>
        <v/>
      </c>
    </row>
    <row r="2852" spans="31:36">
      <c r="AE2852" s="15" t="str">
        <f t="shared" si="0"/>
        <v/>
      </c>
      <c r="AF2852" s="15" t="str">
        <f t="shared" si="1"/>
        <v/>
      </c>
      <c r="AG2852" s="15" t="str">
        <f>IF(OR(AF2852="",AF2852="ERRO_CHAVE"),"",IFERROR(MATCH(AF2852,'quitado Despesa'!$V$1:$V$12,0),""))</f>
        <v/>
      </c>
      <c r="AH2852" s="15" t="str">
        <f t="shared" si="2"/>
        <v/>
      </c>
      <c r="AI2852" s="17" t="str">
        <f>IF(AG2852="","",INDEX('quitado Despesa'!$G$1:$G$12,AG2852))</f>
        <v/>
      </c>
      <c r="AJ2852" s="17" t="str">
        <f t="shared" si="3"/>
        <v/>
      </c>
    </row>
    <row r="2853" spans="31:36">
      <c r="AE2853" s="15" t="str">
        <f t="shared" si="0"/>
        <v/>
      </c>
      <c r="AF2853" s="15" t="str">
        <f t="shared" si="1"/>
        <v/>
      </c>
      <c r="AG2853" s="15" t="str">
        <f>IF(OR(AF2853="",AF2853="ERRO_CHAVE"),"",IFERROR(MATCH(AF2853,'quitado Despesa'!$V$1:$V$12,0),""))</f>
        <v/>
      </c>
      <c r="AH2853" s="15" t="str">
        <f t="shared" si="2"/>
        <v/>
      </c>
      <c r="AI2853" s="17" t="str">
        <f>IF(AG2853="","",INDEX('quitado Despesa'!$G$1:$G$12,AG2853))</f>
        <v/>
      </c>
      <c r="AJ2853" s="17" t="str">
        <f t="shared" si="3"/>
        <v/>
      </c>
    </row>
    <row r="2854" spans="31:36">
      <c r="AE2854" s="15" t="str">
        <f t="shared" si="0"/>
        <v/>
      </c>
      <c r="AF2854" s="15" t="str">
        <f t="shared" si="1"/>
        <v/>
      </c>
      <c r="AG2854" s="15" t="str">
        <f>IF(OR(AF2854="",AF2854="ERRO_CHAVE"),"",IFERROR(MATCH(AF2854,'quitado Despesa'!$V$1:$V$12,0),""))</f>
        <v/>
      </c>
      <c r="AH2854" s="15" t="str">
        <f t="shared" si="2"/>
        <v/>
      </c>
      <c r="AI2854" s="17" t="str">
        <f>IF(AG2854="","",INDEX('quitado Despesa'!$G$1:$G$12,AG2854))</f>
        <v/>
      </c>
      <c r="AJ2854" s="17" t="str">
        <f t="shared" si="3"/>
        <v/>
      </c>
    </row>
    <row r="2855" spans="31:36">
      <c r="AE2855" s="15" t="str">
        <f t="shared" si="0"/>
        <v/>
      </c>
      <c r="AF2855" s="15" t="str">
        <f t="shared" si="1"/>
        <v/>
      </c>
      <c r="AG2855" s="15" t="str">
        <f>IF(OR(AF2855="",AF2855="ERRO_CHAVE"),"",IFERROR(MATCH(AF2855,'quitado Despesa'!$V$1:$V$12,0),""))</f>
        <v/>
      </c>
      <c r="AH2855" s="15" t="str">
        <f t="shared" si="2"/>
        <v/>
      </c>
      <c r="AI2855" s="17" t="str">
        <f>IF(AG2855="","",INDEX('quitado Despesa'!$G$1:$G$12,AG2855))</f>
        <v/>
      </c>
      <c r="AJ2855" s="17" t="str">
        <f t="shared" si="3"/>
        <v/>
      </c>
    </row>
    <row r="2856" spans="31:36">
      <c r="AE2856" s="15" t="str">
        <f t="shared" si="0"/>
        <v/>
      </c>
      <c r="AF2856" s="15" t="str">
        <f t="shared" si="1"/>
        <v/>
      </c>
      <c r="AG2856" s="15" t="str">
        <f>IF(OR(AF2856="",AF2856="ERRO_CHAVE"),"",IFERROR(MATCH(AF2856,'quitado Despesa'!$V$1:$V$12,0),""))</f>
        <v/>
      </c>
      <c r="AH2856" s="15" t="str">
        <f t="shared" si="2"/>
        <v/>
      </c>
      <c r="AI2856" s="17" t="str">
        <f>IF(AG2856="","",INDEX('quitado Despesa'!$G$1:$G$12,AG2856))</f>
        <v/>
      </c>
      <c r="AJ2856" s="17" t="str">
        <f t="shared" si="3"/>
        <v/>
      </c>
    </row>
    <row r="2857" spans="31:36">
      <c r="AE2857" s="15" t="str">
        <f t="shared" si="0"/>
        <v/>
      </c>
      <c r="AF2857" s="15" t="str">
        <f t="shared" si="1"/>
        <v/>
      </c>
      <c r="AG2857" s="15" t="str">
        <f>IF(OR(AF2857="",AF2857="ERRO_CHAVE"),"",IFERROR(MATCH(AF2857,'quitado Despesa'!$V$1:$V$12,0),""))</f>
        <v/>
      </c>
      <c r="AH2857" s="15" t="str">
        <f t="shared" si="2"/>
        <v/>
      </c>
      <c r="AI2857" s="17" t="str">
        <f>IF(AG2857="","",INDEX('quitado Despesa'!$G$1:$G$12,AG2857))</f>
        <v/>
      </c>
      <c r="AJ2857" s="17" t="str">
        <f t="shared" si="3"/>
        <v/>
      </c>
    </row>
    <row r="2858" spans="31:36">
      <c r="AE2858" s="15" t="str">
        <f t="shared" si="0"/>
        <v/>
      </c>
      <c r="AF2858" s="15" t="str">
        <f t="shared" si="1"/>
        <v/>
      </c>
      <c r="AG2858" s="15" t="str">
        <f>IF(OR(AF2858="",AF2858="ERRO_CHAVE"),"",IFERROR(MATCH(AF2858,'quitado Despesa'!$V$1:$V$12,0),""))</f>
        <v/>
      </c>
      <c r="AH2858" s="15" t="str">
        <f t="shared" si="2"/>
        <v/>
      </c>
      <c r="AI2858" s="17" t="str">
        <f>IF(AG2858="","",INDEX('quitado Despesa'!$G$1:$G$12,AG2858))</f>
        <v/>
      </c>
      <c r="AJ2858" s="17" t="str">
        <f t="shared" si="3"/>
        <v/>
      </c>
    </row>
    <row r="2859" spans="31:36">
      <c r="AE2859" s="15" t="str">
        <f t="shared" si="0"/>
        <v/>
      </c>
      <c r="AF2859" s="15" t="str">
        <f t="shared" si="1"/>
        <v/>
      </c>
      <c r="AG2859" s="15" t="str">
        <f>IF(OR(AF2859="",AF2859="ERRO_CHAVE"),"",IFERROR(MATCH(AF2859,'quitado Despesa'!$V$1:$V$12,0),""))</f>
        <v/>
      </c>
      <c r="AH2859" s="15" t="str">
        <f t="shared" si="2"/>
        <v/>
      </c>
      <c r="AI2859" s="17" t="str">
        <f>IF(AG2859="","",INDEX('quitado Despesa'!$G$1:$G$12,AG2859))</f>
        <v/>
      </c>
      <c r="AJ2859" s="17" t="str">
        <f t="shared" si="3"/>
        <v/>
      </c>
    </row>
    <row r="2860" spans="31:36">
      <c r="AE2860" s="15" t="str">
        <f t="shared" si="0"/>
        <v/>
      </c>
      <c r="AF2860" s="15" t="str">
        <f t="shared" si="1"/>
        <v/>
      </c>
      <c r="AG2860" s="15" t="str">
        <f>IF(OR(AF2860="",AF2860="ERRO_CHAVE"),"",IFERROR(MATCH(AF2860,'quitado Despesa'!$V$1:$V$12,0),""))</f>
        <v/>
      </c>
      <c r="AH2860" s="15" t="str">
        <f t="shared" si="2"/>
        <v/>
      </c>
      <c r="AI2860" s="17" t="str">
        <f>IF(AG2860="","",INDEX('quitado Despesa'!$G$1:$G$12,AG2860))</f>
        <v/>
      </c>
      <c r="AJ2860" s="17" t="str">
        <f t="shared" si="3"/>
        <v/>
      </c>
    </row>
    <row r="2861" spans="31:36">
      <c r="AE2861" s="15" t="str">
        <f t="shared" si="0"/>
        <v/>
      </c>
      <c r="AF2861" s="15" t="str">
        <f t="shared" si="1"/>
        <v/>
      </c>
      <c r="AG2861" s="15" t="str">
        <f>IF(OR(AF2861="",AF2861="ERRO_CHAVE"),"",IFERROR(MATCH(AF2861,'quitado Despesa'!$V$1:$V$12,0),""))</f>
        <v/>
      </c>
      <c r="AH2861" s="15" t="str">
        <f t="shared" si="2"/>
        <v/>
      </c>
      <c r="AI2861" s="17" t="str">
        <f>IF(AG2861="","",INDEX('quitado Despesa'!$G$1:$G$12,AG2861))</f>
        <v/>
      </c>
      <c r="AJ2861" s="17" t="str">
        <f t="shared" si="3"/>
        <v/>
      </c>
    </row>
    <row r="2862" spans="31:36">
      <c r="AE2862" s="15" t="str">
        <f t="shared" si="0"/>
        <v/>
      </c>
      <c r="AF2862" s="15" t="str">
        <f t="shared" si="1"/>
        <v/>
      </c>
      <c r="AG2862" s="15" t="str">
        <f>IF(OR(AF2862="",AF2862="ERRO_CHAVE"),"",IFERROR(MATCH(AF2862,'quitado Despesa'!$V$1:$V$12,0),""))</f>
        <v/>
      </c>
      <c r="AH2862" s="15" t="str">
        <f t="shared" si="2"/>
        <v/>
      </c>
      <c r="AI2862" s="17" t="str">
        <f>IF(AG2862="","",INDEX('quitado Despesa'!$G$1:$G$12,AG2862))</f>
        <v/>
      </c>
      <c r="AJ2862" s="17" t="str">
        <f t="shared" si="3"/>
        <v/>
      </c>
    </row>
    <row r="2863" spans="31:36">
      <c r="AE2863" s="15" t="str">
        <f t="shared" si="0"/>
        <v/>
      </c>
      <c r="AF2863" s="15" t="str">
        <f t="shared" si="1"/>
        <v/>
      </c>
      <c r="AG2863" s="15" t="str">
        <f>IF(OR(AF2863="",AF2863="ERRO_CHAVE"),"",IFERROR(MATCH(AF2863,'quitado Despesa'!$V$1:$V$12,0),""))</f>
        <v/>
      </c>
      <c r="AH2863" s="15" t="str">
        <f t="shared" si="2"/>
        <v/>
      </c>
      <c r="AI2863" s="17" t="str">
        <f>IF(AG2863="","",INDEX('quitado Despesa'!$G$1:$G$12,AG2863))</f>
        <v/>
      </c>
      <c r="AJ2863" s="17" t="str">
        <f t="shared" si="3"/>
        <v/>
      </c>
    </row>
    <row r="2864" spans="31:36">
      <c r="AE2864" s="15" t="str">
        <f t="shared" si="0"/>
        <v/>
      </c>
      <c r="AF2864" s="15" t="str">
        <f t="shared" si="1"/>
        <v/>
      </c>
      <c r="AG2864" s="15" t="str">
        <f>IF(OR(AF2864="",AF2864="ERRO_CHAVE"),"",IFERROR(MATCH(AF2864,'quitado Despesa'!$V$1:$V$12,0),""))</f>
        <v/>
      </c>
      <c r="AH2864" s="15" t="str">
        <f t="shared" si="2"/>
        <v/>
      </c>
      <c r="AI2864" s="17" t="str">
        <f>IF(AG2864="","",INDEX('quitado Despesa'!$G$1:$G$12,AG2864))</f>
        <v/>
      </c>
      <c r="AJ2864" s="17" t="str">
        <f t="shared" si="3"/>
        <v/>
      </c>
    </row>
    <row r="2865" spans="31:36">
      <c r="AE2865" s="15" t="str">
        <f t="shared" si="0"/>
        <v/>
      </c>
      <c r="AF2865" s="15" t="str">
        <f t="shared" si="1"/>
        <v/>
      </c>
      <c r="AG2865" s="15" t="str">
        <f>IF(OR(AF2865="",AF2865="ERRO_CHAVE"),"",IFERROR(MATCH(AF2865,'quitado Despesa'!$V$1:$V$12,0),""))</f>
        <v/>
      </c>
      <c r="AH2865" s="15" t="str">
        <f t="shared" si="2"/>
        <v/>
      </c>
      <c r="AI2865" s="17" t="str">
        <f>IF(AG2865="","",INDEX('quitado Despesa'!$G$1:$G$12,AG2865))</f>
        <v/>
      </c>
      <c r="AJ2865" s="17" t="str">
        <f t="shared" si="3"/>
        <v/>
      </c>
    </row>
    <row r="2866" spans="31:36">
      <c r="AE2866" s="15" t="str">
        <f t="shared" si="0"/>
        <v/>
      </c>
      <c r="AF2866" s="15" t="str">
        <f t="shared" si="1"/>
        <v/>
      </c>
      <c r="AG2866" s="15" t="str">
        <f>IF(OR(AF2866="",AF2866="ERRO_CHAVE"),"",IFERROR(MATCH(AF2866,'quitado Despesa'!$V$1:$V$12,0),""))</f>
        <v/>
      </c>
      <c r="AH2866" s="15" t="str">
        <f t="shared" si="2"/>
        <v/>
      </c>
      <c r="AI2866" s="17" t="str">
        <f>IF(AG2866="","",INDEX('quitado Despesa'!$G$1:$G$12,AG2866))</f>
        <v/>
      </c>
      <c r="AJ2866" s="17" t="str">
        <f t="shared" si="3"/>
        <v/>
      </c>
    </row>
    <row r="2867" spans="31:36">
      <c r="AE2867" s="15" t="str">
        <f t="shared" si="0"/>
        <v/>
      </c>
      <c r="AF2867" s="15" t="str">
        <f t="shared" si="1"/>
        <v/>
      </c>
      <c r="AG2867" s="15" t="str">
        <f>IF(OR(AF2867="",AF2867="ERRO_CHAVE"),"",IFERROR(MATCH(AF2867,'quitado Despesa'!$V$1:$V$12,0),""))</f>
        <v/>
      </c>
      <c r="AH2867" s="15" t="str">
        <f t="shared" si="2"/>
        <v/>
      </c>
      <c r="AI2867" s="17" t="str">
        <f>IF(AG2867="","",INDEX('quitado Despesa'!$G$1:$G$12,AG2867))</f>
        <v/>
      </c>
      <c r="AJ2867" s="17" t="str">
        <f t="shared" si="3"/>
        <v/>
      </c>
    </row>
    <row r="2868" spans="31:36">
      <c r="AE2868" s="15" t="str">
        <f t="shared" si="0"/>
        <v/>
      </c>
      <c r="AF2868" s="15" t="str">
        <f t="shared" si="1"/>
        <v/>
      </c>
      <c r="AG2868" s="15" t="str">
        <f>IF(OR(AF2868="",AF2868="ERRO_CHAVE"),"",IFERROR(MATCH(AF2868,'quitado Despesa'!$V$1:$V$12,0),""))</f>
        <v/>
      </c>
      <c r="AH2868" s="15" t="str">
        <f t="shared" si="2"/>
        <v/>
      </c>
      <c r="AI2868" s="17" t="str">
        <f>IF(AG2868="","",INDEX('quitado Despesa'!$G$1:$G$12,AG2868))</f>
        <v/>
      </c>
      <c r="AJ2868" s="17" t="str">
        <f t="shared" si="3"/>
        <v/>
      </c>
    </row>
    <row r="2869" spans="31:36">
      <c r="AE2869" s="15" t="str">
        <f t="shared" si="0"/>
        <v/>
      </c>
      <c r="AF2869" s="15" t="str">
        <f t="shared" si="1"/>
        <v/>
      </c>
      <c r="AG2869" s="15" t="str">
        <f>IF(OR(AF2869="",AF2869="ERRO_CHAVE"),"",IFERROR(MATCH(AF2869,'quitado Despesa'!$V$1:$V$12,0),""))</f>
        <v/>
      </c>
      <c r="AH2869" s="15" t="str">
        <f t="shared" si="2"/>
        <v/>
      </c>
      <c r="AI2869" s="17" t="str">
        <f>IF(AG2869="","",INDEX('quitado Despesa'!$G$1:$G$12,AG2869))</f>
        <v/>
      </c>
      <c r="AJ2869" s="17" t="str">
        <f t="shared" si="3"/>
        <v/>
      </c>
    </row>
    <row r="2870" spans="31:36">
      <c r="AE2870" s="15" t="str">
        <f t="shared" si="0"/>
        <v/>
      </c>
      <c r="AF2870" s="15" t="str">
        <f t="shared" si="1"/>
        <v/>
      </c>
      <c r="AG2870" s="15" t="str">
        <f>IF(OR(AF2870="",AF2870="ERRO_CHAVE"),"",IFERROR(MATCH(AF2870,'quitado Despesa'!$V$1:$V$12,0),""))</f>
        <v/>
      </c>
      <c r="AH2870" s="15" t="str">
        <f t="shared" si="2"/>
        <v/>
      </c>
      <c r="AI2870" s="17" t="str">
        <f>IF(AG2870="","",INDEX('quitado Despesa'!$G$1:$G$12,AG2870))</f>
        <v/>
      </c>
      <c r="AJ2870" s="17" t="str">
        <f t="shared" si="3"/>
        <v/>
      </c>
    </row>
    <row r="2871" spans="31:36">
      <c r="AE2871" s="15" t="str">
        <f t="shared" si="0"/>
        <v/>
      </c>
      <c r="AF2871" s="15" t="str">
        <f t="shared" si="1"/>
        <v/>
      </c>
      <c r="AG2871" s="15" t="str">
        <f>IF(OR(AF2871="",AF2871="ERRO_CHAVE"),"",IFERROR(MATCH(AF2871,'quitado Despesa'!$V$1:$V$12,0),""))</f>
        <v/>
      </c>
      <c r="AH2871" s="15" t="str">
        <f t="shared" si="2"/>
        <v/>
      </c>
      <c r="AI2871" s="17" t="str">
        <f>IF(AG2871="","",INDEX('quitado Despesa'!$G$1:$G$12,AG2871))</f>
        <v/>
      </c>
      <c r="AJ2871" s="17" t="str">
        <f t="shared" si="3"/>
        <v/>
      </c>
    </row>
    <row r="2872" spans="31:36">
      <c r="AE2872" s="15" t="str">
        <f t="shared" si="0"/>
        <v/>
      </c>
      <c r="AF2872" s="15" t="str">
        <f t="shared" si="1"/>
        <v/>
      </c>
      <c r="AG2872" s="15" t="str">
        <f>IF(OR(AF2872="",AF2872="ERRO_CHAVE"),"",IFERROR(MATCH(AF2872,'quitado Despesa'!$V$1:$V$12,0),""))</f>
        <v/>
      </c>
      <c r="AH2872" s="15" t="str">
        <f t="shared" si="2"/>
        <v/>
      </c>
      <c r="AI2872" s="17" t="str">
        <f>IF(AG2872="","",INDEX('quitado Despesa'!$G$1:$G$12,AG2872))</f>
        <v/>
      </c>
      <c r="AJ2872" s="17" t="str">
        <f t="shared" si="3"/>
        <v/>
      </c>
    </row>
    <row r="2873" spans="31:36">
      <c r="AE2873" s="15" t="str">
        <f t="shared" si="0"/>
        <v/>
      </c>
      <c r="AF2873" s="15" t="str">
        <f t="shared" si="1"/>
        <v/>
      </c>
      <c r="AG2873" s="15" t="str">
        <f>IF(OR(AF2873="",AF2873="ERRO_CHAVE"),"",IFERROR(MATCH(AF2873,'quitado Despesa'!$V$1:$V$12,0),""))</f>
        <v/>
      </c>
      <c r="AH2873" s="15" t="str">
        <f t="shared" si="2"/>
        <v/>
      </c>
      <c r="AI2873" s="17" t="str">
        <f>IF(AG2873="","",INDEX('quitado Despesa'!$G$1:$G$12,AG2873))</f>
        <v/>
      </c>
      <c r="AJ2873" s="17" t="str">
        <f t="shared" si="3"/>
        <v/>
      </c>
    </row>
    <row r="2874" spans="31:36">
      <c r="AE2874" s="15" t="str">
        <f t="shared" si="0"/>
        <v/>
      </c>
      <c r="AF2874" s="15" t="str">
        <f t="shared" si="1"/>
        <v/>
      </c>
      <c r="AG2874" s="15" t="str">
        <f>IF(OR(AF2874="",AF2874="ERRO_CHAVE"),"",IFERROR(MATCH(AF2874,'quitado Despesa'!$V$1:$V$12,0),""))</f>
        <v/>
      </c>
      <c r="AH2874" s="15" t="str">
        <f t="shared" si="2"/>
        <v/>
      </c>
      <c r="AI2874" s="17" t="str">
        <f>IF(AG2874="","",INDEX('quitado Despesa'!$G$1:$G$12,AG2874))</f>
        <v/>
      </c>
      <c r="AJ2874" s="17" t="str">
        <f t="shared" si="3"/>
        <v/>
      </c>
    </row>
    <row r="2875" spans="31:36">
      <c r="AE2875" s="15" t="str">
        <f t="shared" si="0"/>
        <v/>
      </c>
      <c r="AF2875" s="15" t="str">
        <f t="shared" si="1"/>
        <v/>
      </c>
      <c r="AG2875" s="15" t="str">
        <f>IF(OR(AF2875="",AF2875="ERRO_CHAVE"),"",IFERROR(MATCH(AF2875,'quitado Despesa'!$V$1:$V$12,0),""))</f>
        <v/>
      </c>
      <c r="AH2875" s="15" t="str">
        <f t="shared" si="2"/>
        <v/>
      </c>
      <c r="AI2875" s="17" t="str">
        <f>IF(AG2875="","",INDEX('quitado Despesa'!$G$1:$G$12,AG2875))</f>
        <v/>
      </c>
      <c r="AJ2875" s="17" t="str">
        <f t="shared" si="3"/>
        <v/>
      </c>
    </row>
    <row r="2876" spans="31:36">
      <c r="AE2876" s="15" t="str">
        <f t="shared" si="0"/>
        <v/>
      </c>
      <c r="AF2876" s="15" t="str">
        <f t="shared" si="1"/>
        <v/>
      </c>
      <c r="AG2876" s="15" t="str">
        <f>IF(OR(AF2876="",AF2876="ERRO_CHAVE"),"",IFERROR(MATCH(AF2876,'quitado Despesa'!$V$1:$V$12,0),""))</f>
        <v/>
      </c>
      <c r="AH2876" s="15" t="str">
        <f t="shared" si="2"/>
        <v/>
      </c>
      <c r="AI2876" s="17" t="str">
        <f>IF(AG2876="","",INDEX('quitado Despesa'!$G$1:$G$12,AG2876))</f>
        <v/>
      </c>
      <c r="AJ2876" s="17" t="str">
        <f t="shared" si="3"/>
        <v/>
      </c>
    </row>
    <row r="2877" spans="31:36">
      <c r="AE2877" s="15" t="str">
        <f t="shared" si="0"/>
        <v/>
      </c>
      <c r="AF2877" s="15" t="str">
        <f t="shared" si="1"/>
        <v/>
      </c>
      <c r="AG2877" s="15" t="str">
        <f>IF(OR(AF2877="",AF2877="ERRO_CHAVE"),"",IFERROR(MATCH(AF2877,'quitado Despesa'!$V$1:$V$12,0),""))</f>
        <v/>
      </c>
      <c r="AH2877" s="15" t="str">
        <f t="shared" si="2"/>
        <v/>
      </c>
      <c r="AI2877" s="17" t="str">
        <f>IF(AG2877="","",INDEX('quitado Despesa'!$G$1:$G$12,AG2877))</f>
        <v/>
      </c>
      <c r="AJ2877" s="17" t="str">
        <f t="shared" si="3"/>
        <v/>
      </c>
    </row>
    <row r="2878" spans="31:36">
      <c r="AE2878" s="15" t="str">
        <f t="shared" si="0"/>
        <v/>
      </c>
      <c r="AF2878" s="15" t="str">
        <f t="shared" si="1"/>
        <v/>
      </c>
      <c r="AG2878" s="15" t="str">
        <f>IF(OR(AF2878="",AF2878="ERRO_CHAVE"),"",IFERROR(MATCH(AF2878,'quitado Despesa'!$V$1:$V$12,0),""))</f>
        <v/>
      </c>
      <c r="AH2878" s="15" t="str">
        <f t="shared" si="2"/>
        <v/>
      </c>
      <c r="AI2878" s="17" t="str">
        <f>IF(AG2878="","",INDEX('quitado Despesa'!$G$1:$G$12,AG2878))</f>
        <v/>
      </c>
      <c r="AJ2878" s="17" t="str">
        <f t="shared" si="3"/>
        <v/>
      </c>
    </row>
    <row r="2879" spans="31:36">
      <c r="AE2879" s="15" t="str">
        <f t="shared" si="0"/>
        <v/>
      </c>
      <c r="AF2879" s="15" t="str">
        <f t="shared" si="1"/>
        <v/>
      </c>
      <c r="AG2879" s="15" t="str">
        <f>IF(OR(AF2879="",AF2879="ERRO_CHAVE"),"",IFERROR(MATCH(AF2879,'quitado Despesa'!$V$1:$V$12,0),""))</f>
        <v/>
      </c>
      <c r="AH2879" s="15" t="str">
        <f t="shared" si="2"/>
        <v/>
      </c>
      <c r="AI2879" s="17" t="str">
        <f>IF(AG2879="","",INDEX('quitado Despesa'!$G$1:$G$12,AG2879))</f>
        <v/>
      </c>
      <c r="AJ2879" s="17" t="str">
        <f t="shared" si="3"/>
        <v/>
      </c>
    </row>
    <row r="2880" spans="31:36">
      <c r="AE2880" s="15" t="str">
        <f t="shared" si="0"/>
        <v/>
      </c>
      <c r="AF2880" s="15" t="str">
        <f t="shared" si="1"/>
        <v/>
      </c>
      <c r="AG2880" s="15" t="str">
        <f>IF(OR(AF2880="",AF2880="ERRO_CHAVE"),"",IFERROR(MATCH(AF2880,'quitado Despesa'!$V$1:$V$12,0),""))</f>
        <v/>
      </c>
      <c r="AH2880" s="15" t="str">
        <f t="shared" si="2"/>
        <v/>
      </c>
      <c r="AI2880" s="17" t="str">
        <f>IF(AG2880="","",INDEX('quitado Despesa'!$G$1:$G$12,AG2880))</f>
        <v/>
      </c>
      <c r="AJ2880" s="17" t="str">
        <f t="shared" si="3"/>
        <v/>
      </c>
    </row>
    <row r="2881" spans="31:36">
      <c r="AE2881" s="15" t="str">
        <f t="shared" si="0"/>
        <v/>
      </c>
      <c r="AF2881" s="15" t="str">
        <f t="shared" si="1"/>
        <v/>
      </c>
      <c r="AG2881" s="15" t="str">
        <f>IF(OR(AF2881="",AF2881="ERRO_CHAVE"),"",IFERROR(MATCH(AF2881,'quitado Despesa'!$V$1:$V$12,0),""))</f>
        <v/>
      </c>
      <c r="AH2881" s="15" t="str">
        <f t="shared" si="2"/>
        <v/>
      </c>
      <c r="AI2881" s="17" t="str">
        <f>IF(AG2881="","",INDEX('quitado Despesa'!$G$1:$G$12,AG2881))</f>
        <v/>
      </c>
      <c r="AJ2881" s="17" t="str">
        <f t="shared" si="3"/>
        <v/>
      </c>
    </row>
    <row r="2882" spans="31:36">
      <c r="AE2882" s="15" t="str">
        <f t="shared" si="0"/>
        <v/>
      </c>
      <c r="AF2882" s="15" t="str">
        <f t="shared" si="1"/>
        <v/>
      </c>
      <c r="AG2882" s="15" t="str">
        <f>IF(OR(AF2882="",AF2882="ERRO_CHAVE"),"",IFERROR(MATCH(AF2882,'quitado Despesa'!$V$1:$V$12,0),""))</f>
        <v/>
      </c>
      <c r="AH2882" s="15" t="str">
        <f t="shared" si="2"/>
        <v/>
      </c>
      <c r="AI2882" s="17" t="str">
        <f>IF(AG2882="","",INDEX('quitado Despesa'!$G$1:$G$12,AG2882))</f>
        <v/>
      </c>
      <c r="AJ2882" s="17" t="str">
        <f t="shared" si="3"/>
        <v/>
      </c>
    </row>
    <row r="2883" spans="31:36">
      <c r="AE2883" s="15" t="str">
        <f t="shared" si="0"/>
        <v/>
      </c>
      <c r="AF2883" s="15" t="str">
        <f t="shared" si="1"/>
        <v/>
      </c>
      <c r="AG2883" s="15" t="str">
        <f>IF(OR(AF2883="",AF2883="ERRO_CHAVE"),"",IFERROR(MATCH(AF2883,'quitado Despesa'!$V$1:$V$12,0),""))</f>
        <v/>
      </c>
      <c r="AH2883" s="15" t="str">
        <f t="shared" si="2"/>
        <v/>
      </c>
      <c r="AI2883" s="17" t="str">
        <f>IF(AG2883="","",INDEX('quitado Despesa'!$G$1:$G$12,AG2883))</f>
        <v/>
      </c>
      <c r="AJ2883" s="17" t="str">
        <f t="shared" si="3"/>
        <v/>
      </c>
    </row>
    <row r="2884" spans="31:36">
      <c r="AE2884" s="15" t="str">
        <f t="shared" si="0"/>
        <v/>
      </c>
      <c r="AF2884" s="15" t="str">
        <f t="shared" si="1"/>
        <v/>
      </c>
      <c r="AG2884" s="15" t="str">
        <f>IF(OR(AF2884="",AF2884="ERRO_CHAVE"),"",IFERROR(MATCH(AF2884,'quitado Despesa'!$V$1:$V$12,0),""))</f>
        <v/>
      </c>
      <c r="AH2884" s="15" t="str">
        <f t="shared" si="2"/>
        <v/>
      </c>
      <c r="AI2884" s="17" t="str">
        <f>IF(AG2884="","",INDEX('quitado Despesa'!$G$1:$G$12,AG2884))</f>
        <v/>
      </c>
      <c r="AJ2884" s="17" t="str">
        <f t="shared" si="3"/>
        <v/>
      </c>
    </row>
    <row r="2885" spans="31:36">
      <c r="AE2885" s="15" t="str">
        <f t="shared" si="0"/>
        <v/>
      </c>
      <c r="AF2885" s="15" t="str">
        <f t="shared" si="1"/>
        <v/>
      </c>
      <c r="AG2885" s="15" t="str">
        <f>IF(OR(AF2885="",AF2885="ERRO_CHAVE"),"",IFERROR(MATCH(AF2885,'quitado Despesa'!$V$1:$V$12,0),""))</f>
        <v/>
      </c>
      <c r="AH2885" s="15" t="str">
        <f t="shared" si="2"/>
        <v/>
      </c>
      <c r="AI2885" s="17" t="str">
        <f>IF(AG2885="","",INDEX('quitado Despesa'!$G$1:$G$12,AG2885))</f>
        <v/>
      </c>
      <c r="AJ2885" s="17" t="str">
        <f t="shared" si="3"/>
        <v/>
      </c>
    </row>
    <row r="2886" spans="31:36">
      <c r="AE2886" s="15" t="str">
        <f t="shared" si="0"/>
        <v/>
      </c>
      <c r="AF2886" s="15" t="str">
        <f t="shared" si="1"/>
        <v/>
      </c>
      <c r="AG2886" s="15" t="str">
        <f>IF(OR(AF2886="",AF2886="ERRO_CHAVE"),"",IFERROR(MATCH(AF2886,'quitado Despesa'!$V$1:$V$12,0),""))</f>
        <v/>
      </c>
      <c r="AH2886" s="15" t="str">
        <f t="shared" si="2"/>
        <v/>
      </c>
      <c r="AI2886" s="17" t="str">
        <f>IF(AG2886="","",INDEX('quitado Despesa'!$G$1:$G$12,AG2886))</f>
        <v/>
      </c>
      <c r="AJ2886" s="17" t="str">
        <f t="shared" si="3"/>
        <v/>
      </c>
    </row>
    <row r="2887" spans="31:36">
      <c r="AE2887" s="15" t="str">
        <f t="shared" si="0"/>
        <v/>
      </c>
      <c r="AF2887" s="15" t="str">
        <f t="shared" si="1"/>
        <v/>
      </c>
      <c r="AG2887" s="15" t="str">
        <f>IF(OR(AF2887="",AF2887="ERRO_CHAVE"),"",IFERROR(MATCH(AF2887,'quitado Despesa'!$V$1:$V$12,0),""))</f>
        <v/>
      </c>
      <c r="AH2887" s="15" t="str">
        <f t="shared" si="2"/>
        <v/>
      </c>
      <c r="AI2887" s="17" t="str">
        <f>IF(AG2887="","",INDEX('quitado Despesa'!$G$1:$G$12,AG2887))</f>
        <v/>
      </c>
      <c r="AJ2887" s="17" t="str">
        <f t="shared" si="3"/>
        <v/>
      </c>
    </row>
    <row r="2888" spans="31:36">
      <c r="AE2888" s="15" t="str">
        <f t="shared" si="0"/>
        <v/>
      </c>
      <c r="AF2888" s="15" t="str">
        <f t="shared" si="1"/>
        <v/>
      </c>
      <c r="AG2888" s="15" t="str">
        <f>IF(OR(AF2888="",AF2888="ERRO_CHAVE"),"",IFERROR(MATCH(AF2888,'quitado Despesa'!$V$1:$V$12,0),""))</f>
        <v/>
      </c>
      <c r="AH2888" s="15" t="str">
        <f t="shared" si="2"/>
        <v/>
      </c>
      <c r="AI2888" s="17" t="str">
        <f>IF(AG2888="","",INDEX('quitado Despesa'!$G$1:$G$12,AG2888))</f>
        <v/>
      </c>
      <c r="AJ2888" s="17" t="str">
        <f t="shared" si="3"/>
        <v/>
      </c>
    </row>
    <row r="2889" spans="31:36">
      <c r="AE2889" s="15" t="str">
        <f t="shared" si="0"/>
        <v/>
      </c>
      <c r="AF2889" s="15" t="str">
        <f t="shared" si="1"/>
        <v/>
      </c>
      <c r="AG2889" s="15" t="str">
        <f>IF(OR(AF2889="",AF2889="ERRO_CHAVE"),"",IFERROR(MATCH(AF2889,'quitado Despesa'!$V$1:$V$12,0),""))</f>
        <v/>
      </c>
      <c r="AH2889" s="15" t="str">
        <f t="shared" si="2"/>
        <v/>
      </c>
      <c r="AI2889" s="17" t="str">
        <f>IF(AG2889="","",INDEX('quitado Despesa'!$G$1:$G$12,AG2889))</f>
        <v/>
      </c>
      <c r="AJ2889" s="17" t="str">
        <f t="shared" si="3"/>
        <v/>
      </c>
    </row>
    <row r="2890" spans="31:36">
      <c r="AE2890" s="15" t="str">
        <f t="shared" si="0"/>
        <v/>
      </c>
      <c r="AF2890" s="15" t="str">
        <f t="shared" si="1"/>
        <v/>
      </c>
      <c r="AG2890" s="15" t="str">
        <f>IF(OR(AF2890="",AF2890="ERRO_CHAVE"),"",IFERROR(MATCH(AF2890,'quitado Despesa'!$V$1:$V$12,0),""))</f>
        <v/>
      </c>
      <c r="AH2890" s="15" t="str">
        <f t="shared" si="2"/>
        <v/>
      </c>
      <c r="AI2890" s="17" t="str">
        <f>IF(AG2890="","",INDEX('quitado Despesa'!$G$1:$G$12,AG2890))</f>
        <v/>
      </c>
      <c r="AJ2890" s="17" t="str">
        <f t="shared" si="3"/>
        <v/>
      </c>
    </row>
    <row r="2891" spans="31:36">
      <c r="AE2891" s="15" t="str">
        <f t="shared" si="0"/>
        <v/>
      </c>
      <c r="AF2891" s="15" t="str">
        <f t="shared" si="1"/>
        <v/>
      </c>
      <c r="AG2891" s="15" t="str">
        <f>IF(OR(AF2891="",AF2891="ERRO_CHAVE"),"",IFERROR(MATCH(AF2891,'quitado Despesa'!$V$1:$V$12,0),""))</f>
        <v/>
      </c>
      <c r="AH2891" s="15" t="str">
        <f t="shared" si="2"/>
        <v/>
      </c>
      <c r="AI2891" s="17" t="str">
        <f>IF(AG2891="","",INDEX('quitado Despesa'!$G$1:$G$12,AG2891))</f>
        <v/>
      </c>
      <c r="AJ2891" s="17" t="str">
        <f t="shared" si="3"/>
        <v/>
      </c>
    </row>
    <row r="2892" spans="31:36">
      <c r="AE2892" s="15" t="str">
        <f t="shared" si="0"/>
        <v/>
      </c>
      <c r="AF2892" s="15" t="str">
        <f t="shared" si="1"/>
        <v/>
      </c>
      <c r="AG2892" s="15" t="str">
        <f>IF(OR(AF2892="",AF2892="ERRO_CHAVE"),"",IFERROR(MATCH(AF2892,'quitado Despesa'!$V$1:$V$12,0),""))</f>
        <v/>
      </c>
      <c r="AH2892" s="15" t="str">
        <f t="shared" si="2"/>
        <v/>
      </c>
      <c r="AI2892" s="17" t="str">
        <f>IF(AG2892="","",INDEX('quitado Despesa'!$G$1:$G$12,AG2892))</f>
        <v/>
      </c>
      <c r="AJ2892" s="17" t="str">
        <f t="shared" si="3"/>
        <v/>
      </c>
    </row>
    <row r="2893" spans="31:36">
      <c r="AE2893" s="15" t="str">
        <f t="shared" si="0"/>
        <v/>
      </c>
      <c r="AF2893" s="15" t="str">
        <f t="shared" si="1"/>
        <v/>
      </c>
      <c r="AG2893" s="15" t="str">
        <f>IF(OR(AF2893="",AF2893="ERRO_CHAVE"),"",IFERROR(MATCH(AF2893,'quitado Despesa'!$V$1:$V$12,0),""))</f>
        <v/>
      </c>
      <c r="AH2893" s="15" t="str">
        <f t="shared" si="2"/>
        <v/>
      </c>
      <c r="AI2893" s="17" t="str">
        <f>IF(AG2893="","",INDEX('quitado Despesa'!$G$1:$G$12,AG2893))</f>
        <v/>
      </c>
      <c r="AJ2893" s="17" t="str">
        <f t="shared" si="3"/>
        <v/>
      </c>
    </row>
    <row r="2894" spans="31:36">
      <c r="AE2894" s="15" t="str">
        <f t="shared" si="0"/>
        <v/>
      </c>
      <c r="AF2894" s="15" t="str">
        <f t="shared" si="1"/>
        <v/>
      </c>
      <c r="AG2894" s="15" t="str">
        <f>IF(OR(AF2894="",AF2894="ERRO_CHAVE"),"",IFERROR(MATCH(AF2894,'quitado Despesa'!$V$1:$V$12,0),""))</f>
        <v/>
      </c>
      <c r="AH2894" s="15" t="str">
        <f t="shared" si="2"/>
        <v/>
      </c>
      <c r="AI2894" s="17" t="str">
        <f>IF(AG2894="","",INDEX('quitado Despesa'!$G$1:$G$12,AG2894))</f>
        <v/>
      </c>
      <c r="AJ2894" s="17" t="str">
        <f t="shared" si="3"/>
        <v/>
      </c>
    </row>
    <row r="2895" spans="31:36">
      <c r="AE2895" s="15" t="str">
        <f t="shared" si="0"/>
        <v/>
      </c>
      <c r="AF2895" s="15" t="str">
        <f t="shared" si="1"/>
        <v/>
      </c>
      <c r="AG2895" s="15" t="str">
        <f>IF(OR(AF2895="",AF2895="ERRO_CHAVE"),"",IFERROR(MATCH(AF2895,'quitado Despesa'!$V$1:$V$12,0),""))</f>
        <v/>
      </c>
      <c r="AH2895" s="15" t="str">
        <f t="shared" si="2"/>
        <v/>
      </c>
      <c r="AI2895" s="17" t="str">
        <f>IF(AG2895="","",INDEX('quitado Despesa'!$G$1:$G$12,AG2895))</f>
        <v/>
      </c>
      <c r="AJ2895" s="17" t="str">
        <f t="shared" si="3"/>
        <v/>
      </c>
    </row>
    <row r="2896" spans="31:36">
      <c r="AE2896" s="15" t="str">
        <f t="shared" si="0"/>
        <v/>
      </c>
      <c r="AF2896" s="15" t="str">
        <f t="shared" si="1"/>
        <v/>
      </c>
      <c r="AG2896" s="15" t="str">
        <f>IF(OR(AF2896="",AF2896="ERRO_CHAVE"),"",IFERROR(MATCH(AF2896,'quitado Despesa'!$V$1:$V$12,0),""))</f>
        <v/>
      </c>
      <c r="AH2896" s="15" t="str">
        <f t="shared" si="2"/>
        <v/>
      </c>
      <c r="AI2896" s="17" t="str">
        <f>IF(AG2896="","",INDEX('quitado Despesa'!$G$1:$G$12,AG2896))</f>
        <v/>
      </c>
      <c r="AJ2896" s="17" t="str">
        <f t="shared" si="3"/>
        <v/>
      </c>
    </row>
    <row r="2897" spans="31:36">
      <c r="AE2897" s="15" t="str">
        <f t="shared" si="0"/>
        <v/>
      </c>
      <c r="AF2897" s="15" t="str">
        <f t="shared" si="1"/>
        <v/>
      </c>
      <c r="AG2897" s="15" t="str">
        <f>IF(OR(AF2897="",AF2897="ERRO_CHAVE"),"",IFERROR(MATCH(AF2897,'quitado Despesa'!$V$1:$V$12,0),""))</f>
        <v/>
      </c>
      <c r="AH2897" s="15" t="str">
        <f t="shared" si="2"/>
        <v/>
      </c>
      <c r="AI2897" s="17" t="str">
        <f>IF(AG2897="","",INDEX('quitado Despesa'!$G$1:$G$12,AG2897))</f>
        <v/>
      </c>
      <c r="AJ2897" s="17" t="str">
        <f t="shared" si="3"/>
        <v/>
      </c>
    </row>
    <row r="2898" spans="31:36">
      <c r="AE2898" s="15" t="str">
        <f t="shared" si="0"/>
        <v/>
      </c>
      <c r="AF2898" s="15" t="str">
        <f t="shared" si="1"/>
        <v/>
      </c>
      <c r="AG2898" s="15" t="str">
        <f>IF(OR(AF2898="",AF2898="ERRO_CHAVE"),"",IFERROR(MATCH(AF2898,'quitado Despesa'!$V$1:$V$12,0),""))</f>
        <v/>
      </c>
      <c r="AH2898" s="15" t="str">
        <f t="shared" si="2"/>
        <v/>
      </c>
      <c r="AI2898" s="17" t="str">
        <f>IF(AG2898="","",INDEX('quitado Despesa'!$G$1:$G$12,AG2898))</f>
        <v/>
      </c>
      <c r="AJ2898" s="17" t="str">
        <f t="shared" si="3"/>
        <v/>
      </c>
    </row>
    <row r="2899" spans="31:36">
      <c r="AE2899" s="15" t="str">
        <f t="shared" si="0"/>
        <v/>
      </c>
      <c r="AF2899" s="15" t="str">
        <f t="shared" si="1"/>
        <v/>
      </c>
      <c r="AG2899" s="15" t="str">
        <f>IF(OR(AF2899="",AF2899="ERRO_CHAVE"),"",IFERROR(MATCH(AF2899,'quitado Despesa'!$V$1:$V$12,0),""))</f>
        <v/>
      </c>
      <c r="AH2899" s="15" t="str">
        <f t="shared" si="2"/>
        <v/>
      </c>
      <c r="AI2899" s="17" t="str">
        <f>IF(AG2899="","",INDEX('quitado Despesa'!$G$1:$G$12,AG2899))</f>
        <v/>
      </c>
      <c r="AJ2899" s="17" t="str">
        <f t="shared" si="3"/>
        <v/>
      </c>
    </row>
    <row r="2900" spans="31:36">
      <c r="AE2900" s="15" t="str">
        <f t="shared" si="0"/>
        <v/>
      </c>
      <c r="AF2900" s="15" t="str">
        <f t="shared" si="1"/>
        <v/>
      </c>
      <c r="AG2900" s="15" t="str">
        <f>IF(OR(AF2900="",AF2900="ERRO_CHAVE"),"",IFERROR(MATCH(AF2900,'quitado Despesa'!$V$1:$V$12,0),""))</f>
        <v/>
      </c>
      <c r="AH2900" s="15" t="str">
        <f t="shared" si="2"/>
        <v/>
      </c>
      <c r="AI2900" s="17" t="str">
        <f>IF(AG2900="","",INDEX('quitado Despesa'!$G$1:$G$12,AG2900))</f>
        <v/>
      </c>
      <c r="AJ2900" s="17" t="str">
        <f t="shared" si="3"/>
        <v/>
      </c>
    </row>
    <row r="2901" spans="31:36">
      <c r="AE2901" s="15" t="str">
        <f t="shared" si="0"/>
        <v/>
      </c>
      <c r="AF2901" s="15" t="str">
        <f t="shared" si="1"/>
        <v/>
      </c>
      <c r="AG2901" s="15" t="str">
        <f>IF(OR(AF2901="",AF2901="ERRO_CHAVE"),"",IFERROR(MATCH(AF2901,'quitado Despesa'!$V$1:$V$12,0),""))</f>
        <v/>
      </c>
      <c r="AH2901" s="15" t="str">
        <f t="shared" si="2"/>
        <v/>
      </c>
      <c r="AI2901" s="17" t="str">
        <f>IF(AG2901="","",INDEX('quitado Despesa'!$G$1:$G$12,AG2901))</f>
        <v/>
      </c>
      <c r="AJ2901" s="17" t="str">
        <f t="shared" si="3"/>
        <v/>
      </c>
    </row>
    <row r="2902" spans="31:36">
      <c r="AE2902" s="15" t="str">
        <f t="shared" si="0"/>
        <v/>
      </c>
      <c r="AF2902" s="15" t="str">
        <f t="shared" si="1"/>
        <v/>
      </c>
      <c r="AG2902" s="15" t="str">
        <f>IF(OR(AF2902="",AF2902="ERRO_CHAVE"),"",IFERROR(MATCH(AF2902,'quitado Despesa'!$V$1:$V$12,0),""))</f>
        <v/>
      </c>
      <c r="AH2902" s="15" t="str">
        <f t="shared" si="2"/>
        <v/>
      </c>
      <c r="AI2902" s="17" t="str">
        <f>IF(AG2902="","",INDEX('quitado Despesa'!$G$1:$G$12,AG2902))</f>
        <v/>
      </c>
      <c r="AJ2902" s="17" t="str">
        <f t="shared" si="3"/>
        <v/>
      </c>
    </row>
    <row r="2903" spans="31:36">
      <c r="AE2903" s="15" t="str">
        <f t="shared" si="0"/>
        <v/>
      </c>
      <c r="AF2903" s="15" t="str">
        <f t="shared" si="1"/>
        <v/>
      </c>
      <c r="AG2903" s="15" t="str">
        <f>IF(OR(AF2903="",AF2903="ERRO_CHAVE"),"",IFERROR(MATCH(AF2903,'quitado Despesa'!$V$1:$V$12,0),""))</f>
        <v/>
      </c>
      <c r="AH2903" s="15" t="str">
        <f t="shared" si="2"/>
        <v/>
      </c>
      <c r="AI2903" s="17" t="str">
        <f>IF(AG2903="","",INDEX('quitado Despesa'!$G$1:$G$12,AG2903))</f>
        <v/>
      </c>
      <c r="AJ2903" s="17" t="str">
        <f t="shared" si="3"/>
        <v/>
      </c>
    </row>
    <row r="2904" spans="31:36">
      <c r="AE2904" s="15" t="str">
        <f t="shared" si="0"/>
        <v/>
      </c>
      <c r="AF2904" s="15" t="str">
        <f t="shared" si="1"/>
        <v/>
      </c>
      <c r="AG2904" s="15" t="str">
        <f>IF(OR(AF2904="",AF2904="ERRO_CHAVE"),"",IFERROR(MATCH(AF2904,'quitado Despesa'!$V$1:$V$12,0),""))</f>
        <v/>
      </c>
      <c r="AH2904" s="15" t="str">
        <f t="shared" si="2"/>
        <v/>
      </c>
      <c r="AI2904" s="17" t="str">
        <f>IF(AG2904="","",INDEX('quitado Despesa'!$G$1:$G$12,AG2904))</f>
        <v/>
      </c>
      <c r="AJ2904" s="17" t="str">
        <f t="shared" si="3"/>
        <v/>
      </c>
    </row>
    <row r="2905" spans="31:36">
      <c r="AE2905" s="15" t="str">
        <f t="shared" si="0"/>
        <v/>
      </c>
      <c r="AF2905" s="15" t="str">
        <f t="shared" si="1"/>
        <v/>
      </c>
      <c r="AG2905" s="15" t="str">
        <f>IF(OR(AF2905="",AF2905="ERRO_CHAVE"),"",IFERROR(MATCH(AF2905,'quitado Despesa'!$V$1:$V$12,0),""))</f>
        <v/>
      </c>
      <c r="AH2905" s="15" t="str">
        <f t="shared" si="2"/>
        <v/>
      </c>
      <c r="AI2905" s="17" t="str">
        <f>IF(AG2905="","",INDEX('quitado Despesa'!$G$1:$G$12,AG2905))</f>
        <v/>
      </c>
      <c r="AJ2905" s="17" t="str">
        <f t="shared" si="3"/>
        <v/>
      </c>
    </row>
    <row r="2906" spans="31:36">
      <c r="AE2906" s="15" t="str">
        <f t="shared" si="0"/>
        <v/>
      </c>
      <c r="AF2906" s="15" t="str">
        <f t="shared" si="1"/>
        <v/>
      </c>
      <c r="AG2906" s="15" t="str">
        <f>IF(OR(AF2906="",AF2906="ERRO_CHAVE"),"",IFERROR(MATCH(AF2906,'quitado Despesa'!$V$1:$V$12,0),""))</f>
        <v/>
      </c>
      <c r="AH2906" s="15" t="str">
        <f t="shared" si="2"/>
        <v/>
      </c>
      <c r="AI2906" s="17" t="str">
        <f>IF(AG2906="","",INDEX('quitado Despesa'!$G$1:$G$12,AG2906))</f>
        <v/>
      </c>
      <c r="AJ2906" s="17" t="str">
        <f t="shared" si="3"/>
        <v/>
      </c>
    </row>
    <row r="2907" spans="31:36">
      <c r="AE2907" s="15" t="str">
        <f t="shared" si="0"/>
        <v/>
      </c>
      <c r="AF2907" s="15" t="str">
        <f t="shared" si="1"/>
        <v/>
      </c>
      <c r="AG2907" s="15" t="str">
        <f>IF(OR(AF2907="",AF2907="ERRO_CHAVE"),"",IFERROR(MATCH(AF2907,'quitado Despesa'!$V$1:$V$12,0),""))</f>
        <v/>
      </c>
      <c r="AH2907" s="15" t="str">
        <f t="shared" si="2"/>
        <v/>
      </c>
      <c r="AI2907" s="17" t="str">
        <f>IF(AG2907="","",INDEX('quitado Despesa'!$G$1:$G$12,AG2907))</f>
        <v/>
      </c>
      <c r="AJ2907" s="17" t="str">
        <f t="shared" si="3"/>
        <v/>
      </c>
    </row>
    <row r="2908" spans="31:36">
      <c r="AE2908" s="15" t="str">
        <f t="shared" si="0"/>
        <v/>
      </c>
      <c r="AF2908" s="15" t="str">
        <f t="shared" si="1"/>
        <v/>
      </c>
      <c r="AG2908" s="15" t="str">
        <f>IF(OR(AF2908="",AF2908="ERRO_CHAVE"),"",IFERROR(MATCH(AF2908,'quitado Despesa'!$V$1:$V$12,0),""))</f>
        <v/>
      </c>
      <c r="AH2908" s="15" t="str">
        <f t="shared" si="2"/>
        <v/>
      </c>
      <c r="AI2908" s="17" t="str">
        <f>IF(AG2908="","",INDEX('quitado Despesa'!$G$1:$G$12,AG2908))</f>
        <v/>
      </c>
      <c r="AJ2908" s="17" t="str">
        <f t="shared" si="3"/>
        <v/>
      </c>
    </row>
    <row r="2909" spans="31:36">
      <c r="AE2909" s="15" t="str">
        <f t="shared" si="0"/>
        <v/>
      </c>
      <c r="AF2909" s="15" t="str">
        <f t="shared" si="1"/>
        <v/>
      </c>
      <c r="AG2909" s="15" t="str">
        <f>IF(OR(AF2909="",AF2909="ERRO_CHAVE"),"",IFERROR(MATCH(AF2909,'quitado Despesa'!$V$1:$V$12,0),""))</f>
        <v/>
      </c>
      <c r="AH2909" s="15" t="str">
        <f t="shared" si="2"/>
        <v/>
      </c>
      <c r="AI2909" s="17" t="str">
        <f>IF(AG2909="","",INDEX('quitado Despesa'!$G$1:$G$12,AG2909))</f>
        <v/>
      </c>
      <c r="AJ2909" s="17" t="str">
        <f t="shared" si="3"/>
        <v/>
      </c>
    </row>
    <row r="2910" spans="31:36">
      <c r="AE2910" s="15" t="str">
        <f t="shared" si="0"/>
        <v/>
      </c>
      <c r="AF2910" s="15" t="str">
        <f t="shared" si="1"/>
        <v/>
      </c>
      <c r="AG2910" s="15" t="str">
        <f>IF(OR(AF2910="",AF2910="ERRO_CHAVE"),"",IFERROR(MATCH(AF2910,'quitado Despesa'!$V$1:$V$12,0),""))</f>
        <v/>
      </c>
      <c r="AH2910" s="15" t="str">
        <f t="shared" si="2"/>
        <v/>
      </c>
      <c r="AI2910" s="17" t="str">
        <f>IF(AG2910="","",INDEX('quitado Despesa'!$G$1:$G$12,AG2910))</f>
        <v/>
      </c>
      <c r="AJ2910" s="17" t="str">
        <f t="shared" si="3"/>
        <v/>
      </c>
    </row>
    <row r="2911" spans="31:36">
      <c r="AE2911" s="15" t="str">
        <f t="shared" si="0"/>
        <v/>
      </c>
      <c r="AF2911" s="15" t="str">
        <f t="shared" si="1"/>
        <v/>
      </c>
      <c r="AG2911" s="15" t="str">
        <f>IF(OR(AF2911="",AF2911="ERRO_CHAVE"),"",IFERROR(MATCH(AF2911,'quitado Despesa'!$V$1:$V$12,0),""))</f>
        <v/>
      </c>
      <c r="AH2911" s="15" t="str">
        <f t="shared" si="2"/>
        <v/>
      </c>
      <c r="AI2911" s="17" t="str">
        <f>IF(AG2911="","",INDEX('quitado Despesa'!$G$1:$G$12,AG2911))</f>
        <v/>
      </c>
      <c r="AJ2911" s="17" t="str">
        <f t="shared" si="3"/>
        <v/>
      </c>
    </row>
    <row r="2912" spans="31:36">
      <c r="AE2912" s="15" t="str">
        <f t="shared" si="0"/>
        <v/>
      </c>
      <c r="AF2912" s="15" t="str">
        <f t="shared" si="1"/>
        <v/>
      </c>
      <c r="AG2912" s="15" t="str">
        <f>IF(OR(AF2912="",AF2912="ERRO_CHAVE"),"",IFERROR(MATCH(AF2912,'quitado Despesa'!$V$1:$V$12,0),""))</f>
        <v/>
      </c>
      <c r="AH2912" s="15" t="str">
        <f t="shared" si="2"/>
        <v/>
      </c>
      <c r="AI2912" s="17" t="str">
        <f>IF(AG2912="","",INDEX('quitado Despesa'!$G$1:$G$12,AG2912))</f>
        <v/>
      </c>
      <c r="AJ2912" s="17" t="str">
        <f t="shared" si="3"/>
        <v/>
      </c>
    </row>
    <row r="2913" spans="31:36">
      <c r="AE2913" s="15" t="str">
        <f t="shared" si="0"/>
        <v/>
      </c>
      <c r="AF2913" s="15" t="str">
        <f t="shared" si="1"/>
        <v/>
      </c>
      <c r="AG2913" s="15" t="str">
        <f>IF(OR(AF2913="",AF2913="ERRO_CHAVE"),"",IFERROR(MATCH(AF2913,'quitado Despesa'!$V$1:$V$12,0),""))</f>
        <v/>
      </c>
      <c r="AH2913" s="15" t="str">
        <f t="shared" si="2"/>
        <v/>
      </c>
      <c r="AI2913" s="17" t="str">
        <f>IF(AG2913="","",INDEX('quitado Despesa'!$G$1:$G$12,AG2913))</f>
        <v/>
      </c>
      <c r="AJ2913" s="17" t="str">
        <f t="shared" si="3"/>
        <v/>
      </c>
    </row>
    <row r="2914" spans="31:36">
      <c r="AE2914" s="15" t="str">
        <f t="shared" si="0"/>
        <v/>
      </c>
      <c r="AF2914" s="15" t="str">
        <f t="shared" si="1"/>
        <v/>
      </c>
      <c r="AG2914" s="15" t="str">
        <f>IF(OR(AF2914="",AF2914="ERRO_CHAVE"),"",IFERROR(MATCH(AF2914,'quitado Despesa'!$V$1:$V$12,0),""))</f>
        <v/>
      </c>
      <c r="AH2914" s="15" t="str">
        <f t="shared" si="2"/>
        <v/>
      </c>
      <c r="AI2914" s="17" t="str">
        <f>IF(AG2914="","",INDEX('quitado Despesa'!$G$1:$G$12,AG2914))</f>
        <v/>
      </c>
      <c r="AJ2914" s="17" t="str">
        <f t="shared" si="3"/>
        <v/>
      </c>
    </row>
    <row r="2915" spans="31:36">
      <c r="AE2915" s="15" t="str">
        <f t="shared" si="0"/>
        <v/>
      </c>
      <c r="AF2915" s="15" t="str">
        <f t="shared" si="1"/>
        <v/>
      </c>
      <c r="AG2915" s="15" t="str">
        <f>IF(OR(AF2915="",AF2915="ERRO_CHAVE"),"",IFERROR(MATCH(AF2915,'quitado Despesa'!$V$1:$V$12,0),""))</f>
        <v/>
      </c>
      <c r="AH2915" s="15" t="str">
        <f t="shared" si="2"/>
        <v/>
      </c>
      <c r="AI2915" s="17" t="str">
        <f>IF(AG2915="","",INDEX('quitado Despesa'!$G$1:$G$12,AG2915))</f>
        <v/>
      </c>
      <c r="AJ2915" s="17" t="str">
        <f t="shared" si="3"/>
        <v/>
      </c>
    </row>
    <row r="2916" spans="31:36">
      <c r="AE2916" s="15" t="str">
        <f t="shared" si="0"/>
        <v/>
      </c>
      <c r="AF2916" s="15" t="str">
        <f t="shared" si="1"/>
        <v/>
      </c>
      <c r="AG2916" s="15" t="str">
        <f>IF(OR(AF2916="",AF2916="ERRO_CHAVE"),"",IFERROR(MATCH(AF2916,'quitado Despesa'!$V$1:$V$12,0),""))</f>
        <v/>
      </c>
      <c r="AH2916" s="15" t="str">
        <f t="shared" si="2"/>
        <v/>
      </c>
      <c r="AI2916" s="17" t="str">
        <f>IF(AG2916="","",INDEX('quitado Despesa'!$G$1:$G$12,AG2916))</f>
        <v/>
      </c>
      <c r="AJ2916" s="17" t="str">
        <f t="shared" si="3"/>
        <v/>
      </c>
    </row>
    <row r="2917" spans="31:36">
      <c r="AE2917" s="15" t="str">
        <f t="shared" si="0"/>
        <v/>
      </c>
      <c r="AF2917" s="15" t="str">
        <f t="shared" si="1"/>
        <v/>
      </c>
      <c r="AG2917" s="15" t="str">
        <f>IF(OR(AF2917="",AF2917="ERRO_CHAVE"),"",IFERROR(MATCH(AF2917,'quitado Despesa'!$V$1:$V$12,0),""))</f>
        <v/>
      </c>
      <c r="AH2917" s="15" t="str">
        <f t="shared" si="2"/>
        <v/>
      </c>
      <c r="AI2917" s="17" t="str">
        <f>IF(AG2917="","",INDEX('quitado Despesa'!$G$1:$G$12,AG2917))</f>
        <v/>
      </c>
      <c r="AJ2917" s="17" t="str">
        <f t="shared" si="3"/>
        <v/>
      </c>
    </row>
    <row r="2918" spans="31:36">
      <c r="AE2918" s="15" t="str">
        <f t="shared" si="0"/>
        <v/>
      </c>
      <c r="AF2918" s="15" t="str">
        <f t="shared" si="1"/>
        <v/>
      </c>
      <c r="AG2918" s="15" t="str">
        <f>IF(OR(AF2918="",AF2918="ERRO_CHAVE"),"",IFERROR(MATCH(AF2918,'quitado Despesa'!$V$1:$V$12,0),""))</f>
        <v/>
      </c>
      <c r="AH2918" s="15" t="str">
        <f t="shared" si="2"/>
        <v/>
      </c>
      <c r="AI2918" s="17" t="str">
        <f>IF(AG2918="","",INDEX('quitado Despesa'!$G$1:$G$12,AG2918))</f>
        <v/>
      </c>
      <c r="AJ2918" s="17" t="str">
        <f t="shared" si="3"/>
        <v/>
      </c>
    </row>
    <row r="2919" spans="31:36">
      <c r="AE2919" s="15" t="str">
        <f t="shared" si="0"/>
        <v/>
      </c>
      <c r="AF2919" s="15" t="str">
        <f t="shared" si="1"/>
        <v/>
      </c>
      <c r="AG2919" s="15" t="str">
        <f>IF(OR(AF2919="",AF2919="ERRO_CHAVE"),"",IFERROR(MATCH(AF2919,'quitado Despesa'!$V$1:$V$12,0),""))</f>
        <v/>
      </c>
      <c r="AH2919" s="15" t="str">
        <f t="shared" si="2"/>
        <v/>
      </c>
      <c r="AI2919" s="17" t="str">
        <f>IF(AG2919="","",INDEX('quitado Despesa'!$G$1:$G$12,AG2919))</f>
        <v/>
      </c>
      <c r="AJ2919" s="17" t="str">
        <f t="shared" si="3"/>
        <v/>
      </c>
    </row>
    <row r="2920" spans="31:36">
      <c r="AE2920" s="15" t="str">
        <f t="shared" si="0"/>
        <v/>
      </c>
      <c r="AF2920" s="15" t="str">
        <f t="shared" si="1"/>
        <v/>
      </c>
      <c r="AG2920" s="15" t="str">
        <f>IF(OR(AF2920="",AF2920="ERRO_CHAVE"),"",IFERROR(MATCH(AF2920,'quitado Despesa'!$V$1:$V$12,0),""))</f>
        <v/>
      </c>
      <c r="AH2920" s="15" t="str">
        <f t="shared" si="2"/>
        <v/>
      </c>
      <c r="AI2920" s="17" t="str">
        <f>IF(AG2920="","",INDEX('quitado Despesa'!$G$1:$G$12,AG2920))</f>
        <v/>
      </c>
      <c r="AJ2920" s="17" t="str">
        <f t="shared" si="3"/>
        <v/>
      </c>
    </row>
    <row r="2921" spans="31:36">
      <c r="AE2921" s="15" t="str">
        <f t="shared" si="0"/>
        <v/>
      </c>
      <c r="AF2921" s="15" t="str">
        <f t="shared" si="1"/>
        <v/>
      </c>
      <c r="AG2921" s="15" t="str">
        <f>IF(OR(AF2921="",AF2921="ERRO_CHAVE"),"",IFERROR(MATCH(AF2921,'quitado Despesa'!$V$1:$V$12,0),""))</f>
        <v/>
      </c>
      <c r="AH2921" s="15" t="str">
        <f t="shared" si="2"/>
        <v/>
      </c>
      <c r="AI2921" s="17" t="str">
        <f>IF(AG2921="","",INDEX('quitado Despesa'!$G$1:$G$12,AG2921))</f>
        <v/>
      </c>
      <c r="AJ2921" s="17" t="str">
        <f t="shared" si="3"/>
        <v/>
      </c>
    </row>
    <row r="2922" spans="31:36">
      <c r="AE2922" s="15" t="str">
        <f t="shared" si="0"/>
        <v/>
      </c>
      <c r="AF2922" s="15" t="str">
        <f t="shared" si="1"/>
        <v/>
      </c>
      <c r="AG2922" s="15" t="str">
        <f>IF(OR(AF2922="",AF2922="ERRO_CHAVE"),"",IFERROR(MATCH(AF2922,'quitado Despesa'!$V$1:$V$12,0),""))</f>
        <v/>
      </c>
      <c r="AH2922" s="15" t="str">
        <f t="shared" si="2"/>
        <v/>
      </c>
      <c r="AI2922" s="17" t="str">
        <f>IF(AG2922="","",INDEX('quitado Despesa'!$G$1:$G$12,AG2922))</f>
        <v/>
      </c>
      <c r="AJ2922" s="17" t="str">
        <f t="shared" si="3"/>
        <v/>
      </c>
    </row>
    <row r="2923" spans="31:36">
      <c r="AE2923" s="15" t="str">
        <f t="shared" si="0"/>
        <v/>
      </c>
      <c r="AF2923" s="15" t="str">
        <f t="shared" si="1"/>
        <v/>
      </c>
      <c r="AG2923" s="15" t="str">
        <f>IF(OR(AF2923="",AF2923="ERRO_CHAVE"),"",IFERROR(MATCH(AF2923,'quitado Despesa'!$V$1:$V$12,0),""))</f>
        <v/>
      </c>
      <c r="AH2923" s="15" t="str">
        <f t="shared" si="2"/>
        <v/>
      </c>
      <c r="AI2923" s="17" t="str">
        <f>IF(AG2923="","",INDEX('quitado Despesa'!$G$1:$G$12,AG2923))</f>
        <v/>
      </c>
      <c r="AJ2923" s="17" t="str">
        <f t="shared" si="3"/>
        <v/>
      </c>
    </row>
    <row r="2924" spans="31:36">
      <c r="AE2924" s="15" t="str">
        <f t="shared" si="0"/>
        <v/>
      </c>
      <c r="AF2924" s="15" t="str">
        <f t="shared" si="1"/>
        <v/>
      </c>
      <c r="AG2924" s="15" t="str">
        <f>IF(OR(AF2924="",AF2924="ERRO_CHAVE"),"",IFERROR(MATCH(AF2924,'quitado Despesa'!$V$1:$V$12,0),""))</f>
        <v/>
      </c>
      <c r="AH2924" s="15" t="str">
        <f t="shared" si="2"/>
        <v/>
      </c>
      <c r="AI2924" s="17" t="str">
        <f>IF(AG2924="","",INDEX('quitado Despesa'!$G$1:$G$12,AG2924))</f>
        <v/>
      </c>
      <c r="AJ2924" s="17" t="str">
        <f t="shared" si="3"/>
        <v/>
      </c>
    </row>
    <row r="2925" spans="31:36">
      <c r="AE2925" s="15" t="str">
        <f t="shared" si="0"/>
        <v/>
      </c>
      <c r="AF2925" s="15" t="str">
        <f t="shared" si="1"/>
        <v/>
      </c>
      <c r="AG2925" s="15" t="str">
        <f>IF(OR(AF2925="",AF2925="ERRO_CHAVE"),"",IFERROR(MATCH(AF2925,'quitado Despesa'!$V$1:$V$12,0),""))</f>
        <v/>
      </c>
      <c r="AH2925" s="15" t="str">
        <f t="shared" si="2"/>
        <v/>
      </c>
      <c r="AI2925" s="17" t="str">
        <f>IF(AG2925="","",INDEX('quitado Despesa'!$G$1:$G$12,AG2925))</f>
        <v/>
      </c>
      <c r="AJ2925" s="17" t="str">
        <f t="shared" si="3"/>
        <v/>
      </c>
    </row>
    <row r="2926" spans="31:36">
      <c r="AE2926" s="15" t="str">
        <f t="shared" si="0"/>
        <v/>
      </c>
      <c r="AF2926" s="15" t="str">
        <f t="shared" si="1"/>
        <v/>
      </c>
      <c r="AG2926" s="15" t="str">
        <f>IF(OR(AF2926="",AF2926="ERRO_CHAVE"),"",IFERROR(MATCH(AF2926,'quitado Despesa'!$V$1:$V$12,0),""))</f>
        <v/>
      </c>
      <c r="AH2926" s="15" t="str">
        <f t="shared" si="2"/>
        <v/>
      </c>
      <c r="AI2926" s="17" t="str">
        <f>IF(AG2926="","",INDEX('quitado Despesa'!$G$1:$G$12,AG2926))</f>
        <v/>
      </c>
      <c r="AJ2926" s="17" t="str">
        <f t="shared" si="3"/>
        <v/>
      </c>
    </row>
    <row r="2927" spans="31:36">
      <c r="AE2927" s="15" t="str">
        <f t="shared" si="0"/>
        <v/>
      </c>
      <c r="AF2927" s="15" t="str">
        <f t="shared" si="1"/>
        <v/>
      </c>
      <c r="AG2927" s="15" t="str">
        <f>IF(OR(AF2927="",AF2927="ERRO_CHAVE"),"",IFERROR(MATCH(AF2927,'quitado Despesa'!$V$1:$V$12,0),""))</f>
        <v/>
      </c>
      <c r="AH2927" s="15" t="str">
        <f t="shared" si="2"/>
        <v/>
      </c>
      <c r="AI2927" s="17" t="str">
        <f>IF(AG2927="","",INDEX('quitado Despesa'!$G$1:$G$12,AG2927))</f>
        <v/>
      </c>
      <c r="AJ2927" s="17" t="str">
        <f t="shared" si="3"/>
        <v/>
      </c>
    </row>
    <row r="2928" spans="31:36">
      <c r="AE2928" s="15" t="str">
        <f t="shared" si="0"/>
        <v/>
      </c>
      <c r="AF2928" s="15" t="str">
        <f t="shared" si="1"/>
        <v/>
      </c>
      <c r="AG2928" s="15" t="str">
        <f>IF(OR(AF2928="",AF2928="ERRO_CHAVE"),"",IFERROR(MATCH(AF2928,'quitado Despesa'!$V$1:$V$12,0),""))</f>
        <v/>
      </c>
      <c r="AH2928" s="15" t="str">
        <f t="shared" si="2"/>
        <v/>
      </c>
      <c r="AI2928" s="17" t="str">
        <f>IF(AG2928="","",INDEX('quitado Despesa'!$G$1:$G$12,AG2928))</f>
        <v/>
      </c>
      <c r="AJ2928" s="17" t="str">
        <f t="shared" si="3"/>
        <v/>
      </c>
    </row>
    <row r="2929" spans="31:36">
      <c r="AE2929" s="15" t="str">
        <f t="shared" si="0"/>
        <v/>
      </c>
      <c r="AF2929" s="15" t="str">
        <f t="shared" si="1"/>
        <v/>
      </c>
      <c r="AG2929" s="15" t="str">
        <f>IF(OR(AF2929="",AF2929="ERRO_CHAVE"),"",IFERROR(MATCH(AF2929,'quitado Despesa'!$V$1:$V$12,0),""))</f>
        <v/>
      </c>
      <c r="AH2929" s="15" t="str">
        <f t="shared" si="2"/>
        <v/>
      </c>
      <c r="AI2929" s="17" t="str">
        <f>IF(AG2929="","",INDEX('quitado Despesa'!$G$1:$G$12,AG2929))</f>
        <v/>
      </c>
      <c r="AJ2929" s="17" t="str">
        <f t="shared" si="3"/>
        <v/>
      </c>
    </row>
    <row r="2930" spans="31:36">
      <c r="AE2930" s="15" t="str">
        <f t="shared" si="0"/>
        <v/>
      </c>
      <c r="AF2930" s="15" t="str">
        <f t="shared" si="1"/>
        <v/>
      </c>
      <c r="AG2930" s="15" t="str">
        <f>IF(OR(AF2930="",AF2930="ERRO_CHAVE"),"",IFERROR(MATCH(AF2930,'quitado Despesa'!$V$1:$V$12,0),""))</f>
        <v/>
      </c>
      <c r="AH2930" s="15" t="str">
        <f t="shared" si="2"/>
        <v/>
      </c>
      <c r="AI2930" s="17" t="str">
        <f>IF(AG2930="","",INDEX('quitado Despesa'!$G$1:$G$12,AG2930))</f>
        <v/>
      </c>
      <c r="AJ2930" s="17" t="str">
        <f t="shared" si="3"/>
        <v/>
      </c>
    </row>
    <row r="2931" spans="31:36">
      <c r="AE2931" s="15" t="str">
        <f t="shared" si="0"/>
        <v/>
      </c>
      <c r="AF2931" s="15" t="str">
        <f t="shared" si="1"/>
        <v/>
      </c>
      <c r="AG2931" s="15" t="str">
        <f>IF(OR(AF2931="",AF2931="ERRO_CHAVE"),"",IFERROR(MATCH(AF2931,'quitado Despesa'!$V$1:$V$12,0),""))</f>
        <v/>
      </c>
      <c r="AH2931" s="15" t="str">
        <f t="shared" si="2"/>
        <v/>
      </c>
      <c r="AI2931" s="17" t="str">
        <f>IF(AG2931="","",INDEX('quitado Despesa'!$G$1:$G$12,AG2931))</f>
        <v/>
      </c>
      <c r="AJ2931" s="17" t="str">
        <f t="shared" si="3"/>
        <v/>
      </c>
    </row>
    <row r="2932" spans="31:36">
      <c r="AE2932" s="15" t="str">
        <f t="shared" si="0"/>
        <v/>
      </c>
      <c r="AF2932" s="15" t="str">
        <f t="shared" si="1"/>
        <v/>
      </c>
      <c r="AG2932" s="15" t="str">
        <f>IF(OR(AF2932="",AF2932="ERRO_CHAVE"),"",IFERROR(MATCH(AF2932,'quitado Despesa'!$V$1:$V$12,0),""))</f>
        <v/>
      </c>
      <c r="AH2932" s="15" t="str">
        <f t="shared" si="2"/>
        <v/>
      </c>
      <c r="AI2932" s="17" t="str">
        <f>IF(AG2932="","",INDEX('quitado Despesa'!$G$1:$G$12,AG2932))</f>
        <v/>
      </c>
      <c r="AJ2932" s="17" t="str">
        <f t="shared" si="3"/>
        <v/>
      </c>
    </row>
    <row r="2933" spans="31:36">
      <c r="AE2933" s="15" t="str">
        <f t="shared" si="0"/>
        <v/>
      </c>
      <c r="AF2933" s="15" t="str">
        <f t="shared" si="1"/>
        <v/>
      </c>
      <c r="AG2933" s="15" t="str">
        <f>IF(OR(AF2933="",AF2933="ERRO_CHAVE"),"",IFERROR(MATCH(AF2933,'quitado Despesa'!$V$1:$V$12,0),""))</f>
        <v/>
      </c>
      <c r="AH2933" s="15" t="str">
        <f t="shared" si="2"/>
        <v/>
      </c>
      <c r="AI2933" s="17" t="str">
        <f>IF(AG2933="","",INDEX('quitado Despesa'!$G$1:$G$12,AG2933))</f>
        <v/>
      </c>
      <c r="AJ2933" s="17" t="str">
        <f t="shared" si="3"/>
        <v/>
      </c>
    </row>
    <row r="2934" spans="31:36">
      <c r="AE2934" s="15" t="str">
        <f t="shared" si="0"/>
        <v/>
      </c>
      <c r="AF2934" s="15" t="str">
        <f t="shared" si="1"/>
        <v/>
      </c>
      <c r="AG2934" s="15" t="str">
        <f>IF(OR(AF2934="",AF2934="ERRO_CHAVE"),"",IFERROR(MATCH(AF2934,'quitado Despesa'!$V$1:$V$12,0),""))</f>
        <v/>
      </c>
      <c r="AH2934" s="15" t="str">
        <f t="shared" si="2"/>
        <v/>
      </c>
      <c r="AI2934" s="17" t="str">
        <f>IF(AG2934="","",INDEX('quitado Despesa'!$G$1:$G$12,AG2934))</f>
        <v/>
      </c>
      <c r="AJ2934" s="17" t="str">
        <f t="shared" si="3"/>
        <v/>
      </c>
    </row>
    <row r="2935" spans="31:36">
      <c r="AE2935" s="15" t="str">
        <f t="shared" si="0"/>
        <v/>
      </c>
      <c r="AF2935" s="15" t="str">
        <f t="shared" si="1"/>
        <v/>
      </c>
      <c r="AG2935" s="15" t="str">
        <f>IF(OR(AF2935="",AF2935="ERRO_CHAVE"),"",IFERROR(MATCH(AF2935,'quitado Despesa'!$V$1:$V$12,0),""))</f>
        <v/>
      </c>
      <c r="AH2935" s="15" t="str">
        <f t="shared" si="2"/>
        <v/>
      </c>
      <c r="AI2935" s="17" t="str">
        <f>IF(AG2935="","",INDEX('quitado Despesa'!$G$1:$G$12,AG2935))</f>
        <v/>
      </c>
      <c r="AJ2935" s="17" t="str">
        <f t="shared" si="3"/>
        <v/>
      </c>
    </row>
    <row r="2936" spans="31:36">
      <c r="AE2936" s="15" t="str">
        <f t="shared" si="0"/>
        <v/>
      </c>
      <c r="AF2936" s="15" t="str">
        <f t="shared" si="1"/>
        <v/>
      </c>
      <c r="AG2936" s="15" t="str">
        <f>IF(OR(AF2936="",AF2936="ERRO_CHAVE"),"",IFERROR(MATCH(AF2936,'quitado Despesa'!$V$1:$V$12,0),""))</f>
        <v/>
      </c>
      <c r="AH2936" s="15" t="str">
        <f t="shared" si="2"/>
        <v/>
      </c>
      <c r="AI2936" s="17" t="str">
        <f>IF(AG2936="","",INDEX('quitado Despesa'!$G$1:$G$12,AG2936))</f>
        <v/>
      </c>
      <c r="AJ2936" s="17" t="str">
        <f t="shared" si="3"/>
        <v/>
      </c>
    </row>
    <row r="2937" spans="31:36">
      <c r="AE2937" s="15" t="str">
        <f t="shared" si="0"/>
        <v/>
      </c>
      <c r="AF2937" s="15" t="str">
        <f t="shared" si="1"/>
        <v/>
      </c>
      <c r="AG2937" s="15" t="str">
        <f>IF(OR(AF2937="",AF2937="ERRO_CHAVE"),"",IFERROR(MATCH(AF2937,'quitado Despesa'!$V$1:$V$12,0),""))</f>
        <v/>
      </c>
      <c r="AH2937" s="15" t="str">
        <f t="shared" si="2"/>
        <v/>
      </c>
      <c r="AI2937" s="17" t="str">
        <f>IF(AG2937="","",INDEX('quitado Despesa'!$G$1:$G$12,AG2937))</f>
        <v/>
      </c>
      <c r="AJ2937" s="17" t="str">
        <f t="shared" si="3"/>
        <v/>
      </c>
    </row>
    <row r="2938" spans="31:36">
      <c r="AE2938" s="15" t="str">
        <f t="shared" si="0"/>
        <v/>
      </c>
      <c r="AF2938" s="15" t="str">
        <f t="shared" si="1"/>
        <v/>
      </c>
      <c r="AG2938" s="15" t="str">
        <f>IF(OR(AF2938="",AF2938="ERRO_CHAVE"),"",IFERROR(MATCH(AF2938,'quitado Despesa'!$V$1:$V$12,0),""))</f>
        <v/>
      </c>
      <c r="AH2938" s="15" t="str">
        <f t="shared" si="2"/>
        <v/>
      </c>
      <c r="AI2938" s="17" t="str">
        <f>IF(AG2938="","",INDEX('quitado Despesa'!$G$1:$G$12,AG2938))</f>
        <v/>
      </c>
      <c r="AJ2938" s="17" t="str">
        <f t="shared" si="3"/>
        <v/>
      </c>
    </row>
    <row r="2939" spans="31:36">
      <c r="AE2939" s="15" t="str">
        <f t="shared" si="0"/>
        <v/>
      </c>
      <c r="AF2939" s="15" t="str">
        <f t="shared" si="1"/>
        <v/>
      </c>
      <c r="AG2939" s="15" t="str">
        <f>IF(OR(AF2939="",AF2939="ERRO_CHAVE"),"",IFERROR(MATCH(AF2939,'quitado Despesa'!$V$1:$V$12,0),""))</f>
        <v/>
      </c>
      <c r="AH2939" s="15" t="str">
        <f t="shared" si="2"/>
        <v/>
      </c>
      <c r="AI2939" s="17" t="str">
        <f>IF(AG2939="","",INDEX('quitado Despesa'!$G$1:$G$12,AG2939))</f>
        <v/>
      </c>
      <c r="AJ2939" s="17" t="str">
        <f t="shared" si="3"/>
        <v/>
      </c>
    </row>
    <row r="2940" spans="31:36">
      <c r="AE2940" s="15" t="str">
        <f t="shared" si="0"/>
        <v/>
      </c>
      <c r="AF2940" s="15" t="str">
        <f t="shared" si="1"/>
        <v/>
      </c>
      <c r="AG2940" s="15" t="str">
        <f>IF(OR(AF2940="",AF2940="ERRO_CHAVE"),"",IFERROR(MATCH(AF2940,'quitado Despesa'!$V$1:$V$12,0),""))</f>
        <v/>
      </c>
      <c r="AH2940" s="15" t="str">
        <f t="shared" si="2"/>
        <v/>
      </c>
      <c r="AI2940" s="17" t="str">
        <f>IF(AG2940="","",INDEX('quitado Despesa'!$G$1:$G$12,AG2940))</f>
        <v/>
      </c>
      <c r="AJ2940" s="17" t="str">
        <f t="shared" si="3"/>
        <v/>
      </c>
    </row>
    <row r="2941" spans="31:36">
      <c r="AE2941" s="15" t="str">
        <f t="shared" si="0"/>
        <v/>
      </c>
      <c r="AF2941" s="15" t="str">
        <f t="shared" si="1"/>
        <v/>
      </c>
      <c r="AG2941" s="15" t="str">
        <f>IF(OR(AF2941="",AF2941="ERRO_CHAVE"),"",IFERROR(MATCH(AF2941,'quitado Despesa'!$V$1:$V$12,0),""))</f>
        <v/>
      </c>
      <c r="AH2941" s="15" t="str">
        <f t="shared" si="2"/>
        <v/>
      </c>
      <c r="AI2941" s="17" t="str">
        <f>IF(AG2941="","",INDEX('quitado Despesa'!$G$1:$G$12,AG2941))</f>
        <v/>
      </c>
      <c r="AJ2941" s="17" t="str">
        <f t="shared" si="3"/>
        <v/>
      </c>
    </row>
    <row r="2942" spans="31:36">
      <c r="AE2942" s="15" t="str">
        <f t="shared" si="0"/>
        <v/>
      </c>
      <c r="AF2942" s="15" t="str">
        <f t="shared" si="1"/>
        <v/>
      </c>
      <c r="AG2942" s="15" t="str">
        <f>IF(OR(AF2942="",AF2942="ERRO_CHAVE"),"",IFERROR(MATCH(AF2942,'quitado Despesa'!$V$1:$V$12,0),""))</f>
        <v/>
      </c>
      <c r="AH2942" s="15" t="str">
        <f t="shared" si="2"/>
        <v/>
      </c>
      <c r="AI2942" s="17" t="str">
        <f>IF(AG2942="","",INDEX('quitado Despesa'!$G$1:$G$12,AG2942))</f>
        <v/>
      </c>
      <c r="AJ2942" s="17" t="str">
        <f t="shared" si="3"/>
        <v/>
      </c>
    </row>
    <row r="2943" spans="31:36">
      <c r="AE2943" s="15" t="str">
        <f t="shared" si="0"/>
        <v/>
      </c>
      <c r="AF2943" s="15" t="str">
        <f t="shared" si="1"/>
        <v/>
      </c>
      <c r="AG2943" s="15" t="str">
        <f>IF(OR(AF2943="",AF2943="ERRO_CHAVE"),"",IFERROR(MATCH(AF2943,'quitado Despesa'!$V$1:$V$12,0),""))</f>
        <v/>
      </c>
      <c r="AH2943" s="15" t="str">
        <f t="shared" si="2"/>
        <v/>
      </c>
      <c r="AI2943" s="17" t="str">
        <f>IF(AG2943="","",INDEX('quitado Despesa'!$G$1:$G$12,AG2943))</f>
        <v/>
      </c>
      <c r="AJ2943" s="17" t="str">
        <f t="shared" si="3"/>
        <v/>
      </c>
    </row>
    <row r="2944" spans="31:36">
      <c r="AE2944" s="15" t="str">
        <f t="shared" si="0"/>
        <v/>
      </c>
      <c r="AF2944" s="15" t="str">
        <f t="shared" si="1"/>
        <v/>
      </c>
      <c r="AG2944" s="15" t="str">
        <f>IF(OR(AF2944="",AF2944="ERRO_CHAVE"),"",IFERROR(MATCH(AF2944,'quitado Despesa'!$V$1:$V$12,0),""))</f>
        <v/>
      </c>
      <c r="AH2944" s="15" t="str">
        <f t="shared" si="2"/>
        <v/>
      </c>
      <c r="AI2944" s="17" t="str">
        <f>IF(AG2944="","",INDEX('quitado Despesa'!$G$1:$G$12,AG2944))</f>
        <v/>
      </c>
      <c r="AJ2944" s="17" t="str">
        <f t="shared" si="3"/>
        <v/>
      </c>
    </row>
    <row r="2945" spans="31:36">
      <c r="AE2945" s="15" t="str">
        <f t="shared" si="0"/>
        <v/>
      </c>
      <c r="AF2945" s="15" t="str">
        <f t="shared" si="1"/>
        <v/>
      </c>
      <c r="AG2945" s="15" t="str">
        <f>IF(OR(AF2945="",AF2945="ERRO_CHAVE"),"",IFERROR(MATCH(AF2945,'quitado Despesa'!$V$1:$V$12,0),""))</f>
        <v/>
      </c>
      <c r="AH2945" s="15" t="str">
        <f t="shared" si="2"/>
        <v/>
      </c>
      <c r="AI2945" s="17" t="str">
        <f>IF(AG2945="","",INDEX('quitado Despesa'!$G$1:$G$12,AG2945))</f>
        <v/>
      </c>
      <c r="AJ2945" s="17" t="str">
        <f t="shared" si="3"/>
        <v/>
      </c>
    </row>
    <row r="2946" spans="31:36">
      <c r="AE2946" s="15" t="str">
        <f t="shared" si="0"/>
        <v/>
      </c>
      <c r="AF2946" s="15" t="str">
        <f t="shared" si="1"/>
        <v/>
      </c>
      <c r="AG2946" s="15" t="str">
        <f>IF(OR(AF2946="",AF2946="ERRO_CHAVE"),"",IFERROR(MATCH(AF2946,'quitado Despesa'!$V$1:$V$12,0),""))</f>
        <v/>
      </c>
      <c r="AH2946" s="15" t="str">
        <f t="shared" si="2"/>
        <v/>
      </c>
      <c r="AI2946" s="17" t="str">
        <f>IF(AG2946="","",INDEX('quitado Despesa'!$G$1:$G$12,AG2946))</f>
        <v/>
      </c>
      <c r="AJ2946" s="17" t="str">
        <f t="shared" si="3"/>
        <v/>
      </c>
    </row>
    <row r="2947" spans="31:36">
      <c r="AE2947" s="15" t="str">
        <f t="shared" si="0"/>
        <v/>
      </c>
      <c r="AF2947" s="15" t="str">
        <f t="shared" si="1"/>
        <v/>
      </c>
      <c r="AG2947" s="15" t="str">
        <f>IF(OR(AF2947="",AF2947="ERRO_CHAVE"),"",IFERROR(MATCH(AF2947,'quitado Despesa'!$V$1:$V$12,0),""))</f>
        <v/>
      </c>
      <c r="AH2947" s="15" t="str">
        <f t="shared" si="2"/>
        <v/>
      </c>
      <c r="AI2947" s="17" t="str">
        <f>IF(AG2947="","",INDEX('quitado Despesa'!$G$1:$G$12,AG2947))</f>
        <v/>
      </c>
      <c r="AJ2947" s="17" t="str">
        <f t="shared" si="3"/>
        <v/>
      </c>
    </row>
    <row r="2948" spans="31:36">
      <c r="AE2948" s="15" t="str">
        <f t="shared" si="0"/>
        <v/>
      </c>
      <c r="AF2948" s="15" t="str">
        <f t="shared" si="1"/>
        <v/>
      </c>
      <c r="AG2948" s="15" t="str">
        <f>IF(OR(AF2948="",AF2948="ERRO_CHAVE"),"",IFERROR(MATCH(AF2948,'quitado Despesa'!$V$1:$V$12,0),""))</f>
        <v/>
      </c>
      <c r="AH2948" s="15" t="str">
        <f t="shared" si="2"/>
        <v/>
      </c>
      <c r="AI2948" s="17" t="str">
        <f>IF(AG2948="","",INDEX('quitado Despesa'!$G$1:$G$12,AG2948))</f>
        <v/>
      </c>
      <c r="AJ2948" s="17" t="str">
        <f t="shared" si="3"/>
        <v/>
      </c>
    </row>
    <row r="2949" spans="31:36">
      <c r="AE2949" s="15" t="str">
        <f t="shared" si="0"/>
        <v/>
      </c>
      <c r="AF2949" s="15" t="str">
        <f t="shared" si="1"/>
        <v/>
      </c>
      <c r="AG2949" s="15" t="str">
        <f>IF(OR(AF2949="",AF2949="ERRO_CHAVE"),"",IFERROR(MATCH(AF2949,'quitado Despesa'!$V$1:$V$12,0),""))</f>
        <v/>
      </c>
      <c r="AH2949" s="15" t="str">
        <f t="shared" si="2"/>
        <v/>
      </c>
      <c r="AI2949" s="17" t="str">
        <f>IF(AG2949="","",INDEX('quitado Despesa'!$G$1:$G$12,AG2949))</f>
        <v/>
      </c>
      <c r="AJ2949" s="17" t="str">
        <f t="shared" si="3"/>
        <v/>
      </c>
    </row>
    <row r="2950" spans="31:36">
      <c r="AE2950" s="15" t="str">
        <f t="shared" si="0"/>
        <v/>
      </c>
      <c r="AF2950" s="15" t="str">
        <f t="shared" si="1"/>
        <v/>
      </c>
      <c r="AG2950" s="15" t="str">
        <f>IF(OR(AF2950="",AF2950="ERRO_CHAVE"),"",IFERROR(MATCH(AF2950,'quitado Despesa'!$V$1:$V$12,0),""))</f>
        <v/>
      </c>
      <c r="AH2950" s="15" t="str">
        <f t="shared" si="2"/>
        <v/>
      </c>
      <c r="AI2950" s="17" t="str">
        <f>IF(AG2950="","",INDEX('quitado Despesa'!$G$1:$G$12,AG2950))</f>
        <v/>
      </c>
      <c r="AJ2950" s="17" t="str">
        <f t="shared" si="3"/>
        <v/>
      </c>
    </row>
    <row r="2951" spans="31:36">
      <c r="AE2951" s="15" t="str">
        <f t="shared" si="0"/>
        <v/>
      </c>
      <c r="AF2951" s="15" t="str">
        <f t="shared" si="1"/>
        <v/>
      </c>
      <c r="AG2951" s="15" t="str">
        <f>IF(OR(AF2951="",AF2951="ERRO_CHAVE"),"",IFERROR(MATCH(AF2951,'quitado Despesa'!$V$1:$V$12,0),""))</f>
        <v/>
      </c>
      <c r="AH2951" s="15" t="str">
        <f t="shared" si="2"/>
        <v/>
      </c>
      <c r="AI2951" s="17" t="str">
        <f>IF(AG2951="","",INDEX('quitado Despesa'!$G$1:$G$12,AG2951))</f>
        <v/>
      </c>
      <c r="AJ2951" s="17" t="str">
        <f t="shared" si="3"/>
        <v/>
      </c>
    </row>
    <row r="2952" spans="31:36">
      <c r="AE2952" s="15" t="str">
        <f t="shared" si="0"/>
        <v/>
      </c>
      <c r="AF2952" s="15" t="str">
        <f t="shared" si="1"/>
        <v/>
      </c>
      <c r="AG2952" s="15" t="str">
        <f>IF(OR(AF2952="",AF2952="ERRO_CHAVE"),"",IFERROR(MATCH(AF2952,'quitado Despesa'!$V$1:$V$12,0),""))</f>
        <v/>
      </c>
      <c r="AH2952" s="15" t="str">
        <f t="shared" si="2"/>
        <v/>
      </c>
      <c r="AI2952" s="17" t="str">
        <f>IF(AG2952="","",INDEX('quitado Despesa'!$G$1:$G$12,AG2952))</f>
        <v/>
      </c>
      <c r="AJ2952" s="17" t="str">
        <f t="shared" si="3"/>
        <v/>
      </c>
    </row>
    <row r="2953" spans="31:36">
      <c r="AE2953" s="15" t="str">
        <f t="shared" si="0"/>
        <v/>
      </c>
      <c r="AF2953" s="15" t="str">
        <f t="shared" si="1"/>
        <v/>
      </c>
      <c r="AG2953" s="15" t="str">
        <f>IF(OR(AF2953="",AF2953="ERRO_CHAVE"),"",IFERROR(MATCH(AF2953,'quitado Despesa'!$V$1:$V$12,0),""))</f>
        <v/>
      </c>
      <c r="AH2953" s="15" t="str">
        <f t="shared" si="2"/>
        <v/>
      </c>
      <c r="AI2953" s="17" t="str">
        <f>IF(AG2953="","",INDEX('quitado Despesa'!$G$1:$G$12,AG2953))</f>
        <v/>
      </c>
      <c r="AJ2953" s="17" t="str">
        <f t="shared" si="3"/>
        <v/>
      </c>
    </row>
    <row r="2954" spans="31:36">
      <c r="AE2954" s="15" t="str">
        <f t="shared" si="0"/>
        <v/>
      </c>
      <c r="AF2954" s="15" t="str">
        <f t="shared" si="1"/>
        <v/>
      </c>
      <c r="AG2954" s="15" t="str">
        <f>IF(OR(AF2954="",AF2954="ERRO_CHAVE"),"",IFERROR(MATCH(AF2954,'quitado Despesa'!$V$1:$V$12,0),""))</f>
        <v/>
      </c>
      <c r="AH2954" s="15" t="str">
        <f t="shared" si="2"/>
        <v/>
      </c>
      <c r="AI2954" s="17" t="str">
        <f>IF(AG2954="","",INDEX('quitado Despesa'!$G$1:$G$12,AG2954))</f>
        <v/>
      </c>
      <c r="AJ2954" s="17" t="str">
        <f t="shared" si="3"/>
        <v/>
      </c>
    </row>
    <row r="2955" spans="31:36">
      <c r="AE2955" s="15" t="str">
        <f t="shared" si="0"/>
        <v/>
      </c>
      <c r="AF2955" s="15" t="str">
        <f t="shared" si="1"/>
        <v/>
      </c>
      <c r="AG2955" s="15" t="str">
        <f>IF(OR(AF2955="",AF2955="ERRO_CHAVE"),"",IFERROR(MATCH(AF2955,'quitado Despesa'!$V$1:$V$12,0),""))</f>
        <v/>
      </c>
      <c r="AH2955" s="15" t="str">
        <f t="shared" si="2"/>
        <v/>
      </c>
      <c r="AI2955" s="17" t="str">
        <f>IF(AG2955="","",INDEX('quitado Despesa'!$G$1:$G$12,AG2955))</f>
        <v/>
      </c>
      <c r="AJ2955" s="17" t="str">
        <f t="shared" si="3"/>
        <v/>
      </c>
    </row>
    <row r="2956" spans="31:36">
      <c r="AE2956" s="15" t="str">
        <f t="shared" si="0"/>
        <v/>
      </c>
      <c r="AF2956" s="15" t="str">
        <f t="shared" si="1"/>
        <v/>
      </c>
      <c r="AG2956" s="15" t="str">
        <f>IF(OR(AF2956="",AF2956="ERRO_CHAVE"),"",IFERROR(MATCH(AF2956,'quitado Despesa'!$V$1:$V$12,0),""))</f>
        <v/>
      </c>
      <c r="AH2956" s="15" t="str">
        <f t="shared" si="2"/>
        <v/>
      </c>
      <c r="AI2956" s="17" t="str">
        <f>IF(AG2956="","",INDEX('quitado Despesa'!$G$1:$G$12,AG2956))</f>
        <v/>
      </c>
      <c r="AJ2956" s="17" t="str">
        <f t="shared" si="3"/>
        <v/>
      </c>
    </row>
    <row r="2957" spans="31:36">
      <c r="AE2957" s="15" t="str">
        <f t="shared" si="0"/>
        <v/>
      </c>
      <c r="AF2957" s="15" t="str">
        <f t="shared" si="1"/>
        <v/>
      </c>
      <c r="AG2957" s="15" t="str">
        <f>IF(OR(AF2957="",AF2957="ERRO_CHAVE"),"",IFERROR(MATCH(AF2957,'quitado Despesa'!$V$1:$V$12,0),""))</f>
        <v/>
      </c>
      <c r="AH2957" s="15" t="str">
        <f t="shared" si="2"/>
        <v/>
      </c>
      <c r="AI2957" s="17" t="str">
        <f>IF(AG2957="","",INDEX('quitado Despesa'!$G$1:$G$12,AG2957))</f>
        <v/>
      </c>
      <c r="AJ2957" s="17" t="str">
        <f t="shared" si="3"/>
        <v/>
      </c>
    </row>
    <row r="2958" spans="31:36">
      <c r="AE2958" s="15" t="str">
        <f t="shared" si="0"/>
        <v/>
      </c>
      <c r="AF2958" s="15" t="str">
        <f t="shared" si="1"/>
        <v/>
      </c>
      <c r="AG2958" s="15" t="str">
        <f>IF(OR(AF2958="",AF2958="ERRO_CHAVE"),"",IFERROR(MATCH(AF2958,'quitado Despesa'!$V$1:$V$12,0),""))</f>
        <v/>
      </c>
      <c r="AH2958" s="15" t="str">
        <f t="shared" si="2"/>
        <v/>
      </c>
      <c r="AI2958" s="17" t="str">
        <f>IF(AG2958="","",INDEX('quitado Despesa'!$G$1:$G$12,AG2958))</f>
        <v/>
      </c>
      <c r="AJ2958" s="17" t="str">
        <f t="shared" si="3"/>
        <v/>
      </c>
    </row>
    <row r="2959" spans="31:36">
      <c r="AE2959" s="15" t="str">
        <f t="shared" si="0"/>
        <v/>
      </c>
      <c r="AF2959" s="15" t="str">
        <f t="shared" si="1"/>
        <v/>
      </c>
      <c r="AG2959" s="15" t="str">
        <f>IF(OR(AF2959="",AF2959="ERRO_CHAVE"),"",IFERROR(MATCH(AF2959,'quitado Despesa'!$V$1:$V$12,0),""))</f>
        <v/>
      </c>
      <c r="AH2959" s="15" t="str">
        <f t="shared" si="2"/>
        <v/>
      </c>
      <c r="AI2959" s="17" t="str">
        <f>IF(AG2959="","",INDEX('quitado Despesa'!$G$1:$G$12,AG2959))</f>
        <v/>
      </c>
      <c r="AJ2959" s="17" t="str">
        <f t="shared" si="3"/>
        <v/>
      </c>
    </row>
    <row r="2960" spans="31:36">
      <c r="AE2960" s="15" t="str">
        <f t="shared" si="0"/>
        <v/>
      </c>
      <c r="AF2960" s="15" t="str">
        <f t="shared" si="1"/>
        <v/>
      </c>
      <c r="AG2960" s="15" t="str">
        <f>IF(OR(AF2960="",AF2960="ERRO_CHAVE"),"",IFERROR(MATCH(AF2960,'quitado Despesa'!$V$1:$V$12,0),""))</f>
        <v/>
      </c>
      <c r="AH2960" s="15" t="str">
        <f t="shared" si="2"/>
        <v/>
      </c>
      <c r="AI2960" s="17" t="str">
        <f>IF(AG2960="","",INDEX('quitado Despesa'!$G$1:$G$12,AG2960))</f>
        <v/>
      </c>
      <c r="AJ2960" s="17" t="str">
        <f t="shared" si="3"/>
        <v/>
      </c>
    </row>
    <row r="2961" spans="31:36">
      <c r="AE2961" s="15" t="str">
        <f t="shared" si="0"/>
        <v/>
      </c>
      <c r="AF2961" s="15" t="str">
        <f t="shared" si="1"/>
        <v/>
      </c>
      <c r="AG2961" s="15" t="str">
        <f>IF(OR(AF2961="",AF2961="ERRO_CHAVE"),"",IFERROR(MATCH(AF2961,'quitado Despesa'!$V$1:$V$12,0),""))</f>
        <v/>
      </c>
      <c r="AH2961" s="15" t="str">
        <f t="shared" si="2"/>
        <v/>
      </c>
      <c r="AI2961" s="17" t="str">
        <f>IF(AG2961="","",INDEX('quitado Despesa'!$G$1:$G$12,AG2961))</f>
        <v/>
      </c>
      <c r="AJ2961" s="17" t="str">
        <f t="shared" si="3"/>
        <v/>
      </c>
    </row>
    <row r="2962" spans="31:36">
      <c r="AE2962" s="15" t="str">
        <f t="shared" si="0"/>
        <v/>
      </c>
      <c r="AF2962" s="15" t="str">
        <f t="shared" si="1"/>
        <v/>
      </c>
      <c r="AG2962" s="15" t="str">
        <f>IF(OR(AF2962="",AF2962="ERRO_CHAVE"),"",IFERROR(MATCH(AF2962,'quitado Despesa'!$V$1:$V$12,0),""))</f>
        <v/>
      </c>
      <c r="AH2962" s="15" t="str">
        <f t="shared" si="2"/>
        <v/>
      </c>
      <c r="AI2962" s="17" t="str">
        <f>IF(AG2962="","",INDEX('quitado Despesa'!$G$1:$G$12,AG2962))</f>
        <v/>
      </c>
      <c r="AJ2962" s="17" t="str">
        <f t="shared" si="3"/>
        <v/>
      </c>
    </row>
    <row r="2963" spans="31:36">
      <c r="AE2963" s="15" t="str">
        <f t="shared" si="0"/>
        <v/>
      </c>
      <c r="AF2963" s="15" t="str">
        <f t="shared" si="1"/>
        <v/>
      </c>
      <c r="AG2963" s="15" t="str">
        <f>IF(OR(AF2963="",AF2963="ERRO_CHAVE"),"",IFERROR(MATCH(AF2963,'quitado Despesa'!$V$1:$V$12,0),""))</f>
        <v/>
      </c>
      <c r="AH2963" s="15" t="str">
        <f t="shared" si="2"/>
        <v/>
      </c>
      <c r="AI2963" s="17" t="str">
        <f>IF(AG2963="","",INDEX('quitado Despesa'!$G$1:$G$12,AG2963))</f>
        <v/>
      </c>
      <c r="AJ2963" s="17" t="str">
        <f t="shared" si="3"/>
        <v/>
      </c>
    </row>
    <row r="2964" spans="31:36">
      <c r="AE2964" s="15" t="str">
        <f t="shared" si="0"/>
        <v/>
      </c>
      <c r="AF2964" s="15" t="str">
        <f t="shared" si="1"/>
        <v/>
      </c>
      <c r="AG2964" s="15" t="str">
        <f>IF(OR(AF2964="",AF2964="ERRO_CHAVE"),"",IFERROR(MATCH(AF2964,'quitado Despesa'!$V$1:$V$12,0),""))</f>
        <v/>
      </c>
      <c r="AH2964" s="15" t="str">
        <f t="shared" si="2"/>
        <v/>
      </c>
      <c r="AI2964" s="17" t="str">
        <f>IF(AG2964="","",INDEX('quitado Despesa'!$G$1:$G$12,AG2964))</f>
        <v/>
      </c>
      <c r="AJ2964" s="17" t="str">
        <f t="shared" si="3"/>
        <v/>
      </c>
    </row>
    <row r="2965" spans="31:36">
      <c r="AE2965" s="15" t="str">
        <f t="shared" si="0"/>
        <v/>
      </c>
      <c r="AF2965" s="15" t="str">
        <f t="shared" si="1"/>
        <v/>
      </c>
      <c r="AG2965" s="15" t="str">
        <f>IF(OR(AF2965="",AF2965="ERRO_CHAVE"),"",IFERROR(MATCH(AF2965,'quitado Despesa'!$V$1:$V$12,0),""))</f>
        <v/>
      </c>
      <c r="AH2965" s="15" t="str">
        <f t="shared" si="2"/>
        <v/>
      </c>
      <c r="AI2965" s="17" t="str">
        <f>IF(AG2965="","",INDEX('quitado Despesa'!$G$1:$G$12,AG2965))</f>
        <v/>
      </c>
      <c r="AJ2965" s="17" t="str">
        <f t="shared" si="3"/>
        <v/>
      </c>
    </row>
    <row r="2966" spans="31:36">
      <c r="AE2966" s="15" t="str">
        <f t="shared" si="0"/>
        <v/>
      </c>
      <c r="AF2966" s="15" t="str">
        <f t="shared" si="1"/>
        <v/>
      </c>
      <c r="AG2966" s="15" t="str">
        <f>IF(OR(AF2966="",AF2966="ERRO_CHAVE"),"",IFERROR(MATCH(AF2966,'quitado Despesa'!$V$1:$V$12,0),""))</f>
        <v/>
      </c>
      <c r="AH2966" s="15" t="str">
        <f t="shared" si="2"/>
        <v/>
      </c>
      <c r="AI2966" s="17" t="str">
        <f>IF(AG2966="","",INDEX('quitado Despesa'!$G$1:$G$12,AG2966))</f>
        <v/>
      </c>
      <c r="AJ2966" s="17" t="str">
        <f t="shared" si="3"/>
        <v/>
      </c>
    </row>
    <row r="2967" spans="31:36">
      <c r="AE2967" s="15" t="str">
        <f t="shared" si="0"/>
        <v/>
      </c>
      <c r="AF2967" s="15" t="str">
        <f t="shared" si="1"/>
        <v/>
      </c>
      <c r="AG2967" s="15" t="str">
        <f>IF(OR(AF2967="",AF2967="ERRO_CHAVE"),"",IFERROR(MATCH(AF2967,'quitado Despesa'!$V$1:$V$12,0),""))</f>
        <v/>
      </c>
      <c r="AH2967" s="15" t="str">
        <f t="shared" si="2"/>
        <v/>
      </c>
      <c r="AI2967" s="17" t="str">
        <f>IF(AG2967="","",INDEX('quitado Despesa'!$G$1:$G$12,AG2967))</f>
        <v/>
      </c>
      <c r="AJ2967" s="17" t="str">
        <f t="shared" si="3"/>
        <v/>
      </c>
    </row>
    <row r="2968" spans="31:36">
      <c r="AE2968" s="15" t="str">
        <f t="shared" si="0"/>
        <v/>
      </c>
      <c r="AF2968" s="15" t="str">
        <f t="shared" si="1"/>
        <v/>
      </c>
      <c r="AG2968" s="15" t="str">
        <f>IF(OR(AF2968="",AF2968="ERRO_CHAVE"),"",IFERROR(MATCH(AF2968,'quitado Despesa'!$V$1:$V$12,0),""))</f>
        <v/>
      </c>
      <c r="AH2968" s="15" t="str">
        <f t="shared" si="2"/>
        <v/>
      </c>
      <c r="AI2968" s="17" t="str">
        <f>IF(AG2968="","",INDEX('quitado Despesa'!$G$1:$G$12,AG2968))</f>
        <v/>
      </c>
      <c r="AJ2968" s="17" t="str">
        <f t="shared" si="3"/>
        <v/>
      </c>
    </row>
    <row r="2969" spans="31:36">
      <c r="AE2969" s="15" t="str">
        <f t="shared" si="0"/>
        <v/>
      </c>
      <c r="AF2969" s="15" t="str">
        <f t="shared" si="1"/>
        <v/>
      </c>
      <c r="AG2969" s="15" t="str">
        <f>IF(OR(AF2969="",AF2969="ERRO_CHAVE"),"",IFERROR(MATCH(AF2969,'quitado Despesa'!$V$1:$V$12,0),""))</f>
        <v/>
      </c>
      <c r="AH2969" s="15" t="str">
        <f t="shared" si="2"/>
        <v/>
      </c>
      <c r="AI2969" s="17" t="str">
        <f>IF(AG2969="","",INDEX('quitado Despesa'!$G$1:$G$12,AG2969))</f>
        <v/>
      </c>
      <c r="AJ2969" s="17" t="str">
        <f t="shared" si="3"/>
        <v/>
      </c>
    </row>
    <row r="2970" spans="31:36">
      <c r="AE2970" s="15" t="str">
        <f t="shared" si="0"/>
        <v/>
      </c>
      <c r="AF2970" s="15" t="str">
        <f t="shared" si="1"/>
        <v/>
      </c>
      <c r="AG2970" s="15" t="str">
        <f>IF(OR(AF2970="",AF2970="ERRO_CHAVE"),"",IFERROR(MATCH(AF2970,'quitado Despesa'!$V$1:$V$12,0),""))</f>
        <v/>
      </c>
      <c r="AH2970" s="15" t="str">
        <f t="shared" si="2"/>
        <v/>
      </c>
      <c r="AI2970" s="17" t="str">
        <f>IF(AG2970="","",INDEX('quitado Despesa'!$G$1:$G$12,AG2970))</f>
        <v/>
      </c>
      <c r="AJ2970" s="17" t="str">
        <f t="shared" si="3"/>
        <v/>
      </c>
    </row>
    <row r="2971" spans="31:36">
      <c r="AE2971" s="15" t="str">
        <f t="shared" si="0"/>
        <v/>
      </c>
      <c r="AF2971" s="15" t="str">
        <f t="shared" si="1"/>
        <v/>
      </c>
      <c r="AG2971" s="15" t="str">
        <f>IF(OR(AF2971="",AF2971="ERRO_CHAVE"),"",IFERROR(MATCH(AF2971,'quitado Despesa'!$V$1:$V$12,0),""))</f>
        <v/>
      </c>
      <c r="AH2971" s="15" t="str">
        <f t="shared" si="2"/>
        <v/>
      </c>
      <c r="AI2971" s="17" t="str">
        <f>IF(AG2971="","",INDEX('quitado Despesa'!$G$1:$G$12,AG2971))</f>
        <v/>
      </c>
      <c r="AJ2971" s="17" t="str">
        <f t="shared" si="3"/>
        <v/>
      </c>
    </row>
    <row r="2972" spans="31:36">
      <c r="AE2972" s="15" t="str">
        <f t="shared" si="0"/>
        <v/>
      </c>
      <c r="AF2972" s="15" t="str">
        <f t="shared" si="1"/>
        <v/>
      </c>
      <c r="AG2972" s="15" t="str">
        <f>IF(OR(AF2972="",AF2972="ERRO_CHAVE"),"",IFERROR(MATCH(AF2972,'quitado Despesa'!$V$1:$V$12,0),""))</f>
        <v/>
      </c>
      <c r="AH2972" s="15" t="str">
        <f t="shared" si="2"/>
        <v/>
      </c>
      <c r="AI2972" s="17" t="str">
        <f>IF(AG2972="","",INDEX('quitado Despesa'!$G$1:$G$12,AG2972))</f>
        <v/>
      </c>
      <c r="AJ2972" s="17" t="str">
        <f t="shared" si="3"/>
        <v/>
      </c>
    </row>
    <row r="2973" spans="31:36">
      <c r="AE2973" s="15" t="str">
        <f t="shared" si="0"/>
        <v/>
      </c>
      <c r="AF2973" s="15" t="str">
        <f t="shared" si="1"/>
        <v/>
      </c>
      <c r="AG2973" s="15" t="str">
        <f>IF(OR(AF2973="",AF2973="ERRO_CHAVE"),"",IFERROR(MATCH(AF2973,'quitado Despesa'!$V$1:$V$12,0),""))</f>
        <v/>
      </c>
      <c r="AH2973" s="15" t="str">
        <f t="shared" si="2"/>
        <v/>
      </c>
      <c r="AI2973" s="17" t="str">
        <f>IF(AG2973="","",INDEX('quitado Despesa'!$G$1:$G$12,AG2973))</f>
        <v/>
      </c>
      <c r="AJ2973" s="17" t="str">
        <f t="shared" si="3"/>
        <v/>
      </c>
    </row>
    <row r="2974" spans="31:36">
      <c r="AE2974" s="15" t="str">
        <f t="shared" si="0"/>
        <v/>
      </c>
      <c r="AF2974" s="15" t="str">
        <f t="shared" si="1"/>
        <v/>
      </c>
      <c r="AG2974" s="15" t="str">
        <f>IF(OR(AF2974="",AF2974="ERRO_CHAVE"),"",IFERROR(MATCH(AF2974,'quitado Despesa'!$V$1:$V$12,0),""))</f>
        <v/>
      </c>
      <c r="AH2974" s="15" t="str">
        <f t="shared" si="2"/>
        <v/>
      </c>
      <c r="AI2974" s="17" t="str">
        <f>IF(AG2974="","",INDEX('quitado Despesa'!$G$1:$G$12,AG2974))</f>
        <v/>
      </c>
      <c r="AJ2974" s="17" t="str">
        <f t="shared" si="3"/>
        <v/>
      </c>
    </row>
    <row r="2975" spans="31:36">
      <c r="AE2975" s="15" t="str">
        <f t="shared" si="0"/>
        <v/>
      </c>
      <c r="AF2975" s="15" t="str">
        <f t="shared" si="1"/>
        <v/>
      </c>
      <c r="AG2975" s="15" t="str">
        <f>IF(OR(AF2975="",AF2975="ERRO_CHAVE"),"",IFERROR(MATCH(AF2975,'quitado Despesa'!$V$1:$V$12,0),""))</f>
        <v/>
      </c>
      <c r="AH2975" s="15" t="str">
        <f t="shared" si="2"/>
        <v/>
      </c>
      <c r="AI2975" s="17" t="str">
        <f>IF(AG2975="","",INDEX('quitado Despesa'!$G$1:$G$12,AG2975))</f>
        <v/>
      </c>
      <c r="AJ2975" s="17" t="str">
        <f t="shared" si="3"/>
        <v/>
      </c>
    </row>
    <row r="2976" spans="31:36">
      <c r="AE2976" s="15" t="str">
        <f t="shared" si="0"/>
        <v/>
      </c>
      <c r="AF2976" s="15" t="str">
        <f t="shared" si="1"/>
        <v/>
      </c>
      <c r="AG2976" s="15" t="str">
        <f>IF(OR(AF2976="",AF2976="ERRO_CHAVE"),"",IFERROR(MATCH(AF2976,'quitado Despesa'!$V$1:$V$12,0),""))</f>
        <v/>
      </c>
      <c r="AH2976" s="15" t="str">
        <f t="shared" si="2"/>
        <v/>
      </c>
      <c r="AI2976" s="17" t="str">
        <f>IF(AG2976="","",INDEX('quitado Despesa'!$G$1:$G$12,AG2976))</f>
        <v/>
      </c>
      <c r="AJ2976" s="17" t="str">
        <f t="shared" si="3"/>
        <v/>
      </c>
    </row>
    <row r="2977" spans="31:36">
      <c r="AE2977" s="15" t="str">
        <f t="shared" si="0"/>
        <v/>
      </c>
      <c r="AF2977" s="15" t="str">
        <f t="shared" si="1"/>
        <v/>
      </c>
      <c r="AG2977" s="15" t="str">
        <f>IF(OR(AF2977="",AF2977="ERRO_CHAVE"),"",IFERROR(MATCH(AF2977,'quitado Despesa'!$V$1:$V$12,0),""))</f>
        <v/>
      </c>
      <c r="AH2977" s="15" t="str">
        <f t="shared" si="2"/>
        <v/>
      </c>
      <c r="AI2977" s="17" t="str">
        <f>IF(AG2977="","",INDEX('quitado Despesa'!$G$1:$G$12,AG2977))</f>
        <v/>
      </c>
      <c r="AJ2977" s="17" t="str">
        <f t="shared" si="3"/>
        <v/>
      </c>
    </row>
    <row r="2978" spans="31:36">
      <c r="AE2978" s="15" t="str">
        <f t="shared" si="0"/>
        <v/>
      </c>
      <c r="AF2978" s="15" t="str">
        <f t="shared" si="1"/>
        <v/>
      </c>
      <c r="AG2978" s="15" t="str">
        <f>IF(OR(AF2978="",AF2978="ERRO_CHAVE"),"",IFERROR(MATCH(AF2978,'quitado Despesa'!$V$1:$V$12,0),""))</f>
        <v/>
      </c>
      <c r="AH2978" s="15" t="str">
        <f t="shared" si="2"/>
        <v/>
      </c>
      <c r="AI2978" s="17" t="str">
        <f>IF(AG2978="","",INDEX('quitado Despesa'!$G$1:$G$12,AG2978))</f>
        <v/>
      </c>
      <c r="AJ2978" s="17" t="str">
        <f t="shared" si="3"/>
        <v/>
      </c>
    </row>
    <row r="2979" spans="31:36">
      <c r="AE2979" s="15" t="str">
        <f t="shared" si="0"/>
        <v/>
      </c>
      <c r="AF2979" s="15" t="str">
        <f t="shared" si="1"/>
        <v/>
      </c>
      <c r="AG2979" s="15" t="str">
        <f>IF(OR(AF2979="",AF2979="ERRO_CHAVE"),"",IFERROR(MATCH(AF2979,'quitado Despesa'!$V$1:$V$12,0),""))</f>
        <v/>
      </c>
      <c r="AH2979" s="15" t="str">
        <f t="shared" si="2"/>
        <v/>
      </c>
      <c r="AI2979" s="17" t="str">
        <f>IF(AG2979="","",INDEX('quitado Despesa'!$G$1:$G$12,AG2979))</f>
        <v/>
      </c>
      <c r="AJ2979" s="17" t="str">
        <f t="shared" si="3"/>
        <v/>
      </c>
    </row>
    <row r="2980" spans="31:36">
      <c r="AE2980" s="15" t="str">
        <f t="shared" si="0"/>
        <v/>
      </c>
      <c r="AF2980" s="15" t="str">
        <f t="shared" si="1"/>
        <v/>
      </c>
      <c r="AG2980" s="15" t="str">
        <f>IF(OR(AF2980="",AF2980="ERRO_CHAVE"),"",IFERROR(MATCH(AF2980,'quitado Despesa'!$V$1:$V$12,0),""))</f>
        <v/>
      </c>
      <c r="AH2980" s="15" t="str">
        <f t="shared" si="2"/>
        <v/>
      </c>
      <c r="AI2980" s="17" t="str">
        <f>IF(AG2980="","",INDEX('quitado Despesa'!$G$1:$G$12,AG2980))</f>
        <v/>
      </c>
      <c r="AJ2980" s="17" t="str">
        <f t="shared" si="3"/>
        <v/>
      </c>
    </row>
    <row r="2981" spans="31:36">
      <c r="AE2981" s="15" t="str">
        <f t="shared" si="0"/>
        <v/>
      </c>
      <c r="AF2981" s="15" t="str">
        <f t="shared" si="1"/>
        <v/>
      </c>
      <c r="AG2981" s="15" t="str">
        <f>IF(OR(AF2981="",AF2981="ERRO_CHAVE"),"",IFERROR(MATCH(AF2981,'quitado Despesa'!$V$1:$V$12,0),""))</f>
        <v/>
      </c>
      <c r="AH2981" s="15" t="str">
        <f t="shared" si="2"/>
        <v/>
      </c>
      <c r="AI2981" s="17" t="str">
        <f>IF(AG2981="","",INDEX('quitado Despesa'!$G$1:$G$12,AG2981))</f>
        <v/>
      </c>
      <c r="AJ2981" s="17" t="str">
        <f t="shared" si="3"/>
        <v/>
      </c>
    </row>
    <row r="2982" spans="31:36">
      <c r="AE2982" s="15" t="str">
        <f t="shared" si="0"/>
        <v/>
      </c>
      <c r="AF2982" s="15" t="str">
        <f t="shared" si="1"/>
        <v/>
      </c>
      <c r="AG2982" s="15" t="str">
        <f>IF(OR(AF2982="",AF2982="ERRO_CHAVE"),"",IFERROR(MATCH(AF2982,'quitado Despesa'!$V$1:$V$12,0),""))</f>
        <v/>
      </c>
      <c r="AH2982" s="15" t="str">
        <f t="shared" si="2"/>
        <v/>
      </c>
      <c r="AI2982" s="17" t="str">
        <f>IF(AG2982="","",INDEX('quitado Despesa'!$G$1:$G$12,AG2982))</f>
        <v/>
      </c>
      <c r="AJ2982" s="17" t="str">
        <f t="shared" si="3"/>
        <v/>
      </c>
    </row>
    <row r="2983" spans="31:36">
      <c r="AE2983" s="15" t="str">
        <f t="shared" si="0"/>
        <v/>
      </c>
      <c r="AF2983" s="15" t="str">
        <f t="shared" si="1"/>
        <v/>
      </c>
      <c r="AG2983" s="15" t="str">
        <f>IF(OR(AF2983="",AF2983="ERRO_CHAVE"),"",IFERROR(MATCH(AF2983,'quitado Despesa'!$V$1:$V$12,0),""))</f>
        <v/>
      </c>
      <c r="AH2983" s="15" t="str">
        <f t="shared" si="2"/>
        <v/>
      </c>
      <c r="AI2983" s="17" t="str">
        <f>IF(AG2983="","",INDEX('quitado Despesa'!$G$1:$G$12,AG2983))</f>
        <v/>
      </c>
      <c r="AJ2983" s="17" t="str">
        <f t="shared" si="3"/>
        <v/>
      </c>
    </row>
    <row r="2984" spans="31:36">
      <c r="AE2984" s="15" t="str">
        <f t="shared" si="0"/>
        <v/>
      </c>
      <c r="AF2984" s="15" t="str">
        <f t="shared" si="1"/>
        <v/>
      </c>
      <c r="AG2984" s="15" t="str">
        <f>IF(OR(AF2984="",AF2984="ERRO_CHAVE"),"",IFERROR(MATCH(AF2984,'quitado Despesa'!$V$1:$V$12,0),""))</f>
        <v/>
      </c>
      <c r="AH2984" s="15" t="str">
        <f t="shared" si="2"/>
        <v/>
      </c>
      <c r="AI2984" s="17" t="str">
        <f>IF(AG2984="","",INDEX('quitado Despesa'!$G$1:$G$12,AG2984))</f>
        <v/>
      </c>
      <c r="AJ2984" s="17" t="str">
        <f t="shared" si="3"/>
        <v/>
      </c>
    </row>
    <row r="2985" spans="31:36">
      <c r="AE2985" s="15" t="str">
        <f t="shared" si="0"/>
        <v/>
      </c>
      <c r="AF2985" s="15" t="str">
        <f t="shared" si="1"/>
        <v/>
      </c>
      <c r="AG2985" s="15" t="str">
        <f>IF(OR(AF2985="",AF2985="ERRO_CHAVE"),"",IFERROR(MATCH(AF2985,'quitado Despesa'!$V$1:$V$12,0),""))</f>
        <v/>
      </c>
      <c r="AH2985" s="15" t="str">
        <f t="shared" si="2"/>
        <v/>
      </c>
      <c r="AI2985" s="17" t="str">
        <f>IF(AG2985="","",INDEX('quitado Despesa'!$G$1:$G$12,AG2985))</f>
        <v/>
      </c>
      <c r="AJ2985" s="17" t="str">
        <f t="shared" si="3"/>
        <v/>
      </c>
    </row>
    <row r="2986" spans="31:36">
      <c r="AE2986" s="15" t="str">
        <f t="shared" si="0"/>
        <v/>
      </c>
      <c r="AF2986" s="15" t="str">
        <f t="shared" si="1"/>
        <v/>
      </c>
      <c r="AG2986" s="15" t="str">
        <f>IF(OR(AF2986="",AF2986="ERRO_CHAVE"),"",IFERROR(MATCH(AF2986,'quitado Despesa'!$V$1:$V$12,0),""))</f>
        <v/>
      </c>
      <c r="AH2986" s="15" t="str">
        <f t="shared" si="2"/>
        <v/>
      </c>
      <c r="AI2986" s="17" t="str">
        <f>IF(AG2986="","",INDEX('quitado Despesa'!$G$1:$G$12,AG2986))</f>
        <v/>
      </c>
      <c r="AJ2986" s="17" t="str">
        <f t="shared" si="3"/>
        <v/>
      </c>
    </row>
    <row r="2987" spans="31:36">
      <c r="AE2987" s="15" t="str">
        <f t="shared" si="0"/>
        <v/>
      </c>
      <c r="AF2987" s="15" t="str">
        <f t="shared" si="1"/>
        <v/>
      </c>
      <c r="AG2987" s="15" t="str">
        <f>IF(OR(AF2987="",AF2987="ERRO_CHAVE"),"",IFERROR(MATCH(AF2987,'quitado Despesa'!$V$1:$V$12,0),""))</f>
        <v/>
      </c>
      <c r="AH2987" s="15" t="str">
        <f t="shared" si="2"/>
        <v/>
      </c>
      <c r="AI2987" s="17" t="str">
        <f>IF(AG2987="","",INDEX('quitado Despesa'!$G$1:$G$12,AG2987))</f>
        <v/>
      </c>
      <c r="AJ2987" s="17" t="str">
        <f t="shared" si="3"/>
        <v/>
      </c>
    </row>
    <row r="2988" spans="31:36">
      <c r="AE2988" s="15" t="str">
        <f t="shared" si="0"/>
        <v/>
      </c>
      <c r="AF2988" s="15" t="str">
        <f t="shared" si="1"/>
        <v/>
      </c>
      <c r="AG2988" s="15" t="str">
        <f>IF(OR(AF2988="",AF2988="ERRO_CHAVE"),"",IFERROR(MATCH(AF2988,'quitado Despesa'!$V$1:$V$12,0),""))</f>
        <v/>
      </c>
      <c r="AH2988" s="15" t="str">
        <f t="shared" si="2"/>
        <v/>
      </c>
      <c r="AI2988" s="17" t="str">
        <f>IF(AG2988="","",INDEX('quitado Despesa'!$G$1:$G$12,AG2988))</f>
        <v/>
      </c>
      <c r="AJ2988" s="17" t="str">
        <f t="shared" si="3"/>
        <v/>
      </c>
    </row>
    <row r="2989" spans="31:36">
      <c r="AE2989" s="15" t="str">
        <f t="shared" si="0"/>
        <v/>
      </c>
      <c r="AF2989" s="15" t="str">
        <f t="shared" si="1"/>
        <v/>
      </c>
      <c r="AG2989" s="15" t="str">
        <f>IF(OR(AF2989="",AF2989="ERRO_CHAVE"),"",IFERROR(MATCH(AF2989,'quitado Despesa'!$V$1:$V$12,0),""))</f>
        <v/>
      </c>
      <c r="AH2989" s="15" t="str">
        <f t="shared" si="2"/>
        <v/>
      </c>
      <c r="AI2989" s="17" t="str">
        <f>IF(AG2989="","",INDEX('quitado Despesa'!$G$1:$G$12,AG2989))</f>
        <v/>
      </c>
      <c r="AJ2989" s="17" t="str">
        <f t="shared" si="3"/>
        <v/>
      </c>
    </row>
    <row r="2990" spans="31:36">
      <c r="AE2990" s="15" t="str">
        <f t="shared" si="0"/>
        <v/>
      </c>
      <c r="AF2990" s="15" t="str">
        <f t="shared" si="1"/>
        <v/>
      </c>
      <c r="AG2990" s="15" t="str">
        <f>IF(OR(AF2990="",AF2990="ERRO_CHAVE"),"",IFERROR(MATCH(AF2990,'quitado Despesa'!$V$1:$V$12,0),""))</f>
        <v/>
      </c>
      <c r="AH2990" s="15" t="str">
        <f t="shared" si="2"/>
        <v/>
      </c>
      <c r="AI2990" s="17" t="str">
        <f>IF(AG2990="","",INDEX('quitado Despesa'!$G$1:$G$12,AG2990))</f>
        <v/>
      </c>
      <c r="AJ2990" s="17" t="str">
        <f t="shared" si="3"/>
        <v/>
      </c>
    </row>
    <row r="2991" spans="31:36">
      <c r="AE2991" s="15" t="str">
        <f t="shared" si="0"/>
        <v/>
      </c>
      <c r="AF2991" s="15" t="str">
        <f t="shared" si="1"/>
        <v/>
      </c>
      <c r="AG2991" s="15" t="str">
        <f>IF(OR(AF2991="",AF2991="ERRO_CHAVE"),"",IFERROR(MATCH(AF2991,'quitado Despesa'!$V$1:$V$12,0),""))</f>
        <v/>
      </c>
      <c r="AH2991" s="15" t="str">
        <f t="shared" si="2"/>
        <v/>
      </c>
      <c r="AI2991" s="17" t="str">
        <f>IF(AG2991="","",INDEX('quitado Despesa'!$G$1:$G$12,AG2991))</f>
        <v/>
      </c>
      <c r="AJ2991" s="17" t="str">
        <f t="shared" si="3"/>
        <v/>
      </c>
    </row>
    <row r="2992" spans="31:36">
      <c r="AE2992" s="15" t="str">
        <f t="shared" si="0"/>
        <v/>
      </c>
      <c r="AF2992" s="15" t="str">
        <f t="shared" si="1"/>
        <v/>
      </c>
      <c r="AG2992" s="15" t="str">
        <f>IF(OR(AF2992="",AF2992="ERRO_CHAVE"),"",IFERROR(MATCH(AF2992,'quitado Despesa'!$V$1:$V$12,0),""))</f>
        <v/>
      </c>
      <c r="AH2992" s="15" t="str">
        <f t="shared" si="2"/>
        <v/>
      </c>
      <c r="AI2992" s="17" t="str">
        <f>IF(AG2992="","",INDEX('quitado Despesa'!$G$1:$G$12,AG2992))</f>
        <v/>
      </c>
      <c r="AJ2992" s="17" t="str">
        <f t="shared" si="3"/>
        <v/>
      </c>
    </row>
    <row r="2993" spans="31:36">
      <c r="AE2993" s="15" t="str">
        <f t="shared" si="0"/>
        <v/>
      </c>
      <c r="AF2993" s="15" t="str">
        <f t="shared" si="1"/>
        <v/>
      </c>
      <c r="AG2993" s="15" t="str">
        <f>IF(OR(AF2993="",AF2993="ERRO_CHAVE"),"",IFERROR(MATCH(AF2993,'quitado Despesa'!$V$1:$V$12,0),""))</f>
        <v/>
      </c>
      <c r="AH2993" s="15" t="str">
        <f t="shared" si="2"/>
        <v/>
      </c>
      <c r="AI2993" s="17" t="str">
        <f>IF(AG2993="","",INDEX('quitado Despesa'!$G$1:$G$12,AG2993))</f>
        <v/>
      </c>
      <c r="AJ2993" s="17" t="str">
        <f t="shared" si="3"/>
        <v/>
      </c>
    </row>
    <row r="2994" spans="31:36">
      <c r="AE2994" s="15" t="str">
        <f t="shared" si="0"/>
        <v/>
      </c>
      <c r="AF2994" s="15" t="str">
        <f t="shared" si="1"/>
        <v/>
      </c>
      <c r="AG2994" s="15" t="str">
        <f>IF(OR(AF2994="",AF2994="ERRO_CHAVE"),"",IFERROR(MATCH(AF2994,'quitado Despesa'!$V$1:$V$12,0),""))</f>
        <v/>
      </c>
      <c r="AH2994" s="15" t="str">
        <f t="shared" si="2"/>
        <v/>
      </c>
      <c r="AI2994" s="17" t="str">
        <f>IF(AG2994="","",INDEX('quitado Despesa'!$G$1:$G$12,AG2994))</f>
        <v/>
      </c>
      <c r="AJ2994" s="17" t="str">
        <f t="shared" si="3"/>
        <v/>
      </c>
    </row>
    <row r="2995" spans="31:36">
      <c r="AE2995" s="15" t="str">
        <f t="shared" si="0"/>
        <v/>
      </c>
      <c r="AF2995" s="15" t="str">
        <f t="shared" si="1"/>
        <v/>
      </c>
      <c r="AG2995" s="15" t="str">
        <f>IF(OR(AF2995="",AF2995="ERRO_CHAVE"),"",IFERROR(MATCH(AF2995,'quitado Despesa'!$V$1:$V$12,0),""))</f>
        <v/>
      </c>
      <c r="AH2995" s="15" t="str">
        <f t="shared" si="2"/>
        <v/>
      </c>
      <c r="AI2995" s="17" t="str">
        <f>IF(AG2995="","",INDEX('quitado Despesa'!$G$1:$G$12,AG2995))</f>
        <v/>
      </c>
      <c r="AJ2995" s="17" t="str">
        <f t="shared" si="3"/>
        <v/>
      </c>
    </row>
    <row r="2996" spans="31:36">
      <c r="AE2996" s="15" t="str">
        <f t="shared" si="0"/>
        <v/>
      </c>
      <c r="AF2996" s="15" t="str">
        <f t="shared" si="1"/>
        <v/>
      </c>
      <c r="AG2996" s="15" t="str">
        <f>IF(OR(AF2996="",AF2996="ERRO_CHAVE"),"",IFERROR(MATCH(AF2996,'quitado Despesa'!$V$1:$V$12,0),""))</f>
        <v/>
      </c>
      <c r="AH2996" s="15" t="str">
        <f t="shared" si="2"/>
        <v/>
      </c>
      <c r="AI2996" s="17" t="str">
        <f>IF(AG2996="","",INDEX('quitado Despesa'!$G$1:$G$12,AG2996))</f>
        <v/>
      </c>
      <c r="AJ2996" s="17" t="str">
        <f t="shared" si="3"/>
        <v/>
      </c>
    </row>
    <row r="2997" spans="31:36">
      <c r="AE2997" s="15" t="str">
        <f t="shared" si="0"/>
        <v/>
      </c>
      <c r="AF2997" s="15" t="str">
        <f t="shared" si="1"/>
        <v/>
      </c>
      <c r="AG2997" s="15" t="str">
        <f>IF(OR(AF2997="",AF2997="ERRO_CHAVE"),"",IFERROR(MATCH(AF2997,'quitado Despesa'!$V$1:$V$12,0),""))</f>
        <v/>
      </c>
      <c r="AH2997" s="15" t="str">
        <f t="shared" si="2"/>
        <v/>
      </c>
      <c r="AI2997" s="17" t="str">
        <f>IF(AG2997="","",INDEX('quitado Despesa'!$G$1:$G$12,AG2997))</f>
        <v/>
      </c>
      <c r="AJ2997" s="17" t="str">
        <f t="shared" si="3"/>
        <v/>
      </c>
    </row>
    <row r="2998" spans="31:36">
      <c r="AE2998" s="15" t="str">
        <f t="shared" si="0"/>
        <v/>
      </c>
      <c r="AF2998" s="15" t="str">
        <f t="shared" si="1"/>
        <v/>
      </c>
      <c r="AG2998" s="15" t="str">
        <f>IF(OR(AF2998="",AF2998="ERRO_CHAVE"),"",IFERROR(MATCH(AF2998,'quitado Despesa'!$V$1:$V$12,0),""))</f>
        <v/>
      </c>
      <c r="AH2998" s="15" t="str">
        <f t="shared" si="2"/>
        <v/>
      </c>
      <c r="AI2998" s="17" t="str">
        <f>IF(AG2998="","",INDEX('quitado Despesa'!$G$1:$G$12,AG2998))</f>
        <v/>
      </c>
      <c r="AJ2998" s="17" t="str">
        <f t="shared" si="3"/>
        <v/>
      </c>
    </row>
    <row r="2999" spans="31:36">
      <c r="AE2999" s="15" t="str">
        <f t="shared" si="0"/>
        <v/>
      </c>
      <c r="AF2999" s="15" t="str">
        <f t="shared" si="1"/>
        <v/>
      </c>
      <c r="AG2999" s="15" t="str">
        <f>IF(OR(AF2999="",AF2999="ERRO_CHAVE"),"",IFERROR(MATCH(AF2999,'quitado Despesa'!$V$1:$V$12,0),""))</f>
        <v/>
      </c>
      <c r="AH2999" s="15" t="str">
        <f t="shared" si="2"/>
        <v/>
      </c>
      <c r="AI2999" s="17" t="str">
        <f>IF(AG2999="","",INDEX('quitado Despesa'!$G$1:$G$12,AG2999))</f>
        <v/>
      </c>
      <c r="AJ2999" s="17" t="str">
        <f t="shared" si="3"/>
        <v/>
      </c>
    </row>
    <row r="3000" spans="31:36">
      <c r="AE3000" s="15" t="str">
        <f t="shared" si="0"/>
        <v/>
      </c>
      <c r="AF3000" s="15" t="str">
        <f t="shared" si="1"/>
        <v/>
      </c>
      <c r="AG3000" s="15" t="str">
        <f>IF(OR(AF3000="",AF3000="ERRO_CHAVE"),"",IFERROR(MATCH(AF3000,'quitado Despesa'!$V$1:$V$12,0),""))</f>
        <v/>
      </c>
      <c r="AH3000" s="15" t="str">
        <f t="shared" si="2"/>
        <v/>
      </c>
      <c r="AI3000" s="17" t="str">
        <f>IF(AG3000="","",INDEX('quitado Despesa'!$G$1:$G$12,AG3000))</f>
        <v/>
      </c>
      <c r="AJ3000" s="17" t="str">
        <f t="shared" si="3"/>
        <v/>
      </c>
    </row>
    <row r="3001" spans="31:36">
      <c r="AE3001" s="15" t="str">
        <f t="shared" si="0"/>
        <v/>
      </c>
      <c r="AF3001" s="15" t="str">
        <f t="shared" si="1"/>
        <v/>
      </c>
      <c r="AG3001" s="15" t="str">
        <f>IF(OR(AF3001="",AF3001="ERRO_CHAVE"),"",IFERROR(MATCH(AF3001,'quitado Despesa'!$V$1:$V$12,0),""))</f>
        <v/>
      </c>
      <c r="AH3001" s="15" t="str">
        <f t="shared" si="2"/>
        <v/>
      </c>
      <c r="AI3001" s="17" t="str">
        <f>IF(AG3001="","",INDEX('quitado Despesa'!$G$1:$G$12,AG3001))</f>
        <v/>
      </c>
      <c r="AJ3001" s="17" t="str">
        <f t="shared" si="3"/>
        <v/>
      </c>
    </row>
    <row r="3002" spans="31:36">
      <c r="AE3002" s="15" t="str">
        <f t="shared" si="0"/>
        <v/>
      </c>
      <c r="AF3002" s="15" t="str">
        <f t="shared" si="1"/>
        <v/>
      </c>
      <c r="AG3002" s="15" t="str">
        <f>IF(OR(AF3002="",AF3002="ERRO_CHAVE"),"",IFERROR(MATCH(AF3002,'quitado Despesa'!$V$1:$V$12,0),""))</f>
        <v/>
      </c>
      <c r="AH3002" s="15" t="str">
        <f t="shared" si="2"/>
        <v/>
      </c>
      <c r="AI3002" s="17" t="str">
        <f>IF(AG3002="","",INDEX('quitado Despesa'!$G$1:$G$12,AG3002))</f>
        <v/>
      </c>
      <c r="AJ3002" s="17" t="str">
        <f t="shared" si="3"/>
        <v/>
      </c>
    </row>
    <row r="3003" spans="31:36">
      <c r="AE3003" s="15" t="str">
        <f t="shared" si="0"/>
        <v/>
      </c>
      <c r="AF3003" s="15" t="str">
        <f t="shared" si="1"/>
        <v/>
      </c>
      <c r="AG3003" s="15" t="str">
        <f>IF(OR(AF3003="",AF3003="ERRO_CHAVE"),"",IFERROR(MATCH(AF3003,'quitado Despesa'!$V$1:$V$12,0),""))</f>
        <v/>
      </c>
      <c r="AH3003" s="15" t="str">
        <f t="shared" si="2"/>
        <v/>
      </c>
      <c r="AI3003" s="17" t="str">
        <f>IF(AG3003="","",INDEX('quitado Despesa'!$G$1:$G$12,AG3003))</f>
        <v/>
      </c>
      <c r="AJ3003" s="17" t="str">
        <f t="shared" si="3"/>
        <v/>
      </c>
    </row>
    <row r="3004" spans="31:36">
      <c r="AE3004" s="15" t="str">
        <f t="shared" si="0"/>
        <v/>
      </c>
      <c r="AF3004" s="15" t="str">
        <f t="shared" si="1"/>
        <v/>
      </c>
      <c r="AG3004" s="15" t="str">
        <f>IF(OR(AF3004="",AF3004="ERRO_CHAVE"),"",IFERROR(MATCH(AF3004,'quitado Despesa'!$V$1:$V$12,0),""))</f>
        <v/>
      </c>
      <c r="AH3004" s="15" t="str">
        <f t="shared" si="2"/>
        <v/>
      </c>
      <c r="AI3004" s="17" t="str">
        <f>IF(AG3004="","",INDEX('quitado Despesa'!$G$1:$G$12,AG3004))</f>
        <v/>
      </c>
      <c r="AJ3004" s="17" t="str">
        <f t="shared" si="3"/>
        <v/>
      </c>
    </row>
    <row r="3005" spans="31:36">
      <c r="AE3005" s="15" t="str">
        <f t="shared" si="0"/>
        <v/>
      </c>
      <c r="AF3005" s="15" t="str">
        <f t="shared" si="1"/>
        <v/>
      </c>
      <c r="AG3005" s="15" t="str">
        <f>IF(OR(AF3005="",AF3005="ERRO_CHAVE"),"",IFERROR(MATCH(AF3005,'quitado Despesa'!$V$1:$V$12,0),""))</f>
        <v/>
      </c>
      <c r="AH3005" s="15" t="str">
        <f t="shared" si="2"/>
        <v/>
      </c>
      <c r="AI3005" s="17" t="str">
        <f>IF(AG3005="","",INDEX('quitado Despesa'!$G$1:$G$12,AG3005))</f>
        <v/>
      </c>
      <c r="AJ3005" s="17" t="str">
        <f t="shared" si="3"/>
        <v/>
      </c>
    </row>
    <row r="3006" spans="31:36">
      <c r="AE3006" s="15" t="str">
        <f t="shared" si="0"/>
        <v/>
      </c>
      <c r="AF3006" s="15" t="str">
        <f t="shared" si="1"/>
        <v/>
      </c>
      <c r="AG3006" s="15" t="str">
        <f>IF(OR(AF3006="",AF3006="ERRO_CHAVE"),"",IFERROR(MATCH(AF3006,'quitado Despesa'!$V$1:$V$12,0),""))</f>
        <v/>
      </c>
      <c r="AH3006" s="15" t="str">
        <f t="shared" si="2"/>
        <v/>
      </c>
      <c r="AI3006" s="17" t="str">
        <f>IF(AG3006="","",INDEX('quitado Despesa'!$G$1:$G$12,AG3006))</f>
        <v/>
      </c>
      <c r="AJ3006" s="17" t="str">
        <f t="shared" si="3"/>
        <v/>
      </c>
    </row>
    <row r="3007" spans="31:36">
      <c r="AE3007" s="15" t="str">
        <f t="shared" si="0"/>
        <v/>
      </c>
      <c r="AF3007" s="15" t="str">
        <f t="shared" si="1"/>
        <v/>
      </c>
      <c r="AG3007" s="15" t="str">
        <f>IF(OR(AF3007="",AF3007="ERRO_CHAVE"),"",IFERROR(MATCH(AF3007,'quitado Despesa'!$V$1:$V$12,0),""))</f>
        <v/>
      </c>
      <c r="AH3007" s="15" t="str">
        <f t="shared" si="2"/>
        <v/>
      </c>
      <c r="AI3007" s="17" t="str">
        <f>IF(AG3007="","",INDEX('quitado Despesa'!$G$1:$G$12,AG3007))</f>
        <v/>
      </c>
      <c r="AJ3007" s="17" t="str">
        <f t="shared" si="3"/>
        <v/>
      </c>
    </row>
    <row r="3008" spans="31:36">
      <c r="AE3008" s="15" t="str">
        <f t="shared" si="0"/>
        <v/>
      </c>
      <c r="AF3008" s="15" t="str">
        <f t="shared" si="1"/>
        <v/>
      </c>
      <c r="AG3008" s="15" t="str">
        <f>IF(OR(AF3008="",AF3008="ERRO_CHAVE"),"",IFERROR(MATCH(AF3008,'quitado Despesa'!$V$1:$V$12,0),""))</f>
        <v/>
      </c>
      <c r="AH3008" s="15" t="str">
        <f t="shared" si="2"/>
        <v/>
      </c>
      <c r="AI3008" s="17" t="str">
        <f>IF(AG3008="","",INDEX('quitado Despesa'!$G$1:$G$12,AG3008))</f>
        <v/>
      </c>
      <c r="AJ3008" s="17" t="str">
        <f t="shared" si="3"/>
        <v/>
      </c>
    </row>
    <row r="3009" spans="31:36">
      <c r="AE3009" s="15" t="str">
        <f t="shared" si="0"/>
        <v/>
      </c>
      <c r="AF3009" s="15" t="str">
        <f t="shared" si="1"/>
        <v/>
      </c>
      <c r="AG3009" s="15" t="str">
        <f>IF(OR(AF3009="",AF3009="ERRO_CHAVE"),"",IFERROR(MATCH(AF3009,'quitado Despesa'!$V$1:$V$12,0),""))</f>
        <v/>
      </c>
      <c r="AH3009" s="15" t="str">
        <f t="shared" si="2"/>
        <v/>
      </c>
      <c r="AI3009" s="17" t="str">
        <f>IF(AG3009="","",INDEX('quitado Despesa'!$G$1:$G$12,AG3009))</f>
        <v/>
      </c>
      <c r="AJ3009" s="17" t="str">
        <f t="shared" si="3"/>
        <v/>
      </c>
    </row>
    <row r="3010" spans="31:36">
      <c r="AE3010" s="15" t="str">
        <f t="shared" si="0"/>
        <v/>
      </c>
      <c r="AF3010" s="15" t="str">
        <f t="shared" si="1"/>
        <v/>
      </c>
      <c r="AG3010" s="15" t="str">
        <f>IF(OR(AF3010="",AF3010="ERRO_CHAVE"),"",IFERROR(MATCH(AF3010,'quitado Despesa'!$V$1:$V$12,0),""))</f>
        <v/>
      </c>
      <c r="AH3010" s="15" t="str">
        <f t="shared" si="2"/>
        <v/>
      </c>
      <c r="AI3010" s="17" t="str">
        <f>IF(AG3010="","",INDEX('quitado Despesa'!$G$1:$G$12,AG3010))</f>
        <v/>
      </c>
      <c r="AJ3010" s="17" t="str">
        <f t="shared" si="3"/>
        <v/>
      </c>
    </row>
    <row r="3011" spans="31:36">
      <c r="AE3011" s="15" t="str">
        <f t="shared" si="0"/>
        <v/>
      </c>
      <c r="AF3011" s="15" t="str">
        <f t="shared" si="1"/>
        <v/>
      </c>
      <c r="AG3011" s="15" t="str">
        <f>IF(OR(AF3011="",AF3011="ERRO_CHAVE"),"",IFERROR(MATCH(AF3011,'quitado Despesa'!$V$1:$V$12,0),""))</f>
        <v/>
      </c>
      <c r="AH3011" s="15" t="str">
        <f t="shared" si="2"/>
        <v/>
      </c>
      <c r="AI3011" s="17" t="str">
        <f>IF(AG3011="","",INDEX('quitado Despesa'!$G$1:$G$12,AG3011))</f>
        <v/>
      </c>
      <c r="AJ3011" s="17" t="str">
        <f t="shared" si="3"/>
        <v/>
      </c>
    </row>
    <row r="3012" spans="31:36">
      <c r="AE3012" s="15" t="str">
        <f t="shared" si="0"/>
        <v/>
      </c>
      <c r="AF3012" s="15" t="str">
        <f t="shared" si="1"/>
        <v/>
      </c>
      <c r="AG3012" s="15" t="str">
        <f>IF(OR(AF3012="",AF3012="ERRO_CHAVE"),"",IFERROR(MATCH(AF3012,'quitado Despesa'!$V$1:$V$12,0),""))</f>
        <v/>
      </c>
      <c r="AH3012" s="15" t="str">
        <f t="shared" si="2"/>
        <v/>
      </c>
      <c r="AI3012" s="17" t="str">
        <f>IF(AG3012="","",INDEX('quitado Despesa'!$G$1:$G$12,AG3012))</f>
        <v/>
      </c>
      <c r="AJ3012" s="17" t="str">
        <f t="shared" si="3"/>
        <v/>
      </c>
    </row>
    <row r="3013" spans="31:36">
      <c r="AE3013" s="15" t="str">
        <f t="shared" si="0"/>
        <v/>
      </c>
      <c r="AF3013" s="15" t="str">
        <f t="shared" si="1"/>
        <v/>
      </c>
      <c r="AG3013" s="15" t="str">
        <f>IF(OR(AF3013="",AF3013="ERRO_CHAVE"),"",IFERROR(MATCH(AF3013,'quitado Despesa'!$V$1:$V$12,0),""))</f>
        <v/>
      </c>
      <c r="AH3013" s="15" t="str">
        <f t="shared" si="2"/>
        <v/>
      </c>
      <c r="AI3013" s="17" t="str">
        <f>IF(AG3013="","",INDEX('quitado Despesa'!$G$1:$G$12,AG3013))</f>
        <v/>
      </c>
      <c r="AJ3013" s="17" t="str">
        <f t="shared" si="3"/>
        <v/>
      </c>
    </row>
    <row r="3014" spans="31:36">
      <c r="AE3014" s="15" t="str">
        <f t="shared" si="0"/>
        <v/>
      </c>
      <c r="AF3014" s="15" t="str">
        <f t="shared" si="1"/>
        <v/>
      </c>
      <c r="AG3014" s="15" t="str">
        <f>IF(OR(AF3014="",AF3014="ERRO_CHAVE"),"",IFERROR(MATCH(AF3014,'quitado Despesa'!$V$1:$V$12,0),""))</f>
        <v/>
      </c>
      <c r="AH3014" s="15" t="str">
        <f t="shared" si="2"/>
        <v/>
      </c>
      <c r="AI3014" s="17" t="str">
        <f>IF(AG3014="","",INDEX('quitado Despesa'!$G$1:$G$12,AG3014))</f>
        <v/>
      </c>
      <c r="AJ3014" s="17" t="str">
        <f t="shared" si="3"/>
        <v/>
      </c>
    </row>
    <row r="3015" spans="31:36">
      <c r="AE3015" s="15" t="str">
        <f t="shared" si="0"/>
        <v/>
      </c>
      <c r="AF3015" s="15" t="str">
        <f t="shared" si="1"/>
        <v/>
      </c>
      <c r="AG3015" s="15" t="str">
        <f>IF(OR(AF3015="",AF3015="ERRO_CHAVE"),"",IFERROR(MATCH(AF3015,'quitado Despesa'!$V$1:$V$12,0),""))</f>
        <v/>
      </c>
      <c r="AH3015" s="15" t="str">
        <f t="shared" si="2"/>
        <v/>
      </c>
      <c r="AI3015" s="17" t="str">
        <f>IF(AG3015="","",INDEX('quitado Despesa'!$G$1:$G$12,AG3015))</f>
        <v/>
      </c>
      <c r="AJ3015" s="17" t="str">
        <f t="shared" si="3"/>
        <v/>
      </c>
    </row>
    <row r="3016" spans="31:36">
      <c r="AE3016" s="15" t="str">
        <f t="shared" si="0"/>
        <v/>
      </c>
      <c r="AF3016" s="15" t="str">
        <f t="shared" si="1"/>
        <v/>
      </c>
      <c r="AG3016" s="15" t="str">
        <f>IF(OR(AF3016="",AF3016="ERRO_CHAVE"),"",IFERROR(MATCH(AF3016,'quitado Despesa'!$V$1:$V$12,0),""))</f>
        <v/>
      </c>
      <c r="AH3016" s="15" t="str">
        <f t="shared" si="2"/>
        <v/>
      </c>
      <c r="AI3016" s="17" t="str">
        <f>IF(AG3016="","",INDEX('quitado Despesa'!$G$1:$G$12,AG3016))</f>
        <v/>
      </c>
      <c r="AJ3016" s="17" t="str">
        <f t="shared" si="3"/>
        <v/>
      </c>
    </row>
    <row r="3017" spans="31:36">
      <c r="AE3017" s="15" t="str">
        <f t="shared" si="0"/>
        <v/>
      </c>
      <c r="AF3017" s="15" t="str">
        <f t="shared" si="1"/>
        <v/>
      </c>
      <c r="AG3017" s="15" t="str">
        <f>IF(OR(AF3017="",AF3017="ERRO_CHAVE"),"",IFERROR(MATCH(AF3017,'quitado Despesa'!$V$1:$V$12,0),""))</f>
        <v/>
      </c>
      <c r="AH3017" s="15" t="str">
        <f t="shared" si="2"/>
        <v/>
      </c>
      <c r="AI3017" s="17" t="str">
        <f>IF(AG3017="","",INDEX('quitado Despesa'!$G$1:$G$12,AG3017))</f>
        <v/>
      </c>
      <c r="AJ3017" s="17" t="str">
        <f t="shared" si="3"/>
        <v/>
      </c>
    </row>
    <row r="3018" spans="31:36">
      <c r="AE3018" s="15" t="str">
        <f t="shared" si="0"/>
        <v/>
      </c>
      <c r="AF3018" s="15" t="str">
        <f t="shared" si="1"/>
        <v/>
      </c>
      <c r="AG3018" s="15" t="str">
        <f>IF(OR(AF3018="",AF3018="ERRO_CHAVE"),"",IFERROR(MATCH(AF3018,'quitado Despesa'!$V$1:$V$12,0),""))</f>
        <v/>
      </c>
      <c r="AH3018" s="15" t="str">
        <f t="shared" si="2"/>
        <v/>
      </c>
      <c r="AI3018" s="17" t="str">
        <f>IF(AG3018="","",INDEX('quitado Despesa'!$G$1:$G$12,AG3018))</f>
        <v/>
      </c>
      <c r="AJ3018" s="17" t="str">
        <f t="shared" si="3"/>
        <v/>
      </c>
    </row>
    <row r="3019" spans="31:36">
      <c r="AE3019" s="15" t="str">
        <f t="shared" si="0"/>
        <v/>
      </c>
      <c r="AF3019" s="15" t="str">
        <f t="shared" si="1"/>
        <v/>
      </c>
      <c r="AG3019" s="15" t="str">
        <f>IF(OR(AF3019="",AF3019="ERRO_CHAVE"),"",IFERROR(MATCH(AF3019,'quitado Despesa'!$V$1:$V$12,0),""))</f>
        <v/>
      </c>
      <c r="AH3019" s="15" t="str">
        <f t="shared" si="2"/>
        <v/>
      </c>
      <c r="AI3019" s="17" t="str">
        <f>IF(AG3019="","",INDEX('quitado Despesa'!$G$1:$G$12,AG3019))</f>
        <v/>
      </c>
      <c r="AJ3019" s="17" t="str">
        <f t="shared" si="3"/>
        <v/>
      </c>
    </row>
    <row r="3020" spans="31:36">
      <c r="AE3020" s="15" t="str">
        <f t="shared" si="0"/>
        <v/>
      </c>
      <c r="AF3020" s="15" t="str">
        <f t="shared" si="1"/>
        <v/>
      </c>
      <c r="AG3020" s="15" t="str">
        <f>IF(OR(AF3020="",AF3020="ERRO_CHAVE"),"",IFERROR(MATCH(AF3020,'quitado Despesa'!$V$1:$V$12,0),""))</f>
        <v/>
      </c>
      <c r="AH3020" s="15" t="str">
        <f t="shared" si="2"/>
        <v/>
      </c>
      <c r="AI3020" s="17" t="str">
        <f>IF(AG3020="","",INDEX('quitado Despesa'!$G$1:$G$12,AG3020))</f>
        <v/>
      </c>
      <c r="AJ3020" s="17" t="str">
        <f t="shared" si="3"/>
        <v/>
      </c>
    </row>
    <row r="3021" spans="31:36">
      <c r="AE3021" s="15" t="str">
        <f t="shared" si="0"/>
        <v/>
      </c>
      <c r="AF3021" s="15" t="str">
        <f t="shared" si="1"/>
        <v/>
      </c>
      <c r="AG3021" s="15" t="str">
        <f>IF(OR(AF3021="",AF3021="ERRO_CHAVE"),"",IFERROR(MATCH(AF3021,'quitado Despesa'!$V$1:$V$12,0),""))</f>
        <v/>
      </c>
      <c r="AH3021" s="15" t="str">
        <f t="shared" si="2"/>
        <v/>
      </c>
      <c r="AI3021" s="17" t="str">
        <f>IF(AG3021="","",INDEX('quitado Despesa'!$G$1:$G$12,AG3021))</f>
        <v/>
      </c>
      <c r="AJ3021" s="17" t="str">
        <f t="shared" si="3"/>
        <v/>
      </c>
    </row>
    <row r="3022" spans="31:36">
      <c r="AE3022" s="15" t="str">
        <f t="shared" si="0"/>
        <v/>
      </c>
      <c r="AF3022" s="15" t="str">
        <f t="shared" si="1"/>
        <v/>
      </c>
      <c r="AG3022" s="15" t="str">
        <f>IF(OR(AF3022="",AF3022="ERRO_CHAVE"),"",IFERROR(MATCH(AF3022,'quitado Despesa'!$V$1:$V$12,0),""))</f>
        <v/>
      </c>
      <c r="AH3022" s="15" t="str">
        <f t="shared" si="2"/>
        <v/>
      </c>
      <c r="AI3022" s="17" t="str">
        <f>IF(AG3022="","",INDEX('quitado Despesa'!$G$1:$G$12,AG3022))</f>
        <v/>
      </c>
      <c r="AJ3022" s="17" t="str">
        <f t="shared" si="3"/>
        <v/>
      </c>
    </row>
    <row r="3023" spans="31:36">
      <c r="AE3023" s="15" t="str">
        <f t="shared" si="0"/>
        <v/>
      </c>
      <c r="AF3023" s="15" t="str">
        <f t="shared" si="1"/>
        <v/>
      </c>
      <c r="AG3023" s="15" t="str">
        <f>IF(OR(AF3023="",AF3023="ERRO_CHAVE"),"",IFERROR(MATCH(AF3023,'quitado Despesa'!$V$1:$V$12,0),""))</f>
        <v/>
      </c>
      <c r="AH3023" s="15" t="str">
        <f t="shared" si="2"/>
        <v/>
      </c>
      <c r="AI3023" s="17" t="str">
        <f>IF(AG3023="","",INDEX('quitado Despesa'!$G$1:$G$12,AG3023))</f>
        <v/>
      </c>
      <c r="AJ3023" s="17" t="str">
        <f t="shared" si="3"/>
        <v/>
      </c>
    </row>
    <row r="3024" spans="31:36">
      <c r="AE3024" s="15" t="str">
        <f t="shared" si="0"/>
        <v/>
      </c>
      <c r="AF3024" s="15" t="str">
        <f t="shared" si="1"/>
        <v/>
      </c>
      <c r="AG3024" s="15" t="str">
        <f>IF(OR(AF3024="",AF3024="ERRO_CHAVE"),"",IFERROR(MATCH(AF3024,'quitado Despesa'!$V$1:$V$12,0),""))</f>
        <v/>
      </c>
      <c r="AH3024" s="15" t="str">
        <f t="shared" si="2"/>
        <v/>
      </c>
      <c r="AI3024" s="17" t="str">
        <f>IF(AG3024="","",INDEX('quitado Despesa'!$G$1:$G$12,AG3024))</f>
        <v/>
      </c>
      <c r="AJ3024" s="17" t="str">
        <f t="shared" si="3"/>
        <v/>
      </c>
    </row>
    <row r="3025" spans="31:36">
      <c r="AE3025" s="15" t="str">
        <f t="shared" si="0"/>
        <v/>
      </c>
      <c r="AF3025" s="15" t="str">
        <f t="shared" si="1"/>
        <v/>
      </c>
      <c r="AG3025" s="15" t="str">
        <f>IF(OR(AF3025="",AF3025="ERRO_CHAVE"),"",IFERROR(MATCH(AF3025,'quitado Despesa'!$V$1:$V$12,0),""))</f>
        <v/>
      </c>
      <c r="AH3025" s="15" t="str">
        <f t="shared" si="2"/>
        <v/>
      </c>
      <c r="AI3025" s="17" t="str">
        <f>IF(AG3025="","",INDEX('quitado Despesa'!$G$1:$G$12,AG3025))</f>
        <v/>
      </c>
      <c r="AJ3025" s="17" t="str">
        <f t="shared" si="3"/>
        <v/>
      </c>
    </row>
    <row r="3026" spans="31:36">
      <c r="AE3026" s="15" t="str">
        <f t="shared" si="0"/>
        <v/>
      </c>
      <c r="AF3026" s="15" t="str">
        <f t="shared" si="1"/>
        <v/>
      </c>
      <c r="AG3026" s="15" t="str">
        <f>IF(OR(AF3026="",AF3026="ERRO_CHAVE"),"",IFERROR(MATCH(AF3026,'quitado Despesa'!$V$1:$V$12,0),""))</f>
        <v/>
      </c>
      <c r="AH3026" s="15" t="str">
        <f t="shared" si="2"/>
        <v/>
      </c>
      <c r="AI3026" s="17" t="str">
        <f>IF(AG3026="","",INDEX('quitado Despesa'!$G$1:$G$12,AG3026))</f>
        <v/>
      </c>
      <c r="AJ3026" s="17" t="str">
        <f t="shared" si="3"/>
        <v/>
      </c>
    </row>
    <row r="3027" spans="31:36">
      <c r="AE3027" s="15" t="str">
        <f t="shared" si="0"/>
        <v/>
      </c>
      <c r="AF3027" s="15" t="str">
        <f t="shared" si="1"/>
        <v/>
      </c>
      <c r="AG3027" s="15" t="str">
        <f>IF(OR(AF3027="",AF3027="ERRO_CHAVE"),"",IFERROR(MATCH(AF3027,'quitado Despesa'!$V$1:$V$12,0),""))</f>
        <v/>
      </c>
      <c r="AH3027" s="15" t="str">
        <f t="shared" si="2"/>
        <v/>
      </c>
      <c r="AI3027" s="17" t="str">
        <f>IF(AG3027="","",INDEX('quitado Despesa'!$G$1:$G$12,AG3027))</f>
        <v/>
      </c>
      <c r="AJ3027" s="17" t="str">
        <f t="shared" si="3"/>
        <v/>
      </c>
    </row>
    <row r="3028" spans="31:36">
      <c r="AE3028" s="15" t="str">
        <f t="shared" si="0"/>
        <v/>
      </c>
      <c r="AF3028" s="15" t="str">
        <f t="shared" si="1"/>
        <v/>
      </c>
      <c r="AG3028" s="15" t="str">
        <f>IF(OR(AF3028="",AF3028="ERRO_CHAVE"),"",IFERROR(MATCH(AF3028,'quitado Despesa'!$V$1:$V$12,0),""))</f>
        <v/>
      </c>
      <c r="AH3028" s="15" t="str">
        <f t="shared" si="2"/>
        <v/>
      </c>
      <c r="AI3028" s="17" t="str">
        <f>IF(AG3028="","",INDEX('quitado Despesa'!$G$1:$G$12,AG3028))</f>
        <v/>
      </c>
      <c r="AJ3028" s="17" t="str">
        <f t="shared" si="3"/>
        <v/>
      </c>
    </row>
    <row r="3029" spans="31:36">
      <c r="AE3029" s="15" t="str">
        <f t="shared" si="0"/>
        <v/>
      </c>
      <c r="AF3029" s="15" t="str">
        <f t="shared" si="1"/>
        <v/>
      </c>
      <c r="AG3029" s="15" t="str">
        <f>IF(OR(AF3029="",AF3029="ERRO_CHAVE"),"",IFERROR(MATCH(AF3029,'quitado Despesa'!$V$1:$V$12,0),""))</f>
        <v/>
      </c>
      <c r="AH3029" s="15" t="str">
        <f t="shared" si="2"/>
        <v/>
      </c>
      <c r="AI3029" s="17" t="str">
        <f>IF(AG3029="","",INDEX('quitado Despesa'!$G$1:$G$12,AG3029))</f>
        <v/>
      </c>
      <c r="AJ3029" s="17" t="str">
        <f t="shared" si="3"/>
        <v/>
      </c>
    </row>
    <row r="3030" spans="31:36">
      <c r="AE3030" s="15" t="str">
        <f t="shared" si="0"/>
        <v/>
      </c>
      <c r="AF3030" s="15" t="str">
        <f t="shared" si="1"/>
        <v/>
      </c>
      <c r="AG3030" s="15" t="str">
        <f>IF(OR(AF3030="",AF3030="ERRO_CHAVE"),"",IFERROR(MATCH(AF3030,'quitado Despesa'!$V$1:$V$12,0),""))</f>
        <v/>
      </c>
      <c r="AH3030" s="15" t="str">
        <f t="shared" si="2"/>
        <v/>
      </c>
      <c r="AI3030" s="17" t="str">
        <f>IF(AG3030="","",INDEX('quitado Despesa'!$G$1:$G$12,AG3030))</f>
        <v/>
      </c>
      <c r="AJ3030" s="17" t="str">
        <f t="shared" si="3"/>
        <v/>
      </c>
    </row>
    <row r="3031" spans="31:36">
      <c r="AE3031" s="15" t="str">
        <f t="shared" si="0"/>
        <v/>
      </c>
      <c r="AF3031" s="15" t="str">
        <f t="shared" si="1"/>
        <v/>
      </c>
      <c r="AG3031" s="15" t="str">
        <f>IF(OR(AF3031="",AF3031="ERRO_CHAVE"),"",IFERROR(MATCH(AF3031,'quitado Despesa'!$V$1:$V$12,0),""))</f>
        <v/>
      </c>
      <c r="AH3031" s="15" t="str">
        <f t="shared" si="2"/>
        <v/>
      </c>
      <c r="AI3031" s="17" t="str">
        <f>IF(AG3031="","",INDEX('quitado Despesa'!$G$1:$G$12,AG3031))</f>
        <v/>
      </c>
      <c r="AJ3031" s="17" t="str">
        <f t="shared" si="3"/>
        <v/>
      </c>
    </row>
    <row r="3032" spans="31:36">
      <c r="AE3032" s="15" t="str">
        <f t="shared" si="0"/>
        <v/>
      </c>
      <c r="AF3032" s="15" t="str">
        <f t="shared" si="1"/>
        <v/>
      </c>
      <c r="AG3032" s="15" t="str">
        <f>IF(OR(AF3032="",AF3032="ERRO_CHAVE"),"",IFERROR(MATCH(AF3032,'quitado Despesa'!$V$1:$V$12,0),""))</f>
        <v/>
      </c>
      <c r="AH3032" s="15" t="str">
        <f t="shared" si="2"/>
        <v/>
      </c>
      <c r="AI3032" s="17" t="str">
        <f>IF(AG3032="","",INDEX('quitado Despesa'!$G$1:$G$12,AG3032))</f>
        <v/>
      </c>
      <c r="AJ3032" s="17" t="str">
        <f t="shared" si="3"/>
        <v/>
      </c>
    </row>
    <row r="3033" spans="31:36">
      <c r="AE3033" s="15" t="str">
        <f t="shared" si="0"/>
        <v/>
      </c>
      <c r="AF3033" s="15" t="str">
        <f t="shared" si="1"/>
        <v/>
      </c>
      <c r="AG3033" s="15" t="str">
        <f>IF(OR(AF3033="",AF3033="ERRO_CHAVE"),"",IFERROR(MATCH(AF3033,'quitado Despesa'!$V$1:$V$12,0),""))</f>
        <v/>
      </c>
      <c r="AH3033" s="15" t="str">
        <f t="shared" si="2"/>
        <v/>
      </c>
      <c r="AI3033" s="17" t="str">
        <f>IF(AG3033="","",INDEX('quitado Despesa'!$G$1:$G$12,AG3033))</f>
        <v/>
      </c>
      <c r="AJ3033" s="17" t="str">
        <f t="shared" si="3"/>
        <v/>
      </c>
    </row>
    <row r="3034" spans="31:36">
      <c r="AE3034" s="15" t="str">
        <f t="shared" si="0"/>
        <v/>
      </c>
      <c r="AF3034" s="15" t="str">
        <f t="shared" si="1"/>
        <v/>
      </c>
      <c r="AG3034" s="15" t="str">
        <f>IF(OR(AF3034="",AF3034="ERRO_CHAVE"),"",IFERROR(MATCH(AF3034,'quitado Despesa'!$V$1:$V$12,0),""))</f>
        <v/>
      </c>
      <c r="AH3034" s="15" t="str">
        <f t="shared" si="2"/>
        <v/>
      </c>
      <c r="AI3034" s="17" t="str">
        <f>IF(AG3034="","",INDEX('quitado Despesa'!$G$1:$G$12,AG3034))</f>
        <v/>
      </c>
      <c r="AJ3034" s="17" t="str">
        <f t="shared" si="3"/>
        <v/>
      </c>
    </row>
    <row r="3035" spans="31:36">
      <c r="AE3035" s="15" t="str">
        <f t="shared" si="0"/>
        <v/>
      </c>
      <c r="AF3035" s="15" t="str">
        <f t="shared" si="1"/>
        <v/>
      </c>
      <c r="AG3035" s="15" t="str">
        <f>IF(OR(AF3035="",AF3035="ERRO_CHAVE"),"",IFERROR(MATCH(AF3035,'quitado Despesa'!$V$1:$V$12,0),""))</f>
        <v/>
      </c>
      <c r="AH3035" s="15" t="str">
        <f t="shared" si="2"/>
        <v/>
      </c>
      <c r="AI3035" s="17" t="str">
        <f>IF(AG3035="","",INDEX('quitado Despesa'!$G$1:$G$12,AG3035))</f>
        <v/>
      </c>
      <c r="AJ3035" s="17" t="str">
        <f t="shared" si="3"/>
        <v/>
      </c>
    </row>
    <row r="3036" spans="31:36">
      <c r="AE3036" s="15" t="str">
        <f t="shared" si="0"/>
        <v/>
      </c>
      <c r="AF3036" s="15" t="str">
        <f t="shared" si="1"/>
        <v/>
      </c>
      <c r="AG3036" s="15" t="str">
        <f>IF(OR(AF3036="",AF3036="ERRO_CHAVE"),"",IFERROR(MATCH(AF3036,'quitado Despesa'!$V$1:$V$12,0),""))</f>
        <v/>
      </c>
      <c r="AH3036" s="15" t="str">
        <f t="shared" si="2"/>
        <v/>
      </c>
      <c r="AI3036" s="17" t="str">
        <f>IF(AG3036="","",INDEX('quitado Despesa'!$G$1:$G$12,AG3036))</f>
        <v/>
      </c>
      <c r="AJ3036" s="17" t="str">
        <f t="shared" si="3"/>
        <v/>
      </c>
    </row>
    <row r="3037" spans="31:36">
      <c r="AE3037" s="15" t="str">
        <f t="shared" si="0"/>
        <v/>
      </c>
      <c r="AF3037" s="15" t="str">
        <f t="shared" si="1"/>
        <v/>
      </c>
      <c r="AG3037" s="15" t="str">
        <f>IF(OR(AF3037="",AF3037="ERRO_CHAVE"),"",IFERROR(MATCH(AF3037,'quitado Despesa'!$V$1:$V$12,0),""))</f>
        <v/>
      </c>
      <c r="AH3037" s="15" t="str">
        <f t="shared" si="2"/>
        <v/>
      </c>
      <c r="AI3037" s="17" t="str">
        <f>IF(AG3037="","",INDEX('quitado Despesa'!$G$1:$G$12,AG3037))</f>
        <v/>
      </c>
      <c r="AJ3037" s="17" t="str">
        <f t="shared" si="3"/>
        <v/>
      </c>
    </row>
    <row r="3038" spans="31:36">
      <c r="AE3038" s="15" t="str">
        <f t="shared" si="0"/>
        <v/>
      </c>
      <c r="AF3038" s="15" t="str">
        <f t="shared" si="1"/>
        <v/>
      </c>
      <c r="AG3038" s="15" t="str">
        <f>IF(OR(AF3038="",AF3038="ERRO_CHAVE"),"",IFERROR(MATCH(AF3038,'quitado Despesa'!$V$1:$V$12,0),""))</f>
        <v/>
      </c>
      <c r="AH3038" s="15" t="str">
        <f t="shared" si="2"/>
        <v/>
      </c>
      <c r="AI3038" s="17" t="str">
        <f>IF(AG3038="","",INDEX('quitado Despesa'!$G$1:$G$12,AG3038))</f>
        <v/>
      </c>
      <c r="AJ3038" s="17" t="str">
        <f t="shared" si="3"/>
        <v/>
      </c>
    </row>
    <row r="3039" spans="31:36">
      <c r="AE3039" s="15" t="str">
        <f t="shared" si="0"/>
        <v/>
      </c>
      <c r="AF3039" s="15" t="str">
        <f t="shared" si="1"/>
        <v/>
      </c>
      <c r="AG3039" s="15" t="str">
        <f>IF(OR(AF3039="",AF3039="ERRO_CHAVE"),"",IFERROR(MATCH(AF3039,'quitado Despesa'!$V$1:$V$12,0),""))</f>
        <v/>
      </c>
      <c r="AH3039" s="15" t="str">
        <f t="shared" si="2"/>
        <v/>
      </c>
      <c r="AI3039" s="17" t="str">
        <f>IF(AG3039="","",INDEX('quitado Despesa'!$G$1:$G$12,AG3039))</f>
        <v/>
      </c>
      <c r="AJ3039" s="17" t="str">
        <f t="shared" si="3"/>
        <v/>
      </c>
    </row>
    <row r="3040" spans="31:36">
      <c r="AE3040" s="15" t="str">
        <f t="shared" si="0"/>
        <v/>
      </c>
      <c r="AF3040" s="15" t="str">
        <f t="shared" si="1"/>
        <v/>
      </c>
      <c r="AG3040" s="15" t="str">
        <f>IF(OR(AF3040="",AF3040="ERRO_CHAVE"),"",IFERROR(MATCH(AF3040,'quitado Despesa'!$V$1:$V$12,0),""))</f>
        <v/>
      </c>
      <c r="AH3040" s="15" t="str">
        <f t="shared" si="2"/>
        <v/>
      </c>
      <c r="AI3040" s="17" t="str">
        <f>IF(AG3040="","",INDEX('quitado Despesa'!$G$1:$G$12,AG3040))</f>
        <v/>
      </c>
      <c r="AJ3040" s="17" t="str">
        <f t="shared" si="3"/>
        <v/>
      </c>
    </row>
    <row r="3041" spans="31:36">
      <c r="AE3041" s="15" t="str">
        <f t="shared" si="0"/>
        <v/>
      </c>
      <c r="AF3041" s="15" t="str">
        <f t="shared" si="1"/>
        <v/>
      </c>
      <c r="AG3041" s="15" t="str">
        <f>IF(OR(AF3041="",AF3041="ERRO_CHAVE"),"",IFERROR(MATCH(AF3041,'quitado Despesa'!$V$1:$V$12,0),""))</f>
        <v/>
      </c>
      <c r="AH3041" s="15" t="str">
        <f t="shared" si="2"/>
        <v/>
      </c>
      <c r="AI3041" s="17" t="str">
        <f>IF(AG3041="","",INDEX('quitado Despesa'!$G$1:$G$12,AG3041))</f>
        <v/>
      </c>
      <c r="AJ3041" s="17" t="str">
        <f t="shared" si="3"/>
        <v/>
      </c>
    </row>
    <row r="3042" spans="31:36">
      <c r="AE3042" s="15" t="str">
        <f t="shared" si="0"/>
        <v/>
      </c>
      <c r="AF3042" s="15" t="str">
        <f t="shared" si="1"/>
        <v/>
      </c>
      <c r="AG3042" s="15" t="str">
        <f>IF(OR(AF3042="",AF3042="ERRO_CHAVE"),"",IFERROR(MATCH(AF3042,'quitado Despesa'!$V$1:$V$12,0),""))</f>
        <v/>
      </c>
      <c r="AH3042" s="15" t="str">
        <f t="shared" si="2"/>
        <v/>
      </c>
      <c r="AI3042" s="17" t="str">
        <f>IF(AG3042="","",INDEX('quitado Despesa'!$G$1:$G$12,AG3042))</f>
        <v/>
      </c>
      <c r="AJ3042" s="17" t="str">
        <f t="shared" si="3"/>
        <v/>
      </c>
    </row>
    <row r="3043" spans="31:36">
      <c r="AE3043" s="15" t="str">
        <f t="shared" si="0"/>
        <v/>
      </c>
      <c r="AF3043" s="15" t="str">
        <f t="shared" si="1"/>
        <v/>
      </c>
      <c r="AG3043" s="15" t="str">
        <f>IF(OR(AF3043="",AF3043="ERRO_CHAVE"),"",IFERROR(MATCH(AF3043,'quitado Despesa'!$V$1:$V$12,0),""))</f>
        <v/>
      </c>
      <c r="AH3043" s="15" t="str">
        <f t="shared" si="2"/>
        <v/>
      </c>
      <c r="AI3043" s="17" t="str">
        <f>IF(AG3043="","",INDEX('quitado Despesa'!$G$1:$G$12,AG3043))</f>
        <v/>
      </c>
      <c r="AJ3043" s="17" t="str">
        <f t="shared" si="3"/>
        <v/>
      </c>
    </row>
    <row r="3044" spans="31:36">
      <c r="AE3044" s="15" t="str">
        <f t="shared" si="0"/>
        <v/>
      </c>
      <c r="AF3044" s="15" t="str">
        <f t="shared" si="1"/>
        <v/>
      </c>
      <c r="AG3044" s="15" t="str">
        <f>IF(OR(AF3044="",AF3044="ERRO_CHAVE"),"",IFERROR(MATCH(AF3044,'quitado Despesa'!$V$1:$V$12,0),""))</f>
        <v/>
      </c>
      <c r="AH3044" s="15" t="str">
        <f t="shared" si="2"/>
        <v/>
      </c>
      <c r="AI3044" s="17" t="str">
        <f>IF(AG3044="","",INDEX('quitado Despesa'!$G$1:$G$12,AG3044))</f>
        <v/>
      </c>
      <c r="AJ3044" s="17" t="str">
        <f t="shared" si="3"/>
        <v/>
      </c>
    </row>
    <row r="3045" spans="31:36">
      <c r="AE3045" s="15" t="str">
        <f t="shared" si="0"/>
        <v/>
      </c>
      <c r="AF3045" s="15" t="str">
        <f t="shared" si="1"/>
        <v/>
      </c>
      <c r="AG3045" s="15" t="str">
        <f>IF(OR(AF3045="",AF3045="ERRO_CHAVE"),"",IFERROR(MATCH(AF3045,'quitado Despesa'!$V$1:$V$12,0),""))</f>
        <v/>
      </c>
      <c r="AH3045" s="15" t="str">
        <f t="shared" si="2"/>
        <v/>
      </c>
      <c r="AI3045" s="17" t="str">
        <f>IF(AG3045="","",INDEX('quitado Despesa'!$G$1:$G$12,AG3045))</f>
        <v/>
      </c>
      <c r="AJ3045" s="17" t="str">
        <f t="shared" si="3"/>
        <v/>
      </c>
    </row>
    <row r="3046" spans="31:36">
      <c r="AE3046" s="15" t="str">
        <f t="shared" si="0"/>
        <v/>
      </c>
      <c r="AF3046" s="15" t="str">
        <f t="shared" si="1"/>
        <v/>
      </c>
      <c r="AG3046" s="15" t="str">
        <f>IF(OR(AF3046="",AF3046="ERRO_CHAVE"),"",IFERROR(MATCH(AF3046,'quitado Despesa'!$V$1:$V$12,0),""))</f>
        <v/>
      </c>
      <c r="AH3046" s="15" t="str">
        <f t="shared" si="2"/>
        <v/>
      </c>
      <c r="AI3046" s="17" t="str">
        <f>IF(AG3046="","",INDEX('quitado Despesa'!$G$1:$G$12,AG3046))</f>
        <v/>
      </c>
      <c r="AJ3046" s="17" t="str">
        <f t="shared" si="3"/>
        <v/>
      </c>
    </row>
    <row r="3047" spans="31:36">
      <c r="AE3047" s="15" t="str">
        <f t="shared" si="0"/>
        <v/>
      </c>
      <c r="AF3047" s="15" t="str">
        <f t="shared" si="1"/>
        <v/>
      </c>
      <c r="AG3047" s="15" t="str">
        <f>IF(OR(AF3047="",AF3047="ERRO_CHAVE"),"",IFERROR(MATCH(AF3047,'quitado Despesa'!$V$1:$V$12,0),""))</f>
        <v/>
      </c>
      <c r="AH3047" s="15" t="str">
        <f t="shared" si="2"/>
        <v/>
      </c>
      <c r="AI3047" s="17" t="str">
        <f>IF(AG3047="","",INDEX('quitado Despesa'!$G$1:$G$12,AG3047))</f>
        <v/>
      </c>
      <c r="AJ3047" s="17" t="str">
        <f t="shared" si="3"/>
        <v/>
      </c>
    </row>
    <row r="3048" spans="31:36">
      <c r="AE3048" s="15" t="str">
        <f t="shared" si="0"/>
        <v/>
      </c>
      <c r="AF3048" s="15" t="str">
        <f t="shared" si="1"/>
        <v/>
      </c>
      <c r="AG3048" s="15" t="str">
        <f>IF(OR(AF3048="",AF3048="ERRO_CHAVE"),"",IFERROR(MATCH(AF3048,'quitado Despesa'!$V$1:$V$12,0),""))</f>
        <v/>
      </c>
      <c r="AH3048" s="15" t="str">
        <f t="shared" si="2"/>
        <v/>
      </c>
      <c r="AI3048" s="17" t="str">
        <f>IF(AG3048="","",INDEX('quitado Despesa'!$G$1:$G$12,AG3048))</f>
        <v/>
      </c>
      <c r="AJ3048" s="17" t="str">
        <f t="shared" si="3"/>
        <v/>
      </c>
    </row>
    <row r="3049" spans="31:36">
      <c r="AE3049" s="15" t="str">
        <f t="shared" si="0"/>
        <v/>
      </c>
      <c r="AF3049" s="15" t="str">
        <f t="shared" si="1"/>
        <v/>
      </c>
      <c r="AG3049" s="15" t="str">
        <f>IF(OR(AF3049="",AF3049="ERRO_CHAVE"),"",IFERROR(MATCH(AF3049,'quitado Despesa'!$V$1:$V$12,0),""))</f>
        <v/>
      </c>
      <c r="AH3049" s="15" t="str">
        <f t="shared" si="2"/>
        <v/>
      </c>
      <c r="AI3049" s="17" t="str">
        <f>IF(AG3049="","",INDEX('quitado Despesa'!$G$1:$G$12,AG3049))</f>
        <v/>
      </c>
      <c r="AJ3049" s="17" t="str">
        <f t="shared" si="3"/>
        <v/>
      </c>
    </row>
    <row r="3050" spans="31:36">
      <c r="AE3050" s="15" t="str">
        <f t="shared" si="0"/>
        <v/>
      </c>
      <c r="AF3050" s="15" t="str">
        <f t="shared" si="1"/>
        <v/>
      </c>
      <c r="AG3050" s="15" t="str">
        <f>IF(OR(AF3050="",AF3050="ERRO_CHAVE"),"",IFERROR(MATCH(AF3050,'quitado Despesa'!$V$1:$V$12,0),""))</f>
        <v/>
      </c>
      <c r="AH3050" s="15" t="str">
        <f t="shared" si="2"/>
        <v/>
      </c>
      <c r="AI3050" s="17" t="str">
        <f>IF(AG3050="","",INDEX('quitado Despesa'!$G$1:$G$12,AG3050))</f>
        <v/>
      </c>
      <c r="AJ3050" s="17" t="str">
        <f t="shared" si="3"/>
        <v/>
      </c>
    </row>
    <row r="3051" spans="31:36">
      <c r="AE3051" s="15" t="str">
        <f t="shared" si="0"/>
        <v/>
      </c>
      <c r="AF3051" s="15" t="str">
        <f t="shared" si="1"/>
        <v/>
      </c>
      <c r="AG3051" s="15" t="str">
        <f>IF(OR(AF3051="",AF3051="ERRO_CHAVE"),"",IFERROR(MATCH(AF3051,'quitado Despesa'!$V$1:$V$12,0),""))</f>
        <v/>
      </c>
      <c r="AH3051" s="15" t="str">
        <f t="shared" si="2"/>
        <v/>
      </c>
      <c r="AI3051" s="17" t="str">
        <f>IF(AG3051="","",INDEX('quitado Despesa'!$G$1:$G$12,AG3051))</f>
        <v/>
      </c>
      <c r="AJ3051" s="17" t="str">
        <f t="shared" si="3"/>
        <v/>
      </c>
    </row>
    <row r="3052" spans="31:36">
      <c r="AE3052" s="15" t="str">
        <f t="shared" si="0"/>
        <v/>
      </c>
      <c r="AF3052" s="15" t="str">
        <f t="shared" si="1"/>
        <v/>
      </c>
      <c r="AG3052" s="15" t="str">
        <f>IF(OR(AF3052="",AF3052="ERRO_CHAVE"),"",IFERROR(MATCH(AF3052,'quitado Despesa'!$V$1:$V$12,0),""))</f>
        <v/>
      </c>
      <c r="AH3052" s="15" t="str">
        <f t="shared" si="2"/>
        <v/>
      </c>
      <c r="AI3052" s="17" t="str">
        <f>IF(AG3052="","",INDEX('quitado Despesa'!$G$1:$G$12,AG3052))</f>
        <v/>
      </c>
      <c r="AJ3052" s="17" t="str">
        <f t="shared" si="3"/>
        <v/>
      </c>
    </row>
    <row r="3053" spans="31:36">
      <c r="AE3053" s="15" t="str">
        <f t="shared" si="0"/>
        <v/>
      </c>
      <c r="AF3053" s="15" t="str">
        <f t="shared" si="1"/>
        <v/>
      </c>
      <c r="AG3053" s="15" t="str">
        <f>IF(OR(AF3053="",AF3053="ERRO_CHAVE"),"",IFERROR(MATCH(AF3053,'quitado Despesa'!$V$1:$V$12,0),""))</f>
        <v/>
      </c>
      <c r="AH3053" s="15" t="str">
        <f t="shared" si="2"/>
        <v/>
      </c>
      <c r="AI3053" s="17" t="str">
        <f>IF(AG3053="","",INDEX('quitado Despesa'!$G$1:$G$12,AG3053))</f>
        <v/>
      </c>
      <c r="AJ3053" s="17" t="str">
        <f t="shared" si="3"/>
        <v/>
      </c>
    </row>
    <row r="3054" spans="31:36">
      <c r="AE3054" s="15" t="str">
        <f t="shared" si="0"/>
        <v/>
      </c>
      <c r="AF3054" s="15" t="str">
        <f t="shared" si="1"/>
        <v/>
      </c>
      <c r="AG3054" s="15" t="str">
        <f>IF(OR(AF3054="",AF3054="ERRO_CHAVE"),"",IFERROR(MATCH(AF3054,'quitado Despesa'!$V$1:$V$12,0),""))</f>
        <v/>
      </c>
      <c r="AH3054" s="15" t="str">
        <f t="shared" si="2"/>
        <v/>
      </c>
      <c r="AI3054" s="17" t="str">
        <f>IF(AG3054="","",INDEX('quitado Despesa'!$G$1:$G$12,AG3054))</f>
        <v/>
      </c>
      <c r="AJ3054" s="17" t="str">
        <f t="shared" si="3"/>
        <v/>
      </c>
    </row>
    <row r="3055" spans="31:36">
      <c r="AE3055" s="15" t="str">
        <f t="shared" si="0"/>
        <v/>
      </c>
      <c r="AF3055" s="15" t="str">
        <f t="shared" si="1"/>
        <v/>
      </c>
      <c r="AG3055" s="15" t="str">
        <f>IF(OR(AF3055="",AF3055="ERRO_CHAVE"),"",IFERROR(MATCH(AF3055,'quitado Despesa'!$V$1:$V$12,0),""))</f>
        <v/>
      </c>
      <c r="AH3055" s="15" t="str">
        <f t="shared" si="2"/>
        <v/>
      </c>
      <c r="AI3055" s="17" t="str">
        <f>IF(AG3055="","",INDEX('quitado Despesa'!$G$1:$G$12,AG3055))</f>
        <v/>
      </c>
      <c r="AJ3055" s="17" t="str">
        <f t="shared" si="3"/>
        <v/>
      </c>
    </row>
    <row r="3056" spans="31:36">
      <c r="AE3056" s="15" t="str">
        <f t="shared" si="0"/>
        <v/>
      </c>
      <c r="AF3056" s="15" t="str">
        <f t="shared" si="1"/>
        <v/>
      </c>
      <c r="AG3056" s="15" t="str">
        <f>IF(OR(AF3056="",AF3056="ERRO_CHAVE"),"",IFERROR(MATCH(AF3056,'quitado Despesa'!$V$1:$V$12,0),""))</f>
        <v/>
      </c>
      <c r="AH3056" s="15" t="str">
        <f t="shared" si="2"/>
        <v/>
      </c>
      <c r="AI3056" s="17" t="str">
        <f>IF(AG3056="","",INDEX('quitado Despesa'!$G$1:$G$12,AG3056))</f>
        <v/>
      </c>
      <c r="AJ3056" s="17" t="str">
        <f t="shared" si="3"/>
        <v/>
      </c>
    </row>
    <row r="3057" spans="31:36">
      <c r="AE3057" s="15" t="str">
        <f t="shared" si="0"/>
        <v/>
      </c>
      <c r="AF3057" s="15" t="str">
        <f t="shared" si="1"/>
        <v/>
      </c>
      <c r="AG3057" s="15" t="str">
        <f>IF(OR(AF3057="",AF3057="ERRO_CHAVE"),"",IFERROR(MATCH(AF3057,'quitado Despesa'!$V$1:$V$12,0),""))</f>
        <v/>
      </c>
      <c r="AH3057" s="15" t="str">
        <f t="shared" si="2"/>
        <v/>
      </c>
      <c r="AI3057" s="17" t="str">
        <f>IF(AG3057="","",INDEX('quitado Despesa'!$G$1:$G$12,AG3057))</f>
        <v/>
      </c>
      <c r="AJ3057" s="17" t="str">
        <f t="shared" si="3"/>
        <v/>
      </c>
    </row>
    <row r="3058" spans="31:36">
      <c r="AE3058" s="15" t="str">
        <f t="shared" si="0"/>
        <v/>
      </c>
      <c r="AF3058" s="15" t="str">
        <f t="shared" si="1"/>
        <v/>
      </c>
      <c r="AG3058" s="15" t="str">
        <f>IF(OR(AF3058="",AF3058="ERRO_CHAVE"),"",IFERROR(MATCH(AF3058,'quitado Despesa'!$V$1:$V$12,0),""))</f>
        <v/>
      </c>
      <c r="AH3058" s="15" t="str">
        <f t="shared" si="2"/>
        <v/>
      </c>
      <c r="AI3058" s="17" t="str">
        <f>IF(AG3058="","",INDEX('quitado Despesa'!$G$1:$G$12,AG3058))</f>
        <v/>
      </c>
      <c r="AJ3058" s="17" t="str">
        <f t="shared" si="3"/>
        <v/>
      </c>
    </row>
    <row r="3059" spans="31:36">
      <c r="AE3059" s="15" t="str">
        <f t="shared" si="0"/>
        <v/>
      </c>
      <c r="AF3059" s="15" t="str">
        <f t="shared" si="1"/>
        <v/>
      </c>
      <c r="AG3059" s="15" t="str">
        <f>IF(OR(AF3059="",AF3059="ERRO_CHAVE"),"",IFERROR(MATCH(AF3059,'quitado Despesa'!$V$1:$V$12,0),""))</f>
        <v/>
      </c>
      <c r="AH3059" s="15" t="str">
        <f t="shared" si="2"/>
        <v/>
      </c>
      <c r="AI3059" s="17" t="str">
        <f>IF(AG3059="","",INDEX('quitado Despesa'!$G$1:$G$12,AG3059))</f>
        <v/>
      </c>
      <c r="AJ3059" s="17" t="str">
        <f t="shared" si="3"/>
        <v/>
      </c>
    </row>
    <row r="3060" spans="31:36">
      <c r="AE3060" s="15" t="str">
        <f t="shared" si="0"/>
        <v/>
      </c>
      <c r="AF3060" s="15" t="str">
        <f t="shared" si="1"/>
        <v/>
      </c>
      <c r="AG3060" s="15" t="str">
        <f>IF(OR(AF3060="",AF3060="ERRO_CHAVE"),"",IFERROR(MATCH(AF3060,'quitado Despesa'!$V$1:$V$12,0),""))</f>
        <v/>
      </c>
      <c r="AH3060" s="15" t="str">
        <f t="shared" si="2"/>
        <v/>
      </c>
      <c r="AI3060" s="17" t="str">
        <f>IF(AG3060="","",INDEX('quitado Despesa'!$G$1:$G$12,AG3060))</f>
        <v/>
      </c>
      <c r="AJ3060" s="17" t="str">
        <f t="shared" si="3"/>
        <v/>
      </c>
    </row>
    <row r="3061" spans="31:36">
      <c r="AE3061" s="15" t="str">
        <f t="shared" si="0"/>
        <v/>
      </c>
      <c r="AF3061" s="15" t="str">
        <f t="shared" si="1"/>
        <v/>
      </c>
      <c r="AG3061" s="15" t="str">
        <f>IF(OR(AF3061="",AF3061="ERRO_CHAVE"),"",IFERROR(MATCH(AF3061,'quitado Despesa'!$V$1:$V$12,0),""))</f>
        <v/>
      </c>
      <c r="AH3061" s="15" t="str">
        <f t="shared" si="2"/>
        <v/>
      </c>
      <c r="AI3061" s="17" t="str">
        <f>IF(AG3061="","",INDEX('quitado Despesa'!$G$1:$G$12,AG3061))</f>
        <v/>
      </c>
      <c r="AJ3061" s="17" t="str">
        <f t="shared" si="3"/>
        <v/>
      </c>
    </row>
    <row r="3062" spans="31:36">
      <c r="AE3062" s="15" t="str">
        <f t="shared" si="0"/>
        <v/>
      </c>
      <c r="AF3062" s="15" t="str">
        <f t="shared" si="1"/>
        <v/>
      </c>
      <c r="AG3062" s="15" t="str">
        <f>IF(OR(AF3062="",AF3062="ERRO_CHAVE"),"",IFERROR(MATCH(AF3062,'quitado Despesa'!$V$1:$V$12,0),""))</f>
        <v/>
      </c>
      <c r="AH3062" s="15" t="str">
        <f t="shared" si="2"/>
        <v/>
      </c>
      <c r="AI3062" s="17" t="str">
        <f>IF(AG3062="","",INDEX('quitado Despesa'!$G$1:$G$12,AG3062))</f>
        <v/>
      </c>
      <c r="AJ3062" s="17" t="str">
        <f t="shared" si="3"/>
        <v/>
      </c>
    </row>
    <row r="3063" spans="31:36">
      <c r="AE3063" s="15" t="str">
        <f t="shared" si="0"/>
        <v/>
      </c>
      <c r="AF3063" s="15" t="str">
        <f t="shared" si="1"/>
        <v/>
      </c>
      <c r="AG3063" s="15" t="str">
        <f>IF(OR(AF3063="",AF3063="ERRO_CHAVE"),"",IFERROR(MATCH(AF3063,'quitado Despesa'!$V$1:$V$12,0),""))</f>
        <v/>
      </c>
      <c r="AH3063" s="15" t="str">
        <f t="shared" si="2"/>
        <v/>
      </c>
      <c r="AI3063" s="17" t="str">
        <f>IF(AG3063="","",INDEX('quitado Despesa'!$G$1:$G$12,AG3063))</f>
        <v/>
      </c>
      <c r="AJ3063" s="17" t="str">
        <f t="shared" si="3"/>
        <v/>
      </c>
    </row>
    <row r="3064" spans="31:36">
      <c r="AE3064" s="15" t="str">
        <f t="shared" si="0"/>
        <v/>
      </c>
      <c r="AF3064" s="15" t="str">
        <f t="shared" si="1"/>
        <v/>
      </c>
      <c r="AG3064" s="15" t="str">
        <f>IF(OR(AF3064="",AF3064="ERRO_CHAVE"),"",IFERROR(MATCH(AF3064,'quitado Despesa'!$V$1:$V$12,0),""))</f>
        <v/>
      </c>
      <c r="AH3064" s="15" t="str">
        <f t="shared" si="2"/>
        <v/>
      </c>
      <c r="AI3064" s="17" t="str">
        <f>IF(AG3064="","",INDEX('quitado Despesa'!$G$1:$G$12,AG3064))</f>
        <v/>
      </c>
      <c r="AJ3064" s="17" t="str">
        <f t="shared" si="3"/>
        <v/>
      </c>
    </row>
    <row r="3065" spans="31:36">
      <c r="AE3065" s="15" t="str">
        <f t="shared" si="0"/>
        <v/>
      </c>
      <c r="AF3065" s="15" t="str">
        <f t="shared" si="1"/>
        <v/>
      </c>
      <c r="AG3065" s="15" t="str">
        <f>IF(OR(AF3065="",AF3065="ERRO_CHAVE"),"",IFERROR(MATCH(AF3065,'quitado Despesa'!$V$1:$V$12,0),""))</f>
        <v/>
      </c>
      <c r="AH3065" s="15" t="str">
        <f t="shared" si="2"/>
        <v/>
      </c>
      <c r="AI3065" s="17" t="str">
        <f>IF(AG3065="","",INDEX('quitado Despesa'!$G$1:$G$12,AG3065))</f>
        <v/>
      </c>
      <c r="AJ3065" s="17" t="str">
        <f t="shared" si="3"/>
        <v/>
      </c>
    </row>
    <row r="3066" spans="31:36">
      <c r="AE3066" s="15" t="str">
        <f t="shared" si="0"/>
        <v/>
      </c>
      <c r="AF3066" s="15" t="str">
        <f t="shared" si="1"/>
        <v/>
      </c>
      <c r="AG3066" s="15" t="str">
        <f>IF(OR(AF3066="",AF3066="ERRO_CHAVE"),"",IFERROR(MATCH(AF3066,'quitado Despesa'!$V$1:$V$12,0),""))</f>
        <v/>
      </c>
      <c r="AH3066" s="15" t="str">
        <f t="shared" si="2"/>
        <v/>
      </c>
      <c r="AI3066" s="17" t="str">
        <f>IF(AG3066="","",INDEX('quitado Despesa'!$G$1:$G$12,AG3066))</f>
        <v/>
      </c>
      <c r="AJ3066" s="17" t="str">
        <f t="shared" si="3"/>
        <v/>
      </c>
    </row>
    <row r="3067" spans="31:36">
      <c r="AE3067" s="15" t="str">
        <f t="shared" si="0"/>
        <v/>
      </c>
      <c r="AF3067" s="15" t="str">
        <f t="shared" si="1"/>
        <v/>
      </c>
      <c r="AG3067" s="15" t="str">
        <f>IF(OR(AF3067="",AF3067="ERRO_CHAVE"),"",IFERROR(MATCH(AF3067,'quitado Despesa'!$V$1:$V$12,0),""))</f>
        <v/>
      </c>
      <c r="AH3067" s="15" t="str">
        <f t="shared" si="2"/>
        <v/>
      </c>
      <c r="AI3067" s="17" t="str">
        <f>IF(AG3067="","",INDEX('quitado Despesa'!$G$1:$G$12,AG3067))</f>
        <v/>
      </c>
      <c r="AJ3067" s="17" t="str">
        <f t="shared" si="3"/>
        <v/>
      </c>
    </row>
    <row r="3068" spans="31:36">
      <c r="AE3068" s="15" t="str">
        <f t="shared" si="0"/>
        <v/>
      </c>
      <c r="AF3068" s="15" t="str">
        <f t="shared" si="1"/>
        <v/>
      </c>
      <c r="AG3068" s="15" t="str">
        <f>IF(OR(AF3068="",AF3068="ERRO_CHAVE"),"",IFERROR(MATCH(AF3068,'quitado Despesa'!$V$1:$V$12,0),""))</f>
        <v/>
      </c>
      <c r="AH3068" s="15" t="str">
        <f t="shared" si="2"/>
        <v/>
      </c>
      <c r="AI3068" s="17" t="str">
        <f>IF(AG3068="","",INDEX('quitado Despesa'!$G$1:$G$12,AG3068))</f>
        <v/>
      </c>
      <c r="AJ3068" s="17" t="str">
        <f t="shared" si="3"/>
        <v/>
      </c>
    </row>
    <row r="3069" spans="31:36">
      <c r="AE3069" s="15" t="str">
        <f t="shared" si="0"/>
        <v/>
      </c>
      <c r="AF3069" s="15" t="str">
        <f t="shared" si="1"/>
        <v/>
      </c>
      <c r="AG3069" s="15" t="str">
        <f>IF(OR(AF3069="",AF3069="ERRO_CHAVE"),"",IFERROR(MATCH(AF3069,'quitado Despesa'!$V$1:$V$12,0),""))</f>
        <v/>
      </c>
      <c r="AH3069" s="15" t="str">
        <f t="shared" si="2"/>
        <v/>
      </c>
      <c r="AI3069" s="17" t="str">
        <f>IF(AG3069="","",INDEX('quitado Despesa'!$G$1:$G$12,AG3069))</f>
        <v/>
      </c>
      <c r="AJ3069" s="17" t="str">
        <f t="shared" si="3"/>
        <v/>
      </c>
    </row>
    <row r="3070" spans="31:36">
      <c r="AE3070" s="15" t="str">
        <f t="shared" si="0"/>
        <v/>
      </c>
      <c r="AF3070" s="15" t="str">
        <f t="shared" si="1"/>
        <v/>
      </c>
      <c r="AG3070" s="15" t="str">
        <f>IF(OR(AF3070="",AF3070="ERRO_CHAVE"),"",IFERROR(MATCH(AF3070,'quitado Despesa'!$V$1:$V$12,0),""))</f>
        <v/>
      </c>
      <c r="AH3070" s="15" t="str">
        <f t="shared" si="2"/>
        <v/>
      </c>
      <c r="AI3070" s="17" t="str">
        <f>IF(AG3070="","",INDEX('quitado Despesa'!$G$1:$G$12,AG3070))</f>
        <v/>
      </c>
      <c r="AJ3070" s="17" t="str">
        <f t="shared" si="3"/>
        <v/>
      </c>
    </row>
    <row r="3071" spans="31:36">
      <c r="AE3071" s="15" t="str">
        <f t="shared" si="0"/>
        <v/>
      </c>
      <c r="AF3071" s="15" t="str">
        <f t="shared" si="1"/>
        <v/>
      </c>
      <c r="AG3071" s="15" t="str">
        <f>IF(OR(AF3071="",AF3071="ERRO_CHAVE"),"",IFERROR(MATCH(AF3071,'quitado Despesa'!$V$1:$V$12,0),""))</f>
        <v/>
      </c>
      <c r="AH3071" s="15" t="str">
        <f t="shared" si="2"/>
        <v/>
      </c>
      <c r="AI3071" s="17" t="str">
        <f>IF(AG3071="","",INDEX('quitado Despesa'!$G$1:$G$12,AG3071))</f>
        <v/>
      </c>
      <c r="AJ3071" s="17" t="str">
        <f t="shared" si="3"/>
        <v/>
      </c>
    </row>
    <row r="3072" spans="31:36">
      <c r="AE3072" s="15" t="str">
        <f t="shared" si="0"/>
        <v/>
      </c>
      <c r="AF3072" s="15" t="str">
        <f t="shared" si="1"/>
        <v/>
      </c>
      <c r="AG3072" s="15" t="str">
        <f>IF(OR(AF3072="",AF3072="ERRO_CHAVE"),"",IFERROR(MATCH(AF3072,'quitado Despesa'!$V$1:$V$12,0),""))</f>
        <v/>
      </c>
      <c r="AH3072" s="15" t="str">
        <f t="shared" si="2"/>
        <v/>
      </c>
      <c r="AI3072" s="17" t="str">
        <f>IF(AG3072="","",INDEX('quitado Despesa'!$G$1:$G$12,AG3072))</f>
        <v/>
      </c>
      <c r="AJ3072" s="17" t="str">
        <f t="shared" si="3"/>
        <v/>
      </c>
    </row>
    <row r="3073" spans="31:36">
      <c r="AE3073" s="15" t="str">
        <f t="shared" si="0"/>
        <v/>
      </c>
      <c r="AF3073" s="15" t="str">
        <f t="shared" si="1"/>
        <v/>
      </c>
      <c r="AG3073" s="15" t="str">
        <f>IF(OR(AF3073="",AF3073="ERRO_CHAVE"),"",IFERROR(MATCH(AF3073,'quitado Despesa'!$V$1:$V$12,0),""))</f>
        <v/>
      </c>
      <c r="AH3073" s="15" t="str">
        <f t="shared" si="2"/>
        <v/>
      </c>
      <c r="AI3073" s="17" t="str">
        <f>IF(AG3073="","",INDEX('quitado Despesa'!$G$1:$G$12,AG3073))</f>
        <v/>
      </c>
      <c r="AJ3073" s="17" t="str">
        <f t="shared" si="3"/>
        <v/>
      </c>
    </row>
    <row r="3074" spans="31:36">
      <c r="AE3074" s="15" t="str">
        <f t="shared" si="0"/>
        <v/>
      </c>
      <c r="AF3074" s="15" t="str">
        <f t="shared" si="1"/>
        <v/>
      </c>
      <c r="AG3074" s="15" t="str">
        <f>IF(OR(AF3074="",AF3074="ERRO_CHAVE"),"",IFERROR(MATCH(AF3074,'quitado Despesa'!$V$1:$V$12,0),""))</f>
        <v/>
      </c>
      <c r="AH3074" s="15" t="str">
        <f t="shared" si="2"/>
        <v/>
      </c>
      <c r="AI3074" s="17" t="str">
        <f>IF(AG3074="","",INDEX('quitado Despesa'!$G$1:$G$12,AG3074))</f>
        <v/>
      </c>
      <c r="AJ3074" s="17" t="str">
        <f t="shared" si="3"/>
        <v/>
      </c>
    </row>
    <row r="3075" spans="31:36">
      <c r="AE3075" s="15" t="str">
        <f t="shared" si="0"/>
        <v/>
      </c>
      <c r="AF3075" s="15" t="str">
        <f t="shared" si="1"/>
        <v/>
      </c>
      <c r="AG3075" s="15" t="str">
        <f>IF(OR(AF3075="",AF3075="ERRO_CHAVE"),"",IFERROR(MATCH(AF3075,'quitado Despesa'!$V$1:$V$12,0),""))</f>
        <v/>
      </c>
      <c r="AH3075" s="15" t="str">
        <f t="shared" si="2"/>
        <v/>
      </c>
      <c r="AI3075" s="17" t="str">
        <f>IF(AG3075="","",INDEX('quitado Despesa'!$G$1:$G$12,AG3075))</f>
        <v/>
      </c>
      <c r="AJ3075" s="17" t="str">
        <f t="shared" si="3"/>
        <v/>
      </c>
    </row>
    <row r="3076" spans="31:36">
      <c r="AE3076" s="15" t="str">
        <f t="shared" si="0"/>
        <v/>
      </c>
      <c r="AF3076" s="15" t="str">
        <f t="shared" si="1"/>
        <v/>
      </c>
      <c r="AG3076" s="15" t="str">
        <f>IF(OR(AF3076="",AF3076="ERRO_CHAVE"),"",IFERROR(MATCH(AF3076,'quitado Despesa'!$V$1:$V$12,0),""))</f>
        <v/>
      </c>
      <c r="AH3076" s="15" t="str">
        <f t="shared" si="2"/>
        <v/>
      </c>
      <c r="AI3076" s="17" t="str">
        <f>IF(AG3076="","",INDEX('quitado Despesa'!$G$1:$G$12,AG3076))</f>
        <v/>
      </c>
      <c r="AJ3076" s="17" t="str">
        <f t="shared" si="3"/>
        <v/>
      </c>
    </row>
    <row r="3077" spans="31:36">
      <c r="AE3077" s="15" t="str">
        <f t="shared" si="0"/>
        <v/>
      </c>
      <c r="AF3077" s="15" t="str">
        <f t="shared" si="1"/>
        <v/>
      </c>
      <c r="AG3077" s="15" t="str">
        <f>IF(OR(AF3077="",AF3077="ERRO_CHAVE"),"",IFERROR(MATCH(AF3077,'quitado Despesa'!$V$1:$V$12,0),""))</f>
        <v/>
      </c>
      <c r="AH3077" s="15" t="str">
        <f t="shared" si="2"/>
        <v/>
      </c>
      <c r="AI3077" s="17" t="str">
        <f>IF(AG3077="","",INDEX('quitado Despesa'!$G$1:$G$12,AG3077))</f>
        <v/>
      </c>
      <c r="AJ3077" s="17" t="str">
        <f t="shared" si="3"/>
        <v/>
      </c>
    </row>
    <row r="3078" spans="31:36">
      <c r="AE3078" s="15" t="str">
        <f t="shared" si="0"/>
        <v/>
      </c>
      <c r="AF3078" s="15" t="str">
        <f t="shared" si="1"/>
        <v/>
      </c>
      <c r="AG3078" s="15" t="str">
        <f>IF(OR(AF3078="",AF3078="ERRO_CHAVE"),"",IFERROR(MATCH(AF3078,'quitado Despesa'!$V$1:$V$12,0),""))</f>
        <v/>
      </c>
      <c r="AH3078" s="15" t="str">
        <f t="shared" si="2"/>
        <v/>
      </c>
      <c r="AI3078" s="17" t="str">
        <f>IF(AG3078="","",INDEX('quitado Despesa'!$G$1:$G$12,AG3078))</f>
        <v/>
      </c>
      <c r="AJ3078" s="17" t="str">
        <f t="shared" si="3"/>
        <v/>
      </c>
    </row>
    <row r="3079" spans="31:36">
      <c r="AE3079" s="15" t="str">
        <f t="shared" si="0"/>
        <v/>
      </c>
      <c r="AF3079" s="15" t="str">
        <f t="shared" si="1"/>
        <v/>
      </c>
      <c r="AG3079" s="15" t="str">
        <f>IF(OR(AF3079="",AF3079="ERRO_CHAVE"),"",IFERROR(MATCH(AF3079,'quitado Despesa'!$V$1:$V$12,0),""))</f>
        <v/>
      </c>
      <c r="AH3079" s="15" t="str">
        <f t="shared" si="2"/>
        <v/>
      </c>
      <c r="AI3079" s="17" t="str">
        <f>IF(AG3079="","",INDEX('quitado Despesa'!$G$1:$G$12,AG3079))</f>
        <v/>
      </c>
      <c r="AJ3079" s="17" t="str">
        <f t="shared" si="3"/>
        <v/>
      </c>
    </row>
    <row r="3080" spans="31:36">
      <c r="AE3080" s="15" t="str">
        <f t="shared" si="0"/>
        <v/>
      </c>
      <c r="AF3080" s="15" t="str">
        <f t="shared" si="1"/>
        <v/>
      </c>
      <c r="AG3080" s="15" t="str">
        <f>IF(OR(AF3080="",AF3080="ERRO_CHAVE"),"",IFERROR(MATCH(AF3080,'quitado Despesa'!$V$1:$V$12,0),""))</f>
        <v/>
      </c>
      <c r="AH3080" s="15" t="str">
        <f t="shared" si="2"/>
        <v/>
      </c>
      <c r="AI3080" s="17" t="str">
        <f>IF(AG3080="","",INDEX('quitado Despesa'!$G$1:$G$12,AG3080))</f>
        <v/>
      </c>
      <c r="AJ3080" s="17" t="str">
        <f t="shared" si="3"/>
        <v/>
      </c>
    </row>
    <row r="3081" spans="31:36">
      <c r="AE3081" s="15" t="str">
        <f t="shared" si="0"/>
        <v/>
      </c>
      <c r="AF3081" s="15" t="str">
        <f t="shared" si="1"/>
        <v/>
      </c>
      <c r="AG3081" s="15" t="str">
        <f>IF(OR(AF3081="",AF3081="ERRO_CHAVE"),"",IFERROR(MATCH(AF3081,'quitado Despesa'!$V$1:$V$12,0),""))</f>
        <v/>
      </c>
      <c r="AH3081" s="15" t="str">
        <f t="shared" si="2"/>
        <v/>
      </c>
      <c r="AI3081" s="17" t="str">
        <f>IF(AG3081="","",INDEX('quitado Despesa'!$G$1:$G$12,AG3081))</f>
        <v/>
      </c>
      <c r="AJ3081" s="17" t="str">
        <f t="shared" si="3"/>
        <v/>
      </c>
    </row>
    <row r="3082" spans="31:36">
      <c r="AE3082" s="15" t="str">
        <f t="shared" si="0"/>
        <v/>
      </c>
      <c r="AF3082" s="15" t="str">
        <f t="shared" si="1"/>
        <v/>
      </c>
      <c r="AG3082" s="15" t="str">
        <f>IF(OR(AF3082="",AF3082="ERRO_CHAVE"),"",IFERROR(MATCH(AF3082,'quitado Despesa'!$V$1:$V$12,0),""))</f>
        <v/>
      </c>
      <c r="AH3082" s="15" t="str">
        <f t="shared" si="2"/>
        <v/>
      </c>
      <c r="AI3082" s="17" t="str">
        <f>IF(AG3082="","",INDEX('quitado Despesa'!$G$1:$G$12,AG3082))</f>
        <v/>
      </c>
      <c r="AJ3082" s="17" t="str">
        <f t="shared" si="3"/>
        <v/>
      </c>
    </row>
    <row r="3083" spans="31:36">
      <c r="AE3083" s="15" t="str">
        <f t="shared" si="0"/>
        <v/>
      </c>
      <c r="AF3083" s="15" t="str">
        <f t="shared" si="1"/>
        <v/>
      </c>
      <c r="AG3083" s="15" t="str">
        <f>IF(OR(AF3083="",AF3083="ERRO_CHAVE"),"",IFERROR(MATCH(AF3083,'quitado Despesa'!$V$1:$V$12,0),""))</f>
        <v/>
      </c>
      <c r="AH3083" s="15" t="str">
        <f t="shared" si="2"/>
        <v/>
      </c>
      <c r="AI3083" s="17" t="str">
        <f>IF(AG3083="","",INDEX('quitado Despesa'!$G$1:$G$12,AG3083))</f>
        <v/>
      </c>
      <c r="AJ3083" s="17" t="str">
        <f t="shared" si="3"/>
        <v/>
      </c>
    </row>
    <row r="3084" spans="31:36">
      <c r="AE3084" s="15" t="str">
        <f t="shared" si="0"/>
        <v/>
      </c>
      <c r="AF3084" s="15" t="str">
        <f t="shared" si="1"/>
        <v/>
      </c>
      <c r="AG3084" s="15" t="str">
        <f>IF(OR(AF3084="",AF3084="ERRO_CHAVE"),"",IFERROR(MATCH(AF3084,'quitado Despesa'!$V$1:$V$12,0),""))</f>
        <v/>
      </c>
      <c r="AH3084" s="15" t="str">
        <f t="shared" si="2"/>
        <v/>
      </c>
      <c r="AI3084" s="17" t="str">
        <f>IF(AG3084="","",INDEX('quitado Despesa'!$G$1:$G$12,AG3084))</f>
        <v/>
      </c>
      <c r="AJ3084" s="17" t="str">
        <f t="shared" si="3"/>
        <v/>
      </c>
    </row>
    <row r="3085" spans="31:36">
      <c r="AE3085" s="15" t="str">
        <f t="shared" si="0"/>
        <v/>
      </c>
      <c r="AF3085" s="15" t="str">
        <f t="shared" si="1"/>
        <v/>
      </c>
      <c r="AG3085" s="15" t="str">
        <f>IF(OR(AF3085="",AF3085="ERRO_CHAVE"),"",IFERROR(MATCH(AF3085,'quitado Despesa'!$V$1:$V$12,0),""))</f>
        <v/>
      </c>
      <c r="AH3085" s="15" t="str">
        <f t="shared" si="2"/>
        <v/>
      </c>
      <c r="AI3085" s="17" t="str">
        <f>IF(AG3085="","",INDEX('quitado Despesa'!$G$1:$G$12,AG3085))</f>
        <v/>
      </c>
      <c r="AJ3085" s="17" t="str">
        <f t="shared" si="3"/>
        <v/>
      </c>
    </row>
    <row r="3086" spans="31:36">
      <c r="AE3086" s="15" t="str">
        <f t="shared" si="0"/>
        <v/>
      </c>
      <c r="AF3086" s="15" t="str">
        <f t="shared" si="1"/>
        <v/>
      </c>
      <c r="AG3086" s="15" t="str">
        <f>IF(OR(AF3086="",AF3086="ERRO_CHAVE"),"",IFERROR(MATCH(AF3086,'quitado Despesa'!$V$1:$V$12,0),""))</f>
        <v/>
      </c>
      <c r="AH3086" s="15" t="str">
        <f t="shared" si="2"/>
        <v/>
      </c>
      <c r="AI3086" s="17" t="str">
        <f>IF(AG3086="","",INDEX('quitado Despesa'!$G$1:$G$12,AG3086))</f>
        <v/>
      </c>
      <c r="AJ3086" s="17" t="str">
        <f t="shared" si="3"/>
        <v/>
      </c>
    </row>
    <row r="3087" spans="31:36">
      <c r="AE3087" s="15" t="str">
        <f t="shared" si="0"/>
        <v/>
      </c>
      <c r="AF3087" s="15" t="str">
        <f t="shared" si="1"/>
        <v/>
      </c>
      <c r="AG3087" s="15" t="str">
        <f>IF(OR(AF3087="",AF3087="ERRO_CHAVE"),"",IFERROR(MATCH(AF3087,'quitado Despesa'!$V$1:$V$12,0),""))</f>
        <v/>
      </c>
      <c r="AH3087" s="15" t="str">
        <f t="shared" si="2"/>
        <v/>
      </c>
      <c r="AI3087" s="17" t="str">
        <f>IF(AG3087="","",INDEX('quitado Despesa'!$G$1:$G$12,AG3087))</f>
        <v/>
      </c>
      <c r="AJ3087" s="17" t="str">
        <f t="shared" si="3"/>
        <v/>
      </c>
    </row>
    <row r="3088" spans="31:36">
      <c r="AE3088" s="15" t="str">
        <f t="shared" si="0"/>
        <v/>
      </c>
      <c r="AF3088" s="15" t="str">
        <f t="shared" si="1"/>
        <v/>
      </c>
      <c r="AG3088" s="15" t="str">
        <f>IF(OR(AF3088="",AF3088="ERRO_CHAVE"),"",IFERROR(MATCH(AF3088,'quitado Despesa'!$V$1:$V$12,0),""))</f>
        <v/>
      </c>
      <c r="AH3088" s="15" t="str">
        <f t="shared" si="2"/>
        <v/>
      </c>
      <c r="AI3088" s="17" t="str">
        <f>IF(AG3088="","",INDEX('quitado Despesa'!$G$1:$G$12,AG3088))</f>
        <v/>
      </c>
      <c r="AJ3088" s="17" t="str">
        <f t="shared" si="3"/>
        <v/>
      </c>
    </row>
    <row r="3089" spans="31:36">
      <c r="AE3089" s="15" t="str">
        <f t="shared" si="0"/>
        <v/>
      </c>
      <c r="AF3089" s="15" t="str">
        <f t="shared" si="1"/>
        <v/>
      </c>
      <c r="AG3089" s="15" t="str">
        <f>IF(OR(AF3089="",AF3089="ERRO_CHAVE"),"",IFERROR(MATCH(AF3089,'quitado Despesa'!$V$1:$V$12,0),""))</f>
        <v/>
      </c>
      <c r="AH3089" s="15" t="str">
        <f t="shared" si="2"/>
        <v/>
      </c>
      <c r="AI3089" s="17" t="str">
        <f>IF(AG3089="","",INDEX('quitado Despesa'!$G$1:$G$12,AG3089))</f>
        <v/>
      </c>
      <c r="AJ3089" s="17" t="str">
        <f t="shared" si="3"/>
        <v/>
      </c>
    </row>
    <row r="3090" spans="31:36">
      <c r="AE3090" s="15" t="str">
        <f t="shared" si="0"/>
        <v/>
      </c>
      <c r="AF3090" s="15" t="str">
        <f t="shared" si="1"/>
        <v/>
      </c>
      <c r="AG3090" s="15" t="str">
        <f>IF(OR(AF3090="",AF3090="ERRO_CHAVE"),"",IFERROR(MATCH(AF3090,'quitado Despesa'!$V$1:$V$12,0),""))</f>
        <v/>
      </c>
      <c r="AH3090" s="15" t="str">
        <f t="shared" si="2"/>
        <v/>
      </c>
      <c r="AI3090" s="17" t="str">
        <f>IF(AG3090="","",INDEX('quitado Despesa'!$G$1:$G$12,AG3090))</f>
        <v/>
      </c>
      <c r="AJ3090" s="17" t="str">
        <f t="shared" si="3"/>
        <v/>
      </c>
    </row>
    <row r="3091" spans="31:36">
      <c r="AE3091" s="15" t="str">
        <f t="shared" si="0"/>
        <v/>
      </c>
      <c r="AF3091" s="15" t="str">
        <f t="shared" si="1"/>
        <v/>
      </c>
      <c r="AG3091" s="15" t="str">
        <f>IF(OR(AF3091="",AF3091="ERRO_CHAVE"),"",IFERROR(MATCH(AF3091,'quitado Despesa'!$V$1:$V$12,0),""))</f>
        <v/>
      </c>
      <c r="AH3091" s="15" t="str">
        <f t="shared" si="2"/>
        <v/>
      </c>
      <c r="AI3091" s="17" t="str">
        <f>IF(AG3091="","",INDEX('quitado Despesa'!$G$1:$G$12,AG3091))</f>
        <v/>
      </c>
      <c r="AJ3091" s="17" t="str">
        <f t="shared" si="3"/>
        <v/>
      </c>
    </row>
    <row r="3092" spans="31:36">
      <c r="AE3092" s="15" t="str">
        <f t="shared" si="0"/>
        <v/>
      </c>
      <c r="AF3092" s="15" t="str">
        <f t="shared" si="1"/>
        <v/>
      </c>
      <c r="AG3092" s="15" t="str">
        <f>IF(OR(AF3092="",AF3092="ERRO_CHAVE"),"",IFERROR(MATCH(AF3092,'quitado Despesa'!$V$1:$V$12,0),""))</f>
        <v/>
      </c>
      <c r="AH3092" s="15" t="str">
        <f t="shared" si="2"/>
        <v/>
      </c>
      <c r="AI3092" s="17" t="str">
        <f>IF(AG3092="","",INDEX('quitado Despesa'!$G$1:$G$12,AG3092))</f>
        <v/>
      </c>
      <c r="AJ3092" s="17" t="str">
        <f t="shared" si="3"/>
        <v/>
      </c>
    </row>
    <row r="3093" spans="31:36">
      <c r="AE3093" s="15" t="str">
        <f t="shared" si="0"/>
        <v/>
      </c>
      <c r="AF3093" s="15" t="str">
        <f t="shared" si="1"/>
        <v/>
      </c>
      <c r="AG3093" s="15" t="str">
        <f>IF(OR(AF3093="",AF3093="ERRO_CHAVE"),"",IFERROR(MATCH(AF3093,'quitado Despesa'!$V$1:$V$12,0),""))</f>
        <v/>
      </c>
      <c r="AH3093" s="15" t="str">
        <f t="shared" si="2"/>
        <v/>
      </c>
      <c r="AI3093" s="17" t="str">
        <f>IF(AG3093="","",INDEX('quitado Despesa'!$G$1:$G$12,AG3093))</f>
        <v/>
      </c>
      <c r="AJ3093" s="17" t="str">
        <f t="shared" si="3"/>
        <v/>
      </c>
    </row>
    <row r="3094" spans="31:36">
      <c r="AE3094" s="15" t="str">
        <f t="shared" si="0"/>
        <v/>
      </c>
      <c r="AF3094" s="15" t="str">
        <f t="shared" si="1"/>
        <v/>
      </c>
      <c r="AG3094" s="15" t="str">
        <f>IF(OR(AF3094="",AF3094="ERRO_CHAVE"),"",IFERROR(MATCH(AF3094,'quitado Despesa'!$V$1:$V$12,0),""))</f>
        <v/>
      </c>
      <c r="AH3094" s="15" t="str">
        <f t="shared" si="2"/>
        <v/>
      </c>
      <c r="AI3094" s="17" t="str">
        <f>IF(AG3094="","",INDEX('quitado Despesa'!$G$1:$G$12,AG3094))</f>
        <v/>
      </c>
      <c r="AJ3094" s="17" t="str">
        <f t="shared" si="3"/>
        <v/>
      </c>
    </row>
    <row r="3095" spans="31:36">
      <c r="AE3095" s="15" t="str">
        <f t="shared" si="0"/>
        <v/>
      </c>
      <c r="AF3095" s="15" t="str">
        <f t="shared" si="1"/>
        <v/>
      </c>
      <c r="AG3095" s="15" t="str">
        <f>IF(OR(AF3095="",AF3095="ERRO_CHAVE"),"",IFERROR(MATCH(AF3095,'quitado Despesa'!$V$1:$V$12,0),""))</f>
        <v/>
      </c>
      <c r="AH3095" s="15" t="str">
        <f t="shared" si="2"/>
        <v/>
      </c>
      <c r="AI3095" s="17" t="str">
        <f>IF(AG3095="","",INDEX('quitado Despesa'!$G$1:$G$12,AG3095))</f>
        <v/>
      </c>
      <c r="AJ3095" s="17" t="str">
        <f t="shared" si="3"/>
        <v/>
      </c>
    </row>
    <row r="3096" spans="31:36">
      <c r="AE3096" s="15" t="str">
        <f t="shared" si="0"/>
        <v/>
      </c>
      <c r="AF3096" s="15" t="str">
        <f t="shared" si="1"/>
        <v/>
      </c>
      <c r="AG3096" s="15" t="str">
        <f>IF(OR(AF3096="",AF3096="ERRO_CHAVE"),"",IFERROR(MATCH(AF3096,'quitado Despesa'!$V$1:$V$12,0),""))</f>
        <v/>
      </c>
      <c r="AH3096" s="15" t="str">
        <f t="shared" si="2"/>
        <v/>
      </c>
      <c r="AI3096" s="17" t="str">
        <f>IF(AG3096="","",INDEX('quitado Despesa'!$G$1:$G$12,AG3096))</f>
        <v/>
      </c>
      <c r="AJ3096" s="17" t="str">
        <f t="shared" si="3"/>
        <v/>
      </c>
    </row>
    <row r="3097" spans="31:36">
      <c r="AE3097" s="15" t="str">
        <f t="shared" si="0"/>
        <v/>
      </c>
      <c r="AF3097" s="15" t="str">
        <f t="shared" si="1"/>
        <v/>
      </c>
      <c r="AG3097" s="15" t="str">
        <f>IF(OR(AF3097="",AF3097="ERRO_CHAVE"),"",IFERROR(MATCH(AF3097,'quitado Despesa'!$V$1:$V$12,0),""))</f>
        <v/>
      </c>
      <c r="AH3097" s="15" t="str">
        <f t="shared" si="2"/>
        <v/>
      </c>
      <c r="AI3097" s="17" t="str">
        <f>IF(AG3097="","",INDEX('quitado Despesa'!$G$1:$G$12,AG3097))</f>
        <v/>
      </c>
      <c r="AJ3097" s="17" t="str">
        <f t="shared" si="3"/>
        <v/>
      </c>
    </row>
    <row r="3098" spans="31:36">
      <c r="AE3098" s="15" t="str">
        <f t="shared" si="0"/>
        <v/>
      </c>
      <c r="AF3098" s="15" t="str">
        <f t="shared" si="1"/>
        <v/>
      </c>
      <c r="AG3098" s="15" t="str">
        <f>IF(OR(AF3098="",AF3098="ERRO_CHAVE"),"",IFERROR(MATCH(AF3098,'quitado Despesa'!$V$1:$V$12,0),""))</f>
        <v/>
      </c>
      <c r="AH3098" s="15" t="str">
        <f t="shared" si="2"/>
        <v/>
      </c>
      <c r="AI3098" s="17" t="str">
        <f>IF(AG3098="","",INDEX('quitado Despesa'!$G$1:$G$12,AG3098))</f>
        <v/>
      </c>
      <c r="AJ3098" s="17" t="str">
        <f t="shared" si="3"/>
        <v/>
      </c>
    </row>
    <row r="3099" spans="31:36">
      <c r="AE3099" s="15" t="str">
        <f t="shared" si="0"/>
        <v/>
      </c>
      <c r="AF3099" s="15" t="str">
        <f t="shared" si="1"/>
        <v/>
      </c>
      <c r="AG3099" s="15" t="str">
        <f>IF(OR(AF3099="",AF3099="ERRO_CHAVE"),"",IFERROR(MATCH(AF3099,'quitado Despesa'!$V$1:$V$12,0),""))</f>
        <v/>
      </c>
      <c r="AH3099" s="15" t="str">
        <f t="shared" si="2"/>
        <v/>
      </c>
      <c r="AI3099" s="17" t="str">
        <f>IF(AG3099="","",INDEX('quitado Despesa'!$G$1:$G$12,AG3099))</f>
        <v/>
      </c>
      <c r="AJ3099" s="17" t="str">
        <f t="shared" si="3"/>
        <v/>
      </c>
    </row>
    <row r="3100" spans="31:36">
      <c r="AE3100" s="15" t="str">
        <f t="shared" si="0"/>
        <v/>
      </c>
      <c r="AF3100" s="15" t="str">
        <f t="shared" si="1"/>
        <v/>
      </c>
      <c r="AG3100" s="15" t="str">
        <f>IF(OR(AF3100="",AF3100="ERRO_CHAVE"),"",IFERROR(MATCH(AF3100,'quitado Despesa'!$V$1:$V$12,0),""))</f>
        <v/>
      </c>
      <c r="AH3100" s="15" t="str">
        <f t="shared" si="2"/>
        <v/>
      </c>
      <c r="AI3100" s="17" t="str">
        <f>IF(AG3100="","",INDEX('quitado Despesa'!$G$1:$G$12,AG3100))</f>
        <v/>
      </c>
      <c r="AJ3100" s="17" t="str">
        <f t="shared" si="3"/>
        <v/>
      </c>
    </row>
    <row r="3101" spans="31:36">
      <c r="AE3101" s="15" t="str">
        <f t="shared" si="0"/>
        <v/>
      </c>
      <c r="AF3101" s="15" t="str">
        <f t="shared" si="1"/>
        <v/>
      </c>
      <c r="AG3101" s="15" t="str">
        <f>IF(OR(AF3101="",AF3101="ERRO_CHAVE"),"",IFERROR(MATCH(AF3101,'quitado Despesa'!$V$1:$V$12,0),""))</f>
        <v/>
      </c>
      <c r="AH3101" s="15" t="str">
        <f t="shared" si="2"/>
        <v/>
      </c>
      <c r="AI3101" s="17" t="str">
        <f>IF(AG3101="","",INDEX('quitado Despesa'!$G$1:$G$12,AG3101))</f>
        <v/>
      </c>
      <c r="AJ3101" s="17" t="str">
        <f t="shared" si="3"/>
        <v/>
      </c>
    </row>
    <row r="3102" spans="31:36">
      <c r="AE3102" s="15" t="str">
        <f t="shared" si="0"/>
        <v/>
      </c>
      <c r="AF3102" s="15" t="str">
        <f t="shared" si="1"/>
        <v/>
      </c>
      <c r="AG3102" s="15" t="str">
        <f>IF(OR(AF3102="",AF3102="ERRO_CHAVE"),"",IFERROR(MATCH(AF3102,'quitado Despesa'!$V$1:$V$12,0),""))</f>
        <v/>
      </c>
      <c r="AH3102" s="15" t="str">
        <f t="shared" si="2"/>
        <v/>
      </c>
      <c r="AI3102" s="17" t="str">
        <f>IF(AG3102="","",INDEX('quitado Despesa'!$G$1:$G$12,AG3102))</f>
        <v/>
      </c>
      <c r="AJ3102" s="17" t="str">
        <f t="shared" si="3"/>
        <v/>
      </c>
    </row>
    <row r="3103" spans="31:36">
      <c r="AE3103" s="15" t="str">
        <f t="shared" si="0"/>
        <v/>
      </c>
      <c r="AF3103" s="15" t="str">
        <f t="shared" si="1"/>
        <v/>
      </c>
      <c r="AG3103" s="15" t="str">
        <f>IF(OR(AF3103="",AF3103="ERRO_CHAVE"),"",IFERROR(MATCH(AF3103,'quitado Despesa'!$V$1:$V$12,0),""))</f>
        <v/>
      </c>
      <c r="AH3103" s="15" t="str">
        <f t="shared" si="2"/>
        <v/>
      </c>
      <c r="AI3103" s="17" t="str">
        <f>IF(AG3103="","",INDEX('quitado Despesa'!$G$1:$G$12,AG3103))</f>
        <v/>
      </c>
      <c r="AJ3103" s="17" t="str">
        <f t="shared" si="3"/>
        <v/>
      </c>
    </row>
    <row r="3104" spans="31:36">
      <c r="AE3104" s="15" t="str">
        <f t="shared" si="0"/>
        <v/>
      </c>
      <c r="AF3104" s="15" t="str">
        <f t="shared" si="1"/>
        <v/>
      </c>
      <c r="AG3104" s="15" t="str">
        <f>IF(OR(AF3104="",AF3104="ERRO_CHAVE"),"",IFERROR(MATCH(AF3104,'quitado Despesa'!$V$1:$V$12,0),""))</f>
        <v/>
      </c>
      <c r="AH3104" s="15" t="str">
        <f t="shared" si="2"/>
        <v/>
      </c>
      <c r="AI3104" s="17" t="str">
        <f>IF(AG3104="","",INDEX('quitado Despesa'!$G$1:$G$12,AG3104))</f>
        <v/>
      </c>
      <c r="AJ3104" s="17" t="str">
        <f t="shared" si="3"/>
        <v/>
      </c>
    </row>
    <row r="3105" spans="31:36">
      <c r="AE3105" s="15" t="str">
        <f t="shared" si="0"/>
        <v/>
      </c>
      <c r="AF3105" s="15" t="str">
        <f t="shared" si="1"/>
        <v/>
      </c>
      <c r="AG3105" s="15" t="str">
        <f>IF(OR(AF3105="",AF3105="ERRO_CHAVE"),"",IFERROR(MATCH(AF3105,'quitado Despesa'!$V$1:$V$12,0),""))</f>
        <v/>
      </c>
      <c r="AH3105" s="15" t="str">
        <f t="shared" si="2"/>
        <v/>
      </c>
      <c r="AI3105" s="17" t="str">
        <f>IF(AG3105="","",INDEX('quitado Despesa'!$G$1:$G$12,AG3105))</f>
        <v/>
      </c>
      <c r="AJ3105" s="17" t="str">
        <f t="shared" si="3"/>
        <v/>
      </c>
    </row>
    <row r="3106" spans="31:36">
      <c r="AE3106" s="15" t="str">
        <f t="shared" si="0"/>
        <v/>
      </c>
      <c r="AF3106" s="15" t="str">
        <f t="shared" si="1"/>
        <v/>
      </c>
      <c r="AG3106" s="15" t="str">
        <f>IF(OR(AF3106="",AF3106="ERRO_CHAVE"),"",IFERROR(MATCH(AF3106,'quitado Despesa'!$V$1:$V$12,0),""))</f>
        <v/>
      </c>
      <c r="AH3106" s="15" t="str">
        <f t="shared" si="2"/>
        <v/>
      </c>
      <c r="AI3106" s="17" t="str">
        <f>IF(AG3106="","",INDEX('quitado Despesa'!$G$1:$G$12,AG3106))</f>
        <v/>
      </c>
      <c r="AJ3106" s="17" t="str">
        <f t="shared" si="3"/>
        <v/>
      </c>
    </row>
    <row r="3107" spans="31:36">
      <c r="AE3107" s="15" t="str">
        <f t="shared" si="0"/>
        <v/>
      </c>
      <c r="AF3107" s="15" t="str">
        <f t="shared" si="1"/>
        <v/>
      </c>
      <c r="AG3107" s="15" t="str">
        <f>IF(OR(AF3107="",AF3107="ERRO_CHAVE"),"",IFERROR(MATCH(AF3107,'quitado Despesa'!$V$1:$V$12,0),""))</f>
        <v/>
      </c>
      <c r="AH3107" s="15" t="str">
        <f t="shared" si="2"/>
        <v/>
      </c>
      <c r="AI3107" s="17" t="str">
        <f>IF(AG3107="","",INDEX('quitado Despesa'!$G$1:$G$12,AG3107))</f>
        <v/>
      </c>
      <c r="AJ3107" s="17" t="str">
        <f t="shared" si="3"/>
        <v/>
      </c>
    </row>
    <row r="3108" spans="31:36">
      <c r="AE3108" s="15" t="str">
        <f t="shared" si="0"/>
        <v/>
      </c>
      <c r="AF3108" s="15" t="str">
        <f t="shared" si="1"/>
        <v/>
      </c>
      <c r="AG3108" s="15" t="str">
        <f>IF(OR(AF3108="",AF3108="ERRO_CHAVE"),"",IFERROR(MATCH(AF3108,'quitado Despesa'!$V$1:$V$12,0),""))</f>
        <v/>
      </c>
      <c r="AH3108" s="15" t="str">
        <f t="shared" si="2"/>
        <v/>
      </c>
      <c r="AI3108" s="17" t="str">
        <f>IF(AG3108="","",INDEX('quitado Despesa'!$G$1:$G$12,AG3108))</f>
        <v/>
      </c>
      <c r="AJ3108" s="17" t="str">
        <f t="shared" si="3"/>
        <v/>
      </c>
    </row>
    <row r="3109" spans="31:36">
      <c r="AE3109" s="15" t="str">
        <f t="shared" si="0"/>
        <v/>
      </c>
      <c r="AF3109" s="15" t="str">
        <f t="shared" si="1"/>
        <v/>
      </c>
      <c r="AG3109" s="15" t="str">
        <f>IF(OR(AF3109="",AF3109="ERRO_CHAVE"),"",IFERROR(MATCH(AF3109,'quitado Despesa'!$V$1:$V$12,0),""))</f>
        <v/>
      </c>
      <c r="AH3109" s="15" t="str">
        <f t="shared" si="2"/>
        <v/>
      </c>
      <c r="AI3109" s="17" t="str">
        <f>IF(AG3109="","",INDEX('quitado Despesa'!$G$1:$G$12,AG3109))</f>
        <v/>
      </c>
      <c r="AJ3109" s="17" t="str">
        <f t="shared" si="3"/>
        <v/>
      </c>
    </row>
    <row r="3110" spans="31:36">
      <c r="AE3110" s="15" t="str">
        <f t="shared" si="0"/>
        <v/>
      </c>
      <c r="AF3110" s="15" t="str">
        <f t="shared" si="1"/>
        <v/>
      </c>
      <c r="AG3110" s="15" t="str">
        <f>IF(OR(AF3110="",AF3110="ERRO_CHAVE"),"",IFERROR(MATCH(AF3110,'quitado Despesa'!$V$1:$V$12,0),""))</f>
        <v/>
      </c>
      <c r="AH3110" s="15" t="str">
        <f t="shared" si="2"/>
        <v/>
      </c>
      <c r="AI3110" s="17" t="str">
        <f>IF(AG3110="","",INDEX('quitado Despesa'!$G$1:$G$12,AG3110))</f>
        <v/>
      </c>
      <c r="AJ3110" s="17" t="str">
        <f t="shared" si="3"/>
        <v/>
      </c>
    </row>
    <row r="3111" spans="31:36">
      <c r="AE3111" s="15" t="str">
        <f t="shared" si="0"/>
        <v/>
      </c>
      <c r="AF3111" s="15" t="str">
        <f t="shared" si="1"/>
        <v/>
      </c>
      <c r="AG3111" s="15" t="str">
        <f>IF(OR(AF3111="",AF3111="ERRO_CHAVE"),"",IFERROR(MATCH(AF3111,'quitado Despesa'!$V$1:$V$12,0),""))</f>
        <v/>
      </c>
      <c r="AH3111" s="15" t="str">
        <f t="shared" si="2"/>
        <v/>
      </c>
      <c r="AI3111" s="17" t="str">
        <f>IF(AG3111="","",INDEX('quitado Despesa'!$G$1:$G$12,AG3111))</f>
        <v/>
      </c>
      <c r="AJ3111" s="17" t="str">
        <f t="shared" si="3"/>
        <v/>
      </c>
    </row>
    <row r="3112" spans="31:36">
      <c r="AE3112" s="15" t="str">
        <f t="shared" si="0"/>
        <v/>
      </c>
      <c r="AF3112" s="15" t="str">
        <f t="shared" si="1"/>
        <v/>
      </c>
      <c r="AG3112" s="15" t="str">
        <f>IF(OR(AF3112="",AF3112="ERRO_CHAVE"),"",IFERROR(MATCH(AF3112,'quitado Despesa'!$V$1:$V$12,0),""))</f>
        <v/>
      </c>
      <c r="AH3112" s="15" t="str">
        <f t="shared" si="2"/>
        <v/>
      </c>
      <c r="AI3112" s="17" t="str">
        <f>IF(AG3112="","",INDEX('quitado Despesa'!$G$1:$G$12,AG3112))</f>
        <v/>
      </c>
      <c r="AJ3112" s="17" t="str">
        <f t="shared" si="3"/>
        <v/>
      </c>
    </row>
    <row r="3113" spans="31:36">
      <c r="AE3113" s="15" t="str">
        <f t="shared" si="0"/>
        <v/>
      </c>
      <c r="AF3113" s="15" t="str">
        <f t="shared" si="1"/>
        <v/>
      </c>
      <c r="AG3113" s="15" t="str">
        <f>IF(OR(AF3113="",AF3113="ERRO_CHAVE"),"",IFERROR(MATCH(AF3113,'quitado Despesa'!$V$1:$V$12,0),""))</f>
        <v/>
      </c>
      <c r="AH3113" s="15" t="str">
        <f t="shared" si="2"/>
        <v/>
      </c>
      <c r="AI3113" s="17" t="str">
        <f>IF(AG3113="","",INDEX('quitado Despesa'!$G$1:$G$12,AG3113))</f>
        <v/>
      </c>
      <c r="AJ3113" s="17" t="str">
        <f t="shared" si="3"/>
        <v/>
      </c>
    </row>
    <row r="3114" spans="31:36">
      <c r="AE3114" s="15" t="str">
        <f t="shared" si="0"/>
        <v/>
      </c>
      <c r="AF3114" s="15" t="str">
        <f t="shared" si="1"/>
        <v/>
      </c>
      <c r="AG3114" s="15" t="str">
        <f>IF(OR(AF3114="",AF3114="ERRO_CHAVE"),"",IFERROR(MATCH(AF3114,'quitado Despesa'!$V$1:$V$12,0),""))</f>
        <v/>
      </c>
      <c r="AH3114" s="15" t="str">
        <f t="shared" si="2"/>
        <v/>
      </c>
      <c r="AI3114" s="17" t="str">
        <f>IF(AG3114="","",INDEX('quitado Despesa'!$G$1:$G$12,AG3114))</f>
        <v/>
      </c>
      <c r="AJ3114" s="17" t="str">
        <f t="shared" si="3"/>
        <v/>
      </c>
    </row>
    <row r="3115" spans="31:36">
      <c r="AE3115" s="15" t="str">
        <f t="shared" si="0"/>
        <v/>
      </c>
      <c r="AF3115" s="15" t="str">
        <f t="shared" si="1"/>
        <v/>
      </c>
      <c r="AG3115" s="15" t="str">
        <f>IF(OR(AF3115="",AF3115="ERRO_CHAVE"),"",IFERROR(MATCH(AF3115,'quitado Despesa'!$V$1:$V$12,0),""))</f>
        <v/>
      </c>
      <c r="AH3115" s="15" t="str">
        <f t="shared" si="2"/>
        <v/>
      </c>
      <c r="AI3115" s="17" t="str">
        <f>IF(AG3115="","",INDEX('quitado Despesa'!$G$1:$G$12,AG3115))</f>
        <v/>
      </c>
      <c r="AJ3115" s="17" t="str">
        <f t="shared" si="3"/>
        <v/>
      </c>
    </row>
    <row r="3116" spans="31:36">
      <c r="AE3116" s="15" t="str">
        <f t="shared" si="0"/>
        <v/>
      </c>
      <c r="AF3116" s="15" t="str">
        <f t="shared" si="1"/>
        <v/>
      </c>
      <c r="AG3116" s="15" t="str">
        <f>IF(OR(AF3116="",AF3116="ERRO_CHAVE"),"",IFERROR(MATCH(AF3116,'quitado Despesa'!$V$1:$V$12,0),""))</f>
        <v/>
      </c>
      <c r="AH3116" s="15" t="str">
        <f t="shared" si="2"/>
        <v/>
      </c>
      <c r="AI3116" s="17" t="str">
        <f>IF(AG3116="","",INDEX('quitado Despesa'!$G$1:$G$12,AG3116))</f>
        <v/>
      </c>
      <c r="AJ3116" s="17" t="str">
        <f t="shared" si="3"/>
        <v/>
      </c>
    </row>
    <row r="3117" spans="31:36">
      <c r="AE3117" s="15" t="str">
        <f t="shared" si="0"/>
        <v/>
      </c>
      <c r="AF3117" s="15" t="str">
        <f t="shared" si="1"/>
        <v/>
      </c>
      <c r="AG3117" s="15" t="str">
        <f>IF(OR(AF3117="",AF3117="ERRO_CHAVE"),"",IFERROR(MATCH(AF3117,'quitado Despesa'!$V$1:$V$12,0),""))</f>
        <v/>
      </c>
      <c r="AH3117" s="15" t="str">
        <f t="shared" si="2"/>
        <v/>
      </c>
      <c r="AI3117" s="17" t="str">
        <f>IF(AG3117="","",INDEX('quitado Despesa'!$G$1:$G$12,AG3117))</f>
        <v/>
      </c>
      <c r="AJ3117" s="17" t="str">
        <f t="shared" si="3"/>
        <v/>
      </c>
    </row>
    <row r="3118" spans="31:36">
      <c r="AE3118" s="15" t="str">
        <f t="shared" si="0"/>
        <v/>
      </c>
      <c r="AF3118" s="15" t="str">
        <f t="shared" si="1"/>
        <v/>
      </c>
      <c r="AG3118" s="15" t="str">
        <f>IF(OR(AF3118="",AF3118="ERRO_CHAVE"),"",IFERROR(MATCH(AF3118,'quitado Despesa'!$V$1:$V$12,0),""))</f>
        <v/>
      </c>
      <c r="AH3118" s="15" t="str">
        <f t="shared" si="2"/>
        <v/>
      </c>
      <c r="AI3118" s="17" t="str">
        <f>IF(AG3118="","",INDEX('quitado Despesa'!$G$1:$G$12,AG3118))</f>
        <v/>
      </c>
      <c r="AJ3118" s="17" t="str">
        <f t="shared" si="3"/>
        <v/>
      </c>
    </row>
    <row r="3119" spans="31:36">
      <c r="AE3119" s="15" t="str">
        <f t="shared" si="0"/>
        <v/>
      </c>
      <c r="AF3119" s="15" t="str">
        <f t="shared" si="1"/>
        <v/>
      </c>
      <c r="AG3119" s="15" t="str">
        <f>IF(OR(AF3119="",AF3119="ERRO_CHAVE"),"",IFERROR(MATCH(AF3119,'quitado Despesa'!$V$1:$V$12,0),""))</f>
        <v/>
      </c>
      <c r="AH3119" s="15" t="str">
        <f t="shared" si="2"/>
        <v/>
      </c>
      <c r="AI3119" s="17" t="str">
        <f>IF(AG3119="","",INDEX('quitado Despesa'!$G$1:$G$12,AG3119))</f>
        <v/>
      </c>
      <c r="AJ3119" s="17" t="str">
        <f t="shared" si="3"/>
        <v/>
      </c>
    </row>
    <row r="3120" spans="31:36">
      <c r="AE3120" s="15" t="str">
        <f t="shared" si="0"/>
        <v/>
      </c>
      <c r="AF3120" s="15" t="str">
        <f t="shared" si="1"/>
        <v/>
      </c>
      <c r="AG3120" s="15" t="str">
        <f>IF(OR(AF3120="",AF3120="ERRO_CHAVE"),"",IFERROR(MATCH(AF3120,'quitado Despesa'!$V$1:$V$12,0),""))</f>
        <v/>
      </c>
      <c r="AH3120" s="15" t="str">
        <f t="shared" si="2"/>
        <v/>
      </c>
      <c r="AI3120" s="17" t="str">
        <f>IF(AG3120="","",INDEX('quitado Despesa'!$G$1:$G$12,AG3120))</f>
        <v/>
      </c>
      <c r="AJ3120" s="17" t="str">
        <f t="shared" si="3"/>
        <v/>
      </c>
    </row>
    <row r="3121" spans="31:36">
      <c r="AE3121" s="15" t="str">
        <f t="shared" si="0"/>
        <v/>
      </c>
      <c r="AF3121" s="15" t="str">
        <f t="shared" si="1"/>
        <v/>
      </c>
      <c r="AG3121" s="15" t="str">
        <f>IF(OR(AF3121="",AF3121="ERRO_CHAVE"),"",IFERROR(MATCH(AF3121,'quitado Despesa'!$V$1:$V$12,0),""))</f>
        <v/>
      </c>
      <c r="AH3121" s="15" t="str">
        <f t="shared" si="2"/>
        <v/>
      </c>
      <c r="AI3121" s="17" t="str">
        <f>IF(AG3121="","",INDEX('quitado Despesa'!$G$1:$G$12,AG3121))</f>
        <v/>
      </c>
      <c r="AJ3121" s="17" t="str">
        <f t="shared" si="3"/>
        <v/>
      </c>
    </row>
    <row r="3122" spans="31:36">
      <c r="AE3122" s="15" t="str">
        <f t="shared" si="0"/>
        <v/>
      </c>
      <c r="AF3122" s="15" t="str">
        <f t="shared" si="1"/>
        <v/>
      </c>
      <c r="AG3122" s="15" t="str">
        <f>IF(OR(AF3122="",AF3122="ERRO_CHAVE"),"",IFERROR(MATCH(AF3122,'quitado Despesa'!$V$1:$V$12,0),""))</f>
        <v/>
      </c>
      <c r="AH3122" s="15" t="str">
        <f t="shared" si="2"/>
        <v/>
      </c>
      <c r="AI3122" s="17" t="str">
        <f>IF(AG3122="","",INDEX('quitado Despesa'!$G$1:$G$12,AG3122))</f>
        <v/>
      </c>
      <c r="AJ3122" s="17" t="str">
        <f t="shared" si="3"/>
        <v/>
      </c>
    </row>
    <row r="3123" spans="31:36">
      <c r="AE3123" s="15" t="str">
        <f t="shared" si="0"/>
        <v/>
      </c>
      <c r="AF3123" s="15" t="str">
        <f t="shared" si="1"/>
        <v/>
      </c>
      <c r="AG3123" s="15" t="str">
        <f>IF(OR(AF3123="",AF3123="ERRO_CHAVE"),"",IFERROR(MATCH(AF3123,'quitado Despesa'!$V$1:$V$12,0),""))</f>
        <v/>
      </c>
      <c r="AH3123" s="15" t="str">
        <f t="shared" si="2"/>
        <v/>
      </c>
      <c r="AI3123" s="17" t="str">
        <f>IF(AG3123="","",INDEX('quitado Despesa'!$G$1:$G$12,AG3123))</f>
        <v/>
      </c>
      <c r="AJ3123" s="17" t="str">
        <f t="shared" si="3"/>
        <v/>
      </c>
    </row>
    <row r="3124" spans="31:36">
      <c r="AE3124" s="15" t="str">
        <f t="shared" si="0"/>
        <v/>
      </c>
      <c r="AF3124" s="15" t="str">
        <f t="shared" si="1"/>
        <v/>
      </c>
      <c r="AG3124" s="15" t="str">
        <f>IF(OR(AF3124="",AF3124="ERRO_CHAVE"),"",IFERROR(MATCH(AF3124,'quitado Despesa'!$V$1:$V$12,0),""))</f>
        <v/>
      </c>
      <c r="AH3124" s="15" t="str">
        <f t="shared" si="2"/>
        <v/>
      </c>
      <c r="AI3124" s="17" t="str">
        <f>IF(AG3124="","",INDEX('quitado Despesa'!$G$1:$G$12,AG3124))</f>
        <v/>
      </c>
      <c r="AJ3124" s="17" t="str">
        <f t="shared" si="3"/>
        <v/>
      </c>
    </row>
    <row r="3125" spans="31:36">
      <c r="AE3125" s="15" t="str">
        <f t="shared" si="0"/>
        <v/>
      </c>
      <c r="AF3125" s="15" t="str">
        <f t="shared" si="1"/>
        <v/>
      </c>
      <c r="AG3125" s="15" t="str">
        <f>IF(OR(AF3125="",AF3125="ERRO_CHAVE"),"",IFERROR(MATCH(AF3125,'quitado Despesa'!$V$1:$V$12,0),""))</f>
        <v/>
      </c>
      <c r="AH3125" s="15" t="str">
        <f t="shared" si="2"/>
        <v/>
      </c>
      <c r="AI3125" s="17" t="str">
        <f>IF(AG3125="","",INDEX('quitado Despesa'!$G$1:$G$12,AG3125))</f>
        <v/>
      </c>
      <c r="AJ3125" s="17" t="str">
        <f t="shared" si="3"/>
        <v/>
      </c>
    </row>
    <row r="3126" spans="31:36">
      <c r="AE3126" s="15" t="str">
        <f t="shared" si="0"/>
        <v/>
      </c>
      <c r="AF3126" s="15" t="str">
        <f t="shared" si="1"/>
        <v/>
      </c>
      <c r="AG3126" s="15" t="str">
        <f>IF(OR(AF3126="",AF3126="ERRO_CHAVE"),"",IFERROR(MATCH(AF3126,'quitado Despesa'!$V$1:$V$12,0),""))</f>
        <v/>
      </c>
      <c r="AH3126" s="15" t="str">
        <f t="shared" si="2"/>
        <v/>
      </c>
      <c r="AI3126" s="17" t="str">
        <f>IF(AG3126="","",INDEX('quitado Despesa'!$G$1:$G$12,AG3126))</f>
        <v/>
      </c>
      <c r="AJ3126" s="17" t="str">
        <f t="shared" si="3"/>
        <v/>
      </c>
    </row>
    <row r="3127" spans="31:36">
      <c r="AE3127" s="15" t="str">
        <f t="shared" si="0"/>
        <v/>
      </c>
      <c r="AF3127" s="15" t="str">
        <f t="shared" si="1"/>
        <v/>
      </c>
      <c r="AG3127" s="15" t="str">
        <f>IF(OR(AF3127="",AF3127="ERRO_CHAVE"),"",IFERROR(MATCH(AF3127,'quitado Despesa'!$V$1:$V$12,0),""))</f>
        <v/>
      </c>
      <c r="AH3127" s="15" t="str">
        <f t="shared" si="2"/>
        <v/>
      </c>
      <c r="AI3127" s="17" t="str">
        <f>IF(AG3127="","",INDEX('quitado Despesa'!$G$1:$G$12,AG3127))</f>
        <v/>
      </c>
      <c r="AJ3127" s="17" t="str">
        <f t="shared" si="3"/>
        <v/>
      </c>
    </row>
    <row r="3128" spans="31:36">
      <c r="AE3128" s="15" t="str">
        <f t="shared" si="0"/>
        <v/>
      </c>
      <c r="AF3128" s="15" t="str">
        <f t="shared" si="1"/>
        <v/>
      </c>
      <c r="AG3128" s="15" t="str">
        <f>IF(OR(AF3128="",AF3128="ERRO_CHAVE"),"",IFERROR(MATCH(AF3128,'quitado Despesa'!$V$1:$V$12,0),""))</f>
        <v/>
      </c>
      <c r="AH3128" s="15" t="str">
        <f t="shared" si="2"/>
        <v/>
      </c>
      <c r="AI3128" s="17" t="str">
        <f>IF(AG3128="","",INDEX('quitado Despesa'!$G$1:$G$12,AG3128))</f>
        <v/>
      </c>
      <c r="AJ3128" s="17" t="str">
        <f t="shared" si="3"/>
        <v/>
      </c>
    </row>
    <row r="3129" spans="31:36">
      <c r="AE3129" s="15" t="str">
        <f t="shared" si="0"/>
        <v/>
      </c>
      <c r="AF3129" s="15" t="str">
        <f t="shared" si="1"/>
        <v/>
      </c>
      <c r="AG3129" s="15" t="str">
        <f>IF(OR(AF3129="",AF3129="ERRO_CHAVE"),"",IFERROR(MATCH(AF3129,'quitado Despesa'!$V$1:$V$12,0),""))</f>
        <v/>
      </c>
      <c r="AH3129" s="15" t="str">
        <f t="shared" si="2"/>
        <v/>
      </c>
      <c r="AI3129" s="17" t="str">
        <f>IF(AG3129="","",INDEX('quitado Despesa'!$G$1:$G$12,AG3129))</f>
        <v/>
      </c>
      <c r="AJ3129" s="17" t="str">
        <f t="shared" si="3"/>
        <v/>
      </c>
    </row>
    <row r="3130" spans="31:36">
      <c r="AE3130" s="15" t="str">
        <f t="shared" si="0"/>
        <v/>
      </c>
      <c r="AF3130" s="15" t="str">
        <f t="shared" si="1"/>
        <v/>
      </c>
      <c r="AG3130" s="15" t="str">
        <f>IF(OR(AF3130="",AF3130="ERRO_CHAVE"),"",IFERROR(MATCH(AF3130,'quitado Despesa'!$V$1:$V$12,0),""))</f>
        <v/>
      </c>
      <c r="AH3130" s="15" t="str">
        <f t="shared" si="2"/>
        <v/>
      </c>
      <c r="AI3130" s="17" t="str">
        <f>IF(AG3130="","",INDEX('quitado Despesa'!$G$1:$G$12,AG3130))</f>
        <v/>
      </c>
      <c r="AJ3130" s="17" t="str">
        <f t="shared" si="3"/>
        <v/>
      </c>
    </row>
    <row r="3131" spans="31:36">
      <c r="AE3131" s="15" t="str">
        <f t="shared" si="0"/>
        <v/>
      </c>
      <c r="AF3131" s="15" t="str">
        <f t="shared" si="1"/>
        <v/>
      </c>
      <c r="AG3131" s="15" t="str">
        <f>IF(OR(AF3131="",AF3131="ERRO_CHAVE"),"",IFERROR(MATCH(AF3131,'quitado Despesa'!$V$1:$V$12,0),""))</f>
        <v/>
      </c>
      <c r="AH3131" s="15" t="str">
        <f t="shared" si="2"/>
        <v/>
      </c>
      <c r="AI3131" s="17" t="str">
        <f>IF(AG3131="","",INDEX('quitado Despesa'!$G$1:$G$12,AG3131))</f>
        <v/>
      </c>
      <c r="AJ3131" s="17" t="str">
        <f t="shared" si="3"/>
        <v/>
      </c>
    </row>
    <row r="3132" spans="31:36">
      <c r="AE3132" s="15" t="str">
        <f t="shared" si="0"/>
        <v/>
      </c>
      <c r="AF3132" s="15" t="str">
        <f t="shared" si="1"/>
        <v/>
      </c>
      <c r="AG3132" s="15" t="str">
        <f>IF(OR(AF3132="",AF3132="ERRO_CHAVE"),"",IFERROR(MATCH(AF3132,'quitado Despesa'!$V$1:$V$12,0),""))</f>
        <v/>
      </c>
      <c r="AH3132" s="15" t="str">
        <f t="shared" si="2"/>
        <v/>
      </c>
      <c r="AI3132" s="17" t="str">
        <f>IF(AG3132="","",INDEX('quitado Despesa'!$G$1:$G$12,AG3132))</f>
        <v/>
      </c>
      <c r="AJ3132" s="17" t="str">
        <f t="shared" si="3"/>
        <v/>
      </c>
    </row>
    <row r="3133" spans="31:36">
      <c r="AE3133" s="15" t="str">
        <f t="shared" si="0"/>
        <v/>
      </c>
      <c r="AF3133" s="15" t="str">
        <f t="shared" si="1"/>
        <v/>
      </c>
      <c r="AG3133" s="15" t="str">
        <f>IF(OR(AF3133="",AF3133="ERRO_CHAVE"),"",IFERROR(MATCH(AF3133,'quitado Despesa'!$V$1:$V$12,0),""))</f>
        <v/>
      </c>
      <c r="AH3133" s="15" t="str">
        <f t="shared" si="2"/>
        <v/>
      </c>
      <c r="AI3133" s="17" t="str">
        <f>IF(AG3133="","",INDEX('quitado Despesa'!$G$1:$G$12,AG3133))</f>
        <v/>
      </c>
      <c r="AJ3133" s="17" t="str">
        <f t="shared" si="3"/>
        <v/>
      </c>
    </row>
    <row r="3134" spans="31:36">
      <c r="AE3134" s="15" t="str">
        <f t="shared" si="0"/>
        <v/>
      </c>
      <c r="AF3134" s="15" t="str">
        <f t="shared" si="1"/>
        <v/>
      </c>
      <c r="AG3134" s="15" t="str">
        <f>IF(OR(AF3134="",AF3134="ERRO_CHAVE"),"",IFERROR(MATCH(AF3134,'quitado Despesa'!$V$1:$V$12,0),""))</f>
        <v/>
      </c>
      <c r="AH3134" s="15" t="str">
        <f t="shared" si="2"/>
        <v/>
      </c>
      <c r="AI3134" s="17" t="str">
        <f>IF(AG3134="","",INDEX('quitado Despesa'!$G$1:$G$12,AG3134))</f>
        <v/>
      </c>
      <c r="AJ3134" s="17" t="str">
        <f t="shared" si="3"/>
        <v/>
      </c>
    </row>
    <row r="3135" spans="31:36">
      <c r="AE3135" s="15" t="str">
        <f t="shared" si="0"/>
        <v/>
      </c>
      <c r="AF3135" s="15" t="str">
        <f t="shared" si="1"/>
        <v/>
      </c>
      <c r="AG3135" s="15" t="str">
        <f>IF(OR(AF3135="",AF3135="ERRO_CHAVE"),"",IFERROR(MATCH(AF3135,'quitado Despesa'!$V$1:$V$12,0),""))</f>
        <v/>
      </c>
      <c r="AH3135" s="15" t="str">
        <f t="shared" si="2"/>
        <v/>
      </c>
      <c r="AI3135" s="17" t="str">
        <f>IF(AG3135="","",INDEX('quitado Despesa'!$G$1:$G$12,AG3135))</f>
        <v/>
      </c>
      <c r="AJ3135" s="17" t="str">
        <f t="shared" si="3"/>
        <v/>
      </c>
    </row>
    <row r="3136" spans="31:36">
      <c r="AE3136" s="15" t="str">
        <f t="shared" si="0"/>
        <v/>
      </c>
      <c r="AF3136" s="15" t="str">
        <f t="shared" si="1"/>
        <v/>
      </c>
      <c r="AG3136" s="15" t="str">
        <f>IF(OR(AF3136="",AF3136="ERRO_CHAVE"),"",IFERROR(MATCH(AF3136,'quitado Despesa'!$V$1:$V$12,0),""))</f>
        <v/>
      </c>
      <c r="AH3136" s="15" t="str">
        <f t="shared" si="2"/>
        <v/>
      </c>
      <c r="AI3136" s="17" t="str">
        <f>IF(AG3136="","",INDEX('quitado Despesa'!$G$1:$G$12,AG3136))</f>
        <v/>
      </c>
      <c r="AJ3136" s="17" t="str">
        <f t="shared" si="3"/>
        <v/>
      </c>
    </row>
    <row r="3137" spans="31:36">
      <c r="AE3137" s="15" t="str">
        <f t="shared" si="0"/>
        <v/>
      </c>
      <c r="AF3137" s="15" t="str">
        <f t="shared" si="1"/>
        <v/>
      </c>
      <c r="AG3137" s="15" t="str">
        <f>IF(OR(AF3137="",AF3137="ERRO_CHAVE"),"",IFERROR(MATCH(AF3137,'quitado Despesa'!$V$1:$V$12,0),""))</f>
        <v/>
      </c>
      <c r="AH3137" s="15" t="str">
        <f t="shared" si="2"/>
        <v/>
      </c>
      <c r="AI3137" s="17" t="str">
        <f>IF(AG3137="","",INDEX('quitado Despesa'!$G$1:$G$12,AG3137))</f>
        <v/>
      </c>
      <c r="AJ3137" s="17" t="str">
        <f t="shared" si="3"/>
        <v/>
      </c>
    </row>
    <row r="3138" spans="31:36">
      <c r="AE3138" s="15" t="str">
        <f t="shared" si="0"/>
        <v/>
      </c>
      <c r="AF3138" s="15" t="str">
        <f t="shared" si="1"/>
        <v/>
      </c>
      <c r="AG3138" s="15" t="str">
        <f>IF(OR(AF3138="",AF3138="ERRO_CHAVE"),"",IFERROR(MATCH(AF3138,'quitado Despesa'!$V$1:$V$12,0),""))</f>
        <v/>
      </c>
      <c r="AH3138" s="15" t="str">
        <f t="shared" si="2"/>
        <v/>
      </c>
      <c r="AI3138" s="17" t="str">
        <f>IF(AG3138="","",INDEX('quitado Despesa'!$G$1:$G$12,AG3138))</f>
        <v/>
      </c>
      <c r="AJ3138" s="17" t="str">
        <f t="shared" si="3"/>
        <v/>
      </c>
    </row>
    <row r="3139" spans="31:36">
      <c r="AE3139" s="15" t="str">
        <f t="shared" si="0"/>
        <v/>
      </c>
      <c r="AF3139" s="15" t="str">
        <f t="shared" si="1"/>
        <v/>
      </c>
      <c r="AG3139" s="15" t="str">
        <f>IF(OR(AF3139="",AF3139="ERRO_CHAVE"),"",IFERROR(MATCH(AF3139,'quitado Despesa'!$V$1:$V$12,0),""))</f>
        <v/>
      </c>
      <c r="AH3139" s="15" t="str">
        <f t="shared" si="2"/>
        <v/>
      </c>
      <c r="AI3139" s="17" t="str">
        <f>IF(AG3139="","",INDEX('quitado Despesa'!$G$1:$G$12,AG3139))</f>
        <v/>
      </c>
      <c r="AJ3139" s="17" t="str">
        <f t="shared" si="3"/>
        <v/>
      </c>
    </row>
    <row r="3140" spans="31:36">
      <c r="AE3140" s="15" t="str">
        <f t="shared" si="0"/>
        <v/>
      </c>
      <c r="AF3140" s="15" t="str">
        <f t="shared" si="1"/>
        <v/>
      </c>
      <c r="AG3140" s="15" t="str">
        <f>IF(OR(AF3140="",AF3140="ERRO_CHAVE"),"",IFERROR(MATCH(AF3140,'quitado Despesa'!$V$1:$V$12,0),""))</f>
        <v/>
      </c>
      <c r="AH3140" s="15" t="str">
        <f t="shared" si="2"/>
        <v/>
      </c>
      <c r="AI3140" s="17" t="str">
        <f>IF(AG3140="","",INDEX('quitado Despesa'!$G$1:$G$12,AG3140))</f>
        <v/>
      </c>
      <c r="AJ3140" s="17" t="str">
        <f t="shared" si="3"/>
        <v/>
      </c>
    </row>
    <row r="3141" spans="31:36">
      <c r="AE3141" s="15" t="str">
        <f t="shared" si="0"/>
        <v/>
      </c>
      <c r="AF3141" s="15" t="str">
        <f t="shared" si="1"/>
        <v/>
      </c>
      <c r="AG3141" s="15" t="str">
        <f>IF(OR(AF3141="",AF3141="ERRO_CHAVE"),"",IFERROR(MATCH(AF3141,'quitado Despesa'!$V$1:$V$12,0),""))</f>
        <v/>
      </c>
      <c r="AH3141" s="15" t="str">
        <f t="shared" si="2"/>
        <v/>
      </c>
      <c r="AI3141" s="17" t="str">
        <f>IF(AG3141="","",INDEX('quitado Despesa'!$G$1:$G$12,AG3141))</f>
        <v/>
      </c>
      <c r="AJ3141" s="17" t="str">
        <f t="shared" si="3"/>
        <v/>
      </c>
    </row>
    <row r="3142" spans="31:36">
      <c r="AE3142" s="15" t="str">
        <f t="shared" si="0"/>
        <v/>
      </c>
      <c r="AF3142" s="15" t="str">
        <f t="shared" si="1"/>
        <v/>
      </c>
      <c r="AG3142" s="15" t="str">
        <f>IF(OR(AF3142="",AF3142="ERRO_CHAVE"),"",IFERROR(MATCH(AF3142,'quitado Despesa'!$V$1:$V$12,0),""))</f>
        <v/>
      </c>
      <c r="AH3142" s="15" t="str">
        <f t="shared" si="2"/>
        <v/>
      </c>
      <c r="AI3142" s="17" t="str">
        <f>IF(AG3142="","",INDEX('quitado Despesa'!$G$1:$G$12,AG3142))</f>
        <v/>
      </c>
      <c r="AJ3142" s="17" t="str">
        <f t="shared" si="3"/>
        <v/>
      </c>
    </row>
    <row r="3143" spans="31:36">
      <c r="AE3143" s="15" t="str">
        <f t="shared" si="0"/>
        <v/>
      </c>
      <c r="AF3143" s="15" t="str">
        <f t="shared" si="1"/>
        <v/>
      </c>
      <c r="AG3143" s="15" t="str">
        <f>IF(OR(AF3143="",AF3143="ERRO_CHAVE"),"",IFERROR(MATCH(AF3143,'quitado Despesa'!$V$1:$V$12,0),""))</f>
        <v/>
      </c>
      <c r="AH3143" s="15" t="str">
        <f t="shared" si="2"/>
        <v/>
      </c>
      <c r="AI3143" s="17" t="str">
        <f>IF(AG3143="","",INDEX('quitado Despesa'!$G$1:$G$12,AG3143))</f>
        <v/>
      </c>
      <c r="AJ3143" s="17" t="str">
        <f t="shared" si="3"/>
        <v/>
      </c>
    </row>
    <row r="3144" spans="31:36">
      <c r="AE3144" s="15" t="str">
        <f t="shared" si="0"/>
        <v/>
      </c>
      <c r="AF3144" s="15" t="str">
        <f t="shared" si="1"/>
        <v/>
      </c>
      <c r="AG3144" s="15" t="str">
        <f>IF(OR(AF3144="",AF3144="ERRO_CHAVE"),"",IFERROR(MATCH(AF3144,'quitado Despesa'!$V$1:$V$12,0),""))</f>
        <v/>
      </c>
      <c r="AH3144" s="15" t="str">
        <f t="shared" si="2"/>
        <v/>
      </c>
      <c r="AI3144" s="17" t="str">
        <f>IF(AG3144="","",INDEX('quitado Despesa'!$G$1:$G$12,AG3144))</f>
        <v/>
      </c>
      <c r="AJ3144" s="17" t="str">
        <f t="shared" si="3"/>
        <v/>
      </c>
    </row>
    <row r="3145" spans="31:36">
      <c r="AE3145" s="15" t="str">
        <f t="shared" si="0"/>
        <v/>
      </c>
      <c r="AF3145" s="15" t="str">
        <f t="shared" si="1"/>
        <v/>
      </c>
      <c r="AG3145" s="15" t="str">
        <f>IF(OR(AF3145="",AF3145="ERRO_CHAVE"),"",IFERROR(MATCH(AF3145,'quitado Despesa'!$V$1:$V$12,0),""))</f>
        <v/>
      </c>
      <c r="AH3145" s="15" t="str">
        <f t="shared" si="2"/>
        <v/>
      </c>
      <c r="AI3145" s="17" t="str">
        <f>IF(AG3145="","",INDEX('quitado Despesa'!$G$1:$G$12,AG3145))</f>
        <v/>
      </c>
      <c r="AJ3145" s="17" t="str">
        <f t="shared" si="3"/>
        <v/>
      </c>
    </row>
    <row r="3146" spans="31:36">
      <c r="AE3146" s="15" t="str">
        <f t="shared" si="0"/>
        <v/>
      </c>
      <c r="AF3146" s="15" t="str">
        <f t="shared" si="1"/>
        <v/>
      </c>
      <c r="AG3146" s="15" t="str">
        <f>IF(OR(AF3146="",AF3146="ERRO_CHAVE"),"",IFERROR(MATCH(AF3146,'quitado Despesa'!$V$1:$V$12,0),""))</f>
        <v/>
      </c>
      <c r="AH3146" s="15" t="str">
        <f t="shared" si="2"/>
        <v/>
      </c>
      <c r="AI3146" s="17" t="str">
        <f>IF(AG3146="","",INDEX('quitado Despesa'!$G$1:$G$12,AG3146))</f>
        <v/>
      </c>
      <c r="AJ3146" s="17" t="str">
        <f t="shared" si="3"/>
        <v/>
      </c>
    </row>
    <row r="3147" spans="31:36">
      <c r="AE3147" s="15" t="str">
        <f t="shared" si="0"/>
        <v/>
      </c>
      <c r="AF3147" s="15" t="str">
        <f t="shared" si="1"/>
        <v/>
      </c>
      <c r="AG3147" s="15" t="str">
        <f>IF(OR(AF3147="",AF3147="ERRO_CHAVE"),"",IFERROR(MATCH(AF3147,'quitado Despesa'!$V$1:$V$12,0),""))</f>
        <v/>
      </c>
      <c r="AH3147" s="15" t="str">
        <f t="shared" si="2"/>
        <v/>
      </c>
      <c r="AI3147" s="17" t="str">
        <f>IF(AG3147="","",INDEX('quitado Despesa'!$G$1:$G$12,AG3147))</f>
        <v/>
      </c>
      <c r="AJ3147" s="17" t="str">
        <f t="shared" si="3"/>
        <v/>
      </c>
    </row>
    <row r="3148" spans="31:36">
      <c r="AE3148" s="15" t="str">
        <f t="shared" si="0"/>
        <v/>
      </c>
      <c r="AF3148" s="15" t="str">
        <f t="shared" si="1"/>
        <v/>
      </c>
      <c r="AG3148" s="15" t="str">
        <f>IF(OR(AF3148="",AF3148="ERRO_CHAVE"),"",IFERROR(MATCH(AF3148,'quitado Despesa'!$V$1:$V$12,0),""))</f>
        <v/>
      </c>
      <c r="AH3148" s="15" t="str">
        <f t="shared" si="2"/>
        <v/>
      </c>
      <c r="AI3148" s="17" t="str">
        <f>IF(AG3148="","",INDEX('quitado Despesa'!$G$1:$G$12,AG3148))</f>
        <v/>
      </c>
      <c r="AJ3148" s="17" t="str">
        <f t="shared" si="3"/>
        <v/>
      </c>
    </row>
    <row r="3149" spans="31:36">
      <c r="AE3149" s="15" t="str">
        <f t="shared" si="0"/>
        <v/>
      </c>
      <c r="AF3149" s="15" t="str">
        <f t="shared" si="1"/>
        <v/>
      </c>
      <c r="AG3149" s="15" t="str">
        <f>IF(OR(AF3149="",AF3149="ERRO_CHAVE"),"",IFERROR(MATCH(AF3149,'quitado Despesa'!$V$1:$V$12,0),""))</f>
        <v/>
      </c>
      <c r="AH3149" s="15" t="str">
        <f t="shared" si="2"/>
        <v/>
      </c>
      <c r="AI3149" s="17" t="str">
        <f>IF(AG3149="","",INDEX('quitado Despesa'!$G$1:$G$12,AG3149))</f>
        <v/>
      </c>
      <c r="AJ3149" s="17" t="str">
        <f t="shared" si="3"/>
        <v/>
      </c>
    </row>
    <row r="3150" spans="31:36">
      <c r="AE3150" s="15" t="str">
        <f t="shared" si="0"/>
        <v/>
      </c>
      <c r="AF3150" s="15" t="str">
        <f t="shared" si="1"/>
        <v/>
      </c>
      <c r="AG3150" s="15" t="str">
        <f>IF(OR(AF3150="",AF3150="ERRO_CHAVE"),"",IFERROR(MATCH(AF3150,'quitado Despesa'!$V$1:$V$12,0),""))</f>
        <v/>
      </c>
      <c r="AH3150" s="15" t="str">
        <f t="shared" si="2"/>
        <v/>
      </c>
      <c r="AI3150" s="17" t="str">
        <f>IF(AG3150="","",INDEX('quitado Despesa'!$G$1:$G$12,AG3150))</f>
        <v/>
      </c>
      <c r="AJ3150" s="17" t="str">
        <f t="shared" si="3"/>
        <v/>
      </c>
    </row>
    <row r="3151" spans="31:36">
      <c r="AE3151" s="15" t="str">
        <f t="shared" si="0"/>
        <v/>
      </c>
      <c r="AF3151" s="15" t="str">
        <f t="shared" si="1"/>
        <v/>
      </c>
      <c r="AG3151" s="15" t="str">
        <f>IF(OR(AF3151="",AF3151="ERRO_CHAVE"),"",IFERROR(MATCH(AF3151,'quitado Despesa'!$V$1:$V$12,0),""))</f>
        <v/>
      </c>
      <c r="AH3151" s="15" t="str">
        <f t="shared" si="2"/>
        <v/>
      </c>
      <c r="AI3151" s="17" t="str">
        <f>IF(AG3151="","",INDEX('quitado Despesa'!$G$1:$G$12,AG3151))</f>
        <v/>
      </c>
      <c r="AJ3151" s="17" t="str">
        <f t="shared" si="3"/>
        <v/>
      </c>
    </row>
    <row r="3152" spans="31:36">
      <c r="AE3152" s="15" t="str">
        <f t="shared" si="0"/>
        <v/>
      </c>
      <c r="AF3152" s="15" t="str">
        <f t="shared" si="1"/>
        <v/>
      </c>
      <c r="AG3152" s="15" t="str">
        <f>IF(OR(AF3152="",AF3152="ERRO_CHAVE"),"",IFERROR(MATCH(AF3152,'quitado Despesa'!$V$1:$V$12,0),""))</f>
        <v/>
      </c>
      <c r="AH3152" s="15" t="str">
        <f t="shared" si="2"/>
        <v/>
      </c>
      <c r="AI3152" s="17" t="str">
        <f>IF(AG3152="","",INDEX('quitado Despesa'!$G$1:$G$12,AG3152))</f>
        <v/>
      </c>
      <c r="AJ3152" s="17" t="str">
        <f t="shared" si="3"/>
        <v/>
      </c>
    </row>
    <row r="3153" spans="31:36">
      <c r="AE3153" s="15" t="str">
        <f t="shared" si="0"/>
        <v/>
      </c>
      <c r="AF3153" s="15" t="str">
        <f t="shared" si="1"/>
        <v/>
      </c>
      <c r="AG3153" s="15" t="str">
        <f>IF(OR(AF3153="",AF3153="ERRO_CHAVE"),"",IFERROR(MATCH(AF3153,'quitado Despesa'!$V$1:$V$12,0),""))</f>
        <v/>
      </c>
      <c r="AH3153" s="15" t="str">
        <f t="shared" si="2"/>
        <v/>
      </c>
      <c r="AI3153" s="17" t="str">
        <f>IF(AG3153="","",INDEX('quitado Despesa'!$G$1:$G$12,AG3153))</f>
        <v/>
      </c>
      <c r="AJ3153" s="17" t="str">
        <f t="shared" si="3"/>
        <v/>
      </c>
    </row>
    <row r="3154" spans="31:36">
      <c r="AE3154" s="15" t="str">
        <f t="shared" si="0"/>
        <v/>
      </c>
      <c r="AF3154" s="15" t="str">
        <f t="shared" si="1"/>
        <v/>
      </c>
      <c r="AG3154" s="15" t="str">
        <f>IF(OR(AF3154="",AF3154="ERRO_CHAVE"),"",IFERROR(MATCH(AF3154,'quitado Despesa'!$V$1:$V$12,0),""))</f>
        <v/>
      </c>
      <c r="AH3154" s="15" t="str">
        <f t="shared" si="2"/>
        <v/>
      </c>
      <c r="AI3154" s="17" t="str">
        <f>IF(AG3154="","",INDEX('quitado Despesa'!$G$1:$G$12,AG3154))</f>
        <v/>
      </c>
      <c r="AJ3154" s="17" t="str">
        <f t="shared" si="3"/>
        <v/>
      </c>
    </row>
    <row r="3155" spans="31:36">
      <c r="AE3155" s="15" t="str">
        <f t="shared" si="0"/>
        <v/>
      </c>
      <c r="AF3155" s="15" t="str">
        <f t="shared" si="1"/>
        <v/>
      </c>
      <c r="AG3155" s="15" t="str">
        <f>IF(OR(AF3155="",AF3155="ERRO_CHAVE"),"",IFERROR(MATCH(AF3155,'quitado Despesa'!$V$1:$V$12,0),""))</f>
        <v/>
      </c>
      <c r="AH3155" s="15" t="str">
        <f t="shared" si="2"/>
        <v/>
      </c>
      <c r="AI3155" s="17" t="str">
        <f>IF(AG3155="","",INDEX('quitado Despesa'!$G$1:$G$12,AG3155))</f>
        <v/>
      </c>
      <c r="AJ3155" s="17" t="str">
        <f t="shared" si="3"/>
        <v/>
      </c>
    </row>
    <row r="3156" spans="31:36">
      <c r="AE3156" s="15" t="str">
        <f t="shared" si="0"/>
        <v/>
      </c>
      <c r="AF3156" s="15" t="str">
        <f t="shared" si="1"/>
        <v/>
      </c>
      <c r="AG3156" s="15" t="str">
        <f>IF(OR(AF3156="",AF3156="ERRO_CHAVE"),"",IFERROR(MATCH(AF3156,'quitado Despesa'!$V$1:$V$12,0),""))</f>
        <v/>
      </c>
      <c r="AH3156" s="15" t="str">
        <f t="shared" si="2"/>
        <v/>
      </c>
      <c r="AI3156" s="17" t="str">
        <f>IF(AG3156="","",INDEX('quitado Despesa'!$G$1:$G$12,AG3156))</f>
        <v/>
      </c>
      <c r="AJ3156" s="17" t="str">
        <f t="shared" si="3"/>
        <v/>
      </c>
    </row>
    <row r="3157" spans="31:36">
      <c r="AE3157" s="15" t="str">
        <f t="shared" si="0"/>
        <v/>
      </c>
      <c r="AF3157" s="15" t="str">
        <f t="shared" si="1"/>
        <v/>
      </c>
      <c r="AG3157" s="15" t="str">
        <f>IF(OR(AF3157="",AF3157="ERRO_CHAVE"),"",IFERROR(MATCH(AF3157,'quitado Despesa'!$V$1:$V$12,0),""))</f>
        <v/>
      </c>
      <c r="AH3157" s="15" t="str">
        <f t="shared" si="2"/>
        <v/>
      </c>
      <c r="AI3157" s="17" t="str">
        <f>IF(AG3157="","",INDEX('quitado Despesa'!$G$1:$G$12,AG3157))</f>
        <v/>
      </c>
      <c r="AJ3157" s="17" t="str">
        <f t="shared" si="3"/>
        <v/>
      </c>
    </row>
    <row r="3158" spans="31:36">
      <c r="AE3158" s="15" t="str">
        <f t="shared" si="0"/>
        <v/>
      </c>
      <c r="AF3158" s="15" t="str">
        <f t="shared" si="1"/>
        <v/>
      </c>
      <c r="AG3158" s="15" t="str">
        <f>IF(OR(AF3158="",AF3158="ERRO_CHAVE"),"",IFERROR(MATCH(AF3158,'quitado Despesa'!$V$1:$V$12,0),""))</f>
        <v/>
      </c>
      <c r="AH3158" s="15" t="str">
        <f t="shared" si="2"/>
        <v/>
      </c>
      <c r="AI3158" s="17" t="str">
        <f>IF(AG3158="","",INDEX('quitado Despesa'!$G$1:$G$12,AG3158))</f>
        <v/>
      </c>
      <c r="AJ3158" s="17" t="str">
        <f t="shared" si="3"/>
        <v/>
      </c>
    </row>
    <row r="3159" spans="31:36">
      <c r="AE3159" s="15" t="str">
        <f t="shared" si="0"/>
        <v/>
      </c>
      <c r="AF3159" s="15" t="str">
        <f t="shared" si="1"/>
        <v/>
      </c>
      <c r="AG3159" s="15" t="str">
        <f>IF(OR(AF3159="",AF3159="ERRO_CHAVE"),"",IFERROR(MATCH(AF3159,'quitado Despesa'!$V$1:$V$12,0),""))</f>
        <v/>
      </c>
      <c r="AH3159" s="15" t="str">
        <f t="shared" si="2"/>
        <v/>
      </c>
      <c r="AI3159" s="17" t="str">
        <f>IF(AG3159="","",INDEX('quitado Despesa'!$G$1:$G$12,AG3159))</f>
        <v/>
      </c>
      <c r="AJ3159" s="17" t="str">
        <f t="shared" si="3"/>
        <v/>
      </c>
    </row>
    <row r="3160" spans="31:36">
      <c r="AE3160" s="15" t="str">
        <f t="shared" si="0"/>
        <v/>
      </c>
      <c r="AF3160" s="15" t="str">
        <f t="shared" si="1"/>
        <v/>
      </c>
      <c r="AG3160" s="15" t="str">
        <f>IF(OR(AF3160="",AF3160="ERRO_CHAVE"),"",IFERROR(MATCH(AF3160,'quitado Despesa'!$V$1:$V$12,0),""))</f>
        <v/>
      </c>
      <c r="AH3160" s="15" t="str">
        <f t="shared" si="2"/>
        <v/>
      </c>
      <c r="AI3160" s="17" t="str">
        <f>IF(AG3160="","",INDEX('quitado Despesa'!$G$1:$G$12,AG3160))</f>
        <v/>
      </c>
      <c r="AJ3160" s="17" t="str">
        <f t="shared" si="3"/>
        <v/>
      </c>
    </row>
    <row r="3161" spans="31:36">
      <c r="AE3161" s="15" t="str">
        <f t="shared" si="0"/>
        <v/>
      </c>
      <c r="AF3161" s="15" t="str">
        <f t="shared" si="1"/>
        <v/>
      </c>
      <c r="AG3161" s="15" t="str">
        <f>IF(OR(AF3161="",AF3161="ERRO_CHAVE"),"",IFERROR(MATCH(AF3161,'quitado Despesa'!$V$1:$V$12,0),""))</f>
        <v/>
      </c>
      <c r="AH3161" s="15" t="str">
        <f t="shared" si="2"/>
        <v/>
      </c>
      <c r="AI3161" s="17" t="str">
        <f>IF(AG3161="","",INDEX('quitado Despesa'!$G$1:$G$12,AG3161))</f>
        <v/>
      </c>
      <c r="AJ3161" s="17" t="str">
        <f t="shared" si="3"/>
        <v/>
      </c>
    </row>
    <row r="3162" spans="31:36">
      <c r="AE3162" s="15" t="str">
        <f t="shared" si="0"/>
        <v/>
      </c>
      <c r="AF3162" s="15" t="str">
        <f t="shared" si="1"/>
        <v/>
      </c>
      <c r="AG3162" s="15" t="str">
        <f>IF(OR(AF3162="",AF3162="ERRO_CHAVE"),"",IFERROR(MATCH(AF3162,'quitado Despesa'!$V$1:$V$12,0),""))</f>
        <v/>
      </c>
      <c r="AH3162" s="15" t="str">
        <f t="shared" si="2"/>
        <v/>
      </c>
      <c r="AI3162" s="17" t="str">
        <f>IF(AG3162="","",INDEX('quitado Despesa'!$G$1:$G$12,AG3162))</f>
        <v/>
      </c>
      <c r="AJ3162" s="17" t="str">
        <f t="shared" si="3"/>
        <v/>
      </c>
    </row>
    <row r="3163" spans="31:36">
      <c r="AE3163" s="15" t="str">
        <f t="shared" si="0"/>
        <v/>
      </c>
      <c r="AF3163" s="15" t="str">
        <f t="shared" si="1"/>
        <v/>
      </c>
      <c r="AG3163" s="15" t="str">
        <f>IF(OR(AF3163="",AF3163="ERRO_CHAVE"),"",IFERROR(MATCH(AF3163,'quitado Despesa'!$V$1:$V$12,0),""))</f>
        <v/>
      </c>
      <c r="AH3163" s="15" t="str">
        <f t="shared" si="2"/>
        <v/>
      </c>
      <c r="AI3163" s="17" t="str">
        <f>IF(AG3163="","",INDEX('quitado Despesa'!$G$1:$G$12,AG3163))</f>
        <v/>
      </c>
      <c r="AJ3163" s="17" t="str">
        <f t="shared" si="3"/>
        <v/>
      </c>
    </row>
    <row r="3164" spans="31:36">
      <c r="AE3164" s="15" t="str">
        <f t="shared" si="0"/>
        <v/>
      </c>
      <c r="AF3164" s="15" t="str">
        <f t="shared" si="1"/>
        <v/>
      </c>
      <c r="AG3164" s="15" t="str">
        <f>IF(OR(AF3164="",AF3164="ERRO_CHAVE"),"",IFERROR(MATCH(AF3164,'quitado Despesa'!$V$1:$V$12,0),""))</f>
        <v/>
      </c>
      <c r="AH3164" s="15" t="str">
        <f t="shared" si="2"/>
        <v/>
      </c>
      <c r="AI3164" s="17" t="str">
        <f>IF(AG3164="","",INDEX('quitado Despesa'!$G$1:$G$12,AG3164))</f>
        <v/>
      </c>
      <c r="AJ3164" s="17" t="str">
        <f t="shared" si="3"/>
        <v/>
      </c>
    </row>
    <row r="3165" spans="31:36">
      <c r="AE3165" s="15" t="str">
        <f t="shared" si="0"/>
        <v/>
      </c>
      <c r="AF3165" s="15" t="str">
        <f t="shared" si="1"/>
        <v/>
      </c>
      <c r="AG3165" s="15" t="str">
        <f>IF(OR(AF3165="",AF3165="ERRO_CHAVE"),"",IFERROR(MATCH(AF3165,'quitado Despesa'!$V$1:$V$12,0),""))</f>
        <v/>
      </c>
      <c r="AH3165" s="15" t="str">
        <f t="shared" si="2"/>
        <v/>
      </c>
      <c r="AI3165" s="17" t="str">
        <f>IF(AG3165="","",INDEX('quitado Despesa'!$G$1:$G$12,AG3165))</f>
        <v/>
      </c>
      <c r="AJ3165" s="17" t="str">
        <f t="shared" si="3"/>
        <v/>
      </c>
    </row>
    <row r="3166" spans="31:36">
      <c r="AE3166" s="15" t="str">
        <f t="shared" si="0"/>
        <v/>
      </c>
      <c r="AF3166" s="15" t="str">
        <f t="shared" si="1"/>
        <v/>
      </c>
      <c r="AG3166" s="15" t="str">
        <f>IF(OR(AF3166="",AF3166="ERRO_CHAVE"),"",IFERROR(MATCH(AF3166,'quitado Despesa'!$V$1:$V$12,0),""))</f>
        <v/>
      </c>
      <c r="AH3166" s="15" t="str">
        <f t="shared" si="2"/>
        <v/>
      </c>
      <c r="AI3166" s="17" t="str">
        <f>IF(AG3166="","",INDEX('quitado Despesa'!$G$1:$G$12,AG3166))</f>
        <v/>
      </c>
      <c r="AJ3166" s="17" t="str">
        <f t="shared" si="3"/>
        <v/>
      </c>
    </row>
    <row r="3167" spans="31:36">
      <c r="AE3167" s="15" t="str">
        <f t="shared" si="0"/>
        <v/>
      </c>
      <c r="AF3167" s="15" t="str">
        <f t="shared" si="1"/>
        <v/>
      </c>
      <c r="AG3167" s="15" t="str">
        <f>IF(OR(AF3167="",AF3167="ERRO_CHAVE"),"",IFERROR(MATCH(AF3167,'quitado Despesa'!$V$1:$V$12,0),""))</f>
        <v/>
      </c>
      <c r="AH3167" s="15" t="str">
        <f t="shared" si="2"/>
        <v/>
      </c>
      <c r="AI3167" s="17" t="str">
        <f>IF(AG3167="","",INDEX('quitado Despesa'!$G$1:$G$12,AG3167))</f>
        <v/>
      </c>
      <c r="AJ3167" s="17" t="str">
        <f t="shared" si="3"/>
        <v/>
      </c>
    </row>
    <row r="3168" spans="31:36">
      <c r="AE3168" s="15" t="str">
        <f t="shared" si="0"/>
        <v/>
      </c>
      <c r="AF3168" s="15" t="str">
        <f t="shared" si="1"/>
        <v/>
      </c>
      <c r="AG3168" s="15" t="str">
        <f>IF(OR(AF3168="",AF3168="ERRO_CHAVE"),"",IFERROR(MATCH(AF3168,'quitado Despesa'!$V$1:$V$12,0),""))</f>
        <v/>
      </c>
      <c r="AH3168" s="15" t="str">
        <f t="shared" si="2"/>
        <v/>
      </c>
      <c r="AI3168" s="17" t="str">
        <f>IF(AG3168="","",INDEX('quitado Despesa'!$G$1:$G$12,AG3168))</f>
        <v/>
      </c>
      <c r="AJ3168" s="17" t="str">
        <f t="shared" si="3"/>
        <v/>
      </c>
    </row>
    <row r="3169" spans="31:36">
      <c r="AE3169" s="15" t="str">
        <f t="shared" si="0"/>
        <v/>
      </c>
      <c r="AF3169" s="15" t="str">
        <f t="shared" si="1"/>
        <v/>
      </c>
      <c r="AG3169" s="15" t="str">
        <f>IF(OR(AF3169="",AF3169="ERRO_CHAVE"),"",IFERROR(MATCH(AF3169,'quitado Despesa'!$V$1:$V$12,0),""))</f>
        <v/>
      </c>
      <c r="AH3169" s="15" t="str">
        <f t="shared" si="2"/>
        <v/>
      </c>
      <c r="AI3169" s="17" t="str">
        <f>IF(AG3169="","",INDEX('quitado Despesa'!$G$1:$G$12,AG3169))</f>
        <v/>
      </c>
      <c r="AJ3169" s="17" t="str">
        <f t="shared" si="3"/>
        <v/>
      </c>
    </row>
    <row r="3170" spans="31:36">
      <c r="AE3170" s="15" t="str">
        <f t="shared" si="0"/>
        <v/>
      </c>
      <c r="AF3170" s="15" t="str">
        <f t="shared" si="1"/>
        <v/>
      </c>
      <c r="AG3170" s="15" t="str">
        <f>IF(OR(AF3170="",AF3170="ERRO_CHAVE"),"",IFERROR(MATCH(AF3170,'quitado Despesa'!$V$1:$V$12,0),""))</f>
        <v/>
      </c>
      <c r="AH3170" s="15" t="str">
        <f t="shared" si="2"/>
        <v/>
      </c>
      <c r="AI3170" s="17" t="str">
        <f>IF(AG3170="","",INDEX('quitado Despesa'!$G$1:$G$12,AG3170))</f>
        <v/>
      </c>
      <c r="AJ3170" s="17" t="str">
        <f t="shared" si="3"/>
        <v/>
      </c>
    </row>
    <row r="3171" spans="31:36">
      <c r="AE3171" s="15" t="str">
        <f t="shared" si="0"/>
        <v/>
      </c>
      <c r="AF3171" s="15" t="str">
        <f t="shared" si="1"/>
        <v/>
      </c>
      <c r="AG3171" s="15" t="str">
        <f>IF(OR(AF3171="",AF3171="ERRO_CHAVE"),"",IFERROR(MATCH(AF3171,'quitado Despesa'!$V$1:$V$12,0),""))</f>
        <v/>
      </c>
      <c r="AH3171" s="15" t="str">
        <f t="shared" si="2"/>
        <v/>
      </c>
      <c r="AI3171" s="17" t="str">
        <f>IF(AG3171="","",INDEX('quitado Despesa'!$G$1:$G$12,AG3171))</f>
        <v/>
      </c>
      <c r="AJ3171" s="17" t="str">
        <f t="shared" si="3"/>
        <v/>
      </c>
    </row>
    <row r="3172" spans="31:36">
      <c r="AE3172" s="15" t="str">
        <f t="shared" si="0"/>
        <v/>
      </c>
      <c r="AF3172" s="15" t="str">
        <f t="shared" si="1"/>
        <v/>
      </c>
      <c r="AG3172" s="15" t="str">
        <f>IF(OR(AF3172="",AF3172="ERRO_CHAVE"),"",IFERROR(MATCH(AF3172,'quitado Despesa'!$V$1:$V$12,0),""))</f>
        <v/>
      </c>
      <c r="AH3172" s="15" t="str">
        <f t="shared" si="2"/>
        <v/>
      </c>
      <c r="AI3172" s="17" t="str">
        <f>IF(AG3172="","",INDEX('quitado Despesa'!$G$1:$G$12,AG3172))</f>
        <v/>
      </c>
      <c r="AJ3172" s="17" t="str">
        <f t="shared" si="3"/>
        <v/>
      </c>
    </row>
    <row r="3173" spans="31:36">
      <c r="AE3173" s="15" t="str">
        <f t="shared" si="0"/>
        <v/>
      </c>
      <c r="AF3173" s="15" t="str">
        <f t="shared" si="1"/>
        <v/>
      </c>
      <c r="AG3173" s="15" t="str">
        <f>IF(OR(AF3173="",AF3173="ERRO_CHAVE"),"",IFERROR(MATCH(AF3173,'quitado Despesa'!$V$1:$V$12,0),""))</f>
        <v/>
      </c>
      <c r="AH3173" s="15" t="str">
        <f t="shared" si="2"/>
        <v/>
      </c>
      <c r="AI3173" s="17" t="str">
        <f>IF(AG3173="","",INDEX('quitado Despesa'!$G$1:$G$12,AG3173))</f>
        <v/>
      </c>
      <c r="AJ3173" s="17" t="str">
        <f t="shared" si="3"/>
        <v/>
      </c>
    </row>
    <row r="3174" spans="31:36">
      <c r="AE3174" s="15" t="str">
        <f t="shared" si="0"/>
        <v/>
      </c>
      <c r="AF3174" s="15" t="str">
        <f t="shared" si="1"/>
        <v/>
      </c>
      <c r="AG3174" s="15" t="str">
        <f>IF(OR(AF3174="",AF3174="ERRO_CHAVE"),"",IFERROR(MATCH(AF3174,'quitado Despesa'!$V$1:$V$12,0),""))</f>
        <v/>
      </c>
      <c r="AH3174" s="15" t="str">
        <f t="shared" si="2"/>
        <v/>
      </c>
      <c r="AI3174" s="17" t="str">
        <f>IF(AG3174="","",INDEX('quitado Despesa'!$G$1:$G$12,AG3174))</f>
        <v/>
      </c>
      <c r="AJ3174" s="17" t="str">
        <f t="shared" si="3"/>
        <v/>
      </c>
    </row>
    <row r="3175" spans="31:36">
      <c r="AE3175" s="15" t="str">
        <f t="shared" si="0"/>
        <v/>
      </c>
      <c r="AF3175" s="15" t="str">
        <f t="shared" si="1"/>
        <v/>
      </c>
      <c r="AG3175" s="15" t="str">
        <f>IF(OR(AF3175="",AF3175="ERRO_CHAVE"),"",IFERROR(MATCH(AF3175,'quitado Despesa'!$V$1:$V$12,0),""))</f>
        <v/>
      </c>
      <c r="AH3175" s="15" t="str">
        <f t="shared" si="2"/>
        <v/>
      </c>
      <c r="AI3175" s="17" t="str">
        <f>IF(AG3175="","",INDEX('quitado Despesa'!$G$1:$G$12,AG3175))</f>
        <v/>
      </c>
      <c r="AJ3175" s="17" t="str">
        <f t="shared" si="3"/>
        <v/>
      </c>
    </row>
    <row r="3176" spans="31:36">
      <c r="AE3176" s="15" t="str">
        <f t="shared" si="0"/>
        <v/>
      </c>
      <c r="AF3176" s="15" t="str">
        <f t="shared" si="1"/>
        <v/>
      </c>
      <c r="AG3176" s="15" t="str">
        <f>IF(OR(AF3176="",AF3176="ERRO_CHAVE"),"",IFERROR(MATCH(AF3176,'quitado Despesa'!$V$1:$V$12,0),""))</f>
        <v/>
      </c>
      <c r="AH3176" s="15" t="str">
        <f t="shared" si="2"/>
        <v/>
      </c>
      <c r="AI3176" s="17" t="str">
        <f>IF(AG3176="","",INDEX('quitado Despesa'!$G$1:$G$12,AG3176))</f>
        <v/>
      </c>
      <c r="AJ3176" s="17" t="str">
        <f t="shared" si="3"/>
        <v/>
      </c>
    </row>
    <row r="3177" spans="31:36">
      <c r="AE3177" s="15" t="str">
        <f t="shared" si="0"/>
        <v/>
      </c>
      <c r="AF3177" s="15" t="str">
        <f t="shared" si="1"/>
        <v/>
      </c>
      <c r="AG3177" s="15" t="str">
        <f>IF(OR(AF3177="",AF3177="ERRO_CHAVE"),"",IFERROR(MATCH(AF3177,'quitado Despesa'!$V$1:$V$12,0),""))</f>
        <v/>
      </c>
      <c r="AH3177" s="15" t="str">
        <f t="shared" si="2"/>
        <v/>
      </c>
      <c r="AI3177" s="17" t="str">
        <f>IF(AG3177="","",INDEX('quitado Despesa'!$G$1:$G$12,AG3177))</f>
        <v/>
      </c>
      <c r="AJ3177" s="17" t="str">
        <f t="shared" si="3"/>
        <v/>
      </c>
    </row>
    <row r="3178" spans="31:36">
      <c r="AE3178" s="15" t="str">
        <f t="shared" si="0"/>
        <v/>
      </c>
      <c r="AF3178" s="15" t="str">
        <f t="shared" si="1"/>
        <v/>
      </c>
      <c r="AG3178" s="15" t="str">
        <f>IF(OR(AF3178="",AF3178="ERRO_CHAVE"),"",IFERROR(MATCH(AF3178,'quitado Despesa'!$V$1:$V$12,0),""))</f>
        <v/>
      </c>
      <c r="AH3178" s="15" t="str">
        <f t="shared" si="2"/>
        <v/>
      </c>
      <c r="AI3178" s="17" t="str">
        <f>IF(AG3178="","",INDEX('quitado Despesa'!$G$1:$G$12,AG3178))</f>
        <v/>
      </c>
      <c r="AJ3178" s="17" t="str">
        <f t="shared" si="3"/>
        <v/>
      </c>
    </row>
    <row r="3179" spans="31:36">
      <c r="AE3179" s="15" t="str">
        <f t="shared" si="0"/>
        <v/>
      </c>
      <c r="AF3179" s="15" t="str">
        <f t="shared" si="1"/>
        <v/>
      </c>
      <c r="AG3179" s="15" t="str">
        <f>IF(OR(AF3179="",AF3179="ERRO_CHAVE"),"",IFERROR(MATCH(AF3179,'quitado Despesa'!$V$1:$V$12,0),""))</f>
        <v/>
      </c>
      <c r="AH3179" s="15" t="str">
        <f t="shared" si="2"/>
        <v/>
      </c>
      <c r="AI3179" s="17" t="str">
        <f>IF(AG3179="","",INDEX('quitado Despesa'!$G$1:$G$12,AG3179))</f>
        <v/>
      </c>
      <c r="AJ3179" s="17" t="str">
        <f t="shared" si="3"/>
        <v/>
      </c>
    </row>
    <row r="3180" spans="31:36">
      <c r="AE3180" s="15" t="str">
        <f t="shared" si="0"/>
        <v/>
      </c>
      <c r="AF3180" s="15" t="str">
        <f t="shared" si="1"/>
        <v/>
      </c>
      <c r="AG3180" s="15" t="str">
        <f>IF(OR(AF3180="",AF3180="ERRO_CHAVE"),"",IFERROR(MATCH(AF3180,'quitado Despesa'!$V$1:$V$12,0),""))</f>
        <v/>
      </c>
      <c r="AH3180" s="15" t="str">
        <f t="shared" si="2"/>
        <v/>
      </c>
      <c r="AI3180" s="17" t="str">
        <f>IF(AG3180="","",INDEX('quitado Despesa'!$G$1:$G$12,AG3180))</f>
        <v/>
      </c>
      <c r="AJ3180" s="17" t="str">
        <f t="shared" si="3"/>
        <v/>
      </c>
    </row>
    <row r="3181" spans="31:36">
      <c r="AE3181" s="15" t="str">
        <f t="shared" si="0"/>
        <v/>
      </c>
      <c r="AF3181" s="15" t="str">
        <f t="shared" si="1"/>
        <v/>
      </c>
      <c r="AG3181" s="15" t="str">
        <f>IF(OR(AF3181="",AF3181="ERRO_CHAVE"),"",IFERROR(MATCH(AF3181,'quitado Despesa'!$V$1:$V$12,0),""))</f>
        <v/>
      </c>
      <c r="AH3181" s="15" t="str">
        <f t="shared" si="2"/>
        <v/>
      </c>
      <c r="AI3181" s="17" t="str">
        <f>IF(AG3181="","",INDEX('quitado Despesa'!$G$1:$G$12,AG3181))</f>
        <v/>
      </c>
      <c r="AJ3181" s="17" t="str">
        <f t="shared" si="3"/>
        <v/>
      </c>
    </row>
    <row r="3182" spans="31:36">
      <c r="AE3182" s="15" t="str">
        <f t="shared" si="0"/>
        <v/>
      </c>
      <c r="AF3182" s="15" t="str">
        <f t="shared" si="1"/>
        <v/>
      </c>
      <c r="AG3182" s="15" t="str">
        <f>IF(OR(AF3182="",AF3182="ERRO_CHAVE"),"",IFERROR(MATCH(AF3182,'quitado Despesa'!$V$1:$V$12,0),""))</f>
        <v/>
      </c>
      <c r="AH3182" s="15" t="str">
        <f t="shared" si="2"/>
        <v/>
      </c>
      <c r="AI3182" s="17" t="str">
        <f>IF(AG3182="","",INDEX('quitado Despesa'!$G$1:$G$12,AG3182))</f>
        <v/>
      </c>
      <c r="AJ3182" s="17" t="str">
        <f t="shared" si="3"/>
        <v/>
      </c>
    </row>
    <row r="3183" spans="31:36">
      <c r="AE3183" s="15" t="str">
        <f t="shared" si="0"/>
        <v/>
      </c>
      <c r="AF3183" s="15" t="str">
        <f t="shared" si="1"/>
        <v/>
      </c>
      <c r="AG3183" s="15" t="str">
        <f>IF(OR(AF3183="",AF3183="ERRO_CHAVE"),"",IFERROR(MATCH(AF3183,'quitado Despesa'!$V$1:$V$12,0),""))</f>
        <v/>
      </c>
      <c r="AH3183" s="15" t="str">
        <f t="shared" si="2"/>
        <v/>
      </c>
      <c r="AI3183" s="17" t="str">
        <f>IF(AG3183="","",INDEX('quitado Despesa'!$G$1:$G$12,AG3183))</f>
        <v/>
      </c>
      <c r="AJ3183" s="17" t="str">
        <f t="shared" si="3"/>
        <v/>
      </c>
    </row>
    <row r="3184" spans="31:36">
      <c r="AE3184" s="15" t="str">
        <f t="shared" si="0"/>
        <v/>
      </c>
      <c r="AF3184" s="15" t="str">
        <f t="shared" si="1"/>
        <v/>
      </c>
      <c r="AG3184" s="15" t="str">
        <f>IF(OR(AF3184="",AF3184="ERRO_CHAVE"),"",IFERROR(MATCH(AF3184,'quitado Despesa'!$V$1:$V$12,0),""))</f>
        <v/>
      </c>
      <c r="AH3184" s="15" t="str">
        <f t="shared" si="2"/>
        <v/>
      </c>
      <c r="AI3184" s="17" t="str">
        <f>IF(AG3184="","",INDEX('quitado Despesa'!$G$1:$G$12,AG3184))</f>
        <v/>
      </c>
      <c r="AJ3184" s="17" t="str">
        <f t="shared" si="3"/>
        <v/>
      </c>
    </row>
    <row r="3185" spans="31:36">
      <c r="AE3185" s="15" t="str">
        <f t="shared" si="0"/>
        <v/>
      </c>
      <c r="AF3185" s="15" t="str">
        <f t="shared" si="1"/>
        <v/>
      </c>
      <c r="AG3185" s="15" t="str">
        <f>IF(OR(AF3185="",AF3185="ERRO_CHAVE"),"",IFERROR(MATCH(AF3185,'quitado Despesa'!$V$1:$V$12,0),""))</f>
        <v/>
      </c>
      <c r="AH3185" s="15" t="str">
        <f t="shared" si="2"/>
        <v/>
      </c>
      <c r="AI3185" s="17" t="str">
        <f>IF(AG3185="","",INDEX('quitado Despesa'!$G$1:$G$12,AG3185))</f>
        <v/>
      </c>
      <c r="AJ3185" s="17" t="str">
        <f t="shared" si="3"/>
        <v/>
      </c>
    </row>
    <row r="3186" spans="31:36">
      <c r="AE3186" s="15" t="str">
        <f t="shared" si="0"/>
        <v/>
      </c>
      <c r="AF3186" s="15" t="str">
        <f t="shared" si="1"/>
        <v/>
      </c>
      <c r="AG3186" s="15" t="str">
        <f>IF(OR(AF3186="",AF3186="ERRO_CHAVE"),"",IFERROR(MATCH(AF3186,'quitado Despesa'!$V$1:$V$12,0),""))</f>
        <v/>
      </c>
      <c r="AH3186" s="15" t="str">
        <f t="shared" si="2"/>
        <v/>
      </c>
      <c r="AI3186" s="17" t="str">
        <f>IF(AG3186="","",INDEX('quitado Despesa'!$G$1:$G$12,AG3186))</f>
        <v/>
      </c>
      <c r="AJ3186" s="17" t="str">
        <f t="shared" si="3"/>
        <v/>
      </c>
    </row>
    <row r="3187" spans="31:36">
      <c r="AE3187" s="15" t="str">
        <f t="shared" si="0"/>
        <v/>
      </c>
      <c r="AF3187" s="15" t="str">
        <f t="shared" si="1"/>
        <v/>
      </c>
      <c r="AG3187" s="15" t="str">
        <f>IF(OR(AF3187="",AF3187="ERRO_CHAVE"),"",IFERROR(MATCH(AF3187,'quitado Despesa'!$V$1:$V$12,0),""))</f>
        <v/>
      </c>
      <c r="AH3187" s="15" t="str">
        <f t="shared" si="2"/>
        <v/>
      </c>
      <c r="AI3187" s="17" t="str">
        <f>IF(AG3187="","",INDEX('quitado Despesa'!$G$1:$G$12,AG3187))</f>
        <v/>
      </c>
      <c r="AJ3187" s="17" t="str">
        <f t="shared" si="3"/>
        <v/>
      </c>
    </row>
    <row r="3188" spans="31:36">
      <c r="AE3188" s="15" t="str">
        <f t="shared" si="0"/>
        <v/>
      </c>
      <c r="AF3188" s="15" t="str">
        <f t="shared" si="1"/>
        <v/>
      </c>
      <c r="AG3188" s="15" t="str">
        <f>IF(OR(AF3188="",AF3188="ERRO_CHAVE"),"",IFERROR(MATCH(AF3188,'quitado Despesa'!$V$1:$V$12,0),""))</f>
        <v/>
      </c>
      <c r="AH3188" s="15" t="str">
        <f t="shared" si="2"/>
        <v/>
      </c>
      <c r="AI3188" s="17" t="str">
        <f>IF(AG3188="","",INDEX('quitado Despesa'!$G$1:$G$12,AG3188))</f>
        <v/>
      </c>
      <c r="AJ3188" s="17" t="str">
        <f t="shared" si="3"/>
        <v/>
      </c>
    </row>
    <row r="3189" spans="31:36">
      <c r="AE3189" s="15" t="str">
        <f t="shared" si="0"/>
        <v/>
      </c>
      <c r="AF3189" s="15" t="str">
        <f t="shared" si="1"/>
        <v/>
      </c>
      <c r="AG3189" s="15" t="str">
        <f>IF(OR(AF3189="",AF3189="ERRO_CHAVE"),"",IFERROR(MATCH(AF3189,'quitado Despesa'!$V$1:$V$12,0),""))</f>
        <v/>
      </c>
      <c r="AH3189" s="15" t="str">
        <f t="shared" si="2"/>
        <v/>
      </c>
      <c r="AI3189" s="17" t="str">
        <f>IF(AG3189="","",INDEX('quitado Despesa'!$G$1:$G$12,AG3189))</f>
        <v/>
      </c>
      <c r="AJ3189" s="17" t="str">
        <f t="shared" si="3"/>
        <v/>
      </c>
    </row>
    <row r="3190" spans="31:36">
      <c r="AE3190" s="15" t="str">
        <f t="shared" si="0"/>
        <v/>
      </c>
      <c r="AF3190" s="15" t="str">
        <f t="shared" si="1"/>
        <v/>
      </c>
      <c r="AG3190" s="15" t="str">
        <f>IF(OR(AF3190="",AF3190="ERRO_CHAVE"),"",IFERROR(MATCH(AF3190,'quitado Despesa'!$V$1:$V$12,0),""))</f>
        <v/>
      </c>
      <c r="AH3190" s="15" t="str">
        <f t="shared" si="2"/>
        <v/>
      </c>
      <c r="AI3190" s="17" t="str">
        <f>IF(AG3190="","",INDEX('quitado Despesa'!$G$1:$G$12,AG3190))</f>
        <v/>
      </c>
      <c r="AJ3190" s="17" t="str">
        <f t="shared" si="3"/>
        <v/>
      </c>
    </row>
    <row r="3191" spans="31:36">
      <c r="AE3191" s="15" t="str">
        <f t="shared" si="0"/>
        <v/>
      </c>
      <c r="AF3191" s="15" t="str">
        <f t="shared" si="1"/>
        <v/>
      </c>
      <c r="AG3191" s="15" t="str">
        <f>IF(OR(AF3191="",AF3191="ERRO_CHAVE"),"",IFERROR(MATCH(AF3191,'quitado Despesa'!$V$1:$V$12,0),""))</f>
        <v/>
      </c>
      <c r="AH3191" s="15" t="str">
        <f t="shared" si="2"/>
        <v/>
      </c>
      <c r="AI3191" s="17" t="str">
        <f>IF(AG3191="","",INDEX('quitado Despesa'!$G$1:$G$12,AG3191))</f>
        <v/>
      </c>
      <c r="AJ3191" s="17" t="str">
        <f t="shared" si="3"/>
        <v/>
      </c>
    </row>
    <row r="3192" spans="31:36">
      <c r="AE3192" s="15" t="str">
        <f t="shared" si="0"/>
        <v/>
      </c>
      <c r="AF3192" s="15" t="str">
        <f t="shared" si="1"/>
        <v/>
      </c>
      <c r="AG3192" s="15" t="str">
        <f>IF(OR(AF3192="",AF3192="ERRO_CHAVE"),"",IFERROR(MATCH(AF3192,'quitado Despesa'!$V$1:$V$12,0),""))</f>
        <v/>
      </c>
      <c r="AH3192" s="15" t="str">
        <f t="shared" si="2"/>
        <v/>
      </c>
      <c r="AI3192" s="17" t="str">
        <f>IF(AG3192="","",INDEX('quitado Despesa'!$G$1:$G$12,AG3192))</f>
        <v/>
      </c>
      <c r="AJ3192" s="17" t="str">
        <f t="shared" si="3"/>
        <v/>
      </c>
    </row>
    <row r="3193" spans="31:36">
      <c r="AE3193" s="15" t="str">
        <f t="shared" si="0"/>
        <v/>
      </c>
      <c r="AF3193" s="15" t="str">
        <f t="shared" si="1"/>
        <v/>
      </c>
      <c r="AG3193" s="15" t="str">
        <f>IF(OR(AF3193="",AF3193="ERRO_CHAVE"),"",IFERROR(MATCH(AF3193,'quitado Despesa'!$V$1:$V$12,0),""))</f>
        <v/>
      </c>
      <c r="AH3193" s="15" t="str">
        <f t="shared" si="2"/>
        <v/>
      </c>
      <c r="AI3193" s="17" t="str">
        <f>IF(AG3193="","",INDEX('quitado Despesa'!$G$1:$G$12,AG3193))</f>
        <v/>
      </c>
      <c r="AJ3193" s="17" t="str">
        <f t="shared" si="3"/>
        <v/>
      </c>
    </row>
    <row r="3194" spans="31:36">
      <c r="AE3194" s="15" t="str">
        <f t="shared" si="0"/>
        <v/>
      </c>
      <c r="AF3194" s="15" t="str">
        <f t="shared" si="1"/>
        <v/>
      </c>
      <c r="AG3194" s="15" t="str">
        <f>IF(OR(AF3194="",AF3194="ERRO_CHAVE"),"",IFERROR(MATCH(AF3194,'quitado Despesa'!$V$1:$V$12,0),""))</f>
        <v/>
      </c>
      <c r="AH3194" s="15" t="str">
        <f t="shared" si="2"/>
        <v/>
      </c>
      <c r="AI3194" s="17" t="str">
        <f>IF(AG3194="","",INDEX('quitado Despesa'!$G$1:$G$12,AG3194))</f>
        <v/>
      </c>
      <c r="AJ3194" s="17" t="str">
        <f t="shared" si="3"/>
        <v/>
      </c>
    </row>
    <row r="3195" spans="31:36">
      <c r="AE3195" s="15" t="str">
        <f t="shared" si="0"/>
        <v/>
      </c>
      <c r="AF3195" s="15" t="str">
        <f t="shared" si="1"/>
        <v/>
      </c>
      <c r="AG3195" s="15" t="str">
        <f>IF(OR(AF3195="",AF3195="ERRO_CHAVE"),"",IFERROR(MATCH(AF3195,'quitado Despesa'!$V$1:$V$12,0),""))</f>
        <v/>
      </c>
      <c r="AH3195" s="15" t="str">
        <f t="shared" si="2"/>
        <v/>
      </c>
      <c r="AI3195" s="17" t="str">
        <f>IF(AG3195="","",INDEX('quitado Despesa'!$G$1:$G$12,AG3195))</f>
        <v/>
      </c>
      <c r="AJ3195" s="17" t="str">
        <f t="shared" si="3"/>
        <v/>
      </c>
    </row>
    <row r="3196" spans="31:36">
      <c r="AE3196" s="15" t="str">
        <f t="shared" si="0"/>
        <v/>
      </c>
      <c r="AF3196" s="15" t="str">
        <f t="shared" si="1"/>
        <v/>
      </c>
      <c r="AG3196" s="15" t="str">
        <f>IF(OR(AF3196="",AF3196="ERRO_CHAVE"),"",IFERROR(MATCH(AF3196,'quitado Despesa'!$V$1:$V$12,0),""))</f>
        <v/>
      </c>
      <c r="AH3196" s="15" t="str">
        <f t="shared" si="2"/>
        <v/>
      </c>
      <c r="AI3196" s="17" t="str">
        <f>IF(AG3196="","",INDEX('quitado Despesa'!$G$1:$G$12,AG3196))</f>
        <v/>
      </c>
      <c r="AJ3196" s="17" t="str">
        <f t="shared" si="3"/>
        <v/>
      </c>
    </row>
    <row r="3197" spans="31:36">
      <c r="AE3197" s="15" t="str">
        <f t="shared" si="0"/>
        <v/>
      </c>
      <c r="AF3197" s="15" t="str">
        <f t="shared" si="1"/>
        <v/>
      </c>
      <c r="AG3197" s="15" t="str">
        <f>IF(OR(AF3197="",AF3197="ERRO_CHAVE"),"",IFERROR(MATCH(AF3197,'quitado Despesa'!$V$1:$V$12,0),""))</f>
        <v/>
      </c>
      <c r="AH3197" s="15" t="str">
        <f t="shared" si="2"/>
        <v/>
      </c>
      <c r="AI3197" s="17" t="str">
        <f>IF(AG3197="","",INDEX('quitado Despesa'!$G$1:$G$12,AG3197))</f>
        <v/>
      </c>
      <c r="AJ3197" s="17" t="str">
        <f t="shared" si="3"/>
        <v/>
      </c>
    </row>
    <row r="3198" spans="31:36">
      <c r="AE3198" s="15" t="str">
        <f t="shared" si="0"/>
        <v/>
      </c>
      <c r="AF3198" s="15" t="str">
        <f t="shared" si="1"/>
        <v/>
      </c>
      <c r="AG3198" s="15" t="str">
        <f>IF(OR(AF3198="",AF3198="ERRO_CHAVE"),"",IFERROR(MATCH(AF3198,'quitado Despesa'!$V$1:$V$12,0),""))</f>
        <v/>
      </c>
      <c r="AH3198" s="15" t="str">
        <f t="shared" si="2"/>
        <v/>
      </c>
      <c r="AI3198" s="17" t="str">
        <f>IF(AG3198="","",INDEX('quitado Despesa'!$G$1:$G$12,AG3198))</f>
        <v/>
      </c>
      <c r="AJ3198" s="17" t="str">
        <f t="shared" si="3"/>
        <v/>
      </c>
    </row>
    <row r="3199" spans="31:36">
      <c r="AE3199" s="15" t="str">
        <f t="shared" si="0"/>
        <v/>
      </c>
      <c r="AF3199" s="15" t="str">
        <f t="shared" si="1"/>
        <v/>
      </c>
      <c r="AG3199" s="15" t="str">
        <f>IF(OR(AF3199="",AF3199="ERRO_CHAVE"),"",IFERROR(MATCH(AF3199,'quitado Despesa'!$V$1:$V$12,0),""))</f>
        <v/>
      </c>
      <c r="AH3199" s="15" t="str">
        <f t="shared" si="2"/>
        <v/>
      </c>
      <c r="AI3199" s="17" t="str">
        <f>IF(AG3199="","",INDEX('quitado Despesa'!$G$1:$G$12,AG3199))</f>
        <v/>
      </c>
      <c r="AJ3199" s="17" t="str">
        <f t="shared" si="3"/>
        <v/>
      </c>
    </row>
    <row r="3200" spans="31:36">
      <c r="AE3200" s="15" t="str">
        <f t="shared" si="0"/>
        <v/>
      </c>
      <c r="AF3200" s="15" t="str">
        <f t="shared" si="1"/>
        <v/>
      </c>
      <c r="AG3200" s="15" t="str">
        <f>IF(OR(AF3200="",AF3200="ERRO_CHAVE"),"",IFERROR(MATCH(AF3200,'quitado Despesa'!$V$1:$V$12,0),""))</f>
        <v/>
      </c>
      <c r="AH3200" s="15" t="str">
        <f t="shared" si="2"/>
        <v/>
      </c>
      <c r="AI3200" s="17" t="str">
        <f>IF(AG3200="","",INDEX('quitado Despesa'!$G$1:$G$12,AG3200))</f>
        <v/>
      </c>
      <c r="AJ3200" s="17" t="str">
        <f t="shared" si="3"/>
        <v/>
      </c>
    </row>
    <row r="3201" spans="31:36">
      <c r="AE3201" s="15" t="str">
        <f t="shared" si="0"/>
        <v/>
      </c>
      <c r="AF3201" s="15" t="str">
        <f t="shared" si="1"/>
        <v/>
      </c>
      <c r="AG3201" s="15" t="str">
        <f>IF(OR(AF3201="",AF3201="ERRO_CHAVE"),"",IFERROR(MATCH(AF3201,'quitado Despesa'!$V$1:$V$12,0),""))</f>
        <v/>
      </c>
      <c r="AH3201" s="15" t="str">
        <f t="shared" si="2"/>
        <v/>
      </c>
      <c r="AI3201" s="17" t="str">
        <f>IF(AG3201="","",INDEX('quitado Despesa'!$G$1:$G$12,AG3201))</f>
        <v/>
      </c>
      <c r="AJ3201" s="17" t="str">
        <f t="shared" si="3"/>
        <v/>
      </c>
    </row>
    <row r="3202" spans="31:36">
      <c r="AE3202" s="15" t="str">
        <f t="shared" si="0"/>
        <v/>
      </c>
      <c r="AF3202" s="15" t="str">
        <f t="shared" si="1"/>
        <v/>
      </c>
      <c r="AG3202" s="15" t="str">
        <f>IF(OR(AF3202="",AF3202="ERRO_CHAVE"),"",IFERROR(MATCH(AF3202,'quitado Despesa'!$V$1:$V$12,0),""))</f>
        <v/>
      </c>
      <c r="AH3202" s="15" t="str">
        <f t="shared" si="2"/>
        <v/>
      </c>
      <c r="AI3202" s="17" t="str">
        <f>IF(AG3202="","",INDEX('quitado Despesa'!$G$1:$G$12,AG3202))</f>
        <v/>
      </c>
      <c r="AJ3202" s="17" t="str">
        <f t="shared" si="3"/>
        <v/>
      </c>
    </row>
    <row r="3203" spans="31:36">
      <c r="AE3203" s="15" t="str">
        <f t="shared" si="0"/>
        <v/>
      </c>
      <c r="AF3203" s="15" t="str">
        <f t="shared" si="1"/>
        <v/>
      </c>
      <c r="AG3203" s="15" t="str">
        <f>IF(OR(AF3203="",AF3203="ERRO_CHAVE"),"",IFERROR(MATCH(AF3203,'quitado Despesa'!$V$1:$V$12,0),""))</f>
        <v/>
      </c>
      <c r="AH3203" s="15" t="str">
        <f t="shared" si="2"/>
        <v/>
      </c>
      <c r="AI3203" s="17" t="str">
        <f>IF(AG3203="","",INDEX('quitado Despesa'!$G$1:$G$12,AG3203))</f>
        <v/>
      </c>
      <c r="AJ3203" s="17" t="str">
        <f t="shared" si="3"/>
        <v/>
      </c>
    </row>
    <row r="3204" spans="31:36">
      <c r="AE3204" s="15" t="str">
        <f t="shared" si="0"/>
        <v/>
      </c>
      <c r="AF3204" s="15" t="str">
        <f t="shared" si="1"/>
        <v/>
      </c>
      <c r="AG3204" s="15" t="str">
        <f>IF(OR(AF3204="",AF3204="ERRO_CHAVE"),"",IFERROR(MATCH(AF3204,'quitado Despesa'!$V$1:$V$12,0),""))</f>
        <v/>
      </c>
      <c r="AH3204" s="15" t="str">
        <f t="shared" si="2"/>
        <v/>
      </c>
      <c r="AI3204" s="17" t="str">
        <f>IF(AG3204="","",INDEX('quitado Despesa'!$G$1:$G$12,AG3204))</f>
        <v/>
      </c>
      <c r="AJ3204" s="17" t="str">
        <f t="shared" si="3"/>
        <v/>
      </c>
    </row>
    <row r="3205" spans="31:36">
      <c r="AE3205" s="15" t="str">
        <f t="shared" si="0"/>
        <v/>
      </c>
      <c r="AF3205" s="15" t="str">
        <f t="shared" si="1"/>
        <v/>
      </c>
      <c r="AG3205" s="15" t="str">
        <f>IF(OR(AF3205="",AF3205="ERRO_CHAVE"),"",IFERROR(MATCH(AF3205,'quitado Despesa'!$V$1:$V$12,0),""))</f>
        <v/>
      </c>
      <c r="AH3205" s="15" t="str">
        <f t="shared" si="2"/>
        <v/>
      </c>
      <c r="AI3205" s="17" t="str">
        <f>IF(AG3205="","",INDEX('quitado Despesa'!$G$1:$G$12,AG3205))</f>
        <v/>
      </c>
      <c r="AJ3205" s="17" t="str">
        <f t="shared" si="3"/>
        <v/>
      </c>
    </row>
    <row r="3206" spans="31:36">
      <c r="AE3206" s="15" t="str">
        <f t="shared" si="0"/>
        <v/>
      </c>
      <c r="AF3206" s="15" t="str">
        <f t="shared" si="1"/>
        <v/>
      </c>
      <c r="AG3206" s="15" t="str">
        <f>IF(OR(AF3206="",AF3206="ERRO_CHAVE"),"",IFERROR(MATCH(AF3206,'quitado Despesa'!$V$1:$V$12,0),""))</f>
        <v/>
      </c>
      <c r="AH3206" s="15" t="str">
        <f t="shared" si="2"/>
        <v/>
      </c>
      <c r="AI3206" s="17" t="str">
        <f>IF(AG3206="","",INDEX('quitado Despesa'!$G$1:$G$12,AG3206))</f>
        <v/>
      </c>
      <c r="AJ3206" s="17" t="str">
        <f t="shared" si="3"/>
        <v/>
      </c>
    </row>
    <row r="3207" spans="31:36">
      <c r="AE3207" s="15" t="str">
        <f t="shared" si="0"/>
        <v/>
      </c>
      <c r="AF3207" s="15" t="str">
        <f t="shared" si="1"/>
        <v/>
      </c>
      <c r="AG3207" s="15" t="str">
        <f>IF(OR(AF3207="",AF3207="ERRO_CHAVE"),"",IFERROR(MATCH(AF3207,'quitado Despesa'!$V$1:$V$12,0),""))</f>
        <v/>
      </c>
      <c r="AH3207" s="15" t="str">
        <f t="shared" si="2"/>
        <v/>
      </c>
      <c r="AI3207" s="17" t="str">
        <f>IF(AG3207="","",INDEX('quitado Despesa'!$G$1:$G$12,AG3207))</f>
        <v/>
      </c>
      <c r="AJ3207" s="17" t="str">
        <f t="shared" si="3"/>
        <v/>
      </c>
    </row>
    <row r="3208" spans="31:36">
      <c r="AE3208" s="15" t="str">
        <f t="shared" si="0"/>
        <v/>
      </c>
      <c r="AF3208" s="15" t="str">
        <f t="shared" si="1"/>
        <v/>
      </c>
      <c r="AG3208" s="15" t="str">
        <f>IF(OR(AF3208="",AF3208="ERRO_CHAVE"),"",IFERROR(MATCH(AF3208,'quitado Despesa'!$V$1:$V$12,0),""))</f>
        <v/>
      </c>
      <c r="AH3208" s="15" t="str">
        <f t="shared" si="2"/>
        <v/>
      </c>
      <c r="AI3208" s="17" t="str">
        <f>IF(AG3208="","",INDEX('quitado Despesa'!$G$1:$G$12,AG3208))</f>
        <v/>
      </c>
      <c r="AJ3208" s="17" t="str">
        <f t="shared" si="3"/>
        <v/>
      </c>
    </row>
    <row r="3209" spans="31:36">
      <c r="AE3209" s="15" t="str">
        <f t="shared" si="0"/>
        <v/>
      </c>
      <c r="AF3209" s="15" t="str">
        <f t="shared" si="1"/>
        <v/>
      </c>
      <c r="AG3209" s="15" t="str">
        <f>IF(OR(AF3209="",AF3209="ERRO_CHAVE"),"",IFERROR(MATCH(AF3209,'quitado Despesa'!$V$1:$V$12,0),""))</f>
        <v/>
      </c>
      <c r="AH3209" s="15" t="str">
        <f t="shared" si="2"/>
        <v/>
      </c>
      <c r="AI3209" s="17" t="str">
        <f>IF(AG3209="","",INDEX('quitado Despesa'!$G$1:$G$12,AG3209))</f>
        <v/>
      </c>
      <c r="AJ3209" s="17" t="str">
        <f t="shared" si="3"/>
        <v/>
      </c>
    </row>
    <row r="3210" spans="31:36">
      <c r="AE3210" s="15" t="str">
        <f t="shared" si="0"/>
        <v/>
      </c>
      <c r="AF3210" s="15" t="str">
        <f t="shared" si="1"/>
        <v/>
      </c>
      <c r="AG3210" s="15" t="str">
        <f>IF(OR(AF3210="",AF3210="ERRO_CHAVE"),"",IFERROR(MATCH(AF3210,'quitado Despesa'!$V$1:$V$12,0),""))</f>
        <v/>
      </c>
      <c r="AH3210" s="15" t="str">
        <f t="shared" si="2"/>
        <v/>
      </c>
      <c r="AI3210" s="17" t="str">
        <f>IF(AG3210="","",INDEX('quitado Despesa'!$G$1:$G$12,AG3210))</f>
        <v/>
      </c>
      <c r="AJ3210" s="17" t="str">
        <f t="shared" si="3"/>
        <v/>
      </c>
    </row>
    <row r="3211" spans="31:36">
      <c r="AE3211" s="15" t="str">
        <f t="shared" si="0"/>
        <v/>
      </c>
      <c r="AF3211" s="15" t="str">
        <f t="shared" si="1"/>
        <v/>
      </c>
      <c r="AG3211" s="15" t="str">
        <f>IF(OR(AF3211="",AF3211="ERRO_CHAVE"),"",IFERROR(MATCH(AF3211,'quitado Despesa'!$V$1:$V$12,0),""))</f>
        <v/>
      </c>
      <c r="AH3211" s="15" t="str">
        <f t="shared" si="2"/>
        <v/>
      </c>
      <c r="AI3211" s="17" t="str">
        <f>IF(AG3211="","",INDEX('quitado Despesa'!$G$1:$G$12,AG3211))</f>
        <v/>
      </c>
      <c r="AJ3211" s="17" t="str">
        <f t="shared" si="3"/>
        <v/>
      </c>
    </row>
    <row r="3212" spans="31:36">
      <c r="AE3212" s="15" t="str">
        <f t="shared" si="0"/>
        <v/>
      </c>
      <c r="AF3212" s="15" t="str">
        <f t="shared" si="1"/>
        <v/>
      </c>
      <c r="AG3212" s="15" t="str">
        <f>IF(OR(AF3212="",AF3212="ERRO_CHAVE"),"",IFERROR(MATCH(AF3212,'quitado Despesa'!$V$1:$V$12,0),""))</f>
        <v/>
      </c>
      <c r="AH3212" s="15" t="str">
        <f t="shared" si="2"/>
        <v/>
      </c>
      <c r="AI3212" s="17" t="str">
        <f>IF(AG3212="","",INDEX('quitado Despesa'!$G$1:$G$12,AG3212))</f>
        <v/>
      </c>
      <c r="AJ3212" s="17" t="str">
        <f t="shared" si="3"/>
        <v/>
      </c>
    </row>
    <row r="3213" spans="31:36">
      <c r="AE3213" s="15" t="str">
        <f t="shared" si="0"/>
        <v/>
      </c>
      <c r="AF3213" s="15" t="str">
        <f t="shared" si="1"/>
        <v/>
      </c>
      <c r="AG3213" s="15" t="str">
        <f>IF(OR(AF3213="",AF3213="ERRO_CHAVE"),"",IFERROR(MATCH(AF3213,'quitado Despesa'!$V$1:$V$12,0),""))</f>
        <v/>
      </c>
      <c r="AH3213" s="15" t="str">
        <f t="shared" si="2"/>
        <v/>
      </c>
      <c r="AI3213" s="17" t="str">
        <f>IF(AG3213="","",INDEX('quitado Despesa'!$G$1:$G$12,AG3213))</f>
        <v/>
      </c>
      <c r="AJ3213" s="17" t="str">
        <f t="shared" si="3"/>
        <v/>
      </c>
    </row>
    <row r="3214" spans="31:36">
      <c r="AE3214" s="15" t="str">
        <f t="shared" si="0"/>
        <v/>
      </c>
      <c r="AF3214" s="15" t="str">
        <f t="shared" si="1"/>
        <v/>
      </c>
      <c r="AG3214" s="15" t="str">
        <f>IF(OR(AF3214="",AF3214="ERRO_CHAVE"),"",IFERROR(MATCH(AF3214,'quitado Despesa'!$V$1:$V$12,0),""))</f>
        <v/>
      </c>
      <c r="AH3214" s="15" t="str">
        <f t="shared" si="2"/>
        <v/>
      </c>
      <c r="AI3214" s="17" t="str">
        <f>IF(AG3214="","",INDEX('quitado Despesa'!$G$1:$G$12,AG3214))</f>
        <v/>
      </c>
      <c r="AJ3214" s="17" t="str">
        <f t="shared" si="3"/>
        <v/>
      </c>
    </row>
    <row r="3215" spans="31:36">
      <c r="AE3215" s="15" t="str">
        <f t="shared" si="0"/>
        <v/>
      </c>
      <c r="AF3215" s="15" t="str">
        <f t="shared" si="1"/>
        <v/>
      </c>
      <c r="AG3215" s="15" t="str">
        <f>IF(OR(AF3215="",AF3215="ERRO_CHAVE"),"",IFERROR(MATCH(AF3215,'quitado Despesa'!$V$1:$V$12,0),""))</f>
        <v/>
      </c>
      <c r="AH3215" s="15" t="str">
        <f t="shared" si="2"/>
        <v/>
      </c>
      <c r="AI3215" s="17" t="str">
        <f>IF(AG3215="","",INDEX('quitado Despesa'!$G$1:$G$12,AG3215))</f>
        <v/>
      </c>
      <c r="AJ3215" s="17" t="str">
        <f t="shared" si="3"/>
        <v/>
      </c>
    </row>
    <row r="3216" spans="31:36">
      <c r="AE3216" s="15" t="str">
        <f t="shared" si="0"/>
        <v/>
      </c>
      <c r="AF3216" s="15" t="str">
        <f t="shared" si="1"/>
        <v/>
      </c>
      <c r="AG3216" s="15" t="str">
        <f>IF(OR(AF3216="",AF3216="ERRO_CHAVE"),"",IFERROR(MATCH(AF3216,'quitado Despesa'!$V$1:$V$12,0),""))</f>
        <v/>
      </c>
      <c r="AH3216" s="15" t="str">
        <f t="shared" si="2"/>
        <v/>
      </c>
      <c r="AI3216" s="17" t="str">
        <f>IF(AG3216="","",INDEX('quitado Despesa'!$G$1:$G$12,AG3216))</f>
        <v/>
      </c>
      <c r="AJ3216" s="17" t="str">
        <f t="shared" si="3"/>
        <v/>
      </c>
    </row>
    <row r="3217" spans="31:36">
      <c r="AE3217" s="15" t="str">
        <f t="shared" si="0"/>
        <v/>
      </c>
      <c r="AF3217" s="15" t="str">
        <f t="shared" si="1"/>
        <v/>
      </c>
      <c r="AG3217" s="15" t="str">
        <f>IF(OR(AF3217="",AF3217="ERRO_CHAVE"),"",IFERROR(MATCH(AF3217,'quitado Despesa'!$V$1:$V$12,0),""))</f>
        <v/>
      </c>
      <c r="AH3217" s="15" t="str">
        <f t="shared" si="2"/>
        <v/>
      </c>
      <c r="AI3217" s="17" t="str">
        <f>IF(AG3217="","",INDEX('quitado Despesa'!$G$1:$G$12,AG3217))</f>
        <v/>
      </c>
      <c r="AJ3217" s="17" t="str">
        <f t="shared" si="3"/>
        <v/>
      </c>
    </row>
    <row r="3218" spans="31:36">
      <c r="AE3218" s="15" t="str">
        <f t="shared" si="0"/>
        <v/>
      </c>
      <c r="AF3218" s="15" t="str">
        <f t="shared" si="1"/>
        <v/>
      </c>
      <c r="AG3218" s="15" t="str">
        <f>IF(OR(AF3218="",AF3218="ERRO_CHAVE"),"",IFERROR(MATCH(AF3218,'quitado Despesa'!$V$1:$V$12,0),""))</f>
        <v/>
      </c>
      <c r="AH3218" s="15" t="str">
        <f t="shared" si="2"/>
        <v/>
      </c>
      <c r="AI3218" s="17" t="str">
        <f>IF(AG3218="","",INDEX('quitado Despesa'!$G$1:$G$12,AG3218))</f>
        <v/>
      </c>
      <c r="AJ3218" s="17" t="str">
        <f t="shared" si="3"/>
        <v/>
      </c>
    </row>
    <row r="3219" spans="31:36">
      <c r="AE3219" s="15" t="str">
        <f t="shared" si="0"/>
        <v/>
      </c>
      <c r="AF3219" s="15" t="str">
        <f t="shared" si="1"/>
        <v/>
      </c>
      <c r="AG3219" s="15" t="str">
        <f>IF(OR(AF3219="",AF3219="ERRO_CHAVE"),"",IFERROR(MATCH(AF3219,'quitado Despesa'!$V$1:$V$12,0),""))</f>
        <v/>
      </c>
      <c r="AH3219" s="15" t="str">
        <f t="shared" si="2"/>
        <v/>
      </c>
      <c r="AI3219" s="17" t="str">
        <f>IF(AG3219="","",INDEX('quitado Despesa'!$G$1:$G$12,AG3219))</f>
        <v/>
      </c>
      <c r="AJ3219" s="17" t="str">
        <f t="shared" si="3"/>
        <v/>
      </c>
    </row>
    <row r="3220" spans="31:36">
      <c r="AE3220" s="15" t="str">
        <f t="shared" si="0"/>
        <v/>
      </c>
      <c r="AF3220" s="15" t="str">
        <f t="shared" si="1"/>
        <v/>
      </c>
      <c r="AG3220" s="15" t="str">
        <f>IF(OR(AF3220="",AF3220="ERRO_CHAVE"),"",IFERROR(MATCH(AF3220,'quitado Despesa'!$V$1:$V$12,0),""))</f>
        <v/>
      </c>
      <c r="AH3220" s="15" t="str">
        <f t="shared" si="2"/>
        <v/>
      </c>
      <c r="AI3220" s="17" t="str">
        <f>IF(AG3220="","",INDEX('quitado Despesa'!$G$1:$G$12,AG3220))</f>
        <v/>
      </c>
      <c r="AJ3220" s="17" t="str">
        <f t="shared" si="3"/>
        <v/>
      </c>
    </row>
    <row r="3221" spans="31:36">
      <c r="AE3221" s="15" t="str">
        <f t="shared" si="0"/>
        <v/>
      </c>
      <c r="AF3221" s="15" t="str">
        <f t="shared" si="1"/>
        <v/>
      </c>
      <c r="AG3221" s="15" t="str">
        <f>IF(OR(AF3221="",AF3221="ERRO_CHAVE"),"",IFERROR(MATCH(AF3221,'quitado Despesa'!$V$1:$V$12,0),""))</f>
        <v/>
      </c>
      <c r="AH3221" s="15" t="str">
        <f t="shared" si="2"/>
        <v/>
      </c>
      <c r="AI3221" s="17" t="str">
        <f>IF(AG3221="","",INDEX('quitado Despesa'!$G$1:$G$12,AG3221))</f>
        <v/>
      </c>
      <c r="AJ3221" s="17" t="str">
        <f t="shared" si="3"/>
        <v/>
      </c>
    </row>
    <row r="3222" spans="31:36">
      <c r="AE3222" s="15" t="str">
        <f t="shared" si="0"/>
        <v/>
      </c>
      <c r="AF3222" s="15" t="str">
        <f t="shared" si="1"/>
        <v/>
      </c>
      <c r="AG3222" s="15" t="str">
        <f>IF(OR(AF3222="",AF3222="ERRO_CHAVE"),"",IFERROR(MATCH(AF3222,'quitado Despesa'!$V$1:$V$12,0),""))</f>
        <v/>
      </c>
      <c r="AH3222" s="15" t="str">
        <f t="shared" si="2"/>
        <v/>
      </c>
      <c r="AI3222" s="17" t="str">
        <f>IF(AG3222="","",INDEX('quitado Despesa'!$G$1:$G$12,AG3222))</f>
        <v/>
      </c>
      <c r="AJ3222" s="17" t="str">
        <f t="shared" si="3"/>
        <v/>
      </c>
    </row>
    <row r="3223" spans="31:36">
      <c r="AE3223" s="15" t="str">
        <f t="shared" si="0"/>
        <v/>
      </c>
      <c r="AF3223" s="15" t="str">
        <f t="shared" si="1"/>
        <v/>
      </c>
      <c r="AG3223" s="15" t="str">
        <f>IF(OR(AF3223="",AF3223="ERRO_CHAVE"),"",IFERROR(MATCH(AF3223,'quitado Despesa'!$V$1:$V$12,0),""))</f>
        <v/>
      </c>
      <c r="AH3223" s="15" t="str">
        <f t="shared" si="2"/>
        <v/>
      </c>
      <c r="AI3223" s="17" t="str">
        <f>IF(AG3223="","",INDEX('quitado Despesa'!$G$1:$G$12,AG3223))</f>
        <v/>
      </c>
      <c r="AJ3223" s="17" t="str">
        <f t="shared" si="3"/>
        <v/>
      </c>
    </row>
    <row r="3224" spans="31:36">
      <c r="AE3224" s="15" t="str">
        <f t="shared" si="0"/>
        <v/>
      </c>
      <c r="AF3224" s="15" t="str">
        <f t="shared" si="1"/>
        <v/>
      </c>
      <c r="AG3224" s="15" t="str">
        <f>IF(OR(AF3224="",AF3224="ERRO_CHAVE"),"",IFERROR(MATCH(AF3224,'quitado Despesa'!$V$1:$V$12,0),""))</f>
        <v/>
      </c>
      <c r="AH3224" s="15" t="str">
        <f t="shared" si="2"/>
        <v/>
      </c>
      <c r="AI3224" s="17" t="str">
        <f>IF(AG3224="","",INDEX('quitado Despesa'!$G$1:$G$12,AG3224))</f>
        <v/>
      </c>
      <c r="AJ3224" s="17" t="str">
        <f t="shared" si="3"/>
        <v/>
      </c>
    </row>
    <row r="3225" spans="31:36">
      <c r="AE3225" s="15" t="str">
        <f t="shared" si="0"/>
        <v/>
      </c>
      <c r="AF3225" s="15" t="str">
        <f t="shared" si="1"/>
        <v/>
      </c>
      <c r="AG3225" s="15" t="str">
        <f>IF(OR(AF3225="",AF3225="ERRO_CHAVE"),"",IFERROR(MATCH(AF3225,'quitado Despesa'!$V$1:$V$12,0),""))</f>
        <v/>
      </c>
      <c r="AH3225" s="15" t="str">
        <f t="shared" si="2"/>
        <v/>
      </c>
      <c r="AI3225" s="17" t="str">
        <f>IF(AG3225="","",INDEX('quitado Despesa'!$G$1:$G$12,AG3225))</f>
        <v/>
      </c>
      <c r="AJ3225" s="17" t="str">
        <f t="shared" si="3"/>
        <v/>
      </c>
    </row>
    <row r="3226" spans="31:36">
      <c r="AE3226" s="15" t="str">
        <f t="shared" si="0"/>
        <v/>
      </c>
      <c r="AF3226" s="15" t="str">
        <f t="shared" si="1"/>
        <v/>
      </c>
      <c r="AG3226" s="15" t="str">
        <f>IF(OR(AF3226="",AF3226="ERRO_CHAVE"),"",IFERROR(MATCH(AF3226,'quitado Despesa'!$V$1:$V$12,0),""))</f>
        <v/>
      </c>
      <c r="AH3226" s="15" t="str">
        <f t="shared" si="2"/>
        <v/>
      </c>
      <c r="AI3226" s="17" t="str">
        <f>IF(AG3226="","",INDEX('quitado Despesa'!$G$1:$G$12,AG3226))</f>
        <v/>
      </c>
      <c r="AJ3226" s="17" t="str">
        <f t="shared" si="3"/>
        <v/>
      </c>
    </row>
    <row r="3227" spans="31:36">
      <c r="AE3227" s="15" t="str">
        <f t="shared" si="0"/>
        <v/>
      </c>
      <c r="AF3227" s="15" t="str">
        <f t="shared" si="1"/>
        <v/>
      </c>
      <c r="AG3227" s="15" t="str">
        <f>IF(OR(AF3227="",AF3227="ERRO_CHAVE"),"",IFERROR(MATCH(AF3227,'quitado Despesa'!$V$1:$V$12,0),""))</f>
        <v/>
      </c>
      <c r="AH3227" s="15" t="str">
        <f t="shared" si="2"/>
        <v/>
      </c>
      <c r="AI3227" s="17" t="str">
        <f>IF(AG3227="","",INDEX('quitado Despesa'!$G$1:$G$12,AG3227))</f>
        <v/>
      </c>
      <c r="AJ3227" s="17" t="str">
        <f t="shared" si="3"/>
        <v/>
      </c>
    </row>
    <row r="3228" spans="31:36">
      <c r="AE3228" s="15" t="str">
        <f t="shared" si="0"/>
        <v/>
      </c>
      <c r="AF3228" s="15" t="str">
        <f t="shared" si="1"/>
        <v/>
      </c>
      <c r="AG3228" s="15" t="str">
        <f>IF(OR(AF3228="",AF3228="ERRO_CHAVE"),"",IFERROR(MATCH(AF3228,'quitado Despesa'!$V$1:$V$12,0),""))</f>
        <v/>
      </c>
      <c r="AH3228" s="15" t="str">
        <f t="shared" si="2"/>
        <v/>
      </c>
      <c r="AI3228" s="17" t="str">
        <f>IF(AG3228="","",INDEX('quitado Despesa'!$G$1:$G$12,AG3228))</f>
        <v/>
      </c>
      <c r="AJ3228" s="17" t="str">
        <f t="shared" si="3"/>
        <v/>
      </c>
    </row>
    <row r="3229" spans="31:36">
      <c r="AE3229" s="15" t="str">
        <f t="shared" si="0"/>
        <v/>
      </c>
      <c r="AF3229" s="15" t="str">
        <f t="shared" si="1"/>
        <v/>
      </c>
      <c r="AG3229" s="15" t="str">
        <f>IF(OR(AF3229="",AF3229="ERRO_CHAVE"),"",IFERROR(MATCH(AF3229,'quitado Despesa'!$V$1:$V$12,0),""))</f>
        <v/>
      </c>
      <c r="AH3229" s="15" t="str">
        <f t="shared" si="2"/>
        <v/>
      </c>
      <c r="AI3229" s="17" t="str">
        <f>IF(AG3229="","",INDEX('quitado Despesa'!$G$1:$G$12,AG3229))</f>
        <v/>
      </c>
      <c r="AJ3229" s="17" t="str">
        <f t="shared" si="3"/>
        <v/>
      </c>
    </row>
    <row r="3230" spans="31:36">
      <c r="AE3230" s="15" t="str">
        <f t="shared" si="0"/>
        <v/>
      </c>
      <c r="AF3230" s="15" t="str">
        <f t="shared" si="1"/>
        <v/>
      </c>
      <c r="AG3230" s="15" t="str">
        <f>IF(OR(AF3230="",AF3230="ERRO_CHAVE"),"",IFERROR(MATCH(AF3230,'quitado Despesa'!$V$1:$V$12,0),""))</f>
        <v/>
      </c>
      <c r="AH3230" s="15" t="str">
        <f t="shared" si="2"/>
        <v/>
      </c>
      <c r="AI3230" s="17" t="str">
        <f>IF(AG3230="","",INDEX('quitado Despesa'!$G$1:$G$12,AG3230))</f>
        <v/>
      </c>
      <c r="AJ3230" s="17" t="str">
        <f t="shared" si="3"/>
        <v/>
      </c>
    </row>
    <row r="3231" spans="31:36">
      <c r="AE3231" s="15" t="str">
        <f t="shared" si="0"/>
        <v/>
      </c>
      <c r="AF3231" s="15" t="str">
        <f t="shared" si="1"/>
        <v/>
      </c>
      <c r="AG3231" s="15" t="str">
        <f>IF(OR(AF3231="",AF3231="ERRO_CHAVE"),"",IFERROR(MATCH(AF3231,'quitado Despesa'!$V$1:$V$12,0),""))</f>
        <v/>
      </c>
      <c r="AH3231" s="15" t="str">
        <f t="shared" si="2"/>
        <v/>
      </c>
      <c r="AI3231" s="17" t="str">
        <f>IF(AG3231="","",INDEX('quitado Despesa'!$G$1:$G$12,AG3231))</f>
        <v/>
      </c>
      <c r="AJ3231" s="17" t="str">
        <f t="shared" si="3"/>
        <v/>
      </c>
    </row>
    <row r="3232" spans="31:36">
      <c r="AE3232" s="15" t="str">
        <f t="shared" si="0"/>
        <v/>
      </c>
      <c r="AF3232" s="15" t="str">
        <f t="shared" si="1"/>
        <v/>
      </c>
      <c r="AG3232" s="15" t="str">
        <f>IF(OR(AF3232="",AF3232="ERRO_CHAVE"),"",IFERROR(MATCH(AF3232,'quitado Despesa'!$V$1:$V$12,0),""))</f>
        <v/>
      </c>
      <c r="AH3232" s="15" t="str">
        <f t="shared" si="2"/>
        <v/>
      </c>
      <c r="AI3232" s="17" t="str">
        <f>IF(AG3232="","",INDEX('quitado Despesa'!$G$1:$G$12,AG3232))</f>
        <v/>
      </c>
      <c r="AJ3232" s="17" t="str">
        <f t="shared" si="3"/>
        <v/>
      </c>
    </row>
    <row r="3233" spans="31:36">
      <c r="AE3233" s="15" t="str">
        <f t="shared" si="0"/>
        <v/>
      </c>
      <c r="AF3233" s="15" t="str">
        <f t="shared" si="1"/>
        <v/>
      </c>
      <c r="AG3233" s="15" t="str">
        <f>IF(OR(AF3233="",AF3233="ERRO_CHAVE"),"",IFERROR(MATCH(AF3233,'quitado Despesa'!$V$1:$V$12,0),""))</f>
        <v/>
      </c>
      <c r="AH3233" s="15" t="str">
        <f t="shared" si="2"/>
        <v/>
      </c>
      <c r="AI3233" s="17" t="str">
        <f>IF(AG3233="","",INDEX('quitado Despesa'!$G$1:$G$12,AG3233))</f>
        <v/>
      </c>
      <c r="AJ3233" s="17" t="str">
        <f t="shared" si="3"/>
        <v/>
      </c>
    </row>
    <row r="3234" spans="31:36">
      <c r="AE3234" s="15" t="str">
        <f t="shared" si="0"/>
        <v/>
      </c>
      <c r="AF3234" s="15" t="str">
        <f t="shared" si="1"/>
        <v/>
      </c>
      <c r="AG3234" s="15" t="str">
        <f>IF(OR(AF3234="",AF3234="ERRO_CHAVE"),"",IFERROR(MATCH(AF3234,'quitado Despesa'!$V$1:$V$12,0),""))</f>
        <v/>
      </c>
      <c r="AH3234" s="15" t="str">
        <f t="shared" si="2"/>
        <v/>
      </c>
      <c r="AI3234" s="17" t="str">
        <f>IF(AG3234="","",INDEX('quitado Despesa'!$G$1:$G$12,AG3234))</f>
        <v/>
      </c>
      <c r="AJ3234" s="17" t="str">
        <f t="shared" si="3"/>
        <v/>
      </c>
    </row>
    <row r="3235" spans="31:36">
      <c r="AE3235" s="15" t="str">
        <f t="shared" si="0"/>
        <v/>
      </c>
      <c r="AF3235" s="15" t="str">
        <f t="shared" si="1"/>
        <v/>
      </c>
      <c r="AG3235" s="15" t="str">
        <f>IF(OR(AF3235="",AF3235="ERRO_CHAVE"),"",IFERROR(MATCH(AF3235,'quitado Despesa'!$V$1:$V$12,0),""))</f>
        <v/>
      </c>
      <c r="AH3235" s="15" t="str">
        <f t="shared" si="2"/>
        <v/>
      </c>
      <c r="AI3235" s="17" t="str">
        <f>IF(AG3235="","",INDEX('quitado Despesa'!$G$1:$G$12,AG3235))</f>
        <v/>
      </c>
      <c r="AJ3235" s="17" t="str">
        <f t="shared" si="3"/>
        <v/>
      </c>
    </row>
    <row r="3236" spans="31:36">
      <c r="AE3236" s="15" t="str">
        <f t="shared" si="0"/>
        <v/>
      </c>
      <c r="AF3236" s="15" t="str">
        <f t="shared" si="1"/>
        <v/>
      </c>
      <c r="AG3236" s="15" t="str">
        <f>IF(OR(AF3236="",AF3236="ERRO_CHAVE"),"",IFERROR(MATCH(AF3236,'quitado Despesa'!$V$1:$V$12,0),""))</f>
        <v/>
      </c>
      <c r="AH3236" s="15" t="str">
        <f t="shared" si="2"/>
        <v/>
      </c>
      <c r="AI3236" s="17" t="str">
        <f>IF(AG3236="","",INDEX('quitado Despesa'!$G$1:$G$12,AG3236))</f>
        <v/>
      </c>
      <c r="AJ3236" s="17" t="str">
        <f t="shared" si="3"/>
        <v/>
      </c>
    </row>
    <row r="3237" spans="31:36">
      <c r="AE3237" s="15" t="str">
        <f t="shared" si="0"/>
        <v/>
      </c>
      <c r="AF3237" s="15" t="str">
        <f t="shared" si="1"/>
        <v/>
      </c>
      <c r="AG3237" s="15" t="str">
        <f>IF(OR(AF3237="",AF3237="ERRO_CHAVE"),"",IFERROR(MATCH(AF3237,'quitado Despesa'!$V$1:$V$12,0),""))</f>
        <v/>
      </c>
      <c r="AH3237" s="15" t="str">
        <f t="shared" si="2"/>
        <v/>
      </c>
      <c r="AI3237" s="17" t="str">
        <f>IF(AG3237="","",INDEX('quitado Despesa'!$G$1:$G$12,AG3237))</f>
        <v/>
      </c>
      <c r="AJ3237" s="17" t="str">
        <f t="shared" si="3"/>
        <v/>
      </c>
    </row>
    <row r="3238" spans="31:36">
      <c r="AE3238" s="15" t="str">
        <f t="shared" si="0"/>
        <v/>
      </c>
      <c r="AF3238" s="15" t="str">
        <f t="shared" si="1"/>
        <v/>
      </c>
      <c r="AG3238" s="15" t="str">
        <f>IF(OR(AF3238="",AF3238="ERRO_CHAVE"),"",IFERROR(MATCH(AF3238,'quitado Despesa'!$V$1:$V$12,0),""))</f>
        <v/>
      </c>
      <c r="AH3238" s="15" t="str">
        <f t="shared" si="2"/>
        <v/>
      </c>
      <c r="AI3238" s="17" t="str">
        <f>IF(AG3238="","",INDEX('quitado Despesa'!$G$1:$G$12,AG3238))</f>
        <v/>
      </c>
      <c r="AJ3238" s="17" t="str">
        <f t="shared" si="3"/>
        <v/>
      </c>
    </row>
    <row r="3239" spans="31:36">
      <c r="AE3239" s="15" t="str">
        <f t="shared" si="0"/>
        <v/>
      </c>
      <c r="AF3239" s="15" t="str">
        <f t="shared" si="1"/>
        <v/>
      </c>
      <c r="AG3239" s="15" t="str">
        <f>IF(OR(AF3239="",AF3239="ERRO_CHAVE"),"",IFERROR(MATCH(AF3239,'quitado Despesa'!$V$1:$V$12,0),""))</f>
        <v/>
      </c>
      <c r="AH3239" s="15" t="str">
        <f t="shared" si="2"/>
        <v/>
      </c>
      <c r="AI3239" s="17" t="str">
        <f>IF(AG3239="","",INDEX('quitado Despesa'!$G$1:$G$12,AG3239))</f>
        <v/>
      </c>
      <c r="AJ3239" s="17" t="str">
        <f t="shared" si="3"/>
        <v/>
      </c>
    </row>
    <row r="3240" spans="31:36">
      <c r="AE3240" s="15" t="str">
        <f t="shared" si="0"/>
        <v/>
      </c>
      <c r="AF3240" s="15" t="str">
        <f t="shared" si="1"/>
        <v/>
      </c>
      <c r="AG3240" s="15" t="str">
        <f>IF(OR(AF3240="",AF3240="ERRO_CHAVE"),"",IFERROR(MATCH(AF3240,'quitado Despesa'!$V$1:$V$12,0),""))</f>
        <v/>
      </c>
      <c r="AH3240" s="15" t="str">
        <f t="shared" si="2"/>
        <v/>
      </c>
      <c r="AI3240" s="17" t="str">
        <f>IF(AG3240="","",INDEX('quitado Despesa'!$G$1:$G$12,AG3240))</f>
        <v/>
      </c>
      <c r="AJ3240" s="17" t="str">
        <f t="shared" si="3"/>
        <v/>
      </c>
    </row>
    <row r="3241" spans="31:36">
      <c r="AE3241" s="15" t="str">
        <f t="shared" si="0"/>
        <v/>
      </c>
      <c r="AF3241" s="15" t="str">
        <f t="shared" si="1"/>
        <v/>
      </c>
      <c r="AG3241" s="15" t="str">
        <f>IF(OR(AF3241="",AF3241="ERRO_CHAVE"),"",IFERROR(MATCH(AF3241,'quitado Despesa'!$V$1:$V$12,0),""))</f>
        <v/>
      </c>
      <c r="AH3241" s="15" t="str">
        <f t="shared" si="2"/>
        <v/>
      </c>
      <c r="AI3241" s="17" t="str">
        <f>IF(AG3241="","",INDEX('quitado Despesa'!$G$1:$G$12,AG3241))</f>
        <v/>
      </c>
      <c r="AJ3241" s="17" t="str">
        <f t="shared" si="3"/>
        <v/>
      </c>
    </row>
    <row r="3242" spans="31:36">
      <c r="AE3242" s="15" t="str">
        <f t="shared" si="0"/>
        <v/>
      </c>
      <c r="AF3242" s="15" t="str">
        <f t="shared" si="1"/>
        <v/>
      </c>
      <c r="AG3242" s="15" t="str">
        <f>IF(OR(AF3242="",AF3242="ERRO_CHAVE"),"",IFERROR(MATCH(AF3242,'quitado Despesa'!$V$1:$V$12,0),""))</f>
        <v/>
      </c>
      <c r="AH3242" s="15" t="str">
        <f t="shared" si="2"/>
        <v/>
      </c>
      <c r="AI3242" s="17" t="str">
        <f>IF(AG3242="","",INDEX('quitado Despesa'!$G$1:$G$12,AG3242))</f>
        <v/>
      </c>
      <c r="AJ3242" s="17" t="str">
        <f t="shared" si="3"/>
        <v/>
      </c>
    </row>
    <row r="3243" spans="31:36">
      <c r="AE3243" s="15" t="str">
        <f t="shared" si="0"/>
        <v/>
      </c>
      <c r="AF3243" s="15" t="str">
        <f t="shared" si="1"/>
        <v/>
      </c>
      <c r="AG3243" s="15" t="str">
        <f>IF(OR(AF3243="",AF3243="ERRO_CHAVE"),"",IFERROR(MATCH(AF3243,'quitado Despesa'!$V$1:$V$12,0),""))</f>
        <v/>
      </c>
      <c r="AH3243" s="15" t="str">
        <f t="shared" si="2"/>
        <v/>
      </c>
      <c r="AI3243" s="17" t="str">
        <f>IF(AG3243="","",INDEX('quitado Despesa'!$G$1:$G$12,AG3243))</f>
        <v/>
      </c>
      <c r="AJ3243" s="17" t="str">
        <f t="shared" si="3"/>
        <v/>
      </c>
    </row>
    <row r="3244" spans="31:36">
      <c r="AE3244" s="15" t="str">
        <f t="shared" si="0"/>
        <v/>
      </c>
      <c r="AF3244" s="15" t="str">
        <f t="shared" si="1"/>
        <v/>
      </c>
      <c r="AG3244" s="15" t="str">
        <f>IF(OR(AF3244="",AF3244="ERRO_CHAVE"),"",IFERROR(MATCH(AF3244,'quitado Despesa'!$V$1:$V$12,0),""))</f>
        <v/>
      </c>
      <c r="AH3244" s="15" t="str">
        <f t="shared" si="2"/>
        <v/>
      </c>
      <c r="AI3244" s="17" t="str">
        <f>IF(AG3244="","",INDEX('quitado Despesa'!$G$1:$G$12,AG3244))</f>
        <v/>
      </c>
      <c r="AJ3244" s="17" t="str">
        <f t="shared" si="3"/>
        <v/>
      </c>
    </row>
    <row r="3245" spans="31:36">
      <c r="AE3245" s="15" t="str">
        <f t="shared" si="0"/>
        <v/>
      </c>
      <c r="AF3245" s="15" t="str">
        <f t="shared" si="1"/>
        <v/>
      </c>
      <c r="AG3245" s="15" t="str">
        <f>IF(OR(AF3245="",AF3245="ERRO_CHAVE"),"",IFERROR(MATCH(AF3245,'quitado Despesa'!$V$1:$V$12,0),""))</f>
        <v/>
      </c>
      <c r="AH3245" s="15" t="str">
        <f t="shared" si="2"/>
        <v/>
      </c>
      <c r="AI3245" s="17" t="str">
        <f>IF(AG3245="","",INDEX('quitado Despesa'!$G$1:$G$12,AG3245))</f>
        <v/>
      </c>
      <c r="AJ3245" s="17" t="str">
        <f t="shared" si="3"/>
        <v/>
      </c>
    </row>
    <row r="3246" spans="31:36">
      <c r="AE3246" s="15" t="str">
        <f t="shared" si="0"/>
        <v/>
      </c>
      <c r="AF3246" s="15" t="str">
        <f t="shared" si="1"/>
        <v/>
      </c>
      <c r="AG3246" s="15" t="str">
        <f>IF(OR(AF3246="",AF3246="ERRO_CHAVE"),"",IFERROR(MATCH(AF3246,'quitado Despesa'!$V$1:$V$12,0),""))</f>
        <v/>
      </c>
      <c r="AH3246" s="15" t="str">
        <f t="shared" si="2"/>
        <v/>
      </c>
      <c r="AI3246" s="17" t="str">
        <f>IF(AG3246="","",INDEX('quitado Despesa'!$G$1:$G$12,AG3246))</f>
        <v/>
      </c>
      <c r="AJ3246" s="17" t="str">
        <f t="shared" si="3"/>
        <v/>
      </c>
    </row>
    <row r="3247" spans="31:36">
      <c r="AE3247" s="15" t="str">
        <f t="shared" si="0"/>
        <v/>
      </c>
      <c r="AF3247" s="15" t="str">
        <f t="shared" si="1"/>
        <v/>
      </c>
      <c r="AG3247" s="15" t="str">
        <f>IF(OR(AF3247="",AF3247="ERRO_CHAVE"),"",IFERROR(MATCH(AF3247,'quitado Despesa'!$V$1:$V$12,0),""))</f>
        <v/>
      </c>
      <c r="AH3247" s="15" t="str">
        <f t="shared" si="2"/>
        <v/>
      </c>
      <c r="AI3247" s="17" t="str">
        <f>IF(AG3247="","",INDEX('quitado Despesa'!$G$1:$G$12,AG3247))</f>
        <v/>
      </c>
      <c r="AJ3247" s="17" t="str">
        <f t="shared" si="3"/>
        <v/>
      </c>
    </row>
    <row r="3248" spans="31:36">
      <c r="AE3248" s="15" t="str">
        <f t="shared" si="0"/>
        <v/>
      </c>
      <c r="AF3248" s="15" t="str">
        <f t="shared" si="1"/>
        <v/>
      </c>
      <c r="AG3248" s="15" t="str">
        <f>IF(OR(AF3248="",AF3248="ERRO_CHAVE"),"",IFERROR(MATCH(AF3248,'quitado Despesa'!$V$1:$V$12,0),""))</f>
        <v/>
      </c>
      <c r="AH3248" s="15" t="str">
        <f t="shared" si="2"/>
        <v/>
      </c>
      <c r="AI3248" s="17" t="str">
        <f>IF(AG3248="","",INDEX('quitado Despesa'!$G$1:$G$12,AG3248))</f>
        <v/>
      </c>
      <c r="AJ3248" s="17" t="str">
        <f t="shared" si="3"/>
        <v/>
      </c>
    </row>
    <row r="3249" spans="31:36">
      <c r="AE3249" s="15" t="str">
        <f t="shared" si="0"/>
        <v/>
      </c>
      <c r="AF3249" s="15" t="str">
        <f t="shared" si="1"/>
        <v/>
      </c>
      <c r="AG3249" s="15" t="str">
        <f>IF(OR(AF3249="",AF3249="ERRO_CHAVE"),"",IFERROR(MATCH(AF3249,'quitado Despesa'!$V$1:$V$12,0),""))</f>
        <v/>
      </c>
      <c r="AH3249" s="15" t="str">
        <f t="shared" si="2"/>
        <v/>
      </c>
      <c r="AI3249" s="17" t="str">
        <f>IF(AG3249="","",INDEX('quitado Despesa'!$G$1:$G$12,AG3249))</f>
        <v/>
      </c>
      <c r="AJ3249" s="17" t="str">
        <f t="shared" si="3"/>
        <v/>
      </c>
    </row>
    <row r="3250" spans="31:36">
      <c r="AE3250" s="15" t="str">
        <f t="shared" si="0"/>
        <v/>
      </c>
      <c r="AF3250" s="15" t="str">
        <f t="shared" si="1"/>
        <v/>
      </c>
      <c r="AG3250" s="15" t="str">
        <f>IF(OR(AF3250="",AF3250="ERRO_CHAVE"),"",IFERROR(MATCH(AF3250,'quitado Despesa'!$V$1:$V$12,0),""))</f>
        <v/>
      </c>
      <c r="AH3250" s="15" t="str">
        <f t="shared" si="2"/>
        <v/>
      </c>
      <c r="AI3250" s="17" t="str">
        <f>IF(AG3250="","",INDEX('quitado Despesa'!$G$1:$G$12,AG3250))</f>
        <v/>
      </c>
      <c r="AJ3250" s="17" t="str">
        <f t="shared" si="3"/>
        <v/>
      </c>
    </row>
    <row r="3251" spans="31:36">
      <c r="AE3251" s="15" t="str">
        <f t="shared" si="0"/>
        <v/>
      </c>
      <c r="AF3251" s="15" t="str">
        <f t="shared" si="1"/>
        <v/>
      </c>
      <c r="AG3251" s="15" t="str">
        <f>IF(OR(AF3251="",AF3251="ERRO_CHAVE"),"",IFERROR(MATCH(AF3251,'quitado Despesa'!$V$1:$V$12,0),""))</f>
        <v/>
      </c>
      <c r="AH3251" s="15" t="str">
        <f t="shared" si="2"/>
        <v/>
      </c>
      <c r="AI3251" s="17" t="str">
        <f>IF(AG3251="","",INDEX('quitado Despesa'!$G$1:$G$12,AG3251))</f>
        <v/>
      </c>
      <c r="AJ3251" s="17" t="str">
        <f t="shared" si="3"/>
        <v/>
      </c>
    </row>
    <row r="3252" spans="31:36">
      <c r="AE3252" s="15" t="str">
        <f t="shared" si="0"/>
        <v/>
      </c>
      <c r="AF3252" s="15" t="str">
        <f t="shared" si="1"/>
        <v/>
      </c>
      <c r="AG3252" s="15" t="str">
        <f>IF(OR(AF3252="",AF3252="ERRO_CHAVE"),"",IFERROR(MATCH(AF3252,'quitado Despesa'!$V$1:$V$12,0),""))</f>
        <v/>
      </c>
      <c r="AH3252" s="15" t="str">
        <f t="shared" si="2"/>
        <v/>
      </c>
      <c r="AI3252" s="17" t="str">
        <f>IF(AG3252="","",INDEX('quitado Despesa'!$G$1:$G$12,AG3252))</f>
        <v/>
      </c>
      <c r="AJ3252" s="17" t="str">
        <f t="shared" si="3"/>
        <v/>
      </c>
    </row>
    <row r="3253" spans="31:36">
      <c r="AE3253" s="15" t="str">
        <f t="shared" si="0"/>
        <v/>
      </c>
      <c r="AF3253" s="15" t="str">
        <f t="shared" si="1"/>
        <v/>
      </c>
      <c r="AG3253" s="15" t="str">
        <f>IF(OR(AF3253="",AF3253="ERRO_CHAVE"),"",IFERROR(MATCH(AF3253,'quitado Despesa'!$V$1:$V$12,0),""))</f>
        <v/>
      </c>
      <c r="AH3253" s="15" t="str">
        <f t="shared" si="2"/>
        <v/>
      </c>
      <c r="AI3253" s="17" t="str">
        <f>IF(AG3253="","",INDEX('quitado Despesa'!$G$1:$G$12,AG3253))</f>
        <v/>
      </c>
      <c r="AJ3253" s="17" t="str">
        <f t="shared" si="3"/>
        <v/>
      </c>
    </row>
    <row r="3254" spans="31:36">
      <c r="AE3254" s="15" t="str">
        <f t="shared" si="0"/>
        <v/>
      </c>
      <c r="AF3254" s="15" t="str">
        <f t="shared" si="1"/>
        <v/>
      </c>
      <c r="AG3254" s="15" t="str">
        <f>IF(OR(AF3254="",AF3254="ERRO_CHAVE"),"",IFERROR(MATCH(AF3254,'quitado Despesa'!$V$1:$V$12,0),""))</f>
        <v/>
      </c>
      <c r="AH3254" s="15" t="str">
        <f t="shared" si="2"/>
        <v/>
      </c>
      <c r="AI3254" s="17" t="str">
        <f>IF(AG3254="","",INDEX('quitado Despesa'!$G$1:$G$12,AG3254))</f>
        <v/>
      </c>
      <c r="AJ3254" s="17" t="str">
        <f t="shared" si="3"/>
        <v/>
      </c>
    </row>
    <row r="3255" spans="31:36">
      <c r="AE3255" s="15" t="str">
        <f t="shared" si="0"/>
        <v/>
      </c>
      <c r="AF3255" s="15" t="str">
        <f t="shared" si="1"/>
        <v/>
      </c>
      <c r="AG3255" s="15" t="str">
        <f>IF(OR(AF3255="",AF3255="ERRO_CHAVE"),"",IFERROR(MATCH(AF3255,'quitado Despesa'!$V$1:$V$12,0),""))</f>
        <v/>
      </c>
      <c r="AH3255" s="15" t="str">
        <f t="shared" si="2"/>
        <v/>
      </c>
      <c r="AI3255" s="17" t="str">
        <f>IF(AG3255="","",INDEX('quitado Despesa'!$G$1:$G$12,AG3255))</f>
        <v/>
      </c>
      <c r="AJ3255" s="17" t="str">
        <f t="shared" si="3"/>
        <v/>
      </c>
    </row>
    <row r="3256" spans="31:36">
      <c r="AE3256" s="15" t="str">
        <f t="shared" si="0"/>
        <v/>
      </c>
      <c r="AF3256" s="15" t="str">
        <f t="shared" si="1"/>
        <v/>
      </c>
      <c r="AG3256" s="15" t="str">
        <f>IF(OR(AF3256="",AF3256="ERRO_CHAVE"),"",IFERROR(MATCH(AF3256,'quitado Despesa'!$V$1:$V$12,0),""))</f>
        <v/>
      </c>
      <c r="AH3256" s="15" t="str">
        <f t="shared" si="2"/>
        <v/>
      </c>
      <c r="AI3256" s="17" t="str">
        <f>IF(AG3256="","",INDEX('quitado Despesa'!$G$1:$G$12,AG3256))</f>
        <v/>
      </c>
      <c r="AJ3256" s="17" t="str">
        <f t="shared" si="3"/>
        <v/>
      </c>
    </row>
    <row r="3257" spans="31:36">
      <c r="AE3257" s="15" t="str">
        <f t="shared" si="0"/>
        <v/>
      </c>
      <c r="AF3257" s="15" t="str">
        <f t="shared" si="1"/>
        <v/>
      </c>
      <c r="AG3257" s="15" t="str">
        <f>IF(OR(AF3257="",AF3257="ERRO_CHAVE"),"",IFERROR(MATCH(AF3257,'quitado Despesa'!$V$1:$V$12,0),""))</f>
        <v/>
      </c>
      <c r="AH3257" s="15" t="str">
        <f t="shared" si="2"/>
        <v/>
      </c>
      <c r="AI3257" s="17" t="str">
        <f>IF(AG3257="","",INDEX('quitado Despesa'!$G$1:$G$12,AG3257))</f>
        <v/>
      </c>
      <c r="AJ3257" s="17" t="str">
        <f t="shared" si="3"/>
        <v/>
      </c>
    </row>
    <row r="3258" spans="31:36">
      <c r="AE3258" s="15" t="str">
        <f t="shared" si="0"/>
        <v/>
      </c>
      <c r="AF3258" s="15" t="str">
        <f t="shared" si="1"/>
        <v/>
      </c>
      <c r="AG3258" s="15" t="str">
        <f>IF(OR(AF3258="",AF3258="ERRO_CHAVE"),"",IFERROR(MATCH(AF3258,'quitado Despesa'!$V$1:$V$12,0),""))</f>
        <v/>
      </c>
      <c r="AH3258" s="15" t="str">
        <f t="shared" si="2"/>
        <v/>
      </c>
      <c r="AI3258" s="17" t="str">
        <f>IF(AG3258="","",INDEX('quitado Despesa'!$G$1:$G$12,AG3258))</f>
        <v/>
      </c>
      <c r="AJ3258" s="17" t="str">
        <f t="shared" si="3"/>
        <v/>
      </c>
    </row>
    <row r="3259" spans="31:36">
      <c r="AE3259" s="15" t="str">
        <f t="shared" si="0"/>
        <v/>
      </c>
      <c r="AF3259" s="15" t="str">
        <f t="shared" si="1"/>
        <v/>
      </c>
      <c r="AG3259" s="15" t="str">
        <f>IF(OR(AF3259="",AF3259="ERRO_CHAVE"),"",IFERROR(MATCH(AF3259,'quitado Despesa'!$V$1:$V$12,0),""))</f>
        <v/>
      </c>
      <c r="AH3259" s="15" t="str">
        <f t="shared" si="2"/>
        <v/>
      </c>
      <c r="AI3259" s="17" t="str">
        <f>IF(AG3259="","",INDEX('quitado Despesa'!$G$1:$G$12,AG3259))</f>
        <v/>
      </c>
      <c r="AJ3259" s="17" t="str">
        <f t="shared" si="3"/>
        <v/>
      </c>
    </row>
    <row r="3260" spans="31:36">
      <c r="AE3260" s="15" t="str">
        <f t="shared" si="0"/>
        <v/>
      </c>
      <c r="AF3260" s="15" t="str">
        <f t="shared" si="1"/>
        <v/>
      </c>
      <c r="AG3260" s="15" t="str">
        <f>IF(OR(AF3260="",AF3260="ERRO_CHAVE"),"",IFERROR(MATCH(AF3260,'quitado Despesa'!$V$1:$V$12,0),""))</f>
        <v/>
      </c>
      <c r="AH3260" s="15" t="str">
        <f t="shared" si="2"/>
        <v/>
      </c>
      <c r="AI3260" s="17" t="str">
        <f>IF(AG3260="","",INDEX('quitado Despesa'!$G$1:$G$12,AG3260))</f>
        <v/>
      </c>
      <c r="AJ3260" s="17" t="str">
        <f t="shared" si="3"/>
        <v/>
      </c>
    </row>
    <row r="3261" spans="31:36">
      <c r="AE3261" s="15" t="str">
        <f t="shared" si="0"/>
        <v/>
      </c>
      <c r="AF3261" s="15" t="str">
        <f t="shared" si="1"/>
        <v/>
      </c>
      <c r="AG3261" s="15" t="str">
        <f>IF(OR(AF3261="",AF3261="ERRO_CHAVE"),"",IFERROR(MATCH(AF3261,'quitado Despesa'!$V$1:$V$12,0),""))</f>
        <v/>
      </c>
      <c r="AH3261" s="15" t="str">
        <f t="shared" si="2"/>
        <v/>
      </c>
      <c r="AI3261" s="17" t="str">
        <f>IF(AG3261="","",INDEX('quitado Despesa'!$G$1:$G$12,AG3261))</f>
        <v/>
      </c>
      <c r="AJ3261" s="17" t="str">
        <f t="shared" si="3"/>
        <v/>
      </c>
    </row>
    <row r="3262" spans="31:36">
      <c r="AE3262" s="15" t="str">
        <f t="shared" si="0"/>
        <v/>
      </c>
      <c r="AF3262" s="15" t="str">
        <f t="shared" si="1"/>
        <v/>
      </c>
      <c r="AG3262" s="15" t="str">
        <f>IF(OR(AF3262="",AF3262="ERRO_CHAVE"),"",IFERROR(MATCH(AF3262,'quitado Despesa'!$V$1:$V$12,0),""))</f>
        <v/>
      </c>
      <c r="AH3262" s="15" t="str">
        <f t="shared" si="2"/>
        <v/>
      </c>
      <c r="AI3262" s="17" t="str">
        <f>IF(AG3262="","",INDEX('quitado Despesa'!$G$1:$G$12,AG3262))</f>
        <v/>
      </c>
      <c r="AJ3262" s="17" t="str">
        <f t="shared" si="3"/>
        <v/>
      </c>
    </row>
    <row r="3263" spans="31:36">
      <c r="AE3263" s="15" t="str">
        <f t="shared" si="0"/>
        <v/>
      </c>
      <c r="AF3263" s="15" t="str">
        <f t="shared" si="1"/>
        <v/>
      </c>
      <c r="AG3263" s="15" t="str">
        <f>IF(OR(AF3263="",AF3263="ERRO_CHAVE"),"",IFERROR(MATCH(AF3263,'quitado Despesa'!$V$1:$V$12,0),""))</f>
        <v/>
      </c>
      <c r="AH3263" s="15" t="str">
        <f t="shared" si="2"/>
        <v/>
      </c>
      <c r="AI3263" s="17" t="str">
        <f>IF(AG3263="","",INDEX('quitado Despesa'!$G$1:$G$12,AG3263))</f>
        <v/>
      </c>
      <c r="AJ3263" s="17" t="str">
        <f t="shared" si="3"/>
        <v/>
      </c>
    </row>
    <row r="3264" spans="31:36">
      <c r="AE3264" s="15" t="str">
        <f t="shared" si="0"/>
        <v/>
      </c>
      <c r="AF3264" s="15" t="str">
        <f t="shared" si="1"/>
        <v/>
      </c>
      <c r="AG3264" s="15" t="str">
        <f>IF(OR(AF3264="",AF3264="ERRO_CHAVE"),"",IFERROR(MATCH(AF3264,'quitado Despesa'!$V$1:$V$12,0),""))</f>
        <v/>
      </c>
      <c r="AH3264" s="15" t="str">
        <f t="shared" si="2"/>
        <v/>
      </c>
      <c r="AI3264" s="17" t="str">
        <f>IF(AG3264="","",INDEX('quitado Despesa'!$G$1:$G$12,AG3264))</f>
        <v/>
      </c>
      <c r="AJ3264" s="17" t="str">
        <f t="shared" si="3"/>
        <v/>
      </c>
    </row>
    <row r="3265" spans="31:36">
      <c r="AE3265" s="15" t="str">
        <f t="shared" si="0"/>
        <v/>
      </c>
      <c r="AF3265" s="15" t="str">
        <f t="shared" si="1"/>
        <v/>
      </c>
      <c r="AG3265" s="15" t="str">
        <f>IF(OR(AF3265="",AF3265="ERRO_CHAVE"),"",IFERROR(MATCH(AF3265,'quitado Despesa'!$V$1:$V$12,0),""))</f>
        <v/>
      </c>
      <c r="AH3265" s="15" t="str">
        <f t="shared" si="2"/>
        <v/>
      </c>
      <c r="AI3265" s="17" t="str">
        <f>IF(AG3265="","",INDEX('quitado Despesa'!$G$1:$G$12,AG3265))</f>
        <v/>
      </c>
      <c r="AJ3265" s="17" t="str">
        <f t="shared" si="3"/>
        <v/>
      </c>
    </row>
    <row r="3266" spans="31:36">
      <c r="AE3266" s="15" t="str">
        <f t="shared" si="0"/>
        <v/>
      </c>
      <c r="AF3266" s="15" t="str">
        <f t="shared" si="1"/>
        <v/>
      </c>
      <c r="AG3266" s="15" t="str">
        <f>IF(OR(AF3266="",AF3266="ERRO_CHAVE"),"",IFERROR(MATCH(AF3266,'quitado Despesa'!$V$1:$V$12,0),""))</f>
        <v/>
      </c>
      <c r="AH3266" s="15" t="str">
        <f t="shared" si="2"/>
        <v/>
      </c>
      <c r="AI3266" s="17" t="str">
        <f>IF(AG3266="","",INDEX('quitado Despesa'!$G$1:$G$12,AG3266))</f>
        <v/>
      </c>
      <c r="AJ3266" s="17" t="str">
        <f t="shared" si="3"/>
        <v/>
      </c>
    </row>
    <row r="3267" spans="31:36">
      <c r="AE3267" s="15" t="str">
        <f t="shared" si="0"/>
        <v/>
      </c>
      <c r="AF3267" s="15" t="str">
        <f t="shared" si="1"/>
        <v/>
      </c>
      <c r="AG3267" s="15" t="str">
        <f>IF(OR(AF3267="",AF3267="ERRO_CHAVE"),"",IFERROR(MATCH(AF3267,'quitado Despesa'!$V$1:$V$12,0),""))</f>
        <v/>
      </c>
      <c r="AH3267" s="15" t="str">
        <f t="shared" si="2"/>
        <v/>
      </c>
      <c r="AI3267" s="17" t="str">
        <f>IF(AG3267="","",INDEX('quitado Despesa'!$G$1:$G$12,AG3267))</f>
        <v/>
      </c>
      <c r="AJ3267" s="17" t="str">
        <f t="shared" si="3"/>
        <v/>
      </c>
    </row>
    <row r="3268" spans="31:36">
      <c r="AE3268" s="15" t="str">
        <f t="shared" si="0"/>
        <v/>
      </c>
      <c r="AF3268" s="15" t="str">
        <f t="shared" si="1"/>
        <v/>
      </c>
      <c r="AG3268" s="15" t="str">
        <f>IF(OR(AF3268="",AF3268="ERRO_CHAVE"),"",IFERROR(MATCH(AF3268,'quitado Despesa'!$V$1:$V$12,0),""))</f>
        <v/>
      </c>
      <c r="AH3268" s="15" t="str">
        <f t="shared" si="2"/>
        <v/>
      </c>
      <c r="AI3268" s="17" t="str">
        <f>IF(AG3268="","",INDEX('quitado Despesa'!$G$1:$G$12,AG3268))</f>
        <v/>
      </c>
      <c r="AJ3268" s="17" t="str">
        <f t="shared" si="3"/>
        <v/>
      </c>
    </row>
    <row r="3269" spans="31:36">
      <c r="AE3269" s="15" t="str">
        <f t="shared" si="0"/>
        <v/>
      </c>
      <c r="AF3269" s="15" t="str">
        <f t="shared" si="1"/>
        <v/>
      </c>
      <c r="AG3269" s="15" t="str">
        <f>IF(OR(AF3269="",AF3269="ERRO_CHAVE"),"",IFERROR(MATCH(AF3269,'quitado Despesa'!$V$1:$V$12,0),""))</f>
        <v/>
      </c>
      <c r="AH3269" s="15" t="str">
        <f t="shared" si="2"/>
        <v/>
      </c>
      <c r="AI3269" s="17" t="str">
        <f>IF(AG3269="","",INDEX('quitado Despesa'!$G$1:$G$12,AG3269))</f>
        <v/>
      </c>
      <c r="AJ3269" s="17" t="str">
        <f t="shared" si="3"/>
        <v/>
      </c>
    </row>
    <row r="3270" spans="31:36">
      <c r="AE3270" s="15" t="str">
        <f t="shared" si="0"/>
        <v/>
      </c>
      <c r="AF3270" s="15" t="str">
        <f t="shared" si="1"/>
        <v/>
      </c>
      <c r="AG3270" s="15" t="str">
        <f>IF(OR(AF3270="",AF3270="ERRO_CHAVE"),"",IFERROR(MATCH(AF3270,'quitado Despesa'!$V$1:$V$12,0),""))</f>
        <v/>
      </c>
      <c r="AH3270" s="15" t="str">
        <f t="shared" si="2"/>
        <v/>
      </c>
      <c r="AI3270" s="17" t="str">
        <f>IF(AG3270="","",INDEX('quitado Despesa'!$G$1:$G$12,AG3270))</f>
        <v/>
      </c>
      <c r="AJ3270" s="17" t="str">
        <f t="shared" si="3"/>
        <v/>
      </c>
    </row>
    <row r="3271" spans="31:36">
      <c r="AE3271" s="15" t="str">
        <f t="shared" si="0"/>
        <v/>
      </c>
      <c r="AF3271" s="15" t="str">
        <f t="shared" si="1"/>
        <v/>
      </c>
      <c r="AG3271" s="15" t="str">
        <f>IF(OR(AF3271="",AF3271="ERRO_CHAVE"),"",IFERROR(MATCH(AF3271,'quitado Despesa'!$V$1:$V$12,0),""))</f>
        <v/>
      </c>
      <c r="AH3271" s="15" t="str">
        <f t="shared" si="2"/>
        <v/>
      </c>
      <c r="AI3271" s="17" t="str">
        <f>IF(AG3271="","",INDEX('quitado Despesa'!$G$1:$G$12,AG3271))</f>
        <v/>
      </c>
      <c r="AJ3271" s="17" t="str">
        <f t="shared" si="3"/>
        <v/>
      </c>
    </row>
    <row r="3272" spans="31:36">
      <c r="AE3272" s="15" t="str">
        <f t="shared" si="0"/>
        <v/>
      </c>
      <c r="AF3272" s="15" t="str">
        <f t="shared" si="1"/>
        <v/>
      </c>
      <c r="AG3272" s="15" t="str">
        <f>IF(OR(AF3272="",AF3272="ERRO_CHAVE"),"",IFERROR(MATCH(AF3272,'quitado Despesa'!$V$1:$V$12,0),""))</f>
        <v/>
      </c>
      <c r="AH3272" s="15" t="str">
        <f t="shared" si="2"/>
        <v/>
      </c>
      <c r="AI3272" s="17" t="str">
        <f>IF(AG3272="","",INDEX('quitado Despesa'!$G$1:$G$12,AG3272))</f>
        <v/>
      </c>
      <c r="AJ3272" s="17" t="str">
        <f t="shared" si="3"/>
        <v/>
      </c>
    </row>
    <row r="3273" spans="31:36">
      <c r="AE3273" s="15" t="str">
        <f t="shared" si="0"/>
        <v/>
      </c>
      <c r="AF3273" s="15" t="str">
        <f t="shared" si="1"/>
        <v/>
      </c>
      <c r="AG3273" s="15" t="str">
        <f>IF(OR(AF3273="",AF3273="ERRO_CHAVE"),"",IFERROR(MATCH(AF3273,'quitado Despesa'!$V$1:$V$12,0),""))</f>
        <v/>
      </c>
      <c r="AH3273" s="15" t="str">
        <f t="shared" si="2"/>
        <v/>
      </c>
      <c r="AI3273" s="17" t="str">
        <f>IF(AG3273="","",INDEX('quitado Despesa'!$G$1:$G$12,AG3273))</f>
        <v/>
      </c>
      <c r="AJ3273" s="17" t="str">
        <f t="shared" si="3"/>
        <v/>
      </c>
    </row>
    <row r="3274" spans="31:36">
      <c r="AE3274" s="15" t="str">
        <f t="shared" si="0"/>
        <v/>
      </c>
      <c r="AF3274" s="15" t="str">
        <f t="shared" si="1"/>
        <v/>
      </c>
      <c r="AG3274" s="15" t="str">
        <f>IF(OR(AF3274="",AF3274="ERRO_CHAVE"),"",IFERROR(MATCH(AF3274,'quitado Despesa'!$V$1:$V$12,0),""))</f>
        <v/>
      </c>
      <c r="AH3274" s="15" t="str">
        <f t="shared" si="2"/>
        <v/>
      </c>
      <c r="AI3274" s="17" t="str">
        <f>IF(AG3274="","",INDEX('quitado Despesa'!$G$1:$G$12,AG3274))</f>
        <v/>
      </c>
      <c r="AJ3274" s="17" t="str">
        <f t="shared" si="3"/>
        <v/>
      </c>
    </row>
    <row r="3275" spans="31:36">
      <c r="AE3275" s="15" t="str">
        <f t="shared" si="0"/>
        <v/>
      </c>
      <c r="AF3275" s="15" t="str">
        <f t="shared" si="1"/>
        <v/>
      </c>
      <c r="AG3275" s="15" t="str">
        <f>IF(OR(AF3275="",AF3275="ERRO_CHAVE"),"",IFERROR(MATCH(AF3275,'quitado Despesa'!$V$1:$V$12,0),""))</f>
        <v/>
      </c>
      <c r="AH3275" s="15" t="str">
        <f t="shared" si="2"/>
        <v/>
      </c>
      <c r="AI3275" s="17" t="str">
        <f>IF(AG3275="","",INDEX('quitado Despesa'!$G$1:$G$12,AG3275))</f>
        <v/>
      </c>
      <c r="AJ3275" s="17" t="str">
        <f t="shared" si="3"/>
        <v/>
      </c>
    </row>
    <row r="3276" spans="31:36">
      <c r="AE3276" s="15" t="str">
        <f t="shared" si="0"/>
        <v/>
      </c>
      <c r="AF3276" s="15" t="str">
        <f t="shared" si="1"/>
        <v/>
      </c>
      <c r="AG3276" s="15" t="str">
        <f>IF(OR(AF3276="",AF3276="ERRO_CHAVE"),"",IFERROR(MATCH(AF3276,'quitado Despesa'!$V$1:$V$12,0),""))</f>
        <v/>
      </c>
      <c r="AH3276" s="15" t="str">
        <f t="shared" si="2"/>
        <v/>
      </c>
      <c r="AI3276" s="17" t="str">
        <f>IF(AG3276="","",INDEX('quitado Despesa'!$G$1:$G$12,AG3276))</f>
        <v/>
      </c>
      <c r="AJ3276" s="17" t="str">
        <f t="shared" si="3"/>
        <v/>
      </c>
    </row>
    <row r="3277" spans="31:36">
      <c r="AE3277" s="15" t="str">
        <f t="shared" si="0"/>
        <v/>
      </c>
      <c r="AF3277" s="15" t="str">
        <f t="shared" si="1"/>
        <v/>
      </c>
      <c r="AG3277" s="15" t="str">
        <f>IF(OR(AF3277="",AF3277="ERRO_CHAVE"),"",IFERROR(MATCH(AF3277,'quitado Despesa'!$V$1:$V$12,0),""))</f>
        <v/>
      </c>
      <c r="AH3277" s="15" t="str">
        <f t="shared" si="2"/>
        <v/>
      </c>
      <c r="AI3277" s="17" t="str">
        <f>IF(AG3277="","",INDEX('quitado Despesa'!$G$1:$G$12,AG3277))</f>
        <v/>
      </c>
      <c r="AJ3277" s="17" t="str">
        <f t="shared" si="3"/>
        <v/>
      </c>
    </row>
    <row r="3278" spans="31:36">
      <c r="AE3278" s="15" t="str">
        <f t="shared" si="0"/>
        <v/>
      </c>
      <c r="AF3278" s="15" t="str">
        <f t="shared" si="1"/>
        <v/>
      </c>
      <c r="AG3278" s="15" t="str">
        <f>IF(OR(AF3278="",AF3278="ERRO_CHAVE"),"",IFERROR(MATCH(AF3278,'quitado Despesa'!$V$1:$V$12,0),""))</f>
        <v/>
      </c>
      <c r="AH3278" s="15" t="str">
        <f t="shared" si="2"/>
        <v/>
      </c>
      <c r="AI3278" s="17" t="str">
        <f>IF(AG3278="","",INDEX('quitado Despesa'!$G$1:$G$12,AG3278))</f>
        <v/>
      </c>
      <c r="AJ3278" s="17" t="str">
        <f t="shared" si="3"/>
        <v/>
      </c>
    </row>
    <row r="3279" spans="31:36">
      <c r="AE3279" s="15" t="str">
        <f t="shared" si="0"/>
        <v/>
      </c>
      <c r="AF3279" s="15" t="str">
        <f t="shared" si="1"/>
        <v/>
      </c>
      <c r="AG3279" s="15" t="str">
        <f>IF(OR(AF3279="",AF3279="ERRO_CHAVE"),"",IFERROR(MATCH(AF3279,'quitado Despesa'!$V$1:$V$12,0),""))</f>
        <v/>
      </c>
      <c r="AH3279" s="15" t="str">
        <f t="shared" si="2"/>
        <v/>
      </c>
      <c r="AI3279" s="17" t="str">
        <f>IF(AG3279="","",INDEX('quitado Despesa'!$G$1:$G$12,AG3279))</f>
        <v/>
      </c>
      <c r="AJ3279" s="17" t="str">
        <f t="shared" si="3"/>
        <v/>
      </c>
    </row>
    <row r="3280" spans="31:36">
      <c r="AE3280" s="15" t="str">
        <f t="shared" si="0"/>
        <v/>
      </c>
      <c r="AF3280" s="15" t="str">
        <f t="shared" si="1"/>
        <v/>
      </c>
      <c r="AG3280" s="15" t="str">
        <f>IF(OR(AF3280="",AF3280="ERRO_CHAVE"),"",IFERROR(MATCH(AF3280,'quitado Despesa'!$V$1:$V$12,0),""))</f>
        <v/>
      </c>
      <c r="AH3280" s="15" t="str">
        <f t="shared" si="2"/>
        <v/>
      </c>
      <c r="AI3280" s="17" t="str">
        <f>IF(AG3280="","",INDEX('quitado Despesa'!$G$1:$G$12,AG3280))</f>
        <v/>
      </c>
      <c r="AJ3280" s="17" t="str">
        <f t="shared" si="3"/>
        <v/>
      </c>
    </row>
    <row r="3281" spans="31:36">
      <c r="AE3281" s="15" t="str">
        <f t="shared" si="0"/>
        <v/>
      </c>
      <c r="AF3281" s="15" t="str">
        <f t="shared" si="1"/>
        <v/>
      </c>
      <c r="AG3281" s="15" t="str">
        <f>IF(OR(AF3281="",AF3281="ERRO_CHAVE"),"",IFERROR(MATCH(AF3281,'quitado Despesa'!$V$1:$V$12,0),""))</f>
        <v/>
      </c>
      <c r="AH3281" s="15" t="str">
        <f t="shared" si="2"/>
        <v/>
      </c>
      <c r="AI3281" s="17" t="str">
        <f>IF(AG3281="","",INDEX('quitado Despesa'!$G$1:$G$12,AG3281))</f>
        <v/>
      </c>
      <c r="AJ3281" s="17" t="str">
        <f t="shared" si="3"/>
        <v/>
      </c>
    </row>
    <row r="3282" spans="31:36">
      <c r="AE3282" s="15" t="str">
        <f t="shared" si="0"/>
        <v/>
      </c>
      <c r="AF3282" s="15" t="str">
        <f t="shared" si="1"/>
        <v/>
      </c>
      <c r="AG3282" s="15" t="str">
        <f>IF(OR(AF3282="",AF3282="ERRO_CHAVE"),"",IFERROR(MATCH(AF3282,'quitado Despesa'!$V$1:$V$12,0),""))</f>
        <v/>
      </c>
      <c r="AH3282" s="15" t="str">
        <f t="shared" si="2"/>
        <v/>
      </c>
      <c r="AI3282" s="17" t="str">
        <f>IF(AG3282="","",INDEX('quitado Despesa'!$G$1:$G$12,AG3282))</f>
        <v/>
      </c>
      <c r="AJ3282" s="17" t="str">
        <f t="shared" si="3"/>
        <v/>
      </c>
    </row>
    <row r="3283" spans="31:36">
      <c r="AE3283" s="15" t="str">
        <f t="shared" si="0"/>
        <v/>
      </c>
      <c r="AF3283" s="15" t="str">
        <f t="shared" si="1"/>
        <v/>
      </c>
      <c r="AG3283" s="15" t="str">
        <f>IF(OR(AF3283="",AF3283="ERRO_CHAVE"),"",IFERROR(MATCH(AF3283,'quitado Despesa'!$V$1:$V$12,0),""))</f>
        <v/>
      </c>
      <c r="AH3283" s="15" t="str">
        <f t="shared" si="2"/>
        <v/>
      </c>
      <c r="AI3283" s="17" t="str">
        <f>IF(AG3283="","",INDEX('quitado Despesa'!$G$1:$G$12,AG3283))</f>
        <v/>
      </c>
      <c r="AJ3283" s="17" t="str">
        <f t="shared" si="3"/>
        <v/>
      </c>
    </row>
    <row r="3284" spans="31:36">
      <c r="AE3284" s="15" t="str">
        <f t="shared" si="0"/>
        <v/>
      </c>
      <c r="AF3284" s="15" t="str">
        <f t="shared" si="1"/>
        <v/>
      </c>
      <c r="AG3284" s="15" t="str">
        <f>IF(OR(AF3284="",AF3284="ERRO_CHAVE"),"",IFERROR(MATCH(AF3284,'quitado Despesa'!$V$1:$V$12,0),""))</f>
        <v/>
      </c>
      <c r="AH3284" s="15" t="str">
        <f t="shared" si="2"/>
        <v/>
      </c>
      <c r="AI3284" s="17" t="str">
        <f>IF(AG3284="","",INDEX('quitado Despesa'!$G$1:$G$12,AG3284))</f>
        <v/>
      </c>
      <c r="AJ3284" s="17" t="str">
        <f t="shared" si="3"/>
        <v/>
      </c>
    </row>
    <row r="3285" spans="31:36">
      <c r="AE3285" s="15" t="str">
        <f t="shared" si="0"/>
        <v/>
      </c>
      <c r="AF3285" s="15" t="str">
        <f t="shared" si="1"/>
        <v/>
      </c>
      <c r="AG3285" s="15" t="str">
        <f>IF(OR(AF3285="",AF3285="ERRO_CHAVE"),"",IFERROR(MATCH(AF3285,'quitado Despesa'!$V$1:$V$12,0),""))</f>
        <v/>
      </c>
      <c r="AH3285" s="15" t="str">
        <f t="shared" si="2"/>
        <v/>
      </c>
      <c r="AI3285" s="17" t="str">
        <f>IF(AG3285="","",INDEX('quitado Despesa'!$G$1:$G$12,AG3285))</f>
        <v/>
      </c>
      <c r="AJ3285" s="17" t="str">
        <f t="shared" si="3"/>
        <v/>
      </c>
    </row>
    <row r="3286" spans="31:36">
      <c r="AE3286" s="15" t="str">
        <f t="shared" si="0"/>
        <v/>
      </c>
      <c r="AF3286" s="15" t="str">
        <f t="shared" si="1"/>
        <v/>
      </c>
      <c r="AG3286" s="15" t="str">
        <f>IF(OR(AF3286="",AF3286="ERRO_CHAVE"),"",IFERROR(MATCH(AF3286,'quitado Despesa'!$V$1:$V$12,0),""))</f>
        <v/>
      </c>
      <c r="AH3286" s="15" t="str">
        <f t="shared" si="2"/>
        <v/>
      </c>
      <c r="AI3286" s="17" t="str">
        <f>IF(AG3286="","",INDEX('quitado Despesa'!$G$1:$G$12,AG3286))</f>
        <v/>
      </c>
      <c r="AJ3286" s="17" t="str">
        <f t="shared" si="3"/>
        <v/>
      </c>
    </row>
    <row r="3287" spans="31:36">
      <c r="AE3287" s="15" t="str">
        <f t="shared" si="0"/>
        <v/>
      </c>
      <c r="AF3287" s="15" t="str">
        <f t="shared" si="1"/>
        <v/>
      </c>
      <c r="AG3287" s="15" t="str">
        <f>IF(OR(AF3287="",AF3287="ERRO_CHAVE"),"",IFERROR(MATCH(AF3287,'quitado Despesa'!$V$1:$V$12,0),""))</f>
        <v/>
      </c>
      <c r="AH3287" s="15" t="str">
        <f t="shared" si="2"/>
        <v/>
      </c>
      <c r="AI3287" s="17" t="str">
        <f>IF(AG3287="","",INDEX('quitado Despesa'!$G$1:$G$12,AG3287))</f>
        <v/>
      </c>
      <c r="AJ3287" s="17" t="str">
        <f t="shared" si="3"/>
        <v/>
      </c>
    </row>
    <row r="3288" spans="31:36">
      <c r="AE3288" s="15" t="str">
        <f t="shared" si="0"/>
        <v/>
      </c>
      <c r="AF3288" s="15" t="str">
        <f t="shared" si="1"/>
        <v/>
      </c>
      <c r="AG3288" s="15" t="str">
        <f>IF(OR(AF3288="",AF3288="ERRO_CHAVE"),"",IFERROR(MATCH(AF3288,'quitado Despesa'!$V$1:$V$12,0),""))</f>
        <v/>
      </c>
      <c r="AH3288" s="15" t="str">
        <f t="shared" si="2"/>
        <v/>
      </c>
      <c r="AI3288" s="17" t="str">
        <f>IF(AG3288="","",INDEX('quitado Despesa'!$G$1:$G$12,AG3288))</f>
        <v/>
      </c>
      <c r="AJ3288" s="17" t="str">
        <f t="shared" si="3"/>
        <v/>
      </c>
    </row>
    <row r="3289" spans="31:36">
      <c r="AE3289" s="15" t="str">
        <f t="shared" si="0"/>
        <v/>
      </c>
      <c r="AF3289" s="15" t="str">
        <f t="shared" si="1"/>
        <v/>
      </c>
      <c r="AG3289" s="15" t="str">
        <f>IF(OR(AF3289="",AF3289="ERRO_CHAVE"),"",IFERROR(MATCH(AF3289,'quitado Despesa'!$V$1:$V$12,0),""))</f>
        <v/>
      </c>
      <c r="AH3289" s="15" t="str">
        <f t="shared" si="2"/>
        <v/>
      </c>
      <c r="AI3289" s="17" t="str">
        <f>IF(AG3289="","",INDEX('quitado Despesa'!$G$1:$G$12,AG3289))</f>
        <v/>
      </c>
      <c r="AJ3289" s="17" t="str">
        <f t="shared" si="3"/>
        <v/>
      </c>
    </row>
    <row r="3290" spans="31:36">
      <c r="AE3290" s="15" t="str">
        <f t="shared" si="0"/>
        <v/>
      </c>
      <c r="AF3290" s="15" t="str">
        <f t="shared" si="1"/>
        <v/>
      </c>
      <c r="AG3290" s="15" t="str">
        <f>IF(OR(AF3290="",AF3290="ERRO_CHAVE"),"",IFERROR(MATCH(AF3290,'quitado Despesa'!$V$1:$V$12,0),""))</f>
        <v/>
      </c>
      <c r="AH3290" s="15" t="str">
        <f t="shared" si="2"/>
        <v/>
      </c>
      <c r="AI3290" s="17" t="str">
        <f>IF(AG3290="","",INDEX('quitado Despesa'!$G$1:$G$12,AG3290))</f>
        <v/>
      </c>
      <c r="AJ3290" s="17" t="str">
        <f t="shared" si="3"/>
        <v/>
      </c>
    </row>
    <row r="3291" spans="31:36">
      <c r="AE3291" s="15" t="str">
        <f t="shared" si="0"/>
        <v/>
      </c>
      <c r="AF3291" s="15" t="str">
        <f t="shared" si="1"/>
        <v/>
      </c>
      <c r="AG3291" s="15" t="str">
        <f>IF(OR(AF3291="",AF3291="ERRO_CHAVE"),"",IFERROR(MATCH(AF3291,'quitado Despesa'!$V$1:$V$12,0),""))</f>
        <v/>
      </c>
      <c r="AH3291" s="15" t="str">
        <f t="shared" si="2"/>
        <v/>
      </c>
      <c r="AI3291" s="17" t="str">
        <f>IF(AG3291="","",INDEX('quitado Despesa'!$G$1:$G$12,AG3291))</f>
        <v/>
      </c>
      <c r="AJ3291" s="17" t="str">
        <f t="shared" si="3"/>
        <v/>
      </c>
    </row>
    <row r="3292" spans="31:36">
      <c r="AE3292" s="15" t="str">
        <f t="shared" si="0"/>
        <v/>
      </c>
      <c r="AF3292" s="15" t="str">
        <f t="shared" si="1"/>
        <v/>
      </c>
      <c r="AG3292" s="15" t="str">
        <f>IF(OR(AF3292="",AF3292="ERRO_CHAVE"),"",IFERROR(MATCH(AF3292,'quitado Despesa'!$V$1:$V$12,0),""))</f>
        <v/>
      </c>
      <c r="AH3292" s="15" t="str">
        <f t="shared" si="2"/>
        <v/>
      </c>
      <c r="AI3292" s="17" t="str">
        <f>IF(AG3292="","",INDEX('quitado Despesa'!$G$1:$G$12,AG3292))</f>
        <v/>
      </c>
      <c r="AJ3292" s="17" t="str">
        <f t="shared" si="3"/>
        <v/>
      </c>
    </row>
    <row r="3293" spans="31:36">
      <c r="AE3293" s="15" t="str">
        <f t="shared" si="0"/>
        <v/>
      </c>
      <c r="AF3293" s="15" t="str">
        <f t="shared" si="1"/>
        <v/>
      </c>
      <c r="AG3293" s="15" t="str">
        <f>IF(OR(AF3293="",AF3293="ERRO_CHAVE"),"",IFERROR(MATCH(AF3293,'quitado Despesa'!$V$1:$V$12,0),""))</f>
        <v/>
      </c>
      <c r="AH3293" s="15" t="str">
        <f t="shared" si="2"/>
        <v/>
      </c>
      <c r="AI3293" s="17" t="str">
        <f>IF(AG3293="","",INDEX('quitado Despesa'!$G$1:$G$12,AG3293))</f>
        <v/>
      </c>
      <c r="AJ3293" s="17" t="str">
        <f t="shared" si="3"/>
        <v/>
      </c>
    </row>
    <row r="3294" spans="31:36">
      <c r="AE3294" s="15" t="str">
        <f t="shared" si="0"/>
        <v/>
      </c>
      <c r="AF3294" s="15" t="str">
        <f t="shared" si="1"/>
        <v/>
      </c>
      <c r="AG3294" s="15" t="str">
        <f>IF(OR(AF3294="",AF3294="ERRO_CHAVE"),"",IFERROR(MATCH(AF3294,'quitado Despesa'!$V$1:$V$12,0),""))</f>
        <v/>
      </c>
      <c r="AH3294" s="15" t="str">
        <f t="shared" si="2"/>
        <v/>
      </c>
      <c r="AI3294" s="17" t="str">
        <f>IF(AG3294="","",INDEX('quitado Despesa'!$G$1:$G$12,AG3294))</f>
        <v/>
      </c>
      <c r="AJ3294" s="17" t="str">
        <f t="shared" si="3"/>
        <v/>
      </c>
    </row>
    <row r="3295" spans="31:36">
      <c r="AE3295" s="15" t="str">
        <f t="shared" si="0"/>
        <v/>
      </c>
      <c r="AF3295" s="15" t="str">
        <f t="shared" si="1"/>
        <v/>
      </c>
      <c r="AG3295" s="15" t="str">
        <f>IF(OR(AF3295="",AF3295="ERRO_CHAVE"),"",IFERROR(MATCH(AF3295,'quitado Despesa'!$V$1:$V$12,0),""))</f>
        <v/>
      </c>
      <c r="AH3295" s="15" t="str">
        <f t="shared" si="2"/>
        <v/>
      </c>
      <c r="AI3295" s="17" t="str">
        <f>IF(AG3295="","",INDEX('quitado Despesa'!$G$1:$G$12,AG3295))</f>
        <v/>
      </c>
      <c r="AJ3295" s="17" t="str">
        <f t="shared" si="3"/>
        <v/>
      </c>
    </row>
    <row r="3296" spans="31:36">
      <c r="AE3296" s="15" t="str">
        <f t="shared" si="0"/>
        <v/>
      </c>
      <c r="AF3296" s="15" t="str">
        <f t="shared" si="1"/>
        <v/>
      </c>
      <c r="AG3296" s="15" t="str">
        <f>IF(OR(AF3296="",AF3296="ERRO_CHAVE"),"",IFERROR(MATCH(AF3296,'quitado Despesa'!$V$1:$V$12,0),""))</f>
        <v/>
      </c>
      <c r="AH3296" s="15" t="str">
        <f t="shared" si="2"/>
        <v/>
      </c>
      <c r="AI3296" s="17" t="str">
        <f>IF(AG3296="","",INDEX('quitado Despesa'!$G$1:$G$12,AG3296))</f>
        <v/>
      </c>
      <c r="AJ3296" s="17" t="str">
        <f t="shared" si="3"/>
        <v/>
      </c>
    </row>
    <row r="3297" spans="31:36">
      <c r="AE3297" s="15" t="str">
        <f t="shared" si="0"/>
        <v/>
      </c>
      <c r="AF3297" s="15" t="str">
        <f t="shared" si="1"/>
        <v/>
      </c>
      <c r="AG3297" s="15" t="str">
        <f>IF(OR(AF3297="",AF3297="ERRO_CHAVE"),"",IFERROR(MATCH(AF3297,'quitado Despesa'!$V$1:$V$12,0),""))</f>
        <v/>
      </c>
      <c r="AH3297" s="15" t="str">
        <f t="shared" si="2"/>
        <v/>
      </c>
      <c r="AI3297" s="17" t="str">
        <f>IF(AG3297="","",INDEX('quitado Despesa'!$G$1:$G$12,AG3297))</f>
        <v/>
      </c>
      <c r="AJ3297" s="17" t="str">
        <f t="shared" si="3"/>
        <v/>
      </c>
    </row>
    <row r="3298" spans="31:36">
      <c r="AE3298" s="15" t="str">
        <f t="shared" si="0"/>
        <v/>
      </c>
      <c r="AF3298" s="15" t="str">
        <f t="shared" si="1"/>
        <v/>
      </c>
      <c r="AG3298" s="15" t="str">
        <f>IF(OR(AF3298="",AF3298="ERRO_CHAVE"),"",IFERROR(MATCH(AF3298,'quitado Despesa'!$V$1:$V$12,0),""))</f>
        <v/>
      </c>
      <c r="AH3298" s="15" t="str">
        <f t="shared" si="2"/>
        <v/>
      </c>
      <c r="AI3298" s="17" t="str">
        <f>IF(AG3298="","",INDEX('quitado Despesa'!$G$1:$G$12,AG3298))</f>
        <v/>
      </c>
      <c r="AJ3298" s="17" t="str">
        <f t="shared" si="3"/>
        <v/>
      </c>
    </row>
    <row r="3299" spans="31:36">
      <c r="AE3299" s="15" t="str">
        <f t="shared" si="0"/>
        <v/>
      </c>
      <c r="AF3299" s="15" t="str">
        <f t="shared" si="1"/>
        <v/>
      </c>
      <c r="AG3299" s="15" t="str">
        <f>IF(OR(AF3299="",AF3299="ERRO_CHAVE"),"",IFERROR(MATCH(AF3299,'quitado Despesa'!$V$1:$V$12,0),""))</f>
        <v/>
      </c>
      <c r="AH3299" s="15" t="str">
        <f t="shared" si="2"/>
        <v/>
      </c>
      <c r="AI3299" s="17" t="str">
        <f>IF(AG3299="","",INDEX('quitado Despesa'!$G$1:$G$12,AG3299))</f>
        <v/>
      </c>
      <c r="AJ3299" s="17" t="str">
        <f t="shared" si="3"/>
        <v/>
      </c>
    </row>
    <row r="3300" spans="31:36">
      <c r="AE3300" s="15" t="str">
        <f t="shared" si="0"/>
        <v/>
      </c>
      <c r="AF3300" s="15" t="str">
        <f t="shared" si="1"/>
        <v/>
      </c>
      <c r="AG3300" s="15" t="str">
        <f>IF(OR(AF3300="",AF3300="ERRO_CHAVE"),"",IFERROR(MATCH(AF3300,'quitado Despesa'!$V$1:$V$12,0),""))</f>
        <v/>
      </c>
      <c r="AH3300" s="15" t="str">
        <f t="shared" si="2"/>
        <v/>
      </c>
      <c r="AI3300" s="17" t="str">
        <f>IF(AG3300="","",INDEX('quitado Despesa'!$G$1:$G$12,AG3300))</f>
        <v/>
      </c>
      <c r="AJ3300" s="17" t="str">
        <f t="shared" si="3"/>
        <v/>
      </c>
    </row>
    <row r="3301" spans="31:36">
      <c r="AE3301" s="15" t="str">
        <f t="shared" si="0"/>
        <v/>
      </c>
      <c r="AF3301" s="15" t="str">
        <f t="shared" si="1"/>
        <v/>
      </c>
      <c r="AG3301" s="15" t="str">
        <f>IF(OR(AF3301="",AF3301="ERRO_CHAVE"),"",IFERROR(MATCH(AF3301,'quitado Despesa'!$V$1:$V$12,0),""))</f>
        <v/>
      </c>
      <c r="AH3301" s="15" t="str">
        <f t="shared" si="2"/>
        <v/>
      </c>
      <c r="AI3301" s="17" t="str">
        <f>IF(AG3301="","",INDEX('quitado Despesa'!$G$1:$G$12,AG3301))</f>
        <v/>
      </c>
      <c r="AJ3301" s="17" t="str">
        <f t="shared" si="3"/>
        <v/>
      </c>
    </row>
    <row r="3302" spans="31:36">
      <c r="AE3302" s="15" t="str">
        <f t="shared" si="0"/>
        <v/>
      </c>
      <c r="AF3302" s="15" t="str">
        <f t="shared" si="1"/>
        <v/>
      </c>
      <c r="AG3302" s="15" t="str">
        <f>IF(OR(AF3302="",AF3302="ERRO_CHAVE"),"",IFERROR(MATCH(AF3302,'quitado Despesa'!$V$1:$V$12,0),""))</f>
        <v/>
      </c>
      <c r="AH3302" s="15" t="str">
        <f t="shared" si="2"/>
        <v/>
      </c>
      <c r="AI3302" s="17" t="str">
        <f>IF(AG3302="","",INDEX('quitado Despesa'!$G$1:$G$12,AG3302))</f>
        <v/>
      </c>
      <c r="AJ3302" s="17" t="str">
        <f t="shared" si="3"/>
        <v/>
      </c>
    </row>
    <row r="3303" spans="31:36">
      <c r="AE3303" s="15" t="str">
        <f t="shared" si="0"/>
        <v/>
      </c>
      <c r="AF3303" s="15" t="str">
        <f t="shared" si="1"/>
        <v/>
      </c>
      <c r="AG3303" s="15" t="str">
        <f>IF(OR(AF3303="",AF3303="ERRO_CHAVE"),"",IFERROR(MATCH(AF3303,'quitado Despesa'!$V$1:$V$12,0),""))</f>
        <v/>
      </c>
      <c r="AH3303" s="15" t="str">
        <f t="shared" si="2"/>
        <v/>
      </c>
      <c r="AI3303" s="17" t="str">
        <f>IF(AG3303="","",INDEX('quitado Despesa'!$G$1:$G$12,AG3303))</f>
        <v/>
      </c>
      <c r="AJ3303" s="17" t="str">
        <f t="shared" si="3"/>
        <v/>
      </c>
    </row>
    <row r="3304" spans="31:36">
      <c r="AE3304" s="15" t="str">
        <f t="shared" si="0"/>
        <v/>
      </c>
      <c r="AF3304" s="15" t="str">
        <f t="shared" si="1"/>
        <v/>
      </c>
      <c r="AG3304" s="15" t="str">
        <f>IF(OR(AF3304="",AF3304="ERRO_CHAVE"),"",IFERROR(MATCH(AF3304,'quitado Despesa'!$V$1:$V$12,0),""))</f>
        <v/>
      </c>
      <c r="AH3304" s="15" t="str">
        <f t="shared" si="2"/>
        <v/>
      </c>
      <c r="AI3304" s="17" t="str">
        <f>IF(AG3304="","",INDEX('quitado Despesa'!$G$1:$G$12,AG3304))</f>
        <v/>
      </c>
      <c r="AJ3304" s="17" t="str">
        <f t="shared" si="3"/>
        <v/>
      </c>
    </row>
    <row r="3305" spans="31:36">
      <c r="AE3305" s="15" t="str">
        <f t="shared" si="0"/>
        <v/>
      </c>
      <c r="AF3305" s="15" t="str">
        <f t="shared" si="1"/>
        <v/>
      </c>
      <c r="AG3305" s="15" t="str">
        <f>IF(OR(AF3305="",AF3305="ERRO_CHAVE"),"",IFERROR(MATCH(AF3305,'quitado Despesa'!$V$1:$V$12,0),""))</f>
        <v/>
      </c>
      <c r="AH3305" s="15" t="str">
        <f t="shared" si="2"/>
        <v/>
      </c>
      <c r="AI3305" s="17" t="str">
        <f>IF(AG3305="","",INDEX('quitado Despesa'!$G$1:$G$12,AG3305))</f>
        <v/>
      </c>
      <c r="AJ3305" s="17" t="str">
        <f t="shared" si="3"/>
        <v/>
      </c>
    </row>
    <row r="3306" spans="31:36">
      <c r="AE3306" s="15" t="str">
        <f t="shared" si="0"/>
        <v/>
      </c>
      <c r="AF3306" s="15" t="str">
        <f t="shared" si="1"/>
        <v/>
      </c>
      <c r="AG3306" s="15" t="str">
        <f>IF(OR(AF3306="",AF3306="ERRO_CHAVE"),"",IFERROR(MATCH(AF3306,'quitado Despesa'!$V$1:$V$12,0),""))</f>
        <v/>
      </c>
      <c r="AH3306" s="15" t="str">
        <f t="shared" si="2"/>
        <v/>
      </c>
      <c r="AI3306" s="17" t="str">
        <f>IF(AG3306="","",INDEX('quitado Despesa'!$G$1:$G$12,AG3306))</f>
        <v/>
      </c>
      <c r="AJ3306" s="17" t="str">
        <f t="shared" si="3"/>
        <v/>
      </c>
    </row>
    <row r="3307" spans="31:36">
      <c r="AE3307" s="15" t="str">
        <f t="shared" si="0"/>
        <v/>
      </c>
      <c r="AF3307" s="15" t="str">
        <f t="shared" si="1"/>
        <v/>
      </c>
      <c r="AG3307" s="15" t="str">
        <f>IF(OR(AF3307="",AF3307="ERRO_CHAVE"),"",IFERROR(MATCH(AF3307,'quitado Despesa'!$V$1:$V$12,0),""))</f>
        <v/>
      </c>
      <c r="AH3307" s="15" t="str">
        <f t="shared" si="2"/>
        <v/>
      </c>
      <c r="AI3307" s="17" t="str">
        <f>IF(AG3307="","",INDEX('quitado Despesa'!$G$1:$G$12,AG3307))</f>
        <v/>
      </c>
      <c r="AJ3307" s="17" t="str">
        <f t="shared" si="3"/>
        <v/>
      </c>
    </row>
    <row r="3308" spans="31:36">
      <c r="AE3308" s="15" t="str">
        <f t="shared" si="0"/>
        <v/>
      </c>
      <c r="AF3308" s="15" t="str">
        <f t="shared" si="1"/>
        <v/>
      </c>
      <c r="AG3308" s="15" t="str">
        <f>IF(OR(AF3308="",AF3308="ERRO_CHAVE"),"",IFERROR(MATCH(AF3308,'quitado Despesa'!$V$1:$V$12,0),""))</f>
        <v/>
      </c>
      <c r="AH3308" s="15" t="str">
        <f t="shared" si="2"/>
        <v/>
      </c>
      <c r="AI3308" s="17" t="str">
        <f>IF(AG3308="","",INDEX('quitado Despesa'!$G$1:$G$12,AG3308))</f>
        <v/>
      </c>
      <c r="AJ3308" s="17" t="str">
        <f t="shared" si="3"/>
        <v/>
      </c>
    </row>
    <row r="3309" spans="31:36">
      <c r="AE3309" s="15" t="str">
        <f t="shared" si="0"/>
        <v/>
      </c>
      <c r="AF3309" s="15" t="str">
        <f t="shared" si="1"/>
        <v/>
      </c>
      <c r="AG3309" s="15" t="str">
        <f>IF(OR(AF3309="",AF3309="ERRO_CHAVE"),"",IFERROR(MATCH(AF3309,'quitado Despesa'!$V$1:$V$12,0),""))</f>
        <v/>
      </c>
      <c r="AH3309" s="15" t="str">
        <f t="shared" si="2"/>
        <v/>
      </c>
      <c r="AI3309" s="17" t="str">
        <f>IF(AG3309="","",INDEX('quitado Despesa'!$G$1:$G$12,AG3309))</f>
        <v/>
      </c>
      <c r="AJ3309" s="17" t="str">
        <f t="shared" si="3"/>
        <v/>
      </c>
    </row>
    <row r="3310" spans="31:36">
      <c r="AE3310" s="15" t="str">
        <f t="shared" si="0"/>
        <v/>
      </c>
      <c r="AF3310" s="15" t="str">
        <f t="shared" si="1"/>
        <v/>
      </c>
      <c r="AG3310" s="15" t="str">
        <f>IF(OR(AF3310="",AF3310="ERRO_CHAVE"),"",IFERROR(MATCH(AF3310,'quitado Despesa'!$V$1:$V$12,0),""))</f>
        <v/>
      </c>
      <c r="AH3310" s="15" t="str">
        <f t="shared" si="2"/>
        <v/>
      </c>
      <c r="AI3310" s="17" t="str">
        <f>IF(AG3310="","",INDEX('quitado Despesa'!$G$1:$G$12,AG3310))</f>
        <v/>
      </c>
      <c r="AJ3310" s="17" t="str">
        <f t="shared" si="3"/>
        <v/>
      </c>
    </row>
    <row r="3311" spans="31:36">
      <c r="AE3311" s="15" t="str">
        <f t="shared" si="0"/>
        <v/>
      </c>
      <c r="AF3311" s="15" t="str">
        <f t="shared" si="1"/>
        <v/>
      </c>
      <c r="AG3311" s="15" t="str">
        <f>IF(OR(AF3311="",AF3311="ERRO_CHAVE"),"",IFERROR(MATCH(AF3311,'quitado Despesa'!$V$1:$V$12,0),""))</f>
        <v/>
      </c>
      <c r="AH3311" s="15" t="str">
        <f t="shared" si="2"/>
        <v/>
      </c>
      <c r="AI3311" s="17" t="str">
        <f>IF(AG3311="","",INDEX('quitado Despesa'!$G$1:$G$12,AG3311))</f>
        <v/>
      </c>
      <c r="AJ3311" s="17" t="str">
        <f t="shared" si="3"/>
        <v/>
      </c>
    </row>
    <row r="3312" spans="31:36">
      <c r="AE3312" s="15" t="str">
        <f t="shared" si="0"/>
        <v/>
      </c>
      <c r="AF3312" s="15" t="str">
        <f t="shared" si="1"/>
        <v/>
      </c>
      <c r="AG3312" s="15" t="str">
        <f>IF(OR(AF3312="",AF3312="ERRO_CHAVE"),"",IFERROR(MATCH(AF3312,'quitado Despesa'!$V$1:$V$12,0),""))</f>
        <v/>
      </c>
      <c r="AH3312" s="15" t="str">
        <f t="shared" si="2"/>
        <v/>
      </c>
      <c r="AI3312" s="17" t="str">
        <f>IF(AG3312="","",INDEX('quitado Despesa'!$G$1:$G$12,AG3312))</f>
        <v/>
      </c>
      <c r="AJ3312" s="17" t="str">
        <f t="shared" si="3"/>
        <v/>
      </c>
    </row>
    <row r="3313" spans="31:36">
      <c r="AE3313" s="15" t="str">
        <f t="shared" si="0"/>
        <v/>
      </c>
      <c r="AF3313" s="15" t="str">
        <f t="shared" si="1"/>
        <v/>
      </c>
      <c r="AG3313" s="15" t="str">
        <f>IF(OR(AF3313="",AF3313="ERRO_CHAVE"),"",IFERROR(MATCH(AF3313,'quitado Despesa'!$V$1:$V$12,0),""))</f>
        <v/>
      </c>
      <c r="AH3313" s="15" t="str">
        <f t="shared" si="2"/>
        <v/>
      </c>
      <c r="AI3313" s="17" t="str">
        <f>IF(AG3313="","",INDEX('quitado Despesa'!$G$1:$G$12,AG3313))</f>
        <v/>
      </c>
      <c r="AJ3313" s="17" t="str">
        <f t="shared" si="3"/>
        <v/>
      </c>
    </row>
    <row r="3314" spans="31:36">
      <c r="AE3314" s="15" t="str">
        <f t="shared" si="0"/>
        <v/>
      </c>
      <c r="AF3314" s="15" t="str">
        <f t="shared" si="1"/>
        <v/>
      </c>
      <c r="AG3314" s="15" t="str">
        <f>IF(OR(AF3314="",AF3314="ERRO_CHAVE"),"",IFERROR(MATCH(AF3314,'quitado Despesa'!$V$1:$V$12,0),""))</f>
        <v/>
      </c>
      <c r="AH3314" s="15" t="str">
        <f t="shared" si="2"/>
        <v/>
      </c>
      <c r="AI3314" s="17" t="str">
        <f>IF(AG3314="","",INDEX('quitado Despesa'!$G$1:$G$12,AG3314))</f>
        <v/>
      </c>
      <c r="AJ3314" s="17" t="str">
        <f t="shared" si="3"/>
        <v/>
      </c>
    </row>
    <row r="3315" spans="31:36">
      <c r="AE3315" s="15" t="str">
        <f t="shared" si="0"/>
        <v/>
      </c>
      <c r="AF3315" s="15" t="str">
        <f t="shared" si="1"/>
        <v/>
      </c>
      <c r="AG3315" s="15" t="str">
        <f>IF(OR(AF3315="",AF3315="ERRO_CHAVE"),"",IFERROR(MATCH(AF3315,'quitado Despesa'!$V$1:$V$12,0),""))</f>
        <v/>
      </c>
      <c r="AH3315" s="15" t="str">
        <f t="shared" si="2"/>
        <v/>
      </c>
      <c r="AI3315" s="17" t="str">
        <f>IF(AG3315="","",INDEX('quitado Despesa'!$G$1:$G$12,AG3315))</f>
        <v/>
      </c>
      <c r="AJ3315" s="17" t="str">
        <f t="shared" si="3"/>
        <v/>
      </c>
    </row>
    <row r="3316" spans="31:36">
      <c r="AE3316" s="15" t="str">
        <f t="shared" si="0"/>
        <v/>
      </c>
      <c r="AF3316" s="15" t="str">
        <f t="shared" si="1"/>
        <v/>
      </c>
      <c r="AG3316" s="15" t="str">
        <f>IF(OR(AF3316="",AF3316="ERRO_CHAVE"),"",IFERROR(MATCH(AF3316,'quitado Despesa'!$V$1:$V$12,0),""))</f>
        <v/>
      </c>
      <c r="AH3316" s="15" t="str">
        <f t="shared" si="2"/>
        <v/>
      </c>
      <c r="AI3316" s="17" t="str">
        <f>IF(AG3316="","",INDEX('quitado Despesa'!$G$1:$G$12,AG3316))</f>
        <v/>
      </c>
      <c r="AJ3316" s="17" t="str">
        <f t="shared" si="3"/>
        <v/>
      </c>
    </row>
    <row r="3317" spans="31:36">
      <c r="AE3317" s="15" t="str">
        <f t="shared" si="0"/>
        <v/>
      </c>
      <c r="AF3317" s="15" t="str">
        <f t="shared" si="1"/>
        <v/>
      </c>
      <c r="AG3317" s="15" t="str">
        <f>IF(OR(AF3317="",AF3317="ERRO_CHAVE"),"",IFERROR(MATCH(AF3317,'quitado Despesa'!$V$1:$V$12,0),""))</f>
        <v/>
      </c>
      <c r="AH3317" s="15" t="str">
        <f t="shared" si="2"/>
        <v/>
      </c>
      <c r="AI3317" s="17" t="str">
        <f>IF(AG3317="","",INDEX('quitado Despesa'!$G$1:$G$12,AG3317))</f>
        <v/>
      </c>
      <c r="AJ3317" s="17" t="str">
        <f t="shared" si="3"/>
        <v/>
      </c>
    </row>
    <row r="3318" spans="31:36">
      <c r="AE3318" s="15" t="str">
        <f t="shared" si="0"/>
        <v/>
      </c>
      <c r="AF3318" s="15" t="str">
        <f t="shared" si="1"/>
        <v/>
      </c>
      <c r="AG3318" s="15" t="str">
        <f>IF(OR(AF3318="",AF3318="ERRO_CHAVE"),"",IFERROR(MATCH(AF3318,'quitado Despesa'!$V$1:$V$12,0),""))</f>
        <v/>
      </c>
      <c r="AH3318" s="15" t="str">
        <f t="shared" si="2"/>
        <v/>
      </c>
      <c r="AI3318" s="17" t="str">
        <f>IF(AG3318="","",INDEX('quitado Despesa'!$G$1:$G$12,AG3318))</f>
        <v/>
      </c>
      <c r="AJ3318" s="17" t="str">
        <f t="shared" si="3"/>
        <v/>
      </c>
    </row>
    <row r="3319" spans="31:36">
      <c r="AE3319" s="15" t="str">
        <f t="shared" si="0"/>
        <v/>
      </c>
      <c r="AF3319" s="15" t="str">
        <f t="shared" si="1"/>
        <v/>
      </c>
      <c r="AG3319" s="15" t="str">
        <f>IF(OR(AF3319="",AF3319="ERRO_CHAVE"),"",IFERROR(MATCH(AF3319,'quitado Despesa'!$V$1:$V$12,0),""))</f>
        <v/>
      </c>
      <c r="AH3319" s="15" t="str">
        <f t="shared" si="2"/>
        <v/>
      </c>
      <c r="AI3319" s="17" t="str">
        <f>IF(AG3319="","",INDEX('quitado Despesa'!$G$1:$G$12,AG3319))</f>
        <v/>
      </c>
      <c r="AJ3319" s="17" t="str">
        <f t="shared" si="3"/>
        <v/>
      </c>
    </row>
    <row r="3320" spans="31:36">
      <c r="AE3320" s="15" t="str">
        <f t="shared" si="0"/>
        <v/>
      </c>
      <c r="AF3320" s="15" t="str">
        <f t="shared" si="1"/>
        <v/>
      </c>
      <c r="AG3320" s="15" t="str">
        <f>IF(OR(AF3320="",AF3320="ERRO_CHAVE"),"",IFERROR(MATCH(AF3320,'quitado Despesa'!$V$1:$V$12,0),""))</f>
        <v/>
      </c>
      <c r="AH3320" s="15" t="str">
        <f t="shared" si="2"/>
        <v/>
      </c>
      <c r="AI3320" s="17" t="str">
        <f>IF(AG3320="","",INDEX('quitado Despesa'!$G$1:$G$12,AG3320))</f>
        <v/>
      </c>
      <c r="AJ3320" s="17" t="str">
        <f t="shared" si="3"/>
        <v/>
      </c>
    </row>
    <row r="3321" spans="31:36">
      <c r="AE3321" s="15" t="str">
        <f t="shared" si="0"/>
        <v/>
      </c>
      <c r="AF3321" s="15" t="str">
        <f t="shared" si="1"/>
        <v/>
      </c>
      <c r="AG3321" s="15" t="str">
        <f>IF(OR(AF3321="",AF3321="ERRO_CHAVE"),"",IFERROR(MATCH(AF3321,'quitado Despesa'!$V$1:$V$12,0),""))</f>
        <v/>
      </c>
      <c r="AH3321" s="15" t="str">
        <f t="shared" si="2"/>
        <v/>
      </c>
      <c r="AI3321" s="17" t="str">
        <f>IF(AG3321="","",INDEX('quitado Despesa'!$G$1:$G$12,AG3321))</f>
        <v/>
      </c>
      <c r="AJ3321" s="17" t="str">
        <f t="shared" si="3"/>
        <v/>
      </c>
    </row>
    <row r="3322" spans="31:36">
      <c r="AE3322" s="15" t="str">
        <f t="shared" si="0"/>
        <v/>
      </c>
      <c r="AF3322" s="15" t="str">
        <f t="shared" si="1"/>
        <v/>
      </c>
      <c r="AG3322" s="15" t="str">
        <f>IF(OR(AF3322="",AF3322="ERRO_CHAVE"),"",IFERROR(MATCH(AF3322,'quitado Despesa'!$V$1:$V$12,0),""))</f>
        <v/>
      </c>
      <c r="AH3322" s="15" t="str">
        <f t="shared" si="2"/>
        <v/>
      </c>
      <c r="AI3322" s="17" t="str">
        <f>IF(AG3322="","",INDEX('quitado Despesa'!$G$1:$G$12,AG3322))</f>
        <v/>
      </c>
      <c r="AJ3322" s="17" t="str">
        <f t="shared" si="3"/>
        <v/>
      </c>
    </row>
    <row r="3323" spans="31:36">
      <c r="AE3323" s="15" t="str">
        <f t="shared" si="0"/>
        <v/>
      </c>
      <c r="AF3323" s="15" t="str">
        <f t="shared" si="1"/>
        <v/>
      </c>
      <c r="AG3323" s="15" t="str">
        <f>IF(OR(AF3323="",AF3323="ERRO_CHAVE"),"",IFERROR(MATCH(AF3323,'quitado Despesa'!$V$1:$V$12,0),""))</f>
        <v/>
      </c>
      <c r="AH3323" s="15" t="str">
        <f t="shared" si="2"/>
        <v/>
      </c>
      <c r="AI3323" s="17" t="str">
        <f>IF(AG3323="","",INDEX('quitado Despesa'!$G$1:$G$12,AG3323))</f>
        <v/>
      </c>
      <c r="AJ3323" s="17" t="str">
        <f t="shared" si="3"/>
        <v/>
      </c>
    </row>
    <row r="3324" spans="31:36">
      <c r="AE3324" s="15" t="str">
        <f t="shared" si="0"/>
        <v/>
      </c>
      <c r="AF3324" s="15" t="str">
        <f t="shared" si="1"/>
        <v/>
      </c>
      <c r="AG3324" s="15" t="str">
        <f>IF(OR(AF3324="",AF3324="ERRO_CHAVE"),"",IFERROR(MATCH(AF3324,'quitado Despesa'!$V$1:$V$12,0),""))</f>
        <v/>
      </c>
      <c r="AH3324" s="15" t="str">
        <f t="shared" si="2"/>
        <v/>
      </c>
      <c r="AI3324" s="17" t="str">
        <f>IF(AG3324="","",INDEX('quitado Despesa'!$G$1:$G$12,AG3324))</f>
        <v/>
      </c>
      <c r="AJ3324" s="17" t="str">
        <f t="shared" si="3"/>
        <v/>
      </c>
    </row>
    <row r="3325" spans="31:36">
      <c r="AE3325" s="15" t="str">
        <f t="shared" si="0"/>
        <v/>
      </c>
      <c r="AF3325" s="15" t="str">
        <f t="shared" si="1"/>
        <v/>
      </c>
      <c r="AG3325" s="15" t="str">
        <f>IF(OR(AF3325="",AF3325="ERRO_CHAVE"),"",IFERROR(MATCH(AF3325,'quitado Despesa'!$V$1:$V$12,0),""))</f>
        <v/>
      </c>
      <c r="AH3325" s="15" t="str">
        <f t="shared" si="2"/>
        <v/>
      </c>
      <c r="AI3325" s="17" t="str">
        <f>IF(AG3325="","",INDEX('quitado Despesa'!$G$1:$G$12,AG3325))</f>
        <v/>
      </c>
      <c r="AJ3325" s="17" t="str">
        <f t="shared" si="3"/>
        <v/>
      </c>
    </row>
    <row r="3326" spans="31:36">
      <c r="AE3326" s="15" t="str">
        <f t="shared" si="0"/>
        <v/>
      </c>
      <c r="AF3326" s="15" t="str">
        <f t="shared" si="1"/>
        <v/>
      </c>
      <c r="AG3326" s="15" t="str">
        <f>IF(OR(AF3326="",AF3326="ERRO_CHAVE"),"",IFERROR(MATCH(AF3326,'quitado Despesa'!$V$1:$V$12,0),""))</f>
        <v/>
      </c>
      <c r="AH3326" s="15" t="str">
        <f t="shared" si="2"/>
        <v/>
      </c>
      <c r="AI3326" s="17" t="str">
        <f>IF(AG3326="","",INDEX('quitado Despesa'!$G$1:$G$12,AG3326))</f>
        <v/>
      </c>
      <c r="AJ3326" s="17" t="str">
        <f t="shared" si="3"/>
        <v/>
      </c>
    </row>
    <row r="3327" spans="31:36">
      <c r="AE3327" s="15" t="str">
        <f t="shared" si="0"/>
        <v/>
      </c>
      <c r="AF3327" s="15" t="str">
        <f t="shared" si="1"/>
        <v/>
      </c>
      <c r="AG3327" s="15" t="str">
        <f>IF(OR(AF3327="",AF3327="ERRO_CHAVE"),"",IFERROR(MATCH(AF3327,'quitado Despesa'!$V$1:$V$12,0),""))</f>
        <v/>
      </c>
      <c r="AH3327" s="15" t="str">
        <f t="shared" si="2"/>
        <v/>
      </c>
      <c r="AI3327" s="17" t="str">
        <f>IF(AG3327="","",INDEX('quitado Despesa'!$G$1:$G$12,AG3327))</f>
        <v/>
      </c>
      <c r="AJ3327" s="17" t="str">
        <f t="shared" si="3"/>
        <v/>
      </c>
    </row>
    <row r="3328" spans="31:36">
      <c r="AE3328" s="15" t="str">
        <f t="shared" si="0"/>
        <v/>
      </c>
      <c r="AF3328" s="15" t="str">
        <f t="shared" si="1"/>
        <v/>
      </c>
      <c r="AG3328" s="15" t="str">
        <f>IF(OR(AF3328="",AF3328="ERRO_CHAVE"),"",IFERROR(MATCH(AF3328,'quitado Despesa'!$V$1:$V$12,0),""))</f>
        <v/>
      </c>
      <c r="AH3328" s="15" t="str">
        <f t="shared" si="2"/>
        <v/>
      </c>
      <c r="AI3328" s="17" t="str">
        <f>IF(AG3328="","",INDEX('quitado Despesa'!$G$1:$G$12,AG3328))</f>
        <v/>
      </c>
      <c r="AJ3328" s="17" t="str">
        <f t="shared" si="3"/>
        <v/>
      </c>
    </row>
    <row r="3329" spans="31:36">
      <c r="AE3329" s="15" t="str">
        <f t="shared" si="0"/>
        <v/>
      </c>
      <c r="AF3329" s="15" t="str">
        <f t="shared" si="1"/>
        <v/>
      </c>
      <c r="AG3329" s="15" t="str">
        <f>IF(OR(AF3329="",AF3329="ERRO_CHAVE"),"",IFERROR(MATCH(AF3329,'quitado Despesa'!$V$1:$V$12,0),""))</f>
        <v/>
      </c>
      <c r="AH3329" s="15" t="str">
        <f t="shared" si="2"/>
        <v/>
      </c>
      <c r="AI3329" s="17" t="str">
        <f>IF(AG3329="","",INDEX('quitado Despesa'!$G$1:$G$12,AG3329))</f>
        <v/>
      </c>
      <c r="AJ3329" s="17" t="str">
        <f t="shared" si="3"/>
        <v/>
      </c>
    </row>
    <row r="3330" spans="31:36">
      <c r="AE3330" s="15" t="str">
        <f t="shared" si="0"/>
        <v/>
      </c>
      <c r="AF3330" s="15" t="str">
        <f t="shared" si="1"/>
        <v/>
      </c>
      <c r="AG3330" s="15" t="str">
        <f>IF(OR(AF3330="",AF3330="ERRO_CHAVE"),"",IFERROR(MATCH(AF3330,'quitado Despesa'!$V$1:$V$12,0),""))</f>
        <v/>
      </c>
      <c r="AH3330" s="15" t="str">
        <f t="shared" si="2"/>
        <v/>
      </c>
      <c r="AI3330" s="17" t="str">
        <f>IF(AG3330="","",INDEX('quitado Despesa'!$G$1:$G$12,AG3330))</f>
        <v/>
      </c>
      <c r="AJ3330" s="17" t="str">
        <f t="shared" si="3"/>
        <v/>
      </c>
    </row>
    <row r="3331" spans="31:36">
      <c r="AE3331" s="15" t="str">
        <f t="shared" si="0"/>
        <v/>
      </c>
      <c r="AF3331" s="15" t="str">
        <f t="shared" si="1"/>
        <v/>
      </c>
      <c r="AG3331" s="15" t="str">
        <f>IF(OR(AF3331="",AF3331="ERRO_CHAVE"),"",IFERROR(MATCH(AF3331,'quitado Despesa'!$V$1:$V$12,0),""))</f>
        <v/>
      </c>
      <c r="AH3331" s="15" t="str">
        <f t="shared" si="2"/>
        <v/>
      </c>
      <c r="AI3331" s="17" t="str">
        <f>IF(AG3331="","",INDEX('quitado Despesa'!$G$1:$G$12,AG3331))</f>
        <v/>
      </c>
      <c r="AJ3331" s="17" t="str">
        <f t="shared" si="3"/>
        <v/>
      </c>
    </row>
    <row r="3332" spans="31:36">
      <c r="AE3332" s="15" t="str">
        <f t="shared" si="0"/>
        <v/>
      </c>
      <c r="AF3332" s="15" t="str">
        <f t="shared" si="1"/>
        <v/>
      </c>
      <c r="AG3332" s="15" t="str">
        <f>IF(OR(AF3332="",AF3332="ERRO_CHAVE"),"",IFERROR(MATCH(AF3332,'quitado Despesa'!$V$1:$V$12,0),""))</f>
        <v/>
      </c>
      <c r="AH3332" s="15" t="str">
        <f t="shared" si="2"/>
        <v/>
      </c>
      <c r="AI3332" s="17" t="str">
        <f>IF(AG3332="","",INDEX('quitado Despesa'!$G$1:$G$12,AG3332))</f>
        <v/>
      </c>
      <c r="AJ3332" s="17" t="str">
        <f t="shared" si="3"/>
        <v/>
      </c>
    </row>
    <row r="3333" spans="31:36">
      <c r="AE3333" s="15" t="str">
        <f t="shared" si="0"/>
        <v/>
      </c>
      <c r="AF3333" s="15" t="str">
        <f t="shared" si="1"/>
        <v/>
      </c>
      <c r="AG3333" s="15" t="str">
        <f>IF(OR(AF3333="",AF3333="ERRO_CHAVE"),"",IFERROR(MATCH(AF3333,'quitado Despesa'!$V$1:$V$12,0),""))</f>
        <v/>
      </c>
      <c r="AH3333" s="15" t="str">
        <f t="shared" si="2"/>
        <v/>
      </c>
      <c r="AI3333" s="17" t="str">
        <f>IF(AG3333="","",INDEX('quitado Despesa'!$G$1:$G$12,AG3333))</f>
        <v/>
      </c>
      <c r="AJ3333" s="17" t="str">
        <f t="shared" si="3"/>
        <v/>
      </c>
    </row>
    <row r="3334" spans="31:36">
      <c r="AE3334" s="15" t="str">
        <f t="shared" si="0"/>
        <v/>
      </c>
      <c r="AF3334" s="15" t="str">
        <f t="shared" si="1"/>
        <v/>
      </c>
      <c r="AG3334" s="15" t="str">
        <f>IF(OR(AF3334="",AF3334="ERRO_CHAVE"),"",IFERROR(MATCH(AF3334,'quitado Despesa'!$V$1:$V$12,0),""))</f>
        <v/>
      </c>
      <c r="AH3334" s="15" t="str">
        <f t="shared" si="2"/>
        <v/>
      </c>
      <c r="AI3334" s="17" t="str">
        <f>IF(AG3334="","",INDEX('quitado Despesa'!$G$1:$G$12,AG3334))</f>
        <v/>
      </c>
      <c r="AJ3334" s="17" t="str">
        <f t="shared" si="3"/>
        <v/>
      </c>
    </row>
    <row r="3335" spans="31:36">
      <c r="AE3335" s="15" t="str">
        <f t="shared" si="0"/>
        <v/>
      </c>
      <c r="AF3335" s="15" t="str">
        <f t="shared" si="1"/>
        <v/>
      </c>
      <c r="AG3335" s="15" t="str">
        <f>IF(OR(AF3335="",AF3335="ERRO_CHAVE"),"",IFERROR(MATCH(AF3335,'quitado Despesa'!$V$1:$V$12,0),""))</f>
        <v/>
      </c>
      <c r="AH3335" s="15" t="str">
        <f t="shared" si="2"/>
        <v/>
      </c>
      <c r="AI3335" s="17" t="str">
        <f>IF(AG3335="","",INDEX('quitado Despesa'!$G$1:$G$12,AG3335))</f>
        <v/>
      </c>
      <c r="AJ3335" s="17" t="str">
        <f t="shared" si="3"/>
        <v/>
      </c>
    </row>
    <row r="3336" spans="31:36">
      <c r="AE3336" s="15" t="str">
        <f t="shared" si="0"/>
        <v/>
      </c>
      <c r="AF3336" s="15" t="str">
        <f t="shared" si="1"/>
        <v/>
      </c>
      <c r="AG3336" s="15" t="str">
        <f>IF(OR(AF3336="",AF3336="ERRO_CHAVE"),"",IFERROR(MATCH(AF3336,'quitado Despesa'!$V$1:$V$12,0),""))</f>
        <v/>
      </c>
      <c r="AH3336" s="15" t="str">
        <f t="shared" si="2"/>
        <v/>
      </c>
      <c r="AI3336" s="17" t="str">
        <f>IF(AG3336="","",INDEX('quitado Despesa'!$G$1:$G$12,AG3336))</f>
        <v/>
      </c>
      <c r="AJ3336" s="17" t="str">
        <f t="shared" si="3"/>
        <v/>
      </c>
    </row>
    <row r="3337" spans="31:36">
      <c r="AE3337" s="15" t="str">
        <f t="shared" si="0"/>
        <v/>
      </c>
      <c r="AF3337" s="15" t="str">
        <f t="shared" si="1"/>
        <v/>
      </c>
      <c r="AG3337" s="15" t="str">
        <f>IF(OR(AF3337="",AF3337="ERRO_CHAVE"),"",IFERROR(MATCH(AF3337,'quitado Despesa'!$V$1:$V$12,0),""))</f>
        <v/>
      </c>
      <c r="AH3337" s="15" t="str">
        <f t="shared" si="2"/>
        <v/>
      </c>
      <c r="AI3337" s="17" t="str">
        <f>IF(AG3337="","",INDEX('quitado Despesa'!$G$1:$G$12,AG3337))</f>
        <v/>
      </c>
      <c r="AJ3337" s="17" t="str">
        <f t="shared" si="3"/>
        <v/>
      </c>
    </row>
    <row r="3338" spans="31:36">
      <c r="AE3338" s="15" t="str">
        <f t="shared" si="0"/>
        <v/>
      </c>
      <c r="AF3338" s="15" t="str">
        <f t="shared" si="1"/>
        <v/>
      </c>
      <c r="AG3338" s="15" t="str">
        <f>IF(OR(AF3338="",AF3338="ERRO_CHAVE"),"",IFERROR(MATCH(AF3338,'quitado Despesa'!$V$1:$V$12,0),""))</f>
        <v/>
      </c>
      <c r="AH3338" s="15" t="str">
        <f t="shared" si="2"/>
        <v/>
      </c>
      <c r="AI3338" s="17" t="str">
        <f>IF(AG3338="","",INDEX('quitado Despesa'!$G$1:$G$12,AG3338))</f>
        <v/>
      </c>
      <c r="AJ3338" s="17" t="str">
        <f t="shared" si="3"/>
        <v/>
      </c>
    </row>
    <row r="3339" spans="31:36">
      <c r="AE3339" s="15" t="str">
        <f t="shared" si="0"/>
        <v/>
      </c>
      <c r="AF3339" s="15" t="str">
        <f t="shared" si="1"/>
        <v/>
      </c>
      <c r="AG3339" s="15" t="str">
        <f>IF(OR(AF3339="",AF3339="ERRO_CHAVE"),"",IFERROR(MATCH(AF3339,'quitado Despesa'!$V$1:$V$12,0),""))</f>
        <v/>
      </c>
      <c r="AH3339" s="15" t="str">
        <f t="shared" si="2"/>
        <v/>
      </c>
      <c r="AI3339" s="17" t="str">
        <f>IF(AG3339="","",INDEX('quitado Despesa'!$G$1:$G$12,AG3339))</f>
        <v/>
      </c>
      <c r="AJ3339" s="17" t="str">
        <f t="shared" si="3"/>
        <v/>
      </c>
    </row>
    <row r="3340" spans="31:36">
      <c r="AE3340" s="15" t="str">
        <f t="shared" si="0"/>
        <v/>
      </c>
      <c r="AF3340" s="15" t="str">
        <f t="shared" si="1"/>
        <v/>
      </c>
      <c r="AG3340" s="15" t="str">
        <f>IF(OR(AF3340="",AF3340="ERRO_CHAVE"),"",IFERROR(MATCH(AF3340,'quitado Despesa'!$V$1:$V$12,0),""))</f>
        <v/>
      </c>
      <c r="AH3340" s="15" t="str">
        <f t="shared" si="2"/>
        <v/>
      </c>
      <c r="AI3340" s="17" t="str">
        <f>IF(AG3340="","",INDEX('quitado Despesa'!$G$1:$G$12,AG3340))</f>
        <v/>
      </c>
      <c r="AJ3340" s="17" t="str">
        <f t="shared" si="3"/>
        <v/>
      </c>
    </row>
    <row r="3341" spans="31:36">
      <c r="AE3341" s="15" t="str">
        <f t="shared" si="0"/>
        <v/>
      </c>
      <c r="AF3341" s="15" t="str">
        <f t="shared" si="1"/>
        <v/>
      </c>
      <c r="AG3341" s="15" t="str">
        <f>IF(OR(AF3341="",AF3341="ERRO_CHAVE"),"",IFERROR(MATCH(AF3341,'quitado Despesa'!$V$1:$V$12,0),""))</f>
        <v/>
      </c>
      <c r="AH3341" s="15" t="str">
        <f t="shared" si="2"/>
        <v/>
      </c>
      <c r="AI3341" s="17" t="str">
        <f>IF(AG3341="","",INDEX('quitado Despesa'!$G$1:$G$12,AG3341))</f>
        <v/>
      </c>
      <c r="AJ3341" s="17" t="str">
        <f t="shared" si="3"/>
        <v/>
      </c>
    </row>
    <row r="3342" spans="31:36">
      <c r="AE3342" s="15" t="str">
        <f t="shared" si="0"/>
        <v/>
      </c>
      <c r="AF3342" s="15" t="str">
        <f t="shared" si="1"/>
        <v/>
      </c>
      <c r="AG3342" s="15" t="str">
        <f>IF(OR(AF3342="",AF3342="ERRO_CHAVE"),"",IFERROR(MATCH(AF3342,'quitado Despesa'!$V$1:$V$12,0),""))</f>
        <v/>
      </c>
      <c r="AH3342" s="15" t="str">
        <f t="shared" si="2"/>
        <v/>
      </c>
      <c r="AI3342" s="17" t="str">
        <f>IF(AG3342="","",INDEX('quitado Despesa'!$G$1:$G$12,AG3342))</f>
        <v/>
      </c>
      <c r="AJ3342" s="17" t="str">
        <f t="shared" si="3"/>
        <v/>
      </c>
    </row>
    <row r="3343" spans="31:36">
      <c r="AE3343" s="15" t="str">
        <f t="shared" si="0"/>
        <v/>
      </c>
      <c r="AF3343" s="15" t="str">
        <f t="shared" si="1"/>
        <v/>
      </c>
      <c r="AG3343" s="15" t="str">
        <f>IF(OR(AF3343="",AF3343="ERRO_CHAVE"),"",IFERROR(MATCH(AF3343,'quitado Despesa'!$V$1:$V$12,0),""))</f>
        <v/>
      </c>
      <c r="AH3343" s="15" t="str">
        <f t="shared" si="2"/>
        <v/>
      </c>
      <c r="AI3343" s="17" t="str">
        <f>IF(AG3343="","",INDEX('quitado Despesa'!$G$1:$G$12,AG3343))</f>
        <v/>
      </c>
      <c r="AJ3343" s="17" t="str">
        <f t="shared" si="3"/>
        <v/>
      </c>
    </row>
    <row r="3344" spans="31:36">
      <c r="AE3344" s="15" t="str">
        <f t="shared" si="0"/>
        <v/>
      </c>
      <c r="AF3344" s="15" t="str">
        <f t="shared" si="1"/>
        <v/>
      </c>
      <c r="AG3344" s="15" t="str">
        <f>IF(OR(AF3344="",AF3344="ERRO_CHAVE"),"",IFERROR(MATCH(AF3344,'quitado Despesa'!$V$1:$V$12,0),""))</f>
        <v/>
      </c>
      <c r="AH3344" s="15" t="str">
        <f t="shared" si="2"/>
        <v/>
      </c>
      <c r="AI3344" s="17" t="str">
        <f>IF(AG3344="","",INDEX('quitado Despesa'!$G$1:$G$12,AG3344))</f>
        <v/>
      </c>
      <c r="AJ3344" s="17" t="str">
        <f t="shared" si="3"/>
        <v/>
      </c>
    </row>
    <row r="3345" spans="31:36">
      <c r="AE3345" s="15" t="str">
        <f t="shared" si="0"/>
        <v/>
      </c>
      <c r="AF3345" s="15" t="str">
        <f t="shared" si="1"/>
        <v/>
      </c>
      <c r="AG3345" s="15" t="str">
        <f>IF(OR(AF3345="",AF3345="ERRO_CHAVE"),"",IFERROR(MATCH(AF3345,'quitado Despesa'!$V$1:$V$12,0),""))</f>
        <v/>
      </c>
      <c r="AH3345" s="15" t="str">
        <f t="shared" si="2"/>
        <v/>
      </c>
      <c r="AI3345" s="17" t="str">
        <f>IF(AG3345="","",INDEX('quitado Despesa'!$G$1:$G$12,AG3345))</f>
        <v/>
      </c>
      <c r="AJ3345" s="17" t="str">
        <f t="shared" si="3"/>
        <v/>
      </c>
    </row>
    <row r="3346" spans="31:36">
      <c r="AE3346" s="15" t="str">
        <f t="shared" si="0"/>
        <v/>
      </c>
      <c r="AF3346" s="15" t="str">
        <f t="shared" si="1"/>
        <v/>
      </c>
      <c r="AG3346" s="15" t="str">
        <f>IF(OR(AF3346="",AF3346="ERRO_CHAVE"),"",IFERROR(MATCH(AF3346,'quitado Despesa'!$V$1:$V$12,0),""))</f>
        <v/>
      </c>
      <c r="AH3346" s="15" t="str">
        <f t="shared" si="2"/>
        <v/>
      </c>
      <c r="AI3346" s="17" t="str">
        <f>IF(AG3346="","",INDEX('quitado Despesa'!$G$1:$G$12,AG3346))</f>
        <v/>
      </c>
      <c r="AJ3346" s="17" t="str">
        <f t="shared" si="3"/>
        <v/>
      </c>
    </row>
    <row r="3347" spans="31:36">
      <c r="AE3347" s="15" t="str">
        <f t="shared" si="0"/>
        <v/>
      </c>
      <c r="AF3347" s="15" t="str">
        <f t="shared" si="1"/>
        <v/>
      </c>
      <c r="AG3347" s="15" t="str">
        <f>IF(OR(AF3347="",AF3347="ERRO_CHAVE"),"",IFERROR(MATCH(AF3347,'quitado Despesa'!$V$1:$V$12,0),""))</f>
        <v/>
      </c>
      <c r="AH3347" s="15" t="str">
        <f t="shared" si="2"/>
        <v/>
      </c>
      <c r="AI3347" s="17" t="str">
        <f>IF(AG3347="","",INDEX('quitado Despesa'!$G$1:$G$12,AG3347))</f>
        <v/>
      </c>
      <c r="AJ3347" s="17" t="str">
        <f t="shared" si="3"/>
        <v/>
      </c>
    </row>
    <row r="3348" spans="31:36">
      <c r="AE3348" s="15" t="str">
        <f t="shared" si="0"/>
        <v/>
      </c>
      <c r="AF3348" s="15" t="str">
        <f t="shared" si="1"/>
        <v/>
      </c>
      <c r="AG3348" s="15" t="str">
        <f>IF(OR(AF3348="",AF3348="ERRO_CHAVE"),"",IFERROR(MATCH(AF3348,'quitado Despesa'!$V$1:$V$12,0),""))</f>
        <v/>
      </c>
      <c r="AH3348" s="15" t="str">
        <f t="shared" si="2"/>
        <v/>
      </c>
      <c r="AI3348" s="17" t="str">
        <f>IF(AG3348="","",INDEX('quitado Despesa'!$G$1:$G$12,AG3348))</f>
        <v/>
      </c>
      <c r="AJ3348" s="17" t="str">
        <f t="shared" si="3"/>
        <v/>
      </c>
    </row>
    <row r="3349" spans="31:36">
      <c r="AE3349" s="15" t="str">
        <f t="shared" si="0"/>
        <v/>
      </c>
      <c r="AF3349" s="15" t="str">
        <f t="shared" si="1"/>
        <v/>
      </c>
      <c r="AG3349" s="15" t="str">
        <f>IF(OR(AF3349="",AF3349="ERRO_CHAVE"),"",IFERROR(MATCH(AF3349,'quitado Despesa'!$V$1:$V$12,0),""))</f>
        <v/>
      </c>
      <c r="AH3349" s="15" t="str">
        <f t="shared" si="2"/>
        <v/>
      </c>
      <c r="AI3349" s="17" t="str">
        <f>IF(AG3349="","",INDEX('quitado Despesa'!$G$1:$G$12,AG3349))</f>
        <v/>
      </c>
      <c r="AJ3349" s="17" t="str">
        <f t="shared" si="3"/>
        <v/>
      </c>
    </row>
    <row r="3350" spans="31:36">
      <c r="AE3350" s="15" t="str">
        <f t="shared" si="0"/>
        <v/>
      </c>
      <c r="AF3350" s="15" t="str">
        <f t="shared" si="1"/>
        <v/>
      </c>
      <c r="AG3350" s="15" t="str">
        <f>IF(OR(AF3350="",AF3350="ERRO_CHAVE"),"",IFERROR(MATCH(AF3350,'quitado Despesa'!$V$1:$V$12,0),""))</f>
        <v/>
      </c>
      <c r="AH3350" s="15" t="str">
        <f t="shared" si="2"/>
        <v/>
      </c>
      <c r="AI3350" s="17" t="str">
        <f>IF(AG3350="","",INDEX('quitado Despesa'!$G$1:$G$12,AG3350))</f>
        <v/>
      </c>
      <c r="AJ3350" s="17" t="str">
        <f t="shared" si="3"/>
        <v/>
      </c>
    </row>
    <row r="3351" spans="31:36">
      <c r="AE3351" s="15" t="str">
        <f t="shared" si="0"/>
        <v/>
      </c>
      <c r="AF3351" s="15" t="str">
        <f t="shared" si="1"/>
        <v/>
      </c>
      <c r="AG3351" s="15" t="str">
        <f>IF(OR(AF3351="",AF3351="ERRO_CHAVE"),"",IFERROR(MATCH(AF3351,'quitado Despesa'!$V$1:$V$12,0),""))</f>
        <v/>
      </c>
      <c r="AH3351" s="15" t="str">
        <f t="shared" si="2"/>
        <v/>
      </c>
      <c r="AI3351" s="17" t="str">
        <f>IF(AG3351="","",INDEX('quitado Despesa'!$G$1:$G$12,AG3351))</f>
        <v/>
      </c>
      <c r="AJ3351" s="17" t="str">
        <f t="shared" si="3"/>
        <v/>
      </c>
    </row>
    <row r="3352" spans="31:36">
      <c r="AE3352" s="15" t="str">
        <f t="shared" si="0"/>
        <v/>
      </c>
      <c r="AF3352" s="15" t="str">
        <f t="shared" si="1"/>
        <v/>
      </c>
      <c r="AG3352" s="15" t="str">
        <f>IF(OR(AF3352="",AF3352="ERRO_CHAVE"),"",IFERROR(MATCH(AF3352,'quitado Despesa'!$V$1:$V$12,0),""))</f>
        <v/>
      </c>
      <c r="AH3352" s="15" t="str">
        <f t="shared" si="2"/>
        <v/>
      </c>
      <c r="AI3352" s="17" t="str">
        <f>IF(AG3352="","",INDEX('quitado Despesa'!$G$1:$G$12,AG3352))</f>
        <v/>
      </c>
      <c r="AJ3352" s="17" t="str">
        <f t="shared" si="3"/>
        <v/>
      </c>
    </row>
    <row r="3353" spans="31:36">
      <c r="AE3353" s="15" t="str">
        <f t="shared" si="0"/>
        <v/>
      </c>
      <c r="AF3353" s="15" t="str">
        <f t="shared" si="1"/>
        <v/>
      </c>
      <c r="AG3353" s="15" t="str">
        <f>IF(OR(AF3353="",AF3353="ERRO_CHAVE"),"",IFERROR(MATCH(AF3353,'quitado Despesa'!$V$1:$V$12,0),""))</f>
        <v/>
      </c>
      <c r="AH3353" s="15" t="str">
        <f t="shared" si="2"/>
        <v/>
      </c>
      <c r="AI3353" s="17" t="str">
        <f>IF(AG3353="","",INDEX('quitado Despesa'!$G$1:$G$12,AG3353))</f>
        <v/>
      </c>
      <c r="AJ3353" s="17" t="str">
        <f t="shared" si="3"/>
        <v/>
      </c>
    </row>
    <row r="3354" spans="31:36">
      <c r="AE3354" s="15" t="str">
        <f t="shared" si="0"/>
        <v/>
      </c>
      <c r="AF3354" s="15" t="str">
        <f t="shared" si="1"/>
        <v/>
      </c>
      <c r="AG3354" s="15" t="str">
        <f>IF(OR(AF3354="",AF3354="ERRO_CHAVE"),"",IFERROR(MATCH(AF3354,'quitado Despesa'!$V$1:$V$12,0),""))</f>
        <v/>
      </c>
      <c r="AH3354" s="15" t="str">
        <f t="shared" si="2"/>
        <v/>
      </c>
      <c r="AI3354" s="17" t="str">
        <f>IF(AG3354="","",INDEX('quitado Despesa'!$G$1:$G$12,AG3354))</f>
        <v/>
      </c>
      <c r="AJ3354" s="17" t="str">
        <f t="shared" si="3"/>
        <v/>
      </c>
    </row>
    <row r="3355" spans="31:36">
      <c r="AE3355" s="15" t="str">
        <f t="shared" si="0"/>
        <v/>
      </c>
      <c r="AF3355" s="15" t="str">
        <f t="shared" si="1"/>
        <v/>
      </c>
      <c r="AG3355" s="15" t="str">
        <f>IF(OR(AF3355="",AF3355="ERRO_CHAVE"),"",IFERROR(MATCH(AF3355,'quitado Despesa'!$V$1:$V$12,0),""))</f>
        <v/>
      </c>
      <c r="AH3355" s="15" t="str">
        <f t="shared" si="2"/>
        <v/>
      </c>
      <c r="AI3355" s="17" t="str">
        <f>IF(AG3355="","",INDEX('quitado Despesa'!$G$1:$G$12,AG3355))</f>
        <v/>
      </c>
      <c r="AJ3355" s="17" t="str">
        <f t="shared" si="3"/>
        <v/>
      </c>
    </row>
    <row r="3356" spans="31:36">
      <c r="AE3356" s="15" t="str">
        <f t="shared" si="0"/>
        <v/>
      </c>
      <c r="AF3356" s="15" t="str">
        <f t="shared" si="1"/>
        <v/>
      </c>
      <c r="AG3356" s="15" t="str">
        <f>IF(OR(AF3356="",AF3356="ERRO_CHAVE"),"",IFERROR(MATCH(AF3356,'quitado Despesa'!$V$1:$V$12,0),""))</f>
        <v/>
      </c>
      <c r="AH3356" s="15" t="str">
        <f t="shared" si="2"/>
        <v/>
      </c>
      <c r="AI3356" s="17" t="str">
        <f>IF(AG3356="","",INDEX('quitado Despesa'!$G$1:$G$12,AG3356))</f>
        <v/>
      </c>
      <c r="AJ3356" s="17" t="str">
        <f t="shared" si="3"/>
        <v/>
      </c>
    </row>
    <row r="3357" spans="31:36">
      <c r="AE3357" s="15" t="str">
        <f t="shared" si="0"/>
        <v/>
      </c>
      <c r="AF3357" s="15" t="str">
        <f t="shared" si="1"/>
        <v/>
      </c>
      <c r="AG3357" s="15" t="str">
        <f>IF(OR(AF3357="",AF3357="ERRO_CHAVE"),"",IFERROR(MATCH(AF3357,'quitado Despesa'!$V$1:$V$12,0),""))</f>
        <v/>
      </c>
      <c r="AH3357" s="15" t="str">
        <f t="shared" si="2"/>
        <v/>
      </c>
      <c r="AI3357" s="17" t="str">
        <f>IF(AG3357="","",INDEX('quitado Despesa'!$G$1:$G$12,AG3357))</f>
        <v/>
      </c>
      <c r="AJ3357" s="17" t="str">
        <f t="shared" si="3"/>
        <v/>
      </c>
    </row>
    <row r="3358" spans="31:36">
      <c r="AE3358" s="15" t="str">
        <f t="shared" si="0"/>
        <v/>
      </c>
      <c r="AF3358" s="15" t="str">
        <f t="shared" si="1"/>
        <v/>
      </c>
      <c r="AG3358" s="15" t="str">
        <f>IF(OR(AF3358="",AF3358="ERRO_CHAVE"),"",IFERROR(MATCH(AF3358,'quitado Despesa'!$V$1:$V$12,0),""))</f>
        <v/>
      </c>
      <c r="AH3358" s="15" t="str">
        <f t="shared" si="2"/>
        <v/>
      </c>
      <c r="AI3358" s="17" t="str">
        <f>IF(AG3358="","",INDEX('quitado Despesa'!$G$1:$G$12,AG3358))</f>
        <v/>
      </c>
      <c r="AJ3358" s="17" t="str">
        <f t="shared" si="3"/>
        <v/>
      </c>
    </row>
    <row r="3359" spans="31:36">
      <c r="AE3359" s="15" t="str">
        <f t="shared" si="0"/>
        <v/>
      </c>
      <c r="AF3359" s="15" t="str">
        <f t="shared" si="1"/>
        <v/>
      </c>
      <c r="AG3359" s="15" t="str">
        <f>IF(OR(AF3359="",AF3359="ERRO_CHAVE"),"",IFERROR(MATCH(AF3359,'quitado Despesa'!$V$1:$V$12,0),""))</f>
        <v/>
      </c>
      <c r="AH3359" s="15" t="str">
        <f t="shared" si="2"/>
        <v/>
      </c>
      <c r="AI3359" s="17" t="str">
        <f>IF(AG3359="","",INDEX('quitado Despesa'!$G$1:$G$12,AG3359))</f>
        <v/>
      </c>
      <c r="AJ3359" s="17" t="str">
        <f t="shared" si="3"/>
        <v/>
      </c>
    </row>
    <row r="3360" spans="31:36">
      <c r="AE3360" s="15" t="str">
        <f t="shared" si="0"/>
        <v/>
      </c>
      <c r="AF3360" s="15" t="str">
        <f t="shared" si="1"/>
        <v/>
      </c>
      <c r="AG3360" s="15" t="str">
        <f>IF(OR(AF3360="",AF3360="ERRO_CHAVE"),"",IFERROR(MATCH(AF3360,'quitado Despesa'!$V$1:$V$12,0),""))</f>
        <v/>
      </c>
      <c r="AH3360" s="15" t="str">
        <f t="shared" si="2"/>
        <v/>
      </c>
      <c r="AI3360" s="17" t="str">
        <f>IF(AG3360="","",INDEX('quitado Despesa'!$G$1:$G$12,AG3360))</f>
        <v/>
      </c>
      <c r="AJ3360" s="17" t="str">
        <f t="shared" si="3"/>
        <v/>
      </c>
    </row>
    <row r="3361" spans="31:36">
      <c r="AE3361" s="15" t="str">
        <f t="shared" si="0"/>
        <v/>
      </c>
      <c r="AF3361" s="15" t="str">
        <f t="shared" si="1"/>
        <v/>
      </c>
      <c r="AG3361" s="15" t="str">
        <f>IF(OR(AF3361="",AF3361="ERRO_CHAVE"),"",IFERROR(MATCH(AF3361,'quitado Despesa'!$V$1:$V$12,0),""))</f>
        <v/>
      </c>
      <c r="AH3361" s="15" t="str">
        <f t="shared" si="2"/>
        <v/>
      </c>
      <c r="AI3361" s="17" t="str">
        <f>IF(AG3361="","",INDEX('quitado Despesa'!$G$1:$G$12,AG3361))</f>
        <v/>
      </c>
      <c r="AJ3361" s="17" t="str">
        <f t="shared" si="3"/>
        <v/>
      </c>
    </row>
    <row r="3362" spans="31:36">
      <c r="AE3362" s="15" t="str">
        <f t="shared" si="0"/>
        <v/>
      </c>
      <c r="AF3362" s="15" t="str">
        <f t="shared" si="1"/>
        <v/>
      </c>
      <c r="AG3362" s="15" t="str">
        <f>IF(OR(AF3362="",AF3362="ERRO_CHAVE"),"",IFERROR(MATCH(AF3362,'quitado Despesa'!$V$1:$V$12,0),""))</f>
        <v/>
      </c>
      <c r="AH3362" s="15" t="str">
        <f t="shared" si="2"/>
        <v/>
      </c>
      <c r="AI3362" s="17" t="str">
        <f>IF(AG3362="","",INDEX('quitado Despesa'!$G$1:$G$12,AG3362))</f>
        <v/>
      </c>
      <c r="AJ3362" s="17" t="str">
        <f t="shared" si="3"/>
        <v/>
      </c>
    </row>
    <row r="3363" spans="31:36">
      <c r="AE3363" s="15" t="str">
        <f t="shared" si="0"/>
        <v/>
      </c>
      <c r="AF3363" s="15" t="str">
        <f t="shared" si="1"/>
        <v/>
      </c>
      <c r="AG3363" s="15" t="str">
        <f>IF(OR(AF3363="",AF3363="ERRO_CHAVE"),"",IFERROR(MATCH(AF3363,'quitado Despesa'!$V$1:$V$12,0),""))</f>
        <v/>
      </c>
      <c r="AH3363" s="15" t="str">
        <f t="shared" si="2"/>
        <v/>
      </c>
      <c r="AI3363" s="17" t="str">
        <f>IF(AG3363="","",INDEX('quitado Despesa'!$G$1:$G$12,AG3363))</f>
        <v/>
      </c>
      <c r="AJ3363" s="17" t="str">
        <f t="shared" si="3"/>
        <v/>
      </c>
    </row>
    <row r="3364" spans="31:36">
      <c r="AE3364" s="15" t="str">
        <f t="shared" si="0"/>
        <v/>
      </c>
      <c r="AF3364" s="15" t="str">
        <f t="shared" si="1"/>
        <v/>
      </c>
      <c r="AG3364" s="15" t="str">
        <f>IF(OR(AF3364="",AF3364="ERRO_CHAVE"),"",IFERROR(MATCH(AF3364,'quitado Despesa'!$V$1:$V$12,0),""))</f>
        <v/>
      </c>
      <c r="AH3364" s="15" t="str">
        <f t="shared" si="2"/>
        <v/>
      </c>
      <c r="AI3364" s="17" t="str">
        <f>IF(AG3364="","",INDEX('quitado Despesa'!$G$1:$G$12,AG3364))</f>
        <v/>
      </c>
      <c r="AJ3364" s="17" t="str">
        <f t="shared" si="3"/>
        <v/>
      </c>
    </row>
    <row r="3365" spans="31:36">
      <c r="AE3365" s="15" t="str">
        <f t="shared" si="0"/>
        <v/>
      </c>
      <c r="AF3365" s="15" t="str">
        <f t="shared" si="1"/>
        <v/>
      </c>
      <c r="AG3365" s="15" t="str">
        <f>IF(OR(AF3365="",AF3365="ERRO_CHAVE"),"",IFERROR(MATCH(AF3365,'quitado Despesa'!$V$1:$V$12,0),""))</f>
        <v/>
      </c>
      <c r="AH3365" s="15" t="str">
        <f t="shared" si="2"/>
        <v/>
      </c>
      <c r="AI3365" s="17" t="str">
        <f>IF(AG3365="","",INDEX('quitado Despesa'!$G$1:$G$12,AG3365))</f>
        <v/>
      </c>
      <c r="AJ3365" s="17" t="str">
        <f t="shared" si="3"/>
        <v/>
      </c>
    </row>
    <row r="3366" spans="31:36">
      <c r="AE3366" s="15" t="str">
        <f t="shared" si="0"/>
        <v/>
      </c>
      <c r="AF3366" s="15" t="str">
        <f t="shared" si="1"/>
        <v/>
      </c>
      <c r="AG3366" s="15" t="str">
        <f>IF(OR(AF3366="",AF3366="ERRO_CHAVE"),"",IFERROR(MATCH(AF3366,'quitado Despesa'!$V$1:$V$12,0),""))</f>
        <v/>
      </c>
      <c r="AH3366" s="15" t="str">
        <f t="shared" si="2"/>
        <v/>
      </c>
      <c r="AI3366" s="17" t="str">
        <f>IF(AG3366="","",INDEX('quitado Despesa'!$G$1:$G$12,AG3366))</f>
        <v/>
      </c>
      <c r="AJ3366" s="17" t="str">
        <f t="shared" si="3"/>
        <v/>
      </c>
    </row>
    <row r="3367" spans="31:36">
      <c r="AE3367" s="15" t="str">
        <f t="shared" si="0"/>
        <v/>
      </c>
      <c r="AF3367" s="15" t="str">
        <f t="shared" si="1"/>
        <v/>
      </c>
      <c r="AG3367" s="15" t="str">
        <f>IF(OR(AF3367="",AF3367="ERRO_CHAVE"),"",IFERROR(MATCH(AF3367,'quitado Despesa'!$V$1:$V$12,0),""))</f>
        <v/>
      </c>
      <c r="AH3367" s="15" t="str">
        <f t="shared" si="2"/>
        <v/>
      </c>
      <c r="AI3367" s="17" t="str">
        <f>IF(AG3367="","",INDEX('quitado Despesa'!$G$1:$G$12,AG3367))</f>
        <v/>
      </c>
      <c r="AJ3367" s="17" t="str">
        <f t="shared" si="3"/>
        <v/>
      </c>
    </row>
    <row r="3368" spans="31:36">
      <c r="AE3368" s="15" t="str">
        <f t="shared" si="0"/>
        <v/>
      </c>
      <c r="AF3368" s="15" t="str">
        <f t="shared" si="1"/>
        <v/>
      </c>
      <c r="AG3368" s="15" t="str">
        <f>IF(OR(AF3368="",AF3368="ERRO_CHAVE"),"",IFERROR(MATCH(AF3368,'quitado Despesa'!$V$1:$V$12,0),""))</f>
        <v/>
      </c>
      <c r="AH3368" s="15" t="str">
        <f t="shared" si="2"/>
        <v/>
      </c>
      <c r="AI3368" s="17" t="str">
        <f>IF(AG3368="","",INDEX('quitado Despesa'!$G$1:$G$12,AG3368))</f>
        <v/>
      </c>
      <c r="AJ3368" s="17" t="str">
        <f t="shared" si="3"/>
        <v/>
      </c>
    </row>
    <row r="3369" spans="31:36">
      <c r="AE3369" s="15" t="str">
        <f t="shared" si="0"/>
        <v/>
      </c>
      <c r="AF3369" s="15" t="str">
        <f t="shared" si="1"/>
        <v/>
      </c>
      <c r="AG3369" s="15" t="str">
        <f>IF(OR(AF3369="",AF3369="ERRO_CHAVE"),"",IFERROR(MATCH(AF3369,'quitado Despesa'!$V$1:$V$12,0),""))</f>
        <v/>
      </c>
      <c r="AH3369" s="15" t="str">
        <f t="shared" si="2"/>
        <v/>
      </c>
      <c r="AI3369" s="17" t="str">
        <f>IF(AG3369="","",INDEX('quitado Despesa'!$G$1:$G$12,AG3369))</f>
        <v/>
      </c>
      <c r="AJ3369" s="17" t="str">
        <f t="shared" si="3"/>
        <v/>
      </c>
    </row>
    <row r="3370" spans="31:36">
      <c r="AE3370" s="15" t="str">
        <f t="shared" si="0"/>
        <v/>
      </c>
      <c r="AF3370" s="15" t="str">
        <f t="shared" si="1"/>
        <v/>
      </c>
      <c r="AG3370" s="15" t="str">
        <f>IF(OR(AF3370="",AF3370="ERRO_CHAVE"),"",IFERROR(MATCH(AF3370,'quitado Despesa'!$V$1:$V$12,0),""))</f>
        <v/>
      </c>
      <c r="AH3370" s="15" t="str">
        <f t="shared" si="2"/>
        <v/>
      </c>
      <c r="AI3370" s="17" t="str">
        <f>IF(AG3370="","",INDEX('quitado Despesa'!$G$1:$G$12,AG3370))</f>
        <v/>
      </c>
      <c r="AJ3370" s="17" t="str">
        <f t="shared" si="3"/>
        <v/>
      </c>
    </row>
    <row r="3371" spans="31:36">
      <c r="AE3371" s="15" t="str">
        <f t="shared" si="0"/>
        <v/>
      </c>
      <c r="AF3371" s="15" t="str">
        <f t="shared" si="1"/>
        <v/>
      </c>
      <c r="AG3371" s="15" t="str">
        <f>IF(OR(AF3371="",AF3371="ERRO_CHAVE"),"",IFERROR(MATCH(AF3371,'quitado Despesa'!$V$1:$V$12,0),""))</f>
        <v/>
      </c>
      <c r="AH3371" s="15" t="str">
        <f t="shared" si="2"/>
        <v/>
      </c>
      <c r="AI3371" s="17" t="str">
        <f>IF(AG3371="","",INDEX('quitado Despesa'!$G$1:$G$12,AG3371))</f>
        <v/>
      </c>
      <c r="AJ3371" s="17" t="str">
        <f t="shared" si="3"/>
        <v/>
      </c>
    </row>
    <row r="3372" spans="31:36">
      <c r="AE3372" s="15" t="str">
        <f t="shared" si="0"/>
        <v/>
      </c>
      <c r="AF3372" s="15" t="str">
        <f t="shared" si="1"/>
        <v/>
      </c>
      <c r="AG3372" s="15" t="str">
        <f>IF(OR(AF3372="",AF3372="ERRO_CHAVE"),"",IFERROR(MATCH(AF3372,'quitado Despesa'!$V$1:$V$12,0),""))</f>
        <v/>
      </c>
      <c r="AH3372" s="15" t="str">
        <f t="shared" si="2"/>
        <v/>
      </c>
      <c r="AI3372" s="17" t="str">
        <f>IF(AG3372="","",INDEX('quitado Despesa'!$G$1:$G$12,AG3372))</f>
        <v/>
      </c>
      <c r="AJ3372" s="17" t="str">
        <f t="shared" si="3"/>
        <v/>
      </c>
    </row>
    <row r="3373" spans="31:36">
      <c r="AE3373" s="15" t="str">
        <f t="shared" si="0"/>
        <v/>
      </c>
      <c r="AF3373" s="15" t="str">
        <f t="shared" si="1"/>
        <v/>
      </c>
      <c r="AG3373" s="15" t="str">
        <f>IF(OR(AF3373="",AF3373="ERRO_CHAVE"),"",IFERROR(MATCH(AF3373,'quitado Despesa'!$V$1:$V$12,0),""))</f>
        <v/>
      </c>
      <c r="AH3373" s="15" t="str">
        <f t="shared" si="2"/>
        <v/>
      </c>
      <c r="AI3373" s="17" t="str">
        <f>IF(AG3373="","",INDEX('quitado Despesa'!$G$1:$G$12,AG3373))</f>
        <v/>
      </c>
      <c r="AJ3373" s="17" t="str">
        <f t="shared" si="3"/>
        <v/>
      </c>
    </row>
    <row r="3374" spans="31:36">
      <c r="AE3374" s="15" t="str">
        <f t="shared" si="0"/>
        <v/>
      </c>
      <c r="AF3374" s="15" t="str">
        <f t="shared" si="1"/>
        <v/>
      </c>
      <c r="AG3374" s="15" t="str">
        <f>IF(OR(AF3374="",AF3374="ERRO_CHAVE"),"",IFERROR(MATCH(AF3374,'quitado Despesa'!$V$1:$V$12,0),""))</f>
        <v/>
      </c>
      <c r="AH3374" s="15" t="str">
        <f t="shared" si="2"/>
        <v/>
      </c>
      <c r="AI3374" s="17" t="str">
        <f>IF(AG3374="","",INDEX('quitado Despesa'!$G$1:$G$12,AG3374))</f>
        <v/>
      </c>
      <c r="AJ3374" s="17" t="str">
        <f t="shared" si="3"/>
        <v/>
      </c>
    </row>
    <row r="3375" spans="31:36">
      <c r="AE3375" s="15" t="str">
        <f t="shared" si="0"/>
        <v/>
      </c>
      <c r="AF3375" s="15" t="str">
        <f t="shared" si="1"/>
        <v/>
      </c>
      <c r="AG3375" s="15" t="str">
        <f>IF(OR(AF3375="",AF3375="ERRO_CHAVE"),"",IFERROR(MATCH(AF3375,'quitado Despesa'!$V$1:$V$12,0),""))</f>
        <v/>
      </c>
      <c r="AH3375" s="15" t="str">
        <f t="shared" si="2"/>
        <v/>
      </c>
      <c r="AI3375" s="17" t="str">
        <f>IF(AG3375="","",INDEX('quitado Despesa'!$G$1:$G$12,AG3375))</f>
        <v/>
      </c>
      <c r="AJ3375" s="17" t="str">
        <f t="shared" si="3"/>
        <v/>
      </c>
    </row>
    <row r="3376" spans="31:36">
      <c r="AE3376" s="15" t="str">
        <f t="shared" si="0"/>
        <v/>
      </c>
      <c r="AF3376" s="15" t="str">
        <f t="shared" si="1"/>
        <v/>
      </c>
      <c r="AG3376" s="15" t="str">
        <f>IF(OR(AF3376="",AF3376="ERRO_CHAVE"),"",IFERROR(MATCH(AF3376,'quitado Despesa'!$V$1:$V$12,0),""))</f>
        <v/>
      </c>
      <c r="AH3376" s="15" t="str">
        <f t="shared" si="2"/>
        <v/>
      </c>
      <c r="AI3376" s="17" t="str">
        <f>IF(AG3376="","",INDEX('quitado Despesa'!$G$1:$G$12,AG3376))</f>
        <v/>
      </c>
      <c r="AJ3376" s="17" t="str">
        <f t="shared" si="3"/>
        <v/>
      </c>
    </row>
    <row r="3377" spans="31:36">
      <c r="AE3377" s="15" t="str">
        <f t="shared" si="0"/>
        <v/>
      </c>
      <c r="AF3377" s="15" t="str">
        <f t="shared" si="1"/>
        <v/>
      </c>
      <c r="AG3377" s="15" t="str">
        <f>IF(OR(AF3377="",AF3377="ERRO_CHAVE"),"",IFERROR(MATCH(AF3377,'quitado Despesa'!$V$1:$V$12,0),""))</f>
        <v/>
      </c>
      <c r="AH3377" s="15" t="str">
        <f t="shared" si="2"/>
        <v/>
      </c>
      <c r="AI3377" s="17" t="str">
        <f>IF(AG3377="","",INDEX('quitado Despesa'!$G$1:$G$12,AG3377))</f>
        <v/>
      </c>
      <c r="AJ3377" s="17" t="str">
        <f t="shared" si="3"/>
        <v/>
      </c>
    </row>
    <row r="3378" spans="31:36">
      <c r="AE3378" s="15" t="str">
        <f t="shared" si="0"/>
        <v/>
      </c>
      <c r="AF3378" s="15" t="str">
        <f t="shared" si="1"/>
        <v/>
      </c>
      <c r="AG3378" s="15" t="str">
        <f>IF(OR(AF3378="",AF3378="ERRO_CHAVE"),"",IFERROR(MATCH(AF3378,'quitado Despesa'!$V$1:$V$12,0),""))</f>
        <v/>
      </c>
      <c r="AH3378" s="15" t="str">
        <f t="shared" si="2"/>
        <v/>
      </c>
      <c r="AI3378" s="17" t="str">
        <f>IF(AG3378="","",INDEX('quitado Despesa'!$G$1:$G$12,AG3378))</f>
        <v/>
      </c>
      <c r="AJ3378" s="17" t="str">
        <f t="shared" si="3"/>
        <v/>
      </c>
    </row>
    <row r="3379" spans="31:36">
      <c r="AE3379" s="15" t="str">
        <f t="shared" si="0"/>
        <v/>
      </c>
      <c r="AF3379" s="15" t="str">
        <f t="shared" si="1"/>
        <v/>
      </c>
      <c r="AG3379" s="15" t="str">
        <f>IF(OR(AF3379="",AF3379="ERRO_CHAVE"),"",IFERROR(MATCH(AF3379,'quitado Despesa'!$V$1:$V$12,0),""))</f>
        <v/>
      </c>
      <c r="AH3379" s="15" t="str">
        <f t="shared" si="2"/>
        <v/>
      </c>
      <c r="AI3379" s="17" t="str">
        <f>IF(AG3379="","",INDEX('quitado Despesa'!$G$1:$G$12,AG3379))</f>
        <v/>
      </c>
      <c r="AJ3379" s="17" t="str">
        <f t="shared" si="3"/>
        <v/>
      </c>
    </row>
    <row r="3380" spans="31:36">
      <c r="AE3380" s="15" t="str">
        <f t="shared" si="0"/>
        <v/>
      </c>
      <c r="AF3380" s="15" t="str">
        <f t="shared" si="1"/>
        <v/>
      </c>
      <c r="AG3380" s="15" t="str">
        <f>IF(OR(AF3380="",AF3380="ERRO_CHAVE"),"",IFERROR(MATCH(AF3380,'quitado Despesa'!$V$1:$V$12,0),""))</f>
        <v/>
      </c>
      <c r="AH3380" s="15" t="str">
        <f t="shared" si="2"/>
        <v/>
      </c>
      <c r="AI3380" s="17" t="str">
        <f>IF(AG3380="","",INDEX('quitado Despesa'!$G$1:$G$12,AG3380))</f>
        <v/>
      </c>
      <c r="AJ3380" s="17" t="str">
        <f t="shared" si="3"/>
        <v/>
      </c>
    </row>
    <row r="3381" spans="31:36">
      <c r="AE3381" s="15" t="str">
        <f t="shared" si="0"/>
        <v/>
      </c>
      <c r="AF3381" s="15" t="str">
        <f t="shared" si="1"/>
        <v/>
      </c>
      <c r="AG3381" s="15" t="str">
        <f>IF(OR(AF3381="",AF3381="ERRO_CHAVE"),"",IFERROR(MATCH(AF3381,'quitado Despesa'!$V$1:$V$12,0),""))</f>
        <v/>
      </c>
      <c r="AH3381" s="15" t="str">
        <f t="shared" si="2"/>
        <v/>
      </c>
      <c r="AI3381" s="17" t="str">
        <f>IF(AG3381="","",INDEX('quitado Despesa'!$G$1:$G$12,AG3381))</f>
        <v/>
      </c>
      <c r="AJ3381" s="17" t="str">
        <f t="shared" si="3"/>
        <v/>
      </c>
    </row>
    <row r="3382" spans="31:36">
      <c r="AE3382" s="15" t="str">
        <f t="shared" si="0"/>
        <v/>
      </c>
      <c r="AF3382" s="15" t="str">
        <f t="shared" si="1"/>
        <v/>
      </c>
      <c r="AG3382" s="15" t="str">
        <f>IF(OR(AF3382="",AF3382="ERRO_CHAVE"),"",IFERROR(MATCH(AF3382,'quitado Despesa'!$V$1:$V$12,0),""))</f>
        <v/>
      </c>
      <c r="AH3382" s="15" t="str">
        <f t="shared" si="2"/>
        <v/>
      </c>
      <c r="AI3382" s="17" t="str">
        <f>IF(AG3382="","",INDEX('quitado Despesa'!$G$1:$G$12,AG3382))</f>
        <v/>
      </c>
      <c r="AJ3382" s="17" t="str">
        <f t="shared" si="3"/>
        <v/>
      </c>
    </row>
    <row r="3383" spans="31:36">
      <c r="AE3383" s="15" t="str">
        <f t="shared" si="0"/>
        <v/>
      </c>
      <c r="AF3383" s="15" t="str">
        <f t="shared" si="1"/>
        <v/>
      </c>
      <c r="AG3383" s="15" t="str">
        <f>IF(OR(AF3383="",AF3383="ERRO_CHAVE"),"",IFERROR(MATCH(AF3383,'quitado Despesa'!$V$1:$V$12,0),""))</f>
        <v/>
      </c>
      <c r="AH3383" s="15" t="str">
        <f t="shared" si="2"/>
        <v/>
      </c>
      <c r="AI3383" s="17" t="str">
        <f>IF(AG3383="","",INDEX('quitado Despesa'!$G$1:$G$12,AG3383))</f>
        <v/>
      </c>
      <c r="AJ3383" s="17" t="str">
        <f t="shared" si="3"/>
        <v/>
      </c>
    </row>
    <row r="3384" spans="31:36">
      <c r="AE3384" s="15" t="str">
        <f t="shared" si="0"/>
        <v/>
      </c>
      <c r="AF3384" s="15" t="str">
        <f t="shared" si="1"/>
        <v/>
      </c>
      <c r="AG3384" s="15" t="str">
        <f>IF(OR(AF3384="",AF3384="ERRO_CHAVE"),"",IFERROR(MATCH(AF3384,'quitado Despesa'!$V$1:$V$12,0),""))</f>
        <v/>
      </c>
      <c r="AH3384" s="15" t="str">
        <f t="shared" si="2"/>
        <v/>
      </c>
      <c r="AI3384" s="17" t="str">
        <f>IF(AG3384="","",INDEX('quitado Despesa'!$G$1:$G$12,AG3384))</f>
        <v/>
      </c>
      <c r="AJ3384" s="17" t="str">
        <f t="shared" si="3"/>
        <v/>
      </c>
    </row>
    <row r="3385" spans="31:36">
      <c r="AE3385" s="15" t="str">
        <f t="shared" si="0"/>
        <v/>
      </c>
      <c r="AF3385" s="15" t="str">
        <f t="shared" si="1"/>
        <v/>
      </c>
      <c r="AG3385" s="15" t="str">
        <f>IF(OR(AF3385="",AF3385="ERRO_CHAVE"),"",IFERROR(MATCH(AF3385,'quitado Despesa'!$V$1:$V$12,0),""))</f>
        <v/>
      </c>
      <c r="AH3385" s="15" t="str">
        <f t="shared" si="2"/>
        <v/>
      </c>
      <c r="AI3385" s="17" t="str">
        <f>IF(AG3385="","",INDEX('quitado Despesa'!$G$1:$G$12,AG3385))</f>
        <v/>
      </c>
      <c r="AJ3385" s="17" t="str">
        <f t="shared" si="3"/>
        <v/>
      </c>
    </row>
    <row r="3386" spans="31:36">
      <c r="AE3386" s="15" t="str">
        <f t="shared" si="0"/>
        <v/>
      </c>
      <c r="AF3386" s="15" t="str">
        <f t="shared" si="1"/>
        <v/>
      </c>
      <c r="AG3386" s="15" t="str">
        <f>IF(OR(AF3386="",AF3386="ERRO_CHAVE"),"",IFERROR(MATCH(AF3386,'quitado Despesa'!$V$1:$V$12,0),""))</f>
        <v/>
      </c>
      <c r="AH3386" s="15" t="str">
        <f t="shared" si="2"/>
        <v/>
      </c>
      <c r="AI3386" s="17" t="str">
        <f>IF(AG3386="","",INDEX('quitado Despesa'!$G$1:$G$12,AG3386))</f>
        <v/>
      </c>
      <c r="AJ3386" s="17" t="str">
        <f t="shared" si="3"/>
        <v/>
      </c>
    </row>
    <row r="3387" spans="31:36">
      <c r="AE3387" s="15" t="str">
        <f t="shared" si="0"/>
        <v/>
      </c>
      <c r="AF3387" s="15" t="str">
        <f t="shared" si="1"/>
        <v/>
      </c>
      <c r="AG3387" s="15" t="str">
        <f>IF(OR(AF3387="",AF3387="ERRO_CHAVE"),"",IFERROR(MATCH(AF3387,'quitado Despesa'!$V$1:$V$12,0),""))</f>
        <v/>
      </c>
      <c r="AH3387" s="15" t="str">
        <f t="shared" si="2"/>
        <v/>
      </c>
      <c r="AI3387" s="17" t="str">
        <f>IF(AG3387="","",INDEX('quitado Despesa'!$G$1:$G$12,AG3387))</f>
        <v/>
      </c>
      <c r="AJ3387" s="17" t="str">
        <f t="shared" si="3"/>
        <v/>
      </c>
    </row>
    <row r="3388" spans="31:36">
      <c r="AE3388" s="15" t="str">
        <f t="shared" si="0"/>
        <v/>
      </c>
      <c r="AF3388" s="15" t="str">
        <f t="shared" si="1"/>
        <v/>
      </c>
      <c r="AG3388" s="15" t="str">
        <f>IF(OR(AF3388="",AF3388="ERRO_CHAVE"),"",IFERROR(MATCH(AF3388,'quitado Despesa'!$V$1:$V$12,0),""))</f>
        <v/>
      </c>
      <c r="AH3388" s="15" t="str">
        <f t="shared" si="2"/>
        <v/>
      </c>
      <c r="AI3388" s="17" t="str">
        <f>IF(AG3388="","",INDEX('quitado Despesa'!$G$1:$G$12,AG3388))</f>
        <v/>
      </c>
      <c r="AJ3388" s="17" t="str">
        <f t="shared" si="3"/>
        <v/>
      </c>
    </row>
    <row r="3389" spans="31:36">
      <c r="AE3389" s="15" t="str">
        <f t="shared" si="0"/>
        <v/>
      </c>
      <c r="AF3389" s="15" t="str">
        <f t="shared" si="1"/>
        <v/>
      </c>
      <c r="AG3389" s="15" t="str">
        <f>IF(OR(AF3389="",AF3389="ERRO_CHAVE"),"",IFERROR(MATCH(AF3389,'quitado Despesa'!$V$1:$V$12,0),""))</f>
        <v/>
      </c>
      <c r="AH3389" s="15" t="str">
        <f t="shared" si="2"/>
        <v/>
      </c>
      <c r="AI3389" s="17" t="str">
        <f>IF(AG3389="","",INDEX('quitado Despesa'!$G$1:$G$12,AG3389))</f>
        <v/>
      </c>
      <c r="AJ3389" s="17" t="str">
        <f t="shared" si="3"/>
        <v/>
      </c>
    </row>
    <row r="3390" spans="31:36">
      <c r="AE3390" s="15" t="str">
        <f t="shared" si="0"/>
        <v/>
      </c>
      <c r="AF3390" s="15" t="str">
        <f t="shared" si="1"/>
        <v/>
      </c>
      <c r="AG3390" s="15" t="str">
        <f>IF(OR(AF3390="",AF3390="ERRO_CHAVE"),"",IFERROR(MATCH(AF3390,'quitado Despesa'!$V$1:$V$12,0),""))</f>
        <v/>
      </c>
      <c r="AH3390" s="15" t="str">
        <f t="shared" si="2"/>
        <v/>
      </c>
      <c r="AI3390" s="17" t="str">
        <f>IF(AG3390="","",INDEX('quitado Despesa'!$G$1:$G$12,AG3390))</f>
        <v/>
      </c>
      <c r="AJ3390" s="17" t="str">
        <f t="shared" si="3"/>
        <v/>
      </c>
    </row>
    <row r="3391" spans="31:36">
      <c r="AE3391" s="15" t="str">
        <f t="shared" si="0"/>
        <v/>
      </c>
      <c r="AF3391" s="15" t="str">
        <f t="shared" si="1"/>
        <v/>
      </c>
      <c r="AG3391" s="15" t="str">
        <f>IF(OR(AF3391="",AF3391="ERRO_CHAVE"),"",IFERROR(MATCH(AF3391,'quitado Despesa'!$V$1:$V$12,0),""))</f>
        <v/>
      </c>
      <c r="AH3391" s="15" t="str">
        <f t="shared" si="2"/>
        <v/>
      </c>
      <c r="AI3391" s="17" t="str">
        <f>IF(AG3391="","",INDEX('quitado Despesa'!$G$1:$G$12,AG3391))</f>
        <v/>
      </c>
      <c r="AJ3391" s="17" t="str">
        <f t="shared" si="3"/>
        <v/>
      </c>
    </row>
    <row r="3392" spans="31:36">
      <c r="AE3392" s="15" t="str">
        <f t="shared" si="0"/>
        <v/>
      </c>
      <c r="AF3392" s="15" t="str">
        <f t="shared" si="1"/>
        <v/>
      </c>
      <c r="AG3392" s="15" t="str">
        <f>IF(OR(AF3392="",AF3392="ERRO_CHAVE"),"",IFERROR(MATCH(AF3392,'quitado Despesa'!$V$1:$V$12,0),""))</f>
        <v/>
      </c>
      <c r="AH3392" s="15" t="str">
        <f t="shared" si="2"/>
        <v/>
      </c>
      <c r="AI3392" s="17" t="str">
        <f>IF(AG3392="","",INDEX('quitado Despesa'!$G$1:$G$12,AG3392))</f>
        <v/>
      </c>
      <c r="AJ3392" s="17" t="str">
        <f t="shared" si="3"/>
        <v/>
      </c>
    </row>
    <row r="3393" spans="31:36">
      <c r="AE3393" s="15" t="str">
        <f t="shared" si="0"/>
        <v/>
      </c>
      <c r="AF3393" s="15" t="str">
        <f t="shared" si="1"/>
        <v/>
      </c>
      <c r="AG3393" s="15" t="str">
        <f>IF(OR(AF3393="",AF3393="ERRO_CHAVE"),"",IFERROR(MATCH(AF3393,'quitado Despesa'!$V$1:$V$12,0),""))</f>
        <v/>
      </c>
      <c r="AH3393" s="15" t="str">
        <f t="shared" si="2"/>
        <v/>
      </c>
      <c r="AI3393" s="17" t="str">
        <f>IF(AG3393="","",INDEX('quitado Despesa'!$G$1:$G$12,AG3393))</f>
        <v/>
      </c>
      <c r="AJ3393" s="17" t="str">
        <f t="shared" si="3"/>
        <v/>
      </c>
    </row>
    <row r="3394" spans="31:36">
      <c r="AE3394" s="15" t="str">
        <f t="shared" si="0"/>
        <v/>
      </c>
      <c r="AF3394" s="15" t="str">
        <f t="shared" si="1"/>
        <v/>
      </c>
      <c r="AG3394" s="15" t="str">
        <f>IF(OR(AF3394="",AF3394="ERRO_CHAVE"),"",IFERROR(MATCH(AF3394,'quitado Despesa'!$V$1:$V$12,0),""))</f>
        <v/>
      </c>
      <c r="AH3394" s="15" t="str">
        <f t="shared" si="2"/>
        <v/>
      </c>
      <c r="AI3394" s="17" t="str">
        <f>IF(AG3394="","",INDEX('quitado Despesa'!$G$1:$G$12,AG3394))</f>
        <v/>
      </c>
      <c r="AJ3394" s="17" t="str">
        <f t="shared" si="3"/>
        <v/>
      </c>
    </row>
    <row r="3395" spans="31:36">
      <c r="AE3395" s="15" t="str">
        <f t="shared" si="0"/>
        <v/>
      </c>
      <c r="AF3395" s="15" t="str">
        <f t="shared" si="1"/>
        <v/>
      </c>
      <c r="AG3395" s="15" t="str">
        <f>IF(OR(AF3395="",AF3395="ERRO_CHAVE"),"",IFERROR(MATCH(AF3395,'quitado Despesa'!$V$1:$V$12,0),""))</f>
        <v/>
      </c>
      <c r="AH3395" s="15" t="str">
        <f t="shared" si="2"/>
        <v/>
      </c>
      <c r="AI3395" s="17" t="str">
        <f>IF(AG3395="","",INDEX('quitado Despesa'!$G$1:$G$12,AG3395))</f>
        <v/>
      </c>
      <c r="AJ3395" s="17" t="str">
        <f t="shared" si="3"/>
        <v/>
      </c>
    </row>
    <row r="3396" spans="31:36">
      <c r="AE3396" s="15" t="str">
        <f t="shared" si="0"/>
        <v/>
      </c>
      <c r="AF3396" s="15" t="str">
        <f t="shared" si="1"/>
        <v/>
      </c>
      <c r="AG3396" s="15" t="str">
        <f>IF(OR(AF3396="",AF3396="ERRO_CHAVE"),"",IFERROR(MATCH(AF3396,'quitado Despesa'!$V$1:$V$12,0),""))</f>
        <v/>
      </c>
      <c r="AH3396" s="15" t="str">
        <f t="shared" si="2"/>
        <v/>
      </c>
      <c r="AI3396" s="17" t="str">
        <f>IF(AG3396="","",INDEX('quitado Despesa'!$G$1:$G$12,AG3396))</f>
        <v/>
      </c>
      <c r="AJ3396" s="17" t="str">
        <f t="shared" si="3"/>
        <v/>
      </c>
    </row>
    <row r="3397" spans="31:36">
      <c r="AE3397" s="15" t="str">
        <f t="shared" si="0"/>
        <v/>
      </c>
      <c r="AF3397" s="15" t="str">
        <f t="shared" si="1"/>
        <v/>
      </c>
      <c r="AG3397" s="15" t="str">
        <f>IF(OR(AF3397="",AF3397="ERRO_CHAVE"),"",IFERROR(MATCH(AF3397,'quitado Despesa'!$V$1:$V$12,0),""))</f>
        <v/>
      </c>
      <c r="AH3397" s="15" t="str">
        <f t="shared" si="2"/>
        <v/>
      </c>
      <c r="AI3397" s="17" t="str">
        <f>IF(AG3397="","",INDEX('quitado Despesa'!$G$1:$G$12,AG3397))</f>
        <v/>
      </c>
      <c r="AJ3397" s="17" t="str">
        <f t="shared" si="3"/>
        <v/>
      </c>
    </row>
    <row r="3398" spans="31:36">
      <c r="AE3398" s="15" t="str">
        <f t="shared" si="0"/>
        <v/>
      </c>
      <c r="AF3398" s="15" t="str">
        <f t="shared" si="1"/>
        <v/>
      </c>
      <c r="AG3398" s="15" t="str">
        <f>IF(OR(AF3398="",AF3398="ERRO_CHAVE"),"",IFERROR(MATCH(AF3398,'quitado Despesa'!$V$1:$V$12,0),""))</f>
        <v/>
      </c>
      <c r="AH3398" s="15" t="str">
        <f t="shared" si="2"/>
        <v/>
      </c>
      <c r="AI3398" s="17" t="str">
        <f>IF(AG3398="","",INDEX('quitado Despesa'!$G$1:$G$12,AG3398))</f>
        <v/>
      </c>
      <c r="AJ3398" s="17" t="str">
        <f t="shared" si="3"/>
        <v/>
      </c>
    </row>
    <row r="3399" spans="31:36">
      <c r="AE3399" s="15" t="str">
        <f t="shared" si="0"/>
        <v/>
      </c>
      <c r="AF3399" s="15" t="str">
        <f t="shared" si="1"/>
        <v/>
      </c>
      <c r="AG3399" s="15" t="str">
        <f>IF(OR(AF3399="",AF3399="ERRO_CHAVE"),"",IFERROR(MATCH(AF3399,'quitado Despesa'!$V$1:$V$12,0),""))</f>
        <v/>
      </c>
      <c r="AH3399" s="15" t="str">
        <f t="shared" si="2"/>
        <v/>
      </c>
      <c r="AI3399" s="17" t="str">
        <f>IF(AG3399="","",INDEX('quitado Despesa'!$G$1:$G$12,AG3399))</f>
        <v/>
      </c>
      <c r="AJ3399" s="17" t="str">
        <f t="shared" si="3"/>
        <v/>
      </c>
    </row>
    <row r="3400" spans="31:36">
      <c r="AE3400" s="15" t="str">
        <f t="shared" si="0"/>
        <v/>
      </c>
      <c r="AF3400" s="15" t="str">
        <f t="shared" si="1"/>
        <v/>
      </c>
      <c r="AG3400" s="15" t="str">
        <f>IF(OR(AF3400="",AF3400="ERRO_CHAVE"),"",IFERROR(MATCH(AF3400,'quitado Despesa'!$V$1:$V$12,0),""))</f>
        <v/>
      </c>
      <c r="AH3400" s="15" t="str">
        <f t="shared" si="2"/>
        <v/>
      </c>
      <c r="AI3400" s="17" t="str">
        <f>IF(AG3400="","",INDEX('quitado Despesa'!$G$1:$G$12,AG3400))</f>
        <v/>
      </c>
      <c r="AJ3400" s="17" t="str">
        <f t="shared" si="3"/>
        <v/>
      </c>
    </row>
    <row r="3401" spans="31:36">
      <c r="AE3401" s="15" t="str">
        <f t="shared" si="0"/>
        <v/>
      </c>
      <c r="AF3401" s="15" t="str">
        <f t="shared" si="1"/>
        <v/>
      </c>
      <c r="AG3401" s="15" t="str">
        <f>IF(OR(AF3401="",AF3401="ERRO_CHAVE"),"",IFERROR(MATCH(AF3401,'quitado Despesa'!$V$1:$V$12,0),""))</f>
        <v/>
      </c>
      <c r="AH3401" s="15" t="str">
        <f t="shared" si="2"/>
        <v/>
      </c>
      <c r="AI3401" s="17" t="str">
        <f>IF(AG3401="","",INDEX('quitado Despesa'!$G$1:$G$12,AG3401))</f>
        <v/>
      </c>
      <c r="AJ3401" s="17" t="str">
        <f t="shared" si="3"/>
        <v/>
      </c>
    </row>
    <row r="3402" spans="31:36">
      <c r="AE3402" s="15" t="str">
        <f t="shared" si="0"/>
        <v/>
      </c>
      <c r="AF3402" s="15" t="str">
        <f t="shared" si="1"/>
        <v/>
      </c>
      <c r="AG3402" s="15" t="str">
        <f>IF(OR(AF3402="",AF3402="ERRO_CHAVE"),"",IFERROR(MATCH(AF3402,'quitado Despesa'!$V$1:$V$12,0),""))</f>
        <v/>
      </c>
      <c r="AH3402" s="15" t="str">
        <f t="shared" si="2"/>
        <v/>
      </c>
      <c r="AI3402" s="17" t="str">
        <f>IF(AG3402="","",INDEX('quitado Despesa'!$G$1:$G$12,AG3402))</f>
        <v/>
      </c>
      <c r="AJ3402" s="17" t="str">
        <f t="shared" si="3"/>
        <v/>
      </c>
    </row>
    <row r="3403" spans="31:36">
      <c r="AE3403" s="15" t="str">
        <f t="shared" si="0"/>
        <v/>
      </c>
      <c r="AF3403" s="15" t="str">
        <f t="shared" si="1"/>
        <v/>
      </c>
      <c r="AG3403" s="15" t="str">
        <f>IF(OR(AF3403="",AF3403="ERRO_CHAVE"),"",IFERROR(MATCH(AF3403,'quitado Despesa'!$V$1:$V$12,0),""))</f>
        <v/>
      </c>
      <c r="AH3403" s="15" t="str">
        <f t="shared" si="2"/>
        <v/>
      </c>
      <c r="AI3403" s="17" t="str">
        <f>IF(AG3403="","",INDEX('quitado Despesa'!$G$1:$G$12,AG3403))</f>
        <v/>
      </c>
      <c r="AJ3403" s="17" t="str">
        <f t="shared" si="3"/>
        <v/>
      </c>
    </row>
    <row r="3404" spans="31:36">
      <c r="AE3404" s="15" t="str">
        <f t="shared" si="0"/>
        <v/>
      </c>
      <c r="AF3404" s="15" t="str">
        <f t="shared" si="1"/>
        <v/>
      </c>
      <c r="AG3404" s="15" t="str">
        <f>IF(OR(AF3404="",AF3404="ERRO_CHAVE"),"",IFERROR(MATCH(AF3404,'quitado Despesa'!$V$1:$V$12,0),""))</f>
        <v/>
      </c>
      <c r="AH3404" s="15" t="str">
        <f t="shared" si="2"/>
        <v/>
      </c>
      <c r="AI3404" s="17" t="str">
        <f>IF(AG3404="","",INDEX('quitado Despesa'!$G$1:$G$12,AG3404))</f>
        <v/>
      </c>
      <c r="AJ3404" s="17" t="str">
        <f t="shared" si="3"/>
        <v/>
      </c>
    </row>
    <row r="3405" spans="31:36">
      <c r="AE3405" s="15" t="str">
        <f t="shared" si="0"/>
        <v/>
      </c>
      <c r="AF3405" s="15" t="str">
        <f t="shared" si="1"/>
        <v/>
      </c>
      <c r="AG3405" s="15" t="str">
        <f>IF(OR(AF3405="",AF3405="ERRO_CHAVE"),"",IFERROR(MATCH(AF3405,'quitado Despesa'!$V$1:$V$12,0),""))</f>
        <v/>
      </c>
      <c r="AH3405" s="15" t="str">
        <f t="shared" si="2"/>
        <v/>
      </c>
      <c r="AI3405" s="17" t="str">
        <f>IF(AG3405="","",INDEX('quitado Despesa'!$G$1:$G$12,AG3405))</f>
        <v/>
      </c>
      <c r="AJ3405" s="17" t="str">
        <f t="shared" si="3"/>
        <v/>
      </c>
    </row>
    <row r="3406" spans="31:36">
      <c r="AE3406" s="15" t="str">
        <f t="shared" si="0"/>
        <v/>
      </c>
      <c r="AF3406" s="15" t="str">
        <f t="shared" si="1"/>
        <v/>
      </c>
      <c r="AG3406" s="15" t="str">
        <f>IF(OR(AF3406="",AF3406="ERRO_CHAVE"),"",IFERROR(MATCH(AF3406,'quitado Despesa'!$V$1:$V$12,0),""))</f>
        <v/>
      </c>
      <c r="AH3406" s="15" t="str">
        <f t="shared" si="2"/>
        <v/>
      </c>
      <c r="AI3406" s="17" t="str">
        <f>IF(AG3406="","",INDEX('quitado Despesa'!$G$1:$G$12,AG3406))</f>
        <v/>
      </c>
      <c r="AJ3406" s="17" t="str">
        <f t="shared" si="3"/>
        <v/>
      </c>
    </row>
    <row r="3407" spans="31:36">
      <c r="AE3407" s="15" t="str">
        <f t="shared" si="0"/>
        <v/>
      </c>
      <c r="AF3407" s="15" t="str">
        <f t="shared" si="1"/>
        <v/>
      </c>
      <c r="AG3407" s="15" t="str">
        <f>IF(OR(AF3407="",AF3407="ERRO_CHAVE"),"",IFERROR(MATCH(AF3407,'quitado Despesa'!$V$1:$V$12,0),""))</f>
        <v/>
      </c>
      <c r="AH3407" s="15" t="str">
        <f t="shared" si="2"/>
        <v/>
      </c>
      <c r="AI3407" s="17" t="str">
        <f>IF(AG3407="","",INDEX('quitado Despesa'!$G$1:$G$12,AG3407))</f>
        <v/>
      </c>
      <c r="AJ3407" s="17" t="str">
        <f t="shared" si="3"/>
        <v/>
      </c>
    </row>
    <row r="3408" spans="31:36">
      <c r="AE3408" s="15" t="str">
        <f t="shared" si="0"/>
        <v/>
      </c>
      <c r="AF3408" s="15" t="str">
        <f t="shared" si="1"/>
        <v/>
      </c>
      <c r="AG3408" s="15" t="str">
        <f>IF(OR(AF3408="",AF3408="ERRO_CHAVE"),"",IFERROR(MATCH(AF3408,'quitado Despesa'!$V$1:$V$12,0),""))</f>
        <v/>
      </c>
      <c r="AH3408" s="15" t="str">
        <f t="shared" si="2"/>
        <v/>
      </c>
      <c r="AI3408" s="17" t="str">
        <f>IF(AG3408="","",INDEX('quitado Despesa'!$G$1:$G$12,AG3408))</f>
        <v/>
      </c>
      <c r="AJ3408" s="17" t="str">
        <f t="shared" si="3"/>
        <v/>
      </c>
    </row>
    <row r="3409" spans="31:36">
      <c r="AE3409" s="15" t="str">
        <f t="shared" si="0"/>
        <v/>
      </c>
      <c r="AF3409" s="15" t="str">
        <f t="shared" si="1"/>
        <v/>
      </c>
      <c r="AG3409" s="15" t="str">
        <f>IF(OR(AF3409="",AF3409="ERRO_CHAVE"),"",IFERROR(MATCH(AF3409,'quitado Despesa'!$V$1:$V$12,0),""))</f>
        <v/>
      </c>
      <c r="AH3409" s="15" t="str">
        <f t="shared" si="2"/>
        <v/>
      </c>
      <c r="AI3409" s="17" t="str">
        <f>IF(AG3409="","",INDEX('quitado Despesa'!$G$1:$G$12,AG3409))</f>
        <v/>
      </c>
      <c r="AJ3409" s="17" t="str">
        <f t="shared" si="3"/>
        <v/>
      </c>
    </row>
    <row r="3410" spans="31:36">
      <c r="AE3410" s="15" t="str">
        <f t="shared" si="0"/>
        <v/>
      </c>
      <c r="AF3410" s="15" t="str">
        <f t="shared" si="1"/>
        <v/>
      </c>
      <c r="AG3410" s="15" t="str">
        <f>IF(OR(AF3410="",AF3410="ERRO_CHAVE"),"",IFERROR(MATCH(AF3410,'quitado Despesa'!$V$1:$V$12,0),""))</f>
        <v/>
      </c>
      <c r="AH3410" s="15" t="str">
        <f t="shared" si="2"/>
        <v/>
      </c>
      <c r="AI3410" s="17" t="str">
        <f>IF(AG3410="","",INDEX('quitado Despesa'!$G$1:$G$12,AG3410))</f>
        <v/>
      </c>
      <c r="AJ3410" s="17" t="str">
        <f t="shared" si="3"/>
        <v/>
      </c>
    </row>
    <row r="3411" spans="31:36">
      <c r="AE3411" s="15" t="str">
        <f t="shared" si="0"/>
        <v/>
      </c>
      <c r="AF3411" s="15" t="str">
        <f t="shared" si="1"/>
        <v/>
      </c>
      <c r="AG3411" s="15" t="str">
        <f>IF(OR(AF3411="",AF3411="ERRO_CHAVE"),"",IFERROR(MATCH(AF3411,'quitado Despesa'!$V$1:$V$12,0),""))</f>
        <v/>
      </c>
      <c r="AH3411" s="15" t="str">
        <f t="shared" si="2"/>
        <v/>
      </c>
      <c r="AI3411" s="17" t="str">
        <f>IF(AG3411="","",INDEX('quitado Despesa'!$G$1:$G$12,AG3411))</f>
        <v/>
      </c>
      <c r="AJ3411" s="17" t="str">
        <f t="shared" si="3"/>
        <v/>
      </c>
    </row>
    <row r="3412" spans="31:36">
      <c r="AE3412" s="15" t="str">
        <f t="shared" si="0"/>
        <v/>
      </c>
      <c r="AF3412" s="15" t="str">
        <f t="shared" si="1"/>
        <v/>
      </c>
      <c r="AG3412" s="15" t="str">
        <f>IF(OR(AF3412="",AF3412="ERRO_CHAVE"),"",IFERROR(MATCH(AF3412,'quitado Despesa'!$V$1:$V$12,0),""))</f>
        <v/>
      </c>
      <c r="AH3412" s="15" t="str">
        <f t="shared" si="2"/>
        <v/>
      </c>
      <c r="AI3412" s="17" t="str">
        <f>IF(AG3412="","",INDEX('quitado Despesa'!$G$1:$G$12,AG3412))</f>
        <v/>
      </c>
      <c r="AJ3412" s="17" t="str">
        <f t="shared" si="3"/>
        <v/>
      </c>
    </row>
    <row r="3413" spans="31:36">
      <c r="AE3413" s="15" t="str">
        <f t="shared" si="0"/>
        <v/>
      </c>
      <c r="AF3413" s="15" t="str">
        <f t="shared" si="1"/>
        <v/>
      </c>
      <c r="AG3413" s="15" t="str">
        <f>IF(OR(AF3413="",AF3413="ERRO_CHAVE"),"",IFERROR(MATCH(AF3413,'quitado Despesa'!$V$1:$V$12,0),""))</f>
        <v/>
      </c>
      <c r="AH3413" s="15" t="str">
        <f t="shared" si="2"/>
        <v/>
      </c>
      <c r="AI3413" s="17" t="str">
        <f>IF(AG3413="","",INDEX('quitado Despesa'!$G$1:$G$12,AG3413))</f>
        <v/>
      </c>
      <c r="AJ3413" s="17" t="str">
        <f t="shared" si="3"/>
        <v/>
      </c>
    </row>
    <row r="3414" spans="31:36">
      <c r="AE3414" s="15" t="str">
        <f t="shared" si="0"/>
        <v/>
      </c>
      <c r="AF3414" s="15" t="str">
        <f t="shared" si="1"/>
        <v/>
      </c>
      <c r="AG3414" s="15" t="str">
        <f>IF(OR(AF3414="",AF3414="ERRO_CHAVE"),"",IFERROR(MATCH(AF3414,'quitado Despesa'!$V$1:$V$12,0),""))</f>
        <v/>
      </c>
      <c r="AH3414" s="15" t="str">
        <f t="shared" si="2"/>
        <v/>
      </c>
      <c r="AI3414" s="17" t="str">
        <f>IF(AG3414="","",INDEX('quitado Despesa'!$G$1:$G$12,AG3414))</f>
        <v/>
      </c>
      <c r="AJ3414" s="17" t="str">
        <f t="shared" si="3"/>
        <v/>
      </c>
    </row>
    <row r="3415" spans="31:36">
      <c r="AE3415" s="15" t="str">
        <f t="shared" si="0"/>
        <v/>
      </c>
      <c r="AF3415" s="15" t="str">
        <f t="shared" si="1"/>
        <v/>
      </c>
      <c r="AG3415" s="15" t="str">
        <f>IF(OR(AF3415="",AF3415="ERRO_CHAVE"),"",IFERROR(MATCH(AF3415,'quitado Despesa'!$V$1:$V$12,0),""))</f>
        <v/>
      </c>
      <c r="AH3415" s="15" t="str">
        <f t="shared" si="2"/>
        <v/>
      </c>
      <c r="AI3415" s="17" t="str">
        <f>IF(AG3415="","",INDEX('quitado Despesa'!$G$1:$G$12,AG3415))</f>
        <v/>
      </c>
      <c r="AJ3415" s="17" t="str">
        <f t="shared" si="3"/>
        <v/>
      </c>
    </row>
    <row r="3416" spans="31:36">
      <c r="AE3416" s="15" t="str">
        <f t="shared" si="0"/>
        <v/>
      </c>
      <c r="AF3416" s="15" t="str">
        <f t="shared" si="1"/>
        <v/>
      </c>
      <c r="AG3416" s="15" t="str">
        <f>IF(OR(AF3416="",AF3416="ERRO_CHAVE"),"",IFERROR(MATCH(AF3416,'quitado Despesa'!$V$1:$V$12,0),""))</f>
        <v/>
      </c>
      <c r="AH3416" s="15" t="str">
        <f t="shared" si="2"/>
        <v/>
      </c>
      <c r="AI3416" s="17" t="str">
        <f>IF(AG3416="","",INDEX('quitado Despesa'!$G$1:$G$12,AG3416))</f>
        <v/>
      </c>
      <c r="AJ3416" s="17" t="str">
        <f t="shared" si="3"/>
        <v/>
      </c>
    </row>
    <row r="3417" spans="31:36">
      <c r="AE3417" s="15" t="str">
        <f t="shared" si="0"/>
        <v/>
      </c>
      <c r="AF3417" s="15" t="str">
        <f t="shared" si="1"/>
        <v/>
      </c>
      <c r="AG3417" s="15" t="str">
        <f>IF(OR(AF3417="",AF3417="ERRO_CHAVE"),"",IFERROR(MATCH(AF3417,'quitado Despesa'!$V$1:$V$12,0),""))</f>
        <v/>
      </c>
      <c r="AH3417" s="15" t="str">
        <f t="shared" si="2"/>
        <v/>
      </c>
      <c r="AI3417" s="17" t="str">
        <f>IF(AG3417="","",INDEX('quitado Despesa'!$G$1:$G$12,AG3417))</f>
        <v/>
      </c>
      <c r="AJ3417" s="17" t="str">
        <f t="shared" si="3"/>
        <v/>
      </c>
    </row>
    <row r="3418" spans="31:36">
      <c r="AE3418" s="15" t="str">
        <f t="shared" si="0"/>
        <v/>
      </c>
      <c r="AF3418" s="15" t="str">
        <f t="shared" si="1"/>
        <v/>
      </c>
      <c r="AG3418" s="15" t="str">
        <f>IF(OR(AF3418="",AF3418="ERRO_CHAVE"),"",IFERROR(MATCH(AF3418,'quitado Despesa'!$V$1:$V$12,0),""))</f>
        <v/>
      </c>
      <c r="AH3418" s="15" t="str">
        <f t="shared" si="2"/>
        <v/>
      </c>
      <c r="AI3418" s="17" t="str">
        <f>IF(AG3418="","",INDEX('quitado Despesa'!$G$1:$G$12,AG3418))</f>
        <v/>
      </c>
      <c r="AJ3418" s="17" t="str">
        <f t="shared" si="3"/>
        <v/>
      </c>
    </row>
    <row r="3419" spans="31:36">
      <c r="AE3419" s="15" t="str">
        <f t="shared" si="0"/>
        <v/>
      </c>
      <c r="AF3419" s="15" t="str">
        <f t="shared" si="1"/>
        <v/>
      </c>
      <c r="AG3419" s="15" t="str">
        <f>IF(OR(AF3419="",AF3419="ERRO_CHAVE"),"",IFERROR(MATCH(AF3419,'quitado Despesa'!$V$1:$V$12,0),""))</f>
        <v/>
      </c>
      <c r="AH3419" s="15" t="str">
        <f t="shared" si="2"/>
        <v/>
      </c>
      <c r="AI3419" s="17" t="str">
        <f>IF(AG3419="","",INDEX('quitado Despesa'!$G$1:$G$12,AG3419))</f>
        <v/>
      </c>
      <c r="AJ3419" s="17" t="str">
        <f t="shared" si="3"/>
        <v/>
      </c>
    </row>
    <row r="3420" spans="31:36">
      <c r="AE3420" s="15" t="str">
        <f t="shared" si="0"/>
        <v/>
      </c>
      <c r="AF3420" s="15" t="str">
        <f t="shared" si="1"/>
        <v/>
      </c>
      <c r="AG3420" s="15" t="str">
        <f>IF(OR(AF3420="",AF3420="ERRO_CHAVE"),"",IFERROR(MATCH(AF3420,'quitado Despesa'!$V$1:$V$12,0),""))</f>
        <v/>
      </c>
      <c r="AH3420" s="15" t="str">
        <f t="shared" si="2"/>
        <v/>
      </c>
      <c r="AI3420" s="17" t="str">
        <f>IF(AG3420="","",INDEX('quitado Despesa'!$G$1:$G$12,AG3420))</f>
        <v/>
      </c>
      <c r="AJ3420" s="17" t="str">
        <f t="shared" si="3"/>
        <v/>
      </c>
    </row>
    <row r="3421" spans="31:36">
      <c r="AE3421" s="15" t="str">
        <f t="shared" si="0"/>
        <v/>
      </c>
      <c r="AF3421" s="15" t="str">
        <f t="shared" si="1"/>
        <v/>
      </c>
      <c r="AG3421" s="15" t="str">
        <f>IF(OR(AF3421="",AF3421="ERRO_CHAVE"),"",IFERROR(MATCH(AF3421,'quitado Despesa'!$V$1:$V$12,0),""))</f>
        <v/>
      </c>
      <c r="AH3421" s="15" t="str">
        <f t="shared" si="2"/>
        <v/>
      </c>
      <c r="AI3421" s="17" t="str">
        <f>IF(AG3421="","",INDEX('quitado Despesa'!$G$1:$G$12,AG3421))</f>
        <v/>
      </c>
      <c r="AJ3421" s="17" t="str">
        <f t="shared" si="3"/>
        <v/>
      </c>
    </row>
    <row r="3422" spans="31:36">
      <c r="AE3422" s="15" t="str">
        <f t="shared" si="0"/>
        <v/>
      </c>
      <c r="AF3422" s="15" t="str">
        <f t="shared" si="1"/>
        <v/>
      </c>
      <c r="AG3422" s="15" t="str">
        <f>IF(OR(AF3422="",AF3422="ERRO_CHAVE"),"",IFERROR(MATCH(AF3422,'quitado Despesa'!$V$1:$V$12,0),""))</f>
        <v/>
      </c>
      <c r="AH3422" s="15" t="str">
        <f t="shared" si="2"/>
        <v/>
      </c>
      <c r="AI3422" s="17" t="str">
        <f>IF(AG3422="","",INDEX('quitado Despesa'!$G$1:$G$12,AG3422))</f>
        <v/>
      </c>
      <c r="AJ3422" s="17" t="str">
        <f t="shared" si="3"/>
        <v/>
      </c>
    </row>
    <row r="3423" spans="31:36">
      <c r="AE3423" s="15" t="str">
        <f t="shared" si="0"/>
        <v/>
      </c>
      <c r="AF3423" s="15" t="str">
        <f t="shared" si="1"/>
        <v/>
      </c>
      <c r="AG3423" s="15" t="str">
        <f>IF(OR(AF3423="",AF3423="ERRO_CHAVE"),"",IFERROR(MATCH(AF3423,'quitado Despesa'!$V$1:$V$12,0),""))</f>
        <v/>
      </c>
      <c r="AH3423" s="15" t="str">
        <f t="shared" si="2"/>
        <v/>
      </c>
      <c r="AI3423" s="17" t="str">
        <f>IF(AG3423="","",INDEX('quitado Despesa'!$G$1:$G$12,AG3423))</f>
        <v/>
      </c>
      <c r="AJ3423" s="17" t="str">
        <f t="shared" si="3"/>
        <v/>
      </c>
    </row>
    <row r="3424" spans="31:36">
      <c r="AE3424" s="15" t="str">
        <f t="shared" si="0"/>
        <v/>
      </c>
      <c r="AF3424" s="15" t="str">
        <f t="shared" si="1"/>
        <v/>
      </c>
      <c r="AG3424" s="15" t="str">
        <f>IF(OR(AF3424="",AF3424="ERRO_CHAVE"),"",IFERROR(MATCH(AF3424,'quitado Despesa'!$V$1:$V$12,0),""))</f>
        <v/>
      </c>
      <c r="AH3424" s="15" t="str">
        <f t="shared" si="2"/>
        <v/>
      </c>
      <c r="AI3424" s="17" t="str">
        <f>IF(AG3424="","",INDEX('quitado Despesa'!$G$1:$G$12,AG3424))</f>
        <v/>
      </c>
      <c r="AJ3424" s="17" t="str">
        <f t="shared" si="3"/>
        <v/>
      </c>
    </row>
    <row r="3425" spans="31:36">
      <c r="AE3425" s="15" t="str">
        <f t="shared" si="0"/>
        <v/>
      </c>
      <c r="AF3425" s="15" t="str">
        <f t="shared" si="1"/>
        <v/>
      </c>
      <c r="AG3425" s="15" t="str">
        <f>IF(OR(AF3425="",AF3425="ERRO_CHAVE"),"",IFERROR(MATCH(AF3425,'quitado Despesa'!$V$1:$V$12,0),""))</f>
        <v/>
      </c>
      <c r="AH3425" s="15" t="str">
        <f t="shared" si="2"/>
        <v/>
      </c>
      <c r="AI3425" s="17" t="str">
        <f>IF(AG3425="","",INDEX('quitado Despesa'!$G$1:$G$12,AG3425))</f>
        <v/>
      </c>
      <c r="AJ3425" s="17" t="str">
        <f t="shared" si="3"/>
        <v/>
      </c>
    </row>
    <row r="3426" spans="31:36">
      <c r="AE3426" s="15" t="str">
        <f t="shared" si="0"/>
        <v/>
      </c>
      <c r="AF3426" s="15" t="str">
        <f t="shared" si="1"/>
        <v/>
      </c>
      <c r="AG3426" s="15" t="str">
        <f>IF(OR(AF3426="",AF3426="ERRO_CHAVE"),"",IFERROR(MATCH(AF3426,'quitado Despesa'!$V$1:$V$12,0),""))</f>
        <v/>
      </c>
      <c r="AH3426" s="15" t="str">
        <f t="shared" si="2"/>
        <v/>
      </c>
      <c r="AI3426" s="17" t="str">
        <f>IF(AG3426="","",INDEX('quitado Despesa'!$G$1:$G$12,AG3426))</f>
        <v/>
      </c>
      <c r="AJ3426" s="17" t="str">
        <f t="shared" si="3"/>
        <v/>
      </c>
    </row>
    <row r="3427" spans="31:36">
      <c r="AE3427" s="15" t="str">
        <f t="shared" si="0"/>
        <v/>
      </c>
      <c r="AF3427" s="15" t="str">
        <f t="shared" si="1"/>
        <v/>
      </c>
      <c r="AG3427" s="15" t="str">
        <f>IF(OR(AF3427="",AF3427="ERRO_CHAVE"),"",IFERROR(MATCH(AF3427,'quitado Despesa'!$V$1:$V$12,0),""))</f>
        <v/>
      </c>
      <c r="AH3427" s="15" t="str">
        <f t="shared" si="2"/>
        <v/>
      </c>
      <c r="AI3427" s="17" t="str">
        <f>IF(AG3427="","",INDEX('quitado Despesa'!$G$1:$G$12,AG3427))</f>
        <v/>
      </c>
      <c r="AJ3427" s="17" t="str">
        <f t="shared" si="3"/>
        <v/>
      </c>
    </row>
    <row r="3428" spans="31:36">
      <c r="AE3428" s="15" t="str">
        <f t="shared" si="0"/>
        <v/>
      </c>
      <c r="AF3428" s="15" t="str">
        <f t="shared" si="1"/>
        <v/>
      </c>
      <c r="AG3428" s="15" t="str">
        <f>IF(OR(AF3428="",AF3428="ERRO_CHAVE"),"",IFERROR(MATCH(AF3428,'quitado Despesa'!$V$1:$V$12,0),""))</f>
        <v/>
      </c>
      <c r="AH3428" s="15" t="str">
        <f t="shared" si="2"/>
        <v/>
      </c>
      <c r="AI3428" s="17" t="str">
        <f>IF(AG3428="","",INDEX('quitado Despesa'!$G$1:$G$12,AG3428))</f>
        <v/>
      </c>
      <c r="AJ3428" s="17" t="str">
        <f t="shared" si="3"/>
        <v/>
      </c>
    </row>
    <row r="3429" spans="31:36">
      <c r="AE3429" s="15" t="str">
        <f t="shared" si="0"/>
        <v/>
      </c>
      <c r="AF3429" s="15" t="str">
        <f t="shared" si="1"/>
        <v/>
      </c>
      <c r="AG3429" s="15" t="str">
        <f>IF(OR(AF3429="",AF3429="ERRO_CHAVE"),"",IFERROR(MATCH(AF3429,'quitado Despesa'!$V$1:$V$12,0),""))</f>
        <v/>
      </c>
      <c r="AH3429" s="15" t="str">
        <f t="shared" si="2"/>
        <v/>
      </c>
      <c r="AI3429" s="17" t="str">
        <f>IF(AG3429="","",INDEX('quitado Despesa'!$G$1:$G$12,AG3429))</f>
        <v/>
      </c>
      <c r="AJ3429" s="17" t="str">
        <f t="shared" si="3"/>
        <v/>
      </c>
    </row>
    <row r="3430" spans="31:36">
      <c r="AE3430" s="15" t="str">
        <f t="shared" si="0"/>
        <v/>
      </c>
      <c r="AF3430" s="15" t="str">
        <f t="shared" si="1"/>
        <v/>
      </c>
      <c r="AG3430" s="15" t="str">
        <f>IF(OR(AF3430="",AF3430="ERRO_CHAVE"),"",IFERROR(MATCH(AF3430,'quitado Despesa'!$V$1:$V$12,0),""))</f>
        <v/>
      </c>
      <c r="AH3430" s="15" t="str">
        <f t="shared" si="2"/>
        <v/>
      </c>
      <c r="AI3430" s="17" t="str">
        <f>IF(AG3430="","",INDEX('quitado Despesa'!$G$1:$G$12,AG3430))</f>
        <v/>
      </c>
      <c r="AJ3430" s="17" t="str">
        <f t="shared" si="3"/>
        <v/>
      </c>
    </row>
    <row r="3431" spans="31:36">
      <c r="AE3431" s="15" t="str">
        <f t="shared" si="0"/>
        <v/>
      </c>
      <c r="AF3431" s="15" t="str">
        <f t="shared" si="1"/>
        <v/>
      </c>
      <c r="AG3431" s="15" t="str">
        <f>IF(OR(AF3431="",AF3431="ERRO_CHAVE"),"",IFERROR(MATCH(AF3431,'quitado Despesa'!$V$1:$V$12,0),""))</f>
        <v/>
      </c>
      <c r="AH3431" s="15" t="str">
        <f t="shared" si="2"/>
        <v/>
      </c>
      <c r="AI3431" s="17" t="str">
        <f>IF(AG3431="","",INDEX('quitado Despesa'!$G$1:$G$12,AG3431))</f>
        <v/>
      </c>
      <c r="AJ3431" s="17" t="str">
        <f t="shared" si="3"/>
        <v/>
      </c>
    </row>
    <row r="3432" spans="31:36">
      <c r="AE3432" s="15" t="str">
        <f t="shared" si="0"/>
        <v/>
      </c>
      <c r="AF3432" s="15" t="str">
        <f t="shared" si="1"/>
        <v/>
      </c>
      <c r="AG3432" s="15" t="str">
        <f>IF(OR(AF3432="",AF3432="ERRO_CHAVE"),"",IFERROR(MATCH(AF3432,'quitado Despesa'!$V$1:$V$12,0),""))</f>
        <v/>
      </c>
      <c r="AH3432" s="15" t="str">
        <f t="shared" si="2"/>
        <v/>
      </c>
      <c r="AI3432" s="17" t="str">
        <f>IF(AG3432="","",INDEX('quitado Despesa'!$G$1:$G$12,AG3432))</f>
        <v/>
      </c>
      <c r="AJ3432" s="17" t="str">
        <f t="shared" si="3"/>
        <v/>
      </c>
    </row>
    <row r="3433" spans="31:36">
      <c r="AE3433" s="15" t="str">
        <f t="shared" si="0"/>
        <v/>
      </c>
      <c r="AF3433" s="15" t="str">
        <f t="shared" si="1"/>
        <v/>
      </c>
      <c r="AG3433" s="15" t="str">
        <f>IF(OR(AF3433="",AF3433="ERRO_CHAVE"),"",IFERROR(MATCH(AF3433,'quitado Despesa'!$V$1:$V$12,0),""))</f>
        <v/>
      </c>
      <c r="AH3433" s="15" t="str">
        <f t="shared" si="2"/>
        <v/>
      </c>
      <c r="AI3433" s="17" t="str">
        <f>IF(AG3433="","",INDEX('quitado Despesa'!$G$1:$G$12,AG3433))</f>
        <v/>
      </c>
      <c r="AJ3433" s="17" t="str">
        <f t="shared" si="3"/>
        <v/>
      </c>
    </row>
    <row r="3434" spans="31:36">
      <c r="AE3434" s="15" t="str">
        <f t="shared" si="0"/>
        <v/>
      </c>
      <c r="AF3434" s="15" t="str">
        <f t="shared" si="1"/>
        <v/>
      </c>
      <c r="AG3434" s="15" t="str">
        <f>IF(OR(AF3434="",AF3434="ERRO_CHAVE"),"",IFERROR(MATCH(AF3434,'quitado Despesa'!$V$1:$V$12,0),""))</f>
        <v/>
      </c>
      <c r="AH3434" s="15" t="str">
        <f t="shared" si="2"/>
        <v/>
      </c>
      <c r="AI3434" s="17" t="str">
        <f>IF(AG3434="","",INDEX('quitado Despesa'!$G$1:$G$12,AG3434))</f>
        <v/>
      </c>
      <c r="AJ3434" s="17" t="str">
        <f t="shared" si="3"/>
        <v/>
      </c>
    </row>
    <row r="3435" spans="31:36">
      <c r="AE3435" s="15" t="str">
        <f t="shared" si="0"/>
        <v/>
      </c>
      <c r="AF3435" s="15" t="str">
        <f t="shared" si="1"/>
        <v/>
      </c>
      <c r="AG3435" s="15" t="str">
        <f>IF(OR(AF3435="",AF3435="ERRO_CHAVE"),"",IFERROR(MATCH(AF3435,'quitado Despesa'!$V$1:$V$12,0),""))</f>
        <v/>
      </c>
      <c r="AH3435" s="15" t="str">
        <f t="shared" si="2"/>
        <v/>
      </c>
      <c r="AI3435" s="17" t="str">
        <f>IF(AG3435="","",INDEX('quitado Despesa'!$G$1:$G$12,AG3435))</f>
        <v/>
      </c>
      <c r="AJ3435" s="17" t="str">
        <f t="shared" si="3"/>
        <v/>
      </c>
    </row>
    <row r="3436" spans="31:36">
      <c r="AE3436" s="15" t="str">
        <f t="shared" si="0"/>
        <v/>
      </c>
      <c r="AF3436" s="15" t="str">
        <f t="shared" si="1"/>
        <v/>
      </c>
      <c r="AG3436" s="15" t="str">
        <f>IF(OR(AF3436="",AF3436="ERRO_CHAVE"),"",IFERROR(MATCH(AF3436,'quitado Despesa'!$V$1:$V$12,0),""))</f>
        <v/>
      </c>
      <c r="AH3436" s="15" t="str">
        <f t="shared" si="2"/>
        <v/>
      </c>
      <c r="AI3436" s="17" t="str">
        <f>IF(AG3436="","",INDEX('quitado Despesa'!$G$1:$G$12,AG3436))</f>
        <v/>
      </c>
      <c r="AJ3436" s="17" t="str">
        <f t="shared" si="3"/>
        <v/>
      </c>
    </row>
    <row r="3437" spans="31:36">
      <c r="AE3437" s="15" t="str">
        <f t="shared" si="0"/>
        <v/>
      </c>
      <c r="AF3437" s="15" t="str">
        <f t="shared" si="1"/>
        <v/>
      </c>
      <c r="AG3437" s="15" t="str">
        <f>IF(OR(AF3437="",AF3437="ERRO_CHAVE"),"",IFERROR(MATCH(AF3437,'quitado Despesa'!$V$1:$V$12,0),""))</f>
        <v/>
      </c>
      <c r="AH3437" s="15" t="str">
        <f t="shared" si="2"/>
        <v/>
      </c>
      <c r="AI3437" s="17" t="str">
        <f>IF(AG3437="","",INDEX('quitado Despesa'!$G$1:$G$12,AG3437))</f>
        <v/>
      </c>
      <c r="AJ3437" s="17" t="str">
        <f t="shared" si="3"/>
        <v/>
      </c>
    </row>
    <row r="3438" spans="31:36">
      <c r="AE3438" s="15" t="str">
        <f t="shared" si="0"/>
        <v/>
      </c>
      <c r="AF3438" s="15" t="str">
        <f t="shared" si="1"/>
        <v/>
      </c>
      <c r="AG3438" s="15" t="str">
        <f>IF(OR(AF3438="",AF3438="ERRO_CHAVE"),"",IFERROR(MATCH(AF3438,'quitado Despesa'!$V$1:$V$12,0),""))</f>
        <v/>
      </c>
      <c r="AH3438" s="15" t="str">
        <f t="shared" si="2"/>
        <v/>
      </c>
      <c r="AI3438" s="17" t="str">
        <f>IF(AG3438="","",INDEX('quitado Despesa'!$G$1:$G$12,AG3438))</f>
        <v/>
      </c>
      <c r="AJ3438" s="17" t="str">
        <f t="shared" si="3"/>
        <v/>
      </c>
    </row>
    <row r="3439" spans="31:36">
      <c r="AE3439" s="15" t="str">
        <f t="shared" si="0"/>
        <v/>
      </c>
      <c r="AF3439" s="15" t="str">
        <f t="shared" si="1"/>
        <v/>
      </c>
      <c r="AG3439" s="15" t="str">
        <f>IF(OR(AF3439="",AF3439="ERRO_CHAVE"),"",IFERROR(MATCH(AF3439,'quitado Despesa'!$V$1:$V$12,0),""))</f>
        <v/>
      </c>
      <c r="AH3439" s="15" t="str">
        <f t="shared" si="2"/>
        <v/>
      </c>
      <c r="AI3439" s="17" t="str">
        <f>IF(AG3439="","",INDEX('quitado Despesa'!$G$1:$G$12,AG3439))</f>
        <v/>
      </c>
      <c r="AJ3439" s="17" t="str">
        <f t="shared" si="3"/>
        <v/>
      </c>
    </row>
    <row r="3440" spans="31:36">
      <c r="AE3440" s="15" t="str">
        <f t="shared" si="0"/>
        <v/>
      </c>
      <c r="AF3440" s="15" t="str">
        <f t="shared" si="1"/>
        <v/>
      </c>
      <c r="AG3440" s="15" t="str">
        <f>IF(OR(AF3440="",AF3440="ERRO_CHAVE"),"",IFERROR(MATCH(AF3440,'quitado Despesa'!$V$1:$V$12,0),""))</f>
        <v/>
      </c>
      <c r="AH3440" s="15" t="str">
        <f t="shared" si="2"/>
        <v/>
      </c>
      <c r="AI3440" s="17" t="str">
        <f>IF(AG3440="","",INDEX('quitado Despesa'!$G$1:$G$12,AG3440))</f>
        <v/>
      </c>
      <c r="AJ3440" s="17" t="str">
        <f t="shared" si="3"/>
        <v/>
      </c>
    </row>
    <row r="3441" spans="31:36">
      <c r="AE3441" s="15" t="str">
        <f t="shared" si="0"/>
        <v/>
      </c>
      <c r="AF3441" s="15" t="str">
        <f t="shared" si="1"/>
        <v/>
      </c>
      <c r="AG3441" s="15" t="str">
        <f>IF(OR(AF3441="",AF3441="ERRO_CHAVE"),"",IFERROR(MATCH(AF3441,'quitado Despesa'!$V$1:$V$12,0),""))</f>
        <v/>
      </c>
      <c r="AH3441" s="15" t="str">
        <f t="shared" si="2"/>
        <v/>
      </c>
      <c r="AI3441" s="17" t="str">
        <f>IF(AG3441="","",INDEX('quitado Despesa'!$G$1:$G$12,AG3441))</f>
        <v/>
      </c>
      <c r="AJ3441" s="17" t="str">
        <f t="shared" si="3"/>
        <v/>
      </c>
    </row>
    <row r="3442" spans="31:36">
      <c r="AE3442" s="15" t="str">
        <f t="shared" si="0"/>
        <v/>
      </c>
      <c r="AF3442" s="15" t="str">
        <f t="shared" si="1"/>
        <v/>
      </c>
      <c r="AG3442" s="15" t="str">
        <f>IF(OR(AF3442="",AF3442="ERRO_CHAVE"),"",IFERROR(MATCH(AF3442,'quitado Despesa'!$V$1:$V$12,0),""))</f>
        <v/>
      </c>
      <c r="AH3442" s="15" t="str">
        <f t="shared" si="2"/>
        <v/>
      </c>
      <c r="AI3442" s="17" t="str">
        <f>IF(AG3442="","",INDEX('quitado Despesa'!$G$1:$G$12,AG3442))</f>
        <v/>
      </c>
      <c r="AJ3442" s="17" t="str">
        <f t="shared" si="3"/>
        <v/>
      </c>
    </row>
    <row r="3443" spans="31:36">
      <c r="AE3443" s="15" t="str">
        <f t="shared" si="0"/>
        <v/>
      </c>
      <c r="AF3443" s="15" t="str">
        <f t="shared" si="1"/>
        <v/>
      </c>
      <c r="AG3443" s="15" t="str">
        <f>IF(OR(AF3443="",AF3443="ERRO_CHAVE"),"",IFERROR(MATCH(AF3443,'quitado Despesa'!$V$1:$V$12,0),""))</f>
        <v/>
      </c>
      <c r="AH3443" s="15" t="str">
        <f t="shared" si="2"/>
        <v/>
      </c>
      <c r="AI3443" s="17" t="str">
        <f>IF(AG3443="","",INDEX('quitado Despesa'!$G$1:$G$12,AG3443))</f>
        <v/>
      </c>
      <c r="AJ3443" s="17" t="str">
        <f t="shared" si="3"/>
        <v/>
      </c>
    </row>
    <row r="3444" spans="31:36">
      <c r="AE3444" s="15" t="str">
        <f t="shared" si="0"/>
        <v/>
      </c>
      <c r="AF3444" s="15" t="str">
        <f t="shared" si="1"/>
        <v/>
      </c>
      <c r="AG3444" s="15" t="str">
        <f>IF(OR(AF3444="",AF3444="ERRO_CHAVE"),"",IFERROR(MATCH(AF3444,'quitado Despesa'!$V$1:$V$12,0),""))</f>
        <v/>
      </c>
      <c r="AH3444" s="15" t="str">
        <f t="shared" si="2"/>
        <v/>
      </c>
      <c r="AI3444" s="17" t="str">
        <f>IF(AG3444="","",INDEX('quitado Despesa'!$G$1:$G$12,AG3444))</f>
        <v/>
      </c>
      <c r="AJ3444" s="17" t="str">
        <f t="shared" si="3"/>
        <v/>
      </c>
    </row>
    <row r="3445" spans="31:36">
      <c r="AE3445" s="15" t="str">
        <f t="shared" si="0"/>
        <v/>
      </c>
      <c r="AF3445" s="15" t="str">
        <f t="shared" si="1"/>
        <v/>
      </c>
      <c r="AG3445" s="15" t="str">
        <f>IF(OR(AF3445="",AF3445="ERRO_CHAVE"),"",IFERROR(MATCH(AF3445,'quitado Despesa'!$V$1:$V$12,0),""))</f>
        <v/>
      </c>
      <c r="AH3445" s="15" t="str">
        <f t="shared" si="2"/>
        <v/>
      </c>
      <c r="AI3445" s="17" t="str">
        <f>IF(AG3445="","",INDEX('quitado Despesa'!$G$1:$G$12,AG3445))</f>
        <v/>
      </c>
      <c r="AJ3445" s="17" t="str">
        <f t="shared" si="3"/>
        <v/>
      </c>
    </row>
    <row r="3446" spans="31:36">
      <c r="AE3446" s="15" t="str">
        <f t="shared" si="0"/>
        <v/>
      </c>
      <c r="AF3446" s="15" t="str">
        <f t="shared" si="1"/>
        <v/>
      </c>
      <c r="AG3446" s="15" t="str">
        <f>IF(OR(AF3446="",AF3446="ERRO_CHAVE"),"",IFERROR(MATCH(AF3446,'quitado Despesa'!$V$1:$V$12,0),""))</f>
        <v/>
      </c>
      <c r="AH3446" s="15" t="str">
        <f t="shared" si="2"/>
        <v/>
      </c>
      <c r="AI3446" s="17" t="str">
        <f>IF(AG3446="","",INDEX('quitado Despesa'!$G$1:$G$12,AG3446))</f>
        <v/>
      </c>
      <c r="AJ3446" s="17" t="str">
        <f t="shared" si="3"/>
        <v/>
      </c>
    </row>
    <row r="3447" spans="31:36">
      <c r="AE3447" s="15" t="str">
        <f t="shared" si="0"/>
        <v/>
      </c>
      <c r="AF3447" s="15" t="str">
        <f t="shared" si="1"/>
        <v/>
      </c>
      <c r="AG3447" s="15" t="str">
        <f>IF(OR(AF3447="",AF3447="ERRO_CHAVE"),"",IFERROR(MATCH(AF3447,'quitado Despesa'!$V$1:$V$12,0),""))</f>
        <v/>
      </c>
      <c r="AH3447" s="15" t="str">
        <f t="shared" si="2"/>
        <v/>
      </c>
      <c r="AI3447" s="17" t="str">
        <f>IF(AG3447="","",INDEX('quitado Despesa'!$G$1:$G$12,AG3447))</f>
        <v/>
      </c>
      <c r="AJ3447" s="17" t="str">
        <f t="shared" si="3"/>
        <v/>
      </c>
    </row>
    <row r="3448" spans="31:36">
      <c r="AE3448" s="15" t="str">
        <f t="shared" si="0"/>
        <v/>
      </c>
      <c r="AF3448" s="15" t="str">
        <f t="shared" si="1"/>
        <v/>
      </c>
      <c r="AG3448" s="15" t="str">
        <f>IF(OR(AF3448="",AF3448="ERRO_CHAVE"),"",IFERROR(MATCH(AF3448,'quitado Despesa'!$V$1:$V$12,0),""))</f>
        <v/>
      </c>
      <c r="AH3448" s="15" t="str">
        <f t="shared" si="2"/>
        <v/>
      </c>
      <c r="AI3448" s="17" t="str">
        <f>IF(AG3448="","",INDEX('quitado Despesa'!$G$1:$G$12,AG3448))</f>
        <v/>
      </c>
      <c r="AJ3448" s="17" t="str">
        <f t="shared" si="3"/>
        <v/>
      </c>
    </row>
    <row r="3449" spans="31:36">
      <c r="AE3449" s="15" t="str">
        <f t="shared" si="0"/>
        <v/>
      </c>
      <c r="AF3449" s="15" t="str">
        <f t="shared" si="1"/>
        <v/>
      </c>
      <c r="AG3449" s="15" t="str">
        <f>IF(OR(AF3449="",AF3449="ERRO_CHAVE"),"",IFERROR(MATCH(AF3449,'quitado Despesa'!$V$1:$V$12,0),""))</f>
        <v/>
      </c>
      <c r="AH3449" s="15" t="str">
        <f t="shared" si="2"/>
        <v/>
      </c>
      <c r="AI3449" s="17" t="str">
        <f>IF(AG3449="","",INDEX('quitado Despesa'!$G$1:$G$12,AG3449))</f>
        <v/>
      </c>
      <c r="AJ3449" s="17" t="str">
        <f t="shared" si="3"/>
        <v/>
      </c>
    </row>
    <row r="3450" spans="31:36">
      <c r="AE3450" s="15" t="str">
        <f t="shared" si="0"/>
        <v/>
      </c>
      <c r="AF3450" s="15" t="str">
        <f t="shared" si="1"/>
        <v/>
      </c>
      <c r="AG3450" s="15" t="str">
        <f>IF(OR(AF3450="",AF3450="ERRO_CHAVE"),"",IFERROR(MATCH(AF3450,'quitado Despesa'!$V$1:$V$12,0),""))</f>
        <v/>
      </c>
      <c r="AH3450" s="15" t="str">
        <f t="shared" si="2"/>
        <v/>
      </c>
      <c r="AI3450" s="17" t="str">
        <f>IF(AG3450="","",INDEX('quitado Despesa'!$G$1:$G$12,AG3450))</f>
        <v/>
      </c>
      <c r="AJ3450" s="17" t="str">
        <f t="shared" si="3"/>
        <v/>
      </c>
    </row>
    <row r="3451" spans="31:36">
      <c r="AE3451" s="15" t="str">
        <f t="shared" si="0"/>
        <v/>
      </c>
      <c r="AF3451" s="15" t="str">
        <f t="shared" si="1"/>
        <v/>
      </c>
      <c r="AG3451" s="15" t="str">
        <f>IF(OR(AF3451="",AF3451="ERRO_CHAVE"),"",IFERROR(MATCH(AF3451,'quitado Despesa'!$V$1:$V$12,0),""))</f>
        <v/>
      </c>
      <c r="AH3451" s="15" t="str">
        <f t="shared" si="2"/>
        <v/>
      </c>
      <c r="AI3451" s="17" t="str">
        <f>IF(AG3451="","",INDEX('quitado Despesa'!$G$1:$G$12,AG3451))</f>
        <v/>
      </c>
      <c r="AJ3451" s="17" t="str">
        <f t="shared" si="3"/>
        <v/>
      </c>
    </row>
    <row r="3452" spans="31:36">
      <c r="AE3452" s="15" t="str">
        <f t="shared" si="0"/>
        <v/>
      </c>
      <c r="AF3452" s="15" t="str">
        <f t="shared" si="1"/>
        <v/>
      </c>
      <c r="AG3452" s="15" t="str">
        <f>IF(OR(AF3452="",AF3452="ERRO_CHAVE"),"",IFERROR(MATCH(AF3452,'quitado Despesa'!$V$1:$V$12,0),""))</f>
        <v/>
      </c>
      <c r="AH3452" s="15" t="str">
        <f t="shared" si="2"/>
        <v/>
      </c>
      <c r="AI3452" s="17" t="str">
        <f>IF(AG3452="","",INDEX('quitado Despesa'!$G$1:$G$12,AG3452))</f>
        <v/>
      </c>
      <c r="AJ3452" s="17" t="str">
        <f t="shared" si="3"/>
        <v/>
      </c>
    </row>
    <row r="3453" spans="31:36">
      <c r="AE3453" s="15" t="str">
        <f t="shared" si="0"/>
        <v/>
      </c>
      <c r="AF3453" s="15" t="str">
        <f t="shared" si="1"/>
        <v/>
      </c>
      <c r="AG3453" s="15" t="str">
        <f>IF(OR(AF3453="",AF3453="ERRO_CHAVE"),"",IFERROR(MATCH(AF3453,'quitado Despesa'!$V$1:$V$12,0),""))</f>
        <v/>
      </c>
      <c r="AH3453" s="15" t="str">
        <f t="shared" si="2"/>
        <v/>
      </c>
      <c r="AI3453" s="17" t="str">
        <f>IF(AG3453="","",INDEX('quitado Despesa'!$G$1:$G$12,AG3453))</f>
        <v/>
      </c>
      <c r="AJ3453" s="17" t="str">
        <f t="shared" si="3"/>
        <v/>
      </c>
    </row>
    <row r="3454" spans="31:36">
      <c r="AE3454" s="15" t="str">
        <f t="shared" si="0"/>
        <v/>
      </c>
      <c r="AF3454" s="15" t="str">
        <f t="shared" si="1"/>
        <v/>
      </c>
      <c r="AG3454" s="15" t="str">
        <f>IF(OR(AF3454="",AF3454="ERRO_CHAVE"),"",IFERROR(MATCH(AF3454,'quitado Despesa'!$V$1:$V$12,0),""))</f>
        <v/>
      </c>
      <c r="AH3454" s="15" t="str">
        <f t="shared" si="2"/>
        <v/>
      </c>
      <c r="AI3454" s="17" t="str">
        <f>IF(AG3454="","",INDEX('quitado Despesa'!$G$1:$G$12,AG3454))</f>
        <v/>
      </c>
      <c r="AJ3454" s="17" t="str">
        <f t="shared" si="3"/>
        <v/>
      </c>
    </row>
    <row r="3455" spans="31:36">
      <c r="AE3455" s="15" t="str">
        <f t="shared" si="0"/>
        <v/>
      </c>
      <c r="AF3455" s="15" t="str">
        <f t="shared" si="1"/>
        <v/>
      </c>
      <c r="AG3455" s="15" t="str">
        <f>IF(OR(AF3455="",AF3455="ERRO_CHAVE"),"",IFERROR(MATCH(AF3455,'quitado Despesa'!$V$1:$V$12,0),""))</f>
        <v/>
      </c>
      <c r="AH3455" s="15" t="str">
        <f t="shared" si="2"/>
        <v/>
      </c>
      <c r="AI3455" s="17" t="str">
        <f>IF(AG3455="","",INDEX('quitado Despesa'!$G$1:$G$12,AG3455))</f>
        <v/>
      </c>
      <c r="AJ3455" s="17" t="str">
        <f t="shared" si="3"/>
        <v/>
      </c>
    </row>
    <row r="3456" spans="31:36">
      <c r="AE3456" s="15" t="str">
        <f t="shared" si="0"/>
        <v/>
      </c>
      <c r="AF3456" s="15" t="str">
        <f t="shared" si="1"/>
        <v/>
      </c>
      <c r="AG3456" s="15" t="str">
        <f>IF(OR(AF3456="",AF3456="ERRO_CHAVE"),"",IFERROR(MATCH(AF3456,'quitado Despesa'!$V$1:$V$12,0),""))</f>
        <v/>
      </c>
      <c r="AH3456" s="15" t="str">
        <f t="shared" si="2"/>
        <v/>
      </c>
      <c r="AI3456" s="17" t="str">
        <f>IF(AG3456="","",INDEX('quitado Despesa'!$G$1:$G$12,AG3456))</f>
        <v/>
      </c>
      <c r="AJ3456" s="17" t="str">
        <f t="shared" si="3"/>
        <v/>
      </c>
    </row>
    <row r="3457" spans="31:36">
      <c r="AE3457" s="15" t="str">
        <f t="shared" si="0"/>
        <v/>
      </c>
      <c r="AF3457" s="15" t="str">
        <f t="shared" si="1"/>
        <v/>
      </c>
      <c r="AG3457" s="15" t="str">
        <f>IF(OR(AF3457="",AF3457="ERRO_CHAVE"),"",IFERROR(MATCH(AF3457,'quitado Despesa'!$V$1:$V$12,0),""))</f>
        <v/>
      </c>
      <c r="AH3457" s="15" t="str">
        <f t="shared" si="2"/>
        <v/>
      </c>
      <c r="AI3457" s="17" t="str">
        <f>IF(AG3457="","",INDEX('quitado Despesa'!$G$1:$G$12,AG3457))</f>
        <v/>
      </c>
      <c r="AJ3457" s="17" t="str">
        <f t="shared" si="3"/>
        <v/>
      </c>
    </row>
    <row r="3458" spans="31:36">
      <c r="AE3458" s="15" t="str">
        <f t="shared" si="0"/>
        <v/>
      </c>
      <c r="AF3458" s="15" t="str">
        <f t="shared" si="1"/>
        <v/>
      </c>
      <c r="AG3458" s="15" t="str">
        <f>IF(OR(AF3458="",AF3458="ERRO_CHAVE"),"",IFERROR(MATCH(AF3458,'quitado Despesa'!$V$1:$V$12,0),""))</f>
        <v/>
      </c>
      <c r="AH3458" s="15" t="str">
        <f t="shared" si="2"/>
        <v/>
      </c>
      <c r="AI3458" s="17" t="str">
        <f>IF(AG3458="","",INDEX('quitado Despesa'!$G$1:$G$12,AG3458))</f>
        <v/>
      </c>
      <c r="AJ3458" s="17" t="str">
        <f t="shared" si="3"/>
        <v/>
      </c>
    </row>
    <row r="3459" spans="31:36">
      <c r="AE3459" s="15" t="str">
        <f t="shared" si="0"/>
        <v/>
      </c>
      <c r="AF3459" s="15" t="str">
        <f t="shared" si="1"/>
        <v/>
      </c>
      <c r="AG3459" s="15" t="str">
        <f>IF(OR(AF3459="",AF3459="ERRO_CHAVE"),"",IFERROR(MATCH(AF3459,'quitado Despesa'!$V$1:$V$12,0),""))</f>
        <v/>
      </c>
      <c r="AH3459" s="15" t="str">
        <f t="shared" si="2"/>
        <v/>
      </c>
      <c r="AI3459" s="17" t="str">
        <f>IF(AG3459="","",INDEX('quitado Despesa'!$G$1:$G$12,AG3459))</f>
        <v/>
      </c>
      <c r="AJ3459" s="17" t="str">
        <f t="shared" si="3"/>
        <v/>
      </c>
    </row>
    <row r="3460" spans="31:36">
      <c r="AE3460" s="15" t="str">
        <f t="shared" si="0"/>
        <v/>
      </c>
      <c r="AF3460" s="15" t="str">
        <f t="shared" si="1"/>
        <v/>
      </c>
      <c r="AG3460" s="15" t="str">
        <f>IF(OR(AF3460="",AF3460="ERRO_CHAVE"),"",IFERROR(MATCH(AF3460,'quitado Despesa'!$V$1:$V$12,0),""))</f>
        <v/>
      </c>
      <c r="AH3460" s="15" t="str">
        <f t="shared" si="2"/>
        <v/>
      </c>
      <c r="AI3460" s="17" t="str">
        <f>IF(AG3460="","",INDEX('quitado Despesa'!$G$1:$G$12,AG3460))</f>
        <v/>
      </c>
      <c r="AJ3460" s="17" t="str">
        <f t="shared" si="3"/>
        <v/>
      </c>
    </row>
    <row r="3461" spans="31:36">
      <c r="AE3461" s="15" t="str">
        <f t="shared" si="0"/>
        <v/>
      </c>
      <c r="AF3461" s="15" t="str">
        <f t="shared" si="1"/>
        <v/>
      </c>
      <c r="AG3461" s="15" t="str">
        <f>IF(OR(AF3461="",AF3461="ERRO_CHAVE"),"",IFERROR(MATCH(AF3461,'quitado Despesa'!$V$1:$V$12,0),""))</f>
        <v/>
      </c>
      <c r="AH3461" s="15" t="str">
        <f t="shared" si="2"/>
        <v/>
      </c>
      <c r="AI3461" s="17" t="str">
        <f>IF(AG3461="","",INDEX('quitado Despesa'!$G$1:$G$12,AG3461))</f>
        <v/>
      </c>
      <c r="AJ3461" s="17" t="str">
        <f t="shared" si="3"/>
        <v/>
      </c>
    </row>
    <row r="3462" spans="31:36">
      <c r="AE3462" s="15" t="str">
        <f t="shared" si="0"/>
        <v/>
      </c>
      <c r="AF3462" s="15" t="str">
        <f t="shared" si="1"/>
        <v/>
      </c>
      <c r="AG3462" s="15" t="str">
        <f>IF(OR(AF3462="",AF3462="ERRO_CHAVE"),"",IFERROR(MATCH(AF3462,'quitado Despesa'!$V$1:$V$12,0),""))</f>
        <v/>
      </c>
      <c r="AH3462" s="15" t="str">
        <f t="shared" si="2"/>
        <v/>
      </c>
      <c r="AI3462" s="17" t="str">
        <f>IF(AG3462="","",INDEX('quitado Despesa'!$G$1:$G$12,AG3462))</f>
        <v/>
      </c>
      <c r="AJ3462" s="17" t="str">
        <f t="shared" si="3"/>
        <v/>
      </c>
    </row>
    <row r="3463" spans="31:36">
      <c r="AE3463" s="15" t="str">
        <f t="shared" si="0"/>
        <v/>
      </c>
      <c r="AF3463" s="15" t="str">
        <f t="shared" si="1"/>
        <v/>
      </c>
      <c r="AG3463" s="15" t="str">
        <f>IF(OR(AF3463="",AF3463="ERRO_CHAVE"),"",IFERROR(MATCH(AF3463,'quitado Despesa'!$V$1:$V$12,0),""))</f>
        <v/>
      </c>
      <c r="AH3463" s="15" t="str">
        <f t="shared" si="2"/>
        <v/>
      </c>
      <c r="AI3463" s="17" t="str">
        <f>IF(AG3463="","",INDEX('quitado Despesa'!$G$1:$G$12,AG3463))</f>
        <v/>
      </c>
      <c r="AJ3463" s="17" t="str">
        <f t="shared" si="3"/>
        <v/>
      </c>
    </row>
    <row r="3464" spans="31:36">
      <c r="AE3464" s="15" t="str">
        <f t="shared" si="0"/>
        <v/>
      </c>
      <c r="AF3464" s="15" t="str">
        <f t="shared" si="1"/>
        <v/>
      </c>
      <c r="AG3464" s="15" t="str">
        <f>IF(OR(AF3464="",AF3464="ERRO_CHAVE"),"",IFERROR(MATCH(AF3464,'quitado Despesa'!$V$1:$V$12,0),""))</f>
        <v/>
      </c>
      <c r="AH3464" s="15" t="str">
        <f t="shared" si="2"/>
        <v/>
      </c>
      <c r="AI3464" s="17" t="str">
        <f>IF(AG3464="","",INDEX('quitado Despesa'!$G$1:$G$12,AG3464))</f>
        <v/>
      </c>
      <c r="AJ3464" s="17" t="str">
        <f t="shared" si="3"/>
        <v/>
      </c>
    </row>
    <row r="3465" spans="31:36">
      <c r="AE3465" s="15" t="str">
        <f t="shared" si="0"/>
        <v/>
      </c>
      <c r="AF3465" s="15" t="str">
        <f t="shared" si="1"/>
        <v/>
      </c>
      <c r="AG3465" s="15" t="str">
        <f>IF(OR(AF3465="",AF3465="ERRO_CHAVE"),"",IFERROR(MATCH(AF3465,'quitado Despesa'!$V$1:$V$12,0),""))</f>
        <v/>
      </c>
      <c r="AH3465" s="15" t="str">
        <f t="shared" si="2"/>
        <v/>
      </c>
      <c r="AI3465" s="17" t="str">
        <f>IF(AG3465="","",INDEX('quitado Despesa'!$G$1:$G$12,AG3465))</f>
        <v/>
      </c>
      <c r="AJ3465" s="17" t="str">
        <f t="shared" si="3"/>
        <v/>
      </c>
    </row>
    <row r="3466" spans="31:36">
      <c r="AE3466" s="15" t="str">
        <f t="shared" si="0"/>
        <v/>
      </c>
      <c r="AF3466" s="15" t="str">
        <f t="shared" si="1"/>
        <v/>
      </c>
      <c r="AG3466" s="15" t="str">
        <f>IF(OR(AF3466="",AF3466="ERRO_CHAVE"),"",IFERROR(MATCH(AF3466,'quitado Despesa'!$V$1:$V$12,0),""))</f>
        <v/>
      </c>
      <c r="AH3466" s="15" t="str">
        <f t="shared" si="2"/>
        <v/>
      </c>
      <c r="AI3466" s="17" t="str">
        <f>IF(AG3466="","",INDEX('quitado Despesa'!$G$1:$G$12,AG3466))</f>
        <v/>
      </c>
      <c r="AJ3466" s="17" t="str">
        <f t="shared" si="3"/>
        <v/>
      </c>
    </row>
    <row r="3467" spans="31:36">
      <c r="AE3467" s="15" t="str">
        <f t="shared" si="0"/>
        <v/>
      </c>
      <c r="AF3467" s="15" t="str">
        <f t="shared" si="1"/>
        <v/>
      </c>
      <c r="AG3467" s="15" t="str">
        <f>IF(OR(AF3467="",AF3467="ERRO_CHAVE"),"",IFERROR(MATCH(AF3467,'quitado Despesa'!$V$1:$V$12,0),""))</f>
        <v/>
      </c>
      <c r="AH3467" s="15" t="str">
        <f t="shared" si="2"/>
        <v/>
      </c>
      <c r="AI3467" s="17" t="str">
        <f>IF(AG3467="","",INDEX('quitado Despesa'!$G$1:$G$12,AG3467))</f>
        <v/>
      </c>
      <c r="AJ3467" s="17" t="str">
        <f t="shared" si="3"/>
        <v/>
      </c>
    </row>
    <row r="3468" spans="31:36">
      <c r="AE3468" s="15" t="str">
        <f t="shared" si="0"/>
        <v/>
      </c>
      <c r="AF3468" s="15" t="str">
        <f t="shared" si="1"/>
        <v/>
      </c>
      <c r="AG3468" s="15" t="str">
        <f>IF(OR(AF3468="",AF3468="ERRO_CHAVE"),"",IFERROR(MATCH(AF3468,'quitado Despesa'!$V$1:$V$12,0),""))</f>
        <v/>
      </c>
      <c r="AH3468" s="15" t="str">
        <f t="shared" si="2"/>
        <v/>
      </c>
      <c r="AI3468" s="17" t="str">
        <f>IF(AG3468="","",INDEX('quitado Despesa'!$G$1:$G$12,AG3468))</f>
        <v/>
      </c>
      <c r="AJ3468" s="17" t="str">
        <f t="shared" si="3"/>
        <v/>
      </c>
    </row>
    <row r="3469" spans="31:36">
      <c r="AE3469" s="15" t="str">
        <f t="shared" si="0"/>
        <v/>
      </c>
      <c r="AF3469" s="15" t="str">
        <f t="shared" si="1"/>
        <v/>
      </c>
      <c r="AG3469" s="15" t="str">
        <f>IF(OR(AF3469="",AF3469="ERRO_CHAVE"),"",IFERROR(MATCH(AF3469,'quitado Despesa'!$V$1:$V$12,0),""))</f>
        <v/>
      </c>
      <c r="AH3469" s="15" t="str">
        <f t="shared" si="2"/>
        <v/>
      </c>
      <c r="AI3469" s="17" t="str">
        <f>IF(AG3469="","",INDEX('quitado Despesa'!$G$1:$G$12,AG3469))</f>
        <v/>
      </c>
      <c r="AJ3469" s="17" t="str">
        <f t="shared" si="3"/>
        <v/>
      </c>
    </row>
    <row r="3470" spans="31:36">
      <c r="AE3470" s="15" t="str">
        <f t="shared" si="0"/>
        <v/>
      </c>
      <c r="AF3470" s="15" t="str">
        <f t="shared" si="1"/>
        <v/>
      </c>
      <c r="AG3470" s="15" t="str">
        <f>IF(OR(AF3470="",AF3470="ERRO_CHAVE"),"",IFERROR(MATCH(AF3470,'quitado Despesa'!$V$1:$V$12,0),""))</f>
        <v/>
      </c>
      <c r="AH3470" s="15" t="str">
        <f t="shared" si="2"/>
        <v/>
      </c>
      <c r="AI3470" s="17" t="str">
        <f>IF(AG3470="","",INDEX('quitado Despesa'!$G$1:$G$12,AG3470))</f>
        <v/>
      </c>
      <c r="AJ3470" s="17" t="str">
        <f t="shared" si="3"/>
        <v/>
      </c>
    </row>
    <row r="3471" spans="31:36">
      <c r="AE3471" s="15" t="str">
        <f t="shared" si="0"/>
        <v/>
      </c>
      <c r="AF3471" s="15" t="str">
        <f t="shared" si="1"/>
        <v/>
      </c>
      <c r="AG3471" s="15" t="str">
        <f>IF(OR(AF3471="",AF3471="ERRO_CHAVE"),"",IFERROR(MATCH(AF3471,'quitado Despesa'!$V$1:$V$12,0),""))</f>
        <v/>
      </c>
      <c r="AH3471" s="15" t="str">
        <f t="shared" si="2"/>
        <v/>
      </c>
      <c r="AI3471" s="17" t="str">
        <f>IF(AG3471="","",INDEX('quitado Despesa'!$G$1:$G$12,AG3471))</f>
        <v/>
      </c>
      <c r="AJ3471" s="17" t="str">
        <f t="shared" si="3"/>
        <v/>
      </c>
    </row>
    <row r="3472" spans="31:36">
      <c r="AE3472" s="15" t="str">
        <f t="shared" si="0"/>
        <v/>
      </c>
      <c r="AF3472" s="15" t="str">
        <f t="shared" si="1"/>
        <v/>
      </c>
      <c r="AG3472" s="15" t="str">
        <f>IF(OR(AF3472="",AF3472="ERRO_CHAVE"),"",IFERROR(MATCH(AF3472,'quitado Despesa'!$V$1:$V$12,0),""))</f>
        <v/>
      </c>
      <c r="AH3472" s="15" t="str">
        <f t="shared" si="2"/>
        <v/>
      </c>
      <c r="AI3472" s="17" t="str">
        <f>IF(AG3472="","",INDEX('quitado Despesa'!$G$1:$G$12,AG3472))</f>
        <v/>
      </c>
      <c r="AJ3472" s="17" t="str">
        <f t="shared" si="3"/>
        <v/>
      </c>
    </row>
    <row r="3473" spans="31:36">
      <c r="AE3473" s="15" t="str">
        <f t="shared" si="0"/>
        <v/>
      </c>
      <c r="AF3473" s="15" t="str">
        <f t="shared" si="1"/>
        <v/>
      </c>
      <c r="AG3473" s="15" t="str">
        <f>IF(OR(AF3473="",AF3473="ERRO_CHAVE"),"",IFERROR(MATCH(AF3473,'quitado Despesa'!$V$1:$V$12,0),""))</f>
        <v/>
      </c>
      <c r="AH3473" s="15" t="str">
        <f t="shared" si="2"/>
        <v/>
      </c>
      <c r="AI3473" s="17" t="str">
        <f>IF(AG3473="","",INDEX('quitado Despesa'!$G$1:$G$12,AG3473))</f>
        <v/>
      </c>
      <c r="AJ3473" s="17" t="str">
        <f t="shared" si="3"/>
        <v/>
      </c>
    </row>
    <row r="3474" spans="31:36">
      <c r="AE3474" s="15" t="str">
        <f t="shared" si="0"/>
        <v/>
      </c>
      <c r="AF3474" s="15" t="str">
        <f t="shared" si="1"/>
        <v/>
      </c>
      <c r="AG3474" s="15" t="str">
        <f>IF(OR(AF3474="",AF3474="ERRO_CHAVE"),"",IFERROR(MATCH(AF3474,'quitado Despesa'!$V$1:$V$12,0),""))</f>
        <v/>
      </c>
      <c r="AH3474" s="15" t="str">
        <f t="shared" si="2"/>
        <v/>
      </c>
      <c r="AI3474" s="17" t="str">
        <f>IF(AG3474="","",INDEX('quitado Despesa'!$G$1:$G$12,AG3474))</f>
        <v/>
      </c>
      <c r="AJ3474" s="17" t="str">
        <f t="shared" si="3"/>
        <v/>
      </c>
    </row>
    <row r="3475" spans="31:36">
      <c r="AE3475" s="15" t="str">
        <f t="shared" si="0"/>
        <v/>
      </c>
      <c r="AF3475" s="15" t="str">
        <f t="shared" si="1"/>
        <v/>
      </c>
      <c r="AG3475" s="15" t="str">
        <f>IF(OR(AF3475="",AF3475="ERRO_CHAVE"),"",IFERROR(MATCH(AF3475,'quitado Despesa'!$V$1:$V$12,0),""))</f>
        <v/>
      </c>
      <c r="AH3475" s="15" t="str">
        <f t="shared" si="2"/>
        <v/>
      </c>
      <c r="AI3475" s="17" t="str">
        <f>IF(AG3475="","",INDEX('quitado Despesa'!$G$1:$G$12,AG3475))</f>
        <v/>
      </c>
      <c r="AJ3475" s="17" t="str">
        <f t="shared" si="3"/>
        <v/>
      </c>
    </row>
    <row r="3476" spans="31:36">
      <c r="AE3476" s="15" t="str">
        <f t="shared" si="0"/>
        <v/>
      </c>
      <c r="AF3476" s="15" t="str">
        <f t="shared" si="1"/>
        <v/>
      </c>
      <c r="AG3476" s="15" t="str">
        <f>IF(OR(AF3476="",AF3476="ERRO_CHAVE"),"",IFERROR(MATCH(AF3476,'quitado Despesa'!$V$1:$V$12,0),""))</f>
        <v/>
      </c>
      <c r="AH3476" s="15" t="str">
        <f t="shared" si="2"/>
        <v/>
      </c>
      <c r="AI3476" s="17" t="str">
        <f>IF(AG3476="","",INDEX('quitado Despesa'!$G$1:$G$12,AG3476))</f>
        <v/>
      </c>
      <c r="AJ3476" s="17" t="str">
        <f t="shared" si="3"/>
        <v/>
      </c>
    </row>
    <row r="3477" spans="31:36">
      <c r="AE3477" s="15" t="str">
        <f t="shared" si="0"/>
        <v/>
      </c>
      <c r="AF3477" s="15" t="str">
        <f t="shared" si="1"/>
        <v/>
      </c>
      <c r="AG3477" s="15" t="str">
        <f>IF(OR(AF3477="",AF3477="ERRO_CHAVE"),"",IFERROR(MATCH(AF3477,'quitado Despesa'!$V$1:$V$12,0),""))</f>
        <v/>
      </c>
      <c r="AH3477" s="15" t="str">
        <f t="shared" si="2"/>
        <v/>
      </c>
      <c r="AI3477" s="17" t="str">
        <f>IF(AG3477="","",INDEX('quitado Despesa'!$G$1:$G$12,AG3477))</f>
        <v/>
      </c>
      <c r="AJ3477" s="17" t="str">
        <f t="shared" si="3"/>
        <v/>
      </c>
    </row>
    <row r="3478" spans="31:36">
      <c r="AE3478" s="15" t="str">
        <f t="shared" si="0"/>
        <v/>
      </c>
      <c r="AF3478" s="15" t="str">
        <f t="shared" si="1"/>
        <v/>
      </c>
      <c r="AG3478" s="15" t="str">
        <f>IF(OR(AF3478="",AF3478="ERRO_CHAVE"),"",IFERROR(MATCH(AF3478,'quitado Despesa'!$V$1:$V$12,0),""))</f>
        <v/>
      </c>
      <c r="AH3478" s="15" t="str">
        <f t="shared" si="2"/>
        <v/>
      </c>
      <c r="AI3478" s="17" t="str">
        <f>IF(AG3478="","",INDEX('quitado Despesa'!$G$1:$G$12,AG3478))</f>
        <v/>
      </c>
      <c r="AJ3478" s="17" t="str">
        <f t="shared" si="3"/>
        <v/>
      </c>
    </row>
    <row r="3479" spans="31:36">
      <c r="AE3479" s="15" t="str">
        <f t="shared" si="0"/>
        <v/>
      </c>
      <c r="AF3479" s="15" t="str">
        <f t="shared" si="1"/>
        <v/>
      </c>
      <c r="AG3479" s="15" t="str">
        <f>IF(OR(AF3479="",AF3479="ERRO_CHAVE"),"",IFERROR(MATCH(AF3479,'quitado Despesa'!$V$1:$V$12,0),""))</f>
        <v/>
      </c>
      <c r="AH3479" s="15" t="str">
        <f t="shared" si="2"/>
        <v/>
      </c>
      <c r="AI3479" s="17" t="str">
        <f>IF(AG3479="","",INDEX('quitado Despesa'!$G$1:$G$12,AG3479))</f>
        <v/>
      </c>
      <c r="AJ3479" s="17" t="str">
        <f t="shared" si="3"/>
        <v/>
      </c>
    </row>
    <row r="3480" spans="31:36">
      <c r="AE3480" s="15" t="str">
        <f t="shared" si="0"/>
        <v/>
      </c>
      <c r="AF3480" s="15" t="str">
        <f t="shared" si="1"/>
        <v/>
      </c>
      <c r="AG3480" s="15" t="str">
        <f>IF(OR(AF3480="",AF3480="ERRO_CHAVE"),"",IFERROR(MATCH(AF3480,'quitado Despesa'!$V$1:$V$12,0),""))</f>
        <v/>
      </c>
      <c r="AH3480" s="15" t="str">
        <f t="shared" si="2"/>
        <v/>
      </c>
      <c r="AI3480" s="17" t="str">
        <f>IF(AG3480="","",INDEX('quitado Despesa'!$G$1:$G$12,AG3480))</f>
        <v/>
      </c>
      <c r="AJ3480" s="17" t="str">
        <f t="shared" si="3"/>
        <v/>
      </c>
    </row>
    <row r="3481" spans="31:36">
      <c r="AE3481" s="15" t="str">
        <f t="shared" si="0"/>
        <v/>
      </c>
      <c r="AF3481" s="15" t="str">
        <f t="shared" si="1"/>
        <v/>
      </c>
      <c r="AG3481" s="15" t="str">
        <f>IF(OR(AF3481="",AF3481="ERRO_CHAVE"),"",IFERROR(MATCH(AF3481,'quitado Despesa'!$V$1:$V$12,0),""))</f>
        <v/>
      </c>
      <c r="AH3481" s="15" t="str">
        <f t="shared" si="2"/>
        <v/>
      </c>
      <c r="AI3481" s="17" t="str">
        <f>IF(AG3481="","",INDEX('quitado Despesa'!$G$1:$G$12,AG3481))</f>
        <v/>
      </c>
      <c r="AJ3481" s="17" t="str">
        <f t="shared" si="3"/>
        <v/>
      </c>
    </row>
    <row r="3482" spans="31:36">
      <c r="AE3482" s="15" t="str">
        <f t="shared" si="0"/>
        <v/>
      </c>
      <c r="AF3482" s="15" t="str">
        <f t="shared" si="1"/>
        <v/>
      </c>
      <c r="AG3482" s="15" t="str">
        <f>IF(OR(AF3482="",AF3482="ERRO_CHAVE"),"",IFERROR(MATCH(AF3482,'quitado Despesa'!$V$1:$V$12,0),""))</f>
        <v/>
      </c>
      <c r="AH3482" s="15" t="str">
        <f t="shared" si="2"/>
        <v/>
      </c>
      <c r="AI3482" s="17" t="str">
        <f>IF(AG3482="","",INDEX('quitado Despesa'!$G$1:$G$12,AG3482))</f>
        <v/>
      </c>
      <c r="AJ3482" s="17" t="str">
        <f t="shared" si="3"/>
        <v/>
      </c>
    </row>
    <row r="3483" spans="31:36">
      <c r="AE3483" s="15" t="str">
        <f t="shared" si="0"/>
        <v/>
      </c>
      <c r="AF3483" s="15" t="str">
        <f t="shared" si="1"/>
        <v/>
      </c>
      <c r="AG3483" s="15" t="str">
        <f>IF(OR(AF3483="",AF3483="ERRO_CHAVE"),"",IFERROR(MATCH(AF3483,'quitado Despesa'!$V$1:$V$12,0),""))</f>
        <v/>
      </c>
      <c r="AH3483" s="15" t="str">
        <f t="shared" si="2"/>
        <v/>
      </c>
      <c r="AI3483" s="17" t="str">
        <f>IF(AG3483="","",INDEX('quitado Despesa'!$G$1:$G$12,AG3483))</f>
        <v/>
      </c>
      <c r="AJ3483" s="17" t="str">
        <f t="shared" si="3"/>
        <v/>
      </c>
    </row>
    <row r="3484" spans="31:36">
      <c r="AE3484" s="15" t="str">
        <f t="shared" si="0"/>
        <v/>
      </c>
      <c r="AF3484" s="15" t="str">
        <f t="shared" si="1"/>
        <v/>
      </c>
      <c r="AG3484" s="15" t="str">
        <f>IF(OR(AF3484="",AF3484="ERRO_CHAVE"),"",IFERROR(MATCH(AF3484,'quitado Despesa'!$V$1:$V$12,0),""))</f>
        <v/>
      </c>
      <c r="AH3484" s="15" t="str">
        <f t="shared" si="2"/>
        <v/>
      </c>
      <c r="AI3484" s="17" t="str">
        <f>IF(AG3484="","",INDEX('quitado Despesa'!$G$1:$G$12,AG3484))</f>
        <v/>
      </c>
      <c r="AJ3484" s="17" t="str">
        <f t="shared" si="3"/>
        <v/>
      </c>
    </row>
    <row r="3485" spans="31:36">
      <c r="AE3485" s="15" t="str">
        <f t="shared" si="0"/>
        <v/>
      </c>
      <c r="AF3485" s="15" t="str">
        <f t="shared" si="1"/>
        <v/>
      </c>
      <c r="AG3485" s="15" t="str">
        <f>IF(OR(AF3485="",AF3485="ERRO_CHAVE"),"",IFERROR(MATCH(AF3485,'quitado Despesa'!$V$1:$V$12,0),""))</f>
        <v/>
      </c>
      <c r="AH3485" s="15" t="str">
        <f t="shared" si="2"/>
        <v/>
      </c>
      <c r="AI3485" s="17" t="str">
        <f>IF(AG3485="","",INDEX('quitado Despesa'!$G$1:$G$12,AG3485))</f>
        <v/>
      </c>
      <c r="AJ3485" s="17" t="str">
        <f t="shared" si="3"/>
        <v/>
      </c>
    </row>
    <row r="3486" spans="31:36">
      <c r="AE3486" s="15" t="str">
        <f t="shared" si="0"/>
        <v/>
      </c>
      <c r="AF3486" s="15" t="str">
        <f t="shared" si="1"/>
        <v/>
      </c>
      <c r="AG3486" s="15" t="str">
        <f>IF(OR(AF3486="",AF3486="ERRO_CHAVE"),"",IFERROR(MATCH(AF3486,'quitado Despesa'!$V$1:$V$12,0),""))</f>
        <v/>
      </c>
      <c r="AH3486" s="15" t="str">
        <f t="shared" si="2"/>
        <v/>
      </c>
      <c r="AI3486" s="17" t="str">
        <f>IF(AG3486="","",INDEX('quitado Despesa'!$G$1:$G$12,AG3486))</f>
        <v/>
      </c>
      <c r="AJ3486" s="17" t="str">
        <f t="shared" si="3"/>
        <v/>
      </c>
    </row>
    <row r="3487" spans="31:36">
      <c r="AE3487" s="15" t="str">
        <f t="shared" si="0"/>
        <v/>
      </c>
      <c r="AF3487" s="15" t="str">
        <f t="shared" si="1"/>
        <v/>
      </c>
      <c r="AG3487" s="15" t="str">
        <f>IF(OR(AF3487="",AF3487="ERRO_CHAVE"),"",IFERROR(MATCH(AF3487,'quitado Despesa'!$V$1:$V$12,0),""))</f>
        <v/>
      </c>
      <c r="AH3487" s="15" t="str">
        <f t="shared" si="2"/>
        <v/>
      </c>
      <c r="AI3487" s="17" t="str">
        <f>IF(AG3487="","",INDEX('quitado Despesa'!$G$1:$G$12,AG3487))</f>
        <v/>
      </c>
      <c r="AJ3487" s="17" t="str">
        <f t="shared" si="3"/>
        <v/>
      </c>
    </row>
    <row r="3488" spans="31:36">
      <c r="AE3488" s="15" t="str">
        <f t="shared" si="0"/>
        <v/>
      </c>
      <c r="AF3488" s="15" t="str">
        <f t="shared" si="1"/>
        <v/>
      </c>
      <c r="AG3488" s="15" t="str">
        <f>IF(OR(AF3488="",AF3488="ERRO_CHAVE"),"",IFERROR(MATCH(AF3488,'quitado Despesa'!$V$1:$V$12,0),""))</f>
        <v/>
      </c>
      <c r="AH3488" s="15" t="str">
        <f t="shared" si="2"/>
        <v/>
      </c>
      <c r="AI3488" s="17" t="str">
        <f>IF(AG3488="","",INDEX('quitado Despesa'!$G$1:$G$12,AG3488))</f>
        <v/>
      </c>
      <c r="AJ3488" s="17" t="str">
        <f t="shared" si="3"/>
        <v/>
      </c>
    </row>
    <row r="3489" spans="31:36">
      <c r="AE3489" s="15" t="str">
        <f t="shared" si="0"/>
        <v/>
      </c>
      <c r="AF3489" s="15" t="str">
        <f t="shared" si="1"/>
        <v/>
      </c>
      <c r="AG3489" s="15" t="str">
        <f>IF(OR(AF3489="",AF3489="ERRO_CHAVE"),"",IFERROR(MATCH(AF3489,'quitado Despesa'!$V$1:$V$12,0),""))</f>
        <v/>
      </c>
      <c r="AH3489" s="15" t="str">
        <f t="shared" si="2"/>
        <v/>
      </c>
      <c r="AI3489" s="17" t="str">
        <f>IF(AG3489="","",INDEX('quitado Despesa'!$G$1:$G$12,AG3489))</f>
        <v/>
      </c>
      <c r="AJ3489" s="17" t="str">
        <f t="shared" si="3"/>
        <v/>
      </c>
    </row>
    <row r="3490" spans="31:36">
      <c r="AE3490" s="15" t="str">
        <f t="shared" si="0"/>
        <v/>
      </c>
      <c r="AF3490" s="15" t="str">
        <f t="shared" si="1"/>
        <v/>
      </c>
      <c r="AG3490" s="15" t="str">
        <f>IF(OR(AF3490="",AF3490="ERRO_CHAVE"),"",IFERROR(MATCH(AF3490,'quitado Despesa'!$V$1:$V$12,0),""))</f>
        <v/>
      </c>
      <c r="AH3490" s="15" t="str">
        <f t="shared" si="2"/>
        <v/>
      </c>
      <c r="AI3490" s="17" t="str">
        <f>IF(AG3490="","",INDEX('quitado Despesa'!$G$1:$G$12,AG3490))</f>
        <v/>
      </c>
      <c r="AJ3490" s="17" t="str">
        <f t="shared" si="3"/>
        <v/>
      </c>
    </row>
    <row r="3491" spans="31:36">
      <c r="AE3491" s="15" t="str">
        <f t="shared" si="0"/>
        <v/>
      </c>
      <c r="AF3491" s="15" t="str">
        <f t="shared" si="1"/>
        <v/>
      </c>
      <c r="AG3491" s="15" t="str">
        <f>IF(OR(AF3491="",AF3491="ERRO_CHAVE"),"",IFERROR(MATCH(AF3491,'quitado Despesa'!$V$1:$V$12,0),""))</f>
        <v/>
      </c>
      <c r="AH3491" s="15" t="str">
        <f t="shared" si="2"/>
        <v/>
      </c>
      <c r="AI3491" s="17" t="str">
        <f>IF(AG3491="","",INDEX('quitado Despesa'!$G$1:$G$12,AG3491))</f>
        <v/>
      </c>
      <c r="AJ3491" s="17" t="str">
        <f t="shared" si="3"/>
        <v/>
      </c>
    </row>
    <row r="3492" spans="31:36">
      <c r="AE3492" s="15" t="str">
        <f t="shared" si="0"/>
        <v/>
      </c>
      <c r="AF3492" s="15" t="str">
        <f t="shared" si="1"/>
        <v/>
      </c>
      <c r="AG3492" s="15" t="str">
        <f>IF(OR(AF3492="",AF3492="ERRO_CHAVE"),"",IFERROR(MATCH(AF3492,'quitado Despesa'!$V$1:$V$12,0),""))</f>
        <v/>
      </c>
      <c r="AH3492" s="15" t="str">
        <f t="shared" si="2"/>
        <v/>
      </c>
      <c r="AI3492" s="17" t="str">
        <f>IF(AG3492="","",INDEX('quitado Despesa'!$G$1:$G$12,AG3492))</f>
        <v/>
      </c>
      <c r="AJ3492" s="17" t="str">
        <f t="shared" si="3"/>
        <v/>
      </c>
    </row>
    <row r="3493" spans="31:36">
      <c r="AE3493" s="15" t="str">
        <f t="shared" si="0"/>
        <v/>
      </c>
      <c r="AF3493" s="15" t="str">
        <f t="shared" si="1"/>
        <v/>
      </c>
      <c r="AG3493" s="15" t="str">
        <f>IF(OR(AF3493="",AF3493="ERRO_CHAVE"),"",IFERROR(MATCH(AF3493,'quitado Despesa'!$V$1:$V$12,0),""))</f>
        <v/>
      </c>
      <c r="AH3493" s="15" t="str">
        <f t="shared" si="2"/>
        <v/>
      </c>
      <c r="AI3493" s="17" t="str">
        <f>IF(AG3493="","",INDEX('quitado Despesa'!$G$1:$G$12,AG3493))</f>
        <v/>
      </c>
      <c r="AJ3493" s="17" t="str">
        <f t="shared" si="3"/>
        <v/>
      </c>
    </row>
    <row r="3494" spans="31:36">
      <c r="AE3494" s="15" t="str">
        <f t="shared" si="0"/>
        <v/>
      </c>
      <c r="AF3494" s="15" t="str">
        <f t="shared" si="1"/>
        <v/>
      </c>
      <c r="AG3494" s="15" t="str">
        <f>IF(OR(AF3494="",AF3494="ERRO_CHAVE"),"",IFERROR(MATCH(AF3494,'quitado Despesa'!$V$1:$V$12,0),""))</f>
        <v/>
      </c>
      <c r="AH3494" s="15" t="str">
        <f t="shared" si="2"/>
        <v/>
      </c>
      <c r="AI3494" s="17" t="str">
        <f>IF(AG3494="","",INDEX('quitado Despesa'!$G$1:$G$12,AG3494))</f>
        <v/>
      </c>
      <c r="AJ3494" s="17" t="str">
        <f t="shared" si="3"/>
        <v/>
      </c>
    </row>
    <row r="3495" spans="31:36">
      <c r="AE3495" s="15" t="str">
        <f t="shared" si="0"/>
        <v/>
      </c>
      <c r="AF3495" s="15" t="str">
        <f t="shared" si="1"/>
        <v/>
      </c>
      <c r="AG3495" s="15" t="str">
        <f>IF(OR(AF3495="",AF3495="ERRO_CHAVE"),"",IFERROR(MATCH(AF3495,'quitado Despesa'!$V$1:$V$12,0),""))</f>
        <v/>
      </c>
      <c r="AH3495" s="15" t="str">
        <f t="shared" si="2"/>
        <v/>
      </c>
      <c r="AI3495" s="17" t="str">
        <f>IF(AG3495="","",INDEX('quitado Despesa'!$G$1:$G$12,AG3495))</f>
        <v/>
      </c>
      <c r="AJ3495" s="17" t="str">
        <f t="shared" si="3"/>
        <v/>
      </c>
    </row>
    <row r="3496" spans="31:36">
      <c r="AE3496" s="15" t="str">
        <f t="shared" si="0"/>
        <v/>
      </c>
      <c r="AF3496" s="15" t="str">
        <f t="shared" si="1"/>
        <v/>
      </c>
      <c r="AG3496" s="15" t="str">
        <f>IF(OR(AF3496="",AF3496="ERRO_CHAVE"),"",IFERROR(MATCH(AF3496,'quitado Despesa'!$V$1:$V$12,0),""))</f>
        <v/>
      </c>
      <c r="AH3496" s="15" t="str">
        <f t="shared" si="2"/>
        <v/>
      </c>
      <c r="AI3496" s="17" t="str">
        <f>IF(AG3496="","",INDEX('quitado Despesa'!$G$1:$G$12,AG3496))</f>
        <v/>
      </c>
      <c r="AJ3496" s="17" t="str">
        <f t="shared" si="3"/>
        <v/>
      </c>
    </row>
    <row r="3497" spans="31:36">
      <c r="AE3497" s="15" t="str">
        <f t="shared" si="0"/>
        <v/>
      </c>
      <c r="AF3497" s="15" t="str">
        <f t="shared" si="1"/>
        <v/>
      </c>
      <c r="AG3497" s="15" t="str">
        <f>IF(OR(AF3497="",AF3497="ERRO_CHAVE"),"",IFERROR(MATCH(AF3497,'quitado Despesa'!$V$1:$V$12,0),""))</f>
        <v/>
      </c>
      <c r="AH3497" s="15" t="str">
        <f t="shared" si="2"/>
        <v/>
      </c>
      <c r="AI3497" s="17" t="str">
        <f>IF(AG3497="","",INDEX('quitado Despesa'!$G$1:$G$12,AG3497))</f>
        <v/>
      </c>
      <c r="AJ3497" s="17" t="str">
        <f t="shared" si="3"/>
        <v/>
      </c>
    </row>
    <row r="3498" spans="31:36">
      <c r="AE3498" s="15" t="str">
        <f t="shared" si="0"/>
        <v/>
      </c>
      <c r="AF3498" s="15" t="str">
        <f t="shared" si="1"/>
        <v/>
      </c>
      <c r="AG3498" s="15" t="str">
        <f>IF(OR(AF3498="",AF3498="ERRO_CHAVE"),"",IFERROR(MATCH(AF3498,'quitado Despesa'!$V$1:$V$12,0),""))</f>
        <v/>
      </c>
      <c r="AH3498" s="15" t="str">
        <f t="shared" si="2"/>
        <v/>
      </c>
      <c r="AI3498" s="17" t="str">
        <f>IF(AG3498="","",INDEX('quitado Despesa'!$G$1:$G$12,AG3498))</f>
        <v/>
      </c>
      <c r="AJ3498" s="17" t="str">
        <f t="shared" si="3"/>
        <v/>
      </c>
    </row>
    <row r="3499" spans="31:36">
      <c r="AE3499" s="15" t="str">
        <f t="shared" si="0"/>
        <v/>
      </c>
      <c r="AF3499" s="15" t="str">
        <f t="shared" si="1"/>
        <v/>
      </c>
      <c r="AG3499" s="15" t="str">
        <f>IF(OR(AF3499="",AF3499="ERRO_CHAVE"),"",IFERROR(MATCH(AF3499,'quitado Despesa'!$V$1:$V$12,0),""))</f>
        <v/>
      </c>
      <c r="AH3499" s="15" t="str">
        <f t="shared" si="2"/>
        <v/>
      </c>
      <c r="AI3499" s="17" t="str">
        <f>IF(AG3499="","",INDEX('quitado Despesa'!$G$1:$G$12,AG3499))</f>
        <v/>
      </c>
      <c r="AJ3499" s="17" t="str">
        <f t="shared" si="3"/>
        <v/>
      </c>
    </row>
    <row r="3500" spans="31:36">
      <c r="AE3500" s="15" t="str">
        <f t="shared" si="0"/>
        <v/>
      </c>
      <c r="AF3500" s="15" t="str">
        <f t="shared" si="1"/>
        <v/>
      </c>
      <c r="AG3500" s="15" t="str">
        <f>IF(OR(AF3500="",AF3500="ERRO_CHAVE"),"",IFERROR(MATCH(AF3500,'quitado Despesa'!$V$1:$V$12,0),""))</f>
        <v/>
      </c>
      <c r="AH3500" s="15" t="str">
        <f t="shared" si="2"/>
        <v/>
      </c>
      <c r="AI3500" s="17" t="str">
        <f>IF(AG3500="","",INDEX('quitado Despesa'!$G$1:$G$12,AG3500))</f>
        <v/>
      </c>
      <c r="AJ3500" s="17" t="str">
        <f t="shared" si="3"/>
        <v/>
      </c>
    </row>
    <row r="3501" spans="31:36">
      <c r="AE3501" s="15" t="str">
        <f t="shared" si="0"/>
        <v/>
      </c>
      <c r="AF3501" s="15" t="str">
        <f t="shared" si="1"/>
        <v/>
      </c>
      <c r="AG3501" s="15" t="str">
        <f>IF(OR(AF3501="",AF3501="ERRO_CHAVE"),"",IFERROR(MATCH(AF3501,'quitado Despesa'!$V$1:$V$12,0),""))</f>
        <v/>
      </c>
      <c r="AH3501" s="15" t="str">
        <f t="shared" si="2"/>
        <v/>
      </c>
      <c r="AI3501" s="17" t="str">
        <f>IF(AG3501="","",INDEX('quitado Despesa'!$G$1:$G$12,AG3501))</f>
        <v/>
      </c>
      <c r="AJ3501" s="17" t="str">
        <f t="shared" si="3"/>
        <v/>
      </c>
    </row>
    <row r="3502" spans="31:36">
      <c r="AE3502" s="15" t="str">
        <f t="shared" si="0"/>
        <v/>
      </c>
      <c r="AF3502" s="15" t="str">
        <f t="shared" si="1"/>
        <v/>
      </c>
      <c r="AG3502" s="15" t="str">
        <f>IF(OR(AF3502="",AF3502="ERRO_CHAVE"),"",IFERROR(MATCH(AF3502,'quitado Despesa'!$V$1:$V$12,0),""))</f>
        <v/>
      </c>
      <c r="AH3502" s="15" t="str">
        <f t="shared" si="2"/>
        <v/>
      </c>
      <c r="AI3502" s="17" t="str">
        <f>IF(AG3502="","",INDEX('quitado Despesa'!$G$1:$G$12,AG3502))</f>
        <v/>
      </c>
      <c r="AJ3502" s="17" t="str">
        <f t="shared" si="3"/>
        <v/>
      </c>
    </row>
    <row r="3503" spans="31:36">
      <c r="AE3503" s="15" t="str">
        <f t="shared" si="0"/>
        <v/>
      </c>
      <c r="AF3503" s="15" t="str">
        <f t="shared" si="1"/>
        <v/>
      </c>
      <c r="AG3503" s="15" t="str">
        <f>IF(OR(AF3503="",AF3503="ERRO_CHAVE"),"",IFERROR(MATCH(AF3503,'quitado Despesa'!$V$1:$V$12,0),""))</f>
        <v/>
      </c>
      <c r="AH3503" s="15" t="str">
        <f t="shared" si="2"/>
        <v/>
      </c>
      <c r="AI3503" s="17" t="str">
        <f>IF(AG3503="","",INDEX('quitado Despesa'!$G$1:$G$12,AG3503))</f>
        <v/>
      </c>
      <c r="AJ3503" s="17" t="str">
        <f t="shared" si="3"/>
        <v/>
      </c>
    </row>
    <row r="3504" spans="31:36">
      <c r="AE3504" s="15" t="str">
        <f t="shared" si="0"/>
        <v/>
      </c>
      <c r="AF3504" s="15" t="str">
        <f t="shared" si="1"/>
        <v/>
      </c>
      <c r="AG3504" s="15" t="str">
        <f>IF(OR(AF3504="",AF3504="ERRO_CHAVE"),"",IFERROR(MATCH(AF3504,'quitado Despesa'!$V$1:$V$12,0),""))</f>
        <v/>
      </c>
      <c r="AH3504" s="15" t="str">
        <f t="shared" si="2"/>
        <v/>
      </c>
      <c r="AI3504" s="17" t="str">
        <f>IF(AG3504="","",INDEX('quitado Despesa'!$G$1:$G$12,AG3504))</f>
        <v/>
      </c>
      <c r="AJ3504" s="17" t="str">
        <f t="shared" si="3"/>
        <v/>
      </c>
    </row>
    <row r="3505" spans="31:36">
      <c r="AE3505" s="15" t="str">
        <f t="shared" si="0"/>
        <v/>
      </c>
      <c r="AF3505" s="15" t="str">
        <f t="shared" si="1"/>
        <v/>
      </c>
      <c r="AG3505" s="15" t="str">
        <f>IF(OR(AF3505="",AF3505="ERRO_CHAVE"),"",IFERROR(MATCH(AF3505,'quitado Despesa'!$V$1:$V$12,0),""))</f>
        <v/>
      </c>
      <c r="AH3505" s="15" t="str">
        <f t="shared" si="2"/>
        <v/>
      </c>
      <c r="AI3505" s="17" t="str">
        <f>IF(AG3505="","",INDEX('quitado Despesa'!$G$1:$G$12,AG3505))</f>
        <v/>
      </c>
      <c r="AJ3505" s="17" t="str">
        <f t="shared" si="3"/>
        <v/>
      </c>
    </row>
    <row r="3506" spans="31:36">
      <c r="AE3506" s="15" t="str">
        <f t="shared" si="0"/>
        <v/>
      </c>
      <c r="AF3506" s="15" t="str">
        <f t="shared" si="1"/>
        <v/>
      </c>
      <c r="AG3506" s="15" t="str">
        <f>IF(OR(AF3506="",AF3506="ERRO_CHAVE"),"",IFERROR(MATCH(AF3506,'quitado Despesa'!$V$1:$V$12,0),""))</f>
        <v/>
      </c>
      <c r="AH3506" s="15" t="str">
        <f t="shared" si="2"/>
        <v/>
      </c>
      <c r="AI3506" s="17" t="str">
        <f>IF(AG3506="","",INDEX('quitado Despesa'!$G$1:$G$12,AG3506))</f>
        <v/>
      </c>
      <c r="AJ3506" s="17" t="str">
        <f t="shared" si="3"/>
        <v/>
      </c>
    </row>
    <row r="3507" spans="31:36">
      <c r="AE3507" s="15" t="str">
        <f t="shared" si="0"/>
        <v/>
      </c>
      <c r="AF3507" s="15" t="str">
        <f t="shared" si="1"/>
        <v/>
      </c>
      <c r="AG3507" s="15" t="str">
        <f>IF(OR(AF3507="",AF3507="ERRO_CHAVE"),"",IFERROR(MATCH(AF3507,'quitado Despesa'!$V$1:$V$12,0),""))</f>
        <v/>
      </c>
      <c r="AH3507" s="15" t="str">
        <f t="shared" si="2"/>
        <v/>
      </c>
      <c r="AI3507" s="17" t="str">
        <f>IF(AG3507="","",INDEX('quitado Despesa'!$G$1:$G$12,AG3507))</f>
        <v/>
      </c>
      <c r="AJ3507" s="17" t="str">
        <f t="shared" si="3"/>
        <v/>
      </c>
    </row>
    <row r="3508" spans="31:36">
      <c r="AE3508" s="15" t="str">
        <f t="shared" si="0"/>
        <v/>
      </c>
      <c r="AF3508" s="15" t="str">
        <f t="shared" si="1"/>
        <v/>
      </c>
      <c r="AG3508" s="15" t="str">
        <f>IF(OR(AF3508="",AF3508="ERRO_CHAVE"),"",IFERROR(MATCH(AF3508,'quitado Despesa'!$V$1:$V$12,0),""))</f>
        <v/>
      </c>
      <c r="AH3508" s="15" t="str">
        <f t="shared" si="2"/>
        <v/>
      </c>
      <c r="AI3508" s="17" t="str">
        <f>IF(AG3508="","",INDEX('quitado Despesa'!$G$1:$G$12,AG3508))</f>
        <v/>
      </c>
      <c r="AJ3508" s="17" t="str">
        <f t="shared" si="3"/>
        <v/>
      </c>
    </row>
    <row r="3509" spans="31:36">
      <c r="AE3509" s="15" t="str">
        <f t="shared" si="0"/>
        <v/>
      </c>
      <c r="AF3509" s="15" t="str">
        <f t="shared" si="1"/>
        <v/>
      </c>
      <c r="AG3509" s="15" t="str">
        <f>IF(OR(AF3509="",AF3509="ERRO_CHAVE"),"",IFERROR(MATCH(AF3509,'quitado Despesa'!$V$1:$V$12,0),""))</f>
        <v/>
      </c>
      <c r="AH3509" s="15" t="str">
        <f t="shared" si="2"/>
        <v/>
      </c>
      <c r="AI3509" s="17" t="str">
        <f>IF(AG3509="","",INDEX('quitado Despesa'!$G$1:$G$12,AG3509))</f>
        <v/>
      </c>
      <c r="AJ3509" s="17" t="str">
        <f t="shared" si="3"/>
        <v/>
      </c>
    </row>
    <row r="3510" spans="31:36">
      <c r="AE3510" s="15" t="str">
        <f t="shared" si="0"/>
        <v/>
      </c>
      <c r="AF3510" s="15" t="str">
        <f t="shared" si="1"/>
        <v/>
      </c>
      <c r="AG3510" s="15" t="str">
        <f>IF(OR(AF3510="",AF3510="ERRO_CHAVE"),"",IFERROR(MATCH(AF3510,'quitado Despesa'!$V$1:$V$12,0),""))</f>
        <v/>
      </c>
      <c r="AH3510" s="15" t="str">
        <f t="shared" si="2"/>
        <v/>
      </c>
      <c r="AI3510" s="17" t="str">
        <f>IF(AG3510="","",INDEX('quitado Despesa'!$G$1:$G$12,AG3510))</f>
        <v/>
      </c>
      <c r="AJ3510" s="17" t="str">
        <f t="shared" si="3"/>
        <v/>
      </c>
    </row>
    <row r="3511" spans="31:36">
      <c r="AE3511" s="15" t="str">
        <f t="shared" si="0"/>
        <v/>
      </c>
      <c r="AF3511" s="15" t="str">
        <f t="shared" si="1"/>
        <v/>
      </c>
      <c r="AG3511" s="15" t="str">
        <f>IF(OR(AF3511="",AF3511="ERRO_CHAVE"),"",IFERROR(MATCH(AF3511,'quitado Despesa'!$V$1:$V$12,0),""))</f>
        <v/>
      </c>
      <c r="AH3511" s="15" t="str">
        <f t="shared" si="2"/>
        <v/>
      </c>
      <c r="AI3511" s="17" t="str">
        <f>IF(AG3511="","",INDEX('quitado Despesa'!$G$1:$G$12,AG3511))</f>
        <v/>
      </c>
      <c r="AJ3511" s="17" t="str">
        <f t="shared" si="3"/>
        <v/>
      </c>
    </row>
    <row r="3512" spans="31:36">
      <c r="AE3512" s="15" t="str">
        <f t="shared" si="0"/>
        <v/>
      </c>
      <c r="AF3512" s="15" t="str">
        <f t="shared" si="1"/>
        <v/>
      </c>
      <c r="AG3512" s="15" t="str">
        <f>IF(OR(AF3512="",AF3512="ERRO_CHAVE"),"",IFERROR(MATCH(AF3512,'quitado Despesa'!$V$1:$V$12,0),""))</f>
        <v/>
      </c>
      <c r="AH3512" s="15" t="str">
        <f t="shared" si="2"/>
        <v/>
      </c>
      <c r="AI3512" s="17" t="str">
        <f>IF(AG3512="","",INDEX('quitado Despesa'!$G$1:$G$12,AG3512))</f>
        <v/>
      </c>
      <c r="AJ3512" s="17" t="str">
        <f t="shared" si="3"/>
        <v/>
      </c>
    </row>
    <row r="3513" spans="31:36">
      <c r="AE3513" s="15" t="str">
        <f t="shared" si="0"/>
        <v/>
      </c>
      <c r="AF3513" s="15" t="str">
        <f t="shared" si="1"/>
        <v/>
      </c>
      <c r="AG3513" s="15" t="str">
        <f>IF(OR(AF3513="",AF3513="ERRO_CHAVE"),"",IFERROR(MATCH(AF3513,'quitado Despesa'!$V$1:$V$12,0),""))</f>
        <v/>
      </c>
      <c r="AH3513" s="15" t="str">
        <f t="shared" si="2"/>
        <v/>
      </c>
      <c r="AI3513" s="17" t="str">
        <f>IF(AG3513="","",INDEX('quitado Despesa'!$G$1:$G$12,AG3513))</f>
        <v/>
      </c>
      <c r="AJ3513" s="17" t="str">
        <f t="shared" si="3"/>
        <v/>
      </c>
    </row>
    <row r="3514" spans="31:36">
      <c r="AE3514" s="15" t="str">
        <f t="shared" si="0"/>
        <v/>
      </c>
      <c r="AF3514" s="15" t="str">
        <f t="shared" si="1"/>
        <v/>
      </c>
      <c r="AG3514" s="15" t="str">
        <f>IF(OR(AF3514="",AF3514="ERRO_CHAVE"),"",IFERROR(MATCH(AF3514,'quitado Despesa'!$V$1:$V$12,0),""))</f>
        <v/>
      </c>
      <c r="AH3514" s="15" t="str">
        <f t="shared" si="2"/>
        <v/>
      </c>
      <c r="AI3514" s="17" t="str">
        <f>IF(AG3514="","",INDEX('quitado Despesa'!$G$1:$G$12,AG3514))</f>
        <v/>
      </c>
      <c r="AJ3514" s="17" t="str">
        <f t="shared" si="3"/>
        <v/>
      </c>
    </row>
    <row r="3515" spans="31:36">
      <c r="AE3515" s="15" t="str">
        <f t="shared" si="0"/>
        <v/>
      </c>
      <c r="AF3515" s="15" t="str">
        <f t="shared" si="1"/>
        <v/>
      </c>
      <c r="AG3515" s="15" t="str">
        <f>IF(OR(AF3515="",AF3515="ERRO_CHAVE"),"",IFERROR(MATCH(AF3515,'quitado Despesa'!$V$1:$V$12,0),""))</f>
        <v/>
      </c>
      <c r="AH3515" s="15" t="str">
        <f t="shared" si="2"/>
        <v/>
      </c>
      <c r="AI3515" s="17" t="str">
        <f>IF(AG3515="","",INDEX('quitado Despesa'!$G$1:$G$12,AG3515))</f>
        <v/>
      </c>
      <c r="AJ3515" s="17" t="str">
        <f t="shared" si="3"/>
        <v/>
      </c>
    </row>
    <row r="3516" spans="31:36">
      <c r="AE3516" s="15" t="str">
        <f t="shared" si="0"/>
        <v/>
      </c>
      <c r="AF3516" s="15" t="str">
        <f t="shared" si="1"/>
        <v/>
      </c>
      <c r="AG3516" s="15" t="str">
        <f>IF(OR(AF3516="",AF3516="ERRO_CHAVE"),"",IFERROR(MATCH(AF3516,'quitado Despesa'!$V$1:$V$12,0),""))</f>
        <v/>
      </c>
      <c r="AH3516" s="15" t="str">
        <f t="shared" si="2"/>
        <v/>
      </c>
      <c r="AI3516" s="17" t="str">
        <f>IF(AG3516="","",INDEX('quitado Despesa'!$G$1:$G$12,AG3516))</f>
        <v/>
      </c>
      <c r="AJ3516" s="17" t="str">
        <f t="shared" si="3"/>
        <v/>
      </c>
    </row>
    <row r="3517" spans="31:36">
      <c r="AE3517" s="15" t="str">
        <f t="shared" si="0"/>
        <v/>
      </c>
      <c r="AF3517" s="15" t="str">
        <f t="shared" si="1"/>
        <v/>
      </c>
      <c r="AG3517" s="15" t="str">
        <f>IF(OR(AF3517="",AF3517="ERRO_CHAVE"),"",IFERROR(MATCH(AF3517,'quitado Despesa'!$V$1:$V$12,0),""))</f>
        <v/>
      </c>
      <c r="AH3517" s="15" t="str">
        <f t="shared" si="2"/>
        <v/>
      </c>
      <c r="AI3517" s="17" t="str">
        <f>IF(AG3517="","",INDEX('quitado Despesa'!$G$1:$G$12,AG3517))</f>
        <v/>
      </c>
      <c r="AJ3517" s="17" t="str">
        <f t="shared" si="3"/>
        <v/>
      </c>
    </row>
    <row r="3518" spans="31:36">
      <c r="AE3518" s="15" t="str">
        <f t="shared" si="0"/>
        <v/>
      </c>
      <c r="AF3518" s="15" t="str">
        <f t="shared" si="1"/>
        <v/>
      </c>
      <c r="AG3518" s="15" t="str">
        <f>IF(OR(AF3518="",AF3518="ERRO_CHAVE"),"",IFERROR(MATCH(AF3518,'quitado Despesa'!$V$1:$V$12,0),""))</f>
        <v/>
      </c>
      <c r="AH3518" s="15" t="str">
        <f t="shared" si="2"/>
        <v/>
      </c>
      <c r="AI3518" s="17" t="str">
        <f>IF(AG3518="","",INDEX('quitado Despesa'!$G$1:$G$12,AG3518))</f>
        <v/>
      </c>
      <c r="AJ3518" s="17" t="str">
        <f t="shared" si="3"/>
        <v/>
      </c>
    </row>
    <row r="3519" spans="31:36">
      <c r="AE3519" s="15" t="str">
        <f t="shared" si="0"/>
        <v/>
      </c>
      <c r="AF3519" s="15" t="str">
        <f t="shared" si="1"/>
        <v/>
      </c>
      <c r="AG3519" s="15" t="str">
        <f>IF(OR(AF3519="",AF3519="ERRO_CHAVE"),"",IFERROR(MATCH(AF3519,'quitado Despesa'!$V$1:$V$12,0),""))</f>
        <v/>
      </c>
      <c r="AH3519" s="15" t="str">
        <f t="shared" si="2"/>
        <v/>
      </c>
      <c r="AI3519" s="17" t="str">
        <f>IF(AG3519="","",INDEX('quitado Despesa'!$G$1:$G$12,AG3519))</f>
        <v/>
      </c>
      <c r="AJ3519" s="17" t="str">
        <f t="shared" si="3"/>
        <v/>
      </c>
    </row>
    <row r="3520" spans="31:36">
      <c r="AE3520" s="15" t="str">
        <f t="shared" si="0"/>
        <v/>
      </c>
      <c r="AF3520" s="15" t="str">
        <f t="shared" si="1"/>
        <v/>
      </c>
      <c r="AG3520" s="15" t="str">
        <f>IF(OR(AF3520="",AF3520="ERRO_CHAVE"),"",IFERROR(MATCH(AF3520,'quitado Despesa'!$V$1:$V$12,0),""))</f>
        <v/>
      </c>
      <c r="AH3520" s="15" t="str">
        <f t="shared" si="2"/>
        <v/>
      </c>
      <c r="AI3520" s="17" t="str">
        <f>IF(AG3520="","",INDEX('quitado Despesa'!$G$1:$G$12,AG3520))</f>
        <v/>
      </c>
      <c r="AJ3520" s="17" t="str">
        <f t="shared" si="3"/>
        <v/>
      </c>
    </row>
    <row r="3521" spans="31:36">
      <c r="AE3521" s="15" t="str">
        <f t="shared" si="0"/>
        <v/>
      </c>
      <c r="AF3521" s="15" t="str">
        <f t="shared" si="1"/>
        <v/>
      </c>
      <c r="AG3521" s="15" t="str">
        <f>IF(OR(AF3521="",AF3521="ERRO_CHAVE"),"",IFERROR(MATCH(AF3521,'quitado Despesa'!$V$1:$V$12,0),""))</f>
        <v/>
      </c>
      <c r="AH3521" s="15" t="str">
        <f t="shared" si="2"/>
        <v/>
      </c>
      <c r="AI3521" s="17" t="str">
        <f>IF(AG3521="","",INDEX('quitado Despesa'!$G$1:$G$12,AG3521))</f>
        <v/>
      </c>
      <c r="AJ3521" s="17" t="str">
        <f t="shared" si="3"/>
        <v/>
      </c>
    </row>
    <row r="3522" spans="31:36">
      <c r="AE3522" s="15" t="str">
        <f t="shared" si="0"/>
        <v/>
      </c>
      <c r="AF3522" s="15" t="str">
        <f t="shared" si="1"/>
        <v/>
      </c>
      <c r="AG3522" s="15" t="str">
        <f>IF(OR(AF3522="",AF3522="ERRO_CHAVE"),"",IFERROR(MATCH(AF3522,'quitado Despesa'!$V$1:$V$12,0),""))</f>
        <v/>
      </c>
      <c r="AH3522" s="15" t="str">
        <f t="shared" si="2"/>
        <v/>
      </c>
      <c r="AI3522" s="17" t="str">
        <f>IF(AG3522="","",INDEX('quitado Despesa'!$G$1:$G$12,AG3522))</f>
        <v/>
      </c>
      <c r="AJ3522" s="17" t="str">
        <f t="shared" si="3"/>
        <v/>
      </c>
    </row>
    <row r="3523" spans="31:36">
      <c r="AE3523" s="15" t="str">
        <f t="shared" si="0"/>
        <v/>
      </c>
      <c r="AF3523" s="15" t="str">
        <f t="shared" si="1"/>
        <v/>
      </c>
      <c r="AG3523" s="15" t="str">
        <f>IF(OR(AF3523="",AF3523="ERRO_CHAVE"),"",IFERROR(MATCH(AF3523,'quitado Despesa'!$V$1:$V$12,0),""))</f>
        <v/>
      </c>
      <c r="AH3523" s="15" t="str">
        <f t="shared" si="2"/>
        <v/>
      </c>
      <c r="AI3523" s="17" t="str">
        <f>IF(AG3523="","",INDEX('quitado Despesa'!$G$1:$G$12,AG3523))</f>
        <v/>
      </c>
      <c r="AJ3523" s="17" t="str">
        <f t="shared" si="3"/>
        <v/>
      </c>
    </row>
    <row r="3524" spans="31:36">
      <c r="AE3524" s="15" t="str">
        <f t="shared" si="0"/>
        <v/>
      </c>
      <c r="AF3524" s="15" t="str">
        <f t="shared" si="1"/>
        <v/>
      </c>
      <c r="AG3524" s="15" t="str">
        <f>IF(OR(AF3524="",AF3524="ERRO_CHAVE"),"",IFERROR(MATCH(AF3524,'quitado Despesa'!$V$1:$V$12,0),""))</f>
        <v/>
      </c>
      <c r="AH3524" s="15" t="str">
        <f t="shared" si="2"/>
        <v/>
      </c>
      <c r="AI3524" s="17" t="str">
        <f>IF(AG3524="","",INDEX('quitado Despesa'!$G$1:$G$12,AG3524))</f>
        <v/>
      </c>
      <c r="AJ3524" s="17" t="str">
        <f t="shared" si="3"/>
        <v/>
      </c>
    </row>
    <row r="3525" spans="31:36">
      <c r="AE3525" s="15" t="str">
        <f t="shared" si="0"/>
        <v/>
      </c>
      <c r="AF3525" s="15" t="str">
        <f t="shared" si="1"/>
        <v/>
      </c>
      <c r="AG3525" s="15" t="str">
        <f>IF(OR(AF3525="",AF3525="ERRO_CHAVE"),"",IFERROR(MATCH(AF3525,'quitado Despesa'!$V$1:$V$12,0),""))</f>
        <v/>
      </c>
      <c r="AH3525" s="15" t="str">
        <f t="shared" si="2"/>
        <v/>
      </c>
      <c r="AI3525" s="17" t="str">
        <f>IF(AG3525="","",INDEX('quitado Despesa'!$G$1:$G$12,AG3525))</f>
        <v/>
      </c>
      <c r="AJ3525" s="17" t="str">
        <f t="shared" si="3"/>
        <v/>
      </c>
    </row>
    <row r="3526" spans="31:36">
      <c r="AE3526" s="15" t="str">
        <f t="shared" si="0"/>
        <v/>
      </c>
      <c r="AF3526" s="15" t="str">
        <f t="shared" si="1"/>
        <v/>
      </c>
      <c r="AG3526" s="15" t="str">
        <f>IF(OR(AF3526="",AF3526="ERRO_CHAVE"),"",IFERROR(MATCH(AF3526,'quitado Despesa'!$V$1:$V$12,0),""))</f>
        <v/>
      </c>
      <c r="AH3526" s="15" t="str">
        <f t="shared" si="2"/>
        <v/>
      </c>
      <c r="AI3526" s="17" t="str">
        <f>IF(AG3526="","",INDEX('quitado Despesa'!$G$1:$G$12,AG3526))</f>
        <v/>
      </c>
      <c r="AJ3526" s="17" t="str">
        <f t="shared" si="3"/>
        <v/>
      </c>
    </row>
    <row r="3527" spans="31:36">
      <c r="AE3527" s="15" t="str">
        <f t="shared" si="0"/>
        <v/>
      </c>
      <c r="AF3527" s="15" t="str">
        <f t="shared" si="1"/>
        <v/>
      </c>
      <c r="AG3527" s="15" t="str">
        <f>IF(OR(AF3527="",AF3527="ERRO_CHAVE"),"",IFERROR(MATCH(AF3527,'quitado Despesa'!$V$1:$V$12,0),""))</f>
        <v/>
      </c>
      <c r="AH3527" s="15" t="str">
        <f t="shared" si="2"/>
        <v/>
      </c>
      <c r="AI3527" s="17" t="str">
        <f>IF(AG3527="","",INDEX('quitado Despesa'!$G$1:$G$12,AG3527))</f>
        <v/>
      </c>
      <c r="AJ3527" s="17" t="str">
        <f t="shared" si="3"/>
        <v/>
      </c>
    </row>
    <row r="3528" spans="31:36">
      <c r="AE3528" s="15" t="str">
        <f t="shared" si="0"/>
        <v/>
      </c>
      <c r="AF3528" s="15" t="str">
        <f t="shared" si="1"/>
        <v/>
      </c>
      <c r="AG3528" s="15" t="str">
        <f>IF(OR(AF3528="",AF3528="ERRO_CHAVE"),"",IFERROR(MATCH(AF3528,'quitado Despesa'!$V$1:$V$12,0),""))</f>
        <v/>
      </c>
      <c r="AH3528" s="15" t="str">
        <f t="shared" si="2"/>
        <v/>
      </c>
      <c r="AI3528" s="17" t="str">
        <f>IF(AG3528="","",INDEX('quitado Despesa'!$G$1:$G$12,AG3528))</f>
        <v/>
      </c>
      <c r="AJ3528" s="17" t="str">
        <f t="shared" si="3"/>
        <v/>
      </c>
    </row>
    <row r="3529" spans="31:36">
      <c r="AE3529" s="15" t="str">
        <f t="shared" si="0"/>
        <v/>
      </c>
      <c r="AF3529" s="15" t="str">
        <f t="shared" si="1"/>
        <v/>
      </c>
      <c r="AG3529" s="15" t="str">
        <f>IF(OR(AF3529="",AF3529="ERRO_CHAVE"),"",IFERROR(MATCH(AF3529,'quitado Despesa'!$V$1:$V$12,0),""))</f>
        <v/>
      </c>
      <c r="AH3529" s="15" t="str">
        <f t="shared" si="2"/>
        <v/>
      </c>
      <c r="AI3529" s="17" t="str">
        <f>IF(AG3529="","",INDEX('quitado Despesa'!$G$1:$G$12,AG3529))</f>
        <v/>
      </c>
      <c r="AJ3529" s="17" t="str">
        <f t="shared" si="3"/>
        <v/>
      </c>
    </row>
    <row r="3530" spans="31:36">
      <c r="AE3530" s="15" t="str">
        <f t="shared" si="0"/>
        <v/>
      </c>
      <c r="AF3530" s="15" t="str">
        <f t="shared" si="1"/>
        <v/>
      </c>
      <c r="AG3530" s="15" t="str">
        <f>IF(OR(AF3530="",AF3530="ERRO_CHAVE"),"",IFERROR(MATCH(AF3530,'quitado Despesa'!$V$1:$V$12,0),""))</f>
        <v/>
      </c>
      <c r="AH3530" s="15" t="str">
        <f t="shared" si="2"/>
        <v/>
      </c>
      <c r="AI3530" s="17" t="str">
        <f>IF(AG3530="","",INDEX('quitado Despesa'!$G$1:$G$12,AG3530))</f>
        <v/>
      </c>
      <c r="AJ3530" s="17" t="str">
        <f t="shared" si="3"/>
        <v/>
      </c>
    </row>
    <row r="3531" spans="31:36">
      <c r="AE3531" s="15" t="str">
        <f t="shared" si="0"/>
        <v/>
      </c>
      <c r="AF3531" s="15" t="str">
        <f t="shared" si="1"/>
        <v/>
      </c>
      <c r="AG3531" s="15" t="str">
        <f>IF(OR(AF3531="",AF3531="ERRO_CHAVE"),"",IFERROR(MATCH(AF3531,'quitado Despesa'!$V$1:$V$12,0),""))</f>
        <v/>
      </c>
      <c r="AH3531" s="15" t="str">
        <f t="shared" si="2"/>
        <v/>
      </c>
      <c r="AI3531" s="17" t="str">
        <f>IF(AG3531="","",INDEX('quitado Despesa'!$G$1:$G$12,AG3531))</f>
        <v/>
      </c>
      <c r="AJ3531" s="17" t="str">
        <f t="shared" si="3"/>
        <v/>
      </c>
    </row>
    <row r="3532" spans="31:36">
      <c r="AE3532" s="15" t="str">
        <f t="shared" si="0"/>
        <v/>
      </c>
      <c r="AF3532" s="15" t="str">
        <f t="shared" si="1"/>
        <v/>
      </c>
      <c r="AG3532" s="15" t="str">
        <f>IF(OR(AF3532="",AF3532="ERRO_CHAVE"),"",IFERROR(MATCH(AF3532,'quitado Despesa'!$V$1:$V$12,0),""))</f>
        <v/>
      </c>
      <c r="AH3532" s="15" t="str">
        <f t="shared" si="2"/>
        <v/>
      </c>
      <c r="AI3532" s="17" t="str">
        <f>IF(AG3532="","",INDEX('quitado Despesa'!$G$1:$G$12,AG3532))</f>
        <v/>
      </c>
      <c r="AJ3532" s="17" t="str">
        <f t="shared" si="3"/>
        <v/>
      </c>
    </row>
    <row r="3533" spans="31:36">
      <c r="AE3533" s="15" t="str">
        <f t="shared" si="0"/>
        <v/>
      </c>
      <c r="AF3533" s="15" t="str">
        <f t="shared" si="1"/>
        <v/>
      </c>
      <c r="AG3533" s="15" t="str">
        <f>IF(OR(AF3533="",AF3533="ERRO_CHAVE"),"",IFERROR(MATCH(AF3533,'quitado Despesa'!$V$1:$V$12,0),""))</f>
        <v/>
      </c>
      <c r="AH3533" s="15" t="str">
        <f t="shared" si="2"/>
        <v/>
      </c>
      <c r="AI3533" s="17" t="str">
        <f>IF(AG3533="","",INDEX('quitado Despesa'!$G$1:$G$12,AG3533))</f>
        <v/>
      </c>
      <c r="AJ3533" s="17" t="str">
        <f t="shared" si="3"/>
        <v/>
      </c>
    </row>
    <row r="3534" spans="31:36">
      <c r="AE3534" s="15" t="str">
        <f t="shared" si="0"/>
        <v/>
      </c>
      <c r="AF3534" s="15" t="str">
        <f t="shared" si="1"/>
        <v/>
      </c>
      <c r="AG3534" s="15" t="str">
        <f>IF(OR(AF3534="",AF3534="ERRO_CHAVE"),"",IFERROR(MATCH(AF3534,'quitado Despesa'!$V$1:$V$12,0),""))</f>
        <v/>
      </c>
      <c r="AH3534" s="15" t="str">
        <f t="shared" si="2"/>
        <v/>
      </c>
      <c r="AI3534" s="17" t="str">
        <f>IF(AG3534="","",INDEX('quitado Despesa'!$G$1:$G$12,AG3534))</f>
        <v/>
      </c>
      <c r="AJ3534" s="17" t="str">
        <f t="shared" si="3"/>
        <v/>
      </c>
    </row>
    <row r="3535" spans="31:36">
      <c r="AE3535" s="15" t="str">
        <f t="shared" si="0"/>
        <v/>
      </c>
      <c r="AF3535" s="15" t="str">
        <f t="shared" si="1"/>
        <v/>
      </c>
      <c r="AG3535" s="15" t="str">
        <f>IF(OR(AF3535="",AF3535="ERRO_CHAVE"),"",IFERROR(MATCH(AF3535,'quitado Despesa'!$V$1:$V$12,0),""))</f>
        <v/>
      </c>
      <c r="AH3535" s="15" t="str">
        <f t="shared" si="2"/>
        <v/>
      </c>
      <c r="AI3535" s="17" t="str">
        <f>IF(AG3535="","",INDEX('quitado Despesa'!$G$1:$G$12,AG3535))</f>
        <v/>
      </c>
      <c r="AJ3535" s="17" t="str">
        <f t="shared" si="3"/>
        <v/>
      </c>
    </row>
    <row r="3536" spans="31:36">
      <c r="AE3536" s="15" t="str">
        <f t="shared" si="0"/>
        <v/>
      </c>
      <c r="AF3536" s="15" t="str">
        <f t="shared" si="1"/>
        <v/>
      </c>
      <c r="AG3536" s="15" t="str">
        <f>IF(OR(AF3536="",AF3536="ERRO_CHAVE"),"",IFERROR(MATCH(AF3536,'quitado Despesa'!$V$1:$V$12,0),""))</f>
        <v/>
      </c>
      <c r="AH3536" s="15" t="str">
        <f t="shared" si="2"/>
        <v/>
      </c>
      <c r="AI3536" s="17" t="str">
        <f>IF(AG3536="","",INDEX('quitado Despesa'!$G$1:$G$12,AG3536))</f>
        <v/>
      </c>
      <c r="AJ3536" s="17" t="str">
        <f t="shared" si="3"/>
        <v/>
      </c>
    </row>
    <row r="3537" spans="31:36">
      <c r="AE3537" s="15" t="str">
        <f t="shared" si="0"/>
        <v/>
      </c>
      <c r="AF3537" s="15" t="str">
        <f t="shared" si="1"/>
        <v/>
      </c>
      <c r="AG3537" s="15" t="str">
        <f>IF(OR(AF3537="",AF3537="ERRO_CHAVE"),"",IFERROR(MATCH(AF3537,'quitado Despesa'!$V$1:$V$12,0),""))</f>
        <v/>
      </c>
      <c r="AH3537" s="15" t="str">
        <f t="shared" si="2"/>
        <v/>
      </c>
      <c r="AI3537" s="17" t="str">
        <f>IF(AG3537="","",INDEX('quitado Despesa'!$G$1:$G$12,AG3537))</f>
        <v/>
      </c>
      <c r="AJ3537" s="17" t="str">
        <f t="shared" si="3"/>
        <v/>
      </c>
    </row>
    <row r="3538" spans="31:36">
      <c r="AE3538" s="15" t="str">
        <f t="shared" si="0"/>
        <v/>
      </c>
      <c r="AF3538" s="15" t="str">
        <f t="shared" si="1"/>
        <v/>
      </c>
      <c r="AG3538" s="15" t="str">
        <f>IF(OR(AF3538="",AF3538="ERRO_CHAVE"),"",IFERROR(MATCH(AF3538,'quitado Despesa'!$V$1:$V$12,0),""))</f>
        <v/>
      </c>
      <c r="AH3538" s="15" t="str">
        <f t="shared" si="2"/>
        <v/>
      </c>
      <c r="AI3538" s="17" t="str">
        <f>IF(AG3538="","",INDEX('quitado Despesa'!$G$1:$G$12,AG3538))</f>
        <v/>
      </c>
      <c r="AJ3538" s="17" t="str">
        <f t="shared" si="3"/>
        <v/>
      </c>
    </row>
    <row r="3539" spans="31:36">
      <c r="AE3539" s="15" t="str">
        <f t="shared" si="0"/>
        <v/>
      </c>
      <c r="AF3539" s="15" t="str">
        <f t="shared" si="1"/>
        <v/>
      </c>
      <c r="AG3539" s="15" t="str">
        <f>IF(OR(AF3539="",AF3539="ERRO_CHAVE"),"",IFERROR(MATCH(AF3539,'quitado Despesa'!$V$1:$V$12,0),""))</f>
        <v/>
      </c>
      <c r="AH3539" s="15" t="str">
        <f t="shared" si="2"/>
        <v/>
      </c>
      <c r="AI3539" s="17" t="str">
        <f>IF(AG3539="","",INDEX('quitado Despesa'!$G$1:$G$12,AG3539))</f>
        <v/>
      </c>
      <c r="AJ3539" s="17" t="str">
        <f t="shared" si="3"/>
        <v/>
      </c>
    </row>
    <row r="3540" spans="31:36">
      <c r="AE3540" s="15" t="str">
        <f t="shared" si="0"/>
        <v/>
      </c>
      <c r="AF3540" s="15" t="str">
        <f t="shared" si="1"/>
        <v/>
      </c>
      <c r="AG3540" s="15" t="str">
        <f>IF(OR(AF3540="",AF3540="ERRO_CHAVE"),"",IFERROR(MATCH(AF3540,'quitado Despesa'!$V$1:$V$12,0),""))</f>
        <v/>
      </c>
      <c r="AH3540" s="15" t="str">
        <f t="shared" si="2"/>
        <v/>
      </c>
      <c r="AI3540" s="17" t="str">
        <f>IF(AG3540="","",INDEX('quitado Despesa'!$G$1:$G$12,AG3540))</f>
        <v/>
      </c>
      <c r="AJ3540" s="17" t="str">
        <f t="shared" si="3"/>
        <v/>
      </c>
    </row>
    <row r="3541" spans="31:36">
      <c r="AE3541" s="15" t="str">
        <f t="shared" si="0"/>
        <v/>
      </c>
      <c r="AF3541" s="15" t="str">
        <f t="shared" si="1"/>
        <v/>
      </c>
      <c r="AG3541" s="15" t="str">
        <f>IF(OR(AF3541="",AF3541="ERRO_CHAVE"),"",IFERROR(MATCH(AF3541,'quitado Despesa'!$V$1:$V$12,0),""))</f>
        <v/>
      </c>
      <c r="AH3541" s="15" t="str">
        <f t="shared" si="2"/>
        <v/>
      </c>
      <c r="AI3541" s="17" t="str">
        <f>IF(AG3541="","",INDEX('quitado Despesa'!$G$1:$G$12,AG3541))</f>
        <v/>
      </c>
      <c r="AJ3541" s="17" t="str">
        <f t="shared" si="3"/>
        <v/>
      </c>
    </row>
    <row r="3542" spans="31:36">
      <c r="AE3542" s="15" t="str">
        <f t="shared" si="0"/>
        <v/>
      </c>
      <c r="AF3542" s="15" t="str">
        <f t="shared" si="1"/>
        <v/>
      </c>
      <c r="AG3542" s="15" t="str">
        <f>IF(OR(AF3542="",AF3542="ERRO_CHAVE"),"",IFERROR(MATCH(AF3542,'quitado Despesa'!$V$1:$V$12,0),""))</f>
        <v/>
      </c>
      <c r="AH3542" s="15" t="str">
        <f t="shared" si="2"/>
        <v/>
      </c>
      <c r="AI3542" s="17" t="str">
        <f>IF(AG3542="","",INDEX('quitado Despesa'!$G$1:$G$12,AG3542))</f>
        <v/>
      </c>
      <c r="AJ3542" s="17" t="str">
        <f t="shared" si="3"/>
        <v/>
      </c>
    </row>
    <row r="3543" spans="31:36">
      <c r="AE3543" s="15" t="str">
        <f t="shared" si="0"/>
        <v/>
      </c>
      <c r="AF3543" s="15" t="str">
        <f t="shared" si="1"/>
        <v/>
      </c>
      <c r="AG3543" s="15" t="str">
        <f>IF(OR(AF3543="",AF3543="ERRO_CHAVE"),"",IFERROR(MATCH(AF3543,'quitado Despesa'!$V$1:$V$12,0),""))</f>
        <v/>
      </c>
      <c r="AH3543" s="15" t="str">
        <f t="shared" si="2"/>
        <v/>
      </c>
      <c r="AI3543" s="17" t="str">
        <f>IF(AG3543="","",INDEX('quitado Despesa'!$G$1:$G$12,AG3543))</f>
        <v/>
      </c>
      <c r="AJ3543" s="17" t="str">
        <f t="shared" si="3"/>
        <v/>
      </c>
    </row>
    <row r="3544" spans="31:36">
      <c r="AE3544" s="15" t="str">
        <f t="shared" si="0"/>
        <v/>
      </c>
      <c r="AF3544" s="15" t="str">
        <f t="shared" si="1"/>
        <v/>
      </c>
      <c r="AG3544" s="15" t="str">
        <f>IF(OR(AF3544="",AF3544="ERRO_CHAVE"),"",IFERROR(MATCH(AF3544,'quitado Despesa'!$V$1:$V$12,0),""))</f>
        <v/>
      </c>
      <c r="AH3544" s="15" t="str">
        <f t="shared" si="2"/>
        <v/>
      </c>
      <c r="AI3544" s="17" t="str">
        <f>IF(AG3544="","",INDEX('quitado Despesa'!$G$1:$G$12,AG3544))</f>
        <v/>
      </c>
      <c r="AJ3544" s="17" t="str">
        <f t="shared" si="3"/>
        <v/>
      </c>
    </row>
    <row r="3545" spans="31:36">
      <c r="AE3545" s="15" t="str">
        <f t="shared" si="0"/>
        <v/>
      </c>
      <c r="AF3545" s="15" t="str">
        <f t="shared" si="1"/>
        <v/>
      </c>
      <c r="AG3545" s="15" t="str">
        <f>IF(OR(AF3545="",AF3545="ERRO_CHAVE"),"",IFERROR(MATCH(AF3545,'quitado Despesa'!$V$1:$V$12,0),""))</f>
        <v/>
      </c>
      <c r="AH3545" s="15" t="str">
        <f t="shared" si="2"/>
        <v/>
      </c>
      <c r="AI3545" s="17" t="str">
        <f>IF(AG3545="","",INDEX('quitado Despesa'!$G$1:$G$12,AG3545))</f>
        <v/>
      </c>
      <c r="AJ3545" s="17" t="str">
        <f t="shared" si="3"/>
        <v/>
      </c>
    </row>
    <row r="3546" spans="31:36">
      <c r="AE3546" s="15" t="str">
        <f t="shared" si="0"/>
        <v/>
      </c>
      <c r="AF3546" s="15" t="str">
        <f t="shared" si="1"/>
        <v/>
      </c>
      <c r="AG3546" s="15" t="str">
        <f>IF(OR(AF3546="",AF3546="ERRO_CHAVE"),"",IFERROR(MATCH(AF3546,'quitado Despesa'!$V$1:$V$12,0),""))</f>
        <v/>
      </c>
      <c r="AH3546" s="15" t="str">
        <f t="shared" si="2"/>
        <v/>
      </c>
      <c r="AI3546" s="17" t="str">
        <f>IF(AG3546="","",INDEX('quitado Despesa'!$G$1:$G$12,AG3546))</f>
        <v/>
      </c>
      <c r="AJ3546" s="17" t="str">
        <f t="shared" si="3"/>
        <v/>
      </c>
    </row>
    <row r="3547" spans="31:36">
      <c r="AE3547" s="15" t="str">
        <f t="shared" si="0"/>
        <v/>
      </c>
      <c r="AF3547" s="15" t="str">
        <f t="shared" si="1"/>
        <v/>
      </c>
      <c r="AG3547" s="15" t="str">
        <f>IF(OR(AF3547="",AF3547="ERRO_CHAVE"),"",IFERROR(MATCH(AF3547,'quitado Despesa'!$V$1:$V$12,0),""))</f>
        <v/>
      </c>
      <c r="AH3547" s="15" t="str">
        <f t="shared" si="2"/>
        <v/>
      </c>
      <c r="AI3547" s="17" t="str">
        <f>IF(AG3547="","",INDEX('quitado Despesa'!$G$1:$G$12,AG3547))</f>
        <v/>
      </c>
      <c r="AJ3547" s="17" t="str">
        <f t="shared" si="3"/>
        <v/>
      </c>
    </row>
    <row r="3548" spans="31:36">
      <c r="AE3548" s="15" t="str">
        <f t="shared" si="0"/>
        <v/>
      </c>
      <c r="AF3548" s="15" t="str">
        <f t="shared" si="1"/>
        <v/>
      </c>
      <c r="AG3548" s="15" t="str">
        <f>IF(OR(AF3548="",AF3548="ERRO_CHAVE"),"",IFERROR(MATCH(AF3548,'quitado Despesa'!$V$1:$V$12,0),""))</f>
        <v/>
      </c>
      <c r="AH3548" s="15" t="str">
        <f t="shared" si="2"/>
        <v/>
      </c>
      <c r="AI3548" s="17" t="str">
        <f>IF(AG3548="","",INDEX('quitado Despesa'!$G$1:$G$12,AG3548))</f>
        <v/>
      </c>
      <c r="AJ3548" s="17" t="str">
        <f t="shared" si="3"/>
        <v/>
      </c>
    </row>
    <row r="3549" spans="31:36">
      <c r="AE3549" s="15" t="str">
        <f t="shared" si="0"/>
        <v/>
      </c>
      <c r="AF3549" s="15" t="str">
        <f t="shared" si="1"/>
        <v/>
      </c>
      <c r="AG3549" s="15" t="str">
        <f>IF(OR(AF3549="",AF3549="ERRO_CHAVE"),"",IFERROR(MATCH(AF3549,'quitado Despesa'!$V$1:$V$12,0),""))</f>
        <v/>
      </c>
      <c r="AH3549" s="15" t="str">
        <f t="shared" si="2"/>
        <v/>
      </c>
      <c r="AI3549" s="17" t="str">
        <f>IF(AG3549="","",INDEX('quitado Despesa'!$G$1:$G$12,AG3549))</f>
        <v/>
      </c>
      <c r="AJ3549" s="17" t="str">
        <f t="shared" si="3"/>
        <v/>
      </c>
    </row>
    <row r="3550" spans="31:36">
      <c r="AE3550" s="15" t="str">
        <f t="shared" si="0"/>
        <v/>
      </c>
      <c r="AF3550" s="15" t="str">
        <f t="shared" si="1"/>
        <v/>
      </c>
      <c r="AG3550" s="15" t="str">
        <f>IF(OR(AF3550="",AF3550="ERRO_CHAVE"),"",IFERROR(MATCH(AF3550,'quitado Despesa'!$V$1:$V$12,0),""))</f>
        <v/>
      </c>
      <c r="AH3550" s="15" t="str">
        <f t="shared" si="2"/>
        <v/>
      </c>
      <c r="AI3550" s="17" t="str">
        <f>IF(AG3550="","",INDEX('quitado Despesa'!$G$1:$G$12,AG3550))</f>
        <v/>
      </c>
      <c r="AJ3550" s="17" t="str">
        <f t="shared" si="3"/>
        <v/>
      </c>
    </row>
    <row r="3551" spans="31:36">
      <c r="AE3551" s="15" t="str">
        <f t="shared" si="0"/>
        <v/>
      </c>
      <c r="AF3551" s="15" t="str">
        <f t="shared" si="1"/>
        <v/>
      </c>
      <c r="AG3551" s="15" t="str">
        <f>IF(OR(AF3551="",AF3551="ERRO_CHAVE"),"",IFERROR(MATCH(AF3551,'quitado Despesa'!$V$1:$V$12,0),""))</f>
        <v/>
      </c>
      <c r="AH3551" s="15" t="str">
        <f t="shared" si="2"/>
        <v/>
      </c>
      <c r="AI3551" s="17" t="str">
        <f>IF(AG3551="","",INDEX('quitado Despesa'!$G$1:$G$12,AG3551))</f>
        <v/>
      </c>
      <c r="AJ3551" s="17" t="str">
        <f t="shared" si="3"/>
        <v/>
      </c>
    </row>
    <row r="3552" spans="31:36">
      <c r="AE3552" s="15" t="str">
        <f t="shared" si="0"/>
        <v/>
      </c>
      <c r="AF3552" s="15" t="str">
        <f t="shared" si="1"/>
        <v/>
      </c>
      <c r="AG3552" s="15" t="str">
        <f>IF(OR(AF3552="",AF3552="ERRO_CHAVE"),"",IFERROR(MATCH(AF3552,'quitado Despesa'!$V$1:$V$12,0),""))</f>
        <v/>
      </c>
      <c r="AH3552" s="15" t="str">
        <f t="shared" si="2"/>
        <v/>
      </c>
      <c r="AI3552" s="17" t="str">
        <f>IF(AG3552="","",INDEX('quitado Despesa'!$G$1:$G$12,AG3552))</f>
        <v/>
      </c>
      <c r="AJ3552" s="17" t="str">
        <f t="shared" si="3"/>
        <v/>
      </c>
    </row>
    <row r="3553" spans="31:36">
      <c r="AE3553" s="15" t="str">
        <f t="shared" si="0"/>
        <v/>
      </c>
      <c r="AF3553" s="15" t="str">
        <f t="shared" si="1"/>
        <v/>
      </c>
      <c r="AG3553" s="15" t="str">
        <f>IF(OR(AF3553="",AF3553="ERRO_CHAVE"),"",IFERROR(MATCH(AF3553,'quitado Despesa'!$V$1:$V$12,0),""))</f>
        <v/>
      </c>
      <c r="AH3553" s="15" t="str">
        <f t="shared" si="2"/>
        <v/>
      </c>
      <c r="AI3553" s="17" t="str">
        <f>IF(AG3553="","",INDEX('quitado Despesa'!$G$1:$G$12,AG3553))</f>
        <v/>
      </c>
      <c r="AJ3553" s="17" t="str">
        <f t="shared" si="3"/>
        <v/>
      </c>
    </row>
    <row r="3554" spans="31:36">
      <c r="AE3554" s="15" t="str">
        <f t="shared" si="0"/>
        <v/>
      </c>
      <c r="AF3554" s="15" t="str">
        <f t="shared" si="1"/>
        <v/>
      </c>
      <c r="AG3554" s="15" t="str">
        <f>IF(OR(AF3554="",AF3554="ERRO_CHAVE"),"",IFERROR(MATCH(AF3554,'quitado Despesa'!$V$1:$V$12,0),""))</f>
        <v/>
      </c>
      <c r="AH3554" s="15" t="str">
        <f t="shared" si="2"/>
        <v/>
      </c>
      <c r="AI3554" s="17" t="str">
        <f>IF(AG3554="","",INDEX('quitado Despesa'!$G$1:$G$12,AG3554))</f>
        <v/>
      </c>
      <c r="AJ3554" s="17" t="str">
        <f t="shared" si="3"/>
        <v/>
      </c>
    </row>
    <row r="3555" spans="31:36">
      <c r="AE3555" s="15" t="str">
        <f t="shared" si="0"/>
        <v/>
      </c>
      <c r="AF3555" s="15" t="str">
        <f t="shared" si="1"/>
        <v/>
      </c>
      <c r="AG3555" s="15" t="str">
        <f>IF(OR(AF3555="",AF3555="ERRO_CHAVE"),"",IFERROR(MATCH(AF3555,'quitado Despesa'!$V$1:$V$12,0),""))</f>
        <v/>
      </c>
      <c r="AH3555" s="15" t="str">
        <f t="shared" si="2"/>
        <v/>
      </c>
      <c r="AI3555" s="17" t="str">
        <f>IF(AG3555="","",INDEX('quitado Despesa'!$G$1:$G$12,AG3555))</f>
        <v/>
      </c>
      <c r="AJ3555" s="17" t="str">
        <f t="shared" si="3"/>
        <v/>
      </c>
    </row>
    <row r="3556" spans="31:36">
      <c r="AE3556" s="15" t="str">
        <f t="shared" si="0"/>
        <v/>
      </c>
      <c r="AF3556" s="15" t="str">
        <f t="shared" si="1"/>
        <v/>
      </c>
      <c r="AG3556" s="15" t="str">
        <f>IF(OR(AF3556="",AF3556="ERRO_CHAVE"),"",IFERROR(MATCH(AF3556,'quitado Despesa'!$V$1:$V$12,0),""))</f>
        <v/>
      </c>
      <c r="AH3556" s="15" t="str">
        <f t="shared" si="2"/>
        <v/>
      </c>
      <c r="AI3556" s="17" t="str">
        <f>IF(AG3556="","",INDEX('quitado Despesa'!$G$1:$G$12,AG3556))</f>
        <v/>
      </c>
      <c r="AJ3556" s="17" t="str">
        <f t="shared" si="3"/>
        <v/>
      </c>
    </row>
    <row r="3557" spans="31:36">
      <c r="AE3557" s="15" t="str">
        <f t="shared" si="0"/>
        <v/>
      </c>
      <c r="AF3557" s="15" t="str">
        <f t="shared" si="1"/>
        <v/>
      </c>
      <c r="AG3557" s="15" t="str">
        <f>IF(OR(AF3557="",AF3557="ERRO_CHAVE"),"",IFERROR(MATCH(AF3557,'quitado Despesa'!$V$1:$V$12,0),""))</f>
        <v/>
      </c>
      <c r="AH3557" s="15" t="str">
        <f t="shared" si="2"/>
        <v/>
      </c>
      <c r="AI3557" s="17" t="str">
        <f>IF(AG3557="","",INDEX('quitado Despesa'!$G$1:$G$12,AG3557))</f>
        <v/>
      </c>
      <c r="AJ3557" s="17" t="str">
        <f t="shared" si="3"/>
        <v/>
      </c>
    </row>
    <row r="3558" spans="31:36">
      <c r="AE3558" s="15" t="str">
        <f t="shared" si="0"/>
        <v/>
      </c>
      <c r="AF3558" s="15" t="str">
        <f t="shared" si="1"/>
        <v/>
      </c>
      <c r="AG3558" s="15" t="str">
        <f>IF(OR(AF3558="",AF3558="ERRO_CHAVE"),"",IFERROR(MATCH(AF3558,'quitado Despesa'!$V$1:$V$12,0),""))</f>
        <v/>
      </c>
      <c r="AH3558" s="15" t="str">
        <f t="shared" si="2"/>
        <v/>
      </c>
      <c r="AI3558" s="17" t="str">
        <f>IF(AG3558="","",INDEX('quitado Despesa'!$G$1:$G$12,AG3558))</f>
        <v/>
      </c>
      <c r="AJ3558" s="17" t="str">
        <f t="shared" si="3"/>
        <v/>
      </c>
    </row>
    <row r="3559" spans="31:36">
      <c r="AE3559" s="15" t="str">
        <f t="shared" si="0"/>
        <v/>
      </c>
      <c r="AF3559" s="15" t="str">
        <f t="shared" si="1"/>
        <v/>
      </c>
      <c r="AG3559" s="15" t="str">
        <f>IF(OR(AF3559="",AF3559="ERRO_CHAVE"),"",IFERROR(MATCH(AF3559,'quitado Despesa'!$V$1:$V$12,0),""))</f>
        <v/>
      </c>
      <c r="AH3559" s="15" t="str">
        <f t="shared" si="2"/>
        <v/>
      </c>
      <c r="AI3559" s="17" t="str">
        <f>IF(AG3559="","",INDEX('quitado Despesa'!$G$1:$G$12,AG3559))</f>
        <v/>
      </c>
      <c r="AJ3559" s="17" t="str">
        <f t="shared" si="3"/>
        <v/>
      </c>
    </row>
    <row r="3560" spans="31:36">
      <c r="AE3560" s="15" t="str">
        <f t="shared" si="0"/>
        <v/>
      </c>
      <c r="AF3560" s="15" t="str">
        <f t="shared" si="1"/>
        <v/>
      </c>
      <c r="AG3560" s="15" t="str">
        <f>IF(OR(AF3560="",AF3560="ERRO_CHAVE"),"",IFERROR(MATCH(AF3560,'quitado Despesa'!$V$1:$V$12,0),""))</f>
        <v/>
      </c>
      <c r="AH3560" s="15" t="str">
        <f t="shared" si="2"/>
        <v/>
      </c>
      <c r="AI3560" s="17" t="str">
        <f>IF(AG3560="","",INDEX('quitado Despesa'!$G$1:$G$12,AG3560))</f>
        <v/>
      </c>
      <c r="AJ3560" s="17" t="str">
        <f t="shared" si="3"/>
        <v/>
      </c>
    </row>
    <row r="3561" spans="31:36">
      <c r="AE3561" s="15" t="str">
        <f t="shared" si="0"/>
        <v/>
      </c>
      <c r="AF3561" s="15" t="str">
        <f t="shared" si="1"/>
        <v/>
      </c>
      <c r="AG3561" s="15" t="str">
        <f>IF(OR(AF3561="",AF3561="ERRO_CHAVE"),"",IFERROR(MATCH(AF3561,'quitado Despesa'!$V$1:$V$12,0),""))</f>
        <v/>
      </c>
      <c r="AH3561" s="15" t="str">
        <f t="shared" si="2"/>
        <v/>
      </c>
      <c r="AI3561" s="17" t="str">
        <f>IF(AG3561="","",INDEX('quitado Despesa'!$G$1:$G$12,AG3561))</f>
        <v/>
      </c>
      <c r="AJ3561" s="17" t="str">
        <f t="shared" si="3"/>
        <v/>
      </c>
    </row>
    <row r="3562" spans="31:36">
      <c r="AE3562" s="15" t="str">
        <f t="shared" si="0"/>
        <v/>
      </c>
      <c r="AF3562" s="15" t="str">
        <f t="shared" si="1"/>
        <v/>
      </c>
      <c r="AG3562" s="15" t="str">
        <f>IF(OR(AF3562="",AF3562="ERRO_CHAVE"),"",IFERROR(MATCH(AF3562,'quitado Despesa'!$V$1:$V$12,0),""))</f>
        <v/>
      </c>
      <c r="AH3562" s="15" t="str">
        <f t="shared" si="2"/>
        <v/>
      </c>
      <c r="AI3562" s="17" t="str">
        <f>IF(AG3562="","",INDEX('quitado Despesa'!$G$1:$G$12,AG3562))</f>
        <v/>
      </c>
      <c r="AJ3562" s="17" t="str">
        <f t="shared" si="3"/>
        <v/>
      </c>
    </row>
    <row r="3563" spans="31:36">
      <c r="AE3563" s="15" t="str">
        <f t="shared" si="0"/>
        <v/>
      </c>
      <c r="AF3563" s="15" t="str">
        <f t="shared" si="1"/>
        <v/>
      </c>
      <c r="AG3563" s="15" t="str">
        <f>IF(OR(AF3563="",AF3563="ERRO_CHAVE"),"",IFERROR(MATCH(AF3563,'quitado Despesa'!$V$1:$V$12,0),""))</f>
        <v/>
      </c>
      <c r="AH3563" s="15" t="str">
        <f t="shared" si="2"/>
        <v/>
      </c>
      <c r="AI3563" s="17" t="str">
        <f>IF(AG3563="","",INDEX('quitado Despesa'!$G$1:$G$12,AG3563))</f>
        <v/>
      </c>
      <c r="AJ3563" s="17" t="str">
        <f t="shared" si="3"/>
        <v/>
      </c>
    </row>
    <row r="3564" spans="31:36">
      <c r="AE3564" s="15" t="str">
        <f t="shared" si="0"/>
        <v/>
      </c>
      <c r="AF3564" s="15" t="str">
        <f t="shared" si="1"/>
        <v/>
      </c>
      <c r="AG3564" s="15" t="str">
        <f>IF(OR(AF3564="",AF3564="ERRO_CHAVE"),"",IFERROR(MATCH(AF3564,'quitado Despesa'!$V$1:$V$12,0),""))</f>
        <v/>
      </c>
      <c r="AH3564" s="15" t="str">
        <f t="shared" si="2"/>
        <v/>
      </c>
      <c r="AI3564" s="17" t="str">
        <f>IF(AG3564="","",INDEX('quitado Despesa'!$G$1:$G$12,AG3564))</f>
        <v/>
      </c>
      <c r="AJ3564" s="17" t="str">
        <f t="shared" si="3"/>
        <v/>
      </c>
    </row>
    <row r="3565" spans="31:36">
      <c r="AE3565" s="15" t="str">
        <f t="shared" si="0"/>
        <v/>
      </c>
      <c r="AF3565" s="15" t="str">
        <f t="shared" si="1"/>
        <v/>
      </c>
      <c r="AG3565" s="15" t="str">
        <f>IF(OR(AF3565="",AF3565="ERRO_CHAVE"),"",IFERROR(MATCH(AF3565,'quitado Despesa'!$V$1:$V$12,0),""))</f>
        <v/>
      </c>
      <c r="AH3565" s="15" t="str">
        <f t="shared" si="2"/>
        <v/>
      </c>
      <c r="AI3565" s="17" t="str">
        <f>IF(AG3565="","",INDEX('quitado Despesa'!$G$1:$G$12,AG3565))</f>
        <v/>
      </c>
      <c r="AJ3565" s="17" t="str">
        <f t="shared" si="3"/>
        <v/>
      </c>
    </row>
    <row r="3566" spans="31:36">
      <c r="AE3566" s="15" t="str">
        <f t="shared" si="0"/>
        <v/>
      </c>
      <c r="AF3566" s="15" t="str">
        <f t="shared" si="1"/>
        <v/>
      </c>
      <c r="AG3566" s="15" t="str">
        <f>IF(OR(AF3566="",AF3566="ERRO_CHAVE"),"",IFERROR(MATCH(AF3566,'quitado Despesa'!$V$1:$V$12,0),""))</f>
        <v/>
      </c>
      <c r="AH3566" s="15" t="str">
        <f t="shared" si="2"/>
        <v/>
      </c>
      <c r="AI3566" s="17" t="str">
        <f>IF(AG3566="","",INDEX('quitado Despesa'!$G$1:$G$12,AG3566))</f>
        <v/>
      </c>
      <c r="AJ3566" s="17" t="str">
        <f t="shared" si="3"/>
        <v/>
      </c>
    </row>
    <row r="3567" spans="31:36">
      <c r="AE3567" s="15" t="str">
        <f t="shared" si="0"/>
        <v/>
      </c>
      <c r="AF3567" s="15" t="str">
        <f t="shared" si="1"/>
        <v/>
      </c>
      <c r="AG3567" s="15" t="str">
        <f>IF(OR(AF3567="",AF3567="ERRO_CHAVE"),"",IFERROR(MATCH(AF3567,'quitado Despesa'!$V$1:$V$12,0),""))</f>
        <v/>
      </c>
      <c r="AH3567" s="15" t="str">
        <f t="shared" si="2"/>
        <v/>
      </c>
      <c r="AI3567" s="17" t="str">
        <f>IF(AG3567="","",INDEX('quitado Despesa'!$G$1:$G$12,AG3567))</f>
        <v/>
      </c>
      <c r="AJ3567" s="17" t="str">
        <f t="shared" si="3"/>
        <v/>
      </c>
    </row>
    <row r="3568" spans="31:36">
      <c r="AE3568" s="15" t="str">
        <f t="shared" si="0"/>
        <v/>
      </c>
      <c r="AF3568" s="15" t="str">
        <f t="shared" si="1"/>
        <v/>
      </c>
      <c r="AG3568" s="15" t="str">
        <f>IF(OR(AF3568="",AF3568="ERRO_CHAVE"),"",IFERROR(MATCH(AF3568,'quitado Despesa'!$V$1:$V$12,0),""))</f>
        <v/>
      </c>
      <c r="AH3568" s="15" t="str">
        <f t="shared" si="2"/>
        <v/>
      </c>
      <c r="AI3568" s="17" t="str">
        <f>IF(AG3568="","",INDEX('quitado Despesa'!$G$1:$G$12,AG3568))</f>
        <v/>
      </c>
      <c r="AJ3568" s="17" t="str">
        <f t="shared" si="3"/>
        <v/>
      </c>
    </row>
    <row r="3569" spans="31:36">
      <c r="AE3569" s="15" t="str">
        <f t="shared" si="0"/>
        <v/>
      </c>
      <c r="AF3569" s="15" t="str">
        <f t="shared" si="1"/>
        <v/>
      </c>
      <c r="AG3569" s="15" t="str">
        <f>IF(OR(AF3569="",AF3569="ERRO_CHAVE"),"",IFERROR(MATCH(AF3569,'quitado Despesa'!$V$1:$V$12,0),""))</f>
        <v/>
      </c>
      <c r="AH3569" s="15" t="str">
        <f t="shared" si="2"/>
        <v/>
      </c>
      <c r="AI3569" s="17" t="str">
        <f>IF(AG3569="","",INDEX('quitado Despesa'!$G$1:$G$12,AG3569))</f>
        <v/>
      </c>
      <c r="AJ3569" s="17" t="str">
        <f t="shared" si="3"/>
        <v/>
      </c>
    </row>
    <row r="3570" spans="31:36">
      <c r="AE3570" s="15" t="str">
        <f t="shared" si="0"/>
        <v/>
      </c>
      <c r="AF3570" s="15" t="str">
        <f t="shared" si="1"/>
        <v/>
      </c>
      <c r="AG3570" s="15" t="str">
        <f>IF(OR(AF3570="",AF3570="ERRO_CHAVE"),"",IFERROR(MATCH(AF3570,'quitado Despesa'!$V$1:$V$12,0),""))</f>
        <v/>
      </c>
      <c r="AH3570" s="15" t="str">
        <f t="shared" si="2"/>
        <v/>
      </c>
      <c r="AI3570" s="17" t="str">
        <f>IF(AG3570="","",INDEX('quitado Despesa'!$G$1:$G$12,AG3570))</f>
        <v/>
      </c>
      <c r="AJ3570" s="17" t="str">
        <f t="shared" si="3"/>
        <v/>
      </c>
    </row>
    <row r="3571" spans="31:36">
      <c r="AE3571" s="15" t="str">
        <f t="shared" si="0"/>
        <v/>
      </c>
      <c r="AF3571" s="15" t="str">
        <f t="shared" si="1"/>
        <v/>
      </c>
      <c r="AG3571" s="15" t="str">
        <f>IF(OR(AF3571="",AF3571="ERRO_CHAVE"),"",IFERROR(MATCH(AF3571,'quitado Despesa'!$V$1:$V$12,0),""))</f>
        <v/>
      </c>
      <c r="AH3571" s="15" t="str">
        <f t="shared" si="2"/>
        <v/>
      </c>
      <c r="AI3571" s="17" t="str">
        <f>IF(AG3571="","",INDEX('quitado Despesa'!$G$1:$G$12,AG3571))</f>
        <v/>
      </c>
      <c r="AJ3571" s="17" t="str">
        <f t="shared" si="3"/>
        <v/>
      </c>
    </row>
    <row r="3572" spans="31:36">
      <c r="AE3572" s="15" t="str">
        <f t="shared" si="0"/>
        <v/>
      </c>
      <c r="AF3572" s="15" t="str">
        <f t="shared" si="1"/>
        <v/>
      </c>
      <c r="AG3572" s="15" t="str">
        <f>IF(OR(AF3572="",AF3572="ERRO_CHAVE"),"",IFERROR(MATCH(AF3572,'quitado Despesa'!$V$1:$V$12,0),""))</f>
        <v/>
      </c>
      <c r="AH3572" s="15" t="str">
        <f t="shared" si="2"/>
        <v/>
      </c>
      <c r="AI3572" s="17" t="str">
        <f>IF(AG3572="","",INDEX('quitado Despesa'!$G$1:$G$12,AG3572))</f>
        <v/>
      </c>
      <c r="AJ3572" s="17" t="str">
        <f t="shared" si="3"/>
        <v/>
      </c>
    </row>
    <row r="3573" spans="31:36">
      <c r="AE3573" s="15" t="str">
        <f t="shared" si="0"/>
        <v/>
      </c>
      <c r="AF3573" s="15" t="str">
        <f t="shared" si="1"/>
        <v/>
      </c>
      <c r="AG3573" s="15" t="str">
        <f>IF(OR(AF3573="",AF3573="ERRO_CHAVE"),"",IFERROR(MATCH(AF3573,'quitado Despesa'!$V$1:$V$12,0),""))</f>
        <v/>
      </c>
      <c r="AH3573" s="15" t="str">
        <f t="shared" si="2"/>
        <v/>
      </c>
      <c r="AI3573" s="17" t="str">
        <f>IF(AG3573="","",INDEX('quitado Despesa'!$G$1:$G$12,AG3573))</f>
        <v/>
      </c>
      <c r="AJ3573" s="17" t="str">
        <f t="shared" si="3"/>
        <v/>
      </c>
    </row>
    <row r="3574" spans="31:36">
      <c r="AE3574" s="15" t="str">
        <f t="shared" si="0"/>
        <v/>
      </c>
      <c r="AF3574" s="15" t="str">
        <f t="shared" si="1"/>
        <v/>
      </c>
      <c r="AG3574" s="15" t="str">
        <f>IF(OR(AF3574="",AF3574="ERRO_CHAVE"),"",IFERROR(MATCH(AF3574,'quitado Despesa'!$V$1:$V$12,0),""))</f>
        <v/>
      </c>
      <c r="AH3574" s="15" t="str">
        <f t="shared" si="2"/>
        <v/>
      </c>
      <c r="AI3574" s="17" t="str">
        <f>IF(AG3574="","",INDEX('quitado Despesa'!$G$1:$G$12,AG3574))</f>
        <v/>
      </c>
      <c r="AJ3574" s="17" t="str">
        <f t="shared" si="3"/>
        <v/>
      </c>
    </row>
    <row r="3575" spans="31:36">
      <c r="AE3575" s="15" t="str">
        <f t="shared" si="0"/>
        <v/>
      </c>
      <c r="AF3575" s="15" t="str">
        <f t="shared" si="1"/>
        <v/>
      </c>
      <c r="AG3575" s="15" t="str">
        <f>IF(OR(AF3575="",AF3575="ERRO_CHAVE"),"",IFERROR(MATCH(AF3575,'quitado Despesa'!$V$1:$V$12,0),""))</f>
        <v/>
      </c>
      <c r="AH3575" s="15" t="str">
        <f t="shared" si="2"/>
        <v/>
      </c>
      <c r="AI3575" s="17" t="str">
        <f>IF(AG3575="","",INDEX('quitado Despesa'!$G$1:$G$12,AG3575))</f>
        <v/>
      </c>
      <c r="AJ3575" s="17" t="str">
        <f t="shared" si="3"/>
        <v/>
      </c>
    </row>
    <row r="3576" spans="31:36">
      <c r="AE3576" s="15" t="str">
        <f t="shared" si="0"/>
        <v/>
      </c>
      <c r="AF3576" s="15" t="str">
        <f t="shared" si="1"/>
        <v/>
      </c>
      <c r="AG3576" s="15" t="str">
        <f>IF(OR(AF3576="",AF3576="ERRO_CHAVE"),"",IFERROR(MATCH(AF3576,'quitado Despesa'!$V$1:$V$12,0),""))</f>
        <v/>
      </c>
      <c r="AH3576" s="15" t="str">
        <f t="shared" si="2"/>
        <v/>
      </c>
      <c r="AI3576" s="17" t="str">
        <f>IF(AG3576="","",INDEX('quitado Despesa'!$G$1:$G$12,AG3576))</f>
        <v/>
      </c>
      <c r="AJ3576" s="17" t="str">
        <f t="shared" si="3"/>
        <v/>
      </c>
    </row>
    <row r="3577" spans="31:36">
      <c r="AE3577" s="15" t="str">
        <f t="shared" si="0"/>
        <v/>
      </c>
      <c r="AF3577" s="15" t="str">
        <f t="shared" si="1"/>
        <v/>
      </c>
      <c r="AG3577" s="15" t="str">
        <f>IF(OR(AF3577="",AF3577="ERRO_CHAVE"),"",IFERROR(MATCH(AF3577,'quitado Despesa'!$V$1:$V$12,0),""))</f>
        <v/>
      </c>
      <c r="AH3577" s="15" t="str">
        <f t="shared" si="2"/>
        <v/>
      </c>
      <c r="AI3577" s="17" t="str">
        <f>IF(AG3577="","",INDEX('quitado Despesa'!$G$1:$G$12,AG3577))</f>
        <v/>
      </c>
      <c r="AJ3577" s="17" t="str">
        <f t="shared" si="3"/>
        <v/>
      </c>
    </row>
    <row r="3578" spans="31:36">
      <c r="AE3578" s="15" t="str">
        <f t="shared" si="0"/>
        <v/>
      </c>
      <c r="AF3578" s="15" t="str">
        <f t="shared" si="1"/>
        <v/>
      </c>
      <c r="AG3578" s="15" t="str">
        <f>IF(OR(AF3578="",AF3578="ERRO_CHAVE"),"",IFERROR(MATCH(AF3578,'quitado Despesa'!$V$1:$V$12,0),""))</f>
        <v/>
      </c>
      <c r="AH3578" s="15" t="str">
        <f t="shared" si="2"/>
        <v/>
      </c>
      <c r="AI3578" s="17" t="str">
        <f>IF(AG3578="","",INDEX('quitado Despesa'!$G$1:$G$12,AG3578))</f>
        <v/>
      </c>
      <c r="AJ3578" s="17" t="str">
        <f t="shared" si="3"/>
        <v/>
      </c>
    </row>
    <row r="3579" spans="31:36">
      <c r="AE3579" s="15" t="str">
        <f t="shared" si="0"/>
        <v/>
      </c>
      <c r="AF3579" s="15" t="str">
        <f t="shared" si="1"/>
        <v/>
      </c>
      <c r="AG3579" s="15" t="str">
        <f>IF(OR(AF3579="",AF3579="ERRO_CHAVE"),"",IFERROR(MATCH(AF3579,'quitado Despesa'!$V$1:$V$12,0),""))</f>
        <v/>
      </c>
      <c r="AH3579" s="15" t="str">
        <f t="shared" si="2"/>
        <v/>
      </c>
      <c r="AI3579" s="17" t="str">
        <f>IF(AG3579="","",INDEX('quitado Despesa'!$G$1:$G$12,AG3579))</f>
        <v/>
      </c>
      <c r="AJ3579" s="17" t="str">
        <f t="shared" si="3"/>
        <v/>
      </c>
    </row>
    <row r="3580" spans="31:36">
      <c r="AE3580" s="15" t="str">
        <f t="shared" si="0"/>
        <v/>
      </c>
      <c r="AF3580" s="15" t="str">
        <f t="shared" si="1"/>
        <v/>
      </c>
      <c r="AG3580" s="15" t="str">
        <f>IF(OR(AF3580="",AF3580="ERRO_CHAVE"),"",IFERROR(MATCH(AF3580,'quitado Despesa'!$V$1:$V$12,0),""))</f>
        <v/>
      </c>
      <c r="AH3580" s="15" t="str">
        <f t="shared" si="2"/>
        <v/>
      </c>
      <c r="AI3580" s="17" t="str">
        <f>IF(AG3580="","",INDEX('quitado Despesa'!$G$1:$G$12,AG3580))</f>
        <v/>
      </c>
      <c r="AJ3580" s="17" t="str">
        <f t="shared" si="3"/>
        <v/>
      </c>
    </row>
    <row r="3581" spans="31:36">
      <c r="AE3581" s="15" t="str">
        <f t="shared" si="0"/>
        <v/>
      </c>
      <c r="AF3581" s="15" t="str">
        <f t="shared" si="1"/>
        <v/>
      </c>
      <c r="AG3581" s="15" t="str">
        <f>IF(OR(AF3581="",AF3581="ERRO_CHAVE"),"",IFERROR(MATCH(AF3581,'quitado Despesa'!$V$1:$V$12,0),""))</f>
        <v/>
      </c>
      <c r="AH3581" s="15" t="str">
        <f t="shared" si="2"/>
        <v/>
      </c>
      <c r="AI3581" s="17" t="str">
        <f>IF(AG3581="","",INDEX('quitado Despesa'!$G$1:$G$12,AG3581))</f>
        <v/>
      </c>
      <c r="AJ3581" s="17" t="str">
        <f t="shared" si="3"/>
        <v/>
      </c>
    </row>
    <row r="3582" spans="31:36">
      <c r="AE3582" s="15" t="str">
        <f t="shared" si="0"/>
        <v/>
      </c>
      <c r="AF3582" s="15" t="str">
        <f t="shared" si="1"/>
        <v/>
      </c>
      <c r="AG3582" s="15" t="str">
        <f>IF(OR(AF3582="",AF3582="ERRO_CHAVE"),"",IFERROR(MATCH(AF3582,'quitado Despesa'!$V$1:$V$12,0),""))</f>
        <v/>
      </c>
      <c r="AH3582" s="15" t="str">
        <f t="shared" si="2"/>
        <v/>
      </c>
      <c r="AI3582" s="17" t="str">
        <f>IF(AG3582="","",INDEX('quitado Despesa'!$G$1:$G$12,AG3582))</f>
        <v/>
      </c>
      <c r="AJ3582" s="17" t="str">
        <f t="shared" si="3"/>
        <v/>
      </c>
    </row>
    <row r="3583" spans="31:36">
      <c r="AE3583" s="15" t="str">
        <f t="shared" si="0"/>
        <v/>
      </c>
      <c r="AF3583" s="15" t="str">
        <f t="shared" si="1"/>
        <v/>
      </c>
      <c r="AG3583" s="15" t="str">
        <f>IF(OR(AF3583="",AF3583="ERRO_CHAVE"),"",IFERROR(MATCH(AF3583,'quitado Despesa'!$V$1:$V$12,0),""))</f>
        <v/>
      </c>
      <c r="AH3583" s="15" t="str">
        <f t="shared" si="2"/>
        <v/>
      </c>
      <c r="AI3583" s="17" t="str">
        <f>IF(AG3583="","",INDEX('quitado Despesa'!$G$1:$G$12,AG3583))</f>
        <v/>
      </c>
      <c r="AJ3583" s="17" t="str">
        <f t="shared" si="3"/>
        <v/>
      </c>
    </row>
    <row r="3584" spans="31:36">
      <c r="AE3584" s="15" t="str">
        <f t="shared" si="0"/>
        <v/>
      </c>
      <c r="AF3584" s="15" t="str">
        <f t="shared" si="1"/>
        <v/>
      </c>
      <c r="AG3584" s="15" t="str">
        <f>IF(OR(AF3584="",AF3584="ERRO_CHAVE"),"",IFERROR(MATCH(AF3584,'quitado Despesa'!$V$1:$V$12,0),""))</f>
        <v/>
      </c>
      <c r="AH3584" s="15" t="str">
        <f t="shared" si="2"/>
        <v/>
      </c>
      <c r="AI3584" s="17" t="str">
        <f>IF(AG3584="","",INDEX('quitado Despesa'!$G$1:$G$12,AG3584))</f>
        <v/>
      </c>
      <c r="AJ3584" s="17" t="str">
        <f t="shared" si="3"/>
        <v/>
      </c>
    </row>
    <row r="3585" spans="31:36">
      <c r="AE3585" s="15" t="str">
        <f t="shared" si="0"/>
        <v/>
      </c>
      <c r="AF3585" s="15" t="str">
        <f t="shared" si="1"/>
        <v/>
      </c>
      <c r="AG3585" s="15" t="str">
        <f>IF(OR(AF3585="",AF3585="ERRO_CHAVE"),"",IFERROR(MATCH(AF3585,'quitado Despesa'!$V$1:$V$12,0),""))</f>
        <v/>
      </c>
      <c r="AH3585" s="15" t="str">
        <f t="shared" si="2"/>
        <v/>
      </c>
      <c r="AI3585" s="17" t="str">
        <f>IF(AG3585="","",INDEX('quitado Despesa'!$G$1:$G$12,AG3585))</f>
        <v/>
      </c>
      <c r="AJ3585" s="17" t="str">
        <f t="shared" si="3"/>
        <v/>
      </c>
    </row>
    <row r="3586" spans="31:36">
      <c r="AE3586" s="15" t="str">
        <f t="shared" si="0"/>
        <v/>
      </c>
      <c r="AF3586" s="15" t="str">
        <f t="shared" si="1"/>
        <v/>
      </c>
      <c r="AG3586" s="15" t="str">
        <f>IF(OR(AF3586="",AF3586="ERRO_CHAVE"),"",IFERROR(MATCH(AF3586,'quitado Despesa'!$V$1:$V$12,0),""))</f>
        <v/>
      </c>
      <c r="AH3586" s="15" t="str">
        <f t="shared" si="2"/>
        <v/>
      </c>
      <c r="AI3586" s="17" t="str">
        <f>IF(AG3586="","",INDEX('quitado Despesa'!$G$1:$G$12,AG3586))</f>
        <v/>
      </c>
      <c r="AJ3586" s="17" t="str">
        <f t="shared" si="3"/>
        <v/>
      </c>
    </row>
    <row r="3587" spans="31:36">
      <c r="AE3587" s="15" t="str">
        <f t="shared" si="0"/>
        <v/>
      </c>
      <c r="AF3587" s="15" t="str">
        <f t="shared" si="1"/>
        <v/>
      </c>
      <c r="AG3587" s="15" t="str">
        <f>IF(OR(AF3587="",AF3587="ERRO_CHAVE"),"",IFERROR(MATCH(AF3587,'quitado Despesa'!$V$1:$V$12,0),""))</f>
        <v/>
      </c>
      <c r="AH3587" s="15" t="str">
        <f t="shared" si="2"/>
        <v/>
      </c>
      <c r="AI3587" s="17" t="str">
        <f>IF(AG3587="","",INDEX('quitado Despesa'!$G$1:$G$12,AG3587))</f>
        <v/>
      </c>
      <c r="AJ3587" s="17" t="str">
        <f t="shared" si="3"/>
        <v/>
      </c>
    </row>
    <row r="3588" spans="31:36">
      <c r="AE3588" s="15" t="str">
        <f t="shared" si="0"/>
        <v/>
      </c>
      <c r="AF3588" s="15" t="str">
        <f t="shared" si="1"/>
        <v/>
      </c>
      <c r="AG3588" s="15" t="str">
        <f>IF(OR(AF3588="",AF3588="ERRO_CHAVE"),"",IFERROR(MATCH(AF3588,'quitado Despesa'!$V$1:$V$12,0),""))</f>
        <v/>
      </c>
      <c r="AH3588" s="15" t="str">
        <f t="shared" si="2"/>
        <v/>
      </c>
      <c r="AI3588" s="17" t="str">
        <f>IF(AG3588="","",INDEX('quitado Despesa'!$G$1:$G$12,AG3588))</f>
        <v/>
      </c>
      <c r="AJ3588" s="17" t="str">
        <f t="shared" si="3"/>
        <v/>
      </c>
    </row>
    <row r="3589" spans="31:36">
      <c r="AE3589" s="15" t="str">
        <f t="shared" si="0"/>
        <v/>
      </c>
      <c r="AF3589" s="15" t="str">
        <f t="shared" si="1"/>
        <v/>
      </c>
      <c r="AG3589" s="15" t="str">
        <f>IF(OR(AF3589="",AF3589="ERRO_CHAVE"),"",IFERROR(MATCH(AF3589,'quitado Despesa'!$V$1:$V$12,0),""))</f>
        <v/>
      </c>
      <c r="AH3589" s="15" t="str">
        <f t="shared" si="2"/>
        <v/>
      </c>
      <c r="AI3589" s="17" t="str">
        <f>IF(AG3589="","",INDEX('quitado Despesa'!$G$1:$G$12,AG3589))</f>
        <v/>
      </c>
      <c r="AJ3589" s="17" t="str">
        <f t="shared" si="3"/>
        <v/>
      </c>
    </row>
    <row r="3590" spans="31:36">
      <c r="AE3590" s="15" t="str">
        <f t="shared" si="0"/>
        <v/>
      </c>
      <c r="AF3590" s="15" t="str">
        <f t="shared" si="1"/>
        <v/>
      </c>
      <c r="AG3590" s="15" t="str">
        <f>IF(OR(AF3590="",AF3590="ERRO_CHAVE"),"",IFERROR(MATCH(AF3590,'quitado Despesa'!$V$1:$V$12,0),""))</f>
        <v/>
      </c>
      <c r="AH3590" s="15" t="str">
        <f t="shared" si="2"/>
        <v/>
      </c>
      <c r="AI3590" s="17" t="str">
        <f>IF(AG3590="","",INDEX('quitado Despesa'!$G$1:$G$12,AG3590))</f>
        <v/>
      </c>
      <c r="AJ3590" s="17" t="str">
        <f t="shared" si="3"/>
        <v/>
      </c>
    </row>
    <row r="3591" spans="31:36">
      <c r="AE3591" s="15" t="str">
        <f t="shared" si="0"/>
        <v/>
      </c>
      <c r="AF3591" s="15" t="str">
        <f t="shared" si="1"/>
        <v/>
      </c>
      <c r="AG3591" s="15" t="str">
        <f>IF(OR(AF3591="",AF3591="ERRO_CHAVE"),"",IFERROR(MATCH(AF3591,'quitado Despesa'!$V$1:$V$12,0),""))</f>
        <v/>
      </c>
      <c r="AH3591" s="15" t="str">
        <f t="shared" si="2"/>
        <v/>
      </c>
      <c r="AI3591" s="17" t="str">
        <f>IF(AG3591="","",INDEX('quitado Despesa'!$G$1:$G$12,AG3591))</f>
        <v/>
      </c>
      <c r="AJ3591" s="17" t="str">
        <f t="shared" si="3"/>
        <v/>
      </c>
    </row>
    <row r="3592" spans="31:36">
      <c r="AE3592" s="15" t="str">
        <f t="shared" si="0"/>
        <v/>
      </c>
      <c r="AF3592" s="15" t="str">
        <f t="shared" si="1"/>
        <v/>
      </c>
      <c r="AG3592" s="15" t="str">
        <f>IF(OR(AF3592="",AF3592="ERRO_CHAVE"),"",IFERROR(MATCH(AF3592,'quitado Despesa'!$V$1:$V$12,0),""))</f>
        <v/>
      </c>
      <c r="AH3592" s="15" t="str">
        <f t="shared" si="2"/>
        <v/>
      </c>
      <c r="AI3592" s="17" t="str">
        <f>IF(AG3592="","",INDEX('quitado Despesa'!$G$1:$G$12,AG3592))</f>
        <v/>
      </c>
      <c r="AJ3592" s="17" t="str">
        <f t="shared" si="3"/>
        <v/>
      </c>
    </row>
    <row r="3593" spans="31:36">
      <c r="AE3593" s="15" t="str">
        <f t="shared" si="0"/>
        <v/>
      </c>
      <c r="AF3593" s="15" t="str">
        <f t="shared" si="1"/>
        <v/>
      </c>
      <c r="AG3593" s="15" t="str">
        <f>IF(OR(AF3593="",AF3593="ERRO_CHAVE"),"",IFERROR(MATCH(AF3593,'quitado Despesa'!$V$1:$V$12,0),""))</f>
        <v/>
      </c>
      <c r="AH3593" s="15" t="str">
        <f t="shared" si="2"/>
        <v/>
      </c>
      <c r="AI3593" s="17" t="str">
        <f>IF(AG3593="","",INDEX('quitado Despesa'!$G$1:$G$12,AG3593))</f>
        <v/>
      </c>
      <c r="AJ3593" s="17" t="str">
        <f t="shared" si="3"/>
        <v/>
      </c>
    </row>
    <row r="3594" spans="31:36">
      <c r="AE3594" s="15" t="str">
        <f t="shared" si="0"/>
        <v/>
      </c>
      <c r="AF3594" s="15" t="str">
        <f t="shared" si="1"/>
        <v/>
      </c>
      <c r="AG3594" s="15" t="str">
        <f>IF(OR(AF3594="",AF3594="ERRO_CHAVE"),"",IFERROR(MATCH(AF3594,'quitado Despesa'!$V$1:$V$12,0),""))</f>
        <v/>
      </c>
      <c r="AH3594" s="15" t="str">
        <f t="shared" si="2"/>
        <v/>
      </c>
      <c r="AI3594" s="17" t="str">
        <f>IF(AG3594="","",INDEX('quitado Despesa'!$G$1:$G$12,AG3594))</f>
        <v/>
      </c>
      <c r="AJ3594" s="17" t="str">
        <f t="shared" si="3"/>
        <v/>
      </c>
    </row>
    <row r="3595" spans="31:36">
      <c r="AE3595" s="15" t="str">
        <f t="shared" si="0"/>
        <v/>
      </c>
      <c r="AF3595" s="15" t="str">
        <f t="shared" si="1"/>
        <v/>
      </c>
      <c r="AG3595" s="15" t="str">
        <f>IF(OR(AF3595="",AF3595="ERRO_CHAVE"),"",IFERROR(MATCH(AF3595,'quitado Despesa'!$V$1:$V$12,0),""))</f>
        <v/>
      </c>
      <c r="AH3595" s="15" t="str">
        <f t="shared" si="2"/>
        <v/>
      </c>
      <c r="AI3595" s="17" t="str">
        <f>IF(AG3595="","",INDEX('quitado Despesa'!$G$1:$G$12,AG3595))</f>
        <v/>
      </c>
      <c r="AJ3595" s="17" t="str">
        <f t="shared" si="3"/>
        <v/>
      </c>
    </row>
    <row r="3596" spans="31:36">
      <c r="AE3596" s="15" t="str">
        <f t="shared" si="0"/>
        <v/>
      </c>
      <c r="AF3596" s="15" t="str">
        <f t="shared" si="1"/>
        <v/>
      </c>
      <c r="AG3596" s="15" t="str">
        <f>IF(OR(AF3596="",AF3596="ERRO_CHAVE"),"",IFERROR(MATCH(AF3596,'quitado Despesa'!$V$1:$V$12,0),""))</f>
        <v/>
      </c>
      <c r="AH3596" s="15" t="str">
        <f t="shared" si="2"/>
        <v/>
      </c>
      <c r="AI3596" s="17" t="str">
        <f>IF(AG3596="","",INDEX('quitado Despesa'!$G$1:$G$12,AG3596))</f>
        <v/>
      </c>
      <c r="AJ3596" s="17" t="str">
        <f t="shared" si="3"/>
        <v/>
      </c>
    </row>
    <row r="3597" spans="31:36">
      <c r="AE3597" s="15" t="str">
        <f t="shared" si="0"/>
        <v/>
      </c>
      <c r="AF3597" s="15" t="str">
        <f t="shared" si="1"/>
        <v/>
      </c>
      <c r="AG3597" s="15" t="str">
        <f>IF(OR(AF3597="",AF3597="ERRO_CHAVE"),"",IFERROR(MATCH(AF3597,'quitado Despesa'!$V$1:$V$12,0),""))</f>
        <v/>
      </c>
      <c r="AH3597" s="15" t="str">
        <f t="shared" si="2"/>
        <v/>
      </c>
      <c r="AI3597" s="17" t="str">
        <f>IF(AG3597="","",INDEX('quitado Despesa'!$G$1:$G$12,AG3597))</f>
        <v/>
      </c>
      <c r="AJ3597" s="17" t="str">
        <f t="shared" si="3"/>
        <v/>
      </c>
    </row>
    <row r="3598" spans="31:36">
      <c r="AE3598" s="15" t="str">
        <f t="shared" si="0"/>
        <v/>
      </c>
      <c r="AF3598" s="15" t="str">
        <f t="shared" si="1"/>
        <v/>
      </c>
      <c r="AG3598" s="15" t="str">
        <f>IF(OR(AF3598="",AF3598="ERRO_CHAVE"),"",IFERROR(MATCH(AF3598,'quitado Despesa'!$V$1:$V$12,0),""))</f>
        <v/>
      </c>
      <c r="AH3598" s="15" t="str">
        <f t="shared" si="2"/>
        <v/>
      </c>
      <c r="AI3598" s="17" t="str">
        <f>IF(AG3598="","",INDEX('quitado Despesa'!$G$1:$G$12,AG3598))</f>
        <v/>
      </c>
      <c r="AJ3598" s="17" t="str">
        <f t="shared" si="3"/>
        <v/>
      </c>
    </row>
    <row r="3599" spans="31:36">
      <c r="AE3599" s="15" t="str">
        <f t="shared" si="0"/>
        <v/>
      </c>
      <c r="AF3599" s="15" t="str">
        <f t="shared" si="1"/>
        <v/>
      </c>
      <c r="AG3599" s="15" t="str">
        <f>IF(OR(AF3599="",AF3599="ERRO_CHAVE"),"",IFERROR(MATCH(AF3599,'quitado Despesa'!$V$1:$V$12,0),""))</f>
        <v/>
      </c>
      <c r="AH3599" s="15" t="str">
        <f t="shared" si="2"/>
        <v/>
      </c>
      <c r="AI3599" s="17" t="str">
        <f>IF(AG3599="","",INDEX('quitado Despesa'!$G$1:$G$12,AG3599))</f>
        <v/>
      </c>
      <c r="AJ3599" s="17" t="str">
        <f t="shared" si="3"/>
        <v/>
      </c>
    </row>
    <row r="3600" spans="31:36">
      <c r="AE3600" s="15" t="str">
        <f t="shared" si="0"/>
        <v/>
      </c>
      <c r="AF3600" s="15" t="str">
        <f t="shared" si="1"/>
        <v/>
      </c>
      <c r="AG3600" s="15" t="str">
        <f>IF(OR(AF3600="",AF3600="ERRO_CHAVE"),"",IFERROR(MATCH(AF3600,'quitado Despesa'!$V$1:$V$12,0),""))</f>
        <v/>
      </c>
      <c r="AH3600" s="15" t="str">
        <f t="shared" si="2"/>
        <v/>
      </c>
      <c r="AI3600" s="17" t="str">
        <f>IF(AG3600="","",INDEX('quitado Despesa'!$G$1:$G$12,AG3600))</f>
        <v/>
      </c>
      <c r="AJ3600" s="17" t="str">
        <f t="shared" si="3"/>
        <v/>
      </c>
    </row>
    <row r="3601" spans="31:36">
      <c r="AE3601" s="15" t="str">
        <f t="shared" si="0"/>
        <v/>
      </c>
      <c r="AF3601" s="15" t="str">
        <f t="shared" si="1"/>
        <v/>
      </c>
      <c r="AG3601" s="15" t="str">
        <f>IF(OR(AF3601="",AF3601="ERRO_CHAVE"),"",IFERROR(MATCH(AF3601,'quitado Despesa'!$V$1:$V$12,0),""))</f>
        <v/>
      </c>
      <c r="AH3601" s="15" t="str">
        <f t="shared" si="2"/>
        <v/>
      </c>
      <c r="AI3601" s="17" t="str">
        <f>IF(AG3601="","",INDEX('quitado Despesa'!$G$1:$G$12,AG3601))</f>
        <v/>
      </c>
      <c r="AJ3601" s="17" t="str">
        <f t="shared" si="3"/>
        <v/>
      </c>
    </row>
    <row r="3602" spans="31:36">
      <c r="AE3602" s="15" t="str">
        <f t="shared" si="0"/>
        <v/>
      </c>
      <c r="AF3602" s="15" t="str">
        <f t="shared" si="1"/>
        <v/>
      </c>
      <c r="AG3602" s="15" t="str">
        <f>IF(OR(AF3602="",AF3602="ERRO_CHAVE"),"",IFERROR(MATCH(AF3602,'quitado Despesa'!$V$1:$V$12,0),""))</f>
        <v/>
      </c>
      <c r="AH3602" s="15" t="str">
        <f t="shared" si="2"/>
        <v/>
      </c>
      <c r="AI3602" s="17" t="str">
        <f>IF(AG3602="","",INDEX('quitado Despesa'!$G$1:$G$12,AG3602))</f>
        <v/>
      </c>
      <c r="AJ3602" s="17" t="str">
        <f t="shared" si="3"/>
        <v/>
      </c>
    </row>
    <row r="3603" spans="31:36">
      <c r="AE3603" s="15" t="str">
        <f t="shared" si="0"/>
        <v/>
      </c>
      <c r="AF3603" s="15" t="str">
        <f t="shared" si="1"/>
        <v/>
      </c>
      <c r="AG3603" s="15" t="str">
        <f>IF(OR(AF3603="",AF3603="ERRO_CHAVE"),"",IFERROR(MATCH(AF3603,'quitado Despesa'!$V$1:$V$12,0),""))</f>
        <v/>
      </c>
      <c r="AH3603" s="15" t="str">
        <f t="shared" si="2"/>
        <v/>
      </c>
      <c r="AI3603" s="17" t="str">
        <f>IF(AG3603="","",INDEX('quitado Despesa'!$G$1:$G$12,AG3603))</f>
        <v/>
      </c>
      <c r="AJ3603" s="17" t="str">
        <f t="shared" si="3"/>
        <v/>
      </c>
    </row>
    <row r="3604" spans="31:36">
      <c r="AE3604" s="15" t="str">
        <f t="shared" si="0"/>
        <v/>
      </c>
      <c r="AF3604" s="15" t="str">
        <f t="shared" si="1"/>
        <v/>
      </c>
      <c r="AG3604" s="15" t="str">
        <f>IF(OR(AF3604="",AF3604="ERRO_CHAVE"),"",IFERROR(MATCH(AF3604,'quitado Despesa'!$V$1:$V$12,0),""))</f>
        <v/>
      </c>
      <c r="AH3604" s="15" t="str">
        <f t="shared" si="2"/>
        <v/>
      </c>
      <c r="AI3604" s="17" t="str">
        <f>IF(AG3604="","",INDEX('quitado Despesa'!$G$1:$G$12,AG3604))</f>
        <v/>
      </c>
      <c r="AJ3604" s="17" t="str">
        <f t="shared" si="3"/>
        <v/>
      </c>
    </row>
    <row r="3605" spans="31:36">
      <c r="AE3605" s="15" t="str">
        <f t="shared" si="0"/>
        <v/>
      </c>
      <c r="AF3605" s="15" t="str">
        <f t="shared" si="1"/>
        <v/>
      </c>
      <c r="AG3605" s="15" t="str">
        <f>IF(OR(AF3605="",AF3605="ERRO_CHAVE"),"",IFERROR(MATCH(AF3605,'quitado Despesa'!$V$1:$V$12,0),""))</f>
        <v/>
      </c>
      <c r="AH3605" s="15" t="str">
        <f t="shared" si="2"/>
        <v/>
      </c>
      <c r="AI3605" s="17" t="str">
        <f>IF(AG3605="","",INDEX('quitado Despesa'!$G$1:$G$12,AG3605))</f>
        <v/>
      </c>
      <c r="AJ3605" s="17" t="str">
        <f t="shared" si="3"/>
        <v/>
      </c>
    </row>
    <row r="3606" spans="31:36">
      <c r="AE3606" s="15" t="str">
        <f t="shared" si="0"/>
        <v/>
      </c>
      <c r="AF3606" s="15" t="str">
        <f t="shared" si="1"/>
        <v/>
      </c>
      <c r="AG3606" s="15" t="str">
        <f>IF(OR(AF3606="",AF3606="ERRO_CHAVE"),"",IFERROR(MATCH(AF3606,'quitado Despesa'!$V$1:$V$12,0),""))</f>
        <v/>
      </c>
      <c r="AH3606" s="15" t="str">
        <f t="shared" si="2"/>
        <v/>
      </c>
      <c r="AI3606" s="17" t="str">
        <f>IF(AG3606="","",INDEX('quitado Despesa'!$G$1:$G$12,AG3606))</f>
        <v/>
      </c>
      <c r="AJ3606" s="17" t="str">
        <f t="shared" si="3"/>
        <v/>
      </c>
    </row>
    <row r="3607" spans="31:36">
      <c r="AE3607" s="15" t="str">
        <f t="shared" si="0"/>
        <v/>
      </c>
      <c r="AF3607" s="15" t="str">
        <f t="shared" si="1"/>
        <v/>
      </c>
      <c r="AG3607" s="15" t="str">
        <f>IF(OR(AF3607="",AF3607="ERRO_CHAVE"),"",IFERROR(MATCH(AF3607,'quitado Despesa'!$V$1:$V$12,0),""))</f>
        <v/>
      </c>
      <c r="AH3607" s="15" t="str">
        <f t="shared" si="2"/>
        <v/>
      </c>
      <c r="AI3607" s="17" t="str">
        <f>IF(AG3607="","",INDEX('quitado Despesa'!$G$1:$G$12,AG3607))</f>
        <v/>
      </c>
      <c r="AJ3607" s="17" t="str">
        <f t="shared" si="3"/>
        <v/>
      </c>
    </row>
    <row r="3608" spans="31:36">
      <c r="AE3608" s="15" t="str">
        <f t="shared" si="0"/>
        <v/>
      </c>
      <c r="AF3608" s="15" t="str">
        <f t="shared" si="1"/>
        <v/>
      </c>
      <c r="AG3608" s="15" t="str">
        <f>IF(OR(AF3608="",AF3608="ERRO_CHAVE"),"",IFERROR(MATCH(AF3608,'quitado Despesa'!$V$1:$V$12,0),""))</f>
        <v/>
      </c>
      <c r="AH3608" s="15" t="str">
        <f t="shared" si="2"/>
        <v/>
      </c>
      <c r="AI3608" s="17" t="str">
        <f>IF(AG3608="","",INDEX('quitado Despesa'!$G$1:$G$12,AG3608))</f>
        <v/>
      </c>
      <c r="AJ3608" s="17" t="str">
        <f t="shared" si="3"/>
        <v/>
      </c>
    </row>
    <row r="3609" spans="31:36">
      <c r="AE3609" s="15" t="str">
        <f t="shared" si="0"/>
        <v/>
      </c>
      <c r="AF3609" s="15" t="str">
        <f t="shared" si="1"/>
        <v/>
      </c>
      <c r="AG3609" s="15" t="str">
        <f>IF(OR(AF3609="",AF3609="ERRO_CHAVE"),"",IFERROR(MATCH(AF3609,'quitado Despesa'!$V$1:$V$12,0),""))</f>
        <v/>
      </c>
      <c r="AH3609" s="15" t="str">
        <f t="shared" si="2"/>
        <v/>
      </c>
      <c r="AI3609" s="17" t="str">
        <f>IF(AG3609="","",INDEX('quitado Despesa'!$G$1:$G$12,AG3609))</f>
        <v/>
      </c>
      <c r="AJ3609" s="17" t="str">
        <f t="shared" si="3"/>
        <v/>
      </c>
    </row>
    <row r="3610" spans="31:36">
      <c r="AE3610" s="15" t="str">
        <f t="shared" si="0"/>
        <v/>
      </c>
      <c r="AF3610" s="15" t="str">
        <f t="shared" si="1"/>
        <v/>
      </c>
      <c r="AG3610" s="15" t="str">
        <f>IF(OR(AF3610="",AF3610="ERRO_CHAVE"),"",IFERROR(MATCH(AF3610,'quitado Despesa'!$V$1:$V$12,0),""))</f>
        <v/>
      </c>
      <c r="AH3610" s="15" t="str">
        <f t="shared" si="2"/>
        <v/>
      </c>
      <c r="AI3610" s="17" t="str">
        <f>IF(AG3610="","",INDEX('quitado Despesa'!$G$1:$G$12,AG3610))</f>
        <v/>
      </c>
      <c r="AJ3610" s="17" t="str">
        <f t="shared" si="3"/>
        <v/>
      </c>
    </row>
    <row r="3611" spans="31:36">
      <c r="AE3611" s="15" t="str">
        <f t="shared" si="0"/>
        <v/>
      </c>
      <c r="AF3611" s="15" t="str">
        <f t="shared" si="1"/>
        <v/>
      </c>
      <c r="AG3611" s="15" t="str">
        <f>IF(OR(AF3611="",AF3611="ERRO_CHAVE"),"",IFERROR(MATCH(AF3611,'quitado Despesa'!$V$1:$V$12,0),""))</f>
        <v/>
      </c>
      <c r="AH3611" s="15" t="str">
        <f t="shared" si="2"/>
        <v/>
      </c>
      <c r="AI3611" s="17" t="str">
        <f>IF(AG3611="","",INDEX('quitado Despesa'!$G$1:$G$12,AG3611))</f>
        <v/>
      </c>
      <c r="AJ3611" s="17" t="str">
        <f t="shared" si="3"/>
        <v/>
      </c>
    </row>
    <row r="3612" spans="31:36">
      <c r="AE3612" s="15" t="str">
        <f t="shared" si="0"/>
        <v/>
      </c>
      <c r="AF3612" s="15" t="str">
        <f t="shared" si="1"/>
        <v/>
      </c>
      <c r="AG3612" s="15" t="str">
        <f>IF(OR(AF3612="",AF3612="ERRO_CHAVE"),"",IFERROR(MATCH(AF3612,'quitado Despesa'!$V$1:$V$12,0),""))</f>
        <v/>
      </c>
      <c r="AH3612" s="15" t="str">
        <f t="shared" si="2"/>
        <v/>
      </c>
      <c r="AI3612" s="17" t="str">
        <f>IF(AG3612="","",INDEX('quitado Despesa'!$G$1:$G$12,AG3612))</f>
        <v/>
      </c>
      <c r="AJ3612" s="17" t="str">
        <f t="shared" si="3"/>
        <v/>
      </c>
    </row>
    <row r="3613" spans="31:36">
      <c r="AE3613" s="15" t="str">
        <f t="shared" si="0"/>
        <v/>
      </c>
      <c r="AF3613" s="15" t="str">
        <f t="shared" si="1"/>
        <v/>
      </c>
      <c r="AG3613" s="15" t="str">
        <f>IF(OR(AF3613="",AF3613="ERRO_CHAVE"),"",IFERROR(MATCH(AF3613,'quitado Despesa'!$V$1:$V$12,0),""))</f>
        <v/>
      </c>
      <c r="AH3613" s="15" t="str">
        <f t="shared" si="2"/>
        <v/>
      </c>
      <c r="AI3613" s="17" t="str">
        <f>IF(AG3613="","",INDEX('quitado Despesa'!$G$1:$G$12,AG3613))</f>
        <v/>
      </c>
      <c r="AJ3613" s="17" t="str">
        <f t="shared" si="3"/>
        <v/>
      </c>
    </row>
    <row r="3614" spans="31:36">
      <c r="AE3614" s="15" t="str">
        <f t="shared" si="0"/>
        <v/>
      </c>
      <c r="AF3614" s="15" t="str">
        <f t="shared" si="1"/>
        <v/>
      </c>
      <c r="AG3614" s="15" t="str">
        <f>IF(OR(AF3614="",AF3614="ERRO_CHAVE"),"",IFERROR(MATCH(AF3614,'quitado Despesa'!$V$1:$V$12,0),""))</f>
        <v/>
      </c>
      <c r="AH3614" s="15" t="str">
        <f t="shared" si="2"/>
        <v/>
      </c>
      <c r="AI3614" s="17" t="str">
        <f>IF(AG3614="","",INDEX('quitado Despesa'!$G$1:$G$12,AG3614))</f>
        <v/>
      </c>
      <c r="AJ3614" s="17" t="str">
        <f t="shared" si="3"/>
        <v/>
      </c>
    </row>
    <row r="3615" spans="31:36">
      <c r="AE3615" s="15" t="str">
        <f t="shared" si="0"/>
        <v/>
      </c>
      <c r="AF3615" s="15" t="str">
        <f t="shared" si="1"/>
        <v/>
      </c>
      <c r="AG3615" s="15" t="str">
        <f>IF(OR(AF3615="",AF3615="ERRO_CHAVE"),"",IFERROR(MATCH(AF3615,'quitado Despesa'!$V$1:$V$12,0),""))</f>
        <v/>
      </c>
      <c r="AH3615" s="15" t="str">
        <f t="shared" si="2"/>
        <v/>
      </c>
      <c r="AI3615" s="17" t="str">
        <f>IF(AG3615="","",INDEX('quitado Despesa'!$G$1:$G$12,AG3615))</f>
        <v/>
      </c>
      <c r="AJ3615" s="17" t="str">
        <f t="shared" si="3"/>
        <v/>
      </c>
    </row>
    <row r="3616" spans="31:36">
      <c r="AE3616" s="15" t="str">
        <f t="shared" si="0"/>
        <v/>
      </c>
      <c r="AF3616" s="15" t="str">
        <f t="shared" si="1"/>
        <v/>
      </c>
      <c r="AG3616" s="15" t="str">
        <f>IF(OR(AF3616="",AF3616="ERRO_CHAVE"),"",IFERROR(MATCH(AF3616,'quitado Despesa'!$V$1:$V$12,0),""))</f>
        <v/>
      </c>
      <c r="AH3616" s="15" t="str">
        <f t="shared" si="2"/>
        <v/>
      </c>
      <c r="AI3616" s="17" t="str">
        <f>IF(AG3616="","",INDEX('quitado Despesa'!$G$1:$G$12,AG3616))</f>
        <v/>
      </c>
      <c r="AJ3616" s="17" t="str">
        <f t="shared" si="3"/>
        <v/>
      </c>
    </row>
    <row r="3617" spans="31:36">
      <c r="AE3617" s="15" t="str">
        <f t="shared" si="0"/>
        <v/>
      </c>
      <c r="AF3617" s="15" t="str">
        <f t="shared" si="1"/>
        <v/>
      </c>
      <c r="AG3617" s="15" t="str">
        <f>IF(OR(AF3617="",AF3617="ERRO_CHAVE"),"",IFERROR(MATCH(AF3617,'quitado Despesa'!$V$1:$V$12,0),""))</f>
        <v/>
      </c>
      <c r="AH3617" s="15" t="str">
        <f t="shared" si="2"/>
        <v/>
      </c>
      <c r="AI3617" s="17" t="str">
        <f>IF(AG3617="","",INDEX('quitado Despesa'!$G$1:$G$12,AG3617))</f>
        <v/>
      </c>
      <c r="AJ3617" s="17" t="str">
        <f t="shared" si="3"/>
        <v/>
      </c>
    </row>
    <row r="3618" spans="31:36">
      <c r="AE3618" s="15" t="str">
        <f t="shared" si="0"/>
        <v/>
      </c>
      <c r="AF3618" s="15" t="str">
        <f t="shared" si="1"/>
        <v/>
      </c>
      <c r="AG3618" s="15" t="str">
        <f>IF(OR(AF3618="",AF3618="ERRO_CHAVE"),"",IFERROR(MATCH(AF3618,'quitado Despesa'!$V$1:$V$12,0),""))</f>
        <v/>
      </c>
      <c r="AH3618" s="15" t="str">
        <f t="shared" si="2"/>
        <v/>
      </c>
      <c r="AI3618" s="17" t="str">
        <f>IF(AG3618="","",INDEX('quitado Despesa'!$G$1:$G$12,AG3618))</f>
        <v/>
      </c>
      <c r="AJ3618" s="17" t="str">
        <f t="shared" si="3"/>
        <v/>
      </c>
    </row>
    <row r="3619" spans="31:36">
      <c r="AE3619" s="15" t="str">
        <f t="shared" si="0"/>
        <v/>
      </c>
      <c r="AF3619" s="15" t="str">
        <f t="shared" si="1"/>
        <v/>
      </c>
      <c r="AG3619" s="15" t="str">
        <f>IF(OR(AF3619="",AF3619="ERRO_CHAVE"),"",IFERROR(MATCH(AF3619,'quitado Despesa'!$V$1:$V$12,0),""))</f>
        <v/>
      </c>
      <c r="AH3619" s="15" t="str">
        <f t="shared" si="2"/>
        <v/>
      </c>
      <c r="AI3619" s="17" t="str">
        <f>IF(AG3619="","",INDEX('quitado Despesa'!$G$1:$G$12,AG3619))</f>
        <v/>
      </c>
      <c r="AJ3619" s="17" t="str">
        <f t="shared" si="3"/>
        <v/>
      </c>
    </row>
    <row r="3620" spans="31:36">
      <c r="AE3620" s="15" t="str">
        <f t="shared" si="0"/>
        <v/>
      </c>
      <c r="AF3620" s="15" t="str">
        <f t="shared" si="1"/>
        <v/>
      </c>
      <c r="AG3620" s="15" t="str">
        <f>IF(OR(AF3620="",AF3620="ERRO_CHAVE"),"",IFERROR(MATCH(AF3620,'quitado Despesa'!$V$1:$V$12,0),""))</f>
        <v/>
      </c>
      <c r="AH3620" s="15" t="str">
        <f t="shared" si="2"/>
        <v/>
      </c>
      <c r="AI3620" s="17" t="str">
        <f>IF(AG3620="","",INDEX('quitado Despesa'!$G$1:$G$12,AG3620))</f>
        <v/>
      </c>
      <c r="AJ3620" s="17" t="str">
        <f t="shared" si="3"/>
        <v/>
      </c>
    </row>
    <row r="3621" spans="31:36">
      <c r="AE3621" s="15" t="str">
        <f t="shared" si="0"/>
        <v/>
      </c>
      <c r="AF3621" s="15" t="str">
        <f t="shared" si="1"/>
        <v/>
      </c>
      <c r="AG3621" s="15" t="str">
        <f>IF(OR(AF3621="",AF3621="ERRO_CHAVE"),"",IFERROR(MATCH(AF3621,'quitado Despesa'!$V$1:$V$12,0),""))</f>
        <v/>
      </c>
      <c r="AH3621" s="15" t="str">
        <f t="shared" si="2"/>
        <v/>
      </c>
      <c r="AI3621" s="17" t="str">
        <f>IF(AG3621="","",INDEX('quitado Despesa'!$G$1:$G$12,AG3621))</f>
        <v/>
      </c>
      <c r="AJ3621" s="17" t="str">
        <f t="shared" si="3"/>
        <v/>
      </c>
    </row>
    <row r="3622" spans="31:36">
      <c r="AE3622" s="15" t="str">
        <f t="shared" si="0"/>
        <v/>
      </c>
      <c r="AF3622" s="15" t="str">
        <f t="shared" si="1"/>
        <v/>
      </c>
      <c r="AG3622" s="15" t="str">
        <f>IF(OR(AF3622="",AF3622="ERRO_CHAVE"),"",IFERROR(MATCH(AF3622,'quitado Despesa'!$V$1:$V$12,0),""))</f>
        <v/>
      </c>
      <c r="AH3622" s="15" t="str">
        <f t="shared" si="2"/>
        <v/>
      </c>
      <c r="AI3622" s="17" t="str">
        <f>IF(AG3622="","",INDEX('quitado Despesa'!$G$1:$G$12,AG3622))</f>
        <v/>
      </c>
      <c r="AJ3622" s="17" t="str">
        <f t="shared" si="3"/>
        <v/>
      </c>
    </row>
    <row r="3623" spans="31:36">
      <c r="AE3623" s="15" t="str">
        <f t="shared" si="0"/>
        <v/>
      </c>
      <c r="AF3623" s="15" t="str">
        <f t="shared" si="1"/>
        <v/>
      </c>
      <c r="AG3623" s="15" t="str">
        <f>IF(OR(AF3623="",AF3623="ERRO_CHAVE"),"",IFERROR(MATCH(AF3623,'quitado Despesa'!$V$1:$V$12,0),""))</f>
        <v/>
      </c>
      <c r="AH3623" s="15" t="str">
        <f t="shared" si="2"/>
        <v/>
      </c>
      <c r="AI3623" s="17" t="str">
        <f>IF(AG3623="","",INDEX('quitado Despesa'!$G$1:$G$12,AG3623))</f>
        <v/>
      </c>
      <c r="AJ3623" s="17" t="str">
        <f t="shared" si="3"/>
        <v/>
      </c>
    </row>
    <row r="3624" spans="31:36">
      <c r="AE3624" s="15" t="str">
        <f t="shared" si="0"/>
        <v/>
      </c>
      <c r="AF3624" s="15" t="str">
        <f t="shared" si="1"/>
        <v/>
      </c>
      <c r="AG3624" s="15" t="str">
        <f>IF(OR(AF3624="",AF3624="ERRO_CHAVE"),"",IFERROR(MATCH(AF3624,'quitado Despesa'!$V$1:$V$12,0),""))</f>
        <v/>
      </c>
      <c r="AH3624" s="15" t="str">
        <f t="shared" si="2"/>
        <v/>
      </c>
      <c r="AI3624" s="17" t="str">
        <f>IF(AG3624="","",INDEX('quitado Despesa'!$G$1:$G$12,AG3624))</f>
        <v/>
      </c>
      <c r="AJ3624" s="17" t="str">
        <f t="shared" si="3"/>
        <v/>
      </c>
    </row>
    <row r="3625" spans="31:36">
      <c r="AE3625" s="15" t="str">
        <f t="shared" si="0"/>
        <v/>
      </c>
      <c r="AF3625" s="15" t="str">
        <f t="shared" si="1"/>
        <v/>
      </c>
      <c r="AG3625" s="15" t="str">
        <f>IF(OR(AF3625="",AF3625="ERRO_CHAVE"),"",IFERROR(MATCH(AF3625,'quitado Despesa'!$V$1:$V$12,0),""))</f>
        <v/>
      </c>
      <c r="AH3625" s="15" t="str">
        <f t="shared" si="2"/>
        <v/>
      </c>
      <c r="AI3625" s="17" t="str">
        <f>IF(AG3625="","",INDEX('quitado Despesa'!$G$1:$G$12,AG3625))</f>
        <v/>
      </c>
      <c r="AJ3625" s="17" t="str">
        <f t="shared" si="3"/>
        <v/>
      </c>
    </row>
    <row r="3626" spans="31:36">
      <c r="AE3626" s="15" t="str">
        <f t="shared" si="0"/>
        <v/>
      </c>
      <c r="AF3626" s="15" t="str">
        <f t="shared" si="1"/>
        <v/>
      </c>
      <c r="AG3626" s="15" t="str">
        <f>IF(OR(AF3626="",AF3626="ERRO_CHAVE"),"",IFERROR(MATCH(AF3626,'quitado Despesa'!$V$1:$V$12,0),""))</f>
        <v/>
      </c>
      <c r="AH3626" s="15" t="str">
        <f t="shared" si="2"/>
        <v/>
      </c>
      <c r="AI3626" s="17" t="str">
        <f>IF(AG3626="","",INDEX('quitado Despesa'!$G$1:$G$12,AG3626))</f>
        <v/>
      </c>
      <c r="AJ3626" s="17" t="str">
        <f t="shared" si="3"/>
        <v/>
      </c>
    </row>
    <row r="3627" spans="31:36">
      <c r="AE3627" s="15" t="str">
        <f t="shared" si="0"/>
        <v/>
      </c>
      <c r="AF3627" s="15" t="str">
        <f t="shared" si="1"/>
        <v/>
      </c>
      <c r="AG3627" s="15" t="str">
        <f>IF(OR(AF3627="",AF3627="ERRO_CHAVE"),"",IFERROR(MATCH(AF3627,'quitado Despesa'!$V$1:$V$12,0),""))</f>
        <v/>
      </c>
      <c r="AH3627" s="15" t="str">
        <f t="shared" si="2"/>
        <v/>
      </c>
      <c r="AI3627" s="17" t="str">
        <f>IF(AG3627="","",INDEX('quitado Despesa'!$G$1:$G$12,AG3627))</f>
        <v/>
      </c>
      <c r="AJ3627" s="17" t="str">
        <f t="shared" si="3"/>
        <v/>
      </c>
    </row>
    <row r="3628" spans="31:36">
      <c r="AE3628" s="15" t="str">
        <f t="shared" si="0"/>
        <v/>
      </c>
      <c r="AF3628" s="15" t="str">
        <f t="shared" si="1"/>
        <v/>
      </c>
      <c r="AG3628" s="15" t="str">
        <f>IF(OR(AF3628="",AF3628="ERRO_CHAVE"),"",IFERROR(MATCH(AF3628,'quitado Despesa'!$V$1:$V$12,0),""))</f>
        <v/>
      </c>
      <c r="AH3628" s="15" t="str">
        <f t="shared" si="2"/>
        <v/>
      </c>
      <c r="AI3628" s="17" t="str">
        <f>IF(AG3628="","",INDEX('quitado Despesa'!$G$1:$G$12,AG3628))</f>
        <v/>
      </c>
      <c r="AJ3628" s="17" t="str">
        <f t="shared" si="3"/>
        <v/>
      </c>
    </row>
    <row r="3629" spans="31:36">
      <c r="AE3629" s="15" t="str">
        <f t="shared" si="0"/>
        <v/>
      </c>
      <c r="AF3629" s="15" t="str">
        <f t="shared" si="1"/>
        <v/>
      </c>
      <c r="AG3629" s="15" t="str">
        <f>IF(OR(AF3629="",AF3629="ERRO_CHAVE"),"",IFERROR(MATCH(AF3629,'quitado Despesa'!$V$1:$V$12,0),""))</f>
        <v/>
      </c>
      <c r="AH3629" s="15" t="str">
        <f t="shared" si="2"/>
        <v/>
      </c>
      <c r="AI3629" s="17" t="str">
        <f>IF(AG3629="","",INDEX('quitado Despesa'!$G$1:$G$12,AG3629))</f>
        <v/>
      </c>
      <c r="AJ3629" s="17" t="str">
        <f t="shared" si="3"/>
        <v/>
      </c>
    </row>
    <row r="3630" spans="31:36">
      <c r="AE3630" s="15" t="str">
        <f t="shared" si="0"/>
        <v/>
      </c>
      <c r="AF3630" s="15" t="str">
        <f t="shared" si="1"/>
        <v/>
      </c>
      <c r="AG3630" s="15" t="str">
        <f>IF(OR(AF3630="",AF3630="ERRO_CHAVE"),"",IFERROR(MATCH(AF3630,'quitado Despesa'!$V$1:$V$12,0),""))</f>
        <v/>
      </c>
      <c r="AH3630" s="15" t="str">
        <f t="shared" si="2"/>
        <v/>
      </c>
      <c r="AI3630" s="17" t="str">
        <f>IF(AG3630="","",INDEX('quitado Despesa'!$G$1:$G$12,AG3630))</f>
        <v/>
      </c>
      <c r="AJ3630" s="17" t="str">
        <f t="shared" si="3"/>
        <v/>
      </c>
    </row>
    <row r="3631" spans="31:36">
      <c r="AE3631" s="15" t="str">
        <f t="shared" si="0"/>
        <v/>
      </c>
      <c r="AF3631" s="15" t="str">
        <f t="shared" si="1"/>
        <v/>
      </c>
      <c r="AG3631" s="15" t="str">
        <f>IF(OR(AF3631="",AF3631="ERRO_CHAVE"),"",IFERROR(MATCH(AF3631,'quitado Despesa'!$V$1:$V$12,0),""))</f>
        <v/>
      </c>
      <c r="AH3631" s="15" t="str">
        <f t="shared" si="2"/>
        <v/>
      </c>
      <c r="AI3631" s="17" t="str">
        <f>IF(AG3631="","",INDEX('quitado Despesa'!$G$1:$G$12,AG3631))</f>
        <v/>
      </c>
      <c r="AJ3631" s="17" t="str">
        <f t="shared" si="3"/>
        <v/>
      </c>
    </row>
    <row r="3632" spans="31:36">
      <c r="AE3632" s="15" t="str">
        <f t="shared" si="0"/>
        <v/>
      </c>
      <c r="AF3632" s="15" t="str">
        <f t="shared" si="1"/>
        <v/>
      </c>
      <c r="AG3632" s="15" t="str">
        <f>IF(OR(AF3632="",AF3632="ERRO_CHAVE"),"",IFERROR(MATCH(AF3632,'quitado Despesa'!$V$1:$V$12,0),""))</f>
        <v/>
      </c>
      <c r="AH3632" s="15" t="str">
        <f t="shared" si="2"/>
        <v/>
      </c>
      <c r="AI3632" s="17" t="str">
        <f>IF(AG3632="","",INDEX('quitado Despesa'!$G$1:$G$12,AG3632))</f>
        <v/>
      </c>
      <c r="AJ3632" s="17" t="str">
        <f t="shared" si="3"/>
        <v/>
      </c>
    </row>
    <row r="3633" spans="31:36">
      <c r="AE3633" s="15" t="str">
        <f t="shared" si="0"/>
        <v/>
      </c>
      <c r="AF3633" s="15" t="str">
        <f t="shared" si="1"/>
        <v/>
      </c>
      <c r="AG3633" s="15" t="str">
        <f>IF(OR(AF3633="",AF3633="ERRO_CHAVE"),"",IFERROR(MATCH(AF3633,'quitado Despesa'!$V$1:$V$12,0),""))</f>
        <v/>
      </c>
      <c r="AH3633" s="15" t="str">
        <f t="shared" si="2"/>
        <v/>
      </c>
      <c r="AI3633" s="17" t="str">
        <f>IF(AG3633="","",INDEX('quitado Despesa'!$G$1:$G$12,AG3633))</f>
        <v/>
      </c>
      <c r="AJ3633" s="17" t="str">
        <f t="shared" si="3"/>
        <v/>
      </c>
    </row>
    <row r="3634" spans="31:36">
      <c r="AE3634" s="15" t="str">
        <f t="shared" si="0"/>
        <v/>
      </c>
      <c r="AF3634" s="15" t="str">
        <f t="shared" si="1"/>
        <v/>
      </c>
      <c r="AG3634" s="15" t="str">
        <f>IF(OR(AF3634="",AF3634="ERRO_CHAVE"),"",IFERROR(MATCH(AF3634,'quitado Despesa'!$V$1:$V$12,0),""))</f>
        <v/>
      </c>
      <c r="AH3634" s="15" t="str">
        <f t="shared" si="2"/>
        <v/>
      </c>
      <c r="AI3634" s="17" t="str">
        <f>IF(AG3634="","",INDEX('quitado Despesa'!$G$1:$G$12,AG3634))</f>
        <v/>
      </c>
      <c r="AJ3634" s="17" t="str">
        <f t="shared" si="3"/>
        <v/>
      </c>
    </row>
    <row r="3635" spans="31:36">
      <c r="AE3635" s="15" t="str">
        <f t="shared" si="0"/>
        <v/>
      </c>
      <c r="AF3635" s="15" t="str">
        <f t="shared" si="1"/>
        <v/>
      </c>
      <c r="AG3635" s="15" t="str">
        <f>IF(OR(AF3635="",AF3635="ERRO_CHAVE"),"",IFERROR(MATCH(AF3635,'quitado Despesa'!$V$1:$V$12,0),""))</f>
        <v/>
      </c>
      <c r="AH3635" s="15" t="str">
        <f t="shared" si="2"/>
        <v/>
      </c>
      <c r="AI3635" s="17" t="str">
        <f>IF(AG3635="","",INDEX('quitado Despesa'!$G$1:$G$12,AG3635))</f>
        <v/>
      </c>
      <c r="AJ3635" s="17" t="str">
        <f t="shared" si="3"/>
        <v/>
      </c>
    </row>
    <row r="3636" spans="31:36">
      <c r="AE3636" s="15" t="str">
        <f t="shared" si="0"/>
        <v/>
      </c>
      <c r="AF3636" s="15" t="str">
        <f t="shared" si="1"/>
        <v/>
      </c>
      <c r="AG3636" s="15" t="str">
        <f>IF(OR(AF3636="",AF3636="ERRO_CHAVE"),"",IFERROR(MATCH(AF3636,'quitado Despesa'!$V$1:$V$12,0),""))</f>
        <v/>
      </c>
      <c r="AH3636" s="15" t="str">
        <f t="shared" si="2"/>
        <v/>
      </c>
      <c r="AI3636" s="17" t="str">
        <f>IF(AG3636="","",INDEX('quitado Despesa'!$G$1:$G$12,AG3636))</f>
        <v/>
      </c>
      <c r="AJ3636" s="17" t="str">
        <f t="shared" si="3"/>
        <v/>
      </c>
    </row>
    <row r="3637" spans="31:36">
      <c r="AE3637" s="15" t="str">
        <f t="shared" si="0"/>
        <v/>
      </c>
      <c r="AF3637" s="15" t="str">
        <f t="shared" si="1"/>
        <v/>
      </c>
      <c r="AG3637" s="15" t="str">
        <f>IF(OR(AF3637="",AF3637="ERRO_CHAVE"),"",IFERROR(MATCH(AF3637,'quitado Despesa'!$V$1:$V$12,0),""))</f>
        <v/>
      </c>
      <c r="AH3637" s="15" t="str">
        <f t="shared" si="2"/>
        <v/>
      </c>
      <c r="AI3637" s="17" t="str">
        <f>IF(AG3637="","",INDEX('quitado Despesa'!$G$1:$G$12,AG3637))</f>
        <v/>
      </c>
      <c r="AJ3637" s="17" t="str">
        <f t="shared" si="3"/>
        <v/>
      </c>
    </row>
    <row r="3638" spans="31:36">
      <c r="AE3638" s="15" t="str">
        <f t="shared" si="0"/>
        <v/>
      </c>
      <c r="AF3638" s="15" t="str">
        <f t="shared" si="1"/>
        <v/>
      </c>
      <c r="AG3638" s="15" t="str">
        <f>IF(OR(AF3638="",AF3638="ERRO_CHAVE"),"",IFERROR(MATCH(AF3638,'quitado Despesa'!$V$1:$V$12,0),""))</f>
        <v/>
      </c>
      <c r="AH3638" s="15" t="str">
        <f t="shared" si="2"/>
        <v/>
      </c>
      <c r="AI3638" s="17" t="str">
        <f>IF(AG3638="","",INDEX('quitado Despesa'!$G$1:$G$12,AG3638))</f>
        <v/>
      </c>
      <c r="AJ3638" s="17" t="str">
        <f t="shared" si="3"/>
        <v/>
      </c>
    </row>
    <row r="3639" spans="31:36">
      <c r="AE3639" s="15" t="str">
        <f t="shared" si="0"/>
        <v/>
      </c>
      <c r="AF3639" s="15" t="str">
        <f t="shared" si="1"/>
        <v/>
      </c>
      <c r="AG3639" s="15" t="str">
        <f>IF(OR(AF3639="",AF3639="ERRO_CHAVE"),"",IFERROR(MATCH(AF3639,'quitado Despesa'!$V$1:$V$12,0),""))</f>
        <v/>
      </c>
      <c r="AH3639" s="15" t="str">
        <f t="shared" si="2"/>
        <v/>
      </c>
      <c r="AI3639" s="17" t="str">
        <f>IF(AG3639="","",INDEX('quitado Despesa'!$G$1:$G$12,AG3639))</f>
        <v/>
      </c>
      <c r="AJ3639" s="17" t="str">
        <f t="shared" si="3"/>
        <v/>
      </c>
    </row>
    <row r="3640" spans="31:36">
      <c r="AE3640" s="15" t="str">
        <f t="shared" si="0"/>
        <v/>
      </c>
      <c r="AF3640" s="15" t="str">
        <f t="shared" si="1"/>
        <v/>
      </c>
      <c r="AG3640" s="15" t="str">
        <f>IF(OR(AF3640="",AF3640="ERRO_CHAVE"),"",IFERROR(MATCH(AF3640,'quitado Despesa'!$V$1:$V$12,0),""))</f>
        <v/>
      </c>
      <c r="AH3640" s="15" t="str">
        <f t="shared" si="2"/>
        <v/>
      </c>
      <c r="AI3640" s="17" t="str">
        <f>IF(AG3640="","",INDEX('quitado Despesa'!$G$1:$G$12,AG3640))</f>
        <v/>
      </c>
      <c r="AJ3640" s="17" t="str">
        <f t="shared" si="3"/>
        <v/>
      </c>
    </row>
    <row r="3641" spans="31:36">
      <c r="AE3641" s="15" t="str">
        <f t="shared" si="0"/>
        <v/>
      </c>
      <c r="AF3641" s="15" t="str">
        <f t="shared" si="1"/>
        <v/>
      </c>
      <c r="AG3641" s="15" t="str">
        <f>IF(OR(AF3641="",AF3641="ERRO_CHAVE"),"",IFERROR(MATCH(AF3641,'quitado Despesa'!$V$1:$V$12,0),""))</f>
        <v/>
      </c>
      <c r="AH3641" s="15" t="str">
        <f t="shared" si="2"/>
        <v/>
      </c>
      <c r="AI3641" s="17" t="str">
        <f>IF(AG3641="","",INDEX('quitado Despesa'!$G$1:$G$12,AG3641))</f>
        <v/>
      </c>
      <c r="AJ3641" s="17" t="str">
        <f t="shared" si="3"/>
        <v/>
      </c>
    </row>
    <row r="3642" spans="31:36">
      <c r="AE3642" s="15" t="str">
        <f t="shared" si="0"/>
        <v/>
      </c>
      <c r="AF3642" s="15" t="str">
        <f t="shared" si="1"/>
        <v/>
      </c>
      <c r="AG3642" s="15" t="str">
        <f>IF(OR(AF3642="",AF3642="ERRO_CHAVE"),"",IFERROR(MATCH(AF3642,'quitado Despesa'!$V$1:$V$12,0),""))</f>
        <v/>
      </c>
      <c r="AH3642" s="15" t="str">
        <f t="shared" si="2"/>
        <v/>
      </c>
      <c r="AI3642" s="17" t="str">
        <f>IF(AG3642="","",INDEX('quitado Despesa'!$G$1:$G$12,AG3642))</f>
        <v/>
      </c>
      <c r="AJ3642" s="17" t="str">
        <f t="shared" si="3"/>
        <v/>
      </c>
    </row>
    <row r="3643" spans="31:36">
      <c r="AE3643" s="15" t="str">
        <f t="shared" si="0"/>
        <v/>
      </c>
      <c r="AF3643" s="15" t="str">
        <f t="shared" si="1"/>
        <v/>
      </c>
      <c r="AG3643" s="15" t="str">
        <f>IF(OR(AF3643="",AF3643="ERRO_CHAVE"),"",IFERROR(MATCH(AF3643,'quitado Despesa'!$V$1:$V$12,0),""))</f>
        <v/>
      </c>
      <c r="AH3643" s="15" t="str">
        <f t="shared" si="2"/>
        <v/>
      </c>
      <c r="AI3643" s="17" t="str">
        <f>IF(AG3643="","",INDEX('quitado Despesa'!$G$1:$G$12,AG3643))</f>
        <v/>
      </c>
      <c r="AJ3643" s="17" t="str">
        <f t="shared" si="3"/>
        <v/>
      </c>
    </row>
    <row r="3644" spans="31:36">
      <c r="AE3644" s="15" t="str">
        <f t="shared" si="0"/>
        <v/>
      </c>
      <c r="AF3644" s="15" t="str">
        <f t="shared" si="1"/>
        <v/>
      </c>
      <c r="AG3644" s="15" t="str">
        <f>IF(OR(AF3644="",AF3644="ERRO_CHAVE"),"",IFERROR(MATCH(AF3644,'quitado Despesa'!$V$1:$V$12,0),""))</f>
        <v/>
      </c>
      <c r="AH3644" s="15" t="str">
        <f t="shared" si="2"/>
        <v/>
      </c>
      <c r="AI3644" s="17" t="str">
        <f>IF(AG3644="","",INDEX('quitado Despesa'!$G$1:$G$12,AG3644))</f>
        <v/>
      </c>
      <c r="AJ3644" s="17" t="str">
        <f t="shared" si="3"/>
        <v/>
      </c>
    </row>
    <row r="3645" spans="31:36">
      <c r="AE3645" s="15" t="str">
        <f t="shared" si="0"/>
        <v/>
      </c>
      <c r="AF3645" s="15" t="str">
        <f t="shared" si="1"/>
        <v/>
      </c>
      <c r="AG3645" s="15" t="str">
        <f>IF(OR(AF3645="",AF3645="ERRO_CHAVE"),"",IFERROR(MATCH(AF3645,'quitado Despesa'!$V$1:$V$12,0),""))</f>
        <v/>
      </c>
      <c r="AH3645" s="15" t="str">
        <f t="shared" si="2"/>
        <v/>
      </c>
      <c r="AI3645" s="17" t="str">
        <f>IF(AG3645="","",INDEX('quitado Despesa'!$G$1:$G$12,AG3645))</f>
        <v/>
      </c>
      <c r="AJ3645" s="17" t="str">
        <f t="shared" si="3"/>
        <v/>
      </c>
    </row>
    <row r="3646" spans="31:36">
      <c r="AE3646" s="15" t="str">
        <f t="shared" si="0"/>
        <v/>
      </c>
      <c r="AF3646" s="15" t="str">
        <f t="shared" si="1"/>
        <v/>
      </c>
      <c r="AG3646" s="15" t="str">
        <f>IF(OR(AF3646="",AF3646="ERRO_CHAVE"),"",IFERROR(MATCH(AF3646,'quitado Despesa'!$V$1:$V$12,0),""))</f>
        <v/>
      </c>
      <c r="AH3646" s="15" t="str">
        <f t="shared" si="2"/>
        <v/>
      </c>
      <c r="AI3646" s="17" t="str">
        <f>IF(AG3646="","",INDEX('quitado Despesa'!$G$1:$G$12,AG3646))</f>
        <v/>
      </c>
      <c r="AJ3646" s="17" t="str">
        <f t="shared" si="3"/>
        <v/>
      </c>
    </row>
    <row r="3647" spans="31:36">
      <c r="AE3647" s="15" t="str">
        <f t="shared" si="0"/>
        <v/>
      </c>
      <c r="AF3647" s="15" t="str">
        <f t="shared" si="1"/>
        <v/>
      </c>
      <c r="AG3647" s="15" t="str">
        <f>IF(OR(AF3647="",AF3647="ERRO_CHAVE"),"",IFERROR(MATCH(AF3647,'quitado Despesa'!$V$1:$V$12,0),""))</f>
        <v/>
      </c>
      <c r="AH3647" s="15" t="str">
        <f t="shared" si="2"/>
        <v/>
      </c>
      <c r="AI3647" s="17" t="str">
        <f>IF(AG3647="","",INDEX('quitado Despesa'!$G$1:$G$12,AG3647))</f>
        <v/>
      </c>
      <c r="AJ3647" s="17" t="str">
        <f t="shared" si="3"/>
        <v/>
      </c>
    </row>
    <row r="3648" spans="31:36">
      <c r="AE3648" s="15" t="str">
        <f t="shared" si="0"/>
        <v/>
      </c>
      <c r="AF3648" s="15" t="str">
        <f t="shared" si="1"/>
        <v/>
      </c>
      <c r="AG3648" s="15" t="str">
        <f>IF(OR(AF3648="",AF3648="ERRO_CHAVE"),"",IFERROR(MATCH(AF3648,'quitado Despesa'!$V$1:$V$12,0),""))</f>
        <v/>
      </c>
      <c r="AH3648" s="15" t="str">
        <f t="shared" si="2"/>
        <v/>
      </c>
      <c r="AI3648" s="17" t="str">
        <f>IF(AG3648="","",INDEX('quitado Despesa'!$G$1:$G$12,AG3648))</f>
        <v/>
      </c>
      <c r="AJ3648" s="17" t="str">
        <f t="shared" si="3"/>
        <v/>
      </c>
    </row>
    <row r="3649" spans="31:36">
      <c r="AE3649" s="15" t="str">
        <f t="shared" si="0"/>
        <v/>
      </c>
      <c r="AF3649" s="15" t="str">
        <f t="shared" si="1"/>
        <v/>
      </c>
      <c r="AG3649" s="15" t="str">
        <f>IF(OR(AF3649="",AF3649="ERRO_CHAVE"),"",IFERROR(MATCH(AF3649,'quitado Despesa'!$V$1:$V$12,0),""))</f>
        <v/>
      </c>
      <c r="AH3649" s="15" t="str">
        <f t="shared" si="2"/>
        <v/>
      </c>
      <c r="AI3649" s="17" t="str">
        <f>IF(AG3649="","",INDEX('quitado Despesa'!$G$1:$G$12,AG3649))</f>
        <v/>
      </c>
      <c r="AJ3649" s="17" t="str">
        <f t="shared" si="3"/>
        <v/>
      </c>
    </row>
    <row r="3650" spans="31:36">
      <c r="AE3650" s="15" t="str">
        <f t="shared" si="0"/>
        <v/>
      </c>
      <c r="AF3650" s="15" t="str">
        <f t="shared" si="1"/>
        <v/>
      </c>
      <c r="AG3650" s="15" t="str">
        <f>IF(OR(AF3650="",AF3650="ERRO_CHAVE"),"",IFERROR(MATCH(AF3650,'quitado Despesa'!$V$1:$V$12,0),""))</f>
        <v/>
      </c>
      <c r="AH3650" s="15" t="str">
        <f t="shared" si="2"/>
        <v/>
      </c>
      <c r="AI3650" s="17" t="str">
        <f>IF(AG3650="","",INDEX('quitado Despesa'!$G$1:$G$12,AG3650))</f>
        <v/>
      </c>
      <c r="AJ3650" s="17" t="str">
        <f t="shared" si="3"/>
        <v/>
      </c>
    </row>
    <row r="3651" spans="31:36">
      <c r="AE3651" s="15" t="str">
        <f t="shared" si="0"/>
        <v/>
      </c>
      <c r="AF3651" s="15" t="str">
        <f t="shared" si="1"/>
        <v/>
      </c>
      <c r="AG3651" s="15" t="str">
        <f>IF(OR(AF3651="",AF3651="ERRO_CHAVE"),"",IFERROR(MATCH(AF3651,'quitado Despesa'!$V$1:$V$12,0),""))</f>
        <v/>
      </c>
      <c r="AH3651" s="15" t="str">
        <f t="shared" si="2"/>
        <v/>
      </c>
      <c r="AI3651" s="17" t="str">
        <f>IF(AG3651="","",INDEX('quitado Despesa'!$G$1:$G$12,AG3651))</f>
        <v/>
      </c>
      <c r="AJ3651" s="17" t="str">
        <f t="shared" si="3"/>
        <v/>
      </c>
    </row>
    <row r="3652" spans="31:36">
      <c r="AE3652" s="15" t="str">
        <f t="shared" si="0"/>
        <v/>
      </c>
      <c r="AF3652" s="15" t="str">
        <f t="shared" si="1"/>
        <v/>
      </c>
      <c r="AG3652" s="15" t="str">
        <f>IF(OR(AF3652="",AF3652="ERRO_CHAVE"),"",IFERROR(MATCH(AF3652,'quitado Despesa'!$V$1:$V$12,0),""))</f>
        <v/>
      </c>
      <c r="AH3652" s="15" t="str">
        <f t="shared" si="2"/>
        <v/>
      </c>
      <c r="AI3652" s="17" t="str">
        <f>IF(AG3652="","",INDEX('quitado Despesa'!$G$1:$G$12,AG3652))</f>
        <v/>
      </c>
      <c r="AJ3652" s="17" t="str">
        <f t="shared" si="3"/>
        <v/>
      </c>
    </row>
    <row r="3653" spans="31:36">
      <c r="AE3653" s="15" t="str">
        <f t="shared" si="0"/>
        <v/>
      </c>
      <c r="AF3653" s="15" t="str">
        <f t="shared" si="1"/>
        <v/>
      </c>
      <c r="AG3653" s="15" t="str">
        <f>IF(OR(AF3653="",AF3653="ERRO_CHAVE"),"",IFERROR(MATCH(AF3653,'quitado Despesa'!$V$1:$V$12,0),""))</f>
        <v/>
      </c>
      <c r="AH3653" s="15" t="str">
        <f t="shared" si="2"/>
        <v/>
      </c>
      <c r="AI3653" s="17" t="str">
        <f>IF(AG3653="","",INDEX('quitado Despesa'!$G$1:$G$12,AG3653))</f>
        <v/>
      </c>
      <c r="AJ3653" s="17" t="str">
        <f t="shared" si="3"/>
        <v/>
      </c>
    </row>
    <row r="3654" spans="31:36">
      <c r="AE3654" s="15" t="str">
        <f t="shared" si="0"/>
        <v/>
      </c>
      <c r="AF3654" s="15" t="str">
        <f t="shared" si="1"/>
        <v/>
      </c>
      <c r="AG3654" s="15" t="str">
        <f>IF(OR(AF3654="",AF3654="ERRO_CHAVE"),"",IFERROR(MATCH(AF3654,'quitado Despesa'!$V$1:$V$12,0),""))</f>
        <v/>
      </c>
      <c r="AH3654" s="15" t="str">
        <f t="shared" si="2"/>
        <v/>
      </c>
      <c r="AI3654" s="17" t="str">
        <f>IF(AG3654="","",INDEX('quitado Despesa'!$G$1:$G$12,AG3654))</f>
        <v/>
      </c>
      <c r="AJ3654" s="17" t="str">
        <f t="shared" si="3"/>
        <v/>
      </c>
    </row>
    <row r="3655" spans="31:36">
      <c r="AE3655" s="15" t="str">
        <f t="shared" si="0"/>
        <v/>
      </c>
      <c r="AF3655" s="15" t="str">
        <f t="shared" si="1"/>
        <v/>
      </c>
      <c r="AG3655" s="15" t="str">
        <f>IF(OR(AF3655="",AF3655="ERRO_CHAVE"),"",IFERROR(MATCH(AF3655,'quitado Despesa'!$V$1:$V$12,0),""))</f>
        <v/>
      </c>
      <c r="AH3655" s="15" t="str">
        <f t="shared" si="2"/>
        <v/>
      </c>
      <c r="AI3655" s="17" t="str">
        <f>IF(AG3655="","",INDEX('quitado Despesa'!$G$1:$G$12,AG3655))</f>
        <v/>
      </c>
      <c r="AJ3655" s="17" t="str">
        <f t="shared" si="3"/>
        <v/>
      </c>
    </row>
    <row r="3656" spans="31:36">
      <c r="AE3656" s="15" t="str">
        <f t="shared" si="0"/>
        <v/>
      </c>
      <c r="AF3656" s="15" t="str">
        <f t="shared" si="1"/>
        <v/>
      </c>
      <c r="AG3656" s="15" t="str">
        <f>IF(OR(AF3656="",AF3656="ERRO_CHAVE"),"",IFERROR(MATCH(AF3656,'quitado Despesa'!$V$1:$V$12,0),""))</f>
        <v/>
      </c>
      <c r="AH3656" s="15" t="str">
        <f t="shared" si="2"/>
        <v/>
      </c>
      <c r="AI3656" s="17" t="str">
        <f>IF(AG3656="","",INDEX('quitado Despesa'!$G$1:$G$12,AG3656))</f>
        <v/>
      </c>
      <c r="AJ3656" s="17" t="str">
        <f t="shared" si="3"/>
        <v/>
      </c>
    </row>
    <row r="3657" spans="31:36">
      <c r="AE3657" s="15" t="str">
        <f t="shared" si="0"/>
        <v/>
      </c>
      <c r="AF3657" s="15" t="str">
        <f t="shared" si="1"/>
        <v/>
      </c>
      <c r="AG3657" s="15" t="str">
        <f>IF(OR(AF3657="",AF3657="ERRO_CHAVE"),"",IFERROR(MATCH(AF3657,'quitado Despesa'!$V$1:$V$12,0),""))</f>
        <v/>
      </c>
      <c r="AH3657" s="15" t="str">
        <f t="shared" si="2"/>
        <v/>
      </c>
      <c r="AI3657" s="17" t="str">
        <f>IF(AG3657="","",INDEX('quitado Despesa'!$G$1:$G$12,AG3657))</f>
        <v/>
      </c>
      <c r="AJ3657" s="17" t="str">
        <f t="shared" si="3"/>
        <v/>
      </c>
    </row>
    <row r="3658" spans="31:36">
      <c r="AE3658" s="15" t="str">
        <f t="shared" si="0"/>
        <v/>
      </c>
      <c r="AF3658" s="15" t="str">
        <f t="shared" si="1"/>
        <v/>
      </c>
      <c r="AG3658" s="15" t="str">
        <f>IF(OR(AF3658="",AF3658="ERRO_CHAVE"),"",IFERROR(MATCH(AF3658,'quitado Despesa'!$V$1:$V$12,0),""))</f>
        <v/>
      </c>
      <c r="AH3658" s="15" t="str">
        <f t="shared" si="2"/>
        <v/>
      </c>
      <c r="AI3658" s="17" t="str">
        <f>IF(AG3658="","",INDEX('quitado Despesa'!$G$1:$G$12,AG3658))</f>
        <v/>
      </c>
      <c r="AJ3658" s="17" t="str">
        <f t="shared" si="3"/>
        <v/>
      </c>
    </row>
    <row r="3659" spans="31:36">
      <c r="AE3659" s="15" t="str">
        <f t="shared" si="0"/>
        <v/>
      </c>
      <c r="AF3659" s="15" t="str">
        <f t="shared" si="1"/>
        <v/>
      </c>
      <c r="AG3659" s="15" t="str">
        <f>IF(OR(AF3659="",AF3659="ERRO_CHAVE"),"",IFERROR(MATCH(AF3659,'quitado Despesa'!$V$1:$V$12,0),""))</f>
        <v/>
      </c>
      <c r="AH3659" s="15" t="str">
        <f t="shared" si="2"/>
        <v/>
      </c>
      <c r="AI3659" s="17" t="str">
        <f>IF(AG3659="","",INDEX('quitado Despesa'!$G$1:$G$12,AG3659))</f>
        <v/>
      </c>
      <c r="AJ3659" s="17" t="str">
        <f t="shared" si="3"/>
        <v/>
      </c>
    </row>
    <row r="3660" spans="31:36">
      <c r="AE3660" s="15" t="str">
        <f t="shared" si="0"/>
        <v/>
      </c>
      <c r="AF3660" s="15" t="str">
        <f t="shared" si="1"/>
        <v/>
      </c>
      <c r="AG3660" s="15" t="str">
        <f>IF(OR(AF3660="",AF3660="ERRO_CHAVE"),"",IFERROR(MATCH(AF3660,'quitado Despesa'!$V$1:$V$12,0),""))</f>
        <v/>
      </c>
      <c r="AH3660" s="15" t="str">
        <f t="shared" si="2"/>
        <v/>
      </c>
      <c r="AI3660" s="17" t="str">
        <f>IF(AG3660="","",INDEX('quitado Despesa'!$G$1:$G$12,AG3660))</f>
        <v/>
      </c>
      <c r="AJ3660" s="17" t="str">
        <f t="shared" si="3"/>
        <v/>
      </c>
    </row>
    <row r="3661" spans="31:36">
      <c r="AE3661" s="15" t="str">
        <f t="shared" si="0"/>
        <v/>
      </c>
      <c r="AF3661" s="15" t="str">
        <f t="shared" si="1"/>
        <v/>
      </c>
      <c r="AG3661" s="15" t="str">
        <f>IF(OR(AF3661="",AF3661="ERRO_CHAVE"),"",IFERROR(MATCH(AF3661,'quitado Despesa'!$V$1:$V$12,0),""))</f>
        <v/>
      </c>
      <c r="AH3661" s="15" t="str">
        <f t="shared" si="2"/>
        <v/>
      </c>
      <c r="AI3661" s="17" t="str">
        <f>IF(AG3661="","",INDEX('quitado Despesa'!$G$1:$G$12,AG3661))</f>
        <v/>
      </c>
      <c r="AJ3661" s="17" t="str">
        <f t="shared" si="3"/>
        <v/>
      </c>
    </row>
    <row r="3662" spans="31:36">
      <c r="AE3662" s="15" t="str">
        <f t="shared" si="0"/>
        <v/>
      </c>
      <c r="AF3662" s="15" t="str">
        <f t="shared" si="1"/>
        <v/>
      </c>
      <c r="AG3662" s="15" t="str">
        <f>IF(OR(AF3662="",AF3662="ERRO_CHAVE"),"",IFERROR(MATCH(AF3662,'quitado Despesa'!$V$1:$V$12,0),""))</f>
        <v/>
      </c>
      <c r="AH3662" s="15" t="str">
        <f t="shared" si="2"/>
        <v/>
      </c>
      <c r="AI3662" s="17" t="str">
        <f>IF(AG3662="","",INDEX('quitado Despesa'!$G$1:$G$12,AG3662))</f>
        <v/>
      </c>
      <c r="AJ3662" s="17" t="str">
        <f t="shared" si="3"/>
        <v/>
      </c>
    </row>
    <row r="3663" spans="31:36">
      <c r="AE3663" s="15" t="str">
        <f t="shared" si="0"/>
        <v/>
      </c>
      <c r="AF3663" s="15" t="str">
        <f t="shared" si="1"/>
        <v/>
      </c>
      <c r="AG3663" s="15" t="str">
        <f>IF(OR(AF3663="",AF3663="ERRO_CHAVE"),"",IFERROR(MATCH(AF3663,'quitado Despesa'!$V$1:$V$12,0),""))</f>
        <v/>
      </c>
      <c r="AH3663" s="15" t="str">
        <f t="shared" si="2"/>
        <v/>
      </c>
      <c r="AI3663" s="17" t="str">
        <f>IF(AG3663="","",INDEX('quitado Despesa'!$G$1:$G$12,AG3663))</f>
        <v/>
      </c>
      <c r="AJ3663" s="17" t="str">
        <f t="shared" si="3"/>
        <v/>
      </c>
    </row>
    <row r="3664" spans="31:36">
      <c r="AE3664" s="15" t="str">
        <f t="shared" si="0"/>
        <v/>
      </c>
      <c r="AF3664" s="15" t="str">
        <f t="shared" si="1"/>
        <v/>
      </c>
      <c r="AG3664" s="15" t="str">
        <f>IF(OR(AF3664="",AF3664="ERRO_CHAVE"),"",IFERROR(MATCH(AF3664,'quitado Despesa'!$V$1:$V$12,0),""))</f>
        <v/>
      </c>
      <c r="AH3664" s="15" t="str">
        <f t="shared" si="2"/>
        <v/>
      </c>
      <c r="AI3664" s="17" t="str">
        <f>IF(AG3664="","",INDEX('quitado Despesa'!$G$1:$G$12,AG3664))</f>
        <v/>
      </c>
      <c r="AJ3664" s="17" t="str">
        <f t="shared" si="3"/>
        <v/>
      </c>
    </row>
    <row r="3665" spans="31:36">
      <c r="AE3665" s="15" t="str">
        <f t="shared" si="0"/>
        <v/>
      </c>
      <c r="AF3665" s="15" t="str">
        <f t="shared" si="1"/>
        <v/>
      </c>
      <c r="AG3665" s="15" t="str">
        <f>IF(OR(AF3665="",AF3665="ERRO_CHAVE"),"",IFERROR(MATCH(AF3665,'quitado Despesa'!$V$1:$V$12,0),""))</f>
        <v/>
      </c>
      <c r="AH3665" s="15" t="str">
        <f t="shared" si="2"/>
        <v/>
      </c>
      <c r="AI3665" s="17" t="str">
        <f>IF(AG3665="","",INDEX('quitado Despesa'!$G$1:$G$12,AG3665))</f>
        <v/>
      </c>
      <c r="AJ3665" s="17" t="str">
        <f t="shared" si="3"/>
        <v/>
      </c>
    </row>
    <row r="3666" spans="31:36">
      <c r="AE3666" s="15" t="str">
        <f t="shared" si="0"/>
        <v/>
      </c>
      <c r="AF3666" s="15" t="str">
        <f t="shared" si="1"/>
        <v/>
      </c>
      <c r="AG3666" s="15" t="str">
        <f>IF(OR(AF3666="",AF3666="ERRO_CHAVE"),"",IFERROR(MATCH(AF3666,'quitado Despesa'!$V$1:$V$12,0),""))</f>
        <v/>
      </c>
      <c r="AH3666" s="15" t="str">
        <f t="shared" si="2"/>
        <v/>
      </c>
      <c r="AI3666" s="17" t="str">
        <f>IF(AG3666="","",INDEX('quitado Despesa'!$G$1:$G$12,AG3666))</f>
        <v/>
      </c>
      <c r="AJ3666" s="17" t="str">
        <f t="shared" si="3"/>
        <v/>
      </c>
    </row>
    <row r="3667" spans="31:36">
      <c r="AE3667" s="15" t="str">
        <f t="shared" si="0"/>
        <v/>
      </c>
      <c r="AF3667" s="15" t="str">
        <f t="shared" si="1"/>
        <v/>
      </c>
      <c r="AG3667" s="15" t="str">
        <f>IF(OR(AF3667="",AF3667="ERRO_CHAVE"),"",IFERROR(MATCH(AF3667,'quitado Despesa'!$V$1:$V$12,0),""))</f>
        <v/>
      </c>
      <c r="AH3667" s="15" t="str">
        <f t="shared" si="2"/>
        <v/>
      </c>
      <c r="AI3667" s="17" t="str">
        <f>IF(AG3667="","",INDEX('quitado Despesa'!$G$1:$G$12,AG3667))</f>
        <v/>
      </c>
      <c r="AJ3667" s="17" t="str">
        <f t="shared" si="3"/>
        <v/>
      </c>
    </row>
    <row r="3668" spans="31:36">
      <c r="AE3668" s="15" t="str">
        <f t="shared" si="0"/>
        <v/>
      </c>
      <c r="AF3668" s="15" t="str">
        <f t="shared" si="1"/>
        <v/>
      </c>
      <c r="AG3668" s="15" t="str">
        <f>IF(OR(AF3668="",AF3668="ERRO_CHAVE"),"",IFERROR(MATCH(AF3668,'quitado Despesa'!$V$1:$V$12,0),""))</f>
        <v/>
      </c>
      <c r="AH3668" s="15" t="str">
        <f t="shared" si="2"/>
        <v/>
      </c>
      <c r="AI3668" s="17" t="str">
        <f>IF(AG3668="","",INDEX('quitado Despesa'!$G$1:$G$12,AG3668))</f>
        <v/>
      </c>
      <c r="AJ3668" s="17" t="str">
        <f t="shared" si="3"/>
        <v/>
      </c>
    </row>
    <row r="3669" spans="31:36">
      <c r="AE3669" s="15" t="str">
        <f t="shared" si="0"/>
        <v/>
      </c>
      <c r="AF3669" s="15" t="str">
        <f t="shared" si="1"/>
        <v/>
      </c>
      <c r="AG3669" s="15" t="str">
        <f>IF(OR(AF3669="",AF3669="ERRO_CHAVE"),"",IFERROR(MATCH(AF3669,'quitado Despesa'!$V$1:$V$12,0),""))</f>
        <v/>
      </c>
      <c r="AH3669" s="15" t="str">
        <f t="shared" si="2"/>
        <v/>
      </c>
      <c r="AI3669" s="17" t="str">
        <f>IF(AG3669="","",INDEX('quitado Despesa'!$G$1:$G$12,AG3669))</f>
        <v/>
      </c>
      <c r="AJ3669" s="17" t="str">
        <f t="shared" si="3"/>
        <v/>
      </c>
    </row>
    <row r="3670" spans="31:36">
      <c r="AE3670" s="15" t="str">
        <f t="shared" si="0"/>
        <v/>
      </c>
      <c r="AF3670" s="15" t="str">
        <f t="shared" si="1"/>
        <v/>
      </c>
      <c r="AG3670" s="15" t="str">
        <f>IF(OR(AF3670="",AF3670="ERRO_CHAVE"),"",IFERROR(MATCH(AF3670,'quitado Despesa'!$V$1:$V$12,0),""))</f>
        <v/>
      </c>
      <c r="AH3670" s="15" t="str">
        <f t="shared" si="2"/>
        <v/>
      </c>
      <c r="AI3670" s="17" t="str">
        <f>IF(AG3670="","",INDEX('quitado Despesa'!$G$1:$G$12,AG3670))</f>
        <v/>
      </c>
      <c r="AJ3670" s="17" t="str">
        <f t="shared" si="3"/>
        <v/>
      </c>
    </row>
    <row r="3671" spans="31:36">
      <c r="AE3671" s="15" t="str">
        <f t="shared" si="0"/>
        <v/>
      </c>
      <c r="AF3671" s="15" t="str">
        <f t="shared" si="1"/>
        <v/>
      </c>
      <c r="AG3671" s="15" t="str">
        <f>IF(OR(AF3671="",AF3671="ERRO_CHAVE"),"",IFERROR(MATCH(AF3671,'quitado Despesa'!$V$1:$V$12,0),""))</f>
        <v/>
      </c>
      <c r="AH3671" s="15" t="str">
        <f t="shared" si="2"/>
        <v/>
      </c>
      <c r="AI3671" s="17" t="str">
        <f>IF(AG3671="","",INDEX('quitado Despesa'!$G$1:$G$12,AG3671))</f>
        <v/>
      </c>
      <c r="AJ3671" s="17" t="str">
        <f t="shared" si="3"/>
        <v/>
      </c>
    </row>
    <row r="3672" spans="31:36">
      <c r="AE3672" s="15" t="str">
        <f t="shared" si="0"/>
        <v/>
      </c>
      <c r="AF3672" s="15" t="str">
        <f t="shared" si="1"/>
        <v/>
      </c>
      <c r="AG3672" s="15" t="str">
        <f>IF(OR(AF3672="",AF3672="ERRO_CHAVE"),"",IFERROR(MATCH(AF3672,'quitado Despesa'!$V$1:$V$12,0),""))</f>
        <v/>
      </c>
      <c r="AH3672" s="15" t="str">
        <f t="shared" si="2"/>
        <v/>
      </c>
      <c r="AI3672" s="17" t="str">
        <f>IF(AG3672="","",INDEX('quitado Despesa'!$G$1:$G$12,AG3672))</f>
        <v/>
      </c>
      <c r="AJ3672" s="17" t="str">
        <f t="shared" si="3"/>
        <v/>
      </c>
    </row>
    <row r="3673" spans="31:36">
      <c r="AE3673" s="15" t="str">
        <f t="shared" si="0"/>
        <v/>
      </c>
      <c r="AF3673" s="15" t="str">
        <f t="shared" si="1"/>
        <v/>
      </c>
      <c r="AG3673" s="15" t="str">
        <f>IF(OR(AF3673="",AF3673="ERRO_CHAVE"),"",IFERROR(MATCH(AF3673,'quitado Despesa'!$V$1:$V$12,0),""))</f>
        <v/>
      </c>
      <c r="AH3673" s="15" t="str">
        <f t="shared" si="2"/>
        <v/>
      </c>
      <c r="AI3673" s="17" t="str">
        <f>IF(AG3673="","",INDEX('quitado Despesa'!$G$1:$G$12,AG3673))</f>
        <v/>
      </c>
      <c r="AJ3673" s="17" t="str">
        <f t="shared" si="3"/>
        <v/>
      </c>
    </row>
    <row r="3674" spans="31:36">
      <c r="AE3674" s="15" t="str">
        <f t="shared" si="0"/>
        <v/>
      </c>
      <c r="AF3674" s="15" t="str">
        <f t="shared" si="1"/>
        <v/>
      </c>
      <c r="AG3674" s="15" t="str">
        <f>IF(OR(AF3674="",AF3674="ERRO_CHAVE"),"",IFERROR(MATCH(AF3674,'quitado Despesa'!$V$1:$V$12,0),""))</f>
        <v/>
      </c>
      <c r="AH3674" s="15" t="str">
        <f t="shared" si="2"/>
        <v/>
      </c>
      <c r="AI3674" s="17" t="str">
        <f>IF(AG3674="","",INDEX('quitado Despesa'!$G$1:$G$12,AG3674))</f>
        <v/>
      </c>
      <c r="AJ3674" s="17" t="str">
        <f t="shared" si="3"/>
        <v/>
      </c>
    </row>
    <row r="3675" spans="31:36">
      <c r="AE3675" s="15" t="str">
        <f t="shared" si="0"/>
        <v/>
      </c>
      <c r="AF3675" s="15" t="str">
        <f t="shared" si="1"/>
        <v/>
      </c>
      <c r="AG3675" s="15" t="str">
        <f>IF(OR(AF3675="",AF3675="ERRO_CHAVE"),"",IFERROR(MATCH(AF3675,'quitado Despesa'!$V$1:$V$12,0),""))</f>
        <v/>
      </c>
      <c r="AH3675" s="15" t="str">
        <f t="shared" si="2"/>
        <v/>
      </c>
      <c r="AI3675" s="17" t="str">
        <f>IF(AG3675="","",INDEX('quitado Despesa'!$G$1:$G$12,AG3675))</f>
        <v/>
      </c>
      <c r="AJ3675" s="17" t="str">
        <f t="shared" si="3"/>
        <v/>
      </c>
    </row>
    <row r="3676" spans="31:36">
      <c r="AE3676" s="15" t="str">
        <f t="shared" si="0"/>
        <v/>
      </c>
      <c r="AF3676" s="15" t="str">
        <f t="shared" si="1"/>
        <v/>
      </c>
      <c r="AG3676" s="15" t="str">
        <f>IF(OR(AF3676="",AF3676="ERRO_CHAVE"),"",IFERROR(MATCH(AF3676,'quitado Despesa'!$V$1:$V$12,0),""))</f>
        <v/>
      </c>
      <c r="AH3676" s="15" t="str">
        <f t="shared" si="2"/>
        <v/>
      </c>
      <c r="AI3676" s="17" t="str">
        <f>IF(AG3676="","",INDEX('quitado Despesa'!$G$1:$G$12,AG3676))</f>
        <v/>
      </c>
      <c r="AJ3676" s="17" t="str">
        <f t="shared" si="3"/>
        <v/>
      </c>
    </row>
    <row r="3677" spans="31:36">
      <c r="AE3677" s="15" t="str">
        <f t="shared" si="0"/>
        <v/>
      </c>
      <c r="AF3677" s="15" t="str">
        <f t="shared" si="1"/>
        <v/>
      </c>
      <c r="AG3677" s="15" t="str">
        <f>IF(OR(AF3677="",AF3677="ERRO_CHAVE"),"",IFERROR(MATCH(AF3677,'quitado Despesa'!$V$1:$V$12,0),""))</f>
        <v/>
      </c>
      <c r="AH3677" s="15" t="str">
        <f t="shared" si="2"/>
        <v/>
      </c>
      <c r="AI3677" s="17" t="str">
        <f>IF(AG3677="","",INDEX('quitado Despesa'!$G$1:$G$12,AG3677))</f>
        <v/>
      </c>
      <c r="AJ3677" s="17" t="str">
        <f t="shared" si="3"/>
        <v/>
      </c>
    </row>
    <row r="3678" spans="31:36">
      <c r="AE3678" s="15" t="str">
        <f t="shared" si="0"/>
        <v/>
      </c>
      <c r="AF3678" s="15" t="str">
        <f t="shared" si="1"/>
        <v/>
      </c>
      <c r="AG3678" s="15" t="str">
        <f>IF(OR(AF3678="",AF3678="ERRO_CHAVE"),"",IFERROR(MATCH(AF3678,'quitado Despesa'!$V$1:$V$12,0),""))</f>
        <v/>
      </c>
      <c r="AH3678" s="15" t="str">
        <f t="shared" si="2"/>
        <v/>
      </c>
      <c r="AI3678" s="17" t="str">
        <f>IF(AG3678="","",INDEX('quitado Despesa'!$G$1:$G$12,AG3678))</f>
        <v/>
      </c>
      <c r="AJ3678" s="17" t="str">
        <f t="shared" si="3"/>
        <v/>
      </c>
    </row>
    <row r="3679" spans="31:36">
      <c r="AE3679" s="15" t="str">
        <f t="shared" si="0"/>
        <v/>
      </c>
      <c r="AF3679" s="15" t="str">
        <f t="shared" si="1"/>
        <v/>
      </c>
      <c r="AG3679" s="15" t="str">
        <f>IF(OR(AF3679="",AF3679="ERRO_CHAVE"),"",IFERROR(MATCH(AF3679,'quitado Despesa'!$V$1:$V$12,0),""))</f>
        <v/>
      </c>
      <c r="AH3679" s="15" t="str">
        <f t="shared" si="2"/>
        <v/>
      </c>
      <c r="AI3679" s="17" t="str">
        <f>IF(AG3679="","",INDEX('quitado Despesa'!$G$1:$G$12,AG3679))</f>
        <v/>
      </c>
      <c r="AJ3679" s="17" t="str">
        <f t="shared" si="3"/>
        <v/>
      </c>
    </row>
    <row r="3680" spans="31:36">
      <c r="AE3680" s="15" t="str">
        <f t="shared" si="0"/>
        <v/>
      </c>
      <c r="AF3680" s="15" t="str">
        <f t="shared" si="1"/>
        <v/>
      </c>
      <c r="AG3680" s="15" t="str">
        <f>IF(OR(AF3680="",AF3680="ERRO_CHAVE"),"",IFERROR(MATCH(AF3680,'quitado Despesa'!$V$1:$V$12,0),""))</f>
        <v/>
      </c>
      <c r="AH3680" s="15" t="str">
        <f t="shared" si="2"/>
        <v/>
      </c>
      <c r="AI3680" s="17" t="str">
        <f>IF(AG3680="","",INDEX('quitado Despesa'!$G$1:$G$12,AG3680))</f>
        <v/>
      </c>
      <c r="AJ3680" s="17" t="str">
        <f t="shared" si="3"/>
        <v/>
      </c>
    </row>
    <row r="3681" spans="31:36">
      <c r="AE3681" s="15" t="str">
        <f t="shared" si="0"/>
        <v/>
      </c>
      <c r="AF3681" s="15" t="str">
        <f t="shared" si="1"/>
        <v/>
      </c>
      <c r="AG3681" s="15" t="str">
        <f>IF(OR(AF3681="",AF3681="ERRO_CHAVE"),"",IFERROR(MATCH(AF3681,'quitado Despesa'!$V$1:$V$12,0),""))</f>
        <v/>
      </c>
      <c r="AH3681" s="15" t="str">
        <f t="shared" si="2"/>
        <v/>
      </c>
      <c r="AI3681" s="17" t="str">
        <f>IF(AG3681="","",INDEX('quitado Despesa'!$G$1:$G$12,AG3681))</f>
        <v/>
      </c>
      <c r="AJ3681" s="17" t="str">
        <f t="shared" si="3"/>
        <v/>
      </c>
    </row>
    <row r="3682" spans="31:36">
      <c r="AE3682" s="15" t="str">
        <f t="shared" si="0"/>
        <v/>
      </c>
      <c r="AF3682" s="15" t="str">
        <f t="shared" si="1"/>
        <v/>
      </c>
      <c r="AG3682" s="15" t="str">
        <f>IF(OR(AF3682="",AF3682="ERRO_CHAVE"),"",IFERROR(MATCH(AF3682,'quitado Despesa'!$V$1:$V$12,0),""))</f>
        <v/>
      </c>
      <c r="AH3682" s="15" t="str">
        <f t="shared" si="2"/>
        <v/>
      </c>
      <c r="AI3682" s="17" t="str">
        <f>IF(AG3682="","",INDEX('quitado Despesa'!$G$1:$G$12,AG3682))</f>
        <v/>
      </c>
      <c r="AJ3682" s="17" t="str">
        <f t="shared" si="3"/>
        <v/>
      </c>
    </row>
    <row r="3683" spans="31:36">
      <c r="AE3683" s="15" t="str">
        <f t="shared" si="0"/>
        <v/>
      </c>
      <c r="AF3683" s="15" t="str">
        <f t="shared" si="1"/>
        <v/>
      </c>
      <c r="AG3683" s="15" t="str">
        <f>IF(OR(AF3683="",AF3683="ERRO_CHAVE"),"",IFERROR(MATCH(AF3683,'quitado Despesa'!$V$1:$V$12,0),""))</f>
        <v/>
      </c>
      <c r="AH3683" s="15" t="str">
        <f t="shared" si="2"/>
        <v/>
      </c>
      <c r="AI3683" s="17" t="str">
        <f>IF(AG3683="","",INDEX('quitado Despesa'!$G$1:$G$12,AG3683))</f>
        <v/>
      </c>
      <c r="AJ3683" s="17" t="str">
        <f t="shared" si="3"/>
        <v/>
      </c>
    </row>
    <row r="3684" spans="31:36">
      <c r="AE3684" s="15" t="str">
        <f t="shared" si="0"/>
        <v/>
      </c>
      <c r="AF3684" s="15" t="str">
        <f t="shared" si="1"/>
        <v/>
      </c>
      <c r="AG3684" s="15" t="str">
        <f>IF(OR(AF3684="",AF3684="ERRO_CHAVE"),"",IFERROR(MATCH(AF3684,'quitado Despesa'!$V$1:$V$12,0),""))</f>
        <v/>
      </c>
      <c r="AH3684" s="15" t="str">
        <f t="shared" si="2"/>
        <v/>
      </c>
      <c r="AI3684" s="17" t="str">
        <f>IF(AG3684="","",INDEX('quitado Despesa'!$G$1:$G$12,AG3684))</f>
        <v/>
      </c>
      <c r="AJ3684" s="17" t="str">
        <f t="shared" si="3"/>
        <v/>
      </c>
    </row>
    <row r="3685" spans="31:36">
      <c r="AE3685" s="15" t="str">
        <f t="shared" si="0"/>
        <v/>
      </c>
      <c r="AF3685" s="15" t="str">
        <f t="shared" si="1"/>
        <v/>
      </c>
      <c r="AG3685" s="15" t="str">
        <f>IF(OR(AF3685="",AF3685="ERRO_CHAVE"),"",IFERROR(MATCH(AF3685,'quitado Despesa'!$V$1:$V$12,0),""))</f>
        <v/>
      </c>
      <c r="AH3685" s="15" t="str">
        <f t="shared" si="2"/>
        <v/>
      </c>
      <c r="AI3685" s="17" t="str">
        <f>IF(AG3685="","",INDEX('quitado Despesa'!$G$1:$G$12,AG3685))</f>
        <v/>
      </c>
      <c r="AJ3685" s="17" t="str">
        <f t="shared" si="3"/>
        <v/>
      </c>
    </row>
    <row r="3686" spans="31:36">
      <c r="AE3686" s="15" t="str">
        <f t="shared" si="0"/>
        <v/>
      </c>
      <c r="AF3686" s="15" t="str">
        <f t="shared" si="1"/>
        <v/>
      </c>
      <c r="AG3686" s="15" t="str">
        <f>IF(OR(AF3686="",AF3686="ERRO_CHAVE"),"",IFERROR(MATCH(AF3686,'quitado Despesa'!$V$1:$V$12,0),""))</f>
        <v/>
      </c>
      <c r="AH3686" s="15" t="str">
        <f t="shared" si="2"/>
        <v/>
      </c>
      <c r="AI3686" s="17" t="str">
        <f>IF(AG3686="","",INDEX('quitado Despesa'!$G$1:$G$12,AG3686))</f>
        <v/>
      </c>
      <c r="AJ3686" s="17" t="str">
        <f t="shared" si="3"/>
        <v/>
      </c>
    </row>
    <row r="3687" spans="31:36">
      <c r="AE3687" s="15" t="str">
        <f t="shared" si="0"/>
        <v/>
      </c>
      <c r="AF3687" s="15" t="str">
        <f t="shared" si="1"/>
        <v/>
      </c>
      <c r="AG3687" s="15" t="str">
        <f>IF(OR(AF3687="",AF3687="ERRO_CHAVE"),"",IFERROR(MATCH(AF3687,'quitado Despesa'!$V$1:$V$12,0),""))</f>
        <v/>
      </c>
      <c r="AH3687" s="15" t="str">
        <f t="shared" si="2"/>
        <v/>
      </c>
      <c r="AI3687" s="17" t="str">
        <f>IF(AG3687="","",INDEX('quitado Despesa'!$G$1:$G$12,AG3687))</f>
        <v/>
      </c>
      <c r="AJ3687" s="17" t="str">
        <f t="shared" si="3"/>
        <v/>
      </c>
    </row>
    <row r="3688" spans="31:36">
      <c r="AE3688" s="15" t="str">
        <f t="shared" si="0"/>
        <v/>
      </c>
      <c r="AF3688" s="15" t="str">
        <f t="shared" si="1"/>
        <v/>
      </c>
      <c r="AG3688" s="15" t="str">
        <f>IF(OR(AF3688="",AF3688="ERRO_CHAVE"),"",IFERROR(MATCH(AF3688,'quitado Despesa'!$V$1:$V$12,0),""))</f>
        <v/>
      </c>
      <c r="AH3688" s="15" t="str">
        <f t="shared" si="2"/>
        <v/>
      </c>
      <c r="AI3688" s="17" t="str">
        <f>IF(AG3688="","",INDEX('quitado Despesa'!$G$1:$G$12,AG3688))</f>
        <v/>
      </c>
      <c r="AJ3688" s="17" t="str">
        <f t="shared" si="3"/>
        <v/>
      </c>
    </row>
    <row r="3689" spans="31:36">
      <c r="AE3689" s="15" t="str">
        <f t="shared" si="0"/>
        <v/>
      </c>
      <c r="AF3689" s="15" t="str">
        <f t="shared" si="1"/>
        <v/>
      </c>
      <c r="AG3689" s="15" t="str">
        <f>IF(OR(AF3689="",AF3689="ERRO_CHAVE"),"",IFERROR(MATCH(AF3689,'quitado Despesa'!$V$1:$V$12,0),""))</f>
        <v/>
      </c>
      <c r="AH3689" s="15" t="str">
        <f t="shared" si="2"/>
        <v/>
      </c>
      <c r="AI3689" s="17" t="str">
        <f>IF(AG3689="","",INDEX('quitado Despesa'!$G$1:$G$12,AG3689))</f>
        <v/>
      </c>
      <c r="AJ3689" s="17" t="str">
        <f t="shared" si="3"/>
        <v/>
      </c>
    </row>
    <row r="3690" spans="31:36">
      <c r="AE3690" s="15" t="str">
        <f t="shared" si="0"/>
        <v/>
      </c>
      <c r="AF3690" s="15" t="str">
        <f t="shared" si="1"/>
        <v/>
      </c>
      <c r="AG3690" s="15" t="str">
        <f>IF(OR(AF3690="",AF3690="ERRO_CHAVE"),"",IFERROR(MATCH(AF3690,'quitado Despesa'!$V$1:$V$12,0),""))</f>
        <v/>
      </c>
      <c r="AH3690" s="15" t="str">
        <f t="shared" si="2"/>
        <v/>
      </c>
      <c r="AI3690" s="17" t="str">
        <f>IF(AG3690="","",INDEX('quitado Despesa'!$G$1:$G$12,AG3690))</f>
        <v/>
      </c>
      <c r="AJ3690" s="17" t="str">
        <f t="shared" si="3"/>
        <v/>
      </c>
    </row>
    <row r="3691" spans="31:36">
      <c r="AE3691" s="15" t="str">
        <f t="shared" si="0"/>
        <v/>
      </c>
      <c r="AF3691" s="15" t="str">
        <f t="shared" si="1"/>
        <v/>
      </c>
      <c r="AG3691" s="15" t="str">
        <f>IF(OR(AF3691="",AF3691="ERRO_CHAVE"),"",IFERROR(MATCH(AF3691,'quitado Despesa'!$V$1:$V$12,0),""))</f>
        <v/>
      </c>
      <c r="AH3691" s="15" t="str">
        <f t="shared" si="2"/>
        <v/>
      </c>
      <c r="AI3691" s="17" t="str">
        <f>IF(AG3691="","",INDEX('quitado Despesa'!$G$1:$G$12,AG3691))</f>
        <v/>
      </c>
      <c r="AJ3691" s="17" t="str">
        <f t="shared" si="3"/>
        <v/>
      </c>
    </row>
    <row r="3692" spans="31:36">
      <c r="AE3692" s="15" t="str">
        <f t="shared" si="0"/>
        <v/>
      </c>
      <c r="AF3692" s="15" t="str">
        <f t="shared" si="1"/>
        <v/>
      </c>
      <c r="AG3692" s="15" t="str">
        <f>IF(OR(AF3692="",AF3692="ERRO_CHAVE"),"",IFERROR(MATCH(AF3692,'quitado Despesa'!$V$1:$V$12,0),""))</f>
        <v/>
      </c>
      <c r="AH3692" s="15" t="str">
        <f t="shared" si="2"/>
        <v/>
      </c>
      <c r="AI3692" s="17" t="str">
        <f>IF(AG3692="","",INDEX('quitado Despesa'!$G$1:$G$12,AG3692))</f>
        <v/>
      </c>
      <c r="AJ3692" s="17" t="str">
        <f t="shared" si="3"/>
        <v/>
      </c>
    </row>
    <row r="3693" spans="31:36">
      <c r="AE3693" s="15" t="str">
        <f t="shared" si="0"/>
        <v/>
      </c>
      <c r="AF3693" s="15" t="str">
        <f t="shared" si="1"/>
        <v/>
      </c>
      <c r="AG3693" s="15" t="str">
        <f>IF(OR(AF3693="",AF3693="ERRO_CHAVE"),"",IFERROR(MATCH(AF3693,'quitado Despesa'!$V$1:$V$12,0),""))</f>
        <v/>
      </c>
      <c r="AH3693" s="15" t="str">
        <f t="shared" si="2"/>
        <v/>
      </c>
      <c r="AI3693" s="17" t="str">
        <f>IF(AG3693="","",INDEX('quitado Despesa'!$G$1:$G$12,AG3693))</f>
        <v/>
      </c>
      <c r="AJ3693" s="17" t="str">
        <f t="shared" si="3"/>
        <v/>
      </c>
    </row>
    <row r="3694" spans="31:36">
      <c r="AE3694" s="15" t="str">
        <f t="shared" si="0"/>
        <v/>
      </c>
      <c r="AF3694" s="15" t="str">
        <f t="shared" si="1"/>
        <v/>
      </c>
      <c r="AG3694" s="15" t="str">
        <f>IF(OR(AF3694="",AF3694="ERRO_CHAVE"),"",IFERROR(MATCH(AF3694,'quitado Despesa'!$V$1:$V$12,0),""))</f>
        <v/>
      </c>
      <c r="AH3694" s="15" t="str">
        <f t="shared" si="2"/>
        <v/>
      </c>
      <c r="AI3694" s="17" t="str">
        <f>IF(AG3694="","",INDEX('quitado Despesa'!$G$1:$G$12,AG3694))</f>
        <v/>
      </c>
      <c r="AJ3694" s="17" t="str">
        <f t="shared" si="3"/>
        <v/>
      </c>
    </row>
    <row r="3695" spans="31:36">
      <c r="AE3695" s="15" t="str">
        <f t="shared" si="0"/>
        <v/>
      </c>
      <c r="AF3695" s="15" t="str">
        <f t="shared" si="1"/>
        <v/>
      </c>
      <c r="AG3695" s="15" t="str">
        <f>IF(OR(AF3695="",AF3695="ERRO_CHAVE"),"",IFERROR(MATCH(AF3695,'quitado Despesa'!$V$1:$V$12,0),""))</f>
        <v/>
      </c>
      <c r="AH3695" s="15" t="str">
        <f t="shared" si="2"/>
        <v/>
      </c>
      <c r="AI3695" s="17" t="str">
        <f>IF(AG3695="","",INDEX('quitado Despesa'!$G$1:$G$12,AG3695))</f>
        <v/>
      </c>
      <c r="AJ3695" s="17" t="str">
        <f t="shared" si="3"/>
        <v/>
      </c>
    </row>
    <row r="3696" spans="31:36">
      <c r="AE3696" s="15" t="str">
        <f t="shared" si="0"/>
        <v/>
      </c>
      <c r="AF3696" s="15" t="str">
        <f t="shared" si="1"/>
        <v/>
      </c>
      <c r="AG3696" s="15" t="str">
        <f>IF(OR(AF3696="",AF3696="ERRO_CHAVE"),"",IFERROR(MATCH(AF3696,'quitado Despesa'!$V$1:$V$12,0),""))</f>
        <v/>
      </c>
      <c r="AH3696" s="15" t="str">
        <f t="shared" si="2"/>
        <v/>
      </c>
      <c r="AI3696" s="17" t="str">
        <f>IF(AG3696="","",INDEX('quitado Despesa'!$G$1:$G$12,AG3696))</f>
        <v/>
      </c>
      <c r="AJ3696" s="17" t="str">
        <f t="shared" si="3"/>
        <v/>
      </c>
    </row>
    <row r="3697" spans="31:36">
      <c r="AE3697" s="15" t="str">
        <f t="shared" si="0"/>
        <v/>
      </c>
      <c r="AF3697" s="15" t="str">
        <f t="shared" si="1"/>
        <v/>
      </c>
      <c r="AG3697" s="15" t="str">
        <f>IF(OR(AF3697="",AF3697="ERRO_CHAVE"),"",IFERROR(MATCH(AF3697,'quitado Despesa'!$V$1:$V$12,0),""))</f>
        <v/>
      </c>
      <c r="AH3697" s="15" t="str">
        <f t="shared" si="2"/>
        <v/>
      </c>
      <c r="AI3697" s="17" t="str">
        <f>IF(AG3697="","",INDEX('quitado Despesa'!$G$1:$G$12,AG3697))</f>
        <v/>
      </c>
      <c r="AJ3697" s="17" t="str">
        <f t="shared" si="3"/>
        <v/>
      </c>
    </row>
    <row r="3698" spans="31:36">
      <c r="AE3698" s="15" t="str">
        <f t="shared" si="0"/>
        <v/>
      </c>
      <c r="AF3698" s="15" t="str">
        <f t="shared" si="1"/>
        <v/>
      </c>
      <c r="AG3698" s="15" t="str">
        <f>IF(OR(AF3698="",AF3698="ERRO_CHAVE"),"",IFERROR(MATCH(AF3698,'quitado Despesa'!$V$1:$V$12,0),""))</f>
        <v/>
      </c>
      <c r="AH3698" s="15" t="str">
        <f t="shared" si="2"/>
        <v/>
      </c>
      <c r="AI3698" s="17" t="str">
        <f>IF(AG3698="","",INDEX('quitado Despesa'!$G$1:$G$12,AG3698))</f>
        <v/>
      </c>
      <c r="AJ3698" s="17" t="str">
        <f t="shared" si="3"/>
        <v/>
      </c>
    </row>
    <row r="3699" spans="31:36">
      <c r="AE3699" s="15" t="str">
        <f t="shared" si="0"/>
        <v/>
      </c>
      <c r="AF3699" s="15" t="str">
        <f t="shared" si="1"/>
        <v/>
      </c>
      <c r="AG3699" s="15" t="str">
        <f>IF(OR(AF3699="",AF3699="ERRO_CHAVE"),"",IFERROR(MATCH(AF3699,'quitado Despesa'!$V$1:$V$12,0),""))</f>
        <v/>
      </c>
      <c r="AH3699" s="15" t="str">
        <f t="shared" si="2"/>
        <v/>
      </c>
      <c r="AI3699" s="17" t="str">
        <f>IF(AG3699="","",INDEX('quitado Despesa'!$G$1:$G$12,AG3699))</f>
        <v/>
      </c>
      <c r="AJ3699" s="17" t="str">
        <f t="shared" si="3"/>
        <v/>
      </c>
    </row>
    <row r="3700" spans="31:36">
      <c r="AE3700" s="15" t="str">
        <f t="shared" si="0"/>
        <v/>
      </c>
      <c r="AF3700" s="15" t="str">
        <f t="shared" si="1"/>
        <v/>
      </c>
      <c r="AG3700" s="15" t="str">
        <f>IF(OR(AF3700="",AF3700="ERRO_CHAVE"),"",IFERROR(MATCH(AF3700,'quitado Despesa'!$V$1:$V$12,0),""))</f>
        <v/>
      </c>
      <c r="AH3700" s="15" t="str">
        <f t="shared" si="2"/>
        <v/>
      </c>
      <c r="AI3700" s="17" t="str">
        <f>IF(AG3700="","",INDEX('quitado Despesa'!$G$1:$G$12,AG3700))</f>
        <v/>
      </c>
      <c r="AJ3700" s="17" t="str">
        <f t="shared" si="3"/>
        <v/>
      </c>
    </row>
    <row r="3701" spans="31:36">
      <c r="AE3701" s="15" t="str">
        <f t="shared" si="0"/>
        <v/>
      </c>
      <c r="AF3701" s="15" t="str">
        <f t="shared" si="1"/>
        <v/>
      </c>
      <c r="AG3701" s="15" t="str">
        <f>IF(OR(AF3701="",AF3701="ERRO_CHAVE"),"",IFERROR(MATCH(AF3701,'quitado Despesa'!$V$1:$V$12,0),""))</f>
        <v/>
      </c>
      <c r="AH3701" s="15" t="str">
        <f t="shared" si="2"/>
        <v/>
      </c>
      <c r="AI3701" s="17" t="str">
        <f>IF(AG3701="","",INDEX('quitado Despesa'!$G$1:$G$12,AG3701))</f>
        <v/>
      </c>
      <c r="AJ3701" s="17" t="str">
        <f t="shared" si="3"/>
        <v/>
      </c>
    </row>
    <row r="3702" spans="31:36">
      <c r="AE3702" s="15" t="str">
        <f t="shared" si="0"/>
        <v/>
      </c>
      <c r="AF3702" s="15" t="str">
        <f t="shared" si="1"/>
        <v/>
      </c>
      <c r="AG3702" s="15" t="str">
        <f>IF(OR(AF3702="",AF3702="ERRO_CHAVE"),"",IFERROR(MATCH(AF3702,'quitado Despesa'!$V$1:$V$12,0),""))</f>
        <v/>
      </c>
      <c r="AH3702" s="15" t="str">
        <f t="shared" si="2"/>
        <v/>
      </c>
      <c r="AI3702" s="17" t="str">
        <f>IF(AG3702="","",INDEX('quitado Despesa'!$G$1:$G$12,AG3702))</f>
        <v/>
      </c>
      <c r="AJ3702" s="17" t="str">
        <f t="shared" si="3"/>
        <v/>
      </c>
    </row>
    <row r="3703" spans="31:36">
      <c r="AE3703" s="15" t="str">
        <f t="shared" si="0"/>
        <v/>
      </c>
      <c r="AF3703" s="15" t="str">
        <f t="shared" si="1"/>
        <v/>
      </c>
      <c r="AG3703" s="15" t="str">
        <f>IF(OR(AF3703="",AF3703="ERRO_CHAVE"),"",IFERROR(MATCH(AF3703,'quitado Despesa'!$V$1:$V$12,0),""))</f>
        <v/>
      </c>
      <c r="AH3703" s="15" t="str">
        <f t="shared" si="2"/>
        <v/>
      </c>
      <c r="AI3703" s="17" t="str">
        <f>IF(AG3703="","",INDEX('quitado Despesa'!$G$1:$G$12,AG3703))</f>
        <v/>
      </c>
      <c r="AJ3703" s="17" t="str">
        <f t="shared" si="3"/>
        <v/>
      </c>
    </row>
    <row r="3704" spans="31:36">
      <c r="AE3704" s="15" t="str">
        <f t="shared" si="0"/>
        <v/>
      </c>
      <c r="AF3704" s="15" t="str">
        <f t="shared" si="1"/>
        <v/>
      </c>
      <c r="AG3704" s="15" t="str">
        <f>IF(OR(AF3704="",AF3704="ERRO_CHAVE"),"",IFERROR(MATCH(AF3704,'quitado Despesa'!$V$1:$V$12,0),""))</f>
        <v/>
      </c>
      <c r="AH3704" s="15" t="str">
        <f t="shared" si="2"/>
        <v/>
      </c>
      <c r="AI3704" s="17" t="str">
        <f>IF(AG3704="","",INDEX('quitado Despesa'!$G$1:$G$12,AG3704))</f>
        <v/>
      </c>
      <c r="AJ3704" s="17" t="str">
        <f t="shared" si="3"/>
        <v/>
      </c>
    </row>
    <row r="3705" spans="31:36">
      <c r="AE3705" s="15" t="str">
        <f t="shared" si="0"/>
        <v/>
      </c>
      <c r="AF3705" s="15" t="str">
        <f t="shared" si="1"/>
        <v/>
      </c>
      <c r="AG3705" s="15" t="str">
        <f>IF(OR(AF3705="",AF3705="ERRO_CHAVE"),"",IFERROR(MATCH(AF3705,'quitado Despesa'!$V$1:$V$12,0),""))</f>
        <v/>
      </c>
      <c r="AH3705" s="15" t="str">
        <f t="shared" si="2"/>
        <v/>
      </c>
      <c r="AI3705" s="17" t="str">
        <f>IF(AG3705="","",INDEX('quitado Despesa'!$G$1:$G$12,AG3705))</f>
        <v/>
      </c>
      <c r="AJ3705" s="17" t="str">
        <f t="shared" si="3"/>
        <v/>
      </c>
    </row>
    <row r="3706" spans="31:36">
      <c r="AE3706" s="15" t="str">
        <f t="shared" si="0"/>
        <v/>
      </c>
      <c r="AF3706" s="15" t="str">
        <f t="shared" si="1"/>
        <v/>
      </c>
      <c r="AG3706" s="15" t="str">
        <f>IF(OR(AF3706="",AF3706="ERRO_CHAVE"),"",IFERROR(MATCH(AF3706,'quitado Despesa'!$V$1:$V$12,0),""))</f>
        <v/>
      </c>
      <c r="AH3706" s="15" t="str">
        <f t="shared" si="2"/>
        <v/>
      </c>
      <c r="AI3706" s="17" t="str">
        <f>IF(AG3706="","",INDEX('quitado Despesa'!$G$1:$G$12,AG3706))</f>
        <v/>
      </c>
      <c r="AJ3706" s="17" t="str">
        <f t="shared" si="3"/>
        <v/>
      </c>
    </row>
    <row r="3707" spans="31:36">
      <c r="AE3707" s="15" t="str">
        <f t="shared" si="0"/>
        <v/>
      </c>
      <c r="AF3707" s="15" t="str">
        <f t="shared" si="1"/>
        <v/>
      </c>
      <c r="AG3707" s="15" t="str">
        <f>IF(OR(AF3707="",AF3707="ERRO_CHAVE"),"",IFERROR(MATCH(AF3707,'quitado Despesa'!$V$1:$V$12,0),""))</f>
        <v/>
      </c>
      <c r="AH3707" s="15" t="str">
        <f t="shared" si="2"/>
        <v/>
      </c>
      <c r="AI3707" s="17" t="str">
        <f>IF(AG3707="","",INDEX('quitado Despesa'!$G$1:$G$12,AG3707))</f>
        <v/>
      </c>
      <c r="AJ3707" s="17" t="str">
        <f t="shared" si="3"/>
        <v/>
      </c>
    </row>
    <row r="3708" spans="31:36">
      <c r="AE3708" s="15" t="str">
        <f t="shared" si="0"/>
        <v/>
      </c>
      <c r="AF3708" s="15" t="str">
        <f t="shared" si="1"/>
        <v/>
      </c>
      <c r="AG3708" s="15" t="str">
        <f>IF(OR(AF3708="",AF3708="ERRO_CHAVE"),"",IFERROR(MATCH(AF3708,'quitado Despesa'!$V$1:$V$12,0),""))</f>
        <v/>
      </c>
      <c r="AH3708" s="15" t="str">
        <f t="shared" si="2"/>
        <v/>
      </c>
      <c r="AI3708" s="17" t="str">
        <f>IF(AG3708="","",INDEX('quitado Despesa'!$G$1:$G$12,AG3708))</f>
        <v/>
      </c>
      <c r="AJ3708" s="17" t="str">
        <f t="shared" si="3"/>
        <v/>
      </c>
    </row>
    <row r="3709" spans="31:36">
      <c r="AE3709" s="15" t="str">
        <f t="shared" si="0"/>
        <v/>
      </c>
      <c r="AF3709" s="15" t="str">
        <f t="shared" si="1"/>
        <v/>
      </c>
      <c r="AG3709" s="15" t="str">
        <f>IF(OR(AF3709="",AF3709="ERRO_CHAVE"),"",IFERROR(MATCH(AF3709,'quitado Despesa'!$V$1:$V$12,0),""))</f>
        <v/>
      </c>
      <c r="AH3709" s="15" t="str">
        <f t="shared" si="2"/>
        <v/>
      </c>
      <c r="AI3709" s="17" t="str">
        <f>IF(AG3709="","",INDEX('quitado Despesa'!$G$1:$G$12,AG3709))</f>
        <v/>
      </c>
      <c r="AJ3709" s="17" t="str">
        <f t="shared" si="3"/>
        <v/>
      </c>
    </row>
    <row r="3710" spans="31:36">
      <c r="AE3710" s="15" t="str">
        <f t="shared" si="0"/>
        <v/>
      </c>
      <c r="AF3710" s="15" t="str">
        <f t="shared" si="1"/>
        <v/>
      </c>
      <c r="AG3710" s="15" t="str">
        <f>IF(OR(AF3710="",AF3710="ERRO_CHAVE"),"",IFERROR(MATCH(AF3710,'quitado Despesa'!$V$1:$V$12,0),""))</f>
        <v/>
      </c>
      <c r="AH3710" s="15" t="str">
        <f t="shared" si="2"/>
        <v/>
      </c>
      <c r="AI3710" s="17" t="str">
        <f>IF(AG3710="","",INDEX('quitado Despesa'!$G$1:$G$12,AG3710))</f>
        <v/>
      </c>
      <c r="AJ3710" s="17" t="str">
        <f t="shared" si="3"/>
        <v/>
      </c>
    </row>
    <row r="3711" spans="31:36">
      <c r="AE3711" s="15" t="str">
        <f t="shared" si="0"/>
        <v/>
      </c>
      <c r="AF3711" s="15" t="str">
        <f t="shared" si="1"/>
        <v/>
      </c>
      <c r="AG3711" s="15" t="str">
        <f>IF(OR(AF3711="",AF3711="ERRO_CHAVE"),"",IFERROR(MATCH(AF3711,'quitado Despesa'!$V$1:$V$12,0),""))</f>
        <v/>
      </c>
      <c r="AH3711" s="15" t="str">
        <f t="shared" si="2"/>
        <v/>
      </c>
      <c r="AI3711" s="17" t="str">
        <f>IF(AG3711="","",INDEX('quitado Despesa'!$G$1:$G$12,AG3711))</f>
        <v/>
      </c>
      <c r="AJ3711" s="17" t="str">
        <f t="shared" si="3"/>
        <v/>
      </c>
    </row>
    <row r="3712" spans="31:36">
      <c r="AE3712" s="15" t="str">
        <f t="shared" si="0"/>
        <v/>
      </c>
      <c r="AF3712" s="15" t="str">
        <f t="shared" si="1"/>
        <v/>
      </c>
      <c r="AG3712" s="15" t="str">
        <f>IF(OR(AF3712="",AF3712="ERRO_CHAVE"),"",IFERROR(MATCH(AF3712,'quitado Despesa'!$V$1:$V$12,0),""))</f>
        <v/>
      </c>
      <c r="AH3712" s="15" t="str">
        <f t="shared" si="2"/>
        <v/>
      </c>
      <c r="AI3712" s="17" t="str">
        <f>IF(AG3712="","",INDEX('quitado Despesa'!$G$1:$G$12,AG3712))</f>
        <v/>
      </c>
      <c r="AJ3712" s="17" t="str">
        <f t="shared" si="3"/>
        <v/>
      </c>
    </row>
    <row r="3713" spans="31:36">
      <c r="AE3713" s="15" t="str">
        <f t="shared" si="0"/>
        <v/>
      </c>
      <c r="AF3713" s="15" t="str">
        <f t="shared" si="1"/>
        <v/>
      </c>
      <c r="AG3713" s="15" t="str">
        <f>IF(OR(AF3713="",AF3713="ERRO_CHAVE"),"",IFERROR(MATCH(AF3713,'quitado Despesa'!$V$1:$V$12,0),""))</f>
        <v/>
      </c>
      <c r="AH3713" s="15" t="str">
        <f t="shared" si="2"/>
        <v/>
      </c>
      <c r="AI3713" s="17" t="str">
        <f>IF(AG3713="","",INDEX('quitado Despesa'!$G$1:$G$12,AG3713))</f>
        <v/>
      </c>
      <c r="AJ3713" s="17" t="str">
        <f t="shared" si="3"/>
        <v/>
      </c>
    </row>
    <row r="3714" spans="31:36">
      <c r="AE3714" s="15" t="str">
        <f t="shared" si="0"/>
        <v/>
      </c>
      <c r="AF3714" s="15" t="str">
        <f t="shared" si="1"/>
        <v/>
      </c>
      <c r="AG3714" s="15" t="str">
        <f>IF(OR(AF3714="",AF3714="ERRO_CHAVE"),"",IFERROR(MATCH(AF3714,'quitado Despesa'!$V$1:$V$12,0),""))</f>
        <v/>
      </c>
      <c r="AH3714" s="15" t="str">
        <f t="shared" si="2"/>
        <v/>
      </c>
      <c r="AI3714" s="17" t="str">
        <f>IF(AG3714="","",INDEX('quitado Despesa'!$G$1:$G$12,AG3714))</f>
        <v/>
      </c>
      <c r="AJ3714" s="17" t="str">
        <f t="shared" si="3"/>
        <v/>
      </c>
    </row>
    <row r="3715" spans="31:36">
      <c r="AE3715" s="15" t="str">
        <f t="shared" si="0"/>
        <v/>
      </c>
      <c r="AF3715" s="15" t="str">
        <f t="shared" si="1"/>
        <v/>
      </c>
      <c r="AG3715" s="15" t="str">
        <f>IF(OR(AF3715="",AF3715="ERRO_CHAVE"),"",IFERROR(MATCH(AF3715,'quitado Despesa'!$V$1:$V$12,0),""))</f>
        <v/>
      </c>
      <c r="AH3715" s="15" t="str">
        <f t="shared" si="2"/>
        <v/>
      </c>
      <c r="AI3715" s="17" t="str">
        <f>IF(AG3715="","",INDEX('quitado Despesa'!$G$1:$G$12,AG3715))</f>
        <v/>
      </c>
      <c r="AJ3715" s="17" t="str">
        <f t="shared" si="3"/>
        <v/>
      </c>
    </row>
    <row r="3716" spans="31:36">
      <c r="AE3716" s="15" t="str">
        <f t="shared" si="0"/>
        <v/>
      </c>
      <c r="AF3716" s="15" t="str">
        <f t="shared" si="1"/>
        <v/>
      </c>
      <c r="AG3716" s="15" t="str">
        <f>IF(OR(AF3716="",AF3716="ERRO_CHAVE"),"",IFERROR(MATCH(AF3716,'quitado Despesa'!$V$1:$V$12,0),""))</f>
        <v/>
      </c>
      <c r="AH3716" s="15" t="str">
        <f t="shared" si="2"/>
        <v/>
      </c>
      <c r="AI3716" s="17" t="str">
        <f>IF(AG3716="","",INDEX('quitado Despesa'!$G$1:$G$12,AG3716))</f>
        <v/>
      </c>
      <c r="AJ3716" s="17" t="str">
        <f t="shared" si="3"/>
        <v/>
      </c>
    </row>
    <row r="3717" spans="31:36">
      <c r="AE3717" s="15" t="str">
        <f t="shared" si="0"/>
        <v/>
      </c>
      <c r="AF3717" s="15" t="str">
        <f t="shared" si="1"/>
        <v/>
      </c>
      <c r="AG3717" s="15" t="str">
        <f>IF(OR(AF3717="",AF3717="ERRO_CHAVE"),"",IFERROR(MATCH(AF3717,'quitado Despesa'!$V$1:$V$12,0),""))</f>
        <v/>
      </c>
      <c r="AH3717" s="15" t="str">
        <f t="shared" si="2"/>
        <v/>
      </c>
      <c r="AI3717" s="17" t="str">
        <f>IF(AG3717="","",INDEX('quitado Despesa'!$G$1:$G$12,AG3717))</f>
        <v/>
      </c>
      <c r="AJ3717" s="17" t="str">
        <f t="shared" si="3"/>
        <v/>
      </c>
    </row>
    <row r="3718" spans="31:36">
      <c r="AE3718" s="15" t="str">
        <f t="shared" si="0"/>
        <v/>
      </c>
      <c r="AF3718" s="15" t="str">
        <f t="shared" si="1"/>
        <v/>
      </c>
      <c r="AG3718" s="15" t="str">
        <f>IF(OR(AF3718="",AF3718="ERRO_CHAVE"),"",IFERROR(MATCH(AF3718,'quitado Despesa'!$V$1:$V$12,0),""))</f>
        <v/>
      </c>
      <c r="AH3718" s="15" t="str">
        <f t="shared" si="2"/>
        <v/>
      </c>
      <c r="AI3718" s="17" t="str">
        <f>IF(AG3718="","",INDEX('quitado Despesa'!$G$1:$G$12,AG3718))</f>
        <v/>
      </c>
      <c r="AJ3718" s="17" t="str">
        <f t="shared" si="3"/>
        <v/>
      </c>
    </row>
    <row r="3719" spans="31:36">
      <c r="AE3719" s="15" t="str">
        <f t="shared" si="0"/>
        <v/>
      </c>
      <c r="AF3719" s="15" t="str">
        <f t="shared" si="1"/>
        <v/>
      </c>
      <c r="AG3719" s="15" t="str">
        <f>IF(OR(AF3719="",AF3719="ERRO_CHAVE"),"",IFERROR(MATCH(AF3719,'quitado Despesa'!$V$1:$V$12,0),""))</f>
        <v/>
      </c>
      <c r="AH3719" s="15" t="str">
        <f t="shared" si="2"/>
        <v/>
      </c>
      <c r="AI3719" s="17" t="str">
        <f>IF(AG3719="","",INDEX('quitado Despesa'!$G$1:$G$12,AG3719))</f>
        <v/>
      </c>
      <c r="AJ3719" s="17" t="str">
        <f t="shared" si="3"/>
        <v/>
      </c>
    </row>
    <row r="3720" spans="31:36">
      <c r="AE3720" s="15" t="str">
        <f t="shared" si="0"/>
        <v/>
      </c>
      <c r="AF3720" s="15" t="str">
        <f t="shared" si="1"/>
        <v/>
      </c>
      <c r="AG3720" s="15" t="str">
        <f>IF(OR(AF3720="",AF3720="ERRO_CHAVE"),"",IFERROR(MATCH(AF3720,'quitado Despesa'!$V$1:$V$12,0),""))</f>
        <v/>
      </c>
      <c r="AH3720" s="15" t="str">
        <f t="shared" si="2"/>
        <v/>
      </c>
      <c r="AI3720" s="17" t="str">
        <f>IF(AG3720="","",INDEX('quitado Despesa'!$G$1:$G$12,AG3720))</f>
        <v/>
      </c>
      <c r="AJ3720" s="17" t="str">
        <f t="shared" si="3"/>
        <v/>
      </c>
    </row>
    <row r="3721" spans="31:36">
      <c r="AE3721" s="15" t="str">
        <f t="shared" si="0"/>
        <v/>
      </c>
      <c r="AF3721" s="15" t="str">
        <f t="shared" si="1"/>
        <v/>
      </c>
      <c r="AG3721" s="15" t="str">
        <f>IF(OR(AF3721="",AF3721="ERRO_CHAVE"),"",IFERROR(MATCH(AF3721,'quitado Despesa'!$V$1:$V$12,0),""))</f>
        <v/>
      </c>
      <c r="AH3721" s="15" t="str">
        <f t="shared" si="2"/>
        <v/>
      </c>
      <c r="AI3721" s="17" t="str">
        <f>IF(AG3721="","",INDEX('quitado Despesa'!$G$1:$G$12,AG3721))</f>
        <v/>
      </c>
      <c r="AJ3721" s="17" t="str">
        <f t="shared" si="3"/>
        <v/>
      </c>
    </row>
    <row r="3722" spans="31:36">
      <c r="AE3722" s="15" t="str">
        <f t="shared" si="0"/>
        <v/>
      </c>
      <c r="AF3722" s="15" t="str">
        <f t="shared" si="1"/>
        <v/>
      </c>
      <c r="AG3722" s="15" t="str">
        <f>IF(OR(AF3722="",AF3722="ERRO_CHAVE"),"",IFERROR(MATCH(AF3722,'quitado Despesa'!$V$1:$V$12,0),""))</f>
        <v/>
      </c>
      <c r="AH3722" s="15" t="str">
        <f t="shared" si="2"/>
        <v/>
      </c>
      <c r="AI3722" s="17" t="str">
        <f>IF(AG3722="","",INDEX('quitado Despesa'!$G$1:$G$12,AG3722))</f>
        <v/>
      </c>
      <c r="AJ3722" s="17" t="str">
        <f t="shared" si="3"/>
        <v/>
      </c>
    </row>
    <row r="3723" spans="31:36">
      <c r="AE3723" s="15" t="str">
        <f t="shared" si="0"/>
        <v/>
      </c>
      <c r="AF3723" s="15" t="str">
        <f t="shared" si="1"/>
        <v/>
      </c>
      <c r="AG3723" s="15" t="str">
        <f>IF(OR(AF3723="",AF3723="ERRO_CHAVE"),"",IFERROR(MATCH(AF3723,'quitado Despesa'!$V$1:$V$12,0),""))</f>
        <v/>
      </c>
      <c r="AH3723" s="15" t="str">
        <f t="shared" si="2"/>
        <v/>
      </c>
      <c r="AI3723" s="17" t="str">
        <f>IF(AG3723="","",INDEX('quitado Despesa'!$G$1:$G$12,AG3723))</f>
        <v/>
      </c>
      <c r="AJ3723" s="17" t="str">
        <f t="shared" si="3"/>
        <v/>
      </c>
    </row>
    <row r="3724" spans="31:36">
      <c r="AE3724" s="15" t="str">
        <f t="shared" si="0"/>
        <v/>
      </c>
      <c r="AF3724" s="15" t="str">
        <f t="shared" si="1"/>
        <v/>
      </c>
      <c r="AG3724" s="15" t="str">
        <f>IF(OR(AF3724="",AF3724="ERRO_CHAVE"),"",IFERROR(MATCH(AF3724,'quitado Despesa'!$V$1:$V$12,0),""))</f>
        <v/>
      </c>
      <c r="AH3724" s="15" t="str">
        <f t="shared" si="2"/>
        <v/>
      </c>
      <c r="AI3724" s="17" t="str">
        <f>IF(AG3724="","",INDEX('quitado Despesa'!$G$1:$G$12,AG3724))</f>
        <v/>
      </c>
      <c r="AJ3724" s="17" t="str">
        <f t="shared" si="3"/>
        <v/>
      </c>
    </row>
    <row r="3725" spans="31:36">
      <c r="AE3725" s="15" t="str">
        <f t="shared" si="0"/>
        <v/>
      </c>
      <c r="AF3725" s="15" t="str">
        <f t="shared" si="1"/>
        <v/>
      </c>
      <c r="AG3725" s="15" t="str">
        <f>IF(OR(AF3725="",AF3725="ERRO_CHAVE"),"",IFERROR(MATCH(AF3725,'quitado Despesa'!$V$1:$V$12,0),""))</f>
        <v/>
      </c>
      <c r="AH3725" s="15" t="str">
        <f t="shared" si="2"/>
        <v/>
      </c>
      <c r="AI3725" s="17" t="str">
        <f>IF(AG3725="","",INDEX('quitado Despesa'!$G$1:$G$12,AG3725))</f>
        <v/>
      </c>
      <c r="AJ3725" s="17" t="str">
        <f t="shared" si="3"/>
        <v/>
      </c>
    </row>
    <row r="3726" spans="31:36">
      <c r="AE3726" s="15" t="str">
        <f t="shared" si="0"/>
        <v/>
      </c>
      <c r="AF3726" s="15" t="str">
        <f t="shared" si="1"/>
        <v/>
      </c>
      <c r="AG3726" s="15" t="str">
        <f>IF(OR(AF3726="",AF3726="ERRO_CHAVE"),"",IFERROR(MATCH(AF3726,'quitado Despesa'!$V$1:$V$12,0),""))</f>
        <v/>
      </c>
      <c r="AH3726" s="15" t="str">
        <f t="shared" si="2"/>
        <v/>
      </c>
      <c r="AI3726" s="17" t="str">
        <f>IF(AG3726="","",INDEX('quitado Despesa'!$G$1:$G$12,AG3726))</f>
        <v/>
      </c>
      <c r="AJ3726" s="17" t="str">
        <f t="shared" si="3"/>
        <v/>
      </c>
    </row>
    <row r="3727" spans="31:36">
      <c r="AE3727" s="15" t="str">
        <f t="shared" si="0"/>
        <v/>
      </c>
      <c r="AF3727" s="15" t="str">
        <f t="shared" si="1"/>
        <v/>
      </c>
      <c r="AG3727" s="15" t="str">
        <f>IF(OR(AF3727="",AF3727="ERRO_CHAVE"),"",IFERROR(MATCH(AF3727,'quitado Despesa'!$V$1:$V$12,0),""))</f>
        <v/>
      </c>
      <c r="AH3727" s="15" t="str">
        <f t="shared" si="2"/>
        <v/>
      </c>
      <c r="AI3727" s="17" t="str">
        <f>IF(AG3727="","",INDEX('quitado Despesa'!$G$1:$G$12,AG3727))</f>
        <v/>
      </c>
      <c r="AJ3727" s="17" t="str">
        <f t="shared" si="3"/>
        <v/>
      </c>
    </row>
    <row r="3728" spans="31:36">
      <c r="AE3728" s="15" t="str">
        <f t="shared" si="0"/>
        <v/>
      </c>
      <c r="AF3728" s="15" t="str">
        <f t="shared" si="1"/>
        <v/>
      </c>
      <c r="AG3728" s="15" t="str">
        <f>IF(OR(AF3728="",AF3728="ERRO_CHAVE"),"",IFERROR(MATCH(AF3728,'quitado Despesa'!$V$1:$V$12,0),""))</f>
        <v/>
      </c>
      <c r="AH3728" s="15" t="str">
        <f t="shared" si="2"/>
        <v/>
      </c>
      <c r="AI3728" s="17" t="str">
        <f>IF(AG3728="","",INDEX('quitado Despesa'!$G$1:$G$12,AG3728))</f>
        <v/>
      </c>
      <c r="AJ3728" s="17" t="str">
        <f t="shared" si="3"/>
        <v/>
      </c>
    </row>
    <row r="3729" spans="31:36">
      <c r="AE3729" s="15" t="str">
        <f t="shared" si="0"/>
        <v/>
      </c>
      <c r="AF3729" s="15" t="str">
        <f t="shared" si="1"/>
        <v/>
      </c>
      <c r="AG3729" s="15" t="str">
        <f>IF(OR(AF3729="",AF3729="ERRO_CHAVE"),"",IFERROR(MATCH(AF3729,'quitado Despesa'!$V$1:$V$12,0),""))</f>
        <v/>
      </c>
      <c r="AH3729" s="15" t="str">
        <f t="shared" si="2"/>
        <v/>
      </c>
      <c r="AI3729" s="17" t="str">
        <f>IF(AG3729="","",INDEX('quitado Despesa'!$G$1:$G$12,AG3729))</f>
        <v/>
      </c>
      <c r="AJ3729" s="17" t="str">
        <f t="shared" si="3"/>
        <v/>
      </c>
    </row>
    <row r="3730" spans="31:36">
      <c r="AE3730" s="15" t="str">
        <f t="shared" si="0"/>
        <v/>
      </c>
      <c r="AF3730" s="15" t="str">
        <f t="shared" si="1"/>
        <v/>
      </c>
      <c r="AG3730" s="15" t="str">
        <f>IF(OR(AF3730="",AF3730="ERRO_CHAVE"),"",IFERROR(MATCH(AF3730,'quitado Despesa'!$V$1:$V$12,0),""))</f>
        <v/>
      </c>
      <c r="AH3730" s="15" t="str">
        <f t="shared" si="2"/>
        <v/>
      </c>
      <c r="AI3730" s="17" t="str">
        <f>IF(AG3730="","",INDEX('quitado Despesa'!$G$1:$G$12,AG3730))</f>
        <v/>
      </c>
      <c r="AJ3730" s="17" t="str">
        <f t="shared" si="3"/>
        <v/>
      </c>
    </row>
    <row r="3731" spans="31:36">
      <c r="AE3731" s="15" t="str">
        <f t="shared" si="0"/>
        <v/>
      </c>
      <c r="AF3731" s="15" t="str">
        <f t="shared" si="1"/>
        <v/>
      </c>
      <c r="AG3731" s="15" t="str">
        <f>IF(OR(AF3731="",AF3731="ERRO_CHAVE"),"",IFERROR(MATCH(AF3731,'quitado Despesa'!$V$1:$V$12,0),""))</f>
        <v/>
      </c>
      <c r="AH3731" s="15" t="str">
        <f t="shared" si="2"/>
        <v/>
      </c>
      <c r="AI3731" s="17" t="str">
        <f>IF(AG3731="","",INDEX('quitado Despesa'!$G$1:$G$12,AG3731))</f>
        <v/>
      </c>
      <c r="AJ3731" s="17" t="str">
        <f t="shared" si="3"/>
        <v/>
      </c>
    </row>
    <row r="3732" spans="31:36">
      <c r="AE3732" s="15" t="str">
        <f t="shared" si="0"/>
        <v/>
      </c>
      <c r="AF3732" s="15" t="str">
        <f t="shared" si="1"/>
        <v/>
      </c>
      <c r="AG3732" s="15" t="str">
        <f>IF(OR(AF3732="",AF3732="ERRO_CHAVE"),"",IFERROR(MATCH(AF3732,'quitado Despesa'!$V$1:$V$12,0),""))</f>
        <v/>
      </c>
      <c r="AH3732" s="15" t="str">
        <f t="shared" si="2"/>
        <v/>
      </c>
      <c r="AI3732" s="17" t="str">
        <f>IF(AG3732="","",INDEX('quitado Despesa'!$G$1:$G$12,AG3732))</f>
        <v/>
      </c>
      <c r="AJ3732" s="17" t="str">
        <f t="shared" si="3"/>
        <v/>
      </c>
    </row>
    <row r="3733" spans="31:36">
      <c r="AE3733" s="15" t="str">
        <f t="shared" si="0"/>
        <v/>
      </c>
      <c r="AF3733" s="15" t="str">
        <f t="shared" si="1"/>
        <v/>
      </c>
      <c r="AG3733" s="15" t="str">
        <f>IF(OR(AF3733="",AF3733="ERRO_CHAVE"),"",IFERROR(MATCH(AF3733,'quitado Despesa'!$V$1:$V$12,0),""))</f>
        <v/>
      </c>
      <c r="AH3733" s="15" t="str">
        <f t="shared" si="2"/>
        <v/>
      </c>
      <c r="AI3733" s="17" t="str">
        <f>IF(AG3733="","",INDEX('quitado Despesa'!$G$1:$G$12,AG3733))</f>
        <v/>
      </c>
      <c r="AJ3733" s="17" t="str">
        <f t="shared" si="3"/>
        <v/>
      </c>
    </row>
    <row r="3734" spans="31:36">
      <c r="AE3734" s="15" t="str">
        <f t="shared" si="0"/>
        <v/>
      </c>
      <c r="AF3734" s="15" t="str">
        <f t="shared" si="1"/>
        <v/>
      </c>
      <c r="AG3734" s="15" t="str">
        <f>IF(OR(AF3734="",AF3734="ERRO_CHAVE"),"",IFERROR(MATCH(AF3734,'quitado Despesa'!$V$1:$V$12,0),""))</f>
        <v/>
      </c>
      <c r="AH3734" s="15" t="str">
        <f t="shared" si="2"/>
        <v/>
      </c>
      <c r="AI3734" s="17" t="str">
        <f>IF(AG3734="","",INDEX('quitado Despesa'!$G$1:$G$12,AG3734))</f>
        <v/>
      </c>
      <c r="AJ3734" s="17" t="str">
        <f t="shared" si="3"/>
        <v/>
      </c>
    </row>
    <row r="3735" spans="31:36">
      <c r="AE3735" s="15" t="str">
        <f t="shared" si="0"/>
        <v/>
      </c>
      <c r="AF3735" s="15" t="str">
        <f t="shared" si="1"/>
        <v/>
      </c>
      <c r="AG3735" s="15" t="str">
        <f>IF(OR(AF3735="",AF3735="ERRO_CHAVE"),"",IFERROR(MATCH(AF3735,'quitado Despesa'!$V$1:$V$12,0),""))</f>
        <v/>
      </c>
      <c r="AH3735" s="15" t="str">
        <f t="shared" si="2"/>
        <v/>
      </c>
      <c r="AI3735" s="17" t="str">
        <f>IF(AG3735="","",INDEX('quitado Despesa'!$G$1:$G$12,AG3735))</f>
        <v/>
      </c>
      <c r="AJ3735" s="17" t="str">
        <f t="shared" si="3"/>
        <v/>
      </c>
    </row>
    <row r="3736" spans="31:36">
      <c r="AE3736" s="15" t="str">
        <f t="shared" si="0"/>
        <v/>
      </c>
      <c r="AF3736" s="15" t="str">
        <f t="shared" si="1"/>
        <v/>
      </c>
      <c r="AG3736" s="15" t="str">
        <f>IF(OR(AF3736="",AF3736="ERRO_CHAVE"),"",IFERROR(MATCH(AF3736,'quitado Despesa'!$V$1:$V$12,0),""))</f>
        <v/>
      </c>
      <c r="AH3736" s="15" t="str">
        <f t="shared" si="2"/>
        <v/>
      </c>
      <c r="AI3736" s="17" t="str">
        <f>IF(AG3736="","",INDEX('quitado Despesa'!$G$1:$G$12,AG3736))</f>
        <v/>
      </c>
      <c r="AJ3736" s="17" t="str">
        <f t="shared" si="3"/>
        <v/>
      </c>
    </row>
    <row r="3737" spans="31:36">
      <c r="AE3737" s="15" t="str">
        <f t="shared" si="0"/>
        <v/>
      </c>
      <c r="AF3737" s="15" t="str">
        <f t="shared" si="1"/>
        <v/>
      </c>
      <c r="AG3737" s="15" t="str">
        <f>IF(OR(AF3737="",AF3737="ERRO_CHAVE"),"",IFERROR(MATCH(AF3737,'quitado Despesa'!$V$1:$V$12,0),""))</f>
        <v/>
      </c>
      <c r="AH3737" s="15" t="str">
        <f t="shared" si="2"/>
        <v/>
      </c>
      <c r="AI3737" s="17" t="str">
        <f>IF(AG3737="","",INDEX('quitado Despesa'!$G$1:$G$12,AG3737))</f>
        <v/>
      </c>
      <c r="AJ3737" s="17" t="str">
        <f t="shared" si="3"/>
        <v/>
      </c>
    </row>
    <row r="3738" spans="31:36">
      <c r="AE3738" s="15" t="str">
        <f t="shared" si="0"/>
        <v/>
      </c>
      <c r="AF3738" s="15" t="str">
        <f t="shared" si="1"/>
        <v/>
      </c>
      <c r="AG3738" s="15" t="str">
        <f>IF(OR(AF3738="",AF3738="ERRO_CHAVE"),"",IFERROR(MATCH(AF3738,'quitado Despesa'!$V$1:$V$12,0),""))</f>
        <v/>
      </c>
      <c r="AH3738" s="15" t="str">
        <f t="shared" si="2"/>
        <v/>
      </c>
      <c r="AI3738" s="17" t="str">
        <f>IF(AG3738="","",INDEX('quitado Despesa'!$G$1:$G$12,AG3738))</f>
        <v/>
      </c>
      <c r="AJ3738" s="17" t="str">
        <f t="shared" si="3"/>
        <v/>
      </c>
    </row>
    <row r="3739" spans="31:36">
      <c r="AE3739" s="15" t="str">
        <f t="shared" si="0"/>
        <v/>
      </c>
      <c r="AF3739" s="15" t="str">
        <f t="shared" si="1"/>
        <v/>
      </c>
      <c r="AG3739" s="15" t="str">
        <f>IF(OR(AF3739="",AF3739="ERRO_CHAVE"),"",IFERROR(MATCH(AF3739,'quitado Despesa'!$V$1:$V$12,0),""))</f>
        <v/>
      </c>
      <c r="AH3739" s="15" t="str">
        <f t="shared" si="2"/>
        <v/>
      </c>
      <c r="AI3739" s="17" t="str">
        <f>IF(AG3739="","",INDEX('quitado Despesa'!$G$1:$G$12,AG3739))</f>
        <v/>
      </c>
      <c r="AJ3739" s="17" t="str">
        <f t="shared" si="3"/>
        <v/>
      </c>
    </row>
    <row r="3740" spans="31:36">
      <c r="AE3740" s="15" t="str">
        <f t="shared" si="0"/>
        <v/>
      </c>
      <c r="AF3740" s="15" t="str">
        <f t="shared" si="1"/>
        <v/>
      </c>
      <c r="AG3740" s="15" t="str">
        <f>IF(OR(AF3740="",AF3740="ERRO_CHAVE"),"",IFERROR(MATCH(AF3740,'quitado Despesa'!$V$1:$V$12,0),""))</f>
        <v/>
      </c>
      <c r="AH3740" s="15" t="str">
        <f t="shared" si="2"/>
        <v/>
      </c>
      <c r="AI3740" s="17" t="str">
        <f>IF(AG3740="","",INDEX('quitado Despesa'!$G$1:$G$12,AG3740))</f>
        <v/>
      </c>
      <c r="AJ3740" s="17" t="str">
        <f t="shared" si="3"/>
        <v/>
      </c>
    </row>
    <row r="3741" spans="31:36">
      <c r="AE3741" s="15" t="str">
        <f t="shared" si="0"/>
        <v/>
      </c>
      <c r="AF3741" s="15" t="str">
        <f t="shared" si="1"/>
        <v/>
      </c>
      <c r="AG3741" s="15" t="str">
        <f>IF(OR(AF3741="",AF3741="ERRO_CHAVE"),"",IFERROR(MATCH(AF3741,'quitado Despesa'!$V$1:$V$12,0),""))</f>
        <v/>
      </c>
      <c r="AH3741" s="15" t="str">
        <f t="shared" si="2"/>
        <v/>
      </c>
      <c r="AI3741" s="17" t="str">
        <f>IF(AG3741="","",INDEX('quitado Despesa'!$G$1:$G$12,AG3741))</f>
        <v/>
      </c>
      <c r="AJ3741" s="17" t="str">
        <f t="shared" si="3"/>
        <v/>
      </c>
    </row>
    <row r="3742" spans="31:36">
      <c r="AE3742" s="15" t="str">
        <f t="shared" si="0"/>
        <v/>
      </c>
      <c r="AF3742" s="15" t="str">
        <f t="shared" si="1"/>
        <v/>
      </c>
      <c r="AG3742" s="15" t="str">
        <f>IF(OR(AF3742="",AF3742="ERRO_CHAVE"),"",IFERROR(MATCH(AF3742,'quitado Despesa'!$V$1:$V$12,0),""))</f>
        <v/>
      </c>
      <c r="AH3742" s="15" t="str">
        <f t="shared" si="2"/>
        <v/>
      </c>
      <c r="AI3742" s="17" t="str">
        <f>IF(AG3742="","",INDEX('quitado Despesa'!$G$1:$G$12,AG3742))</f>
        <v/>
      </c>
      <c r="AJ3742" s="17" t="str">
        <f t="shared" si="3"/>
        <v/>
      </c>
    </row>
    <row r="3743" spans="31:36">
      <c r="AE3743" s="15" t="str">
        <f t="shared" si="0"/>
        <v/>
      </c>
      <c r="AF3743" s="15" t="str">
        <f t="shared" si="1"/>
        <v/>
      </c>
      <c r="AG3743" s="15" t="str">
        <f>IF(OR(AF3743="",AF3743="ERRO_CHAVE"),"",IFERROR(MATCH(AF3743,'quitado Despesa'!$V$1:$V$12,0),""))</f>
        <v/>
      </c>
      <c r="AH3743" s="15" t="str">
        <f t="shared" si="2"/>
        <v/>
      </c>
      <c r="AI3743" s="17" t="str">
        <f>IF(AG3743="","",INDEX('quitado Despesa'!$G$1:$G$12,AG3743))</f>
        <v/>
      </c>
      <c r="AJ3743" s="17" t="str">
        <f t="shared" si="3"/>
        <v/>
      </c>
    </row>
    <row r="3744" spans="31:36">
      <c r="AE3744" s="15" t="str">
        <f t="shared" si="0"/>
        <v/>
      </c>
      <c r="AF3744" s="15" t="str">
        <f t="shared" si="1"/>
        <v/>
      </c>
      <c r="AG3744" s="15" t="str">
        <f>IF(OR(AF3744="",AF3744="ERRO_CHAVE"),"",IFERROR(MATCH(AF3744,'quitado Despesa'!$V$1:$V$12,0),""))</f>
        <v/>
      </c>
      <c r="AH3744" s="15" t="str">
        <f t="shared" si="2"/>
        <v/>
      </c>
      <c r="AI3744" s="17" t="str">
        <f>IF(AG3744="","",INDEX('quitado Despesa'!$G$1:$G$12,AG3744))</f>
        <v/>
      </c>
      <c r="AJ3744" s="17" t="str">
        <f t="shared" si="3"/>
        <v/>
      </c>
    </row>
    <row r="3745" spans="31:36">
      <c r="AE3745" s="15" t="str">
        <f t="shared" si="0"/>
        <v/>
      </c>
      <c r="AF3745" s="15" t="str">
        <f t="shared" si="1"/>
        <v/>
      </c>
      <c r="AG3745" s="15" t="str">
        <f>IF(OR(AF3745="",AF3745="ERRO_CHAVE"),"",IFERROR(MATCH(AF3745,'quitado Despesa'!$V$1:$V$12,0),""))</f>
        <v/>
      </c>
      <c r="AH3745" s="15" t="str">
        <f t="shared" si="2"/>
        <v/>
      </c>
      <c r="AI3745" s="17" t="str">
        <f>IF(AG3745="","",INDEX('quitado Despesa'!$G$1:$G$12,AG3745))</f>
        <v/>
      </c>
      <c r="AJ3745" s="17" t="str">
        <f t="shared" si="3"/>
        <v/>
      </c>
    </row>
    <row r="3746" spans="31:36">
      <c r="AE3746" s="15" t="str">
        <f t="shared" si="0"/>
        <v/>
      </c>
      <c r="AF3746" s="15" t="str">
        <f t="shared" si="1"/>
        <v/>
      </c>
      <c r="AG3746" s="15" t="str">
        <f>IF(OR(AF3746="",AF3746="ERRO_CHAVE"),"",IFERROR(MATCH(AF3746,'quitado Despesa'!$V$1:$V$12,0),""))</f>
        <v/>
      </c>
      <c r="AH3746" s="15" t="str">
        <f t="shared" si="2"/>
        <v/>
      </c>
      <c r="AI3746" s="17" t="str">
        <f>IF(AG3746="","",INDEX('quitado Despesa'!$G$1:$G$12,AG3746))</f>
        <v/>
      </c>
      <c r="AJ3746" s="17" t="str">
        <f t="shared" si="3"/>
        <v/>
      </c>
    </row>
    <row r="3747" spans="31:36">
      <c r="AE3747" s="15" t="str">
        <f t="shared" si="0"/>
        <v/>
      </c>
      <c r="AF3747" s="15" t="str">
        <f t="shared" si="1"/>
        <v/>
      </c>
      <c r="AG3747" s="15" t="str">
        <f>IF(OR(AF3747="",AF3747="ERRO_CHAVE"),"",IFERROR(MATCH(AF3747,'quitado Despesa'!$V$1:$V$12,0),""))</f>
        <v/>
      </c>
      <c r="AH3747" s="15" t="str">
        <f t="shared" si="2"/>
        <v/>
      </c>
      <c r="AI3747" s="17" t="str">
        <f>IF(AG3747="","",INDEX('quitado Despesa'!$G$1:$G$12,AG3747))</f>
        <v/>
      </c>
      <c r="AJ3747" s="17" t="str">
        <f t="shared" si="3"/>
        <v/>
      </c>
    </row>
    <row r="3748" spans="31:36">
      <c r="AE3748" s="15" t="str">
        <f t="shared" si="0"/>
        <v/>
      </c>
      <c r="AF3748" s="15" t="str">
        <f t="shared" si="1"/>
        <v/>
      </c>
      <c r="AG3748" s="15" t="str">
        <f>IF(OR(AF3748="",AF3748="ERRO_CHAVE"),"",IFERROR(MATCH(AF3748,'quitado Despesa'!$V$1:$V$12,0),""))</f>
        <v/>
      </c>
      <c r="AH3748" s="15" t="str">
        <f t="shared" si="2"/>
        <v/>
      </c>
      <c r="AI3748" s="17" t="str">
        <f>IF(AG3748="","",INDEX('quitado Despesa'!$G$1:$G$12,AG3748))</f>
        <v/>
      </c>
      <c r="AJ3748" s="17" t="str">
        <f t="shared" si="3"/>
        <v/>
      </c>
    </row>
    <row r="3749" spans="31:36">
      <c r="AE3749" s="15" t="str">
        <f t="shared" si="0"/>
        <v/>
      </c>
      <c r="AF3749" s="15" t="str">
        <f t="shared" si="1"/>
        <v/>
      </c>
      <c r="AG3749" s="15" t="str">
        <f>IF(OR(AF3749="",AF3749="ERRO_CHAVE"),"",IFERROR(MATCH(AF3749,'quitado Despesa'!$V$1:$V$12,0),""))</f>
        <v/>
      </c>
      <c r="AH3749" s="15" t="str">
        <f t="shared" si="2"/>
        <v/>
      </c>
      <c r="AI3749" s="17" t="str">
        <f>IF(AG3749="","",INDEX('quitado Despesa'!$G$1:$G$12,AG3749))</f>
        <v/>
      </c>
      <c r="AJ3749" s="17" t="str">
        <f t="shared" si="3"/>
        <v/>
      </c>
    </row>
    <row r="3750" spans="31:36">
      <c r="AE3750" s="15" t="str">
        <f t="shared" si="0"/>
        <v/>
      </c>
      <c r="AF3750" s="15" t="str">
        <f t="shared" si="1"/>
        <v/>
      </c>
      <c r="AG3750" s="15" t="str">
        <f>IF(OR(AF3750="",AF3750="ERRO_CHAVE"),"",IFERROR(MATCH(AF3750,'quitado Despesa'!$V$1:$V$12,0),""))</f>
        <v/>
      </c>
      <c r="AH3750" s="15" t="str">
        <f t="shared" si="2"/>
        <v/>
      </c>
      <c r="AI3750" s="17" t="str">
        <f>IF(AG3750="","",INDEX('quitado Despesa'!$G$1:$G$12,AG3750))</f>
        <v/>
      </c>
      <c r="AJ3750" s="17" t="str">
        <f t="shared" si="3"/>
        <v/>
      </c>
    </row>
    <row r="3751" spans="31:36">
      <c r="AE3751" s="15" t="str">
        <f t="shared" si="0"/>
        <v/>
      </c>
      <c r="AF3751" s="15" t="str">
        <f t="shared" si="1"/>
        <v/>
      </c>
      <c r="AG3751" s="15" t="str">
        <f>IF(OR(AF3751="",AF3751="ERRO_CHAVE"),"",IFERROR(MATCH(AF3751,'quitado Despesa'!$V$1:$V$12,0),""))</f>
        <v/>
      </c>
      <c r="AH3751" s="15" t="str">
        <f t="shared" si="2"/>
        <v/>
      </c>
      <c r="AI3751" s="17" t="str">
        <f>IF(AG3751="","",INDEX('quitado Despesa'!$G$1:$G$12,AG3751))</f>
        <v/>
      </c>
      <c r="AJ3751" s="17" t="str">
        <f t="shared" si="3"/>
        <v/>
      </c>
    </row>
    <row r="3752" spans="31:36">
      <c r="AE3752" s="15" t="str">
        <f t="shared" si="0"/>
        <v/>
      </c>
      <c r="AF3752" s="15" t="str">
        <f t="shared" si="1"/>
        <v/>
      </c>
      <c r="AG3752" s="15" t="str">
        <f>IF(OR(AF3752="",AF3752="ERRO_CHAVE"),"",IFERROR(MATCH(AF3752,'quitado Despesa'!$V$1:$V$12,0),""))</f>
        <v/>
      </c>
      <c r="AH3752" s="15" t="str">
        <f t="shared" si="2"/>
        <v/>
      </c>
      <c r="AI3752" s="17" t="str">
        <f>IF(AG3752="","",INDEX('quitado Despesa'!$G$1:$G$12,AG3752))</f>
        <v/>
      </c>
      <c r="AJ3752" s="17" t="str">
        <f t="shared" si="3"/>
        <v/>
      </c>
    </row>
    <row r="3753" spans="31:36">
      <c r="AE3753" s="15" t="str">
        <f t="shared" si="0"/>
        <v/>
      </c>
      <c r="AF3753" s="15" t="str">
        <f t="shared" si="1"/>
        <v/>
      </c>
      <c r="AG3753" s="15" t="str">
        <f>IF(OR(AF3753="",AF3753="ERRO_CHAVE"),"",IFERROR(MATCH(AF3753,'quitado Despesa'!$V$1:$V$12,0),""))</f>
        <v/>
      </c>
      <c r="AH3753" s="15" t="str">
        <f t="shared" si="2"/>
        <v/>
      </c>
      <c r="AI3753" s="17" t="str">
        <f>IF(AG3753="","",INDEX('quitado Despesa'!$G$1:$G$12,AG3753))</f>
        <v/>
      </c>
      <c r="AJ3753" s="17" t="str">
        <f t="shared" si="3"/>
        <v/>
      </c>
    </row>
    <row r="3754" spans="31:36">
      <c r="AE3754" s="15" t="str">
        <f t="shared" si="0"/>
        <v/>
      </c>
      <c r="AF3754" s="15" t="str">
        <f t="shared" si="1"/>
        <v/>
      </c>
      <c r="AG3754" s="15" t="str">
        <f>IF(OR(AF3754="",AF3754="ERRO_CHAVE"),"",IFERROR(MATCH(AF3754,'quitado Despesa'!$V$1:$V$12,0),""))</f>
        <v/>
      </c>
      <c r="AH3754" s="15" t="str">
        <f t="shared" si="2"/>
        <v/>
      </c>
      <c r="AI3754" s="17" t="str">
        <f>IF(AG3754="","",INDEX('quitado Despesa'!$G$1:$G$12,AG3754))</f>
        <v/>
      </c>
      <c r="AJ3754" s="17" t="str">
        <f t="shared" si="3"/>
        <v/>
      </c>
    </row>
    <row r="3755" spans="31:36">
      <c r="AE3755" s="15" t="str">
        <f t="shared" si="0"/>
        <v/>
      </c>
      <c r="AF3755" s="15" t="str">
        <f t="shared" si="1"/>
        <v/>
      </c>
      <c r="AG3755" s="15" t="str">
        <f>IF(OR(AF3755="",AF3755="ERRO_CHAVE"),"",IFERROR(MATCH(AF3755,'quitado Despesa'!$V$1:$V$12,0),""))</f>
        <v/>
      </c>
      <c r="AH3755" s="15" t="str">
        <f t="shared" si="2"/>
        <v/>
      </c>
      <c r="AI3755" s="17" t="str">
        <f>IF(AG3755="","",INDEX('quitado Despesa'!$G$1:$G$12,AG3755))</f>
        <v/>
      </c>
      <c r="AJ3755" s="17" t="str">
        <f t="shared" si="3"/>
        <v/>
      </c>
    </row>
    <row r="3756" spans="31:36">
      <c r="AE3756" s="15" t="str">
        <f t="shared" si="0"/>
        <v/>
      </c>
      <c r="AF3756" s="15" t="str">
        <f t="shared" si="1"/>
        <v/>
      </c>
      <c r="AG3756" s="15" t="str">
        <f>IF(OR(AF3756="",AF3756="ERRO_CHAVE"),"",IFERROR(MATCH(AF3756,'quitado Despesa'!$V$1:$V$12,0),""))</f>
        <v/>
      </c>
      <c r="AH3756" s="15" t="str">
        <f t="shared" si="2"/>
        <v/>
      </c>
      <c r="AI3756" s="17" t="str">
        <f>IF(AG3756="","",INDEX('quitado Despesa'!$G$1:$G$12,AG3756))</f>
        <v/>
      </c>
      <c r="AJ3756" s="17" t="str">
        <f t="shared" si="3"/>
        <v/>
      </c>
    </row>
    <row r="3757" spans="31:36">
      <c r="AE3757" s="15" t="str">
        <f t="shared" si="0"/>
        <v/>
      </c>
      <c r="AF3757" s="15" t="str">
        <f t="shared" si="1"/>
        <v/>
      </c>
      <c r="AG3757" s="15" t="str">
        <f>IF(OR(AF3757="",AF3757="ERRO_CHAVE"),"",IFERROR(MATCH(AF3757,'quitado Despesa'!$V$1:$V$12,0),""))</f>
        <v/>
      </c>
      <c r="AH3757" s="15" t="str">
        <f t="shared" si="2"/>
        <v/>
      </c>
      <c r="AI3757" s="17" t="str">
        <f>IF(AG3757="","",INDEX('quitado Despesa'!$G$1:$G$12,AG3757))</f>
        <v/>
      </c>
      <c r="AJ3757" s="17" t="str">
        <f t="shared" si="3"/>
        <v/>
      </c>
    </row>
    <row r="3758" spans="31:36">
      <c r="AE3758" s="15" t="str">
        <f t="shared" si="0"/>
        <v/>
      </c>
      <c r="AF3758" s="15" t="str">
        <f t="shared" si="1"/>
        <v/>
      </c>
      <c r="AG3758" s="15" t="str">
        <f>IF(OR(AF3758="",AF3758="ERRO_CHAVE"),"",IFERROR(MATCH(AF3758,'quitado Despesa'!$V$1:$V$12,0),""))</f>
        <v/>
      </c>
      <c r="AH3758" s="15" t="str">
        <f t="shared" si="2"/>
        <v/>
      </c>
      <c r="AI3758" s="17" t="str">
        <f>IF(AG3758="","",INDEX('quitado Despesa'!$G$1:$G$12,AG3758))</f>
        <v/>
      </c>
      <c r="AJ3758" s="17" t="str">
        <f t="shared" si="3"/>
        <v/>
      </c>
    </row>
    <row r="3759" spans="31:36">
      <c r="AE3759" s="15" t="str">
        <f t="shared" si="0"/>
        <v/>
      </c>
      <c r="AF3759" s="15" t="str">
        <f t="shared" si="1"/>
        <v/>
      </c>
      <c r="AG3759" s="15" t="str">
        <f>IF(OR(AF3759="",AF3759="ERRO_CHAVE"),"",IFERROR(MATCH(AF3759,'quitado Despesa'!$V$1:$V$12,0),""))</f>
        <v/>
      </c>
      <c r="AH3759" s="15" t="str">
        <f t="shared" si="2"/>
        <v/>
      </c>
      <c r="AI3759" s="17" t="str">
        <f>IF(AG3759="","",INDEX('quitado Despesa'!$G$1:$G$12,AG3759))</f>
        <v/>
      </c>
      <c r="AJ3759" s="17" t="str">
        <f t="shared" si="3"/>
        <v/>
      </c>
    </row>
    <row r="3760" spans="31:36">
      <c r="AE3760" s="15" t="str">
        <f t="shared" si="0"/>
        <v/>
      </c>
      <c r="AF3760" s="15" t="str">
        <f t="shared" si="1"/>
        <v/>
      </c>
      <c r="AG3760" s="15" t="str">
        <f>IF(OR(AF3760="",AF3760="ERRO_CHAVE"),"",IFERROR(MATCH(AF3760,'quitado Despesa'!$V$1:$V$12,0),""))</f>
        <v/>
      </c>
      <c r="AH3760" s="15" t="str">
        <f t="shared" si="2"/>
        <v/>
      </c>
      <c r="AI3760" s="17" t="str">
        <f>IF(AG3760="","",INDEX('quitado Despesa'!$G$1:$G$12,AG3760))</f>
        <v/>
      </c>
      <c r="AJ3760" s="17" t="str">
        <f t="shared" si="3"/>
        <v/>
      </c>
    </row>
    <row r="3761" spans="31:36">
      <c r="AE3761" s="15" t="str">
        <f t="shared" si="0"/>
        <v/>
      </c>
      <c r="AF3761" s="15" t="str">
        <f t="shared" si="1"/>
        <v/>
      </c>
      <c r="AG3761" s="15" t="str">
        <f>IF(OR(AF3761="",AF3761="ERRO_CHAVE"),"",IFERROR(MATCH(AF3761,'quitado Despesa'!$V$1:$V$12,0),""))</f>
        <v/>
      </c>
      <c r="AH3761" s="15" t="str">
        <f t="shared" si="2"/>
        <v/>
      </c>
      <c r="AI3761" s="17" t="str">
        <f>IF(AG3761="","",INDEX('quitado Despesa'!$G$1:$G$12,AG3761))</f>
        <v/>
      </c>
      <c r="AJ3761" s="17" t="str">
        <f t="shared" si="3"/>
        <v/>
      </c>
    </row>
    <row r="3762" spans="31:36">
      <c r="AE3762" s="15" t="str">
        <f t="shared" si="0"/>
        <v/>
      </c>
      <c r="AF3762" s="15" t="str">
        <f t="shared" si="1"/>
        <v/>
      </c>
      <c r="AG3762" s="15" t="str">
        <f>IF(OR(AF3762="",AF3762="ERRO_CHAVE"),"",IFERROR(MATCH(AF3762,'quitado Despesa'!$V$1:$V$12,0),""))</f>
        <v/>
      </c>
      <c r="AH3762" s="15" t="str">
        <f t="shared" si="2"/>
        <v/>
      </c>
      <c r="AI3762" s="17" t="str">
        <f>IF(AG3762="","",INDEX('quitado Despesa'!$G$1:$G$12,AG3762))</f>
        <v/>
      </c>
      <c r="AJ3762" s="17" t="str">
        <f t="shared" si="3"/>
        <v/>
      </c>
    </row>
    <row r="3763" spans="31:36">
      <c r="AE3763" s="15" t="str">
        <f t="shared" si="0"/>
        <v/>
      </c>
      <c r="AF3763" s="15" t="str">
        <f t="shared" si="1"/>
        <v/>
      </c>
      <c r="AG3763" s="15" t="str">
        <f>IF(OR(AF3763="",AF3763="ERRO_CHAVE"),"",IFERROR(MATCH(AF3763,'quitado Despesa'!$V$1:$V$12,0),""))</f>
        <v/>
      </c>
      <c r="AH3763" s="15" t="str">
        <f t="shared" si="2"/>
        <v/>
      </c>
      <c r="AI3763" s="17" t="str">
        <f>IF(AG3763="","",INDEX('quitado Despesa'!$G$1:$G$12,AG3763))</f>
        <v/>
      </c>
      <c r="AJ3763" s="17" t="str">
        <f t="shared" si="3"/>
        <v/>
      </c>
    </row>
    <row r="3764" spans="31:36">
      <c r="AE3764" s="15" t="str">
        <f t="shared" si="0"/>
        <v/>
      </c>
      <c r="AF3764" s="15" t="str">
        <f t="shared" si="1"/>
        <v/>
      </c>
      <c r="AG3764" s="15" t="str">
        <f>IF(OR(AF3764="",AF3764="ERRO_CHAVE"),"",IFERROR(MATCH(AF3764,'quitado Despesa'!$V$1:$V$12,0),""))</f>
        <v/>
      </c>
      <c r="AH3764" s="15" t="str">
        <f t="shared" si="2"/>
        <v/>
      </c>
      <c r="AI3764" s="17" t="str">
        <f>IF(AG3764="","",INDEX('quitado Despesa'!$G$1:$G$12,AG3764))</f>
        <v/>
      </c>
      <c r="AJ3764" s="17" t="str">
        <f t="shared" si="3"/>
        <v/>
      </c>
    </row>
    <row r="3765" spans="31:36">
      <c r="AE3765" s="15" t="str">
        <f t="shared" si="0"/>
        <v/>
      </c>
      <c r="AF3765" s="15" t="str">
        <f t="shared" si="1"/>
        <v/>
      </c>
      <c r="AG3765" s="15" t="str">
        <f>IF(OR(AF3765="",AF3765="ERRO_CHAVE"),"",IFERROR(MATCH(AF3765,'quitado Despesa'!$V$1:$V$12,0),""))</f>
        <v/>
      </c>
      <c r="AH3765" s="15" t="str">
        <f t="shared" si="2"/>
        <v/>
      </c>
      <c r="AI3765" s="17" t="str">
        <f>IF(AG3765="","",INDEX('quitado Despesa'!$G$1:$G$12,AG3765))</f>
        <v/>
      </c>
      <c r="AJ3765" s="17" t="str">
        <f t="shared" si="3"/>
        <v/>
      </c>
    </row>
    <row r="3766" spans="31:36">
      <c r="AE3766" s="15" t="str">
        <f t="shared" si="0"/>
        <v/>
      </c>
      <c r="AF3766" s="15" t="str">
        <f t="shared" si="1"/>
        <v/>
      </c>
      <c r="AG3766" s="15" t="str">
        <f>IF(OR(AF3766="",AF3766="ERRO_CHAVE"),"",IFERROR(MATCH(AF3766,'quitado Despesa'!$V$1:$V$12,0),""))</f>
        <v/>
      </c>
      <c r="AH3766" s="15" t="str">
        <f t="shared" si="2"/>
        <v/>
      </c>
      <c r="AI3766" s="17" t="str">
        <f>IF(AG3766="","",INDEX('quitado Despesa'!$G$1:$G$12,AG3766))</f>
        <v/>
      </c>
      <c r="AJ3766" s="17" t="str">
        <f t="shared" si="3"/>
        <v/>
      </c>
    </row>
    <row r="3767" spans="31:36">
      <c r="AE3767" s="15" t="str">
        <f t="shared" si="0"/>
        <v/>
      </c>
      <c r="AF3767" s="15" t="str">
        <f t="shared" si="1"/>
        <v/>
      </c>
      <c r="AG3767" s="15" t="str">
        <f>IF(OR(AF3767="",AF3767="ERRO_CHAVE"),"",IFERROR(MATCH(AF3767,'quitado Despesa'!$V$1:$V$12,0),""))</f>
        <v/>
      </c>
      <c r="AH3767" s="15" t="str">
        <f t="shared" si="2"/>
        <v/>
      </c>
      <c r="AI3767" s="17" t="str">
        <f>IF(AG3767="","",INDEX('quitado Despesa'!$G$1:$G$12,AG3767))</f>
        <v/>
      </c>
      <c r="AJ3767" s="17" t="str">
        <f t="shared" si="3"/>
        <v/>
      </c>
    </row>
    <row r="3768" spans="31:36">
      <c r="AE3768" s="15" t="str">
        <f t="shared" si="0"/>
        <v/>
      </c>
      <c r="AF3768" s="15" t="str">
        <f t="shared" si="1"/>
        <v/>
      </c>
      <c r="AG3768" s="15" t="str">
        <f>IF(OR(AF3768="",AF3768="ERRO_CHAVE"),"",IFERROR(MATCH(AF3768,'quitado Despesa'!$V$1:$V$12,0),""))</f>
        <v/>
      </c>
      <c r="AH3768" s="15" t="str">
        <f t="shared" si="2"/>
        <v/>
      </c>
      <c r="AI3768" s="17" t="str">
        <f>IF(AG3768="","",INDEX('quitado Despesa'!$G$1:$G$12,AG3768))</f>
        <v/>
      </c>
      <c r="AJ3768" s="17" t="str">
        <f t="shared" si="3"/>
        <v/>
      </c>
    </row>
    <row r="3769" spans="31:36">
      <c r="AE3769" s="15" t="str">
        <f t="shared" si="0"/>
        <v/>
      </c>
      <c r="AF3769" s="15" t="str">
        <f t="shared" si="1"/>
        <v/>
      </c>
      <c r="AG3769" s="15" t="str">
        <f>IF(OR(AF3769="",AF3769="ERRO_CHAVE"),"",IFERROR(MATCH(AF3769,'quitado Despesa'!$V$1:$V$12,0),""))</f>
        <v/>
      </c>
      <c r="AH3769" s="15" t="str">
        <f t="shared" si="2"/>
        <v/>
      </c>
      <c r="AI3769" s="17" t="str">
        <f>IF(AG3769="","",INDEX('quitado Despesa'!$G$1:$G$12,AG3769))</f>
        <v/>
      </c>
      <c r="AJ3769" s="17" t="str">
        <f t="shared" si="3"/>
        <v/>
      </c>
    </row>
    <row r="3770" spans="31:36">
      <c r="AE3770" s="15" t="str">
        <f t="shared" si="0"/>
        <v/>
      </c>
      <c r="AF3770" s="15" t="str">
        <f t="shared" si="1"/>
        <v/>
      </c>
      <c r="AG3770" s="15" t="str">
        <f>IF(OR(AF3770="",AF3770="ERRO_CHAVE"),"",IFERROR(MATCH(AF3770,'quitado Despesa'!$V$1:$V$12,0),""))</f>
        <v/>
      </c>
      <c r="AH3770" s="15" t="str">
        <f t="shared" si="2"/>
        <v/>
      </c>
      <c r="AI3770" s="17" t="str">
        <f>IF(AG3770="","",INDEX('quitado Despesa'!$G$1:$G$12,AG3770))</f>
        <v/>
      </c>
      <c r="AJ3770" s="17" t="str">
        <f t="shared" si="3"/>
        <v/>
      </c>
    </row>
    <row r="3771" spans="31:36">
      <c r="AE3771" s="15" t="str">
        <f t="shared" si="0"/>
        <v/>
      </c>
      <c r="AF3771" s="15" t="str">
        <f t="shared" si="1"/>
        <v/>
      </c>
      <c r="AG3771" s="15" t="str">
        <f>IF(OR(AF3771="",AF3771="ERRO_CHAVE"),"",IFERROR(MATCH(AF3771,'quitado Despesa'!$V$1:$V$12,0),""))</f>
        <v/>
      </c>
      <c r="AH3771" s="15" t="str">
        <f t="shared" si="2"/>
        <v/>
      </c>
      <c r="AI3771" s="17" t="str">
        <f>IF(AG3771="","",INDEX('quitado Despesa'!$G$1:$G$12,AG3771))</f>
        <v/>
      </c>
      <c r="AJ3771" s="17" t="str">
        <f t="shared" si="3"/>
        <v/>
      </c>
    </row>
    <row r="3772" spans="31:36">
      <c r="AE3772" s="15" t="str">
        <f t="shared" si="0"/>
        <v/>
      </c>
      <c r="AF3772" s="15" t="str">
        <f t="shared" si="1"/>
        <v/>
      </c>
      <c r="AG3772" s="15" t="str">
        <f>IF(OR(AF3772="",AF3772="ERRO_CHAVE"),"",IFERROR(MATCH(AF3772,'quitado Despesa'!$V$1:$V$12,0),""))</f>
        <v/>
      </c>
      <c r="AH3772" s="15" t="str">
        <f t="shared" si="2"/>
        <v/>
      </c>
      <c r="AI3772" s="17" t="str">
        <f>IF(AG3772="","",INDEX('quitado Despesa'!$G$1:$G$12,AG3772))</f>
        <v/>
      </c>
      <c r="AJ3772" s="17" t="str">
        <f t="shared" si="3"/>
        <v/>
      </c>
    </row>
    <row r="3773" spans="31:36">
      <c r="AE3773" s="15" t="str">
        <f t="shared" si="0"/>
        <v/>
      </c>
      <c r="AF3773" s="15" t="str">
        <f t="shared" si="1"/>
        <v/>
      </c>
      <c r="AG3773" s="15" t="str">
        <f>IF(OR(AF3773="",AF3773="ERRO_CHAVE"),"",IFERROR(MATCH(AF3773,'quitado Despesa'!$V$1:$V$12,0),""))</f>
        <v/>
      </c>
      <c r="AH3773" s="15" t="str">
        <f t="shared" si="2"/>
        <v/>
      </c>
      <c r="AI3773" s="17" t="str">
        <f>IF(AG3773="","",INDEX('quitado Despesa'!$G$1:$G$12,AG3773))</f>
        <v/>
      </c>
      <c r="AJ3773" s="17" t="str">
        <f t="shared" si="3"/>
        <v/>
      </c>
    </row>
    <row r="3774" spans="31:36">
      <c r="AE3774" s="15" t="str">
        <f t="shared" si="0"/>
        <v/>
      </c>
      <c r="AF3774" s="15" t="str">
        <f t="shared" si="1"/>
        <v/>
      </c>
      <c r="AG3774" s="15" t="str">
        <f>IF(OR(AF3774="",AF3774="ERRO_CHAVE"),"",IFERROR(MATCH(AF3774,'quitado Despesa'!$V$1:$V$12,0),""))</f>
        <v/>
      </c>
      <c r="AH3774" s="15" t="str">
        <f t="shared" si="2"/>
        <v/>
      </c>
      <c r="AI3774" s="17" t="str">
        <f>IF(AG3774="","",INDEX('quitado Despesa'!$G$1:$G$12,AG3774))</f>
        <v/>
      </c>
      <c r="AJ3774" s="17" t="str">
        <f t="shared" si="3"/>
        <v/>
      </c>
    </row>
    <row r="3775" spans="31:36">
      <c r="AE3775" s="15" t="str">
        <f t="shared" si="0"/>
        <v/>
      </c>
      <c r="AF3775" s="15" t="str">
        <f t="shared" si="1"/>
        <v/>
      </c>
      <c r="AG3775" s="15" t="str">
        <f>IF(OR(AF3775="",AF3775="ERRO_CHAVE"),"",IFERROR(MATCH(AF3775,'quitado Despesa'!$V$1:$V$12,0),""))</f>
        <v/>
      </c>
      <c r="AH3775" s="15" t="str">
        <f t="shared" si="2"/>
        <v/>
      </c>
      <c r="AI3775" s="17" t="str">
        <f>IF(AG3775="","",INDEX('quitado Despesa'!$G$1:$G$12,AG3775))</f>
        <v/>
      </c>
      <c r="AJ3775" s="17" t="str">
        <f t="shared" si="3"/>
        <v/>
      </c>
    </row>
    <row r="3776" spans="31:36">
      <c r="AE3776" s="15" t="str">
        <f t="shared" si="0"/>
        <v/>
      </c>
      <c r="AF3776" s="15" t="str">
        <f t="shared" si="1"/>
        <v/>
      </c>
      <c r="AG3776" s="15" t="str">
        <f>IF(OR(AF3776="",AF3776="ERRO_CHAVE"),"",IFERROR(MATCH(AF3776,'quitado Despesa'!$V$1:$V$12,0),""))</f>
        <v/>
      </c>
      <c r="AH3776" s="15" t="str">
        <f t="shared" si="2"/>
        <v/>
      </c>
      <c r="AI3776" s="17" t="str">
        <f>IF(AG3776="","",INDEX('quitado Despesa'!$G$1:$G$12,AG3776))</f>
        <v/>
      </c>
      <c r="AJ3776" s="17" t="str">
        <f t="shared" si="3"/>
        <v/>
      </c>
    </row>
    <row r="3777" spans="31:36">
      <c r="AE3777" s="15" t="str">
        <f t="shared" si="0"/>
        <v/>
      </c>
      <c r="AF3777" s="15" t="str">
        <f t="shared" si="1"/>
        <v/>
      </c>
      <c r="AG3777" s="15" t="str">
        <f>IF(OR(AF3777="",AF3777="ERRO_CHAVE"),"",IFERROR(MATCH(AF3777,'quitado Despesa'!$V$1:$V$12,0),""))</f>
        <v/>
      </c>
      <c r="AH3777" s="15" t="str">
        <f t="shared" si="2"/>
        <v/>
      </c>
      <c r="AI3777" s="17" t="str">
        <f>IF(AG3777="","",INDEX('quitado Despesa'!$G$1:$G$12,AG3777))</f>
        <v/>
      </c>
      <c r="AJ3777" s="17" t="str">
        <f t="shared" si="3"/>
        <v/>
      </c>
    </row>
    <row r="3778" spans="31:36">
      <c r="AE3778" s="15" t="str">
        <f t="shared" si="0"/>
        <v/>
      </c>
      <c r="AF3778" s="15" t="str">
        <f t="shared" si="1"/>
        <v/>
      </c>
      <c r="AG3778" s="15" t="str">
        <f>IF(OR(AF3778="",AF3778="ERRO_CHAVE"),"",IFERROR(MATCH(AF3778,'quitado Despesa'!$V$1:$V$12,0),""))</f>
        <v/>
      </c>
      <c r="AH3778" s="15" t="str">
        <f t="shared" si="2"/>
        <v/>
      </c>
      <c r="AI3778" s="17" t="str">
        <f>IF(AG3778="","",INDEX('quitado Despesa'!$G$1:$G$12,AG3778))</f>
        <v/>
      </c>
      <c r="AJ3778" s="17" t="str">
        <f t="shared" si="3"/>
        <v/>
      </c>
    </row>
    <row r="3779" spans="31:36">
      <c r="AE3779" s="15" t="str">
        <f t="shared" si="0"/>
        <v/>
      </c>
      <c r="AF3779" s="15" t="str">
        <f t="shared" si="1"/>
        <v/>
      </c>
      <c r="AG3779" s="15" t="str">
        <f>IF(OR(AF3779="",AF3779="ERRO_CHAVE"),"",IFERROR(MATCH(AF3779,'quitado Despesa'!$V$1:$V$12,0),""))</f>
        <v/>
      </c>
      <c r="AH3779" s="15" t="str">
        <f t="shared" si="2"/>
        <v/>
      </c>
      <c r="AI3779" s="17" t="str">
        <f>IF(AG3779="","",INDEX('quitado Despesa'!$G$1:$G$12,AG3779))</f>
        <v/>
      </c>
      <c r="AJ3779" s="17" t="str">
        <f t="shared" si="3"/>
        <v/>
      </c>
    </row>
    <row r="3780" spans="31:36">
      <c r="AE3780" s="15" t="str">
        <f t="shared" si="0"/>
        <v/>
      </c>
      <c r="AF3780" s="15" t="str">
        <f t="shared" si="1"/>
        <v/>
      </c>
      <c r="AG3780" s="15" t="str">
        <f>IF(OR(AF3780="",AF3780="ERRO_CHAVE"),"",IFERROR(MATCH(AF3780,'quitado Despesa'!$V$1:$V$12,0),""))</f>
        <v/>
      </c>
      <c r="AH3780" s="15" t="str">
        <f t="shared" si="2"/>
        <v/>
      </c>
      <c r="AI3780" s="17" t="str">
        <f>IF(AG3780="","",INDEX('quitado Despesa'!$G$1:$G$12,AG3780))</f>
        <v/>
      </c>
      <c r="AJ3780" s="17" t="str">
        <f t="shared" si="3"/>
        <v/>
      </c>
    </row>
    <row r="3781" spans="31:36">
      <c r="AE3781" s="15" t="str">
        <f t="shared" si="0"/>
        <v/>
      </c>
      <c r="AF3781" s="15" t="str">
        <f t="shared" si="1"/>
        <v/>
      </c>
      <c r="AG3781" s="15" t="str">
        <f>IF(OR(AF3781="",AF3781="ERRO_CHAVE"),"",IFERROR(MATCH(AF3781,'quitado Despesa'!$V$1:$V$12,0),""))</f>
        <v/>
      </c>
      <c r="AH3781" s="15" t="str">
        <f t="shared" si="2"/>
        <v/>
      </c>
      <c r="AI3781" s="17" t="str">
        <f>IF(AG3781="","",INDEX('quitado Despesa'!$G$1:$G$12,AG3781))</f>
        <v/>
      </c>
      <c r="AJ3781" s="17" t="str">
        <f t="shared" si="3"/>
        <v/>
      </c>
    </row>
    <row r="3782" spans="31:36">
      <c r="AE3782" s="15" t="str">
        <f t="shared" si="0"/>
        <v/>
      </c>
      <c r="AF3782" s="15" t="str">
        <f t="shared" si="1"/>
        <v/>
      </c>
      <c r="AG3782" s="15" t="str">
        <f>IF(OR(AF3782="",AF3782="ERRO_CHAVE"),"",IFERROR(MATCH(AF3782,'quitado Despesa'!$V$1:$V$12,0),""))</f>
        <v/>
      </c>
      <c r="AH3782" s="15" t="str">
        <f t="shared" si="2"/>
        <v/>
      </c>
      <c r="AI3782" s="17" t="str">
        <f>IF(AG3782="","",INDEX('quitado Despesa'!$G$1:$G$12,AG3782))</f>
        <v/>
      </c>
      <c r="AJ3782" s="17" t="str">
        <f t="shared" si="3"/>
        <v/>
      </c>
    </row>
    <row r="3783" spans="31:36">
      <c r="AE3783" s="15" t="str">
        <f t="shared" si="0"/>
        <v/>
      </c>
      <c r="AF3783" s="15" t="str">
        <f t="shared" si="1"/>
        <v/>
      </c>
      <c r="AG3783" s="15" t="str">
        <f>IF(OR(AF3783="",AF3783="ERRO_CHAVE"),"",IFERROR(MATCH(AF3783,'quitado Despesa'!$V$1:$V$12,0),""))</f>
        <v/>
      </c>
      <c r="AH3783" s="15" t="str">
        <f t="shared" si="2"/>
        <v/>
      </c>
      <c r="AI3783" s="17" t="str">
        <f>IF(AG3783="","",INDEX('quitado Despesa'!$G$1:$G$12,AG3783))</f>
        <v/>
      </c>
      <c r="AJ3783" s="17" t="str">
        <f t="shared" si="3"/>
        <v/>
      </c>
    </row>
    <row r="3784" spans="31:36">
      <c r="AE3784" s="15" t="str">
        <f t="shared" si="0"/>
        <v/>
      </c>
      <c r="AF3784" s="15" t="str">
        <f t="shared" si="1"/>
        <v/>
      </c>
      <c r="AG3784" s="15" t="str">
        <f>IF(OR(AF3784="",AF3784="ERRO_CHAVE"),"",IFERROR(MATCH(AF3784,'quitado Despesa'!$V$1:$V$12,0),""))</f>
        <v/>
      </c>
      <c r="AH3784" s="15" t="str">
        <f t="shared" si="2"/>
        <v/>
      </c>
      <c r="AI3784" s="17" t="str">
        <f>IF(AG3784="","",INDEX('quitado Despesa'!$G$1:$G$12,AG3784))</f>
        <v/>
      </c>
      <c r="AJ3784" s="17" t="str">
        <f t="shared" si="3"/>
        <v/>
      </c>
    </row>
    <row r="3785" spans="31:36">
      <c r="AE3785" s="15" t="str">
        <f t="shared" si="0"/>
        <v/>
      </c>
      <c r="AF3785" s="15" t="str">
        <f t="shared" si="1"/>
        <v/>
      </c>
      <c r="AG3785" s="15" t="str">
        <f>IF(OR(AF3785="",AF3785="ERRO_CHAVE"),"",IFERROR(MATCH(AF3785,'quitado Despesa'!$V$1:$V$12,0),""))</f>
        <v/>
      </c>
      <c r="AH3785" s="15" t="str">
        <f t="shared" si="2"/>
        <v/>
      </c>
      <c r="AI3785" s="17" t="str">
        <f>IF(AG3785="","",INDEX('quitado Despesa'!$G$1:$G$12,AG3785))</f>
        <v/>
      </c>
      <c r="AJ3785" s="17" t="str">
        <f t="shared" si="3"/>
        <v/>
      </c>
    </row>
    <row r="3786" spans="31:36">
      <c r="AE3786" s="15" t="str">
        <f t="shared" si="0"/>
        <v/>
      </c>
      <c r="AF3786" s="15" t="str">
        <f t="shared" si="1"/>
        <v/>
      </c>
      <c r="AG3786" s="15" t="str">
        <f>IF(OR(AF3786="",AF3786="ERRO_CHAVE"),"",IFERROR(MATCH(AF3786,'quitado Despesa'!$V$1:$V$12,0),""))</f>
        <v/>
      </c>
      <c r="AH3786" s="15" t="str">
        <f t="shared" si="2"/>
        <v/>
      </c>
      <c r="AI3786" s="17" t="str">
        <f>IF(AG3786="","",INDEX('quitado Despesa'!$G$1:$G$12,AG3786))</f>
        <v/>
      </c>
      <c r="AJ3786" s="17" t="str">
        <f t="shared" si="3"/>
        <v/>
      </c>
    </row>
    <row r="3787" spans="31:36">
      <c r="AE3787" s="15" t="str">
        <f t="shared" si="0"/>
        <v/>
      </c>
      <c r="AF3787" s="15" t="str">
        <f t="shared" si="1"/>
        <v/>
      </c>
      <c r="AG3787" s="15" t="str">
        <f>IF(OR(AF3787="",AF3787="ERRO_CHAVE"),"",IFERROR(MATCH(AF3787,'quitado Despesa'!$V$1:$V$12,0),""))</f>
        <v/>
      </c>
      <c r="AH3787" s="15" t="str">
        <f t="shared" si="2"/>
        <v/>
      </c>
      <c r="AI3787" s="17" t="str">
        <f>IF(AG3787="","",INDEX('quitado Despesa'!$G$1:$G$12,AG3787))</f>
        <v/>
      </c>
      <c r="AJ3787" s="17" t="str">
        <f t="shared" si="3"/>
        <v/>
      </c>
    </row>
    <row r="3788" spans="31:36">
      <c r="AE3788" s="15" t="str">
        <f t="shared" si="0"/>
        <v/>
      </c>
      <c r="AF3788" s="15" t="str">
        <f t="shared" si="1"/>
        <v/>
      </c>
      <c r="AG3788" s="15" t="str">
        <f>IF(OR(AF3788="",AF3788="ERRO_CHAVE"),"",IFERROR(MATCH(AF3788,'quitado Despesa'!$V$1:$V$12,0),""))</f>
        <v/>
      </c>
      <c r="AH3788" s="15" t="str">
        <f t="shared" si="2"/>
        <v/>
      </c>
      <c r="AI3788" s="17" t="str">
        <f>IF(AG3788="","",INDEX('quitado Despesa'!$G$1:$G$12,AG3788))</f>
        <v/>
      </c>
      <c r="AJ3788" s="17" t="str">
        <f t="shared" si="3"/>
        <v/>
      </c>
    </row>
    <row r="3789" spans="31:36">
      <c r="AE3789" s="15" t="str">
        <f t="shared" si="0"/>
        <v/>
      </c>
      <c r="AF3789" s="15" t="str">
        <f t="shared" si="1"/>
        <v/>
      </c>
      <c r="AG3789" s="15" t="str">
        <f>IF(OR(AF3789="",AF3789="ERRO_CHAVE"),"",IFERROR(MATCH(AF3789,'quitado Despesa'!$V$1:$V$12,0),""))</f>
        <v/>
      </c>
      <c r="AH3789" s="15" t="str">
        <f t="shared" si="2"/>
        <v/>
      </c>
      <c r="AI3789" s="17" t="str">
        <f>IF(AG3789="","",INDEX('quitado Despesa'!$G$1:$G$12,AG3789))</f>
        <v/>
      </c>
      <c r="AJ3789" s="17" t="str">
        <f t="shared" si="3"/>
        <v/>
      </c>
    </row>
    <row r="3790" spans="31:36">
      <c r="AE3790" s="15" t="str">
        <f t="shared" si="0"/>
        <v/>
      </c>
      <c r="AF3790" s="15" t="str">
        <f t="shared" si="1"/>
        <v/>
      </c>
      <c r="AG3790" s="15" t="str">
        <f>IF(OR(AF3790="",AF3790="ERRO_CHAVE"),"",IFERROR(MATCH(AF3790,'quitado Despesa'!$V$1:$V$12,0),""))</f>
        <v/>
      </c>
      <c r="AH3790" s="15" t="str">
        <f t="shared" si="2"/>
        <v/>
      </c>
      <c r="AI3790" s="17" t="str">
        <f>IF(AG3790="","",INDEX('quitado Despesa'!$G$1:$G$12,AG3790))</f>
        <v/>
      </c>
      <c r="AJ3790" s="17" t="str">
        <f t="shared" si="3"/>
        <v/>
      </c>
    </row>
    <row r="3791" spans="31:36">
      <c r="AE3791" s="15" t="str">
        <f t="shared" si="0"/>
        <v/>
      </c>
      <c r="AF3791" s="15" t="str">
        <f t="shared" si="1"/>
        <v/>
      </c>
      <c r="AG3791" s="15" t="str">
        <f>IF(OR(AF3791="",AF3791="ERRO_CHAVE"),"",IFERROR(MATCH(AF3791,'quitado Despesa'!$V$1:$V$12,0),""))</f>
        <v/>
      </c>
      <c r="AH3791" s="15" t="str">
        <f t="shared" si="2"/>
        <v/>
      </c>
      <c r="AI3791" s="17" t="str">
        <f>IF(AG3791="","",INDEX('quitado Despesa'!$G$1:$G$12,AG3791))</f>
        <v/>
      </c>
      <c r="AJ3791" s="17" t="str">
        <f t="shared" si="3"/>
        <v/>
      </c>
    </row>
    <row r="3792" spans="31:36">
      <c r="AE3792" s="15" t="str">
        <f t="shared" si="0"/>
        <v/>
      </c>
      <c r="AF3792" s="15" t="str">
        <f t="shared" si="1"/>
        <v/>
      </c>
      <c r="AG3792" s="15" t="str">
        <f>IF(OR(AF3792="",AF3792="ERRO_CHAVE"),"",IFERROR(MATCH(AF3792,'quitado Despesa'!$V$1:$V$12,0),""))</f>
        <v/>
      </c>
      <c r="AH3792" s="15" t="str">
        <f t="shared" si="2"/>
        <v/>
      </c>
      <c r="AI3792" s="17" t="str">
        <f>IF(AG3792="","",INDEX('quitado Despesa'!$G$1:$G$12,AG3792))</f>
        <v/>
      </c>
      <c r="AJ3792" s="17" t="str">
        <f t="shared" si="3"/>
        <v/>
      </c>
    </row>
    <row r="3793" spans="31:36">
      <c r="AE3793" s="15" t="str">
        <f t="shared" si="0"/>
        <v/>
      </c>
      <c r="AF3793" s="15" t="str">
        <f t="shared" si="1"/>
        <v/>
      </c>
      <c r="AG3793" s="15" t="str">
        <f>IF(OR(AF3793="",AF3793="ERRO_CHAVE"),"",IFERROR(MATCH(AF3793,'quitado Despesa'!$V$1:$V$12,0),""))</f>
        <v/>
      </c>
      <c r="AH3793" s="15" t="str">
        <f t="shared" si="2"/>
        <v/>
      </c>
      <c r="AI3793" s="17" t="str">
        <f>IF(AG3793="","",INDEX('quitado Despesa'!$G$1:$G$12,AG3793))</f>
        <v/>
      </c>
      <c r="AJ3793" s="17" t="str">
        <f t="shared" si="3"/>
        <v/>
      </c>
    </row>
    <row r="3794" spans="31:36">
      <c r="AE3794" s="15" t="str">
        <f t="shared" si="0"/>
        <v/>
      </c>
      <c r="AF3794" s="15" t="str">
        <f t="shared" si="1"/>
        <v/>
      </c>
      <c r="AG3794" s="15" t="str">
        <f>IF(OR(AF3794="",AF3794="ERRO_CHAVE"),"",IFERROR(MATCH(AF3794,'quitado Despesa'!$V$1:$V$12,0),""))</f>
        <v/>
      </c>
      <c r="AH3794" s="15" t="str">
        <f t="shared" si="2"/>
        <v/>
      </c>
      <c r="AI3794" s="17" t="str">
        <f>IF(AG3794="","",INDEX('quitado Despesa'!$G$1:$G$12,AG3794))</f>
        <v/>
      </c>
      <c r="AJ3794" s="17" t="str">
        <f t="shared" si="3"/>
        <v/>
      </c>
    </row>
    <row r="3795" spans="31:36">
      <c r="AE3795" s="15" t="str">
        <f t="shared" si="0"/>
        <v/>
      </c>
      <c r="AF3795" s="15" t="str">
        <f t="shared" si="1"/>
        <v/>
      </c>
      <c r="AG3795" s="15" t="str">
        <f>IF(OR(AF3795="",AF3795="ERRO_CHAVE"),"",IFERROR(MATCH(AF3795,'quitado Despesa'!$V$1:$V$12,0),""))</f>
        <v/>
      </c>
      <c r="AH3795" s="15" t="str">
        <f t="shared" si="2"/>
        <v/>
      </c>
      <c r="AI3795" s="17" t="str">
        <f>IF(AG3795="","",INDEX('quitado Despesa'!$G$1:$G$12,AG3795))</f>
        <v/>
      </c>
      <c r="AJ3795" s="17" t="str">
        <f t="shared" si="3"/>
        <v/>
      </c>
    </row>
    <row r="3796" spans="31:36">
      <c r="AE3796" s="15" t="str">
        <f t="shared" si="0"/>
        <v/>
      </c>
      <c r="AF3796" s="15" t="str">
        <f t="shared" si="1"/>
        <v/>
      </c>
      <c r="AG3796" s="15" t="str">
        <f>IF(OR(AF3796="",AF3796="ERRO_CHAVE"),"",IFERROR(MATCH(AF3796,'quitado Despesa'!$V$1:$V$12,0),""))</f>
        <v/>
      </c>
      <c r="AH3796" s="15" t="str">
        <f t="shared" si="2"/>
        <v/>
      </c>
      <c r="AI3796" s="17" t="str">
        <f>IF(AG3796="","",INDEX('quitado Despesa'!$G$1:$G$12,AG3796))</f>
        <v/>
      </c>
      <c r="AJ3796" s="17" t="str">
        <f t="shared" si="3"/>
        <v/>
      </c>
    </row>
    <row r="3797" spans="31:36">
      <c r="AE3797" s="15" t="str">
        <f t="shared" si="0"/>
        <v/>
      </c>
      <c r="AF3797" s="15" t="str">
        <f t="shared" si="1"/>
        <v/>
      </c>
      <c r="AG3797" s="15" t="str">
        <f>IF(OR(AF3797="",AF3797="ERRO_CHAVE"),"",IFERROR(MATCH(AF3797,'quitado Despesa'!$V$1:$V$12,0),""))</f>
        <v/>
      </c>
      <c r="AH3797" s="15" t="str">
        <f t="shared" si="2"/>
        <v/>
      </c>
      <c r="AI3797" s="17" t="str">
        <f>IF(AG3797="","",INDEX('quitado Despesa'!$G$1:$G$12,AG3797))</f>
        <v/>
      </c>
      <c r="AJ3797" s="17" t="str">
        <f t="shared" si="3"/>
        <v/>
      </c>
    </row>
    <row r="3798" spans="31:36">
      <c r="AE3798" s="15" t="str">
        <f t="shared" si="0"/>
        <v/>
      </c>
      <c r="AF3798" s="15" t="str">
        <f t="shared" si="1"/>
        <v/>
      </c>
      <c r="AG3798" s="15" t="str">
        <f>IF(OR(AF3798="",AF3798="ERRO_CHAVE"),"",IFERROR(MATCH(AF3798,'quitado Despesa'!$V$1:$V$12,0),""))</f>
        <v/>
      </c>
      <c r="AH3798" s="15" t="str">
        <f t="shared" si="2"/>
        <v/>
      </c>
      <c r="AI3798" s="17" t="str">
        <f>IF(AG3798="","",INDEX('quitado Despesa'!$G$1:$G$12,AG3798))</f>
        <v/>
      </c>
      <c r="AJ3798" s="17" t="str">
        <f t="shared" si="3"/>
        <v/>
      </c>
    </row>
    <row r="3799" spans="31:36">
      <c r="AE3799" s="15" t="str">
        <f t="shared" si="0"/>
        <v/>
      </c>
      <c r="AF3799" s="15" t="str">
        <f t="shared" si="1"/>
        <v/>
      </c>
      <c r="AG3799" s="15" t="str">
        <f>IF(OR(AF3799="",AF3799="ERRO_CHAVE"),"",IFERROR(MATCH(AF3799,'quitado Despesa'!$V$1:$V$12,0),""))</f>
        <v/>
      </c>
      <c r="AH3799" s="15" t="str">
        <f t="shared" si="2"/>
        <v/>
      </c>
      <c r="AI3799" s="17" t="str">
        <f>IF(AG3799="","",INDEX('quitado Despesa'!$G$1:$G$12,AG3799))</f>
        <v/>
      </c>
      <c r="AJ3799" s="17" t="str">
        <f t="shared" si="3"/>
        <v/>
      </c>
    </row>
    <row r="3800" spans="31:36">
      <c r="AE3800" s="15" t="str">
        <f t="shared" si="0"/>
        <v/>
      </c>
      <c r="AF3800" s="15" t="str">
        <f t="shared" si="1"/>
        <v/>
      </c>
      <c r="AG3800" s="15" t="str">
        <f>IF(OR(AF3800="",AF3800="ERRO_CHAVE"),"",IFERROR(MATCH(AF3800,'quitado Despesa'!$V$1:$V$12,0),""))</f>
        <v/>
      </c>
      <c r="AH3800" s="15" t="str">
        <f t="shared" si="2"/>
        <v/>
      </c>
      <c r="AI3800" s="17" t="str">
        <f>IF(AG3800="","",INDEX('quitado Despesa'!$G$1:$G$12,AG3800))</f>
        <v/>
      </c>
      <c r="AJ3800" s="17" t="str">
        <f t="shared" si="3"/>
        <v/>
      </c>
    </row>
    <row r="3801" spans="31:36">
      <c r="AE3801" s="15" t="str">
        <f t="shared" si="0"/>
        <v/>
      </c>
      <c r="AF3801" s="15" t="str">
        <f t="shared" si="1"/>
        <v/>
      </c>
      <c r="AG3801" s="15" t="str">
        <f>IF(OR(AF3801="",AF3801="ERRO_CHAVE"),"",IFERROR(MATCH(AF3801,'quitado Despesa'!$V$1:$V$12,0),""))</f>
        <v/>
      </c>
      <c r="AH3801" s="15" t="str">
        <f t="shared" si="2"/>
        <v/>
      </c>
      <c r="AI3801" s="17" t="str">
        <f>IF(AG3801="","",INDEX('quitado Despesa'!$G$1:$G$12,AG3801))</f>
        <v/>
      </c>
      <c r="AJ3801" s="17" t="str">
        <f t="shared" si="3"/>
        <v/>
      </c>
    </row>
    <row r="3802" spans="31:36">
      <c r="AE3802" s="15" t="str">
        <f t="shared" si="0"/>
        <v/>
      </c>
      <c r="AF3802" s="15" t="str">
        <f t="shared" si="1"/>
        <v/>
      </c>
      <c r="AG3802" s="15" t="str">
        <f>IF(OR(AF3802="",AF3802="ERRO_CHAVE"),"",IFERROR(MATCH(AF3802,'quitado Despesa'!$V$1:$V$12,0),""))</f>
        <v/>
      </c>
      <c r="AH3802" s="15" t="str">
        <f t="shared" si="2"/>
        <v/>
      </c>
      <c r="AI3802" s="17" t="str">
        <f>IF(AG3802="","",INDEX('quitado Despesa'!$G$1:$G$12,AG3802))</f>
        <v/>
      </c>
      <c r="AJ3802" s="17" t="str">
        <f t="shared" si="3"/>
        <v/>
      </c>
    </row>
    <row r="3803" spans="31:36">
      <c r="AE3803" s="15" t="str">
        <f t="shared" si="0"/>
        <v/>
      </c>
      <c r="AF3803" s="15" t="str">
        <f t="shared" si="1"/>
        <v/>
      </c>
      <c r="AG3803" s="15" t="str">
        <f>IF(OR(AF3803="",AF3803="ERRO_CHAVE"),"",IFERROR(MATCH(AF3803,'quitado Despesa'!$V$1:$V$12,0),""))</f>
        <v/>
      </c>
      <c r="AH3803" s="15" t="str">
        <f t="shared" si="2"/>
        <v/>
      </c>
      <c r="AI3803" s="17" t="str">
        <f>IF(AG3803="","",INDEX('quitado Despesa'!$G$1:$G$12,AG3803))</f>
        <v/>
      </c>
      <c r="AJ3803" s="17" t="str">
        <f t="shared" si="3"/>
        <v/>
      </c>
    </row>
    <row r="3804" spans="31:36">
      <c r="AE3804" s="15" t="str">
        <f t="shared" si="0"/>
        <v/>
      </c>
      <c r="AF3804" s="15" t="str">
        <f t="shared" si="1"/>
        <v/>
      </c>
      <c r="AG3804" s="15" t="str">
        <f>IF(OR(AF3804="",AF3804="ERRO_CHAVE"),"",IFERROR(MATCH(AF3804,'quitado Despesa'!$V$1:$V$12,0),""))</f>
        <v/>
      </c>
      <c r="AH3804" s="15" t="str">
        <f t="shared" si="2"/>
        <v/>
      </c>
      <c r="AI3804" s="17" t="str">
        <f>IF(AG3804="","",INDEX('quitado Despesa'!$G$1:$G$12,AG3804))</f>
        <v/>
      </c>
      <c r="AJ3804" s="17" t="str">
        <f t="shared" si="3"/>
        <v/>
      </c>
    </row>
    <row r="3805" spans="31:36">
      <c r="AE3805" s="15" t="str">
        <f t="shared" si="0"/>
        <v/>
      </c>
      <c r="AF3805" s="15" t="str">
        <f t="shared" si="1"/>
        <v/>
      </c>
      <c r="AG3805" s="15" t="str">
        <f>IF(OR(AF3805="",AF3805="ERRO_CHAVE"),"",IFERROR(MATCH(AF3805,'quitado Despesa'!$V$1:$V$12,0),""))</f>
        <v/>
      </c>
      <c r="AH3805" s="15" t="str">
        <f t="shared" si="2"/>
        <v/>
      </c>
      <c r="AI3805" s="17" t="str">
        <f>IF(AG3805="","",INDEX('quitado Despesa'!$G$1:$G$12,AG3805))</f>
        <v/>
      </c>
      <c r="AJ3805" s="17" t="str">
        <f t="shared" si="3"/>
        <v/>
      </c>
    </row>
    <row r="3806" spans="31:36">
      <c r="AE3806" s="15" t="str">
        <f t="shared" si="0"/>
        <v/>
      </c>
      <c r="AF3806" s="15" t="str">
        <f t="shared" si="1"/>
        <v/>
      </c>
      <c r="AG3806" s="15" t="str">
        <f>IF(OR(AF3806="",AF3806="ERRO_CHAVE"),"",IFERROR(MATCH(AF3806,'quitado Despesa'!$V$1:$V$12,0),""))</f>
        <v/>
      </c>
      <c r="AH3806" s="15" t="str">
        <f t="shared" si="2"/>
        <v/>
      </c>
      <c r="AI3806" s="17" t="str">
        <f>IF(AG3806="","",INDEX('quitado Despesa'!$G$1:$G$12,AG3806))</f>
        <v/>
      </c>
      <c r="AJ3806" s="17" t="str">
        <f t="shared" si="3"/>
        <v/>
      </c>
    </row>
    <row r="3807" spans="31:36">
      <c r="AE3807" s="15" t="str">
        <f t="shared" si="0"/>
        <v/>
      </c>
      <c r="AF3807" s="15" t="str">
        <f t="shared" si="1"/>
        <v/>
      </c>
      <c r="AG3807" s="15" t="str">
        <f>IF(OR(AF3807="",AF3807="ERRO_CHAVE"),"",IFERROR(MATCH(AF3807,'quitado Despesa'!$V$1:$V$12,0),""))</f>
        <v/>
      </c>
      <c r="AH3807" s="15" t="str">
        <f t="shared" si="2"/>
        <v/>
      </c>
      <c r="AI3807" s="17" t="str">
        <f>IF(AG3807="","",INDEX('quitado Despesa'!$G$1:$G$12,AG3807))</f>
        <v/>
      </c>
      <c r="AJ3807" s="17" t="str">
        <f t="shared" si="3"/>
        <v/>
      </c>
    </row>
    <row r="3808" spans="31:36">
      <c r="AE3808" s="15" t="str">
        <f t="shared" si="0"/>
        <v/>
      </c>
      <c r="AF3808" s="15" t="str">
        <f t="shared" si="1"/>
        <v/>
      </c>
      <c r="AG3808" s="15" t="str">
        <f>IF(OR(AF3808="",AF3808="ERRO_CHAVE"),"",IFERROR(MATCH(AF3808,'quitado Despesa'!$V$1:$V$12,0),""))</f>
        <v/>
      </c>
      <c r="AH3808" s="15" t="str">
        <f t="shared" si="2"/>
        <v/>
      </c>
      <c r="AI3808" s="17" t="str">
        <f>IF(AG3808="","",INDEX('quitado Despesa'!$G$1:$G$12,AG3808))</f>
        <v/>
      </c>
      <c r="AJ3808" s="17" t="str">
        <f t="shared" si="3"/>
        <v/>
      </c>
    </row>
    <row r="3809" spans="31:36">
      <c r="AE3809" s="15" t="str">
        <f t="shared" si="0"/>
        <v/>
      </c>
      <c r="AF3809" s="15" t="str">
        <f t="shared" si="1"/>
        <v/>
      </c>
      <c r="AG3809" s="15" t="str">
        <f>IF(OR(AF3809="",AF3809="ERRO_CHAVE"),"",IFERROR(MATCH(AF3809,'quitado Despesa'!$V$1:$V$12,0),""))</f>
        <v/>
      </c>
      <c r="AH3809" s="15" t="str">
        <f t="shared" si="2"/>
        <v/>
      </c>
      <c r="AI3809" s="17" t="str">
        <f>IF(AG3809="","",INDEX('quitado Despesa'!$G$1:$G$12,AG3809))</f>
        <v/>
      </c>
      <c r="AJ3809" s="17" t="str">
        <f t="shared" si="3"/>
        <v/>
      </c>
    </row>
    <row r="3810" spans="31:36">
      <c r="AE3810" s="15" t="str">
        <f t="shared" si="0"/>
        <v/>
      </c>
      <c r="AF3810" s="15" t="str">
        <f t="shared" si="1"/>
        <v/>
      </c>
      <c r="AG3810" s="15" t="str">
        <f>IF(OR(AF3810="",AF3810="ERRO_CHAVE"),"",IFERROR(MATCH(AF3810,'quitado Despesa'!$V$1:$V$12,0),""))</f>
        <v/>
      </c>
      <c r="AH3810" s="15" t="str">
        <f t="shared" si="2"/>
        <v/>
      </c>
      <c r="AI3810" s="17" t="str">
        <f>IF(AG3810="","",INDEX('quitado Despesa'!$G$1:$G$12,AG3810))</f>
        <v/>
      </c>
      <c r="AJ3810" s="17" t="str">
        <f t="shared" si="3"/>
        <v/>
      </c>
    </row>
    <row r="3811" spans="31:36">
      <c r="AE3811" s="15" t="str">
        <f t="shared" si="0"/>
        <v/>
      </c>
      <c r="AF3811" s="15" t="str">
        <f t="shared" si="1"/>
        <v/>
      </c>
      <c r="AG3811" s="15" t="str">
        <f>IF(OR(AF3811="",AF3811="ERRO_CHAVE"),"",IFERROR(MATCH(AF3811,'quitado Despesa'!$V$1:$V$12,0),""))</f>
        <v/>
      </c>
      <c r="AH3811" s="15" t="str">
        <f t="shared" si="2"/>
        <v/>
      </c>
      <c r="AI3811" s="17" t="str">
        <f>IF(AG3811="","",INDEX('quitado Despesa'!$G$1:$G$12,AG3811))</f>
        <v/>
      </c>
      <c r="AJ3811" s="17" t="str">
        <f t="shared" si="3"/>
        <v/>
      </c>
    </row>
    <row r="3812" spans="31:36">
      <c r="AE3812" s="15" t="str">
        <f t="shared" si="0"/>
        <v/>
      </c>
      <c r="AF3812" s="15" t="str">
        <f t="shared" si="1"/>
        <v/>
      </c>
      <c r="AG3812" s="15" t="str">
        <f>IF(OR(AF3812="",AF3812="ERRO_CHAVE"),"",IFERROR(MATCH(AF3812,'quitado Despesa'!$V$1:$V$12,0),""))</f>
        <v/>
      </c>
      <c r="AH3812" s="15" t="str">
        <f t="shared" si="2"/>
        <v/>
      </c>
      <c r="AI3812" s="17" t="str">
        <f>IF(AG3812="","",INDEX('quitado Despesa'!$G$1:$G$12,AG3812))</f>
        <v/>
      </c>
      <c r="AJ3812" s="17" t="str">
        <f t="shared" si="3"/>
        <v/>
      </c>
    </row>
    <row r="3813" spans="31:36">
      <c r="AE3813" s="15" t="str">
        <f t="shared" si="0"/>
        <v/>
      </c>
      <c r="AF3813" s="15" t="str">
        <f t="shared" si="1"/>
        <v/>
      </c>
      <c r="AG3813" s="15" t="str">
        <f>IF(OR(AF3813="",AF3813="ERRO_CHAVE"),"",IFERROR(MATCH(AF3813,'quitado Despesa'!$V$1:$V$12,0),""))</f>
        <v/>
      </c>
      <c r="AH3813" s="15" t="str">
        <f t="shared" si="2"/>
        <v/>
      </c>
      <c r="AI3813" s="17" t="str">
        <f>IF(AG3813="","",INDEX('quitado Despesa'!$G$1:$G$12,AG3813))</f>
        <v/>
      </c>
      <c r="AJ3813" s="17" t="str">
        <f t="shared" si="3"/>
        <v/>
      </c>
    </row>
    <row r="3814" spans="31:36">
      <c r="AE3814" s="15" t="str">
        <f t="shared" si="0"/>
        <v/>
      </c>
      <c r="AF3814" s="15" t="str">
        <f t="shared" si="1"/>
        <v/>
      </c>
      <c r="AG3814" s="15" t="str">
        <f>IF(OR(AF3814="",AF3814="ERRO_CHAVE"),"",IFERROR(MATCH(AF3814,'quitado Despesa'!$V$1:$V$12,0),""))</f>
        <v/>
      </c>
      <c r="AH3814" s="15" t="str">
        <f t="shared" si="2"/>
        <v/>
      </c>
      <c r="AI3814" s="17" t="str">
        <f>IF(AG3814="","",INDEX('quitado Despesa'!$G$1:$G$12,AG3814))</f>
        <v/>
      </c>
      <c r="AJ3814" s="17" t="str">
        <f t="shared" si="3"/>
        <v/>
      </c>
    </row>
    <row r="3815" spans="31:36">
      <c r="AE3815" s="15" t="str">
        <f t="shared" si="0"/>
        <v/>
      </c>
      <c r="AF3815" s="15" t="str">
        <f t="shared" si="1"/>
        <v/>
      </c>
      <c r="AG3815" s="15" t="str">
        <f>IF(OR(AF3815="",AF3815="ERRO_CHAVE"),"",IFERROR(MATCH(AF3815,'quitado Despesa'!$V$1:$V$12,0),""))</f>
        <v/>
      </c>
      <c r="AH3815" s="15" t="str">
        <f t="shared" si="2"/>
        <v/>
      </c>
      <c r="AI3815" s="17" t="str">
        <f>IF(AG3815="","",INDEX('quitado Despesa'!$G$1:$G$12,AG3815))</f>
        <v/>
      </c>
      <c r="AJ3815" s="17" t="str">
        <f t="shared" si="3"/>
        <v/>
      </c>
    </row>
    <row r="3816" spans="31:36">
      <c r="AE3816" s="15" t="str">
        <f t="shared" si="0"/>
        <v/>
      </c>
      <c r="AF3816" s="15" t="str">
        <f t="shared" si="1"/>
        <v/>
      </c>
      <c r="AG3816" s="15" t="str">
        <f>IF(OR(AF3816="",AF3816="ERRO_CHAVE"),"",IFERROR(MATCH(AF3816,'quitado Despesa'!$V$1:$V$12,0),""))</f>
        <v/>
      </c>
      <c r="AH3816" s="15" t="str">
        <f t="shared" si="2"/>
        <v/>
      </c>
      <c r="AI3816" s="17" t="str">
        <f>IF(AG3816="","",INDEX('quitado Despesa'!$G$1:$G$12,AG3816))</f>
        <v/>
      </c>
      <c r="AJ3816" s="17" t="str">
        <f t="shared" si="3"/>
        <v/>
      </c>
    </row>
    <row r="3817" spans="31:36">
      <c r="AE3817" s="15" t="str">
        <f t="shared" si="0"/>
        <v/>
      </c>
      <c r="AF3817" s="15" t="str">
        <f t="shared" si="1"/>
        <v/>
      </c>
      <c r="AG3817" s="15" t="str">
        <f>IF(OR(AF3817="",AF3817="ERRO_CHAVE"),"",IFERROR(MATCH(AF3817,'quitado Despesa'!$V$1:$V$12,0),""))</f>
        <v/>
      </c>
      <c r="AH3817" s="15" t="str">
        <f t="shared" si="2"/>
        <v/>
      </c>
      <c r="AI3817" s="17" t="str">
        <f>IF(AG3817="","",INDEX('quitado Despesa'!$G$1:$G$12,AG3817))</f>
        <v/>
      </c>
      <c r="AJ3817" s="17" t="str">
        <f t="shared" si="3"/>
        <v/>
      </c>
    </row>
    <row r="3818" spans="31:36">
      <c r="AE3818" s="15" t="str">
        <f t="shared" si="0"/>
        <v/>
      </c>
      <c r="AF3818" s="15" t="str">
        <f t="shared" si="1"/>
        <v/>
      </c>
      <c r="AG3818" s="15" t="str">
        <f>IF(OR(AF3818="",AF3818="ERRO_CHAVE"),"",IFERROR(MATCH(AF3818,'quitado Despesa'!$V$1:$V$12,0),""))</f>
        <v/>
      </c>
      <c r="AH3818" s="15" t="str">
        <f t="shared" si="2"/>
        <v/>
      </c>
      <c r="AI3818" s="17" t="str">
        <f>IF(AG3818="","",INDEX('quitado Despesa'!$G$1:$G$12,AG3818))</f>
        <v/>
      </c>
      <c r="AJ3818" s="17" t="str">
        <f t="shared" si="3"/>
        <v/>
      </c>
    </row>
    <row r="3819" spans="31:36">
      <c r="AE3819" s="15" t="str">
        <f t="shared" si="0"/>
        <v/>
      </c>
      <c r="AF3819" s="15" t="str">
        <f t="shared" si="1"/>
        <v/>
      </c>
      <c r="AG3819" s="15" t="str">
        <f>IF(OR(AF3819="",AF3819="ERRO_CHAVE"),"",IFERROR(MATCH(AF3819,'quitado Despesa'!$V$1:$V$12,0),""))</f>
        <v/>
      </c>
      <c r="AH3819" s="15" t="str">
        <f t="shared" si="2"/>
        <v/>
      </c>
      <c r="AI3819" s="17" t="str">
        <f>IF(AG3819="","",INDEX('quitado Despesa'!$G$1:$G$12,AG3819))</f>
        <v/>
      </c>
      <c r="AJ3819" s="17" t="str">
        <f t="shared" si="3"/>
        <v/>
      </c>
    </row>
    <row r="3820" spans="31:36">
      <c r="AE3820" s="15" t="str">
        <f t="shared" si="0"/>
        <v/>
      </c>
      <c r="AF3820" s="15" t="str">
        <f t="shared" si="1"/>
        <v/>
      </c>
      <c r="AG3820" s="15" t="str">
        <f>IF(OR(AF3820="",AF3820="ERRO_CHAVE"),"",IFERROR(MATCH(AF3820,'quitado Despesa'!$V$1:$V$12,0),""))</f>
        <v/>
      </c>
      <c r="AH3820" s="15" t="str">
        <f t="shared" si="2"/>
        <v/>
      </c>
      <c r="AI3820" s="17" t="str">
        <f>IF(AG3820="","",INDEX('quitado Despesa'!$G$1:$G$12,AG3820))</f>
        <v/>
      </c>
      <c r="AJ3820" s="17" t="str">
        <f t="shared" si="3"/>
        <v/>
      </c>
    </row>
    <row r="3821" spans="31:36">
      <c r="AE3821" s="15" t="str">
        <f t="shared" si="0"/>
        <v/>
      </c>
      <c r="AF3821" s="15" t="str">
        <f t="shared" si="1"/>
        <v/>
      </c>
      <c r="AG3821" s="15" t="str">
        <f>IF(OR(AF3821="",AF3821="ERRO_CHAVE"),"",IFERROR(MATCH(AF3821,'quitado Despesa'!$V$1:$V$12,0),""))</f>
        <v/>
      </c>
      <c r="AH3821" s="15" t="str">
        <f t="shared" si="2"/>
        <v/>
      </c>
      <c r="AI3821" s="17" t="str">
        <f>IF(AG3821="","",INDEX('quitado Despesa'!$G$1:$G$12,AG3821))</f>
        <v/>
      </c>
      <c r="AJ3821" s="17" t="str">
        <f t="shared" si="3"/>
        <v/>
      </c>
    </row>
    <row r="3822" spans="31:36">
      <c r="AE3822" s="15" t="str">
        <f t="shared" si="0"/>
        <v/>
      </c>
      <c r="AF3822" s="15" t="str">
        <f t="shared" si="1"/>
        <v/>
      </c>
      <c r="AG3822" s="15" t="str">
        <f>IF(OR(AF3822="",AF3822="ERRO_CHAVE"),"",IFERROR(MATCH(AF3822,'quitado Despesa'!$V$1:$V$12,0),""))</f>
        <v/>
      </c>
      <c r="AH3822" s="15" t="str">
        <f t="shared" si="2"/>
        <v/>
      </c>
      <c r="AI3822" s="17" t="str">
        <f>IF(AG3822="","",INDEX('quitado Despesa'!$G$1:$G$12,AG3822))</f>
        <v/>
      </c>
      <c r="AJ3822" s="17" t="str">
        <f t="shared" si="3"/>
        <v/>
      </c>
    </row>
    <row r="3823" spans="31:36">
      <c r="AE3823" s="15" t="str">
        <f t="shared" si="0"/>
        <v/>
      </c>
      <c r="AF3823" s="15" t="str">
        <f t="shared" si="1"/>
        <v/>
      </c>
      <c r="AG3823" s="15" t="str">
        <f>IF(OR(AF3823="",AF3823="ERRO_CHAVE"),"",IFERROR(MATCH(AF3823,'quitado Despesa'!$V$1:$V$12,0),""))</f>
        <v/>
      </c>
      <c r="AH3823" s="15" t="str">
        <f t="shared" si="2"/>
        <v/>
      </c>
      <c r="AI3823" s="17" t="str">
        <f>IF(AG3823="","",INDEX('quitado Despesa'!$G$1:$G$12,AG3823))</f>
        <v/>
      </c>
      <c r="AJ3823" s="17" t="str">
        <f t="shared" si="3"/>
        <v/>
      </c>
    </row>
    <row r="3824" spans="31:36">
      <c r="AE3824" s="15" t="str">
        <f t="shared" si="0"/>
        <v/>
      </c>
      <c r="AF3824" s="15" t="str">
        <f t="shared" si="1"/>
        <v/>
      </c>
      <c r="AG3824" s="15" t="str">
        <f>IF(OR(AF3824="",AF3824="ERRO_CHAVE"),"",IFERROR(MATCH(AF3824,'quitado Despesa'!$V$1:$V$12,0),""))</f>
        <v/>
      </c>
      <c r="AH3824" s="15" t="str">
        <f t="shared" si="2"/>
        <v/>
      </c>
      <c r="AI3824" s="17" t="str">
        <f>IF(AG3824="","",INDEX('quitado Despesa'!$G$1:$G$12,AG3824))</f>
        <v/>
      </c>
      <c r="AJ3824" s="17" t="str">
        <f t="shared" si="3"/>
        <v/>
      </c>
    </row>
    <row r="3825" spans="31:36">
      <c r="AE3825" s="15" t="str">
        <f t="shared" si="0"/>
        <v/>
      </c>
      <c r="AF3825" s="15" t="str">
        <f t="shared" si="1"/>
        <v/>
      </c>
      <c r="AG3825" s="15" t="str">
        <f>IF(OR(AF3825="",AF3825="ERRO_CHAVE"),"",IFERROR(MATCH(AF3825,'quitado Despesa'!$V$1:$V$12,0),""))</f>
        <v/>
      </c>
      <c r="AH3825" s="15" t="str">
        <f t="shared" si="2"/>
        <v/>
      </c>
      <c r="AI3825" s="17" t="str">
        <f>IF(AG3825="","",INDEX('quitado Despesa'!$G$1:$G$12,AG3825))</f>
        <v/>
      </c>
      <c r="AJ3825" s="17" t="str">
        <f t="shared" si="3"/>
        <v/>
      </c>
    </row>
    <row r="3826" spans="31:36">
      <c r="AE3826" s="15" t="str">
        <f t="shared" si="0"/>
        <v/>
      </c>
      <c r="AF3826" s="15" t="str">
        <f t="shared" si="1"/>
        <v/>
      </c>
      <c r="AG3826" s="15" t="str">
        <f>IF(OR(AF3826="",AF3826="ERRO_CHAVE"),"",IFERROR(MATCH(AF3826,'quitado Despesa'!$V$1:$V$12,0),""))</f>
        <v/>
      </c>
      <c r="AH3826" s="15" t="str">
        <f t="shared" si="2"/>
        <v/>
      </c>
      <c r="AI3826" s="17" t="str">
        <f>IF(AG3826="","",INDEX('quitado Despesa'!$G$1:$G$12,AG3826))</f>
        <v/>
      </c>
      <c r="AJ3826" s="17" t="str">
        <f t="shared" si="3"/>
        <v/>
      </c>
    </row>
    <row r="3827" spans="31:36">
      <c r="AE3827" s="15" t="str">
        <f t="shared" si="0"/>
        <v/>
      </c>
      <c r="AF3827" s="15" t="str">
        <f t="shared" si="1"/>
        <v/>
      </c>
      <c r="AG3827" s="15" t="str">
        <f>IF(OR(AF3827="",AF3827="ERRO_CHAVE"),"",IFERROR(MATCH(AF3827,'quitado Despesa'!$V$1:$V$12,0),""))</f>
        <v/>
      </c>
      <c r="AH3827" s="15" t="str">
        <f t="shared" si="2"/>
        <v/>
      </c>
      <c r="AI3827" s="17" t="str">
        <f>IF(AG3827="","",INDEX('quitado Despesa'!$G$1:$G$12,AG3827))</f>
        <v/>
      </c>
      <c r="AJ3827" s="17" t="str">
        <f t="shared" si="3"/>
        <v/>
      </c>
    </row>
    <row r="3828" spans="31:36">
      <c r="AE3828" s="15" t="str">
        <f t="shared" si="0"/>
        <v/>
      </c>
      <c r="AF3828" s="15" t="str">
        <f t="shared" si="1"/>
        <v/>
      </c>
      <c r="AG3828" s="15" t="str">
        <f>IF(OR(AF3828="",AF3828="ERRO_CHAVE"),"",IFERROR(MATCH(AF3828,'quitado Despesa'!$V$1:$V$12,0),""))</f>
        <v/>
      </c>
      <c r="AH3828" s="15" t="str">
        <f t="shared" si="2"/>
        <v/>
      </c>
      <c r="AI3828" s="17" t="str">
        <f>IF(AG3828="","",INDEX('quitado Despesa'!$G$1:$G$12,AG3828))</f>
        <v/>
      </c>
      <c r="AJ3828" s="17" t="str">
        <f t="shared" si="3"/>
        <v/>
      </c>
    </row>
    <row r="3829" spans="31:36">
      <c r="AE3829" s="15" t="str">
        <f t="shared" si="0"/>
        <v/>
      </c>
      <c r="AF3829" s="15" t="str">
        <f t="shared" si="1"/>
        <v/>
      </c>
      <c r="AG3829" s="15" t="str">
        <f>IF(OR(AF3829="",AF3829="ERRO_CHAVE"),"",IFERROR(MATCH(AF3829,'quitado Despesa'!$V$1:$V$12,0),""))</f>
        <v/>
      </c>
      <c r="AH3829" s="15" t="str">
        <f t="shared" si="2"/>
        <v/>
      </c>
      <c r="AI3829" s="17" t="str">
        <f>IF(AG3829="","",INDEX('quitado Despesa'!$G$1:$G$12,AG3829))</f>
        <v/>
      </c>
      <c r="AJ3829" s="17" t="str">
        <f t="shared" si="3"/>
        <v/>
      </c>
    </row>
    <row r="3830" spans="31:36">
      <c r="AE3830" s="15" t="str">
        <f t="shared" si="0"/>
        <v/>
      </c>
      <c r="AF3830" s="15" t="str">
        <f t="shared" si="1"/>
        <v/>
      </c>
      <c r="AG3830" s="15" t="str">
        <f>IF(OR(AF3830="",AF3830="ERRO_CHAVE"),"",IFERROR(MATCH(AF3830,'quitado Despesa'!$V$1:$V$12,0),""))</f>
        <v/>
      </c>
      <c r="AH3830" s="15" t="str">
        <f t="shared" si="2"/>
        <v/>
      </c>
      <c r="AI3830" s="17" t="str">
        <f>IF(AG3830="","",INDEX('quitado Despesa'!$G$1:$G$12,AG3830))</f>
        <v/>
      </c>
      <c r="AJ3830" s="17" t="str">
        <f t="shared" si="3"/>
        <v/>
      </c>
    </row>
    <row r="3831" spans="31:36">
      <c r="AE3831" s="15" t="str">
        <f t="shared" si="0"/>
        <v/>
      </c>
      <c r="AF3831" s="15" t="str">
        <f t="shared" si="1"/>
        <v/>
      </c>
      <c r="AG3831" s="15" t="str">
        <f>IF(OR(AF3831="",AF3831="ERRO_CHAVE"),"",IFERROR(MATCH(AF3831,'quitado Despesa'!$V$1:$V$12,0),""))</f>
        <v/>
      </c>
      <c r="AH3831" s="15" t="str">
        <f t="shared" si="2"/>
        <v/>
      </c>
      <c r="AI3831" s="17" t="str">
        <f>IF(AG3831="","",INDEX('quitado Despesa'!$G$1:$G$12,AG3831))</f>
        <v/>
      </c>
      <c r="AJ3831" s="17" t="str">
        <f t="shared" si="3"/>
        <v/>
      </c>
    </row>
    <row r="3832" spans="31:36">
      <c r="AE3832" s="15" t="str">
        <f t="shared" si="0"/>
        <v/>
      </c>
      <c r="AF3832" s="15" t="str">
        <f t="shared" si="1"/>
        <v/>
      </c>
      <c r="AG3832" s="15" t="str">
        <f>IF(OR(AF3832="",AF3832="ERRO_CHAVE"),"",IFERROR(MATCH(AF3832,'quitado Despesa'!$V$1:$V$12,0),""))</f>
        <v/>
      </c>
      <c r="AH3832" s="15" t="str">
        <f t="shared" si="2"/>
        <v/>
      </c>
      <c r="AI3832" s="17" t="str">
        <f>IF(AG3832="","",INDEX('quitado Despesa'!$G$1:$G$12,AG3832))</f>
        <v/>
      </c>
      <c r="AJ3832" s="17" t="str">
        <f t="shared" si="3"/>
        <v/>
      </c>
    </row>
    <row r="3833" spans="31:36">
      <c r="AE3833" s="15" t="str">
        <f t="shared" si="0"/>
        <v/>
      </c>
      <c r="AF3833" s="15" t="str">
        <f t="shared" si="1"/>
        <v/>
      </c>
      <c r="AG3833" s="15" t="str">
        <f>IF(OR(AF3833="",AF3833="ERRO_CHAVE"),"",IFERROR(MATCH(AF3833,'quitado Despesa'!$V$1:$V$12,0),""))</f>
        <v/>
      </c>
      <c r="AH3833" s="15" t="str">
        <f t="shared" si="2"/>
        <v/>
      </c>
      <c r="AI3833" s="17" t="str">
        <f>IF(AG3833="","",INDEX('quitado Despesa'!$G$1:$G$12,AG3833))</f>
        <v/>
      </c>
      <c r="AJ3833" s="17" t="str">
        <f t="shared" si="3"/>
        <v/>
      </c>
    </row>
    <row r="3834" spans="31:36">
      <c r="AE3834" s="15" t="str">
        <f t="shared" si="0"/>
        <v/>
      </c>
      <c r="AF3834" s="15" t="str">
        <f t="shared" si="1"/>
        <v/>
      </c>
      <c r="AG3834" s="15" t="str">
        <f>IF(OR(AF3834="",AF3834="ERRO_CHAVE"),"",IFERROR(MATCH(AF3834,'quitado Despesa'!$V$1:$V$12,0),""))</f>
        <v/>
      </c>
      <c r="AH3834" s="15" t="str">
        <f t="shared" si="2"/>
        <v/>
      </c>
      <c r="AI3834" s="17" t="str">
        <f>IF(AG3834="","",INDEX('quitado Despesa'!$G$1:$G$12,AG3834))</f>
        <v/>
      </c>
      <c r="AJ3834" s="17" t="str">
        <f t="shared" si="3"/>
        <v/>
      </c>
    </row>
    <row r="3835" spans="31:36">
      <c r="AE3835" s="15" t="str">
        <f t="shared" si="0"/>
        <v/>
      </c>
      <c r="AF3835" s="15" t="str">
        <f t="shared" si="1"/>
        <v/>
      </c>
      <c r="AG3835" s="15" t="str">
        <f>IF(OR(AF3835="",AF3835="ERRO_CHAVE"),"",IFERROR(MATCH(AF3835,'quitado Despesa'!$V$1:$V$12,0),""))</f>
        <v/>
      </c>
      <c r="AH3835" s="15" t="str">
        <f t="shared" si="2"/>
        <v/>
      </c>
      <c r="AI3835" s="17" t="str">
        <f>IF(AG3835="","",INDEX('quitado Despesa'!$G$1:$G$12,AG3835))</f>
        <v/>
      </c>
      <c r="AJ3835" s="17" t="str">
        <f t="shared" si="3"/>
        <v/>
      </c>
    </row>
    <row r="3836" spans="31:36">
      <c r="AE3836" s="15" t="str">
        <f t="shared" si="0"/>
        <v/>
      </c>
      <c r="AF3836" s="15" t="str">
        <f t="shared" si="1"/>
        <v/>
      </c>
      <c r="AG3836" s="15" t="str">
        <f>IF(OR(AF3836="",AF3836="ERRO_CHAVE"),"",IFERROR(MATCH(AF3836,'quitado Despesa'!$V$1:$V$12,0),""))</f>
        <v/>
      </c>
      <c r="AH3836" s="15" t="str">
        <f t="shared" si="2"/>
        <v/>
      </c>
      <c r="AI3836" s="17" t="str">
        <f>IF(AG3836="","",INDEX('quitado Despesa'!$G$1:$G$12,AG3836))</f>
        <v/>
      </c>
      <c r="AJ3836" s="17" t="str">
        <f t="shared" si="3"/>
        <v/>
      </c>
    </row>
    <row r="3837" spans="31:36">
      <c r="AE3837" s="15" t="str">
        <f t="shared" si="0"/>
        <v/>
      </c>
      <c r="AF3837" s="15" t="str">
        <f t="shared" si="1"/>
        <v/>
      </c>
      <c r="AG3837" s="15" t="str">
        <f>IF(OR(AF3837="",AF3837="ERRO_CHAVE"),"",IFERROR(MATCH(AF3837,'quitado Despesa'!$V$1:$V$12,0),""))</f>
        <v/>
      </c>
      <c r="AH3837" s="15" t="str">
        <f t="shared" si="2"/>
        <v/>
      </c>
      <c r="AI3837" s="17" t="str">
        <f>IF(AG3837="","",INDEX('quitado Despesa'!$G$1:$G$12,AG3837))</f>
        <v/>
      </c>
      <c r="AJ3837" s="17" t="str">
        <f t="shared" si="3"/>
        <v/>
      </c>
    </row>
    <row r="3838" spans="31:36">
      <c r="AE3838" s="15" t="str">
        <f t="shared" si="0"/>
        <v/>
      </c>
      <c r="AF3838" s="15" t="str">
        <f t="shared" si="1"/>
        <v/>
      </c>
      <c r="AG3838" s="15" t="str">
        <f>IF(OR(AF3838="",AF3838="ERRO_CHAVE"),"",IFERROR(MATCH(AF3838,'quitado Despesa'!$V$1:$V$12,0),""))</f>
        <v/>
      </c>
      <c r="AH3838" s="15" t="str">
        <f t="shared" si="2"/>
        <v/>
      </c>
      <c r="AI3838" s="17" t="str">
        <f>IF(AG3838="","",INDEX('quitado Despesa'!$G$1:$G$12,AG3838))</f>
        <v/>
      </c>
      <c r="AJ3838" s="17" t="str">
        <f t="shared" si="3"/>
        <v/>
      </c>
    </row>
    <row r="3839" spans="31:36">
      <c r="AE3839" s="15" t="str">
        <f t="shared" si="0"/>
        <v/>
      </c>
      <c r="AF3839" s="15" t="str">
        <f t="shared" si="1"/>
        <v/>
      </c>
      <c r="AG3839" s="15" t="str">
        <f>IF(OR(AF3839="",AF3839="ERRO_CHAVE"),"",IFERROR(MATCH(AF3839,'quitado Despesa'!$V$1:$V$12,0),""))</f>
        <v/>
      </c>
      <c r="AH3839" s="15" t="str">
        <f t="shared" si="2"/>
        <v/>
      </c>
      <c r="AI3839" s="17" t="str">
        <f>IF(AG3839="","",INDEX('quitado Despesa'!$G$1:$G$12,AG3839))</f>
        <v/>
      </c>
      <c r="AJ3839" s="17" t="str">
        <f t="shared" si="3"/>
        <v/>
      </c>
    </row>
    <row r="3840" spans="31:36">
      <c r="AE3840" s="15" t="str">
        <f t="shared" si="0"/>
        <v/>
      </c>
      <c r="AF3840" s="15" t="str">
        <f t="shared" si="1"/>
        <v/>
      </c>
      <c r="AG3840" s="15" t="str">
        <f>IF(OR(AF3840="",AF3840="ERRO_CHAVE"),"",IFERROR(MATCH(AF3840,'quitado Despesa'!$V$1:$V$12,0),""))</f>
        <v/>
      </c>
      <c r="AH3840" s="15" t="str">
        <f t="shared" si="2"/>
        <v/>
      </c>
      <c r="AI3840" s="17" t="str">
        <f>IF(AG3840="","",INDEX('quitado Despesa'!$G$1:$G$12,AG3840))</f>
        <v/>
      </c>
      <c r="AJ3840" s="17" t="str">
        <f t="shared" si="3"/>
        <v/>
      </c>
    </row>
    <row r="3841" spans="31:36">
      <c r="AE3841" s="15" t="str">
        <f t="shared" si="0"/>
        <v/>
      </c>
      <c r="AF3841" s="15" t="str">
        <f t="shared" si="1"/>
        <v/>
      </c>
      <c r="AG3841" s="15" t="str">
        <f>IF(OR(AF3841="",AF3841="ERRO_CHAVE"),"",IFERROR(MATCH(AF3841,'quitado Despesa'!$V$1:$V$12,0),""))</f>
        <v/>
      </c>
      <c r="AH3841" s="15" t="str">
        <f t="shared" si="2"/>
        <v/>
      </c>
      <c r="AI3841" s="17" t="str">
        <f>IF(AG3841="","",INDEX('quitado Despesa'!$G$1:$G$12,AG3841))</f>
        <v/>
      </c>
      <c r="AJ3841" s="17" t="str">
        <f t="shared" si="3"/>
        <v/>
      </c>
    </row>
    <row r="3842" spans="31:36">
      <c r="AE3842" s="15" t="str">
        <f t="shared" si="0"/>
        <v/>
      </c>
      <c r="AF3842" s="15" t="str">
        <f t="shared" si="1"/>
        <v/>
      </c>
      <c r="AG3842" s="15" t="str">
        <f>IF(OR(AF3842="",AF3842="ERRO_CHAVE"),"",IFERROR(MATCH(AF3842,'quitado Despesa'!$V$1:$V$12,0),""))</f>
        <v/>
      </c>
      <c r="AH3842" s="15" t="str">
        <f t="shared" si="2"/>
        <v/>
      </c>
      <c r="AI3842" s="17" t="str">
        <f>IF(AG3842="","",INDEX('quitado Despesa'!$G$1:$G$12,AG3842))</f>
        <v/>
      </c>
      <c r="AJ3842" s="17" t="str">
        <f t="shared" si="3"/>
        <v/>
      </c>
    </row>
    <row r="3843" spans="31:36">
      <c r="AE3843" s="15" t="str">
        <f t="shared" si="0"/>
        <v/>
      </c>
      <c r="AF3843" s="15" t="str">
        <f t="shared" si="1"/>
        <v/>
      </c>
      <c r="AG3843" s="15" t="str">
        <f>IF(OR(AF3843="",AF3843="ERRO_CHAVE"),"",IFERROR(MATCH(AF3843,'quitado Despesa'!$V$1:$V$12,0),""))</f>
        <v/>
      </c>
      <c r="AH3843" s="15" t="str">
        <f t="shared" si="2"/>
        <v/>
      </c>
      <c r="AI3843" s="17" t="str">
        <f>IF(AG3843="","",INDEX('quitado Despesa'!$G$1:$G$12,AG3843))</f>
        <v/>
      </c>
      <c r="AJ3843" s="17" t="str">
        <f t="shared" si="3"/>
        <v/>
      </c>
    </row>
    <row r="3844" spans="31:36">
      <c r="AE3844" s="15" t="str">
        <f t="shared" si="0"/>
        <v/>
      </c>
      <c r="AF3844" s="15" t="str">
        <f t="shared" si="1"/>
        <v/>
      </c>
      <c r="AG3844" s="15" t="str">
        <f>IF(OR(AF3844="",AF3844="ERRO_CHAVE"),"",IFERROR(MATCH(AF3844,'quitado Despesa'!$V$1:$V$12,0),""))</f>
        <v/>
      </c>
      <c r="AH3844" s="15" t="str">
        <f t="shared" si="2"/>
        <v/>
      </c>
      <c r="AI3844" s="17" t="str">
        <f>IF(AG3844="","",INDEX('quitado Despesa'!$G$1:$G$12,AG3844))</f>
        <v/>
      </c>
      <c r="AJ3844" s="17" t="str">
        <f t="shared" si="3"/>
        <v/>
      </c>
    </row>
    <row r="3845" spans="31:36">
      <c r="AE3845" s="15" t="str">
        <f t="shared" si="0"/>
        <v/>
      </c>
      <c r="AF3845" s="15" t="str">
        <f t="shared" si="1"/>
        <v/>
      </c>
      <c r="AG3845" s="15" t="str">
        <f>IF(OR(AF3845="",AF3845="ERRO_CHAVE"),"",IFERROR(MATCH(AF3845,'quitado Despesa'!$V$1:$V$12,0),""))</f>
        <v/>
      </c>
      <c r="AH3845" s="15" t="str">
        <f t="shared" si="2"/>
        <v/>
      </c>
      <c r="AI3845" s="17" t="str">
        <f>IF(AG3845="","",INDEX('quitado Despesa'!$G$1:$G$12,AG3845))</f>
        <v/>
      </c>
      <c r="AJ3845" s="17" t="str">
        <f t="shared" si="3"/>
        <v/>
      </c>
    </row>
    <row r="3846" spans="31:36">
      <c r="AE3846" s="15" t="str">
        <f t="shared" si="0"/>
        <v/>
      </c>
      <c r="AF3846" s="15" t="str">
        <f t="shared" si="1"/>
        <v/>
      </c>
      <c r="AG3846" s="15" t="str">
        <f>IF(OR(AF3846="",AF3846="ERRO_CHAVE"),"",IFERROR(MATCH(AF3846,'quitado Despesa'!$V$1:$V$12,0),""))</f>
        <v/>
      </c>
      <c r="AH3846" s="15" t="str">
        <f t="shared" si="2"/>
        <v/>
      </c>
      <c r="AI3846" s="17" t="str">
        <f>IF(AG3846="","",INDEX('quitado Despesa'!$G$1:$G$12,AG3846))</f>
        <v/>
      </c>
      <c r="AJ3846" s="17" t="str">
        <f t="shared" si="3"/>
        <v/>
      </c>
    </row>
    <row r="3847" spans="31:36">
      <c r="AE3847" s="15" t="str">
        <f t="shared" si="0"/>
        <v/>
      </c>
      <c r="AF3847" s="15" t="str">
        <f t="shared" si="1"/>
        <v/>
      </c>
      <c r="AG3847" s="15" t="str">
        <f>IF(OR(AF3847="",AF3847="ERRO_CHAVE"),"",IFERROR(MATCH(AF3847,'quitado Despesa'!$V$1:$V$12,0),""))</f>
        <v/>
      </c>
      <c r="AH3847" s="15" t="str">
        <f t="shared" si="2"/>
        <v/>
      </c>
      <c r="AI3847" s="17" t="str">
        <f>IF(AG3847="","",INDEX('quitado Despesa'!$G$1:$G$12,AG3847))</f>
        <v/>
      </c>
      <c r="AJ3847" s="17" t="str">
        <f t="shared" si="3"/>
        <v/>
      </c>
    </row>
    <row r="3848" spans="31:36">
      <c r="AE3848" s="15" t="str">
        <f t="shared" si="0"/>
        <v/>
      </c>
      <c r="AF3848" s="15" t="str">
        <f t="shared" si="1"/>
        <v/>
      </c>
      <c r="AG3848" s="15" t="str">
        <f>IF(OR(AF3848="",AF3848="ERRO_CHAVE"),"",IFERROR(MATCH(AF3848,'quitado Despesa'!$V$1:$V$12,0),""))</f>
        <v/>
      </c>
      <c r="AH3848" s="15" t="str">
        <f t="shared" si="2"/>
        <v/>
      </c>
      <c r="AI3848" s="17" t="str">
        <f>IF(AG3848="","",INDEX('quitado Despesa'!$G$1:$G$12,AG3848))</f>
        <v/>
      </c>
      <c r="AJ3848" s="17" t="str">
        <f t="shared" si="3"/>
        <v/>
      </c>
    </row>
    <row r="3849" spans="31:36">
      <c r="AE3849" s="15" t="str">
        <f t="shared" si="0"/>
        <v/>
      </c>
      <c r="AF3849" s="15" t="str">
        <f t="shared" si="1"/>
        <v/>
      </c>
      <c r="AG3849" s="15" t="str">
        <f>IF(OR(AF3849="",AF3849="ERRO_CHAVE"),"",IFERROR(MATCH(AF3849,'quitado Despesa'!$V$1:$V$12,0),""))</f>
        <v/>
      </c>
      <c r="AH3849" s="15" t="str">
        <f t="shared" si="2"/>
        <v/>
      </c>
      <c r="AI3849" s="17" t="str">
        <f>IF(AG3849="","",INDEX('quitado Despesa'!$G$1:$G$12,AG3849))</f>
        <v/>
      </c>
      <c r="AJ3849" s="17" t="str">
        <f t="shared" si="3"/>
        <v/>
      </c>
    </row>
    <row r="3850" spans="31:36">
      <c r="AE3850" s="15" t="str">
        <f t="shared" si="0"/>
        <v/>
      </c>
      <c r="AF3850" s="15" t="str">
        <f t="shared" si="1"/>
        <v/>
      </c>
      <c r="AG3850" s="15" t="str">
        <f>IF(OR(AF3850="",AF3850="ERRO_CHAVE"),"",IFERROR(MATCH(AF3850,'quitado Despesa'!$V$1:$V$12,0),""))</f>
        <v/>
      </c>
      <c r="AH3850" s="15" t="str">
        <f t="shared" si="2"/>
        <v/>
      </c>
      <c r="AI3850" s="17" t="str">
        <f>IF(AG3850="","",INDEX('quitado Despesa'!$G$1:$G$12,AG3850))</f>
        <v/>
      </c>
      <c r="AJ3850" s="17" t="str">
        <f t="shared" si="3"/>
        <v/>
      </c>
    </row>
    <row r="3851" spans="31:36">
      <c r="AE3851" s="15" t="str">
        <f t="shared" si="0"/>
        <v/>
      </c>
      <c r="AF3851" s="15" t="str">
        <f t="shared" si="1"/>
        <v/>
      </c>
      <c r="AG3851" s="15" t="str">
        <f>IF(OR(AF3851="",AF3851="ERRO_CHAVE"),"",IFERROR(MATCH(AF3851,'quitado Despesa'!$V$1:$V$12,0),""))</f>
        <v/>
      </c>
      <c r="AH3851" s="15" t="str">
        <f t="shared" si="2"/>
        <v/>
      </c>
      <c r="AI3851" s="17" t="str">
        <f>IF(AG3851="","",INDEX('quitado Despesa'!$G$1:$G$12,AG3851))</f>
        <v/>
      </c>
      <c r="AJ3851" s="17" t="str">
        <f t="shared" si="3"/>
        <v/>
      </c>
    </row>
    <row r="3852" spans="31:36">
      <c r="AE3852" s="15" t="str">
        <f t="shared" si="0"/>
        <v/>
      </c>
      <c r="AF3852" s="15" t="str">
        <f t="shared" si="1"/>
        <v/>
      </c>
      <c r="AG3852" s="15" t="str">
        <f>IF(OR(AF3852="",AF3852="ERRO_CHAVE"),"",IFERROR(MATCH(AF3852,'quitado Despesa'!$V$1:$V$12,0),""))</f>
        <v/>
      </c>
      <c r="AH3852" s="15" t="str">
        <f t="shared" si="2"/>
        <v/>
      </c>
      <c r="AI3852" s="17" t="str">
        <f>IF(AG3852="","",INDEX('quitado Despesa'!$G$1:$G$12,AG3852))</f>
        <v/>
      </c>
      <c r="AJ3852" s="17" t="str">
        <f t="shared" si="3"/>
        <v/>
      </c>
    </row>
    <row r="3853" spans="31:36">
      <c r="AE3853" s="15" t="str">
        <f t="shared" si="0"/>
        <v/>
      </c>
      <c r="AF3853" s="15" t="str">
        <f t="shared" si="1"/>
        <v/>
      </c>
      <c r="AG3853" s="15" t="str">
        <f>IF(OR(AF3853="",AF3853="ERRO_CHAVE"),"",IFERROR(MATCH(AF3853,'quitado Despesa'!$V$1:$V$12,0),""))</f>
        <v/>
      </c>
      <c r="AH3853" s="15" t="str">
        <f t="shared" si="2"/>
        <v/>
      </c>
      <c r="AI3853" s="17" t="str">
        <f>IF(AG3853="","",INDEX('quitado Despesa'!$G$1:$G$12,AG3853))</f>
        <v/>
      </c>
      <c r="AJ3853" s="17" t="str">
        <f t="shared" si="3"/>
        <v/>
      </c>
    </row>
    <row r="3854" spans="31:36">
      <c r="AE3854" s="15" t="str">
        <f t="shared" si="0"/>
        <v/>
      </c>
      <c r="AF3854" s="15" t="str">
        <f t="shared" si="1"/>
        <v/>
      </c>
      <c r="AG3854" s="15" t="str">
        <f>IF(OR(AF3854="",AF3854="ERRO_CHAVE"),"",IFERROR(MATCH(AF3854,'quitado Despesa'!$V$1:$V$12,0),""))</f>
        <v/>
      </c>
      <c r="AH3854" s="15" t="str">
        <f t="shared" si="2"/>
        <v/>
      </c>
      <c r="AI3854" s="17" t="str">
        <f>IF(AG3854="","",INDEX('quitado Despesa'!$G$1:$G$12,AG3854))</f>
        <v/>
      </c>
      <c r="AJ3854" s="17" t="str">
        <f t="shared" si="3"/>
        <v/>
      </c>
    </row>
    <row r="3855" spans="31:36">
      <c r="AE3855" s="15" t="str">
        <f t="shared" si="0"/>
        <v/>
      </c>
      <c r="AF3855" s="15" t="str">
        <f t="shared" si="1"/>
        <v/>
      </c>
      <c r="AG3855" s="15" t="str">
        <f>IF(OR(AF3855="",AF3855="ERRO_CHAVE"),"",IFERROR(MATCH(AF3855,'quitado Despesa'!$V$1:$V$12,0),""))</f>
        <v/>
      </c>
      <c r="AH3855" s="15" t="str">
        <f t="shared" si="2"/>
        <v/>
      </c>
      <c r="AI3855" s="17" t="str">
        <f>IF(AG3855="","",INDEX('quitado Despesa'!$G$1:$G$12,AG3855))</f>
        <v/>
      </c>
      <c r="AJ3855" s="17" t="str">
        <f t="shared" si="3"/>
        <v/>
      </c>
    </row>
    <row r="3856" spans="31:36">
      <c r="AE3856" s="15" t="str">
        <f t="shared" si="0"/>
        <v/>
      </c>
      <c r="AF3856" s="15" t="str">
        <f t="shared" si="1"/>
        <v/>
      </c>
      <c r="AG3856" s="15" t="str">
        <f>IF(OR(AF3856="",AF3856="ERRO_CHAVE"),"",IFERROR(MATCH(AF3856,'quitado Despesa'!$V$1:$V$12,0),""))</f>
        <v/>
      </c>
      <c r="AH3856" s="15" t="str">
        <f t="shared" si="2"/>
        <v/>
      </c>
      <c r="AI3856" s="17" t="str">
        <f>IF(AG3856="","",INDEX('quitado Despesa'!$G$1:$G$12,AG3856))</f>
        <v/>
      </c>
      <c r="AJ3856" s="17" t="str">
        <f t="shared" si="3"/>
        <v/>
      </c>
    </row>
    <row r="3857" spans="31:36">
      <c r="AE3857" s="15" t="str">
        <f t="shared" si="0"/>
        <v/>
      </c>
      <c r="AF3857" s="15" t="str">
        <f t="shared" si="1"/>
        <v/>
      </c>
      <c r="AG3857" s="15" t="str">
        <f>IF(OR(AF3857="",AF3857="ERRO_CHAVE"),"",IFERROR(MATCH(AF3857,'quitado Despesa'!$V$1:$V$12,0),""))</f>
        <v/>
      </c>
      <c r="AH3857" s="15" t="str">
        <f t="shared" si="2"/>
        <v/>
      </c>
      <c r="AI3857" s="17" t="str">
        <f>IF(AG3857="","",INDEX('quitado Despesa'!$G$1:$G$12,AG3857))</f>
        <v/>
      </c>
      <c r="AJ3857" s="17" t="str">
        <f t="shared" si="3"/>
        <v/>
      </c>
    </row>
    <row r="3858" spans="31:36">
      <c r="AE3858" s="15" t="str">
        <f t="shared" si="0"/>
        <v/>
      </c>
      <c r="AF3858" s="15" t="str">
        <f t="shared" si="1"/>
        <v/>
      </c>
      <c r="AG3858" s="15" t="str">
        <f>IF(OR(AF3858="",AF3858="ERRO_CHAVE"),"",IFERROR(MATCH(AF3858,'quitado Despesa'!$V$1:$V$12,0),""))</f>
        <v/>
      </c>
      <c r="AH3858" s="15" t="str">
        <f t="shared" si="2"/>
        <v/>
      </c>
      <c r="AI3858" s="17" t="str">
        <f>IF(AG3858="","",INDEX('quitado Despesa'!$G$1:$G$12,AG3858))</f>
        <v/>
      </c>
      <c r="AJ3858" s="17" t="str">
        <f t="shared" si="3"/>
        <v/>
      </c>
    </row>
    <row r="3859" spans="31:36">
      <c r="AE3859" s="15" t="str">
        <f t="shared" si="0"/>
        <v/>
      </c>
      <c r="AF3859" s="15" t="str">
        <f t="shared" si="1"/>
        <v/>
      </c>
      <c r="AG3859" s="15" t="str">
        <f>IF(OR(AF3859="",AF3859="ERRO_CHAVE"),"",IFERROR(MATCH(AF3859,'quitado Despesa'!$V$1:$V$12,0),""))</f>
        <v/>
      </c>
      <c r="AH3859" s="15" t="str">
        <f t="shared" si="2"/>
        <v/>
      </c>
      <c r="AI3859" s="17" t="str">
        <f>IF(AG3859="","",INDEX('quitado Despesa'!$G$1:$G$12,AG3859))</f>
        <v/>
      </c>
      <c r="AJ3859" s="17" t="str">
        <f t="shared" si="3"/>
        <v/>
      </c>
    </row>
    <row r="3860" spans="31:36">
      <c r="AE3860" s="15" t="str">
        <f t="shared" si="0"/>
        <v/>
      </c>
      <c r="AF3860" s="15" t="str">
        <f t="shared" si="1"/>
        <v/>
      </c>
      <c r="AG3860" s="15" t="str">
        <f>IF(OR(AF3860="",AF3860="ERRO_CHAVE"),"",IFERROR(MATCH(AF3860,'quitado Despesa'!$V$1:$V$12,0),""))</f>
        <v/>
      </c>
      <c r="AH3860" s="15" t="str">
        <f t="shared" si="2"/>
        <v/>
      </c>
      <c r="AI3860" s="17" t="str">
        <f>IF(AG3860="","",INDEX('quitado Despesa'!$G$1:$G$12,AG3860))</f>
        <v/>
      </c>
      <c r="AJ3860" s="17" t="str">
        <f t="shared" si="3"/>
        <v/>
      </c>
    </row>
    <row r="3861" spans="31:36">
      <c r="AE3861" s="15" t="str">
        <f t="shared" si="0"/>
        <v/>
      </c>
      <c r="AF3861" s="15" t="str">
        <f t="shared" si="1"/>
        <v/>
      </c>
      <c r="AG3861" s="15" t="str">
        <f>IF(OR(AF3861="",AF3861="ERRO_CHAVE"),"",IFERROR(MATCH(AF3861,'quitado Despesa'!$V$1:$V$12,0),""))</f>
        <v/>
      </c>
      <c r="AH3861" s="15" t="str">
        <f t="shared" si="2"/>
        <v/>
      </c>
      <c r="AI3861" s="17" t="str">
        <f>IF(AG3861="","",INDEX('quitado Despesa'!$G$1:$G$12,AG3861))</f>
        <v/>
      </c>
      <c r="AJ3861" s="17" t="str">
        <f t="shared" si="3"/>
        <v/>
      </c>
    </row>
    <row r="3862" spans="31:36">
      <c r="AE3862" s="15" t="str">
        <f t="shared" si="0"/>
        <v/>
      </c>
      <c r="AF3862" s="15" t="str">
        <f t="shared" si="1"/>
        <v/>
      </c>
      <c r="AG3862" s="15" t="str">
        <f>IF(OR(AF3862="",AF3862="ERRO_CHAVE"),"",IFERROR(MATCH(AF3862,'quitado Despesa'!$V$1:$V$12,0),""))</f>
        <v/>
      </c>
      <c r="AH3862" s="15" t="str">
        <f t="shared" si="2"/>
        <v/>
      </c>
      <c r="AI3862" s="17" t="str">
        <f>IF(AG3862="","",INDEX('quitado Despesa'!$G$1:$G$12,AG3862))</f>
        <v/>
      </c>
      <c r="AJ3862" s="17" t="str">
        <f t="shared" si="3"/>
        <v/>
      </c>
    </row>
    <row r="3863" spans="31:36">
      <c r="AE3863" s="15" t="str">
        <f t="shared" si="0"/>
        <v/>
      </c>
      <c r="AF3863" s="15" t="str">
        <f t="shared" si="1"/>
        <v/>
      </c>
      <c r="AG3863" s="15" t="str">
        <f>IF(OR(AF3863="",AF3863="ERRO_CHAVE"),"",IFERROR(MATCH(AF3863,'quitado Despesa'!$V$1:$V$12,0),""))</f>
        <v/>
      </c>
      <c r="AH3863" s="15" t="str">
        <f t="shared" si="2"/>
        <v/>
      </c>
      <c r="AI3863" s="17" t="str">
        <f>IF(AG3863="","",INDEX('quitado Despesa'!$G$1:$G$12,AG3863))</f>
        <v/>
      </c>
      <c r="AJ3863" s="17" t="str">
        <f t="shared" si="3"/>
        <v/>
      </c>
    </row>
    <row r="3864" spans="31:36">
      <c r="AE3864" s="15" t="str">
        <f t="shared" si="0"/>
        <v/>
      </c>
      <c r="AF3864" s="15" t="str">
        <f t="shared" si="1"/>
        <v/>
      </c>
      <c r="AG3864" s="15" t="str">
        <f>IF(OR(AF3864="",AF3864="ERRO_CHAVE"),"",IFERROR(MATCH(AF3864,'quitado Despesa'!$V$1:$V$12,0),""))</f>
        <v/>
      </c>
      <c r="AH3864" s="15" t="str">
        <f t="shared" si="2"/>
        <v/>
      </c>
      <c r="AI3864" s="17" t="str">
        <f>IF(AG3864="","",INDEX('quitado Despesa'!$G$1:$G$12,AG3864))</f>
        <v/>
      </c>
      <c r="AJ3864" s="17" t="str">
        <f t="shared" si="3"/>
        <v/>
      </c>
    </row>
    <row r="3865" spans="31:36">
      <c r="AE3865" s="15" t="str">
        <f t="shared" si="0"/>
        <v/>
      </c>
      <c r="AF3865" s="15" t="str">
        <f t="shared" si="1"/>
        <v/>
      </c>
      <c r="AG3865" s="15" t="str">
        <f>IF(OR(AF3865="",AF3865="ERRO_CHAVE"),"",IFERROR(MATCH(AF3865,'quitado Despesa'!$V$1:$V$12,0),""))</f>
        <v/>
      </c>
      <c r="AH3865" s="15" t="str">
        <f t="shared" si="2"/>
        <v/>
      </c>
      <c r="AI3865" s="17" t="str">
        <f>IF(AG3865="","",INDEX('quitado Despesa'!$G$1:$G$12,AG3865))</f>
        <v/>
      </c>
      <c r="AJ3865" s="17" t="str">
        <f t="shared" si="3"/>
        <v/>
      </c>
    </row>
    <row r="3866" spans="31:36">
      <c r="AE3866" s="15" t="str">
        <f t="shared" si="0"/>
        <v/>
      </c>
      <c r="AF3866" s="15" t="str">
        <f t="shared" si="1"/>
        <v/>
      </c>
      <c r="AG3866" s="15" t="str">
        <f>IF(OR(AF3866="",AF3866="ERRO_CHAVE"),"",IFERROR(MATCH(AF3866,'quitado Despesa'!$V$1:$V$12,0),""))</f>
        <v/>
      </c>
      <c r="AH3866" s="15" t="str">
        <f t="shared" si="2"/>
        <v/>
      </c>
      <c r="AI3866" s="17" t="str">
        <f>IF(AG3866="","",INDEX('quitado Despesa'!$G$1:$G$12,AG3866))</f>
        <v/>
      </c>
      <c r="AJ3866" s="17" t="str">
        <f t="shared" si="3"/>
        <v/>
      </c>
    </row>
    <row r="3867" spans="31:36">
      <c r="AE3867" s="15" t="str">
        <f t="shared" si="0"/>
        <v/>
      </c>
      <c r="AF3867" s="15" t="str">
        <f t="shared" si="1"/>
        <v/>
      </c>
      <c r="AG3867" s="15" t="str">
        <f>IF(OR(AF3867="",AF3867="ERRO_CHAVE"),"",IFERROR(MATCH(AF3867,'quitado Despesa'!$V$1:$V$12,0),""))</f>
        <v/>
      </c>
      <c r="AH3867" s="15" t="str">
        <f t="shared" si="2"/>
        <v/>
      </c>
      <c r="AI3867" s="17" t="str">
        <f>IF(AG3867="","",INDEX('quitado Despesa'!$G$1:$G$12,AG3867))</f>
        <v/>
      </c>
      <c r="AJ3867" s="17" t="str">
        <f t="shared" si="3"/>
        <v/>
      </c>
    </row>
    <row r="3868" spans="31:36">
      <c r="AE3868" s="15" t="str">
        <f t="shared" si="0"/>
        <v/>
      </c>
      <c r="AF3868" s="15" t="str">
        <f t="shared" si="1"/>
        <v/>
      </c>
      <c r="AG3868" s="15" t="str">
        <f>IF(OR(AF3868="",AF3868="ERRO_CHAVE"),"",IFERROR(MATCH(AF3868,'quitado Despesa'!$V$1:$V$12,0),""))</f>
        <v/>
      </c>
      <c r="AH3868" s="15" t="str">
        <f t="shared" si="2"/>
        <v/>
      </c>
      <c r="AI3868" s="17" t="str">
        <f>IF(AG3868="","",INDEX('quitado Despesa'!$G$1:$G$12,AG3868))</f>
        <v/>
      </c>
      <c r="AJ3868" s="17" t="str">
        <f t="shared" si="3"/>
        <v/>
      </c>
    </row>
    <row r="3869" spans="31:36">
      <c r="AE3869" s="15" t="str">
        <f t="shared" si="0"/>
        <v/>
      </c>
      <c r="AF3869" s="15" t="str">
        <f t="shared" si="1"/>
        <v/>
      </c>
      <c r="AG3869" s="15" t="str">
        <f>IF(OR(AF3869="",AF3869="ERRO_CHAVE"),"",IFERROR(MATCH(AF3869,'quitado Despesa'!$V$1:$V$12,0),""))</f>
        <v/>
      </c>
      <c r="AH3869" s="15" t="str">
        <f t="shared" si="2"/>
        <v/>
      </c>
      <c r="AI3869" s="17" t="str">
        <f>IF(AG3869="","",INDEX('quitado Despesa'!$G$1:$G$12,AG3869))</f>
        <v/>
      </c>
      <c r="AJ3869" s="17" t="str">
        <f t="shared" si="3"/>
        <v/>
      </c>
    </row>
    <row r="3870" spans="31:36">
      <c r="AE3870" s="15" t="str">
        <f t="shared" si="0"/>
        <v/>
      </c>
      <c r="AF3870" s="15" t="str">
        <f t="shared" si="1"/>
        <v/>
      </c>
      <c r="AG3870" s="15" t="str">
        <f>IF(OR(AF3870="",AF3870="ERRO_CHAVE"),"",IFERROR(MATCH(AF3870,'quitado Despesa'!$V$1:$V$12,0),""))</f>
        <v/>
      </c>
      <c r="AH3870" s="15" t="str">
        <f t="shared" si="2"/>
        <v/>
      </c>
      <c r="AI3870" s="17" t="str">
        <f>IF(AG3870="","",INDEX('quitado Despesa'!$G$1:$G$12,AG3870))</f>
        <v/>
      </c>
      <c r="AJ3870" s="17" t="str">
        <f t="shared" si="3"/>
        <v/>
      </c>
    </row>
    <row r="3871" spans="31:36">
      <c r="AE3871" s="15" t="str">
        <f t="shared" si="0"/>
        <v/>
      </c>
      <c r="AF3871" s="15" t="str">
        <f t="shared" si="1"/>
        <v/>
      </c>
      <c r="AG3871" s="15" t="str">
        <f>IF(OR(AF3871="",AF3871="ERRO_CHAVE"),"",IFERROR(MATCH(AF3871,'quitado Despesa'!$V$1:$V$12,0),""))</f>
        <v/>
      </c>
      <c r="AH3871" s="15" t="str">
        <f t="shared" si="2"/>
        <v/>
      </c>
      <c r="AI3871" s="17" t="str">
        <f>IF(AG3871="","",INDEX('quitado Despesa'!$G$1:$G$12,AG3871))</f>
        <v/>
      </c>
      <c r="AJ3871" s="17" t="str">
        <f t="shared" si="3"/>
        <v/>
      </c>
    </row>
    <row r="3872" spans="31:36">
      <c r="AE3872" s="15" t="str">
        <f t="shared" si="0"/>
        <v/>
      </c>
      <c r="AF3872" s="15" t="str">
        <f t="shared" si="1"/>
        <v/>
      </c>
      <c r="AG3872" s="15" t="str">
        <f>IF(OR(AF3872="",AF3872="ERRO_CHAVE"),"",IFERROR(MATCH(AF3872,'quitado Despesa'!$V$1:$V$12,0),""))</f>
        <v/>
      </c>
      <c r="AH3872" s="15" t="str">
        <f t="shared" si="2"/>
        <v/>
      </c>
      <c r="AI3872" s="17" t="str">
        <f>IF(AG3872="","",INDEX('quitado Despesa'!$G$1:$G$12,AG3872))</f>
        <v/>
      </c>
      <c r="AJ3872" s="17" t="str">
        <f t="shared" si="3"/>
        <v/>
      </c>
    </row>
    <row r="3873" spans="31:36">
      <c r="AE3873" s="15" t="str">
        <f t="shared" si="0"/>
        <v/>
      </c>
      <c r="AF3873" s="15" t="str">
        <f t="shared" si="1"/>
        <v/>
      </c>
      <c r="AG3873" s="15" t="str">
        <f>IF(OR(AF3873="",AF3873="ERRO_CHAVE"),"",IFERROR(MATCH(AF3873,'quitado Despesa'!$V$1:$V$12,0),""))</f>
        <v/>
      </c>
      <c r="AH3873" s="15" t="str">
        <f t="shared" si="2"/>
        <v/>
      </c>
      <c r="AI3873" s="17" t="str">
        <f>IF(AG3873="","",INDEX('quitado Despesa'!$G$1:$G$12,AG3873))</f>
        <v/>
      </c>
      <c r="AJ3873" s="17" t="str">
        <f t="shared" si="3"/>
        <v/>
      </c>
    </row>
    <row r="3874" spans="31:36">
      <c r="AE3874" s="15" t="str">
        <f t="shared" si="0"/>
        <v/>
      </c>
      <c r="AF3874" s="15" t="str">
        <f t="shared" si="1"/>
        <v/>
      </c>
      <c r="AG3874" s="15" t="str">
        <f>IF(OR(AF3874="",AF3874="ERRO_CHAVE"),"",IFERROR(MATCH(AF3874,'quitado Despesa'!$V$1:$V$12,0),""))</f>
        <v/>
      </c>
      <c r="AH3874" s="15" t="str">
        <f t="shared" si="2"/>
        <v/>
      </c>
      <c r="AI3874" s="17" t="str">
        <f>IF(AG3874="","",INDEX('quitado Despesa'!$G$1:$G$12,AG3874))</f>
        <v/>
      </c>
      <c r="AJ3874" s="17" t="str">
        <f t="shared" si="3"/>
        <v/>
      </c>
    </row>
    <row r="3875" spans="31:36">
      <c r="AE3875" s="15" t="str">
        <f t="shared" si="0"/>
        <v/>
      </c>
      <c r="AF3875" s="15" t="str">
        <f t="shared" si="1"/>
        <v/>
      </c>
      <c r="AG3875" s="15" t="str">
        <f>IF(OR(AF3875="",AF3875="ERRO_CHAVE"),"",IFERROR(MATCH(AF3875,'quitado Despesa'!$V$1:$V$12,0),""))</f>
        <v/>
      </c>
      <c r="AH3875" s="15" t="str">
        <f t="shared" si="2"/>
        <v/>
      </c>
      <c r="AI3875" s="17" t="str">
        <f>IF(AG3875="","",INDEX('quitado Despesa'!$G$1:$G$12,AG3875))</f>
        <v/>
      </c>
      <c r="AJ3875" s="17" t="str">
        <f t="shared" si="3"/>
        <v/>
      </c>
    </row>
    <row r="3876" spans="31:36">
      <c r="AE3876" s="15" t="str">
        <f t="shared" si="0"/>
        <v/>
      </c>
      <c r="AF3876" s="15" t="str">
        <f t="shared" si="1"/>
        <v/>
      </c>
      <c r="AG3876" s="15" t="str">
        <f>IF(OR(AF3876="",AF3876="ERRO_CHAVE"),"",IFERROR(MATCH(AF3876,'quitado Despesa'!$V$1:$V$12,0),""))</f>
        <v/>
      </c>
      <c r="AH3876" s="15" t="str">
        <f t="shared" si="2"/>
        <v/>
      </c>
      <c r="AI3876" s="17" t="str">
        <f>IF(AG3876="","",INDEX('quitado Despesa'!$G$1:$G$12,AG3876))</f>
        <v/>
      </c>
      <c r="AJ3876" s="17" t="str">
        <f t="shared" si="3"/>
        <v/>
      </c>
    </row>
    <row r="3877" spans="31:36">
      <c r="AE3877" s="15" t="str">
        <f t="shared" si="0"/>
        <v/>
      </c>
      <c r="AF3877" s="15" t="str">
        <f t="shared" si="1"/>
        <v/>
      </c>
      <c r="AG3877" s="15" t="str">
        <f>IF(OR(AF3877="",AF3877="ERRO_CHAVE"),"",IFERROR(MATCH(AF3877,'quitado Despesa'!$V$1:$V$12,0),""))</f>
        <v/>
      </c>
      <c r="AH3877" s="15" t="str">
        <f t="shared" si="2"/>
        <v/>
      </c>
      <c r="AI3877" s="17" t="str">
        <f>IF(AG3877="","",INDEX('quitado Despesa'!$G$1:$G$12,AG3877))</f>
        <v/>
      </c>
      <c r="AJ3877" s="17" t="str">
        <f t="shared" si="3"/>
        <v/>
      </c>
    </row>
    <row r="3878" spans="31:36">
      <c r="AE3878" s="15" t="str">
        <f t="shared" si="0"/>
        <v/>
      </c>
      <c r="AF3878" s="15" t="str">
        <f t="shared" si="1"/>
        <v/>
      </c>
      <c r="AG3878" s="15" t="str">
        <f>IF(OR(AF3878="",AF3878="ERRO_CHAVE"),"",IFERROR(MATCH(AF3878,'quitado Despesa'!$V$1:$V$12,0),""))</f>
        <v/>
      </c>
      <c r="AH3878" s="15" t="str">
        <f t="shared" si="2"/>
        <v/>
      </c>
      <c r="AI3878" s="17" t="str">
        <f>IF(AG3878="","",INDEX('quitado Despesa'!$G$1:$G$12,AG3878))</f>
        <v/>
      </c>
      <c r="AJ3878" s="17" t="str">
        <f t="shared" si="3"/>
        <v/>
      </c>
    </row>
    <row r="3879" spans="31:36">
      <c r="AE3879" s="15" t="str">
        <f t="shared" si="0"/>
        <v/>
      </c>
      <c r="AF3879" s="15" t="str">
        <f t="shared" si="1"/>
        <v/>
      </c>
      <c r="AG3879" s="15" t="str">
        <f>IF(OR(AF3879="",AF3879="ERRO_CHAVE"),"",IFERROR(MATCH(AF3879,'quitado Despesa'!$V$1:$V$12,0),""))</f>
        <v/>
      </c>
      <c r="AH3879" s="15" t="str">
        <f t="shared" si="2"/>
        <v/>
      </c>
      <c r="AI3879" s="17" t="str">
        <f>IF(AG3879="","",INDEX('quitado Despesa'!$G$1:$G$12,AG3879))</f>
        <v/>
      </c>
      <c r="AJ3879" s="17" t="str">
        <f t="shared" si="3"/>
        <v/>
      </c>
    </row>
    <row r="3880" spans="31:36">
      <c r="AE3880" s="15" t="str">
        <f t="shared" si="0"/>
        <v/>
      </c>
      <c r="AF3880" s="15" t="str">
        <f t="shared" si="1"/>
        <v/>
      </c>
      <c r="AG3880" s="15" t="str">
        <f>IF(OR(AF3880="",AF3880="ERRO_CHAVE"),"",IFERROR(MATCH(AF3880,'quitado Despesa'!$V$1:$V$12,0),""))</f>
        <v/>
      </c>
      <c r="AH3880" s="15" t="str">
        <f t="shared" si="2"/>
        <v/>
      </c>
      <c r="AI3880" s="17" t="str">
        <f>IF(AG3880="","",INDEX('quitado Despesa'!$G$1:$G$12,AG3880))</f>
        <v/>
      </c>
      <c r="AJ3880" s="17" t="str">
        <f t="shared" si="3"/>
        <v/>
      </c>
    </row>
    <row r="3881" spans="31:36">
      <c r="AE3881" s="15" t="str">
        <f t="shared" si="0"/>
        <v/>
      </c>
      <c r="AF3881" s="15" t="str">
        <f t="shared" si="1"/>
        <v/>
      </c>
      <c r="AG3881" s="15" t="str">
        <f>IF(OR(AF3881="",AF3881="ERRO_CHAVE"),"",IFERROR(MATCH(AF3881,'quitado Despesa'!$V$1:$V$12,0),""))</f>
        <v/>
      </c>
      <c r="AH3881" s="15" t="str">
        <f t="shared" si="2"/>
        <v/>
      </c>
      <c r="AI3881" s="17" t="str">
        <f>IF(AG3881="","",INDEX('quitado Despesa'!$G$1:$G$12,AG3881))</f>
        <v/>
      </c>
      <c r="AJ3881" s="17" t="str">
        <f t="shared" si="3"/>
        <v/>
      </c>
    </row>
    <row r="3882" spans="31:36">
      <c r="AE3882" s="15" t="str">
        <f t="shared" si="0"/>
        <v/>
      </c>
      <c r="AF3882" s="15" t="str">
        <f t="shared" si="1"/>
        <v/>
      </c>
      <c r="AG3882" s="15" t="str">
        <f>IF(OR(AF3882="",AF3882="ERRO_CHAVE"),"",IFERROR(MATCH(AF3882,'quitado Despesa'!$V$1:$V$12,0),""))</f>
        <v/>
      </c>
      <c r="AH3882" s="15" t="str">
        <f t="shared" si="2"/>
        <v/>
      </c>
      <c r="AI3882" s="17" t="str">
        <f>IF(AG3882="","",INDEX('quitado Despesa'!$G$1:$G$12,AG3882))</f>
        <v/>
      </c>
      <c r="AJ3882" s="17" t="str">
        <f t="shared" si="3"/>
        <v/>
      </c>
    </row>
    <row r="3883" spans="31:36">
      <c r="AE3883" s="15" t="str">
        <f t="shared" si="0"/>
        <v/>
      </c>
      <c r="AF3883" s="15" t="str">
        <f t="shared" si="1"/>
        <v/>
      </c>
      <c r="AG3883" s="15" t="str">
        <f>IF(OR(AF3883="",AF3883="ERRO_CHAVE"),"",IFERROR(MATCH(AF3883,'quitado Despesa'!$V$1:$V$12,0),""))</f>
        <v/>
      </c>
      <c r="AH3883" s="15" t="str">
        <f t="shared" si="2"/>
        <v/>
      </c>
      <c r="AI3883" s="17" t="str">
        <f>IF(AG3883="","",INDEX('quitado Despesa'!$G$1:$G$12,AG3883))</f>
        <v/>
      </c>
      <c r="AJ3883" s="17" t="str">
        <f t="shared" si="3"/>
        <v/>
      </c>
    </row>
    <row r="3884" spans="31:36">
      <c r="AE3884" s="15" t="str">
        <f t="shared" si="0"/>
        <v/>
      </c>
      <c r="AF3884" s="15" t="str">
        <f t="shared" si="1"/>
        <v/>
      </c>
      <c r="AG3884" s="15" t="str">
        <f>IF(OR(AF3884="",AF3884="ERRO_CHAVE"),"",IFERROR(MATCH(AF3884,'quitado Despesa'!$V$1:$V$12,0),""))</f>
        <v/>
      </c>
      <c r="AH3884" s="15" t="str">
        <f t="shared" si="2"/>
        <v/>
      </c>
      <c r="AI3884" s="17" t="str">
        <f>IF(AG3884="","",INDEX('quitado Despesa'!$G$1:$G$12,AG3884))</f>
        <v/>
      </c>
      <c r="AJ3884" s="17" t="str">
        <f t="shared" si="3"/>
        <v/>
      </c>
    </row>
    <row r="3885" spans="31:36">
      <c r="AE3885" s="15" t="str">
        <f t="shared" si="0"/>
        <v/>
      </c>
      <c r="AF3885" s="15" t="str">
        <f t="shared" si="1"/>
        <v/>
      </c>
      <c r="AG3885" s="15" t="str">
        <f>IF(OR(AF3885="",AF3885="ERRO_CHAVE"),"",IFERROR(MATCH(AF3885,'quitado Despesa'!$V$1:$V$12,0),""))</f>
        <v/>
      </c>
      <c r="AH3885" s="15" t="str">
        <f t="shared" si="2"/>
        <v/>
      </c>
      <c r="AI3885" s="17" t="str">
        <f>IF(AG3885="","",INDEX('quitado Despesa'!$G$1:$G$12,AG3885))</f>
        <v/>
      </c>
      <c r="AJ3885" s="17" t="str">
        <f t="shared" si="3"/>
        <v/>
      </c>
    </row>
    <row r="3886" spans="31:36">
      <c r="AE3886" s="15" t="str">
        <f t="shared" si="0"/>
        <v/>
      </c>
      <c r="AF3886" s="15" t="str">
        <f t="shared" si="1"/>
        <v/>
      </c>
      <c r="AG3886" s="15" t="str">
        <f>IF(OR(AF3886="",AF3886="ERRO_CHAVE"),"",IFERROR(MATCH(AF3886,'quitado Despesa'!$V$1:$V$12,0),""))</f>
        <v/>
      </c>
      <c r="AH3886" s="15" t="str">
        <f t="shared" si="2"/>
        <v/>
      </c>
      <c r="AI3886" s="17" t="str">
        <f>IF(AG3886="","",INDEX('quitado Despesa'!$G$1:$G$12,AG3886))</f>
        <v/>
      </c>
      <c r="AJ3886" s="17" t="str">
        <f t="shared" si="3"/>
        <v/>
      </c>
    </row>
    <row r="3887" spans="31:36">
      <c r="AE3887" s="15" t="str">
        <f t="shared" si="0"/>
        <v/>
      </c>
      <c r="AF3887" s="15" t="str">
        <f t="shared" si="1"/>
        <v/>
      </c>
      <c r="AG3887" s="15" t="str">
        <f>IF(OR(AF3887="",AF3887="ERRO_CHAVE"),"",IFERROR(MATCH(AF3887,'quitado Despesa'!$V$1:$V$12,0),""))</f>
        <v/>
      </c>
      <c r="AH3887" s="15" t="str">
        <f t="shared" si="2"/>
        <v/>
      </c>
      <c r="AI3887" s="17" t="str">
        <f>IF(AG3887="","",INDEX('quitado Despesa'!$G$1:$G$12,AG3887))</f>
        <v/>
      </c>
      <c r="AJ3887" s="17" t="str">
        <f t="shared" si="3"/>
        <v/>
      </c>
    </row>
    <row r="3888" spans="31:36">
      <c r="AE3888" s="15" t="str">
        <f t="shared" si="0"/>
        <v/>
      </c>
      <c r="AF3888" s="15" t="str">
        <f t="shared" si="1"/>
        <v/>
      </c>
      <c r="AG3888" s="15" t="str">
        <f>IF(OR(AF3888="",AF3888="ERRO_CHAVE"),"",IFERROR(MATCH(AF3888,'quitado Despesa'!$V$1:$V$12,0),""))</f>
        <v/>
      </c>
      <c r="AH3888" s="15" t="str">
        <f t="shared" si="2"/>
        <v/>
      </c>
      <c r="AI3888" s="17" t="str">
        <f>IF(AG3888="","",INDEX('quitado Despesa'!$G$1:$G$12,AG3888))</f>
        <v/>
      </c>
      <c r="AJ3888" s="17" t="str">
        <f t="shared" si="3"/>
        <v/>
      </c>
    </row>
    <row r="3889" spans="31:36">
      <c r="AE3889" s="15" t="str">
        <f t="shared" si="0"/>
        <v/>
      </c>
      <c r="AF3889" s="15" t="str">
        <f t="shared" si="1"/>
        <v/>
      </c>
      <c r="AG3889" s="15" t="str">
        <f>IF(OR(AF3889="",AF3889="ERRO_CHAVE"),"",IFERROR(MATCH(AF3889,'quitado Despesa'!$V$1:$V$12,0),""))</f>
        <v/>
      </c>
      <c r="AH3889" s="15" t="str">
        <f t="shared" si="2"/>
        <v/>
      </c>
      <c r="AI3889" s="17" t="str">
        <f>IF(AG3889="","",INDEX('quitado Despesa'!$G$1:$G$12,AG3889))</f>
        <v/>
      </c>
      <c r="AJ3889" s="17" t="str">
        <f t="shared" si="3"/>
        <v/>
      </c>
    </row>
    <row r="3890" spans="31:36">
      <c r="AE3890" s="15" t="str">
        <f t="shared" si="0"/>
        <v/>
      </c>
      <c r="AF3890" s="15" t="str">
        <f t="shared" si="1"/>
        <v/>
      </c>
      <c r="AG3890" s="15" t="str">
        <f>IF(OR(AF3890="",AF3890="ERRO_CHAVE"),"",IFERROR(MATCH(AF3890,'quitado Despesa'!$V$1:$V$12,0),""))</f>
        <v/>
      </c>
      <c r="AH3890" s="15" t="str">
        <f t="shared" si="2"/>
        <v/>
      </c>
      <c r="AI3890" s="17" t="str">
        <f>IF(AG3890="","",INDEX('quitado Despesa'!$G$1:$G$12,AG3890))</f>
        <v/>
      </c>
      <c r="AJ3890" s="17" t="str">
        <f t="shared" si="3"/>
        <v/>
      </c>
    </row>
    <row r="3891" spans="31:36">
      <c r="AE3891" s="15" t="str">
        <f t="shared" si="0"/>
        <v/>
      </c>
      <c r="AF3891" s="15" t="str">
        <f t="shared" si="1"/>
        <v/>
      </c>
      <c r="AG3891" s="15" t="str">
        <f>IF(OR(AF3891="",AF3891="ERRO_CHAVE"),"",IFERROR(MATCH(AF3891,'quitado Despesa'!$V$1:$V$12,0),""))</f>
        <v/>
      </c>
      <c r="AH3891" s="15" t="str">
        <f t="shared" si="2"/>
        <v/>
      </c>
      <c r="AI3891" s="17" t="str">
        <f>IF(AG3891="","",INDEX('quitado Despesa'!$G$1:$G$12,AG3891))</f>
        <v/>
      </c>
      <c r="AJ3891" s="17" t="str">
        <f t="shared" si="3"/>
        <v/>
      </c>
    </row>
    <row r="3892" spans="31:36">
      <c r="AE3892" s="15" t="str">
        <f t="shared" si="0"/>
        <v/>
      </c>
      <c r="AF3892" s="15" t="str">
        <f t="shared" si="1"/>
        <v/>
      </c>
      <c r="AG3892" s="15" t="str">
        <f>IF(OR(AF3892="",AF3892="ERRO_CHAVE"),"",IFERROR(MATCH(AF3892,'quitado Despesa'!$V$1:$V$12,0),""))</f>
        <v/>
      </c>
      <c r="AH3892" s="15" t="str">
        <f t="shared" si="2"/>
        <v/>
      </c>
      <c r="AI3892" s="17" t="str">
        <f>IF(AG3892="","",INDEX('quitado Despesa'!$G$1:$G$12,AG3892))</f>
        <v/>
      </c>
      <c r="AJ3892" s="17" t="str">
        <f t="shared" si="3"/>
        <v/>
      </c>
    </row>
    <row r="3893" spans="31:36">
      <c r="AE3893" s="15" t="str">
        <f t="shared" si="0"/>
        <v/>
      </c>
      <c r="AF3893" s="15" t="str">
        <f t="shared" si="1"/>
        <v/>
      </c>
      <c r="AG3893" s="15" t="str">
        <f>IF(OR(AF3893="",AF3893="ERRO_CHAVE"),"",IFERROR(MATCH(AF3893,'quitado Despesa'!$V$1:$V$12,0),""))</f>
        <v/>
      </c>
      <c r="AH3893" s="15" t="str">
        <f t="shared" si="2"/>
        <v/>
      </c>
      <c r="AI3893" s="17" t="str">
        <f>IF(AG3893="","",INDEX('quitado Despesa'!$G$1:$G$12,AG3893))</f>
        <v/>
      </c>
      <c r="AJ3893" s="17" t="str">
        <f t="shared" si="3"/>
        <v/>
      </c>
    </row>
    <row r="3894" spans="31:36">
      <c r="AE3894" s="15" t="str">
        <f t="shared" si="0"/>
        <v/>
      </c>
      <c r="AF3894" s="15" t="str">
        <f t="shared" si="1"/>
        <v/>
      </c>
      <c r="AG3894" s="15" t="str">
        <f>IF(OR(AF3894="",AF3894="ERRO_CHAVE"),"",IFERROR(MATCH(AF3894,'quitado Despesa'!$V$1:$V$12,0),""))</f>
        <v/>
      </c>
      <c r="AH3894" s="15" t="str">
        <f t="shared" si="2"/>
        <v/>
      </c>
      <c r="AI3894" s="17" t="str">
        <f>IF(AG3894="","",INDEX('quitado Despesa'!$G$1:$G$12,AG3894))</f>
        <v/>
      </c>
      <c r="AJ3894" s="17" t="str">
        <f t="shared" si="3"/>
        <v/>
      </c>
    </row>
    <row r="3895" spans="31:36">
      <c r="AE3895" s="15" t="str">
        <f t="shared" si="0"/>
        <v/>
      </c>
      <c r="AF3895" s="15" t="str">
        <f t="shared" si="1"/>
        <v/>
      </c>
      <c r="AG3895" s="15" t="str">
        <f>IF(OR(AF3895="",AF3895="ERRO_CHAVE"),"",IFERROR(MATCH(AF3895,'quitado Despesa'!$V$1:$V$12,0),""))</f>
        <v/>
      </c>
      <c r="AH3895" s="15" t="str">
        <f t="shared" si="2"/>
        <v/>
      </c>
      <c r="AI3895" s="17" t="str">
        <f>IF(AG3895="","",INDEX('quitado Despesa'!$G$1:$G$12,AG3895))</f>
        <v/>
      </c>
      <c r="AJ3895" s="17" t="str">
        <f t="shared" si="3"/>
        <v/>
      </c>
    </row>
    <row r="3896" spans="31:36">
      <c r="AE3896" s="15" t="str">
        <f t="shared" si="0"/>
        <v/>
      </c>
      <c r="AF3896" s="15" t="str">
        <f t="shared" si="1"/>
        <v/>
      </c>
      <c r="AG3896" s="15" t="str">
        <f>IF(OR(AF3896="",AF3896="ERRO_CHAVE"),"",IFERROR(MATCH(AF3896,'quitado Despesa'!$V$1:$V$12,0),""))</f>
        <v/>
      </c>
      <c r="AH3896" s="15" t="str">
        <f t="shared" si="2"/>
        <v/>
      </c>
      <c r="AI3896" s="17" t="str">
        <f>IF(AG3896="","",INDEX('quitado Despesa'!$G$1:$G$12,AG3896))</f>
        <v/>
      </c>
      <c r="AJ3896" s="17" t="str">
        <f t="shared" si="3"/>
        <v/>
      </c>
    </row>
    <row r="3897" spans="31:36">
      <c r="AE3897" s="15" t="str">
        <f t="shared" si="0"/>
        <v/>
      </c>
      <c r="AF3897" s="15" t="str">
        <f t="shared" si="1"/>
        <v/>
      </c>
      <c r="AG3897" s="15" t="str">
        <f>IF(OR(AF3897="",AF3897="ERRO_CHAVE"),"",IFERROR(MATCH(AF3897,'quitado Despesa'!$V$1:$V$12,0),""))</f>
        <v/>
      </c>
      <c r="AH3897" s="15" t="str">
        <f t="shared" si="2"/>
        <v/>
      </c>
      <c r="AI3897" s="17" t="str">
        <f>IF(AG3897="","",INDEX('quitado Despesa'!$G$1:$G$12,AG3897))</f>
        <v/>
      </c>
      <c r="AJ3897" s="17" t="str">
        <f t="shared" si="3"/>
        <v/>
      </c>
    </row>
    <row r="3898" spans="31:36">
      <c r="AE3898" s="15" t="str">
        <f t="shared" si="0"/>
        <v/>
      </c>
      <c r="AF3898" s="15" t="str">
        <f t="shared" si="1"/>
        <v/>
      </c>
      <c r="AG3898" s="15" t="str">
        <f>IF(OR(AF3898="",AF3898="ERRO_CHAVE"),"",IFERROR(MATCH(AF3898,'quitado Despesa'!$V$1:$V$12,0),""))</f>
        <v/>
      </c>
      <c r="AH3898" s="15" t="str">
        <f t="shared" si="2"/>
        <v/>
      </c>
      <c r="AI3898" s="17" t="str">
        <f>IF(AG3898="","",INDEX('quitado Despesa'!$G$1:$G$12,AG3898))</f>
        <v/>
      </c>
      <c r="AJ3898" s="17" t="str">
        <f t="shared" si="3"/>
        <v/>
      </c>
    </row>
    <row r="3899" spans="31:36">
      <c r="AE3899" s="15" t="str">
        <f t="shared" si="0"/>
        <v/>
      </c>
      <c r="AF3899" s="15" t="str">
        <f t="shared" si="1"/>
        <v/>
      </c>
      <c r="AG3899" s="15" t="str">
        <f>IF(OR(AF3899="",AF3899="ERRO_CHAVE"),"",IFERROR(MATCH(AF3899,'quitado Despesa'!$V$1:$V$12,0),""))</f>
        <v/>
      </c>
      <c r="AH3899" s="15" t="str">
        <f t="shared" si="2"/>
        <v/>
      </c>
      <c r="AI3899" s="17" t="str">
        <f>IF(AG3899="","",INDEX('quitado Despesa'!$G$1:$G$12,AG3899))</f>
        <v/>
      </c>
      <c r="AJ3899" s="17" t="str">
        <f t="shared" si="3"/>
        <v/>
      </c>
    </row>
    <row r="3900" spans="31:36">
      <c r="AE3900" s="15" t="str">
        <f t="shared" si="0"/>
        <v/>
      </c>
      <c r="AF3900" s="15" t="str">
        <f t="shared" si="1"/>
        <v/>
      </c>
      <c r="AG3900" s="15" t="str">
        <f>IF(OR(AF3900="",AF3900="ERRO_CHAVE"),"",IFERROR(MATCH(AF3900,'quitado Despesa'!$V$1:$V$12,0),""))</f>
        <v/>
      </c>
      <c r="AH3900" s="15" t="str">
        <f t="shared" si="2"/>
        <v/>
      </c>
      <c r="AI3900" s="17" t="str">
        <f>IF(AG3900="","",INDEX('quitado Despesa'!$G$1:$G$12,AG3900))</f>
        <v/>
      </c>
      <c r="AJ3900" s="17" t="str">
        <f t="shared" si="3"/>
        <v/>
      </c>
    </row>
    <row r="3901" spans="31:36">
      <c r="AE3901" s="15" t="str">
        <f t="shared" si="0"/>
        <v/>
      </c>
      <c r="AF3901" s="15" t="str">
        <f t="shared" si="1"/>
        <v/>
      </c>
      <c r="AG3901" s="15" t="str">
        <f>IF(OR(AF3901="",AF3901="ERRO_CHAVE"),"",IFERROR(MATCH(AF3901,'quitado Despesa'!$V$1:$V$12,0),""))</f>
        <v/>
      </c>
      <c r="AH3901" s="15" t="str">
        <f t="shared" si="2"/>
        <v/>
      </c>
      <c r="AI3901" s="17" t="str">
        <f>IF(AG3901="","",INDEX('quitado Despesa'!$G$1:$G$12,AG3901))</f>
        <v/>
      </c>
      <c r="AJ3901" s="17" t="str">
        <f t="shared" si="3"/>
        <v/>
      </c>
    </row>
    <row r="3902" spans="31:36">
      <c r="AE3902" s="15" t="str">
        <f t="shared" si="0"/>
        <v/>
      </c>
      <c r="AF3902" s="15" t="str">
        <f t="shared" si="1"/>
        <v/>
      </c>
      <c r="AG3902" s="15" t="str">
        <f>IF(OR(AF3902="",AF3902="ERRO_CHAVE"),"",IFERROR(MATCH(AF3902,'quitado Despesa'!$V$1:$V$12,0),""))</f>
        <v/>
      </c>
      <c r="AH3902" s="15" t="str">
        <f t="shared" si="2"/>
        <v/>
      </c>
      <c r="AI3902" s="17" t="str">
        <f>IF(AG3902="","",INDEX('quitado Despesa'!$G$1:$G$12,AG3902))</f>
        <v/>
      </c>
      <c r="AJ3902" s="17" t="str">
        <f t="shared" si="3"/>
        <v/>
      </c>
    </row>
    <row r="3903" spans="31:36">
      <c r="AE3903" s="15" t="str">
        <f t="shared" si="0"/>
        <v/>
      </c>
      <c r="AF3903" s="15" t="str">
        <f t="shared" si="1"/>
        <v/>
      </c>
      <c r="AG3903" s="15" t="str">
        <f>IF(OR(AF3903="",AF3903="ERRO_CHAVE"),"",IFERROR(MATCH(AF3903,'quitado Despesa'!$V$1:$V$12,0),""))</f>
        <v/>
      </c>
      <c r="AH3903" s="15" t="str">
        <f t="shared" si="2"/>
        <v/>
      </c>
      <c r="AI3903" s="17" t="str">
        <f>IF(AG3903="","",INDEX('quitado Despesa'!$G$1:$G$12,AG3903))</f>
        <v/>
      </c>
      <c r="AJ3903" s="17" t="str">
        <f t="shared" si="3"/>
        <v/>
      </c>
    </row>
    <row r="3904" spans="31:36">
      <c r="AE3904" s="15" t="str">
        <f t="shared" si="0"/>
        <v/>
      </c>
      <c r="AF3904" s="15" t="str">
        <f t="shared" si="1"/>
        <v/>
      </c>
      <c r="AG3904" s="15" t="str">
        <f>IF(OR(AF3904="",AF3904="ERRO_CHAVE"),"",IFERROR(MATCH(AF3904,'quitado Despesa'!$V$1:$V$12,0),""))</f>
        <v/>
      </c>
      <c r="AH3904" s="15" t="str">
        <f t="shared" si="2"/>
        <v/>
      </c>
      <c r="AI3904" s="17" t="str">
        <f>IF(AG3904="","",INDEX('quitado Despesa'!$G$1:$G$12,AG3904))</f>
        <v/>
      </c>
      <c r="AJ3904" s="17" t="str">
        <f t="shared" si="3"/>
        <v/>
      </c>
    </row>
    <row r="3905" spans="31:36">
      <c r="AE3905" s="15" t="str">
        <f t="shared" si="0"/>
        <v/>
      </c>
      <c r="AF3905" s="15" t="str">
        <f t="shared" si="1"/>
        <v/>
      </c>
      <c r="AG3905" s="15" t="str">
        <f>IF(OR(AF3905="",AF3905="ERRO_CHAVE"),"",IFERROR(MATCH(AF3905,'quitado Despesa'!$V$1:$V$12,0),""))</f>
        <v/>
      </c>
      <c r="AH3905" s="15" t="str">
        <f t="shared" si="2"/>
        <v/>
      </c>
      <c r="AI3905" s="17" t="str">
        <f>IF(AG3905="","",INDEX('quitado Despesa'!$G$1:$G$12,AG3905))</f>
        <v/>
      </c>
      <c r="AJ3905" s="17" t="str">
        <f t="shared" si="3"/>
        <v/>
      </c>
    </row>
    <row r="3906" spans="31:36">
      <c r="AE3906" s="15" t="str">
        <f t="shared" si="0"/>
        <v/>
      </c>
      <c r="AF3906" s="15" t="str">
        <f t="shared" si="1"/>
        <v/>
      </c>
      <c r="AG3906" s="15" t="str">
        <f>IF(OR(AF3906="",AF3906="ERRO_CHAVE"),"",IFERROR(MATCH(AF3906,'quitado Despesa'!$V$1:$V$12,0),""))</f>
        <v/>
      </c>
      <c r="AH3906" s="15" t="str">
        <f t="shared" si="2"/>
        <v/>
      </c>
      <c r="AI3906" s="17" t="str">
        <f>IF(AG3906="","",INDEX('quitado Despesa'!$G$1:$G$12,AG3906))</f>
        <v/>
      </c>
      <c r="AJ3906" s="17" t="str">
        <f t="shared" si="3"/>
        <v/>
      </c>
    </row>
    <row r="3907" spans="31:36">
      <c r="AE3907" s="15" t="str">
        <f t="shared" si="0"/>
        <v/>
      </c>
      <c r="AF3907" s="15" t="str">
        <f t="shared" si="1"/>
        <v/>
      </c>
      <c r="AG3907" s="15" t="str">
        <f>IF(OR(AF3907="",AF3907="ERRO_CHAVE"),"",IFERROR(MATCH(AF3907,'quitado Despesa'!$V$1:$V$12,0),""))</f>
        <v/>
      </c>
      <c r="AH3907" s="15" t="str">
        <f t="shared" si="2"/>
        <v/>
      </c>
      <c r="AI3907" s="17" t="str">
        <f>IF(AG3907="","",INDEX('quitado Despesa'!$G$1:$G$12,AG3907))</f>
        <v/>
      </c>
      <c r="AJ3907" s="17" t="str">
        <f t="shared" si="3"/>
        <v/>
      </c>
    </row>
    <row r="3908" spans="31:36">
      <c r="AE3908" s="15" t="str">
        <f t="shared" si="0"/>
        <v/>
      </c>
      <c r="AF3908" s="15" t="str">
        <f t="shared" si="1"/>
        <v/>
      </c>
      <c r="AG3908" s="15" t="str">
        <f>IF(OR(AF3908="",AF3908="ERRO_CHAVE"),"",IFERROR(MATCH(AF3908,'quitado Despesa'!$V$1:$V$12,0),""))</f>
        <v/>
      </c>
      <c r="AH3908" s="15" t="str">
        <f t="shared" si="2"/>
        <v/>
      </c>
      <c r="AI3908" s="17" t="str">
        <f>IF(AG3908="","",INDEX('quitado Despesa'!$G$1:$G$12,AG3908))</f>
        <v/>
      </c>
      <c r="AJ3908" s="17" t="str">
        <f t="shared" si="3"/>
        <v/>
      </c>
    </row>
    <row r="3909" spans="31:36">
      <c r="AE3909" s="15" t="str">
        <f t="shared" si="0"/>
        <v/>
      </c>
      <c r="AF3909" s="15" t="str">
        <f t="shared" si="1"/>
        <v/>
      </c>
      <c r="AG3909" s="15" t="str">
        <f>IF(OR(AF3909="",AF3909="ERRO_CHAVE"),"",IFERROR(MATCH(AF3909,'quitado Despesa'!$V$1:$V$12,0),""))</f>
        <v/>
      </c>
      <c r="AH3909" s="15" t="str">
        <f t="shared" si="2"/>
        <v/>
      </c>
      <c r="AI3909" s="17" t="str">
        <f>IF(AG3909="","",INDEX('quitado Despesa'!$G$1:$G$12,AG3909))</f>
        <v/>
      </c>
      <c r="AJ3909" s="17" t="str">
        <f t="shared" si="3"/>
        <v/>
      </c>
    </row>
    <row r="3910" spans="31:36">
      <c r="AE3910" s="15" t="str">
        <f t="shared" si="0"/>
        <v/>
      </c>
      <c r="AF3910" s="15" t="str">
        <f t="shared" si="1"/>
        <v/>
      </c>
      <c r="AG3910" s="15" t="str">
        <f>IF(OR(AF3910="",AF3910="ERRO_CHAVE"),"",IFERROR(MATCH(AF3910,'quitado Despesa'!$V$1:$V$12,0),""))</f>
        <v/>
      </c>
      <c r="AH3910" s="15" t="str">
        <f t="shared" si="2"/>
        <v/>
      </c>
      <c r="AI3910" s="17" t="str">
        <f>IF(AG3910="","",INDEX('quitado Despesa'!$G$1:$G$12,AG3910))</f>
        <v/>
      </c>
      <c r="AJ3910" s="17" t="str">
        <f t="shared" si="3"/>
        <v/>
      </c>
    </row>
    <row r="3911" spans="31:36">
      <c r="AE3911" s="15" t="str">
        <f t="shared" si="0"/>
        <v/>
      </c>
      <c r="AF3911" s="15" t="str">
        <f t="shared" si="1"/>
        <v/>
      </c>
      <c r="AG3911" s="15" t="str">
        <f>IF(OR(AF3911="",AF3911="ERRO_CHAVE"),"",IFERROR(MATCH(AF3911,'quitado Despesa'!$V$1:$V$12,0),""))</f>
        <v/>
      </c>
      <c r="AH3911" s="15" t="str">
        <f t="shared" si="2"/>
        <v/>
      </c>
      <c r="AI3911" s="17" t="str">
        <f>IF(AG3911="","",INDEX('quitado Despesa'!$G$1:$G$12,AG3911))</f>
        <v/>
      </c>
      <c r="AJ3911" s="17" t="str">
        <f t="shared" si="3"/>
        <v/>
      </c>
    </row>
    <row r="3912" spans="31:36">
      <c r="AE3912" s="15" t="str">
        <f t="shared" si="0"/>
        <v/>
      </c>
      <c r="AF3912" s="15" t="str">
        <f t="shared" si="1"/>
        <v/>
      </c>
      <c r="AG3912" s="15" t="str">
        <f>IF(OR(AF3912="",AF3912="ERRO_CHAVE"),"",IFERROR(MATCH(AF3912,'quitado Despesa'!$V$1:$V$12,0),""))</f>
        <v/>
      </c>
      <c r="AH3912" s="15" t="str">
        <f t="shared" si="2"/>
        <v/>
      </c>
      <c r="AI3912" s="17" t="str">
        <f>IF(AG3912="","",INDEX('quitado Despesa'!$G$1:$G$12,AG3912))</f>
        <v/>
      </c>
      <c r="AJ3912" s="17" t="str">
        <f t="shared" si="3"/>
        <v/>
      </c>
    </row>
    <row r="3913" spans="31:36">
      <c r="AE3913" s="15" t="str">
        <f t="shared" si="0"/>
        <v/>
      </c>
      <c r="AF3913" s="15" t="str">
        <f t="shared" si="1"/>
        <v/>
      </c>
      <c r="AG3913" s="15" t="str">
        <f>IF(OR(AF3913="",AF3913="ERRO_CHAVE"),"",IFERROR(MATCH(AF3913,'quitado Despesa'!$V$1:$V$12,0),""))</f>
        <v/>
      </c>
      <c r="AH3913" s="15" t="str">
        <f t="shared" si="2"/>
        <v/>
      </c>
      <c r="AI3913" s="17" t="str">
        <f>IF(AG3913="","",INDEX('quitado Despesa'!$G$1:$G$12,AG3913))</f>
        <v/>
      </c>
      <c r="AJ3913" s="17" t="str">
        <f t="shared" si="3"/>
        <v/>
      </c>
    </row>
    <row r="3914" spans="31:36">
      <c r="AE3914" s="15" t="str">
        <f t="shared" si="0"/>
        <v/>
      </c>
      <c r="AF3914" s="15" t="str">
        <f t="shared" si="1"/>
        <v/>
      </c>
      <c r="AG3914" s="15" t="str">
        <f>IF(OR(AF3914="",AF3914="ERRO_CHAVE"),"",IFERROR(MATCH(AF3914,'quitado Despesa'!$V$1:$V$12,0),""))</f>
        <v/>
      </c>
      <c r="AH3914" s="15" t="str">
        <f t="shared" si="2"/>
        <v/>
      </c>
      <c r="AI3914" s="17" t="str">
        <f>IF(AG3914="","",INDEX('quitado Despesa'!$G$1:$G$12,AG3914))</f>
        <v/>
      </c>
      <c r="AJ3914" s="17" t="str">
        <f t="shared" si="3"/>
        <v/>
      </c>
    </row>
    <row r="3915" spans="31:36">
      <c r="AE3915" s="15" t="str">
        <f t="shared" si="0"/>
        <v/>
      </c>
      <c r="AF3915" s="15" t="str">
        <f t="shared" si="1"/>
        <v/>
      </c>
      <c r="AG3915" s="15" t="str">
        <f>IF(OR(AF3915="",AF3915="ERRO_CHAVE"),"",IFERROR(MATCH(AF3915,'quitado Despesa'!$V$1:$V$12,0),""))</f>
        <v/>
      </c>
      <c r="AH3915" s="15" t="str">
        <f t="shared" si="2"/>
        <v/>
      </c>
      <c r="AI3915" s="17" t="str">
        <f>IF(AG3915="","",INDEX('quitado Despesa'!$G$1:$G$12,AG3915))</f>
        <v/>
      </c>
      <c r="AJ3915" s="17" t="str">
        <f t="shared" si="3"/>
        <v/>
      </c>
    </row>
    <row r="3916" spans="31:36">
      <c r="AE3916" s="15" t="str">
        <f t="shared" si="0"/>
        <v/>
      </c>
      <c r="AF3916" s="15" t="str">
        <f t="shared" si="1"/>
        <v/>
      </c>
      <c r="AG3916" s="15" t="str">
        <f>IF(OR(AF3916="",AF3916="ERRO_CHAVE"),"",IFERROR(MATCH(AF3916,'quitado Despesa'!$V$1:$V$12,0),""))</f>
        <v/>
      </c>
      <c r="AH3916" s="15" t="str">
        <f t="shared" si="2"/>
        <v/>
      </c>
      <c r="AI3916" s="17" t="str">
        <f>IF(AG3916="","",INDEX('quitado Despesa'!$G$1:$G$12,AG3916))</f>
        <v/>
      </c>
      <c r="AJ3916" s="17" t="str">
        <f t="shared" si="3"/>
        <v/>
      </c>
    </row>
    <row r="3917" spans="31:36">
      <c r="AE3917" s="15" t="str">
        <f t="shared" si="0"/>
        <v/>
      </c>
      <c r="AF3917" s="15" t="str">
        <f t="shared" si="1"/>
        <v/>
      </c>
      <c r="AG3917" s="15" t="str">
        <f>IF(OR(AF3917="",AF3917="ERRO_CHAVE"),"",IFERROR(MATCH(AF3917,'quitado Despesa'!$V$1:$V$12,0),""))</f>
        <v/>
      </c>
      <c r="AH3917" s="15" t="str">
        <f t="shared" si="2"/>
        <v/>
      </c>
      <c r="AI3917" s="17" t="str">
        <f>IF(AG3917="","",INDEX('quitado Despesa'!$G$1:$G$12,AG3917))</f>
        <v/>
      </c>
      <c r="AJ3917" s="17" t="str">
        <f t="shared" si="3"/>
        <v/>
      </c>
    </row>
    <row r="3918" spans="31:36">
      <c r="AE3918" s="15" t="str">
        <f t="shared" si="0"/>
        <v/>
      </c>
      <c r="AF3918" s="15" t="str">
        <f t="shared" si="1"/>
        <v/>
      </c>
      <c r="AG3918" s="15" t="str">
        <f>IF(OR(AF3918="",AF3918="ERRO_CHAVE"),"",IFERROR(MATCH(AF3918,'quitado Despesa'!$V$1:$V$12,0),""))</f>
        <v/>
      </c>
      <c r="AH3918" s="15" t="str">
        <f t="shared" si="2"/>
        <v/>
      </c>
      <c r="AI3918" s="17" t="str">
        <f>IF(AG3918="","",INDEX('quitado Despesa'!$G$1:$G$12,AG3918))</f>
        <v/>
      </c>
      <c r="AJ3918" s="17" t="str">
        <f t="shared" si="3"/>
        <v/>
      </c>
    </row>
    <row r="3919" spans="31:36">
      <c r="AE3919" s="15" t="str">
        <f t="shared" si="0"/>
        <v/>
      </c>
      <c r="AF3919" s="15" t="str">
        <f t="shared" si="1"/>
        <v/>
      </c>
      <c r="AG3919" s="15" t="str">
        <f>IF(OR(AF3919="",AF3919="ERRO_CHAVE"),"",IFERROR(MATCH(AF3919,'quitado Despesa'!$V$1:$V$12,0),""))</f>
        <v/>
      </c>
      <c r="AH3919" s="15" t="str">
        <f t="shared" si="2"/>
        <v/>
      </c>
      <c r="AI3919" s="17" t="str">
        <f>IF(AG3919="","",INDEX('quitado Despesa'!$G$1:$G$12,AG3919))</f>
        <v/>
      </c>
      <c r="AJ3919" s="17" t="str">
        <f t="shared" si="3"/>
        <v/>
      </c>
    </row>
    <row r="3920" spans="31:36">
      <c r="AE3920" s="15" t="str">
        <f t="shared" si="0"/>
        <v/>
      </c>
      <c r="AF3920" s="15" t="str">
        <f t="shared" si="1"/>
        <v/>
      </c>
      <c r="AG3920" s="15" t="str">
        <f>IF(OR(AF3920="",AF3920="ERRO_CHAVE"),"",IFERROR(MATCH(AF3920,'quitado Despesa'!$V$1:$V$12,0),""))</f>
        <v/>
      </c>
      <c r="AH3920" s="15" t="str">
        <f t="shared" si="2"/>
        <v/>
      </c>
      <c r="AI3920" s="17" t="str">
        <f>IF(AG3920="","",INDEX('quitado Despesa'!$G$1:$G$12,AG3920))</f>
        <v/>
      </c>
      <c r="AJ3920" s="17" t="str">
        <f t="shared" si="3"/>
        <v/>
      </c>
    </row>
    <row r="3921" spans="31:36">
      <c r="AE3921" s="15" t="str">
        <f t="shared" si="0"/>
        <v/>
      </c>
      <c r="AF3921" s="15" t="str">
        <f t="shared" si="1"/>
        <v/>
      </c>
      <c r="AG3921" s="15" t="str">
        <f>IF(OR(AF3921="",AF3921="ERRO_CHAVE"),"",IFERROR(MATCH(AF3921,'quitado Despesa'!$V$1:$V$12,0),""))</f>
        <v/>
      </c>
      <c r="AH3921" s="15" t="str">
        <f t="shared" si="2"/>
        <v/>
      </c>
      <c r="AI3921" s="17" t="str">
        <f>IF(AG3921="","",INDEX('quitado Despesa'!$G$1:$G$12,AG3921))</f>
        <v/>
      </c>
      <c r="AJ3921" s="17" t="str">
        <f t="shared" si="3"/>
        <v/>
      </c>
    </row>
    <row r="3922" spans="31:36">
      <c r="AE3922" s="15" t="str">
        <f t="shared" si="0"/>
        <v/>
      </c>
      <c r="AF3922" s="15" t="str">
        <f t="shared" si="1"/>
        <v/>
      </c>
      <c r="AG3922" s="15" t="str">
        <f>IF(OR(AF3922="",AF3922="ERRO_CHAVE"),"",IFERROR(MATCH(AF3922,'quitado Despesa'!$V$1:$V$12,0),""))</f>
        <v/>
      </c>
      <c r="AH3922" s="15" t="str">
        <f t="shared" si="2"/>
        <v/>
      </c>
      <c r="AI3922" s="17" t="str">
        <f>IF(AG3922="","",INDEX('quitado Despesa'!$G$1:$G$12,AG3922))</f>
        <v/>
      </c>
      <c r="AJ3922" s="17" t="str">
        <f t="shared" si="3"/>
        <v/>
      </c>
    </row>
    <row r="3923" spans="31:36">
      <c r="AE3923" s="15" t="str">
        <f t="shared" si="0"/>
        <v/>
      </c>
      <c r="AF3923" s="15" t="str">
        <f t="shared" si="1"/>
        <v/>
      </c>
      <c r="AG3923" s="15" t="str">
        <f>IF(OR(AF3923="",AF3923="ERRO_CHAVE"),"",IFERROR(MATCH(AF3923,'quitado Despesa'!$V$1:$V$12,0),""))</f>
        <v/>
      </c>
      <c r="AH3923" s="15" t="str">
        <f t="shared" si="2"/>
        <v/>
      </c>
      <c r="AI3923" s="17" t="str">
        <f>IF(AG3923="","",INDEX('quitado Despesa'!$G$1:$G$12,AG3923))</f>
        <v/>
      </c>
      <c r="AJ3923" s="17" t="str">
        <f t="shared" si="3"/>
        <v/>
      </c>
    </row>
    <row r="3924" spans="31:36">
      <c r="AE3924" s="15" t="str">
        <f t="shared" si="0"/>
        <v/>
      </c>
      <c r="AF3924" s="15" t="str">
        <f t="shared" si="1"/>
        <v/>
      </c>
      <c r="AG3924" s="15" t="str">
        <f>IF(OR(AF3924="",AF3924="ERRO_CHAVE"),"",IFERROR(MATCH(AF3924,'quitado Despesa'!$V$1:$V$12,0),""))</f>
        <v/>
      </c>
      <c r="AH3924" s="15" t="str">
        <f t="shared" si="2"/>
        <v/>
      </c>
      <c r="AI3924" s="17" t="str">
        <f>IF(AG3924="","",INDEX('quitado Despesa'!$G$1:$G$12,AG3924))</f>
        <v/>
      </c>
      <c r="AJ3924" s="17" t="str">
        <f t="shared" si="3"/>
        <v/>
      </c>
    </row>
    <row r="3925" spans="31:36">
      <c r="AE3925" s="15" t="str">
        <f t="shared" si="0"/>
        <v/>
      </c>
      <c r="AF3925" s="15" t="str">
        <f t="shared" si="1"/>
        <v/>
      </c>
      <c r="AG3925" s="15" t="str">
        <f>IF(OR(AF3925="",AF3925="ERRO_CHAVE"),"",IFERROR(MATCH(AF3925,'quitado Despesa'!$V$1:$V$12,0),""))</f>
        <v/>
      </c>
      <c r="AH3925" s="15" t="str">
        <f t="shared" si="2"/>
        <v/>
      </c>
      <c r="AI3925" s="17" t="str">
        <f>IF(AG3925="","",INDEX('quitado Despesa'!$G$1:$G$12,AG3925))</f>
        <v/>
      </c>
      <c r="AJ3925" s="17" t="str">
        <f t="shared" si="3"/>
        <v/>
      </c>
    </row>
    <row r="3926" spans="31:36">
      <c r="AE3926" s="15" t="str">
        <f t="shared" si="0"/>
        <v/>
      </c>
      <c r="AF3926" s="15" t="str">
        <f t="shared" si="1"/>
        <v/>
      </c>
      <c r="AG3926" s="15" t="str">
        <f>IF(OR(AF3926="",AF3926="ERRO_CHAVE"),"",IFERROR(MATCH(AF3926,'quitado Despesa'!$V$1:$V$12,0),""))</f>
        <v/>
      </c>
      <c r="AH3926" s="15" t="str">
        <f t="shared" si="2"/>
        <v/>
      </c>
      <c r="AI3926" s="17" t="str">
        <f>IF(AG3926="","",INDEX('quitado Despesa'!$G$1:$G$12,AG3926))</f>
        <v/>
      </c>
      <c r="AJ3926" s="17" t="str">
        <f t="shared" si="3"/>
        <v/>
      </c>
    </row>
    <row r="3927" spans="31:36">
      <c r="AE3927" s="15" t="str">
        <f t="shared" si="0"/>
        <v/>
      </c>
      <c r="AF3927" s="15" t="str">
        <f t="shared" si="1"/>
        <v/>
      </c>
      <c r="AG3927" s="15" t="str">
        <f>IF(OR(AF3927="",AF3927="ERRO_CHAVE"),"",IFERROR(MATCH(AF3927,'quitado Despesa'!$V$1:$V$12,0),""))</f>
        <v/>
      </c>
      <c r="AH3927" s="15" t="str">
        <f t="shared" si="2"/>
        <v/>
      </c>
      <c r="AI3927" s="17" t="str">
        <f>IF(AG3927="","",INDEX('quitado Despesa'!$G$1:$G$12,AG3927))</f>
        <v/>
      </c>
      <c r="AJ3927" s="17" t="str">
        <f t="shared" si="3"/>
        <v/>
      </c>
    </row>
    <row r="3928" spans="31:36">
      <c r="AE3928" s="15" t="str">
        <f t="shared" si="0"/>
        <v/>
      </c>
      <c r="AF3928" s="15" t="str">
        <f t="shared" si="1"/>
        <v/>
      </c>
      <c r="AG3928" s="15" t="str">
        <f>IF(OR(AF3928="",AF3928="ERRO_CHAVE"),"",IFERROR(MATCH(AF3928,'quitado Despesa'!$V$1:$V$12,0),""))</f>
        <v/>
      </c>
      <c r="AH3928" s="15" t="str">
        <f t="shared" si="2"/>
        <v/>
      </c>
      <c r="AI3928" s="17" t="str">
        <f>IF(AG3928="","",INDEX('quitado Despesa'!$G$1:$G$12,AG3928))</f>
        <v/>
      </c>
      <c r="AJ3928" s="17" t="str">
        <f t="shared" si="3"/>
        <v/>
      </c>
    </row>
    <row r="3929" spans="31:36">
      <c r="AE3929" s="15" t="str">
        <f t="shared" si="0"/>
        <v/>
      </c>
      <c r="AF3929" s="15" t="str">
        <f t="shared" si="1"/>
        <v/>
      </c>
      <c r="AG3929" s="15" t="str">
        <f>IF(OR(AF3929="",AF3929="ERRO_CHAVE"),"",IFERROR(MATCH(AF3929,'quitado Despesa'!$V$1:$V$12,0),""))</f>
        <v/>
      </c>
      <c r="AH3929" s="15" t="str">
        <f t="shared" si="2"/>
        <v/>
      </c>
      <c r="AI3929" s="17" t="str">
        <f>IF(AG3929="","",INDEX('quitado Despesa'!$G$1:$G$12,AG3929))</f>
        <v/>
      </c>
      <c r="AJ3929" s="17" t="str">
        <f t="shared" si="3"/>
        <v/>
      </c>
    </row>
    <row r="3930" spans="31:36">
      <c r="AE3930" s="15" t="str">
        <f t="shared" si="0"/>
        <v/>
      </c>
      <c r="AF3930" s="15" t="str">
        <f t="shared" si="1"/>
        <v/>
      </c>
      <c r="AG3930" s="15" t="str">
        <f>IF(OR(AF3930="",AF3930="ERRO_CHAVE"),"",IFERROR(MATCH(AF3930,'quitado Despesa'!$V$1:$V$12,0),""))</f>
        <v/>
      </c>
      <c r="AH3930" s="15" t="str">
        <f t="shared" si="2"/>
        <v/>
      </c>
      <c r="AI3930" s="17" t="str">
        <f>IF(AG3930="","",INDEX('quitado Despesa'!$G$1:$G$12,AG3930))</f>
        <v/>
      </c>
      <c r="AJ3930" s="17" t="str">
        <f t="shared" si="3"/>
        <v/>
      </c>
    </row>
    <row r="3931" spans="31:36">
      <c r="AE3931" s="15" t="str">
        <f t="shared" si="0"/>
        <v/>
      </c>
      <c r="AF3931" s="15" t="str">
        <f t="shared" si="1"/>
        <v/>
      </c>
      <c r="AG3931" s="15" t="str">
        <f>IF(OR(AF3931="",AF3931="ERRO_CHAVE"),"",IFERROR(MATCH(AF3931,'quitado Despesa'!$V$1:$V$12,0),""))</f>
        <v/>
      </c>
      <c r="AH3931" s="15" t="str">
        <f t="shared" si="2"/>
        <v/>
      </c>
      <c r="AI3931" s="17" t="str">
        <f>IF(AG3931="","",INDEX('quitado Despesa'!$G$1:$G$12,AG3931))</f>
        <v/>
      </c>
      <c r="AJ3931" s="17" t="str">
        <f t="shared" si="3"/>
        <v/>
      </c>
    </row>
    <row r="3932" spans="31:36">
      <c r="AE3932" s="15" t="str">
        <f t="shared" si="0"/>
        <v/>
      </c>
      <c r="AF3932" s="15" t="str">
        <f t="shared" si="1"/>
        <v/>
      </c>
      <c r="AG3932" s="15" t="str">
        <f>IF(OR(AF3932="",AF3932="ERRO_CHAVE"),"",IFERROR(MATCH(AF3932,'quitado Despesa'!$V$1:$V$12,0),""))</f>
        <v/>
      </c>
      <c r="AH3932" s="15" t="str">
        <f t="shared" si="2"/>
        <v/>
      </c>
      <c r="AI3932" s="17" t="str">
        <f>IF(AG3932="","",INDEX('quitado Despesa'!$G$1:$G$12,AG3932))</f>
        <v/>
      </c>
      <c r="AJ3932" s="17" t="str">
        <f t="shared" si="3"/>
        <v/>
      </c>
    </row>
    <row r="3933" spans="31:36">
      <c r="AE3933" s="15" t="str">
        <f t="shared" si="0"/>
        <v/>
      </c>
      <c r="AF3933" s="15" t="str">
        <f t="shared" si="1"/>
        <v/>
      </c>
      <c r="AG3933" s="15" t="str">
        <f>IF(OR(AF3933="",AF3933="ERRO_CHAVE"),"",IFERROR(MATCH(AF3933,'quitado Despesa'!$V$1:$V$12,0),""))</f>
        <v/>
      </c>
      <c r="AH3933" s="15" t="str">
        <f t="shared" si="2"/>
        <v/>
      </c>
      <c r="AI3933" s="17" t="str">
        <f>IF(AG3933="","",INDEX('quitado Despesa'!$G$1:$G$12,AG3933))</f>
        <v/>
      </c>
      <c r="AJ3933" s="17" t="str">
        <f t="shared" si="3"/>
        <v/>
      </c>
    </row>
    <row r="3934" spans="31:36">
      <c r="AE3934" s="15" t="str">
        <f t="shared" si="0"/>
        <v/>
      </c>
      <c r="AF3934" s="15" t="str">
        <f t="shared" si="1"/>
        <v/>
      </c>
      <c r="AG3934" s="15" t="str">
        <f>IF(OR(AF3934="",AF3934="ERRO_CHAVE"),"",IFERROR(MATCH(AF3934,'quitado Despesa'!$V$1:$V$12,0),""))</f>
        <v/>
      </c>
      <c r="AH3934" s="15" t="str">
        <f t="shared" si="2"/>
        <v/>
      </c>
      <c r="AI3934" s="17" t="str">
        <f>IF(AG3934="","",INDEX('quitado Despesa'!$G$1:$G$12,AG3934))</f>
        <v/>
      </c>
      <c r="AJ3934" s="17" t="str">
        <f t="shared" si="3"/>
        <v/>
      </c>
    </row>
    <row r="3935" spans="31:36">
      <c r="AE3935" s="15" t="str">
        <f t="shared" si="0"/>
        <v/>
      </c>
      <c r="AF3935" s="15" t="str">
        <f t="shared" si="1"/>
        <v/>
      </c>
      <c r="AG3935" s="15" t="str">
        <f>IF(OR(AF3935="",AF3935="ERRO_CHAVE"),"",IFERROR(MATCH(AF3935,'quitado Despesa'!$V$1:$V$12,0),""))</f>
        <v/>
      </c>
      <c r="AH3935" s="15" t="str">
        <f t="shared" si="2"/>
        <v/>
      </c>
      <c r="AI3935" s="17" t="str">
        <f>IF(AG3935="","",INDEX('quitado Despesa'!$G$1:$G$12,AG3935))</f>
        <v/>
      </c>
      <c r="AJ3935" s="17" t="str">
        <f t="shared" si="3"/>
        <v/>
      </c>
    </row>
    <row r="3936" spans="31:36">
      <c r="AE3936" s="15" t="str">
        <f t="shared" si="0"/>
        <v/>
      </c>
      <c r="AF3936" s="15" t="str">
        <f t="shared" si="1"/>
        <v/>
      </c>
      <c r="AG3936" s="15" t="str">
        <f>IF(OR(AF3936="",AF3936="ERRO_CHAVE"),"",IFERROR(MATCH(AF3936,'quitado Despesa'!$V$1:$V$12,0),""))</f>
        <v/>
      </c>
      <c r="AH3936" s="15" t="str">
        <f t="shared" si="2"/>
        <v/>
      </c>
      <c r="AI3936" s="17" t="str">
        <f>IF(AG3936="","",INDEX('quitado Despesa'!$G$1:$G$12,AG3936))</f>
        <v/>
      </c>
      <c r="AJ3936" s="17" t="str">
        <f t="shared" si="3"/>
        <v/>
      </c>
    </row>
    <row r="3937" spans="31:36">
      <c r="AE3937" s="15" t="str">
        <f t="shared" si="0"/>
        <v/>
      </c>
      <c r="AF3937" s="15" t="str">
        <f t="shared" si="1"/>
        <v/>
      </c>
      <c r="AG3937" s="15" t="str">
        <f>IF(OR(AF3937="",AF3937="ERRO_CHAVE"),"",IFERROR(MATCH(AF3937,'quitado Despesa'!$V$1:$V$12,0),""))</f>
        <v/>
      </c>
      <c r="AH3937" s="15" t="str">
        <f t="shared" si="2"/>
        <v/>
      </c>
      <c r="AI3937" s="17" t="str">
        <f>IF(AG3937="","",INDEX('quitado Despesa'!$G$1:$G$12,AG3937))</f>
        <v/>
      </c>
      <c r="AJ3937" s="17" t="str">
        <f t="shared" si="3"/>
        <v/>
      </c>
    </row>
    <row r="3938" spans="31:36">
      <c r="AE3938" s="15" t="str">
        <f t="shared" si="0"/>
        <v/>
      </c>
      <c r="AF3938" s="15" t="str">
        <f t="shared" si="1"/>
        <v/>
      </c>
      <c r="AG3938" s="15" t="str">
        <f>IF(OR(AF3938="",AF3938="ERRO_CHAVE"),"",IFERROR(MATCH(AF3938,'quitado Despesa'!$V$1:$V$12,0),""))</f>
        <v/>
      </c>
      <c r="AH3938" s="15" t="str">
        <f t="shared" si="2"/>
        <v/>
      </c>
      <c r="AI3938" s="17" t="str">
        <f>IF(AG3938="","",INDEX('quitado Despesa'!$G$1:$G$12,AG3938))</f>
        <v/>
      </c>
      <c r="AJ3938" s="17" t="str">
        <f t="shared" si="3"/>
        <v/>
      </c>
    </row>
    <row r="3939" spans="31:36">
      <c r="AE3939" s="15" t="str">
        <f t="shared" si="0"/>
        <v/>
      </c>
      <c r="AF3939" s="15" t="str">
        <f t="shared" si="1"/>
        <v/>
      </c>
      <c r="AG3939" s="15" t="str">
        <f>IF(OR(AF3939="",AF3939="ERRO_CHAVE"),"",IFERROR(MATCH(AF3939,'quitado Despesa'!$V$1:$V$12,0),""))</f>
        <v/>
      </c>
      <c r="AH3939" s="15" t="str">
        <f t="shared" si="2"/>
        <v/>
      </c>
      <c r="AI3939" s="17" t="str">
        <f>IF(AG3939="","",INDEX('quitado Despesa'!$G$1:$G$12,AG3939))</f>
        <v/>
      </c>
      <c r="AJ3939" s="17" t="str">
        <f t="shared" si="3"/>
        <v/>
      </c>
    </row>
    <row r="3940" spans="31:36">
      <c r="AE3940" s="15" t="str">
        <f t="shared" si="0"/>
        <v/>
      </c>
      <c r="AF3940" s="15" t="str">
        <f t="shared" si="1"/>
        <v/>
      </c>
      <c r="AG3940" s="15" t="str">
        <f>IF(OR(AF3940="",AF3940="ERRO_CHAVE"),"",IFERROR(MATCH(AF3940,'quitado Despesa'!$V$1:$V$12,0),""))</f>
        <v/>
      </c>
      <c r="AH3940" s="15" t="str">
        <f t="shared" si="2"/>
        <v/>
      </c>
      <c r="AI3940" s="17" t="str">
        <f>IF(AG3940="","",INDEX('quitado Despesa'!$G$1:$G$12,AG3940))</f>
        <v/>
      </c>
      <c r="AJ3940" s="17" t="str">
        <f t="shared" si="3"/>
        <v/>
      </c>
    </row>
    <row r="3941" spans="31:36">
      <c r="AE3941" s="15" t="str">
        <f t="shared" si="0"/>
        <v/>
      </c>
      <c r="AF3941" s="15" t="str">
        <f t="shared" si="1"/>
        <v/>
      </c>
      <c r="AG3941" s="15" t="str">
        <f>IF(OR(AF3941="",AF3941="ERRO_CHAVE"),"",IFERROR(MATCH(AF3941,'quitado Despesa'!$V$1:$V$12,0),""))</f>
        <v/>
      </c>
      <c r="AH3941" s="15" t="str">
        <f t="shared" si="2"/>
        <v/>
      </c>
      <c r="AI3941" s="17" t="str">
        <f>IF(AG3941="","",INDEX('quitado Despesa'!$G$1:$G$12,AG3941))</f>
        <v/>
      </c>
      <c r="AJ3941" s="17" t="str">
        <f t="shared" si="3"/>
        <v/>
      </c>
    </row>
    <row r="3942" spans="31:36">
      <c r="AE3942" s="15" t="str">
        <f t="shared" si="0"/>
        <v/>
      </c>
      <c r="AF3942" s="15" t="str">
        <f t="shared" si="1"/>
        <v/>
      </c>
      <c r="AG3942" s="15" t="str">
        <f>IF(OR(AF3942="",AF3942="ERRO_CHAVE"),"",IFERROR(MATCH(AF3942,'quitado Despesa'!$V$1:$V$12,0),""))</f>
        <v/>
      </c>
      <c r="AH3942" s="15" t="str">
        <f t="shared" si="2"/>
        <v/>
      </c>
      <c r="AI3942" s="17" t="str">
        <f>IF(AG3942="","",INDEX('quitado Despesa'!$G$1:$G$12,AG3942))</f>
        <v/>
      </c>
      <c r="AJ3942" s="17" t="str">
        <f t="shared" si="3"/>
        <v/>
      </c>
    </row>
    <row r="3943" spans="31:36">
      <c r="AE3943" s="15" t="str">
        <f t="shared" si="0"/>
        <v/>
      </c>
      <c r="AF3943" s="15" t="str">
        <f t="shared" si="1"/>
        <v/>
      </c>
      <c r="AG3943" s="15" t="str">
        <f>IF(OR(AF3943="",AF3943="ERRO_CHAVE"),"",IFERROR(MATCH(AF3943,'quitado Despesa'!$V$1:$V$12,0),""))</f>
        <v/>
      </c>
      <c r="AH3943" s="15" t="str">
        <f t="shared" si="2"/>
        <v/>
      </c>
      <c r="AI3943" s="17" t="str">
        <f>IF(AG3943="","",INDEX('quitado Despesa'!$G$1:$G$12,AG3943))</f>
        <v/>
      </c>
      <c r="AJ3943" s="17" t="str">
        <f t="shared" si="3"/>
        <v/>
      </c>
    </row>
    <row r="3944" spans="31:36">
      <c r="AE3944" s="15" t="str">
        <f t="shared" si="0"/>
        <v/>
      </c>
      <c r="AF3944" s="15" t="str">
        <f t="shared" si="1"/>
        <v/>
      </c>
      <c r="AG3944" s="15" t="str">
        <f>IF(OR(AF3944="",AF3944="ERRO_CHAVE"),"",IFERROR(MATCH(AF3944,'quitado Despesa'!$V$1:$V$12,0),""))</f>
        <v/>
      </c>
      <c r="AH3944" s="15" t="str">
        <f t="shared" si="2"/>
        <v/>
      </c>
      <c r="AI3944" s="17" t="str">
        <f>IF(AG3944="","",INDEX('quitado Despesa'!$G$1:$G$12,AG3944))</f>
        <v/>
      </c>
      <c r="AJ3944" s="17" t="str">
        <f t="shared" si="3"/>
        <v/>
      </c>
    </row>
    <row r="3945" spans="31:36">
      <c r="AE3945" s="15" t="str">
        <f t="shared" si="0"/>
        <v/>
      </c>
      <c r="AF3945" s="15" t="str">
        <f t="shared" si="1"/>
        <v/>
      </c>
      <c r="AG3945" s="15" t="str">
        <f>IF(OR(AF3945="",AF3945="ERRO_CHAVE"),"",IFERROR(MATCH(AF3945,'quitado Despesa'!$V$1:$V$12,0),""))</f>
        <v/>
      </c>
      <c r="AH3945" s="15" t="str">
        <f t="shared" si="2"/>
        <v/>
      </c>
      <c r="AI3945" s="17" t="str">
        <f>IF(AG3945="","",INDEX('quitado Despesa'!$G$1:$G$12,AG3945))</f>
        <v/>
      </c>
      <c r="AJ3945" s="17" t="str">
        <f t="shared" si="3"/>
        <v/>
      </c>
    </row>
    <row r="3946" spans="31:36">
      <c r="AE3946" s="15" t="str">
        <f t="shared" si="0"/>
        <v/>
      </c>
      <c r="AF3946" s="15" t="str">
        <f t="shared" si="1"/>
        <v/>
      </c>
      <c r="AG3946" s="15" t="str">
        <f>IF(OR(AF3946="",AF3946="ERRO_CHAVE"),"",IFERROR(MATCH(AF3946,'quitado Despesa'!$V$1:$V$12,0),""))</f>
        <v/>
      </c>
      <c r="AH3946" s="15" t="str">
        <f t="shared" si="2"/>
        <v/>
      </c>
      <c r="AI3946" s="17" t="str">
        <f>IF(AG3946="","",INDEX('quitado Despesa'!$G$1:$G$12,AG3946))</f>
        <v/>
      </c>
      <c r="AJ3946" s="17" t="str">
        <f t="shared" si="3"/>
        <v/>
      </c>
    </row>
    <row r="3947" spans="31:36">
      <c r="AE3947" s="15" t="str">
        <f t="shared" si="0"/>
        <v/>
      </c>
      <c r="AF3947" s="15" t="str">
        <f t="shared" si="1"/>
        <v/>
      </c>
      <c r="AG3947" s="15" t="str">
        <f>IF(OR(AF3947="",AF3947="ERRO_CHAVE"),"",IFERROR(MATCH(AF3947,'quitado Despesa'!$V$1:$V$12,0),""))</f>
        <v/>
      </c>
      <c r="AH3947" s="15" t="str">
        <f t="shared" si="2"/>
        <v/>
      </c>
      <c r="AI3947" s="17" t="str">
        <f>IF(AG3947="","",INDEX('quitado Despesa'!$G$1:$G$12,AG3947))</f>
        <v/>
      </c>
      <c r="AJ3947" s="17" t="str">
        <f t="shared" si="3"/>
        <v/>
      </c>
    </row>
    <row r="3948" spans="31:36">
      <c r="AE3948" s="15" t="str">
        <f t="shared" si="0"/>
        <v/>
      </c>
      <c r="AF3948" s="15" t="str">
        <f t="shared" si="1"/>
        <v/>
      </c>
      <c r="AG3948" s="15" t="str">
        <f>IF(OR(AF3948="",AF3948="ERRO_CHAVE"),"",IFERROR(MATCH(AF3948,'quitado Despesa'!$V$1:$V$12,0),""))</f>
        <v/>
      </c>
      <c r="AH3948" s="15" t="str">
        <f t="shared" si="2"/>
        <v/>
      </c>
      <c r="AI3948" s="17" t="str">
        <f>IF(AG3948="","",INDEX('quitado Despesa'!$G$1:$G$12,AG3948))</f>
        <v/>
      </c>
      <c r="AJ3948" s="17" t="str">
        <f t="shared" si="3"/>
        <v/>
      </c>
    </row>
    <row r="3949" spans="31:36">
      <c r="AE3949" s="15" t="str">
        <f t="shared" si="0"/>
        <v/>
      </c>
      <c r="AF3949" s="15" t="str">
        <f t="shared" si="1"/>
        <v/>
      </c>
      <c r="AG3949" s="15" t="str">
        <f>IF(OR(AF3949="",AF3949="ERRO_CHAVE"),"",IFERROR(MATCH(AF3949,'quitado Despesa'!$V$1:$V$12,0),""))</f>
        <v/>
      </c>
      <c r="AH3949" s="15" t="str">
        <f t="shared" si="2"/>
        <v/>
      </c>
      <c r="AI3949" s="17" t="str">
        <f>IF(AG3949="","",INDEX('quitado Despesa'!$G$1:$G$12,AG3949))</f>
        <v/>
      </c>
      <c r="AJ3949" s="17" t="str">
        <f t="shared" si="3"/>
        <v/>
      </c>
    </row>
    <row r="3950" spans="31:36">
      <c r="AE3950" s="15" t="str">
        <f t="shared" si="0"/>
        <v/>
      </c>
      <c r="AF3950" s="15" t="str">
        <f t="shared" si="1"/>
        <v/>
      </c>
      <c r="AG3950" s="15" t="str">
        <f>IF(OR(AF3950="",AF3950="ERRO_CHAVE"),"",IFERROR(MATCH(AF3950,'quitado Despesa'!$V$1:$V$12,0),""))</f>
        <v/>
      </c>
      <c r="AH3950" s="15" t="str">
        <f t="shared" si="2"/>
        <v/>
      </c>
      <c r="AI3950" s="17" t="str">
        <f>IF(AG3950="","",INDEX('quitado Despesa'!$G$1:$G$12,AG3950))</f>
        <v/>
      </c>
      <c r="AJ3950" s="17" t="str">
        <f t="shared" si="3"/>
        <v/>
      </c>
    </row>
    <row r="3951" spans="31:36">
      <c r="AE3951" s="15" t="str">
        <f t="shared" si="0"/>
        <v/>
      </c>
      <c r="AF3951" s="15" t="str">
        <f t="shared" si="1"/>
        <v/>
      </c>
      <c r="AG3951" s="15" t="str">
        <f>IF(OR(AF3951="",AF3951="ERRO_CHAVE"),"",IFERROR(MATCH(AF3951,'quitado Despesa'!$V$1:$V$12,0),""))</f>
        <v/>
      </c>
      <c r="AH3951" s="15" t="str">
        <f t="shared" si="2"/>
        <v/>
      </c>
      <c r="AI3951" s="17" t="str">
        <f>IF(AG3951="","",INDEX('quitado Despesa'!$G$1:$G$12,AG3951))</f>
        <v/>
      </c>
      <c r="AJ3951" s="17" t="str">
        <f t="shared" si="3"/>
        <v/>
      </c>
    </row>
    <row r="3952" spans="31:36">
      <c r="AE3952" s="15" t="str">
        <f t="shared" si="0"/>
        <v/>
      </c>
      <c r="AF3952" s="15" t="str">
        <f t="shared" si="1"/>
        <v/>
      </c>
      <c r="AG3952" s="15" t="str">
        <f>IF(OR(AF3952="",AF3952="ERRO_CHAVE"),"",IFERROR(MATCH(AF3952,'quitado Despesa'!$V$1:$V$12,0),""))</f>
        <v/>
      </c>
      <c r="AH3952" s="15" t="str">
        <f t="shared" si="2"/>
        <v/>
      </c>
      <c r="AI3952" s="17" t="str">
        <f>IF(AG3952="","",INDEX('quitado Despesa'!$G$1:$G$12,AG3952))</f>
        <v/>
      </c>
      <c r="AJ3952" s="17" t="str">
        <f t="shared" si="3"/>
        <v/>
      </c>
    </row>
    <row r="3953" spans="31:36">
      <c r="AE3953" s="15" t="str">
        <f t="shared" si="0"/>
        <v/>
      </c>
      <c r="AF3953" s="15" t="str">
        <f t="shared" si="1"/>
        <v/>
      </c>
      <c r="AG3953" s="15" t="str">
        <f>IF(OR(AF3953="",AF3953="ERRO_CHAVE"),"",IFERROR(MATCH(AF3953,'quitado Despesa'!$V$1:$V$12,0),""))</f>
        <v/>
      </c>
      <c r="AH3953" s="15" t="str">
        <f t="shared" si="2"/>
        <v/>
      </c>
      <c r="AI3953" s="17" t="str">
        <f>IF(AG3953="","",INDEX('quitado Despesa'!$G$1:$G$12,AG3953))</f>
        <v/>
      </c>
      <c r="AJ3953" s="17" t="str">
        <f t="shared" si="3"/>
        <v/>
      </c>
    </row>
    <row r="3954" spans="31:36">
      <c r="AE3954" s="15" t="str">
        <f t="shared" si="0"/>
        <v/>
      </c>
      <c r="AF3954" s="15" t="str">
        <f t="shared" si="1"/>
        <v/>
      </c>
      <c r="AG3954" s="15" t="str">
        <f>IF(OR(AF3954="",AF3954="ERRO_CHAVE"),"",IFERROR(MATCH(AF3954,'quitado Despesa'!$V$1:$V$12,0),""))</f>
        <v/>
      </c>
      <c r="AH3954" s="15" t="str">
        <f t="shared" si="2"/>
        <v/>
      </c>
      <c r="AI3954" s="17" t="str">
        <f>IF(AG3954="","",INDEX('quitado Despesa'!$G$1:$G$12,AG3954))</f>
        <v/>
      </c>
      <c r="AJ3954" s="17" t="str">
        <f t="shared" si="3"/>
        <v/>
      </c>
    </row>
    <row r="3955" spans="31:36">
      <c r="AE3955" s="15" t="str">
        <f t="shared" si="0"/>
        <v/>
      </c>
      <c r="AF3955" s="15" t="str">
        <f t="shared" si="1"/>
        <v/>
      </c>
      <c r="AG3955" s="15" t="str">
        <f>IF(OR(AF3955="",AF3955="ERRO_CHAVE"),"",IFERROR(MATCH(AF3955,'quitado Despesa'!$V$1:$V$12,0),""))</f>
        <v/>
      </c>
      <c r="AH3955" s="15" t="str">
        <f t="shared" si="2"/>
        <v/>
      </c>
      <c r="AI3955" s="17" t="str">
        <f>IF(AG3955="","",INDEX('quitado Despesa'!$G$1:$G$12,AG3955))</f>
        <v/>
      </c>
      <c r="AJ3955" s="17" t="str">
        <f t="shared" si="3"/>
        <v/>
      </c>
    </row>
    <row r="3956" spans="31:36">
      <c r="AE3956" s="15" t="str">
        <f t="shared" si="0"/>
        <v/>
      </c>
      <c r="AF3956" s="15" t="str">
        <f t="shared" si="1"/>
        <v/>
      </c>
      <c r="AG3956" s="15" t="str">
        <f>IF(OR(AF3956="",AF3956="ERRO_CHAVE"),"",IFERROR(MATCH(AF3956,'quitado Despesa'!$V$1:$V$12,0),""))</f>
        <v/>
      </c>
      <c r="AH3956" s="15" t="str">
        <f t="shared" si="2"/>
        <v/>
      </c>
      <c r="AI3956" s="17" t="str">
        <f>IF(AG3956="","",INDEX('quitado Despesa'!$G$1:$G$12,AG3956))</f>
        <v/>
      </c>
      <c r="AJ3956" s="17" t="str">
        <f t="shared" si="3"/>
        <v/>
      </c>
    </row>
    <row r="3957" spans="31:36">
      <c r="AE3957" s="15" t="str">
        <f t="shared" si="0"/>
        <v/>
      </c>
      <c r="AF3957" s="15" t="str">
        <f t="shared" si="1"/>
        <v/>
      </c>
      <c r="AG3957" s="15" t="str">
        <f>IF(OR(AF3957="",AF3957="ERRO_CHAVE"),"",IFERROR(MATCH(AF3957,'quitado Despesa'!$V$1:$V$12,0),""))</f>
        <v/>
      </c>
      <c r="AH3957" s="15" t="str">
        <f t="shared" si="2"/>
        <v/>
      </c>
      <c r="AI3957" s="17" t="str">
        <f>IF(AG3957="","",INDEX('quitado Despesa'!$G$1:$G$12,AG3957))</f>
        <v/>
      </c>
      <c r="AJ3957" s="17" t="str">
        <f t="shared" si="3"/>
        <v/>
      </c>
    </row>
    <row r="3958" spans="31:36">
      <c r="AE3958" s="15" t="str">
        <f t="shared" si="0"/>
        <v/>
      </c>
      <c r="AF3958" s="15" t="str">
        <f t="shared" si="1"/>
        <v/>
      </c>
      <c r="AG3958" s="15" t="str">
        <f>IF(OR(AF3958="",AF3958="ERRO_CHAVE"),"",IFERROR(MATCH(AF3958,'quitado Despesa'!$V$1:$V$12,0),""))</f>
        <v/>
      </c>
      <c r="AH3958" s="15" t="str">
        <f t="shared" si="2"/>
        <v/>
      </c>
      <c r="AI3958" s="17" t="str">
        <f>IF(AG3958="","",INDEX('quitado Despesa'!$G$1:$G$12,AG3958))</f>
        <v/>
      </c>
      <c r="AJ3958" s="17" t="str">
        <f t="shared" si="3"/>
        <v/>
      </c>
    </row>
    <row r="3959" spans="31:36">
      <c r="AE3959" s="15" t="str">
        <f t="shared" si="0"/>
        <v/>
      </c>
      <c r="AF3959" s="15" t="str">
        <f t="shared" si="1"/>
        <v/>
      </c>
      <c r="AG3959" s="15" t="str">
        <f>IF(OR(AF3959="",AF3959="ERRO_CHAVE"),"",IFERROR(MATCH(AF3959,'quitado Despesa'!$V$1:$V$12,0),""))</f>
        <v/>
      </c>
      <c r="AH3959" s="15" t="str">
        <f t="shared" si="2"/>
        <v/>
      </c>
      <c r="AI3959" s="17" t="str">
        <f>IF(AG3959="","",INDEX('quitado Despesa'!$G$1:$G$12,AG3959))</f>
        <v/>
      </c>
      <c r="AJ3959" s="17" t="str">
        <f t="shared" si="3"/>
        <v/>
      </c>
    </row>
    <row r="3960" spans="31:36">
      <c r="AE3960" s="15" t="str">
        <f t="shared" si="0"/>
        <v/>
      </c>
      <c r="AF3960" s="15" t="str">
        <f t="shared" si="1"/>
        <v/>
      </c>
      <c r="AG3960" s="15" t="str">
        <f>IF(OR(AF3960="",AF3960="ERRO_CHAVE"),"",IFERROR(MATCH(AF3960,'quitado Despesa'!$V$1:$V$12,0),""))</f>
        <v/>
      </c>
      <c r="AH3960" s="15" t="str">
        <f t="shared" si="2"/>
        <v/>
      </c>
      <c r="AI3960" s="17" t="str">
        <f>IF(AG3960="","",INDEX('quitado Despesa'!$G$1:$G$12,AG3960))</f>
        <v/>
      </c>
      <c r="AJ3960" s="17" t="str">
        <f t="shared" si="3"/>
        <v/>
      </c>
    </row>
    <row r="3961" spans="31:36">
      <c r="AE3961" s="15" t="str">
        <f t="shared" si="0"/>
        <v/>
      </c>
      <c r="AF3961" s="15" t="str">
        <f t="shared" si="1"/>
        <v/>
      </c>
      <c r="AG3961" s="15" t="str">
        <f>IF(OR(AF3961="",AF3961="ERRO_CHAVE"),"",IFERROR(MATCH(AF3961,'quitado Despesa'!$V$1:$V$12,0),""))</f>
        <v/>
      </c>
      <c r="AH3961" s="15" t="str">
        <f t="shared" si="2"/>
        <v/>
      </c>
      <c r="AI3961" s="17" t="str">
        <f>IF(AG3961="","",INDEX('quitado Despesa'!$G$1:$G$12,AG3961))</f>
        <v/>
      </c>
      <c r="AJ3961" s="17" t="str">
        <f t="shared" si="3"/>
        <v/>
      </c>
    </row>
    <row r="3962" spans="31:36">
      <c r="AE3962" s="15" t="str">
        <f t="shared" si="0"/>
        <v/>
      </c>
      <c r="AF3962" s="15" t="str">
        <f t="shared" si="1"/>
        <v/>
      </c>
      <c r="AG3962" s="15" t="str">
        <f>IF(OR(AF3962="",AF3962="ERRO_CHAVE"),"",IFERROR(MATCH(AF3962,'quitado Despesa'!$V$1:$V$12,0),""))</f>
        <v/>
      </c>
      <c r="AH3962" s="15" t="str">
        <f t="shared" si="2"/>
        <v/>
      </c>
      <c r="AI3962" s="17" t="str">
        <f>IF(AG3962="","",INDEX('quitado Despesa'!$G$1:$G$12,AG3962))</f>
        <v/>
      </c>
      <c r="AJ3962" s="17" t="str">
        <f t="shared" si="3"/>
        <v/>
      </c>
    </row>
    <row r="3963" spans="31:36">
      <c r="AE3963" s="15" t="str">
        <f t="shared" si="0"/>
        <v/>
      </c>
      <c r="AF3963" s="15" t="str">
        <f t="shared" si="1"/>
        <v/>
      </c>
      <c r="AG3963" s="15" t="str">
        <f>IF(OR(AF3963="",AF3963="ERRO_CHAVE"),"",IFERROR(MATCH(AF3963,'quitado Despesa'!$V$1:$V$12,0),""))</f>
        <v/>
      </c>
      <c r="AH3963" s="15" t="str">
        <f t="shared" si="2"/>
        <v/>
      </c>
      <c r="AI3963" s="17" t="str">
        <f>IF(AG3963="","",INDEX('quitado Despesa'!$G$1:$G$12,AG3963))</f>
        <v/>
      </c>
      <c r="AJ3963" s="17" t="str">
        <f t="shared" si="3"/>
        <v/>
      </c>
    </row>
    <row r="3964" spans="31:36">
      <c r="AE3964" s="15" t="str">
        <f t="shared" si="0"/>
        <v/>
      </c>
      <c r="AF3964" s="15" t="str">
        <f t="shared" si="1"/>
        <v/>
      </c>
      <c r="AG3964" s="15" t="str">
        <f>IF(OR(AF3964="",AF3964="ERRO_CHAVE"),"",IFERROR(MATCH(AF3964,'quitado Despesa'!$V$1:$V$12,0),""))</f>
        <v/>
      </c>
      <c r="AH3964" s="15" t="str">
        <f t="shared" si="2"/>
        <v/>
      </c>
      <c r="AI3964" s="17" t="str">
        <f>IF(AG3964="","",INDEX('quitado Despesa'!$G$1:$G$12,AG3964))</f>
        <v/>
      </c>
      <c r="AJ3964" s="17" t="str">
        <f t="shared" si="3"/>
        <v/>
      </c>
    </row>
    <row r="3965" spans="31:36">
      <c r="AE3965" s="15" t="str">
        <f t="shared" si="0"/>
        <v/>
      </c>
      <c r="AF3965" s="15" t="str">
        <f t="shared" si="1"/>
        <v/>
      </c>
      <c r="AG3965" s="15" t="str">
        <f>IF(OR(AF3965="",AF3965="ERRO_CHAVE"),"",IFERROR(MATCH(AF3965,'quitado Despesa'!$V$1:$V$12,0),""))</f>
        <v/>
      </c>
      <c r="AH3965" s="15" t="str">
        <f t="shared" si="2"/>
        <v/>
      </c>
      <c r="AI3965" s="17" t="str">
        <f>IF(AG3965="","",INDEX('quitado Despesa'!$G$1:$G$12,AG3965))</f>
        <v/>
      </c>
      <c r="AJ3965" s="17" t="str">
        <f t="shared" si="3"/>
        <v/>
      </c>
    </row>
    <row r="3966" spans="31:36">
      <c r="AE3966" s="15" t="str">
        <f t="shared" si="0"/>
        <v/>
      </c>
      <c r="AF3966" s="15" t="str">
        <f t="shared" si="1"/>
        <v/>
      </c>
      <c r="AG3966" s="15" t="str">
        <f>IF(OR(AF3966="",AF3966="ERRO_CHAVE"),"",IFERROR(MATCH(AF3966,'quitado Despesa'!$V$1:$V$12,0),""))</f>
        <v/>
      </c>
      <c r="AH3966" s="15" t="str">
        <f t="shared" si="2"/>
        <v/>
      </c>
      <c r="AI3966" s="17" t="str">
        <f>IF(AG3966="","",INDEX('quitado Despesa'!$G$1:$G$12,AG3966))</f>
        <v/>
      </c>
      <c r="AJ3966" s="17" t="str">
        <f t="shared" si="3"/>
        <v/>
      </c>
    </row>
    <row r="3967" spans="31:36">
      <c r="AE3967" s="15" t="str">
        <f t="shared" si="0"/>
        <v/>
      </c>
      <c r="AF3967" s="15" t="str">
        <f t="shared" si="1"/>
        <v/>
      </c>
      <c r="AG3967" s="15" t="str">
        <f>IF(OR(AF3967="",AF3967="ERRO_CHAVE"),"",IFERROR(MATCH(AF3967,'quitado Despesa'!$V$1:$V$12,0),""))</f>
        <v/>
      </c>
      <c r="AH3967" s="15" t="str">
        <f t="shared" si="2"/>
        <v/>
      </c>
      <c r="AI3967" s="17" t="str">
        <f>IF(AG3967="","",INDEX('quitado Despesa'!$G$1:$G$12,AG3967))</f>
        <v/>
      </c>
      <c r="AJ3967" s="17" t="str">
        <f t="shared" si="3"/>
        <v/>
      </c>
    </row>
    <row r="3968" spans="31:36">
      <c r="AE3968" s="15" t="str">
        <f t="shared" si="0"/>
        <v/>
      </c>
      <c r="AF3968" s="15" t="str">
        <f t="shared" si="1"/>
        <v/>
      </c>
      <c r="AG3968" s="15" t="str">
        <f>IF(OR(AF3968="",AF3968="ERRO_CHAVE"),"",IFERROR(MATCH(AF3968,'quitado Despesa'!$V$1:$V$12,0),""))</f>
        <v/>
      </c>
      <c r="AH3968" s="15" t="str">
        <f t="shared" si="2"/>
        <v/>
      </c>
      <c r="AI3968" s="17" t="str">
        <f>IF(AG3968="","",INDEX('quitado Despesa'!$G$1:$G$12,AG3968))</f>
        <v/>
      </c>
      <c r="AJ3968" s="17" t="str">
        <f t="shared" si="3"/>
        <v/>
      </c>
    </row>
    <row r="3969" spans="31:36">
      <c r="AE3969" s="15" t="str">
        <f t="shared" si="0"/>
        <v/>
      </c>
      <c r="AF3969" s="15" t="str">
        <f t="shared" si="1"/>
        <v/>
      </c>
      <c r="AG3969" s="15" t="str">
        <f>IF(OR(AF3969="",AF3969="ERRO_CHAVE"),"",IFERROR(MATCH(AF3969,'quitado Despesa'!$V$1:$V$12,0),""))</f>
        <v/>
      </c>
      <c r="AH3969" s="15" t="str">
        <f t="shared" si="2"/>
        <v/>
      </c>
      <c r="AI3969" s="17" t="str">
        <f>IF(AG3969="","",INDEX('quitado Despesa'!$G$1:$G$12,AG3969))</f>
        <v/>
      </c>
      <c r="AJ3969" s="17" t="str">
        <f t="shared" si="3"/>
        <v/>
      </c>
    </row>
    <row r="3970" spans="31:36">
      <c r="AE3970" s="15" t="str">
        <f t="shared" si="0"/>
        <v/>
      </c>
      <c r="AF3970" s="15" t="str">
        <f t="shared" si="1"/>
        <v/>
      </c>
      <c r="AG3970" s="15" t="str">
        <f>IF(OR(AF3970="",AF3970="ERRO_CHAVE"),"",IFERROR(MATCH(AF3970,'quitado Despesa'!$V$1:$V$12,0),""))</f>
        <v/>
      </c>
      <c r="AH3970" s="15" t="str">
        <f t="shared" si="2"/>
        <v/>
      </c>
      <c r="AI3970" s="17" t="str">
        <f>IF(AG3970="","",INDEX('quitado Despesa'!$G$1:$G$12,AG3970))</f>
        <v/>
      </c>
      <c r="AJ3970" s="17" t="str">
        <f t="shared" si="3"/>
        <v/>
      </c>
    </row>
    <row r="3971" spans="31:36">
      <c r="AE3971" s="15" t="str">
        <f t="shared" si="0"/>
        <v/>
      </c>
      <c r="AF3971" s="15" t="str">
        <f t="shared" si="1"/>
        <v/>
      </c>
      <c r="AG3971" s="15" t="str">
        <f>IF(OR(AF3971="",AF3971="ERRO_CHAVE"),"",IFERROR(MATCH(AF3971,'quitado Despesa'!$V$1:$V$12,0),""))</f>
        <v/>
      </c>
      <c r="AH3971" s="15" t="str">
        <f t="shared" si="2"/>
        <v/>
      </c>
      <c r="AI3971" s="17" t="str">
        <f>IF(AG3971="","",INDEX('quitado Despesa'!$G$1:$G$12,AG3971))</f>
        <v/>
      </c>
      <c r="AJ3971" s="17" t="str">
        <f t="shared" si="3"/>
        <v/>
      </c>
    </row>
    <row r="3972" spans="31:36">
      <c r="AE3972" s="15" t="str">
        <f t="shared" si="0"/>
        <v/>
      </c>
      <c r="AF3972" s="15" t="str">
        <f t="shared" si="1"/>
        <v/>
      </c>
      <c r="AG3972" s="15" t="str">
        <f>IF(OR(AF3972="",AF3972="ERRO_CHAVE"),"",IFERROR(MATCH(AF3972,'quitado Despesa'!$V$1:$V$12,0),""))</f>
        <v/>
      </c>
      <c r="AH3972" s="15" t="str">
        <f t="shared" si="2"/>
        <v/>
      </c>
      <c r="AI3972" s="17" t="str">
        <f>IF(AG3972="","",INDEX('quitado Despesa'!$G$1:$G$12,AG3972))</f>
        <v/>
      </c>
      <c r="AJ3972" s="17" t="str">
        <f t="shared" si="3"/>
        <v/>
      </c>
    </row>
    <row r="3973" spans="31:36">
      <c r="AE3973" s="15" t="str">
        <f t="shared" si="0"/>
        <v/>
      </c>
      <c r="AF3973" s="15" t="str">
        <f t="shared" si="1"/>
        <v/>
      </c>
      <c r="AG3973" s="15" t="str">
        <f>IF(OR(AF3973="",AF3973="ERRO_CHAVE"),"",IFERROR(MATCH(AF3973,'quitado Despesa'!$V$1:$V$12,0),""))</f>
        <v/>
      </c>
      <c r="AH3973" s="15" t="str">
        <f t="shared" si="2"/>
        <v/>
      </c>
      <c r="AI3973" s="17" t="str">
        <f>IF(AG3973="","",INDEX('quitado Despesa'!$G$1:$G$12,AG3973))</f>
        <v/>
      </c>
      <c r="AJ3973" s="17" t="str">
        <f t="shared" si="3"/>
        <v/>
      </c>
    </row>
    <row r="3974" spans="31:36">
      <c r="AE3974" s="15" t="str">
        <f t="shared" si="0"/>
        <v/>
      </c>
      <c r="AF3974" s="15" t="str">
        <f t="shared" si="1"/>
        <v/>
      </c>
      <c r="AG3974" s="15" t="str">
        <f>IF(OR(AF3974="",AF3974="ERRO_CHAVE"),"",IFERROR(MATCH(AF3974,'quitado Despesa'!$V$1:$V$12,0),""))</f>
        <v/>
      </c>
      <c r="AH3974" s="15" t="str">
        <f t="shared" si="2"/>
        <v/>
      </c>
      <c r="AI3974" s="17" t="str">
        <f>IF(AG3974="","",INDEX('quitado Despesa'!$G$1:$G$12,AG3974))</f>
        <v/>
      </c>
      <c r="AJ3974" s="17" t="str">
        <f t="shared" si="3"/>
        <v/>
      </c>
    </row>
    <row r="3975" spans="31:36">
      <c r="AE3975" s="15" t="str">
        <f t="shared" si="0"/>
        <v/>
      </c>
      <c r="AF3975" s="15" t="str">
        <f t="shared" si="1"/>
        <v/>
      </c>
      <c r="AG3975" s="15" t="str">
        <f>IF(OR(AF3975="",AF3975="ERRO_CHAVE"),"",IFERROR(MATCH(AF3975,'quitado Despesa'!$V$1:$V$12,0),""))</f>
        <v/>
      </c>
      <c r="AH3975" s="15" t="str">
        <f t="shared" si="2"/>
        <v/>
      </c>
      <c r="AI3975" s="17" t="str">
        <f>IF(AG3975="","",INDEX('quitado Despesa'!$G$1:$G$12,AG3975))</f>
        <v/>
      </c>
      <c r="AJ3975" s="17" t="str">
        <f t="shared" si="3"/>
        <v/>
      </c>
    </row>
    <row r="3976" spans="31:36">
      <c r="AE3976" s="15" t="str">
        <f t="shared" si="0"/>
        <v/>
      </c>
      <c r="AF3976" s="15" t="str">
        <f t="shared" si="1"/>
        <v/>
      </c>
      <c r="AG3976" s="15" t="str">
        <f>IF(OR(AF3976="",AF3976="ERRO_CHAVE"),"",IFERROR(MATCH(AF3976,'quitado Despesa'!$V$1:$V$12,0),""))</f>
        <v/>
      </c>
      <c r="AH3976" s="15" t="str">
        <f t="shared" si="2"/>
        <v/>
      </c>
      <c r="AI3976" s="17" t="str">
        <f>IF(AG3976="","",INDEX('quitado Despesa'!$G$1:$G$12,AG3976))</f>
        <v/>
      </c>
      <c r="AJ3976" s="17" t="str">
        <f t="shared" si="3"/>
        <v/>
      </c>
    </row>
    <row r="3977" spans="31:36">
      <c r="AE3977" s="15" t="str">
        <f t="shared" si="0"/>
        <v/>
      </c>
      <c r="AF3977" s="15" t="str">
        <f t="shared" si="1"/>
        <v/>
      </c>
      <c r="AG3977" s="15" t="str">
        <f>IF(OR(AF3977="",AF3977="ERRO_CHAVE"),"",IFERROR(MATCH(AF3977,'quitado Despesa'!$V$1:$V$12,0),""))</f>
        <v/>
      </c>
      <c r="AH3977" s="15" t="str">
        <f t="shared" si="2"/>
        <v/>
      </c>
      <c r="AI3977" s="17" t="str">
        <f>IF(AG3977="","",INDEX('quitado Despesa'!$G$1:$G$12,AG3977))</f>
        <v/>
      </c>
      <c r="AJ3977" s="17" t="str">
        <f t="shared" si="3"/>
        <v/>
      </c>
    </row>
    <row r="3978" spans="31:36">
      <c r="AE3978" s="15" t="str">
        <f t="shared" si="0"/>
        <v/>
      </c>
      <c r="AF3978" s="15" t="str">
        <f t="shared" si="1"/>
        <v/>
      </c>
      <c r="AG3978" s="15" t="str">
        <f>IF(OR(AF3978="",AF3978="ERRO_CHAVE"),"",IFERROR(MATCH(AF3978,'quitado Despesa'!$V$1:$V$12,0),""))</f>
        <v/>
      </c>
      <c r="AH3978" s="15" t="str">
        <f t="shared" si="2"/>
        <v/>
      </c>
      <c r="AI3978" s="17" t="str">
        <f>IF(AG3978="","",INDEX('quitado Despesa'!$G$1:$G$12,AG3978))</f>
        <v/>
      </c>
      <c r="AJ3978" s="17" t="str">
        <f t="shared" si="3"/>
        <v/>
      </c>
    </row>
    <row r="3979" spans="31:36">
      <c r="AE3979" s="15" t="str">
        <f t="shared" si="0"/>
        <v/>
      </c>
      <c r="AF3979" s="15" t="str">
        <f t="shared" si="1"/>
        <v/>
      </c>
      <c r="AG3979" s="15" t="str">
        <f>IF(OR(AF3979="",AF3979="ERRO_CHAVE"),"",IFERROR(MATCH(AF3979,'quitado Despesa'!$V$1:$V$12,0),""))</f>
        <v/>
      </c>
      <c r="AH3979" s="15" t="str">
        <f t="shared" si="2"/>
        <v/>
      </c>
      <c r="AI3979" s="17" t="str">
        <f>IF(AG3979="","",INDEX('quitado Despesa'!$G$1:$G$12,AG3979))</f>
        <v/>
      </c>
      <c r="AJ3979" s="17" t="str">
        <f t="shared" si="3"/>
        <v/>
      </c>
    </row>
    <row r="3980" spans="31:36">
      <c r="AE3980" s="15" t="str">
        <f t="shared" si="0"/>
        <v/>
      </c>
      <c r="AF3980" s="15" t="str">
        <f t="shared" si="1"/>
        <v/>
      </c>
      <c r="AG3980" s="15" t="str">
        <f>IF(OR(AF3980="",AF3980="ERRO_CHAVE"),"",IFERROR(MATCH(AF3980,'quitado Despesa'!$V$1:$V$12,0),""))</f>
        <v/>
      </c>
      <c r="AH3980" s="15" t="str">
        <f t="shared" si="2"/>
        <v/>
      </c>
      <c r="AI3980" s="17" t="str">
        <f>IF(AG3980="","",INDEX('quitado Despesa'!$G$1:$G$12,AG3980))</f>
        <v/>
      </c>
      <c r="AJ3980" s="17" t="str">
        <f t="shared" si="3"/>
        <v/>
      </c>
    </row>
    <row r="3981" spans="31:36">
      <c r="AE3981" s="15" t="str">
        <f t="shared" si="0"/>
        <v/>
      </c>
      <c r="AF3981" s="15" t="str">
        <f t="shared" si="1"/>
        <v/>
      </c>
      <c r="AG3981" s="15" t="str">
        <f>IF(OR(AF3981="",AF3981="ERRO_CHAVE"),"",IFERROR(MATCH(AF3981,'quitado Despesa'!$V$1:$V$12,0),""))</f>
        <v/>
      </c>
      <c r="AH3981" s="15" t="str">
        <f t="shared" si="2"/>
        <v/>
      </c>
      <c r="AI3981" s="17" t="str">
        <f>IF(AG3981="","",INDEX('quitado Despesa'!$G$1:$G$12,AG3981))</f>
        <v/>
      </c>
      <c r="AJ3981" s="17" t="str">
        <f t="shared" si="3"/>
        <v/>
      </c>
    </row>
    <row r="3982" spans="31:36">
      <c r="AE3982" s="15" t="str">
        <f t="shared" si="0"/>
        <v/>
      </c>
      <c r="AF3982" s="15" t="str">
        <f t="shared" si="1"/>
        <v/>
      </c>
      <c r="AG3982" s="15" t="str">
        <f>IF(OR(AF3982="",AF3982="ERRO_CHAVE"),"",IFERROR(MATCH(AF3982,'quitado Despesa'!$V$1:$V$12,0),""))</f>
        <v/>
      </c>
      <c r="AH3982" s="15" t="str">
        <f t="shared" si="2"/>
        <v/>
      </c>
      <c r="AI3982" s="17" t="str">
        <f>IF(AG3982="","",INDEX('quitado Despesa'!$G$1:$G$12,AG3982))</f>
        <v/>
      </c>
      <c r="AJ3982" s="17" t="str">
        <f t="shared" si="3"/>
        <v/>
      </c>
    </row>
    <row r="3983" spans="31:36">
      <c r="AE3983" s="15" t="str">
        <f t="shared" si="0"/>
        <v/>
      </c>
      <c r="AF3983" s="15" t="str">
        <f t="shared" si="1"/>
        <v/>
      </c>
      <c r="AG3983" s="15" t="str">
        <f>IF(OR(AF3983="",AF3983="ERRO_CHAVE"),"",IFERROR(MATCH(AF3983,'quitado Despesa'!$V$1:$V$12,0),""))</f>
        <v/>
      </c>
      <c r="AH3983" s="15" t="str">
        <f t="shared" si="2"/>
        <v/>
      </c>
      <c r="AI3983" s="17" t="str">
        <f>IF(AG3983="","",INDEX('quitado Despesa'!$G$1:$G$12,AG3983))</f>
        <v/>
      </c>
      <c r="AJ3983" s="17" t="str">
        <f t="shared" si="3"/>
        <v/>
      </c>
    </row>
    <row r="3984" spans="31:36">
      <c r="AE3984" s="15" t="str">
        <f t="shared" si="0"/>
        <v/>
      </c>
      <c r="AF3984" s="15" t="str">
        <f t="shared" si="1"/>
        <v/>
      </c>
      <c r="AG3984" s="15" t="str">
        <f>IF(OR(AF3984="",AF3984="ERRO_CHAVE"),"",IFERROR(MATCH(AF3984,'quitado Despesa'!$V$1:$V$12,0),""))</f>
        <v/>
      </c>
      <c r="AH3984" s="15" t="str">
        <f t="shared" si="2"/>
        <v/>
      </c>
      <c r="AI3984" s="17" t="str">
        <f>IF(AG3984="","",INDEX('quitado Despesa'!$G$1:$G$12,AG3984))</f>
        <v/>
      </c>
      <c r="AJ3984" s="17" t="str">
        <f t="shared" si="3"/>
        <v/>
      </c>
    </row>
    <row r="3985" spans="31:36">
      <c r="AE3985" s="15" t="str">
        <f t="shared" si="0"/>
        <v/>
      </c>
      <c r="AF3985" s="15" t="str">
        <f t="shared" si="1"/>
        <v/>
      </c>
      <c r="AG3985" s="15" t="str">
        <f>IF(OR(AF3985="",AF3985="ERRO_CHAVE"),"",IFERROR(MATCH(AF3985,'quitado Despesa'!$V$1:$V$12,0),""))</f>
        <v/>
      </c>
      <c r="AH3985" s="15" t="str">
        <f t="shared" si="2"/>
        <v/>
      </c>
      <c r="AI3985" s="17" t="str">
        <f>IF(AG3985="","",INDEX('quitado Despesa'!$G$1:$G$12,AG3985))</f>
        <v/>
      </c>
      <c r="AJ3985" s="17" t="str">
        <f t="shared" si="3"/>
        <v/>
      </c>
    </row>
    <row r="3986" spans="31:36">
      <c r="AE3986" s="15" t="str">
        <f t="shared" si="0"/>
        <v/>
      </c>
      <c r="AF3986" s="15" t="str">
        <f t="shared" si="1"/>
        <v/>
      </c>
      <c r="AG3986" s="15" t="str">
        <f>IF(OR(AF3986="",AF3986="ERRO_CHAVE"),"",IFERROR(MATCH(AF3986,'quitado Despesa'!$V$1:$V$12,0),""))</f>
        <v/>
      </c>
      <c r="AH3986" s="15" t="str">
        <f t="shared" si="2"/>
        <v/>
      </c>
      <c r="AI3986" s="17" t="str">
        <f>IF(AG3986="","",INDEX('quitado Despesa'!$G$1:$G$12,AG3986))</f>
        <v/>
      </c>
      <c r="AJ3986" s="17" t="str">
        <f t="shared" si="3"/>
        <v/>
      </c>
    </row>
    <row r="3987" spans="31:36">
      <c r="AE3987" s="15" t="str">
        <f t="shared" si="0"/>
        <v/>
      </c>
      <c r="AF3987" s="15" t="str">
        <f t="shared" si="1"/>
        <v/>
      </c>
      <c r="AG3987" s="15" t="str">
        <f>IF(OR(AF3987="",AF3987="ERRO_CHAVE"),"",IFERROR(MATCH(AF3987,'quitado Despesa'!$V$1:$V$12,0),""))</f>
        <v/>
      </c>
      <c r="AH3987" s="15" t="str">
        <f t="shared" si="2"/>
        <v/>
      </c>
      <c r="AI3987" s="17" t="str">
        <f>IF(AG3987="","",INDEX('quitado Despesa'!$G$1:$G$12,AG3987))</f>
        <v/>
      </c>
      <c r="AJ3987" s="17" t="str">
        <f t="shared" si="3"/>
        <v/>
      </c>
    </row>
    <row r="3988" spans="31:36">
      <c r="AE3988" s="15" t="str">
        <f t="shared" si="0"/>
        <v/>
      </c>
      <c r="AF3988" s="15" t="str">
        <f t="shared" si="1"/>
        <v/>
      </c>
      <c r="AG3988" s="15" t="str">
        <f>IF(OR(AF3988="",AF3988="ERRO_CHAVE"),"",IFERROR(MATCH(AF3988,'quitado Despesa'!$V$1:$V$12,0),""))</f>
        <v/>
      </c>
      <c r="AH3988" s="15" t="str">
        <f t="shared" si="2"/>
        <v/>
      </c>
      <c r="AI3988" s="17" t="str">
        <f>IF(AG3988="","",INDEX('quitado Despesa'!$G$1:$G$12,AG3988))</f>
        <v/>
      </c>
      <c r="AJ3988" s="17" t="str">
        <f t="shared" si="3"/>
        <v/>
      </c>
    </row>
    <row r="3989" spans="31:36">
      <c r="AE3989" s="15" t="str">
        <f t="shared" si="0"/>
        <v/>
      </c>
      <c r="AF3989" s="15" t="str">
        <f t="shared" si="1"/>
        <v/>
      </c>
      <c r="AG3989" s="15" t="str">
        <f>IF(OR(AF3989="",AF3989="ERRO_CHAVE"),"",IFERROR(MATCH(AF3989,'quitado Despesa'!$V$1:$V$12,0),""))</f>
        <v/>
      </c>
      <c r="AH3989" s="15" t="str">
        <f t="shared" si="2"/>
        <v/>
      </c>
      <c r="AI3989" s="17" t="str">
        <f>IF(AG3989="","",INDEX('quitado Despesa'!$G$1:$G$12,AG3989))</f>
        <v/>
      </c>
      <c r="AJ3989" s="17" t="str">
        <f t="shared" si="3"/>
        <v/>
      </c>
    </row>
    <row r="3990" spans="31:36">
      <c r="AE3990" s="15" t="str">
        <f t="shared" si="0"/>
        <v/>
      </c>
      <c r="AF3990" s="15" t="str">
        <f t="shared" si="1"/>
        <v/>
      </c>
      <c r="AG3990" s="15" t="str">
        <f>IF(OR(AF3990="",AF3990="ERRO_CHAVE"),"",IFERROR(MATCH(AF3990,'quitado Despesa'!$V$1:$V$12,0),""))</f>
        <v/>
      </c>
      <c r="AH3990" s="15" t="str">
        <f t="shared" si="2"/>
        <v/>
      </c>
      <c r="AI3990" s="17" t="str">
        <f>IF(AG3990="","",INDEX('quitado Despesa'!$G$1:$G$12,AG3990))</f>
        <v/>
      </c>
      <c r="AJ3990" s="17" t="str">
        <f t="shared" si="3"/>
        <v/>
      </c>
    </row>
    <row r="3991" spans="31:36">
      <c r="AE3991" s="15" t="str">
        <f t="shared" si="0"/>
        <v/>
      </c>
      <c r="AF3991" s="15" t="str">
        <f t="shared" si="1"/>
        <v/>
      </c>
      <c r="AG3991" s="15" t="str">
        <f>IF(OR(AF3991="",AF3991="ERRO_CHAVE"),"",IFERROR(MATCH(AF3991,'quitado Despesa'!$V$1:$V$12,0),""))</f>
        <v/>
      </c>
      <c r="AH3991" s="15" t="str">
        <f t="shared" si="2"/>
        <v/>
      </c>
      <c r="AI3991" s="17" t="str">
        <f>IF(AG3991="","",INDEX('quitado Despesa'!$G$1:$G$12,AG3991))</f>
        <v/>
      </c>
      <c r="AJ3991" s="17" t="str">
        <f t="shared" si="3"/>
        <v/>
      </c>
    </row>
    <row r="3992" spans="31:36">
      <c r="AE3992" s="15" t="str">
        <f t="shared" si="0"/>
        <v/>
      </c>
      <c r="AF3992" s="15" t="str">
        <f t="shared" si="1"/>
        <v/>
      </c>
      <c r="AG3992" s="15" t="str">
        <f>IF(OR(AF3992="",AF3992="ERRO_CHAVE"),"",IFERROR(MATCH(AF3992,'quitado Despesa'!$V$1:$V$12,0),""))</f>
        <v/>
      </c>
      <c r="AH3992" s="15" t="str">
        <f t="shared" si="2"/>
        <v/>
      </c>
      <c r="AI3992" s="17" t="str">
        <f>IF(AG3992="","",INDEX('quitado Despesa'!$G$1:$G$12,AG3992))</f>
        <v/>
      </c>
      <c r="AJ3992" s="17" t="str">
        <f t="shared" si="3"/>
        <v/>
      </c>
    </row>
    <row r="3993" spans="31:36">
      <c r="AE3993" s="15" t="str">
        <f t="shared" si="0"/>
        <v/>
      </c>
      <c r="AF3993" s="15" t="str">
        <f t="shared" si="1"/>
        <v/>
      </c>
      <c r="AG3993" s="15" t="str">
        <f>IF(OR(AF3993="",AF3993="ERRO_CHAVE"),"",IFERROR(MATCH(AF3993,'quitado Despesa'!$V$1:$V$12,0),""))</f>
        <v/>
      </c>
      <c r="AH3993" s="15" t="str">
        <f t="shared" si="2"/>
        <v/>
      </c>
      <c r="AI3993" s="17" t="str">
        <f>IF(AG3993="","",INDEX('quitado Despesa'!$G$1:$G$12,AG3993))</f>
        <v/>
      </c>
      <c r="AJ3993" s="17" t="str">
        <f t="shared" si="3"/>
        <v/>
      </c>
    </row>
    <row r="3994" spans="31:36">
      <c r="AE3994" s="15" t="str">
        <f t="shared" si="0"/>
        <v/>
      </c>
      <c r="AF3994" s="15" t="str">
        <f t="shared" si="1"/>
        <v/>
      </c>
      <c r="AG3994" s="15" t="str">
        <f>IF(OR(AF3994="",AF3994="ERRO_CHAVE"),"",IFERROR(MATCH(AF3994,'quitado Despesa'!$V$1:$V$12,0),""))</f>
        <v/>
      </c>
      <c r="AH3994" s="15" t="str">
        <f t="shared" si="2"/>
        <v/>
      </c>
      <c r="AI3994" s="17" t="str">
        <f>IF(AG3994="","",INDEX('quitado Despesa'!$G$1:$G$12,AG3994))</f>
        <v/>
      </c>
      <c r="AJ3994" s="17" t="str">
        <f t="shared" si="3"/>
        <v/>
      </c>
    </row>
    <row r="3995" spans="31:36">
      <c r="AE3995" s="15" t="str">
        <f t="shared" si="0"/>
        <v/>
      </c>
      <c r="AF3995" s="15" t="str">
        <f t="shared" si="1"/>
        <v/>
      </c>
      <c r="AG3995" s="15" t="str">
        <f>IF(OR(AF3995="",AF3995="ERRO_CHAVE"),"",IFERROR(MATCH(AF3995,'quitado Despesa'!$V$1:$V$12,0),""))</f>
        <v/>
      </c>
      <c r="AH3995" s="15" t="str">
        <f t="shared" si="2"/>
        <v/>
      </c>
      <c r="AI3995" s="17" t="str">
        <f>IF(AG3995="","",INDEX('quitado Despesa'!$G$1:$G$12,AG3995))</f>
        <v/>
      </c>
      <c r="AJ3995" s="17" t="str">
        <f t="shared" si="3"/>
        <v/>
      </c>
    </row>
    <row r="3996" spans="31:36">
      <c r="AE3996" s="15" t="str">
        <f t="shared" si="0"/>
        <v/>
      </c>
      <c r="AF3996" s="15" t="str">
        <f t="shared" si="1"/>
        <v/>
      </c>
      <c r="AG3996" s="15" t="str">
        <f>IF(OR(AF3996="",AF3996="ERRO_CHAVE"),"",IFERROR(MATCH(AF3996,'quitado Despesa'!$V$1:$V$12,0),""))</f>
        <v/>
      </c>
      <c r="AH3996" s="15" t="str">
        <f t="shared" si="2"/>
        <v/>
      </c>
      <c r="AI3996" s="17" t="str">
        <f>IF(AG3996="","",INDEX('quitado Despesa'!$G$1:$G$12,AG3996))</f>
        <v/>
      </c>
      <c r="AJ3996" s="17" t="str">
        <f t="shared" si="3"/>
        <v/>
      </c>
    </row>
    <row r="3997" spans="31:36">
      <c r="AE3997" s="15" t="str">
        <f t="shared" si="0"/>
        <v/>
      </c>
      <c r="AF3997" s="15" t="str">
        <f t="shared" si="1"/>
        <v/>
      </c>
      <c r="AG3997" s="15" t="str">
        <f>IF(OR(AF3997="",AF3997="ERRO_CHAVE"),"",IFERROR(MATCH(AF3997,'quitado Despesa'!$V$1:$V$12,0),""))</f>
        <v/>
      </c>
      <c r="AH3997" s="15" t="str">
        <f t="shared" si="2"/>
        <v/>
      </c>
      <c r="AI3997" s="17" t="str">
        <f>IF(AG3997="","",INDEX('quitado Despesa'!$G$1:$G$12,AG3997))</f>
        <v/>
      </c>
      <c r="AJ3997" s="17" t="str">
        <f t="shared" si="3"/>
        <v/>
      </c>
    </row>
    <row r="3998" spans="31:36">
      <c r="AE3998" s="15" t="str">
        <f t="shared" si="0"/>
        <v/>
      </c>
      <c r="AF3998" s="15" t="str">
        <f t="shared" si="1"/>
        <v/>
      </c>
      <c r="AG3998" s="15" t="str">
        <f>IF(OR(AF3998="",AF3998="ERRO_CHAVE"),"",IFERROR(MATCH(AF3998,'quitado Despesa'!$V$1:$V$12,0),""))</f>
        <v/>
      </c>
      <c r="AH3998" s="15" t="str">
        <f t="shared" si="2"/>
        <v/>
      </c>
      <c r="AI3998" s="17" t="str">
        <f>IF(AG3998="","",INDEX('quitado Despesa'!$G$1:$G$12,AG3998))</f>
        <v/>
      </c>
      <c r="AJ3998" s="17" t="str">
        <f t="shared" si="3"/>
        <v/>
      </c>
    </row>
    <row r="3999" spans="31:36">
      <c r="AE3999" s="15" t="str">
        <f t="shared" si="0"/>
        <v/>
      </c>
      <c r="AF3999" s="15" t="str">
        <f t="shared" si="1"/>
        <v/>
      </c>
      <c r="AG3999" s="15" t="str">
        <f>IF(OR(AF3999="",AF3999="ERRO_CHAVE"),"",IFERROR(MATCH(AF3999,'quitado Despesa'!$V$1:$V$12,0),""))</f>
        <v/>
      </c>
      <c r="AH3999" s="15" t="str">
        <f t="shared" si="2"/>
        <v/>
      </c>
      <c r="AI3999" s="17" t="str">
        <f>IF(AG3999="","",INDEX('quitado Despesa'!$G$1:$G$12,AG3999))</f>
        <v/>
      </c>
      <c r="AJ3999" s="17" t="str">
        <f t="shared" si="3"/>
        <v/>
      </c>
    </row>
    <row r="4000" spans="31:36">
      <c r="AE4000" s="15" t="str">
        <f t="shared" si="0"/>
        <v/>
      </c>
      <c r="AF4000" s="15" t="str">
        <f t="shared" si="1"/>
        <v/>
      </c>
      <c r="AG4000" s="15" t="str">
        <f>IF(OR(AF4000="",AF4000="ERRO_CHAVE"),"",IFERROR(MATCH(AF4000,'quitado Despesa'!$V$1:$V$12,0),""))</f>
        <v/>
      </c>
      <c r="AH4000" s="15" t="str">
        <f t="shared" si="2"/>
        <v/>
      </c>
      <c r="AI4000" s="17" t="str">
        <f>IF(AG4000="","",INDEX('quitado Despesa'!$G$1:$G$12,AG4000))</f>
        <v/>
      </c>
      <c r="AJ4000" s="17" t="str">
        <f t="shared" si="3"/>
        <v/>
      </c>
    </row>
    <row r="4001" spans="31:36">
      <c r="AE4001" s="15" t="str">
        <f t="shared" si="0"/>
        <v/>
      </c>
      <c r="AF4001" s="15" t="str">
        <f t="shared" si="1"/>
        <v/>
      </c>
      <c r="AG4001" s="15" t="str">
        <f>IF(OR(AF4001="",AF4001="ERRO_CHAVE"),"",IFERROR(MATCH(AF4001,'quitado Despesa'!$V$1:$V$12,0),""))</f>
        <v/>
      </c>
      <c r="AH4001" s="15" t="str">
        <f t="shared" si="2"/>
        <v/>
      </c>
      <c r="AI4001" s="17" t="str">
        <f>IF(AG4001="","",INDEX('quitado Despesa'!$G$1:$G$12,AG4001))</f>
        <v/>
      </c>
      <c r="AJ4001" s="17" t="str">
        <f t="shared" si="3"/>
        <v/>
      </c>
    </row>
    <row r="4002" spans="31:36">
      <c r="AE4002" s="15" t="str">
        <f t="shared" si="0"/>
        <v/>
      </c>
      <c r="AF4002" s="15" t="str">
        <f t="shared" si="1"/>
        <v/>
      </c>
      <c r="AG4002" s="15" t="str">
        <f>IF(OR(AF4002="",AF4002="ERRO_CHAVE"),"",IFERROR(MATCH(AF4002,'quitado Despesa'!$V$1:$V$12,0),""))</f>
        <v/>
      </c>
      <c r="AH4002" s="15" t="str">
        <f t="shared" si="2"/>
        <v/>
      </c>
      <c r="AI4002" s="17" t="str">
        <f>IF(AG4002="","",INDEX('quitado Despesa'!$G$1:$G$12,AG4002))</f>
        <v/>
      </c>
      <c r="AJ4002" s="17" t="str">
        <f t="shared" si="3"/>
        <v/>
      </c>
    </row>
    <row r="4003" spans="31:36">
      <c r="AE4003" s="15" t="str">
        <f t="shared" si="0"/>
        <v/>
      </c>
      <c r="AF4003" s="15" t="str">
        <f t="shared" si="1"/>
        <v/>
      </c>
      <c r="AG4003" s="15" t="str">
        <f>IF(OR(AF4003="",AF4003="ERRO_CHAVE"),"",IFERROR(MATCH(AF4003,'quitado Despesa'!$V$1:$V$12,0),""))</f>
        <v/>
      </c>
      <c r="AH4003" s="15" t="str">
        <f t="shared" si="2"/>
        <v/>
      </c>
      <c r="AI4003" s="17" t="str">
        <f>IF(AG4003="","",INDEX('quitado Despesa'!$G$1:$G$12,AG4003))</f>
        <v/>
      </c>
      <c r="AJ4003" s="17" t="str">
        <f t="shared" si="3"/>
        <v/>
      </c>
    </row>
    <row r="4004" spans="31:36">
      <c r="AE4004" s="15" t="str">
        <f t="shared" si="0"/>
        <v/>
      </c>
      <c r="AF4004" s="15" t="str">
        <f t="shared" si="1"/>
        <v/>
      </c>
      <c r="AG4004" s="15" t="str">
        <f>IF(OR(AF4004="",AF4004="ERRO_CHAVE"),"",IFERROR(MATCH(AF4004,'quitado Despesa'!$V$1:$V$12,0),""))</f>
        <v/>
      </c>
      <c r="AH4004" s="15" t="str">
        <f t="shared" si="2"/>
        <v/>
      </c>
      <c r="AI4004" s="17" t="str">
        <f>IF(AG4004="","",INDEX('quitado Despesa'!$G$1:$G$12,AG4004))</f>
        <v/>
      </c>
      <c r="AJ4004" s="17" t="str">
        <f t="shared" si="3"/>
        <v/>
      </c>
    </row>
    <row r="4005" spans="31:36">
      <c r="AE4005" s="15" t="str">
        <f t="shared" si="0"/>
        <v/>
      </c>
      <c r="AF4005" s="15" t="str">
        <f t="shared" si="1"/>
        <v/>
      </c>
      <c r="AG4005" s="15" t="str">
        <f>IF(OR(AF4005="",AF4005="ERRO_CHAVE"),"",IFERROR(MATCH(AF4005,'quitado Despesa'!$V$1:$V$12,0),""))</f>
        <v/>
      </c>
      <c r="AH4005" s="15" t="str">
        <f t="shared" si="2"/>
        <v/>
      </c>
      <c r="AI4005" s="17" t="str">
        <f>IF(AG4005="","",INDEX('quitado Despesa'!$G$1:$G$12,AG4005))</f>
        <v/>
      </c>
      <c r="AJ4005" s="17" t="str">
        <f t="shared" si="3"/>
        <v/>
      </c>
    </row>
    <row r="4006" spans="31:36">
      <c r="AE4006" s="15" t="str">
        <f t="shared" si="0"/>
        <v/>
      </c>
      <c r="AF4006" s="15" t="str">
        <f t="shared" si="1"/>
        <v/>
      </c>
      <c r="AG4006" s="15" t="str">
        <f>IF(OR(AF4006="",AF4006="ERRO_CHAVE"),"",IFERROR(MATCH(AF4006,'quitado Despesa'!$V$1:$V$12,0),""))</f>
        <v/>
      </c>
      <c r="AH4006" s="15" t="str">
        <f t="shared" si="2"/>
        <v/>
      </c>
      <c r="AI4006" s="17" t="str">
        <f>IF(AG4006="","",INDEX('quitado Despesa'!$G$1:$G$12,AG4006))</f>
        <v/>
      </c>
      <c r="AJ4006" s="17" t="str">
        <f t="shared" si="3"/>
        <v/>
      </c>
    </row>
    <row r="4007" spans="31:36">
      <c r="AE4007" s="15" t="str">
        <f t="shared" si="0"/>
        <v/>
      </c>
      <c r="AF4007" s="15" t="str">
        <f t="shared" si="1"/>
        <v/>
      </c>
      <c r="AG4007" s="15" t="str">
        <f>IF(OR(AF4007="",AF4007="ERRO_CHAVE"),"",IFERROR(MATCH(AF4007,'quitado Despesa'!$V$1:$V$12,0),""))</f>
        <v/>
      </c>
      <c r="AH4007" s="15" t="str">
        <f t="shared" si="2"/>
        <v/>
      </c>
      <c r="AI4007" s="17" t="str">
        <f>IF(AG4007="","",INDEX('quitado Despesa'!$G$1:$G$12,AG4007))</f>
        <v/>
      </c>
      <c r="AJ4007" s="17" t="str">
        <f t="shared" si="3"/>
        <v/>
      </c>
    </row>
    <row r="4008" spans="31:36">
      <c r="AE4008" s="15" t="str">
        <f t="shared" si="0"/>
        <v/>
      </c>
      <c r="AF4008" s="15" t="str">
        <f t="shared" si="1"/>
        <v/>
      </c>
      <c r="AG4008" s="15" t="str">
        <f>IF(OR(AF4008="",AF4008="ERRO_CHAVE"),"",IFERROR(MATCH(AF4008,'quitado Despesa'!$V$1:$V$12,0),""))</f>
        <v/>
      </c>
      <c r="AH4008" s="15" t="str">
        <f t="shared" si="2"/>
        <v/>
      </c>
      <c r="AI4008" s="17" t="str">
        <f>IF(AG4008="","",INDEX('quitado Despesa'!$G$1:$G$12,AG4008))</f>
        <v/>
      </c>
      <c r="AJ4008" s="17" t="str">
        <f t="shared" si="3"/>
        <v/>
      </c>
    </row>
    <row r="4009" spans="31:36">
      <c r="AE4009" s="15" t="str">
        <f t="shared" si="0"/>
        <v/>
      </c>
      <c r="AF4009" s="15" t="str">
        <f t="shared" si="1"/>
        <v/>
      </c>
      <c r="AG4009" s="15" t="str">
        <f>IF(OR(AF4009="",AF4009="ERRO_CHAVE"),"",IFERROR(MATCH(AF4009,'quitado Despesa'!$V$1:$V$12,0),""))</f>
        <v/>
      </c>
      <c r="AH4009" s="15" t="str">
        <f t="shared" si="2"/>
        <v/>
      </c>
      <c r="AI4009" s="17" t="str">
        <f>IF(AG4009="","",INDEX('quitado Despesa'!$G$1:$G$12,AG4009))</f>
        <v/>
      </c>
      <c r="AJ4009" s="17" t="str">
        <f t="shared" si="3"/>
        <v/>
      </c>
    </row>
    <row r="4010" spans="31:36">
      <c r="AE4010" s="15" t="str">
        <f t="shared" si="0"/>
        <v/>
      </c>
      <c r="AF4010" s="15" t="str">
        <f t="shared" si="1"/>
        <v/>
      </c>
      <c r="AG4010" s="15" t="str">
        <f>IF(OR(AF4010="",AF4010="ERRO_CHAVE"),"",IFERROR(MATCH(AF4010,'quitado Despesa'!$V$1:$V$12,0),""))</f>
        <v/>
      </c>
      <c r="AH4010" s="15" t="str">
        <f t="shared" si="2"/>
        <v/>
      </c>
      <c r="AI4010" s="17" t="str">
        <f>IF(AG4010="","",INDEX('quitado Despesa'!$G$1:$G$12,AG4010))</f>
        <v/>
      </c>
      <c r="AJ4010" s="17" t="str">
        <f t="shared" si="3"/>
        <v/>
      </c>
    </row>
    <row r="4011" spans="31:36">
      <c r="AE4011" s="15" t="str">
        <f t="shared" si="0"/>
        <v/>
      </c>
      <c r="AF4011" s="15" t="str">
        <f t="shared" si="1"/>
        <v/>
      </c>
      <c r="AG4011" s="15" t="str">
        <f>IF(OR(AF4011="",AF4011="ERRO_CHAVE"),"",IFERROR(MATCH(AF4011,'quitado Despesa'!$V$1:$V$12,0),""))</f>
        <v/>
      </c>
      <c r="AH4011" s="15" t="str">
        <f t="shared" si="2"/>
        <v/>
      </c>
      <c r="AI4011" s="17" t="str">
        <f>IF(AG4011="","",INDEX('quitado Despesa'!$G$1:$G$12,AG4011))</f>
        <v/>
      </c>
      <c r="AJ4011" s="17" t="str">
        <f t="shared" si="3"/>
        <v/>
      </c>
    </row>
    <row r="4012" spans="31:36">
      <c r="AE4012" s="15" t="str">
        <f t="shared" si="0"/>
        <v/>
      </c>
      <c r="AF4012" s="15" t="str">
        <f t="shared" si="1"/>
        <v/>
      </c>
      <c r="AG4012" s="15" t="str">
        <f>IF(OR(AF4012="",AF4012="ERRO_CHAVE"),"",IFERROR(MATCH(AF4012,'quitado Despesa'!$V$1:$V$12,0),""))</f>
        <v/>
      </c>
      <c r="AH4012" s="15" t="str">
        <f t="shared" si="2"/>
        <v/>
      </c>
      <c r="AI4012" s="17" t="str">
        <f>IF(AG4012="","",INDEX('quitado Despesa'!$G$1:$G$12,AG4012))</f>
        <v/>
      </c>
      <c r="AJ4012" s="17" t="str">
        <f t="shared" si="3"/>
        <v/>
      </c>
    </row>
    <row r="4013" spans="31:36">
      <c r="AE4013" s="15" t="str">
        <f t="shared" si="0"/>
        <v/>
      </c>
      <c r="AF4013" s="15" t="str">
        <f t="shared" si="1"/>
        <v/>
      </c>
      <c r="AG4013" s="15" t="str">
        <f>IF(OR(AF4013="",AF4013="ERRO_CHAVE"),"",IFERROR(MATCH(AF4013,'quitado Despesa'!$V$1:$V$12,0),""))</f>
        <v/>
      </c>
      <c r="AH4013" s="15" t="str">
        <f t="shared" si="2"/>
        <v/>
      </c>
      <c r="AI4013" s="17" t="str">
        <f>IF(AG4013="","",INDEX('quitado Despesa'!$G$1:$G$12,AG4013))</f>
        <v/>
      </c>
      <c r="AJ4013" s="17" t="str">
        <f t="shared" si="3"/>
        <v/>
      </c>
    </row>
    <row r="4014" spans="31:36">
      <c r="AE4014" s="15" t="str">
        <f t="shared" si="0"/>
        <v/>
      </c>
      <c r="AF4014" s="15" t="str">
        <f t="shared" si="1"/>
        <v/>
      </c>
      <c r="AG4014" s="15" t="str">
        <f>IF(OR(AF4014="",AF4014="ERRO_CHAVE"),"",IFERROR(MATCH(AF4014,'quitado Despesa'!$V$1:$V$12,0),""))</f>
        <v/>
      </c>
      <c r="AH4014" s="15" t="str">
        <f t="shared" si="2"/>
        <v/>
      </c>
      <c r="AI4014" s="17" t="str">
        <f>IF(AG4014="","",INDEX('quitado Despesa'!$G$1:$G$12,AG4014))</f>
        <v/>
      </c>
      <c r="AJ4014" s="17" t="str">
        <f t="shared" si="3"/>
        <v/>
      </c>
    </row>
    <row r="4015" spans="31:36">
      <c r="AE4015" s="15" t="str">
        <f t="shared" si="0"/>
        <v/>
      </c>
      <c r="AF4015" s="15" t="str">
        <f t="shared" si="1"/>
        <v/>
      </c>
      <c r="AG4015" s="15" t="str">
        <f>IF(OR(AF4015="",AF4015="ERRO_CHAVE"),"",IFERROR(MATCH(AF4015,'quitado Despesa'!$V$1:$V$12,0),""))</f>
        <v/>
      </c>
      <c r="AH4015" s="15" t="str">
        <f t="shared" si="2"/>
        <v/>
      </c>
      <c r="AI4015" s="17" t="str">
        <f>IF(AG4015="","",INDEX('quitado Despesa'!$G$1:$G$12,AG4015))</f>
        <v/>
      </c>
      <c r="AJ4015" s="17" t="str">
        <f t="shared" si="3"/>
        <v/>
      </c>
    </row>
    <row r="4016" spans="31:36">
      <c r="AE4016" s="15" t="str">
        <f t="shared" si="0"/>
        <v/>
      </c>
      <c r="AF4016" s="15" t="str">
        <f t="shared" si="1"/>
        <v/>
      </c>
      <c r="AG4016" s="15" t="str">
        <f>IF(OR(AF4016="",AF4016="ERRO_CHAVE"),"",IFERROR(MATCH(AF4016,'quitado Despesa'!$V$1:$V$12,0),""))</f>
        <v/>
      </c>
      <c r="AH4016" s="15" t="str">
        <f t="shared" si="2"/>
        <v/>
      </c>
      <c r="AI4016" s="17" t="str">
        <f>IF(AG4016="","",INDEX('quitado Despesa'!$G$1:$G$12,AG4016))</f>
        <v/>
      </c>
      <c r="AJ4016" s="17" t="str">
        <f t="shared" si="3"/>
        <v/>
      </c>
    </row>
    <row r="4017" spans="31:36">
      <c r="AE4017" s="15" t="str">
        <f t="shared" si="0"/>
        <v/>
      </c>
      <c r="AF4017" s="15" t="str">
        <f t="shared" si="1"/>
        <v/>
      </c>
      <c r="AG4017" s="15" t="str">
        <f>IF(OR(AF4017="",AF4017="ERRO_CHAVE"),"",IFERROR(MATCH(AF4017,'quitado Despesa'!$V$1:$V$12,0),""))</f>
        <v/>
      </c>
      <c r="AH4017" s="15" t="str">
        <f t="shared" si="2"/>
        <v/>
      </c>
      <c r="AI4017" s="17" t="str">
        <f>IF(AG4017="","",INDEX('quitado Despesa'!$G$1:$G$12,AG4017))</f>
        <v/>
      </c>
      <c r="AJ4017" s="17" t="str">
        <f t="shared" si="3"/>
        <v/>
      </c>
    </row>
    <row r="4018" spans="31:36">
      <c r="AE4018" s="15" t="str">
        <f t="shared" si="0"/>
        <v/>
      </c>
      <c r="AF4018" s="15" t="str">
        <f t="shared" si="1"/>
        <v/>
      </c>
      <c r="AG4018" s="15" t="str">
        <f>IF(OR(AF4018="",AF4018="ERRO_CHAVE"),"",IFERROR(MATCH(AF4018,'quitado Despesa'!$V$1:$V$12,0),""))</f>
        <v/>
      </c>
      <c r="AH4018" s="15" t="str">
        <f t="shared" si="2"/>
        <v/>
      </c>
      <c r="AI4018" s="17" t="str">
        <f>IF(AG4018="","",INDEX('quitado Despesa'!$G$1:$G$12,AG4018))</f>
        <v/>
      </c>
      <c r="AJ4018" s="17" t="str">
        <f t="shared" si="3"/>
        <v/>
      </c>
    </row>
    <row r="4019" spans="31:36">
      <c r="AE4019" s="15" t="str">
        <f t="shared" si="0"/>
        <v/>
      </c>
      <c r="AF4019" s="15" t="str">
        <f t="shared" si="1"/>
        <v/>
      </c>
      <c r="AG4019" s="15" t="str">
        <f>IF(OR(AF4019="",AF4019="ERRO_CHAVE"),"",IFERROR(MATCH(AF4019,'quitado Despesa'!$V$1:$V$12,0),""))</f>
        <v/>
      </c>
      <c r="AH4019" s="15" t="str">
        <f t="shared" si="2"/>
        <v/>
      </c>
      <c r="AI4019" s="17" t="str">
        <f>IF(AG4019="","",INDEX('quitado Despesa'!$G$1:$G$12,AG4019))</f>
        <v/>
      </c>
      <c r="AJ4019" s="17" t="str">
        <f t="shared" si="3"/>
        <v/>
      </c>
    </row>
    <row r="4020" spans="31:36">
      <c r="AE4020" s="15" t="str">
        <f t="shared" si="0"/>
        <v/>
      </c>
      <c r="AF4020" s="15" t="str">
        <f t="shared" si="1"/>
        <v/>
      </c>
      <c r="AG4020" s="15" t="str">
        <f>IF(OR(AF4020="",AF4020="ERRO_CHAVE"),"",IFERROR(MATCH(AF4020,'quitado Despesa'!$V$1:$V$12,0),""))</f>
        <v/>
      </c>
      <c r="AH4020" s="15" t="str">
        <f t="shared" si="2"/>
        <v/>
      </c>
      <c r="AI4020" s="17" t="str">
        <f>IF(AG4020="","",INDEX('quitado Despesa'!$G$1:$G$12,AG4020))</f>
        <v/>
      </c>
      <c r="AJ4020" s="17" t="str">
        <f t="shared" si="3"/>
        <v/>
      </c>
    </row>
    <row r="4021" spans="31:36">
      <c r="AE4021" s="15" t="str">
        <f t="shared" si="0"/>
        <v/>
      </c>
      <c r="AF4021" s="15" t="str">
        <f t="shared" si="1"/>
        <v/>
      </c>
      <c r="AG4021" s="15" t="str">
        <f>IF(OR(AF4021="",AF4021="ERRO_CHAVE"),"",IFERROR(MATCH(AF4021,'quitado Despesa'!$V$1:$V$12,0),""))</f>
        <v/>
      </c>
      <c r="AH4021" s="15" t="str">
        <f t="shared" si="2"/>
        <v/>
      </c>
      <c r="AI4021" s="17" t="str">
        <f>IF(AG4021="","",INDEX('quitado Despesa'!$G$1:$G$12,AG4021))</f>
        <v/>
      </c>
      <c r="AJ4021" s="17" t="str">
        <f t="shared" si="3"/>
        <v/>
      </c>
    </row>
    <row r="4022" spans="31:36">
      <c r="AE4022" s="15" t="str">
        <f t="shared" si="0"/>
        <v/>
      </c>
      <c r="AF4022" s="15" t="str">
        <f t="shared" si="1"/>
        <v/>
      </c>
      <c r="AG4022" s="15" t="str">
        <f>IF(OR(AF4022="",AF4022="ERRO_CHAVE"),"",IFERROR(MATCH(AF4022,'quitado Despesa'!$V$1:$V$12,0),""))</f>
        <v/>
      </c>
      <c r="AH4022" s="15" t="str">
        <f t="shared" si="2"/>
        <v/>
      </c>
      <c r="AI4022" s="17" t="str">
        <f>IF(AG4022="","",INDEX('quitado Despesa'!$G$1:$G$12,AG4022))</f>
        <v/>
      </c>
      <c r="AJ4022" s="17" t="str">
        <f t="shared" si="3"/>
        <v/>
      </c>
    </row>
    <row r="4023" spans="31:36">
      <c r="AE4023" s="15" t="str">
        <f t="shared" si="0"/>
        <v/>
      </c>
      <c r="AF4023" s="15" t="str">
        <f t="shared" si="1"/>
        <v/>
      </c>
      <c r="AG4023" s="15" t="str">
        <f>IF(OR(AF4023="",AF4023="ERRO_CHAVE"),"",IFERROR(MATCH(AF4023,'quitado Despesa'!$V$1:$V$12,0),""))</f>
        <v/>
      </c>
      <c r="AH4023" s="15" t="str">
        <f t="shared" si="2"/>
        <v/>
      </c>
      <c r="AI4023" s="17" t="str">
        <f>IF(AG4023="","",INDEX('quitado Despesa'!$G$1:$G$12,AG4023))</f>
        <v/>
      </c>
      <c r="AJ4023" s="17" t="str">
        <f t="shared" si="3"/>
        <v/>
      </c>
    </row>
    <row r="4024" spans="31:36">
      <c r="AE4024" s="15" t="str">
        <f t="shared" si="0"/>
        <v/>
      </c>
      <c r="AF4024" s="15" t="str">
        <f t="shared" si="1"/>
        <v/>
      </c>
      <c r="AG4024" s="15" t="str">
        <f>IF(OR(AF4024="",AF4024="ERRO_CHAVE"),"",IFERROR(MATCH(AF4024,'quitado Despesa'!$V$1:$V$12,0),""))</f>
        <v/>
      </c>
      <c r="AH4024" s="15" t="str">
        <f t="shared" si="2"/>
        <v/>
      </c>
      <c r="AI4024" s="17" t="str">
        <f>IF(AG4024="","",INDEX('quitado Despesa'!$G$1:$G$12,AG4024))</f>
        <v/>
      </c>
      <c r="AJ4024" s="17" t="str">
        <f t="shared" si="3"/>
        <v/>
      </c>
    </row>
    <row r="4025" spans="31:36">
      <c r="AE4025" s="15" t="str">
        <f t="shared" si="0"/>
        <v/>
      </c>
      <c r="AF4025" s="15" t="str">
        <f t="shared" si="1"/>
        <v/>
      </c>
      <c r="AG4025" s="15" t="str">
        <f>IF(OR(AF4025="",AF4025="ERRO_CHAVE"),"",IFERROR(MATCH(AF4025,'quitado Despesa'!$V$1:$V$12,0),""))</f>
        <v/>
      </c>
      <c r="AH4025" s="15" t="str">
        <f t="shared" si="2"/>
        <v/>
      </c>
      <c r="AI4025" s="17" t="str">
        <f>IF(AG4025="","",INDEX('quitado Despesa'!$G$1:$G$12,AG4025))</f>
        <v/>
      </c>
      <c r="AJ4025" s="17" t="str">
        <f t="shared" si="3"/>
        <v/>
      </c>
    </row>
    <row r="4026" spans="31:36">
      <c r="AE4026" s="15" t="str">
        <f t="shared" si="0"/>
        <v/>
      </c>
      <c r="AF4026" s="15" t="str">
        <f t="shared" si="1"/>
        <v/>
      </c>
      <c r="AG4026" s="15" t="str">
        <f>IF(OR(AF4026="",AF4026="ERRO_CHAVE"),"",IFERROR(MATCH(AF4026,'quitado Despesa'!$V$1:$V$12,0),""))</f>
        <v/>
      </c>
      <c r="AH4026" s="15" t="str">
        <f t="shared" si="2"/>
        <v/>
      </c>
      <c r="AI4026" s="17" t="str">
        <f>IF(AG4026="","",INDEX('quitado Despesa'!$G$1:$G$12,AG4026))</f>
        <v/>
      </c>
      <c r="AJ4026" s="17" t="str">
        <f t="shared" si="3"/>
        <v/>
      </c>
    </row>
    <row r="4027" spans="31:36">
      <c r="AE4027" s="15" t="str">
        <f t="shared" si="0"/>
        <v/>
      </c>
      <c r="AF4027" s="15" t="str">
        <f t="shared" si="1"/>
        <v/>
      </c>
      <c r="AG4027" s="15" t="str">
        <f>IF(OR(AF4027="",AF4027="ERRO_CHAVE"),"",IFERROR(MATCH(AF4027,'quitado Despesa'!$V$1:$V$12,0),""))</f>
        <v/>
      </c>
      <c r="AH4027" s="15" t="str">
        <f t="shared" si="2"/>
        <v/>
      </c>
      <c r="AI4027" s="17" t="str">
        <f>IF(AG4027="","",INDEX('quitado Despesa'!$G$1:$G$12,AG4027))</f>
        <v/>
      </c>
      <c r="AJ4027" s="17" t="str">
        <f t="shared" si="3"/>
        <v/>
      </c>
    </row>
    <row r="4028" spans="31:36">
      <c r="AE4028" s="15" t="str">
        <f t="shared" si="0"/>
        <v/>
      </c>
      <c r="AF4028" s="15" t="str">
        <f t="shared" si="1"/>
        <v/>
      </c>
      <c r="AG4028" s="15" t="str">
        <f>IF(OR(AF4028="",AF4028="ERRO_CHAVE"),"",IFERROR(MATCH(AF4028,'quitado Despesa'!$V$1:$V$12,0),""))</f>
        <v/>
      </c>
      <c r="AH4028" s="15" t="str">
        <f t="shared" si="2"/>
        <v/>
      </c>
      <c r="AI4028" s="17" t="str">
        <f>IF(AG4028="","",INDEX('quitado Despesa'!$G$1:$G$12,AG4028))</f>
        <v/>
      </c>
      <c r="AJ4028" s="17" t="str">
        <f t="shared" si="3"/>
        <v/>
      </c>
    </row>
    <row r="4029" spans="31:36">
      <c r="AE4029" s="15" t="str">
        <f t="shared" si="0"/>
        <v/>
      </c>
      <c r="AF4029" s="15" t="str">
        <f t="shared" si="1"/>
        <v/>
      </c>
      <c r="AG4029" s="15" t="str">
        <f>IF(OR(AF4029="",AF4029="ERRO_CHAVE"),"",IFERROR(MATCH(AF4029,'quitado Despesa'!$V$1:$V$12,0),""))</f>
        <v/>
      </c>
      <c r="AH4029" s="15" t="str">
        <f t="shared" si="2"/>
        <v/>
      </c>
      <c r="AI4029" s="17" t="str">
        <f>IF(AG4029="","",INDEX('quitado Despesa'!$G$1:$G$12,AG4029))</f>
        <v/>
      </c>
      <c r="AJ4029" s="17" t="str">
        <f t="shared" si="3"/>
        <v/>
      </c>
    </row>
    <row r="4030" spans="31:36">
      <c r="AE4030" s="15" t="str">
        <f t="shared" si="0"/>
        <v/>
      </c>
      <c r="AF4030" s="15" t="str">
        <f t="shared" si="1"/>
        <v/>
      </c>
      <c r="AG4030" s="15" t="str">
        <f>IF(OR(AF4030="",AF4030="ERRO_CHAVE"),"",IFERROR(MATCH(AF4030,'quitado Despesa'!$V$1:$V$12,0),""))</f>
        <v/>
      </c>
      <c r="AH4030" s="15" t="str">
        <f t="shared" si="2"/>
        <v/>
      </c>
      <c r="AI4030" s="17" t="str">
        <f>IF(AG4030="","",INDEX('quitado Despesa'!$G$1:$G$12,AG4030))</f>
        <v/>
      </c>
      <c r="AJ4030" s="17" t="str">
        <f t="shared" si="3"/>
        <v/>
      </c>
    </row>
    <row r="4031" spans="31:36">
      <c r="AE4031" s="15" t="str">
        <f t="shared" si="0"/>
        <v/>
      </c>
      <c r="AF4031" s="15" t="str">
        <f t="shared" si="1"/>
        <v/>
      </c>
      <c r="AG4031" s="15" t="str">
        <f>IF(OR(AF4031="",AF4031="ERRO_CHAVE"),"",IFERROR(MATCH(AF4031,'quitado Despesa'!$V$1:$V$12,0),""))</f>
        <v/>
      </c>
      <c r="AH4031" s="15" t="str">
        <f t="shared" si="2"/>
        <v/>
      </c>
      <c r="AI4031" s="17" t="str">
        <f>IF(AG4031="","",INDEX('quitado Despesa'!$G$1:$G$12,AG4031))</f>
        <v/>
      </c>
      <c r="AJ4031" s="17" t="str">
        <f t="shared" si="3"/>
        <v/>
      </c>
    </row>
    <row r="4032" spans="31:36">
      <c r="AE4032" s="15" t="str">
        <f t="shared" si="0"/>
        <v/>
      </c>
      <c r="AF4032" s="15" t="str">
        <f t="shared" si="1"/>
        <v/>
      </c>
      <c r="AG4032" s="15" t="str">
        <f>IF(OR(AF4032="",AF4032="ERRO_CHAVE"),"",IFERROR(MATCH(AF4032,'quitado Despesa'!$V$1:$V$12,0),""))</f>
        <v/>
      </c>
      <c r="AH4032" s="15" t="str">
        <f t="shared" si="2"/>
        <v/>
      </c>
      <c r="AI4032" s="17" t="str">
        <f>IF(AG4032="","",INDEX('quitado Despesa'!$G$1:$G$12,AG4032))</f>
        <v/>
      </c>
      <c r="AJ4032" s="17" t="str">
        <f t="shared" si="3"/>
        <v/>
      </c>
    </row>
    <row r="4033" spans="31:36">
      <c r="AE4033" s="15" t="str">
        <f t="shared" si="0"/>
        <v/>
      </c>
      <c r="AF4033" s="15" t="str">
        <f t="shared" si="1"/>
        <v/>
      </c>
      <c r="AG4033" s="15" t="str">
        <f>IF(OR(AF4033="",AF4033="ERRO_CHAVE"),"",IFERROR(MATCH(AF4033,'quitado Despesa'!$V$1:$V$12,0),""))</f>
        <v/>
      </c>
      <c r="AH4033" s="15" t="str">
        <f t="shared" si="2"/>
        <v/>
      </c>
      <c r="AI4033" s="17" t="str">
        <f>IF(AG4033="","",INDEX('quitado Despesa'!$G$1:$G$12,AG4033))</f>
        <v/>
      </c>
      <c r="AJ4033" s="17" t="str">
        <f t="shared" si="3"/>
        <v/>
      </c>
    </row>
    <row r="4034" spans="31:36">
      <c r="AE4034" s="15" t="str">
        <f t="shared" si="0"/>
        <v/>
      </c>
      <c r="AF4034" s="15" t="str">
        <f t="shared" si="1"/>
        <v/>
      </c>
      <c r="AG4034" s="15" t="str">
        <f>IF(OR(AF4034="",AF4034="ERRO_CHAVE"),"",IFERROR(MATCH(AF4034,'quitado Despesa'!$V$1:$V$12,0),""))</f>
        <v/>
      </c>
      <c r="AH4034" s="15" t="str">
        <f t="shared" si="2"/>
        <v/>
      </c>
      <c r="AI4034" s="17" t="str">
        <f>IF(AG4034="","",INDEX('quitado Despesa'!$G$1:$G$12,AG4034))</f>
        <v/>
      </c>
      <c r="AJ4034" s="17" t="str">
        <f t="shared" si="3"/>
        <v/>
      </c>
    </row>
    <row r="4035" spans="31:36">
      <c r="AE4035" s="15" t="str">
        <f t="shared" si="0"/>
        <v/>
      </c>
      <c r="AF4035" s="15" t="str">
        <f t="shared" si="1"/>
        <v/>
      </c>
      <c r="AG4035" s="15" t="str">
        <f>IF(OR(AF4035="",AF4035="ERRO_CHAVE"),"",IFERROR(MATCH(AF4035,'quitado Despesa'!$V$1:$V$12,0),""))</f>
        <v/>
      </c>
      <c r="AH4035" s="15" t="str">
        <f t="shared" si="2"/>
        <v/>
      </c>
      <c r="AI4035" s="17" t="str">
        <f>IF(AG4035="","",INDEX('quitado Despesa'!$G$1:$G$12,AG4035))</f>
        <v/>
      </c>
      <c r="AJ4035" s="17" t="str">
        <f t="shared" si="3"/>
        <v/>
      </c>
    </row>
    <row r="4036" spans="31:36">
      <c r="AE4036" s="15" t="str">
        <f t="shared" si="0"/>
        <v/>
      </c>
      <c r="AF4036" s="15" t="str">
        <f t="shared" si="1"/>
        <v/>
      </c>
      <c r="AG4036" s="15" t="str">
        <f>IF(OR(AF4036="",AF4036="ERRO_CHAVE"),"",IFERROR(MATCH(AF4036,'quitado Despesa'!$V$1:$V$12,0),""))</f>
        <v/>
      </c>
      <c r="AH4036" s="15" t="str">
        <f t="shared" si="2"/>
        <v/>
      </c>
      <c r="AI4036" s="17" t="str">
        <f>IF(AG4036="","",INDEX('quitado Despesa'!$G$1:$G$12,AG4036))</f>
        <v/>
      </c>
      <c r="AJ4036" s="17" t="str">
        <f t="shared" si="3"/>
        <v/>
      </c>
    </row>
    <row r="4037" spans="31:36">
      <c r="AE4037" s="15" t="str">
        <f t="shared" si="0"/>
        <v/>
      </c>
      <c r="AF4037" s="15" t="str">
        <f t="shared" si="1"/>
        <v/>
      </c>
      <c r="AG4037" s="15" t="str">
        <f>IF(OR(AF4037="",AF4037="ERRO_CHAVE"),"",IFERROR(MATCH(AF4037,'quitado Despesa'!$V$1:$V$12,0),""))</f>
        <v/>
      </c>
      <c r="AH4037" s="15" t="str">
        <f t="shared" si="2"/>
        <v/>
      </c>
      <c r="AI4037" s="17" t="str">
        <f>IF(AG4037="","",INDEX('quitado Despesa'!$G$1:$G$12,AG4037))</f>
        <v/>
      </c>
      <c r="AJ4037" s="17" t="str">
        <f t="shared" si="3"/>
        <v/>
      </c>
    </row>
    <row r="4038" spans="31:36">
      <c r="AE4038" s="15" t="str">
        <f t="shared" si="0"/>
        <v/>
      </c>
      <c r="AF4038" s="15" t="str">
        <f t="shared" si="1"/>
        <v/>
      </c>
      <c r="AG4038" s="15" t="str">
        <f>IF(OR(AF4038="",AF4038="ERRO_CHAVE"),"",IFERROR(MATCH(AF4038,'quitado Despesa'!$V$1:$V$12,0),""))</f>
        <v/>
      </c>
      <c r="AH4038" s="15" t="str">
        <f t="shared" si="2"/>
        <v/>
      </c>
      <c r="AI4038" s="17" t="str">
        <f>IF(AG4038="","",INDEX('quitado Despesa'!$G$1:$G$12,AG4038))</f>
        <v/>
      </c>
      <c r="AJ4038" s="17" t="str">
        <f t="shared" si="3"/>
        <v/>
      </c>
    </row>
    <row r="4039" spans="31:36">
      <c r="AE4039" s="15" t="str">
        <f t="shared" si="0"/>
        <v/>
      </c>
      <c r="AF4039" s="15" t="str">
        <f t="shared" si="1"/>
        <v/>
      </c>
      <c r="AG4039" s="15" t="str">
        <f>IF(OR(AF4039="",AF4039="ERRO_CHAVE"),"",IFERROR(MATCH(AF4039,'quitado Despesa'!$V$1:$V$12,0),""))</f>
        <v/>
      </c>
      <c r="AH4039" s="15" t="str">
        <f t="shared" si="2"/>
        <v/>
      </c>
      <c r="AI4039" s="17" t="str">
        <f>IF(AG4039="","",INDEX('quitado Despesa'!$G$1:$G$12,AG4039))</f>
        <v/>
      </c>
      <c r="AJ4039" s="17" t="str">
        <f t="shared" si="3"/>
        <v/>
      </c>
    </row>
    <row r="4040" spans="31:36">
      <c r="AE4040" s="15" t="str">
        <f t="shared" si="0"/>
        <v/>
      </c>
      <c r="AF4040" s="15" t="str">
        <f t="shared" si="1"/>
        <v/>
      </c>
      <c r="AG4040" s="15" t="str">
        <f>IF(OR(AF4040="",AF4040="ERRO_CHAVE"),"",IFERROR(MATCH(AF4040,'quitado Despesa'!$V$1:$V$12,0),""))</f>
        <v/>
      </c>
      <c r="AH4040" s="15" t="str">
        <f t="shared" si="2"/>
        <v/>
      </c>
      <c r="AI4040" s="17" t="str">
        <f>IF(AG4040="","",INDEX('quitado Despesa'!$G$1:$G$12,AG4040))</f>
        <v/>
      </c>
      <c r="AJ4040" s="17" t="str">
        <f t="shared" si="3"/>
        <v/>
      </c>
    </row>
    <row r="4041" spans="31:36">
      <c r="AE4041" s="15" t="str">
        <f t="shared" si="0"/>
        <v/>
      </c>
      <c r="AF4041" s="15" t="str">
        <f t="shared" si="1"/>
        <v/>
      </c>
      <c r="AG4041" s="15" t="str">
        <f>IF(OR(AF4041="",AF4041="ERRO_CHAVE"),"",IFERROR(MATCH(AF4041,'quitado Despesa'!$V$1:$V$12,0),""))</f>
        <v/>
      </c>
      <c r="AH4041" s="15" t="str">
        <f t="shared" si="2"/>
        <v/>
      </c>
      <c r="AI4041" s="17" t="str">
        <f>IF(AG4041="","",INDEX('quitado Despesa'!$G$1:$G$12,AG4041))</f>
        <v/>
      </c>
      <c r="AJ4041" s="17" t="str">
        <f t="shared" si="3"/>
        <v/>
      </c>
    </row>
    <row r="4042" spans="31:36">
      <c r="AE4042" s="15" t="str">
        <f t="shared" si="0"/>
        <v/>
      </c>
      <c r="AF4042" s="15" t="str">
        <f t="shared" si="1"/>
        <v/>
      </c>
      <c r="AG4042" s="15" t="str">
        <f>IF(OR(AF4042="",AF4042="ERRO_CHAVE"),"",IFERROR(MATCH(AF4042,'quitado Despesa'!$V$1:$V$12,0),""))</f>
        <v/>
      </c>
      <c r="AH4042" s="15" t="str">
        <f t="shared" si="2"/>
        <v/>
      </c>
      <c r="AI4042" s="17" t="str">
        <f>IF(AG4042="","",INDEX('quitado Despesa'!$G$1:$G$12,AG4042))</f>
        <v/>
      </c>
      <c r="AJ4042" s="17" t="str">
        <f t="shared" si="3"/>
        <v/>
      </c>
    </row>
    <row r="4043" spans="31:36">
      <c r="AE4043" s="15" t="str">
        <f t="shared" si="0"/>
        <v/>
      </c>
      <c r="AF4043" s="15" t="str">
        <f t="shared" si="1"/>
        <v/>
      </c>
      <c r="AG4043" s="15" t="str">
        <f>IF(OR(AF4043="",AF4043="ERRO_CHAVE"),"",IFERROR(MATCH(AF4043,'quitado Despesa'!$V$1:$V$12,0),""))</f>
        <v/>
      </c>
      <c r="AH4043" s="15" t="str">
        <f t="shared" si="2"/>
        <v/>
      </c>
      <c r="AI4043" s="17" t="str">
        <f>IF(AG4043="","",INDEX('quitado Despesa'!$G$1:$G$12,AG4043))</f>
        <v/>
      </c>
      <c r="AJ4043" s="17" t="str">
        <f t="shared" si="3"/>
        <v/>
      </c>
    </row>
    <row r="4044" spans="31:36">
      <c r="AE4044" s="15" t="str">
        <f t="shared" si="0"/>
        <v/>
      </c>
      <c r="AF4044" s="15" t="str">
        <f t="shared" si="1"/>
        <v/>
      </c>
      <c r="AG4044" s="15" t="str">
        <f>IF(OR(AF4044="",AF4044="ERRO_CHAVE"),"",IFERROR(MATCH(AF4044,'quitado Despesa'!$V$1:$V$12,0),""))</f>
        <v/>
      </c>
      <c r="AH4044" s="15" t="str">
        <f t="shared" si="2"/>
        <v/>
      </c>
      <c r="AI4044" s="17" t="str">
        <f>IF(AG4044="","",INDEX('quitado Despesa'!$G$1:$G$12,AG4044))</f>
        <v/>
      </c>
      <c r="AJ4044" s="17" t="str">
        <f t="shared" si="3"/>
        <v/>
      </c>
    </row>
    <row r="4045" spans="31:36">
      <c r="AE4045" s="15" t="str">
        <f t="shared" si="0"/>
        <v/>
      </c>
      <c r="AF4045" s="15" t="str">
        <f t="shared" si="1"/>
        <v/>
      </c>
      <c r="AG4045" s="15" t="str">
        <f>IF(OR(AF4045="",AF4045="ERRO_CHAVE"),"",IFERROR(MATCH(AF4045,'quitado Despesa'!$V$1:$V$12,0),""))</f>
        <v/>
      </c>
      <c r="AH4045" s="15" t="str">
        <f t="shared" si="2"/>
        <v/>
      </c>
      <c r="AI4045" s="17" t="str">
        <f>IF(AG4045="","",INDEX('quitado Despesa'!$G$1:$G$12,AG4045))</f>
        <v/>
      </c>
      <c r="AJ4045" s="17" t="str">
        <f t="shared" si="3"/>
        <v/>
      </c>
    </row>
    <row r="4046" spans="31:36">
      <c r="AE4046" s="15" t="str">
        <f t="shared" si="0"/>
        <v/>
      </c>
      <c r="AF4046" s="15" t="str">
        <f t="shared" si="1"/>
        <v/>
      </c>
      <c r="AG4046" s="15" t="str">
        <f>IF(OR(AF4046="",AF4046="ERRO_CHAVE"),"",IFERROR(MATCH(AF4046,'quitado Despesa'!$V$1:$V$12,0),""))</f>
        <v/>
      </c>
      <c r="AH4046" s="15" t="str">
        <f t="shared" si="2"/>
        <v/>
      </c>
      <c r="AI4046" s="17" t="str">
        <f>IF(AG4046="","",INDEX('quitado Despesa'!$G$1:$G$12,AG4046))</f>
        <v/>
      </c>
      <c r="AJ4046" s="17" t="str">
        <f t="shared" si="3"/>
        <v/>
      </c>
    </row>
    <row r="4047" spans="31:36">
      <c r="AE4047" s="15" t="str">
        <f t="shared" si="0"/>
        <v/>
      </c>
      <c r="AF4047" s="15" t="str">
        <f t="shared" si="1"/>
        <v/>
      </c>
      <c r="AG4047" s="15" t="str">
        <f>IF(OR(AF4047="",AF4047="ERRO_CHAVE"),"",IFERROR(MATCH(AF4047,'quitado Despesa'!$V$1:$V$12,0),""))</f>
        <v/>
      </c>
      <c r="AH4047" s="15" t="str">
        <f t="shared" si="2"/>
        <v/>
      </c>
      <c r="AI4047" s="17" t="str">
        <f>IF(AG4047="","",INDEX('quitado Despesa'!$G$1:$G$12,AG4047))</f>
        <v/>
      </c>
      <c r="AJ4047" s="17" t="str">
        <f t="shared" si="3"/>
        <v/>
      </c>
    </row>
    <row r="4048" spans="31:36">
      <c r="AE4048" s="15" t="str">
        <f t="shared" si="0"/>
        <v/>
      </c>
      <c r="AF4048" s="15" t="str">
        <f t="shared" si="1"/>
        <v/>
      </c>
      <c r="AG4048" s="15" t="str">
        <f>IF(OR(AF4048="",AF4048="ERRO_CHAVE"),"",IFERROR(MATCH(AF4048,'quitado Despesa'!$V$1:$V$12,0),""))</f>
        <v/>
      </c>
      <c r="AH4048" s="15" t="str">
        <f t="shared" si="2"/>
        <v/>
      </c>
      <c r="AI4048" s="17" t="str">
        <f>IF(AG4048="","",INDEX('quitado Despesa'!$G$1:$G$12,AG4048))</f>
        <v/>
      </c>
      <c r="AJ4048" s="17" t="str">
        <f t="shared" si="3"/>
        <v/>
      </c>
    </row>
    <row r="4049" spans="31:36">
      <c r="AE4049" s="15" t="str">
        <f t="shared" si="0"/>
        <v/>
      </c>
      <c r="AF4049" s="15" t="str">
        <f t="shared" si="1"/>
        <v/>
      </c>
      <c r="AG4049" s="15" t="str">
        <f>IF(OR(AF4049="",AF4049="ERRO_CHAVE"),"",IFERROR(MATCH(AF4049,'quitado Despesa'!$V$1:$V$12,0),""))</f>
        <v/>
      </c>
      <c r="AH4049" s="15" t="str">
        <f t="shared" si="2"/>
        <v/>
      </c>
      <c r="AI4049" s="17" t="str">
        <f>IF(AG4049="","",INDEX('quitado Despesa'!$G$1:$G$12,AG4049))</f>
        <v/>
      </c>
      <c r="AJ4049" s="17" t="str">
        <f t="shared" si="3"/>
        <v/>
      </c>
    </row>
    <row r="4050" spans="31:36">
      <c r="AE4050" s="15" t="str">
        <f t="shared" si="0"/>
        <v/>
      </c>
      <c r="AF4050" s="15" t="str">
        <f t="shared" si="1"/>
        <v/>
      </c>
      <c r="AG4050" s="15" t="str">
        <f>IF(OR(AF4050="",AF4050="ERRO_CHAVE"),"",IFERROR(MATCH(AF4050,'quitado Despesa'!$V$1:$V$12,0),""))</f>
        <v/>
      </c>
      <c r="AH4050" s="15" t="str">
        <f t="shared" si="2"/>
        <v/>
      </c>
      <c r="AI4050" s="17" t="str">
        <f>IF(AG4050="","",INDEX('quitado Despesa'!$G$1:$G$12,AG4050))</f>
        <v/>
      </c>
      <c r="AJ4050" s="17" t="str">
        <f t="shared" si="3"/>
        <v/>
      </c>
    </row>
    <row r="4051" spans="31:36">
      <c r="AE4051" s="15" t="str">
        <f t="shared" si="0"/>
        <v/>
      </c>
      <c r="AF4051" s="15" t="str">
        <f t="shared" si="1"/>
        <v/>
      </c>
      <c r="AG4051" s="15" t="str">
        <f>IF(OR(AF4051="",AF4051="ERRO_CHAVE"),"",IFERROR(MATCH(AF4051,'quitado Despesa'!$V$1:$V$12,0),""))</f>
        <v/>
      </c>
      <c r="AH4051" s="15" t="str">
        <f t="shared" si="2"/>
        <v/>
      </c>
      <c r="AI4051" s="17" t="str">
        <f>IF(AG4051="","",INDEX('quitado Despesa'!$G$1:$G$12,AG4051))</f>
        <v/>
      </c>
      <c r="AJ4051" s="17" t="str">
        <f t="shared" si="3"/>
        <v/>
      </c>
    </row>
    <row r="4052" spans="31:36">
      <c r="AE4052" s="15" t="str">
        <f t="shared" si="0"/>
        <v/>
      </c>
      <c r="AF4052" s="15" t="str">
        <f t="shared" si="1"/>
        <v/>
      </c>
      <c r="AG4052" s="15" t="str">
        <f>IF(OR(AF4052="",AF4052="ERRO_CHAVE"),"",IFERROR(MATCH(AF4052,'quitado Despesa'!$V$1:$V$12,0),""))</f>
        <v/>
      </c>
      <c r="AH4052" s="15" t="str">
        <f t="shared" si="2"/>
        <v/>
      </c>
      <c r="AI4052" s="17" t="str">
        <f>IF(AG4052="","",INDEX('quitado Despesa'!$G$1:$G$12,AG4052))</f>
        <v/>
      </c>
      <c r="AJ4052" s="17" t="str">
        <f t="shared" si="3"/>
        <v/>
      </c>
    </row>
    <row r="4053" spans="31:36">
      <c r="AE4053" s="15" t="str">
        <f t="shared" si="0"/>
        <v/>
      </c>
      <c r="AF4053" s="15" t="str">
        <f t="shared" si="1"/>
        <v/>
      </c>
      <c r="AG4053" s="15" t="str">
        <f>IF(OR(AF4053="",AF4053="ERRO_CHAVE"),"",IFERROR(MATCH(AF4053,'quitado Despesa'!$V$1:$V$12,0),""))</f>
        <v/>
      </c>
      <c r="AH4053" s="15" t="str">
        <f t="shared" si="2"/>
        <v/>
      </c>
      <c r="AI4053" s="17" t="str">
        <f>IF(AG4053="","",INDEX('quitado Despesa'!$G$1:$G$12,AG4053))</f>
        <v/>
      </c>
      <c r="AJ4053" s="17" t="str">
        <f t="shared" si="3"/>
        <v/>
      </c>
    </row>
    <row r="4054" spans="31:36">
      <c r="AE4054" s="15" t="str">
        <f t="shared" si="0"/>
        <v/>
      </c>
      <c r="AF4054" s="15" t="str">
        <f t="shared" si="1"/>
        <v/>
      </c>
      <c r="AG4054" s="15" t="str">
        <f>IF(OR(AF4054="",AF4054="ERRO_CHAVE"),"",IFERROR(MATCH(AF4054,'quitado Despesa'!$V$1:$V$12,0),""))</f>
        <v/>
      </c>
      <c r="AH4054" s="15" t="str">
        <f t="shared" si="2"/>
        <v/>
      </c>
      <c r="AI4054" s="17" t="str">
        <f>IF(AG4054="","",INDEX('quitado Despesa'!$G$1:$G$12,AG4054))</f>
        <v/>
      </c>
      <c r="AJ4054" s="17" t="str">
        <f t="shared" si="3"/>
        <v/>
      </c>
    </row>
    <row r="4055" spans="31:36">
      <c r="AE4055" s="15" t="str">
        <f t="shared" si="0"/>
        <v/>
      </c>
      <c r="AF4055" s="15" t="str">
        <f t="shared" si="1"/>
        <v/>
      </c>
      <c r="AG4055" s="15" t="str">
        <f>IF(OR(AF4055="",AF4055="ERRO_CHAVE"),"",IFERROR(MATCH(AF4055,'quitado Despesa'!$V$1:$V$12,0),""))</f>
        <v/>
      </c>
      <c r="AH4055" s="15" t="str">
        <f t="shared" si="2"/>
        <v/>
      </c>
      <c r="AI4055" s="17" t="str">
        <f>IF(AG4055="","",INDEX('quitado Despesa'!$G$1:$G$12,AG4055))</f>
        <v/>
      </c>
      <c r="AJ4055" s="17" t="str">
        <f t="shared" si="3"/>
        <v/>
      </c>
    </row>
    <row r="4056" spans="31:36">
      <c r="AE4056" s="15" t="str">
        <f t="shared" si="0"/>
        <v/>
      </c>
      <c r="AF4056" s="15" t="str">
        <f t="shared" si="1"/>
        <v/>
      </c>
      <c r="AG4056" s="15" t="str">
        <f>IF(OR(AF4056="",AF4056="ERRO_CHAVE"),"",IFERROR(MATCH(AF4056,'quitado Despesa'!$V$1:$V$12,0),""))</f>
        <v/>
      </c>
      <c r="AH4056" s="15" t="str">
        <f t="shared" si="2"/>
        <v/>
      </c>
      <c r="AI4056" s="17" t="str">
        <f>IF(AG4056="","",INDEX('quitado Despesa'!$G$1:$G$12,AG4056))</f>
        <v/>
      </c>
      <c r="AJ4056" s="17" t="str">
        <f t="shared" si="3"/>
        <v/>
      </c>
    </row>
    <row r="4057" spans="31:36">
      <c r="AE4057" s="15" t="str">
        <f t="shared" si="0"/>
        <v/>
      </c>
      <c r="AF4057" s="15" t="str">
        <f t="shared" si="1"/>
        <v/>
      </c>
      <c r="AG4057" s="15" t="str">
        <f>IF(OR(AF4057="",AF4057="ERRO_CHAVE"),"",IFERROR(MATCH(AF4057,'quitado Despesa'!$V$1:$V$12,0),""))</f>
        <v/>
      </c>
      <c r="AH4057" s="15" t="str">
        <f t="shared" si="2"/>
        <v/>
      </c>
      <c r="AI4057" s="17" t="str">
        <f>IF(AG4057="","",INDEX('quitado Despesa'!$G$1:$G$12,AG4057))</f>
        <v/>
      </c>
      <c r="AJ4057" s="17" t="str">
        <f t="shared" si="3"/>
        <v/>
      </c>
    </row>
    <row r="4058" spans="31:36">
      <c r="AE4058" s="15" t="str">
        <f t="shared" si="0"/>
        <v/>
      </c>
      <c r="AF4058" s="15" t="str">
        <f t="shared" si="1"/>
        <v/>
      </c>
      <c r="AG4058" s="15" t="str">
        <f>IF(OR(AF4058="",AF4058="ERRO_CHAVE"),"",IFERROR(MATCH(AF4058,'quitado Despesa'!$V$1:$V$12,0),""))</f>
        <v/>
      </c>
      <c r="AH4058" s="15" t="str">
        <f t="shared" si="2"/>
        <v/>
      </c>
      <c r="AI4058" s="17" t="str">
        <f>IF(AG4058="","",INDEX('quitado Despesa'!$G$1:$G$12,AG4058))</f>
        <v/>
      </c>
      <c r="AJ4058" s="17" t="str">
        <f t="shared" si="3"/>
        <v/>
      </c>
    </row>
    <row r="4059" spans="31:36">
      <c r="AE4059" s="15" t="str">
        <f t="shared" si="0"/>
        <v/>
      </c>
      <c r="AF4059" s="15" t="str">
        <f t="shared" si="1"/>
        <v/>
      </c>
      <c r="AG4059" s="15" t="str">
        <f>IF(OR(AF4059="",AF4059="ERRO_CHAVE"),"",IFERROR(MATCH(AF4059,'quitado Despesa'!$V$1:$V$12,0),""))</f>
        <v/>
      </c>
      <c r="AH4059" s="15" t="str">
        <f t="shared" si="2"/>
        <v/>
      </c>
      <c r="AI4059" s="17" t="str">
        <f>IF(AG4059="","",INDEX('quitado Despesa'!$G$1:$G$12,AG4059))</f>
        <v/>
      </c>
      <c r="AJ4059" s="17" t="str">
        <f t="shared" si="3"/>
        <v/>
      </c>
    </row>
    <row r="4060" spans="31:36">
      <c r="AE4060" s="15" t="str">
        <f t="shared" si="0"/>
        <v/>
      </c>
      <c r="AF4060" s="15" t="str">
        <f t="shared" si="1"/>
        <v/>
      </c>
      <c r="AG4060" s="15" t="str">
        <f>IF(OR(AF4060="",AF4060="ERRO_CHAVE"),"",IFERROR(MATCH(AF4060,'quitado Despesa'!$V$1:$V$12,0),""))</f>
        <v/>
      </c>
      <c r="AH4060" s="15" t="str">
        <f t="shared" si="2"/>
        <v/>
      </c>
      <c r="AI4060" s="17" t="str">
        <f>IF(AG4060="","",INDEX('quitado Despesa'!$G$1:$G$12,AG4060))</f>
        <v/>
      </c>
      <c r="AJ4060" s="17" t="str">
        <f t="shared" si="3"/>
        <v/>
      </c>
    </row>
    <row r="4061" spans="31:36">
      <c r="AE4061" s="15" t="str">
        <f t="shared" si="0"/>
        <v/>
      </c>
      <c r="AF4061" s="15" t="str">
        <f t="shared" si="1"/>
        <v/>
      </c>
      <c r="AG4061" s="15" t="str">
        <f>IF(OR(AF4061="",AF4061="ERRO_CHAVE"),"",IFERROR(MATCH(AF4061,'quitado Despesa'!$V$1:$V$12,0),""))</f>
        <v/>
      </c>
      <c r="AH4061" s="15" t="str">
        <f t="shared" si="2"/>
        <v/>
      </c>
      <c r="AI4061" s="17" t="str">
        <f>IF(AG4061="","",INDEX('quitado Despesa'!$G$1:$G$12,AG4061))</f>
        <v/>
      </c>
      <c r="AJ4061" s="17" t="str">
        <f t="shared" si="3"/>
        <v/>
      </c>
    </row>
    <row r="4062" spans="31:36">
      <c r="AE4062" s="15" t="str">
        <f t="shared" si="0"/>
        <v/>
      </c>
      <c r="AF4062" s="15" t="str">
        <f t="shared" si="1"/>
        <v/>
      </c>
      <c r="AG4062" s="15" t="str">
        <f>IF(OR(AF4062="",AF4062="ERRO_CHAVE"),"",IFERROR(MATCH(AF4062,'quitado Despesa'!$V$1:$V$12,0),""))</f>
        <v/>
      </c>
      <c r="AH4062" s="15" t="str">
        <f t="shared" si="2"/>
        <v/>
      </c>
      <c r="AI4062" s="17" t="str">
        <f>IF(AG4062="","",INDEX('quitado Despesa'!$G$1:$G$12,AG4062))</f>
        <v/>
      </c>
      <c r="AJ4062" s="17" t="str">
        <f t="shared" si="3"/>
        <v/>
      </c>
    </row>
    <row r="4063" spans="31:36">
      <c r="AE4063" s="15" t="str">
        <f t="shared" si="0"/>
        <v/>
      </c>
      <c r="AF4063" s="15" t="str">
        <f t="shared" si="1"/>
        <v/>
      </c>
      <c r="AG4063" s="15" t="str">
        <f>IF(OR(AF4063="",AF4063="ERRO_CHAVE"),"",IFERROR(MATCH(AF4063,'quitado Despesa'!$V$1:$V$12,0),""))</f>
        <v/>
      </c>
      <c r="AH4063" s="15" t="str">
        <f t="shared" si="2"/>
        <v/>
      </c>
      <c r="AI4063" s="17" t="str">
        <f>IF(AG4063="","",INDEX('quitado Despesa'!$G$1:$G$12,AG4063))</f>
        <v/>
      </c>
      <c r="AJ4063" s="17" t="str">
        <f t="shared" si="3"/>
        <v/>
      </c>
    </row>
    <row r="4064" spans="31:36">
      <c r="AE4064" s="15" t="str">
        <f t="shared" si="0"/>
        <v/>
      </c>
      <c r="AF4064" s="15" t="str">
        <f t="shared" si="1"/>
        <v/>
      </c>
      <c r="AG4064" s="15" t="str">
        <f>IF(OR(AF4064="",AF4064="ERRO_CHAVE"),"",IFERROR(MATCH(AF4064,'quitado Despesa'!$V$1:$V$12,0),""))</f>
        <v/>
      </c>
      <c r="AH4064" s="15" t="str">
        <f t="shared" si="2"/>
        <v/>
      </c>
      <c r="AI4064" s="17" t="str">
        <f>IF(AG4064="","",INDEX('quitado Despesa'!$G$1:$G$12,AG4064))</f>
        <v/>
      </c>
      <c r="AJ4064" s="17" t="str">
        <f t="shared" si="3"/>
        <v/>
      </c>
    </row>
    <row r="4065" spans="31:36">
      <c r="AE4065" s="15" t="str">
        <f t="shared" si="0"/>
        <v/>
      </c>
      <c r="AF4065" s="15" t="str">
        <f t="shared" si="1"/>
        <v/>
      </c>
      <c r="AG4065" s="15" t="str">
        <f>IF(OR(AF4065="",AF4065="ERRO_CHAVE"),"",IFERROR(MATCH(AF4065,'quitado Despesa'!$V$1:$V$12,0),""))</f>
        <v/>
      </c>
      <c r="AH4065" s="15" t="str">
        <f t="shared" si="2"/>
        <v/>
      </c>
      <c r="AI4065" s="17" t="str">
        <f>IF(AG4065="","",INDEX('quitado Despesa'!$G$1:$G$12,AG4065))</f>
        <v/>
      </c>
      <c r="AJ4065" s="17" t="str">
        <f t="shared" si="3"/>
        <v/>
      </c>
    </row>
    <row r="4066" spans="31:36">
      <c r="AE4066" s="15" t="str">
        <f t="shared" si="0"/>
        <v/>
      </c>
      <c r="AF4066" s="15" t="str">
        <f t="shared" si="1"/>
        <v/>
      </c>
      <c r="AG4066" s="15" t="str">
        <f>IF(OR(AF4066="",AF4066="ERRO_CHAVE"),"",IFERROR(MATCH(AF4066,'quitado Despesa'!$V$1:$V$12,0),""))</f>
        <v/>
      </c>
      <c r="AH4066" s="15" t="str">
        <f t="shared" si="2"/>
        <v/>
      </c>
      <c r="AI4066" s="17" t="str">
        <f>IF(AG4066="","",INDEX('quitado Despesa'!$G$1:$G$12,AG4066))</f>
        <v/>
      </c>
      <c r="AJ4066" s="17" t="str">
        <f t="shared" si="3"/>
        <v/>
      </c>
    </row>
    <row r="4067" spans="31:36">
      <c r="AE4067" s="15" t="str">
        <f t="shared" si="0"/>
        <v/>
      </c>
      <c r="AF4067" s="15" t="str">
        <f t="shared" si="1"/>
        <v/>
      </c>
      <c r="AG4067" s="15" t="str">
        <f>IF(OR(AF4067="",AF4067="ERRO_CHAVE"),"",IFERROR(MATCH(AF4067,'quitado Despesa'!$V$1:$V$12,0),""))</f>
        <v/>
      </c>
      <c r="AH4067" s="15" t="str">
        <f t="shared" si="2"/>
        <v/>
      </c>
      <c r="AI4067" s="17" t="str">
        <f>IF(AG4067="","",INDEX('quitado Despesa'!$G$1:$G$12,AG4067))</f>
        <v/>
      </c>
      <c r="AJ4067" s="17" t="str">
        <f t="shared" si="3"/>
        <v/>
      </c>
    </row>
    <row r="4068" spans="31:36">
      <c r="AE4068" s="15" t="str">
        <f t="shared" si="0"/>
        <v/>
      </c>
      <c r="AF4068" s="15" t="str">
        <f t="shared" si="1"/>
        <v/>
      </c>
      <c r="AG4068" s="15" t="str">
        <f>IF(OR(AF4068="",AF4068="ERRO_CHAVE"),"",IFERROR(MATCH(AF4068,'quitado Despesa'!$V$1:$V$12,0),""))</f>
        <v/>
      </c>
      <c r="AH4068" s="15" t="str">
        <f t="shared" si="2"/>
        <v/>
      </c>
      <c r="AI4068" s="17" t="str">
        <f>IF(AG4068="","",INDEX('quitado Despesa'!$G$1:$G$12,AG4068))</f>
        <v/>
      </c>
      <c r="AJ4068" s="17" t="str">
        <f t="shared" si="3"/>
        <v/>
      </c>
    </row>
    <row r="4069" spans="31:36">
      <c r="AE4069" s="15" t="str">
        <f t="shared" si="0"/>
        <v/>
      </c>
      <c r="AF4069" s="15" t="str">
        <f t="shared" si="1"/>
        <v/>
      </c>
      <c r="AG4069" s="15" t="str">
        <f>IF(OR(AF4069="",AF4069="ERRO_CHAVE"),"",IFERROR(MATCH(AF4069,'quitado Despesa'!$V$1:$V$12,0),""))</f>
        <v/>
      </c>
      <c r="AH4069" s="15" t="str">
        <f t="shared" si="2"/>
        <v/>
      </c>
      <c r="AI4069" s="17" t="str">
        <f>IF(AG4069="","",INDEX('quitado Despesa'!$G$1:$G$12,AG4069))</f>
        <v/>
      </c>
      <c r="AJ4069" s="17" t="str">
        <f t="shared" si="3"/>
        <v/>
      </c>
    </row>
    <row r="4070" spans="31:36">
      <c r="AE4070" s="15" t="str">
        <f t="shared" si="0"/>
        <v/>
      </c>
      <c r="AF4070" s="15" t="str">
        <f t="shared" si="1"/>
        <v/>
      </c>
      <c r="AG4070" s="15" t="str">
        <f>IF(OR(AF4070="",AF4070="ERRO_CHAVE"),"",IFERROR(MATCH(AF4070,'quitado Despesa'!$V$1:$V$12,0),""))</f>
        <v/>
      </c>
      <c r="AH4070" s="15" t="str">
        <f t="shared" si="2"/>
        <v/>
      </c>
      <c r="AI4070" s="17" t="str">
        <f>IF(AG4070="","",INDEX('quitado Despesa'!$G$1:$G$12,AG4070))</f>
        <v/>
      </c>
      <c r="AJ4070" s="17" t="str">
        <f t="shared" si="3"/>
        <v/>
      </c>
    </row>
    <row r="4071" spans="31:36">
      <c r="AE4071" s="15" t="str">
        <f t="shared" si="0"/>
        <v/>
      </c>
      <c r="AF4071" s="15" t="str">
        <f t="shared" si="1"/>
        <v/>
      </c>
      <c r="AG4071" s="15" t="str">
        <f>IF(OR(AF4071="",AF4071="ERRO_CHAVE"),"",IFERROR(MATCH(AF4071,'quitado Despesa'!$V$1:$V$12,0),""))</f>
        <v/>
      </c>
      <c r="AH4071" s="15" t="str">
        <f t="shared" si="2"/>
        <v/>
      </c>
      <c r="AI4071" s="17" t="str">
        <f>IF(AG4071="","",INDEX('quitado Despesa'!$G$1:$G$12,AG4071))</f>
        <v/>
      </c>
      <c r="AJ4071" s="17" t="str">
        <f t="shared" si="3"/>
        <v/>
      </c>
    </row>
    <row r="4072" spans="31:36">
      <c r="AE4072" s="15" t="str">
        <f t="shared" si="0"/>
        <v/>
      </c>
      <c r="AF4072" s="15" t="str">
        <f t="shared" si="1"/>
        <v/>
      </c>
      <c r="AG4072" s="15" t="str">
        <f>IF(OR(AF4072="",AF4072="ERRO_CHAVE"),"",IFERROR(MATCH(AF4072,'quitado Despesa'!$V$1:$V$12,0),""))</f>
        <v/>
      </c>
      <c r="AH4072" s="15" t="str">
        <f t="shared" si="2"/>
        <v/>
      </c>
      <c r="AI4072" s="17" t="str">
        <f>IF(AG4072="","",INDEX('quitado Despesa'!$G$1:$G$12,AG4072))</f>
        <v/>
      </c>
      <c r="AJ4072" s="17" t="str">
        <f t="shared" si="3"/>
        <v/>
      </c>
    </row>
    <row r="4073" spans="31:36">
      <c r="AE4073" s="15" t="str">
        <f t="shared" si="0"/>
        <v/>
      </c>
      <c r="AF4073" s="15" t="str">
        <f t="shared" si="1"/>
        <v/>
      </c>
      <c r="AG4073" s="15" t="str">
        <f>IF(OR(AF4073="",AF4073="ERRO_CHAVE"),"",IFERROR(MATCH(AF4073,'quitado Despesa'!$V$1:$V$12,0),""))</f>
        <v/>
      </c>
      <c r="AH4073" s="15" t="str">
        <f t="shared" si="2"/>
        <v/>
      </c>
      <c r="AI4073" s="17" t="str">
        <f>IF(AG4073="","",INDEX('quitado Despesa'!$G$1:$G$12,AG4073))</f>
        <v/>
      </c>
      <c r="AJ4073" s="17" t="str">
        <f t="shared" si="3"/>
        <v/>
      </c>
    </row>
    <row r="4074" spans="31:36">
      <c r="AE4074" s="15" t="str">
        <f t="shared" si="0"/>
        <v/>
      </c>
      <c r="AF4074" s="15" t="str">
        <f t="shared" si="1"/>
        <v/>
      </c>
      <c r="AG4074" s="15" t="str">
        <f>IF(OR(AF4074="",AF4074="ERRO_CHAVE"),"",IFERROR(MATCH(AF4074,'quitado Despesa'!$V$1:$V$12,0),""))</f>
        <v/>
      </c>
      <c r="AH4074" s="15" t="str">
        <f t="shared" si="2"/>
        <v/>
      </c>
      <c r="AI4074" s="17" t="str">
        <f>IF(AG4074="","",INDEX('quitado Despesa'!$G$1:$G$12,AG4074))</f>
        <v/>
      </c>
      <c r="AJ4074" s="17" t="str">
        <f t="shared" si="3"/>
        <v/>
      </c>
    </row>
    <row r="4075" spans="31:36">
      <c r="AE4075" s="15" t="str">
        <f t="shared" si="0"/>
        <v/>
      </c>
      <c r="AF4075" s="15" t="str">
        <f t="shared" si="1"/>
        <v/>
      </c>
      <c r="AG4075" s="15" t="str">
        <f>IF(OR(AF4075="",AF4075="ERRO_CHAVE"),"",IFERROR(MATCH(AF4075,'quitado Despesa'!$V$1:$V$12,0),""))</f>
        <v/>
      </c>
      <c r="AH4075" s="15" t="str">
        <f t="shared" si="2"/>
        <v/>
      </c>
      <c r="AI4075" s="17" t="str">
        <f>IF(AG4075="","",INDEX('quitado Despesa'!$G$1:$G$12,AG4075))</f>
        <v/>
      </c>
      <c r="AJ4075" s="17" t="str">
        <f t="shared" si="3"/>
        <v/>
      </c>
    </row>
    <row r="4076" spans="31:36">
      <c r="AE4076" s="15" t="str">
        <f t="shared" si="0"/>
        <v/>
      </c>
      <c r="AF4076" s="15" t="str">
        <f t="shared" si="1"/>
        <v/>
      </c>
      <c r="AG4076" s="15" t="str">
        <f>IF(OR(AF4076="",AF4076="ERRO_CHAVE"),"",IFERROR(MATCH(AF4076,'quitado Despesa'!$V$1:$V$12,0),""))</f>
        <v/>
      </c>
      <c r="AH4076" s="15" t="str">
        <f t="shared" si="2"/>
        <v/>
      </c>
      <c r="AI4076" s="17" t="str">
        <f>IF(AG4076="","",INDEX('quitado Despesa'!$G$1:$G$12,AG4076))</f>
        <v/>
      </c>
      <c r="AJ4076" s="17" t="str">
        <f t="shared" si="3"/>
        <v/>
      </c>
    </row>
    <row r="4077" spans="31:36">
      <c r="AE4077" s="15" t="str">
        <f t="shared" si="0"/>
        <v/>
      </c>
      <c r="AF4077" s="15" t="str">
        <f t="shared" si="1"/>
        <v/>
      </c>
      <c r="AG4077" s="15" t="str">
        <f>IF(OR(AF4077="",AF4077="ERRO_CHAVE"),"",IFERROR(MATCH(AF4077,'quitado Despesa'!$V$1:$V$12,0),""))</f>
        <v/>
      </c>
      <c r="AH4077" s="15" t="str">
        <f t="shared" si="2"/>
        <v/>
      </c>
      <c r="AI4077" s="17" t="str">
        <f>IF(AG4077="","",INDEX('quitado Despesa'!$G$1:$G$12,AG4077))</f>
        <v/>
      </c>
      <c r="AJ4077" s="17" t="str">
        <f t="shared" si="3"/>
        <v/>
      </c>
    </row>
    <row r="4078" spans="31:36">
      <c r="AE4078" s="15" t="str">
        <f t="shared" si="0"/>
        <v/>
      </c>
      <c r="AF4078" s="15" t="str">
        <f t="shared" si="1"/>
        <v/>
      </c>
      <c r="AG4078" s="15" t="str">
        <f>IF(OR(AF4078="",AF4078="ERRO_CHAVE"),"",IFERROR(MATCH(AF4078,'quitado Despesa'!$V$1:$V$12,0),""))</f>
        <v/>
      </c>
      <c r="AH4078" s="15" t="str">
        <f t="shared" si="2"/>
        <v/>
      </c>
      <c r="AI4078" s="17" t="str">
        <f>IF(AG4078="","",INDEX('quitado Despesa'!$G$1:$G$12,AG4078))</f>
        <v/>
      </c>
      <c r="AJ4078" s="17" t="str">
        <f t="shared" si="3"/>
        <v/>
      </c>
    </row>
    <row r="4079" spans="31:36">
      <c r="AE4079" s="15" t="str">
        <f t="shared" si="0"/>
        <v/>
      </c>
      <c r="AF4079" s="15" t="str">
        <f t="shared" si="1"/>
        <v/>
      </c>
      <c r="AG4079" s="15" t="str">
        <f>IF(OR(AF4079="",AF4079="ERRO_CHAVE"),"",IFERROR(MATCH(AF4079,'quitado Despesa'!$V$1:$V$12,0),""))</f>
        <v/>
      </c>
      <c r="AH4079" s="15" t="str">
        <f t="shared" si="2"/>
        <v/>
      </c>
      <c r="AI4079" s="17" t="str">
        <f>IF(AG4079="","",INDEX('quitado Despesa'!$G$1:$G$12,AG4079))</f>
        <v/>
      </c>
      <c r="AJ4079" s="17" t="str">
        <f t="shared" si="3"/>
        <v/>
      </c>
    </row>
    <row r="4080" spans="31:36">
      <c r="AE4080" s="15" t="str">
        <f t="shared" si="0"/>
        <v/>
      </c>
      <c r="AF4080" s="15" t="str">
        <f t="shared" si="1"/>
        <v/>
      </c>
      <c r="AG4080" s="15" t="str">
        <f>IF(OR(AF4080="",AF4080="ERRO_CHAVE"),"",IFERROR(MATCH(AF4080,'quitado Despesa'!$V$1:$V$12,0),""))</f>
        <v/>
      </c>
      <c r="AH4080" s="15" t="str">
        <f t="shared" si="2"/>
        <v/>
      </c>
      <c r="AI4080" s="17" t="str">
        <f>IF(AG4080="","",INDEX('quitado Despesa'!$G$1:$G$12,AG4080))</f>
        <v/>
      </c>
      <c r="AJ4080" s="17" t="str">
        <f t="shared" si="3"/>
        <v/>
      </c>
    </row>
    <row r="4081" spans="31:36">
      <c r="AE4081" s="15" t="str">
        <f t="shared" si="0"/>
        <v/>
      </c>
      <c r="AF4081" s="15" t="str">
        <f t="shared" si="1"/>
        <v/>
      </c>
      <c r="AG4081" s="15" t="str">
        <f>IF(OR(AF4081="",AF4081="ERRO_CHAVE"),"",IFERROR(MATCH(AF4081,'quitado Despesa'!$V$1:$V$12,0),""))</f>
        <v/>
      </c>
      <c r="AH4081" s="15" t="str">
        <f t="shared" si="2"/>
        <v/>
      </c>
      <c r="AI4081" s="17" t="str">
        <f>IF(AG4081="","",INDEX('quitado Despesa'!$G$1:$G$12,AG4081))</f>
        <v/>
      </c>
      <c r="AJ4081" s="17" t="str">
        <f t="shared" si="3"/>
        <v/>
      </c>
    </row>
    <row r="4082" spans="31:36">
      <c r="AE4082" s="15" t="str">
        <f t="shared" si="0"/>
        <v/>
      </c>
      <c r="AF4082" s="15" t="str">
        <f t="shared" si="1"/>
        <v/>
      </c>
      <c r="AG4082" s="15" t="str">
        <f>IF(OR(AF4082="",AF4082="ERRO_CHAVE"),"",IFERROR(MATCH(AF4082,'quitado Despesa'!$V$1:$V$12,0),""))</f>
        <v/>
      </c>
      <c r="AH4082" s="15" t="str">
        <f t="shared" si="2"/>
        <v/>
      </c>
      <c r="AI4082" s="17" t="str">
        <f>IF(AG4082="","",INDEX('quitado Despesa'!$G$1:$G$12,AG4082))</f>
        <v/>
      </c>
      <c r="AJ4082" s="17" t="str">
        <f t="shared" si="3"/>
        <v/>
      </c>
    </row>
    <row r="4083" spans="31:36">
      <c r="AE4083" s="15" t="str">
        <f t="shared" si="0"/>
        <v/>
      </c>
      <c r="AF4083" s="15" t="str">
        <f t="shared" si="1"/>
        <v/>
      </c>
      <c r="AG4083" s="15" t="str">
        <f>IF(OR(AF4083="",AF4083="ERRO_CHAVE"),"",IFERROR(MATCH(AF4083,'quitado Despesa'!$V$1:$V$12,0),""))</f>
        <v/>
      </c>
      <c r="AH4083" s="15" t="str">
        <f t="shared" si="2"/>
        <v/>
      </c>
      <c r="AI4083" s="17" t="str">
        <f>IF(AG4083="","",INDEX('quitado Despesa'!$G$1:$G$12,AG4083))</f>
        <v/>
      </c>
      <c r="AJ4083" s="17" t="str">
        <f t="shared" si="3"/>
        <v/>
      </c>
    </row>
    <row r="4084" spans="31:36">
      <c r="AE4084" s="15" t="str">
        <f t="shared" si="0"/>
        <v/>
      </c>
      <c r="AF4084" s="15" t="str">
        <f t="shared" si="1"/>
        <v/>
      </c>
      <c r="AG4084" s="15" t="str">
        <f>IF(OR(AF4084="",AF4084="ERRO_CHAVE"),"",IFERROR(MATCH(AF4084,'quitado Despesa'!$V$1:$V$12,0),""))</f>
        <v/>
      </c>
      <c r="AH4084" s="15" t="str">
        <f t="shared" si="2"/>
        <v/>
      </c>
      <c r="AI4084" s="17" t="str">
        <f>IF(AG4084="","",INDEX('quitado Despesa'!$G$1:$G$12,AG4084))</f>
        <v/>
      </c>
      <c r="AJ4084" s="17" t="str">
        <f t="shared" si="3"/>
        <v/>
      </c>
    </row>
    <row r="4085" spans="31:36">
      <c r="AE4085" s="15" t="str">
        <f t="shared" si="0"/>
        <v/>
      </c>
      <c r="AF4085" s="15" t="str">
        <f t="shared" si="1"/>
        <v/>
      </c>
      <c r="AG4085" s="15" t="str">
        <f>IF(OR(AF4085="",AF4085="ERRO_CHAVE"),"",IFERROR(MATCH(AF4085,'quitado Despesa'!$V$1:$V$12,0),""))</f>
        <v/>
      </c>
      <c r="AH4085" s="15" t="str">
        <f t="shared" si="2"/>
        <v/>
      </c>
      <c r="AI4085" s="17" t="str">
        <f>IF(AG4085="","",INDEX('quitado Despesa'!$G$1:$G$12,AG4085))</f>
        <v/>
      </c>
      <c r="AJ4085" s="17" t="str">
        <f t="shared" si="3"/>
        <v/>
      </c>
    </row>
    <row r="4086" spans="31:36">
      <c r="AE4086" s="15" t="str">
        <f t="shared" si="0"/>
        <v/>
      </c>
      <c r="AF4086" s="15" t="str">
        <f t="shared" si="1"/>
        <v/>
      </c>
      <c r="AG4086" s="15" t="str">
        <f>IF(OR(AF4086="",AF4086="ERRO_CHAVE"),"",IFERROR(MATCH(AF4086,'quitado Despesa'!$V$1:$V$12,0),""))</f>
        <v/>
      </c>
      <c r="AH4086" s="15" t="str">
        <f t="shared" si="2"/>
        <v/>
      </c>
      <c r="AI4086" s="17" t="str">
        <f>IF(AG4086="","",INDEX('quitado Despesa'!$G$1:$G$12,AG4086))</f>
        <v/>
      </c>
      <c r="AJ4086" s="17" t="str">
        <f t="shared" si="3"/>
        <v/>
      </c>
    </row>
    <row r="4087" spans="31:36">
      <c r="AE4087" s="15" t="str">
        <f t="shared" si="0"/>
        <v/>
      </c>
      <c r="AF4087" s="15" t="str">
        <f t="shared" si="1"/>
        <v/>
      </c>
      <c r="AG4087" s="15" t="str">
        <f>IF(OR(AF4087="",AF4087="ERRO_CHAVE"),"",IFERROR(MATCH(AF4087,'quitado Despesa'!$V$1:$V$12,0),""))</f>
        <v/>
      </c>
      <c r="AH4087" s="15" t="str">
        <f t="shared" si="2"/>
        <v/>
      </c>
      <c r="AI4087" s="17" t="str">
        <f>IF(AG4087="","",INDEX('quitado Despesa'!$G$1:$G$12,AG4087))</f>
        <v/>
      </c>
      <c r="AJ4087" s="17" t="str">
        <f t="shared" si="3"/>
        <v/>
      </c>
    </row>
    <row r="4088" spans="31:36">
      <c r="AE4088" s="15" t="str">
        <f t="shared" si="0"/>
        <v/>
      </c>
      <c r="AF4088" s="15" t="str">
        <f t="shared" si="1"/>
        <v/>
      </c>
      <c r="AG4088" s="15" t="str">
        <f>IF(OR(AF4088="",AF4088="ERRO_CHAVE"),"",IFERROR(MATCH(AF4088,'quitado Despesa'!$V$1:$V$12,0),""))</f>
        <v/>
      </c>
      <c r="AH4088" s="15" t="str">
        <f t="shared" si="2"/>
        <v/>
      </c>
      <c r="AI4088" s="17" t="str">
        <f>IF(AG4088="","",INDEX('quitado Despesa'!$G$1:$G$12,AG4088))</f>
        <v/>
      </c>
      <c r="AJ4088" s="17" t="str">
        <f t="shared" si="3"/>
        <v/>
      </c>
    </row>
    <row r="4089" spans="31:36">
      <c r="AE4089" s="15" t="str">
        <f t="shared" si="0"/>
        <v/>
      </c>
      <c r="AF4089" s="15" t="str">
        <f t="shared" si="1"/>
        <v/>
      </c>
      <c r="AG4089" s="15" t="str">
        <f>IF(OR(AF4089="",AF4089="ERRO_CHAVE"),"",IFERROR(MATCH(AF4089,'quitado Despesa'!$V$1:$V$12,0),""))</f>
        <v/>
      </c>
      <c r="AH4089" s="15" t="str">
        <f t="shared" si="2"/>
        <v/>
      </c>
      <c r="AI4089" s="17" t="str">
        <f>IF(AG4089="","",INDEX('quitado Despesa'!$G$1:$G$12,AG4089))</f>
        <v/>
      </c>
      <c r="AJ4089" s="17" t="str">
        <f t="shared" si="3"/>
        <v/>
      </c>
    </row>
    <row r="4090" spans="31:36">
      <c r="AE4090" s="15" t="str">
        <f t="shared" si="0"/>
        <v/>
      </c>
      <c r="AF4090" s="15" t="str">
        <f t="shared" si="1"/>
        <v/>
      </c>
      <c r="AG4090" s="15" t="str">
        <f>IF(OR(AF4090="",AF4090="ERRO_CHAVE"),"",IFERROR(MATCH(AF4090,'quitado Despesa'!$V$1:$V$12,0),""))</f>
        <v/>
      </c>
      <c r="AH4090" s="15" t="str">
        <f t="shared" si="2"/>
        <v/>
      </c>
      <c r="AI4090" s="17" t="str">
        <f>IF(AG4090="","",INDEX('quitado Despesa'!$G$1:$G$12,AG4090))</f>
        <v/>
      </c>
      <c r="AJ4090" s="17" t="str">
        <f t="shared" si="3"/>
        <v/>
      </c>
    </row>
    <row r="4091" spans="31:36">
      <c r="AE4091" s="15" t="str">
        <f t="shared" si="0"/>
        <v/>
      </c>
      <c r="AF4091" s="15" t="str">
        <f t="shared" si="1"/>
        <v/>
      </c>
      <c r="AG4091" s="15" t="str">
        <f>IF(OR(AF4091="",AF4091="ERRO_CHAVE"),"",IFERROR(MATCH(AF4091,'quitado Despesa'!$V$1:$V$12,0),""))</f>
        <v/>
      </c>
      <c r="AH4091" s="15" t="str">
        <f t="shared" si="2"/>
        <v/>
      </c>
      <c r="AI4091" s="17" t="str">
        <f>IF(AG4091="","",INDEX('quitado Despesa'!$G$1:$G$12,AG4091))</f>
        <v/>
      </c>
      <c r="AJ4091" s="17" t="str">
        <f t="shared" si="3"/>
        <v/>
      </c>
    </row>
    <row r="4092" spans="31:36">
      <c r="AE4092" s="15" t="str">
        <f t="shared" si="0"/>
        <v/>
      </c>
      <c r="AF4092" s="15" t="str">
        <f t="shared" si="1"/>
        <v/>
      </c>
      <c r="AG4092" s="15" t="str">
        <f>IF(OR(AF4092="",AF4092="ERRO_CHAVE"),"",IFERROR(MATCH(AF4092,'quitado Despesa'!$V$1:$V$12,0),""))</f>
        <v/>
      </c>
      <c r="AH4092" s="15" t="str">
        <f t="shared" si="2"/>
        <v/>
      </c>
      <c r="AI4092" s="17" t="str">
        <f>IF(AG4092="","",INDEX('quitado Despesa'!$G$1:$G$12,AG4092))</f>
        <v/>
      </c>
      <c r="AJ4092" s="17" t="str">
        <f t="shared" si="3"/>
        <v/>
      </c>
    </row>
    <row r="4093" spans="31:36">
      <c r="AE4093" s="15" t="str">
        <f t="shared" si="0"/>
        <v/>
      </c>
      <c r="AF4093" s="15" t="str">
        <f t="shared" si="1"/>
        <v/>
      </c>
      <c r="AG4093" s="15" t="str">
        <f>IF(OR(AF4093="",AF4093="ERRO_CHAVE"),"",IFERROR(MATCH(AF4093,'quitado Despesa'!$V$1:$V$12,0),""))</f>
        <v/>
      </c>
      <c r="AH4093" s="15" t="str">
        <f t="shared" si="2"/>
        <v/>
      </c>
      <c r="AI4093" s="17" t="str">
        <f>IF(AG4093="","",INDEX('quitado Despesa'!$G$1:$G$12,AG4093))</f>
        <v/>
      </c>
      <c r="AJ4093" s="17" t="str">
        <f t="shared" si="3"/>
        <v/>
      </c>
    </row>
    <row r="4094" spans="31:36">
      <c r="AE4094" s="15" t="str">
        <f t="shared" si="0"/>
        <v/>
      </c>
      <c r="AF4094" s="15" t="str">
        <f t="shared" si="1"/>
        <v/>
      </c>
      <c r="AG4094" s="15" t="str">
        <f>IF(OR(AF4094="",AF4094="ERRO_CHAVE"),"",IFERROR(MATCH(AF4094,'quitado Despesa'!$V$1:$V$12,0),""))</f>
        <v/>
      </c>
      <c r="AH4094" s="15" t="str">
        <f t="shared" si="2"/>
        <v/>
      </c>
      <c r="AI4094" s="17" t="str">
        <f>IF(AG4094="","",INDEX('quitado Despesa'!$G$1:$G$12,AG4094))</f>
        <v/>
      </c>
      <c r="AJ4094" s="17" t="str">
        <f t="shared" si="3"/>
        <v/>
      </c>
    </row>
    <row r="4095" spans="31:36">
      <c r="AE4095" s="15" t="str">
        <f t="shared" si="0"/>
        <v/>
      </c>
      <c r="AF4095" s="15" t="str">
        <f t="shared" si="1"/>
        <v/>
      </c>
      <c r="AG4095" s="15" t="str">
        <f>IF(OR(AF4095="",AF4095="ERRO_CHAVE"),"",IFERROR(MATCH(AF4095,'quitado Despesa'!$V$1:$V$12,0),""))</f>
        <v/>
      </c>
      <c r="AH4095" s="15" t="str">
        <f t="shared" si="2"/>
        <v/>
      </c>
      <c r="AI4095" s="17" t="str">
        <f>IF(AG4095="","",INDEX('quitado Despesa'!$G$1:$G$12,AG4095))</f>
        <v/>
      </c>
      <c r="AJ4095" s="17" t="str">
        <f t="shared" si="3"/>
        <v/>
      </c>
    </row>
    <row r="4096" spans="31:36">
      <c r="AE4096" s="15" t="str">
        <f t="shared" si="0"/>
        <v/>
      </c>
      <c r="AF4096" s="15" t="str">
        <f t="shared" si="1"/>
        <v/>
      </c>
      <c r="AG4096" s="15" t="str">
        <f>IF(OR(AF4096="",AF4096="ERRO_CHAVE"),"",IFERROR(MATCH(AF4096,'quitado Despesa'!$V$1:$V$12,0),""))</f>
        <v/>
      </c>
      <c r="AH4096" s="15" t="str">
        <f t="shared" si="2"/>
        <v/>
      </c>
      <c r="AI4096" s="17" t="str">
        <f>IF(AG4096="","",INDEX('quitado Despesa'!$G$1:$G$12,AG4096))</f>
        <v/>
      </c>
      <c r="AJ4096" s="17" t="str">
        <f t="shared" si="3"/>
        <v/>
      </c>
    </row>
    <row r="4097" spans="31:36">
      <c r="AE4097" s="15" t="str">
        <f t="shared" si="0"/>
        <v/>
      </c>
      <c r="AF4097" s="15" t="str">
        <f t="shared" si="1"/>
        <v/>
      </c>
      <c r="AG4097" s="15" t="str">
        <f>IF(OR(AF4097="",AF4097="ERRO_CHAVE"),"",IFERROR(MATCH(AF4097,'quitado Despesa'!$V$1:$V$12,0),""))</f>
        <v/>
      </c>
      <c r="AH4097" s="15" t="str">
        <f t="shared" si="2"/>
        <v/>
      </c>
      <c r="AI4097" s="17" t="str">
        <f>IF(AG4097="","",INDEX('quitado Despesa'!$G$1:$G$12,AG4097))</f>
        <v/>
      </c>
      <c r="AJ4097" s="17" t="str">
        <f t="shared" si="3"/>
        <v/>
      </c>
    </row>
    <row r="4098" spans="31:36">
      <c r="AE4098" s="15" t="str">
        <f t="shared" si="0"/>
        <v/>
      </c>
      <c r="AF4098" s="15" t="str">
        <f t="shared" si="1"/>
        <v/>
      </c>
      <c r="AG4098" s="15" t="str">
        <f>IF(OR(AF4098="",AF4098="ERRO_CHAVE"),"",IFERROR(MATCH(AF4098,'quitado Despesa'!$V$1:$V$12,0),""))</f>
        <v/>
      </c>
      <c r="AH4098" s="15" t="str">
        <f t="shared" si="2"/>
        <v/>
      </c>
      <c r="AI4098" s="17" t="str">
        <f>IF(AG4098="","",INDEX('quitado Despesa'!$G$1:$G$12,AG4098))</f>
        <v/>
      </c>
      <c r="AJ4098" s="17" t="str">
        <f t="shared" si="3"/>
        <v/>
      </c>
    </row>
    <row r="4099" spans="31:36">
      <c r="AE4099" s="15" t="str">
        <f t="shared" si="0"/>
        <v/>
      </c>
      <c r="AF4099" s="15" t="str">
        <f t="shared" si="1"/>
        <v/>
      </c>
      <c r="AG4099" s="15" t="str">
        <f>IF(OR(AF4099="",AF4099="ERRO_CHAVE"),"",IFERROR(MATCH(AF4099,'quitado Despesa'!$V$1:$V$12,0),""))</f>
        <v/>
      </c>
      <c r="AH4099" s="15" t="str">
        <f t="shared" si="2"/>
        <v/>
      </c>
      <c r="AI4099" s="17" t="str">
        <f>IF(AG4099="","",INDEX('quitado Despesa'!$G$1:$G$12,AG4099))</f>
        <v/>
      </c>
      <c r="AJ4099" s="17" t="str">
        <f t="shared" si="3"/>
        <v/>
      </c>
    </row>
    <row r="4100" spans="31:36">
      <c r="AE4100" s="15" t="str">
        <f t="shared" si="0"/>
        <v/>
      </c>
      <c r="AF4100" s="15" t="str">
        <f t="shared" si="1"/>
        <v/>
      </c>
      <c r="AG4100" s="15" t="str">
        <f>IF(OR(AF4100="",AF4100="ERRO_CHAVE"),"",IFERROR(MATCH(AF4100,'quitado Despesa'!$V$1:$V$12,0),""))</f>
        <v/>
      </c>
      <c r="AH4100" s="15" t="str">
        <f t="shared" si="2"/>
        <v/>
      </c>
      <c r="AI4100" s="17" t="str">
        <f>IF(AG4100="","",INDEX('quitado Despesa'!$G$1:$G$12,AG4100))</f>
        <v/>
      </c>
      <c r="AJ4100" s="17" t="str">
        <f t="shared" si="3"/>
        <v/>
      </c>
    </row>
    <row r="4101" spans="31:36">
      <c r="AE4101" s="15" t="str">
        <f t="shared" si="0"/>
        <v/>
      </c>
      <c r="AF4101" s="15" t="str">
        <f t="shared" si="1"/>
        <v/>
      </c>
      <c r="AG4101" s="15" t="str">
        <f>IF(OR(AF4101="",AF4101="ERRO_CHAVE"),"",IFERROR(MATCH(AF4101,'quitado Despesa'!$V$1:$V$12,0),""))</f>
        <v/>
      </c>
      <c r="AH4101" s="15" t="str">
        <f t="shared" si="2"/>
        <v/>
      </c>
      <c r="AI4101" s="17" t="str">
        <f>IF(AG4101="","",INDEX('quitado Despesa'!$G$1:$G$12,AG4101))</f>
        <v/>
      </c>
      <c r="AJ4101" s="17" t="str">
        <f t="shared" si="3"/>
        <v/>
      </c>
    </row>
    <row r="4102" spans="31:36">
      <c r="AE4102" s="15" t="str">
        <f t="shared" si="0"/>
        <v/>
      </c>
      <c r="AF4102" s="15" t="str">
        <f t="shared" si="1"/>
        <v/>
      </c>
      <c r="AG4102" s="15" t="str">
        <f>IF(OR(AF4102="",AF4102="ERRO_CHAVE"),"",IFERROR(MATCH(AF4102,'quitado Despesa'!$V$1:$V$12,0),""))</f>
        <v/>
      </c>
      <c r="AH4102" s="15" t="str">
        <f t="shared" si="2"/>
        <v/>
      </c>
      <c r="AI4102" s="17" t="str">
        <f>IF(AG4102="","",INDEX('quitado Despesa'!$G$1:$G$12,AG4102))</f>
        <v/>
      </c>
      <c r="AJ4102" s="17" t="str">
        <f t="shared" si="3"/>
        <v/>
      </c>
    </row>
    <row r="4103" spans="31:36">
      <c r="AE4103" s="15" t="str">
        <f t="shared" si="0"/>
        <v/>
      </c>
      <c r="AF4103" s="15" t="str">
        <f t="shared" si="1"/>
        <v/>
      </c>
      <c r="AG4103" s="15" t="str">
        <f>IF(OR(AF4103="",AF4103="ERRO_CHAVE"),"",IFERROR(MATCH(AF4103,'quitado Despesa'!$V$1:$V$12,0),""))</f>
        <v/>
      </c>
      <c r="AH4103" s="15" t="str">
        <f t="shared" si="2"/>
        <v/>
      </c>
      <c r="AI4103" s="17" t="str">
        <f>IF(AG4103="","",INDEX('quitado Despesa'!$G$1:$G$12,AG4103))</f>
        <v/>
      </c>
      <c r="AJ4103" s="17" t="str">
        <f t="shared" si="3"/>
        <v/>
      </c>
    </row>
    <row r="4104" spans="31:36">
      <c r="AE4104" s="15" t="str">
        <f t="shared" si="0"/>
        <v/>
      </c>
      <c r="AF4104" s="15" t="str">
        <f t="shared" si="1"/>
        <v/>
      </c>
      <c r="AG4104" s="15" t="str">
        <f>IF(OR(AF4104="",AF4104="ERRO_CHAVE"),"",IFERROR(MATCH(AF4104,'quitado Despesa'!$V$1:$V$12,0),""))</f>
        <v/>
      </c>
      <c r="AH4104" s="15" t="str">
        <f t="shared" si="2"/>
        <v/>
      </c>
      <c r="AI4104" s="17" t="str">
        <f>IF(AG4104="","",INDEX('quitado Despesa'!$G$1:$G$12,AG4104))</f>
        <v/>
      </c>
      <c r="AJ4104" s="17" t="str">
        <f t="shared" si="3"/>
        <v/>
      </c>
    </row>
    <row r="4105" spans="31:36">
      <c r="AE4105" s="15" t="str">
        <f t="shared" si="0"/>
        <v/>
      </c>
      <c r="AF4105" s="15" t="str">
        <f t="shared" si="1"/>
        <v/>
      </c>
      <c r="AG4105" s="15" t="str">
        <f>IF(OR(AF4105="",AF4105="ERRO_CHAVE"),"",IFERROR(MATCH(AF4105,'quitado Despesa'!$V$1:$V$12,0),""))</f>
        <v/>
      </c>
      <c r="AH4105" s="15" t="str">
        <f t="shared" si="2"/>
        <v/>
      </c>
      <c r="AI4105" s="17" t="str">
        <f>IF(AG4105="","",INDEX('quitado Despesa'!$G$1:$G$12,AG4105))</f>
        <v/>
      </c>
      <c r="AJ4105" s="17" t="str">
        <f t="shared" si="3"/>
        <v/>
      </c>
    </row>
    <row r="4106" spans="31:36">
      <c r="AE4106" s="15" t="str">
        <f t="shared" si="0"/>
        <v/>
      </c>
      <c r="AF4106" s="15" t="str">
        <f t="shared" si="1"/>
        <v/>
      </c>
      <c r="AG4106" s="15" t="str">
        <f>IF(OR(AF4106="",AF4106="ERRO_CHAVE"),"",IFERROR(MATCH(AF4106,'quitado Despesa'!$V$1:$V$12,0),""))</f>
        <v/>
      </c>
      <c r="AH4106" s="15" t="str">
        <f t="shared" si="2"/>
        <v/>
      </c>
      <c r="AI4106" s="17" t="str">
        <f>IF(AG4106="","",INDEX('quitado Despesa'!$G$1:$G$12,AG4106))</f>
        <v/>
      </c>
      <c r="AJ4106" s="17" t="str">
        <f t="shared" si="3"/>
        <v/>
      </c>
    </row>
    <row r="4107" spans="31:36">
      <c r="AE4107" s="15" t="str">
        <f t="shared" si="0"/>
        <v/>
      </c>
      <c r="AF4107" s="15" t="str">
        <f t="shared" si="1"/>
        <v/>
      </c>
      <c r="AG4107" s="15" t="str">
        <f>IF(OR(AF4107="",AF4107="ERRO_CHAVE"),"",IFERROR(MATCH(AF4107,'quitado Despesa'!$V$1:$V$12,0),""))</f>
        <v/>
      </c>
      <c r="AH4107" s="15" t="str">
        <f t="shared" si="2"/>
        <v/>
      </c>
      <c r="AI4107" s="17" t="str">
        <f>IF(AG4107="","",INDEX('quitado Despesa'!$G$1:$G$12,AG4107))</f>
        <v/>
      </c>
      <c r="AJ4107" s="17" t="str">
        <f t="shared" si="3"/>
        <v/>
      </c>
    </row>
    <row r="4108" spans="31:36">
      <c r="AE4108" s="15" t="str">
        <f t="shared" si="0"/>
        <v/>
      </c>
      <c r="AF4108" s="15" t="str">
        <f t="shared" si="1"/>
        <v/>
      </c>
      <c r="AG4108" s="15" t="str">
        <f>IF(OR(AF4108="",AF4108="ERRO_CHAVE"),"",IFERROR(MATCH(AF4108,'quitado Despesa'!$V$1:$V$12,0),""))</f>
        <v/>
      </c>
      <c r="AH4108" s="15" t="str">
        <f t="shared" si="2"/>
        <v/>
      </c>
      <c r="AI4108" s="17" t="str">
        <f>IF(AG4108="","",INDEX('quitado Despesa'!$G$1:$G$12,AG4108))</f>
        <v/>
      </c>
      <c r="AJ4108" s="17" t="str">
        <f t="shared" si="3"/>
        <v/>
      </c>
    </row>
    <row r="4109" spans="31:36">
      <c r="AE4109" s="15" t="str">
        <f t="shared" si="0"/>
        <v/>
      </c>
      <c r="AF4109" s="15" t="str">
        <f t="shared" si="1"/>
        <v/>
      </c>
      <c r="AG4109" s="15" t="str">
        <f>IF(OR(AF4109="",AF4109="ERRO_CHAVE"),"",IFERROR(MATCH(AF4109,'quitado Despesa'!$V$1:$V$12,0),""))</f>
        <v/>
      </c>
      <c r="AH4109" s="15" t="str">
        <f t="shared" si="2"/>
        <v/>
      </c>
      <c r="AI4109" s="17" t="str">
        <f>IF(AG4109="","",INDEX('quitado Despesa'!$G$1:$G$12,AG4109))</f>
        <v/>
      </c>
      <c r="AJ4109" s="17" t="str">
        <f t="shared" si="3"/>
        <v/>
      </c>
    </row>
    <row r="4110" spans="31:36">
      <c r="AE4110" s="15" t="str">
        <f t="shared" si="0"/>
        <v/>
      </c>
      <c r="AF4110" s="15" t="str">
        <f t="shared" si="1"/>
        <v/>
      </c>
      <c r="AG4110" s="15" t="str">
        <f>IF(OR(AF4110="",AF4110="ERRO_CHAVE"),"",IFERROR(MATCH(AF4110,'quitado Despesa'!$V$1:$V$12,0),""))</f>
        <v/>
      </c>
      <c r="AH4110" s="15" t="str">
        <f t="shared" si="2"/>
        <v/>
      </c>
      <c r="AI4110" s="17" t="str">
        <f>IF(AG4110="","",INDEX('quitado Despesa'!$G$1:$G$12,AG4110))</f>
        <v/>
      </c>
      <c r="AJ4110" s="17" t="str">
        <f t="shared" si="3"/>
        <v/>
      </c>
    </row>
    <row r="4111" spans="31:36">
      <c r="AE4111" s="15" t="str">
        <f t="shared" si="0"/>
        <v/>
      </c>
      <c r="AF4111" s="15" t="str">
        <f t="shared" si="1"/>
        <v/>
      </c>
      <c r="AG4111" s="15" t="str">
        <f>IF(OR(AF4111="",AF4111="ERRO_CHAVE"),"",IFERROR(MATCH(AF4111,'quitado Despesa'!$V$1:$V$12,0),""))</f>
        <v/>
      </c>
      <c r="AH4111" s="15" t="str">
        <f t="shared" si="2"/>
        <v/>
      </c>
      <c r="AI4111" s="17" t="str">
        <f>IF(AG4111="","",INDEX('quitado Despesa'!$G$1:$G$12,AG4111))</f>
        <v/>
      </c>
      <c r="AJ4111" s="17" t="str">
        <f t="shared" si="3"/>
        <v/>
      </c>
    </row>
    <row r="4112" spans="31:36">
      <c r="AE4112" s="15" t="str">
        <f t="shared" si="0"/>
        <v/>
      </c>
      <c r="AF4112" s="15" t="str">
        <f t="shared" si="1"/>
        <v/>
      </c>
      <c r="AG4112" s="15" t="str">
        <f>IF(OR(AF4112="",AF4112="ERRO_CHAVE"),"",IFERROR(MATCH(AF4112,'quitado Despesa'!$V$1:$V$12,0),""))</f>
        <v/>
      </c>
      <c r="AH4112" s="15" t="str">
        <f t="shared" si="2"/>
        <v/>
      </c>
      <c r="AI4112" s="17" t="str">
        <f>IF(AG4112="","",INDEX('quitado Despesa'!$G$1:$G$12,AG4112))</f>
        <v/>
      </c>
      <c r="AJ4112" s="17" t="str">
        <f t="shared" si="3"/>
        <v/>
      </c>
    </row>
    <row r="4113" spans="31:36">
      <c r="AE4113" s="15" t="str">
        <f t="shared" si="0"/>
        <v/>
      </c>
      <c r="AF4113" s="15" t="str">
        <f t="shared" si="1"/>
        <v/>
      </c>
      <c r="AG4113" s="15" t="str">
        <f>IF(OR(AF4113="",AF4113="ERRO_CHAVE"),"",IFERROR(MATCH(AF4113,'quitado Despesa'!$V$1:$V$12,0),""))</f>
        <v/>
      </c>
      <c r="AH4113" s="15" t="str">
        <f t="shared" si="2"/>
        <v/>
      </c>
      <c r="AI4113" s="17" t="str">
        <f>IF(AG4113="","",INDEX('quitado Despesa'!$G$1:$G$12,AG4113))</f>
        <v/>
      </c>
      <c r="AJ4113" s="17" t="str">
        <f t="shared" si="3"/>
        <v/>
      </c>
    </row>
    <row r="4114" spans="31:36">
      <c r="AE4114" s="15" t="str">
        <f t="shared" si="0"/>
        <v/>
      </c>
      <c r="AF4114" s="15" t="str">
        <f t="shared" si="1"/>
        <v/>
      </c>
      <c r="AG4114" s="15" t="str">
        <f>IF(OR(AF4114="",AF4114="ERRO_CHAVE"),"",IFERROR(MATCH(AF4114,'quitado Despesa'!$V$1:$V$12,0),""))</f>
        <v/>
      </c>
      <c r="AH4114" s="15" t="str">
        <f t="shared" si="2"/>
        <v/>
      </c>
      <c r="AI4114" s="17" t="str">
        <f>IF(AG4114="","",INDEX('quitado Despesa'!$G$1:$G$12,AG4114))</f>
        <v/>
      </c>
      <c r="AJ4114" s="17" t="str">
        <f t="shared" si="3"/>
        <v/>
      </c>
    </row>
    <row r="4115" spans="31:36">
      <c r="AE4115" s="15" t="str">
        <f t="shared" si="0"/>
        <v/>
      </c>
      <c r="AF4115" s="15" t="str">
        <f t="shared" si="1"/>
        <v/>
      </c>
      <c r="AG4115" s="15" t="str">
        <f>IF(OR(AF4115="",AF4115="ERRO_CHAVE"),"",IFERROR(MATCH(AF4115,'quitado Despesa'!$V$1:$V$12,0),""))</f>
        <v/>
      </c>
      <c r="AH4115" s="15" t="str">
        <f t="shared" si="2"/>
        <v/>
      </c>
      <c r="AI4115" s="17" t="str">
        <f>IF(AG4115="","",INDEX('quitado Despesa'!$G$1:$G$12,AG4115))</f>
        <v/>
      </c>
      <c r="AJ4115" s="17" t="str">
        <f t="shared" si="3"/>
        <v/>
      </c>
    </row>
    <row r="4116" spans="31:36">
      <c r="AE4116" s="15" t="str">
        <f t="shared" si="0"/>
        <v/>
      </c>
      <c r="AF4116" s="15" t="str">
        <f t="shared" si="1"/>
        <v/>
      </c>
      <c r="AG4116" s="15" t="str">
        <f>IF(OR(AF4116="",AF4116="ERRO_CHAVE"),"",IFERROR(MATCH(AF4116,'quitado Despesa'!$V$1:$V$12,0),""))</f>
        <v/>
      </c>
      <c r="AH4116" s="15" t="str">
        <f t="shared" si="2"/>
        <v/>
      </c>
      <c r="AI4116" s="17" t="str">
        <f>IF(AG4116="","",INDEX('quitado Despesa'!$G$1:$G$12,AG4116))</f>
        <v/>
      </c>
      <c r="AJ4116" s="17" t="str">
        <f t="shared" si="3"/>
        <v/>
      </c>
    </row>
    <row r="4117" spans="31:36">
      <c r="AE4117" s="15" t="str">
        <f t="shared" si="0"/>
        <v/>
      </c>
      <c r="AF4117" s="15" t="str">
        <f t="shared" si="1"/>
        <v/>
      </c>
      <c r="AG4117" s="15" t="str">
        <f>IF(OR(AF4117="",AF4117="ERRO_CHAVE"),"",IFERROR(MATCH(AF4117,'quitado Despesa'!$V$1:$V$12,0),""))</f>
        <v/>
      </c>
      <c r="AH4117" s="15" t="str">
        <f t="shared" si="2"/>
        <v/>
      </c>
      <c r="AI4117" s="17" t="str">
        <f>IF(AG4117="","",INDEX('quitado Despesa'!$G$1:$G$12,AG4117))</f>
        <v/>
      </c>
      <c r="AJ4117" s="17" t="str">
        <f t="shared" si="3"/>
        <v/>
      </c>
    </row>
    <row r="4118" spans="31:36">
      <c r="AE4118" s="15" t="str">
        <f t="shared" si="0"/>
        <v/>
      </c>
      <c r="AF4118" s="15" t="str">
        <f t="shared" si="1"/>
        <v/>
      </c>
      <c r="AG4118" s="15" t="str">
        <f>IF(OR(AF4118="",AF4118="ERRO_CHAVE"),"",IFERROR(MATCH(AF4118,'quitado Despesa'!$V$1:$V$12,0),""))</f>
        <v/>
      </c>
      <c r="AH4118" s="15" t="str">
        <f t="shared" si="2"/>
        <v/>
      </c>
      <c r="AI4118" s="17" t="str">
        <f>IF(AG4118="","",INDEX('quitado Despesa'!$G$1:$G$12,AG4118))</f>
        <v/>
      </c>
      <c r="AJ4118" s="17" t="str">
        <f t="shared" si="3"/>
        <v/>
      </c>
    </row>
    <row r="4119" spans="31:36">
      <c r="AE4119" s="15" t="str">
        <f t="shared" si="0"/>
        <v/>
      </c>
      <c r="AF4119" s="15" t="str">
        <f t="shared" si="1"/>
        <v/>
      </c>
      <c r="AG4119" s="15" t="str">
        <f>IF(OR(AF4119="",AF4119="ERRO_CHAVE"),"",IFERROR(MATCH(AF4119,'quitado Despesa'!$V$1:$V$12,0),""))</f>
        <v/>
      </c>
      <c r="AH4119" s="15" t="str">
        <f t="shared" si="2"/>
        <v/>
      </c>
      <c r="AI4119" s="17" t="str">
        <f>IF(AG4119="","",INDEX('quitado Despesa'!$G$1:$G$12,AG4119))</f>
        <v/>
      </c>
      <c r="AJ4119" s="17" t="str">
        <f t="shared" si="3"/>
        <v/>
      </c>
    </row>
    <row r="4120" spans="31:36">
      <c r="AE4120" s="15" t="str">
        <f t="shared" si="0"/>
        <v/>
      </c>
      <c r="AF4120" s="15" t="str">
        <f t="shared" si="1"/>
        <v/>
      </c>
      <c r="AG4120" s="15" t="str">
        <f>IF(OR(AF4120="",AF4120="ERRO_CHAVE"),"",IFERROR(MATCH(AF4120,'quitado Despesa'!$V$1:$V$12,0),""))</f>
        <v/>
      </c>
      <c r="AH4120" s="15" t="str">
        <f t="shared" si="2"/>
        <v/>
      </c>
      <c r="AI4120" s="17" t="str">
        <f>IF(AG4120="","",INDEX('quitado Despesa'!$G$1:$G$12,AG4120))</f>
        <v/>
      </c>
      <c r="AJ4120" s="17" t="str">
        <f t="shared" si="3"/>
        <v/>
      </c>
    </row>
    <row r="4121" spans="31:36">
      <c r="AE4121" s="15" t="str">
        <f t="shared" si="0"/>
        <v/>
      </c>
      <c r="AF4121" s="15" t="str">
        <f t="shared" si="1"/>
        <v/>
      </c>
      <c r="AG4121" s="15" t="str">
        <f>IF(OR(AF4121="",AF4121="ERRO_CHAVE"),"",IFERROR(MATCH(AF4121,'quitado Despesa'!$V$1:$V$12,0),""))</f>
        <v/>
      </c>
      <c r="AH4121" s="15" t="str">
        <f t="shared" si="2"/>
        <v/>
      </c>
      <c r="AI4121" s="17" t="str">
        <f>IF(AG4121="","",INDEX('quitado Despesa'!$G$1:$G$12,AG4121))</f>
        <v/>
      </c>
      <c r="AJ4121" s="17" t="str">
        <f t="shared" si="3"/>
        <v/>
      </c>
    </row>
    <row r="4122" spans="31:36">
      <c r="AE4122" s="15" t="str">
        <f t="shared" si="0"/>
        <v/>
      </c>
      <c r="AF4122" s="15" t="str">
        <f t="shared" si="1"/>
        <v/>
      </c>
      <c r="AG4122" s="15" t="str">
        <f>IF(OR(AF4122="",AF4122="ERRO_CHAVE"),"",IFERROR(MATCH(AF4122,'quitado Despesa'!$V$1:$V$12,0),""))</f>
        <v/>
      </c>
      <c r="AH4122" s="15" t="str">
        <f t="shared" si="2"/>
        <v/>
      </c>
      <c r="AI4122" s="17" t="str">
        <f>IF(AG4122="","",INDEX('quitado Despesa'!$G$1:$G$12,AG4122))</f>
        <v/>
      </c>
      <c r="AJ4122" s="17" t="str">
        <f t="shared" si="3"/>
        <v/>
      </c>
    </row>
    <row r="4123" spans="31:36">
      <c r="AE4123" s="15" t="str">
        <f t="shared" si="0"/>
        <v/>
      </c>
      <c r="AF4123" s="15" t="str">
        <f t="shared" si="1"/>
        <v/>
      </c>
      <c r="AG4123" s="15" t="str">
        <f>IF(OR(AF4123="",AF4123="ERRO_CHAVE"),"",IFERROR(MATCH(AF4123,'quitado Despesa'!$V$1:$V$12,0),""))</f>
        <v/>
      </c>
      <c r="AH4123" s="15" t="str">
        <f t="shared" si="2"/>
        <v/>
      </c>
      <c r="AI4123" s="17" t="str">
        <f>IF(AG4123="","",INDEX('quitado Despesa'!$G$1:$G$12,AG4123))</f>
        <v/>
      </c>
      <c r="AJ4123" s="17" t="str">
        <f t="shared" si="3"/>
        <v/>
      </c>
    </row>
    <row r="4124" spans="31:36">
      <c r="AE4124" s="15" t="str">
        <f t="shared" si="0"/>
        <v/>
      </c>
      <c r="AF4124" s="15" t="str">
        <f t="shared" si="1"/>
        <v/>
      </c>
      <c r="AG4124" s="15" t="str">
        <f>IF(OR(AF4124="",AF4124="ERRO_CHAVE"),"",IFERROR(MATCH(AF4124,'quitado Despesa'!$V$1:$V$12,0),""))</f>
        <v/>
      </c>
      <c r="AH4124" s="15" t="str">
        <f t="shared" si="2"/>
        <v/>
      </c>
      <c r="AI4124" s="17" t="str">
        <f>IF(AG4124="","",INDEX('quitado Despesa'!$G$1:$G$12,AG4124))</f>
        <v/>
      </c>
      <c r="AJ4124" s="17" t="str">
        <f t="shared" si="3"/>
        <v/>
      </c>
    </row>
    <row r="4125" spans="31:36">
      <c r="AE4125" s="15" t="str">
        <f t="shared" si="0"/>
        <v/>
      </c>
      <c r="AF4125" s="15" t="str">
        <f t="shared" si="1"/>
        <v/>
      </c>
      <c r="AG4125" s="15" t="str">
        <f>IF(OR(AF4125="",AF4125="ERRO_CHAVE"),"",IFERROR(MATCH(AF4125,'quitado Despesa'!$V$1:$V$12,0),""))</f>
        <v/>
      </c>
      <c r="AH4125" s="15" t="str">
        <f t="shared" si="2"/>
        <v/>
      </c>
      <c r="AI4125" s="17" t="str">
        <f>IF(AG4125="","",INDEX('quitado Despesa'!$G$1:$G$12,AG4125))</f>
        <v/>
      </c>
      <c r="AJ4125" s="17" t="str">
        <f t="shared" si="3"/>
        <v/>
      </c>
    </row>
    <row r="4126" spans="31:36">
      <c r="AE4126" s="15" t="str">
        <f t="shared" si="0"/>
        <v/>
      </c>
      <c r="AF4126" s="15" t="str">
        <f t="shared" si="1"/>
        <v/>
      </c>
      <c r="AG4126" s="15" t="str">
        <f>IF(OR(AF4126="",AF4126="ERRO_CHAVE"),"",IFERROR(MATCH(AF4126,'quitado Despesa'!$V$1:$V$12,0),""))</f>
        <v/>
      </c>
      <c r="AH4126" s="15" t="str">
        <f t="shared" si="2"/>
        <v/>
      </c>
      <c r="AI4126" s="17" t="str">
        <f>IF(AG4126="","",INDEX('quitado Despesa'!$G$1:$G$12,AG4126))</f>
        <v/>
      </c>
      <c r="AJ4126" s="17" t="str">
        <f t="shared" si="3"/>
        <v/>
      </c>
    </row>
    <row r="4127" spans="31:36">
      <c r="AE4127" s="15" t="str">
        <f t="shared" si="0"/>
        <v/>
      </c>
      <c r="AF4127" s="15" t="str">
        <f t="shared" si="1"/>
        <v/>
      </c>
      <c r="AG4127" s="15" t="str">
        <f>IF(OR(AF4127="",AF4127="ERRO_CHAVE"),"",IFERROR(MATCH(AF4127,'quitado Despesa'!$V$1:$V$12,0),""))</f>
        <v/>
      </c>
      <c r="AH4127" s="15" t="str">
        <f t="shared" si="2"/>
        <v/>
      </c>
      <c r="AI4127" s="17" t="str">
        <f>IF(AG4127="","",INDEX('quitado Despesa'!$G$1:$G$12,AG4127))</f>
        <v/>
      </c>
      <c r="AJ4127" s="17" t="str">
        <f t="shared" si="3"/>
        <v/>
      </c>
    </row>
    <row r="4128" spans="31:36">
      <c r="AE4128" s="15" t="str">
        <f t="shared" si="0"/>
        <v/>
      </c>
      <c r="AF4128" s="15" t="str">
        <f t="shared" si="1"/>
        <v/>
      </c>
      <c r="AG4128" s="15" t="str">
        <f>IF(OR(AF4128="",AF4128="ERRO_CHAVE"),"",IFERROR(MATCH(AF4128,'quitado Despesa'!$V$1:$V$12,0),""))</f>
        <v/>
      </c>
      <c r="AH4128" s="15" t="str">
        <f t="shared" si="2"/>
        <v/>
      </c>
      <c r="AI4128" s="17" t="str">
        <f>IF(AG4128="","",INDEX('quitado Despesa'!$G$1:$G$12,AG4128))</f>
        <v/>
      </c>
      <c r="AJ4128" s="17" t="str">
        <f t="shared" si="3"/>
        <v/>
      </c>
    </row>
    <row r="4129" spans="31:36">
      <c r="AE4129" s="15" t="str">
        <f t="shared" si="0"/>
        <v/>
      </c>
      <c r="AF4129" s="15" t="str">
        <f t="shared" si="1"/>
        <v/>
      </c>
      <c r="AG4129" s="15" t="str">
        <f>IF(OR(AF4129="",AF4129="ERRO_CHAVE"),"",IFERROR(MATCH(AF4129,'quitado Despesa'!$V$1:$V$12,0),""))</f>
        <v/>
      </c>
      <c r="AH4129" s="15" t="str">
        <f t="shared" si="2"/>
        <v/>
      </c>
      <c r="AI4129" s="17" t="str">
        <f>IF(AG4129="","",INDEX('quitado Despesa'!$G$1:$G$12,AG4129))</f>
        <v/>
      </c>
      <c r="AJ4129" s="17" t="str">
        <f t="shared" si="3"/>
        <v/>
      </c>
    </row>
    <row r="4130" spans="31:36">
      <c r="AE4130" s="15" t="str">
        <f t="shared" si="0"/>
        <v/>
      </c>
      <c r="AF4130" s="15" t="str">
        <f t="shared" si="1"/>
        <v/>
      </c>
      <c r="AG4130" s="15" t="str">
        <f>IF(OR(AF4130="",AF4130="ERRO_CHAVE"),"",IFERROR(MATCH(AF4130,'quitado Despesa'!$V$1:$V$12,0),""))</f>
        <v/>
      </c>
      <c r="AH4130" s="15" t="str">
        <f t="shared" si="2"/>
        <v/>
      </c>
      <c r="AI4130" s="17" t="str">
        <f>IF(AG4130="","",INDEX('quitado Despesa'!$G$1:$G$12,AG4130))</f>
        <v/>
      </c>
      <c r="AJ4130" s="17" t="str">
        <f t="shared" si="3"/>
        <v/>
      </c>
    </row>
    <row r="4131" spans="31:36">
      <c r="AE4131" s="15" t="str">
        <f t="shared" si="0"/>
        <v/>
      </c>
      <c r="AF4131" s="15" t="str">
        <f t="shared" si="1"/>
        <v/>
      </c>
      <c r="AG4131" s="15" t="str">
        <f>IF(OR(AF4131="",AF4131="ERRO_CHAVE"),"",IFERROR(MATCH(AF4131,'quitado Despesa'!$V$1:$V$12,0),""))</f>
        <v/>
      </c>
      <c r="AH4131" s="15" t="str">
        <f t="shared" si="2"/>
        <v/>
      </c>
      <c r="AI4131" s="17" t="str">
        <f>IF(AG4131="","",INDEX('quitado Despesa'!$G$1:$G$12,AG4131))</f>
        <v/>
      </c>
      <c r="AJ4131" s="17" t="str">
        <f t="shared" si="3"/>
        <v/>
      </c>
    </row>
    <row r="4132" spans="31:36">
      <c r="AE4132" s="15" t="str">
        <f t="shared" si="0"/>
        <v/>
      </c>
      <c r="AF4132" s="15" t="str">
        <f t="shared" si="1"/>
        <v/>
      </c>
      <c r="AG4132" s="15" t="str">
        <f>IF(OR(AF4132="",AF4132="ERRO_CHAVE"),"",IFERROR(MATCH(AF4132,'quitado Despesa'!$V$1:$V$12,0),""))</f>
        <v/>
      </c>
      <c r="AH4132" s="15" t="str">
        <f t="shared" si="2"/>
        <v/>
      </c>
      <c r="AI4132" s="17" t="str">
        <f>IF(AG4132="","",INDEX('quitado Despesa'!$G$1:$G$12,AG4132))</f>
        <v/>
      </c>
      <c r="AJ4132" s="17" t="str">
        <f t="shared" si="3"/>
        <v/>
      </c>
    </row>
    <row r="4133" spans="31:36">
      <c r="AE4133" s="15" t="str">
        <f t="shared" si="0"/>
        <v/>
      </c>
      <c r="AF4133" s="15" t="str">
        <f t="shared" si="1"/>
        <v/>
      </c>
      <c r="AG4133" s="15" t="str">
        <f>IF(OR(AF4133="",AF4133="ERRO_CHAVE"),"",IFERROR(MATCH(AF4133,'quitado Despesa'!$V$1:$V$12,0),""))</f>
        <v/>
      </c>
      <c r="AH4133" s="15" t="str">
        <f t="shared" si="2"/>
        <v/>
      </c>
      <c r="AI4133" s="17" t="str">
        <f>IF(AG4133="","",INDEX('quitado Despesa'!$G$1:$G$12,AG4133))</f>
        <v/>
      </c>
      <c r="AJ4133" s="17" t="str">
        <f t="shared" si="3"/>
        <v/>
      </c>
    </row>
    <row r="4134" spans="31:36">
      <c r="AE4134" s="15" t="str">
        <f t="shared" si="0"/>
        <v/>
      </c>
      <c r="AF4134" s="15" t="str">
        <f t="shared" si="1"/>
        <v/>
      </c>
      <c r="AG4134" s="15" t="str">
        <f>IF(OR(AF4134="",AF4134="ERRO_CHAVE"),"",IFERROR(MATCH(AF4134,'quitado Despesa'!$V$1:$V$12,0),""))</f>
        <v/>
      </c>
      <c r="AH4134" s="15" t="str">
        <f t="shared" si="2"/>
        <v/>
      </c>
      <c r="AI4134" s="17" t="str">
        <f>IF(AG4134="","",INDEX('quitado Despesa'!$G$1:$G$12,AG4134))</f>
        <v/>
      </c>
      <c r="AJ4134" s="17" t="str">
        <f t="shared" si="3"/>
        <v/>
      </c>
    </row>
    <row r="4135" spans="31:36">
      <c r="AE4135" s="15" t="str">
        <f t="shared" si="0"/>
        <v/>
      </c>
      <c r="AF4135" s="15" t="str">
        <f t="shared" si="1"/>
        <v/>
      </c>
      <c r="AG4135" s="15" t="str">
        <f>IF(OR(AF4135="",AF4135="ERRO_CHAVE"),"",IFERROR(MATCH(AF4135,'quitado Despesa'!$V$1:$V$12,0),""))</f>
        <v/>
      </c>
      <c r="AH4135" s="15" t="str">
        <f t="shared" si="2"/>
        <v/>
      </c>
      <c r="AI4135" s="17" t="str">
        <f>IF(AG4135="","",INDEX('quitado Despesa'!$G$1:$G$12,AG4135))</f>
        <v/>
      </c>
      <c r="AJ4135" s="17" t="str">
        <f t="shared" si="3"/>
        <v/>
      </c>
    </row>
    <row r="4136" spans="31:36">
      <c r="AE4136" s="15" t="str">
        <f t="shared" si="0"/>
        <v/>
      </c>
      <c r="AF4136" s="15" t="str">
        <f t="shared" si="1"/>
        <v/>
      </c>
      <c r="AG4136" s="15" t="str">
        <f>IF(OR(AF4136="",AF4136="ERRO_CHAVE"),"",IFERROR(MATCH(AF4136,'quitado Despesa'!$V$1:$V$12,0),""))</f>
        <v/>
      </c>
      <c r="AH4136" s="15" t="str">
        <f t="shared" si="2"/>
        <v/>
      </c>
      <c r="AI4136" s="17" t="str">
        <f>IF(AG4136="","",INDEX('quitado Despesa'!$G$1:$G$12,AG4136))</f>
        <v/>
      </c>
      <c r="AJ4136" s="17" t="str">
        <f t="shared" si="3"/>
        <v/>
      </c>
    </row>
    <row r="4137" spans="31:36">
      <c r="AE4137" s="15" t="str">
        <f t="shared" si="0"/>
        <v/>
      </c>
      <c r="AF4137" s="15" t="str">
        <f t="shared" si="1"/>
        <v/>
      </c>
      <c r="AG4137" s="15" t="str">
        <f>IF(OR(AF4137="",AF4137="ERRO_CHAVE"),"",IFERROR(MATCH(AF4137,'quitado Despesa'!$V$1:$V$12,0),""))</f>
        <v/>
      </c>
      <c r="AH4137" s="15" t="str">
        <f t="shared" si="2"/>
        <v/>
      </c>
      <c r="AI4137" s="17" t="str">
        <f>IF(AG4137="","",INDEX('quitado Despesa'!$G$1:$G$12,AG4137))</f>
        <v/>
      </c>
      <c r="AJ4137" s="17" t="str">
        <f t="shared" si="3"/>
        <v/>
      </c>
    </row>
    <row r="4138" spans="31:36">
      <c r="AE4138" s="15" t="str">
        <f t="shared" si="0"/>
        <v/>
      </c>
      <c r="AF4138" s="15" t="str">
        <f t="shared" si="1"/>
        <v/>
      </c>
      <c r="AG4138" s="15" t="str">
        <f>IF(OR(AF4138="",AF4138="ERRO_CHAVE"),"",IFERROR(MATCH(AF4138,'quitado Despesa'!$V$1:$V$12,0),""))</f>
        <v/>
      </c>
      <c r="AH4138" s="15" t="str">
        <f t="shared" si="2"/>
        <v/>
      </c>
      <c r="AI4138" s="17" t="str">
        <f>IF(AG4138="","",INDEX('quitado Despesa'!$G$1:$G$12,AG4138))</f>
        <v/>
      </c>
      <c r="AJ4138" s="17" t="str">
        <f t="shared" si="3"/>
        <v/>
      </c>
    </row>
    <row r="4139" spans="31:36">
      <c r="AE4139" s="15" t="str">
        <f t="shared" si="0"/>
        <v/>
      </c>
      <c r="AF4139" s="15" t="str">
        <f t="shared" si="1"/>
        <v/>
      </c>
      <c r="AG4139" s="15" t="str">
        <f>IF(OR(AF4139="",AF4139="ERRO_CHAVE"),"",IFERROR(MATCH(AF4139,'quitado Despesa'!$V$1:$V$12,0),""))</f>
        <v/>
      </c>
      <c r="AH4139" s="15" t="str">
        <f t="shared" si="2"/>
        <v/>
      </c>
      <c r="AI4139" s="17" t="str">
        <f>IF(AG4139="","",INDEX('quitado Despesa'!$G$1:$G$12,AG4139))</f>
        <v/>
      </c>
      <c r="AJ4139" s="17" t="str">
        <f t="shared" si="3"/>
        <v/>
      </c>
    </row>
    <row r="4140" spans="31:36">
      <c r="AE4140" s="15" t="str">
        <f t="shared" si="0"/>
        <v/>
      </c>
      <c r="AF4140" s="15" t="str">
        <f t="shared" si="1"/>
        <v/>
      </c>
      <c r="AG4140" s="15" t="str">
        <f>IF(OR(AF4140="",AF4140="ERRO_CHAVE"),"",IFERROR(MATCH(AF4140,'quitado Despesa'!$V$1:$V$12,0),""))</f>
        <v/>
      </c>
      <c r="AH4140" s="15" t="str">
        <f t="shared" si="2"/>
        <v/>
      </c>
      <c r="AI4140" s="17" t="str">
        <f>IF(AG4140="","",INDEX('quitado Despesa'!$G$1:$G$12,AG4140))</f>
        <v/>
      </c>
      <c r="AJ4140" s="17" t="str">
        <f t="shared" si="3"/>
        <v/>
      </c>
    </row>
    <row r="4141" spans="31:36">
      <c r="AE4141" s="15" t="str">
        <f t="shared" si="0"/>
        <v/>
      </c>
      <c r="AF4141" s="15" t="str">
        <f t="shared" si="1"/>
        <v/>
      </c>
      <c r="AG4141" s="15" t="str">
        <f>IF(OR(AF4141="",AF4141="ERRO_CHAVE"),"",IFERROR(MATCH(AF4141,'quitado Despesa'!$V$1:$V$12,0),""))</f>
        <v/>
      </c>
      <c r="AH4141" s="15" t="str">
        <f t="shared" si="2"/>
        <v/>
      </c>
      <c r="AI4141" s="17" t="str">
        <f>IF(AG4141="","",INDEX('quitado Despesa'!$G$1:$G$12,AG4141))</f>
        <v/>
      </c>
      <c r="AJ4141" s="17" t="str">
        <f t="shared" si="3"/>
        <v/>
      </c>
    </row>
    <row r="4142" spans="31:36">
      <c r="AE4142" s="15" t="str">
        <f t="shared" si="0"/>
        <v/>
      </c>
      <c r="AF4142" s="15" t="str">
        <f t="shared" si="1"/>
        <v/>
      </c>
      <c r="AG4142" s="15" t="str">
        <f>IF(OR(AF4142="",AF4142="ERRO_CHAVE"),"",IFERROR(MATCH(AF4142,'quitado Despesa'!$V$1:$V$12,0),""))</f>
        <v/>
      </c>
      <c r="AH4142" s="15" t="str">
        <f t="shared" si="2"/>
        <v/>
      </c>
      <c r="AI4142" s="17" t="str">
        <f>IF(AG4142="","",INDEX('quitado Despesa'!$G$1:$G$12,AG4142))</f>
        <v/>
      </c>
      <c r="AJ4142" s="17" t="str">
        <f t="shared" si="3"/>
        <v/>
      </c>
    </row>
    <row r="4143" spans="31:36">
      <c r="AE4143" s="15" t="str">
        <f t="shared" si="0"/>
        <v/>
      </c>
      <c r="AF4143" s="15" t="str">
        <f t="shared" si="1"/>
        <v/>
      </c>
      <c r="AG4143" s="15" t="str">
        <f>IF(OR(AF4143="",AF4143="ERRO_CHAVE"),"",IFERROR(MATCH(AF4143,'quitado Despesa'!$V$1:$V$12,0),""))</f>
        <v/>
      </c>
      <c r="AH4143" s="15" t="str">
        <f t="shared" si="2"/>
        <v/>
      </c>
      <c r="AI4143" s="17" t="str">
        <f>IF(AG4143="","",INDEX('quitado Despesa'!$G$1:$G$12,AG4143))</f>
        <v/>
      </c>
      <c r="AJ4143" s="17" t="str">
        <f t="shared" si="3"/>
        <v/>
      </c>
    </row>
    <row r="4144" spans="31:36">
      <c r="AE4144" s="15" t="str">
        <f t="shared" si="0"/>
        <v/>
      </c>
      <c r="AF4144" s="15" t="str">
        <f t="shared" si="1"/>
        <v/>
      </c>
      <c r="AG4144" s="15" t="str">
        <f>IF(OR(AF4144="",AF4144="ERRO_CHAVE"),"",IFERROR(MATCH(AF4144,'quitado Despesa'!$V$1:$V$12,0),""))</f>
        <v/>
      </c>
      <c r="AH4144" s="15" t="str">
        <f t="shared" si="2"/>
        <v/>
      </c>
      <c r="AI4144" s="17" t="str">
        <f>IF(AG4144="","",INDEX('quitado Despesa'!$G$1:$G$12,AG4144))</f>
        <v/>
      </c>
      <c r="AJ4144" s="17" t="str">
        <f t="shared" si="3"/>
        <v/>
      </c>
    </row>
    <row r="4145" spans="31:36">
      <c r="AE4145" s="15" t="str">
        <f t="shared" si="0"/>
        <v/>
      </c>
      <c r="AF4145" s="15" t="str">
        <f t="shared" si="1"/>
        <v/>
      </c>
      <c r="AG4145" s="15" t="str">
        <f>IF(OR(AF4145="",AF4145="ERRO_CHAVE"),"",IFERROR(MATCH(AF4145,'quitado Despesa'!$V$1:$V$12,0),""))</f>
        <v/>
      </c>
      <c r="AH4145" s="15" t="str">
        <f t="shared" si="2"/>
        <v/>
      </c>
      <c r="AI4145" s="17" t="str">
        <f>IF(AG4145="","",INDEX('quitado Despesa'!$G$1:$G$12,AG4145))</f>
        <v/>
      </c>
      <c r="AJ4145" s="17" t="str">
        <f t="shared" si="3"/>
        <v/>
      </c>
    </row>
    <row r="4146" spans="31:36">
      <c r="AE4146" s="15" t="str">
        <f t="shared" si="0"/>
        <v/>
      </c>
      <c r="AF4146" s="15" t="str">
        <f t="shared" si="1"/>
        <v/>
      </c>
      <c r="AG4146" s="15" t="str">
        <f>IF(OR(AF4146="",AF4146="ERRO_CHAVE"),"",IFERROR(MATCH(AF4146,'quitado Despesa'!$V$1:$V$12,0),""))</f>
        <v/>
      </c>
      <c r="AH4146" s="15" t="str">
        <f t="shared" si="2"/>
        <v/>
      </c>
      <c r="AI4146" s="17" t="str">
        <f>IF(AG4146="","",INDEX('quitado Despesa'!$G$1:$G$12,AG4146))</f>
        <v/>
      </c>
      <c r="AJ4146" s="17" t="str">
        <f t="shared" si="3"/>
        <v/>
      </c>
    </row>
    <row r="4147" spans="31:36">
      <c r="AE4147" s="15" t="str">
        <f t="shared" si="0"/>
        <v/>
      </c>
      <c r="AF4147" s="15" t="str">
        <f t="shared" si="1"/>
        <v/>
      </c>
      <c r="AG4147" s="15" t="str">
        <f>IF(OR(AF4147="",AF4147="ERRO_CHAVE"),"",IFERROR(MATCH(AF4147,'quitado Despesa'!$V$1:$V$12,0),""))</f>
        <v/>
      </c>
      <c r="AH4147" s="15" t="str">
        <f t="shared" si="2"/>
        <v/>
      </c>
      <c r="AI4147" s="17" t="str">
        <f>IF(AG4147="","",INDEX('quitado Despesa'!$G$1:$G$12,AG4147))</f>
        <v/>
      </c>
      <c r="AJ4147" s="17" t="str">
        <f t="shared" si="3"/>
        <v/>
      </c>
    </row>
    <row r="4148" spans="31:36">
      <c r="AE4148" s="15" t="str">
        <f t="shared" si="0"/>
        <v/>
      </c>
      <c r="AF4148" s="15" t="str">
        <f t="shared" si="1"/>
        <v/>
      </c>
      <c r="AG4148" s="15" t="str">
        <f>IF(OR(AF4148="",AF4148="ERRO_CHAVE"),"",IFERROR(MATCH(AF4148,'quitado Despesa'!$V$1:$V$12,0),""))</f>
        <v/>
      </c>
      <c r="AH4148" s="15" t="str">
        <f t="shared" si="2"/>
        <v/>
      </c>
      <c r="AI4148" s="17" t="str">
        <f>IF(AG4148="","",INDEX('quitado Despesa'!$G$1:$G$12,AG4148))</f>
        <v/>
      </c>
      <c r="AJ4148" s="17" t="str">
        <f t="shared" si="3"/>
        <v/>
      </c>
    </row>
    <row r="4149" spans="31:36">
      <c r="AE4149" s="15" t="str">
        <f t="shared" si="0"/>
        <v/>
      </c>
      <c r="AF4149" s="15" t="str">
        <f t="shared" si="1"/>
        <v/>
      </c>
      <c r="AG4149" s="15" t="str">
        <f>IF(OR(AF4149="",AF4149="ERRO_CHAVE"),"",IFERROR(MATCH(AF4149,'quitado Despesa'!$V$1:$V$12,0),""))</f>
        <v/>
      </c>
      <c r="AH4149" s="15" t="str">
        <f t="shared" si="2"/>
        <v/>
      </c>
      <c r="AI4149" s="17" t="str">
        <f>IF(AG4149="","",INDEX('quitado Despesa'!$G$1:$G$12,AG4149))</f>
        <v/>
      </c>
      <c r="AJ4149" s="17" t="str">
        <f t="shared" si="3"/>
        <v/>
      </c>
    </row>
    <row r="4150" spans="31:36">
      <c r="AE4150" s="15" t="str">
        <f t="shared" si="0"/>
        <v/>
      </c>
      <c r="AF4150" s="15" t="str">
        <f t="shared" si="1"/>
        <v/>
      </c>
      <c r="AG4150" s="15" t="str">
        <f>IF(OR(AF4150="",AF4150="ERRO_CHAVE"),"",IFERROR(MATCH(AF4150,'quitado Despesa'!$V$1:$V$12,0),""))</f>
        <v/>
      </c>
      <c r="AH4150" s="15" t="str">
        <f t="shared" si="2"/>
        <v/>
      </c>
      <c r="AI4150" s="17" t="str">
        <f>IF(AG4150="","",INDEX('quitado Despesa'!$G$1:$G$12,AG4150))</f>
        <v/>
      </c>
      <c r="AJ4150" s="17" t="str">
        <f t="shared" si="3"/>
        <v/>
      </c>
    </row>
    <row r="4151" spans="31:36">
      <c r="AE4151" s="15" t="str">
        <f t="shared" si="0"/>
        <v/>
      </c>
      <c r="AF4151" s="15" t="str">
        <f t="shared" si="1"/>
        <v/>
      </c>
      <c r="AG4151" s="15" t="str">
        <f>IF(OR(AF4151="",AF4151="ERRO_CHAVE"),"",IFERROR(MATCH(AF4151,'quitado Despesa'!$V$1:$V$12,0),""))</f>
        <v/>
      </c>
      <c r="AH4151" s="15" t="str">
        <f t="shared" si="2"/>
        <v/>
      </c>
      <c r="AI4151" s="17" t="str">
        <f>IF(AG4151="","",INDEX('quitado Despesa'!$G$1:$G$12,AG4151))</f>
        <v/>
      </c>
      <c r="AJ4151" s="17" t="str">
        <f t="shared" si="3"/>
        <v/>
      </c>
    </row>
    <row r="4152" spans="31:36">
      <c r="AE4152" s="15" t="str">
        <f t="shared" si="0"/>
        <v/>
      </c>
      <c r="AF4152" s="15" t="str">
        <f t="shared" si="1"/>
        <v/>
      </c>
      <c r="AG4152" s="15" t="str">
        <f>IF(OR(AF4152="",AF4152="ERRO_CHAVE"),"",IFERROR(MATCH(AF4152,'quitado Despesa'!$V$1:$V$12,0),""))</f>
        <v/>
      </c>
      <c r="AH4152" s="15" t="str">
        <f t="shared" si="2"/>
        <v/>
      </c>
      <c r="AI4152" s="17" t="str">
        <f>IF(AG4152="","",INDEX('quitado Despesa'!$G$1:$G$12,AG4152))</f>
        <v/>
      </c>
      <c r="AJ4152" s="17" t="str">
        <f t="shared" si="3"/>
        <v/>
      </c>
    </row>
    <row r="4153" spans="31:36">
      <c r="AE4153" s="15" t="str">
        <f t="shared" si="0"/>
        <v/>
      </c>
      <c r="AF4153" s="15" t="str">
        <f t="shared" si="1"/>
        <v/>
      </c>
      <c r="AG4153" s="15" t="str">
        <f>IF(OR(AF4153="",AF4153="ERRO_CHAVE"),"",IFERROR(MATCH(AF4153,'quitado Despesa'!$V$1:$V$12,0),""))</f>
        <v/>
      </c>
      <c r="AH4153" s="15" t="str">
        <f t="shared" si="2"/>
        <v/>
      </c>
      <c r="AI4153" s="17" t="str">
        <f>IF(AG4153="","",INDEX('quitado Despesa'!$G$1:$G$12,AG4153))</f>
        <v/>
      </c>
      <c r="AJ4153" s="17" t="str">
        <f t="shared" si="3"/>
        <v/>
      </c>
    </row>
    <row r="4154" spans="31:36">
      <c r="AE4154" s="15" t="str">
        <f t="shared" si="0"/>
        <v/>
      </c>
      <c r="AF4154" s="15" t="str">
        <f t="shared" si="1"/>
        <v/>
      </c>
      <c r="AG4154" s="15" t="str">
        <f>IF(OR(AF4154="",AF4154="ERRO_CHAVE"),"",IFERROR(MATCH(AF4154,'quitado Despesa'!$V$1:$V$12,0),""))</f>
        <v/>
      </c>
      <c r="AH4154" s="15" t="str">
        <f t="shared" si="2"/>
        <v/>
      </c>
      <c r="AI4154" s="17" t="str">
        <f>IF(AG4154="","",INDEX('quitado Despesa'!$G$1:$G$12,AG4154))</f>
        <v/>
      </c>
      <c r="AJ4154" s="17" t="str">
        <f t="shared" si="3"/>
        <v/>
      </c>
    </row>
    <row r="4155" spans="31:36">
      <c r="AE4155" s="15" t="str">
        <f t="shared" si="0"/>
        <v/>
      </c>
      <c r="AF4155" s="15" t="str">
        <f t="shared" si="1"/>
        <v/>
      </c>
      <c r="AG4155" s="15" t="str">
        <f>IF(OR(AF4155="",AF4155="ERRO_CHAVE"),"",IFERROR(MATCH(AF4155,'quitado Despesa'!$V$1:$V$12,0),""))</f>
        <v/>
      </c>
      <c r="AH4155" s="15" t="str">
        <f t="shared" si="2"/>
        <v/>
      </c>
      <c r="AI4155" s="17" t="str">
        <f>IF(AG4155="","",INDEX('quitado Despesa'!$G$1:$G$12,AG4155))</f>
        <v/>
      </c>
      <c r="AJ4155" s="17" t="str">
        <f t="shared" si="3"/>
        <v/>
      </c>
    </row>
    <row r="4156" spans="31:36">
      <c r="AE4156" s="15" t="str">
        <f t="shared" si="0"/>
        <v/>
      </c>
      <c r="AF4156" s="15" t="str">
        <f t="shared" si="1"/>
        <v/>
      </c>
      <c r="AG4156" s="15" t="str">
        <f>IF(OR(AF4156="",AF4156="ERRO_CHAVE"),"",IFERROR(MATCH(AF4156,'quitado Despesa'!$V$1:$V$12,0),""))</f>
        <v/>
      </c>
      <c r="AH4156" s="15" t="str">
        <f t="shared" si="2"/>
        <v/>
      </c>
      <c r="AI4156" s="17" t="str">
        <f>IF(AG4156="","",INDEX('quitado Despesa'!$G$1:$G$12,AG4156))</f>
        <v/>
      </c>
      <c r="AJ4156" s="17" t="str">
        <f t="shared" si="3"/>
        <v/>
      </c>
    </row>
    <row r="4157" spans="31:36">
      <c r="AE4157" s="15" t="str">
        <f t="shared" si="0"/>
        <v/>
      </c>
      <c r="AF4157" s="15" t="str">
        <f t="shared" si="1"/>
        <v/>
      </c>
      <c r="AG4157" s="15" t="str">
        <f>IF(OR(AF4157="",AF4157="ERRO_CHAVE"),"",IFERROR(MATCH(AF4157,'quitado Despesa'!$V$1:$V$12,0),""))</f>
        <v/>
      </c>
      <c r="AH4157" s="15" t="str">
        <f t="shared" si="2"/>
        <v/>
      </c>
      <c r="AI4157" s="17" t="str">
        <f>IF(AG4157="","",INDEX('quitado Despesa'!$G$1:$G$12,AG4157))</f>
        <v/>
      </c>
      <c r="AJ4157" s="17" t="str">
        <f t="shared" si="3"/>
        <v/>
      </c>
    </row>
    <row r="4158" spans="31:36">
      <c r="AE4158" s="15" t="str">
        <f t="shared" si="0"/>
        <v/>
      </c>
      <c r="AF4158" s="15" t="str">
        <f t="shared" si="1"/>
        <v/>
      </c>
      <c r="AG4158" s="15" t="str">
        <f>IF(OR(AF4158="",AF4158="ERRO_CHAVE"),"",IFERROR(MATCH(AF4158,'quitado Despesa'!$V$1:$V$12,0),""))</f>
        <v/>
      </c>
      <c r="AH4158" s="15" t="str">
        <f t="shared" si="2"/>
        <v/>
      </c>
      <c r="AI4158" s="17" t="str">
        <f>IF(AG4158="","",INDEX('quitado Despesa'!$G$1:$G$12,AG4158))</f>
        <v/>
      </c>
      <c r="AJ4158" s="17" t="str">
        <f t="shared" si="3"/>
        <v/>
      </c>
    </row>
    <row r="4159" spans="31:36">
      <c r="AE4159" s="15" t="str">
        <f t="shared" si="0"/>
        <v/>
      </c>
      <c r="AF4159" s="15" t="str">
        <f t="shared" si="1"/>
        <v/>
      </c>
      <c r="AG4159" s="15" t="str">
        <f>IF(OR(AF4159="",AF4159="ERRO_CHAVE"),"",IFERROR(MATCH(AF4159,'quitado Despesa'!$V$1:$V$12,0),""))</f>
        <v/>
      </c>
      <c r="AH4159" s="15" t="str">
        <f t="shared" si="2"/>
        <v/>
      </c>
      <c r="AI4159" s="17" t="str">
        <f>IF(AG4159="","",INDEX('quitado Despesa'!$G$1:$G$12,AG4159))</f>
        <v/>
      </c>
      <c r="AJ4159" s="17" t="str">
        <f t="shared" si="3"/>
        <v/>
      </c>
    </row>
    <row r="4160" spans="31:36">
      <c r="AE4160" s="15" t="str">
        <f t="shared" si="0"/>
        <v/>
      </c>
      <c r="AF4160" s="15" t="str">
        <f t="shared" si="1"/>
        <v/>
      </c>
      <c r="AG4160" s="15" t="str">
        <f>IF(OR(AF4160="",AF4160="ERRO_CHAVE"),"",IFERROR(MATCH(AF4160,'quitado Despesa'!$V$1:$V$12,0),""))</f>
        <v/>
      </c>
      <c r="AH4160" s="15" t="str">
        <f t="shared" si="2"/>
        <v/>
      </c>
      <c r="AI4160" s="17" t="str">
        <f>IF(AG4160="","",INDEX('quitado Despesa'!$G$1:$G$12,AG4160))</f>
        <v/>
      </c>
      <c r="AJ4160" s="17" t="str">
        <f t="shared" si="3"/>
        <v/>
      </c>
    </row>
    <row r="4161" spans="31:36">
      <c r="AE4161" s="15" t="str">
        <f t="shared" si="0"/>
        <v/>
      </c>
      <c r="AF4161" s="15" t="str">
        <f t="shared" si="1"/>
        <v/>
      </c>
      <c r="AG4161" s="15" t="str">
        <f>IF(OR(AF4161="",AF4161="ERRO_CHAVE"),"",IFERROR(MATCH(AF4161,'quitado Despesa'!$V$1:$V$12,0),""))</f>
        <v/>
      </c>
      <c r="AH4161" s="15" t="str">
        <f t="shared" si="2"/>
        <v/>
      </c>
      <c r="AI4161" s="17" t="str">
        <f>IF(AG4161="","",INDEX('quitado Despesa'!$G$1:$G$12,AG4161))</f>
        <v/>
      </c>
      <c r="AJ4161" s="17" t="str">
        <f t="shared" si="3"/>
        <v/>
      </c>
    </row>
    <row r="4162" spans="31:36">
      <c r="AE4162" s="15" t="str">
        <f t="shared" si="0"/>
        <v/>
      </c>
      <c r="AF4162" s="15" t="str">
        <f t="shared" si="1"/>
        <v/>
      </c>
      <c r="AG4162" s="15" t="str">
        <f>IF(OR(AF4162="",AF4162="ERRO_CHAVE"),"",IFERROR(MATCH(AF4162,'quitado Despesa'!$V$1:$V$12,0),""))</f>
        <v/>
      </c>
      <c r="AH4162" s="15" t="str">
        <f t="shared" si="2"/>
        <v/>
      </c>
      <c r="AI4162" s="17" t="str">
        <f>IF(AG4162="","",INDEX('quitado Despesa'!$G$1:$G$12,AG4162))</f>
        <v/>
      </c>
      <c r="AJ4162" s="17" t="str">
        <f t="shared" si="3"/>
        <v/>
      </c>
    </row>
    <row r="4163" spans="31:36">
      <c r="AE4163" s="15" t="str">
        <f t="shared" si="0"/>
        <v/>
      </c>
      <c r="AF4163" s="15" t="str">
        <f t="shared" si="1"/>
        <v/>
      </c>
      <c r="AG4163" s="15" t="str">
        <f>IF(OR(AF4163="",AF4163="ERRO_CHAVE"),"",IFERROR(MATCH(AF4163,'quitado Despesa'!$V$1:$V$12,0),""))</f>
        <v/>
      </c>
      <c r="AH4163" s="15" t="str">
        <f t="shared" si="2"/>
        <v/>
      </c>
      <c r="AI4163" s="17" t="str">
        <f>IF(AG4163="","",INDEX('quitado Despesa'!$G$1:$G$12,AG4163))</f>
        <v/>
      </c>
      <c r="AJ4163" s="17" t="str">
        <f t="shared" si="3"/>
        <v/>
      </c>
    </row>
    <row r="4164" spans="31:36">
      <c r="AE4164" s="15" t="str">
        <f t="shared" si="0"/>
        <v/>
      </c>
      <c r="AF4164" s="15" t="str">
        <f t="shared" si="1"/>
        <v/>
      </c>
      <c r="AG4164" s="15" t="str">
        <f>IF(OR(AF4164="",AF4164="ERRO_CHAVE"),"",IFERROR(MATCH(AF4164,'quitado Despesa'!$V$1:$V$12,0),""))</f>
        <v/>
      </c>
      <c r="AH4164" s="15" t="str">
        <f t="shared" si="2"/>
        <v/>
      </c>
      <c r="AI4164" s="17" t="str">
        <f>IF(AG4164="","",INDEX('quitado Despesa'!$G$1:$G$12,AG4164))</f>
        <v/>
      </c>
      <c r="AJ4164" s="17" t="str">
        <f t="shared" si="3"/>
        <v/>
      </c>
    </row>
    <row r="4165" spans="31:36">
      <c r="AE4165" s="15" t="str">
        <f t="shared" si="0"/>
        <v/>
      </c>
      <c r="AF4165" s="15" t="str">
        <f t="shared" si="1"/>
        <v/>
      </c>
      <c r="AG4165" s="15" t="str">
        <f>IF(OR(AF4165="",AF4165="ERRO_CHAVE"),"",IFERROR(MATCH(AF4165,'quitado Despesa'!$V$1:$V$12,0),""))</f>
        <v/>
      </c>
      <c r="AH4165" s="15" t="str">
        <f t="shared" si="2"/>
        <v/>
      </c>
      <c r="AI4165" s="17" t="str">
        <f>IF(AG4165="","",INDEX('quitado Despesa'!$G$1:$G$12,AG4165))</f>
        <v/>
      </c>
      <c r="AJ4165" s="17" t="str">
        <f t="shared" si="3"/>
        <v/>
      </c>
    </row>
    <row r="4166" spans="31:36">
      <c r="AE4166" s="15" t="str">
        <f t="shared" si="0"/>
        <v/>
      </c>
      <c r="AF4166" s="15" t="str">
        <f t="shared" si="1"/>
        <v/>
      </c>
      <c r="AG4166" s="15" t="str">
        <f>IF(OR(AF4166="",AF4166="ERRO_CHAVE"),"",IFERROR(MATCH(AF4166,'quitado Despesa'!$V$1:$V$12,0),""))</f>
        <v/>
      </c>
      <c r="AH4166" s="15" t="str">
        <f t="shared" si="2"/>
        <v/>
      </c>
      <c r="AI4166" s="17" t="str">
        <f>IF(AG4166="","",INDEX('quitado Despesa'!$G$1:$G$12,AG4166))</f>
        <v/>
      </c>
      <c r="AJ4166" s="17" t="str">
        <f t="shared" si="3"/>
        <v/>
      </c>
    </row>
    <row r="4167" spans="31:36">
      <c r="AE4167" s="15" t="str">
        <f t="shared" si="0"/>
        <v/>
      </c>
      <c r="AF4167" s="15" t="str">
        <f t="shared" si="1"/>
        <v/>
      </c>
      <c r="AG4167" s="15" t="str">
        <f>IF(OR(AF4167="",AF4167="ERRO_CHAVE"),"",IFERROR(MATCH(AF4167,'quitado Despesa'!$V$1:$V$12,0),""))</f>
        <v/>
      </c>
      <c r="AH4167" s="15" t="str">
        <f t="shared" si="2"/>
        <v/>
      </c>
      <c r="AI4167" s="17" t="str">
        <f>IF(AG4167="","",INDEX('quitado Despesa'!$G$1:$G$12,AG4167))</f>
        <v/>
      </c>
      <c r="AJ4167" s="17" t="str">
        <f t="shared" si="3"/>
        <v/>
      </c>
    </row>
    <row r="4168" spans="31:36">
      <c r="AE4168" s="15" t="str">
        <f t="shared" si="0"/>
        <v/>
      </c>
      <c r="AF4168" s="15" t="str">
        <f t="shared" si="1"/>
        <v/>
      </c>
      <c r="AG4168" s="15" t="str">
        <f>IF(OR(AF4168="",AF4168="ERRO_CHAVE"),"",IFERROR(MATCH(AF4168,'quitado Despesa'!$V$1:$V$12,0),""))</f>
        <v/>
      </c>
      <c r="AH4168" s="15" t="str">
        <f t="shared" si="2"/>
        <v/>
      </c>
      <c r="AI4168" s="17" t="str">
        <f>IF(AG4168="","",INDEX('quitado Despesa'!$G$1:$G$12,AG4168))</f>
        <v/>
      </c>
      <c r="AJ4168" s="17" t="str">
        <f t="shared" si="3"/>
        <v/>
      </c>
    </row>
    <row r="4169" spans="31:36">
      <c r="AE4169" s="15" t="str">
        <f t="shared" si="0"/>
        <v/>
      </c>
      <c r="AF4169" s="15" t="str">
        <f t="shared" si="1"/>
        <v/>
      </c>
      <c r="AG4169" s="15" t="str">
        <f>IF(OR(AF4169="",AF4169="ERRO_CHAVE"),"",IFERROR(MATCH(AF4169,'quitado Despesa'!$V$1:$V$12,0),""))</f>
        <v/>
      </c>
      <c r="AH4169" s="15" t="str">
        <f t="shared" si="2"/>
        <v/>
      </c>
      <c r="AI4169" s="17" t="str">
        <f>IF(AG4169="","",INDEX('quitado Despesa'!$G$1:$G$12,AG4169))</f>
        <v/>
      </c>
      <c r="AJ4169" s="17" t="str">
        <f t="shared" si="3"/>
        <v/>
      </c>
    </row>
    <row r="4170" spans="31:36">
      <c r="AE4170" s="15" t="str">
        <f t="shared" si="0"/>
        <v/>
      </c>
      <c r="AF4170" s="15" t="str">
        <f t="shared" si="1"/>
        <v/>
      </c>
      <c r="AG4170" s="15" t="str">
        <f>IF(OR(AF4170="",AF4170="ERRO_CHAVE"),"",IFERROR(MATCH(AF4170,'quitado Despesa'!$V$1:$V$12,0),""))</f>
        <v/>
      </c>
      <c r="AH4170" s="15" t="str">
        <f t="shared" si="2"/>
        <v/>
      </c>
      <c r="AI4170" s="17" t="str">
        <f>IF(AG4170="","",INDEX('quitado Despesa'!$G$1:$G$12,AG4170))</f>
        <v/>
      </c>
      <c r="AJ4170" s="17" t="str">
        <f t="shared" si="3"/>
        <v/>
      </c>
    </row>
    <row r="4171" spans="31:36">
      <c r="AE4171" s="15" t="str">
        <f t="shared" si="0"/>
        <v/>
      </c>
      <c r="AF4171" s="15" t="str">
        <f t="shared" si="1"/>
        <v/>
      </c>
      <c r="AG4171" s="15" t="str">
        <f>IF(OR(AF4171="",AF4171="ERRO_CHAVE"),"",IFERROR(MATCH(AF4171,'quitado Despesa'!$V$1:$V$12,0),""))</f>
        <v/>
      </c>
      <c r="AH4171" s="15" t="str">
        <f t="shared" si="2"/>
        <v/>
      </c>
      <c r="AI4171" s="17" t="str">
        <f>IF(AG4171="","",INDEX('quitado Despesa'!$G$1:$G$12,AG4171))</f>
        <v/>
      </c>
      <c r="AJ4171" s="17" t="str">
        <f t="shared" si="3"/>
        <v/>
      </c>
    </row>
    <row r="4172" spans="31:36">
      <c r="AE4172" s="15" t="str">
        <f t="shared" si="0"/>
        <v/>
      </c>
      <c r="AF4172" s="15" t="str">
        <f t="shared" si="1"/>
        <v/>
      </c>
      <c r="AG4172" s="15" t="str">
        <f>IF(OR(AF4172="",AF4172="ERRO_CHAVE"),"",IFERROR(MATCH(AF4172,'quitado Despesa'!$V$1:$V$12,0),""))</f>
        <v/>
      </c>
      <c r="AH4172" s="15" t="str">
        <f t="shared" si="2"/>
        <v/>
      </c>
      <c r="AI4172" s="17" t="str">
        <f>IF(AG4172="","",INDEX('quitado Despesa'!$G$1:$G$12,AG4172))</f>
        <v/>
      </c>
      <c r="AJ4172" s="17" t="str">
        <f t="shared" si="3"/>
        <v/>
      </c>
    </row>
    <row r="4173" spans="31:36">
      <c r="AE4173" s="15" t="str">
        <f t="shared" si="0"/>
        <v/>
      </c>
      <c r="AF4173" s="15" t="str">
        <f t="shared" si="1"/>
        <v/>
      </c>
      <c r="AG4173" s="15" t="str">
        <f>IF(OR(AF4173="",AF4173="ERRO_CHAVE"),"",IFERROR(MATCH(AF4173,'quitado Despesa'!$V$1:$V$12,0),""))</f>
        <v/>
      </c>
      <c r="AH4173" s="15" t="str">
        <f t="shared" si="2"/>
        <v/>
      </c>
      <c r="AI4173" s="17" t="str">
        <f>IF(AG4173="","",INDEX('quitado Despesa'!$G$1:$G$12,AG4173))</f>
        <v/>
      </c>
      <c r="AJ4173" s="17" t="str">
        <f t="shared" si="3"/>
        <v/>
      </c>
    </row>
    <row r="4174" spans="31:36">
      <c r="AE4174" s="15" t="str">
        <f t="shared" si="0"/>
        <v/>
      </c>
      <c r="AF4174" s="15" t="str">
        <f t="shared" si="1"/>
        <v/>
      </c>
      <c r="AG4174" s="15" t="str">
        <f>IF(OR(AF4174="",AF4174="ERRO_CHAVE"),"",IFERROR(MATCH(AF4174,'quitado Despesa'!$V$1:$V$12,0),""))</f>
        <v/>
      </c>
      <c r="AH4174" s="15" t="str">
        <f t="shared" si="2"/>
        <v/>
      </c>
      <c r="AI4174" s="17" t="str">
        <f>IF(AG4174="","",INDEX('quitado Despesa'!$G$1:$G$12,AG4174))</f>
        <v/>
      </c>
      <c r="AJ4174" s="17" t="str">
        <f t="shared" si="3"/>
        <v/>
      </c>
    </row>
    <row r="4175" spans="31:36">
      <c r="AE4175" s="15" t="str">
        <f t="shared" si="0"/>
        <v/>
      </c>
      <c r="AF4175" s="15" t="str">
        <f t="shared" si="1"/>
        <v/>
      </c>
      <c r="AG4175" s="15" t="str">
        <f>IF(OR(AF4175="",AF4175="ERRO_CHAVE"),"",IFERROR(MATCH(AF4175,'quitado Despesa'!$V$1:$V$12,0),""))</f>
        <v/>
      </c>
      <c r="AH4175" s="15" t="str">
        <f t="shared" si="2"/>
        <v/>
      </c>
      <c r="AI4175" s="17" t="str">
        <f>IF(AG4175="","",INDEX('quitado Despesa'!$G$1:$G$12,AG4175))</f>
        <v/>
      </c>
      <c r="AJ4175" s="17" t="str">
        <f t="shared" si="3"/>
        <v/>
      </c>
    </row>
    <row r="4176" spans="31:36">
      <c r="AE4176" s="15" t="str">
        <f t="shared" si="0"/>
        <v/>
      </c>
      <c r="AF4176" s="15" t="str">
        <f t="shared" si="1"/>
        <v/>
      </c>
      <c r="AG4176" s="15" t="str">
        <f>IF(OR(AF4176="",AF4176="ERRO_CHAVE"),"",IFERROR(MATCH(AF4176,'quitado Despesa'!$V$1:$V$12,0),""))</f>
        <v/>
      </c>
      <c r="AH4176" s="15" t="str">
        <f t="shared" si="2"/>
        <v/>
      </c>
      <c r="AI4176" s="17" t="str">
        <f>IF(AG4176="","",INDEX('quitado Despesa'!$G$1:$G$12,AG4176))</f>
        <v/>
      </c>
      <c r="AJ4176" s="17" t="str">
        <f t="shared" si="3"/>
        <v/>
      </c>
    </row>
    <row r="4177" spans="31:36">
      <c r="AE4177" s="15" t="str">
        <f t="shared" si="0"/>
        <v/>
      </c>
      <c r="AF4177" s="15" t="str">
        <f t="shared" si="1"/>
        <v/>
      </c>
      <c r="AG4177" s="15" t="str">
        <f>IF(OR(AF4177="",AF4177="ERRO_CHAVE"),"",IFERROR(MATCH(AF4177,'quitado Despesa'!$V$1:$V$12,0),""))</f>
        <v/>
      </c>
      <c r="AH4177" s="15" t="str">
        <f t="shared" si="2"/>
        <v/>
      </c>
      <c r="AI4177" s="17" t="str">
        <f>IF(AG4177="","",INDEX('quitado Despesa'!$G$1:$G$12,AG4177))</f>
        <v/>
      </c>
      <c r="AJ4177" s="17" t="str">
        <f t="shared" si="3"/>
        <v/>
      </c>
    </row>
    <row r="4178" spans="31:36">
      <c r="AE4178" s="15" t="str">
        <f t="shared" si="0"/>
        <v/>
      </c>
      <c r="AF4178" s="15" t="str">
        <f t="shared" si="1"/>
        <v/>
      </c>
      <c r="AG4178" s="15" t="str">
        <f>IF(OR(AF4178="",AF4178="ERRO_CHAVE"),"",IFERROR(MATCH(AF4178,'quitado Despesa'!$V$1:$V$12,0),""))</f>
        <v/>
      </c>
      <c r="AH4178" s="15" t="str">
        <f t="shared" si="2"/>
        <v/>
      </c>
      <c r="AI4178" s="17" t="str">
        <f>IF(AG4178="","",INDEX('quitado Despesa'!$G$1:$G$12,AG4178))</f>
        <v/>
      </c>
      <c r="AJ4178" s="17" t="str">
        <f t="shared" si="3"/>
        <v/>
      </c>
    </row>
    <row r="4179" spans="31:36">
      <c r="AE4179" s="15" t="str">
        <f t="shared" si="0"/>
        <v/>
      </c>
      <c r="AF4179" s="15" t="str">
        <f t="shared" si="1"/>
        <v/>
      </c>
      <c r="AG4179" s="15" t="str">
        <f>IF(OR(AF4179="",AF4179="ERRO_CHAVE"),"",IFERROR(MATCH(AF4179,'quitado Despesa'!$V$1:$V$12,0),""))</f>
        <v/>
      </c>
      <c r="AH4179" s="15" t="str">
        <f t="shared" si="2"/>
        <v/>
      </c>
      <c r="AI4179" s="17" t="str">
        <f>IF(AG4179="","",INDEX('quitado Despesa'!$G$1:$G$12,AG4179))</f>
        <v/>
      </c>
      <c r="AJ4179" s="17" t="str">
        <f t="shared" si="3"/>
        <v/>
      </c>
    </row>
    <row r="4180" spans="31:36">
      <c r="AE4180" s="15" t="str">
        <f t="shared" si="0"/>
        <v/>
      </c>
      <c r="AF4180" s="15" t="str">
        <f t="shared" si="1"/>
        <v/>
      </c>
      <c r="AG4180" s="15" t="str">
        <f>IF(OR(AF4180="",AF4180="ERRO_CHAVE"),"",IFERROR(MATCH(AF4180,'quitado Despesa'!$V$1:$V$12,0),""))</f>
        <v/>
      </c>
      <c r="AH4180" s="15" t="str">
        <f t="shared" si="2"/>
        <v/>
      </c>
      <c r="AI4180" s="17" t="str">
        <f>IF(AG4180="","",INDEX('quitado Despesa'!$G$1:$G$12,AG4180))</f>
        <v/>
      </c>
      <c r="AJ4180" s="17" t="str">
        <f t="shared" si="3"/>
        <v/>
      </c>
    </row>
    <row r="4181" spans="31:36">
      <c r="AE4181" s="15" t="str">
        <f t="shared" si="0"/>
        <v/>
      </c>
      <c r="AF4181" s="15" t="str">
        <f t="shared" si="1"/>
        <v/>
      </c>
      <c r="AG4181" s="15" t="str">
        <f>IF(OR(AF4181="",AF4181="ERRO_CHAVE"),"",IFERROR(MATCH(AF4181,'quitado Despesa'!$V$1:$V$12,0),""))</f>
        <v/>
      </c>
      <c r="AH4181" s="15" t="str">
        <f t="shared" si="2"/>
        <v/>
      </c>
      <c r="AI4181" s="17" t="str">
        <f>IF(AG4181="","",INDEX('quitado Despesa'!$G$1:$G$12,AG4181))</f>
        <v/>
      </c>
      <c r="AJ4181" s="17" t="str">
        <f t="shared" si="3"/>
        <v/>
      </c>
    </row>
    <row r="4182" spans="31:36">
      <c r="AE4182" s="15" t="str">
        <f t="shared" si="0"/>
        <v/>
      </c>
      <c r="AF4182" s="15" t="str">
        <f t="shared" si="1"/>
        <v/>
      </c>
      <c r="AG4182" s="15" t="str">
        <f>IF(OR(AF4182="",AF4182="ERRO_CHAVE"),"",IFERROR(MATCH(AF4182,'quitado Despesa'!$V$1:$V$12,0),""))</f>
        <v/>
      </c>
      <c r="AH4182" s="15" t="str">
        <f t="shared" si="2"/>
        <v/>
      </c>
      <c r="AI4182" s="17" t="str">
        <f>IF(AG4182="","",INDEX('quitado Despesa'!$G$1:$G$12,AG4182))</f>
        <v/>
      </c>
      <c r="AJ4182" s="17" t="str">
        <f t="shared" si="3"/>
        <v/>
      </c>
    </row>
    <row r="4183" spans="31:36">
      <c r="AE4183" s="15" t="str">
        <f t="shared" si="0"/>
        <v/>
      </c>
      <c r="AF4183" s="15" t="str">
        <f t="shared" si="1"/>
        <v/>
      </c>
      <c r="AG4183" s="15" t="str">
        <f>IF(OR(AF4183="",AF4183="ERRO_CHAVE"),"",IFERROR(MATCH(AF4183,'quitado Despesa'!$V$1:$V$12,0),""))</f>
        <v/>
      </c>
      <c r="AH4183" s="15" t="str">
        <f t="shared" si="2"/>
        <v/>
      </c>
      <c r="AI4183" s="17" t="str">
        <f>IF(AG4183="","",INDEX('quitado Despesa'!$G$1:$G$12,AG4183))</f>
        <v/>
      </c>
      <c r="AJ4183" s="17" t="str">
        <f t="shared" si="3"/>
        <v/>
      </c>
    </row>
    <row r="4184" spans="31:36">
      <c r="AE4184" s="15" t="str">
        <f t="shared" si="0"/>
        <v/>
      </c>
      <c r="AF4184" s="15" t="str">
        <f t="shared" si="1"/>
        <v/>
      </c>
      <c r="AG4184" s="15" t="str">
        <f>IF(OR(AF4184="",AF4184="ERRO_CHAVE"),"",IFERROR(MATCH(AF4184,'quitado Despesa'!$V$1:$V$12,0),""))</f>
        <v/>
      </c>
      <c r="AH4184" s="15" t="str">
        <f t="shared" si="2"/>
        <v/>
      </c>
      <c r="AI4184" s="17" t="str">
        <f>IF(AG4184="","",INDEX('quitado Despesa'!$G$1:$G$12,AG4184))</f>
        <v/>
      </c>
      <c r="AJ4184" s="17" t="str">
        <f t="shared" si="3"/>
        <v/>
      </c>
    </row>
    <row r="4185" spans="31:36">
      <c r="AE4185" s="15" t="str">
        <f t="shared" si="0"/>
        <v/>
      </c>
      <c r="AF4185" s="15" t="str">
        <f t="shared" si="1"/>
        <v/>
      </c>
      <c r="AG4185" s="15" t="str">
        <f>IF(OR(AF4185="",AF4185="ERRO_CHAVE"),"",IFERROR(MATCH(AF4185,'quitado Despesa'!$V$1:$V$12,0),""))</f>
        <v/>
      </c>
      <c r="AH4185" s="15" t="str">
        <f t="shared" si="2"/>
        <v/>
      </c>
      <c r="AI4185" s="17" t="str">
        <f>IF(AG4185="","",INDEX('quitado Despesa'!$G$1:$G$12,AG4185))</f>
        <v/>
      </c>
      <c r="AJ4185" s="17" t="str">
        <f t="shared" si="3"/>
        <v/>
      </c>
    </row>
    <row r="4186" spans="31:36">
      <c r="AE4186" s="15" t="str">
        <f t="shared" si="0"/>
        <v/>
      </c>
      <c r="AF4186" s="15" t="str">
        <f t="shared" si="1"/>
        <v/>
      </c>
      <c r="AG4186" s="15" t="str">
        <f>IF(OR(AF4186="",AF4186="ERRO_CHAVE"),"",IFERROR(MATCH(AF4186,'quitado Despesa'!$V$1:$V$12,0),""))</f>
        <v/>
      </c>
      <c r="AH4186" s="15" t="str">
        <f t="shared" si="2"/>
        <v/>
      </c>
      <c r="AI4186" s="17" t="str">
        <f>IF(AG4186="","",INDEX('quitado Despesa'!$G$1:$G$12,AG4186))</f>
        <v/>
      </c>
      <c r="AJ4186" s="17" t="str">
        <f t="shared" si="3"/>
        <v/>
      </c>
    </row>
    <row r="4187" spans="31:36">
      <c r="AE4187" s="15" t="str">
        <f t="shared" si="0"/>
        <v/>
      </c>
      <c r="AF4187" s="15" t="str">
        <f t="shared" si="1"/>
        <v/>
      </c>
      <c r="AG4187" s="15" t="str">
        <f>IF(OR(AF4187="",AF4187="ERRO_CHAVE"),"",IFERROR(MATCH(AF4187,'quitado Despesa'!$V$1:$V$12,0),""))</f>
        <v/>
      </c>
      <c r="AH4187" s="15" t="str">
        <f t="shared" si="2"/>
        <v/>
      </c>
      <c r="AI4187" s="17" t="str">
        <f>IF(AG4187="","",INDEX('quitado Despesa'!$G$1:$G$12,AG4187))</f>
        <v/>
      </c>
      <c r="AJ4187" s="17" t="str">
        <f t="shared" si="3"/>
        <v/>
      </c>
    </row>
    <row r="4188" spans="31:36">
      <c r="AE4188" s="15" t="str">
        <f t="shared" si="0"/>
        <v/>
      </c>
      <c r="AF4188" s="15" t="str">
        <f t="shared" si="1"/>
        <v/>
      </c>
      <c r="AG4188" s="15" t="str">
        <f>IF(OR(AF4188="",AF4188="ERRO_CHAVE"),"",IFERROR(MATCH(AF4188,'quitado Despesa'!$V$1:$V$12,0),""))</f>
        <v/>
      </c>
      <c r="AH4188" s="15" t="str">
        <f t="shared" si="2"/>
        <v/>
      </c>
      <c r="AI4188" s="17" t="str">
        <f>IF(AG4188="","",INDEX('quitado Despesa'!$G$1:$G$12,AG4188))</f>
        <v/>
      </c>
      <c r="AJ4188" s="17" t="str">
        <f t="shared" si="3"/>
        <v/>
      </c>
    </row>
    <row r="4189" spans="31:36">
      <c r="AE4189" s="15" t="str">
        <f t="shared" si="0"/>
        <v/>
      </c>
      <c r="AF4189" s="15" t="str">
        <f t="shared" si="1"/>
        <v/>
      </c>
      <c r="AG4189" s="15" t="str">
        <f>IF(OR(AF4189="",AF4189="ERRO_CHAVE"),"",IFERROR(MATCH(AF4189,'quitado Despesa'!$V$1:$V$12,0),""))</f>
        <v/>
      </c>
      <c r="AH4189" s="15" t="str">
        <f t="shared" si="2"/>
        <v/>
      </c>
      <c r="AI4189" s="17" t="str">
        <f>IF(AG4189="","",INDEX('quitado Despesa'!$G$1:$G$12,AG4189))</f>
        <v/>
      </c>
      <c r="AJ4189" s="17" t="str">
        <f t="shared" si="3"/>
        <v/>
      </c>
    </row>
    <row r="4190" spans="31:36">
      <c r="AE4190" s="15" t="str">
        <f t="shared" si="0"/>
        <v/>
      </c>
      <c r="AF4190" s="15" t="str">
        <f t="shared" si="1"/>
        <v/>
      </c>
      <c r="AG4190" s="15" t="str">
        <f>IF(OR(AF4190="",AF4190="ERRO_CHAVE"),"",IFERROR(MATCH(AF4190,'quitado Despesa'!$V$1:$V$12,0),""))</f>
        <v/>
      </c>
      <c r="AH4190" s="15" t="str">
        <f t="shared" si="2"/>
        <v/>
      </c>
      <c r="AI4190" s="17" t="str">
        <f>IF(AG4190="","",INDEX('quitado Despesa'!$G$1:$G$12,AG4190))</f>
        <v/>
      </c>
      <c r="AJ4190" s="17" t="str">
        <f t="shared" si="3"/>
        <v/>
      </c>
    </row>
    <row r="4191" spans="31:36">
      <c r="AE4191" s="15" t="str">
        <f t="shared" si="0"/>
        <v/>
      </c>
      <c r="AF4191" s="15" t="str">
        <f t="shared" si="1"/>
        <v/>
      </c>
      <c r="AG4191" s="15" t="str">
        <f>IF(OR(AF4191="",AF4191="ERRO_CHAVE"),"",IFERROR(MATCH(AF4191,'quitado Despesa'!$V$1:$V$12,0),""))</f>
        <v/>
      </c>
      <c r="AH4191" s="15" t="str">
        <f t="shared" si="2"/>
        <v/>
      </c>
      <c r="AI4191" s="17" t="str">
        <f>IF(AG4191="","",INDEX('quitado Despesa'!$G$1:$G$12,AG4191))</f>
        <v/>
      </c>
      <c r="AJ4191" s="17" t="str">
        <f t="shared" si="3"/>
        <v/>
      </c>
    </row>
    <row r="4192" spans="31:36">
      <c r="AE4192" s="15" t="str">
        <f t="shared" si="0"/>
        <v/>
      </c>
      <c r="AF4192" s="15" t="str">
        <f t="shared" si="1"/>
        <v/>
      </c>
      <c r="AG4192" s="15" t="str">
        <f>IF(OR(AF4192="",AF4192="ERRO_CHAVE"),"",IFERROR(MATCH(AF4192,'quitado Despesa'!$V$1:$V$12,0),""))</f>
        <v/>
      </c>
      <c r="AH4192" s="15" t="str">
        <f t="shared" si="2"/>
        <v/>
      </c>
      <c r="AI4192" s="17" t="str">
        <f>IF(AG4192="","",INDEX('quitado Despesa'!$G$1:$G$12,AG4192))</f>
        <v/>
      </c>
      <c r="AJ4192" s="17" t="str">
        <f t="shared" si="3"/>
        <v/>
      </c>
    </row>
    <row r="4193" spans="31:36">
      <c r="AE4193" s="15" t="str">
        <f t="shared" si="0"/>
        <v/>
      </c>
      <c r="AF4193" s="15" t="str">
        <f t="shared" si="1"/>
        <v/>
      </c>
      <c r="AG4193" s="15" t="str">
        <f>IF(OR(AF4193="",AF4193="ERRO_CHAVE"),"",IFERROR(MATCH(AF4193,'quitado Despesa'!$V$1:$V$12,0),""))</f>
        <v/>
      </c>
      <c r="AH4193" s="15" t="str">
        <f t="shared" si="2"/>
        <v/>
      </c>
      <c r="AI4193" s="17" t="str">
        <f>IF(AG4193="","",INDEX('quitado Despesa'!$G$1:$G$12,AG4193))</f>
        <v/>
      </c>
      <c r="AJ4193" s="17" t="str">
        <f t="shared" si="3"/>
        <v/>
      </c>
    </row>
    <row r="4194" spans="31:36">
      <c r="AE4194" s="15" t="str">
        <f t="shared" si="0"/>
        <v/>
      </c>
      <c r="AF4194" s="15" t="str">
        <f t="shared" si="1"/>
        <v/>
      </c>
      <c r="AG4194" s="15" t="str">
        <f>IF(OR(AF4194="",AF4194="ERRO_CHAVE"),"",IFERROR(MATCH(AF4194,'quitado Despesa'!$V$1:$V$12,0),""))</f>
        <v/>
      </c>
      <c r="AH4194" s="15" t="str">
        <f t="shared" si="2"/>
        <v/>
      </c>
      <c r="AI4194" s="17" t="str">
        <f>IF(AG4194="","",INDEX('quitado Despesa'!$G$1:$G$12,AG4194))</f>
        <v/>
      </c>
      <c r="AJ4194" s="17" t="str">
        <f t="shared" si="3"/>
        <v/>
      </c>
    </row>
    <row r="4195" spans="31:36">
      <c r="AE4195" s="15" t="str">
        <f t="shared" si="0"/>
        <v/>
      </c>
      <c r="AF4195" s="15" t="str">
        <f t="shared" si="1"/>
        <v/>
      </c>
      <c r="AG4195" s="15" t="str">
        <f>IF(OR(AF4195="",AF4195="ERRO_CHAVE"),"",IFERROR(MATCH(AF4195,'quitado Despesa'!$V$1:$V$12,0),""))</f>
        <v/>
      </c>
      <c r="AH4195" s="15" t="str">
        <f t="shared" si="2"/>
        <v/>
      </c>
      <c r="AI4195" s="17" t="str">
        <f>IF(AG4195="","",INDEX('quitado Despesa'!$G$1:$G$12,AG4195))</f>
        <v/>
      </c>
      <c r="AJ4195" s="17" t="str">
        <f t="shared" si="3"/>
        <v/>
      </c>
    </row>
    <row r="4196" spans="31:36">
      <c r="AE4196" s="15" t="str">
        <f t="shared" si="0"/>
        <v/>
      </c>
      <c r="AF4196" s="15" t="str">
        <f t="shared" si="1"/>
        <v/>
      </c>
      <c r="AG4196" s="15" t="str">
        <f>IF(OR(AF4196="",AF4196="ERRO_CHAVE"),"",IFERROR(MATCH(AF4196,'quitado Despesa'!$V$1:$V$12,0),""))</f>
        <v/>
      </c>
      <c r="AH4196" s="15" t="str">
        <f t="shared" si="2"/>
        <v/>
      </c>
      <c r="AI4196" s="17" t="str">
        <f>IF(AG4196="","",INDEX('quitado Despesa'!$G$1:$G$12,AG4196))</f>
        <v/>
      </c>
      <c r="AJ4196" s="17" t="str">
        <f t="shared" si="3"/>
        <v/>
      </c>
    </row>
    <row r="4197" spans="31:36">
      <c r="AE4197" s="15" t="str">
        <f t="shared" si="0"/>
        <v/>
      </c>
      <c r="AF4197" s="15" t="str">
        <f t="shared" si="1"/>
        <v/>
      </c>
      <c r="AG4197" s="15" t="str">
        <f>IF(OR(AF4197="",AF4197="ERRO_CHAVE"),"",IFERROR(MATCH(AF4197,'quitado Despesa'!$V$1:$V$12,0),""))</f>
        <v/>
      </c>
      <c r="AH4197" s="15" t="str">
        <f t="shared" si="2"/>
        <v/>
      </c>
      <c r="AI4197" s="17" t="str">
        <f>IF(AG4197="","",INDEX('quitado Despesa'!$G$1:$G$12,AG4197))</f>
        <v/>
      </c>
      <c r="AJ4197" s="17" t="str">
        <f t="shared" si="3"/>
        <v/>
      </c>
    </row>
    <row r="4198" spans="31:36">
      <c r="AE4198" s="15" t="str">
        <f t="shared" si="0"/>
        <v/>
      </c>
      <c r="AF4198" s="15" t="str">
        <f t="shared" si="1"/>
        <v/>
      </c>
      <c r="AG4198" s="15" t="str">
        <f>IF(OR(AF4198="",AF4198="ERRO_CHAVE"),"",IFERROR(MATCH(AF4198,'quitado Despesa'!$V$1:$V$12,0),""))</f>
        <v/>
      </c>
      <c r="AH4198" s="15" t="str">
        <f t="shared" si="2"/>
        <v/>
      </c>
      <c r="AI4198" s="17" t="str">
        <f>IF(AG4198="","",INDEX('quitado Despesa'!$G$1:$G$12,AG4198))</f>
        <v/>
      </c>
      <c r="AJ4198" s="17" t="str">
        <f t="shared" si="3"/>
        <v/>
      </c>
    </row>
    <row r="4199" spans="31:36">
      <c r="AE4199" s="15" t="str">
        <f t="shared" si="0"/>
        <v/>
      </c>
      <c r="AF4199" s="15" t="str">
        <f t="shared" si="1"/>
        <v/>
      </c>
      <c r="AG4199" s="15" t="str">
        <f>IF(OR(AF4199="",AF4199="ERRO_CHAVE"),"",IFERROR(MATCH(AF4199,'quitado Despesa'!$V$1:$V$12,0),""))</f>
        <v/>
      </c>
      <c r="AH4199" s="15" t="str">
        <f t="shared" si="2"/>
        <v/>
      </c>
      <c r="AI4199" s="17" t="str">
        <f>IF(AG4199="","",INDEX('quitado Despesa'!$G$1:$G$12,AG4199))</f>
        <v/>
      </c>
      <c r="AJ4199" s="17" t="str">
        <f t="shared" si="3"/>
        <v/>
      </c>
    </row>
    <row r="4200" spans="31:36">
      <c r="AE4200" s="15" t="str">
        <f t="shared" si="0"/>
        <v/>
      </c>
      <c r="AF4200" s="15" t="str">
        <f t="shared" si="1"/>
        <v/>
      </c>
      <c r="AG4200" s="15" t="str">
        <f>IF(OR(AF4200="",AF4200="ERRO_CHAVE"),"",IFERROR(MATCH(AF4200,'quitado Despesa'!$V$1:$V$12,0),""))</f>
        <v/>
      </c>
      <c r="AH4200" s="15" t="str">
        <f t="shared" si="2"/>
        <v/>
      </c>
      <c r="AI4200" s="17" t="str">
        <f>IF(AG4200="","",INDEX('quitado Despesa'!$G$1:$G$12,AG4200))</f>
        <v/>
      </c>
      <c r="AJ4200" s="17" t="str">
        <f t="shared" si="3"/>
        <v/>
      </c>
    </row>
    <row r="4201" spans="31:36">
      <c r="AE4201" s="15" t="str">
        <f t="shared" si="0"/>
        <v/>
      </c>
      <c r="AF4201" s="15" t="str">
        <f t="shared" si="1"/>
        <v/>
      </c>
      <c r="AG4201" s="15" t="str">
        <f>IF(OR(AF4201="",AF4201="ERRO_CHAVE"),"",IFERROR(MATCH(AF4201,'quitado Despesa'!$V$1:$V$12,0),""))</f>
        <v/>
      </c>
      <c r="AH4201" s="15" t="str">
        <f t="shared" si="2"/>
        <v/>
      </c>
      <c r="AI4201" s="17" t="str">
        <f>IF(AG4201="","",INDEX('quitado Despesa'!$G$1:$G$12,AG4201))</f>
        <v/>
      </c>
      <c r="AJ4201" s="17" t="str">
        <f t="shared" si="3"/>
        <v/>
      </c>
    </row>
    <row r="4202" spans="31:36">
      <c r="AE4202" s="15" t="str">
        <f t="shared" si="0"/>
        <v/>
      </c>
      <c r="AF4202" s="15" t="str">
        <f t="shared" si="1"/>
        <v/>
      </c>
      <c r="AG4202" s="15" t="str">
        <f>IF(OR(AF4202="",AF4202="ERRO_CHAVE"),"",IFERROR(MATCH(AF4202,'quitado Despesa'!$V$1:$V$12,0),""))</f>
        <v/>
      </c>
      <c r="AH4202" s="15" t="str">
        <f t="shared" si="2"/>
        <v/>
      </c>
      <c r="AI4202" s="17" t="str">
        <f>IF(AG4202="","",INDEX('quitado Despesa'!$G$1:$G$12,AG4202))</f>
        <v/>
      </c>
      <c r="AJ4202" s="17" t="str">
        <f t="shared" si="3"/>
        <v/>
      </c>
    </row>
    <row r="4203" spans="31:36">
      <c r="AE4203" s="15" t="str">
        <f t="shared" si="0"/>
        <v/>
      </c>
      <c r="AF4203" s="15" t="str">
        <f t="shared" si="1"/>
        <v/>
      </c>
      <c r="AG4203" s="15" t="str">
        <f>IF(OR(AF4203="",AF4203="ERRO_CHAVE"),"",IFERROR(MATCH(AF4203,'quitado Despesa'!$V$1:$V$12,0),""))</f>
        <v/>
      </c>
      <c r="AH4203" s="15" t="str">
        <f t="shared" si="2"/>
        <v/>
      </c>
      <c r="AI4203" s="17" t="str">
        <f>IF(AG4203="","",INDEX('quitado Despesa'!$G$1:$G$12,AG4203))</f>
        <v/>
      </c>
      <c r="AJ4203" s="17" t="str">
        <f t="shared" si="3"/>
        <v/>
      </c>
    </row>
    <row r="4204" spans="31:36">
      <c r="AE4204" s="15" t="str">
        <f t="shared" si="0"/>
        <v/>
      </c>
      <c r="AF4204" s="15" t="str">
        <f t="shared" si="1"/>
        <v/>
      </c>
      <c r="AG4204" s="15" t="str">
        <f>IF(OR(AF4204="",AF4204="ERRO_CHAVE"),"",IFERROR(MATCH(AF4204,'quitado Despesa'!$V$1:$V$12,0),""))</f>
        <v/>
      </c>
      <c r="AH4204" s="15" t="str">
        <f t="shared" si="2"/>
        <v/>
      </c>
      <c r="AI4204" s="17" t="str">
        <f>IF(AG4204="","",INDEX('quitado Despesa'!$G$1:$G$12,AG4204))</f>
        <v/>
      </c>
      <c r="AJ4204" s="17" t="str">
        <f t="shared" si="3"/>
        <v/>
      </c>
    </row>
    <row r="4205" spans="31:36">
      <c r="AE4205" s="15" t="str">
        <f t="shared" si="0"/>
        <v/>
      </c>
      <c r="AF4205" s="15" t="str">
        <f t="shared" si="1"/>
        <v/>
      </c>
      <c r="AG4205" s="15" t="str">
        <f>IF(OR(AF4205="",AF4205="ERRO_CHAVE"),"",IFERROR(MATCH(AF4205,'quitado Despesa'!$V$1:$V$12,0),""))</f>
        <v/>
      </c>
      <c r="AH4205" s="15" t="str">
        <f t="shared" si="2"/>
        <v/>
      </c>
      <c r="AI4205" s="17" t="str">
        <f>IF(AG4205="","",INDEX('quitado Despesa'!$G$1:$G$12,AG4205))</f>
        <v/>
      </c>
      <c r="AJ4205" s="17" t="str">
        <f t="shared" si="3"/>
        <v/>
      </c>
    </row>
    <row r="4206" spans="31:36">
      <c r="AE4206" s="15" t="str">
        <f t="shared" si="0"/>
        <v/>
      </c>
      <c r="AF4206" s="15" t="str">
        <f t="shared" si="1"/>
        <v/>
      </c>
      <c r="AG4206" s="15" t="str">
        <f>IF(OR(AF4206="",AF4206="ERRO_CHAVE"),"",IFERROR(MATCH(AF4206,'quitado Despesa'!$V$1:$V$12,0),""))</f>
        <v/>
      </c>
      <c r="AH4206" s="15" t="str">
        <f t="shared" si="2"/>
        <v/>
      </c>
      <c r="AI4206" s="17" t="str">
        <f>IF(AG4206="","",INDEX('quitado Despesa'!$G$1:$G$12,AG4206))</f>
        <v/>
      </c>
      <c r="AJ4206" s="17" t="str">
        <f t="shared" si="3"/>
        <v/>
      </c>
    </row>
    <row r="4207" spans="31:36">
      <c r="AE4207" s="15" t="str">
        <f t="shared" si="0"/>
        <v/>
      </c>
      <c r="AF4207" s="15" t="str">
        <f t="shared" si="1"/>
        <v/>
      </c>
      <c r="AG4207" s="15" t="str">
        <f>IF(OR(AF4207="",AF4207="ERRO_CHAVE"),"",IFERROR(MATCH(AF4207,'quitado Despesa'!$V$1:$V$12,0),""))</f>
        <v/>
      </c>
      <c r="AH4207" s="15" t="str">
        <f t="shared" si="2"/>
        <v/>
      </c>
      <c r="AI4207" s="17" t="str">
        <f>IF(AG4207="","",INDEX('quitado Despesa'!$G$1:$G$12,AG4207))</f>
        <v/>
      </c>
      <c r="AJ4207" s="17" t="str">
        <f t="shared" si="3"/>
        <v/>
      </c>
    </row>
    <row r="4208" spans="31:36">
      <c r="AE4208" s="15" t="str">
        <f t="shared" si="0"/>
        <v/>
      </c>
      <c r="AF4208" s="15" t="str">
        <f t="shared" si="1"/>
        <v/>
      </c>
      <c r="AG4208" s="15" t="str">
        <f>IF(OR(AF4208="",AF4208="ERRO_CHAVE"),"",IFERROR(MATCH(AF4208,'quitado Despesa'!$V$1:$V$12,0),""))</f>
        <v/>
      </c>
      <c r="AH4208" s="15" t="str">
        <f t="shared" si="2"/>
        <v/>
      </c>
      <c r="AI4208" s="17" t="str">
        <f>IF(AG4208="","",INDEX('quitado Despesa'!$G$1:$G$12,AG4208))</f>
        <v/>
      </c>
      <c r="AJ4208" s="17" t="str">
        <f t="shared" si="3"/>
        <v/>
      </c>
    </row>
    <row r="4209" spans="31:36">
      <c r="AE4209" s="15" t="str">
        <f t="shared" si="0"/>
        <v/>
      </c>
      <c r="AF4209" s="15" t="str">
        <f t="shared" si="1"/>
        <v/>
      </c>
      <c r="AG4209" s="15" t="str">
        <f>IF(OR(AF4209="",AF4209="ERRO_CHAVE"),"",IFERROR(MATCH(AF4209,'quitado Despesa'!$V$1:$V$12,0),""))</f>
        <v/>
      </c>
      <c r="AH4209" s="15" t="str">
        <f t="shared" si="2"/>
        <v/>
      </c>
      <c r="AI4209" s="17" t="str">
        <f>IF(AG4209="","",INDEX('quitado Despesa'!$G$1:$G$12,AG4209))</f>
        <v/>
      </c>
      <c r="AJ4209" s="17" t="str">
        <f t="shared" si="3"/>
        <v/>
      </c>
    </row>
    <row r="4210" spans="31:36">
      <c r="AE4210" s="15" t="str">
        <f t="shared" si="0"/>
        <v/>
      </c>
      <c r="AF4210" s="15" t="str">
        <f t="shared" si="1"/>
        <v/>
      </c>
      <c r="AG4210" s="15" t="str">
        <f>IF(OR(AF4210="",AF4210="ERRO_CHAVE"),"",IFERROR(MATCH(AF4210,'quitado Despesa'!$V$1:$V$12,0),""))</f>
        <v/>
      </c>
      <c r="AH4210" s="15" t="str">
        <f t="shared" si="2"/>
        <v/>
      </c>
      <c r="AI4210" s="17" t="str">
        <f>IF(AG4210="","",INDEX('quitado Despesa'!$G$1:$G$12,AG4210))</f>
        <v/>
      </c>
      <c r="AJ4210" s="17" t="str">
        <f t="shared" si="3"/>
        <v/>
      </c>
    </row>
    <row r="4211" spans="31:36">
      <c r="AE4211" s="15" t="str">
        <f t="shared" si="0"/>
        <v/>
      </c>
      <c r="AF4211" s="15" t="str">
        <f t="shared" si="1"/>
        <v/>
      </c>
      <c r="AG4211" s="15" t="str">
        <f>IF(OR(AF4211="",AF4211="ERRO_CHAVE"),"",IFERROR(MATCH(AF4211,'quitado Despesa'!$V$1:$V$12,0),""))</f>
        <v/>
      </c>
      <c r="AH4211" s="15" t="str">
        <f t="shared" si="2"/>
        <v/>
      </c>
      <c r="AI4211" s="17" t="str">
        <f>IF(AG4211="","",INDEX('quitado Despesa'!$G$1:$G$12,AG4211))</f>
        <v/>
      </c>
      <c r="AJ4211" s="17" t="str">
        <f t="shared" si="3"/>
        <v/>
      </c>
    </row>
    <row r="4212" spans="31:36">
      <c r="AE4212" s="15" t="str">
        <f t="shared" si="0"/>
        <v/>
      </c>
      <c r="AF4212" s="15" t="str">
        <f t="shared" si="1"/>
        <v/>
      </c>
      <c r="AG4212" s="15" t="str">
        <f>IF(OR(AF4212="",AF4212="ERRO_CHAVE"),"",IFERROR(MATCH(AF4212,'quitado Despesa'!$V$1:$V$12,0),""))</f>
        <v/>
      </c>
      <c r="AH4212" s="15" t="str">
        <f t="shared" si="2"/>
        <v/>
      </c>
      <c r="AI4212" s="17" t="str">
        <f>IF(AG4212="","",INDEX('quitado Despesa'!$G$1:$G$12,AG4212))</f>
        <v/>
      </c>
      <c r="AJ4212" s="17" t="str">
        <f t="shared" si="3"/>
        <v/>
      </c>
    </row>
    <row r="4213" spans="31:36">
      <c r="AE4213" s="15" t="str">
        <f t="shared" si="0"/>
        <v/>
      </c>
      <c r="AF4213" s="15" t="str">
        <f t="shared" si="1"/>
        <v/>
      </c>
      <c r="AG4213" s="15" t="str">
        <f>IF(OR(AF4213="",AF4213="ERRO_CHAVE"),"",IFERROR(MATCH(AF4213,'quitado Despesa'!$V$1:$V$12,0),""))</f>
        <v/>
      </c>
      <c r="AH4213" s="15" t="str">
        <f t="shared" si="2"/>
        <v/>
      </c>
      <c r="AI4213" s="17" t="str">
        <f>IF(AG4213="","",INDEX('quitado Despesa'!$G$1:$G$12,AG4213))</f>
        <v/>
      </c>
      <c r="AJ4213" s="17" t="str">
        <f t="shared" si="3"/>
        <v/>
      </c>
    </row>
    <row r="4214" spans="31:36">
      <c r="AE4214" s="15" t="str">
        <f t="shared" si="0"/>
        <v/>
      </c>
      <c r="AF4214" s="15" t="str">
        <f t="shared" si="1"/>
        <v/>
      </c>
      <c r="AG4214" s="15" t="str">
        <f>IF(OR(AF4214="",AF4214="ERRO_CHAVE"),"",IFERROR(MATCH(AF4214,'quitado Despesa'!$V$1:$V$12,0),""))</f>
        <v/>
      </c>
      <c r="AH4214" s="15" t="str">
        <f t="shared" si="2"/>
        <v/>
      </c>
      <c r="AI4214" s="17" t="str">
        <f>IF(AG4214="","",INDEX('quitado Despesa'!$G$1:$G$12,AG4214))</f>
        <v/>
      </c>
      <c r="AJ4214" s="17" t="str">
        <f t="shared" si="3"/>
        <v/>
      </c>
    </row>
    <row r="4215" spans="31:36">
      <c r="AE4215" s="15" t="str">
        <f t="shared" si="0"/>
        <v/>
      </c>
      <c r="AF4215" s="15" t="str">
        <f t="shared" si="1"/>
        <v/>
      </c>
      <c r="AG4215" s="15" t="str">
        <f>IF(OR(AF4215="",AF4215="ERRO_CHAVE"),"",IFERROR(MATCH(AF4215,'quitado Despesa'!$V$1:$V$12,0),""))</f>
        <v/>
      </c>
      <c r="AH4215" s="15" t="str">
        <f t="shared" si="2"/>
        <v/>
      </c>
      <c r="AI4215" s="17" t="str">
        <f>IF(AG4215="","",INDEX('quitado Despesa'!$G$1:$G$12,AG4215))</f>
        <v/>
      </c>
      <c r="AJ4215" s="17" t="str">
        <f t="shared" si="3"/>
        <v/>
      </c>
    </row>
    <row r="4216" spans="31:36">
      <c r="AE4216" s="15" t="str">
        <f t="shared" si="0"/>
        <v/>
      </c>
      <c r="AF4216" s="15" t="str">
        <f t="shared" si="1"/>
        <v/>
      </c>
      <c r="AG4216" s="15" t="str">
        <f>IF(OR(AF4216="",AF4216="ERRO_CHAVE"),"",IFERROR(MATCH(AF4216,'quitado Despesa'!$V$1:$V$12,0),""))</f>
        <v/>
      </c>
      <c r="AH4216" s="15" t="str">
        <f t="shared" si="2"/>
        <v/>
      </c>
      <c r="AI4216" s="17" t="str">
        <f>IF(AG4216="","",INDEX('quitado Despesa'!$G$1:$G$12,AG4216))</f>
        <v/>
      </c>
      <c r="AJ4216" s="17" t="str">
        <f t="shared" si="3"/>
        <v/>
      </c>
    </row>
    <row r="4217" spans="31:36">
      <c r="AE4217" s="15" t="str">
        <f t="shared" si="0"/>
        <v/>
      </c>
      <c r="AF4217" s="15" t="str">
        <f t="shared" si="1"/>
        <v/>
      </c>
      <c r="AG4217" s="15" t="str">
        <f>IF(OR(AF4217="",AF4217="ERRO_CHAVE"),"",IFERROR(MATCH(AF4217,'quitado Despesa'!$V$1:$V$12,0),""))</f>
        <v/>
      </c>
      <c r="AH4217" s="15" t="str">
        <f t="shared" si="2"/>
        <v/>
      </c>
      <c r="AI4217" s="17" t="str">
        <f>IF(AG4217="","",INDEX('quitado Despesa'!$G$1:$G$12,AG4217))</f>
        <v/>
      </c>
      <c r="AJ4217" s="17" t="str">
        <f t="shared" si="3"/>
        <v/>
      </c>
    </row>
    <row r="4218" spans="31:36">
      <c r="AE4218" s="15" t="str">
        <f t="shared" si="0"/>
        <v/>
      </c>
      <c r="AF4218" s="15" t="str">
        <f t="shared" si="1"/>
        <v/>
      </c>
      <c r="AG4218" s="15" t="str">
        <f>IF(OR(AF4218="",AF4218="ERRO_CHAVE"),"",IFERROR(MATCH(AF4218,'quitado Despesa'!$V$1:$V$12,0),""))</f>
        <v/>
      </c>
      <c r="AH4218" s="15" t="str">
        <f t="shared" si="2"/>
        <v/>
      </c>
      <c r="AI4218" s="17" t="str">
        <f>IF(AG4218="","",INDEX('quitado Despesa'!$G$1:$G$12,AG4218))</f>
        <v/>
      </c>
      <c r="AJ4218" s="17" t="str">
        <f t="shared" si="3"/>
        <v/>
      </c>
    </row>
    <row r="4219" spans="31:36">
      <c r="AE4219" s="15" t="str">
        <f t="shared" si="0"/>
        <v/>
      </c>
      <c r="AF4219" s="15" t="str">
        <f t="shared" si="1"/>
        <v/>
      </c>
      <c r="AG4219" s="15" t="str">
        <f>IF(OR(AF4219="",AF4219="ERRO_CHAVE"),"",IFERROR(MATCH(AF4219,'quitado Despesa'!$V$1:$V$12,0),""))</f>
        <v/>
      </c>
      <c r="AH4219" s="15" t="str">
        <f t="shared" si="2"/>
        <v/>
      </c>
      <c r="AI4219" s="17" t="str">
        <f>IF(AG4219="","",INDEX('quitado Despesa'!$G$1:$G$12,AG4219))</f>
        <v/>
      </c>
      <c r="AJ4219" s="17" t="str">
        <f t="shared" si="3"/>
        <v/>
      </c>
    </row>
    <row r="4220" spans="31:36">
      <c r="AE4220" s="15" t="str">
        <f t="shared" si="0"/>
        <v/>
      </c>
      <c r="AF4220" s="15" t="str">
        <f t="shared" si="1"/>
        <v/>
      </c>
      <c r="AG4220" s="15" t="str">
        <f>IF(OR(AF4220="",AF4220="ERRO_CHAVE"),"",IFERROR(MATCH(AF4220,'quitado Despesa'!$V$1:$V$12,0),""))</f>
        <v/>
      </c>
      <c r="AH4220" s="15" t="str">
        <f t="shared" si="2"/>
        <v/>
      </c>
      <c r="AI4220" s="17" t="str">
        <f>IF(AG4220="","",INDEX('quitado Despesa'!$G$1:$G$12,AG4220))</f>
        <v/>
      </c>
      <c r="AJ4220" s="17" t="str">
        <f t="shared" si="3"/>
        <v/>
      </c>
    </row>
    <row r="4221" spans="31:36">
      <c r="AE4221" s="15" t="str">
        <f t="shared" si="0"/>
        <v/>
      </c>
      <c r="AF4221" s="15" t="str">
        <f t="shared" si="1"/>
        <v/>
      </c>
      <c r="AG4221" s="15" t="str">
        <f>IF(OR(AF4221="",AF4221="ERRO_CHAVE"),"",IFERROR(MATCH(AF4221,'quitado Despesa'!$V$1:$V$12,0),""))</f>
        <v/>
      </c>
      <c r="AH4221" s="15" t="str">
        <f t="shared" si="2"/>
        <v/>
      </c>
      <c r="AI4221" s="17" t="str">
        <f>IF(AG4221="","",INDEX('quitado Despesa'!$G$1:$G$12,AG4221))</f>
        <v/>
      </c>
      <c r="AJ4221" s="17" t="str">
        <f t="shared" si="3"/>
        <v/>
      </c>
    </row>
    <row r="4222" spans="31:36">
      <c r="AE4222" s="15" t="str">
        <f t="shared" si="0"/>
        <v/>
      </c>
      <c r="AF4222" s="15" t="str">
        <f t="shared" si="1"/>
        <v/>
      </c>
      <c r="AG4222" s="15" t="str">
        <f>IF(OR(AF4222="",AF4222="ERRO_CHAVE"),"",IFERROR(MATCH(AF4222,'quitado Despesa'!$V$1:$V$12,0),""))</f>
        <v/>
      </c>
      <c r="AH4222" s="15" t="str">
        <f t="shared" si="2"/>
        <v/>
      </c>
      <c r="AI4222" s="17" t="str">
        <f>IF(AG4222="","",INDEX('quitado Despesa'!$G$1:$G$12,AG4222))</f>
        <v/>
      </c>
      <c r="AJ4222" s="17" t="str">
        <f t="shared" si="3"/>
        <v/>
      </c>
    </row>
    <row r="4223" spans="31:36">
      <c r="AE4223" s="15" t="str">
        <f t="shared" si="0"/>
        <v/>
      </c>
      <c r="AF4223" s="15" t="str">
        <f t="shared" si="1"/>
        <v/>
      </c>
      <c r="AG4223" s="15" t="str">
        <f>IF(OR(AF4223="",AF4223="ERRO_CHAVE"),"",IFERROR(MATCH(AF4223,'quitado Despesa'!$V$1:$V$12,0),""))</f>
        <v/>
      </c>
      <c r="AH4223" s="15" t="str">
        <f t="shared" si="2"/>
        <v/>
      </c>
      <c r="AI4223" s="17" t="str">
        <f>IF(AG4223="","",INDEX('quitado Despesa'!$G$1:$G$12,AG4223))</f>
        <v/>
      </c>
      <c r="AJ4223" s="17" t="str">
        <f t="shared" si="3"/>
        <v/>
      </c>
    </row>
    <row r="4224" spans="31:36">
      <c r="AE4224" s="15" t="str">
        <f t="shared" si="0"/>
        <v/>
      </c>
      <c r="AF4224" s="15" t="str">
        <f t="shared" si="1"/>
        <v/>
      </c>
      <c r="AG4224" s="15" t="str">
        <f>IF(OR(AF4224="",AF4224="ERRO_CHAVE"),"",IFERROR(MATCH(AF4224,'quitado Despesa'!$V$1:$V$12,0),""))</f>
        <v/>
      </c>
      <c r="AH4224" s="15" t="str">
        <f t="shared" si="2"/>
        <v/>
      </c>
      <c r="AI4224" s="17" t="str">
        <f>IF(AG4224="","",INDEX('quitado Despesa'!$G$1:$G$12,AG4224))</f>
        <v/>
      </c>
      <c r="AJ4224" s="17" t="str">
        <f t="shared" si="3"/>
        <v/>
      </c>
    </row>
    <row r="4225" spans="31:36">
      <c r="AE4225" s="15" t="str">
        <f t="shared" si="0"/>
        <v/>
      </c>
      <c r="AF4225" s="15" t="str">
        <f t="shared" si="1"/>
        <v/>
      </c>
      <c r="AG4225" s="15" t="str">
        <f>IF(OR(AF4225="",AF4225="ERRO_CHAVE"),"",IFERROR(MATCH(AF4225,'quitado Despesa'!$V$1:$V$12,0),""))</f>
        <v/>
      </c>
      <c r="AH4225" s="15" t="str">
        <f t="shared" si="2"/>
        <v/>
      </c>
      <c r="AI4225" s="17" t="str">
        <f>IF(AG4225="","",INDEX('quitado Despesa'!$G$1:$G$12,AG4225))</f>
        <v/>
      </c>
      <c r="AJ4225" s="17" t="str">
        <f t="shared" si="3"/>
        <v/>
      </c>
    </row>
    <row r="4226" spans="31:36">
      <c r="AE4226" s="15" t="str">
        <f t="shared" si="0"/>
        <v/>
      </c>
      <c r="AF4226" s="15" t="str">
        <f t="shared" si="1"/>
        <v/>
      </c>
      <c r="AG4226" s="15" t="str">
        <f>IF(OR(AF4226="",AF4226="ERRO_CHAVE"),"",IFERROR(MATCH(AF4226,'quitado Despesa'!$V$1:$V$12,0),""))</f>
        <v/>
      </c>
      <c r="AH4226" s="15" t="str">
        <f t="shared" si="2"/>
        <v/>
      </c>
      <c r="AI4226" s="17" t="str">
        <f>IF(AG4226="","",INDEX('quitado Despesa'!$G$1:$G$12,AG4226))</f>
        <v/>
      </c>
      <c r="AJ4226" s="17" t="str">
        <f t="shared" si="3"/>
        <v/>
      </c>
    </row>
    <row r="4227" spans="31:36">
      <c r="AE4227" s="15" t="str">
        <f t="shared" si="0"/>
        <v/>
      </c>
      <c r="AF4227" s="15" t="str">
        <f t="shared" si="1"/>
        <v/>
      </c>
      <c r="AG4227" s="15" t="str">
        <f>IF(OR(AF4227="",AF4227="ERRO_CHAVE"),"",IFERROR(MATCH(AF4227,'quitado Despesa'!$V$1:$V$12,0),""))</f>
        <v/>
      </c>
      <c r="AH4227" s="15" t="str">
        <f t="shared" si="2"/>
        <v/>
      </c>
      <c r="AI4227" s="17" t="str">
        <f>IF(AG4227="","",INDEX('quitado Despesa'!$G$1:$G$12,AG4227))</f>
        <v/>
      </c>
      <c r="AJ4227" s="17" t="str">
        <f t="shared" si="3"/>
        <v/>
      </c>
    </row>
    <row r="4228" spans="31:36">
      <c r="AE4228" s="15" t="str">
        <f t="shared" si="0"/>
        <v/>
      </c>
      <c r="AF4228" s="15" t="str">
        <f t="shared" si="1"/>
        <v/>
      </c>
      <c r="AG4228" s="15" t="str">
        <f>IF(OR(AF4228="",AF4228="ERRO_CHAVE"),"",IFERROR(MATCH(AF4228,'quitado Despesa'!$V$1:$V$12,0),""))</f>
        <v/>
      </c>
      <c r="AH4228" s="15" t="str">
        <f t="shared" si="2"/>
        <v/>
      </c>
      <c r="AI4228" s="17" t="str">
        <f>IF(AG4228="","",INDEX('quitado Despesa'!$G$1:$G$12,AG4228))</f>
        <v/>
      </c>
      <c r="AJ4228" s="17" t="str">
        <f t="shared" si="3"/>
        <v/>
      </c>
    </row>
    <row r="4229" spans="31:36">
      <c r="AE4229" s="15" t="str">
        <f t="shared" si="0"/>
        <v/>
      </c>
      <c r="AF4229" s="15" t="str">
        <f t="shared" si="1"/>
        <v/>
      </c>
      <c r="AG4229" s="15" t="str">
        <f>IF(OR(AF4229="",AF4229="ERRO_CHAVE"),"",IFERROR(MATCH(AF4229,'quitado Despesa'!$V$1:$V$12,0),""))</f>
        <v/>
      </c>
      <c r="AH4229" s="15" t="str">
        <f t="shared" si="2"/>
        <v/>
      </c>
      <c r="AI4229" s="17" t="str">
        <f>IF(AG4229="","",INDEX('quitado Despesa'!$G$1:$G$12,AG4229))</f>
        <v/>
      </c>
      <c r="AJ4229" s="17" t="str">
        <f t="shared" si="3"/>
        <v/>
      </c>
    </row>
    <row r="4230" spans="31:36">
      <c r="AE4230" s="15" t="str">
        <f t="shared" si="0"/>
        <v/>
      </c>
      <c r="AF4230" s="15" t="str">
        <f t="shared" si="1"/>
        <v/>
      </c>
      <c r="AG4230" s="15" t="str">
        <f>IF(OR(AF4230="",AF4230="ERRO_CHAVE"),"",IFERROR(MATCH(AF4230,'quitado Despesa'!$V$1:$V$12,0),""))</f>
        <v/>
      </c>
      <c r="AH4230" s="15" t="str">
        <f t="shared" si="2"/>
        <v/>
      </c>
      <c r="AI4230" s="17" t="str">
        <f>IF(AG4230="","",INDEX('quitado Despesa'!$G$1:$G$12,AG4230))</f>
        <v/>
      </c>
      <c r="AJ4230" s="17" t="str">
        <f t="shared" si="3"/>
        <v/>
      </c>
    </row>
    <row r="4231" spans="31:36">
      <c r="AE4231" s="15" t="str">
        <f t="shared" si="0"/>
        <v/>
      </c>
      <c r="AF4231" s="15" t="str">
        <f t="shared" si="1"/>
        <v/>
      </c>
      <c r="AG4231" s="15" t="str">
        <f>IF(OR(AF4231="",AF4231="ERRO_CHAVE"),"",IFERROR(MATCH(AF4231,'quitado Despesa'!$V$1:$V$12,0),""))</f>
        <v/>
      </c>
      <c r="AH4231" s="15" t="str">
        <f t="shared" si="2"/>
        <v/>
      </c>
      <c r="AI4231" s="17" t="str">
        <f>IF(AG4231="","",INDEX('quitado Despesa'!$G$1:$G$12,AG4231))</f>
        <v/>
      </c>
      <c r="AJ4231" s="17" t="str">
        <f t="shared" si="3"/>
        <v/>
      </c>
    </row>
    <row r="4232" spans="31:36">
      <c r="AE4232" s="15" t="str">
        <f t="shared" si="0"/>
        <v/>
      </c>
      <c r="AF4232" s="15" t="str">
        <f t="shared" si="1"/>
        <v/>
      </c>
      <c r="AG4232" s="15" t="str">
        <f>IF(OR(AF4232="",AF4232="ERRO_CHAVE"),"",IFERROR(MATCH(AF4232,'quitado Despesa'!$V$1:$V$12,0),""))</f>
        <v/>
      </c>
      <c r="AH4232" s="15" t="str">
        <f t="shared" si="2"/>
        <v/>
      </c>
      <c r="AI4232" s="17" t="str">
        <f>IF(AG4232="","",INDEX('quitado Despesa'!$G$1:$G$12,AG4232))</f>
        <v/>
      </c>
      <c r="AJ4232" s="17" t="str">
        <f t="shared" si="3"/>
        <v/>
      </c>
    </row>
    <row r="4233" spans="31:36">
      <c r="AE4233" s="15" t="str">
        <f t="shared" si="0"/>
        <v/>
      </c>
      <c r="AF4233" s="15" t="str">
        <f t="shared" si="1"/>
        <v/>
      </c>
      <c r="AG4233" s="15" t="str">
        <f>IF(OR(AF4233="",AF4233="ERRO_CHAVE"),"",IFERROR(MATCH(AF4233,'quitado Despesa'!$V$1:$V$12,0),""))</f>
        <v/>
      </c>
      <c r="AH4233" s="15" t="str">
        <f t="shared" si="2"/>
        <v/>
      </c>
      <c r="AI4233" s="17" t="str">
        <f>IF(AG4233="","",INDEX('quitado Despesa'!$G$1:$G$12,AG4233))</f>
        <v/>
      </c>
      <c r="AJ4233" s="17" t="str">
        <f t="shared" si="3"/>
        <v/>
      </c>
    </row>
    <row r="4234" spans="31:36">
      <c r="AE4234" s="15" t="str">
        <f t="shared" si="0"/>
        <v/>
      </c>
      <c r="AF4234" s="15" t="str">
        <f t="shared" si="1"/>
        <v/>
      </c>
      <c r="AG4234" s="15" t="str">
        <f>IF(OR(AF4234="",AF4234="ERRO_CHAVE"),"",IFERROR(MATCH(AF4234,'quitado Despesa'!$V$1:$V$12,0),""))</f>
        <v/>
      </c>
      <c r="AH4234" s="15" t="str">
        <f t="shared" si="2"/>
        <v/>
      </c>
      <c r="AI4234" s="17" t="str">
        <f>IF(AG4234="","",INDEX('quitado Despesa'!$G$1:$G$12,AG4234))</f>
        <v/>
      </c>
      <c r="AJ4234" s="17" t="str">
        <f t="shared" si="3"/>
        <v/>
      </c>
    </row>
    <row r="4235" spans="31:36">
      <c r="AE4235" s="15" t="str">
        <f t="shared" si="0"/>
        <v/>
      </c>
      <c r="AF4235" s="15" t="str">
        <f t="shared" si="1"/>
        <v/>
      </c>
      <c r="AG4235" s="15" t="str">
        <f>IF(OR(AF4235="",AF4235="ERRO_CHAVE"),"",IFERROR(MATCH(AF4235,'quitado Despesa'!$V$1:$V$12,0),""))</f>
        <v/>
      </c>
      <c r="AH4235" s="15" t="str">
        <f t="shared" si="2"/>
        <v/>
      </c>
      <c r="AI4235" s="17" t="str">
        <f>IF(AG4235="","",INDEX('quitado Despesa'!$G$1:$G$12,AG4235))</f>
        <v/>
      </c>
      <c r="AJ4235" s="17" t="str">
        <f t="shared" si="3"/>
        <v/>
      </c>
    </row>
    <row r="4236" spans="31:36">
      <c r="AE4236" s="15" t="str">
        <f t="shared" si="0"/>
        <v/>
      </c>
      <c r="AF4236" s="15" t="str">
        <f t="shared" si="1"/>
        <v/>
      </c>
      <c r="AG4236" s="15" t="str">
        <f>IF(OR(AF4236="",AF4236="ERRO_CHAVE"),"",IFERROR(MATCH(AF4236,'quitado Despesa'!$V$1:$V$12,0),""))</f>
        <v/>
      </c>
      <c r="AH4236" s="15" t="str">
        <f t="shared" si="2"/>
        <v/>
      </c>
      <c r="AI4236" s="17" t="str">
        <f>IF(AG4236="","",INDEX('quitado Despesa'!$G$1:$G$12,AG4236))</f>
        <v/>
      </c>
      <c r="AJ4236" s="17" t="str">
        <f t="shared" si="3"/>
        <v/>
      </c>
    </row>
    <row r="4237" spans="31:36">
      <c r="AE4237" s="15" t="str">
        <f t="shared" si="0"/>
        <v/>
      </c>
      <c r="AF4237" s="15" t="str">
        <f t="shared" si="1"/>
        <v/>
      </c>
      <c r="AG4237" s="15" t="str">
        <f>IF(OR(AF4237="",AF4237="ERRO_CHAVE"),"",IFERROR(MATCH(AF4237,'quitado Despesa'!$V$1:$V$12,0),""))</f>
        <v/>
      </c>
      <c r="AH4237" s="15" t="str">
        <f t="shared" si="2"/>
        <v/>
      </c>
      <c r="AI4237" s="17" t="str">
        <f>IF(AG4237="","",INDEX('quitado Despesa'!$G$1:$G$12,AG4237))</f>
        <v/>
      </c>
      <c r="AJ4237" s="17" t="str">
        <f t="shared" si="3"/>
        <v/>
      </c>
    </row>
    <row r="4238" spans="31:36">
      <c r="AE4238" s="15" t="str">
        <f t="shared" si="0"/>
        <v/>
      </c>
      <c r="AF4238" s="15" t="str">
        <f t="shared" si="1"/>
        <v/>
      </c>
      <c r="AG4238" s="15" t="str">
        <f>IF(OR(AF4238="",AF4238="ERRO_CHAVE"),"",IFERROR(MATCH(AF4238,'quitado Despesa'!$V$1:$V$12,0),""))</f>
        <v/>
      </c>
      <c r="AH4238" s="15" t="str">
        <f t="shared" si="2"/>
        <v/>
      </c>
      <c r="AI4238" s="17" t="str">
        <f>IF(AG4238="","",INDEX('quitado Despesa'!$G$1:$G$12,AG4238))</f>
        <v/>
      </c>
      <c r="AJ4238" s="17" t="str">
        <f t="shared" si="3"/>
        <v/>
      </c>
    </row>
    <row r="4239" spans="31:36">
      <c r="AE4239" s="15" t="str">
        <f t="shared" si="0"/>
        <v/>
      </c>
      <c r="AF4239" s="15" t="str">
        <f t="shared" si="1"/>
        <v/>
      </c>
      <c r="AG4239" s="15" t="str">
        <f>IF(OR(AF4239="",AF4239="ERRO_CHAVE"),"",IFERROR(MATCH(AF4239,'quitado Despesa'!$V$1:$V$12,0),""))</f>
        <v/>
      </c>
      <c r="AH4239" s="15" t="str">
        <f t="shared" si="2"/>
        <v/>
      </c>
      <c r="AI4239" s="17" t="str">
        <f>IF(AG4239="","",INDEX('quitado Despesa'!$G$1:$G$12,AG4239))</f>
        <v/>
      </c>
      <c r="AJ4239" s="17" t="str">
        <f t="shared" si="3"/>
        <v/>
      </c>
    </row>
    <row r="4240" spans="31:36">
      <c r="AE4240" s="15" t="str">
        <f t="shared" si="0"/>
        <v/>
      </c>
      <c r="AF4240" s="15" t="str">
        <f t="shared" si="1"/>
        <v/>
      </c>
      <c r="AG4240" s="15" t="str">
        <f>IF(OR(AF4240="",AF4240="ERRO_CHAVE"),"",IFERROR(MATCH(AF4240,'quitado Despesa'!$V$1:$V$12,0),""))</f>
        <v/>
      </c>
      <c r="AH4240" s="15" t="str">
        <f t="shared" si="2"/>
        <v/>
      </c>
      <c r="AI4240" s="17" t="str">
        <f>IF(AG4240="","",INDEX('quitado Despesa'!$G$1:$G$12,AG4240))</f>
        <v/>
      </c>
      <c r="AJ4240" s="17" t="str">
        <f t="shared" si="3"/>
        <v/>
      </c>
    </row>
    <row r="4241" spans="31:36">
      <c r="AE4241" s="15" t="str">
        <f t="shared" si="0"/>
        <v/>
      </c>
      <c r="AF4241" s="15" t="str">
        <f t="shared" si="1"/>
        <v/>
      </c>
      <c r="AG4241" s="15" t="str">
        <f>IF(OR(AF4241="",AF4241="ERRO_CHAVE"),"",IFERROR(MATCH(AF4241,'quitado Despesa'!$V$1:$V$12,0),""))</f>
        <v/>
      </c>
      <c r="AH4241" s="15" t="str">
        <f t="shared" si="2"/>
        <v/>
      </c>
      <c r="AI4241" s="17" t="str">
        <f>IF(AG4241="","",INDEX('quitado Despesa'!$G$1:$G$12,AG4241))</f>
        <v/>
      </c>
      <c r="AJ4241" s="17" t="str">
        <f t="shared" si="3"/>
        <v/>
      </c>
    </row>
    <row r="4242" spans="31:36">
      <c r="AE4242" s="15" t="str">
        <f t="shared" si="0"/>
        <v/>
      </c>
      <c r="AF4242" s="15" t="str">
        <f t="shared" si="1"/>
        <v/>
      </c>
      <c r="AG4242" s="15" t="str">
        <f>IF(OR(AF4242="",AF4242="ERRO_CHAVE"),"",IFERROR(MATCH(AF4242,'quitado Despesa'!$V$1:$V$12,0),""))</f>
        <v/>
      </c>
      <c r="AH4242" s="15" t="str">
        <f t="shared" si="2"/>
        <v/>
      </c>
      <c r="AI4242" s="17" t="str">
        <f>IF(AG4242="","",INDEX('quitado Despesa'!$G$1:$G$12,AG4242))</f>
        <v/>
      </c>
      <c r="AJ4242" s="17" t="str">
        <f t="shared" si="3"/>
        <v/>
      </c>
    </row>
    <row r="4243" spans="31:36">
      <c r="AE4243" s="15" t="str">
        <f t="shared" si="0"/>
        <v/>
      </c>
      <c r="AF4243" s="15" t="str">
        <f t="shared" si="1"/>
        <v/>
      </c>
      <c r="AG4243" s="15" t="str">
        <f>IF(OR(AF4243="",AF4243="ERRO_CHAVE"),"",IFERROR(MATCH(AF4243,'quitado Despesa'!$V$1:$V$12,0),""))</f>
        <v/>
      </c>
      <c r="AH4243" s="15" t="str">
        <f t="shared" si="2"/>
        <v/>
      </c>
      <c r="AI4243" s="17" t="str">
        <f>IF(AG4243="","",INDEX('quitado Despesa'!$G$1:$G$12,AG4243))</f>
        <v/>
      </c>
      <c r="AJ4243" s="17" t="str">
        <f t="shared" si="3"/>
        <v/>
      </c>
    </row>
    <row r="4244" spans="31:36">
      <c r="AE4244" s="15" t="str">
        <f t="shared" si="0"/>
        <v/>
      </c>
      <c r="AF4244" s="15" t="str">
        <f t="shared" si="1"/>
        <v/>
      </c>
      <c r="AG4244" s="15" t="str">
        <f>IF(OR(AF4244="",AF4244="ERRO_CHAVE"),"",IFERROR(MATCH(AF4244,'quitado Despesa'!$V$1:$V$12,0),""))</f>
        <v/>
      </c>
      <c r="AH4244" s="15" t="str">
        <f t="shared" si="2"/>
        <v/>
      </c>
      <c r="AI4244" s="17" t="str">
        <f>IF(AG4244="","",INDEX('quitado Despesa'!$G$1:$G$12,AG4244))</f>
        <v/>
      </c>
      <c r="AJ4244" s="17" t="str">
        <f t="shared" si="3"/>
        <v/>
      </c>
    </row>
    <row r="4245" spans="31:36">
      <c r="AE4245" s="15" t="str">
        <f t="shared" si="0"/>
        <v/>
      </c>
      <c r="AF4245" s="15" t="str">
        <f t="shared" si="1"/>
        <v/>
      </c>
      <c r="AG4245" s="15" t="str">
        <f>IF(OR(AF4245="",AF4245="ERRO_CHAVE"),"",IFERROR(MATCH(AF4245,'quitado Despesa'!$V$1:$V$12,0),""))</f>
        <v/>
      </c>
      <c r="AH4245" s="15" t="str">
        <f t="shared" si="2"/>
        <v/>
      </c>
      <c r="AI4245" s="17" t="str">
        <f>IF(AG4245="","",INDEX('quitado Despesa'!$G$1:$G$12,AG4245))</f>
        <v/>
      </c>
      <c r="AJ4245" s="17" t="str">
        <f t="shared" si="3"/>
        <v/>
      </c>
    </row>
    <row r="4246" spans="31:36">
      <c r="AE4246" s="15" t="str">
        <f t="shared" si="0"/>
        <v/>
      </c>
      <c r="AF4246" s="15" t="str">
        <f t="shared" si="1"/>
        <v/>
      </c>
      <c r="AG4246" s="15" t="str">
        <f>IF(OR(AF4246="",AF4246="ERRO_CHAVE"),"",IFERROR(MATCH(AF4246,'quitado Despesa'!$V$1:$V$12,0),""))</f>
        <v/>
      </c>
      <c r="AH4246" s="15" t="str">
        <f t="shared" si="2"/>
        <v/>
      </c>
      <c r="AI4246" s="17" t="str">
        <f>IF(AG4246="","",INDEX('quitado Despesa'!$G$1:$G$12,AG4246))</f>
        <v/>
      </c>
      <c r="AJ4246" s="17" t="str">
        <f t="shared" si="3"/>
        <v/>
      </c>
    </row>
    <row r="4247" spans="31:36">
      <c r="AE4247" s="15" t="str">
        <f t="shared" si="0"/>
        <v/>
      </c>
      <c r="AF4247" s="15" t="str">
        <f t="shared" si="1"/>
        <v/>
      </c>
      <c r="AG4247" s="15" t="str">
        <f>IF(OR(AF4247="",AF4247="ERRO_CHAVE"),"",IFERROR(MATCH(AF4247,'quitado Despesa'!$V$1:$V$12,0),""))</f>
        <v/>
      </c>
      <c r="AH4247" s="15" t="str">
        <f t="shared" si="2"/>
        <v/>
      </c>
      <c r="AI4247" s="17" t="str">
        <f>IF(AG4247="","",INDEX('quitado Despesa'!$G$1:$G$12,AG4247))</f>
        <v/>
      </c>
      <c r="AJ4247" s="17" t="str">
        <f t="shared" si="3"/>
        <v/>
      </c>
    </row>
    <row r="4248" spans="31:36">
      <c r="AE4248" s="15" t="str">
        <f t="shared" si="0"/>
        <v/>
      </c>
      <c r="AF4248" s="15" t="str">
        <f t="shared" si="1"/>
        <v/>
      </c>
      <c r="AG4248" s="15" t="str">
        <f>IF(OR(AF4248="",AF4248="ERRO_CHAVE"),"",IFERROR(MATCH(AF4248,'quitado Despesa'!$V$1:$V$12,0),""))</f>
        <v/>
      </c>
      <c r="AH4248" s="15" t="str">
        <f t="shared" si="2"/>
        <v/>
      </c>
      <c r="AI4248" s="17" t="str">
        <f>IF(AG4248="","",INDEX('quitado Despesa'!$G$1:$G$12,AG4248))</f>
        <v/>
      </c>
      <c r="AJ4248" s="17" t="str">
        <f t="shared" si="3"/>
        <v/>
      </c>
    </row>
    <row r="4249" spans="31:36">
      <c r="AE4249" s="15" t="str">
        <f t="shared" si="0"/>
        <v/>
      </c>
      <c r="AF4249" s="15" t="str">
        <f t="shared" si="1"/>
        <v/>
      </c>
      <c r="AG4249" s="15" t="str">
        <f>IF(OR(AF4249="",AF4249="ERRO_CHAVE"),"",IFERROR(MATCH(AF4249,'quitado Despesa'!$V$1:$V$12,0),""))</f>
        <v/>
      </c>
      <c r="AH4249" s="15" t="str">
        <f t="shared" si="2"/>
        <v/>
      </c>
      <c r="AI4249" s="17" t="str">
        <f>IF(AG4249="","",INDEX('quitado Despesa'!$G$1:$G$12,AG4249))</f>
        <v/>
      </c>
      <c r="AJ4249" s="17" t="str">
        <f t="shared" si="3"/>
        <v/>
      </c>
    </row>
    <row r="4250" spans="31:36">
      <c r="AE4250" s="15" t="str">
        <f t="shared" si="0"/>
        <v/>
      </c>
      <c r="AF4250" s="15" t="str">
        <f t="shared" si="1"/>
        <v/>
      </c>
      <c r="AG4250" s="15" t="str">
        <f>IF(OR(AF4250="",AF4250="ERRO_CHAVE"),"",IFERROR(MATCH(AF4250,'quitado Despesa'!$V$1:$V$12,0),""))</f>
        <v/>
      </c>
      <c r="AH4250" s="15" t="str">
        <f t="shared" si="2"/>
        <v/>
      </c>
      <c r="AI4250" s="17" t="str">
        <f>IF(AG4250="","",INDEX('quitado Despesa'!$G$1:$G$12,AG4250))</f>
        <v/>
      </c>
      <c r="AJ4250" s="17" t="str">
        <f t="shared" si="3"/>
        <v/>
      </c>
    </row>
    <row r="4251" spans="31:36">
      <c r="AE4251" s="15" t="str">
        <f t="shared" si="0"/>
        <v/>
      </c>
      <c r="AF4251" s="15" t="str">
        <f t="shared" si="1"/>
        <v/>
      </c>
      <c r="AG4251" s="15" t="str">
        <f>IF(OR(AF4251="",AF4251="ERRO_CHAVE"),"",IFERROR(MATCH(AF4251,'quitado Despesa'!$V$1:$V$12,0),""))</f>
        <v/>
      </c>
      <c r="AH4251" s="15" t="str">
        <f t="shared" si="2"/>
        <v/>
      </c>
      <c r="AI4251" s="17" t="str">
        <f>IF(AG4251="","",INDEX('quitado Despesa'!$G$1:$G$12,AG4251))</f>
        <v/>
      </c>
      <c r="AJ4251" s="17" t="str">
        <f t="shared" si="3"/>
        <v/>
      </c>
    </row>
    <row r="4252" spans="31:36">
      <c r="AE4252" s="15" t="str">
        <f t="shared" si="0"/>
        <v/>
      </c>
      <c r="AF4252" s="15" t="str">
        <f t="shared" si="1"/>
        <v/>
      </c>
      <c r="AG4252" s="15" t="str">
        <f>IF(OR(AF4252="",AF4252="ERRO_CHAVE"),"",IFERROR(MATCH(AF4252,'quitado Despesa'!$V$1:$V$12,0),""))</f>
        <v/>
      </c>
      <c r="AH4252" s="15" t="str">
        <f t="shared" si="2"/>
        <v/>
      </c>
      <c r="AI4252" s="17" t="str">
        <f>IF(AG4252="","",INDEX('quitado Despesa'!$G$1:$G$12,AG4252))</f>
        <v/>
      </c>
      <c r="AJ4252" s="17" t="str">
        <f t="shared" si="3"/>
        <v/>
      </c>
    </row>
    <row r="4253" spans="31:36">
      <c r="AE4253" s="15" t="str">
        <f t="shared" si="0"/>
        <v/>
      </c>
      <c r="AF4253" s="15" t="str">
        <f t="shared" si="1"/>
        <v/>
      </c>
      <c r="AG4253" s="15" t="str">
        <f>IF(OR(AF4253="",AF4253="ERRO_CHAVE"),"",IFERROR(MATCH(AF4253,'quitado Despesa'!$V$1:$V$12,0),""))</f>
        <v/>
      </c>
      <c r="AH4253" s="15" t="str">
        <f t="shared" si="2"/>
        <v/>
      </c>
      <c r="AI4253" s="17" t="str">
        <f>IF(AG4253="","",INDEX('quitado Despesa'!$G$1:$G$12,AG4253))</f>
        <v/>
      </c>
      <c r="AJ4253" s="17" t="str">
        <f t="shared" si="3"/>
        <v/>
      </c>
    </row>
    <row r="4254" spans="31:36">
      <c r="AE4254" s="15" t="str">
        <f t="shared" si="0"/>
        <v/>
      </c>
      <c r="AF4254" s="15" t="str">
        <f t="shared" si="1"/>
        <v/>
      </c>
      <c r="AG4254" s="15" t="str">
        <f>IF(OR(AF4254="",AF4254="ERRO_CHAVE"),"",IFERROR(MATCH(AF4254,'quitado Despesa'!$V$1:$V$12,0),""))</f>
        <v/>
      </c>
      <c r="AH4254" s="15" t="str">
        <f t="shared" si="2"/>
        <v/>
      </c>
      <c r="AI4254" s="17" t="str">
        <f>IF(AG4254="","",INDEX('quitado Despesa'!$G$1:$G$12,AG4254))</f>
        <v/>
      </c>
      <c r="AJ4254" s="17" t="str">
        <f t="shared" si="3"/>
        <v/>
      </c>
    </row>
    <row r="4255" spans="31:36">
      <c r="AE4255" s="15" t="str">
        <f t="shared" si="0"/>
        <v/>
      </c>
      <c r="AF4255" s="15" t="str">
        <f t="shared" si="1"/>
        <v/>
      </c>
      <c r="AG4255" s="15" t="str">
        <f>IF(OR(AF4255="",AF4255="ERRO_CHAVE"),"",IFERROR(MATCH(AF4255,'quitado Despesa'!$V$1:$V$12,0),""))</f>
        <v/>
      </c>
      <c r="AH4255" s="15" t="str">
        <f t="shared" si="2"/>
        <v/>
      </c>
      <c r="AI4255" s="17" t="str">
        <f>IF(AG4255="","",INDEX('quitado Despesa'!$G$1:$G$12,AG4255))</f>
        <v/>
      </c>
      <c r="AJ4255" s="17" t="str">
        <f t="shared" si="3"/>
        <v/>
      </c>
    </row>
    <row r="4256" spans="31:36">
      <c r="AE4256" s="15" t="str">
        <f t="shared" si="0"/>
        <v/>
      </c>
      <c r="AF4256" s="15" t="str">
        <f t="shared" si="1"/>
        <v/>
      </c>
      <c r="AG4256" s="15" t="str">
        <f>IF(OR(AF4256="",AF4256="ERRO_CHAVE"),"",IFERROR(MATCH(AF4256,'quitado Despesa'!$V$1:$V$12,0),""))</f>
        <v/>
      </c>
      <c r="AH4256" s="15" t="str">
        <f t="shared" si="2"/>
        <v/>
      </c>
      <c r="AI4256" s="17" t="str">
        <f>IF(AG4256="","",INDEX('quitado Despesa'!$G$1:$G$12,AG4256))</f>
        <v/>
      </c>
      <c r="AJ4256" s="17" t="str">
        <f t="shared" si="3"/>
        <v/>
      </c>
    </row>
    <row r="4257" spans="31:36">
      <c r="AE4257" s="15" t="str">
        <f t="shared" si="0"/>
        <v/>
      </c>
      <c r="AF4257" s="15" t="str">
        <f t="shared" si="1"/>
        <v/>
      </c>
      <c r="AG4257" s="15" t="str">
        <f>IF(OR(AF4257="",AF4257="ERRO_CHAVE"),"",IFERROR(MATCH(AF4257,'quitado Despesa'!$V$1:$V$12,0),""))</f>
        <v/>
      </c>
      <c r="AH4257" s="15" t="str">
        <f t="shared" si="2"/>
        <v/>
      </c>
      <c r="AI4257" s="17" t="str">
        <f>IF(AG4257="","",INDEX('quitado Despesa'!$G$1:$G$12,AG4257))</f>
        <v/>
      </c>
      <c r="AJ4257" s="17" t="str">
        <f t="shared" si="3"/>
        <v/>
      </c>
    </row>
    <row r="4258" spans="31:36">
      <c r="AE4258" s="15" t="str">
        <f t="shared" si="0"/>
        <v/>
      </c>
      <c r="AF4258" s="15" t="str">
        <f t="shared" si="1"/>
        <v/>
      </c>
      <c r="AG4258" s="15" t="str">
        <f>IF(OR(AF4258="",AF4258="ERRO_CHAVE"),"",IFERROR(MATCH(AF4258,'quitado Despesa'!$V$1:$V$12,0),""))</f>
        <v/>
      </c>
      <c r="AH4258" s="15" t="str">
        <f t="shared" si="2"/>
        <v/>
      </c>
      <c r="AI4258" s="17" t="str">
        <f>IF(AG4258="","",INDEX('quitado Despesa'!$G$1:$G$12,AG4258))</f>
        <v/>
      </c>
      <c r="AJ4258" s="17" t="str">
        <f t="shared" si="3"/>
        <v/>
      </c>
    </row>
    <row r="4259" spans="31:36">
      <c r="AE4259" s="15" t="str">
        <f t="shared" si="0"/>
        <v/>
      </c>
      <c r="AF4259" s="15" t="str">
        <f t="shared" si="1"/>
        <v/>
      </c>
      <c r="AG4259" s="15" t="str">
        <f>IF(OR(AF4259="",AF4259="ERRO_CHAVE"),"",IFERROR(MATCH(AF4259,'quitado Despesa'!$V$1:$V$12,0),""))</f>
        <v/>
      </c>
      <c r="AH4259" s="15" t="str">
        <f t="shared" si="2"/>
        <v/>
      </c>
      <c r="AI4259" s="17" t="str">
        <f>IF(AG4259="","",INDEX('quitado Despesa'!$G$1:$G$12,AG4259))</f>
        <v/>
      </c>
      <c r="AJ4259" s="17" t="str">
        <f t="shared" si="3"/>
        <v/>
      </c>
    </row>
    <row r="4260" spans="31:36">
      <c r="AE4260" s="15" t="str">
        <f t="shared" si="0"/>
        <v/>
      </c>
      <c r="AF4260" s="15" t="str">
        <f t="shared" si="1"/>
        <v/>
      </c>
      <c r="AG4260" s="15" t="str">
        <f>IF(OR(AF4260="",AF4260="ERRO_CHAVE"),"",IFERROR(MATCH(AF4260,'quitado Despesa'!$V$1:$V$12,0),""))</f>
        <v/>
      </c>
      <c r="AH4260" s="15" t="str">
        <f t="shared" si="2"/>
        <v/>
      </c>
      <c r="AI4260" s="17" t="str">
        <f>IF(AG4260="","",INDEX('quitado Despesa'!$G$1:$G$12,AG4260))</f>
        <v/>
      </c>
      <c r="AJ4260" s="17" t="str">
        <f t="shared" si="3"/>
        <v/>
      </c>
    </row>
    <row r="4261" spans="31:36">
      <c r="AE4261" s="15" t="str">
        <f t="shared" si="0"/>
        <v/>
      </c>
      <c r="AF4261" s="15" t="str">
        <f t="shared" si="1"/>
        <v/>
      </c>
      <c r="AG4261" s="15" t="str">
        <f>IF(OR(AF4261="",AF4261="ERRO_CHAVE"),"",IFERROR(MATCH(AF4261,'quitado Despesa'!$V$1:$V$12,0),""))</f>
        <v/>
      </c>
      <c r="AH4261" s="15" t="str">
        <f t="shared" si="2"/>
        <v/>
      </c>
      <c r="AI4261" s="17" t="str">
        <f>IF(AG4261="","",INDEX('quitado Despesa'!$G$1:$G$12,AG4261))</f>
        <v/>
      </c>
      <c r="AJ4261" s="17" t="str">
        <f t="shared" si="3"/>
        <v/>
      </c>
    </row>
    <row r="4262" spans="31:36">
      <c r="AE4262" s="15" t="str">
        <f t="shared" si="0"/>
        <v/>
      </c>
      <c r="AF4262" s="15" t="str">
        <f t="shared" si="1"/>
        <v/>
      </c>
      <c r="AG4262" s="15" t="str">
        <f>IF(OR(AF4262="",AF4262="ERRO_CHAVE"),"",IFERROR(MATCH(AF4262,'quitado Despesa'!$V$1:$V$12,0),""))</f>
        <v/>
      </c>
      <c r="AH4262" s="15" t="str">
        <f t="shared" si="2"/>
        <v/>
      </c>
      <c r="AI4262" s="17" t="str">
        <f>IF(AG4262="","",INDEX('quitado Despesa'!$G$1:$G$12,AG4262))</f>
        <v/>
      </c>
      <c r="AJ4262" s="17" t="str">
        <f t="shared" si="3"/>
        <v/>
      </c>
    </row>
    <row r="4263" spans="31:36">
      <c r="AE4263" s="15" t="str">
        <f t="shared" si="0"/>
        <v/>
      </c>
      <c r="AF4263" s="15" t="str">
        <f t="shared" si="1"/>
        <v/>
      </c>
      <c r="AG4263" s="15" t="str">
        <f>IF(OR(AF4263="",AF4263="ERRO_CHAVE"),"",IFERROR(MATCH(AF4263,'quitado Despesa'!$V$1:$V$12,0),""))</f>
        <v/>
      </c>
      <c r="AH4263" s="15" t="str">
        <f t="shared" si="2"/>
        <v/>
      </c>
      <c r="AI4263" s="17" t="str">
        <f>IF(AG4263="","",INDEX('quitado Despesa'!$G$1:$G$12,AG4263))</f>
        <v/>
      </c>
      <c r="AJ4263" s="17" t="str">
        <f t="shared" si="3"/>
        <v/>
      </c>
    </row>
    <row r="4264" spans="31:36">
      <c r="AE4264" s="15" t="str">
        <f t="shared" si="0"/>
        <v/>
      </c>
      <c r="AF4264" s="15" t="str">
        <f t="shared" si="1"/>
        <v/>
      </c>
      <c r="AG4264" s="15" t="str">
        <f>IF(OR(AF4264="",AF4264="ERRO_CHAVE"),"",IFERROR(MATCH(AF4264,'quitado Despesa'!$V$1:$V$12,0),""))</f>
        <v/>
      </c>
      <c r="AH4264" s="15" t="str">
        <f t="shared" si="2"/>
        <v/>
      </c>
      <c r="AI4264" s="17" t="str">
        <f>IF(AG4264="","",INDEX('quitado Despesa'!$G$1:$G$12,AG4264))</f>
        <v/>
      </c>
      <c r="AJ4264" s="17" t="str">
        <f t="shared" si="3"/>
        <v/>
      </c>
    </row>
    <row r="4265" spans="31:36">
      <c r="AE4265" s="15" t="str">
        <f t="shared" si="0"/>
        <v/>
      </c>
      <c r="AF4265" s="15" t="str">
        <f t="shared" si="1"/>
        <v/>
      </c>
      <c r="AG4265" s="15" t="str">
        <f>IF(OR(AF4265="",AF4265="ERRO_CHAVE"),"",IFERROR(MATCH(AF4265,'quitado Despesa'!$V$1:$V$12,0),""))</f>
        <v/>
      </c>
      <c r="AH4265" s="15" t="str">
        <f t="shared" si="2"/>
        <v/>
      </c>
      <c r="AI4265" s="17" t="str">
        <f>IF(AG4265="","",INDEX('quitado Despesa'!$G$1:$G$12,AG4265))</f>
        <v/>
      </c>
      <c r="AJ4265" s="17" t="str">
        <f t="shared" si="3"/>
        <v/>
      </c>
    </row>
    <row r="4266" spans="31:36">
      <c r="AE4266" s="15" t="str">
        <f t="shared" si="0"/>
        <v/>
      </c>
      <c r="AF4266" s="15" t="str">
        <f t="shared" si="1"/>
        <v/>
      </c>
      <c r="AG4266" s="15" t="str">
        <f>IF(OR(AF4266="",AF4266="ERRO_CHAVE"),"",IFERROR(MATCH(AF4266,'quitado Despesa'!$V$1:$V$12,0),""))</f>
        <v/>
      </c>
      <c r="AH4266" s="15" t="str">
        <f t="shared" si="2"/>
        <v/>
      </c>
      <c r="AI4266" s="17" t="str">
        <f>IF(AG4266="","",INDEX('quitado Despesa'!$G$1:$G$12,AG4266))</f>
        <v/>
      </c>
      <c r="AJ4266" s="17" t="str">
        <f t="shared" si="3"/>
        <v/>
      </c>
    </row>
    <row r="4267" spans="31:36">
      <c r="AE4267" s="15" t="str">
        <f t="shared" si="0"/>
        <v/>
      </c>
      <c r="AF4267" s="15" t="str">
        <f t="shared" si="1"/>
        <v/>
      </c>
      <c r="AG4267" s="15" t="str">
        <f>IF(OR(AF4267="",AF4267="ERRO_CHAVE"),"",IFERROR(MATCH(AF4267,'quitado Despesa'!$V$1:$V$12,0),""))</f>
        <v/>
      </c>
      <c r="AH4267" s="15" t="str">
        <f t="shared" si="2"/>
        <v/>
      </c>
      <c r="AI4267" s="17" t="str">
        <f>IF(AG4267="","",INDEX('quitado Despesa'!$G$1:$G$12,AG4267))</f>
        <v/>
      </c>
      <c r="AJ4267" s="17" t="str">
        <f t="shared" si="3"/>
        <v/>
      </c>
    </row>
    <row r="4268" spans="31:36">
      <c r="AE4268" s="15" t="str">
        <f t="shared" si="0"/>
        <v/>
      </c>
      <c r="AF4268" s="15" t="str">
        <f t="shared" si="1"/>
        <v/>
      </c>
      <c r="AG4268" s="15" t="str">
        <f>IF(OR(AF4268="",AF4268="ERRO_CHAVE"),"",IFERROR(MATCH(AF4268,'quitado Despesa'!$V$1:$V$12,0),""))</f>
        <v/>
      </c>
      <c r="AH4268" s="15" t="str">
        <f t="shared" si="2"/>
        <v/>
      </c>
      <c r="AI4268" s="17" t="str">
        <f>IF(AG4268="","",INDEX('quitado Despesa'!$G$1:$G$12,AG4268))</f>
        <v/>
      </c>
      <c r="AJ4268" s="17" t="str">
        <f t="shared" si="3"/>
        <v/>
      </c>
    </row>
    <row r="4269" spans="31:36">
      <c r="AE4269" s="15" t="str">
        <f t="shared" si="0"/>
        <v/>
      </c>
      <c r="AF4269" s="15" t="str">
        <f t="shared" si="1"/>
        <v/>
      </c>
      <c r="AG4269" s="15" t="str">
        <f>IF(OR(AF4269="",AF4269="ERRO_CHAVE"),"",IFERROR(MATCH(AF4269,'quitado Despesa'!$V$1:$V$12,0),""))</f>
        <v/>
      </c>
      <c r="AH4269" s="15" t="str">
        <f t="shared" si="2"/>
        <v/>
      </c>
      <c r="AI4269" s="17" t="str">
        <f>IF(AG4269="","",INDEX('quitado Despesa'!$G$1:$G$12,AG4269))</f>
        <v/>
      </c>
      <c r="AJ4269" s="17" t="str">
        <f t="shared" si="3"/>
        <v/>
      </c>
    </row>
    <row r="4270" spans="31:36">
      <c r="AE4270" s="15" t="str">
        <f t="shared" si="0"/>
        <v/>
      </c>
      <c r="AF4270" s="15" t="str">
        <f t="shared" si="1"/>
        <v/>
      </c>
      <c r="AG4270" s="15" t="str">
        <f>IF(OR(AF4270="",AF4270="ERRO_CHAVE"),"",IFERROR(MATCH(AF4270,'quitado Despesa'!$V$1:$V$12,0),""))</f>
        <v/>
      </c>
      <c r="AH4270" s="15" t="str">
        <f t="shared" si="2"/>
        <v/>
      </c>
      <c r="AI4270" s="17" t="str">
        <f>IF(AG4270="","",INDEX('quitado Despesa'!$G$1:$G$12,AG4270))</f>
        <v/>
      </c>
      <c r="AJ4270" s="17" t="str">
        <f t="shared" si="3"/>
        <v/>
      </c>
    </row>
    <row r="4271" spans="31:36">
      <c r="AE4271" s="15" t="str">
        <f t="shared" si="0"/>
        <v/>
      </c>
      <c r="AF4271" s="15" t="str">
        <f t="shared" si="1"/>
        <v/>
      </c>
      <c r="AG4271" s="15" t="str">
        <f>IF(OR(AF4271="",AF4271="ERRO_CHAVE"),"",IFERROR(MATCH(AF4271,'quitado Despesa'!$V$1:$V$12,0),""))</f>
        <v/>
      </c>
      <c r="AH4271" s="15" t="str">
        <f t="shared" si="2"/>
        <v/>
      </c>
      <c r="AI4271" s="17" t="str">
        <f>IF(AG4271="","",INDEX('quitado Despesa'!$G$1:$G$12,AG4271))</f>
        <v/>
      </c>
      <c r="AJ4271" s="17" t="str">
        <f t="shared" si="3"/>
        <v/>
      </c>
    </row>
    <row r="4272" spans="31:36">
      <c r="AE4272" s="15" t="str">
        <f t="shared" si="0"/>
        <v/>
      </c>
      <c r="AF4272" s="15" t="str">
        <f t="shared" si="1"/>
        <v/>
      </c>
      <c r="AG4272" s="15" t="str">
        <f>IF(OR(AF4272="",AF4272="ERRO_CHAVE"),"",IFERROR(MATCH(AF4272,'quitado Despesa'!$V$1:$V$12,0),""))</f>
        <v/>
      </c>
      <c r="AH4272" s="15" t="str">
        <f t="shared" si="2"/>
        <v/>
      </c>
      <c r="AI4272" s="17" t="str">
        <f>IF(AG4272="","",INDEX('quitado Despesa'!$G$1:$G$12,AG4272))</f>
        <v/>
      </c>
      <c r="AJ4272" s="17" t="str">
        <f t="shared" si="3"/>
        <v/>
      </c>
    </row>
    <row r="4273" spans="31:36">
      <c r="AE4273" s="15" t="str">
        <f t="shared" si="0"/>
        <v/>
      </c>
      <c r="AF4273" s="15" t="str">
        <f t="shared" si="1"/>
        <v/>
      </c>
      <c r="AG4273" s="15" t="str">
        <f>IF(OR(AF4273="",AF4273="ERRO_CHAVE"),"",IFERROR(MATCH(AF4273,'quitado Despesa'!$V$1:$V$12,0),""))</f>
        <v/>
      </c>
      <c r="AH4273" s="15" t="str">
        <f t="shared" si="2"/>
        <v/>
      </c>
      <c r="AI4273" s="17" t="str">
        <f>IF(AG4273="","",INDEX('quitado Despesa'!$G$1:$G$12,AG4273))</f>
        <v/>
      </c>
      <c r="AJ4273" s="17" t="str">
        <f t="shared" si="3"/>
        <v/>
      </c>
    </row>
    <row r="4274" spans="31:36">
      <c r="AE4274" s="15" t="str">
        <f t="shared" si="0"/>
        <v/>
      </c>
      <c r="AF4274" s="15" t="str">
        <f t="shared" si="1"/>
        <v/>
      </c>
      <c r="AG4274" s="15" t="str">
        <f>IF(OR(AF4274="",AF4274="ERRO_CHAVE"),"",IFERROR(MATCH(AF4274,'quitado Despesa'!$V$1:$V$12,0),""))</f>
        <v/>
      </c>
      <c r="AH4274" s="15" t="str">
        <f t="shared" si="2"/>
        <v/>
      </c>
      <c r="AI4274" s="17" t="str">
        <f>IF(AG4274="","",INDEX('quitado Despesa'!$G$1:$G$12,AG4274))</f>
        <v/>
      </c>
      <c r="AJ4274" s="17" t="str">
        <f t="shared" si="3"/>
        <v/>
      </c>
    </row>
    <row r="4275" spans="31:36">
      <c r="AE4275" s="15" t="str">
        <f t="shared" si="0"/>
        <v/>
      </c>
      <c r="AF4275" s="15" t="str">
        <f t="shared" si="1"/>
        <v/>
      </c>
      <c r="AG4275" s="15" t="str">
        <f>IF(OR(AF4275="",AF4275="ERRO_CHAVE"),"",IFERROR(MATCH(AF4275,'quitado Despesa'!$V$1:$V$12,0),""))</f>
        <v/>
      </c>
      <c r="AH4275" s="15" t="str">
        <f t="shared" si="2"/>
        <v/>
      </c>
      <c r="AI4275" s="17" t="str">
        <f>IF(AG4275="","",INDEX('quitado Despesa'!$G$1:$G$12,AG4275))</f>
        <v/>
      </c>
      <c r="AJ4275" s="17" t="str">
        <f t="shared" si="3"/>
        <v/>
      </c>
    </row>
    <row r="4276" spans="31:36">
      <c r="AE4276" s="15" t="str">
        <f t="shared" si="0"/>
        <v/>
      </c>
      <c r="AF4276" s="15" t="str">
        <f t="shared" si="1"/>
        <v/>
      </c>
      <c r="AG4276" s="15" t="str">
        <f>IF(OR(AF4276="",AF4276="ERRO_CHAVE"),"",IFERROR(MATCH(AF4276,'quitado Despesa'!$V$1:$V$12,0),""))</f>
        <v/>
      </c>
      <c r="AH4276" s="15" t="str">
        <f t="shared" si="2"/>
        <v/>
      </c>
      <c r="AI4276" s="17" t="str">
        <f>IF(AG4276="","",INDEX('quitado Despesa'!$G$1:$G$12,AG4276))</f>
        <v/>
      </c>
      <c r="AJ4276" s="17" t="str">
        <f t="shared" si="3"/>
        <v/>
      </c>
    </row>
    <row r="4277" spans="31:36">
      <c r="AE4277" s="15" t="str">
        <f t="shared" si="0"/>
        <v/>
      </c>
      <c r="AF4277" s="15" t="str">
        <f t="shared" si="1"/>
        <v/>
      </c>
      <c r="AG4277" s="15" t="str">
        <f>IF(OR(AF4277="",AF4277="ERRO_CHAVE"),"",IFERROR(MATCH(AF4277,'quitado Despesa'!$V$1:$V$12,0),""))</f>
        <v/>
      </c>
      <c r="AH4277" s="15" t="str">
        <f t="shared" si="2"/>
        <v/>
      </c>
      <c r="AI4277" s="17" t="str">
        <f>IF(AG4277="","",INDEX('quitado Despesa'!$G$1:$G$12,AG4277))</f>
        <v/>
      </c>
      <c r="AJ4277" s="17" t="str">
        <f t="shared" si="3"/>
        <v/>
      </c>
    </row>
    <row r="4278" spans="31:36">
      <c r="AE4278" s="15" t="str">
        <f t="shared" si="0"/>
        <v/>
      </c>
      <c r="AF4278" s="15" t="str">
        <f t="shared" si="1"/>
        <v/>
      </c>
      <c r="AG4278" s="15" t="str">
        <f>IF(OR(AF4278="",AF4278="ERRO_CHAVE"),"",IFERROR(MATCH(AF4278,'quitado Despesa'!$V$1:$V$12,0),""))</f>
        <v/>
      </c>
      <c r="AH4278" s="15" t="str">
        <f t="shared" si="2"/>
        <v/>
      </c>
      <c r="AI4278" s="17" t="str">
        <f>IF(AG4278="","",INDEX('quitado Despesa'!$G$1:$G$12,AG4278))</f>
        <v/>
      </c>
      <c r="AJ4278" s="17" t="str">
        <f t="shared" si="3"/>
        <v/>
      </c>
    </row>
    <row r="4279" spans="31:36">
      <c r="AE4279" s="15" t="str">
        <f t="shared" si="0"/>
        <v/>
      </c>
      <c r="AF4279" s="15" t="str">
        <f t="shared" si="1"/>
        <v/>
      </c>
      <c r="AG4279" s="15" t="str">
        <f>IF(OR(AF4279="",AF4279="ERRO_CHAVE"),"",IFERROR(MATCH(AF4279,'quitado Despesa'!$V$1:$V$12,0),""))</f>
        <v/>
      </c>
      <c r="AH4279" s="15" t="str">
        <f t="shared" si="2"/>
        <v/>
      </c>
      <c r="AI4279" s="17" t="str">
        <f>IF(AG4279="","",INDEX('quitado Despesa'!$G$1:$G$12,AG4279))</f>
        <v/>
      </c>
      <c r="AJ4279" s="17" t="str">
        <f t="shared" si="3"/>
        <v/>
      </c>
    </row>
    <row r="4280" spans="31:36">
      <c r="AE4280" s="15" t="str">
        <f t="shared" si="0"/>
        <v/>
      </c>
      <c r="AF4280" s="15" t="str">
        <f t="shared" si="1"/>
        <v/>
      </c>
      <c r="AG4280" s="15" t="str">
        <f>IF(OR(AF4280="",AF4280="ERRO_CHAVE"),"",IFERROR(MATCH(AF4280,'quitado Despesa'!$V$1:$V$12,0),""))</f>
        <v/>
      </c>
      <c r="AH4280" s="15" t="str">
        <f t="shared" si="2"/>
        <v/>
      </c>
      <c r="AI4280" s="17" t="str">
        <f>IF(AG4280="","",INDEX('quitado Despesa'!$G$1:$G$12,AG4280))</f>
        <v/>
      </c>
      <c r="AJ4280" s="17" t="str">
        <f t="shared" si="3"/>
        <v/>
      </c>
    </row>
    <row r="4281" spans="31:36">
      <c r="AE4281" s="15" t="str">
        <f t="shared" si="0"/>
        <v/>
      </c>
      <c r="AF4281" s="15" t="str">
        <f t="shared" si="1"/>
        <v/>
      </c>
      <c r="AG4281" s="15" t="str">
        <f>IF(OR(AF4281="",AF4281="ERRO_CHAVE"),"",IFERROR(MATCH(AF4281,'quitado Despesa'!$V$1:$V$12,0),""))</f>
        <v/>
      </c>
      <c r="AH4281" s="15" t="str">
        <f t="shared" si="2"/>
        <v/>
      </c>
      <c r="AI4281" s="17" t="str">
        <f>IF(AG4281="","",INDEX('quitado Despesa'!$G$1:$G$12,AG4281))</f>
        <v/>
      </c>
      <c r="AJ4281" s="17" t="str">
        <f t="shared" si="3"/>
        <v/>
      </c>
    </row>
    <row r="4282" spans="31:36">
      <c r="AE4282" s="15" t="str">
        <f t="shared" si="0"/>
        <v/>
      </c>
      <c r="AF4282" s="15" t="str">
        <f t="shared" si="1"/>
        <v/>
      </c>
      <c r="AG4282" s="15" t="str">
        <f>IF(OR(AF4282="",AF4282="ERRO_CHAVE"),"",IFERROR(MATCH(AF4282,'quitado Despesa'!$V$1:$V$12,0),""))</f>
        <v/>
      </c>
      <c r="AH4282" s="15" t="str">
        <f t="shared" si="2"/>
        <v/>
      </c>
      <c r="AI4282" s="17" t="str">
        <f>IF(AG4282="","",INDEX('quitado Despesa'!$G$1:$G$12,AG4282))</f>
        <v/>
      </c>
      <c r="AJ4282" s="17" t="str">
        <f t="shared" si="3"/>
        <v/>
      </c>
    </row>
    <row r="4283" spans="31:36">
      <c r="AE4283" s="15" t="str">
        <f t="shared" si="0"/>
        <v/>
      </c>
      <c r="AF4283" s="15" t="str">
        <f t="shared" si="1"/>
        <v/>
      </c>
      <c r="AG4283" s="15" t="str">
        <f>IF(OR(AF4283="",AF4283="ERRO_CHAVE"),"",IFERROR(MATCH(AF4283,'quitado Despesa'!$V$1:$V$12,0),""))</f>
        <v/>
      </c>
      <c r="AH4283" s="15" t="str">
        <f t="shared" si="2"/>
        <v/>
      </c>
      <c r="AI4283" s="17" t="str">
        <f>IF(AG4283="","",INDEX('quitado Despesa'!$G$1:$G$12,AG4283))</f>
        <v/>
      </c>
      <c r="AJ4283" s="17" t="str">
        <f t="shared" si="3"/>
        <v/>
      </c>
    </row>
    <row r="4284" spans="31:36">
      <c r="AE4284" s="15" t="str">
        <f t="shared" si="0"/>
        <v/>
      </c>
      <c r="AF4284" s="15" t="str">
        <f t="shared" si="1"/>
        <v/>
      </c>
      <c r="AG4284" s="15" t="str">
        <f>IF(OR(AF4284="",AF4284="ERRO_CHAVE"),"",IFERROR(MATCH(AF4284,'quitado Despesa'!$V$1:$V$12,0),""))</f>
        <v/>
      </c>
      <c r="AH4284" s="15" t="str">
        <f t="shared" si="2"/>
        <v/>
      </c>
      <c r="AI4284" s="17" t="str">
        <f>IF(AG4284="","",INDEX('quitado Despesa'!$G$1:$G$12,AG4284))</f>
        <v/>
      </c>
      <c r="AJ4284" s="17" t="str">
        <f t="shared" si="3"/>
        <v/>
      </c>
    </row>
    <row r="4285" spans="31:36">
      <c r="AE4285" s="15" t="str">
        <f t="shared" si="0"/>
        <v/>
      </c>
      <c r="AF4285" s="15" t="str">
        <f t="shared" si="1"/>
        <v/>
      </c>
      <c r="AG4285" s="15" t="str">
        <f>IF(OR(AF4285="",AF4285="ERRO_CHAVE"),"",IFERROR(MATCH(AF4285,'quitado Despesa'!$V$1:$V$12,0),""))</f>
        <v/>
      </c>
      <c r="AH4285" s="15" t="str">
        <f t="shared" si="2"/>
        <v/>
      </c>
      <c r="AI4285" s="17" t="str">
        <f>IF(AG4285="","",INDEX('quitado Despesa'!$G$1:$G$12,AG4285))</f>
        <v/>
      </c>
      <c r="AJ4285" s="17" t="str">
        <f t="shared" si="3"/>
        <v/>
      </c>
    </row>
    <row r="4286" spans="31:36">
      <c r="AE4286" s="15" t="str">
        <f t="shared" si="0"/>
        <v/>
      </c>
      <c r="AF4286" s="15" t="str">
        <f t="shared" si="1"/>
        <v/>
      </c>
      <c r="AG4286" s="15" t="str">
        <f>IF(OR(AF4286="",AF4286="ERRO_CHAVE"),"",IFERROR(MATCH(AF4286,'quitado Despesa'!$V$1:$V$12,0),""))</f>
        <v/>
      </c>
      <c r="AH4286" s="15" t="str">
        <f t="shared" si="2"/>
        <v/>
      </c>
      <c r="AI4286" s="17" t="str">
        <f>IF(AG4286="","",INDEX('quitado Despesa'!$G$1:$G$12,AG4286))</f>
        <v/>
      </c>
      <c r="AJ4286" s="17" t="str">
        <f t="shared" si="3"/>
        <v/>
      </c>
    </row>
    <row r="4287" spans="31:36">
      <c r="AE4287" s="15" t="str">
        <f t="shared" si="0"/>
        <v/>
      </c>
      <c r="AF4287" s="15" t="str">
        <f t="shared" si="1"/>
        <v/>
      </c>
      <c r="AG4287" s="15" t="str">
        <f>IF(OR(AF4287="",AF4287="ERRO_CHAVE"),"",IFERROR(MATCH(AF4287,'quitado Despesa'!$V$1:$V$12,0),""))</f>
        <v/>
      </c>
      <c r="AH4287" s="15" t="str">
        <f t="shared" si="2"/>
        <v/>
      </c>
      <c r="AI4287" s="17" t="str">
        <f>IF(AG4287="","",INDEX('quitado Despesa'!$G$1:$G$12,AG4287))</f>
        <v/>
      </c>
      <c r="AJ4287" s="17" t="str">
        <f t="shared" si="3"/>
        <v/>
      </c>
    </row>
    <row r="4288" spans="31:36">
      <c r="AE4288" s="15" t="str">
        <f t="shared" si="0"/>
        <v/>
      </c>
      <c r="AF4288" s="15" t="str">
        <f t="shared" si="1"/>
        <v/>
      </c>
      <c r="AG4288" s="15" t="str">
        <f>IF(OR(AF4288="",AF4288="ERRO_CHAVE"),"",IFERROR(MATCH(AF4288,'quitado Despesa'!$V$1:$V$12,0),""))</f>
        <v/>
      </c>
      <c r="AH4288" s="15" t="str">
        <f t="shared" si="2"/>
        <v/>
      </c>
      <c r="AI4288" s="17" t="str">
        <f>IF(AG4288="","",INDEX('quitado Despesa'!$G$1:$G$12,AG4288))</f>
        <v/>
      </c>
      <c r="AJ4288" s="17" t="str">
        <f t="shared" si="3"/>
        <v/>
      </c>
    </row>
    <row r="4289" spans="31:36">
      <c r="AE4289" s="15" t="str">
        <f t="shared" si="0"/>
        <v/>
      </c>
      <c r="AF4289" s="15" t="str">
        <f t="shared" si="1"/>
        <v/>
      </c>
      <c r="AG4289" s="15" t="str">
        <f>IF(OR(AF4289="",AF4289="ERRO_CHAVE"),"",IFERROR(MATCH(AF4289,'quitado Despesa'!$V$1:$V$12,0),""))</f>
        <v/>
      </c>
      <c r="AH4289" s="15" t="str">
        <f t="shared" si="2"/>
        <v/>
      </c>
      <c r="AI4289" s="17" t="str">
        <f>IF(AG4289="","",INDEX('quitado Despesa'!$G$1:$G$12,AG4289))</f>
        <v/>
      </c>
      <c r="AJ4289" s="17" t="str">
        <f t="shared" si="3"/>
        <v/>
      </c>
    </row>
    <row r="4290" spans="31:36">
      <c r="AE4290" s="15" t="str">
        <f t="shared" si="0"/>
        <v/>
      </c>
      <c r="AF4290" s="15" t="str">
        <f t="shared" si="1"/>
        <v/>
      </c>
      <c r="AG4290" s="15" t="str">
        <f>IF(OR(AF4290="",AF4290="ERRO_CHAVE"),"",IFERROR(MATCH(AF4290,'quitado Despesa'!$V$1:$V$12,0),""))</f>
        <v/>
      </c>
      <c r="AH4290" s="15" t="str">
        <f t="shared" si="2"/>
        <v/>
      </c>
      <c r="AI4290" s="17" t="str">
        <f>IF(AG4290="","",INDEX('quitado Despesa'!$G$1:$G$12,AG4290))</f>
        <v/>
      </c>
      <c r="AJ4290" s="17" t="str">
        <f t="shared" si="3"/>
        <v/>
      </c>
    </row>
    <row r="4291" spans="31:36">
      <c r="AE4291" s="15" t="str">
        <f t="shared" si="0"/>
        <v/>
      </c>
      <c r="AF4291" s="15" t="str">
        <f t="shared" si="1"/>
        <v/>
      </c>
      <c r="AG4291" s="15" t="str">
        <f>IF(OR(AF4291="",AF4291="ERRO_CHAVE"),"",IFERROR(MATCH(AF4291,'quitado Despesa'!$V$1:$V$12,0),""))</f>
        <v/>
      </c>
      <c r="AH4291" s="15" t="str">
        <f t="shared" si="2"/>
        <v/>
      </c>
      <c r="AI4291" s="17" t="str">
        <f>IF(AG4291="","",INDEX('quitado Despesa'!$G$1:$G$12,AG4291))</f>
        <v/>
      </c>
      <c r="AJ4291" s="17" t="str">
        <f t="shared" si="3"/>
        <v/>
      </c>
    </row>
    <row r="4292" spans="31:36">
      <c r="AE4292" s="15" t="str">
        <f t="shared" si="0"/>
        <v/>
      </c>
      <c r="AF4292" s="15" t="str">
        <f t="shared" si="1"/>
        <v/>
      </c>
      <c r="AG4292" s="15" t="str">
        <f>IF(OR(AF4292="",AF4292="ERRO_CHAVE"),"",IFERROR(MATCH(AF4292,'quitado Despesa'!$V$1:$V$12,0),""))</f>
        <v/>
      </c>
      <c r="AH4292" s="15" t="str">
        <f t="shared" si="2"/>
        <v/>
      </c>
      <c r="AI4292" s="17" t="str">
        <f>IF(AG4292="","",INDEX('quitado Despesa'!$G$1:$G$12,AG4292))</f>
        <v/>
      </c>
      <c r="AJ4292" s="17" t="str">
        <f t="shared" si="3"/>
        <v/>
      </c>
    </row>
    <row r="4293" spans="31:36">
      <c r="AE4293" s="15" t="str">
        <f t="shared" si="0"/>
        <v/>
      </c>
      <c r="AF4293" s="15" t="str">
        <f t="shared" si="1"/>
        <v/>
      </c>
      <c r="AG4293" s="15" t="str">
        <f>IF(OR(AF4293="",AF4293="ERRO_CHAVE"),"",IFERROR(MATCH(AF4293,'quitado Despesa'!$V$1:$V$12,0),""))</f>
        <v/>
      </c>
      <c r="AH4293" s="15" t="str">
        <f t="shared" si="2"/>
        <v/>
      </c>
      <c r="AI4293" s="17" t="str">
        <f>IF(AG4293="","",INDEX('quitado Despesa'!$G$1:$G$12,AG4293))</f>
        <v/>
      </c>
      <c r="AJ4293" s="17" t="str">
        <f t="shared" si="3"/>
        <v/>
      </c>
    </row>
    <row r="4294" spans="31:36">
      <c r="AE4294" s="15" t="str">
        <f t="shared" si="0"/>
        <v/>
      </c>
      <c r="AF4294" s="15" t="str">
        <f t="shared" si="1"/>
        <v/>
      </c>
      <c r="AG4294" s="15" t="str">
        <f>IF(OR(AF4294="",AF4294="ERRO_CHAVE"),"",IFERROR(MATCH(AF4294,'quitado Despesa'!$V$1:$V$12,0),""))</f>
        <v/>
      </c>
      <c r="AH4294" s="15" t="str">
        <f t="shared" si="2"/>
        <v/>
      </c>
      <c r="AI4294" s="17" t="str">
        <f>IF(AG4294="","",INDEX('quitado Despesa'!$G$1:$G$12,AG4294))</f>
        <v/>
      </c>
      <c r="AJ4294" s="17" t="str">
        <f t="shared" si="3"/>
        <v/>
      </c>
    </row>
    <row r="4295" spans="31:36">
      <c r="AE4295" s="15" t="str">
        <f t="shared" si="0"/>
        <v/>
      </c>
      <c r="AF4295" s="15" t="str">
        <f t="shared" si="1"/>
        <v/>
      </c>
      <c r="AG4295" s="15" t="str">
        <f>IF(OR(AF4295="",AF4295="ERRO_CHAVE"),"",IFERROR(MATCH(AF4295,'quitado Despesa'!$V$1:$V$12,0),""))</f>
        <v/>
      </c>
      <c r="AH4295" s="15" t="str">
        <f t="shared" si="2"/>
        <v/>
      </c>
      <c r="AI4295" s="17" t="str">
        <f>IF(AG4295="","",INDEX('quitado Despesa'!$G$1:$G$12,AG4295))</f>
        <v/>
      </c>
      <c r="AJ4295" s="17" t="str">
        <f t="shared" si="3"/>
        <v/>
      </c>
    </row>
    <row r="4296" spans="31:36">
      <c r="AE4296" s="15" t="str">
        <f t="shared" si="0"/>
        <v/>
      </c>
      <c r="AF4296" s="15" t="str">
        <f t="shared" si="1"/>
        <v/>
      </c>
      <c r="AG4296" s="15" t="str">
        <f>IF(OR(AF4296="",AF4296="ERRO_CHAVE"),"",IFERROR(MATCH(AF4296,'quitado Despesa'!$V$1:$V$12,0),""))</f>
        <v/>
      </c>
      <c r="AH4296" s="15" t="str">
        <f t="shared" si="2"/>
        <v/>
      </c>
      <c r="AI4296" s="17" t="str">
        <f>IF(AG4296="","",INDEX('quitado Despesa'!$G$1:$G$12,AG4296))</f>
        <v/>
      </c>
      <c r="AJ4296" s="17" t="str">
        <f t="shared" si="3"/>
        <v/>
      </c>
    </row>
    <row r="4297" spans="31:36">
      <c r="AE4297" s="15" t="str">
        <f t="shared" si="0"/>
        <v/>
      </c>
      <c r="AF4297" s="15" t="str">
        <f t="shared" si="1"/>
        <v/>
      </c>
      <c r="AG4297" s="15" t="str">
        <f>IF(OR(AF4297="",AF4297="ERRO_CHAVE"),"",IFERROR(MATCH(AF4297,'quitado Despesa'!$V$1:$V$12,0),""))</f>
        <v/>
      </c>
      <c r="AH4297" s="15" t="str">
        <f t="shared" si="2"/>
        <v/>
      </c>
      <c r="AI4297" s="17" t="str">
        <f>IF(AG4297="","",INDEX('quitado Despesa'!$G$1:$G$12,AG4297))</f>
        <v/>
      </c>
      <c r="AJ4297" s="17" t="str">
        <f t="shared" si="3"/>
        <v/>
      </c>
    </row>
    <row r="4298" spans="31:36">
      <c r="AE4298" s="15" t="str">
        <f t="shared" si="0"/>
        <v/>
      </c>
      <c r="AF4298" s="15" t="str">
        <f t="shared" si="1"/>
        <v/>
      </c>
      <c r="AG4298" s="15" t="str">
        <f>IF(OR(AF4298="",AF4298="ERRO_CHAVE"),"",IFERROR(MATCH(AF4298,'quitado Despesa'!$V$1:$V$12,0),""))</f>
        <v/>
      </c>
      <c r="AH4298" s="15" t="str">
        <f t="shared" si="2"/>
        <v/>
      </c>
      <c r="AI4298" s="17" t="str">
        <f>IF(AG4298="","",INDEX('quitado Despesa'!$G$1:$G$12,AG4298))</f>
        <v/>
      </c>
      <c r="AJ4298" s="17" t="str">
        <f t="shared" si="3"/>
        <v/>
      </c>
    </row>
    <row r="4299" spans="31:36">
      <c r="AE4299" s="15" t="str">
        <f t="shared" si="0"/>
        <v/>
      </c>
      <c r="AF4299" s="15" t="str">
        <f t="shared" si="1"/>
        <v/>
      </c>
      <c r="AG4299" s="15" t="str">
        <f>IF(OR(AF4299="",AF4299="ERRO_CHAVE"),"",IFERROR(MATCH(AF4299,'quitado Despesa'!$V$1:$V$12,0),""))</f>
        <v/>
      </c>
      <c r="AH4299" s="15" t="str">
        <f t="shared" si="2"/>
        <v/>
      </c>
      <c r="AI4299" s="17" t="str">
        <f>IF(AG4299="","",INDEX('quitado Despesa'!$G$1:$G$12,AG4299))</f>
        <v/>
      </c>
      <c r="AJ4299" s="17" t="str">
        <f t="shared" si="3"/>
        <v/>
      </c>
    </row>
    <row r="4300" spans="31:36">
      <c r="AE4300" s="15" t="str">
        <f t="shared" si="0"/>
        <v/>
      </c>
      <c r="AF4300" s="15" t="str">
        <f t="shared" si="1"/>
        <v/>
      </c>
      <c r="AG4300" s="15" t="str">
        <f>IF(OR(AF4300="",AF4300="ERRO_CHAVE"),"",IFERROR(MATCH(AF4300,'quitado Despesa'!$V$1:$V$12,0),""))</f>
        <v/>
      </c>
      <c r="AH4300" s="15" t="str">
        <f t="shared" si="2"/>
        <v/>
      </c>
      <c r="AI4300" s="17" t="str">
        <f>IF(AG4300="","",INDEX('quitado Despesa'!$G$1:$G$12,AG4300))</f>
        <v/>
      </c>
      <c r="AJ4300" s="17" t="str">
        <f t="shared" si="3"/>
        <v/>
      </c>
    </row>
    <row r="4301" spans="31:36">
      <c r="AE4301" s="15" t="str">
        <f t="shared" si="0"/>
        <v/>
      </c>
      <c r="AF4301" s="15" t="str">
        <f t="shared" si="1"/>
        <v/>
      </c>
      <c r="AG4301" s="15" t="str">
        <f>IF(OR(AF4301="",AF4301="ERRO_CHAVE"),"",IFERROR(MATCH(AF4301,'quitado Despesa'!$V$1:$V$12,0),""))</f>
        <v/>
      </c>
      <c r="AH4301" s="15" t="str">
        <f t="shared" si="2"/>
        <v/>
      </c>
      <c r="AI4301" s="17" t="str">
        <f>IF(AG4301="","",INDEX('quitado Despesa'!$G$1:$G$12,AG4301))</f>
        <v/>
      </c>
      <c r="AJ4301" s="17" t="str">
        <f t="shared" si="3"/>
        <v/>
      </c>
    </row>
    <row r="4302" spans="31:36">
      <c r="AE4302" s="15" t="str">
        <f t="shared" si="0"/>
        <v/>
      </c>
      <c r="AF4302" s="15" t="str">
        <f t="shared" si="1"/>
        <v/>
      </c>
      <c r="AG4302" s="15" t="str">
        <f>IF(OR(AF4302="",AF4302="ERRO_CHAVE"),"",IFERROR(MATCH(AF4302,'quitado Despesa'!$V$1:$V$12,0),""))</f>
        <v/>
      </c>
      <c r="AH4302" s="15" t="str">
        <f t="shared" si="2"/>
        <v/>
      </c>
      <c r="AI4302" s="17" t="str">
        <f>IF(AG4302="","",INDEX('quitado Despesa'!$G$1:$G$12,AG4302))</f>
        <v/>
      </c>
      <c r="AJ4302" s="17" t="str">
        <f t="shared" si="3"/>
        <v/>
      </c>
    </row>
    <row r="4303" spans="31:36">
      <c r="AE4303" s="15" t="str">
        <f t="shared" si="0"/>
        <v/>
      </c>
      <c r="AF4303" s="15" t="str">
        <f t="shared" si="1"/>
        <v/>
      </c>
      <c r="AG4303" s="15" t="str">
        <f>IF(OR(AF4303="",AF4303="ERRO_CHAVE"),"",IFERROR(MATCH(AF4303,'quitado Despesa'!$V$1:$V$12,0),""))</f>
        <v/>
      </c>
      <c r="AH4303" s="15" t="str">
        <f t="shared" si="2"/>
        <v/>
      </c>
      <c r="AI4303" s="17" t="str">
        <f>IF(AG4303="","",INDEX('quitado Despesa'!$G$1:$G$12,AG4303))</f>
        <v/>
      </c>
      <c r="AJ4303" s="17" t="str">
        <f t="shared" si="3"/>
        <v/>
      </c>
    </row>
    <row r="4304" spans="31:36">
      <c r="AE4304" s="15" t="str">
        <f t="shared" si="0"/>
        <v/>
      </c>
      <c r="AF4304" s="15" t="str">
        <f t="shared" si="1"/>
        <v/>
      </c>
      <c r="AG4304" s="15" t="str">
        <f>IF(OR(AF4304="",AF4304="ERRO_CHAVE"),"",IFERROR(MATCH(AF4304,'quitado Despesa'!$V$1:$V$12,0),""))</f>
        <v/>
      </c>
      <c r="AH4304" s="15" t="str">
        <f t="shared" si="2"/>
        <v/>
      </c>
      <c r="AI4304" s="17" t="str">
        <f>IF(AG4304="","",INDEX('quitado Despesa'!$G$1:$G$12,AG4304))</f>
        <v/>
      </c>
      <c r="AJ4304" s="17" t="str">
        <f t="shared" si="3"/>
        <v/>
      </c>
    </row>
    <row r="4305" spans="31:36">
      <c r="AE4305" s="15" t="str">
        <f t="shared" si="0"/>
        <v/>
      </c>
      <c r="AF4305" s="15" t="str">
        <f t="shared" si="1"/>
        <v/>
      </c>
      <c r="AG4305" s="15" t="str">
        <f>IF(OR(AF4305="",AF4305="ERRO_CHAVE"),"",IFERROR(MATCH(AF4305,'quitado Despesa'!$V$1:$V$12,0),""))</f>
        <v/>
      </c>
      <c r="AH4305" s="15" t="str">
        <f t="shared" si="2"/>
        <v/>
      </c>
      <c r="AI4305" s="17" t="str">
        <f>IF(AG4305="","",INDEX('quitado Despesa'!$G$1:$G$12,AG4305))</f>
        <v/>
      </c>
      <c r="AJ4305" s="17" t="str">
        <f t="shared" si="3"/>
        <v/>
      </c>
    </row>
    <row r="4306" spans="31:36">
      <c r="AE4306" s="15" t="str">
        <f t="shared" si="0"/>
        <v/>
      </c>
      <c r="AF4306" s="15" t="str">
        <f t="shared" si="1"/>
        <v/>
      </c>
      <c r="AG4306" s="15" t="str">
        <f>IF(OR(AF4306="",AF4306="ERRO_CHAVE"),"",IFERROR(MATCH(AF4306,'quitado Despesa'!$V$1:$V$12,0),""))</f>
        <v/>
      </c>
      <c r="AH4306" s="15" t="str">
        <f t="shared" si="2"/>
        <v/>
      </c>
      <c r="AI4306" s="17" t="str">
        <f>IF(AG4306="","",INDEX('quitado Despesa'!$G$1:$G$12,AG4306))</f>
        <v/>
      </c>
      <c r="AJ4306" s="17" t="str">
        <f t="shared" si="3"/>
        <v/>
      </c>
    </row>
    <row r="4307" spans="31:36">
      <c r="AE4307" s="15" t="str">
        <f t="shared" si="0"/>
        <v/>
      </c>
      <c r="AF4307" s="15" t="str">
        <f t="shared" si="1"/>
        <v/>
      </c>
      <c r="AG4307" s="15" t="str">
        <f>IF(OR(AF4307="",AF4307="ERRO_CHAVE"),"",IFERROR(MATCH(AF4307,'quitado Despesa'!$V$1:$V$12,0),""))</f>
        <v/>
      </c>
      <c r="AH4307" s="15" t="str">
        <f t="shared" si="2"/>
        <v/>
      </c>
      <c r="AI4307" s="17" t="str">
        <f>IF(AG4307="","",INDEX('quitado Despesa'!$G$1:$G$12,AG4307))</f>
        <v/>
      </c>
      <c r="AJ4307" s="17" t="str">
        <f t="shared" si="3"/>
        <v/>
      </c>
    </row>
    <row r="4308" spans="31:36">
      <c r="AE4308" s="15" t="str">
        <f t="shared" si="0"/>
        <v/>
      </c>
      <c r="AF4308" s="15" t="str">
        <f t="shared" si="1"/>
        <v/>
      </c>
      <c r="AG4308" s="15" t="str">
        <f>IF(OR(AF4308="",AF4308="ERRO_CHAVE"),"",IFERROR(MATCH(AF4308,'quitado Despesa'!$V$1:$V$12,0),""))</f>
        <v/>
      </c>
      <c r="AH4308" s="15" t="str">
        <f t="shared" si="2"/>
        <v/>
      </c>
      <c r="AI4308" s="17" t="str">
        <f>IF(AG4308="","",INDEX('quitado Despesa'!$G$1:$G$12,AG4308))</f>
        <v/>
      </c>
      <c r="AJ4308" s="17" t="str">
        <f t="shared" si="3"/>
        <v/>
      </c>
    </row>
    <row r="4309" spans="31:36">
      <c r="AE4309" s="15" t="str">
        <f t="shared" si="0"/>
        <v/>
      </c>
      <c r="AF4309" s="15" t="str">
        <f t="shared" si="1"/>
        <v/>
      </c>
      <c r="AG4309" s="15" t="str">
        <f>IF(OR(AF4309="",AF4309="ERRO_CHAVE"),"",IFERROR(MATCH(AF4309,'quitado Despesa'!$V$1:$V$12,0),""))</f>
        <v/>
      </c>
      <c r="AH4309" s="15" t="str">
        <f t="shared" si="2"/>
        <v/>
      </c>
      <c r="AI4309" s="17" t="str">
        <f>IF(AG4309="","",INDEX('quitado Despesa'!$G$1:$G$12,AG4309))</f>
        <v/>
      </c>
      <c r="AJ4309" s="17" t="str">
        <f t="shared" si="3"/>
        <v/>
      </c>
    </row>
    <row r="4310" spans="31:36">
      <c r="AE4310" s="15" t="str">
        <f t="shared" si="0"/>
        <v/>
      </c>
      <c r="AF4310" s="15" t="str">
        <f t="shared" si="1"/>
        <v/>
      </c>
      <c r="AG4310" s="15" t="str">
        <f>IF(OR(AF4310="",AF4310="ERRO_CHAVE"),"",IFERROR(MATCH(AF4310,'quitado Despesa'!$V$1:$V$12,0),""))</f>
        <v/>
      </c>
      <c r="AH4310" s="15" t="str">
        <f t="shared" si="2"/>
        <v/>
      </c>
      <c r="AI4310" s="17" t="str">
        <f>IF(AG4310="","",INDEX('quitado Despesa'!$G$1:$G$12,AG4310))</f>
        <v/>
      </c>
      <c r="AJ4310" s="17" t="str">
        <f t="shared" si="3"/>
        <v/>
      </c>
    </row>
    <row r="4311" spans="31:36">
      <c r="AE4311" s="15" t="str">
        <f t="shared" si="0"/>
        <v/>
      </c>
      <c r="AF4311" s="15" t="str">
        <f t="shared" si="1"/>
        <v/>
      </c>
      <c r="AG4311" s="15" t="str">
        <f>IF(OR(AF4311="",AF4311="ERRO_CHAVE"),"",IFERROR(MATCH(AF4311,'quitado Despesa'!$V$1:$V$12,0),""))</f>
        <v/>
      </c>
      <c r="AH4311" s="15" t="str">
        <f t="shared" si="2"/>
        <v/>
      </c>
      <c r="AI4311" s="17" t="str">
        <f>IF(AG4311="","",INDEX('quitado Despesa'!$G$1:$G$12,AG4311))</f>
        <v/>
      </c>
      <c r="AJ4311" s="17" t="str">
        <f t="shared" si="3"/>
        <v/>
      </c>
    </row>
    <row r="4312" spans="31:36">
      <c r="AE4312" s="15" t="str">
        <f t="shared" si="0"/>
        <v/>
      </c>
      <c r="AF4312" s="15" t="str">
        <f t="shared" si="1"/>
        <v/>
      </c>
      <c r="AG4312" s="15" t="str">
        <f>IF(OR(AF4312="",AF4312="ERRO_CHAVE"),"",IFERROR(MATCH(AF4312,'quitado Despesa'!$V$1:$V$12,0),""))</f>
        <v/>
      </c>
      <c r="AH4312" s="15" t="str">
        <f t="shared" si="2"/>
        <v/>
      </c>
      <c r="AI4312" s="17" t="str">
        <f>IF(AG4312="","",INDEX('quitado Despesa'!$G$1:$G$12,AG4312))</f>
        <v/>
      </c>
      <c r="AJ4312" s="17" t="str">
        <f t="shared" si="3"/>
        <v/>
      </c>
    </row>
    <row r="4313" spans="31:36">
      <c r="AE4313" s="15" t="str">
        <f t="shared" si="0"/>
        <v/>
      </c>
      <c r="AF4313" s="15" t="str">
        <f t="shared" si="1"/>
        <v/>
      </c>
      <c r="AG4313" s="15" t="str">
        <f>IF(OR(AF4313="",AF4313="ERRO_CHAVE"),"",IFERROR(MATCH(AF4313,'quitado Despesa'!$V$1:$V$12,0),""))</f>
        <v/>
      </c>
      <c r="AH4313" s="15" t="str">
        <f t="shared" si="2"/>
        <v/>
      </c>
      <c r="AI4313" s="17" t="str">
        <f>IF(AG4313="","",INDEX('quitado Despesa'!$G$1:$G$12,AG4313))</f>
        <v/>
      </c>
      <c r="AJ4313" s="17" t="str">
        <f t="shared" si="3"/>
        <v/>
      </c>
    </row>
    <row r="4314" spans="31:36">
      <c r="AE4314" s="15" t="str">
        <f t="shared" si="0"/>
        <v/>
      </c>
      <c r="AF4314" s="15" t="str">
        <f t="shared" si="1"/>
        <v/>
      </c>
      <c r="AG4314" s="15" t="str">
        <f>IF(OR(AF4314="",AF4314="ERRO_CHAVE"),"",IFERROR(MATCH(AF4314,'quitado Despesa'!$V$1:$V$12,0),""))</f>
        <v/>
      </c>
      <c r="AH4314" s="15" t="str">
        <f t="shared" si="2"/>
        <v/>
      </c>
      <c r="AI4314" s="17" t="str">
        <f>IF(AG4314="","",INDEX('quitado Despesa'!$G$1:$G$12,AG4314))</f>
        <v/>
      </c>
      <c r="AJ4314" s="17" t="str">
        <f t="shared" si="3"/>
        <v/>
      </c>
    </row>
    <row r="4315" spans="31:36">
      <c r="AE4315" s="15" t="str">
        <f t="shared" si="0"/>
        <v/>
      </c>
      <c r="AF4315" s="15" t="str">
        <f t="shared" si="1"/>
        <v/>
      </c>
      <c r="AG4315" s="15" t="str">
        <f>IF(OR(AF4315="",AF4315="ERRO_CHAVE"),"",IFERROR(MATCH(AF4315,'quitado Despesa'!$V$1:$V$12,0),""))</f>
        <v/>
      </c>
      <c r="AH4315" s="15" t="str">
        <f t="shared" si="2"/>
        <v/>
      </c>
      <c r="AI4315" s="17" t="str">
        <f>IF(AG4315="","",INDEX('quitado Despesa'!$G$1:$G$12,AG4315))</f>
        <v/>
      </c>
      <c r="AJ4315" s="17" t="str">
        <f t="shared" si="3"/>
        <v/>
      </c>
    </row>
    <row r="4316" spans="31:36">
      <c r="AE4316" s="15" t="str">
        <f t="shared" si="0"/>
        <v/>
      </c>
      <c r="AF4316" s="15" t="str">
        <f t="shared" si="1"/>
        <v/>
      </c>
      <c r="AG4316" s="15" t="str">
        <f>IF(OR(AF4316="",AF4316="ERRO_CHAVE"),"",IFERROR(MATCH(AF4316,'quitado Despesa'!$V$1:$V$12,0),""))</f>
        <v/>
      </c>
      <c r="AH4316" s="15" t="str">
        <f t="shared" si="2"/>
        <v/>
      </c>
      <c r="AI4316" s="17" t="str">
        <f>IF(AG4316="","",INDEX('quitado Despesa'!$G$1:$G$12,AG4316))</f>
        <v/>
      </c>
      <c r="AJ4316" s="17" t="str">
        <f t="shared" si="3"/>
        <v/>
      </c>
    </row>
    <row r="4317" spans="31:36">
      <c r="AE4317" s="15" t="str">
        <f t="shared" si="0"/>
        <v/>
      </c>
      <c r="AF4317" s="15" t="str">
        <f t="shared" si="1"/>
        <v/>
      </c>
      <c r="AG4317" s="15" t="str">
        <f>IF(OR(AF4317="",AF4317="ERRO_CHAVE"),"",IFERROR(MATCH(AF4317,'quitado Despesa'!$V$1:$V$12,0),""))</f>
        <v/>
      </c>
      <c r="AH4317" s="15" t="str">
        <f t="shared" si="2"/>
        <v/>
      </c>
      <c r="AI4317" s="17" t="str">
        <f>IF(AG4317="","",INDEX('quitado Despesa'!$G$1:$G$12,AG4317))</f>
        <v/>
      </c>
      <c r="AJ4317" s="17" t="str">
        <f t="shared" si="3"/>
        <v/>
      </c>
    </row>
    <row r="4318" spans="31:36">
      <c r="AE4318" s="15" t="str">
        <f t="shared" si="0"/>
        <v/>
      </c>
      <c r="AF4318" s="15" t="str">
        <f t="shared" si="1"/>
        <v/>
      </c>
      <c r="AG4318" s="15" t="str">
        <f>IF(OR(AF4318="",AF4318="ERRO_CHAVE"),"",IFERROR(MATCH(AF4318,'quitado Despesa'!$V$1:$V$12,0),""))</f>
        <v/>
      </c>
      <c r="AH4318" s="15" t="str">
        <f t="shared" si="2"/>
        <v/>
      </c>
      <c r="AI4318" s="17" t="str">
        <f>IF(AG4318="","",INDEX('quitado Despesa'!$G$1:$G$12,AG4318))</f>
        <v/>
      </c>
      <c r="AJ4318" s="17" t="str">
        <f t="shared" si="3"/>
        <v/>
      </c>
    </row>
    <row r="4319" spans="31:36">
      <c r="AE4319" s="15" t="str">
        <f t="shared" si="0"/>
        <v/>
      </c>
      <c r="AF4319" s="15" t="str">
        <f t="shared" si="1"/>
        <v/>
      </c>
      <c r="AG4319" s="15" t="str">
        <f>IF(OR(AF4319="",AF4319="ERRO_CHAVE"),"",IFERROR(MATCH(AF4319,'quitado Despesa'!$V$1:$V$12,0),""))</f>
        <v/>
      </c>
      <c r="AH4319" s="15" t="str">
        <f t="shared" si="2"/>
        <v/>
      </c>
      <c r="AI4319" s="17" t="str">
        <f>IF(AG4319="","",INDEX('quitado Despesa'!$G$1:$G$12,AG4319))</f>
        <v/>
      </c>
      <c r="AJ4319" s="17" t="str">
        <f t="shared" si="3"/>
        <v/>
      </c>
    </row>
    <row r="4320" spans="31:36">
      <c r="AE4320" s="15" t="str">
        <f t="shared" si="0"/>
        <v/>
      </c>
      <c r="AF4320" s="15" t="str">
        <f t="shared" si="1"/>
        <v/>
      </c>
      <c r="AG4320" s="15" t="str">
        <f>IF(OR(AF4320="",AF4320="ERRO_CHAVE"),"",IFERROR(MATCH(AF4320,'quitado Despesa'!$V$1:$V$12,0),""))</f>
        <v/>
      </c>
      <c r="AH4320" s="15" t="str">
        <f t="shared" si="2"/>
        <v/>
      </c>
      <c r="AI4320" s="17" t="str">
        <f>IF(AG4320="","",INDEX('quitado Despesa'!$G$1:$G$12,AG4320))</f>
        <v/>
      </c>
      <c r="AJ4320" s="17" t="str">
        <f t="shared" si="3"/>
        <v/>
      </c>
    </row>
    <row r="4321" spans="31:36">
      <c r="AE4321" s="15" t="str">
        <f t="shared" si="0"/>
        <v/>
      </c>
      <c r="AF4321" s="15" t="str">
        <f t="shared" si="1"/>
        <v/>
      </c>
      <c r="AG4321" s="15" t="str">
        <f>IF(OR(AF4321="",AF4321="ERRO_CHAVE"),"",IFERROR(MATCH(AF4321,'quitado Despesa'!$V$1:$V$12,0),""))</f>
        <v/>
      </c>
      <c r="AH4321" s="15" t="str">
        <f t="shared" si="2"/>
        <v/>
      </c>
      <c r="AI4321" s="17" t="str">
        <f>IF(AG4321="","",INDEX('quitado Despesa'!$G$1:$G$12,AG4321))</f>
        <v/>
      </c>
      <c r="AJ4321" s="17" t="str">
        <f t="shared" si="3"/>
        <v/>
      </c>
    </row>
    <row r="4322" spans="31:36">
      <c r="AE4322" s="15" t="str">
        <f t="shared" si="0"/>
        <v/>
      </c>
      <c r="AF4322" s="15" t="str">
        <f t="shared" si="1"/>
        <v/>
      </c>
      <c r="AG4322" s="15" t="str">
        <f>IF(OR(AF4322="",AF4322="ERRO_CHAVE"),"",IFERROR(MATCH(AF4322,'quitado Despesa'!$V$1:$V$12,0),""))</f>
        <v/>
      </c>
      <c r="AH4322" s="15" t="str">
        <f t="shared" si="2"/>
        <v/>
      </c>
      <c r="AI4322" s="17" t="str">
        <f>IF(AG4322="","",INDEX('quitado Despesa'!$G$1:$G$12,AG4322))</f>
        <v/>
      </c>
      <c r="AJ4322" s="17" t="str">
        <f t="shared" si="3"/>
        <v/>
      </c>
    </row>
    <row r="4323" spans="31:36">
      <c r="AE4323" s="15" t="str">
        <f t="shared" si="0"/>
        <v/>
      </c>
      <c r="AF4323" s="15" t="str">
        <f t="shared" si="1"/>
        <v/>
      </c>
      <c r="AG4323" s="15" t="str">
        <f>IF(OR(AF4323="",AF4323="ERRO_CHAVE"),"",IFERROR(MATCH(AF4323,'quitado Despesa'!$V$1:$V$12,0),""))</f>
        <v/>
      </c>
      <c r="AH4323" s="15" t="str">
        <f t="shared" si="2"/>
        <v/>
      </c>
      <c r="AI4323" s="17" t="str">
        <f>IF(AG4323="","",INDEX('quitado Despesa'!$G$1:$G$12,AG4323))</f>
        <v/>
      </c>
      <c r="AJ4323" s="17" t="str">
        <f t="shared" si="3"/>
        <v/>
      </c>
    </row>
    <row r="4324" spans="31:36">
      <c r="AE4324" s="15" t="str">
        <f t="shared" si="0"/>
        <v/>
      </c>
      <c r="AF4324" s="15" t="str">
        <f t="shared" si="1"/>
        <v/>
      </c>
      <c r="AG4324" s="15" t="str">
        <f>IF(OR(AF4324="",AF4324="ERRO_CHAVE"),"",IFERROR(MATCH(AF4324,'quitado Despesa'!$V$1:$V$12,0),""))</f>
        <v/>
      </c>
      <c r="AH4324" s="15" t="str">
        <f t="shared" si="2"/>
        <v/>
      </c>
      <c r="AI4324" s="17" t="str">
        <f>IF(AG4324="","",INDEX('quitado Despesa'!$G$1:$G$12,AG4324))</f>
        <v/>
      </c>
      <c r="AJ4324" s="17" t="str">
        <f t="shared" si="3"/>
        <v/>
      </c>
    </row>
    <row r="4325" spans="31:36">
      <c r="AE4325" s="15" t="str">
        <f t="shared" si="0"/>
        <v/>
      </c>
      <c r="AF4325" s="15" t="str">
        <f t="shared" si="1"/>
        <v/>
      </c>
      <c r="AG4325" s="15" t="str">
        <f>IF(OR(AF4325="",AF4325="ERRO_CHAVE"),"",IFERROR(MATCH(AF4325,'quitado Despesa'!$V$1:$V$12,0),""))</f>
        <v/>
      </c>
      <c r="AH4325" s="15" t="str">
        <f t="shared" si="2"/>
        <v/>
      </c>
      <c r="AI4325" s="17" t="str">
        <f>IF(AG4325="","",INDEX('quitado Despesa'!$G$1:$G$12,AG4325))</f>
        <v/>
      </c>
      <c r="AJ4325" s="17" t="str">
        <f t="shared" si="3"/>
        <v/>
      </c>
    </row>
    <row r="4326" spans="31:36">
      <c r="AE4326" s="15" t="str">
        <f t="shared" si="0"/>
        <v/>
      </c>
      <c r="AF4326" s="15" t="str">
        <f t="shared" si="1"/>
        <v/>
      </c>
      <c r="AG4326" s="15" t="str">
        <f>IF(OR(AF4326="",AF4326="ERRO_CHAVE"),"",IFERROR(MATCH(AF4326,'quitado Despesa'!$V$1:$V$12,0),""))</f>
        <v/>
      </c>
      <c r="AH4326" s="15" t="str">
        <f t="shared" si="2"/>
        <v/>
      </c>
      <c r="AI4326" s="17" t="str">
        <f>IF(AG4326="","",INDEX('quitado Despesa'!$G$1:$G$12,AG4326))</f>
        <v/>
      </c>
      <c r="AJ4326" s="17" t="str">
        <f t="shared" si="3"/>
        <v/>
      </c>
    </row>
    <row r="4327" spans="31:36">
      <c r="AE4327" s="15" t="str">
        <f t="shared" si="0"/>
        <v/>
      </c>
      <c r="AF4327" s="15" t="str">
        <f t="shared" si="1"/>
        <v/>
      </c>
      <c r="AG4327" s="15" t="str">
        <f>IF(OR(AF4327="",AF4327="ERRO_CHAVE"),"",IFERROR(MATCH(AF4327,'quitado Despesa'!$V$1:$V$12,0),""))</f>
        <v/>
      </c>
      <c r="AH4327" s="15" t="str">
        <f t="shared" si="2"/>
        <v/>
      </c>
      <c r="AI4327" s="17" t="str">
        <f>IF(AG4327="","",INDEX('quitado Despesa'!$G$1:$G$12,AG4327))</f>
        <v/>
      </c>
      <c r="AJ4327" s="17" t="str">
        <f t="shared" si="3"/>
        <v/>
      </c>
    </row>
    <row r="4328" spans="31:36">
      <c r="AE4328" s="15" t="str">
        <f t="shared" si="0"/>
        <v/>
      </c>
      <c r="AF4328" s="15" t="str">
        <f t="shared" si="1"/>
        <v/>
      </c>
      <c r="AG4328" s="15" t="str">
        <f>IF(OR(AF4328="",AF4328="ERRO_CHAVE"),"",IFERROR(MATCH(AF4328,'quitado Despesa'!$V$1:$V$12,0),""))</f>
        <v/>
      </c>
      <c r="AH4328" s="15" t="str">
        <f t="shared" si="2"/>
        <v/>
      </c>
      <c r="AI4328" s="17" t="str">
        <f>IF(AG4328="","",INDEX('quitado Despesa'!$G$1:$G$12,AG4328))</f>
        <v/>
      </c>
      <c r="AJ4328" s="17" t="str">
        <f t="shared" si="3"/>
        <v/>
      </c>
    </row>
    <row r="4329" spans="31:36">
      <c r="AE4329" s="15" t="str">
        <f t="shared" si="0"/>
        <v/>
      </c>
      <c r="AF4329" s="15" t="str">
        <f t="shared" si="1"/>
        <v/>
      </c>
      <c r="AG4329" s="15" t="str">
        <f>IF(OR(AF4329="",AF4329="ERRO_CHAVE"),"",IFERROR(MATCH(AF4329,'quitado Despesa'!$V$1:$V$12,0),""))</f>
        <v/>
      </c>
      <c r="AH4329" s="15" t="str">
        <f t="shared" si="2"/>
        <v/>
      </c>
      <c r="AI4329" s="17" t="str">
        <f>IF(AG4329="","",INDEX('quitado Despesa'!$G$1:$G$12,AG4329))</f>
        <v/>
      </c>
      <c r="AJ4329" s="17" t="str">
        <f t="shared" si="3"/>
        <v/>
      </c>
    </row>
    <row r="4330" spans="31:36">
      <c r="AE4330" s="15" t="str">
        <f t="shared" si="0"/>
        <v/>
      </c>
      <c r="AF4330" s="15" t="str">
        <f t="shared" si="1"/>
        <v/>
      </c>
      <c r="AG4330" s="15" t="str">
        <f>IF(OR(AF4330="",AF4330="ERRO_CHAVE"),"",IFERROR(MATCH(AF4330,'quitado Despesa'!$V$1:$V$12,0),""))</f>
        <v/>
      </c>
      <c r="AH4330" s="15" t="str">
        <f t="shared" si="2"/>
        <v/>
      </c>
      <c r="AI4330" s="17" t="str">
        <f>IF(AG4330="","",INDEX('quitado Despesa'!$G$1:$G$12,AG4330))</f>
        <v/>
      </c>
      <c r="AJ4330" s="17" t="str">
        <f t="shared" si="3"/>
        <v/>
      </c>
    </row>
    <row r="4331" spans="31:36">
      <c r="AE4331" s="15" t="str">
        <f t="shared" si="0"/>
        <v/>
      </c>
      <c r="AF4331" s="15" t="str">
        <f t="shared" si="1"/>
        <v/>
      </c>
      <c r="AG4331" s="15" t="str">
        <f>IF(OR(AF4331="",AF4331="ERRO_CHAVE"),"",IFERROR(MATCH(AF4331,'quitado Despesa'!$V$1:$V$12,0),""))</f>
        <v/>
      </c>
      <c r="AH4331" s="15" t="str">
        <f t="shared" si="2"/>
        <v/>
      </c>
      <c r="AI4331" s="17" t="str">
        <f>IF(AG4331="","",INDEX('quitado Despesa'!$G$1:$G$12,AG4331))</f>
        <v/>
      </c>
      <c r="AJ4331" s="17" t="str">
        <f t="shared" si="3"/>
        <v/>
      </c>
    </row>
    <row r="4332" spans="31:36">
      <c r="AE4332" s="15" t="str">
        <f t="shared" si="0"/>
        <v/>
      </c>
      <c r="AF4332" s="15" t="str">
        <f t="shared" si="1"/>
        <v/>
      </c>
      <c r="AG4332" s="15" t="str">
        <f>IF(OR(AF4332="",AF4332="ERRO_CHAVE"),"",IFERROR(MATCH(AF4332,'quitado Despesa'!$V$1:$V$12,0),""))</f>
        <v/>
      </c>
      <c r="AH4332" s="15" t="str">
        <f t="shared" si="2"/>
        <v/>
      </c>
      <c r="AI4332" s="17" t="str">
        <f>IF(AG4332="","",INDEX('quitado Despesa'!$G$1:$G$12,AG4332))</f>
        <v/>
      </c>
      <c r="AJ4332" s="17" t="str">
        <f t="shared" si="3"/>
        <v/>
      </c>
    </row>
    <row r="4333" spans="31:36">
      <c r="AE4333" s="15" t="str">
        <f t="shared" si="0"/>
        <v/>
      </c>
      <c r="AF4333" s="15" t="str">
        <f t="shared" si="1"/>
        <v/>
      </c>
      <c r="AG4333" s="15" t="str">
        <f>IF(OR(AF4333="",AF4333="ERRO_CHAVE"),"",IFERROR(MATCH(AF4333,'quitado Despesa'!$V$1:$V$12,0),""))</f>
        <v/>
      </c>
      <c r="AH4333" s="15" t="str">
        <f t="shared" si="2"/>
        <v/>
      </c>
      <c r="AI4333" s="17" t="str">
        <f>IF(AG4333="","",INDEX('quitado Despesa'!$G$1:$G$12,AG4333))</f>
        <v/>
      </c>
      <c r="AJ4333" s="17" t="str">
        <f t="shared" si="3"/>
        <v/>
      </c>
    </row>
    <row r="4334" spans="31:36">
      <c r="AE4334" s="15" t="str">
        <f t="shared" si="0"/>
        <v/>
      </c>
      <c r="AF4334" s="15" t="str">
        <f t="shared" si="1"/>
        <v/>
      </c>
      <c r="AG4334" s="15" t="str">
        <f>IF(OR(AF4334="",AF4334="ERRO_CHAVE"),"",IFERROR(MATCH(AF4334,'quitado Despesa'!$V$1:$V$12,0),""))</f>
        <v/>
      </c>
      <c r="AH4334" s="15" t="str">
        <f t="shared" si="2"/>
        <v/>
      </c>
      <c r="AI4334" s="17" t="str">
        <f>IF(AG4334="","",INDEX('quitado Despesa'!$G$1:$G$12,AG4334))</f>
        <v/>
      </c>
      <c r="AJ4334" s="17" t="str">
        <f t="shared" si="3"/>
        <v/>
      </c>
    </row>
    <row r="4335" spans="31:36">
      <c r="AE4335" s="15" t="str">
        <f t="shared" si="0"/>
        <v/>
      </c>
      <c r="AF4335" s="15" t="str">
        <f t="shared" si="1"/>
        <v/>
      </c>
      <c r="AG4335" s="15" t="str">
        <f>IF(OR(AF4335="",AF4335="ERRO_CHAVE"),"",IFERROR(MATCH(AF4335,'quitado Despesa'!$V$1:$V$12,0),""))</f>
        <v/>
      </c>
      <c r="AH4335" s="15" t="str">
        <f t="shared" si="2"/>
        <v/>
      </c>
      <c r="AI4335" s="17" t="str">
        <f>IF(AG4335="","",INDEX('quitado Despesa'!$G$1:$G$12,AG4335))</f>
        <v/>
      </c>
      <c r="AJ4335" s="17" t="str">
        <f t="shared" si="3"/>
        <v/>
      </c>
    </row>
    <row r="4336" spans="31:36">
      <c r="AE4336" s="15" t="str">
        <f t="shared" si="0"/>
        <v/>
      </c>
      <c r="AF4336" s="15" t="str">
        <f t="shared" si="1"/>
        <v/>
      </c>
      <c r="AG4336" s="15" t="str">
        <f>IF(OR(AF4336="",AF4336="ERRO_CHAVE"),"",IFERROR(MATCH(AF4336,'quitado Despesa'!$V$1:$V$12,0),""))</f>
        <v/>
      </c>
      <c r="AH4336" s="15" t="str">
        <f t="shared" si="2"/>
        <v/>
      </c>
      <c r="AI4336" s="17" t="str">
        <f>IF(AG4336="","",INDEX('quitado Despesa'!$G$1:$G$12,AG4336))</f>
        <v/>
      </c>
      <c r="AJ4336" s="17" t="str">
        <f t="shared" si="3"/>
        <v/>
      </c>
    </row>
    <row r="4337" spans="31:36">
      <c r="AE4337" s="15" t="str">
        <f t="shared" si="0"/>
        <v/>
      </c>
      <c r="AF4337" s="15" t="str">
        <f t="shared" si="1"/>
        <v/>
      </c>
      <c r="AG4337" s="15" t="str">
        <f>IF(OR(AF4337="",AF4337="ERRO_CHAVE"),"",IFERROR(MATCH(AF4337,'quitado Despesa'!$V$1:$V$12,0),""))</f>
        <v/>
      </c>
      <c r="AH4337" s="15" t="str">
        <f t="shared" si="2"/>
        <v/>
      </c>
      <c r="AI4337" s="17" t="str">
        <f>IF(AG4337="","",INDEX('quitado Despesa'!$G$1:$G$12,AG4337))</f>
        <v/>
      </c>
      <c r="AJ4337" s="17" t="str">
        <f t="shared" si="3"/>
        <v/>
      </c>
    </row>
    <row r="4338" spans="31:36">
      <c r="AE4338" s="15" t="str">
        <f t="shared" si="0"/>
        <v/>
      </c>
      <c r="AF4338" s="15" t="str">
        <f t="shared" si="1"/>
        <v/>
      </c>
      <c r="AG4338" s="15" t="str">
        <f>IF(OR(AF4338="",AF4338="ERRO_CHAVE"),"",IFERROR(MATCH(AF4338,'quitado Despesa'!$V$1:$V$12,0),""))</f>
        <v/>
      </c>
      <c r="AH4338" s="15" t="str">
        <f t="shared" si="2"/>
        <v/>
      </c>
      <c r="AI4338" s="17" t="str">
        <f>IF(AG4338="","",INDEX('quitado Despesa'!$G$1:$G$12,AG4338))</f>
        <v/>
      </c>
      <c r="AJ4338" s="17" t="str">
        <f t="shared" si="3"/>
        <v/>
      </c>
    </row>
    <row r="4339" spans="31:36">
      <c r="AE4339" s="15" t="str">
        <f t="shared" si="0"/>
        <v/>
      </c>
      <c r="AF4339" s="15" t="str">
        <f t="shared" si="1"/>
        <v/>
      </c>
      <c r="AG4339" s="15" t="str">
        <f>IF(OR(AF4339="",AF4339="ERRO_CHAVE"),"",IFERROR(MATCH(AF4339,'quitado Despesa'!$V$1:$V$12,0),""))</f>
        <v/>
      </c>
      <c r="AH4339" s="15" t="str">
        <f t="shared" si="2"/>
        <v/>
      </c>
      <c r="AI4339" s="17" t="str">
        <f>IF(AG4339="","",INDEX('quitado Despesa'!$G$1:$G$12,AG4339))</f>
        <v/>
      </c>
      <c r="AJ4339" s="17" t="str">
        <f t="shared" si="3"/>
        <v/>
      </c>
    </row>
    <row r="4340" spans="31:36">
      <c r="AE4340" s="15" t="str">
        <f t="shared" si="0"/>
        <v/>
      </c>
      <c r="AF4340" s="15" t="str">
        <f t="shared" si="1"/>
        <v/>
      </c>
      <c r="AG4340" s="15" t="str">
        <f>IF(OR(AF4340="",AF4340="ERRO_CHAVE"),"",IFERROR(MATCH(AF4340,'quitado Despesa'!$V$1:$V$12,0),""))</f>
        <v/>
      </c>
      <c r="AH4340" s="15" t="str">
        <f t="shared" si="2"/>
        <v/>
      </c>
      <c r="AI4340" s="17" t="str">
        <f>IF(AG4340="","",INDEX('quitado Despesa'!$G$1:$G$12,AG4340))</f>
        <v/>
      </c>
      <c r="AJ4340" s="17" t="str">
        <f t="shared" si="3"/>
        <v/>
      </c>
    </row>
    <row r="4341" spans="31:36">
      <c r="AE4341" s="15" t="str">
        <f t="shared" si="0"/>
        <v/>
      </c>
      <c r="AF4341" s="15" t="str">
        <f t="shared" si="1"/>
        <v/>
      </c>
      <c r="AG4341" s="15" t="str">
        <f>IF(OR(AF4341="",AF4341="ERRO_CHAVE"),"",IFERROR(MATCH(AF4341,'quitado Despesa'!$V$1:$V$12,0),""))</f>
        <v/>
      </c>
      <c r="AH4341" s="15" t="str">
        <f t="shared" si="2"/>
        <v/>
      </c>
      <c r="AI4341" s="17" t="str">
        <f>IF(AG4341="","",INDEX('quitado Despesa'!$G$1:$G$12,AG4341))</f>
        <v/>
      </c>
      <c r="AJ4341" s="17" t="str">
        <f t="shared" si="3"/>
        <v/>
      </c>
    </row>
    <row r="4342" spans="31:36">
      <c r="AE4342" s="15" t="str">
        <f t="shared" si="0"/>
        <v/>
      </c>
      <c r="AF4342" s="15" t="str">
        <f t="shared" si="1"/>
        <v/>
      </c>
      <c r="AG4342" s="15" t="str">
        <f>IF(OR(AF4342="",AF4342="ERRO_CHAVE"),"",IFERROR(MATCH(AF4342,'quitado Despesa'!$V$1:$V$12,0),""))</f>
        <v/>
      </c>
      <c r="AH4342" s="15" t="str">
        <f t="shared" si="2"/>
        <v/>
      </c>
      <c r="AI4342" s="17" t="str">
        <f>IF(AG4342="","",INDEX('quitado Despesa'!$G$1:$G$12,AG4342))</f>
        <v/>
      </c>
      <c r="AJ4342" s="17" t="str">
        <f t="shared" si="3"/>
        <v/>
      </c>
    </row>
    <row r="4343" spans="31:36">
      <c r="AE4343" s="15" t="str">
        <f t="shared" si="0"/>
        <v/>
      </c>
      <c r="AF4343" s="15" t="str">
        <f t="shared" si="1"/>
        <v/>
      </c>
      <c r="AG4343" s="15" t="str">
        <f>IF(OR(AF4343="",AF4343="ERRO_CHAVE"),"",IFERROR(MATCH(AF4343,'quitado Despesa'!$V$1:$V$12,0),""))</f>
        <v/>
      </c>
      <c r="AH4343" s="15" t="str">
        <f t="shared" si="2"/>
        <v/>
      </c>
      <c r="AI4343" s="17" t="str">
        <f>IF(AG4343="","",INDEX('quitado Despesa'!$G$1:$G$12,AG4343))</f>
        <v/>
      </c>
      <c r="AJ4343" s="17" t="str">
        <f t="shared" si="3"/>
        <v/>
      </c>
    </row>
    <row r="4344" spans="31:36">
      <c r="AE4344" s="15" t="str">
        <f t="shared" si="0"/>
        <v/>
      </c>
      <c r="AF4344" s="15" t="str">
        <f t="shared" si="1"/>
        <v/>
      </c>
      <c r="AG4344" s="15" t="str">
        <f>IF(OR(AF4344="",AF4344="ERRO_CHAVE"),"",IFERROR(MATCH(AF4344,'quitado Despesa'!$V$1:$V$12,0),""))</f>
        <v/>
      </c>
      <c r="AH4344" s="15" t="str">
        <f t="shared" si="2"/>
        <v/>
      </c>
      <c r="AI4344" s="17" t="str">
        <f>IF(AG4344="","",INDEX('quitado Despesa'!$G$1:$G$12,AG4344))</f>
        <v/>
      </c>
      <c r="AJ4344" s="17" t="str">
        <f t="shared" si="3"/>
        <v/>
      </c>
    </row>
    <row r="4345" spans="31:36">
      <c r="AE4345" s="15" t="str">
        <f t="shared" si="0"/>
        <v/>
      </c>
      <c r="AF4345" s="15" t="str">
        <f t="shared" si="1"/>
        <v/>
      </c>
      <c r="AG4345" s="15" t="str">
        <f>IF(OR(AF4345="",AF4345="ERRO_CHAVE"),"",IFERROR(MATCH(AF4345,'quitado Despesa'!$V$1:$V$12,0),""))</f>
        <v/>
      </c>
      <c r="AH4345" s="15" t="str">
        <f t="shared" si="2"/>
        <v/>
      </c>
      <c r="AI4345" s="17" t="str">
        <f>IF(AG4345="","",INDEX('quitado Despesa'!$G$1:$G$12,AG4345))</f>
        <v/>
      </c>
      <c r="AJ4345" s="17" t="str">
        <f t="shared" si="3"/>
        <v/>
      </c>
    </row>
    <row r="4346" spans="31:36">
      <c r="AE4346" s="15" t="str">
        <f t="shared" si="0"/>
        <v/>
      </c>
      <c r="AF4346" s="15" t="str">
        <f t="shared" si="1"/>
        <v/>
      </c>
      <c r="AG4346" s="15" t="str">
        <f>IF(OR(AF4346="",AF4346="ERRO_CHAVE"),"",IFERROR(MATCH(AF4346,'quitado Despesa'!$V$1:$V$12,0),""))</f>
        <v/>
      </c>
      <c r="AH4346" s="15" t="str">
        <f t="shared" si="2"/>
        <v/>
      </c>
      <c r="AI4346" s="17" t="str">
        <f>IF(AG4346="","",INDEX('quitado Despesa'!$G$1:$G$12,AG4346))</f>
        <v/>
      </c>
      <c r="AJ4346" s="17" t="str">
        <f t="shared" si="3"/>
        <v/>
      </c>
    </row>
    <row r="4347" spans="31:36">
      <c r="AE4347" s="15" t="str">
        <f t="shared" si="0"/>
        <v/>
      </c>
      <c r="AF4347" s="15" t="str">
        <f t="shared" si="1"/>
        <v/>
      </c>
      <c r="AG4347" s="15" t="str">
        <f>IF(OR(AF4347="",AF4347="ERRO_CHAVE"),"",IFERROR(MATCH(AF4347,'quitado Despesa'!$V$1:$V$12,0),""))</f>
        <v/>
      </c>
      <c r="AH4347" s="15" t="str">
        <f t="shared" si="2"/>
        <v/>
      </c>
      <c r="AI4347" s="17" t="str">
        <f>IF(AG4347="","",INDEX('quitado Despesa'!$G$1:$G$12,AG4347))</f>
        <v/>
      </c>
      <c r="AJ4347" s="17" t="str">
        <f t="shared" si="3"/>
        <v/>
      </c>
    </row>
    <row r="4348" spans="31:36">
      <c r="AE4348" s="15" t="str">
        <f t="shared" si="0"/>
        <v/>
      </c>
      <c r="AF4348" s="15" t="str">
        <f t="shared" si="1"/>
        <v/>
      </c>
      <c r="AG4348" s="15" t="str">
        <f>IF(OR(AF4348="",AF4348="ERRO_CHAVE"),"",IFERROR(MATCH(AF4348,'quitado Despesa'!$V$1:$V$12,0),""))</f>
        <v/>
      </c>
      <c r="AH4348" s="15" t="str">
        <f t="shared" si="2"/>
        <v/>
      </c>
      <c r="AI4348" s="17" t="str">
        <f>IF(AG4348="","",INDEX('quitado Despesa'!$G$1:$G$12,AG4348))</f>
        <v/>
      </c>
      <c r="AJ4348" s="17" t="str">
        <f t="shared" si="3"/>
        <v/>
      </c>
    </row>
    <row r="4349" spans="31:36">
      <c r="AE4349" s="15" t="str">
        <f t="shared" si="0"/>
        <v/>
      </c>
      <c r="AF4349" s="15" t="str">
        <f t="shared" si="1"/>
        <v/>
      </c>
      <c r="AG4349" s="15" t="str">
        <f>IF(OR(AF4349="",AF4349="ERRO_CHAVE"),"",IFERROR(MATCH(AF4349,'quitado Despesa'!$V$1:$V$12,0),""))</f>
        <v/>
      </c>
      <c r="AH4349" s="15" t="str">
        <f t="shared" si="2"/>
        <v/>
      </c>
      <c r="AI4349" s="17" t="str">
        <f>IF(AG4349="","",INDEX('quitado Despesa'!$G$1:$G$12,AG4349))</f>
        <v/>
      </c>
      <c r="AJ4349" s="17" t="str">
        <f t="shared" si="3"/>
        <v/>
      </c>
    </row>
    <row r="4350" spans="31:36">
      <c r="AE4350" s="15" t="str">
        <f t="shared" si="0"/>
        <v/>
      </c>
      <c r="AF4350" s="15" t="str">
        <f t="shared" si="1"/>
        <v/>
      </c>
      <c r="AG4350" s="15" t="str">
        <f>IF(OR(AF4350="",AF4350="ERRO_CHAVE"),"",IFERROR(MATCH(AF4350,'quitado Despesa'!$V$1:$V$12,0),""))</f>
        <v/>
      </c>
      <c r="AH4350" s="15" t="str">
        <f t="shared" si="2"/>
        <v/>
      </c>
      <c r="AI4350" s="17" t="str">
        <f>IF(AG4350="","",INDEX('quitado Despesa'!$G$1:$G$12,AG4350))</f>
        <v/>
      </c>
      <c r="AJ4350" s="17" t="str">
        <f t="shared" si="3"/>
        <v/>
      </c>
    </row>
    <row r="4351" spans="31:36">
      <c r="AE4351" s="15" t="str">
        <f t="shared" si="0"/>
        <v/>
      </c>
      <c r="AF4351" s="15" t="str">
        <f t="shared" si="1"/>
        <v/>
      </c>
      <c r="AG4351" s="15" t="str">
        <f>IF(OR(AF4351="",AF4351="ERRO_CHAVE"),"",IFERROR(MATCH(AF4351,'quitado Despesa'!$V$1:$V$12,0),""))</f>
        <v/>
      </c>
      <c r="AH4351" s="15" t="str">
        <f t="shared" si="2"/>
        <v/>
      </c>
      <c r="AI4351" s="17" t="str">
        <f>IF(AG4351="","",INDEX('quitado Despesa'!$G$1:$G$12,AG4351))</f>
        <v/>
      </c>
      <c r="AJ4351" s="17" t="str">
        <f t="shared" si="3"/>
        <v/>
      </c>
    </row>
    <row r="4352" spans="31:36">
      <c r="AE4352" s="15" t="str">
        <f t="shared" si="0"/>
        <v/>
      </c>
      <c r="AF4352" s="15" t="str">
        <f t="shared" si="1"/>
        <v/>
      </c>
      <c r="AG4352" s="15" t="str">
        <f>IF(OR(AF4352="",AF4352="ERRO_CHAVE"),"",IFERROR(MATCH(AF4352,'quitado Despesa'!$V$1:$V$12,0),""))</f>
        <v/>
      </c>
      <c r="AH4352" s="15" t="str">
        <f t="shared" si="2"/>
        <v/>
      </c>
      <c r="AI4352" s="17" t="str">
        <f>IF(AG4352="","",INDEX('quitado Despesa'!$G$1:$G$12,AG4352))</f>
        <v/>
      </c>
      <c r="AJ4352" s="17" t="str">
        <f t="shared" si="3"/>
        <v/>
      </c>
    </row>
    <row r="4353" spans="31:36">
      <c r="AE4353" s="15" t="str">
        <f t="shared" si="0"/>
        <v/>
      </c>
      <c r="AF4353" s="15" t="str">
        <f t="shared" si="1"/>
        <v/>
      </c>
      <c r="AG4353" s="15" t="str">
        <f>IF(OR(AF4353="",AF4353="ERRO_CHAVE"),"",IFERROR(MATCH(AF4353,'quitado Despesa'!$V$1:$V$12,0),""))</f>
        <v/>
      </c>
      <c r="AH4353" s="15" t="str">
        <f t="shared" si="2"/>
        <v/>
      </c>
      <c r="AI4353" s="17" t="str">
        <f>IF(AG4353="","",INDEX('quitado Despesa'!$G$1:$G$12,AG4353))</f>
        <v/>
      </c>
      <c r="AJ4353" s="17" t="str">
        <f t="shared" si="3"/>
        <v/>
      </c>
    </row>
    <row r="4354" spans="31:36">
      <c r="AE4354" s="15" t="str">
        <f t="shared" si="0"/>
        <v/>
      </c>
      <c r="AF4354" s="15" t="str">
        <f t="shared" si="1"/>
        <v/>
      </c>
      <c r="AG4354" s="15" t="str">
        <f>IF(OR(AF4354="",AF4354="ERRO_CHAVE"),"",IFERROR(MATCH(AF4354,'quitado Despesa'!$V$1:$V$12,0),""))</f>
        <v/>
      </c>
      <c r="AH4354" s="15" t="str">
        <f t="shared" si="2"/>
        <v/>
      </c>
      <c r="AI4354" s="17" t="str">
        <f>IF(AG4354="","",INDEX('quitado Despesa'!$G$1:$G$12,AG4354))</f>
        <v/>
      </c>
      <c r="AJ4354" s="17" t="str">
        <f t="shared" si="3"/>
        <v/>
      </c>
    </row>
    <row r="4355" spans="31:36">
      <c r="AE4355" s="15" t="str">
        <f t="shared" si="0"/>
        <v/>
      </c>
      <c r="AF4355" s="15" t="str">
        <f t="shared" si="1"/>
        <v/>
      </c>
      <c r="AG4355" s="15" t="str">
        <f>IF(OR(AF4355="",AF4355="ERRO_CHAVE"),"",IFERROR(MATCH(AF4355,'quitado Despesa'!$V$1:$V$12,0),""))</f>
        <v/>
      </c>
      <c r="AH4355" s="15" t="str">
        <f t="shared" si="2"/>
        <v/>
      </c>
      <c r="AI4355" s="17" t="str">
        <f>IF(AG4355="","",INDEX('quitado Despesa'!$G$1:$G$12,AG4355))</f>
        <v/>
      </c>
      <c r="AJ4355" s="17" t="str">
        <f t="shared" si="3"/>
        <v/>
      </c>
    </row>
    <row r="4356" spans="31:36">
      <c r="AE4356" s="15" t="str">
        <f t="shared" si="0"/>
        <v/>
      </c>
      <c r="AF4356" s="15" t="str">
        <f t="shared" si="1"/>
        <v/>
      </c>
      <c r="AG4356" s="15" t="str">
        <f>IF(OR(AF4356="",AF4356="ERRO_CHAVE"),"",IFERROR(MATCH(AF4356,'quitado Despesa'!$V$1:$V$12,0),""))</f>
        <v/>
      </c>
      <c r="AH4356" s="15" t="str">
        <f t="shared" si="2"/>
        <v/>
      </c>
      <c r="AI4356" s="17" t="str">
        <f>IF(AG4356="","",INDEX('quitado Despesa'!$G$1:$G$12,AG4356))</f>
        <v/>
      </c>
      <c r="AJ4356" s="17" t="str">
        <f t="shared" si="3"/>
        <v/>
      </c>
    </row>
    <row r="4357" spans="31:36">
      <c r="AE4357" s="15" t="str">
        <f t="shared" si="0"/>
        <v/>
      </c>
      <c r="AF4357" s="15" t="str">
        <f t="shared" si="1"/>
        <v/>
      </c>
      <c r="AG4357" s="15" t="str">
        <f>IF(OR(AF4357="",AF4357="ERRO_CHAVE"),"",IFERROR(MATCH(AF4357,'quitado Despesa'!$V$1:$V$12,0),""))</f>
        <v/>
      </c>
      <c r="AH4357" s="15" t="str">
        <f t="shared" si="2"/>
        <v/>
      </c>
      <c r="AI4357" s="17" t="str">
        <f>IF(AG4357="","",INDEX('quitado Despesa'!$G$1:$G$12,AG4357))</f>
        <v/>
      </c>
      <c r="AJ4357" s="17" t="str">
        <f t="shared" si="3"/>
        <v/>
      </c>
    </row>
    <row r="4358" spans="31:36">
      <c r="AE4358" s="15" t="str">
        <f t="shared" si="0"/>
        <v/>
      </c>
      <c r="AF4358" s="15" t="str">
        <f t="shared" si="1"/>
        <v/>
      </c>
      <c r="AG4358" s="15" t="str">
        <f>IF(OR(AF4358="",AF4358="ERRO_CHAVE"),"",IFERROR(MATCH(AF4358,'quitado Despesa'!$V$1:$V$12,0),""))</f>
        <v/>
      </c>
      <c r="AH4358" s="15" t="str">
        <f t="shared" si="2"/>
        <v/>
      </c>
      <c r="AI4358" s="17" t="str">
        <f>IF(AG4358="","",INDEX('quitado Despesa'!$G$1:$G$12,AG4358))</f>
        <v/>
      </c>
      <c r="AJ4358" s="17" t="str">
        <f t="shared" si="3"/>
        <v/>
      </c>
    </row>
    <row r="4359" spans="31:36">
      <c r="AE4359" s="15" t="str">
        <f t="shared" si="0"/>
        <v/>
      </c>
      <c r="AF4359" s="15" t="str">
        <f t="shared" si="1"/>
        <v/>
      </c>
      <c r="AG4359" s="15" t="str">
        <f>IF(OR(AF4359="",AF4359="ERRO_CHAVE"),"",IFERROR(MATCH(AF4359,'quitado Despesa'!$V$1:$V$12,0),""))</f>
        <v/>
      </c>
      <c r="AH4359" s="15" t="str">
        <f t="shared" si="2"/>
        <v/>
      </c>
      <c r="AI4359" s="17" t="str">
        <f>IF(AG4359="","",INDEX('quitado Despesa'!$G$1:$G$12,AG4359))</f>
        <v/>
      </c>
      <c r="AJ4359" s="17" t="str">
        <f t="shared" si="3"/>
        <v/>
      </c>
    </row>
    <row r="4360" spans="31:36">
      <c r="AE4360" s="15" t="str">
        <f t="shared" si="0"/>
        <v/>
      </c>
      <c r="AF4360" s="15" t="str">
        <f t="shared" si="1"/>
        <v/>
      </c>
      <c r="AG4360" s="15" t="str">
        <f>IF(OR(AF4360="",AF4360="ERRO_CHAVE"),"",IFERROR(MATCH(AF4360,'quitado Despesa'!$V$1:$V$12,0),""))</f>
        <v/>
      </c>
      <c r="AH4360" s="15" t="str">
        <f t="shared" si="2"/>
        <v/>
      </c>
      <c r="AI4360" s="17" t="str">
        <f>IF(AG4360="","",INDEX('quitado Despesa'!$G$1:$G$12,AG4360))</f>
        <v/>
      </c>
      <c r="AJ4360" s="17" t="str">
        <f t="shared" si="3"/>
        <v/>
      </c>
    </row>
    <row r="4361" spans="31:36">
      <c r="AE4361" s="15" t="str">
        <f t="shared" si="0"/>
        <v/>
      </c>
      <c r="AF4361" s="15" t="str">
        <f t="shared" si="1"/>
        <v/>
      </c>
      <c r="AG4361" s="15" t="str">
        <f>IF(OR(AF4361="",AF4361="ERRO_CHAVE"),"",IFERROR(MATCH(AF4361,'quitado Despesa'!$V$1:$V$12,0),""))</f>
        <v/>
      </c>
      <c r="AH4361" s="15" t="str">
        <f t="shared" si="2"/>
        <v/>
      </c>
      <c r="AI4361" s="17" t="str">
        <f>IF(AG4361="","",INDEX('quitado Despesa'!$G$1:$G$12,AG4361))</f>
        <v/>
      </c>
      <c r="AJ4361" s="17" t="str">
        <f t="shared" si="3"/>
        <v/>
      </c>
    </row>
    <row r="4362" spans="31:36">
      <c r="AE4362" s="15" t="str">
        <f t="shared" si="0"/>
        <v/>
      </c>
      <c r="AF4362" s="15" t="str">
        <f t="shared" si="1"/>
        <v/>
      </c>
      <c r="AG4362" s="15" t="str">
        <f>IF(OR(AF4362="",AF4362="ERRO_CHAVE"),"",IFERROR(MATCH(AF4362,'quitado Despesa'!$V$1:$V$12,0),""))</f>
        <v/>
      </c>
      <c r="AH4362" s="15" t="str">
        <f t="shared" si="2"/>
        <v/>
      </c>
      <c r="AI4362" s="17" t="str">
        <f>IF(AG4362="","",INDEX('quitado Despesa'!$G$1:$G$12,AG4362))</f>
        <v/>
      </c>
      <c r="AJ4362" s="17" t="str">
        <f t="shared" si="3"/>
        <v/>
      </c>
    </row>
    <row r="4363" spans="31:36">
      <c r="AE4363" s="15" t="str">
        <f t="shared" si="0"/>
        <v/>
      </c>
      <c r="AF4363" s="15" t="str">
        <f t="shared" si="1"/>
        <v/>
      </c>
      <c r="AG4363" s="15" t="str">
        <f>IF(OR(AF4363="",AF4363="ERRO_CHAVE"),"",IFERROR(MATCH(AF4363,'quitado Despesa'!$V$1:$V$12,0),""))</f>
        <v/>
      </c>
      <c r="AH4363" s="15" t="str">
        <f t="shared" si="2"/>
        <v/>
      </c>
      <c r="AI4363" s="17" t="str">
        <f>IF(AG4363="","",INDEX('quitado Despesa'!$G$1:$G$12,AG4363))</f>
        <v/>
      </c>
      <c r="AJ4363" s="17" t="str">
        <f t="shared" si="3"/>
        <v/>
      </c>
    </row>
    <row r="4364" spans="31:36">
      <c r="AE4364" s="15" t="str">
        <f t="shared" si="0"/>
        <v/>
      </c>
      <c r="AF4364" s="15" t="str">
        <f t="shared" si="1"/>
        <v/>
      </c>
      <c r="AG4364" s="15" t="str">
        <f>IF(OR(AF4364="",AF4364="ERRO_CHAVE"),"",IFERROR(MATCH(AF4364,'quitado Despesa'!$V$1:$V$12,0),""))</f>
        <v/>
      </c>
      <c r="AH4364" s="15" t="str">
        <f t="shared" si="2"/>
        <v/>
      </c>
      <c r="AI4364" s="17" t="str">
        <f>IF(AG4364="","",INDEX('quitado Despesa'!$G$1:$G$12,AG4364))</f>
        <v/>
      </c>
      <c r="AJ4364" s="17" t="str">
        <f t="shared" si="3"/>
        <v/>
      </c>
    </row>
    <row r="4365" spans="31:36">
      <c r="AE4365" s="15" t="str">
        <f t="shared" si="0"/>
        <v/>
      </c>
      <c r="AF4365" s="15" t="str">
        <f t="shared" si="1"/>
        <v/>
      </c>
      <c r="AG4365" s="15" t="str">
        <f>IF(OR(AF4365="",AF4365="ERRO_CHAVE"),"",IFERROR(MATCH(AF4365,'quitado Despesa'!$V$1:$V$12,0),""))</f>
        <v/>
      </c>
      <c r="AH4365" s="15" t="str">
        <f t="shared" si="2"/>
        <v/>
      </c>
      <c r="AI4365" s="17" t="str">
        <f>IF(AG4365="","",INDEX('quitado Despesa'!$G$1:$G$12,AG4365))</f>
        <v/>
      </c>
      <c r="AJ4365" s="17" t="str">
        <f t="shared" si="3"/>
        <v/>
      </c>
    </row>
    <row r="4366" spans="31:36">
      <c r="AE4366" s="15" t="str">
        <f t="shared" si="0"/>
        <v/>
      </c>
      <c r="AF4366" s="15" t="str">
        <f t="shared" si="1"/>
        <v/>
      </c>
      <c r="AG4366" s="15" t="str">
        <f>IF(OR(AF4366="",AF4366="ERRO_CHAVE"),"",IFERROR(MATCH(AF4366,'quitado Despesa'!$V$1:$V$12,0),""))</f>
        <v/>
      </c>
      <c r="AH4366" s="15" t="str">
        <f t="shared" si="2"/>
        <v/>
      </c>
      <c r="AI4366" s="17" t="str">
        <f>IF(AG4366="","",INDEX('quitado Despesa'!$G$1:$G$12,AG4366))</f>
        <v/>
      </c>
      <c r="AJ4366" s="17" t="str">
        <f t="shared" si="3"/>
        <v/>
      </c>
    </row>
    <row r="4367" spans="31:36">
      <c r="AE4367" s="15" t="str">
        <f t="shared" si="0"/>
        <v/>
      </c>
      <c r="AF4367" s="15" t="str">
        <f t="shared" si="1"/>
        <v/>
      </c>
      <c r="AG4367" s="15" t="str">
        <f>IF(OR(AF4367="",AF4367="ERRO_CHAVE"),"",IFERROR(MATCH(AF4367,'quitado Despesa'!$V$1:$V$12,0),""))</f>
        <v/>
      </c>
      <c r="AH4367" s="15" t="str">
        <f t="shared" si="2"/>
        <v/>
      </c>
      <c r="AI4367" s="17" t="str">
        <f>IF(AG4367="","",INDEX('quitado Despesa'!$G$1:$G$12,AG4367))</f>
        <v/>
      </c>
      <c r="AJ4367" s="17" t="str">
        <f t="shared" si="3"/>
        <v/>
      </c>
    </row>
    <row r="4368" spans="31:36">
      <c r="AE4368" s="15" t="str">
        <f t="shared" si="0"/>
        <v/>
      </c>
      <c r="AF4368" s="15" t="str">
        <f t="shared" si="1"/>
        <v/>
      </c>
      <c r="AG4368" s="15" t="str">
        <f>IF(OR(AF4368="",AF4368="ERRO_CHAVE"),"",IFERROR(MATCH(AF4368,'quitado Despesa'!$V$1:$V$12,0),""))</f>
        <v/>
      </c>
      <c r="AH4368" s="15" t="str">
        <f t="shared" si="2"/>
        <v/>
      </c>
      <c r="AI4368" s="17" t="str">
        <f>IF(AG4368="","",INDEX('quitado Despesa'!$G$1:$G$12,AG4368))</f>
        <v/>
      </c>
      <c r="AJ4368" s="17" t="str">
        <f t="shared" si="3"/>
        <v/>
      </c>
    </row>
    <row r="4369" spans="31:36">
      <c r="AE4369" s="15" t="str">
        <f t="shared" si="0"/>
        <v/>
      </c>
      <c r="AF4369" s="15" t="str">
        <f t="shared" si="1"/>
        <v/>
      </c>
      <c r="AG4369" s="15" t="str">
        <f>IF(OR(AF4369="",AF4369="ERRO_CHAVE"),"",IFERROR(MATCH(AF4369,'quitado Despesa'!$V$1:$V$12,0),""))</f>
        <v/>
      </c>
      <c r="AH4369" s="15" t="str">
        <f t="shared" si="2"/>
        <v/>
      </c>
      <c r="AI4369" s="17" t="str">
        <f>IF(AG4369="","",INDEX('quitado Despesa'!$G$1:$G$12,AG4369))</f>
        <v/>
      </c>
      <c r="AJ4369" s="17" t="str">
        <f t="shared" si="3"/>
        <v/>
      </c>
    </row>
    <row r="4370" spans="31:36">
      <c r="AE4370" s="15" t="str">
        <f t="shared" si="0"/>
        <v/>
      </c>
      <c r="AF4370" s="15" t="str">
        <f t="shared" si="1"/>
        <v/>
      </c>
      <c r="AG4370" s="15" t="str">
        <f>IF(OR(AF4370="",AF4370="ERRO_CHAVE"),"",IFERROR(MATCH(AF4370,'quitado Despesa'!$V$1:$V$12,0),""))</f>
        <v/>
      </c>
      <c r="AH4370" s="15" t="str">
        <f t="shared" si="2"/>
        <v/>
      </c>
      <c r="AI4370" s="17" t="str">
        <f>IF(AG4370="","",INDEX('quitado Despesa'!$G$1:$G$12,AG4370))</f>
        <v/>
      </c>
      <c r="AJ4370" s="17" t="str">
        <f t="shared" si="3"/>
        <v/>
      </c>
    </row>
    <row r="4371" spans="31:36">
      <c r="AE4371" s="15" t="str">
        <f t="shared" si="0"/>
        <v/>
      </c>
      <c r="AF4371" s="15" t="str">
        <f t="shared" si="1"/>
        <v/>
      </c>
      <c r="AG4371" s="15" t="str">
        <f>IF(OR(AF4371="",AF4371="ERRO_CHAVE"),"",IFERROR(MATCH(AF4371,'quitado Despesa'!$V$1:$V$12,0),""))</f>
        <v/>
      </c>
      <c r="AH4371" s="15" t="str">
        <f t="shared" si="2"/>
        <v/>
      </c>
      <c r="AI4371" s="17" t="str">
        <f>IF(AG4371="","",INDEX('quitado Despesa'!$G$1:$G$12,AG4371))</f>
        <v/>
      </c>
      <c r="AJ4371" s="17" t="str">
        <f t="shared" si="3"/>
        <v/>
      </c>
    </row>
    <row r="4372" spans="31:36">
      <c r="AE4372" s="15" t="str">
        <f t="shared" si="0"/>
        <v/>
      </c>
      <c r="AF4372" s="15" t="str">
        <f t="shared" si="1"/>
        <v/>
      </c>
      <c r="AG4372" s="15" t="str">
        <f>IF(OR(AF4372="",AF4372="ERRO_CHAVE"),"",IFERROR(MATCH(AF4372,'quitado Despesa'!$V$1:$V$12,0),""))</f>
        <v/>
      </c>
      <c r="AH4372" s="15" t="str">
        <f t="shared" si="2"/>
        <v/>
      </c>
      <c r="AI4372" s="17" t="str">
        <f>IF(AG4372="","",INDEX('quitado Despesa'!$G$1:$G$12,AG4372))</f>
        <v/>
      </c>
      <c r="AJ4372" s="17" t="str">
        <f t="shared" si="3"/>
        <v/>
      </c>
    </row>
    <row r="4373" spans="31:36">
      <c r="AE4373" s="15" t="str">
        <f t="shared" si="0"/>
        <v/>
      </c>
      <c r="AF4373" s="15" t="str">
        <f t="shared" si="1"/>
        <v/>
      </c>
      <c r="AG4373" s="15" t="str">
        <f>IF(OR(AF4373="",AF4373="ERRO_CHAVE"),"",IFERROR(MATCH(AF4373,'quitado Despesa'!$V$1:$V$12,0),""))</f>
        <v/>
      </c>
      <c r="AH4373" s="15" t="str">
        <f t="shared" si="2"/>
        <v/>
      </c>
      <c r="AI4373" s="17" t="str">
        <f>IF(AG4373="","",INDEX('quitado Despesa'!$G$1:$G$12,AG4373))</f>
        <v/>
      </c>
      <c r="AJ4373" s="17" t="str">
        <f t="shared" si="3"/>
        <v/>
      </c>
    </row>
    <row r="4374" spans="31:36">
      <c r="AE4374" s="15" t="str">
        <f t="shared" si="0"/>
        <v/>
      </c>
      <c r="AF4374" s="15" t="str">
        <f t="shared" si="1"/>
        <v/>
      </c>
      <c r="AG4374" s="15" t="str">
        <f>IF(OR(AF4374="",AF4374="ERRO_CHAVE"),"",IFERROR(MATCH(AF4374,'quitado Despesa'!$V$1:$V$12,0),""))</f>
        <v/>
      </c>
      <c r="AH4374" s="15" t="str">
        <f t="shared" si="2"/>
        <v/>
      </c>
      <c r="AI4374" s="17" t="str">
        <f>IF(AG4374="","",INDEX('quitado Despesa'!$G$1:$G$12,AG4374))</f>
        <v/>
      </c>
      <c r="AJ4374" s="17" t="str">
        <f t="shared" si="3"/>
        <v/>
      </c>
    </row>
    <row r="4375" spans="31:36">
      <c r="AE4375" s="15" t="str">
        <f t="shared" si="0"/>
        <v/>
      </c>
      <c r="AF4375" s="15" t="str">
        <f t="shared" si="1"/>
        <v/>
      </c>
      <c r="AG4375" s="15" t="str">
        <f>IF(OR(AF4375="",AF4375="ERRO_CHAVE"),"",IFERROR(MATCH(AF4375,'quitado Despesa'!$V$1:$V$12,0),""))</f>
        <v/>
      </c>
      <c r="AH4375" s="15" t="str">
        <f t="shared" si="2"/>
        <v/>
      </c>
      <c r="AI4375" s="17" t="str">
        <f>IF(AG4375="","",INDEX('quitado Despesa'!$G$1:$G$12,AG4375))</f>
        <v/>
      </c>
      <c r="AJ4375" s="17" t="str">
        <f t="shared" si="3"/>
        <v/>
      </c>
    </row>
    <row r="4376" spans="31:36">
      <c r="AE4376" s="15" t="str">
        <f t="shared" si="0"/>
        <v/>
      </c>
      <c r="AF4376" s="15" t="str">
        <f t="shared" si="1"/>
        <v/>
      </c>
      <c r="AG4376" s="15" t="str">
        <f>IF(OR(AF4376="",AF4376="ERRO_CHAVE"),"",IFERROR(MATCH(AF4376,'quitado Despesa'!$V$1:$V$12,0),""))</f>
        <v/>
      </c>
      <c r="AH4376" s="15" t="str">
        <f t="shared" si="2"/>
        <v/>
      </c>
      <c r="AI4376" s="17" t="str">
        <f>IF(AG4376="","",INDEX('quitado Despesa'!$G$1:$G$12,AG4376))</f>
        <v/>
      </c>
      <c r="AJ4376" s="17" t="str">
        <f t="shared" si="3"/>
        <v/>
      </c>
    </row>
    <row r="4377" spans="31:36">
      <c r="AE4377" s="15" t="str">
        <f t="shared" si="0"/>
        <v/>
      </c>
      <c r="AF4377" s="15" t="str">
        <f t="shared" si="1"/>
        <v/>
      </c>
      <c r="AG4377" s="15" t="str">
        <f>IF(OR(AF4377="",AF4377="ERRO_CHAVE"),"",IFERROR(MATCH(AF4377,'quitado Despesa'!$V$1:$V$12,0),""))</f>
        <v/>
      </c>
      <c r="AH4377" s="15" t="str">
        <f t="shared" si="2"/>
        <v/>
      </c>
      <c r="AI4377" s="17" t="str">
        <f>IF(AG4377="","",INDEX('quitado Despesa'!$G$1:$G$12,AG4377))</f>
        <v/>
      </c>
      <c r="AJ4377" s="17" t="str">
        <f t="shared" si="3"/>
        <v/>
      </c>
    </row>
    <row r="4378" spans="31:36">
      <c r="AE4378" s="15" t="str">
        <f t="shared" si="0"/>
        <v/>
      </c>
      <c r="AF4378" s="15" t="str">
        <f t="shared" si="1"/>
        <v/>
      </c>
      <c r="AG4378" s="15" t="str">
        <f>IF(OR(AF4378="",AF4378="ERRO_CHAVE"),"",IFERROR(MATCH(AF4378,'quitado Despesa'!$V$1:$V$12,0),""))</f>
        <v/>
      </c>
      <c r="AH4378" s="15" t="str">
        <f t="shared" si="2"/>
        <v/>
      </c>
      <c r="AI4378" s="17" t="str">
        <f>IF(AG4378="","",INDEX('quitado Despesa'!$G$1:$G$12,AG4378))</f>
        <v/>
      </c>
      <c r="AJ4378" s="17" t="str">
        <f t="shared" si="3"/>
        <v/>
      </c>
    </row>
    <row r="4379" spans="31:36">
      <c r="AE4379" s="15" t="str">
        <f t="shared" si="0"/>
        <v/>
      </c>
      <c r="AF4379" s="15" t="str">
        <f t="shared" si="1"/>
        <v/>
      </c>
      <c r="AG4379" s="15" t="str">
        <f>IF(OR(AF4379="",AF4379="ERRO_CHAVE"),"",IFERROR(MATCH(AF4379,'quitado Despesa'!$V$1:$V$12,0),""))</f>
        <v/>
      </c>
      <c r="AH4379" s="15" t="str">
        <f t="shared" si="2"/>
        <v/>
      </c>
      <c r="AI4379" s="17" t="str">
        <f>IF(AG4379="","",INDEX('quitado Despesa'!$G$1:$G$12,AG4379))</f>
        <v/>
      </c>
      <c r="AJ4379" s="17" t="str">
        <f t="shared" si="3"/>
        <v/>
      </c>
    </row>
    <row r="4380" spans="31:36">
      <c r="AE4380" s="15" t="str">
        <f t="shared" si="0"/>
        <v/>
      </c>
      <c r="AF4380" s="15" t="str">
        <f t="shared" si="1"/>
        <v/>
      </c>
      <c r="AG4380" s="15" t="str">
        <f>IF(OR(AF4380="",AF4380="ERRO_CHAVE"),"",IFERROR(MATCH(AF4380,'quitado Despesa'!$V$1:$V$12,0),""))</f>
        <v/>
      </c>
      <c r="AH4380" s="15" t="str">
        <f t="shared" si="2"/>
        <v/>
      </c>
      <c r="AI4380" s="17" t="str">
        <f>IF(AG4380="","",INDEX('quitado Despesa'!$G$1:$G$12,AG4380))</f>
        <v/>
      </c>
      <c r="AJ4380" s="17" t="str">
        <f t="shared" si="3"/>
        <v/>
      </c>
    </row>
    <row r="4381" spans="31:36">
      <c r="AE4381" s="15" t="str">
        <f t="shared" si="0"/>
        <v/>
      </c>
      <c r="AF4381" s="15" t="str">
        <f t="shared" si="1"/>
        <v/>
      </c>
      <c r="AG4381" s="15" t="str">
        <f>IF(OR(AF4381="",AF4381="ERRO_CHAVE"),"",IFERROR(MATCH(AF4381,'quitado Despesa'!$V$1:$V$12,0),""))</f>
        <v/>
      </c>
      <c r="AH4381" s="15" t="str">
        <f t="shared" si="2"/>
        <v/>
      </c>
      <c r="AI4381" s="17" t="str">
        <f>IF(AG4381="","",INDEX('quitado Despesa'!$G$1:$G$12,AG4381))</f>
        <v/>
      </c>
      <c r="AJ4381" s="17" t="str">
        <f t="shared" si="3"/>
        <v/>
      </c>
    </row>
    <row r="4382" spans="31:36">
      <c r="AE4382" s="15" t="str">
        <f t="shared" si="0"/>
        <v/>
      </c>
      <c r="AF4382" s="15" t="str">
        <f t="shared" si="1"/>
        <v/>
      </c>
      <c r="AG4382" s="15" t="str">
        <f>IF(OR(AF4382="",AF4382="ERRO_CHAVE"),"",IFERROR(MATCH(AF4382,'quitado Despesa'!$V$1:$V$12,0),""))</f>
        <v/>
      </c>
      <c r="AH4382" s="15" t="str">
        <f t="shared" si="2"/>
        <v/>
      </c>
      <c r="AI4382" s="17" t="str">
        <f>IF(AG4382="","",INDEX('quitado Despesa'!$G$1:$G$12,AG4382))</f>
        <v/>
      </c>
      <c r="AJ4382" s="17" t="str">
        <f t="shared" si="3"/>
        <v/>
      </c>
    </row>
    <row r="4383" spans="31:36">
      <c r="AE4383" s="15" t="str">
        <f t="shared" si="0"/>
        <v/>
      </c>
      <c r="AF4383" s="15" t="str">
        <f t="shared" si="1"/>
        <v/>
      </c>
      <c r="AG4383" s="15" t="str">
        <f>IF(OR(AF4383="",AF4383="ERRO_CHAVE"),"",IFERROR(MATCH(AF4383,'quitado Despesa'!$V$1:$V$12,0),""))</f>
        <v/>
      </c>
      <c r="AH4383" s="15" t="str">
        <f t="shared" si="2"/>
        <v/>
      </c>
      <c r="AI4383" s="17" t="str">
        <f>IF(AG4383="","",INDEX('quitado Despesa'!$G$1:$G$12,AG4383))</f>
        <v/>
      </c>
      <c r="AJ4383" s="17" t="str">
        <f t="shared" si="3"/>
        <v/>
      </c>
    </row>
    <row r="4384" spans="31:36">
      <c r="AE4384" s="15" t="str">
        <f t="shared" si="0"/>
        <v/>
      </c>
      <c r="AF4384" s="15" t="str">
        <f t="shared" si="1"/>
        <v/>
      </c>
      <c r="AG4384" s="15" t="str">
        <f>IF(OR(AF4384="",AF4384="ERRO_CHAVE"),"",IFERROR(MATCH(AF4384,'quitado Despesa'!$V$1:$V$12,0),""))</f>
        <v/>
      </c>
      <c r="AH4384" s="15" t="str">
        <f t="shared" si="2"/>
        <v/>
      </c>
      <c r="AI4384" s="17" t="str">
        <f>IF(AG4384="","",INDEX('quitado Despesa'!$G$1:$G$12,AG4384))</f>
        <v/>
      </c>
      <c r="AJ4384" s="17" t="str">
        <f t="shared" si="3"/>
        <v/>
      </c>
    </row>
    <row r="4385" spans="31:36">
      <c r="AE4385" s="15" t="str">
        <f t="shared" si="0"/>
        <v/>
      </c>
      <c r="AF4385" s="15" t="str">
        <f t="shared" si="1"/>
        <v/>
      </c>
      <c r="AG4385" s="15" t="str">
        <f>IF(OR(AF4385="",AF4385="ERRO_CHAVE"),"",IFERROR(MATCH(AF4385,'quitado Despesa'!$V$1:$V$12,0),""))</f>
        <v/>
      </c>
      <c r="AH4385" s="15" t="str">
        <f t="shared" si="2"/>
        <v/>
      </c>
      <c r="AI4385" s="17" t="str">
        <f>IF(AG4385="","",INDEX('quitado Despesa'!$G$1:$G$12,AG4385))</f>
        <v/>
      </c>
      <c r="AJ4385" s="17" t="str">
        <f t="shared" si="3"/>
        <v/>
      </c>
    </row>
    <row r="4386" spans="31:36">
      <c r="AE4386" s="15" t="str">
        <f t="shared" si="0"/>
        <v/>
      </c>
      <c r="AF4386" s="15" t="str">
        <f t="shared" si="1"/>
        <v/>
      </c>
      <c r="AG4386" s="15" t="str">
        <f>IF(OR(AF4386="",AF4386="ERRO_CHAVE"),"",IFERROR(MATCH(AF4386,'quitado Despesa'!$V$1:$V$12,0),""))</f>
        <v/>
      </c>
      <c r="AH4386" s="15" t="str">
        <f t="shared" si="2"/>
        <v/>
      </c>
      <c r="AI4386" s="17" t="str">
        <f>IF(AG4386="","",INDEX('quitado Despesa'!$G$1:$G$12,AG4386))</f>
        <v/>
      </c>
      <c r="AJ4386" s="17" t="str">
        <f t="shared" si="3"/>
        <v/>
      </c>
    </row>
    <row r="4387" spans="31:36">
      <c r="AE4387" s="15" t="str">
        <f t="shared" si="0"/>
        <v/>
      </c>
      <c r="AF4387" s="15" t="str">
        <f t="shared" si="1"/>
        <v/>
      </c>
      <c r="AG4387" s="15" t="str">
        <f>IF(OR(AF4387="",AF4387="ERRO_CHAVE"),"",IFERROR(MATCH(AF4387,'quitado Despesa'!$V$1:$V$12,0),""))</f>
        <v/>
      </c>
      <c r="AH4387" s="15" t="str">
        <f t="shared" si="2"/>
        <v/>
      </c>
      <c r="AI4387" s="17" t="str">
        <f>IF(AG4387="","",INDEX('quitado Despesa'!$G$1:$G$12,AG4387))</f>
        <v/>
      </c>
      <c r="AJ4387" s="17" t="str">
        <f t="shared" si="3"/>
        <v/>
      </c>
    </row>
    <row r="4388" spans="31:36">
      <c r="AE4388" s="15" t="str">
        <f t="shared" si="0"/>
        <v/>
      </c>
      <c r="AF4388" s="15" t="str">
        <f t="shared" si="1"/>
        <v/>
      </c>
      <c r="AG4388" s="15" t="str">
        <f>IF(OR(AF4388="",AF4388="ERRO_CHAVE"),"",IFERROR(MATCH(AF4388,'quitado Despesa'!$V$1:$V$12,0),""))</f>
        <v/>
      </c>
      <c r="AH4388" s="15" t="str">
        <f t="shared" si="2"/>
        <v/>
      </c>
      <c r="AI4388" s="17" t="str">
        <f>IF(AG4388="","",INDEX('quitado Despesa'!$G$1:$G$12,AG4388))</f>
        <v/>
      </c>
      <c r="AJ4388" s="17" t="str">
        <f t="shared" si="3"/>
        <v/>
      </c>
    </row>
    <row r="4389" spans="31:36">
      <c r="AE4389" s="15" t="str">
        <f t="shared" si="0"/>
        <v/>
      </c>
      <c r="AF4389" s="15" t="str">
        <f t="shared" si="1"/>
        <v/>
      </c>
      <c r="AG4389" s="15" t="str">
        <f>IF(OR(AF4389="",AF4389="ERRO_CHAVE"),"",IFERROR(MATCH(AF4389,'quitado Despesa'!$V$1:$V$12,0),""))</f>
        <v/>
      </c>
      <c r="AH4389" s="15" t="str">
        <f t="shared" si="2"/>
        <v/>
      </c>
      <c r="AI4389" s="17" t="str">
        <f>IF(AG4389="","",INDEX('quitado Despesa'!$G$1:$G$12,AG4389))</f>
        <v/>
      </c>
      <c r="AJ4389" s="17" t="str">
        <f t="shared" si="3"/>
        <v/>
      </c>
    </row>
    <row r="4390" spans="31:36">
      <c r="AE4390" s="15" t="str">
        <f t="shared" si="0"/>
        <v/>
      </c>
      <c r="AF4390" s="15" t="str">
        <f t="shared" si="1"/>
        <v/>
      </c>
      <c r="AG4390" s="15" t="str">
        <f>IF(OR(AF4390="",AF4390="ERRO_CHAVE"),"",IFERROR(MATCH(AF4390,'quitado Despesa'!$V$1:$V$12,0),""))</f>
        <v/>
      </c>
      <c r="AH4390" s="15" t="str">
        <f t="shared" si="2"/>
        <v/>
      </c>
      <c r="AI4390" s="17" t="str">
        <f>IF(AG4390="","",INDEX('quitado Despesa'!$G$1:$G$12,AG4390))</f>
        <v/>
      </c>
      <c r="AJ4390" s="17" t="str">
        <f t="shared" si="3"/>
        <v/>
      </c>
    </row>
    <row r="4391" spans="31:36">
      <c r="AE4391" s="15" t="str">
        <f t="shared" si="0"/>
        <v/>
      </c>
      <c r="AF4391" s="15" t="str">
        <f t="shared" si="1"/>
        <v/>
      </c>
      <c r="AG4391" s="15" t="str">
        <f>IF(OR(AF4391="",AF4391="ERRO_CHAVE"),"",IFERROR(MATCH(AF4391,'quitado Despesa'!$V$1:$V$12,0),""))</f>
        <v/>
      </c>
      <c r="AH4391" s="15" t="str">
        <f t="shared" si="2"/>
        <v/>
      </c>
      <c r="AI4391" s="17" t="str">
        <f>IF(AG4391="","",INDEX('quitado Despesa'!$G$1:$G$12,AG4391))</f>
        <v/>
      </c>
      <c r="AJ4391" s="17" t="str">
        <f t="shared" si="3"/>
        <v/>
      </c>
    </row>
    <row r="4392" spans="31:36">
      <c r="AE4392" s="15" t="str">
        <f t="shared" si="0"/>
        <v/>
      </c>
      <c r="AF4392" s="15" t="str">
        <f t="shared" si="1"/>
        <v/>
      </c>
      <c r="AG4392" s="15" t="str">
        <f>IF(OR(AF4392="",AF4392="ERRO_CHAVE"),"",IFERROR(MATCH(AF4392,'quitado Despesa'!$V$1:$V$12,0),""))</f>
        <v/>
      </c>
      <c r="AH4392" s="15" t="str">
        <f t="shared" si="2"/>
        <v/>
      </c>
      <c r="AI4392" s="17" t="str">
        <f>IF(AG4392="","",INDEX('quitado Despesa'!$G$1:$G$12,AG4392))</f>
        <v/>
      </c>
      <c r="AJ4392" s="17" t="str">
        <f t="shared" si="3"/>
        <v/>
      </c>
    </row>
    <row r="4393" spans="31:36">
      <c r="AE4393" s="15" t="str">
        <f t="shared" si="0"/>
        <v/>
      </c>
      <c r="AF4393" s="15" t="str">
        <f t="shared" si="1"/>
        <v/>
      </c>
      <c r="AG4393" s="15" t="str">
        <f>IF(OR(AF4393="",AF4393="ERRO_CHAVE"),"",IFERROR(MATCH(AF4393,'quitado Despesa'!$V$1:$V$12,0),""))</f>
        <v/>
      </c>
      <c r="AH4393" s="15" t="str">
        <f t="shared" si="2"/>
        <v/>
      </c>
      <c r="AI4393" s="17" t="str">
        <f>IF(AG4393="","",INDEX('quitado Despesa'!$G$1:$G$12,AG4393))</f>
        <v/>
      </c>
      <c r="AJ4393" s="17" t="str">
        <f t="shared" si="3"/>
        <v/>
      </c>
    </row>
    <row r="4394" spans="31:36">
      <c r="AE4394" s="15" t="str">
        <f t="shared" si="0"/>
        <v/>
      </c>
      <c r="AF4394" s="15" t="str">
        <f t="shared" si="1"/>
        <v/>
      </c>
      <c r="AG4394" s="15" t="str">
        <f>IF(OR(AF4394="",AF4394="ERRO_CHAVE"),"",IFERROR(MATCH(AF4394,'quitado Despesa'!$V$1:$V$12,0),""))</f>
        <v/>
      </c>
      <c r="AH4394" s="15" t="str">
        <f t="shared" si="2"/>
        <v/>
      </c>
      <c r="AI4394" s="17" t="str">
        <f>IF(AG4394="","",INDEX('quitado Despesa'!$G$1:$G$12,AG4394))</f>
        <v/>
      </c>
      <c r="AJ4394" s="17" t="str">
        <f t="shared" si="3"/>
        <v/>
      </c>
    </row>
    <row r="4395" spans="31:36">
      <c r="AE4395" s="15" t="str">
        <f t="shared" si="0"/>
        <v/>
      </c>
      <c r="AF4395" s="15" t="str">
        <f t="shared" si="1"/>
        <v/>
      </c>
      <c r="AG4395" s="15" t="str">
        <f>IF(OR(AF4395="",AF4395="ERRO_CHAVE"),"",IFERROR(MATCH(AF4395,'quitado Despesa'!$V$1:$V$12,0),""))</f>
        <v/>
      </c>
      <c r="AH4395" s="15" t="str">
        <f t="shared" si="2"/>
        <v/>
      </c>
      <c r="AI4395" s="17" t="str">
        <f>IF(AG4395="","",INDEX('quitado Despesa'!$G$1:$G$12,AG4395))</f>
        <v/>
      </c>
      <c r="AJ4395" s="17" t="str">
        <f t="shared" si="3"/>
        <v/>
      </c>
    </row>
    <row r="4396" spans="31:36">
      <c r="AE4396" s="15" t="str">
        <f t="shared" si="0"/>
        <v/>
      </c>
      <c r="AF4396" s="15" t="str">
        <f t="shared" si="1"/>
        <v/>
      </c>
      <c r="AG4396" s="15" t="str">
        <f>IF(OR(AF4396="",AF4396="ERRO_CHAVE"),"",IFERROR(MATCH(AF4396,'quitado Despesa'!$V$1:$V$12,0),""))</f>
        <v/>
      </c>
      <c r="AH4396" s="15" t="str">
        <f t="shared" si="2"/>
        <v/>
      </c>
      <c r="AI4396" s="17" t="str">
        <f>IF(AG4396="","",INDEX('quitado Despesa'!$G$1:$G$12,AG4396))</f>
        <v/>
      </c>
      <c r="AJ4396" s="17" t="str">
        <f t="shared" si="3"/>
        <v/>
      </c>
    </row>
    <row r="4397" spans="31:36">
      <c r="AE4397" s="15" t="str">
        <f t="shared" si="0"/>
        <v/>
      </c>
      <c r="AF4397" s="15" t="str">
        <f t="shared" si="1"/>
        <v/>
      </c>
      <c r="AG4397" s="15" t="str">
        <f>IF(OR(AF4397="",AF4397="ERRO_CHAVE"),"",IFERROR(MATCH(AF4397,'quitado Despesa'!$V$1:$V$12,0),""))</f>
        <v/>
      </c>
      <c r="AH4397" s="15" t="str">
        <f t="shared" si="2"/>
        <v/>
      </c>
      <c r="AI4397" s="17" t="str">
        <f>IF(AG4397="","",INDEX('quitado Despesa'!$G$1:$G$12,AG4397))</f>
        <v/>
      </c>
      <c r="AJ4397" s="17" t="str">
        <f t="shared" si="3"/>
        <v/>
      </c>
    </row>
    <row r="4398" spans="31:36">
      <c r="AE4398" s="15" t="str">
        <f t="shared" si="0"/>
        <v/>
      </c>
      <c r="AF4398" s="15" t="str">
        <f t="shared" si="1"/>
        <v/>
      </c>
      <c r="AG4398" s="15" t="str">
        <f>IF(OR(AF4398="",AF4398="ERRO_CHAVE"),"",IFERROR(MATCH(AF4398,'quitado Despesa'!$V$1:$V$12,0),""))</f>
        <v/>
      </c>
      <c r="AH4398" s="15" t="str">
        <f t="shared" si="2"/>
        <v/>
      </c>
      <c r="AI4398" s="17" t="str">
        <f>IF(AG4398="","",INDEX('quitado Despesa'!$G$1:$G$12,AG4398))</f>
        <v/>
      </c>
      <c r="AJ4398" s="17" t="str">
        <f t="shared" si="3"/>
        <v/>
      </c>
    </row>
    <row r="4399" spans="31:36">
      <c r="AE4399" s="15" t="str">
        <f t="shared" si="0"/>
        <v/>
      </c>
      <c r="AF4399" s="15" t="str">
        <f t="shared" si="1"/>
        <v/>
      </c>
      <c r="AG4399" s="15" t="str">
        <f>IF(OR(AF4399="",AF4399="ERRO_CHAVE"),"",IFERROR(MATCH(AF4399,'quitado Despesa'!$V$1:$V$12,0),""))</f>
        <v/>
      </c>
      <c r="AH4399" s="15" t="str">
        <f t="shared" si="2"/>
        <v/>
      </c>
      <c r="AI4399" s="17" t="str">
        <f>IF(AG4399="","",INDEX('quitado Despesa'!$G$1:$G$12,AG4399))</f>
        <v/>
      </c>
      <c r="AJ4399" s="17" t="str">
        <f t="shared" si="3"/>
        <v/>
      </c>
    </row>
    <row r="4400" spans="31:36">
      <c r="AE4400" s="15" t="str">
        <f t="shared" si="0"/>
        <v/>
      </c>
      <c r="AF4400" s="15" t="str">
        <f t="shared" si="1"/>
        <v/>
      </c>
      <c r="AG4400" s="15" t="str">
        <f>IF(OR(AF4400="",AF4400="ERRO_CHAVE"),"",IFERROR(MATCH(AF4400,'quitado Despesa'!$V$1:$V$12,0),""))</f>
        <v/>
      </c>
      <c r="AH4400" s="15" t="str">
        <f t="shared" si="2"/>
        <v/>
      </c>
      <c r="AI4400" s="17" t="str">
        <f>IF(AG4400="","",INDEX('quitado Despesa'!$G$1:$G$12,AG4400))</f>
        <v/>
      </c>
      <c r="AJ4400" s="17" t="str">
        <f t="shared" si="3"/>
        <v/>
      </c>
    </row>
    <row r="4401" spans="31:36">
      <c r="AE4401" s="15" t="str">
        <f t="shared" si="0"/>
        <v/>
      </c>
      <c r="AF4401" s="15" t="str">
        <f t="shared" si="1"/>
        <v/>
      </c>
      <c r="AG4401" s="15" t="str">
        <f>IF(OR(AF4401="",AF4401="ERRO_CHAVE"),"",IFERROR(MATCH(AF4401,'quitado Despesa'!$V$1:$V$12,0),""))</f>
        <v/>
      </c>
      <c r="AH4401" s="15" t="str">
        <f t="shared" si="2"/>
        <v/>
      </c>
      <c r="AI4401" s="17" t="str">
        <f>IF(AG4401="","",INDEX('quitado Despesa'!$G$1:$G$12,AG4401))</f>
        <v/>
      </c>
      <c r="AJ4401" s="17" t="str">
        <f t="shared" si="3"/>
        <v/>
      </c>
    </row>
    <row r="4402" spans="31:36">
      <c r="AE4402" s="15" t="str">
        <f t="shared" si="0"/>
        <v/>
      </c>
      <c r="AF4402" s="15" t="str">
        <f t="shared" si="1"/>
        <v/>
      </c>
      <c r="AG4402" s="15" t="str">
        <f>IF(OR(AF4402="",AF4402="ERRO_CHAVE"),"",IFERROR(MATCH(AF4402,'quitado Despesa'!$V$1:$V$12,0),""))</f>
        <v/>
      </c>
      <c r="AH4402" s="15" t="str">
        <f t="shared" si="2"/>
        <v/>
      </c>
      <c r="AI4402" s="17" t="str">
        <f>IF(AG4402="","",INDEX('quitado Despesa'!$G$1:$G$12,AG4402))</f>
        <v/>
      </c>
      <c r="AJ4402" s="17" t="str">
        <f t="shared" si="3"/>
        <v/>
      </c>
    </row>
    <row r="4403" spans="31:36">
      <c r="AE4403" s="15" t="str">
        <f t="shared" si="0"/>
        <v/>
      </c>
      <c r="AF4403" s="15" t="str">
        <f t="shared" si="1"/>
        <v/>
      </c>
      <c r="AG4403" s="15" t="str">
        <f>IF(OR(AF4403="",AF4403="ERRO_CHAVE"),"",IFERROR(MATCH(AF4403,'quitado Despesa'!$V$1:$V$12,0),""))</f>
        <v/>
      </c>
      <c r="AH4403" s="15" t="str">
        <f t="shared" si="2"/>
        <v/>
      </c>
      <c r="AI4403" s="17" t="str">
        <f>IF(AG4403="","",INDEX('quitado Despesa'!$G$1:$G$12,AG4403))</f>
        <v/>
      </c>
      <c r="AJ4403" s="17" t="str">
        <f t="shared" si="3"/>
        <v/>
      </c>
    </row>
    <row r="4404" spans="31:36">
      <c r="AE4404" s="15" t="str">
        <f t="shared" si="0"/>
        <v/>
      </c>
      <c r="AF4404" s="15" t="str">
        <f t="shared" si="1"/>
        <v/>
      </c>
      <c r="AG4404" s="15" t="str">
        <f>IF(OR(AF4404="",AF4404="ERRO_CHAVE"),"",IFERROR(MATCH(AF4404,'quitado Despesa'!$V$1:$V$12,0),""))</f>
        <v/>
      </c>
      <c r="AH4404" s="15" t="str">
        <f t="shared" si="2"/>
        <v/>
      </c>
      <c r="AI4404" s="17" t="str">
        <f>IF(AG4404="","",INDEX('quitado Despesa'!$G$1:$G$12,AG4404))</f>
        <v/>
      </c>
      <c r="AJ4404" s="17" t="str">
        <f t="shared" si="3"/>
        <v/>
      </c>
    </row>
    <row r="4405" spans="31:36">
      <c r="AE4405" s="15" t="str">
        <f t="shared" si="0"/>
        <v/>
      </c>
      <c r="AF4405" s="15" t="str">
        <f t="shared" si="1"/>
        <v/>
      </c>
      <c r="AG4405" s="15" t="str">
        <f>IF(OR(AF4405="",AF4405="ERRO_CHAVE"),"",IFERROR(MATCH(AF4405,'quitado Despesa'!$V$1:$V$12,0),""))</f>
        <v/>
      </c>
      <c r="AH4405" s="15" t="str">
        <f t="shared" si="2"/>
        <v/>
      </c>
      <c r="AI4405" s="17" t="str">
        <f>IF(AG4405="","",INDEX('quitado Despesa'!$G$1:$G$12,AG4405))</f>
        <v/>
      </c>
      <c r="AJ4405" s="17" t="str">
        <f t="shared" si="3"/>
        <v/>
      </c>
    </row>
    <row r="4406" spans="31:36">
      <c r="AE4406" s="15" t="str">
        <f t="shared" si="0"/>
        <v/>
      </c>
      <c r="AF4406" s="15" t="str">
        <f t="shared" si="1"/>
        <v/>
      </c>
      <c r="AG4406" s="15" t="str">
        <f>IF(OR(AF4406="",AF4406="ERRO_CHAVE"),"",IFERROR(MATCH(AF4406,'quitado Despesa'!$V$1:$V$12,0),""))</f>
        <v/>
      </c>
      <c r="AH4406" s="15" t="str">
        <f t="shared" si="2"/>
        <v/>
      </c>
      <c r="AI4406" s="17" t="str">
        <f>IF(AG4406="","",INDEX('quitado Despesa'!$G$1:$G$12,AG4406))</f>
        <v/>
      </c>
      <c r="AJ4406" s="17" t="str">
        <f t="shared" si="3"/>
        <v/>
      </c>
    </row>
    <row r="4407" spans="31:36">
      <c r="AE4407" s="15" t="str">
        <f t="shared" si="0"/>
        <v/>
      </c>
      <c r="AF4407" s="15" t="str">
        <f t="shared" si="1"/>
        <v/>
      </c>
      <c r="AG4407" s="15" t="str">
        <f>IF(OR(AF4407="",AF4407="ERRO_CHAVE"),"",IFERROR(MATCH(AF4407,'quitado Despesa'!$V$1:$V$12,0),""))</f>
        <v/>
      </c>
      <c r="AH4407" s="15" t="str">
        <f t="shared" si="2"/>
        <v/>
      </c>
      <c r="AI4407" s="17" t="str">
        <f>IF(AG4407="","",INDEX('quitado Despesa'!$G$1:$G$12,AG4407))</f>
        <v/>
      </c>
      <c r="AJ4407" s="17" t="str">
        <f t="shared" si="3"/>
        <v/>
      </c>
    </row>
    <row r="4408" spans="31:36">
      <c r="AE4408" s="15" t="str">
        <f t="shared" si="0"/>
        <v/>
      </c>
      <c r="AF4408" s="15" t="str">
        <f t="shared" si="1"/>
        <v/>
      </c>
      <c r="AG4408" s="15" t="str">
        <f>IF(OR(AF4408="",AF4408="ERRO_CHAVE"),"",IFERROR(MATCH(AF4408,'quitado Despesa'!$V$1:$V$12,0),""))</f>
        <v/>
      </c>
      <c r="AH4408" s="15" t="str">
        <f t="shared" si="2"/>
        <v/>
      </c>
      <c r="AI4408" s="17" t="str">
        <f>IF(AG4408="","",INDEX('quitado Despesa'!$G$1:$G$12,AG4408))</f>
        <v/>
      </c>
      <c r="AJ4408" s="17" t="str">
        <f t="shared" si="3"/>
        <v/>
      </c>
    </row>
    <row r="4409" spans="31:36">
      <c r="AE4409" s="15" t="str">
        <f t="shared" si="0"/>
        <v/>
      </c>
      <c r="AF4409" s="15" t="str">
        <f t="shared" si="1"/>
        <v/>
      </c>
      <c r="AG4409" s="15" t="str">
        <f>IF(OR(AF4409="",AF4409="ERRO_CHAVE"),"",IFERROR(MATCH(AF4409,'quitado Despesa'!$V$1:$V$12,0),""))</f>
        <v/>
      </c>
      <c r="AH4409" s="15" t="str">
        <f t="shared" si="2"/>
        <v/>
      </c>
      <c r="AI4409" s="17" t="str">
        <f>IF(AG4409="","",INDEX('quitado Despesa'!$G$1:$G$12,AG4409))</f>
        <v/>
      </c>
      <c r="AJ4409" s="17" t="str">
        <f t="shared" si="3"/>
        <v/>
      </c>
    </row>
    <row r="4410" spans="31:36">
      <c r="AE4410" s="15" t="str">
        <f t="shared" si="0"/>
        <v/>
      </c>
      <c r="AF4410" s="15" t="str">
        <f t="shared" si="1"/>
        <v/>
      </c>
      <c r="AG4410" s="15" t="str">
        <f>IF(OR(AF4410="",AF4410="ERRO_CHAVE"),"",IFERROR(MATCH(AF4410,'quitado Despesa'!$V$1:$V$12,0),""))</f>
        <v/>
      </c>
      <c r="AH4410" s="15" t="str">
        <f t="shared" si="2"/>
        <v/>
      </c>
      <c r="AI4410" s="17" t="str">
        <f>IF(AG4410="","",INDEX('quitado Despesa'!$G$1:$G$12,AG4410))</f>
        <v/>
      </c>
      <c r="AJ4410" s="17" t="str">
        <f t="shared" si="3"/>
        <v/>
      </c>
    </row>
    <row r="4411" spans="31:36">
      <c r="AE4411" s="15" t="str">
        <f t="shared" si="0"/>
        <v/>
      </c>
      <c r="AF4411" s="15" t="str">
        <f t="shared" si="1"/>
        <v/>
      </c>
      <c r="AG4411" s="15" t="str">
        <f>IF(OR(AF4411="",AF4411="ERRO_CHAVE"),"",IFERROR(MATCH(AF4411,'quitado Despesa'!$V$1:$V$12,0),""))</f>
        <v/>
      </c>
      <c r="AH4411" s="15" t="str">
        <f t="shared" si="2"/>
        <v/>
      </c>
      <c r="AI4411" s="17" t="str">
        <f>IF(AG4411="","",INDEX('quitado Despesa'!$G$1:$G$12,AG4411))</f>
        <v/>
      </c>
      <c r="AJ4411" s="17" t="str">
        <f t="shared" si="3"/>
        <v/>
      </c>
    </row>
    <row r="4412" spans="31:36">
      <c r="AE4412" s="15" t="str">
        <f t="shared" si="0"/>
        <v/>
      </c>
      <c r="AF4412" s="15" t="str">
        <f t="shared" si="1"/>
        <v/>
      </c>
      <c r="AG4412" s="15" t="str">
        <f>IF(OR(AF4412="",AF4412="ERRO_CHAVE"),"",IFERROR(MATCH(AF4412,'quitado Despesa'!$V$1:$V$12,0),""))</f>
        <v/>
      </c>
      <c r="AH4412" s="15" t="str">
        <f t="shared" si="2"/>
        <v/>
      </c>
      <c r="AI4412" s="17" t="str">
        <f>IF(AG4412="","",INDEX('quitado Despesa'!$G$1:$G$12,AG4412))</f>
        <v/>
      </c>
      <c r="AJ4412" s="17" t="str">
        <f t="shared" si="3"/>
        <v/>
      </c>
    </row>
    <row r="4413" spans="31:36">
      <c r="AE4413" s="15" t="str">
        <f t="shared" si="0"/>
        <v/>
      </c>
      <c r="AF4413" s="15" t="str">
        <f t="shared" si="1"/>
        <v/>
      </c>
      <c r="AG4413" s="15" t="str">
        <f>IF(OR(AF4413="",AF4413="ERRO_CHAVE"),"",IFERROR(MATCH(AF4413,'quitado Despesa'!$V$1:$V$12,0),""))</f>
        <v/>
      </c>
      <c r="AH4413" s="15" t="str">
        <f t="shared" si="2"/>
        <v/>
      </c>
      <c r="AI4413" s="17" t="str">
        <f>IF(AG4413="","",INDEX('quitado Despesa'!$G$1:$G$12,AG4413))</f>
        <v/>
      </c>
      <c r="AJ4413" s="17" t="str">
        <f t="shared" si="3"/>
        <v/>
      </c>
    </row>
    <row r="4414" spans="31:36">
      <c r="AE4414" s="15" t="str">
        <f t="shared" si="0"/>
        <v/>
      </c>
      <c r="AF4414" s="15" t="str">
        <f t="shared" si="1"/>
        <v/>
      </c>
      <c r="AG4414" s="15" t="str">
        <f>IF(OR(AF4414="",AF4414="ERRO_CHAVE"),"",IFERROR(MATCH(AF4414,'quitado Despesa'!$V$1:$V$12,0),""))</f>
        <v/>
      </c>
      <c r="AH4414" s="15" t="str">
        <f t="shared" si="2"/>
        <v/>
      </c>
      <c r="AI4414" s="17" t="str">
        <f>IF(AG4414="","",INDEX('quitado Despesa'!$G$1:$G$12,AG4414))</f>
        <v/>
      </c>
      <c r="AJ4414" s="17" t="str">
        <f t="shared" si="3"/>
        <v/>
      </c>
    </row>
    <row r="4415" spans="31:36">
      <c r="AE4415" s="15" t="str">
        <f t="shared" si="0"/>
        <v/>
      </c>
      <c r="AF4415" s="15" t="str">
        <f t="shared" si="1"/>
        <v/>
      </c>
      <c r="AG4415" s="15" t="str">
        <f>IF(OR(AF4415="",AF4415="ERRO_CHAVE"),"",IFERROR(MATCH(AF4415,'quitado Despesa'!$V$1:$V$12,0),""))</f>
        <v/>
      </c>
      <c r="AH4415" s="15" t="str">
        <f t="shared" si="2"/>
        <v/>
      </c>
      <c r="AI4415" s="17" t="str">
        <f>IF(AG4415="","",INDEX('quitado Despesa'!$G$1:$G$12,AG4415))</f>
        <v/>
      </c>
      <c r="AJ4415" s="17" t="str">
        <f t="shared" si="3"/>
        <v/>
      </c>
    </row>
    <row r="4416" spans="31:36">
      <c r="AE4416" s="15" t="str">
        <f t="shared" si="0"/>
        <v/>
      </c>
      <c r="AF4416" s="15" t="str">
        <f t="shared" si="1"/>
        <v/>
      </c>
      <c r="AG4416" s="15" t="str">
        <f>IF(OR(AF4416="",AF4416="ERRO_CHAVE"),"",IFERROR(MATCH(AF4416,'quitado Despesa'!$V$1:$V$12,0),""))</f>
        <v/>
      </c>
      <c r="AH4416" s="15" t="str">
        <f t="shared" si="2"/>
        <v/>
      </c>
      <c r="AI4416" s="17" t="str">
        <f>IF(AG4416="","",INDEX('quitado Despesa'!$G$1:$G$12,AG4416))</f>
        <v/>
      </c>
      <c r="AJ4416" s="17" t="str">
        <f t="shared" si="3"/>
        <v/>
      </c>
    </row>
    <row r="4417" spans="31:36">
      <c r="AE4417" s="15" t="str">
        <f t="shared" si="0"/>
        <v/>
      </c>
      <c r="AF4417" s="15" t="str">
        <f t="shared" si="1"/>
        <v/>
      </c>
      <c r="AG4417" s="15" t="str">
        <f>IF(OR(AF4417="",AF4417="ERRO_CHAVE"),"",IFERROR(MATCH(AF4417,'quitado Despesa'!$V$1:$V$12,0),""))</f>
        <v/>
      </c>
      <c r="AH4417" s="15" t="str">
        <f t="shared" si="2"/>
        <v/>
      </c>
      <c r="AI4417" s="17" t="str">
        <f>IF(AG4417="","",INDEX('quitado Despesa'!$G$1:$G$12,AG4417))</f>
        <v/>
      </c>
      <c r="AJ4417" s="17" t="str">
        <f t="shared" si="3"/>
        <v/>
      </c>
    </row>
    <row r="4418" spans="31:36">
      <c r="AE4418" s="15" t="str">
        <f t="shared" si="0"/>
        <v/>
      </c>
      <c r="AF4418" s="15" t="str">
        <f t="shared" si="1"/>
        <v/>
      </c>
      <c r="AG4418" s="15" t="str">
        <f>IF(OR(AF4418="",AF4418="ERRO_CHAVE"),"",IFERROR(MATCH(AF4418,'quitado Despesa'!$V$1:$V$12,0),""))</f>
        <v/>
      </c>
      <c r="AH4418" s="15" t="str">
        <f t="shared" si="2"/>
        <v/>
      </c>
      <c r="AI4418" s="17" t="str">
        <f>IF(AG4418="","",INDEX('quitado Despesa'!$G$1:$G$12,AG4418))</f>
        <v/>
      </c>
      <c r="AJ4418" s="17" t="str">
        <f t="shared" si="3"/>
        <v/>
      </c>
    </row>
    <row r="4419" spans="31:36">
      <c r="AE4419" s="15" t="str">
        <f t="shared" si="0"/>
        <v/>
      </c>
      <c r="AF4419" s="15" t="str">
        <f t="shared" si="1"/>
        <v/>
      </c>
      <c r="AG4419" s="15" t="str">
        <f>IF(OR(AF4419="",AF4419="ERRO_CHAVE"),"",IFERROR(MATCH(AF4419,'quitado Despesa'!$V$1:$V$12,0),""))</f>
        <v/>
      </c>
      <c r="AH4419" s="15" t="str">
        <f t="shared" si="2"/>
        <v/>
      </c>
      <c r="AI4419" s="17" t="str">
        <f>IF(AG4419="","",INDEX('quitado Despesa'!$G$1:$G$12,AG4419))</f>
        <v/>
      </c>
      <c r="AJ4419" s="17" t="str">
        <f t="shared" si="3"/>
        <v/>
      </c>
    </row>
    <row r="4420" spans="31:36">
      <c r="AE4420" s="15" t="str">
        <f t="shared" si="0"/>
        <v/>
      </c>
      <c r="AF4420" s="15" t="str">
        <f t="shared" si="1"/>
        <v/>
      </c>
      <c r="AG4420" s="15" t="str">
        <f>IF(OR(AF4420="",AF4420="ERRO_CHAVE"),"",IFERROR(MATCH(AF4420,'quitado Despesa'!$V$1:$V$12,0),""))</f>
        <v/>
      </c>
      <c r="AH4420" s="15" t="str">
        <f t="shared" si="2"/>
        <v/>
      </c>
      <c r="AI4420" s="17" t="str">
        <f>IF(AG4420="","",INDEX('quitado Despesa'!$G$1:$G$12,AG4420))</f>
        <v/>
      </c>
      <c r="AJ4420" s="17" t="str">
        <f t="shared" si="3"/>
        <v/>
      </c>
    </row>
    <row r="4421" spans="31:36">
      <c r="AE4421" s="15" t="str">
        <f t="shared" si="0"/>
        <v/>
      </c>
      <c r="AF4421" s="15" t="str">
        <f t="shared" si="1"/>
        <v/>
      </c>
      <c r="AG4421" s="15" t="str">
        <f>IF(OR(AF4421="",AF4421="ERRO_CHAVE"),"",IFERROR(MATCH(AF4421,'quitado Despesa'!$V$1:$V$12,0),""))</f>
        <v/>
      </c>
      <c r="AH4421" s="15" t="str">
        <f t="shared" si="2"/>
        <v/>
      </c>
      <c r="AI4421" s="17" t="str">
        <f>IF(AG4421="","",INDEX('quitado Despesa'!$G$1:$G$12,AG4421))</f>
        <v/>
      </c>
      <c r="AJ4421" s="17" t="str">
        <f t="shared" si="3"/>
        <v/>
      </c>
    </row>
    <row r="4422" spans="31:36">
      <c r="AE4422" s="15" t="str">
        <f t="shared" si="0"/>
        <v/>
      </c>
      <c r="AF4422" s="15" t="str">
        <f t="shared" si="1"/>
        <v/>
      </c>
      <c r="AG4422" s="15" t="str">
        <f>IF(OR(AF4422="",AF4422="ERRO_CHAVE"),"",IFERROR(MATCH(AF4422,'quitado Despesa'!$V$1:$V$12,0),""))</f>
        <v/>
      </c>
      <c r="AH4422" s="15" t="str">
        <f t="shared" si="2"/>
        <v/>
      </c>
      <c r="AI4422" s="17" t="str">
        <f>IF(AG4422="","",INDEX('quitado Despesa'!$G$1:$G$12,AG4422))</f>
        <v/>
      </c>
      <c r="AJ4422" s="17" t="str">
        <f t="shared" si="3"/>
        <v/>
      </c>
    </row>
    <row r="4423" spans="31:36">
      <c r="AE4423" s="15" t="str">
        <f t="shared" si="0"/>
        <v/>
      </c>
      <c r="AF4423" s="15" t="str">
        <f t="shared" si="1"/>
        <v/>
      </c>
      <c r="AG4423" s="15" t="str">
        <f>IF(OR(AF4423="",AF4423="ERRO_CHAVE"),"",IFERROR(MATCH(AF4423,'quitado Despesa'!$V$1:$V$12,0),""))</f>
        <v/>
      </c>
      <c r="AH4423" s="15" t="str">
        <f t="shared" si="2"/>
        <v/>
      </c>
      <c r="AI4423" s="17" t="str">
        <f>IF(AG4423="","",INDEX('quitado Despesa'!$G$1:$G$12,AG4423))</f>
        <v/>
      </c>
      <c r="AJ4423" s="17" t="str">
        <f t="shared" si="3"/>
        <v/>
      </c>
    </row>
    <row r="4424" spans="31:36">
      <c r="AE4424" s="15" t="str">
        <f t="shared" si="0"/>
        <v/>
      </c>
      <c r="AF4424" s="15" t="str">
        <f t="shared" si="1"/>
        <v/>
      </c>
      <c r="AG4424" s="15" t="str">
        <f>IF(OR(AF4424="",AF4424="ERRO_CHAVE"),"",IFERROR(MATCH(AF4424,'quitado Despesa'!$V$1:$V$12,0),""))</f>
        <v/>
      </c>
      <c r="AH4424" s="15" t="str">
        <f t="shared" si="2"/>
        <v/>
      </c>
      <c r="AI4424" s="17" t="str">
        <f>IF(AG4424="","",INDEX('quitado Despesa'!$G$1:$G$12,AG4424))</f>
        <v/>
      </c>
      <c r="AJ4424" s="17" t="str">
        <f t="shared" si="3"/>
        <v/>
      </c>
    </row>
    <row r="4425" spans="31:36">
      <c r="AE4425" s="15" t="str">
        <f t="shared" si="0"/>
        <v/>
      </c>
      <c r="AF4425" s="15" t="str">
        <f t="shared" si="1"/>
        <v/>
      </c>
      <c r="AG4425" s="15" t="str">
        <f>IF(OR(AF4425="",AF4425="ERRO_CHAVE"),"",IFERROR(MATCH(AF4425,'quitado Despesa'!$V$1:$V$12,0),""))</f>
        <v/>
      </c>
      <c r="AH4425" s="15" t="str">
        <f t="shared" si="2"/>
        <v/>
      </c>
      <c r="AI4425" s="17" t="str">
        <f>IF(AG4425="","",INDEX('quitado Despesa'!$G$1:$G$12,AG4425))</f>
        <v/>
      </c>
      <c r="AJ4425" s="17" t="str">
        <f t="shared" si="3"/>
        <v/>
      </c>
    </row>
    <row r="4426" spans="31:36">
      <c r="AE4426" s="15" t="str">
        <f t="shared" si="0"/>
        <v/>
      </c>
      <c r="AF4426" s="15" t="str">
        <f t="shared" si="1"/>
        <v/>
      </c>
      <c r="AG4426" s="15" t="str">
        <f>IF(OR(AF4426="",AF4426="ERRO_CHAVE"),"",IFERROR(MATCH(AF4426,'quitado Despesa'!$V$1:$V$12,0),""))</f>
        <v/>
      </c>
      <c r="AH4426" s="15" t="str">
        <f t="shared" si="2"/>
        <v/>
      </c>
      <c r="AI4426" s="17" t="str">
        <f>IF(AG4426="","",INDEX('quitado Despesa'!$G$1:$G$12,AG4426))</f>
        <v/>
      </c>
      <c r="AJ4426" s="17" t="str">
        <f t="shared" si="3"/>
        <v/>
      </c>
    </row>
    <row r="4427" spans="31:36">
      <c r="AE4427" s="15" t="str">
        <f t="shared" si="0"/>
        <v/>
      </c>
      <c r="AF4427" s="15" t="str">
        <f t="shared" si="1"/>
        <v/>
      </c>
      <c r="AG4427" s="15" t="str">
        <f>IF(OR(AF4427="",AF4427="ERRO_CHAVE"),"",IFERROR(MATCH(AF4427,'quitado Despesa'!$V$1:$V$12,0),""))</f>
        <v/>
      </c>
      <c r="AH4427" s="15" t="str">
        <f t="shared" si="2"/>
        <v/>
      </c>
      <c r="AI4427" s="17" t="str">
        <f>IF(AG4427="","",INDEX('quitado Despesa'!$G$1:$G$12,AG4427))</f>
        <v/>
      </c>
      <c r="AJ4427" s="17" t="str">
        <f t="shared" si="3"/>
        <v/>
      </c>
    </row>
    <row r="4428" spans="31:36">
      <c r="AE4428" s="15" t="str">
        <f t="shared" si="0"/>
        <v/>
      </c>
      <c r="AF4428" s="15" t="str">
        <f t="shared" si="1"/>
        <v/>
      </c>
      <c r="AG4428" s="15" t="str">
        <f>IF(OR(AF4428="",AF4428="ERRO_CHAVE"),"",IFERROR(MATCH(AF4428,'quitado Despesa'!$V$1:$V$12,0),""))</f>
        <v/>
      </c>
      <c r="AH4428" s="15" t="str">
        <f t="shared" si="2"/>
        <v/>
      </c>
      <c r="AI4428" s="17" t="str">
        <f>IF(AG4428="","",INDEX('quitado Despesa'!$G$1:$G$12,AG4428))</f>
        <v/>
      </c>
      <c r="AJ4428" s="17" t="str">
        <f t="shared" si="3"/>
        <v/>
      </c>
    </row>
    <row r="4429" spans="31:36">
      <c r="AE4429" s="15" t="str">
        <f t="shared" si="0"/>
        <v/>
      </c>
      <c r="AF4429" s="15" t="str">
        <f t="shared" si="1"/>
        <v/>
      </c>
      <c r="AG4429" s="15" t="str">
        <f>IF(OR(AF4429="",AF4429="ERRO_CHAVE"),"",IFERROR(MATCH(AF4429,'quitado Despesa'!$V$1:$V$12,0),""))</f>
        <v/>
      </c>
      <c r="AH4429" s="15" t="str">
        <f t="shared" si="2"/>
        <v/>
      </c>
      <c r="AI4429" s="17" t="str">
        <f>IF(AG4429="","",INDEX('quitado Despesa'!$G$1:$G$12,AG4429))</f>
        <v/>
      </c>
      <c r="AJ4429" s="17" t="str">
        <f t="shared" si="3"/>
        <v/>
      </c>
    </row>
    <row r="4430" spans="31:36">
      <c r="AE4430" s="15" t="str">
        <f t="shared" si="0"/>
        <v/>
      </c>
      <c r="AF4430" s="15" t="str">
        <f t="shared" si="1"/>
        <v/>
      </c>
      <c r="AG4430" s="15" t="str">
        <f>IF(OR(AF4430="",AF4430="ERRO_CHAVE"),"",IFERROR(MATCH(AF4430,'quitado Despesa'!$V$1:$V$12,0),""))</f>
        <v/>
      </c>
      <c r="AH4430" s="15" t="str">
        <f t="shared" si="2"/>
        <v/>
      </c>
      <c r="AI4430" s="17" t="str">
        <f>IF(AG4430="","",INDEX('quitado Despesa'!$G$1:$G$12,AG4430))</f>
        <v/>
      </c>
      <c r="AJ4430" s="17" t="str">
        <f t="shared" si="3"/>
        <v/>
      </c>
    </row>
    <row r="4431" spans="31:36">
      <c r="AE4431" s="15" t="str">
        <f t="shared" si="0"/>
        <v/>
      </c>
      <c r="AF4431" s="15" t="str">
        <f t="shared" si="1"/>
        <v/>
      </c>
      <c r="AG4431" s="15" t="str">
        <f>IF(OR(AF4431="",AF4431="ERRO_CHAVE"),"",IFERROR(MATCH(AF4431,'quitado Despesa'!$V$1:$V$12,0),""))</f>
        <v/>
      </c>
      <c r="AH4431" s="15" t="str">
        <f t="shared" si="2"/>
        <v/>
      </c>
      <c r="AI4431" s="17" t="str">
        <f>IF(AG4431="","",INDEX('quitado Despesa'!$G$1:$G$12,AG4431))</f>
        <v/>
      </c>
      <c r="AJ4431" s="17" t="str">
        <f t="shared" si="3"/>
        <v/>
      </c>
    </row>
    <row r="4432" spans="31:36">
      <c r="AE4432" s="15" t="str">
        <f t="shared" si="0"/>
        <v/>
      </c>
      <c r="AF4432" s="15" t="str">
        <f t="shared" si="1"/>
        <v/>
      </c>
      <c r="AG4432" s="15" t="str">
        <f>IF(OR(AF4432="",AF4432="ERRO_CHAVE"),"",IFERROR(MATCH(AF4432,'quitado Despesa'!$V$1:$V$12,0),""))</f>
        <v/>
      </c>
      <c r="AH4432" s="15" t="str">
        <f t="shared" si="2"/>
        <v/>
      </c>
      <c r="AI4432" s="17" t="str">
        <f>IF(AG4432="","",INDEX('quitado Despesa'!$G$1:$G$12,AG4432))</f>
        <v/>
      </c>
      <c r="AJ4432" s="17" t="str">
        <f t="shared" si="3"/>
        <v/>
      </c>
    </row>
    <row r="4433" spans="31:36">
      <c r="AE4433" s="15" t="str">
        <f t="shared" si="0"/>
        <v/>
      </c>
      <c r="AF4433" s="15" t="str">
        <f t="shared" si="1"/>
        <v/>
      </c>
      <c r="AG4433" s="15" t="str">
        <f>IF(OR(AF4433="",AF4433="ERRO_CHAVE"),"",IFERROR(MATCH(AF4433,'quitado Despesa'!$V$1:$V$12,0),""))</f>
        <v/>
      </c>
      <c r="AH4433" s="15" t="str">
        <f t="shared" si="2"/>
        <v/>
      </c>
      <c r="AI4433" s="17" t="str">
        <f>IF(AG4433="","",INDEX('quitado Despesa'!$G$1:$G$12,AG4433))</f>
        <v/>
      </c>
      <c r="AJ4433" s="17" t="str">
        <f t="shared" si="3"/>
        <v/>
      </c>
    </row>
    <row r="4434" spans="31:36">
      <c r="AE4434" s="15" t="str">
        <f t="shared" si="0"/>
        <v/>
      </c>
      <c r="AF4434" s="15" t="str">
        <f t="shared" si="1"/>
        <v/>
      </c>
      <c r="AG4434" s="15" t="str">
        <f>IF(OR(AF4434="",AF4434="ERRO_CHAVE"),"",IFERROR(MATCH(AF4434,'quitado Despesa'!$V$1:$V$12,0),""))</f>
        <v/>
      </c>
      <c r="AH4434" s="15" t="str">
        <f t="shared" si="2"/>
        <v/>
      </c>
      <c r="AI4434" s="17" t="str">
        <f>IF(AG4434="","",INDEX('quitado Despesa'!$G$1:$G$12,AG4434))</f>
        <v/>
      </c>
      <c r="AJ4434" s="17" t="str">
        <f t="shared" si="3"/>
        <v/>
      </c>
    </row>
    <row r="4435" spans="31:36">
      <c r="AE4435" s="15" t="str">
        <f t="shared" si="0"/>
        <v/>
      </c>
      <c r="AF4435" s="15" t="str">
        <f t="shared" si="1"/>
        <v/>
      </c>
      <c r="AG4435" s="15" t="str">
        <f>IF(OR(AF4435="",AF4435="ERRO_CHAVE"),"",IFERROR(MATCH(AF4435,'quitado Despesa'!$V$1:$V$12,0),""))</f>
        <v/>
      </c>
      <c r="AH4435" s="15" t="str">
        <f t="shared" si="2"/>
        <v/>
      </c>
      <c r="AI4435" s="17" t="str">
        <f>IF(AG4435="","",INDEX('quitado Despesa'!$G$1:$G$12,AG4435))</f>
        <v/>
      </c>
      <c r="AJ4435" s="17" t="str">
        <f t="shared" si="3"/>
        <v/>
      </c>
    </row>
    <row r="4436" spans="31:36">
      <c r="AE4436" s="15" t="str">
        <f t="shared" si="0"/>
        <v/>
      </c>
      <c r="AF4436" s="15" t="str">
        <f t="shared" si="1"/>
        <v/>
      </c>
      <c r="AG4436" s="15" t="str">
        <f>IF(OR(AF4436="",AF4436="ERRO_CHAVE"),"",IFERROR(MATCH(AF4436,'quitado Despesa'!$V$1:$V$12,0),""))</f>
        <v/>
      </c>
      <c r="AH4436" s="15" t="str">
        <f t="shared" si="2"/>
        <v/>
      </c>
      <c r="AI4436" s="17" t="str">
        <f>IF(AG4436="","",INDEX('quitado Despesa'!$G$1:$G$12,AG4436))</f>
        <v/>
      </c>
      <c r="AJ4436" s="17" t="str">
        <f t="shared" si="3"/>
        <v/>
      </c>
    </row>
    <row r="4437" spans="31:36">
      <c r="AE4437" s="15" t="str">
        <f t="shared" si="0"/>
        <v/>
      </c>
      <c r="AF4437" s="15" t="str">
        <f t="shared" si="1"/>
        <v/>
      </c>
      <c r="AG4437" s="15" t="str">
        <f>IF(OR(AF4437="",AF4437="ERRO_CHAVE"),"",IFERROR(MATCH(AF4437,'quitado Despesa'!$V$1:$V$12,0),""))</f>
        <v/>
      </c>
      <c r="AH4437" s="15" t="str">
        <f t="shared" si="2"/>
        <v/>
      </c>
      <c r="AI4437" s="17" t="str">
        <f>IF(AG4437="","",INDEX('quitado Despesa'!$G$1:$G$12,AG4437))</f>
        <v/>
      </c>
      <c r="AJ4437" s="17" t="str">
        <f t="shared" si="3"/>
        <v/>
      </c>
    </row>
    <row r="4438" spans="31:36">
      <c r="AE4438" s="15" t="str">
        <f t="shared" si="0"/>
        <v/>
      </c>
      <c r="AF4438" s="15" t="str">
        <f t="shared" si="1"/>
        <v/>
      </c>
      <c r="AG4438" s="15" t="str">
        <f>IF(OR(AF4438="",AF4438="ERRO_CHAVE"),"",IFERROR(MATCH(AF4438,'quitado Despesa'!$V$1:$V$12,0),""))</f>
        <v/>
      </c>
      <c r="AH4438" s="15" t="str">
        <f t="shared" si="2"/>
        <v/>
      </c>
      <c r="AI4438" s="17" t="str">
        <f>IF(AG4438="","",INDEX('quitado Despesa'!$G$1:$G$12,AG4438))</f>
        <v/>
      </c>
      <c r="AJ4438" s="17" t="str">
        <f t="shared" si="3"/>
        <v/>
      </c>
    </row>
    <row r="4439" spans="31:36">
      <c r="AE4439" s="15" t="str">
        <f t="shared" si="0"/>
        <v/>
      </c>
      <c r="AF4439" s="15" t="str">
        <f t="shared" si="1"/>
        <v/>
      </c>
      <c r="AG4439" s="15" t="str">
        <f>IF(OR(AF4439="",AF4439="ERRO_CHAVE"),"",IFERROR(MATCH(AF4439,'quitado Despesa'!$V$1:$V$12,0),""))</f>
        <v/>
      </c>
      <c r="AH4439" s="15" t="str">
        <f t="shared" si="2"/>
        <v/>
      </c>
      <c r="AI4439" s="17" t="str">
        <f>IF(AG4439="","",INDEX('quitado Despesa'!$G$1:$G$12,AG4439))</f>
        <v/>
      </c>
      <c r="AJ4439" s="17" t="str">
        <f t="shared" si="3"/>
        <v/>
      </c>
    </row>
    <row r="4440" spans="31:36">
      <c r="AE4440" s="15" t="str">
        <f t="shared" si="0"/>
        <v/>
      </c>
      <c r="AF4440" s="15" t="str">
        <f t="shared" si="1"/>
        <v/>
      </c>
      <c r="AG4440" s="15" t="str">
        <f>IF(OR(AF4440="",AF4440="ERRO_CHAVE"),"",IFERROR(MATCH(AF4440,'quitado Despesa'!$V$1:$V$12,0),""))</f>
        <v/>
      </c>
      <c r="AH4440" s="15" t="str">
        <f t="shared" si="2"/>
        <v/>
      </c>
      <c r="AI4440" s="17" t="str">
        <f>IF(AG4440="","",INDEX('quitado Despesa'!$G$1:$G$12,AG4440))</f>
        <v/>
      </c>
      <c r="AJ4440" s="17" t="str">
        <f t="shared" si="3"/>
        <v/>
      </c>
    </row>
    <row r="4441" spans="31:36">
      <c r="AE4441" s="15" t="str">
        <f t="shared" si="0"/>
        <v/>
      </c>
      <c r="AF4441" s="15" t="str">
        <f t="shared" si="1"/>
        <v/>
      </c>
      <c r="AG4441" s="15" t="str">
        <f>IF(OR(AF4441="",AF4441="ERRO_CHAVE"),"",IFERROR(MATCH(AF4441,'quitado Despesa'!$V$1:$V$12,0),""))</f>
        <v/>
      </c>
      <c r="AH4441" s="15" t="str">
        <f t="shared" si="2"/>
        <v/>
      </c>
      <c r="AI4441" s="17" t="str">
        <f>IF(AG4441="","",INDEX('quitado Despesa'!$G$1:$G$12,AG4441))</f>
        <v/>
      </c>
      <c r="AJ4441" s="17" t="str">
        <f t="shared" si="3"/>
        <v/>
      </c>
    </row>
    <row r="4442" spans="31:36">
      <c r="AE4442" s="15" t="str">
        <f t="shared" si="0"/>
        <v/>
      </c>
      <c r="AF4442" s="15" t="str">
        <f t="shared" si="1"/>
        <v/>
      </c>
      <c r="AG4442" s="15" t="str">
        <f>IF(OR(AF4442="",AF4442="ERRO_CHAVE"),"",IFERROR(MATCH(AF4442,'quitado Despesa'!$V$1:$V$12,0),""))</f>
        <v/>
      </c>
      <c r="AH4442" s="15" t="str">
        <f t="shared" si="2"/>
        <v/>
      </c>
      <c r="AI4442" s="17" t="str">
        <f>IF(AG4442="","",INDEX('quitado Despesa'!$G$1:$G$12,AG4442))</f>
        <v/>
      </c>
      <c r="AJ4442" s="17" t="str">
        <f t="shared" si="3"/>
        <v/>
      </c>
    </row>
    <row r="4443" spans="31:36">
      <c r="AE4443" s="15" t="str">
        <f t="shared" si="0"/>
        <v/>
      </c>
      <c r="AF4443" s="15" t="str">
        <f t="shared" si="1"/>
        <v/>
      </c>
      <c r="AG4443" s="15" t="str">
        <f>IF(OR(AF4443="",AF4443="ERRO_CHAVE"),"",IFERROR(MATCH(AF4443,'quitado Despesa'!$V$1:$V$12,0),""))</f>
        <v/>
      </c>
      <c r="AH4443" s="15" t="str">
        <f t="shared" si="2"/>
        <v/>
      </c>
      <c r="AI4443" s="17" t="str">
        <f>IF(AG4443="","",INDEX('quitado Despesa'!$G$1:$G$12,AG4443))</f>
        <v/>
      </c>
      <c r="AJ4443" s="17" t="str">
        <f t="shared" si="3"/>
        <v/>
      </c>
    </row>
    <row r="4444" spans="31:36">
      <c r="AE4444" s="15" t="str">
        <f t="shared" si="0"/>
        <v/>
      </c>
      <c r="AF4444" s="15" t="str">
        <f t="shared" si="1"/>
        <v/>
      </c>
      <c r="AG4444" s="15" t="str">
        <f>IF(OR(AF4444="",AF4444="ERRO_CHAVE"),"",IFERROR(MATCH(AF4444,'quitado Despesa'!$V$1:$V$12,0),""))</f>
        <v/>
      </c>
      <c r="AH4444" s="15" t="str">
        <f t="shared" si="2"/>
        <v/>
      </c>
      <c r="AI4444" s="17" t="str">
        <f>IF(AG4444="","",INDEX('quitado Despesa'!$G$1:$G$12,AG4444))</f>
        <v/>
      </c>
      <c r="AJ4444" s="17" t="str">
        <f t="shared" si="3"/>
        <v/>
      </c>
    </row>
    <row r="4445" spans="31:36">
      <c r="AE4445" s="15" t="str">
        <f t="shared" si="0"/>
        <v/>
      </c>
      <c r="AF4445" s="15" t="str">
        <f t="shared" si="1"/>
        <v/>
      </c>
      <c r="AG4445" s="15" t="str">
        <f>IF(OR(AF4445="",AF4445="ERRO_CHAVE"),"",IFERROR(MATCH(AF4445,'quitado Despesa'!$V$1:$V$12,0),""))</f>
        <v/>
      </c>
      <c r="AH4445" s="15" t="str">
        <f t="shared" si="2"/>
        <v/>
      </c>
      <c r="AI4445" s="17" t="str">
        <f>IF(AG4445="","",INDEX('quitado Despesa'!$G$1:$G$12,AG4445))</f>
        <v/>
      </c>
      <c r="AJ4445" s="17" t="str">
        <f t="shared" si="3"/>
        <v/>
      </c>
    </row>
    <row r="4446" spans="31:36">
      <c r="AE4446" s="15" t="str">
        <f t="shared" si="0"/>
        <v/>
      </c>
      <c r="AF4446" s="15" t="str">
        <f t="shared" si="1"/>
        <v/>
      </c>
      <c r="AG4446" s="15" t="str">
        <f>IF(OR(AF4446="",AF4446="ERRO_CHAVE"),"",IFERROR(MATCH(AF4446,'quitado Despesa'!$V$1:$V$12,0),""))</f>
        <v/>
      </c>
      <c r="AH4446" s="15" t="str">
        <f t="shared" si="2"/>
        <v/>
      </c>
      <c r="AI4446" s="17" t="str">
        <f>IF(AG4446="","",INDEX('quitado Despesa'!$G$1:$G$12,AG4446))</f>
        <v/>
      </c>
      <c r="AJ4446" s="17" t="str">
        <f t="shared" si="3"/>
        <v/>
      </c>
    </row>
    <row r="4447" spans="31:36">
      <c r="AE4447" s="15" t="str">
        <f t="shared" si="0"/>
        <v/>
      </c>
      <c r="AF4447" s="15" t="str">
        <f t="shared" si="1"/>
        <v/>
      </c>
      <c r="AG4447" s="15" t="str">
        <f>IF(OR(AF4447="",AF4447="ERRO_CHAVE"),"",IFERROR(MATCH(AF4447,'quitado Despesa'!$V$1:$V$12,0),""))</f>
        <v/>
      </c>
      <c r="AH4447" s="15" t="str">
        <f t="shared" si="2"/>
        <v/>
      </c>
      <c r="AI4447" s="17" t="str">
        <f>IF(AG4447="","",INDEX('quitado Despesa'!$G$1:$G$12,AG4447))</f>
        <v/>
      </c>
      <c r="AJ4447" s="17" t="str">
        <f t="shared" si="3"/>
        <v/>
      </c>
    </row>
    <row r="4448" spans="31:36">
      <c r="AE4448" s="15" t="str">
        <f t="shared" si="0"/>
        <v/>
      </c>
      <c r="AF4448" s="15" t="str">
        <f t="shared" si="1"/>
        <v/>
      </c>
      <c r="AG4448" s="15" t="str">
        <f>IF(OR(AF4448="",AF4448="ERRO_CHAVE"),"",IFERROR(MATCH(AF4448,'quitado Despesa'!$V$1:$V$12,0),""))</f>
        <v/>
      </c>
      <c r="AH4448" s="15" t="str">
        <f t="shared" si="2"/>
        <v/>
      </c>
      <c r="AI4448" s="17" t="str">
        <f>IF(AG4448="","",INDEX('quitado Despesa'!$G$1:$G$12,AG4448))</f>
        <v/>
      </c>
      <c r="AJ4448" s="17" t="str">
        <f t="shared" si="3"/>
        <v/>
      </c>
    </row>
    <row r="4449" spans="31:36">
      <c r="AE4449" s="15" t="str">
        <f t="shared" si="0"/>
        <v/>
      </c>
      <c r="AF4449" s="15" t="str">
        <f t="shared" si="1"/>
        <v/>
      </c>
      <c r="AG4449" s="15" t="str">
        <f>IF(OR(AF4449="",AF4449="ERRO_CHAVE"),"",IFERROR(MATCH(AF4449,'quitado Despesa'!$V$1:$V$12,0),""))</f>
        <v/>
      </c>
      <c r="AH4449" s="15" t="str">
        <f t="shared" si="2"/>
        <v/>
      </c>
      <c r="AI4449" s="17" t="str">
        <f>IF(AG4449="","",INDEX('quitado Despesa'!$G$1:$G$12,AG4449))</f>
        <v/>
      </c>
      <c r="AJ4449" s="17" t="str">
        <f t="shared" si="3"/>
        <v/>
      </c>
    </row>
    <row r="4450" spans="31:36">
      <c r="AE4450" s="15" t="str">
        <f t="shared" si="0"/>
        <v/>
      </c>
      <c r="AF4450" s="15" t="str">
        <f t="shared" si="1"/>
        <v/>
      </c>
      <c r="AG4450" s="15" t="str">
        <f>IF(OR(AF4450="",AF4450="ERRO_CHAVE"),"",IFERROR(MATCH(AF4450,'quitado Despesa'!$V$1:$V$12,0),""))</f>
        <v/>
      </c>
      <c r="AH4450" s="15" t="str">
        <f t="shared" si="2"/>
        <v/>
      </c>
      <c r="AI4450" s="17" t="str">
        <f>IF(AG4450="","",INDEX('quitado Despesa'!$G$1:$G$12,AG4450))</f>
        <v/>
      </c>
      <c r="AJ4450" s="17" t="str">
        <f t="shared" si="3"/>
        <v/>
      </c>
    </row>
    <row r="4451" spans="31:36">
      <c r="AE4451" s="15" t="str">
        <f t="shared" si="0"/>
        <v/>
      </c>
      <c r="AF4451" s="15" t="str">
        <f t="shared" si="1"/>
        <v/>
      </c>
      <c r="AG4451" s="15" t="str">
        <f>IF(OR(AF4451="",AF4451="ERRO_CHAVE"),"",IFERROR(MATCH(AF4451,'quitado Despesa'!$V$1:$V$12,0),""))</f>
        <v/>
      </c>
      <c r="AH4451" s="15" t="str">
        <f t="shared" si="2"/>
        <v/>
      </c>
      <c r="AI4451" s="17" t="str">
        <f>IF(AG4451="","",INDEX('quitado Despesa'!$G$1:$G$12,AG4451))</f>
        <v/>
      </c>
      <c r="AJ4451" s="17" t="str">
        <f t="shared" si="3"/>
        <v/>
      </c>
    </row>
    <row r="4452" spans="31:36">
      <c r="AE4452" s="15" t="str">
        <f t="shared" si="0"/>
        <v/>
      </c>
      <c r="AF4452" s="15" t="str">
        <f t="shared" si="1"/>
        <v/>
      </c>
      <c r="AG4452" s="15" t="str">
        <f>IF(OR(AF4452="",AF4452="ERRO_CHAVE"),"",IFERROR(MATCH(AF4452,'quitado Despesa'!$V$1:$V$12,0),""))</f>
        <v/>
      </c>
      <c r="AH4452" s="15" t="str">
        <f t="shared" si="2"/>
        <v/>
      </c>
      <c r="AI4452" s="17" t="str">
        <f>IF(AG4452="","",INDEX('quitado Despesa'!$G$1:$G$12,AG4452))</f>
        <v/>
      </c>
      <c r="AJ4452" s="17" t="str">
        <f t="shared" si="3"/>
        <v/>
      </c>
    </row>
    <row r="4453" spans="31:36">
      <c r="AE4453" s="15" t="str">
        <f t="shared" si="0"/>
        <v/>
      </c>
      <c r="AF4453" s="15" t="str">
        <f t="shared" si="1"/>
        <v/>
      </c>
      <c r="AG4453" s="15" t="str">
        <f>IF(OR(AF4453="",AF4453="ERRO_CHAVE"),"",IFERROR(MATCH(AF4453,'quitado Despesa'!$V$1:$V$12,0),""))</f>
        <v/>
      </c>
      <c r="AH4453" s="15" t="str">
        <f t="shared" si="2"/>
        <v/>
      </c>
      <c r="AI4453" s="17" t="str">
        <f>IF(AG4453="","",INDEX('quitado Despesa'!$G$1:$G$12,AG4453))</f>
        <v/>
      </c>
      <c r="AJ4453" s="17" t="str">
        <f t="shared" si="3"/>
        <v/>
      </c>
    </row>
    <row r="4454" spans="31:36">
      <c r="AE4454" s="15" t="str">
        <f t="shared" si="0"/>
        <v/>
      </c>
      <c r="AF4454" s="15" t="str">
        <f t="shared" si="1"/>
        <v/>
      </c>
      <c r="AG4454" s="15" t="str">
        <f>IF(OR(AF4454="",AF4454="ERRO_CHAVE"),"",IFERROR(MATCH(AF4454,'quitado Despesa'!$V$1:$V$12,0),""))</f>
        <v/>
      </c>
      <c r="AH4454" s="15" t="str">
        <f t="shared" si="2"/>
        <v/>
      </c>
      <c r="AI4454" s="17" t="str">
        <f>IF(AG4454="","",INDEX('quitado Despesa'!$G$1:$G$12,AG4454))</f>
        <v/>
      </c>
      <c r="AJ4454" s="17" t="str">
        <f t="shared" si="3"/>
        <v/>
      </c>
    </row>
    <row r="4455" spans="31:36">
      <c r="AE4455" s="15" t="str">
        <f t="shared" si="0"/>
        <v/>
      </c>
      <c r="AF4455" s="15" t="str">
        <f t="shared" si="1"/>
        <v/>
      </c>
      <c r="AG4455" s="15" t="str">
        <f>IF(OR(AF4455="",AF4455="ERRO_CHAVE"),"",IFERROR(MATCH(AF4455,'quitado Despesa'!$V$1:$V$12,0),""))</f>
        <v/>
      </c>
      <c r="AH4455" s="15" t="str">
        <f t="shared" si="2"/>
        <v/>
      </c>
      <c r="AI4455" s="17" t="str">
        <f>IF(AG4455="","",INDEX('quitado Despesa'!$G$1:$G$12,AG4455))</f>
        <v/>
      </c>
      <c r="AJ4455" s="17" t="str">
        <f t="shared" si="3"/>
        <v/>
      </c>
    </row>
    <row r="4456" spans="31:36">
      <c r="AE4456" s="15" t="str">
        <f t="shared" si="0"/>
        <v/>
      </c>
      <c r="AF4456" s="15" t="str">
        <f t="shared" si="1"/>
        <v/>
      </c>
      <c r="AG4456" s="15" t="str">
        <f>IF(OR(AF4456="",AF4456="ERRO_CHAVE"),"",IFERROR(MATCH(AF4456,'quitado Despesa'!$V$1:$V$12,0),""))</f>
        <v/>
      </c>
      <c r="AH4456" s="15" t="str">
        <f t="shared" si="2"/>
        <v/>
      </c>
      <c r="AI4456" s="17" t="str">
        <f>IF(AG4456="","",INDEX('quitado Despesa'!$G$1:$G$12,AG4456))</f>
        <v/>
      </c>
      <c r="AJ4456" s="17" t="str">
        <f t="shared" si="3"/>
        <v/>
      </c>
    </row>
    <row r="4457" spans="31:36">
      <c r="AE4457" s="15" t="str">
        <f t="shared" si="0"/>
        <v/>
      </c>
      <c r="AF4457" s="15" t="str">
        <f t="shared" si="1"/>
        <v/>
      </c>
      <c r="AG4457" s="15" t="str">
        <f>IF(OR(AF4457="",AF4457="ERRO_CHAVE"),"",IFERROR(MATCH(AF4457,'quitado Despesa'!$V$1:$V$12,0),""))</f>
        <v/>
      </c>
      <c r="AH4457" s="15" t="str">
        <f t="shared" si="2"/>
        <v/>
      </c>
      <c r="AI4457" s="17" t="str">
        <f>IF(AG4457="","",INDEX('quitado Despesa'!$G$1:$G$12,AG4457))</f>
        <v/>
      </c>
      <c r="AJ4457" s="17" t="str">
        <f t="shared" si="3"/>
        <v/>
      </c>
    </row>
    <row r="4458" spans="31:36">
      <c r="AE4458" s="15" t="str">
        <f t="shared" si="0"/>
        <v/>
      </c>
      <c r="AF4458" s="15" t="str">
        <f t="shared" si="1"/>
        <v/>
      </c>
      <c r="AG4458" s="15" t="str">
        <f>IF(OR(AF4458="",AF4458="ERRO_CHAVE"),"",IFERROR(MATCH(AF4458,'quitado Despesa'!$V$1:$V$12,0),""))</f>
        <v/>
      </c>
      <c r="AH4458" s="15" t="str">
        <f t="shared" si="2"/>
        <v/>
      </c>
      <c r="AI4458" s="17" t="str">
        <f>IF(AG4458="","",INDEX('quitado Despesa'!$G$1:$G$12,AG4458))</f>
        <v/>
      </c>
      <c r="AJ4458" s="17" t="str">
        <f t="shared" si="3"/>
        <v/>
      </c>
    </row>
    <row r="4459" spans="31:36">
      <c r="AE4459" s="15" t="str">
        <f t="shared" si="0"/>
        <v/>
      </c>
      <c r="AF4459" s="15" t="str">
        <f t="shared" si="1"/>
        <v/>
      </c>
      <c r="AG4459" s="15" t="str">
        <f>IF(OR(AF4459="",AF4459="ERRO_CHAVE"),"",IFERROR(MATCH(AF4459,'quitado Despesa'!$V$1:$V$12,0),""))</f>
        <v/>
      </c>
      <c r="AH4459" s="15" t="str">
        <f t="shared" si="2"/>
        <v/>
      </c>
      <c r="AI4459" s="17" t="str">
        <f>IF(AG4459="","",INDEX('quitado Despesa'!$G$1:$G$12,AG4459))</f>
        <v/>
      </c>
      <c r="AJ4459" s="17" t="str">
        <f t="shared" si="3"/>
        <v/>
      </c>
    </row>
    <row r="4460" spans="31:36">
      <c r="AE4460" s="15" t="str">
        <f t="shared" si="0"/>
        <v/>
      </c>
      <c r="AF4460" s="15" t="str">
        <f t="shared" si="1"/>
        <v/>
      </c>
      <c r="AG4460" s="15" t="str">
        <f>IF(OR(AF4460="",AF4460="ERRO_CHAVE"),"",IFERROR(MATCH(AF4460,'quitado Despesa'!$V$1:$V$12,0),""))</f>
        <v/>
      </c>
      <c r="AH4460" s="15" t="str">
        <f t="shared" si="2"/>
        <v/>
      </c>
      <c r="AI4460" s="17" t="str">
        <f>IF(AG4460="","",INDEX('quitado Despesa'!$G$1:$G$12,AG4460))</f>
        <v/>
      </c>
      <c r="AJ4460" s="17" t="str">
        <f t="shared" si="3"/>
        <v/>
      </c>
    </row>
    <row r="4461" spans="31:36">
      <c r="AE4461" s="15" t="str">
        <f t="shared" si="0"/>
        <v/>
      </c>
      <c r="AF4461" s="15" t="str">
        <f t="shared" si="1"/>
        <v/>
      </c>
      <c r="AG4461" s="15" t="str">
        <f>IF(OR(AF4461="",AF4461="ERRO_CHAVE"),"",IFERROR(MATCH(AF4461,'quitado Despesa'!$V$1:$V$12,0),""))</f>
        <v/>
      </c>
      <c r="AH4461" s="15" t="str">
        <f t="shared" si="2"/>
        <v/>
      </c>
      <c r="AI4461" s="17" t="str">
        <f>IF(AG4461="","",INDEX('quitado Despesa'!$G$1:$G$12,AG4461))</f>
        <v/>
      </c>
      <c r="AJ4461" s="17" t="str">
        <f t="shared" si="3"/>
        <v/>
      </c>
    </row>
    <row r="4462" spans="31:36">
      <c r="AE4462" s="15" t="str">
        <f t="shared" si="0"/>
        <v/>
      </c>
      <c r="AF4462" s="15" t="str">
        <f t="shared" si="1"/>
        <v/>
      </c>
      <c r="AG4462" s="15" t="str">
        <f>IF(OR(AF4462="",AF4462="ERRO_CHAVE"),"",IFERROR(MATCH(AF4462,'quitado Despesa'!$V$1:$V$12,0),""))</f>
        <v/>
      </c>
      <c r="AH4462" s="15" t="str">
        <f t="shared" si="2"/>
        <v/>
      </c>
      <c r="AI4462" s="17" t="str">
        <f>IF(AG4462="","",INDEX('quitado Despesa'!$G$1:$G$12,AG4462))</f>
        <v/>
      </c>
      <c r="AJ4462" s="17" t="str">
        <f t="shared" si="3"/>
        <v/>
      </c>
    </row>
    <row r="4463" spans="31:36">
      <c r="AE4463" s="15" t="str">
        <f t="shared" si="0"/>
        <v/>
      </c>
      <c r="AF4463" s="15" t="str">
        <f t="shared" si="1"/>
        <v/>
      </c>
      <c r="AG4463" s="15" t="str">
        <f>IF(OR(AF4463="",AF4463="ERRO_CHAVE"),"",IFERROR(MATCH(AF4463,'quitado Despesa'!$V$1:$V$12,0),""))</f>
        <v/>
      </c>
      <c r="AH4463" s="15" t="str">
        <f t="shared" si="2"/>
        <v/>
      </c>
      <c r="AI4463" s="17" t="str">
        <f>IF(AG4463="","",INDEX('quitado Despesa'!$G$1:$G$12,AG4463))</f>
        <v/>
      </c>
      <c r="AJ4463" s="17" t="str">
        <f t="shared" si="3"/>
        <v/>
      </c>
    </row>
    <row r="4464" spans="31:36">
      <c r="AE4464" s="15" t="str">
        <f t="shared" si="0"/>
        <v/>
      </c>
      <c r="AF4464" s="15" t="str">
        <f t="shared" si="1"/>
        <v/>
      </c>
      <c r="AG4464" s="15" t="str">
        <f>IF(OR(AF4464="",AF4464="ERRO_CHAVE"),"",IFERROR(MATCH(AF4464,'quitado Despesa'!$V$1:$V$12,0),""))</f>
        <v/>
      </c>
      <c r="AH4464" s="15" t="str">
        <f t="shared" si="2"/>
        <v/>
      </c>
      <c r="AI4464" s="17" t="str">
        <f>IF(AG4464="","",INDEX('quitado Despesa'!$G$1:$G$12,AG4464))</f>
        <v/>
      </c>
      <c r="AJ4464" s="17" t="str">
        <f t="shared" si="3"/>
        <v/>
      </c>
    </row>
    <row r="4465" spans="31:36">
      <c r="AE4465" s="15" t="str">
        <f t="shared" si="0"/>
        <v/>
      </c>
      <c r="AF4465" s="15" t="str">
        <f t="shared" si="1"/>
        <v/>
      </c>
      <c r="AG4465" s="15" t="str">
        <f>IF(OR(AF4465="",AF4465="ERRO_CHAVE"),"",IFERROR(MATCH(AF4465,'quitado Despesa'!$V$1:$V$12,0),""))</f>
        <v/>
      </c>
      <c r="AH4465" s="15" t="str">
        <f t="shared" si="2"/>
        <v/>
      </c>
      <c r="AI4465" s="17" t="str">
        <f>IF(AG4465="","",INDEX('quitado Despesa'!$G$1:$G$12,AG4465))</f>
        <v/>
      </c>
      <c r="AJ4465" s="17" t="str">
        <f t="shared" si="3"/>
        <v/>
      </c>
    </row>
    <row r="4466" spans="31:36">
      <c r="AE4466" s="15" t="str">
        <f t="shared" si="0"/>
        <v/>
      </c>
      <c r="AF4466" s="15" t="str">
        <f t="shared" si="1"/>
        <v/>
      </c>
      <c r="AG4466" s="15" t="str">
        <f>IF(OR(AF4466="",AF4466="ERRO_CHAVE"),"",IFERROR(MATCH(AF4466,'quitado Despesa'!$V$1:$V$12,0),""))</f>
        <v/>
      </c>
      <c r="AH4466" s="15" t="str">
        <f t="shared" si="2"/>
        <v/>
      </c>
      <c r="AI4466" s="17" t="str">
        <f>IF(AG4466="","",INDEX('quitado Despesa'!$G$1:$G$12,AG4466))</f>
        <v/>
      </c>
      <c r="AJ4466" s="17" t="str">
        <f t="shared" si="3"/>
        <v/>
      </c>
    </row>
    <row r="4467" spans="31:36">
      <c r="AE4467" s="15" t="str">
        <f t="shared" si="0"/>
        <v/>
      </c>
      <c r="AF4467" s="15" t="str">
        <f t="shared" si="1"/>
        <v/>
      </c>
      <c r="AG4467" s="15" t="str">
        <f>IF(OR(AF4467="",AF4467="ERRO_CHAVE"),"",IFERROR(MATCH(AF4467,'quitado Despesa'!$V$1:$V$12,0),""))</f>
        <v/>
      </c>
      <c r="AH4467" s="15" t="str">
        <f t="shared" si="2"/>
        <v/>
      </c>
      <c r="AI4467" s="17" t="str">
        <f>IF(AG4467="","",INDEX('quitado Despesa'!$G$1:$G$12,AG4467))</f>
        <v/>
      </c>
      <c r="AJ4467" s="17" t="str">
        <f t="shared" si="3"/>
        <v/>
      </c>
    </row>
    <row r="4468" spans="31:36">
      <c r="AE4468" s="15" t="str">
        <f t="shared" si="0"/>
        <v/>
      </c>
      <c r="AF4468" s="15" t="str">
        <f t="shared" si="1"/>
        <v/>
      </c>
      <c r="AG4468" s="15" t="str">
        <f>IF(OR(AF4468="",AF4468="ERRO_CHAVE"),"",IFERROR(MATCH(AF4468,'quitado Despesa'!$V$1:$V$12,0),""))</f>
        <v/>
      </c>
      <c r="AH4468" s="15" t="str">
        <f t="shared" si="2"/>
        <v/>
      </c>
      <c r="AI4468" s="17" t="str">
        <f>IF(AG4468="","",INDEX('quitado Despesa'!$G$1:$G$12,AG4468))</f>
        <v/>
      </c>
      <c r="AJ4468" s="17" t="str">
        <f t="shared" si="3"/>
        <v/>
      </c>
    </row>
    <row r="4469" spans="31:36">
      <c r="AE4469" s="15" t="str">
        <f t="shared" si="0"/>
        <v/>
      </c>
      <c r="AF4469" s="15" t="str">
        <f t="shared" si="1"/>
        <v/>
      </c>
      <c r="AG4469" s="15" t="str">
        <f>IF(OR(AF4469="",AF4469="ERRO_CHAVE"),"",IFERROR(MATCH(AF4469,'quitado Despesa'!$V$1:$V$12,0),""))</f>
        <v/>
      </c>
      <c r="AH4469" s="15" t="str">
        <f t="shared" si="2"/>
        <v/>
      </c>
      <c r="AI4469" s="17" t="str">
        <f>IF(AG4469="","",INDEX('quitado Despesa'!$G$1:$G$12,AG4469))</f>
        <v/>
      </c>
      <c r="AJ4469" s="17" t="str">
        <f t="shared" si="3"/>
        <v/>
      </c>
    </row>
    <row r="4470" spans="31:36">
      <c r="AE4470" s="15" t="str">
        <f t="shared" si="0"/>
        <v/>
      </c>
      <c r="AF4470" s="15" t="str">
        <f t="shared" si="1"/>
        <v/>
      </c>
      <c r="AG4470" s="15" t="str">
        <f>IF(OR(AF4470="",AF4470="ERRO_CHAVE"),"",IFERROR(MATCH(AF4470,'quitado Despesa'!$V$1:$V$12,0),""))</f>
        <v/>
      </c>
      <c r="AH4470" s="15" t="str">
        <f t="shared" si="2"/>
        <v/>
      </c>
      <c r="AI4470" s="17" t="str">
        <f>IF(AG4470="","",INDEX('quitado Despesa'!$G$1:$G$12,AG4470))</f>
        <v/>
      </c>
      <c r="AJ4470" s="17" t="str">
        <f t="shared" si="3"/>
        <v/>
      </c>
    </row>
    <row r="4471" spans="31:36">
      <c r="AE4471" s="15" t="str">
        <f t="shared" si="0"/>
        <v/>
      </c>
      <c r="AF4471" s="15" t="str">
        <f t="shared" si="1"/>
        <v/>
      </c>
      <c r="AG4471" s="15" t="str">
        <f>IF(OR(AF4471="",AF4471="ERRO_CHAVE"),"",IFERROR(MATCH(AF4471,'quitado Despesa'!$V$1:$V$12,0),""))</f>
        <v/>
      </c>
      <c r="AH4471" s="15" t="str">
        <f t="shared" si="2"/>
        <v/>
      </c>
      <c r="AI4471" s="17" t="str">
        <f>IF(AG4471="","",INDEX('quitado Despesa'!$G$1:$G$12,AG4471))</f>
        <v/>
      </c>
      <c r="AJ4471" s="17" t="str">
        <f t="shared" si="3"/>
        <v/>
      </c>
    </row>
    <row r="4472" spans="31:36">
      <c r="AE4472" s="15" t="str">
        <f t="shared" si="0"/>
        <v/>
      </c>
      <c r="AF4472" s="15" t="str">
        <f t="shared" si="1"/>
        <v/>
      </c>
      <c r="AG4472" s="15" t="str">
        <f>IF(OR(AF4472="",AF4472="ERRO_CHAVE"),"",IFERROR(MATCH(AF4472,'quitado Despesa'!$V$1:$V$12,0),""))</f>
        <v/>
      </c>
      <c r="AH4472" s="15" t="str">
        <f t="shared" si="2"/>
        <v/>
      </c>
      <c r="AI4472" s="17" t="str">
        <f>IF(AG4472="","",INDEX('quitado Despesa'!$G$1:$G$12,AG4472))</f>
        <v/>
      </c>
      <c r="AJ4472" s="17" t="str">
        <f t="shared" si="3"/>
        <v/>
      </c>
    </row>
    <row r="4473" spans="31:36">
      <c r="AE4473" s="15" t="str">
        <f t="shared" si="0"/>
        <v/>
      </c>
      <c r="AF4473" s="15" t="str">
        <f t="shared" si="1"/>
        <v/>
      </c>
      <c r="AG4473" s="15" t="str">
        <f>IF(OR(AF4473="",AF4473="ERRO_CHAVE"),"",IFERROR(MATCH(AF4473,'quitado Despesa'!$V$1:$V$12,0),""))</f>
        <v/>
      </c>
      <c r="AH4473" s="15" t="str">
        <f t="shared" si="2"/>
        <v/>
      </c>
      <c r="AI4473" s="17" t="str">
        <f>IF(AG4473="","",INDEX('quitado Despesa'!$G$1:$G$12,AG4473))</f>
        <v/>
      </c>
      <c r="AJ4473" s="17" t="str">
        <f t="shared" si="3"/>
        <v/>
      </c>
    </row>
    <row r="4474" spans="31:36">
      <c r="AE4474" s="15" t="str">
        <f t="shared" si="0"/>
        <v/>
      </c>
      <c r="AF4474" s="15" t="str">
        <f t="shared" si="1"/>
        <v/>
      </c>
      <c r="AG4474" s="15" t="str">
        <f>IF(OR(AF4474="",AF4474="ERRO_CHAVE"),"",IFERROR(MATCH(AF4474,'quitado Despesa'!$V$1:$V$12,0),""))</f>
        <v/>
      </c>
      <c r="AH4474" s="15" t="str">
        <f t="shared" si="2"/>
        <v/>
      </c>
      <c r="AI4474" s="17" t="str">
        <f>IF(AG4474="","",INDEX('quitado Despesa'!$G$1:$G$12,AG4474))</f>
        <v/>
      </c>
      <c r="AJ4474" s="17" t="str">
        <f t="shared" si="3"/>
        <v/>
      </c>
    </row>
    <row r="4475" spans="31:36">
      <c r="AE4475" s="15" t="str">
        <f t="shared" si="0"/>
        <v/>
      </c>
      <c r="AF4475" s="15" t="str">
        <f t="shared" si="1"/>
        <v/>
      </c>
      <c r="AG4475" s="15" t="str">
        <f>IF(OR(AF4475="",AF4475="ERRO_CHAVE"),"",IFERROR(MATCH(AF4475,'quitado Despesa'!$V$1:$V$12,0),""))</f>
        <v/>
      </c>
      <c r="AH4475" s="15" t="str">
        <f t="shared" si="2"/>
        <v/>
      </c>
      <c r="AI4475" s="17" t="str">
        <f>IF(AG4475="","",INDEX('quitado Despesa'!$G$1:$G$12,AG4475))</f>
        <v/>
      </c>
      <c r="AJ4475" s="17" t="str">
        <f t="shared" si="3"/>
        <v/>
      </c>
    </row>
    <row r="4476" spans="31:36">
      <c r="AE4476" s="15" t="str">
        <f t="shared" si="0"/>
        <v/>
      </c>
      <c r="AF4476" s="15" t="str">
        <f t="shared" si="1"/>
        <v/>
      </c>
      <c r="AG4476" s="15" t="str">
        <f>IF(OR(AF4476="",AF4476="ERRO_CHAVE"),"",IFERROR(MATCH(AF4476,'quitado Despesa'!$V$1:$V$12,0),""))</f>
        <v/>
      </c>
      <c r="AH4476" s="15" t="str">
        <f t="shared" si="2"/>
        <v/>
      </c>
      <c r="AI4476" s="17" t="str">
        <f>IF(AG4476="","",INDEX('quitado Despesa'!$G$1:$G$12,AG4476))</f>
        <v/>
      </c>
      <c r="AJ4476" s="17" t="str">
        <f t="shared" si="3"/>
        <v/>
      </c>
    </row>
    <row r="4477" spans="31:36">
      <c r="AE4477" s="15" t="str">
        <f t="shared" si="0"/>
        <v/>
      </c>
      <c r="AF4477" s="15" t="str">
        <f t="shared" si="1"/>
        <v/>
      </c>
      <c r="AG4477" s="15" t="str">
        <f>IF(OR(AF4477="",AF4477="ERRO_CHAVE"),"",IFERROR(MATCH(AF4477,'quitado Despesa'!$V$1:$V$12,0),""))</f>
        <v/>
      </c>
      <c r="AH4477" s="15" t="str">
        <f t="shared" si="2"/>
        <v/>
      </c>
      <c r="AI4477" s="17" t="str">
        <f>IF(AG4477="","",INDEX('quitado Despesa'!$G$1:$G$12,AG4477))</f>
        <v/>
      </c>
      <c r="AJ4477" s="17" t="str">
        <f t="shared" si="3"/>
        <v/>
      </c>
    </row>
    <row r="4478" spans="31:36">
      <c r="AE4478" s="15" t="str">
        <f t="shared" si="0"/>
        <v/>
      </c>
      <c r="AF4478" s="15" t="str">
        <f t="shared" si="1"/>
        <v/>
      </c>
      <c r="AG4478" s="15" t="str">
        <f>IF(OR(AF4478="",AF4478="ERRO_CHAVE"),"",IFERROR(MATCH(AF4478,'quitado Despesa'!$V$1:$V$12,0),""))</f>
        <v/>
      </c>
      <c r="AH4478" s="15" t="str">
        <f t="shared" si="2"/>
        <v/>
      </c>
      <c r="AI4478" s="17" t="str">
        <f>IF(AG4478="","",INDEX('quitado Despesa'!$G$1:$G$12,AG4478))</f>
        <v/>
      </c>
      <c r="AJ4478" s="17" t="str">
        <f t="shared" si="3"/>
        <v/>
      </c>
    </row>
    <row r="4479" spans="31:36">
      <c r="AE4479" s="15" t="str">
        <f t="shared" si="0"/>
        <v/>
      </c>
      <c r="AF4479" s="15" t="str">
        <f t="shared" si="1"/>
        <v/>
      </c>
      <c r="AG4479" s="15" t="str">
        <f>IF(OR(AF4479="",AF4479="ERRO_CHAVE"),"",IFERROR(MATCH(AF4479,'quitado Despesa'!$V$1:$V$12,0),""))</f>
        <v/>
      </c>
      <c r="AH4479" s="15" t="str">
        <f t="shared" si="2"/>
        <v/>
      </c>
      <c r="AI4479" s="17" t="str">
        <f>IF(AG4479="","",INDEX('quitado Despesa'!$G$1:$G$12,AG4479))</f>
        <v/>
      </c>
      <c r="AJ4479" s="17" t="str">
        <f t="shared" si="3"/>
        <v/>
      </c>
    </row>
    <row r="4480" spans="31:36">
      <c r="AE4480" s="15" t="str">
        <f t="shared" si="0"/>
        <v/>
      </c>
      <c r="AF4480" s="15" t="str">
        <f t="shared" si="1"/>
        <v/>
      </c>
      <c r="AG4480" s="15" t="str">
        <f>IF(OR(AF4480="",AF4480="ERRO_CHAVE"),"",IFERROR(MATCH(AF4480,'quitado Despesa'!$V$1:$V$12,0),""))</f>
        <v/>
      </c>
      <c r="AH4480" s="15" t="str">
        <f t="shared" si="2"/>
        <v/>
      </c>
      <c r="AI4480" s="17" t="str">
        <f>IF(AG4480="","",INDEX('quitado Despesa'!$G$1:$G$12,AG4480))</f>
        <v/>
      </c>
      <c r="AJ4480" s="17" t="str">
        <f t="shared" si="3"/>
        <v/>
      </c>
    </row>
    <row r="4481" spans="31:36">
      <c r="AE4481" s="15" t="str">
        <f t="shared" si="0"/>
        <v/>
      </c>
      <c r="AF4481" s="15" t="str">
        <f t="shared" si="1"/>
        <v/>
      </c>
      <c r="AG4481" s="15" t="str">
        <f>IF(OR(AF4481="",AF4481="ERRO_CHAVE"),"",IFERROR(MATCH(AF4481,'quitado Despesa'!$V$1:$V$12,0),""))</f>
        <v/>
      </c>
      <c r="AH4481" s="15" t="str">
        <f t="shared" si="2"/>
        <v/>
      </c>
      <c r="AI4481" s="17" t="str">
        <f>IF(AG4481="","",INDEX('quitado Despesa'!$G$1:$G$12,AG4481))</f>
        <v/>
      </c>
      <c r="AJ4481" s="17" t="str">
        <f t="shared" si="3"/>
        <v/>
      </c>
    </row>
    <row r="4482" spans="31:36">
      <c r="AE4482" s="15" t="str">
        <f t="shared" si="0"/>
        <v/>
      </c>
      <c r="AF4482" s="15" t="str">
        <f t="shared" si="1"/>
        <v/>
      </c>
      <c r="AG4482" s="15" t="str">
        <f>IF(OR(AF4482="",AF4482="ERRO_CHAVE"),"",IFERROR(MATCH(AF4482,'quitado Despesa'!$V$1:$V$12,0),""))</f>
        <v/>
      </c>
      <c r="AH4482" s="15" t="str">
        <f t="shared" si="2"/>
        <v/>
      </c>
      <c r="AI4482" s="17" t="str">
        <f>IF(AG4482="","",INDEX('quitado Despesa'!$G$1:$G$12,AG4482))</f>
        <v/>
      </c>
      <c r="AJ4482" s="17" t="str">
        <f t="shared" si="3"/>
        <v/>
      </c>
    </row>
    <row r="4483" spans="31:36">
      <c r="AE4483" s="15" t="str">
        <f t="shared" si="0"/>
        <v/>
      </c>
      <c r="AF4483" s="15" t="str">
        <f t="shared" si="1"/>
        <v/>
      </c>
      <c r="AG4483" s="15" t="str">
        <f>IF(OR(AF4483="",AF4483="ERRO_CHAVE"),"",IFERROR(MATCH(AF4483,'quitado Despesa'!$V$1:$V$12,0),""))</f>
        <v/>
      </c>
      <c r="AH4483" s="15" t="str">
        <f t="shared" si="2"/>
        <v/>
      </c>
      <c r="AI4483" s="17" t="str">
        <f>IF(AG4483="","",INDEX('quitado Despesa'!$G$1:$G$12,AG4483))</f>
        <v/>
      </c>
      <c r="AJ4483" s="17" t="str">
        <f t="shared" si="3"/>
        <v/>
      </c>
    </row>
    <row r="4484" spans="31:36">
      <c r="AE4484" s="15" t="str">
        <f t="shared" si="0"/>
        <v/>
      </c>
      <c r="AF4484" s="15" t="str">
        <f t="shared" si="1"/>
        <v/>
      </c>
      <c r="AG4484" s="15" t="str">
        <f>IF(OR(AF4484="",AF4484="ERRO_CHAVE"),"",IFERROR(MATCH(AF4484,'quitado Despesa'!$V$1:$V$12,0),""))</f>
        <v/>
      </c>
      <c r="AH4484" s="15" t="str">
        <f t="shared" si="2"/>
        <v/>
      </c>
      <c r="AI4484" s="17" t="str">
        <f>IF(AG4484="","",INDEX('quitado Despesa'!$G$1:$G$12,AG4484))</f>
        <v/>
      </c>
      <c r="AJ4484" s="17" t="str">
        <f t="shared" si="3"/>
        <v/>
      </c>
    </row>
    <row r="4485" spans="31:36">
      <c r="AE4485" s="15" t="str">
        <f t="shared" si="0"/>
        <v/>
      </c>
      <c r="AF4485" s="15" t="str">
        <f t="shared" si="1"/>
        <v/>
      </c>
      <c r="AG4485" s="15" t="str">
        <f>IF(OR(AF4485="",AF4485="ERRO_CHAVE"),"",IFERROR(MATCH(AF4485,'quitado Despesa'!$V$1:$V$12,0),""))</f>
        <v/>
      </c>
      <c r="AH4485" s="15" t="str">
        <f t="shared" si="2"/>
        <v/>
      </c>
      <c r="AI4485" s="17" t="str">
        <f>IF(AG4485="","",INDEX('quitado Despesa'!$G$1:$G$12,AG4485))</f>
        <v/>
      </c>
      <c r="AJ4485" s="17" t="str">
        <f t="shared" si="3"/>
        <v/>
      </c>
    </row>
    <row r="4486" spans="31:36">
      <c r="AE4486" s="15" t="str">
        <f t="shared" si="0"/>
        <v/>
      </c>
      <c r="AF4486" s="15" t="str">
        <f t="shared" si="1"/>
        <v/>
      </c>
      <c r="AG4486" s="15" t="str">
        <f>IF(OR(AF4486="",AF4486="ERRO_CHAVE"),"",IFERROR(MATCH(AF4486,'quitado Despesa'!$V$1:$V$12,0),""))</f>
        <v/>
      </c>
      <c r="AH4486" s="15" t="str">
        <f t="shared" si="2"/>
        <v/>
      </c>
      <c r="AI4486" s="17" t="str">
        <f>IF(AG4486="","",INDEX('quitado Despesa'!$G$1:$G$12,AG4486))</f>
        <v/>
      </c>
      <c r="AJ4486" s="17" t="str">
        <f t="shared" si="3"/>
        <v/>
      </c>
    </row>
    <row r="4487" spans="31:36">
      <c r="AE4487" s="15" t="str">
        <f t="shared" si="0"/>
        <v/>
      </c>
      <c r="AF4487" s="15" t="str">
        <f t="shared" si="1"/>
        <v/>
      </c>
      <c r="AG4487" s="15" t="str">
        <f>IF(OR(AF4487="",AF4487="ERRO_CHAVE"),"",IFERROR(MATCH(AF4487,'quitado Despesa'!$V$1:$V$12,0),""))</f>
        <v/>
      </c>
      <c r="AH4487" s="15" t="str">
        <f t="shared" si="2"/>
        <v/>
      </c>
      <c r="AI4487" s="17" t="str">
        <f>IF(AG4487="","",INDEX('quitado Despesa'!$G$1:$G$12,AG4487))</f>
        <v/>
      </c>
      <c r="AJ4487" s="17" t="str">
        <f t="shared" si="3"/>
        <v/>
      </c>
    </row>
    <row r="4488" spans="31:36">
      <c r="AE4488" s="15" t="str">
        <f t="shared" si="0"/>
        <v/>
      </c>
      <c r="AF4488" s="15" t="str">
        <f t="shared" si="1"/>
        <v/>
      </c>
      <c r="AG4488" s="15" t="str">
        <f>IF(OR(AF4488="",AF4488="ERRO_CHAVE"),"",IFERROR(MATCH(AF4488,'quitado Despesa'!$V$1:$V$12,0),""))</f>
        <v/>
      </c>
      <c r="AH4488" s="15" t="str">
        <f t="shared" si="2"/>
        <v/>
      </c>
      <c r="AI4488" s="17" t="str">
        <f>IF(AG4488="","",INDEX('quitado Despesa'!$G$1:$G$12,AG4488))</f>
        <v/>
      </c>
      <c r="AJ4488" s="17" t="str">
        <f t="shared" si="3"/>
        <v/>
      </c>
    </row>
    <row r="4489" spans="31:36">
      <c r="AE4489" s="15" t="str">
        <f t="shared" si="0"/>
        <v/>
      </c>
      <c r="AF4489" s="15" t="str">
        <f t="shared" si="1"/>
        <v/>
      </c>
      <c r="AG4489" s="15" t="str">
        <f>IF(OR(AF4489="",AF4489="ERRO_CHAVE"),"",IFERROR(MATCH(AF4489,'quitado Despesa'!$V$1:$V$12,0),""))</f>
        <v/>
      </c>
      <c r="AH4489" s="15" t="str">
        <f t="shared" si="2"/>
        <v/>
      </c>
      <c r="AI4489" s="17" t="str">
        <f>IF(AG4489="","",INDEX('quitado Despesa'!$G$1:$G$12,AG4489))</f>
        <v/>
      </c>
      <c r="AJ4489" s="17" t="str">
        <f t="shared" si="3"/>
        <v/>
      </c>
    </row>
    <row r="4490" spans="31:36">
      <c r="AE4490" s="15" t="str">
        <f t="shared" si="0"/>
        <v/>
      </c>
      <c r="AF4490" s="15" t="str">
        <f t="shared" si="1"/>
        <v/>
      </c>
      <c r="AG4490" s="15" t="str">
        <f>IF(OR(AF4490="",AF4490="ERRO_CHAVE"),"",IFERROR(MATCH(AF4490,'quitado Despesa'!$V$1:$V$12,0),""))</f>
        <v/>
      </c>
      <c r="AH4490" s="15" t="str">
        <f t="shared" si="2"/>
        <v/>
      </c>
      <c r="AI4490" s="17" t="str">
        <f>IF(AG4490="","",INDEX('quitado Despesa'!$G$1:$G$12,AG4490))</f>
        <v/>
      </c>
      <c r="AJ4490" s="17" t="str">
        <f t="shared" si="3"/>
        <v/>
      </c>
    </row>
    <row r="4491" spans="31:36">
      <c r="AE4491" s="15" t="str">
        <f t="shared" si="0"/>
        <v/>
      </c>
      <c r="AF4491" s="15" t="str">
        <f t="shared" si="1"/>
        <v/>
      </c>
      <c r="AG4491" s="15" t="str">
        <f>IF(OR(AF4491="",AF4491="ERRO_CHAVE"),"",IFERROR(MATCH(AF4491,'quitado Despesa'!$V$1:$V$12,0),""))</f>
        <v/>
      </c>
      <c r="AH4491" s="15" t="str">
        <f t="shared" si="2"/>
        <v/>
      </c>
      <c r="AI4491" s="17" t="str">
        <f>IF(AG4491="","",INDEX('quitado Despesa'!$G$1:$G$12,AG4491))</f>
        <v/>
      </c>
      <c r="AJ4491" s="17" t="str">
        <f t="shared" si="3"/>
        <v/>
      </c>
    </row>
    <row r="4492" spans="31:36">
      <c r="AE4492" s="15" t="str">
        <f t="shared" si="0"/>
        <v/>
      </c>
      <c r="AF4492" s="15" t="str">
        <f t="shared" si="1"/>
        <v/>
      </c>
      <c r="AG4492" s="15" t="str">
        <f>IF(OR(AF4492="",AF4492="ERRO_CHAVE"),"",IFERROR(MATCH(AF4492,'quitado Despesa'!$V$1:$V$12,0),""))</f>
        <v/>
      </c>
      <c r="AH4492" s="15" t="str">
        <f t="shared" si="2"/>
        <v/>
      </c>
      <c r="AI4492" s="17" t="str">
        <f>IF(AG4492="","",INDEX('quitado Despesa'!$G$1:$G$12,AG4492))</f>
        <v/>
      </c>
      <c r="AJ4492" s="17" t="str">
        <f t="shared" si="3"/>
        <v/>
      </c>
    </row>
    <row r="4493" spans="31:36">
      <c r="AE4493" s="15" t="str">
        <f t="shared" si="0"/>
        <v/>
      </c>
      <c r="AF4493" s="15" t="str">
        <f t="shared" si="1"/>
        <v/>
      </c>
      <c r="AG4493" s="15" t="str">
        <f>IF(OR(AF4493="",AF4493="ERRO_CHAVE"),"",IFERROR(MATCH(AF4493,'quitado Despesa'!$V$1:$V$12,0),""))</f>
        <v/>
      </c>
      <c r="AH4493" s="15" t="str">
        <f t="shared" si="2"/>
        <v/>
      </c>
      <c r="AI4493" s="17" t="str">
        <f>IF(AG4493="","",INDEX('quitado Despesa'!$G$1:$G$12,AG4493))</f>
        <v/>
      </c>
      <c r="AJ4493" s="17" t="str">
        <f t="shared" si="3"/>
        <v/>
      </c>
    </row>
    <row r="4494" spans="31:36">
      <c r="AE4494" s="15" t="str">
        <f t="shared" si="0"/>
        <v/>
      </c>
      <c r="AF4494" s="15" t="str">
        <f t="shared" si="1"/>
        <v/>
      </c>
      <c r="AG4494" s="15" t="str">
        <f>IF(OR(AF4494="",AF4494="ERRO_CHAVE"),"",IFERROR(MATCH(AF4494,'quitado Despesa'!$V$1:$V$12,0),""))</f>
        <v/>
      </c>
      <c r="AH4494" s="15" t="str">
        <f t="shared" si="2"/>
        <v/>
      </c>
      <c r="AI4494" s="17" t="str">
        <f>IF(AG4494="","",INDEX('quitado Despesa'!$G$1:$G$12,AG4494))</f>
        <v/>
      </c>
      <c r="AJ4494" s="17" t="str">
        <f t="shared" si="3"/>
        <v/>
      </c>
    </row>
    <row r="4495" spans="31:36">
      <c r="AE4495" s="15" t="str">
        <f t="shared" si="0"/>
        <v/>
      </c>
      <c r="AF4495" s="15" t="str">
        <f t="shared" si="1"/>
        <v/>
      </c>
      <c r="AG4495" s="15" t="str">
        <f>IF(OR(AF4495="",AF4495="ERRO_CHAVE"),"",IFERROR(MATCH(AF4495,'quitado Despesa'!$V$1:$V$12,0),""))</f>
        <v/>
      </c>
      <c r="AH4495" s="15" t="str">
        <f t="shared" si="2"/>
        <v/>
      </c>
      <c r="AI4495" s="17" t="str">
        <f>IF(AG4495="","",INDEX('quitado Despesa'!$G$1:$G$12,AG4495))</f>
        <v/>
      </c>
      <c r="AJ4495" s="17" t="str">
        <f t="shared" si="3"/>
        <v/>
      </c>
    </row>
    <row r="4496" spans="31:36">
      <c r="AE4496" s="15" t="str">
        <f t="shared" si="0"/>
        <v/>
      </c>
      <c r="AF4496" s="15" t="str">
        <f t="shared" si="1"/>
        <v/>
      </c>
      <c r="AG4496" s="15" t="str">
        <f>IF(OR(AF4496="",AF4496="ERRO_CHAVE"),"",IFERROR(MATCH(AF4496,'quitado Despesa'!$V$1:$V$12,0),""))</f>
        <v/>
      </c>
      <c r="AH4496" s="15" t="str">
        <f t="shared" si="2"/>
        <v/>
      </c>
      <c r="AI4496" s="17" t="str">
        <f>IF(AG4496="","",INDEX('quitado Despesa'!$G$1:$G$12,AG4496))</f>
        <v/>
      </c>
      <c r="AJ4496" s="17" t="str">
        <f t="shared" si="3"/>
        <v/>
      </c>
    </row>
    <row r="4497" spans="31:36">
      <c r="AE4497" s="15" t="str">
        <f t="shared" si="0"/>
        <v/>
      </c>
      <c r="AF4497" s="15" t="str">
        <f t="shared" si="1"/>
        <v/>
      </c>
      <c r="AG4497" s="15" t="str">
        <f>IF(OR(AF4497="",AF4497="ERRO_CHAVE"),"",IFERROR(MATCH(AF4497,'quitado Despesa'!$V$1:$V$12,0),""))</f>
        <v/>
      </c>
      <c r="AH4497" s="15" t="str">
        <f t="shared" si="2"/>
        <v/>
      </c>
      <c r="AI4497" s="17" t="str">
        <f>IF(AG4497="","",INDEX('quitado Despesa'!$G$1:$G$12,AG4497))</f>
        <v/>
      </c>
      <c r="AJ4497" s="17" t="str">
        <f t="shared" si="3"/>
        <v/>
      </c>
    </row>
    <row r="4498" spans="31:36">
      <c r="AE4498" s="15" t="str">
        <f t="shared" si="0"/>
        <v/>
      </c>
      <c r="AF4498" s="15" t="str">
        <f t="shared" si="1"/>
        <v/>
      </c>
      <c r="AG4498" s="15" t="str">
        <f>IF(OR(AF4498="",AF4498="ERRO_CHAVE"),"",IFERROR(MATCH(AF4498,'quitado Despesa'!$V$1:$V$12,0),""))</f>
        <v/>
      </c>
      <c r="AH4498" s="15" t="str">
        <f t="shared" si="2"/>
        <v/>
      </c>
      <c r="AI4498" s="17" t="str">
        <f>IF(AG4498="","",INDEX('quitado Despesa'!$G$1:$G$12,AG4498))</f>
        <v/>
      </c>
      <c r="AJ4498" s="17" t="str">
        <f t="shared" si="3"/>
        <v/>
      </c>
    </row>
    <row r="4499" spans="31:36">
      <c r="AE4499" s="15" t="str">
        <f t="shared" si="0"/>
        <v/>
      </c>
      <c r="AF4499" s="15" t="str">
        <f t="shared" si="1"/>
        <v/>
      </c>
      <c r="AG4499" s="15" t="str">
        <f>IF(OR(AF4499="",AF4499="ERRO_CHAVE"),"",IFERROR(MATCH(AF4499,'quitado Despesa'!$V$1:$V$12,0),""))</f>
        <v/>
      </c>
      <c r="AH4499" s="15" t="str">
        <f t="shared" si="2"/>
        <v/>
      </c>
      <c r="AI4499" s="17" t="str">
        <f>IF(AG4499="","",INDEX('quitado Despesa'!$G$1:$G$12,AG4499))</f>
        <v/>
      </c>
      <c r="AJ4499" s="17" t="str">
        <f t="shared" si="3"/>
        <v/>
      </c>
    </row>
    <row r="4500" spans="31:36">
      <c r="AE4500" s="15" t="str">
        <f t="shared" si="0"/>
        <v/>
      </c>
      <c r="AF4500" s="15" t="str">
        <f t="shared" si="1"/>
        <v/>
      </c>
      <c r="AG4500" s="15" t="str">
        <f>IF(OR(AF4500="",AF4500="ERRO_CHAVE"),"",IFERROR(MATCH(AF4500,'quitado Despesa'!$V$1:$V$12,0),""))</f>
        <v/>
      </c>
      <c r="AH4500" s="15" t="str">
        <f t="shared" si="2"/>
        <v/>
      </c>
      <c r="AI4500" s="17" t="str">
        <f>IF(AG4500="","",INDEX('quitado Despesa'!$G$1:$G$12,AG4500))</f>
        <v/>
      </c>
      <c r="AJ4500" s="17" t="str">
        <f t="shared" si="3"/>
        <v/>
      </c>
    </row>
    <row r="4501" spans="31:36">
      <c r="AE4501" s="15" t="str">
        <f t="shared" si="0"/>
        <v/>
      </c>
      <c r="AF4501" s="15" t="str">
        <f t="shared" si="1"/>
        <v/>
      </c>
      <c r="AG4501" s="15" t="str">
        <f>IF(OR(AF4501="",AF4501="ERRO_CHAVE"),"",IFERROR(MATCH(AF4501,'quitado Despesa'!$V$1:$V$12,0),""))</f>
        <v/>
      </c>
      <c r="AH4501" s="15" t="str">
        <f t="shared" si="2"/>
        <v/>
      </c>
      <c r="AI4501" s="17" t="str">
        <f>IF(AG4501="","",INDEX('quitado Despesa'!$G$1:$G$12,AG4501))</f>
        <v/>
      </c>
      <c r="AJ4501" s="17" t="str">
        <f t="shared" si="3"/>
        <v/>
      </c>
    </row>
    <row r="4502" spans="31:36">
      <c r="AE4502" s="15" t="str">
        <f t="shared" si="0"/>
        <v/>
      </c>
      <c r="AF4502" s="15" t="str">
        <f t="shared" si="1"/>
        <v/>
      </c>
      <c r="AG4502" s="15" t="str">
        <f>IF(OR(AF4502="",AF4502="ERRO_CHAVE"),"",IFERROR(MATCH(AF4502,'quitado Despesa'!$V$1:$V$12,0),""))</f>
        <v/>
      </c>
      <c r="AH4502" s="15" t="str">
        <f t="shared" si="2"/>
        <v/>
      </c>
      <c r="AI4502" s="17" t="str">
        <f>IF(AG4502="","",INDEX('quitado Despesa'!$G$1:$G$12,AG4502))</f>
        <v/>
      </c>
      <c r="AJ4502" s="17" t="str">
        <f t="shared" si="3"/>
        <v/>
      </c>
    </row>
    <row r="4503" spans="31:36">
      <c r="AE4503" s="15" t="str">
        <f t="shared" si="0"/>
        <v/>
      </c>
      <c r="AF4503" s="15" t="str">
        <f t="shared" si="1"/>
        <v/>
      </c>
      <c r="AG4503" s="15" t="str">
        <f>IF(OR(AF4503="",AF4503="ERRO_CHAVE"),"",IFERROR(MATCH(AF4503,'quitado Despesa'!$V$1:$V$12,0),""))</f>
        <v/>
      </c>
      <c r="AH4503" s="15" t="str">
        <f t="shared" si="2"/>
        <v/>
      </c>
      <c r="AI4503" s="17" t="str">
        <f>IF(AG4503="","",INDEX('quitado Despesa'!$G$1:$G$12,AG4503))</f>
        <v/>
      </c>
      <c r="AJ4503" s="17" t="str">
        <f t="shared" si="3"/>
        <v/>
      </c>
    </row>
    <row r="4504" spans="31:36">
      <c r="AE4504" s="15" t="str">
        <f t="shared" si="0"/>
        <v/>
      </c>
      <c r="AF4504" s="15" t="str">
        <f t="shared" si="1"/>
        <v/>
      </c>
      <c r="AG4504" s="15" t="str">
        <f>IF(OR(AF4504="",AF4504="ERRO_CHAVE"),"",IFERROR(MATCH(AF4504,'quitado Despesa'!$V$1:$V$12,0),""))</f>
        <v/>
      </c>
      <c r="AH4504" s="15" t="str">
        <f t="shared" si="2"/>
        <v/>
      </c>
      <c r="AI4504" s="17" t="str">
        <f>IF(AG4504="","",INDEX('quitado Despesa'!$G$1:$G$12,AG4504))</f>
        <v/>
      </c>
      <c r="AJ4504" s="17" t="str">
        <f t="shared" si="3"/>
        <v/>
      </c>
    </row>
    <row r="4505" spans="31:36">
      <c r="AE4505" s="15" t="str">
        <f t="shared" si="0"/>
        <v/>
      </c>
      <c r="AF4505" s="15" t="str">
        <f t="shared" si="1"/>
        <v/>
      </c>
      <c r="AG4505" s="15" t="str">
        <f>IF(OR(AF4505="",AF4505="ERRO_CHAVE"),"",IFERROR(MATCH(AF4505,'quitado Despesa'!$V$1:$V$12,0),""))</f>
        <v/>
      </c>
      <c r="AH4505" s="15" t="str">
        <f t="shared" si="2"/>
        <v/>
      </c>
      <c r="AI4505" s="17" t="str">
        <f>IF(AG4505="","",INDEX('quitado Despesa'!$G$1:$G$12,AG4505))</f>
        <v/>
      </c>
      <c r="AJ4505" s="17" t="str">
        <f t="shared" si="3"/>
        <v/>
      </c>
    </row>
    <row r="4506" spans="31:36">
      <c r="AE4506" s="15" t="str">
        <f t="shared" si="0"/>
        <v/>
      </c>
      <c r="AF4506" s="15" t="str">
        <f t="shared" si="1"/>
        <v/>
      </c>
      <c r="AG4506" s="15" t="str">
        <f>IF(OR(AF4506="",AF4506="ERRO_CHAVE"),"",IFERROR(MATCH(AF4506,'quitado Despesa'!$V$1:$V$12,0),""))</f>
        <v/>
      </c>
      <c r="AH4506" s="15" t="str">
        <f t="shared" si="2"/>
        <v/>
      </c>
      <c r="AI4506" s="17" t="str">
        <f>IF(AG4506="","",INDEX('quitado Despesa'!$G$1:$G$12,AG4506))</f>
        <v/>
      </c>
      <c r="AJ4506" s="17" t="str">
        <f t="shared" si="3"/>
        <v/>
      </c>
    </row>
    <row r="4507" spans="31:36">
      <c r="AE4507" s="15" t="str">
        <f t="shared" si="0"/>
        <v/>
      </c>
      <c r="AF4507" s="15" t="str">
        <f t="shared" si="1"/>
        <v/>
      </c>
      <c r="AG4507" s="15" t="str">
        <f>IF(OR(AF4507="",AF4507="ERRO_CHAVE"),"",IFERROR(MATCH(AF4507,'quitado Despesa'!$V$1:$V$12,0),""))</f>
        <v/>
      </c>
      <c r="AH4507" s="15" t="str">
        <f t="shared" si="2"/>
        <v/>
      </c>
      <c r="AI4507" s="17" t="str">
        <f>IF(AG4507="","",INDEX('quitado Despesa'!$G$1:$G$12,AG4507))</f>
        <v/>
      </c>
      <c r="AJ4507" s="17" t="str">
        <f t="shared" si="3"/>
        <v/>
      </c>
    </row>
    <row r="4508" spans="31:36">
      <c r="AE4508" s="15" t="str">
        <f t="shared" si="0"/>
        <v/>
      </c>
      <c r="AF4508" s="15" t="str">
        <f t="shared" si="1"/>
        <v/>
      </c>
      <c r="AG4508" s="15" t="str">
        <f>IF(OR(AF4508="",AF4508="ERRO_CHAVE"),"",IFERROR(MATCH(AF4508,'quitado Despesa'!$V$1:$V$12,0),""))</f>
        <v/>
      </c>
      <c r="AH4508" s="15" t="str">
        <f t="shared" si="2"/>
        <v/>
      </c>
      <c r="AI4508" s="17" t="str">
        <f>IF(AG4508="","",INDEX('quitado Despesa'!$G$1:$G$12,AG4508))</f>
        <v/>
      </c>
      <c r="AJ4508" s="17" t="str">
        <f t="shared" si="3"/>
        <v/>
      </c>
    </row>
    <row r="4509" spans="31:36">
      <c r="AE4509" s="15" t="str">
        <f t="shared" si="0"/>
        <v/>
      </c>
      <c r="AF4509" s="15" t="str">
        <f t="shared" si="1"/>
        <v/>
      </c>
      <c r="AG4509" s="15" t="str">
        <f>IF(OR(AF4509="",AF4509="ERRO_CHAVE"),"",IFERROR(MATCH(AF4509,'quitado Despesa'!$V$1:$V$12,0),""))</f>
        <v/>
      </c>
      <c r="AH4509" s="15" t="str">
        <f t="shared" si="2"/>
        <v/>
      </c>
      <c r="AI4509" s="17" t="str">
        <f>IF(AG4509="","",INDEX('quitado Despesa'!$G$1:$G$12,AG4509))</f>
        <v/>
      </c>
      <c r="AJ4509" s="17" t="str">
        <f t="shared" si="3"/>
        <v/>
      </c>
    </row>
    <row r="4510" spans="31:36">
      <c r="AE4510" s="15" t="str">
        <f t="shared" si="0"/>
        <v/>
      </c>
      <c r="AF4510" s="15" t="str">
        <f t="shared" si="1"/>
        <v/>
      </c>
      <c r="AG4510" s="15" t="str">
        <f>IF(OR(AF4510="",AF4510="ERRO_CHAVE"),"",IFERROR(MATCH(AF4510,'quitado Despesa'!$V$1:$V$12,0),""))</f>
        <v/>
      </c>
      <c r="AH4510" s="15" t="str">
        <f t="shared" si="2"/>
        <v/>
      </c>
      <c r="AI4510" s="17" t="str">
        <f>IF(AG4510="","",INDEX('quitado Despesa'!$G$1:$G$12,AG4510))</f>
        <v/>
      </c>
      <c r="AJ4510" s="17" t="str">
        <f t="shared" si="3"/>
        <v/>
      </c>
    </row>
    <row r="4511" spans="31:36">
      <c r="AE4511" s="15" t="str">
        <f t="shared" si="0"/>
        <v/>
      </c>
      <c r="AF4511" s="15" t="str">
        <f t="shared" si="1"/>
        <v/>
      </c>
      <c r="AG4511" s="15" t="str">
        <f>IF(OR(AF4511="",AF4511="ERRO_CHAVE"),"",IFERROR(MATCH(AF4511,'quitado Despesa'!$V$1:$V$12,0),""))</f>
        <v/>
      </c>
      <c r="AH4511" s="15" t="str">
        <f t="shared" si="2"/>
        <v/>
      </c>
      <c r="AI4511" s="17" t="str">
        <f>IF(AG4511="","",INDEX('quitado Despesa'!$G$1:$G$12,AG4511))</f>
        <v/>
      </c>
      <c r="AJ4511" s="17" t="str">
        <f t="shared" si="3"/>
        <v/>
      </c>
    </row>
    <row r="4512" spans="31:36">
      <c r="AE4512" s="15" t="str">
        <f t="shared" si="0"/>
        <v/>
      </c>
      <c r="AF4512" s="15" t="str">
        <f t="shared" si="1"/>
        <v/>
      </c>
      <c r="AG4512" s="15" t="str">
        <f>IF(OR(AF4512="",AF4512="ERRO_CHAVE"),"",IFERROR(MATCH(AF4512,'quitado Despesa'!$V$1:$V$12,0),""))</f>
        <v/>
      </c>
      <c r="AH4512" s="15" t="str">
        <f t="shared" si="2"/>
        <v/>
      </c>
      <c r="AI4512" s="17" t="str">
        <f>IF(AG4512="","",INDEX('quitado Despesa'!$G$1:$G$12,AG4512))</f>
        <v/>
      </c>
      <c r="AJ4512" s="17" t="str">
        <f t="shared" si="3"/>
        <v/>
      </c>
    </row>
    <row r="4513" spans="31:36">
      <c r="AE4513" s="15" t="str">
        <f t="shared" si="0"/>
        <v/>
      </c>
      <c r="AF4513" s="15" t="str">
        <f t="shared" si="1"/>
        <v/>
      </c>
      <c r="AG4513" s="15" t="str">
        <f>IF(OR(AF4513="",AF4513="ERRO_CHAVE"),"",IFERROR(MATCH(AF4513,'quitado Despesa'!$V$1:$V$12,0),""))</f>
        <v/>
      </c>
      <c r="AH4513" s="15" t="str">
        <f t="shared" si="2"/>
        <v/>
      </c>
      <c r="AI4513" s="17" t="str">
        <f>IF(AG4513="","",INDEX('quitado Despesa'!$G$1:$G$12,AG4513))</f>
        <v/>
      </c>
      <c r="AJ4513" s="17" t="str">
        <f t="shared" si="3"/>
        <v/>
      </c>
    </row>
    <row r="4514" spans="31:36">
      <c r="AE4514" s="15" t="str">
        <f t="shared" si="0"/>
        <v/>
      </c>
      <c r="AF4514" s="15" t="str">
        <f t="shared" si="1"/>
        <v/>
      </c>
      <c r="AG4514" s="15" t="str">
        <f>IF(OR(AF4514="",AF4514="ERRO_CHAVE"),"",IFERROR(MATCH(AF4514,'quitado Despesa'!$V$1:$V$12,0),""))</f>
        <v/>
      </c>
      <c r="AH4514" s="15" t="str">
        <f t="shared" si="2"/>
        <v/>
      </c>
      <c r="AI4514" s="17" t="str">
        <f>IF(AG4514="","",INDEX('quitado Despesa'!$G$1:$G$12,AG4514))</f>
        <v/>
      </c>
      <c r="AJ4514" s="17" t="str">
        <f t="shared" si="3"/>
        <v/>
      </c>
    </row>
    <row r="4515" spans="31:36">
      <c r="AE4515" s="15" t="str">
        <f t="shared" si="0"/>
        <v/>
      </c>
      <c r="AF4515" s="15" t="str">
        <f t="shared" si="1"/>
        <v/>
      </c>
      <c r="AG4515" s="15" t="str">
        <f>IF(OR(AF4515="",AF4515="ERRO_CHAVE"),"",IFERROR(MATCH(AF4515,'quitado Despesa'!$V$1:$V$12,0),""))</f>
        <v/>
      </c>
      <c r="AH4515" s="15" t="str">
        <f t="shared" si="2"/>
        <v/>
      </c>
      <c r="AI4515" s="17" t="str">
        <f>IF(AG4515="","",INDEX('quitado Despesa'!$G$1:$G$12,AG4515))</f>
        <v/>
      </c>
      <c r="AJ4515" s="17" t="str">
        <f t="shared" si="3"/>
        <v/>
      </c>
    </row>
    <row r="4516" spans="31:36">
      <c r="AE4516" s="15" t="str">
        <f t="shared" si="0"/>
        <v/>
      </c>
      <c r="AF4516" s="15" t="str">
        <f t="shared" si="1"/>
        <v/>
      </c>
      <c r="AG4516" s="15" t="str">
        <f>IF(OR(AF4516="",AF4516="ERRO_CHAVE"),"",IFERROR(MATCH(AF4516,'quitado Despesa'!$V$1:$V$12,0),""))</f>
        <v/>
      </c>
      <c r="AH4516" s="15" t="str">
        <f t="shared" si="2"/>
        <v/>
      </c>
      <c r="AI4516" s="17" t="str">
        <f>IF(AG4516="","",INDEX('quitado Despesa'!$G$1:$G$12,AG4516))</f>
        <v/>
      </c>
      <c r="AJ4516" s="17" t="str">
        <f t="shared" si="3"/>
        <v/>
      </c>
    </row>
    <row r="4517" spans="31:36">
      <c r="AE4517" s="15" t="str">
        <f t="shared" si="0"/>
        <v/>
      </c>
      <c r="AF4517" s="15" t="str">
        <f t="shared" si="1"/>
        <v/>
      </c>
      <c r="AG4517" s="15" t="str">
        <f>IF(OR(AF4517="",AF4517="ERRO_CHAVE"),"",IFERROR(MATCH(AF4517,'quitado Despesa'!$V$1:$V$12,0),""))</f>
        <v/>
      </c>
      <c r="AH4517" s="15" t="str">
        <f t="shared" si="2"/>
        <v/>
      </c>
      <c r="AI4517" s="17" t="str">
        <f>IF(AG4517="","",INDEX('quitado Despesa'!$G$1:$G$12,AG4517))</f>
        <v/>
      </c>
      <c r="AJ4517" s="17" t="str">
        <f t="shared" si="3"/>
        <v/>
      </c>
    </row>
    <row r="4518" spans="31:36">
      <c r="AE4518" s="15" t="str">
        <f t="shared" si="0"/>
        <v/>
      </c>
      <c r="AF4518" s="15" t="str">
        <f t="shared" si="1"/>
        <v/>
      </c>
      <c r="AG4518" s="15" t="str">
        <f>IF(OR(AF4518="",AF4518="ERRO_CHAVE"),"",IFERROR(MATCH(AF4518,'quitado Despesa'!$V$1:$V$12,0),""))</f>
        <v/>
      </c>
      <c r="AH4518" s="15" t="str">
        <f t="shared" si="2"/>
        <v/>
      </c>
      <c r="AI4518" s="17" t="str">
        <f>IF(AG4518="","",INDEX('quitado Despesa'!$G$1:$G$12,AG4518))</f>
        <v/>
      </c>
      <c r="AJ4518" s="17" t="str">
        <f t="shared" si="3"/>
        <v/>
      </c>
    </row>
    <row r="4519" spans="31:36">
      <c r="AE4519" s="15" t="str">
        <f t="shared" si="0"/>
        <v/>
      </c>
      <c r="AF4519" s="15" t="str">
        <f t="shared" si="1"/>
        <v/>
      </c>
      <c r="AG4519" s="15" t="str">
        <f>IF(OR(AF4519="",AF4519="ERRO_CHAVE"),"",IFERROR(MATCH(AF4519,'quitado Despesa'!$V$1:$V$12,0),""))</f>
        <v/>
      </c>
      <c r="AH4519" s="15" t="str">
        <f t="shared" si="2"/>
        <v/>
      </c>
      <c r="AI4519" s="17" t="str">
        <f>IF(AG4519="","",INDEX('quitado Despesa'!$G$1:$G$12,AG4519))</f>
        <v/>
      </c>
      <c r="AJ4519" s="17" t="str">
        <f t="shared" si="3"/>
        <v/>
      </c>
    </row>
    <row r="4520" spans="31:36">
      <c r="AE4520" s="15" t="str">
        <f t="shared" si="0"/>
        <v/>
      </c>
      <c r="AF4520" s="15" t="str">
        <f t="shared" si="1"/>
        <v/>
      </c>
      <c r="AG4520" s="15" t="str">
        <f>IF(OR(AF4520="",AF4520="ERRO_CHAVE"),"",IFERROR(MATCH(AF4520,'quitado Despesa'!$V$1:$V$12,0),""))</f>
        <v/>
      </c>
      <c r="AH4520" s="15" t="str">
        <f t="shared" si="2"/>
        <v/>
      </c>
      <c r="AI4520" s="17" t="str">
        <f>IF(AG4520="","",INDEX('quitado Despesa'!$G$1:$G$12,AG4520))</f>
        <v/>
      </c>
      <c r="AJ4520" s="17" t="str">
        <f t="shared" si="3"/>
        <v/>
      </c>
    </row>
    <row r="4521" spans="31:36">
      <c r="AE4521" s="15" t="str">
        <f t="shared" si="0"/>
        <v/>
      </c>
      <c r="AF4521" s="15" t="str">
        <f t="shared" si="1"/>
        <v/>
      </c>
      <c r="AG4521" s="15" t="str">
        <f>IF(OR(AF4521="",AF4521="ERRO_CHAVE"),"",IFERROR(MATCH(AF4521,'quitado Despesa'!$V$1:$V$12,0),""))</f>
        <v/>
      </c>
      <c r="AH4521" s="15" t="str">
        <f t="shared" si="2"/>
        <v/>
      </c>
      <c r="AI4521" s="17" t="str">
        <f>IF(AG4521="","",INDEX('quitado Despesa'!$G$1:$G$12,AG4521))</f>
        <v/>
      </c>
      <c r="AJ4521" s="17" t="str">
        <f t="shared" si="3"/>
        <v/>
      </c>
    </row>
    <row r="4522" spans="31:36">
      <c r="AE4522" s="15" t="str">
        <f t="shared" si="0"/>
        <v/>
      </c>
      <c r="AF4522" s="15" t="str">
        <f t="shared" si="1"/>
        <v/>
      </c>
      <c r="AG4522" s="15" t="str">
        <f>IF(OR(AF4522="",AF4522="ERRO_CHAVE"),"",IFERROR(MATCH(AF4522,'quitado Despesa'!$V$1:$V$12,0),""))</f>
        <v/>
      </c>
      <c r="AH4522" s="15" t="str">
        <f t="shared" si="2"/>
        <v/>
      </c>
      <c r="AI4522" s="17" t="str">
        <f>IF(AG4522="","",INDEX('quitado Despesa'!$G$1:$G$12,AG4522))</f>
        <v/>
      </c>
      <c r="AJ4522" s="17" t="str">
        <f t="shared" si="3"/>
        <v/>
      </c>
    </row>
    <row r="4523" spans="31:36">
      <c r="AE4523" s="15" t="str">
        <f t="shared" si="0"/>
        <v/>
      </c>
      <c r="AF4523" s="15" t="str">
        <f t="shared" si="1"/>
        <v/>
      </c>
      <c r="AG4523" s="15" t="str">
        <f>IF(OR(AF4523="",AF4523="ERRO_CHAVE"),"",IFERROR(MATCH(AF4523,'quitado Despesa'!$V$1:$V$12,0),""))</f>
        <v/>
      </c>
      <c r="AH4523" s="15" t="str">
        <f t="shared" si="2"/>
        <v/>
      </c>
      <c r="AI4523" s="17" t="str">
        <f>IF(AG4523="","",INDEX('quitado Despesa'!$G$1:$G$12,AG4523))</f>
        <v/>
      </c>
      <c r="AJ4523" s="17" t="str">
        <f t="shared" si="3"/>
        <v/>
      </c>
    </row>
    <row r="4524" spans="31:36">
      <c r="AE4524" s="15" t="str">
        <f t="shared" si="0"/>
        <v/>
      </c>
      <c r="AF4524" s="15" t="str">
        <f t="shared" si="1"/>
        <v/>
      </c>
      <c r="AG4524" s="15" t="str">
        <f>IF(OR(AF4524="",AF4524="ERRO_CHAVE"),"",IFERROR(MATCH(AF4524,'quitado Despesa'!$V$1:$V$12,0),""))</f>
        <v/>
      </c>
      <c r="AH4524" s="15" t="str">
        <f t="shared" si="2"/>
        <v/>
      </c>
      <c r="AI4524" s="17" t="str">
        <f>IF(AG4524="","",INDEX('quitado Despesa'!$G$1:$G$12,AG4524))</f>
        <v/>
      </c>
      <c r="AJ4524" s="17" t="str">
        <f t="shared" si="3"/>
        <v/>
      </c>
    </row>
    <row r="4525" spans="31:36">
      <c r="AE4525" s="15" t="str">
        <f t="shared" si="0"/>
        <v/>
      </c>
      <c r="AF4525" s="15" t="str">
        <f t="shared" si="1"/>
        <v/>
      </c>
      <c r="AG4525" s="15" t="str">
        <f>IF(OR(AF4525="",AF4525="ERRO_CHAVE"),"",IFERROR(MATCH(AF4525,'quitado Despesa'!$V$1:$V$12,0),""))</f>
        <v/>
      </c>
      <c r="AH4525" s="15" t="str">
        <f t="shared" si="2"/>
        <v/>
      </c>
      <c r="AI4525" s="17" t="str">
        <f>IF(AG4525="","",INDEX('quitado Despesa'!$G$1:$G$12,AG4525))</f>
        <v/>
      </c>
      <c r="AJ4525" s="17" t="str">
        <f t="shared" si="3"/>
        <v/>
      </c>
    </row>
    <row r="4526" spans="31:36">
      <c r="AE4526" s="15" t="str">
        <f t="shared" si="0"/>
        <v/>
      </c>
      <c r="AF4526" s="15" t="str">
        <f t="shared" si="1"/>
        <v/>
      </c>
      <c r="AG4526" s="15" t="str">
        <f>IF(OR(AF4526="",AF4526="ERRO_CHAVE"),"",IFERROR(MATCH(AF4526,'quitado Despesa'!$V$1:$V$12,0),""))</f>
        <v/>
      </c>
      <c r="AH4526" s="15" t="str">
        <f t="shared" si="2"/>
        <v/>
      </c>
      <c r="AI4526" s="17" t="str">
        <f>IF(AG4526="","",INDEX('quitado Despesa'!$G$1:$G$12,AG4526))</f>
        <v/>
      </c>
      <c r="AJ4526" s="17" t="str">
        <f t="shared" si="3"/>
        <v/>
      </c>
    </row>
    <row r="4527" spans="31:36">
      <c r="AE4527" s="15" t="str">
        <f t="shared" si="0"/>
        <v/>
      </c>
      <c r="AF4527" s="15" t="str">
        <f t="shared" si="1"/>
        <v/>
      </c>
      <c r="AG4527" s="15" t="str">
        <f>IF(OR(AF4527="",AF4527="ERRO_CHAVE"),"",IFERROR(MATCH(AF4527,'quitado Despesa'!$V$1:$V$12,0),""))</f>
        <v/>
      </c>
      <c r="AH4527" s="15" t="str">
        <f t="shared" si="2"/>
        <v/>
      </c>
      <c r="AI4527" s="17" t="str">
        <f>IF(AG4527="","",INDEX('quitado Despesa'!$G$1:$G$12,AG4527))</f>
        <v/>
      </c>
      <c r="AJ4527" s="17" t="str">
        <f t="shared" si="3"/>
        <v/>
      </c>
    </row>
    <row r="4528" spans="31:36">
      <c r="AE4528" s="15" t="str">
        <f t="shared" si="0"/>
        <v/>
      </c>
      <c r="AF4528" s="15" t="str">
        <f t="shared" si="1"/>
        <v/>
      </c>
      <c r="AG4528" s="15" t="str">
        <f>IF(OR(AF4528="",AF4528="ERRO_CHAVE"),"",IFERROR(MATCH(AF4528,'quitado Despesa'!$V$1:$V$12,0),""))</f>
        <v/>
      </c>
      <c r="AH4528" s="15" t="str">
        <f t="shared" si="2"/>
        <v/>
      </c>
      <c r="AI4528" s="17" t="str">
        <f>IF(AG4528="","",INDEX('quitado Despesa'!$G$1:$G$12,AG4528))</f>
        <v/>
      </c>
      <c r="AJ4528" s="17" t="str">
        <f t="shared" si="3"/>
        <v/>
      </c>
    </row>
    <row r="4529" spans="31:36">
      <c r="AE4529" s="15" t="str">
        <f t="shared" si="0"/>
        <v/>
      </c>
      <c r="AF4529" s="15" t="str">
        <f t="shared" si="1"/>
        <v/>
      </c>
      <c r="AG4529" s="15" t="str">
        <f>IF(OR(AF4529="",AF4529="ERRO_CHAVE"),"",IFERROR(MATCH(AF4529,'quitado Despesa'!$V$1:$V$12,0),""))</f>
        <v/>
      </c>
      <c r="AH4529" s="15" t="str">
        <f t="shared" si="2"/>
        <v/>
      </c>
      <c r="AI4529" s="17" t="str">
        <f>IF(AG4529="","",INDEX('quitado Despesa'!$G$1:$G$12,AG4529))</f>
        <v/>
      </c>
      <c r="AJ4529" s="17" t="str">
        <f t="shared" si="3"/>
        <v/>
      </c>
    </row>
    <row r="4530" spans="31:36">
      <c r="AE4530" s="15" t="str">
        <f t="shared" si="0"/>
        <v/>
      </c>
      <c r="AF4530" s="15" t="str">
        <f t="shared" si="1"/>
        <v/>
      </c>
      <c r="AG4530" s="15" t="str">
        <f>IF(OR(AF4530="",AF4530="ERRO_CHAVE"),"",IFERROR(MATCH(AF4530,'quitado Despesa'!$V$1:$V$12,0),""))</f>
        <v/>
      </c>
      <c r="AH4530" s="15" t="str">
        <f t="shared" si="2"/>
        <v/>
      </c>
      <c r="AI4530" s="17" t="str">
        <f>IF(AG4530="","",INDEX('quitado Despesa'!$G$1:$G$12,AG4530))</f>
        <v/>
      </c>
      <c r="AJ4530" s="17" t="str">
        <f t="shared" si="3"/>
        <v/>
      </c>
    </row>
    <row r="4531" spans="31:36">
      <c r="AE4531" s="15" t="str">
        <f t="shared" si="0"/>
        <v/>
      </c>
      <c r="AF4531" s="15" t="str">
        <f t="shared" si="1"/>
        <v/>
      </c>
      <c r="AG4531" s="15" t="str">
        <f>IF(OR(AF4531="",AF4531="ERRO_CHAVE"),"",IFERROR(MATCH(AF4531,'quitado Despesa'!$V$1:$V$12,0),""))</f>
        <v/>
      </c>
      <c r="AH4531" s="15" t="str">
        <f t="shared" si="2"/>
        <v/>
      </c>
      <c r="AI4531" s="17" t="str">
        <f>IF(AG4531="","",INDEX('quitado Despesa'!$G$1:$G$12,AG4531))</f>
        <v/>
      </c>
      <c r="AJ4531" s="17" t="str">
        <f t="shared" si="3"/>
        <v/>
      </c>
    </row>
    <row r="4532" spans="31:36">
      <c r="AE4532" s="15" t="str">
        <f t="shared" si="0"/>
        <v/>
      </c>
      <c r="AF4532" s="15" t="str">
        <f t="shared" si="1"/>
        <v/>
      </c>
      <c r="AG4532" s="15" t="str">
        <f>IF(OR(AF4532="",AF4532="ERRO_CHAVE"),"",IFERROR(MATCH(AF4532,'quitado Despesa'!$V$1:$V$12,0),""))</f>
        <v/>
      </c>
      <c r="AH4532" s="15" t="str">
        <f t="shared" si="2"/>
        <v/>
      </c>
      <c r="AI4532" s="17" t="str">
        <f>IF(AG4532="","",INDEX('quitado Despesa'!$G$1:$G$12,AG4532))</f>
        <v/>
      </c>
      <c r="AJ4532" s="17" t="str">
        <f t="shared" si="3"/>
        <v/>
      </c>
    </row>
    <row r="4533" spans="31:36">
      <c r="AE4533" s="15" t="str">
        <f t="shared" si="0"/>
        <v/>
      </c>
      <c r="AF4533" s="15" t="str">
        <f t="shared" si="1"/>
        <v/>
      </c>
      <c r="AG4533" s="15" t="str">
        <f>IF(OR(AF4533="",AF4533="ERRO_CHAVE"),"",IFERROR(MATCH(AF4533,'quitado Despesa'!$V$1:$V$12,0),""))</f>
        <v/>
      </c>
      <c r="AH4533" s="15" t="str">
        <f t="shared" si="2"/>
        <v/>
      </c>
      <c r="AI4533" s="17" t="str">
        <f>IF(AG4533="","",INDEX('quitado Despesa'!$G$1:$G$12,AG4533))</f>
        <v/>
      </c>
      <c r="AJ4533" s="17" t="str">
        <f t="shared" si="3"/>
        <v/>
      </c>
    </row>
    <row r="4534" spans="31:36">
      <c r="AE4534" s="15" t="str">
        <f t="shared" si="0"/>
        <v/>
      </c>
      <c r="AF4534" s="15" t="str">
        <f t="shared" si="1"/>
        <v/>
      </c>
      <c r="AG4534" s="15" t="str">
        <f>IF(OR(AF4534="",AF4534="ERRO_CHAVE"),"",IFERROR(MATCH(AF4534,'quitado Despesa'!$V$1:$V$12,0),""))</f>
        <v/>
      </c>
      <c r="AH4534" s="15" t="str">
        <f t="shared" si="2"/>
        <v/>
      </c>
      <c r="AI4534" s="17" t="str">
        <f>IF(AG4534="","",INDEX('quitado Despesa'!$G$1:$G$12,AG4534))</f>
        <v/>
      </c>
      <c r="AJ4534" s="17" t="str">
        <f t="shared" si="3"/>
        <v/>
      </c>
    </row>
    <row r="4535" spans="31:36">
      <c r="AE4535" s="15" t="str">
        <f t="shared" si="0"/>
        <v/>
      </c>
      <c r="AF4535" s="15" t="str">
        <f t="shared" si="1"/>
        <v/>
      </c>
      <c r="AG4535" s="15" t="str">
        <f>IF(OR(AF4535="",AF4535="ERRO_CHAVE"),"",IFERROR(MATCH(AF4535,'quitado Despesa'!$V$1:$V$12,0),""))</f>
        <v/>
      </c>
      <c r="AH4535" s="15" t="str">
        <f t="shared" si="2"/>
        <v/>
      </c>
      <c r="AI4535" s="17" t="str">
        <f>IF(AG4535="","",INDEX('quitado Despesa'!$G$1:$G$12,AG4535))</f>
        <v/>
      </c>
      <c r="AJ4535" s="17" t="str">
        <f t="shared" si="3"/>
        <v/>
      </c>
    </row>
    <row r="4536" spans="31:36">
      <c r="AE4536" s="15" t="str">
        <f t="shared" si="0"/>
        <v/>
      </c>
      <c r="AF4536" s="15" t="str">
        <f t="shared" si="1"/>
        <v/>
      </c>
      <c r="AG4536" s="15" t="str">
        <f>IF(OR(AF4536="",AF4536="ERRO_CHAVE"),"",IFERROR(MATCH(AF4536,'quitado Despesa'!$V$1:$V$12,0),""))</f>
        <v/>
      </c>
      <c r="AH4536" s="15" t="str">
        <f t="shared" si="2"/>
        <v/>
      </c>
      <c r="AI4536" s="17" t="str">
        <f>IF(AG4536="","",INDEX('quitado Despesa'!$G$1:$G$12,AG4536))</f>
        <v/>
      </c>
      <c r="AJ4536" s="17" t="str">
        <f t="shared" si="3"/>
        <v/>
      </c>
    </row>
    <row r="4537" spans="31:36">
      <c r="AE4537" s="15" t="str">
        <f t="shared" si="0"/>
        <v/>
      </c>
      <c r="AF4537" s="15" t="str">
        <f t="shared" si="1"/>
        <v/>
      </c>
      <c r="AG4537" s="15" t="str">
        <f>IF(OR(AF4537="",AF4537="ERRO_CHAVE"),"",IFERROR(MATCH(AF4537,'quitado Despesa'!$V$1:$V$12,0),""))</f>
        <v/>
      </c>
      <c r="AH4537" s="15" t="str">
        <f t="shared" si="2"/>
        <v/>
      </c>
      <c r="AI4537" s="17" t="str">
        <f>IF(AG4537="","",INDEX('quitado Despesa'!$G$1:$G$12,AG4537))</f>
        <v/>
      </c>
      <c r="AJ4537" s="17" t="str">
        <f t="shared" si="3"/>
        <v/>
      </c>
    </row>
    <row r="4538" spans="31:36">
      <c r="AE4538" s="15" t="str">
        <f t="shared" si="0"/>
        <v/>
      </c>
      <c r="AF4538" s="15" t="str">
        <f t="shared" si="1"/>
        <v/>
      </c>
      <c r="AG4538" s="15" t="str">
        <f>IF(OR(AF4538="",AF4538="ERRO_CHAVE"),"",IFERROR(MATCH(AF4538,'quitado Despesa'!$V$1:$V$12,0),""))</f>
        <v/>
      </c>
      <c r="AH4538" s="15" t="str">
        <f t="shared" si="2"/>
        <v/>
      </c>
      <c r="AI4538" s="17" t="str">
        <f>IF(AG4538="","",INDEX('quitado Despesa'!$G$1:$G$12,AG4538))</f>
        <v/>
      </c>
      <c r="AJ4538" s="17" t="str">
        <f t="shared" si="3"/>
        <v/>
      </c>
    </row>
    <row r="4539" spans="31:36">
      <c r="AE4539" s="15" t="str">
        <f t="shared" si="0"/>
        <v/>
      </c>
      <c r="AF4539" s="15" t="str">
        <f t="shared" si="1"/>
        <v/>
      </c>
      <c r="AG4539" s="15" t="str">
        <f>IF(OR(AF4539="",AF4539="ERRO_CHAVE"),"",IFERROR(MATCH(AF4539,'quitado Despesa'!$V$1:$V$12,0),""))</f>
        <v/>
      </c>
      <c r="AH4539" s="15" t="str">
        <f t="shared" si="2"/>
        <v/>
      </c>
      <c r="AI4539" s="17" t="str">
        <f>IF(AG4539="","",INDEX('quitado Despesa'!$G$1:$G$12,AG4539))</f>
        <v/>
      </c>
      <c r="AJ4539" s="17" t="str">
        <f t="shared" si="3"/>
        <v/>
      </c>
    </row>
    <row r="4540" spans="31:36">
      <c r="AE4540" s="15" t="str">
        <f t="shared" si="0"/>
        <v/>
      </c>
      <c r="AF4540" s="15" t="str">
        <f t="shared" si="1"/>
        <v/>
      </c>
      <c r="AG4540" s="15" t="str">
        <f>IF(OR(AF4540="",AF4540="ERRO_CHAVE"),"",IFERROR(MATCH(AF4540,'quitado Despesa'!$V$1:$V$12,0),""))</f>
        <v/>
      </c>
      <c r="AH4540" s="15" t="str">
        <f t="shared" si="2"/>
        <v/>
      </c>
      <c r="AI4540" s="17" t="str">
        <f>IF(AG4540="","",INDEX('quitado Despesa'!$G$1:$G$12,AG4540))</f>
        <v/>
      </c>
      <c r="AJ4540" s="17" t="str">
        <f t="shared" si="3"/>
        <v/>
      </c>
    </row>
    <row r="4541" spans="31:36">
      <c r="AE4541" s="15" t="str">
        <f t="shared" si="0"/>
        <v/>
      </c>
      <c r="AF4541" s="15" t="str">
        <f t="shared" si="1"/>
        <v/>
      </c>
      <c r="AG4541" s="15" t="str">
        <f>IF(OR(AF4541="",AF4541="ERRO_CHAVE"),"",IFERROR(MATCH(AF4541,'quitado Despesa'!$V$1:$V$12,0),""))</f>
        <v/>
      </c>
      <c r="AH4541" s="15" t="str">
        <f t="shared" si="2"/>
        <v/>
      </c>
      <c r="AI4541" s="17" t="str">
        <f>IF(AG4541="","",INDEX('quitado Despesa'!$G$1:$G$12,AG4541))</f>
        <v/>
      </c>
      <c r="AJ4541" s="17" t="str">
        <f t="shared" si="3"/>
        <v/>
      </c>
    </row>
    <row r="4542" spans="31:36">
      <c r="AE4542" s="15" t="str">
        <f t="shared" si="0"/>
        <v/>
      </c>
      <c r="AF4542" s="15" t="str">
        <f t="shared" si="1"/>
        <v/>
      </c>
      <c r="AG4542" s="15" t="str">
        <f>IF(OR(AF4542="",AF4542="ERRO_CHAVE"),"",IFERROR(MATCH(AF4542,'quitado Despesa'!$V$1:$V$12,0),""))</f>
        <v/>
      </c>
      <c r="AH4542" s="15" t="str">
        <f t="shared" si="2"/>
        <v/>
      </c>
      <c r="AI4542" s="17" t="str">
        <f>IF(AG4542="","",INDEX('quitado Despesa'!$G$1:$G$12,AG4542))</f>
        <v/>
      </c>
      <c r="AJ4542" s="17" t="str">
        <f t="shared" si="3"/>
        <v/>
      </c>
    </row>
    <row r="4543" spans="31:36">
      <c r="AE4543" s="15" t="str">
        <f t="shared" si="0"/>
        <v/>
      </c>
      <c r="AF4543" s="15" t="str">
        <f t="shared" si="1"/>
        <v/>
      </c>
      <c r="AG4543" s="15" t="str">
        <f>IF(OR(AF4543="",AF4543="ERRO_CHAVE"),"",IFERROR(MATCH(AF4543,'quitado Despesa'!$V$1:$V$12,0),""))</f>
        <v/>
      </c>
      <c r="AH4543" s="15" t="str">
        <f t="shared" si="2"/>
        <v/>
      </c>
      <c r="AI4543" s="17" t="str">
        <f>IF(AG4543="","",INDEX('quitado Despesa'!$G$1:$G$12,AG4543))</f>
        <v/>
      </c>
      <c r="AJ4543" s="17" t="str">
        <f t="shared" si="3"/>
        <v/>
      </c>
    </row>
    <row r="4544" spans="31:36">
      <c r="AE4544" s="15" t="str">
        <f t="shared" si="0"/>
        <v/>
      </c>
      <c r="AF4544" s="15" t="str">
        <f t="shared" si="1"/>
        <v/>
      </c>
      <c r="AG4544" s="15" t="str">
        <f>IF(OR(AF4544="",AF4544="ERRO_CHAVE"),"",IFERROR(MATCH(AF4544,'quitado Despesa'!$V$1:$V$12,0),""))</f>
        <v/>
      </c>
      <c r="AH4544" s="15" t="str">
        <f t="shared" si="2"/>
        <v/>
      </c>
      <c r="AI4544" s="17" t="str">
        <f>IF(AG4544="","",INDEX('quitado Despesa'!$G$1:$G$12,AG4544))</f>
        <v/>
      </c>
      <c r="AJ4544" s="17" t="str">
        <f t="shared" si="3"/>
        <v/>
      </c>
    </row>
    <row r="4545" spans="31:36">
      <c r="AE4545" s="15" t="str">
        <f t="shared" si="0"/>
        <v/>
      </c>
      <c r="AF4545" s="15" t="str">
        <f t="shared" si="1"/>
        <v/>
      </c>
      <c r="AG4545" s="15" t="str">
        <f>IF(OR(AF4545="",AF4545="ERRO_CHAVE"),"",IFERROR(MATCH(AF4545,'quitado Despesa'!$V$1:$V$12,0),""))</f>
        <v/>
      </c>
      <c r="AH4545" s="15" t="str">
        <f t="shared" si="2"/>
        <v/>
      </c>
      <c r="AI4545" s="17" t="str">
        <f>IF(AG4545="","",INDEX('quitado Despesa'!$G$1:$G$12,AG4545))</f>
        <v/>
      </c>
      <c r="AJ4545" s="17" t="str">
        <f t="shared" si="3"/>
        <v/>
      </c>
    </row>
    <row r="4546" spans="31:36">
      <c r="AE4546" s="15" t="str">
        <f t="shared" si="0"/>
        <v/>
      </c>
      <c r="AF4546" s="15" t="str">
        <f t="shared" si="1"/>
        <v/>
      </c>
      <c r="AG4546" s="15" t="str">
        <f>IF(OR(AF4546="",AF4546="ERRO_CHAVE"),"",IFERROR(MATCH(AF4546,'quitado Despesa'!$V$1:$V$12,0),""))</f>
        <v/>
      </c>
      <c r="AH4546" s="15" t="str">
        <f t="shared" si="2"/>
        <v/>
      </c>
      <c r="AI4546" s="17" t="str">
        <f>IF(AG4546="","",INDEX('quitado Despesa'!$G$1:$G$12,AG4546))</f>
        <v/>
      </c>
      <c r="AJ4546" s="17" t="str">
        <f t="shared" si="3"/>
        <v/>
      </c>
    </row>
    <row r="4547" spans="31:36">
      <c r="AE4547" s="15" t="str">
        <f t="shared" si="0"/>
        <v/>
      </c>
      <c r="AF4547" s="15" t="str">
        <f t="shared" si="1"/>
        <v/>
      </c>
      <c r="AG4547" s="15" t="str">
        <f>IF(OR(AF4547="",AF4547="ERRO_CHAVE"),"",IFERROR(MATCH(AF4547,'quitado Despesa'!$V$1:$V$12,0),""))</f>
        <v/>
      </c>
      <c r="AH4547" s="15" t="str">
        <f t="shared" si="2"/>
        <v/>
      </c>
      <c r="AI4547" s="17" t="str">
        <f>IF(AG4547="","",INDEX('quitado Despesa'!$G$1:$G$12,AG4547))</f>
        <v/>
      </c>
      <c r="AJ4547" s="17" t="str">
        <f t="shared" si="3"/>
        <v/>
      </c>
    </row>
    <row r="4548" spans="31:36">
      <c r="AE4548" s="15" t="str">
        <f t="shared" si="0"/>
        <v/>
      </c>
      <c r="AF4548" s="15" t="str">
        <f t="shared" si="1"/>
        <v/>
      </c>
      <c r="AG4548" s="15" t="str">
        <f>IF(OR(AF4548="",AF4548="ERRO_CHAVE"),"",IFERROR(MATCH(AF4548,'quitado Despesa'!$V$1:$V$12,0),""))</f>
        <v/>
      </c>
      <c r="AH4548" s="15" t="str">
        <f t="shared" si="2"/>
        <v/>
      </c>
      <c r="AI4548" s="17" t="str">
        <f>IF(AG4548="","",INDEX('quitado Despesa'!$G$1:$G$12,AG4548))</f>
        <v/>
      </c>
      <c r="AJ4548" s="17" t="str">
        <f t="shared" si="3"/>
        <v/>
      </c>
    </row>
    <row r="4549" spans="31:36">
      <c r="AE4549" s="15" t="str">
        <f t="shared" si="0"/>
        <v/>
      </c>
      <c r="AF4549" s="15" t="str">
        <f t="shared" si="1"/>
        <v/>
      </c>
      <c r="AG4549" s="15" t="str">
        <f>IF(OR(AF4549="",AF4549="ERRO_CHAVE"),"",IFERROR(MATCH(AF4549,'quitado Despesa'!$V$1:$V$12,0),""))</f>
        <v/>
      </c>
      <c r="AH4549" s="15" t="str">
        <f t="shared" si="2"/>
        <v/>
      </c>
      <c r="AI4549" s="17" t="str">
        <f>IF(AG4549="","",INDEX('quitado Despesa'!$G$1:$G$12,AG4549))</f>
        <v/>
      </c>
      <c r="AJ4549" s="17" t="str">
        <f t="shared" si="3"/>
        <v/>
      </c>
    </row>
    <row r="4550" spans="31:36">
      <c r="AE4550" s="15" t="str">
        <f t="shared" si="0"/>
        <v/>
      </c>
      <c r="AF4550" s="15" t="str">
        <f t="shared" si="1"/>
        <v/>
      </c>
      <c r="AG4550" s="15" t="str">
        <f>IF(OR(AF4550="",AF4550="ERRO_CHAVE"),"",IFERROR(MATCH(AF4550,'quitado Despesa'!$V$1:$V$12,0),""))</f>
        <v/>
      </c>
      <c r="AH4550" s="15" t="str">
        <f t="shared" si="2"/>
        <v/>
      </c>
      <c r="AI4550" s="17" t="str">
        <f>IF(AG4550="","",INDEX('quitado Despesa'!$G$1:$G$12,AG4550))</f>
        <v/>
      </c>
      <c r="AJ4550" s="17" t="str">
        <f t="shared" si="3"/>
        <v/>
      </c>
    </row>
    <row r="4551" spans="31:36">
      <c r="AE4551" s="15" t="str">
        <f t="shared" si="0"/>
        <v/>
      </c>
      <c r="AF4551" s="15" t="str">
        <f t="shared" si="1"/>
        <v/>
      </c>
      <c r="AG4551" s="15" t="str">
        <f>IF(OR(AF4551="",AF4551="ERRO_CHAVE"),"",IFERROR(MATCH(AF4551,'quitado Despesa'!$V$1:$V$12,0),""))</f>
        <v/>
      </c>
      <c r="AH4551" s="15" t="str">
        <f t="shared" si="2"/>
        <v/>
      </c>
      <c r="AI4551" s="17" t="str">
        <f>IF(AG4551="","",INDEX('quitado Despesa'!$G$1:$G$12,AG4551))</f>
        <v/>
      </c>
      <c r="AJ4551" s="17" t="str">
        <f t="shared" si="3"/>
        <v/>
      </c>
    </row>
    <row r="4552" spans="31:36">
      <c r="AE4552" s="15" t="str">
        <f t="shared" si="0"/>
        <v/>
      </c>
      <c r="AF4552" s="15" t="str">
        <f t="shared" si="1"/>
        <v/>
      </c>
      <c r="AG4552" s="15" t="str">
        <f>IF(OR(AF4552="",AF4552="ERRO_CHAVE"),"",IFERROR(MATCH(AF4552,'quitado Despesa'!$V$1:$V$12,0),""))</f>
        <v/>
      </c>
      <c r="AH4552" s="15" t="str">
        <f t="shared" si="2"/>
        <v/>
      </c>
      <c r="AI4552" s="17" t="str">
        <f>IF(AG4552="","",INDEX('quitado Despesa'!$G$1:$G$12,AG4552))</f>
        <v/>
      </c>
      <c r="AJ4552" s="17" t="str">
        <f t="shared" si="3"/>
        <v/>
      </c>
    </row>
    <row r="4553" spans="31:36">
      <c r="AE4553" s="15" t="str">
        <f t="shared" si="0"/>
        <v/>
      </c>
      <c r="AF4553" s="15" t="str">
        <f t="shared" si="1"/>
        <v/>
      </c>
      <c r="AG4553" s="15" t="str">
        <f>IF(OR(AF4553="",AF4553="ERRO_CHAVE"),"",IFERROR(MATCH(AF4553,'quitado Despesa'!$V$1:$V$12,0),""))</f>
        <v/>
      </c>
      <c r="AH4553" s="15" t="str">
        <f t="shared" si="2"/>
        <v/>
      </c>
      <c r="AI4553" s="17" t="str">
        <f>IF(AG4553="","",INDEX('quitado Despesa'!$G$1:$G$12,AG4553))</f>
        <v/>
      </c>
      <c r="AJ4553" s="17" t="str">
        <f t="shared" si="3"/>
        <v/>
      </c>
    </row>
    <row r="4554" spans="31:36">
      <c r="AE4554" s="15" t="str">
        <f t="shared" si="0"/>
        <v/>
      </c>
      <c r="AF4554" s="15" t="str">
        <f t="shared" si="1"/>
        <v/>
      </c>
      <c r="AG4554" s="15" t="str">
        <f>IF(OR(AF4554="",AF4554="ERRO_CHAVE"),"",IFERROR(MATCH(AF4554,'quitado Despesa'!$V$1:$V$12,0),""))</f>
        <v/>
      </c>
      <c r="AH4554" s="15" t="str">
        <f t="shared" si="2"/>
        <v/>
      </c>
      <c r="AI4554" s="17" t="str">
        <f>IF(AG4554="","",INDEX('quitado Despesa'!$G$1:$G$12,AG4554))</f>
        <v/>
      </c>
      <c r="AJ4554" s="17" t="str">
        <f t="shared" si="3"/>
        <v/>
      </c>
    </row>
    <row r="4555" spans="31:36">
      <c r="AE4555" s="15" t="str">
        <f t="shared" si="0"/>
        <v/>
      </c>
      <c r="AF4555" s="15" t="str">
        <f t="shared" si="1"/>
        <v/>
      </c>
      <c r="AG4555" s="15" t="str">
        <f>IF(OR(AF4555="",AF4555="ERRO_CHAVE"),"",IFERROR(MATCH(AF4555,'quitado Despesa'!$V$1:$V$12,0),""))</f>
        <v/>
      </c>
      <c r="AH4555" s="15" t="str">
        <f t="shared" si="2"/>
        <v/>
      </c>
      <c r="AI4555" s="17" t="str">
        <f>IF(AG4555="","",INDEX('quitado Despesa'!$G$1:$G$12,AG4555))</f>
        <v/>
      </c>
      <c r="AJ4555" s="17" t="str">
        <f t="shared" si="3"/>
        <v/>
      </c>
    </row>
    <row r="4556" spans="31:36">
      <c r="AE4556" s="15" t="str">
        <f t="shared" si="0"/>
        <v/>
      </c>
      <c r="AF4556" s="15" t="str">
        <f t="shared" si="1"/>
        <v/>
      </c>
      <c r="AG4556" s="15" t="str">
        <f>IF(OR(AF4556="",AF4556="ERRO_CHAVE"),"",IFERROR(MATCH(AF4556,'quitado Despesa'!$V$1:$V$12,0),""))</f>
        <v/>
      </c>
      <c r="AH4556" s="15" t="str">
        <f t="shared" si="2"/>
        <v/>
      </c>
      <c r="AI4556" s="17" t="str">
        <f>IF(AG4556="","",INDEX('quitado Despesa'!$G$1:$G$12,AG4556))</f>
        <v/>
      </c>
      <c r="AJ4556" s="17" t="str">
        <f t="shared" si="3"/>
        <v/>
      </c>
    </row>
    <row r="4557" spans="31:36">
      <c r="AE4557" s="15" t="str">
        <f t="shared" si="0"/>
        <v/>
      </c>
      <c r="AF4557" s="15" t="str">
        <f t="shared" si="1"/>
        <v/>
      </c>
      <c r="AG4557" s="15" t="str">
        <f>IF(OR(AF4557="",AF4557="ERRO_CHAVE"),"",IFERROR(MATCH(AF4557,'quitado Despesa'!$V$1:$V$12,0),""))</f>
        <v/>
      </c>
      <c r="AH4557" s="15" t="str">
        <f t="shared" si="2"/>
        <v/>
      </c>
      <c r="AI4557" s="17" t="str">
        <f>IF(AG4557="","",INDEX('quitado Despesa'!$G$1:$G$12,AG4557))</f>
        <v/>
      </c>
      <c r="AJ4557" s="17" t="str">
        <f t="shared" si="3"/>
        <v/>
      </c>
    </row>
    <row r="4558" spans="31:36">
      <c r="AE4558" s="15" t="str">
        <f t="shared" si="0"/>
        <v/>
      </c>
      <c r="AF4558" s="15" t="str">
        <f t="shared" si="1"/>
        <v/>
      </c>
      <c r="AG4558" s="15" t="str">
        <f>IF(OR(AF4558="",AF4558="ERRO_CHAVE"),"",IFERROR(MATCH(AF4558,'quitado Despesa'!$V$1:$V$12,0),""))</f>
        <v/>
      </c>
      <c r="AH4558" s="15" t="str">
        <f t="shared" si="2"/>
        <v/>
      </c>
      <c r="AI4558" s="17" t="str">
        <f>IF(AG4558="","",INDEX('quitado Despesa'!$G$1:$G$12,AG4558))</f>
        <v/>
      </c>
      <c r="AJ4558" s="17" t="str">
        <f t="shared" si="3"/>
        <v/>
      </c>
    </row>
    <row r="4559" spans="31:36">
      <c r="AE4559" s="15" t="str">
        <f t="shared" si="0"/>
        <v/>
      </c>
      <c r="AF4559" s="15" t="str">
        <f t="shared" si="1"/>
        <v/>
      </c>
      <c r="AG4559" s="15" t="str">
        <f>IF(OR(AF4559="",AF4559="ERRO_CHAVE"),"",IFERROR(MATCH(AF4559,'quitado Despesa'!$V$1:$V$12,0),""))</f>
        <v/>
      </c>
      <c r="AH4559" s="15" t="str">
        <f t="shared" si="2"/>
        <v/>
      </c>
      <c r="AI4559" s="17" t="str">
        <f>IF(AG4559="","",INDEX('quitado Despesa'!$G$1:$G$12,AG4559))</f>
        <v/>
      </c>
      <c r="AJ4559" s="17" t="str">
        <f t="shared" si="3"/>
        <v/>
      </c>
    </row>
    <row r="4560" spans="31:36">
      <c r="AE4560" s="15" t="str">
        <f t="shared" si="0"/>
        <v/>
      </c>
      <c r="AF4560" s="15" t="str">
        <f t="shared" si="1"/>
        <v/>
      </c>
      <c r="AG4560" s="15" t="str">
        <f>IF(OR(AF4560="",AF4560="ERRO_CHAVE"),"",IFERROR(MATCH(AF4560,'quitado Despesa'!$V$1:$V$12,0),""))</f>
        <v/>
      </c>
      <c r="AH4560" s="15" t="str">
        <f t="shared" si="2"/>
        <v/>
      </c>
      <c r="AI4560" s="17" t="str">
        <f>IF(AG4560="","",INDEX('quitado Despesa'!$G$1:$G$12,AG4560))</f>
        <v/>
      </c>
      <c r="AJ4560" s="17" t="str">
        <f t="shared" si="3"/>
        <v/>
      </c>
    </row>
    <row r="4561" spans="31:36">
      <c r="AE4561" s="15" t="str">
        <f t="shared" si="0"/>
        <v/>
      </c>
      <c r="AF4561" s="15" t="str">
        <f t="shared" si="1"/>
        <v/>
      </c>
      <c r="AG4561" s="15" t="str">
        <f>IF(OR(AF4561="",AF4561="ERRO_CHAVE"),"",IFERROR(MATCH(AF4561,'quitado Despesa'!$V$1:$V$12,0),""))</f>
        <v/>
      </c>
      <c r="AH4561" s="15" t="str">
        <f t="shared" si="2"/>
        <v/>
      </c>
      <c r="AI4561" s="17" t="str">
        <f>IF(AG4561="","",INDEX('quitado Despesa'!$G$1:$G$12,AG4561))</f>
        <v/>
      </c>
      <c r="AJ4561" s="17" t="str">
        <f t="shared" si="3"/>
        <v/>
      </c>
    </row>
    <row r="4562" spans="31:36">
      <c r="AE4562" s="15" t="str">
        <f t="shared" si="0"/>
        <v/>
      </c>
      <c r="AF4562" s="15" t="str">
        <f t="shared" si="1"/>
        <v/>
      </c>
      <c r="AG4562" s="15" t="str">
        <f>IF(OR(AF4562="",AF4562="ERRO_CHAVE"),"",IFERROR(MATCH(AF4562,'quitado Despesa'!$V$1:$V$12,0),""))</f>
        <v/>
      </c>
      <c r="AH4562" s="15" t="str">
        <f t="shared" si="2"/>
        <v/>
      </c>
      <c r="AI4562" s="17" t="str">
        <f>IF(AG4562="","",INDEX('quitado Despesa'!$G$1:$G$12,AG4562))</f>
        <v/>
      </c>
      <c r="AJ4562" s="17" t="str">
        <f t="shared" si="3"/>
        <v/>
      </c>
    </row>
    <row r="4563" spans="31:36">
      <c r="AE4563" s="15" t="str">
        <f t="shared" si="0"/>
        <v/>
      </c>
      <c r="AF4563" s="15" t="str">
        <f t="shared" si="1"/>
        <v/>
      </c>
      <c r="AG4563" s="15" t="str">
        <f>IF(OR(AF4563="",AF4563="ERRO_CHAVE"),"",IFERROR(MATCH(AF4563,'quitado Despesa'!$V$1:$V$12,0),""))</f>
        <v/>
      </c>
      <c r="AH4563" s="15" t="str">
        <f t="shared" si="2"/>
        <v/>
      </c>
      <c r="AI4563" s="17" t="str">
        <f>IF(AG4563="","",INDEX('quitado Despesa'!$G$1:$G$12,AG4563))</f>
        <v/>
      </c>
      <c r="AJ4563" s="17" t="str">
        <f t="shared" si="3"/>
        <v/>
      </c>
    </row>
    <row r="4564" spans="31:36">
      <c r="AE4564" s="15" t="str">
        <f t="shared" si="0"/>
        <v/>
      </c>
      <c r="AF4564" s="15" t="str">
        <f t="shared" si="1"/>
        <v/>
      </c>
      <c r="AG4564" s="15" t="str">
        <f>IF(OR(AF4564="",AF4564="ERRO_CHAVE"),"",IFERROR(MATCH(AF4564,'quitado Despesa'!$V$1:$V$12,0),""))</f>
        <v/>
      </c>
      <c r="AH4564" s="15" t="str">
        <f t="shared" si="2"/>
        <v/>
      </c>
      <c r="AI4564" s="17" t="str">
        <f>IF(AG4564="","",INDEX('quitado Despesa'!$G$1:$G$12,AG4564))</f>
        <v/>
      </c>
      <c r="AJ4564" s="17" t="str">
        <f t="shared" si="3"/>
        <v/>
      </c>
    </row>
    <row r="4565" spans="31:36">
      <c r="AE4565" s="15" t="str">
        <f t="shared" si="0"/>
        <v/>
      </c>
      <c r="AF4565" s="15" t="str">
        <f t="shared" si="1"/>
        <v/>
      </c>
      <c r="AG4565" s="15" t="str">
        <f>IF(OR(AF4565="",AF4565="ERRO_CHAVE"),"",IFERROR(MATCH(AF4565,'quitado Despesa'!$V$1:$V$12,0),""))</f>
        <v/>
      </c>
      <c r="AH4565" s="15" t="str">
        <f t="shared" si="2"/>
        <v/>
      </c>
      <c r="AI4565" s="17" t="str">
        <f>IF(AG4565="","",INDEX('quitado Despesa'!$G$1:$G$12,AG4565))</f>
        <v/>
      </c>
      <c r="AJ4565" s="17" t="str">
        <f t="shared" si="3"/>
        <v/>
      </c>
    </row>
    <row r="4566" spans="31:36">
      <c r="AE4566" s="15" t="str">
        <f t="shared" si="0"/>
        <v/>
      </c>
      <c r="AF4566" s="15" t="str">
        <f t="shared" si="1"/>
        <v/>
      </c>
      <c r="AG4566" s="15" t="str">
        <f>IF(OR(AF4566="",AF4566="ERRO_CHAVE"),"",IFERROR(MATCH(AF4566,'quitado Despesa'!$V$1:$V$12,0),""))</f>
        <v/>
      </c>
      <c r="AH4566" s="15" t="str">
        <f t="shared" si="2"/>
        <v/>
      </c>
      <c r="AI4566" s="17" t="str">
        <f>IF(AG4566="","",INDEX('quitado Despesa'!$G$1:$G$12,AG4566))</f>
        <v/>
      </c>
      <c r="AJ4566" s="17" t="str">
        <f t="shared" si="3"/>
        <v/>
      </c>
    </row>
    <row r="4567" spans="31:36">
      <c r="AE4567" s="15" t="str">
        <f t="shared" si="0"/>
        <v/>
      </c>
      <c r="AF4567" s="15" t="str">
        <f t="shared" si="1"/>
        <v/>
      </c>
      <c r="AG4567" s="15" t="str">
        <f>IF(OR(AF4567="",AF4567="ERRO_CHAVE"),"",IFERROR(MATCH(AF4567,'quitado Despesa'!$V$1:$V$12,0),""))</f>
        <v/>
      </c>
      <c r="AH4567" s="15" t="str">
        <f t="shared" si="2"/>
        <v/>
      </c>
      <c r="AI4567" s="17" t="str">
        <f>IF(AG4567="","",INDEX('quitado Despesa'!$G$1:$G$12,AG4567))</f>
        <v/>
      </c>
      <c r="AJ4567" s="17" t="str">
        <f t="shared" si="3"/>
        <v/>
      </c>
    </row>
    <row r="4568" spans="31:36">
      <c r="AE4568" s="15" t="str">
        <f t="shared" si="0"/>
        <v/>
      </c>
      <c r="AF4568" s="15" t="str">
        <f t="shared" si="1"/>
        <v/>
      </c>
      <c r="AG4568" s="15" t="str">
        <f>IF(OR(AF4568="",AF4568="ERRO_CHAVE"),"",IFERROR(MATCH(AF4568,'quitado Despesa'!$V$1:$V$12,0),""))</f>
        <v/>
      </c>
      <c r="AH4568" s="15" t="str">
        <f t="shared" si="2"/>
        <v/>
      </c>
      <c r="AI4568" s="17" t="str">
        <f>IF(AG4568="","",INDEX('quitado Despesa'!$G$1:$G$12,AG4568))</f>
        <v/>
      </c>
      <c r="AJ4568" s="17" t="str">
        <f t="shared" si="3"/>
        <v/>
      </c>
    </row>
    <row r="4569" spans="31:36">
      <c r="AE4569" s="15" t="str">
        <f t="shared" si="0"/>
        <v/>
      </c>
      <c r="AF4569" s="15" t="str">
        <f t="shared" si="1"/>
        <v/>
      </c>
      <c r="AG4569" s="15" t="str">
        <f>IF(OR(AF4569="",AF4569="ERRO_CHAVE"),"",IFERROR(MATCH(AF4569,'quitado Despesa'!$V$1:$V$12,0),""))</f>
        <v/>
      </c>
      <c r="AH4569" s="15" t="str">
        <f t="shared" si="2"/>
        <v/>
      </c>
      <c r="AI4569" s="17" t="str">
        <f>IF(AG4569="","",INDEX('quitado Despesa'!$G$1:$G$12,AG4569))</f>
        <v/>
      </c>
      <c r="AJ4569" s="17" t="str">
        <f t="shared" si="3"/>
        <v/>
      </c>
    </row>
    <row r="4570" spans="31:36">
      <c r="AE4570" s="15" t="str">
        <f t="shared" si="0"/>
        <v/>
      </c>
      <c r="AF4570" s="15" t="str">
        <f t="shared" si="1"/>
        <v/>
      </c>
      <c r="AG4570" s="15" t="str">
        <f>IF(OR(AF4570="",AF4570="ERRO_CHAVE"),"",IFERROR(MATCH(AF4570,'quitado Despesa'!$V$1:$V$12,0),""))</f>
        <v/>
      </c>
      <c r="AH4570" s="15" t="str">
        <f t="shared" si="2"/>
        <v/>
      </c>
      <c r="AI4570" s="17" t="str">
        <f>IF(AG4570="","",INDEX('quitado Despesa'!$G$1:$G$12,AG4570))</f>
        <v/>
      </c>
      <c r="AJ4570" s="17" t="str">
        <f t="shared" si="3"/>
        <v/>
      </c>
    </row>
    <row r="4571" spans="31:36">
      <c r="AE4571" s="15" t="str">
        <f t="shared" si="0"/>
        <v/>
      </c>
      <c r="AF4571" s="15" t="str">
        <f t="shared" si="1"/>
        <v/>
      </c>
      <c r="AG4571" s="15" t="str">
        <f>IF(OR(AF4571="",AF4571="ERRO_CHAVE"),"",IFERROR(MATCH(AF4571,'quitado Despesa'!$V$1:$V$12,0),""))</f>
        <v/>
      </c>
      <c r="AH4571" s="15" t="str">
        <f t="shared" si="2"/>
        <v/>
      </c>
      <c r="AI4571" s="17" t="str">
        <f>IF(AG4571="","",INDEX('quitado Despesa'!$G$1:$G$12,AG4571))</f>
        <v/>
      </c>
      <c r="AJ4571" s="17" t="str">
        <f t="shared" si="3"/>
        <v/>
      </c>
    </row>
    <row r="4572" spans="31:36">
      <c r="AE4572" s="15" t="str">
        <f t="shared" si="0"/>
        <v/>
      </c>
      <c r="AF4572" s="15" t="str">
        <f t="shared" si="1"/>
        <v/>
      </c>
      <c r="AG4572" s="15" t="str">
        <f>IF(OR(AF4572="",AF4572="ERRO_CHAVE"),"",IFERROR(MATCH(AF4572,'quitado Despesa'!$V$1:$V$12,0),""))</f>
        <v/>
      </c>
      <c r="AH4572" s="15" t="str">
        <f t="shared" si="2"/>
        <v/>
      </c>
      <c r="AI4572" s="17" t="str">
        <f>IF(AG4572="","",INDEX('quitado Despesa'!$G$1:$G$12,AG4572))</f>
        <v/>
      </c>
      <c r="AJ4572" s="17" t="str">
        <f t="shared" si="3"/>
        <v/>
      </c>
    </row>
    <row r="4573" spans="31:36">
      <c r="AE4573" s="15" t="str">
        <f t="shared" si="0"/>
        <v/>
      </c>
      <c r="AF4573" s="15" t="str">
        <f t="shared" si="1"/>
        <v/>
      </c>
      <c r="AG4573" s="15" t="str">
        <f>IF(OR(AF4573="",AF4573="ERRO_CHAVE"),"",IFERROR(MATCH(AF4573,'quitado Despesa'!$V$1:$V$12,0),""))</f>
        <v/>
      </c>
      <c r="AH4573" s="15" t="str">
        <f t="shared" si="2"/>
        <v/>
      </c>
      <c r="AI4573" s="17" t="str">
        <f>IF(AG4573="","",INDEX('quitado Despesa'!$G$1:$G$12,AG4573))</f>
        <v/>
      </c>
      <c r="AJ4573" s="17" t="str">
        <f t="shared" si="3"/>
        <v/>
      </c>
    </row>
    <row r="4574" spans="31:36">
      <c r="AE4574" s="15" t="str">
        <f t="shared" si="0"/>
        <v/>
      </c>
      <c r="AF4574" s="15" t="str">
        <f t="shared" si="1"/>
        <v/>
      </c>
      <c r="AG4574" s="15" t="str">
        <f>IF(OR(AF4574="",AF4574="ERRO_CHAVE"),"",IFERROR(MATCH(AF4574,'quitado Despesa'!$V$1:$V$12,0),""))</f>
        <v/>
      </c>
      <c r="AH4574" s="15" t="str">
        <f t="shared" si="2"/>
        <v/>
      </c>
      <c r="AI4574" s="17" t="str">
        <f>IF(AG4574="","",INDEX('quitado Despesa'!$G$1:$G$12,AG4574))</f>
        <v/>
      </c>
      <c r="AJ4574" s="17" t="str">
        <f t="shared" si="3"/>
        <v/>
      </c>
    </row>
    <row r="4575" spans="31:36">
      <c r="AE4575" s="15" t="str">
        <f t="shared" si="0"/>
        <v/>
      </c>
      <c r="AF4575" s="15" t="str">
        <f t="shared" si="1"/>
        <v/>
      </c>
      <c r="AG4575" s="15" t="str">
        <f>IF(OR(AF4575="",AF4575="ERRO_CHAVE"),"",IFERROR(MATCH(AF4575,'quitado Despesa'!$V$1:$V$12,0),""))</f>
        <v/>
      </c>
      <c r="AH4575" s="15" t="str">
        <f t="shared" si="2"/>
        <v/>
      </c>
      <c r="AI4575" s="17" t="str">
        <f>IF(AG4575="","",INDEX('quitado Despesa'!$G$1:$G$12,AG4575))</f>
        <v/>
      </c>
      <c r="AJ4575" s="17" t="str">
        <f t="shared" si="3"/>
        <v/>
      </c>
    </row>
    <row r="4576" spans="31:36">
      <c r="AE4576" s="15" t="str">
        <f t="shared" si="0"/>
        <v/>
      </c>
      <c r="AF4576" s="15" t="str">
        <f t="shared" si="1"/>
        <v/>
      </c>
      <c r="AG4576" s="15" t="str">
        <f>IF(OR(AF4576="",AF4576="ERRO_CHAVE"),"",IFERROR(MATCH(AF4576,'quitado Despesa'!$V$1:$V$12,0),""))</f>
        <v/>
      </c>
      <c r="AH4576" s="15" t="str">
        <f t="shared" si="2"/>
        <v/>
      </c>
      <c r="AI4576" s="17" t="str">
        <f>IF(AG4576="","",INDEX('quitado Despesa'!$G$1:$G$12,AG4576))</f>
        <v/>
      </c>
      <c r="AJ4576" s="17" t="str">
        <f t="shared" si="3"/>
        <v/>
      </c>
    </row>
    <row r="4577" spans="31:36">
      <c r="AE4577" s="15" t="str">
        <f t="shared" si="0"/>
        <v/>
      </c>
      <c r="AF4577" s="15" t="str">
        <f t="shared" si="1"/>
        <v/>
      </c>
      <c r="AG4577" s="15" t="str">
        <f>IF(OR(AF4577="",AF4577="ERRO_CHAVE"),"",IFERROR(MATCH(AF4577,'quitado Despesa'!$V$1:$V$12,0),""))</f>
        <v/>
      </c>
      <c r="AH4577" s="15" t="str">
        <f t="shared" si="2"/>
        <v/>
      </c>
      <c r="AI4577" s="17" t="str">
        <f>IF(AG4577="","",INDEX('quitado Despesa'!$G$1:$G$12,AG4577))</f>
        <v/>
      </c>
      <c r="AJ4577" s="17" t="str">
        <f t="shared" si="3"/>
        <v/>
      </c>
    </row>
    <row r="4578" spans="31:36">
      <c r="AE4578" s="15" t="str">
        <f t="shared" si="0"/>
        <v/>
      </c>
      <c r="AF4578" s="15" t="str">
        <f t="shared" si="1"/>
        <v/>
      </c>
      <c r="AG4578" s="15" t="str">
        <f>IF(OR(AF4578="",AF4578="ERRO_CHAVE"),"",IFERROR(MATCH(AF4578,'quitado Despesa'!$V$1:$V$12,0),""))</f>
        <v/>
      </c>
      <c r="AH4578" s="15" t="str">
        <f t="shared" si="2"/>
        <v/>
      </c>
      <c r="AI4578" s="17" t="str">
        <f>IF(AG4578="","",INDEX('quitado Despesa'!$G$1:$G$12,AG4578))</f>
        <v/>
      </c>
      <c r="AJ4578" s="17" t="str">
        <f t="shared" si="3"/>
        <v/>
      </c>
    </row>
    <row r="4579" spans="31:36">
      <c r="AE4579" s="15" t="str">
        <f t="shared" si="0"/>
        <v/>
      </c>
      <c r="AF4579" s="15" t="str">
        <f t="shared" si="1"/>
        <v/>
      </c>
      <c r="AG4579" s="15" t="str">
        <f>IF(OR(AF4579="",AF4579="ERRO_CHAVE"),"",IFERROR(MATCH(AF4579,'quitado Despesa'!$V$1:$V$12,0),""))</f>
        <v/>
      </c>
      <c r="AH4579" s="15" t="str">
        <f t="shared" si="2"/>
        <v/>
      </c>
      <c r="AI4579" s="17" t="str">
        <f>IF(AG4579="","",INDEX('quitado Despesa'!$G$1:$G$12,AG4579))</f>
        <v/>
      </c>
      <c r="AJ4579" s="17" t="str">
        <f t="shared" si="3"/>
        <v/>
      </c>
    </row>
    <row r="4580" spans="31:36">
      <c r="AE4580" s="15" t="str">
        <f t="shared" si="0"/>
        <v/>
      </c>
      <c r="AF4580" s="15" t="str">
        <f t="shared" si="1"/>
        <v/>
      </c>
      <c r="AG4580" s="15" t="str">
        <f>IF(OR(AF4580="",AF4580="ERRO_CHAVE"),"",IFERROR(MATCH(AF4580,'quitado Despesa'!$V$1:$V$12,0),""))</f>
        <v/>
      </c>
      <c r="AH4580" s="15" t="str">
        <f t="shared" si="2"/>
        <v/>
      </c>
      <c r="AI4580" s="17" t="str">
        <f>IF(AG4580="","",INDEX('quitado Despesa'!$G$1:$G$12,AG4580))</f>
        <v/>
      </c>
      <c r="AJ4580" s="17" t="str">
        <f t="shared" si="3"/>
        <v/>
      </c>
    </row>
    <row r="4581" spans="31:36">
      <c r="AE4581" s="15" t="str">
        <f t="shared" si="0"/>
        <v/>
      </c>
      <c r="AF4581" s="15" t="str">
        <f t="shared" si="1"/>
        <v/>
      </c>
      <c r="AG4581" s="15" t="str">
        <f>IF(OR(AF4581="",AF4581="ERRO_CHAVE"),"",IFERROR(MATCH(AF4581,'quitado Despesa'!$V$1:$V$12,0),""))</f>
        <v/>
      </c>
      <c r="AH4581" s="15" t="str">
        <f t="shared" si="2"/>
        <v/>
      </c>
      <c r="AI4581" s="17" t="str">
        <f>IF(AG4581="","",INDEX('quitado Despesa'!$G$1:$G$12,AG4581))</f>
        <v/>
      </c>
      <c r="AJ4581" s="17" t="str">
        <f t="shared" si="3"/>
        <v/>
      </c>
    </row>
    <row r="4582" spans="31:36">
      <c r="AE4582" s="15" t="str">
        <f t="shared" si="0"/>
        <v/>
      </c>
      <c r="AF4582" s="15" t="str">
        <f t="shared" si="1"/>
        <v/>
      </c>
      <c r="AG4582" s="15" t="str">
        <f>IF(OR(AF4582="",AF4582="ERRO_CHAVE"),"",IFERROR(MATCH(AF4582,'quitado Despesa'!$V$1:$V$12,0),""))</f>
        <v/>
      </c>
      <c r="AH4582" s="15" t="str">
        <f t="shared" si="2"/>
        <v/>
      </c>
      <c r="AI4582" s="17" t="str">
        <f>IF(AG4582="","",INDEX('quitado Despesa'!$G$1:$G$12,AG4582))</f>
        <v/>
      </c>
      <c r="AJ4582" s="17" t="str">
        <f t="shared" si="3"/>
        <v/>
      </c>
    </row>
    <row r="4583" spans="31:36">
      <c r="AE4583" s="15" t="str">
        <f t="shared" si="0"/>
        <v/>
      </c>
      <c r="AF4583" s="15" t="str">
        <f t="shared" si="1"/>
        <v/>
      </c>
      <c r="AG4583" s="15" t="str">
        <f>IF(OR(AF4583="",AF4583="ERRO_CHAVE"),"",IFERROR(MATCH(AF4583,'quitado Despesa'!$V$1:$V$12,0),""))</f>
        <v/>
      </c>
      <c r="AH4583" s="15" t="str">
        <f t="shared" si="2"/>
        <v/>
      </c>
      <c r="AI4583" s="17" t="str">
        <f>IF(AG4583="","",INDEX('quitado Despesa'!$G$1:$G$12,AG4583))</f>
        <v/>
      </c>
      <c r="AJ4583" s="17" t="str">
        <f t="shared" si="3"/>
        <v/>
      </c>
    </row>
    <row r="4584" spans="31:36">
      <c r="AE4584" s="15" t="str">
        <f t="shared" si="0"/>
        <v/>
      </c>
      <c r="AF4584" s="15" t="str">
        <f t="shared" si="1"/>
        <v/>
      </c>
      <c r="AG4584" s="15" t="str">
        <f>IF(OR(AF4584="",AF4584="ERRO_CHAVE"),"",IFERROR(MATCH(AF4584,'quitado Despesa'!$V$1:$V$12,0),""))</f>
        <v/>
      </c>
      <c r="AH4584" s="15" t="str">
        <f t="shared" si="2"/>
        <v/>
      </c>
      <c r="AI4584" s="17" t="str">
        <f>IF(AG4584="","",INDEX('quitado Despesa'!$G$1:$G$12,AG4584))</f>
        <v/>
      </c>
      <c r="AJ4584" s="17" t="str">
        <f t="shared" si="3"/>
        <v/>
      </c>
    </row>
    <row r="4585" spans="31:36">
      <c r="AE4585" s="15" t="str">
        <f t="shared" si="0"/>
        <v/>
      </c>
      <c r="AF4585" s="15" t="str">
        <f t="shared" si="1"/>
        <v/>
      </c>
      <c r="AG4585" s="15" t="str">
        <f>IF(OR(AF4585="",AF4585="ERRO_CHAVE"),"",IFERROR(MATCH(AF4585,'quitado Despesa'!$V$1:$V$12,0),""))</f>
        <v/>
      </c>
      <c r="AH4585" s="15" t="str">
        <f t="shared" si="2"/>
        <v/>
      </c>
      <c r="AI4585" s="17" t="str">
        <f>IF(AG4585="","",INDEX('quitado Despesa'!$G$1:$G$12,AG4585))</f>
        <v/>
      </c>
      <c r="AJ4585" s="17" t="str">
        <f t="shared" si="3"/>
        <v/>
      </c>
    </row>
    <row r="4586" spans="31:36">
      <c r="AE4586" s="15" t="str">
        <f t="shared" si="0"/>
        <v/>
      </c>
      <c r="AF4586" s="15" t="str">
        <f t="shared" si="1"/>
        <v/>
      </c>
      <c r="AG4586" s="15" t="str">
        <f>IF(OR(AF4586="",AF4586="ERRO_CHAVE"),"",IFERROR(MATCH(AF4586,'quitado Despesa'!$V$1:$V$12,0),""))</f>
        <v/>
      </c>
      <c r="AH4586" s="15" t="str">
        <f t="shared" si="2"/>
        <v/>
      </c>
      <c r="AI4586" s="17" t="str">
        <f>IF(AG4586="","",INDEX('quitado Despesa'!$G$1:$G$12,AG4586))</f>
        <v/>
      </c>
      <c r="AJ4586" s="17" t="str">
        <f t="shared" si="3"/>
        <v/>
      </c>
    </row>
    <row r="4587" spans="31:36">
      <c r="AE4587" s="15" t="str">
        <f t="shared" si="0"/>
        <v/>
      </c>
      <c r="AF4587" s="15" t="str">
        <f t="shared" si="1"/>
        <v/>
      </c>
      <c r="AG4587" s="15" t="str">
        <f>IF(OR(AF4587="",AF4587="ERRO_CHAVE"),"",IFERROR(MATCH(AF4587,'quitado Despesa'!$V$1:$V$12,0),""))</f>
        <v/>
      </c>
      <c r="AH4587" s="15" t="str">
        <f t="shared" si="2"/>
        <v/>
      </c>
      <c r="AI4587" s="17" t="str">
        <f>IF(AG4587="","",INDEX('quitado Despesa'!$G$1:$G$12,AG4587))</f>
        <v/>
      </c>
      <c r="AJ4587" s="17" t="str">
        <f t="shared" si="3"/>
        <v/>
      </c>
    </row>
    <row r="4588" spans="31:36">
      <c r="AE4588" s="15" t="str">
        <f t="shared" si="0"/>
        <v/>
      </c>
      <c r="AF4588" s="15" t="str">
        <f t="shared" si="1"/>
        <v/>
      </c>
      <c r="AG4588" s="15" t="str">
        <f>IF(OR(AF4588="",AF4588="ERRO_CHAVE"),"",IFERROR(MATCH(AF4588,'quitado Despesa'!$V$1:$V$12,0),""))</f>
        <v/>
      </c>
      <c r="AH4588" s="15" t="str">
        <f t="shared" si="2"/>
        <v/>
      </c>
      <c r="AI4588" s="17" t="str">
        <f>IF(AG4588="","",INDEX('quitado Despesa'!$G$1:$G$12,AG4588))</f>
        <v/>
      </c>
      <c r="AJ4588" s="17" t="str">
        <f t="shared" si="3"/>
        <v/>
      </c>
    </row>
    <row r="4589" spans="31:36">
      <c r="AE4589" s="15" t="str">
        <f t="shared" si="0"/>
        <v/>
      </c>
      <c r="AF4589" s="15" t="str">
        <f t="shared" si="1"/>
        <v/>
      </c>
      <c r="AG4589" s="15" t="str">
        <f>IF(OR(AF4589="",AF4589="ERRO_CHAVE"),"",IFERROR(MATCH(AF4589,'quitado Despesa'!$V$1:$V$12,0),""))</f>
        <v/>
      </c>
      <c r="AH4589" s="15" t="str">
        <f t="shared" si="2"/>
        <v/>
      </c>
      <c r="AI4589" s="17" t="str">
        <f>IF(AG4589="","",INDEX('quitado Despesa'!$G$1:$G$12,AG4589))</f>
        <v/>
      </c>
      <c r="AJ4589" s="17" t="str">
        <f t="shared" si="3"/>
        <v/>
      </c>
    </row>
    <row r="4590" spans="31:36">
      <c r="AE4590" s="15" t="str">
        <f t="shared" si="0"/>
        <v/>
      </c>
      <c r="AF4590" s="15" t="str">
        <f t="shared" si="1"/>
        <v/>
      </c>
      <c r="AG4590" s="15" t="str">
        <f>IF(OR(AF4590="",AF4590="ERRO_CHAVE"),"",IFERROR(MATCH(AF4590,'quitado Despesa'!$V$1:$V$12,0),""))</f>
        <v/>
      </c>
      <c r="AH4590" s="15" t="str">
        <f t="shared" si="2"/>
        <v/>
      </c>
      <c r="AI4590" s="17" t="str">
        <f>IF(AG4590="","",INDEX('quitado Despesa'!$G$1:$G$12,AG4590))</f>
        <v/>
      </c>
      <c r="AJ4590" s="17" t="str">
        <f t="shared" si="3"/>
        <v/>
      </c>
    </row>
    <row r="4591" spans="31:36">
      <c r="AE4591" s="15" t="str">
        <f t="shared" si="0"/>
        <v/>
      </c>
      <c r="AF4591" s="15" t="str">
        <f t="shared" si="1"/>
        <v/>
      </c>
      <c r="AG4591" s="15" t="str">
        <f>IF(OR(AF4591="",AF4591="ERRO_CHAVE"),"",IFERROR(MATCH(AF4591,'quitado Despesa'!$V$1:$V$12,0),""))</f>
        <v/>
      </c>
      <c r="AH4591" s="15" t="str">
        <f t="shared" si="2"/>
        <v/>
      </c>
      <c r="AI4591" s="17" t="str">
        <f>IF(AG4591="","",INDEX('quitado Despesa'!$G$1:$G$12,AG4591))</f>
        <v/>
      </c>
      <c r="AJ4591" s="17" t="str">
        <f t="shared" si="3"/>
        <v/>
      </c>
    </row>
    <row r="4592" spans="31:36">
      <c r="AE4592" s="15" t="str">
        <f t="shared" si="0"/>
        <v/>
      </c>
      <c r="AF4592" s="15" t="str">
        <f t="shared" si="1"/>
        <v/>
      </c>
      <c r="AG4592" s="15" t="str">
        <f>IF(OR(AF4592="",AF4592="ERRO_CHAVE"),"",IFERROR(MATCH(AF4592,'quitado Despesa'!$V$1:$V$12,0),""))</f>
        <v/>
      </c>
      <c r="AH4592" s="15" t="str">
        <f t="shared" si="2"/>
        <v/>
      </c>
      <c r="AI4592" s="17" t="str">
        <f>IF(AG4592="","",INDEX('quitado Despesa'!$G$1:$G$12,AG4592))</f>
        <v/>
      </c>
      <c r="AJ4592" s="17" t="str">
        <f t="shared" si="3"/>
        <v/>
      </c>
    </row>
    <row r="4593" spans="31:36">
      <c r="AE4593" s="15" t="str">
        <f t="shared" si="0"/>
        <v/>
      </c>
      <c r="AF4593" s="15" t="str">
        <f t="shared" si="1"/>
        <v/>
      </c>
      <c r="AG4593" s="15" t="str">
        <f>IF(OR(AF4593="",AF4593="ERRO_CHAVE"),"",IFERROR(MATCH(AF4593,'quitado Despesa'!$V$1:$V$12,0),""))</f>
        <v/>
      </c>
      <c r="AH4593" s="15" t="str">
        <f t="shared" si="2"/>
        <v/>
      </c>
      <c r="AI4593" s="17" t="str">
        <f>IF(AG4593="","",INDEX('quitado Despesa'!$G$1:$G$12,AG4593))</f>
        <v/>
      </c>
      <c r="AJ4593" s="17" t="str">
        <f t="shared" si="3"/>
        <v/>
      </c>
    </row>
    <row r="4594" spans="31:36">
      <c r="AE4594" s="15" t="str">
        <f t="shared" si="0"/>
        <v/>
      </c>
      <c r="AF4594" s="15" t="str">
        <f t="shared" si="1"/>
        <v/>
      </c>
      <c r="AG4594" s="15" t="str">
        <f>IF(OR(AF4594="",AF4594="ERRO_CHAVE"),"",IFERROR(MATCH(AF4594,'quitado Despesa'!$V$1:$V$12,0),""))</f>
        <v/>
      </c>
      <c r="AH4594" s="15" t="str">
        <f t="shared" si="2"/>
        <v/>
      </c>
      <c r="AI4594" s="17" t="str">
        <f>IF(AG4594="","",INDEX('quitado Despesa'!$G$1:$G$12,AG4594))</f>
        <v/>
      </c>
      <c r="AJ4594" s="17" t="str">
        <f t="shared" si="3"/>
        <v/>
      </c>
    </row>
    <row r="4595" spans="31:36">
      <c r="AE4595" s="15" t="str">
        <f t="shared" si="0"/>
        <v/>
      </c>
      <c r="AF4595" s="15" t="str">
        <f t="shared" si="1"/>
        <v/>
      </c>
      <c r="AG4595" s="15" t="str">
        <f>IF(OR(AF4595="",AF4595="ERRO_CHAVE"),"",IFERROR(MATCH(AF4595,'quitado Despesa'!$V$1:$V$12,0),""))</f>
        <v/>
      </c>
      <c r="AH4595" s="15" t="str">
        <f t="shared" si="2"/>
        <v/>
      </c>
      <c r="AI4595" s="17" t="str">
        <f>IF(AG4595="","",INDEX('quitado Despesa'!$G$1:$G$12,AG4595))</f>
        <v/>
      </c>
      <c r="AJ4595" s="17" t="str">
        <f t="shared" si="3"/>
        <v/>
      </c>
    </row>
    <row r="4596" spans="31:36">
      <c r="AE4596" s="15" t="str">
        <f t="shared" si="0"/>
        <v/>
      </c>
      <c r="AF4596" s="15" t="str">
        <f t="shared" si="1"/>
        <v/>
      </c>
      <c r="AG4596" s="15" t="str">
        <f>IF(OR(AF4596="",AF4596="ERRO_CHAVE"),"",IFERROR(MATCH(AF4596,'quitado Despesa'!$V$1:$V$12,0),""))</f>
        <v/>
      </c>
      <c r="AH4596" s="15" t="str">
        <f t="shared" si="2"/>
        <v/>
      </c>
      <c r="AI4596" s="17" t="str">
        <f>IF(AG4596="","",INDEX('quitado Despesa'!$G$1:$G$12,AG4596))</f>
        <v/>
      </c>
      <c r="AJ4596" s="17" t="str">
        <f t="shared" si="3"/>
        <v/>
      </c>
    </row>
    <row r="4597" spans="31:36">
      <c r="AE4597" s="15" t="str">
        <f t="shared" si="0"/>
        <v/>
      </c>
      <c r="AF4597" s="15" t="str">
        <f t="shared" si="1"/>
        <v/>
      </c>
      <c r="AG4597" s="15" t="str">
        <f>IF(OR(AF4597="",AF4597="ERRO_CHAVE"),"",IFERROR(MATCH(AF4597,'quitado Despesa'!$V$1:$V$12,0),""))</f>
        <v/>
      </c>
      <c r="AH4597" s="15" t="str">
        <f t="shared" si="2"/>
        <v/>
      </c>
      <c r="AI4597" s="17" t="str">
        <f>IF(AG4597="","",INDEX('quitado Despesa'!$G$1:$G$12,AG4597))</f>
        <v/>
      </c>
      <c r="AJ4597" s="17" t="str">
        <f t="shared" si="3"/>
        <v/>
      </c>
    </row>
    <row r="4598" spans="31:36">
      <c r="AE4598" s="15" t="str">
        <f t="shared" si="0"/>
        <v/>
      </c>
      <c r="AF4598" s="15" t="str">
        <f t="shared" si="1"/>
        <v/>
      </c>
      <c r="AG4598" s="15" t="str">
        <f>IF(OR(AF4598="",AF4598="ERRO_CHAVE"),"",IFERROR(MATCH(AF4598,'quitado Despesa'!$V$1:$V$12,0),""))</f>
        <v/>
      </c>
      <c r="AH4598" s="15" t="str">
        <f t="shared" si="2"/>
        <v/>
      </c>
      <c r="AI4598" s="17" t="str">
        <f>IF(AG4598="","",INDEX('quitado Despesa'!$G$1:$G$12,AG4598))</f>
        <v/>
      </c>
      <c r="AJ4598" s="17" t="str">
        <f t="shared" si="3"/>
        <v/>
      </c>
    </row>
    <row r="4599" spans="31:36">
      <c r="AE4599" s="15" t="str">
        <f t="shared" si="0"/>
        <v/>
      </c>
      <c r="AF4599" s="15" t="str">
        <f t="shared" si="1"/>
        <v/>
      </c>
      <c r="AG4599" s="15" t="str">
        <f>IF(OR(AF4599="",AF4599="ERRO_CHAVE"),"",IFERROR(MATCH(AF4599,'quitado Despesa'!$V$1:$V$12,0),""))</f>
        <v/>
      </c>
      <c r="AH4599" s="15" t="str">
        <f t="shared" si="2"/>
        <v/>
      </c>
      <c r="AI4599" s="17" t="str">
        <f>IF(AG4599="","",INDEX('quitado Despesa'!$G$1:$G$12,AG4599))</f>
        <v/>
      </c>
      <c r="AJ4599" s="17" t="str">
        <f t="shared" si="3"/>
        <v/>
      </c>
    </row>
    <row r="4600" spans="31:36">
      <c r="AE4600" s="15" t="str">
        <f t="shared" si="0"/>
        <v/>
      </c>
      <c r="AF4600" s="15" t="str">
        <f t="shared" si="1"/>
        <v/>
      </c>
      <c r="AG4600" s="15" t="str">
        <f>IF(OR(AF4600="",AF4600="ERRO_CHAVE"),"",IFERROR(MATCH(AF4600,'quitado Despesa'!$V$1:$V$12,0),""))</f>
        <v/>
      </c>
      <c r="AH4600" s="15" t="str">
        <f t="shared" si="2"/>
        <v/>
      </c>
      <c r="AI4600" s="17" t="str">
        <f>IF(AG4600="","",INDEX('quitado Despesa'!$G$1:$G$12,AG4600))</f>
        <v/>
      </c>
      <c r="AJ4600" s="17" t="str">
        <f t="shared" si="3"/>
        <v/>
      </c>
    </row>
    <row r="4601" spans="31:36">
      <c r="AE4601" s="15" t="str">
        <f t="shared" si="0"/>
        <v/>
      </c>
      <c r="AF4601" s="15" t="str">
        <f t="shared" si="1"/>
        <v/>
      </c>
      <c r="AG4601" s="15" t="str">
        <f>IF(OR(AF4601="",AF4601="ERRO_CHAVE"),"",IFERROR(MATCH(AF4601,'quitado Despesa'!$V$1:$V$12,0),""))</f>
        <v/>
      </c>
      <c r="AH4601" s="15" t="str">
        <f t="shared" si="2"/>
        <v/>
      </c>
      <c r="AI4601" s="17" t="str">
        <f>IF(AG4601="","",INDEX('quitado Despesa'!$G$1:$G$12,AG4601))</f>
        <v/>
      </c>
      <c r="AJ4601" s="17" t="str">
        <f t="shared" si="3"/>
        <v/>
      </c>
    </row>
    <row r="4602" spans="31:36">
      <c r="AE4602" s="15" t="str">
        <f t="shared" si="0"/>
        <v/>
      </c>
      <c r="AF4602" s="15" t="str">
        <f t="shared" si="1"/>
        <v/>
      </c>
      <c r="AG4602" s="15" t="str">
        <f>IF(OR(AF4602="",AF4602="ERRO_CHAVE"),"",IFERROR(MATCH(AF4602,'quitado Despesa'!$V$1:$V$12,0),""))</f>
        <v/>
      </c>
      <c r="AH4602" s="15" t="str">
        <f t="shared" si="2"/>
        <v/>
      </c>
      <c r="AI4602" s="17" t="str">
        <f>IF(AG4602="","",INDEX('quitado Despesa'!$G$1:$G$12,AG4602))</f>
        <v/>
      </c>
      <c r="AJ4602" s="17" t="str">
        <f t="shared" si="3"/>
        <v/>
      </c>
    </row>
    <row r="4603" spans="31:36">
      <c r="AE4603" s="15" t="str">
        <f t="shared" si="0"/>
        <v/>
      </c>
      <c r="AF4603" s="15" t="str">
        <f t="shared" si="1"/>
        <v/>
      </c>
      <c r="AG4603" s="15" t="str">
        <f>IF(OR(AF4603="",AF4603="ERRO_CHAVE"),"",IFERROR(MATCH(AF4603,'quitado Despesa'!$V$1:$V$12,0),""))</f>
        <v/>
      </c>
      <c r="AH4603" s="15" t="str">
        <f t="shared" si="2"/>
        <v/>
      </c>
      <c r="AI4603" s="17" t="str">
        <f>IF(AG4603="","",INDEX('quitado Despesa'!$G$1:$G$12,AG4603))</f>
        <v/>
      </c>
      <c r="AJ4603" s="17" t="str">
        <f t="shared" si="3"/>
        <v/>
      </c>
    </row>
  </sheetData>
  <autoFilter xmlns:etc="http://www.wps.cn/officeDocument/2017/etCustomData" ref="AE1:AJ4603" etc:filterBottomFollowUsedRange="0">
    <extLst/>
  </autoFilter>
  <conditionalFormatting sqref="AE2:AE4603">
    <cfRule type="expression" dxfId="30" priority="1">
      <formula>AE2="PAGO"</formula>
    </cfRule>
    <cfRule type="expression" dxfId="31" priority="2">
      <formula>AE2="NÃO PAGO"</formula>
    </cfRule>
    <cfRule type="expression" dxfId="32" priority="3">
      <formula>AE2="FORA DA PREVISÃO"</formula>
    </cfRule>
    <cfRule type="expression" dxfId="33" priority="4">
      <formula>AE2="VERIFICAR"</formula>
    </cfRule>
  </conditionalFormatting>
  <pageMargins left="0.511811024" right="0.511811024" top="0.787401575" bottom="0.787401575" header="0.31496062" footer="0.31496062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topLeftCell="Q1" workbookViewId="0">
      <pane ySplit="1" topLeftCell="A2" activePane="bottomLeft" state="frozen"/>
      <selection/>
      <selection pane="bottomLeft" activeCell="T15" sqref="T15"/>
    </sheetView>
  </sheetViews>
  <sheetFormatPr defaultColWidth="9" defaultRowHeight="14"/>
  <cols>
    <col min="1" max="1" width="72.2833333333333" customWidth="1"/>
    <col min="2" max="2" width="16.1333333333333" customWidth="1"/>
    <col min="3" max="3" width="16.7083333333333" customWidth="1"/>
    <col min="4" max="4" width="15.1333333333333" customWidth="1"/>
    <col min="5" max="5" width="19.1333333333333" customWidth="1"/>
    <col min="6" max="6" width="16.1333333333333" customWidth="1"/>
    <col min="7" max="7" width="15.2833333333333" customWidth="1"/>
    <col min="8" max="8" width="12" customWidth="1"/>
    <col min="9" max="9" width="30.425" customWidth="1"/>
    <col min="10" max="10" width="16.8583333333333" customWidth="1"/>
    <col min="11" max="11" width="19" customWidth="1"/>
    <col min="12" max="12" width="17.2833333333333" customWidth="1"/>
    <col min="13" max="13" width="79.575" customWidth="1"/>
    <col min="14" max="14" width="16.8583333333333" customWidth="1"/>
    <col min="15" max="15" width="17.7083333333333" customWidth="1"/>
    <col min="16" max="16" width="21.2833333333333" customWidth="1"/>
    <col min="17" max="17" width="13.2833333333333" customWidth="1"/>
    <col min="18" max="18" width="20.2833333333333" customWidth="1"/>
    <col min="19" max="19" width="20.1333333333333" customWidth="1"/>
    <col min="20" max="20" width="20.1333333333333" style="2" customWidth="1"/>
    <col min="21" max="21" width="22" style="2" customWidth="1"/>
    <col min="22" max="22" width="60" style="2" customWidth="1"/>
    <col min="23" max="23" width="22" style="2" customWidth="1"/>
    <col min="24" max="24" width="16" style="2" customWidth="1"/>
    <col min="25" max="25" width="24" style="2" customWidth="1"/>
    <col min="26" max="26" width="30" style="2" customWidth="1"/>
  </cols>
  <sheetData>
    <row r="1" spans="1:2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30</v>
      </c>
      <c r="U1" t="s">
        <v>67</v>
      </c>
      <c r="V1" t="s">
        <v>31</v>
      </c>
      <c r="W1" t="s">
        <v>68</v>
      </c>
      <c r="X1" t="s">
        <v>33</v>
      </c>
      <c r="Y1" t="s">
        <v>69</v>
      </c>
      <c r="Z1" t="s">
        <v>70</v>
      </c>
    </row>
    <row r="2" spans="1:26">
      <c r="A2" t="s">
        <v>71</v>
      </c>
      <c r="B2">
        <v>22</v>
      </c>
      <c r="C2" t="s">
        <v>72</v>
      </c>
      <c r="D2" t="s">
        <v>73</v>
      </c>
      <c r="E2" s="3">
        <v>46299</v>
      </c>
      <c r="F2" s="3">
        <v>46300</v>
      </c>
      <c r="G2" s="4">
        <v>3284.75</v>
      </c>
      <c r="H2" s="4">
        <v>3284.75</v>
      </c>
      <c r="I2" t="s">
        <v>74</v>
      </c>
      <c r="J2" s="3">
        <v>46300</v>
      </c>
      <c r="K2" s="3">
        <v>46300</v>
      </c>
      <c r="L2" s="3">
        <v>46300</v>
      </c>
      <c r="M2" t="s">
        <v>75</v>
      </c>
      <c r="N2" s="4">
        <v>3284.75</v>
      </c>
      <c r="O2" t="s">
        <v>76</v>
      </c>
      <c r="S2" s="3">
        <v>46300</v>
      </c>
      <c r="T2" t="str">
        <f>IF(V2="","",IF(V2="ERRO_CHAVE","VERIFICAR",IF(W2="","FORA DA PREVISÃO","PAGO")))</f>
        <v>FORA DA PREVISÃO</v>
      </c>
      <c r="U2" t="str">
        <f>IF(C2="","",IFERROR(SUBSTITUTE(IF(ISNUMBER(C2),LEFT(TRIM(MID(M2,SEARCH("tulo:",M2)+5,200)),FIND(" ",TRIM(MID(M2,SEARCH("tulo:",M2)+5,200))&amp;" ")-1),C2),"-","/"),"ERRO_TITULO"))</f>
        <v>1561/1/1</v>
      </c>
      <c r="V2" t="str">
        <f>IF(C2="","",IF(U2="ERRO_TITULO","ERRO_CHAVE",IFERROR(TRIM(RIGHT(SUBSTITUTE(A2," - ",REPT(" ",200)),200))&amp;"|"&amp;IFERROR(TEXT(VALUE(B2&amp;""),"0"),UPPER(TRIM(B2&amp;"")))&amp;"|"&amp;UPPER(TRIM(D2))&amp;"|"&amp;IFERROR(TEXT(VALUE(TRIM(MID(SUBSTITUTE(U2,"/",REPT(" ",100)),1,100))&amp;""),"0"),UPPER(TRIM(TRIM(MID(SUBSTITUTE(U2,"/",REPT(" ",100)),1,100))&amp;"")))&amp;"|"&amp;IFERROR(TEXT(VALUE(TRIM(MID(SUBSTITUTE(U2,"/",REPT(" ",100)),101,100))&amp;""),"0"),UPPER(TRIM(TRIM(MID(SUBSTITUTE(U2,"/",REPT(" ",100)),101,100))&amp;"")))&amp;"|"&amp;IFERROR(TEXT(VALUE(TRIM(MID(SUBSTITUTE(U2,"/",REPT(" ",100)),201,100))&amp;""),"0"),UPPER(TRIM(TRIM(MID(SUBSTITUTE(U2,"/",REPT(" ",100)),201,100))&amp;""))),"ERRO_CHAVE")))</f>
        <v>394458|22|DUMAMA|1561|1|1</v>
      </c>
      <c r="W2" t="str">
        <f>IF(OR(V2="",V2="ERRO_CHAVE"),"",IFERROR(MATCH(V2,Despesa!$AF$1:$AF$4603,0),""))</f>
        <v/>
      </c>
      <c r="X2">
        <f>IF(OR(V2="",V2="ERRO_CHAVE"),"",COUNTIF($V$2:$V$12,V2))</f>
        <v>1</v>
      </c>
      <c r="Y2" s="4" t="str">
        <f>IF(W2="","",INDEX(Despesa!$X$1:$X$4603,W2))</f>
        <v/>
      </c>
      <c r="Z2" s="4" t="str">
        <f>IF(W2="","",ROUND(G2-Y2,2))</f>
        <v/>
      </c>
    </row>
    <row r="3" spans="1:26">
      <c r="A3" t="s">
        <v>71</v>
      </c>
      <c r="B3">
        <v>7</v>
      </c>
      <c r="C3" t="s">
        <v>77</v>
      </c>
      <c r="D3" t="s">
        <v>73</v>
      </c>
      <c r="E3" s="3">
        <v>46299</v>
      </c>
      <c r="F3" s="3">
        <v>46300</v>
      </c>
      <c r="G3" s="4">
        <v>3284.75</v>
      </c>
      <c r="H3" s="4">
        <v>3284.75</v>
      </c>
      <c r="I3" t="s">
        <v>74</v>
      </c>
      <c r="J3" s="3">
        <v>46300</v>
      </c>
      <c r="K3" s="3">
        <v>46300</v>
      </c>
      <c r="L3" s="3">
        <v>46300</v>
      </c>
      <c r="M3" t="s">
        <v>78</v>
      </c>
      <c r="N3" s="4">
        <v>3284.75</v>
      </c>
      <c r="O3" t="s">
        <v>76</v>
      </c>
      <c r="S3" s="3">
        <v>46300</v>
      </c>
      <c r="T3" s="18" t="str">
        <f>IF(V3="","",IF(V3="ERRO_CHAVE","VERIFICAR",IF(W3="","FORA DA PREVISÃO","PAGO")))</f>
        <v>FORA DA PREVISÃO</v>
      </c>
      <c r="U3" s="18" t="str">
        <f>IF(C3="","",IFERROR(SUBSTITUTE(IF(ISNUMBER(C3),LEFT(TRIM(MID(M3,SEARCH("tulo:",M3)+5,200)),FIND(" ",TRIM(MID(M3,SEARCH("tulo:",M3)+5,200))&amp;" ")-1),C3),"-","/"),"ERRO_TITULO"))</f>
        <v>1613/1/1</v>
      </c>
      <c r="V3" s="18" t="str">
        <f>IF(C3="","",IF(U3="ERRO_TITULO","ERRO_CHAVE",IFERROR(TRIM(RIGHT(SUBSTITUTE(A3," - ",REPT(" ",200)),200))&amp;"|"&amp;IFERROR(TEXT(VALUE(B3&amp;""),"0"),UPPER(TRIM(B3&amp;"")))&amp;"|"&amp;UPPER(TRIM(D3))&amp;"|"&amp;IFERROR(TEXT(VALUE(TRIM(MID(SUBSTITUTE(U3,"/",REPT(" ",100)),1,100))&amp;""),"0"),UPPER(TRIM(TRIM(MID(SUBSTITUTE(U3,"/",REPT(" ",100)),1,100))&amp;"")))&amp;"|"&amp;IFERROR(TEXT(VALUE(TRIM(MID(SUBSTITUTE(U3,"/",REPT(" ",100)),101,100))&amp;""),"0"),UPPER(TRIM(TRIM(MID(SUBSTITUTE(U3,"/",REPT(" ",100)),101,100))&amp;"")))&amp;"|"&amp;IFERROR(TEXT(VALUE(TRIM(MID(SUBSTITUTE(U3,"/",REPT(" ",100)),201,100))&amp;""),"0"),UPPER(TRIM(TRIM(MID(SUBSTITUTE(U3,"/",REPT(" ",100)),201,100))&amp;""))),"ERRO_CHAVE")))</f>
        <v>394458|7|DUMAMA|1613|1|1</v>
      </c>
      <c r="W3" s="19" t="str">
        <f>IF(OR(V3="",V3="ERRO_CHAVE"),"",IFERROR(MATCH(V3,Despesa!$AF$1:$AF$4603,0),""))</f>
        <v/>
      </c>
      <c r="X3" s="19">
        <f>IF(OR(V3="",V3="ERRO_CHAVE"),"",COUNTIF($V$2:$V$12,V3))</f>
        <v>1</v>
      </c>
      <c r="Y3" s="20" t="str">
        <f>IF(W3="","",INDEX(Despesa!$X$1:$X$4603,W3))</f>
        <v/>
      </c>
      <c r="Z3" s="20" t="str">
        <f>IF(W3="","",ROUND(G3-Y3,2))</f>
        <v/>
      </c>
    </row>
    <row r="4" spans="1:26">
      <c r="A4" t="s">
        <v>71</v>
      </c>
      <c r="B4">
        <v>22</v>
      </c>
      <c r="C4" t="s">
        <v>79</v>
      </c>
      <c r="D4" t="s">
        <v>73</v>
      </c>
      <c r="E4" s="3">
        <v>46299</v>
      </c>
      <c r="F4" s="3">
        <v>46300</v>
      </c>
      <c r="G4">
        <v>900</v>
      </c>
      <c r="H4">
        <v>900</v>
      </c>
      <c r="I4" t="s">
        <v>74</v>
      </c>
      <c r="J4" s="3">
        <v>46300</v>
      </c>
      <c r="K4" s="3">
        <v>46300</v>
      </c>
      <c r="L4" s="3">
        <v>46300</v>
      </c>
      <c r="M4" t="s">
        <v>80</v>
      </c>
      <c r="N4">
        <v>900</v>
      </c>
      <c r="O4" t="s">
        <v>76</v>
      </c>
      <c r="S4" s="3">
        <v>46300</v>
      </c>
      <c r="T4" s="18" t="str">
        <f>IF(V4="","",IF(V4="ERRO_CHAVE","VERIFICAR",IF(W4="","FORA DA PREVISÃO","PAGO")))</f>
        <v>FORA DA PREVISÃO</v>
      </c>
      <c r="U4" s="18" t="str">
        <f>IF(C4="","",IFERROR(SUBSTITUTE(IF(ISNUMBER(C4),LEFT(TRIM(MID(M4,SEARCH("tulo:",M4)+5,200)),FIND(" ",TRIM(MID(M4,SEARCH("tulo:",M4)+5,200))&amp;" ")-1),C4),"-","/"),"ERRO_TITULO"))</f>
        <v>1742/1/1</v>
      </c>
      <c r="V4" s="18" t="str">
        <f>IF(C4="","",IF(U4="ERRO_TITULO","ERRO_CHAVE",IFERROR(TRIM(RIGHT(SUBSTITUTE(A4," - ",REPT(" ",200)),200))&amp;"|"&amp;IFERROR(TEXT(VALUE(B4&amp;""),"0"),UPPER(TRIM(B4&amp;"")))&amp;"|"&amp;UPPER(TRIM(D4))&amp;"|"&amp;IFERROR(TEXT(VALUE(TRIM(MID(SUBSTITUTE(U4,"/",REPT(" ",100)),1,100))&amp;""),"0"),UPPER(TRIM(TRIM(MID(SUBSTITUTE(U4,"/",REPT(" ",100)),1,100))&amp;"")))&amp;"|"&amp;IFERROR(TEXT(VALUE(TRIM(MID(SUBSTITUTE(U4,"/",REPT(" ",100)),101,100))&amp;""),"0"),UPPER(TRIM(TRIM(MID(SUBSTITUTE(U4,"/",REPT(" ",100)),101,100))&amp;"")))&amp;"|"&amp;IFERROR(TEXT(VALUE(TRIM(MID(SUBSTITUTE(U4,"/",REPT(" ",100)),201,100))&amp;""),"0"),UPPER(TRIM(TRIM(MID(SUBSTITUTE(U4,"/",REPT(" ",100)),201,100))&amp;""))),"ERRO_CHAVE")))</f>
        <v>394458|22|DUMAMA|1742|1|1</v>
      </c>
      <c r="W4" s="19" t="str">
        <f>IF(OR(V4="",V4="ERRO_CHAVE"),"",IFERROR(MATCH(V4,Despesa!$AF$1:$AF$4603,0),""))</f>
        <v/>
      </c>
      <c r="X4" s="19">
        <f>IF(OR(V4="",V4="ERRO_CHAVE"),"",COUNTIF($V$2:$V$12,V4))</f>
        <v>1</v>
      </c>
      <c r="Y4" s="20" t="str">
        <f>IF(W4="","",INDEX(Despesa!$X$1:$X$4603,W4))</f>
        <v/>
      </c>
      <c r="Z4" s="20" t="str">
        <f>IF(W4="","",ROUND(G4-Y4,2))</f>
        <v/>
      </c>
    </row>
    <row r="5" spans="1:26">
      <c r="A5" t="s">
        <v>81</v>
      </c>
      <c r="B5">
        <v>22</v>
      </c>
      <c r="C5" t="s">
        <v>82</v>
      </c>
      <c r="D5" t="s">
        <v>73</v>
      </c>
      <c r="E5" s="3">
        <v>46299</v>
      </c>
      <c r="F5" s="3">
        <v>46300</v>
      </c>
      <c r="G5" s="4">
        <v>320</v>
      </c>
      <c r="H5" s="4">
        <v>320</v>
      </c>
      <c r="I5" t="s">
        <v>74</v>
      </c>
      <c r="J5" s="3">
        <v>46300</v>
      </c>
      <c r="K5" s="3">
        <v>46300</v>
      </c>
      <c r="L5" s="3">
        <v>46300</v>
      </c>
      <c r="M5" t="s">
        <v>83</v>
      </c>
      <c r="N5" s="4">
        <v>320</v>
      </c>
      <c r="O5" t="s">
        <v>76</v>
      </c>
      <c r="S5" s="3">
        <v>46300</v>
      </c>
      <c r="T5" s="18" t="str">
        <f>IF(V5="","",IF(V5="ERRO_CHAVE","VERIFICAR",IF(W5="","FORA DA PREVISÃO","PAGO")))</f>
        <v>FORA DA PREVISÃO</v>
      </c>
      <c r="U5" s="18" t="str">
        <f>IF(C5="","",IFERROR(SUBSTITUTE(IF(ISNUMBER(C5),LEFT(TRIM(MID(M5,SEARCH("tulo:",M5)+5,200)),FIND(" ",TRIM(MID(M5,SEARCH("tulo:",M5)+5,200))&amp;" ")-1),C5),"-","/"),"ERRO_TITULO"))</f>
        <v>96/1/1</v>
      </c>
      <c r="V5" s="18" t="str">
        <f>IF(C5="","",IF(U5="ERRO_TITULO","ERRO_CHAVE",IFERROR(TRIM(RIGHT(SUBSTITUTE(A5," - ",REPT(" ",200)),200))&amp;"|"&amp;IFERROR(TEXT(VALUE(B5&amp;""),"0"),UPPER(TRIM(B5&amp;"")))&amp;"|"&amp;UPPER(TRIM(D5))&amp;"|"&amp;IFERROR(TEXT(VALUE(TRIM(MID(SUBSTITUTE(U5,"/",REPT(" ",100)),1,100))&amp;""),"0"),UPPER(TRIM(TRIM(MID(SUBSTITUTE(U5,"/",REPT(" ",100)),1,100))&amp;"")))&amp;"|"&amp;IFERROR(TEXT(VALUE(TRIM(MID(SUBSTITUTE(U5,"/",REPT(" ",100)),101,100))&amp;""),"0"),UPPER(TRIM(TRIM(MID(SUBSTITUTE(U5,"/",REPT(" ",100)),101,100))&amp;"")))&amp;"|"&amp;IFERROR(TEXT(VALUE(TRIM(MID(SUBSTITUTE(U5,"/",REPT(" ",100)),201,100))&amp;""),"0"),UPPER(TRIM(TRIM(MID(SUBSTITUTE(U5,"/",REPT(" ",100)),201,100))&amp;""))),"ERRO_CHAVE")))</f>
        <v>556459|22|DUMAMA|96|1|1</v>
      </c>
      <c r="W5" s="19" t="str">
        <f>IF(OR(V5="",V5="ERRO_CHAVE"),"",IFERROR(MATCH(V5,Despesa!$AF$1:$AF$4603,0),""))</f>
        <v/>
      </c>
      <c r="X5" s="19">
        <f>IF(OR(V5="",V5="ERRO_CHAVE"),"",COUNTIF($V$2:$V$12,V5))</f>
        <v>1</v>
      </c>
      <c r="Y5" s="20" t="str">
        <f>IF(W5="","",INDEX(Despesa!$X$1:$X$4603,W5))</f>
        <v/>
      </c>
      <c r="Z5" s="20" t="str">
        <f>IF(W5="","",ROUND(G5-Y5,2))</f>
        <v/>
      </c>
    </row>
    <row r="6" spans="1:26">
      <c r="A6" t="s">
        <v>81</v>
      </c>
      <c r="B6">
        <v>24</v>
      </c>
      <c r="C6" t="s">
        <v>84</v>
      </c>
      <c r="D6" t="s">
        <v>73</v>
      </c>
      <c r="E6" s="3">
        <v>46299</v>
      </c>
      <c r="F6" s="3">
        <v>46300</v>
      </c>
      <c r="G6" s="4">
        <v>749</v>
      </c>
      <c r="H6" s="4">
        <v>749</v>
      </c>
      <c r="I6" t="s">
        <v>74</v>
      </c>
      <c r="J6" s="3">
        <v>46300</v>
      </c>
      <c r="K6" s="3">
        <v>46300</v>
      </c>
      <c r="L6" s="3">
        <v>46300</v>
      </c>
      <c r="M6" t="s">
        <v>85</v>
      </c>
      <c r="N6" s="4">
        <v>749</v>
      </c>
      <c r="O6" t="s">
        <v>76</v>
      </c>
      <c r="S6" s="3">
        <v>46300</v>
      </c>
      <c r="T6" s="18" t="str">
        <f>IF(V6="","",IF(V6="ERRO_CHAVE","VERIFICAR",IF(W6="","FORA DA PREVISÃO","PAGO")))</f>
        <v>FORA DA PREVISÃO</v>
      </c>
      <c r="U6" s="18" t="str">
        <f>IF(C6="","",IFERROR(SUBSTITUTE(IF(ISNUMBER(C6),LEFT(TRIM(MID(M6,SEARCH("tulo:",M6)+5,200)),FIND(" ",TRIM(MID(M6,SEARCH("tulo:",M6)+5,200))&amp;" ")-1),C6),"-","/"),"ERRO_TITULO"))</f>
        <v>97/1/1</v>
      </c>
      <c r="V6" s="18" t="str">
        <f>IF(C6="","",IF(U6="ERRO_TITULO","ERRO_CHAVE",IFERROR(TRIM(RIGHT(SUBSTITUTE(A6," - ",REPT(" ",200)),200))&amp;"|"&amp;IFERROR(TEXT(VALUE(B6&amp;""),"0"),UPPER(TRIM(B6&amp;"")))&amp;"|"&amp;UPPER(TRIM(D6))&amp;"|"&amp;IFERROR(TEXT(VALUE(TRIM(MID(SUBSTITUTE(U6,"/",REPT(" ",100)),1,100))&amp;""),"0"),UPPER(TRIM(TRIM(MID(SUBSTITUTE(U6,"/",REPT(" ",100)),1,100))&amp;"")))&amp;"|"&amp;IFERROR(TEXT(VALUE(TRIM(MID(SUBSTITUTE(U6,"/",REPT(" ",100)),101,100))&amp;""),"0"),UPPER(TRIM(TRIM(MID(SUBSTITUTE(U6,"/",REPT(" ",100)),101,100))&amp;"")))&amp;"|"&amp;IFERROR(TEXT(VALUE(TRIM(MID(SUBSTITUTE(U6,"/",REPT(" ",100)),201,100))&amp;""),"0"),UPPER(TRIM(TRIM(MID(SUBSTITUTE(U6,"/",REPT(" ",100)),201,100))&amp;""))),"ERRO_CHAVE")))</f>
        <v>556459|24|DUMAMA|97|1|1</v>
      </c>
      <c r="W6" s="19" t="str">
        <f>IF(OR(V6="",V6="ERRO_CHAVE"),"",IFERROR(MATCH(V6,Despesa!$AF$1:$AF$4603,0),""))</f>
        <v/>
      </c>
      <c r="X6" s="19">
        <f>IF(OR(V6="",V6="ERRO_CHAVE"),"",COUNTIF($V$2:$V$12,V6))</f>
        <v>1</v>
      </c>
      <c r="Y6" s="20" t="str">
        <f>IF(W6="","",INDEX(Despesa!$X$1:$X$4603,W6))</f>
        <v/>
      </c>
      <c r="Z6" s="20" t="str">
        <f>IF(W6="","",ROUND(G6-Y6,2))</f>
        <v/>
      </c>
    </row>
    <row r="7" spans="1:26">
      <c r="A7" t="s">
        <v>81</v>
      </c>
      <c r="B7">
        <v>22</v>
      </c>
      <c r="C7" t="s">
        <v>86</v>
      </c>
      <c r="D7" t="s">
        <v>87</v>
      </c>
      <c r="E7" s="3">
        <v>46299</v>
      </c>
      <c r="F7" s="3">
        <v>46300</v>
      </c>
      <c r="G7" s="4">
        <v>173</v>
      </c>
      <c r="H7" s="4">
        <v>173</v>
      </c>
      <c r="I7" t="s">
        <v>74</v>
      </c>
      <c r="J7" s="3">
        <v>46300</v>
      </c>
      <c r="K7" s="3">
        <v>46300</v>
      </c>
      <c r="L7" s="3">
        <v>46300</v>
      </c>
      <c r="M7" t="s">
        <v>88</v>
      </c>
      <c r="N7" s="4">
        <v>173</v>
      </c>
      <c r="O7" t="s">
        <v>76</v>
      </c>
      <c r="S7" s="3">
        <v>46300</v>
      </c>
      <c r="T7" s="18" t="str">
        <f>IF(V7="","",IF(V7="ERRO_CHAVE","VERIFICAR",IF(W7="","FORA DA PREVISÃO","PAGO")))</f>
        <v>FORA DA PREVISÃO</v>
      </c>
      <c r="U7" s="18" t="str">
        <f>IF(C7="","",IFERROR(SUBSTITUTE(IF(ISNUMBER(C7),LEFT(TRIM(MID(M7,SEARCH("tulo:",M7)+5,200)),FIND(" ",TRIM(MID(M7,SEARCH("tulo:",M7)+5,200))&amp;" ")-1),C7),"-","/"),"ERRO_TITULO"))</f>
        <v>169/1/1</v>
      </c>
      <c r="V7" s="18" t="str">
        <f>IF(C7="","",IF(U7="ERRO_TITULO","ERRO_CHAVE",IFERROR(TRIM(RIGHT(SUBSTITUTE(A7," - ",REPT(" ",200)),200))&amp;"|"&amp;IFERROR(TEXT(VALUE(B7&amp;""),"0"),UPPER(TRIM(B7&amp;"")))&amp;"|"&amp;UPPER(TRIM(D7))&amp;"|"&amp;IFERROR(TEXT(VALUE(TRIM(MID(SUBSTITUTE(U7,"/",REPT(" ",100)),1,100))&amp;""),"0"),UPPER(TRIM(TRIM(MID(SUBSTITUTE(U7,"/",REPT(" ",100)),1,100))&amp;"")))&amp;"|"&amp;IFERROR(TEXT(VALUE(TRIM(MID(SUBSTITUTE(U7,"/",REPT(" ",100)),101,100))&amp;""),"0"),UPPER(TRIM(TRIM(MID(SUBSTITUTE(U7,"/",REPT(" ",100)),101,100))&amp;"")))&amp;"|"&amp;IFERROR(TEXT(VALUE(TRIM(MID(SUBSTITUTE(U7,"/",REPT(" ",100)),201,100))&amp;""),"0"),UPPER(TRIM(TRIM(MID(SUBSTITUTE(U7,"/",REPT(" ",100)),201,100))&amp;""))),"ERRO_CHAVE")))</f>
        <v>556459|22|DUPEQU|169|1|1</v>
      </c>
      <c r="W7" s="19" t="str">
        <f>IF(OR(V7="",V7="ERRO_CHAVE"),"",IFERROR(MATCH(V7,Despesa!$AF$1:$AF$4603,0),""))</f>
        <v/>
      </c>
      <c r="X7" s="19">
        <f>IF(OR(V7="",V7="ERRO_CHAVE"),"",COUNTIF($V$2:$V$12,V7))</f>
        <v>1</v>
      </c>
      <c r="Y7" s="20" t="str">
        <f>IF(W7="","",INDEX(Despesa!$X$1:$X$4603,W7))</f>
        <v/>
      </c>
      <c r="Z7" s="20" t="str">
        <f>IF(W7="","",ROUND(G7-Y7,2))</f>
        <v/>
      </c>
    </row>
    <row r="8" spans="1:26">
      <c r="A8" t="s">
        <v>81</v>
      </c>
      <c r="B8">
        <v>24</v>
      </c>
      <c r="C8" t="s">
        <v>89</v>
      </c>
      <c r="D8" t="s">
        <v>87</v>
      </c>
      <c r="E8" s="3">
        <v>46299</v>
      </c>
      <c r="F8" s="3">
        <v>46300</v>
      </c>
      <c r="G8" s="4">
        <v>948</v>
      </c>
      <c r="H8" s="4">
        <v>948</v>
      </c>
      <c r="I8" t="s">
        <v>74</v>
      </c>
      <c r="J8" s="3">
        <v>46300</v>
      </c>
      <c r="K8" s="3">
        <v>46300</v>
      </c>
      <c r="L8" s="3">
        <v>46300</v>
      </c>
      <c r="M8" t="s">
        <v>90</v>
      </c>
      <c r="N8" s="4">
        <v>948</v>
      </c>
      <c r="O8" t="s">
        <v>76</v>
      </c>
      <c r="S8" s="3">
        <v>46300</v>
      </c>
      <c r="T8" s="18" t="str">
        <f>IF(V8="","",IF(V8="ERRO_CHAVE","VERIFICAR",IF(W8="","FORA DA PREVISÃO","PAGO")))</f>
        <v>FORA DA PREVISÃO</v>
      </c>
      <c r="U8" s="18" t="str">
        <f>IF(C8="","",IFERROR(SUBSTITUTE(IF(ISNUMBER(C8),LEFT(TRIM(MID(M8,SEARCH("tulo:",M8)+5,200)),FIND(" ",TRIM(MID(M8,SEARCH("tulo:",M8)+5,200))&amp;" ")-1),C8),"-","/"),"ERRO_TITULO"))</f>
        <v>170/1/1</v>
      </c>
      <c r="V8" s="18" t="str">
        <f>IF(C8="","",IF(U8="ERRO_TITULO","ERRO_CHAVE",IFERROR(TRIM(RIGHT(SUBSTITUTE(A8," - ",REPT(" ",200)),200))&amp;"|"&amp;IFERROR(TEXT(VALUE(B8&amp;""),"0"),UPPER(TRIM(B8&amp;"")))&amp;"|"&amp;UPPER(TRIM(D8))&amp;"|"&amp;IFERROR(TEXT(VALUE(TRIM(MID(SUBSTITUTE(U8,"/",REPT(" ",100)),1,100))&amp;""),"0"),UPPER(TRIM(TRIM(MID(SUBSTITUTE(U8,"/",REPT(" ",100)),1,100))&amp;"")))&amp;"|"&amp;IFERROR(TEXT(VALUE(TRIM(MID(SUBSTITUTE(U8,"/",REPT(" ",100)),101,100))&amp;""),"0"),UPPER(TRIM(TRIM(MID(SUBSTITUTE(U8,"/",REPT(" ",100)),101,100))&amp;"")))&amp;"|"&amp;IFERROR(TEXT(VALUE(TRIM(MID(SUBSTITUTE(U8,"/",REPT(" ",100)),201,100))&amp;""),"0"),UPPER(TRIM(TRIM(MID(SUBSTITUTE(U8,"/",REPT(" ",100)),201,100))&amp;""))),"ERRO_CHAVE")))</f>
        <v>556459|24|DUPEQU|170|1|1</v>
      </c>
      <c r="W8" s="19" t="str">
        <f>IF(OR(V8="",V8="ERRO_CHAVE"),"",IFERROR(MATCH(V8,Despesa!$AF$1:$AF$4603,0),""))</f>
        <v/>
      </c>
      <c r="X8" s="19">
        <f>IF(OR(V8="",V8="ERRO_CHAVE"),"",COUNTIF($V$2:$V$12,V8))</f>
        <v>1</v>
      </c>
      <c r="Y8" s="20" t="str">
        <f>IF(W8="","",INDEX(Despesa!$X$1:$X$4603,W8))</f>
        <v/>
      </c>
      <c r="Z8" s="20" t="str">
        <f>IF(W8="","",ROUND(G8-Y8,2))</f>
        <v/>
      </c>
    </row>
    <row r="9" spans="1:26">
      <c r="A9" t="s">
        <v>81</v>
      </c>
      <c r="B9">
        <v>4</v>
      </c>
      <c r="C9" t="s">
        <v>91</v>
      </c>
      <c r="D9" t="s">
        <v>73</v>
      </c>
      <c r="E9" s="3">
        <v>46299</v>
      </c>
      <c r="F9" s="3">
        <v>46300</v>
      </c>
      <c r="G9" s="4">
        <v>320</v>
      </c>
      <c r="H9" s="4">
        <v>320</v>
      </c>
      <c r="I9" t="s">
        <v>74</v>
      </c>
      <c r="J9" s="3">
        <v>46300</v>
      </c>
      <c r="K9" s="3">
        <v>46300</v>
      </c>
      <c r="L9" s="3">
        <v>46300</v>
      </c>
      <c r="M9" t="s">
        <v>92</v>
      </c>
      <c r="N9" s="4">
        <v>320</v>
      </c>
      <c r="O9" t="s">
        <v>76</v>
      </c>
      <c r="S9" s="3">
        <v>46300</v>
      </c>
      <c r="T9" s="18" t="str">
        <f>IF(V9="","",IF(V9="ERRO_CHAVE","VERIFICAR",IF(W9="","FORA DA PREVISÃO","PAGO")))</f>
        <v>FORA DA PREVISÃO</v>
      </c>
      <c r="U9" s="18" t="str">
        <f>IF(C9="","",IFERROR(SUBSTITUTE(IF(ISNUMBER(C9),LEFT(TRIM(MID(M9,SEARCH("tulo:",M9)+5,200)),FIND(" ",TRIM(MID(M9,SEARCH("tulo:",M9)+5,200))&amp;" ")-1),C9),"-","/"),"ERRO_TITULO"))</f>
        <v>95/1/1</v>
      </c>
      <c r="V9" s="18" t="str">
        <f>IF(C9="","",IF(U9="ERRO_TITULO","ERRO_CHAVE",IFERROR(TRIM(RIGHT(SUBSTITUTE(A9," - ",REPT(" ",200)),200))&amp;"|"&amp;IFERROR(TEXT(VALUE(B9&amp;""),"0"),UPPER(TRIM(B9&amp;"")))&amp;"|"&amp;UPPER(TRIM(D9))&amp;"|"&amp;IFERROR(TEXT(VALUE(TRIM(MID(SUBSTITUTE(U9,"/",REPT(" ",100)),1,100))&amp;""),"0"),UPPER(TRIM(TRIM(MID(SUBSTITUTE(U9,"/",REPT(" ",100)),1,100))&amp;"")))&amp;"|"&amp;IFERROR(TEXT(VALUE(TRIM(MID(SUBSTITUTE(U9,"/",REPT(" ",100)),101,100))&amp;""),"0"),UPPER(TRIM(TRIM(MID(SUBSTITUTE(U9,"/",REPT(" ",100)),101,100))&amp;"")))&amp;"|"&amp;IFERROR(TEXT(VALUE(TRIM(MID(SUBSTITUTE(U9,"/",REPT(" ",100)),201,100))&amp;""),"0"),UPPER(TRIM(TRIM(MID(SUBSTITUTE(U9,"/",REPT(" ",100)),201,100))&amp;""))),"ERRO_CHAVE")))</f>
        <v>556459|4|DUMAMA|95|1|1</v>
      </c>
      <c r="W9" s="19" t="str">
        <f>IF(OR(V9="",V9="ERRO_CHAVE"),"",IFERROR(MATCH(V9,Despesa!$AF$1:$AF$4603,0),""))</f>
        <v/>
      </c>
      <c r="X9" s="19">
        <f>IF(OR(V9="",V9="ERRO_CHAVE"),"",COUNTIF($V$2:$V$12,V9))</f>
        <v>1</v>
      </c>
      <c r="Y9" s="20" t="str">
        <f>IF(W9="","",INDEX(Despesa!$X$1:$X$4603,W9))</f>
        <v/>
      </c>
      <c r="Z9" s="20" t="str">
        <f>IF(W9="","",ROUND(G9-Y9,2))</f>
        <v/>
      </c>
    </row>
    <row r="10" spans="1:26">
      <c r="A10" t="s">
        <v>93</v>
      </c>
      <c r="B10">
        <v>32</v>
      </c>
      <c r="C10" s="3">
        <v>139191</v>
      </c>
      <c r="D10" t="s">
        <v>94</v>
      </c>
      <c r="E10" s="3">
        <v>46303</v>
      </c>
      <c r="F10" s="3">
        <v>46303</v>
      </c>
      <c r="G10" s="4">
        <v>145</v>
      </c>
      <c r="H10" s="4">
        <v>145</v>
      </c>
      <c r="I10" t="s">
        <v>74</v>
      </c>
      <c r="J10" s="3">
        <v>46303</v>
      </c>
      <c r="K10" s="3">
        <v>46303</v>
      </c>
      <c r="L10" s="3">
        <v>46304</v>
      </c>
      <c r="M10" t="s">
        <v>95</v>
      </c>
      <c r="N10" s="4">
        <v>145</v>
      </c>
      <c r="O10" t="s">
        <v>96</v>
      </c>
      <c r="S10" s="3">
        <v>46303</v>
      </c>
      <c r="T10" s="18" t="str">
        <f>IF(V10="","",IF(V10="ERRO_CHAVE","VERIFICAR",IF(W10="","FORA DA PREVISÃO","PAGO")))</f>
        <v>FORA DA PREVISÃO</v>
      </c>
      <c r="U10" s="18" t="str">
        <f>IF(C10="","",IFERROR(SUBSTITUTE(IF(ISNUMBER(C10),LEFT(TRIM(MID(M10,SEARCH("tulo:",M10)+5,200)),FIND(" ",TRIM(MID(M10,SEARCH("tulo:",M10)+5,200))&amp;" ")-1),C10),"-","/"),"ERRO_TITULO"))</f>
        <v>2281/2/1</v>
      </c>
      <c r="V10" s="18" t="str">
        <f>IF(C10="","",IF(U10="ERRO_TITULO","ERRO_CHAVE",IFERROR(TRIM(RIGHT(SUBSTITUTE(A10," - ",REPT(" ",200)),200))&amp;"|"&amp;IFERROR(TEXT(VALUE(B10&amp;""),"0"),UPPER(TRIM(B10&amp;"")))&amp;"|"&amp;UPPER(TRIM(D10))&amp;"|"&amp;IFERROR(TEXT(VALUE(TRIM(MID(SUBSTITUTE(U10,"/",REPT(" ",100)),1,100))&amp;""),"0"),UPPER(TRIM(TRIM(MID(SUBSTITUTE(U10,"/",REPT(" ",100)),1,100))&amp;"")))&amp;"|"&amp;IFERROR(TEXT(VALUE(TRIM(MID(SUBSTITUTE(U10,"/",REPT(" ",100)),101,100))&amp;""),"0"),UPPER(TRIM(TRIM(MID(SUBSTITUTE(U10,"/",REPT(" ",100)),101,100))&amp;"")))&amp;"|"&amp;IFERROR(TEXT(VALUE(TRIM(MID(SUBSTITUTE(U10,"/",REPT(" ",100)),201,100))&amp;""),"0"),UPPER(TRIM(TRIM(MID(SUBSTITUTE(U10,"/",REPT(" ",100)),201,100))&amp;""))),"ERRO_CHAVE")))</f>
        <v>227526|32|DUPPER|2281|2|1</v>
      </c>
      <c r="W10" s="19" t="str">
        <f>IF(OR(V10="",V10="ERRO_CHAVE"),"",IFERROR(MATCH(V10,Despesa!$AF$1:$AF$4603,0),""))</f>
        <v/>
      </c>
      <c r="X10" s="19">
        <f>IF(OR(V10="",V10="ERRO_CHAVE"),"",COUNTIF($V$2:$V$12,V10))</f>
        <v>1</v>
      </c>
      <c r="Y10" s="20" t="str">
        <f>IF(W10="","",INDEX(Despesa!$X$1:$X$4603,W10))</f>
        <v/>
      </c>
      <c r="Z10" s="20" t="str">
        <f>IF(W10="","",ROUND(G10-Y10,2))</f>
        <v/>
      </c>
    </row>
    <row r="11" spans="1:26">
      <c r="A11" t="s">
        <v>97</v>
      </c>
      <c r="B11">
        <v>987</v>
      </c>
      <c r="C11" t="s">
        <v>98</v>
      </c>
      <c r="D11" t="s">
        <v>46</v>
      </c>
      <c r="E11" s="3">
        <v>46303</v>
      </c>
      <c r="F11" s="3">
        <v>46303</v>
      </c>
      <c r="G11" s="4">
        <v>395.5</v>
      </c>
      <c r="H11" s="4">
        <v>395.5</v>
      </c>
      <c r="I11" t="s">
        <v>74</v>
      </c>
      <c r="J11" s="3">
        <v>46303</v>
      </c>
      <c r="K11" s="3">
        <v>46303</v>
      </c>
      <c r="L11" s="3">
        <v>46304</v>
      </c>
      <c r="M11" t="s">
        <v>99</v>
      </c>
      <c r="N11" s="4">
        <v>395.5</v>
      </c>
      <c r="O11" t="s">
        <v>96</v>
      </c>
      <c r="S11" s="3">
        <v>46303</v>
      </c>
      <c r="T11" s="18" t="str">
        <f>IF(V11="","",IF(V11="ERRO_CHAVE","VERIFICAR",IF(W11="","FORA DA PREVISÃO","PAGO")))</f>
        <v>FORA DA PREVISÃO</v>
      </c>
      <c r="U11" s="18" t="str">
        <f>IF(C11="","",IFERROR(SUBSTITUTE(IF(ISNUMBER(C11),LEFT(TRIM(MID(M11,SEARCH("tulo:",M11)+5,200)),FIND(" ",TRIM(MID(M11,SEARCH("tulo:",M11)+5,200))&amp;" ")-1),C11),"-","/"),"ERRO_TITULO"))</f>
        <v>130914/1/1</v>
      </c>
      <c r="V11" s="18" t="str">
        <f>IF(C11="","",IF(U11="ERRO_TITULO","ERRO_CHAVE",IFERROR(TRIM(RIGHT(SUBSTITUTE(A11," - ",REPT(" ",200)),200))&amp;"|"&amp;IFERROR(TEXT(VALUE(B11&amp;""),"0"),UPPER(TRIM(B11&amp;"")))&amp;"|"&amp;UPPER(TRIM(D11))&amp;"|"&amp;IFERROR(TEXT(VALUE(TRIM(MID(SUBSTITUTE(U11,"/",REPT(" ",100)),1,100))&amp;""),"0"),UPPER(TRIM(TRIM(MID(SUBSTITUTE(U11,"/",REPT(" ",100)),1,100))&amp;"")))&amp;"|"&amp;IFERROR(TEXT(VALUE(TRIM(MID(SUBSTITUTE(U11,"/",REPT(" ",100)),101,100))&amp;""),"0"),UPPER(TRIM(TRIM(MID(SUBSTITUTE(U11,"/",REPT(" ",100)),101,100))&amp;"")))&amp;"|"&amp;IFERROR(TEXT(VALUE(TRIM(MID(SUBSTITUTE(U11,"/",REPT(" ",100)),201,100))&amp;""),"0"),UPPER(TRIM(TRIM(MID(SUBSTITUTE(U11,"/",REPT(" ",100)),201,100))&amp;""))),"ERRO_CHAVE")))</f>
        <v>71139|987|DUPIMO|130914|1|1</v>
      </c>
      <c r="W11" s="19" t="str">
        <f>IF(OR(V11="",V11="ERRO_CHAVE"),"",IFERROR(MATCH(V11,Despesa!$AF$1:$AF$4603,0),""))</f>
        <v/>
      </c>
      <c r="X11" s="19">
        <f>IF(OR(V11="",V11="ERRO_CHAVE"),"",COUNTIF($V$2:$V$12,V11))</f>
        <v>1</v>
      </c>
      <c r="Y11" s="20" t="str">
        <f>IF(W11="","",INDEX(Despesa!$X$1:$X$4603,W11))</f>
        <v/>
      </c>
      <c r="Z11" s="20" t="str">
        <f>IF(W11="","",ROUND(G11-Y11,2))</f>
        <v/>
      </c>
    </row>
    <row r="12" spans="1:26">
      <c r="A12" t="s">
        <v>100</v>
      </c>
      <c r="B12">
        <v>987</v>
      </c>
      <c r="C12" t="s">
        <v>101</v>
      </c>
      <c r="D12" t="s">
        <v>102</v>
      </c>
      <c r="E12" s="3">
        <v>46299</v>
      </c>
      <c r="F12" s="3">
        <v>46300</v>
      </c>
      <c r="G12" s="4">
        <v>2698</v>
      </c>
      <c r="H12" s="4">
        <v>2698</v>
      </c>
      <c r="I12" t="s">
        <v>74</v>
      </c>
      <c r="J12" s="3">
        <v>46300</v>
      </c>
      <c r="K12" s="3">
        <v>46300</v>
      </c>
      <c r="L12" s="3">
        <v>46300</v>
      </c>
      <c r="M12" t="s">
        <v>103</v>
      </c>
      <c r="N12" s="4">
        <v>2698</v>
      </c>
      <c r="O12" t="s">
        <v>76</v>
      </c>
      <c r="S12" s="3">
        <v>46300</v>
      </c>
      <c r="T12" s="18" t="str">
        <f>IF(V12="","",IF(V12="ERRO_CHAVE","VERIFICAR",IF(W12="","FORA DA PREVISÃO","PAGO")))</f>
        <v>FORA DA PREVISÃO</v>
      </c>
      <c r="U12" s="18" t="str">
        <f>IF(C12="","",IFERROR(SUBSTITUTE(IF(ISNUMBER(C12),LEFT(TRIM(MID(M12,SEARCH("tulo:",M12)+5,200)),FIND(" ",TRIM(MID(M12,SEARCH("tulo:",M12)+5,200))&amp;" ")-1),C12),"-","/"),"ERRO_TITULO"))</f>
        <v>124636/1/4</v>
      </c>
      <c r="V12" s="18" t="str">
        <f>IF(C12="","",IF(U12="ERRO_TITULO","ERRO_CHAVE",IFERROR(TRIM(RIGHT(SUBSTITUTE(A12," - ",REPT(" ",200)),200))&amp;"|"&amp;IFERROR(TEXT(VALUE(B12&amp;""),"0"),UPPER(TRIM(B12&amp;"")))&amp;"|"&amp;UPPER(TRIM(D12))&amp;"|"&amp;IFERROR(TEXT(VALUE(TRIM(MID(SUBSTITUTE(U12,"/",REPT(" ",100)),1,100))&amp;""),"0"),UPPER(TRIM(TRIM(MID(SUBSTITUTE(U12,"/",REPT(" ",100)),1,100))&amp;"")))&amp;"|"&amp;IFERROR(TEXT(VALUE(TRIM(MID(SUBSTITUTE(U12,"/",REPT(" ",100)),101,100))&amp;""),"0"),UPPER(TRIM(TRIM(MID(SUBSTITUTE(U12,"/",REPT(" ",100)),101,100))&amp;"")))&amp;"|"&amp;IFERROR(TEXT(VALUE(TRIM(MID(SUBSTITUTE(U12,"/",REPT(" ",100)),201,100))&amp;""),"0"),UPPER(TRIM(TRIM(MID(SUBSTITUTE(U12,"/",REPT(" ",100)),201,100))&amp;""))),"ERRO_CHAVE")))</f>
        <v>2125|987|IMOB|124636|1|4</v>
      </c>
      <c r="W12" s="19" t="str">
        <f>IF(OR(V12="",V12="ERRO_CHAVE"),"",IFERROR(MATCH(V12,Despesa!$AF$1:$AF$4603,0),""))</f>
        <v/>
      </c>
      <c r="X12" s="19">
        <f>IF(OR(V12="",V12="ERRO_CHAVE"),"",COUNTIF($V$2:$V$12,V12))</f>
        <v>1</v>
      </c>
      <c r="Y12" s="20" t="str">
        <f>IF(W12="","",INDEX(Despesa!$X$1:$X$4603,W12))</f>
        <v/>
      </c>
      <c r="Z12" s="20" t="str">
        <f>IF(W12="","",ROUND(G12-Y12,2))</f>
        <v/>
      </c>
    </row>
    <row r="14" spans="20:20">
      <c r="T14" s="2" t="s">
        <v>47</v>
      </c>
    </row>
  </sheetData>
  <conditionalFormatting sqref="T2:T12">
    <cfRule type="expression" dxfId="30" priority="1">
      <formula>T2="PAGO"</formula>
    </cfRule>
    <cfRule type="expression" dxfId="31" priority="2">
      <formula>T2="NÃO PAGO"</formula>
    </cfRule>
    <cfRule type="expression" dxfId="32" priority="3">
      <formula>T2="FORA DA PREVISÃO"</formula>
    </cfRule>
    <cfRule type="expression" dxfId="33" priority="4">
      <formula>T2="VERIFICAR"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631"/>
  <sheetViews>
    <sheetView topLeftCell="AE1" workbookViewId="0">
      <pane ySplit="1" topLeftCell="A2" activePane="bottomLeft" state="frozen"/>
      <selection/>
      <selection pane="bottomLeft" activeCell="AF2" sqref="AF2"/>
    </sheetView>
  </sheetViews>
  <sheetFormatPr defaultColWidth="9" defaultRowHeight="14"/>
  <cols>
    <col min="1" max="1" width="89.1333333333333" customWidth="1"/>
    <col min="2" max="2" width="9" customWidth="1"/>
    <col min="3" max="3" width="7" customWidth="1"/>
    <col min="4" max="4" width="10.7083333333333" customWidth="1"/>
    <col min="5" max="6" width="10.2833333333333" customWidth="1"/>
    <col min="7" max="7" width="8.13333333333333" customWidth="1"/>
    <col min="8" max="8" width="7.575" customWidth="1"/>
    <col min="9" max="9" width="22" customWidth="1"/>
    <col min="10" max="10" width="14.1333333333333" customWidth="1"/>
    <col min="11" max="11" width="17.2833333333333" customWidth="1"/>
    <col min="12" max="12" width="26.2833333333333" customWidth="1"/>
    <col min="13" max="13" width="15.425" customWidth="1"/>
    <col min="14" max="14" width="5.85833333333333" customWidth="1"/>
    <col min="15" max="15" width="5.425" customWidth="1"/>
    <col min="16" max="16" width="16.575" customWidth="1"/>
    <col min="17" max="17" width="6.28333333333333" customWidth="1"/>
    <col min="18" max="18" width="9" customWidth="1"/>
    <col min="19" max="19" width="8.28333333333333" customWidth="1"/>
    <col min="20" max="20" width="20.425" customWidth="1"/>
    <col min="21" max="21" width="17.425" customWidth="1"/>
    <col min="22" max="22" width="12.1333333333333" customWidth="1"/>
    <col min="23" max="23" width="13.1333333333333" customWidth="1"/>
    <col min="24" max="24" width="18.425" customWidth="1"/>
    <col min="25" max="25" width="16.1333333333333" customWidth="1"/>
    <col min="26" max="26" width="16.425" customWidth="1"/>
    <col min="27" max="27" width="5" customWidth="1"/>
    <col min="28" max="28" width="4.85833333333333" customWidth="1"/>
    <col min="29" max="29" width="11.7083333333333" customWidth="1"/>
    <col min="30" max="30" width="14.8583333333333" customWidth="1"/>
    <col min="31" max="31" width="23.1333333333333" customWidth="1"/>
    <col min="32" max="32" width="55" customWidth="1"/>
    <col min="33" max="33" width="24" customWidth="1"/>
    <col min="34" max="34" width="16" customWidth="1"/>
    <col min="35" max="35" width="22" customWidth="1"/>
    <col min="36" max="36" width="30" customWidth="1"/>
  </cols>
  <sheetData>
    <row r="1" ht="14.5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104</v>
      </c>
      <c r="Y1" s="1" t="s">
        <v>105</v>
      </c>
      <c r="Z1" s="1" t="s">
        <v>106</v>
      </c>
      <c r="AA1" s="1" t="s">
        <v>26</v>
      </c>
      <c r="AB1" s="1" t="s">
        <v>27</v>
      </c>
      <c r="AC1" s="1" t="s">
        <v>28</v>
      </c>
      <c r="AD1" s="1" t="s">
        <v>107</v>
      </c>
      <c r="AE1" s="1" t="s">
        <v>30</v>
      </c>
      <c r="AF1" s="1" t="s">
        <v>31</v>
      </c>
      <c r="AG1" s="1" t="s">
        <v>108</v>
      </c>
      <c r="AH1" s="1" t="s">
        <v>33</v>
      </c>
      <c r="AI1" s="1" t="s">
        <v>34</v>
      </c>
      <c r="AJ1" s="1" t="s">
        <v>35</v>
      </c>
    </row>
    <row r="2" spans="1:36">
      <c r="A2" s="8" t="s">
        <v>109</v>
      </c>
      <c r="B2" s="8">
        <v>987</v>
      </c>
      <c r="C2" s="8">
        <v>900</v>
      </c>
      <c r="D2" s="8" t="s">
        <v>37</v>
      </c>
      <c r="E2" s="8" t="s">
        <v>110</v>
      </c>
      <c r="F2" s="8">
        <v>2455117</v>
      </c>
      <c r="G2" s="8">
        <v>3</v>
      </c>
      <c r="H2" s="8">
        <v>1</v>
      </c>
      <c r="I2" s="8" t="s">
        <v>39</v>
      </c>
      <c r="J2" s="10">
        <v>46238</v>
      </c>
      <c r="K2" s="10">
        <v>46238</v>
      </c>
      <c r="L2" s="10">
        <v>46300</v>
      </c>
      <c r="M2" s="8">
        <v>62</v>
      </c>
      <c r="N2" s="8"/>
      <c r="O2" s="8" t="s">
        <v>40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12">
        <v>3623.76</v>
      </c>
      <c r="Y2" s="12">
        <v>3442.57</v>
      </c>
      <c r="Z2" s="12">
        <v>3442.57</v>
      </c>
      <c r="AA2" s="8" t="s">
        <v>26</v>
      </c>
      <c r="AB2" s="8" t="s">
        <v>27</v>
      </c>
      <c r="AC2" s="8"/>
      <c r="AD2" s="8"/>
      <c r="AE2" s="14" t="str">
        <f>IF(AF2="","",IF(AF2="ERRO_CHAVE","VERIFICAR",IF(AG2="","NÃO PAGO","PAGO")))</f>
        <v>NÃO PAGO</v>
      </c>
      <c r="AF2" s="14" t="str">
        <f>IF(A2="","",IFERROR(TRIM(LEFT(A2,FIND(" - ",A2)-1))&amp;"|"&amp;IFERROR(TEXT(VALUE(B2&amp;""),"0"),UPPER(TRIM(B2&amp;"")))&amp;"|"&amp;UPPER(TRIM(E2))&amp;"|"&amp;IFERROR(TEXT(VALUE(F2&amp;""),"0"),UPPER(TRIM(F2&amp;"")))&amp;"|"&amp;IFERROR(TEXT(VALUE(G2&amp;""),"0"),UPPER(TRIM(G2&amp;"")))&amp;"|"&amp;IFERROR(TEXT(VALUE(H2&amp;""),"0"),UPPER(TRIM(H2&amp;""))),"ERRO_CHAVE"))</f>
        <v>1016|987|DUPP|2455117|3|1</v>
      </c>
      <c r="AG2" s="14" t="str">
        <f>IF(OR(AF2="",AF2="ERRO_CHAVE"),"",IFERROR(MATCH(AF2,'Quitados DUPP'!$U$1:$U$6635,0),""))</f>
        <v/>
      </c>
      <c r="AH2" s="14">
        <f>IF(OR(AF2="",AF2="ERRO_CHAVE"),"",COUNTIF($AF$2:$AF$6631,AF2))</f>
        <v>1</v>
      </c>
      <c r="AI2" s="16" t="str">
        <f>IF(AG2="","",INDEX('Quitados DUPP'!$G$1:$G$6635,AG2))</f>
        <v/>
      </c>
      <c r="AJ2" s="16" t="str">
        <f>IF(AG2="","",ROUND(X2-AI2,2))</f>
        <v/>
      </c>
    </row>
    <row r="3" spans="1:36">
      <c r="A3" s="9" t="s">
        <v>109</v>
      </c>
      <c r="B3" s="9">
        <v>987</v>
      </c>
      <c r="C3" s="9">
        <v>900</v>
      </c>
      <c r="D3" s="9" t="s">
        <v>37</v>
      </c>
      <c r="E3" s="9" t="s">
        <v>110</v>
      </c>
      <c r="F3" s="9">
        <v>2455119</v>
      </c>
      <c r="G3" s="9">
        <v>3</v>
      </c>
      <c r="H3" s="9">
        <v>1</v>
      </c>
      <c r="I3" s="9" t="s">
        <v>39</v>
      </c>
      <c r="J3" s="11">
        <v>46238</v>
      </c>
      <c r="K3" s="11">
        <v>46238</v>
      </c>
      <c r="L3" s="11">
        <v>46300</v>
      </c>
      <c r="M3" s="9">
        <v>62</v>
      </c>
      <c r="N3" s="9"/>
      <c r="O3" s="9" t="s">
        <v>40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13">
        <v>4832.1</v>
      </c>
      <c r="Y3" s="13">
        <v>4590.49</v>
      </c>
      <c r="Z3" s="13">
        <v>4590.49</v>
      </c>
      <c r="AA3" s="9" t="s">
        <v>26</v>
      </c>
      <c r="AB3" s="9" t="s">
        <v>27</v>
      </c>
      <c r="AC3" s="9"/>
      <c r="AD3" s="9"/>
      <c r="AE3" s="14" t="str">
        <f>IF(AF3="","",IF(AF3="ERRO_CHAVE","VERIFICAR",IF(AG3="","NÃO PAGO","PAGO")))</f>
        <v>NÃO PAGO</v>
      </c>
      <c r="AF3" s="14" t="str">
        <f>IF(A3="","",IFERROR(TRIM(LEFT(A3,FIND(" - ",A3)-1))&amp;"|"&amp;IFERROR(TEXT(VALUE(B3&amp;""),"0"),UPPER(TRIM(B3&amp;"")))&amp;"|"&amp;UPPER(TRIM(E3))&amp;"|"&amp;IFERROR(TEXT(VALUE(F3&amp;""),"0"),UPPER(TRIM(F3&amp;"")))&amp;"|"&amp;IFERROR(TEXT(VALUE(G3&amp;""),"0"),UPPER(TRIM(G3&amp;"")))&amp;"|"&amp;IFERROR(TEXT(VALUE(H3&amp;""),"0"),UPPER(TRIM(H3&amp;""))),"ERRO_CHAVE"))</f>
        <v>1016|987|DUPP|2455119|3|1</v>
      </c>
      <c r="AG3" s="14" t="str">
        <f>IF(OR(AF3="",AF3="ERRO_CHAVE"),"",IFERROR(MATCH(AF3,'Quitados DUPP'!$U$1:$U$6635,0),""))</f>
        <v/>
      </c>
      <c r="AH3" s="14">
        <f>IF(OR(AF3="",AF3="ERRO_CHAVE"),"",COUNTIF($AF$2:$AF$6631,AF3))</f>
        <v>1</v>
      </c>
      <c r="AI3" s="16" t="str">
        <f>IF(AG3="","",INDEX('Quitados DUPP'!$G$1:$G$6635,AG3))</f>
        <v/>
      </c>
      <c r="AJ3" s="16" t="str">
        <f>IF(AG3="","",ROUND(X3-AI3,2))</f>
        <v/>
      </c>
    </row>
    <row r="4" spans="1:36">
      <c r="A4" s="8" t="s">
        <v>109</v>
      </c>
      <c r="B4" s="8">
        <v>987</v>
      </c>
      <c r="C4" s="8">
        <v>900</v>
      </c>
      <c r="D4" s="8" t="s">
        <v>37</v>
      </c>
      <c r="E4" s="8" t="s">
        <v>110</v>
      </c>
      <c r="F4" s="8">
        <v>2455121</v>
      </c>
      <c r="G4" s="8">
        <v>3</v>
      </c>
      <c r="H4" s="8">
        <v>1</v>
      </c>
      <c r="I4" s="8" t="s">
        <v>39</v>
      </c>
      <c r="J4" s="10">
        <v>46238</v>
      </c>
      <c r="K4" s="10">
        <v>46238</v>
      </c>
      <c r="L4" s="10">
        <v>46300</v>
      </c>
      <c r="M4" s="8">
        <v>62</v>
      </c>
      <c r="N4" s="8"/>
      <c r="O4" s="8" t="s">
        <v>40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12">
        <v>2198.4</v>
      </c>
      <c r="Y4" s="12">
        <v>2088.48</v>
      </c>
      <c r="Z4" s="12">
        <v>2088.48</v>
      </c>
      <c r="AA4" s="8" t="s">
        <v>26</v>
      </c>
      <c r="AB4" s="8" t="s">
        <v>27</v>
      </c>
      <c r="AC4" s="8"/>
      <c r="AD4" s="8"/>
      <c r="AE4" s="14" t="str">
        <f>IF(AF4="","",IF(AF4="ERRO_CHAVE","VERIFICAR",IF(AG4="","NÃO PAGO","PAGO")))</f>
        <v>NÃO PAGO</v>
      </c>
      <c r="AF4" s="14" t="str">
        <f>IF(A4="","",IFERROR(TRIM(LEFT(A4,FIND(" - ",A4)-1))&amp;"|"&amp;IFERROR(TEXT(VALUE(B4&amp;""),"0"),UPPER(TRIM(B4&amp;"")))&amp;"|"&amp;UPPER(TRIM(E4))&amp;"|"&amp;IFERROR(TEXT(VALUE(F4&amp;""),"0"),UPPER(TRIM(F4&amp;"")))&amp;"|"&amp;IFERROR(TEXT(VALUE(G4&amp;""),"0"),UPPER(TRIM(G4&amp;"")))&amp;"|"&amp;IFERROR(TEXT(VALUE(H4&amp;""),"0"),UPPER(TRIM(H4&amp;""))),"ERRO_CHAVE"))</f>
        <v>1016|987|DUPP|2455121|3|1</v>
      </c>
      <c r="AG4" s="14" t="str">
        <f>IF(OR(AF4="",AF4="ERRO_CHAVE"),"",IFERROR(MATCH(AF4,'Quitados DUPP'!$U$1:$U$6635,0),""))</f>
        <v/>
      </c>
      <c r="AH4" s="14">
        <f>IF(OR(AF4="",AF4="ERRO_CHAVE"),"",COUNTIF($AF$2:$AF$6631,AF4))</f>
        <v>1</v>
      </c>
      <c r="AI4" s="16" t="str">
        <f>IF(AG4="","",INDEX('Quitados DUPP'!$G$1:$G$6635,AG4))</f>
        <v/>
      </c>
      <c r="AJ4" s="16" t="str">
        <f>IF(AG4="","",ROUND(X4-AI4,2))</f>
        <v/>
      </c>
    </row>
    <row r="5" spans="1:36">
      <c r="A5" s="9" t="s">
        <v>109</v>
      </c>
      <c r="B5" s="9">
        <v>2</v>
      </c>
      <c r="C5" s="9">
        <v>900</v>
      </c>
      <c r="D5" s="9" t="s">
        <v>37</v>
      </c>
      <c r="E5" s="9" t="s">
        <v>111</v>
      </c>
      <c r="F5" s="9">
        <v>2456079</v>
      </c>
      <c r="G5" s="9">
        <v>3</v>
      </c>
      <c r="H5" s="9">
        <v>1</v>
      </c>
      <c r="I5" s="9" t="s">
        <v>39</v>
      </c>
      <c r="J5" s="11">
        <v>46238</v>
      </c>
      <c r="K5" s="11">
        <v>46240</v>
      </c>
      <c r="L5" s="11">
        <v>46300</v>
      </c>
      <c r="M5" s="9">
        <v>62</v>
      </c>
      <c r="N5" s="9"/>
      <c r="O5" s="9" t="s">
        <v>40</v>
      </c>
      <c r="P5" s="9">
        <v>0</v>
      </c>
      <c r="Q5" s="9">
        <v>2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13">
        <v>1682.48</v>
      </c>
      <c r="Y5" s="13">
        <v>1640.42</v>
      </c>
      <c r="Z5" s="13">
        <v>1640.42</v>
      </c>
      <c r="AA5" s="9" t="s">
        <v>26</v>
      </c>
      <c r="AB5" s="9" t="s">
        <v>27</v>
      </c>
      <c r="AC5" s="9"/>
      <c r="AD5" s="9"/>
      <c r="AE5" s="14" t="str">
        <f>IF(AF5="","",IF(AF5="ERRO_CHAVE","VERIFICAR",IF(AG5="","NÃO PAGO","PAGO")))</f>
        <v>NÃO PAGO</v>
      </c>
      <c r="AF5" s="14" t="str">
        <f>IF(A5="","",IFERROR(TRIM(LEFT(A5,FIND(" - ",A5)-1))&amp;"|"&amp;IFERROR(TEXT(VALUE(B5&amp;""),"0"),UPPER(TRIM(B5&amp;"")))&amp;"|"&amp;UPPER(TRIM(E5))&amp;"|"&amp;IFERROR(TEXT(VALUE(F5&amp;""),"0"),UPPER(TRIM(F5&amp;"")))&amp;"|"&amp;IFERROR(TEXT(VALUE(G5&amp;""),"0"),UPPER(TRIM(G5&amp;"")))&amp;"|"&amp;IFERROR(TEXT(VALUE(H5&amp;""),"0"),UPPER(TRIM(H5&amp;""))),"ERRO_CHAVE"))</f>
        <v>1016|2|DUPTRA|2456079|3|1</v>
      </c>
      <c r="AG5" s="14" t="str">
        <f>IF(OR(AF5="",AF5="ERRO_CHAVE"),"",IFERROR(MATCH(AF5,'Quitados DUPP'!$U$1:$U$6635,0),""))</f>
        <v/>
      </c>
      <c r="AH5" s="14">
        <f>IF(OR(AF5="",AF5="ERRO_CHAVE"),"",COUNTIF($AF$2:$AF$6631,AF5))</f>
        <v>1</v>
      </c>
      <c r="AI5" s="16" t="str">
        <f>IF(AG5="","",INDEX('Quitados DUPP'!$G$1:$G$6635,AG5))</f>
        <v/>
      </c>
      <c r="AJ5" s="16" t="str">
        <f>IF(AG5="","",ROUND(X5-AI5,2))</f>
        <v/>
      </c>
    </row>
    <row r="6" spans="1:36">
      <c r="A6" s="8" t="s">
        <v>109</v>
      </c>
      <c r="B6" s="8">
        <v>23</v>
      </c>
      <c r="C6" s="8">
        <v>900</v>
      </c>
      <c r="D6" s="8" t="s">
        <v>37</v>
      </c>
      <c r="E6" s="8" t="s">
        <v>111</v>
      </c>
      <c r="F6" s="8">
        <v>2456362</v>
      </c>
      <c r="G6" s="8">
        <v>3</v>
      </c>
      <c r="H6" s="8">
        <v>1</v>
      </c>
      <c r="I6" s="8" t="s">
        <v>39</v>
      </c>
      <c r="J6" s="10">
        <v>46239</v>
      </c>
      <c r="K6" s="10">
        <v>46239</v>
      </c>
      <c r="L6" s="10">
        <v>46300</v>
      </c>
      <c r="M6" s="8">
        <v>61</v>
      </c>
      <c r="N6" s="8"/>
      <c r="O6" s="8" t="s">
        <v>40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12">
        <v>374.45</v>
      </c>
      <c r="Y6" s="12">
        <v>365.09</v>
      </c>
      <c r="Z6" s="12">
        <v>365.09</v>
      </c>
      <c r="AA6" s="8" t="s">
        <v>26</v>
      </c>
      <c r="AB6" s="8" t="s">
        <v>27</v>
      </c>
      <c r="AC6" s="8"/>
      <c r="AD6" s="8"/>
      <c r="AE6" s="14" t="str">
        <f>IF(AF6="","",IF(AF6="ERRO_CHAVE","VERIFICAR",IF(AG6="","NÃO PAGO","PAGO")))</f>
        <v>NÃO PAGO</v>
      </c>
      <c r="AF6" s="14" t="str">
        <f>IF(A6="","",IFERROR(TRIM(LEFT(A6,FIND(" - ",A6)-1))&amp;"|"&amp;IFERROR(TEXT(VALUE(B6&amp;""),"0"),UPPER(TRIM(B6&amp;"")))&amp;"|"&amp;UPPER(TRIM(E6))&amp;"|"&amp;IFERROR(TEXT(VALUE(F6&amp;""),"0"),UPPER(TRIM(F6&amp;"")))&amp;"|"&amp;IFERROR(TEXT(VALUE(G6&amp;""),"0"),UPPER(TRIM(G6&amp;"")))&amp;"|"&amp;IFERROR(TEXT(VALUE(H6&amp;""),"0"),UPPER(TRIM(H6&amp;""))),"ERRO_CHAVE"))</f>
        <v>1016|23|DUPTRA|2456362|3|1</v>
      </c>
      <c r="AG6" s="14" t="str">
        <f>IF(OR(AF6="",AF6="ERRO_CHAVE"),"",IFERROR(MATCH(AF6,'Quitados DUPP'!$U$1:$U$6635,0),""))</f>
        <v/>
      </c>
      <c r="AH6" s="14">
        <f>IF(OR(AF6="",AF6="ERRO_CHAVE"),"",COUNTIF($AF$2:$AF$6631,AF6))</f>
        <v>1</v>
      </c>
      <c r="AI6" s="16" t="str">
        <f>IF(AG6="","",INDEX('Quitados DUPP'!$G$1:$G$6635,AG6))</f>
        <v/>
      </c>
      <c r="AJ6" s="16" t="str">
        <f>IF(AG6="","",ROUND(X6-AI6,2))</f>
        <v/>
      </c>
    </row>
    <row r="7" spans="1:36">
      <c r="A7" s="9" t="s">
        <v>109</v>
      </c>
      <c r="B7" s="9">
        <v>23</v>
      </c>
      <c r="C7" s="9">
        <v>900</v>
      </c>
      <c r="D7" s="9" t="s">
        <v>37</v>
      </c>
      <c r="E7" s="9" t="s">
        <v>111</v>
      </c>
      <c r="F7" s="9">
        <v>2456363</v>
      </c>
      <c r="G7" s="9">
        <v>3</v>
      </c>
      <c r="H7" s="9">
        <v>1</v>
      </c>
      <c r="I7" s="9" t="s">
        <v>39</v>
      </c>
      <c r="J7" s="11">
        <v>46239</v>
      </c>
      <c r="K7" s="11">
        <v>46239</v>
      </c>
      <c r="L7" s="11">
        <v>46300</v>
      </c>
      <c r="M7" s="9">
        <v>61</v>
      </c>
      <c r="N7" s="9"/>
      <c r="O7" s="9" t="s">
        <v>40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13">
        <v>811.76</v>
      </c>
      <c r="Y7" s="13">
        <v>791.47</v>
      </c>
      <c r="Z7" s="13">
        <v>791.47</v>
      </c>
      <c r="AA7" s="9" t="s">
        <v>26</v>
      </c>
      <c r="AB7" s="9" t="s">
        <v>27</v>
      </c>
      <c r="AC7" s="9"/>
      <c r="AD7" s="9"/>
      <c r="AE7" s="14" t="str">
        <f>IF(AF7="","",IF(AF7="ERRO_CHAVE","VERIFICAR",IF(AG7="","NÃO PAGO","PAGO")))</f>
        <v>NÃO PAGO</v>
      </c>
      <c r="AF7" s="14" t="str">
        <f>IF(A7="","",IFERROR(TRIM(LEFT(A7,FIND(" - ",A7)-1))&amp;"|"&amp;IFERROR(TEXT(VALUE(B7&amp;""),"0"),UPPER(TRIM(B7&amp;"")))&amp;"|"&amp;UPPER(TRIM(E7))&amp;"|"&amp;IFERROR(TEXT(VALUE(F7&amp;""),"0"),UPPER(TRIM(F7&amp;"")))&amp;"|"&amp;IFERROR(TEXT(VALUE(G7&amp;""),"0"),UPPER(TRIM(G7&amp;"")))&amp;"|"&amp;IFERROR(TEXT(VALUE(H7&amp;""),"0"),UPPER(TRIM(H7&amp;""))),"ERRO_CHAVE"))</f>
        <v>1016|23|DUPTRA|2456363|3|1</v>
      </c>
      <c r="AG7" s="14" t="str">
        <f>IF(OR(AF7="",AF7="ERRO_CHAVE"),"",IFERROR(MATCH(AF7,'Quitados DUPP'!$U$1:$U$6635,0),""))</f>
        <v/>
      </c>
      <c r="AH7" s="14">
        <f>IF(OR(AF7="",AF7="ERRO_CHAVE"),"",COUNTIF($AF$2:$AF$6631,AF7))</f>
        <v>1</v>
      </c>
      <c r="AI7" s="16" t="str">
        <f>IF(AG7="","",INDEX('Quitados DUPP'!$G$1:$G$6635,AG7))</f>
        <v/>
      </c>
      <c r="AJ7" s="16" t="str">
        <f>IF(AG7="","",ROUND(X7-AI7,2))</f>
        <v/>
      </c>
    </row>
    <row r="8" spans="1:36">
      <c r="A8" s="8" t="s">
        <v>112</v>
      </c>
      <c r="B8" s="8">
        <v>987</v>
      </c>
      <c r="C8" s="8">
        <v>900</v>
      </c>
      <c r="D8" s="8" t="s">
        <v>37</v>
      </c>
      <c r="E8" s="8" t="s">
        <v>110</v>
      </c>
      <c r="F8" s="8">
        <v>5588411</v>
      </c>
      <c r="G8" s="8">
        <v>1</v>
      </c>
      <c r="H8" s="8">
        <v>1</v>
      </c>
      <c r="I8" s="8" t="s">
        <v>39</v>
      </c>
      <c r="J8" s="10">
        <v>46265</v>
      </c>
      <c r="K8" s="10">
        <v>46269</v>
      </c>
      <c r="L8" s="10">
        <v>46300</v>
      </c>
      <c r="M8" s="8">
        <v>35</v>
      </c>
      <c r="N8" s="8"/>
      <c r="O8" s="8" t="s">
        <v>40</v>
      </c>
      <c r="P8" s="8">
        <v>0</v>
      </c>
      <c r="Q8" s="8">
        <v>4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12">
        <v>20249.84</v>
      </c>
      <c r="Y8" s="12">
        <v>20249.84</v>
      </c>
      <c r="Z8" s="12">
        <v>20249.84</v>
      </c>
      <c r="AA8" s="8" t="s">
        <v>26</v>
      </c>
      <c r="AB8" s="8" t="s">
        <v>27</v>
      </c>
      <c r="AC8" s="8"/>
      <c r="AD8" s="8"/>
      <c r="AE8" s="14" t="str">
        <f>IF(AF8="","",IF(AF8="ERRO_CHAVE","VERIFICAR",IF(AG8="","NÃO PAGO","PAGO")))</f>
        <v>NÃO PAGO</v>
      </c>
      <c r="AF8" s="14" t="str">
        <f>IF(A8="","",IFERROR(TRIM(LEFT(A8,FIND(" - ",A8)-1))&amp;"|"&amp;IFERROR(TEXT(VALUE(B8&amp;""),"0"),UPPER(TRIM(B8&amp;"")))&amp;"|"&amp;UPPER(TRIM(E8))&amp;"|"&amp;IFERROR(TEXT(VALUE(F8&amp;""),"0"),UPPER(TRIM(F8&amp;"")))&amp;"|"&amp;IFERROR(TEXT(VALUE(G8&amp;""),"0"),UPPER(TRIM(G8&amp;"")))&amp;"|"&amp;IFERROR(TEXT(VALUE(H8&amp;""),"0"),UPPER(TRIM(H8&amp;""))),"ERRO_CHAVE"))</f>
        <v>1019|987|DUPP|5588411|1|1</v>
      </c>
      <c r="AG8" s="14" t="str">
        <f>IF(OR(AF8="",AF8="ERRO_CHAVE"),"",IFERROR(MATCH(AF8,'Quitados DUPP'!$U$1:$U$6635,0),""))</f>
        <v/>
      </c>
      <c r="AH8" s="14">
        <f>IF(OR(AF8="",AF8="ERRO_CHAVE"),"",COUNTIF($AF$2:$AF$6631,AF8))</f>
        <v>1</v>
      </c>
      <c r="AI8" s="16" t="str">
        <f>IF(AG8="","",INDEX('Quitados DUPP'!$G$1:$G$6635,AG8))</f>
        <v/>
      </c>
      <c r="AJ8" s="16" t="str">
        <f>IF(AG8="","",ROUND(X8-AI8,2))</f>
        <v/>
      </c>
    </row>
    <row r="9" spans="1:36">
      <c r="A9" s="9" t="s">
        <v>112</v>
      </c>
      <c r="B9" s="9">
        <v>987</v>
      </c>
      <c r="C9" s="9">
        <v>900</v>
      </c>
      <c r="D9" s="9" t="s">
        <v>37</v>
      </c>
      <c r="E9" s="9" t="s">
        <v>110</v>
      </c>
      <c r="F9" s="9">
        <v>5588412</v>
      </c>
      <c r="G9" s="9">
        <v>1</v>
      </c>
      <c r="H9" s="9">
        <v>1</v>
      </c>
      <c r="I9" s="9" t="s">
        <v>39</v>
      </c>
      <c r="J9" s="11">
        <v>46265</v>
      </c>
      <c r="K9" s="11">
        <v>46269</v>
      </c>
      <c r="L9" s="11">
        <v>46300</v>
      </c>
      <c r="M9" s="9">
        <v>35</v>
      </c>
      <c r="N9" s="9"/>
      <c r="O9" s="9" t="s">
        <v>40</v>
      </c>
      <c r="P9" s="9">
        <v>0</v>
      </c>
      <c r="Q9" s="9">
        <v>4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13">
        <v>33352.51</v>
      </c>
      <c r="Y9" s="13">
        <v>33352.51</v>
      </c>
      <c r="Z9" s="13">
        <v>33352.51</v>
      </c>
      <c r="AA9" s="9" t="s">
        <v>26</v>
      </c>
      <c r="AB9" s="9" t="s">
        <v>27</v>
      </c>
      <c r="AC9" s="9"/>
      <c r="AD9" s="9"/>
      <c r="AE9" s="14" t="str">
        <f>IF(AF9="","",IF(AF9="ERRO_CHAVE","VERIFICAR",IF(AG9="","NÃO PAGO","PAGO")))</f>
        <v>NÃO PAGO</v>
      </c>
      <c r="AF9" s="14" t="str">
        <f>IF(A9="","",IFERROR(TRIM(LEFT(A9,FIND(" - ",A9)-1))&amp;"|"&amp;IFERROR(TEXT(VALUE(B9&amp;""),"0"),UPPER(TRIM(B9&amp;"")))&amp;"|"&amp;UPPER(TRIM(E9))&amp;"|"&amp;IFERROR(TEXT(VALUE(F9&amp;""),"0"),UPPER(TRIM(F9&amp;"")))&amp;"|"&amp;IFERROR(TEXT(VALUE(G9&amp;""),"0"),UPPER(TRIM(G9&amp;"")))&amp;"|"&amp;IFERROR(TEXT(VALUE(H9&amp;""),"0"),UPPER(TRIM(H9&amp;""))),"ERRO_CHAVE"))</f>
        <v>1019|987|DUPP|5588412|1|1</v>
      </c>
      <c r="AG9" s="14" t="str">
        <f>IF(OR(AF9="",AF9="ERRO_CHAVE"),"",IFERROR(MATCH(AF9,'Quitados DUPP'!$U$1:$U$6635,0),""))</f>
        <v/>
      </c>
      <c r="AH9" s="14">
        <f>IF(OR(AF9="",AF9="ERRO_CHAVE"),"",COUNTIF($AF$2:$AF$6631,AF9))</f>
        <v>1</v>
      </c>
      <c r="AI9" s="16" t="str">
        <f>IF(AG9="","",INDEX('Quitados DUPP'!$G$1:$G$6635,AG9))</f>
        <v/>
      </c>
      <c r="AJ9" s="16" t="str">
        <f>IF(AG9="","",ROUND(X9-AI9,2))</f>
        <v/>
      </c>
    </row>
    <row r="10" spans="1:36">
      <c r="A10" s="8" t="s">
        <v>112</v>
      </c>
      <c r="B10" s="8">
        <v>987</v>
      </c>
      <c r="C10" s="8">
        <v>900</v>
      </c>
      <c r="D10" s="8" t="s">
        <v>37</v>
      </c>
      <c r="E10" s="8" t="s">
        <v>110</v>
      </c>
      <c r="F10" s="8">
        <v>5588407</v>
      </c>
      <c r="G10" s="8">
        <v>1</v>
      </c>
      <c r="H10" s="8">
        <v>1</v>
      </c>
      <c r="I10" s="8" t="s">
        <v>39</v>
      </c>
      <c r="J10" s="10">
        <v>46265</v>
      </c>
      <c r="K10" s="10">
        <v>46267</v>
      </c>
      <c r="L10" s="10">
        <v>46300</v>
      </c>
      <c r="M10" s="8">
        <v>35</v>
      </c>
      <c r="N10" s="8"/>
      <c r="O10" s="8" t="s">
        <v>40</v>
      </c>
      <c r="P10" s="8">
        <v>0</v>
      </c>
      <c r="Q10" s="8">
        <v>2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12">
        <v>3842.95</v>
      </c>
      <c r="Y10" s="12">
        <v>3842.95</v>
      </c>
      <c r="Z10" s="12">
        <v>3842.95</v>
      </c>
      <c r="AA10" s="8" t="s">
        <v>26</v>
      </c>
      <c r="AB10" s="8" t="s">
        <v>27</v>
      </c>
      <c r="AC10" s="8"/>
      <c r="AD10" s="8"/>
      <c r="AE10" s="14" t="str">
        <f>IF(AF10="","",IF(AF10="ERRO_CHAVE","VERIFICAR",IF(AG10="","NÃO PAGO","PAGO")))</f>
        <v>NÃO PAGO</v>
      </c>
      <c r="AF10" s="14" t="str">
        <f>IF(A10="","",IFERROR(TRIM(LEFT(A10,FIND(" - ",A10)-1))&amp;"|"&amp;IFERROR(TEXT(VALUE(B10&amp;""),"0"),UPPER(TRIM(B10&amp;"")))&amp;"|"&amp;UPPER(TRIM(E10))&amp;"|"&amp;IFERROR(TEXT(VALUE(F10&amp;""),"0"),UPPER(TRIM(F10&amp;"")))&amp;"|"&amp;IFERROR(TEXT(VALUE(G10&amp;""),"0"),UPPER(TRIM(G10&amp;"")))&amp;"|"&amp;IFERROR(TEXT(VALUE(H10&amp;""),"0"),UPPER(TRIM(H10&amp;""))),"ERRO_CHAVE"))</f>
        <v>1019|987|DUPP|5588407|1|1</v>
      </c>
      <c r="AG10" s="14" t="str">
        <f>IF(OR(AF10="",AF10="ERRO_CHAVE"),"",IFERROR(MATCH(AF10,'Quitados DUPP'!$U$1:$U$6635,0),""))</f>
        <v/>
      </c>
      <c r="AH10" s="14">
        <f>IF(OR(AF10="",AF10="ERRO_CHAVE"),"",COUNTIF($AF$2:$AF$6631,AF10))</f>
        <v>1</v>
      </c>
      <c r="AI10" s="16" t="str">
        <f>IF(AG10="","",INDEX('Quitados DUPP'!$G$1:$G$6635,AG10))</f>
        <v/>
      </c>
      <c r="AJ10" s="16" t="str">
        <f>IF(AG10="","",ROUND(X10-AI10,2))</f>
        <v/>
      </c>
    </row>
    <row r="11" spans="1:36">
      <c r="A11" s="9" t="s">
        <v>112</v>
      </c>
      <c r="B11" s="9">
        <v>987</v>
      </c>
      <c r="C11" s="9">
        <v>900</v>
      </c>
      <c r="D11" s="9" t="s">
        <v>37</v>
      </c>
      <c r="E11" s="9" t="s">
        <v>110</v>
      </c>
      <c r="F11" s="9">
        <v>5588409</v>
      </c>
      <c r="G11" s="9">
        <v>1</v>
      </c>
      <c r="H11" s="9">
        <v>1</v>
      </c>
      <c r="I11" s="9" t="s">
        <v>39</v>
      </c>
      <c r="J11" s="11">
        <v>46265</v>
      </c>
      <c r="K11" s="11">
        <v>46267</v>
      </c>
      <c r="L11" s="11">
        <v>46300</v>
      </c>
      <c r="M11" s="9">
        <v>35</v>
      </c>
      <c r="N11" s="9"/>
      <c r="O11" s="9" t="s">
        <v>40</v>
      </c>
      <c r="P11" s="9">
        <v>0</v>
      </c>
      <c r="Q11" s="9">
        <v>2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13">
        <v>26239.63</v>
      </c>
      <c r="Y11" s="13">
        <v>24941.82</v>
      </c>
      <c r="Z11" s="13">
        <v>24941.82</v>
      </c>
      <c r="AA11" s="9" t="s">
        <v>26</v>
      </c>
      <c r="AB11" s="9"/>
      <c r="AC11" s="9"/>
      <c r="AD11" s="9"/>
      <c r="AE11" s="14" t="str">
        <f>IF(AF11="","",IF(AF11="ERRO_CHAVE","VERIFICAR",IF(AG11="","NÃO PAGO","PAGO")))</f>
        <v>NÃO PAGO</v>
      </c>
      <c r="AF11" s="14" t="str">
        <f>IF(A11="","",IFERROR(TRIM(LEFT(A11,FIND(" - ",A11)-1))&amp;"|"&amp;IFERROR(TEXT(VALUE(B11&amp;""),"0"),UPPER(TRIM(B11&amp;"")))&amp;"|"&amp;UPPER(TRIM(E11))&amp;"|"&amp;IFERROR(TEXT(VALUE(F11&amp;""),"0"),UPPER(TRIM(F11&amp;"")))&amp;"|"&amp;IFERROR(TEXT(VALUE(G11&amp;""),"0"),UPPER(TRIM(G11&amp;"")))&amp;"|"&amp;IFERROR(TEXT(VALUE(H11&amp;""),"0"),UPPER(TRIM(H11&amp;""))),"ERRO_CHAVE"))</f>
        <v>1019|987|DUPP|5588409|1|1</v>
      </c>
      <c r="AG11" s="14" t="str">
        <f>IF(OR(AF11="",AF11="ERRO_CHAVE"),"",IFERROR(MATCH(AF11,'Quitados DUPP'!$U$1:$U$6635,0),""))</f>
        <v/>
      </c>
      <c r="AH11" s="14">
        <f>IF(OR(AF11="",AF11="ERRO_CHAVE"),"",COUNTIF($AF$2:$AF$6631,AF11))</f>
        <v>1</v>
      </c>
      <c r="AI11" s="16" t="str">
        <f>IF(AG11="","",INDEX('Quitados DUPP'!$G$1:$G$6635,AG11))</f>
        <v/>
      </c>
      <c r="AJ11" s="16" t="str">
        <f>IF(AG11="","",ROUND(X11-AI11,2))</f>
        <v/>
      </c>
    </row>
    <row r="12" spans="1:36">
      <c r="A12" s="8" t="s">
        <v>112</v>
      </c>
      <c r="B12" s="8">
        <v>987</v>
      </c>
      <c r="C12" s="8">
        <v>900</v>
      </c>
      <c r="D12" s="8" t="s">
        <v>37</v>
      </c>
      <c r="E12" s="8" t="s">
        <v>110</v>
      </c>
      <c r="F12" s="8">
        <v>5588410</v>
      </c>
      <c r="G12" s="8">
        <v>1</v>
      </c>
      <c r="H12" s="8">
        <v>1</v>
      </c>
      <c r="I12" s="8" t="s">
        <v>39</v>
      </c>
      <c r="J12" s="10">
        <v>46265</v>
      </c>
      <c r="K12" s="10">
        <v>46267</v>
      </c>
      <c r="L12" s="10">
        <v>46300</v>
      </c>
      <c r="M12" s="8">
        <v>35</v>
      </c>
      <c r="N12" s="8"/>
      <c r="O12" s="8" t="s">
        <v>40</v>
      </c>
      <c r="P12" s="8">
        <v>0</v>
      </c>
      <c r="Q12" s="8">
        <v>2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12">
        <v>5378.57</v>
      </c>
      <c r="Y12" s="12">
        <v>5378.57</v>
      </c>
      <c r="Z12" s="12">
        <v>5378.57</v>
      </c>
      <c r="AA12" s="8" t="s">
        <v>26</v>
      </c>
      <c r="AB12" s="8"/>
      <c r="AC12" s="8"/>
      <c r="AD12" s="8"/>
      <c r="AE12" s="14" t="str">
        <f>IF(AF12="","",IF(AF12="ERRO_CHAVE","VERIFICAR",IF(AG12="","NÃO PAGO","PAGO")))</f>
        <v>NÃO PAGO</v>
      </c>
      <c r="AF12" s="14" t="str">
        <f>IF(A12="","",IFERROR(TRIM(LEFT(A12,FIND(" - ",A12)-1))&amp;"|"&amp;IFERROR(TEXT(VALUE(B12&amp;""),"0"),UPPER(TRIM(B12&amp;"")))&amp;"|"&amp;UPPER(TRIM(E12))&amp;"|"&amp;IFERROR(TEXT(VALUE(F12&amp;""),"0"),UPPER(TRIM(F12&amp;"")))&amp;"|"&amp;IFERROR(TEXT(VALUE(G12&amp;""),"0"),UPPER(TRIM(G12&amp;"")))&amp;"|"&amp;IFERROR(TEXT(VALUE(H12&amp;""),"0"),UPPER(TRIM(H12&amp;""))),"ERRO_CHAVE"))</f>
        <v>1019|987|DUPP|5588410|1|1</v>
      </c>
      <c r="AG12" s="14" t="str">
        <f>IF(OR(AF12="",AF12="ERRO_CHAVE"),"",IFERROR(MATCH(AF12,'Quitados DUPP'!$U$1:$U$6635,0),""))</f>
        <v/>
      </c>
      <c r="AH12" s="14">
        <f>IF(OR(AF12="",AF12="ERRO_CHAVE"),"",COUNTIF($AF$2:$AF$6631,AF12))</f>
        <v>1</v>
      </c>
      <c r="AI12" s="16" t="str">
        <f>IF(AG12="","",INDEX('Quitados DUPP'!$G$1:$G$6635,AG12))</f>
        <v/>
      </c>
      <c r="AJ12" s="16" t="str">
        <f>IF(AG12="","",ROUND(X12-AI12,2))</f>
        <v/>
      </c>
    </row>
    <row r="13" spans="31:36">
      <c r="AE13" s="15" t="str">
        <f t="shared" ref="AE13:AE6631" si="0">IF(AF13="","",IF(AF13="ERRO_CHAVE","VERIFICAR",IF(AG13="","NÃO PAGO","PAGO")))</f>
        <v/>
      </c>
      <c r="AF13" s="15" t="str">
        <f t="shared" ref="AF13:AF6631" si="1">IF(A13="","",IFERROR(TRIM(LEFT(A13,FIND(" - ",A13)-1))&amp;"|"&amp;IFERROR(TEXT(VALUE(B13&amp;""),"0"),UPPER(TRIM(B13&amp;"")))&amp;"|"&amp;UPPER(TRIM(E13))&amp;"|"&amp;IFERROR(TEXT(VALUE(F13&amp;""),"0"),UPPER(TRIM(F13&amp;"")))&amp;"|"&amp;IFERROR(TEXT(VALUE(G13&amp;""),"0"),UPPER(TRIM(G13&amp;"")))&amp;"|"&amp;IFERROR(TEXT(VALUE(H13&amp;""),"0"),UPPER(TRIM(H13&amp;""))),"ERRO_CHAVE"))</f>
        <v/>
      </c>
      <c r="AG13" s="15" t="str">
        <f>IF(OR(AF13="",AF13="ERRO_CHAVE"),"",IFERROR(MATCH(AF13,'Quitados DUPP'!$U$1:$U$6635,0),""))</f>
        <v/>
      </c>
      <c r="AH13" s="15" t="str">
        <f t="shared" ref="AH13:AH6631" si="2">IF(OR(AF13="",AF13="ERRO_CHAVE"),"",COUNTIF($AF$2:$AF$6631,AF13))</f>
        <v/>
      </c>
      <c r="AI13" s="17" t="str">
        <f>IF(AG13="","",INDEX('Quitados DUPP'!$G$1:$G$6635,AG13))</f>
        <v/>
      </c>
      <c r="AJ13" s="17" t="str">
        <f t="shared" ref="AJ13:AJ6631" si="3">IF(AG13="","",ROUND(X13-AI13,2))</f>
        <v/>
      </c>
    </row>
    <row r="14" spans="31:36">
      <c r="AE14" s="15" t="s">
        <v>47</v>
      </c>
      <c r="AF14" s="15" t="str">
        <f t="shared" si="1"/>
        <v/>
      </c>
      <c r="AG14" s="15" t="str">
        <f>IF(OR(AF14="",AF14="ERRO_CHAVE"),"",IFERROR(MATCH(AF14,'Quitados DUPP'!$U$1:$U$6635,0),""))</f>
        <v/>
      </c>
      <c r="AH14" s="15" t="str">
        <f t="shared" si="2"/>
        <v/>
      </c>
      <c r="AI14" s="17" t="str">
        <f>IF(AG14="","",INDEX('Quitados DUPP'!$G$1:$G$6635,AG14))</f>
        <v/>
      </c>
      <c r="AJ14" s="17" t="str">
        <f t="shared" si="3"/>
        <v/>
      </c>
    </row>
    <row r="15" spans="31:36">
      <c r="AE15" s="15" t="str">
        <f t="shared" si="0"/>
        <v/>
      </c>
      <c r="AF15" s="15" t="str">
        <f t="shared" si="1"/>
        <v/>
      </c>
      <c r="AG15" s="15" t="str">
        <f>IF(OR(AF15="",AF15="ERRO_CHAVE"),"",IFERROR(MATCH(AF15,'Quitados DUPP'!$U$1:$U$6635,0),""))</f>
        <v/>
      </c>
      <c r="AH15" s="15" t="str">
        <f t="shared" si="2"/>
        <v/>
      </c>
      <c r="AI15" s="17" t="str">
        <f>IF(AG15="","",INDEX('Quitados DUPP'!$G$1:$G$6635,AG15))</f>
        <v/>
      </c>
      <c r="AJ15" s="17" t="str">
        <f t="shared" si="3"/>
        <v/>
      </c>
    </row>
    <row r="16" spans="31:36">
      <c r="AE16" s="15" t="str">
        <f t="shared" si="0"/>
        <v/>
      </c>
      <c r="AF16" s="15" t="str">
        <f t="shared" si="1"/>
        <v/>
      </c>
      <c r="AG16" s="15" t="str">
        <f>IF(OR(AF16="",AF16="ERRO_CHAVE"),"",IFERROR(MATCH(AF16,'Quitados DUPP'!$U$1:$U$6635,0),""))</f>
        <v/>
      </c>
      <c r="AH16" s="15" t="str">
        <f t="shared" si="2"/>
        <v/>
      </c>
      <c r="AI16" s="17" t="str">
        <f>IF(AG16="","",INDEX('Quitados DUPP'!$G$1:$G$6635,AG16))</f>
        <v/>
      </c>
      <c r="AJ16" s="17" t="str">
        <f t="shared" si="3"/>
        <v/>
      </c>
    </row>
    <row r="17" spans="31:36">
      <c r="AE17" s="15" t="str">
        <f t="shared" si="0"/>
        <v/>
      </c>
      <c r="AF17" s="15" t="str">
        <f t="shared" si="1"/>
        <v/>
      </c>
      <c r="AG17" s="15" t="str">
        <f>IF(OR(AF17="",AF17="ERRO_CHAVE"),"",IFERROR(MATCH(AF17,'Quitados DUPP'!$U$1:$U$6635,0),""))</f>
        <v/>
      </c>
      <c r="AH17" s="15" t="str">
        <f t="shared" si="2"/>
        <v/>
      </c>
      <c r="AI17" s="17" t="str">
        <f>IF(AG17="","",INDEX('Quitados DUPP'!$G$1:$G$6635,AG17))</f>
        <v/>
      </c>
      <c r="AJ17" s="17" t="str">
        <f t="shared" si="3"/>
        <v/>
      </c>
    </row>
    <row r="18" spans="31:36">
      <c r="AE18" s="15" t="str">
        <f t="shared" si="0"/>
        <v/>
      </c>
      <c r="AF18" s="15" t="str">
        <f t="shared" si="1"/>
        <v/>
      </c>
      <c r="AG18" s="15" t="str">
        <f>IF(OR(AF18="",AF18="ERRO_CHAVE"),"",IFERROR(MATCH(AF18,'Quitados DUPP'!$U$1:$U$6635,0),""))</f>
        <v/>
      </c>
      <c r="AH18" s="15" t="str">
        <f t="shared" si="2"/>
        <v/>
      </c>
      <c r="AI18" s="17" t="str">
        <f>IF(AG18="","",INDEX('Quitados DUPP'!$G$1:$G$6635,AG18))</f>
        <v/>
      </c>
      <c r="AJ18" s="17" t="str">
        <f t="shared" si="3"/>
        <v/>
      </c>
    </row>
    <row r="19" spans="31:36">
      <c r="AE19" s="15" t="str">
        <f t="shared" si="0"/>
        <v/>
      </c>
      <c r="AF19" s="15" t="str">
        <f t="shared" si="1"/>
        <v/>
      </c>
      <c r="AG19" s="15" t="str">
        <f>IF(OR(AF19="",AF19="ERRO_CHAVE"),"",IFERROR(MATCH(AF19,'Quitados DUPP'!$U$1:$U$6635,0),""))</f>
        <v/>
      </c>
      <c r="AH19" s="15" t="str">
        <f t="shared" si="2"/>
        <v/>
      </c>
      <c r="AI19" s="17" t="str">
        <f>IF(AG19="","",INDEX('Quitados DUPP'!$G$1:$G$6635,AG19))</f>
        <v/>
      </c>
      <c r="AJ19" s="17" t="str">
        <f t="shared" si="3"/>
        <v/>
      </c>
    </row>
    <row r="20" spans="31:36">
      <c r="AE20" s="15" t="str">
        <f t="shared" si="0"/>
        <v/>
      </c>
      <c r="AF20" s="15" t="str">
        <f t="shared" si="1"/>
        <v/>
      </c>
      <c r="AG20" s="15" t="str">
        <f>IF(OR(AF20="",AF20="ERRO_CHAVE"),"",IFERROR(MATCH(AF20,'Quitados DUPP'!$U$1:$U$6635,0),""))</f>
        <v/>
      </c>
      <c r="AH20" s="15" t="str">
        <f t="shared" si="2"/>
        <v/>
      </c>
      <c r="AI20" s="17" t="str">
        <f>IF(AG20="","",INDEX('Quitados DUPP'!$G$1:$G$6635,AG20))</f>
        <v/>
      </c>
      <c r="AJ20" s="17" t="str">
        <f t="shared" si="3"/>
        <v/>
      </c>
    </row>
    <row r="21" spans="31:36">
      <c r="AE21" s="15" t="str">
        <f t="shared" si="0"/>
        <v/>
      </c>
      <c r="AF21" s="15" t="str">
        <f t="shared" si="1"/>
        <v/>
      </c>
      <c r="AG21" s="15" t="str">
        <f>IF(OR(AF21="",AF21="ERRO_CHAVE"),"",IFERROR(MATCH(AF21,'Quitados DUPP'!$U$1:$U$6635,0),""))</f>
        <v/>
      </c>
      <c r="AH21" s="15" t="str">
        <f t="shared" si="2"/>
        <v/>
      </c>
      <c r="AI21" s="17" t="str">
        <f>IF(AG21="","",INDEX('Quitados DUPP'!$G$1:$G$6635,AG21))</f>
        <v/>
      </c>
      <c r="AJ21" s="17" t="str">
        <f t="shared" si="3"/>
        <v/>
      </c>
    </row>
    <row r="22" spans="31:36">
      <c r="AE22" s="15" t="str">
        <f t="shared" si="0"/>
        <v/>
      </c>
      <c r="AF22" s="15" t="str">
        <f t="shared" si="1"/>
        <v/>
      </c>
      <c r="AG22" s="15" t="str">
        <f>IF(OR(AF22="",AF22="ERRO_CHAVE"),"",IFERROR(MATCH(AF22,'Quitados DUPP'!$U$1:$U$6635,0),""))</f>
        <v/>
      </c>
      <c r="AH22" s="15" t="str">
        <f t="shared" si="2"/>
        <v/>
      </c>
      <c r="AI22" s="17" t="str">
        <f>IF(AG22="","",INDEX('Quitados DUPP'!$G$1:$G$6635,AG22))</f>
        <v/>
      </c>
      <c r="AJ22" s="17" t="str">
        <f t="shared" si="3"/>
        <v/>
      </c>
    </row>
    <row r="23" spans="31:36">
      <c r="AE23" s="15" t="str">
        <f t="shared" si="0"/>
        <v/>
      </c>
      <c r="AF23" s="15" t="str">
        <f t="shared" si="1"/>
        <v/>
      </c>
      <c r="AG23" s="15" t="str">
        <f>IF(OR(AF23="",AF23="ERRO_CHAVE"),"",IFERROR(MATCH(AF23,'Quitados DUPP'!$U$1:$U$6635,0),""))</f>
        <v/>
      </c>
      <c r="AH23" s="15" t="str">
        <f t="shared" si="2"/>
        <v/>
      </c>
      <c r="AI23" s="17" t="str">
        <f>IF(AG23="","",INDEX('Quitados DUPP'!$G$1:$G$6635,AG23))</f>
        <v/>
      </c>
      <c r="AJ23" s="17" t="str">
        <f t="shared" si="3"/>
        <v/>
      </c>
    </row>
    <row r="24" spans="31:36">
      <c r="AE24" s="15" t="str">
        <f t="shared" si="0"/>
        <v/>
      </c>
      <c r="AF24" s="15" t="str">
        <f t="shared" si="1"/>
        <v/>
      </c>
      <c r="AG24" s="15" t="str">
        <f>IF(OR(AF24="",AF24="ERRO_CHAVE"),"",IFERROR(MATCH(AF24,'Quitados DUPP'!$U$1:$U$6635,0),""))</f>
        <v/>
      </c>
      <c r="AH24" s="15" t="str">
        <f t="shared" si="2"/>
        <v/>
      </c>
      <c r="AI24" s="17" t="str">
        <f>IF(AG24="","",INDEX('Quitados DUPP'!$G$1:$G$6635,AG24))</f>
        <v/>
      </c>
      <c r="AJ24" s="17" t="str">
        <f t="shared" si="3"/>
        <v/>
      </c>
    </row>
    <row r="25" spans="31:36">
      <c r="AE25" s="15" t="str">
        <f t="shared" si="0"/>
        <v/>
      </c>
      <c r="AF25" s="15" t="str">
        <f t="shared" si="1"/>
        <v/>
      </c>
      <c r="AG25" s="15" t="str">
        <f>IF(OR(AF25="",AF25="ERRO_CHAVE"),"",IFERROR(MATCH(AF25,'Quitados DUPP'!$U$1:$U$6635,0),""))</f>
        <v/>
      </c>
      <c r="AH25" s="15" t="str">
        <f t="shared" si="2"/>
        <v/>
      </c>
      <c r="AI25" s="17" t="str">
        <f>IF(AG25="","",INDEX('Quitados DUPP'!$G$1:$G$6635,AG25))</f>
        <v/>
      </c>
      <c r="AJ25" s="17" t="str">
        <f t="shared" si="3"/>
        <v/>
      </c>
    </row>
    <row r="26" spans="31:36">
      <c r="AE26" s="15" t="str">
        <f t="shared" si="0"/>
        <v/>
      </c>
      <c r="AF26" s="15" t="str">
        <f t="shared" si="1"/>
        <v/>
      </c>
      <c r="AG26" s="15" t="str">
        <f>IF(OR(AF26="",AF26="ERRO_CHAVE"),"",IFERROR(MATCH(AF26,'Quitados DUPP'!$U$1:$U$6635,0),""))</f>
        <v/>
      </c>
      <c r="AH26" s="15" t="str">
        <f t="shared" si="2"/>
        <v/>
      </c>
      <c r="AI26" s="17" t="str">
        <f>IF(AG26="","",INDEX('Quitados DUPP'!$G$1:$G$6635,AG26))</f>
        <v/>
      </c>
      <c r="AJ26" s="17" t="str">
        <f t="shared" si="3"/>
        <v/>
      </c>
    </row>
    <row r="27" spans="31:36">
      <c r="AE27" s="15" t="str">
        <f t="shared" si="0"/>
        <v/>
      </c>
      <c r="AF27" s="15" t="str">
        <f t="shared" si="1"/>
        <v/>
      </c>
      <c r="AG27" s="15" t="str">
        <f>IF(OR(AF27="",AF27="ERRO_CHAVE"),"",IFERROR(MATCH(AF27,'Quitados DUPP'!$U$1:$U$6635,0),""))</f>
        <v/>
      </c>
      <c r="AH27" s="15" t="str">
        <f t="shared" si="2"/>
        <v/>
      </c>
      <c r="AI27" s="17" t="str">
        <f>IF(AG27="","",INDEX('Quitados DUPP'!$G$1:$G$6635,AG27))</f>
        <v/>
      </c>
      <c r="AJ27" s="17" t="str">
        <f t="shared" si="3"/>
        <v/>
      </c>
    </row>
    <row r="28" spans="31:36">
      <c r="AE28" s="15" t="str">
        <f t="shared" si="0"/>
        <v/>
      </c>
      <c r="AF28" s="15" t="str">
        <f t="shared" si="1"/>
        <v/>
      </c>
      <c r="AG28" s="15" t="str">
        <f>IF(OR(AF28="",AF28="ERRO_CHAVE"),"",IFERROR(MATCH(AF28,'Quitados DUPP'!$U$1:$U$6635,0),""))</f>
        <v/>
      </c>
      <c r="AH28" s="15" t="str">
        <f t="shared" si="2"/>
        <v/>
      </c>
      <c r="AI28" s="17" t="str">
        <f>IF(AG28="","",INDEX('Quitados DUPP'!$G$1:$G$6635,AG28))</f>
        <v/>
      </c>
      <c r="AJ28" s="17" t="str">
        <f t="shared" si="3"/>
        <v/>
      </c>
    </row>
    <row r="29" spans="31:36">
      <c r="AE29" s="15" t="str">
        <f t="shared" si="0"/>
        <v/>
      </c>
      <c r="AF29" s="15" t="str">
        <f t="shared" si="1"/>
        <v/>
      </c>
      <c r="AG29" s="15" t="str">
        <f>IF(OR(AF29="",AF29="ERRO_CHAVE"),"",IFERROR(MATCH(AF29,'Quitados DUPP'!$U$1:$U$6635,0),""))</f>
        <v/>
      </c>
      <c r="AH29" s="15" t="str">
        <f t="shared" si="2"/>
        <v/>
      </c>
      <c r="AI29" s="17" t="str">
        <f>IF(AG29="","",INDEX('Quitados DUPP'!$G$1:$G$6635,AG29))</f>
        <v/>
      </c>
      <c r="AJ29" s="17" t="str">
        <f t="shared" si="3"/>
        <v/>
      </c>
    </row>
    <row r="30" spans="31:36">
      <c r="AE30" s="15" t="str">
        <f t="shared" si="0"/>
        <v/>
      </c>
      <c r="AF30" s="15" t="str">
        <f t="shared" si="1"/>
        <v/>
      </c>
      <c r="AG30" s="15" t="str">
        <f>IF(OR(AF30="",AF30="ERRO_CHAVE"),"",IFERROR(MATCH(AF30,'Quitados DUPP'!$U$1:$U$6635,0),""))</f>
        <v/>
      </c>
      <c r="AH30" s="15" t="str">
        <f t="shared" si="2"/>
        <v/>
      </c>
      <c r="AI30" s="17" t="str">
        <f>IF(AG30="","",INDEX('Quitados DUPP'!$G$1:$G$6635,AG30))</f>
        <v/>
      </c>
      <c r="AJ30" s="17" t="str">
        <f t="shared" si="3"/>
        <v/>
      </c>
    </row>
    <row r="31" spans="31:36">
      <c r="AE31" s="15" t="str">
        <f t="shared" si="0"/>
        <v/>
      </c>
      <c r="AF31" s="15" t="str">
        <f t="shared" si="1"/>
        <v/>
      </c>
      <c r="AG31" s="15" t="str">
        <f>IF(OR(AF31="",AF31="ERRO_CHAVE"),"",IFERROR(MATCH(AF31,'Quitados DUPP'!$U$1:$U$6635,0),""))</f>
        <v/>
      </c>
      <c r="AH31" s="15" t="str">
        <f t="shared" si="2"/>
        <v/>
      </c>
      <c r="AI31" s="17" t="str">
        <f>IF(AG31="","",INDEX('Quitados DUPP'!$G$1:$G$6635,AG31))</f>
        <v/>
      </c>
      <c r="AJ31" s="17" t="str">
        <f t="shared" si="3"/>
        <v/>
      </c>
    </row>
    <row r="32" spans="31:36">
      <c r="AE32" s="15" t="str">
        <f t="shared" si="0"/>
        <v/>
      </c>
      <c r="AF32" s="15" t="str">
        <f t="shared" si="1"/>
        <v/>
      </c>
      <c r="AG32" s="15" t="str">
        <f>IF(OR(AF32="",AF32="ERRO_CHAVE"),"",IFERROR(MATCH(AF32,'Quitados DUPP'!$U$1:$U$6635,0),""))</f>
        <v/>
      </c>
      <c r="AH32" s="15" t="str">
        <f t="shared" si="2"/>
        <v/>
      </c>
      <c r="AI32" s="17" t="str">
        <f>IF(AG32="","",INDEX('Quitados DUPP'!$G$1:$G$6635,AG32))</f>
        <v/>
      </c>
      <c r="AJ32" s="17" t="str">
        <f t="shared" si="3"/>
        <v/>
      </c>
    </row>
    <row r="33" spans="31:36">
      <c r="AE33" s="15" t="str">
        <f t="shared" si="0"/>
        <v/>
      </c>
      <c r="AF33" s="15" t="str">
        <f t="shared" si="1"/>
        <v/>
      </c>
      <c r="AG33" s="15" t="str">
        <f>IF(OR(AF33="",AF33="ERRO_CHAVE"),"",IFERROR(MATCH(AF33,'Quitados DUPP'!$U$1:$U$6635,0),""))</f>
        <v/>
      </c>
      <c r="AH33" s="15" t="str">
        <f t="shared" si="2"/>
        <v/>
      </c>
      <c r="AI33" s="17" t="str">
        <f>IF(AG33="","",INDEX('Quitados DUPP'!$G$1:$G$6635,AG33))</f>
        <v/>
      </c>
      <c r="AJ33" s="17" t="str">
        <f t="shared" si="3"/>
        <v/>
      </c>
    </row>
    <row r="34" spans="31:36">
      <c r="AE34" s="15" t="str">
        <f t="shared" si="0"/>
        <v/>
      </c>
      <c r="AF34" s="15" t="str">
        <f t="shared" si="1"/>
        <v/>
      </c>
      <c r="AG34" s="15" t="str">
        <f>IF(OR(AF34="",AF34="ERRO_CHAVE"),"",IFERROR(MATCH(AF34,'Quitados DUPP'!$U$1:$U$6635,0),""))</f>
        <v/>
      </c>
      <c r="AH34" s="15" t="str">
        <f t="shared" si="2"/>
        <v/>
      </c>
      <c r="AI34" s="17" t="str">
        <f>IF(AG34="","",INDEX('Quitados DUPP'!$G$1:$G$6635,AG34))</f>
        <v/>
      </c>
      <c r="AJ34" s="17" t="str">
        <f t="shared" si="3"/>
        <v/>
      </c>
    </row>
    <row r="35" spans="31:36">
      <c r="AE35" s="15" t="str">
        <f t="shared" si="0"/>
        <v/>
      </c>
      <c r="AF35" s="15" t="str">
        <f t="shared" si="1"/>
        <v/>
      </c>
      <c r="AG35" s="15" t="str">
        <f>IF(OR(AF35="",AF35="ERRO_CHAVE"),"",IFERROR(MATCH(AF35,'Quitados DUPP'!$U$1:$U$6635,0),""))</f>
        <v/>
      </c>
      <c r="AH35" s="15" t="str">
        <f t="shared" si="2"/>
        <v/>
      </c>
      <c r="AI35" s="17" t="str">
        <f>IF(AG35="","",INDEX('Quitados DUPP'!$G$1:$G$6635,AG35))</f>
        <v/>
      </c>
      <c r="AJ35" s="17" t="str">
        <f t="shared" si="3"/>
        <v/>
      </c>
    </row>
    <row r="36" spans="31:36">
      <c r="AE36" s="15" t="str">
        <f t="shared" si="0"/>
        <v/>
      </c>
      <c r="AF36" s="15" t="str">
        <f t="shared" si="1"/>
        <v/>
      </c>
      <c r="AG36" s="15" t="str">
        <f>IF(OR(AF36="",AF36="ERRO_CHAVE"),"",IFERROR(MATCH(AF36,'Quitados DUPP'!$U$1:$U$6635,0),""))</f>
        <v/>
      </c>
      <c r="AH36" s="15" t="str">
        <f t="shared" si="2"/>
        <v/>
      </c>
      <c r="AI36" s="17" t="str">
        <f>IF(AG36="","",INDEX('Quitados DUPP'!$G$1:$G$6635,AG36))</f>
        <v/>
      </c>
      <c r="AJ36" s="17" t="str">
        <f t="shared" si="3"/>
        <v/>
      </c>
    </row>
    <row r="37" spans="31:36">
      <c r="AE37" s="15" t="str">
        <f t="shared" si="0"/>
        <v/>
      </c>
      <c r="AF37" s="15" t="str">
        <f t="shared" si="1"/>
        <v/>
      </c>
      <c r="AG37" s="15" t="str">
        <f>IF(OR(AF37="",AF37="ERRO_CHAVE"),"",IFERROR(MATCH(AF37,'Quitados DUPP'!$U$1:$U$6635,0),""))</f>
        <v/>
      </c>
      <c r="AH37" s="15" t="str">
        <f t="shared" si="2"/>
        <v/>
      </c>
      <c r="AI37" s="17" t="str">
        <f>IF(AG37="","",INDEX('Quitados DUPP'!$G$1:$G$6635,AG37))</f>
        <v/>
      </c>
      <c r="AJ37" s="17" t="str">
        <f t="shared" si="3"/>
        <v/>
      </c>
    </row>
    <row r="38" spans="31:36">
      <c r="AE38" s="15" t="str">
        <f t="shared" si="0"/>
        <v/>
      </c>
      <c r="AF38" s="15" t="str">
        <f t="shared" si="1"/>
        <v/>
      </c>
      <c r="AG38" s="15" t="str">
        <f>IF(OR(AF38="",AF38="ERRO_CHAVE"),"",IFERROR(MATCH(AF38,'Quitados DUPP'!$U$1:$U$6635,0),""))</f>
        <v/>
      </c>
      <c r="AH38" s="15" t="str">
        <f t="shared" si="2"/>
        <v/>
      </c>
      <c r="AI38" s="17" t="str">
        <f>IF(AG38="","",INDEX('Quitados DUPP'!$G$1:$G$6635,AG38))</f>
        <v/>
      </c>
      <c r="AJ38" s="17" t="str">
        <f t="shared" si="3"/>
        <v/>
      </c>
    </row>
    <row r="39" spans="31:36">
      <c r="AE39" s="15" t="str">
        <f t="shared" si="0"/>
        <v/>
      </c>
      <c r="AF39" s="15" t="str">
        <f t="shared" si="1"/>
        <v/>
      </c>
      <c r="AG39" s="15" t="str">
        <f>IF(OR(AF39="",AF39="ERRO_CHAVE"),"",IFERROR(MATCH(AF39,'Quitados DUPP'!$U$1:$U$6635,0),""))</f>
        <v/>
      </c>
      <c r="AH39" s="15" t="str">
        <f t="shared" si="2"/>
        <v/>
      </c>
      <c r="AI39" s="17" t="str">
        <f>IF(AG39="","",INDEX('Quitados DUPP'!$G$1:$G$6635,AG39))</f>
        <v/>
      </c>
      <c r="AJ39" s="17" t="str">
        <f t="shared" si="3"/>
        <v/>
      </c>
    </row>
    <row r="40" spans="31:36">
      <c r="AE40" s="15" t="str">
        <f t="shared" si="0"/>
        <v/>
      </c>
      <c r="AF40" s="15" t="str">
        <f t="shared" si="1"/>
        <v/>
      </c>
      <c r="AG40" s="15" t="str">
        <f>IF(OR(AF40="",AF40="ERRO_CHAVE"),"",IFERROR(MATCH(AF40,'Quitados DUPP'!$U$1:$U$6635,0),""))</f>
        <v/>
      </c>
      <c r="AH40" s="15" t="str">
        <f t="shared" si="2"/>
        <v/>
      </c>
      <c r="AI40" s="17" t="str">
        <f>IF(AG40="","",INDEX('Quitados DUPP'!$G$1:$G$6635,AG40))</f>
        <v/>
      </c>
      <c r="AJ40" s="17" t="str">
        <f t="shared" si="3"/>
        <v/>
      </c>
    </row>
    <row r="41" spans="31:36">
      <c r="AE41" s="15" t="str">
        <f t="shared" si="0"/>
        <v/>
      </c>
      <c r="AF41" s="15" t="str">
        <f t="shared" si="1"/>
        <v/>
      </c>
      <c r="AG41" s="15" t="str">
        <f>IF(OR(AF41="",AF41="ERRO_CHAVE"),"",IFERROR(MATCH(AF41,'Quitados DUPP'!$U$1:$U$6635,0),""))</f>
        <v/>
      </c>
      <c r="AH41" s="15" t="str">
        <f t="shared" si="2"/>
        <v/>
      </c>
      <c r="AI41" s="17" t="str">
        <f>IF(AG41="","",INDEX('Quitados DUPP'!$G$1:$G$6635,AG41))</f>
        <v/>
      </c>
      <c r="AJ41" s="17" t="str">
        <f t="shared" si="3"/>
        <v/>
      </c>
    </row>
    <row r="42" spans="31:36">
      <c r="AE42" s="15" t="str">
        <f t="shared" si="0"/>
        <v/>
      </c>
      <c r="AF42" s="15" t="str">
        <f t="shared" si="1"/>
        <v/>
      </c>
      <c r="AG42" s="15" t="str">
        <f>IF(OR(AF42="",AF42="ERRO_CHAVE"),"",IFERROR(MATCH(AF42,'Quitados DUPP'!$U$1:$U$6635,0),""))</f>
        <v/>
      </c>
      <c r="AH42" s="15" t="str">
        <f t="shared" si="2"/>
        <v/>
      </c>
      <c r="AI42" s="17" t="str">
        <f>IF(AG42="","",INDEX('Quitados DUPP'!$G$1:$G$6635,AG42))</f>
        <v/>
      </c>
      <c r="AJ42" s="17" t="str">
        <f t="shared" si="3"/>
        <v/>
      </c>
    </row>
    <row r="43" spans="31:36">
      <c r="AE43" s="15" t="str">
        <f t="shared" si="0"/>
        <v/>
      </c>
      <c r="AF43" s="15" t="str">
        <f t="shared" si="1"/>
        <v/>
      </c>
      <c r="AG43" s="15" t="str">
        <f>IF(OR(AF43="",AF43="ERRO_CHAVE"),"",IFERROR(MATCH(AF43,'Quitados DUPP'!$U$1:$U$6635,0),""))</f>
        <v/>
      </c>
      <c r="AH43" s="15" t="str">
        <f t="shared" si="2"/>
        <v/>
      </c>
      <c r="AI43" s="17" t="str">
        <f>IF(AG43="","",INDEX('Quitados DUPP'!$G$1:$G$6635,AG43))</f>
        <v/>
      </c>
      <c r="AJ43" s="17" t="str">
        <f t="shared" si="3"/>
        <v/>
      </c>
    </row>
    <row r="44" spans="31:36">
      <c r="AE44" s="15" t="str">
        <f t="shared" si="0"/>
        <v/>
      </c>
      <c r="AF44" s="15" t="str">
        <f t="shared" si="1"/>
        <v/>
      </c>
      <c r="AG44" s="15" t="str">
        <f>IF(OR(AF44="",AF44="ERRO_CHAVE"),"",IFERROR(MATCH(AF44,'Quitados DUPP'!$U$1:$U$6635,0),""))</f>
        <v/>
      </c>
      <c r="AH44" s="15" t="str">
        <f t="shared" si="2"/>
        <v/>
      </c>
      <c r="AI44" s="17" t="str">
        <f>IF(AG44="","",INDEX('Quitados DUPP'!$G$1:$G$6635,AG44))</f>
        <v/>
      </c>
      <c r="AJ44" s="17" t="str">
        <f t="shared" si="3"/>
        <v/>
      </c>
    </row>
    <row r="45" spans="31:36">
      <c r="AE45" s="15" t="str">
        <f t="shared" si="0"/>
        <v/>
      </c>
      <c r="AF45" s="15" t="str">
        <f t="shared" si="1"/>
        <v/>
      </c>
      <c r="AG45" s="15" t="str">
        <f>IF(OR(AF45="",AF45="ERRO_CHAVE"),"",IFERROR(MATCH(AF45,'Quitados DUPP'!$U$1:$U$6635,0),""))</f>
        <v/>
      </c>
      <c r="AH45" s="15" t="str">
        <f t="shared" si="2"/>
        <v/>
      </c>
      <c r="AI45" s="17" t="str">
        <f>IF(AG45="","",INDEX('Quitados DUPP'!$G$1:$G$6635,AG45))</f>
        <v/>
      </c>
      <c r="AJ45" s="17" t="str">
        <f t="shared" si="3"/>
        <v/>
      </c>
    </row>
    <row r="46" spans="31:36">
      <c r="AE46" s="15" t="str">
        <f t="shared" si="0"/>
        <v/>
      </c>
      <c r="AF46" s="15" t="str">
        <f t="shared" si="1"/>
        <v/>
      </c>
      <c r="AG46" s="15" t="str">
        <f>IF(OR(AF46="",AF46="ERRO_CHAVE"),"",IFERROR(MATCH(AF46,'Quitados DUPP'!$U$1:$U$6635,0),""))</f>
        <v/>
      </c>
      <c r="AH46" s="15" t="str">
        <f t="shared" si="2"/>
        <v/>
      </c>
      <c r="AI46" s="17" t="str">
        <f>IF(AG46="","",INDEX('Quitados DUPP'!$G$1:$G$6635,AG46))</f>
        <v/>
      </c>
      <c r="AJ46" s="17" t="str">
        <f t="shared" si="3"/>
        <v/>
      </c>
    </row>
    <row r="47" spans="31:36">
      <c r="AE47" s="15" t="str">
        <f t="shared" si="0"/>
        <v/>
      </c>
      <c r="AF47" s="15" t="str">
        <f t="shared" si="1"/>
        <v/>
      </c>
      <c r="AG47" s="15" t="str">
        <f>IF(OR(AF47="",AF47="ERRO_CHAVE"),"",IFERROR(MATCH(AF47,'Quitados DUPP'!$U$1:$U$6635,0),""))</f>
        <v/>
      </c>
      <c r="AH47" s="15" t="str">
        <f t="shared" si="2"/>
        <v/>
      </c>
      <c r="AI47" s="17" t="str">
        <f>IF(AG47="","",INDEX('Quitados DUPP'!$G$1:$G$6635,AG47))</f>
        <v/>
      </c>
      <c r="AJ47" s="17" t="str">
        <f t="shared" si="3"/>
        <v/>
      </c>
    </row>
    <row r="48" spans="31:36">
      <c r="AE48" s="15" t="str">
        <f t="shared" si="0"/>
        <v/>
      </c>
      <c r="AF48" s="15" t="str">
        <f t="shared" si="1"/>
        <v/>
      </c>
      <c r="AG48" s="15" t="str">
        <f>IF(OR(AF48="",AF48="ERRO_CHAVE"),"",IFERROR(MATCH(AF48,'Quitados DUPP'!$U$1:$U$6635,0),""))</f>
        <v/>
      </c>
      <c r="AH48" s="15" t="str">
        <f t="shared" si="2"/>
        <v/>
      </c>
      <c r="AI48" s="17" t="str">
        <f>IF(AG48="","",INDEX('Quitados DUPP'!$G$1:$G$6635,AG48))</f>
        <v/>
      </c>
      <c r="AJ48" s="17" t="str">
        <f t="shared" si="3"/>
        <v/>
      </c>
    </row>
    <row r="49" spans="31:36">
      <c r="AE49" s="15" t="str">
        <f t="shared" si="0"/>
        <v/>
      </c>
      <c r="AF49" s="15" t="str">
        <f t="shared" si="1"/>
        <v/>
      </c>
      <c r="AG49" s="15" t="str">
        <f>IF(OR(AF49="",AF49="ERRO_CHAVE"),"",IFERROR(MATCH(AF49,'Quitados DUPP'!$U$1:$U$6635,0),""))</f>
        <v/>
      </c>
      <c r="AH49" s="15" t="str">
        <f t="shared" si="2"/>
        <v/>
      </c>
      <c r="AI49" s="17" t="str">
        <f>IF(AG49="","",INDEX('Quitados DUPP'!$G$1:$G$6635,AG49))</f>
        <v/>
      </c>
      <c r="AJ49" s="17" t="str">
        <f t="shared" si="3"/>
        <v/>
      </c>
    </row>
    <row r="50" spans="31:36">
      <c r="AE50" s="15" t="str">
        <f t="shared" si="0"/>
        <v/>
      </c>
      <c r="AF50" s="15" t="str">
        <f t="shared" si="1"/>
        <v/>
      </c>
      <c r="AG50" s="15" t="str">
        <f>IF(OR(AF50="",AF50="ERRO_CHAVE"),"",IFERROR(MATCH(AF50,'Quitados DUPP'!$U$1:$U$6635,0),""))</f>
        <v/>
      </c>
      <c r="AH50" s="15" t="str">
        <f t="shared" si="2"/>
        <v/>
      </c>
      <c r="AI50" s="17" t="str">
        <f>IF(AG50="","",INDEX('Quitados DUPP'!$G$1:$G$6635,AG50))</f>
        <v/>
      </c>
      <c r="AJ50" s="17" t="str">
        <f t="shared" si="3"/>
        <v/>
      </c>
    </row>
    <row r="51" spans="31:36">
      <c r="AE51" s="15" t="str">
        <f t="shared" si="0"/>
        <v/>
      </c>
      <c r="AF51" s="15" t="str">
        <f t="shared" si="1"/>
        <v/>
      </c>
      <c r="AG51" s="15" t="str">
        <f>IF(OR(AF51="",AF51="ERRO_CHAVE"),"",IFERROR(MATCH(AF51,'Quitados DUPP'!$U$1:$U$6635,0),""))</f>
        <v/>
      </c>
      <c r="AH51" s="15" t="str">
        <f t="shared" si="2"/>
        <v/>
      </c>
      <c r="AI51" s="17" t="str">
        <f>IF(AG51="","",INDEX('Quitados DUPP'!$G$1:$G$6635,AG51))</f>
        <v/>
      </c>
      <c r="AJ51" s="17" t="str">
        <f t="shared" si="3"/>
        <v/>
      </c>
    </row>
    <row r="52" spans="31:36">
      <c r="AE52" s="15" t="str">
        <f t="shared" si="0"/>
        <v/>
      </c>
      <c r="AF52" s="15" t="str">
        <f t="shared" si="1"/>
        <v/>
      </c>
      <c r="AG52" s="15" t="str">
        <f>IF(OR(AF52="",AF52="ERRO_CHAVE"),"",IFERROR(MATCH(AF52,'Quitados DUPP'!$U$1:$U$6635,0),""))</f>
        <v/>
      </c>
      <c r="AH52" s="15" t="str">
        <f t="shared" si="2"/>
        <v/>
      </c>
      <c r="AI52" s="17" t="str">
        <f>IF(AG52="","",INDEX('Quitados DUPP'!$G$1:$G$6635,AG52))</f>
        <v/>
      </c>
      <c r="AJ52" s="17" t="str">
        <f t="shared" si="3"/>
        <v/>
      </c>
    </row>
    <row r="53" spans="31:36">
      <c r="AE53" s="15" t="str">
        <f t="shared" si="0"/>
        <v/>
      </c>
      <c r="AF53" s="15" t="str">
        <f t="shared" si="1"/>
        <v/>
      </c>
      <c r="AG53" s="15" t="str">
        <f>IF(OR(AF53="",AF53="ERRO_CHAVE"),"",IFERROR(MATCH(AF53,'Quitados DUPP'!$U$1:$U$6635,0),""))</f>
        <v/>
      </c>
      <c r="AH53" s="15" t="str">
        <f t="shared" si="2"/>
        <v/>
      </c>
      <c r="AI53" s="17" t="str">
        <f>IF(AG53="","",INDEX('Quitados DUPP'!$G$1:$G$6635,AG53))</f>
        <v/>
      </c>
      <c r="AJ53" s="17" t="str">
        <f t="shared" si="3"/>
        <v/>
      </c>
    </row>
    <row r="54" spans="31:36">
      <c r="AE54" s="15" t="str">
        <f t="shared" si="0"/>
        <v/>
      </c>
      <c r="AF54" s="15" t="str">
        <f t="shared" si="1"/>
        <v/>
      </c>
      <c r="AG54" s="15" t="str">
        <f>IF(OR(AF54="",AF54="ERRO_CHAVE"),"",IFERROR(MATCH(AF54,'Quitados DUPP'!$U$1:$U$6635,0),""))</f>
        <v/>
      </c>
      <c r="AH54" s="15" t="str">
        <f t="shared" si="2"/>
        <v/>
      </c>
      <c r="AI54" s="17" t="str">
        <f>IF(AG54="","",INDEX('Quitados DUPP'!$G$1:$G$6635,AG54))</f>
        <v/>
      </c>
      <c r="AJ54" s="17" t="str">
        <f t="shared" si="3"/>
        <v/>
      </c>
    </row>
    <row r="55" spans="31:36">
      <c r="AE55" s="15" t="str">
        <f t="shared" si="0"/>
        <v/>
      </c>
      <c r="AF55" s="15" t="str">
        <f t="shared" si="1"/>
        <v/>
      </c>
      <c r="AG55" s="15" t="str">
        <f>IF(OR(AF55="",AF55="ERRO_CHAVE"),"",IFERROR(MATCH(AF55,'Quitados DUPP'!$U$1:$U$6635,0),""))</f>
        <v/>
      </c>
      <c r="AH55" s="15" t="str">
        <f t="shared" si="2"/>
        <v/>
      </c>
      <c r="AI55" s="17" t="str">
        <f>IF(AG55="","",INDEX('Quitados DUPP'!$G$1:$G$6635,AG55))</f>
        <v/>
      </c>
      <c r="AJ55" s="17" t="str">
        <f t="shared" si="3"/>
        <v/>
      </c>
    </row>
    <row r="56" spans="31:36">
      <c r="AE56" s="15" t="str">
        <f t="shared" si="0"/>
        <v/>
      </c>
      <c r="AF56" s="15" t="str">
        <f t="shared" si="1"/>
        <v/>
      </c>
      <c r="AG56" s="15" t="str">
        <f>IF(OR(AF56="",AF56="ERRO_CHAVE"),"",IFERROR(MATCH(AF56,'Quitados DUPP'!$U$1:$U$6635,0),""))</f>
        <v/>
      </c>
      <c r="AH56" s="15" t="str">
        <f t="shared" si="2"/>
        <v/>
      </c>
      <c r="AI56" s="17" t="str">
        <f>IF(AG56="","",INDEX('Quitados DUPP'!$G$1:$G$6635,AG56))</f>
        <v/>
      </c>
      <c r="AJ56" s="17" t="str">
        <f t="shared" si="3"/>
        <v/>
      </c>
    </row>
    <row r="57" spans="31:36">
      <c r="AE57" s="15" t="str">
        <f t="shared" si="0"/>
        <v/>
      </c>
      <c r="AF57" s="15" t="str">
        <f t="shared" si="1"/>
        <v/>
      </c>
      <c r="AG57" s="15" t="str">
        <f>IF(OR(AF57="",AF57="ERRO_CHAVE"),"",IFERROR(MATCH(AF57,'Quitados DUPP'!$U$1:$U$6635,0),""))</f>
        <v/>
      </c>
      <c r="AH57" s="15" t="str">
        <f t="shared" si="2"/>
        <v/>
      </c>
      <c r="AI57" s="17" t="str">
        <f>IF(AG57="","",INDEX('Quitados DUPP'!$G$1:$G$6635,AG57))</f>
        <v/>
      </c>
      <c r="AJ57" s="17" t="str">
        <f t="shared" si="3"/>
        <v/>
      </c>
    </row>
    <row r="58" spans="31:36">
      <c r="AE58" s="15" t="str">
        <f t="shared" si="0"/>
        <v/>
      </c>
      <c r="AF58" s="15" t="str">
        <f t="shared" si="1"/>
        <v/>
      </c>
      <c r="AG58" s="15" t="str">
        <f>IF(OR(AF58="",AF58="ERRO_CHAVE"),"",IFERROR(MATCH(AF58,'Quitados DUPP'!$U$1:$U$6635,0),""))</f>
        <v/>
      </c>
      <c r="AH58" s="15" t="str">
        <f t="shared" si="2"/>
        <v/>
      </c>
      <c r="AI58" s="17" t="str">
        <f>IF(AG58="","",INDEX('Quitados DUPP'!$G$1:$G$6635,AG58))</f>
        <v/>
      </c>
      <c r="AJ58" s="17" t="str">
        <f t="shared" si="3"/>
        <v/>
      </c>
    </row>
    <row r="59" spans="31:36">
      <c r="AE59" s="15" t="str">
        <f t="shared" si="0"/>
        <v/>
      </c>
      <c r="AF59" s="15" t="str">
        <f t="shared" si="1"/>
        <v/>
      </c>
      <c r="AG59" s="15" t="str">
        <f>IF(OR(AF59="",AF59="ERRO_CHAVE"),"",IFERROR(MATCH(AF59,'Quitados DUPP'!$U$1:$U$6635,0),""))</f>
        <v/>
      </c>
      <c r="AH59" s="15" t="str">
        <f t="shared" si="2"/>
        <v/>
      </c>
      <c r="AI59" s="17" t="str">
        <f>IF(AG59="","",INDEX('Quitados DUPP'!$G$1:$G$6635,AG59))</f>
        <v/>
      </c>
      <c r="AJ59" s="17" t="str">
        <f t="shared" si="3"/>
        <v/>
      </c>
    </row>
    <row r="60" spans="31:36">
      <c r="AE60" s="15" t="str">
        <f t="shared" si="0"/>
        <v/>
      </c>
      <c r="AF60" s="15" t="str">
        <f t="shared" si="1"/>
        <v/>
      </c>
      <c r="AG60" s="15" t="str">
        <f>IF(OR(AF60="",AF60="ERRO_CHAVE"),"",IFERROR(MATCH(AF60,'Quitados DUPP'!$U$1:$U$6635,0),""))</f>
        <v/>
      </c>
      <c r="AH60" s="15" t="str">
        <f t="shared" si="2"/>
        <v/>
      </c>
      <c r="AI60" s="17" t="str">
        <f>IF(AG60="","",INDEX('Quitados DUPP'!$G$1:$G$6635,AG60))</f>
        <v/>
      </c>
      <c r="AJ60" s="17" t="str">
        <f t="shared" si="3"/>
        <v/>
      </c>
    </row>
    <row r="61" spans="31:36">
      <c r="AE61" s="15" t="str">
        <f t="shared" si="0"/>
        <v/>
      </c>
      <c r="AF61" s="15" t="str">
        <f t="shared" si="1"/>
        <v/>
      </c>
      <c r="AG61" s="15" t="str">
        <f>IF(OR(AF61="",AF61="ERRO_CHAVE"),"",IFERROR(MATCH(AF61,'Quitados DUPP'!$U$1:$U$6635,0),""))</f>
        <v/>
      </c>
      <c r="AH61" s="15" t="str">
        <f t="shared" si="2"/>
        <v/>
      </c>
      <c r="AI61" s="17" t="str">
        <f>IF(AG61="","",INDEX('Quitados DUPP'!$G$1:$G$6635,AG61))</f>
        <v/>
      </c>
      <c r="AJ61" s="17" t="str">
        <f t="shared" si="3"/>
        <v/>
      </c>
    </row>
    <row r="62" spans="31:36">
      <c r="AE62" s="15" t="str">
        <f t="shared" si="0"/>
        <v/>
      </c>
      <c r="AF62" s="15" t="str">
        <f t="shared" si="1"/>
        <v/>
      </c>
      <c r="AG62" s="15" t="str">
        <f>IF(OR(AF62="",AF62="ERRO_CHAVE"),"",IFERROR(MATCH(AF62,'Quitados DUPP'!$U$1:$U$6635,0),""))</f>
        <v/>
      </c>
      <c r="AH62" s="15" t="str">
        <f t="shared" si="2"/>
        <v/>
      </c>
      <c r="AI62" s="17" t="str">
        <f>IF(AG62="","",INDEX('Quitados DUPP'!$G$1:$G$6635,AG62))</f>
        <v/>
      </c>
      <c r="AJ62" s="17" t="str">
        <f t="shared" si="3"/>
        <v/>
      </c>
    </row>
    <row r="63" spans="31:36">
      <c r="AE63" s="15" t="str">
        <f t="shared" si="0"/>
        <v/>
      </c>
      <c r="AF63" s="15" t="str">
        <f t="shared" si="1"/>
        <v/>
      </c>
      <c r="AG63" s="15" t="str">
        <f>IF(OR(AF63="",AF63="ERRO_CHAVE"),"",IFERROR(MATCH(AF63,'Quitados DUPP'!$U$1:$U$6635,0),""))</f>
        <v/>
      </c>
      <c r="AH63" s="15" t="str">
        <f t="shared" si="2"/>
        <v/>
      </c>
      <c r="AI63" s="17" t="str">
        <f>IF(AG63="","",INDEX('Quitados DUPP'!$G$1:$G$6635,AG63))</f>
        <v/>
      </c>
      <c r="AJ63" s="17" t="str">
        <f t="shared" si="3"/>
        <v/>
      </c>
    </row>
    <row r="64" spans="31:36">
      <c r="AE64" s="15" t="str">
        <f t="shared" si="0"/>
        <v/>
      </c>
      <c r="AF64" s="15" t="str">
        <f t="shared" si="1"/>
        <v/>
      </c>
      <c r="AG64" s="15" t="str">
        <f>IF(OR(AF64="",AF64="ERRO_CHAVE"),"",IFERROR(MATCH(AF64,'Quitados DUPP'!$U$1:$U$6635,0),""))</f>
        <v/>
      </c>
      <c r="AH64" s="15" t="str">
        <f t="shared" si="2"/>
        <v/>
      </c>
      <c r="AI64" s="17" t="str">
        <f>IF(AG64="","",INDEX('Quitados DUPP'!$G$1:$G$6635,AG64))</f>
        <v/>
      </c>
      <c r="AJ64" s="17" t="str">
        <f t="shared" si="3"/>
        <v/>
      </c>
    </row>
    <row r="65" spans="31:36">
      <c r="AE65" s="15" t="str">
        <f t="shared" si="0"/>
        <v/>
      </c>
      <c r="AF65" s="15" t="str">
        <f t="shared" si="1"/>
        <v/>
      </c>
      <c r="AG65" s="15" t="str">
        <f>IF(OR(AF65="",AF65="ERRO_CHAVE"),"",IFERROR(MATCH(AF65,'Quitados DUPP'!$U$1:$U$6635,0),""))</f>
        <v/>
      </c>
      <c r="AH65" s="15" t="str">
        <f t="shared" si="2"/>
        <v/>
      </c>
      <c r="AI65" s="17" t="str">
        <f>IF(AG65="","",INDEX('Quitados DUPP'!$G$1:$G$6635,AG65))</f>
        <v/>
      </c>
      <c r="AJ65" s="17" t="str">
        <f t="shared" si="3"/>
        <v/>
      </c>
    </row>
    <row r="66" spans="31:36">
      <c r="AE66" s="15" t="str">
        <f t="shared" si="0"/>
        <v/>
      </c>
      <c r="AF66" s="15" t="str">
        <f t="shared" si="1"/>
        <v/>
      </c>
      <c r="AG66" s="15" t="str">
        <f>IF(OR(AF66="",AF66="ERRO_CHAVE"),"",IFERROR(MATCH(AF66,'Quitados DUPP'!$U$1:$U$6635,0),""))</f>
        <v/>
      </c>
      <c r="AH66" s="15" t="str">
        <f t="shared" si="2"/>
        <v/>
      </c>
      <c r="AI66" s="17" t="str">
        <f>IF(AG66="","",INDEX('Quitados DUPP'!$G$1:$G$6635,AG66))</f>
        <v/>
      </c>
      <c r="AJ66" s="17" t="str">
        <f t="shared" si="3"/>
        <v/>
      </c>
    </row>
    <row r="67" spans="31:36">
      <c r="AE67" s="15" t="str">
        <f t="shared" si="0"/>
        <v/>
      </c>
      <c r="AF67" s="15" t="str">
        <f t="shared" si="1"/>
        <v/>
      </c>
      <c r="AG67" s="15" t="str">
        <f>IF(OR(AF67="",AF67="ERRO_CHAVE"),"",IFERROR(MATCH(AF67,'Quitados DUPP'!$U$1:$U$6635,0),""))</f>
        <v/>
      </c>
      <c r="AH67" s="15" t="str">
        <f t="shared" si="2"/>
        <v/>
      </c>
      <c r="AI67" s="17" t="str">
        <f>IF(AG67="","",INDEX('Quitados DUPP'!$G$1:$G$6635,AG67))</f>
        <v/>
      </c>
      <c r="AJ67" s="17" t="str">
        <f t="shared" si="3"/>
        <v/>
      </c>
    </row>
    <row r="68" spans="31:36">
      <c r="AE68" s="15" t="str">
        <f t="shared" si="0"/>
        <v/>
      </c>
      <c r="AF68" s="15" t="str">
        <f t="shared" si="1"/>
        <v/>
      </c>
      <c r="AG68" s="15" t="str">
        <f>IF(OR(AF68="",AF68="ERRO_CHAVE"),"",IFERROR(MATCH(AF68,'Quitados DUPP'!$U$1:$U$6635,0),""))</f>
        <v/>
      </c>
      <c r="AH68" s="15" t="str">
        <f t="shared" si="2"/>
        <v/>
      </c>
      <c r="AI68" s="17" t="str">
        <f>IF(AG68="","",INDEX('Quitados DUPP'!$G$1:$G$6635,AG68))</f>
        <v/>
      </c>
      <c r="AJ68" s="17" t="str">
        <f t="shared" si="3"/>
        <v/>
      </c>
    </row>
    <row r="69" spans="31:36">
      <c r="AE69" s="15" t="str">
        <f t="shared" si="0"/>
        <v/>
      </c>
      <c r="AF69" s="15" t="str">
        <f t="shared" si="1"/>
        <v/>
      </c>
      <c r="AG69" s="15" t="str">
        <f>IF(OR(AF69="",AF69="ERRO_CHAVE"),"",IFERROR(MATCH(AF69,'Quitados DUPP'!$U$1:$U$6635,0),""))</f>
        <v/>
      </c>
      <c r="AH69" s="15" t="str">
        <f t="shared" si="2"/>
        <v/>
      </c>
      <c r="AI69" s="17" t="str">
        <f>IF(AG69="","",INDEX('Quitados DUPP'!$G$1:$G$6635,AG69))</f>
        <v/>
      </c>
      <c r="AJ69" s="17" t="str">
        <f t="shared" si="3"/>
        <v/>
      </c>
    </row>
    <row r="70" spans="31:36">
      <c r="AE70" s="15" t="str">
        <f t="shared" si="0"/>
        <v/>
      </c>
      <c r="AF70" s="15" t="str">
        <f t="shared" si="1"/>
        <v/>
      </c>
      <c r="AG70" s="15" t="str">
        <f>IF(OR(AF70="",AF70="ERRO_CHAVE"),"",IFERROR(MATCH(AF70,'Quitados DUPP'!$U$1:$U$6635,0),""))</f>
        <v/>
      </c>
      <c r="AH70" s="15" t="str">
        <f t="shared" si="2"/>
        <v/>
      </c>
      <c r="AI70" s="17" t="str">
        <f>IF(AG70="","",INDEX('Quitados DUPP'!$G$1:$G$6635,AG70))</f>
        <v/>
      </c>
      <c r="AJ70" s="17" t="str">
        <f t="shared" si="3"/>
        <v/>
      </c>
    </row>
    <row r="71" spans="31:36">
      <c r="AE71" s="15" t="str">
        <f t="shared" si="0"/>
        <v/>
      </c>
      <c r="AF71" s="15" t="str">
        <f t="shared" si="1"/>
        <v/>
      </c>
      <c r="AG71" s="15" t="str">
        <f>IF(OR(AF71="",AF71="ERRO_CHAVE"),"",IFERROR(MATCH(AF71,'Quitados DUPP'!$U$1:$U$6635,0),""))</f>
        <v/>
      </c>
      <c r="AH71" s="15" t="str">
        <f t="shared" si="2"/>
        <v/>
      </c>
      <c r="AI71" s="17" t="str">
        <f>IF(AG71="","",INDEX('Quitados DUPP'!$G$1:$G$6635,AG71))</f>
        <v/>
      </c>
      <c r="AJ71" s="17" t="str">
        <f t="shared" si="3"/>
        <v/>
      </c>
    </row>
    <row r="72" spans="31:36">
      <c r="AE72" s="15" t="str">
        <f t="shared" si="0"/>
        <v/>
      </c>
      <c r="AF72" s="15" t="str">
        <f t="shared" si="1"/>
        <v/>
      </c>
      <c r="AG72" s="15" t="str">
        <f>IF(OR(AF72="",AF72="ERRO_CHAVE"),"",IFERROR(MATCH(AF72,'Quitados DUPP'!$U$1:$U$6635,0),""))</f>
        <v/>
      </c>
      <c r="AH72" s="15" t="str">
        <f t="shared" si="2"/>
        <v/>
      </c>
      <c r="AI72" s="17" t="str">
        <f>IF(AG72="","",INDEX('Quitados DUPP'!$G$1:$G$6635,AG72))</f>
        <v/>
      </c>
      <c r="AJ72" s="17" t="str">
        <f t="shared" si="3"/>
        <v/>
      </c>
    </row>
    <row r="73" spans="31:36">
      <c r="AE73" s="15" t="str">
        <f t="shared" si="0"/>
        <v/>
      </c>
      <c r="AF73" s="15" t="str">
        <f t="shared" si="1"/>
        <v/>
      </c>
      <c r="AG73" s="15" t="str">
        <f>IF(OR(AF73="",AF73="ERRO_CHAVE"),"",IFERROR(MATCH(AF73,'Quitados DUPP'!$U$1:$U$6635,0),""))</f>
        <v/>
      </c>
      <c r="AH73" s="15" t="str">
        <f t="shared" si="2"/>
        <v/>
      </c>
      <c r="AI73" s="17" t="str">
        <f>IF(AG73="","",INDEX('Quitados DUPP'!$G$1:$G$6635,AG73))</f>
        <v/>
      </c>
      <c r="AJ73" s="17" t="str">
        <f t="shared" si="3"/>
        <v/>
      </c>
    </row>
    <row r="74" spans="31:36">
      <c r="AE74" s="15" t="str">
        <f t="shared" si="0"/>
        <v/>
      </c>
      <c r="AF74" s="15" t="str">
        <f t="shared" si="1"/>
        <v/>
      </c>
      <c r="AG74" s="15" t="str">
        <f>IF(OR(AF74="",AF74="ERRO_CHAVE"),"",IFERROR(MATCH(AF74,'Quitados DUPP'!$U$1:$U$6635,0),""))</f>
        <v/>
      </c>
      <c r="AH74" s="15" t="str">
        <f t="shared" si="2"/>
        <v/>
      </c>
      <c r="AI74" s="17" t="str">
        <f>IF(AG74="","",INDEX('Quitados DUPP'!$G$1:$G$6635,AG74))</f>
        <v/>
      </c>
      <c r="AJ74" s="17" t="str">
        <f t="shared" si="3"/>
        <v/>
      </c>
    </row>
    <row r="75" spans="31:36">
      <c r="AE75" s="15" t="str">
        <f t="shared" si="0"/>
        <v/>
      </c>
      <c r="AF75" s="15" t="str">
        <f t="shared" si="1"/>
        <v/>
      </c>
      <c r="AG75" s="15" t="str">
        <f>IF(OR(AF75="",AF75="ERRO_CHAVE"),"",IFERROR(MATCH(AF75,'Quitados DUPP'!$U$1:$U$6635,0),""))</f>
        <v/>
      </c>
      <c r="AH75" s="15" t="str">
        <f t="shared" si="2"/>
        <v/>
      </c>
      <c r="AI75" s="17" t="str">
        <f>IF(AG75="","",INDEX('Quitados DUPP'!$G$1:$G$6635,AG75))</f>
        <v/>
      </c>
      <c r="AJ75" s="17" t="str">
        <f t="shared" si="3"/>
        <v/>
      </c>
    </row>
    <row r="76" spans="31:36">
      <c r="AE76" s="15" t="str">
        <f t="shared" si="0"/>
        <v/>
      </c>
      <c r="AF76" s="15" t="str">
        <f t="shared" si="1"/>
        <v/>
      </c>
      <c r="AG76" s="15" t="str">
        <f>IF(OR(AF76="",AF76="ERRO_CHAVE"),"",IFERROR(MATCH(AF76,'Quitados DUPP'!$U$1:$U$6635,0),""))</f>
        <v/>
      </c>
      <c r="AH76" s="15" t="str">
        <f t="shared" si="2"/>
        <v/>
      </c>
      <c r="AI76" s="17" t="str">
        <f>IF(AG76="","",INDEX('Quitados DUPP'!$G$1:$G$6635,AG76))</f>
        <v/>
      </c>
      <c r="AJ76" s="17" t="str">
        <f t="shared" si="3"/>
        <v/>
      </c>
    </row>
    <row r="77" spans="31:36">
      <c r="AE77" s="15" t="str">
        <f t="shared" si="0"/>
        <v/>
      </c>
      <c r="AF77" s="15" t="str">
        <f t="shared" si="1"/>
        <v/>
      </c>
      <c r="AG77" s="15" t="str">
        <f>IF(OR(AF77="",AF77="ERRO_CHAVE"),"",IFERROR(MATCH(AF77,'Quitados DUPP'!$U$1:$U$6635,0),""))</f>
        <v/>
      </c>
      <c r="AH77" s="15" t="str">
        <f t="shared" si="2"/>
        <v/>
      </c>
      <c r="AI77" s="17" t="str">
        <f>IF(AG77="","",INDEX('Quitados DUPP'!$G$1:$G$6635,AG77))</f>
        <v/>
      </c>
      <c r="AJ77" s="17" t="str">
        <f t="shared" si="3"/>
        <v/>
      </c>
    </row>
    <row r="78" spans="31:36">
      <c r="AE78" s="15" t="str">
        <f t="shared" si="0"/>
        <v/>
      </c>
      <c r="AF78" s="15" t="str">
        <f t="shared" si="1"/>
        <v/>
      </c>
      <c r="AG78" s="15" t="str">
        <f>IF(OR(AF78="",AF78="ERRO_CHAVE"),"",IFERROR(MATCH(AF78,'Quitados DUPP'!$U$1:$U$6635,0),""))</f>
        <v/>
      </c>
      <c r="AH78" s="15" t="str">
        <f t="shared" si="2"/>
        <v/>
      </c>
      <c r="AI78" s="17" t="str">
        <f>IF(AG78="","",INDEX('Quitados DUPP'!$G$1:$G$6635,AG78))</f>
        <v/>
      </c>
      <c r="AJ78" s="17" t="str">
        <f t="shared" si="3"/>
        <v/>
      </c>
    </row>
    <row r="79" spans="31:36">
      <c r="AE79" s="15" t="str">
        <f t="shared" si="0"/>
        <v/>
      </c>
      <c r="AF79" s="15" t="str">
        <f t="shared" si="1"/>
        <v/>
      </c>
      <c r="AG79" s="15" t="str">
        <f>IF(OR(AF79="",AF79="ERRO_CHAVE"),"",IFERROR(MATCH(AF79,'Quitados DUPP'!$U$1:$U$6635,0),""))</f>
        <v/>
      </c>
      <c r="AH79" s="15" t="str">
        <f t="shared" si="2"/>
        <v/>
      </c>
      <c r="AI79" s="17" t="str">
        <f>IF(AG79="","",INDEX('Quitados DUPP'!$G$1:$G$6635,AG79))</f>
        <v/>
      </c>
      <c r="AJ79" s="17" t="str">
        <f t="shared" si="3"/>
        <v/>
      </c>
    </row>
    <row r="80" spans="31:36">
      <c r="AE80" s="15" t="str">
        <f t="shared" si="0"/>
        <v/>
      </c>
      <c r="AF80" s="15" t="str">
        <f t="shared" si="1"/>
        <v/>
      </c>
      <c r="AG80" s="15" t="str">
        <f>IF(OR(AF80="",AF80="ERRO_CHAVE"),"",IFERROR(MATCH(AF80,'Quitados DUPP'!$U$1:$U$6635,0),""))</f>
        <v/>
      </c>
      <c r="AH80" s="15" t="str">
        <f t="shared" si="2"/>
        <v/>
      </c>
      <c r="AI80" s="17" t="str">
        <f>IF(AG80="","",INDEX('Quitados DUPP'!$G$1:$G$6635,AG80))</f>
        <v/>
      </c>
      <c r="AJ80" s="17" t="str">
        <f t="shared" si="3"/>
        <v/>
      </c>
    </row>
    <row r="81" spans="31:36">
      <c r="AE81" s="15" t="str">
        <f t="shared" si="0"/>
        <v/>
      </c>
      <c r="AF81" s="15" t="str">
        <f t="shared" si="1"/>
        <v/>
      </c>
      <c r="AG81" s="15" t="str">
        <f>IF(OR(AF81="",AF81="ERRO_CHAVE"),"",IFERROR(MATCH(AF81,'Quitados DUPP'!$U$1:$U$6635,0),""))</f>
        <v/>
      </c>
      <c r="AH81" s="15" t="str">
        <f t="shared" si="2"/>
        <v/>
      </c>
      <c r="AI81" s="17" t="str">
        <f>IF(AG81="","",INDEX('Quitados DUPP'!$G$1:$G$6635,AG81))</f>
        <v/>
      </c>
      <c r="AJ81" s="17" t="str">
        <f t="shared" si="3"/>
        <v/>
      </c>
    </row>
    <row r="82" spans="31:36">
      <c r="AE82" s="15" t="str">
        <f t="shared" si="0"/>
        <v/>
      </c>
      <c r="AF82" s="15" t="str">
        <f t="shared" si="1"/>
        <v/>
      </c>
      <c r="AG82" s="15" t="str">
        <f>IF(OR(AF82="",AF82="ERRO_CHAVE"),"",IFERROR(MATCH(AF82,'Quitados DUPP'!$U$1:$U$6635,0),""))</f>
        <v/>
      </c>
      <c r="AH82" s="15" t="str">
        <f t="shared" si="2"/>
        <v/>
      </c>
      <c r="AI82" s="17" t="str">
        <f>IF(AG82="","",INDEX('Quitados DUPP'!$G$1:$G$6635,AG82))</f>
        <v/>
      </c>
      <c r="AJ82" s="17" t="str">
        <f t="shared" si="3"/>
        <v/>
      </c>
    </row>
    <row r="83" spans="31:36">
      <c r="AE83" s="15" t="str">
        <f t="shared" si="0"/>
        <v/>
      </c>
      <c r="AF83" s="15" t="str">
        <f t="shared" si="1"/>
        <v/>
      </c>
      <c r="AG83" s="15" t="str">
        <f>IF(OR(AF83="",AF83="ERRO_CHAVE"),"",IFERROR(MATCH(AF83,'Quitados DUPP'!$U$1:$U$6635,0),""))</f>
        <v/>
      </c>
      <c r="AH83" s="15" t="str">
        <f t="shared" si="2"/>
        <v/>
      </c>
      <c r="AI83" s="17" t="str">
        <f>IF(AG83="","",INDEX('Quitados DUPP'!$G$1:$G$6635,AG83))</f>
        <v/>
      </c>
      <c r="AJ83" s="17" t="str">
        <f t="shared" si="3"/>
        <v/>
      </c>
    </row>
    <row r="84" spans="31:36">
      <c r="AE84" s="15" t="str">
        <f t="shared" si="0"/>
        <v/>
      </c>
      <c r="AF84" s="15" t="str">
        <f t="shared" si="1"/>
        <v/>
      </c>
      <c r="AG84" s="15" t="str">
        <f>IF(OR(AF84="",AF84="ERRO_CHAVE"),"",IFERROR(MATCH(AF84,'Quitados DUPP'!$U$1:$U$6635,0),""))</f>
        <v/>
      </c>
      <c r="AH84" s="15" t="str">
        <f t="shared" si="2"/>
        <v/>
      </c>
      <c r="AI84" s="17" t="str">
        <f>IF(AG84="","",INDEX('Quitados DUPP'!$G$1:$G$6635,AG84))</f>
        <v/>
      </c>
      <c r="AJ84" s="17" t="str">
        <f t="shared" si="3"/>
        <v/>
      </c>
    </row>
    <row r="85" spans="31:36">
      <c r="AE85" s="15" t="str">
        <f t="shared" si="0"/>
        <v/>
      </c>
      <c r="AF85" s="15" t="str">
        <f t="shared" si="1"/>
        <v/>
      </c>
      <c r="AG85" s="15" t="str">
        <f>IF(OR(AF85="",AF85="ERRO_CHAVE"),"",IFERROR(MATCH(AF85,'Quitados DUPP'!$U$1:$U$6635,0),""))</f>
        <v/>
      </c>
      <c r="AH85" s="15" t="str">
        <f t="shared" si="2"/>
        <v/>
      </c>
      <c r="AI85" s="17" t="str">
        <f>IF(AG85="","",INDEX('Quitados DUPP'!$G$1:$G$6635,AG85))</f>
        <v/>
      </c>
      <c r="AJ85" s="17" t="str">
        <f t="shared" si="3"/>
        <v/>
      </c>
    </row>
    <row r="86" spans="31:36">
      <c r="AE86" s="15" t="str">
        <f t="shared" si="0"/>
        <v/>
      </c>
      <c r="AF86" s="15" t="str">
        <f t="shared" si="1"/>
        <v/>
      </c>
      <c r="AG86" s="15" t="str">
        <f>IF(OR(AF86="",AF86="ERRO_CHAVE"),"",IFERROR(MATCH(AF86,'Quitados DUPP'!$U$1:$U$6635,0),""))</f>
        <v/>
      </c>
      <c r="AH86" s="15" t="str">
        <f t="shared" si="2"/>
        <v/>
      </c>
      <c r="AI86" s="17" t="str">
        <f>IF(AG86="","",INDEX('Quitados DUPP'!$G$1:$G$6635,AG86))</f>
        <v/>
      </c>
      <c r="AJ86" s="17" t="str">
        <f t="shared" si="3"/>
        <v/>
      </c>
    </row>
    <row r="87" spans="31:36">
      <c r="AE87" s="15" t="str">
        <f t="shared" si="0"/>
        <v/>
      </c>
      <c r="AF87" s="15" t="str">
        <f t="shared" si="1"/>
        <v/>
      </c>
      <c r="AG87" s="15" t="str">
        <f>IF(OR(AF87="",AF87="ERRO_CHAVE"),"",IFERROR(MATCH(AF87,'Quitados DUPP'!$U$1:$U$6635,0),""))</f>
        <v/>
      </c>
      <c r="AH87" s="15" t="str">
        <f t="shared" si="2"/>
        <v/>
      </c>
      <c r="AI87" s="17" t="str">
        <f>IF(AG87="","",INDEX('Quitados DUPP'!$G$1:$G$6635,AG87))</f>
        <v/>
      </c>
      <c r="AJ87" s="17" t="str">
        <f t="shared" si="3"/>
        <v/>
      </c>
    </row>
    <row r="88" spans="31:36">
      <c r="AE88" s="15" t="str">
        <f t="shared" si="0"/>
        <v/>
      </c>
      <c r="AF88" s="15" t="str">
        <f t="shared" si="1"/>
        <v/>
      </c>
      <c r="AG88" s="15" t="str">
        <f>IF(OR(AF88="",AF88="ERRO_CHAVE"),"",IFERROR(MATCH(AF88,'Quitados DUPP'!$U$1:$U$6635,0),""))</f>
        <v/>
      </c>
      <c r="AH88" s="15" t="str">
        <f t="shared" si="2"/>
        <v/>
      </c>
      <c r="AI88" s="17" t="str">
        <f>IF(AG88="","",INDEX('Quitados DUPP'!$G$1:$G$6635,AG88))</f>
        <v/>
      </c>
      <c r="AJ88" s="17" t="str">
        <f t="shared" si="3"/>
        <v/>
      </c>
    </row>
    <row r="89" spans="31:36">
      <c r="AE89" s="15" t="str">
        <f t="shared" si="0"/>
        <v/>
      </c>
      <c r="AF89" s="15" t="str">
        <f t="shared" si="1"/>
        <v/>
      </c>
      <c r="AG89" s="15" t="str">
        <f>IF(OR(AF89="",AF89="ERRO_CHAVE"),"",IFERROR(MATCH(AF89,'Quitados DUPP'!$U$1:$U$6635,0),""))</f>
        <v/>
      </c>
      <c r="AH89" s="15" t="str">
        <f t="shared" si="2"/>
        <v/>
      </c>
      <c r="AI89" s="17" t="str">
        <f>IF(AG89="","",INDEX('Quitados DUPP'!$G$1:$G$6635,AG89))</f>
        <v/>
      </c>
      <c r="AJ89" s="17" t="str">
        <f t="shared" si="3"/>
        <v/>
      </c>
    </row>
    <row r="90" spans="31:36">
      <c r="AE90" s="15" t="str">
        <f t="shared" si="0"/>
        <v/>
      </c>
      <c r="AF90" s="15" t="str">
        <f t="shared" si="1"/>
        <v/>
      </c>
      <c r="AG90" s="15" t="str">
        <f>IF(OR(AF90="",AF90="ERRO_CHAVE"),"",IFERROR(MATCH(AF90,'Quitados DUPP'!$U$1:$U$6635,0),""))</f>
        <v/>
      </c>
      <c r="AH90" s="15" t="str">
        <f t="shared" si="2"/>
        <v/>
      </c>
      <c r="AI90" s="17" t="str">
        <f>IF(AG90="","",INDEX('Quitados DUPP'!$G$1:$G$6635,AG90))</f>
        <v/>
      </c>
      <c r="AJ90" s="17" t="str">
        <f t="shared" si="3"/>
        <v/>
      </c>
    </row>
    <row r="91" spans="31:36">
      <c r="AE91" s="15" t="str">
        <f t="shared" si="0"/>
        <v/>
      </c>
      <c r="AF91" s="15" t="str">
        <f t="shared" si="1"/>
        <v/>
      </c>
      <c r="AG91" s="15" t="str">
        <f>IF(OR(AF91="",AF91="ERRO_CHAVE"),"",IFERROR(MATCH(AF91,'Quitados DUPP'!$U$1:$U$6635,0),""))</f>
        <v/>
      </c>
      <c r="AH91" s="15" t="str">
        <f t="shared" si="2"/>
        <v/>
      </c>
      <c r="AI91" s="17" t="str">
        <f>IF(AG91="","",INDEX('Quitados DUPP'!$G$1:$G$6635,AG91))</f>
        <v/>
      </c>
      <c r="AJ91" s="17" t="str">
        <f t="shared" si="3"/>
        <v/>
      </c>
    </row>
    <row r="92" spans="31:36">
      <c r="AE92" s="15" t="str">
        <f t="shared" si="0"/>
        <v/>
      </c>
      <c r="AF92" s="15" t="str">
        <f t="shared" si="1"/>
        <v/>
      </c>
      <c r="AG92" s="15" t="str">
        <f>IF(OR(AF92="",AF92="ERRO_CHAVE"),"",IFERROR(MATCH(AF92,'Quitados DUPP'!$U$1:$U$6635,0),""))</f>
        <v/>
      </c>
      <c r="AH92" s="15" t="str">
        <f t="shared" si="2"/>
        <v/>
      </c>
      <c r="AI92" s="17" t="str">
        <f>IF(AG92="","",INDEX('Quitados DUPP'!$G$1:$G$6635,AG92))</f>
        <v/>
      </c>
      <c r="AJ92" s="17" t="str">
        <f t="shared" si="3"/>
        <v/>
      </c>
    </row>
    <row r="93" spans="31:36">
      <c r="AE93" s="15" t="str">
        <f t="shared" si="0"/>
        <v/>
      </c>
      <c r="AF93" s="15" t="str">
        <f t="shared" si="1"/>
        <v/>
      </c>
      <c r="AG93" s="15" t="str">
        <f>IF(OR(AF93="",AF93="ERRO_CHAVE"),"",IFERROR(MATCH(AF93,'Quitados DUPP'!$U$1:$U$6635,0),""))</f>
        <v/>
      </c>
      <c r="AH93" s="15" t="str">
        <f t="shared" si="2"/>
        <v/>
      </c>
      <c r="AI93" s="17" t="str">
        <f>IF(AG93="","",INDEX('Quitados DUPP'!$G$1:$G$6635,AG93))</f>
        <v/>
      </c>
      <c r="AJ93" s="17" t="str">
        <f t="shared" si="3"/>
        <v/>
      </c>
    </row>
    <row r="94" spans="31:36">
      <c r="AE94" s="15" t="str">
        <f t="shared" si="0"/>
        <v/>
      </c>
      <c r="AF94" s="15" t="str">
        <f t="shared" si="1"/>
        <v/>
      </c>
      <c r="AG94" s="15" t="str">
        <f>IF(OR(AF94="",AF94="ERRO_CHAVE"),"",IFERROR(MATCH(AF94,'Quitados DUPP'!$U$1:$U$6635,0),""))</f>
        <v/>
      </c>
      <c r="AH94" s="15" t="str">
        <f t="shared" si="2"/>
        <v/>
      </c>
      <c r="AI94" s="17" t="str">
        <f>IF(AG94="","",INDEX('Quitados DUPP'!$G$1:$G$6635,AG94))</f>
        <v/>
      </c>
      <c r="AJ94" s="17" t="str">
        <f t="shared" si="3"/>
        <v/>
      </c>
    </row>
    <row r="95" spans="31:36">
      <c r="AE95" s="15" t="str">
        <f t="shared" si="0"/>
        <v/>
      </c>
      <c r="AF95" s="15" t="str">
        <f t="shared" si="1"/>
        <v/>
      </c>
      <c r="AG95" s="15" t="str">
        <f>IF(OR(AF95="",AF95="ERRO_CHAVE"),"",IFERROR(MATCH(AF95,'Quitados DUPP'!$U$1:$U$6635,0),""))</f>
        <v/>
      </c>
      <c r="AH95" s="15" t="str">
        <f t="shared" si="2"/>
        <v/>
      </c>
      <c r="AI95" s="17" t="str">
        <f>IF(AG95="","",INDEX('Quitados DUPP'!$G$1:$G$6635,AG95))</f>
        <v/>
      </c>
      <c r="AJ95" s="17" t="str">
        <f t="shared" si="3"/>
        <v/>
      </c>
    </row>
    <row r="96" spans="31:36">
      <c r="AE96" s="15" t="str">
        <f t="shared" si="0"/>
        <v/>
      </c>
      <c r="AF96" s="15" t="str">
        <f t="shared" si="1"/>
        <v/>
      </c>
      <c r="AG96" s="15" t="str">
        <f>IF(OR(AF96="",AF96="ERRO_CHAVE"),"",IFERROR(MATCH(AF96,'Quitados DUPP'!$U$1:$U$6635,0),""))</f>
        <v/>
      </c>
      <c r="AH96" s="15" t="str">
        <f t="shared" si="2"/>
        <v/>
      </c>
      <c r="AI96" s="17" t="str">
        <f>IF(AG96="","",INDEX('Quitados DUPP'!$G$1:$G$6635,AG96))</f>
        <v/>
      </c>
      <c r="AJ96" s="17" t="str">
        <f t="shared" si="3"/>
        <v/>
      </c>
    </row>
    <row r="97" spans="31:36">
      <c r="AE97" s="15" t="str">
        <f t="shared" si="0"/>
        <v/>
      </c>
      <c r="AF97" s="15" t="str">
        <f t="shared" si="1"/>
        <v/>
      </c>
      <c r="AG97" s="15" t="str">
        <f>IF(OR(AF97="",AF97="ERRO_CHAVE"),"",IFERROR(MATCH(AF97,'Quitados DUPP'!$U$1:$U$6635,0),""))</f>
        <v/>
      </c>
      <c r="AH97" s="15" t="str">
        <f t="shared" si="2"/>
        <v/>
      </c>
      <c r="AI97" s="17" t="str">
        <f>IF(AG97="","",INDEX('Quitados DUPP'!$G$1:$G$6635,AG97))</f>
        <v/>
      </c>
      <c r="AJ97" s="17" t="str">
        <f t="shared" si="3"/>
        <v/>
      </c>
    </row>
    <row r="98" spans="31:36">
      <c r="AE98" s="15" t="str">
        <f t="shared" si="0"/>
        <v/>
      </c>
      <c r="AF98" s="15" t="str">
        <f t="shared" si="1"/>
        <v/>
      </c>
      <c r="AG98" s="15" t="str">
        <f>IF(OR(AF98="",AF98="ERRO_CHAVE"),"",IFERROR(MATCH(AF98,'Quitados DUPP'!$U$1:$U$6635,0),""))</f>
        <v/>
      </c>
      <c r="AH98" s="15" t="str">
        <f t="shared" si="2"/>
        <v/>
      </c>
      <c r="AI98" s="17" t="str">
        <f>IF(AG98="","",INDEX('Quitados DUPP'!$G$1:$G$6635,AG98))</f>
        <v/>
      </c>
      <c r="AJ98" s="17" t="str">
        <f t="shared" si="3"/>
        <v/>
      </c>
    </row>
    <row r="99" spans="31:36">
      <c r="AE99" s="15" t="str">
        <f t="shared" si="0"/>
        <v/>
      </c>
      <c r="AF99" s="15" t="str">
        <f t="shared" si="1"/>
        <v/>
      </c>
      <c r="AG99" s="15" t="str">
        <f>IF(OR(AF99="",AF99="ERRO_CHAVE"),"",IFERROR(MATCH(AF99,'Quitados DUPP'!$U$1:$U$6635,0),""))</f>
        <v/>
      </c>
      <c r="AH99" s="15" t="str">
        <f t="shared" si="2"/>
        <v/>
      </c>
      <c r="AI99" s="17" t="str">
        <f>IF(AG99="","",INDEX('Quitados DUPP'!$G$1:$G$6635,AG99))</f>
        <v/>
      </c>
      <c r="AJ99" s="17" t="str">
        <f t="shared" si="3"/>
        <v/>
      </c>
    </row>
    <row r="100" spans="31:36">
      <c r="AE100" s="15" t="str">
        <f t="shared" si="0"/>
        <v/>
      </c>
      <c r="AF100" s="15" t="str">
        <f t="shared" si="1"/>
        <v/>
      </c>
      <c r="AG100" s="15" t="str">
        <f>IF(OR(AF100="",AF100="ERRO_CHAVE"),"",IFERROR(MATCH(AF100,'Quitados DUPP'!$U$1:$U$6635,0),""))</f>
        <v/>
      </c>
      <c r="AH100" s="15" t="str">
        <f t="shared" si="2"/>
        <v/>
      </c>
      <c r="AI100" s="17" t="str">
        <f>IF(AG100="","",INDEX('Quitados DUPP'!$G$1:$G$6635,AG100))</f>
        <v/>
      </c>
      <c r="AJ100" s="17" t="str">
        <f t="shared" si="3"/>
        <v/>
      </c>
    </row>
    <row r="101" spans="31:36">
      <c r="AE101" s="15" t="str">
        <f t="shared" si="0"/>
        <v/>
      </c>
      <c r="AF101" s="15" t="str">
        <f t="shared" si="1"/>
        <v/>
      </c>
      <c r="AG101" s="15" t="str">
        <f>IF(OR(AF101="",AF101="ERRO_CHAVE"),"",IFERROR(MATCH(AF101,'Quitados DUPP'!$U$1:$U$6635,0),""))</f>
        <v/>
      </c>
      <c r="AH101" s="15" t="str">
        <f t="shared" si="2"/>
        <v/>
      </c>
      <c r="AI101" s="17" t="str">
        <f>IF(AG101="","",INDEX('Quitados DUPP'!$G$1:$G$6635,AG101))</f>
        <v/>
      </c>
      <c r="AJ101" s="17" t="str">
        <f t="shared" si="3"/>
        <v/>
      </c>
    </row>
    <row r="102" spans="31:36">
      <c r="AE102" s="15" t="str">
        <f t="shared" si="0"/>
        <v/>
      </c>
      <c r="AF102" s="15" t="str">
        <f t="shared" si="1"/>
        <v/>
      </c>
      <c r="AG102" s="15" t="str">
        <f>IF(OR(AF102="",AF102="ERRO_CHAVE"),"",IFERROR(MATCH(AF102,'Quitados DUPP'!$U$1:$U$6635,0),""))</f>
        <v/>
      </c>
      <c r="AH102" s="15" t="str">
        <f t="shared" si="2"/>
        <v/>
      </c>
      <c r="AI102" s="17" t="str">
        <f>IF(AG102="","",INDEX('Quitados DUPP'!$G$1:$G$6635,AG102))</f>
        <v/>
      </c>
      <c r="AJ102" s="17" t="str">
        <f t="shared" si="3"/>
        <v/>
      </c>
    </row>
    <row r="103" spans="31:36">
      <c r="AE103" s="15" t="str">
        <f t="shared" si="0"/>
        <v/>
      </c>
      <c r="AF103" s="15" t="str">
        <f t="shared" si="1"/>
        <v/>
      </c>
      <c r="AG103" s="15" t="str">
        <f>IF(OR(AF103="",AF103="ERRO_CHAVE"),"",IFERROR(MATCH(AF103,'Quitados DUPP'!$U$1:$U$6635,0),""))</f>
        <v/>
      </c>
      <c r="AH103" s="15" t="str">
        <f t="shared" si="2"/>
        <v/>
      </c>
      <c r="AI103" s="17" t="str">
        <f>IF(AG103="","",INDEX('Quitados DUPP'!$G$1:$G$6635,AG103))</f>
        <v/>
      </c>
      <c r="AJ103" s="17" t="str">
        <f t="shared" si="3"/>
        <v/>
      </c>
    </row>
    <row r="104" spans="31:36">
      <c r="AE104" s="15" t="str">
        <f t="shared" si="0"/>
        <v/>
      </c>
      <c r="AF104" s="15" t="str">
        <f t="shared" si="1"/>
        <v/>
      </c>
      <c r="AG104" s="15" t="str">
        <f>IF(OR(AF104="",AF104="ERRO_CHAVE"),"",IFERROR(MATCH(AF104,'Quitados DUPP'!$U$1:$U$6635,0),""))</f>
        <v/>
      </c>
      <c r="AH104" s="15" t="str">
        <f t="shared" si="2"/>
        <v/>
      </c>
      <c r="AI104" s="17" t="str">
        <f>IF(AG104="","",INDEX('Quitados DUPP'!$G$1:$G$6635,AG104))</f>
        <v/>
      </c>
      <c r="AJ104" s="17" t="str">
        <f t="shared" si="3"/>
        <v/>
      </c>
    </row>
    <row r="105" spans="31:36">
      <c r="AE105" s="15" t="str">
        <f t="shared" si="0"/>
        <v/>
      </c>
      <c r="AF105" s="15" t="str">
        <f t="shared" si="1"/>
        <v/>
      </c>
      <c r="AG105" s="15" t="str">
        <f>IF(OR(AF105="",AF105="ERRO_CHAVE"),"",IFERROR(MATCH(AF105,'Quitados DUPP'!$U$1:$U$6635,0),""))</f>
        <v/>
      </c>
      <c r="AH105" s="15" t="str">
        <f t="shared" si="2"/>
        <v/>
      </c>
      <c r="AI105" s="17" t="str">
        <f>IF(AG105="","",INDEX('Quitados DUPP'!$G$1:$G$6635,AG105))</f>
        <v/>
      </c>
      <c r="AJ105" s="17" t="str">
        <f t="shared" si="3"/>
        <v/>
      </c>
    </row>
    <row r="106" spans="31:36">
      <c r="AE106" s="15" t="str">
        <f t="shared" si="0"/>
        <v/>
      </c>
      <c r="AF106" s="15" t="str">
        <f t="shared" si="1"/>
        <v/>
      </c>
      <c r="AG106" s="15" t="str">
        <f>IF(OR(AF106="",AF106="ERRO_CHAVE"),"",IFERROR(MATCH(AF106,'Quitados DUPP'!$U$1:$U$6635,0),""))</f>
        <v/>
      </c>
      <c r="AH106" s="15" t="str">
        <f t="shared" si="2"/>
        <v/>
      </c>
      <c r="AI106" s="17" t="str">
        <f>IF(AG106="","",INDEX('Quitados DUPP'!$G$1:$G$6635,AG106))</f>
        <v/>
      </c>
      <c r="AJ106" s="17" t="str">
        <f t="shared" si="3"/>
        <v/>
      </c>
    </row>
    <row r="107" spans="31:36">
      <c r="AE107" s="15" t="str">
        <f t="shared" si="0"/>
        <v/>
      </c>
      <c r="AF107" s="15" t="str">
        <f t="shared" si="1"/>
        <v/>
      </c>
      <c r="AG107" s="15" t="str">
        <f>IF(OR(AF107="",AF107="ERRO_CHAVE"),"",IFERROR(MATCH(AF107,'Quitados DUPP'!$U$1:$U$6635,0),""))</f>
        <v/>
      </c>
      <c r="AH107" s="15" t="str">
        <f t="shared" si="2"/>
        <v/>
      </c>
      <c r="AI107" s="17" t="str">
        <f>IF(AG107="","",INDEX('Quitados DUPP'!$G$1:$G$6635,AG107))</f>
        <v/>
      </c>
      <c r="AJ107" s="17" t="str">
        <f t="shared" si="3"/>
        <v/>
      </c>
    </row>
    <row r="108" spans="31:36">
      <c r="AE108" s="15" t="str">
        <f t="shared" si="0"/>
        <v/>
      </c>
      <c r="AF108" s="15" t="str">
        <f t="shared" si="1"/>
        <v/>
      </c>
      <c r="AG108" s="15" t="str">
        <f>IF(OR(AF108="",AF108="ERRO_CHAVE"),"",IFERROR(MATCH(AF108,'Quitados DUPP'!$U$1:$U$6635,0),""))</f>
        <v/>
      </c>
      <c r="AH108" s="15" t="str">
        <f t="shared" si="2"/>
        <v/>
      </c>
      <c r="AI108" s="17" t="str">
        <f>IF(AG108="","",INDEX('Quitados DUPP'!$G$1:$G$6635,AG108))</f>
        <v/>
      </c>
      <c r="AJ108" s="17" t="str">
        <f t="shared" si="3"/>
        <v/>
      </c>
    </row>
    <row r="109" spans="31:36">
      <c r="AE109" s="15" t="str">
        <f t="shared" si="0"/>
        <v/>
      </c>
      <c r="AF109" s="15" t="str">
        <f t="shared" si="1"/>
        <v/>
      </c>
      <c r="AG109" s="15" t="str">
        <f>IF(OR(AF109="",AF109="ERRO_CHAVE"),"",IFERROR(MATCH(AF109,'Quitados DUPP'!$U$1:$U$6635,0),""))</f>
        <v/>
      </c>
      <c r="AH109" s="15" t="str">
        <f t="shared" si="2"/>
        <v/>
      </c>
      <c r="AI109" s="17" t="str">
        <f>IF(AG109="","",INDEX('Quitados DUPP'!$G$1:$G$6635,AG109))</f>
        <v/>
      </c>
      <c r="AJ109" s="17" t="str">
        <f t="shared" si="3"/>
        <v/>
      </c>
    </row>
    <row r="110" spans="31:36">
      <c r="AE110" s="15" t="str">
        <f t="shared" si="0"/>
        <v/>
      </c>
      <c r="AF110" s="15" t="str">
        <f t="shared" si="1"/>
        <v/>
      </c>
      <c r="AG110" s="15" t="str">
        <f>IF(OR(AF110="",AF110="ERRO_CHAVE"),"",IFERROR(MATCH(AF110,'Quitados DUPP'!$U$1:$U$6635,0),""))</f>
        <v/>
      </c>
      <c r="AH110" s="15" t="str">
        <f t="shared" si="2"/>
        <v/>
      </c>
      <c r="AI110" s="17" t="str">
        <f>IF(AG110="","",INDEX('Quitados DUPP'!$G$1:$G$6635,AG110))</f>
        <v/>
      </c>
      <c r="AJ110" s="17" t="str">
        <f t="shared" si="3"/>
        <v/>
      </c>
    </row>
    <row r="111" spans="31:36">
      <c r="AE111" s="15" t="str">
        <f t="shared" si="0"/>
        <v/>
      </c>
      <c r="AF111" s="15" t="str">
        <f t="shared" si="1"/>
        <v/>
      </c>
      <c r="AG111" s="15" t="str">
        <f>IF(OR(AF111="",AF111="ERRO_CHAVE"),"",IFERROR(MATCH(AF111,'Quitados DUPP'!$U$1:$U$6635,0),""))</f>
        <v/>
      </c>
      <c r="AH111" s="15" t="str">
        <f t="shared" si="2"/>
        <v/>
      </c>
      <c r="AI111" s="17" t="str">
        <f>IF(AG111="","",INDEX('Quitados DUPP'!$G$1:$G$6635,AG111))</f>
        <v/>
      </c>
      <c r="AJ111" s="17" t="str">
        <f t="shared" si="3"/>
        <v/>
      </c>
    </row>
    <row r="112" spans="31:36">
      <c r="AE112" s="15" t="str">
        <f t="shared" si="0"/>
        <v/>
      </c>
      <c r="AF112" s="15" t="str">
        <f t="shared" si="1"/>
        <v/>
      </c>
      <c r="AG112" s="15" t="str">
        <f>IF(OR(AF112="",AF112="ERRO_CHAVE"),"",IFERROR(MATCH(AF112,'Quitados DUPP'!$U$1:$U$6635,0),""))</f>
        <v/>
      </c>
      <c r="AH112" s="15" t="str">
        <f t="shared" si="2"/>
        <v/>
      </c>
      <c r="AI112" s="17" t="str">
        <f>IF(AG112="","",INDEX('Quitados DUPP'!$G$1:$G$6635,AG112))</f>
        <v/>
      </c>
      <c r="AJ112" s="17" t="str">
        <f t="shared" si="3"/>
        <v/>
      </c>
    </row>
    <row r="113" spans="31:36">
      <c r="AE113" s="15" t="str">
        <f t="shared" si="0"/>
        <v/>
      </c>
      <c r="AF113" s="15" t="str">
        <f t="shared" si="1"/>
        <v/>
      </c>
      <c r="AG113" s="15" t="str">
        <f>IF(OR(AF113="",AF113="ERRO_CHAVE"),"",IFERROR(MATCH(AF113,'Quitados DUPP'!$U$1:$U$6635,0),""))</f>
        <v/>
      </c>
      <c r="AH113" s="15" t="str">
        <f t="shared" si="2"/>
        <v/>
      </c>
      <c r="AI113" s="17" t="str">
        <f>IF(AG113="","",INDEX('Quitados DUPP'!$G$1:$G$6635,AG113))</f>
        <v/>
      </c>
      <c r="AJ113" s="17" t="str">
        <f t="shared" si="3"/>
        <v/>
      </c>
    </row>
    <row r="114" spans="31:36">
      <c r="AE114" s="15" t="str">
        <f t="shared" si="0"/>
        <v/>
      </c>
      <c r="AF114" s="15" t="str">
        <f t="shared" si="1"/>
        <v/>
      </c>
      <c r="AG114" s="15" t="str">
        <f>IF(OR(AF114="",AF114="ERRO_CHAVE"),"",IFERROR(MATCH(AF114,'Quitados DUPP'!$U$1:$U$6635,0),""))</f>
        <v/>
      </c>
      <c r="AH114" s="15" t="str">
        <f t="shared" si="2"/>
        <v/>
      </c>
      <c r="AI114" s="17" t="str">
        <f>IF(AG114="","",INDEX('Quitados DUPP'!$G$1:$G$6635,AG114))</f>
        <v/>
      </c>
      <c r="AJ114" s="17" t="str">
        <f t="shared" si="3"/>
        <v/>
      </c>
    </row>
    <row r="115" spans="31:36">
      <c r="AE115" s="15" t="str">
        <f t="shared" si="0"/>
        <v/>
      </c>
      <c r="AF115" s="15" t="str">
        <f t="shared" si="1"/>
        <v/>
      </c>
      <c r="AG115" s="15" t="str">
        <f>IF(OR(AF115="",AF115="ERRO_CHAVE"),"",IFERROR(MATCH(AF115,'Quitados DUPP'!$U$1:$U$6635,0),""))</f>
        <v/>
      </c>
      <c r="AH115" s="15" t="str">
        <f t="shared" si="2"/>
        <v/>
      </c>
      <c r="AI115" s="17" t="str">
        <f>IF(AG115="","",INDEX('Quitados DUPP'!$G$1:$G$6635,AG115))</f>
        <v/>
      </c>
      <c r="AJ115" s="17" t="str">
        <f t="shared" si="3"/>
        <v/>
      </c>
    </row>
    <row r="116" spans="31:36">
      <c r="AE116" s="15" t="str">
        <f t="shared" si="0"/>
        <v/>
      </c>
      <c r="AF116" s="15" t="str">
        <f t="shared" si="1"/>
        <v/>
      </c>
      <c r="AG116" s="15" t="str">
        <f>IF(OR(AF116="",AF116="ERRO_CHAVE"),"",IFERROR(MATCH(AF116,'Quitados DUPP'!$U$1:$U$6635,0),""))</f>
        <v/>
      </c>
      <c r="AH116" s="15" t="str">
        <f t="shared" si="2"/>
        <v/>
      </c>
      <c r="AI116" s="17" t="str">
        <f>IF(AG116="","",INDEX('Quitados DUPP'!$G$1:$G$6635,AG116))</f>
        <v/>
      </c>
      <c r="AJ116" s="17" t="str">
        <f t="shared" si="3"/>
        <v/>
      </c>
    </row>
    <row r="117" spans="31:36">
      <c r="AE117" s="15" t="str">
        <f t="shared" si="0"/>
        <v/>
      </c>
      <c r="AF117" s="15" t="str">
        <f t="shared" si="1"/>
        <v/>
      </c>
      <c r="AG117" s="15" t="str">
        <f>IF(OR(AF117="",AF117="ERRO_CHAVE"),"",IFERROR(MATCH(AF117,'Quitados DUPP'!$U$1:$U$6635,0),""))</f>
        <v/>
      </c>
      <c r="AH117" s="15" t="str">
        <f t="shared" si="2"/>
        <v/>
      </c>
      <c r="AI117" s="17" t="str">
        <f>IF(AG117="","",INDEX('Quitados DUPP'!$G$1:$G$6635,AG117))</f>
        <v/>
      </c>
      <c r="AJ117" s="17" t="str">
        <f t="shared" si="3"/>
        <v/>
      </c>
    </row>
    <row r="118" spans="31:36">
      <c r="AE118" s="15" t="str">
        <f t="shared" si="0"/>
        <v/>
      </c>
      <c r="AF118" s="15" t="str">
        <f t="shared" si="1"/>
        <v/>
      </c>
      <c r="AG118" s="15" t="str">
        <f>IF(OR(AF118="",AF118="ERRO_CHAVE"),"",IFERROR(MATCH(AF118,'Quitados DUPP'!$U$1:$U$6635,0),""))</f>
        <v/>
      </c>
      <c r="AH118" s="15" t="str">
        <f t="shared" si="2"/>
        <v/>
      </c>
      <c r="AI118" s="17" t="str">
        <f>IF(AG118="","",INDEX('Quitados DUPP'!$G$1:$G$6635,AG118))</f>
        <v/>
      </c>
      <c r="AJ118" s="17" t="str">
        <f t="shared" si="3"/>
        <v/>
      </c>
    </row>
    <row r="119" spans="31:36">
      <c r="AE119" s="15" t="str">
        <f t="shared" si="0"/>
        <v/>
      </c>
      <c r="AF119" s="15" t="str">
        <f t="shared" si="1"/>
        <v/>
      </c>
      <c r="AG119" s="15" t="str">
        <f>IF(OR(AF119="",AF119="ERRO_CHAVE"),"",IFERROR(MATCH(AF119,'Quitados DUPP'!$U$1:$U$6635,0),""))</f>
        <v/>
      </c>
      <c r="AH119" s="15" t="str">
        <f t="shared" si="2"/>
        <v/>
      </c>
      <c r="AI119" s="17" t="str">
        <f>IF(AG119="","",INDEX('Quitados DUPP'!$G$1:$G$6635,AG119))</f>
        <v/>
      </c>
      <c r="AJ119" s="17" t="str">
        <f t="shared" si="3"/>
        <v/>
      </c>
    </row>
    <row r="120" spans="31:36">
      <c r="AE120" s="15" t="str">
        <f t="shared" si="0"/>
        <v/>
      </c>
      <c r="AF120" s="15" t="str">
        <f t="shared" si="1"/>
        <v/>
      </c>
      <c r="AG120" s="15" t="str">
        <f>IF(OR(AF120="",AF120="ERRO_CHAVE"),"",IFERROR(MATCH(AF120,'Quitados DUPP'!$U$1:$U$6635,0),""))</f>
        <v/>
      </c>
      <c r="AH120" s="15" t="str">
        <f t="shared" si="2"/>
        <v/>
      </c>
      <c r="AI120" s="17" t="str">
        <f>IF(AG120="","",INDEX('Quitados DUPP'!$G$1:$G$6635,AG120))</f>
        <v/>
      </c>
      <c r="AJ120" s="17" t="str">
        <f t="shared" si="3"/>
        <v/>
      </c>
    </row>
    <row r="121" spans="31:36">
      <c r="AE121" s="15" t="str">
        <f t="shared" si="0"/>
        <v/>
      </c>
      <c r="AF121" s="15" t="str">
        <f t="shared" si="1"/>
        <v/>
      </c>
      <c r="AG121" s="15" t="str">
        <f>IF(OR(AF121="",AF121="ERRO_CHAVE"),"",IFERROR(MATCH(AF121,'Quitados DUPP'!$U$1:$U$6635,0),""))</f>
        <v/>
      </c>
      <c r="AH121" s="15" t="str">
        <f t="shared" si="2"/>
        <v/>
      </c>
      <c r="AI121" s="17" t="str">
        <f>IF(AG121="","",INDEX('Quitados DUPP'!$G$1:$G$6635,AG121))</f>
        <v/>
      </c>
      <c r="AJ121" s="17" t="str">
        <f t="shared" si="3"/>
        <v/>
      </c>
    </row>
    <row r="122" spans="31:36">
      <c r="AE122" s="15" t="str">
        <f t="shared" si="0"/>
        <v/>
      </c>
      <c r="AF122" s="15" t="str">
        <f t="shared" si="1"/>
        <v/>
      </c>
      <c r="AG122" s="15" t="str">
        <f>IF(OR(AF122="",AF122="ERRO_CHAVE"),"",IFERROR(MATCH(AF122,'Quitados DUPP'!$U$1:$U$6635,0),""))</f>
        <v/>
      </c>
      <c r="AH122" s="15" t="str">
        <f t="shared" si="2"/>
        <v/>
      </c>
      <c r="AI122" s="17" t="str">
        <f>IF(AG122="","",INDEX('Quitados DUPP'!$G$1:$G$6635,AG122))</f>
        <v/>
      </c>
      <c r="AJ122" s="17" t="str">
        <f t="shared" si="3"/>
        <v/>
      </c>
    </row>
    <row r="123" spans="31:36">
      <c r="AE123" s="15" t="str">
        <f t="shared" si="0"/>
        <v/>
      </c>
      <c r="AF123" s="15" t="str">
        <f t="shared" si="1"/>
        <v/>
      </c>
      <c r="AG123" s="15" t="str">
        <f>IF(OR(AF123="",AF123="ERRO_CHAVE"),"",IFERROR(MATCH(AF123,'Quitados DUPP'!$U$1:$U$6635,0),""))</f>
        <v/>
      </c>
      <c r="AH123" s="15" t="str">
        <f t="shared" si="2"/>
        <v/>
      </c>
      <c r="AI123" s="17" t="str">
        <f>IF(AG123="","",INDEX('Quitados DUPP'!$G$1:$G$6635,AG123))</f>
        <v/>
      </c>
      <c r="AJ123" s="17" t="str">
        <f t="shared" si="3"/>
        <v/>
      </c>
    </row>
    <row r="124" spans="31:36">
      <c r="AE124" s="15" t="str">
        <f t="shared" si="0"/>
        <v/>
      </c>
      <c r="AF124" s="15" t="str">
        <f t="shared" si="1"/>
        <v/>
      </c>
      <c r="AG124" s="15" t="str">
        <f>IF(OR(AF124="",AF124="ERRO_CHAVE"),"",IFERROR(MATCH(AF124,'Quitados DUPP'!$U$1:$U$6635,0),""))</f>
        <v/>
      </c>
      <c r="AH124" s="15" t="str">
        <f t="shared" si="2"/>
        <v/>
      </c>
      <c r="AI124" s="17" t="str">
        <f>IF(AG124="","",INDEX('Quitados DUPP'!$G$1:$G$6635,AG124))</f>
        <v/>
      </c>
      <c r="AJ124" s="17" t="str">
        <f t="shared" si="3"/>
        <v/>
      </c>
    </row>
    <row r="125" spans="31:36">
      <c r="AE125" s="15" t="str">
        <f t="shared" si="0"/>
        <v/>
      </c>
      <c r="AF125" s="15" t="str">
        <f t="shared" si="1"/>
        <v/>
      </c>
      <c r="AG125" s="15" t="str">
        <f>IF(OR(AF125="",AF125="ERRO_CHAVE"),"",IFERROR(MATCH(AF125,'Quitados DUPP'!$U$1:$U$6635,0),""))</f>
        <v/>
      </c>
      <c r="AH125" s="15" t="str">
        <f t="shared" si="2"/>
        <v/>
      </c>
      <c r="AI125" s="17" t="str">
        <f>IF(AG125="","",INDEX('Quitados DUPP'!$G$1:$G$6635,AG125))</f>
        <v/>
      </c>
      <c r="AJ125" s="17" t="str">
        <f t="shared" si="3"/>
        <v/>
      </c>
    </row>
    <row r="126" spans="31:36">
      <c r="AE126" s="15" t="str">
        <f t="shared" si="0"/>
        <v/>
      </c>
      <c r="AF126" s="15" t="str">
        <f t="shared" si="1"/>
        <v/>
      </c>
      <c r="AG126" s="15" t="str">
        <f>IF(OR(AF126="",AF126="ERRO_CHAVE"),"",IFERROR(MATCH(AF126,'Quitados DUPP'!$U$1:$U$6635,0),""))</f>
        <v/>
      </c>
      <c r="AH126" s="15" t="str">
        <f t="shared" si="2"/>
        <v/>
      </c>
      <c r="AI126" s="17" t="str">
        <f>IF(AG126="","",INDEX('Quitados DUPP'!$G$1:$G$6635,AG126))</f>
        <v/>
      </c>
      <c r="AJ126" s="17" t="str">
        <f t="shared" si="3"/>
        <v/>
      </c>
    </row>
    <row r="127" spans="31:36">
      <c r="AE127" s="15" t="str">
        <f t="shared" si="0"/>
        <v/>
      </c>
      <c r="AF127" s="15" t="str">
        <f t="shared" si="1"/>
        <v/>
      </c>
      <c r="AG127" s="15" t="str">
        <f>IF(OR(AF127="",AF127="ERRO_CHAVE"),"",IFERROR(MATCH(AF127,'Quitados DUPP'!$U$1:$U$6635,0),""))</f>
        <v/>
      </c>
      <c r="AH127" s="15" t="str">
        <f t="shared" si="2"/>
        <v/>
      </c>
      <c r="AI127" s="17" t="str">
        <f>IF(AG127="","",INDEX('Quitados DUPP'!$G$1:$G$6635,AG127))</f>
        <v/>
      </c>
      <c r="AJ127" s="17" t="str">
        <f t="shared" si="3"/>
        <v/>
      </c>
    </row>
    <row r="128" spans="31:36">
      <c r="AE128" s="15" t="str">
        <f t="shared" si="0"/>
        <v/>
      </c>
      <c r="AF128" s="15" t="str">
        <f t="shared" si="1"/>
        <v/>
      </c>
      <c r="AG128" s="15" t="str">
        <f>IF(OR(AF128="",AF128="ERRO_CHAVE"),"",IFERROR(MATCH(AF128,'Quitados DUPP'!$U$1:$U$6635,0),""))</f>
        <v/>
      </c>
      <c r="AH128" s="15" t="str">
        <f t="shared" si="2"/>
        <v/>
      </c>
      <c r="AI128" s="17" t="str">
        <f>IF(AG128="","",INDEX('Quitados DUPP'!$G$1:$G$6635,AG128))</f>
        <v/>
      </c>
      <c r="AJ128" s="17" t="str">
        <f t="shared" si="3"/>
        <v/>
      </c>
    </row>
    <row r="129" spans="31:36">
      <c r="AE129" s="15" t="str">
        <f t="shared" si="0"/>
        <v/>
      </c>
      <c r="AF129" s="15" t="str">
        <f t="shared" si="1"/>
        <v/>
      </c>
      <c r="AG129" s="15" t="str">
        <f>IF(OR(AF129="",AF129="ERRO_CHAVE"),"",IFERROR(MATCH(AF129,'Quitados DUPP'!$U$1:$U$6635,0),""))</f>
        <v/>
      </c>
      <c r="AH129" s="15" t="str">
        <f t="shared" si="2"/>
        <v/>
      </c>
      <c r="AI129" s="17" t="str">
        <f>IF(AG129="","",INDEX('Quitados DUPP'!$G$1:$G$6635,AG129))</f>
        <v/>
      </c>
      <c r="AJ129" s="17" t="str">
        <f t="shared" si="3"/>
        <v/>
      </c>
    </row>
    <row r="130" spans="31:36">
      <c r="AE130" s="15" t="str">
        <f t="shared" si="0"/>
        <v/>
      </c>
      <c r="AF130" s="15" t="str">
        <f t="shared" si="1"/>
        <v/>
      </c>
      <c r="AG130" s="15" t="str">
        <f>IF(OR(AF130="",AF130="ERRO_CHAVE"),"",IFERROR(MATCH(AF130,'Quitados DUPP'!$U$1:$U$6635,0),""))</f>
        <v/>
      </c>
      <c r="AH130" s="15" t="str">
        <f t="shared" si="2"/>
        <v/>
      </c>
      <c r="AI130" s="17" t="str">
        <f>IF(AG130="","",INDEX('Quitados DUPP'!$G$1:$G$6635,AG130))</f>
        <v/>
      </c>
      <c r="AJ130" s="17" t="str">
        <f t="shared" si="3"/>
        <v/>
      </c>
    </row>
    <row r="131" spans="31:36">
      <c r="AE131" s="15" t="str">
        <f t="shared" si="0"/>
        <v/>
      </c>
      <c r="AF131" s="15" t="str">
        <f t="shared" si="1"/>
        <v/>
      </c>
      <c r="AG131" s="15" t="str">
        <f>IF(OR(AF131="",AF131="ERRO_CHAVE"),"",IFERROR(MATCH(AF131,'Quitados DUPP'!$U$1:$U$6635,0),""))</f>
        <v/>
      </c>
      <c r="AH131" s="15" t="str">
        <f t="shared" si="2"/>
        <v/>
      </c>
      <c r="AI131" s="17" t="str">
        <f>IF(AG131="","",INDEX('Quitados DUPP'!$G$1:$G$6635,AG131))</f>
        <v/>
      </c>
      <c r="AJ131" s="17" t="str">
        <f t="shared" si="3"/>
        <v/>
      </c>
    </row>
    <row r="132" spans="31:36">
      <c r="AE132" s="15" t="str">
        <f t="shared" si="0"/>
        <v/>
      </c>
      <c r="AF132" s="15" t="str">
        <f t="shared" si="1"/>
        <v/>
      </c>
      <c r="AG132" s="15" t="str">
        <f>IF(OR(AF132="",AF132="ERRO_CHAVE"),"",IFERROR(MATCH(AF132,'Quitados DUPP'!$U$1:$U$6635,0),""))</f>
        <v/>
      </c>
      <c r="AH132" s="15" t="str">
        <f t="shared" si="2"/>
        <v/>
      </c>
      <c r="AI132" s="17" t="str">
        <f>IF(AG132="","",INDEX('Quitados DUPP'!$G$1:$G$6635,AG132))</f>
        <v/>
      </c>
      <c r="AJ132" s="17" t="str">
        <f t="shared" si="3"/>
        <v/>
      </c>
    </row>
    <row r="133" spans="31:36">
      <c r="AE133" s="15" t="str">
        <f t="shared" si="0"/>
        <v/>
      </c>
      <c r="AF133" s="15" t="str">
        <f t="shared" si="1"/>
        <v/>
      </c>
      <c r="AG133" s="15" t="str">
        <f>IF(OR(AF133="",AF133="ERRO_CHAVE"),"",IFERROR(MATCH(AF133,'Quitados DUPP'!$U$1:$U$6635,0),""))</f>
        <v/>
      </c>
      <c r="AH133" s="15" t="str">
        <f t="shared" si="2"/>
        <v/>
      </c>
      <c r="AI133" s="17" t="str">
        <f>IF(AG133="","",INDEX('Quitados DUPP'!$G$1:$G$6635,AG133))</f>
        <v/>
      </c>
      <c r="AJ133" s="17" t="str">
        <f t="shared" si="3"/>
        <v/>
      </c>
    </row>
    <row r="134" spans="31:36">
      <c r="AE134" s="15" t="str">
        <f t="shared" si="0"/>
        <v/>
      </c>
      <c r="AF134" s="15" t="str">
        <f t="shared" si="1"/>
        <v/>
      </c>
      <c r="AG134" s="15" t="str">
        <f>IF(OR(AF134="",AF134="ERRO_CHAVE"),"",IFERROR(MATCH(AF134,'Quitados DUPP'!$U$1:$U$6635,0),""))</f>
        <v/>
      </c>
      <c r="AH134" s="15" t="str">
        <f t="shared" si="2"/>
        <v/>
      </c>
      <c r="AI134" s="17" t="str">
        <f>IF(AG134="","",INDEX('Quitados DUPP'!$G$1:$G$6635,AG134))</f>
        <v/>
      </c>
      <c r="AJ134" s="17" t="str">
        <f t="shared" si="3"/>
        <v/>
      </c>
    </row>
    <row r="135" spans="31:36">
      <c r="AE135" s="15" t="str">
        <f t="shared" si="0"/>
        <v/>
      </c>
      <c r="AF135" s="15" t="str">
        <f t="shared" si="1"/>
        <v/>
      </c>
      <c r="AG135" s="15" t="str">
        <f>IF(OR(AF135="",AF135="ERRO_CHAVE"),"",IFERROR(MATCH(AF135,'Quitados DUPP'!$U$1:$U$6635,0),""))</f>
        <v/>
      </c>
      <c r="AH135" s="15" t="str">
        <f t="shared" si="2"/>
        <v/>
      </c>
      <c r="AI135" s="17" t="str">
        <f>IF(AG135="","",INDEX('Quitados DUPP'!$G$1:$G$6635,AG135))</f>
        <v/>
      </c>
      <c r="AJ135" s="17" t="str">
        <f t="shared" si="3"/>
        <v/>
      </c>
    </row>
    <row r="136" spans="31:36">
      <c r="AE136" s="15" t="str">
        <f t="shared" si="0"/>
        <v/>
      </c>
      <c r="AF136" s="15" t="str">
        <f t="shared" si="1"/>
        <v/>
      </c>
      <c r="AG136" s="15" t="str">
        <f>IF(OR(AF136="",AF136="ERRO_CHAVE"),"",IFERROR(MATCH(AF136,'Quitados DUPP'!$U$1:$U$6635,0),""))</f>
        <v/>
      </c>
      <c r="AH136" s="15" t="str">
        <f t="shared" si="2"/>
        <v/>
      </c>
      <c r="AI136" s="17" t="str">
        <f>IF(AG136="","",INDEX('Quitados DUPP'!$G$1:$G$6635,AG136))</f>
        <v/>
      </c>
      <c r="AJ136" s="17" t="str">
        <f t="shared" si="3"/>
        <v/>
      </c>
    </row>
    <row r="137" spans="31:36">
      <c r="AE137" s="15" t="str">
        <f t="shared" si="0"/>
        <v/>
      </c>
      <c r="AF137" s="15" t="str">
        <f t="shared" si="1"/>
        <v/>
      </c>
      <c r="AG137" s="15" t="str">
        <f>IF(OR(AF137="",AF137="ERRO_CHAVE"),"",IFERROR(MATCH(AF137,'Quitados DUPP'!$U$1:$U$6635,0),""))</f>
        <v/>
      </c>
      <c r="AH137" s="15" t="str">
        <f t="shared" si="2"/>
        <v/>
      </c>
      <c r="AI137" s="17" t="str">
        <f>IF(AG137="","",INDEX('Quitados DUPP'!$G$1:$G$6635,AG137))</f>
        <v/>
      </c>
      <c r="AJ137" s="17" t="str">
        <f t="shared" si="3"/>
        <v/>
      </c>
    </row>
    <row r="138" spans="31:36">
      <c r="AE138" s="15" t="str">
        <f t="shared" si="0"/>
        <v/>
      </c>
      <c r="AF138" s="15" t="str">
        <f t="shared" si="1"/>
        <v/>
      </c>
      <c r="AG138" s="15" t="str">
        <f>IF(OR(AF138="",AF138="ERRO_CHAVE"),"",IFERROR(MATCH(AF138,'Quitados DUPP'!$U$1:$U$6635,0),""))</f>
        <v/>
      </c>
      <c r="AH138" s="15" t="str">
        <f t="shared" si="2"/>
        <v/>
      </c>
      <c r="AI138" s="17" t="str">
        <f>IF(AG138="","",INDEX('Quitados DUPP'!$G$1:$G$6635,AG138))</f>
        <v/>
      </c>
      <c r="AJ138" s="17" t="str">
        <f t="shared" si="3"/>
        <v/>
      </c>
    </row>
    <row r="139" spans="31:36">
      <c r="AE139" s="15" t="str">
        <f t="shared" si="0"/>
        <v/>
      </c>
      <c r="AF139" s="15" t="str">
        <f t="shared" si="1"/>
        <v/>
      </c>
      <c r="AG139" s="15" t="str">
        <f>IF(OR(AF139="",AF139="ERRO_CHAVE"),"",IFERROR(MATCH(AF139,'Quitados DUPP'!$U$1:$U$6635,0),""))</f>
        <v/>
      </c>
      <c r="AH139" s="15" t="str">
        <f t="shared" si="2"/>
        <v/>
      </c>
      <c r="AI139" s="17" t="str">
        <f>IF(AG139="","",INDEX('Quitados DUPP'!$G$1:$G$6635,AG139))</f>
        <v/>
      </c>
      <c r="AJ139" s="17" t="str">
        <f t="shared" si="3"/>
        <v/>
      </c>
    </row>
    <row r="140" spans="31:36">
      <c r="AE140" s="15" t="str">
        <f t="shared" si="0"/>
        <v/>
      </c>
      <c r="AF140" s="15" t="str">
        <f t="shared" si="1"/>
        <v/>
      </c>
      <c r="AG140" s="15" t="str">
        <f>IF(OR(AF140="",AF140="ERRO_CHAVE"),"",IFERROR(MATCH(AF140,'Quitados DUPP'!$U$1:$U$6635,0),""))</f>
        <v/>
      </c>
      <c r="AH140" s="15" t="str">
        <f t="shared" si="2"/>
        <v/>
      </c>
      <c r="AI140" s="17" t="str">
        <f>IF(AG140="","",INDEX('Quitados DUPP'!$G$1:$G$6635,AG140))</f>
        <v/>
      </c>
      <c r="AJ140" s="17" t="str">
        <f t="shared" si="3"/>
        <v/>
      </c>
    </row>
    <row r="141" spans="31:36">
      <c r="AE141" s="15" t="str">
        <f t="shared" si="0"/>
        <v/>
      </c>
      <c r="AF141" s="15" t="str">
        <f t="shared" si="1"/>
        <v/>
      </c>
      <c r="AG141" s="15" t="str">
        <f>IF(OR(AF141="",AF141="ERRO_CHAVE"),"",IFERROR(MATCH(AF141,'Quitados DUPP'!$U$1:$U$6635,0),""))</f>
        <v/>
      </c>
      <c r="AH141" s="15" t="str">
        <f t="shared" si="2"/>
        <v/>
      </c>
      <c r="AI141" s="17" t="str">
        <f>IF(AG141="","",INDEX('Quitados DUPP'!$G$1:$G$6635,AG141))</f>
        <v/>
      </c>
      <c r="AJ141" s="17" t="str">
        <f t="shared" si="3"/>
        <v/>
      </c>
    </row>
    <row r="142" spans="31:36">
      <c r="AE142" s="15" t="str">
        <f t="shared" si="0"/>
        <v/>
      </c>
      <c r="AF142" s="15" t="str">
        <f t="shared" si="1"/>
        <v/>
      </c>
      <c r="AG142" s="15" t="str">
        <f>IF(OR(AF142="",AF142="ERRO_CHAVE"),"",IFERROR(MATCH(AF142,'Quitados DUPP'!$U$1:$U$6635,0),""))</f>
        <v/>
      </c>
      <c r="AH142" s="15" t="str">
        <f t="shared" si="2"/>
        <v/>
      </c>
      <c r="AI142" s="17" t="str">
        <f>IF(AG142="","",INDEX('Quitados DUPP'!$G$1:$G$6635,AG142))</f>
        <v/>
      </c>
      <c r="AJ142" s="17" t="str">
        <f t="shared" si="3"/>
        <v/>
      </c>
    </row>
    <row r="143" spans="31:36">
      <c r="AE143" s="15" t="str">
        <f t="shared" si="0"/>
        <v/>
      </c>
      <c r="AF143" s="15" t="str">
        <f t="shared" si="1"/>
        <v/>
      </c>
      <c r="AG143" s="15" t="str">
        <f>IF(OR(AF143="",AF143="ERRO_CHAVE"),"",IFERROR(MATCH(AF143,'Quitados DUPP'!$U$1:$U$6635,0),""))</f>
        <v/>
      </c>
      <c r="AH143" s="15" t="str">
        <f t="shared" si="2"/>
        <v/>
      </c>
      <c r="AI143" s="17" t="str">
        <f>IF(AG143="","",INDEX('Quitados DUPP'!$G$1:$G$6635,AG143))</f>
        <v/>
      </c>
      <c r="AJ143" s="17" t="str">
        <f t="shared" si="3"/>
        <v/>
      </c>
    </row>
    <row r="144" spans="31:36">
      <c r="AE144" s="15" t="str">
        <f t="shared" si="0"/>
        <v/>
      </c>
      <c r="AF144" s="15" t="str">
        <f t="shared" si="1"/>
        <v/>
      </c>
      <c r="AG144" s="15" t="str">
        <f>IF(OR(AF144="",AF144="ERRO_CHAVE"),"",IFERROR(MATCH(AF144,'Quitados DUPP'!$U$1:$U$6635,0),""))</f>
        <v/>
      </c>
      <c r="AH144" s="15" t="str">
        <f t="shared" si="2"/>
        <v/>
      </c>
      <c r="AI144" s="17" t="str">
        <f>IF(AG144="","",INDEX('Quitados DUPP'!$G$1:$G$6635,AG144))</f>
        <v/>
      </c>
      <c r="AJ144" s="17" t="str">
        <f t="shared" si="3"/>
        <v/>
      </c>
    </row>
    <row r="145" spans="31:36">
      <c r="AE145" s="15" t="str">
        <f t="shared" si="0"/>
        <v/>
      </c>
      <c r="AF145" s="15" t="str">
        <f t="shared" si="1"/>
        <v/>
      </c>
      <c r="AG145" s="15" t="str">
        <f>IF(OR(AF145="",AF145="ERRO_CHAVE"),"",IFERROR(MATCH(AF145,'Quitados DUPP'!$U$1:$U$6635,0),""))</f>
        <v/>
      </c>
      <c r="AH145" s="15" t="str">
        <f t="shared" si="2"/>
        <v/>
      </c>
      <c r="AI145" s="17" t="str">
        <f>IF(AG145="","",INDEX('Quitados DUPP'!$G$1:$G$6635,AG145))</f>
        <v/>
      </c>
      <c r="AJ145" s="17" t="str">
        <f t="shared" si="3"/>
        <v/>
      </c>
    </row>
    <row r="146" spans="31:36">
      <c r="AE146" s="15" t="str">
        <f t="shared" si="0"/>
        <v/>
      </c>
      <c r="AF146" s="15" t="str">
        <f t="shared" si="1"/>
        <v/>
      </c>
      <c r="AG146" s="15" t="str">
        <f>IF(OR(AF146="",AF146="ERRO_CHAVE"),"",IFERROR(MATCH(AF146,'Quitados DUPP'!$U$1:$U$6635,0),""))</f>
        <v/>
      </c>
      <c r="AH146" s="15" t="str">
        <f t="shared" si="2"/>
        <v/>
      </c>
      <c r="AI146" s="17" t="str">
        <f>IF(AG146="","",INDEX('Quitados DUPP'!$G$1:$G$6635,AG146))</f>
        <v/>
      </c>
      <c r="AJ146" s="17" t="str">
        <f t="shared" si="3"/>
        <v/>
      </c>
    </row>
    <row r="147" spans="31:36">
      <c r="AE147" s="15" t="str">
        <f t="shared" si="0"/>
        <v/>
      </c>
      <c r="AF147" s="15" t="str">
        <f t="shared" si="1"/>
        <v/>
      </c>
      <c r="AG147" s="15" t="str">
        <f>IF(OR(AF147="",AF147="ERRO_CHAVE"),"",IFERROR(MATCH(AF147,'Quitados DUPP'!$U$1:$U$6635,0),""))</f>
        <v/>
      </c>
      <c r="AH147" s="15" t="str">
        <f t="shared" si="2"/>
        <v/>
      </c>
      <c r="AI147" s="17" t="str">
        <f>IF(AG147="","",INDEX('Quitados DUPP'!$G$1:$G$6635,AG147))</f>
        <v/>
      </c>
      <c r="AJ147" s="17" t="str">
        <f t="shared" si="3"/>
        <v/>
      </c>
    </row>
    <row r="148" spans="31:36">
      <c r="AE148" s="15" t="str">
        <f t="shared" si="0"/>
        <v/>
      </c>
      <c r="AF148" s="15" t="str">
        <f t="shared" si="1"/>
        <v/>
      </c>
      <c r="AG148" s="15" t="str">
        <f>IF(OR(AF148="",AF148="ERRO_CHAVE"),"",IFERROR(MATCH(AF148,'Quitados DUPP'!$U$1:$U$6635,0),""))</f>
        <v/>
      </c>
      <c r="AH148" s="15" t="str">
        <f t="shared" si="2"/>
        <v/>
      </c>
      <c r="AI148" s="17" t="str">
        <f>IF(AG148="","",INDEX('Quitados DUPP'!$G$1:$G$6635,AG148))</f>
        <v/>
      </c>
      <c r="AJ148" s="17" t="str">
        <f t="shared" si="3"/>
        <v/>
      </c>
    </row>
    <row r="149" spans="31:36">
      <c r="AE149" s="15" t="str">
        <f t="shared" si="0"/>
        <v/>
      </c>
      <c r="AF149" s="15" t="str">
        <f t="shared" si="1"/>
        <v/>
      </c>
      <c r="AG149" s="15" t="str">
        <f>IF(OR(AF149="",AF149="ERRO_CHAVE"),"",IFERROR(MATCH(AF149,'Quitados DUPP'!$U$1:$U$6635,0),""))</f>
        <v/>
      </c>
      <c r="AH149" s="15" t="str">
        <f t="shared" si="2"/>
        <v/>
      </c>
      <c r="AI149" s="17" t="str">
        <f>IF(AG149="","",INDEX('Quitados DUPP'!$G$1:$G$6635,AG149))</f>
        <v/>
      </c>
      <c r="AJ149" s="17" t="str">
        <f t="shared" si="3"/>
        <v/>
      </c>
    </row>
    <row r="150" spans="31:36">
      <c r="AE150" s="15" t="str">
        <f t="shared" si="0"/>
        <v/>
      </c>
      <c r="AF150" s="15" t="str">
        <f t="shared" si="1"/>
        <v/>
      </c>
      <c r="AG150" s="15" t="str">
        <f>IF(OR(AF150="",AF150="ERRO_CHAVE"),"",IFERROR(MATCH(AF150,'Quitados DUPP'!$U$1:$U$6635,0),""))</f>
        <v/>
      </c>
      <c r="AH150" s="15" t="str">
        <f t="shared" si="2"/>
        <v/>
      </c>
      <c r="AI150" s="17" t="str">
        <f>IF(AG150="","",INDEX('Quitados DUPP'!$G$1:$G$6635,AG150))</f>
        <v/>
      </c>
      <c r="AJ150" s="17" t="str">
        <f t="shared" si="3"/>
        <v/>
      </c>
    </row>
    <row r="151" spans="31:36">
      <c r="AE151" s="15" t="str">
        <f t="shared" si="0"/>
        <v/>
      </c>
      <c r="AF151" s="15" t="str">
        <f t="shared" si="1"/>
        <v/>
      </c>
      <c r="AG151" s="15" t="str">
        <f>IF(OR(AF151="",AF151="ERRO_CHAVE"),"",IFERROR(MATCH(AF151,'Quitados DUPP'!$U$1:$U$6635,0),""))</f>
        <v/>
      </c>
      <c r="AH151" s="15" t="str">
        <f t="shared" si="2"/>
        <v/>
      </c>
      <c r="AI151" s="17" t="str">
        <f>IF(AG151="","",INDEX('Quitados DUPP'!$G$1:$G$6635,AG151))</f>
        <v/>
      </c>
      <c r="AJ151" s="17" t="str">
        <f t="shared" si="3"/>
        <v/>
      </c>
    </row>
    <row r="152" spans="31:36">
      <c r="AE152" s="15" t="str">
        <f t="shared" si="0"/>
        <v/>
      </c>
      <c r="AF152" s="15" t="str">
        <f t="shared" si="1"/>
        <v/>
      </c>
      <c r="AG152" s="15" t="str">
        <f>IF(OR(AF152="",AF152="ERRO_CHAVE"),"",IFERROR(MATCH(AF152,'Quitados DUPP'!$U$1:$U$6635,0),""))</f>
        <v/>
      </c>
      <c r="AH152" s="15" t="str">
        <f t="shared" si="2"/>
        <v/>
      </c>
      <c r="AI152" s="17" t="str">
        <f>IF(AG152="","",INDEX('Quitados DUPP'!$G$1:$G$6635,AG152))</f>
        <v/>
      </c>
      <c r="AJ152" s="17" t="str">
        <f t="shared" si="3"/>
        <v/>
      </c>
    </row>
    <row r="153" spans="31:36">
      <c r="AE153" s="15" t="str">
        <f t="shared" si="0"/>
        <v/>
      </c>
      <c r="AF153" s="15" t="str">
        <f t="shared" si="1"/>
        <v/>
      </c>
      <c r="AG153" s="15" t="str">
        <f>IF(OR(AF153="",AF153="ERRO_CHAVE"),"",IFERROR(MATCH(AF153,'Quitados DUPP'!$U$1:$U$6635,0),""))</f>
        <v/>
      </c>
      <c r="AH153" s="15" t="str">
        <f t="shared" si="2"/>
        <v/>
      </c>
      <c r="AI153" s="17" t="str">
        <f>IF(AG153="","",INDEX('Quitados DUPP'!$G$1:$G$6635,AG153))</f>
        <v/>
      </c>
      <c r="AJ153" s="17" t="str">
        <f t="shared" si="3"/>
        <v/>
      </c>
    </row>
    <row r="154" spans="31:36">
      <c r="AE154" s="15" t="str">
        <f t="shared" si="0"/>
        <v/>
      </c>
      <c r="AF154" s="15" t="str">
        <f t="shared" si="1"/>
        <v/>
      </c>
      <c r="AG154" s="15" t="str">
        <f>IF(OR(AF154="",AF154="ERRO_CHAVE"),"",IFERROR(MATCH(AF154,'Quitados DUPP'!$U$1:$U$6635,0),""))</f>
        <v/>
      </c>
      <c r="AH154" s="15" t="str">
        <f t="shared" si="2"/>
        <v/>
      </c>
      <c r="AI154" s="17" t="str">
        <f>IF(AG154="","",INDEX('Quitados DUPP'!$G$1:$G$6635,AG154))</f>
        <v/>
      </c>
      <c r="AJ154" s="17" t="str">
        <f t="shared" si="3"/>
        <v/>
      </c>
    </row>
    <row r="155" spans="31:36">
      <c r="AE155" s="15" t="str">
        <f t="shared" si="0"/>
        <v/>
      </c>
      <c r="AF155" s="15" t="str">
        <f t="shared" si="1"/>
        <v/>
      </c>
      <c r="AG155" s="15" t="str">
        <f>IF(OR(AF155="",AF155="ERRO_CHAVE"),"",IFERROR(MATCH(AF155,'Quitados DUPP'!$U$1:$U$6635,0),""))</f>
        <v/>
      </c>
      <c r="AH155" s="15" t="str">
        <f t="shared" si="2"/>
        <v/>
      </c>
      <c r="AI155" s="17" t="str">
        <f>IF(AG155="","",INDEX('Quitados DUPP'!$G$1:$G$6635,AG155))</f>
        <v/>
      </c>
      <c r="AJ155" s="17" t="str">
        <f t="shared" si="3"/>
        <v/>
      </c>
    </row>
    <row r="156" spans="31:36">
      <c r="AE156" s="15" t="str">
        <f t="shared" si="0"/>
        <v/>
      </c>
      <c r="AF156" s="15" t="str">
        <f t="shared" si="1"/>
        <v/>
      </c>
      <c r="AG156" s="15" t="str">
        <f>IF(OR(AF156="",AF156="ERRO_CHAVE"),"",IFERROR(MATCH(AF156,'Quitados DUPP'!$U$1:$U$6635,0),""))</f>
        <v/>
      </c>
      <c r="AH156" s="15" t="str">
        <f t="shared" si="2"/>
        <v/>
      </c>
      <c r="AI156" s="17" t="str">
        <f>IF(AG156="","",INDEX('Quitados DUPP'!$G$1:$G$6635,AG156))</f>
        <v/>
      </c>
      <c r="AJ156" s="17" t="str">
        <f t="shared" si="3"/>
        <v/>
      </c>
    </row>
    <row r="157" spans="31:36">
      <c r="AE157" s="15" t="str">
        <f t="shared" si="0"/>
        <v/>
      </c>
      <c r="AF157" s="15" t="str">
        <f t="shared" si="1"/>
        <v/>
      </c>
      <c r="AG157" s="15" t="str">
        <f>IF(OR(AF157="",AF157="ERRO_CHAVE"),"",IFERROR(MATCH(AF157,'Quitados DUPP'!$U$1:$U$6635,0),""))</f>
        <v/>
      </c>
      <c r="AH157" s="15" t="str">
        <f t="shared" si="2"/>
        <v/>
      </c>
      <c r="AI157" s="17" t="str">
        <f>IF(AG157="","",INDEX('Quitados DUPP'!$G$1:$G$6635,AG157))</f>
        <v/>
      </c>
      <c r="AJ157" s="17" t="str">
        <f t="shared" si="3"/>
        <v/>
      </c>
    </row>
    <row r="158" spans="31:36">
      <c r="AE158" s="15" t="str">
        <f t="shared" si="0"/>
        <v/>
      </c>
      <c r="AF158" s="15" t="str">
        <f t="shared" si="1"/>
        <v/>
      </c>
      <c r="AG158" s="15" t="str">
        <f>IF(OR(AF158="",AF158="ERRO_CHAVE"),"",IFERROR(MATCH(AF158,'Quitados DUPP'!$U$1:$U$6635,0),""))</f>
        <v/>
      </c>
      <c r="AH158" s="15" t="str">
        <f t="shared" si="2"/>
        <v/>
      </c>
      <c r="AI158" s="17" t="str">
        <f>IF(AG158="","",INDEX('Quitados DUPP'!$G$1:$G$6635,AG158))</f>
        <v/>
      </c>
      <c r="AJ158" s="17" t="str">
        <f t="shared" si="3"/>
        <v/>
      </c>
    </row>
    <row r="159" spans="31:36">
      <c r="AE159" s="15" t="str">
        <f t="shared" si="0"/>
        <v/>
      </c>
      <c r="AF159" s="15" t="str">
        <f t="shared" si="1"/>
        <v/>
      </c>
      <c r="AG159" s="15" t="str">
        <f>IF(OR(AF159="",AF159="ERRO_CHAVE"),"",IFERROR(MATCH(AF159,'Quitados DUPP'!$U$1:$U$6635,0),""))</f>
        <v/>
      </c>
      <c r="AH159" s="15" t="str">
        <f t="shared" si="2"/>
        <v/>
      </c>
      <c r="AI159" s="17" t="str">
        <f>IF(AG159="","",INDEX('Quitados DUPP'!$G$1:$G$6635,AG159))</f>
        <v/>
      </c>
      <c r="AJ159" s="17" t="str">
        <f t="shared" si="3"/>
        <v/>
      </c>
    </row>
    <row r="160" spans="31:36">
      <c r="AE160" s="15" t="str">
        <f t="shared" si="0"/>
        <v/>
      </c>
      <c r="AF160" s="15" t="str">
        <f t="shared" si="1"/>
        <v/>
      </c>
      <c r="AG160" s="15" t="str">
        <f>IF(OR(AF160="",AF160="ERRO_CHAVE"),"",IFERROR(MATCH(AF160,'Quitados DUPP'!$U$1:$U$6635,0),""))</f>
        <v/>
      </c>
      <c r="AH160" s="15" t="str">
        <f t="shared" si="2"/>
        <v/>
      </c>
      <c r="AI160" s="17" t="str">
        <f>IF(AG160="","",INDEX('Quitados DUPP'!$G$1:$G$6635,AG160))</f>
        <v/>
      </c>
      <c r="AJ160" s="17" t="str">
        <f t="shared" si="3"/>
        <v/>
      </c>
    </row>
    <row r="161" spans="31:36">
      <c r="AE161" s="15" t="str">
        <f t="shared" si="0"/>
        <v/>
      </c>
      <c r="AF161" s="15" t="str">
        <f t="shared" si="1"/>
        <v/>
      </c>
      <c r="AG161" s="15" t="str">
        <f>IF(OR(AF161="",AF161="ERRO_CHAVE"),"",IFERROR(MATCH(AF161,'Quitados DUPP'!$U$1:$U$6635,0),""))</f>
        <v/>
      </c>
      <c r="AH161" s="15" t="str">
        <f t="shared" si="2"/>
        <v/>
      </c>
      <c r="AI161" s="17" t="str">
        <f>IF(AG161="","",INDEX('Quitados DUPP'!$G$1:$G$6635,AG161))</f>
        <v/>
      </c>
      <c r="AJ161" s="17" t="str">
        <f t="shared" si="3"/>
        <v/>
      </c>
    </row>
    <row r="162" spans="31:36">
      <c r="AE162" s="15" t="str">
        <f t="shared" si="0"/>
        <v/>
      </c>
      <c r="AF162" s="15" t="str">
        <f t="shared" si="1"/>
        <v/>
      </c>
      <c r="AG162" s="15" t="str">
        <f>IF(OR(AF162="",AF162="ERRO_CHAVE"),"",IFERROR(MATCH(AF162,'Quitados DUPP'!$U$1:$U$6635,0),""))</f>
        <v/>
      </c>
      <c r="AH162" s="15" t="str">
        <f t="shared" si="2"/>
        <v/>
      </c>
      <c r="AI162" s="17" t="str">
        <f>IF(AG162="","",INDEX('Quitados DUPP'!$G$1:$G$6635,AG162))</f>
        <v/>
      </c>
      <c r="AJ162" s="17" t="str">
        <f t="shared" si="3"/>
        <v/>
      </c>
    </row>
    <row r="163" spans="31:36">
      <c r="AE163" s="15" t="str">
        <f t="shared" si="0"/>
        <v/>
      </c>
      <c r="AF163" s="15" t="str">
        <f t="shared" si="1"/>
        <v/>
      </c>
      <c r="AG163" s="15" t="str">
        <f>IF(OR(AF163="",AF163="ERRO_CHAVE"),"",IFERROR(MATCH(AF163,'Quitados DUPP'!$U$1:$U$6635,0),""))</f>
        <v/>
      </c>
      <c r="AH163" s="15" t="str">
        <f t="shared" si="2"/>
        <v/>
      </c>
      <c r="AI163" s="17" t="str">
        <f>IF(AG163="","",INDEX('Quitados DUPP'!$G$1:$G$6635,AG163))</f>
        <v/>
      </c>
      <c r="AJ163" s="17" t="str">
        <f t="shared" si="3"/>
        <v/>
      </c>
    </row>
    <row r="164" spans="31:36">
      <c r="AE164" s="15" t="str">
        <f t="shared" si="0"/>
        <v/>
      </c>
      <c r="AF164" s="15" t="str">
        <f t="shared" si="1"/>
        <v/>
      </c>
      <c r="AG164" s="15" t="str">
        <f>IF(OR(AF164="",AF164="ERRO_CHAVE"),"",IFERROR(MATCH(AF164,'Quitados DUPP'!$U$1:$U$6635,0),""))</f>
        <v/>
      </c>
      <c r="AH164" s="15" t="str">
        <f t="shared" si="2"/>
        <v/>
      </c>
      <c r="AI164" s="17" t="str">
        <f>IF(AG164="","",INDEX('Quitados DUPP'!$G$1:$G$6635,AG164))</f>
        <v/>
      </c>
      <c r="AJ164" s="17" t="str">
        <f t="shared" si="3"/>
        <v/>
      </c>
    </row>
    <row r="165" spans="31:36">
      <c r="AE165" s="15" t="str">
        <f t="shared" si="0"/>
        <v/>
      </c>
      <c r="AF165" s="15" t="str">
        <f t="shared" si="1"/>
        <v/>
      </c>
      <c r="AG165" s="15" t="str">
        <f>IF(OR(AF165="",AF165="ERRO_CHAVE"),"",IFERROR(MATCH(AF165,'Quitados DUPP'!$U$1:$U$6635,0),""))</f>
        <v/>
      </c>
      <c r="AH165" s="15" t="str">
        <f t="shared" si="2"/>
        <v/>
      </c>
      <c r="AI165" s="17" t="str">
        <f>IF(AG165="","",INDEX('Quitados DUPP'!$G$1:$G$6635,AG165))</f>
        <v/>
      </c>
      <c r="AJ165" s="17" t="str">
        <f t="shared" si="3"/>
        <v/>
      </c>
    </row>
    <row r="166" spans="31:36">
      <c r="AE166" s="15" t="str">
        <f t="shared" si="0"/>
        <v/>
      </c>
      <c r="AF166" s="15" t="str">
        <f t="shared" si="1"/>
        <v/>
      </c>
      <c r="AG166" s="15" t="str">
        <f>IF(OR(AF166="",AF166="ERRO_CHAVE"),"",IFERROR(MATCH(AF166,'Quitados DUPP'!$U$1:$U$6635,0),""))</f>
        <v/>
      </c>
      <c r="AH166" s="15" t="str">
        <f t="shared" si="2"/>
        <v/>
      </c>
      <c r="AI166" s="17" t="str">
        <f>IF(AG166="","",INDEX('Quitados DUPP'!$G$1:$G$6635,AG166))</f>
        <v/>
      </c>
      <c r="AJ166" s="17" t="str">
        <f t="shared" si="3"/>
        <v/>
      </c>
    </row>
    <row r="167" spans="31:36">
      <c r="AE167" s="15" t="str">
        <f t="shared" si="0"/>
        <v/>
      </c>
      <c r="AF167" s="15" t="str">
        <f t="shared" si="1"/>
        <v/>
      </c>
      <c r="AG167" s="15" t="str">
        <f>IF(OR(AF167="",AF167="ERRO_CHAVE"),"",IFERROR(MATCH(AF167,'Quitados DUPP'!$U$1:$U$6635,0),""))</f>
        <v/>
      </c>
      <c r="AH167" s="15" t="str">
        <f t="shared" si="2"/>
        <v/>
      </c>
      <c r="AI167" s="17" t="str">
        <f>IF(AG167="","",INDEX('Quitados DUPP'!$G$1:$G$6635,AG167))</f>
        <v/>
      </c>
      <c r="AJ167" s="17" t="str">
        <f t="shared" si="3"/>
        <v/>
      </c>
    </row>
    <row r="168" spans="31:36">
      <c r="AE168" s="15" t="str">
        <f t="shared" si="0"/>
        <v/>
      </c>
      <c r="AF168" s="15" t="str">
        <f t="shared" si="1"/>
        <v/>
      </c>
      <c r="AG168" s="15" t="str">
        <f>IF(OR(AF168="",AF168="ERRO_CHAVE"),"",IFERROR(MATCH(AF168,'Quitados DUPP'!$U$1:$U$6635,0),""))</f>
        <v/>
      </c>
      <c r="AH168" s="15" t="str">
        <f t="shared" si="2"/>
        <v/>
      </c>
      <c r="AI168" s="17" t="str">
        <f>IF(AG168="","",INDEX('Quitados DUPP'!$G$1:$G$6635,AG168))</f>
        <v/>
      </c>
      <c r="AJ168" s="17" t="str">
        <f t="shared" si="3"/>
        <v/>
      </c>
    </row>
    <row r="169" spans="31:36">
      <c r="AE169" s="15" t="str">
        <f t="shared" si="0"/>
        <v/>
      </c>
      <c r="AF169" s="15" t="str">
        <f t="shared" si="1"/>
        <v/>
      </c>
      <c r="AG169" s="15" t="str">
        <f>IF(OR(AF169="",AF169="ERRO_CHAVE"),"",IFERROR(MATCH(AF169,'Quitados DUPP'!$U$1:$U$6635,0),""))</f>
        <v/>
      </c>
      <c r="AH169" s="15" t="str">
        <f t="shared" si="2"/>
        <v/>
      </c>
      <c r="AI169" s="17" t="str">
        <f>IF(AG169="","",INDEX('Quitados DUPP'!$G$1:$G$6635,AG169))</f>
        <v/>
      </c>
      <c r="AJ169" s="17" t="str">
        <f t="shared" si="3"/>
        <v/>
      </c>
    </row>
    <row r="170" spans="31:36">
      <c r="AE170" s="15" t="str">
        <f t="shared" si="0"/>
        <v/>
      </c>
      <c r="AF170" s="15" t="str">
        <f t="shared" si="1"/>
        <v/>
      </c>
      <c r="AG170" s="15" t="str">
        <f>IF(OR(AF170="",AF170="ERRO_CHAVE"),"",IFERROR(MATCH(AF170,'Quitados DUPP'!$U$1:$U$6635,0),""))</f>
        <v/>
      </c>
      <c r="AH170" s="15" t="str">
        <f t="shared" si="2"/>
        <v/>
      </c>
      <c r="AI170" s="17" t="str">
        <f>IF(AG170="","",INDEX('Quitados DUPP'!$G$1:$G$6635,AG170))</f>
        <v/>
      </c>
      <c r="AJ170" s="17" t="str">
        <f t="shared" si="3"/>
        <v/>
      </c>
    </row>
    <row r="171" spans="31:36">
      <c r="AE171" s="15" t="str">
        <f t="shared" si="0"/>
        <v/>
      </c>
      <c r="AF171" s="15" t="str">
        <f t="shared" si="1"/>
        <v/>
      </c>
      <c r="AG171" s="15" t="str">
        <f>IF(OR(AF171="",AF171="ERRO_CHAVE"),"",IFERROR(MATCH(AF171,'Quitados DUPP'!$U$1:$U$6635,0),""))</f>
        <v/>
      </c>
      <c r="AH171" s="15" t="str">
        <f t="shared" si="2"/>
        <v/>
      </c>
      <c r="AI171" s="17" t="str">
        <f>IF(AG171="","",INDEX('Quitados DUPP'!$G$1:$G$6635,AG171))</f>
        <v/>
      </c>
      <c r="AJ171" s="17" t="str">
        <f t="shared" si="3"/>
        <v/>
      </c>
    </row>
    <row r="172" spans="31:36">
      <c r="AE172" s="15" t="str">
        <f t="shared" si="0"/>
        <v/>
      </c>
      <c r="AF172" s="15" t="str">
        <f t="shared" si="1"/>
        <v/>
      </c>
      <c r="AG172" s="15" t="str">
        <f>IF(OR(AF172="",AF172="ERRO_CHAVE"),"",IFERROR(MATCH(AF172,'Quitados DUPP'!$U$1:$U$6635,0),""))</f>
        <v/>
      </c>
      <c r="AH172" s="15" t="str">
        <f t="shared" si="2"/>
        <v/>
      </c>
      <c r="AI172" s="17" t="str">
        <f>IF(AG172="","",INDEX('Quitados DUPP'!$G$1:$G$6635,AG172))</f>
        <v/>
      </c>
      <c r="AJ172" s="17" t="str">
        <f t="shared" si="3"/>
        <v/>
      </c>
    </row>
    <row r="173" spans="31:36">
      <c r="AE173" s="15" t="str">
        <f t="shared" si="0"/>
        <v/>
      </c>
      <c r="AF173" s="15" t="str">
        <f t="shared" si="1"/>
        <v/>
      </c>
      <c r="AG173" s="15" t="str">
        <f>IF(OR(AF173="",AF173="ERRO_CHAVE"),"",IFERROR(MATCH(AF173,'Quitados DUPP'!$U$1:$U$6635,0),""))</f>
        <v/>
      </c>
      <c r="AH173" s="15" t="str">
        <f t="shared" si="2"/>
        <v/>
      </c>
      <c r="AI173" s="17" t="str">
        <f>IF(AG173="","",INDEX('Quitados DUPP'!$G$1:$G$6635,AG173))</f>
        <v/>
      </c>
      <c r="AJ173" s="17" t="str">
        <f t="shared" si="3"/>
        <v/>
      </c>
    </row>
    <row r="174" spans="31:36">
      <c r="AE174" s="15" t="str">
        <f t="shared" si="0"/>
        <v/>
      </c>
      <c r="AF174" s="15" t="str">
        <f t="shared" si="1"/>
        <v/>
      </c>
      <c r="AG174" s="15" t="str">
        <f>IF(OR(AF174="",AF174="ERRO_CHAVE"),"",IFERROR(MATCH(AF174,'Quitados DUPP'!$U$1:$U$6635,0),""))</f>
        <v/>
      </c>
      <c r="AH174" s="15" t="str">
        <f t="shared" si="2"/>
        <v/>
      </c>
      <c r="AI174" s="17" t="str">
        <f>IF(AG174="","",INDEX('Quitados DUPP'!$G$1:$G$6635,AG174))</f>
        <v/>
      </c>
      <c r="AJ174" s="17" t="str">
        <f t="shared" si="3"/>
        <v/>
      </c>
    </row>
    <row r="175" spans="31:36">
      <c r="AE175" s="15" t="str">
        <f t="shared" si="0"/>
        <v/>
      </c>
      <c r="AF175" s="15" t="str">
        <f t="shared" si="1"/>
        <v/>
      </c>
      <c r="AG175" s="15" t="str">
        <f>IF(OR(AF175="",AF175="ERRO_CHAVE"),"",IFERROR(MATCH(AF175,'Quitados DUPP'!$U$1:$U$6635,0),""))</f>
        <v/>
      </c>
      <c r="AH175" s="15" t="str">
        <f t="shared" si="2"/>
        <v/>
      </c>
      <c r="AI175" s="17" t="str">
        <f>IF(AG175="","",INDEX('Quitados DUPP'!$G$1:$G$6635,AG175))</f>
        <v/>
      </c>
      <c r="AJ175" s="17" t="str">
        <f t="shared" si="3"/>
        <v/>
      </c>
    </row>
    <row r="176" spans="31:36">
      <c r="AE176" s="15" t="str">
        <f t="shared" si="0"/>
        <v/>
      </c>
      <c r="AF176" s="15" t="str">
        <f t="shared" si="1"/>
        <v/>
      </c>
      <c r="AG176" s="15" t="str">
        <f>IF(OR(AF176="",AF176="ERRO_CHAVE"),"",IFERROR(MATCH(AF176,'Quitados DUPP'!$U$1:$U$6635,0),""))</f>
        <v/>
      </c>
      <c r="AH176" s="15" t="str">
        <f t="shared" si="2"/>
        <v/>
      </c>
      <c r="AI176" s="17" t="str">
        <f>IF(AG176="","",INDEX('Quitados DUPP'!$G$1:$G$6635,AG176))</f>
        <v/>
      </c>
      <c r="AJ176" s="17" t="str">
        <f t="shared" si="3"/>
        <v/>
      </c>
    </row>
    <row r="177" spans="31:36">
      <c r="AE177" s="15" t="str">
        <f t="shared" si="0"/>
        <v/>
      </c>
      <c r="AF177" s="15" t="str">
        <f t="shared" si="1"/>
        <v/>
      </c>
      <c r="AG177" s="15" t="str">
        <f>IF(OR(AF177="",AF177="ERRO_CHAVE"),"",IFERROR(MATCH(AF177,'Quitados DUPP'!$U$1:$U$6635,0),""))</f>
        <v/>
      </c>
      <c r="AH177" s="15" t="str">
        <f t="shared" si="2"/>
        <v/>
      </c>
      <c r="AI177" s="17" t="str">
        <f>IF(AG177="","",INDEX('Quitados DUPP'!$G$1:$G$6635,AG177))</f>
        <v/>
      </c>
      <c r="AJ177" s="17" t="str">
        <f t="shared" si="3"/>
        <v/>
      </c>
    </row>
    <row r="178" spans="31:36">
      <c r="AE178" s="15" t="str">
        <f t="shared" si="0"/>
        <v/>
      </c>
      <c r="AF178" s="15" t="str">
        <f t="shared" si="1"/>
        <v/>
      </c>
      <c r="AG178" s="15" t="str">
        <f>IF(OR(AF178="",AF178="ERRO_CHAVE"),"",IFERROR(MATCH(AF178,'Quitados DUPP'!$U$1:$U$6635,0),""))</f>
        <v/>
      </c>
      <c r="AH178" s="15" t="str">
        <f t="shared" si="2"/>
        <v/>
      </c>
      <c r="AI178" s="17" t="str">
        <f>IF(AG178="","",INDEX('Quitados DUPP'!$G$1:$G$6635,AG178))</f>
        <v/>
      </c>
      <c r="AJ178" s="17" t="str">
        <f t="shared" si="3"/>
        <v/>
      </c>
    </row>
    <row r="179" spans="31:36">
      <c r="AE179" s="15" t="str">
        <f t="shared" si="0"/>
        <v/>
      </c>
      <c r="AF179" s="15" t="str">
        <f t="shared" si="1"/>
        <v/>
      </c>
      <c r="AG179" s="15" t="str">
        <f>IF(OR(AF179="",AF179="ERRO_CHAVE"),"",IFERROR(MATCH(AF179,'Quitados DUPP'!$U$1:$U$6635,0),""))</f>
        <v/>
      </c>
      <c r="AH179" s="15" t="str">
        <f t="shared" si="2"/>
        <v/>
      </c>
      <c r="AI179" s="17" t="str">
        <f>IF(AG179="","",INDEX('Quitados DUPP'!$G$1:$G$6635,AG179))</f>
        <v/>
      </c>
      <c r="AJ179" s="17" t="str">
        <f t="shared" si="3"/>
        <v/>
      </c>
    </row>
    <row r="180" spans="31:36">
      <c r="AE180" s="15" t="str">
        <f t="shared" si="0"/>
        <v/>
      </c>
      <c r="AF180" s="15" t="str">
        <f t="shared" si="1"/>
        <v/>
      </c>
      <c r="AG180" s="15" t="str">
        <f>IF(OR(AF180="",AF180="ERRO_CHAVE"),"",IFERROR(MATCH(AF180,'Quitados DUPP'!$U$1:$U$6635,0),""))</f>
        <v/>
      </c>
      <c r="AH180" s="15" t="str">
        <f t="shared" si="2"/>
        <v/>
      </c>
      <c r="AI180" s="17" t="str">
        <f>IF(AG180="","",INDEX('Quitados DUPP'!$G$1:$G$6635,AG180))</f>
        <v/>
      </c>
      <c r="AJ180" s="17" t="str">
        <f t="shared" si="3"/>
        <v/>
      </c>
    </row>
    <row r="181" spans="31:36">
      <c r="AE181" s="15" t="str">
        <f t="shared" si="0"/>
        <v/>
      </c>
      <c r="AF181" s="15" t="str">
        <f t="shared" si="1"/>
        <v/>
      </c>
      <c r="AG181" s="15" t="str">
        <f>IF(OR(AF181="",AF181="ERRO_CHAVE"),"",IFERROR(MATCH(AF181,'Quitados DUPP'!$U$1:$U$6635,0),""))</f>
        <v/>
      </c>
      <c r="AH181" s="15" t="str">
        <f t="shared" si="2"/>
        <v/>
      </c>
      <c r="AI181" s="17" t="str">
        <f>IF(AG181="","",INDEX('Quitados DUPP'!$G$1:$G$6635,AG181))</f>
        <v/>
      </c>
      <c r="AJ181" s="17" t="str">
        <f t="shared" si="3"/>
        <v/>
      </c>
    </row>
    <row r="182" spans="31:36">
      <c r="AE182" s="15" t="str">
        <f t="shared" si="0"/>
        <v/>
      </c>
      <c r="AF182" s="15" t="str">
        <f t="shared" si="1"/>
        <v/>
      </c>
      <c r="AG182" s="15" t="str">
        <f>IF(OR(AF182="",AF182="ERRO_CHAVE"),"",IFERROR(MATCH(AF182,'Quitados DUPP'!$U$1:$U$6635,0),""))</f>
        <v/>
      </c>
      <c r="AH182" s="15" t="str">
        <f t="shared" si="2"/>
        <v/>
      </c>
      <c r="AI182" s="17" t="str">
        <f>IF(AG182="","",INDEX('Quitados DUPP'!$G$1:$G$6635,AG182))</f>
        <v/>
      </c>
      <c r="AJ182" s="17" t="str">
        <f t="shared" si="3"/>
        <v/>
      </c>
    </row>
    <row r="183" spans="31:36">
      <c r="AE183" s="15" t="str">
        <f t="shared" si="0"/>
        <v/>
      </c>
      <c r="AF183" s="15" t="str">
        <f t="shared" si="1"/>
        <v/>
      </c>
      <c r="AG183" s="15" t="str">
        <f>IF(OR(AF183="",AF183="ERRO_CHAVE"),"",IFERROR(MATCH(AF183,'Quitados DUPP'!$U$1:$U$6635,0),""))</f>
        <v/>
      </c>
      <c r="AH183" s="15" t="str">
        <f t="shared" si="2"/>
        <v/>
      </c>
      <c r="AI183" s="17" t="str">
        <f>IF(AG183="","",INDEX('Quitados DUPP'!$G$1:$G$6635,AG183))</f>
        <v/>
      </c>
      <c r="AJ183" s="17" t="str">
        <f t="shared" si="3"/>
        <v/>
      </c>
    </row>
    <row r="184" spans="31:36">
      <c r="AE184" s="15" t="str">
        <f t="shared" si="0"/>
        <v/>
      </c>
      <c r="AF184" s="15" t="str">
        <f t="shared" si="1"/>
        <v/>
      </c>
      <c r="AG184" s="15" t="str">
        <f>IF(OR(AF184="",AF184="ERRO_CHAVE"),"",IFERROR(MATCH(AF184,'Quitados DUPP'!$U$1:$U$6635,0),""))</f>
        <v/>
      </c>
      <c r="AH184" s="15" t="str">
        <f t="shared" si="2"/>
        <v/>
      </c>
      <c r="AI184" s="17" t="str">
        <f>IF(AG184="","",INDEX('Quitados DUPP'!$G$1:$G$6635,AG184))</f>
        <v/>
      </c>
      <c r="AJ184" s="17" t="str">
        <f t="shared" si="3"/>
        <v/>
      </c>
    </row>
    <row r="185" spans="31:36">
      <c r="AE185" s="15" t="str">
        <f t="shared" si="0"/>
        <v/>
      </c>
      <c r="AF185" s="15" t="str">
        <f t="shared" si="1"/>
        <v/>
      </c>
      <c r="AG185" s="15" t="str">
        <f>IF(OR(AF185="",AF185="ERRO_CHAVE"),"",IFERROR(MATCH(AF185,'Quitados DUPP'!$U$1:$U$6635,0),""))</f>
        <v/>
      </c>
      <c r="AH185" s="15" t="str">
        <f t="shared" si="2"/>
        <v/>
      </c>
      <c r="AI185" s="17" t="str">
        <f>IF(AG185="","",INDEX('Quitados DUPP'!$G$1:$G$6635,AG185))</f>
        <v/>
      </c>
      <c r="AJ185" s="17" t="str">
        <f t="shared" si="3"/>
        <v/>
      </c>
    </row>
    <row r="186" spans="31:36">
      <c r="AE186" s="15" t="str">
        <f t="shared" si="0"/>
        <v/>
      </c>
      <c r="AF186" s="15" t="str">
        <f t="shared" si="1"/>
        <v/>
      </c>
      <c r="AG186" s="15" t="str">
        <f>IF(OR(AF186="",AF186="ERRO_CHAVE"),"",IFERROR(MATCH(AF186,'Quitados DUPP'!$U$1:$U$6635,0),""))</f>
        <v/>
      </c>
      <c r="AH186" s="15" t="str">
        <f t="shared" si="2"/>
        <v/>
      </c>
      <c r="AI186" s="17" t="str">
        <f>IF(AG186="","",INDEX('Quitados DUPP'!$G$1:$G$6635,AG186))</f>
        <v/>
      </c>
      <c r="AJ186" s="17" t="str">
        <f t="shared" si="3"/>
        <v/>
      </c>
    </row>
    <row r="187" spans="31:36">
      <c r="AE187" s="15" t="str">
        <f t="shared" si="0"/>
        <v/>
      </c>
      <c r="AF187" s="15" t="str">
        <f t="shared" si="1"/>
        <v/>
      </c>
      <c r="AG187" s="15" t="str">
        <f>IF(OR(AF187="",AF187="ERRO_CHAVE"),"",IFERROR(MATCH(AF187,'Quitados DUPP'!$U$1:$U$6635,0),""))</f>
        <v/>
      </c>
      <c r="AH187" s="15" t="str">
        <f t="shared" si="2"/>
        <v/>
      </c>
      <c r="AI187" s="17" t="str">
        <f>IF(AG187="","",INDEX('Quitados DUPP'!$G$1:$G$6635,AG187))</f>
        <v/>
      </c>
      <c r="AJ187" s="17" t="str">
        <f t="shared" si="3"/>
        <v/>
      </c>
    </row>
    <row r="188" spans="31:36">
      <c r="AE188" s="15" t="str">
        <f t="shared" si="0"/>
        <v/>
      </c>
      <c r="AF188" s="15" t="str">
        <f t="shared" si="1"/>
        <v/>
      </c>
      <c r="AG188" s="15" t="str">
        <f>IF(OR(AF188="",AF188="ERRO_CHAVE"),"",IFERROR(MATCH(AF188,'Quitados DUPP'!$U$1:$U$6635,0),""))</f>
        <v/>
      </c>
      <c r="AH188" s="15" t="str">
        <f t="shared" si="2"/>
        <v/>
      </c>
      <c r="AI188" s="17" t="str">
        <f>IF(AG188="","",INDEX('Quitados DUPP'!$G$1:$G$6635,AG188))</f>
        <v/>
      </c>
      <c r="AJ188" s="17" t="str">
        <f t="shared" si="3"/>
        <v/>
      </c>
    </row>
    <row r="189" spans="31:36">
      <c r="AE189" s="15" t="str">
        <f t="shared" si="0"/>
        <v/>
      </c>
      <c r="AF189" s="15" t="str">
        <f t="shared" si="1"/>
        <v/>
      </c>
      <c r="AG189" s="15" t="str">
        <f>IF(OR(AF189="",AF189="ERRO_CHAVE"),"",IFERROR(MATCH(AF189,'Quitados DUPP'!$U$1:$U$6635,0),""))</f>
        <v/>
      </c>
      <c r="AH189" s="15" t="str">
        <f t="shared" si="2"/>
        <v/>
      </c>
      <c r="AI189" s="17" t="str">
        <f>IF(AG189="","",INDEX('Quitados DUPP'!$G$1:$G$6635,AG189))</f>
        <v/>
      </c>
      <c r="AJ189" s="17" t="str">
        <f t="shared" si="3"/>
        <v/>
      </c>
    </row>
    <row r="190" spans="31:36">
      <c r="AE190" s="15" t="str">
        <f t="shared" si="0"/>
        <v/>
      </c>
      <c r="AF190" s="15" t="str">
        <f t="shared" si="1"/>
        <v/>
      </c>
      <c r="AG190" s="15" t="str">
        <f>IF(OR(AF190="",AF190="ERRO_CHAVE"),"",IFERROR(MATCH(AF190,'Quitados DUPP'!$U$1:$U$6635,0),""))</f>
        <v/>
      </c>
      <c r="AH190" s="15" t="str">
        <f t="shared" si="2"/>
        <v/>
      </c>
      <c r="AI190" s="17" t="str">
        <f>IF(AG190="","",INDEX('Quitados DUPP'!$G$1:$G$6635,AG190))</f>
        <v/>
      </c>
      <c r="AJ190" s="17" t="str">
        <f t="shared" si="3"/>
        <v/>
      </c>
    </row>
    <row r="191" spans="31:36">
      <c r="AE191" s="15" t="str">
        <f t="shared" si="0"/>
        <v/>
      </c>
      <c r="AF191" s="15" t="str">
        <f t="shared" si="1"/>
        <v/>
      </c>
      <c r="AG191" s="15" t="str">
        <f>IF(OR(AF191="",AF191="ERRO_CHAVE"),"",IFERROR(MATCH(AF191,'Quitados DUPP'!$U$1:$U$6635,0),""))</f>
        <v/>
      </c>
      <c r="AH191" s="15" t="str">
        <f t="shared" si="2"/>
        <v/>
      </c>
      <c r="AI191" s="17" t="str">
        <f>IF(AG191="","",INDEX('Quitados DUPP'!$G$1:$G$6635,AG191))</f>
        <v/>
      </c>
      <c r="AJ191" s="17" t="str">
        <f t="shared" si="3"/>
        <v/>
      </c>
    </row>
    <row r="192" spans="31:36">
      <c r="AE192" s="15" t="str">
        <f t="shared" si="0"/>
        <v/>
      </c>
      <c r="AF192" s="15" t="str">
        <f t="shared" si="1"/>
        <v/>
      </c>
      <c r="AG192" s="15" t="str">
        <f>IF(OR(AF192="",AF192="ERRO_CHAVE"),"",IFERROR(MATCH(AF192,'Quitados DUPP'!$U$1:$U$6635,0),""))</f>
        <v/>
      </c>
      <c r="AH192" s="15" t="str">
        <f t="shared" si="2"/>
        <v/>
      </c>
      <c r="AI192" s="17" t="str">
        <f>IF(AG192="","",INDEX('Quitados DUPP'!$G$1:$G$6635,AG192))</f>
        <v/>
      </c>
      <c r="AJ192" s="17" t="str">
        <f t="shared" si="3"/>
        <v/>
      </c>
    </row>
    <row r="193" spans="31:36">
      <c r="AE193" s="15" t="str">
        <f t="shared" si="0"/>
        <v/>
      </c>
      <c r="AF193" s="15" t="str">
        <f t="shared" si="1"/>
        <v/>
      </c>
      <c r="AG193" s="15" t="str">
        <f>IF(OR(AF193="",AF193="ERRO_CHAVE"),"",IFERROR(MATCH(AF193,'Quitados DUPP'!$U$1:$U$6635,0),""))</f>
        <v/>
      </c>
      <c r="AH193" s="15" t="str">
        <f t="shared" si="2"/>
        <v/>
      </c>
      <c r="AI193" s="17" t="str">
        <f>IF(AG193="","",INDEX('Quitados DUPP'!$G$1:$G$6635,AG193))</f>
        <v/>
      </c>
      <c r="AJ193" s="17" t="str">
        <f t="shared" si="3"/>
        <v/>
      </c>
    </row>
    <row r="194" spans="31:36">
      <c r="AE194" s="15" t="str">
        <f t="shared" si="0"/>
        <v/>
      </c>
      <c r="AF194" s="15" t="str">
        <f t="shared" si="1"/>
        <v/>
      </c>
      <c r="AG194" s="15" t="str">
        <f>IF(OR(AF194="",AF194="ERRO_CHAVE"),"",IFERROR(MATCH(AF194,'Quitados DUPP'!$U$1:$U$6635,0),""))</f>
        <v/>
      </c>
      <c r="AH194" s="15" t="str">
        <f t="shared" si="2"/>
        <v/>
      </c>
      <c r="AI194" s="17" t="str">
        <f>IF(AG194="","",INDEX('Quitados DUPP'!$G$1:$G$6635,AG194))</f>
        <v/>
      </c>
      <c r="AJ194" s="17" t="str">
        <f t="shared" si="3"/>
        <v/>
      </c>
    </row>
    <row r="195" spans="31:36">
      <c r="AE195" s="15" t="str">
        <f t="shared" si="0"/>
        <v/>
      </c>
      <c r="AF195" s="15" t="str">
        <f t="shared" si="1"/>
        <v/>
      </c>
      <c r="AG195" s="15" t="str">
        <f>IF(OR(AF195="",AF195="ERRO_CHAVE"),"",IFERROR(MATCH(AF195,'Quitados DUPP'!$U$1:$U$6635,0),""))</f>
        <v/>
      </c>
      <c r="AH195" s="15" t="str">
        <f t="shared" si="2"/>
        <v/>
      </c>
      <c r="AI195" s="17" t="str">
        <f>IF(AG195="","",INDEX('Quitados DUPP'!$G$1:$G$6635,AG195))</f>
        <v/>
      </c>
      <c r="AJ195" s="17" t="str">
        <f t="shared" si="3"/>
        <v/>
      </c>
    </row>
    <row r="196" spans="31:36">
      <c r="AE196" s="15" t="str">
        <f t="shared" si="0"/>
        <v/>
      </c>
      <c r="AF196" s="15" t="str">
        <f t="shared" si="1"/>
        <v/>
      </c>
      <c r="AG196" s="15" t="str">
        <f>IF(OR(AF196="",AF196="ERRO_CHAVE"),"",IFERROR(MATCH(AF196,'Quitados DUPP'!$U$1:$U$6635,0),""))</f>
        <v/>
      </c>
      <c r="AH196" s="15" t="str">
        <f t="shared" si="2"/>
        <v/>
      </c>
      <c r="AI196" s="17" t="str">
        <f>IF(AG196="","",INDEX('Quitados DUPP'!$G$1:$G$6635,AG196))</f>
        <v/>
      </c>
      <c r="AJ196" s="17" t="str">
        <f t="shared" si="3"/>
        <v/>
      </c>
    </row>
    <row r="197" spans="31:36">
      <c r="AE197" s="15" t="str">
        <f t="shared" si="0"/>
        <v/>
      </c>
      <c r="AF197" s="15" t="str">
        <f t="shared" si="1"/>
        <v/>
      </c>
      <c r="AG197" s="15" t="str">
        <f>IF(OR(AF197="",AF197="ERRO_CHAVE"),"",IFERROR(MATCH(AF197,'Quitados DUPP'!$U$1:$U$6635,0),""))</f>
        <v/>
      </c>
      <c r="AH197" s="15" t="str">
        <f t="shared" si="2"/>
        <v/>
      </c>
      <c r="AI197" s="17" t="str">
        <f>IF(AG197="","",INDEX('Quitados DUPP'!$G$1:$G$6635,AG197))</f>
        <v/>
      </c>
      <c r="AJ197" s="17" t="str">
        <f t="shared" si="3"/>
        <v/>
      </c>
    </row>
    <row r="198" spans="31:36">
      <c r="AE198" s="15" t="str">
        <f t="shared" si="0"/>
        <v/>
      </c>
      <c r="AF198" s="15" t="str">
        <f t="shared" si="1"/>
        <v/>
      </c>
      <c r="AG198" s="15" t="str">
        <f>IF(OR(AF198="",AF198="ERRO_CHAVE"),"",IFERROR(MATCH(AF198,'Quitados DUPP'!$U$1:$U$6635,0),""))</f>
        <v/>
      </c>
      <c r="AH198" s="15" t="str">
        <f t="shared" si="2"/>
        <v/>
      </c>
      <c r="AI198" s="17" t="str">
        <f>IF(AG198="","",INDEX('Quitados DUPP'!$G$1:$G$6635,AG198))</f>
        <v/>
      </c>
      <c r="AJ198" s="17" t="str">
        <f t="shared" si="3"/>
        <v/>
      </c>
    </row>
    <row r="199" spans="31:36">
      <c r="AE199" s="15" t="str">
        <f t="shared" si="0"/>
        <v/>
      </c>
      <c r="AF199" s="15" t="str">
        <f t="shared" si="1"/>
        <v/>
      </c>
      <c r="AG199" s="15" t="str">
        <f>IF(OR(AF199="",AF199="ERRO_CHAVE"),"",IFERROR(MATCH(AF199,'Quitados DUPP'!$U$1:$U$6635,0),""))</f>
        <v/>
      </c>
      <c r="AH199" s="15" t="str">
        <f t="shared" si="2"/>
        <v/>
      </c>
      <c r="AI199" s="17" t="str">
        <f>IF(AG199="","",INDEX('Quitados DUPP'!$G$1:$G$6635,AG199))</f>
        <v/>
      </c>
      <c r="AJ199" s="17" t="str">
        <f t="shared" si="3"/>
        <v/>
      </c>
    </row>
    <row r="200" spans="31:36">
      <c r="AE200" s="15" t="str">
        <f t="shared" si="0"/>
        <v/>
      </c>
      <c r="AF200" s="15" t="str">
        <f t="shared" si="1"/>
        <v/>
      </c>
      <c r="AG200" s="15" t="str">
        <f>IF(OR(AF200="",AF200="ERRO_CHAVE"),"",IFERROR(MATCH(AF200,'Quitados DUPP'!$U$1:$U$6635,0),""))</f>
        <v/>
      </c>
      <c r="AH200" s="15" t="str">
        <f t="shared" si="2"/>
        <v/>
      </c>
      <c r="AI200" s="17" t="str">
        <f>IF(AG200="","",INDEX('Quitados DUPP'!$G$1:$G$6635,AG200))</f>
        <v/>
      </c>
      <c r="AJ200" s="17" t="str">
        <f t="shared" si="3"/>
        <v/>
      </c>
    </row>
    <row r="201" spans="31:36">
      <c r="AE201" s="15" t="str">
        <f t="shared" si="0"/>
        <v/>
      </c>
      <c r="AF201" s="15" t="str">
        <f t="shared" si="1"/>
        <v/>
      </c>
      <c r="AG201" s="15" t="str">
        <f>IF(OR(AF201="",AF201="ERRO_CHAVE"),"",IFERROR(MATCH(AF201,'Quitados DUPP'!$U$1:$U$6635,0),""))</f>
        <v/>
      </c>
      <c r="AH201" s="15" t="str">
        <f t="shared" si="2"/>
        <v/>
      </c>
      <c r="AI201" s="17" t="str">
        <f>IF(AG201="","",INDEX('Quitados DUPP'!$G$1:$G$6635,AG201))</f>
        <v/>
      </c>
      <c r="AJ201" s="17" t="str">
        <f t="shared" si="3"/>
        <v/>
      </c>
    </row>
    <row r="202" spans="31:36">
      <c r="AE202" s="15" t="str">
        <f t="shared" si="0"/>
        <v/>
      </c>
      <c r="AF202" s="15" t="str">
        <f t="shared" si="1"/>
        <v/>
      </c>
      <c r="AG202" s="15" t="str">
        <f>IF(OR(AF202="",AF202="ERRO_CHAVE"),"",IFERROR(MATCH(AF202,'Quitados DUPP'!$U$1:$U$6635,0),""))</f>
        <v/>
      </c>
      <c r="AH202" s="15" t="str">
        <f t="shared" si="2"/>
        <v/>
      </c>
      <c r="AI202" s="17" t="str">
        <f>IF(AG202="","",INDEX('Quitados DUPP'!$G$1:$G$6635,AG202))</f>
        <v/>
      </c>
      <c r="AJ202" s="17" t="str">
        <f t="shared" si="3"/>
        <v/>
      </c>
    </row>
    <row r="203" spans="31:36">
      <c r="AE203" s="15" t="str">
        <f t="shared" si="0"/>
        <v/>
      </c>
      <c r="AF203" s="15" t="str">
        <f t="shared" si="1"/>
        <v/>
      </c>
      <c r="AG203" s="15" t="str">
        <f>IF(OR(AF203="",AF203="ERRO_CHAVE"),"",IFERROR(MATCH(AF203,'Quitados DUPP'!$U$1:$U$6635,0),""))</f>
        <v/>
      </c>
      <c r="AH203" s="15" t="str">
        <f t="shared" si="2"/>
        <v/>
      </c>
      <c r="AI203" s="17" t="str">
        <f>IF(AG203="","",INDEX('Quitados DUPP'!$G$1:$G$6635,AG203))</f>
        <v/>
      </c>
      <c r="AJ203" s="17" t="str">
        <f t="shared" si="3"/>
        <v/>
      </c>
    </row>
    <row r="204" spans="31:36">
      <c r="AE204" s="15" t="str">
        <f t="shared" si="0"/>
        <v/>
      </c>
      <c r="AF204" s="15" t="str">
        <f t="shared" si="1"/>
        <v/>
      </c>
      <c r="AG204" s="15" t="str">
        <f>IF(OR(AF204="",AF204="ERRO_CHAVE"),"",IFERROR(MATCH(AF204,'Quitados DUPP'!$U$1:$U$6635,0),""))</f>
        <v/>
      </c>
      <c r="AH204" s="15" t="str">
        <f t="shared" si="2"/>
        <v/>
      </c>
      <c r="AI204" s="17" t="str">
        <f>IF(AG204="","",INDEX('Quitados DUPP'!$G$1:$G$6635,AG204))</f>
        <v/>
      </c>
      <c r="AJ204" s="17" t="str">
        <f t="shared" si="3"/>
        <v/>
      </c>
    </row>
    <row r="205" spans="31:36">
      <c r="AE205" s="15" t="str">
        <f t="shared" si="0"/>
        <v/>
      </c>
      <c r="AF205" s="15" t="str">
        <f t="shared" si="1"/>
        <v/>
      </c>
      <c r="AG205" s="15" t="str">
        <f>IF(OR(AF205="",AF205="ERRO_CHAVE"),"",IFERROR(MATCH(AF205,'Quitados DUPP'!$U$1:$U$6635,0),""))</f>
        <v/>
      </c>
      <c r="AH205" s="15" t="str">
        <f t="shared" si="2"/>
        <v/>
      </c>
      <c r="AI205" s="17" t="str">
        <f>IF(AG205="","",INDEX('Quitados DUPP'!$G$1:$G$6635,AG205))</f>
        <v/>
      </c>
      <c r="AJ205" s="17" t="str">
        <f t="shared" si="3"/>
        <v/>
      </c>
    </row>
    <row r="206" spans="31:36">
      <c r="AE206" s="15" t="str">
        <f t="shared" si="0"/>
        <v/>
      </c>
      <c r="AF206" s="15" t="str">
        <f t="shared" si="1"/>
        <v/>
      </c>
      <c r="AG206" s="15" t="str">
        <f>IF(OR(AF206="",AF206="ERRO_CHAVE"),"",IFERROR(MATCH(AF206,'Quitados DUPP'!$U$1:$U$6635,0),""))</f>
        <v/>
      </c>
      <c r="AH206" s="15" t="str">
        <f t="shared" si="2"/>
        <v/>
      </c>
      <c r="AI206" s="17" t="str">
        <f>IF(AG206="","",INDEX('Quitados DUPP'!$G$1:$G$6635,AG206))</f>
        <v/>
      </c>
      <c r="AJ206" s="17" t="str">
        <f t="shared" si="3"/>
        <v/>
      </c>
    </row>
    <row r="207" spans="31:36">
      <c r="AE207" s="15" t="str">
        <f t="shared" si="0"/>
        <v/>
      </c>
      <c r="AF207" s="15" t="str">
        <f t="shared" si="1"/>
        <v/>
      </c>
      <c r="AG207" s="15" t="str">
        <f>IF(OR(AF207="",AF207="ERRO_CHAVE"),"",IFERROR(MATCH(AF207,'Quitados DUPP'!$U$1:$U$6635,0),""))</f>
        <v/>
      </c>
      <c r="AH207" s="15" t="str">
        <f t="shared" si="2"/>
        <v/>
      </c>
      <c r="AI207" s="17" t="str">
        <f>IF(AG207="","",INDEX('Quitados DUPP'!$G$1:$G$6635,AG207))</f>
        <v/>
      </c>
      <c r="AJ207" s="17" t="str">
        <f t="shared" si="3"/>
        <v/>
      </c>
    </row>
    <row r="208" spans="31:36">
      <c r="AE208" s="15" t="str">
        <f t="shared" si="0"/>
        <v/>
      </c>
      <c r="AF208" s="15" t="str">
        <f t="shared" si="1"/>
        <v/>
      </c>
      <c r="AG208" s="15" t="str">
        <f>IF(OR(AF208="",AF208="ERRO_CHAVE"),"",IFERROR(MATCH(AF208,'Quitados DUPP'!$U$1:$U$6635,0),""))</f>
        <v/>
      </c>
      <c r="AH208" s="15" t="str">
        <f t="shared" si="2"/>
        <v/>
      </c>
      <c r="AI208" s="17" t="str">
        <f>IF(AG208="","",INDEX('Quitados DUPP'!$G$1:$G$6635,AG208))</f>
        <v/>
      </c>
      <c r="AJ208" s="17" t="str">
        <f t="shared" si="3"/>
        <v/>
      </c>
    </row>
    <row r="209" spans="31:36">
      <c r="AE209" s="15" t="str">
        <f t="shared" si="0"/>
        <v/>
      </c>
      <c r="AF209" s="15" t="str">
        <f t="shared" si="1"/>
        <v/>
      </c>
      <c r="AG209" s="15" t="str">
        <f>IF(OR(AF209="",AF209="ERRO_CHAVE"),"",IFERROR(MATCH(AF209,'Quitados DUPP'!$U$1:$U$6635,0),""))</f>
        <v/>
      </c>
      <c r="AH209" s="15" t="str">
        <f t="shared" si="2"/>
        <v/>
      </c>
      <c r="AI209" s="17" t="str">
        <f>IF(AG209="","",INDEX('Quitados DUPP'!$G$1:$G$6635,AG209))</f>
        <v/>
      </c>
      <c r="AJ209" s="17" t="str">
        <f t="shared" si="3"/>
        <v/>
      </c>
    </row>
    <row r="210" spans="31:36">
      <c r="AE210" s="15" t="str">
        <f t="shared" si="0"/>
        <v/>
      </c>
      <c r="AF210" s="15" t="str">
        <f t="shared" si="1"/>
        <v/>
      </c>
      <c r="AG210" s="15" t="str">
        <f>IF(OR(AF210="",AF210="ERRO_CHAVE"),"",IFERROR(MATCH(AF210,'Quitados DUPP'!$U$1:$U$6635,0),""))</f>
        <v/>
      </c>
      <c r="AH210" s="15" t="str">
        <f t="shared" si="2"/>
        <v/>
      </c>
      <c r="AI210" s="17" t="str">
        <f>IF(AG210="","",INDEX('Quitados DUPP'!$G$1:$G$6635,AG210))</f>
        <v/>
      </c>
      <c r="AJ210" s="17" t="str">
        <f t="shared" si="3"/>
        <v/>
      </c>
    </row>
    <row r="211" spans="31:36">
      <c r="AE211" s="15" t="str">
        <f t="shared" si="0"/>
        <v/>
      </c>
      <c r="AF211" s="15" t="str">
        <f t="shared" si="1"/>
        <v/>
      </c>
      <c r="AG211" s="15" t="str">
        <f>IF(OR(AF211="",AF211="ERRO_CHAVE"),"",IFERROR(MATCH(AF211,'Quitados DUPP'!$U$1:$U$6635,0),""))</f>
        <v/>
      </c>
      <c r="AH211" s="15" t="str">
        <f t="shared" si="2"/>
        <v/>
      </c>
      <c r="AI211" s="17" t="str">
        <f>IF(AG211="","",INDEX('Quitados DUPP'!$G$1:$G$6635,AG211))</f>
        <v/>
      </c>
      <c r="AJ211" s="17" t="str">
        <f t="shared" si="3"/>
        <v/>
      </c>
    </row>
    <row r="212" spans="31:36">
      <c r="AE212" s="15" t="str">
        <f t="shared" si="0"/>
        <v/>
      </c>
      <c r="AF212" s="15" t="str">
        <f t="shared" si="1"/>
        <v/>
      </c>
      <c r="AG212" s="15" t="str">
        <f>IF(OR(AF212="",AF212="ERRO_CHAVE"),"",IFERROR(MATCH(AF212,'Quitados DUPP'!$U$1:$U$6635,0),""))</f>
        <v/>
      </c>
      <c r="AH212" s="15" t="str">
        <f t="shared" si="2"/>
        <v/>
      </c>
      <c r="AI212" s="17" t="str">
        <f>IF(AG212="","",INDEX('Quitados DUPP'!$G$1:$G$6635,AG212))</f>
        <v/>
      </c>
      <c r="AJ212" s="17" t="str">
        <f t="shared" si="3"/>
        <v/>
      </c>
    </row>
    <row r="213" spans="31:36">
      <c r="AE213" s="15" t="str">
        <f t="shared" si="0"/>
        <v/>
      </c>
      <c r="AF213" s="15" t="str">
        <f t="shared" si="1"/>
        <v/>
      </c>
      <c r="AG213" s="15" t="str">
        <f>IF(OR(AF213="",AF213="ERRO_CHAVE"),"",IFERROR(MATCH(AF213,'Quitados DUPP'!$U$1:$U$6635,0),""))</f>
        <v/>
      </c>
      <c r="AH213" s="15" t="str">
        <f t="shared" si="2"/>
        <v/>
      </c>
      <c r="AI213" s="17" t="str">
        <f>IF(AG213="","",INDEX('Quitados DUPP'!$G$1:$G$6635,AG213))</f>
        <v/>
      </c>
      <c r="AJ213" s="17" t="str">
        <f t="shared" si="3"/>
        <v/>
      </c>
    </row>
    <row r="214" spans="31:36">
      <c r="AE214" s="15" t="str">
        <f t="shared" si="0"/>
        <v/>
      </c>
      <c r="AF214" s="15" t="str">
        <f t="shared" si="1"/>
        <v/>
      </c>
      <c r="AG214" s="15" t="str">
        <f>IF(OR(AF214="",AF214="ERRO_CHAVE"),"",IFERROR(MATCH(AF214,'Quitados DUPP'!$U$1:$U$6635,0),""))</f>
        <v/>
      </c>
      <c r="AH214" s="15" t="str">
        <f t="shared" si="2"/>
        <v/>
      </c>
      <c r="AI214" s="17" t="str">
        <f>IF(AG214="","",INDEX('Quitados DUPP'!$G$1:$G$6635,AG214))</f>
        <v/>
      </c>
      <c r="AJ214" s="17" t="str">
        <f t="shared" si="3"/>
        <v/>
      </c>
    </row>
    <row r="215" spans="31:36">
      <c r="AE215" s="15" t="str">
        <f t="shared" si="0"/>
        <v/>
      </c>
      <c r="AF215" s="15" t="str">
        <f t="shared" si="1"/>
        <v/>
      </c>
      <c r="AG215" s="15" t="str">
        <f>IF(OR(AF215="",AF215="ERRO_CHAVE"),"",IFERROR(MATCH(AF215,'Quitados DUPP'!$U$1:$U$6635,0),""))</f>
        <v/>
      </c>
      <c r="AH215" s="15" t="str">
        <f t="shared" si="2"/>
        <v/>
      </c>
      <c r="AI215" s="17" t="str">
        <f>IF(AG215="","",INDEX('Quitados DUPP'!$G$1:$G$6635,AG215))</f>
        <v/>
      </c>
      <c r="AJ215" s="17" t="str">
        <f t="shared" si="3"/>
        <v/>
      </c>
    </row>
    <row r="216" spans="31:36">
      <c r="AE216" s="15" t="str">
        <f t="shared" si="0"/>
        <v/>
      </c>
      <c r="AF216" s="15" t="str">
        <f t="shared" si="1"/>
        <v/>
      </c>
      <c r="AG216" s="15" t="str">
        <f>IF(OR(AF216="",AF216="ERRO_CHAVE"),"",IFERROR(MATCH(AF216,'Quitados DUPP'!$U$1:$U$6635,0),""))</f>
        <v/>
      </c>
      <c r="AH216" s="15" t="str">
        <f t="shared" si="2"/>
        <v/>
      </c>
      <c r="AI216" s="17" t="str">
        <f>IF(AG216="","",INDEX('Quitados DUPP'!$G$1:$G$6635,AG216))</f>
        <v/>
      </c>
      <c r="AJ216" s="17" t="str">
        <f t="shared" si="3"/>
        <v/>
      </c>
    </row>
    <row r="217" spans="31:36">
      <c r="AE217" s="15" t="str">
        <f t="shared" si="0"/>
        <v/>
      </c>
      <c r="AF217" s="15" t="str">
        <f t="shared" si="1"/>
        <v/>
      </c>
      <c r="AG217" s="15" t="str">
        <f>IF(OR(AF217="",AF217="ERRO_CHAVE"),"",IFERROR(MATCH(AF217,'Quitados DUPP'!$U$1:$U$6635,0),""))</f>
        <v/>
      </c>
      <c r="AH217" s="15" t="str">
        <f t="shared" si="2"/>
        <v/>
      </c>
      <c r="AI217" s="17" t="str">
        <f>IF(AG217="","",INDEX('Quitados DUPP'!$G$1:$G$6635,AG217))</f>
        <v/>
      </c>
      <c r="AJ217" s="17" t="str">
        <f t="shared" si="3"/>
        <v/>
      </c>
    </row>
    <row r="218" spans="31:36">
      <c r="AE218" s="15" t="str">
        <f t="shared" si="0"/>
        <v/>
      </c>
      <c r="AF218" s="15" t="str">
        <f t="shared" si="1"/>
        <v/>
      </c>
      <c r="AG218" s="15" t="str">
        <f>IF(OR(AF218="",AF218="ERRO_CHAVE"),"",IFERROR(MATCH(AF218,'Quitados DUPP'!$U$1:$U$6635,0),""))</f>
        <v/>
      </c>
      <c r="AH218" s="15" t="str">
        <f t="shared" si="2"/>
        <v/>
      </c>
      <c r="AI218" s="17" t="str">
        <f>IF(AG218="","",INDEX('Quitados DUPP'!$G$1:$G$6635,AG218))</f>
        <v/>
      </c>
      <c r="AJ218" s="17" t="str">
        <f t="shared" si="3"/>
        <v/>
      </c>
    </row>
    <row r="219" spans="31:36">
      <c r="AE219" s="15" t="str">
        <f t="shared" si="0"/>
        <v/>
      </c>
      <c r="AF219" s="15" t="str">
        <f t="shared" si="1"/>
        <v/>
      </c>
      <c r="AG219" s="15" t="str">
        <f>IF(OR(AF219="",AF219="ERRO_CHAVE"),"",IFERROR(MATCH(AF219,'Quitados DUPP'!$U$1:$U$6635,0),""))</f>
        <v/>
      </c>
      <c r="AH219" s="15" t="str">
        <f t="shared" si="2"/>
        <v/>
      </c>
      <c r="AI219" s="17" t="str">
        <f>IF(AG219="","",INDEX('Quitados DUPP'!$G$1:$G$6635,AG219))</f>
        <v/>
      </c>
      <c r="AJ219" s="17" t="str">
        <f t="shared" si="3"/>
        <v/>
      </c>
    </row>
    <row r="220" spans="31:36">
      <c r="AE220" s="15" t="str">
        <f t="shared" si="0"/>
        <v/>
      </c>
      <c r="AF220" s="15" t="str">
        <f t="shared" si="1"/>
        <v/>
      </c>
      <c r="AG220" s="15" t="str">
        <f>IF(OR(AF220="",AF220="ERRO_CHAVE"),"",IFERROR(MATCH(AF220,'Quitados DUPP'!$U$1:$U$6635,0),""))</f>
        <v/>
      </c>
      <c r="AH220" s="15" t="str">
        <f t="shared" si="2"/>
        <v/>
      </c>
      <c r="AI220" s="17" t="str">
        <f>IF(AG220="","",INDEX('Quitados DUPP'!$G$1:$G$6635,AG220))</f>
        <v/>
      </c>
      <c r="AJ220" s="17" t="str">
        <f t="shared" si="3"/>
        <v/>
      </c>
    </row>
    <row r="221" spans="31:36">
      <c r="AE221" s="15" t="str">
        <f t="shared" si="0"/>
        <v/>
      </c>
      <c r="AF221" s="15" t="str">
        <f t="shared" si="1"/>
        <v/>
      </c>
      <c r="AG221" s="15" t="str">
        <f>IF(OR(AF221="",AF221="ERRO_CHAVE"),"",IFERROR(MATCH(AF221,'Quitados DUPP'!$U$1:$U$6635,0),""))</f>
        <v/>
      </c>
      <c r="AH221" s="15" t="str">
        <f t="shared" si="2"/>
        <v/>
      </c>
      <c r="AI221" s="17" t="str">
        <f>IF(AG221="","",INDEX('Quitados DUPP'!$G$1:$G$6635,AG221))</f>
        <v/>
      </c>
      <c r="AJ221" s="17" t="str">
        <f t="shared" si="3"/>
        <v/>
      </c>
    </row>
    <row r="222" spans="31:36">
      <c r="AE222" s="15" t="str">
        <f t="shared" si="0"/>
        <v/>
      </c>
      <c r="AF222" s="15" t="str">
        <f t="shared" si="1"/>
        <v/>
      </c>
      <c r="AG222" s="15" t="str">
        <f>IF(OR(AF222="",AF222="ERRO_CHAVE"),"",IFERROR(MATCH(AF222,'Quitados DUPP'!$U$1:$U$6635,0),""))</f>
        <v/>
      </c>
      <c r="AH222" s="15" t="str">
        <f t="shared" si="2"/>
        <v/>
      </c>
      <c r="AI222" s="17" t="str">
        <f>IF(AG222="","",INDEX('Quitados DUPP'!$G$1:$G$6635,AG222))</f>
        <v/>
      </c>
      <c r="AJ222" s="17" t="str">
        <f t="shared" si="3"/>
        <v/>
      </c>
    </row>
    <row r="223" spans="31:36">
      <c r="AE223" s="15" t="str">
        <f t="shared" si="0"/>
        <v/>
      </c>
      <c r="AF223" s="15" t="str">
        <f t="shared" si="1"/>
        <v/>
      </c>
      <c r="AG223" s="15" t="str">
        <f>IF(OR(AF223="",AF223="ERRO_CHAVE"),"",IFERROR(MATCH(AF223,'Quitados DUPP'!$U$1:$U$6635,0),""))</f>
        <v/>
      </c>
      <c r="AH223" s="15" t="str">
        <f t="shared" si="2"/>
        <v/>
      </c>
      <c r="AI223" s="17" t="str">
        <f>IF(AG223="","",INDEX('Quitados DUPP'!$G$1:$G$6635,AG223))</f>
        <v/>
      </c>
      <c r="AJ223" s="17" t="str">
        <f t="shared" si="3"/>
        <v/>
      </c>
    </row>
    <row r="224" spans="31:36">
      <c r="AE224" s="15" t="str">
        <f t="shared" si="0"/>
        <v/>
      </c>
      <c r="AF224" s="15" t="str">
        <f t="shared" si="1"/>
        <v/>
      </c>
      <c r="AG224" s="15" t="str">
        <f>IF(OR(AF224="",AF224="ERRO_CHAVE"),"",IFERROR(MATCH(AF224,'Quitados DUPP'!$U$1:$U$6635,0),""))</f>
        <v/>
      </c>
      <c r="AH224" s="15" t="str">
        <f t="shared" si="2"/>
        <v/>
      </c>
      <c r="AI224" s="17" t="str">
        <f>IF(AG224="","",INDEX('Quitados DUPP'!$G$1:$G$6635,AG224))</f>
        <v/>
      </c>
      <c r="AJ224" s="17" t="str">
        <f t="shared" si="3"/>
        <v/>
      </c>
    </row>
    <row r="225" spans="31:36">
      <c r="AE225" s="15" t="str">
        <f t="shared" si="0"/>
        <v/>
      </c>
      <c r="AF225" s="15" t="str">
        <f t="shared" si="1"/>
        <v/>
      </c>
      <c r="AG225" s="15" t="str">
        <f>IF(OR(AF225="",AF225="ERRO_CHAVE"),"",IFERROR(MATCH(AF225,'Quitados DUPP'!$U$1:$U$6635,0),""))</f>
        <v/>
      </c>
      <c r="AH225" s="15" t="str">
        <f t="shared" si="2"/>
        <v/>
      </c>
      <c r="AI225" s="17" t="str">
        <f>IF(AG225="","",INDEX('Quitados DUPP'!$G$1:$G$6635,AG225))</f>
        <v/>
      </c>
      <c r="AJ225" s="17" t="str">
        <f t="shared" si="3"/>
        <v/>
      </c>
    </row>
    <row r="226" spans="31:36">
      <c r="AE226" s="15" t="str">
        <f t="shared" si="0"/>
        <v/>
      </c>
      <c r="AF226" s="15" t="str">
        <f t="shared" si="1"/>
        <v/>
      </c>
      <c r="AG226" s="15" t="str">
        <f>IF(OR(AF226="",AF226="ERRO_CHAVE"),"",IFERROR(MATCH(AF226,'Quitados DUPP'!$U$1:$U$6635,0),""))</f>
        <v/>
      </c>
      <c r="AH226" s="15" t="str">
        <f t="shared" si="2"/>
        <v/>
      </c>
      <c r="AI226" s="17" t="str">
        <f>IF(AG226="","",INDEX('Quitados DUPP'!$G$1:$G$6635,AG226))</f>
        <v/>
      </c>
      <c r="AJ226" s="17" t="str">
        <f t="shared" si="3"/>
        <v/>
      </c>
    </row>
    <row r="227" spans="31:36">
      <c r="AE227" s="15" t="str">
        <f t="shared" si="0"/>
        <v/>
      </c>
      <c r="AF227" s="15" t="str">
        <f t="shared" si="1"/>
        <v/>
      </c>
      <c r="AG227" s="15" t="str">
        <f>IF(OR(AF227="",AF227="ERRO_CHAVE"),"",IFERROR(MATCH(AF227,'Quitados DUPP'!$U$1:$U$6635,0),""))</f>
        <v/>
      </c>
      <c r="AH227" s="15" t="str">
        <f t="shared" si="2"/>
        <v/>
      </c>
      <c r="AI227" s="17" t="str">
        <f>IF(AG227="","",INDEX('Quitados DUPP'!$G$1:$G$6635,AG227))</f>
        <v/>
      </c>
      <c r="AJ227" s="17" t="str">
        <f t="shared" si="3"/>
        <v/>
      </c>
    </row>
    <row r="228" spans="31:36">
      <c r="AE228" s="15" t="str">
        <f t="shared" si="0"/>
        <v/>
      </c>
      <c r="AF228" s="15" t="str">
        <f t="shared" si="1"/>
        <v/>
      </c>
      <c r="AG228" s="15" t="str">
        <f>IF(OR(AF228="",AF228="ERRO_CHAVE"),"",IFERROR(MATCH(AF228,'Quitados DUPP'!$U$1:$U$6635,0),""))</f>
        <v/>
      </c>
      <c r="AH228" s="15" t="str">
        <f t="shared" si="2"/>
        <v/>
      </c>
      <c r="AI228" s="17" t="str">
        <f>IF(AG228="","",INDEX('Quitados DUPP'!$G$1:$G$6635,AG228))</f>
        <v/>
      </c>
      <c r="AJ228" s="17" t="str">
        <f t="shared" si="3"/>
        <v/>
      </c>
    </row>
    <row r="229" spans="31:36">
      <c r="AE229" s="15" t="str">
        <f t="shared" si="0"/>
        <v/>
      </c>
      <c r="AF229" s="15" t="str">
        <f t="shared" si="1"/>
        <v/>
      </c>
      <c r="AG229" s="15" t="str">
        <f>IF(OR(AF229="",AF229="ERRO_CHAVE"),"",IFERROR(MATCH(AF229,'Quitados DUPP'!$U$1:$U$6635,0),""))</f>
        <v/>
      </c>
      <c r="AH229" s="15" t="str">
        <f t="shared" si="2"/>
        <v/>
      </c>
      <c r="AI229" s="17" t="str">
        <f>IF(AG229="","",INDEX('Quitados DUPP'!$G$1:$G$6635,AG229))</f>
        <v/>
      </c>
      <c r="AJ229" s="17" t="str">
        <f t="shared" si="3"/>
        <v/>
      </c>
    </row>
    <row r="230" spans="31:36">
      <c r="AE230" s="15" t="str">
        <f t="shared" si="0"/>
        <v/>
      </c>
      <c r="AF230" s="15" t="str">
        <f t="shared" si="1"/>
        <v/>
      </c>
      <c r="AG230" s="15" t="str">
        <f>IF(OR(AF230="",AF230="ERRO_CHAVE"),"",IFERROR(MATCH(AF230,'Quitados DUPP'!$U$1:$U$6635,0),""))</f>
        <v/>
      </c>
      <c r="AH230" s="15" t="str">
        <f t="shared" si="2"/>
        <v/>
      </c>
      <c r="AI230" s="17" t="str">
        <f>IF(AG230="","",INDEX('Quitados DUPP'!$G$1:$G$6635,AG230))</f>
        <v/>
      </c>
      <c r="AJ230" s="17" t="str">
        <f t="shared" si="3"/>
        <v/>
      </c>
    </row>
    <row r="231" spans="31:36">
      <c r="AE231" s="15" t="str">
        <f t="shared" si="0"/>
        <v/>
      </c>
      <c r="AF231" s="15" t="str">
        <f t="shared" si="1"/>
        <v/>
      </c>
      <c r="AG231" s="15" t="str">
        <f>IF(OR(AF231="",AF231="ERRO_CHAVE"),"",IFERROR(MATCH(AF231,'Quitados DUPP'!$U$1:$U$6635,0),""))</f>
        <v/>
      </c>
      <c r="AH231" s="15" t="str">
        <f t="shared" si="2"/>
        <v/>
      </c>
      <c r="AI231" s="17" t="str">
        <f>IF(AG231="","",INDEX('Quitados DUPP'!$G$1:$G$6635,AG231))</f>
        <v/>
      </c>
      <c r="AJ231" s="17" t="str">
        <f t="shared" si="3"/>
        <v/>
      </c>
    </row>
    <row r="232" spans="31:36">
      <c r="AE232" s="15" t="str">
        <f t="shared" si="0"/>
        <v/>
      </c>
      <c r="AF232" s="15" t="str">
        <f t="shared" si="1"/>
        <v/>
      </c>
      <c r="AG232" s="15" t="str">
        <f>IF(OR(AF232="",AF232="ERRO_CHAVE"),"",IFERROR(MATCH(AF232,'Quitados DUPP'!$U$1:$U$6635,0),""))</f>
        <v/>
      </c>
      <c r="AH232" s="15" t="str">
        <f t="shared" si="2"/>
        <v/>
      </c>
      <c r="AI232" s="17" t="str">
        <f>IF(AG232="","",INDEX('Quitados DUPP'!$G$1:$G$6635,AG232))</f>
        <v/>
      </c>
      <c r="AJ232" s="17" t="str">
        <f t="shared" si="3"/>
        <v/>
      </c>
    </row>
    <row r="233" spans="31:36">
      <c r="AE233" s="15" t="str">
        <f t="shared" si="0"/>
        <v/>
      </c>
      <c r="AF233" s="15" t="str">
        <f t="shared" si="1"/>
        <v/>
      </c>
      <c r="AG233" s="15" t="str">
        <f>IF(OR(AF233="",AF233="ERRO_CHAVE"),"",IFERROR(MATCH(AF233,'Quitados DUPP'!$U$1:$U$6635,0),""))</f>
        <v/>
      </c>
      <c r="AH233" s="15" t="str">
        <f t="shared" si="2"/>
        <v/>
      </c>
      <c r="AI233" s="17" t="str">
        <f>IF(AG233="","",INDEX('Quitados DUPP'!$G$1:$G$6635,AG233))</f>
        <v/>
      </c>
      <c r="AJ233" s="17" t="str">
        <f t="shared" si="3"/>
        <v/>
      </c>
    </row>
    <row r="234" spans="31:36">
      <c r="AE234" s="15" t="str">
        <f t="shared" si="0"/>
        <v/>
      </c>
      <c r="AF234" s="15" t="str">
        <f t="shared" si="1"/>
        <v/>
      </c>
      <c r="AG234" s="15" t="str">
        <f>IF(OR(AF234="",AF234="ERRO_CHAVE"),"",IFERROR(MATCH(AF234,'Quitados DUPP'!$U$1:$U$6635,0),""))</f>
        <v/>
      </c>
      <c r="AH234" s="15" t="str">
        <f t="shared" si="2"/>
        <v/>
      </c>
      <c r="AI234" s="17" t="str">
        <f>IF(AG234="","",INDEX('Quitados DUPP'!$G$1:$G$6635,AG234))</f>
        <v/>
      </c>
      <c r="AJ234" s="17" t="str">
        <f t="shared" si="3"/>
        <v/>
      </c>
    </row>
    <row r="235" spans="31:36">
      <c r="AE235" s="15" t="str">
        <f t="shared" si="0"/>
        <v/>
      </c>
      <c r="AF235" s="15" t="str">
        <f t="shared" si="1"/>
        <v/>
      </c>
      <c r="AG235" s="15" t="str">
        <f>IF(OR(AF235="",AF235="ERRO_CHAVE"),"",IFERROR(MATCH(AF235,'Quitados DUPP'!$U$1:$U$6635,0),""))</f>
        <v/>
      </c>
      <c r="AH235" s="15" t="str">
        <f t="shared" si="2"/>
        <v/>
      </c>
      <c r="AI235" s="17" t="str">
        <f>IF(AG235="","",INDEX('Quitados DUPP'!$G$1:$G$6635,AG235))</f>
        <v/>
      </c>
      <c r="AJ235" s="17" t="str">
        <f t="shared" si="3"/>
        <v/>
      </c>
    </row>
    <row r="236" spans="31:36">
      <c r="AE236" s="15" t="str">
        <f t="shared" si="0"/>
        <v/>
      </c>
      <c r="AF236" s="15" t="str">
        <f t="shared" si="1"/>
        <v/>
      </c>
      <c r="AG236" s="15" t="str">
        <f>IF(OR(AF236="",AF236="ERRO_CHAVE"),"",IFERROR(MATCH(AF236,'Quitados DUPP'!$U$1:$U$6635,0),""))</f>
        <v/>
      </c>
      <c r="AH236" s="15" t="str">
        <f t="shared" si="2"/>
        <v/>
      </c>
      <c r="AI236" s="17" t="str">
        <f>IF(AG236="","",INDEX('Quitados DUPP'!$G$1:$G$6635,AG236))</f>
        <v/>
      </c>
      <c r="AJ236" s="17" t="str">
        <f t="shared" si="3"/>
        <v/>
      </c>
    </row>
    <row r="237" spans="31:36">
      <c r="AE237" s="15" t="str">
        <f t="shared" si="0"/>
        <v/>
      </c>
      <c r="AF237" s="15" t="str">
        <f t="shared" si="1"/>
        <v/>
      </c>
      <c r="AG237" s="15" t="str">
        <f>IF(OR(AF237="",AF237="ERRO_CHAVE"),"",IFERROR(MATCH(AF237,'Quitados DUPP'!$U$1:$U$6635,0),""))</f>
        <v/>
      </c>
      <c r="AH237" s="15" t="str">
        <f t="shared" si="2"/>
        <v/>
      </c>
      <c r="AI237" s="17" t="str">
        <f>IF(AG237="","",INDEX('Quitados DUPP'!$G$1:$G$6635,AG237))</f>
        <v/>
      </c>
      <c r="AJ237" s="17" t="str">
        <f t="shared" si="3"/>
        <v/>
      </c>
    </row>
    <row r="238" spans="31:36">
      <c r="AE238" s="15" t="str">
        <f t="shared" si="0"/>
        <v/>
      </c>
      <c r="AF238" s="15" t="str">
        <f t="shared" si="1"/>
        <v/>
      </c>
      <c r="AG238" s="15" t="str">
        <f>IF(OR(AF238="",AF238="ERRO_CHAVE"),"",IFERROR(MATCH(AF238,'Quitados DUPP'!$U$1:$U$6635,0),""))</f>
        <v/>
      </c>
      <c r="AH238" s="15" t="str">
        <f t="shared" si="2"/>
        <v/>
      </c>
      <c r="AI238" s="17" t="str">
        <f>IF(AG238="","",INDEX('Quitados DUPP'!$G$1:$G$6635,AG238))</f>
        <v/>
      </c>
      <c r="AJ238" s="17" t="str">
        <f t="shared" si="3"/>
        <v/>
      </c>
    </row>
    <row r="239" spans="31:36">
      <c r="AE239" s="15" t="str">
        <f t="shared" si="0"/>
        <v/>
      </c>
      <c r="AF239" s="15" t="str">
        <f t="shared" si="1"/>
        <v/>
      </c>
      <c r="AG239" s="15" t="str">
        <f>IF(OR(AF239="",AF239="ERRO_CHAVE"),"",IFERROR(MATCH(AF239,'Quitados DUPP'!$U$1:$U$6635,0),""))</f>
        <v/>
      </c>
      <c r="AH239" s="15" t="str">
        <f t="shared" si="2"/>
        <v/>
      </c>
      <c r="AI239" s="17" t="str">
        <f>IF(AG239="","",INDEX('Quitados DUPP'!$G$1:$G$6635,AG239))</f>
        <v/>
      </c>
      <c r="AJ239" s="17" t="str">
        <f t="shared" si="3"/>
        <v/>
      </c>
    </row>
    <row r="240" spans="31:36">
      <c r="AE240" s="15" t="str">
        <f t="shared" si="0"/>
        <v/>
      </c>
      <c r="AF240" s="15" t="str">
        <f t="shared" si="1"/>
        <v/>
      </c>
      <c r="AG240" s="15" t="str">
        <f>IF(OR(AF240="",AF240="ERRO_CHAVE"),"",IFERROR(MATCH(AF240,'Quitados DUPP'!$U$1:$U$6635,0),""))</f>
        <v/>
      </c>
      <c r="AH240" s="15" t="str">
        <f t="shared" si="2"/>
        <v/>
      </c>
      <c r="AI240" s="17" t="str">
        <f>IF(AG240="","",INDEX('Quitados DUPP'!$G$1:$G$6635,AG240))</f>
        <v/>
      </c>
      <c r="AJ240" s="17" t="str">
        <f t="shared" si="3"/>
        <v/>
      </c>
    </row>
    <row r="241" spans="31:36">
      <c r="AE241" s="15" t="str">
        <f t="shared" si="0"/>
        <v/>
      </c>
      <c r="AF241" s="15" t="str">
        <f t="shared" si="1"/>
        <v/>
      </c>
      <c r="AG241" s="15" t="str">
        <f>IF(OR(AF241="",AF241="ERRO_CHAVE"),"",IFERROR(MATCH(AF241,'Quitados DUPP'!$U$1:$U$6635,0),""))</f>
        <v/>
      </c>
      <c r="AH241" s="15" t="str">
        <f t="shared" si="2"/>
        <v/>
      </c>
      <c r="AI241" s="17" t="str">
        <f>IF(AG241="","",INDEX('Quitados DUPP'!$G$1:$G$6635,AG241))</f>
        <v/>
      </c>
      <c r="AJ241" s="17" t="str">
        <f t="shared" si="3"/>
        <v/>
      </c>
    </row>
    <row r="242" spans="31:36">
      <c r="AE242" s="15" t="str">
        <f t="shared" si="0"/>
        <v/>
      </c>
      <c r="AF242" s="15" t="str">
        <f t="shared" si="1"/>
        <v/>
      </c>
      <c r="AG242" s="15" t="str">
        <f>IF(OR(AF242="",AF242="ERRO_CHAVE"),"",IFERROR(MATCH(AF242,'Quitados DUPP'!$U$1:$U$6635,0),""))</f>
        <v/>
      </c>
      <c r="AH242" s="15" t="str">
        <f t="shared" si="2"/>
        <v/>
      </c>
      <c r="AI242" s="17" t="str">
        <f>IF(AG242="","",INDEX('Quitados DUPP'!$G$1:$G$6635,AG242))</f>
        <v/>
      </c>
      <c r="AJ242" s="17" t="str">
        <f t="shared" si="3"/>
        <v/>
      </c>
    </row>
    <row r="243" spans="31:36">
      <c r="AE243" s="15" t="str">
        <f t="shared" si="0"/>
        <v/>
      </c>
      <c r="AF243" s="15" t="str">
        <f t="shared" si="1"/>
        <v/>
      </c>
      <c r="AG243" s="15" t="str">
        <f>IF(OR(AF243="",AF243="ERRO_CHAVE"),"",IFERROR(MATCH(AF243,'Quitados DUPP'!$U$1:$U$6635,0),""))</f>
        <v/>
      </c>
      <c r="AH243" s="15" t="str">
        <f t="shared" si="2"/>
        <v/>
      </c>
      <c r="AI243" s="17" t="str">
        <f>IF(AG243="","",INDEX('Quitados DUPP'!$G$1:$G$6635,AG243))</f>
        <v/>
      </c>
      <c r="AJ243" s="17" t="str">
        <f t="shared" si="3"/>
        <v/>
      </c>
    </row>
    <row r="244" spans="31:36">
      <c r="AE244" s="15" t="str">
        <f t="shared" si="0"/>
        <v/>
      </c>
      <c r="AF244" s="15" t="str">
        <f t="shared" si="1"/>
        <v/>
      </c>
      <c r="AG244" s="15" t="str">
        <f>IF(OR(AF244="",AF244="ERRO_CHAVE"),"",IFERROR(MATCH(AF244,'Quitados DUPP'!$U$1:$U$6635,0),""))</f>
        <v/>
      </c>
      <c r="AH244" s="15" t="str">
        <f t="shared" si="2"/>
        <v/>
      </c>
      <c r="AI244" s="17" t="str">
        <f>IF(AG244="","",INDEX('Quitados DUPP'!$G$1:$G$6635,AG244))</f>
        <v/>
      </c>
      <c r="AJ244" s="17" t="str">
        <f t="shared" si="3"/>
        <v/>
      </c>
    </row>
    <row r="245" spans="31:36">
      <c r="AE245" s="15" t="str">
        <f t="shared" si="0"/>
        <v/>
      </c>
      <c r="AF245" s="15" t="str">
        <f t="shared" si="1"/>
        <v/>
      </c>
      <c r="AG245" s="15" t="str">
        <f>IF(OR(AF245="",AF245="ERRO_CHAVE"),"",IFERROR(MATCH(AF245,'Quitados DUPP'!$U$1:$U$6635,0),""))</f>
        <v/>
      </c>
      <c r="AH245" s="15" t="str">
        <f t="shared" si="2"/>
        <v/>
      </c>
      <c r="AI245" s="17" t="str">
        <f>IF(AG245="","",INDEX('Quitados DUPP'!$G$1:$G$6635,AG245))</f>
        <v/>
      </c>
      <c r="AJ245" s="17" t="str">
        <f t="shared" si="3"/>
        <v/>
      </c>
    </row>
    <row r="246" spans="31:36">
      <c r="AE246" s="15" t="str">
        <f t="shared" si="0"/>
        <v/>
      </c>
      <c r="AF246" s="15" t="str">
        <f t="shared" si="1"/>
        <v/>
      </c>
      <c r="AG246" s="15" t="str">
        <f>IF(OR(AF246="",AF246="ERRO_CHAVE"),"",IFERROR(MATCH(AF246,'Quitados DUPP'!$U$1:$U$6635,0),""))</f>
        <v/>
      </c>
      <c r="AH246" s="15" t="str">
        <f t="shared" si="2"/>
        <v/>
      </c>
      <c r="AI246" s="17" t="str">
        <f>IF(AG246="","",INDEX('Quitados DUPP'!$G$1:$G$6635,AG246))</f>
        <v/>
      </c>
      <c r="AJ246" s="17" t="str">
        <f t="shared" si="3"/>
        <v/>
      </c>
    </row>
    <row r="247" spans="31:36">
      <c r="AE247" s="15" t="str">
        <f t="shared" si="0"/>
        <v/>
      </c>
      <c r="AF247" s="15" t="str">
        <f t="shared" si="1"/>
        <v/>
      </c>
      <c r="AG247" s="15" t="str">
        <f>IF(OR(AF247="",AF247="ERRO_CHAVE"),"",IFERROR(MATCH(AF247,'Quitados DUPP'!$U$1:$U$6635,0),""))</f>
        <v/>
      </c>
      <c r="AH247" s="15" t="str">
        <f t="shared" si="2"/>
        <v/>
      </c>
      <c r="AI247" s="17" t="str">
        <f>IF(AG247="","",INDEX('Quitados DUPP'!$G$1:$G$6635,AG247))</f>
        <v/>
      </c>
      <c r="AJ247" s="17" t="str">
        <f t="shared" si="3"/>
        <v/>
      </c>
    </row>
    <row r="248" spans="31:36">
      <c r="AE248" s="15" t="str">
        <f t="shared" si="0"/>
        <v/>
      </c>
      <c r="AF248" s="15" t="str">
        <f t="shared" si="1"/>
        <v/>
      </c>
      <c r="AG248" s="15" t="str">
        <f>IF(OR(AF248="",AF248="ERRO_CHAVE"),"",IFERROR(MATCH(AF248,'Quitados DUPP'!$U$1:$U$6635,0),""))</f>
        <v/>
      </c>
      <c r="AH248" s="15" t="str">
        <f t="shared" si="2"/>
        <v/>
      </c>
      <c r="AI248" s="17" t="str">
        <f>IF(AG248="","",INDEX('Quitados DUPP'!$G$1:$G$6635,AG248))</f>
        <v/>
      </c>
      <c r="AJ248" s="17" t="str">
        <f t="shared" si="3"/>
        <v/>
      </c>
    </row>
    <row r="249" spans="31:36">
      <c r="AE249" s="15" t="str">
        <f t="shared" si="0"/>
        <v/>
      </c>
      <c r="AF249" s="15" t="str">
        <f t="shared" si="1"/>
        <v/>
      </c>
      <c r="AG249" s="15" t="str">
        <f>IF(OR(AF249="",AF249="ERRO_CHAVE"),"",IFERROR(MATCH(AF249,'Quitados DUPP'!$U$1:$U$6635,0),""))</f>
        <v/>
      </c>
      <c r="AH249" s="15" t="str">
        <f t="shared" si="2"/>
        <v/>
      </c>
      <c r="AI249" s="17" t="str">
        <f>IF(AG249="","",INDEX('Quitados DUPP'!$G$1:$G$6635,AG249))</f>
        <v/>
      </c>
      <c r="AJ249" s="17" t="str">
        <f t="shared" si="3"/>
        <v/>
      </c>
    </row>
    <row r="250" spans="31:36">
      <c r="AE250" s="15" t="str">
        <f t="shared" si="0"/>
        <v/>
      </c>
      <c r="AF250" s="15" t="str">
        <f t="shared" si="1"/>
        <v/>
      </c>
      <c r="AG250" s="15" t="str">
        <f>IF(OR(AF250="",AF250="ERRO_CHAVE"),"",IFERROR(MATCH(AF250,'Quitados DUPP'!$U$1:$U$6635,0),""))</f>
        <v/>
      </c>
      <c r="AH250" s="15" t="str">
        <f t="shared" si="2"/>
        <v/>
      </c>
      <c r="AI250" s="17" t="str">
        <f>IF(AG250="","",INDEX('Quitados DUPP'!$G$1:$G$6635,AG250))</f>
        <v/>
      </c>
      <c r="AJ250" s="17" t="str">
        <f t="shared" si="3"/>
        <v/>
      </c>
    </row>
    <row r="251" spans="31:36">
      <c r="AE251" s="15" t="str">
        <f t="shared" si="0"/>
        <v/>
      </c>
      <c r="AF251" s="15" t="str">
        <f t="shared" si="1"/>
        <v/>
      </c>
      <c r="AG251" s="15" t="str">
        <f>IF(OR(AF251="",AF251="ERRO_CHAVE"),"",IFERROR(MATCH(AF251,'Quitados DUPP'!$U$1:$U$6635,0),""))</f>
        <v/>
      </c>
      <c r="AH251" s="15" t="str">
        <f t="shared" si="2"/>
        <v/>
      </c>
      <c r="AI251" s="17" t="str">
        <f>IF(AG251="","",INDEX('Quitados DUPP'!$G$1:$G$6635,AG251))</f>
        <v/>
      </c>
      <c r="AJ251" s="17" t="str">
        <f t="shared" si="3"/>
        <v/>
      </c>
    </row>
    <row r="252" spans="31:36">
      <c r="AE252" s="15" t="str">
        <f t="shared" si="0"/>
        <v/>
      </c>
      <c r="AF252" s="15" t="str">
        <f t="shared" si="1"/>
        <v/>
      </c>
      <c r="AG252" s="15" t="str">
        <f>IF(OR(AF252="",AF252="ERRO_CHAVE"),"",IFERROR(MATCH(AF252,'Quitados DUPP'!$U$1:$U$6635,0),""))</f>
        <v/>
      </c>
      <c r="AH252" s="15" t="str">
        <f t="shared" si="2"/>
        <v/>
      </c>
      <c r="AI252" s="17" t="str">
        <f>IF(AG252="","",INDEX('Quitados DUPP'!$G$1:$G$6635,AG252))</f>
        <v/>
      </c>
      <c r="AJ252" s="17" t="str">
        <f t="shared" si="3"/>
        <v/>
      </c>
    </row>
    <row r="253" spans="31:36">
      <c r="AE253" s="15" t="str">
        <f t="shared" si="0"/>
        <v/>
      </c>
      <c r="AF253" s="15" t="str">
        <f t="shared" si="1"/>
        <v/>
      </c>
      <c r="AG253" s="15" t="str">
        <f>IF(OR(AF253="",AF253="ERRO_CHAVE"),"",IFERROR(MATCH(AF253,'Quitados DUPP'!$U$1:$U$6635,0),""))</f>
        <v/>
      </c>
      <c r="AH253" s="15" t="str">
        <f t="shared" si="2"/>
        <v/>
      </c>
      <c r="AI253" s="17" t="str">
        <f>IF(AG253="","",INDEX('Quitados DUPP'!$G$1:$G$6635,AG253))</f>
        <v/>
      </c>
      <c r="AJ253" s="17" t="str">
        <f t="shared" si="3"/>
        <v/>
      </c>
    </row>
    <row r="254" spans="31:36">
      <c r="AE254" s="15" t="str">
        <f t="shared" si="0"/>
        <v/>
      </c>
      <c r="AF254" s="15" t="str">
        <f t="shared" si="1"/>
        <v/>
      </c>
      <c r="AG254" s="15" t="str">
        <f>IF(OR(AF254="",AF254="ERRO_CHAVE"),"",IFERROR(MATCH(AF254,'Quitados DUPP'!$U$1:$U$6635,0),""))</f>
        <v/>
      </c>
      <c r="AH254" s="15" t="str">
        <f t="shared" si="2"/>
        <v/>
      </c>
      <c r="AI254" s="17" t="str">
        <f>IF(AG254="","",INDEX('Quitados DUPP'!$G$1:$G$6635,AG254))</f>
        <v/>
      </c>
      <c r="AJ254" s="17" t="str">
        <f t="shared" si="3"/>
        <v/>
      </c>
    </row>
    <row r="255" spans="31:36">
      <c r="AE255" s="15" t="str">
        <f t="shared" si="0"/>
        <v/>
      </c>
      <c r="AF255" s="15" t="str">
        <f t="shared" si="1"/>
        <v/>
      </c>
      <c r="AG255" s="15" t="str">
        <f>IF(OR(AF255="",AF255="ERRO_CHAVE"),"",IFERROR(MATCH(AF255,'Quitados DUPP'!$U$1:$U$6635,0),""))</f>
        <v/>
      </c>
      <c r="AH255" s="15" t="str">
        <f t="shared" si="2"/>
        <v/>
      </c>
      <c r="AI255" s="17" t="str">
        <f>IF(AG255="","",INDEX('Quitados DUPP'!$G$1:$G$6635,AG255))</f>
        <v/>
      </c>
      <c r="AJ255" s="17" t="str">
        <f t="shared" si="3"/>
        <v/>
      </c>
    </row>
    <row r="256" spans="31:36">
      <c r="AE256" s="15" t="str">
        <f t="shared" si="0"/>
        <v/>
      </c>
      <c r="AF256" s="15" t="str">
        <f t="shared" si="1"/>
        <v/>
      </c>
      <c r="AG256" s="15" t="str">
        <f>IF(OR(AF256="",AF256="ERRO_CHAVE"),"",IFERROR(MATCH(AF256,'Quitados DUPP'!$U$1:$U$6635,0),""))</f>
        <v/>
      </c>
      <c r="AH256" s="15" t="str">
        <f t="shared" si="2"/>
        <v/>
      </c>
      <c r="AI256" s="17" t="str">
        <f>IF(AG256="","",INDEX('Quitados DUPP'!$G$1:$G$6635,AG256))</f>
        <v/>
      </c>
      <c r="AJ256" s="17" t="str">
        <f t="shared" si="3"/>
        <v/>
      </c>
    </row>
    <row r="257" spans="31:36">
      <c r="AE257" s="15" t="str">
        <f t="shared" si="0"/>
        <v/>
      </c>
      <c r="AF257" s="15" t="str">
        <f t="shared" si="1"/>
        <v/>
      </c>
      <c r="AG257" s="15" t="str">
        <f>IF(OR(AF257="",AF257="ERRO_CHAVE"),"",IFERROR(MATCH(AF257,'Quitados DUPP'!$U$1:$U$6635,0),""))</f>
        <v/>
      </c>
      <c r="AH257" s="15" t="str">
        <f t="shared" si="2"/>
        <v/>
      </c>
      <c r="AI257" s="17" t="str">
        <f>IF(AG257="","",INDEX('Quitados DUPP'!$G$1:$G$6635,AG257))</f>
        <v/>
      </c>
      <c r="AJ257" s="17" t="str">
        <f t="shared" si="3"/>
        <v/>
      </c>
    </row>
    <row r="258" spans="31:36">
      <c r="AE258" s="15" t="str">
        <f t="shared" si="0"/>
        <v/>
      </c>
      <c r="AF258" s="15" t="str">
        <f t="shared" si="1"/>
        <v/>
      </c>
      <c r="AG258" s="15" t="str">
        <f>IF(OR(AF258="",AF258="ERRO_CHAVE"),"",IFERROR(MATCH(AF258,'Quitados DUPP'!$U$1:$U$6635,0),""))</f>
        <v/>
      </c>
      <c r="AH258" s="15" t="str">
        <f t="shared" si="2"/>
        <v/>
      </c>
      <c r="AI258" s="17" t="str">
        <f>IF(AG258="","",INDEX('Quitados DUPP'!$G$1:$G$6635,AG258))</f>
        <v/>
      </c>
      <c r="AJ258" s="17" t="str">
        <f t="shared" si="3"/>
        <v/>
      </c>
    </row>
    <row r="259" spans="31:36">
      <c r="AE259" s="15" t="str">
        <f t="shared" si="0"/>
        <v/>
      </c>
      <c r="AF259" s="15" t="str">
        <f t="shared" si="1"/>
        <v/>
      </c>
      <c r="AG259" s="15" t="str">
        <f>IF(OR(AF259="",AF259="ERRO_CHAVE"),"",IFERROR(MATCH(AF259,'Quitados DUPP'!$U$1:$U$6635,0),""))</f>
        <v/>
      </c>
      <c r="AH259" s="15" t="str">
        <f t="shared" si="2"/>
        <v/>
      </c>
      <c r="AI259" s="17" t="str">
        <f>IF(AG259="","",INDEX('Quitados DUPP'!$G$1:$G$6635,AG259))</f>
        <v/>
      </c>
      <c r="AJ259" s="17" t="str">
        <f t="shared" si="3"/>
        <v/>
      </c>
    </row>
    <row r="260" spans="31:36">
      <c r="AE260" s="15" t="str">
        <f t="shared" si="0"/>
        <v/>
      </c>
      <c r="AF260" s="15" t="str">
        <f t="shared" si="1"/>
        <v/>
      </c>
      <c r="AG260" s="15" t="str">
        <f>IF(OR(AF260="",AF260="ERRO_CHAVE"),"",IFERROR(MATCH(AF260,'Quitados DUPP'!$U$1:$U$6635,0),""))</f>
        <v/>
      </c>
      <c r="AH260" s="15" t="str">
        <f t="shared" si="2"/>
        <v/>
      </c>
      <c r="AI260" s="17" t="str">
        <f>IF(AG260="","",INDEX('Quitados DUPP'!$G$1:$G$6635,AG260))</f>
        <v/>
      </c>
      <c r="AJ260" s="17" t="str">
        <f t="shared" si="3"/>
        <v/>
      </c>
    </row>
    <row r="261" spans="31:36">
      <c r="AE261" s="15" t="str">
        <f t="shared" si="0"/>
        <v/>
      </c>
      <c r="AF261" s="15" t="str">
        <f t="shared" si="1"/>
        <v/>
      </c>
      <c r="AG261" s="15" t="str">
        <f>IF(OR(AF261="",AF261="ERRO_CHAVE"),"",IFERROR(MATCH(AF261,'Quitados DUPP'!$U$1:$U$6635,0),""))</f>
        <v/>
      </c>
      <c r="AH261" s="15" t="str">
        <f t="shared" si="2"/>
        <v/>
      </c>
      <c r="AI261" s="17" t="str">
        <f>IF(AG261="","",INDEX('Quitados DUPP'!$G$1:$G$6635,AG261))</f>
        <v/>
      </c>
      <c r="AJ261" s="17" t="str">
        <f t="shared" si="3"/>
        <v/>
      </c>
    </row>
    <row r="262" spans="31:36">
      <c r="AE262" s="15" t="str">
        <f t="shared" si="0"/>
        <v/>
      </c>
      <c r="AF262" s="15" t="str">
        <f t="shared" si="1"/>
        <v/>
      </c>
      <c r="AG262" s="15" t="str">
        <f>IF(OR(AF262="",AF262="ERRO_CHAVE"),"",IFERROR(MATCH(AF262,'Quitados DUPP'!$U$1:$U$6635,0),""))</f>
        <v/>
      </c>
      <c r="AH262" s="15" t="str">
        <f t="shared" si="2"/>
        <v/>
      </c>
      <c r="AI262" s="17" t="str">
        <f>IF(AG262="","",INDEX('Quitados DUPP'!$G$1:$G$6635,AG262))</f>
        <v/>
      </c>
      <c r="AJ262" s="17" t="str">
        <f t="shared" si="3"/>
        <v/>
      </c>
    </row>
    <row r="263" spans="31:36">
      <c r="AE263" s="15" t="str">
        <f t="shared" si="0"/>
        <v/>
      </c>
      <c r="AF263" s="15" t="str">
        <f t="shared" si="1"/>
        <v/>
      </c>
      <c r="AG263" s="15" t="str">
        <f>IF(OR(AF263="",AF263="ERRO_CHAVE"),"",IFERROR(MATCH(AF263,'Quitados DUPP'!$U$1:$U$6635,0),""))</f>
        <v/>
      </c>
      <c r="AH263" s="15" t="str">
        <f t="shared" si="2"/>
        <v/>
      </c>
      <c r="AI263" s="17" t="str">
        <f>IF(AG263="","",INDEX('Quitados DUPP'!$G$1:$G$6635,AG263))</f>
        <v/>
      </c>
      <c r="AJ263" s="17" t="str">
        <f t="shared" si="3"/>
        <v/>
      </c>
    </row>
    <row r="264" spans="31:36">
      <c r="AE264" s="15" t="str">
        <f t="shared" si="0"/>
        <v/>
      </c>
      <c r="AF264" s="15" t="str">
        <f t="shared" si="1"/>
        <v/>
      </c>
      <c r="AG264" s="15" t="str">
        <f>IF(OR(AF264="",AF264="ERRO_CHAVE"),"",IFERROR(MATCH(AF264,'Quitados DUPP'!$U$1:$U$6635,0),""))</f>
        <v/>
      </c>
      <c r="AH264" s="15" t="str">
        <f t="shared" si="2"/>
        <v/>
      </c>
      <c r="AI264" s="17" t="str">
        <f>IF(AG264="","",INDEX('Quitados DUPP'!$G$1:$G$6635,AG264))</f>
        <v/>
      </c>
      <c r="AJ264" s="17" t="str">
        <f t="shared" si="3"/>
        <v/>
      </c>
    </row>
    <row r="265" spans="31:36">
      <c r="AE265" s="15" t="str">
        <f t="shared" si="0"/>
        <v/>
      </c>
      <c r="AF265" s="15" t="str">
        <f t="shared" si="1"/>
        <v/>
      </c>
      <c r="AG265" s="15" t="str">
        <f>IF(OR(AF265="",AF265="ERRO_CHAVE"),"",IFERROR(MATCH(AF265,'Quitados DUPP'!$U$1:$U$6635,0),""))</f>
        <v/>
      </c>
      <c r="AH265" s="15" t="str">
        <f t="shared" si="2"/>
        <v/>
      </c>
      <c r="AI265" s="17" t="str">
        <f>IF(AG265="","",INDEX('Quitados DUPP'!$G$1:$G$6635,AG265))</f>
        <v/>
      </c>
      <c r="AJ265" s="17" t="str">
        <f t="shared" si="3"/>
        <v/>
      </c>
    </row>
    <row r="266" spans="31:36">
      <c r="AE266" s="15" t="str">
        <f t="shared" si="0"/>
        <v/>
      </c>
      <c r="AF266" s="15" t="str">
        <f t="shared" si="1"/>
        <v/>
      </c>
      <c r="AG266" s="15" t="str">
        <f>IF(OR(AF266="",AF266="ERRO_CHAVE"),"",IFERROR(MATCH(AF266,'Quitados DUPP'!$U$1:$U$6635,0),""))</f>
        <v/>
      </c>
      <c r="AH266" s="15" t="str">
        <f t="shared" si="2"/>
        <v/>
      </c>
      <c r="AI266" s="17" t="str">
        <f>IF(AG266="","",INDEX('Quitados DUPP'!$G$1:$G$6635,AG266))</f>
        <v/>
      </c>
      <c r="AJ266" s="17" t="str">
        <f t="shared" si="3"/>
        <v/>
      </c>
    </row>
    <row r="267" spans="31:36">
      <c r="AE267" s="15" t="str">
        <f t="shared" si="0"/>
        <v/>
      </c>
      <c r="AF267" s="15" t="str">
        <f t="shared" si="1"/>
        <v/>
      </c>
      <c r="AG267" s="15" t="str">
        <f>IF(OR(AF267="",AF267="ERRO_CHAVE"),"",IFERROR(MATCH(AF267,'Quitados DUPP'!$U$1:$U$6635,0),""))</f>
        <v/>
      </c>
      <c r="AH267" s="15" t="str">
        <f t="shared" si="2"/>
        <v/>
      </c>
      <c r="AI267" s="17" t="str">
        <f>IF(AG267="","",INDEX('Quitados DUPP'!$G$1:$G$6635,AG267))</f>
        <v/>
      </c>
      <c r="AJ267" s="17" t="str">
        <f t="shared" si="3"/>
        <v/>
      </c>
    </row>
    <row r="268" spans="31:36">
      <c r="AE268" s="15" t="str">
        <f t="shared" si="0"/>
        <v/>
      </c>
      <c r="AF268" s="15" t="str">
        <f t="shared" si="1"/>
        <v/>
      </c>
      <c r="AG268" s="15" t="str">
        <f>IF(OR(AF268="",AF268="ERRO_CHAVE"),"",IFERROR(MATCH(AF268,'Quitados DUPP'!$U$1:$U$6635,0),""))</f>
        <v/>
      </c>
      <c r="AH268" s="15" t="str">
        <f t="shared" si="2"/>
        <v/>
      </c>
      <c r="AI268" s="17" t="str">
        <f>IF(AG268="","",INDEX('Quitados DUPP'!$G$1:$G$6635,AG268))</f>
        <v/>
      </c>
      <c r="AJ268" s="17" t="str">
        <f t="shared" si="3"/>
        <v/>
      </c>
    </row>
    <row r="269" spans="31:36">
      <c r="AE269" s="15" t="str">
        <f t="shared" si="0"/>
        <v/>
      </c>
      <c r="AF269" s="15" t="str">
        <f t="shared" si="1"/>
        <v/>
      </c>
      <c r="AG269" s="15" t="str">
        <f>IF(OR(AF269="",AF269="ERRO_CHAVE"),"",IFERROR(MATCH(AF269,'Quitados DUPP'!$U$1:$U$6635,0),""))</f>
        <v/>
      </c>
      <c r="AH269" s="15" t="str">
        <f t="shared" si="2"/>
        <v/>
      </c>
      <c r="AI269" s="17" t="str">
        <f>IF(AG269="","",INDEX('Quitados DUPP'!$G$1:$G$6635,AG269))</f>
        <v/>
      </c>
      <c r="AJ269" s="17" t="str">
        <f t="shared" si="3"/>
        <v/>
      </c>
    </row>
    <row r="270" spans="31:36">
      <c r="AE270" s="15" t="str">
        <f t="shared" si="0"/>
        <v/>
      </c>
      <c r="AF270" s="15" t="str">
        <f t="shared" si="1"/>
        <v/>
      </c>
      <c r="AG270" s="15" t="str">
        <f>IF(OR(AF270="",AF270="ERRO_CHAVE"),"",IFERROR(MATCH(AF270,'Quitados DUPP'!$U$1:$U$6635,0),""))</f>
        <v/>
      </c>
      <c r="AH270" s="15" t="str">
        <f t="shared" si="2"/>
        <v/>
      </c>
      <c r="AI270" s="17" t="str">
        <f>IF(AG270="","",INDEX('Quitados DUPP'!$G$1:$G$6635,AG270))</f>
        <v/>
      </c>
      <c r="AJ270" s="17" t="str">
        <f t="shared" si="3"/>
        <v/>
      </c>
    </row>
    <row r="271" spans="31:36">
      <c r="AE271" s="15" t="str">
        <f t="shared" si="0"/>
        <v/>
      </c>
      <c r="AF271" s="15" t="str">
        <f t="shared" si="1"/>
        <v/>
      </c>
      <c r="AG271" s="15" t="str">
        <f>IF(OR(AF271="",AF271="ERRO_CHAVE"),"",IFERROR(MATCH(AF271,'Quitados DUPP'!$U$1:$U$6635,0),""))</f>
        <v/>
      </c>
      <c r="AH271" s="15" t="str">
        <f t="shared" si="2"/>
        <v/>
      </c>
      <c r="AI271" s="17" t="str">
        <f>IF(AG271="","",INDEX('Quitados DUPP'!$G$1:$G$6635,AG271))</f>
        <v/>
      </c>
      <c r="AJ271" s="17" t="str">
        <f t="shared" si="3"/>
        <v/>
      </c>
    </row>
    <row r="272" spans="31:36">
      <c r="AE272" s="15" t="str">
        <f t="shared" si="0"/>
        <v/>
      </c>
      <c r="AF272" s="15" t="str">
        <f t="shared" si="1"/>
        <v/>
      </c>
      <c r="AG272" s="15" t="str">
        <f>IF(OR(AF272="",AF272="ERRO_CHAVE"),"",IFERROR(MATCH(AF272,'Quitados DUPP'!$U$1:$U$6635,0),""))</f>
        <v/>
      </c>
      <c r="AH272" s="15" t="str">
        <f t="shared" si="2"/>
        <v/>
      </c>
      <c r="AI272" s="17" t="str">
        <f>IF(AG272="","",INDEX('Quitados DUPP'!$G$1:$G$6635,AG272))</f>
        <v/>
      </c>
      <c r="AJ272" s="17" t="str">
        <f t="shared" si="3"/>
        <v/>
      </c>
    </row>
    <row r="273" spans="31:36">
      <c r="AE273" s="15" t="str">
        <f t="shared" si="0"/>
        <v/>
      </c>
      <c r="AF273" s="15" t="str">
        <f t="shared" si="1"/>
        <v/>
      </c>
      <c r="AG273" s="15" t="str">
        <f>IF(OR(AF273="",AF273="ERRO_CHAVE"),"",IFERROR(MATCH(AF273,'Quitados DUPP'!$U$1:$U$6635,0),""))</f>
        <v/>
      </c>
      <c r="AH273" s="15" t="str">
        <f t="shared" si="2"/>
        <v/>
      </c>
      <c r="AI273" s="17" t="str">
        <f>IF(AG273="","",INDEX('Quitados DUPP'!$G$1:$G$6635,AG273))</f>
        <v/>
      </c>
      <c r="AJ273" s="17" t="str">
        <f t="shared" si="3"/>
        <v/>
      </c>
    </row>
    <row r="274" spans="31:36">
      <c r="AE274" s="15" t="str">
        <f t="shared" si="0"/>
        <v/>
      </c>
      <c r="AF274" s="15" t="str">
        <f t="shared" si="1"/>
        <v/>
      </c>
      <c r="AG274" s="15" t="str">
        <f>IF(OR(AF274="",AF274="ERRO_CHAVE"),"",IFERROR(MATCH(AF274,'Quitados DUPP'!$U$1:$U$6635,0),""))</f>
        <v/>
      </c>
      <c r="AH274" s="15" t="str">
        <f t="shared" si="2"/>
        <v/>
      </c>
      <c r="AI274" s="17" t="str">
        <f>IF(AG274="","",INDEX('Quitados DUPP'!$G$1:$G$6635,AG274))</f>
        <v/>
      </c>
      <c r="AJ274" s="17" t="str">
        <f t="shared" si="3"/>
        <v/>
      </c>
    </row>
    <row r="275" spans="31:36">
      <c r="AE275" s="15" t="str">
        <f t="shared" si="0"/>
        <v/>
      </c>
      <c r="AF275" s="15" t="str">
        <f t="shared" si="1"/>
        <v/>
      </c>
      <c r="AG275" s="15" t="str">
        <f>IF(OR(AF275="",AF275="ERRO_CHAVE"),"",IFERROR(MATCH(AF275,'Quitados DUPP'!$U$1:$U$6635,0),""))</f>
        <v/>
      </c>
      <c r="AH275" s="15" t="str">
        <f t="shared" si="2"/>
        <v/>
      </c>
      <c r="AI275" s="17" t="str">
        <f>IF(AG275="","",INDEX('Quitados DUPP'!$G$1:$G$6635,AG275))</f>
        <v/>
      </c>
      <c r="AJ275" s="17" t="str">
        <f t="shared" si="3"/>
        <v/>
      </c>
    </row>
    <row r="276" spans="31:36">
      <c r="AE276" s="15" t="str">
        <f t="shared" si="0"/>
        <v/>
      </c>
      <c r="AF276" s="15" t="str">
        <f t="shared" si="1"/>
        <v/>
      </c>
      <c r="AG276" s="15" t="str">
        <f>IF(OR(AF276="",AF276="ERRO_CHAVE"),"",IFERROR(MATCH(AF276,'Quitados DUPP'!$U$1:$U$6635,0),""))</f>
        <v/>
      </c>
      <c r="AH276" s="15" t="str">
        <f t="shared" si="2"/>
        <v/>
      </c>
      <c r="AI276" s="17" t="str">
        <f>IF(AG276="","",INDEX('Quitados DUPP'!$G$1:$G$6635,AG276))</f>
        <v/>
      </c>
      <c r="AJ276" s="17" t="str">
        <f t="shared" si="3"/>
        <v/>
      </c>
    </row>
    <row r="277" spans="31:36">
      <c r="AE277" s="15" t="str">
        <f t="shared" si="0"/>
        <v/>
      </c>
      <c r="AF277" s="15" t="str">
        <f t="shared" si="1"/>
        <v/>
      </c>
      <c r="AG277" s="15" t="str">
        <f>IF(OR(AF277="",AF277="ERRO_CHAVE"),"",IFERROR(MATCH(AF277,'Quitados DUPP'!$U$1:$U$6635,0),""))</f>
        <v/>
      </c>
      <c r="AH277" s="15" t="str">
        <f t="shared" si="2"/>
        <v/>
      </c>
      <c r="AI277" s="17" t="str">
        <f>IF(AG277="","",INDEX('Quitados DUPP'!$G$1:$G$6635,AG277))</f>
        <v/>
      </c>
      <c r="AJ277" s="17" t="str">
        <f t="shared" si="3"/>
        <v/>
      </c>
    </row>
    <row r="278" spans="31:36">
      <c r="AE278" s="15" t="str">
        <f t="shared" si="0"/>
        <v/>
      </c>
      <c r="AF278" s="15" t="str">
        <f t="shared" si="1"/>
        <v/>
      </c>
      <c r="AG278" s="15" t="str">
        <f>IF(OR(AF278="",AF278="ERRO_CHAVE"),"",IFERROR(MATCH(AF278,'Quitados DUPP'!$U$1:$U$6635,0),""))</f>
        <v/>
      </c>
      <c r="AH278" s="15" t="str">
        <f t="shared" si="2"/>
        <v/>
      </c>
      <c r="AI278" s="17" t="str">
        <f>IF(AG278="","",INDEX('Quitados DUPP'!$G$1:$G$6635,AG278))</f>
        <v/>
      </c>
      <c r="AJ278" s="17" t="str">
        <f t="shared" si="3"/>
        <v/>
      </c>
    </row>
    <row r="279" spans="31:36">
      <c r="AE279" s="15" t="str">
        <f t="shared" si="0"/>
        <v/>
      </c>
      <c r="AF279" s="15" t="str">
        <f t="shared" si="1"/>
        <v/>
      </c>
      <c r="AG279" s="15" t="str">
        <f>IF(OR(AF279="",AF279="ERRO_CHAVE"),"",IFERROR(MATCH(AF279,'Quitados DUPP'!$U$1:$U$6635,0),""))</f>
        <v/>
      </c>
      <c r="AH279" s="15" t="str">
        <f t="shared" si="2"/>
        <v/>
      </c>
      <c r="AI279" s="17" t="str">
        <f>IF(AG279="","",INDEX('Quitados DUPP'!$G$1:$G$6635,AG279))</f>
        <v/>
      </c>
      <c r="AJ279" s="17" t="str">
        <f t="shared" si="3"/>
        <v/>
      </c>
    </row>
    <row r="280" spans="31:36">
      <c r="AE280" s="15" t="str">
        <f t="shared" si="0"/>
        <v/>
      </c>
      <c r="AF280" s="15" t="str">
        <f t="shared" si="1"/>
        <v/>
      </c>
      <c r="AG280" s="15" t="str">
        <f>IF(OR(AF280="",AF280="ERRO_CHAVE"),"",IFERROR(MATCH(AF280,'Quitados DUPP'!$U$1:$U$6635,0),""))</f>
        <v/>
      </c>
      <c r="AH280" s="15" t="str">
        <f t="shared" si="2"/>
        <v/>
      </c>
      <c r="AI280" s="17" t="str">
        <f>IF(AG280="","",INDEX('Quitados DUPP'!$G$1:$G$6635,AG280))</f>
        <v/>
      </c>
      <c r="AJ280" s="17" t="str">
        <f t="shared" si="3"/>
        <v/>
      </c>
    </row>
    <row r="281" spans="31:36">
      <c r="AE281" s="15" t="str">
        <f t="shared" si="0"/>
        <v/>
      </c>
      <c r="AF281" s="15" t="str">
        <f t="shared" si="1"/>
        <v/>
      </c>
      <c r="AG281" s="15" t="str">
        <f>IF(OR(AF281="",AF281="ERRO_CHAVE"),"",IFERROR(MATCH(AF281,'Quitados DUPP'!$U$1:$U$6635,0),""))</f>
        <v/>
      </c>
      <c r="AH281" s="15" t="str">
        <f t="shared" si="2"/>
        <v/>
      </c>
      <c r="AI281" s="17" t="str">
        <f>IF(AG281="","",INDEX('Quitados DUPP'!$G$1:$G$6635,AG281))</f>
        <v/>
      </c>
      <c r="AJ281" s="17" t="str">
        <f t="shared" si="3"/>
        <v/>
      </c>
    </row>
    <row r="282" spans="31:36">
      <c r="AE282" s="15" t="str">
        <f t="shared" si="0"/>
        <v/>
      </c>
      <c r="AF282" s="15" t="str">
        <f t="shared" si="1"/>
        <v/>
      </c>
      <c r="AG282" s="15" t="str">
        <f>IF(OR(AF282="",AF282="ERRO_CHAVE"),"",IFERROR(MATCH(AF282,'Quitados DUPP'!$U$1:$U$6635,0),""))</f>
        <v/>
      </c>
      <c r="AH282" s="15" t="str">
        <f t="shared" si="2"/>
        <v/>
      </c>
      <c r="AI282" s="17" t="str">
        <f>IF(AG282="","",INDEX('Quitados DUPP'!$G$1:$G$6635,AG282))</f>
        <v/>
      </c>
      <c r="AJ282" s="17" t="str">
        <f t="shared" si="3"/>
        <v/>
      </c>
    </row>
    <row r="283" spans="31:36">
      <c r="AE283" s="15" t="str">
        <f t="shared" si="0"/>
        <v/>
      </c>
      <c r="AF283" s="15" t="str">
        <f t="shared" si="1"/>
        <v/>
      </c>
      <c r="AG283" s="15" t="str">
        <f>IF(OR(AF283="",AF283="ERRO_CHAVE"),"",IFERROR(MATCH(AF283,'Quitados DUPP'!$U$1:$U$6635,0),""))</f>
        <v/>
      </c>
      <c r="AH283" s="15" t="str">
        <f t="shared" si="2"/>
        <v/>
      </c>
      <c r="AI283" s="17" t="str">
        <f>IF(AG283="","",INDEX('Quitados DUPP'!$G$1:$G$6635,AG283))</f>
        <v/>
      </c>
      <c r="AJ283" s="17" t="str">
        <f t="shared" si="3"/>
        <v/>
      </c>
    </row>
    <row r="284" spans="31:36">
      <c r="AE284" s="15" t="str">
        <f t="shared" si="0"/>
        <v/>
      </c>
      <c r="AF284" s="15" t="str">
        <f t="shared" si="1"/>
        <v/>
      </c>
      <c r="AG284" s="15" t="str">
        <f>IF(OR(AF284="",AF284="ERRO_CHAVE"),"",IFERROR(MATCH(AF284,'Quitados DUPP'!$U$1:$U$6635,0),""))</f>
        <v/>
      </c>
      <c r="AH284" s="15" t="str">
        <f t="shared" si="2"/>
        <v/>
      </c>
      <c r="AI284" s="17" t="str">
        <f>IF(AG284="","",INDEX('Quitados DUPP'!$G$1:$G$6635,AG284))</f>
        <v/>
      </c>
      <c r="AJ284" s="17" t="str">
        <f t="shared" si="3"/>
        <v/>
      </c>
    </row>
    <row r="285" spans="31:36">
      <c r="AE285" s="15" t="str">
        <f t="shared" si="0"/>
        <v/>
      </c>
      <c r="AF285" s="15" t="str">
        <f t="shared" si="1"/>
        <v/>
      </c>
      <c r="AG285" s="15" t="str">
        <f>IF(OR(AF285="",AF285="ERRO_CHAVE"),"",IFERROR(MATCH(AF285,'Quitados DUPP'!$U$1:$U$6635,0),""))</f>
        <v/>
      </c>
      <c r="AH285" s="15" t="str">
        <f t="shared" si="2"/>
        <v/>
      </c>
      <c r="AI285" s="17" t="str">
        <f>IF(AG285="","",INDEX('Quitados DUPP'!$G$1:$G$6635,AG285))</f>
        <v/>
      </c>
      <c r="AJ285" s="17" t="str">
        <f t="shared" si="3"/>
        <v/>
      </c>
    </row>
    <row r="286" spans="31:36">
      <c r="AE286" s="15" t="str">
        <f t="shared" si="0"/>
        <v/>
      </c>
      <c r="AF286" s="15" t="str">
        <f t="shared" si="1"/>
        <v/>
      </c>
      <c r="AG286" s="15" t="str">
        <f>IF(OR(AF286="",AF286="ERRO_CHAVE"),"",IFERROR(MATCH(AF286,'Quitados DUPP'!$U$1:$U$6635,0),""))</f>
        <v/>
      </c>
      <c r="AH286" s="15" t="str">
        <f t="shared" si="2"/>
        <v/>
      </c>
      <c r="AI286" s="17" t="str">
        <f>IF(AG286="","",INDEX('Quitados DUPP'!$G$1:$G$6635,AG286))</f>
        <v/>
      </c>
      <c r="AJ286" s="17" t="str">
        <f t="shared" si="3"/>
        <v/>
      </c>
    </row>
    <row r="287" spans="31:36">
      <c r="AE287" s="15" t="str">
        <f t="shared" si="0"/>
        <v/>
      </c>
      <c r="AF287" s="15" t="str">
        <f t="shared" si="1"/>
        <v/>
      </c>
      <c r="AG287" s="15" t="str">
        <f>IF(OR(AF287="",AF287="ERRO_CHAVE"),"",IFERROR(MATCH(AF287,'Quitados DUPP'!$U$1:$U$6635,0),""))</f>
        <v/>
      </c>
      <c r="AH287" s="15" t="str">
        <f t="shared" si="2"/>
        <v/>
      </c>
      <c r="AI287" s="17" t="str">
        <f>IF(AG287="","",INDEX('Quitados DUPP'!$G$1:$G$6635,AG287))</f>
        <v/>
      </c>
      <c r="AJ287" s="17" t="str">
        <f t="shared" si="3"/>
        <v/>
      </c>
    </row>
    <row r="288" spans="31:36">
      <c r="AE288" s="15" t="str">
        <f t="shared" si="0"/>
        <v/>
      </c>
      <c r="AF288" s="15" t="str">
        <f t="shared" si="1"/>
        <v/>
      </c>
      <c r="AG288" s="15" t="str">
        <f>IF(OR(AF288="",AF288="ERRO_CHAVE"),"",IFERROR(MATCH(AF288,'Quitados DUPP'!$U$1:$U$6635,0),""))</f>
        <v/>
      </c>
      <c r="AH288" s="15" t="str">
        <f t="shared" si="2"/>
        <v/>
      </c>
      <c r="AI288" s="17" t="str">
        <f>IF(AG288="","",INDEX('Quitados DUPP'!$G$1:$G$6635,AG288))</f>
        <v/>
      </c>
      <c r="AJ288" s="17" t="str">
        <f t="shared" si="3"/>
        <v/>
      </c>
    </row>
    <row r="289" spans="31:36">
      <c r="AE289" s="15" t="str">
        <f t="shared" si="0"/>
        <v/>
      </c>
      <c r="AF289" s="15" t="str">
        <f t="shared" si="1"/>
        <v/>
      </c>
      <c r="AG289" s="15" t="str">
        <f>IF(OR(AF289="",AF289="ERRO_CHAVE"),"",IFERROR(MATCH(AF289,'Quitados DUPP'!$U$1:$U$6635,0),""))</f>
        <v/>
      </c>
      <c r="AH289" s="15" t="str">
        <f t="shared" si="2"/>
        <v/>
      </c>
      <c r="AI289" s="17" t="str">
        <f>IF(AG289="","",INDEX('Quitados DUPP'!$G$1:$G$6635,AG289))</f>
        <v/>
      </c>
      <c r="AJ289" s="17" t="str">
        <f t="shared" si="3"/>
        <v/>
      </c>
    </row>
    <row r="290" spans="31:36">
      <c r="AE290" s="15" t="str">
        <f t="shared" si="0"/>
        <v/>
      </c>
      <c r="AF290" s="15" t="str">
        <f t="shared" si="1"/>
        <v/>
      </c>
      <c r="AG290" s="15" t="str">
        <f>IF(OR(AF290="",AF290="ERRO_CHAVE"),"",IFERROR(MATCH(AF290,'Quitados DUPP'!$U$1:$U$6635,0),""))</f>
        <v/>
      </c>
      <c r="AH290" s="15" t="str">
        <f t="shared" si="2"/>
        <v/>
      </c>
      <c r="AI290" s="17" t="str">
        <f>IF(AG290="","",INDEX('Quitados DUPP'!$G$1:$G$6635,AG290))</f>
        <v/>
      </c>
      <c r="AJ290" s="17" t="str">
        <f t="shared" si="3"/>
        <v/>
      </c>
    </row>
    <row r="291" spans="31:36">
      <c r="AE291" s="15" t="str">
        <f t="shared" si="0"/>
        <v/>
      </c>
      <c r="AF291" s="15" t="str">
        <f t="shared" si="1"/>
        <v/>
      </c>
      <c r="AG291" s="15" t="str">
        <f>IF(OR(AF291="",AF291="ERRO_CHAVE"),"",IFERROR(MATCH(AF291,'Quitados DUPP'!$U$1:$U$6635,0),""))</f>
        <v/>
      </c>
      <c r="AH291" s="15" t="str">
        <f t="shared" si="2"/>
        <v/>
      </c>
      <c r="AI291" s="17" t="str">
        <f>IF(AG291="","",INDEX('Quitados DUPP'!$G$1:$G$6635,AG291))</f>
        <v/>
      </c>
      <c r="AJ291" s="17" t="str">
        <f t="shared" si="3"/>
        <v/>
      </c>
    </row>
    <row r="292" spans="31:36">
      <c r="AE292" s="15" t="str">
        <f t="shared" si="0"/>
        <v/>
      </c>
      <c r="AF292" s="15" t="str">
        <f t="shared" si="1"/>
        <v/>
      </c>
      <c r="AG292" s="15" t="str">
        <f>IF(OR(AF292="",AF292="ERRO_CHAVE"),"",IFERROR(MATCH(AF292,'Quitados DUPP'!$U$1:$U$6635,0),""))</f>
        <v/>
      </c>
      <c r="AH292" s="15" t="str">
        <f t="shared" si="2"/>
        <v/>
      </c>
      <c r="AI292" s="17" t="str">
        <f>IF(AG292="","",INDEX('Quitados DUPP'!$G$1:$G$6635,AG292))</f>
        <v/>
      </c>
      <c r="AJ292" s="17" t="str">
        <f t="shared" si="3"/>
        <v/>
      </c>
    </row>
    <row r="293" spans="31:36">
      <c r="AE293" s="15" t="str">
        <f t="shared" si="0"/>
        <v/>
      </c>
      <c r="AF293" s="15" t="str">
        <f t="shared" si="1"/>
        <v/>
      </c>
      <c r="AG293" s="15" t="str">
        <f>IF(OR(AF293="",AF293="ERRO_CHAVE"),"",IFERROR(MATCH(AF293,'Quitados DUPP'!$U$1:$U$6635,0),""))</f>
        <v/>
      </c>
      <c r="AH293" s="15" t="str">
        <f t="shared" si="2"/>
        <v/>
      </c>
      <c r="AI293" s="17" t="str">
        <f>IF(AG293="","",INDEX('Quitados DUPP'!$G$1:$G$6635,AG293))</f>
        <v/>
      </c>
      <c r="AJ293" s="17" t="str">
        <f t="shared" si="3"/>
        <v/>
      </c>
    </row>
    <row r="294" spans="31:36">
      <c r="AE294" s="15" t="str">
        <f t="shared" si="0"/>
        <v/>
      </c>
      <c r="AF294" s="15" t="str">
        <f t="shared" si="1"/>
        <v/>
      </c>
      <c r="AG294" s="15" t="str">
        <f>IF(OR(AF294="",AF294="ERRO_CHAVE"),"",IFERROR(MATCH(AF294,'Quitados DUPP'!$U$1:$U$6635,0),""))</f>
        <v/>
      </c>
      <c r="AH294" s="15" t="str">
        <f t="shared" si="2"/>
        <v/>
      </c>
      <c r="AI294" s="17" t="str">
        <f>IF(AG294="","",INDEX('Quitados DUPP'!$G$1:$G$6635,AG294))</f>
        <v/>
      </c>
      <c r="AJ294" s="17" t="str">
        <f t="shared" si="3"/>
        <v/>
      </c>
    </row>
    <row r="295" spans="31:36">
      <c r="AE295" s="15" t="str">
        <f t="shared" si="0"/>
        <v/>
      </c>
      <c r="AF295" s="15" t="str">
        <f t="shared" si="1"/>
        <v/>
      </c>
      <c r="AG295" s="15" t="str">
        <f>IF(OR(AF295="",AF295="ERRO_CHAVE"),"",IFERROR(MATCH(AF295,'Quitados DUPP'!$U$1:$U$6635,0),""))</f>
        <v/>
      </c>
      <c r="AH295" s="15" t="str">
        <f t="shared" si="2"/>
        <v/>
      </c>
      <c r="AI295" s="17" t="str">
        <f>IF(AG295="","",INDEX('Quitados DUPP'!$G$1:$G$6635,AG295))</f>
        <v/>
      </c>
      <c r="AJ295" s="17" t="str">
        <f t="shared" si="3"/>
        <v/>
      </c>
    </row>
    <row r="296" spans="31:36">
      <c r="AE296" s="15" t="str">
        <f t="shared" si="0"/>
        <v/>
      </c>
      <c r="AF296" s="15" t="str">
        <f t="shared" si="1"/>
        <v/>
      </c>
      <c r="AG296" s="15" t="str">
        <f>IF(OR(AF296="",AF296="ERRO_CHAVE"),"",IFERROR(MATCH(AF296,'Quitados DUPP'!$U$1:$U$6635,0),""))</f>
        <v/>
      </c>
      <c r="AH296" s="15" t="str">
        <f t="shared" si="2"/>
        <v/>
      </c>
      <c r="AI296" s="17" t="str">
        <f>IF(AG296="","",INDEX('Quitados DUPP'!$G$1:$G$6635,AG296))</f>
        <v/>
      </c>
      <c r="AJ296" s="17" t="str">
        <f t="shared" si="3"/>
        <v/>
      </c>
    </row>
    <row r="297" spans="31:36">
      <c r="AE297" s="15" t="str">
        <f t="shared" si="0"/>
        <v/>
      </c>
      <c r="AF297" s="15" t="str">
        <f t="shared" si="1"/>
        <v/>
      </c>
      <c r="AG297" s="15" t="str">
        <f>IF(OR(AF297="",AF297="ERRO_CHAVE"),"",IFERROR(MATCH(AF297,'Quitados DUPP'!$U$1:$U$6635,0),""))</f>
        <v/>
      </c>
      <c r="AH297" s="15" t="str">
        <f t="shared" si="2"/>
        <v/>
      </c>
      <c r="AI297" s="17" t="str">
        <f>IF(AG297="","",INDEX('Quitados DUPP'!$G$1:$G$6635,AG297))</f>
        <v/>
      </c>
      <c r="AJ297" s="17" t="str">
        <f t="shared" si="3"/>
        <v/>
      </c>
    </row>
    <row r="298" spans="31:36">
      <c r="AE298" s="15" t="str">
        <f t="shared" si="0"/>
        <v/>
      </c>
      <c r="AF298" s="15" t="str">
        <f t="shared" si="1"/>
        <v/>
      </c>
      <c r="AG298" s="15" t="str">
        <f>IF(OR(AF298="",AF298="ERRO_CHAVE"),"",IFERROR(MATCH(AF298,'Quitados DUPP'!$U$1:$U$6635,0),""))</f>
        <v/>
      </c>
      <c r="AH298" s="15" t="str">
        <f t="shared" si="2"/>
        <v/>
      </c>
      <c r="AI298" s="17" t="str">
        <f>IF(AG298="","",INDEX('Quitados DUPP'!$G$1:$G$6635,AG298))</f>
        <v/>
      </c>
      <c r="AJ298" s="17" t="str">
        <f t="shared" si="3"/>
        <v/>
      </c>
    </row>
    <row r="299" spans="31:36">
      <c r="AE299" s="15" t="str">
        <f t="shared" si="0"/>
        <v/>
      </c>
      <c r="AF299" s="15" t="str">
        <f t="shared" si="1"/>
        <v/>
      </c>
      <c r="AG299" s="15" t="str">
        <f>IF(OR(AF299="",AF299="ERRO_CHAVE"),"",IFERROR(MATCH(AF299,'Quitados DUPP'!$U$1:$U$6635,0),""))</f>
        <v/>
      </c>
      <c r="AH299" s="15" t="str">
        <f t="shared" si="2"/>
        <v/>
      </c>
      <c r="AI299" s="17" t="str">
        <f>IF(AG299="","",INDEX('Quitados DUPP'!$G$1:$G$6635,AG299))</f>
        <v/>
      </c>
      <c r="AJ299" s="17" t="str">
        <f t="shared" si="3"/>
        <v/>
      </c>
    </row>
    <row r="300" spans="31:36">
      <c r="AE300" s="15" t="str">
        <f t="shared" si="0"/>
        <v/>
      </c>
      <c r="AF300" s="15" t="str">
        <f t="shared" si="1"/>
        <v/>
      </c>
      <c r="AG300" s="15" t="str">
        <f>IF(OR(AF300="",AF300="ERRO_CHAVE"),"",IFERROR(MATCH(AF300,'Quitados DUPP'!$U$1:$U$6635,0),""))</f>
        <v/>
      </c>
      <c r="AH300" s="15" t="str">
        <f t="shared" si="2"/>
        <v/>
      </c>
      <c r="AI300" s="17" t="str">
        <f>IF(AG300="","",INDEX('Quitados DUPP'!$G$1:$G$6635,AG300))</f>
        <v/>
      </c>
      <c r="AJ300" s="17" t="str">
        <f t="shared" si="3"/>
        <v/>
      </c>
    </row>
    <row r="301" spans="31:36">
      <c r="AE301" s="15" t="str">
        <f t="shared" si="0"/>
        <v/>
      </c>
      <c r="AF301" s="15" t="str">
        <f t="shared" si="1"/>
        <v/>
      </c>
      <c r="AG301" s="15" t="str">
        <f>IF(OR(AF301="",AF301="ERRO_CHAVE"),"",IFERROR(MATCH(AF301,'Quitados DUPP'!$U$1:$U$6635,0),""))</f>
        <v/>
      </c>
      <c r="AH301" s="15" t="str">
        <f t="shared" si="2"/>
        <v/>
      </c>
      <c r="AI301" s="17" t="str">
        <f>IF(AG301="","",INDEX('Quitados DUPP'!$G$1:$G$6635,AG301))</f>
        <v/>
      </c>
      <c r="AJ301" s="17" t="str">
        <f t="shared" si="3"/>
        <v/>
      </c>
    </row>
    <row r="302" spans="31:36">
      <c r="AE302" s="15" t="str">
        <f t="shared" si="0"/>
        <v/>
      </c>
      <c r="AF302" s="15" t="str">
        <f t="shared" si="1"/>
        <v/>
      </c>
      <c r="AG302" s="15" t="str">
        <f>IF(OR(AF302="",AF302="ERRO_CHAVE"),"",IFERROR(MATCH(AF302,'Quitados DUPP'!$U$1:$U$6635,0),""))</f>
        <v/>
      </c>
      <c r="AH302" s="15" t="str">
        <f t="shared" si="2"/>
        <v/>
      </c>
      <c r="AI302" s="17" t="str">
        <f>IF(AG302="","",INDEX('Quitados DUPP'!$G$1:$G$6635,AG302))</f>
        <v/>
      </c>
      <c r="AJ302" s="17" t="str">
        <f t="shared" si="3"/>
        <v/>
      </c>
    </row>
    <row r="303" spans="31:36">
      <c r="AE303" s="15" t="str">
        <f t="shared" si="0"/>
        <v/>
      </c>
      <c r="AF303" s="15" t="str">
        <f t="shared" si="1"/>
        <v/>
      </c>
      <c r="AG303" s="15" t="str">
        <f>IF(OR(AF303="",AF303="ERRO_CHAVE"),"",IFERROR(MATCH(AF303,'Quitados DUPP'!$U$1:$U$6635,0),""))</f>
        <v/>
      </c>
      <c r="AH303" s="15" t="str">
        <f t="shared" si="2"/>
        <v/>
      </c>
      <c r="AI303" s="17" t="str">
        <f>IF(AG303="","",INDEX('Quitados DUPP'!$G$1:$G$6635,AG303))</f>
        <v/>
      </c>
      <c r="AJ303" s="17" t="str">
        <f t="shared" si="3"/>
        <v/>
      </c>
    </row>
    <row r="304" spans="31:36">
      <c r="AE304" s="15" t="str">
        <f t="shared" si="0"/>
        <v/>
      </c>
      <c r="AF304" s="15" t="str">
        <f t="shared" si="1"/>
        <v/>
      </c>
      <c r="AG304" s="15" t="str">
        <f>IF(OR(AF304="",AF304="ERRO_CHAVE"),"",IFERROR(MATCH(AF304,'Quitados DUPP'!$U$1:$U$6635,0),""))</f>
        <v/>
      </c>
      <c r="AH304" s="15" t="str">
        <f t="shared" si="2"/>
        <v/>
      </c>
      <c r="AI304" s="17" t="str">
        <f>IF(AG304="","",INDEX('Quitados DUPP'!$G$1:$G$6635,AG304))</f>
        <v/>
      </c>
      <c r="AJ304" s="17" t="str">
        <f t="shared" si="3"/>
        <v/>
      </c>
    </row>
    <row r="305" spans="31:36">
      <c r="AE305" s="15" t="str">
        <f t="shared" si="0"/>
        <v/>
      </c>
      <c r="AF305" s="15" t="str">
        <f t="shared" si="1"/>
        <v/>
      </c>
      <c r="AG305" s="15" t="str">
        <f>IF(OR(AF305="",AF305="ERRO_CHAVE"),"",IFERROR(MATCH(AF305,'Quitados DUPP'!$U$1:$U$6635,0),""))</f>
        <v/>
      </c>
      <c r="AH305" s="15" t="str">
        <f t="shared" si="2"/>
        <v/>
      </c>
      <c r="AI305" s="17" t="str">
        <f>IF(AG305="","",INDEX('Quitados DUPP'!$G$1:$G$6635,AG305))</f>
        <v/>
      </c>
      <c r="AJ305" s="17" t="str">
        <f t="shared" si="3"/>
        <v/>
      </c>
    </row>
    <row r="306" spans="31:36">
      <c r="AE306" s="15" t="str">
        <f t="shared" si="0"/>
        <v/>
      </c>
      <c r="AF306" s="15" t="str">
        <f t="shared" si="1"/>
        <v/>
      </c>
      <c r="AG306" s="15" t="str">
        <f>IF(OR(AF306="",AF306="ERRO_CHAVE"),"",IFERROR(MATCH(AF306,'Quitados DUPP'!$U$1:$U$6635,0),""))</f>
        <v/>
      </c>
      <c r="AH306" s="15" t="str">
        <f t="shared" si="2"/>
        <v/>
      </c>
      <c r="AI306" s="17" t="str">
        <f>IF(AG306="","",INDEX('Quitados DUPP'!$G$1:$G$6635,AG306))</f>
        <v/>
      </c>
      <c r="AJ306" s="17" t="str">
        <f t="shared" si="3"/>
        <v/>
      </c>
    </row>
    <row r="307" spans="31:36">
      <c r="AE307" s="15" t="str">
        <f t="shared" si="0"/>
        <v/>
      </c>
      <c r="AF307" s="15" t="str">
        <f t="shared" si="1"/>
        <v/>
      </c>
      <c r="AG307" s="15" t="str">
        <f>IF(OR(AF307="",AF307="ERRO_CHAVE"),"",IFERROR(MATCH(AF307,'Quitados DUPP'!$U$1:$U$6635,0),""))</f>
        <v/>
      </c>
      <c r="AH307" s="15" t="str">
        <f t="shared" si="2"/>
        <v/>
      </c>
      <c r="AI307" s="17" t="str">
        <f>IF(AG307="","",INDEX('Quitados DUPP'!$G$1:$G$6635,AG307))</f>
        <v/>
      </c>
      <c r="AJ307" s="17" t="str">
        <f t="shared" si="3"/>
        <v/>
      </c>
    </row>
    <row r="308" spans="31:36">
      <c r="AE308" s="15" t="str">
        <f t="shared" si="0"/>
        <v/>
      </c>
      <c r="AF308" s="15" t="str">
        <f t="shared" si="1"/>
        <v/>
      </c>
      <c r="AG308" s="15" t="str">
        <f>IF(OR(AF308="",AF308="ERRO_CHAVE"),"",IFERROR(MATCH(AF308,'Quitados DUPP'!$U$1:$U$6635,0),""))</f>
        <v/>
      </c>
      <c r="AH308" s="15" t="str">
        <f t="shared" si="2"/>
        <v/>
      </c>
      <c r="AI308" s="17" t="str">
        <f>IF(AG308="","",INDEX('Quitados DUPP'!$G$1:$G$6635,AG308))</f>
        <v/>
      </c>
      <c r="AJ308" s="17" t="str">
        <f t="shared" si="3"/>
        <v/>
      </c>
    </row>
    <row r="309" spans="31:36">
      <c r="AE309" s="15" t="str">
        <f t="shared" si="0"/>
        <v/>
      </c>
      <c r="AF309" s="15" t="str">
        <f t="shared" si="1"/>
        <v/>
      </c>
      <c r="AG309" s="15" t="str">
        <f>IF(OR(AF309="",AF309="ERRO_CHAVE"),"",IFERROR(MATCH(AF309,'Quitados DUPP'!$U$1:$U$6635,0),""))</f>
        <v/>
      </c>
      <c r="AH309" s="15" t="str">
        <f t="shared" si="2"/>
        <v/>
      </c>
      <c r="AI309" s="17" t="str">
        <f>IF(AG309="","",INDEX('Quitados DUPP'!$G$1:$G$6635,AG309))</f>
        <v/>
      </c>
      <c r="AJ309" s="17" t="str">
        <f t="shared" si="3"/>
        <v/>
      </c>
    </row>
    <row r="310" spans="31:36">
      <c r="AE310" s="15" t="str">
        <f t="shared" si="0"/>
        <v/>
      </c>
      <c r="AF310" s="15" t="str">
        <f t="shared" si="1"/>
        <v/>
      </c>
      <c r="AG310" s="15" t="str">
        <f>IF(OR(AF310="",AF310="ERRO_CHAVE"),"",IFERROR(MATCH(AF310,'Quitados DUPP'!$U$1:$U$6635,0),""))</f>
        <v/>
      </c>
      <c r="AH310" s="15" t="str">
        <f t="shared" si="2"/>
        <v/>
      </c>
      <c r="AI310" s="17" t="str">
        <f>IF(AG310="","",INDEX('Quitados DUPP'!$G$1:$G$6635,AG310))</f>
        <v/>
      </c>
      <c r="AJ310" s="17" t="str">
        <f t="shared" si="3"/>
        <v/>
      </c>
    </row>
    <row r="311" spans="31:36">
      <c r="AE311" s="15" t="str">
        <f t="shared" si="0"/>
        <v/>
      </c>
      <c r="AF311" s="15" t="str">
        <f t="shared" si="1"/>
        <v/>
      </c>
      <c r="AG311" s="15" t="str">
        <f>IF(OR(AF311="",AF311="ERRO_CHAVE"),"",IFERROR(MATCH(AF311,'Quitados DUPP'!$U$1:$U$6635,0),""))</f>
        <v/>
      </c>
      <c r="AH311" s="15" t="str">
        <f t="shared" si="2"/>
        <v/>
      </c>
      <c r="AI311" s="17" t="str">
        <f>IF(AG311="","",INDEX('Quitados DUPP'!$G$1:$G$6635,AG311))</f>
        <v/>
      </c>
      <c r="AJ311" s="17" t="str">
        <f t="shared" si="3"/>
        <v/>
      </c>
    </row>
    <row r="312" spans="31:36">
      <c r="AE312" s="15" t="str">
        <f t="shared" si="0"/>
        <v/>
      </c>
      <c r="AF312" s="15" t="str">
        <f t="shared" si="1"/>
        <v/>
      </c>
      <c r="AG312" s="15" t="str">
        <f>IF(OR(AF312="",AF312="ERRO_CHAVE"),"",IFERROR(MATCH(AF312,'Quitados DUPP'!$U$1:$U$6635,0),""))</f>
        <v/>
      </c>
      <c r="AH312" s="15" t="str">
        <f t="shared" si="2"/>
        <v/>
      </c>
      <c r="AI312" s="17" t="str">
        <f>IF(AG312="","",INDEX('Quitados DUPP'!$G$1:$G$6635,AG312))</f>
        <v/>
      </c>
      <c r="AJ312" s="17" t="str">
        <f t="shared" si="3"/>
        <v/>
      </c>
    </row>
    <row r="313" spans="31:36">
      <c r="AE313" s="15" t="str">
        <f t="shared" si="0"/>
        <v/>
      </c>
      <c r="AF313" s="15" t="str">
        <f t="shared" si="1"/>
        <v/>
      </c>
      <c r="AG313" s="15" t="str">
        <f>IF(OR(AF313="",AF313="ERRO_CHAVE"),"",IFERROR(MATCH(AF313,'Quitados DUPP'!$U$1:$U$6635,0),""))</f>
        <v/>
      </c>
      <c r="AH313" s="15" t="str">
        <f t="shared" si="2"/>
        <v/>
      </c>
      <c r="AI313" s="17" t="str">
        <f>IF(AG313="","",INDEX('Quitados DUPP'!$G$1:$G$6635,AG313))</f>
        <v/>
      </c>
      <c r="AJ313" s="17" t="str">
        <f t="shared" si="3"/>
        <v/>
      </c>
    </row>
    <row r="314" spans="31:36">
      <c r="AE314" s="15" t="str">
        <f t="shared" si="0"/>
        <v/>
      </c>
      <c r="AF314" s="15" t="str">
        <f t="shared" si="1"/>
        <v/>
      </c>
      <c r="AG314" s="15" t="str">
        <f>IF(OR(AF314="",AF314="ERRO_CHAVE"),"",IFERROR(MATCH(AF314,'Quitados DUPP'!$U$1:$U$6635,0),""))</f>
        <v/>
      </c>
      <c r="AH314" s="15" t="str">
        <f t="shared" si="2"/>
        <v/>
      </c>
      <c r="AI314" s="17" t="str">
        <f>IF(AG314="","",INDEX('Quitados DUPP'!$G$1:$G$6635,AG314))</f>
        <v/>
      </c>
      <c r="AJ314" s="17" t="str">
        <f t="shared" si="3"/>
        <v/>
      </c>
    </row>
    <row r="315" spans="31:36">
      <c r="AE315" s="15" t="str">
        <f t="shared" si="0"/>
        <v/>
      </c>
      <c r="AF315" s="15" t="str">
        <f t="shared" si="1"/>
        <v/>
      </c>
      <c r="AG315" s="15" t="str">
        <f>IF(OR(AF315="",AF315="ERRO_CHAVE"),"",IFERROR(MATCH(AF315,'Quitados DUPP'!$U$1:$U$6635,0),""))</f>
        <v/>
      </c>
      <c r="AH315" s="15" t="str">
        <f t="shared" si="2"/>
        <v/>
      </c>
      <c r="AI315" s="17" t="str">
        <f>IF(AG315="","",INDEX('Quitados DUPP'!$G$1:$G$6635,AG315))</f>
        <v/>
      </c>
      <c r="AJ315" s="17" t="str">
        <f t="shared" si="3"/>
        <v/>
      </c>
    </row>
    <row r="316" spans="31:36">
      <c r="AE316" s="15" t="str">
        <f t="shared" si="0"/>
        <v/>
      </c>
      <c r="AF316" s="15" t="str">
        <f t="shared" si="1"/>
        <v/>
      </c>
      <c r="AG316" s="15" t="str">
        <f>IF(OR(AF316="",AF316="ERRO_CHAVE"),"",IFERROR(MATCH(AF316,'Quitados DUPP'!$U$1:$U$6635,0),""))</f>
        <v/>
      </c>
      <c r="AH316" s="15" t="str">
        <f t="shared" si="2"/>
        <v/>
      </c>
      <c r="AI316" s="17" t="str">
        <f>IF(AG316="","",INDEX('Quitados DUPP'!$G$1:$G$6635,AG316))</f>
        <v/>
      </c>
      <c r="AJ316" s="17" t="str">
        <f t="shared" si="3"/>
        <v/>
      </c>
    </row>
    <row r="317" spans="31:36">
      <c r="AE317" s="15" t="str">
        <f t="shared" si="0"/>
        <v/>
      </c>
      <c r="AF317" s="15" t="str">
        <f t="shared" si="1"/>
        <v/>
      </c>
      <c r="AG317" s="15" t="str">
        <f>IF(OR(AF317="",AF317="ERRO_CHAVE"),"",IFERROR(MATCH(AF317,'Quitados DUPP'!$U$1:$U$6635,0),""))</f>
        <v/>
      </c>
      <c r="AH317" s="15" t="str">
        <f t="shared" si="2"/>
        <v/>
      </c>
      <c r="AI317" s="17" t="str">
        <f>IF(AG317="","",INDEX('Quitados DUPP'!$G$1:$G$6635,AG317))</f>
        <v/>
      </c>
      <c r="AJ317" s="17" t="str">
        <f t="shared" si="3"/>
        <v/>
      </c>
    </row>
    <row r="318" spans="31:36">
      <c r="AE318" s="15" t="str">
        <f t="shared" si="0"/>
        <v/>
      </c>
      <c r="AF318" s="15" t="str">
        <f t="shared" si="1"/>
        <v/>
      </c>
      <c r="AG318" s="15" t="str">
        <f>IF(OR(AF318="",AF318="ERRO_CHAVE"),"",IFERROR(MATCH(AF318,'Quitados DUPP'!$U$1:$U$6635,0),""))</f>
        <v/>
      </c>
      <c r="AH318" s="15" t="str">
        <f t="shared" si="2"/>
        <v/>
      </c>
      <c r="AI318" s="17" t="str">
        <f>IF(AG318="","",INDEX('Quitados DUPP'!$G$1:$G$6635,AG318))</f>
        <v/>
      </c>
      <c r="AJ318" s="17" t="str">
        <f t="shared" si="3"/>
        <v/>
      </c>
    </row>
    <row r="319" spans="31:36">
      <c r="AE319" s="15" t="str">
        <f t="shared" si="0"/>
        <v/>
      </c>
      <c r="AF319" s="15" t="str">
        <f t="shared" si="1"/>
        <v/>
      </c>
      <c r="AG319" s="15" t="str">
        <f>IF(OR(AF319="",AF319="ERRO_CHAVE"),"",IFERROR(MATCH(AF319,'Quitados DUPP'!$U$1:$U$6635,0),""))</f>
        <v/>
      </c>
      <c r="AH319" s="15" t="str">
        <f t="shared" si="2"/>
        <v/>
      </c>
      <c r="AI319" s="17" t="str">
        <f>IF(AG319="","",INDEX('Quitados DUPP'!$G$1:$G$6635,AG319))</f>
        <v/>
      </c>
      <c r="AJ319" s="17" t="str">
        <f t="shared" si="3"/>
        <v/>
      </c>
    </row>
    <row r="320" spans="31:36">
      <c r="AE320" s="15" t="str">
        <f t="shared" si="0"/>
        <v/>
      </c>
      <c r="AF320" s="15" t="str">
        <f t="shared" si="1"/>
        <v/>
      </c>
      <c r="AG320" s="15" t="str">
        <f>IF(OR(AF320="",AF320="ERRO_CHAVE"),"",IFERROR(MATCH(AF320,'Quitados DUPP'!$U$1:$U$6635,0),""))</f>
        <v/>
      </c>
      <c r="AH320" s="15" t="str">
        <f t="shared" si="2"/>
        <v/>
      </c>
      <c r="AI320" s="17" t="str">
        <f>IF(AG320="","",INDEX('Quitados DUPP'!$G$1:$G$6635,AG320))</f>
        <v/>
      </c>
      <c r="AJ320" s="17" t="str">
        <f t="shared" si="3"/>
        <v/>
      </c>
    </row>
    <row r="321" spans="31:36">
      <c r="AE321" s="15" t="str">
        <f t="shared" si="0"/>
        <v/>
      </c>
      <c r="AF321" s="15" t="str">
        <f t="shared" si="1"/>
        <v/>
      </c>
      <c r="AG321" s="15" t="str">
        <f>IF(OR(AF321="",AF321="ERRO_CHAVE"),"",IFERROR(MATCH(AF321,'Quitados DUPP'!$U$1:$U$6635,0),""))</f>
        <v/>
      </c>
      <c r="AH321" s="15" t="str">
        <f t="shared" si="2"/>
        <v/>
      </c>
      <c r="AI321" s="17" t="str">
        <f>IF(AG321="","",INDEX('Quitados DUPP'!$G$1:$G$6635,AG321))</f>
        <v/>
      </c>
      <c r="AJ321" s="17" t="str">
        <f t="shared" si="3"/>
        <v/>
      </c>
    </row>
    <row r="322" spans="31:36">
      <c r="AE322" s="15" t="str">
        <f t="shared" si="0"/>
        <v/>
      </c>
      <c r="AF322" s="15" t="str">
        <f t="shared" si="1"/>
        <v/>
      </c>
      <c r="AG322" s="15" t="str">
        <f>IF(OR(AF322="",AF322="ERRO_CHAVE"),"",IFERROR(MATCH(AF322,'Quitados DUPP'!$U$1:$U$6635,0),""))</f>
        <v/>
      </c>
      <c r="AH322" s="15" t="str">
        <f t="shared" si="2"/>
        <v/>
      </c>
      <c r="AI322" s="17" t="str">
        <f>IF(AG322="","",INDEX('Quitados DUPP'!$G$1:$G$6635,AG322))</f>
        <v/>
      </c>
      <c r="AJ322" s="17" t="str">
        <f t="shared" si="3"/>
        <v/>
      </c>
    </row>
    <row r="323" spans="31:36">
      <c r="AE323" s="15" t="str">
        <f t="shared" si="0"/>
        <v/>
      </c>
      <c r="AF323" s="15" t="str">
        <f t="shared" si="1"/>
        <v/>
      </c>
      <c r="AG323" s="15" t="str">
        <f>IF(OR(AF323="",AF323="ERRO_CHAVE"),"",IFERROR(MATCH(AF323,'Quitados DUPP'!$U$1:$U$6635,0),""))</f>
        <v/>
      </c>
      <c r="AH323" s="15" t="str">
        <f t="shared" si="2"/>
        <v/>
      </c>
      <c r="AI323" s="17" t="str">
        <f>IF(AG323="","",INDEX('Quitados DUPP'!$G$1:$G$6635,AG323))</f>
        <v/>
      </c>
      <c r="AJ323" s="17" t="str">
        <f t="shared" si="3"/>
        <v/>
      </c>
    </row>
    <row r="324" spans="31:36">
      <c r="AE324" s="15" t="str">
        <f t="shared" si="0"/>
        <v/>
      </c>
      <c r="AF324" s="15" t="str">
        <f t="shared" si="1"/>
        <v/>
      </c>
      <c r="AG324" s="15" t="str">
        <f>IF(OR(AF324="",AF324="ERRO_CHAVE"),"",IFERROR(MATCH(AF324,'Quitados DUPP'!$U$1:$U$6635,0),""))</f>
        <v/>
      </c>
      <c r="AH324" s="15" t="str">
        <f t="shared" si="2"/>
        <v/>
      </c>
      <c r="AI324" s="17" t="str">
        <f>IF(AG324="","",INDEX('Quitados DUPP'!$G$1:$G$6635,AG324))</f>
        <v/>
      </c>
      <c r="AJ324" s="17" t="str">
        <f t="shared" si="3"/>
        <v/>
      </c>
    </row>
    <row r="325" spans="31:36">
      <c r="AE325" s="15" t="str">
        <f t="shared" si="0"/>
        <v/>
      </c>
      <c r="AF325" s="15" t="str">
        <f t="shared" si="1"/>
        <v/>
      </c>
      <c r="AG325" s="15" t="str">
        <f>IF(OR(AF325="",AF325="ERRO_CHAVE"),"",IFERROR(MATCH(AF325,'Quitados DUPP'!$U$1:$U$6635,0),""))</f>
        <v/>
      </c>
      <c r="AH325" s="15" t="str">
        <f t="shared" si="2"/>
        <v/>
      </c>
      <c r="AI325" s="17" t="str">
        <f>IF(AG325="","",INDEX('Quitados DUPP'!$G$1:$G$6635,AG325))</f>
        <v/>
      </c>
      <c r="AJ325" s="17" t="str">
        <f t="shared" si="3"/>
        <v/>
      </c>
    </row>
    <row r="326" spans="31:36">
      <c r="AE326" s="15" t="str">
        <f t="shared" si="0"/>
        <v/>
      </c>
      <c r="AF326" s="15" t="str">
        <f t="shared" si="1"/>
        <v/>
      </c>
      <c r="AG326" s="15" t="str">
        <f>IF(OR(AF326="",AF326="ERRO_CHAVE"),"",IFERROR(MATCH(AF326,'Quitados DUPP'!$U$1:$U$6635,0),""))</f>
        <v/>
      </c>
      <c r="AH326" s="15" t="str">
        <f t="shared" si="2"/>
        <v/>
      </c>
      <c r="AI326" s="17" t="str">
        <f>IF(AG326="","",INDEX('Quitados DUPP'!$G$1:$G$6635,AG326))</f>
        <v/>
      </c>
      <c r="AJ326" s="17" t="str">
        <f t="shared" si="3"/>
        <v/>
      </c>
    </row>
    <row r="327" spans="31:36">
      <c r="AE327" s="15" t="str">
        <f t="shared" si="0"/>
        <v/>
      </c>
      <c r="AF327" s="15" t="str">
        <f t="shared" si="1"/>
        <v/>
      </c>
      <c r="AG327" s="15" t="str">
        <f>IF(OR(AF327="",AF327="ERRO_CHAVE"),"",IFERROR(MATCH(AF327,'Quitados DUPP'!$U$1:$U$6635,0),""))</f>
        <v/>
      </c>
      <c r="AH327" s="15" t="str">
        <f t="shared" si="2"/>
        <v/>
      </c>
      <c r="AI327" s="17" t="str">
        <f>IF(AG327="","",INDEX('Quitados DUPP'!$G$1:$G$6635,AG327))</f>
        <v/>
      </c>
      <c r="AJ327" s="17" t="str">
        <f t="shared" si="3"/>
        <v/>
      </c>
    </row>
    <row r="328" spans="31:36">
      <c r="AE328" s="15" t="str">
        <f t="shared" si="0"/>
        <v/>
      </c>
      <c r="AF328" s="15" t="str">
        <f t="shared" si="1"/>
        <v/>
      </c>
      <c r="AG328" s="15" t="str">
        <f>IF(OR(AF328="",AF328="ERRO_CHAVE"),"",IFERROR(MATCH(AF328,'Quitados DUPP'!$U$1:$U$6635,0),""))</f>
        <v/>
      </c>
      <c r="AH328" s="15" t="str">
        <f t="shared" si="2"/>
        <v/>
      </c>
      <c r="AI328" s="17" t="str">
        <f>IF(AG328="","",INDEX('Quitados DUPP'!$G$1:$G$6635,AG328))</f>
        <v/>
      </c>
      <c r="AJ328" s="17" t="str">
        <f t="shared" si="3"/>
        <v/>
      </c>
    </row>
    <row r="329" spans="31:36">
      <c r="AE329" s="15" t="str">
        <f t="shared" si="0"/>
        <v/>
      </c>
      <c r="AF329" s="15" t="str">
        <f t="shared" si="1"/>
        <v/>
      </c>
      <c r="AG329" s="15" t="str">
        <f>IF(OR(AF329="",AF329="ERRO_CHAVE"),"",IFERROR(MATCH(AF329,'Quitados DUPP'!$U$1:$U$6635,0),""))</f>
        <v/>
      </c>
      <c r="AH329" s="15" t="str">
        <f t="shared" si="2"/>
        <v/>
      </c>
      <c r="AI329" s="17" t="str">
        <f>IF(AG329="","",INDEX('Quitados DUPP'!$G$1:$G$6635,AG329))</f>
        <v/>
      </c>
      <c r="AJ329" s="17" t="str">
        <f t="shared" si="3"/>
        <v/>
      </c>
    </row>
    <row r="330" spans="31:36">
      <c r="AE330" s="15" t="str">
        <f t="shared" si="0"/>
        <v/>
      </c>
      <c r="AF330" s="15" t="str">
        <f t="shared" si="1"/>
        <v/>
      </c>
      <c r="AG330" s="15" t="str">
        <f>IF(OR(AF330="",AF330="ERRO_CHAVE"),"",IFERROR(MATCH(AF330,'Quitados DUPP'!$U$1:$U$6635,0),""))</f>
        <v/>
      </c>
      <c r="AH330" s="15" t="str">
        <f t="shared" si="2"/>
        <v/>
      </c>
      <c r="AI330" s="17" t="str">
        <f>IF(AG330="","",INDEX('Quitados DUPP'!$G$1:$G$6635,AG330))</f>
        <v/>
      </c>
      <c r="AJ330" s="17" t="str">
        <f t="shared" si="3"/>
        <v/>
      </c>
    </row>
    <row r="331" spans="31:36">
      <c r="AE331" s="15" t="str">
        <f t="shared" si="0"/>
        <v/>
      </c>
      <c r="AF331" s="15" t="str">
        <f t="shared" si="1"/>
        <v/>
      </c>
      <c r="AG331" s="15" t="str">
        <f>IF(OR(AF331="",AF331="ERRO_CHAVE"),"",IFERROR(MATCH(AF331,'Quitados DUPP'!$U$1:$U$6635,0),""))</f>
        <v/>
      </c>
      <c r="AH331" s="15" t="str">
        <f t="shared" si="2"/>
        <v/>
      </c>
      <c r="AI331" s="17" t="str">
        <f>IF(AG331="","",INDEX('Quitados DUPP'!$G$1:$G$6635,AG331))</f>
        <v/>
      </c>
      <c r="AJ331" s="17" t="str">
        <f t="shared" si="3"/>
        <v/>
      </c>
    </row>
    <row r="332" spans="31:36">
      <c r="AE332" s="15" t="str">
        <f t="shared" si="0"/>
        <v/>
      </c>
      <c r="AF332" s="15" t="str">
        <f t="shared" si="1"/>
        <v/>
      </c>
      <c r="AG332" s="15" t="str">
        <f>IF(OR(AF332="",AF332="ERRO_CHAVE"),"",IFERROR(MATCH(AF332,'Quitados DUPP'!$U$1:$U$6635,0),""))</f>
        <v/>
      </c>
      <c r="AH332" s="15" t="str">
        <f t="shared" si="2"/>
        <v/>
      </c>
      <c r="AI332" s="17" t="str">
        <f>IF(AG332="","",INDEX('Quitados DUPP'!$G$1:$G$6635,AG332))</f>
        <v/>
      </c>
      <c r="AJ332" s="17" t="str">
        <f t="shared" si="3"/>
        <v/>
      </c>
    </row>
    <row r="333" spans="31:36">
      <c r="AE333" s="15" t="str">
        <f t="shared" si="0"/>
        <v/>
      </c>
      <c r="AF333" s="15" t="str">
        <f t="shared" si="1"/>
        <v/>
      </c>
      <c r="AG333" s="15" t="str">
        <f>IF(OR(AF333="",AF333="ERRO_CHAVE"),"",IFERROR(MATCH(AF333,'Quitados DUPP'!$U$1:$U$6635,0),""))</f>
        <v/>
      </c>
      <c r="AH333" s="15" t="str">
        <f t="shared" si="2"/>
        <v/>
      </c>
      <c r="AI333" s="17" t="str">
        <f>IF(AG333="","",INDEX('Quitados DUPP'!$G$1:$G$6635,AG333))</f>
        <v/>
      </c>
      <c r="AJ333" s="17" t="str">
        <f t="shared" si="3"/>
        <v/>
      </c>
    </row>
    <row r="334" spans="31:36">
      <c r="AE334" s="15" t="str">
        <f t="shared" si="0"/>
        <v/>
      </c>
      <c r="AF334" s="15" t="str">
        <f t="shared" si="1"/>
        <v/>
      </c>
      <c r="AG334" s="15" t="str">
        <f>IF(OR(AF334="",AF334="ERRO_CHAVE"),"",IFERROR(MATCH(AF334,'Quitados DUPP'!$U$1:$U$6635,0),""))</f>
        <v/>
      </c>
      <c r="AH334" s="15" t="str">
        <f t="shared" si="2"/>
        <v/>
      </c>
      <c r="AI334" s="17" t="str">
        <f>IF(AG334="","",INDEX('Quitados DUPP'!$G$1:$G$6635,AG334))</f>
        <v/>
      </c>
      <c r="AJ334" s="17" t="str">
        <f t="shared" si="3"/>
        <v/>
      </c>
    </row>
    <row r="335" spans="31:36">
      <c r="AE335" s="15" t="str">
        <f t="shared" si="0"/>
        <v/>
      </c>
      <c r="AF335" s="15" t="str">
        <f t="shared" si="1"/>
        <v/>
      </c>
      <c r="AG335" s="15" t="str">
        <f>IF(OR(AF335="",AF335="ERRO_CHAVE"),"",IFERROR(MATCH(AF335,'Quitados DUPP'!$U$1:$U$6635,0),""))</f>
        <v/>
      </c>
      <c r="AH335" s="15" t="str">
        <f t="shared" si="2"/>
        <v/>
      </c>
      <c r="AI335" s="17" t="str">
        <f>IF(AG335="","",INDEX('Quitados DUPP'!$G$1:$G$6635,AG335))</f>
        <v/>
      </c>
      <c r="AJ335" s="17" t="str">
        <f t="shared" si="3"/>
        <v/>
      </c>
    </row>
    <row r="336" spans="31:36">
      <c r="AE336" s="15" t="str">
        <f t="shared" si="0"/>
        <v/>
      </c>
      <c r="AF336" s="15" t="str">
        <f t="shared" si="1"/>
        <v/>
      </c>
      <c r="AG336" s="15" t="str">
        <f>IF(OR(AF336="",AF336="ERRO_CHAVE"),"",IFERROR(MATCH(AF336,'Quitados DUPP'!$U$1:$U$6635,0),""))</f>
        <v/>
      </c>
      <c r="AH336" s="15" t="str">
        <f t="shared" si="2"/>
        <v/>
      </c>
      <c r="AI336" s="17" t="str">
        <f>IF(AG336="","",INDEX('Quitados DUPP'!$G$1:$G$6635,AG336))</f>
        <v/>
      </c>
      <c r="AJ336" s="17" t="str">
        <f t="shared" si="3"/>
        <v/>
      </c>
    </row>
    <row r="337" spans="31:36">
      <c r="AE337" s="15" t="str">
        <f t="shared" si="0"/>
        <v/>
      </c>
      <c r="AF337" s="15" t="str">
        <f t="shared" si="1"/>
        <v/>
      </c>
      <c r="AG337" s="15" t="str">
        <f>IF(OR(AF337="",AF337="ERRO_CHAVE"),"",IFERROR(MATCH(AF337,'Quitados DUPP'!$U$1:$U$6635,0),""))</f>
        <v/>
      </c>
      <c r="AH337" s="15" t="str">
        <f t="shared" si="2"/>
        <v/>
      </c>
      <c r="AI337" s="17" t="str">
        <f>IF(AG337="","",INDEX('Quitados DUPP'!$G$1:$G$6635,AG337))</f>
        <v/>
      </c>
      <c r="AJ337" s="17" t="str">
        <f t="shared" si="3"/>
        <v/>
      </c>
    </row>
    <row r="338" spans="31:36">
      <c r="AE338" s="15" t="str">
        <f t="shared" si="0"/>
        <v/>
      </c>
      <c r="AF338" s="15" t="str">
        <f t="shared" si="1"/>
        <v/>
      </c>
      <c r="AG338" s="15" t="str">
        <f>IF(OR(AF338="",AF338="ERRO_CHAVE"),"",IFERROR(MATCH(AF338,'Quitados DUPP'!$U$1:$U$6635,0),""))</f>
        <v/>
      </c>
      <c r="AH338" s="15" t="str">
        <f t="shared" si="2"/>
        <v/>
      </c>
      <c r="AI338" s="17" t="str">
        <f>IF(AG338="","",INDEX('Quitados DUPP'!$G$1:$G$6635,AG338))</f>
        <v/>
      </c>
      <c r="AJ338" s="17" t="str">
        <f t="shared" si="3"/>
        <v/>
      </c>
    </row>
    <row r="339" spans="31:36">
      <c r="AE339" s="15" t="str">
        <f t="shared" si="0"/>
        <v/>
      </c>
      <c r="AF339" s="15" t="str">
        <f t="shared" si="1"/>
        <v/>
      </c>
      <c r="AG339" s="15" t="str">
        <f>IF(OR(AF339="",AF339="ERRO_CHAVE"),"",IFERROR(MATCH(AF339,'Quitados DUPP'!$U$1:$U$6635,0),""))</f>
        <v/>
      </c>
      <c r="AH339" s="15" t="str">
        <f t="shared" si="2"/>
        <v/>
      </c>
      <c r="AI339" s="17" t="str">
        <f>IF(AG339="","",INDEX('Quitados DUPP'!$G$1:$G$6635,AG339))</f>
        <v/>
      </c>
      <c r="AJ339" s="17" t="str">
        <f t="shared" si="3"/>
        <v/>
      </c>
    </row>
    <row r="340" spans="31:36">
      <c r="AE340" s="15" t="str">
        <f t="shared" si="0"/>
        <v/>
      </c>
      <c r="AF340" s="15" t="str">
        <f t="shared" si="1"/>
        <v/>
      </c>
      <c r="AG340" s="15" t="str">
        <f>IF(OR(AF340="",AF340="ERRO_CHAVE"),"",IFERROR(MATCH(AF340,'Quitados DUPP'!$U$1:$U$6635,0),""))</f>
        <v/>
      </c>
      <c r="AH340" s="15" t="str">
        <f t="shared" si="2"/>
        <v/>
      </c>
      <c r="AI340" s="17" t="str">
        <f>IF(AG340="","",INDEX('Quitados DUPP'!$G$1:$G$6635,AG340))</f>
        <v/>
      </c>
      <c r="AJ340" s="17" t="str">
        <f t="shared" si="3"/>
        <v/>
      </c>
    </row>
    <row r="341" spans="31:36">
      <c r="AE341" s="15" t="str">
        <f t="shared" si="0"/>
        <v/>
      </c>
      <c r="AF341" s="15" t="str">
        <f t="shared" si="1"/>
        <v/>
      </c>
      <c r="AG341" s="15" t="str">
        <f>IF(OR(AF341="",AF341="ERRO_CHAVE"),"",IFERROR(MATCH(AF341,'Quitados DUPP'!$U$1:$U$6635,0),""))</f>
        <v/>
      </c>
      <c r="AH341" s="15" t="str">
        <f t="shared" si="2"/>
        <v/>
      </c>
      <c r="AI341" s="17" t="str">
        <f>IF(AG341="","",INDEX('Quitados DUPP'!$G$1:$G$6635,AG341))</f>
        <v/>
      </c>
      <c r="AJ341" s="17" t="str">
        <f t="shared" si="3"/>
        <v/>
      </c>
    </row>
    <row r="342" spans="31:36">
      <c r="AE342" s="15" t="str">
        <f t="shared" si="0"/>
        <v/>
      </c>
      <c r="AF342" s="15" t="str">
        <f t="shared" si="1"/>
        <v/>
      </c>
      <c r="AG342" s="15" t="str">
        <f>IF(OR(AF342="",AF342="ERRO_CHAVE"),"",IFERROR(MATCH(AF342,'Quitados DUPP'!$U$1:$U$6635,0),""))</f>
        <v/>
      </c>
      <c r="AH342" s="15" t="str">
        <f t="shared" si="2"/>
        <v/>
      </c>
      <c r="AI342" s="17" t="str">
        <f>IF(AG342="","",INDEX('Quitados DUPP'!$G$1:$G$6635,AG342))</f>
        <v/>
      </c>
      <c r="AJ342" s="17" t="str">
        <f t="shared" si="3"/>
        <v/>
      </c>
    </row>
    <row r="343" spans="31:36">
      <c r="AE343" s="15" t="str">
        <f t="shared" si="0"/>
        <v/>
      </c>
      <c r="AF343" s="15" t="str">
        <f t="shared" si="1"/>
        <v/>
      </c>
      <c r="AG343" s="15" t="str">
        <f>IF(OR(AF343="",AF343="ERRO_CHAVE"),"",IFERROR(MATCH(AF343,'Quitados DUPP'!$U$1:$U$6635,0),""))</f>
        <v/>
      </c>
      <c r="AH343" s="15" t="str">
        <f t="shared" si="2"/>
        <v/>
      </c>
      <c r="AI343" s="17" t="str">
        <f>IF(AG343="","",INDEX('Quitados DUPP'!$G$1:$G$6635,AG343))</f>
        <v/>
      </c>
      <c r="AJ343" s="17" t="str">
        <f t="shared" si="3"/>
        <v/>
      </c>
    </row>
    <row r="344" spans="31:36">
      <c r="AE344" s="15" t="str">
        <f t="shared" si="0"/>
        <v/>
      </c>
      <c r="AF344" s="15" t="str">
        <f t="shared" si="1"/>
        <v/>
      </c>
      <c r="AG344" s="15" t="str">
        <f>IF(OR(AF344="",AF344="ERRO_CHAVE"),"",IFERROR(MATCH(AF344,'Quitados DUPP'!$U$1:$U$6635,0),""))</f>
        <v/>
      </c>
      <c r="AH344" s="15" t="str">
        <f t="shared" si="2"/>
        <v/>
      </c>
      <c r="AI344" s="17" t="str">
        <f>IF(AG344="","",INDEX('Quitados DUPP'!$G$1:$G$6635,AG344))</f>
        <v/>
      </c>
      <c r="AJ344" s="17" t="str">
        <f t="shared" si="3"/>
        <v/>
      </c>
    </row>
    <row r="345" spans="31:36">
      <c r="AE345" s="15" t="str">
        <f t="shared" si="0"/>
        <v/>
      </c>
      <c r="AF345" s="15" t="str">
        <f t="shared" si="1"/>
        <v/>
      </c>
      <c r="AG345" s="15" t="str">
        <f>IF(OR(AF345="",AF345="ERRO_CHAVE"),"",IFERROR(MATCH(AF345,'Quitados DUPP'!$U$1:$U$6635,0),""))</f>
        <v/>
      </c>
      <c r="AH345" s="15" t="str">
        <f t="shared" si="2"/>
        <v/>
      </c>
      <c r="AI345" s="17" t="str">
        <f>IF(AG345="","",INDEX('Quitados DUPP'!$G$1:$G$6635,AG345))</f>
        <v/>
      </c>
      <c r="AJ345" s="17" t="str">
        <f t="shared" si="3"/>
        <v/>
      </c>
    </row>
    <row r="346" spans="31:36">
      <c r="AE346" s="15" t="str">
        <f t="shared" si="0"/>
        <v/>
      </c>
      <c r="AF346" s="15" t="str">
        <f t="shared" si="1"/>
        <v/>
      </c>
      <c r="AG346" s="15" t="str">
        <f>IF(OR(AF346="",AF346="ERRO_CHAVE"),"",IFERROR(MATCH(AF346,'Quitados DUPP'!$U$1:$U$6635,0),""))</f>
        <v/>
      </c>
      <c r="AH346" s="15" t="str">
        <f t="shared" si="2"/>
        <v/>
      </c>
      <c r="AI346" s="17" t="str">
        <f>IF(AG346="","",INDEX('Quitados DUPP'!$G$1:$G$6635,AG346))</f>
        <v/>
      </c>
      <c r="AJ346" s="17" t="str">
        <f t="shared" si="3"/>
        <v/>
      </c>
    </row>
    <row r="347" spans="31:36">
      <c r="AE347" s="15" t="str">
        <f t="shared" si="0"/>
        <v/>
      </c>
      <c r="AF347" s="15" t="str">
        <f t="shared" si="1"/>
        <v/>
      </c>
      <c r="AG347" s="15" t="str">
        <f>IF(OR(AF347="",AF347="ERRO_CHAVE"),"",IFERROR(MATCH(AF347,'Quitados DUPP'!$U$1:$U$6635,0),""))</f>
        <v/>
      </c>
      <c r="AH347" s="15" t="str">
        <f t="shared" si="2"/>
        <v/>
      </c>
      <c r="AI347" s="17" t="str">
        <f>IF(AG347="","",INDEX('Quitados DUPP'!$G$1:$G$6635,AG347))</f>
        <v/>
      </c>
      <c r="AJ347" s="17" t="str">
        <f t="shared" si="3"/>
        <v/>
      </c>
    </row>
    <row r="348" spans="31:36">
      <c r="AE348" s="15" t="str">
        <f t="shared" si="0"/>
        <v/>
      </c>
      <c r="AF348" s="15" t="str">
        <f t="shared" si="1"/>
        <v/>
      </c>
      <c r="AG348" s="15" t="str">
        <f>IF(OR(AF348="",AF348="ERRO_CHAVE"),"",IFERROR(MATCH(AF348,'Quitados DUPP'!$U$1:$U$6635,0),""))</f>
        <v/>
      </c>
      <c r="AH348" s="15" t="str">
        <f t="shared" si="2"/>
        <v/>
      </c>
      <c r="AI348" s="17" t="str">
        <f>IF(AG348="","",INDEX('Quitados DUPP'!$G$1:$G$6635,AG348))</f>
        <v/>
      </c>
      <c r="AJ348" s="17" t="str">
        <f t="shared" si="3"/>
        <v/>
      </c>
    </row>
    <row r="349" spans="31:36">
      <c r="AE349" s="15" t="str">
        <f t="shared" si="0"/>
        <v/>
      </c>
      <c r="AF349" s="15" t="str">
        <f t="shared" si="1"/>
        <v/>
      </c>
      <c r="AG349" s="15" t="str">
        <f>IF(OR(AF349="",AF349="ERRO_CHAVE"),"",IFERROR(MATCH(AF349,'Quitados DUPP'!$U$1:$U$6635,0),""))</f>
        <v/>
      </c>
      <c r="AH349" s="15" t="str">
        <f t="shared" si="2"/>
        <v/>
      </c>
      <c r="AI349" s="17" t="str">
        <f>IF(AG349="","",INDEX('Quitados DUPP'!$G$1:$G$6635,AG349))</f>
        <v/>
      </c>
      <c r="AJ349" s="17" t="str">
        <f t="shared" si="3"/>
        <v/>
      </c>
    </row>
    <row r="350" spans="31:36">
      <c r="AE350" s="15" t="str">
        <f t="shared" si="0"/>
        <v/>
      </c>
      <c r="AF350" s="15" t="str">
        <f t="shared" si="1"/>
        <v/>
      </c>
      <c r="AG350" s="15" t="str">
        <f>IF(OR(AF350="",AF350="ERRO_CHAVE"),"",IFERROR(MATCH(AF350,'Quitados DUPP'!$U$1:$U$6635,0),""))</f>
        <v/>
      </c>
      <c r="AH350" s="15" t="str">
        <f t="shared" si="2"/>
        <v/>
      </c>
      <c r="AI350" s="17" t="str">
        <f>IF(AG350="","",INDEX('Quitados DUPP'!$G$1:$G$6635,AG350))</f>
        <v/>
      </c>
      <c r="AJ350" s="17" t="str">
        <f t="shared" si="3"/>
        <v/>
      </c>
    </row>
    <row r="351" spans="31:36">
      <c r="AE351" s="15" t="str">
        <f t="shared" si="0"/>
        <v/>
      </c>
      <c r="AF351" s="15" t="str">
        <f t="shared" si="1"/>
        <v/>
      </c>
      <c r="AG351" s="15" t="str">
        <f>IF(OR(AF351="",AF351="ERRO_CHAVE"),"",IFERROR(MATCH(AF351,'Quitados DUPP'!$U$1:$U$6635,0),""))</f>
        <v/>
      </c>
      <c r="AH351" s="15" t="str">
        <f t="shared" si="2"/>
        <v/>
      </c>
      <c r="AI351" s="17" t="str">
        <f>IF(AG351="","",INDEX('Quitados DUPP'!$G$1:$G$6635,AG351))</f>
        <v/>
      </c>
      <c r="AJ351" s="17" t="str">
        <f t="shared" si="3"/>
        <v/>
      </c>
    </row>
    <row r="352" spans="31:36">
      <c r="AE352" s="15" t="str">
        <f t="shared" si="0"/>
        <v/>
      </c>
      <c r="AF352" s="15" t="str">
        <f t="shared" si="1"/>
        <v/>
      </c>
      <c r="AG352" s="15" t="str">
        <f>IF(OR(AF352="",AF352="ERRO_CHAVE"),"",IFERROR(MATCH(AF352,'Quitados DUPP'!$U$1:$U$6635,0),""))</f>
        <v/>
      </c>
      <c r="AH352" s="15" t="str">
        <f t="shared" si="2"/>
        <v/>
      </c>
      <c r="AI352" s="17" t="str">
        <f>IF(AG352="","",INDEX('Quitados DUPP'!$G$1:$G$6635,AG352))</f>
        <v/>
      </c>
      <c r="AJ352" s="17" t="str">
        <f t="shared" si="3"/>
        <v/>
      </c>
    </row>
    <row r="353" spans="31:36">
      <c r="AE353" s="15" t="str">
        <f t="shared" si="0"/>
        <v/>
      </c>
      <c r="AF353" s="15" t="str">
        <f t="shared" si="1"/>
        <v/>
      </c>
      <c r="AG353" s="15" t="str">
        <f>IF(OR(AF353="",AF353="ERRO_CHAVE"),"",IFERROR(MATCH(AF353,'Quitados DUPP'!$U$1:$U$6635,0),""))</f>
        <v/>
      </c>
      <c r="AH353" s="15" t="str">
        <f t="shared" si="2"/>
        <v/>
      </c>
      <c r="AI353" s="17" t="str">
        <f>IF(AG353="","",INDEX('Quitados DUPP'!$G$1:$G$6635,AG353))</f>
        <v/>
      </c>
      <c r="AJ353" s="17" t="str">
        <f t="shared" si="3"/>
        <v/>
      </c>
    </row>
    <row r="354" spans="31:36">
      <c r="AE354" s="15" t="str">
        <f t="shared" si="0"/>
        <v/>
      </c>
      <c r="AF354" s="15" t="str">
        <f t="shared" si="1"/>
        <v/>
      </c>
      <c r="AG354" s="15" t="str">
        <f>IF(OR(AF354="",AF354="ERRO_CHAVE"),"",IFERROR(MATCH(AF354,'Quitados DUPP'!$U$1:$U$6635,0),""))</f>
        <v/>
      </c>
      <c r="AH354" s="15" t="str">
        <f t="shared" si="2"/>
        <v/>
      </c>
      <c r="AI354" s="17" t="str">
        <f>IF(AG354="","",INDEX('Quitados DUPP'!$G$1:$G$6635,AG354))</f>
        <v/>
      </c>
      <c r="AJ354" s="17" t="str">
        <f t="shared" si="3"/>
        <v/>
      </c>
    </row>
    <row r="355" spans="31:36">
      <c r="AE355" s="15" t="str">
        <f t="shared" si="0"/>
        <v/>
      </c>
      <c r="AF355" s="15" t="str">
        <f t="shared" si="1"/>
        <v/>
      </c>
      <c r="AG355" s="15" t="str">
        <f>IF(OR(AF355="",AF355="ERRO_CHAVE"),"",IFERROR(MATCH(AF355,'Quitados DUPP'!$U$1:$U$6635,0),""))</f>
        <v/>
      </c>
      <c r="AH355" s="15" t="str">
        <f t="shared" si="2"/>
        <v/>
      </c>
      <c r="AI355" s="17" t="str">
        <f>IF(AG355="","",INDEX('Quitados DUPP'!$G$1:$G$6635,AG355))</f>
        <v/>
      </c>
      <c r="AJ355" s="17" t="str">
        <f t="shared" si="3"/>
        <v/>
      </c>
    </row>
    <row r="356" spans="31:36">
      <c r="AE356" s="15" t="str">
        <f t="shared" si="0"/>
        <v/>
      </c>
      <c r="AF356" s="15" t="str">
        <f t="shared" si="1"/>
        <v/>
      </c>
      <c r="AG356" s="15" t="str">
        <f>IF(OR(AF356="",AF356="ERRO_CHAVE"),"",IFERROR(MATCH(AF356,'Quitados DUPP'!$U$1:$U$6635,0),""))</f>
        <v/>
      </c>
      <c r="AH356" s="15" t="str">
        <f t="shared" si="2"/>
        <v/>
      </c>
      <c r="AI356" s="17" t="str">
        <f>IF(AG356="","",INDEX('Quitados DUPP'!$G$1:$G$6635,AG356))</f>
        <v/>
      </c>
      <c r="AJ356" s="17" t="str">
        <f t="shared" si="3"/>
        <v/>
      </c>
    </row>
    <row r="357" spans="31:36">
      <c r="AE357" s="15" t="str">
        <f t="shared" si="0"/>
        <v/>
      </c>
      <c r="AF357" s="15" t="str">
        <f t="shared" si="1"/>
        <v/>
      </c>
      <c r="AG357" s="15" t="str">
        <f>IF(OR(AF357="",AF357="ERRO_CHAVE"),"",IFERROR(MATCH(AF357,'Quitados DUPP'!$U$1:$U$6635,0),""))</f>
        <v/>
      </c>
      <c r="AH357" s="15" t="str">
        <f t="shared" si="2"/>
        <v/>
      </c>
      <c r="AI357" s="17" t="str">
        <f>IF(AG357="","",INDEX('Quitados DUPP'!$G$1:$G$6635,AG357))</f>
        <v/>
      </c>
      <c r="AJ357" s="17" t="str">
        <f t="shared" si="3"/>
        <v/>
      </c>
    </row>
    <row r="358" spans="31:36">
      <c r="AE358" s="15" t="str">
        <f t="shared" si="0"/>
        <v/>
      </c>
      <c r="AF358" s="15" t="str">
        <f t="shared" si="1"/>
        <v/>
      </c>
      <c r="AG358" s="15" t="str">
        <f>IF(OR(AF358="",AF358="ERRO_CHAVE"),"",IFERROR(MATCH(AF358,'Quitados DUPP'!$U$1:$U$6635,0),""))</f>
        <v/>
      </c>
      <c r="AH358" s="15" t="str">
        <f t="shared" si="2"/>
        <v/>
      </c>
      <c r="AI358" s="17" t="str">
        <f>IF(AG358="","",INDEX('Quitados DUPP'!$G$1:$G$6635,AG358))</f>
        <v/>
      </c>
      <c r="AJ358" s="17" t="str">
        <f t="shared" si="3"/>
        <v/>
      </c>
    </row>
    <row r="359" spans="31:36">
      <c r="AE359" s="15" t="str">
        <f t="shared" si="0"/>
        <v/>
      </c>
      <c r="AF359" s="15" t="str">
        <f t="shared" si="1"/>
        <v/>
      </c>
      <c r="AG359" s="15" t="str">
        <f>IF(OR(AF359="",AF359="ERRO_CHAVE"),"",IFERROR(MATCH(AF359,'Quitados DUPP'!$U$1:$U$6635,0),""))</f>
        <v/>
      </c>
      <c r="AH359" s="15" t="str">
        <f t="shared" si="2"/>
        <v/>
      </c>
      <c r="AI359" s="17" t="str">
        <f>IF(AG359="","",INDEX('Quitados DUPP'!$G$1:$G$6635,AG359))</f>
        <v/>
      </c>
      <c r="AJ359" s="17" t="str">
        <f t="shared" si="3"/>
        <v/>
      </c>
    </row>
    <row r="360" spans="31:36">
      <c r="AE360" s="15" t="str">
        <f t="shared" si="0"/>
        <v/>
      </c>
      <c r="AF360" s="15" t="str">
        <f t="shared" si="1"/>
        <v/>
      </c>
      <c r="AG360" s="15" t="str">
        <f>IF(OR(AF360="",AF360="ERRO_CHAVE"),"",IFERROR(MATCH(AF360,'Quitados DUPP'!$U$1:$U$6635,0),""))</f>
        <v/>
      </c>
      <c r="AH360" s="15" t="str">
        <f t="shared" si="2"/>
        <v/>
      </c>
      <c r="AI360" s="17" t="str">
        <f>IF(AG360="","",INDEX('Quitados DUPP'!$G$1:$G$6635,AG360))</f>
        <v/>
      </c>
      <c r="AJ360" s="17" t="str">
        <f t="shared" si="3"/>
        <v/>
      </c>
    </row>
    <row r="361" spans="31:36">
      <c r="AE361" s="15" t="str">
        <f t="shared" si="0"/>
        <v/>
      </c>
      <c r="AF361" s="15" t="str">
        <f t="shared" si="1"/>
        <v/>
      </c>
      <c r="AG361" s="15" t="str">
        <f>IF(OR(AF361="",AF361="ERRO_CHAVE"),"",IFERROR(MATCH(AF361,'Quitados DUPP'!$U$1:$U$6635,0),""))</f>
        <v/>
      </c>
      <c r="AH361" s="15" t="str">
        <f t="shared" si="2"/>
        <v/>
      </c>
      <c r="AI361" s="17" t="str">
        <f>IF(AG361="","",INDEX('Quitados DUPP'!$G$1:$G$6635,AG361))</f>
        <v/>
      </c>
      <c r="AJ361" s="17" t="str">
        <f t="shared" si="3"/>
        <v/>
      </c>
    </row>
    <row r="362" spans="31:36">
      <c r="AE362" s="15" t="str">
        <f t="shared" si="0"/>
        <v/>
      </c>
      <c r="AF362" s="15" t="str">
        <f t="shared" si="1"/>
        <v/>
      </c>
      <c r="AG362" s="15" t="str">
        <f>IF(OR(AF362="",AF362="ERRO_CHAVE"),"",IFERROR(MATCH(AF362,'Quitados DUPP'!$U$1:$U$6635,0),""))</f>
        <v/>
      </c>
      <c r="AH362" s="15" t="str">
        <f t="shared" si="2"/>
        <v/>
      </c>
      <c r="AI362" s="17" t="str">
        <f>IF(AG362="","",INDEX('Quitados DUPP'!$G$1:$G$6635,AG362))</f>
        <v/>
      </c>
      <c r="AJ362" s="17" t="str">
        <f t="shared" si="3"/>
        <v/>
      </c>
    </row>
    <row r="363" spans="31:36">
      <c r="AE363" s="15" t="str">
        <f t="shared" si="0"/>
        <v/>
      </c>
      <c r="AF363" s="15" t="str">
        <f t="shared" si="1"/>
        <v/>
      </c>
      <c r="AG363" s="15" t="str">
        <f>IF(OR(AF363="",AF363="ERRO_CHAVE"),"",IFERROR(MATCH(AF363,'Quitados DUPP'!$U$1:$U$6635,0),""))</f>
        <v/>
      </c>
      <c r="AH363" s="15" t="str">
        <f t="shared" si="2"/>
        <v/>
      </c>
      <c r="AI363" s="17" t="str">
        <f>IF(AG363="","",INDEX('Quitados DUPP'!$G$1:$G$6635,AG363))</f>
        <v/>
      </c>
      <c r="AJ363" s="17" t="str">
        <f t="shared" si="3"/>
        <v/>
      </c>
    </row>
    <row r="364" spans="31:36">
      <c r="AE364" s="15" t="str">
        <f t="shared" si="0"/>
        <v/>
      </c>
      <c r="AF364" s="15" t="str">
        <f t="shared" si="1"/>
        <v/>
      </c>
      <c r="AG364" s="15" t="str">
        <f>IF(OR(AF364="",AF364="ERRO_CHAVE"),"",IFERROR(MATCH(AF364,'Quitados DUPP'!$U$1:$U$6635,0),""))</f>
        <v/>
      </c>
      <c r="AH364" s="15" t="str">
        <f t="shared" si="2"/>
        <v/>
      </c>
      <c r="AI364" s="17" t="str">
        <f>IF(AG364="","",INDEX('Quitados DUPP'!$G$1:$G$6635,AG364))</f>
        <v/>
      </c>
      <c r="AJ364" s="17" t="str">
        <f t="shared" si="3"/>
        <v/>
      </c>
    </row>
    <row r="365" spans="31:36">
      <c r="AE365" s="15" t="str">
        <f t="shared" si="0"/>
        <v/>
      </c>
      <c r="AF365" s="15" t="str">
        <f t="shared" si="1"/>
        <v/>
      </c>
      <c r="AG365" s="15" t="str">
        <f>IF(OR(AF365="",AF365="ERRO_CHAVE"),"",IFERROR(MATCH(AF365,'Quitados DUPP'!$U$1:$U$6635,0),""))</f>
        <v/>
      </c>
      <c r="AH365" s="15" t="str">
        <f t="shared" si="2"/>
        <v/>
      </c>
      <c r="AI365" s="17" t="str">
        <f>IF(AG365="","",INDEX('Quitados DUPP'!$G$1:$G$6635,AG365))</f>
        <v/>
      </c>
      <c r="AJ365" s="17" t="str">
        <f t="shared" si="3"/>
        <v/>
      </c>
    </row>
    <row r="366" spans="31:36">
      <c r="AE366" s="15" t="str">
        <f t="shared" si="0"/>
        <v/>
      </c>
      <c r="AF366" s="15" t="str">
        <f t="shared" si="1"/>
        <v/>
      </c>
      <c r="AG366" s="15" t="str">
        <f>IF(OR(AF366="",AF366="ERRO_CHAVE"),"",IFERROR(MATCH(AF366,'Quitados DUPP'!$U$1:$U$6635,0),""))</f>
        <v/>
      </c>
      <c r="AH366" s="15" t="str">
        <f t="shared" si="2"/>
        <v/>
      </c>
      <c r="AI366" s="17" t="str">
        <f>IF(AG366="","",INDEX('Quitados DUPP'!$G$1:$G$6635,AG366))</f>
        <v/>
      </c>
      <c r="AJ366" s="17" t="str">
        <f t="shared" si="3"/>
        <v/>
      </c>
    </row>
    <row r="367" spans="31:36">
      <c r="AE367" s="15" t="str">
        <f t="shared" si="0"/>
        <v/>
      </c>
      <c r="AF367" s="15" t="str">
        <f t="shared" si="1"/>
        <v/>
      </c>
      <c r="AG367" s="15" t="str">
        <f>IF(OR(AF367="",AF367="ERRO_CHAVE"),"",IFERROR(MATCH(AF367,'Quitados DUPP'!$U$1:$U$6635,0),""))</f>
        <v/>
      </c>
      <c r="AH367" s="15" t="str">
        <f t="shared" si="2"/>
        <v/>
      </c>
      <c r="AI367" s="17" t="str">
        <f>IF(AG367="","",INDEX('Quitados DUPP'!$G$1:$G$6635,AG367))</f>
        <v/>
      </c>
      <c r="AJ367" s="17" t="str">
        <f t="shared" si="3"/>
        <v/>
      </c>
    </row>
    <row r="368" spans="31:36">
      <c r="AE368" s="15" t="str">
        <f t="shared" si="0"/>
        <v/>
      </c>
      <c r="AF368" s="15" t="str">
        <f t="shared" si="1"/>
        <v/>
      </c>
      <c r="AG368" s="15" t="str">
        <f>IF(OR(AF368="",AF368="ERRO_CHAVE"),"",IFERROR(MATCH(AF368,'Quitados DUPP'!$U$1:$U$6635,0),""))</f>
        <v/>
      </c>
      <c r="AH368" s="15" t="str">
        <f t="shared" si="2"/>
        <v/>
      </c>
      <c r="AI368" s="17" t="str">
        <f>IF(AG368="","",INDEX('Quitados DUPP'!$G$1:$G$6635,AG368))</f>
        <v/>
      </c>
      <c r="AJ368" s="17" t="str">
        <f t="shared" si="3"/>
        <v/>
      </c>
    </row>
    <row r="369" spans="31:36">
      <c r="AE369" s="15" t="str">
        <f t="shared" si="0"/>
        <v/>
      </c>
      <c r="AF369" s="15" t="str">
        <f t="shared" si="1"/>
        <v/>
      </c>
      <c r="AG369" s="15" t="str">
        <f>IF(OR(AF369="",AF369="ERRO_CHAVE"),"",IFERROR(MATCH(AF369,'Quitados DUPP'!$U$1:$U$6635,0),""))</f>
        <v/>
      </c>
      <c r="AH369" s="15" t="str">
        <f t="shared" si="2"/>
        <v/>
      </c>
      <c r="AI369" s="17" t="str">
        <f>IF(AG369="","",INDEX('Quitados DUPP'!$G$1:$G$6635,AG369))</f>
        <v/>
      </c>
      <c r="AJ369" s="17" t="str">
        <f t="shared" si="3"/>
        <v/>
      </c>
    </row>
    <row r="370" spans="31:36">
      <c r="AE370" s="15" t="str">
        <f t="shared" si="0"/>
        <v/>
      </c>
      <c r="AF370" s="15" t="str">
        <f t="shared" si="1"/>
        <v/>
      </c>
      <c r="AG370" s="15" t="str">
        <f>IF(OR(AF370="",AF370="ERRO_CHAVE"),"",IFERROR(MATCH(AF370,'Quitados DUPP'!$U$1:$U$6635,0),""))</f>
        <v/>
      </c>
      <c r="AH370" s="15" t="str">
        <f t="shared" si="2"/>
        <v/>
      </c>
      <c r="AI370" s="17" t="str">
        <f>IF(AG370="","",INDEX('Quitados DUPP'!$G$1:$G$6635,AG370))</f>
        <v/>
      </c>
      <c r="AJ370" s="17" t="str">
        <f t="shared" si="3"/>
        <v/>
      </c>
    </row>
    <row r="371" spans="31:36">
      <c r="AE371" s="15" t="str">
        <f t="shared" si="0"/>
        <v/>
      </c>
      <c r="AF371" s="15" t="str">
        <f t="shared" si="1"/>
        <v/>
      </c>
      <c r="AG371" s="15" t="str">
        <f>IF(OR(AF371="",AF371="ERRO_CHAVE"),"",IFERROR(MATCH(AF371,'Quitados DUPP'!$U$1:$U$6635,0),""))</f>
        <v/>
      </c>
      <c r="AH371" s="15" t="str">
        <f t="shared" si="2"/>
        <v/>
      </c>
      <c r="AI371" s="17" t="str">
        <f>IF(AG371="","",INDEX('Quitados DUPP'!$G$1:$G$6635,AG371))</f>
        <v/>
      </c>
      <c r="AJ371" s="17" t="str">
        <f t="shared" si="3"/>
        <v/>
      </c>
    </row>
    <row r="372" spans="31:36">
      <c r="AE372" s="15" t="str">
        <f t="shared" si="0"/>
        <v/>
      </c>
      <c r="AF372" s="15" t="str">
        <f t="shared" si="1"/>
        <v/>
      </c>
      <c r="AG372" s="15" t="str">
        <f>IF(OR(AF372="",AF372="ERRO_CHAVE"),"",IFERROR(MATCH(AF372,'Quitados DUPP'!$U$1:$U$6635,0),""))</f>
        <v/>
      </c>
      <c r="AH372" s="15" t="str">
        <f t="shared" si="2"/>
        <v/>
      </c>
      <c r="AI372" s="17" t="str">
        <f>IF(AG372="","",INDEX('Quitados DUPP'!$G$1:$G$6635,AG372))</f>
        <v/>
      </c>
      <c r="AJ372" s="17" t="str">
        <f t="shared" si="3"/>
        <v/>
      </c>
    </row>
    <row r="373" spans="31:36">
      <c r="AE373" s="15" t="str">
        <f t="shared" si="0"/>
        <v/>
      </c>
      <c r="AF373" s="15" t="str">
        <f t="shared" si="1"/>
        <v/>
      </c>
      <c r="AG373" s="15" t="str">
        <f>IF(OR(AF373="",AF373="ERRO_CHAVE"),"",IFERROR(MATCH(AF373,'Quitados DUPP'!$U$1:$U$6635,0),""))</f>
        <v/>
      </c>
      <c r="AH373" s="15" t="str">
        <f t="shared" si="2"/>
        <v/>
      </c>
      <c r="AI373" s="17" t="str">
        <f>IF(AG373="","",INDEX('Quitados DUPP'!$G$1:$G$6635,AG373))</f>
        <v/>
      </c>
      <c r="AJ373" s="17" t="str">
        <f t="shared" si="3"/>
        <v/>
      </c>
    </row>
    <row r="374" spans="31:36">
      <c r="AE374" s="15" t="str">
        <f t="shared" si="0"/>
        <v/>
      </c>
      <c r="AF374" s="15" t="str">
        <f t="shared" si="1"/>
        <v/>
      </c>
      <c r="AG374" s="15" t="str">
        <f>IF(OR(AF374="",AF374="ERRO_CHAVE"),"",IFERROR(MATCH(AF374,'Quitados DUPP'!$U$1:$U$6635,0),""))</f>
        <v/>
      </c>
      <c r="AH374" s="15" t="str">
        <f t="shared" si="2"/>
        <v/>
      </c>
      <c r="AI374" s="17" t="str">
        <f>IF(AG374="","",INDEX('Quitados DUPP'!$G$1:$G$6635,AG374))</f>
        <v/>
      </c>
      <c r="AJ374" s="17" t="str">
        <f t="shared" si="3"/>
        <v/>
      </c>
    </row>
    <row r="375" spans="31:36">
      <c r="AE375" s="15" t="str">
        <f t="shared" si="0"/>
        <v/>
      </c>
      <c r="AF375" s="15" t="str">
        <f t="shared" si="1"/>
        <v/>
      </c>
      <c r="AG375" s="15" t="str">
        <f>IF(OR(AF375="",AF375="ERRO_CHAVE"),"",IFERROR(MATCH(AF375,'Quitados DUPP'!$U$1:$U$6635,0),""))</f>
        <v/>
      </c>
      <c r="AH375" s="15" t="str">
        <f t="shared" si="2"/>
        <v/>
      </c>
      <c r="AI375" s="17" t="str">
        <f>IF(AG375="","",INDEX('Quitados DUPP'!$G$1:$G$6635,AG375))</f>
        <v/>
      </c>
      <c r="AJ375" s="17" t="str">
        <f t="shared" si="3"/>
        <v/>
      </c>
    </row>
    <row r="376" spans="31:36">
      <c r="AE376" s="15" t="str">
        <f t="shared" si="0"/>
        <v/>
      </c>
      <c r="AF376" s="15" t="str">
        <f t="shared" si="1"/>
        <v/>
      </c>
      <c r="AG376" s="15" t="str">
        <f>IF(OR(AF376="",AF376="ERRO_CHAVE"),"",IFERROR(MATCH(AF376,'Quitados DUPP'!$U$1:$U$6635,0),""))</f>
        <v/>
      </c>
      <c r="AH376" s="15" t="str">
        <f t="shared" si="2"/>
        <v/>
      </c>
      <c r="AI376" s="17" t="str">
        <f>IF(AG376="","",INDEX('Quitados DUPP'!$G$1:$G$6635,AG376))</f>
        <v/>
      </c>
      <c r="AJ376" s="17" t="str">
        <f t="shared" si="3"/>
        <v/>
      </c>
    </row>
    <row r="377" spans="31:36">
      <c r="AE377" s="15" t="str">
        <f t="shared" si="0"/>
        <v/>
      </c>
      <c r="AF377" s="15" t="str">
        <f t="shared" si="1"/>
        <v/>
      </c>
      <c r="AG377" s="15" t="str">
        <f>IF(OR(AF377="",AF377="ERRO_CHAVE"),"",IFERROR(MATCH(AF377,'Quitados DUPP'!$U$1:$U$6635,0),""))</f>
        <v/>
      </c>
      <c r="AH377" s="15" t="str">
        <f t="shared" si="2"/>
        <v/>
      </c>
      <c r="AI377" s="17" t="str">
        <f>IF(AG377="","",INDEX('Quitados DUPP'!$G$1:$G$6635,AG377))</f>
        <v/>
      </c>
      <c r="AJ377" s="17" t="str">
        <f t="shared" si="3"/>
        <v/>
      </c>
    </row>
    <row r="378" spans="31:36">
      <c r="AE378" s="15" t="str">
        <f t="shared" si="0"/>
        <v/>
      </c>
      <c r="AF378" s="15" t="str">
        <f t="shared" si="1"/>
        <v/>
      </c>
      <c r="AG378" s="15" t="str">
        <f>IF(OR(AF378="",AF378="ERRO_CHAVE"),"",IFERROR(MATCH(AF378,'Quitados DUPP'!$U$1:$U$6635,0),""))</f>
        <v/>
      </c>
      <c r="AH378" s="15" t="str">
        <f t="shared" si="2"/>
        <v/>
      </c>
      <c r="AI378" s="17" t="str">
        <f>IF(AG378="","",INDEX('Quitados DUPP'!$G$1:$G$6635,AG378))</f>
        <v/>
      </c>
      <c r="AJ378" s="17" t="str">
        <f t="shared" si="3"/>
        <v/>
      </c>
    </row>
    <row r="379" spans="31:36">
      <c r="AE379" s="15" t="str">
        <f t="shared" si="0"/>
        <v/>
      </c>
      <c r="AF379" s="15" t="str">
        <f t="shared" si="1"/>
        <v/>
      </c>
      <c r="AG379" s="15" t="str">
        <f>IF(OR(AF379="",AF379="ERRO_CHAVE"),"",IFERROR(MATCH(AF379,'Quitados DUPP'!$U$1:$U$6635,0),""))</f>
        <v/>
      </c>
      <c r="AH379" s="15" t="str">
        <f t="shared" si="2"/>
        <v/>
      </c>
      <c r="AI379" s="17" t="str">
        <f>IF(AG379="","",INDEX('Quitados DUPP'!$G$1:$G$6635,AG379))</f>
        <v/>
      </c>
      <c r="AJ379" s="17" t="str">
        <f t="shared" si="3"/>
        <v/>
      </c>
    </row>
    <row r="380" spans="31:36">
      <c r="AE380" s="15" t="str">
        <f t="shared" si="0"/>
        <v/>
      </c>
      <c r="AF380" s="15" t="str">
        <f t="shared" si="1"/>
        <v/>
      </c>
      <c r="AG380" s="15" t="str">
        <f>IF(OR(AF380="",AF380="ERRO_CHAVE"),"",IFERROR(MATCH(AF380,'Quitados DUPP'!$U$1:$U$6635,0),""))</f>
        <v/>
      </c>
      <c r="AH380" s="15" t="str">
        <f t="shared" si="2"/>
        <v/>
      </c>
      <c r="AI380" s="17" t="str">
        <f>IF(AG380="","",INDEX('Quitados DUPP'!$G$1:$G$6635,AG380))</f>
        <v/>
      </c>
      <c r="AJ380" s="17" t="str">
        <f t="shared" si="3"/>
        <v/>
      </c>
    </row>
    <row r="381" spans="31:36">
      <c r="AE381" s="15" t="str">
        <f t="shared" si="0"/>
        <v/>
      </c>
      <c r="AF381" s="15" t="str">
        <f t="shared" si="1"/>
        <v/>
      </c>
      <c r="AG381" s="15" t="str">
        <f>IF(OR(AF381="",AF381="ERRO_CHAVE"),"",IFERROR(MATCH(AF381,'Quitados DUPP'!$U$1:$U$6635,0),""))</f>
        <v/>
      </c>
      <c r="AH381" s="15" t="str">
        <f t="shared" si="2"/>
        <v/>
      </c>
      <c r="AI381" s="17" t="str">
        <f>IF(AG381="","",INDEX('Quitados DUPP'!$G$1:$G$6635,AG381))</f>
        <v/>
      </c>
      <c r="AJ381" s="17" t="str">
        <f t="shared" si="3"/>
        <v/>
      </c>
    </row>
    <row r="382" spans="31:36">
      <c r="AE382" s="15" t="str">
        <f t="shared" si="0"/>
        <v/>
      </c>
      <c r="AF382" s="15" t="str">
        <f t="shared" si="1"/>
        <v/>
      </c>
      <c r="AG382" s="15" t="str">
        <f>IF(OR(AF382="",AF382="ERRO_CHAVE"),"",IFERROR(MATCH(AF382,'Quitados DUPP'!$U$1:$U$6635,0),""))</f>
        <v/>
      </c>
      <c r="AH382" s="15" t="str">
        <f t="shared" si="2"/>
        <v/>
      </c>
      <c r="AI382" s="17" t="str">
        <f>IF(AG382="","",INDEX('Quitados DUPP'!$G$1:$G$6635,AG382))</f>
        <v/>
      </c>
      <c r="AJ382" s="17" t="str">
        <f t="shared" si="3"/>
        <v/>
      </c>
    </row>
    <row r="383" spans="31:36">
      <c r="AE383" s="15" t="str">
        <f t="shared" si="0"/>
        <v/>
      </c>
      <c r="AF383" s="15" t="str">
        <f t="shared" si="1"/>
        <v/>
      </c>
      <c r="AG383" s="15" t="str">
        <f>IF(OR(AF383="",AF383="ERRO_CHAVE"),"",IFERROR(MATCH(AF383,'Quitados DUPP'!$U$1:$U$6635,0),""))</f>
        <v/>
      </c>
      <c r="AH383" s="15" t="str">
        <f t="shared" si="2"/>
        <v/>
      </c>
      <c r="AI383" s="17" t="str">
        <f>IF(AG383="","",INDEX('Quitados DUPP'!$G$1:$G$6635,AG383))</f>
        <v/>
      </c>
      <c r="AJ383" s="17" t="str">
        <f t="shared" si="3"/>
        <v/>
      </c>
    </row>
    <row r="384" spans="31:36">
      <c r="AE384" s="15" t="str">
        <f t="shared" si="0"/>
        <v/>
      </c>
      <c r="AF384" s="15" t="str">
        <f t="shared" si="1"/>
        <v/>
      </c>
      <c r="AG384" s="15" t="str">
        <f>IF(OR(AF384="",AF384="ERRO_CHAVE"),"",IFERROR(MATCH(AF384,'Quitados DUPP'!$U$1:$U$6635,0),""))</f>
        <v/>
      </c>
      <c r="AH384" s="15" t="str">
        <f t="shared" si="2"/>
        <v/>
      </c>
      <c r="AI384" s="17" t="str">
        <f>IF(AG384="","",INDEX('Quitados DUPP'!$G$1:$G$6635,AG384))</f>
        <v/>
      </c>
      <c r="AJ384" s="17" t="str">
        <f t="shared" si="3"/>
        <v/>
      </c>
    </row>
    <row r="385" spans="31:36">
      <c r="AE385" s="15" t="str">
        <f t="shared" si="0"/>
        <v/>
      </c>
      <c r="AF385" s="15" t="str">
        <f t="shared" si="1"/>
        <v/>
      </c>
      <c r="AG385" s="15" t="str">
        <f>IF(OR(AF385="",AF385="ERRO_CHAVE"),"",IFERROR(MATCH(AF385,'Quitados DUPP'!$U$1:$U$6635,0),""))</f>
        <v/>
      </c>
      <c r="AH385" s="15" t="str">
        <f t="shared" si="2"/>
        <v/>
      </c>
      <c r="AI385" s="17" t="str">
        <f>IF(AG385="","",INDEX('Quitados DUPP'!$G$1:$G$6635,AG385))</f>
        <v/>
      </c>
      <c r="AJ385" s="17" t="str">
        <f t="shared" si="3"/>
        <v/>
      </c>
    </row>
    <row r="386" spans="31:36">
      <c r="AE386" s="15" t="str">
        <f t="shared" si="0"/>
        <v/>
      </c>
      <c r="AF386" s="15" t="str">
        <f t="shared" si="1"/>
        <v/>
      </c>
      <c r="AG386" s="15" t="str">
        <f>IF(OR(AF386="",AF386="ERRO_CHAVE"),"",IFERROR(MATCH(AF386,'Quitados DUPP'!$U$1:$U$6635,0),""))</f>
        <v/>
      </c>
      <c r="AH386" s="15" t="str">
        <f t="shared" si="2"/>
        <v/>
      </c>
      <c r="AI386" s="17" t="str">
        <f>IF(AG386="","",INDEX('Quitados DUPP'!$G$1:$G$6635,AG386))</f>
        <v/>
      </c>
      <c r="AJ386" s="17" t="str">
        <f t="shared" si="3"/>
        <v/>
      </c>
    </row>
    <row r="387" spans="31:36">
      <c r="AE387" s="15" t="str">
        <f t="shared" si="0"/>
        <v/>
      </c>
      <c r="AF387" s="15" t="str">
        <f t="shared" si="1"/>
        <v/>
      </c>
      <c r="AG387" s="15" t="str">
        <f>IF(OR(AF387="",AF387="ERRO_CHAVE"),"",IFERROR(MATCH(AF387,'Quitados DUPP'!$U$1:$U$6635,0),""))</f>
        <v/>
      </c>
      <c r="AH387" s="15" t="str">
        <f t="shared" si="2"/>
        <v/>
      </c>
      <c r="AI387" s="17" t="str">
        <f>IF(AG387="","",INDEX('Quitados DUPP'!$G$1:$G$6635,AG387))</f>
        <v/>
      </c>
      <c r="AJ387" s="17" t="str">
        <f t="shared" si="3"/>
        <v/>
      </c>
    </row>
    <row r="388" spans="31:36">
      <c r="AE388" s="15" t="str">
        <f t="shared" si="0"/>
        <v/>
      </c>
      <c r="AF388" s="15" t="str">
        <f t="shared" si="1"/>
        <v/>
      </c>
      <c r="AG388" s="15" t="str">
        <f>IF(OR(AF388="",AF388="ERRO_CHAVE"),"",IFERROR(MATCH(AF388,'Quitados DUPP'!$U$1:$U$6635,0),""))</f>
        <v/>
      </c>
      <c r="AH388" s="15" t="str">
        <f t="shared" si="2"/>
        <v/>
      </c>
      <c r="AI388" s="17" t="str">
        <f>IF(AG388="","",INDEX('Quitados DUPP'!$G$1:$G$6635,AG388))</f>
        <v/>
      </c>
      <c r="AJ388" s="17" t="str">
        <f t="shared" si="3"/>
        <v/>
      </c>
    </row>
    <row r="389" spans="31:36">
      <c r="AE389" s="15" t="str">
        <f t="shared" si="0"/>
        <v/>
      </c>
      <c r="AF389" s="15" t="str">
        <f t="shared" si="1"/>
        <v/>
      </c>
      <c r="AG389" s="15" t="str">
        <f>IF(OR(AF389="",AF389="ERRO_CHAVE"),"",IFERROR(MATCH(AF389,'Quitados DUPP'!$U$1:$U$6635,0),""))</f>
        <v/>
      </c>
      <c r="AH389" s="15" t="str">
        <f t="shared" si="2"/>
        <v/>
      </c>
      <c r="AI389" s="17" t="str">
        <f>IF(AG389="","",INDEX('Quitados DUPP'!$G$1:$G$6635,AG389))</f>
        <v/>
      </c>
      <c r="AJ389" s="17" t="str">
        <f t="shared" si="3"/>
        <v/>
      </c>
    </row>
    <row r="390" spans="31:36">
      <c r="AE390" s="15" t="str">
        <f t="shared" si="0"/>
        <v/>
      </c>
      <c r="AF390" s="15" t="str">
        <f t="shared" si="1"/>
        <v/>
      </c>
      <c r="AG390" s="15" t="str">
        <f>IF(OR(AF390="",AF390="ERRO_CHAVE"),"",IFERROR(MATCH(AF390,'Quitados DUPP'!$U$1:$U$6635,0),""))</f>
        <v/>
      </c>
      <c r="AH390" s="15" t="str">
        <f t="shared" si="2"/>
        <v/>
      </c>
      <c r="AI390" s="17" t="str">
        <f>IF(AG390="","",INDEX('Quitados DUPP'!$G$1:$G$6635,AG390))</f>
        <v/>
      </c>
      <c r="AJ390" s="17" t="str">
        <f t="shared" si="3"/>
        <v/>
      </c>
    </row>
    <row r="391" spans="31:36">
      <c r="AE391" s="15" t="str">
        <f t="shared" si="0"/>
        <v/>
      </c>
      <c r="AF391" s="15" t="str">
        <f t="shared" si="1"/>
        <v/>
      </c>
      <c r="AG391" s="15" t="str">
        <f>IF(OR(AF391="",AF391="ERRO_CHAVE"),"",IFERROR(MATCH(AF391,'Quitados DUPP'!$U$1:$U$6635,0),""))</f>
        <v/>
      </c>
      <c r="AH391" s="15" t="str">
        <f t="shared" si="2"/>
        <v/>
      </c>
      <c r="AI391" s="17" t="str">
        <f>IF(AG391="","",INDEX('Quitados DUPP'!$G$1:$G$6635,AG391))</f>
        <v/>
      </c>
      <c r="AJ391" s="17" t="str">
        <f t="shared" si="3"/>
        <v/>
      </c>
    </row>
    <row r="392" spans="31:36">
      <c r="AE392" s="15" t="str">
        <f t="shared" si="0"/>
        <v/>
      </c>
      <c r="AF392" s="15" t="str">
        <f t="shared" si="1"/>
        <v/>
      </c>
      <c r="AG392" s="15" t="str">
        <f>IF(OR(AF392="",AF392="ERRO_CHAVE"),"",IFERROR(MATCH(AF392,'Quitados DUPP'!$U$1:$U$6635,0),""))</f>
        <v/>
      </c>
      <c r="AH392" s="15" t="str">
        <f t="shared" si="2"/>
        <v/>
      </c>
      <c r="AI392" s="17" t="str">
        <f>IF(AG392="","",INDEX('Quitados DUPP'!$G$1:$G$6635,AG392))</f>
        <v/>
      </c>
      <c r="AJ392" s="17" t="str">
        <f t="shared" si="3"/>
        <v/>
      </c>
    </row>
    <row r="393" spans="31:36">
      <c r="AE393" s="15" t="str">
        <f t="shared" si="0"/>
        <v/>
      </c>
      <c r="AF393" s="15" t="str">
        <f t="shared" si="1"/>
        <v/>
      </c>
      <c r="AG393" s="15" t="str">
        <f>IF(OR(AF393="",AF393="ERRO_CHAVE"),"",IFERROR(MATCH(AF393,'Quitados DUPP'!$U$1:$U$6635,0),""))</f>
        <v/>
      </c>
      <c r="AH393" s="15" t="str">
        <f t="shared" si="2"/>
        <v/>
      </c>
      <c r="AI393" s="17" t="str">
        <f>IF(AG393="","",INDEX('Quitados DUPP'!$G$1:$G$6635,AG393))</f>
        <v/>
      </c>
      <c r="AJ393" s="17" t="str">
        <f t="shared" si="3"/>
        <v/>
      </c>
    </row>
    <row r="394" spans="31:36">
      <c r="AE394" s="15" t="str">
        <f t="shared" si="0"/>
        <v/>
      </c>
      <c r="AF394" s="15" t="str">
        <f t="shared" si="1"/>
        <v/>
      </c>
      <c r="AG394" s="15" t="str">
        <f>IF(OR(AF394="",AF394="ERRO_CHAVE"),"",IFERROR(MATCH(AF394,'Quitados DUPP'!$U$1:$U$6635,0),""))</f>
        <v/>
      </c>
      <c r="AH394" s="15" t="str">
        <f t="shared" si="2"/>
        <v/>
      </c>
      <c r="AI394" s="17" t="str">
        <f>IF(AG394="","",INDEX('Quitados DUPP'!$G$1:$G$6635,AG394))</f>
        <v/>
      </c>
      <c r="AJ394" s="17" t="str">
        <f t="shared" si="3"/>
        <v/>
      </c>
    </row>
    <row r="395" spans="31:36">
      <c r="AE395" s="15" t="str">
        <f t="shared" si="0"/>
        <v/>
      </c>
      <c r="AF395" s="15" t="str">
        <f t="shared" si="1"/>
        <v/>
      </c>
      <c r="AG395" s="15" t="str">
        <f>IF(OR(AF395="",AF395="ERRO_CHAVE"),"",IFERROR(MATCH(AF395,'Quitados DUPP'!$U$1:$U$6635,0),""))</f>
        <v/>
      </c>
      <c r="AH395" s="15" t="str">
        <f t="shared" si="2"/>
        <v/>
      </c>
      <c r="AI395" s="17" t="str">
        <f>IF(AG395="","",INDEX('Quitados DUPP'!$G$1:$G$6635,AG395))</f>
        <v/>
      </c>
      <c r="AJ395" s="17" t="str">
        <f t="shared" si="3"/>
        <v/>
      </c>
    </row>
    <row r="396" spans="31:36">
      <c r="AE396" s="15" t="str">
        <f t="shared" si="0"/>
        <v/>
      </c>
      <c r="AF396" s="15" t="str">
        <f t="shared" si="1"/>
        <v/>
      </c>
      <c r="AG396" s="15" t="str">
        <f>IF(OR(AF396="",AF396="ERRO_CHAVE"),"",IFERROR(MATCH(AF396,'Quitados DUPP'!$U$1:$U$6635,0),""))</f>
        <v/>
      </c>
      <c r="AH396" s="15" t="str">
        <f t="shared" si="2"/>
        <v/>
      </c>
      <c r="AI396" s="17" t="str">
        <f>IF(AG396="","",INDEX('Quitados DUPP'!$G$1:$G$6635,AG396))</f>
        <v/>
      </c>
      <c r="AJ396" s="17" t="str">
        <f t="shared" si="3"/>
        <v/>
      </c>
    </row>
    <row r="397" spans="31:36">
      <c r="AE397" s="15" t="str">
        <f t="shared" si="0"/>
        <v/>
      </c>
      <c r="AF397" s="15" t="str">
        <f t="shared" si="1"/>
        <v/>
      </c>
      <c r="AG397" s="15" t="str">
        <f>IF(OR(AF397="",AF397="ERRO_CHAVE"),"",IFERROR(MATCH(AF397,'Quitados DUPP'!$U$1:$U$6635,0),""))</f>
        <v/>
      </c>
      <c r="AH397" s="15" t="str">
        <f t="shared" si="2"/>
        <v/>
      </c>
      <c r="AI397" s="17" t="str">
        <f>IF(AG397="","",INDEX('Quitados DUPP'!$G$1:$G$6635,AG397))</f>
        <v/>
      </c>
      <c r="AJ397" s="17" t="str">
        <f t="shared" si="3"/>
        <v/>
      </c>
    </row>
    <row r="398" spans="31:36">
      <c r="AE398" s="15" t="str">
        <f t="shared" si="0"/>
        <v/>
      </c>
      <c r="AF398" s="15" t="str">
        <f t="shared" si="1"/>
        <v/>
      </c>
      <c r="AG398" s="15" t="str">
        <f>IF(OR(AF398="",AF398="ERRO_CHAVE"),"",IFERROR(MATCH(AF398,'Quitados DUPP'!$U$1:$U$6635,0),""))</f>
        <v/>
      </c>
      <c r="AH398" s="15" t="str">
        <f t="shared" si="2"/>
        <v/>
      </c>
      <c r="AI398" s="17" t="str">
        <f>IF(AG398="","",INDEX('Quitados DUPP'!$G$1:$G$6635,AG398))</f>
        <v/>
      </c>
      <c r="AJ398" s="17" t="str">
        <f t="shared" si="3"/>
        <v/>
      </c>
    </row>
    <row r="399" spans="31:36">
      <c r="AE399" s="15" t="str">
        <f t="shared" si="0"/>
        <v/>
      </c>
      <c r="AF399" s="15" t="str">
        <f t="shared" si="1"/>
        <v/>
      </c>
      <c r="AG399" s="15" t="str">
        <f>IF(OR(AF399="",AF399="ERRO_CHAVE"),"",IFERROR(MATCH(AF399,'Quitados DUPP'!$U$1:$U$6635,0),""))</f>
        <v/>
      </c>
      <c r="AH399" s="15" t="str">
        <f t="shared" si="2"/>
        <v/>
      </c>
      <c r="AI399" s="17" t="str">
        <f>IF(AG399="","",INDEX('Quitados DUPP'!$G$1:$G$6635,AG399))</f>
        <v/>
      </c>
      <c r="AJ399" s="17" t="str">
        <f t="shared" si="3"/>
        <v/>
      </c>
    </row>
    <row r="400" spans="31:36">
      <c r="AE400" s="15" t="str">
        <f t="shared" si="0"/>
        <v/>
      </c>
      <c r="AF400" s="15" t="str">
        <f t="shared" si="1"/>
        <v/>
      </c>
      <c r="AG400" s="15" t="str">
        <f>IF(OR(AF400="",AF400="ERRO_CHAVE"),"",IFERROR(MATCH(AF400,'Quitados DUPP'!$U$1:$U$6635,0),""))</f>
        <v/>
      </c>
      <c r="AH400" s="15" t="str">
        <f t="shared" si="2"/>
        <v/>
      </c>
      <c r="AI400" s="17" t="str">
        <f>IF(AG400="","",INDEX('Quitados DUPP'!$G$1:$G$6635,AG400))</f>
        <v/>
      </c>
      <c r="AJ400" s="17" t="str">
        <f t="shared" si="3"/>
        <v/>
      </c>
    </row>
    <row r="401" spans="31:36">
      <c r="AE401" s="15" t="str">
        <f t="shared" si="0"/>
        <v/>
      </c>
      <c r="AF401" s="15" t="str">
        <f t="shared" si="1"/>
        <v/>
      </c>
      <c r="AG401" s="15" t="str">
        <f>IF(OR(AF401="",AF401="ERRO_CHAVE"),"",IFERROR(MATCH(AF401,'Quitados DUPP'!$U$1:$U$6635,0),""))</f>
        <v/>
      </c>
      <c r="AH401" s="15" t="str">
        <f t="shared" si="2"/>
        <v/>
      </c>
      <c r="AI401" s="17" t="str">
        <f>IF(AG401="","",INDEX('Quitados DUPP'!$G$1:$G$6635,AG401))</f>
        <v/>
      </c>
      <c r="AJ401" s="17" t="str">
        <f t="shared" si="3"/>
        <v/>
      </c>
    </row>
    <row r="402" spans="31:36">
      <c r="AE402" s="15" t="str">
        <f t="shared" si="0"/>
        <v/>
      </c>
      <c r="AF402" s="15" t="str">
        <f t="shared" si="1"/>
        <v/>
      </c>
      <c r="AG402" s="15" t="str">
        <f>IF(OR(AF402="",AF402="ERRO_CHAVE"),"",IFERROR(MATCH(AF402,'Quitados DUPP'!$U$1:$U$6635,0),""))</f>
        <v/>
      </c>
      <c r="AH402" s="15" t="str">
        <f t="shared" si="2"/>
        <v/>
      </c>
      <c r="AI402" s="17" t="str">
        <f>IF(AG402="","",INDEX('Quitados DUPP'!$G$1:$G$6635,AG402))</f>
        <v/>
      </c>
      <c r="AJ402" s="17" t="str">
        <f t="shared" si="3"/>
        <v/>
      </c>
    </row>
    <row r="403" spans="31:36">
      <c r="AE403" s="15" t="str">
        <f t="shared" si="0"/>
        <v/>
      </c>
      <c r="AF403" s="15" t="str">
        <f t="shared" si="1"/>
        <v/>
      </c>
      <c r="AG403" s="15" t="str">
        <f>IF(OR(AF403="",AF403="ERRO_CHAVE"),"",IFERROR(MATCH(AF403,'Quitados DUPP'!$U$1:$U$6635,0),""))</f>
        <v/>
      </c>
      <c r="AH403" s="15" t="str">
        <f t="shared" si="2"/>
        <v/>
      </c>
      <c r="AI403" s="17" t="str">
        <f>IF(AG403="","",INDEX('Quitados DUPP'!$G$1:$G$6635,AG403))</f>
        <v/>
      </c>
      <c r="AJ403" s="17" t="str">
        <f t="shared" si="3"/>
        <v/>
      </c>
    </row>
    <row r="404" spans="31:36">
      <c r="AE404" s="15" t="str">
        <f t="shared" si="0"/>
        <v/>
      </c>
      <c r="AF404" s="15" t="str">
        <f t="shared" si="1"/>
        <v/>
      </c>
      <c r="AG404" s="15" t="str">
        <f>IF(OR(AF404="",AF404="ERRO_CHAVE"),"",IFERROR(MATCH(AF404,'Quitados DUPP'!$U$1:$U$6635,0),""))</f>
        <v/>
      </c>
      <c r="AH404" s="15" t="str">
        <f t="shared" si="2"/>
        <v/>
      </c>
      <c r="AI404" s="17" t="str">
        <f>IF(AG404="","",INDEX('Quitados DUPP'!$G$1:$G$6635,AG404))</f>
        <v/>
      </c>
      <c r="AJ404" s="17" t="str">
        <f t="shared" si="3"/>
        <v/>
      </c>
    </row>
    <row r="405" spans="31:36">
      <c r="AE405" s="15" t="str">
        <f t="shared" si="0"/>
        <v/>
      </c>
      <c r="AF405" s="15" t="str">
        <f t="shared" si="1"/>
        <v/>
      </c>
      <c r="AG405" s="15" t="str">
        <f>IF(OR(AF405="",AF405="ERRO_CHAVE"),"",IFERROR(MATCH(AF405,'Quitados DUPP'!$U$1:$U$6635,0),""))</f>
        <v/>
      </c>
      <c r="AH405" s="15" t="str">
        <f t="shared" si="2"/>
        <v/>
      </c>
      <c r="AI405" s="17" t="str">
        <f>IF(AG405="","",INDEX('Quitados DUPP'!$G$1:$G$6635,AG405))</f>
        <v/>
      </c>
      <c r="AJ405" s="17" t="str">
        <f t="shared" si="3"/>
        <v/>
      </c>
    </row>
    <row r="406" spans="31:36">
      <c r="AE406" s="15" t="str">
        <f t="shared" si="0"/>
        <v/>
      </c>
      <c r="AF406" s="15" t="str">
        <f t="shared" si="1"/>
        <v/>
      </c>
      <c r="AG406" s="15" t="str">
        <f>IF(OR(AF406="",AF406="ERRO_CHAVE"),"",IFERROR(MATCH(AF406,'Quitados DUPP'!$U$1:$U$6635,0),""))</f>
        <v/>
      </c>
      <c r="AH406" s="15" t="str">
        <f t="shared" si="2"/>
        <v/>
      </c>
      <c r="AI406" s="17" t="str">
        <f>IF(AG406="","",INDEX('Quitados DUPP'!$G$1:$G$6635,AG406))</f>
        <v/>
      </c>
      <c r="AJ406" s="17" t="str">
        <f t="shared" si="3"/>
        <v/>
      </c>
    </row>
    <row r="407" spans="31:36">
      <c r="AE407" s="15" t="str">
        <f t="shared" si="0"/>
        <v/>
      </c>
      <c r="AF407" s="15" t="str">
        <f t="shared" si="1"/>
        <v/>
      </c>
      <c r="AG407" s="15" t="str">
        <f>IF(OR(AF407="",AF407="ERRO_CHAVE"),"",IFERROR(MATCH(AF407,'Quitados DUPP'!$U$1:$U$6635,0),""))</f>
        <v/>
      </c>
      <c r="AH407" s="15" t="str">
        <f t="shared" si="2"/>
        <v/>
      </c>
      <c r="AI407" s="17" t="str">
        <f>IF(AG407="","",INDEX('Quitados DUPP'!$G$1:$G$6635,AG407))</f>
        <v/>
      </c>
      <c r="AJ407" s="17" t="str">
        <f t="shared" si="3"/>
        <v/>
      </c>
    </row>
    <row r="408" spans="31:36">
      <c r="AE408" s="15" t="str">
        <f t="shared" si="0"/>
        <v/>
      </c>
      <c r="AF408" s="15" t="str">
        <f t="shared" si="1"/>
        <v/>
      </c>
      <c r="AG408" s="15" t="str">
        <f>IF(OR(AF408="",AF408="ERRO_CHAVE"),"",IFERROR(MATCH(AF408,'Quitados DUPP'!$U$1:$U$6635,0),""))</f>
        <v/>
      </c>
      <c r="AH408" s="15" t="str">
        <f t="shared" si="2"/>
        <v/>
      </c>
      <c r="AI408" s="17" t="str">
        <f>IF(AG408="","",INDEX('Quitados DUPP'!$G$1:$G$6635,AG408))</f>
        <v/>
      </c>
      <c r="AJ408" s="17" t="str">
        <f t="shared" si="3"/>
        <v/>
      </c>
    </row>
    <row r="409" spans="31:36">
      <c r="AE409" s="15" t="str">
        <f t="shared" si="0"/>
        <v/>
      </c>
      <c r="AF409" s="15" t="str">
        <f t="shared" si="1"/>
        <v/>
      </c>
      <c r="AG409" s="15" t="str">
        <f>IF(OR(AF409="",AF409="ERRO_CHAVE"),"",IFERROR(MATCH(AF409,'Quitados DUPP'!$U$1:$U$6635,0),""))</f>
        <v/>
      </c>
      <c r="AH409" s="15" t="str">
        <f t="shared" si="2"/>
        <v/>
      </c>
      <c r="AI409" s="17" t="str">
        <f>IF(AG409="","",INDEX('Quitados DUPP'!$G$1:$G$6635,AG409))</f>
        <v/>
      </c>
      <c r="AJ409" s="17" t="str">
        <f t="shared" si="3"/>
        <v/>
      </c>
    </row>
    <row r="410" spans="31:36">
      <c r="AE410" s="15" t="str">
        <f t="shared" si="0"/>
        <v/>
      </c>
      <c r="AF410" s="15" t="str">
        <f t="shared" si="1"/>
        <v/>
      </c>
      <c r="AG410" s="15" t="str">
        <f>IF(OR(AF410="",AF410="ERRO_CHAVE"),"",IFERROR(MATCH(AF410,'Quitados DUPP'!$U$1:$U$6635,0),""))</f>
        <v/>
      </c>
      <c r="AH410" s="15" t="str">
        <f t="shared" si="2"/>
        <v/>
      </c>
      <c r="AI410" s="17" t="str">
        <f>IF(AG410="","",INDEX('Quitados DUPP'!$G$1:$G$6635,AG410))</f>
        <v/>
      </c>
      <c r="AJ410" s="17" t="str">
        <f t="shared" si="3"/>
        <v/>
      </c>
    </row>
    <row r="411" spans="31:36">
      <c r="AE411" s="15" t="str">
        <f t="shared" si="0"/>
        <v/>
      </c>
      <c r="AF411" s="15" t="str">
        <f t="shared" si="1"/>
        <v/>
      </c>
      <c r="AG411" s="15" t="str">
        <f>IF(OR(AF411="",AF411="ERRO_CHAVE"),"",IFERROR(MATCH(AF411,'Quitados DUPP'!$U$1:$U$6635,0),""))</f>
        <v/>
      </c>
      <c r="AH411" s="15" t="str">
        <f t="shared" si="2"/>
        <v/>
      </c>
      <c r="AI411" s="17" t="str">
        <f>IF(AG411="","",INDEX('Quitados DUPP'!$G$1:$G$6635,AG411))</f>
        <v/>
      </c>
      <c r="AJ411" s="17" t="str">
        <f t="shared" si="3"/>
        <v/>
      </c>
    </row>
    <row r="412" spans="31:36">
      <c r="AE412" s="15" t="str">
        <f t="shared" si="0"/>
        <v/>
      </c>
      <c r="AF412" s="15" t="str">
        <f t="shared" si="1"/>
        <v/>
      </c>
      <c r="AG412" s="15" t="str">
        <f>IF(OR(AF412="",AF412="ERRO_CHAVE"),"",IFERROR(MATCH(AF412,'Quitados DUPP'!$U$1:$U$6635,0),""))</f>
        <v/>
      </c>
      <c r="AH412" s="15" t="str">
        <f t="shared" si="2"/>
        <v/>
      </c>
      <c r="AI412" s="17" t="str">
        <f>IF(AG412="","",INDEX('Quitados DUPP'!$G$1:$G$6635,AG412))</f>
        <v/>
      </c>
      <c r="AJ412" s="17" t="str">
        <f t="shared" si="3"/>
        <v/>
      </c>
    </row>
    <row r="413" spans="31:36">
      <c r="AE413" s="15" t="str">
        <f t="shared" si="0"/>
        <v/>
      </c>
      <c r="AF413" s="15" t="str">
        <f t="shared" si="1"/>
        <v/>
      </c>
      <c r="AG413" s="15" t="str">
        <f>IF(OR(AF413="",AF413="ERRO_CHAVE"),"",IFERROR(MATCH(AF413,'Quitados DUPP'!$U$1:$U$6635,0),""))</f>
        <v/>
      </c>
      <c r="AH413" s="15" t="str">
        <f t="shared" si="2"/>
        <v/>
      </c>
      <c r="AI413" s="17" t="str">
        <f>IF(AG413="","",INDEX('Quitados DUPP'!$G$1:$G$6635,AG413))</f>
        <v/>
      </c>
      <c r="AJ413" s="17" t="str">
        <f t="shared" si="3"/>
        <v/>
      </c>
    </row>
    <row r="414" spans="31:36">
      <c r="AE414" s="15" t="str">
        <f t="shared" si="0"/>
        <v/>
      </c>
      <c r="AF414" s="15" t="str">
        <f t="shared" si="1"/>
        <v/>
      </c>
      <c r="AG414" s="15" t="str">
        <f>IF(OR(AF414="",AF414="ERRO_CHAVE"),"",IFERROR(MATCH(AF414,'Quitados DUPP'!$U$1:$U$6635,0),""))</f>
        <v/>
      </c>
      <c r="AH414" s="15" t="str">
        <f t="shared" si="2"/>
        <v/>
      </c>
      <c r="AI414" s="17" t="str">
        <f>IF(AG414="","",INDEX('Quitados DUPP'!$G$1:$G$6635,AG414))</f>
        <v/>
      </c>
      <c r="AJ414" s="17" t="str">
        <f t="shared" si="3"/>
        <v/>
      </c>
    </row>
    <row r="415" spans="31:36">
      <c r="AE415" s="15" t="str">
        <f t="shared" si="0"/>
        <v/>
      </c>
      <c r="AF415" s="15" t="str">
        <f t="shared" si="1"/>
        <v/>
      </c>
      <c r="AG415" s="15" t="str">
        <f>IF(OR(AF415="",AF415="ERRO_CHAVE"),"",IFERROR(MATCH(AF415,'Quitados DUPP'!$U$1:$U$6635,0),""))</f>
        <v/>
      </c>
      <c r="AH415" s="15" t="str">
        <f t="shared" si="2"/>
        <v/>
      </c>
      <c r="AI415" s="17" t="str">
        <f>IF(AG415="","",INDEX('Quitados DUPP'!$G$1:$G$6635,AG415))</f>
        <v/>
      </c>
      <c r="AJ415" s="17" t="str">
        <f t="shared" si="3"/>
        <v/>
      </c>
    </row>
    <row r="416" spans="31:36">
      <c r="AE416" s="15" t="str">
        <f t="shared" si="0"/>
        <v/>
      </c>
      <c r="AF416" s="15" t="str">
        <f t="shared" si="1"/>
        <v/>
      </c>
      <c r="AG416" s="15" t="str">
        <f>IF(OR(AF416="",AF416="ERRO_CHAVE"),"",IFERROR(MATCH(AF416,'Quitados DUPP'!$U$1:$U$6635,0),""))</f>
        <v/>
      </c>
      <c r="AH416" s="15" t="str">
        <f t="shared" si="2"/>
        <v/>
      </c>
      <c r="AI416" s="17" t="str">
        <f>IF(AG416="","",INDEX('Quitados DUPP'!$G$1:$G$6635,AG416))</f>
        <v/>
      </c>
      <c r="AJ416" s="17" t="str">
        <f t="shared" si="3"/>
        <v/>
      </c>
    </row>
    <row r="417" spans="31:36">
      <c r="AE417" s="15" t="str">
        <f t="shared" si="0"/>
        <v/>
      </c>
      <c r="AF417" s="15" t="str">
        <f t="shared" si="1"/>
        <v/>
      </c>
      <c r="AG417" s="15" t="str">
        <f>IF(OR(AF417="",AF417="ERRO_CHAVE"),"",IFERROR(MATCH(AF417,'Quitados DUPP'!$U$1:$U$6635,0),""))</f>
        <v/>
      </c>
      <c r="AH417" s="15" t="str">
        <f t="shared" si="2"/>
        <v/>
      </c>
      <c r="AI417" s="17" t="str">
        <f>IF(AG417="","",INDEX('Quitados DUPP'!$G$1:$G$6635,AG417))</f>
        <v/>
      </c>
      <c r="AJ417" s="17" t="str">
        <f t="shared" si="3"/>
        <v/>
      </c>
    </row>
    <row r="418" spans="31:36">
      <c r="AE418" s="15" t="str">
        <f t="shared" si="0"/>
        <v/>
      </c>
      <c r="AF418" s="15" t="str">
        <f t="shared" si="1"/>
        <v/>
      </c>
      <c r="AG418" s="15" t="str">
        <f>IF(OR(AF418="",AF418="ERRO_CHAVE"),"",IFERROR(MATCH(AF418,'Quitados DUPP'!$U$1:$U$6635,0),""))</f>
        <v/>
      </c>
      <c r="AH418" s="15" t="str">
        <f t="shared" si="2"/>
        <v/>
      </c>
      <c r="AI418" s="17" t="str">
        <f>IF(AG418="","",INDEX('Quitados DUPP'!$G$1:$G$6635,AG418))</f>
        <v/>
      </c>
      <c r="AJ418" s="17" t="str">
        <f t="shared" si="3"/>
        <v/>
      </c>
    </row>
    <row r="419" spans="31:36">
      <c r="AE419" s="15" t="str">
        <f t="shared" si="0"/>
        <v/>
      </c>
      <c r="AF419" s="15" t="str">
        <f t="shared" si="1"/>
        <v/>
      </c>
      <c r="AG419" s="15" t="str">
        <f>IF(OR(AF419="",AF419="ERRO_CHAVE"),"",IFERROR(MATCH(AF419,'Quitados DUPP'!$U$1:$U$6635,0),""))</f>
        <v/>
      </c>
      <c r="AH419" s="15" t="str">
        <f t="shared" si="2"/>
        <v/>
      </c>
      <c r="AI419" s="17" t="str">
        <f>IF(AG419="","",INDEX('Quitados DUPP'!$G$1:$G$6635,AG419))</f>
        <v/>
      </c>
      <c r="AJ419" s="17" t="str">
        <f t="shared" si="3"/>
        <v/>
      </c>
    </row>
    <row r="420" spans="31:36">
      <c r="AE420" s="15" t="str">
        <f t="shared" si="0"/>
        <v/>
      </c>
      <c r="AF420" s="15" t="str">
        <f t="shared" si="1"/>
        <v/>
      </c>
      <c r="AG420" s="15" t="str">
        <f>IF(OR(AF420="",AF420="ERRO_CHAVE"),"",IFERROR(MATCH(AF420,'Quitados DUPP'!$U$1:$U$6635,0),""))</f>
        <v/>
      </c>
      <c r="AH420" s="15" t="str">
        <f t="shared" si="2"/>
        <v/>
      </c>
      <c r="AI420" s="17" t="str">
        <f>IF(AG420="","",INDEX('Quitados DUPP'!$G$1:$G$6635,AG420))</f>
        <v/>
      </c>
      <c r="AJ420" s="17" t="str">
        <f t="shared" si="3"/>
        <v/>
      </c>
    </row>
    <row r="421" spans="31:36">
      <c r="AE421" s="15" t="str">
        <f t="shared" si="0"/>
        <v/>
      </c>
      <c r="AF421" s="15" t="str">
        <f t="shared" si="1"/>
        <v/>
      </c>
      <c r="AG421" s="15" t="str">
        <f>IF(OR(AF421="",AF421="ERRO_CHAVE"),"",IFERROR(MATCH(AF421,'Quitados DUPP'!$U$1:$U$6635,0),""))</f>
        <v/>
      </c>
      <c r="AH421" s="15" t="str">
        <f t="shared" si="2"/>
        <v/>
      </c>
      <c r="AI421" s="17" t="str">
        <f>IF(AG421="","",INDEX('Quitados DUPP'!$G$1:$G$6635,AG421))</f>
        <v/>
      </c>
      <c r="AJ421" s="17" t="str">
        <f t="shared" si="3"/>
        <v/>
      </c>
    </row>
    <row r="422" spans="31:36">
      <c r="AE422" s="15" t="str">
        <f t="shared" si="0"/>
        <v/>
      </c>
      <c r="AF422" s="15" t="str">
        <f t="shared" si="1"/>
        <v/>
      </c>
      <c r="AG422" s="15" t="str">
        <f>IF(OR(AF422="",AF422="ERRO_CHAVE"),"",IFERROR(MATCH(AF422,'Quitados DUPP'!$U$1:$U$6635,0),""))</f>
        <v/>
      </c>
      <c r="AH422" s="15" t="str">
        <f t="shared" si="2"/>
        <v/>
      </c>
      <c r="AI422" s="17" t="str">
        <f>IF(AG422="","",INDEX('Quitados DUPP'!$G$1:$G$6635,AG422))</f>
        <v/>
      </c>
      <c r="AJ422" s="17" t="str">
        <f t="shared" si="3"/>
        <v/>
      </c>
    </row>
    <row r="423" spans="31:36">
      <c r="AE423" s="15" t="str">
        <f t="shared" si="0"/>
        <v/>
      </c>
      <c r="AF423" s="15" t="str">
        <f t="shared" si="1"/>
        <v/>
      </c>
      <c r="AG423" s="15" t="str">
        <f>IF(OR(AF423="",AF423="ERRO_CHAVE"),"",IFERROR(MATCH(AF423,'Quitados DUPP'!$U$1:$U$6635,0),""))</f>
        <v/>
      </c>
      <c r="AH423" s="15" t="str">
        <f t="shared" si="2"/>
        <v/>
      </c>
      <c r="AI423" s="17" t="str">
        <f>IF(AG423="","",INDEX('Quitados DUPP'!$G$1:$G$6635,AG423))</f>
        <v/>
      </c>
      <c r="AJ423" s="17" t="str">
        <f t="shared" si="3"/>
        <v/>
      </c>
    </row>
    <row r="424" spans="31:36">
      <c r="AE424" s="15" t="str">
        <f t="shared" si="0"/>
        <v/>
      </c>
      <c r="AF424" s="15" t="str">
        <f t="shared" si="1"/>
        <v/>
      </c>
      <c r="AG424" s="15" t="str">
        <f>IF(OR(AF424="",AF424="ERRO_CHAVE"),"",IFERROR(MATCH(AF424,'Quitados DUPP'!$U$1:$U$6635,0),""))</f>
        <v/>
      </c>
      <c r="AH424" s="15" t="str">
        <f t="shared" si="2"/>
        <v/>
      </c>
      <c r="AI424" s="17" t="str">
        <f>IF(AG424="","",INDEX('Quitados DUPP'!$G$1:$G$6635,AG424))</f>
        <v/>
      </c>
      <c r="AJ424" s="17" t="str">
        <f t="shared" si="3"/>
        <v/>
      </c>
    </row>
    <row r="425" spans="31:36">
      <c r="AE425" s="15" t="str">
        <f t="shared" si="0"/>
        <v/>
      </c>
      <c r="AF425" s="15" t="str">
        <f t="shared" si="1"/>
        <v/>
      </c>
      <c r="AG425" s="15" t="str">
        <f>IF(OR(AF425="",AF425="ERRO_CHAVE"),"",IFERROR(MATCH(AF425,'Quitados DUPP'!$U$1:$U$6635,0),""))</f>
        <v/>
      </c>
      <c r="AH425" s="15" t="str">
        <f t="shared" si="2"/>
        <v/>
      </c>
      <c r="AI425" s="17" t="str">
        <f>IF(AG425="","",INDEX('Quitados DUPP'!$G$1:$G$6635,AG425))</f>
        <v/>
      </c>
      <c r="AJ425" s="17" t="str">
        <f t="shared" si="3"/>
        <v/>
      </c>
    </row>
    <row r="426" spans="31:36">
      <c r="AE426" s="15" t="str">
        <f t="shared" si="0"/>
        <v/>
      </c>
      <c r="AF426" s="15" t="str">
        <f t="shared" si="1"/>
        <v/>
      </c>
      <c r="AG426" s="15" t="str">
        <f>IF(OR(AF426="",AF426="ERRO_CHAVE"),"",IFERROR(MATCH(AF426,'Quitados DUPP'!$U$1:$U$6635,0),""))</f>
        <v/>
      </c>
      <c r="AH426" s="15" t="str">
        <f t="shared" si="2"/>
        <v/>
      </c>
      <c r="AI426" s="17" t="str">
        <f>IF(AG426="","",INDEX('Quitados DUPP'!$G$1:$G$6635,AG426))</f>
        <v/>
      </c>
      <c r="AJ426" s="17" t="str">
        <f t="shared" si="3"/>
        <v/>
      </c>
    </row>
    <row r="427" spans="31:36">
      <c r="AE427" s="15" t="str">
        <f t="shared" si="0"/>
        <v/>
      </c>
      <c r="AF427" s="15" t="str">
        <f t="shared" si="1"/>
        <v/>
      </c>
      <c r="AG427" s="15" t="str">
        <f>IF(OR(AF427="",AF427="ERRO_CHAVE"),"",IFERROR(MATCH(AF427,'Quitados DUPP'!$U$1:$U$6635,0),""))</f>
        <v/>
      </c>
      <c r="AH427" s="15" t="str">
        <f t="shared" si="2"/>
        <v/>
      </c>
      <c r="AI427" s="17" t="str">
        <f>IF(AG427="","",INDEX('Quitados DUPP'!$G$1:$G$6635,AG427))</f>
        <v/>
      </c>
      <c r="AJ427" s="17" t="str">
        <f t="shared" si="3"/>
        <v/>
      </c>
    </row>
    <row r="428" spans="31:36">
      <c r="AE428" s="15" t="str">
        <f t="shared" si="0"/>
        <v/>
      </c>
      <c r="AF428" s="15" t="str">
        <f t="shared" si="1"/>
        <v/>
      </c>
      <c r="AG428" s="15" t="str">
        <f>IF(OR(AF428="",AF428="ERRO_CHAVE"),"",IFERROR(MATCH(AF428,'Quitados DUPP'!$U$1:$U$6635,0),""))</f>
        <v/>
      </c>
      <c r="AH428" s="15" t="str">
        <f t="shared" si="2"/>
        <v/>
      </c>
      <c r="AI428" s="17" t="str">
        <f>IF(AG428="","",INDEX('Quitados DUPP'!$G$1:$G$6635,AG428))</f>
        <v/>
      </c>
      <c r="AJ428" s="17" t="str">
        <f t="shared" si="3"/>
        <v/>
      </c>
    </row>
    <row r="429" spans="31:36">
      <c r="AE429" s="15" t="str">
        <f t="shared" si="0"/>
        <v/>
      </c>
      <c r="AF429" s="15" t="str">
        <f t="shared" si="1"/>
        <v/>
      </c>
      <c r="AG429" s="15" t="str">
        <f>IF(OR(AF429="",AF429="ERRO_CHAVE"),"",IFERROR(MATCH(AF429,'Quitados DUPP'!$U$1:$U$6635,0),""))</f>
        <v/>
      </c>
      <c r="AH429" s="15" t="str">
        <f t="shared" si="2"/>
        <v/>
      </c>
      <c r="AI429" s="17" t="str">
        <f>IF(AG429="","",INDEX('Quitados DUPP'!$G$1:$G$6635,AG429))</f>
        <v/>
      </c>
      <c r="AJ429" s="17" t="str">
        <f t="shared" si="3"/>
        <v/>
      </c>
    </row>
    <row r="430" spans="31:36">
      <c r="AE430" s="15" t="str">
        <f t="shared" si="0"/>
        <v/>
      </c>
      <c r="AF430" s="15" t="str">
        <f t="shared" si="1"/>
        <v/>
      </c>
      <c r="AG430" s="15" t="str">
        <f>IF(OR(AF430="",AF430="ERRO_CHAVE"),"",IFERROR(MATCH(AF430,'Quitados DUPP'!$U$1:$U$6635,0),""))</f>
        <v/>
      </c>
      <c r="AH430" s="15" t="str">
        <f t="shared" si="2"/>
        <v/>
      </c>
      <c r="AI430" s="17" t="str">
        <f>IF(AG430="","",INDEX('Quitados DUPP'!$G$1:$G$6635,AG430))</f>
        <v/>
      </c>
      <c r="AJ430" s="17" t="str">
        <f t="shared" si="3"/>
        <v/>
      </c>
    </row>
    <row r="431" spans="31:36">
      <c r="AE431" s="15" t="str">
        <f t="shared" si="0"/>
        <v/>
      </c>
      <c r="AF431" s="15" t="str">
        <f t="shared" si="1"/>
        <v/>
      </c>
      <c r="AG431" s="15" t="str">
        <f>IF(OR(AF431="",AF431="ERRO_CHAVE"),"",IFERROR(MATCH(AF431,'Quitados DUPP'!$U$1:$U$6635,0),""))</f>
        <v/>
      </c>
      <c r="AH431" s="15" t="str">
        <f t="shared" si="2"/>
        <v/>
      </c>
      <c r="AI431" s="17" t="str">
        <f>IF(AG431="","",INDEX('Quitados DUPP'!$G$1:$G$6635,AG431))</f>
        <v/>
      </c>
      <c r="AJ431" s="17" t="str">
        <f t="shared" si="3"/>
        <v/>
      </c>
    </row>
    <row r="432" spans="31:36">
      <c r="AE432" s="15" t="str">
        <f t="shared" si="0"/>
        <v/>
      </c>
      <c r="AF432" s="15" t="str">
        <f t="shared" si="1"/>
        <v/>
      </c>
      <c r="AG432" s="15" t="str">
        <f>IF(OR(AF432="",AF432="ERRO_CHAVE"),"",IFERROR(MATCH(AF432,'Quitados DUPP'!$U$1:$U$6635,0),""))</f>
        <v/>
      </c>
      <c r="AH432" s="15" t="str">
        <f t="shared" si="2"/>
        <v/>
      </c>
      <c r="AI432" s="17" t="str">
        <f>IF(AG432="","",INDEX('Quitados DUPP'!$G$1:$G$6635,AG432))</f>
        <v/>
      </c>
      <c r="AJ432" s="17" t="str">
        <f t="shared" si="3"/>
        <v/>
      </c>
    </row>
    <row r="433" spans="31:36">
      <c r="AE433" s="15" t="str">
        <f t="shared" si="0"/>
        <v/>
      </c>
      <c r="AF433" s="15" t="str">
        <f t="shared" si="1"/>
        <v/>
      </c>
      <c r="AG433" s="15" t="str">
        <f>IF(OR(AF433="",AF433="ERRO_CHAVE"),"",IFERROR(MATCH(AF433,'Quitados DUPP'!$U$1:$U$6635,0),""))</f>
        <v/>
      </c>
      <c r="AH433" s="15" t="str">
        <f t="shared" si="2"/>
        <v/>
      </c>
      <c r="AI433" s="17" t="str">
        <f>IF(AG433="","",INDEX('Quitados DUPP'!$G$1:$G$6635,AG433))</f>
        <v/>
      </c>
      <c r="AJ433" s="17" t="str">
        <f t="shared" si="3"/>
        <v/>
      </c>
    </row>
    <row r="434" spans="31:36">
      <c r="AE434" s="15" t="str">
        <f t="shared" si="0"/>
        <v/>
      </c>
      <c r="AF434" s="15" t="str">
        <f t="shared" si="1"/>
        <v/>
      </c>
      <c r="AG434" s="15" t="str">
        <f>IF(OR(AF434="",AF434="ERRO_CHAVE"),"",IFERROR(MATCH(AF434,'Quitados DUPP'!$U$1:$U$6635,0),""))</f>
        <v/>
      </c>
      <c r="AH434" s="15" t="str">
        <f t="shared" si="2"/>
        <v/>
      </c>
      <c r="AI434" s="17" t="str">
        <f>IF(AG434="","",INDEX('Quitados DUPP'!$G$1:$G$6635,AG434))</f>
        <v/>
      </c>
      <c r="AJ434" s="17" t="str">
        <f t="shared" si="3"/>
        <v/>
      </c>
    </row>
    <row r="435" spans="31:36">
      <c r="AE435" s="15" t="str">
        <f t="shared" si="0"/>
        <v/>
      </c>
      <c r="AF435" s="15" t="str">
        <f t="shared" si="1"/>
        <v/>
      </c>
      <c r="AG435" s="15" t="str">
        <f>IF(OR(AF435="",AF435="ERRO_CHAVE"),"",IFERROR(MATCH(AF435,'Quitados DUPP'!$U$1:$U$6635,0),""))</f>
        <v/>
      </c>
      <c r="AH435" s="15" t="str">
        <f t="shared" si="2"/>
        <v/>
      </c>
      <c r="AI435" s="17" t="str">
        <f>IF(AG435="","",INDEX('Quitados DUPP'!$G$1:$G$6635,AG435))</f>
        <v/>
      </c>
      <c r="AJ435" s="17" t="str">
        <f t="shared" si="3"/>
        <v/>
      </c>
    </row>
    <row r="436" spans="31:36">
      <c r="AE436" s="15" t="str">
        <f t="shared" si="0"/>
        <v/>
      </c>
      <c r="AF436" s="15" t="str">
        <f t="shared" si="1"/>
        <v/>
      </c>
      <c r="AG436" s="15" t="str">
        <f>IF(OR(AF436="",AF436="ERRO_CHAVE"),"",IFERROR(MATCH(AF436,'Quitados DUPP'!$U$1:$U$6635,0),""))</f>
        <v/>
      </c>
      <c r="AH436" s="15" t="str">
        <f t="shared" si="2"/>
        <v/>
      </c>
      <c r="AI436" s="17" t="str">
        <f>IF(AG436="","",INDEX('Quitados DUPP'!$G$1:$G$6635,AG436))</f>
        <v/>
      </c>
      <c r="AJ436" s="17" t="str">
        <f t="shared" si="3"/>
        <v/>
      </c>
    </row>
    <row r="437" spans="31:36">
      <c r="AE437" s="15" t="str">
        <f t="shared" si="0"/>
        <v/>
      </c>
      <c r="AF437" s="15" t="str">
        <f t="shared" si="1"/>
        <v/>
      </c>
      <c r="AG437" s="15" t="str">
        <f>IF(OR(AF437="",AF437="ERRO_CHAVE"),"",IFERROR(MATCH(AF437,'Quitados DUPP'!$U$1:$U$6635,0),""))</f>
        <v/>
      </c>
      <c r="AH437" s="15" t="str">
        <f t="shared" si="2"/>
        <v/>
      </c>
      <c r="AI437" s="17" t="str">
        <f>IF(AG437="","",INDEX('Quitados DUPP'!$G$1:$G$6635,AG437))</f>
        <v/>
      </c>
      <c r="AJ437" s="17" t="str">
        <f t="shared" si="3"/>
        <v/>
      </c>
    </row>
    <row r="438" spans="31:36">
      <c r="AE438" s="15" t="str">
        <f t="shared" si="0"/>
        <v/>
      </c>
      <c r="AF438" s="15" t="str">
        <f t="shared" si="1"/>
        <v/>
      </c>
      <c r="AG438" s="15" t="str">
        <f>IF(OR(AF438="",AF438="ERRO_CHAVE"),"",IFERROR(MATCH(AF438,'Quitados DUPP'!$U$1:$U$6635,0),""))</f>
        <v/>
      </c>
      <c r="AH438" s="15" t="str">
        <f t="shared" si="2"/>
        <v/>
      </c>
      <c r="AI438" s="17" t="str">
        <f>IF(AG438="","",INDEX('Quitados DUPP'!$G$1:$G$6635,AG438))</f>
        <v/>
      </c>
      <c r="AJ438" s="17" t="str">
        <f t="shared" si="3"/>
        <v/>
      </c>
    </row>
    <row r="439" spans="31:36">
      <c r="AE439" s="15" t="str">
        <f t="shared" si="0"/>
        <v/>
      </c>
      <c r="AF439" s="15" t="str">
        <f t="shared" si="1"/>
        <v/>
      </c>
      <c r="AG439" s="15" t="str">
        <f>IF(OR(AF439="",AF439="ERRO_CHAVE"),"",IFERROR(MATCH(AF439,'Quitados DUPP'!$U$1:$U$6635,0),""))</f>
        <v/>
      </c>
      <c r="AH439" s="15" t="str">
        <f t="shared" si="2"/>
        <v/>
      </c>
      <c r="AI439" s="17" t="str">
        <f>IF(AG439="","",INDEX('Quitados DUPP'!$G$1:$G$6635,AG439))</f>
        <v/>
      </c>
      <c r="AJ439" s="17" t="str">
        <f t="shared" si="3"/>
        <v/>
      </c>
    </row>
    <row r="440" spans="31:36">
      <c r="AE440" s="15" t="str">
        <f t="shared" si="0"/>
        <v/>
      </c>
      <c r="AF440" s="15" t="str">
        <f t="shared" si="1"/>
        <v/>
      </c>
      <c r="AG440" s="15" t="str">
        <f>IF(OR(AF440="",AF440="ERRO_CHAVE"),"",IFERROR(MATCH(AF440,'Quitados DUPP'!$U$1:$U$6635,0),""))</f>
        <v/>
      </c>
      <c r="AH440" s="15" t="str">
        <f t="shared" si="2"/>
        <v/>
      </c>
      <c r="AI440" s="17" t="str">
        <f>IF(AG440="","",INDEX('Quitados DUPP'!$G$1:$G$6635,AG440))</f>
        <v/>
      </c>
      <c r="AJ440" s="17" t="str">
        <f t="shared" si="3"/>
        <v/>
      </c>
    </row>
    <row r="441" spans="31:36">
      <c r="AE441" s="15" t="str">
        <f t="shared" si="0"/>
        <v/>
      </c>
      <c r="AF441" s="15" t="str">
        <f t="shared" si="1"/>
        <v/>
      </c>
      <c r="AG441" s="15" t="str">
        <f>IF(OR(AF441="",AF441="ERRO_CHAVE"),"",IFERROR(MATCH(AF441,'Quitados DUPP'!$U$1:$U$6635,0),""))</f>
        <v/>
      </c>
      <c r="AH441" s="15" t="str">
        <f t="shared" si="2"/>
        <v/>
      </c>
      <c r="AI441" s="17" t="str">
        <f>IF(AG441="","",INDEX('Quitados DUPP'!$G$1:$G$6635,AG441))</f>
        <v/>
      </c>
      <c r="AJ441" s="17" t="str">
        <f t="shared" si="3"/>
        <v/>
      </c>
    </row>
    <row r="442" spans="31:36">
      <c r="AE442" s="15" t="str">
        <f t="shared" si="0"/>
        <v/>
      </c>
      <c r="AF442" s="15" t="str">
        <f t="shared" si="1"/>
        <v/>
      </c>
      <c r="AG442" s="15" t="str">
        <f>IF(OR(AF442="",AF442="ERRO_CHAVE"),"",IFERROR(MATCH(AF442,'Quitados DUPP'!$U$1:$U$6635,0),""))</f>
        <v/>
      </c>
      <c r="AH442" s="15" t="str">
        <f t="shared" si="2"/>
        <v/>
      </c>
      <c r="AI442" s="17" t="str">
        <f>IF(AG442="","",INDEX('Quitados DUPP'!$G$1:$G$6635,AG442))</f>
        <v/>
      </c>
      <c r="AJ442" s="17" t="str">
        <f t="shared" si="3"/>
        <v/>
      </c>
    </row>
    <row r="443" spans="31:36">
      <c r="AE443" s="15" t="str">
        <f t="shared" si="0"/>
        <v/>
      </c>
      <c r="AF443" s="15" t="str">
        <f t="shared" si="1"/>
        <v/>
      </c>
      <c r="AG443" s="15" t="str">
        <f>IF(OR(AF443="",AF443="ERRO_CHAVE"),"",IFERROR(MATCH(AF443,'Quitados DUPP'!$U$1:$U$6635,0),""))</f>
        <v/>
      </c>
      <c r="AH443" s="15" t="str">
        <f t="shared" si="2"/>
        <v/>
      </c>
      <c r="AI443" s="17" t="str">
        <f>IF(AG443="","",INDEX('Quitados DUPP'!$G$1:$G$6635,AG443))</f>
        <v/>
      </c>
      <c r="AJ443" s="17" t="str">
        <f t="shared" si="3"/>
        <v/>
      </c>
    </row>
    <row r="444" spans="31:36">
      <c r="AE444" s="15" t="str">
        <f t="shared" si="0"/>
        <v/>
      </c>
      <c r="AF444" s="15" t="str">
        <f t="shared" si="1"/>
        <v/>
      </c>
      <c r="AG444" s="15" t="str">
        <f>IF(OR(AF444="",AF444="ERRO_CHAVE"),"",IFERROR(MATCH(AF444,'Quitados DUPP'!$U$1:$U$6635,0),""))</f>
        <v/>
      </c>
      <c r="AH444" s="15" t="str">
        <f t="shared" si="2"/>
        <v/>
      </c>
      <c r="AI444" s="17" t="str">
        <f>IF(AG444="","",INDEX('Quitados DUPP'!$G$1:$G$6635,AG444))</f>
        <v/>
      </c>
      <c r="AJ444" s="17" t="str">
        <f t="shared" si="3"/>
        <v/>
      </c>
    </row>
    <row r="445" spans="31:36">
      <c r="AE445" s="15" t="str">
        <f t="shared" si="0"/>
        <v/>
      </c>
      <c r="AF445" s="15" t="str">
        <f t="shared" si="1"/>
        <v/>
      </c>
      <c r="AG445" s="15" t="str">
        <f>IF(OR(AF445="",AF445="ERRO_CHAVE"),"",IFERROR(MATCH(AF445,'Quitados DUPP'!$U$1:$U$6635,0),""))</f>
        <v/>
      </c>
      <c r="AH445" s="15" t="str">
        <f t="shared" si="2"/>
        <v/>
      </c>
      <c r="AI445" s="17" t="str">
        <f>IF(AG445="","",INDEX('Quitados DUPP'!$G$1:$G$6635,AG445))</f>
        <v/>
      </c>
      <c r="AJ445" s="17" t="str">
        <f t="shared" si="3"/>
        <v/>
      </c>
    </row>
    <row r="446" spans="31:36">
      <c r="AE446" s="15" t="str">
        <f t="shared" si="0"/>
        <v/>
      </c>
      <c r="AF446" s="15" t="str">
        <f t="shared" si="1"/>
        <v/>
      </c>
      <c r="AG446" s="15" t="str">
        <f>IF(OR(AF446="",AF446="ERRO_CHAVE"),"",IFERROR(MATCH(AF446,'Quitados DUPP'!$U$1:$U$6635,0),""))</f>
        <v/>
      </c>
      <c r="AH446" s="15" t="str">
        <f t="shared" si="2"/>
        <v/>
      </c>
      <c r="AI446" s="17" t="str">
        <f>IF(AG446="","",INDEX('Quitados DUPP'!$G$1:$G$6635,AG446))</f>
        <v/>
      </c>
      <c r="AJ446" s="17" t="str">
        <f t="shared" si="3"/>
        <v/>
      </c>
    </row>
    <row r="447" spans="31:36">
      <c r="AE447" s="15" t="str">
        <f t="shared" si="0"/>
        <v/>
      </c>
      <c r="AF447" s="15" t="str">
        <f t="shared" si="1"/>
        <v/>
      </c>
      <c r="AG447" s="15" t="str">
        <f>IF(OR(AF447="",AF447="ERRO_CHAVE"),"",IFERROR(MATCH(AF447,'Quitados DUPP'!$U$1:$U$6635,0),""))</f>
        <v/>
      </c>
      <c r="AH447" s="15" t="str">
        <f t="shared" si="2"/>
        <v/>
      </c>
      <c r="AI447" s="17" t="str">
        <f>IF(AG447="","",INDEX('Quitados DUPP'!$G$1:$G$6635,AG447))</f>
        <v/>
      </c>
      <c r="AJ447" s="17" t="str">
        <f t="shared" si="3"/>
        <v/>
      </c>
    </row>
    <row r="448" spans="31:36">
      <c r="AE448" s="15" t="str">
        <f t="shared" si="0"/>
        <v/>
      </c>
      <c r="AF448" s="15" t="str">
        <f t="shared" si="1"/>
        <v/>
      </c>
      <c r="AG448" s="15" t="str">
        <f>IF(OR(AF448="",AF448="ERRO_CHAVE"),"",IFERROR(MATCH(AF448,'Quitados DUPP'!$U$1:$U$6635,0),""))</f>
        <v/>
      </c>
      <c r="AH448" s="15" t="str">
        <f t="shared" si="2"/>
        <v/>
      </c>
      <c r="AI448" s="17" t="str">
        <f>IF(AG448="","",INDEX('Quitados DUPP'!$G$1:$G$6635,AG448))</f>
        <v/>
      </c>
      <c r="AJ448" s="17" t="str">
        <f t="shared" si="3"/>
        <v/>
      </c>
    </row>
    <row r="449" spans="31:36">
      <c r="AE449" s="15" t="str">
        <f t="shared" si="0"/>
        <v/>
      </c>
      <c r="AF449" s="15" t="str">
        <f t="shared" si="1"/>
        <v/>
      </c>
      <c r="AG449" s="15" t="str">
        <f>IF(OR(AF449="",AF449="ERRO_CHAVE"),"",IFERROR(MATCH(AF449,'Quitados DUPP'!$U$1:$U$6635,0),""))</f>
        <v/>
      </c>
      <c r="AH449" s="15" t="str">
        <f t="shared" si="2"/>
        <v/>
      </c>
      <c r="AI449" s="17" t="str">
        <f>IF(AG449="","",INDEX('Quitados DUPP'!$G$1:$G$6635,AG449))</f>
        <v/>
      </c>
      <c r="AJ449" s="17" t="str">
        <f t="shared" si="3"/>
        <v/>
      </c>
    </row>
    <row r="450" spans="31:36">
      <c r="AE450" s="15" t="str">
        <f t="shared" si="0"/>
        <v/>
      </c>
      <c r="AF450" s="15" t="str">
        <f t="shared" si="1"/>
        <v/>
      </c>
      <c r="AG450" s="15" t="str">
        <f>IF(OR(AF450="",AF450="ERRO_CHAVE"),"",IFERROR(MATCH(AF450,'Quitados DUPP'!$U$1:$U$6635,0),""))</f>
        <v/>
      </c>
      <c r="AH450" s="15" t="str">
        <f t="shared" si="2"/>
        <v/>
      </c>
      <c r="AI450" s="17" t="str">
        <f>IF(AG450="","",INDEX('Quitados DUPP'!$G$1:$G$6635,AG450))</f>
        <v/>
      </c>
      <c r="AJ450" s="17" t="str">
        <f t="shared" si="3"/>
        <v/>
      </c>
    </row>
    <row r="451" spans="31:36">
      <c r="AE451" s="15" t="str">
        <f t="shared" si="0"/>
        <v/>
      </c>
      <c r="AF451" s="15" t="str">
        <f t="shared" si="1"/>
        <v/>
      </c>
      <c r="AG451" s="15" t="str">
        <f>IF(OR(AF451="",AF451="ERRO_CHAVE"),"",IFERROR(MATCH(AF451,'Quitados DUPP'!$U$1:$U$6635,0),""))</f>
        <v/>
      </c>
      <c r="AH451" s="15" t="str">
        <f t="shared" si="2"/>
        <v/>
      </c>
      <c r="AI451" s="17" t="str">
        <f>IF(AG451="","",INDEX('Quitados DUPP'!$G$1:$G$6635,AG451))</f>
        <v/>
      </c>
      <c r="AJ451" s="17" t="str">
        <f t="shared" si="3"/>
        <v/>
      </c>
    </row>
    <row r="452" spans="31:36">
      <c r="AE452" s="15" t="str">
        <f t="shared" si="0"/>
        <v/>
      </c>
      <c r="AF452" s="15" t="str">
        <f t="shared" si="1"/>
        <v/>
      </c>
      <c r="AG452" s="15" t="str">
        <f>IF(OR(AF452="",AF452="ERRO_CHAVE"),"",IFERROR(MATCH(AF452,'Quitados DUPP'!$U$1:$U$6635,0),""))</f>
        <v/>
      </c>
      <c r="AH452" s="15" t="str">
        <f t="shared" si="2"/>
        <v/>
      </c>
      <c r="AI452" s="17" t="str">
        <f>IF(AG452="","",INDEX('Quitados DUPP'!$G$1:$G$6635,AG452))</f>
        <v/>
      </c>
      <c r="AJ452" s="17" t="str">
        <f t="shared" si="3"/>
        <v/>
      </c>
    </row>
    <row r="453" spans="31:36">
      <c r="AE453" s="15" t="str">
        <f t="shared" si="0"/>
        <v/>
      </c>
      <c r="AF453" s="15" t="str">
        <f t="shared" si="1"/>
        <v/>
      </c>
      <c r="AG453" s="15" t="str">
        <f>IF(OR(AF453="",AF453="ERRO_CHAVE"),"",IFERROR(MATCH(AF453,'Quitados DUPP'!$U$1:$U$6635,0),""))</f>
        <v/>
      </c>
      <c r="AH453" s="15" t="str">
        <f t="shared" si="2"/>
        <v/>
      </c>
      <c r="AI453" s="17" t="str">
        <f>IF(AG453="","",INDEX('Quitados DUPP'!$G$1:$G$6635,AG453))</f>
        <v/>
      </c>
      <c r="AJ453" s="17" t="str">
        <f t="shared" si="3"/>
        <v/>
      </c>
    </row>
    <row r="454" spans="31:36">
      <c r="AE454" s="15" t="str">
        <f t="shared" si="0"/>
        <v/>
      </c>
      <c r="AF454" s="15" t="str">
        <f t="shared" si="1"/>
        <v/>
      </c>
      <c r="AG454" s="15" t="str">
        <f>IF(OR(AF454="",AF454="ERRO_CHAVE"),"",IFERROR(MATCH(AF454,'Quitados DUPP'!$U$1:$U$6635,0),""))</f>
        <v/>
      </c>
      <c r="AH454" s="15" t="str">
        <f t="shared" si="2"/>
        <v/>
      </c>
      <c r="AI454" s="17" t="str">
        <f>IF(AG454="","",INDEX('Quitados DUPP'!$G$1:$G$6635,AG454))</f>
        <v/>
      </c>
      <c r="AJ454" s="17" t="str">
        <f t="shared" si="3"/>
        <v/>
      </c>
    </row>
    <row r="455" spans="31:36">
      <c r="AE455" s="15" t="str">
        <f t="shared" si="0"/>
        <v/>
      </c>
      <c r="AF455" s="15" t="str">
        <f t="shared" si="1"/>
        <v/>
      </c>
      <c r="AG455" s="15" t="str">
        <f>IF(OR(AF455="",AF455="ERRO_CHAVE"),"",IFERROR(MATCH(AF455,'Quitados DUPP'!$U$1:$U$6635,0),""))</f>
        <v/>
      </c>
      <c r="AH455" s="15" t="str">
        <f t="shared" si="2"/>
        <v/>
      </c>
      <c r="AI455" s="17" t="str">
        <f>IF(AG455="","",INDEX('Quitados DUPP'!$G$1:$G$6635,AG455))</f>
        <v/>
      </c>
      <c r="AJ455" s="17" t="str">
        <f t="shared" si="3"/>
        <v/>
      </c>
    </row>
    <row r="456" spans="31:36">
      <c r="AE456" s="15" t="str">
        <f t="shared" si="0"/>
        <v/>
      </c>
      <c r="AF456" s="15" t="str">
        <f t="shared" si="1"/>
        <v/>
      </c>
      <c r="AG456" s="15" t="str">
        <f>IF(OR(AF456="",AF456="ERRO_CHAVE"),"",IFERROR(MATCH(AF456,'Quitados DUPP'!$U$1:$U$6635,0),""))</f>
        <v/>
      </c>
      <c r="AH456" s="15" t="str">
        <f t="shared" si="2"/>
        <v/>
      </c>
      <c r="AI456" s="17" t="str">
        <f>IF(AG456="","",INDEX('Quitados DUPP'!$G$1:$G$6635,AG456))</f>
        <v/>
      </c>
      <c r="AJ456" s="17" t="str">
        <f t="shared" si="3"/>
        <v/>
      </c>
    </row>
    <row r="457" spans="31:36">
      <c r="AE457" s="15" t="str">
        <f t="shared" si="0"/>
        <v/>
      </c>
      <c r="AF457" s="15" t="str">
        <f t="shared" si="1"/>
        <v/>
      </c>
      <c r="AG457" s="15" t="str">
        <f>IF(OR(AF457="",AF457="ERRO_CHAVE"),"",IFERROR(MATCH(AF457,'Quitados DUPP'!$U$1:$U$6635,0),""))</f>
        <v/>
      </c>
      <c r="AH457" s="15" t="str">
        <f t="shared" si="2"/>
        <v/>
      </c>
      <c r="AI457" s="17" t="str">
        <f>IF(AG457="","",INDEX('Quitados DUPP'!$G$1:$G$6635,AG457))</f>
        <v/>
      </c>
      <c r="AJ457" s="17" t="str">
        <f t="shared" si="3"/>
        <v/>
      </c>
    </row>
    <row r="458" spans="31:36">
      <c r="AE458" s="15" t="str">
        <f t="shared" si="0"/>
        <v/>
      </c>
      <c r="AF458" s="15" t="str">
        <f t="shared" si="1"/>
        <v/>
      </c>
      <c r="AG458" s="15" t="str">
        <f>IF(OR(AF458="",AF458="ERRO_CHAVE"),"",IFERROR(MATCH(AF458,'Quitados DUPP'!$U$1:$U$6635,0),""))</f>
        <v/>
      </c>
      <c r="AH458" s="15" t="str">
        <f t="shared" si="2"/>
        <v/>
      </c>
      <c r="AI458" s="17" t="str">
        <f>IF(AG458="","",INDEX('Quitados DUPP'!$G$1:$G$6635,AG458))</f>
        <v/>
      </c>
      <c r="AJ458" s="17" t="str">
        <f t="shared" si="3"/>
        <v/>
      </c>
    </row>
    <row r="459" spans="31:36">
      <c r="AE459" s="15" t="str">
        <f t="shared" si="0"/>
        <v/>
      </c>
      <c r="AF459" s="15" t="str">
        <f t="shared" si="1"/>
        <v/>
      </c>
      <c r="AG459" s="15" t="str">
        <f>IF(OR(AF459="",AF459="ERRO_CHAVE"),"",IFERROR(MATCH(AF459,'Quitados DUPP'!$U$1:$U$6635,0),""))</f>
        <v/>
      </c>
      <c r="AH459" s="15" t="str">
        <f t="shared" si="2"/>
        <v/>
      </c>
      <c r="AI459" s="17" t="str">
        <f>IF(AG459="","",INDEX('Quitados DUPP'!$G$1:$G$6635,AG459))</f>
        <v/>
      </c>
      <c r="AJ459" s="17" t="str">
        <f t="shared" si="3"/>
        <v/>
      </c>
    </row>
    <row r="460" spans="31:36">
      <c r="AE460" s="15" t="str">
        <f t="shared" si="0"/>
        <v/>
      </c>
      <c r="AF460" s="15" t="str">
        <f t="shared" si="1"/>
        <v/>
      </c>
      <c r="AG460" s="15" t="str">
        <f>IF(OR(AF460="",AF460="ERRO_CHAVE"),"",IFERROR(MATCH(AF460,'Quitados DUPP'!$U$1:$U$6635,0),""))</f>
        <v/>
      </c>
      <c r="AH460" s="15" t="str">
        <f t="shared" si="2"/>
        <v/>
      </c>
      <c r="AI460" s="17" t="str">
        <f>IF(AG460="","",INDEX('Quitados DUPP'!$G$1:$G$6635,AG460))</f>
        <v/>
      </c>
      <c r="AJ460" s="17" t="str">
        <f t="shared" si="3"/>
        <v/>
      </c>
    </row>
    <row r="461" spans="31:36">
      <c r="AE461" s="15" t="str">
        <f t="shared" si="0"/>
        <v/>
      </c>
      <c r="AF461" s="15" t="str">
        <f t="shared" si="1"/>
        <v/>
      </c>
      <c r="AG461" s="15" t="str">
        <f>IF(OR(AF461="",AF461="ERRO_CHAVE"),"",IFERROR(MATCH(AF461,'Quitados DUPP'!$U$1:$U$6635,0),""))</f>
        <v/>
      </c>
      <c r="AH461" s="15" t="str">
        <f t="shared" si="2"/>
        <v/>
      </c>
      <c r="AI461" s="17" t="str">
        <f>IF(AG461="","",INDEX('Quitados DUPP'!$G$1:$G$6635,AG461))</f>
        <v/>
      </c>
      <c r="AJ461" s="17" t="str">
        <f t="shared" si="3"/>
        <v/>
      </c>
    </row>
    <row r="462" spans="31:36">
      <c r="AE462" s="15" t="str">
        <f t="shared" si="0"/>
        <v/>
      </c>
      <c r="AF462" s="15" t="str">
        <f t="shared" si="1"/>
        <v/>
      </c>
      <c r="AG462" s="15" t="str">
        <f>IF(OR(AF462="",AF462="ERRO_CHAVE"),"",IFERROR(MATCH(AF462,'Quitados DUPP'!$U$1:$U$6635,0),""))</f>
        <v/>
      </c>
      <c r="AH462" s="15" t="str">
        <f t="shared" si="2"/>
        <v/>
      </c>
      <c r="AI462" s="17" t="str">
        <f>IF(AG462="","",INDEX('Quitados DUPP'!$G$1:$G$6635,AG462))</f>
        <v/>
      </c>
      <c r="AJ462" s="17" t="str">
        <f t="shared" si="3"/>
        <v/>
      </c>
    </row>
    <row r="463" spans="31:36">
      <c r="AE463" s="15" t="str">
        <f t="shared" si="0"/>
        <v/>
      </c>
      <c r="AF463" s="15" t="str">
        <f t="shared" si="1"/>
        <v/>
      </c>
      <c r="AG463" s="15" t="str">
        <f>IF(OR(AF463="",AF463="ERRO_CHAVE"),"",IFERROR(MATCH(AF463,'Quitados DUPP'!$U$1:$U$6635,0),""))</f>
        <v/>
      </c>
      <c r="AH463" s="15" t="str">
        <f t="shared" si="2"/>
        <v/>
      </c>
      <c r="AI463" s="17" t="str">
        <f>IF(AG463="","",INDEX('Quitados DUPP'!$G$1:$G$6635,AG463))</f>
        <v/>
      </c>
      <c r="AJ463" s="17" t="str">
        <f t="shared" si="3"/>
        <v/>
      </c>
    </row>
    <row r="464" spans="31:36">
      <c r="AE464" s="15" t="str">
        <f t="shared" si="0"/>
        <v/>
      </c>
      <c r="AF464" s="15" t="str">
        <f t="shared" si="1"/>
        <v/>
      </c>
      <c r="AG464" s="15" t="str">
        <f>IF(OR(AF464="",AF464="ERRO_CHAVE"),"",IFERROR(MATCH(AF464,'Quitados DUPP'!$U$1:$U$6635,0),""))</f>
        <v/>
      </c>
      <c r="AH464" s="15" t="str">
        <f t="shared" si="2"/>
        <v/>
      </c>
      <c r="AI464" s="17" t="str">
        <f>IF(AG464="","",INDEX('Quitados DUPP'!$G$1:$G$6635,AG464))</f>
        <v/>
      </c>
      <c r="AJ464" s="17" t="str">
        <f t="shared" si="3"/>
        <v/>
      </c>
    </row>
    <row r="465" spans="31:36">
      <c r="AE465" s="15" t="str">
        <f t="shared" si="0"/>
        <v/>
      </c>
      <c r="AF465" s="15" t="str">
        <f t="shared" si="1"/>
        <v/>
      </c>
      <c r="AG465" s="15" t="str">
        <f>IF(OR(AF465="",AF465="ERRO_CHAVE"),"",IFERROR(MATCH(AF465,'Quitados DUPP'!$U$1:$U$6635,0),""))</f>
        <v/>
      </c>
      <c r="AH465" s="15" t="str">
        <f t="shared" si="2"/>
        <v/>
      </c>
      <c r="AI465" s="17" t="str">
        <f>IF(AG465="","",INDEX('Quitados DUPP'!$G$1:$G$6635,AG465))</f>
        <v/>
      </c>
      <c r="AJ465" s="17" t="str">
        <f t="shared" si="3"/>
        <v/>
      </c>
    </row>
    <row r="466" spans="31:36">
      <c r="AE466" s="15" t="str">
        <f t="shared" si="0"/>
        <v/>
      </c>
      <c r="AF466" s="15" t="str">
        <f t="shared" si="1"/>
        <v/>
      </c>
      <c r="AG466" s="15" t="str">
        <f>IF(OR(AF466="",AF466="ERRO_CHAVE"),"",IFERROR(MATCH(AF466,'Quitados DUPP'!$U$1:$U$6635,0),""))</f>
        <v/>
      </c>
      <c r="AH466" s="15" t="str">
        <f t="shared" si="2"/>
        <v/>
      </c>
      <c r="AI466" s="17" t="str">
        <f>IF(AG466="","",INDEX('Quitados DUPP'!$G$1:$G$6635,AG466))</f>
        <v/>
      </c>
      <c r="AJ466" s="17" t="str">
        <f t="shared" si="3"/>
        <v/>
      </c>
    </row>
    <row r="467" spans="31:36">
      <c r="AE467" s="15" t="str">
        <f t="shared" si="0"/>
        <v/>
      </c>
      <c r="AF467" s="15" t="str">
        <f t="shared" si="1"/>
        <v/>
      </c>
      <c r="AG467" s="15" t="str">
        <f>IF(OR(AF467="",AF467="ERRO_CHAVE"),"",IFERROR(MATCH(AF467,'Quitados DUPP'!$U$1:$U$6635,0),""))</f>
        <v/>
      </c>
      <c r="AH467" s="15" t="str">
        <f t="shared" si="2"/>
        <v/>
      </c>
      <c r="AI467" s="17" t="str">
        <f>IF(AG467="","",INDEX('Quitados DUPP'!$G$1:$G$6635,AG467))</f>
        <v/>
      </c>
      <c r="AJ467" s="17" t="str">
        <f t="shared" si="3"/>
        <v/>
      </c>
    </row>
    <row r="468" spans="31:36">
      <c r="AE468" s="15" t="str">
        <f t="shared" si="0"/>
        <v/>
      </c>
      <c r="AF468" s="15" t="str">
        <f t="shared" si="1"/>
        <v/>
      </c>
      <c r="AG468" s="15" t="str">
        <f>IF(OR(AF468="",AF468="ERRO_CHAVE"),"",IFERROR(MATCH(AF468,'Quitados DUPP'!$U$1:$U$6635,0),""))</f>
        <v/>
      </c>
      <c r="AH468" s="15" t="str">
        <f t="shared" si="2"/>
        <v/>
      </c>
      <c r="AI468" s="17" t="str">
        <f>IF(AG468="","",INDEX('Quitados DUPP'!$G$1:$G$6635,AG468))</f>
        <v/>
      </c>
      <c r="AJ468" s="17" t="str">
        <f t="shared" si="3"/>
        <v/>
      </c>
    </row>
    <row r="469" spans="31:36">
      <c r="AE469" s="15" t="str">
        <f t="shared" si="0"/>
        <v/>
      </c>
      <c r="AF469" s="15" t="str">
        <f t="shared" si="1"/>
        <v/>
      </c>
      <c r="AG469" s="15" t="str">
        <f>IF(OR(AF469="",AF469="ERRO_CHAVE"),"",IFERROR(MATCH(AF469,'Quitados DUPP'!$U$1:$U$6635,0),""))</f>
        <v/>
      </c>
      <c r="AH469" s="15" t="str">
        <f t="shared" si="2"/>
        <v/>
      </c>
      <c r="AI469" s="17" t="str">
        <f>IF(AG469="","",INDEX('Quitados DUPP'!$G$1:$G$6635,AG469))</f>
        <v/>
      </c>
      <c r="AJ469" s="17" t="str">
        <f t="shared" si="3"/>
        <v/>
      </c>
    </row>
    <row r="470" spans="31:36">
      <c r="AE470" s="15" t="str">
        <f t="shared" si="0"/>
        <v/>
      </c>
      <c r="AF470" s="15" t="str">
        <f t="shared" si="1"/>
        <v/>
      </c>
      <c r="AG470" s="15" t="str">
        <f>IF(OR(AF470="",AF470="ERRO_CHAVE"),"",IFERROR(MATCH(AF470,'Quitados DUPP'!$U$1:$U$6635,0),""))</f>
        <v/>
      </c>
      <c r="AH470" s="15" t="str">
        <f t="shared" si="2"/>
        <v/>
      </c>
      <c r="AI470" s="17" t="str">
        <f>IF(AG470="","",INDEX('Quitados DUPP'!$G$1:$G$6635,AG470))</f>
        <v/>
      </c>
      <c r="AJ470" s="17" t="str">
        <f t="shared" si="3"/>
        <v/>
      </c>
    </row>
    <row r="471" spans="31:36">
      <c r="AE471" s="15" t="str">
        <f t="shared" si="0"/>
        <v/>
      </c>
      <c r="AF471" s="15" t="str">
        <f t="shared" si="1"/>
        <v/>
      </c>
      <c r="AG471" s="15" t="str">
        <f>IF(OR(AF471="",AF471="ERRO_CHAVE"),"",IFERROR(MATCH(AF471,'Quitados DUPP'!$U$1:$U$6635,0),""))</f>
        <v/>
      </c>
      <c r="AH471" s="15" t="str">
        <f t="shared" si="2"/>
        <v/>
      </c>
      <c r="AI471" s="17" t="str">
        <f>IF(AG471="","",INDEX('Quitados DUPP'!$G$1:$G$6635,AG471))</f>
        <v/>
      </c>
      <c r="AJ471" s="17" t="str">
        <f t="shared" si="3"/>
        <v/>
      </c>
    </row>
    <row r="472" spans="31:36">
      <c r="AE472" s="15" t="str">
        <f t="shared" si="0"/>
        <v/>
      </c>
      <c r="AF472" s="15" t="str">
        <f t="shared" si="1"/>
        <v/>
      </c>
      <c r="AG472" s="15" t="str">
        <f>IF(OR(AF472="",AF472="ERRO_CHAVE"),"",IFERROR(MATCH(AF472,'Quitados DUPP'!$U$1:$U$6635,0),""))</f>
        <v/>
      </c>
      <c r="AH472" s="15" t="str">
        <f t="shared" si="2"/>
        <v/>
      </c>
      <c r="AI472" s="17" t="str">
        <f>IF(AG472="","",INDEX('Quitados DUPP'!$G$1:$G$6635,AG472))</f>
        <v/>
      </c>
      <c r="AJ472" s="17" t="str">
        <f t="shared" si="3"/>
        <v/>
      </c>
    </row>
    <row r="473" spans="31:36">
      <c r="AE473" s="15" t="str">
        <f t="shared" si="0"/>
        <v/>
      </c>
      <c r="AF473" s="15" t="str">
        <f t="shared" si="1"/>
        <v/>
      </c>
      <c r="AG473" s="15" t="str">
        <f>IF(OR(AF473="",AF473="ERRO_CHAVE"),"",IFERROR(MATCH(AF473,'Quitados DUPP'!$U$1:$U$6635,0),""))</f>
        <v/>
      </c>
      <c r="AH473" s="15" t="str">
        <f t="shared" si="2"/>
        <v/>
      </c>
      <c r="AI473" s="17" t="str">
        <f>IF(AG473="","",INDEX('Quitados DUPP'!$G$1:$G$6635,AG473))</f>
        <v/>
      </c>
      <c r="AJ473" s="17" t="str">
        <f t="shared" si="3"/>
        <v/>
      </c>
    </row>
    <row r="474" spans="31:36">
      <c r="AE474" s="15" t="str">
        <f t="shared" si="0"/>
        <v/>
      </c>
      <c r="AF474" s="15" t="str">
        <f t="shared" si="1"/>
        <v/>
      </c>
      <c r="AG474" s="15" t="str">
        <f>IF(OR(AF474="",AF474="ERRO_CHAVE"),"",IFERROR(MATCH(AF474,'Quitados DUPP'!$U$1:$U$6635,0),""))</f>
        <v/>
      </c>
      <c r="AH474" s="15" t="str">
        <f t="shared" si="2"/>
        <v/>
      </c>
      <c r="AI474" s="17" t="str">
        <f>IF(AG474="","",INDEX('Quitados DUPP'!$G$1:$G$6635,AG474))</f>
        <v/>
      </c>
      <c r="AJ474" s="17" t="str">
        <f t="shared" si="3"/>
        <v/>
      </c>
    </row>
    <row r="475" spans="31:36">
      <c r="AE475" s="15" t="str">
        <f t="shared" si="0"/>
        <v/>
      </c>
      <c r="AF475" s="15" t="str">
        <f t="shared" si="1"/>
        <v/>
      </c>
      <c r="AG475" s="15" t="str">
        <f>IF(OR(AF475="",AF475="ERRO_CHAVE"),"",IFERROR(MATCH(AF475,'Quitados DUPP'!$U$1:$U$6635,0),""))</f>
        <v/>
      </c>
      <c r="AH475" s="15" t="str">
        <f t="shared" si="2"/>
        <v/>
      </c>
      <c r="AI475" s="17" t="str">
        <f>IF(AG475="","",INDEX('Quitados DUPP'!$G$1:$G$6635,AG475))</f>
        <v/>
      </c>
      <c r="AJ475" s="17" t="str">
        <f t="shared" si="3"/>
        <v/>
      </c>
    </row>
    <row r="476" spans="31:36">
      <c r="AE476" s="15" t="str">
        <f t="shared" si="0"/>
        <v/>
      </c>
      <c r="AF476" s="15" t="str">
        <f t="shared" si="1"/>
        <v/>
      </c>
      <c r="AG476" s="15" t="str">
        <f>IF(OR(AF476="",AF476="ERRO_CHAVE"),"",IFERROR(MATCH(AF476,'Quitados DUPP'!$U$1:$U$6635,0),""))</f>
        <v/>
      </c>
      <c r="AH476" s="15" t="str">
        <f t="shared" si="2"/>
        <v/>
      </c>
      <c r="AI476" s="17" t="str">
        <f>IF(AG476="","",INDEX('Quitados DUPP'!$G$1:$G$6635,AG476))</f>
        <v/>
      </c>
      <c r="AJ476" s="17" t="str">
        <f t="shared" si="3"/>
        <v/>
      </c>
    </row>
    <row r="477" spans="31:36">
      <c r="AE477" s="15" t="str">
        <f t="shared" si="0"/>
        <v/>
      </c>
      <c r="AF477" s="15" t="str">
        <f t="shared" si="1"/>
        <v/>
      </c>
      <c r="AG477" s="15" t="str">
        <f>IF(OR(AF477="",AF477="ERRO_CHAVE"),"",IFERROR(MATCH(AF477,'Quitados DUPP'!$U$1:$U$6635,0),""))</f>
        <v/>
      </c>
      <c r="AH477" s="15" t="str">
        <f t="shared" si="2"/>
        <v/>
      </c>
      <c r="AI477" s="17" t="str">
        <f>IF(AG477="","",INDEX('Quitados DUPP'!$G$1:$G$6635,AG477))</f>
        <v/>
      </c>
      <c r="AJ477" s="17" t="str">
        <f t="shared" si="3"/>
        <v/>
      </c>
    </row>
    <row r="478" spans="31:36">
      <c r="AE478" s="15" t="str">
        <f t="shared" si="0"/>
        <v/>
      </c>
      <c r="AF478" s="15" t="str">
        <f t="shared" si="1"/>
        <v/>
      </c>
      <c r="AG478" s="15" t="str">
        <f>IF(OR(AF478="",AF478="ERRO_CHAVE"),"",IFERROR(MATCH(AF478,'Quitados DUPP'!$U$1:$U$6635,0),""))</f>
        <v/>
      </c>
      <c r="AH478" s="15" t="str">
        <f t="shared" si="2"/>
        <v/>
      </c>
      <c r="AI478" s="17" t="str">
        <f>IF(AG478="","",INDEX('Quitados DUPP'!$G$1:$G$6635,AG478))</f>
        <v/>
      </c>
      <c r="AJ478" s="17" t="str">
        <f t="shared" si="3"/>
        <v/>
      </c>
    </row>
    <row r="479" spans="31:36">
      <c r="AE479" s="15" t="str">
        <f t="shared" si="0"/>
        <v/>
      </c>
      <c r="AF479" s="15" t="str">
        <f t="shared" si="1"/>
        <v/>
      </c>
      <c r="AG479" s="15" t="str">
        <f>IF(OR(AF479="",AF479="ERRO_CHAVE"),"",IFERROR(MATCH(AF479,'Quitados DUPP'!$U$1:$U$6635,0),""))</f>
        <v/>
      </c>
      <c r="AH479" s="15" t="str">
        <f t="shared" si="2"/>
        <v/>
      </c>
      <c r="AI479" s="17" t="str">
        <f>IF(AG479="","",INDEX('Quitados DUPP'!$G$1:$G$6635,AG479))</f>
        <v/>
      </c>
      <c r="AJ479" s="17" t="str">
        <f t="shared" si="3"/>
        <v/>
      </c>
    </row>
    <row r="480" spans="31:36">
      <c r="AE480" s="15" t="str">
        <f t="shared" si="0"/>
        <v/>
      </c>
      <c r="AF480" s="15" t="str">
        <f t="shared" si="1"/>
        <v/>
      </c>
      <c r="AG480" s="15" t="str">
        <f>IF(OR(AF480="",AF480="ERRO_CHAVE"),"",IFERROR(MATCH(AF480,'Quitados DUPP'!$U$1:$U$6635,0),""))</f>
        <v/>
      </c>
      <c r="AH480" s="15" t="str">
        <f t="shared" si="2"/>
        <v/>
      </c>
      <c r="AI480" s="17" t="str">
        <f>IF(AG480="","",INDEX('Quitados DUPP'!$G$1:$G$6635,AG480))</f>
        <v/>
      </c>
      <c r="AJ480" s="17" t="str">
        <f t="shared" si="3"/>
        <v/>
      </c>
    </row>
    <row r="481" spans="31:36">
      <c r="AE481" s="15" t="str">
        <f t="shared" si="0"/>
        <v/>
      </c>
      <c r="AF481" s="15" t="str">
        <f t="shared" si="1"/>
        <v/>
      </c>
      <c r="AG481" s="15" t="str">
        <f>IF(OR(AF481="",AF481="ERRO_CHAVE"),"",IFERROR(MATCH(AF481,'Quitados DUPP'!$U$1:$U$6635,0),""))</f>
        <v/>
      </c>
      <c r="AH481" s="15" t="str">
        <f t="shared" si="2"/>
        <v/>
      </c>
      <c r="AI481" s="17" t="str">
        <f>IF(AG481="","",INDEX('Quitados DUPP'!$G$1:$G$6635,AG481))</f>
        <v/>
      </c>
      <c r="AJ481" s="17" t="str">
        <f t="shared" si="3"/>
        <v/>
      </c>
    </row>
    <row r="482" spans="31:36">
      <c r="AE482" s="15" t="str">
        <f t="shared" si="0"/>
        <v/>
      </c>
      <c r="AF482" s="15" t="str">
        <f t="shared" si="1"/>
        <v/>
      </c>
      <c r="AG482" s="15" t="str">
        <f>IF(OR(AF482="",AF482="ERRO_CHAVE"),"",IFERROR(MATCH(AF482,'Quitados DUPP'!$U$1:$U$6635,0),""))</f>
        <v/>
      </c>
      <c r="AH482" s="15" t="str">
        <f t="shared" si="2"/>
        <v/>
      </c>
      <c r="AI482" s="17" t="str">
        <f>IF(AG482="","",INDEX('Quitados DUPP'!$G$1:$G$6635,AG482))</f>
        <v/>
      </c>
      <c r="AJ482" s="17" t="str">
        <f t="shared" si="3"/>
        <v/>
      </c>
    </row>
    <row r="483" spans="31:36">
      <c r="AE483" s="15" t="str">
        <f t="shared" si="0"/>
        <v/>
      </c>
      <c r="AF483" s="15" t="str">
        <f t="shared" si="1"/>
        <v/>
      </c>
      <c r="AG483" s="15" t="str">
        <f>IF(OR(AF483="",AF483="ERRO_CHAVE"),"",IFERROR(MATCH(AF483,'Quitados DUPP'!$U$1:$U$6635,0),""))</f>
        <v/>
      </c>
      <c r="AH483" s="15" t="str">
        <f t="shared" si="2"/>
        <v/>
      </c>
      <c r="AI483" s="17" t="str">
        <f>IF(AG483="","",INDEX('Quitados DUPP'!$G$1:$G$6635,AG483))</f>
        <v/>
      </c>
      <c r="AJ483" s="17" t="str">
        <f t="shared" si="3"/>
        <v/>
      </c>
    </row>
    <row r="484" spans="31:36">
      <c r="AE484" s="15" t="str">
        <f t="shared" si="0"/>
        <v/>
      </c>
      <c r="AF484" s="15" t="str">
        <f t="shared" si="1"/>
        <v/>
      </c>
      <c r="AG484" s="15" t="str">
        <f>IF(OR(AF484="",AF484="ERRO_CHAVE"),"",IFERROR(MATCH(AF484,'Quitados DUPP'!$U$1:$U$6635,0),""))</f>
        <v/>
      </c>
      <c r="AH484" s="15" t="str">
        <f t="shared" si="2"/>
        <v/>
      </c>
      <c r="AI484" s="17" t="str">
        <f>IF(AG484="","",INDEX('Quitados DUPP'!$G$1:$G$6635,AG484))</f>
        <v/>
      </c>
      <c r="AJ484" s="17" t="str">
        <f t="shared" si="3"/>
        <v/>
      </c>
    </row>
    <row r="485" spans="31:36">
      <c r="AE485" s="15" t="str">
        <f t="shared" si="0"/>
        <v/>
      </c>
      <c r="AF485" s="15" t="str">
        <f t="shared" si="1"/>
        <v/>
      </c>
      <c r="AG485" s="15" t="str">
        <f>IF(OR(AF485="",AF485="ERRO_CHAVE"),"",IFERROR(MATCH(AF485,'Quitados DUPP'!$U$1:$U$6635,0),""))</f>
        <v/>
      </c>
      <c r="AH485" s="15" t="str">
        <f t="shared" si="2"/>
        <v/>
      </c>
      <c r="AI485" s="17" t="str">
        <f>IF(AG485="","",INDEX('Quitados DUPP'!$G$1:$G$6635,AG485))</f>
        <v/>
      </c>
      <c r="AJ485" s="17" t="str">
        <f t="shared" si="3"/>
        <v/>
      </c>
    </row>
    <row r="486" spans="31:36">
      <c r="AE486" s="15" t="str">
        <f t="shared" si="0"/>
        <v/>
      </c>
      <c r="AF486" s="15" t="str">
        <f t="shared" si="1"/>
        <v/>
      </c>
      <c r="AG486" s="15" t="str">
        <f>IF(OR(AF486="",AF486="ERRO_CHAVE"),"",IFERROR(MATCH(AF486,'Quitados DUPP'!$U$1:$U$6635,0),""))</f>
        <v/>
      </c>
      <c r="AH486" s="15" t="str">
        <f t="shared" si="2"/>
        <v/>
      </c>
      <c r="AI486" s="17" t="str">
        <f>IF(AG486="","",INDEX('Quitados DUPP'!$G$1:$G$6635,AG486))</f>
        <v/>
      </c>
      <c r="AJ486" s="17" t="str">
        <f t="shared" si="3"/>
        <v/>
      </c>
    </row>
    <row r="487" spans="31:36">
      <c r="AE487" s="15" t="str">
        <f t="shared" si="0"/>
        <v/>
      </c>
      <c r="AF487" s="15" t="str">
        <f t="shared" si="1"/>
        <v/>
      </c>
      <c r="AG487" s="15" t="str">
        <f>IF(OR(AF487="",AF487="ERRO_CHAVE"),"",IFERROR(MATCH(AF487,'Quitados DUPP'!$U$1:$U$6635,0),""))</f>
        <v/>
      </c>
      <c r="AH487" s="15" t="str">
        <f t="shared" si="2"/>
        <v/>
      </c>
      <c r="AI487" s="17" t="str">
        <f>IF(AG487="","",INDEX('Quitados DUPP'!$G$1:$G$6635,AG487))</f>
        <v/>
      </c>
      <c r="AJ487" s="17" t="str">
        <f t="shared" si="3"/>
        <v/>
      </c>
    </row>
    <row r="488" spans="31:36">
      <c r="AE488" s="15" t="str">
        <f t="shared" si="0"/>
        <v/>
      </c>
      <c r="AF488" s="15" t="str">
        <f t="shared" si="1"/>
        <v/>
      </c>
      <c r="AG488" s="15" t="str">
        <f>IF(OR(AF488="",AF488="ERRO_CHAVE"),"",IFERROR(MATCH(AF488,'Quitados DUPP'!$U$1:$U$6635,0),""))</f>
        <v/>
      </c>
      <c r="AH488" s="15" t="str">
        <f t="shared" si="2"/>
        <v/>
      </c>
      <c r="AI488" s="17" t="str">
        <f>IF(AG488="","",INDEX('Quitados DUPP'!$G$1:$G$6635,AG488))</f>
        <v/>
      </c>
      <c r="AJ488" s="17" t="str">
        <f t="shared" si="3"/>
        <v/>
      </c>
    </row>
    <row r="489" spans="31:36">
      <c r="AE489" s="15" t="str">
        <f t="shared" si="0"/>
        <v/>
      </c>
      <c r="AF489" s="15" t="str">
        <f t="shared" si="1"/>
        <v/>
      </c>
      <c r="AG489" s="15" t="str">
        <f>IF(OR(AF489="",AF489="ERRO_CHAVE"),"",IFERROR(MATCH(AF489,'Quitados DUPP'!$U$1:$U$6635,0),""))</f>
        <v/>
      </c>
      <c r="AH489" s="15" t="str">
        <f t="shared" si="2"/>
        <v/>
      </c>
      <c r="AI489" s="17" t="str">
        <f>IF(AG489="","",INDEX('Quitados DUPP'!$G$1:$G$6635,AG489))</f>
        <v/>
      </c>
      <c r="AJ489" s="17" t="str">
        <f t="shared" si="3"/>
        <v/>
      </c>
    </row>
    <row r="490" spans="31:36">
      <c r="AE490" s="15" t="str">
        <f t="shared" si="0"/>
        <v/>
      </c>
      <c r="AF490" s="15" t="str">
        <f t="shared" si="1"/>
        <v/>
      </c>
      <c r="AG490" s="15" t="str">
        <f>IF(OR(AF490="",AF490="ERRO_CHAVE"),"",IFERROR(MATCH(AF490,'Quitados DUPP'!$U$1:$U$6635,0),""))</f>
        <v/>
      </c>
      <c r="AH490" s="15" t="str">
        <f t="shared" si="2"/>
        <v/>
      </c>
      <c r="AI490" s="17" t="str">
        <f>IF(AG490="","",INDEX('Quitados DUPP'!$G$1:$G$6635,AG490))</f>
        <v/>
      </c>
      <c r="AJ490" s="17" t="str">
        <f t="shared" si="3"/>
        <v/>
      </c>
    </row>
    <row r="491" spans="31:36">
      <c r="AE491" s="15" t="str">
        <f t="shared" si="0"/>
        <v/>
      </c>
      <c r="AF491" s="15" t="str">
        <f t="shared" si="1"/>
        <v/>
      </c>
      <c r="AG491" s="15" t="str">
        <f>IF(OR(AF491="",AF491="ERRO_CHAVE"),"",IFERROR(MATCH(AF491,'Quitados DUPP'!$U$1:$U$6635,0),""))</f>
        <v/>
      </c>
      <c r="AH491" s="15" t="str">
        <f t="shared" si="2"/>
        <v/>
      </c>
      <c r="AI491" s="17" t="str">
        <f>IF(AG491="","",INDEX('Quitados DUPP'!$G$1:$G$6635,AG491))</f>
        <v/>
      </c>
      <c r="AJ491" s="17" t="str">
        <f t="shared" si="3"/>
        <v/>
      </c>
    </row>
    <row r="492" spans="31:36">
      <c r="AE492" s="15" t="str">
        <f t="shared" si="0"/>
        <v/>
      </c>
      <c r="AF492" s="15" t="str">
        <f t="shared" si="1"/>
        <v/>
      </c>
      <c r="AG492" s="15" t="str">
        <f>IF(OR(AF492="",AF492="ERRO_CHAVE"),"",IFERROR(MATCH(AF492,'Quitados DUPP'!$U$1:$U$6635,0),""))</f>
        <v/>
      </c>
      <c r="AH492" s="15" t="str">
        <f t="shared" si="2"/>
        <v/>
      </c>
      <c r="AI492" s="17" t="str">
        <f>IF(AG492="","",INDEX('Quitados DUPP'!$G$1:$G$6635,AG492))</f>
        <v/>
      </c>
      <c r="AJ492" s="17" t="str">
        <f t="shared" si="3"/>
        <v/>
      </c>
    </row>
    <row r="493" spans="31:36">
      <c r="AE493" s="15" t="str">
        <f t="shared" si="0"/>
        <v/>
      </c>
      <c r="AF493" s="15" t="str">
        <f t="shared" si="1"/>
        <v/>
      </c>
      <c r="AG493" s="15" t="str">
        <f>IF(OR(AF493="",AF493="ERRO_CHAVE"),"",IFERROR(MATCH(AF493,'Quitados DUPP'!$U$1:$U$6635,0),""))</f>
        <v/>
      </c>
      <c r="AH493" s="15" t="str">
        <f t="shared" si="2"/>
        <v/>
      </c>
      <c r="AI493" s="17" t="str">
        <f>IF(AG493="","",INDEX('Quitados DUPP'!$G$1:$G$6635,AG493))</f>
        <v/>
      </c>
      <c r="AJ493" s="17" t="str">
        <f t="shared" si="3"/>
        <v/>
      </c>
    </row>
    <row r="494" spans="31:36">
      <c r="AE494" s="15" t="str">
        <f t="shared" si="0"/>
        <v/>
      </c>
      <c r="AF494" s="15" t="str">
        <f t="shared" si="1"/>
        <v/>
      </c>
      <c r="AG494" s="15" t="str">
        <f>IF(OR(AF494="",AF494="ERRO_CHAVE"),"",IFERROR(MATCH(AF494,'Quitados DUPP'!$U$1:$U$6635,0),""))</f>
        <v/>
      </c>
      <c r="AH494" s="15" t="str">
        <f t="shared" si="2"/>
        <v/>
      </c>
      <c r="AI494" s="17" t="str">
        <f>IF(AG494="","",INDEX('Quitados DUPP'!$G$1:$G$6635,AG494))</f>
        <v/>
      </c>
      <c r="AJ494" s="17" t="str">
        <f t="shared" si="3"/>
        <v/>
      </c>
    </row>
    <row r="495" spans="31:36">
      <c r="AE495" s="15" t="str">
        <f t="shared" si="0"/>
        <v/>
      </c>
      <c r="AF495" s="15" t="str">
        <f t="shared" si="1"/>
        <v/>
      </c>
      <c r="AG495" s="15" t="str">
        <f>IF(OR(AF495="",AF495="ERRO_CHAVE"),"",IFERROR(MATCH(AF495,'Quitados DUPP'!$U$1:$U$6635,0),""))</f>
        <v/>
      </c>
      <c r="AH495" s="15" t="str">
        <f t="shared" si="2"/>
        <v/>
      </c>
      <c r="AI495" s="17" t="str">
        <f>IF(AG495="","",INDEX('Quitados DUPP'!$G$1:$G$6635,AG495))</f>
        <v/>
      </c>
      <c r="AJ495" s="17" t="str">
        <f t="shared" si="3"/>
        <v/>
      </c>
    </row>
    <row r="496" spans="31:36">
      <c r="AE496" s="15" t="str">
        <f t="shared" si="0"/>
        <v/>
      </c>
      <c r="AF496" s="15" t="str">
        <f t="shared" si="1"/>
        <v/>
      </c>
      <c r="AG496" s="15" t="str">
        <f>IF(OR(AF496="",AF496="ERRO_CHAVE"),"",IFERROR(MATCH(AF496,'Quitados DUPP'!$U$1:$U$6635,0),""))</f>
        <v/>
      </c>
      <c r="AH496" s="15" t="str">
        <f t="shared" si="2"/>
        <v/>
      </c>
      <c r="AI496" s="17" t="str">
        <f>IF(AG496="","",INDEX('Quitados DUPP'!$G$1:$G$6635,AG496))</f>
        <v/>
      </c>
      <c r="AJ496" s="17" t="str">
        <f t="shared" si="3"/>
        <v/>
      </c>
    </row>
    <row r="497" spans="31:36">
      <c r="AE497" s="15" t="str">
        <f t="shared" si="0"/>
        <v/>
      </c>
      <c r="AF497" s="15" t="str">
        <f t="shared" si="1"/>
        <v/>
      </c>
      <c r="AG497" s="15" t="str">
        <f>IF(OR(AF497="",AF497="ERRO_CHAVE"),"",IFERROR(MATCH(AF497,'Quitados DUPP'!$U$1:$U$6635,0),""))</f>
        <v/>
      </c>
      <c r="AH497" s="15" t="str">
        <f t="shared" si="2"/>
        <v/>
      </c>
      <c r="AI497" s="17" t="str">
        <f>IF(AG497="","",INDEX('Quitados DUPP'!$G$1:$G$6635,AG497))</f>
        <v/>
      </c>
      <c r="AJ497" s="17" t="str">
        <f t="shared" si="3"/>
        <v/>
      </c>
    </row>
    <row r="498" spans="31:36">
      <c r="AE498" s="15" t="str">
        <f t="shared" si="0"/>
        <v/>
      </c>
      <c r="AF498" s="15" t="str">
        <f t="shared" si="1"/>
        <v/>
      </c>
      <c r="AG498" s="15" t="str">
        <f>IF(OR(AF498="",AF498="ERRO_CHAVE"),"",IFERROR(MATCH(AF498,'Quitados DUPP'!$U$1:$U$6635,0),""))</f>
        <v/>
      </c>
      <c r="AH498" s="15" t="str">
        <f t="shared" si="2"/>
        <v/>
      </c>
      <c r="AI498" s="17" t="str">
        <f>IF(AG498="","",INDEX('Quitados DUPP'!$G$1:$G$6635,AG498))</f>
        <v/>
      </c>
      <c r="AJ498" s="17" t="str">
        <f t="shared" si="3"/>
        <v/>
      </c>
    </row>
    <row r="499" spans="31:36">
      <c r="AE499" s="15" t="str">
        <f t="shared" si="0"/>
        <v/>
      </c>
      <c r="AF499" s="15" t="str">
        <f t="shared" si="1"/>
        <v/>
      </c>
      <c r="AG499" s="15" t="str">
        <f>IF(OR(AF499="",AF499="ERRO_CHAVE"),"",IFERROR(MATCH(AF499,'Quitados DUPP'!$U$1:$U$6635,0),""))</f>
        <v/>
      </c>
      <c r="AH499" s="15" t="str">
        <f t="shared" si="2"/>
        <v/>
      </c>
      <c r="AI499" s="17" t="str">
        <f>IF(AG499="","",INDEX('Quitados DUPP'!$G$1:$G$6635,AG499))</f>
        <v/>
      </c>
      <c r="AJ499" s="17" t="str">
        <f t="shared" si="3"/>
        <v/>
      </c>
    </row>
    <row r="500" spans="31:36">
      <c r="AE500" s="15" t="str">
        <f t="shared" si="0"/>
        <v/>
      </c>
      <c r="AF500" s="15" t="str">
        <f t="shared" si="1"/>
        <v/>
      </c>
      <c r="AG500" s="15" t="str">
        <f>IF(OR(AF500="",AF500="ERRO_CHAVE"),"",IFERROR(MATCH(AF500,'Quitados DUPP'!$U$1:$U$6635,0),""))</f>
        <v/>
      </c>
      <c r="AH500" s="15" t="str">
        <f t="shared" si="2"/>
        <v/>
      </c>
      <c r="AI500" s="17" t="str">
        <f>IF(AG500="","",INDEX('Quitados DUPP'!$G$1:$G$6635,AG500))</f>
        <v/>
      </c>
      <c r="AJ500" s="17" t="str">
        <f t="shared" si="3"/>
        <v/>
      </c>
    </row>
    <row r="501" spans="31:36">
      <c r="AE501" s="15" t="str">
        <f t="shared" si="0"/>
        <v/>
      </c>
      <c r="AF501" s="15" t="str">
        <f t="shared" si="1"/>
        <v/>
      </c>
      <c r="AG501" s="15" t="str">
        <f>IF(OR(AF501="",AF501="ERRO_CHAVE"),"",IFERROR(MATCH(AF501,'Quitados DUPP'!$U$1:$U$6635,0),""))</f>
        <v/>
      </c>
      <c r="AH501" s="15" t="str">
        <f t="shared" si="2"/>
        <v/>
      </c>
      <c r="AI501" s="17" t="str">
        <f>IF(AG501="","",INDEX('Quitados DUPP'!$G$1:$G$6635,AG501))</f>
        <v/>
      </c>
      <c r="AJ501" s="17" t="str">
        <f t="shared" si="3"/>
        <v/>
      </c>
    </row>
    <row r="502" spans="31:36">
      <c r="AE502" s="15" t="str">
        <f t="shared" si="0"/>
        <v/>
      </c>
      <c r="AF502" s="15" t="str">
        <f t="shared" si="1"/>
        <v/>
      </c>
      <c r="AG502" s="15" t="str">
        <f>IF(OR(AF502="",AF502="ERRO_CHAVE"),"",IFERROR(MATCH(AF502,'Quitados DUPP'!$U$1:$U$6635,0),""))</f>
        <v/>
      </c>
      <c r="AH502" s="15" t="str">
        <f t="shared" si="2"/>
        <v/>
      </c>
      <c r="AI502" s="17" t="str">
        <f>IF(AG502="","",INDEX('Quitados DUPP'!$G$1:$G$6635,AG502))</f>
        <v/>
      </c>
      <c r="AJ502" s="17" t="str">
        <f t="shared" si="3"/>
        <v/>
      </c>
    </row>
    <row r="503" spans="31:36">
      <c r="AE503" s="15" t="str">
        <f t="shared" si="0"/>
        <v/>
      </c>
      <c r="AF503" s="15" t="str">
        <f t="shared" si="1"/>
        <v/>
      </c>
      <c r="AG503" s="15" t="str">
        <f>IF(OR(AF503="",AF503="ERRO_CHAVE"),"",IFERROR(MATCH(AF503,'Quitados DUPP'!$U$1:$U$6635,0),""))</f>
        <v/>
      </c>
      <c r="AH503" s="15" t="str">
        <f t="shared" si="2"/>
        <v/>
      </c>
      <c r="AI503" s="17" t="str">
        <f>IF(AG503="","",INDEX('Quitados DUPP'!$G$1:$G$6635,AG503))</f>
        <v/>
      </c>
      <c r="AJ503" s="17" t="str">
        <f t="shared" si="3"/>
        <v/>
      </c>
    </row>
    <row r="504" spans="31:36">
      <c r="AE504" s="15" t="str">
        <f t="shared" si="0"/>
        <v/>
      </c>
      <c r="AF504" s="15" t="str">
        <f t="shared" si="1"/>
        <v/>
      </c>
      <c r="AG504" s="15" t="str">
        <f>IF(OR(AF504="",AF504="ERRO_CHAVE"),"",IFERROR(MATCH(AF504,'Quitados DUPP'!$U$1:$U$6635,0),""))</f>
        <v/>
      </c>
      <c r="AH504" s="15" t="str">
        <f t="shared" si="2"/>
        <v/>
      </c>
      <c r="AI504" s="17" t="str">
        <f>IF(AG504="","",INDEX('Quitados DUPP'!$G$1:$G$6635,AG504))</f>
        <v/>
      </c>
      <c r="AJ504" s="17" t="str">
        <f t="shared" si="3"/>
        <v/>
      </c>
    </row>
    <row r="505" spans="31:36">
      <c r="AE505" s="15" t="str">
        <f t="shared" si="0"/>
        <v/>
      </c>
      <c r="AF505" s="15" t="str">
        <f t="shared" si="1"/>
        <v/>
      </c>
      <c r="AG505" s="15" t="str">
        <f>IF(OR(AF505="",AF505="ERRO_CHAVE"),"",IFERROR(MATCH(AF505,'Quitados DUPP'!$U$1:$U$6635,0),""))</f>
        <v/>
      </c>
      <c r="AH505" s="15" t="str">
        <f t="shared" si="2"/>
        <v/>
      </c>
      <c r="AI505" s="17" t="str">
        <f>IF(AG505="","",INDEX('Quitados DUPP'!$G$1:$G$6635,AG505))</f>
        <v/>
      </c>
      <c r="AJ505" s="17" t="str">
        <f t="shared" si="3"/>
        <v/>
      </c>
    </row>
    <row r="506" spans="31:36">
      <c r="AE506" s="15" t="str">
        <f t="shared" si="0"/>
        <v/>
      </c>
      <c r="AF506" s="15" t="str">
        <f t="shared" si="1"/>
        <v/>
      </c>
      <c r="AG506" s="15" t="str">
        <f>IF(OR(AF506="",AF506="ERRO_CHAVE"),"",IFERROR(MATCH(AF506,'Quitados DUPP'!$U$1:$U$6635,0),""))</f>
        <v/>
      </c>
      <c r="AH506" s="15" t="str">
        <f t="shared" si="2"/>
        <v/>
      </c>
      <c r="AI506" s="17" t="str">
        <f>IF(AG506="","",INDEX('Quitados DUPP'!$G$1:$G$6635,AG506))</f>
        <v/>
      </c>
      <c r="AJ506" s="17" t="str">
        <f t="shared" si="3"/>
        <v/>
      </c>
    </row>
    <row r="507" spans="31:36">
      <c r="AE507" s="15" t="str">
        <f t="shared" si="0"/>
        <v/>
      </c>
      <c r="AF507" s="15" t="str">
        <f t="shared" si="1"/>
        <v/>
      </c>
      <c r="AG507" s="15" t="str">
        <f>IF(OR(AF507="",AF507="ERRO_CHAVE"),"",IFERROR(MATCH(AF507,'Quitados DUPP'!$U$1:$U$6635,0),""))</f>
        <v/>
      </c>
      <c r="AH507" s="15" t="str">
        <f t="shared" si="2"/>
        <v/>
      </c>
      <c r="AI507" s="17" t="str">
        <f>IF(AG507="","",INDEX('Quitados DUPP'!$G$1:$G$6635,AG507))</f>
        <v/>
      </c>
      <c r="AJ507" s="17" t="str">
        <f t="shared" si="3"/>
        <v/>
      </c>
    </row>
    <row r="508" spans="31:36">
      <c r="AE508" s="15" t="str">
        <f t="shared" si="0"/>
        <v/>
      </c>
      <c r="AF508" s="15" t="str">
        <f t="shared" si="1"/>
        <v/>
      </c>
      <c r="AG508" s="15" t="str">
        <f>IF(OR(AF508="",AF508="ERRO_CHAVE"),"",IFERROR(MATCH(AF508,'Quitados DUPP'!$U$1:$U$6635,0),""))</f>
        <v/>
      </c>
      <c r="AH508" s="15" t="str">
        <f t="shared" si="2"/>
        <v/>
      </c>
      <c r="AI508" s="17" t="str">
        <f>IF(AG508="","",INDEX('Quitados DUPP'!$G$1:$G$6635,AG508))</f>
        <v/>
      </c>
      <c r="AJ508" s="17" t="str">
        <f t="shared" si="3"/>
        <v/>
      </c>
    </row>
    <row r="509" spans="31:36">
      <c r="AE509" s="15" t="str">
        <f t="shared" si="0"/>
        <v/>
      </c>
      <c r="AF509" s="15" t="str">
        <f t="shared" si="1"/>
        <v/>
      </c>
      <c r="AG509" s="15" t="str">
        <f>IF(OR(AF509="",AF509="ERRO_CHAVE"),"",IFERROR(MATCH(AF509,'Quitados DUPP'!$U$1:$U$6635,0),""))</f>
        <v/>
      </c>
      <c r="AH509" s="15" t="str">
        <f t="shared" si="2"/>
        <v/>
      </c>
      <c r="AI509" s="17" t="str">
        <f>IF(AG509="","",INDEX('Quitados DUPP'!$G$1:$G$6635,AG509))</f>
        <v/>
      </c>
      <c r="AJ509" s="17" t="str">
        <f t="shared" si="3"/>
        <v/>
      </c>
    </row>
    <row r="510" spans="31:36">
      <c r="AE510" s="15" t="str">
        <f t="shared" si="0"/>
        <v/>
      </c>
      <c r="AF510" s="15" t="str">
        <f t="shared" si="1"/>
        <v/>
      </c>
      <c r="AG510" s="15" t="str">
        <f>IF(OR(AF510="",AF510="ERRO_CHAVE"),"",IFERROR(MATCH(AF510,'Quitados DUPP'!$U$1:$U$6635,0),""))</f>
        <v/>
      </c>
      <c r="AH510" s="15" t="str">
        <f t="shared" si="2"/>
        <v/>
      </c>
      <c r="AI510" s="17" t="str">
        <f>IF(AG510="","",INDEX('Quitados DUPP'!$G$1:$G$6635,AG510))</f>
        <v/>
      </c>
      <c r="AJ510" s="17" t="str">
        <f t="shared" si="3"/>
        <v/>
      </c>
    </row>
    <row r="511" spans="31:36">
      <c r="AE511" s="15" t="str">
        <f t="shared" si="0"/>
        <v/>
      </c>
      <c r="AF511" s="15" t="str">
        <f t="shared" si="1"/>
        <v/>
      </c>
      <c r="AG511" s="15" t="str">
        <f>IF(OR(AF511="",AF511="ERRO_CHAVE"),"",IFERROR(MATCH(AF511,'Quitados DUPP'!$U$1:$U$6635,0),""))</f>
        <v/>
      </c>
      <c r="AH511" s="15" t="str">
        <f t="shared" si="2"/>
        <v/>
      </c>
      <c r="AI511" s="17" t="str">
        <f>IF(AG511="","",INDEX('Quitados DUPP'!$G$1:$G$6635,AG511))</f>
        <v/>
      </c>
      <c r="AJ511" s="17" t="str">
        <f t="shared" si="3"/>
        <v/>
      </c>
    </row>
    <row r="512" spans="31:36">
      <c r="AE512" s="15" t="str">
        <f t="shared" si="0"/>
        <v/>
      </c>
      <c r="AF512" s="15" t="str">
        <f t="shared" si="1"/>
        <v/>
      </c>
      <c r="AG512" s="15" t="str">
        <f>IF(OR(AF512="",AF512="ERRO_CHAVE"),"",IFERROR(MATCH(AF512,'Quitados DUPP'!$U$1:$U$6635,0),""))</f>
        <v/>
      </c>
      <c r="AH512" s="15" t="str">
        <f t="shared" si="2"/>
        <v/>
      </c>
      <c r="AI512" s="17" t="str">
        <f>IF(AG512="","",INDEX('Quitados DUPP'!$G$1:$G$6635,AG512))</f>
        <v/>
      </c>
      <c r="AJ512" s="17" t="str">
        <f t="shared" si="3"/>
        <v/>
      </c>
    </row>
    <row r="513" spans="31:36">
      <c r="AE513" s="15" t="str">
        <f t="shared" si="0"/>
        <v/>
      </c>
      <c r="AF513" s="15" t="str">
        <f t="shared" si="1"/>
        <v/>
      </c>
      <c r="AG513" s="15" t="str">
        <f>IF(OR(AF513="",AF513="ERRO_CHAVE"),"",IFERROR(MATCH(AF513,'Quitados DUPP'!$U$1:$U$6635,0),""))</f>
        <v/>
      </c>
      <c r="AH513" s="15" t="str">
        <f t="shared" si="2"/>
        <v/>
      </c>
      <c r="AI513" s="17" t="str">
        <f>IF(AG513="","",INDEX('Quitados DUPP'!$G$1:$G$6635,AG513))</f>
        <v/>
      </c>
      <c r="AJ513" s="17" t="str">
        <f t="shared" si="3"/>
        <v/>
      </c>
    </row>
    <row r="514" spans="31:36">
      <c r="AE514" s="15" t="str">
        <f t="shared" si="0"/>
        <v/>
      </c>
      <c r="AF514" s="15" t="str">
        <f t="shared" si="1"/>
        <v/>
      </c>
      <c r="AG514" s="15" t="str">
        <f>IF(OR(AF514="",AF514="ERRO_CHAVE"),"",IFERROR(MATCH(AF514,'Quitados DUPP'!$U$1:$U$6635,0),""))</f>
        <v/>
      </c>
      <c r="AH514" s="15" t="str">
        <f t="shared" si="2"/>
        <v/>
      </c>
      <c r="AI514" s="17" t="str">
        <f>IF(AG514="","",INDEX('Quitados DUPP'!$G$1:$G$6635,AG514))</f>
        <v/>
      </c>
      <c r="AJ514" s="17" t="str">
        <f t="shared" si="3"/>
        <v/>
      </c>
    </row>
    <row r="515" spans="31:36">
      <c r="AE515" s="15" t="str">
        <f t="shared" si="0"/>
        <v/>
      </c>
      <c r="AF515" s="15" t="str">
        <f t="shared" si="1"/>
        <v/>
      </c>
      <c r="AG515" s="15" t="str">
        <f>IF(OR(AF515="",AF515="ERRO_CHAVE"),"",IFERROR(MATCH(AF515,'Quitados DUPP'!$U$1:$U$6635,0),""))</f>
        <v/>
      </c>
      <c r="AH515" s="15" t="str">
        <f t="shared" si="2"/>
        <v/>
      </c>
      <c r="AI515" s="17" t="str">
        <f>IF(AG515="","",INDEX('Quitados DUPP'!$G$1:$G$6635,AG515))</f>
        <v/>
      </c>
      <c r="AJ515" s="17" t="str">
        <f t="shared" si="3"/>
        <v/>
      </c>
    </row>
    <row r="516" spans="31:36">
      <c r="AE516" s="15" t="str">
        <f t="shared" si="0"/>
        <v/>
      </c>
      <c r="AF516" s="15" t="str">
        <f t="shared" si="1"/>
        <v/>
      </c>
      <c r="AG516" s="15" t="str">
        <f>IF(OR(AF516="",AF516="ERRO_CHAVE"),"",IFERROR(MATCH(AF516,'Quitados DUPP'!$U$1:$U$6635,0),""))</f>
        <v/>
      </c>
      <c r="AH516" s="15" t="str">
        <f t="shared" si="2"/>
        <v/>
      </c>
      <c r="AI516" s="17" t="str">
        <f>IF(AG516="","",INDEX('Quitados DUPP'!$G$1:$G$6635,AG516))</f>
        <v/>
      </c>
      <c r="AJ516" s="17" t="str">
        <f t="shared" si="3"/>
        <v/>
      </c>
    </row>
    <row r="517" spans="31:36">
      <c r="AE517" s="15" t="str">
        <f t="shared" si="0"/>
        <v/>
      </c>
      <c r="AF517" s="15" t="str">
        <f t="shared" si="1"/>
        <v/>
      </c>
      <c r="AG517" s="15" t="str">
        <f>IF(OR(AF517="",AF517="ERRO_CHAVE"),"",IFERROR(MATCH(AF517,'Quitados DUPP'!$U$1:$U$6635,0),""))</f>
        <v/>
      </c>
      <c r="AH517" s="15" t="str">
        <f t="shared" si="2"/>
        <v/>
      </c>
      <c r="AI517" s="17" t="str">
        <f>IF(AG517="","",INDEX('Quitados DUPP'!$G$1:$G$6635,AG517))</f>
        <v/>
      </c>
      <c r="AJ517" s="17" t="str">
        <f t="shared" si="3"/>
        <v/>
      </c>
    </row>
    <row r="518" spans="31:36">
      <c r="AE518" s="15" t="str">
        <f t="shared" si="0"/>
        <v/>
      </c>
      <c r="AF518" s="15" t="str">
        <f t="shared" si="1"/>
        <v/>
      </c>
      <c r="AG518" s="15" t="str">
        <f>IF(OR(AF518="",AF518="ERRO_CHAVE"),"",IFERROR(MATCH(AF518,'Quitados DUPP'!$U$1:$U$6635,0),""))</f>
        <v/>
      </c>
      <c r="AH518" s="15" t="str">
        <f t="shared" si="2"/>
        <v/>
      </c>
      <c r="AI518" s="17" t="str">
        <f>IF(AG518="","",INDEX('Quitados DUPP'!$G$1:$G$6635,AG518))</f>
        <v/>
      </c>
      <c r="AJ518" s="17" t="str">
        <f t="shared" si="3"/>
        <v/>
      </c>
    </row>
    <row r="519" spans="31:36">
      <c r="AE519" s="15" t="str">
        <f t="shared" si="0"/>
        <v/>
      </c>
      <c r="AF519" s="15" t="str">
        <f t="shared" si="1"/>
        <v/>
      </c>
      <c r="AG519" s="15" t="str">
        <f>IF(OR(AF519="",AF519="ERRO_CHAVE"),"",IFERROR(MATCH(AF519,'Quitados DUPP'!$U$1:$U$6635,0),""))</f>
        <v/>
      </c>
      <c r="AH519" s="15" t="str">
        <f t="shared" si="2"/>
        <v/>
      </c>
      <c r="AI519" s="17" t="str">
        <f>IF(AG519="","",INDEX('Quitados DUPP'!$G$1:$G$6635,AG519))</f>
        <v/>
      </c>
      <c r="AJ519" s="17" t="str">
        <f t="shared" si="3"/>
        <v/>
      </c>
    </row>
    <row r="520" spans="31:36">
      <c r="AE520" s="15" t="str">
        <f t="shared" si="0"/>
        <v/>
      </c>
      <c r="AF520" s="15" t="str">
        <f t="shared" si="1"/>
        <v/>
      </c>
      <c r="AG520" s="15" t="str">
        <f>IF(OR(AF520="",AF520="ERRO_CHAVE"),"",IFERROR(MATCH(AF520,'Quitados DUPP'!$U$1:$U$6635,0),""))</f>
        <v/>
      </c>
      <c r="AH520" s="15" t="str">
        <f t="shared" si="2"/>
        <v/>
      </c>
      <c r="AI520" s="17" t="str">
        <f>IF(AG520="","",INDEX('Quitados DUPP'!$G$1:$G$6635,AG520))</f>
        <v/>
      </c>
      <c r="AJ520" s="17" t="str">
        <f t="shared" si="3"/>
        <v/>
      </c>
    </row>
    <row r="521" spans="31:36">
      <c r="AE521" s="15" t="str">
        <f t="shared" si="0"/>
        <v/>
      </c>
      <c r="AF521" s="15" t="str">
        <f t="shared" si="1"/>
        <v/>
      </c>
      <c r="AG521" s="15" t="str">
        <f>IF(OR(AF521="",AF521="ERRO_CHAVE"),"",IFERROR(MATCH(AF521,'Quitados DUPP'!$U$1:$U$6635,0),""))</f>
        <v/>
      </c>
      <c r="AH521" s="15" t="str">
        <f t="shared" si="2"/>
        <v/>
      </c>
      <c r="AI521" s="17" t="str">
        <f>IF(AG521="","",INDEX('Quitados DUPP'!$G$1:$G$6635,AG521))</f>
        <v/>
      </c>
      <c r="AJ521" s="17" t="str">
        <f t="shared" si="3"/>
        <v/>
      </c>
    </row>
    <row r="522" spans="31:36">
      <c r="AE522" s="15" t="str">
        <f t="shared" si="0"/>
        <v/>
      </c>
      <c r="AF522" s="15" t="str">
        <f t="shared" si="1"/>
        <v/>
      </c>
      <c r="AG522" s="15" t="str">
        <f>IF(OR(AF522="",AF522="ERRO_CHAVE"),"",IFERROR(MATCH(AF522,'Quitados DUPP'!$U$1:$U$6635,0),""))</f>
        <v/>
      </c>
      <c r="AH522" s="15" t="str">
        <f t="shared" si="2"/>
        <v/>
      </c>
      <c r="AI522" s="17" t="str">
        <f>IF(AG522="","",INDEX('Quitados DUPP'!$G$1:$G$6635,AG522))</f>
        <v/>
      </c>
      <c r="AJ522" s="17" t="str">
        <f t="shared" si="3"/>
        <v/>
      </c>
    </row>
    <row r="523" spans="31:36">
      <c r="AE523" s="15" t="str">
        <f t="shared" si="0"/>
        <v/>
      </c>
      <c r="AF523" s="15" t="str">
        <f t="shared" si="1"/>
        <v/>
      </c>
      <c r="AG523" s="15" t="str">
        <f>IF(OR(AF523="",AF523="ERRO_CHAVE"),"",IFERROR(MATCH(AF523,'Quitados DUPP'!$U$1:$U$6635,0),""))</f>
        <v/>
      </c>
      <c r="AH523" s="15" t="str">
        <f t="shared" si="2"/>
        <v/>
      </c>
      <c r="AI523" s="17" t="str">
        <f>IF(AG523="","",INDEX('Quitados DUPP'!$G$1:$G$6635,AG523))</f>
        <v/>
      </c>
      <c r="AJ523" s="17" t="str">
        <f t="shared" si="3"/>
        <v/>
      </c>
    </row>
    <row r="524" spans="31:36">
      <c r="AE524" s="15" t="str">
        <f t="shared" si="0"/>
        <v/>
      </c>
      <c r="AF524" s="15" t="str">
        <f t="shared" si="1"/>
        <v/>
      </c>
      <c r="AG524" s="15" t="str">
        <f>IF(OR(AF524="",AF524="ERRO_CHAVE"),"",IFERROR(MATCH(AF524,'Quitados DUPP'!$U$1:$U$6635,0),""))</f>
        <v/>
      </c>
      <c r="AH524" s="15" t="str">
        <f t="shared" si="2"/>
        <v/>
      </c>
      <c r="AI524" s="17" t="str">
        <f>IF(AG524="","",INDEX('Quitados DUPP'!$G$1:$G$6635,AG524))</f>
        <v/>
      </c>
      <c r="AJ524" s="17" t="str">
        <f t="shared" si="3"/>
        <v/>
      </c>
    </row>
    <row r="525" spans="31:36">
      <c r="AE525" s="15" t="str">
        <f t="shared" si="0"/>
        <v/>
      </c>
      <c r="AF525" s="15" t="str">
        <f t="shared" si="1"/>
        <v/>
      </c>
      <c r="AG525" s="15" t="str">
        <f>IF(OR(AF525="",AF525="ERRO_CHAVE"),"",IFERROR(MATCH(AF525,'Quitados DUPP'!$U$1:$U$6635,0),""))</f>
        <v/>
      </c>
      <c r="AH525" s="15" t="str">
        <f t="shared" si="2"/>
        <v/>
      </c>
      <c r="AI525" s="17" t="str">
        <f>IF(AG525="","",INDEX('Quitados DUPP'!$G$1:$G$6635,AG525))</f>
        <v/>
      </c>
      <c r="AJ525" s="17" t="str">
        <f t="shared" si="3"/>
        <v/>
      </c>
    </row>
    <row r="526" spans="31:36">
      <c r="AE526" s="15" t="str">
        <f t="shared" si="0"/>
        <v/>
      </c>
      <c r="AF526" s="15" t="str">
        <f t="shared" si="1"/>
        <v/>
      </c>
      <c r="AG526" s="15" t="str">
        <f>IF(OR(AF526="",AF526="ERRO_CHAVE"),"",IFERROR(MATCH(AF526,'Quitados DUPP'!$U$1:$U$6635,0),""))</f>
        <v/>
      </c>
      <c r="AH526" s="15" t="str">
        <f t="shared" si="2"/>
        <v/>
      </c>
      <c r="AI526" s="17" t="str">
        <f>IF(AG526="","",INDEX('Quitados DUPP'!$G$1:$G$6635,AG526))</f>
        <v/>
      </c>
      <c r="AJ526" s="17" t="str">
        <f t="shared" si="3"/>
        <v/>
      </c>
    </row>
    <row r="527" spans="31:36">
      <c r="AE527" s="15" t="str">
        <f t="shared" si="0"/>
        <v/>
      </c>
      <c r="AF527" s="15" t="str">
        <f t="shared" si="1"/>
        <v/>
      </c>
      <c r="AG527" s="15" t="str">
        <f>IF(OR(AF527="",AF527="ERRO_CHAVE"),"",IFERROR(MATCH(AF527,'Quitados DUPP'!$U$1:$U$6635,0),""))</f>
        <v/>
      </c>
      <c r="AH527" s="15" t="str">
        <f t="shared" si="2"/>
        <v/>
      </c>
      <c r="AI527" s="17" t="str">
        <f>IF(AG527="","",INDEX('Quitados DUPP'!$G$1:$G$6635,AG527))</f>
        <v/>
      </c>
      <c r="AJ527" s="17" t="str">
        <f t="shared" si="3"/>
        <v/>
      </c>
    </row>
    <row r="528" spans="31:36">
      <c r="AE528" s="15" t="str">
        <f t="shared" si="0"/>
        <v/>
      </c>
      <c r="AF528" s="15" t="str">
        <f t="shared" si="1"/>
        <v/>
      </c>
      <c r="AG528" s="15" t="str">
        <f>IF(OR(AF528="",AF528="ERRO_CHAVE"),"",IFERROR(MATCH(AF528,'Quitados DUPP'!$U$1:$U$6635,0),""))</f>
        <v/>
      </c>
      <c r="AH528" s="15" t="str">
        <f t="shared" si="2"/>
        <v/>
      </c>
      <c r="AI528" s="17" t="str">
        <f>IF(AG528="","",INDEX('Quitados DUPP'!$G$1:$G$6635,AG528))</f>
        <v/>
      </c>
      <c r="AJ528" s="17" t="str">
        <f t="shared" si="3"/>
        <v/>
      </c>
    </row>
    <row r="529" spans="31:36">
      <c r="AE529" s="15" t="str">
        <f t="shared" si="0"/>
        <v/>
      </c>
      <c r="AF529" s="15" t="str">
        <f t="shared" si="1"/>
        <v/>
      </c>
      <c r="AG529" s="15" t="str">
        <f>IF(OR(AF529="",AF529="ERRO_CHAVE"),"",IFERROR(MATCH(AF529,'Quitados DUPP'!$U$1:$U$6635,0),""))</f>
        <v/>
      </c>
      <c r="AH529" s="15" t="str">
        <f t="shared" si="2"/>
        <v/>
      </c>
      <c r="AI529" s="17" t="str">
        <f>IF(AG529="","",INDEX('Quitados DUPP'!$G$1:$G$6635,AG529))</f>
        <v/>
      </c>
      <c r="AJ529" s="17" t="str">
        <f t="shared" si="3"/>
        <v/>
      </c>
    </row>
    <row r="530" spans="31:36">
      <c r="AE530" s="15" t="str">
        <f t="shared" si="0"/>
        <v/>
      </c>
      <c r="AF530" s="15" t="str">
        <f t="shared" si="1"/>
        <v/>
      </c>
      <c r="AG530" s="15" t="str">
        <f>IF(OR(AF530="",AF530="ERRO_CHAVE"),"",IFERROR(MATCH(AF530,'Quitados DUPP'!$U$1:$U$6635,0),""))</f>
        <v/>
      </c>
      <c r="AH530" s="15" t="str">
        <f t="shared" si="2"/>
        <v/>
      </c>
      <c r="AI530" s="17" t="str">
        <f>IF(AG530="","",INDEX('Quitados DUPP'!$G$1:$G$6635,AG530))</f>
        <v/>
      </c>
      <c r="AJ530" s="17" t="str">
        <f t="shared" si="3"/>
        <v/>
      </c>
    </row>
    <row r="531" spans="31:36">
      <c r="AE531" s="15" t="str">
        <f t="shared" si="0"/>
        <v/>
      </c>
      <c r="AF531" s="15" t="str">
        <f t="shared" si="1"/>
        <v/>
      </c>
      <c r="AG531" s="15" t="str">
        <f>IF(OR(AF531="",AF531="ERRO_CHAVE"),"",IFERROR(MATCH(AF531,'Quitados DUPP'!$U$1:$U$6635,0),""))</f>
        <v/>
      </c>
      <c r="AH531" s="15" t="str">
        <f t="shared" si="2"/>
        <v/>
      </c>
      <c r="AI531" s="17" t="str">
        <f>IF(AG531="","",INDEX('Quitados DUPP'!$G$1:$G$6635,AG531))</f>
        <v/>
      </c>
      <c r="AJ531" s="17" t="str">
        <f t="shared" si="3"/>
        <v/>
      </c>
    </row>
    <row r="532" spans="31:36">
      <c r="AE532" s="15" t="str">
        <f t="shared" si="0"/>
        <v/>
      </c>
      <c r="AF532" s="15" t="str">
        <f t="shared" si="1"/>
        <v/>
      </c>
      <c r="AG532" s="15" t="str">
        <f>IF(OR(AF532="",AF532="ERRO_CHAVE"),"",IFERROR(MATCH(AF532,'Quitados DUPP'!$U$1:$U$6635,0),""))</f>
        <v/>
      </c>
      <c r="AH532" s="15" t="str">
        <f t="shared" si="2"/>
        <v/>
      </c>
      <c r="AI532" s="17" t="str">
        <f>IF(AG532="","",INDEX('Quitados DUPP'!$G$1:$G$6635,AG532))</f>
        <v/>
      </c>
      <c r="AJ532" s="17" t="str">
        <f t="shared" si="3"/>
        <v/>
      </c>
    </row>
    <row r="533" spans="31:36">
      <c r="AE533" s="15" t="str">
        <f t="shared" si="0"/>
        <v/>
      </c>
      <c r="AF533" s="15" t="str">
        <f t="shared" si="1"/>
        <v/>
      </c>
      <c r="AG533" s="15" t="str">
        <f>IF(OR(AF533="",AF533="ERRO_CHAVE"),"",IFERROR(MATCH(AF533,'Quitados DUPP'!$U$1:$U$6635,0),""))</f>
        <v/>
      </c>
      <c r="AH533" s="15" t="str">
        <f t="shared" si="2"/>
        <v/>
      </c>
      <c r="AI533" s="17" t="str">
        <f>IF(AG533="","",INDEX('Quitados DUPP'!$G$1:$G$6635,AG533))</f>
        <v/>
      </c>
      <c r="AJ533" s="17" t="str">
        <f t="shared" si="3"/>
        <v/>
      </c>
    </row>
    <row r="534" spans="31:36">
      <c r="AE534" s="15" t="str">
        <f t="shared" si="0"/>
        <v/>
      </c>
      <c r="AF534" s="15" t="str">
        <f t="shared" si="1"/>
        <v/>
      </c>
      <c r="AG534" s="15" t="str">
        <f>IF(OR(AF534="",AF534="ERRO_CHAVE"),"",IFERROR(MATCH(AF534,'Quitados DUPP'!$U$1:$U$6635,0),""))</f>
        <v/>
      </c>
      <c r="AH534" s="15" t="str">
        <f t="shared" si="2"/>
        <v/>
      </c>
      <c r="AI534" s="17" t="str">
        <f>IF(AG534="","",INDEX('Quitados DUPP'!$G$1:$G$6635,AG534))</f>
        <v/>
      </c>
      <c r="AJ534" s="17" t="str">
        <f t="shared" si="3"/>
        <v/>
      </c>
    </row>
    <row r="535" spans="31:36">
      <c r="AE535" s="15" t="str">
        <f t="shared" si="0"/>
        <v/>
      </c>
      <c r="AF535" s="15" t="str">
        <f t="shared" si="1"/>
        <v/>
      </c>
      <c r="AG535" s="15" t="str">
        <f>IF(OR(AF535="",AF535="ERRO_CHAVE"),"",IFERROR(MATCH(AF535,'Quitados DUPP'!$U$1:$U$6635,0),""))</f>
        <v/>
      </c>
      <c r="AH535" s="15" t="str">
        <f t="shared" si="2"/>
        <v/>
      </c>
      <c r="AI535" s="17" t="str">
        <f>IF(AG535="","",INDEX('Quitados DUPP'!$G$1:$G$6635,AG535))</f>
        <v/>
      </c>
      <c r="AJ535" s="17" t="str">
        <f t="shared" si="3"/>
        <v/>
      </c>
    </row>
    <row r="536" spans="31:36">
      <c r="AE536" s="15" t="str">
        <f t="shared" si="0"/>
        <v/>
      </c>
      <c r="AF536" s="15" t="str">
        <f t="shared" si="1"/>
        <v/>
      </c>
      <c r="AG536" s="15" t="str">
        <f>IF(OR(AF536="",AF536="ERRO_CHAVE"),"",IFERROR(MATCH(AF536,'Quitados DUPP'!$U$1:$U$6635,0),""))</f>
        <v/>
      </c>
      <c r="AH536" s="15" t="str">
        <f t="shared" si="2"/>
        <v/>
      </c>
      <c r="AI536" s="17" t="str">
        <f>IF(AG536="","",INDEX('Quitados DUPP'!$G$1:$G$6635,AG536))</f>
        <v/>
      </c>
      <c r="AJ536" s="17" t="str">
        <f t="shared" si="3"/>
        <v/>
      </c>
    </row>
    <row r="537" spans="31:36">
      <c r="AE537" s="15" t="str">
        <f t="shared" si="0"/>
        <v/>
      </c>
      <c r="AF537" s="15" t="str">
        <f t="shared" si="1"/>
        <v/>
      </c>
      <c r="AG537" s="15" t="str">
        <f>IF(OR(AF537="",AF537="ERRO_CHAVE"),"",IFERROR(MATCH(AF537,'Quitados DUPP'!$U$1:$U$6635,0),""))</f>
        <v/>
      </c>
      <c r="AH537" s="15" t="str">
        <f t="shared" si="2"/>
        <v/>
      </c>
      <c r="AI537" s="17" t="str">
        <f>IF(AG537="","",INDEX('Quitados DUPP'!$G$1:$G$6635,AG537))</f>
        <v/>
      </c>
      <c r="AJ537" s="17" t="str">
        <f t="shared" si="3"/>
        <v/>
      </c>
    </row>
    <row r="538" spans="31:36">
      <c r="AE538" s="15" t="str">
        <f t="shared" si="0"/>
        <v/>
      </c>
      <c r="AF538" s="15" t="str">
        <f t="shared" si="1"/>
        <v/>
      </c>
      <c r="AG538" s="15" t="str">
        <f>IF(OR(AF538="",AF538="ERRO_CHAVE"),"",IFERROR(MATCH(AF538,'Quitados DUPP'!$U$1:$U$6635,0),""))</f>
        <v/>
      </c>
      <c r="AH538" s="15" t="str">
        <f t="shared" si="2"/>
        <v/>
      </c>
      <c r="AI538" s="17" t="str">
        <f>IF(AG538="","",INDEX('Quitados DUPP'!$G$1:$G$6635,AG538))</f>
        <v/>
      </c>
      <c r="AJ538" s="17" t="str">
        <f t="shared" si="3"/>
        <v/>
      </c>
    </row>
    <row r="539" spans="31:36">
      <c r="AE539" s="15" t="str">
        <f t="shared" si="0"/>
        <v/>
      </c>
      <c r="AF539" s="15" t="str">
        <f t="shared" si="1"/>
        <v/>
      </c>
      <c r="AG539" s="15" t="str">
        <f>IF(OR(AF539="",AF539="ERRO_CHAVE"),"",IFERROR(MATCH(AF539,'Quitados DUPP'!$U$1:$U$6635,0),""))</f>
        <v/>
      </c>
      <c r="AH539" s="15" t="str">
        <f t="shared" si="2"/>
        <v/>
      </c>
      <c r="AI539" s="17" t="str">
        <f>IF(AG539="","",INDEX('Quitados DUPP'!$G$1:$G$6635,AG539))</f>
        <v/>
      </c>
      <c r="AJ539" s="17" t="str">
        <f t="shared" si="3"/>
        <v/>
      </c>
    </row>
    <row r="540" spans="31:36">
      <c r="AE540" s="15" t="str">
        <f t="shared" si="0"/>
        <v/>
      </c>
      <c r="AF540" s="15" t="str">
        <f t="shared" si="1"/>
        <v/>
      </c>
      <c r="AG540" s="15" t="str">
        <f>IF(OR(AF540="",AF540="ERRO_CHAVE"),"",IFERROR(MATCH(AF540,'Quitados DUPP'!$U$1:$U$6635,0),""))</f>
        <v/>
      </c>
      <c r="AH540" s="15" t="str">
        <f t="shared" si="2"/>
        <v/>
      </c>
      <c r="AI540" s="17" t="str">
        <f>IF(AG540="","",INDEX('Quitados DUPP'!$G$1:$G$6635,AG540))</f>
        <v/>
      </c>
      <c r="AJ540" s="17" t="str">
        <f t="shared" si="3"/>
        <v/>
      </c>
    </row>
    <row r="541" spans="31:36">
      <c r="AE541" s="15" t="str">
        <f t="shared" si="0"/>
        <v/>
      </c>
      <c r="AF541" s="15" t="str">
        <f t="shared" si="1"/>
        <v/>
      </c>
      <c r="AG541" s="15" t="str">
        <f>IF(OR(AF541="",AF541="ERRO_CHAVE"),"",IFERROR(MATCH(AF541,'Quitados DUPP'!$U$1:$U$6635,0),""))</f>
        <v/>
      </c>
      <c r="AH541" s="15" t="str">
        <f t="shared" si="2"/>
        <v/>
      </c>
      <c r="AI541" s="17" t="str">
        <f>IF(AG541="","",INDEX('Quitados DUPP'!$G$1:$G$6635,AG541))</f>
        <v/>
      </c>
      <c r="AJ541" s="17" t="str">
        <f t="shared" si="3"/>
        <v/>
      </c>
    </row>
    <row r="542" spans="31:36">
      <c r="AE542" s="15" t="str">
        <f t="shared" si="0"/>
        <v/>
      </c>
      <c r="AF542" s="15" t="str">
        <f t="shared" si="1"/>
        <v/>
      </c>
      <c r="AG542" s="15" t="str">
        <f>IF(OR(AF542="",AF542="ERRO_CHAVE"),"",IFERROR(MATCH(AF542,'Quitados DUPP'!$U$1:$U$6635,0),""))</f>
        <v/>
      </c>
      <c r="AH542" s="15" t="str">
        <f t="shared" si="2"/>
        <v/>
      </c>
      <c r="AI542" s="17" t="str">
        <f>IF(AG542="","",INDEX('Quitados DUPP'!$G$1:$G$6635,AG542))</f>
        <v/>
      </c>
      <c r="AJ542" s="17" t="str">
        <f t="shared" si="3"/>
        <v/>
      </c>
    </row>
    <row r="543" spans="31:36">
      <c r="AE543" s="15" t="str">
        <f t="shared" si="0"/>
        <v/>
      </c>
      <c r="AF543" s="15" t="str">
        <f t="shared" si="1"/>
        <v/>
      </c>
      <c r="AG543" s="15" t="str">
        <f>IF(OR(AF543="",AF543="ERRO_CHAVE"),"",IFERROR(MATCH(AF543,'Quitados DUPP'!$U$1:$U$6635,0),""))</f>
        <v/>
      </c>
      <c r="AH543" s="15" t="str">
        <f t="shared" si="2"/>
        <v/>
      </c>
      <c r="AI543" s="17" t="str">
        <f>IF(AG543="","",INDEX('Quitados DUPP'!$G$1:$G$6635,AG543))</f>
        <v/>
      </c>
      <c r="AJ543" s="17" t="str">
        <f t="shared" si="3"/>
        <v/>
      </c>
    </row>
    <row r="544" spans="31:36">
      <c r="AE544" s="15" t="str">
        <f t="shared" si="0"/>
        <v/>
      </c>
      <c r="AF544" s="15" t="str">
        <f t="shared" si="1"/>
        <v/>
      </c>
      <c r="AG544" s="15" t="str">
        <f>IF(OR(AF544="",AF544="ERRO_CHAVE"),"",IFERROR(MATCH(AF544,'Quitados DUPP'!$U$1:$U$6635,0),""))</f>
        <v/>
      </c>
      <c r="AH544" s="15" t="str">
        <f t="shared" si="2"/>
        <v/>
      </c>
      <c r="AI544" s="17" t="str">
        <f>IF(AG544="","",INDEX('Quitados DUPP'!$G$1:$G$6635,AG544))</f>
        <v/>
      </c>
      <c r="AJ544" s="17" t="str">
        <f t="shared" si="3"/>
        <v/>
      </c>
    </row>
    <row r="545" spans="31:36">
      <c r="AE545" s="15" t="str">
        <f t="shared" si="0"/>
        <v/>
      </c>
      <c r="AF545" s="15" t="str">
        <f t="shared" si="1"/>
        <v/>
      </c>
      <c r="AG545" s="15" t="str">
        <f>IF(OR(AF545="",AF545="ERRO_CHAVE"),"",IFERROR(MATCH(AF545,'Quitados DUPP'!$U$1:$U$6635,0),""))</f>
        <v/>
      </c>
      <c r="AH545" s="15" t="str">
        <f t="shared" si="2"/>
        <v/>
      </c>
      <c r="AI545" s="17" t="str">
        <f>IF(AG545="","",INDEX('Quitados DUPP'!$G$1:$G$6635,AG545))</f>
        <v/>
      </c>
      <c r="AJ545" s="17" t="str">
        <f t="shared" si="3"/>
        <v/>
      </c>
    </row>
    <row r="546" spans="31:36">
      <c r="AE546" s="15" t="str">
        <f t="shared" si="0"/>
        <v/>
      </c>
      <c r="AF546" s="15" t="str">
        <f t="shared" si="1"/>
        <v/>
      </c>
      <c r="AG546" s="15" t="str">
        <f>IF(OR(AF546="",AF546="ERRO_CHAVE"),"",IFERROR(MATCH(AF546,'Quitados DUPP'!$U$1:$U$6635,0),""))</f>
        <v/>
      </c>
      <c r="AH546" s="15" t="str">
        <f t="shared" si="2"/>
        <v/>
      </c>
      <c r="AI546" s="17" t="str">
        <f>IF(AG546="","",INDEX('Quitados DUPP'!$G$1:$G$6635,AG546))</f>
        <v/>
      </c>
      <c r="AJ546" s="17" t="str">
        <f t="shared" si="3"/>
        <v/>
      </c>
    </row>
    <row r="547" spans="31:36">
      <c r="AE547" s="15" t="str">
        <f t="shared" si="0"/>
        <v/>
      </c>
      <c r="AF547" s="15" t="str">
        <f t="shared" si="1"/>
        <v/>
      </c>
      <c r="AG547" s="15" t="str">
        <f>IF(OR(AF547="",AF547="ERRO_CHAVE"),"",IFERROR(MATCH(AF547,'Quitados DUPP'!$U$1:$U$6635,0),""))</f>
        <v/>
      </c>
      <c r="AH547" s="15" t="str">
        <f t="shared" si="2"/>
        <v/>
      </c>
      <c r="AI547" s="17" t="str">
        <f>IF(AG547="","",INDEX('Quitados DUPP'!$G$1:$G$6635,AG547))</f>
        <v/>
      </c>
      <c r="AJ547" s="17" t="str">
        <f t="shared" si="3"/>
        <v/>
      </c>
    </row>
    <row r="548" spans="31:36">
      <c r="AE548" s="15" t="str">
        <f t="shared" si="0"/>
        <v/>
      </c>
      <c r="AF548" s="15" t="str">
        <f t="shared" si="1"/>
        <v/>
      </c>
      <c r="AG548" s="15" t="str">
        <f>IF(OR(AF548="",AF548="ERRO_CHAVE"),"",IFERROR(MATCH(AF548,'Quitados DUPP'!$U$1:$U$6635,0),""))</f>
        <v/>
      </c>
      <c r="AH548" s="15" t="str">
        <f t="shared" si="2"/>
        <v/>
      </c>
      <c r="AI548" s="17" t="str">
        <f>IF(AG548="","",INDEX('Quitados DUPP'!$G$1:$G$6635,AG548))</f>
        <v/>
      </c>
      <c r="AJ548" s="17" t="str">
        <f t="shared" si="3"/>
        <v/>
      </c>
    </row>
    <row r="549" spans="31:36">
      <c r="AE549" s="15" t="str">
        <f t="shared" si="0"/>
        <v/>
      </c>
      <c r="AF549" s="15" t="str">
        <f t="shared" si="1"/>
        <v/>
      </c>
      <c r="AG549" s="15" t="str">
        <f>IF(OR(AF549="",AF549="ERRO_CHAVE"),"",IFERROR(MATCH(AF549,'Quitados DUPP'!$U$1:$U$6635,0),""))</f>
        <v/>
      </c>
      <c r="AH549" s="15" t="str">
        <f t="shared" si="2"/>
        <v/>
      </c>
      <c r="AI549" s="17" t="str">
        <f>IF(AG549="","",INDEX('Quitados DUPP'!$G$1:$G$6635,AG549))</f>
        <v/>
      </c>
      <c r="AJ549" s="17" t="str">
        <f t="shared" si="3"/>
        <v/>
      </c>
    </row>
    <row r="550" spans="31:36">
      <c r="AE550" s="15" t="str">
        <f t="shared" si="0"/>
        <v/>
      </c>
      <c r="AF550" s="15" t="str">
        <f t="shared" si="1"/>
        <v/>
      </c>
      <c r="AG550" s="15" t="str">
        <f>IF(OR(AF550="",AF550="ERRO_CHAVE"),"",IFERROR(MATCH(AF550,'Quitados DUPP'!$U$1:$U$6635,0),""))</f>
        <v/>
      </c>
      <c r="AH550" s="15" t="str">
        <f t="shared" si="2"/>
        <v/>
      </c>
      <c r="AI550" s="17" t="str">
        <f>IF(AG550="","",INDEX('Quitados DUPP'!$G$1:$G$6635,AG550))</f>
        <v/>
      </c>
      <c r="AJ550" s="17" t="str">
        <f t="shared" si="3"/>
        <v/>
      </c>
    </row>
    <row r="551" spans="31:36">
      <c r="AE551" s="15" t="str">
        <f t="shared" si="0"/>
        <v/>
      </c>
      <c r="AF551" s="15" t="str">
        <f t="shared" si="1"/>
        <v/>
      </c>
      <c r="AG551" s="15" t="str">
        <f>IF(OR(AF551="",AF551="ERRO_CHAVE"),"",IFERROR(MATCH(AF551,'Quitados DUPP'!$U$1:$U$6635,0),""))</f>
        <v/>
      </c>
      <c r="AH551" s="15" t="str">
        <f t="shared" si="2"/>
        <v/>
      </c>
      <c r="AI551" s="17" t="str">
        <f>IF(AG551="","",INDEX('Quitados DUPP'!$G$1:$G$6635,AG551))</f>
        <v/>
      </c>
      <c r="AJ551" s="17" t="str">
        <f t="shared" si="3"/>
        <v/>
      </c>
    </row>
    <row r="552" spans="31:36">
      <c r="AE552" s="15" t="str">
        <f t="shared" si="0"/>
        <v/>
      </c>
      <c r="AF552" s="15" t="str">
        <f t="shared" si="1"/>
        <v/>
      </c>
      <c r="AG552" s="15" t="str">
        <f>IF(OR(AF552="",AF552="ERRO_CHAVE"),"",IFERROR(MATCH(AF552,'Quitados DUPP'!$U$1:$U$6635,0),""))</f>
        <v/>
      </c>
      <c r="AH552" s="15" t="str">
        <f t="shared" si="2"/>
        <v/>
      </c>
      <c r="AI552" s="17" t="str">
        <f>IF(AG552="","",INDEX('Quitados DUPP'!$G$1:$G$6635,AG552))</f>
        <v/>
      </c>
      <c r="AJ552" s="17" t="str">
        <f t="shared" si="3"/>
        <v/>
      </c>
    </row>
    <row r="553" spans="31:36">
      <c r="AE553" s="15" t="str">
        <f t="shared" si="0"/>
        <v/>
      </c>
      <c r="AF553" s="15" t="str">
        <f t="shared" si="1"/>
        <v/>
      </c>
      <c r="AG553" s="15" t="str">
        <f>IF(OR(AF553="",AF553="ERRO_CHAVE"),"",IFERROR(MATCH(AF553,'Quitados DUPP'!$U$1:$U$6635,0),""))</f>
        <v/>
      </c>
      <c r="AH553" s="15" t="str">
        <f t="shared" si="2"/>
        <v/>
      </c>
      <c r="AI553" s="17" t="str">
        <f>IF(AG553="","",INDEX('Quitados DUPP'!$G$1:$G$6635,AG553))</f>
        <v/>
      </c>
      <c r="AJ553" s="17" t="str">
        <f t="shared" si="3"/>
        <v/>
      </c>
    </row>
    <row r="554" spans="31:36">
      <c r="AE554" s="15" t="str">
        <f t="shared" si="0"/>
        <v/>
      </c>
      <c r="AF554" s="15" t="str">
        <f t="shared" si="1"/>
        <v/>
      </c>
      <c r="AG554" s="15" t="str">
        <f>IF(OR(AF554="",AF554="ERRO_CHAVE"),"",IFERROR(MATCH(AF554,'Quitados DUPP'!$U$1:$U$6635,0),""))</f>
        <v/>
      </c>
      <c r="AH554" s="15" t="str">
        <f t="shared" si="2"/>
        <v/>
      </c>
      <c r="AI554" s="17" t="str">
        <f>IF(AG554="","",INDEX('Quitados DUPP'!$G$1:$G$6635,AG554))</f>
        <v/>
      </c>
      <c r="AJ554" s="17" t="str">
        <f t="shared" si="3"/>
        <v/>
      </c>
    </row>
    <row r="555" spans="31:36">
      <c r="AE555" s="15" t="str">
        <f t="shared" si="0"/>
        <v/>
      </c>
      <c r="AF555" s="15" t="str">
        <f t="shared" si="1"/>
        <v/>
      </c>
      <c r="AG555" s="15" t="str">
        <f>IF(OR(AF555="",AF555="ERRO_CHAVE"),"",IFERROR(MATCH(AF555,'Quitados DUPP'!$U$1:$U$6635,0),""))</f>
        <v/>
      </c>
      <c r="AH555" s="15" t="str">
        <f t="shared" si="2"/>
        <v/>
      </c>
      <c r="AI555" s="17" t="str">
        <f>IF(AG555="","",INDEX('Quitados DUPP'!$G$1:$G$6635,AG555))</f>
        <v/>
      </c>
      <c r="AJ555" s="17" t="str">
        <f t="shared" si="3"/>
        <v/>
      </c>
    </row>
    <row r="556" spans="31:36">
      <c r="AE556" s="15" t="str">
        <f t="shared" si="0"/>
        <v/>
      </c>
      <c r="AF556" s="15" t="str">
        <f t="shared" si="1"/>
        <v/>
      </c>
      <c r="AG556" s="15" t="str">
        <f>IF(OR(AF556="",AF556="ERRO_CHAVE"),"",IFERROR(MATCH(AF556,'Quitados DUPP'!$U$1:$U$6635,0),""))</f>
        <v/>
      </c>
      <c r="AH556" s="15" t="str">
        <f t="shared" si="2"/>
        <v/>
      </c>
      <c r="AI556" s="17" t="str">
        <f>IF(AG556="","",INDEX('Quitados DUPP'!$G$1:$G$6635,AG556))</f>
        <v/>
      </c>
      <c r="AJ556" s="17" t="str">
        <f t="shared" si="3"/>
        <v/>
      </c>
    </row>
    <row r="557" spans="31:36">
      <c r="AE557" s="15" t="str">
        <f t="shared" si="0"/>
        <v/>
      </c>
      <c r="AF557" s="15" t="str">
        <f t="shared" si="1"/>
        <v/>
      </c>
      <c r="AG557" s="15" t="str">
        <f>IF(OR(AF557="",AF557="ERRO_CHAVE"),"",IFERROR(MATCH(AF557,'Quitados DUPP'!$U$1:$U$6635,0),""))</f>
        <v/>
      </c>
      <c r="AH557" s="15" t="str">
        <f t="shared" si="2"/>
        <v/>
      </c>
      <c r="AI557" s="17" t="str">
        <f>IF(AG557="","",INDEX('Quitados DUPP'!$G$1:$G$6635,AG557))</f>
        <v/>
      </c>
      <c r="AJ557" s="17" t="str">
        <f t="shared" si="3"/>
        <v/>
      </c>
    </row>
    <row r="558" spans="31:36">
      <c r="AE558" s="15" t="str">
        <f t="shared" si="0"/>
        <v/>
      </c>
      <c r="AF558" s="15" t="str">
        <f t="shared" si="1"/>
        <v/>
      </c>
      <c r="AG558" s="15" t="str">
        <f>IF(OR(AF558="",AF558="ERRO_CHAVE"),"",IFERROR(MATCH(AF558,'Quitados DUPP'!$U$1:$U$6635,0),""))</f>
        <v/>
      </c>
      <c r="AH558" s="15" t="str">
        <f t="shared" si="2"/>
        <v/>
      </c>
      <c r="AI558" s="17" t="str">
        <f>IF(AG558="","",INDEX('Quitados DUPP'!$G$1:$G$6635,AG558))</f>
        <v/>
      </c>
      <c r="AJ558" s="17" t="str">
        <f t="shared" si="3"/>
        <v/>
      </c>
    </row>
    <row r="559" spans="31:36">
      <c r="AE559" s="15" t="str">
        <f t="shared" si="0"/>
        <v/>
      </c>
      <c r="AF559" s="15" t="str">
        <f t="shared" si="1"/>
        <v/>
      </c>
      <c r="AG559" s="15" t="str">
        <f>IF(OR(AF559="",AF559="ERRO_CHAVE"),"",IFERROR(MATCH(AF559,'Quitados DUPP'!$U$1:$U$6635,0),""))</f>
        <v/>
      </c>
      <c r="AH559" s="15" t="str">
        <f t="shared" si="2"/>
        <v/>
      </c>
      <c r="AI559" s="17" t="str">
        <f>IF(AG559="","",INDEX('Quitados DUPP'!$G$1:$G$6635,AG559))</f>
        <v/>
      </c>
      <c r="AJ559" s="17" t="str">
        <f t="shared" si="3"/>
        <v/>
      </c>
    </row>
    <row r="560" spans="31:36">
      <c r="AE560" s="15" t="str">
        <f t="shared" si="0"/>
        <v/>
      </c>
      <c r="AF560" s="15" t="str">
        <f t="shared" si="1"/>
        <v/>
      </c>
      <c r="AG560" s="15" t="str">
        <f>IF(OR(AF560="",AF560="ERRO_CHAVE"),"",IFERROR(MATCH(AF560,'Quitados DUPP'!$U$1:$U$6635,0),""))</f>
        <v/>
      </c>
      <c r="AH560" s="15" t="str">
        <f t="shared" si="2"/>
        <v/>
      </c>
      <c r="AI560" s="17" t="str">
        <f>IF(AG560="","",INDEX('Quitados DUPP'!$G$1:$G$6635,AG560))</f>
        <v/>
      </c>
      <c r="AJ560" s="17" t="str">
        <f t="shared" si="3"/>
        <v/>
      </c>
    </row>
    <row r="561" spans="31:36">
      <c r="AE561" s="15" t="str">
        <f t="shared" si="0"/>
        <v/>
      </c>
      <c r="AF561" s="15" t="str">
        <f t="shared" si="1"/>
        <v/>
      </c>
      <c r="AG561" s="15" t="str">
        <f>IF(OR(AF561="",AF561="ERRO_CHAVE"),"",IFERROR(MATCH(AF561,'Quitados DUPP'!$U$1:$U$6635,0),""))</f>
        <v/>
      </c>
      <c r="AH561" s="15" t="str">
        <f t="shared" si="2"/>
        <v/>
      </c>
      <c r="AI561" s="17" t="str">
        <f>IF(AG561="","",INDEX('Quitados DUPP'!$G$1:$G$6635,AG561))</f>
        <v/>
      </c>
      <c r="AJ561" s="17" t="str">
        <f t="shared" si="3"/>
        <v/>
      </c>
    </row>
    <row r="562" spans="31:36">
      <c r="AE562" s="15" t="str">
        <f t="shared" si="0"/>
        <v/>
      </c>
      <c r="AF562" s="15" t="str">
        <f t="shared" si="1"/>
        <v/>
      </c>
      <c r="AG562" s="15" t="str">
        <f>IF(OR(AF562="",AF562="ERRO_CHAVE"),"",IFERROR(MATCH(AF562,'Quitados DUPP'!$U$1:$U$6635,0),""))</f>
        <v/>
      </c>
      <c r="AH562" s="15" t="str">
        <f t="shared" si="2"/>
        <v/>
      </c>
      <c r="AI562" s="17" t="str">
        <f>IF(AG562="","",INDEX('Quitados DUPP'!$G$1:$G$6635,AG562))</f>
        <v/>
      </c>
      <c r="AJ562" s="17" t="str">
        <f t="shared" si="3"/>
        <v/>
      </c>
    </row>
    <row r="563" spans="31:36">
      <c r="AE563" s="15" t="str">
        <f t="shared" si="0"/>
        <v/>
      </c>
      <c r="AF563" s="15" t="str">
        <f t="shared" si="1"/>
        <v/>
      </c>
      <c r="AG563" s="15" t="str">
        <f>IF(OR(AF563="",AF563="ERRO_CHAVE"),"",IFERROR(MATCH(AF563,'Quitados DUPP'!$U$1:$U$6635,0),""))</f>
        <v/>
      </c>
      <c r="AH563" s="15" t="str">
        <f t="shared" si="2"/>
        <v/>
      </c>
      <c r="AI563" s="17" t="str">
        <f>IF(AG563="","",INDEX('Quitados DUPP'!$G$1:$G$6635,AG563))</f>
        <v/>
      </c>
      <c r="AJ563" s="17" t="str">
        <f t="shared" si="3"/>
        <v/>
      </c>
    </row>
    <row r="564" spans="31:36">
      <c r="AE564" s="15" t="str">
        <f t="shared" si="0"/>
        <v/>
      </c>
      <c r="AF564" s="15" t="str">
        <f t="shared" si="1"/>
        <v/>
      </c>
      <c r="AG564" s="15" t="str">
        <f>IF(OR(AF564="",AF564="ERRO_CHAVE"),"",IFERROR(MATCH(AF564,'Quitados DUPP'!$U$1:$U$6635,0),""))</f>
        <v/>
      </c>
      <c r="AH564" s="15" t="str">
        <f t="shared" si="2"/>
        <v/>
      </c>
      <c r="AI564" s="17" t="str">
        <f>IF(AG564="","",INDEX('Quitados DUPP'!$G$1:$G$6635,AG564))</f>
        <v/>
      </c>
      <c r="AJ564" s="17" t="str">
        <f t="shared" si="3"/>
        <v/>
      </c>
    </row>
    <row r="565" spans="31:36">
      <c r="AE565" s="15" t="str">
        <f t="shared" si="0"/>
        <v/>
      </c>
      <c r="AF565" s="15" t="str">
        <f t="shared" si="1"/>
        <v/>
      </c>
      <c r="AG565" s="15" t="str">
        <f>IF(OR(AF565="",AF565="ERRO_CHAVE"),"",IFERROR(MATCH(AF565,'Quitados DUPP'!$U$1:$U$6635,0),""))</f>
        <v/>
      </c>
      <c r="AH565" s="15" t="str">
        <f t="shared" si="2"/>
        <v/>
      </c>
      <c r="AI565" s="17" t="str">
        <f>IF(AG565="","",INDEX('Quitados DUPP'!$G$1:$G$6635,AG565))</f>
        <v/>
      </c>
      <c r="AJ565" s="17" t="str">
        <f t="shared" si="3"/>
        <v/>
      </c>
    </row>
    <row r="566" spans="31:36">
      <c r="AE566" s="15" t="str">
        <f t="shared" si="0"/>
        <v/>
      </c>
      <c r="AF566" s="15" t="str">
        <f t="shared" si="1"/>
        <v/>
      </c>
      <c r="AG566" s="15" t="str">
        <f>IF(OR(AF566="",AF566="ERRO_CHAVE"),"",IFERROR(MATCH(AF566,'Quitados DUPP'!$U$1:$U$6635,0),""))</f>
        <v/>
      </c>
      <c r="AH566" s="15" t="str">
        <f t="shared" si="2"/>
        <v/>
      </c>
      <c r="AI566" s="17" t="str">
        <f>IF(AG566="","",INDEX('Quitados DUPP'!$G$1:$G$6635,AG566))</f>
        <v/>
      </c>
      <c r="AJ566" s="17" t="str">
        <f t="shared" si="3"/>
        <v/>
      </c>
    </row>
    <row r="567" spans="31:36">
      <c r="AE567" s="15" t="str">
        <f t="shared" si="0"/>
        <v/>
      </c>
      <c r="AF567" s="15" t="str">
        <f t="shared" si="1"/>
        <v/>
      </c>
      <c r="AG567" s="15" t="str">
        <f>IF(OR(AF567="",AF567="ERRO_CHAVE"),"",IFERROR(MATCH(AF567,'Quitados DUPP'!$U$1:$U$6635,0),""))</f>
        <v/>
      </c>
      <c r="AH567" s="15" t="str">
        <f t="shared" si="2"/>
        <v/>
      </c>
      <c r="AI567" s="17" t="str">
        <f>IF(AG567="","",INDEX('Quitados DUPP'!$G$1:$G$6635,AG567))</f>
        <v/>
      </c>
      <c r="AJ567" s="17" t="str">
        <f t="shared" si="3"/>
        <v/>
      </c>
    </row>
    <row r="568" spans="31:36">
      <c r="AE568" s="15" t="str">
        <f t="shared" si="0"/>
        <v/>
      </c>
      <c r="AF568" s="15" t="str">
        <f t="shared" si="1"/>
        <v/>
      </c>
      <c r="AG568" s="15" t="str">
        <f>IF(OR(AF568="",AF568="ERRO_CHAVE"),"",IFERROR(MATCH(AF568,'Quitados DUPP'!$U$1:$U$6635,0),""))</f>
        <v/>
      </c>
      <c r="AH568" s="15" t="str">
        <f t="shared" si="2"/>
        <v/>
      </c>
      <c r="AI568" s="17" t="str">
        <f>IF(AG568="","",INDEX('Quitados DUPP'!$G$1:$G$6635,AG568))</f>
        <v/>
      </c>
      <c r="AJ568" s="17" t="str">
        <f t="shared" si="3"/>
        <v/>
      </c>
    </row>
    <row r="569" spans="31:36">
      <c r="AE569" s="15" t="str">
        <f t="shared" si="0"/>
        <v/>
      </c>
      <c r="AF569" s="15" t="str">
        <f t="shared" si="1"/>
        <v/>
      </c>
      <c r="AG569" s="15" t="str">
        <f>IF(OR(AF569="",AF569="ERRO_CHAVE"),"",IFERROR(MATCH(AF569,'Quitados DUPP'!$U$1:$U$6635,0),""))</f>
        <v/>
      </c>
      <c r="AH569" s="15" t="str">
        <f t="shared" si="2"/>
        <v/>
      </c>
      <c r="AI569" s="17" t="str">
        <f>IF(AG569="","",INDEX('Quitados DUPP'!$G$1:$G$6635,AG569))</f>
        <v/>
      </c>
      <c r="AJ569" s="17" t="str">
        <f t="shared" si="3"/>
        <v/>
      </c>
    </row>
    <row r="570" spans="31:36">
      <c r="AE570" s="15" t="str">
        <f t="shared" si="0"/>
        <v/>
      </c>
      <c r="AF570" s="15" t="str">
        <f t="shared" si="1"/>
        <v/>
      </c>
      <c r="AG570" s="15" t="str">
        <f>IF(OR(AF570="",AF570="ERRO_CHAVE"),"",IFERROR(MATCH(AF570,'Quitados DUPP'!$U$1:$U$6635,0),""))</f>
        <v/>
      </c>
      <c r="AH570" s="15" t="str">
        <f t="shared" si="2"/>
        <v/>
      </c>
      <c r="AI570" s="17" t="str">
        <f>IF(AG570="","",INDEX('Quitados DUPP'!$G$1:$G$6635,AG570))</f>
        <v/>
      </c>
      <c r="AJ570" s="17" t="str">
        <f t="shared" si="3"/>
        <v/>
      </c>
    </row>
    <row r="571" spans="31:36">
      <c r="AE571" s="15" t="str">
        <f t="shared" si="0"/>
        <v/>
      </c>
      <c r="AF571" s="15" t="str">
        <f t="shared" si="1"/>
        <v/>
      </c>
      <c r="AG571" s="15" t="str">
        <f>IF(OR(AF571="",AF571="ERRO_CHAVE"),"",IFERROR(MATCH(AF571,'Quitados DUPP'!$U$1:$U$6635,0),""))</f>
        <v/>
      </c>
      <c r="AH571" s="15" t="str">
        <f t="shared" si="2"/>
        <v/>
      </c>
      <c r="AI571" s="17" t="str">
        <f>IF(AG571="","",INDEX('Quitados DUPP'!$G$1:$G$6635,AG571))</f>
        <v/>
      </c>
      <c r="AJ571" s="17" t="str">
        <f t="shared" si="3"/>
        <v/>
      </c>
    </row>
    <row r="572" spans="31:36">
      <c r="AE572" s="15" t="str">
        <f t="shared" si="0"/>
        <v/>
      </c>
      <c r="AF572" s="15" t="str">
        <f t="shared" si="1"/>
        <v/>
      </c>
      <c r="AG572" s="15" t="str">
        <f>IF(OR(AF572="",AF572="ERRO_CHAVE"),"",IFERROR(MATCH(AF572,'Quitados DUPP'!$U$1:$U$6635,0),""))</f>
        <v/>
      </c>
      <c r="AH572" s="15" t="str">
        <f t="shared" si="2"/>
        <v/>
      </c>
      <c r="AI572" s="17" t="str">
        <f>IF(AG572="","",INDEX('Quitados DUPP'!$G$1:$G$6635,AG572))</f>
        <v/>
      </c>
      <c r="AJ572" s="17" t="str">
        <f t="shared" si="3"/>
        <v/>
      </c>
    </row>
    <row r="573" spans="31:36">
      <c r="AE573" s="15" t="str">
        <f t="shared" si="0"/>
        <v/>
      </c>
      <c r="AF573" s="15" t="str">
        <f t="shared" si="1"/>
        <v/>
      </c>
      <c r="AG573" s="15" t="str">
        <f>IF(OR(AF573="",AF573="ERRO_CHAVE"),"",IFERROR(MATCH(AF573,'Quitados DUPP'!$U$1:$U$6635,0),""))</f>
        <v/>
      </c>
      <c r="AH573" s="15" t="str">
        <f t="shared" si="2"/>
        <v/>
      </c>
      <c r="AI573" s="17" t="str">
        <f>IF(AG573="","",INDEX('Quitados DUPP'!$G$1:$G$6635,AG573))</f>
        <v/>
      </c>
      <c r="AJ573" s="17" t="str">
        <f t="shared" si="3"/>
        <v/>
      </c>
    </row>
    <row r="574" spans="31:36">
      <c r="AE574" s="15" t="str">
        <f t="shared" si="0"/>
        <v/>
      </c>
      <c r="AF574" s="15" t="str">
        <f t="shared" si="1"/>
        <v/>
      </c>
      <c r="AG574" s="15" t="str">
        <f>IF(OR(AF574="",AF574="ERRO_CHAVE"),"",IFERROR(MATCH(AF574,'Quitados DUPP'!$U$1:$U$6635,0),""))</f>
        <v/>
      </c>
      <c r="AH574" s="15" t="str">
        <f t="shared" si="2"/>
        <v/>
      </c>
      <c r="AI574" s="17" t="str">
        <f>IF(AG574="","",INDEX('Quitados DUPP'!$G$1:$G$6635,AG574))</f>
        <v/>
      </c>
      <c r="AJ574" s="17" t="str">
        <f t="shared" si="3"/>
        <v/>
      </c>
    </row>
    <row r="575" spans="31:36">
      <c r="AE575" s="15" t="str">
        <f t="shared" si="0"/>
        <v/>
      </c>
      <c r="AF575" s="15" t="str">
        <f t="shared" si="1"/>
        <v/>
      </c>
      <c r="AG575" s="15" t="str">
        <f>IF(OR(AF575="",AF575="ERRO_CHAVE"),"",IFERROR(MATCH(AF575,'Quitados DUPP'!$U$1:$U$6635,0),""))</f>
        <v/>
      </c>
      <c r="AH575" s="15" t="str">
        <f t="shared" si="2"/>
        <v/>
      </c>
      <c r="AI575" s="17" t="str">
        <f>IF(AG575="","",INDEX('Quitados DUPP'!$G$1:$G$6635,AG575))</f>
        <v/>
      </c>
      <c r="AJ575" s="17" t="str">
        <f t="shared" si="3"/>
        <v/>
      </c>
    </row>
    <row r="576" spans="31:36">
      <c r="AE576" s="15" t="str">
        <f t="shared" si="0"/>
        <v/>
      </c>
      <c r="AF576" s="15" t="str">
        <f t="shared" si="1"/>
        <v/>
      </c>
      <c r="AG576" s="15" t="str">
        <f>IF(OR(AF576="",AF576="ERRO_CHAVE"),"",IFERROR(MATCH(AF576,'Quitados DUPP'!$U$1:$U$6635,0),""))</f>
        <v/>
      </c>
      <c r="AH576" s="15" t="str">
        <f t="shared" si="2"/>
        <v/>
      </c>
      <c r="AI576" s="17" t="str">
        <f>IF(AG576="","",INDEX('Quitados DUPP'!$G$1:$G$6635,AG576))</f>
        <v/>
      </c>
      <c r="AJ576" s="17" t="str">
        <f t="shared" si="3"/>
        <v/>
      </c>
    </row>
    <row r="577" spans="31:36">
      <c r="AE577" s="15" t="str">
        <f t="shared" si="0"/>
        <v/>
      </c>
      <c r="AF577" s="15" t="str">
        <f t="shared" si="1"/>
        <v/>
      </c>
      <c r="AG577" s="15" t="str">
        <f>IF(OR(AF577="",AF577="ERRO_CHAVE"),"",IFERROR(MATCH(AF577,'Quitados DUPP'!$U$1:$U$6635,0),""))</f>
        <v/>
      </c>
      <c r="AH577" s="15" t="str">
        <f t="shared" si="2"/>
        <v/>
      </c>
      <c r="AI577" s="17" t="str">
        <f>IF(AG577="","",INDEX('Quitados DUPP'!$G$1:$G$6635,AG577))</f>
        <v/>
      </c>
      <c r="AJ577" s="17" t="str">
        <f t="shared" si="3"/>
        <v/>
      </c>
    </row>
    <row r="578" spans="31:36">
      <c r="AE578" s="15" t="str">
        <f t="shared" si="0"/>
        <v/>
      </c>
      <c r="AF578" s="15" t="str">
        <f t="shared" si="1"/>
        <v/>
      </c>
      <c r="AG578" s="15" t="str">
        <f>IF(OR(AF578="",AF578="ERRO_CHAVE"),"",IFERROR(MATCH(AF578,'Quitados DUPP'!$U$1:$U$6635,0),""))</f>
        <v/>
      </c>
      <c r="AH578" s="15" t="str">
        <f t="shared" si="2"/>
        <v/>
      </c>
      <c r="AI578" s="17" t="str">
        <f>IF(AG578="","",INDEX('Quitados DUPP'!$G$1:$G$6635,AG578))</f>
        <v/>
      </c>
      <c r="AJ578" s="17" t="str">
        <f t="shared" si="3"/>
        <v/>
      </c>
    </row>
    <row r="579" spans="31:36">
      <c r="AE579" s="15" t="str">
        <f t="shared" si="0"/>
        <v/>
      </c>
      <c r="AF579" s="15" t="str">
        <f t="shared" si="1"/>
        <v/>
      </c>
      <c r="AG579" s="15" t="str">
        <f>IF(OR(AF579="",AF579="ERRO_CHAVE"),"",IFERROR(MATCH(AF579,'Quitados DUPP'!$U$1:$U$6635,0),""))</f>
        <v/>
      </c>
      <c r="AH579" s="15" t="str">
        <f t="shared" si="2"/>
        <v/>
      </c>
      <c r="AI579" s="17" t="str">
        <f>IF(AG579="","",INDEX('Quitados DUPP'!$G$1:$G$6635,AG579))</f>
        <v/>
      </c>
      <c r="AJ579" s="17" t="str">
        <f t="shared" si="3"/>
        <v/>
      </c>
    </row>
    <row r="580" spans="31:36">
      <c r="AE580" s="15" t="str">
        <f t="shared" si="0"/>
        <v/>
      </c>
      <c r="AF580" s="15" t="str">
        <f t="shared" si="1"/>
        <v/>
      </c>
      <c r="AG580" s="15" t="str">
        <f>IF(OR(AF580="",AF580="ERRO_CHAVE"),"",IFERROR(MATCH(AF580,'Quitados DUPP'!$U$1:$U$6635,0),""))</f>
        <v/>
      </c>
      <c r="AH580" s="15" t="str">
        <f t="shared" si="2"/>
        <v/>
      </c>
      <c r="AI580" s="17" t="str">
        <f>IF(AG580="","",INDEX('Quitados DUPP'!$G$1:$G$6635,AG580))</f>
        <v/>
      </c>
      <c r="AJ580" s="17" t="str">
        <f t="shared" si="3"/>
        <v/>
      </c>
    </row>
    <row r="581" spans="31:36">
      <c r="AE581" s="15" t="str">
        <f t="shared" si="0"/>
        <v/>
      </c>
      <c r="AF581" s="15" t="str">
        <f t="shared" si="1"/>
        <v/>
      </c>
      <c r="AG581" s="15" t="str">
        <f>IF(OR(AF581="",AF581="ERRO_CHAVE"),"",IFERROR(MATCH(AF581,'Quitados DUPP'!$U$1:$U$6635,0),""))</f>
        <v/>
      </c>
      <c r="AH581" s="15" t="str">
        <f t="shared" si="2"/>
        <v/>
      </c>
      <c r="AI581" s="17" t="str">
        <f>IF(AG581="","",INDEX('Quitados DUPP'!$G$1:$G$6635,AG581))</f>
        <v/>
      </c>
      <c r="AJ581" s="17" t="str">
        <f t="shared" si="3"/>
        <v/>
      </c>
    </row>
    <row r="582" spans="31:36">
      <c r="AE582" s="15" t="str">
        <f t="shared" si="0"/>
        <v/>
      </c>
      <c r="AF582" s="15" t="str">
        <f t="shared" si="1"/>
        <v/>
      </c>
      <c r="AG582" s="15" t="str">
        <f>IF(OR(AF582="",AF582="ERRO_CHAVE"),"",IFERROR(MATCH(AF582,'Quitados DUPP'!$U$1:$U$6635,0),""))</f>
        <v/>
      </c>
      <c r="AH582" s="15" t="str">
        <f t="shared" si="2"/>
        <v/>
      </c>
      <c r="AI582" s="17" t="str">
        <f>IF(AG582="","",INDEX('Quitados DUPP'!$G$1:$G$6635,AG582))</f>
        <v/>
      </c>
      <c r="AJ582" s="17" t="str">
        <f t="shared" si="3"/>
        <v/>
      </c>
    </row>
    <row r="583" spans="31:36">
      <c r="AE583" s="15" t="str">
        <f t="shared" si="0"/>
        <v/>
      </c>
      <c r="AF583" s="15" t="str">
        <f t="shared" si="1"/>
        <v/>
      </c>
      <c r="AG583" s="15" t="str">
        <f>IF(OR(AF583="",AF583="ERRO_CHAVE"),"",IFERROR(MATCH(AF583,'Quitados DUPP'!$U$1:$U$6635,0),""))</f>
        <v/>
      </c>
      <c r="AH583" s="15" t="str">
        <f t="shared" si="2"/>
        <v/>
      </c>
      <c r="AI583" s="17" t="str">
        <f>IF(AG583="","",INDEX('Quitados DUPP'!$G$1:$G$6635,AG583))</f>
        <v/>
      </c>
      <c r="AJ583" s="17" t="str">
        <f t="shared" si="3"/>
        <v/>
      </c>
    </row>
    <row r="584" spans="31:36">
      <c r="AE584" s="15" t="str">
        <f t="shared" si="0"/>
        <v/>
      </c>
      <c r="AF584" s="15" t="str">
        <f t="shared" si="1"/>
        <v/>
      </c>
      <c r="AG584" s="15" t="str">
        <f>IF(OR(AF584="",AF584="ERRO_CHAVE"),"",IFERROR(MATCH(AF584,'Quitados DUPP'!$U$1:$U$6635,0),""))</f>
        <v/>
      </c>
      <c r="AH584" s="15" t="str">
        <f t="shared" si="2"/>
        <v/>
      </c>
      <c r="AI584" s="17" t="str">
        <f>IF(AG584="","",INDEX('Quitados DUPP'!$G$1:$G$6635,AG584))</f>
        <v/>
      </c>
      <c r="AJ584" s="17" t="str">
        <f t="shared" si="3"/>
        <v/>
      </c>
    </row>
    <row r="585" spans="31:36">
      <c r="AE585" s="15" t="str">
        <f t="shared" si="0"/>
        <v/>
      </c>
      <c r="AF585" s="15" t="str">
        <f t="shared" si="1"/>
        <v/>
      </c>
      <c r="AG585" s="15" t="str">
        <f>IF(OR(AF585="",AF585="ERRO_CHAVE"),"",IFERROR(MATCH(AF585,'Quitados DUPP'!$U$1:$U$6635,0),""))</f>
        <v/>
      </c>
      <c r="AH585" s="15" t="str">
        <f t="shared" si="2"/>
        <v/>
      </c>
      <c r="AI585" s="17" t="str">
        <f>IF(AG585="","",INDEX('Quitados DUPP'!$G$1:$G$6635,AG585))</f>
        <v/>
      </c>
      <c r="AJ585" s="17" t="str">
        <f t="shared" si="3"/>
        <v/>
      </c>
    </row>
    <row r="586" spans="31:36">
      <c r="AE586" s="15" t="str">
        <f t="shared" si="0"/>
        <v/>
      </c>
      <c r="AF586" s="15" t="str">
        <f t="shared" si="1"/>
        <v/>
      </c>
      <c r="AG586" s="15" t="str">
        <f>IF(OR(AF586="",AF586="ERRO_CHAVE"),"",IFERROR(MATCH(AF586,'Quitados DUPP'!$U$1:$U$6635,0),""))</f>
        <v/>
      </c>
      <c r="AH586" s="15" t="str">
        <f t="shared" si="2"/>
        <v/>
      </c>
      <c r="AI586" s="17" t="str">
        <f>IF(AG586="","",INDEX('Quitados DUPP'!$G$1:$G$6635,AG586))</f>
        <v/>
      </c>
      <c r="AJ586" s="17" t="str">
        <f t="shared" si="3"/>
        <v/>
      </c>
    </row>
    <row r="587" spans="31:36">
      <c r="AE587" s="15" t="str">
        <f t="shared" si="0"/>
        <v/>
      </c>
      <c r="AF587" s="15" t="str">
        <f t="shared" si="1"/>
        <v/>
      </c>
      <c r="AG587" s="15" t="str">
        <f>IF(OR(AF587="",AF587="ERRO_CHAVE"),"",IFERROR(MATCH(AF587,'Quitados DUPP'!$U$1:$U$6635,0),""))</f>
        <v/>
      </c>
      <c r="AH587" s="15" t="str">
        <f t="shared" si="2"/>
        <v/>
      </c>
      <c r="AI587" s="17" t="str">
        <f>IF(AG587="","",INDEX('Quitados DUPP'!$G$1:$G$6635,AG587))</f>
        <v/>
      </c>
      <c r="AJ587" s="17" t="str">
        <f t="shared" si="3"/>
        <v/>
      </c>
    </row>
    <row r="588" spans="31:36">
      <c r="AE588" s="15" t="str">
        <f t="shared" si="0"/>
        <v/>
      </c>
      <c r="AF588" s="15" t="str">
        <f t="shared" si="1"/>
        <v/>
      </c>
      <c r="AG588" s="15" t="str">
        <f>IF(OR(AF588="",AF588="ERRO_CHAVE"),"",IFERROR(MATCH(AF588,'Quitados DUPP'!$U$1:$U$6635,0),""))</f>
        <v/>
      </c>
      <c r="AH588" s="15" t="str">
        <f t="shared" si="2"/>
        <v/>
      </c>
      <c r="AI588" s="17" t="str">
        <f>IF(AG588="","",INDEX('Quitados DUPP'!$G$1:$G$6635,AG588))</f>
        <v/>
      </c>
      <c r="AJ588" s="17" t="str">
        <f t="shared" si="3"/>
        <v/>
      </c>
    </row>
    <row r="589" spans="31:36">
      <c r="AE589" s="15" t="str">
        <f t="shared" si="0"/>
        <v/>
      </c>
      <c r="AF589" s="15" t="str">
        <f t="shared" si="1"/>
        <v/>
      </c>
      <c r="AG589" s="15" t="str">
        <f>IF(OR(AF589="",AF589="ERRO_CHAVE"),"",IFERROR(MATCH(AF589,'Quitados DUPP'!$U$1:$U$6635,0),""))</f>
        <v/>
      </c>
      <c r="AH589" s="15" t="str">
        <f t="shared" si="2"/>
        <v/>
      </c>
      <c r="AI589" s="17" t="str">
        <f>IF(AG589="","",INDEX('Quitados DUPP'!$G$1:$G$6635,AG589))</f>
        <v/>
      </c>
      <c r="AJ589" s="17" t="str">
        <f t="shared" si="3"/>
        <v/>
      </c>
    </row>
    <row r="590" spans="31:36">
      <c r="AE590" s="15" t="str">
        <f t="shared" si="0"/>
        <v/>
      </c>
      <c r="AF590" s="15" t="str">
        <f t="shared" si="1"/>
        <v/>
      </c>
      <c r="AG590" s="15" t="str">
        <f>IF(OR(AF590="",AF590="ERRO_CHAVE"),"",IFERROR(MATCH(AF590,'Quitados DUPP'!$U$1:$U$6635,0),""))</f>
        <v/>
      </c>
      <c r="AH590" s="15" t="str">
        <f t="shared" si="2"/>
        <v/>
      </c>
      <c r="AI590" s="17" t="str">
        <f>IF(AG590="","",INDEX('Quitados DUPP'!$G$1:$G$6635,AG590))</f>
        <v/>
      </c>
      <c r="AJ590" s="17" t="str">
        <f t="shared" si="3"/>
        <v/>
      </c>
    </row>
    <row r="591" spans="31:36">
      <c r="AE591" s="15" t="str">
        <f t="shared" si="0"/>
        <v/>
      </c>
      <c r="AF591" s="15" t="str">
        <f t="shared" si="1"/>
        <v/>
      </c>
      <c r="AG591" s="15" t="str">
        <f>IF(OR(AF591="",AF591="ERRO_CHAVE"),"",IFERROR(MATCH(AF591,'Quitados DUPP'!$U$1:$U$6635,0),""))</f>
        <v/>
      </c>
      <c r="AH591" s="15" t="str">
        <f t="shared" si="2"/>
        <v/>
      </c>
      <c r="AI591" s="17" t="str">
        <f>IF(AG591="","",INDEX('Quitados DUPP'!$G$1:$G$6635,AG591))</f>
        <v/>
      </c>
      <c r="AJ591" s="17" t="str">
        <f t="shared" si="3"/>
        <v/>
      </c>
    </row>
    <row r="592" spans="31:36">
      <c r="AE592" s="15" t="str">
        <f t="shared" si="0"/>
        <v/>
      </c>
      <c r="AF592" s="15" t="str">
        <f t="shared" si="1"/>
        <v/>
      </c>
      <c r="AG592" s="15" t="str">
        <f>IF(OR(AF592="",AF592="ERRO_CHAVE"),"",IFERROR(MATCH(AF592,'Quitados DUPP'!$U$1:$U$6635,0),""))</f>
        <v/>
      </c>
      <c r="AH592" s="15" t="str">
        <f t="shared" si="2"/>
        <v/>
      </c>
      <c r="AI592" s="17" t="str">
        <f>IF(AG592="","",INDEX('Quitados DUPP'!$G$1:$G$6635,AG592))</f>
        <v/>
      </c>
      <c r="AJ592" s="17" t="str">
        <f t="shared" si="3"/>
        <v/>
      </c>
    </row>
    <row r="593" spans="31:36">
      <c r="AE593" s="15" t="str">
        <f t="shared" si="0"/>
        <v/>
      </c>
      <c r="AF593" s="15" t="str">
        <f t="shared" si="1"/>
        <v/>
      </c>
      <c r="AG593" s="15" t="str">
        <f>IF(OR(AF593="",AF593="ERRO_CHAVE"),"",IFERROR(MATCH(AF593,'Quitados DUPP'!$U$1:$U$6635,0),""))</f>
        <v/>
      </c>
      <c r="AH593" s="15" t="str">
        <f t="shared" si="2"/>
        <v/>
      </c>
      <c r="AI593" s="17" t="str">
        <f>IF(AG593="","",INDEX('Quitados DUPP'!$G$1:$G$6635,AG593))</f>
        <v/>
      </c>
      <c r="AJ593" s="17" t="str">
        <f t="shared" si="3"/>
        <v/>
      </c>
    </row>
    <row r="594" spans="31:36">
      <c r="AE594" s="15" t="str">
        <f t="shared" si="0"/>
        <v/>
      </c>
      <c r="AF594" s="15" t="str">
        <f t="shared" si="1"/>
        <v/>
      </c>
      <c r="AG594" s="15" t="str">
        <f>IF(OR(AF594="",AF594="ERRO_CHAVE"),"",IFERROR(MATCH(AF594,'Quitados DUPP'!$U$1:$U$6635,0),""))</f>
        <v/>
      </c>
      <c r="AH594" s="15" t="str">
        <f t="shared" si="2"/>
        <v/>
      </c>
      <c r="AI594" s="17" t="str">
        <f>IF(AG594="","",INDEX('Quitados DUPP'!$G$1:$G$6635,AG594))</f>
        <v/>
      </c>
      <c r="AJ594" s="17" t="str">
        <f t="shared" si="3"/>
        <v/>
      </c>
    </row>
    <row r="595" spans="31:36">
      <c r="AE595" s="15" t="str">
        <f t="shared" si="0"/>
        <v/>
      </c>
      <c r="AF595" s="15" t="str">
        <f t="shared" si="1"/>
        <v/>
      </c>
      <c r="AG595" s="15" t="str">
        <f>IF(OR(AF595="",AF595="ERRO_CHAVE"),"",IFERROR(MATCH(AF595,'Quitados DUPP'!$U$1:$U$6635,0),""))</f>
        <v/>
      </c>
      <c r="AH595" s="15" t="str">
        <f t="shared" si="2"/>
        <v/>
      </c>
      <c r="AI595" s="17" t="str">
        <f>IF(AG595="","",INDEX('Quitados DUPP'!$G$1:$G$6635,AG595))</f>
        <v/>
      </c>
      <c r="AJ595" s="17" t="str">
        <f t="shared" si="3"/>
        <v/>
      </c>
    </row>
    <row r="596" spans="31:36">
      <c r="AE596" s="15" t="str">
        <f t="shared" si="0"/>
        <v/>
      </c>
      <c r="AF596" s="15" t="str">
        <f t="shared" si="1"/>
        <v/>
      </c>
      <c r="AG596" s="15" t="str">
        <f>IF(OR(AF596="",AF596="ERRO_CHAVE"),"",IFERROR(MATCH(AF596,'Quitados DUPP'!$U$1:$U$6635,0),""))</f>
        <v/>
      </c>
      <c r="AH596" s="15" t="str">
        <f t="shared" si="2"/>
        <v/>
      </c>
      <c r="AI596" s="17" t="str">
        <f>IF(AG596="","",INDEX('Quitados DUPP'!$G$1:$G$6635,AG596))</f>
        <v/>
      </c>
      <c r="AJ596" s="17" t="str">
        <f t="shared" si="3"/>
        <v/>
      </c>
    </row>
    <row r="597" spans="31:36">
      <c r="AE597" s="15" t="str">
        <f t="shared" si="0"/>
        <v/>
      </c>
      <c r="AF597" s="15" t="str">
        <f t="shared" si="1"/>
        <v/>
      </c>
      <c r="AG597" s="15" t="str">
        <f>IF(OR(AF597="",AF597="ERRO_CHAVE"),"",IFERROR(MATCH(AF597,'Quitados DUPP'!$U$1:$U$6635,0),""))</f>
        <v/>
      </c>
      <c r="AH597" s="15" t="str">
        <f t="shared" si="2"/>
        <v/>
      </c>
      <c r="AI597" s="17" t="str">
        <f>IF(AG597="","",INDEX('Quitados DUPP'!$G$1:$G$6635,AG597))</f>
        <v/>
      </c>
      <c r="AJ597" s="17" t="str">
        <f t="shared" si="3"/>
        <v/>
      </c>
    </row>
    <row r="598" spans="31:36">
      <c r="AE598" s="15" t="str">
        <f t="shared" si="0"/>
        <v/>
      </c>
      <c r="AF598" s="15" t="str">
        <f t="shared" si="1"/>
        <v/>
      </c>
      <c r="AG598" s="15" t="str">
        <f>IF(OR(AF598="",AF598="ERRO_CHAVE"),"",IFERROR(MATCH(AF598,'Quitados DUPP'!$U$1:$U$6635,0),""))</f>
        <v/>
      </c>
      <c r="AH598" s="15" t="str">
        <f t="shared" si="2"/>
        <v/>
      </c>
      <c r="AI598" s="17" t="str">
        <f>IF(AG598="","",INDEX('Quitados DUPP'!$G$1:$G$6635,AG598))</f>
        <v/>
      </c>
      <c r="AJ598" s="17" t="str">
        <f t="shared" si="3"/>
        <v/>
      </c>
    </row>
    <row r="599" spans="31:36">
      <c r="AE599" s="15" t="str">
        <f t="shared" si="0"/>
        <v/>
      </c>
      <c r="AF599" s="15" t="str">
        <f t="shared" si="1"/>
        <v/>
      </c>
      <c r="AG599" s="15" t="str">
        <f>IF(OR(AF599="",AF599="ERRO_CHAVE"),"",IFERROR(MATCH(AF599,'Quitados DUPP'!$U$1:$U$6635,0),""))</f>
        <v/>
      </c>
      <c r="AH599" s="15" t="str">
        <f t="shared" si="2"/>
        <v/>
      </c>
      <c r="AI599" s="17" t="str">
        <f>IF(AG599="","",INDEX('Quitados DUPP'!$G$1:$G$6635,AG599))</f>
        <v/>
      </c>
      <c r="AJ599" s="17" t="str">
        <f t="shared" si="3"/>
        <v/>
      </c>
    </row>
    <row r="600" spans="31:36">
      <c r="AE600" s="15" t="str">
        <f t="shared" si="0"/>
        <v/>
      </c>
      <c r="AF600" s="15" t="str">
        <f t="shared" si="1"/>
        <v/>
      </c>
      <c r="AG600" s="15" t="str">
        <f>IF(OR(AF600="",AF600="ERRO_CHAVE"),"",IFERROR(MATCH(AF600,'Quitados DUPP'!$U$1:$U$6635,0),""))</f>
        <v/>
      </c>
      <c r="AH600" s="15" t="str">
        <f t="shared" si="2"/>
        <v/>
      </c>
      <c r="AI600" s="17" t="str">
        <f>IF(AG600="","",INDEX('Quitados DUPP'!$G$1:$G$6635,AG600))</f>
        <v/>
      </c>
      <c r="AJ600" s="17" t="str">
        <f t="shared" si="3"/>
        <v/>
      </c>
    </row>
    <row r="601" spans="31:36">
      <c r="AE601" s="15" t="str">
        <f t="shared" si="0"/>
        <v/>
      </c>
      <c r="AF601" s="15" t="str">
        <f t="shared" si="1"/>
        <v/>
      </c>
      <c r="AG601" s="15" t="str">
        <f>IF(OR(AF601="",AF601="ERRO_CHAVE"),"",IFERROR(MATCH(AF601,'Quitados DUPP'!$U$1:$U$6635,0),""))</f>
        <v/>
      </c>
      <c r="AH601" s="15" t="str">
        <f t="shared" si="2"/>
        <v/>
      </c>
      <c r="AI601" s="17" t="str">
        <f>IF(AG601="","",INDEX('Quitados DUPP'!$G$1:$G$6635,AG601))</f>
        <v/>
      </c>
      <c r="AJ601" s="17" t="str">
        <f t="shared" si="3"/>
        <v/>
      </c>
    </row>
    <row r="602" spans="31:36">
      <c r="AE602" s="15" t="str">
        <f t="shared" si="0"/>
        <v/>
      </c>
      <c r="AF602" s="15" t="str">
        <f t="shared" si="1"/>
        <v/>
      </c>
      <c r="AG602" s="15" t="str">
        <f>IF(OR(AF602="",AF602="ERRO_CHAVE"),"",IFERROR(MATCH(AF602,'Quitados DUPP'!$U$1:$U$6635,0),""))</f>
        <v/>
      </c>
      <c r="AH602" s="15" t="str">
        <f t="shared" si="2"/>
        <v/>
      </c>
      <c r="AI602" s="17" t="str">
        <f>IF(AG602="","",INDEX('Quitados DUPP'!$G$1:$G$6635,AG602))</f>
        <v/>
      </c>
      <c r="AJ602" s="17" t="str">
        <f t="shared" si="3"/>
        <v/>
      </c>
    </row>
    <row r="603" spans="31:36">
      <c r="AE603" s="15" t="str">
        <f t="shared" si="0"/>
        <v/>
      </c>
      <c r="AF603" s="15" t="str">
        <f t="shared" si="1"/>
        <v/>
      </c>
      <c r="AG603" s="15" t="str">
        <f>IF(OR(AF603="",AF603="ERRO_CHAVE"),"",IFERROR(MATCH(AF603,'Quitados DUPP'!$U$1:$U$6635,0),""))</f>
        <v/>
      </c>
      <c r="AH603" s="15" t="str">
        <f t="shared" si="2"/>
        <v/>
      </c>
      <c r="AI603" s="17" t="str">
        <f>IF(AG603="","",INDEX('Quitados DUPP'!$G$1:$G$6635,AG603))</f>
        <v/>
      </c>
      <c r="AJ603" s="17" t="str">
        <f t="shared" si="3"/>
        <v/>
      </c>
    </row>
    <row r="604" spans="31:36">
      <c r="AE604" s="15" t="str">
        <f t="shared" si="0"/>
        <v/>
      </c>
      <c r="AF604" s="15" t="str">
        <f t="shared" si="1"/>
        <v/>
      </c>
      <c r="AG604" s="15" t="str">
        <f>IF(OR(AF604="",AF604="ERRO_CHAVE"),"",IFERROR(MATCH(AF604,'Quitados DUPP'!$U$1:$U$6635,0),""))</f>
        <v/>
      </c>
      <c r="AH604" s="15" t="str">
        <f t="shared" si="2"/>
        <v/>
      </c>
      <c r="AI604" s="17" t="str">
        <f>IF(AG604="","",INDEX('Quitados DUPP'!$G$1:$G$6635,AG604))</f>
        <v/>
      </c>
      <c r="AJ604" s="17" t="str">
        <f t="shared" si="3"/>
        <v/>
      </c>
    </row>
    <row r="605" spans="31:36">
      <c r="AE605" s="15" t="str">
        <f t="shared" si="0"/>
        <v/>
      </c>
      <c r="AF605" s="15" t="str">
        <f t="shared" si="1"/>
        <v/>
      </c>
      <c r="AG605" s="15" t="str">
        <f>IF(OR(AF605="",AF605="ERRO_CHAVE"),"",IFERROR(MATCH(AF605,'Quitados DUPP'!$U$1:$U$6635,0),""))</f>
        <v/>
      </c>
      <c r="AH605" s="15" t="str">
        <f t="shared" si="2"/>
        <v/>
      </c>
      <c r="AI605" s="17" t="str">
        <f>IF(AG605="","",INDEX('Quitados DUPP'!$G$1:$G$6635,AG605))</f>
        <v/>
      </c>
      <c r="AJ605" s="17" t="str">
        <f t="shared" si="3"/>
        <v/>
      </c>
    </row>
    <row r="606" spans="31:36">
      <c r="AE606" s="15" t="str">
        <f t="shared" si="0"/>
        <v/>
      </c>
      <c r="AF606" s="15" t="str">
        <f t="shared" si="1"/>
        <v/>
      </c>
      <c r="AG606" s="15" t="str">
        <f>IF(OR(AF606="",AF606="ERRO_CHAVE"),"",IFERROR(MATCH(AF606,'Quitados DUPP'!$U$1:$U$6635,0),""))</f>
        <v/>
      </c>
      <c r="AH606" s="15" t="str">
        <f t="shared" si="2"/>
        <v/>
      </c>
      <c r="AI606" s="17" t="str">
        <f>IF(AG606="","",INDEX('Quitados DUPP'!$G$1:$G$6635,AG606))</f>
        <v/>
      </c>
      <c r="AJ606" s="17" t="str">
        <f t="shared" si="3"/>
        <v/>
      </c>
    </row>
    <row r="607" spans="31:36">
      <c r="AE607" s="15" t="str">
        <f t="shared" si="0"/>
        <v/>
      </c>
      <c r="AF607" s="15" t="str">
        <f t="shared" si="1"/>
        <v/>
      </c>
      <c r="AG607" s="15" t="str">
        <f>IF(OR(AF607="",AF607="ERRO_CHAVE"),"",IFERROR(MATCH(AF607,'Quitados DUPP'!$U$1:$U$6635,0),""))</f>
        <v/>
      </c>
      <c r="AH607" s="15" t="str">
        <f t="shared" si="2"/>
        <v/>
      </c>
      <c r="AI607" s="17" t="str">
        <f>IF(AG607="","",INDEX('Quitados DUPP'!$G$1:$G$6635,AG607))</f>
        <v/>
      </c>
      <c r="AJ607" s="17" t="str">
        <f t="shared" si="3"/>
        <v/>
      </c>
    </row>
    <row r="608" spans="31:36">
      <c r="AE608" s="15" t="str">
        <f t="shared" si="0"/>
        <v/>
      </c>
      <c r="AF608" s="15" t="str">
        <f t="shared" si="1"/>
        <v/>
      </c>
      <c r="AG608" s="15" t="str">
        <f>IF(OR(AF608="",AF608="ERRO_CHAVE"),"",IFERROR(MATCH(AF608,'Quitados DUPP'!$U$1:$U$6635,0),""))</f>
        <v/>
      </c>
      <c r="AH608" s="15" t="str">
        <f t="shared" si="2"/>
        <v/>
      </c>
      <c r="AI608" s="17" t="str">
        <f>IF(AG608="","",INDEX('Quitados DUPP'!$G$1:$G$6635,AG608))</f>
        <v/>
      </c>
      <c r="AJ608" s="17" t="str">
        <f t="shared" si="3"/>
        <v/>
      </c>
    </row>
    <row r="609" spans="31:36">
      <c r="AE609" s="15" t="str">
        <f t="shared" si="0"/>
        <v/>
      </c>
      <c r="AF609" s="15" t="str">
        <f t="shared" si="1"/>
        <v/>
      </c>
      <c r="AG609" s="15" t="str">
        <f>IF(OR(AF609="",AF609="ERRO_CHAVE"),"",IFERROR(MATCH(AF609,'Quitados DUPP'!$U$1:$U$6635,0),""))</f>
        <v/>
      </c>
      <c r="AH609" s="15" t="str">
        <f t="shared" si="2"/>
        <v/>
      </c>
      <c r="AI609" s="17" t="str">
        <f>IF(AG609="","",INDEX('Quitados DUPP'!$G$1:$G$6635,AG609))</f>
        <v/>
      </c>
      <c r="AJ609" s="17" t="str">
        <f t="shared" si="3"/>
        <v/>
      </c>
    </row>
    <row r="610" spans="31:36">
      <c r="AE610" s="15" t="str">
        <f t="shared" si="0"/>
        <v/>
      </c>
      <c r="AF610" s="15" t="str">
        <f t="shared" si="1"/>
        <v/>
      </c>
      <c r="AG610" s="15" t="str">
        <f>IF(OR(AF610="",AF610="ERRO_CHAVE"),"",IFERROR(MATCH(AF610,'Quitados DUPP'!$U$1:$U$6635,0),""))</f>
        <v/>
      </c>
      <c r="AH610" s="15" t="str">
        <f t="shared" si="2"/>
        <v/>
      </c>
      <c r="AI610" s="17" t="str">
        <f>IF(AG610="","",INDEX('Quitados DUPP'!$G$1:$G$6635,AG610))</f>
        <v/>
      </c>
      <c r="AJ610" s="17" t="str">
        <f t="shared" si="3"/>
        <v/>
      </c>
    </row>
    <row r="611" spans="31:36">
      <c r="AE611" s="15" t="str">
        <f t="shared" si="0"/>
        <v/>
      </c>
      <c r="AF611" s="15" t="str">
        <f t="shared" si="1"/>
        <v/>
      </c>
      <c r="AG611" s="15" t="str">
        <f>IF(OR(AF611="",AF611="ERRO_CHAVE"),"",IFERROR(MATCH(AF611,'Quitados DUPP'!$U$1:$U$6635,0),""))</f>
        <v/>
      </c>
      <c r="AH611" s="15" t="str">
        <f t="shared" si="2"/>
        <v/>
      </c>
      <c r="AI611" s="17" t="str">
        <f>IF(AG611="","",INDEX('Quitados DUPP'!$G$1:$G$6635,AG611))</f>
        <v/>
      </c>
      <c r="AJ611" s="17" t="str">
        <f t="shared" si="3"/>
        <v/>
      </c>
    </row>
    <row r="612" spans="31:36">
      <c r="AE612" s="15" t="str">
        <f t="shared" si="0"/>
        <v/>
      </c>
      <c r="AF612" s="15" t="str">
        <f t="shared" si="1"/>
        <v/>
      </c>
      <c r="AG612" s="15" t="str">
        <f>IF(OR(AF612="",AF612="ERRO_CHAVE"),"",IFERROR(MATCH(AF612,'Quitados DUPP'!$U$1:$U$6635,0),""))</f>
        <v/>
      </c>
      <c r="AH612" s="15" t="str">
        <f t="shared" si="2"/>
        <v/>
      </c>
      <c r="AI612" s="17" t="str">
        <f>IF(AG612="","",INDEX('Quitados DUPP'!$G$1:$G$6635,AG612))</f>
        <v/>
      </c>
      <c r="AJ612" s="17" t="str">
        <f t="shared" si="3"/>
        <v/>
      </c>
    </row>
    <row r="613" spans="31:36">
      <c r="AE613" s="15" t="str">
        <f t="shared" si="0"/>
        <v/>
      </c>
      <c r="AF613" s="15" t="str">
        <f t="shared" si="1"/>
        <v/>
      </c>
      <c r="AG613" s="15" t="str">
        <f>IF(OR(AF613="",AF613="ERRO_CHAVE"),"",IFERROR(MATCH(AF613,'Quitados DUPP'!$U$1:$U$6635,0),""))</f>
        <v/>
      </c>
      <c r="AH613" s="15" t="str">
        <f t="shared" si="2"/>
        <v/>
      </c>
      <c r="AI613" s="17" t="str">
        <f>IF(AG613="","",INDEX('Quitados DUPP'!$G$1:$G$6635,AG613))</f>
        <v/>
      </c>
      <c r="AJ613" s="17" t="str">
        <f t="shared" si="3"/>
        <v/>
      </c>
    </row>
    <row r="614" spans="31:36">
      <c r="AE614" s="15" t="str">
        <f t="shared" si="0"/>
        <v/>
      </c>
      <c r="AF614" s="15" t="str">
        <f t="shared" si="1"/>
        <v/>
      </c>
      <c r="AG614" s="15" t="str">
        <f>IF(OR(AF614="",AF614="ERRO_CHAVE"),"",IFERROR(MATCH(AF614,'Quitados DUPP'!$U$1:$U$6635,0),""))</f>
        <v/>
      </c>
      <c r="AH614" s="15" t="str">
        <f t="shared" si="2"/>
        <v/>
      </c>
      <c r="AI614" s="17" t="str">
        <f>IF(AG614="","",INDEX('Quitados DUPP'!$G$1:$G$6635,AG614))</f>
        <v/>
      </c>
      <c r="AJ614" s="17" t="str">
        <f t="shared" si="3"/>
        <v/>
      </c>
    </row>
    <row r="615" spans="31:36">
      <c r="AE615" s="15" t="str">
        <f t="shared" si="0"/>
        <v/>
      </c>
      <c r="AF615" s="15" t="str">
        <f t="shared" si="1"/>
        <v/>
      </c>
      <c r="AG615" s="15" t="str">
        <f>IF(OR(AF615="",AF615="ERRO_CHAVE"),"",IFERROR(MATCH(AF615,'Quitados DUPP'!$U$1:$U$6635,0),""))</f>
        <v/>
      </c>
      <c r="AH615" s="15" t="str">
        <f t="shared" si="2"/>
        <v/>
      </c>
      <c r="AI615" s="17" t="str">
        <f>IF(AG615="","",INDEX('Quitados DUPP'!$G$1:$G$6635,AG615))</f>
        <v/>
      </c>
      <c r="AJ615" s="17" t="str">
        <f t="shared" si="3"/>
        <v/>
      </c>
    </row>
    <row r="616" spans="31:36">
      <c r="AE616" s="15" t="str">
        <f t="shared" si="0"/>
        <v/>
      </c>
      <c r="AF616" s="15" t="str">
        <f t="shared" si="1"/>
        <v/>
      </c>
      <c r="AG616" s="15" t="str">
        <f>IF(OR(AF616="",AF616="ERRO_CHAVE"),"",IFERROR(MATCH(AF616,'Quitados DUPP'!$U$1:$U$6635,0),""))</f>
        <v/>
      </c>
      <c r="AH616" s="15" t="str">
        <f t="shared" si="2"/>
        <v/>
      </c>
      <c r="AI616" s="17" t="str">
        <f>IF(AG616="","",INDEX('Quitados DUPP'!$G$1:$G$6635,AG616))</f>
        <v/>
      </c>
      <c r="AJ616" s="17" t="str">
        <f t="shared" si="3"/>
        <v/>
      </c>
    </row>
    <row r="617" spans="31:36">
      <c r="AE617" s="15" t="str">
        <f t="shared" si="0"/>
        <v/>
      </c>
      <c r="AF617" s="15" t="str">
        <f t="shared" si="1"/>
        <v/>
      </c>
      <c r="AG617" s="15" t="str">
        <f>IF(OR(AF617="",AF617="ERRO_CHAVE"),"",IFERROR(MATCH(AF617,'Quitados DUPP'!$U$1:$U$6635,0),""))</f>
        <v/>
      </c>
      <c r="AH617" s="15" t="str">
        <f t="shared" si="2"/>
        <v/>
      </c>
      <c r="AI617" s="17" t="str">
        <f>IF(AG617="","",INDEX('Quitados DUPP'!$G$1:$G$6635,AG617))</f>
        <v/>
      </c>
      <c r="AJ617" s="17" t="str">
        <f t="shared" si="3"/>
        <v/>
      </c>
    </row>
    <row r="618" spans="31:36">
      <c r="AE618" s="15" t="str">
        <f t="shared" si="0"/>
        <v/>
      </c>
      <c r="AF618" s="15" t="str">
        <f t="shared" si="1"/>
        <v/>
      </c>
      <c r="AG618" s="15" t="str">
        <f>IF(OR(AF618="",AF618="ERRO_CHAVE"),"",IFERROR(MATCH(AF618,'Quitados DUPP'!$U$1:$U$6635,0),""))</f>
        <v/>
      </c>
      <c r="AH618" s="15" t="str">
        <f t="shared" si="2"/>
        <v/>
      </c>
      <c r="AI618" s="17" t="str">
        <f>IF(AG618="","",INDEX('Quitados DUPP'!$G$1:$G$6635,AG618))</f>
        <v/>
      </c>
      <c r="AJ618" s="17" t="str">
        <f t="shared" si="3"/>
        <v/>
      </c>
    </row>
    <row r="619" spans="31:36">
      <c r="AE619" s="15" t="str">
        <f t="shared" si="0"/>
        <v/>
      </c>
      <c r="AF619" s="15" t="str">
        <f t="shared" si="1"/>
        <v/>
      </c>
      <c r="AG619" s="15" t="str">
        <f>IF(OR(AF619="",AF619="ERRO_CHAVE"),"",IFERROR(MATCH(AF619,'Quitados DUPP'!$U$1:$U$6635,0),""))</f>
        <v/>
      </c>
      <c r="AH619" s="15" t="str">
        <f t="shared" si="2"/>
        <v/>
      </c>
      <c r="AI619" s="17" t="str">
        <f>IF(AG619="","",INDEX('Quitados DUPP'!$G$1:$G$6635,AG619))</f>
        <v/>
      </c>
      <c r="AJ619" s="17" t="str">
        <f t="shared" si="3"/>
        <v/>
      </c>
    </row>
    <row r="620" spans="31:36">
      <c r="AE620" s="15" t="str">
        <f t="shared" si="0"/>
        <v/>
      </c>
      <c r="AF620" s="15" t="str">
        <f t="shared" si="1"/>
        <v/>
      </c>
      <c r="AG620" s="15" t="str">
        <f>IF(OR(AF620="",AF620="ERRO_CHAVE"),"",IFERROR(MATCH(AF620,'Quitados DUPP'!$U$1:$U$6635,0),""))</f>
        <v/>
      </c>
      <c r="AH620" s="15" t="str">
        <f t="shared" si="2"/>
        <v/>
      </c>
      <c r="AI620" s="17" t="str">
        <f>IF(AG620="","",INDEX('Quitados DUPP'!$G$1:$G$6635,AG620))</f>
        <v/>
      </c>
      <c r="AJ620" s="17" t="str">
        <f t="shared" si="3"/>
        <v/>
      </c>
    </row>
    <row r="621" spans="31:36">
      <c r="AE621" s="15" t="str">
        <f t="shared" si="0"/>
        <v/>
      </c>
      <c r="AF621" s="15" t="str">
        <f t="shared" si="1"/>
        <v/>
      </c>
      <c r="AG621" s="15" t="str">
        <f>IF(OR(AF621="",AF621="ERRO_CHAVE"),"",IFERROR(MATCH(AF621,'Quitados DUPP'!$U$1:$U$6635,0),""))</f>
        <v/>
      </c>
      <c r="AH621" s="15" t="str">
        <f t="shared" si="2"/>
        <v/>
      </c>
      <c r="AI621" s="17" t="str">
        <f>IF(AG621="","",INDEX('Quitados DUPP'!$G$1:$G$6635,AG621))</f>
        <v/>
      </c>
      <c r="AJ621" s="17" t="str">
        <f t="shared" si="3"/>
        <v/>
      </c>
    </row>
    <row r="622" spans="31:36">
      <c r="AE622" s="15" t="str">
        <f t="shared" si="0"/>
        <v/>
      </c>
      <c r="AF622" s="15" t="str">
        <f t="shared" si="1"/>
        <v/>
      </c>
      <c r="AG622" s="15" t="str">
        <f>IF(OR(AF622="",AF622="ERRO_CHAVE"),"",IFERROR(MATCH(AF622,'Quitados DUPP'!$U$1:$U$6635,0),""))</f>
        <v/>
      </c>
      <c r="AH622" s="15" t="str">
        <f t="shared" si="2"/>
        <v/>
      </c>
      <c r="AI622" s="17" t="str">
        <f>IF(AG622="","",INDEX('Quitados DUPP'!$G$1:$G$6635,AG622))</f>
        <v/>
      </c>
      <c r="AJ622" s="17" t="str">
        <f t="shared" si="3"/>
        <v/>
      </c>
    </row>
    <row r="623" spans="31:36">
      <c r="AE623" s="15" t="str">
        <f t="shared" si="0"/>
        <v/>
      </c>
      <c r="AF623" s="15" t="str">
        <f t="shared" si="1"/>
        <v/>
      </c>
      <c r="AG623" s="15" t="str">
        <f>IF(OR(AF623="",AF623="ERRO_CHAVE"),"",IFERROR(MATCH(AF623,'Quitados DUPP'!$U$1:$U$6635,0),""))</f>
        <v/>
      </c>
      <c r="AH623" s="15" t="str">
        <f t="shared" si="2"/>
        <v/>
      </c>
      <c r="AI623" s="17" t="str">
        <f>IF(AG623="","",INDEX('Quitados DUPP'!$G$1:$G$6635,AG623))</f>
        <v/>
      </c>
      <c r="AJ623" s="17" t="str">
        <f t="shared" si="3"/>
        <v/>
      </c>
    </row>
    <row r="624" spans="31:36">
      <c r="AE624" s="15" t="str">
        <f t="shared" si="0"/>
        <v/>
      </c>
      <c r="AF624" s="15" t="str">
        <f t="shared" si="1"/>
        <v/>
      </c>
      <c r="AG624" s="15" t="str">
        <f>IF(OR(AF624="",AF624="ERRO_CHAVE"),"",IFERROR(MATCH(AF624,'Quitados DUPP'!$U$1:$U$6635,0),""))</f>
        <v/>
      </c>
      <c r="AH624" s="15" t="str">
        <f t="shared" si="2"/>
        <v/>
      </c>
      <c r="AI624" s="17" t="str">
        <f>IF(AG624="","",INDEX('Quitados DUPP'!$G$1:$G$6635,AG624))</f>
        <v/>
      </c>
      <c r="AJ624" s="17" t="str">
        <f t="shared" si="3"/>
        <v/>
      </c>
    </row>
    <row r="625" spans="31:36">
      <c r="AE625" s="15" t="str">
        <f t="shared" si="0"/>
        <v/>
      </c>
      <c r="AF625" s="15" t="str">
        <f t="shared" si="1"/>
        <v/>
      </c>
      <c r="AG625" s="15" t="str">
        <f>IF(OR(AF625="",AF625="ERRO_CHAVE"),"",IFERROR(MATCH(AF625,'Quitados DUPP'!$U$1:$U$6635,0),""))</f>
        <v/>
      </c>
      <c r="AH625" s="15" t="str">
        <f t="shared" si="2"/>
        <v/>
      </c>
      <c r="AI625" s="17" t="str">
        <f>IF(AG625="","",INDEX('Quitados DUPP'!$G$1:$G$6635,AG625))</f>
        <v/>
      </c>
      <c r="AJ625" s="17" t="str">
        <f t="shared" si="3"/>
        <v/>
      </c>
    </row>
    <row r="626" spans="31:36">
      <c r="AE626" s="15" t="str">
        <f t="shared" si="0"/>
        <v/>
      </c>
      <c r="AF626" s="15" t="str">
        <f t="shared" si="1"/>
        <v/>
      </c>
      <c r="AG626" s="15" t="str">
        <f>IF(OR(AF626="",AF626="ERRO_CHAVE"),"",IFERROR(MATCH(AF626,'Quitados DUPP'!$U$1:$U$6635,0),""))</f>
        <v/>
      </c>
      <c r="AH626" s="15" t="str">
        <f t="shared" si="2"/>
        <v/>
      </c>
      <c r="AI626" s="17" t="str">
        <f>IF(AG626="","",INDEX('Quitados DUPP'!$G$1:$G$6635,AG626))</f>
        <v/>
      </c>
      <c r="AJ626" s="17" t="str">
        <f t="shared" si="3"/>
        <v/>
      </c>
    </row>
    <row r="627" spans="31:36">
      <c r="AE627" s="15" t="str">
        <f t="shared" si="0"/>
        <v/>
      </c>
      <c r="AF627" s="15" t="str">
        <f t="shared" si="1"/>
        <v/>
      </c>
      <c r="AG627" s="15" t="str">
        <f>IF(OR(AF627="",AF627="ERRO_CHAVE"),"",IFERROR(MATCH(AF627,'Quitados DUPP'!$U$1:$U$6635,0),""))</f>
        <v/>
      </c>
      <c r="AH627" s="15" t="str">
        <f t="shared" si="2"/>
        <v/>
      </c>
      <c r="AI627" s="17" t="str">
        <f>IF(AG627="","",INDEX('Quitados DUPP'!$G$1:$G$6635,AG627))</f>
        <v/>
      </c>
      <c r="AJ627" s="17" t="str">
        <f t="shared" si="3"/>
        <v/>
      </c>
    </row>
    <row r="628" spans="31:36">
      <c r="AE628" s="15" t="str">
        <f t="shared" si="0"/>
        <v/>
      </c>
      <c r="AF628" s="15" t="str">
        <f t="shared" si="1"/>
        <v/>
      </c>
      <c r="AG628" s="15" t="str">
        <f>IF(OR(AF628="",AF628="ERRO_CHAVE"),"",IFERROR(MATCH(AF628,'Quitados DUPP'!$U$1:$U$6635,0),""))</f>
        <v/>
      </c>
      <c r="AH628" s="15" t="str">
        <f t="shared" si="2"/>
        <v/>
      </c>
      <c r="AI628" s="17" t="str">
        <f>IF(AG628="","",INDEX('Quitados DUPP'!$G$1:$G$6635,AG628))</f>
        <v/>
      </c>
      <c r="AJ628" s="17" t="str">
        <f t="shared" si="3"/>
        <v/>
      </c>
    </row>
    <row r="629" spans="31:36">
      <c r="AE629" s="15" t="str">
        <f t="shared" si="0"/>
        <v/>
      </c>
      <c r="AF629" s="15" t="str">
        <f t="shared" si="1"/>
        <v/>
      </c>
      <c r="AG629" s="15" t="str">
        <f>IF(OR(AF629="",AF629="ERRO_CHAVE"),"",IFERROR(MATCH(AF629,'Quitados DUPP'!$U$1:$U$6635,0),""))</f>
        <v/>
      </c>
      <c r="AH629" s="15" t="str">
        <f t="shared" si="2"/>
        <v/>
      </c>
      <c r="AI629" s="17" t="str">
        <f>IF(AG629="","",INDEX('Quitados DUPP'!$G$1:$G$6635,AG629))</f>
        <v/>
      </c>
      <c r="AJ629" s="17" t="str">
        <f t="shared" si="3"/>
        <v/>
      </c>
    </row>
    <row r="630" spans="31:36">
      <c r="AE630" s="15" t="str">
        <f t="shared" si="0"/>
        <v/>
      </c>
      <c r="AF630" s="15" t="str">
        <f t="shared" si="1"/>
        <v/>
      </c>
      <c r="AG630" s="15" t="str">
        <f>IF(OR(AF630="",AF630="ERRO_CHAVE"),"",IFERROR(MATCH(AF630,'Quitados DUPP'!$U$1:$U$6635,0),""))</f>
        <v/>
      </c>
      <c r="AH630" s="15" t="str">
        <f t="shared" si="2"/>
        <v/>
      </c>
      <c r="AI630" s="17" t="str">
        <f>IF(AG630="","",INDEX('Quitados DUPP'!$G$1:$G$6635,AG630))</f>
        <v/>
      </c>
      <c r="AJ630" s="17" t="str">
        <f t="shared" si="3"/>
        <v/>
      </c>
    </row>
    <row r="631" spans="31:36">
      <c r="AE631" s="15" t="str">
        <f t="shared" si="0"/>
        <v/>
      </c>
      <c r="AF631" s="15" t="str">
        <f t="shared" si="1"/>
        <v/>
      </c>
      <c r="AG631" s="15" t="str">
        <f>IF(OR(AF631="",AF631="ERRO_CHAVE"),"",IFERROR(MATCH(AF631,'Quitados DUPP'!$U$1:$U$6635,0),""))</f>
        <v/>
      </c>
      <c r="AH631" s="15" t="str">
        <f t="shared" si="2"/>
        <v/>
      </c>
      <c r="AI631" s="17" t="str">
        <f>IF(AG631="","",INDEX('Quitados DUPP'!$G$1:$G$6635,AG631))</f>
        <v/>
      </c>
      <c r="AJ631" s="17" t="str">
        <f t="shared" si="3"/>
        <v/>
      </c>
    </row>
    <row r="632" spans="31:36">
      <c r="AE632" s="15" t="str">
        <f t="shared" si="0"/>
        <v/>
      </c>
      <c r="AF632" s="15" t="str">
        <f t="shared" si="1"/>
        <v/>
      </c>
      <c r="AG632" s="15" t="str">
        <f>IF(OR(AF632="",AF632="ERRO_CHAVE"),"",IFERROR(MATCH(AF632,'Quitados DUPP'!$U$1:$U$6635,0),""))</f>
        <v/>
      </c>
      <c r="AH632" s="15" t="str">
        <f t="shared" si="2"/>
        <v/>
      </c>
      <c r="AI632" s="17" t="str">
        <f>IF(AG632="","",INDEX('Quitados DUPP'!$G$1:$G$6635,AG632))</f>
        <v/>
      </c>
      <c r="AJ632" s="17" t="str">
        <f t="shared" si="3"/>
        <v/>
      </c>
    </row>
    <row r="633" spans="31:36">
      <c r="AE633" s="15" t="str">
        <f t="shared" si="0"/>
        <v/>
      </c>
      <c r="AF633" s="15" t="str">
        <f t="shared" si="1"/>
        <v/>
      </c>
      <c r="AG633" s="15" t="str">
        <f>IF(OR(AF633="",AF633="ERRO_CHAVE"),"",IFERROR(MATCH(AF633,'Quitados DUPP'!$U$1:$U$6635,0),""))</f>
        <v/>
      </c>
      <c r="AH633" s="15" t="str">
        <f t="shared" si="2"/>
        <v/>
      </c>
      <c r="AI633" s="17" t="str">
        <f>IF(AG633="","",INDEX('Quitados DUPP'!$G$1:$G$6635,AG633))</f>
        <v/>
      </c>
      <c r="AJ633" s="17" t="str">
        <f t="shared" si="3"/>
        <v/>
      </c>
    </row>
    <row r="634" spans="31:36">
      <c r="AE634" s="15" t="str">
        <f t="shared" si="0"/>
        <v/>
      </c>
      <c r="AF634" s="15" t="str">
        <f t="shared" si="1"/>
        <v/>
      </c>
      <c r="AG634" s="15" t="str">
        <f>IF(OR(AF634="",AF634="ERRO_CHAVE"),"",IFERROR(MATCH(AF634,'Quitados DUPP'!$U$1:$U$6635,0),""))</f>
        <v/>
      </c>
      <c r="AH634" s="15" t="str">
        <f t="shared" si="2"/>
        <v/>
      </c>
      <c r="AI634" s="17" t="str">
        <f>IF(AG634="","",INDEX('Quitados DUPP'!$G$1:$G$6635,AG634))</f>
        <v/>
      </c>
      <c r="AJ634" s="17" t="str">
        <f t="shared" si="3"/>
        <v/>
      </c>
    </row>
    <row r="635" spans="31:36">
      <c r="AE635" s="15" t="str">
        <f t="shared" si="0"/>
        <v/>
      </c>
      <c r="AF635" s="15" t="str">
        <f t="shared" si="1"/>
        <v/>
      </c>
      <c r="AG635" s="15" t="str">
        <f>IF(OR(AF635="",AF635="ERRO_CHAVE"),"",IFERROR(MATCH(AF635,'Quitados DUPP'!$U$1:$U$6635,0),""))</f>
        <v/>
      </c>
      <c r="AH635" s="15" t="str">
        <f t="shared" si="2"/>
        <v/>
      </c>
      <c r="AI635" s="17" t="str">
        <f>IF(AG635="","",INDEX('Quitados DUPP'!$G$1:$G$6635,AG635))</f>
        <v/>
      </c>
      <c r="AJ635" s="17" t="str">
        <f t="shared" si="3"/>
        <v/>
      </c>
    </row>
    <row r="636" spans="31:36">
      <c r="AE636" s="15" t="str">
        <f t="shared" si="0"/>
        <v/>
      </c>
      <c r="AF636" s="15" t="str">
        <f t="shared" si="1"/>
        <v/>
      </c>
      <c r="AG636" s="15" t="str">
        <f>IF(OR(AF636="",AF636="ERRO_CHAVE"),"",IFERROR(MATCH(AF636,'Quitados DUPP'!$U$1:$U$6635,0),""))</f>
        <v/>
      </c>
      <c r="AH636" s="15" t="str">
        <f t="shared" si="2"/>
        <v/>
      </c>
      <c r="AI636" s="17" t="str">
        <f>IF(AG636="","",INDEX('Quitados DUPP'!$G$1:$G$6635,AG636))</f>
        <v/>
      </c>
      <c r="AJ636" s="17" t="str">
        <f t="shared" si="3"/>
        <v/>
      </c>
    </row>
    <row r="637" spans="31:36">
      <c r="AE637" s="15" t="str">
        <f t="shared" si="0"/>
        <v/>
      </c>
      <c r="AF637" s="15" t="str">
        <f t="shared" si="1"/>
        <v/>
      </c>
      <c r="AG637" s="15" t="str">
        <f>IF(OR(AF637="",AF637="ERRO_CHAVE"),"",IFERROR(MATCH(AF637,'Quitados DUPP'!$U$1:$U$6635,0),""))</f>
        <v/>
      </c>
      <c r="AH637" s="15" t="str">
        <f t="shared" si="2"/>
        <v/>
      </c>
      <c r="AI637" s="17" t="str">
        <f>IF(AG637="","",INDEX('Quitados DUPP'!$G$1:$G$6635,AG637))</f>
        <v/>
      </c>
      <c r="AJ637" s="17" t="str">
        <f t="shared" si="3"/>
        <v/>
      </c>
    </row>
    <row r="638" spans="31:36">
      <c r="AE638" s="15" t="str">
        <f t="shared" si="0"/>
        <v/>
      </c>
      <c r="AF638" s="15" t="str">
        <f t="shared" si="1"/>
        <v/>
      </c>
      <c r="AG638" s="15" t="str">
        <f>IF(OR(AF638="",AF638="ERRO_CHAVE"),"",IFERROR(MATCH(AF638,'Quitados DUPP'!$U$1:$U$6635,0),""))</f>
        <v/>
      </c>
      <c r="AH638" s="15" t="str">
        <f t="shared" si="2"/>
        <v/>
      </c>
      <c r="AI638" s="17" t="str">
        <f>IF(AG638="","",INDEX('Quitados DUPP'!$G$1:$G$6635,AG638))</f>
        <v/>
      </c>
      <c r="AJ638" s="17" t="str">
        <f t="shared" si="3"/>
        <v/>
      </c>
    </row>
    <row r="639" spans="31:36">
      <c r="AE639" s="15" t="str">
        <f t="shared" si="0"/>
        <v/>
      </c>
      <c r="AF639" s="15" t="str">
        <f t="shared" si="1"/>
        <v/>
      </c>
      <c r="AG639" s="15" t="str">
        <f>IF(OR(AF639="",AF639="ERRO_CHAVE"),"",IFERROR(MATCH(AF639,'Quitados DUPP'!$U$1:$U$6635,0),""))</f>
        <v/>
      </c>
      <c r="AH639" s="15" t="str">
        <f t="shared" si="2"/>
        <v/>
      </c>
      <c r="AI639" s="17" t="str">
        <f>IF(AG639="","",INDEX('Quitados DUPP'!$G$1:$G$6635,AG639))</f>
        <v/>
      </c>
      <c r="AJ639" s="17" t="str">
        <f t="shared" si="3"/>
        <v/>
      </c>
    </row>
    <row r="640" spans="31:36">
      <c r="AE640" s="15" t="str">
        <f t="shared" si="0"/>
        <v/>
      </c>
      <c r="AF640" s="15" t="str">
        <f t="shared" si="1"/>
        <v/>
      </c>
      <c r="AG640" s="15" t="str">
        <f>IF(OR(AF640="",AF640="ERRO_CHAVE"),"",IFERROR(MATCH(AF640,'Quitados DUPP'!$U$1:$U$6635,0),""))</f>
        <v/>
      </c>
      <c r="AH640" s="15" t="str">
        <f t="shared" si="2"/>
        <v/>
      </c>
      <c r="AI640" s="17" t="str">
        <f>IF(AG640="","",INDEX('Quitados DUPP'!$G$1:$G$6635,AG640))</f>
        <v/>
      </c>
      <c r="AJ640" s="17" t="str">
        <f t="shared" si="3"/>
        <v/>
      </c>
    </row>
    <row r="641" spans="31:36">
      <c r="AE641" s="15" t="str">
        <f t="shared" si="0"/>
        <v/>
      </c>
      <c r="AF641" s="15" t="str">
        <f t="shared" si="1"/>
        <v/>
      </c>
      <c r="AG641" s="15" t="str">
        <f>IF(OR(AF641="",AF641="ERRO_CHAVE"),"",IFERROR(MATCH(AF641,'Quitados DUPP'!$U$1:$U$6635,0),""))</f>
        <v/>
      </c>
      <c r="AH641" s="15" t="str">
        <f t="shared" si="2"/>
        <v/>
      </c>
      <c r="AI641" s="17" t="str">
        <f>IF(AG641="","",INDEX('Quitados DUPP'!$G$1:$G$6635,AG641))</f>
        <v/>
      </c>
      <c r="AJ641" s="17" t="str">
        <f t="shared" si="3"/>
        <v/>
      </c>
    </row>
    <row r="642" spans="31:36">
      <c r="AE642" s="15" t="str">
        <f t="shared" si="0"/>
        <v/>
      </c>
      <c r="AF642" s="15" t="str">
        <f t="shared" si="1"/>
        <v/>
      </c>
      <c r="AG642" s="15" t="str">
        <f>IF(OR(AF642="",AF642="ERRO_CHAVE"),"",IFERROR(MATCH(AF642,'Quitados DUPP'!$U$1:$U$6635,0),""))</f>
        <v/>
      </c>
      <c r="AH642" s="15" t="str">
        <f t="shared" si="2"/>
        <v/>
      </c>
      <c r="AI642" s="17" t="str">
        <f>IF(AG642="","",INDEX('Quitados DUPP'!$G$1:$G$6635,AG642))</f>
        <v/>
      </c>
      <c r="AJ642" s="17" t="str">
        <f t="shared" si="3"/>
        <v/>
      </c>
    </row>
    <row r="643" spans="31:36">
      <c r="AE643" s="15" t="str">
        <f t="shared" si="0"/>
        <v/>
      </c>
      <c r="AF643" s="15" t="str">
        <f t="shared" si="1"/>
        <v/>
      </c>
      <c r="AG643" s="15" t="str">
        <f>IF(OR(AF643="",AF643="ERRO_CHAVE"),"",IFERROR(MATCH(AF643,'Quitados DUPP'!$U$1:$U$6635,0),""))</f>
        <v/>
      </c>
      <c r="AH643" s="15" t="str">
        <f t="shared" si="2"/>
        <v/>
      </c>
      <c r="AI643" s="17" t="str">
        <f>IF(AG643="","",INDEX('Quitados DUPP'!$G$1:$G$6635,AG643))</f>
        <v/>
      </c>
      <c r="AJ643" s="17" t="str">
        <f t="shared" si="3"/>
        <v/>
      </c>
    </row>
    <row r="644" spans="31:36">
      <c r="AE644" s="15" t="str">
        <f t="shared" si="0"/>
        <v/>
      </c>
      <c r="AF644" s="15" t="str">
        <f t="shared" si="1"/>
        <v/>
      </c>
      <c r="AG644" s="15" t="str">
        <f>IF(OR(AF644="",AF644="ERRO_CHAVE"),"",IFERROR(MATCH(AF644,'Quitados DUPP'!$U$1:$U$6635,0),""))</f>
        <v/>
      </c>
      <c r="AH644" s="15" t="str">
        <f t="shared" si="2"/>
        <v/>
      </c>
      <c r="AI644" s="17" t="str">
        <f>IF(AG644="","",INDEX('Quitados DUPP'!$G$1:$G$6635,AG644))</f>
        <v/>
      </c>
      <c r="AJ644" s="17" t="str">
        <f t="shared" si="3"/>
        <v/>
      </c>
    </row>
    <row r="645" spans="31:36">
      <c r="AE645" s="15" t="str">
        <f t="shared" si="0"/>
        <v/>
      </c>
      <c r="AF645" s="15" t="str">
        <f t="shared" si="1"/>
        <v/>
      </c>
      <c r="AG645" s="15" t="str">
        <f>IF(OR(AF645="",AF645="ERRO_CHAVE"),"",IFERROR(MATCH(AF645,'Quitados DUPP'!$U$1:$U$6635,0),""))</f>
        <v/>
      </c>
      <c r="AH645" s="15" t="str">
        <f t="shared" si="2"/>
        <v/>
      </c>
      <c r="AI645" s="17" t="str">
        <f>IF(AG645="","",INDEX('Quitados DUPP'!$G$1:$G$6635,AG645))</f>
        <v/>
      </c>
      <c r="AJ645" s="17" t="str">
        <f t="shared" si="3"/>
        <v/>
      </c>
    </row>
    <row r="646" spans="31:36">
      <c r="AE646" s="15" t="str">
        <f t="shared" si="0"/>
        <v/>
      </c>
      <c r="AF646" s="15" t="str">
        <f t="shared" si="1"/>
        <v/>
      </c>
      <c r="AG646" s="15" t="str">
        <f>IF(OR(AF646="",AF646="ERRO_CHAVE"),"",IFERROR(MATCH(AF646,'Quitados DUPP'!$U$1:$U$6635,0),""))</f>
        <v/>
      </c>
      <c r="AH646" s="15" t="str">
        <f t="shared" si="2"/>
        <v/>
      </c>
      <c r="AI646" s="17" t="str">
        <f>IF(AG646="","",INDEX('Quitados DUPP'!$G$1:$G$6635,AG646))</f>
        <v/>
      </c>
      <c r="AJ646" s="17" t="str">
        <f t="shared" si="3"/>
        <v/>
      </c>
    </row>
    <row r="647" spans="31:36">
      <c r="AE647" s="15" t="str">
        <f t="shared" si="0"/>
        <v/>
      </c>
      <c r="AF647" s="15" t="str">
        <f t="shared" si="1"/>
        <v/>
      </c>
      <c r="AG647" s="15" t="str">
        <f>IF(OR(AF647="",AF647="ERRO_CHAVE"),"",IFERROR(MATCH(AF647,'Quitados DUPP'!$U$1:$U$6635,0),""))</f>
        <v/>
      </c>
      <c r="AH647" s="15" t="str">
        <f t="shared" si="2"/>
        <v/>
      </c>
      <c r="AI647" s="17" t="str">
        <f>IF(AG647="","",INDEX('Quitados DUPP'!$G$1:$G$6635,AG647))</f>
        <v/>
      </c>
      <c r="AJ647" s="17" t="str">
        <f t="shared" si="3"/>
        <v/>
      </c>
    </row>
    <row r="648" spans="31:36">
      <c r="AE648" s="15" t="str">
        <f t="shared" si="0"/>
        <v/>
      </c>
      <c r="AF648" s="15" t="str">
        <f t="shared" si="1"/>
        <v/>
      </c>
      <c r="AG648" s="15" t="str">
        <f>IF(OR(AF648="",AF648="ERRO_CHAVE"),"",IFERROR(MATCH(AF648,'Quitados DUPP'!$U$1:$U$6635,0),""))</f>
        <v/>
      </c>
      <c r="AH648" s="15" t="str">
        <f t="shared" si="2"/>
        <v/>
      </c>
      <c r="AI648" s="17" t="str">
        <f>IF(AG648="","",INDEX('Quitados DUPP'!$G$1:$G$6635,AG648))</f>
        <v/>
      </c>
      <c r="AJ648" s="17" t="str">
        <f t="shared" si="3"/>
        <v/>
      </c>
    </row>
    <row r="649" spans="31:36">
      <c r="AE649" s="15" t="str">
        <f t="shared" si="0"/>
        <v/>
      </c>
      <c r="AF649" s="15" t="str">
        <f t="shared" si="1"/>
        <v/>
      </c>
      <c r="AG649" s="15" t="str">
        <f>IF(OR(AF649="",AF649="ERRO_CHAVE"),"",IFERROR(MATCH(AF649,'Quitados DUPP'!$U$1:$U$6635,0),""))</f>
        <v/>
      </c>
      <c r="AH649" s="15" t="str">
        <f t="shared" si="2"/>
        <v/>
      </c>
      <c r="AI649" s="17" t="str">
        <f>IF(AG649="","",INDEX('Quitados DUPP'!$G$1:$G$6635,AG649))</f>
        <v/>
      </c>
      <c r="AJ649" s="17" t="str">
        <f t="shared" si="3"/>
        <v/>
      </c>
    </row>
    <row r="650" spans="31:36">
      <c r="AE650" s="15" t="str">
        <f t="shared" si="0"/>
        <v/>
      </c>
      <c r="AF650" s="15" t="str">
        <f t="shared" si="1"/>
        <v/>
      </c>
      <c r="AG650" s="15" t="str">
        <f>IF(OR(AF650="",AF650="ERRO_CHAVE"),"",IFERROR(MATCH(AF650,'Quitados DUPP'!$U$1:$U$6635,0),""))</f>
        <v/>
      </c>
      <c r="AH650" s="15" t="str">
        <f t="shared" si="2"/>
        <v/>
      </c>
      <c r="AI650" s="17" t="str">
        <f>IF(AG650="","",INDEX('Quitados DUPP'!$G$1:$G$6635,AG650))</f>
        <v/>
      </c>
      <c r="AJ650" s="17" t="str">
        <f t="shared" si="3"/>
        <v/>
      </c>
    </row>
    <row r="651" spans="31:36">
      <c r="AE651" s="15" t="str">
        <f t="shared" si="0"/>
        <v/>
      </c>
      <c r="AF651" s="15" t="str">
        <f t="shared" si="1"/>
        <v/>
      </c>
      <c r="AG651" s="15" t="str">
        <f>IF(OR(AF651="",AF651="ERRO_CHAVE"),"",IFERROR(MATCH(AF651,'Quitados DUPP'!$U$1:$U$6635,0),""))</f>
        <v/>
      </c>
      <c r="AH651" s="15" t="str">
        <f t="shared" si="2"/>
        <v/>
      </c>
      <c r="AI651" s="17" t="str">
        <f>IF(AG651="","",INDEX('Quitados DUPP'!$G$1:$G$6635,AG651))</f>
        <v/>
      </c>
      <c r="AJ651" s="17" t="str">
        <f t="shared" si="3"/>
        <v/>
      </c>
    </row>
    <row r="652" spans="31:36">
      <c r="AE652" s="15" t="str">
        <f t="shared" si="0"/>
        <v/>
      </c>
      <c r="AF652" s="15" t="str">
        <f t="shared" si="1"/>
        <v/>
      </c>
      <c r="AG652" s="15" t="str">
        <f>IF(OR(AF652="",AF652="ERRO_CHAVE"),"",IFERROR(MATCH(AF652,'Quitados DUPP'!$U$1:$U$6635,0),""))</f>
        <v/>
      </c>
      <c r="AH652" s="15" t="str">
        <f t="shared" si="2"/>
        <v/>
      </c>
      <c r="AI652" s="17" t="str">
        <f>IF(AG652="","",INDEX('Quitados DUPP'!$G$1:$G$6635,AG652))</f>
        <v/>
      </c>
      <c r="AJ652" s="17" t="str">
        <f t="shared" si="3"/>
        <v/>
      </c>
    </row>
    <row r="653" spans="31:36">
      <c r="AE653" s="15" t="str">
        <f t="shared" si="0"/>
        <v/>
      </c>
      <c r="AF653" s="15" t="str">
        <f t="shared" si="1"/>
        <v/>
      </c>
      <c r="AG653" s="15" t="str">
        <f>IF(OR(AF653="",AF653="ERRO_CHAVE"),"",IFERROR(MATCH(AF653,'Quitados DUPP'!$U$1:$U$6635,0),""))</f>
        <v/>
      </c>
      <c r="AH653" s="15" t="str">
        <f t="shared" si="2"/>
        <v/>
      </c>
      <c r="AI653" s="17" t="str">
        <f>IF(AG653="","",INDEX('Quitados DUPP'!$G$1:$G$6635,AG653))</f>
        <v/>
      </c>
      <c r="AJ653" s="17" t="str">
        <f t="shared" si="3"/>
        <v/>
      </c>
    </row>
    <row r="654" spans="31:36">
      <c r="AE654" s="15" t="str">
        <f t="shared" si="0"/>
        <v/>
      </c>
      <c r="AF654" s="15" t="str">
        <f t="shared" si="1"/>
        <v/>
      </c>
      <c r="AG654" s="15" t="str">
        <f>IF(OR(AF654="",AF654="ERRO_CHAVE"),"",IFERROR(MATCH(AF654,'Quitados DUPP'!$U$1:$U$6635,0),""))</f>
        <v/>
      </c>
      <c r="AH654" s="15" t="str">
        <f t="shared" si="2"/>
        <v/>
      </c>
      <c r="AI654" s="17" t="str">
        <f>IF(AG654="","",INDEX('Quitados DUPP'!$G$1:$G$6635,AG654))</f>
        <v/>
      </c>
      <c r="AJ654" s="17" t="str">
        <f t="shared" si="3"/>
        <v/>
      </c>
    </row>
    <row r="655" spans="31:36">
      <c r="AE655" s="15" t="str">
        <f t="shared" si="0"/>
        <v/>
      </c>
      <c r="AF655" s="15" t="str">
        <f t="shared" si="1"/>
        <v/>
      </c>
      <c r="AG655" s="15" t="str">
        <f>IF(OR(AF655="",AF655="ERRO_CHAVE"),"",IFERROR(MATCH(AF655,'Quitados DUPP'!$U$1:$U$6635,0),""))</f>
        <v/>
      </c>
      <c r="AH655" s="15" t="str">
        <f t="shared" si="2"/>
        <v/>
      </c>
      <c r="AI655" s="17" t="str">
        <f>IF(AG655="","",INDEX('Quitados DUPP'!$G$1:$G$6635,AG655))</f>
        <v/>
      </c>
      <c r="AJ655" s="17" t="str">
        <f t="shared" si="3"/>
        <v/>
      </c>
    </row>
    <row r="656" spans="31:36">
      <c r="AE656" s="15" t="str">
        <f t="shared" si="0"/>
        <v/>
      </c>
      <c r="AF656" s="15" t="str">
        <f t="shared" si="1"/>
        <v/>
      </c>
      <c r="AG656" s="15" t="str">
        <f>IF(OR(AF656="",AF656="ERRO_CHAVE"),"",IFERROR(MATCH(AF656,'Quitados DUPP'!$U$1:$U$6635,0),""))</f>
        <v/>
      </c>
      <c r="AH656" s="15" t="str">
        <f t="shared" si="2"/>
        <v/>
      </c>
      <c r="AI656" s="17" t="str">
        <f>IF(AG656="","",INDEX('Quitados DUPP'!$G$1:$G$6635,AG656))</f>
        <v/>
      </c>
      <c r="AJ656" s="17" t="str">
        <f t="shared" si="3"/>
        <v/>
      </c>
    </row>
    <row r="657" spans="31:36">
      <c r="AE657" s="15" t="str">
        <f t="shared" si="0"/>
        <v/>
      </c>
      <c r="AF657" s="15" t="str">
        <f t="shared" si="1"/>
        <v/>
      </c>
      <c r="AG657" s="15" t="str">
        <f>IF(OR(AF657="",AF657="ERRO_CHAVE"),"",IFERROR(MATCH(AF657,'Quitados DUPP'!$U$1:$U$6635,0),""))</f>
        <v/>
      </c>
      <c r="AH657" s="15" t="str">
        <f t="shared" si="2"/>
        <v/>
      </c>
      <c r="AI657" s="17" t="str">
        <f>IF(AG657="","",INDEX('Quitados DUPP'!$G$1:$G$6635,AG657))</f>
        <v/>
      </c>
      <c r="AJ657" s="17" t="str">
        <f t="shared" si="3"/>
        <v/>
      </c>
    </row>
    <row r="658" spans="31:36">
      <c r="AE658" s="15" t="str">
        <f t="shared" si="0"/>
        <v/>
      </c>
      <c r="AF658" s="15" t="str">
        <f t="shared" si="1"/>
        <v/>
      </c>
      <c r="AG658" s="15" t="str">
        <f>IF(OR(AF658="",AF658="ERRO_CHAVE"),"",IFERROR(MATCH(AF658,'Quitados DUPP'!$U$1:$U$6635,0),""))</f>
        <v/>
      </c>
      <c r="AH658" s="15" t="str">
        <f t="shared" si="2"/>
        <v/>
      </c>
      <c r="AI658" s="17" t="str">
        <f>IF(AG658="","",INDEX('Quitados DUPP'!$G$1:$G$6635,AG658))</f>
        <v/>
      </c>
      <c r="AJ658" s="17" t="str">
        <f t="shared" si="3"/>
        <v/>
      </c>
    </row>
    <row r="659" spans="31:36">
      <c r="AE659" s="15" t="str">
        <f t="shared" si="0"/>
        <v/>
      </c>
      <c r="AF659" s="15" t="str">
        <f t="shared" si="1"/>
        <v/>
      </c>
      <c r="AG659" s="15" t="str">
        <f>IF(OR(AF659="",AF659="ERRO_CHAVE"),"",IFERROR(MATCH(AF659,'Quitados DUPP'!$U$1:$U$6635,0),""))</f>
        <v/>
      </c>
      <c r="AH659" s="15" t="str">
        <f t="shared" si="2"/>
        <v/>
      </c>
      <c r="AI659" s="17" t="str">
        <f>IF(AG659="","",INDEX('Quitados DUPP'!$G$1:$G$6635,AG659))</f>
        <v/>
      </c>
      <c r="AJ659" s="17" t="str">
        <f t="shared" si="3"/>
        <v/>
      </c>
    </row>
    <row r="660" spans="31:36">
      <c r="AE660" s="15" t="str">
        <f t="shared" si="0"/>
        <v/>
      </c>
      <c r="AF660" s="15" t="str">
        <f t="shared" si="1"/>
        <v/>
      </c>
      <c r="AG660" s="15" t="str">
        <f>IF(OR(AF660="",AF660="ERRO_CHAVE"),"",IFERROR(MATCH(AF660,'Quitados DUPP'!$U$1:$U$6635,0),""))</f>
        <v/>
      </c>
      <c r="AH660" s="15" t="str">
        <f t="shared" si="2"/>
        <v/>
      </c>
      <c r="AI660" s="17" t="str">
        <f>IF(AG660="","",INDEX('Quitados DUPP'!$G$1:$G$6635,AG660))</f>
        <v/>
      </c>
      <c r="AJ660" s="17" t="str">
        <f t="shared" si="3"/>
        <v/>
      </c>
    </row>
    <row r="661" spans="31:36">
      <c r="AE661" s="15" t="str">
        <f t="shared" si="0"/>
        <v/>
      </c>
      <c r="AF661" s="15" t="str">
        <f t="shared" si="1"/>
        <v/>
      </c>
      <c r="AG661" s="15" t="str">
        <f>IF(OR(AF661="",AF661="ERRO_CHAVE"),"",IFERROR(MATCH(AF661,'Quitados DUPP'!$U$1:$U$6635,0),""))</f>
        <v/>
      </c>
      <c r="AH661" s="15" t="str">
        <f t="shared" si="2"/>
        <v/>
      </c>
      <c r="AI661" s="17" t="str">
        <f>IF(AG661="","",INDEX('Quitados DUPP'!$G$1:$G$6635,AG661))</f>
        <v/>
      </c>
      <c r="AJ661" s="17" t="str">
        <f t="shared" si="3"/>
        <v/>
      </c>
    </row>
    <row r="662" spans="31:36">
      <c r="AE662" s="15" t="str">
        <f t="shared" si="0"/>
        <v/>
      </c>
      <c r="AF662" s="15" t="str">
        <f t="shared" si="1"/>
        <v/>
      </c>
      <c r="AG662" s="15" t="str">
        <f>IF(OR(AF662="",AF662="ERRO_CHAVE"),"",IFERROR(MATCH(AF662,'Quitados DUPP'!$U$1:$U$6635,0),""))</f>
        <v/>
      </c>
      <c r="AH662" s="15" t="str">
        <f t="shared" si="2"/>
        <v/>
      </c>
      <c r="AI662" s="17" t="str">
        <f>IF(AG662="","",INDEX('Quitados DUPP'!$G$1:$G$6635,AG662))</f>
        <v/>
      </c>
      <c r="AJ662" s="17" t="str">
        <f t="shared" si="3"/>
        <v/>
      </c>
    </row>
    <row r="663" spans="31:36">
      <c r="AE663" s="15" t="str">
        <f t="shared" si="0"/>
        <v/>
      </c>
      <c r="AF663" s="15" t="str">
        <f t="shared" si="1"/>
        <v/>
      </c>
      <c r="AG663" s="15" t="str">
        <f>IF(OR(AF663="",AF663="ERRO_CHAVE"),"",IFERROR(MATCH(AF663,'Quitados DUPP'!$U$1:$U$6635,0),""))</f>
        <v/>
      </c>
      <c r="AH663" s="15" t="str">
        <f t="shared" si="2"/>
        <v/>
      </c>
      <c r="AI663" s="17" t="str">
        <f>IF(AG663="","",INDEX('Quitados DUPP'!$G$1:$G$6635,AG663))</f>
        <v/>
      </c>
      <c r="AJ663" s="17" t="str">
        <f t="shared" si="3"/>
        <v/>
      </c>
    </row>
    <row r="664" spans="31:36">
      <c r="AE664" s="15" t="str">
        <f t="shared" si="0"/>
        <v/>
      </c>
      <c r="AF664" s="15" t="str">
        <f t="shared" si="1"/>
        <v/>
      </c>
      <c r="AG664" s="15" t="str">
        <f>IF(OR(AF664="",AF664="ERRO_CHAVE"),"",IFERROR(MATCH(AF664,'Quitados DUPP'!$U$1:$U$6635,0),""))</f>
        <v/>
      </c>
      <c r="AH664" s="15" t="str">
        <f t="shared" si="2"/>
        <v/>
      </c>
      <c r="AI664" s="17" t="str">
        <f>IF(AG664="","",INDEX('Quitados DUPP'!$G$1:$G$6635,AG664))</f>
        <v/>
      </c>
      <c r="AJ664" s="17" t="str">
        <f t="shared" si="3"/>
        <v/>
      </c>
    </row>
    <row r="665" spans="31:36">
      <c r="AE665" s="15" t="str">
        <f t="shared" si="0"/>
        <v/>
      </c>
      <c r="AF665" s="15" t="str">
        <f t="shared" si="1"/>
        <v/>
      </c>
      <c r="AG665" s="15" t="str">
        <f>IF(OR(AF665="",AF665="ERRO_CHAVE"),"",IFERROR(MATCH(AF665,'Quitados DUPP'!$U$1:$U$6635,0),""))</f>
        <v/>
      </c>
      <c r="AH665" s="15" t="str">
        <f t="shared" si="2"/>
        <v/>
      </c>
      <c r="AI665" s="17" t="str">
        <f>IF(AG665="","",INDEX('Quitados DUPP'!$G$1:$G$6635,AG665))</f>
        <v/>
      </c>
      <c r="AJ665" s="17" t="str">
        <f t="shared" si="3"/>
        <v/>
      </c>
    </row>
    <row r="666" spans="31:36">
      <c r="AE666" s="15" t="str">
        <f t="shared" si="0"/>
        <v/>
      </c>
      <c r="AF666" s="15" t="str">
        <f t="shared" si="1"/>
        <v/>
      </c>
      <c r="AG666" s="15" t="str">
        <f>IF(OR(AF666="",AF666="ERRO_CHAVE"),"",IFERROR(MATCH(AF666,'Quitados DUPP'!$U$1:$U$6635,0),""))</f>
        <v/>
      </c>
      <c r="AH666" s="15" t="str">
        <f t="shared" si="2"/>
        <v/>
      </c>
      <c r="AI666" s="17" t="str">
        <f>IF(AG666="","",INDEX('Quitados DUPP'!$G$1:$G$6635,AG666))</f>
        <v/>
      </c>
      <c r="AJ666" s="17" t="str">
        <f t="shared" si="3"/>
        <v/>
      </c>
    </row>
    <row r="667" spans="31:36">
      <c r="AE667" s="15" t="str">
        <f t="shared" si="0"/>
        <v/>
      </c>
      <c r="AF667" s="15" t="str">
        <f t="shared" si="1"/>
        <v/>
      </c>
      <c r="AG667" s="15" t="str">
        <f>IF(OR(AF667="",AF667="ERRO_CHAVE"),"",IFERROR(MATCH(AF667,'Quitados DUPP'!$U$1:$U$6635,0),""))</f>
        <v/>
      </c>
      <c r="AH667" s="15" t="str">
        <f t="shared" si="2"/>
        <v/>
      </c>
      <c r="AI667" s="17" t="str">
        <f>IF(AG667="","",INDEX('Quitados DUPP'!$G$1:$G$6635,AG667))</f>
        <v/>
      </c>
      <c r="AJ667" s="17" t="str">
        <f t="shared" si="3"/>
        <v/>
      </c>
    </row>
    <row r="668" spans="31:36">
      <c r="AE668" s="15" t="str">
        <f t="shared" si="0"/>
        <v/>
      </c>
      <c r="AF668" s="15" t="str">
        <f t="shared" si="1"/>
        <v/>
      </c>
      <c r="AG668" s="15" t="str">
        <f>IF(OR(AF668="",AF668="ERRO_CHAVE"),"",IFERROR(MATCH(AF668,'Quitados DUPP'!$U$1:$U$6635,0),""))</f>
        <v/>
      </c>
      <c r="AH668" s="15" t="str">
        <f t="shared" si="2"/>
        <v/>
      </c>
      <c r="AI668" s="17" t="str">
        <f>IF(AG668="","",INDEX('Quitados DUPP'!$G$1:$G$6635,AG668))</f>
        <v/>
      </c>
      <c r="AJ668" s="17" t="str">
        <f t="shared" si="3"/>
        <v/>
      </c>
    </row>
    <row r="669" spans="31:36">
      <c r="AE669" s="15" t="str">
        <f t="shared" si="0"/>
        <v/>
      </c>
      <c r="AF669" s="15" t="str">
        <f t="shared" si="1"/>
        <v/>
      </c>
      <c r="AG669" s="15" t="str">
        <f>IF(OR(AF669="",AF669="ERRO_CHAVE"),"",IFERROR(MATCH(AF669,'Quitados DUPP'!$U$1:$U$6635,0),""))</f>
        <v/>
      </c>
      <c r="AH669" s="15" t="str">
        <f t="shared" si="2"/>
        <v/>
      </c>
      <c r="AI669" s="17" t="str">
        <f>IF(AG669="","",INDEX('Quitados DUPP'!$G$1:$G$6635,AG669))</f>
        <v/>
      </c>
      <c r="AJ669" s="17" t="str">
        <f t="shared" si="3"/>
        <v/>
      </c>
    </row>
    <row r="670" spans="31:36">
      <c r="AE670" s="15" t="str">
        <f t="shared" si="0"/>
        <v/>
      </c>
      <c r="AF670" s="15" t="str">
        <f t="shared" si="1"/>
        <v/>
      </c>
      <c r="AG670" s="15" t="str">
        <f>IF(OR(AF670="",AF670="ERRO_CHAVE"),"",IFERROR(MATCH(AF670,'Quitados DUPP'!$U$1:$U$6635,0),""))</f>
        <v/>
      </c>
      <c r="AH670" s="15" t="str">
        <f t="shared" si="2"/>
        <v/>
      </c>
      <c r="AI670" s="17" t="str">
        <f>IF(AG670="","",INDEX('Quitados DUPP'!$G$1:$G$6635,AG670))</f>
        <v/>
      </c>
      <c r="AJ670" s="17" t="str">
        <f t="shared" si="3"/>
        <v/>
      </c>
    </row>
    <row r="671" spans="31:36">
      <c r="AE671" s="15" t="str">
        <f t="shared" si="0"/>
        <v/>
      </c>
      <c r="AF671" s="15" t="str">
        <f t="shared" si="1"/>
        <v/>
      </c>
      <c r="AG671" s="15" t="str">
        <f>IF(OR(AF671="",AF671="ERRO_CHAVE"),"",IFERROR(MATCH(AF671,'Quitados DUPP'!$U$1:$U$6635,0),""))</f>
        <v/>
      </c>
      <c r="AH671" s="15" t="str">
        <f t="shared" si="2"/>
        <v/>
      </c>
      <c r="AI671" s="17" t="str">
        <f>IF(AG671="","",INDEX('Quitados DUPP'!$G$1:$G$6635,AG671))</f>
        <v/>
      </c>
      <c r="AJ671" s="17" t="str">
        <f t="shared" si="3"/>
        <v/>
      </c>
    </row>
    <row r="672" spans="31:36">
      <c r="AE672" s="15" t="str">
        <f t="shared" si="0"/>
        <v/>
      </c>
      <c r="AF672" s="15" t="str">
        <f t="shared" si="1"/>
        <v/>
      </c>
      <c r="AG672" s="15" t="str">
        <f>IF(OR(AF672="",AF672="ERRO_CHAVE"),"",IFERROR(MATCH(AF672,'Quitados DUPP'!$U$1:$U$6635,0),""))</f>
        <v/>
      </c>
      <c r="AH672" s="15" t="str">
        <f t="shared" si="2"/>
        <v/>
      </c>
      <c r="AI672" s="17" t="str">
        <f>IF(AG672="","",INDEX('Quitados DUPP'!$G$1:$G$6635,AG672))</f>
        <v/>
      </c>
      <c r="AJ672" s="17" t="str">
        <f t="shared" si="3"/>
        <v/>
      </c>
    </row>
    <row r="673" spans="31:36">
      <c r="AE673" s="15" t="str">
        <f t="shared" si="0"/>
        <v/>
      </c>
      <c r="AF673" s="15" t="str">
        <f t="shared" si="1"/>
        <v/>
      </c>
      <c r="AG673" s="15" t="str">
        <f>IF(OR(AF673="",AF673="ERRO_CHAVE"),"",IFERROR(MATCH(AF673,'Quitados DUPP'!$U$1:$U$6635,0),""))</f>
        <v/>
      </c>
      <c r="AH673" s="15" t="str">
        <f t="shared" si="2"/>
        <v/>
      </c>
      <c r="AI673" s="17" t="str">
        <f>IF(AG673="","",INDEX('Quitados DUPP'!$G$1:$G$6635,AG673))</f>
        <v/>
      </c>
      <c r="AJ673" s="17" t="str">
        <f t="shared" si="3"/>
        <v/>
      </c>
    </row>
    <row r="674" spans="31:36">
      <c r="AE674" s="15" t="str">
        <f t="shared" si="0"/>
        <v/>
      </c>
      <c r="AF674" s="15" t="str">
        <f t="shared" si="1"/>
        <v/>
      </c>
      <c r="AG674" s="15" t="str">
        <f>IF(OR(AF674="",AF674="ERRO_CHAVE"),"",IFERROR(MATCH(AF674,'Quitados DUPP'!$U$1:$U$6635,0),""))</f>
        <v/>
      </c>
      <c r="AH674" s="15" t="str">
        <f t="shared" si="2"/>
        <v/>
      </c>
      <c r="AI674" s="17" t="str">
        <f>IF(AG674="","",INDEX('Quitados DUPP'!$G$1:$G$6635,AG674))</f>
        <v/>
      </c>
      <c r="AJ674" s="17" t="str">
        <f t="shared" si="3"/>
        <v/>
      </c>
    </row>
    <row r="675" spans="31:36">
      <c r="AE675" s="15" t="str">
        <f t="shared" si="0"/>
        <v/>
      </c>
      <c r="AF675" s="15" t="str">
        <f t="shared" si="1"/>
        <v/>
      </c>
      <c r="AG675" s="15" t="str">
        <f>IF(OR(AF675="",AF675="ERRO_CHAVE"),"",IFERROR(MATCH(AF675,'Quitados DUPP'!$U$1:$U$6635,0),""))</f>
        <v/>
      </c>
      <c r="AH675" s="15" t="str">
        <f t="shared" si="2"/>
        <v/>
      </c>
      <c r="AI675" s="17" t="str">
        <f>IF(AG675="","",INDEX('Quitados DUPP'!$G$1:$G$6635,AG675))</f>
        <v/>
      </c>
      <c r="AJ675" s="17" t="str">
        <f t="shared" si="3"/>
        <v/>
      </c>
    </row>
    <row r="676" spans="31:36">
      <c r="AE676" s="15" t="str">
        <f t="shared" si="0"/>
        <v/>
      </c>
      <c r="AF676" s="15" t="str">
        <f t="shared" si="1"/>
        <v/>
      </c>
      <c r="AG676" s="15" t="str">
        <f>IF(OR(AF676="",AF676="ERRO_CHAVE"),"",IFERROR(MATCH(AF676,'Quitados DUPP'!$U$1:$U$6635,0),""))</f>
        <v/>
      </c>
      <c r="AH676" s="15" t="str">
        <f t="shared" si="2"/>
        <v/>
      </c>
      <c r="AI676" s="17" t="str">
        <f>IF(AG676="","",INDEX('Quitados DUPP'!$G$1:$G$6635,AG676))</f>
        <v/>
      </c>
      <c r="AJ676" s="17" t="str">
        <f t="shared" si="3"/>
        <v/>
      </c>
    </row>
    <row r="677" spans="31:36">
      <c r="AE677" s="15" t="str">
        <f t="shared" si="0"/>
        <v/>
      </c>
      <c r="AF677" s="15" t="str">
        <f t="shared" si="1"/>
        <v/>
      </c>
      <c r="AG677" s="15" t="str">
        <f>IF(OR(AF677="",AF677="ERRO_CHAVE"),"",IFERROR(MATCH(AF677,'Quitados DUPP'!$U$1:$U$6635,0),""))</f>
        <v/>
      </c>
      <c r="AH677" s="15" t="str">
        <f t="shared" si="2"/>
        <v/>
      </c>
      <c r="AI677" s="17" t="str">
        <f>IF(AG677="","",INDEX('Quitados DUPP'!$G$1:$G$6635,AG677))</f>
        <v/>
      </c>
      <c r="AJ677" s="17" t="str">
        <f t="shared" si="3"/>
        <v/>
      </c>
    </row>
    <row r="678" spans="31:36">
      <c r="AE678" s="15" t="str">
        <f t="shared" si="0"/>
        <v/>
      </c>
      <c r="AF678" s="15" t="str">
        <f t="shared" si="1"/>
        <v/>
      </c>
      <c r="AG678" s="15" t="str">
        <f>IF(OR(AF678="",AF678="ERRO_CHAVE"),"",IFERROR(MATCH(AF678,'Quitados DUPP'!$U$1:$U$6635,0),""))</f>
        <v/>
      </c>
      <c r="AH678" s="15" t="str">
        <f t="shared" si="2"/>
        <v/>
      </c>
      <c r="AI678" s="17" t="str">
        <f>IF(AG678="","",INDEX('Quitados DUPP'!$G$1:$G$6635,AG678))</f>
        <v/>
      </c>
      <c r="AJ678" s="17" t="str">
        <f t="shared" si="3"/>
        <v/>
      </c>
    </row>
    <row r="679" spans="31:36">
      <c r="AE679" s="15" t="str">
        <f t="shared" si="0"/>
        <v/>
      </c>
      <c r="AF679" s="15" t="str">
        <f t="shared" si="1"/>
        <v/>
      </c>
      <c r="AG679" s="15" t="str">
        <f>IF(OR(AF679="",AF679="ERRO_CHAVE"),"",IFERROR(MATCH(AF679,'Quitados DUPP'!$U$1:$U$6635,0),""))</f>
        <v/>
      </c>
      <c r="AH679" s="15" t="str">
        <f t="shared" si="2"/>
        <v/>
      </c>
      <c r="AI679" s="17" t="str">
        <f>IF(AG679="","",INDEX('Quitados DUPP'!$G$1:$G$6635,AG679))</f>
        <v/>
      </c>
      <c r="AJ679" s="17" t="str">
        <f t="shared" si="3"/>
        <v/>
      </c>
    </row>
    <row r="680" spans="31:36">
      <c r="AE680" s="15" t="str">
        <f t="shared" si="0"/>
        <v/>
      </c>
      <c r="AF680" s="15" t="str">
        <f t="shared" si="1"/>
        <v/>
      </c>
      <c r="AG680" s="15" t="str">
        <f>IF(OR(AF680="",AF680="ERRO_CHAVE"),"",IFERROR(MATCH(AF680,'Quitados DUPP'!$U$1:$U$6635,0),""))</f>
        <v/>
      </c>
      <c r="AH680" s="15" t="str">
        <f t="shared" si="2"/>
        <v/>
      </c>
      <c r="AI680" s="17" t="str">
        <f>IF(AG680="","",INDEX('Quitados DUPP'!$G$1:$G$6635,AG680))</f>
        <v/>
      </c>
      <c r="AJ680" s="17" t="str">
        <f t="shared" si="3"/>
        <v/>
      </c>
    </row>
    <row r="681" spans="31:36">
      <c r="AE681" s="15" t="str">
        <f t="shared" si="0"/>
        <v/>
      </c>
      <c r="AF681" s="15" t="str">
        <f t="shared" si="1"/>
        <v/>
      </c>
      <c r="AG681" s="15" t="str">
        <f>IF(OR(AF681="",AF681="ERRO_CHAVE"),"",IFERROR(MATCH(AF681,'Quitados DUPP'!$U$1:$U$6635,0),""))</f>
        <v/>
      </c>
      <c r="AH681" s="15" t="str">
        <f t="shared" si="2"/>
        <v/>
      </c>
      <c r="AI681" s="17" t="str">
        <f>IF(AG681="","",INDEX('Quitados DUPP'!$G$1:$G$6635,AG681))</f>
        <v/>
      </c>
      <c r="AJ681" s="17" t="str">
        <f t="shared" si="3"/>
        <v/>
      </c>
    </row>
    <row r="682" spans="31:36">
      <c r="AE682" s="15" t="str">
        <f t="shared" si="0"/>
        <v/>
      </c>
      <c r="AF682" s="15" t="str">
        <f t="shared" si="1"/>
        <v/>
      </c>
      <c r="AG682" s="15" t="str">
        <f>IF(OR(AF682="",AF682="ERRO_CHAVE"),"",IFERROR(MATCH(AF682,'Quitados DUPP'!$U$1:$U$6635,0),""))</f>
        <v/>
      </c>
      <c r="AH682" s="15" t="str">
        <f t="shared" si="2"/>
        <v/>
      </c>
      <c r="AI682" s="17" t="str">
        <f>IF(AG682="","",INDEX('Quitados DUPP'!$G$1:$G$6635,AG682))</f>
        <v/>
      </c>
      <c r="AJ682" s="17" t="str">
        <f t="shared" si="3"/>
        <v/>
      </c>
    </row>
    <row r="683" spans="31:36">
      <c r="AE683" s="15" t="str">
        <f t="shared" si="0"/>
        <v/>
      </c>
      <c r="AF683" s="15" t="str">
        <f t="shared" si="1"/>
        <v/>
      </c>
      <c r="AG683" s="15" t="str">
        <f>IF(OR(AF683="",AF683="ERRO_CHAVE"),"",IFERROR(MATCH(AF683,'Quitados DUPP'!$U$1:$U$6635,0),""))</f>
        <v/>
      </c>
      <c r="AH683" s="15" t="str">
        <f t="shared" si="2"/>
        <v/>
      </c>
      <c r="AI683" s="17" t="str">
        <f>IF(AG683="","",INDEX('Quitados DUPP'!$G$1:$G$6635,AG683))</f>
        <v/>
      </c>
      <c r="AJ683" s="17" t="str">
        <f t="shared" si="3"/>
        <v/>
      </c>
    </row>
    <row r="684" spans="31:36">
      <c r="AE684" s="15" t="str">
        <f t="shared" si="0"/>
        <v/>
      </c>
      <c r="AF684" s="15" t="str">
        <f t="shared" si="1"/>
        <v/>
      </c>
      <c r="AG684" s="15" t="str">
        <f>IF(OR(AF684="",AF684="ERRO_CHAVE"),"",IFERROR(MATCH(AF684,'Quitados DUPP'!$U$1:$U$6635,0),""))</f>
        <v/>
      </c>
      <c r="AH684" s="15" t="str">
        <f t="shared" si="2"/>
        <v/>
      </c>
      <c r="AI684" s="17" t="str">
        <f>IF(AG684="","",INDEX('Quitados DUPP'!$G$1:$G$6635,AG684))</f>
        <v/>
      </c>
      <c r="AJ684" s="17" t="str">
        <f t="shared" si="3"/>
        <v/>
      </c>
    </row>
    <row r="685" spans="31:36">
      <c r="AE685" s="15" t="str">
        <f t="shared" si="0"/>
        <v/>
      </c>
      <c r="AF685" s="15" t="str">
        <f t="shared" si="1"/>
        <v/>
      </c>
      <c r="AG685" s="15" t="str">
        <f>IF(OR(AF685="",AF685="ERRO_CHAVE"),"",IFERROR(MATCH(AF685,'Quitados DUPP'!$U$1:$U$6635,0),""))</f>
        <v/>
      </c>
      <c r="AH685" s="15" t="str">
        <f t="shared" si="2"/>
        <v/>
      </c>
      <c r="AI685" s="17" t="str">
        <f>IF(AG685="","",INDEX('Quitados DUPP'!$G$1:$G$6635,AG685))</f>
        <v/>
      </c>
      <c r="AJ685" s="17" t="str">
        <f t="shared" si="3"/>
        <v/>
      </c>
    </row>
    <row r="686" spans="31:36">
      <c r="AE686" s="15" t="str">
        <f t="shared" si="0"/>
        <v/>
      </c>
      <c r="AF686" s="15" t="str">
        <f t="shared" si="1"/>
        <v/>
      </c>
      <c r="AG686" s="15" t="str">
        <f>IF(OR(AF686="",AF686="ERRO_CHAVE"),"",IFERROR(MATCH(AF686,'Quitados DUPP'!$U$1:$U$6635,0),""))</f>
        <v/>
      </c>
      <c r="AH686" s="15" t="str">
        <f t="shared" si="2"/>
        <v/>
      </c>
      <c r="AI686" s="17" t="str">
        <f>IF(AG686="","",INDEX('Quitados DUPP'!$G$1:$G$6635,AG686))</f>
        <v/>
      </c>
      <c r="AJ686" s="17" t="str">
        <f t="shared" si="3"/>
        <v/>
      </c>
    </row>
    <row r="687" spans="31:36">
      <c r="AE687" s="15" t="str">
        <f t="shared" si="0"/>
        <v/>
      </c>
      <c r="AF687" s="15" t="str">
        <f t="shared" si="1"/>
        <v/>
      </c>
      <c r="AG687" s="15" t="str">
        <f>IF(OR(AF687="",AF687="ERRO_CHAVE"),"",IFERROR(MATCH(AF687,'Quitados DUPP'!$U$1:$U$6635,0),""))</f>
        <v/>
      </c>
      <c r="AH687" s="15" t="str">
        <f t="shared" si="2"/>
        <v/>
      </c>
      <c r="AI687" s="17" t="str">
        <f>IF(AG687="","",INDEX('Quitados DUPP'!$G$1:$G$6635,AG687))</f>
        <v/>
      </c>
      <c r="AJ687" s="17" t="str">
        <f t="shared" si="3"/>
        <v/>
      </c>
    </row>
    <row r="688" spans="31:36">
      <c r="AE688" s="15" t="str">
        <f t="shared" si="0"/>
        <v/>
      </c>
      <c r="AF688" s="15" t="str">
        <f t="shared" si="1"/>
        <v/>
      </c>
      <c r="AG688" s="15" t="str">
        <f>IF(OR(AF688="",AF688="ERRO_CHAVE"),"",IFERROR(MATCH(AF688,'Quitados DUPP'!$U$1:$U$6635,0),""))</f>
        <v/>
      </c>
      <c r="AH688" s="15" t="str">
        <f t="shared" si="2"/>
        <v/>
      </c>
      <c r="AI688" s="17" t="str">
        <f>IF(AG688="","",INDEX('Quitados DUPP'!$G$1:$G$6635,AG688))</f>
        <v/>
      </c>
      <c r="AJ688" s="17" t="str">
        <f t="shared" si="3"/>
        <v/>
      </c>
    </row>
    <row r="689" spans="31:36">
      <c r="AE689" s="15" t="str">
        <f t="shared" si="0"/>
        <v/>
      </c>
      <c r="AF689" s="15" t="str">
        <f t="shared" si="1"/>
        <v/>
      </c>
      <c r="AG689" s="15" t="str">
        <f>IF(OR(AF689="",AF689="ERRO_CHAVE"),"",IFERROR(MATCH(AF689,'Quitados DUPP'!$U$1:$U$6635,0),""))</f>
        <v/>
      </c>
      <c r="AH689" s="15" t="str">
        <f t="shared" si="2"/>
        <v/>
      </c>
      <c r="AI689" s="17" t="str">
        <f>IF(AG689="","",INDEX('Quitados DUPP'!$G$1:$G$6635,AG689))</f>
        <v/>
      </c>
      <c r="AJ689" s="17" t="str">
        <f t="shared" si="3"/>
        <v/>
      </c>
    </row>
    <row r="690" spans="31:36">
      <c r="AE690" s="15" t="str">
        <f t="shared" si="0"/>
        <v/>
      </c>
      <c r="AF690" s="15" t="str">
        <f t="shared" si="1"/>
        <v/>
      </c>
      <c r="AG690" s="15" t="str">
        <f>IF(OR(AF690="",AF690="ERRO_CHAVE"),"",IFERROR(MATCH(AF690,'Quitados DUPP'!$U$1:$U$6635,0),""))</f>
        <v/>
      </c>
      <c r="AH690" s="15" t="str">
        <f t="shared" si="2"/>
        <v/>
      </c>
      <c r="AI690" s="17" t="str">
        <f>IF(AG690="","",INDEX('Quitados DUPP'!$G$1:$G$6635,AG690))</f>
        <v/>
      </c>
      <c r="AJ690" s="17" t="str">
        <f t="shared" si="3"/>
        <v/>
      </c>
    </row>
    <row r="691" spans="31:36">
      <c r="AE691" s="15" t="str">
        <f t="shared" si="0"/>
        <v/>
      </c>
      <c r="AF691" s="15" t="str">
        <f t="shared" si="1"/>
        <v/>
      </c>
      <c r="AG691" s="15" t="str">
        <f>IF(OR(AF691="",AF691="ERRO_CHAVE"),"",IFERROR(MATCH(AF691,'Quitados DUPP'!$U$1:$U$6635,0),""))</f>
        <v/>
      </c>
      <c r="AH691" s="15" t="str">
        <f t="shared" si="2"/>
        <v/>
      </c>
      <c r="AI691" s="17" t="str">
        <f>IF(AG691="","",INDEX('Quitados DUPP'!$G$1:$G$6635,AG691))</f>
        <v/>
      </c>
      <c r="AJ691" s="17" t="str">
        <f t="shared" si="3"/>
        <v/>
      </c>
    </row>
    <row r="692" spans="31:36">
      <c r="AE692" s="15" t="str">
        <f t="shared" si="0"/>
        <v/>
      </c>
      <c r="AF692" s="15" t="str">
        <f t="shared" si="1"/>
        <v/>
      </c>
      <c r="AG692" s="15" t="str">
        <f>IF(OR(AF692="",AF692="ERRO_CHAVE"),"",IFERROR(MATCH(AF692,'Quitados DUPP'!$U$1:$U$6635,0),""))</f>
        <v/>
      </c>
      <c r="AH692" s="15" t="str">
        <f t="shared" si="2"/>
        <v/>
      </c>
      <c r="AI692" s="17" t="str">
        <f>IF(AG692="","",INDEX('Quitados DUPP'!$G$1:$G$6635,AG692))</f>
        <v/>
      </c>
      <c r="AJ692" s="17" t="str">
        <f t="shared" si="3"/>
        <v/>
      </c>
    </row>
    <row r="693" spans="31:36">
      <c r="AE693" s="15" t="str">
        <f t="shared" si="0"/>
        <v/>
      </c>
      <c r="AF693" s="15" t="str">
        <f t="shared" si="1"/>
        <v/>
      </c>
      <c r="AG693" s="15" t="str">
        <f>IF(OR(AF693="",AF693="ERRO_CHAVE"),"",IFERROR(MATCH(AF693,'Quitados DUPP'!$U$1:$U$6635,0),""))</f>
        <v/>
      </c>
      <c r="AH693" s="15" t="str">
        <f t="shared" si="2"/>
        <v/>
      </c>
      <c r="AI693" s="17" t="str">
        <f>IF(AG693="","",INDEX('Quitados DUPP'!$G$1:$G$6635,AG693))</f>
        <v/>
      </c>
      <c r="AJ693" s="17" t="str">
        <f t="shared" si="3"/>
        <v/>
      </c>
    </row>
    <row r="694" spans="31:36">
      <c r="AE694" s="15" t="str">
        <f t="shared" si="0"/>
        <v/>
      </c>
      <c r="AF694" s="15" t="str">
        <f t="shared" si="1"/>
        <v/>
      </c>
      <c r="AG694" s="15" t="str">
        <f>IF(OR(AF694="",AF694="ERRO_CHAVE"),"",IFERROR(MATCH(AF694,'Quitados DUPP'!$U$1:$U$6635,0),""))</f>
        <v/>
      </c>
      <c r="AH694" s="15" t="str">
        <f t="shared" si="2"/>
        <v/>
      </c>
      <c r="AI694" s="17" t="str">
        <f>IF(AG694="","",INDEX('Quitados DUPP'!$G$1:$G$6635,AG694))</f>
        <v/>
      </c>
      <c r="AJ694" s="17" t="str">
        <f t="shared" si="3"/>
        <v/>
      </c>
    </row>
    <row r="695" spans="31:36">
      <c r="AE695" s="15" t="str">
        <f t="shared" si="0"/>
        <v/>
      </c>
      <c r="AF695" s="15" t="str">
        <f t="shared" si="1"/>
        <v/>
      </c>
      <c r="AG695" s="15" t="str">
        <f>IF(OR(AF695="",AF695="ERRO_CHAVE"),"",IFERROR(MATCH(AF695,'Quitados DUPP'!$U$1:$U$6635,0),""))</f>
        <v/>
      </c>
      <c r="AH695" s="15" t="str">
        <f t="shared" si="2"/>
        <v/>
      </c>
      <c r="AI695" s="17" t="str">
        <f>IF(AG695="","",INDEX('Quitados DUPP'!$G$1:$G$6635,AG695))</f>
        <v/>
      </c>
      <c r="AJ695" s="17" t="str">
        <f t="shared" si="3"/>
        <v/>
      </c>
    </row>
    <row r="696" spans="31:36">
      <c r="AE696" s="15" t="str">
        <f t="shared" si="0"/>
        <v/>
      </c>
      <c r="AF696" s="15" t="str">
        <f t="shared" si="1"/>
        <v/>
      </c>
      <c r="AG696" s="15" t="str">
        <f>IF(OR(AF696="",AF696="ERRO_CHAVE"),"",IFERROR(MATCH(AF696,'Quitados DUPP'!$U$1:$U$6635,0),""))</f>
        <v/>
      </c>
      <c r="AH696" s="15" t="str">
        <f t="shared" si="2"/>
        <v/>
      </c>
      <c r="AI696" s="17" t="str">
        <f>IF(AG696="","",INDEX('Quitados DUPP'!$G$1:$G$6635,AG696))</f>
        <v/>
      </c>
      <c r="AJ696" s="17" t="str">
        <f t="shared" si="3"/>
        <v/>
      </c>
    </row>
    <row r="697" spans="31:36">
      <c r="AE697" s="15" t="str">
        <f t="shared" si="0"/>
        <v/>
      </c>
      <c r="AF697" s="15" t="str">
        <f t="shared" si="1"/>
        <v/>
      </c>
      <c r="AG697" s="15" t="str">
        <f>IF(OR(AF697="",AF697="ERRO_CHAVE"),"",IFERROR(MATCH(AF697,'Quitados DUPP'!$U$1:$U$6635,0),""))</f>
        <v/>
      </c>
      <c r="AH697" s="15" t="str">
        <f t="shared" si="2"/>
        <v/>
      </c>
      <c r="AI697" s="17" t="str">
        <f>IF(AG697="","",INDEX('Quitados DUPP'!$G$1:$G$6635,AG697))</f>
        <v/>
      </c>
      <c r="AJ697" s="17" t="str">
        <f t="shared" si="3"/>
        <v/>
      </c>
    </row>
    <row r="698" spans="31:36">
      <c r="AE698" s="15" t="str">
        <f t="shared" si="0"/>
        <v/>
      </c>
      <c r="AF698" s="15" t="str">
        <f t="shared" si="1"/>
        <v/>
      </c>
      <c r="AG698" s="15" t="str">
        <f>IF(OR(AF698="",AF698="ERRO_CHAVE"),"",IFERROR(MATCH(AF698,'Quitados DUPP'!$U$1:$U$6635,0),""))</f>
        <v/>
      </c>
      <c r="AH698" s="15" t="str">
        <f t="shared" si="2"/>
        <v/>
      </c>
      <c r="AI698" s="17" t="str">
        <f>IF(AG698="","",INDEX('Quitados DUPP'!$G$1:$G$6635,AG698))</f>
        <v/>
      </c>
      <c r="AJ698" s="17" t="str">
        <f t="shared" si="3"/>
        <v/>
      </c>
    </row>
    <row r="699" spans="31:36">
      <c r="AE699" s="15" t="str">
        <f t="shared" si="0"/>
        <v/>
      </c>
      <c r="AF699" s="15" t="str">
        <f t="shared" si="1"/>
        <v/>
      </c>
      <c r="AG699" s="15" t="str">
        <f>IF(OR(AF699="",AF699="ERRO_CHAVE"),"",IFERROR(MATCH(AF699,'Quitados DUPP'!$U$1:$U$6635,0),""))</f>
        <v/>
      </c>
      <c r="AH699" s="15" t="str">
        <f t="shared" si="2"/>
        <v/>
      </c>
      <c r="AI699" s="17" t="str">
        <f>IF(AG699="","",INDEX('Quitados DUPP'!$G$1:$G$6635,AG699))</f>
        <v/>
      </c>
      <c r="AJ699" s="17" t="str">
        <f t="shared" si="3"/>
        <v/>
      </c>
    </row>
    <row r="700" spans="31:36">
      <c r="AE700" s="15" t="str">
        <f t="shared" si="0"/>
        <v/>
      </c>
      <c r="AF700" s="15" t="str">
        <f t="shared" si="1"/>
        <v/>
      </c>
      <c r="AG700" s="15" t="str">
        <f>IF(OR(AF700="",AF700="ERRO_CHAVE"),"",IFERROR(MATCH(AF700,'Quitados DUPP'!$U$1:$U$6635,0),""))</f>
        <v/>
      </c>
      <c r="AH700" s="15" t="str">
        <f t="shared" si="2"/>
        <v/>
      </c>
      <c r="AI700" s="17" t="str">
        <f>IF(AG700="","",INDEX('Quitados DUPP'!$G$1:$G$6635,AG700))</f>
        <v/>
      </c>
      <c r="AJ700" s="17" t="str">
        <f t="shared" si="3"/>
        <v/>
      </c>
    </row>
    <row r="701" spans="31:36">
      <c r="AE701" s="15" t="str">
        <f t="shared" si="0"/>
        <v/>
      </c>
      <c r="AF701" s="15" t="str">
        <f t="shared" si="1"/>
        <v/>
      </c>
      <c r="AG701" s="15" t="str">
        <f>IF(OR(AF701="",AF701="ERRO_CHAVE"),"",IFERROR(MATCH(AF701,'Quitados DUPP'!$U$1:$U$6635,0),""))</f>
        <v/>
      </c>
      <c r="AH701" s="15" t="str">
        <f t="shared" si="2"/>
        <v/>
      </c>
      <c r="AI701" s="17" t="str">
        <f>IF(AG701="","",INDEX('Quitados DUPP'!$G$1:$G$6635,AG701))</f>
        <v/>
      </c>
      <c r="AJ701" s="17" t="str">
        <f t="shared" si="3"/>
        <v/>
      </c>
    </row>
    <row r="702" spans="31:36">
      <c r="AE702" s="15" t="str">
        <f t="shared" si="0"/>
        <v/>
      </c>
      <c r="AF702" s="15" t="str">
        <f t="shared" si="1"/>
        <v/>
      </c>
      <c r="AG702" s="15" t="str">
        <f>IF(OR(AF702="",AF702="ERRO_CHAVE"),"",IFERROR(MATCH(AF702,'Quitados DUPP'!$U$1:$U$6635,0),""))</f>
        <v/>
      </c>
      <c r="AH702" s="15" t="str">
        <f t="shared" si="2"/>
        <v/>
      </c>
      <c r="AI702" s="17" t="str">
        <f>IF(AG702="","",INDEX('Quitados DUPP'!$G$1:$G$6635,AG702))</f>
        <v/>
      </c>
      <c r="AJ702" s="17" t="str">
        <f t="shared" si="3"/>
        <v/>
      </c>
    </row>
    <row r="703" spans="31:36">
      <c r="AE703" s="15" t="str">
        <f t="shared" si="0"/>
        <v/>
      </c>
      <c r="AF703" s="15" t="str">
        <f t="shared" si="1"/>
        <v/>
      </c>
      <c r="AG703" s="15" t="str">
        <f>IF(OR(AF703="",AF703="ERRO_CHAVE"),"",IFERROR(MATCH(AF703,'Quitados DUPP'!$U$1:$U$6635,0),""))</f>
        <v/>
      </c>
      <c r="AH703" s="15" t="str">
        <f t="shared" si="2"/>
        <v/>
      </c>
      <c r="AI703" s="17" t="str">
        <f>IF(AG703="","",INDEX('Quitados DUPP'!$G$1:$G$6635,AG703))</f>
        <v/>
      </c>
      <c r="AJ703" s="17" t="str">
        <f t="shared" si="3"/>
        <v/>
      </c>
    </row>
    <row r="704" spans="31:36">
      <c r="AE704" s="15" t="str">
        <f t="shared" si="0"/>
        <v/>
      </c>
      <c r="AF704" s="15" t="str">
        <f t="shared" si="1"/>
        <v/>
      </c>
      <c r="AG704" s="15" t="str">
        <f>IF(OR(AF704="",AF704="ERRO_CHAVE"),"",IFERROR(MATCH(AF704,'Quitados DUPP'!$U$1:$U$6635,0),""))</f>
        <v/>
      </c>
      <c r="AH704" s="15" t="str">
        <f t="shared" si="2"/>
        <v/>
      </c>
      <c r="AI704" s="17" t="str">
        <f>IF(AG704="","",INDEX('Quitados DUPP'!$G$1:$G$6635,AG704))</f>
        <v/>
      </c>
      <c r="AJ704" s="17" t="str">
        <f t="shared" si="3"/>
        <v/>
      </c>
    </row>
    <row r="705" spans="31:36">
      <c r="AE705" s="15" t="str">
        <f t="shared" si="0"/>
        <v/>
      </c>
      <c r="AF705" s="15" t="str">
        <f t="shared" si="1"/>
        <v/>
      </c>
      <c r="AG705" s="15" t="str">
        <f>IF(OR(AF705="",AF705="ERRO_CHAVE"),"",IFERROR(MATCH(AF705,'Quitados DUPP'!$U$1:$U$6635,0),""))</f>
        <v/>
      </c>
      <c r="AH705" s="15" t="str">
        <f t="shared" si="2"/>
        <v/>
      </c>
      <c r="AI705" s="17" t="str">
        <f>IF(AG705="","",INDEX('Quitados DUPP'!$G$1:$G$6635,AG705))</f>
        <v/>
      </c>
      <c r="AJ705" s="17" t="str">
        <f t="shared" si="3"/>
        <v/>
      </c>
    </row>
    <row r="706" spans="31:36">
      <c r="AE706" s="15" t="str">
        <f t="shared" si="0"/>
        <v/>
      </c>
      <c r="AF706" s="15" t="str">
        <f t="shared" si="1"/>
        <v/>
      </c>
      <c r="AG706" s="15" t="str">
        <f>IF(OR(AF706="",AF706="ERRO_CHAVE"),"",IFERROR(MATCH(AF706,'Quitados DUPP'!$U$1:$U$6635,0),""))</f>
        <v/>
      </c>
      <c r="AH706" s="15" t="str">
        <f t="shared" si="2"/>
        <v/>
      </c>
      <c r="AI706" s="17" t="str">
        <f>IF(AG706="","",INDEX('Quitados DUPP'!$G$1:$G$6635,AG706))</f>
        <v/>
      </c>
      <c r="AJ706" s="17" t="str">
        <f t="shared" si="3"/>
        <v/>
      </c>
    </row>
    <row r="707" spans="31:36">
      <c r="AE707" s="15" t="str">
        <f t="shared" si="0"/>
        <v/>
      </c>
      <c r="AF707" s="15" t="str">
        <f t="shared" si="1"/>
        <v/>
      </c>
      <c r="AG707" s="15" t="str">
        <f>IF(OR(AF707="",AF707="ERRO_CHAVE"),"",IFERROR(MATCH(AF707,'Quitados DUPP'!$U$1:$U$6635,0),""))</f>
        <v/>
      </c>
      <c r="AH707" s="15" t="str">
        <f t="shared" si="2"/>
        <v/>
      </c>
      <c r="AI707" s="17" t="str">
        <f>IF(AG707="","",INDEX('Quitados DUPP'!$G$1:$G$6635,AG707))</f>
        <v/>
      </c>
      <c r="AJ707" s="17" t="str">
        <f t="shared" si="3"/>
        <v/>
      </c>
    </row>
    <row r="708" spans="31:36">
      <c r="AE708" s="15" t="str">
        <f t="shared" si="0"/>
        <v/>
      </c>
      <c r="AF708" s="15" t="str">
        <f t="shared" si="1"/>
        <v/>
      </c>
      <c r="AG708" s="15" t="str">
        <f>IF(OR(AF708="",AF708="ERRO_CHAVE"),"",IFERROR(MATCH(AF708,'Quitados DUPP'!$U$1:$U$6635,0),""))</f>
        <v/>
      </c>
      <c r="AH708" s="15" t="str">
        <f t="shared" si="2"/>
        <v/>
      </c>
      <c r="AI708" s="17" t="str">
        <f>IF(AG708="","",INDEX('Quitados DUPP'!$G$1:$G$6635,AG708))</f>
        <v/>
      </c>
      <c r="AJ708" s="17" t="str">
        <f t="shared" si="3"/>
        <v/>
      </c>
    </row>
    <row r="709" spans="31:36">
      <c r="AE709" s="15" t="str">
        <f t="shared" si="0"/>
        <v/>
      </c>
      <c r="AF709" s="15" t="str">
        <f t="shared" si="1"/>
        <v/>
      </c>
      <c r="AG709" s="15" t="str">
        <f>IF(OR(AF709="",AF709="ERRO_CHAVE"),"",IFERROR(MATCH(AF709,'Quitados DUPP'!$U$1:$U$6635,0),""))</f>
        <v/>
      </c>
      <c r="AH709" s="15" t="str">
        <f t="shared" si="2"/>
        <v/>
      </c>
      <c r="AI709" s="17" t="str">
        <f>IF(AG709="","",INDEX('Quitados DUPP'!$G$1:$G$6635,AG709))</f>
        <v/>
      </c>
      <c r="AJ709" s="17" t="str">
        <f t="shared" si="3"/>
        <v/>
      </c>
    </row>
    <row r="710" spans="31:36">
      <c r="AE710" s="15" t="str">
        <f t="shared" si="0"/>
        <v/>
      </c>
      <c r="AF710" s="15" t="str">
        <f t="shared" si="1"/>
        <v/>
      </c>
      <c r="AG710" s="15" t="str">
        <f>IF(OR(AF710="",AF710="ERRO_CHAVE"),"",IFERROR(MATCH(AF710,'Quitados DUPP'!$U$1:$U$6635,0),""))</f>
        <v/>
      </c>
      <c r="AH710" s="15" t="str">
        <f t="shared" si="2"/>
        <v/>
      </c>
      <c r="AI710" s="17" t="str">
        <f>IF(AG710="","",INDEX('Quitados DUPP'!$G$1:$G$6635,AG710))</f>
        <v/>
      </c>
      <c r="AJ710" s="17" t="str">
        <f t="shared" si="3"/>
        <v/>
      </c>
    </row>
    <row r="711" spans="31:36">
      <c r="AE711" s="15" t="str">
        <f t="shared" si="0"/>
        <v/>
      </c>
      <c r="AF711" s="15" t="str">
        <f t="shared" si="1"/>
        <v/>
      </c>
      <c r="AG711" s="15" t="str">
        <f>IF(OR(AF711="",AF711="ERRO_CHAVE"),"",IFERROR(MATCH(AF711,'Quitados DUPP'!$U$1:$U$6635,0),""))</f>
        <v/>
      </c>
      <c r="AH711" s="15" t="str">
        <f t="shared" si="2"/>
        <v/>
      </c>
      <c r="AI711" s="17" t="str">
        <f>IF(AG711="","",INDEX('Quitados DUPP'!$G$1:$G$6635,AG711))</f>
        <v/>
      </c>
      <c r="AJ711" s="17" t="str">
        <f t="shared" si="3"/>
        <v/>
      </c>
    </row>
    <row r="712" spans="31:36">
      <c r="AE712" s="15" t="str">
        <f t="shared" si="0"/>
        <v/>
      </c>
      <c r="AF712" s="15" t="str">
        <f t="shared" si="1"/>
        <v/>
      </c>
      <c r="AG712" s="15" t="str">
        <f>IF(OR(AF712="",AF712="ERRO_CHAVE"),"",IFERROR(MATCH(AF712,'Quitados DUPP'!$U$1:$U$6635,0),""))</f>
        <v/>
      </c>
      <c r="AH712" s="15" t="str">
        <f t="shared" si="2"/>
        <v/>
      </c>
      <c r="AI712" s="17" t="str">
        <f>IF(AG712="","",INDEX('Quitados DUPP'!$G$1:$G$6635,AG712))</f>
        <v/>
      </c>
      <c r="AJ712" s="17" t="str">
        <f t="shared" si="3"/>
        <v/>
      </c>
    </row>
    <row r="713" spans="31:36">
      <c r="AE713" s="15" t="str">
        <f t="shared" si="0"/>
        <v/>
      </c>
      <c r="AF713" s="15" t="str">
        <f t="shared" si="1"/>
        <v/>
      </c>
      <c r="AG713" s="15" t="str">
        <f>IF(OR(AF713="",AF713="ERRO_CHAVE"),"",IFERROR(MATCH(AF713,'Quitados DUPP'!$U$1:$U$6635,0),""))</f>
        <v/>
      </c>
      <c r="AH713" s="15" t="str">
        <f t="shared" si="2"/>
        <v/>
      </c>
      <c r="AI713" s="17" t="str">
        <f>IF(AG713="","",INDEX('Quitados DUPP'!$G$1:$G$6635,AG713))</f>
        <v/>
      </c>
      <c r="AJ713" s="17" t="str">
        <f t="shared" si="3"/>
        <v/>
      </c>
    </row>
    <row r="714" spans="31:36">
      <c r="AE714" s="15" t="str">
        <f t="shared" si="0"/>
        <v/>
      </c>
      <c r="AF714" s="15" t="str">
        <f t="shared" si="1"/>
        <v/>
      </c>
      <c r="AG714" s="15" t="str">
        <f>IF(OR(AF714="",AF714="ERRO_CHAVE"),"",IFERROR(MATCH(AF714,'Quitados DUPP'!$U$1:$U$6635,0),""))</f>
        <v/>
      </c>
      <c r="AH714" s="15" t="str">
        <f t="shared" si="2"/>
        <v/>
      </c>
      <c r="AI714" s="17" t="str">
        <f>IF(AG714="","",INDEX('Quitados DUPP'!$G$1:$G$6635,AG714))</f>
        <v/>
      </c>
      <c r="AJ714" s="17" t="str">
        <f t="shared" si="3"/>
        <v/>
      </c>
    </row>
    <row r="715" spans="31:36">
      <c r="AE715" s="15" t="str">
        <f t="shared" si="0"/>
        <v/>
      </c>
      <c r="AF715" s="15" t="str">
        <f t="shared" si="1"/>
        <v/>
      </c>
      <c r="AG715" s="15" t="str">
        <f>IF(OR(AF715="",AF715="ERRO_CHAVE"),"",IFERROR(MATCH(AF715,'Quitados DUPP'!$U$1:$U$6635,0),""))</f>
        <v/>
      </c>
      <c r="AH715" s="15" t="str">
        <f t="shared" si="2"/>
        <v/>
      </c>
      <c r="AI715" s="17" t="str">
        <f>IF(AG715="","",INDEX('Quitados DUPP'!$G$1:$G$6635,AG715))</f>
        <v/>
      </c>
      <c r="AJ715" s="17" t="str">
        <f t="shared" si="3"/>
        <v/>
      </c>
    </row>
    <row r="716" spans="31:36">
      <c r="AE716" s="15" t="str">
        <f t="shared" si="0"/>
        <v/>
      </c>
      <c r="AF716" s="15" t="str">
        <f t="shared" si="1"/>
        <v/>
      </c>
      <c r="AG716" s="15" t="str">
        <f>IF(OR(AF716="",AF716="ERRO_CHAVE"),"",IFERROR(MATCH(AF716,'Quitados DUPP'!$U$1:$U$6635,0),""))</f>
        <v/>
      </c>
      <c r="AH716" s="15" t="str">
        <f t="shared" si="2"/>
        <v/>
      </c>
      <c r="AI716" s="17" t="str">
        <f>IF(AG716="","",INDEX('Quitados DUPP'!$G$1:$G$6635,AG716))</f>
        <v/>
      </c>
      <c r="AJ716" s="17" t="str">
        <f t="shared" si="3"/>
        <v/>
      </c>
    </row>
    <row r="717" spans="31:36">
      <c r="AE717" s="15" t="str">
        <f t="shared" si="0"/>
        <v/>
      </c>
      <c r="AF717" s="15" t="str">
        <f t="shared" si="1"/>
        <v/>
      </c>
      <c r="AG717" s="15" t="str">
        <f>IF(OR(AF717="",AF717="ERRO_CHAVE"),"",IFERROR(MATCH(AF717,'Quitados DUPP'!$U$1:$U$6635,0),""))</f>
        <v/>
      </c>
      <c r="AH717" s="15" t="str">
        <f t="shared" si="2"/>
        <v/>
      </c>
      <c r="AI717" s="17" t="str">
        <f>IF(AG717="","",INDEX('Quitados DUPP'!$G$1:$G$6635,AG717))</f>
        <v/>
      </c>
      <c r="AJ717" s="17" t="str">
        <f t="shared" si="3"/>
        <v/>
      </c>
    </row>
    <row r="718" spans="31:36">
      <c r="AE718" s="15" t="str">
        <f t="shared" si="0"/>
        <v/>
      </c>
      <c r="AF718" s="15" t="str">
        <f t="shared" si="1"/>
        <v/>
      </c>
      <c r="AG718" s="15" t="str">
        <f>IF(OR(AF718="",AF718="ERRO_CHAVE"),"",IFERROR(MATCH(AF718,'Quitados DUPP'!$U$1:$U$6635,0),""))</f>
        <v/>
      </c>
      <c r="AH718" s="15" t="str">
        <f t="shared" si="2"/>
        <v/>
      </c>
      <c r="AI718" s="17" t="str">
        <f>IF(AG718="","",INDEX('Quitados DUPP'!$G$1:$G$6635,AG718))</f>
        <v/>
      </c>
      <c r="AJ718" s="17" t="str">
        <f t="shared" si="3"/>
        <v/>
      </c>
    </row>
    <row r="719" spans="31:36">
      <c r="AE719" s="15" t="str">
        <f t="shared" si="0"/>
        <v/>
      </c>
      <c r="AF719" s="15" t="str">
        <f t="shared" si="1"/>
        <v/>
      </c>
      <c r="AG719" s="15" t="str">
        <f>IF(OR(AF719="",AF719="ERRO_CHAVE"),"",IFERROR(MATCH(AF719,'Quitados DUPP'!$U$1:$U$6635,0),""))</f>
        <v/>
      </c>
      <c r="AH719" s="15" t="str">
        <f t="shared" si="2"/>
        <v/>
      </c>
      <c r="AI719" s="17" t="str">
        <f>IF(AG719="","",INDEX('Quitados DUPP'!$G$1:$G$6635,AG719))</f>
        <v/>
      </c>
      <c r="AJ719" s="17" t="str">
        <f t="shared" si="3"/>
        <v/>
      </c>
    </row>
    <row r="720" spans="31:36">
      <c r="AE720" s="15" t="str">
        <f t="shared" si="0"/>
        <v/>
      </c>
      <c r="AF720" s="15" t="str">
        <f t="shared" si="1"/>
        <v/>
      </c>
      <c r="AG720" s="15" t="str">
        <f>IF(OR(AF720="",AF720="ERRO_CHAVE"),"",IFERROR(MATCH(AF720,'Quitados DUPP'!$U$1:$U$6635,0),""))</f>
        <v/>
      </c>
      <c r="AH720" s="15" t="str">
        <f t="shared" si="2"/>
        <v/>
      </c>
      <c r="AI720" s="17" t="str">
        <f>IF(AG720="","",INDEX('Quitados DUPP'!$G$1:$G$6635,AG720))</f>
        <v/>
      </c>
      <c r="AJ720" s="17" t="str">
        <f t="shared" si="3"/>
        <v/>
      </c>
    </row>
    <row r="721" spans="31:36">
      <c r="AE721" s="15" t="str">
        <f t="shared" si="0"/>
        <v/>
      </c>
      <c r="AF721" s="15" t="str">
        <f t="shared" si="1"/>
        <v/>
      </c>
      <c r="AG721" s="15" t="str">
        <f>IF(OR(AF721="",AF721="ERRO_CHAVE"),"",IFERROR(MATCH(AF721,'Quitados DUPP'!$U$1:$U$6635,0),""))</f>
        <v/>
      </c>
      <c r="AH721" s="15" t="str">
        <f t="shared" si="2"/>
        <v/>
      </c>
      <c r="AI721" s="17" t="str">
        <f>IF(AG721="","",INDEX('Quitados DUPP'!$G$1:$G$6635,AG721))</f>
        <v/>
      </c>
      <c r="AJ721" s="17" t="str">
        <f t="shared" si="3"/>
        <v/>
      </c>
    </row>
    <row r="722" spans="31:36">
      <c r="AE722" s="15" t="str">
        <f t="shared" si="0"/>
        <v/>
      </c>
      <c r="AF722" s="15" t="str">
        <f t="shared" si="1"/>
        <v/>
      </c>
      <c r="AG722" s="15" t="str">
        <f>IF(OR(AF722="",AF722="ERRO_CHAVE"),"",IFERROR(MATCH(AF722,'Quitados DUPP'!$U$1:$U$6635,0),""))</f>
        <v/>
      </c>
      <c r="AH722" s="15" t="str">
        <f t="shared" si="2"/>
        <v/>
      </c>
      <c r="AI722" s="17" t="str">
        <f>IF(AG722="","",INDEX('Quitados DUPP'!$G$1:$G$6635,AG722))</f>
        <v/>
      </c>
      <c r="AJ722" s="17" t="str">
        <f t="shared" si="3"/>
        <v/>
      </c>
    </row>
    <row r="723" spans="31:36">
      <c r="AE723" s="15" t="str">
        <f t="shared" si="0"/>
        <v/>
      </c>
      <c r="AF723" s="15" t="str">
        <f t="shared" si="1"/>
        <v/>
      </c>
      <c r="AG723" s="15" t="str">
        <f>IF(OR(AF723="",AF723="ERRO_CHAVE"),"",IFERROR(MATCH(AF723,'Quitados DUPP'!$U$1:$U$6635,0),""))</f>
        <v/>
      </c>
      <c r="AH723" s="15" t="str">
        <f t="shared" si="2"/>
        <v/>
      </c>
      <c r="AI723" s="17" t="str">
        <f>IF(AG723="","",INDEX('Quitados DUPP'!$G$1:$G$6635,AG723))</f>
        <v/>
      </c>
      <c r="AJ723" s="17" t="str">
        <f t="shared" si="3"/>
        <v/>
      </c>
    </row>
    <row r="724" spans="31:36">
      <c r="AE724" s="15" t="str">
        <f t="shared" si="0"/>
        <v/>
      </c>
      <c r="AF724" s="15" t="str">
        <f t="shared" si="1"/>
        <v/>
      </c>
      <c r="AG724" s="15" t="str">
        <f>IF(OR(AF724="",AF724="ERRO_CHAVE"),"",IFERROR(MATCH(AF724,'Quitados DUPP'!$U$1:$U$6635,0),""))</f>
        <v/>
      </c>
      <c r="AH724" s="15" t="str">
        <f t="shared" si="2"/>
        <v/>
      </c>
      <c r="AI724" s="17" t="str">
        <f>IF(AG724="","",INDEX('Quitados DUPP'!$G$1:$G$6635,AG724))</f>
        <v/>
      </c>
      <c r="AJ724" s="17" t="str">
        <f t="shared" si="3"/>
        <v/>
      </c>
    </row>
    <row r="725" spans="31:36">
      <c r="AE725" s="15" t="str">
        <f t="shared" si="0"/>
        <v/>
      </c>
      <c r="AF725" s="15" t="str">
        <f t="shared" si="1"/>
        <v/>
      </c>
      <c r="AG725" s="15" t="str">
        <f>IF(OR(AF725="",AF725="ERRO_CHAVE"),"",IFERROR(MATCH(AF725,'Quitados DUPP'!$U$1:$U$6635,0),""))</f>
        <v/>
      </c>
      <c r="AH725" s="15" t="str">
        <f t="shared" si="2"/>
        <v/>
      </c>
      <c r="AI725" s="17" t="str">
        <f>IF(AG725="","",INDEX('Quitados DUPP'!$G$1:$G$6635,AG725))</f>
        <v/>
      </c>
      <c r="AJ725" s="17" t="str">
        <f t="shared" si="3"/>
        <v/>
      </c>
    </row>
    <row r="726" spans="31:36">
      <c r="AE726" s="15" t="str">
        <f t="shared" si="0"/>
        <v/>
      </c>
      <c r="AF726" s="15" t="str">
        <f t="shared" si="1"/>
        <v/>
      </c>
      <c r="AG726" s="15" t="str">
        <f>IF(OR(AF726="",AF726="ERRO_CHAVE"),"",IFERROR(MATCH(AF726,'Quitados DUPP'!$U$1:$U$6635,0),""))</f>
        <v/>
      </c>
      <c r="AH726" s="15" t="str">
        <f t="shared" si="2"/>
        <v/>
      </c>
      <c r="AI726" s="17" t="str">
        <f>IF(AG726="","",INDEX('Quitados DUPP'!$G$1:$G$6635,AG726))</f>
        <v/>
      </c>
      <c r="AJ726" s="17" t="str">
        <f t="shared" si="3"/>
        <v/>
      </c>
    </row>
    <row r="727" spans="31:36">
      <c r="AE727" s="15" t="str">
        <f t="shared" si="0"/>
        <v/>
      </c>
      <c r="AF727" s="15" t="str">
        <f t="shared" si="1"/>
        <v/>
      </c>
      <c r="AG727" s="15" t="str">
        <f>IF(OR(AF727="",AF727="ERRO_CHAVE"),"",IFERROR(MATCH(AF727,'Quitados DUPP'!$U$1:$U$6635,0),""))</f>
        <v/>
      </c>
      <c r="AH727" s="15" t="str">
        <f t="shared" si="2"/>
        <v/>
      </c>
      <c r="AI727" s="17" t="str">
        <f>IF(AG727="","",INDEX('Quitados DUPP'!$G$1:$G$6635,AG727))</f>
        <v/>
      </c>
      <c r="AJ727" s="17" t="str">
        <f t="shared" si="3"/>
        <v/>
      </c>
    </row>
    <row r="728" spans="31:36">
      <c r="AE728" s="15" t="str">
        <f t="shared" si="0"/>
        <v/>
      </c>
      <c r="AF728" s="15" t="str">
        <f t="shared" si="1"/>
        <v/>
      </c>
      <c r="AG728" s="15" t="str">
        <f>IF(OR(AF728="",AF728="ERRO_CHAVE"),"",IFERROR(MATCH(AF728,'Quitados DUPP'!$U$1:$U$6635,0),""))</f>
        <v/>
      </c>
      <c r="AH728" s="15" t="str">
        <f t="shared" si="2"/>
        <v/>
      </c>
      <c r="AI728" s="17" t="str">
        <f>IF(AG728="","",INDEX('Quitados DUPP'!$G$1:$G$6635,AG728))</f>
        <v/>
      </c>
      <c r="AJ728" s="17" t="str">
        <f t="shared" si="3"/>
        <v/>
      </c>
    </row>
    <row r="729" spans="31:36">
      <c r="AE729" s="15" t="str">
        <f t="shared" si="0"/>
        <v/>
      </c>
      <c r="AF729" s="15" t="str">
        <f t="shared" si="1"/>
        <v/>
      </c>
      <c r="AG729" s="15" t="str">
        <f>IF(OR(AF729="",AF729="ERRO_CHAVE"),"",IFERROR(MATCH(AF729,'Quitados DUPP'!$U$1:$U$6635,0),""))</f>
        <v/>
      </c>
      <c r="AH729" s="15" t="str">
        <f t="shared" si="2"/>
        <v/>
      </c>
      <c r="AI729" s="17" t="str">
        <f>IF(AG729="","",INDEX('Quitados DUPP'!$G$1:$G$6635,AG729))</f>
        <v/>
      </c>
      <c r="AJ729" s="17" t="str">
        <f t="shared" si="3"/>
        <v/>
      </c>
    </row>
    <row r="730" spans="31:36">
      <c r="AE730" s="15" t="str">
        <f t="shared" si="0"/>
        <v/>
      </c>
      <c r="AF730" s="15" t="str">
        <f t="shared" si="1"/>
        <v/>
      </c>
      <c r="AG730" s="15" t="str">
        <f>IF(OR(AF730="",AF730="ERRO_CHAVE"),"",IFERROR(MATCH(AF730,'Quitados DUPP'!$U$1:$U$6635,0),""))</f>
        <v/>
      </c>
      <c r="AH730" s="15" t="str">
        <f t="shared" si="2"/>
        <v/>
      </c>
      <c r="AI730" s="17" t="str">
        <f>IF(AG730="","",INDEX('Quitados DUPP'!$G$1:$G$6635,AG730))</f>
        <v/>
      </c>
      <c r="AJ730" s="17" t="str">
        <f t="shared" si="3"/>
        <v/>
      </c>
    </row>
    <row r="731" spans="31:36">
      <c r="AE731" s="15" t="str">
        <f t="shared" si="0"/>
        <v/>
      </c>
      <c r="AF731" s="15" t="str">
        <f t="shared" si="1"/>
        <v/>
      </c>
      <c r="AG731" s="15" t="str">
        <f>IF(OR(AF731="",AF731="ERRO_CHAVE"),"",IFERROR(MATCH(AF731,'Quitados DUPP'!$U$1:$U$6635,0),""))</f>
        <v/>
      </c>
      <c r="AH731" s="15" t="str">
        <f t="shared" si="2"/>
        <v/>
      </c>
      <c r="AI731" s="17" t="str">
        <f>IF(AG731="","",INDEX('Quitados DUPP'!$G$1:$G$6635,AG731))</f>
        <v/>
      </c>
      <c r="AJ731" s="17" t="str">
        <f t="shared" si="3"/>
        <v/>
      </c>
    </row>
    <row r="732" spans="31:36">
      <c r="AE732" s="15" t="str">
        <f t="shared" si="0"/>
        <v/>
      </c>
      <c r="AF732" s="15" t="str">
        <f t="shared" si="1"/>
        <v/>
      </c>
      <c r="AG732" s="15" t="str">
        <f>IF(OR(AF732="",AF732="ERRO_CHAVE"),"",IFERROR(MATCH(AF732,'Quitados DUPP'!$U$1:$U$6635,0),""))</f>
        <v/>
      </c>
      <c r="AH732" s="15" t="str">
        <f t="shared" si="2"/>
        <v/>
      </c>
      <c r="AI732" s="17" t="str">
        <f>IF(AG732="","",INDEX('Quitados DUPP'!$G$1:$G$6635,AG732))</f>
        <v/>
      </c>
      <c r="AJ732" s="17" t="str">
        <f t="shared" si="3"/>
        <v/>
      </c>
    </row>
    <row r="733" spans="31:36">
      <c r="AE733" s="15" t="str">
        <f t="shared" si="0"/>
        <v/>
      </c>
      <c r="AF733" s="15" t="str">
        <f t="shared" si="1"/>
        <v/>
      </c>
      <c r="AG733" s="15" t="str">
        <f>IF(OR(AF733="",AF733="ERRO_CHAVE"),"",IFERROR(MATCH(AF733,'Quitados DUPP'!$U$1:$U$6635,0),""))</f>
        <v/>
      </c>
      <c r="AH733" s="15" t="str">
        <f t="shared" si="2"/>
        <v/>
      </c>
      <c r="AI733" s="17" t="str">
        <f>IF(AG733="","",INDEX('Quitados DUPP'!$G$1:$G$6635,AG733))</f>
        <v/>
      </c>
      <c r="AJ733" s="17" t="str">
        <f t="shared" si="3"/>
        <v/>
      </c>
    </row>
    <row r="734" spans="31:36">
      <c r="AE734" s="15" t="str">
        <f t="shared" si="0"/>
        <v/>
      </c>
      <c r="AF734" s="15" t="str">
        <f t="shared" si="1"/>
        <v/>
      </c>
      <c r="AG734" s="15" t="str">
        <f>IF(OR(AF734="",AF734="ERRO_CHAVE"),"",IFERROR(MATCH(AF734,'Quitados DUPP'!$U$1:$U$6635,0),""))</f>
        <v/>
      </c>
      <c r="AH734" s="15" t="str">
        <f t="shared" si="2"/>
        <v/>
      </c>
      <c r="AI734" s="17" t="str">
        <f>IF(AG734="","",INDEX('Quitados DUPP'!$G$1:$G$6635,AG734))</f>
        <v/>
      </c>
      <c r="AJ734" s="17" t="str">
        <f t="shared" si="3"/>
        <v/>
      </c>
    </row>
    <row r="735" spans="31:36">
      <c r="AE735" s="15" t="str">
        <f t="shared" si="0"/>
        <v/>
      </c>
      <c r="AF735" s="15" t="str">
        <f t="shared" si="1"/>
        <v/>
      </c>
      <c r="AG735" s="15" t="str">
        <f>IF(OR(AF735="",AF735="ERRO_CHAVE"),"",IFERROR(MATCH(AF735,'Quitados DUPP'!$U$1:$U$6635,0),""))</f>
        <v/>
      </c>
      <c r="AH735" s="15" t="str">
        <f t="shared" si="2"/>
        <v/>
      </c>
      <c r="AI735" s="17" t="str">
        <f>IF(AG735="","",INDEX('Quitados DUPP'!$G$1:$G$6635,AG735))</f>
        <v/>
      </c>
      <c r="AJ735" s="17" t="str">
        <f t="shared" si="3"/>
        <v/>
      </c>
    </row>
    <row r="736" spans="31:36">
      <c r="AE736" s="15" t="str">
        <f t="shared" si="0"/>
        <v/>
      </c>
      <c r="AF736" s="15" t="str">
        <f t="shared" si="1"/>
        <v/>
      </c>
      <c r="AG736" s="15" t="str">
        <f>IF(OR(AF736="",AF736="ERRO_CHAVE"),"",IFERROR(MATCH(AF736,'Quitados DUPP'!$U$1:$U$6635,0),""))</f>
        <v/>
      </c>
      <c r="AH736" s="15" t="str">
        <f t="shared" si="2"/>
        <v/>
      </c>
      <c r="AI736" s="17" t="str">
        <f>IF(AG736="","",INDEX('Quitados DUPP'!$G$1:$G$6635,AG736))</f>
        <v/>
      </c>
      <c r="AJ736" s="17" t="str">
        <f t="shared" si="3"/>
        <v/>
      </c>
    </row>
    <row r="737" spans="31:36">
      <c r="AE737" s="15" t="str">
        <f t="shared" si="0"/>
        <v/>
      </c>
      <c r="AF737" s="15" t="str">
        <f t="shared" si="1"/>
        <v/>
      </c>
      <c r="AG737" s="15" t="str">
        <f>IF(OR(AF737="",AF737="ERRO_CHAVE"),"",IFERROR(MATCH(AF737,'Quitados DUPP'!$U$1:$U$6635,0),""))</f>
        <v/>
      </c>
      <c r="AH737" s="15" t="str">
        <f t="shared" si="2"/>
        <v/>
      </c>
      <c r="AI737" s="17" t="str">
        <f>IF(AG737="","",INDEX('Quitados DUPP'!$G$1:$G$6635,AG737))</f>
        <v/>
      </c>
      <c r="AJ737" s="17" t="str">
        <f t="shared" si="3"/>
        <v/>
      </c>
    </row>
    <row r="738" spans="31:36">
      <c r="AE738" s="15" t="str">
        <f t="shared" si="0"/>
        <v/>
      </c>
      <c r="AF738" s="15" t="str">
        <f t="shared" si="1"/>
        <v/>
      </c>
      <c r="AG738" s="15" t="str">
        <f>IF(OR(AF738="",AF738="ERRO_CHAVE"),"",IFERROR(MATCH(AF738,'Quitados DUPP'!$U$1:$U$6635,0),""))</f>
        <v/>
      </c>
      <c r="AH738" s="15" t="str">
        <f t="shared" si="2"/>
        <v/>
      </c>
      <c r="AI738" s="17" t="str">
        <f>IF(AG738="","",INDEX('Quitados DUPP'!$G$1:$G$6635,AG738))</f>
        <v/>
      </c>
      <c r="AJ738" s="17" t="str">
        <f t="shared" si="3"/>
        <v/>
      </c>
    </row>
    <row r="739" spans="31:36">
      <c r="AE739" s="15" t="str">
        <f t="shared" si="0"/>
        <v/>
      </c>
      <c r="AF739" s="15" t="str">
        <f t="shared" si="1"/>
        <v/>
      </c>
      <c r="AG739" s="15" t="str">
        <f>IF(OR(AF739="",AF739="ERRO_CHAVE"),"",IFERROR(MATCH(AF739,'Quitados DUPP'!$U$1:$U$6635,0),""))</f>
        <v/>
      </c>
      <c r="AH739" s="15" t="str">
        <f t="shared" si="2"/>
        <v/>
      </c>
      <c r="AI739" s="17" t="str">
        <f>IF(AG739="","",INDEX('Quitados DUPP'!$G$1:$G$6635,AG739))</f>
        <v/>
      </c>
      <c r="AJ739" s="17" t="str">
        <f t="shared" si="3"/>
        <v/>
      </c>
    </row>
    <row r="740" spans="31:36">
      <c r="AE740" s="15" t="str">
        <f t="shared" si="0"/>
        <v/>
      </c>
      <c r="AF740" s="15" t="str">
        <f t="shared" si="1"/>
        <v/>
      </c>
      <c r="AG740" s="15" t="str">
        <f>IF(OR(AF740="",AF740="ERRO_CHAVE"),"",IFERROR(MATCH(AF740,'Quitados DUPP'!$U$1:$U$6635,0),""))</f>
        <v/>
      </c>
      <c r="AH740" s="15" t="str">
        <f t="shared" si="2"/>
        <v/>
      </c>
      <c r="AI740" s="17" t="str">
        <f>IF(AG740="","",INDEX('Quitados DUPP'!$G$1:$G$6635,AG740))</f>
        <v/>
      </c>
      <c r="AJ740" s="17" t="str">
        <f t="shared" si="3"/>
        <v/>
      </c>
    </row>
    <row r="741" spans="31:36">
      <c r="AE741" s="15" t="str">
        <f t="shared" si="0"/>
        <v/>
      </c>
      <c r="AF741" s="15" t="str">
        <f t="shared" si="1"/>
        <v/>
      </c>
      <c r="AG741" s="15" t="str">
        <f>IF(OR(AF741="",AF741="ERRO_CHAVE"),"",IFERROR(MATCH(AF741,'Quitados DUPP'!$U$1:$U$6635,0),""))</f>
        <v/>
      </c>
      <c r="AH741" s="15" t="str">
        <f t="shared" si="2"/>
        <v/>
      </c>
      <c r="AI741" s="17" t="str">
        <f>IF(AG741="","",INDEX('Quitados DUPP'!$G$1:$G$6635,AG741))</f>
        <v/>
      </c>
      <c r="AJ741" s="17" t="str">
        <f t="shared" si="3"/>
        <v/>
      </c>
    </row>
    <row r="742" spans="31:36">
      <c r="AE742" s="15" t="str">
        <f t="shared" si="0"/>
        <v/>
      </c>
      <c r="AF742" s="15" t="str">
        <f t="shared" si="1"/>
        <v/>
      </c>
      <c r="AG742" s="15" t="str">
        <f>IF(OR(AF742="",AF742="ERRO_CHAVE"),"",IFERROR(MATCH(AF742,'Quitados DUPP'!$U$1:$U$6635,0),""))</f>
        <v/>
      </c>
      <c r="AH742" s="15" t="str">
        <f t="shared" si="2"/>
        <v/>
      </c>
      <c r="AI742" s="17" t="str">
        <f>IF(AG742="","",INDEX('Quitados DUPP'!$G$1:$G$6635,AG742))</f>
        <v/>
      </c>
      <c r="AJ742" s="17" t="str">
        <f t="shared" si="3"/>
        <v/>
      </c>
    </row>
    <row r="743" spans="31:36">
      <c r="AE743" s="15" t="str">
        <f t="shared" si="0"/>
        <v/>
      </c>
      <c r="AF743" s="15" t="str">
        <f t="shared" si="1"/>
        <v/>
      </c>
      <c r="AG743" s="15" t="str">
        <f>IF(OR(AF743="",AF743="ERRO_CHAVE"),"",IFERROR(MATCH(AF743,'Quitados DUPP'!$U$1:$U$6635,0),""))</f>
        <v/>
      </c>
      <c r="AH743" s="15" t="str">
        <f t="shared" si="2"/>
        <v/>
      </c>
      <c r="AI743" s="17" t="str">
        <f>IF(AG743="","",INDEX('Quitados DUPP'!$G$1:$G$6635,AG743))</f>
        <v/>
      </c>
      <c r="AJ743" s="17" t="str">
        <f t="shared" si="3"/>
        <v/>
      </c>
    </row>
    <row r="744" spans="31:36">
      <c r="AE744" s="15" t="str">
        <f t="shared" si="0"/>
        <v/>
      </c>
      <c r="AF744" s="15" t="str">
        <f t="shared" si="1"/>
        <v/>
      </c>
      <c r="AG744" s="15" t="str">
        <f>IF(OR(AF744="",AF744="ERRO_CHAVE"),"",IFERROR(MATCH(AF744,'Quitados DUPP'!$U$1:$U$6635,0),""))</f>
        <v/>
      </c>
      <c r="AH744" s="15" t="str">
        <f t="shared" si="2"/>
        <v/>
      </c>
      <c r="AI744" s="17" t="str">
        <f>IF(AG744="","",INDEX('Quitados DUPP'!$G$1:$G$6635,AG744))</f>
        <v/>
      </c>
      <c r="AJ744" s="17" t="str">
        <f t="shared" si="3"/>
        <v/>
      </c>
    </row>
    <row r="745" spans="31:36">
      <c r="AE745" s="15" t="str">
        <f t="shared" si="0"/>
        <v/>
      </c>
      <c r="AF745" s="15" t="str">
        <f t="shared" si="1"/>
        <v/>
      </c>
      <c r="AG745" s="15" t="str">
        <f>IF(OR(AF745="",AF745="ERRO_CHAVE"),"",IFERROR(MATCH(AF745,'Quitados DUPP'!$U$1:$U$6635,0),""))</f>
        <v/>
      </c>
      <c r="AH745" s="15" t="str">
        <f t="shared" si="2"/>
        <v/>
      </c>
      <c r="AI745" s="17" t="str">
        <f>IF(AG745="","",INDEX('Quitados DUPP'!$G$1:$G$6635,AG745))</f>
        <v/>
      </c>
      <c r="AJ745" s="17" t="str">
        <f t="shared" si="3"/>
        <v/>
      </c>
    </row>
    <row r="746" spans="31:36">
      <c r="AE746" s="15" t="str">
        <f t="shared" si="0"/>
        <v/>
      </c>
      <c r="AF746" s="15" t="str">
        <f t="shared" si="1"/>
        <v/>
      </c>
      <c r="AG746" s="15" t="str">
        <f>IF(OR(AF746="",AF746="ERRO_CHAVE"),"",IFERROR(MATCH(AF746,'Quitados DUPP'!$U$1:$U$6635,0),""))</f>
        <v/>
      </c>
      <c r="AH746" s="15" t="str">
        <f t="shared" si="2"/>
        <v/>
      </c>
      <c r="AI746" s="17" t="str">
        <f>IF(AG746="","",INDEX('Quitados DUPP'!$G$1:$G$6635,AG746))</f>
        <v/>
      </c>
      <c r="AJ746" s="17" t="str">
        <f t="shared" si="3"/>
        <v/>
      </c>
    </row>
    <row r="747" spans="31:36">
      <c r="AE747" s="15" t="str">
        <f t="shared" si="0"/>
        <v/>
      </c>
      <c r="AF747" s="15" t="str">
        <f t="shared" si="1"/>
        <v/>
      </c>
      <c r="AG747" s="15" t="str">
        <f>IF(OR(AF747="",AF747="ERRO_CHAVE"),"",IFERROR(MATCH(AF747,'Quitados DUPP'!$U$1:$U$6635,0),""))</f>
        <v/>
      </c>
      <c r="AH747" s="15" t="str">
        <f t="shared" si="2"/>
        <v/>
      </c>
      <c r="AI747" s="17" t="str">
        <f>IF(AG747="","",INDEX('Quitados DUPP'!$G$1:$G$6635,AG747))</f>
        <v/>
      </c>
      <c r="AJ747" s="17" t="str">
        <f t="shared" si="3"/>
        <v/>
      </c>
    </row>
    <row r="748" spans="31:36">
      <c r="AE748" s="15" t="str">
        <f t="shared" si="0"/>
        <v/>
      </c>
      <c r="AF748" s="15" t="str">
        <f t="shared" si="1"/>
        <v/>
      </c>
      <c r="AG748" s="15" t="str">
        <f>IF(OR(AF748="",AF748="ERRO_CHAVE"),"",IFERROR(MATCH(AF748,'Quitados DUPP'!$U$1:$U$6635,0),""))</f>
        <v/>
      </c>
      <c r="AH748" s="15" t="str">
        <f t="shared" si="2"/>
        <v/>
      </c>
      <c r="AI748" s="17" t="str">
        <f>IF(AG748="","",INDEX('Quitados DUPP'!$G$1:$G$6635,AG748))</f>
        <v/>
      </c>
      <c r="AJ748" s="17" t="str">
        <f t="shared" si="3"/>
        <v/>
      </c>
    </row>
    <row r="749" spans="31:36">
      <c r="AE749" s="15" t="str">
        <f t="shared" si="0"/>
        <v/>
      </c>
      <c r="AF749" s="15" t="str">
        <f t="shared" si="1"/>
        <v/>
      </c>
      <c r="AG749" s="15" t="str">
        <f>IF(OR(AF749="",AF749="ERRO_CHAVE"),"",IFERROR(MATCH(AF749,'Quitados DUPP'!$U$1:$U$6635,0),""))</f>
        <v/>
      </c>
      <c r="AH749" s="15" t="str">
        <f t="shared" si="2"/>
        <v/>
      </c>
      <c r="AI749" s="17" t="str">
        <f>IF(AG749="","",INDEX('Quitados DUPP'!$G$1:$G$6635,AG749))</f>
        <v/>
      </c>
      <c r="AJ749" s="17" t="str">
        <f t="shared" si="3"/>
        <v/>
      </c>
    </row>
    <row r="750" spans="31:36">
      <c r="AE750" s="15" t="str">
        <f t="shared" si="0"/>
        <v/>
      </c>
      <c r="AF750" s="15" t="str">
        <f t="shared" si="1"/>
        <v/>
      </c>
      <c r="AG750" s="15" t="str">
        <f>IF(OR(AF750="",AF750="ERRO_CHAVE"),"",IFERROR(MATCH(AF750,'Quitados DUPP'!$U$1:$U$6635,0),""))</f>
        <v/>
      </c>
      <c r="AH750" s="15" t="str">
        <f t="shared" si="2"/>
        <v/>
      </c>
      <c r="AI750" s="17" t="str">
        <f>IF(AG750="","",INDEX('Quitados DUPP'!$G$1:$G$6635,AG750))</f>
        <v/>
      </c>
      <c r="AJ750" s="17" t="str">
        <f t="shared" si="3"/>
        <v/>
      </c>
    </row>
    <row r="751" spans="31:36">
      <c r="AE751" s="15" t="str">
        <f t="shared" si="0"/>
        <v/>
      </c>
      <c r="AF751" s="15" t="str">
        <f t="shared" si="1"/>
        <v/>
      </c>
      <c r="AG751" s="15" t="str">
        <f>IF(OR(AF751="",AF751="ERRO_CHAVE"),"",IFERROR(MATCH(AF751,'Quitados DUPP'!$U$1:$U$6635,0),""))</f>
        <v/>
      </c>
      <c r="AH751" s="15" t="str">
        <f t="shared" si="2"/>
        <v/>
      </c>
      <c r="AI751" s="17" t="str">
        <f>IF(AG751="","",INDEX('Quitados DUPP'!$G$1:$G$6635,AG751))</f>
        <v/>
      </c>
      <c r="AJ751" s="17" t="str">
        <f t="shared" si="3"/>
        <v/>
      </c>
    </row>
    <row r="752" spans="31:36">
      <c r="AE752" s="15" t="str">
        <f t="shared" si="0"/>
        <v/>
      </c>
      <c r="AF752" s="15" t="str">
        <f t="shared" si="1"/>
        <v/>
      </c>
      <c r="AG752" s="15" t="str">
        <f>IF(OR(AF752="",AF752="ERRO_CHAVE"),"",IFERROR(MATCH(AF752,'Quitados DUPP'!$U$1:$U$6635,0),""))</f>
        <v/>
      </c>
      <c r="AH752" s="15" t="str">
        <f t="shared" si="2"/>
        <v/>
      </c>
      <c r="AI752" s="17" t="str">
        <f>IF(AG752="","",INDEX('Quitados DUPP'!$G$1:$G$6635,AG752))</f>
        <v/>
      </c>
      <c r="AJ752" s="17" t="str">
        <f t="shared" si="3"/>
        <v/>
      </c>
    </row>
    <row r="753" spans="31:36">
      <c r="AE753" s="15" t="str">
        <f t="shared" si="0"/>
        <v/>
      </c>
      <c r="AF753" s="15" t="str">
        <f t="shared" si="1"/>
        <v/>
      </c>
      <c r="AG753" s="15" t="str">
        <f>IF(OR(AF753="",AF753="ERRO_CHAVE"),"",IFERROR(MATCH(AF753,'Quitados DUPP'!$U$1:$U$6635,0),""))</f>
        <v/>
      </c>
      <c r="AH753" s="15" t="str">
        <f t="shared" si="2"/>
        <v/>
      </c>
      <c r="AI753" s="17" t="str">
        <f>IF(AG753="","",INDEX('Quitados DUPP'!$G$1:$G$6635,AG753))</f>
        <v/>
      </c>
      <c r="AJ753" s="17" t="str">
        <f t="shared" si="3"/>
        <v/>
      </c>
    </row>
    <row r="754" spans="31:36">
      <c r="AE754" s="15" t="str">
        <f t="shared" si="0"/>
        <v/>
      </c>
      <c r="AF754" s="15" t="str">
        <f t="shared" si="1"/>
        <v/>
      </c>
      <c r="AG754" s="15" t="str">
        <f>IF(OR(AF754="",AF754="ERRO_CHAVE"),"",IFERROR(MATCH(AF754,'Quitados DUPP'!$U$1:$U$6635,0),""))</f>
        <v/>
      </c>
      <c r="AH754" s="15" t="str">
        <f t="shared" si="2"/>
        <v/>
      </c>
      <c r="AI754" s="17" t="str">
        <f>IF(AG754="","",INDEX('Quitados DUPP'!$G$1:$G$6635,AG754))</f>
        <v/>
      </c>
      <c r="AJ754" s="17" t="str">
        <f t="shared" si="3"/>
        <v/>
      </c>
    </row>
    <row r="755" spans="31:36">
      <c r="AE755" s="15" t="str">
        <f t="shared" si="0"/>
        <v/>
      </c>
      <c r="AF755" s="15" t="str">
        <f t="shared" si="1"/>
        <v/>
      </c>
      <c r="AG755" s="15" t="str">
        <f>IF(OR(AF755="",AF755="ERRO_CHAVE"),"",IFERROR(MATCH(AF755,'Quitados DUPP'!$U$1:$U$6635,0),""))</f>
        <v/>
      </c>
      <c r="AH755" s="15" t="str">
        <f t="shared" si="2"/>
        <v/>
      </c>
      <c r="AI755" s="17" t="str">
        <f>IF(AG755="","",INDEX('Quitados DUPP'!$G$1:$G$6635,AG755))</f>
        <v/>
      </c>
      <c r="AJ755" s="17" t="str">
        <f t="shared" si="3"/>
        <v/>
      </c>
    </row>
    <row r="756" spans="31:36">
      <c r="AE756" s="15" t="str">
        <f t="shared" si="0"/>
        <v/>
      </c>
      <c r="AF756" s="15" t="str">
        <f t="shared" si="1"/>
        <v/>
      </c>
      <c r="AG756" s="15" t="str">
        <f>IF(OR(AF756="",AF756="ERRO_CHAVE"),"",IFERROR(MATCH(AF756,'Quitados DUPP'!$U$1:$U$6635,0),""))</f>
        <v/>
      </c>
      <c r="AH756" s="15" t="str">
        <f t="shared" si="2"/>
        <v/>
      </c>
      <c r="AI756" s="17" t="str">
        <f>IF(AG756="","",INDEX('Quitados DUPP'!$G$1:$G$6635,AG756))</f>
        <v/>
      </c>
      <c r="AJ756" s="17" t="str">
        <f t="shared" si="3"/>
        <v/>
      </c>
    </row>
    <row r="757" spans="31:36">
      <c r="AE757" s="15" t="str">
        <f t="shared" si="0"/>
        <v/>
      </c>
      <c r="AF757" s="15" t="str">
        <f t="shared" si="1"/>
        <v/>
      </c>
      <c r="AG757" s="15" t="str">
        <f>IF(OR(AF757="",AF757="ERRO_CHAVE"),"",IFERROR(MATCH(AF757,'Quitados DUPP'!$U$1:$U$6635,0),""))</f>
        <v/>
      </c>
      <c r="AH757" s="15" t="str">
        <f t="shared" si="2"/>
        <v/>
      </c>
      <c r="AI757" s="17" t="str">
        <f>IF(AG757="","",INDEX('Quitados DUPP'!$G$1:$G$6635,AG757))</f>
        <v/>
      </c>
      <c r="AJ757" s="17" t="str">
        <f t="shared" si="3"/>
        <v/>
      </c>
    </row>
    <row r="758" spans="31:36">
      <c r="AE758" s="15" t="str">
        <f t="shared" si="0"/>
        <v/>
      </c>
      <c r="AF758" s="15" t="str">
        <f t="shared" si="1"/>
        <v/>
      </c>
      <c r="AG758" s="15" t="str">
        <f>IF(OR(AF758="",AF758="ERRO_CHAVE"),"",IFERROR(MATCH(AF758,'Quitados DUPP'!$U$1:$U$6635,0),""))</f>
        <v/>
      </c>
      <c r="AH758" s="15" t="str">
        <f t="shared" si="2"/>
        <v/>
      </c>
      <c r="AI758" s="17" t="str">
        <f>IF(AG758="","",INDEX('Quitados DUPP'!$G$1:$G$6635,AG758))</f>
        <v/>
      </c>
      <c r="AJ758" s="17" t="str">
        <f t="shared" si="3"/>
        <v/>
      </c>
    </row>
    <row r="759" spans="31:36">
      <c r="AE759" s="15" t="str">
        <f t="shared" si="0"/>
        <v/>
      </c>
      <c r="AF759" s="15" t="str">
        <f t="shared" si="1"/>
        <v/>
      </c>
      <c r="AG759" s="15" t="str">
        <f>IF(OR(AF759="",AF759="ERRO_CHAVE"),"",IFERROR(MATCH(AF759,'Quitados DUPP'!$U$1:$U$6635,0),""))</f>
        <v/>
      </c>
      <c r="AH759" s="15" t="str">
        <f t="shared" si="2"/>
        <v/>
      </c>
      <c r="AI759" s="17" t="str">
        <f>IF(AG759="","",INDEX('Quitados DUPP'!$G$1:$G$6635,AG759))</f>
        <v/>
      </c>
      <c r="AJ759" s="17" t="str">
        <f t="shared" si="3"/>
        <v/>
      </c>
    </row>
    <row r="760" spans="31:36">
      <c r="AE760" s="15" t="str">
        <f t="shared" si="0"/>
        <v/>
      </c>
      <c r="AF760" s="15" t="str">
        <f t="shared" si="1"/>
        <v/>
      </c>
      <c r="AG760" s="15" t="str">
        <f>IF(OR(AF760="",AF760="ERRO_CHAVE"),"",IFERROR(MATCH(AF760,'Quitados DUPP'!$U$1:$U$6635,0),""))</f>
        <v/>
      </c>
      <c r="AH760" s="15" t="str">
        <f t="shared" si="2"/>
        <v/>
      </c>
      <c r="AI760" s="17" t="str">
        <f>IF(AG760="","",INDEX('Quitados DUPP'!$G$1:$G$6635,AG760))</f>
        <v/>
      </c>
      <c r="AJ760" s="17" t="str">
        <f t="shared" si="3"/>
        <v/>
      </c>
    </row>
    <row r="761" spans="31:36">
      <c r="AE761" s="15" t="str">
        <f t="shared" si="0"/>
        <v/>
      </c>
      <c r="AF761" s="15" t="str">
        <f t="shared" si="1"/>
        <v/>
      </c>
      <c r="AG761" s="15" t="str">
        <f>IF(OR(AF761="",AF761="ERRO_CHAVE"),"",IFERROR(MATCH(AF761,'Quitados DUPP'!$U$1:$U$6635,0),""))</f>
        <v/>
      </c>
      <c r="AH761" s="15" t="str">
        <f t="shared" si="2"/>
        <v/>
      </c>
      <c r="AI761" s="17" t="str">
        <f>IF(AG761="","",INDEX('Quitados DUPP'!$G$1:$G$6635,AG761))</f>
        <v/>
      </c>
      <c r="AJ761" s="17" t="str">
        <f t="shared" si="3"/>
        <v/>
      </c>
    </row>
    <row r="762" spans="31:36">
      <c r="AE762" s="15" t="str">
        <f t="shared" si="0"/>
        <v/>
      </c>
      <c r="AF762" s="15" t="str">
        <f t="shared" si="1"/>
        <v/>
      </c>
      <c r="AG762" s="15" t="str">
        <f>IF(OR(AF762="",AF762="ERRO_CHAVE"),"",IFERROR(MATCH(AF762,'Quitados DUPP'!$U$1:$U$6635,0),""))</f>
        <v/>
      </c>
      <c r="AH762" s="15" t="str">
        <f t="shared" si="2"/>
        <v/>
      </c>
      <c r="AI762" s="17" t="str">
        <f>IF(AG762="","",INDEX('Quitados DUPP'!$G$1:$G$6635,AG762))</f>
        <v/>
      </c>
      <c r="AJ762" s="17" t="str">
        <f t="shared" si="3"/>
        <v/>
      </c>
    </row>
    <row r="763" spans="31:36">
      <c r="AE763" s="15" t="str">
        <f t="shared" si="0"/>
        <v/>
      </c>
      <c r="AF763" s="15" t="str">
        <f t="shared" si="1"/>
        <v/>
      </c>
      <c r="AG763" s="15" t="str">
        <f>IF(OR(AF763="",AF763="ERRO_CHAVE"),"",IFERROR(MATCH(AF763,'Quitados DUPP'!$U$1:$U$6635,0),""))</f>
        <v/>
      </c>
      <c r="AH763" s="15" t="str">
        <f t="shared" si="2"/>
        <v/>
      </c>
      <c r="AI763" s="17" t="str">
        <f>IF(AG763="","",INDEX('Quitados DUPP'!$G$1:$G$6635,AG763))</f>
        <v/>
      </c>
      <c r="AJ763" s="17" t="str">
        <f t="shared" si="3"/>
        <v/>
      </c>
    </row>
    <row r="764" spans="31:36">
      <c r="AE764" s="15" t="str">
        <f t="shared" si="0"/>
        <v/>
      </c>
      <c r="AF764" s="15" t="str">
        <f t="shared" si="1"/>
        <v/>
      </c>
      <c r="AG764" s="15" t="str">
        <f>IF(OR(AF764="",AF764="ERRO_CHAVE"),"",IFERROR(MATCH(AF764,'Quitados DUPP'!$U$1:$U$6635,0),""))</f>
        <v/>
      </c>
      <c r="AH764" s="15" t="str">
        <f t="shared" si="2"/>
        <v/>
      </c>
      <c r="AI764" s="17" t="str">
        <f>IF(AG764="","",INDEX('Quitados DUPP'!$G$1:$G$6635,AG764))</f>
        <v/>
      </c>
      <c r="AJ764" s="17" t="str">
        <f t="shared" si="3"/>
        <v/>
      </c>
    </row>
    <row r="765" spans="31:36">
      <c r="AE765" s="15" t="str">
        <f t="shared" si="0"/>
        <v/>
      </c>
      <c r="AF765" s="15" t="str">
        <f t="shared" si="1"/>
        <v/>
      </c>
      <c r="AG765" s="15" t="str">
        <f>IF(OR(AF765="",AF765="ERRO_CHAVE"),"",IFERROR(MATCH(AF765,'Quitados DUPP'!$U$1:$U$6635,0),""))</f>
        <v/>
      </c>
      <c r="AH765" s="15" t="str">
        <f t="shared" si="2"/>
        <v/>
      </c>
      <c r="AI765" s="17" t="str">
        <f>IF(AG765="","",INDEX('Quitados DUPP'!$G$1:$G$6635,AG765))</f>
        <v/>
      </c>
      <c r="AJ765" s="17" t="str">
        <f t="shared" si="3"/>
        <v/>
      </c>
    </row>
    <row r="766" spans="31:36">
      <c r="AE766" s="15" t="str">
        <f t="shared" si="0"/>
        <v/>
      </c>
      <c r="AF766" s="15" t="str">
        <f t="shared" si="1"/>
        <v/>
      </c>
      <c r="AG766" s="15" t="str">
        <f>IF(OR(AF766="",AF766="ERRO_CHAVE"),"",IFERROR(MATCH(AF766,'Quitados DUPP'!$U$1:$U$6635,0),""))</f>
        <v/>
      </c>
      <c r="AH766" s="15" t="str">
        <f t="shared" si="2"/>
        <v/>
      </c>
      <c r="AI766" s="17" t="str">
        <f>IF(AG766="","",INDEX('Quitados DUPP'!$G$1:$G$6635,AG766))</f>
        <v/>
      </c>
      <c r="AJ766" s="17" t="str">
        <f t="shared" si="3"/>
        <v/>
      </c>
    </row>
    <row r="767" spans="31:36">
      <c r="AE767" s="15" t="str">
        <f t="shared" si="0"/>
        <v/>
      </c>
      <c r="AF767" s="15" t="str">
        <f t="shared" si="1"/>
        <v/>
      </c>
      <c r="AG767" s="15" t="str">
        <f>IF(OR(AF767="",AF767="ERRO_CHAVE"),"",IFERROR(MATCH(AF767,'Quitados DUPP'!$U$1:$U$6635,0),""))</f>
        <v/>
      </c>
      <c r="AH767" s="15" t="str">
        <f t="shared" si="2"/>
        <v/>
      </c>
      <c r="AI767" s="17" t="str">
        <f>IF(AG767="","",INDEX('Quitados DUPP'!$G$1:$G$6635,AG767))</f>
        <v/>
      </c>
      <c r="AJ767" s="17" t="str">
        <f t="shared" si="3"/>
        <v/>
      </c>
    </row>
    <row r="768" spans="31:36">
      <c r="AE768" s="15" t="str">
        <f t="shared" si="0"/>
        <v/>
      </c>
      <c r="AF768" s="15" t="str">
        <f t="shared" si="1"/>
        <v/>
      </c>
      <c r="AG768" s="15" t="str">
        <f>IF(OR(AF768="",AF768="ERRO_CHAVE"),"",IFERROR(MATCH(AF768,'Quitados DUPP'!$U$1:$U$6635,0),""))</f>
        <v/>
      </c>
      <c r="AH768" s="15" t="str">
        <f t="shared" si="2"/>
        <v/>
      </c>
      <c r="AI768" s="17" t="str">
        <f>IF(AG768="","",INDEX('Quitados DUPP'!$G$1:$G$6635,AG768))</f>
        <v/>
      </c>
      <c r="AJ768" s="17" t="str">
        <f t="shared" si="3"/>
        <v/>
      </c>
    </row>
    <row r="769" spans="31:36">
      <c r="AE769" s="15" t="str">
        <f t="shared" si="0"/>
        <v/>
      </c>
      <c r="AF769" s="15" t="str">
        <f t="shared" si="1"/>
        <v/>
      </c>
      <c r="AG769" s="15" t="str">
        <f>IF(OR(AF769="",AF769="ERRO_CHAVE"),"",IFERROR(MATCH(AF769,'Quitados DUPP'!$U$1:$U$6635,0),""))</f>
        <v/>
      </c>
      <c r="AH769" s="15" t="str">
        <f t="shared" si="2"/>
        <v/>
      </c>
      <c r="AI769" s="17" t="str">
        <f>IF(AG769="","",INDEX('Quitados DUPP'!$G$1:$G$6635,AG769))</f>
        <v/>
      </c>
      <c r="AJ769" s="17" t="str">
        <f t="shared" si="3"/>
        <v/>
      </c>
    </row>
    <row r="770" spans="31:36">
      <c r="AE770" s="15" t="str">
        <f t="shared" si="0"/>
        <v/>
      </c>
      <c r="AF770" s="15" t="str">
        <f t="shared" si="1"/>
        <v/>
      </c>
      <c r="AG770" s="15" t="str">
        <f>IF(OR(AF770="",AF770="ERRO_CHAVE"),"",IFERROR(MATCH(AF770,'Quitados DUPP'!$U$1:$U$6635,0),""))</f>
        <v/>
      </c>
      <c r="AH770" s="15" t="str">
        <f t="shared" si="2"/>
        <v/>
      </c>
      <c r="AI770" s="17" t="str">
        <f>IF(AG770="","",INDEX('Quitados DUPP'!$G$1:$G$6635,AG770))</f>
        <v/>
      </c>
      <c r="AJ770" s="17" t="str">
        <f t="shared" si="3"/>
        <v/>
      </c>
    </row>
    <row r="771" spans="31:36">
      <c r="AE771" s="15" t="str">
        <f t="shared" si="0"/>
        <v/>
      </c>
      <c r="AF771" s="15" t="str">
        <f t="shared" si="1"/>
        <v/>
      </c>
      <c r="AG771" s="15" t="str">
        <f>IF(OR(AF771="",AF771="ERRO_CHAVE"),"",IFERROR(MATCH(AF771,'Quitados DUPP'!$U$1:$U$6635,0),""))</f>
        <v/>
      </c>
      <c r="AH771" s="15" t="str">
        <f t="shared" si="2"/>
        <v/>
      </c>
      <c r="AI771" s="17" t="str">
        <f>IF(AG771="","",INDEX('Quitados DUPP'!$G$1:$G$6635,AG771))</f>
        <v/>
      </c>
      <c r="AJ771" s="17" t="str">
        <f t="shared" si="3"/>
        <v/>
      </c>
    </row>
    <row r="772" spans="31:36">
      <c r="AE772" s="15" t="str">
        <f t="shared" si="0"/>
        <v/>
      </c>
      <c r="AF772" s="15" t="str">
        <f t="shared" si="1"/>
        <v/>
      </c>
      <c r="AG772" s="15" t="str">
        <f>IF(OR(AF772="",AF772="ERRO_CHAVE"),"",IFERROR(MATCH(AF772,'Quitados DUPP'!$U$1:$U$6635,0),""))</f>
        <v/>
      </c>
      <c r="AH772" s="15" t="str">
        <f t="shared" si="2"/>
        <v/>
      </c>
      <c r="AI772" s="17" t="str">
        <f>IF(AG772="","",INDEX('Quitados DUPP'!$G$1:$G$6635,AG772))</f>
        <v/>
      </c>
      <c r="AJ772" s="17" t="str">
        <f t="shared" si="3"/>
        <v/>
      </c>
    </row>
    <row r="773" spans="31:36">
      <c r="AE773" s="15" t="str">
        <f t="shared" si="0"/>
        <v/>
      </c>
      <c r="AF773" s="15" t="str">
        <f t="shared" si="1"/>
        <v/>
      </c>
      <c r="AG773" s="15" t="str">
        <f>IF(OR(AF773="",AF773="ERRO_CHAVE"),"",IFERROR(MATCH(AF773,'Quitados DUPP'!$U$1:$U$6635,0),""))</f>
        <v/>
      </c>
      <c r="AH773" s="15" t="str">
        <f t="shared" si="2"/>
        <v/>
      </c>
      <c r="AI773" s="17" t="str">
        <f>IF(AG773="","",INDEX('Quitados DUPP'!$G$1:$G$6635,AG773))</f>
        <v/>
      </c>
      <c r="AJ773" s="17" t="str">
        <f t="shared" si="3"/>
        <v/>
      </c>
    </row>
    <row r="774" spans="31:36">
      <c r="AE774" s="15" t="str">
        <f t="shared" si="0"/>
        <v/>
      </c>
      <c r="AF774" s="15" t="str">
        <f t="shared" si="1"/>
        <v/>
      </c>
      <c r="AG774" s="15" t="str">
        <f>IF(OR(AF774="",AF774="ERRO_CHAVE"),"",IFERROR(MATCH(AF774,'Quitados DUPP'!$U$1:$U$6635,0),""))</f>
        <v/>
      </c>
      <c r="AH774" s="15" t="str">
        <f t="shared" si="2"/>
        <v/>
      </c>
      <c r="AI774" s="17" t="str">
        <f>IF(AG774="","",INDEX('Quitados DUPP'!$G$1:$G$6635,AG774))</f>
        <v/>
      </c>
      <c r="AJ774" s="17" t="str">
        <f t="shared" si="3"/>
        <v/>
      </c>
    </row>
    <row r="775" spans="31:36">
      <c r="AE775" s="15" t="str">
        <f t="shared" si="0"/>
        <v/>
      </c>
      <c r="AF775" s="15" t="str">
        <f t="shared" si="1"/>
        <v/>
      </c>
      <c r="AG775" s="15" t="str">
        <f>IF(OR(AF775="",AF775="ERRO_CHAVE"),"",IFERROR(MATCH(AF775,'Quitados DUPP'!$U$1:$U$6635,0),""))</f>
        <v/>
      </c>
      <c r="AH775" s="15" t="str">
        <f t="shared" si="2"/>
        <v/>
      </c>
      <c r="AI775" s="17" t="str">
        <f>IF(AG775="","",INDEX('Quitados DUPP'!$G$1:$G$6635,AG775))</f>
        <v/>
      </c>
      <c r="AJ775" s="17" t="str">
        <f t="shared" si="3"/>
        <v/>
      </c>
    </row>
    <row r="776" spans="31:36">
      <c r="AE776" s="15" t="str">
        <f t="shared" si="0"/>
        <v/>
      </c>
      <c r="AF776" s="15" t="str">
        <f t="shared" si="1"/>
        <v/>
      </c>
      <c r="AG776" s="15" t="str">
        <f>IF(OR(AF776="",AF776="ERRO_CHAVE"),"",IFERROR(MATCH(AF776,'Quitados DUPP'!$U$1:$U$6635,0),""))</f>
        <v/>
      </c>
      <c r="AH776" s="15" t="str">
        <f t="shared" si="2"/>
        <v/>
      </c>
      <c r="AI776" s="17" t="str">
        <f>IF(AG776="","",INDEX('Quitados DUPP'!$G$1:$G$6635,AG776))</f>
        <v/>
      </c>
      <c r="AJ776" s="17" t="str">
        <f t="shared" si="3"/>
        <v/>
      </c>
    </row>
    <row r="777" spans="31:36">
      <c r="AE777" s="15" t="str">
        <f t="shared" si="0"/>
        <v/>
      </c>
      <c r="AF777" s="15" t="str">
        <f t="shared" si="1"/>
        <v/>
      </c>
      <c r="AG777" s="15" t="str">
        <f>IF(OR(AF777="",AF777="ERRO_CHAVE"),"",IFERROR(MATCH(AF777,'Quitados DUPP'!$U$1:$U$6635,0),""))</f>
        <v/>
      </c>
      <c r="AH777" s="15" t="str">
        <f t="shared" si="2"/>
        <v/>
      </c>
      <c r="AI777" s="17" t="str">
        <f>IF(AG777="","",INDEX('Quitados DUPP'!$G$1:$G$6635,AG777))</f>
        <v/>
      </c>
      <c r="AJ777" s="17" t="str">
        <f t="shared" si="3"/>
        <v/>
      </c>
    </row>
    <row r="778" spans="31:36">
      <c r="AE778" s="15" t="str">
        <f t="shared" si="0"/>
        <v/>
      </c>
      <c r="AF778" s="15" t="str">
        <f t="shared" si="1"/>
        <v/>
      </c>
      <c r="AG778" s="15" t="str">
        <f>IF(OR(AF778="",AF778="ERRO_CHAVE"),"",IFERROR(MATCH(AF778,'Quitados DUPP'!$U$1:$U$6635,0),""))</f>
        <v/>
      </c>
      <c r="AH778" s="15" t="str">
        <f t="shared" si="2"/>
        <v/>
      </c>
      <c r="AI778" s="17" t="str">
        <f>IF(AG778="","",INDEX('Quitados DUPP'!$G$1:$G$6635,AG778))</f>
        <v/>
      </c>
      <c r="AJ778" s="17" t="str">
        <f t="shared" si="3"/>
        <v/>
      </c>
    </row>
    <row r="779" spans="31:36">
      <c r="AE779" s="15" t="str">
        <f t="shared" si="0"/>
        <v/>
      </c>
      <c r="AF779" s="15" t="str">
        <f t="shared" si="1"/>
        <v/>
      </c>
      <c r="AG779" s="15" t="str">
        <f>IF(OR(AF779="",AF779="ERRO_CHAVE"),"",IFERROR(MATCH(AF779,'Quitados DUPP'!$U$1:$U$6635,0),""))</f>
        <v/>
      </c>
      <c r="AH779" s="15" t="str">
        <f t="shared" si="2"/>
        <v/>
      </c>
      <c r="AI779" s="17" t="str">
        <f>IF(AG779="","",INDEX('Quitados DUPP'!$G$1:$G$6635,AG779))</f>
        <v/>
      </c>
      <c r="AJ779" s="17" t="str">
        <f t="shared" si="3"/>
        <v/>
      </c>
    </row>
    <row r="780" spans="31:36">
      <c r="AE780" s="15" t="str">
        <f t="shared" si="0"/>
        <v/>
      </c>
      <c r="AF780" s="15" t="str">
        <f t="shared" si="1"/>
        <v/>
      </c>
      <c r="AG780" s="15" t="str">
        <f>IF(OR(AF780="",AF780="ERRO_CHAVE"),"",IFERROR(MATCH(AF780,'Quitados DUPP'!$U$1:$U$6635,0),""))</f>
        <v/>
      </c>
      <c r="AH780" s="15" t="str">
        <f t="shared" si="2"/>
        <v/>
      </c>
      <c r="AI780" s="17" t="str">
        <f>IF(AG780="","",INDEX('Quitados DUPP'!$G$1:$G$6635,AG780))</f>
        <v/>
      </c>
      <c r="AJ780" s="17" t="str">
        <f t="shared" si="3"/>
        <v/>
      </c>
    </row>
    <row r="781" spans="31:36">
      <c r="AE781" s="15" t="str">
        <f t="shared" si="0"/>
        <v/>
      </c>
      <c r="AF781" s="15" t="str">
        <f t="shared" si="1"/>
        <v/>
      </c>
      <c r="AG781" s="15" t="str">
        <f>IF(OR(AF781="",AF781="ERRO_CHAVE"),"",IFERROR(MATCH(AF781,'Quitados DUPP'!$U$1:$U$6635,0),""))</f>
        <v/>
      </c>
      <c r="AH781" s="15" t="str">
        <f t="shared" si="2"/>
        <v/>
      </c>
      <c r="AI781" s="17" t="str">
        <f>IF(AG781="","",INDEX('Quitados DUPP'!$G$1:$G$6635,AG781))</f>
        <v/>
      </c>
      <c r="AJ781" s="17" t="str">
        <f t="shared" si="3"/>
        <v/>
      </c>
    </row>
    <row r="782" spans="31:36">
      <c r="AE782" s="15" t="str">
        <f t="shared" si="0"/>
        <v/>
      </c>
      <c r="AF782" s="15" t="str">
        <f t="shared" si="1"/>
        <v/>
      </c>
      <c r="AG782" s="15" t="str">
        <f>IF(OR(AF782="",AF782="ERRO_CHAVE"),"",IFERROR(MATCH(AF782,'Quitados DUPP'!$U$1:$U$6635,0),""))</f>
        <v/>
      </c>
      <c r="AH782" s="15" t="str">
        <f t="shared" si="2"/>
        <v/>
      </c>
      <c r="AI782" s="17" t="str">
        <f>IF(AG782="","",INDEX('Quitados DUPP'!$G$1:$G$6635,AG782))</f>
        <v/>
      </c>
      <c r="AJ782" s="17" t="str">
        <f t="shared" si="3"/>
        <v/>
      </c>
    </row>
    <row r="783" spans="31:36">
      <c r="AE783" s="15" t="str">
        <f t="shared" si="0"/>
        <v/>
      </c>
      <c r="AF783" s="15" t="str">
        <f t="shared" si="1"/>
        <v/>
      </c>
      <c r="AG783" s="15" t="str">
        <f>IF(OR(AF783="",AF783="ERRO_CHAVE"),"",IFERROR(MATCH(AF783,'Quitados DUPP'!$U$1:$U$6635,0),""))</f>
        <v/>
      </c>
      <c r="AH783" s="15" t="str">
        <f t="shared" si="2"/>
        <v/>
      </c>
      <c r="AI783" s="17" t="str">
        <f>IF(AG783="","",INDEX('Quitados DUPP'!$G$1:$G$6635,AG783))</f>
        <v/>
      </c>
      <c r="AJ783" s="17" t="str">
        <f t="shared" si="3"/>
        <v/>
      </c>
    </row>
    <row r="784" spans="31:36">
      <c r="AE784" s="15" t="str">
        <f t="shared" si="0"/>
        <v/>
      </c>
      <c r="AF784" s="15" t="str">
        <f t="shared" si="1"/>
        <v/>
      </c>
      <c r="AG784" s="15" t="str">
        <f>IF(OR(AF784="",AF784="ERRO_CHAVE"),"",IFERROR(MATCH(AF784,'Quitados DUPP'!$U$1:$U$6635,0),""))</f>
        <v/>
      </c>
      <c r="AH784" s="15" t="str">
        <f t="shared" si="2"/>
        <v/>
      </c>
      <c r="AI784" s="17" t="str">
        <f>IF(AG784="","",INDEX('Quitados DUPP'!$G$1:$G$6635,AG784))</f>
        <v/>
      </c>
      <c r="AJ784" s="17" t="str">
        <f t="shared" si="3"/>
        <v/>
      </c>
    </row>
    <row r="785" spans="31:36">
      <c r="AE785" s="15" t="str">
        <f t="shared" si="0"/>
        <v/>
      </c>
      <c r="AF785" s="15" t="str">
        <f t="shared" si="1"/>
        <v/>
      </c>
      <c r="AG785" s="15" t="str">
        <f>IF(OR(AF785="",AF785="ERRO_CHAVE"),"",IFERROR(MATCH(AF785,'Quitados DUPP'!$U$1:$U$6635,0),""))</f>
        <v/>
      </c>
      <c r="AH785" s="15" t="str">
        <f t="shared" si="2"/>
        <v/>
      </c>
      <c r="AI785" s="17" t="str">
        <f>IF(AG785="","",INDEX('Quitados DUPP'!$G$1:$G$6635,AG785))</f>
        <v/>
      </c>
      <c r="AJ785" s="17" t="str">
        <f t="shared" si="3"/>
        <v/>
      </c>
    </row>
    <row r="786" spans="31:36">
      <c r="AE786" s="15" t="str">
        <f t="shared" si="0"/>
        <v/>
      </c>
      <c r="AF786" s="15" t="str">
        <f t="shared" si="1"/>
        <v/>
      </c>
      <c r="AG786" s="15" t="str">
        <f>IF(OR(AF786="",AF786="ERRO_CHAVE"),"",IFERROR(MATCH(AF786,'Quitados DUPP'!$U$1:$U$6635,0),""))</f>
        <v/>
      </c>
      <c r="AH786" s="15" t="str">
        <f t="shared" si="2"/>
        <v/>
      </c>
      <c r="AI786" s="17" t="str">
        <f>IF(AG786="","",INDEX('Quitados DUPP'!$G$1:$G$6635,AG786))</f>
        <v/>
      </c>
      <c r="AJ786" s="17" t="str">
        <f t="shared" si="3"/>
        <v/>
      </c>
    </row>
    <row r="787" spans="31:36">
      <c r="AE787" s="15" t="str">
        <f t="shared" si="0"/>
        <v/>
      </c>
      <c r="AF787" s="15" t="str">
        <f t="shared" si="1"/>
        <v/>
      </c>
      <c r="AG787" s="15" t="str">
        <f>IF(OR(AF787="",AF787="ERRO_CHAVE"),"",IFERROR(MATCH(AF787,'Quitados DUPP'!$U$1:$U$6635,0),""))</f>
        <v/>
      </c>
      <c r="AH787" s="15" t="str">
        <f t="shared" si="2"/>
        <v/>
      </c>
      <c r="AI787" s="17" t="str">
        <f>IF(AG787="","",INDEX('Quitados DUPP'!$G$1:$G$6635,AG787))</f>
        <v/>
      </c>
      <c r="AJ787" s="17" t="str">
        <f t="shared" si="3"/>
        <v/>
      </c>
    </row>
    <row r="788" spans="31:36">
      <c r="AE788" s="15" t="str">
        <f t="shared" si="0"/>
        <v/>
      </c>
      <c r="AF788" s="15" t="str">
        <f t="shared" si="1"/>
        <v/>
      </c>
      <c r="AG788" s="15" t="str">
        <f>IF(OR(AF788="",AF788="ERRO_CHAVE"),"",IFERROR(MATCH(AF788,'Quitados DUPP'!$U$1:$U$6635,0),""))</f>
        <v/>
      </c>
      <c r="AH788" s="15" t="str">
        <f t="shared" si="2"/>
        <v/>
      </c>
      <c r="AI788" s="17" t="str">
        <f>IF(AG788="","",INDEX('Quitados DUPP'!$G$1:$G$6635,AG788))</f>
        <v/>
      </c>
      <c r="AJ788" s="17" t="str">
        <f t="shared" si="3"/>
        <v/>
      </c>
    </row>
    <row r="789" spans="31:36">
      <c r="AE789" s="15" t="str">
        <f t="shared" si="0"/>
        <v/>
      </c>
      <c r="AF789" s="15" t="str">
        <f t="shared" si="1"/>
        <v/>
      </c>
      <c r="AG789" s="15" t="str">
        <f>IF(OR(AF789="",AF789="ERRO_CHAVE"),"",IFERROR(MATCH(AF789,'Quitados DUPP'!$U$1:$U$6635,0),""))</f>
        <v/>
      </c>
      <c r="AH789" s="15" t="str">
        <f t="shared" si="2"/>
        <v/>
      </c>
      <c r="AI789" s="17" t="str">
        <f>IF(AG789="","",INDEX('Quitados DUPP'!$G$1:$G$6635,AG789))</f>
        <v/>
      </c>
      <c r="AJ789" s="17" t="str">
        <f t="shared" si="3"/>
        <v/>
      </c>
    </row>
    <row r="790" spans="31:36">
      <c r="AE790" s="15" t="str">
        <f t="shared" si="0"/>
        <v/>
      </c>
      <c r="AF790" s="15" t="str">
        <f t="shared" si="1"/>
        <v/>
      </c>
      <c r="AG790" s="15" t="str">
        <f>IF(OR(AF790="",AF790="ERRO_CHAVE"),"",IFERROR(MATCH(AF790,'Quitados DUPP'!$U$1:$U$6635,0),""))</f>
        <v/>
      </c>
      <c r="AH790" s="15" t="str">
        <f t="shared" si="2"/>
        <v/>
      </c>
      <c r="AI790" s="17" t="str">
        <f>IF(AG790="","",INDEX('Quitados DUPP'!$G$1:$G$6635,AG790))</f>
        <v/>
      </c>
      <c r="AJ790" s="17" t="str">
        <f t="shared" si="3"/>
        <v/>
      </c>
    </row>
    <row r="791" spans="31:36">
      <c r="AE791" s="15" t="str">
        <f t="shared" si="0"/>
        <v/>
      </c>
      <c r="AF791" s="15" t="str">
        <f t="shared" si="1"/>
        <v/>
      </c>
      <c r="AG791" s="15" t="str">
        <f>IF(OR(AF791="",AF791="ERRO_CHAVE"),"",IFERROR(MATCH(AF791,'Quitados DUPP'!$U$1:$U$6635,0),""))</f>
        <v/>
      </c>
      <c r="AH791" s="15" t="str">
        <f t="shared" si="2"/>
        <v/>
      </c>
      <c r="AI791" s="17" t="str">
        <f>IF(AG791="","",INDEX('Quitados DUPP'!$G$1:$G$6635,AG791))</f>
        <v/>
      </c>
      <c r="AJ791" s="17" t="str">
        <f t="shared" si="3"/>
        <v/>
      </c>
    </row>
    <row r="792" spans="31:36">
      <c r="AE792" s="15" t="str">
        <f t="shared" si="0"/>
        <v/>
      </c>
      <c r="AF792" s="15" t="str">
        <f t="shared" si="1"/>
        <v/>
      </c>
      <c r="AG792" s="15" t="str">
        <f>IF(OR(AF792="",AF792="ERRO_CHAVE"),"",IFERROR(MATCH(AF792,'Quitados DUPP'!$U$1:$U$6635,0),""))</f>
        <v/>
      </c>
      <c r="AH792" s="15" t="str">
        <f t="shared" si="2"/>
        <v/>
      </c>
      <c r="AI792" s="17" t="str">
        <f>IF(AG792="","",INDEX('Quitados DUPP'!$G$1:$G$6635,AG792))</f>
        <v/>
      </c>
      <c r="AJ792" s="17" t="str">
        <f t="shared" si="3"/>
        <v/>
      </c>
    </row>
    <row r="793" spans="31:36">
      <c r="AE793" s="15" t="str">
        <f t="shared" si="0"/>
        <v/>
      </c>
      <c r="AF793" s="15" t="str">
        <f t="shared" si="1"/>
        <v/>
      </c>
      <c r="AG793" s="15" t="str">
        <f>IF(OR(AF793="",AF793="ERRO_CHAVE"),"",IFERROR(MATCH(AF793,'Quitados DUPP'!$U$1:$U$6635,0),""))</f>
        <v/>
      </c>
      <c r="AH793" s="15" t="str">
        <f t="shared" si="2"/>
        <v/>
      </c>
      <c r="AI793" s="17" t="str">
        <f>IF(AG793="","",INDEX('Quitados DUPP'!$G$1:$G$6635,AG793))</f>
        <v/>
      </c>
      <c r="AJ793" s="17" t="str">
        <f t="shared" si="3"/>
        <v/>
      </c>
    </row>
    <row r="794" spans="31:36">
      <c r="AE794" s="15" t="str">
        <f t="shared" si="0"/>
        <v/>
      </c>
      <c r="AF794" s="15" t="str">
        <f t="shared" si="1"/>
        <v/>
      </c>
      <c r="AG794" s="15" t="str">
        <f>IF(OR(AF794="",AF794="ERRO_CHAVE"),"",IFERROR(MATCH(AF794,'Quitados DUPP'!$U$1:$U$6635,0),""))</f>
        <v/>
      </c>
      <c r="AH794" s="15" t="str">
        <f t="shared" si="2"/>
        <v/>
      </c>
      <c r="AI794" s="17" t="str">
        <f>IF(AG794="","",INDEX('Quitados DUPP'!$G$1:$G$6635,AG794))</f>
        <v/>
      </c>
      <c r="AJ794" s="17" t="str">
        <f t="shared" si="3"/>
        <v/>
      </c>
    </row>
    <row r="795" spans="31:36">
      <c r="AE795" s="15" t="str">
        <f t="shared" si="0"/>
        <v/>
      </c>
      <c r="AF795" s="15" t="str">
        <f t="shared" si="1"/>
        <v/>
      </c>
      <c r="AG795" s="15" t="str">
        <f>IF(OR(AF795="",AF795="ERRO_CHAVE"),"",IFERROR(MATCH(AF795,'Quitados DUPP'!$U$1:$U$6635,0),""))</f>
        <v/>
      </c>
      <c r="AH795" s="15" t="str">
        <f t="shared" si="2"/>
        <v/>
      </c>
      <c r="AI795" s="17" t="str">
        <f>IF(AG795="","",INDEX('Quitados DUPP'!$G$1:$G$6635,AG795))</f>
        <v/>
      </c>
      <c r="AJ795" s="17" t="str">
        <f t="shared" si="3"/>
        <v/>
      </c>
    </row>
    <row r="796" spans="31:36">
      <c r="AE796" s="15" t="str">
        <f t="shared" si="0"/>
        <v/>
      </c>
      <c r="AF796" s="15" t="str">
        <f t="shared" si="1"/>
        <v/>
      </c>
      <c r="AG796" s="15" t="str">
        <f>IF(OR(AF796="",AF796="ERRO_CHAVE"),"",IFERROR(MATCH(AF796,'Quitados DUPP'!$U$1:$U$6635,0),""))</f>
        <v/>
      </c>
      <c r="AH796" s="15" t="str">
        <f t="shared" si="2"/>
        <v/>
      </c>
      <c r="AI796" s="17" t="str">
        <f>IF(AG796="","",INDEX('Quitados DUPP'!$G$1:$G$6635,AG796))</f>
        <v/>
      </c>
      <c r="AJ796" s="17" t="str">
        <f t="shared" si="3"/>
        <v/>
      </c>
    </row>
    <row r="797" spans="31:36">
      <c r="AE797" s="15" t="str">
        <f t="shared" si="0"/>
        <v/>
      </c>
      <c r="AF797" s="15" t="str">
        <f t="shared" si="1"/>
        <v/>
      </c>
      <c r="AG797" s="15" t="str">
        <f>IF(OR(AF797="",AF797="ERRO_CHAVE"),"",IFERROR(MATCH(AF797,'Quitados DUPP'!$U$1:$U$6635,0),""))</f>
        <v/>
      </c>
      <c r="AH797" s="15" t="str">
        <f t="shared" si="2"/>
        <v/>
      </c>
      <c r="AI797" s="17" t="str">
        <f>IF(AG797="","",INDEX('Quitados DUPP'!$G$1:$G$6635,AG797))</f>
        <v/>
      </c>
      <c r="AJ797" s="17" t="str">
        <f t="shared" si="3"/>
        <v/>
      </c>
    </row>
    <row r="798" spans="31:36">
      <c r="AE798" s="15" t="str">
        <f t="shared" si="0"/>
        <v/>
      </c>
      <c r="AF798" s="15" t="str">
        <f t="shared" si="1"/>
        <v/>
      </c>
      <c r="AG798" s="15" t="str">
        <f>IF(OR(AF798="",AF798="ERRO_CHAVE"),"",IFERROR(MATCH(AF798,'Quitados DUPP'!$U$1:$U$6635,0),""))</f>
        <v/>
      </c>
      <c r="AH798" s="15" t="str">
        <f t="shared" si="2"/>
        <v/>
      </c>
      <c r="AI798" s="17" t="str">
        <f>IF(AG798="","",INDEX('Quitados DUPP'!$G$1:$G$6635,AG798))</f>
        <v/>
      </c>
      <c r="AJ798" s="17" t="str">
        <f t="shared" si="3"/>
        <v/>
      </c>
    </row>
    <row r="799" spans="31:36">
      <c r="AE799" s="15" t="str">
        <f t="shared" si="0"/>
        <v/>
      </c>
      <c r="AF799" s="15" t="str">
        <f t="shared" si="1"/>
        <v/>
      </c>
      <c r="AG799" s="15" t="str">
        <f>IF(OR(AF799="",AF799="ERRO_CHAVE"),"",IFERROR(MATCH(AF799,'Quitados DUPP'!$U$1:$U$6635,0),""))</f>
        <v/>
      </c>
      <c r="AH799" s="15" t="str">
        <f t="shared" si="2"/>
        <v/>
      </c>
      <c r="AI799" s="17" t="str">
        <f>IF(AG799="","",INDEX('Quitados DUPP'!$G$1:$G$6635,AG799))</f>
        <v/>
      </c>
      <c r="AJ799" s="17" t="str">
        <f t="shared" si="3"/>
        <v/>
      </c>
    </row>
    <row r="800" spans="31:36">
      <c r="AE800" s="15" t="str">
        <f t="shared" si="0"/>
        <v/>
      </c>
      <c r="AF800" s="15" t="str">
        <f t="shared" si="1"/>
        <v/>
      </c>
      <c r="AG800" s="15" t="str">
        <f>IF(OR(AF800="",AF800="ERRO_CHAVE"),"",IFERROR(MATCH(AF800,'Quitados DUPP'!$U$1:$U$6635,0),""))</f>
        <v/>
      </c>
      <c r="AH800" s="15" t="str">
        <f t="shared" si="2"/>
        <v/>
      </c>
      <c r="AI800" s="17" t="str">
        <f>IF(AG800="","",INDEX('Quitados DUPP'!$G$1:$G$6635,AG800))</f>
        <v/>
      </c>
      <c r="AJ800" s="17" t="str">
        <f t="shared" si="3"/>
        <v/>
      </c>
    </row>
    <row r="801" spans="31:36">
      <c r="AE801" s="15" t="str">
        <f t="shared" si="0"/>
        <v/>
      </c>
      <c r="AF801" s="15" t="str">
        <f t="shared" si="1"/>
        <v/>
      </c>
      <c r="AG801" s="15" t="str">
        <f>IF(OR(AF801="",AF801="ERRO_CHAVE"),"",IFERROR(MATCH(AF801,'Quitados DUPP'!$U$1:$U$6635,0),""))</f>
        <v/>
      </c>
      <c r="AH801" s="15" t="str">
        <f t="shared" si="2"/>
        <v/>
      </c>
      <c r="AI801" s="17" t="str">
        <f>IF(AG801="","",INDEX('Quitados DUPP'!$G$1:$G$6635,AG801))</f>
        <v/>
      </c>
      <c r="AJ801" s="17" t="str">
        <f t="shared" si="3"/>
        <v/>
      </c>
    </row>
    <row r="802" spans="31:36">
      <c r="AE802" s="15" t="str">
        <f t="shared" si="0"/>
        <v/>
      </c>
      <c r="AF802" s="15" t="str">
        <f t="shared" si="1"/>
        <v/>
      </c>
      <c r="AG802" s="15" t="str">
        <f>IF(OR(AF802="",AF802="ERRO_CHAVE"),"",IFERROR(MATCH(AF802,'Quitados DUPP'!$U$1:$U$6635,0),""))</f>
        <v/>
      </c>
      <c r="AH802" s="15" t="str">
        <f t="shared" si="2"/>
        <v/>
      </c>
      <c r="AI802" s="17" t="str">
        <f>IF(AG802="","",INDEX('Quitados DUPP'!$G$1:$G$6635,AG802))</f>
        <v/>
      </c>
      <c r="AJ802" s="17" t="str">
        <f t="shared" si="3"/>
        <v/>
      </c>
    </row>
    <row r="803" spans="31:36">
      <c r="AE803" s="15" t="str">
        <f t="shared" si="0"/>
        <v/>
      </c>
      <c r="AF803" s="15" t="str">
        <f t="shared" si="1"/>
        <v/>
      </c>
      <c r="AG803" s="15" t="str">
        <f>IF(OR(AF803="",AF803="ERRO_CHAVE"),"",IFERROR(MATCH(AF803,'Quitados DUPP'!$U$1:$U$6635,0),""))</f>
        <v/>
      </c>
      <c r="AH803" s="15" t="str">
        <f t="shared" si="2"/>
        <v/>
      </c>
      <c r="AI803" s="17" t="str">
        <f>IF(AG803="","",INDEX('Quitados DUPP'!$G$1:$G$6635,AG803))</f>
        <v/>
      </c>
      <c r="AJ803" s="17" t="str">
        <f t="shared" si="3"/>
        <v/>
      </c>
    </row>
    <row r="804" spans="31:36">
      <c r="AE804" s="15" t="str">
        <f t="shared" si="0"/>
        <v/>
      </c>
      <c r="AF804" s="15" t="str">
        <f t="shared" si="1"/>
        <v/>
      </c>
      <c r="AG804" s="15" t="str">
        <f>IF(OR(AF804="",AF804="ERRO_CHAVE"),"",IFERROR(MATCH(AF804,'Quitados DUPP'!$U$1:$U$6635,0),""))</f>
        <v/>
      </c>
      <c r="AH804" s="15" t="str">
        <f t="shared" si="2"/>
        <v/>
      </c>
      <c r="AI804" s="17" t="str">
        <f>IF(AG804="","",INDEX('Quitados DUPP'!$G$1:$G$6635,AG804))</f>
        <v/>
      </c>
      <c r="AJ804" s="17" t="str">
        <f t="shared" si="3"/>
        <v/>
      </c>
    </row>
    <row r="805" spans="31:36">
      <c r="AE805" s="15" t="str">
        <f t="shared" si="0"/>
        <v/>
      </c>
      <c r="AF805" s="15" t="str">
        <f t="shared" si="1"/>
        <v/>
      </c>
      <c r="AG805" s="15" t="str">
        <f>IF(OR(AF805="",AF805="ERRO_CHAVE"),"",IFERROR(MATCH(AF805,'Quitados DUPP'!$U$1:$U$6635,0),""))</f>
        <v/>
      </c>
      <c r="AH805" s="15" t="str">
        <f t="shared" si="2"/>
        <v/>
      </c>
      <c r="AI805" s="17" t="str">
        <f>IF(AG805="","",INDEX('Quitados DUPP'!$G$1:$G$6635,AG805))</f>
        <v/>
      </c>
      <c r="AJ805" s="17" t="str">
        <f t="shared" si="3"/>
        <v/>
      </c>
    </row>
    <row r="806" spans="31:36">
      <c r="AE806" s="15" t="str">
        <f t="shared" si="0"/>
        <v/>
      </c>
      <c r="AF806" s="15" t="str">
        <f t="shared" si="1"/>
        <v/>
      </c>
      <c r="AG806" s="15" t="str">
        <f>IF(OR(AF806="",AF806="ERRO_CHAVE"),"",IFERROR(MATCH(AF806,'Quitados DUPP'!$U$1:$U$6635,0),""))</f>
        <v/>
      </c>
      <c r="AH806" s="15" t="str">
        <f t="shared" si="2"/>
        <v/>
      </c>
      <c r="AI806" s="17" t="str">
        <f>IF(AG806="","",INDEX('Quitados DUPP'!$G$1:$G$6635,AG806))</f>
        <v/>
      </c>
      <c r="AJ806" s="17" t="str">
        <f t="shared" si="3"/>
        <v/>
      </c>
    </row>
    <row r="807" spans="31:36">
      <c r="AE807" s="15" t="str">
        <f t="shared" si="0"/>
        <v/>
      </c>
      <c r="AF807" s="15" t="str">
        <f t="shared" si="1"/>
        <v/>
      </c>
      <c r="AG807" s="15" t="str">
        <f>IF(OR(AF807="",AF807="ERRO_CHAVE"),"",IFERROR(MATCH(AF807,'Quitados DUPP'!$U$1:$U$6635,0),""))</f>
        <v/>
      </c>
      <c r="AH807" s="15" t="str">
        <f t="shared" si="2"/>
        <v/>
      </c>
      <c r="AI807" s="17" t="str">
        <f>IF(AG807="","",INDEX('Quitados DUPP'!$G$1:$G$6635,AG807))</f>
        <v/>
      </c>
      <c r="AJ807" s="17" t="str">
        <f t="shared" si="3"/>
        <v/>
      </c>
    </row>
    <row r="808" spans="31:36">
      <c r="AE808" s="15" t="str">
        <f t="shared" si="0"/>
        <v/>
      </c>
      <c r="AF808" s="15" t="str">
        <f t="shared" si="1"/>
        <v/>
      </c>
      <c r="AG808" s="15" t="str">
        <f>IF(OR(AF808="",AF808="ERRO_CHAVE"),"",IFERROR(MATCH(AF808,'Quitados DUPP'!$U$1:$U$6635,0),""))</f>
        <v/>
      </c>
      <c r="AH808" s="15" t="str">
        <f t="shared" si="2"/>
        <v/>
      </c>
      <c r="AI808" s="17" t="str">
        <f>IF(AG808="","",INDEX('Quitados DUPP'!$G$1:$G$6635,AG808))</f>
        <v/>
      </c>
      <c r="AJ808" s="17" t="str">
        <f t="shared" si="3"/>
        <v/>
      </c>
    </row>
    <row r="809" spans="31:36">
      <c r="AE809" s="15" t="str">
        <f t="shared" si="0"/>
        <v/>
      </c>
      <c r="AF809" s="15" t="str">
        <f t="shared" si="1"/>
        <v/>
      </c>
      <c r="AG809" s="15" t="str">
        <f>IF(OR(AF809="",AF809="ERRO_CHAVE"),"",IFERROR(MATCH(AF809,'Quitados DUPP'!$U$1:$U$6635,0),""))</f>
        <v/>
      </c>
      <c r="AH809" s="15" t="str">
        <f t="shared" si="2"/>
        <v/>
      </c>
      <c r="AI809" s="17" t="str">
        <f>IF(AG809="","",INDEX('Quitados DUPP'!$G$1:$G$6635,AG809))</f>
        <v/>
      </c>
      <c r="AJ809" s="17" t="str">
        <f t="shared" si="3"/>
        <v/>
      </c>
    </row>
    <row r="810" spans="31:36">
      <c r="AE810" s="15" t="str">
        <f t="shared" si="0"/>
        <v/>
      </c>
      <c r="AF810" s="15" t="str">
        <f t="shared" si="1"/>
        <v/>
      </c>
      <c r="AG810" s="15" t="str">
        <f>IF(OR(AF810="",AF810="ERRO_CHAVE"),"",IFERROR(MATCH(AF810,'Quitados DUPP'!$U$1:$U$6635,0),""))</f>
        <v/>
      </c>
      <c r="AH810" s="15" t="str">
        <f t="shared" si="2"/>
        <v/>
      </c>
      <c r="AI810" s="17" t="str">
        <f>IF(AG810="","",INDEX('Quitados DUPP'!$G$1:$G$6635,AG810))</f>
        <v/>
      </c>
      <c r="AJ810" s="17" t="str">
        <f t="shared" si="3"/>
        <v/>
      </c>
    </row>
    <row r="811" spans="31:36">
      <c r="AE811" s="15" t="str">
        <f t="shared" si="0"/>
        <v/>
      </c>
      <c r="AF811" s="15" t="str">
        <f t="shared" si="1"/>
        <v/>
      </c>
      <c r="AG811" s="15" t="str">
        <f>IF(OR(AF811="",AF811="ERRO_CHAVE"),"",IFERROR(MATCH(AF811,'Quitados DUPP'!$U$1:$U$6635,0),""))</f>
        <v/>
      </c>
      <c r="AH811" s="15" t="str">
        <f t="shared" si="2"/>
        <v/>
      </c>
      <c r="AI811" s="17" t="str">
        <f>IF(AG811="","",INDEX('Quitados DUPP'!$G$1:$G$6635,AG811))</f>
        <v/>
      </c>
      <c r="AJ811" s="17" t="str">
        <f t="shared" si="3"/>
        <v/>
      </c>
    </row>
    <row r="812" spans="31:36">
      <c r="AE812" s="15" t="str">
        <f t="shared" si="0"/>
        <v/>
      </c>
      <c r="AF812" s="15" t="str">
        <f t="shared" si="1"/>
        <v/>
      </c>
      <c r="AG812" s="15" t="str">
        <f>IF(OR(AF812="",AF812="ERRO_CHAVE"),"",IFERROR(MATCH(AF812,'Quitados DUPP'!$U$1:$U$6635,0),""))</f>
        <v/>
      </c>
      <c r="AH812" s="15" t="str">
        <f t="shared" si="2"/>
        <v/>
      </c>
      <c r="AI812" s="17" t="str">
        <f>IF(AG812="","",INDEX('Quitados DUPP'!$G$1:$G$6635,AG812))</f>
        <v/>
      </c>
      <c r="AJ812" s="17" t="str">
        <f t="shared" si="3"/>
        <v/>
      </c>
    </row>
    <row r="813" spans="31:36">
      <c r="AE813" s="15" t="str">
        <f t="shared" si="0"/>
        <v/>
      </c>
      <c r="AF813" s="15" t="str">
        <f t="shared" si="1"/>
        <v/>
      </c>
      <c r="AG813" s="15" t="str">
        <f>IF(OR(AF813="",AF813="ERRO_CHAVE"),"",IFERROR(MATCH(AF813,'Quitados DUPP'!$U$1:$U$6635,0),""))</f>
        <v/>
      </c>
      <c r="AH813" s="15" t="str">
        <f t="shared" si="2"/>
        <v/>
      </c>
      <c r="AI813" s="17" t="str">
        <f>IF(AG813="","",INDEX('Quitados DUPP'!$G$1:$G$6635,AG813))</f>
        <v/>
      </c>
      <c r="AJ813" s="17" t="str">
        <f t="shared" si="3"/>
        <v/>
      </c>
    </row>
    <row r="814" spans="31:36">
      <c r="AE814" s="15" t="str">
        <f t="shared" si="0"/>
        <v/>
      </c>
      <c r="AF814" s="15" t="str">
        <f t="shared" si="1"/>
        <v/>
      </c>
      <c r="AG814" s="15" t="str">
        <f>IF(OR(AF814="",AF814="ERRO_CHAVE"),"",IFERROR(MATCH(AF814,'Quitados DUPP'!$U$1:$U$6635,0),""))</f>
        <v/>
      </c>
      <c r="AH814" s="15" t="str">
        <f t="shared" si="2"/>
        <v/>
      </c>
      <c r="AI814" s="17" t="str">
        <f>IF(AG814="","",INDEX('Quitados DUPP'!$G$1:$G$6635,AG814))</f>
        <v/>
      </c>
      <c r="AJ814" s="17" t="str">
        <f t="shared" si="3"/>
        <v/>
      </c>
    </row>
    <row r="815" spans="31:36">
      <c r="AE815" s="15" t="str">
        <f t="shared" si="0"/>
        <v/>
      </c>
      <c r="AF815" s="15" t="str">
        <f t="shared" si="1"/>
        <v/>
      </c>
      <c r="AG815" s="15" t="str">
        <f>IF(OR(AF815="",AF815="ERRO_CHAVE"),"",IFERROR(MATCH(AF815,'Quitados DUPP'!$U$1:$U$6635,0),""))</f>
        <v/>
      </c>
      <c r="AH815" s="15" t="str">
        <f t="shared" si="2"/>
        <v/>
      </c>
      <c r="AI815" s="17" t="str">
        <f>IF(AG815="","",INDEX('Quitados DUPP'!$G$1:$G$6635,AG815))</f>
        <v/>
      </c>
      <c r="AJ815" s="17" t="str">
        <f t="shared" si="3"/>
        <v/>
      </c>
    </row>
    <row r="816" spans="31:36">
      <c r="AE816" s="15" t="str">
        <f t="shared" si="0"/>
        <v/>
      </c>
      <c r="AF816" s="15" t="str">
        <f t="shared" si="1"/>
        <v/>
      </c>
      <c r="AG816" s="15" t="str">
        <f>IF(OR(AF816="",AF816="ERRO_CHAVE"),"",IFERROR(MATCH(AF816,'Quitados DUPP'!$U$1:$U$6635,0),""))</f>
        <v/>
      </c>
      <c r="AH816" s="15" t="str">
        <f t="shared" si="2"/>
        <v/>
      </c>
      <c r="AI816" s="17" t="str">
        <f>IF(AG816="","",INDEX('Quitados DUPP'!$G$1:$G$6635,AG816))</f>
        <v/>
      </c>
      <c r="AJ816" s="17" t="str">
        <f t="shared" si="3"/>
        <v/>
      </c>
    </row>
    <row r="817" spans="31:36">
      <c r="AE817" s="15" t="str">
        <f t="shared" si="0"/>
        <v/>
      </c>
      <c r="AF817" s="15" t="str">
        <f t="shared" si="1"/>
        <v/>
      </c>
      <c r="AG817" s="15" t="str">
        <f>IF(OR(AF817="",AF817="ERRO_CHAVE"),"",IFERROR(MATCH(AF817,'Quitados DUPP'!$U$1:$U$6635,0),""))</f>
        <v/>
      </c>
      <c r="AH817" s="15" t="str">
        <f t="shared" si="2"/>
        <v/>
      </c>
      <c r="AI817" s="17" t="str">
        <f>IF(AG817="","",INDEX('Quitados DUPP'!$G$1:$G$6635,AG817))</f>
        <v/>
      </c>
      <c r="AJ817" s="17" t="str">
        <f t="shared" si="3"/>
        <v/>
      </c>
    </row>
    <row r="818" spans="31:36">
      <c r="AE818" s="15" t="str">
        <f t="shared" si="0"/>
        <v/>
      </c>
      <c r="AF818" s="15" t="str">
        <f t="shared" si="1"/>
        <v/>
      </c>
      <c r="AG818" s="15" t="str">
        <f>IF(OR(AF818="",AF818="ERRO_CHAVE"),"",IFERROR(MATCH(AF818,'Quitados DUPP'!$U$1:$U$6635,0),""))</f>
        <v/>
      </c>
      <c r="AH818" s="15" t="str">
        <f t="shared" si="2"/>
        <v/>
      </c>
      <c r="AI818" s="17" t="str">
        <f>IF(AG818="","",INDEX('Quitados DUPP'!$G$1:$G$6635,AG818))</f>
        <v/>
      </c>
      <c r="AJ818" s="17" t="str">
        <f t="shared" si="3"/>
        <v/>
      </c>
    </row>
    <row r="819" spans="31:36">
      <c r="AE819" s="15" t="str">
        <f t="shared" si="0"/>
        <v/>
      </c>
      <c r="AF819" s="15" t="str">
        <f t="shared" si="1"/>
        <v/>
      </c>
      <c r="AG819" s="15" t="str">
        <f>IF(OR(AF819="",AF819="ERRO_CHAVE"),"",IFERROR(MATCH(AF819,'Quitados DUPP'!$U$1:$U$6635,0),""))</f>
        <v/>
      </c>
      <c r="AH819" s="15" t="str">
        <f t="shared" si="2"/>
        <v/>
      </c>
      <c r="AI819" s="17" t="str">
        <f>IF(AG819="","",INDEX('Quitados DUPP'!$G$1:$G$6635,AG819))</f>
        <v/>
      </c>
      <c r="AJ819" s="17" t="str">
        <f t="shared" si="3"/>
        <v/>
      </c>
    </row>
    <row r="820" spans="31:36">
      <c r="AE820" s="15" t="str">
        <f t="shared" si="0"/>
        <v/>
      </c>
      <c r="AF820" s="15" t="str">
        <f t="shared" si="1"/>
        <v/>
      </c>
      <c r="AG820" s="15" t="str">
        <f>IF(OR(AF820="",AF820="ERRO_CHAVE"),"",IFERROR(MATCH(AF820,'Quitados DUPP'!$U$1:$U$6635,0),""))</f>
        <v/>
      </c>
      <c r="AH820" s="15" t="str">
        <f t="shared" si="2"/>
        <v/>
      </c>
      <c r="AI820" s="17" t="str">
        <f>IF(AG820="","",INDEX('Quitados DUPP'!$G$1:$G$6635,AG820))</f>
        <v/>
      </c>
      <c r="AJ820" s="17" t="str">
        <f t="shared" si="3"/>
        <v/>
      </c>
    </row>
    <row r="821" spans="31:36">
      <c r="AE821" s="15" t="str">
        <f t="shared" si="0"/>
        <v/>
      </c>
      <c r="AF821" s="15" t="str">
        <f t="shared" si="1"/>
        <v/>
      </c>
      <c r="AG821" s="15" t="str">
        <f>IF(OR(AF821="",AF821="ERRO_CHAVE"),"",IFERROR(MATCH(AF821,'Quitados DUPP'!$U$1:$U$6635,0),""))</f>
        <v/>
      </c>
      <c r="AH821" s="15" t="str">
        <f t="shared" si="2"/>
        <v/>
      </c>
      <c r="AI821" s="17" t="str">
        <f>IF(AG821="","",INDEX('Quitados DUPP'!$G$1:$G$6635,AG821))</f>
        <v/>
      </c>
      <c r="AJ821" s="17" t="str">
        <f t="shared" si="3"/>
        <v/>
      </c>
    </row>
    <row r="822" spans="31:36">
      <c r="AE822" s="15" t="str">
        <f t="shared" si="0"/>
        <v/>
      </c>
      <c r="AF822" s="15" t="str">
        <f t="shared" si="1"/>
        <v/>
      </c>
      <c r="AG822" s="15" t="str">
        <f>IF(OR(AF822="",AF822="ERRO_CHAVE"),"",IFERROR(MATCH(AF822,'Quitados DUPP'!$U$1:$U$6635,0),""))</f>
        <v/>
      </c>
      <c r="AH822" s="15" t="str">
        <f t="shared" si="2"/>
        <v/>
      </c>
      <c r="AI822" s="17" t="str">
        <f>IF(AG822="","",INDEX('Quitados DUPP'!$G$1:$G$6635,AG822))</f>
        <v/>
      </c>
      <c r="AJ822" s="17" t="str">
        <f t="shared" si="3"/>
        <v/>
      </c>
    </row>
    <row r="823" spans="31:36">
      <c r="AE823" s="15" t="str">
        <f t="shared" si="0"/>
        <v/>
      </c>
      <c r="AF823" s="15" t="str">
        <f t="shared" si="1"/>
        <v/>
      </c>
      <c r="AG823" s="15" t="str">
        <f>IF(OR(AF823="",AF823="ERRO_CHAVE"),"",IFERROR(MATCH(AF823,'Quitados DUPP'!$U$1:$U$6635,0),""))</f>
        <v/>
      </c>
      <c r="AH823" s="15" t="str">
        <f t="shared" si="2"/>
        <v/>
      </c>
      <c r="AI823" s="17" t="str">
        <f>IF(AG823="","",INDEX('Quitados DUPP'!$G$1:$G$6635,AG823))</f>
        <v/>
      </c>
      <c r="AJ823" s="17" t="str">
        <f t="shared" si="3"/>
        <v/>
      </c>
    </row>
    <row r="824" spans="31:36">
      <c r="AE824" s="15" t="str">
        <f t="shared" si="0"/>
        <v/>
      </c>
      <c r="AF824" s="15" t="str">
        <f t="shared" si="1"/>
        <v/>
      </c>
      <c r="AG824" s="15" t="str">
        <f>IF(OR(AF824="",AF824="ERRO_CHAVE"),"",IFERROR(MATCH(AF824,'Quitados DUPP'!$U$1:$U$6635,0),""))</f>
        <v/>
      </c>
      <c r="AH824" s="15" t="str">
        <f t="shared" si="2"/>
        <v/>
      </c>
      <c r="AI824" s="17" t="str">
        <f>IF(AG824="","",INDEX('Quitados DUPP'!$G$1:$G$6635,AG824))</f>
        <v/>
      </c>
      <c r="AJ824" s="17" t="str">
        <f t="shared" si="3"/>
        <v/>
      </c>
    </row>
    <row r="825" spans="31:36">
      <c r="AE825" s="15" t="str">
        <f t="shared" si="0"/>
        <v/>
      </c>
      <c r="AF825" s="15" t="str">
        <f t="shared" si="1"/>
        <v/>
      </c>
      <c r="AG825" s="15" t="str">
        <f>IF(OR(AF825="",AF825="ERRO_CHAVE"),"",IFERROR(MATCH(AF825,'Quitados DUPP'!$U$1:$U$6635,0),""))</f>
        <v/>
      </c>
      <c r="AH825" s="15" t="str">
        <f t="shared" si="2"/>
        <v/>
      </c>
      <c r="AI825" s="17" t="str">
        <f>IF(AG825="","",INDEX('Quitados DUPP'!$G$1:$G$6635,AG825))</f>
        <v/>
      </c>
      <c r="AJ825" s="17" t="str">
        <f t="shared" si="3"/>
        <v/>
      </c>
    </row>
    <row r="826" spans="31:36">
      <c r="AE826" s="15" t="str">
        <f t="shared" si="0"/>
        <v/>
      </c>
      <c r="AF826" s="15" t="str">
        <f t="shared" si="1"/>
        <v/>
      </c>
      <c r="AG826" s="15" t="str">
        <f>IF(OR(AF826="",AF826="ERRO_CHAVE"),"",IFERROR(MATCH(AF826,'Quitados DUPP'!$U$1:$U$6635,0),""))</f>
        <v/>
      </c>
      <c r="AH826" s="15" t="str">
        <f t="shared" si="2"/>
        <v/>
      </c>
      <c r="AI826" s="17" t="str">
        <f>IF(AG826="","",INDEX('Quitados DUPP'!$G$1:$G$6635,AG826))</f>
        <v/>
      </c>
      <c r="AJ826" s="17" t="str">
        <f t="shared" si="3"/>
        <v/>
      </c>
    </row>
    <row r="827" spans="31:36">
      <c r="AE827" s="15" t="str">
        <f t="shared" si="0"/>
        <v/>
      </c>
      <c r="AF827" s="15" t="str">
        <f t="shared" si="1"/>
        <v/>
      </c>
      <c r="AG827" s="15" t="str">
        <f>IF(OR(AF827="",AF827="ERRO_CHAVE"),"",IFERROR(MATCH(AF827,'Quitados DUPP'!$U$1:$U$6635,0),""))</f>
        <v/>
      </c>
      <c r="AH827" s="15" t="str">
        <f t="shared" si="2"/>
        <v/>
      </c>
      <c r="AI827" s="17" t="str">
        <f>IF(AG827="","",INDEX('Quitados DUPP'!$G$1:$G$6635,AG827))</f>
        <v/>
      </c>
      <c r="AJ827" s="17" t="str">
        <f t="shared" si="3"/>
        <v/>
      </c>
    </row>
    <row r="828" spans="31:36">
      <c r="AE828" s="15" t="str">
        <f t="shared" si="0"/>
        <v/>
      </c>
      <c r="AF828" s="15" t="str">
        <f t="shared" si="1"/>
        <v/>
      </c>
      <c r="AG828" s="15" t="str">
        <f>IF(OR(AF828="",AF828="ERRO_CHAVE"),"",IFERROR(MATCH(AF828,'Quitados DUPP'!$U$1:$U$6635,0),""))</f>
        <v/>
      </c>
      <c r="AH828" s="15" t="str">
        <f t="shared" si="2"/>
        <v/>
      </c>
      <c r="AI828" s="17" t="str">
        <f>IF(AG828="","",INDEX('Quitados DUPP'!$G$1:$G$6635,AG828))</f>
        <v/>
      </c>
      <c r="AJ828" s="17" t="str">
        <f t="shared" si="3"/>
        <v/>
      </c>
    </row>
    <row r="829" spans="31:36">
      <c r="AE829" s="15" t="str">
        <f t="shared" si="0"/>
        <v/>
      </c>
      <c r="AF829" s="15" t="str">
        <f t="shared" si="1"/>
        <v/>
      </c>
      <c r="AG829" s="15" t="str">
        <f>IF(OR(AF829="",AF829="ERRO_CHAVE"),"",IFERROR(MATCH(AF829,'Quitados DUPP'!$U$1:$U$6635,0),""))</f>
        <v/>
      </c>
      <c r="AH829" s="15" t="str">
        <f t="shared" si="2"/>
        <v/>
      </c>
      <c r="AI829" s="17" t="str">
        <f>IF(AG829="","",INDEX('Quitados DUPP'!$G$1:$G$6635,AG829))</f>
        <v/>
      </c>
      <c r="AJ829" s="17" t="str">
        <f t="shared" si="3"/>
        <v/>
      </c>
    </row>
    <row r="830" spans="31:36">
      <c r="AE830" s="15" t="str">
        <f t="shared" si="0"/>
        <v/>
      </c>
      <c r="AF830" s="15" t="str">
        <f t="shared" si="1"/>
        <v/>
      </c>
      <c r="AG830" s="15" t="str">
        <f>IF(OR(AF830="",AF830="ERRO_CHAVE"),"",IFERROR(MATCH(AF830,'Quitados DUPP'!$U$1:$U$6635,0),""))</f>
        <v/>
      </c>
      <c r="AH830" s="15" t="str">
        <f t="shared" si="2"/>
        <v/>
      </c>
      <c r="AI830" s="17" t="str">
        <f>IF(AG830="","",INDEX('Quitados DUPP'!$G$1:$G$6635,AG830))</f>
        <v/>
      </c>
      <c r="AJ830" s="17" t="str">
        <f t="shared" si="3"/>
        <v/>
      </c>
    </row>
    <row r="831" spans="31:36">
      <c r="AE831" s="15" t="str">
        <f t="shared" si="0"/>
        <v/>
      </c>
      <c r="AF831" s="15" t="str">
        <f t="shared" si="1"/>
        <v/>
      </c>
      <c r="AG831" s="15" t="str">
        <f>IF(OR(AF831="",AF831="ERRO_CHAVE"),"",IFERROR(MATCH(AF831,'Quitados DUPP'!$U$1:$U$6635,0),""))</f>
        <v/>
      </c>
      <c r="AH831" s="15" t="str">
        <f t="shared" si="2"/>
        <v/>
      </c>
      <c r="AI831" s="17" t="str">
        <f>IF(AG831="","",INDEX('Quitados DUPP'!$G$1:$G$6635,AG831))</f>
        <v/>
      </c>
      <c r="AJ831" s="17" t="str">
        <f t="shared" si="3"/>
        <v/>
      </c>
    </row>
    <row r="832" spans="31:36">
      <c r="AE832" s="15" t="str">
        <f t="shared" si="0"/>
        <v/>
      </c>
      <c r="AF832" s="15" t="str">
        <f t="shared" si="1"/>
        <v/>
      </c>
      <c r="AG832" s="15" t="str">
        <f>IF(OR(AF832="",AF832="ERRO_CHAVE"),"",IFERROR(MATCH(AF832,'Quitados DUPP'!$U$1:$U$6635,0),""))</f>
        <v/>
      </c>
      <c r="AH832" s="15" t="str">
        <f t="shared" si="2"/>
        <v/>
      </c>
      <c r="AI832" s="17" t="str">
        <f>IF(AG832="","",INDEX('Quitados DUPP'!$G$1:$G$6635,AG832))</f>
        <v/>
      </c>
      <c r="AJ832" s="17" t="str">
        <f t="shared" si="3"/>
        <v/>
      </c>
    </row>
    <row r="833" spans="31:36">
      <c r="AE833" s="15" t="str">
        <f t="shared" si="0"/>
        <v/>
      </c>
      <c r="AF833" s="15" t="str">
        <f t="shared" si="1"/>
        <v/>
      </c>
      <c r="AG833" s="15" t="str">
        <f>IF(OR(AF833="",AF833="ERRO_CHAVE"),"",IFERROR(MATCH(AF833,'Quitados DUPP'!$U$1:$U$6635,0),""))</f>
        <v/>
      </c>
      <c r="AH833" s="15" t="str">
        <f t="shared" si="2"/>
        <v/>
      </c>
      <c r="AI833" s="17" t="str">
        <f>IF(AG833="","",INDEX('Quitados DUPP'!$G$1:$G$6635,AG833))</f>
        <v/>
      </c>
      <c r="AJ833" s="17" t="str">
        <f t="shared" si="3"/>
        <v/>
      </c>
    </row>
    <row r="834" spans="31:36">
      <c r="AE834" s="15" t="str">
        <f t="shared" si="0"/>
        <v/>
      </c>
      <c r="AF834" s="15" t="str">
        <f t="shared" si="1"/>
        <v/>
      </c>
      <c r="AG834" s="15" t="str">
        <f>IF(OR(AF834="",AF834="ERRO_CHAVE"),"",IFERROR(MATCH(AF834,'Quitados DUPP'!$U$1:$U$6635,0),""))</f>
        <v/>
      </c>
      <c r="AH834" s="15" t="str">
        <f t="shared" si="2"/>
        <v/>
      </c>
      <c r="AI834" s="17" t="str">
        <f>IF(AG834="","",INDEX('Quitados DUPP'!$G$1:$G$6635,AG834))</f>
        <v/>
      </c>
      <c r="AJ834" s="17" t="str">
        <f t="shared" si="3"/>
        <v/>
      </c>
    </row>
    <row r="835" spans="31:36">
      <c r="AE835" s="15" t="str">
        <f t="shared" si="0"/>
        <v/>
      </c>
      <c r="AF835" s="15" t="str">
        <f t="shared" si="1"/>
        <v/>
      </c>
      <c r="AG835" s="15" t="str">
        <f>IF(OR(AF835="",AF835="ERRO_CHAVE"),"",IFERROR(MATCH(AF835,'Quitados DUPP'!$U$1:$U$6635,0),""))</f>
        <v/>
      </c>
      <c r="AH835" s="15" t="str">
        <f t="shared" si="2"/>
        <v/>
      </c>
      <c r="AI835" s="17" t="str">
        <f>IF(AG835="","",INDEX('Quitados DUPP'!$G$1:$G$6635,AG835))</f>
        <v/>
      </c>
      <c r="AJ835" s="17" t="str">
        <f t="shared" si="3"/>
        <v/>
      </c>
    </row>
    <row r="836" spans="31:36">
      <c r="AE836" s="15" t="str">
        <f t="shared" si="0"/>
        <v/>
      </c>
      <c r="AF836" s="15" t="str">
        <f t="shared" si="1"/>
        <v/>
      </c>
      <c r="AG836" s="15" t="str">
        <f>IF(OR(AF836="",AF836="ERRO_CHAVE"),"",IFERROR(MATCH(AF836,'Quitados DUPP'!$U$1:$U$6635,0),""))</f>
        <v/>
      </c>
      <c r="AH836" s="15" t="str">
        <f t="shared" si="2"/>
        <v/>
      </c>
      <c r="AI836" s="17" t="str">
        <f>IF(AG836="","",INDEX('Quitados DUPP'!$G$1:$G$6635,AG836))</f>
        <v/>
      </c>
      <c r="AJ836" s="17" t="str">
        <f t="shared" si="3"/>
        <v/>
      </c>
    </row>
    <row r="837" spans="31:36">
      <c r="AE837" s="15" t="str">
        <f t="shared" si="0"/>
        <v/>
      </c>
      <c r="AF837" s="15" t="str">
        <f t="shared" si="1"/>
        <v/>
      </c>
      <c r="AG837" s="15" t="str">
        <f>IF(OR(AF837="",AF837="ERRO_CHAVE"),"",IFERROR(MATCH(AF837,'Quitados DUPP'!$U$1:$U$6635,0),""))</f>
        <v/>
      </c>
      <c r="AH837" s="15" t="str">
        <f t="shared" si="2"/>
        <v/>
      </c>
      <c r="AI837" s="17" t="str">
        <f>IF(AG837="","",INDEX('Quitados DUPP'!$G$1:$G$6635,AG837))</f>
        <v/>
      </c>
      <c r="AJ837" s="17" t="str">
        <f t="shared" si="3"/>
        <v/>
      </c>
    </row>
    <row r="838" spans="31:36">
      <c r="AE838" s="15" t="str">
        <f t="shared" si="0"/>
        <v/>
      </c>
      <c r="AF838" s="15" t="str">
        <f t="shared" si="1"/>
        <v/>
      </c>
      <c r="AG838" s="15" t="str">
        <f>IF(OR(AF838="",AF838="ERRO_CHAVE"),"",IFERROR(MATCH(AF838,'Quitados DUPP'!$U$1:$U$6635,0),""))</f>
        <v/>
      </c>
      <c r="AH838" s="15" t="str">
        <f t="shared" si="2"/>
        <v/>
      </c>
      <c r="AI838" s="17" t="str">
        <f>IF(AG838="","",INDEX('Quitados DUPP'!$G$1:$G$6635,AG838))</f>
        <v/>
      </c>
      <c r="AJ838" s="17" t="str">
        <f t="shared" si="3"/>
        <v/>
      </c>
    </row>
    <row r="839" spans="31:36">
      <c r="AE839" s="15" t="str">
        <f t="shared" si="0"/>
        <v/>
      </c>
      <c r="AF839" s="15" t="str">
        <f t="shared" si="1"/>
        <v/>
      </c>
      <c r="AG839" s="15" t="str">
        <f>IF(OR(AF839="",AF839="ERRO_CHAVE"),"",IFERROR(MATCH(AF839,'Quitados DUPP'!$U$1:$U$6635,0),""))</f>
        <v/>
      </c>
      <c r="AH839" s="15" t="str">
        <f t="shared" si="2"/>
        <v/>
      </c>
      <c r="AI839" s="17" t="str">
        <f>IF(AG839="","",INDEX('Quitados DUPP'!$G$1:$G$6635,AG839))</f>
        <v/>
      </c>
      <c r="AJ839" s="17" t="str">
        <f t="shared" si="3"/>
        <v/>
      </c>
    </row>
    <row r="840" spans="31:36">
      <c r="AE840" s="15" t="str">
        <f t="shared" si="0"/>
        <v/>
      </c>
      <c r="AF840" s="15" t="str">
        <f t="shared" si="1"/>
        <v/>
      </c>
      <c r="AG840" s="15" t="str">
        <f>IF(OR(AF840="",AF840="ERRO_CHAVE"),"",IFERROR(MATCH(AF840,'Quitados DUPP'!$U$1:$U$6635,0),""))</f>
        <v/>
      </c>
      <c r="AH840" s="15" t="str">
        <f t="shared" si="2"/>
        <v/>
      </c>
      <c r="AI840" s="17" t="str">
        <f>IF(AG840="","",INDEX('Quitados DUPP'!$G$1:$G$6635,AG840))</f>
        <v/>
      </c>
      <c r="AJ840" s="17" t="str">
        <f t="shared" si="3"/>
        <v/>
      </c>
    </row>
    <row r="841" spans="31:36">
      <c r="AE841" s="15" t="str">
        <f t="shared" si="0"/>
        <v/>
      </c>
      <c r="AF841" s="15" t="str">
        <f t="shared" si="1"/>
        <v/>
      </c>
      <c r="AG841" s="15" t="str">
        <f>IF(OR(AF841="",AF841="ERRO_CHAVE"),"",IFERROR(MATCH(AF841,'Quitados DUPP'!$U$1:$U$6635,0),""))</f>
        <v/>
      </c>
      <c r="AH841" s="15" t="str">
        <f t="shared" si="2"/>
        <v/>
      </c>
      <c r="AI841" s="17" t="str">
        <f>IF(AG841="","",INDEX('Quitados DUPP'!$G$1:$G$6635,AG841))</f>
        <v/>
      </c>
      <c r="AJ841" s="17" t="str">
        <f t="shared" si="3"/>
        <v/>
      </c>
    </row>
    <row r="842" spans="31:36">
      <c r="AE842" s="15" t="str">
        <f t="shared" si="0"/>
        <v/>
      </c>
      <c r="AF842" s="15" t="str">
        <f t="shared" si="1"/>
        <v/>
      </c>
      <c r="AG842" s="15" t="str">
        <f>IF(OR(AF842="",AF842="ERRO_CHAVE"),"",IFERROR(MATCH(AF842,'Quitados DUPP'!$U$1:$U$6635,0),""))</f>
        <v/>
      </c>
      <c r="AH842" s="15" t="str">
        <f t="shared" si="2"/>
        <v/>
      </c>
      <c r="AI842" s="17" t="str">
        <f>IF(AG842="","",INDEX('Quitados DUPP'!$G$1:$G$6635,AG842))</f>
        <v/>
      </c>
      <c r="AJ842" s="17" t="str">
        <f t="shared" si="3"/>
        <v/>
      </c>
    </row>
    <row r="843" spans="31:36">
      <c r="AE843" s="15" t="str">
        <f t="shared" si="0"/>
        <v/>
      </c>
      <c r="AF843" s="15" t="str">
        <f t="shared" si="1"/>
        <v/>
      </c>
      <c r="AG843" s="15" t="str">
        <f>IF(OR(AF843="",AF843="ERRO_CHAVE"),"",IFERROR(MATCH(AF843,'Quitados DUPP'!$U$1:$U$6635,0),""))</f>
        <v/>
      </c>
      <c r="AH843" s="15" t="str">
        <f t="shared" si="2"/>
        <v/>
      </c>
      <c r="AI843" s="17" t="str">
        <f>IF(AG843="","",INDEX('Quitados DUPP'!$G$1:$G$6635,AG843))</f>
        <v/>
      </c>
      <c r="AJ843" s="17" t="str">
        <f t="shared" si="3"/>
        <v/>
      </c>
    </row>
    <row r="844" spans="31:36">
      <c r="AE844" s="15" t="str">
        <f t="shared" si="0"/>
        <v/>
      </c>
      <c r="AF844" s="15" t="str">
        <f t="shared" si="1"/>
        <v/>
      </c>
      <c r="AG844" s="15" t="str">
        <f>IF(OR(AF844="",AF844="ERRO_CHAVE"),"",IFERROR(MATCH(AF844,'Quitados DUPP'!$U$1:$U$6635,0),""))</f>
        <v/>
      </c>
      <c r="AH844" s="15" t="str">
        <f t="shared" si="2"/>
        <v/>
      </c>
      <c r="AI844" s="17" t="str">
        <f>IF(AG844="","",INDEX('Quitados DUPP'!$G$1:$G$6635,AG844))</f>
        <v/>
      </c>
      <c r="AJ844" s="17" t="str">
        <f t="shared" si="3"/>
        <v/>
      </c>
    </row>
    <row r="845" spans="31:36">
      <c r="AE845" s="15" t="str">
        <f t="shared" si="0"/>
        <v/>
      </c>
      <c r="AF845" s="15" t="str">
        <f t="shared" si="1"/>
        <v/>
      </c>
      <c r="AG845" s="15" t="str">
        <f>IF(OR(AF845="",AF845="ERRO_CHAVE"),"",IFERROR(MATCH(AF845,'Quitados DUPP'!$U$1:$U$6635,0),""))</f>
        <v/>
      </c>
      <c r="AH845" s="15" t="str">
        <f t="shared" si="2"/>
        <v/>
      </c>
      <c r="AI845" s="17" t="str">
        <f>IF(AG845="","",INDEX('Quitados DUPP'!$G$1:$G$6635,AG845))</f>
        <v/>
      </c>
      <c r="AJ845" s="17" t="str">
        <f t="shared" si="3"/>
        <v/>
      </c>
    </row>
    <row r="846" spans="31:36">
      <c r="AE846" s="15" t="str">
        <f t="shared" si="0"/>
        <v/>
      </c>
      <c r="AF846" s="15" t="str">
        <f t="shared" si="1"/>
        <v/>
      </c>
      <c r="AG846" s="15" t="str">
        <f>IF(OR(AF846="",AF846="ERRO_CHAVE"),"",IFERROR(MATCH(AF846,'Quitados DUPP'!$U$1:$U$6635,0),""))</f>
        <v/>
      </c>
      <c r="AH846" s="15" t="str">
        <f t="shared" si="2"/>
        <v/>
      </c>
      <c r="AI846" s="17" t="str">
        <f>IF(AG846="","",INDEX('Quitados DUPP'!$G$1:$G$6635,AG846))</f>
        <v/>
      </c>
      <c r="AJ846" s="17" t="str">
        <f t="shared" si="3"/>
        <v/>
      </c>
    </row>
    <row r="847" spans="31:36">
      <c r="AE847" s="15" t="str">
        <f t="shared" si="0"/>
        <v/>
      </c>
      <c r="AF847" s="15" t="str">
        <f t="shared" si="1"/>
        <v/>
      </c>
      <c r="AG847" s="15" t="str">
        <f>IF(OR(AF847="",AF847="ERRO_CHAVE"),"",IFERROR(MATCH(AF847,'Quitados DUPP'!$U$1:$U$6635,0),""))</f>
        <v/>
      </c>
      <c r="AH847" s="15" t="str">
        <f t="shared" si="2"/>
        <v/>
      </c>
      <c r="AI847" s="17" t="str">
        <f>IF(AG847="","",INDEX('Quitados DUPP'!$G$1:$G$6635,AG847))</f>
        <v/>
      </c>
      <c r="AJ847" s="17" t="str">
        <f t="shared" si="3"/>
        <v/>
      </c>
    </row>
    <row r="848" spans="31:36">
      <c r="AE848" s="15" t="str">
        <f t="shared" si="0"/>
        <v/>
      </c>
      <c r="AF848" s="15" t="str">
        <f t="shared" si="1"/>
        <v/>
      </c>
      <c r="AG848" s="15" t="str">
        <f>IF(OR(AF848="",AF848="ERRO_CHAVE"),"",IFERROR(MATCH(AF848,'Quitados DUPP'!$U$1:$U$6635,0),""))</f>
        <v/>
      </c>
      <c r="AH848" s="15" t="str">
        <f t="shared" si="2"/>
        <v/>
      </c>
      <c r="AI848" s="17" t="str">
        <f>IF(AG848="","",INDEX('Quitados DUPP'!$G$1:$G$6635,AG848))</f>
        <v/>
      </c>
      <c r="AJ848" s="17" t="str">
        <f t="shared" si="3"/>
        <v/>
      </c>
    </row>
    <row r="849" spans="31:36">
      <c r="AE849" s="15" t="str">
        <f t="shared" si="0"/>
        <v/>
      </c>
      <c r="AF849" s="15" t="str">
        <f t="shared" si="1"/>
        <v/>
      </c>
      <c r="AG849" s="15" t="str">
        <f>IF(OR(AF849="",AF849="ERRO_CHAVE"),"",IFERROR(MATCH(AF849,'Quitados DUPP'!$U$1:$U$6635,0),""))</f>
        <v/>
      </c>
      <c r="AH849" s="15" t="str">
        <f t="shared" si="2"/>
        <v/>
      </c>
      <c r="AI849" s="17" t="str">
        <f>IF(AG849="","",INDEX('Quitados DUPP'!$G$1:$G$6635,AG849))</f>
        <v/>
      </c>
      <c r="AJ849" s="17" t="str">
        <f t="shared" si="3"/>
        <v/>
      </c>
    </row>
    <row r="850" spans="31:36">
      <c r="AE850" s="15" t="str">
        <f t="shared" si="0"/>
        <v/>
      </c>
      <c r="AF850" s="15" t="str">
        <f t="shared" si="1"/>
        <v/>
      </c>
      <c r="AG850" s="15" t="str">
        <f>IF(OR(AF850="",AF850="ERRO_CHAVE"),"",IFERROR(MATCH(AF850,'Quitados DUPP'!$U$1:$U$6635,0),""))</f>
        <v/>
      </c>
      <c r="AH850" s="15" t="str">
        <f t="shared" si="2"/>
        <v/>
      </c>
      <c r="AI850" s="17" t="str">
        <f>IF(AG850="","",INDEX('Quitados DUPP'!$G$1:$G$6635,AG850))</f>
        <v/>
      </c>
      <c r="AJ850" s="17" t="str">
        <f t="shared" si="3"/>
        <v/>
      </c>
    </row>
    <row r="851" spans="31:36">
      <c r="AE851" s="15" t="str">
        <f t="shared" si="0"/>
        <v/>
      </c>
      <c r="AF851" s="15" t="str">
        <f t="shared" si="1"/>
        <v/>
      </c>
      <c r="AG851" s="15" t="str">
        <f>IF(OR(AF851="",AF851="ERRO_CHAVE"),"",IFERROR(MATCH(AF851,'Quitados DUPP'!$U$1:$U$6635,0),""))</f>
        <v/>
      </c>
      <c r="AH851" s="15" t="str">
        <f t="shared" si="2"/>
        <v/>
      </c>
      <c r="AI851" s="17" t="str">
        <f>IF(AG851="","",INDEX('Quitados DUPP'!$G$1:$G$6635,AG851))</f>
        <v/>
      </c>
      <c r="AJ851" s="17" t="str">
        <f t="shared" si="3"/>
        <v/>
      </c>
    </row>
    <row r="852" spans="31:36">
      <c r="AE852" s="15" t="str">
        <f t="shared" si="0"/>
        <v/>
      </c>
      <c r="AF852" s="15" t="str">
        <f t="shared" si="1"/>
        <v/>
      </c>
      <c r="AG852" s="15" t="str">
        <f>IF(OR(AF852="",AF852="ERRO_CHAVE"),"",IFERROR(MATCH(AF852,'Quitados DUPP'!$U$1:$U$6635,0),""))</f>
        <v/>
      </c>
      <c r="AH852" s="15" t="str">
        <f t="shared" si="2"/>
        <v/>
      </c>
      <c r="AI852" s="17" t="str">
        <f>IF(AG852="","",INDEX('Quitados DUPP'!$G$1:$G$6635,AG852))</f>
        <v/>
      </c>
      <c r="AJ852" s="17" t="str">
        <f t="shared" si="3"/>
        <v/>
      </c>
    </row>
    <row r="853" spans="31:36">
      <c r="AE853" s="15" t="str">
        <f t="shared" si="0"/>
        <v/>
      </c>
      <c r="AF853" s="15" t="str">
        <f t="shared" si="1"/>
        <v/>
      </c>
      <c r="AG853" s="15" t="str">
        <f>IF(OR(AF853="",AF853="ERRO_CHAVE"),"",IFERROR(MATCH(AF853,'Quitados DUPP'!$U$1:$U$6635,0),""))</f>
        <v/>
      </c>
      <c r="AH853" s="15" t="str">
        <f t="shared" si="2"/>
        <v/>
      </c>
      <c r="AI853" s="17" t="str">
        <f>IF(AG853="","",INDEX('Quitados DUPP'!$G$1:$G$6635,AG853))</f>
        <v/>
      </c>
      <c r="AJ853" s="17" t="str">
        <f t="shared" si="3"/>
        <v/>
      </c>
    </row>
    <row r="854" spans="31:36">
      <c r="AE854" s="15" t="str">
        <f t="shared" si="0"/>
        <v/>
      </c>
      <c r="AF854" s="15" t="str">
        <f t="shared" si="1"/>
        <v/>
      </c>
      <c r="AG854" s="15" t="str">
        <f>IF(OR(AF854="",AF854="ERRO_CHAVE"),"",IFERROR(MATCH(AF854,'Quitados DUPP'!$U$1:$U$6635,0),""))</f>
        <v/>
      </c>
      <c r="AH854" s="15" t="str">
        <f t="shared" si="2"/>
        <v/>
      </c>
      <c r="AI854" s="17" t="str">
        <f>IF(AG854="","",INDEX('Quitados DUPP'!$G$1:$G$6635,AG854))</f>
        <v/>
      </c>
      <c r="AJ854" s="17" t="str">
        <f t="shared" si="3"/>
        <v/>
      </c>
    </row>
    <row r="855" spans="31:36">
      <c r="AE855" s="15" t="str">
        <f t="shared" si="0"/>
        <v/>
      </c>
      <c r="AF855" s="15" t="str">
        <f t="shared" si="1"/>
        <v/>
      </c>
      <c r="AG855" s="15" t="str">
        <f>IF(OR(AF855="",AF855="ERRO_CHAVE"),"",IFERROR(MATCH(AF855,'Quitados DUPP'!$U$1:$U$6635,0),""))</f>
        <v/>
      </c>
      <c r="AH855" s="15" t="str">
        <f t="shared" si="2"/>
        <v/>
      </c>
      <c r="AI855" s="17" t="str">
        <f>IF(AG855="","",INDEX('Quitados DUPP'!$G$1:$G$6635,AG855))</f>
        <v/>
      </c>
      <c r="AJ855" s="17" t="str">
        <f t="shared" si="3"/>
        <v/>
      </c>
    </row>
    <row r="856" spans="31:36">
      <c r="AE856" s="15" t="str">
        <f t="shared" si="0"/>
        <v/>
      </c>
      <c r="AF856" s="15" t="str">
        <f t="shared" si="1"/>
        <v/>
      </c>
      <c r="AG856" s="15" t="str">
        <f>IF(OR(AF856="",AF856="ERRO_CHAVE"),"",IFERROR(MATCH(AF856,'Quitados DUPP'!$U$1:$U$6635,0),""))</f>
        <v/>
      </c>
      <c r="AH856" s="15" t="str">
        <f t="shared" si="2"/>
        <v/>
      </c>
      <c r="AI856" s="17" t="str">
        <f>IF(AG856="","",INDEX('Quitados DUPP'!$G$1:$G$6635,AG856))</f>
        <v/>
      </c>
      <c r="AJ856" s="17" t="str">
        <f t="shared" si="3"/>
        <v/>
      </c>
    </row>
    <row r="857" spans="31:36">
      <c r="AE857" s="15" t="str">
        <f t="shared" si="0"/>
        <v/>
      </c>
      <c r="AF857" s="15" t="str">
        <f t="shared" si="1"/>
        <v/>
      </c>
      <c r="AG857" s="15" t="str">
        <f>IF(OR(AF857="",AF857="ERRO_CHAVE"),"",IFERROR(MATCH(AF857,'Quitados DUPP'!$U$1:$U$6635,0),""))</f>
        <v/>
      </c>
      <c r="AH857" s="15" t="str">
        <f t="shared" si="2"/>
        <v/>
      </c>
      <c r="AI857" s="17" t="str">
        <f>IF(AG857="","",INDEX('Quitados DUPP'!$G$1:$G$6635,AG857))</f>
        <v/>
      </c>
      <c r="AJ857" s="17" t="str">
        <f t="shared" si="3"/>
        <v/>
      </c>
    </row>
    <row r="858" spans="31:36">
      <c r="AE858" s="15" t="str">
        <f t="shared" si="0"/>
        <v/>
      </c>
      <c r="AF858" s="15" t="str">
        <f t="shared" si="1"/>
        <v/>
      </c>
      <c r="AG858" s="15" t="str">
        <f>IF(OR(AF858="",AF858="ERRO_CHAVE"),"",IFERROR(MATCH(AF858,'Quitados DUPP'!$U$1:$U$6635,0),""))</f>
        <v/>
      </c>
      <c r="AH858" s="15" t="str">
        <f t="shared" si="2"/>
        <v/>
      </c>
      <c r="AI858" s="17" t="str">
        <f>IF(AG858="","",INDEX('Quitados DUPP'!$G$1:$G$6635,AG858))</f>
        <v/>
      </c>
      <c r="AJ858" s="17" t="str">
        <f t="shared" si="3"/>
        <v/>
      </c>
    </row>
    <row r="859" spans="31:36">
      <c r="AE859" s="15" t="str">
        <f t="shared" si="0"/>
        <v/>
      </c>
      <c r="AF859" s="15" t="str">
        <f t="shared" si="1"/>
        <v/>
      </c>
      <c r="AG859" s="15" t="str">
        <f>IF(OR(AF859="",AF859="ERRO_CHAVE"),"",IFERROR(MATCH(AF859,'Quitados DUPP'!$U$1:$U$6635,0),""))</f>
        <v/>
      </c>
      <c r="AH859" s="15" t="str">
        <f t="shared" si="2"/>
        <v/>
      </c>
      <c r="AI859" s="17" t="str">
        <f>IF(AG859="","",INDEX('Quitados DUPP'!$G$1:$G$6635,AG859))</f>
        <v/>
      </c>
      <c r="AJ859" s="17" t="str">
        <f t="shared" si="3"/>
        <v/>
      </c>
    </row>
    <row r="860" spans="31:36">
      <c r="AE860" s="15" t="str">
        <f t="shared" si="0"/>
        <v/>
      </c>
      <c r="AF860" s="15" t="str">
        <f t="shared" si="1"/>
        <v/>
      </c>
      <c r="AG860" s="15" t="str">
        <f>IF(OR(AF860="",AF860="ERRO_CHAVE"),"",IFERROR(MATCH(AF860,'Quitados DUPP'!$U$1:$U$6635,0),""))</f>
        <v/>
      </c>
      <c r="AH860" s="15" t="str">
        <f t="shared" si="2"/>
        <v/>
      </c>
      <c r="AI860" s="17" t="str">
        <f>IF(AG860="","",INDEX('Quitados DUPP'!$G$1:$G$6635,AG860))</f>
        <v/>
      </c>
      <c r="AJ860" s="17" t="str">
        <f t="shared" si="3"/>
        <v/>
      </c>
    </row>
    <row r="861" spans="31:36">
      <c r="AE861" s="15" t="str">
        <f t="shared" si="0"/>
        <v/>
      </c>
      <c r="AF861" s="15" t="str">
        <f t="shared" si="1"/>
        <v/>
      </c>
      <c r="AG861" s="15" t="str">
        <f>IF(OR(AF861="",AF861="ERRO_CHAVE"),"",IFERROR(MATCH(AF861,'Quitados DUPP'!$U$1:$U$6635,0),""))</f>
        <v/>
      </c>
      <c r="AH861" s="15" t="str">
        <f t="shared" si="2"/>
        <v/>
      </c>
      <c r="AI861" s="17" t="str">
        <f>IF(AG861="","",INDEX('Quitados DUPP'!$G$1:$G$6635,AG861))</f>
        <v/>
      </c>
      <c r="AJ861" s="17" t="str">
        <f t="shared" si="3"/>
        <v/>
      </c>
    </row>
    <row r="862" spans="31:36">
      <c r="AE862" s="15" t="str">
        <f t="shared" si="0"/>
        <v/>
      </c>
      <c r="AF862" s="15" t="str">
        <f t="shared" si="1"/>
        <v/>
      </c>
      <c r="AG862" s="15" t="str">
        <f>IF(OR(AF862="",AF862="ERRO_CHAVE"),"",IFERROR(MATCH(AF862,'Quitados DUPP'!$U$1:$U$6635,0),""))</f>
        <v/>
      </c>
      <c r="AH862" s="15" t="str">
        <f t="shared" si="2"/>
        <v/>
      </c>
      <c r="AI862" s="17" t="str">
        <f>IF(AG862="","",INDEX('Quitados DUPP'!$G$1:$G$6635,AG862))</f>
        <v/>
      </c>
      <c r="AJ862" s="17" t="str">
        <f t="shared" si="3"/>
        <v/>
      </c>
    </row>
    <row r="863" spans="31:36">
      <c r="AE863" s="15" t="str">
        <f t="shared" si="0"/>
        <v/>
      </c>
      <c r="AF863" s="15" t="str">
        <f t="shared" si="1"/>
        <v/>
      </c>
      <c r="AG863" s="15" t="str">
        <f>IF(OR(AF863="",AF863="ERRO_CHAVE"),"",IFERROR(MATCH(AF863,'Quitados DUPP'!$U$1:$U$6635,0),""))</f>
        <v/>
      </c>
      <c r="AH863" s="15" t="str">
        <f t="shared" si="2"/>
        <v/>
      </c>
      <c r="AI863" s="17" t="str">
        <f>IF(AG863="","",INDEX('Quitados DUPP'!$G$1:$G$6635,AG863))</f>
        <v/>
      </c>
      <c r="AJ863" s="17" t="str">
        <f t="shared" si="3"/>
        <v/>
      </c>
    </row>
    <row r="864" spans="31:36">
      <c r="AE864" s="15" t="str">
        <f t="shared" si="0"/>
        <v/>
      </c>
      <c r="AF864" s="15" t="str">
        <f t="shared" si="1"/>
        <v/>
      </c>
      <c r="AG864" s="15" t="str">
        <f>IF(OR(AF864="",AF864="ERRO_CHAVE"),"",IFERROR(MATCH(AF864,'Quitados DUPP'!$U$1:$U$6635,0),""))</f>
        <v/>
      </c>
      <c r="AH864" s="15" t="str">
        <f t="shared" si="2"/>
        <v/>
      </c>
      <c r="AI864" s="17" t="str">
        <f>IF(AG864="","",INDEX('Quitados DUPP'!$G$1:$G$6635,AG864))</f>
        <v/>
      </c>
      <c r="AJ864" s="17" t="str">
        <f t="shared" si="3"/>
        <v/>
      </c>
    </row>
    <row r="865" spans="31:36">
      <c r="AE865" s="15" t="str">
        <f t="shared" si="0"/>
        <v/>
      </c>
      <c r="AF865" s="15" t="str">
        <f t="shared" si="1"/>
        <v/>
      </c>
      <c r="AG865" s="15" t="str">
        <f>IF(OR(AF865="",AF865="ERRO_CHAVE"),"",IFERROR(MATCH(AF865,'Quitados DUPP'!$U$1:$U$6635,0),""))</f>
        <v/>
      </c>
      <c r="AH865" s="15" t="str">
        <f t="shared" si="2"/>
        <v/>
      </c>
      <c r="AI865" s="17" t="str">
        <f>IF(AG865="","",INDEX('Quitados DUPP'!$G$1:$G$6635,AG865))</f>
        <v/>
      </c>
      <c r="AJ865" s="17" t="str">
        <f t="shared" si="3"/>
        <v/>
      </c>
    </row>
    <row r="866" spans="31:36">
      <c r="AE866" s="15" t="str">
        <f t="shared" si="0"/>
        <v/>
      </c>
      <c r="AF866" s="15" t="str">
        <f t="shared" si="1"/>
        <v/>
      </c>
      <c r="AG866" s="15" t="str">
        <f>IF(OR(AF866="",AF866="ERRO_CHAVE"),"",IFERROR(MATCH(AF866,'Quitados DUPP'!$U$1:$U$6635,0),""))</f>
        <v/>
      </c>
      <c r="AH866" s="15" t="str">
        <f t="shared" si="2"/>
        <v/>
      </c>
      <c r="AI866" s="17" t="str">
        <f>IF(AG866="","",INDEX('Quitados DUPP'!$G$1:$G$6635,AG866))</f>
        <v/>
      </c>
      <c r="AJ866" s="17" t="str">
        <f t="shared" si="3"/>
        <v/>
      </c>
    </row>
    <row r="867" spans="31:36">
      <c r="AE867" s="15" t="str">
        <f t="shared" si="0"/>
        <v/>
      </c>
      <c r="AF867" s="15" t="str">
        <f t="shared" si="1"/>
        <v/>
      </c>
      <c r="AG867" s="15" t="str">
        <f>IF(OR(AF867="",AF867="ERRO_CHAVE"),"",IFERROR(MATCH(AF867,'Quitados DUPP'!$U$1:$U$6635,0),""))</f>
        <v/>
      </c>
      <c r="AH867" s="15" t="str">
        <f t="shared" si="2"/>
        <v/>
      </c>
      <c r="AI867" s="17" t="str">
        <f>IF(AG867="","",INDEX('Quitados DUPP'!$G$1:$G$6635,AG867))</f>
        <v/>
      </c>
      <c r="AJ867" s="17" t="str">
        <f t="shared" si="3"/>
        <v/>
      </c>
    </row>
    <row r="868" spans="31:36">
      <c r="AE868" s="15" t="str">
        <f t="shared" si="0"/>
        <v/>
      </c>
      <c r="AF868" s="15" t="str">
        <f t="shared" si="1"/>
        <v/>
      </c>
      <c r="AG868" s="15" t="str">
        <f>IF(OR(AF868="",AF868="ERRO_CHAVE"),"",IFERROR(MATCH(AF868,'Quitados DUPP'!$U$1:$U$6635,0),""))</f>
        <v/>
      </c>
      <c r="AH868" s="15" t="str">
        <f t="shared" si="2"/>
        <v/>
      </c>
      <c r="AI868" s="17" t="str">
        <f>IF(AG868="","",INDEX('Quitados DUPP'!$G$1:$G$6635,AG868))</f>
        <v/>
      </c>
      <c r="AJ868" s="17" t="str">
        <f t="shared" si="3"/>
        <v/>
      </c>
    </row>
    <row r="869" spans="31:36">
      <c r="AE869" s="15" t="str">
        <f t="shared" si="0"/>
        <v/>
      </c>
      <c r="AF869" s="15" t="str">
        <f t="shared" si="1"/>
        <v/>
      </c>
      <c r="AG869" s="15" t="str">
        <f>IF(OR(AF869="",AF869="ERRO_CHAVE"),"",IFERROR(MATCH(AF869,'Quitados DUPP'!$U$1:$U$6635,0),""))</f>
        <v/>
      </c>
      <c r="AH869" s="15" t="str">
        <f t="shared" si="2"/>
        <v/>
      </c>
      <c r="AI869" s="17" t="str">
        <f>IF(AG869="","",INDEX('Quitados DUPP'!$G$1:$G$6635,AG869))</f>
        <v/>
      </c>
      <c r="AJ869" s="17" t="str">
        <f t="shared" si="3"/>
        <v/>
      </c>
    </row>
    <row r="870" spans="31:36">
      <c r="AE870" s="15" t="str">
        <f t="shared" si="0"/>
        <v/>
      </c>
      <c r="AF870" s="15" t="str">
        <f t="shared" si="1"/>
        <v/>
      </c>
      <c r="AG870" s="15" t="str">
        <f>IF(OR(AF870="",AF870="ERRO_CHAVE"),"",IFERROR(MATCH(AF870,'Quitados DUPP'!$U$1:$U$6635,0),""))</f>
        <v/>
      </c>
      <c r="AH870" s="15" t="str">
        <f t="shared" si="2"/>
        <v/>
      </c>
      <c r="AI870" s="17" t="str">
        <f>IF(AG870="","",INDEX('Quitados DUPP'!$G$1:$G$6635,AG870))</f>
        <v/>
      </c>
      <c r="AJ870" s="17" t="str">
        <f t="shared" si="3"/>
        <v/>
      </c>
    </row>
    <row r="871" spans="31:36">
      <c r="AE871" s="15" t="str">
        <f t="shared" si="0"/>
        <v/>
      </c>
      <c r="AF871" s="15" t="str">
        <f t="shared" si="1"/>
        <v/>
      </c>
      <c r="AG871" s="15" t="str">
        <f>IF(OR(AF871="",AF871="ERRO_CHAVE"),"",IFERROR(MATCH(AF871,'Quitados DUPP'!$U$1:$U$6635,0),""))</f>
        <v/>
      </c>
      <c r="AH871" s="15" t="str">
        <f t="shared" si="2"/>
        <v/>
      </c>
      <c r="AI871" s="17" t="str">
        <f>IF(AG871="","",INDEX('Quitados DUPP'!$G$1:$G$6635,AG871))</f>
        <v/>
      </c>
      <c r="AJ871" s="17" t="str">
        <f t="shared" si="3"/>
        <v/>
      </c>
    </row>
    <row r="872" spans="31:36">
      <c r="AE872" s="15" t="str">
        <f t="shared" si="0"/>
        <v/>
      </c>
      <c r="AF872" s="15" t="str">
        <f t="shared" si="1"/>
        <v/>
      </c>
      <c r="AG872" s="15" t="str">
        <f>IF(OR(AF872="",AF872="ERRO_CHAVE"),"",IFERROR(MATCH(AF872,'Quitados DUPP'!$U$1:$U$6635,0),""))</f>
        <v/>
      </c>
      <c r="AH872" s="15" t="str">
        <f t="shared" si="2"/>
        <v/>
      </c>
      <c r="AI872" s="17" t="str">
        <f>IF(AG872="","",INDEX('Quitados DUPP'!$G$1:$G$6635,AG872))</f>
        <v/>
      </c>
      <c r="AJ872" s="17" t="str">
        <f t="shared" si="3"/>
        <v/>
      </c>
    </row>
    <row r="873" spans="31:36">
      <c r="AE873" s="15" t="str">
        <f t="shared" si="0"/>
        <v/>
      </c>
      <c r="AF873" s="15" t="str">
        <f t="shared" si="1"/>
        <v/>
      </c>
      <c r="AG873" s="15" t="str">
        <f>IF(OR(AF873="",AF873="ERRO_CHAVE"),"",IFERROR(MATCH(AF873,'Quitados DUPP'!$U$1:$U$6635,0),""))</f>
        <v/>
      </c>
      <c r="AH873" s="15" t="str">
        <f t="shared" si="2"/>
        <v/>
      </c>
      <c r="AI873" s="17" t="str">
        <f>IF(AG873="","",INDEX('Quitados DUPP'!$G$1:$G$6635,AG873))</f>
        <v/>
      </c>
      <c r="AJ873" s="17" t="str">
        <f t="shared" si="3"/>
        <v/>
      </c>
    </row>
    <row r="874" spans="31:36">
      <c r="AE874" s="15" t="str">
        <f t="shared" si="0"/>
        <v/>
      </c>
      <c r="AF874" s="15" t="str">
        <f t="shared" si="1"/>
        <v/>
      </c>
      <c r="AG874" s="15" t="str">
        <f>IF(OR(AF874="",AF874="ERRO_CHAVE"),"",IFERROR(MATCH(AF874,'Quitados DUPP'!$U$1:$U$6635,0),""))</f>
        <v/>
      </c>
      <c r="AH874" s="15" t="str">
        <f t="shared" si="2"/>
        <v/>
      </c>
      <c r="AI874" s="17" t="str">
        <f>IF(AG874="","",INDEX('Quitados DUPP'!$G$1:$G$6635,AG874))</f>
        <v/>
      </c>
      <c r="AJ874" s="17" t="str">
        <f t="shared" si="3"/>
        <v/>
      </c>
    </row>
    <row r="875" spans="31:36">
      <c r="AE875" s="15" t="str">
        <f t="shared" si="0"/>
        <v/>
      </c>
      <c r="AF875" s="15" t="str">
        <f t="shared" si="1"/>
        <v/>
      </c>
      <c r="AG875" s="15" t="str">
        <f>IF(OR(AF875="",AF875="ERRO_CHAVE"),"",IFERROR(MATCH(AF875,'Quitados DUPP'!$U$1:$U$6635,0),""))</f>
        <v/>
      </c>
      <c r="AH875" s="15" t="str">
        <f t="shared" si="2"/>
        <v/>
      </c>
      <c r="AI875" s="17" t="str">
        <f>IF(AG875="","",INDEX('Quitados DUPP'!$G$1:$G$6635,AG875))</f>
        <v/>
      </c>
      <c r="AJ875" s="17" t="str">
        <f t="shared" si="3"/>
        <v/>
      </c>
    </row>
    <row r="876" spans="31:36">
      <c r="AE876" s="15" t="str">
        <f t="shared" si="0"/>
        <v/>
      </c>
      <c r="AF876" s="15" t="str">
        <f t="shared" si="1"/>
        <v/>
      </c>
      <c r="AG876" s="15" t="str">
        <f>IF(OR(AF876="",AF876="ERRO_CHAVE"),"",IFERROR(MATCH(AF876,'Quitados DUPP'!$U$1:$U$6635,0),""))</f>
        <v/>
      </c>
      <c r="AH876" s="15" t="str">
        <f t="shared" si="2"/>
        <v/>
      </c>
      <c r="AI876" s="17" t="str">
        <f>IF(AG876="","",INDEX('Quitados DUPP'!$G$1:$G$6635,AG876))</f>
        <v/>
      </c>
      <c r="AJ876" s="17" t="str">
        <f t="shared" si="3"/>
        <v/>
      </c>
    </row>
    <row r="877" spans="31:36">
      <c r="AE877" s="15" t="str">
        <f t="shared" si="0"/>
        <v/>
      </c>
      <c r="AF877" s="15" t="str">
        <f t="shared" si="1"/>
        <v/>
      </c>
      <c r="AG877" s="15" t="str">
        <f>IF(OR(AF877="",AF877="ERRO_CHAVE"),"",IFERROR(MATCH(AF877,'Quitados DUPP'!$U$1:$U$6635,0),""))</f>
        <v/>
      </c>
      <c r="AH877" s="15" t="str">
        <f t="shared" si="2"/>
        <v/>
      </c>
      <c r="AI877" s="17" t="str">
        <f>IF(AG877="","",INDEX('Quitados DUPP'!$G$1:$G$6635,AG877))</f>
        <v/>
      </c>
      <c r="AJ877" s="17" t="str">
        <f t="shared" si="3"/>
        <v/>
      </c>
    </row>
    <row r="878" spans="31:36">
      <c r="AE878" s="15" t="str">
        <f t="shared" si="0"/>
        <v/>
      </c>
      <c r="AF878" s="15" t="str">
        <f t="shared" si="1"/>
        <v/>
      </c>
      <c r="AG878" s="15" t="str">
        <f>IF(OR(AF878="",AF878="ERRO_CHAVE"),"",IFERROR(MATCH(AF878,'Quitados DUPP'!$U$1:$U$6635,0),""))</f>
        <v/>
      </c>
      <c r="AH878" s="15" t="str">
        <f t="shared" si="2"/>
        <v/>
      </c>
      <c r="AI878" s="17" t="str">
        <f>IF(AG878="","",INDEX('Quitados DUPP'!$G$1:$G$6635,AG878))</f>
        <v/>
      </c>
      <c r="AJ878" s="17" t="str">
        <f t="shared" si="3"/>
        <v/>
      </c>
    </row>
    <row r="879" spans="31:36">
      <c r="AE879" s="15" t="str">
        <f t="shared" si="0"/>
        <v/>
      </c>
      <c r="AF879" s="15" t="str">
        <f t="shared" si="1"/>
        <v/>
      </c>
      <c r="AG879" s="15" t="str">
        <f>IF(OR(AF879="",AF879="ERRO_CHAVE"),"",IFERROR(MATCH(AF879,'Quitados DUPP'!$U$1:$U$6635,0),""))</f>
        <v/>
      </c>
      <c r="AH879" s="15" t="str">
        <f t="shared" si="2"/>
        <v/>
      </c>
      <c r="AI879" s="17" t="str">
        <f>IF(AG879="","",INDEX('Quitados DUPP'!$G$1:$G$6635,AG879))</f>
        <v/>
      </c>
      <c r="AJ879" s="17" t="str">
        <f t="shared" si="3"/>
        <v/>
      </c>
    </row>
    <row r="880" spans="31:36">
      <c r="AE880" s="15" t="str">
        <f t="shared" si="0"/>
        <v/>
      </c>
      <c r="AF880" s="15" t="str">
        <f t="shared" si="1"/>
        <v/>
      </c>
      <c r="AG880" s="15" t="str">
        <f>IF(OR(AF880="",AF880="ERRO_CHAVE"),"",IFERROR(MATCH(AF880,'Quitados DUPP'!$U$1:$U$6635,0),""))</f>
        <v/>
      </c>
      <c r="AH880" s="15" t="str">
        <f t="shared" si="2"/>
        <v/>
      </c>
      <c r="AI880" s="17" t="str">
        <f>IF(AG880="","",INDEX('Quitados DUPP'!$G$1:$G$6635,AG880))</f>
        <v/>
      </c>
      <c r="AJ880" s="17" t="str">
        <f t="shared" si="3"/>
        <v/>
      </c>
    </row>
    <row r="881" spans="31:36">
      <c r="AE881" s="15" t="str">
        <f t="shared" si="0"/>
        <v/>
      </c>
      <c r="AF881" s="15" t="str">
        <f t="shared" si="1"/>
        <v/>
      </c>
      <c r="AG881" s="15" t="str">
        <f>IF(OR(AF881="",AF881="ERRO_CHAVE"),"",IFERROR(MATCH(AF881,'Quitados DUPP'!$U$1:$U$6635,0),""))</f>
        <v/>
      </c>
      <c r="AH881" s="15" t="str">
        <f t="shared" si="2"/>
        <v/>
      </c>
      <c r="AI881" s="17" t="str">
        <f>IF(AG881="","",INDEX('Quitados DUPP'!$G$1:$G$6635,AG881))</f>
        <v/>
      </c>
      <c r="AJ881" s="17" t="str">
        <f t="shared" si="3"/>
        <v/>
      </c>
    </row>
    <row r="882" spans="31:36">
      <c r="AE882" s="15" t="str">
        <f t="shared" si="0"/>
        <v/>
      </c>
      <c r="AF882" s="15" t="str">
        <f t="shared" si="1"/>
        <v/>
      </c>
      <c r="AG882" s="15" t="str">
        <f>IF(OR(AF882="",AF882="ERRO_CHAVE"),"",IFERROR(MATCH(AF882,'Quitados DUPP'!$U$1:$U$6635,0),""))</f>
        <v/>
      </c>
      <c r="AH882" s="15" t="str">
        <f t="shared" si="2"/>
        <v/>
      </c>
      <c r="AI882" s="17" t="str">
        <f>IF(AG882="","",INDEX('Quitados DUPP'!$G$1:$G$6635,AG882))</f>
        <v/>
      </c>
      <c r="AJ882" s="17" t="str">
        <f t="shared" si="3"/>
        <v/>
      </c>
    </row>
    <row r="883" spans="31:36">
      <c r="AE883" s="15" t="str">
        <f t="shared" si="0"/>
        <v/>
      </c>
      <c r="AF883" s="15" t="str">
        <f t="shared" si="1"/>
        <v/>
      </c>
      <c r="AG883" s="15" t="str">
        <f>IF(OR(AF883="",AF883="ERRO_CHAVE"),"",IFERROR(MATCH(AF883,'Quitados DUPP'!$U$1:$U$6635,0),""))</f>
        <v/>
      </c>
      <c r="AH883" s="15" t="str">
        <f t="shared" si="2"/>
        <v/>
      </c>
      <c r="AI883" s="17" t="str">
        <f>IF(AG883="","",INDEX('Quitados DUPP'!$G$1:$G$6635,AG883))</f>
        <v/>
      </c>
      <c r="AJ883" s="17" t="str">
        <f t="shared" si="3"/>
        <v/>
      </c>
    </row>
    <row r="884" spans="31:36">
      <c r="AE884" s="15" t="str">
        <f t="shared" si="0"/>
        <v/>
      </c>
      <c r="AF884" s="15" t="str">
        <f t="shared" si="1"/>
        <v/>
      </c>
      <c r="AG884" s="15" t="str">
        <f>IF(OR(AF884="",AF884="ERRO_CHAVE"),"",IFERROR(MATCH(AF884,'Quitados DUPP'!$U$1:$U$6635,0),""))</f>
        <v/>
      </c>
      <c r="AH884" s="15" t="str">
        <f t="shared" si="2"/>
        <v/>
      </c>
      <c r="AI884" s="17" t="str">
        <f>IF(AG884="","",INDEX('Quitados DUPP'!$G$1:$G$6635,AG884))</f>
        <v/>
      </c>
      <c r="AJ884" s="17" t="str">
        <f t="shared" si="3"/>
        <v/>
      </c>
    </row>
    <row r="885" spans="31:36">
      <c r="AE885" s="15" t="str">
        <f t="shared" si="0"/>
        <v/>
      </c>
      <c r="AF885" s="15" t="str">
        <f t="shared" si="1"/>
        <v/>
      </c>
      <c r="AG885" s="15" t="str">
        <f>IF(OR(AF885="",AF885="ERRO_CHAVE"),"",IFERROR(MATCH(AF885,'Quitados DUPP'!$U$1:$U$6635,0),""))</f>
        <v/>
      </c>
      <c r="AH885" s="15" t="str">
        <f t="shared" si="2"/>
        <v/>
      </c>
      <c r="AI885" s="17" t="str">
        <f>IF(AG885="","",INDEX('Quitados DUPP'!$G$1:$G$6635,AG885))</f>
        <v/>
      </c>
      <c r="AJ885" s="17" t="str">
        <f t="shared" si="3"/>
        <v/>
      </c>
    </row>
    <row r="886" spans="31:36">
      <c r="AE886" s="15" t="str">
        <f t="shared" si="0"/>
        <v/>
      </c>
      <c r="AF886" s="15" t="str">
        <f t="shared" si="1"/>
        <v/>
      </c>
      <c r="AG886" s="15" t="str">
        <f>IF(OR(AF886="",AF886="ERRO_CHAVE"),"",IFERROR(MATCH(AF886,'Quitados DUPP'!$U$1:$U$6635,0),""))</f>
        <v/>
      </c>
      <c r="AH886" s="15" t="str">
        <f t="shared" si="2"/>
        <v/>
      </c>
      <c r="AI886" s="17" t="str">
        <f>IF(AG886="","",INDEX('Quitados DUPP'!$G$1:$G$6635,AG886))</f>
        <v/>
      </c>
      <c r="AJ886" s="17" t="str">
        <f t="shared" si="3"/>
        <v/>
      </c>
    </row>
    <row r="887" spans="31:36">
      <c r="AE887" s="15" t="str">
        <f t="shared" si="0"/>
        <v/>
      </c>
      <c r="AF887" s="15" t="str">
        <f t="shared" si="1"/>
        <v/>
      </c>
      <c r="AG887" s="15" t="str">
        <f>IF(OR(AF887="",AF887="ERRO_CHAVE"),"",IFERROR(MATCH(AF887,'Quitados DUPP'!$U$1:$U$6635,0),""))</f>
        <v/>
      </c>
      <c r="AH887" s="15" t="str">
        <f t="shared" si="2"/>
        <v/>
      </c>
      <c r="AI887" s="17" t="str">
        <f>IF(AG887="","",INDEX('Quitados DUPP'!$G$1:$G$6635,AG887))</f>
        <v/>
      </c>
      <c r="AJ887" s="17" t="str">
        <f t="shared" si="3"/>
        <v/>
      </c>
    </row>
    <row r="888" spans="31:36">
      <c r="AE888" s="15" t="str">
        <f t="shared" si="0"/>
        <v/>
      </c>
      <c r="AF888" s="15" t="str">
        <f t="shared" si="1"/>
        <v/>
      </c>
      <c r="AG888" s="15" t="str">
        <f>IF(OR(AF888="",AF888="ERRO_CHAVE"),"",IFERROR(MATCH(AF888,'Quitados DUPP'!$U$1:$U$6635,0),""))</f>
        <v/>
      </c>
      <c r="AH888" s="15" t="str">
        <f t="shared" si="2"/>
        <v/>
      </c>
      <c r="AI888" s="17" t="str">
        <f>IF(AG888="","",INDEX('Quitados DUPP'!$G$1:$G$6635,AG888))</f>
        <v/>
      </c>
      <c r="AJ888" s="17" t="str">
        <f t="shared" si="3"/>
        <v/>
      </c>
    </row>
    <row r="889" spans="31:36">
      <c r="AE889" s="15" t="str">
        <f t="shared" si="0"/>
        <v/>
      </c>
      <c r="AF889" s="15" t="str">
        <f t="shared" si="1"/>
        <v/>
      </c>
      <c r="AG889" s="15" t="str">
        <f>IF(OR(AF889="",AF889="ERRO_CHAVE"),"",IFERROR(MATCH(AF889,'Quitados DUPP'!$U$1:$U$6635,0),""))</f>
        <v/>
      </c>
      <c r="AH889" s="15" t="str">
        <f t="shared" si="2"/>
        <v/>
      </c>
      <c r="AI889" s="17" t="str">
        <f>IF(AG889="","",INDEX('Quitados DUPP'!$G$1:$G$6635,AG889))</f>
        <v/>
      </c>
      <c r="AJ889" s="17" t="str">
        <f t="shared" si="3"/>
        <v/>
      </c>
    </row>
    <row r="890" spans="31:36">
      <c r="AE890" s="15" t="str">
        <f t="shared" si="0"/>
        <v/>
      </c>
      <c r="AF890" s="15" t="str">
        <f t="shared" si="1"/>
        <v/>
      </c>
      <c r="AG890" s="15" t="str">
        <f>IF(OR(AF890="",AF890="ERRO_CHAVE"),"",IFERROR(MATCH(AF890,'Quitados DUPP'!$U$1:$U$6635,0),""))</f>
        <v/>
      </c>
      <c r="AH890" s="15" t="str">
        <f t="shared" si="2"/>
        <v/>
      </c>
      <c r="AI890" s="17" t="str">
        <f>IF(AG890="","",INDEX('Quitados DUPP'!$G$1:$G$6635,AG890))</f>
        <v/>
      </c>
      <c r="AJ890" s="17" t="str">
        <f t="shared" si="3"/>
        <v/>
      </c>
    </row>
    <row r="891" spans="31:36">
      <c r="AE891" s="15" t="str">
        <f t="shared" si="0"/>
        <v/>
      </c>
      <c r="AF891" s="15" t="str">
        <f t="shared" si="1"/>
        <v/>
      </c>
      <c r="AG891" s="15" t="str">
        <f>IF(OR(AF891="",AF891="ERRO_CHAVE"),"",IFERROR(MATCH(AF891,'Quitados DUPP'!$U$1:$U$6635,0),""))</f>
        <v/>
      </c>
      <c r="AH891" s="15" t="str">
        <f t="shared" si="2"/>
        <v/>
      </c>
      <c r="AI891" s="17" t="str">
        <f>IF(AG891="","",INDEX('Quitados DUPP'!$G$1:$G$6635,AG891))</f>
        <v/>
      </c>
      <c r="AJ891" s="17" t="str">
        <f t="shared" si="3"/>
        <v/>
      </c>
    </row>
    <row r="892" spans="31:36">
      <c r="AE892" s="15" t="str">
        <f t="shared" si="0"/>
        <v/>
      </c>
      <c r="AF892" s="15" t="str">
        <f t="shared" si="1"/>
        <v/>
      </c>
      <c r="AG892" s="15" t="str">
        <f>IF(OR(AF892="",AF892="ERRO_CHAVE"),"",IFERROR(MATCH(AF892,'Quitados DUPP'!$U$1:$U$6635,0),""))</f>
        <v/>
      </c>
      <c r="AH892" s="15" t="str">
        <f t="shared" si="2"/>
        <v/>
      </c>
      <c r="AI892" s="17" t="str">
        <f>IF(AG892="","",INDEX('Quitados DUPP'!$G$1:$G$6635,AG892))</f>
        <v/>
      </c>
      <c r="AJ892" s="17" t="str">
        <f t="shared" si="3"/>
        <v/>
      </c>
    </row>
    <row r="893" spans="31:36">
      <c r="AE893" s="15" t="str">
        <f t="shared" si="0"/>
        <v/>
      </c>
      <c r="AF893" s="15" t="str">
        <f t="shared" si="1"/>
        <v/>
      </c>
      <c r="AG893" s="15" t="str">
        <f>IF(OR(AF893="",AF893="ERRO_CHAVE"),"",IFERROR(MATCH(AF893,'Quitados DUPP'!$U$1:$U$6635,0),""))</f>
        <v/>
      </c>
      <c r="AH893" s="15" t="str">
        <f t="shared" si="2"/>
        <v/>
      </c>
      <c r="AI893" s="17" t="str">
        <f>IF(AG893="","",INDEX('Quitados DUPP'!$G$1:$G$6635,AG893))</f>
        <v/>
      </c>
      <c r="AJ893" s="17" t="str">
        <f t="shared" si="3"/>
        <v/>
      </c>
    </row>
    <row r="894" spans="31:36">
      <c r="AE894" s="15" t="str">
        <f t="shared" si="0"/>
        <v/>
      </c>
      <c r="AF894" s="15" t="str">
        <f t="shared" si="1"/>
        <v/>
      </c>
      <c r="AG894" s="15" t="str">
        <f>IF(OR(AF894="",AF894="ERRO_CHAVE"),"",IFERROR(MATCH(AF894,'Quitados DUPP'!$U$1:$U$6635,0),""))</f>
        <v/>
      </c>
      <c r="AH894" s="15" t="str">
        <f t="shared" si="2"/>
        <v/>
      </c>
      <c r="AI894" s="17" t="str">
        <f>IF(AG894="","",INDEX('Quitados DUPP'!$G$1:$G$6635,AG894))</f>
        <v/>
      </c>
      <c r="AJ894" s="17" t="str">
        <f t="shared" si="3"/>
        <v/>
      </c>
    </row>
    <row r="895" spans="31:36">
      <c r="AE895" s="15" t="str">
        <f t="shared" si="0"/>
        <v/>
      </c>
      <c r="AF895" s="15" t="str">
        <f t="shared" si="1"/>
        <v/>
      </c>
      <c r="AG895" s="15" t="str">
        <f>IF(OR(AF895="",AF895="ERRO_CHAVE"),"",IFERROR(MATCH(AF895,'Quitados DUPP'!$U$1:$U$6635,0),""))</f>
        <v/>
      </c>
      <c r="AH895" s="15" t="str">
        <f t="shared" si="2"/>
        <v/>
      </c>
      <c r="AI895" s="17" t="str">
        <f>IF(AG895="","",INDEX('Quitados DUPP'!$G$1:$G$6635,AG895))</f>
        <v/>
      </c>
      <c r="AJ895" s="17" t="str">
        <f t="shared" si="3"/>
        <v/>
      </c>
    </row>
    <row r="896" spans="31:36">
      <c r="AE896" s="15" t="str">
        <f t="shared" si="0"/>
        <v/>
      </c>
      <c r="AF896" s="15" t="str">
        <f t="shared" si="1"/>
        <v/>
      </c>
      <c r="AG896" s="15" t="str">
        <f>IF(OR(AF896="",AF896="ERRO_CHAVE"),"",IFERROR(MATCH(AF896,'Quitados DUPP'!$U$1:$U$6635,0),""))</f>
        <v/>
      </c>
      <c r="AH896" s="15" t="str">
        <f t="shared" si="2"/>
        <v/>
      </c>
      <c r="AI896" s="17" t="str">
        <f>IF(AG896="","",INDEX('Quitados DUPP'!$G$1:$G$6635,AG896))</f>
        <v/>
      </c>
      <c r="AJ896" s="17" t="str">
        <f t="shared" si="3"/>
        <v/>
      </c>
    </row>
    <row r="897" spans="31:36">
      <c r="AE897" s="15" t="str">
        <f t="shared" si="0"/>
        <v/>
      </c>
      <c r="AF897" s="15" t="str">
        <f t="shared" si="1"/>
        <v/>
      </c>
      <c r="AG897" s="15" t="str">
        <f>IF(OR(AF897="",AF897="ERRO_CHAVE"),"",IFERROR(MATCH(AF897,'Quitados DUPP'!$U$1:$U$6635,0),""))</f>
        <v/>
      </c>
      <c r="AH897" s="15" t="str">
        <f t="shared" si="2"/>
        <v/>
      </c>
      <c r="AI897" s="17" t="str">
        <f>IF(AG897="","",INDEX('Quitados DUPP'!$G$1:$G$6635,AG897))</f>
        <v/>
      </c>
      <c r="AJ897" s="17" t="str">
        <f t="shared" si="3"/>
        <v/>
      </c>
    </row>
    <row r="898" spans="31:36">
      <c r="AE898" s="15" t="str">
        <f t="shared" si="0"/>
        <v/>
      </c>
      <c r="AF898" s="15" t="str">
        <f t="shared" si="1"/>
        <v/>
      </c>
      <c r="AG898" s="15" t="str">
        <f>IF(OR(AF898="",AF898="ERRO_CHAVE"),"",IFERROR(MATCH(AF898,'Quitados DUPP'!$U$1:$U$6635,0),""))</f>
        <v/>
      </c>
      <c r="AH898" s="15" t="str">
        <f t="shared" si="2"/>
        <v/>
      </c>
      <c r="AI898" s="17" t="str">
        <f>IF(AG898="","",INDEX('Quitados DUPP'!$G$1:$G$6635,AG898))</f>
        <v/>
      </c>
      <c r="AJ898" s="17" t="str">
        <f t="shared" si="3"/>
        <v/>
      </c>
    </row>
    <row r="899" spans="31:36">
      <c r="AE899" s="15" t="str">
        <f t="shared" si="0"/>
        <v/>
      </c>
      <c r="AF899" s="15" t="str">
        <f t="shared" si="1"/>
        <v/>
      </c>
      <c r="AG899" s="15" t="str">
        <f>IF(OR(AF899="",AF899="ERRO_CHAVE"),"",IFERROR(MATCH(AF899,'Quitados DUPP'!$U$1:$U$6635,0),""))</f>
        <v/>
      </c>
      <c r="AH899" s="15" t="str">
        <f t="shared" si="2"/>
        <v/>
      </c>
      <c r="AI899" s="17" t="str">
        <f>IF(AG899="","",INDEX('Quitados DUPP'!$G$1:$G$6635,AG899))</f>
        <v/>
      </c>
      <c r="AJ899" s="17" t="str">
        <f t="shared" si="3"/>
        <v/>
      </c>
    </row>
    <row r="900" spans="31:36">
      <c r="AE900" s="15" t="str">
        <f t="shared" si="0"/>
        <v/>
      </c>
      <c r="AF900" s="15" t="str">
        <f t="shared" si="1"/>
        <v/>
      </c>
      <c r="AG900" s="15" t="str">
        <f>IF(OR(AF900="",AF900="ERRO_CHAVE"),"",IFERROR(MATCH(AF900,'Quitados DUPP'!$U$1:$U$6635,0),""))</f>
        <v/>
      </c>
      <c r="AH900" s="15" t="str">
        <f t="shared" si="2"/>
        <v/>
      </c>
      <c r="AI900" s="17" t="str">
        <f>IF(AG900="","",INDEX('Quitados DUPP'!$G$1:$G$6635,AG900))</f>
        <v/>
      </c>
      <c r="AJ900" s="17" t="str">
        <f t="shared" si="3"/>
        <v/>
      </c>
    </row>
    <row r="901" spans="31:36">
      <c r="AE901" s="15" t="str">
        <f t="shared" si="0"/>
        <v/>
      </c>
      <c r="AF901" s="15" t="str">
        <f t="shared" si="1"/>
        <v/>
      </c>
      <c r="AG901" s="15" t="str">
        <f>IF(OR(AF901="",AF901="ERRO_CHAVE"),"",IFERROR(MATCH(AF901,'Quitados DUPP'!$U$1:$U$6635,0),""))</f>
        <v/>
      </c>
      <c r="AH901" s="15" t="str">
        <f t="shared" si="2"/>
        <v/>
      </c>
      <c r="AI901" s="17" t="str">
        <f>IF(AG901="","",INDEX('Quitados DUPP'!$G$1:$G$6635,AG901))</f>
        <v/>
      </c>
      <c r="AJ901" s="17" t="str">
        <f t="shared" si="3"/>
        <v/>
      </c>
    </row>
    <row r="902" spans="31:36">
      <c r="AE902" s="15" t="str">
        <f t="shared" si="0"/>
        <v/>
      </c>
      <c r="AF902" s="15" t="str">
        <f t="shared" si="1"/>
        <v/>
      </c>
      <c r="AG902" s="15" t="str">
        <f>IF(OR(AF902="",AF902="ERRO_CHAVE"),"",IFERROR(MATCH(AF902,'Quitados DUPP'!$U$1:$U$6635,0),""))</f>
        <v/>
      </c>
      <c r="AH902" s="15" t="str">
        <f t="shared" si="2"/>
        <v/>
      </c>
      <c r="AI902" s="17" t="str">
        <f>IF(AG902="","",INDEX('Quitados DUPP'!$G$1:$G$6635,AG902))</f>
        <v/>
      </c>
      <c r="AJ902" s="17" t="str">
        <f t="shared" si="3"/>
        <v/>
      </c>
    </row>
    <row r="903" spans="31:36">
      <c r="AE903" s="15" t="str">
        <f t="shared" si="0"/>
        <v/>
      </c>
      <c r="AF903" s="15" t="str">
        <f t="shared" si="1"/>
        <v/>
      </c>
      <c r="AG903" s="15" t="str">
        <f>IF(OR(AF903="",AF903="ERRO_CHAVE"),"",IFERROR(MATCH(AF903,'Quitados DUPP'!$U$1:$U$6635,0),""))</f>
        <v/>
      </c>
      <c r="AH903" s="15" t="str">
        <f t="shared" si="2"/>
        <v/>
      </c>
      <c r="AI903" s="17" t="str">
        <f>IF(AG903="","",INDEX('Quitados DUPP'!$G$1:$G$6635,AG903))</f>
        <v/>
      </c>
      <c r="AJ903" s="17" t="str">
        <f t="shared" si="3"/>
        <v/>
      </c>
    </row>
    <row r="904" spans="31:36">
      <c r="AE904" s="15" t="str">
        <f t="shared" si="0"/>
        <v/>
      </c>
      <c r="AF904" s="15" t="str">
        <f t="shared" si="1"/>
        <v/>
      </c>
      <c r="AG904" s="15" t="str">
        <f>IF(OR(AF904="",AF904="ERRO_CHAVE"),"",IFERROR(MATCH(AF904,'Quitados DUPP'!$U$1:$U$6635,0),""))</f>
        <v/>
      </c>
      <c r="AH904" s="15" t="str">
        <f t="shared" si="2"/>
        <v/>
      </c>
      <c r="AI904" s="17" t="str">
        <f>IF(AG904="","",INDEX('Quitados DUPP'!$G$1:$G$6635,AG904))</f>
        <v/>
      </c>
      <c r="AJ904" s="17" t="str">
        <f t="shared" si="3"/>
        <v/>
      </c>
    </row>
    <row r="905" spans="31:36">
      <c r="AE905" s="15" t="str">
        <f t="shared" si="0"/>
        <v/>
      </c>
      <c r="AF905" s="15" t="str">
        <f t="shared" si="1"/>
        <v/>
      </c>
      <c r="AG905" s="15" t="str">
        <f>IF(OR(AF905="",AF905="ERRO_CHAVE"),"",IFERROR(MATCH(AF905,'Quitados DUPP'!$U$1:$U$6635,0),""))</f>
        <v/>
      </c>
      <c r="AH905" s="15" t="str">
        <f t="shared" si="2"/>
        <v/>
      </c>
      <c r="AI905" s="17" t="str">
        <f>IF(AG905="","",INDEX('Quitados DUPP'!$G$1:$G$6635,AG905))</f>
        <v/>
      </c>
      <c r="AJ905" s="17" t="str">
        <f t="shared" si="3"/>
        <v/>
      </c>
    </row>
    <row r="906" spans="31:36">
      <c r="AE906" s="15" t="str">
        <f t="shared" si="0"/>
        <v/>
      </c>
      <c r="AF906" s="15" t="str">
        <f t="shared" si="1"/>
        <v/>
      </c>
      <c r="AG906" s="15" t="str">
        <f>IF(OR(AF906="",AF906="ERRO_CHAVE"),"",IFERROR(MATCH(AF906,'Quitados DUPP'!$U$1:$U$6635,0),""))</f>
        <v/>
      </c>
      <c r="AH906" s="15" t="str">
        <f t="shared" si="2"/>
        <v/>
      </c>
      <c r="AI906" s="17" t="str">
        <f>IF(AG906="","",INDEX('Quitados DUPP'!$G$1:$G$6635,AG906))</f>
        <v/>
      </c>
      <c r="AJ906" s="17" t="str">
        <f t="shared" si="3"/>
        <v/>
      </c>
    </row>
    <row r="907" spans="31:36">
      <c r="AE907" s="15" t="str">
        <f t="shared" si="0"/>
        <v/>
      </c>
      <c r="AF907" s="15" t="str">
        <f t="shared" si="1"/>
        <v/>
      </c>
      <c r="AG907" s="15" t="str">
        <f>IF(OR(AF907="",AF907="ERRO_CHAVE"),"",IFERROR(MATCH(AF907,'Quitados DUPP'!$U$1:$U$6635,0),""))</f>
        <v/>
      </c>
      <c r="AH907" s="15" t="str">
        <f t="shared" si="2"/>
        <v/>
      </c>
      <c r="AI907" s="17" t="str">
        <f>IF(AG907="","",INDEX('Quitados DUPP'!$G$1:$G$6635,AG907))</f>
        <v/>
      </c>
      <c r="AJ907" s="17" t="str">
        <f t="shared" si="3"/>
        <v/>
      </c>
    </row>
    <row r="908" spans="31:36">
      <c r="AE908" s="15" t="str">
        <f t="shared" si="0"/>
        <v/>
      </c>
      <c r="AF908" s="15" t="str">
        <f t="shared" si="1"/>
        <v/>
      </c>
      <c r="AG908" s="15" t="str">
        <f>IF(OR(AF908="",AF908="ERRO_CHAVE"),"",IFERROR(MATCH(AF908,'Quitados DUPP'!$U$1:$U$6635,0),""))</f>
        <v/>
      </c>
      <c r="AH908" s="15" t="str">
        <f t="shared" si="2"/>
        <v/>
      </c>
      <c r="AI908" s="17" t="str">
        <f>IF(AG908="","",INDEX('Quitados DUPP'!$G$1:$G$6635,AG908))</f>
        <v/>
      </c>
      <c r="AJ908" s="17" t="str">
        <f t="shared" si="3"/>
        <v/>
      </c>
    </row>
    <row r="909" spans="31:36">
      <c r="AE909" s="15" t="str">
        <f t="shared" si="0"/>
        <v/>
      </c>
      <c r="AF909" s="15" t="str">
        <f t="shared" si="1"/>
        <v/>
      </c>
      <c r="AG909" s="15" t="str">
        <f>IF(OR(AF909="",AF909="ERRO_CHAVE"),"",IFERROR(MATCH(AF909,'Quitados DUPP'!$U$1:$U$6635,0),""))</f>
        <v/>
      </c>
      <c r="AH909" s="15" t="str">
        <f t="shared" si="2"/>
        <v/>
      </c>
      <c r="AI909" s="17" t="str">
        <f>IF(AG909="","",INDEX('Quitados DUPP'!$G$1:$G$6635,AG909))</f>
        <v/>
      </c>
      <c r="AJ909" s="17" t="str">
        <f t="shared" si="3"/>
        <v/>
      </c>
    </row>
    <row r="910" spans="31:36">
      <c r="AE910" s="15" t="str">
        <f t="shared" si="0"/>
        <v/>
      </c>
      <c r="AF910" s="15" t="str">
        <f t="shared" si="1"/>
        <v/>
      </c>
      <c r="AG910" s="15" t="str">
        <f>IF(OR(AF910="",AF910="ERRO_CHAVE"),"",IFERROR(MATCH(AF910,'Quitados DUPP'!$U$1:$U$6635,0),""))</f>
        <v/>
      </c>
      <c r="AH910" s="15" t="str">
        <f t="shared" si="2"/>
        <v/>
      </c>
      <c r="AI910" s="17" t="str">
        <f>IF(AG910="","",INDEX('Quitados DUPP'!$G$1:$G$6635,AG910))</f>
        <v/>
      </c>
      <c r="AJ910" s="17" t="str">
        <f t="shared" si="3"/>
        <v/>
      </c>
    </row>
    <row r="911" spans="31:36">
      <c r="AE911" s="15" t="str">
        <f t="shared" si="0"/>
        <v/>
      </c>
      <c r="AF911" s="15" t="str">
        <f t="shared" si="1"/>
        <v/>
      </c>
      <c r="AG911" s="15" t="str">
        <f>IF(OR(AF911="",AF911="ERRO_CHAVE"),"",IFERROR(MATCH(AF911,'Quitados DUPP'!$U$1:$U$6635,0),""))</f>
        <v/>
      </c>
      <c r="AH911" s="15" t="str">
        <f t="shared" si="2"/>
        <v/>
      </c>
      <c r="AI911" s="17" t="str">
        <f>IF(AG911="","",INDEX('Quitados DUPP'!$G$1:$G$6635,AG911))</f>
        <v/>
      </c>
      <c r="AJ911" s="17" t="str">
        <f t="shared" si="3"/>
        <v/>
      </c>
    </row>
    <row r="912" spans="31:36">
      <c r="AE912" s="15" t="str">
        <f t="shared" si="0"/>
        <v/>
      </c>
      <c r="AF912" s="15" t="str">
        <f t="shared" si="1"/>
        <v/>
      </c>
      <c r="AG912" s="15" t="str">
        <f>IF(OR(AF912="",AF912="ERRO_CHAVE"),"",IFERROR(MATCH(AF912,'Quitados DUPP'!$U$1:$U$6635,0),""))</f>
        <v/>
      </c>
      <c r="AH912" s="15" t="str">
        <f t="shared" si="2"/>
        <v/>
      </c>
      <c r="AI912" s="17" t="str">
        <f>IF(AG912="","",INDEX('Quitados DUPP'!$G$1:$G$6635,AG912))</f>
        <v/>
      </c>
      <c r="AJ912" s="17" t="str">
        <f t="shared" si="3"/>
        <v/>
      </c>
    </row>
    <row r="913" spans="31:36">
      <c r="AE913" s="15" t="str">
        <f t="shared" si="0"/>
        <v/>
      </c>
      <c r="AF913" s="15" t="str">
        <f t="shared" si="1"/>
        <v/>
      </c>
      <c r="AG913" s="15" t="str">
        <f>IF(OR(AF913="",AF913="ERRO_CHAVE"),"",IFERROR(MATCH(AF913,'Quitados DUPP'!$U$1:$U$6635,0),""))</f>
        <v/>
      </c>
      <c r="AH913" s="15" t="str">
        <f t="shared" si="2"/>
        <v/>
      </c>
      <c r="AI913" s="17" t="str">
        <f>IF(AG913="","",INDEX('Quitados DUPP'!$G$1:$G$6635,AG913))</f>
        <v/>
      </c>
      <c r="AJ913" s="17" t="str">
        <f t="shared" si="3"/>
        <v/>
      </c>
    </row>
    <row r="914" spans="31:36">
      <c r="AE914" s="15" t="str">
        <f t="shared" si="0"/>
        <v/>
      </c>
      <c r="AF914" s="15" t="str">
        <f t="shared" si="1"/>
        <v/>
      </c>
      <c r="AG914" s="15" t="str">
        <f>IF(OR(AF914="",AF914="ERRO_CHAVE"),"",IFERROR(MATCH(AF914,'Quitados DUPP'!$U$1:$U$6635,0),""))</f>
        <v/>
      </c>
      <c r="AH914" s="15" t="str">
        <f t="shared" si="2"/>
        <v/>
      </c>
      <c r="AI914" s="17" t="str">
        <f>IF(AG914="","",INDEX('Quitados DUPP'!$G$1:$G$6635,AG914))</f>
        <v/>
      </c>
      <c r="AJ914" s="17" t="str">
        <f t="shared" si="3"/>
        <v/>
      </c>
    </row>
    <row r="915" spans="31:36">
      <c r="AE915" s="15" t="str">
        <f t="shared" si="0"/>
        <v/>
      </c>
      <c r="AF915" s="15" t="str">
        <f t="shared" si="1"/>
        <v/>
      </c>
      <c r="AG915" s="15" t="str">
        <f>IF(OR(AF915="",AF915="ERRO_CHAVE"),"",IFERROR(MATCH(AF915,'Quitados DUPP'!$U$1:$U$6635,0),""))</f>
        <v/>
      </c>
      <c r="AH915" s="15" t="str">
        <f t="shared" si="2"/>
        <v/>
      </c>
      <c r="AI915" s="17" t="str">
        <f>IF(AG915="","",INDEX('Quitados DUPP'!$G$1:$G$6635,AG915))</f>
        <v/>
      </c>
      <c r="AJ915" s="17" t="str">
        <f t="shared" si="3"/>
        <v/>
      </c>
    </row>
    <row r="916" spans="31:36">
      <c r="AE916" s="15" t="str">
        <f t="shared" si="0"/>
        <v/>
      </c>
      <c r="AF916" s="15" t="str">
        <f t="shared" si="1"/>
        <v/>
      </c>
      <c r="AG916" s="15" t="str">
        <f>IF(OR(AF916="",AF916="ERRO_CHAVE"),"",IFERROR(MATCH(AF916,'Quitados DUPP'!$U$1:$U$6635,0),""))</f>
        <v/>
      </c>
      <c r="AH916" s="15" t="str">
        <f t="shared" si="2"/>
        <v/>
      </c>
      <c r="AI916" s="17" t="str">
        <f>IF(AG916="","",INDEX('Quitados DUPP'!$G$1:$G$6635,AG916))</f>
        <v/>
      </c>
      <c r="AJ916" s="17" t="str">
        <f t="shared" si="3"/>
        <v/>
      </c>
    </row>
    <row r="917" spans="31:36">
      <c r="AE917" s="15" t="str">
        <f t="shared" si="0"/>
        <v/>
      </c>
      <c r="AF917" s="15" t="str">
        <f t="shared" si="1"/>
        <v/>
      </c>
      <c r="AG917" s="15" t="str">
        <f>IF(OR(AF917="",AF917="ERRO_CHAVE"),"",IFERROR(MATCH(AF917,'Quitados DUPP'!$U$1:$U$6635,0),""))</f>
        <v/>
      </c>
      <c r="AH917" s="15" t="str">
        <f t="shared" si="2"/>
        <v/>
      </c>
      <c r="AI917" s="17" t="str">
        <f>IF(AG917="","",INDEX('Quitados DUPP'!$G$1:$G$6635,AG917))</f>
        <v/>
      </c>
      <c r="AJ917" s="17" t="str">
        <f t="shared" si="3"/>
        <v/>
      </c>
    </row>
    <row r="918" spans="31:36">
      <c r="AE918" s="15" t="str">
        <f t="shared" si="0"/>
        <v/>
      </c>
      <c r="AF918" s="15" t="str">
        <f t="shared" si="1"/>
        <v/>
      </c>
      <c r="AG918" s="15" t="str">
        <f>IF(OR(AF918="",AF918="ERRO_CHAVE"),"",IFERROR(MATCH(AF918,'Quitados DUPP'!$U$1:$U$6635,0),""))</f>
        <v/>
      </c>
      <c r="AH918" s="15" t="str">
        <f t="shared" si="2"/>
        <v/>
      </c>
      <c r="AI918" s="17" t="str">
        <f>IF(AG918="","",INDEX('Quitados DUPP'!$G$1:$G$6635,AG918))</f>
        <v/>
      </c>
      <c r="AJ918" s="17" t="str">
        <f t="shared" si="3"/>
        <v/>
      </c>
    </row>
    <row r="919" spans="31:36">
      <c r="AE919" s="15" t="str">
        <f t="shared" si="0"/>
        <v/>
      </c>
      <c r="AF919" s="15" t="str">
        <f t="shared" si="1"/>
        <v/>
      </c>
      <c r="AG919" s="15" t="str">
        <f>IF(OR(AF919="",AF919="ERRO_CHAVE"),"",IFERROR(MATCH(AF919,'Quitados DUPP'!$U$1:$U$6635,0),""))</f>
        <v/>
      </c>
      <c r="AH919" s="15" t="str">
        <f t="shared" si="2"/>
        <v/>
      </c>
      <c r="AI919" s="17" t="str">
        <f>IF(AG919="","",INDEX('Quitados DUPP'!$G$1:$G$6635,AG919))</f>
        <v/>
      </c>
      <c r="AJ919" s="17" t="str">
        <f t="shared" si="3"/>
        <v/>
      </c>
    </row>
    <row r="920" spans="31:36">
      <c r="AE920" s="15" t="str">
        <f t="shared" si="0"/>
        <v/>
      </c>
      <c r="AF920" s="15" t="str">
        <f t="shared" si="1"/>
        <v/>
      </c>
      <c r="AG920" s="15" t="str">
        <f>IF(OR(AF920="",AF920="ERRO_CHAVE"),"",IFERROR(MATCH(AF920,'Quitados DUPP'!$U$1:$U$6635,0),""))</f>
        <v/>
      </c>
      <c r="AH920" s="15" t="str">
        <f t="shared" si="2"/>
        <v/>
      </c>
      <c r="AI920" s="17" t="str">
        <f>IF(AG920="","",INDEX('Quitados DUPP'!$G$1:$G$6635,AG920))</f>
        <v/>
      </c>
      <c r="AJ920" s="17" t="str">
        <f t="shared" si="3"/>
        <v/>
      </c>
    </row>
    <row r="921" spans="31:36">
      <c r="AE921" s="15" t="str">
        <f t="shared" si="0"/>
        <v/>
      </c>
      <c r="AF921" s="15" t="str">
        <f t="shared" si="1"/>
        <v/>
      </c>
      <c r="AG921" s="15" t="str">
        <f>IF(OR(AF921="",AF921="ERRO_CHAVE"),"",IFERROR(MATCH(AF921,'Quitados DUPP'!$U$1:$U$6635,0),""))</f>
        <v/>
      </c>
      <c r="AH921" s="15" t="str">
        <f t="shared" si="2"/>
        <v/>
      </c>
      <c r="AI921" s="17" t="str">
        <f>IF(AG921="","",INDEX('Quitados DUPP'!$G$1:$G$6635,AG921))</f>
        <v/>
      </c>
      <c r="AJ921" s="17" t="str">
        <f t="shared" si="3"/>
        <v/>
      </c>
    </row>
    <row r="922" spans="31:36">
      <c r="AE922" s="15" t="str">
        <f t="shared" si="0"/>
        <v/>
      </c>
      <c r="AF922" s="15" t="str">
        <f t="shared" si="1"/>
        <v/>
      </c>
      <c r="AG922" s="15" t="str">
        <f>IF(OR(AF922="",AF922="ERRO_CHAVE"),"",IFERROR(MATCH(AF922,'Quitados DUPP'!$U$1:$U$6635,0),""))</f>
        <v/>
      </c>
      <c r="AH922" s="15" t="str">
        <f t="shared" si="2"/>
        <v/>
      </c>
      <c r="AI922" s="17" t="str">
        <f>IF(AG922="","",INDEX('Quitados DUPP'!$G$1:$G$6635,AG922))</f>
        <v/>
      </c>
      <c r="AJ922" s="17" t="str">
        <f t="shared" si="3"/>
        <v/>
      </c>
    </row>
    <row r="923" spans="31:36">
      <c r="AE923" s="15" t="str">
        <f t="shared" si="0"/>
        <v/>
      </c>
      <c r="AF923" s="15" t="str">
        <f t="shared" si="1"/>
        <v/>
      </c>
      <c r="AG923" s="15" t="str">
        <f>IF(OR(AF923="",AF923="ERRO_CHAVE"),"",IFERROR(MATCH(AF923,'Quitados DUPP'!$U$1:$U$6635,0),""))</f>
        <v/>
      </c>
      <c r="AH923" s="15" t="str">
        <f t="shared" si="2"/>
        <v/>
      </c>
      <c r="AI923" s="17" t="str">
        <f>IF(AG923="","",INDEX('Quitados DUPP'!$G$1:$G$6635,AG923))</f>
        <v/>
      </c>
      <c r="AJ923" s="17" t="str">
        <f t="shared" si="3"/>
        <v/>
      </c>
    </row>
    <row r="924" spans="31:36">
      <c r="AE924" s="15" t="str">
        <f t="shared" si="0"/>
        <v/>
      </c>
      <c r="AF924" s="15" t="str">
        <f t="shared" si="1"/>
        <v/>
      </c>
      <c r="AG924" s="15" t="str">
        <f>IF(OR(AF924="",AF924="ERRO_CHAVE"),"",IFERROR(MATCH(AF924,'Quitados DUPP'!$U$1:$U$6635,0),""))</f>
        <v/>
      </c>
      <c r="AH924" s="15" t="str">
        <f t="shared" si="2"/>
        <v/>
      </c>
      <c r="AI924" s="17" t="str">
        <f>IF(AG924="","",INDEX('Quitados DUPP'!$G$1:$G$6635,AG924))</f>
        <v/>
      </c>
      <c r="AJ924" s="17" t="str">
        <f t="shared" si="3"/>
        <v/>
      </c>
    </row>
    <row r="925" spans="31:36">
      <c r="AE925" s="15" t="str">
        <f t="shared" si="0"/>
        <v/>
      </c>
      <c r="AF925" s="15" t="str">
        <f t="shared" si="1"/>
        <v/>
      </c>
      <c r="AG925" s="15" t="str">
        <f>IF(OR(AF925="",AF925="ERRO_CHAVE"),"",IFERROR(MATCH(AF925,'Quitados DUPP'!$U$1:$U$6635,0),""))</f>
        <v/>
      </c>
      <c r="AH925" s="15" t="str">
        <f t="shared" si="2"/>
        <v/>
      </c>
      <c r="AI925" s="17" t="str">
        <f>IF(AG925="","",INDEX('Quitados DUPP'!$G$1:$G$6635,AG925))</f>
        <v/>
      </c>
      <c r="AJ925" s="17" t="str">
        <f t="shared" si="3"/>
        <v/>
      </c>
    </row>
    <row r="926" spans="31:36">
      <c r="AE926" s="15" t="str">
        <f t="shared" si="0"/>
        <v/>
      </c>
      <c r="AF926" s="15" t="str">
        <f t="shared" si="1"/>
        <v/>
      </c>
      <c r="AG926" s="15" t="str">
        <f>IF(OR(AF926="",AF926="ERRO_CHAVE"),"",IFERROR(MATCH(AF926,'Quitados DUPP'!$U$1:$U$6635,0),""))</f>
        <v/>
      </c>
      <c r="AH926" s="15" t="str">
        <f t="shared" si="2"/>
        <v/>
      </c>
      <c r="AI926" s="17" t="str">
        <f>IF(AG926="","",INDEX('Quitados DUPP'!$G$1:$G$6635,AG926))</f>
        <v/>
      </c>
      <c r="AJ926" s="17" t="str">
        <f t="shared" si="3"/>
        <v/>
      </c>
    </row>
    <row r="927" spans="31:36">
      <c r="AE927" s="15" t="str">
        <f t="shared" si="0"/>
        <v/>
      </c>
      <c r="AF927" s="15" t="str">
        <f t="shared" si="1"/>
        <v/>
      </c>
      <c r="AG927" s="15" t="str">
        <f>IF(OR(AF927="",AF927="ERRO_CHAVE"),"",IFERROR(MATCH(AF927,'Quitados DUPP'!$U$1:$U$6635,0),""))</f>
        <v/>
      </c>
      <c r="AH927" s="15" t="str">
        <f t="shared" si="2"/>
        <v/>
      </c>
      <c r="AI927" s="17" t="str">
        <f>IF(AG927="","",INDEX('Quitados DUPP'!$G$1:$G$6635,AG927))</f>
        <v/>
      </c>
      <c r="AJ927" s="17" t="str">
        <f t="shared" si="3"/>
        <v/>
      </c>
    </row>
    <row r="928" spans="31:36">
      <c r="AE928" s="15" t="str">
        <f t="shared" si="0"/>
        <v/>
      </c>
      <c r="AF928" s="15" t="str">
        <f t="shared" si="1"/>
        <v/>
      </c>
      <c r="AG928" s="15" t="str">
        <f>IF(OR(AF928="",AF928="ERRO_CHAVE"),"",IFERROR(MATCH(AF928,'Quitados DUPP'!$U$1:$U$6635,0),""))</f>
        <v/>
      </c>
      <c r="AH928" s="15" t="str">
        <f t="shared" si="2"/>
        <v/>
      </c>
      <c r="AI928" s="17" t="str">
        <f>IF(AG928="","",INDEX('Quitados DUPP'!$G$1:$G$6635,AG928))</f>
        <v/>
      </c>
      <c r="AJ928" s="17" t="str">
        <f t="shared" si="3"/>
        <v/>
      </c>
    </row>
    <row r="929" spans="31:36">
      <c r="AE929" s="15" t="str">
        <f t="shared" si="0"/>
        <v/>
      </c>
      <c r="AF929" s="15" t="str">
        <f t="shared" si="1"/>
        <v/>
      </c>
      <c r="AG929" s="15" t="str">
        <f>IF(OR(AF929="",AF929="ERRO_CHAVE"),"",IFERROR(MATCH(AF929,'Quitados DUPP'!$U$1:$U$6635,0),""))</f>
        <v/>
      </c>
      <c r="AH929" s="15" t="str">
        <f t="shared" si="2"/>
        <v/>
      </c>
      <c r="AI929" s="17" t="str">
        <f>IF(AG929="","",INDEX('Quitados DUPP'!$G$1:$G$6635,AG929))</f>
        <v/>
      </c>
      <c r="AJ929" s="17" t="str">
        <f t="shared" si="3"/>
        <v/>
      </c>
    </row>
    <row r="930" spans="31:36">
      <c r="AE930" s="15" t="str">
        <f t="shared" si="0"/>
        <v/>
      </c>
      <c r="AF930" s="15" t="str">
        <f t="shared" si="1"/>
        <v/>
      </c>
      <c r="AG930" s="15" t="str">
        <f>IF(OR(AF930="",AF930="ERRO_CHAVE"),"",IFERROR(MATCH(AF930,'Quitados DUPP'!$U$1:$U$6635,0),""))</f>
        <v/>
      </c>
      <c r="AH930" s="15" t="str">
        <f t="shared" si="2"/>
        <v/>
      </c>
      <c r="AI930" s="17" t="str">
        <f>IF(AG930="","",INDEX('Quitados DUPP'!$G$1:$G$6635,AG930))</f>
        <v/>
      </c>
      <c r="AJ930" s="17" t="str">
        <f t="shared" si="3"/>
        <v/>
      </c>
    </row>
    <row r="931" spans="31:36">
      <c r="AE931" s="15" t="str">
        <f t="shared" si="0"/>
        <v/>
      </c>
      <c r="AF931" s="15" t="str">
        <f t="shared" si="1"/>
        <v/>
      </c>
      <c r="AG931" s="15" t="str">
        <f>IF(OR(AF931="",AF931="ERRO_CHAVE"),"",IFERROR(MATCH(AF931,'Quitados DUPP'!$U$1:$U$6635,0),""))</f>
        <v/>
      </c>
      <c r="AH931" s="15" t="str">
        <f t="shared" si="2"/>
        <v/>
      </c>
      <c r="AI931" s="17" t="str">
        <f>IF(AG931="","",INDEX('Quitados DUPP'!$G$1:$G$6635,AG931))</f>
        <v/>
      </c>
      <c r="AJ931" s="17" t="str">
        <f t="shared" si="3"/>
        <v/>
      </c>
    </row>
    <row r="932" spans="31:36">
      <c r="AE932" s="15" t="str">
        <f t="shared" si="0"/>
        <v/>
      </c>
      <c r="AF932" s="15" t="str">
        <f t="shared" si="1"/>
        <v/>
      </c>
      <c r="AG932" s="15" t="str">
        <f>IF(OR(AF932="",AF932="ERRO_CHAVE"),"",IFERROR(MATCH(AF932,'Quitados DUPP'!$U$1:$U$6635,0),""))</f>
        <v/>
      </c>
      <c r="AH932" s="15" t="str">
        <f t="shared" si="2"/>
        <v/>
      </c>
      <c r="AI932" s="17" t="str">
        <f>IF(AG932="","",INDEX('Quitados DUPP'!$G$1:$G$6635,AG932))</f>
        <v/>
      </c>
      <c r="AJ932" s="17" t="str">
        <f t="shared" si="3"/>
        <v/>
      </c>
    </row>
    <row r="933" spans="31:36">
      <c r="AE933" s="15" t="str">
        <f t="shared" si="0"/>
        <v/>
      </c>
      <c r="AF933" s="15" t="str">
        <f t="shared" si="1"/>
        <v/>
      </c>
      <c r="AG933" s="15" t="str">
        <f>IF(OR(AF933="",AF933="ERRO_CHAVE"),"",IFERROR(MATCH(AF933,'Quitados DUPP'!$U$1:$U$6635,0),""))</f>
        <v/>
      </c>
      <c r="AH933" s="15" t="str">
        <f t="shared" si="2"/>
        <v/>
      </c>
      <c r="AI933" s="17" t="str">
        <f>IF(AG933="","",INDEX('Quitados DUPP'!$G$1:$G$6635,AG933))</f>
        <v/>
      </c>
      <c r="AJ933" s="17" t="str">
        <f t="shared" si="3"/>
        <v/>
      </c>
    </row>
    <row r="934" spans="31:36">
      <c r="AE934" s="15" t="str">
        <f t="shared" si="0"/>
        <v/>
      </c>
      <c r="AF934" s="15" t="str">
        <f t="shared" si="1"/>
        <v/>
      </c>
      <c r="AG934" s="15" t="str">
        <f>IF(OR(AF934="",AF934="ERRO_CHAVE"),"",IFERROR(MATCH(AF934,'Quitados DUPP'!$U$1:$U$6635,0),""))</f>
        <v/>
      </c>
      <c r="AH934" s="15" t="str">
        <f t="shared" si="2"/>
        <v/>
      </c>
      <c r="AI934" s="17" t="str">
        <f>IF(AG934="","",INDEX('Quitados DUPP'!$G$1:$G$6635,AG934))</f>
        <v/>
      </c>
      <c r="AJ934" s="17" t="str">
        <f t="shared" si="3"/>
        <v/>
      </c>
    </row>
    <row r="935" spans="31:36">
      <c r="AE935" s="15" t="str">
        <f t="shared" si="0"/>
        <v/>
      </c>
      <c r="AF935" s="15" t="str">
        <f t="shared" si="1"/>
        <v/>
      </c>
      <c r="AG935" s="15" t="str">
        <f>IF(OR(AF935="",AF935="ERRO_CHAVE"),"",IFERROR(MATCH(AF935,'Quitados DUPP'!$U$1:$U$6635,0),""))</f>
        <v/>
      </c>
      <c r="AH935" s="15" t="str">
        <f t="shared" si="2"/>
        <v/>
      </c>
      <c r="AI935" s="17" t="str">
        <f>IF(AG935="","",INDEX('Quitados DUPP'!$G$1:$G$6635,AG935))</f>
        <v/>
      </c>
      <c r="AJ935" s="17" t="str">
        <f t="shared" si="3"/>
        <v/>
      </c>
    </row>
    <row r="936" spans="31:36">
      <c r="AE936" s="15" t="str">
        <f t="shared" si="0"/>
        <v/>
      </c>
      <c r="AF936" s="15" t="str">
        <f t="shared" si="1"/>
        <v/>
      </c>
      <c r="AG936" s="15" t="str">
        <f>IF(OR(AF936="",AF936="ERRO_CHAVE"),"",IFERROR(MATCH(AF936,'Quitados DUPP'!$U$1:$U$6635,0),""))</f>
        <v/>
      </c>
      <c r="AH936" s="15" t="str">
        <f t="shared" si="2"/>
        <v/>
      </c>
      <c r="AI936" s="17" t="str">
        <f>IF(AG936="","",INDEX('Quitados DUPP'!$G$1:$G$6635,AG936))</f>
        <v/>
      </c>
      <c r="AJ936" s="17" t="str">
        <f t="shared" si="3"/>
        <v/>
      </c>
    </row>
    <row r="937" spans="31:36">
      <c r="AE937" s="15" t="str">
        <f t="shared" si="0"/>
        <v/>
      </c>
      <c r="AF937" s="15" t="str">
        <f t="shared" si="1"/>
        <v/>
      </c>
      <c r="AG937" s="15" t="str">
        <f>IF(OR(AF937="",AF937="ERRO_CHAVE"),"",IFERROR(MATCH(AF937,'Quitados DUPP'!$U$1:$U$6635,0),""))</f>
        <v/>
      </c>
      <c r="AH937" s="15" t="str">
        <f t="shared" si="2"/>
        <v/>
      </c>
      <c r="AI937" s="17" t="str">
        <f>IF(AG937="","",INDEX('Quitados DUPP'!$G$1:$G$6635,AG937))</f>
        <v/>
      </c>
      <c r="AJ937" s="17" t="str">
        <f t="shared" si="3"/>
        <v/>
      </c>
    </row>
    <row r="938" spans="31:36">
      <c r="AE938" s="15" t="str">
        <f t="shared" si="0"/>
        <v/>
      </c>
      <c r="AF938" s="15" t="str">
        <f t="shared" si="1"/>
        <v/>
      </c>
      <c r="AG938" s="15" t="str">
        <f>IF(OR(AF938="",AF938="ERRO_CHAVE"),"",IFERROR(MATCH(AF938,'Quitados DUPP'!$U$1:$U$6635,0),""))</f>
        <v/>
      </c>
      <c r="AH938" s="15" t="str">
        <f t="shared" si="2"/>
        <v/>
      </c>
      <c r="AI938" s="17" t="str">
        <f>IF(AG938="","",INDEX('Quitados DUPP'!$G$1:$G$6635,AG938))</f>
        <v/>
      </c>
      <c r="AJ938" s="17" t="str">
        <f t="shared" si="3"/>
        <v/>
      </c>
    </row>
    <row r="939" spans="31:36">
      <c r="AE939" s="15" t="str">
        <f t="shared" si="0"/>
        <v/>
      </c>
      <c r="AF939" s="15" t="str">
        <f t="shared" si="1"/>
        <v/>
      </c>
      <c r="AG939" s="15" t="str">
        <f>IF(OR(AF939="",AF939="ERRO_CHAVE"),"",IFERROR(MATCH(AF939,'Quitados DUPP'!$U$1:$U$6635,0),""))</f>
        <v/>
      </c>
      <c r="AH939" s="15" t="str">
        <f t="shared" si="2"/>
        <v/>
      </c>
      <c r="AI939" s="17" t="str">
        <f>IF(AG939="","",INDEX('Quitados DUPP'!$G$1:$G$6635,AG939))</f>
        <v/>
      </c>
      <c r="AJ939" s="17" t="str">
        <f t="shared" si="3"/>
        <v/>
      </c>
    </row>
    <row r="940" spans="31:36">
      <c r="AE940" s="15" t="str">
        <f t="shared" si="0"/>
        <v/>
      </c>
      <c r="AF940" s="15" t="str">
        <f t="shared" si="1"/>
        <v/>
      </c>
      <c r="AG940" s="15" t="str">
        <f>IF(OR(AF940="",AF940="ERRO_CHAVE"),"",IFERROR(MATCH(AF940,'Quitados DUPP'!$U$1:$U$6635,0),""))</f>
        <v/>
      </c>
      <c r="AH940" s="15" t="str">
        <f t="shared" si="2"/>
        <v/>
      </c>
      <c r="AI940" s="17" t="str">
        <f>IF(AG940="","",INDEX('Quitados DUPP'!$G$1:$G$6635,AG940))</f>
        <v/>
      </c>
      <c r="AJ940" s="17" t="str">
        <f t="shared" si="3"/>
        <v/>
      </c>
    </row>
    <row r="941" spans="31:36">
      <c r="AE941" s="15" t="str">
        <f t="shared" si="0"/>
        <v/>
      </c>
      <c r="AF941" s="15" t="str">
        <f t="shared" si="1"/>
        <v/>
      </c>
      <c r="AG941" s="15" t="str">
        <f>IF(OR(AF941="",AF941="ERRO_CHAVE"),"",IFERROR(MATCH(AF941,'Quitados DUPP'!$U$1:$U$6635,0),""))</f>
        <v/>
      </c>
      <c r="AH941" s="15" t="str">
        <f t="shared" si="2"/>
        <v/>
      </c>
      <c r="AI941" s="17" t="str">
        <f>IF(AG941="","",INDEX('Quitados DUPP'!$G$1:$G$6635,AG941))</f>
        <v/>
      </c>
      <c r="AJ941" s="17" t="str">
        <f t="shared" si="3"/>
        <v/>
      </c>
    </row>
    <row r="942" spans="31:36">
      <c r="AE942" s="15" t="str">
        <f t="shared" si="0"/>
        <v/>
      </c>
      <c r="AF942" s="15" t="str">
        <f t="shared" si="1"/>
        <v/>
      </c>
      <c r="AG942" s="15" t="str">
        <f>IF(OR(AF942="",AF942="ERRO_CHAVE"),"",IFERROR(MATCH(AF942,'Quitados DUPP'!$U$1:$U$6635,0),""))</f>
        <v/>
      </c>
      <c r="AH942" s="15" t="str">
        <f t="shared" si="2"/>
        <v/>
      </c>
      <c r="AI942" s="17" t="str">
        <f>IF(AG942="","",INDEX('Quitados DUPP'!$G$1:$G$6635,AG942))</f>
        <v/>
      </c>
      <c r="AJ942" s="17" t="str">
        <f t="shared" si="3"/>
        <v/>
      </c>
    </row>
    <row r="943" spans="31:36">
      <c r="AE943" s="15" t="str">
        <f t="shared" si="0"/>
        <v/>
      </c>
      <c r="AF943" s="15" t="str">
        <f t="shared" si="1"/>
        <v/>
      </c>
      <c r="AG943" s="15" t="str">
        <f>IF(OR(AF943="",AF943="ERRO_CHAVE"),"",IFERROR(MATCH(AF943,'Quitados DUPP'!$U$1:$U$6635,0),""))</f>
        <v/>
      </c>
      <c r="AH943" s="15" t="str">
        <f t="shared" si="2"/>
        <v/>
      </c>
      <c r="AI943" s="17" t="str">
        <f>IF(AG943="","",INDEX('Quitados DUPP'!$G$1:$G$6635,AG943))</f>
        <v/>
      </c>
      <c r="AJ943" s="17" t="str">
        <f t="shared" si="3"/>
        <v/>
      </c>
    </row>
    <row r="944" spans="31:36">
      <c r="AE944" s="15" t="str">
        <f t="shared" si="0"/>
        <v/>
      </c>
      <c r="AF944" s="15" t="str">
        <f t="shared" si="1"/>
        <v/>
      </c>
      <c r="AG944" s="15" t="str">
        <f>IF(OR(AF944="",AF944="ERRO_CHAVE"),"",IFERROR(MATCH(AF944,'Quitados DUPP'!$U$1:$U$6635,0),""))</f>
        <v/>
      </c>
      <c r="AH944" s="15" t="str">
        <f t="shared" si="2"/>
        <v/>
      </c>
      <c r="AI944" s="17" t="str">
        <f>IF(AG944="","",INDEX('Quitados DUPP'!$G$1:$G$6635,AG944))</f>
        <v/>
      </c>
      <c r="AJ944" s="17" t="str">
        <f t="shared" si="3"/>
        <v/>
      </c>
    </row>
    <row r="945" spans="31:36">
      <c r="AE945" s="15" t="str">
        <f t="shared" si="0"/>
        <v/>
      </c>
      <c r="AF945" s="15" t="str">
        <f t="shared" si="1"/>
        <v/>
      </c>
      <c r="AG945" s="15" t="str">
        <f>IF(OR(AF945="",AF945="ERRO_CHAVE"),"",IFERROR(MATCH(AF945,'Quitados DUPP'!$U$1:$U$6635,0),""))</f>
        <v/>
      </c>
      <c r="AH945" s="15" t="str">
        <f t="shared" si="2"/>
        <v/>
      </c>
      <c r="AI945" s="17" t="str">
        <f>IF(AG945="","",INDEX('Quitados DUPP'!$G$1:$G$6635,AG945))</f>
        <v/>
      </c>
      <c r="AJ945" s="17" t="str">
        <f t="shared" si="3"/>
        <v/>
      </c>
    </row>
    <row r="946" spans="31:36">
      <c r="AE946" s="15" t="str">
        <f t="shared" si="0"/>
        <v/>
      </c>
      <c r="AF946" s="15" t="str">
        <f t="shared" si="1"/>
        <v/>
      </c>
      <c r="AG946" s="15" t="str">
        <f>IF(OR(AF946="",AF946="ERRO_CHAVE"),"",IFERROR(MATCH(AF946,'Quitados DUPP'!$U$1:$U$6635,0),""))</f>
        <v/>
      </c>
      <c r="AH946" s="15" t="str">
        <f t="shared" si="2"/>
        <v/>
      </c>
      <c r="AI946" s="17" t="str">
        <f>IF(AG946="","",INDEX('Quitados DUPP'!$G$1:$G$6635,AG946))</f>
        <v/>
      </c>
      <c r="AJ946" s="17" t="str">
        <f t="shared" si="3"/>
        <v/>
      </c>
    </row>
    <row r="947" spans="31:36">
      <c r="AE947" s="15" t="str">
        <f t="shared" si="0"/>
        <v/>
      </c>
      <c r="AF947" s="15" t="str">
        <f t="shared" si="1"/>
        <v/>
      </c>
      <c r="AG947" s="15" t="str">
        <f>IF(OR(AF947="",AF947="ERRO_CHAVE"),"",IFERROR(MATCH(AF947,'Quitados DUPP'!$U$1:$U$6635,0),""))</f>
        <v/>
      </c>
      <c r="AH947" s="15" t="str">
        <f t="shared" si="2"/>
        <v/>
      </c>
      <c r="AI947" s="17" t="str">
        <f>IF(AG947="","",INDEX('Quitados DUPP'!$G$1:$G$6635,AG947))</f>
        <v/>
      </c>
      <c r="AJ947" s="17" t="str">
        <f t="shared" si="3"/>
        <v/>
      </c>
    </row>
    <row r="948" spans="31:36">
      <c r="AE948" s="15" t="str">
        <f t="shared" si="0"/>
        <v/>
      </c>
      <c r="AF948" s="15" t="str">
        <f t="shared" si="1"/>
        <v/>
      </c>
      <c r="AG948" s="15" t="str">
        <f>IF(OR(AF948="",AF948="ERRO_CHAVE"),"",IFERROR(MATCH(AF948,'Quitados DUPP'!$U$1:$U$6635,0),""))</f>
        <v/>
      </c>
      <c r="AH948" s="15" t="str">
        <f t="shared" si="2"/>
        <v/>
      </c>
      <c r="AI948" s="17" t="str">
        <f>IF(AG948="","",INDEX('Quitados DUPP'!$G$1:$G$6635,AG948))</f>
        <v/>
      </c>
      <c r="AJ948" s="17" t="str">
        <f t="shared" si="3"/>
        <v/>
      </c>
    </row>
    <row r="949" spans="31:36">
      <c r="AE949" s="15" t="str">
        <f t="shared" si="0"/>
        <v/>
      </c>
      <c r="AF949" s="15" t="str">
        <f t="shared" si="1"/>
        <v/>
      </c>
      <c r="AG949" s="15" t="str">
        <f>IF(OR(AF949="",AF949="ERRO_CHAVE"),"",IFERROR(MATCH(AF949,'Quitados DUPP'!$U$1:$U$6635,0),""))</f>
        <v/>
      </c>
      <c r="AH949" s="15" t="str">
        <f t="shared" si="2"/>
        <v/>
      </c>
      <c r="AI949" s="17" t="str">
        <f>IF(AG949="","",INDEX('Quitados DUPP'!$G$1:$G$6635,AG949))</f>
        <v/>
      </c>
      <c r="AJ949" s="17" t="str">
        <f t="shared" si="3"/>
        <v/>
      </c>
    </row>
    <row r="950" spans="31:36">
      <c r="AE950" s="15" t="str">
        <f t="shared" si="0"/>
        <v/>
      </c>
      <c r="AF950" s="15" t="str">
        <f t="shared" si="1"/>
        <v/>
      </c>
      <c r="AG950" s="15" t="str">
        <f>IF(OR(AF950="",AF950="ERRO_CHAVE"),"",IFERROR(MATCH(AF950,'Quitados DUPP'!$U$1:$U$6635,0),""))</f>
        <v/>
      </c>
      <c r="AH950" s="15" t="str">
        <f t="shared" si="2"/>
        <v/>
      </c>
      <c r="AI950" s="17" t="str">
        <f>IF(AG950="","",INDEX('Quitados DUPP'!$G$1:$G$6635,AG950))</f>
        <v/>
      </c>
      <c r="AJ950" s="17" t="str">
        <f t="shared" si="3"/>
        <v/>
      </c>
    </row>
    <row r="951" spans="31:36">
      <c r="AE951" s="15" t="str">
        <f t="shared" si="0"/>
        <v/>
      </c>
      <c r="AF951" s="15" t="str">
        <f t="shared" si="1"/>
        <v/>
      </c>
      <c r="AG951" s="15" t="str">
        <f>IF(OR(AF951="",AF951="ERRO_CHAVE"),"",IFERROR(MATCH(AF951,'Quitados DUPP'!$U$1:$U$6635,0),""))</f>
        <v/>
      </c>
      <c r="AH951" s="15" t="str">
        <f t="shared" si="2"/>
        <v/>
      </c>
      <c r="AI951" s="17" t="str">
        <f>IF(AG951="","",INDEX('Quitados DUPP'!$G$1:$G$6635,AG951))</f>
        <v/>
      </c>
      <c r="AJ951" s="17" t="str">
        <f t="shared" si="3"/>
        <v/>
      </c>
    </row>
    <row r="952" spans="31:36">
      <c r="AE952" s="15" t="str">
        <f t="shared" si="0"/>
        <v/>
      </c>
      <c r="AF952" s="15" t="str">
        <f t="shared" si="1"/>
        <v/>
      </c>
      <c r="AG952" s="15" t="str">
        <f>IF(OR(AF952="",AF952="ERRO_CHAVE"),"",IFERROR(MATCH(AF952,'Quitados DUPP'!$U$1:$U$6635,0),""))</f>
        <v/>
      </c>
      <c r="AH952" s="15" t="str">
        <f t="shared" si="2"/>
        <v/>
      </c>
      <c r="AI952" s="17" t="str">
        <f>IF(AG952="","",INDEX('Quitados DUPP'!$G$1:$G$6635,AG952))</f>
        <v/>
      </c>
      <c r="AJ952" s="17" t="str">
        <f t="shared" si="3"/>
        <v/>
      </c>
    </row>
    <row r="953" spans="31:36">
      <c r="AE953" s="15" t="str">
        <f t="shared" si="0"/>
        <v/>
      </c>
      <c r="AF953" s="15" t="str">
        <f t="shared" si="1"/>
        <v/>
      </c>
      <c r="AG953" s="15" t="str">
        <f>IF(OR(AF953="",AF953="ERRO_CHAVE"),"",IFERROR(MATCH(AF953,'Quitados DUPP'!$U$1:$U$6635,0),""))</f>
        <v/>
      </c>
      <c r="AH953" s="15" t="str">
        <f t="shared" si="2"/>
        <v/>
      </c>
      <c r="AI953" s="17" t="str">
        <f>IF(AG953="","",INDEX('Quitados DUPP'!$G$1:$G$6635,AG953))</f>
        <v/>
      </c>
      <c r="AJ953" s="17" t="str">
        <f t="shared" si="3"/>
        <v/>
      </c>
    </row>
    <row r="954" spans="31:36">
      <c r="AE954" s="15" t="str">
        <f t="shared" si="0"/>
        <v/>
      </c>
      <c r="AF954" s="15" t="str">
        <f t="shared" si="1"/>
        <v/>
      </c>
      <c r="AG954" s="15" t="str">
        <f>IF(OR(AF954="",AF954="ERRO_CHAVE"),"",IFERROR(MATCH(AF954,'Quitados DUPP'!$U$1:$U$6635,0),""))</f>
        <v/>
      </c>
      <c r="AH954" s="15" t="str">
        <f t="shared" si="2"/>
        <v/>
      </c>
      <c r="AI954" s="17" t="str">
        <f>IF(AG954="","",INDEX('Quitados DUPP'!$G$1:$G$6635,AG954))</f>
        <v/>
      </c>
      <c r="AJ954" s="17" t="str">
        <f t="shared" si="3"/>
        <v/>
      </c>
    </row>
    <row r="955" spans="31:36">
      <c r="AE955" s="15" t="str">
        <f t="shared" si="0"/>
        <v/>
      </c>
      <c r="AF955" s="15" t="str">
        <f t="shared" si="1"/>
        <v/>
      </c>
      <c r="AG955" s="15" t="str">
        <f>IF(OR(AF955="",AF955="ERRO_CHAVE"),"",IFERROR(MATCH(AF955,'Quitados DUPP'!$U$1:$U$6635,0),""))</f>
        <v/>
      </c>
      <c r="AH955" s="15" t="str">
        <f t="shared" si="2"/>
        <v/>
      </c>
      <c r="AI955" s="17" t="str">
        <f>IF(AG955="","",INDEX('Quitados DUPP'!$G$1:$G$6635,AG955))</f>
        <v/>
      </c>
      <c r="AJ955" s="17" t="str">
        <f t="shared" si="3"/>
        <v/>
      </c>
    </row>
    <row r="956" spans="31:36">
      <c r="AE956" s="15" t="str">
        <f t="shared" si="0"/>
        <v/>
      </c>
      <c r="AF956" s="15" t="str">
        <f t="shared" si="1"/>
        <v/>
      </c>
      <c r="AG956" s="15" t="str">
        <f>IF(OR(AF956="",AF956="ERRO_CHAVE"),"",IFERROR(MATCH(AF956,'Quitados DUPP'!$U$1:$U$6635,0),""))</f>
        <v/>
      </c>
      <c r="AH956" s="15" t="str">
        <f t="shared" si="2"/>
        <v/>
      </c>
      <c r="AI956" s="17" t="str">
        <f>IF(AG956="","",INDEX('Quitados DUPP'!$G$1:$G$6635,AG956))</f>
        <v/>
      </c>
      <c r="AJ956" s="17" t="str">
        <f t="shared" si="3"/>
        <v/>
      </c>
    </row>
    <row r="957" spans="31:36">
      <c r="AE957" s="15" t="str">
        <f t="shared" si="0"/>
        <v/>
      </c>
      <c r="AF957" s="15" t="str">
        <f t="shared" si="1"/>
        <v/>
      </c>
      <c r="AG957" s="15" t="str">
        <f>IF(OR(AF957="",AF957="ERRO_CHAVE"),"",IFERROR(MATCH(AF957,'Quitados DUPP'!$U$1:$U$6635,0),""))</f>
        <v/>
      </c>
      <c r="AH957" s="15" t="str">
        <f t="shared" si="2"/>
        <v/>
      </c>
      <c r="AI957" s="17" t="str">
        <f>IF(AG957="","",INDEX('Quitados DUPP'!$G$1:$G$6635,AG957))</f>
        <v/>
      </c>
      <c r="AJ957" s="17" t="str">
        <f t="shared" si="3"/>
        <v/>
      </c>
    </row>
    <row r="958" spans="31:36">
      <c r="AE958" s="15" t="str">
        <f t="shared" si="0"/>
        <v/>
      </c>
      <c r="AF958" s="15" t="str">
        <f t="shared" si="1"/>
        <v/>
      </c>
      <c r="AG958" s="15" t="str">
        <f>IF(OR(AF958="",AF958="ERRO_CHAVE"),"",IFERROR(MATCH(AF958,'Quitados DUPP'!$U$1:$U$6635,0),""))</f>
        <v/>
      </c>
      <c r="AH958" s="15" t="str">
        <f t="shared" si="2"/>
        <v/>
      </c>
      <c r="AI958" s="17" t="str">
        <f>IF(AG958="","",INDEX('Quitados DUPP'!$G$1:$G$6635,AG958))</f>
        <v/>
      </c>
      <c r="AJ958" s="17" t="str">
        <f t="shared" si="3"/>
        <v/>
      </c>
    </row>
    <row r="959" spans="31:36">
      <c r="AE959" s="15" t="str">
        <f t="shared" si="0"/>
        <v/>
      </c>
      <c r="AF959" s="15" t="str">
        <f t="shared" si="1"/>
        <v/>
      </c>
      <c r="AG959" s="15" t="str">
        <f>IF(OR(AF959="",AF959="ERRO_CHAVE"),"",IFERROR(MATCH(AF959,'Quitados DUPP'!$U$1:$U$6635,0),""))</f>
        <v/>
      </c>
      <c r="AH959" s="15" t="str">
        <f t="shared" si="2"/>
        <v/>
      </c>
      <c r="AI959" s="17" t="str">
        <f>IF(AG959="","",INDEX('Quitados DUPP'!$G$1:$G$6635,AG959))</f>
        <v/>
      </c>
      <c r="AJ959" s="17" t="str">
        <f t="shared" si="3"/>
        <v/>
      </c>
    </row>
    <row r="960" spans="31:36">
      <c r="AE960" s="15" t="str">
        <f t="shared" si="0"/>
        <v/>
      </c>
      <c r="AF960" s="15" t="str">
        <f t="shared" si="1"/>
        <v/>
      </c>
      <c r="AG960" s="15" t="str">
        <f>IF(OR(AF960="",AF960="ERRO_CHAVE"),"",IFERROR(MATCH(AF960,'Quitados DUPP'!$U$1:$U$6635,0),""))</f>
        <v/>
      </c>
      <c r="AH960" s="15" t="str">
        <f t="shared" si="2"/>
        <v/>
      </c>
      <c r="AI960" s="17" t="str">
        <f>IF(AG960="","",INDEX('Quitados DUPP'!$G$1:$G$6635,AG960))</f>
        <v/>
      </c>
      <c r="AJ960" s="17" t="str">
        <f t="shared" si="3"/>
        <v/>
      </c>
    </row>
    <row r="961" spans="31:36">
      <c r="AE961" s="15" t="str">
        <f t="shared" si="0"/>
        <v/>
      </c>
      <c r="AF961" s="15" t="str">
        <f t="shared" si="1"/>
        <v/>
      </c>
      <c r="AG961" s="15" t="str">
        <f>IF(OR(AF961="",AF961="ERRO_CHAVE"),"",IFERROR(MATCH(AF961,'Quitados DUPP'!$U$1:$U$6635,0),""))</f>
        <v/>
      </c>
      <c r="AH961" s="15" t="str">
        <f t="shared" si="2"/>
        <v/>
      </c>
      <c r="AI961" s="17" t="str">
        <f>IF(AG961="","",INDEX('Quitados DUPP'!$G$1:$G$6635,AG961))</f>
        <v/>
      </c>
      <c r="AJ961" s="17" t="str">
        <f t="shared" si="3"/>
        <v/>
      </c>
    </row>
    <row r="962" spans="31:36">
      <c r="AE962" s="15" t="str">
        <f t="shared" si="0"/>
        <v/>
      </c>
      <c r="AF962" s="15" t="str">
        <f t="shared" si="1"/>
        <v/>
      </c>
      <c r="AG962" s="15" t="str">
        <f>IF(OR(AF962="",AF962="ERRO_CHAVE"),"",IFERROR(MATCH(AF962,'Quitados DUPP'!$U$1:$U$6635,0),""))</f>
        <v/>
      </c>
      <c r="AH962" s="15" t="str">
        <f t="shared" si="2"/>
        <v/>
      </c>
      <c r="AI962" s="17" t="str">
        <f>IF(AG962="","",INDEX('Quitados DUPP'!$G$1:$G$6635,AG962))</f>
        <v/>
      </c>
      <c r="AJ962" s="17" t="str">
        <f t="shared" si="3"/>
        <v/>
      </c>
    </row>
    <row r="963" spans="31:36">
      <c r="AE963" s="15" t="str">
        <f t="shared" si="0"/>
        <v/>
      </c>
      <c r="AF963" s="15" t="str">
        <f t="shared" si="1"/>
        <v/>
      </c>
      <c r="AG963" s="15" t="str">
        <f>IF(OR(AF963="",AF963="ERRO_CHAVE"),"",IFERROR(MATCH(AF963,'Quitados DUPP'!$U$1:$U$6635,0),""))</f>
        <v/>
      </c>
      <c r="AH963" s="15" t="str">
        <f t="shared" si="2"/>
        <v/>
      </c>
      <c r="AI963" s="17" t="str">
        <f>IF(AG963="","",INDEX('Quitados DUPP'!$G$1:$G$6635,AG963))</f>
        <v/>
      </c>
      <c r="AJ963" s="17" t="str">
        <f t="shared" si="3"/>
        <v/>
      </c>
    </row>
    <row r="964" spans="31:36">
      <c r="AE964" s="15" t="str">
        <f t="shared" si="0"/>
        <v/>
      </c>
      <c r="AF964" s="15" t="str">
        <f t="shared" si="1"/>
        <v/>
      </c>
      <c r="AG964" s="15" t="str">
        <f>IF(OR(AF964="",AF964="ERRO_CHAVE"),"",IFERROR(MATCH(AF964,'Quitados DUPP'!$U$1:$U$6635,0),""))</f>
        <v/>
      </c>
      <c r="AH964" s="15" t="str">
        <f t="shared" si="2"/>
        <v/>
      </c>
      <c r="AI964" s="17" t="str">
        <f>IF(AG964="","",INDEX('Quitados DUPP'!$G$1:$G$6635,AG964))</f>
        <v/>
      </c>
      <c r="AJ964" s="17" t="str">
        <f t="shared" si="3"/>
        <v/>
      </c>
    </row>
    <row r="965" spans="31:36">
      <c r="AE965" s="15" t="str">
        <f t="shared" si="0"/>
        <v/>
      </c>
      <c r="AF965" s="15" t="str">
        <f t="shared" si="1"/>
        <v/>
      </c>
      <c r="AG965" s="15" t="str">
        <f>IF(OR(AF965="",AF965="ERRO_CHAVE"),"",IFERROR(MATCH(AF965,'Quitados DUPP'!$U$1:$U$6635,0),""))</f>
        <v/>
      </c>
      <c r="AH965" s="15" t="str">
        <f t="shared" si="2"/>
        <v/>
      </c>
      <c r="AI965" s="17" t="str">
        <f>IF(AG965="","",INDEX('Quitados DUPP'!$G$1:$G$6635,AG965))</f>
        <v/>
      </c>
      <c r="AJ965" s="17" t="str">
        <f t="shared" si="3"/>
        <v/>
      </c>
    </row>
    <row r="966" spans="31:36">
      <c r="AE966" s="15" t="str">
        <f t="shared" si="0"/>
        <v/>
      </c>
      <c r="AF966" s="15" t="str">
        <f t="shared" si="1"/>
        <v/>
      </c>
      <c r="AG966" s="15" t="str">
        <f>IF(OR(AF966="",AF966="ERRO_CHAVE"),"",IFERROR(MATCH(AF966,'Quitados DUPP'!$U$1:$U$6635,0),""))</f>
        <v/>
      </c>
      <c r="AH966" s="15" t="str">
        <f t="shared" si="2"/>
        <v/>
      </c>
      <c r="AI966" s="17" t="str">
        <f>IF(AG966="","",INDEX('Quitados DUPP'!$G$1:$G$6635,AG966))</f>
        <v/>
      </c>
      <c r="AJ966" s="17" t="str">
        <f t="shared" si="3"/>
        <v/>
      </c>
    </row>
    <row r="967" spans="31:36">
      <c r="AE967" s="15" t="str">
        <f t="shared" si="0"/>
        <v/>
      </c>
      <c r="AF967" s="15" t="str">
        <f t="shared" si="1"/>
        <v/>
      </c>
      <c r="AG967" s="15" t="str">
        <f>IF(OR(AF967="",AF967="ERRO_CHAVE"),"",IFERROR(MATCH(AF967,'Quitados DUPP'!$U$1:$U$6635,0),""))</f>
        <v/>
      </c>
      <c r="AH967" s="15" t="str">
        <f t="shared" si="2"/>
        <v/>
      </c>
      <c r="AI967" s="17" t="str">
        <f>IF(AG967="","",INDEX('Quitados DUPP'!$G$1:$G$6635,AG967))</f>
        <v/>
      </c>
      <c r="AJ967" s="17" t="str">
        <f t="shared" si="3"/>
        <v/>
      </c>
    </row>
    <row r="968" spans="31:36">
      <c r="AE968" s="15" t="str">
        <f t="shared" si="0"/>
        <v/>
      </c>
      <c r="AF968" s="15" t="str">
        <f t="shared" si="1"/>
        <v/>
      </c>
      <c r="AG968" s="15" t="str">
        <f>IF(OR(AF968="",AF968="ERRO_CHAVE"),"",IFERROR(MATCH(AF968,'Quitados DUPP'!$U$1:$U$6635,0),""))</f>
        <v/>
      </c>
      <c r="AH968" s="15" t="str">
        <f t="shared" si="2"/>
        <v/>
      </c>
      <c r="AI968" s="17" t="str">
        <f>IF(AG968="","",INDEX('Quitados DUPP'!$G$1:$G$6635,AG968))</f>
        <v/>
      </c>
      <c r="AJ968" s="17" t="str">
        <f t="shared" si="3"/>
        <v/>
      </c>
    </row>
    <row r="969" spans="31:36">
      <c r="AE969" s="15" t="str">
        <f t="shared" si="0"/>
        <v/>
      </c>
      <c r="AF969" s="15" t="str">
        <f t="shared" si="1"/>
        <v/>
      </c>
      <c r="AG969" s="15" t="str">
        <f>IF(OR(AF969="",AF969="ERRO_CHAVE"),"",IFERROR(MATCH(AF969,'Quitados DUPP'!$U$1:$U$6635,0),""))</f>
        <v/>
      </c>
      <c r="AH969" s="15" t="str">
        <f t="shared" si="2"/>
        <v/>
      </c>
      <c r="AI969" s="17" t="str">
        <f>IF(AG969="","",INDEX('Quitados DUPP'!$G$1:$G$6635,AG969))</f>
        <v/>
      </c>
      <c r="AJ969" s="17" t="str">
        <f t="shared" si="3"/>
        <v/>
      </c>
    </row>
    <row r="970" spans="31:36">
      <c r="AE970" s="15" t="str">
        <f t="shared" si="0"/>
        <v/>
      </c>
      <c r="AF970" s="15" t="str">
        <f t="shared" si="1"/>
        <v/>
      </c>
      <c r="AG970" s="15" t="str">
        <f>IF(OR(AF970="",AF970="ERRO_CHAVE"),"",IFERROR(MATCH(AF970,'Quitados DUPP'!$U$1:$U$6635,0),""))</f>
        <v/>
      </c>
      <c r="AH970" s="15" t="str">
        <f t="shared" si="2"/>
        <v/>
      </c>
      <c r="AI970" s="17" t="str">
        <f>IF(AG970="","",INDEX('Quitados DUPP'!$G$1:$G$6635,AG970))</f>
        <v/>
      </c>
      <c r="AJ970" s="17" t="str">
        <f t="shared" si="3"/>
        <v/>
      </c>
    </row>
    <row r="971" spans="31:36">
      <c r="AE971" s="15" t="str">
        <f t="shared" si="0"/>
        <v/>
      </c>
      <c r="AF971" s="15" t="str">
        <f t="shared" si="1"/>
        <v/>
      </c>
      <c r="AG971" s="15" t="str">
        <f>IF(OR(AF971="",AF971="ERRO_CHAVE"),"",IFERROR(MATCH(AF971,'Quitados DUPP'!$U$1:$U$6635,0),""))</f>
        <v/>
      </c>
      <c r="AH971" s="15" t="str">
        <f t="shared" si="2"/>
        <v/>
      </c>
      <c r="AI971" s="17" t="str">
        <f>IF(AG971="","",INDEX('Quitados DUPP'!$G$1:$G$6635,AG971))</f>
        <v/>
      </c>
      <c r="AJ971" s="17" t="str">
        <f t="shared" si="3"/>
        <v/>
      </c>
    </row>
    <row r="972" spans="31:36">
      <c r="AE972" s="15" t="str">
        <f t="shared" si="0"/>
        <v/>
      </c>
      <c r="AF972" s="15" t="str">
        <f t="shared" si="1"/>
        <v/>
      </c>
      <c r="AG972" s="15" t="str">
        <f>IF(OR(AF972="",AF972="ERRO_CHAVE"),"",IFERROR(MATCH(AF972,'Quitados DUPP'!$U$1:$U$6635,0),""))</f>
        <v/>
      </c>
      <c r="AH972" s="15" t="str">
        <f t="shared" si="2"/>
        <v/>
      </c>
      <c r="AI972" s="17" t="str">
        <f>IF(AG972="","",INDEX('Quitados DUPP'!$G$1:$G$6635,AG972))</f>
        <v/>
      </c>
      <c r="AJ972" s="17" t="str">
        <f t="shared" si="3"/>
        <v/>
      </c>
    </row>
    <row r="973" spans="31:36">
      <c r="AE973" s="15" t="str">
        <f t="shared" si="0"/>
        <v/>
      </c>
      <c r="AF973" s="15" t="str">
        <f t="shared" si="1"/>
        <v/>
      </c>
      <c r="AG973" s="15" t="str">
        <f>IF(OR(AF973="",AF973="ERRO_CHAVE"),"",IFERROR(MATCH(AF973,'Quitados DUPP'!$U$1:$U$6635,0),""))</f>
        <v/>
      </c>
      <c r="AH973" s="15" t="str">
        <f t="shared" si="2"/>
        <v/>
      </c>
      <c r="AI973" s="17" t="str">
        <f>IF(AG973="","",INDEX('Quitados DUPP'!$G$1:$G$6635,AG973))</f>
        <v/>
      </c>
      <c r="AJ973" s="17" t="str">
        <f t="shared" si="3"/>
        <v/>
      </c>
    </row>
    <row r="974" spans="31:36">
      <c r="AE974" s="15" t="str">
        <f t="shared" si="0"/>
        <v/>
      </c>
      <c r="AF974" s="15" t="str">
        <f t="shared" si="1"/>
        <v/>
      </c>
      <c r="AG974" s="15" t="str">
        <f>IF(OR(AF974="",AF974="ERRO_CHAVE"),"",IFERROR(MATCH(AF974,'Quitados DUPP'!$U$1:$U$6635,0),""))</f>
        <v/>
      </c>
      <c r="AH974" s="15" t="str">
        <f t="shared" si="2"/>
        <v/>
      </c>
      <c r="AI974" s="17" t="str">
        <f>IF(AG974="","",INDEX('Quitados DUPP'!$G$1:$G$6635,AG974))</f>
        <v/>
      </c>
      <c r="AJ974" s="17" t="str">
        <f t="shared" si="3"/>
        <v/>
      </c>
    </row>
    <row r="975" spans="31:36">
      <c r="AE975" s="15" t="str">
        <f t="shared" si="0"/>
        <v/>
      </c>
      <c r="AF975" s="15" t="str">
        <f t="shared" si="1"/>
        <v/>
      </c>
      <c r="AG975" s="15" t="str">
        <f>IF(OR(AF975="",AF975="ERRO_CHAVE"),"",IFERROR(MATCH(AF975,'Quitados DUPP'!$U$1:$U$6635,0),""))</f>
        <v/>
      </c>
      <c r="AH975" s="15" t="str">
        <f t="shared" si="2"/>
        <v/>
      </c>
      <c r="AI975" s="17" t="str">
        <f>IF(AG975="","",INDEX('Quitados DUPP'!$G$1:$G$6635,AG975))</f>
        <v/>
      </c>
      <c r="AJ975" s="17" t="str">
        <f t="shared" si="3"/>
        <v/>
      </c>
    </row>
    <row r="976" spans="31:36">
      <c r="AE976" s="15" t="str">
        <f t="shared" si="0"/>
        <v/>
      </c>
      <c r="AF976" s="15" t="str">
        <f t="shared" si="1"/>
        <v/>
      </c>
      <c r="AG976" s="15" t="str">
        <f>IF(OR(AF976="",AF976="ERRO_CHAVE"),"",IFERROR(MATCH(AF976,'Quitados DUPP'!$U$1:$U$6635,0),""))</f>
        <v/>
      </c>
      <c r="AH976" s="15" t="str">
        <f t="shared" si="2"/>
        <v/>
      </c>
      <c r="AI976" s="17" t="str">
        <f>IF(AG976="","",INDEX('Quitados DUPP'!$G$1:$G$6635,AG976))</f>
        <v/>
      </c>
      <c r="AJ976" s="17" t="str">
        <f t="shared" si="3"/>
        <v/>
      </c>
    </row>
    <row r="977" spans="31:36">
      <c r="AE977" s="15" t="str">
        <f t="shared" si="0"/>
        <v/>
      </c>
      <c r="AF977" s="15" t="str">
        <f t="shared" si="1"/>
        <v/>
      </c>
      <c r="AG977" s="15" t="str">
        <f>IF(OR(AF977="",AF977="ERRO_CHAVE"),"",IFERROR(MATCH(AF977,'Quitados DUPP'!$U$1:$U$6635,0),""))</f>
        <v/>
      </c>
      <c r="AH977" s="15" t="str">
        <f t="shared" si="2"/>
        <v/>
      </c>
      <c r="AI977" s="17" t="str">
        <f>IF(AG977="","",INDEX('Quitados DUPP'!$G$1:$G$6635,AG977))</f>
        <v/>
      </c>
      <c r="AJ977" s="17" t="str">
        <f t="shared" si="3"/>
        <v/>
      </c>
    </row>
    <row r="978" spans="31:36">
      <c r="AE978" s="15" t="str">
        <f t="shared" si="0"/>
        <v/>
      </c>
      <c r="AF978" s="15" t="str">
        <f t="shared" si="1"/>
        <v/>
      </c>
      <c r="AG978" s="15" t="str">
        <f>IF(OR(AF978="",AF978="ERRO_CHAVE"),"",IFERROR(MATCH(AF978,'Quitados DUPP'!$U$1:$U$6635,0),""))</f>
        <v/>
      </c>
      <c r="AH978" s="15" t="str">
        <f t="shared" si="2"/>
        <v/>
      </c>
      <c r="AI978" s="17" t="str">
        <f>IF(AG978="","",INDEX('Quitados DUPP'!$G$1:$G$6635,AG978))</f>
        <v/>
      </c>
      <c r="AJ978" s="17" t="str">
        <f t="shared" si="3"/>
        <v/>
      </c>
    </row>
    <row r="979" spans="31:36">
      <c r="AE979" s="15" t="str">
        <f t="shared" si="0"/>
        <v/>
      </c>
      <c r="AF979" s="15" t="str">
        <f t="shared" si="1"/>
        <v/>
      </c>
      <c r="AG979" s="15" t="str">
        <f>IF(OR(AF979="",AF979="ERRO_CHAVE"),"",IFERROR(MATCH(AF979,'Quitados DUPP'!$U$1:$U$6635,0),""))</f>
        <v/>
      </c>
      <c r="AH979" s="15" t="str">
        <f t="shared" si="2"/>
        <v/>
      </c>
      <c r="AI979" s="17" t="str">
        <f>IF(AG979="","",INDEX('Quitados DUPP'!$G$1:$G$6635,AG979))</f>
        <v/>
      </c>
      <c r="AJ979" s="17" t="str">
        <f t="shared" si="3"/>
        <v/>
      </c>
    </row>
    <row r="980" spans="31:36">
      <c r="AE980" s="15" t="str">
        <f t="shared" si="0"/>
        <v/>
      </c>
      <c r="AF980" s="15" t="str">
        <f t="shared" si="1"/>
        <v/>
      </c>
      <c r="AG980" s="15" t="str">
        <f>IF(OR(AF980="",AF980="ERRO_CHAVE"),"",IFERROR(MATCH(AF980,'Quitados DUPP'!$U$1:$U$6635,0),""))</f>
        <v/>
      </c>
      <c r="AH980" s="15" t="str">
        <f t="shared" si="2"/>
        <v/>
      </c>
      <c r="AI980" s="17" t="str">
        <f>IF(AG980="","",INDEX('Quitados DUPP'!$G$1:$G$6635,AG980))</f>
        <v/>
      </c>
      <c r="AJ980" s="17" t="str">
        <f t="shared" si="3"/>
        <v/>
      </c>
    </row>
    <row r="981" spans="31:36">
      <c r="AE981" s="15" t="str">
        <f t="shared" si="0"/>
        <v/>
      </c>
      <c r="AF981" s="15" t="str">
        <f t="shared" si="1"/>
        <v/>
      </c>
      <c r="AG981" s="15" t="str">
        <f>IF(OR(AF981="",AF981="ERRO_CHAVE"),"",IFERROR(MATCH(AF981,'Quitados DUPP'!$U$1:$U$6635,0),""))</f>
        <v/>
      </c>
      <c r="AH981" s="15" t="str">
        <f t="shared" si="2"/>
        <v/>
      </c>
      <c r="AI981" s="17" t="str">
        <f>IF(AG981="","",INDEX('Quitados DUPP'!$G$1:$G$6635,AG981))</f>
        <v/>
      </c>
      <c r="AJ981" s="17" t="str">
        <f t="shared" si="3"/>
        <v/>
      </c>
    </row>
    <row r="982" spans="31:36">
      <c r="AE982" s="15" t="str">
        <f t="shared" si="0"/>
        <v/>
      </c>
      <c r="AF982" s="15" t="str">
        <f t="shared" si="1"/>
        <v/>
      </c>
      <c r="AG982" s="15" t="str">
        <f>IF(OR(AF982="",AF982="ERRO_CHAVE"),"",IFERROR(MATCH(AF982,'Quitados DUPP'!$U$1:$U$6635,0),""))</f>
        <v/>
      </c>
      <c r="AH982" s="15" t="str">
        <f t="shared" si="2"/>
        <v/>
      </c>
      <c r="AI982" s="17" t="str">
        <f>IF(AG982="","",INDEX('Quitados DUPP'!$G$1:$G$6635,AG982))</f>
        <v/>
      </c>
      <c r="AJ982" s="17" t="str">
        <f t="shared" si="3"/>
        <v/>
      </c>
    </row>
    <row r="983" spans="31:36">
      <c r="AE983" s="15" t="str">
        <f t="shared" si="0"/>
        <v/>
      </c>
      <c r="AF983" s="15" t="str">
        <f t="shared" si="1"/>
        <v/>
      </c>
      <c r="AG983" s="15" t="str">
        <f>IF(OR(AF983="",AF983="ERRO_CHAVE"),"",IFERROR(MATCH(AF983,'Quitados DUPP'!$U$1:$U$6635,0),""))</f>
        <v/>
      </c>
      <c r="AH983" s="15" t="str">
        <f t="shared" si="2"/>
        <v/>
      </c>
      <c r="AI983" s="17" t="str">
        <f>IF(AG983="","",INDEX('Quitados DUPP'!$G$1:$G$6635,AG983))</f>
        <v/>
      </c>
      <c r="AJ983" s="17" t="str">
        <f t="shared" si="3"/>
        <v/>
      </c>
    </row>
    <row r="984" spans="31:36">
      <c r="AE984" s="15" t="str">
        <f t="shared" si="0"/>
        <v/>
      </c>
      <c r="AF984" s="15" t="str">
        <f t="shared" si="1"/>
        <v/>
      </c>
      <c r="AG984" s="15" t="str">
        <f>IF(OR(AF984="",AF984="ERRO_CHAVE"),"",IFERROR(MATCH(AF984,'Quitados DUPP'!$U$1:$U$6635,0),""))</f>
        <v/>
      </c>
      <c r="AH984" s="15" t="str">
        <f t="shared" si="2"/>
        <v/>
      </c>
      <c r="AI984" s="17" t="str">
        <f>IF(AG984="","",INDEX('Quitados DUPP'!$G$1:$G$6635,AG984))</f>
        <v/>
      </c>
      <c r="AJ984" s="17" t="str">
        <f t="shared" si="3"/>
        <v/>
      </c>
    </row>
    <row r="985" spans="31:36">
      <c r="AE985" s="15" t="str">
        <f t="shared" si="0"/>
        <v/>
      </c>
      <c r="AF985" s="15" t="str">
        <f t="shared" si="1"/>
        <v/>
      </c>
      <c r="AG985" s="15" t="str">
        <f>IF(OR(AF985="",AF985="ERRO_CHAVE"),"",IFERROR(MATCH(AF985,'Quitados DUPP'!$U$1:$U$6635,0),""))</f>
        <v/>
      </c>
      <c r="AH985" s="15" t="str">
        <f t="shared" si="2"/>
        <v/>
      </c>
      <c r="AI985" s="17" t="str">
        <f>IF(AG985="","",INDEX('Quitados DUPP'!$G$1:$G$6635,AG985))</f>
        <v/>
      </c>
      <c r="AJ985" s="17" t="str">
        <f t="shared" si="3"/>
        <v/>
      </c>
    </row>
    <row r="986" spans="31:36">
      <c r="AE986" s="15" t="str">
        <f t="shared" si="0"/>
        <v/>
      </c>
      <c r="AF986" s="15" t="str">
        <f t="shared" si="1"/>
        <v/>
      </c>
      <c r="AG986" s="15" t="str">
        <f>IF(OR(AF986="",AF986="ERRO_CHAVE"),"",IFERROR(MATCH(AF986,'Quitados DUPP'!$U$1:$U$6635,0),""))</f>
        <v/>
      </c>
      <c r="AH986" s="15" t="str">
        <f t="shared" si="2"/>
        <v/>
      </c>
      <c r="AI986" s="17" t="str">
        <f>IF(AG986="","",INDEX('Quitados DUPP'!$G$1:$G$6635,AG986))</f>
        <v/>
      </c>
      <c r="AJ986" s="17" t="str">
        <f t="shared" si="3"/>
        <v/>
      </c>
    </row>
    <row r="987" spans="31:36">
      <c r="AE987" s="15" t="str">
        <f t="shared" si="0"/>
        <v/>
      </c>
      <c r="AF987" s="15" t="str">
        <f t="shared" si="1"/>
        <v/>
      </c>
      <c r="AG987" s="15" t="str">
        <f>IF(OR(AF987="",AF987="ERRO_CHAVE"),"",IFERROR(MATCH(AF987,'Quitados DUPP'!$U$1:$U$6635,0),""))</f>
        <v/>
      </c>
      <c r="AH987" s="15" t="str">
        <f t="shared" si="2"/>
        <v/>
      </c>
      <c r="AI987" s="17" t="str">
        <f>IF(AG987="","",INDEX('Quitados DUPP'!$G$1:$G$6635,AG987))</f>
        <v/>
      </c>
      <c r="AJ987" s="17" t="str">
        <f t="shared" si="3"/>
        <v/>
      </c>
    </row>
    <row r="988" spans="31:36">
      <c r="AE988" s="15" t="str">
        <f t="shared" si="0"/>
        <v/>
      </c>
      <c r="AF988" s="15" t="str">
        <f t="shared" si="1"/>
        <v/>
      </c>
      <c r="AG988" s="15" t="str">
        <f>IF(OR(AF988="",AF988="ERRO_CHAVE"),"",IFERROR(MATCH(AF988,'Quitados DUPP'!$U$1:$U$6635,0),""))</f>
        <v/>
      </c>
      <c r="AH988" s="15" t="str">
        <f t="shared" si="2"/>
        <v/>
      </c>
      <c r="AI988" s="17" t="str">
        <f>IF(AG988="","",INDEX('Quitados DUPP'!$G$1:$G$6635,AG988))</f>
        <v/>
      </c>
      <c r="AJ988" s="17" t="str">
        <f t="shared" si="3"/>
        <v/>
      </c>
    </row>
    <row r="989" spans="31:36">
      <c r="AE989" s="15" t="str">
        <f t="shared" si="0"/>
        <v/>
      </c>
      <c r="AF989" s="15" t="str">
        <f t="shared" si="1"/>
        <v/>
      </c>
      <c r="AG989" s="15" t="str">
        <f>IF(OR(AF989="",AF989="ERRO_CHAVE"),"",IFERROR(MATCH(AF989,'Quitados DUPP'!$U$1:$U$6635,0),""))</f>
        <v/>
      </c>
      <c r="AH989" s="15" t="str">
        <f t="shared" si="2"/>
        <v/>
      </c>
      <c r="AI989" s="17" t="str">
        <f>IF(AG989="","",INDEX('Quitados DUPP'!$G$1:$G$6635,AG989))</f>
        <v/>
      </c>
      <c r="AJ989" s="17" t="str">
        <f t="shared" si="3"/>
        <v/>
      </c>
    </row>
    <row r="990" spans="31:36">
      <c r="AE990" s="15" t="str">
        <f t="shared" si="0"/>
        <v/>
      </c>
      <c r="AF990" s="15" t="str">
        <f t="shared" si="1"/>
        <v/>
      </c>
      <c r="AG990" s="15" t="str">
        <f>IF(OR(AF990="",AF990="ERRO_CHAVE"),"",IFERROR(MATCH(AF990,'Quitados DUPP'!$U$1:$U$6635,0),""))</f>
        <v/>
      </c>
      <c r="AH990" s="15" t="str">
        <f t="shared" si="2"/>
        <v/>
      </c>
      <c r="AI990" s="17" t="str">
        <f>IF(AG990="","",INDEX('Quitados DUPP'!$G$1:$G$6635,AG990))</f>
        <v/>
      </c>
      <c r="AJ990" s="17" t="str">
        <f t="shared" si="3"/>
        <v/>
      </c>
    </row>
    <row r="991" spans="31:36">
      <c r="AE991" s="15" t="str">
        <f t="shared" si="0"/>
        <v/>
      </c>
      <c r="AF991" s="15" t="str">
        <f t="shared" si="1"/>
        <v/>
      </c>
      <c r="AG991" s="15" t="str">
        <f>IF(OR(AF991="",AF991="ERRO_CHAVE"),"",IFERROR(MATCH(AF991,'Quitados DUPP'!$U$1:$U$6635,0),""))</f>
        <v/>
      </c>
      <c r="AH991" s="15" t="str">
        <f t="shared" si="2"/>
        <v/>
      </c>
      <c r="AI991" s="17" t="str">
        <f>IF(AG991="","",INDEX('Quitados DUPP'!$G$1:$G$6635,AG991))</f>
        <v/>
      </c>
      <c r="AJ991" s="17" t="str">
        <f t="shared" si="3"/>
        <v/>
      </c>
    </row>
    <row r="992" spans="31:36">
      <c r="AE992" s="15" t="str">
        <f t="shared" si="0"/>
        <v/>
      </c>
      <c r="AF992" s="15" t="str">
        <f t="shared" si="1"/>
        <v/>
      </c>
      <c r="AG992" s="15" t="str">
        <f>IF(OR(AF992="",AF992="ERRO_CHAVE"),"",IFERROR(MATCH(AF992,'Quitados DUPP'!$U$1:$U$6635,0),""))</f>
        <v/>
      </c>
      <c r="AH992" s="15" t="str">
        <f t="shared" si="2"/>
        <v/>
      </c>
      <c r="AI992" s="17" t="str">
        <f>IF(AG992="","",INDEX('Quitados DUPP'!$G$1:$G$6635,AG992))</f>
        <v/>
      </c>
      <c r="AJ992" s="17" t="str">
        <f t="shared" si="3"/>
        <v/>
      </c>
    </row>
    <row r="993" spans="31:36">
      <c r="AE993" s="15" t="str">
        <f t="shared" si="0"/>
        <v/>
      </c>
      <c r="AF993" s="15" t="str">
        <f t="shared" si="1"/>
        <v/>
      </c>
      <c r="AG993" s="15" t="str">
        <f>IF(OR(AF993="",AF993="ERRO_CHAVE"),"",IFERROR(MATCH(AF993,'Quitados DUPP'!$U$1:$U$6635,0),""))</f>
        <v/>
      </c>
      <c r="AH993" s="15" t="str">
        <f t="shared" si="2"/>
        <v/>
      </c>
      <c r="AI993" s="17" t="str">
        <f>IF(AG993="","",INDEX('Quitados DUPP'!$G$1:$G$6635,AG993))</f>
        <v/>
      </c>
      <c r="AJ993" s="17" t="str">
        <f t="shared" si="3"/>
        <v/>
      </c>
    </row>
    <row r="994" spans="31:36">
      <c r="AE994" s="15" t="str">
        <f t="shared" si="0"/>
        <v/>
      </c>
      <c r="AF994" s="15" t="str">
        <f t="shared" si="1"/>
        <v/>
      </c>
      <c r="AG994" s="15" t="str">
        <f>IF(OR(AF994="",AF994="ERRO_CHAVE"),"",IFERROR(MATCH(AF994,'Quitados DUPP'!$U$1:$U$6635,0),""))</f>
        <v/>
      </c>
      <c r="AH994" s="15" t="str">
        <f t="shared" si="2"/>
        <v/>
      </c>
      <c r="AI994" s="17" t="str">
        <f>IF(AG994="","",INDEX('Quitados DUPP'!$G$1:$G$6635,AG994))</f>
        <v/>
      </c>
      <c r="AJ994" s="17" t="str">
        <f t="shared" si="3"/>
        <v/>
      </c>
    </row>
    <row r="995" spans="31:36">
      <c r="AE995" s="15" t="str">
        <f t="shared" si="0"/>
        <v/>
      </c>
      <c r="AF995" s="15" t="str">
        <f t="shared" si="1"/>
        <v/>
      </c>
      <c r="AG995" s="15" t="str">
        <f>IF(OR(AF995="",AF995="ERRO_CHAVE"),"",IFERROR(MATCH(AF995,'Quitados DUPP'!$U$1:$U$6635,0),""))</f>
        <v/>
      </c>
      <c r="AH995" s="15" t="str">
        <f t="shared" si="2"/>
        <v/>
      </c>
      <c r="AI995" s="17" t="str">
        <f>IF(AG995="","",INDEX('Quitados DUPP'!$G$1:$G$6635,AG995))</f>
        <v/>
      </c>
      <c r="AJ995" s="17" t="str">
        <f t="shared" si="3"/>
        <v/>
      </c>
    </row>
    <row r="996" spans="31:36">
      <c r="AE996" s="15" t="str">
        <f t="shared" si="0"/>
        <v/>
      </c>
      <c r="AF996" s="15" t="str">
        <f t="shared" si="1"/>
        <v/>
      </c>
      <c r="AG996" s="15" t="str">
        <f>IF(OR(AF996="",AF996="ERRO_CHAVE"),"",IFERROR(MATCH(AF996,'Quitados DUPP'!$U$1:$U$6635,0),""))</f>
        <v/>
      </c>
      <c r="AH996" s="15" t="str">
        <f t="shared" si="2"/>
        <v/>
      </c>
      <c r="AI996" s="17" t="str">
        <f>IF(AG996="","",INDEX('Quitados DUPP'!$G$1:$G$6635,AG996))</f>
        <v/>
      </c>
      <c r="AJ996" s="17" t="str">
        <f t="shared" si="3"/>
        <v/>
      </c>
    </row>
    <row r="997" spans="31:36">
      <c r="AE997" s="15" t="str">
        <f t="shared" si="0"/>
        <v/>
      </c>
      <c r="AF997" s="15" t="str">
        <f t="shared" si="1"/>
        <v/>
      </c>
      <c r="AG997" s="15" t="str">
        <f>IF(OR(AF997="",AF997="ERRO_CHAVE"),"",IFERROR(MATCH(AF997,'Quitados DUPP'!$U$1:$U$6635,0),""))</f>
        <v/>
      </c>
      <c r="AH997" s="15" t="str">
        <f t="shared" si="2"/>
        <v/>
      </c>
      <c r="AI997" s="17" t="str">
        <f>IF(AG997="","",INDEX('Quitados DUPP'!$G$1:$G$6635,AG997))</f>
        <v/>
      </c>
      <c r="AJ997" s="17" t="str">
        <f t="shared" si="3"/>
        <v/>
      </c>
    </row>
    <row r="998" spans="31:36">
      <c r="AE998" s="15" t="str">
        <f t="shared" si="0"/>
        <v/>
      </c>
      <c r="AF998" s="15" t="str">
        <f t="shared" si="1"/>
        <v/>
      </c>
      <c r="AG998" s="15" t="str">
        <f>IF(OR(AF998="",AF998="ERRO_CHAVE"),"",IFERROR(MATCH(AF998,'Quitados DUPP'!$U$1:$U$6635,0),""))</f>
        <v/>
      </c>
      <c r="AH998" s="15" t="str">
        <f t="shared" si="2"/>
        <v/>
      </c>
      <c r="AI998" s="17" t="str">
        <f>IF(AG998="","",INDEX('Quitados DUPP'!$G$1:$G$6635,AG998))</f>
        <v/>
      </c>
      <c r="AJ998" s="17" t="str">
        <f t="shared" si="3"/>
        <v/>
      </c>
    </row>
    <row r="999" spans="31:36">
      <c r="AE999" s="15" t="str">
        <f t="shared" si="0"/>
        <v/>
      </c>
      <c r="AF999" s="15" t="str">
        <f t="shared" si="1"/>
        <v/>
      </c>
      <c r="AG999" s="15" t="str">
        <f>IF(OR(AF999="",AF999="ERRO_CHAVE"),"",IFERROR(MATCH(AF999,'Quitados DUPP'!$U$1:$U$6635,0),""))</f>
        <v/>
      </c>
      <c r="AH999" s="15" t="str">
        <f t="shared" si="2"/>
        <v/>
      </c>
      <c r="AI999" s="17" t="str">
        <f>IF(AG999="","",INDEX('Quitados DUPP'!$G$1:$G$6635,AG999))</f>
        <v/>
      </c>
      <c r="AJ999" s="17" t="str">
        <f t="shared" si="3"/>
        <v/>
      </c>
    </row>
    <row r="1000" spans="31:36">
      <c r="AE1000" s="15" t="str">
        <f t="shared" si="0"/>
        <v/>
      </c>
      <c r="AF1000" s="15" t="str">
        <f t="shared" si="1"/>
        <v/>
      </c>
      <c r="AG1000" s="15" t="str">
        <f>IF(OR(AF1000="",AF1000="ERRO_CHAVE"),"",IFERROR(MATCH(AF1000,'Quitados DUPP'!$U$1:$U$6635,0),""))</f>
        <v/>
      </c>
      <c r="AH1000" s="15" t="str">
        <f t="shared" si="2"/>
        <v/>
      </c>
      <c r="AI1000" s="17" t="str">
        <f>IF(AG1000="","",INDEX('Quitados DUPP'!$G$1:$G$6635,AG1000))</f>
        <v/>
      </c>
      <c r="AJ1000" s="17" t="str">
        <f t="shared" si="3"/>
        <v/>
      </c>
    </row>
    <row r="1001" spans="31:36">
      <c r="AE1001" s="15" t="str">
        <f t="shared" si="0"/>
        <v/>
      </c>
      <c r="AF1001" s="15" t="str">
        <f t="shared" si="1"/>
        <v/>
      </c>
      <c r="AG1001" s="15" t="str">
        <f>IF(OR(AF1001="",AF1001="ERRO_CHAVE"),"",IFERROR(MATCH(AF1001,'Quitados DUPP'!$U$1:$U$6635,0),""))</f>
        <v/>
      </c>
      <c r="AH1001" s="15" t="str">
        <f t="shared" si="2"/>
        <v/>
      </c>
      <c r="AI1001" s="17" t="str">
        <f>IF(AG1001="","",INDEX('Quitados DUPP'!$G$1:$G$6635,AG1001))</f>
        <v/>
      </c>
      <c r="AJ1001" s="17" t="str">
        <f t="shared" si="3"/>
        <v/>
      </c>
    </row>
    <row r="1002" spans="31:36">
      <c r="AE1002" s="15" t="str">
        <f t="shared" si="0"/>
        <v/>
      </c>
      <c r="AF1002" s="15" t="str">
        <f t="shared" si="1"/>
        <v/>
      </c>
      <c r="AG1002" s="15" t="str">
        <f>IF(OR(AF1002="",AF1002="ERRO_CHAVE"),"",IFERROR(MATCH(AF1002,'Quitados DUPP'!$U$1:$U$6635,0),""))</f>
        <v/>
      </c>
      <c r="AH1002" s="15" t="str">
        <f t="shared" si="2"/>
        <v/>
      </c>
      <c r="AI1002" s="17" t="str">
        <f>IF(AG1002="","",INDEX('Quitados DUPP'!$G$1:$G$6635,AG1002))</f>
        <v/>
      </c>
      <c r="AJ1002" s="17" t="str">
        <f t="shared" si="3"/>
        <v/>
      </c>
    </row>
    <row r="1003" spans="31:36">
      <c r="AE1003" s="15" t="str">
        <f t="shared" si="0"/>
        <v/>
      </c>
      <c r="AF1003" s="15" t="str">
        <f t="shared" si="1"/>
        <v/>
      </c>
      <c r="AG1003" s="15" t="str">
        <f>IF(OR(AF1003="",AF1003="ERRO_CHAVE"),"",IFERROR(MATCH(AF1003,'Quitados DUPP'!$U$1:$U$6635,0),""))</f>
        <v/>
      </c>
      <c r="AH1003" s="15" t="str">
        <f t="shared" si="2"/>
        <v/>
      </c>
      <c r="AI1003" s="17" t="str">
        <f>IF(AG1003="","",INDEX('Quitados DUPP'!$G$1:$G$6635,AG1003))</f>
        <v/>
      </c>
      <c r="AJ1003" s="17" t="str">
        <f t="shared" si="3"/>
        <v/>
      </c>
    </row>
    <row r="1004" spans="31:36">
      <c r="AE1004" s="15" t="str">
        <f t="shared" si="0"/>
        <v/>
      </c>
      <c r="AF1004" s="15" t="str">
        <f t="shared" si="1"/>
        <v/>
      </c>
      <c r="AG1004" s="15" t="str">
        <f>IF(OR(AF1004="",AF1004="ERRO_CHAVE"),"",IFERROR(MATCH(AF1004,'Quitados DUPP'!$U$1:$U$6635,0),""))</f>
        <v/>
      </c>
      <c r="AH1004" s="15" t="str">
        <f t="shared" si="2"/>
        <v/>
      </c>
      <c r="AI1004" s="17" t="str">
        <f>IF(AG1004="","",INDEX('Quitados DUPP'!$G$1:$G$6635,AG1004))</f>
        <v/>
      </c>
      <c r="AJ1004" s="17" t="str">
        <f t="shared" si="3"/>
        <v/>
      </c>
    </row>
    <row r="1005" spans="31:36">
      <c r="AE1005" s="15" t="str">
        <f t="shared" si="0"/>
        <v/>
      </c>
      <c r="AF1005" s="15" t="str">
        <f t="shared" si="1"/>
        <v/>
      </c>
      <c r="AG1005" s="15" t="str">
        <f>IF(OR(AF1005="",AF1005="ERRO_CHAVE"),"",IFERROR(MATCH(AF1005,'Quitados DUPP'!$U$1:$U$6635,0),""))</f>
        <v/>
      </c>
      <c r="AH1005" s="15" t="str">
        <f t="shared" si="2"/>
        <v/>
      </c>
      <c r="AI1005" s="17" t="str">
        <f>IF(AG1005="","",INDEX('Quitados DUPP'!$G$1:$G$6635,AG1005))</f>
        <v/>
      </c>
      <c r="AJ1005" s="17" t="str">
        <f t="shared" si="3"/>
        <v/>
      </c>
    </row>
    <row r="1006" spans="31:36">
      <c r="AE1006" s="15" t="str">
        <f t="shared" si="0"/>
        <v/>
      </c>
      <c r="AF1006" s="15" t="str">
        <f t="shared" si="1"/>
        <v/>
      </c>
      <c r="AG1006" s="15" t="str">
        <f>IF(OR(AF1006="",AF1006="ERRO_CHAVE"),"",IFERROR(MATCH(AF1006,'Quitados DUPP'!$U$1:$U$6635,0),""))</f>
        <v/>
      </c>
      <c r="AH1006" s="15" t="str">
        <f t="shared" si="2"/>
        <v/>
      </c>
      <c r="AI1006" s="17" t="str">
        <f>IF(AG1006="","",INDEX('Quitados DUPP'!$G$1:$G$6635,AG1006))</f>
        <v/>
      </c>
      <c r="AJ1006" s="17" t="str">
        <f t="shared" si="3"/>
        <v/>
      </c>
    </row>
    <row r="1007" spans="31:36">
      <c r="AE1007" s="15" t="str">
        <f t="shared" si="0"/>
        <v/>
      </c>
      <c r="AF1007" s="15" t="str">
        <f t="shared" si="1"/>
        <v/>
      </c>
      <c r="AG1007" s="15" t="str">
        <f>IF(OR(AF1007="",AF1007="ERRO_CHAVE"),"",IFERROR(MATCH(AF1007,'Quitados DUPP'!$U$1:$U$6635,0),""))</f>
        <v/>
      </c>
      <c r="AH1007" s="15" t="str">
        <f t="shared" si="2"/>
        <v/>
      </c>
      <c r="AI1007" s="17" t="str">
        <f>IF(AG1007="","",INDEX('Quitados DUPP'!$G$1:$G$6635,AG1007))</f>
        <v/>
      </c>
      <c r="AJ1007" s="17" t="str">
        <f t="shared" si="3"/>
        <v/>
      </c>
    </row>
    <row r="1008" spans="31:36">
      <c r="AE1008" s="15" t="str">
        <f t="shared" si="0"/>
        <v/>
      </c>
      <c r="AF1008" s="15" t="str">
        <f t="shared" si="1"/>
        <v/>
      </c>
      <c r="AG1008" s="15" t="str">
        <f>IF(OR(AF1008="",AF1008="ERRO_CHAVE"),"",IFERROR(MATCH(AF1008,'Quitados DUPP'!$U$1:$U$6635,0),""))</f>
        <v/>
      </c>
      <c r="AH1008" s="15" t="str">
        <f t="shared" si="2"/>
        <v/>
      </c>
      <c r="AI1008" s="17" t="str">
        <f>IF(AG1008="","",INDEX('Quitados DUPP'!$G$1:$G$6635,AG1008))</f>
        <v/>
      </c>
      <c r="AJ1008" s="17" t="str">
        <f t="shared" si="3"/>
        <v/>
      </c>
    </row>
    <row r="1009" spans="31:36">
      <c r="AE1009" s="15" t="str">
        <f t="shared" si="0"/>
        <v/>
      </c>
      <c r="AF1009" s="15" t="str">
        <f t="shared" si="1"/>
        <v/>
      </c>
      <c r="AG1009" s="15" t="str">
        <f>IF(OR(AF1009="",AF1009="ERRO_CHAVE"),"",IFERROR(MATCH(AF1009,'Quitados DUPP'!$U$1:$U$6635,0),""))</f>
        <v/>
      </c>
      <c r="AH1009" s="15" t="str">
        <f t="shared" si="2"/>
        <v/>
      </c>
      <c r="AI1009" s="17" t="str">
        <f>IF(AG1009="","",INDEX('Quitados DUPP'!$G$1:$G$6635,AG1009))</f>
        <v/>
      </c>
      <c r="AJ1009" s="17" t="str">
        <f t="shared" si="3"/>
        <v/>
      </c>
    </row>
    <row r="1010" spans="31:36">
      <c r="AE1010" s="15" t="str">
        <f t="shared" si="0"/>
        <v/>
      </c>
      <c r="AF1010" s="15" t="str">
        <f t="shared" si="1"/>
        <v/>
      </c>
      <c r="AG1010" s="15" t="str">
        <f>IF(OR(AF1010="",AF1010="ERRO_CHAVE"),"",IFERROR(MATCH(AF1010,'Quitados DUPP'!$U$1:$U$6635,0),""))</f>
        <v/>
      </c>
      <c r="AH1010" s="15" t="str">
        <f t="shared" si="2"/>
        <v/>
      </c>
      <c r="AI1010" s="17" t="str">
        <f>IF(AG1010="","",INDEX('Quitados DUPP'!$G$1:$G$6635,AG1010))</f>
        <v/>
      </c>
      <c r="AJ1010" s="17" t="str">
        <f t="shared" si="3"/>
        <v/>
      </c>
    </row>
    <row r="1011" spans="31:36">
      <c r="AE1011" s="15" t="str">
        <f t="shared" si="0"/>
        <v/>
      </c>
      <c r="AF1011" s="15" t="str">
        <f t="shared" si="1"/>
        <v/>
      </c>
      <c r="AG1011" s="15" t="str">
        <f>IF(OR(AF1011="",AF1011="ERRO_CHAVE"),"",IFERROR(MATCH(AF1011,'Quitados DUPP'!$U$1:$U$6635,0),""))</f>
        <v/>
      </c>
      <c r="AH1011" s="15" t="str">
        <f t="shared" si="2"/>
        <v/>
      </c>
      <c r="AI1011" s="17" t="str">
        <f>IF(AG1011="","",INDEX('Quitados DUPP'!$G$1:$G$6635,AG1011))</f>
        <v/>
      </c>
      <c r="AJ1011" s="17" t="str">
        <f t="shared" si="3"/>
        <v/>
      </c>
    </row>
    <row r="1012" spans="31:36">
      <c r="AE1012" s="15" t="str">
        <f t="shared" si="0"/>
        <v/>
      </c>
      <c r="AF1012" s="15" t="str">
        <f t="shared" si="1"/>
        <v/>
      </c>
      <c r="AG1012" s="15" t="str">
        <f>IF(OR(AF1012="",AF1012="ERRO_CHAVE"),"",IFERROR(MATCH(AF1012,'Quitados DUPP'!$U$1:$U$6635,0),""))</f>
        <v/>
      </c>
      <c r="AH1012" s="15" t="str">
        <f t="shared" si="2"/>
        <v/>
      </c>
      <c r="AI1012" s="17" t="str">
        <f>IF(AG1012="","",INDEX('Quitados DUPP'!$G$1:$G$6635,AG1012))</f>
        <v/>
      </c>
      <c r="AJ1012" s="17" t="str">
        <f t="shared" si="3"/>
        <v/>
      </c>
    </row>
    <row r="1013" spans="31:36">
      <c r="AE1013" s="15" t="str">
        <f t="shared" si="0"/>
        <v/>
      </c>
      <c r="AF1013" s="15" t="str">
        <f t="shared" si="1"/>
        <v/>
      </c>
      <c r="AG1013" s="15" t="str">
        <f>IF(OR(AF1013="",AF1013="ERRO_CHAVE"),"",IFERROR(MATCH(AF1013,'Quitados DUPP'!$U$1:$U$6635,0),""))</f>
        <v/>
      </c>
      <c r="AH1013" s="15" t="str">
        <f t="shared" si="2"/>
        <v/>
      </c>
      <c r="AI1013" s="17" t="str">
        <f>IF(AG1013="","",INDEX('Quitados DUPP'!$G$1:$G$6635,AG1013))</f>
        <v/>
      </c>
      <c r="AJ1013" s="17" t="str">
        <f t="shared" si="3"/>
        <v/>
      </c>
    </row>
    <row r="1014" spans="31:36">
      <c r="AE1014" s="15" t="str">
        <f t="shared" si="0"/>
        <v/>
      </c>
      <c r="AF1014" s="15" t="str">
        <f t="shared" si="1"/>
        <v/>
      </c>
      <c r="AG1014" s="15" t="str">
        <f>IF(OR(AF1014="",AF1014="ERRO_CHAVE"),"",IFERROR(MATCH(AF1014,'Quitados DUPP'!$U$1:$U$6635,0),""))</f>
        <v/>
      </c>
      <c r="AH1014" s="15" t="str">
        <f t="shared" si="2"/>
        <v/>
      </c>
      <c r="AI1014" s="17" t="str">
        <f>IF(AG1014="","",INDEX('Quitados DUPP'!$G$1:$G$6635,AG1014))</f>
        <v/>
      </c>
      <c r="AJ1014" s="17" t="str">
        <f t="shared" si="3"/>
        <v/>
      </c>
    </row>
    <row r="1015" spans="31:36">
      <c r="AE1015" s="15" t="str">
        <f t="shared" si="0"/>
        <v/>
      </c>
      <c r="AF1015" s="15" t="str">
        <f t="shared" si="1"/>
        <v/>
      </c>
      <c r="AG1015" s="15" t="str">
        <f>IF(OR(AF1015="",AF1015="ERRO_CHAVE"),"",IFERROR(MATCH(AF1015,'Quitados DUPP'!$U$1:$U$6635,0),""))</f>
        <v/>
      </c>
      <c r="AH1015" s="15" t="str">
        <f t="shared" si="2"/>
        <v/>
      </c>
      <c r="AI1015" s="17" t="str">
        <f>IF(AG1015="","",INDEX('Quitados DUPP'!$G$1:$G$6635,AG1015))</f>
        <v/>
      </c>
      <c r="AJ1015" s="17" t="str">
        <f t="shared" si="3"/>
        <v/>
      </c>
    </row>
    <row r="1016" spans="31:36">
      <c r="AE1016" s="15" t="str">
        <f t="shared" si="0"/>
        <v/>
      </c>
      <c r="AF1016" s="15" t="str">
        <f t="shared" si="1"/>
        <v/>
      </c>
      <c r="AG1016" s="15" t="str">
        <f>IF(OR(AF1016="",AF1016="ERRO_CHAVE"),"",IFERROR(MATCH(AF1016,'Quitados DUPP'!$U$1:$U$6635,0),""))</f>
        <v/>
      </c>
      <c r="AH1016" s="15" t="str">
        <f t="shared" si="2"/>
        <v/>
      </c>
      <c r="AI1016" s="17" t="str">
        <f>IF(AG1016="","",INDEX('Quitados DUPP'!$G$1:$G$6635,AG1016))</f>
        <v/>
      </c>
      <c r="AJ1016" s="17" t="str">
        <f t="shared" si="3"/>
        <v/>
      </c>
    </row>
    <row r="1017" spans="31:36">
      <c r="AE1017" s="15" t="str">
        <f t="shared" si="0"/>
        <v/>
      </c>
      <c r="AF1017" s="15" t="str">
        <f t="shared" si="1"/>
        <v/>
      </c>
      <c r="AG1017" s="15" t="str">
        <f>IF(OR(AF1017="",AF1017="ERRO_CHAVE"),"",IFERROR(MATCH(AF1017,'Quitados DUPP'!$U$1:$U$6635,0),""))</f>
        <v/>
      </c>
      <c r="AH1017" s="15" t="str">
        <f t="shared" si="2"/>
        <v/>
      </c>
      <c r="AI1017" s="17" t="str">
        <f>IF(AG1017="","",INDEX('Quitados DUPP'!$G$1:$G$6635,AG1017))</f>
        <v/>
      </c>
      <c r="AJ1017" s="17" t="str">
        <f t="shared" si="3"/>
        <v/>
      </c>
    </row>
    <row r="1018" spans="31:36">
      <c r="AE1018" s="15" t="str">
        <f t="shared" si="0"/>
        <v/>
      </c>
      <c r="AF1018" s="15" t="str">
        <f t="shared" si="1"/>
        <v/>
      </c>
      <c r="AG1018" s="15" t="str">
        <f>IF(OR(AF1018="",AF1018="ERRO_CHAVE"),"",IFERROR(MATCH(AF1018,'Quitados DUPP'!$U$1:$U$6635,0),""))</f>
        <v/>
      </c>
      <c r="AH1018" s="15" t="str">
        <f t="shared" si="2"/>
        <v/>
      </c>
      <c r="AI1018" s="17" t="str">
        <f>IF(AG1018="","",INDEX('Quitados DUPP'!$G$1:$G$6635,AG1018))</f>
        <v/>
      </c>
      <c r="AJ1018" s="17" t="str">
        <f t="shared" si="3"/>
        <v/>
      </c>
    </row>
    <row r="1019" spans="31:36">
      <c r="AE1019" s="15" t="str">
        <f t="shared" si="0"/>
        <v/>
      </c>
      <c r="AF1019" s="15" t="str">
        <f t="shared" si="1"/>
        <v/>
      </c>
      <c r="AG1019" s="15" t="str">
        <f>IF(OR(AF1019="",AF1019="ERRO_CHAVE"),"",IFERROR(MATCH(AF1019,'Quitados DUPP'!$U$1:$U$6635,0),""))</f>
        <v/>
      </c>
      <c r="AH1019" s="15" t="str">
        <f t="shared" si="2"/>
        <v/>
      </c>
      <c r="AI1019" s="17" t="str">
        <f>IF(AG1019="","",INDEX('Quitados DUPP'!$G$1:$G$6635,AG1019))</f>
        <v/>
      </c>
      <c r="AJ1019" s="17" t="str">
        <f t="shared" si="3"/>
        <v/>
      </c>
    </row>
    <row r="1020" spans="31:36">
      <c r="AE1020" s="15" t="str">
        <f t="shared" si="0"/>
        <v/>
      </c>
      <c r="AF1020" s="15" t="str">
        <f t="shared" si="1"/>
        <v/>
      </c>
      <c r="AG1020" s="15" t="str">
        <f>IF(OR(AF1020="",AF1020="ERRO_CHAVE"),"",IFERROR(MATCH(AF1020,'Quitados DUPP'!$U$1:$U$6635,0),""))</f>
        <v/>
      </c>
      <c r="AH1020" s="15" t="str">
        <f t="shared" si="2"/>
        <v/>
      </c>
      <c r="AI1020" s="17" t="str">
        <f>IF(AG1020="","",INDEX('Quitados DUPP'!$G$1:$G$6635,AG1020))</f>
        <v/>
      </c>
      <c r="AJ1020" s="17" t="str">
        <f t="shared" si="3"/>
        <v/>
      </c>
    </row>
    <row r="1021" spans="31:36">
      <c r="AE1021" s="15" t="str">
        <f t="shared" si="0"/>
        <v/>
      </c>
      <c r="AF1021" s="15" t="str">
        <f t="shared" si="1"/>
        <v/>
      </c>
      <c r="AG1021" s="15" t="str">
        <f>IF(OR(AF1021="",AF1021="ERRO_CHAVE"),"",IFERROR(MATCH(AF1021,'Quitados DUPP'!$U$1:$U$6635,0),""))</f>
        <v/>
      </c>
      <c r="AH1021" s="15" t="str">
        <f t="shared" si="2"/>
        <v/>
      </c>
      <c r="AI1021" s="17" t="str">
        <f>IF(AG1021="","",INDEX('Quitados DUPP'!$G$1:$G$6635,AG1021))</f>
        <v/>
      </c>
      <c r="AJ1021" s="17" t="str">
        <f t="shared" si="3"/>
        <v/>
      </c>
    </row>
    <row r="1022" spans="31:36">
      <c r="AE1022" s="15" t="str">
        <f t="shared" si="0"/>
        <v/>
      </c>
      <c r="AF1022" s="15" t="str">
        <f t="shared" si="1"/>
        <v/>
      </c>
      <c r="AG1022" s="15" t="str">
        <f>IF(OR(AF1022="",AF1022="ERRO_CHAVE"),"",IFERROR(MATCH(AF1022,'Quitados DUPP'!$U$1:$U$6635,0),""))</f>
        <v/>
      </c>
      <c r="AH1022" s="15" t="str">
        <f t="shared" si="2"/>
        <v/>
      </c>
      <c r="AI1022" s="17" t="str">
        <f>IF(AG1022="","",INDEX('Quitados DUPP'!$G$1:$G$6635,AG1022))</f>
        <v/>
      </c>
      <c r="AJ1022" s="17" t="str">
        <f t="shared" si="3"/>
        <v/>
      </c>
    </row>
    <row r="1023" spans="31:36">
      <c r="AE1023" s="15" t="str">
        <f t="shared" si="0"/>
        <v/>
      </c>
      <c r="AF1023" s="15" t="str">
        <f t="shared" si="1"/>
        <v/>
      </c>
      <c r="AG1023" s="15" t="str">
        <f>IF(OR(AF1023="",AF1023="ERRO_CHAVE"),"",IFERROR(MATCH(AF1023,'Quitados DUPP'!$U$1:$U$6635,0),""))</f>
        <v/>
      </c>
      <c r="AH1023" s="15" t="str">
        <f t="shared" si="2"/>
        <v/>
      </c>
      <c r="AI1023" s="17" t="str">
        <f>IF(AG1023="","",INDEX('Quitados DUPP'!$G$1:$G$6635,AG1023))</f>
        <v/>
      </c>
      <c r="AJ1023" s="17" t="str">
        <f t="shared" si="3"/>
        <v/>
      </c>
    </row>
    <row r="1024" spans="31:36">
      <c r="AE1024" s="15" t="str">
        <f t="shared" si="0"/>
        <v/>
      </c>
      <c r="AF1024" s="15" t="str">
        <f t="shared" si="1"/>
        <v/>
      </c>
      <c r="AG1024" s="15" t="str">
        <f>IF(OR(AF1024="",AF1024="ERRO_CHAVE"),"",IFERROR(MATCH(AF1024,'Quitados DUPP'!$U$1:$U$6635,0),""))</f>
        <v/>
      </c>
      <c r="AH1024" s="15" t="str">
        <f t="shared" si="2"/>
        <v/>
      </c>
      <c r="AI1024" s="17" t="str">
        <f>IF(AG1024="","",INDEX('Quitados DUPP'!$G$1:$G$6635,AG1024))</f>
        <v/>
      </c>
      <c r="AJ1024" s="17" t="str">
        <f t="shared" si="3"/>
        <v/>
      </c>
    </row>
    <row r="1025" spans="31:36">
      <c r="AE1025" s="15" t="str">
        <f t="shared" si="0"/>
        <v/>
      </c>
      <c r="AF1025" s="15" t="str">
        <f t="shared" si="1"/>
        <v/>
      </c>
      <c r="AG1025" s="15" t="str">
        <f>IF(OR(AF1025="",AF1025="ERRO_CHAVE"),"",IFERROR(MATCH(AF1025,'Quitados DUPP'!$U$1:$U$6635,0),""))</f>
        <v/>
      </c>
      <c r="AH1025" s="15" t="str">
        <f t="shared" si="2"/>
        <v/>
      </c>
      <c r="AI1025" s="17" t="str">
        <f>IF(AG1025="","",INDEX('Quitados DUPP'!$G$1:$G$6635,AG1025))</f>
        <v/>
      </c>
      <c r="AJ1025" s="17" t="str">
        <f t="shared" si="3"/>
        <v/>
      </c>
    </row>
    <row r="1026" spans="31:36">
      <c r="AE1026" s="15" t="str">
        <f t="shared" si="0"/>
        <v/>
      </c>
      <c r="AF1026" s="15" t="str">
        <f t="shared" si="1"/>
        <v/>
      </c>
      <c r="AG1026" s="15" t="str">
        <f>IF(OR(AF1026="",AF1026="ERRO_CHAVE"),"",IFERROR(MATCH(AF1026,'Quitados DUPP'!$U$1:$U$6635,0),""))</f>
        <v/>
      </c>
      <c r="AH1026" s="15" t="str">
        <f t="shared" si="2"/>
        <v/>
      </c>
      <c r="AI1026" s="17" t="str">
        <f>IF(AG1026="","",INDEX('Quitados DUPP'!$G$1:$G$6635,AG1026))</f>
        <v/>
      </c>
      <c r="AJ1026" s="17" t="str">
        <f t="shared" si="3"/>
        <v/>
      </c>
    </row>
    <row r="1027" spans="31:36">
      <c r="AE1027" s="15" t="str">
        <f t="shared" si="0"/>
        <v/>
      </c>
      <c r="AF1027" s="15" t="str">
        <f t="shared" si="1"/>
        <v/>
      </c>
      <c r="AG1027" s="15" t="str">
        <f>IF(OR(AF1027="",AF1027="ERRO_CHAVE"),"",IFERROR(MATCH(AF1027,'Quitados DUPP'!$U$1:$U$6635,0),""))</f>
        <v/>
      </c>
      <c r="AH1027" s="15" t="str">
        <f t="shared" si="2"/>
        <v/>
      </c>
      <c r="AI1027" s="17" t="str">
        <f>IF(AG1027="","",INDEX('Quitados DUPP'!$G$1:$G$6635,AG1027))</f>
        <v/>
      </c>
      <c r="AJ1027" s="17" t="str">
        <f t="shared" si="3"/>
        <v/>
      </c>
    </row>
    <row r="1028" spans="31:36">
      <c r="AE1028" s="15" t="str">
        <f t="shared" si="0"/>
        <v/>
      </c>
      <c r="AF1028" s="15" t="str">
        <f t="shared" si="1"/>
        <v/>
      </c>
      <c r="AG1028" s="15" t="str">
        <f>IF(OR(AF1028="",AF1028="ERRO_CHAVE"),"",IFERROR(MATCH(AF1028,'Quitados DUPP'!$U$1:$U$6635,0),""))</f>
        <v/>
      </c>
      <c r="AH1028" s="15" t="str">
        <f t="shared" si="2"/>
        <v/>
      </c>
      <c r="AI1028" s="17" t="str">
        <f>IF(AG1028="","",INDEX('Quitados DUPP'!$G$1:$G$6635,AG1028))</f>
        <v/>
      </c>
      <c r="AJ1028" s="17" t="str">
        <f t="shared" si="3"/>
        <v/>
      </c>
    </row>
    <row r="1029" spans="31:36">
      <c r="AE1029" s="15" t="str">
        <f t="shared" si="0"/>
        <v/>
      </c>
      <c r="AF1029" s="15" t="str">
        <f t="shared" si="1"/>
        <v/>
      </c>
      <c r="AG1029" s="15" t="str">
        <f>IF(OR(AF1029="",AF1029="ERRO_CHAVE"),"",IFERROR(MATCH(AF1029,'Quitados DUPP'!$U$1:$U$6635,0),""))</f>
        <v/>
      </c>
      <c r="AH1029" s="15" t="str">
        <f t="shared" si="2"/>
        <v/>
      </c>
      <c r="AI1029" s="17" t="str">
        <f>IF(AG1029="","",INDEX('Quitados DUPP'!$G$1:$G$6635,AG1029))</f>
        <v/>
      </c>
      <c r="AJ1029" s="17" t="str">
        <f t="shared" si="3"/>
        <v/>
      </c>
    </row>
    <row r="1030" spans="31:36">
      <c r="AE1030" s="15" t="str">
        <f t="shared" si="0"/>
        <v/>
      </c>
      <c r="AF1030" s="15" t="str">
        <f t="shared" si="1"/>
        <v/>
      </c>
      <c r="AG1030" s="15" t="str">
        <f>IF(OR(AF1030="",AF1030="ERRO_CHAVE"),"",IFERROR(MATCH(AF1030,'Quitados DUPP'!$U$1:$U$6635,0),""))</f>
        <v/>
      </c>
      <c r="AH1030" s="15" t="str">
        <f t="shared" si="2"/>
        <v/>
      </c>
      <c r="AI1030" s="17" t="str">
        <f>IF(AG1030="","",INDEX('Quitados DUPP'!$G$1:$G$6635,AG1030))</f>
        <v/>
      </c>
      <c r="AJ1030" s="17" t="str">
        <f t="shared" si="3"/>
        <v/>
      </c>
    </row>
    <row r="1031" spans="31:36">
      <c r="AE1031" s="15" t="str">
        <f t="shared" si="0"/>
        <v/>
      </c>
      <c r="AF1031" s="15" t="str">
        <f t="shared" si="1"/>
        <v/>
      </c>
      <c r="AG1031" s="15" t="str">
        <f>IF(OR(AF1031="",AF1031="ERRO_CHAVE"),"",IFERROR(MATCH(AF1031,'Quitados DUPP'!$U$1:$U$6635,0),""))</f>
        <v/>
      </c>
      <c r="AH1031" s="15" t="str">
        <f t="shared" si="2"/>
        <v/>
      </c>
      <c r="AI1031" s="17" t="str">
        <f>IF(AG1031="","",INDEX('Quitados DUPP'!$G$1:$G$6635,AG1031))</f>
        <v/>
      </c>
      <c r="AJ1031" s="17" t="str">
        <f t="shared" si="3"/>
        <v/>
      </c>
    </row>
    <row r="1032" spans="31:36">
      <c r="AE1032" s="15" t="str">
        <f t="shared" si="0"/>
        <v/>
      </c>
      <c r="AF1032" s="15" t="str">
        <f t="shared" si="1"/>
        <v/>
      </c>
      <c r="AG1032" s="15" t="str">
        <f>IF(OR(AF1032="",AF1032="ERRO_CHAVE"),"",IFERROR(MATCH(AF1032,'Quitados DUPP'!$U$1:$U$6635,0),""))</f>
        <v/>
      </c>
      <c r="AH1032" s="15" t="str">
        <f t="shared" si="2"/>
        <v/>
      </c>
      <c r="AI1032" s="17" t="str">
        <f>IF(AG1032="","",INDEX('Quitados DUPP'!$G$1:$G$6635,AG1032))</f>
        <v/>
      </c>
      <c r="AJ1032" s="17" t="str">
        <f t="shared" si="3"/>
        <v/>
      </c>
    </row>
    <row r="1033" spans="31:36">
      <c r="AE1033" s="15" t="str">
        <f t="shared" si="0"/>
        <v/>
      </c>
      <c r="AF1033" s="15" t="str">
        <f t="shared" si="1"/>
        <v/>
      </c>
      <c r="AG1033" s="15" t="str">
        <f>IF(OR(AF1033="",AF1033="ERRO_CHAVE"),"",IFERROR(MATCH(AF1033,'Quitados DUPP'!$U$1:$U$6635,0),""))</f>
        <v/>
      </c>
      <c r="AH1033" s="15" t="str">
        <f t="shared" si="2"/>
        <v/>
      </c>
      <c r="AI1033" s="17" t="str">
        <f>IF(AG1033="","",INDEX('Quitados DUPP'!$G$1:$G$6635,AG1033))</f>
        <v/>
      </c>
      <c r="AJ1033" s="17" t="str">
        <f t="shared" si="3"/>
        <v/>
      </c>
    </row>
    <row r="1034" spans="31:36">
      <c r="AE1034" s="15" t="str">
        <f t="shared" si="0"/>
        <v/>
      </c>
      <c r="AF1034" s="15" t="str">
        <f t="shared" si="1"/>
        <v/>
      </c>
      <c r="AG1034" s="15" t="str">
        <f>IF(OR(AF1034="",AF1034="ERRO_CHAVE"),"",IFERROR(MATCH(AF1034,'Quitados DUPP'!$U$1:$U$6635,0),""))</f>
        <v/>
      </c>
      <c r="AH1034" s="15" t="str">
        <f t="shared" si="2"/>
        <v/>
      </c>
      <c r="AI1034" s="17" t="str">
        <f>IF(AG1034="","",INDEX('Quitados DUPP'!$G$1:$G$6635,AG1034))</f>
        <v/>
      </c>
      <c r="AJ1034" s="17" t="str">
        <f t="shared" si="3"/>
        <v/>
      </c>
    </row>
    <row r="1035" spans="31:36">
      <c r="AE1035" s="15" t="str">
        <f t="shared" si="0"/>
        <v/>
      </c>
      <c r="AF1035" s="15" t="str">
        <f t="shared" si="1"/>
        <v/>
      </c>
      <c r="AG1035" s="15" t="str">
        <f>IF(OR(AF1035="",AF1035="ERRO_CHAVE"),"",IFERROR(MATCH(AF1035,'Quitados DUPP'!$U$1:$U$6635,0),""))</f>
        <v/>
      </c>
      <c r="AH1035" s="15" t="str">
        <f t="shared" si="2"/>
        <v/>
      </c>
      <c r="AI1035" s="17" t="str">
        <f>IF(AG1035="","",INDEX('Quitados DUPP'!$G$1:$G$6635,AG1035))</f>
        <v/>
      </c>
      <c r="AJ1035" s="17" t="str">
        <f t="shared" si="3"/>
        <v/>
      </c>
    </row>
    <row r="1036" spans="31:36">
      <c r="AE1036" s="15" t="str">
        <f t="shared" si="0"/>
        <v/>
      </c>
      <c r="AF1036" s="15" t="str">
        <f t="shared" si="1"/>
        <v/>
      </c>
      <c r="AG1036" s="15" t="str">
        <f>IF(OR(AF1036="",AF1036="ERRO_CHAVE"),"",IFERROR(MATCH(AF1036,'Quitados DUPP'!$U$1:$U$6635,0),""))</f>
        <v/>
      </c>
      <c r="AH1036" s="15" t="str">
        <f t="shared" si="2"/>
        <v/>
      </c>
      <c r="AI1036" s="17" t="str">
        <f>IF(AG1036="","",INDEX('Quitados DUPP'!$G$1:$G$6635,AG1036))</f>
        <v/>
      </c>
      <c r="AJ1036" s="17" t="str">
        <f t="shared" si="3"/>
        <v/>
      </c>
    </row>
    <row r="1037" spans="31:36">
      <c r="AE1037" s="15" t="str">
        <f t="shared" si="0"/>
        <v/>
      </c>
      <c r="AF1037" s="15" t="str">
        <f t="shared" si="1"/>
        <v/>
      </c>
      <c r="AG1037" s="15" t="str">
        <f>IF(OR(AF1037="",AF1037="ERRO_CHAVE"),"",IFERROR(MATCH(AF1037,'Quitados DUPP'!$U$1:$U$6635,0),""))</f>
        <v/>
      </c>
      <c r="AH1037" s="15" t="str">
        <f t="shared" si="2"/>
        <v/>
      </c>
      <c r="AI1037" s="17" t="str">
        <f>IF(AG1037="","",INDEX('Quitados DUPP'!$G$1:$G$6635,AG1037))</f>
        <v/>
      </c>
      <c r="AJ1037" s="17" t="str">
        <f t="shared" si="3"/>
        <v/>
      </c>
    </row>
    <row r="1038" spans="31:36">
      <c r="AE1038" s="15" t="str">
        <f t="shared" si="0"/>
        <v/>
      </c>
      <c r="AF1038" s="15" t="str">
        <f t="shared" si="1"/>
        <v/>
      </c>
      <c r="AG1038" s="15" t="str">
        <f>IF(OR(AF1038="",AF1038="ERRO_CHAVE"),"",IFERROR(MATCH(AF1038,'Quitados DUPP'!$U$1:$U$6635,0),""))</f>
        <v/>
      </c>
      <c r="AH1038" s="15" t="str">
        <f t="shared" si="2"/>
        <v/>
      </c>
      <c r="AI1038" s="17" t="str">
        <f>IF(AG1038="","",INDEX('Quitados DUPP'!$G$1:$G$6635,AG1038))</f>
        <v/>
      </c>
      <c r="AJ1038" s="17" t="str">
        <f t="shared" si="3"/>
        <v/>
      </c>
    </row>
    <row r="1039" spans="31:36">
      <c r="AE1039" s="15" t="str">
        <f t="shared" si="0"/>
        <v/>
      </c>
      <c r="AF1039" s="15" t="str">
        <f t="shared" si="1"/>
        <v/>
      </c>
      <c r="AG1039" s="15" t="str">
        <f>IF(OR(AF1039="",AF1039="ERRO_CHAVE"),"",IFERROR(MATCH(AF1039,'Quitados DUPP'!$U$1:$U$6635,0),""))</f>
        <v/>
      </c>
      <c r="AH1039" s="15" t="str">
        <f t="shared" si="2"/>
        <v/>
      </c>
      <c r="AI1039" s="17" t="str">
        <f>IF(AG1039="","",INDEX('Quitados DUPP'!$G$1:$G$6635,AG1039))</f>
        <v/>
      </c>
      <c r="AJ1039" s="17" t="str">
        <f t="shared" si="3"/>
        <v/>
      </c>
    </row>
    <row r="1040" spans="31:36">
      <c r="AE1040" s="15" t="str">
        <f t="shared" si="0"/>
        <v/>
      </c>
      <c r="AF1040" s="15" t="str">
        <f t="shared" si="1"/>
        <v/>
      </c>
      <c r="AG1040" s="15" t="str">
        <f>IF(OR(AF1040="",AF1040="ERRO_CHAVE"),"",IFERROR(MATCH(AF1040,'Quitados DUPP'!$U$1:$U$6635,0),""))</f>
        <v/>
      </c>
      <c r="AH1040" s="15" t="str">
        <f t="shared" si="2"/>
        <v/>
      </c>
      <c r="AI1040" s="17" t="str">
        <f>IF(AG1040="","",INDEX('Quitados DUPP'!$G$1:$G$6635,AG1040))</f>
        <v/>
      </c>
      <c r="AJ1040" s="17" t="str">
        <f t="shared" si="3"/>
        <v/>
      </c>
    </row>
    <row r="1041" spans="31:36">
      <c r="AE1041" s="15" t="str">
        <f t="shared" si="0"/>
        <v/>
      </c>
      <c r="AF1041" s="15" t="str">
        <f t="shared" si="1"/>
        <v/>
      </c>
      <c r="AG1041" s="15" t="str">
        <f>IF(OR(AF1041="",AF1041="ERRO_CHAVE"),"",IFERROR(MATCH(AF1041,'Quitados DUPP'!$U$1:$U$6635,0),""))</f>
        <v/>
      </c>
      <c r="AH1041" s="15" t="str">
        <f t="shared" si="2"/>
        <v/>
      </c>
      <c r="AI1041" s="17" t="str">
        <f>IF(AG1041="","",INDEX('Quitados DUPP'!$G$1:$G$6635,AG1041))</f>
        <v/>
      </c>
      <c r="AJ1041" s="17" t="str">
        <f t="shared" si="3"/>
        <v/>
      </c>
    </row>
    <row r="1042" spans="31:36">
      <c r="AE1042" s="15" t="str">
        <f t="shared" si="0"/>
        <v/>
      </c>
      <c r="AF1042" s="15" t="str">
        <f t="shared" si="1"/>
        <v/>
      </c>
      <c r="AG1042" s="15" t="str">
        <f>IF(OR(AF1042="",AF1042="ERRO_CHAVE"),"",IFERROR(MATCH(AF1042,'Quitados DUPP'!$U$1:$U$6635,0),""))</f>
        <v/>
      </c>
      <c r="AH1042" s="15" t="str">
        <f t="shared" si="2"/>
        <v/>
      </c>
      <c r="AI1042" s="17" t="str">
        <f>IF(AG1042="","",INDEX('Quitados DUPP'!$G$1:$G$6635,AG1042))</f>
        <v/>
      </c>
      <c r="AJ1042" s="17" t="str">
        <f t="shared" si="3"/>
        <v/>
      </c>
    </row>
    <row r="1043" spans="31:36">
      <c r="AE1043" s="15" t="str">
        <f t="shared" si="0"/>
        <v/>
      </c>
      <c r="AF1043" s="15" t="str">
        <f t="shared" si="1"/>
        <v/>
      </c>
      <c r="AG1043" s="15" t="str">
        <f>IF(OR(AF1043="",AF1043="ERRO_CHAVE"),"",IFERROR(MATCH(AF1043,'Quitados DUPP'!$U$1:$U$6635,0),""))</f>
        <v/>
      </c>
      <c r="AH1043" s="15" t="str">
        <f t="shared" si="2"/>
        <v/>
      </c>
      <c r="AI1043" s="17" t="str">
        <f>IF(AG1043="","",INDEX('Quitados DUPP'!$G$1:$G$6635,AG1043))</f>
        <v/>
      </c>
      <c r="AJ1043" s="17" t="str">
        <f t="shared" si="3"/>
        <v/>
      </c>
    </row>
    <row r="1044" spans="31:36">
      <c r="AE1044" s="15" t="str">
        <f t="shared" si="0"/>
        <v/>
      </c>
      <c r="AF1044" s="15" t="str">
        <f t="shared" si="1"/>
        <v/>
      </c>
      <c r="AG1044" s="15" t="str">
        <f>IF(OR(AF1044="",AF1044="ERRO_CHAVE"),"",IFERROR(MATCH(AF1044,'Quitados DUPP'!$U$1:$U$6635,0),""))</f>
        <v/>
      </c>
      <c r="AH1044" s="15" t="str">
        <f t="shared" si="2"/>
        <v/>
      </c>
      <c r="AI1044" s="17" t="str">
        <f>IF(AG1044="","",INDEX('Quitados DUPP'!$G$1:$G$6635,AG1044))</f>
        <v/>
      </c>
      <c r="AJ1044" s="17" t="str">
        <f t="shared" si="3"/>
        <v/>
      </c>
    </row>
    <row r="1045" spans="31:36">
      <c r="AE1045" s="15" t="str">
        <f t="shared" si="0"/>
        <v/>
      </c>
      <c r="AF1045" s="15" t="str">
        <f t="shared" si="1"/>
        <v/>
      </c>
      <c r="AG1045" s="15" t="str">
        <f>IF(OR(AF1045="",AF1045="ERRO_CHAVE"),"",IFERROR(MATCH(AF1045,'Quitados DUPP'!$U$1:$U$6635,0),""))</f>
        <v/>
      </c>
      <c r="AH1045" s="15" t="str">
        <f t="shared" si="2"/>
        <v/>
      </c>
      <c r="AI1045" s="17" t="str">
        <f>IF(AG1045="","",INDEX('Quitados DUPP'!$G$1:$G$6635,AG1045))</f>
        <v/>
      </c>
      <c r="AJ1045" s="17" t="str">
        <f t="shared" si="3"/>
        <v/>
      </c>
    </row>
    <row r="1046" spans="31:36">
      <c r="AE1046" s="15" t="str">
        <f t="shared" si="0"/>
        <v/>
      </c>
      <c r="AF1046" s="15" t="str">
        <f t="shared" si="1"/>
        <v/>
      </c>
      <c r="AG1046" s="15" t="str">
        <f>IF(OR(AF1046="",AF1046="ERRO_CHAVE"),"",IFERROR(MATCH(AF1046,'Quitados DUPP'!$U$1:$U$6635,0),""))</f>
        <v/>
      </c>
      <c r="AH1046" s="15" t="str">
        <f t="shared" si="2"/>
        <v/>
      </c>
      <c r="AI1046" s="17" t="str">
        <f>IF(AG1046="","",INDEX('Quitados DUPP'!$G$1:$G$6635,AG1046))</f>
        <v/>
      </c>
      <c r="AJ1046" s="17" t="str">
        <f t="shared" si="3"/>
        <v/>
      </c>
    </row>
    <row r="1047" spans="31:36">
      <c r="AE1047" s="15" t="str">
        <f t="shared" si="0"/>
        <v/>
      </c>
      <c r="AF1047" s="15" t="str">
        <f t="shared" si="1"/>
        <v/>
      </c>
      <c r="AG1047" s="15" t="str">
        <f>IF(OR(AF1047="",AF1047="ERRO_CHAVE"),"",IFERROR(MATCH(AF1047,'Quitados DUPP'!$U$1:$U$6635,0),""))</f>
        <v/>
      </c>
      <c r="AH1047" s="15" t="str">
        <f t="shared" si="2"/>
        <v/>
      </c>
      <c r="AI1047" s="17" t="str">
        <f>IF(AG1047="","",INDEX('Quitados DUPP'!$G$1:$G$6635,AG1047))</f>
        <v/>
      </c>
      <c r="AJ1047" s="17" t="str">
        <f t="shared" si="3"/>
        <v/>
      </c>
    </row>
    <row r="1048" spans="31:36">
      <c r="AE1048" s="15" t="str">
        <f t="shared" si="0"/>
        <v/>
      </c>
      <c r="AF1048" s="15" t="str">
        <f t="shared" si="1"/>
        <v/>
      </c>
      <c r="AG1048" s="15" t="str">
        <f>IF(OR(AF1048="",AF1048="ERRO_CHAVE"),"",IFERROR(MATCH(AF1048,'Quitados DUPP'!$U$1:$U$6635,0),""))</f>
        <v/>
      </c>
      <c r="AH1048" s="15" t="str">
        <f t="shared" si="2"/>
        <v/>
      </c>
      <c r="AI1048" s="17" t="str">
        <f>IF(AG1048="","",INDEX('Quitados DUPP'!$G$1:$G$6635,AG1048))</f>
        <v/>
      </c>
      <c r="AJ1048" s="17" t="str">
        <f t="shared" si="3"/>
        <v/>
      </c>
    </row>
    <row r="1049" spans="31:36">
      <c r="AE1049" s="15" t="str">
        <f t="shared" si="0"/>
        <v/>
      </c>
      <c r="AF1049" s="15" t="str">
        <f t="shared" si="1"/>
        <v/>
      </c>
      <c r="AG1049" s="15" t="str">
        <f>IF(OR(AF1049="",AF1049="ERRO_CHAVE"),"",IFERROR(MATCH(AF1049,'Quitados DUPP'!$U$1:$U$6635,0),""))</f>
        <v/>
      </c>
      <c r="AH1049" s="15" t="str">
        <f t="shared" si="2"/>
        <v/>
      </c>
      <c r="AI1049" s="17" t="str">
        <f>IF(AG1049="","",INDEX('Quitados DUPP'!$G$1:$G$6635,AG1049))</f>
        <v/>
      </c>
      <c r="AJ1049" s="17" t="str">
        <f t="shared" si="3"/>
        <v/>
      </c>
    </row>
    <row r="1050" spans="31:36">
      <c r="AE1050" s="15" t="str">
        <f t="shared" si="0"/>
        <v/>
      </c>
      <c r="AF1050" s="15" t="str">
        <f t="shared" si="1"/>
        <v/>
      </c>
      <c r="AG1050" s="15" t="str">
        <f>IF(OR(AF1050="",AF1050="ERRO_CHAVE"),"",IFERROR(MATCH(AF1050,'Quitados DUPP'!$U$1:$U$6635,0),""))</f>
        <v/>
      </c>
      <c r="AH1050" s="15" t="str">
        <f t="shared" si="2"/>
        <v/>
      </c>
      <c r="AI1050" s="17" t="str">
        <f>IF(AG1050="","",INDEX('Quitados DUPP'!$G$1:$G$6635,AG1050))</f>
        <v/>
      </c>
      <c r="AJ1050" s="17" t="str">
        <f t="shared" si="3"/>
        <v/>
      </c>
    </row>
    <row r="1051" spans="31:36">
      <c r="AE1051" s="15" t="str">
        <f t="shared" si="0"/>
        <v/>
      </c>
      <c r="AF1051" s="15" t="str">
        <f t="shared" si="1"/>
        <v/>
      </c>
      <c r="AG1051" s="15" t="str">
        <f>IF(OR(AF1051="",AF1051="ERRO_CHAVE"),"",IFERROR(MATCH(AF1051,'Quitados DUPP'!$U$1:$U$6635,0),""))</f>
        <v/>
      </c>
      <c r="AH1051" s="15" t="str">
        <f t="shared" si="2"/>
        <v/>
      </c>
      <c r="AI1051" s="17" t="str">
        <f>IF(AG1051="","",INDEX('Quitados DUPP'!$G$1:$G$6635,AG1051))</f>
        <v/>
      </c>
      <c r="AJ1051" s="17" t="str">
        <f t="shared" si="3"/>
        <v/>
      </c>
    </row>
    <row r="1052" spans="31:36">
      <c r="AE1052" s="15" t="str">
        <f t="shared" si="0"/>
        <v/>
      </c>
      <c r="AF1052" s="15" t="str">
        <f t="shared" si="1"/>
        <v/>
      </c>
      <c r="AG1052" s="15" t="str">
        <f>IF(OR(AF1052="",AF1052="ERRO_CHAVE"),"",IFERROR(MATCH(AF1052,'Quitados DUPP'!$U$1:$U$6635,0),""))</f>
        <v/>
      </c>
      <c r="AH1052" s="15" t="str">
        <f t="shared" si="2"/>
        <v/>
      </c>
      <c r="AI1052" s="17" t="str">
        <f>IF(AG1052="","",INDEX('Quitados DUPP'!$G$1:$G$6635,AG1052))</f>
        <v/>
      </c>
      <c r="AJ1052" s="17" t="str">
        <f t="shared" si="3"/>
        <v/>
      </c>
    </row>
    <row r="1053" spans="31:36">
      <c r="AE1053" s="15" t="str">
        <f t="shared" si="0"/>
        <v/>
      </c>
      <c r="AF1053" s="15" t="str">
        <f t="shared" si="1"/>
        <v/>
      </c>
      <c r="AG1053" s="15" t="str">
        <f>IF(OR(AF1053="",AF1053="ERRO_CHAVE"),"",IFERROR(MATCH(AF1053,'Quitados DUPP'!$U$1:$U$6635,0),""))</f>
        <v/>
      </c>
      <c r="AH1053" s="15" t="str">
        <f t="shared" si="2"/>
        <v/>
      </c>
      <c r="AI1053" s="17" t="str">
        <f>IF(AG1053="","",INDEX('Quitados DUPP'!$G$1:$G$6635,AG1053))</f>
        <v/>
      </c>
      <c r="AJ1053" s="17" t="str">
        <f t="shared" si="3"/>
        <v/>
      </c>
    </row>
    <row r="1054" spans="31:36">
      <c r="AE1054" s="15" t="str">
        <f t="shared" si="0"/>
        <v/>
      </c>
      <c r="AF1054" s="15" t="str">
        <f t="shared" si="1"/>
        <v/>
      </c>
      <c r="AG1054" s="15" t="str">
        <f>IF(OR(AF1054="",AF1054="ERRO_CHAVE"),"",IFERROR(MATCH(AF1054,'Quitados DUPP'!$U$1:$U$6635,0),""))</f>
        <v/>
      </c>
      <c r="AH1054" s="15" t="str">
        <f t="shared" si="2"/>
        <v/>
      </c>
      <c r="AI1054" s="17" t="str">
        <f>IF(AG1054="","",INDEX('Quitados DUPP'!$G$1:$G$6635,AG1054))</f>
        <v/>
      </c>
      <c r="AJ1054" s="17" t="str">
        <f t="shared" si="3"/>
        <v/>
      </c>
    </row>
    <row r="1055" spans="31:36">
      <c r="AE1055" s="15" t="str">
        <f t="shared" si="0"/>
        <v/>
      </c>
      <c r="AF1055" s="15" t="str">
        <f t="shared" si="1"/>
        <v/>
      </c>
      <c r="AG1055" s="15" t="str">
        <f>IF(OR(AF1055="",AF1055="ERRO_CHAVE"),"",IFERROR(MATCH(AF1055,'Quitados DUPP'!$U$1:$U$6635,0),""))</f>
        <v/>
      </c>
      <c r="AH1055" s="15" t="str">
        <f t="shared" si="2"/>
        <v/>
      </c>
      <c r="AI1055" s="17" t="str">
        <f>IF(AG1055="","",INDEX('Quitados DUPP'!$G$1:$G$6635,AG1055))</f>
        <v/>
      </c>
      <c r="AJ1055" s="17" t="str">
        <f t="shared" si="3"/>
        <v/>
      </c>
    </row>
    <row r="1056" spans="31:36">
      <c r="AE1056" s="15" t="str">
        <f t="shared" si="0"/>
        <v/>
      </c>
      <c r="AF1056" s="15" t="str">
        <f t="shared" si="1"/>
        <v/>
      </c>
      <c r="AG1056" s="15" t="str">
        <f>IF(OR(AF1056="",AF1056="ERRO_CHAVE"),"",IFERROR(MATCH(AF1056,'Quitados DUPP'!$U$1:$U$6635,0),""))</f>
        <v/>
      </c>
      <c r="AH1056" s="15" t="str">
        <f t="shared" si="2"/>
        <v/>
      </c>
      <c r="AI1056" s="17" t="str">
        <f>IF(AG1056="","",INDEX('Quitados DUPP'!$G$1:$G$6635,AG1056))</f>
        <v/>
      </c>
      <c r="AJ1056" s="17" t="str">
        <f t="shared" si="3"/>
        <v/>
      </c>
    </row>
    <row r="1057" spans="31:36">
      <c r="AE1057" s="15" t="str">
        <f t="shared" si="0"/>
        <v/>
      </c>
      <c r="AF1057" s="15" t="str">
        <f t="shared" si="1"/>
        <v/>
      </c>
      <c r="AG1057" s="15" t="str">
        <f>IF(OR(AF1057="",AF1057="ERRO_CHAVE"),"",IFERROR(MATCH(AF1057,'Quitados DUPP'!$U$1:$U$6635,0),""))</f>
        <v/>
      </c>
      <c r="AH1057" s="15" t="str">
        <f t="shared" si="2"/>
        <v/>
      </c>
      <c r="AI1057" s="17" t="str">
        <f>IF(AG1057="","",INDEX('Quitados DUPP'!$G$1:$G$6635,AG1057))</f>
        <v/>
      </c>
      <c r="AJ1057" s="17" t="str">
        <f t="shared" si="3"/>
        <v/>
      </c>
    </row>
    <row r="1058" spans="31:36">
      <c r="AE1058" s="15" t="str">
        <f t="shared" si="0"/>
        <v/>
      </c>
      <c r="AF1058" s="15" t="str">
        <f t="shared" si="1"/>
        <v/>
      </c>
      <c r="AG1058" s="15" t="str">
        <f>IF(OR(AF1058="",AF1058="ERRO_CHAVE"),"",IFERROR(MATCH(AF1058,'Quitados DUPP'!$U$1:$U$6635,0),""))</f>
        <v/>
      </c>
      <c r="AH1058" s="15" t="str">
        <f t="shared" si="2"/>
        <v/>
      </c>
      <c r="AI1058" s="17" t="str">
        <f>IF(AG1058="","",INDEX('Quitados DUPP'!$G$1:$G$6635,AG1058))</f>
        <v/>
      </c>
      <c r="AJ1058" s="17" t="str">
        <f t="shared" si="3"/>
        <v/>
      </c>
    </row>
    <row r="1059" spans="31:36">
      <c r="AE1059" s="15" t="str">
        <f t="shared" si="0"/>
        <v/>
      </c>
      <c r="AF1059" s="15" t="str">
        <f t="shared" si="1"/>
        <v/>
      </c>
      <c r="AG1059" s="15" t="str">
        <f>IF(OR(AF1059="",AF1059="ERRO_CHAVE"),"",IFERROR(MATCH(AF1059,'Quitados DUPP'!$U$1:$U$6635,0),""))</f>
        <v/>
      </c>
      <c r="AH1059" s="15" t="str">
        <f t="shared" si="2"/>
        <v/>
      </c>
      <c r="AI1059" s="17" t="str">
        <f>IF(AG1059="","",INDEX('Quitados DUPP'!$G$1:$G$6635,AG1059))</f>
        <v/>
      </c>
      <c r="AJ1059" s="17" t="str">
        <f t="shared" si="3"/>
        <v/>
      </c>
    </row>
    <row r="1060" spans="31:36">
      <c r="AE1060" s="15" t="str">
        <f t="shared" si="0"/>
        <v/>
      </c>
      <c r="AF1060" s="15" t="str">
        <f t="shared" si="1"/>
        <v/>
      </c>
      <c r="AG1060" s="15" t="str">
        <f>IF(OR(AF1060="",AF1060="ERRO_CHAVE"),"",IFERROR(MATCH(AF1060,'Quitados DUPP'!$U$1:$U$6635,0),""))</f>
        <v/>
      </c>
      <c r="AH1060" s="15" t="str">
        <f t="shared" si="2"/>
        <v/>
      </c>
      <c r="AI1060" s="17" t="str">
        <f>IF(AG1060="","",INDEX('Quitados DUPP'!$G$1:$G$6635,AG1060))</f>
        <v/>
      </c>
      <c r="AJ1060" s="17" t="str">
        <f t="shared" si="3"/>
        <v/>
      </c>
    </row>
    <row r="1061" spans="31:36">
      <c r="AE1061" s="15" t="str">
        <f t="shared" si="0"/>
        <v/>
      </c>
      <c r="AF1061" s="15" t="str">
        <f t="shared" si="1"/>
        <v/>
      </c>
      <c r="AG1061" s="15" t="str">
        <f>IF(OR(AF1061="",AF1061="ERRO_CHAVE"),"",IFERROR(MATCH(AF1061,'Quitados DUPP'!$U$1:$U$6635,0),""))</f>
        <v/>
      </c>
      <c r="AH1061" s="15" t="str">
        <f t="shared" si="2"/>
        <v/>
      </c>
      <c r="AI1061" s="17" t="str">
        <f>IF(AG1061="","",INDEX('Quitados DUPP'!$G$1:$G$6635,AG1061))</f>
        <v/>
      </c>
      <c r="AJ1061" s="17" t="str">
        <f t="shared" si="3"/>
        <v/>
      </c>
    </row>
    <row r="1062" spans="31:36">
      <c r="AE1062" s="15" t="str">
        <f t="shared" si="0"/>
        <v/>
      </c>
      <c r="AF1062" s="15" t="str">
        <f t="shared" si="1"/>
        <v/>
      </c>
      <c r="AG1062" s="15" t="str">
        <f>IF(OR(AF1062="",AF1062="ERRO_CHAVE"),"",IFERROR(MATCH(AF1062,'Quitados DUPP'!$U$1:$U$6635,0),""))</f>
        <v/>
      </c>
      <c r="AH1062" s="15" t="str">
        <f t="shared" si="2"/>
        <v/>
      </c>
      <c r="AI1062" s="17" t="str">
        <f>IF(AG1062="","",INDEX('Quitados DUPP'!$G$1:$G$6635,AG1062))</f>
        <v/>
      </c>
      <c r="AJ1062" s="17" t="str">
        <f t="shared" si="3"/>
        <v/>
      </c>
    </row>
    <row r="1063" spans="31:36">
      <c r="AE1063" s="15" t="str">
        <f t="shared" si="0"/>
        <v/>
      </c>
      <c r="AF1063" s="15" t="str">
        <f t="shared" si="1"/>
        <v/>
      </c>
      <c r="AG1063" s="15" t="str">
        <f>IF(OR(AF1063="",AF1063="ERRO_CHAVE"),"",IFERROR(MATCH(AF1063,'Quitados DUPP'!$U$1:$U$6635,0),""))</f>
        <v/>
      </c>
      <c r="AH1063" s="15" t="str">
        <f t="shared" si="2"/>
        <v/>
      </c>
      <c r="AI1063" s="17" t="str">
        <f>IF(AG1063="","",INDEX('Quitados DUPP'!$G$1:$G$6635,AG1063))</f>
        <v/>
      </c>
      <c r="AJ1063" s="17" t="str">
        <f t="shared" si="3"/>
        <v/>
      </c>
    </row>
    <row r="1064" spans="31:36">
      <c r="AE1064" s="15" t="str">
        <f t="shared" si="0"/>
        <v/>
      </c>
      <c r="AF1064" s="15" t="str">
        <f t="shared" si="1"/>
        <v/>
      </c>
      <c r="AG1064" s="15" t="str">
        <f>IF(OR(AF1064="",AF1064="ERRO_CHAVE"),"",IFERROR(MATCH(AF1064,'Quitados DUPP'!$U$1:$U$6635,0),""))</f>
        <v/>
      </c>
      <c r="AH1064" s="15" t="str">
        <f t="shared" si="2"/>
        <v/>
      </c>
      <c r="AI1064" s="17" t="str">
        <f>IF(AG1064="","",INDEX('Quitados DUPP'!$G$1:$G$6635,AG1064))</f>
        <v/>
      </c>
      <c r="AJ1064" s="17" t="str">
        <f t="shared" si="3"/>
        <v/>
      </c>
    </row>
    <row r="1065" spans="31:36">
      <c r="AE1065" s="15" t="str">
        <f t="shared" si="0"/>
        <v/>
      </c>
      <c r="AF1065" s="15" t="str">
        <f t="shared" si="1"/>
        <v/>
      </c>
      <c r="AG1065" s="15" t="str">
        <f>IF(OR(AF1065="",AF1065="ERRO_CHAVE"),"",IFERROR(MATCH(AF1065,'Quitados DUPP'!$U$1:$U$6635,0),""))</f>
        <v/>
      </c>
      <c r="AH1065" s="15" t="str">
        <f t="shared" si="2"/>
        <v/>
      </c>
      <c r="AI1065" s="17" t="str">
        <f>IF(AG1065="","",INDEX('Quitados DUPP'!$G$1:$G$6635,AG1065))</f>
        <v/>
      </c>
      <c r="AJ1065" s="17" t="str">
        <f t="shared" si="3"/>
        <v/>
      </c>
    </row>
    <row r="1066" spans="31:36">
      <c r="AE1066" s="15" t="str">
        <f t="shared" si="0"/>
        <v/>
      </c>
      <c r="AF1066" s="15" t="str">
        <f t="shared" si="1"/>
        <v/>
      </c>
      <c r="AG1066" s="15" t="str">
        <f>IF(OR(AF1066="",AF1066="ERRO_CHAVE"),"",IFERROR(MATCH(AF1066,'Quitados DUPP'!$U$1:$U$6635,0),""))</f>
        <v/>
      </c>
      <c r="AH1066" s="15" t="str">
        <f t="shared" si="2"/>
        <v/>
      </c>
      <c r="AI1066" s="17" t="str">
        <f>IF(AG1066="","",INDEX('Quitados DUPP'!$G$1:$G$6635,AG1066))</f>
        <v/>
      </c>
      <c r="AJ1066" s="17" t="str">
        <f t="shared" si="3"/>
        <v/>
      </c>
    </row>
    <row r="1067" spans="31:36">
      <c r="AE1067" s="15" t="str">
        <f t="shared" si="0"/>
        <v/>
      </c>
      <c r="AF1067" s="15" t="str">
        <f t="shared" si="1"/>
        <v/>
      </c>
      <c r="AG1067" s="15" t="str">
        <f>IF(OR(AF1067="",AF1067="ERRO_CHAVE"),"",IFERROR(MATCH(AF1067,'Quitados DUPP'!$U$1:$U$6635,0),""))</f>
        <v/>
      </c>
      <c r="AH1067" s="15" t="str">
        <f t="shared" si="2"/>
        <v/>
      </c>
      <c r="AI1067" s="17" t="str">
        <f>IF(AG1067="","",INDEX('Quitados DUPP'!$G$1:$G$6635,AG1067))</f>
        <v/>
      </c>
      <c r="AJ1067" s="17" t="str">
        <f t="shared" si="3"/>
        <v/>
      </c>
    </row>
    <row r="1068" spans="31:36">
      <c r="AE1068" s="15" t="str">
        <f t="shared" si="0"/>
        <v/>
      </c>
      <c r="AF1068" s="15" t="str">
        <f t="shared" si="1"/>
        <v/>
      </c>
      <c r="AG1068" s="15" t="str">
        <f>IF(OR(AF1068="",AF1068="ERRO_CHAVE"),"",IFERROR(MATCH(AF1068,'Quitados DUPP'!$U$1:$U$6635,0),""))</f>
        <v/>
      </c>
      <c r="AH1068" s="15" t="str">
        <f t="shared" si="2"/>
        <v/>
      </c>
      <c r="AI1068" s="17" t="str">
        <f>IF(AG1068="","",INDEX('Quitados DUPP'!$G$1:$G$6635,AG1068))</f>
        <v/>
      </c>
      <c r="AJ1068" s="17" t="str">
        <f t="shared" si="3"/>
        <v/>
      </c>
    </row>
    <row r="1069" spans="31:36">
      <c r="AE1069" s="15" t="str">
        <f t="shared" si="0"/>
        <v/>
      </c>
      <c r="AF1069" s="15" t="str">
        <f t="shared" si="1"/>
        <v/>
      </c>
      <c r="AG1069" s="15" t="str">
        <f>IF(OR(AF1069="",AF1069="ERRO_CHAVE"),"",IFERROR(MATCH(AF1069,'Quitados DUPP'!$U$1:$U$6635,0),""))</f>
        <v/>
      </c>
      <c r="AH1069" s="15" t="str">
        <f t="shared" si="2"/>
        <v/>
      </c>
      <c r="AI1069" s="17" t="str">
        <f>IF(AG1069="","",INDEX('Quitados DUPP'!$G$1:$G$6635,AG1069))</f>
        <v/>
      </c>
      <c r="AJ1069" s="17" t="str">
        <f t="shared" si="3"/>
        <v/>
      </c>
    </row>
    <row r="1070" spans="31:36">
      <c r="AE1070" s="15" t="str">
        <f t="shared" si="0"/>
        <v/>
      </c>
      <c r="AF1070" s="15" t="str">
        <f t="shared" si="1"/>
        <v/>
      </c>
      <c r="AG1070" s="15" t="str">
        <f>IF(OR(AF1070="",AF1070="ERRO_CHAVE"),"",IFERROR(MATCH(AF1070,'Quitados DUPP'!$U$1:$U$6635,0),""))</f>
        <v/>
      </c>
      <c r="AH1070" s="15" t="str">
        <f t="shared" si="2"/>
        <v/>
      </c>
      <c r="AI1070" s="17" t="str">
        <f>IF(AG1070="","",INDEX('Quitados DUPP'!$G$1:$G$6635,AG1070))</f>
        <v/>
      </c>
      <c r="AJ1070" s="17" t="str">
        <f t="shared" si="3"/>
        <v/>
      </c>
    </row>
    <row r="1071" spans="31:36">
      <c r="AE1071" s="15" t="str">
        <f t="shared" si="0"/>
        <v/>
      </c>
      <c r="AF1071" s="15" t="str">
        <f t="shared" si="1"/>
        <v/>
      </c>
      <c r="AG1071" s="15" t="str">
        <f>IF(OR(AF1071="",AF1071="ERRO_CHAVE"),"",IFERROR(MATCH(AF1071,'Quitados DUPP'!$U$1:$U$6635,0),""))</f>
        <v/>
      </c>
      <c r="AH1071" s="15" t="str">
        <f t="shared" si="2"/>
        <v/>
      </c>
      <c r="AI1071" s="17" t="str">
        <f>IF(AG1071="","",INDEX('Quitados DUPP'!$G$1:$G$6635,AG1071))</f>
        <v/>
      </c>
      <c r="AJ1071" s="17" t="str">
        <f t="shared" si="3"/>
        <v/>
      </c>
    </row>
    <row r="1072" spans="31:36">
      <c r="AE1072" s="15" t="str">
        <f t="shared" si="0"/>
        <v/>
      </c>
      <c r="AF1072" s="15" t="str">
        <f t="shared" si="1"/>
        <v/>
      </c>
      <c r="AG1072" s="15" t="str">
        <f>IF(OR(AF1072="",AF1072="ERRO_CHAVE"),"",IFERROR(MATCH(AF1072,'Quitados DUPP'!$U$1:$U$6635,0),""))</f>
        <v/>
      </c>
      <c r="AH1072" s="15" t="str">
        <f t="shared" si="2"/>
        <v/>
      </c>
      <c r="AI1072" s="17" t="str">
        <f>IF(AG1072="","",INDEX('Quitados DUPP'!$G$1:$G$6635,AG1072))</f>
        <v/>
      </c>
      <c r="AJ1072" s="17" t="str">
        <f t="shared" si="3"/>
        <v/>
      </c>
    </row>
    <row r="1073" spans="31:36">
      <c r="AE1073" s="15" t="str">
        <f t="shared" si="0"/>
        <v/>
      </c>
      <c r="AF1073" s="15" t="str">
        <f t="shared" si="1"/>
        <v/>
      </c>
      <c r="AG1073" s="15" t="str">
        <f>IF(OR(AF1073="",AF1073="ERRO_CHAVE"),"",IFERROR(MATCH(AF1073,'Quitados DUPP'!$U$1:$U$6635,0),""))</f>
        <v/>
      </c>
      <c r="AH1073" s="15" t="str">
        <f t="shared" si="2"/>
        <v/>
      </c>
      <c r="AI1073" s="17" t="str">
        <f>IF(AG1073="","",INDEX('Quitados DUPP'!$G$1:$G$6635,AG1073))</f>
        <v/>
      </c>
      <c r="AJ1073" s="17" t="str">
        <f t="shared" si="3"/>
        <v/>
      </c>
    </row>
    <row r="1074" spans="31:36">
      <c r="AE1074" s="15" t="str">
        <f t="shared" si="0"/>
        <v/>
      </c>
      <c r="AF1074" s="15" t="str">
        <f t="shared" si="1"/>
        <v/>
      </c>
      <c r="AG1074" s="15" t="str">
        <f>IF(OR(AF1074="",AF1074="ERRO_CHAVE"),"",IFERROR(MATCH(AF1074,'Quitados DUPP'!$U$1:$U$6635,0),""))</f>
        <v/>
      </c>
      <c r="AH1074" s="15" t="str">
        <f t="shared" si="2"/>
        <v/>
      </c>
      <c r="AI1074" s="17" t="str">
        <f>IF(AG1074="","",INDEX('Quitados DUPP'!$G$1:$G$6635,AG1074))</f>
        <v/>
      </c>
      <c r="AJ1074" s="17" t="str">
        <f t="shared" si="3"/>
        <v/>
      </c>
    </row>
    <row r="1075" spans="31:36">
      <c r="AE1075" s="15" t="str">
        <f t="shared" si="0"/>
        <v/>
      </c>
      <c r="AF1075" s="15" t="str">
        <f t="shared" si="1"/>
        <v/>
      </c>
      <c r="AG1075" s="15" t="str">
        <f>IF(OR(AF1075="",AF1075="ERRO_CHAVE"),"",IFERROR(MATCH(AF1075,'Quitados DUPP'!$U$1:$U$6635,0),""))</f>
        <v/>
      </c>
      <c r="AH1075" s="15" t="str">
        <f t="shared" si="2"/>
        <v/>
      </c>
      <c r="AI1075" s="17" t="str">
        <f>IF(AG1075="","",INDEX('Quitados DUPP'!$G$1:$G$6635,AG1075))</f>
        <v/>
      </c>
      <c r="AJ1075" s="17" t="str">
        <f t="shared" si="3"/>
        <v/>
      </c>
    </row>
    <row r="1076" spans="31:36">
      <c r="AE1076" s="15" t="str">
        <f t="shared" si="0"/>
        <v/>
      </c>
      <c r="AF1076" s="15" t="str">
        <f t="shared" si="1"/>
        <v/>
      </c>
      <c r="AG1076" s="15" t="str">
        <f>IF(OR(AF1076="",AF1076="ERRO_CHAVE"),"",IFERROR(MATCH(AF1076,'Quitados DUPP'!$U$1:$U$6635,0),""))</f>
        <v/>
      </c>
      <c r="AH1076" s="15" t="str">
        <f t="shared" si="2"/>
        <v/>
      </c>
      <c r="AI1076" s="17" t="str">
        <f>IF(AG1076="","",INDEX('Quitados DUPP'!$G$1:$G$6635,AG1076))</f>
        <v/>
      </c>
      <c r="AJ1076" s="17" t="str">
        <f t="shared" si="3"/>
        <v/>
      </c>
    </row>
    <row r="1077" spans="31:36">
      <c r="AE1077" s="15" t="str">
        <f t="shared" si="0"/>
        <v/>
      </c>
      <c r="AF1077" s="15" t="str">
        <f t="shared" si="1"/>
        <v/>
      </c>
      <c r="AG1077" s="15" t="str">
        <f>IF(OR(AF1077="",AF1077="ERRO_CHAVE"),"",IFERROR(MATCH(AF1077,'Quitados DUPP'!$U$1:$U$6635,0),""))</f>
        <v/>
      </c>
      <c r="AH1077" s="15" t="str">
        <f t="shared" si="2"/>
        <v/>
      </c>
      <c r="AI1077" s="17" t="str">
        <f>IF(AG1077="","",INDEX('Quitados DUPP'!$G$1:$G$6635,AG1077))</f>
        <v/>
      </c>
      <c r="AJ1077" s="17" t="str">
        <f t="shared" si="3"/>
        <v/>
      </c>
    </row>
    <row r="1078" spans="31:36">
      <c r="AE1078" s="15" t="str">
        <f t="shared" si="0"/>
        <v/>
      </c>
      <c r="AF1078" s="15" t="str">
        <f t="shared" si="1"/>
        <v/>
      </c>
      <c r="AG1078" s="15" t="str">
        <f>IF(OR(AF1078="",AF1078="ERRO_CHAVE"),"",IFERROR(MATCH(AF1078,'Quitados DUPP'!$U$1:$U$6635,0),""))</f>
        <v/>
      </c>
      <c r="AH1078" s="15" t="str">
        <f t="shared" si="2"/>
        <v/>
      </c>
      <c r="AI1078" s="17" t="str">
        <f>IF(AG1078="","",INDEX('Quitados DUPP'!$G$1:$G$6635,AG1078))</f>
        <v/>
      </c>
      <c r="AJ1078" s="17" t="str">
        <f t="shared" si="3"/>
        <v/>
      </c>
    </row>
    <row r="1079" spans="31:36">
      <c r="AE1079" s="15" t="str">
        <f t="shared" si="0"/>
        <v/>
      </c>
      <c r="AF1079" s="15" t="str">
        <f t="shared" si="1"/>
        <v/>
      </c>
      <c r="AG1079" s="15" t="str">
        <f>IF(OR(AF1079="",AF1079="ERRO_CHAVE"),"",IFERROR(MATCH(AF1079,'Quitados DUPP'!$U$1:$U$6635,0),""))</f>
        <v/>
      </c>
      <c r="AH1079" s="15" t="str">
        <f t="shared" si="2"/>
        <v/>
      </c>
      <c r="AI1079" s="17" t="str">
        <f>IF(AG1079="","",INDEX('Quitados DUPP'!$G$1:$G$6635,AG1079))</f>
        <v/>
      </c>
      <c r="AJ1079" s="17" t="str">
        <f t="shared" si="3"/>
        <v/>
      </c>
    </row>
    <row r="1080" spans="31:36">
      <c r="AE1080" s="15" t="str">
        <f t="shared" si="0"/>
        <v/>
      </c>
      <c r="AF1080" s="15" t="str">
        <f t="shared" si="1"/>
        <v/>
      </c>
      <c r="AG1080" s="15" t="str">
        <f>IF(OR(AF1080="",AF1080="ERRO_CHAVE"),"",IFERROR(MATCH(AF1080,'Quitados DUPP'!$U$1:$U$6635,0),""))</f>
        <v/>
      </c>
      <c r="AH1080" s="15" t="str">
        <f t="shared" si="2"/>
        <v/>
      </c>
      <c r="AI1080" s="17" t="str">
        <f>IF(AG1080="","",INDEX('Quitados DUPP'!$G$1:$G$6635,AG1080))</f>
        <v/>
      </c>
      <c r="AJ1080" s="17" t="str">
        <f t="shared" si="3"/>
        <v/>
      </c>
    </row>
    <row r="1081" spans="31:36">
      <c r="AE1081" s="15" t="str">
        <f t="shared" si="0"/>
        <v/>
      </c>
      <c r="AF1081" s="15" t="str">
        <f t="shared" si="1"/>
        <v/>
      </c>
      <c r="AG1081" s="15" t="str">
        <f>IF(OR(AF1081="",AF1081="ERRO_CHAVE"),"",IFERROR(MATCH(AF1081,'Quitados DUPP'!$U$1:$U$6635,0),""))</f>
        <v/>
      </c>
      <c r="AH1081" s="15" t="str">
        <f t="shared" si="2"/>
        <v/>
      </c>
      <c r="AI1081" s="17" t="str">
        <f>IF(AG1081="","",INDEX('Quitados DUPP'!$G$1:$G$6635,AG1081))</f>
        <v/>
      </c>
      <c r="AJ1081" s="17" t="str">
        <f t="shared" si="3"/>
        <v/>
      </c>
    </row>
    <row r="1082" spans="31:36">
      <c r="AE1082" s="15" t="str">
        <f t="shared" si="0"/>
        <v/>
      </c>
      <c r="AF1082" s="15" t="str">
        <f t="shared" si="1"/>
        <v/>
      </c>
      <c r="AG1082" s="15" t="str">
        <f>IF(OR(AF1082="",AF1082="ERRO_CHAVE"),"",IFERROR(MATCH(AF1082,'Quitados DUPP'!$U$1:$U$6635,0),""))</f>
        <v/>
      </c>
      <c r="AH1082" s="15" t="str">
        <f t="shared" si="2"/>
        <v/>
      </c>
      <c r="AI1082" s="17" t="str">
        <f>IF(AG1082="","",INDEX('Quitados DUPP'!$G$1:$G$6635,AG1082))</f>
        <v/>
      </c>
      <c r="AJ1082" s="17" t="str">
        <f t="shared" si="3"/>
        <v/>
      </c>
    </row>
    <row r="1083" spans="31:36">
      <c r="AE1083" s="15" t="str">
        <f t="shared" si="0"/>
        <v/>
      </c>
      <c r="AF1083" s="15" t="str">
        <f t="shared" si="1"/>
        <v/>
      </c>
      <c r="AG1083" s="15" t="str">
        <f>IF(OR(AF1083="",AF1083="ERRO_CHAVE"),"",IFERROR(MATCH(AF1083,'Quitados DUPP'!$U$1:$U$6635,0),""))</f>
        <v/>
      </c>
      <c r="AH1083" s="15" t="str">
        <f t="shared" si="2"/>
        <v/>
      </c>
      <c r="AI1083" s="17" t="str">
        <f>IF(AG1083="","",INDEX('Quitados DUPP'!$G$1:$G$6635,AG1083))</f>
        <v/>
      </c>
      <c r="AJ1083" s="17" t="str">
        <f t="shared" si="3"/>
        <v/>
      </c>
    </row>
    <row r="1084" spans="31:36">
      <c r="AE1084" s="15" t="str">
        <f t="shared" si="0"/>
        <v/>
      </c>
      <c r="AF1084" s="15" t="str">
        <f t="shared" si="1"/>
        <v/>
      </c>
      <c r="AG1084" s="15" t="str">
        <f>IF(OR(AF1084="",AF1084="ERRO_CHAVE"),"",IFERROR(MATCH(AF1084,'Quitados DUPP'!$U$1:$U$6635,0),""))</f>
        <v/>
      </c>
      <c r="AH1084" s="15" t="str">
        <f t="shared" si="2"/>
        <v/>
      </c>
      <c r="AI1084" s="17" t="str">
        <f>IF(AG1084="","",INDEX('Quitados DUPP'!$G$1:$G$6635,AG1084))</f>
        <v/>
      </c>
      <c r="AJ1084" s="17" t="str">
        <f t="shared" si="3"/>
        <v/>
      </c>
    </row>
    <row r="1085" spans="31:36">
      <c r="AE1085" s="15" t="str">
        <f t="shared" si="0"/>
        <v/>
      </c>
      <c r="AF1085" s="15" t="str">
        <f t="shared" si="1"/>
        <v/>
      </c>
      <c r="AG1085" s="15" t="str">
        <f>IF(OR(AF1085="",AF1085="ERRO_CHAVE"),"",IFERROR(MATCH(AF1085,'Quitados DUPP'!$U$1:$U$6635,0),""))</f>
        <v/>
      </c>
      <c r="AH1085" s="15" t="str">
        <f t="shared" si="2"/>
        <v/>
      </c>
      <c r="AI1085" s="17" t="str">
        <f>IF(AG1085="","",INDEX('Quitados DUPP'!$G$1:$G$6635,AG1085))</f>
        <v/>
      </c>
      <c r="AJ1085" s="17" t="str">
        <f t="shared" si="3"/>
        <v/>
      </c>
    </row>
    <row r="1086" spans="31:36">
      <c r="AE1086" s="15" t="str">
        <f t="shared" si="0"/>
        <v/>
      </c>
      <c r="AF1086" s="15" t="str">
        <f t="shared" si="1"/>
        <v/>
      </c>
      <c r="AG1086" s="15" t="str">
        <f>IF(OR(AF1086="",AF1086="ERRO_CHAVE"),"",IFERROR(MATCH(AF1086,'Quitados DUPP'!$U$1:$U$6635,0),""))</f>
        <v/>
      </c>
      <c r="AH1086" s="15" t="str">
        <f t="shared" si="2"/>
        <v/>
      </c>
      <c r="AI1086" s="17" t="str">
        <f>IF(AG1086="","",INDEX('Quitados DUPP'!$G$1:$G$6635,AG1086))</f>
        <v/>
      </c>
      <c r="AJ1086" s="17" t="str">
        <f t="shared" si="3"/>
        <v/>
      </c>
    </row>
    <row r="1087" spans="31:36">
      <c r="AE1087" s="15" t="str">
        <f t="shared" si="0"/>
        <v/>
      </c>
      <c r="AF1087" s="15" t="str">
        <f t="shared" si="1"/>
        <v/>
      </c>
      <c r="AG1087" s="15" t="str">
        <f>IF(OR(AF1087="",AF1087="ERRO_CHAVE"),"",IFERROR(MATCH(AF1087,'Quitados DUPP'!$U$1:$U$6635,0),""))</f>
        <v/>
      </c>
      <c r="AH1087" s="15" t="str">
        <f t="shared" si="2"/>
        <v/>
      </c>
      <c r="AI1087" s="17" t="str">
        <f>IF(AG1087="","",INDEX('Quitados DUPP'!$G$1:$G$6635,AG1087))</f>
        <v/>
      </c>
      <c r="AJ1087" s="17" t="str">
        <f t="shared" si="3"/>
        <v/>
      </c>
    </row>
    <row r="1088" spans="31:36">
      <c r="AE1088" s="15" t="str">
        <f t="shared" si="0"/>
        <v/>
      </c>
      <c r="AF1088" s="15" t="str">
        <f t="shared" si="1"/>
        <v/>
      </c>
      <c r="AG1088" s="15" t="str">
        <f>IF(OR(AF1088="",AF1088="ERRO_CHAVE"),"",IFERROR(MATCH(AF1088,'Quitados DUPP'!$U$1:$U$6635,0),""))</f>
        <v/>
      </c>
      <c r="AH1088" s="15" t="str">
        <f t="shared" si="2"/>
        <v/>
      </c>
      <c r="AI1088" s="17" t="str">
        <f>IF(AG1088="","",INDEX('Quitados DUPP'!$G$1:$G$6635,AG1088))</f>
        <v/>
      </c>
      <c r="AJ1088" s="17" t="str">
        <f t="shared" si="3"/>
        <v/>
      </c>
    </row>
    <row r="1089" spans="31:36">
      <c r="AE1089" s="15" t="str">
        <f t="shared" si="0"/>
        <v/>
      </c>
      <c r="AF1089" s="15" t="str">
        <f t="shared" si="1"/>
        <v/>
      </c>
      <c r="AG1089" s="15" t="str">
        <f>IF(OR(AF1089="",AF1089="ERRO_CHAVE"),"",IFERROR(MATCH(AF1089,'Quitados DUPP'!$U$1:$U$6635,0),""))</f>
        <v/>
      </c>
      <c r="AH1089" s="15" t="str">
        <f t="shared" si="2"/>
        <v/>
      </c>
      <c r="AI1089" s="17" t="str">
        <f>IF(AG1089="","",INDEX('Quitados DUPP'!$G$1:$G$6635,AG1089))</f>
        <v/>
      </c>
      <c r="AJ1089" s="17" t="str">
        <f t="shared" si="3"/>
        <v/>
      </c>
    </row>
    <row r="1090" spans="31:36">
      <c r="AE1090" s="15" t="str">
        <f t="shared" si="0"/>
        <v/>
      </c>
      <c r="AF1090" s="15" t="str">
        <f t="shared" si="1"/>
        <v/>
      </c>
      <c r="AG1090" s="15" t="str">
        <f>IF(OR(AF1090="",AF1090="ERRO_CHAVE"),"",IFERROR(MATCH(AF1090,'Quitados DUPP'!$U$1:$U$6635,0),""))</f>
        <v/>
      </c>
      <c r="AH1090" s="15" t="str">
        <f t="shared" si="2"/>
        <v/>
      </c>
      <c r="AI1090" s="17" t="str">
        <f>IF(AG1090="","",INDEX('Quitados DUPP'!$G$1:$G$6635,AG1090))</f>
        <v/>
      </c>
      <c r="AJ1090" s="17" t="str">
        <f t="shared" si="3"/>
        <v/>
      </c>
    </row>
    <row r="1091" spans="31:36">
      <c r="AE1091" s="15" t="str">
        <f t="shared" si="0"/>
        <v/>
      </c>
      <c r="AF1091" s="15" t="str">
        <f t="shared" si="1"/>
        <v/>
      </c>
      <c r="AG1091" s="15" t="str">
        <f>IF(OR(AF1091="",AF1091="ERRO_CHAVE"),"",IFERROR(MATCH(AF1091,'Quitados DUPP'!$U$1:$U$6635,0),""))</f>
        <v/>
      </c>
      <c r="AH1091" s="15" t="str">
        <f t="shared" si="2"/>
        <v/>
      </c>
      <c r="AI1091" s="17" t="str">
        <f>IF(AG1091="","",INDEX('Quitados DUPP'!$G$1:$G$6635,AG1091))</f>
        <v/>
      </c>
      <c r="AJ1091" s="17" t="str">
        <f t="shared" si="3"/>
        <v/>
      </c>
    </row>
    <row r="1092" spans="31:36">
      <c r="AE1092" s="15" t="str">
        <f t="shared" si="0"/>
        <v/>
      </c>
      <c r="AF1092" s="15" t="str">
        <f t="shared" si="1"/>
        <v/>
      </c>
      <c r="AG1092" s="15" t="str">
        <f>IF(OR(AF1092="",AF1092="ERRO_CHAVE"),"",IFERROR(MATCH(AF1092,'Quitados DUPP'!$U$1:$U$6635,0),""))</f>
        <v/>
      </c>
      <c r="AH1092" s="15" t="str">
        <f t="shared" si="2"/>
        <v/>
      </c>
      <c r="AI1092" s="17" t="str">
        <f>IF(AG1092="","",INDEX('Quitados DUPP'!$G$1:$G$6635,AG1092))</f>
        <v/>
      </c>
      <c r="AJ1092" s="17" t="str">
        <f t="shared" si="3"/>
        <v/>
      </c>
    </row>
    <row r="1093" spans="31:36">
      <c r="AE1093" s="15" t="str">
        <f t="shared" si="0"/>
        <v/>
      </c>
      <c r="AF1093" s="15" t="str">
        <f t="shared" si="1"/>
        <v/>
      </c>
      <c r="AG1093" s="15" t="str">
        <f>IF(OR(AF1093="",AF1093="ERRO_CHAVE"),"",IFERROR(MATCH(AF1093,'Quitados DUPP'!$U$1:$U$6635,0),""))</f>
        <v/>
      </c>
      <c r="AH1093" s="15" t="str">
        <f t="shared" si="2"/>
        <v/>
      </c>
      <c r="AI1093" s="17" t="str">
        <f>IF(AG1093="","",INDEX('Quitados DUPP'!$G$1:$G$6635,AG1093))</f>
        <v/>
      </c>
      <c r="AJ1093" s="17" t="str">
        <f t="shared" si="3"/>
        <v/>
      </c>
    </row>
    <row r="1094" spans="31:36">
      <c r="AE1094" s="15" t="str">
        <f t="shared" si="0"/>
        <v/>
      </c>
      <c r="AF1094" s="15" t="str">
        <f t="shared" si="1"/>
        <v/>
      </c>
      <c r="AG1094" s="15" t="str">
        <f>IF(OR(AF1094="",AF1094="ERRO_CHAVE"),"",IFERROR(MATCH(AF1094,'Quitados DUPP'!$U$1:$U$6635,0),""))</f>
        <v/>
      </c>
      <c r="AH1094" s="15" t="str">
        <f t="shared" si="2"/>
        <v/>
      </c>
      <c r="AI1094" s="17" t="str">
        <f>IF(AG1094="","",INDEX('Quitados DUPP'!$G$1:$G$6635,AG1094))</f>
        <v/>
      </c>
      <c r="AJ1094" s="17" t="str">
        <f t="shared" si="3"/>
        <v/>
      </c>
    </row>
    <row r="1095" spans="31:36">
      <c r="AE1095" s="15" t="str">
        <f t="shared" si="0"/>
        <v/>
      </c>
      <c r="AF1095" s="15" t="str">
        <f t="shared" si="1"/>
        <v/>
      </c>
      <c r="AG1095" s="15" t="str">
        <f>IF(OR(AF1095="",AF1095="ERRO_CHAVE"),"",IFERROR(MATCH(AF1095,'Quitados DUPP'!$U$1:$U$6635,0),""))</f>
        <v/>
      </c>
      <c r="AH1095" s="15" t="str">
        <f t="shared" si="2"/>
        <v/>
      </c>
      <c r="AI1095" s="17" t="str">
        <f>IF(AG1095="","",INDEX('Quitados DUPP'!$G$1:$G$6635,AG1095))</f>
        <v/>
      </c>
      <c r="AJ1095" s="17" t="str">
        <f t="shared" si="3"/>
        <v/>
      </c>
    </row>
    <row r="1096" spans="31:36">
      <c r="AE1096" s="15" t="str">
        <f t="shared" si="0"/>
        <v/>
      </c>
      <c r="AF1096" s="15" t="str">
        <f t="shared" si="1"/>
        <v/>
      </c>
      <c r="AG1096" s="15" t="str">
        <f>IF(OR(AF1096="",AF1096="ERRO_CHAVE"),"",IFERROR(MATCH(AF1096,'Quitados DUPP'!$U$1:$U$6635,0),""))</f>
        <v/>
      </c>
      <c r="AH1096" s="15" t="str">
        <f t="shared" si="2"/>
        <v/>
      </c>
      <c r="AI1096" s="17" t="str">
        <f>IF(AG1096="","",INDEX('Quitados DUPP'!$G$1:$G$6635,AG1096))</f>
        <v/>
      </c>
      <c r="AJ1096" s="17" t="str">
        <f t="shared" si="3"/>
        <v/>
      </c>
    </row>
    <row r="1097" spans="31:36">
      <c r="AE1097" s="15" t="str">
        <f t="shared" si="0"/>
        <v/>
      </c>
      <c r="AF1097" s="15" t="str">
        <f t="shared" si="1"/>
        <v/>
      </c>
      <c r="AG1097" s="15" t="str">
        <f>IF(OR(AF1097="",AF1097="ERRO_CHAVE"),"",IFERROR(MATCH(AF1097,'Quitados DUPP'!$U$1:$U$6635,0),""))</f>
        <v/>
      </c>
      <c r="AH1097" s="15" t="str">
        <f t="shared" si="2"/>
        <v/>
      </c>
      <c r="AI1097" s="17" t="str">
        <f>IF(AG1097="","",INDEX('Quitados DUPP'!$G$1:$G$6635,AG1097))</f>
        <v/>
      </c>
      <c r="AJ1097" s="17" t="str">
        <f t="shared" si="3"/>
        <v/>
      </c>
    </row>
    <row r="1098" spans="31:36">
      <c r="AE1098" s="15" t="str">
        <f t="shared" si="0"/>
        <v/>
      </c>
      <c r="AF1098" s="15" t="str">
        <f t="shared" si="1"/>
        <v/>
      </c>
      <c r="AG1098" s="15" t="str">
        <f>IF(OR(AF1098="",AF1098="ERRO_CHAVE"),"",IFERROR(MATCH(AF1098,'Quitados DUPP'!$U$1:$U$6635,0),""))</f>
        <v/>
      </c>
      <c r="AH1098" s="15" t="str">
        <f t="shared" si="2"/>
        <v/>
      </c>
      <c r="AI1098" s="17" t="str">
        <f>IF(AG1098="","",INDEX('Quitados DUPP'!$G$1:$G$6635,AG1098))</f>
        <v/>
      </c>
      <c r="AJ1098" s="17" t="str">
        <f t="shared" si="3"/>
        <v/>
      </c>
    </row>
    <row r="1099" spans="31:36">
      <c r="AE1099" s="15" t="str">
        <f t="shared" si="0"/>
        <v/>
      </c>
      <c r="AF1099" s="15" t="str">
        <f t="shared" si="1"/>
        <v/>
      </c>
      <c r="AG1099" s="15" t="str">
        <f>IF(OR(AF1099="",AF1099="ERRO_CHAVE"),"",IFERROR(MATCH(AF1099,'Quitados DUPP'!$U$1:$U$6635,0),""))</f>
        <v/>
      </c>
      <c r="AH1099" s="15" t="str">
        <f t="shared" si="2"/>
        <v/>
      </c>
      <c r="AI1099" s="17" t="str">
        <f>IF(AG1099="","",INDEX('Quitados DUPP'!$G$1:$G$6635,AG1099))</f>
        <v/>
      </c>
      <c r="AJ1099" s="17" t="str">
        <f t="shared" si="3"/>
        <v/>
      </c>
    </row>
    <row r="1100" spans="31:36">
      <c r="AE1100" s="15" t="str">
        <f t="shared" si="0"/>
        <v/>
      </c>
      <c r="AF1100" s="15" t="str">
        <f t="shared" si="1"/>
        <v/>
      </c>
      <c r="AG1100" s="15" t="str">
        <f>IF(OR(AF1100="",AF1100="ERRO_CHAVE"),"",IFERROR(MATCH(AF1100,'Quitados DUPP'!$U$1:$U$6635,0),""))</f>
        <v/>
      </c>
      <c r="AH1100" s="15" t="str">
        <f t="shared" si="2"/>
        <v/>
      </c>
      <c r="AI1100" s="17" t="str">
        <f>IF(AG1100="","",INDEX('Quitados DUPP'!$G$1:$G$6635,AG1100))</f>
        <v/>
      </c>
      <c r="AJ1100" s="17" t="str">
        <f t="shared" si="3"/>
        <v/>
      </c>
    </row>
    <row r="1101" spans="31:36">
      <c r="AE1101" s="15" t="str">
        <f t="shared" si="0"/>
        <v/>
      </c>
      <c r="AF1101" s="15" t="str">
        <f t="shared" si="1"/>
        <v/>
      </c>
      <c r="AG1101" s="15" t="str">
        <f>IF(OR(AF1101="",AF1101="ERRO_CHAVE"),"",IFERROR(MATCH(AF1101,'Quitados DUPP'!$U$1:$U$6635,0),""))</f>
        <v/>
      </c>
      <c r="AH1101" s="15" t="str">
        <f t="shared" si="2"/>
        <v/>
      </c>
      <c r="AI1101" s="17" t="str">
        <f>IF(AG1101="","",INDEX('Quitados DUPP'!$G$1:$G$6635,AG1101))</f>
        <v/>
      </c>
      <c r="AJ1101" s="17" t="str">
        <f t="shared" si="3"/>
        <v/>
      </c>
    </row>
    <row r="1102" spans="31:36">
      <c r="AE1102" s="15" t="str">
        <f t="shared" si="0"/>
        <v/>
      </c>
      <c r="AF1102" s="15" t="str">
        <f t="shared" si="1"/>
        <v/>
      </c>
      <c r="AG1102" s="15" t="str">
        <f>IF(OR(AF1102="",AF1102="ERRO_CHAVE"),"",IFERROR(MATCH(AF1102,'Quitados DUPP'!$U$1:$U$6635,0),""))</f>
        <v/>
      </c>
      <c r="AH1102" s="15" t="str">
        <f t="shared" si="2"/>
        <v/>
      </c>
      <c r="AI1102" s="17" t="str">
        <f>IF(AG1102="","",INDEX('Quitados DUPP'!$G$1:$G$6635,AG1102))</f>
        <v/>
      </c>
      <c r="AJ1102" s="17" t="str">
        <f t="shared" si="3"/>
        <v/>
      </c>
    </row>
    <row r="1103" spans="31:36">
      <c r="AE1103" s="15" t="str">
        <f t="shared" si="0"/>
        <v/>
      </c>
      <c r="AF1103" s="15" t="str">
        <f t="shared" si="1"/>
        <v/>
      </c>
      <c r="AG1103" s="15" t="str">
        <f>IF(OR(AF1103="",AF1103="ERRO_CHAVE"),"",IFERROR(MATCH(AF1103,'Quitados DUPP'!$U$1:$U$6635,0),""))</f>
        <v/>
      </c>
      <c r="AH1103" s="15" t="str">
        <f t="shared" si="2"/>
        <v/>
      </c>
      <c r="AI1103" s="17" t="str">
        <f>IF(AG1103="","",INDEX('Quitados DUPP'!$G$1:$G$6635,AG1103))</f>
        <v/>
      </c>
      <c r="AJ1103" s="17" t="str">
        <f t="shared" si="3"/>
        <v/>
      </c>
    </row>
    <row r="1104" spans="31:36">
      <c r="AE1104" s="15" t="str">
        <f t="shared" si="0"/>
        <v/>
      </c>
      <c r="AF1104" s="15" t="str">
        <f t="shared" si="1"/>
        <v/>
      </c>
      <c r="AG1104" s="15" t="str">
        <f>IF(OR(AF1104="",AF1104="ERRO_CHAVE"),"",IFERROR(MATCH(AF1104,'Quitados DUPP'!$U$1:$U$6635,0),""))</f>
        <v/>
      </c>
      <c r="AH1104" s="15" t="str">
        <f t="shared" si="2"/>
        <v/>
      </c>
      <c r="AI1104" s="17" t="str">
        <f>IF(AG1104="","",INDEX('Quitados DUPP'!$G$1:$G$6635,AG1104))</f>
        <v/>
      </c>
      <c r="AJ1104" s="17" t="str">
        <f t="shared" si="3"/>
        <v/>
      </c>
    </row>
    <row r="1105" spans="31:36">
      <c r="AE1105" s="15" t="str">
        <f t="shared" si="0"/>
        <v/>
      </c>
      <c r="AF1105" s="15" t="str">
        <f t="shared" si="1"/>
        <v/>
      </c>
      <c r="AG1105" s="15" t="str">
        <f>IF(OR(AF1105="",AF1105="ERRO_CHAVE"),"",IFERROR(MATCH(AF1105,'Quitados DUPP'!$U$1:$U$6635,0),""))</f>
        <v/>
      </c>
      <c r="AH1105" s="15" t="str">
        <f t="shared" si="2"/>
        <v/>
      </c>
      <c r="AI1105" s="17" t="str">
        <f>IF(AG1105="","",INDEX('Quitados DUPP'!$G$1:$G$6635,AG1105))</f>
        <v/>
      </c>
      <c r="AJ1105" s="17" t="str">
        <f t="shared" si="3"/>
        <v/>
      </c>
    </row>
    <row r="1106" spans="31:36">
      <c r="AE1106" s="15" t="str">
        <f t="shared" si="0"/>
        <v/>
      </c>
      <c r="AF1106" s="15" t="str">
        <f t="shared" si="1"/>
        <v/>
      </c>
      <c r="AG1106" s="15" t="str">
        <f>IF(OR(AF1106="",AF1106="ERRO_CHAVE"),"",IFERROR(MATCH(AF1106,'Quitados DUPP'!$U$1:$U$6635,0),""))</f>
        <v/>
      </c>
      <c r="AH1106" s="15" t="str">
        <f t="shared" si="2"/>
        <v/>
      </c>
      <c r="AI1106" s="17" t="str">
        <f>IF(AG1106="","",INDEX('Quitados DUPP'!$G$1:$G$6635,AG1106))</f>
        <v/>
      </c>
      <c r="AJ1106" s="17" t="str">
        <f t="shared" si="3"/>
        <v/>
      </c>
    </row>
    <row r="1107" spans="31:36">
      <c r="AE1107" s="15" t="str">
        <f t="shared" si="0"/>
        <v/>
      </c>
      <c r="AF1107" s="15" t="str">
        <f t="shared" si="1"/>
        <v/>
      </c>
      <c r="AG1107" s="15" t="str">
        <f>IF(OR(AF1107="",AF1107="ERRO_CHAVE"),"",IFERROR(MATCH(AF1107,'Quitados DUPP'!$U$1:$U$6635,0),""))</f>
        <v/>
      </c>
      <c r="AH1107" s="15" t="str">
        <f t="shared" si="2"/>
        <v/>
      </c>
      <c r="AI1107" s="17" t="str">
        <f>IF(AG1107="","",INDEX('Quitados DUPP'!$G$1:$G$6635,AG1107))</f>
        <v/>
      </c>
      <c r="AJ1107" s="17" t="str">
        <f t="shared" si="3"/>
        <v/>
      </c>
    </row>
    <row r="1108" spans="31:36">
      <c r="AE1108" s="15" t="str">
        <f t="shared" si="0"/>
        <v/>
      </c>
      <c r="AF1108" s="15" t="str">
        <f t="shared" si="1"/>
        <v/>
      </c>
      <c r="AG1108" s="15" t="str">
        <f>IF(OR(AF1108="",AF1108="ERRO_CHAVE"),"",IFERROR(MATCH(AF1108,'Quitados DUPP'!$U$1:$U$6635,0),""))</f>
        <v/>
      </c>
      <c r="AH1108" s="15" t="str">
        <f t="shared" si="2"/>
        <v/>
      </c>
      <c r="AI1108" s="17" t="str">
        <f>IF(AG1108="","",INDEX('Quitados DUPP'!$G$1:$G$6635,AG1108))</f>
        <v/>
      </c>
      <c r="AJ1108" s="17" t="str">
        <f t="shared" si="3"/>
        <v/>
      </c>
    </row>
    <row r="1109" spans="31:36">
      <c r="AE1109" s="15" t="str">
        <f t="shared" si="0"/>
        <v/>
      </c>
      <c r="AF1109" s="15" t="str">
        <f t="shared" si="1"/>
        <v/>
      </c>
      <c r="AG1109" s="15" t="str">
        <f>IF(OR(AF1109="",AF1109="ERRO_CHAVE"),"",IFERROR(MATCH(AF1109,'Quitados DUPP'!$U$1:$U$6635,0),""))</f>
        <v/>
      </c>
      <c r="AH1109" s="15" t="str">
        <f t="shared" si="2"/>
        <v/>
      </c>
      <c r="AI1109" s="17" t="str">
        <f>IF(AG1109="","",INDEX('Quitados DUPP'!$G$1:$G$6635,AG1109))</f>
        <v/>
      </c>
      <c r="AJ1109" s="17" t="str">
        <f t="shared" si="3"/>
        <v/>
      </c>
    </row>
    <row r="1110" spans="31:36">
      <c r="AE1110" s="15" t="str">
        <f t="shared" si="0"/>
        <v/>
      </c>
      <c r="AF1110" s="15" t="str">
        <f t="shared" si="1"/>
        <v/>
      </c>
      <c r="AG1110" s="15" t="str">
        <f>IF(OR(AF1110="",AF1110="ERRO_CHAVE"),"",IFERROR(MATCH(AF1110,'Quitados DUPP'!$U$1:$U$6635,0),""))</f>
        <v/>
      </c>
      <c r="AH1110" s="15" t="str">
        <f t="shared" si="2"/>
        <v/>
      </c>
      <c r="AI1110" s="17" t="str">
        <f>IF(AG1110="","",INDEX('Quitados DUPP'!$G$1:$G$6635,AG1110))</f>
        <v/>
      </c>
      <c r="AJ1110" s="17" t="str">
        <f t="shared" si="3"/>
        <v/>
      </c>
    </row>
    <row r="1111" spans="31:36">
      <c r="AE1111" s="15" t="str">
        <f t="shared" si="0"/>
        <v/>
      </c>
      <c r="AF1111" s="15" t="str">
        <f t="shared" si="1"/>
        <v/>
      </c>
      <c r="AG1111" s="15" t="str">
        <f>IF(OR(AF1111="",AF1111="ERRO_CHAVE"),"",IFERROR(MATCH(AF1111,'Quitados DUPP'!$U$1:$U$6635,0),""))</f>
        <v/>
      </c>
      <c r="AH1111" s="15" t="str">
        <f t="shared" si="2"/>
        <v/>
      </c>
      <c r="AI1111" s="17" t="str">
        <f>IF(AG1111="","",INDEX('Quitados DUPP'!$G$1:$G$6635,AG1111))</f>
        <v/>
      </c>
      <c r="AJ1111" s="17" t="str">
        <f t="shared" si="3"/>
        <v/>
      </c>
    </row>
    <row r="1112" spans="31:36">
      <c r="AE1112" s="15" t="str">
        <f t="shared" si="0"/>
        <v/>
      </c>
      <c r="AF1112" s="15" t="str">
        <f t="shared" si="1"/>
        <v/>
      </c>
      <c r="AG1112" s="15" t="str">
        <f>IF(OR(AF1112="",AF1112="ERRO_CHAVE"),"",IFERROR(MATCH(AF1112,'Quitados DUPP'!$U$1:$U$6635,0),""))</f>
        <v/>
      </c>
      <c r="AH1112" s="15" t="str">
        <f t="shared" si="2"/>
        <v/>
      </c>
      <c r="AI1112" s="17" t="str">
        <f>IF(AG1112="","",INDEX('Quitados DUPP'!$G$1:$G$6635,AG1112))</f>
        <v/>
      </c>
      <c r="AJ1112" s="17" t="str">
        <f t="shared" si="3"/>
        <v/>
      </c>
    </row>
    <row r="1113" spans="31:36">
      <c r="AE1113" s="15" t="str">
        <f t="shared" si="0"/>
        <v/>
      </c>
      <c r="AF1113" s="15" t="str">
        <f t="shared" si="1"/>
        <v/>
      </c>
      <c r="AG1113" s="15" t="str">
        <f>IF(OR(AF1113="",AF1113="ERRO_CHAVE"),"",IFERROR(MATCH(AF1113,'Quitados DUPP'!$U$1:$U$6635,0),""))</f>
        <v/>
      </c>
      <c r="AH1113" s="15" t="str">
        <f t="shared" si="2"/>
        <v/>
      </c>
      <c r="AI1113" s="17" t="str">
        <f>IF(AG1113="","",INDEX('Quitados DUPP'!$G$1:$G$6635,AG1113))</f>
        <v/>
      </c>
      <c r="AJ1113" s="17" t="str">
        <f t="shared" si="3"/>
        <v/>
      </c>
    </row>
    <row r="1114" spans="31:36">
      <c r="AE1114" s="15" t="str">
        <f t="shared" si="0"/>
        <v/>
      </c>
      <c r="AF1114" s="15" t="str">
        <f t="shared" si="1"/>
        <v/>
      </c>
      <c r="AG1114" s="15" t="str">
        <f>IF(OR(AF1114="",AF1114="ERRO_CHAVE"),"",IFERROR(MATCH(AF1114,'Quitados DUPP'!$U$1:$U$6635,0),""))</f>
        <v/>
      </c>
      <c r="AH1114" s="15" t="str">
        <f t="shared" si="2"/>
        <v/>
      </c>
      <c r="AI1114" s="17" t="str">
        <f>IF(AG1114="","",INDEX('Quitados DUPP'!$G$1:$G$6635,AG1114))</f>
        <v/>
      </c>
      <c r="AJ1114" s="17" t="str">
        <f t="shared" si="3"/>
        <v/>
      </c>
    </row>
    <row r="1115" spans="31:36">
      <c r="AE1115" s="15" t="str">
        <f t="shared" si="0"/>
        <v/>
      </c>
      <c r="AF1115" s="15" t="str">
        <f t="shared" si="1"/>
        <v/>
      </c>
      <c r="AG1115" s="15" t="str">
        <f>IF(OR(AF1115="",AF1115="ERRO_CHAVE"),"",IFERROR(MATCH(AF1115,'Quitados DUPP'!$U$1:$U$6635,0),""))</f>
        <v/>
      </c>
      <c r="AH1115" s="15" t="str">
        <f t="shared" si="2"/>
        <v/>
      </c>
      <c r="AI1115" s="17" t="str">
        <f>IF(AG1115="","",INDEX('Quitados DUPP'!$G$1:$G$6635,AG1115))</f>
        <v/>
      </c>
      <c r="AJ1115" s="17" t="str">
        <f t="shared" si="3"/>
        <v/>
      </c>
    </row>
    <row r="1116" spans="31:36">
      <c r="AE1116" s="15" t="str">
        <f t="shared" si="0"/>
        <v/>
      </c>
      <c r="AF1116" s="15" t="str">
        <f t="shared" si="1"/>
        <v/>
      </c>
      <c r="AG1116" s="15" t="str">
        <f>IF(OR(AF1116="",AF1116="ERRO_CHAVE"),"",IFERROR(MATCH(AF1116,'Quitados DUPP'!$U$1:$U$6635,0),""))</f>
        <v/>
      </c>
      <c r="AH1116" s="15" t="str">
        <f t="shared" si="2"/>
        <v/>
      </c>
      <c r="AI1116" s="17" t="str">
        <f>IF(AG1116="","",INDEX('Quitados DUPP'!$G$1:$G$6635,AG1116))</f>
        <v/>
      </c>
      <c r="AJ1116" s="17" t="str">
        <f t="shared" si="3"/>
        <v/>
      </c>
    </row>
    <row r="1117" spans="31:36">
      <c r="AE1117" s="15" t="str">
        <f t="shared" si="0"/>
        <v/>
      </c>
      <c r="AF1117" s="15" t="str">
        <f t="shared" si="1"/>
        <v/>
      </c>
      <c r="AG1117" s="15" t="str">
        <f>IF(OR(AF1117="",AF1117="ERRO_CHAVE"),"",IFERROR(MATCH(AF1117,'Quitados DUPP'!$U$1:$U$6635,0),""))</f>
        <v/>
      </c>
      <c r="AH1117" s="15" t="str">
        <f t="shared" si="2"/>
        <v/>
      </c>
      <c r="AI1117" s="17" t="str">
        <f>IF(AG1117="","",INDEX('Quitados DUPP'!$G$1:$G$6635,AG1117))</f>
        <v/>
      </c>
      <c r="AJ1117" s="17" t="str">
        <f t="shared" si="3"/>
        <v/>
      </c>
    </row>
    <row r="1118" spans="31:36">
      <c r="AE1118" s="15" t="str">
        <f t="shared" si="0"/>
        <v/>
      </c>
      <c r="AF1118" s="15" t="str">
        <f t="shared" si="1"/>
        <v/>
      </c>
      <c r="AG1118" s="15" t="str">
        <f>IF(OR(AF1118="",AF1118="ERRO_CHAVE"),"",IFERROR(MATCH(AF1118,'Quitados DUPP'!$U$1:$U$6635,0),""))</f>
        <v/>
      </c>
      <c r="AH1118" s="15" t="str">
        <f t="shared" si="2"/>
        <v/>
      </c>
      <c r="AI1118" s="17" t="str">
        <f>IF(AG1118="","",INDEX('Quitados DUPP'!$G$1:$G$6635,AG1118))</f>
        <v/>
      </c>
      <c r="AJ1118" s="17" t="str">
        <f t="shared" si="3"/>
        <v/>
      </c>
    </row>
    <row r="1119" spans="31:36">
      <c r="AE1119" s="15" t="str">
        <f t="shared" si="0"/>
        <v/>
      </c>
      <c r="AF1119" s="15" t="str">
        <f t="shared" si="1"/>
        <v/>
      </c>
      <c r="AG1119" s="15" t="str">
        <f>IF(OR(AF1119="",AF1119="ERRO_CHAVE"),"",IFERROR(MATCH(AF1119,'Quitados DUPP'!$U$1:$U$6635,0),""))</f>
        <v/>
      </c>
      <c r="AH1119" s="15" t="str">
        <f t="shared" si="2"/>
        <v/>
      </c>
      <c r="AI1119" s="17" t="str">
        <f>IF(AG1119="","",INDEX('Quitados DUPP'!$G$1:$G$6635,AG1119))</f>
        <v/>
      </c>
      <c r="AJ1119" s="17" t="str">
        <f t="shared" si="3"/>
        <v/>
      </c>
    </row>
    <row r="1120" spans="31:36">
      <c r="AE1120" s="15" t="str">
        <f t="shared" si="0"/>
        <v/>
      </c>
      <c r="AF1120" s="15" t="str">
        <f t="shared" si="1"/>
        <v/>
      </c>
      <c r="AG1120" s="15" t="str">
        <f>IF(OR(AF1120="",AF1120="ERRO_CHAVE"),"",IFERROR(MATCH(AF1120,'Quitados DUPP'!$U$1:$U$6635,0),""))</f>
        <v/>
      </c>
      <c r="AH1120" s="15" t="str">
        <f t="shared" si="2"/>
        <v/>
      </c>
      <c r="AI1120" s="17" t="str">
        <f>IF(AG1120="","",INDEX('Quitados DUPP'!$G$1:$G$6635,AG1120))</f>
        <v/>
      </c>
      <c r="AJ1120" s="17" t="str">
        <f t="shared" si="3"/>
        <v/>
      </c>
    </row>
    <row r="1121" spans="31:36">
      <c r="AE1121" s="15" t="str">
        <f t="shared" si="0"/>
        <v/>
      </c>
      <c r="AF1121" s="15" t="str">
        <f t="shared" si="1"/>
        <v/>
      </c>
      <c r="AG1121" s="15" t="str">
        <f>IF(OR(AF1121="",AF1121="ERRO_CHAVE"),"",IFERROR(MATCH(AF1121,'Quitados DUPP'!$U$1:$U$6635,0),""))</f>
        <v/>
      </c>
      <c r="AH1121" s="15" t="str">
        <f t="shared" si="2"/>
        <v/>
      </c>
      <c r="AI1121" s="17" t="str">
        <f>IF(AG1121="","",INDEX('Quitados DUPP'!$G$1:$G$6635,AG1121))</f>
        <v/>
      </c>
      <c r="AJ1121" s="17" t="str">
        <f t="shared" si="3"/>
        <v/>
      </c>
    </row>
    <row r="1122" spans="31:36">
      <c r="AE1122" s="15" t="str">
        <f t="shared" si="0"/>
        <v/>
      </c>
      <c r="AF1122" s="15" t="str">
        <f t="shared" si="1"/>
        <v/>
      </c>
      <c r="AG1122" s="15" t="str">
        <f>IF(OR(AF1122="",AF1122="ERRO_CHAVE"),"",IFERROR(MATCH(AF1122,'Quitados DUPP'!$U$1:$U$6635,0),""))</f>
        <v/>
      </c>
      <c r="AH1122" s="15" t="str">
        <f t="shared" si="2"/>
        <v/>
      </c>
      <c r="AI1122" s="17" t="str">
        <f>IF(AG1122="","",INDEX('Quitados DUPP'!$G$1:$G$6635,AG1122))</f>
        <v/>
      </c>
      <c r="AJ1122" s="17" t="str">
        <f t="shared" si="3"/>
        <v/>
      </c>
    </row>
    <row r="1123" spans="31:36">
      <c r="AE1123" s="15" t="str">
        <f t="shared" si="0"/>
        <v/>
      </c>
      <c r="AF1123" s="15" t="str">
        <f t="shared" si="1"/>
        <v/>
      </c>
      <c r="AG1123" s="15" t="str">
        <f>IF(OR(AF1123="",AF1123="ERRO_CHAVE"),"",IFERROR(MATCH(AF1123,'Quitados DUPP'!$U$1:$U$6635,0),""))</f>
        <v/>
      </c>
      <c r="AH1123" s="15" t="str">
        <f t="shared" si="2"/>
        <v/>
      </c>
      <c r="AI1123" s="17" t="str">
        <f>IF(AG1123="","",INDEX('Quitados DUPP'!$G$1:$G$6635,AG1123))</f>
        <v/>
      </c>
      <c r="AJ1123" s="17" t="str">
        <f t="shared" si="3"/>
        <v/>
      </c>
    </row>
    <row r="1124" spans="31:36">
      <c r="AE1124" s="15" t="str">
        <f t="shared" si="0"/>
        <v/>
      </c>
      <c r="AF1124" s="15" t="str">
        <f t="shared" si="1"/>
        <v/>
      </c>
      <c r="AG1124" s="15" t="str">
        <f>IF(OR(AF1124="",AF1124="ERRO_CHAVE"),"",IFERROR(MATCH(AF1124,'Quitados DUPP'!$U$1:$U$6635,0),""))</f>
        <v/>
      </c>
      <c r="AH1124" s="15" t="str">
        <f t="shared" si="2"/>
        <v/>
      </c>
      <c r="AI1124" s="17" t="str">
        <f>IF(AG1124="","",INDEX('Quitados DUPP'!$G$1:$G$6635,AG1124))</f>
        <v/>
      </c>
      <c r="AJ1124" s="17" t="str">
        <f t="shared" si="3"/>
        <v/>
      </c>
    </row>
    <row r="1125" spans="31:36">
      <c r="AE1125" s="15" t="str">
        <f t="shared" si="0"/>
        <v/>
      </c>
      <c r="AF1125" s="15" t="str">
        <f t="shared" si="1"/>
        <v/>
      </c>
      <c r="AG1125" s="15" t="str">
        <f>IF(OR(AF1125="",AF1125="ERRO_CHAVE"),"",IFERROR(MATCH(AF1125,'Quitados DUPP'!$U$1:$U$6635,0),""))</f>
        <v/>
      </c>
      <c r="AH1125" s="15" t="str">
        <f t="shared" si="2"/>
        <v/>
      </c>
      <c r="AI1125" s="17" t="str">
        <f>IF(AG1125="","",INDEX('Quitados DUPP'!$G$1:$G$6635,AG1125))</f>
        <v/>
      </c>
      <c r="AJ1125" s="17" t="str">
        <f t="shared" si="3"/>
        <v/>
      </c>
    </row>
    <row r="1126" spans="31:36">
      <c r="AE1126" s="15" t="str">
        <f t="shared" si="0"/>
        <v/>
      </c>
      <c r="AF1126" s="15" t="str">
        <f t="shared" si="1"/>
        <v/>
      </c>
      <c r="AG1126" s="15" t="str">
        <f>IF(OR(AF1126="",AF1126="ERRO_CHAVE"),"",IFERROR(MATCH(AF1126,'Quitados DUPP'!$U$1:$U$6635,0),""))</f>
        <v/>
      </c>
      <c r="AH1126" s="15" t="str">
        <f t="shared" si="2"/>
        <v/>
      </c>
      <c r="AI1126" s="17" t="str">
        <f>IF(AG1126="","",INDEX('Quitados DUPP'!$G$1:$G$6635,AG1126))</f>
        <v/>
      </c>
      <c r="AJ1126" s="17" t="str">
        <f t="shared" si="3"/>
        <v/>
      </c>
    </row>
    <row r="1127" spans="31:36">
      <c r="AE1127" s="15" t="str">
        <f t="shared" si="0"/>
        <v/>
      </c>
      <c r="AF1127" s="15" t="str">
        <f t="shared" si="1"/>
        <v/>
      </c>
      <c r="AG1127" s="15" t="str">
        <f>IF(OR(AF1127="",AF1127="ERRO_CHAVE"),"",IFERROR(MATCH(AF1127,'Quitados DUPP'!$U$1:$U$6635,0),""))</f>
        <v/>
      </c>
      <c r="AH1127" s="15" t="str">
        <f t="shared" si="2"/>
        <v/>
      </c>
      <c r="AI1127" s="17" t="str">
        <f>IF(AG1127="","",INDEX('Quitados DUPP'!$G$1:$G$6635,AG1127))</f>
        <v/>
      </c>
      <c r="AJ1127" s="17" t="str">
        <f t="shared" si="3"/>
        <v/>
      </c>
    </row>
    <row r="1128" spans="31:36">
      <c r="AE1128" s="15" t="str">
        <f t="shared" si="0"/>
        <v/>
      </c>
      <c r="AF1128" s="15" t="str">
        <f t="shared" si="1"/>
        <v/>
      </c>
      <c r="AG1128" s="15" t="str">
        <f>IF(OR(AF1128="",AF1128="ERRO_CHAVE"),"",IFERROR(MATCH(AF1128,'Quitados DUPP'!$U$1:$U$6635,0),""))</f>
        <v/>
      </c>
      <c r="AH1128" s="15" t="str">
        <f t="shared" si="2"/>
        <v/>
      </c>
      <c r="AI1128" s="17" t="str">
        <f>IF(AG1128="","",INDEX('Quitados DUPP'!$G$1:$G$6635,AG1128))</f>
        <v/>
      </c>
      <c r="AJ1128" s="17" t="str">
        <f t="shared" si="3"/>
        <v/>
      </c>
    </row>
    <row r="1129" spans="31:36">
      <c r="AE1129" s="15" t="str">
        <f t="shared" si="0"/>
        <v/>
      </c>
      <c r="AF1129" s="15" t="str">
        <f t="shared" si="1"/>
        <v/>
      </c>
      <c r="AG1129" s="15" t="str">
        <f>IF(OR(AF1129="",AF1129="ERRO_CHAVE"),"",IFERROR(MATCH(AF1129,'Quitados DUPP'!$U$1:$U$6635,0),""))</f>
        <v/>
      </c>
      <c r="AH1129" s="15" t="str">
        <f t="shared" si="2"/>
        <v/>
      </c>
      <c r="AI1129" s="17" t="str">
        <f>IF(AG1129="","",INDEX('Quitados DUPP'!$G$1:$G$6635,AG1129))</f>
        <v/>
      </c>
      <c r="AJ1129" s="17" t="str">
        <f t="shared" si="3"/>
        <v/>
      </c>
    </row>
    <row r="1130" spans="31:36">
      <c r="AE1130" s="15" t="str">
        <f t="shared" si="0"/>
        <v/>
      </c>
      <c r="AF1130" s="15" t="str">
        <f t="shared" si="1"/>
        <v/>
      </c>
      <c r="AG1130" s="15" t="str">
        <f>IF(OR(AF1130="",AF1130="ERRO_CHAVE"),"",IFERROR(MATCH(AF1130,'Quitados DUPP'!$U$1:$U$6635,0),""))</f>
        <v/>
      </c>
      <c r="AH1130" s="15" t="str">
        <f t="shared" si="2"/>
        <v/>
      </c>
      <c r="AI1130" s="17" t="str">
        <f>IF(AG1130="","",INDEX('Quitados DUPP'!$G$1:$G$6635,AG1130))</f>
        <v/>
      </c>
      <c r="AJ1130" s="17" t="str">
        <f t="shared" si="3"/>
        <v/>
      </c>
    </row>
    <row r="1131" spans="31:36">
      <c r="AE1131" s="15" t="str">
        <f t="shared" si="0"/>
        <v/>
      </c>
      <c r="AF1131" s="15" t="str">
        <f t="shared" si="1"/>
        <v/>
      </c>
      <c r="AG1131" s="15" t="str">
        <f>IF(OR(AF1131="",AF1131="ERRO_CHAVE"),"",IFERROR(MATCH(AF1131,'Quitados DUPP'!$U$1:$U$6635,0),""))</f>
        <v/>
      </c>
      <c r="AH1131" s="15" t="str">
        <f t="shared" si="2"/>
        <v/>
      </c>
      <c r="AI1131" s="17" t="str">
        <f>IF(AG1131="","",INDEX('Quitados DUPP'!$G$1:$G$6635,AG1131))</f>
        <v/>
      </c>
      <c r="AJ1131" s="17" t="str">
        <f t="shared" si="3"/>
        <v/>
      </c>
    </row>
    <row r="1132" spans="31:36">
      <c r="AE1132" s="15" t="str">
        <f t="shared" si="0"/>
        <v/>
      </c>
      <c r="AF1132" s="15" t="str">
        <f t="shared" si="1"/>
        <v/>
      </c>
      <c r="AG1132" s="15" t="str">
        <f>IF(OR(AF1132="",AF1132="ERRO_CHAVE"),"",IFERROR(MATCH(AF1132,'Quitados DUPP'!$U$1:$U$6635,0),""))</f>
        <v/>
      </c>
      <c r="AH1132" s="15" t="str">
        <f t="shared" si="2"/>
        <v/>
      </c>
      <c r="AI1132" s="17" t="str">
        <f>IF(AG1132="","",INDEX('Quitados DUPP'!$G$1:$G$6635,AG1132))</f>
        <v/>
      </c>
      <c r="AJ1132" s="17" t="str">
        <f t="shared" si="3"/>
        <v/>
      </c>
    </row>
    <row r="1133" spans="31:36">
      <c r="AE1133" s="15" t="str">
        <f t="shared" si="0"/>
        <v/>
      </c>
      <c r="AF1133" s="15" t="str">
        <f t="shared" si="1"/>
        <v/>
      </c>
      <c r="AG1133" s="15" t="str">
        <f>IF(OR(AF1133="",AF1133="ERRO_CHAVE"),"",IFERROR(MATCH(AF1133,'Quitados DUPP'!$U$1:$U$6635,0),""))</f>
        <v/>
      </c>
      <c r="AH1133" s="15" t="str">
        <f t="shared" si="2"/>
        <v/>
      </c>
      <c r="AI1133" s="17" t="str">
        <f>IF(AG1133="","",INDEX('Quitados DUPP'!$G$1:$G$6635,AG1133))</f>
        <v/>
      </c>
      <c r="AJ1133" s="17" t="str">
        <f t="shared" si="3"/>
        <v/>
      </c>
    </row>
    <row r="1134" spans="31:36">
      <c r="AE1134" s="15" t="str">
        <f t="shared" si="0"/>
        <v/>
      </c>
      <c r="AF1134" s="15" t="str">
        <f t="shared" si="1"/>
        <v/>
      </c>
      <c r="AG1134" s="15" t="str">
        <f>IF(OR(AF1134="",AF1134="ERRO_CHAVE"),"",IFERROR(MATCH(AF1134,'Quitados DUPP'!$U$1:$U$6635,0),""))</f>
        <v/>
      </c>
      <c r="AH1134" s="15" t="str">
        <f t="shared" si="2"/>
        <v/>
      </c>
      <c r="AI1134" s="17" t="str">
        <f>IF(AG1134="","",INDEX('Quitados DUPP'!$G$1:$G$6635,AG1134))</f>
        <v/>
      </c>
      <c r="AJ1134" s="17" t="str">
        <f t="shared" si="3"/>
        <v/>
      </c>
    </row>
    <row r="1135" spans="31:36">
      <c r="AE1135" s="15" t="str">
        <f t="shared" si="0"/>
        <v/>
      </c>
      <c r="AF1135" s="15" t="str">
        <f t="shared" si="1"/>
        <v/>
      </c>
      <c r="AG1135" s="15" t="str">
        <f>IF(OR(AF1135="",AF1135="ERRO_CHAVE"),"",IFERROR(MATCH(AF1135,'Quitados DUPP'!$U$1:$U$6635,0),""))</f>
        <v/>
      </c>
      <c r="AH1135" s="15" t="str">
        <f t="shared" si="2"/>
        <v/>
      </c>
      <c r="AI1135" s="17" t="str">
        <f>IF(AG1135="","",INDEX('Quitados DUPP'!$G$1:$G$6635,AG1135))</f>
        <v/>
      </c>
      <c r="AJ1135" s="17" t="str">
        <f t="shared" si="3"/>
        <v/>
      </c>
    </row>
    <row r="1136" spans="31:36">
      <c r="AE1136" s="15" t="str">
        <f t="shared" si="0"/>
        <v/>
      </c>
      <c r="AF1136" s="15" t="str">
        <f t="shared" si="1"/>
        <v/>
      </c>
      <c r="AG1136" s="15" t="str">
        <f>IF(OR(AF1136="",AF1136="ERRO_CHAVE"),"",IFERROR(MATCH(AF1136,'Quitados DUPP'!$U$1:$U$6635,0),""))</f>
        <v/>
      </c>
      <c r="AH1136" s="15" t="str">
        <f t="shared" si="2"/>
        <v/>
      </c>
      <c r="AI1136" s="17" t="str">
        <f>IF(AG1136="","",INDEX('Quitados DUPP'!$G$1:$G$6635,AG1136))</f>
        <v/>
      </c>
      <c r="AJ1136" s="17" t="str">
        <f t="shared" si="3"/>
        <v/>
      </c>
    </row>
    <row r="1137" spans="31:36">
      <c r="AE1137" s="15" t="str">
        <f t="shared" si="0"/>
        <v/>
      </c>
      <c r="AF1137" s="15" t="str">
        <f t="shared" si="1"/>
        <v/>
      </c>
      <c r="AG1137" s="15" t="str">
        <f>IF(OR(AF1137="",AF1137="ERRO_CHAVE"),"",IFERROR(MATCH(AF1137,'Quitados DUPP'!$U$1:$U$6635,0),""))</f>
        <v/>
      </c>
      <c r="AH1137" s="15" t="str">
        <f t="shared" si="2"/>
        <v/>
      </c>
      <c r="AI1137" s="17" t="str">
        <f>IF(AG1137="","",INDEX('Quitados DUPP'!$G$1:$G$6635,AG1137))</f>
        <v/>
      </c>
      <c r="AJ1137" s="17" t="str">
        <f t="shared" si="3"/>
        <v/>
      </c>
    </row>
    <row r="1138" spans="31:36">
      <c r="AE1138" s="15" t="str">
        <f t="shared" si="0"/>
        <v/>
      </c>
      <c r="AF1138" s="15" t="str">
        <f t="shared" si="1"/>
        <v/>
      </c>
      <c r="AG1138" s="15" t="str">
        <f>IF(OR(AF1138="",AF1138="ERRO_CHAVE"),"",IFERROR(MATCH(AF1138,'Quitados DUPP'!$U$1:$U$6635,0),""))</f>
        <v/>
      </c>
      <c r="AH1138" s="15" t="str">
        <f t="shared" si="2"/>
        <v/>
      </c>
      <c r="AI1138" s="17" t="str">
        <f>IF(AG1138="","",INDEX('Quitados DUPP'!$G$1:$G$6635,AG1138))</f>
        <v/>
      </c>
      <c r="AJ1138" s="17" t="str">
        <f t="shared" si="3"/>
        <v/>
      </c>
    </row>
    <row r="1139" spans="31:36">
      <c r="AE1139" s="15" t="str">
        <f t="shared" si="0"/>
        <v/>
      </c>
      <c r="AF1139" s="15" t="str">
        <f t="shared" si="1"/>
        <v/>
      </c>
      <c r="AG1139" s="15" t="str">
        <f>IF(OR(AF1139="",AF1139="ERRO_CHAVE"),"",IFERROR(MATCH(AF1139,'Quitados DUPP'!$U$1:$U$6635,0),""))</f>
        <v/>
      </c>
      <c r="AH1139" s="15" t="str">
        <f t="shared" si="2"/>
        <v/>
      </c>
      <c r="AI1139" s="17" t="str">
        <f>IF(AG1139="","",INDEX('Quitados DUPP'!$G$1:$G$6635,AG1139))</f>
        <v/>
      </c>
      <c r="AJ1139" s="17" t="str">
        <f t="shared" si="3"/>
        <v/>
      </c>
    </row>
    <row r="1140" spans="31:36">
      <c r="AE1140" s="15" t="str">
        <f t="shared" si="0"/>
        <v/>
      </c>
      <c r="AF1140" s="15" t="str">
        <f t="shared" si="1"/>
        <v/>
      </c>
      <c r="AG1140" s="15" t="str">
        <f>IF(OR(AF1140="",AF1140="ERRO_CHAVE"),"",IFERROR(MATCH(AF1140,'Quitados DUPP'!$U$1:$U$6635,0),""))</f>
        <v/>
      </c>
      <c r="AH1140" s="15" t="str">
        <f t="shared" si="2"/>
        <v/>
      </c>
      <c r="AI1140" s="17" t="str">
        <f>IF(AG1140="","",INDEX('Quitados DUPP'!$G$1:$G$6635,AG1140))</f>
        <v/>
      </c>
      <c r="AJ1140" s="17" t="str">
        <f t="shared" si="3"/>
        <v/>
      </c>
    </row>
    <row r="1141" spans="31:36">
      <c r="AE1141" s="15" t="str">
        <f t="shared" si="0"/>
        <v/>
      </c>
      <c r="AF1141" s="15" t="str">
        <f t="shared" si="1"/>
        <v/>
      </c>
      <c r="AG1141" s="15" t="str">
        <f>IF(OR(AF1141="",AF1141="ERRO_CHAVE"),"",IFERROR(MATCH(AF1141,'Quitados DUPP'!$U$1:$U$6635,0),""))</f>
        <v/>
      </c>
      <c r="AH1141" s="15" t="str">
        <f t="shared" si="2"/>
        <v/>
      </c>
      <c r="AI1141" s="17" t="str">
        <f>IF(AG1141="","",INDEX('Quitados DUPP'!$G$1:$G$6635,AG1141))</f>
        <v/>
      </c>
      <c r="AJ1141" s="17" t="str">
        <f t="shared" si="3"/>
        <v/>
      </c>
    </row>
    <row r="1142" spans="31:36">
      <c r="AE1142" s="15" t="str">
        <f t="shared" si="0"/>
        <v/>
      </c>
      <c r="AF1142" s="15" t="str">
        <f t="shared" si="1"/>
        <v/>
      </c>
      <c r="AG1142" s="15" t="str">
        <f>IF(OR(AF1142="",AF1142="ERRO_CHAVE"),"",IFERROR(MATCH(AF1142,'Quitados DUPP'!$U$1:$U$6635,0),""))</f>
        <v/>
      </c>
      <c r="AH1142" s="15" t="str">
        <f t="shared" si="2"/>
        <v/>
      </c>
      <c r="AI1142" s="17" t="str">
        <f>IF(AG1142="","",INDEX('Quitados DUPP'!$G$1:$G$6635,AG1142))</f>
        <v/>
      </c>
      <c r="AJ1142" s="17" t="str">
        <f t="shared" si="3"/>
        <v/>
      </c>
    </row>
    <row r="1143" spans="31:36">
      <c r="AE1143" s="15" t="str">
        <f t="shared" si="0"/>
        <v/>
      </c>
      <c r="AF1143" s="15" t="str">
        <f t="shared" si="1"/>
        <v/>
      </c>
      <c r="AG1143" s="15" t="str">
        <f>IF(OR(AF1143="",AF1143="ERRO_CHAVE"),"",IFERROR(MATCH(AF1143,'Quitados DUPP'!$U$1:$U$6635,0),""))</f>
        <v/>
      </c>
      <c r="AH1143" s="15" t="str">
        <f t="shared" si="2"/>
        <v/>
      </c>
      <c r="AI1143" s="17" t="str">
        <f>IF(AG1143="","",INDEX('Quitados DUPP'!$G$1:$G$6635,AG1143))</f>
        <v/>
      </c>
      <c r="AJ1143" s="17" t="str">
        <f t="shared" si="3"/>
        <v/>
      </c>
    </row>
    <row r="1144" spans="31:36">
      <c r="AE1144" s="15" t="str">
        <f t="shared" si="0"/>
        <v/>
      </c>
      <c r="AF1144" s="15" t="str">
        <f t="shared" si="1"/>
        <v/>
      </c>
      <c r="AG1144" s="15" t="str">
        <f>IF(OR(AF1144="",AF1144="ERRO_CHAVE"),"",IFERROR(MATCH(AF1144,'Quitados DUPP'!$U$1:$U$6635,0),""))</f>
        <v/>
      </c>
      <c r="AH1144" s="15" t="str">
        <f t="shared" si="2"/>
        <v/>
      </c>
      <c r="AI1144" s="17" t="str">
        <f>IF(AG1144="","",INDEX('Quitados DUPP'!$G$1:$G$6635,AG1144))</f>
        <v/>
      </c>
      <c r="AJ1144" s="17" t="str">
        <f t="shared" si="3"/>
        <v/>
      </c>
    </row>
    <row r="1145" spans="31:36">
      <c r="AE1145" s="15" t="str">
        <f t="shared" si="0"/>
        <v/>
      </c>
      <c r="AF1145" s="15" t="str">
        <f t="shared" si="1"/>
        <v/>
      </c>
      <c r="AG1145" s="15" t="str">
        <f>IF(OR(AF1145="",AF1145="ERRO_CHAVE"),"",IFERROR(MATCH(AF1145,'Quitados DUPP'!$U$1:$U$6635,0),""))</f>
        <v/>
      </c>
      <c r="AH1145" s="15" t="str">
        <f t="shared" si="2"/>
        <v/>
      </c>
      <c r="AI1145" s="17" t="str">
        <f>IF(AG1145="","",INDEX('Quitados DUPP'!$G$1:$G$6635,AG1145))</f>
        <v/>
      </c>
      <c r="AJ1145" s="17" t="str">
        <f t="shared" si="3"/>
        <v/>
      </c>
    </row>
    <row r="1146" spans="31:36">
      <c r="AE1146" s="15" t="str">
        <f t="shared" si="0"/>
        <v/>
      </c>
      <c r="AF1146" s="15" t="str">
        <f t="shared" si="1"/>
        <v/>
      </c>
      <c r="AG1146" s="15" t="str">
        <f>IF(OR(AF1146="",AF1146="ERRO_CHAVE"),"",IFERROR(MATCH(AF1146,'Quitados DUPP'!$U$1:$U$6635,0),""))</f>
        <v/>
      </c>
      <c r="AH1146" s="15" t="str">
        <f t="shared" si="2"/>
        <v/>
      </c>
      <c r="AI1146" s="17" t="str">
        <f>IF(AG1146="","",INDEX('Quitados DUPP'!$G$1:$G$6635,AG1146))</f>
        <v/>
      </c>
      <c r="AJ1146" s="17" t="str">
        <f t="shared" si="3"/>
        <v/>
      </c>
    </row>
    <row r="1147" spans="31:36">
      <c r="AE1147" s="15" t="str">
        <f t="shared" si="0"/>
        <v/>
      </c>
      <c r="AF1147" s="15" t="str">
        <f t="shared" si="1"/>
        <v/>
      </c>
      <c r="AG1147" s="15" t="str">
        <f>IF(OR(AF1147="",AF1147="ERRO_CHAVE"),"",IFERROR(MATCH(AF1147,'Quitados DUPP'!$U$1:$U$6635,0),""))</f>
        <v/>
      </c>
      <c r="AH1147" s="15" t="str">
        <f t="shared" si="2"/>
        <v/>
      </c>
      <c r="AI1147" s="17" t="str">
        <f>IF(AG1147="","",INDEX('Quitados DUPP'!$G$1:$G$6635,AG1147))</f>
        <v/>
      </c>
      <c r="AJ1147" s="17" t="str">
        <f t="shared" si="3"/>
        <v/>
      </c>
    </row>
    <row r="1148" spans="31:36">
      <c r="AE1148" s="15" t="str">
        <f t="shared" si="0"/>
        <v/>
      </c>
      <c r="AF1148" s="15" t="str">
        <f t="shared" si="1"/>
        <v/>
      </c>
      <c r="AG1148" s="15" t="str">
        <f>IF(OR(AF1148="",AF1148="ERRO_CHAVE"),"",IFERROR(MATCH(AF1148,'Quitados DUPP'!$U$1:$U$6635,0),""))</f>
        <v/>
      </c>
      <c r="AH1148" s="15" t="str">
        <f t="shared" si="2"/>
        <v/>
      </c>
      <c r="AI1148" s="17" t="str">
        <f>IF(AG1148="","",INDEX('Quitados DUPP'!$G$1:$G$6635,AG1148))</f>
        <v/>
      </c>
      <c r="AJ1148" s="17" t="str">
        <f t="shared" si="3"/>
        <v/>
      </c>
    </row>
    <row r="1149" spans="31:36">
      <c r="AE1149" s="15" t="str">
        <f t="shared" si="0"/>
        <v/>
      </c>
      <c r="AF1149" s="15" t="str">
        <f t="shared" si="1"/>
        <v/>
      </c>
      <c r="AG1149" s="15" t="str">
        <f>IF(OR(AF1149="",AF1149="ERRO_CHAVE"),"",IFERROR(MATCH(AF1149,'Quitados DUPP'!$U$1:$U$6635,0),""))</f>
        <v/>
      </c>
      <c r="AH1149" s="15" t="str">
        <f t="shared" si="2"/>
        <v/>
      </c>
      <c r="AI1149" s="17" t="str">
        <f>IF(AG1149="","",INDEX('Quitados DUPP'!$G$1:$G$6635,AG1149))</f>
        <v/>
      </c>
      <c r="AJ1149" s="17" t="str">
        <f t="shared" si="3"/>
        <v/>
      </c>
    </row>
    <row r="1150" spans="31:36">
      <c r="AE1150" s="15" t="str">
        <f t="shared" si="0"/>
        <v/>
      </c>
      <c r="AF1150" s="15" t="str">
        <f t="shared" si="1"/>
        <v/>
      </c>
      <c r="AG1150" s="15" t="str">
        <f>IF(OR(AF1150="",AF1150="ERRO_CHAVE"),"",IFERROR(MATCH(AF1150,'Quitados DUPP'!$U$1:$U$6635,0),""))</f>
        <v/>
      </c>
      <c r="AH1150" s="15" t="str">
        <f t="shared" si="2"/>
        <v/>
      </c>
      <c r="AI1150" s="17" t="str">
        <f>IF(AG1150="","",INDEX('Quitados DUPP'!$G$1:$G$6635,AG1150))</f>
        <v/>
      </c>
      <c r="AJ1150" s="17" t="str">
        <f t="shared" si="3"/>
        <v/>
      </c>
    </row>
    <row r="1151" spans="31:36">
      <c r="AE1151" s="15" t="str">
        <f t="shared" si="0"/>
        <v/>
      </c>
      <c r="AF1151" s="15" t="str">
        <f t="shared" si="1"/>
        <v/>
      </c>
      <c r="AG1151" s="15" t="str">
        <f>IF(OR(AF1151="",AF1151="ERRO_CHAVE"),"",IFERROR(MATCH(AF1151,'Quitados DUPP'!$U$1:$U$6635,0),""))</f>
        <v/>
      </c>
      <c r="AH1151" s="15" t="str">
        <f t="shared" si="2"/>
        <v/>
      </c>
      <c r="AI1151" s="17" t="str">
        <f>IF(AG1151="","",INDEX('Quitados DUPP'!$G$1:$G$6635,AG1151))</f>
        <v/>
      </c>
      <c r="AJ1151" s="17" t="str">
        <f t="shared" si="3"/>
        <v/>
      </c>
    </row>
    <row r="1152" spans="31:36">
      <c r="AE1152" s="15" t="str">
        <f t="shared" si="0"/>
        <v/>
      </c>
      <c r="AF1152" s="15" t="str">
        <f t="shared" si="1"/>
        <v/>
      </c>
      <c r="AG1152" s="15" t="str">
        <f>IF(OR(AF1152="",AF1152="ERRO_CHAVE"),"",IFERROR(MATCH(AF1152,'Quitados DUPP'!$U$1:$U$6635,0),""))</f>
        <v/>
      </c>
      <c r="AH1152" s="15" t="str">
        <f t="shared" si="2"/>
        <v/>
      </c>
      <c r="AI1152" s="17" t="str">
        <f>IF(AG1152="","",INDEX('Quitados DUPP'!$G$1:$G$6635,AG1152))</f>
        <v/>
      </c>
      <c r="AJ1152" s="17" t="str">
        <f t="shared" si="3"/>
        <v/>
      </c>
    </row>
    <row r="1153" spans="31:36">
      <c r="AE1153" s="15" t="str">
        <f t="shared" si="0"/>
        <v/>
      </c>
      <c r="AF1153" s="15" t="str">
        <f t="shared" si="1"/>
        <v/>
      </c>
      <c r="AG1153" s="15" t="str">
        <f>IF(OR(AF1153="",AF1153="ERRO_CHAVE"),"",IFERROR(MATCH(AF1153,'Quitados DUPP'!$U$1:$U$6635,0),""))</f>
        <v/>
      </c>
      <c r="AH1153" s="15" t="str">
        <f t="shared" si="2"/>
        <v/>
      </c>
      <c r="AI1153" s="17" t="str">
        <f>IF(AG1153="","",INDEX('Quitados DUPP'!$G$1:$G$6635,AG1153))</f>
        <v/>
      </c>
      <c r="AJ1153" s="17" t="str">
        <f t="shared" si="3"/>
        <v/>
      </c>
    </row>
    <row r="1154" spans="31:36">
      <c r="AE1154" s="15" t="str">
        <f t="shared" si="0"/>
        <v/>
      </c>
      <c r="AF1154" s="15" t="str">
        <f t="shared" si="1"/>
        <v/>
      </c>
      <c r="AG1154" s="15" t="str">
        <f>IF(OR(AF1154="",AF1154="ERRO_CHAVE"),"",IFERROR(MATCH(AF1154,'Quitados DUPP'!$U$1:$U$6635,0),""))</f>
        <v/>
      </c>
      <c r="AH1154" s="15" t="str">
        <f t="shared" si="2"/>
        <v/>
      </c>
      <c r="AI1154" s="17" t="str">
        <f>IF(AG1154="","",INDEX('Quitados DUPP'!$G$1:$G$6635,AG1154))</f>
        <v/>
      </c>
      <c r="AJ1154" s="17" t="str">
        <f t="shared" si="3"/>
        <v/>
      </c>
    </row>
    <row r="1155" spans="31:36">
      <c r="AE1155" s="15" t="str">
        <f t="shared" si="0"/>
        <v/>
      </c>
      <c r="AF1155" s="15" t="str">
        <f t="shared" si="1"/>
        <v/>
      </c>
      <c r="AG1155" s="15" t="str">
        <f>IF(OR(AF1155="",AF1155="ERRO_CHAVE"),"",IFERROR(MATCH(AF1155,'Quitados DUPP'!$U$1:$U$6635,0),""))</f>
        <v/>
      </c>
      <c r="AH1155" s="15" t="str">
        <f t="shared" si="2"/>
        <v/>
      </c>
      <c r="AI1155" s="17" t="str">
        <f>IF(AG1155="","",INDEX('Quitados DUPP'!$G$1:$G$6635,AG1155))</f>
        <v/>
      </c>
      <c r="AJ1155" s="17" t="str">
        <f t="shared" si="3"/>
        <v/>
      </c>
    </row>
    <row r="1156" spans="31:36">
      <c r="AE1156" s="15" t="str">
        <f t="shared" si="0"/>
        <v/>
      </c>
      <c r="AF1156" s="15" t="str">
        <f t="shared" si="1"/>
        <v/>
      </c>
      <c r="AG1156" s="15" t="str">
        <f>IF(OR(AF1156="",AF1156="ERRO_CHAVE"),"",IFERROR(MATCH(AF1156,'Quitados DUPP'!$U$1:$U$6635,0),""))</f>
        <v/>
      </c>
      <c r="AH1156" s="15" t="str">
        <f t="shared" si="2"/>
        <v/>
      </c>
      <c r="AI1156" s="17" t="str">
        <f>IF(AG1156="","",INDEX('Quitados DUPP'!$G$1:$G$6635,AG1156))</f>
        <v/>
      </c>
      <c r="AJ1156" s="17" t="str">
        <f t="shared" si="3"/>
        <v/>
      </c>
    </row>
    <row r="1157" spans="31:36">
      <c r="AE1157" s="15" t="str">
        <f t="shared" si="0"/>
        <v/>
      </c>
      <c r="AF1157" s="15" t="str">
        <f t="shared" si="1"/>
        <v/>
      </c>
      <c r="AG1157" s="15" t="str">
        <f>IF(OR(AF1157="",AF1157="ERRO_CHAVE"),"",IFERROR(MATCH(AF1157,'Quitados DUPP'!$U$1:$U$6635,0),""))</f>
        <v/>
      </c>
      <c r="AH1157" s="15" t="str">
        <f t="shared" si="2"/>
        <v/>
      </c>
      <c r="AI1157" s="17" t="str">
        <f>IF(AG1157="","",INDEX('Quitados DUPP'!$G$1:$G$6635,AG1157))</f>
        <v/>
      </c>
      <c r="AJ1157" s="17" t="str">
        <f t="shared" si="3"/>
        <v/>
      </c>
    </row>
    <row r="1158" spans="31:36">
      <c r="AE1158" s="15" t="str">
        <f t="shared" si="0"/>
        <v/>
      </c>
      <c r="AF1158" s="15" t="str">
        <f t="shared" si="1"/>
        <v/>
      </c>
      <c r="AG1158" s="15" t="str">
        <f>IF(OR(AF1158="",AF1158="ERRO_CHAVE"),"",IFERROR(MATCH(AF1158,'Quitados DUPP'!$U$1:$U$6635,0),""))</f>
        <v/>
      </c>
      <c r="AH1158" s="15" t="str">
        <f t="shared" si="2"/>
        <v/>
      </c>
      <c r="AI1158" s="17" t="str">
        <f>IF(AG1158="","",INDEX('Quitados DUPP'!$G$1:$G$6635,AG1158))</f>
        <v/>
      </c>
      <c r="AJ1158" s="17" t="str">
        <f t="shared" si="3"/>
        <v/>
      </c>
    </row>
    <row r="1159" spans="31:36">
      <c r="AE1159" s="15" t="str">
        <f t="shared" si="0"/>
        <v/>
      </c>
      <c r="AF1159" s="15" t="str">
        <f t="shared" si="1"/>
        <v/>
      </c>
      <c r="AG1159" s="15" t="str">
        <f>IF(OR(AF1159="",AF1159="ERRO_CHAVE"),"",IFERROR(MATCH(AF1159,'Quitados DUPP'!$U$1:$U$6635,0),""))</f>
        <v/>
      </c>
      <c r="AH1159" s="15" t="str">
        <f t="shared" si="2"/>
        <v/>
      </c>
      <c r="AI1159" s="17" t="str">
        <f>IF(AG1159="","",INDEX('Quitados DUPP'!$G$1:$G$6635,AG1159))</f>
        <v/>
      </c>
      <c r="AJ1159" s="17" t="str">
        <f t="shared" si="3"/>
        <v/>
      </c>
    </row>
    <row r="1160" spans="31:36">
      <c r="AE1160" s="15" t="str">
        <f t="shared" si="0"/>
        <v/>
      </c>
      <c r="AF1160" s="15" t="str">
        <f t="shared" si="1"/>
        <v/>
      </c>
      <c r="AG1160" s="15" t="str">
        <f>IF(OR(AF1160="",AF1160="ERRO_CHAVE"),"",IFERROR(MATCH(AF1160,'Quitados DUPP'!$U$1:$U$6635,0),""))</f>
        <v/>
      </c>
      <c r="AH1160" s="15" t="str">
        <f t="shared" si="2"/>
        <v/>
      </c>
      <c r="AI1160" s="17" t="str">
        <f>IF(AG1160="","",INDEX('Quitados DUPP'!$G$1:$G$6635,AG1160))</f>
        <v/>
      </c>
      <c r="AJ1160" s="17" t="str">
        <f t="shared" si="3"/>
        <v/>
      </c>
    </row>
    <row r="1161" spans="31:36">
      <c r="AE1161" s="15" t="str">
        <f t="shared" si="0"/>
        <v/>
      </c>
      <c r="AF1161" s="15" t="str">
        <f t="shared" si="1"/>
        <v/>
      </c>
      <c r="AG1161" s="15" t="str">
        <f>IF(OR(AF1161="",AF1161="ERRO_CHAVE"),"",IFERROR(MATCH(AF1161,'Quitados DUPP'!$U$1:$U$6635,0),""))</f>
        <v/>
      </c>
      <c r="AH1161" s="15" t="str">
        <f t="shared" si="2"/>
        <v/>
      </c>
      <c r="AI1161" s="17" t="str">
        <f>IF(AG1161="","",INDEX('Quitados DUPP'!$G$1:$G$6635,AG1161))</f>
        <v/>
      </c>
      <c r="AJ1161" s="17" t="str">
        <f t="shared" si="3"/>
        <v/>
      </c>
    </row>
    <row r="1162" spans="31:36">
      <c r="AE1162" s="15" t="str">
        <f t="shared" si="0"/>
        <v/>
      </c>
      <c r="AF1162" s="15" t="str">
        <f t="shared" si="1"/>
        <v/>
      </c>
      <c r="AG1162" s="15" t="str">
        <f>IF(OR(AF1162="",AF1162="ERRO_CHAVE"),"",IFERROR(MATCH(AF1162,'Quitados DUPP'!$U$1:$U$6635,0),""))</f>
        <v/>
      </c>
      <c r="AH1162" s="15" t="str">
        <f t="shared" si="2"/>
        <v/>
      </c>
      <c r="AI1162" s="17" t="str">
        <f>IF(AG1162="","",INDEX('Quitados DUPP'!$G$1:$G$6635,AG1162))</f>
        <v/>
      </c>
      <c r="AJ1162" s="17" t="str">
        <f t="shared" si="3"/>
        <v/>
      </c>
    </row>
    <row r="1163" spans="31:36">
      <c r="AE1163" s="15" t="str">
        <f t="shared" si="0"/>
        <v/>
      </c>
      <c r="AF1163" s="15" t="str">
        <f t="shared" si="1"/>
        <v/>
      </c>
      <c r="AG1163" s="15" t="str">
        <f>IF(OR(AF1163="",AF1163="ERRO_CHAVE"),"",IFERROR(MATCH(AF1163,'Quitados DUPP'!$U$1:$U$6635,0),""))</f>
        <v/>
      </c>
      <c r="AH1163" s="15" t="str">
        <f t="shared" si="2"/>
        <v/>
      </c>
      <c r="AI1163" s="17" t="str">
        <f>IF(AG1163="","",INDEX('Quitados DUPP'!$G$1:$G$6635,AG1163))</f>
        <v/>
      </c>
      <c r="AJ1163" s="17" t="str">
        <f t="shared" si="3"/>
        <v/>
      </c>
    </row>
    <row r="1164" spans="31:36">
      <c r="AE1164" s="15" t="str">
        <f t="shared" si="0"/>
        <v/>
      </c>
      <c r="AF1164" s="15" t="str">
        <f t="shared" si="1"/>
        <v/>
      </c>
      <c r="AG1164" s="15" t="str">
        <f>IF(OR(AF1164="",AF1164="ERRO_CHAVE"),"",IFERROR(MATCH(AF1164,'Quitados DUPP'!$U$1:$U$6635,0),""))</f>
        <v/>
      </c>
      <c r="AH1164" s="15" t="str">
        <f t="shared" si="2"/>
        <v/>
      </c>
      <c r="AI1164" s="17" t="str">
        <f>IF(AG1164="","",INDEX('Quitados DUPP'!$G$1:$G$6635,AG1164))</f>
        <v/>
      </c>
      <c r="AJ1164" s="17" t="str">
        <f t="shared" si="3"/>
        <v/>
      </c>
    </row>
    <row r="1165" spans="31:36">
      <c r="AE1165" s="15" t="str">
        <f t="shared" si="0"/>
        <v/>
      </c>
      <c r="AF1165" s="15" t="str">
        <f t="shared" si="1"/>
        <v/>
      </c>
      <c r="AG1165" s="15" t="str">
        <f>IF(OR(AF1165="",AF1165="ERRO_CHAVE"),"",IFERROR(MATCH(AF1165,'Quitados DUPP'!$U$1:$U$6635,0),""))</f>
        <v/>
      </c>
      <c r="AH1165" s="15" t="str">
        <f t="shared" si="2"/>
        <v/>
      </c>
      <c r="AI1165" s="17" t="str">
        <f>IF(AG1165="","",INDEX('Quitados DUPP'!$G$1:$G$6635,AG1165))</f>
        <v/>
      </c>
      <c r="AJ1165" s="17" t="str">
        <f t="shared" si="3"/>
        <v/>
      </c>
    </row>
    <row r="1166" spans="31:36">
      <c r="AE1166" s="15" t="str">
        <f t="shared" si="0"/>
        <v/>
      </c>
      <c r="AF1166" s="15" t="str">
        <f t="shared" si="1"/>
        <v/>
      </c>
      <c r="AG1166" s="15" t="str">
        <f>IF(OR(AF1166="",AF1166="ERRO_CHAVE"),"",IFERROR(MATCH(AF1166,'Quitados DUPP'!$U$1:$U$6635,0),""))</f>
        <v/>
      </c>
      <c r="AH1166" s="15" t="str">
        <f t="shared" si="2"/>
        <v/>
      </c>
      <c r="AI1166" s="17" t="str">
        <f>IF(AG1166="","",INDEX('Quitados DUPP'!$G$1:$G$6635,AG1166))</f>
        <v/>
      </c>
      <c r="AJ1166" s="17" t="str">
        <f t="shared" si="3"/>
        <v/>
      </c>
    </row>
    <row r="1167" spans="31:36">
      <c r="AE1167" s="15" t="str">
        <f t="shared" si="0"/>
        <v/>
      </c>
      <c r="AF1167" s="15" t="str">
        <f t="shared" si="1"/>
        <v/>
      </c>
      <c r="AG1167" s="15" t="str">
        <f>IF(OR(AF1167="",AF1167="ERRO_CHAVE"),"",IFERROR(MATCH(AF1167,'Quitados DUPP'!$U$1:$U$6635,0),""))</f>
        <v/>
      </c>
      <c r="AH1167" s="15" t="str">
        <f t="shared" si="2"/>
        <v/>
      </c>
      <c r="AI1167" s="17" t="str">
        <f>IF(AG1167="","",INDEX('Quitados DUPP'!$G$1:$G$6635,AG1167))</f>
        <v/>
      </c>
      <c r="AJ1167" s="17" t="str">
        <f t="shared" si="3"/>
        <v/>
      </c>
    </row>
    <row r="1168" spans="31:36">
      <c r="AE1168" s="15" t="str">
        <f t="shared" si="0"/>
        <v/>
      </c>
      <c r="AF1168" s="15" t="str">
        <f t="shared" si="1"/>
        <v/>
      </c>
      <c r="AG1168" s="15" t="str">
        <f>IF(OR(AF1168="",AF1168="ERRO_CHAVE"),"",IFERROR(MATCH(AF1168,'Quitados DUPP'!$U$1:$U$6635,0),""))</f>
        <v/>
      </c>
      <c r="AH1168" s="15" t="str">
        <f t="shared" si="2"/>
        <v/>
      </c>
      <c r="AI1168" s="17" t="str">
        <f>IF(AG1168="","",INDEX('Quitados DUPP'!$G$1:$G$6635,AG1168))</f>
        <v/>
      </c>
      <c r="AJ1168" s="17" t="str">
        <f t="shared" si="3"/>
        <v/>
      </c>
    </row>
    <row r="1169" spans="31:36">
      <c r="AE1169" s="15" t="str">
        <f t="shared" si="0"/>
        <v/>
      </c>
      <c r="AF1169" s="15" t="str">
        <f t="shared" si="1"/>
        <v/>
      </c>
      <c r="AG1169" s="15" t="str">
        <f>IF(OR(AF1169="",AF1169="ERRO_CHAVE"),"",IFERROR(MATCH(AF1169,'Quitados DUPP'!$U$1:$U$6635,0),""))</f>
        <v/>
      </c>
      <c r="AH1169" s="15" t="str">
        <f t="shared" si="2"/>
        <v/>
      </c>
      <c r="AI1169" s="17" t="str">
        <f>IF(AG1169="","",INDEX('Quitados DUPP'!$G$1:$G$6635,AG1169))</f>
        <v/>
      </c>
      <c r="AJ1169" s="17" t="str">
        <f t="shared" si="3"/>
        <v/>
      </c>
    </row>
    <row r="1170" spans="31:36">
      <c r="AE1170" s="15" t="str">
        <f t="shared" si="0"/>
        <v/>
      </c>
      <c r="AF1170" s="15" t="str">
        <f t="shared" si="1"/>
        <v/>
      </c>
      <c r="AG1170" s="15" t="str">
        <f>IF(OR(AF1170="",AF1170="ERRO_CHAVE"),"",IFERROR(MATCH(AF1170,'Quitados DUPP'!$U$1:$U$6635,0),""))</f>
        <v/>
      </c>
      <c r="AH1170" s="15" t="str">
        <f t="shared" si="2"/>
        <v/>
      </c>
      <c r="AI1170" s="17" t="str">
        <f>IF(AG1170="","",INDEX('Quitados DUPP'!$G$1:$G$6635,AG1170))</f>
        <v/>
      </c>
      <c r="AJ1170" s="17" t="str">
        <f t="shared" si="3"/>
        <v/>
      </c>
    </row>
    <row r="1171" spans="31:36">
      <c r="AE1171" s="15" t="str">
        <f t="shared" si="0"/>
        <v/>
      </c>
      <c r="AF1171" s="15" t="str">
        <f t="shared" si="1"/>
        <v/>
      </c>
      <c r="AG1171" s="15" t="str">
        <f>IF(OR(AF1171="",AF1171="ERRO_CHAVE"),"",IFERROR(MATCH(AF1171,'Quitados DUPP'!$U$1:$U$6635,0),""))</f>
        <v/>
      </c>
      <c r="AH1171" s="15" t="str">
        <f t="shared" si="2"/>
        <v/>
      </c>
      <c r="AI1171" s="17" t="str">
        <f>IF(AG1171="","",INDEX('Quitados DUPP'!$G$1:$G$6635,AG1171))</f>
        <v/>
      </c>
      <c r="AJ1171" s="17" t="str">
        <f t="shared" si="3"/>
        <v/>
      </c>
    </row>
    <row r="1172" spans="31:36">
      <c r="AE1172" s="15" t="str">
        <f t="shared" si="0"/>
        <v/>
      </c>
      <c r="AF1172" s="15" t="str">
        <f t="shared" si="1"/>
        <v/>
      </c>
      <c r="AG1172" s="15" t="str">
        <f>IF(OR(AF1172="",AF1172="ERRO_CHAVE"),"",IFERROR(MATCH(AF1172,'Quitados DUPP'!$U$1:$U$6635,0),""))</f>
        <v/>
      </c>
      <c r="AH1172" s="15" t="str">
        <f t="shared" si="2"/>
        <v/>
      </c>
      <c r="AI1172" s="17" t="str">
        <f>IF(AG1172="","",INDEX('Quitados DUPP'!$G$1:$G$6635,AG1172))</f>
        <v/>
      </c>
      <c r="AJ1172" s="17" t="str">
        <f t="shared" si="3"/>
        <v/>
      </c>
    </row>
    <row r="1173" spans="31:36">
      <c r="AE1173" s="15" t="str">
        <f t="shared" si="0"/>
        <v/>
      </c>
      <c r="AF1173" s="15" t="str">
        <f t="shared" si="1"/>
        <v/>
      </c>
      <c r="AG1173" s="15" t="str">
        <f>IF(OR(AF1173="",AF1173="ERRO_CHAVE"),"",IFERROR(MATCH(AF1173,'Quitados DUPP'!$U$1:$U$6635,0),""))</f>
        <v/>
      </c>
      <c r="AH1173" s="15" t="str">
        <f t="shared" si="2"/>
        <v/>
      </c>
      <c r="AI1173" s="17" t="str">
        <f>IF(AG1173="","",INDEX('Quitados DUPP'!$G$1:$G$6635,AG1173))</f>
        <v/>
      </c>
      <c r="AJ1173" s="17" t="str">
        <f t="shared" si="3"/>
        <v/>
      </c>
    </row>
    <row r="1174" spans="31:36">
      <c r="AE1174" s="15" t="str">
        <f t="shared" si="0"/>
        <v/>
      </c>
      <c r="AF1174" s="15" t="str">
        <f t="shared" si="1"/>
        <v/>
      </c>
      <c r="AG1174" s="15" t="str">
        <f>IF(OR(AF1174="",AF1174="ERRO_CHAVE"),"",IFERROR(MATCH(AF1174,'Quitados DUPP'!$U$1:$U$6635,0),""))</f>
        <v/>
      </c>
      <c r="AH1174" s="15" t="str">
        <f t="shared" si="2"/>
        <v/>
      </c>
      <c r="AI1174" s="17" t="str">
        <f>IF(AG1174="","",INDEX('Quitados DUPP'!$G$1:$G$6635,AG1174))</f>
        <v/>
      </c>
      <c r="AJ1174" s="17" t="str">
        <f t="shared" si="3"/>
        <v/>
      </c>
    </row>
    <row r="1175" spans="31:36">
      <c r="AE1175" s="15" t="str">
        <f t="shared" si="0"/>
        <v/>
      </c>
      <c r="AF1175" s="15" t="str">
        <f t="shared" si="1"/>
        <v/>
      </c>
      <c r="AG1175" s="15" t="str">
        <f>IF(OR(AF1175="",AF1175="ERRO_CHAVE"),"",IFERROR(MATCH(AF1175,'Quitados DUPP'!$U$1:$U$6635,0),""))</f>
        <v/>
      </c>
      <c r="AH1175" s="15" t="str">
        <f t="shared" si="2"/>
        <v/>
      </c>
      <c r="AI1175" s="17" t="str">
        <f>IF(AG1175="","",INDEX('Quitados DUPP'!$G$1:$G$6635,AG1175))</f>
        <v/>
      </c>
      <c r="AJ1175" s="17" t="str">
        <f t="shared" si="3"/>
        <v/>
      </c>
    </row>
    <row r="1176" spans="31:36">
      <c r="AE1176" s="15" t="str">
        <f t="shared" si="0"/>
        <v/>
      </c>
      <c r="AF1176" s="15" t="str">
        <f t="shared" si="1"/>
        <v/>
      </c>
      <c r="AG1176" s="15" t="str">
        <f>IF(OR(AF1176="",AF1176="ERRO_CHAVE"),"",IFERROR(MATCH(AF1176,'Quitados DUPP'!$U$1:$U$6635,0),""))</f>
        <v/>
      </c>
      <c r="AH1176" s="15" t="str">
        <f t="shared" si="2"/>
        <v/>
      </c>
      <c r="AI1176" s="17" t="str">
        <f>IF(AG1176="","",INDEX('Quitados DUPP'!$G$1:$G$6635,AG1176))</f>
        <v/>
      </c>
      <c r="AJ1176" s="17" t="str">
        <f t="shared" si="3"/>
        <v/>
      </c>
    </row>
    <row r="1177" spans="31:36">
      <c r="AE1177" s="15" t="str">
        <f t="shared" si="0"/>
        <v/>
      </c>
      <c r="AF1177" s="15" t="str">
        <f t="shared" si="1"/>
        <v/>
      </c>
      <c r="AG1177" s="15" t="str">
        <f>IF(OR(AF1177="",AF1177="ERRO_CHAVE"),"",IFERROR(MATCH(AF1177,'Quitados DUPP'!$U$1:$U$6635,0),""))</f>
        <v/>
      </c>
      <c r="AH1177" s="15" t="str">
        <f t="shared" si="2"/>
        <v/>
      </c>
      <c r="AI1177" s="17" t="str">
        <f>IF(AG1177="","",INDEX('Quitados DUPP'!$G$1:$G$6635,AG1177))</f>
        <v/>
      </c>
      <c r="AJ1177" s="17" t="str">
        <f t="shared" si="3"/>
        <v/>
      </c>
    </row>
    <row r="1178" spans="31:36">
      <c r="AE1178" s="15" t="str">
        <f t="shared" si="0"/>
        <v/>
      </c>
      <c r="AF1178" s="15" t="str">
        <f t="shared" si="1"/>
        <v/>
      </c>
      <c r="AG1178" s="15" t="str">
        <f>IF(OR(AF1178="",AF1178="ERRO_CHAVE"),"",IFERROR(MATCH(AF1178,'Quitados DUPP'!$U$1:$U$6635,0),""))</f>
        <v/>
      </c>
      <c r="AH1178" s="15" t="str">
        <f t="shared" si="2"/>
        <v/>
      </c>
      <c r="AI1178" s="17" t="str">
        <f>IF(AG1178="","",INDEX('Quitados DUPP'!$G$1:$G$6635,AG1178))</f>
        <v/>
      </c>
      <c r="AJ1178" s="17" t="str">
        <f t="shared" si="3"/>
        <v/>
      </c>
    </row>
    <row r="1179" spans="31:36">
      <c r="AE1179" s="15" t="str">
        <f t="shared" si="0"/>
        <v/>
      </c>
      <c r="AF1179" s="15" t="str">
        <f t="shared" si="1"/>
        <v/>
      </c>
      <c r="AG1179" s="15" t="str">
        <f>IF(OR(AF1179="",AF1179="ERRO_CHAVE"),"",IFERROR(MATCH(AF1179,'Quitados DUPP'!$U$1:$U$6635,0),""))</f>
        <v/>
      </c>
      <c r="AH1179" s="15" t="str">
        <f t="shared" si="2"/>
        <v/>
      </c>
      <c r="AI1179" s="17" t="str">
        <f>IF(AG1179="","",INDEX('Quitados DUPP'!$G$1:$G$6635,AG1179))</f>
        <v/>
      </c>
      <c r="AJ1179" s="17" t="str">
        <f t="shared" si="3"/>
        <v/>
      </c>
    </row>
    <row r="1180" spans="31:36">
      <c r="AE1180" s="15" t="str">
        <f t="shared" si="0"/>
        <v/>
      </c>
      <c r="AF1180" s="15" t="str">
        <f t="shared" si="1"/>
        <v/>
      </c>
      <c r="AG1180" s="15" t="str">
        <f>IF(OR(AF1180="",AF1180="ERRO_CHAVE"),"",IFERROR(MATCH(AF1180,'Quitados DUPP'!$U$1:$U$6635,0),""))</f>
        <v/>
      </c>
      <c r="AH1180" s="15" t="str">
        <f t="shared" si="2"/>
        <v/>
      </c>
      <c r="AI1180" s="17" t="str">
        <f>IF(AG1180="","",INDEX('Quitados DUPP'!$G$1:$G$6635,AG1180))</f>
        <v/>
      </c>
      <c r="AJ1180" s="17" t="str">
        <f t="shared" si="3"/>
        <v/>
      </c>
    </row>
    <row r="1181" spans="31:36">
      <c r="AE1181" s="15" t="str">
        <f t="shared" si="0"/>
        <v/>
      </c>
      <c r="AF1181" s="15" t="str">
        <f t="shared" si="1"/>
        <v/>
      </c>
      <c r="AG1181" s="15" t="str">
        <f>IF(OR(AF1181="",AF1181="ERRO_CHAVE"),"",IFERROR(MATCH(AF1181,'Quitados DUPP'!$U$1:$U$6635,0),""))</f>
        <v/>
      </c>
      <c r="AH1181" s="15" t="str">
        <f t="shared" si="2"/>
        <v/>
      </c>
      <c r="AI1181" s="17" t="str">
        <f>IF(AG1181="","",INDEX('Quitados DUPP'!$G$1:$G$6635,AG1181))</f>
        <v/>
      </c>
      <c r="AJ1181" s="17" t="str">
        <f t="shared" si="3"/>
        <v/>
      </c>
    </row>
    <row r="1182" spans="31:36">
      <c r="AE1182" s="15" t="str">
        <f t="shared" si="0"/>
        <v/>
      </c>
      <c r="AF1182" s="15" t="str">
        <f t="shared" si="1"/>
        <v/>
      </c>
      <c r="AG1182" s="15" t="str">
        <f>IF(OR(AF1182="",AF1182="ERRO_CHAVE"),"",IFERROR(MATCH(AF1182,'Quitados DUPP'!$U$1:$U$6635,0),""))</f>
        <v/>
      </c>
      <c r="AH1182" s="15" t="str">
        <f t="shared" si="2"/>
        <v/>
      </c>
      <c r="AI1182" s="17" t="str">
        <f>IF(AG1182="","",INDEX('Quitados DUPP'!$G$1:$G$6635,AG1182))</f>
        <v/>
      </c>
      <c r="AJ1182" s="17" t="str">
        <f t="shared" si="3"/>
        <v/>
      </c>
    </row>
    <row r="1183" spans="31:36">
      <c r="AE1183" s="15" t="str">
        <f t="shared" si="0"/>
        <v/>
      </c>
      <c r="AF1183" s="15" t="str">
        <f t="shared" si="1"/>
        <v/>
      </c>
      <c r="AG1183" s="15" t="str">
        <f>IF(OR(AF1183="",AF1183="ERRO_CHAVE"),"",IFERROR(MATCH(AF1183,'Quitados DUPP'!$U$1:$U$6635,0),""))</f>
        <v/>
      </c>
      <c r="AH1183" s="15" t="str">
        <f t="shared" si="2"/>
        <v/>
      </c>
      <c r="AI1183" s="17" t="str">
        <f>IF(AG1183="","",INDEX('Quitados DUPP'!$G$1:$G$6635,AG1183))</f>
        <v/>
      </c>
      <c r="AJ1183" s="17" t="str">
        <f t="shared" si="3"/>
        <v/>
      </c>
    </row>
    <row r="1184" spans="31:36">
      <c r="AE1184" s="15" t="str">
        <f t="shared" si="0"/>
        <v/>
      </c>
      <c r="AF1184" s="15" t="str">
        <f t="shared" si="1"/>
        <v/>
      </c>
      <c r="AG1184" s="15" t="str">
        <f>IF(OR(AF1184="",AF1184="ERRO_CHAVE"),"",IFERROR(MATCH(AF1184,'Quitados DUPP'!$U$1:$U$6635,0),""))</f>
        <v/>
      </c>
      <c r="AH1184" s="15" t="str">
        <f t="shared" si="2"/>
        <v/>
      </c>
      <c r="AI1184" s="17" t="str">
        <f>IF(AG1184="","",INDEX('Quitados DUPP'!$G$1:$G$6635,AG1184))</f>
        <v/>
      </c>
      <c r="AJ1184" s="17" t="str">
        <f t="shared" si="3"/>
        <v/>
      </c>
    </row>
    <row r="1185" spans="31:36">
      <c r="AE1185" s="15" t="str">
        <f t="shared" si="0"/>
        <v/>
      </c>
      <c r="AF1185" s="15" t="str">
        <f t="shared" si="1"/>
        <v/>
      </c>
      <c r="AG1185" s="15" t="str">
        <f>IF(OR(AF1185="",AF1185="ERRO_CHAVE"),"",IFERROR(MATCH(AF1185,'Quitados DUPP'!$U$1:$U$6635,0),""))</f>
        <v/>
      </c>
      <c r="AH1185" s="15" t="str">
        <f t="shared" si="2"/>
        <v/>
      </c>
      <c r="AI1185" s="17" t="str">
        <f>IF(AG1185="","",INDEX('Quitados DUPP'!$G$1:$G$6635,AG1185))</f>
        <v/>
      </c>
      <c r="AJ1185" s="17" t="str">
        <f t="shared" si="3"/>
        <v/>
      </c>
    </row>
    <row r="1186" spans="31:36">
      <c r="AE1186" s="15" t="str">
        <f t="shared" si="0"/>
        <v/>
      </c>
      <c r="AF1186" s="15" t="str">
        <f t="shared" si="1"/>
        <v/>
      </c>
      <c r="AG1186" s="15" t="str">
        <f>IF(OR(AF1186="",AF1186="ERRO_CHAVE"),"",IFERROR(MATCH(AF1186,'Quitados DUPP'!$U$1:$U$6635,0),""))</f>
        <v/>
      </c>
      <c r="AH1186" s="15" t="str">
        <f t="shared" si="2"/>
        <v/>
      </c>
      <c r="AI1186" s="17" t="str">
        <f>IF(AG1186="","",INDEX('Quitados DUPP'!$G$1:$G$6635,AG1186))</f>
        <v/>
      </c>
      <c r="AJ1186" s="17" t="str">
        <f t="shared" si="3"/>
        <v/>
      </c>
    </row>
    <row r="1187" spans="31:36">
      <c r="AE1187" s="15" t="str">
        <f t="shared" si="0"/>
        <v/>
      </c>
      <c r="AF1187" s="15" t="str">
        <f t="shared" si="1"/>
        <v/>
      </c>
      <c r="AG1187" s="15" t="str">
        <f>IF(OR(AF1187="",AF1187="ERRO_CHAVE"),"",IFERROR(MATCH(AF1187,'Quitados DUPP'!$U$1:$U$6635,0),""))</f>
        <v/>
      </c>
      <c r="AH1187" s="15" t="str">
        <f t="shared" si="2"/>
        <v/>
      </c>
      <c r="AI1187" s="17" t="str">
        <f>IF(AG1187="","",INDEX('Quitados DUPP'!$G$1:$G$6635,AG1187))</f>
        <v/>
      </c>
      <c r="AJ1187" s="17" t="str">
        <f t="shared" si="3"/>
        <v/>
      </c>
    </row>
    <row r="1188" spans="31:36">
      <c r="AE1188" s="15" t="str">
        <f t="shared" si="0"/>
        <v/>
      </c>
      <c r="AF1188" s="15" t="str">
        <f t="shared" si="1"/>
        <v/>
      </c>
      <c r="AG1188" s="15" t="str">
        <f>IF(OR(AF1188="",AF1188="ERRO_CHAVE"),"",IFERROR(MATCH(AF1188,'Quitados DUPP'!$U$1:$U$6635,0),""))</f>
        <v/>
      </c>
      <c r="AH1188" s="15" t="str">
        <f t="shared" si="2"/>
        <v/>
      </c>
      <c r="AI1188" s="17" t="str">
        <f>IF(AG1188="","",INDEX('Quitados DUPP'!$G$1:$G$6635,AG1188))</f>
        <v/>
      </c>
      <c r="AJ1188" s="17" t="str">
        <f t="shared" si="3"/>
        <v/>
      </c>
    </row>
    <row r="1189" spans="31:36">
      <c r="AE1189" s="15" t="str">
        <f t="shared" si="0"/>
        <v/>
      </c>
      <c r="AF1189" s="15" t="str">
        <f t="shared" si="1"/>
        <v/>
      </c>
      <c r="AG1189" s="15" t="str">
        <f>IF(OR(AF1189="",AF1189="ERRO_CHAVE"),"",IFERROR(MATCH(AF1189,'Quitados DUPP'!$U$1:$U$6635,0),""))</f>
        <v/>
      </c>
      <c r="AH1189" s="15" t="str">
        <f t="shared" si="2"/>
        <v/>
      </c>
      <c r="AI1189" s="17" t="str">
        <f>IF(AG1189="","",INDEX('Quitados DUPP'!$G$1:$G$6635,AG1189))</f>
        <v/>
      </c>
      <c r="AJ1189" s="17" t="str">
        <f t="shared" si="3"/>
        <v/>
      </c>
    </row>
    <row r="1190" spans="31:36">
      <c r="AE1190" s="15" t="str">
        <f t="shared" si="0"/>
        <v/>
      </c>
      <c r="AF1190" s="15" t="str">
        <f t="shared" si="1"/>
        <v/>
      </c>
      <c r="AG1190" s="15" t="str">
        <f>IF(OR(AF1190="",AF1190="ERRO_CHAVE"),"",IFERROR(MATCH(AF1190,'Quitados DUPP'!$U$1:$U$6635,0),""))</f>
        <v/>
      </c>
      <c r="AH1190" s="15" t="str">
        <f t="shared" si="2"/>
        <v/>
      </c>
      <c r="AI1190" s="17" t="str">
        <f>IF(AG1190="","",INDEX('Quitados DUPP'!$G$1:$G$6635,AG1190))</f>
        <v/>
      </c>
      <c r="AJ1190" s="17" t="str">
        <f t="shared" si="3"/>
        <v/>
      </c>
    </row>
    <row r="1191" spans="31:36">
      <c r="AE1191" s="15" t="str">
        <f t="shared" si="0"/>
        <v/>
      </c>
      <c r="AF1191" s="15" t="str">
        <f t="shared" si="1"/>
        <v/>
      </c>
      <c r="AG1191" s="15" t="str">
        <f>IF(OR(AF1191="",AF1191="ERRO_CHAVE"),"",IFERROR(MATCH(AF1191,'Quitados DUPP'!$U$1:$U$6635,0),""))</f>
        <v/>
      </c>
      <c r="AH1191" s="15" t="str">
        <f t="shared" si="2"/>
        <v/>
      </c>
      <c r="AI1191" s="17" t="str">
        <f>IF(AG1191="","",INDEX('Quitados DUPP'!$G$1:$G$6635,AG1191))</f>
        <v/>
      </c>
      <c r="AJ1191" s="17" t="str">
        <f t="shared" si="3"/>
        <v/>
      </c>
    </row>
    <row r="1192" spans="31:36">
      <c r="AE1192" s="15" t="str">
        <f t="shared" si="0"/>
        <v/>
      </c>
      <c r="AF1192" s="15" t="str">
        <f t="shared" si="1"/>
        <v/>
      </c>
      <c r="AG1192" s="15" t="str">
        <f>IF(OR(AF1192="",AF1192="ERRO_CHAVE"),"",IFERROR(MATCH(AF1192,'Quitados DUPP'!$U$1:$U$6635,0),""))</f>
        <v/>
      </c>
      <c r="AH1192" s="15" t="str">
        <f t="shared" si="2"/>
        <v/>
      </c>
      <c r="AI1192" s="17" t="str">
        <f>IF(AG1192="","",INDEX('Quitados DUPP'!$G$1:$G$6635,AG1192))</f>
        <v/>
      </c>
      <c r="AJ1192" s="17" t="str">
        <f t="shared" si="3"/>
        <v/>
      </c>
    </row>
    <row r="1193" spans="31:36">
      <c r="AE1193" s="15" t="str">
        <f t="shared" si="0"/>
        <v/>
      </c>
      <c r="AF1193" s="15" t="str">
        <f t="shared" si="1"/>
        <v/>
      </c>
      <c r="AG1193" s="15" t="str">
        <f>IF(OR(AF1193="",AF1193="ERRO_CHAVE"),"",IFERROR(MATCH(AF1193,'Quitados DUPP'!$U$1:$U$6635,0),""))</f>
        <v/>
      </c>
      <c r="AH1193" s="15" t="str">
        <f t="shared" si="2"/>
        <v/>
      </c>
      <c r="AI1193" s="17" t="str">
        <f>IF(AG1193="","",INDEX('Quitados DUPP'!$G$1:$G$6635,AG1193))</f>
        <v/>
      </c>
      <c r="AJ1193" s="17" t="str">
        <f t="shared" si="3"/>
        <v/>
      </c>
    </row>
    <row r="1194" spans="31:36">
      <c r="AE1194" s="15" t="str">
        <f t="shared" si="0"/>
        <v/>
      </c>
      <c r="AF1194" s="15" t="str">
        <f t="shared" si="1"/>
        <v/>
      </c>
      <c r="AG1194" s="15" t="str">
        <f>IF(OR(AF1194="",AF1194="ERRO_CHAVE"),"",IFERROR(MATCH(AF1194,'Quitados DUPP'!$U$1:$U$6635,0),""))</f>
        <v/>
      </c>
      <c r="AH1194" s="15" t="str">
        <f t="shared" si="2"/>
        <v/>
      </c>
      <c r="AI1194" s="17" t="str">
        <f>IF(AG1194="","",INDEX('Quitados DUPP'!$G$1:$G$6635,AG1194))</f>
        <v/>
      </c>
      <c r="AJ1194" s="17" t="str">
        <f t="shared" si="3"/>
        <v/>
      </c>
    </row>
    <row r="1195" spans="31:36">
      <c r="AE1195" s="15" t="str">
        <f t="shared" si="0"/>
        <v/>
      </c>
      <c r="AF1195" s="15" t="str">
        <f t="shared" si="1"/>
        <v/>
      </c>
      <c r="AG1195" s="15" t="str">
        <f>IF(OR(AF1195="",AF1195="ERRO_CHAVE"),"",IFERROR(MATCH(AF1195,'Quitados DUPP'!$U$1:$U$6635,0),""))</f>
        <v/>
      </c>
      <c r="AH1195" s="15" t="str">
        <f t="shared" si="2"/>
        <v/>
      </c>
      <c r="AI1195" s="17" t="str">
        <f>IF(AG1195="","",INDEX('Quitados DUPP'!$G$1:$G$6635,AG1195))</f>
        <v/>
      </c>
      <c r="AJ1195" s="17" t="str">
        <f t="shared" si="3"/>
        <v/>
      </c>
    </row>
    <row r="1196" spans="31:36">
      <c r="AE1196" s="15" t="str">
        <f t="shared" si="0"/>
        <v/>
      </c>
      <c r="AF1196" s="15" t="str">
        <f t="shared" si="1"/>
        <v/>
      </c>
      <c r="AG1196" s="15" t="str">
        <f>IF(OR(AF1196="",AF1196="ERRO_CHAVE"),"",IFERROR(MATCH(AF1196,'Quitados DUPP'!$U$1:$U$6635,0),""))</f>
        <v/>
      </c>
      <c r="AH1196" s="15" t="str">
        <f t="shared" si="2"/>
        <v/>
      </c>
      <c r="AI1196" s="17" t="str">
        <f>IF(AG1196="","",INDEX('Quitados DUPP'!$G$1:$G$6635,AG1196))</f>
        <v/>
      </c>
      <c r="AJ1196" s="17" t="str">
        <f t="shared" si="3"/>
        <v/>
      </c>
    </row>
    <row r="1197" spans="31:36">
      <c r="AE1197" s="15" t="str">
        <f t="shared" si="0"/>
        <v/>
      </c>
      <c r="AF1197" s="15" t="str">
        <f t="shared" si="1"/>
        <v/>
      </c>
      <c r="AG1197" s="15" t="str">
        <f>IF(OR(AF1197="",AF1197="ERRO_CHAVE"),"",IFERROR(MATCH(AF1197,'Quitados DUPP'!$U$1:$U$6635,0),""))</f>
        <v/>
      </c>
      <c r="AH1197" s="15" t="str">
        <f t="shared" si="2"/>
        <v/>
      </c>
      <c r="AI1197" s="17" t="str">
        <f>IF(AG1197="","",INDEX('Quitados DUPP'!$G$1:$G$6635,AG1197))</f>
        <v/>
      </c>
      <c r="AJ1197" s="17" t="str">
        <f t="shared" si="3"/>
        <v/>
      </c>
    </row>
    <row r="1198" spans="31:36">
      <c r="AE1198" s="15" t="str">
        <f t="shared" si="0"/>
        <v/>
      </c>
      <c r="AF1198" s="15" t="str">
        <f t="shared" si="1"/>
        <v/>
      </c>
      <c r="AG1198" s="15" t="str">
        <f>IF(OR(AF1198="",AF1198="ERRO_CHAVE"),"",IFERROR(MATCH(AF1198,'Quitados DUPP'!$U$1:$U$6635,0),""))</f>
        <v/>
      </c>
      <c r="AH1198" s="15" t="str">
        <f t="shared" si="2"/>
        <v/>
      </c>
      <c r="AI1198" s="17" t="str">
        <f>IF(AG1198="","",INDEX('Quitados DUPP'!$G$1:$G$6635,AG1198))</f>
        <v/>
      </c>
      <c r="AJ1198" s="17" t="str">
        <f t="shared" si="3"/>
        <v/>
      </c>
    </row>
    <row r="1199" spans="31:36">
      <c r="AE1199" s="15" t="str">
        <f t="shared" si="0"/>
        <v/>
      </c>
      <c r="AF1199" s="15" t="str">
        <f t="shared" si="1"/>
        <v/>
      </c>
      <c r="AG1199" s="15" t="str">
        <f>IF(OR(AF1199="",AF1199="ERRO_CHAVE"),"",IFERROR(MATCH(AF1199,'Quitados DUPP'!$U$1:$U$6635,0),""))</f>
        <v/>
      </c>
      <c r="AH1199" s="15" t="str">
        <f t="shared" si="2"/>
        <v/>
      </c>
      <c r="AI1199" s="17" t="str">
        <f>IF(AG1199="","",INDEX('Quitados DUPP'!$G$1:$G$6635,AG1199))</f>
        <v/>
      </c>
      <c r="AJ1199" s="17" t="str">
        <f t="shared" si="3"/>
        <v/>
      </c>
    </row>
    <row r="1200" spans="31:36">
      <c r="AE1200" s="15" t="str">
        <f t="shared" si="0"/>
        <v/>
      </c>
      <c r="AF1200" s="15" t="str">
        <f t="shared" si="1"/>
        <v/>
      </c>
      <c r="AG1200" s="15" t="str">
        <f>IF(OR(AF1200="",AF1200="ERRO_CHAVE"),"",IFERROR(MATCH(AF1200,'Quitados DUPP'!$U$1:$U$6635,0),""))</f>
        <v/>
      </c>
      <c r="AH1200" s="15" t="str">
        <f t="shared" si="2"/>
        <v/>
      </c>
      <c r="AI1200" s="17" t="str">
        <f>IF(AG1200="","",INDEX('Quitados DUPP'!$G$1:$G$6635,AG1200))</f>
        <v/>
      </c>
      <c r="AJ1200" s="17" t="str">
        <f t="shared" si="3"/>
        <v/>
      </c>
    </row>
    <row r="1201" spans="31:36">
      <c r="AE1201" s="15" t="str">
        <f t="shared" si="0"/>
        <v/>
      </c>
      <c r="AF1201" s="15" t="str">
        <f t="shared" si="1"/>
        <v/>
      </c>
      <c r="AG1201" s="15" t="str">
        <f>IF(OR(AF1201="",AF1201="ERRO_CHAVE"),"",IFERROR(MATCH(AF1201,'Quitados DUPP'!$U$1:$U$6635,0),""))</f>
        <v/>
      </c>
      <c r="AH1201" s="15" t="str">
        <f t="shared" si="2"/>
        <v/>
      </c>
      <c r="AI1201" s="17" t="str">
        <f>IF(AG1201="","",INDEX('Quitados DUPP'!$G$1:$G$6635,AG1201))</f>
        <v/>
      </c>
      <c r="AJ1201" s="17" t="str">
        <f t="shared" si="3"/>
        <v/>
      </c>
    </row>
    <row r="1202" spans="31:36">
      <c r="AE1202" s="15" t="str">
        <f t="shared" si="0"/>
        <v/>
      </c>
      <c r="AF1202" s="15" t="str">
        <f t="shared" si="1"/>
        <v/>
      </c>
      <c r="AG1202" s="15" t="str">
        <f>IF(OR(AF1202="",AF1202="ERRO_CHAVE"),"",IFERROR(MATCH(AF1202,'Quitados DUPP'!$U$1:$U$6635,0),""))</f>
        <v/>
      </c>
      <c r="AH1202" s="15" t="str">
        <f t="shared" si="2"/>
        <v/>
      </c>
      <c r="AI1202" s="17" t="str">
        <f>IF(AG1202="","",INDEX('Quitados DUPP'!$G$1:$G$6635,AG1202))</f>
        <v/>
      </c>
      <c r="AJ1202" s="17" t="str">
        <f t="shared" si="3"/>
        <v/>
      </c>
    </row>
    <row r="1203" spans="31:36">
      <c r="AE1203" s="15" t="str">
        <f t="shared" si="0"/>
        <v/>
      </c>
      <c r="AF1203" s="15" t="str">
        <f t="shared" si="1"/>
        <v/>
      </c>
      <c r="AG1203" s="15" t="str">
        <f>IF(OR(AF1203="",AF1203="ERRO_CHAVE"),"",IFERROR(MATCH(AF1203,'Quitados DUPP'!$U$1:$U$6635,0),""))</f>
        <v/>
      </c>
      <c r="AH1203" s="15" t="str">
        <f t="shared" si="2"/>
        <v/>
      </c>
      <c r="AI1203" s="17" t="str">
        <f>IF(AG1203="","",INDEX('Quitados DUPP'!$G$1:$G$6635,AG1203))</f>
        <v/>
      </c>
      <c r="AJ1203" s="17" t="str">
        <f t="shared" si="3"/>
        <v/>
      </c>
    </row>
    <row r="1204" spans="31:36">
      <c r="AE1204" s="15" t="str">
        <f t="shared" si="0"/>
        <v/>
      </c>
      <c r="AF1204" s="15" t="str">
        <f t="shared" si="1"/>
        <v/>
      </c>
      <c r="AG1204" s="15" t="str">
        <f>IF(OR(AF1204="",AF1204="ERRO_CHAVE"),"",IFERROR(MATCH(AF1204,'Quitados DUPP'!$U$1:$U$6635,0),""))</f>
        <v/>
      </c>
      <c r="AH1204" s="15" t="str">
        <f t="shared" si="2"/>
        <v/>
      </c>
      <c r="AI1204" s="17" t="str">
        <f>IF(AG1204="","",INDEX('Quitados DUPP'!$G$1:$G$6635,AG1204))</f>
        <v/>
      </c>
      <c r="AJ1204" s="17" t="str">
        <f t="shared" si="3"/>
        <v/>
      </c>
    </row>
    <row r="1205" spans="31:36">
      <c r="AE1205" s="15" t="str">
        <f t="shared" si="0"/>
        <v/>
      </c>
      <c r="AF1205" s="15" t="str">
        <f t="shared" si="1"/>
        <v/>
      </c>
      <c r="AG1205" s="15" t="str">
        <f>IF(OR(AF1205="",AF1205="ERRO_CHAVE"),"",IFERROR(MATCH(AF1205,'Quitados DUPP'!$U$1:$U$6635,0),""))</f>
        <v/>
      </c>
      <c r="AH1205" s="15" t="str">
        <f t="shared" si="2"/>
        <v/>
      </c>
      <c r="AI1205" s="17" t="str">
        <f>IF(AG1205="","",INDEX('Quitados DUPP'!$G$1:$G$6635,AG1205))</f>
        <v/>
      </c>
      <c r="AJ1205" s="17" t="str">
        <f t="shared" si="3"/>
        <v/>
      </c>
    </row>
    <row r="1206" spans="31:36">
      <c r="AE1206" s="15" t="str">
        <f t="shared" si="0"/>
        <v/>
      </c>
      <c r="AF1206" s="15" t="str">
        <f t="shared" si="1"/>
        <v/>
      </c>
      <c r="AG1206" s="15" t="str">
        <f>IF(OR(AF1206="",AF1206="ERRO_CHAVE"),"",IFERROR(MATCH(AF1206,'Quitados DUPP'!$U$1:$U$6635,0),""))</f>
        <v/>
      </c>
      <c r="AH1206" s="15" t="str">
        <f t="shared" si="2"/>
        <v/>
      </c>
      <c r="AI1206" s="17" t="str">
        <f>IF(AG1206="","",INDEX('Quitados DUPP'!$G$1:$G$6635,AG1206))</f>
        <v/>
      </c>
      <c r="AJ1206" s="17" t="str">
        <f t="shared" si="3"/>
        <v/>
      </c>
    </row>
    <row r="1207" spans="31:36">
      <c r="AE1207" s="15" t="str">
        <f t="shared" si="0"/>
        <v/>
      </c>
      <c r="AF1207" s="15" t="str">
        <f t="shared" si="1"/>
        <v/>
      </c>
      <c r="AG1207" s="15" t="str">
        <f>IF(OR(AF1207="",AF1207="ERRO_CHAVE"),"",IFERROR(MATCH(AF1207,'Quitados DUPP'!$U$1:$U$6635,0),""))</f>
        <v/>
      </c>
      <c r="AH1207" s="15" t="str">
        <f t="shared" si="2"/>
        <v/>
      </c>
      <c r="AI1207" s="17" t="str">
        <f>IF(AG1207="","",INDEX('Quitados DUPP'!$G$1:$G$6635,AG1207))</f>
        <v/>
      </c>
      <c r="AJ1207" s="17" t="str">
        <f t="shared" si="3"/>
        <v/>
      </c>
    </row>
    <row r="1208" spans="31:36">
      <c r="AE1208" s="15" t="str">
        <f t="shared" si="0"/>
        <v/>
      </c>
      <c r="AF1208" s="15" t="str">
        <f t="shared" si="1"/>
        <v/>
      </c>
      <c r="AG1208" s="15" t="str">
        <f>IF(OR(AF1208="",AF1208="ERRO_CHAVE"),"",IFERROR(MATCH(AF1208,'Quitados DUPP'!$U$1:$U$6635,0),""))</f>
        <v/>
      </c>
      <c r="AH1208" s="15" t="str">
        <f t="shared" si="2"/>
        <v/>
      </c>
      <c r="AI1208" s="17" t="str">
        <f>IF(AG1208="","",INDEX('Quitados DUPP'!$G$1:$G$6635,AG1208))</f>
        <v/>
      </c>
      <c r="AJ1208" s="17" t="str">
        <f t="shared" si="3"/>
        <v/>
      </c>
    </row>
    <row r="1209" spans="31:36">
      <c r="AE1209" s="15" t="str">
        <f t="shared" si="0"/>
        <v/>
      </c>
      <c r="AF1209" s="15" t="str">
        <f t="shared" si="1"/>
        <v/>
      </c>
      <c r="AG1209" s="15" t="str">
        <f>IF(OR(AF1209="",AF1209="ERRO_CHAVE"),"",IFERROR(MATCH(AF1209,'Quitados DUPP'!$U$1:$U$6635,0),""))</f>
        <v/>
      </c>
      <c r="AH1209" s="15" t="str">
        <f t="shared" si="2"/>
        <v/>
      </c>
      <c r="AI1209" s="17" t="str">
        <f>IF(AG1209="","",INDEX('Quitados DUPP'!$G$1:$G$6635,AG1209))</f>
        <v/>
      </c>
      <c r="AJ1209" s="17" t="str">
        <f t="shared" si="3"/>
        <v/>
      </c>
    </row>
    <row r="1210" spans="31:36">
      <c r="AE1210" s="15" t="str">
        <f t="shared" si="0"/>
        <v/>
      </c>
      <c r="AF1210" s="15" t="str">
        <f t="shared" si="1"/>
        <v/>
      </c>
      <c r="AG1210" s="15" t="str">
        <f>IF(OR(AF1210="",AF1210="ERRO_CHAVE"),"",IFERROR(MATCH(AF1210,'Quitados DUPP'!$U$1:$U$6635,0),""))</f>
        <v/>
      </c>
      <c r="AH1210" s="15" t="str">
        <f t="shared" si="2"/>
        <v/>
      </c>
      <c r="AI1210" s="17" t="str">
        <f>IF(AG1210="","",INDEX('Quitados DUPP'!$G$1:$G$6635,AG1210))</f>
        <v/>
      </c>
      <c r="AJ1210" s="17" t="str">
        <f t="shared" si="3"/>
        <v/>
      </c>
    </row>
    <row r="1211" spans="31:36">
      <c r="AE1211" s="15" t="str">
        <f t="shared" si="0"/>
        <v/>
      </c>
      <c r="AF1211" s="15" t="str">
        <f t="shared" si="1"/>
        <v/>
      </c>
      <c r="AG1211" s="15" t="str">
        <f>IF(OR(AF1211="",AF1211="ERRO_CHAVE"),"",IFERROR(MATCH(AF1211,'Quitados DUPP'!$U$1:$U$6635,0),""))</f>
        <v/>
      </c>
      <c r="AH1211" s="15" t="str">
        <f t="shared" si="2"/>
        <v/>
      </c>
      <c r="AI1211" s="17" t="str">
        <f>IF(AG1211="","",INDEX('Quitados DUPP'!$G$1:$G$6635,AG1211))</f>
        <v/>
      </c>
      <c r="AJ1211" s="17" t="str">
        <f t="shared" si="3"/>
        <v/>
      </c>
    </row>
    <row r="1212" spans="31:36">
      <c r="AE1212" s="15" t="str">
        <f t="shared" si="0"/>
        <v/>
      </c>
      <c r="AF1212" s="15" t="str">
        <f t="shared" si="1"/>
        <v/>
      </c>
      <c r="AG1212" s="15" t="str">
        <f>IF(OR(AF1212="",AF1212="ERRO_CHAVE"),"",IFERROR(MATCH(AF1212,'Quitados DUPP'!$U$1:$U$6635,0),""))</f>
        <v/>
      </c>
      <c r="AH1212" s="15" t="str">
        <f t="shared" si="2"/>
        <v/>
      </c>
      <c r="AI1212" s="17" t="str">
        <f>IF(AG1212="","",INDEX('Quitados DUPP'!$G$1:$G$6635,AG1212))</f>
        <v/>
      </c>
      <c r="AJ1212" s="17" t="str">
        <f t="shared" si="3"/>
        <v/>
      </c>
    </row>
    <row r="1213" spans="31:36">
      <c r="AE1213" s="15" t="str">
        <f t="shared" si="0"/>
        <v/>
      </c>
      <c r="AF1213" s="15" t="str">
        <f t="shared" si="1"/>
        <v/>
      </c>
      <c r="AG1213" s="15" t="str">
        <f>IF(OR(AF1213="",AF1213="ERRO_CHAVE"),"",IFERROR(MATCH(AF1213,'Quitados DUPP'!$U$1:$U$6635,0),""))</f>
        <v/>
      </c>
      <c r="AH1213" s="15" t="str">
        <f t="shared" si="2"/>
        <v/>
      </c>
      <c r="AI1213" s="17" t="str">
        <f>IF(AG1213="","",INDEX('Quitados DUPP'!$G$1:$G$6635,AG1213))</f>
        <v/>
      </c>
      <c r="AJ1213" s="17" t="str">
        <f t="shared" si="3"/>
        <v/>
      </c>
    </row>
    <row r="1214" spans="31:36">
      <c r="AE1214" s="15" t="str">
        <f t="shared" si="0"/>
        <v/>
      </c>
      <c r="AF1214" s="15" t="str">
        <f t="shared" si="1"/>
        <v/>
      </c>
      <c r="AG1214" s="15" t="str">
        <f>IF(OR(AF1214="",AF1214="ERRO_CHAVE"),"",IFERROR(MATCH(AF1214,'Quitados DUPP'!$U$1:$U$6635,0),""))</f>
        <v/>
      </c>
      <c r="AH1214" s="15" t="str">
        <f t="shared" si="2"/>
        <v/>
      </c>
      <c r="AI1214" s="17" t="str">
        <f>IF(AG1214="","",INDEX('Quitados DUPP'!$G$1:$G$6635,AG1214))</f>
        <v/>
      </c>
      <c r="AJ1214" s="17" t="str">
        <f t="shared" si="3"/>
        <v/>
      </c>
    </row>
    <row r="1215" spans="31:36">
      <c r="AE1215" s="15" t="str">
        <f t="shared" si="0"/>
        <v/>
      </c>
      <c r="AF1215" s="15" t="str">
        <f t="shared" si="1"/>
        <v/>
      </c>
      <c r="AG1215" s="15" t="str">
        <f>IF(OR(AF1215="",AF1215="ERRO_CHAVE"),"",IFERROR(MATCH(AF1215,'Quitados DUPP'!$U$1:$U$6635,0),""))</f>
        <v/>
      </c>
      <c r="AH1215" s="15" t="str">
        <f t="shared" si="2"/>
        <v/>
      </c>
      <c r="AI1215" s="17" t="str">
        <f>IF(AG1215="","",INDEX('Quitados DUPP'!$G$1:$G$6635,AG1215))</f>
        <v/>
      </c>
      <c r="AJ1215" s="17" t="str">
        <f t="shared" si="3"/>
        <v/>
      </c>
    </row>
    <row r="1216" spans="31:36">
      <c r="AE1216" s="15" t="str">
        <f t="shared" si="0"/>
        <v/>
      </c>
      <c r="AF1216" s="15" t="str">
        <f t="shared" si="1"/>
        <v/>
      </c>
      <c r="AG1216" s="15" t="str">
        <f>IF(OR(AF1216="",AF1216="ERRO_CHAVE"),"",IFERROR(MATCH(AF1216,'Quitados DUPP'!$U$1:$U$6635,0),""))</f>
        <v/>
      </c>
      <c r="AH1216" s="15" t="str">
        <f t="shared" si="2"/>
        <v/>
      </c>
      <c r="AI1216" s="17" t="str">
        <f>IF(AG1216="","",INDEX('Quitados DUPP'!$G$1:$G$6635,AG1216))</f>
        <v/>
      </c>
      <c r="AJ1216" s="17" t="str">
        <f t="shared" si="3"/>
        <v/>
      </c>
    </row>
    <row r="1217" spans="31:36">
      <c r="AE1217" s="15" t="str">
        <f t="shared" si="0"/>
        <v/>
      </c>
      <c r="AF1217" s="15" t="str">
        <f t="shared" si="1"/>
        <v/>
      </c>
      <c r="AG1217" s="15" t="str">
        <f>IF(OR(AF1217="",AF1217="ERRO_CHAVE"),"",IFERROR(MATCH(AF1217,'Quitados DUPP'!$U$1:$U$6635,0),""))</f>
        <v/>
      </c>
      <c r="AH1217" s="15" t="str">
        <f t="shared" si="2"/>
        <v/>
      </c>
      <c r="AI1217" s="17" t="str">
        <f>IF(AG1217="","",INDEX('Quitados DUPP'!$G$1:$G$6635,AG1217))</f>
        <v/>
      </c>
      <c r="AJ1217" s="17" t="str">
        <f t="shared" si="3"/>
        <v/>
      </c>
    </row>
    <row r="1218" spans="31:36">
      <c r="AE1218" s="15" t="str">
        <f t="shared" si="0"/>
        <v/>
      </c>
      <c r="AF1218" s="15" t="str">
        <f t="shared" si="1"/>
        <v/>
      </c>
      <c r="AG1218" s="15" t="str">
        <f>IF(OR(AF1218="",AF1218="ERRO_CHAVE"),"",IFERROR(MATCH(AF1218,'Quitados DUPP'!$U$1:$U$6635,0),""))</f>
        <v/>
      </c>
      <c r="AH1218" s="15" t="str">
        <f t="shared" si="2"/>
        <v/>
      </c>
      <c r="AI1218" s="17" t="str">
        <f>IF(AG1218="","",INDEX('Quitados DUPP'!$G$1:$G$6635,AG1218))</f>
        <v/>
      </c>
      <c r="AJ1218" s="17" t="str">
        <f t="shared" si="3"/>
        <v/>
      </c>
    </row>
    <row r="1219" spans="31:36">
      <c r="AE1219" s="15" t="str">
        <f t="shared" si="0"/>
        <v/>
      </c>
      <c r="AF1219" s="15" t="str">
        <f t="shared" si="1"/>
        <v/>
      </c>
      <c r="AG1219" s="15" t="str">
        <f>IF(OR(AF1219="",AF1219="ERRO_CHAVE"),"",IFERROR(MATCH(AF1219,'Quitados DUPP'!$U$1:$U$6635,0),""))</f>
        <v/>
      </c>
      <c r="AH1219" s="15" t="str">
        <f t="shared" si="2"/>
        <v/>
      </c>
      <c r="AI1219" s="17" t="str">
        <f>IF(AG1219="","",INDEX('Quitados DUPP'!$G$1:$G$6635,AG1219))</f>
        <v/>
      </c>
      <c r="AJ1219" s="17" t="str">
        <f t="shared" si="3"/>
        <v/>
      </c>
    </row>
    <row r="1220" spans="31:36">
      <c r="AE1220" s="15" t="str">
        <f t="shared" si="0"/>
        <v/>
      </c>
      <c r="AF1220" s="15" t="str">
        <f t="shared" si="1"/>
        <v/>
      </c>
      <c r="AG1220" s="15" t="str">
        <f>IF(OR(AF1220="",AF1220="ERRO_CHAVE"),"",IFERROR(MATCH(AF1220,'Quitados DUPP'!$U$1:$U$6635,0),""))</f>
        <v/>
      </c>
      <c r="AH1220" s="15" t="str">
        <f t="shared" si="2"/>
        <v/>
      </c>
      <c r="AI1220" s="17" t="str">
        <f>IF(AG1220="","",INDEX('Quitados DUPP'!$G$1:$G$6635,AG1220))</f>
        <v/>
      </c>
      <c r="AJ1220" s="17" t="str">
        <f t="shared" si="3"/>
        <v/>
      </c>
    </row>
    <row r="1221" spans="31:36">
      <c r="AE1221" s="15" t="str">
        <f t="shared" si="0"/>
        <v/>
      </c>
      <c r="AF1221" s="15" t="str">
        <f t="shared" si="1"/>
        <v/>
      </c>
      <c r="AG1221" s="15" t="str">
        <f>IF(OR(AF1221="",AF1221="ERRO_CHAVE"),"",IFERROR(MATCH(AF1221,'Quitados DUPP'!$U$1:$U$6635,0),""))</f>
        <v/>
      </c>
      <c r="AH1221" s="15" t="str">
        <f t="shared" si="2"/>
        <v/>
      </c>
      <c r="AI1221" s="17" t="str">
        <f>IF(AG1221="","",INDEX('Quitados DUPP'!$G$1:$G$6635,AG1221))</f>
        <v/>
      </c>
      <c r="AJ1221" s="17" t="str">
        <f t="shared" si="3"/>
        <v/>
      </c>
    </row>
    <row r="1222" spans="31:36">
      <c r="AE1222" s="15" t="str">
        <f t="shared" si="0"/>
        <v/>
      </c>
      <c r="AF1222" s="15" t="str">
        <f t="shared" si="1"/>
        <v/>
      </c>
      <c r="AG1222" s="15" t="str">
        <f>IF(OR(AF1222="",AF1222="ERRO_CHAVE"),"",IFERROR(MATCH(AF1222,'Quitados DUPP'!$U$1:$U$6635,0),""))</f>
        <v/>
      </c>
      <c r="AH1222" s="15" t="str">
        <f t="shared" si="2"/>
        <v/>
      </c>
      <c r="AI1222" s="17" t="str">
        <f>IF(AG1222="","",INDEX('Quitados DUPP'!$G$1:$G$6635,AG1222))</f>
        <v/>
      </c>
      <c r="AJ1222" s="17" t="str">
        <f t="shared" si="3"/>
        <v/>
      </c>
    </row>
    <row r="1223" spans="31:36">
      <c r="AE1223" s="15" t="str">
        <f t="shared" si="0"/>
        <v/>
      </c>
      <c r="AF1223" s="15" t="str">
        <f t="shared" si="1"/>
        <v/>
      </c>
      <c r="AG1223" s="15" t="str">
        <f>IF(OR(AF1223="",AF1223="ERRO_CHAVE"),"",IFERROR(MATCH(AF1223,'Quitados DUPP'!$U$1:$U$6635,0),""))</f>
        <v/>
      </c>
      <c r="AH1223" s="15" t="str">
        <f t="shared" si="2"/>
        <v/>
      </c>
      <c r="AI1223" s="17" t="str">
        <f>IF(AG1223="","",INDEX('Quitados DUPP'!$G$1:$G$6635,AG1223))</f>
        <v/>
      </c>
      <c r="AJ1223" s="17" t="str">
        <f t="shared" si="3"/>
        <v/>
      </c>
    </row>
    <row r="1224" spans="31:36">
      <c r="AE1224" s="15" t="str">
        <f t="shared" si="0"/>
        <v/>
      </c>
      <c r="AF1224" s="15" t="str">
        <f t="shared" si="1"/>
        <v/>
      </c>
      <c r="AG1224" s="15" t="str">
        <f>IF(OR(AF1224="",AF1224="ERRO_CHAVE"),"",IFERROR(MATCH(AF1224,'Quitados DUPP'!$U$1:$U$6635,0),""))</f>
        <v/>
      </c>
      <c r="AH1224" s="15" t="str">
        <f t="shared" si="2"/>
        <v/>
      </c>
      <c r="AI1224" s="17" t="str">
        <f>IF(AG1224="","",INDEX('Quitados DUPP'!$G$1:$G$6635,AG1224))</f>
        <v/>
      </c>
      <c r="AJ1224" s="17" t="str">
        <f t="shared" si="3"/>
        <v/>
      </c>
    </row>
    <row r="1225" spans="31:36">
      <c r="AE1225" s="15" t="str">
        <f t="shared" si="0"/>
        <v/>
      </c>
      <c r="AF1225" s="15" t="str">
        <f t="shared" si="1"/>
        <v/>
      </c>
      <c r="AG1225" s="15" t="str">
        <f>IF(OR(AF1225="",AF1225="ERRO_CHAVE"),"",IFERROR(MATCH(AF1225,'Quitados DUPP'!$U$1:$U$6635,0),""))</f>
        <v/>
      </c>
      <c r="AH1225" s="15" t="str">
        <f t="shared" si="2"/>
        <v/>
      </c>
      <c r="AI1225" s="17" t="str">
        <f>IF(AG1225="","",INDEX('Quitados DUPP'!$G$1:$G$6635,AG1225))</f>
        <v/>
      </c>
      <c r="AJ1225" s="17" t="str">
        <f t="shared" si="3"/>
        <v/>
      </c>
    </row>
    <row r="1226" spans="31:36">
      <c r="AE1226" s="15" t="str">
        <f t="shared" si="0"/>
        <v/>
      </c>
      <c r="AF1226" s="15" t="str">
        <f t="shared" si="1"/>
        <v/>
      </c>
      <c r="AG1226" s="15" t="str">
        <f>IF(OR(AF1226="",AF1226="ERRO_CHAVE"),"",IFERROR(MATCH(AF1226,'Quitados DUPP'!$U$1:$U$6635,0),""))</f>
        <v/>
      </c>
      <c r="AH1226" s="15" t="str">
        <f t="shared" si="2"/>
        <v/>
      </c>
      <c r="AI1226" s="17" t="str">
        <f>IF(AG1226="","",INDEX('Quitados DUPP'!$G$1:$G$6635,AG1226))</f>
        <v/>
      </c>
      <c r="AJ1226" s="17" t="str">
        <f t="shared" si="3"/>
        <v/>
      </c>
    </row>
    <row r="1227" spans="31:36">
      <c r="AE1227" s="15" t="str">
        <f t="shared" si="0"/>
        <v/>
      </c>
      <c r="AF1227" s="15" t="str">
        <f t="shared" si="1"/>
        <v/>
      </c>
      <c r="AG1227" s="15" t="str">
        <f>IF(OR(AF1227="",AF1227="ERRO_CHAVE"),"",IFERROR(MATCH(AF1227,'Quitados DUPP'!$U$1:$U$6635,0),""))</f>
        <v/>
      </c>
      <c r="AH1227" s="15" t="str">
        <f t="shared" si="2"/>
        <v/>
      </c>
      <c r="AI1227" s="17" t="str">
        <f>IF(AG1227="","",INDEX('Quitados DUPP'!$G$1:$G$6635,AG1227))</f>
        <v/>
      </c>
      <c r="AJ1227" s="17" t="str">
        <f t="shared" si="3"/>
        <v/>
      </c>
    </row>
    <row r="1228" spans="31:36">
      <c r="AE1228" s="15" t="str">
        <f t="shared" si="0"/>
        <v/>
      </c>
      <c r="AF1228" s="15" t="str">
        <f t="shared" si="1"/>
        <v/>
      </c>
      <c r="AG1228" s="15" t="str">
        <f>IF(OR(AF1228="",AF1228="ERRO_CHAVE"),"",IFERROR(MATCH(AF1228,'Quitados DUPP'!$U$1:$U$6635,0),""))</f>
        <v/>
      </c>
      <c r="AH1228" s="15" t="str">
        <f t="shared" si="2"/>
        <v/>
      </c>
      <c r="AI1228" s="17" t="str">
        <f>IF(AG1228="","",INDEX('Quitados DUPP'!$G$1:$G$6635,AG1228))</f>
        <v/>
      </c>
      <c r="AJ1228" s="17" t="str">
        <f t="shared" si="3"/>
        <v/>
      </c>
    </row>
    <row r="1229" spans="31:36">
      <c r="AE1229" s="15" t="str">
        <f t="shared" si="0"/>
        <v/>
      </c>
      <c r="AF1229" s="15" t="str">
        <f t="shared" si="1"/>
        <v/>
      </c>
      <c r="AG1229" s="15" t="str">
        <f>IF(OR(AF1229="",AF1229="ERRO_CHAVE"),"",IFERROR(MATCH(AF1229,'Quitados DUPP'!$U$1:$U$6635,0),""))</f>
        <v/>
      </c>
      <c r="AH1229" s="15" t="str">
        <f t="shared" si="2"/>
        <v/>
      </c>
      <c r="AI1229" s="17" t="str">
        <f>IF(AG1229="","",INDEX('Quitados DUPP'!$G$1:$G$6635,AG1229))</f>
        <v/>
      </c>
      <c r="AJ1229" s="17" t="str">
        <f t="shared" si="3"/>
        <v/>
      </c>
    </row>
    <row r="1230" spans="31:36">
      <c r="AE1230" s="15" t="str">
        <f t="shared" si="0"/>
        <v/>
      </c>
      <c r="AF1230" s="15" t="str">
        <f t="shared" si="1"/>
        <v/>
      </c>
      <c r="AG1230" s="15" t="str">
        <f>IF(OR(AF1230="",AF1230="ERRO_CHAVE"),"",IFERROR(MATCH(AF1230,'Quitados DUPP'!$U$1:$U$6635,0),""))</f>
        <v/>
      </c>
      <c r="AH1230" s="15" t="str">
        <f t="shared" si="2"/>
        <v/>
      </c>
      <c r="AI1230" s="17" t="str">
        <f>IF(AG1230="","",INDEX('Quitados DUPP'!$G$1:$G$6635,AG1230))</f>
        <v/>
      </c>
      <c r="AJ1230" s="17" t="str">
        <f t="shared" si="3"/>
        <v/>
      </c>
    </row>
    <row r="1231" spans="31:36">
      <c r="AE1231" s="15" t="str">
        <f t="shared" si="0"/>
        <v/>
      </c>
      <c r="AF1231" s="15" t="str">
        <f t="shared" si="1"/>
        <v/>
      </c>
      <c r="AG1231" s="15" t="str">
        <f>IF(OR(AF1231="",AF1231="ERRO_CHAVE"),"",IFERROR(MATCH(AF1231,'Quitados DUPP'!$U$1:$U$6635,0),""))</f>
        <v/>
      </c>
      <c r="AH1231" s="15" t="str">
        <f t="shared" si="2"/>
        <v/>
      </c>
      <c r="AI1231" s="17" t="str">
        <f>IF(AG1231="","",INDEX('Quitados DUPP'!$G$1:$G$6635,AG1231))</f>
        <v/>
      </c>
      <c r="AJ1231" s="17" t="str">
        <f t="shared" si="3"/>
        <v/>
      </c>
    </row>
    <row r="1232" spans="31:36">
      <c r="AE1232" s="15" t="str">
        <f t="shared" si="0"/>
        <v/>
      </c>
      <c r="AF1232" s="15" t="str">
        <f t="shared" si="1"/>
        <v/>
      </c>
      <c r="AG1232" s="15" t="str">
        <f>IF(OR(AF1232="",AF1232="ERRO_CHAVE"),"",IFERROR(MATCH(AF1232,'Quitados DUPP'!$U$1:$U$6635,0),""))</f>
        <v/>
      </c>
      <c r="AH1232" s="15" t="str">
        <f t="shared" si="2"/>
        <v/>
      </c>
      <c r="AI1232" s="17" t="str">
        <f>IF(AG1232="","",INDEX('Quitados DUPP'!$G$1:$G$6635,AG1232))</f>
        <v/>
      </c>
      <c r="AJ1232" s="17" t="str">
        <f t="shared" si="3"/>
        <v/>
      </c>
    </row>
    <row r="1233" spans="31:36">
      <c r="AE1233" s="15" t="str">
        <f t="shared" si="0"/>
        <v/>
      </c>
      <c r="AF1233" s="15" t="str">
        <f t="shared" si="1"/>
        <v/>
      </c>
      <c r="AG1233" s="15" t="str">
        <f>IF(OR(AF1233="",AF1233="ERRO_CHAVE"),"",IFERROR(MATCH(AF1233,'Quitados DUPP'!$U$1:$U$6635,0),""))</f>
        <v/>
      </c>
      <c r="AH1233" s="15" t="str">
        <f t="shared" si="2"/>
        <v/>
      </c>
      <c r="AI1233" s="17" t="str">
        <f>IF(AG1233="","",INDEX('Quitados DUPP'!$G$1:$G$6635,AG1233))</f>
        <v/>
      </c>
      <c r="AJ1233" s="17" t="str">
        <f t="shared" si="3"/>
        <v/>
      </c>
    </row>
    <row r="1234" spans="31:36">
      <c r="AE1234" s="15" t="str">
        <f t="shared" si="0"/>
        <v/>
      </c>
      <c r="AF1234" s="15" t="str">
        <f t="shared" si="1"/>
        <v/>
      </c>
      <c r="AG1234" s="15" t="str">
        <f>IF(OR(AF1234="",AF1234="ERRO_CHAVE"),"",IFERROR(MATCH(AF1234,'Quitados DUPP'!$U$1:$U$6635,0),""))</f>
        <v/>
      </c>
      <c r="AH1234" s="15" t="str">
        <f t="shared" si="2"/>
        <v/>
      </c>
      <c r="AI1234" s="17" t="str">
        <f>IF(AG1234="","",INDEX('Quitados DUPP'!$G$1:$G$6635,AG1234))</f>
        <v/>
      </c>
      <c r="AJ1234" s="17" t="str">
        <f t="shared" si="3"/>
        <v/>
      </c>
    </row>
    <row r="1235" spans="31:36">
      <c r="AE1235" s="15" t="str">
        <f t="shared" si="0"/>
        <v/>
      </c>
      <c r="AF1235" s="15" t="str">
        <f t="shared" si="1"/>
        <v/>
      </c>
      <c r="AG1235" s="15" t="str">
        <f>IF(OR(AF1235="",AF1235="ERRO_CHAVE"),"",IFERROR(MATCH(AF1235,'Quitados DUPP'!$U$1:$U$6635,0),""))</f>
        <v/>
      </c>
      <c r="AH1235" s="15" t="str">
        <f t="shared" si="2"/>
        <v/>
      </c>
      <c r="AI1235" s="17" t="str">
        <f>IF(AG1235="","",INDEX('Quitados DUPP'!$G$1:$G$6635,AG1235))</f>
        <v/>
      </c>
      <c r="AJ1235" s="17" t="str">
        <f t="shared" si="3"/>
        <v/>
      </c>
    </row>
    <row r="1236" spans="31:36">
      <c r="AE1236" s="15" t="str">
        <f t="shared" si="0"/>
        <v/>
      </c>
      <c r="AF1236" s="15" t="str">
        <f t="shared" si="1"/>
        <v/>
      </c>
      <c r="AG1236" s="15" t="str">
        <f>IF(OR(AF1236="",AF1236="ERRO_CHAVE"),"",IFERROR(MATCH(AF1236,'Quitados DUPP'!$U$1:$U$6635,0),""))</f>
        <v/>
      </c>
      <c r="AH1236" s="15" t="str">
        <f t="shared" si="2"/>
        <v/>
      </c>
      <c r="AI1236" s="17" t="str">
        <f>IF(AG1236="","",INDEX('Quitados DUPP'!$G$1:$G$6635,AG1236))</f>
        <v/>
      </c>
      <c r="AJ1236" s="17" t="str">
        <f t="shared" si="3"/>
        <v/>
      </c>
    </row>
    <row r="1237" spans="31:36">
      <c r="AE1237" s="15" t="str">
        <f t="shared" si="0"/>
        <v/>
      </c>
      <c r="AF1237" s="15" t="str">
        <f t="shared" si="1"/>
        <v/>
      </c>
      <c r="AG1237" s="15" t="str">
        <f>IF(OR(AF1237="",AF1237="ERRO_CHAVE"),"",IFERROR(MATCH(AF1237,'Quitados DUPP'!$U$1:$U$6635,0),""))</f>
        <v/>
      </c>
      <c r="AH1237" s="15" t="str">
        <f t="shared" si="2"/>
        <v/>
      </c>
      <c r="AI1237" s="17" t="str">
        <f>IF(AG1237="","",INDEX('Quitados DUPP'!$G$1:$G$6635,AG1237))</f>
        <v/>
      </c>
      <c r="AJ1237" s="17" t="str">
        <f t="shared" si="3"/>
        <v/>
      </c>
    </row>
    <row r="1238" spans="31:36">
      <c r="AE1238" s="15" t="str">
        <f t="shared" si="0"/>
        <v/>
      </c>
      <c r="AF1238" s="15" t="str">
        <f t="shared" si="1"/>
        <v/>
      </c>
      <c r="AG1238" s="15" t="str">
        <f>IF(OR(AF1238="",AF1238="ERRO_CHAVE"),"",IFERROR(MATCH(AF1238,'Quitados DUPP'!$U$1:$U$6635,0),""))</f>
        <v/>
      </c>
      <c r="AH1238" s="15" t="str">
        <f t="shared" si="2"/>
        <v/>
      </c>
      <c r="AI1238" s="17" t="str">
        <f>IF(AG1238="","",INDEX('Quitados DUPP'!$G$1:$G$6635,AG1238))</f>
        <v/>
      </c>
      <c r="AJ1238" s="17" t="str">
        <f t="shared" si="3"/>
        <v/>
      </c>
    </row>
    <row r="1239" spans="31:36">
      <c r="AE1239" s="15" t="str">
        <f t="shared" si="0"/>
        <v/>
      </c>
      <c r="AF1239" s="15" t="str">
        <f t="shared" si="1"/>
        <v/>
      </c>
      <c r="AG1239" s="15" t="str">
        <f>IF(OR(AF1239="",AF1239="ERRO_CHAVE"),"",IFERROR(MATCH(AF1239,'Quitados DUPP'!$U$1:$U$6635,0),""))</f>
        <v/>
      </c>
      <c r="AH1239" s="15" t="str">
        <f t="shared" si="2"/>
        <v/>
      </c>
      <c r="AI1239" s="17" t="str">
        <f>IF(AG1239="","",INDEX('Quitados DUPP'!$G$1:$G$6635,AG1239))</f>
        <v/>
      </c>
      <c r="AJ1239" s="17" t="str">
        <f t="shared" si="3"/>
        <v/>
      </c>
    </row>
    <row r="1240" spans="31:36">
      <c r="AE1240" s="15" t="str">
        <f t="shared" si="0"/>
        <v/>
      </c>
      <c r="AF1240" s="15" t="str">
        <f t="shared" si="1"/>
        <v/>
      </c>
      <c r="AG1240" s="15" t="str">
        <f>IF(OR(AF1240="",AF1240="ERRO_CHAVE"),"",IFERROR(MATCH(AF1240,'Quitados DUPP'!$U$1:$U$6635,0),""))</f>
        <v/>
      </c>
      <c r="AH1240" s="15" t="str">
        <f t="shared" si="2"/>
        <v/>
      </c>
      <c r="AI1240" s="17" t="str">
        <f>IF(AG1240="","",INDEX('Quitados DUPP'!$G$1:$G$6635,AG1240))</f>
        <v/>
      </c>
      <c r="AJ1240" s="17" t="str">
        <f t="shared" si="3"/>
        <v/>
      </c>
    </row>
    <row r="1241" spans="31:36">
      <c r="AE1241" s="15" t="str">
        <f t="shared" si="0"/>
        <v/>
      </c>
      <c r="AF1241" s="15" t="str">
        <f t="shared" si="1"/>
        <v/>
      </c>
      <c r="AG1241" s="15" t="str">
        <f>IF(OR(AF1241="",AF1241="ERRO_CHAVE"),"",IFERROR(MATCH(AF1241,'Quitados DUPP'!$U$1:$U$6635,0),""))</f>
        <v/>
      </c>
      <c r="AH1241" s="15" t="str">
        <f t="shared" si="2"/>
        <v/>
      </c>
      <c r="AI1241" s="17" t="str">
        <f>IF(AG1241="","",INDEX('Quitados DUPP'!$G$1:$G$6635,AG1241))</f>
        <v/>
      </c>
      <c r="AJ1241" s="17" t="str">
        <f t="shared" si="3"/>
        <v/>
      </c>
    </row>
    <row r="1242" spans="31:36">
      <c r="AE1242" s="15" t="str">
        <f t="shared" si="0"/>
        <v/>
      </c>
      <c r="AF1242" s="15" t="str">
        <f t="shared" si="1"/>
        <v/>
      </c>
      <c r="AG1242" s="15" t="str">
        <f>IF(OR(AF1242="",AF1242="ERRO_CHAVE"),"",IFERROR(MATCH(AF1242,'Quitados DUPP'!$U$1:$U$6635,0),""))</f>
        <v/>
      </c>
      <c r="AH1242" s="15" t="str">
        <f t="shared" si="2"/>
        <v/>
      </c>
      <c r="AI1242" s="17" t="str">
        <f>IF(AG1242="","",INDEX('Quitados DUPP'!$G$1:$G$6635,AG1242))</f>
        <v/>
      </c>
      <c r="AJ1242" s="17" t="str">
        <f t="shared" si="3"/>
        <v/>
      </c>
    </row>
    <row r="1243" spans="31:36">
      <c r="AE1243" s="15" t="str">
        <f t="shared" si="0"/>
        <v/>
      </c>
      <c r="AF1243" s="15" t="str">
        <f t="shared" si="1"/>
        <v/>
      </c>
      <c r="AG1243" s="15" t="str">
        <f>IF(OR(AF1243="",AF1243="ERRO_CHAVE"),"",IFERROR(MATCH(AF1243,'Quitados DUPP'!$U$1:$U$6635,0),""))</f>
        <v/>
      </c>
      <c r="AH1243" s="15" t="str">
        <f t="shared" si="2"/>
        <v/>
      </c>
      <c r="AI1243" s="17" t="str">
        <f>IF(AG1243="","",INDEX('Quitados DUPP'!$G$1:$G$6635,AG1243))</f>
        <v/>
      </c>
      <c r="AJ1243" s="17" t="str">
        <f t="shared" si="3"/>
        <v/>
      </c>
    </row>
    <row r="1244" spans="31:36">
      <c r="AE1244" s="15" t="str">
        <f t="shared" si="0"/>
        <v/>
      </c>
      <c r="AF1244" s="15" t="str">
        <f t="shared" si="1"/>
        <v/>
      </c>
      <c r="AG1244" s="15" t="str">
        <f>IF(OR(AF1244="",AF1244="ERRO_CHAVE"),"",IFERROR(MATCH(AF1244,'Quitados DUPP'!$U$1:$U$6635,0),""))</f>
        <v/>
      </c>
      <c r="AH1244" s="15" t="str">
        <f t="shared" si="2"/>
        <v/>
      </c>
      <c r="AI1244" s="17" t="str">
        <f>IF(AG1244="","",INDEX('Quitados DUPP'!$G$1:$G$6635,AG1244))</f>
        <v/>
      </c>
      <c r="AJ1244" s="17" t="str">
        <f t="shared" si="3"/>
        <v/>
      </c>
    </row>
    <row r="1245" spans="31:36">
      <c r="AE1245" s="15" t="str">
        <f t="shared" si="0"/>
        <v/>
      </c>
      <c r="AF1245" s="15" t="str">
        <f t="shared" si="1"/>
        <v/>
      </c>
      <c r="AG1245" s="15" t="str">
        <f>IF(OR(AF1245="",AF1245="ERRO_CHAVE"),"",IFERROR(MATCH(AF1245,'Quitados DUPP'!$U$1:$U$6635,0),""))</f>
        <v/>
      </c>
      <c r="AH1245" s="15" t="str">
        <f t="shared" si="2"/>
        <v/>
      </c>
      <c r="AI1245" s="17" t="str">
        <f>IF(AG1245="","",INDEX('Quitados DUPP'!$G$1:$G$6635,AG1245))</f>
        <v/>
      </c>
      <c r="AJ1245" s="17" t="str">
        <f t="shared" si="3"/>
        <v/>
      </c>
    </row>
    <row r="1246" spans="31:36">
      <c r="AE1246" s="15" t="str">
        <f t="shared" si="0"/>
        <v/>
      </c>
      <c r="AF1246" s="15" t="str">
        <f t="shared" si="1"/>
        <v/>
      </c>
      <c r="AG1246" s="15" t="str">
        <f>IF(OR(AF1246="",AF1246="ERRO_CHAVE"),"",IFERROR(MATCH(AF1246,'Quitados DUPP'!$U$1:$U$6635,0),""))</f>
        <v/>
      </c>
      <c r="AH1246" s="15" t="str">
        <f t="shared" si="2"/>
        <v/>
      </c>
      <c r="AI1246" s="17" t="str">
        <f>IF(AG1246="","",INDEX('Quitados DUPP'!$G$1:$G$6635,AG1246))</f>
        <v/>
      </c>
      <c r="AJ1246" s="17" t="str">
        <f t="shared" si="3"/>
        <v/>
      </c>
    </row>
    <row r="1247" spans="31:36">
      <c r="AE1247" s="15" t="str">
        <f t="shared" si="0"/>
        <v/>
      </c>
      <c r="AF1247" s="15" t="str">
        <f t="shared" si="1"/>
        <v/>
      </c>
      <c r="AG1247" s="15" t="str">
        <f>IF(OR(AF1247="",AF1247="ERRO_CHAVE"),"",IFERROR(MATCH(AF1247,'Quitados DUPP'!$U$1:$U$6635,0),""))</f>
        <v/>
      </c>
      <c r="AH1247" s="15" t="str">
        <f t="shared" si="2"/>
        <v/>
      </c>
      <c r="AI1247" s="17" t="str">
        <f>IF(AG1247="","",INDEX('Quitados DUPP'!$G$1:$G$6635,AG1247))</f>
        <v/>
      </c>
      <c r="AJ1247" s="17" t="str">
        <f t="shared" si="3"/>
        <v/>
      </c>
    </row>
    <row r="1248" spans="31:36">
      <c r="AE1248" s="15" t="str">
        <f t="shared" si="0"/>
        <v/>
      </c>
      <c r="AF1248" s="15" t="str">
        <f t="shared" si="1"/>
        <v/>
      </c>
      <c r="AG1248" s="15" t="str">
        <f>IF(OR(AF1248="",AF1248="ERRO_CHAVE"),"",IFERROR(MATCH(AF1248,'Quitados DUPP'!$U$1:$U$6635,0),""))</f>
        <v/>
      </c>
      <c r="AH1248" s="15" t="str">
        <f t="shared" si="2"/>
        <v/>
      </c>
      <c r="AI1248" s="17" t="str">
        <f>IF(AG1248="","",INDEX('Quitados DUPP'!$G$1:$G$6635,AG1248))</f>
        <v/>
      </c>
      <c r="AJ1248" s="17" t="str">
        <f t="shared" si="3"/>
        <v/>
      </c>
    </row>
    <row r="1249" spans="31:36">
      <c r="AE1249" s="15" t="str">
        <f t="shared" si="0"/>
        <v/>
      </c>
      <c r="AF1249" s="15" t="str">
        <f t="shared" si="1"/>
        <v/>
      </c>
      <c r="AG1249" s="15" t="str">
        <f>IF(OR(AF1249="",AF1249="ERRO_CHAVE"),"",IFERROR(MATCH(AF1249,'Quitados DUPP'!$U$1:$U$6635,0),""))</f>
        <v/>
      </c>
      <c r="AH1249" s="15" t="str">
        <f t="shared" si="2"/>
        <v/>
      </c>
      <c r="AI1249" s="17" t="str">
        <f>IF(AG1249="","",INDEX('Quitados DUPP'!$G$1:$G$6635,AG1249))</f>
        <v/>
      </c>
      <c r="AJ1249" s="17" t="str">
        <f t="shared" si="3"/>
        <v/>
      </c>
    </row>
    <row r="1250" spans="31:36">
      <c r="AE1250" s="15" t="str">
        <f t="shared" si="0"/>
        <v/>
      </c>
      <c r="AF1250" s="15" t="str">
        <f t="shared" si="1"/>
        <v/>
      </c>
      <c r="AG1250" s="15" t="str">
        <f>IF(OR(AF1250="",AF1250="ERRO_CHAVE"),"",IFERROR(MATCH(AF1250,'Quitados DUPP'!$U$1:$U$6635,0),""))</f>
        <v/>
      </c>
      <c r="AH1250" s="15" t="str">
        <f t="shared" si="2"/>
        <v/>
      </c>
      <c r="AI1250" s="17" t="str">
        <f>IF(AG1250="","",INDEX('Quitados DUPP'!$G$1:$G$6635,AG1250))</f>
        <v/>
      </c>
      <c r="AJ1250" s="17" t="str">
        <f t="shared" si="3"/>
        <v/>
      </c>
    </row>
    <row r="1251" spans="31:36">
      <c r="AE1251" s="15" t="str">
        <f t="shared" si="0"/>
        <v/>
      </c>
      <c r="AF1251" s="15" t="str">
        <f t="shared" si="1"/>
        <v/>
      </c>
      <c r="AG1251" s="15" t="str">
        <f>IF(OR(AF1251="",AF1251="ERRO_CHAVE"),"",IFERROR(MATCH(AF1251,'Quitados DUPP'!$U$1:$U$6635,0),""))</f>
        <v/>
      </c>
      <c r="AH1251" s="15" t="str">
        <f t="shared" si="2"/>
        <v/>
      </c>
      <c r="AI1251" s="17" t="str">
        <f>IF(AG1251="","",INDEX('Quitados DUPP'!$G$1:$G$6635,AG1251))</f>
        <v/>
      </c>
      <c r="AJ1251" s="17" t="str">
        <f t="shared" si="3"/>
        <v/>
      </c>
    </row>
    <row r="1252" spans="31:36">
      <c r="AE1252" s="15" t="str">
        <f t="shared" si="0"/>
        <v/>
      </c>
      <c r="AF1252" s="15" t="str">
        <f t="shared" si="1"/>
        <v/>
      </c>
      <c r="AG1252" s="15" t="str">
        <f>IF(OR(AF1252="",AF1252="ERRO_CHAVE"),"",IFERROR(MATCH(AF1252,'Quitados DUPP'!$U$1:$U$6635,0),""))</f>
        <v/>
      </c>
      <c r="AH1252" s="15" t="str">
        <f t="shared" si="2"/>
        <v/>
      </c>
      <c r="AI1252" s="17" t="str">
        <f>IF(AG1252="","",INDEX('Quitados DUPP'!$G$1:$G$6635,AG1252))</f>
        <v/>
      </c>
      <c r="AJ1252" s="17" t="str">
        <f t="shared" si="3"/>
        <v/>
      </c>
    </row>
    <row r="1253" spans="31:36">
      <c r="AE1253" s="15" t="str">
        <f t="shared" si="0"/>
        <v/>
      </c>
      <c r="AF1253" s="15" t="str">
        <f t="shared" si="1"/>
        <v/>
      </c>
      <c r="AG1253" s="15" t="str">
        <f>IF(OR(AF1253="",AF1253="ERRO_CHAVE"),"",IFERROR(MATCH(AF1253,'Quitados DUPP'!$U$1:$U$6635,0),""))</f>
        <v/>
      </c>
      <c r="AH1253" s="15" t="str">
        <f t="shared" si="2"/>
        <v/>
      </c>
      <c r="AI1253" s="17" t="str">
        <f>IF(AG1253="","",INDEX('Quitados DUPP'!$G$1:$G$6635,AG1253))</f>
        <v/>
      </c>
      <c r="AJ1253" s="17" t="str">
        <f t="shared" si="3"/>
        <v/>
      </c>
    </row>
    <row r="1254" spans="31:36">
      <c r="AE1254" s="15" t="str">
        <f t="shared" si="0"/>
        <v/>
      </c>
      <c r="AF1254" s="15" t="str">
        <f t="shared" si="1"/>
        <v/>
      </c>
      <c r="AG1254" s="15" t="str">
        <f>IF(OR(AF1254="",AF1254="ERRO_CHAVE"),"",IFERROR(MATCH(AF1254,'Quitados DUPP'!$U$1:$U$6635,0),""))</f>
        <v/>
      </c>
      <c r="AH1254" s="15" t="str">
        <f t="shared" si="2"/>
        <v/>
      </c>
      <c r="AI1254" s="17" t="str">
        <f>IF(AG1254="","",INDEX('Quitados DUPP'!$G$1:$G$6635,AG1254))</f>
        <v/>
      </c>
      <c r="AJ1254" s="17" t="str">
        <f t="shared" si="3"/>
        <v/>
      </c>
    </row>
    <row r="1255" spans="31:36">
      <c r="AE1255" s="15" t="str">
        <f t="shared" si="0"/>
        <v/>
      </c>
      <c r="AF1255" s="15" t="str">
        <f t="shared" si="1"/>
        <v/>
      </c>
      <c r="AG1255" s="15" t="str">
        <f>IF(OR(AF1255="",AF1255="ERRO_CHAVE"),"",IFERROR(MATCH(AF1255,'Quitados DUPP'!$U$1:$U$6635,0),""))</f>
        <v/>
      </c>
      <c r="AH1255" s="15" t="str">
        <f t="shared" si="2"/>
        <v/>
      </c>
      <c r="AI1255" s="17" t="str">
        <f>IF(AG1255="","",INDEX('Quitados DUPP'!$G$1:$G$6635,AG1255))</f>
        <v/>
      </c>
      <c r="AJ1255" s="17" t="str">
        <f t="shared" si="3"/>
        <v/>
      </c>
    </row>
    <row r="1256" spans="31:36">
      <c r="AE1256" s="15" t="str">
        <f t="shared" si="0"/>
        <v/>
      </c>
      <c r="AF1256" s="15" t="str">
        <f t="shared" si="1"/>
        <v/>
      </c>
      <c r="AG1256" s="15" t="str">
        <f>IF(OR(AF1256="",AF1256="ERRO_CHAVE"),"",IFERROR(MATCH(AF1256,'Quitados DUPP'!$U$1:$U$6635,0),""))</f>
        <v/>
      </c>
      <c r="AH1256" s="15" t="str">
        <f t="shared" si="2"/>
        <v/>
      </c>
      <c r="AI1256" s="17" t="str">
        <f>IF(AG1256="","",INDEX('Quitados DUPP'!$G$1:$G$6635,AG1256))</f>
        <v/>
      </c>
      <c r="AJ1256" s="17" t="str">
        <f t="shared" si="3"/>
        <v/>
      </c>
    </row>
    <row r="1257" spans="31:36">
      <c r="AE1257" s="15" t="str">
        <f t="shared" si="0"/>
        <v/>
      </c>
      <c r="AF1257" s="15" t="str">
        <f t="shared" si="1"/>
        <v/>
      </c>
      <c r="AG1257" s="15" t="str">
        <f>IF(OR(AF1257="",AF1257="ERRO_CHAVE"),"",IFERROR(MATCH(AF1257,'Quitados DUPP'!$U$1:$U$6635,0),""))</f>
        <v/>
      </c>
      <c r="AH1257" s="15" t="str">
        <f t="shared" si="2"/>
        <v/>
      </c>
      <c r="AI1257" s="17" t="str">
        <f>IF(AG1257="","",INDEX('Quitados DUPP'!$G$1:$G$6635,AG1257))</f>
        <v/>
      </c>
      <c r="AJ1257" s="17" t="str">
        <f t="shared" si="3"/>
        <v/>
      </c>
    </row>
    <row r="1258" spans="31:36">
      <c r="AE1258" s="15" t="str">
        <f t="shared" si="0"/>
        <v/>
      </c>
      <c r="AF1258" s="15" t="str">
        <f t="shared" si="1"/>
        <v/>
      </c>
      <c r="AG1258" s="15" t="str">
        <f>IF(OR(AF1258="",AF1258="ERRO_CHAVE"),"",IFERROR(MATCH(AF1258,'Quitados DUPP'!$U$1:$U$6635,0),""))</f>
        <v/>
      </c>
      <c r="AH1258" s="15" t="str">
        <f t="shared" si="2"/>
        <v/>
      </c>
      <c r="AI1258" s="17" t="str">
        <f>IF(AG1258="","",INDEX('Quitados DUPP'!$G$1:$G$6635,AG1258))</f>
        <v/>
      </c>
      <c r="AJ1258" s="17" t="str">
        <f t="shared" si="3"/>
        <v/>
      </c>
    </row>
    <row r="1259" spans="31:36">
      <c r="AE1259" s="15" t="str">
        <f t="shared" si="0"/>
        <v/>
      </c>
      <c r="AF1259" s="15" t="str">
        <f t="shared" si="1"/>
        <v/>
      </c>
      <c r="AG1259" s="15" t="str">
        <f>IF(OR(AF1259="",AF1259="ERRO_CHAVE"),"",IFERROR(MATCH(AF1259,'Quitados DUPP'!$U$1:$U$6635,0),""))</f>
        <v/>
      </c>
      <c r="AH1259" s="15" t="str">
        <f t="shared" si="2"/>
        <v/>
      </c>
      <c r="AI1259" s="17" t="str">
        <f>IF(AG1259="","",INDEX('Quitados DUPP'!$G$1:$G$6635,AG1259))</f>
        <v/>
      </c>
      <c r="AJ1259" s="17" t="str">
        <f t="shared" si="3"/>
        <v/>
      </c>
    </row>
    <row r="1260" spans="31:36">
      <c r="AE1260" s="15" t="str">
        <f t="shared" si="0"/>
        <v/>
      </c>
      <c r="AF1260" s="15" t="str">
        <f t="shared" si="1"/>
        <v/>
      </c>
      <c r="AG1260" s="15" t="str">
        <f>IF(OR(AF1260="",AF1260="ERRO_CHAVE"),"",IFERROR(MATCH(AF1260,'Quitados DUPP'!$U$1:$U$6635,0),""))</f>
        <v/>
      </c>
      <c r="AH1260" s="15" t="str">
        <f t="shared" si="2"/>
        <v/>
      </c>
      <c r="AI1260" s="17" t="str">
        <f>IF(AG1260="","",INDEX('Quitados DUPP'!$G$1:$G$6635,AG1260))</f>
        <v/>
      </c>
      <c r="AJ1260" s="17" t="str">
        <f t="shared" si="3"/>
        <v/>
      </c>
    </row>
    <row r="1261" spans="31:36">
      <c r="AE1261" s="15" t="str">
        <f t="shared" si="0"/>
        <v/>
      </c>
      <c r="AF1261" s="15" t="str">
        <f t="shared" si="1"/>
        <v/>
      </c>
      <c r="AG1261" s="15" t="str">
        <f>IF(OR(AF1261="",AF1261="ERRO_CHAVE"),"",IFERROR(MATCH(AF1261,'Quitados DUPP'!$U$1:$U$6635,0),""))</f>
        <v/>
      </c>
      <c r="AH1261" s="15" t="str">
        <f t="shared" si="2"/>
        <v/>
      </c>
      <c r="AI1261" s="17" t="str">
        <f>IF(AG1261="","",INDEX('Quitados DUPP'!$G$1:$G$6635,AG1261))</f>
        <v/>
      </c>
      <c r="AJ1261" s="17" t="str">
        <f t="shared" si="3"/>
        <v/>
      </c>
    </row>
    <row r="1262" spans="31:36">
      <c r="AE1262" s="15" t="str">
        <f t="shared" si="0"/>
        <v/>
      </c>
      <c r="AF1262" s="15" t="str">
        <f t="shared" si="1"/>
        <v/>
      </c>
      <c r="AG1262" s="15" t="str">
        <f>IF(OR(AF1262="",AF1262="ERRO_CHAVE"),"",IFERROR(MATCH(AF1262,'Quitados DUPP'!$U$1:$U$6635,0),""))</f>
        <v/>
      </c>
      <c r="AH1262" s="15" t="str">
        <f t="shared" si="2"/>
        <v/>
      </c>
      <c r="AI1262" s="17" t="str">
        <f>IF(AG1262="","",INDEX('Quitados DUPP'!$G$1:$G$6635,AG1262))</f>
        <v/>
      </c>
      <c r="AJ1262" s="17" t="str">
        <f t="shared" si="3"/>
        <v/>
      </c>
    </row>
    <row r="1263" spans="31:36">
      <c r="AE1263" s="15" t="str">
        <f t="shared" si="0"/>
        <v/>
      </c>
      <c r="AF1263" s="15" t="str">
        <f t="shared" si="1"/>
        <v/>
      </c>
      <c r="AG1263" s="15" t="str">
        <f>IF(OR(AF1263="",AF1263="ERRO_CHAVE"),"",IFERROR(MATCH(AF1263,'Quitados DUPP'!$U$1:$U$6635,0),""))</f>
        <v/>
      </c>
      <c r="AH1263" s="15" t="str">
        <f t="shared" si="2"/>
        <v/>
      </c>
      <c r="AI1263" s="17" t="str">
        <f>IF(AG1263="","",INDEX('Quitados DUPP'!$G$1:$G$6635,AG1263))</f>
        <v/>
      </c>
      <c r="AJ1263" s="17" t="str">
        <f t="shared" si="3"/>
        <v/>
      </c>
    </row>
    <row r="1264" spans="31:36">
      <c r="AE1264" s="15" t="str">
        <f t="shared" si="0"/>
        <v/>
      </c>
      <c r="AF1264" s="15" t="str">
        <f t="shared" si="1"/>
        <v/>
      </c>
      <c r="AG1264" s="15" t="str">
        <f>IF(OR(AF1264="",AF1264="ERRO_CHAVE"),"",IFERROR(MATCH(AF1264,'Quitados DUPP'!$U$1:$U$6635,0),""))</f>
        <v/>
      </c>
      <c r="AH1264" s="15" t="str">
        <f t="shared" si="2"/>
        <v/>
      </c>
      <c r="AI1264" s="17" t="str">
        <f>IF(AG1264="","",INDEX('Quitados DUPP'!$G$1:$G$6635,AG1264))</f>
        <v/>
      </c>
      <c r="AJ1264" s="17" t="str">
        <f t="shared" si="3"/>
        <v/>
      </c>
    </row>
    <row r="1265" spans="31:36">
      <c r="AE1265" s="15" t="str">
        <f t="shared" si="0"/>
        <v/>
      </c>
      <c r="AF1265" s="15" t="str">
        <f t="shared" si="1"/>
        <v/>
      </c>
      <c r="AG1265" s="15" t="str">
        <f>IF(OR(AF1265="",AF1265="ERRO_CHAVE"),"",IFERROR(MATCH(AF1265,'Quitados DUPP'!$U$1:$U$6635,0),""))</f>
        <v/>
      </c>
      <c r="AH1265" s="15" t="str">
        <f t="shared" si="2"/>
        <v/>
      </c>
      <c r="AI1265" s="17" t="str">
        <f>IF(AG1265="","",INDEX('Quitados DUPP'!$G$1:$G$6635,AG1265))</f>
        <v/>
      </c>
      <c r="AJ1265" s="17" t="str">
        <f t="shared" si="3"/>
        <v/>
      </c>
    </row>
    <row r="1266" spans="31:36">
      <c r="AE1266" s="15" t="str">
        <f t="shared" si="0"/>
        <v/>
      </c>
      <c r="AF1266" s="15" t="str">
        <f t="shared" si="1"/>
        <v/>
      </c>
      <c r="AG1266" s="15" t="str">
        <f>IF(OR(AF1266="",AF1266="ERRO_CHAVE"),"",IFERROR(MATCH(AF1266,'Quitados DUPP'!$U$1:$U$6635,0),""))</f>
        <v/>
      </c>
      <c r="AH1266" s="15" t="str">
        <f t="shared" si="2"/>
        <v/>
      </c>
      <c r="AI1266" s="17" t="str">
        <f>IF(AG1266="","",INDEX('Quitados DUPP'!$G$1:$G$6635,AG1266))</f>
        <v/>
      </c>
      <c r="AJ1266" s="17" t="str">
        <f t="shared" si="3"/>
        <v/>
      </c>
    </row>
    <row r="1267" spans="31:36">
      <c r="AE1267" s="15" t="str">
        <f t="shared" si="0"/>
        <v/>
      </c>
      <c r="AF1267" s="15" t="str">
        <f t="shared" si="1"/>
        <v/>
      </c>
      <c r="AG1267" s="15" t="str">
        <f>IF(OR(AF1267="",AF1267="ERRO_CHAVE"),"",IFERROR(MATCH(AF1267,'Quitados DUPP'!$U$1:$U$6635,0),""))</f>
        <v/>
      </c>
      <c r="AH1267" s="15" t="str">
        <f t="shared" si="2"/>
        <v/>
      </c>
      <c r="AI1267" s="17" t="str">
        <f>IF(AG1267="","",INDEX('Quitados DUPP'!$G$1:$G$6635,AG1267))</f>
        <v/>
      </c>
      <c r="AJ1267" s="17" t="str">
        <f t="shared" si="3"/>
        <v/>
      </c>
    </row>
    <row r="1268" spans="31:36">
      <c r="AE1268" s="15" t="str">
        <f t="shared" si="0"/>
        <v/>
      </c>
      <c r="AF1268" s="15" t="str">
        <f t="shared" si="1"/>
        <v/>
      </c>
      <c r="AG1268" s="15" t="str">
        <f>IF(OR(AF1268="",AF1268="ERRO_CHAVE"),"",IFERROR(MATCH(AF1268,'Quitados DUPP'!$U$1:$U$6635,0),""))</f>
        <v/>
      </c>
      <c r="AH1268" s="15" t="str">
        <f t="shared" si="2"/>
        <v/>
      </c>
      <c r="AI1268" s="17" t="str">
        <f>IF(AG1268="","",INDEX('Quitados DUPP'!$G$1:$G$6635,AG1268))</f>
        <v/>
      </c>
      <c r="AJ1268" s="17" t="str">
        <f t="shared" si="3"/>
        <v/>
      </c>
    </row>
    <row r="1269" spans="31:36">
      <c r="AE1269" s="15" t="str">
        <f t="shared" si="0"/>
        <v/>
      </c>
      <c r="AF1269" s="15" t="str">
        <f t="shared" si="1"/>
        <v/>
      </c>
      <c r="AG1269" s="15" t="str">
        <f>IF(OR(AF1269="",AF1269="ERRO_CHAVE"),"",IFERROR(MATCH(AF1269,'Quitados DUPP'!$U$1:$U$6635,0),""))</f>
        <v/>
      </c>
      <c r="AH1269" s="15" t="str">
        <f t="shared" si="2"/>
        <v/>
      </c>
      <c r="AI1269" s="17" t="str">
        <f>IF(AG1269="","",INDEX('Quitados DUPP'!$G$1:$G$6635,AG1269))</f>
        <v/>
      </c>
      <c r="AJ1269" s="17" t="str">
        <f t="shared" si="3"/>
        <v/>
      </c>
    </row>
    <row r="1270" spans="31:36">
      <c r="AE1270" s="15" t="str">
        <f t="shared" si="0"/>
        <v/>
      </c>
      <c r="AF1270" s="15" t="str">
        <f t="shared" si="1"/>
        <v/>
      </c>
      <c r="AG1270" s="15" t="str">
        <f>IF(OR(AF1270="",AF1270="ERRO_CHAVE"),"",IFERROR(MATCH(AF1270,'Quitados DUPP'!$U$1:$U$6635,0),""))</f>
        <v/>
      </c>
      <c r="AH1270" s="15" t="str">
        <f t="shared" si="2"/>
        <v/>
      </c>
      <c r="AI1270" s="17" t="str">
        <f>IF(AG1270="","",INDEX('Quitados DUPP'!$G$1:$G$6635,AG1270))</f>
        <v/>
      </c>
      <c r="AJ1270" s="17" t="str">
        <f t="shared" si="3"/>
        <v/>
      </c>
    </row>
    <row r="1271" spans="31:36">
      <c r="AE1271" s="15" t="str">
        <f t="shared" si="0"/>
        <v/>
      </c>
      <c r="AF1271" s="15" t="str">
        <f t="shared" si="1"/>
        <v/>
      </c>
      <c r="AG1271" s="15" t="str">
        <f>IF(OR(AF1271="",AF1271="ERRO_CHAVE"),"",IFERROR(MATCH(AF1271,'Quitados DUPP'!$U$1:$U$6635,0),""))</f>
        <v/>
      </c>
      <c r="AH1271" s="15" t="str">
        <f t="shared" si="2"/>
        <v/>
      </c>
      <c r="AI1271" s="17" t="str">
        <f>IF(AG1271="","",INDEX('Quitados DUPP'!$G$1:$G$6635,AG1271))</f>
        <v/>
      </c>
      <c r="AJ1271" s="17" t="str">
        <f t="shared" si="3"/>
        <v/>
      </c>
    </row>
    <row r="1272" spans="31:36">
      <c r="AE1272" s="15" t="str">
        <f t="shared" si="0"/>
        <v/>
      </c>
      <c r="AF1272" s="15" t="str">
        <f t="shared" si="1"/>
        <v/>
      </c>
      <c r="AG1272" s="15" t="str">
        <f>IF(OR(AF1272="",AF1272="ERRO_CHAVE"),"",IFERROR(MATCH(AF1272,'Quitados DUPP'!$U$1:$U$6635,0),""))</f>
        <v/>
      </c>
      <c r="AH1272" s="15" t="str">
        <f t="shared" si="2"/>
        <v/>
      </c>
      <c r="AI1272" s="17" t="str">
        <f>IF(AG1272="","",INDEX('Quitados DUPP'!$G$1:$G$6635,AG1272))</f>
        <v/>
      </c>
      <c r="AJ1272" s="17" t="str">
        <f t="shared" si="3"/>
        <v/>
      </c>
    </row>
    <row r="1273" spans="31:36">
      <c r="AE1273" s="15" t="str">
        <f t="shared" si="0"/>
        <v/>
      </c>
      <c r="AF1273" s="15" t="str">
        <f t="shared" si="1"/>
        <v/>
      </c>
      <c r="AG1273" s="15" t="str">
        <f>IF(OR(AF1273="",AF1273="ERRO_CHAVE"),"",IFERROR(MATCH(AF1273,'Quitados DUPP'!$U$1:$U$6635,0),""))</f>
        <v/>
      </c>
      <c r="AH1273" s="15" t="str">
        <f t="shared" si="2"/>
        <v/>
      </c>
      <c r="AI1273" s="17" t="str">
        <f>IF(AG1273="","",INDEX('Quitados DUPP'!$G$1:$G$6635,AG1273))</f>
        <v/>
      </c>
      <c r="AJ1273" s="17" t="str">
        <f t="shared" si="3"/>
        <v/>
      </c>
    </row>
    <row r="1274" spans="31:36">
      <c r="AE1274" s="15" t="str">
        <f t="shared" si="0"/>
        <v/>
      </c>
      <c r="AF1274" s="15" t="str">
        <f t="shared" si="1"/>
        <v/>
      </c>
      <c r="AG1274" s="15" t="str">
        <f>IF(OR(AF1274="",AF1274="ERRO_CHAVE"),"",IFERROR(MATCH(AF1274,'Quitados DUPP'!$U$1:$U$6635,0),""))</f>
        <v/>
      </c>
      <c r="AH1274" s="15" t="str">
        <f t="shared" si="2"/>
        <v/>
      </c>
      <c r="AI1274" s="17" t="str">
        <f>IF(AG1274="","",INDEX('Quitados DUPP'!$G$1:$G$6635,AG1274))</f>
        <v/>
      </c>
      <c r="AJ1274" s="17" t="str">
        <f t="shared" si="3"/>
        <v/>
      </c>
    </row>
    <row r="1275" spans="31:36">
      <c r="AE1275" s="15" t="str">
        <f t="shared" si="0"/>
        <v/>
      </c>
      <c r="AF1275" s="15" t="str">
        <f t="shared" si="1"/>
        <v/>
      </c>
      <c r="AG1275" s="15" t="str">
        <f>IF(OR(AF1275="",AF1275="ERRO_CHAVE"),"",IFERROR(MATCH(AF1275,'Quitados DUPP'!$U$1:$U$6635,0),""))</f>
        <v/>
      </c>
      <c r="AH1275" s="15" t="str">
        <f t="shared" si="2"/>
        <v/>
      </c>
      <c r="AI1275" s="17" t="str">
        <f>IF(AG1275="","",INDEX('Quitados DUPP'!$G$1:$G$6635,AG1275))</f>
        <v/>
      </c>
      <c r="AJ1275" s="17" t="str">
        <f t="shared" si="3"/>
        <v/>
      </c>
    </row>
    <row r="1276" spans="31:36">
      <c r="AE1276" s="15" t="str">
        <f t="shared" si="0"/>
        <v/>
      </c>
      <c r="AF1276" s="15" t="str">
        <f t="shared" si="1"/>
        <v/>
      </c>
      <c r="AG1276" s="15" t="str">
        <f>IF(OR(AF1276="",AF1276="ERRO_CHAVE"),"",IFERROR(MATCH(AF1276,'Quitados DUPP'!$U$1:$U$6635,0),""))</f>
        <v/>
      </c>
      <c r="AH1276" s="15" t="str">
        <f t="shared" si="2"/>
        <v/>
      </c>
      <c r="AI1276" s="17" t="str">
        <f>IF(AG1276="","",INDEX('Quitados DUPP'!$G$1:$G$6635,AG1276))</f>
        <v/>
      </c>
      <c r="AJ1276" s="17" t="str">
        <f t="shared" si="3"/>
        <v/>
      </c>
    </row>
    <row r="1277" spans="31:36">
      <c r="AE1277" s="15" t="str">
        <f t="shared" si="0"/>
        <v/>
      </c>
      <c r="AF1277" s="15" t="str">
        <f t="shared" si="1"/>
        <v/>
      </c>
      <c r="AG1277" s="15" t="str">
        <f>IF(OR(AF1277="",AF1277="ERRO_CHAVE"),"",IFERROR(MATCH(AF1277,'Quitados DUPP'!$U$1:$U$6635,0),""))</f>
        <v/>
      </c>
      <c r="AH1277" s="15" t="str">
        <f t="shared" si="2"/>
        <v/>
      </c>
      <c r="AI1277" s="17" t="str">
        <f>IF(AG1277="","",INDEX('Quitados DUPP'!$G$1:$G$6635,AG1277))</f>
        <v/>
      </c>
      <c r="AJ1277" s="17" t="str">
        <f t="shared" si="3"/>
        <v/>
      </c>
    </row>
    <row r="1278" spans="31:36">
      <c r="AE1278" s="15" t="str">
        <f t="shared" si="0"/>
        <v/>
      </c>
      <c r="AF1278" s="15" t="str">
        <f t="shared" si="1"/>
        <v/>
      </c>
      <c r="AG1278" s="15" t="str">
        <f>IF(OR(AF1278="",AF1278="ERRO_CHAVE"),"",IFERROR(MATCH(AF1278,'Quitados DUPP'!$U$1:$U$6635,0),""))</f>
        <v/>
      </c>
      <c r="AH1278" s="15" t="str">
        <f t="shared" si="2"/>
        <v/>
      </c>
      <c r="AI1278" s="17" t="str">
        <f>IF(AG1278="","",INDEX('Quitados DUPP'!$G$1:$G$6635,AG1278))</f>
        <v/>
      </c>
      <c r="AJ1278" s="17" t="str">
        <f t="shared" si="3"/>
        <v/>
      </c>
    </row>
    <row r="1279" spans="31:36">
      <c r="AE1279" s="15" t="str">
        <f t="shared" si="0"/>
        <v/>
      </c>
      <c r="AF1279" s="15" t="str">
        <f t="shared" si="1"/>
        <v/>
      </c>
      <c r="AG1279" s="15" t="str">
        <f>IF(OR(AF1279="",AF1279="ERRO_CHAVE"),"",IFERROR(MATCH(AF1279,'Quitados DUPP'!$U$1:$U$6635,0),""))</f>
        <v/>
      </c>
      <c r="AH1279" s="15" t="str">
        <f t="shared" si="2"/>
        <v/>
      </c>
      <c r="AI1279" s="17" t="str">
        <f>IF(AG1279="","",INDEX('Quitados DUPP'!$G$1:$G$6635,AG1279))</f>
        <v/>
      </c>
      <c r="AJ1279" s="17" t="str">
        <f t="shared" si="3"/>
        <v/>
      </c>
    </row>
    <row r="1280" spans="31:36">
      <c r="AE1280" s="15" t="str">
        <f t="shared" si="0"/>
        <v/>
      </c>
      <c r="AF1280" s="15" t="str">
        <f t="shared" si="1"/>
        <v/>
      </c>
      <c r="AG1280" s="15" t="str">
        <f>IF(OR(AF1280="",AF1280="ERRO_CHAVE"),"",IFERROR(MATCH(AF1280,'Quitados DUPP'!$U$1:$U$6635,0),""))</f>
        <v/>
      </c>
      <c r="AH1280" s="15" t="str">
        <f t="shared" si="2"/>
        <v/>
      </c>
      <c r="AI1280" s="17" t="str">
        <f>IF(AG1280="","",INDEX('Quitados DUPP'!$G$1:$G$6635,AG1280))</f>
        <v/>
      </c>
      <c r="AJ1280" s="17" t="str">
        <f t="shared" si="3"/>
        <v/>
      </c>
    </row>
    <row r="1281" spans="31:36">
      <c r="AE1281" s="15" t="str">
        <f t="shared" si="0"/>
        <v/>
      </c>
      <c r="AF1281" s="15" t="str">
        <f t="shared" si="1"/>
        <v/>
      </c>
      <c r="AG1281" s="15" t="str">
        <f>IF(OR(AF1281="",AF1281="ERRO_CHAVE"),"",IFERROR(MATCH(AF1281,'Quitados DUPP'!$U$1:$U$6635,0),""))</f>
        <v/>
      </c>
      <c r="AH1281" s="15" t="str">
        <f t="shared" si="2"/>
        <v/>
      </c>
      <c r="AI1281" s="17" t="str">
        <f>IF(AG1281="","",INDEX('Quitados DUPP'!$G$1:$G$6635,AG1281))</f>
        <v/>
      </c>
      <c r="AJ1281" s="17" t="str">
        <f t="shared" si="3"/>
        <v/>
      </c>
    </row>
    <row r="1282" spans="31:36">
      <c r="AE1282" s="15" t="str">
        <f t="shared" si="0"/>
        <v/>
      </c>
      <c r="AF1282" s="15" t="str">
        <f t="shared" si="1"/>
        <v/>
      </c>
      <c r="AG1282" s="15" t="str">
        <f>IF(OR(AF1282="",AF1282="ERRO_CHAVE"),"",IFERROR(MATCH(AF1282,'Quitados DUPP'!$U$1:$U$6635,0),""))</f>
        <v/>
      </c>
      <c r="AH1282" s="15" t="str">
        <f t="shared" si="2"/>
        <v/>
      </c>
      <c r="AI1282" s="17" t="str">
        <f>IF(AG1282="","",INDEX('Quitados DUPP'!$G$1:$G$6635,AG1282))</f>
        <v/>
      </c>
      <c r="AJ1282" s="17" t="str">
        <f t="shared" si="3"/>
        <v/>
      </c>
    </row>
    <row r="1283" spans="31:36">
      <c r="AE1283" s="15" t="str">
        <f t="shared" si="0"/>
        <v/>
      </c>
      <c r="AF1283" s="15" t="str">
        <f t="shared" si="1"/>
        <v/>
      </c>
      <c r="AG1283" s="15" t="str">
        <f>IF(OR(AF1283="",AF1283="ERRO_CHAVE"),"",IFERROR(MATCH(AF1283,'Quitados DUPP'!$U$1:$U$6635,0),""))</f>
        <v/>
      </c>
      <c r="AH1283" s="15" t="str">
        <f t="shared" si="2"/>
        <v/>
      </c>
      <c r="AI1283" s="17" t="str">
        <f>IF(AG1283="","",INDEX('Quitados DUPP'!$G$1:$G$6635,AG1283))</f>
        <v/>
      </c>
      <c r="AJ1283" s="17" t="str">
        <f t="shared" si="3"/>
        <v/>
      </c>
    </row>
    <row r="1284" spans="31:36">
      <c r="AE1284" s="15" t="str">
        <f t="shared" si="0"/>
        <v/>
      </c>
      <c r="AF1284" s="15" t="str">
        <f t="shared" si="1"/>
        <v/>
      </c>
      <c r="AG1284" s="15" t="str">
        <f>IF(OR(AF1284="",AF1284="ERRO_CHAVE"),"",IFERROR(MATCH(AF1284,'Quitados DUPP'!$U$1:$U$6635,0),""))</f>
        <v/>
      </c>
      <c r="AH1284" s="15" t="str">
        <f t="shared" si="2"/>
        <v/>
      </c>
      <c r="AI1284" s="17" t="str">
        <f>IF(AG1284="","",INDEX('Quitados DUPP'!$G$1:$G$6635,AG1284))</f>
        <v/>
      </c>
      <c r="AJ1284" s="17" t="str">
        <f t="shared" si="3"/>
        <v/>
      </c>
    </row>
    <row r="1285" spans="31:36">
      <c r="AE1285" s="15" t="str">
        <f t="shared" si="0"/>
        <v/>
      </c>
      <c r="AF1285" s="15" t="str">
        <f t="shared" si="1"/>
        <v/>
      </c>
      <c r="AG1285" s="15" t="str">
        <f>IF(OR(AF1285="",AF1285="ERRO_CHAVE"),"",IFERROR(MATCH(AF1285,'Quitados DUPP'!$U$1:$U$6635,0),""))</f>
        <v/>
      </c>
      <c r="AH1285" s="15" t="str">
        <f t="shared" si="2"/>
        <v/>
      </c>
      <c r="AI1285" s="17" t="str">
        <f>IF(AG1285="","",INDEX('Quitados DUPP'!$G$1:$G$6635,AG1285))</f>
        <v/>
      </c>
      <c r="AJ1285" s="17" t="str">
        <f t="shared" si="3"/>
        <v/>
      </c>
    </row>
    <row r="1286" spans="31:36">
      <c r="AE1286" s="15" t="str">
        <f t="shared" si="0"/>
        <v/>
      </c>
      <c r="AF1286" s="15" t="str">
        <f t="shared" si="1"/>
        <v/>
      </c>
      <c r="AG1286" s="15" t="str">
        <f>IF(OR(AF1286="",AF1286="ERRO_CHAVE"),"",IFERROR(MATCH(AF1286,'Quitados DUPP'!$U$1:$U$6635,0),""))</f>
        <v/>
      </c>
      <c r="AH1286" s="15" t="str">
        <f t="shared" si="2"/>
        <v/>
      </c>
      <c r="AI1286" s="17" t="str">
        <f>IF(AG1286="","",INDEX('Quitados DUPP'!$G$1:$G$6635,AG1286))</f>
        <v/>
      </c>
      <c r="AJ1286" s="17" t="str">
        <f t="shared" si="3"/>
        <v/>
      </c>
    </row>
    <row r="1287" spans="31:36">
      <c r="AE1287" s="15" t="str">
        <f t="shared" si="0"/>
        <v/>
      </c>
      <c r="AF1287" s="15" t="str">
        <f t="shared" si="1"/>
        <v/>
      </c>
      <c r="AG1287" s="15" t="str">
        <f>IF(OR(AF1287="",AF1287="ERRO_CHAVE"),"",IFERROR(MATCH(AF1287,'Quitados DUPP'!$U$1:$U$6635,0),""))</f>
        <v/>
      </c>
      <c r="AH1287" s="15" t="str">
        <f t="shared" si="2"/>
        <v/>
      </c>
      <c r="AI1287" s="17" t="str">
        <f>IF(AG1287="","",INDEX('Quitados DUPP'!$G$1:$G$6635,AG1287))</f>
        <v/>
      </c>
      <c r="AJ1287" s="17" t="str">
        <f t="shared" si="3"/>
        <v/>
      </c>
    </row>
    <row r="1288" spans="31:36">
      <c r="AE1288" s="15" t="str">
        <f t="shared" si="0"/>
        <v/>
      </c>
      <c r="AF1288" s="15" t="str">
        <f t="shared" si="1"/>
        <v/>
      </c>
      <c r="AG1288" s="15" t="str">
        <f>IF(OR(AF1288="",AF1288="ERRO_CHAVE"),"",IFERROR(MATCH(AF1288,'Quitados DUPP'!$U$1:$U$6635,0),""))</f>
        <v/>
      </c>
      <c r="AH1288" s="15" t="str">
        <f t="shared" si="2"/>
        <v/>
      </c>
      <c r="AI1288" s="17" t="str">
        <f>IF(AG1288="","",INDEX('Quitados DUPP'!$G$1:$G$6635,AG1288))</f>
        <v/>
      </c>
      <c r="AJ1288" s="17" t="str">
        <f t="shared" si="3"/>
        <v/>
      </c>
    </row>
    <row r="1289" spans="31:36">
      <c r="AE1289" s="15" t="str">
        <f t="shared" si="0"/>
        <v/>
      </c>
      <c r="AF1289" s="15" t="str">
        <f t="shared" si="1"/>
        <v/>
      </c>
      <c r="AG1289" s="15" t="str">
        <f>IF(OR(AF1289="",AF1289="ERRO_CHAVE"),"",IFERROR(MATCH(AF1289,'Quitados DUPP'!$U$1:$U$6635,0),""))</f>
        <v/>
      </c>
      <c r="AH1289" s="15" t="str">
        <f t="shared" si="2"/>
        <v/>
      </c>
      <c r="AI1289" s="17" t="str">
        <f>IF(AG1289="","",INDEX('Quitados DUPP'!$G$1:$G$6635,AG1289))</f>
        <v/>
      </c>
      <c r="AJ1289" s="17" t="str">
        <f t="shared" si="3"/>
        <v/>
      </c>
    </row>
    <row r="1290" spans="31:36">
      <c r="AE1290" s="15" t="str">
        <f t="shared" si="0"/>
        <v/>
      </c>
      <c r="AF1290" s="15" t="str">
        <f t="shared" si="1"/>
        <v/>
      </c>
      <c r="AG1290" s="15" t="str">
        <f>IF(OR(AF1290="",AF1290="ERRO_CHAVE"),"",IFERROR(MATCH(AF1290,'Quitados DUPP'!$U$1:$U$6635,0),""))</f>
        <v/>
      </c>
      <c r="AH1290" s="15" t="str">
        <f t="shared" si="2"/>
        <v/>
      </c>
      <c r="AI1290" s="17" t="str">
        <f>IF(AG1290="","",INDEX('Quitados DUPP'!$G$1:$G$6635,AG1290))</f>
        <v/>
      </c>
      <c r="AJ1290" s="17" t="str">
        <f t="shared" si="3"/>
        <v/>
      </c>
    </row>
    <row r="1291" spans="31:36">
      <c r="AE1291" s="15" t="str">
        <f t="shared" si="0"/>
        <v/>
      </c>
      <c r="AF1291" s="15" t="str">
        <f t="shared" si="1"/>
        <v/>
      </c>
      <c r="AG1291" s="15" t="str">
        <f>IF(OR(AF1291="",AF1291="ERRO_CHAVE"),"",IFERROR(MATCH(AF1291,'Quitados DUPP'!$U$1:$U$6635,0),""))</f>
        <v/>
      </c>
      <c r="AH1291" s="15" t="str">
        <f t="shared" si="2"/>
        <v/>
      </c>
      <c r="AI1291" s="17" t="str">
        <f>IF(AG1291="","",INDEX('Quitados DUPP'!$G$1:$G$6635,AG1291))</f>
        <v/>
      </c>
      <c r="AJ1291" s="17" t="str">
        <f t="shared" si="3"/>
        <v/>
      </c>
    </row>
    <row r="1292" spans="31:36">
      <c r="AE1292" s="15" t="str">
        <f t="shared" si="0"/>
        <v/>
      </c>
      <c r="AF1292" s="15" t="str">
        <f t="shared" si="1"/>
        <v/>
      </c>
      <c r="AG1292" s="15" t="str">
        <f>IF(OR(AF1292="",AF1292="ERRO_CHAVE"),"",IFERROR(MATCH(AF1292,'Quitados DUPP'!$U$1:$U$6635,0),""))</f>
        <v/>
      </c>
      <c r="AH1292" s="15" t="str">
        <f t="shared" si="2"/>
        <v/>
      </c>
      <c r="AI1292" s="17" t="str">
        <f>IF(AG1292="","",INDEX('Quitados DUPP'!$G$1:$G$6635,AG1292))</f>
        <v/>
      </c>
      <c r="AJ1292" s="17" t="str">
        <f t="shared" si="3"/>
        <v/>
      </c>
    </row>
    <row r="1293" spans="31:36">
      <c r="AE1293" s="15" t="str">
        <f t="shared" si="0"/>
        <v/>
      </c>
      <c r="AF1293" s="15" t="str">
        <f t="shared" si="1"/>
        <v/>
      </c>
      <c r="AG1293" s="15" t="str">
        <f>IF(OR(AF1293="",AF1293="ERRO_CHAVE"),"",IFERROR(MATCH(AF1293,'Quitados DUPP'!$U$1:$U$6635,0),""))</f>
        <v/>
      </c>
      <c r="AH1293" s="15" t="str">
        <f t="shared" si="2"/>
        <v/>
      </c>
      <c r="AI1293" s="17" t="str">
        <f>IF(AG1293="","",INDEX('Quitados DUPP'!$G$1:$G$6635,AG1293))</f>
        <v/>
      </c>
      <c r="AJ1293" s="17" t="str">
        <f t="shared" si="3"/>
        <v/>
      </c>
    </row>
    <row r="1294" spans="31:36">
      <c r="AE1294" s="15" t="str">
        <f t="shared" si="0"/>
        <v/>
      </c>
      <c r="AF1294" s="15" t="str">
        <f t="shared" si="1"/>
        <v/>
      </c>
      <c r="AG1294" s="15" t="str">
        <f>IF(OR(AF1294="",AF1294="ERRO_CHAVE"),"",IFERROR(MATCH(AF1294,'Quitados DUPP'!$U$1:$U$6635,0),""))</f>
        <v/>
      </c>
      <c r="AH1294" s="15" t="str">
        <f t="shared" si="2"/>
        <v/>
      </c>
      <c r="AI1294" s="17" t="str">
        <f>IF(AG1294="","",INDEX('Quitados DUPP'!$G$1:$G$6635,AG1294))</f>
        <v/>
      </c>
      <c r="AJ1294" s="17" t="str">
        <f t="shared" si="3"/>
        <v/>
      </c>
    </row>
    <row r="1295" spans="31:36">
      <c r="AE1295" s="15" t="str">
        <f t="shared" si="0"/>
        <v/>
      </c>
      <c r="AF1295" s="15" t="str">
        <f t="shared" si="1"/>
        <v/>
      </c>
      <c r="AG1295" s="15" t="str">
        <f>IF(OR(AF1295="",AF1295="ERRO_CHAVE"),"",IFERROR(MATCH(AF1295,'Quitados DUPP'!$U$1:$U$6635,0),""))</f>
        <v/>
      </c>
      <c r="AH1295" s="15" t="str">
        <f t="shared" si="2"/>
        <v/>
      </c>
      <c r="AI1295" s="17" t="str">
        <f>IF(AG1295="","",INDEX('Quitados DUPP'!$G$1:$G$6635,AG1295))</f>
        <v/>
      </c>
      <c r="AJ1295" s="17" t="str">
        <f t="shared" si="3"/>
        <v/>
      </c>
    </row>
    <row r="1296" spans="31:36">
      <c r="AE1296" s="15" t="str">
        <f t="shared" si="0"/>
        <v/>
      </c>
      <c r="AF1296" s="15" t="str">
        <f t="shared" si="1"/>
        <v/>
      </c>
      <c r="AG1296" s="15" t="str">
        <f>IF(OR(AF1296="",AF1296="ERRO_CHAVE"),"",IFERROR(MATCH(AF1296,'Quitados DUPP'!$U$1:$U$6635,0),""))</f>
        <v/>
      </c>
      <c r="AH1296" s="15" t="str">
        <f t="shared" si="2"/>
        <v/>
      </c>
      <c r="AI1296" s="17" t="str">
        <f>IF(AG1296="","",INDEX('Quitados DUPP'!$G$1:$G$6635,AG1296))</f>
        <v/>
      </c>
      <c r="AJ1296" s="17" t="str">
        <f t="shared" si="3"/>
        <v/>
      </c>
    </row>
    <row r="1297" spans="31:36">
      <c r="AE1297" s="15" t="str">
        <f t="shared" si="0"/>
        <v/>
      </c>
      <c r="AF1297" s="15" t="str">
        <f t="shared" si="1"/>
        <v/>
      </c>
      <c r="AG1297" s="15" t="str">
        <f>IF(OR(AF1297="",AF1297="ERRO_CHAVE"),"",IFERROR(MATCH(AF1297,'Quitados DUPP'!$U$1:$U$6635,0),""))</f>
        <v/>
      </c>
      <c r="AH1297" s="15" t="str">
        <f t="shared" si="2"/>
        <v/>
      </c>
      <c r="AI1297" s="17" t="str">
        <f>IF(AG1297="","",INDEX('Quitados DUPP'!$G$1:$G$6635,AG1297))</f>
        <v/>
      </c>
      <c r="AJ1297" s="17" t="str">
        <f t="shared" si="3"/>
        <v/>
      </c>
    </row>
    <row r="1298" spans="31:36">
      <c r="AE1298" s="15" t="str">
        <f t="shared" si="0"/>
        <v/>
      </c>
      <c r="AF1298" s="15" t="str">
        <f t="shared" si="1"/>
        <v/>
      </c>
      <c r="AG1298" s="15" t="str">
        <f>IF(OR(AF1298="",AF1298="ERRO_CHAVE"),"",IFERROR(MATCH(AF1298,'Quitados DUPP'!$U$1:$U$6635,0),""))</f>
        <v/>
      </c>
      <c r="AH1298" s="15" t="str">
        <f t="shared" si="2"/>
        <v/>
      </c>
      <c r="AI1298" s="17" t="str">
        <f>IF(AG1298="","",INDEX('Quitados DUPP'!$G$1:$G$6635,AG1298))</f>
        <v/>
      </c>
      <c r="AJ1298" s="17" t="str">
        <f t="shared" si="3"/>
        <v/>
      </c>
    </row>
    <row r="1299" spans="31:36">
      <c r="AE1299" s="15" t="str">
        <f t="shared" si="0"/>
        <v/>
      </c>
      <c r="AF1299" s="15" t="str">
        <f t="shared" si="1"/>
        <v/>
      </c>
      <c r="AG1299" s="15" t="str">
        <f>IF(OR(AF1299="",AF1299="ERRO_CHAVE"),"",IFERROR(MATCH(AF1299,'Quitados DUPP'!$U$1:$U$6635,0),""))</f>
        <v/>
      </c>
      <c r="AH1299" s="15" t="str">
        <f t="shared" si="2"/>
        <v/>
      </c>
      <c r="AI1299" s="17" t="str">
        <f>IF(AG1299="","",INDEX('Quitados DUPP'!$G$1:$G$6635,AG1299))</f>
        <v/>
      </c>
      <c r="AJ1299" s="17" t="str">
        <f t="shared" si="3"/>
        <v/>
      </c>
    </row>
    <row r="1300" spans="31:36">
      <c r="AE1300" s="15" t="str">
        <f t="shared" si="0"/>
        <v/>
      </c>
      <c r="AF1300" s="15" t="str">
        <f t="shared" si="1"/>
        <v/>
      </c>
      <c r="AG1300" s="15" t="str">
        <f>IF(OR(AF1300="",AF1300="ERRO_CHAVE"),"",IFERROR(MATCH(AF1300,'Quitados DUPP'!$U$1:$U$6635,0),""))</f>
        <v/>
      </c>
      <c r="AH1300" s="15" t="str">
        <f t="shared" si="2"/>
        <v/>
      </c>
      <c r="AI1300" s="17" t="str">
        <f>IF(AG1300="","",INDEX('Quitados DUPP'!$G$1:$G$6635,AG1300))</f>
        <v/>
      </c>
      <c r="AJ1300" s="17" t="str">
        <f t="shared" si="3"/>
        <v/>
      </c>
    </row>
    <row r="1301" spans="31:36">
      <c r="AE1301" s="15" t="str">
        <f t="shared" si="0"/>
        <v/>
      </c>
      <c r="AF1301" s="15" t="str">
        <f t="shared" si="1"/>
        <v/>
      </c>
      <c r="AG1301" s="15" t="str">
        <f>IF(OR(AF1301="",AF1301="ERRO_CHAVE"),"",IFERROR(MATCH(AF1301,'Quitados DUPP'!$U$1:$U$6635,0),""))</f>
        <v/>
      </c>
      <c r="AH1301" s="15" t="str">
        <f t="shared" si="2"/>
        <v/>
      </c>
      <c r="AI1301" s="17" t="str">
        <f>IF(AG1301="","",INDEX('Quitados DUPP'!$G$1:$G$6635,AG1301))</f>
        <v/>
      </c>
      <c r="AJ1301" s="17" t="str">
        <f t="shared" si="3"/>
        <v/>
      </c>
    </row>
    <row r="1302" spans="31:36">
      <c r="AE1302" s="15" t="str">
        <f t="shared" si="0"/>
        <v/>
      </c>
      <c r="AF1302" s="15" t="str">
        <f t="shared" si="1"/>
        <v/>
      </c>
      <c r="AG1302" s="15" t="str">
        <f>IF(OR(AF1302="",AF1302="ERRO_CHAVE"),"",IFERROR(MATCH(AF1302,'Quitados DUPP'!$U$1:$U$6635,0),""))</f>
        <v/>
      </c>
      <c r="AH1302" s="15" t="str">
        <f t="shared" si="2"/>
        <v/>
      </c>
      <c r="AI1302" s="17" t="str">
        <f>IF(AG1302="","",INDEX('Quitados DUPP'!$G$1:$G$6635,AG1302))</f>
        <v/>
      </c>
      <c r="AJ1302" s="17" t="str">
        <f t="shared" si="3"/>
        <v/>
      </c>
    </row>
    <row r="1303" spans="31:36">
      <c r="AE1303" s="15" t="str">
        <f t="shared" si="0"/>
        <v/>
      </c>
      <c r="AF1303" s="15" t="str">
        <f t="shared" si="1"/>
        <v/>
      </c>
      <c r="AG1303" s="15" t="str">
        <f>IF(OR(AF1303="",AF1303="ERRO_CHAVE"),"",IFERROR(MATCH(AF1303,'Quitados DUPP'!$U$1:$U$6635,0),""))</f>
        <v/>
      </c>
      <c r="AH1303" s="15" t="str">
        <f t="shared" si="2"/>
        <v/>
      </c>
      <c r="AI1303" s="17" t="str">
        <f>IF(AG1303="","",INDEX('Quitados DUPP'!$G$1:$G$6635,AG1303))</f>
        <v/>
      </c>
      <c r="AJ1303" s="17" t="str">
        <f t="shared" si="3"/>
        <v/>
      </c>
    </row>
    <row r="1304" spans="31:36">
      <c r="AE1304" s="15" t="str">
        <f t="shared" si="0"/>
        <v/>
      </c>
      <c r="AF1304" s="15" t="str">
        <f t="shared" si="1"/>
        <v/>
      </c>
      <c r="AG1304" s="15" t="str">
        <f>IF(OR(AF1304="",AF1304="ERRO_CHAVE"),"",IFERROR(MATCH(AF1304,'Quitados DUPP'!$U$1:$U$6635,0),""))</f>
        <v/>
      </c>
      <c r="AH1304" s="15" t="str">
        <f t="shared" si="2"/>
        <v/>
      </c>
      <c r="AI1304" s="17" t="str">
        <f>IF(AG1304="","",INDEX('Quitados DUPP'!$G$1:$G$6635,AG1304))</f>
        <v/>
      </c>
      <c r="AJ1304" s="17" t="str">
        <f t="shared" si="3"/>
        <v/>
      </c>
    </row>
    <row r="1305" spans="31:36">
      <c r="AE1305" s="15" t="str">
        <f t="shared" si="0"/>
        <v/>
      </c>
      <c r="AF1305" s="15" t="str">
        <f t="shared" si="1"/>
        <v/>
      </c>
      <c r="AG1305" s="15" t="str">
        <f>IF(OR(AF1305="",AF1305="ERRO_CHAVE"),"",IFERROR(MATCH(AF1305,'Quitados DUPP'!$U$1:$U$6635,0),""))</f>
        <v/>
      </c>
      <c r="AH1305" s="15" t="str">
        <f t="shared" si="2"/>
        <v/>
      </c>
      <c r="AI1305" s="17" t="str">
        <f>IF(AG1305="","",INDEX('Quitados DUPP'!$G$1:$G$6635,AG1305))</f>
        <v/>
      </c>
      <c r="AJ1305" s="17" t="str">
        <f t="shared" si="3"/>
        <v/>
      </c>
    </row>
    <row r="1306" spans="31:36">
      <c r="AE1306" s="15" t="str">
        <f t="shared" si="0"/>
        <v/>
      </c>
      <c r="AF1306" s="15" t="str">
        <f t="shared" si="1"/>
        <v/>
      </c>
      <c r="AG1306" s="15" t="str">
        <f>IF(OR(AF1306="",AF1306="ERRO_CHAVE"),"",IFERROR(MATCH(AF1306,'Quitados DUPP'!$U$1:$U$6635,0),""))</f>
        <v/>
      </c>
      <c r="AH1306" s="15" t="str">
        <f t="shared" si="2"/>
        <v/>
      </c>
      <c r="AI1306" s="17" t="str">
        <f>IF(AG1306="","",INDEX('Quitados DUPP'!$G$1:$G$6635,AG1306))</f>
        <v/>
      </c>
      <c r="AJ1306" s="17" t="str">
        <f t="shared" si="3"/>
        <v/>
      </c>
    </row>
    <row r="1307" spans="31:36">
      <c r="AE1307" s="15" t="str">
        <f t="shared" si="0"/>
        <v/>
      </c>
      <c r="AF1307" s="15" t="str">
        <f t="shared" si="1"/>
        <v/>
      </c>
      <c r="AG1307" s="15" t="str">
        <f>IF(OR(AF1307="",AF1307="ERRO_CHAVE"),"",IFERROR(MATCH(AF1307,'Quitados DUPP'!$U$1:$U$6635,0),""))</f>
        <v/>
      </c>
      <c r="AH1307" s="15" t="str">
        <f t="shared" si="2"/>
        <v/>
      </c>
      <c r="AI1307" s="17" t="str">
        <f>IF(AG1307="","",INDEX('Quitados DUPP'!$G$1:$G$6635,AG1307))</f>
        <v/>
      </c>
      <c r="AJ1307" s="17" t="str">
        <f t="shared" si="3"/>
        <v/>
      </c>
    </row>
    <row r="1308" spans="31:36">
      <c r="AE1308" s="15" t="str">
        <f t="shared" si="0"/>
        <v/>
      </c>
      <c r="AF1308" s="15" t="str">
        <f t="shared" si="1"/>
        <v/>
      </c>
      <c r="AG1308" s="15" t="str">
        <f>IF(OR(AF1308="",AF1308="ERRO_CHAVE"),"",IFERROR(MATCH(AF1308,'Quitados DUPP'!$U$1:$U$6635,0),""))</f>
        <v/>
      </c>
      <c r="AH1308" s="15" t="str">
        <f t="shared" si="2"/>
        <v/>
      </c>
      <c r="AI1308" s="17" t="str">
        <f>IF(AG1308="","",INDEX('Quitados DUPP'!$G$1:$G$6635,AG1308))</f>
        <v/>
      </c>
      <c r="AJ1308" s="17" t="str">
        <f t="shared" si="3"/>
        <v/>
      </c>
    </row>
    <row r="1309" spans="31:36">
      <c r="AE1309" s="15" t="str">
        <f t="shared" si="0"/>
        <v/>
      </c>
      <c r="AF1309" s="15" t="str">
        <f t="shared" si="1"/>
        <v/>
      </c>
      <c r="AG1309" s="15" t="str">
        <f>IF(OR(AF1309="",AF1309="ERRO_CHAVE"),"",IFERROR(MATCH(AF1309,'Quitados DUPP'!$U$1:$U$6635,0),""))</f>
        <v/>
      </c>
      <c r="AH1309" s="15" t="str">
        <f t="shared" si="2"/>
        <v/>
      </c>
      <c r="AI1309" s="17" t="str">
        <f>IF(AG1309="","",INDEX('Quitados DUPP'!$G$1:$G$6635,AG1309))</f>
        <v/>
      </c>
      <c r="AJ1309" s="17" t="str">
        <f t="shared" si="3"/>
        <v/>
      </c>
    </row>
    <row r="1310" spans="31:36">
      <c r="AE1310" s="15" t="str">
        <f t="shared" si="0"/>
        <v/>
      </c>
      <c r="AF1310" s="15" t="str">
        <f t="shared" si="1"/>
        <v/>
      </c>
      <c r="AG1310" s="15" t="str">
        <f>IF(OR(AF1310="",AF1310="ERRO_CHAVE"),"",IFERROR(MATCH(AF1310,'Quitados DUPP'!$U$1:$U$6635,0),""))</f>
        <v/>
      </c>
      <c r="AH1310" s="15" t="str">
        <f t="shared" si="2"/>
        <v/>
      </c>
      <c r="AI1310" s="17" t="str">
        <f>IF(AG1310="","",INDEX('Quitados DUPP'!$G$1:$G$6635,AG1310))</f>
        <v/>
      </c>
      <c r="AJ1310" s="17" t="str">
        <f t="shared" si="3"/>
        <v/>
      </c>
    </row>
    <row r="1311" spans="31:36">
      <c r="AE1311" s="15" t="str">
        <f t="shared" si="0"/>
        <v/>
      </c>
      <c r="AF1311" s="15" t="str">
        <f t="shared" si="1"/>
        <v/>
      </c>
      <c r="AG1311" s="15" t="str">
        <f>IF(OR(AF1311="",AF1311="ERRO_CHAVE"),"",IFERROR(MATCH(AF1311,'Quitados DUPP'!$U$1:$U$6635,0),""))</f>
        <v/>
      </c>
      <c r="AH1311" s="15" t="str">
        <f t="shared" si="2"/>
        <v/>
      </c>
      <c r="AI1311" s="17" t="str">
        <f>IF(AG1311="","",INDEX('Quitados DUPP'!$G$1:$G$6635,AG1311))</f>
        <v/>
      </c>
      <c r="AJ1311" s="17" t="str">
        <f t="shared" si="3"/>
        <v/>
      </c>
    </row>
    <row r="1312" spans="31:36">
      <c r="AE1312" s="15" t="str">
        <f t="shared" si="0"/>
        <v/>
      </c>
      <c r="AF1312" s="15" t="str">
        <f t="shared" si="1"/>
        <v/>
      </c>
      <c r="AG1312" s="15" t="str">
        <f>IF(OR(AF1312="",AF1312="ERRO_CHAVE"),"",IFERROR(MATCH(AF1312,'Quitados DUPP'!$U$1:$U$6635,0),""))</f>
        <v/>
      </c>
      <c r="AH1312" s="15" t="str">
        <f t="shared" si="2"/>
        <v/>
      </c>
      <c r="AI1312" s="17" t="str">
        <f>IF(AG1312="","",INDEX('Quitados DUPP'!$G$1:$G$6635,AG1312))</f>
        <v/>
      </c>
      <c r="AJ1312" s="17" t="str">
        <f t="shared" si="3"/>
        <v/>
      </c>
    </row>
    <row r="1313" spans="31:36">
      <c r="AE1313" s="15" t="str">
        <f t="shared" si="0"/>
        <v/>
      </c>
      <c r="AF1313" s="15" t="str">
        <f t="shared" si="1"/>
        <v/>
      </c>
      <c r="AG1313" s="15" t="str">
        <f>IF(OR(AF1313="",AF1313="ERRO_CHAVE"),"",IFERROR(MATCH(AF1313,'Quitados DUPP'!$U$1:$U$6635,0),""))</f>
        <v/>
      </c>
      <c r="AH1313" s="15" t="str">
        <f t="shared" si="2"/>
        <v/>
      </c>
      <c r="AI1313" s="17" t="str">
        <f>IF(AG1313="","",INDEX('Quitados DUPP'!$G$1:$G$6635,AG1313))</f>
        <v/>
      </c>
      <c r="AJ1313" s="17" t="str">
        <f t="shared" si="3"/>
        <v/>
      </c>
    </row>
    <row r="1314" spans="31:36">
      <c r="AE1314" s="15" t="str">
        <f t="shared" si="0"/>
        <v/>
      </c>
      <c r="AF1314" s="15" t="str">
        <f t="shared" si="1"/>
        <v/>
      </c>
      <c r="AG1314" s="15" t="str">
        <f>IF(OR(AF1314="",AF1314="ERRO_CHAVE"),"",IFERROR(MATCH(AF1314,'Quitados DUPP'!$U$1:$U$6635,0),""))</f>
        <v/>
      </c>
      <c r="AH1314" s="15" t="str">
        <f t="shared" si="2"/>
        <v/>
      </c>
      <c r="AI1314" s="17" t="str">
        <f>IF(AG1314="","",INDEX('Quitados DUPP'!$G$1:$G$6635,AG1314))</f>
        <v/>
      </c>
      <c r="AJ1314" s="17" t="str">
        <f t="shared" si="3"/>
        <v/>
      </c>
    </row>
    <row r="1315" spans="31:36">
      <c r="AE1315" s="15" t="str">
        <f t="shared" si="0"/>
        <v/>
      </c>
      <c r="AF1315" s="15" t="str">
        <f t="shared" si="1"/>
        <v/>
      </c>
      <c r="AG1315" s="15" t="str">
        <f>IF(OR(AF1315="",AF1315="ERRO_CHAVE"),"",IFERROR(MATCH(AF1315,'Quitados DUPP'!$U$1:$U$6635,0),""))</f>
        <v/>
      </c>
      <c r="AH1315" s="15" t="str">
        <f t="shared" si="2"/>
        <v/>
      </c>
      <c r="AI1315" s="17" t="str">
        <f>IF(AG1315="","",INDEX('Quitados DUPP'!$G$1:$G$6635,AG1315))</f>
        <v/>
      </c>
      <c r="AJ1315" s="17" t="str">
        <f t="shared" si="3"/>
        <v/>
      </c>
    </row>
    <row r="1316" spans="31:36">
      <c r="AE1316" s="15" t="str">
        <f t="shared" si="0"/>
        <v/>
      </c>
      <c r="AF1316" s="15" t="str">
        <f t="shared" si="1"/>
        <v/>
      </c>
      <c r="AG1316" s="15" t="str">
        <f>IF(OR(AF1316="",AF1316="ERRO_CHAVE"),"",IFERROR(MATCH(AF1316,'Quitados DUPP'!$U$1:$U$6635,0),""))</f>
        <v/>
      </c>
      <c r="AH1316" s="15" t="str">
        <f t="shared" si="2"/>
        <v/>
      </c>
      <c r="AI1316" s="17" t="str">
        <f>IF(AG1316="","",INDEX('Quitados DUPP'!$G$1:$G$6635,AG1316))</f>
        <v/>
      </c>
      <c r="AJ1316" s="17" t="str">
        <f t="shared" si="3"/>
        <v/>
      </c>
    </row>
    <row r="1317" spans="31:36">
      <c r="AE1317" s="15" t="str">
        <f t="shared" si="0"/>
        <v/>
      </c>
      <c r="AF1317" s="15" t="str">
        <f t="shared" si="1"/>
        <v/>
      </c>
      <c r="AG1317" s="15" t="str">
        <f>IF(OR(AF1317="",AF1317="ERRO_CHAVE"),"",IFERROR(MATCH(AF1317,'Quitados DUPP'!$U$1:$U$6635,0),""))</f>
        <v/>
      </c>
      <c r="AH1317" s="15" t="str">
        <f t="shared" si="2"/>
        <v/>
      </c>
      <c r="AI1317" s="17" t="str">
        <f>IF(AG1317="","",INDEX('Quitados DUPP'!$G$1:$G$6635,AG1317))</f>
        <v/>
      </c>
      <c r="AJ1317" s="17" t="str">
        <f t="shared" si="3"/>
        <v/>
      </c>
    </row>
    <row r="1318" spans="31:36">
      <c r="AE1318" s="15" t="str">
        <f t="shared" si="0"/>
        <v/>
      </c>
      <c r="AF1318" s="15" t="str">
        <f t="shared" si="1"/>
        <v/>
      </c>
      <c r="AG1318" s="15" t="str">
        <f>IF(OR(AF1318="",AF1318="ERRO_CHAVE"),"",IFERROR(MATCH(AF1318,'Quitados DUPP'!$U$1:$U$6635,0),""))</f>
        <v/>
      </c>
      <c r="AH1318" s="15" t="str">
        <f t="shared" si="2"/>
        <v/>
      </c>
      <c r="AI1318" s="17" t="str">
        <f>IF(AG1318="","",INDEX('Quitados DUPP'!$G$1:$G$6635,AG1318))</f>
        <v/>
      </c>
      <c r="AJ1318" s="17" t="str">
        <f t="shared" si="3"/>
        <v/>
      </c>
    </row>
    <row r="1319" spans="31:36">
      <c r="AE1319" s="15" t="str">
        <f t="shared" si="0"/>
        <v/>
      </c>
      <c r="AF1319" s="15" t="str">
        <f t="shared" si="1"/>
        <v/>
      </c>
      <c r="AG1319" s="15" t="str">
        <f>IF(OR(AF1319="",AF1319="ERRO_CHAVE"),"",IFERROR(MATCH(AF1319,'Quitados DUPP'!$U$1:$U$6635,0),""))</f>
        <v/>
      </c>
      <c r="AH1319" s="15" t="str">
        <f t="shared" si="2"/>
        <v/>
      </c>
      <c r="AI1319" s="17" t="str">
        <f>IF(AG1319="","",INDEX('Quitados DUPP'!$G$1:$G$6635,AG1319))</f>
        <v/>
      </c>
      <c r="AJ1319" s="17" t="str">
        <f t="shared" si="3"/>
        <v/>
      </c>
    </row>
    <row r="1320" spans="31:36">
      <c r="AE1320" s="15" t="str">
        <f t="shared" si="0"/>
        <v/>
      </c>
      <c r="AF1320" s="15" t="str">
        <f t="shared" si="1"/>
        <v/>
      </c>
      <c r="AG1320" s="15" t="str">
        <f>IF(OR(AF1320="",AF1320="ERRO_CHAVE"),"",IFERROR(MATCH(AF1320,'Quitados DUPP'!$U$1:$U$6635,0),""))</f>
        <v/>
      </c>
      <c r="AH1320" s="15" t="str">
        <f t="shared" si="2"/>
        <v/>
      </c>
      <c r="AI1320" s="17" t="str">
        <f>IF(AG1320="","",INDEX('Quitados DUPP'!$G$1:$G$6635,AG1320))</f>
        <v/>
      </c>
      <c r="AJ1320" s="17" t="str">
        <f t="shared" si="3"/>
        <v/>
      </c>
    </row>
    <row r="1321" spans="31:36">
      <c r="AE1321" s="15" t="str">
        <f t="shared" si="0"/>
        <v/>
      </c>
      <c r="AF1321" s="15" t="str">
        <f t="shared" si="1"/>
        <v/>
      </c>
      <c r="AG1321" s="15" t="str">
        <f>IF(OR(AF1321="",AF1321="ERRO_CHAVE"),"",IFERROR(MATCH(AF1321,'Quitados DUPP'!$U$1:$U$6635,0),""))</f>
        <v/>
      </c>
      <c r="AH1321" s="15" t="str">
        <f t="shared" si="2"/>
        <v/>
      </c>
      <c r="AI1321" s="17" t="str">
        <f>IF(AG1321="","",INDEX('Quitados DUPP'!$G$1:$G$6635,AG1321))</f>
        <v/>
      </c>
      <c r="AJ1321" s="17" t="str">
        <f t="shared" si="3"/>
        <v/>
      </c>
    </row>
    <row r="1322" spans="31:36">
      <c r="AE1322" s="15" t="str">
        <f t="shared" si="0"/>
        <v/>
      </c>
      <c r="AF1322" s="15" t="str">
        <f t="shared" si="1"/>
        <v/>
      </c>
      <c r="AG1322" s="15" t="str">
        <f>IF(OR(AF1322="",AF1322="ERRO_CHAVE"),"",IFERROR(MATCH(AF1322,'Quitados DUPP'!$U$1:$U$6635,0),""))</f>
        <v/>
      </c>
      <c r="AH1322" s="15" t="str">
        <f t="shared" si="2"/>
        <v/>
      </c>
      <c r="AI1322" s="17" t="str">
        <f>IF(AG1322="","",INDEX('Quitados DUPP'!$G$1:$G$6635,AG1322))</f>
        <v/>
      </c>
      <c r="AJ1322" s="17" t="str">
        <f t="shared" si="3"/>
        <v/>
      </c>
    </row>
    <row r="1323" spans="31:36">
      <c r="AE1323" s="15" t="str">
        <f t="shared" si="0"/>
        <v/>
      </c>
      <c r="AF1323" s="15" t="str">
        <f t="shared" si="1"/>
        <v/>
      </c>
      <c r="AG1323" s="15" t="str">
        <f>IF(OR(AF1323="",AF1323="ERRO_CHAVE"),"",IFERROR(MATCH(AF1323,'Quitados DUPP'!$U$1:$U$6635,0),""))</f>
        <v/>
      </c>
      <c r="AH1323" s="15" t="str">
        <f t="shared" si="2"/>
        <v/>
      </c>
      <c r="AI1323" s="17" t="str">
        <f>IF(AG1323="","",INDEX('Quitados DUPP'!$G$1:$G$6635,AG1323))</f>
        <v/>
      </c>
      <c r="AJ1323" s="17" t="str">
        <f t="shared" si="3"/>
        <v/>
      </c>
    </row>
    <row r="1324" spans="31:36">
      <c r="AE1324" s="15" t="str">
        <f t="shared" si="0"/>
        <v/>
      </c>
      <c r="AF1324" s="15" t="str">
        <f t="shared" si="1"/>
        <v/>
      </c>
      <c r="AG1324" s="15" t="str">
        <f>IF(OR(AF1324="",AF1324="ERRO_CHAVE"),"",IFERROR(MATCH(AF1324,'Quitados DUPP'!$U$1:$U$6635,0),""))</f>
        <v/>
      </c>
      <c r="AH1324" s="15" t="str">
        <f t="shared" si="2"/>
        <v/>
      </c>
      <c r="AI1324" s="17" t="str">
        <f>IF(AG1324="","",INDEX('Quitados DUPP'!$G$1:$G$6635,AG1324))</f>
        <v/>
      </c>
      <c r="AJ1324" s="17" t="str">
        <f t="shared" si="3"/>
        <v/>
      </c>
    </row>
    <row r="1325" spans="31:36">
      <c r="AE1325" s="15" t="str">
        <f t="shared" si="0"/>
        <v/>
      </c>
      <c r="AF1325" s="15" t="str">
        <f t="shared" si="1"/>
        <v/>
      </c>
      <c r="AG1325" s="15" t="str">
        <f>IF(OR(AF1325="",AF1325="ERRO_CHAVE"),"",IFERROR(MATCH(AF1325,'Quitados DUPP'!$U$1:$U$6635,0),""))</f>
        <v/>
      </c>
      <c r="AH1325" s="15" t="str">
        <f t="shared" si="2"/>
        <v/>
      </c>
      <c r="AI1325" s="17" t="str">
        <f>IF(AG1325="","",INDEX('Quitados DUPP'!$G$1:$G$6635,AG1325))</f>
        <v/>
      </c>
      <c r="AJ1325" s="17" t="str">
        <f t="shared" si="3"/>
        <v/>
      </c>
    </row>
    <row r="1326" spans="31:36">
      <c r="AE1326" s="15" t="str">
        <f t="shared" si="0"/>
        <v/>
      </c>
      <c r="AF1326" s="15" t="str">
        <f t="shared" si="1"/>
        <v/>
      </c>
      <c r="AG1326" s="15" t="str">
        <f>IF(OR(AF1326="",AF1326="ERRO_CHAVE"),"",IFERROR(MATCH(AF1326,'Quitados DUPP'!$U$1:$U$6635,0),""))</f>
        <v/>
      </c>
      <c r="AH1326" s="15" t="str">
        <f t="shared" si="2"/>
        <v/>
      </c>
      <c r="AI1326" s="17" t="str">
        <f>IF(AG1326="","",INDEX('Quitados DUPP'!$G$1:$G$6635,AG1326))</f>
        <v/>
      </c>
      <c r="AJ1326" s="17" t="str">
        <f t="shared" si="3"/>
        <v/>
      </c>
    </row>
    <row r="1327" spans="31:36">
      <c r="AE1327" s="15" t="str">
        <f t="shared" si="0"/>
        <v/>
      </c>
      <c r="AF1327" s="15" t="str">
        <f t="shared" si="1"/>
        <v/>
      </c>
      <c r="AG1327" s="15" t="str">
        <f>IF(OR(AF1327="",AF1327="ERRO_CHAVE"),"",IFERROR(MATCH(AF1327,'Quitados DUPP'!$U$1:$U$6635,0),""))</f>
        <v/>
      </c>
      <c r="AH1327" s="15" t="str">
        <f t="shared" si="2"/>
        <v/>
      </c>
      <c r="AI1327" s="17" t="str">
        <f>IF(AG1327="","",INDEX('Quitados DUPP'!$G$1:$G$6635,AG1327))</f>
        <v/>
      </c>
      <c r="AJ1327" s="17" t="str">
        <f t="shared" si="3"/>
        <v/>
      </c>
    </row>
    <row r="1328" spans="31:36">
      <c r="AE1328" s="15" t="str">
        <f t="shared" si="0"/>
        <v/>
      </c>
      <c r="AF1328" s="15" t="str">
        <f t="shared" si="1"/>
        <v/>
      </c>
      <c r="AG1328" s="15" t="str">
        <f>IF(OR(AF1328="",AF1328="ERRO_CHAVE"),"",IFERROR(MATCH(AF1328,'Quitados DUPP'!$U$1:$U$6635,0),""))</f>
        <v/>
      </c>
      <c r="AH1328" s="15" t="str">
        <f t="shared" si="2"/>
        <v/>
      </c>
      <c r="AI1328" s="17" t="str">
        <f>IF(AG1328="","",INDEX('Quitados DUPP'!$G$1:$G$6635,AG1328))</f>
        <v/>
      </c>
      <c r="AJ1328" s="17" t="str">
        <f t="shared" si="3"/>
        <v/>
      </c>
    </row>
    <row r="1329" spans="31:36">
      <c r="AE1329" s="15" t="str">
        <f t="shared" si="0"/>
        <v/>
      </c>
      <c r="AF1329" s="15" t="str">
        <f t="shared" si="1"/>
        <v/>
      </c>
      <c r="AG1329" s="15" t="str">
        <f>IF(OR(AF1329="",AF1329="ERRO_CHAVE"),"",IFERROR(MATCH(AF1329,'Quitados DUPP'!$U$1:$U$6635,0),""))</f>
        <v/>
      </c>
      <c r="AH1329" s="15" t="str">
        <f t="shared" si="2"/>
        <v/>
      </c>
      <c r="AI1329" s="17" t="str">
        <f>IF(AG1329="","",INDEX('Quitados DUPP'!$G$1:$G$6635,AG1329))</f>
        <v/>
      </c>
      <c r="AJ1329" s="17" t="str">
        <f t="shared" si="3"/>
        <v/>
      </c>
    </row>
    <row r="1330" spans="31:36">
      <c r="AE1330" s="15" t="str">
        <f t="shared" si="0"/>
        <v/>
      </c>
      <c r="AF1330" s="15" t="str">
        <f t="shared" si="1"/>
        <v/>
      </c>
      <c r="AG1330" s="15" t="str">
        <f>IF(OR(AF1330="",AF1330="ERRO_CHAVE"),"",IFERROR(MATCH(AF1330,'Quitados DUPP'!$U$1:$U$6635,0),""))</f>
        <v/>
      </c>
      <c r="AH1330" s="15" t="str">
        <f t="shared" si="2"/>
        <v/>
      </c>
      <c r="AI1330" s="17" t="str">
        <f>IF(AG1330="","",INDEX('Quitados DUPP'!$G$1:$G$6635,AG1330))</f>
        <v/>
      </c>
      <c r="AJ1330" s="17" t="str">
        <f t="shared" si="3"/>
        <v/>
      </c>
    </row>
    <row r="1331" spans="31:36">
      <c r="AE1331" s="15" t="str">
        <f t="shared" si="0"/>
        <v/>
      </c>
      <c r="AF1331" s="15" t="str">
        <f t="shared" si="1"/>
        <v/>
      </c>
      <c r="AG1331" s="15" t="str">
        <f>IF(OR(AF1331="",AF1331="ERRO_CHAVE"),"",IFERROR(MATCH(AF1331,'Quitados DUPP'!$U$1:$U$6635,0),""))</f>
        <v/>
      </c>
      <c r="AH1331" s="15" t="str">
        <f t="shared" si="2"/>
        <v/>
      </c>
      <c r="AI1331" s="17" t="str">
        <f>IF(AG1331="","",INDEX('Quitados DUPP'!$G$1:$G$6635,AG1331))</f>
        <v/>
      </c>
      <c r="AJ1331" s="17" t="str">
        <f t="shared" si="3"/>
        <v/>
      </c>
    </row>
    <row r="1332" spans="31:36">
      <c r="AE1332" s="15" t="str">
        <f t="shared" si="0"/>
        <v/>
      </c>
      <c r="AF1332" s="15" t="str">
        <f t="shared" si="1"/>
        <v/>
      </c>
      <c r="AG1332" s="15" t="str">
        <f>IF(OR(AF1332="",AF1332="ERRO_CHAVE"),"",IFERROR(MATCH(AF1332,'Quitados DUPP'!$U$1:$U$6635,0),""))</f>
        <v/>
      </c>
      <c r="AH1332" s="15" t="str">
        <f t="shared" si="2"/>
        <v/>
      </c>
      <c r="AI1332" s="17" t="str">
        <f>IF(AG1332="","",INDEX('Quitados DUPP'!$G$1:$G$6635,AG1332))</f>
        <v/>
      </c>
      <c r="AJ1332" s="17" t="str">
        <f t="shared" si="3"/>
        <v/>
      </c>
    </row>
    <row r="1333" spans="31:36">
      <c r="AE1333" s="15" t="str">
        <f t="shared" si="0"/>
        <v/>
      </c>
      <c r="AF1333" s="15" t="str">
        <f t="shared" si="1"/>
        <v/>
      </c>
      <c r="AG1333" s="15" t="str">
        <f>IF(OR(AF1333="",AF1333="ERRO_CHAVE"),"",IFERROR(MATCH(AF1333,'Quitados DUPP'!$U$1:$U$6635,0),""))</f>
        <v/>
      </c>
      <c r="AH1333" s="15" t="str">
        <f t="shared" si="2"/>
        <v/>
      </c>
      <c r="AI1333" s="17" t="str">
        <f>IF(AG1333="","",INDEX('Quitados DUPP'!$G$1:$G$6635,AG1333))</f>
        <v/>
      </c>
      <c r="AJ1333" s="17" t="str">
        <f t="shared" si="3"/>
        <v/>
      </c>
    </row>
    <row r="1334" spans="31:36">
      <c r="AE1334" s="15" t="str">
        <f t="shared" si="0"/>
        <v/>
      </c>
      <c r="AF1334" s="15" t="str">
        <f t="shared" si="1"/>
        <v/>
      </c>
      <c r="AG1334" s="15" t="str">
        <f>IF(OR(AF1334="",AF1334="ERRO_CHAVE"),"",IFERROR(MATCH(AF1334,'Quitados DUPP'!$U$1:$U$6635,0),""))</f>
        <v/>
      </c>
      <c r="AH1334" s="15" t="str">
        <f t="shared" si="2"/>
        <v/>
      </c>
      <c r="AI1334" s="17" t="str">
        <f>IF(AG1334="","",INDEX('Quitados DUPP'!$G$1:$G$6635,AG1334))</f>
        <v/>
      </c>
      <c r="AJ1334" s="17" t="str">
        <f t="shared" si="3"/>
        <v/>
      </c>
    </row>
    <row r="1335" spans="31:36">
      <c r="AE1335" s="15" t="str">
        <f t="shared" si="0"/>
        <v/>
      </c>
      <c r="AF1335" s="15" t="str">
        <f t="shared" si="1"/>
        <v/>
      </c>
      <c r="AG1335" s="15" t="str">
        <f>IF(OR(AF1335="",AF1335="ERRO_CHAVE"),"",IFERROR(MATCH(AF1335,'Quitados DUPP'!$U$1:$U$6635,0),""))</f>
        <v/>
      </c>
      <c r="AH1335" s="15" t="str">
        <f t="shared" si="2"/>
        <v/>
      </c>
      <c r="AI1335" s="17" t="str">
        <f>IF(AG1335="","",INDEX('Quitados DUPP'!$G$1:$G$6635,AG1335))</f>
        <v/>
      </c>
      <c r="AJ1335" s="17" t="str">
        <f t="shared" si="3"/>
        <v/>
      </c>
    </row>
    <row r="1336" spans="31:36">
      <c r="AE1336" s="15" t="str">
        <f t="shared" si="0"/>
        <v/>
      </c>
      <c r="AF1336" s="15" t="str">
        <f t="shared" si="1"/>
        <v/>
      </c>
      <c r="AG1336" s="15" t="str">
        <f>IF(OR(AF1336="",AF1336="ERRO_CHAVE"),"",IFERROR(MATCH(AF1336,'Quitados DUPP'!$U$1:$U$6635,0),""))</f>
        <v/>
      </c>
      <c r="AH1336" s="15" t="str">
        <f t="shared" si="2"/>
        <v/>
      </c>
      <c r="AI1336" s="17" t="str">
        <f>IF(AG1336="","",INDEX('Quitados DUPP'!$G$1:$G$6635,AG1336))</f>
        <v/>
      </c>
      <c r="AJ1336" s="17" t="str">
        <f t="shared" si="3"/>
        <v/>
      </c>
    </row>
    <row r="1337" spans="31:36">
      <c r="AE1337" s="15" t="str">
        <f t="shared" si="0"/>
        <v/>
      </c>
      <c r="AF1337" s="15" t="str">
        <f t="shared" si="1"/>
        <v/>
      </c>
      <c r="AG1337" s="15" t="str">
        <f>IF(OR(AF1337="",AF1337="ERRO_CHAVE"),"",IFERROR(MATCH(AF1337,'Quitados DUPP'!$U$1:$U$6635,0),""))</f>
        <v/>
      </c>
      <c r="AH1337" s="15" t="str">
        <f t="shared" si="2"/>
        <v/>
      </c>
      <c r="AI1337" s="17" t="str">
        <f>IF(AG1337="","",INDEX('Quitados DUPP'!$G$1:$G$6635,AG1337))</f>
        <v/>
      </c>
      <c r="AJ1337" s="17" t="str">
        <f t="shared" si="3"/>
        <v/>
      </c>
    </row>
    <row r="1338" spans="31:36">
      <c r="AE1338" s="15" t="str">
        <f t="shared" si="0"/>
        <v/>
      </c>
      <c r="AF1338" s="15" t="str">
        <f t="shared" si="1"/>
        <v/>
      </c>
      <c r="AG1338" s="15" t="str">
        <f>IF(OR(AF1338="",AF1338="ERRO_CHAVE"),"",IFERROR(MATCH(AF1338,'Quitados DUPP'!$U$1:$U$6635,0),""))</f>
        <v/>
      </c>
      <c r="AH1338" s="15" t="str">
        <f t="shared" si="2"/>
        <v/>
      </c>
      <c r="AI1338" s="17" t="str">
        <f>IF(AG1338="","",INDEX('Quitados DUPP'!$G$1:$G$6635,AG1338))</f>
        <v/>
      </c>
      <c r="AJ1338" s="17" t="str">
        <f t="shared" si="3"/>
        <v/>
      </c>
    </row>
    <row r="1339" spans="31:36">
      <c r="AE1339" s="15" t="str">
        <f t="shared" si="0"/>
        <v/>
      </c>
      <c r="AF1339" s="15" t="str">
        <f t="shared" si="1"/>
        <v/>
      </c>
      <c r="AG1339" s="15" t="str">
        <f>IF(OR(AF1339="",AF1339="ERRO_CHAVE"),"",IFERROR(MATCH(AF1339,'Quitados DUPP'!$U$1:$U$6635,0),""))</f>
        <v/>
      </c>
      <c r="AH1339" s="15" t="str">
        <f t="shared" si="2"/>
        <v/>
      </c>
      <c r="AI1339" s="17" t="str">
        <f>IF(AG1339="","",INDEX('Quitados DUPP'!$G$1:$G$6635,AG1339))</f>
        <v/>
      </c>
      <c r="AJ1339" s="17" t="str">
        <f t="shared" si="3"/>
        <v/>
      </c>
    </row>
    <row r="1340" spans="31:36">
      <c r="AE1340" s="15" t="str">
        <f t="shared" si="0"/>
        <v/>
      </c>
      <c r="AF1340" s="15" t="str">
        <f t="shared" si="1"/>
        <v/>
      </c>
      <c r="AG1340" s="15" t="str">
        <f>IF(OR(AF1340="",AF1340="ERRO_CHAVE"),"",IFERROR(MATCH(AF1340,'Quitados DUPP'!$U$1:$U$6635,0),""))</f>
        <v/>
      </c>
      <c r="AH1340" s="15" t="str">
        <f t="shared" si="2"/>
        <v/>
      </c>
      <c r="AI1340" s="17" t="str">
        <f>IF(AG1340="","",INDEX('Quitados DUPP'!$G$1:$G$6635,AG1340))</f>
        <v/>
      </c>
      <c r="AJ1340" s="17" t="str">
        <f t="shared" si="3"/>
        <v/>
      </c>
    </row>
    <row r="1341" spans="31:36">
      <c r="AE1341" s="15" t="str">
        <f t="shared" si="0"/>
        <v/>
      </c>
      <c r="AF1341" s="15" t="str">
        <f t="shared" si="1"/>
        <v/>
      </c>
      <c r="AG1341" s="15" t="str">
        <f>IF(OR(AF1341="",AF1341="ERRO_CHAVE"),"",IFERROR(MATCH(AF1341,'Quitados DUPP'!$U$1:$U$6635,0),""))</f>
        <v/>
      </c>
      <c r="AH1341" s="15" t="str">
        <f t="shared" si="2"/>
        <v/>
      </c>
      <c r="AI1341" s="17" t="str">
        <f>IF(AG1341="","",INDEX('Quitados DUPP'!$G$1:$G$6635,AG1341))</f>
        <v/>
      </c>
      <c r="AJ1341" s="17" t="str">
        <f t="shared" si="3"/>
        <v/>
      </c>
    </row>
    <row r="1342" spans="31:36">
      <c r="AE1342" s="15" t="str">
        <f t="shared" si="0"/>
        <v/>
      </c>
      <c r="AF1342" s="15" t="str">
        <f t="shared" si="1"/>
        <v/>
      </c>
      <c r="AG1342" s="15" t="str">
        <f>IF(OR(AF1342="",AF1342="ERRO_CHAVE"),"",IFERROR(MATCH(AF1342,'Quitados DUPP'!$U$1:$U$6635,0),""))</f>
        <v/>
      </c>
      <c r="AH1342" s="15" t="str">
        <f t="shared" si="2"/>
        <v/>
      </c>
      <c r="AI1342" s="17" t="str">
        <f>IF(AG1342="","",INDEX('Quitados DUPP'!$G$1:$G$6635,AG1342))</f>
        <v/>
      </c>
      <c r="AJ1342" s="17" t="str">
        <f t="shared" si="3"/>
        <v/>
      </c>
    </row>
    <row r="1343" spans="31:36">
      <c r="AE1343" s="15" t="str">
        <f t="shared" si="0"/>
        <v/>
      </c>
      <c r="AF1343" s="15" t="str">
        <f t="shared" si="1"/>
        <v/>
      </c>
      <c r="AG1343" s="15" t="str">
        <f>IF(OR(AF1343="",AF1343="ERRO_CHAVE"),"",IFERROR(MATCH(AF1343,'Quitados DUPP'!$U$1:$U$6635,0),""))</f>
        <v/>
      </c>
      <c r="AH1343" s="15" t="str">
        <f t="shared" si="2"/>
        <v/>
      </c>
      <c r="AI1343" s="17" t="str">
        <f>IF(AG1343="","",INDEX('Quitados DUPP'!$G$1:$G$6635,AG1343))</f>
        <v/>
      </c>
      <c r="AJ1343" s="17" t="str">
        <f t="shared" si="3"/>
        <v/>
      </c>
    </row>
    <row r="1344" spans="31:36">
      <c r="AE1344" s="15" t="str">
        <f t="shared" si="0"/>
        <v/>
      </c>
      <c r="AF1344" s="15" t="str">
        <f t="shared" si="1"/>
        <v/>
      </c>
      <c r="AG1344" s="15" t="str">
        <f>IF(OR(AF1344="",AF1344="ERRO_CHAVE"),"",IFERROR(MATCH(AF1344,'Quitados DUPP'!$U$1:$U$6635,0),""))</f>
        <v/>
      </c>
      <c r="AH1344" s="15" t="str">
        <f t="shared" si="2"/>
        <v/>
      </c>
      <c r="AI1344" s="17" t="str">
        <f>IF(AG1344="","",INDEX('Quitados DUPP'!$G$1:$G$6635,AG1344))</f>
        <v/>
      </c>
      <c r="AJ1344" s="17" t="str">
        <f t="shared" si="3"/>
        <v/>
      </c>
    </row>
    <row r="1345" spans="31:36">
      <c r="AE1345" s="15" t="str">
        <f t="shared" si="0"/>
        <v/>
      </c>
      <c r="AF1345" s="15" t="str">
        <f t="shared" si="1"/>
        <v/>
      </c>
      <c r="AG1345" s="15" t="str">
        <f>IF(OR(AF1345="",AF1345="ERRO_CHAVE"),"",IFERROR(MATCH(AF1345,'Quitados DUPP'!$U$1:$U$6635,0),""))</f>
        <v/>
      </c>
      <c r="AH1345" s="15" t="str">
        <f t="shared" si="2"/>
        <v/>
      </c>
      <c r="AI1345" s="17" t="str">
        <f>IF(AG1345="","",INDEX('Quitados DUPP'!$G$1:$G$6635,AG1345))</f>
        <v/>
      </c>
      <c r="AJ1345" s="17" t="str">
        <f t="shared" si="3"/>
        <v/>
      </c>
    </row>
    <row r="1346" spans="31:36">
      <c r="AE1346" s="15" t="str">
        <f t="shared" si="0"/>
        <v/>
      </c>
      <c r="AF1346" s="15" t="str">
        <f t="shared" si="1"/>
        <v/>
      </c>
      <c r="AG1346" s="15" t="str">
        <f>IF(OR(AF1346="",AF1346="ERRO_CHAVE"),"",IFERROR(MATCH(AF1346,'Quitados DUPP'!$U$1:$U$6635,0),""))</f>
        <v/>
      </c>
      <c r="AH1346" s="15" t="str">
        <f t="shared" si="2"/>
        <v/>
      </c>
      <c r="AI1346" s="17" t="str">
        <f>IF(AG1346="","",INDEX('Quitados DUPP'!$G$1:$G$6635,AG1346))</f>
        <v/>
      </c>
      <c r="AJ1346" s="17" t="str">
        <f t="shared" si="3"/>
        <v/>
      </c>
    </row>
    <row r="1347" spans="31:36">
      <c r="AE1347" s="15" t="str">
        <f t="shared" si="0"/>
        <v/>
      </c>
      <c r="AF1347" s="15" t="str">
        <f t="shared" si="1"/>
        <v/>
      </c>
      <c r="AG1347" s="15" t="str">
        <f>IF(OR(AF1347="",AF1347="ERRO_CHAVE"),"",IFERROR(MATCH(AF1347,'Quitados DUPP'!$U$1:$U$6635,0),""))</f>
        <v/>
      </c>
      <c r="AH1347" s="15" t="str">
        <f t="shared" si="2"/>
        <v/>
      </c>
      <c r="AI1347" s="17" t="str">
        <f>IF(AG1347="","",INDEX('Quitados DUPP'!$G$1:$G$6635,AG1347))</f>
        <v/>
      </c>
      <c r="AJ1347" s="17" t="str">
        <f t="shared" si="3"/>
        <v/>
      </c>
    </row>
    <row r="1348" spans="31:36">
      <c r="AE1348" s="15" t="str">
        <f t="shared" si="0"/>
        <v/>
      </c>
      <c r="AF1348" s="15" t="str">
        <f t="shared" si="1"/>
        <v/>
      </c>
      <c r="AG1348" s="15" t="str">
        <f>IF(OR(AF1348="",AF1348="ERRO_CHAVE"),"",IFERROR(MATCH(AF1348,'Quitados DUPP'!$U$1:$U$6635,0),""))</f>
        <v/>
      </c>
      <c r="AH1348" s="15" t="str">
        <f t="shared" si="2"/>
        <v/>
      </c>
      <c r="AI1348" s="17" t="str">
        <f>IF(AG1348="","",INDEX('Quitados DUPP'!$G$1:$G$6635,AG1348))</f>
        <v/>
      </c>
      <c r="AJ1348" s="17" t="str">
        <f t="shared" si="3"/>
        <v/>
      </c>
    </row>
    <row r="1349" spans="31:36">
      <c r="AE1349" s="15" t="str">
        <f t="shared" si="0"/>
        <v/>
      </c>
      <c r="AF1349" s="15" t="str">
        <f t="shared" si="1"/>
        <v/>
      </c>
      <c r="AG1349" s="15" t="str">
        <f>IF(OR(AF1349="",AF1349="ERRO_CHAVE"),"",IFERROR(MATCH(AF1349,'Quitados DUPP'!$U$1:$U$6635,0),""))</f>
        <v/>
      </c>
      <c r="AH1349" s="15" t="str">
        <f t="shared" si="2"/>
        <v/>
      </c>
      <c r="AI1349" s="17" t="str">
        <f>IF(AG1349="","",INDEX('Quitados DUPP'!$G$1:$G$6635,AG1349))</f>
        <v/>
      </c>
      <c r="AJ1349" s="17" t="str">
        <f t="shared" si="3"/>
        <v/>
      </c>
    </row>
    <row r="1350" spans="31:36">
      <c r="AE1350" s="15" t="str">
        <f t="shared" si="0"/>
        <v/>
      </c>
      <c r="AF1350" s="15" t="str">
        <f t="shared" si="1"/>
        <v/>
      </c>
      <c r="AG1350" s="15" t="str">
        <f>IF(OR(AF1350="",AF1350="ERRO_CHAVE"),"",IFERROR(MATCH(AF1350,'Quitados DUPP'!$U$1:$U$6635,0),""))</f>
        <v/>
      </c>
      <c r="AH1350" s="15" t="str">
        <f t="shared" si="2"/>
        <v/>
      </c>
      <c r="AI1350" s="17" t="str">
        <f>IF(AG1350="","",INDEX('Quitados DUPP'!$G$1:$G$6635,AG1350))</f>
        <v/>
      </c>
      <c r="AJ1350" s="17" t="str">
        <f t="shared" si="3"/>
        <v/>
      </c>
    </row>
    <row r="1351" spans="31:36">
      <c r="AE1351" s="15" t="str">
        <f t="shared" si="0"/>
        <v/>
      </c>
      <c r="AF1351" s="15" t="str">
        <f t="shared" si="1"/>
        <v/>
      </c>
      <c r="AG1351" s="15" t="str">
        <f>IF(OR(AF1351="",AF1351="ERRO_CHAVE"),"",IFERROR(MATCH(AF1351,'Quitados DUPP'!$U$1:$U$6635,0),""))</f>
        <v/>
      </c>
      <c r="AH1351" s="15" t="str">
        <f t="shared" si="2"/>
        <v/>
      </c>
      <c r="AI1351" s="17" t="str">
        <f>IF(AG1351="","",INDEX('Quitados DUPP'!$G$1:$G$6635,AG1351))</f>
        <v/>
      </c>
      <c r="AJ1351" s="17" t="str">
        <f t="shared" si="3"/>
        <v/>
      </c>
    </row>
    <row r="1352" spans="31:36">
      <c r="AE1352" s="15" t="str">
        <f t="shared" si="0"/>
        <v/>
      </c>
      <c r="AF1352" s="15" t="str">
        <f t="shared" si="1"/>
        <v/>
      </c>
      <c r="AG1352" s="15" t="str">
        <f>IF(OR(AF1352="",AF1352="ERRO_CHAVE"),"",IFERROR(MATCH(AF1352,'Quitados DUPP'!$U$1:$U$6635,0),""))</f>
        <v/>
      </c>
      <c r="AH1352" s="15" t="str">
        <f t="shared" si="2"/>
        <v/>
      </c>
      <c r="AI1352" s="17" t="str">
        <f>IF(AG1352="","",INDEX('Quitados DUPP'!$G$1:$G$6635,AG1352))</f>
        <v/>
      </c>
      <c r="AJ1352" s="17" t="str">
        <f t="shared" si="3"/>
        <v/>
      </c>
    </row>
    <row r="1353" spans="31:36">
      <c r="AE1353" s="15" t="str">
        <f t="shared" si="0"/>
        <v/>
      </c>
      <c r="AF1353" s="15" t="str">
        <f t="shared" si="1"/>
        <v/>
      </c>
      <c r="AG1353" s="15" t="str">
        <f>IF(OR(AF1353="",AF1353="ERRO_CHAVE"),"",IFERROR(MATCH(AF1353,'Quitados DUPP'!$U$1:$U$6635,0),""))</f>
        <v/>
      </c>
      <c r="AH1353" s="15" t="str">
        <f t="shared" si="2"/>
        <v/>
      </c>
      <c r="AI1353" s="17" t="str">
        <f>IF(AG1353="","",INDEX('Quitados DUPP'!$G$1:$G$6635,AG1353))</f>
        <v/>
      </c>
      <c r="AJ1353" s="17" t="str">
        <f t="shared" si="3"/>
        <v/>
      </c>
    </row>
    <row r="1354" spans="31:36">
      <c r="AE1354" s="15" t="str">
        <f t="shared" si="0"/>
        <v/>
      </c>
      <c r="AF1354" s="15" t="str">
        <f t="shared" si="1"/>
        <v/>
      </c>
      <c r="AG1354" s="15" t="str">
        <f>IF(OR(AF1354="",AF1354="ERRO_CHAVE"),"",IFERROR(MATCH(AF1354,'Quitados DUPP'!$U$1:$U$6635,0),""))</f>
        <v/>
      </c>
      <c r="AH1354" s="15" t="str">
        <f t="shared" si="2"/>
        <v/>
      </c>
      <c r="AI1354" s="17" t="str">
        <f>IF(AG1354="","",INDEX('Quitados DUPP'!$G$1:$G$6635,AG1354))</f>
        <v/>
      </c>
      <c r="AJ1354" s="17" t="str">
        <f t="shared" si="3"/>
        <v/>
      </c>
    </row>
    <row r="1355" spans="31:36">
      <c r="AE1355" s="15" t="str">
        <f t="shared" si="0"/>
        <v/>
      </c>
      <c r="AF1355" s="15" t="str">
        <f t="shared" si="1"/>
        <v/>
      </c>
      <c r="AG1355" s="15" t="str">
        <f>IF(OR(AF1355="",AF1355="ERRO_CHAVE"),"",IFERROR(MATCH(AF1355,'Quitados DUPP'!$U$1:$U$6635,0),""))</f>
        <v/>
      </c>
      <c r="AH1355" s="15" t="str">
        <f t="shared" si="2"/>
        <v/>
      </c>
      <c r="AI1355" s="17" t="str">
        <f>IF(AG1355="","",INDEX('Quitados DUPP'!$G$1:$G$6635,AG1355))</f>
        <v/>
      </c>
      <c r="AJ1355" s="17" t="str">
        <f t="shared" si="3"/>
        <v/>
      </c>
    </row>
    <row r="1356" spans="31:36">
      <c r="AE1356" s="15" t="str">
        <f t="shared" si="0"/>
        <v/>
      </c>
      <c r="AF1356" s="15" t="str">
        <f t="shared" si="1"/>
        <v/>
      </c>
      <c r="AG1356" s="15" t="str">
        <f>IF(OR(AF1356="",AF1356="ERRO_CHAVE"),"",IFERROR(MATCH(AF1356,'Quitados DUPP'!$U$1:$U$6635,0),""))</f>
        <v/>
      </c>
      <c r="AH1356" s="15" t="str">
        <f t="shared" si="2"/>
        <v/>
      </c>
      <c r="AI1356" s="17" t="str">
        <f>IF(AG1356="","",INDEX('Quitados DUPP'!$G$1:$G$6635,AG1356))</f>
        <v/>
      </c>
      <c r="AJ1356" s="17" t="str">
        <f t="shared" si="3"/>
        <v/>
      </c>
    </row>
    <row r="1357" spans="31:36">
      <c r="AE1357" s="15" t="str">
        <f t="shared" si="0"/>
        <v/>
      </c>
      <c r="AF1357" s="15" t="str">
        <f t="shared" si="1"/>
        <v/>
      </c>
      <c r="AG1357" s="15" t="str">
        <f>IF(OR(AF1357="",AF1357="ERRO_CHAVE"),"",IFERROR(MATCH(AF1357,'Quitados DUPP'!$U$1:$U$6635,0),""))</f>
        <v/>
      </c>
      <c r="AH1357" s="15" t="str">
        <f t="shared" si="2"/>
        <v/>
      </c>
      <c r="AI1357" s="17" t="str">
        <f>IF(AG1357="","",INDEX('Quitados DUPP'!$G$1:$G$6635,AG1357))</f>
        <v/>
      </c>
      <c r="AJ1357" s="17" t="str">
        <f t="shared" si="3"/>
        <v/>
      </c>
    </row>
    <row r="1358" spans="31:36">
      <c r="AE1358" s="15" t="str">
        <f t="shared" si="0"/>
        <v/>
      </c>
      <c r="AF1358" s="15" t="str">
        <f t="shared" si="1"/>
        <v/>
      </c>
      <c r="AG1358" s="15" t="str">
        <f>IF(OR(AF1358="",AF1358="ERRO_CHAVE"),"",IFERROR(MATCH(AF1358,'Quitados DUPP'!$U$1:$U$6635,0),""))</f>
        <v/>
      </c>
      <c r="AH1358" s="15" t="str">
        <f t="shared" si="2"/>
        <v/>
      </c>
      <c r="AI1358" s="17" t="str">
        <f>IF(AG1358="","",INDEX('Quitados DUPP'!$G$1:$G$6635,AG1358))</f>
        <v/>
      </c>
      <c r="AJ1358" s="17" t="str">
        <f t="shared" si="3"/>
        <v/>
      </c>
    </row>
    <row r="1359" spans="31:36">
      <c r="AE1359" s="15" t="str">
        <f t="shared" si="0"/>
        <v/>
      </c>
      <c r="AF1359" s="15" t="str">
        <f t="shared" si="1"/>
        <v/>
      </c>
      <c r="AG1359" s="15" t="str">
        <f>IF(OR(AF1359="",AF1359="ERRO_CHAVE"),"",IFERROR(MATCH(AF1359,'Quitados DUPP'!$U$1:$U$6635,0),""))</f>
        <v/>
      </c>
      <c r="AH1359" s="15" t="str">
        <f t="shared" si="2"/>
        <v/>
      </c>
      <c r="AI1359" s="17" t="str">
        <f>IF(AG1359="","",INDEX('Quitados DUPP'!$G$1:$G$6635,AG1359))</f>
        <v/>
      </c>
      <c r="AJ1359" s="17" t="str">
        <f t="shared" si="3"/>
        <v/>
      </c>
    </row>
    <row r="1360" spans="31:36">
      <c r="AE1360" s="15" t="str">
        <f t="shared" si="0"/>
        <v/>
      </c>
      <c r="AF1360" s="15" t="str">
        <f t="shared" si="1"/>
        <v/>
      </c>
      <c r="AG1360" s="15" t="str">
        <f>IF(OR(AF1360="",AF1360="ERRO_CHAVE"),"",IFERROR(MATCH(AF1360,'Quitados DUPP'!$U$1:$U$6635,0),""))</f>
        <v/>
      </c>
      <c r="AH1360" s="15" t="str">
        <f t="shared" si="2"/>
        <v/>
      </c>
      <c r="AI1360" s="17" t="str">
        <f>IF(AG1360="","",INDEX('Quitados DUPP'!$G$1:$G$6635,AG1360))</f>
        <v/>
      </c>
      <c r="AJ1360" s="17" t="str">
        <f t="shared" si="3"/>
        <v/>
      </c>
    </row>
    <row r="1361" spans="31:36">
      <c r="AE1361" s="15" t="str">
        <f t="shared" si="0"/>
        <v/>
      </c>
      <c r="AF1361" s="15" t="str">
        <f t="shared" si="1"/>
        <v/>
      </c>
      <c r="AG1361" s="15" t="str">
        <f>IF(OR(AF1361="",AF1361="ERRO_CHAVE"),"",IFERROR(MATCH(AF1361,'Quitados DUPP'!$U$1:$U$6635,0),""))</f>
        <v/>
      </c>
      <c r="AH1361" s="15" t="str">
        <f t="shared" si="2"/>
        <v/>
      </c>
      <c r="AI1361" s="17" t="str">
        <f>IF(AG1361="","",INDEX('Quitados DUPP'!$G$1:$G$6635,AG1361))</f>
        <v/>
      </c>
      <c r="AJ1361" s="17" t="str">
        <f t="shared" si="3"/>
        <v/>
      </c>
    </row>
    <row r="1362" spans="31:36">
      <c r="AE1362" s="15" t="str">
        <f t="shared" si="0"/>
        <v/>
      </c>
      <c r="AF1362" s="15" t="str">
        <f t="shared" si="1"/>
        <v/>
      </c>
      <c r="AG1362" s="15" t="str">
        <f>IF(OR(AF1362="",AF1362="ERRO_CHAVE"),"",IFERROR(MATCH(AF1362,'Quitados DUPP'!$U$1:$U$6635,0),""))</f>
        <v/>
      </c>
      <c r="AH1362" s="15" t="str">
        <f t="shared" si="2"/>
        <v/>
      </c>
      <c r="AI1362" s="17" t="str">
        <f>IF(AG1362="","",INDEX('Quitados DUPP'!$G$1:$G$6635,AG1362))</f>
        <v/>
      </c>
      <c r="AJ1362" s="17" t="str">
        <f t="shared" si="3"/>
        <v/>
      </c>
    </row>
    <row r="1363" spans="31:36">
      <c r="AE1363" s="15" t="str">
        <f t="shared" si="0"/>
        <v/>
      </c>
      <c r="AF1363" s="15" t="str">
        <f t="shared" si="1"/>
        <v/>
      </c>
      <c r="AG1363" s="15" t="str">
        <f>IF(OR(AF1363="",AF1363="ERRO_CHAVE"),"",IFERROR(MATCH(AF1363,'Quitados DUPP'!$U$1:$U$6635,0),""))</f>
        <v/>
      </c>
      <c r="AH1363" s="15" t="str">
        <f t="shared" si="2"/>
        <v/>
      </c>
      <c r="AI1363" s="17" t="str">
        <f>IF(AG1363="","",INDEX('Quitados DUPP'!$G$1:$G$6635,AG1363))</f>
        <v/>
      </c>
      <c r="AJ1363" s="17" t="str">
        <f t="shared" si="3"/>
        <v/>
      </c>
    </row>
    <row r="1364" spans="31:36">
      <c r="AE1364" s="15" t="str">
        <f t="shared" si="0"/>
        <v/>
      </c>
      <c r="AF1364" s="15" t="str">
        <f t="shared" si="1"/>
        <v/>
      </c>
      <c r="AG1364" s="15" t="str">
        <f>IF(OR(AF1364="",AF1364="ERRO_CHAVE"),"",IFERROR(MATCH(AF1364,'Quitados DUPP'!$U$1:$U$6635,0),""))</f>
        <v/>
      </c>
      <c r="AH1364" s="15" t="str">
        <f t="shared" si="2"/>
        <v/>
      </c>
      <c r="AI1364" s="17" t="str">
        <f>IF(AG1364="","",INDEX('Quitados DUPP'!$G$1:$G$6635,AG1364))</f>
        <v/>
      </c>
      <c r="AJ1364" s="17" t="str">
        <f t="shared" si="3"/>
        <v/>
      </c>
    </row>
    <row r="1365" spans="31:36">
      <c r="AE1365" s="15" t="str">
        <f t="shared" si="0"/>
        <v/>
      </c>
      <c r="AF1365" s="15" t="str">
        <f t="shared" si="1"/>
        <v/>
      </c>
      <c r="AG1365" s="15" t="str">
        <f>IF(OR(AF1365="",AF1365="ERRO_CHAVE"),"",IFERROR(MATCH(AF1365,'Quitados DUPP'!$U$1:$U$6635,0),""))</f>
        <v/>
      </c>
      <c r="AH1365" s="15" t="str">
        <f t="shared" si="2"/>
        <v/>
      </c>
      <c r="AI1365" s="17" t="str">
        <f>IF(AG1365="","",INDEX('Quitados DUPP'!$G$1:$G$6635,AG1365))</f>
        <v/>
      </c>
      <c r="AJ1365" s="17" t="str">
        <f t="shared" si="3"/>
        <v/>
      </c>
    </row>
    <row r="1366" spans="31:36">
      <c r="AE1366" s="15" t="str">
        <f t="shared" si="0"/>
        <v/>
      </c>
      <c r="AF1366" s="15" t="str">
        <f t="shared" si="1"/>
        <v/>
      </c>
      <c r="AG1366" s="15" t="str">
        <f>IF(OR(AF1366="",AF1366="ERRO_CHAVE"),"",IFERROR(MATCH(AF1366,'Quitados DUPP'!$U$1:$U$6635,0),""))</f>
        <v/>
      </c>
      <c r="AH1366" s="15" t="str">
        <f t="shared" si="2"/>
        <v/>
      </c>
      <c r="AI1366" s="17" t="str">
        <f>IF(AG1366="","",INDEX('Quitados DUPP'!$G$1:$G$6635,AG1366))</f>
        <v/>
      </c>
      <c r="AJ1366" s="17" t="str">
        <f t="shared" si="3"/>
        <v/>
      </c>
    </row>
    <row r="1367" spans="31:36">
      <c r="AE1367" s="15" t="str">
        <f t="shared" si="0"/>
        <v/>
      </c>
      <c r="AF1367" s="15" t="str">
        <f t="shared" si="1"/>
        <v/>
      </c>
      <c r="AG1367" s="15" t="str">
        <f>IF(OR(AF1367="",AF1367="ERRO_CHAVE"),"",IFERROR(MATCH(AF1367,'Quitados DUPP'!$U$1:$U$6635,0),""))</f>
        <v/>
      </c>
      <c r="AH1367" s="15" t="str">
        <f t="shared" si="2"/>
        <v/>
      </c>
      <c r="AI1367" s="17" t="str">
        <f>IF(AG1367="","",INDEX('Quitados DUPP'!$G$1:$G$6635,AG1367))</f>
        <v/>
      </c>
      <c r="AJ1367" s="17" t="str">
        <f t="shared" si="3"/>
        <v/>
      </c>
    </row>
    <row r="1368" spans="31:36">
      <c r="AE1368" s="15" t="str">
        <f t="shared" si="0"/>
        <v/>
      </c>
      <c r="AF1368" s="15" t="str">
        <f t="shared" si="1"/>
        <v/>
      </c>
      <c r="AG1368" s="15" t="str">
        <f>IF(OR(AF1368="",AF1368="ERRO_CHAVE"),"",IFERROR(MATCH(AF1368,'Quitados DUPP'!$U$1:$U$6635,0),""))</f>
        <v/>
      </c>
      <c r="AH1368" s="15" t="str">
        <f t="shared" si="2"/>
        <v/>
      </c>
      <c r="AI1368" s="17" t="str">
        <f>IF(AG1368="","",INDEX('Quitados DUPP'!$G$1:$G$6635,AG1368))</f>
        <v/>
      </c>
      <c r="AJ1368" s="17" t="str">
        <f t="shared" si="3"/>
        <v/>
      </c>
    </row>
    <row r="1369" spans="31:36">
      <c r="AE1369" s="15" t="str">
        <f t="shared" si="0"/>
        <v/>
      </c>
      <c r="AF1369" s="15" t="str">
        <f t="shared" si="1"/>
        <v/>
      </c>
      <c r="AG1369" s="15" t="str">
        <f>IF(OR(AF1369="",AF1369="ERRO_CHAVE"),"",IFERROR(MATCH(AF1369,'Quitados DUPP'!$U$1:$U$6635,0),""))</f>
        <v/>
      </c>
      <c r="AH1369" s="15" t="str">
        <f t="shared" si="2"/>
        <v/>
      </c>
      <c r="AI1369" s="17" t="str">
        <f>IF(AG1369="","",INDEX('Quitados DUPP'!$G$1:$G$6635,AG1369))</f>
        <v/>
      </c>
      <c r="AJ1369" s="17" t="str">
        <f t="shared" si="3"/>
        <v/>
      </c>
    </row>
    <row r="1370" spans="31:36">
      <c r="AE1370" s="15" t="str">
        <f t="shared" si="0"/>
        <v/>
      </c>
      <c r="AF1370" s="15" t="str">
        <f t="shared" si="1"/>
        <v/>
      </c>
      <c r="AG1370" s="15" t="str">
        <f>IF(OR(AF1370="",AF1370="ERRO_CHAVE"),"",IFERROR(MATCH(AF1370,'Quitados DUPP'!$U$1:$U$6635,0),""))</f>
        <v/>
      </c>
      <c r="AH1370" s="15" t="str">
        <f t="shared" si="2"/>
        <v/>
      </c>
      <c r="AI1370" s="17" t="str">
        <f>IF(AG1370="","",INDEX('Quitados DUPP'!$G$1:$G$6635,AG1370))</f>
        <v/>
      </c>
      <c r="AJ1370" s="17" t="str">
        <f t="shared" si="3"/>
        <v/>
      </c>
    </row>
    <row r="1371" spans="31:36">
      <c r="AE1371" s="15" t="str">
        <f t="shared" si="0"/>
        <v/>
      </c>
      <c r="AF1371" s="15" t="str">
        <f t="shared" si="1"/>
        <v/>
      </c>
      <c r="AG1371" s="15" t="str">
        <f>IF(OR(AF1371="",AF1371="ERRO_CHAVE"),"",IFERROR(MATCH(AF1371,'Quitados DUPP'!$U$1:$U$6635,0),""))</f>
        <v/>
      </c>
      <c r="AH1371" s="15" t="str">
        <f t="shared" si="2"/>
        <v/>
      </c>
      <c r="AI1371" s="17" t="str">
        <f>IF(AG1371="","",INDEX('Quitados DUPP'!$G$1:$G$6635,AG1371))</f>
        <v/>
      </c>
      <c r="AJ1371" s="17" t="str">
        <f t="shared" si="3"/>
        <v/>
      </c>
    </row>
    <row r="1372" spans="31:36">
      <c r="AE1372" s="15" t="str">
        <f t="shared" si="0"/>
        <v/>
      </c>
      <c r="AF1372" s="15" t="str">
        <f t="shared" si="1"/>
        <v/>
      </c>
      <c r="AG1372" s="15" t="str">
        <f>IF(OR(AF1372="",AF1372="ERRO_CHAVE"),"",IFERROR(MATCH(AF1372,'Quitados DUPP'!$U$1:$U$6635,0),""))</f>
        <v/>
      </c>
      <c r="AH1372" s="15" t="str">
        <f t="shared" si="2"/>
        <v/>
      </c>
      <c r="AI1372" s="17" t="str">
        <f>IF(AG1372="","",INDEX('Quitados DUPP'!$G$1:$G$6635,AG1372))</f>
        <v/>
      </c>
      <c r="AJ1372" s="17" t="str">
        <f t="shared" si="3"/>
        <v/>
      </c>
    </row>
    <row r="1373" spans="31:36">
      <c r="AE1373" s="15" t="str">
        <f t="shared" si="0"/>
        <v/>
      </c>
      <c r="AF1373" s="15" t="str">
        <f t="shared" si="1"/>
        <v/>
      </c>
      <c r="AG1373" s="15" t="str">
        <f>IF(OR(AF1373="",AF1373="ERRO_CHAVE"),"",IFERROR(MATCH(AF1373,'Quitados DUPP'!$U$1:$U$6635,0),""))</f>
        <v/>
      </c>
      <c r="AH1373" s="15" t="str">
        <f t="shared" si="2"/>
        <v/>
      </c>
      <c r="AI1373" s="17" t="str">
        <f>IF(AG1373="","",INDEX('Quitados DUPP'!$G$1:$G$6635,AG1373))</f>
        <v/>
      </c>
      <c r="AJ1373" s="17" t="str">
        <f t="shared" si="3"/>
        <v/>
      </c>
    </row>
    <row r="1374" spans="31:36">
      <c r="AE1374" s="15" t="str">
        <f t="shared" si="0"/>
        <v/>
      </c>
      <c r="AF1374" s="15" t="str">
        <f t="shared" si="1"/>
        <v/>
      </c>
      <c r="AG1374" s="15" t="str">
        <f>IF(OR(AF1374="",AF1374="ERRO_CHAVE"),"",IFERROR(MATCH(AF1374,'Quitados DUPP'!$U$1:$U$6635,0),""))</f>
        <v/>
      </c>
      <c r="AH1374" s="15" t="str">
        <f t="shared" si="2"/>
        <v/>
      </c>
      <c r="AI1374" s="17" t="str">
        <f>IF(AG1374="","",INDEX('Quitados DUPP'!$G$1:$G$6635,AG1374))</f>
        <v/>
      </c>
      <c r="AJ1374" s="17" t="str">
        <f t="shared" si="3"/>
        <v/>
      </c>
    </row>
    <row r="1375" spans="31:36">
      <c r="AE1375" s="15" t="str">
        <f t="shared" si="0"/>
        <v/>
      </c>
      <c r="AF1375" s="15" t="str">
        <f t="shared" si="1"/>
        <v/>
      </c>
      <c r="AG1375" s="15" t="str">
        <f>IF(OR(AF1375="",AF1375="ERRO_CHAVE"),"",IFERROR(MATCH(AF1375,'Quitados DUPP'!$U$1:$U$6635,0),""))</f>
        <v/>
      </c>
      <c r="AH1375" s="15" t="str">
        <f t="shared" si="2"/>
        <v/>
      </c>
      <c r="AI1375" s="17" t="str">
        <f>IF(AG1375="","",INDEX('Quitados DUPP'!$G$1:$G$6635,AG1375))</f>
        <v/>
      </c>
      <c r="AJ1375" s="17" t="str">
        <f t="shared" si="3"/>
        <v/>
      </c>
    </row>
    <row r="1376" spans="31:36">
      <c r="AE1376" s="15" t="str">
        <f t="shared" si="0"/>
        <v/>
      </c>
      <c r="AF1376" s="15" t="str">
        <f t="shared" si="1"/>
        <v/>
      </c>
      <c r="AG1376" s="15" t="str">
        <f>IF(OR(AF1376="",AF1376="ERRO_CHAVE"),"",IFERROR(MATCH(AF1376,'Quitados DUPP'!$U$1:$U$6635,0),""))</f>
        <v/>
      </c>
      <c r="AH1376" s="15" t="str">
        <f t="shared" si="2"/>
        <v/>
      </c>
      <c r="AI1376" s="17" t="str">
        <f>IF(AG1376="","",INDEX('Quitados DUPP'!$G$1:$G$6635,AG1376))</f>
        <v/>
      </c>
      <c r="AJ1376" s="17" t="str">
        <f t="shared" si="3"/>
        <v/>
      </c>
    </row>
    <row r="1377" spans="31:36">
      <c r="AE1377" s="15" t="str">
        <f t="shared" si="0"/>
        <v/>
      </c>
      <c r="AF1377" s="15" t="str">
        <f t="shared" si="1"/>
        <v/>
      </c>
      <c r="AG1377" s="15" t="str">
        <f>IF(OR(AF1377="",AF1377="ERRO_CHAVE"),"",IFERROR(MATCH(AF1377,'Quitados DUPP'!$U$1:$U$6635,0),""))</f>
        <v/>
      </c>
      <c r="AH1377" s="15" t="str">
        <f t="shared" si="2"/>
        <v/>
      </c>
      <c r="AI1377" s="17" t="str">
        <f>IF(AG1377="","",INDEX('Quitados DUPP'!$G$1:$G$6635,AG1377))</f>
        <v/>
      </c>
      <c r="AJ1377" s="17" t="str">
        <f t="shared" si="3"/>
        <v/>
      </c>
    </row>
    <row r="1378" spans="31:36">
      <c r="AE1378" s="15" t="str">
        <f t="shared" si="0"/>
        <v/>
      </c>
      <c r="AF1378" s="15" t="str">
        <f t="shared" si="1"/>
        <v/>
      </c>
      <c r="AG1378" s="15" t="str">
        <f>IF(OR(AF1378="",AF1378="ERRO_CHAVE"),"",IFERROR(MATCH(AF1378,'Quitados DUPP'!$U$1:$U$6635,0),""))</f>
        <v/>
      </c>
      <c r="AH1378" s="15" t="str">
        <f t="shared" si="2"/>
        <v/>
      </c>
      <c r="AI1378" s="17" t="str">
        <f>IF(AG1378="","",INDEX('Quitados DUPP'!$G$1:$G$6635,AG1378))</f>
        <v/>
      </c>
      <c r="AJ1378" s="17" t="str">
        <f t="shared" si="3"/>
        <v/>
      </c>
    </row>
    <row r="1379" spans="31:36">
      <c r="AE1379" s="15" t="str">
        <f t="shared" si="0"/>
        <v/>
      </c>
      <c r="AF1379" s="15" t="str">
        <f t="shared" si="1"/>
        <v/>
      </c>
      <c r="AG1379" s="15" t="str">
        <f>IF(OR(AF1379="",AF1379="ERRO_CHAVE"),"",IFERROR(MATCH(AF1379,'Quitados DUPP'!$U$1:$U$6635,0),""))</f>
        <v/>
      </c>
      <c r="AH1379" s="15" t="str">
        <f t="shared" si="2"/>
        <v/>
      </c>
      <c r="AI1379" s="17" t="str">
        <f>IF(AG1379="","",INDEX('Quitados DUPP'!$G$1:$G$6635,AG1379))</f>
        <v/>
      </c>
      <c r="AJ1379" s="17" t="str">
        <f t="shared" si="3"/>
        <v/>
      </c>
    </row>
    <row r="1380" spans="31:36">
      <c r="AE1380" s="15" t="str">
        <f t="shared" si="0"/>
        <v/>
      </c>
      <c r="AF1380" s="15" t="str">
        <f t="shared" si="1"/>
        <v/>
      </c>
      <c r="AG1380" s="15" t="str">
        <f>IF(OR(AF1380="",AF1380="ERRO_CHAVE"),"",IFERROR(MATCH(AF1380,'Quitados DUPP'!$U$1:$U$6635,0),""))</f>
        <v/>
      </c>
      <c r="AH1380" s="15" t="str">
        <f t="shared" si="2"/>
        <v/>
      </c>
      <c r="AI1380" s="17" t="str">
        <f>IF(AG1380="","",INDEX('Quitados DUPP'!$G$1:$G$6635,AG1380))</f>
        <v/>
      </c>
      <c r="AJ1380" s="17" t="str">
        <f t="shared" si="3"/>
        <v/>
      </c>
    </row>
    <row r="1381" spans="31:36">
      <c r="AE1381" s="15" t="str">
        <f t="shared" si="0"/>
        <v/>
      </c>
      <c r="AF1381" s="15" t="str">
        <f t="shared" si="1"/>
        <v/>
      </c>
      <c r="AG1381" s="15" t="str">
        <f>IF(OR(AF1381="",AF1381="ERRO_CHAVE"),"",IFERROR(MATCH(AF1381,'Quitados DUPP'!$U$1:$U$6635,0),""))</f>
        <v/>
      </c>
      <c r="AH1381" s="15" t="str">
        <f t="shared" si="2"/>
        <v/>
      </c>
      <c r="AI1381" s="17" t="str">
        <f>IF(AG1381="","",INDEX('Quitados DUPP'!$G$1:$G$6635,AG1381))</f>
        <v/>
      </c>
      <c r="AJ1381" s="17" t="str">
        <f t="shared" si="3"/>
        <v/>
      </c>
    </row>
    <row r="1382" spans="31:36">
      <c r="AE1382" s="15" t="str">
        <f t="shared" si="0"/>
        <v/>
      </c>
      <c r="AF1382" s="15" t="str">
        <f t="shared" si="1"/>
        <v/>
      </c>
      <c r="AG1382" s="15" t="str">
        <f>IF(OR(AF1382="",AF1382="ERRO_CHAVE"),"",IFERROR(MATCH(AF1382,'Quitados DUPP'!$U$1:$U$6635,0),""))</f>
        <v/>
      </c>
      <c r="AH1382" s="15" t="str">
        <f t="shared" si="2"/>
        <v/>
      </c>
      <c r="AI1382" s="17" t="str">
        <f>IF(AG1382="","",INDEX('Quitados DUPP'!$G$1:$G$6635,AG1382))</f>
        <v/>
      </c>
      <c r="AJ1382" s="17" t="str">
        <f t="shared" si="3"/>
        <v/>
      </c>
    </row>
    <row r="1383" spans="31:36">
      <c r="AE1383" s="15" t="str">
        <f t="shared" si="0"/>
        <v/>
      </c>
      <c r="AF1383" s="15" t="str">
        <f t="shared" si="1"/>
        <v/>
      </c>
      <c r="AG1383" s="15" t="str">
        <f>IF(OR(AF1383="",AF1383="ERRO_CHAVE"),"",IFERROR(MATCH(AF1383,'Quitados DUPP'!$U$1:$U$6635,0),""))</f>
        <v/>
      </c>
      <c r="AH1383" s="15" t="str">
        <f t="shared" si="2"/>
        <v/>
      </c>
      <c r="AI1383" s="17" t="str">
        <f>IF(AG1383="","",INDEX('Quitados DUPP'!$G$1:$G$6635,AG1383))</f>
        <v/>
      </c>
      <c r="AJ1383" s="17" t="str">
        <f t="shared" si="3"/>
        <v/>
      </c>
    </row>
    <row r="1384" spans="31:36">
      <c r="AE1384" s="15" t="str">
        <f t="shared" si="0"/>
        <v/>
      </c>
      <c r="AF1384" s="15" t="str">
        <f t="shared" si="1"/>
        <v/>
      </c>
      <c r="AG1384" s="15" t="str">
        <f>IF(OR(AF1384="",AF1384="ERRO_CHAVE"),"",IFERROR(MATCH(AF1384,'Quitados DUPP'!$U$1:$U$6635,0),""))</f>
        <v/>
      </c>
      <c r="AH1384" s="15" t="str">
        <f t="shared" si="2"/>
        <v/>
      </c>
      <c r="AI1384" s="17" t="str">
        <f>IF(AG1384="","",INDEX('Quitados DUPP'!$G$1:$G$6635,AG1384))</f>
        <v/>
      </c>
      <c r="AJ1384" s="17" t="str">
        <f t="shared" si="3"/>
        <v/>
      </c>
    </row>
    <row r="1385" spans="31:36">
      <c r="AE1385" s="15" t="str">
        <f t="shared" si="0"/>
        <v/>
      </c>
      <c r="AF1385" s="15" t="str">
        <f t="shared" si="1"/>
        <v/>
      </c>
      <c r="AG1385" s="15" t="str">
        <f>IF(OR(AF1385="",AF1385="ERRO_CHAVE"),"",IFERROR(MATCH(AF1385,'Quitados DUPP'!$U$1:$U$6635,0),""))</f>
        <v/>
      </c>
      <c r="AH1385" s="15" t="str">
        <f t="shared" si="2"/>
        <v/>
      </c>
      <c r="AI1385" s="17" t="str">
        <f>IF(AG1385="","",INDEX('Quitados DUPP'!$G$1:$G$6635,AG1385))</f>
        <v/>
      </c>
      <c r="AJ1385" s="17" t="str">
        <f t="shared" si="3"/>
        <v/>
      </c>
    </row>
    <row r="1386" spans="31:36">
      <c r="AE1386" s="15" t="str">
        <f t="shared" si="0"/>
        <v/>
      </c>
      <c r="AF1386" s="15" t="str">
        <f t="shared" si="1"/>
        <v/>
      </c>
      <c r="AG1386" s="15" t="str">
        <f>IF(OR(AF1386="",AF1386="ERRO_CHAVE"),"",IFERROR(MATCH(AF1386,'Quitados DUPP'!$U$1:$U$6635,0),""))</f>
        <v/>
      </c>
      <c r="AH1386" s="15" t="str">
        <f t="shared" si="2"/>
        <v/>
      </c>
      <c r="AI1386" s="17" t="str">
        <f>IF(AG1386="","",INDEX('Quitados DUPP'!$G$1:$G$6635,AG1386))</f>
        <v/>
      </c>
      <c r="AJ1386" s="17" t="str">
        <f t="shared" si="3"/>
        <v/>
      </c>
    </row>
    <row r="1387" spans="31:36">
      <c r="AE1387" s="15" t="str">
        <f t="shared" si="0"/>
        <v/>
      </c>
      <c r="AF1387" s="15" t="str">
        <f t="shared" si="1"/>
        <v/>
      </c>
      <c r="AG1387" s="15" t="str">
        <f>IF(OR(AF1387="",AF1387="ERRO_CHAVE"),"",IFERROR(MATCH(AF1387,'Quitados DUPP'!$U$1:$U$6635,0),""))</f>
        <v/>
      </c>
      <c r="AH1387" s="15" t="str">
        <f t="shared" si="2"/>
        <v/>
      </c>
      <c r="AI1387" s="17" t="str">
        <f>IF(AG1387="","",INDEX('Quitados DUPP'!$G$1:$G$6635,AG1387))</f>
        <v/>
      </c>
      <c r="AJ1387" s="17" t="str">
        <f t="shared" si="3"/>
        <v/>
      </c>
    </row>
    <row r="1388" spans="31:36">
      <c r="AE1388" s="15" t="str">
        <f t="shared" si="0"/>
        <v/>
      </c>
      <c r="AF1388" s="15" t="str">
        <f t="shared" si="1"/>
        <v/>
      </c>
      <c r="AG1388" s="15" t="str">
        <f>IF(OR(AF1388="",AF1388="ERRO_CHAVE"),"",IFERROR(MATCH(AF1388,'Quitados DUPP'!$U$1:$U$6635,0),""))</f>
        <v/>
      </c>
      <c r="AH1388" s="15" t="str">
        <f t="shared" si="2"/>
        <v/>
      </c>
      <c r="AI1388" s="17" t="str">
        <f>IF(AG1388="","",INDEX('Quitados DUPP'!$G$1:$G$6635,AG1388))</f>
        <v/>
      </c>
      <c r="AJ1388" s="17" t="str">
        <f t="shared" si="3"/>
        <v/>
      </c>
    </row>
    <row r="1389" spans="31:36">
      <c r="AE1389" s="15" t="str">
        <f t="shared" si="0"/>
        <v/>
      </c>
      <c r="AF1389" s="15" t="str">
        <f t="shared" si="1"/>
        <v/>
      </c>
      <c r="AG1389" s="15" t="str">
        <f>IF(OR(AF1389="",AF1389="ERRO_CHAVE"),"",IFERROR(MATCH(AF1389,'Quitados DUPP'!$U$1:$U$6635,0),""))</f>
        <v/>
      </c>
      <c r="AH1389" s="15" t="str">
        <f t="shared" si="2"/>
        <v/>
      </c>
      <c r="AI1389" s="17" t="str">
        <f>IF(AG1389="","",INDEX('Quitados DUPP'!$G$1:$G$6635,AG1389))</f>
        <v/>
      </c>
      <c r="AJ1389" s="17" t="str">
        <f t="shared" si="3"/>
        <v/>
      </c>
    </row>
    <row r="1390" spans="31:36">
      <c r="AE1390" s="15" t="str">
        <f t="shared" si="0"/>
        <v/>
      </c>
      <c r="AF1390" s="15" t="str">
        <f t="shared" si="1"/>
        <v/>
      </c>
      <c r="AG1390" s="15" t="str">
        <f>IF(OR(AF1390="",AF1390="ERRO_CHAVE"),"",IFERROR(MATCH(AF1390,'Quitados DUPP'!$U$1:$U$6635,0),""))</f>
        <v/>
      </c>
      <c r="AH1390" s="15" t="str">
        <f t="shared" si="2"/>
        <v/>
      </c>
      <c r="AI1390" s="17" t="str">
        <f>IF(AG1390="","",INDEX('Quitados DUPP'!$G$1:$G$6635,AG1390))</f>
        <v/>
      </c>
      <c r="AJ1390" s="17" t="str">
        <f t="shared" si="3"/>
        <v/>
      </c>
    </row>
    <row r="1391" spans="31:36">
      <c r="AE1391" s="15" t="str">
        <f t="shared" si="0"/>
        <v/>
      </c>
      <c r="AF1391" s="15" t="str">
        <f t="shared" si="1"/>
        <v/>
      </c>
      <c r="AG1391" s="15" t="str">
        <f>IF(OR(AF1391="",AF1391="ERRO_CHAVE"),"",IFERROR(MATCH(AF1391,'Quitados DUPP'!$U$1:$U$6635,0),""))</f>
        <v/>
      </c>
      <c r="AH1391" s="15" t="str">
        <f t="shared" si="2"/>
        <v/>
      </c>
      <c r="AI1391" s="17" t="str">
        <f>IF(AG1391="","",INDEX('Quitados DUPP'!$G$1:$G$6635,AG1391))</f>
        <v/>
      </c>
      <c r="AJ1391" s="17" t="str">
        <f t="shared" si="3"/>
        <v/>
      </c>
    </row>
    <row r="1392" spans="31:36">
      <c r="AE1392" s="15" t="str">
        <f t="shared" si="0"/>
        <v/>
      </c>
      <c r="AF1392" s="15" t="str">
        <f t="shared" si="1"/>
        <v/>
      </c>
      <c r="AG1392" s="15" t="str">
        <f>IF(OR(AF1392="",AF1392="ERRO_CHAVE"),"",IFERROR(MATCH(AF1392,'Quitados DUPP'!$U$1:$U$6635,0),""))</f>
        <v/>
      </c>
      <c r="AH1392" s="15" t="str">
        <f t="shared" si="2"/>
        <v/>
      </c>
      <c r="AI1392" s="17" t="str">
        <f>IF(AG1392="","",INDEX('Quitados DUPP'!$G$1:$G$6635,AG1392))</f>
        <v/>
      </c>
      <c r="AJ1392" s="17" t="str">
        <f t="shared" si="3"/>
        <v/>
      </c>
    </row>
    <row r="1393" spans="31:36">
      <c r="AE1393" s="15" t="str">
        <f t="shared" si="0"/>
        <v/>
      </c>
      <c r="AF1393" s="15" t="str">
        <f t="shared" si="1"/>
        <v/>
      </c>
      <c r="AG1393" s="15" t="str">
        <f>IF(OR(AF1393="",AF1393="ERRO_CHAVE"),"",IFERROR(MATCH(AF1393,'Quitados DUPP'!$U$1:$U$6635,0),""))</f>
        <v/>
      </c>
      <c r="AH1393" s="15" t="str">
        <f t="shared" si="2"/>
        <v/>
      </c>
      <c r="AI1393" s="17" t="str">
        <f>IF(AG1393="","",INDEX('Quitados DUPP'!$G$1:$G$6635,AG1393))</f>
        <v/>
      </c>
      <c r="AJ1393" s="17" t="str">
        <f t="shared" si="3"/>
        <v/>
      </c>
    </row>
    <row r="1394" spans="31:36">
      <c r="AE1394" s="15" t="str">
        <f t="shared" si="0"/>
        <v/>
      </c>
      <c r="AF1394" s="15" t="str">
        <f t="shared" si="1"/>
        <v/>
      </c>
      <c r="AG1394" s="15" t="str">
        <f>IF(OR(AF1394="",AF1394="ERRO_CHAVE"),"",IFERROR(MATCH(AF1394,'Quitados DUPP'!$U$1:$U$6635,0),""))</f>
        <v/>
      </c>
      <c r="AH1394" s="15" t="str">
        <f t="shared" si="2"/>
        <v/>
      </c>
      <c r="AI1394" s="17" t="str">
        <f>IF(AG1394="","",INDEX('Quitados DUPP'!$G$1:$G$6635,AG1394))</f>
        <v/>
      </c>
      <c r="AJ1394" s="17" t="str">
        <f t="shared" si="3"/>
        <v/>
      </c>
    </row>
    <row r="1395" spans="31:36">
      <c r="AE1395" s="15" t="str">
        <f t="shared" si="0"/>
        <v/>
      </c>
      <c r="AF1395" s="15" t="str">
        <f t="shared" si="1"/>
        <v/>
      </c>
      <c r="AG1395" s="15" t="str">
        <f>IF(OR(AF1395="",AF1395="ERRO_CHAVE"),"",IFERROR(MATCH(AF1395,'Quitados DUPP'!$U$1:$U$6635,0),""))</f>
        <v/>
      </c>
      <c r="AH1395" s="15" t="str">
        <f t="shared" si="2"/>
        <v/>
      </c>
      <c r="AI1395" s="17" t="str">
        <f>IF(AG1395="","",INDEX('Quitados DUPP'!$G$1:$G$6635,AG1395))</f>
        <v/>
      </c>
      <c r="AJ1395" s="17" t="str">
        <f t="shared" si="3"/>
        <v/>
      </c>
    </row>
    <row r="1396" spans="31:36">
      <c r="AE1396" s="15" t="str">
        <f t="shared" si="0"/>
        <v/>
      </c>
      <c r="AF1396" s="15" t="str">
        <f t="shared" si="1"/>
        <v/>
      </c>
      <c r="AG1396" s="15" t="str">
        <f>IF(OR(AF1396="",AF1396="ERRO_CHAVE"),"",IFERROR(MATCH(AF1396,'Quitados DUPP'!$U$1:$U$6635,0),""))</f>
        <v/>
      </c>
      <c r="AH1396" s="15" t="str">
        <f t="shared" si="2"/>
        <v/>
      </c>
      <c r="AI1396" s="17" t="str">
        <f>IF(AG1396="","",INDEX('Quitados DUPP'!$G$1:$G$6635,AG1396))</f>
        <v/>
      </c>
      <c r="AJ1396" s="17" t="str">
        <f t="shared" si="3"/>
        <v/>
      </c>
    </row>
    <row r="1397" spans="31:36">
      <c r="AE1397" s="15" t="str">
        <f t="shared" si="0"/>
        <v/>
      </c>
      <c r="AF1397" s="15" t="str">
        <f t="shared" si="1"/>
        <v/>
      </c>
      <c r="AG1397" s="15" t="str">
        <f>IF(OR(AF1397="",AF1397="ERRO_CHAVE"),"",IFERROR(MATCH(AF1397,'Quitados DUPP'!$U$1:$U$6635,0),""))</f>
        <v/>
      </c>
      <c r="AH1397" s="15" t="str">
        <f t="shared" si="2"/>
        <v/>
      </c>
      <c r="AI1397" s="17" t="str">
        <f>IF(AG1397="","",INDEX('Quitados DUPP'!$G$1:$G$6635,AG1397))</f>
        <v/>
      </c>
      <c r="AJ1397" s="17" t="str">
        <f t="shared" si="3"/>
        <v/>
      </c>
    </row>
    <row r="1398" spans="31:36">
      <c r="AE1398" s="15" t="str">
        <f t="shared" si="0"/>
        <v/>
      </c>
      <c r="AF1398" s="15" t="str">
        <f t="shared" si="1"/>
        <v/>
      </c>
      <c r="AG1398" s="15" t="str">
        <f>IF(OR(AF1398="",AF1398="ERRO_CHAVE"),"",IFERROR(MATCH(AF1398,'Quitados DUPP'!$U$1:$U$6635,0),""))</f>
        <v/>
      </c>
      <c r="AH1398" s="15" t="str">
        <f t="shared" si="2"/>
        <v/>
      </c>
      <c r="AI1398" s="17" t="str">
        <f>IF(AG1398="","",INDEX('Quitados DUPP'!$G$1:$G$6635,AG1398))</f>
        <v/>
      </c>
      <c r="AJ1398" s="17" t="str">
        <f t="shared" si="3"/>
        <v/>
      </c>
    </row>
    <row r="1399" spans="31:36">
      <c r="AE1399" s="15" t="str">
        <f t="shared" si="0"/>
        <v/>
      </c>
      <c r="AF1399" s="15" t="str">
        <f t="shared" si="1"/>
        <v/>
      </c>
      <c r="AG1399" s="15" t="str">
        <f>IF(OR(AF1399="",AF1399="ERRO_CHAVE"),"",IFERROR(MATCH(AF1399,'Quitados DUPP'!$U$1:$U$6635,0),""))</f>
        <v/>
      </c>
      <c r="AH1399" s="15" t="str">
        <f t="shared" si="2"/>
        <v/>
      </c>
      <c r="AI1399" s="17" t="str">
        <f>IF(AG1399="","",INDEX('Quitados DUPP'!$G$1:$G$6635,AG1399))</f>
        <v/>
      </c>
      <c r="AJ1399" s="17" t="str">
        <f t="shared" si="3"/>
        <v/>
      </c>
    </row>
    <row r="1400" spans="31:36">
      <c r="AE1400" s="15" t="str">
        <f t="shared" si="0"/>
        <v/>
      </c>
      <c r="AF1400" s="15" t="str">
        <f t="shared" si="1"/>
        <v/>
      </c>
      <c r="AG1400" s="15" t="str">
        <f>IF(OR(AF1400="",AF1400="ERRO_CHAVE"),"",IFERROR(MATCH(AF1400,'Quitados DUPP'!$U$1:$U$6635,0),""))</f>
        <v/>
      </c>
      <c r="AH1400" s="15" t="str">
        <f t="shared" si="2"/>
        <v/>
      </c>
      <c r="AI1400" s="17" t="str">
        <f>IF(AG1400="","",INDEX('Quitados DUPP'!$G$1:$G$6635,AG1400))</f>
        <v/>
      </c>
      <c r="AJ1400" s="17" t="str">
        <f t="shared" si="3"/>
        <v/>
      </c>
    </row>
    <row r="1401" spans="31:36">
      <c r="AE1401" s="15" t="str">
        <f t="shared" si="0"/>
        <v/>
      </c>
      <c r="AF1401" s="15" t="str">
        <f t="shared" si="1"/>
        <v/>
      </c>
      <c r="AG1401" s="15" t="str">
        <f>IF(OR(AF1401="",AF1401="ERRO_CHAVE"),"",IFERROR(MATCH(AF1401,'Quitados DUPP'!$U$1:$U$6635,0),""))</f>
        <v/>
      </c>
      <c r="AH1401" s="15" t="str">
        <f t="shared" si="2"/>
        <v/>
      </c>
      <c r="AI1401" s="17" t="str">
        <f>IF(AG1401="","",INDEX('Quitados DUPP'!$G$1:$G$6635,AG1401))</f>
        <v/>
      </c>
      <c r="AJ1401" s="17" t="str">
        <f t="shared" si="3"/>
        <v/>
      </c>
    </row>
    <row r="1402" spans="31:36">
      <c r="AE1402" s="15" t="str">
        <f t="shared" si="0"/>
        <v/>
      </c>
      <c r="AF1402" s="15" t="str">
        <f t="shared" si="1"/>
        <v/>
      </c>
      <c r="AG1402" s="15" t="str">
        <f>IF(OR(AF1402="",AF1402="ERRO_CHAVE"),"",IFERROR(MATCH(AF1402,'Quitados DUPP'!$U$1:$U$6635,0),""))</f>
        <v/>
      </c>
      <c r="AH1402" s="15" t="str">
        <f t="shared" si="2"/>
        <v/>
      </c>
      <c r="AI1402" s="17" t="str">
        <f>IF(AG1402="","",INDEX('Quitados DUPP'!$G$1:$G$6635,AG1402))</f>
        <v/>
      </c>
      <c r="AJ1402" s="17" t="str">
        <f t="shared" si="3"/>
        <v/>
      </c>
    </row>
    <row r="1403" spans="31:36">
      <c r="AE1403" s="15" t="str">
        <f t="shared" si="0"/>
        <v/>
      </c>
      <c r="AF1403" s="15" t="str">
        <f t="shared" si="1"/>
        <v/>
      </c>
      <c r="AG1403" s="15" t="str">
        <f>IF(OR(AF1403="",AF1403="ERRO_CHAVE"),"",IFERROR(MATCH(AF1403,'Quitados DUPP'!$U$1:$U$6635,0),""))</f>
        <v/>
      </c>
      <c r="AH1403" s="15" t="str">
        <f t="shared" si="2"/>
        <v/>
      </c>
      <c r="AI1403" s="17" t="str">
        <f>IF(AG1403="","",INDEX('Quitados DUPP'!$G$1:$G$6635,AG1403))</f>
        <v/>
      </c>
      <c r="AJ1403" s="17" t="str">
        <f t="shared" si="3"/>
        <v/>
      </c>
    </row>
    <row r="1404" spans="31:36">
      <c r="AE1404" s="15" t="str">
        <f t="shared" si="0"/>
        <v/>
      </c>
      <c r="AF1404" s="15" t="str">
        <f t="shared" si="1"/>
        <v/>
      </c>
      <c r="AG1404" s="15" t="str">
        <f>IF(OR(AF1404="",AF1404="ERRO_CHAVE"),"",IFERROR(MATCH(AF1404,'Quitados DUPP'!$U$1:$U$6635,0),""))</f>
        <v/>
      </c>
      <c r="AH1404" s="15" t="str">
        <f t="shared" si="2"/>
        <v/>
      </c>
      <c r="AI1404" s="17" t="str">
        <f>IF(AG1404="","",INDEX('Quitados DUPP'!$G$1:$G$6635,AG1404))</f>
        <v/>
      </c>
      <c r="AJ1404" s="17" t="str">
        <f t="shared" si="3"/>
        <v/>
      </c>
    </row>
    <row r="1405" spans="31:36">
      <c r="AE1405" s="15" t="str">
        <f t="shared" si="0"/>
        <v/>
      </c>
      <c r="AF1405" s="15" t="str">
        <f t="shared" si="1"/>
        <v/>
      </c>
      <c r="AG1405" s="15" t="str">
        <f>IF(OR(AF1405="",AF1405="ERRO_CHAVE"),"",IFERROR(MATCH(AF1405,'Quitados DUPP'!$U$1:$U$6635,0),""))</f>
        <v/>
      </c>
      <c r="AH1405" s="15" t="str">
        <f t="shared" si="2"/>
        <v/>
      </c>
      <c r="AI1405" s="17" t="str">
        <f>IF(AG1405="","",INDEX('Quitados DUPP'!$G$1:$G$6635,AG1405))</f>
        <v/>
      </c>
      <c r="AJ1405" s="17" t="str">
        <f t="shared" si="3"/>
        <v/>
      </c>
    </row>
    <row r="1406" spans="31:36">
      <c r="AE1406" s="15" t="str">
        <f t="shared" si="0"/>
        <v/>
      </c>
      <c r="AF1406" s="15" t="str">
        <f t="shared" si="1"/>
        <v/>
      </c>
      <c r="AG1406" s="15" t="str">
        <f>IF(OR(AF1406="",AF1406="ERRO_CHAVE"),"",IFERROR(MATCH(AF1406,'Quitados DUPP'!$U$1:$U$6635,0),""))</f>
        <v/>
      </c>
      <c r="AH1406" s="15" t="str">
        <f t="shared" si="2"/>
        <v/>
      </c>
      <c r="AI1406" s="17" t="str">
        <f>IF(AG1406="","",INDEX('Quitados DUPP'!$G$1:$G$6635,AG1406))</f>
        <v/>
      </c>
      <c r="AJ1406" s="17" t="str">
        <f t="shared" si="3"/>
        <v/>
      </c>
    </row>
    <row r="1407" spans="31:36">
      <c r="AE1407" s="15" t="str">
        <f t="shared" si="0"/>
        <v/>
      </c>
      <c r="AF1407" s="15" t="str">
        <f t="shared" si="1"/>
        <v/>
      </c>
      <c r="AG1407" s="15" t="str">
        <f>IF(OR(AF1407="",AF1407="ERRO_CHAVE"),"",IFERROR(MATCH(AF1407,'Quitados DUPP'!$U$1:$U$6635,0),""))</f>
        <v/>
      </c>
      <c r="AH1407" s="15" t="str">
        <f t="shared" si="2"/>
        <v/>
      </c>
      <c r="AI1407" s="17" t="str">
        <f>IF(AG1407="","",INDEX('Quitados DUPP'!$G$1:$G$6635,AG1407))</f>
        <v/>
      </c>
      <c r="AJ1407" s="17" t="str">
        <f t="shared" si="3"/>
        <v/>
      </c>
    </row>
    <row r="1408" spans="31:36">
      <c r="AE1408" s="15" t="str">
        <f t="shared" si="0"/>
        <v/>
      </c>
      <c r="AF1408" s="15" t="str">
        <f t="shared" si="1"/>
        <v/>
      </c>
      <c r="AG1408" s="15" t="str">
        <f>IF(OR(AF1408="",AF1408="ERRO_CHAVE"),"",IFERROR(MATCH(AF1408,'Quitados DUPP'!$U$1:$U$6635,0),""))</f>
        <v/>
      </c>
      <c r="AH1408" s="15" t="str">
        <f t="shared" si="2"/>
        <v/>
      </c>
      <c r="AI1408" s="17" t="str">
        <f>IF(AG1408="","",INDEX('Quitados DUPP'!$G$1:$G$6635,AG1408))</f>
        <v/>
      </c>
      <c r="AJ1408" s="17" t="str">
        <f t="shared" si="3"/>
        <v/>
      </c>
    </row>
    <row r="1409" spans="31:36">
      <c r="AE1409" s="15" t="str">
        <f t="shared" si="0"/>
        <v/>
      </c>
      <c r="AF1409" s="15" t="str">
        <f t="shared" si="1"/>
        <v/>
      </c>
      <c r="AG1409" s="15" t="str">
        <f>IF(OR(AF1409="",AF1409="ERRO_CHAVE"),"",IFERROR(MATCH(AF1409,'Quitados DUPP'!$U$1:$U$6635,0),""))</f>
        <v/>
      </c>
      <c r="AH1409" s="15" t="str">
        <f t="shared" si="2"/>
        <v/>
      </c>
      <c r="AI1409" s="17" t="str">
        <f>IF(AG1409="","",INDEX('Quitados DUPP'!$G$1:$G$6635,AG1409))</f>
        <v/>
      </c>
      <c r="AJ1409" s="17" t="str">
        <f t="shared" si="3"/>
        <v/>
      </c>
    </row>
    <row r="1410" spans="31:36">
      <c r="AE1410" s="15" t="str">
        <f t="shared" si="0"/>
        <v/>
      </c>
      <c r="AF1410" s="15" t="str">
        <f t="shared" si="1"/>
        <v/>
      </c>
      <c r="AG1410" s="15" t="str">
        <f>IF(OR(AF1410="",AF1410="ERRO_CHAVE"),"",IFERROR(MATCH(AF1410,'Quitados DUPP'!$U$1:$U$6635,0),""))</f>
        <v/>
      </c>
      <c r="AH1410" s="15" t="str">
        <f t="shared" si="2"/>
        <v/>
      </c>
      <c r="AI1410" s="17" t="str">
        <f>IF(AG1410="","",INDEX('Quitados DUPP'!$G$1:$G$6635,AG1410))</f>
        <v/>
      </c>
      <c r="AJ1410" s="17" t="str">
        <f t="shared" si="3"/>
        <v/>
      </c>
    </row>
    <row r="1411" spans="31:36">
      <c r="AE1411" s="15" t="str">
        <f t="shared" si="0"/>
        <v/>
      </c>
      <c r="AF1411" s="15" t="str">
        <f t="shared" si="1"/>
        <v/>
      </c>
      <c r="AG1411" s="15" t="str">
        <f>IF(OR(AF1411="",AF1411="ERRO_CHAVE"),"",IFERROR(MATCH(AF1411,'Quitados DUPP'!$U$1:$U$6635,0),""))</f>
        <v/>
      </c>
      <c r="AH1411" s="15" t="str">
        <f t="shared" si="2"/>
        <v/>
      </c>
      <c r="AI1411" s="17" t="str">
        <f>IF(AG1411="","",INDEX('Quitados DUPP'!$G$1:$G$6635,AG1411))</f>
        <v/>
      </c>
      <c r="AJ1411" s="17" t="str">
        <f t="shared" si="3"/>
        <v/>
      </c>
    </row>
    <row r="1412" spans="31:36">
      <c r="AE1412" s="15" t="str">
        <f t="shared" si="0"/>
        <v/>
      </c>
      <c r="AF1412" s="15" t="str">
        <f t="shared" si="1"/>
        <v/>
      </c>
      <c r="AG1412" s="15" t="str">
        <f>IF(OR(AF1412="",AF1412="ERRO_CHAVE"),"",IFERROR(MATCH(AF1412,'Quitados DUPP'!$U$1:$U$6635,0),""))</f>
        <v/>
      </c>
      <c r="AH1412" s="15" t="str">
        <f t="shared" si="2"/>
        <v/>
      </c>
      <c r="AI1412" s="17" t="str">
        <f>IF(AG1412="","",INDEX('Quitados DUPP'!$G$1:$G$6635,AG1412))</f>
        <v/>
      </c>
      <c r="AJ1412" s="17" t="str">
        <f t="shared" si="3"/>
        <v/>
      </c>
    </row>
    <row r="1413" spans="31:36">
      <c r="AE1413" s="15" t="str">
        <f t="shared" si="0"/>
        <v/>
      </c>
      <c r="AF1413" s="15" t="str">
        <f t="shared" si="1"/>
        <v/>
      </c>
      <c r="AG1413" s="15" t="str">
        <f>IF(OR(AF1413="",AF1413="ERRO_CHAVE"),"",IFERROR(MATCH(AF1413,'Quitados DUPP'!$U$1:$U$6635,0),""))</f>
        <v/>
      </c>
      <c r="AH1413" s="15" t="str">
        <f t="shared" si="2"/>
        <v/>
      </c>
      <c r="AI1413" s="17" t="str">
        <f>IF(AG1413="","",INDEX('Quitados DUPP'!$G$1:$G$6635,AG1413))</f>
        <v/>
      </c>
      <c r="AJ1413" s="17" t="str">
        <f t="shared" si="3"/>
        <v/>
      </c>
    </row>
    <row r="1414" spans="31:36">
      <c r="AE1414" s="15" t="str">
        <f t="shared" si="0"/>
        <v/>
      </c>
      <c r="AF1414" s="15" t="str">
        <f t="shared" si="1"/>
        <v/>
      </c>
      <c r="AG1414" s="15" t="str">
        <f>IF(OR(AF1414="",AF1414="ERRO_CHAVE"),"",IFERROR(MATCH(AF1414,'Quitados DUPP'!$U$1:$U$6635,0),""))</f>
        <v/>
      </c>
      <c r="AH1414" s="15" t="str">
        <f t="shared" si="2"/>
        <v/>
      </c>
      <c r="AI1414" s="17" t="str">
        <f>IF(AG1414="","",INDEX('Quitados DUPP'!$G$1:$G$6635,AG1414))</f>
        <v/>
      </c>
      <c r="AJ1414" s="17" t="str">
        <f t="shared" si="3"/>
        <v/>
      </c>
    </row>
    <row r="1415" spans="31:36">
      <c r="AE1415" s="15" t="str">
        <f t="shared" si="0"/>
        <v/>
      </c>
      <c r="AF1415" s="15" t="str">
        <f t="shared" si="1"/>
        <v/>
      </c>
      <c r="AG1415" s="15" t="str">
        <f>IF(OR(AF1415="",AF1415="ERRO_CHAVE"),"",IFERROR(MATCH(AF1415,'Quitados DUPP'!$U$1:$U$6635,0),""))</f>
        <v/>
      </c>
      <c r="AH1415" s="15" t="str">
        <f t="shared" si="2"/>
        <v/>
      </c>
      <c r="AI1415" s="17" t="str">
        <f>IF(AG1415="","",INDEX('Quitados DUPP'!$G$1:$G$6635,AG1415))</f>
        <v/>
      </c>
      <c r="AJ1415" s="17" t="str">
        <f t="shared" si="3"/>
        <v/>
      </c>
    </row>
    <row r="1416" spans="31:36">
      <c r="AE1416" s="15" t="str">
        <f t="shared" si="0"/>
        <v/>
      </c>
      <c r="AF1416" s="15" t="str">
        <f t="shared" si="1"/>
        <v/>
      </c>
      <c r="AG1416" s="15" t="str">
        <f>IF(OR(AF1416="",AF1416="ERRO_CHAVE"),"",IFERROR(MATCH(AF1416,'Quitados DUPP'!$U$1:$U$6635,0),""))</f>
        <v/>
      </c>
      <c r="AH1416" s="15" t="str">
        <f t="shared" si="2"/>
        <v/>
      </c>
      <c r="AI1416" s="17" t="str">
        <f>IF(AG1416="","",INDEX('Quitados DUPP'!$G$1:$G$6635,AG1416))</f>
        <v/>
      </c>
      <c r="AJ1416" s="17" t="str">
        <f t="shared" si="3"/>
        <v/>
      </c>
    </row>
    <row r="1417" spans="31:36">
      <c r="AE1417" s="15" t="str">
        <f t="shared" si="0"/>
        <v/>
      </c>
      <c r="AF1417" s="15" t="str">
        <f t="shared" si="1"/>
        <v/>
      </c>
      <c r="AG1417" s="15" t="str">
        <f>IF(OR(AF1417="",AF1417="ERRO_CHAVE"),"",IFERROR(MATCH(AF1417,'Quitados DUPP'!$U$1:$U$6635,0),""))</f>
        <v/>
      </c>
      <c r="AH1417" s="15" t="str">
        <f t="shared" si="2"/>
        <v/>
      </c>
      <c r="AI1417" s="17" t="str">
        <f>IF(AG1417="","",INDEX('Quitados DUPP'!$G$1:$G$6635,AG1417))</f>
        <v/>
      </c>
      <c r="AJ1417" s="17" t="str">
        <f t="shared" si="3"/>
        <v/>
      </c>
    </row>
    <row r="1418" spans="31:36">
      <c r="AE1418" s="15" t="str">
        <f t="shared" si="0"/>
        <v/>
      </c>
      <c r="AF1418" s="15" t="str">
        <f t="shared" si="1"/>
        <v/>
      </c>
      <c r="AG1418" s="15" t="str">
        <f>IF(OR(AF1418="",AF1418="ERRO_CHAVE"),"",IFERROR(MATCH(AF1418,'Quitados DUPP'!$U$1:$U$6635,0),""))</f>
        <v/>
      </c>
      <c r="AH1418" s="15" t="str">
        <f t="shared" si="2"/>
        <v/>
      </c>
      <c r="AI1418" s="17" t="str">
        <f>IF(AG1418="","",INDEX('Quitados DUPP'!$G$1:$G$6635,AG1418))</f>
        <v/>
      </c>
      <c r="AJ1418" s="17" t="str">
        <f t="shared" si="3"/>
        <v/>
      </c>
    </row>
    <row r="1419" spans="31:36">
      <c r="AE1419" s="15" t="str">
        <f t="shared" si="0"/>
        <v/>
      </c>
      <c r="AF1419" s="15" t="str">
        <f t="shared" si="1"/>
        <v/>
      </c>
      <c r="AG1419" s="15" t="str">
        <f>IF(OR(AF1419="",AF1419="ERRO_CHAVE"),"",IFERROR(MATCH(AF1419,'Quitados DUPP'!$U$1:$U$6635,0),""))</f>
        <v/>
      </c>
      <c r="AH1419" s="15" t="str">
        <f t="shared" si="2"/>
        <v/>
      </c>
      <c r="AI1419" s="17" t="str">
        <f>IF(AG1419="","",INDEX('Quitados DUPP'!$G$1:$G$6635,AG1419))</f>
        <v/>
      </c>
      <c r="AJ1419" s="17" t="str">
        <f t="shared" si="3"/>
        <v/>
      </c>
    </row>
    <row r="1420" spans="31:36">
      <c r="AE1420" s="15" t="str">
        <f t="shared" si="0"/>
        <v/>
      </c>
      <c r="AF1420" s="15" t="str">
        <f t="shared" si="1"/>
        <v/>
      </c>
      <c r="AG1420" s="15" t="str">
        <f>IF(OR(AF1420="",AF1420="ERRO_CHAVE"),"",IFERROR(MATCH(AF1420,'Quitados DUPP'!$U$1:$U$6635,0),""))</f>
        <v/>
      </c>
      <c r="AH1420" s="15" t="str">
        <f t="shared" si="2"/>
        <v/>
      </c>
      <c r="AI1420" s="17" t="str">
        <f>IF(AG1420="","",INDEX('Quitados DUPP'!$G$1:$G$6635,AG1420))</f>
        <v/>
      </c>
      <c r="AJ1420" s="17" t="str">
        <f t="shared" si="3"/>
        <v/>
      </c>
    </row>
    <row r="1421" spans="31:36">
      <c r="AE1421" s="15" t="str">
        <f t="shared" si="0"/>
        <v/>
      </c>
      <c r="AF1421" s="15" t="str">
        <f t="shared" si="1"/>
        <v/>
      </c>
      <c r="AG1421" s="15" t="str">
        <f>IF(OR(AF1421="",AF1421="ERRO_CHAVE"),"",IFERROR(MATCH(AF1421,'Quitados DUPP'!$U$1:$U$6635,0),""))</f>
        <v/>
      </c>
      <c r="AH1421" s="15" t="str">
        <f t="shared" si="2"/>
        <v/>
      </c>
      <c r="AI1421" s="17" t="str">
        <f>IF(AG1421="","",INDEX('Quitados DUPP'!$G$1:$G$6635,AG1421))</f>
        <v/>
      </c>
      <c r="AJ1421" s="17" t="str">
        <f t="shared" si="3"/>
        <v/>
      </c>
    </row>
    <row r="1422" spans="31:36">
      <c r="AE1422" s="15" t="str">
        <f t="shared" si="0"/>
        <v/>
      </c>
      <c r="AF1422" s="15" t="str">
        <f t="shared" si="1"/>
        <v/>
      </c>
      <c r="AG1422" s="15" t="str">
        <f>IF(OR(AF1422="",AF1422="ERRO_CHAVE"),"",IFERROR(MATCH(AF1422,'Quitados DUPP'!$U$1:$U$6635,0),""))</f>
        <v/>
      </c>
      <c r="AH1422" s="15" t="str">
        <f t="shared" si="2"/>
        <v/>
      </c>
      <c r="AI1422" s="17" t="str">
        <f>IF(AG1422="","",INDEX('Quitados DUPP'!$G$1:$G$6635,AG1422))</f>
        <v/>
      </c>
      <c r="AJ1422" s="17" t="str">
        <f t="shared" si="3"/>
        <v/>
      </c>
    </row>
    <row r="1423" spans="31:36">
      <c r="AE1423" s="15" t="str">
        <f t="shared" si="0"/>
        <v/>
      </c>
      <c r="AF1423" s="15" t="str">
        <f t="shared" si="1"/>
        <v/>
      </c>
      <c r="AG1423" s="15" t="str">
        <f>IF(OR(AF1423="",AF1423="ERRO_CHAVE"),"",IFERROR(MATCH(AF1423,'Quitados DUPP'!$U$1:$U$6635,0),""))</f>
        <v/>
      </c>
      <c r="AH1423" s="15" t="str">
        <f t="shared" si="2"/>
        <v/>
      </c>
      <c r="AI1423" s="17" t="str">
        <f>IF(AG1423="","",INDEX('Quitados DUPP'!$G$1:$G$6635,AG1423))</f>
        <v/>
      </c>
      <c r="AJ1423" s="17" t="str">
        <f t="shared" si="3"/>
        <v/>
      </c>
    </row>
    <row r="1424" spans="31:36">
      <c r="AE1424" s="15" t="str">
        <f t="shared" si="0"/>
        <v/>
      </c>
      <c r="AF1424" s="15" t="str">
        <f t="shared" si="1"/>
        <v/>
      </c>
      <c r="AG1424" s="15" t="str">
        <f>IF(OR(AF1424="",AF1424="ERRO_CHAVE"),"",IFERROR(MATCH(AF1424,'Quitados DUPP'!$U$1:$U$6635,0),""))</f>
        <v/>
      </c>
      <c r="AH1424" s="15" t="str">
        <f t="shared" si="2"/>
        <v/>
      </c>
      <c r="AI1424" s="17" t="str">
        <f>IF(AG1424="","",INDEX('Quitados DUPP'!$G$1:$G$6635,AG1424))</f>
        <v/>
      </c>
      <c r="AJ1424" s="17" t="str">
        <f t="shared" si="3"/>
        <v/>
      </c>
    </row>
    <row r="1425" spans="31:36">
      <c r="AE1425" s="15" t="str">
        <f t="shared" si="0"/>
        <v/>
      </c>
      <c r="AF1425" s="15" t="str">
        <f t="shared" si="1"/>
        <v/>
      </c>
      <c r="AG1425" s="15" t="str">
        <f>IF(OR(AF1425="",AF1425="ERRO_CHAVE"),"",IFERROR(MATCH(AF1425,'Quitados DUPP'!$U$1:$U$6635,0),""))</f>
        <v/>
      </c>
      <c r="AH1425" s="15" t="str">
        <f t="shared" si="2"/>
        <v/>
      </c>
      <c r="AI1425" s="17" t="str">
        <f>IF(AG1425="","",INDEX('Quitados DUPP'!$G$1:$G$6635,AG1425))</f>
        <v/>
      </c>
      <c r="AJ1425" s="17" t="str">
        <f t="shared" si="3"/>
        <v/>
      </c>
    </row>
    <row r="1426" spans="31:36">
      <c r="AE1426" s="15" t="str">
        <f t="shared" si="0"/>
        <v/>
      </c>
      <c r="AF1426" s="15" t="str">
        <f t="shared" si="1"/>
        <v/>
      </c>
      <c r="AG1426" s="15" t="str">
        <f>IF(OR(AF1426="",AF1426="ERRO_CHAVE"),"",IFERROR(MATCH(AF1426,'Quitados DUPP'!$U$1:$U$6635,0),""))</f>
        <v/>
      </c>
      <c r="AH1426" s="15" t="str">
        <f t="shared" si="2"/>
        <v/>
      </c>
      <c r="AI1426" s="17" t="str">
        <f>IF(AG1426="","",INDEX('Quitados DUPP'!$G$1:$G$6635,AG1426))</f>
        <v/>
      </c>
      <c r="AJ1426" s="17" t="str">
        <f t="shared" si="3"/>
        <v/>
      </c>
    </row>
    <row r="1427" spans="31:36">
      <c r="AE1427" s="15" t="str">
        <f t="shared" si="0"/>
        <v/>
      </c>
      <c r="AF1427" s="15" t="str">
        <f t="shared" si="1"/>
        <v/>
      </c>
      <c r="AG1427" s="15" t="str">
        <f>IF(OR(AF1427="",AF1427="ERRO_CHAVE"),"",IFERROR(MATCH(AF1427,'Quitados DUPP'!$U$1:$U$6635,0),""))</f>
        <v/>
      </c>
      <c r="AH1427" s="15" t="str">
        <f t="shared" si="2"/>
        <v/>
      </c>
      <c r="AI1427" s="17" t="str">
        <f>IF(AG1427="","",INDEX('Quitados DUPP'!$G$1:$G$6635,AG1427))</f>
        <v/>
      </c>
      <c r="AJ1427" s="17" t="str">
        <f t="shared" si="3"/>
        <v/>
      </c>
    </row>
    <row r="1428" spans="31:36">
      <c r="AE1428" s="15" t="str">
        <f t="shared" si="0"/>
        <v/>
      </c>
      <c r="AF1428" s="15" t="str">
        <f t="shared" si="1"/>
        <v/>
      </c>
      <c r="AG1428" s="15" t="str">
        <f>IF(OR(AF1428="",AF1428="ERRO_CHAVE"),"",IFERROR(MATCH(AF1428,'Quitados DUPP'!$U$1:$U$6635,0),""))</f>
        <v/>
      </c>
      <c r="AH1428" s="15" t="str">
        <f t="shared" si="2"/>
        <v/>
      </c>
      <c r="AI1428" s="17" t="str">
        <f>IF(AG1428="","",INDEX('Quitados DUPP'!$G$1:$G$6635,AG1428))</f>
        <v/>
      </c>
      <c r="AJ1428" s="17" t="str">
        <f t="shared" si="3"/>
        <v/>
      </c>
    </row>
    <row r="1429" spans="31:36">
      <c r="AE1429" s="15" t="str">
        <f t="shared" si="0"/>
        <v/>
      </c>
      <c r="AF1429" s="15" t="str">
        <f t="shared" si="1"/>
        <v/>
      </c>
      <c r="AG1429" s="15" t="str">
        <f>IF(OR(AF1429="",AF1429="ERRO_CHAVE"),"",IFERROR(MATCH(AF1429,'Quitados DUPP'!$U$1:$U$6635,0),""))</f>
        <v/>
      </c>
      <c r="AH1429" s="15" t="str">
        <f t="shared" si="2"/>
        <v/>
      </c>
      <c r="AI1429" s="17" t="str">
        <f>IF(AG1429="","",INDEX('Quitados DUPP'!$G$1:$G$6635,AG1429))</f>
        <v/>
      </c>
      <c r="AJ1429" s="17" t="str">
        <f t="shared" si="3"/>
        <v/>
      </c>
    </row>
    <row r="1430" spans="31:36">
      <c r="AE1430" s="15" t="str">
        <f t="shared" si="0"/>
        <v/>
      </c>
      <c r="AF1430" s="15" t="str">
        <f t="shared" si="1"/>
        <v/>
      </c>
      <c r="AG1430" s="15" t="str">
        <f>IF(OR(AF1430="",AF1430="ERRO_CHAVE"),"",IFERROR(MATCH(AF1430,'Quitados DUPP'!$U$1:$U$6635,0),""))</f>
        <v/>
      </c>
      <c r="AH1430" s="15" t="str">
        <f t="shared" si="2"/>
        <v/>
      </c>
      <c r="AI1430" s="17" t="str">
        <f>IF(AG1430="","",INDEX('Quitados DUPP'!$G$1:$G$6635,AG1430))</f>
        <v/>
      </c>
      <c r="AJ1430" s="17" t="str">
        <f t="shared" si="3"/>
        <v/>
      </c>
    </row>
    <row r="1431" spans="31:36">
      <c r="AE1431" s="15" t="str">
        <f t="shared" si="0"/>
        <v/>
      </c>
      <c r="AF1431" s="15" t="str">
        <f t="shared" si="1"/>
        <v/>
      </c>
      <c r="AG1431" s="15" t="str">
        <f>IF(OR(AF1431="",AF1431="ERRO_CHAVE"),"",IFERROR(MATCH(AF1431,'Quitados DUPP'!$U$1:$U$6635,0),""))</f>
        <v/>
      </c>
      <c r="AH1431" s="15" t="str">
        <f t="shared" si="2"/>
        <v/>
      </c>
      <c r="AI1431" s="17" t="str">
        <f>IF(AG1431="","",INDEX('Quitados DUPP'!$G$1:$G$6635,AG1431))</f>
        <v/>
      </c>
      <c r="AJ1431" s="17" t="str">
        <f t="shared" si="3"/>
        <v/>
      </c>
    </row>
    <row r="1432" spans="31:36">
      <c r="AE1432" s="15" t="str">
        <f t="shared" si="0"/>
        <v/>
      </c>
      <c r="AF1432" s="15" t="str">
        <f t="shared" si="1"/>
        <v/>
      </c>
      <c r="AG1432" s="15" t="str">
        <f>IF(OR(AF1432="",AF1432="ERRO_CHAVE"),"",IFERROR(MATCH(AF1432,'Quitados DUPP'!$U$1:$U$6635,0),""))</f>
        <v/>
      </c>
      <c r="AH1432" s="15" t="str">
        <f t="shared" si="2"/>
        <v/>
      </c>
      <c r="AI1432" s="17" t="str">
        <f>IF(AG1432="","",INDEX('Quitados DUPP'!$G$1:$G$6635,AG1432))</f>
        <v/>
      </c>
      <c r="AJ1432" s="17" t="str">
        <f t="shared" si="3"/>
        <v/>
      </c>
    </row>
    <row r="1433" spans="31:36">
      <c r="AE1433" s="15" t="str">
        <f t="shared" si="0"/>
        <v/>
      </c>
      <c r="AF1433" s="15" t="str">
        <f t="shared" si="1"/>
        <v/>
      </c>
      <c r="AG1433" s="15" t="str">
        <f>IF(OR(AF1433="",AF1433="ERRO_CHAVE"),"",IFERROR(MATCH(AF1433,'Quitados DUPP'!$U$1:$U$6635,0),""))</f>
        <v/>
      </c>
      <c r="AH1433" s="15" t="str">
        <f t="shared" si="2"/>
        <v/>
      </c>
      <c r="AI1433" s="17" t="str">
        <f>IF(AG1433="","",INDEX('Quitados DUPP'!$G$1:$G$6635,AG1433))</f>
        <v/>
      </c>
      <c r="AJ1433" s="17" t="str">
        <f t="shared" si="3"/>
        <v/>
      </c>
    </row>
    <row r="1434" spans="31:36">
      <c r="AE1434" s="15" t="str">
        <f t="shared" si="0"/>
        <v/>
      </c>
      <c r="AF1434" s="15" t="str">
        <f t="shared" si="1"/>
        <v/>
      </c>
      <c r="AG1434" s="15" t="str">
        <f>IF(OR(AF1434="",AF1434="ERRO_CHAVE"),"",IFERROR(MATCH(AF1434,'Quitados DUPP'!$U$1:$U$6635,0),""))</f>
        <v/>
      </c>
      <c r="AH1434" s="15" t="str">
        <f t="shared" si="2"/>
        <v/>
      </c>
      <c r="AI1434" s="17" t="str">
        <f>IF(AG1434="","",INDEX('Quitados DUPP'!$G$1:$G$6635,AG1434))</f>
        <v/>
      </c>
      <c r="AJ1434" s="17" t="str">
        <f t="shared" si="3"/>
        <v/>
      </c>
    </row>
    <row r="1435" spans="31:36">
      <c r="AE1435" s="15" t="str">
        <f t="shared" si="0"/>
        <v/>
      </c>
      <c r="AF1435" s="15" t="str">
        <f t="shared" si="1"/>
        <v/>
      </c>
      <c r="AG1435" s="15" t="str">
        <f>IF(OR(AF1435="",AF1435="ERRO_CHAVE"),"",IFERROR(MATCH(AF1435,'Quitados DUPP'!$U$1:$U$6635,0),""))</f>
        <v/>
      </c>
      <c r="AH1435" s="15" t="str">
        <f t="shared" si="2"/>
        <v/>
      </c>
      <c r="AI1435" s="17" t="str">
        <f>IF(AG1435="","",INDEX('Quitados DUPP'!$G$1:$G$6635,AG1435))</f>
        <v/>
      </c>
      <c r="AJ1435" s="17" t="str">
        <f t="shared" si="3"/>
        <v/>
      </c>
    </row>
    <row r="1436" spans="31:36">
      <c r="AE1436" s="15" t="str">
        <f t="shared" si="0"/>
        <v/>
      </c>
      <c r="AF1436" s="15" t="str">
        <f t="shared" si="1"/>
        <v/>
      </c>
      <c r="AG1436" s="15" t="str">
        <f>IF(OR(AF1436="",AF1436="ERRO_CHAVE"),"",IFERROR(MATCH(AF1436,'Quitados DUPP'!$U$1:$U$6635,0),""))</f>
        <v/>
      </c>
      <c r="AH1436" s="15" t="str">
        <f t="shared" si="2"/>
        <v/>
      </c>
      <c r="AI1436" s="17" t="str">
        <f>IF(AG1436="","",INDEX('Quitados DUPP'!$G$1:$G$6635,AG1436))</f>
        <v/>
      </c>
      <c r="AJ1436" s="17" t="str">
        <f t="shared" si="3"/>
        <v/>
      </c>
    </row>
    <row r="1437" spans="31:36">
      <c r="AE1437" s="15" t="str">
        <f t="shared" si="0"/>
        <v/>
      </c>
      <c r="AF1437" s="15" t="str">
        <f t="shared" si="1"/>
        <v/>
      </c>
      <c r="AG1437" s="15" t="str">
        <f>IF(OR(AF1437="",AF1437="ERRO_CHAVE"),"",IFERROR(MATCH(AF1437,'Quitados DUPP'!$U$1:$U$6635,0),""))</f>
        <v/>
      </c>
      <c r="AH1437" s="15" t="str">
        <f t="shared" si="2"/>
        <v/>
      </c>
      <c r="AI1437" s="17" t="str">
        <f>IF(AG1437="","",INDEX('Quitados DUPP'!$G$1:$G$6635,AG1437))</f>
        <v/>
      </c>
      <c r="AJ1437" s="17" t="str">
        <f t="shared" si="3"/>
        <v/>
      </c>
    </row>
    <row r="1438" spans="31:36">
      <c r="AE1438" s="15" t="str">
        <f t="shared" si="0"/>
        <v/>
      </c>
      <c r="AF1438" s="15" t="str">
        <f t="shared" si="1"/>
        <v/>
      </c>
      <c r="AG1438" s="15" t="str">
        <f>IF(OR(AF1438="",AF1438="ERRO_CHAVE"),"",IFERROR(MATCH(AF1438,'Quitados DUPP'!$U$1:$U$6635,0),""))</f>
        <v/>
      </c>
      <c r="AH1438" s="15" t="str">
        <f t="shared" si="2"/>
        <v/>
      </c>
      <c r="AI1438" s="17" t="str">
        <f>IF(AG1438="","",INDEX('Quitados DUPP'!$G$1:$G$6635,AG1438))</f>
        <v/>
      </c>
      <c r="AJ1438" s="17" t="str">
        <f t="shared" si="3"/>
        <v/>
      </c>
    </row>
    <row r="1439" spans="31:36">
      <c r="AE1439" s="15" t="str">
        <f t="shared" si="0"/>
        <v/>
      </c>
      <c r="AF1439" s="15" t="str">
        <f t="shared" si="1"/>
        <v/>
      </c>
      <c r="AG1439" s="15" t="str">
        <f>IF(OR(AF1439="",AF1439="ERRO_CHAVE"),"",IFERROR(MATCH(AF1439,'Quitados DUPP'!$U$1:$U$6635,0),""))</f>
        <v/>
      </c>
      <c r="AH1439" s="15" t="str">
        <f t="shared" si="2"/>
        <v/>
      </c>
      <c r="AI1439" s="17" t="str">
        <f>IF(AG1439="","",INDEX('Quitados DUPP'!$G$1:$G$6635,AG1439))</f>
        <v/>
      </c>
      <c r="AJ1439" s="17" t="str">
        <f t="shared" si="3"/>
        <v/>
      </c>
    </row>
    <row r="1440" spans="31:36">
      <c r="AE1440" s="15" t="str">
        <f t="shared" si="0"/>
        <v/>
      </c>
      <c r="AF1440" s="15" t="str">
        <f t="shared" si="1"/>
        <v/>
      </c>
      <c r="AG1440" s="15" t="str">
        <f>IF(OR(AF1440="",AF1440="ERRO_CHAVE"),"",IFERROR(MATCH(AF1440,'Quitados DUPP'!$U$1:$U$6635,0),""))</f>
        <v/>
      </c>
      <c r="AH1440" s="15" t="str">
        <f t="shared" si="2"/>
        <v/>
      </c>
      <c r="AI1440" s="17" t="str">
        <f>IF(AG1440="","",INDEX('Quitados DUPP'!$G$1:$G$6635,AG1440))</f>
        <v/>
      </c>
      <c r="AJ1440" s="17" t="str">
        <f t="shared" si="3"/>
        <v/>
      </c>
    </row>
    <row r="1441" spans="31:36">
      <c r="AE1441" s="15" t="str">
        <f t="shared" si="0"/>
        <v/>
      </c>
      <c r="AF1441" s="15" t="str">
        <f t="shared" si="1"/>
        <v/>
      </c>
      <c r="AG1441" s="15" t="str">
        <f>IF(OR(AF1441="",AF1441="ERRO_CHAVE"),"",IFERROR(MATCH(AF1441,'Quitados DUPP'!$U$1:$U$6635,0),""))</f>
        <v/>
      </c>
      <c r="AH1441" s="15" t="str">
        <f t="shared" si="2"/>
        <v/>
      </c>
      <c r="AI1441" s="17" t="str">
        <f>IF(AG1441="","",INDEX('Quitados DUPP'!$G$1:$G$6635,AG1441))</f>
        <v/>
      </c>
      <c r="AJ1441" s="17" t="str">
        <f t="shared" si="3"/>
        <v/>
      </c>
    </row>
    <row r="1442" spans="31:36">
      <c r="AE1442" s="15" t="str">
        <f t="shared" si="0"/>
        <v/>
      </c>
      <c r="AF1442" s="15" t="str">
        <f t="shared" si="1"/>
        <v/>
      </c>
      <c r="AG1442" s="15" t="str">
        <f>IF(OR(AF1442="",AF1442="ERRO_CHAVE"),"",IFERROR(MATCH(AF1442,'Quitados DUPP'!$U$1:$U$6635,0),""))</f>
        <v/>
      </c>
      <c r="AH1442" s="15" t="str">
        <f t="shared" si="2"/>
        <v/>
      </c>
      <c r="AI1442" s="17" t="str">
        <f>IF(AG1442="","",INDEX('Quitados DUPP'!$G$1:$G$6635,AG1442))</f>
        <v/>
      </c>
      <c r="AJ1442" s="17" t="str">
        <f t="shared" si="3"/>
        <v/>
      </c>
    </row>
    <row r="1443" spans="31:36">
      <c r="AE1443" s="15" t="str">
        <f t="shared" si="0"/>
        <v/>
      </c>
      <c r="AF1443" s="15" t="str">
        <f t="shared" si="1"/>
        <v/>
      </c>
      <c r="AG1443" s="15" t="str">
        <f>IF(OR(AF1443="",AF1443="ERRO_CHAVE"),"",IFERROR(MATCH(AF1443,'Quitados DUPP'!$U$1:$U$6635,0),""))</f>
        <v/>
      </c>
      <c r="AH1443" s="15" t="str">
        <f t="shared" si="2"/>
        <v/>
      </c>
      <c r="AI1443" s="17" t="str">
        <f>IF(AG1443="","",INDEX('Quitados DUPP'!$G$1:$G$6635,AG1443))</f>
        <v/>
      </c>
      <c r="AJ1443" s="17" t="str">
        <f t="shared" si="3"/>
        <v/>
      </c>
    </row>
    <row r="1444" spans="31:36">
      <c r="AE1444" s="15" t="str">
        <f t="shared" si="0"/>
        <v/>
      </c>
      <c r="AF1444" s="15" t="str">
        <f t="shared" si="1"/>
        <v/>
      </c>
      <c r="AG1444" s="15" t="str">
        <f>IF(OR(AF1444="",AF1444="ERRO_CHAVE"),"",IFERROR(MATCH(AF1444,'Quitados DUPP'!$U$1:$U$6635,0),""))</f>
        <v/>
      </c>
      <c r="AH1444" s="15" t="str">
        <f t="shared" si="2"/>
        <v/>
      </c>
      <c r="AI1444" s="17" t="str">
        <f>IF(AG1444="","",INDEX('Quitados DUPP'!$G$1:$G$6635,AG1444))</f>
        <v/>
      </c>
      <c r="AJ1444" s="17" t="str">
        <f t="shared" si="3"/>
        <v/>
      </c>
    </row>
    <row r="1445" spans="31:36">
      <c r="AE1445" s="15" t="str">
        <f t="shared" si="0"/>
        <v/>
      </c>
      <c r="AF1445" s="15" t="str">
        <f t="shared" si="1"/>
        <v/>
      </c>
      <c r="AG1445" s="15" t="str">
        <f>IF(OR(AF1445="",AF1445="ERRO_CHAVE"),"",IFERROR(MATCH(AF1445,'Quitados DUPP'!$U$1:$U$6635,0),""))</f>
        <v/>
      </c>
      <c r="AH1445" s="15" t="str">
        <f t="shared" si="2"/>
        <v/>
      </c>
      <c r="AI1445" s="17" t="str">
        <f>IF(AG1445="","",INDEX('Quitados DUPP'!$G$1:$G$6635,AG1445))</f>
        <v/>
      </c>
      <c r="AJ1445" s="17" t="str">
        <f t="shared" si="3"/>
        <v/>
      </c>
    </row>
    <row r="1446" spans="31:36">
      <c r="AE1446" s="15" t="str">
        <f t="shared" si="0"/>
        <v/>
      </c>
      <c r="AF1446" s="15" t="str">
        <f t="shared" si="1"/>
        <v/>
      </c>
      <c r="AG1446" s="15" t="str">
        <f>IF(OR(AF1446="",AF1446="ERRO_CHAVE"),"",IFERROR(MATCH(AF1446,'Quitados DUPP'!$U$1:$U$6635,0),""))</f>
        <v/>
      </c>
      <c r="AH1446" s="15" t="str">
        <f t="shared" si="2"/>
        <v/>
      </c>
      <c r="AI1446" s="17" t="str">
        <f>IF(AG1446="","",INDEX('Quitados DUPP'!$G$1:$G$6635,AG1446))</f>
        <v/>
      </c>
      <c r="AJ1446" s="17" t="str">
        <f t="shared" si="3"/>
        <v/>
      </c>
    </row>
    <row r="1447" spans="31:36">
      <c r="AE1447" s="15" t="str">
        <f t="shared" si="0"/>
        <v/>
      </c>
      <c r="AF1447" s="15" t="str">
        <f t="shared" si="1"/>
        <v/>
      </c>
      <c r="AG1447" s="15" t="str">
        <f>IF(OR(AF1447="",AF1447="ERRO_CHAVE"),"",IFERROR(MATCH(AF1447,'Quitados DUPP'!$U$1:$U$6635,0),""))</f>
        <v/>
      </c>
      <c r="AH1447" s="15" t="str">
        <f t="shared" si="2"/>
        <v/>
      </c>
      <c r="AI1447" s="17" t="str">
        <f>IF(AG1447="","",INDEX('Quitados DUPP'!$G$1:$G$6635,AG1447))</f>
        <v/>
      </c>
      <c r="AJ1447" s="17" t="str">
        <f t="shared" si="3"/>
        <v/>
      </c>
    </row>
    <row r="1448" spans="31:36">
      <c r="AE1448" s="15" t="str">
        <f t="shared" si="0"/>
        <v/>
      </c>
      <c r="AF1448" s="15" t="str">
        <f t="shared" si="1"/>
        <v/>
      </c>
      <c r="AG1448" s="15" t="str">
        <f>IF(OR(AF1448="",AF1448="ERRO_CHAVE"),"",IFERROR(MATCH(AF1448,'Quitados DUPP'!$U$1:$U$6635,0),""))</f>
        <v/>
      </c>
      <c r="AH1448" s="15" t="str">
        <f t="shared" si="2"/>
        <v/>
      </c>
      <c r="AI1448" s="17" t="str">
        <f>IF(AG1448="","",INDEX('Quitados DUPP'!$G$1:$G$6635,AG1448))</f>
        <v/>
      </c>
      <c r="AJ1448" s="17" t="str">
        <f t="shared" si="3"/>
        <v/>
      </c>
    </row>
    <row r="1449" spans="31:36">
      <c r="AE1449" s="15" t="str">
        <f t="shared" si="0"/>
        <v/>
      </c>
      <c r="AF1449" s="15" t="str">
        <f t="shared" si="1"/>
        <v/>
      </c>
      <c r="AG1449" s="15" t="str">
        <f>IF(OR(AF1449="",AF1449="ERRO_CHAVE"),"",IFERROR(MATCH(AF1449,'Quitados DUPP'!$U$1:$U$6635,0),""))</f>
        <v/>
      </c>
      <c r="AH1449" s="15" t="str">
        <f t="shared" si="2"/>
        <v/>
      </c>
      <c r="AI1449" s="17" t="str">
        <f>IF(AG1449="","",INDEX('Quitados DUPP'!$G$1:$G$6635,AG1449))</f>
        <v/>
      </c>
      <c r="AJ1449" s="17" t="str">
        <f t="shared" si="3"/>
        <v/>
      </c>
    </row>
    <row r="1450" spans="31:36">
      <c r="AE1450" s="15" t="str">
        <f t="shared" si="0"/>
        <v/>
      </c>
      <c r="AF1450" s="15" t="str">
        <f t="shared" si="1"/>
        <v/>
      </c>
      <c r="AG1450" s="15" t="str">
        <f>IF(OR(AF1450="",AF1450="ERRO_CHAVE"),"",IFERROR(MATCH(AF1450,'Quitados DUPP'!$U$1:$U$6635,0),""))</f>
        <v/>
      </c>
      <c r="AH1450" s="15" t="str">
        <f t="shared" si="2"/>
        <v/>
      </c>
      <c r="AI1450" s="17" t="str">
        <f>IF(AG1450="","",INDEX('Quitados DUPP'!$G$1:$G$6635,AG1450))</f>
        <v/>
      </c>
      <c r="AJ1450" s="17" t="str">
        <f t="shared" si="3"/>
        <v/>
      </c>
    </row>
    <row r="1451" spans="31:36">
      <c r="AE1451" s="15" t="str">
        <f t="shared" si="0"/>
        <v/>
      </c>
      <c r="AF1451" s="15" t="str">
        <f t="shared" si="1"/>
        <v/>
      </c>
      <c r="AG1451" s="15" t="str">
        <f>IF(OR(AF1451="",AF1451="ERRO_CHAVE"),"",IFERROR(MATCH(AF1451,'Quitados DUPP'!$U$1:$U$6635,0),""))</f>
        <v/>
      </c>
      <c r="AH1451" s="15" t="str">
        <f t="shared" si="2"/>
        <v/>
      </c>
      <c r="AI1451" s="17" t="str">
        <f>IF(AG1451="","",INDEX('Quitados DUPP'!$G$1:$G$6635,AG1451))</f>
        <v/>
      </c>
      <c r="AJ1451" s="17" t="str">
        <f t="shared" si="3"/>
        <v/>
      </c>
    </row>
    <row r="1452" spans="31:36">
      <c r="AE1452" s="15" t="str">
        <f t="shared" si="0"/>
        <v/>
      </c>
      <c r="AF1452" s="15" t="str">
        <f t="shared" si="1"/>
        <v/>
      </c>
      <c r="AG1452" s="15" t="str">
        <f>IF(OR(AF1452="",AF1452="ERRO_CHAVE"),"",IFERROR(MATCH(AF1452,'Quitados DUPP'!$U$1:$U$6635,0),""))</f>
        <v/>
      </c>
      <c r="AH1452" s="15" t="str">
        <f t="shared" si="2"/>
        <v/>
      </c>
      <c r="AI1452" s="17" t="str">
        <f>IF(AG1452="","",INDEX('Quitados DUPP'!$G$1:$G$6635,AG1452))</f>
        <v/>
      </c>
      <c r="AJ1452" s="17" t="str">
        <f t="shared" si="3"/>
        <v/>
      </c>
    </row>
    <row r="1453" spans="31:36">
      <c r="AE1453" s="15" t="str">
        <f t="shared" si="0"/>
        <v/>
      </c>
      <c r="AF1453" s="15" t="str">
        <f t="shared" si="1"/>
        <v/>
      </c>
      <c r="AG1453" s="15" t="str">
        <f>IF(OR(AF1453="",AF1453="ERRO_CHAVE"),"",IFERROR(MATCH(AF1453,'Quitados DUPP'!$U$1:$U$6635,0),""))</f>
        <v/>
      </c>
      <c r="AH1453" s="15" t="str">
        <f t="shared" si="2"/>
        <v/>
      </c>
      <c r="AI1453" s="17" t="str">
        <f>IF(AG1453="","",INDEX('Quitados DUPP'!$G$1:$G$6635,AG1453))</f>
        <v/>
      </c>
      <c r="AJ1453" s="17" t="str">
        <f t="shared" si="3"/>
        <v/>
      </c>
    </row>
    <row r="1454" spans="31:36">
      <c r="AE1454" s="15" t="str">
        <f t="shared" si="0"/>
        <v/>
      </c>
      <c r="AF1454" s="15" t="str">
        <f t="shared" si="1"/>
        <v/>
      </c>
      <c r="AG1454" s="15" t="str">
        <f>IF(OR(AF1454="",AF1454="ERRO_CHAVE"),"",IFERROR(MATCH(AF1454,'Quitados DUPP'!$U$1:$U$6635,0),""))</f>
        <v/>
      </c>
      <c r="AH1454" s="15" t="str">
        <f t="shared" si="2"/>
        <v/>
      </c>
      <c r="AI1454" s="17" t="str">
        <f>IF(AG1454="","",INDEX('Quitados DUPP'!$G$1:$G$6635,AG1454))</f>
        <v/>
      </c>
      <c r="AJ1454" s="17" t="str">
        <f t="shared" si="3"/>
        <v/>
      </c>
    </row>
    <row r="1455" spans="31:36">
      <c r="AE1455" s="15" t="str">
        <f t="shared" si="0"/>
        <v/>
      </c>
      <c r="AF1455" s="15" t="str">
        <f t="shared" si="1"/>
        <v/>
      </c>
      <c r="AG1455" s="15" t="str">
        <f>IF(OR(AF1455="",AF1455="ERRO_CHAVE"),"",IFERROR(MATCH(AF1455,'Quitados DUPP'!$U$1:$U$6635,0),""))</f>
        <v/>
      </c>
      <c r="AH1455" s="15" t="str">
        <f t="shared" si="2"/>
        <v/>
      </c>
      <c r="AI1455" s="17" t="str">
        <f>IF(AG1455="","",INDEX('Quitados DUPP'!$G$1:$G$6635,AG1455))</f>
        <v/>
      </c>
      <c r="AJ1455" s="17" t="str">
        <f t="shared" si="3"/>
        <v/>
      </c>
    </row>
    <row r="1456" spans="31:36">
      <c r="AE1456" s="15" t="str">
        <f t="shared" si="0"/>
        <v/>
      </c>
      <c r="AF1456" s="15" t="str">
        <f t="shared" si="1"/>
        <v/>
      </c>
      <c r="AG1456" s="15" t="str">
        <f>IF(OR(AF1456="",AF1456="ERRO_CHAVE"),"",IFERROR(MATCH(AF1456,'Quitados DUPP'!$U$1:$U$6635,0),""))</f>
        <v/>
      </c>
      <c r="AH1456" s="15" t="str">
        <f t="shared" si="2"/>
        <v/>
      </c>
      <c r="AI1456" s="17" t="str">
        <f>IF(AG1456="","",INDEX('Quitados DUPP'!$G$1:$G$6635,AG1456))</f>
        <v/>
      </c>
      <c r="AJ1456" s="17" t="str">
        <f t="shared" si="3"/>
        <v/>
      </c>
    </row>
    <row r="1457" spans="31:36">
      <c r="AE1457" s="15" t="str">
        <f t="shared" si="0"/>
        <v/>
      </c>
      <c r="AF1457" s="15" t="str">
        <f t="shared" si="1"/>
        <v/>
      </c>
      <c r="AG1457" s="15" t="str">
        <f>IF(OR(AF1457="",AF1457="ERRO_CHAVE"),"",IFERROR(MATCH(AF1457,'Quitados DUPP'!$U$1:$U$6635,0),""))</f>
        <v/>
      </c>
      <c r="AH1457" s="15" t="str">
        <f t="shared" si="2"/>
        <v/>
      </c>
      <c r="AI1457" s="17" t="str">
        <f>IF(AG1457="","",INDEX('Quitados DUPP'!$G$1:$G$6635,AG1457))</f>
        <v/>
      </c>
      <c r="AJ1457" s="17" t="str">
        <f t="shared" si="3"/>
        <v/>
      </c>
    </row>
    <row r="1458" spans="31:36">
      <c r="AE1458" s="15" t="str">
        <f t="shared" si="0"/>
        <v/>
      </c>
      <c r="AF1458" s="15" t="str">
        <f t="shared" si="1"/>
        <v/>
      </c>
      <c r="AG1458" s="15" t="str">
        <f>IF(OR(AF1458="",AF1458="ERRO_CHAVE"),"",IFERROR(MATCH(AF1458,'Quitados DUPP'!$U$1:$U$6635,0),""))</f>
        <v/>
      </c>
      <c r="AH1458" s="15" t="str">
        <f t="shared" si="2"/>
        <v/>
      </c>
      <c r="AI1458" s="17" t="str">
        <f>IF(AG1458="","",INDEX('Quitados DUPP'!$G$1:$G$6635,AG1458))</f>
        <v/>
      </c>
      <c r="AJ1458" s="17" t="str">
        <f t="shared" si="3"/>
        <v/>
      </c>
    </row>
    <row r="1459" spans="31:36">
      <c r="AE1459" s="15" t="str">
        <f t="shared" si="0"/>
        <v/>
      </c>
      <c r="AF1459" s="15" t="str">
        <f t="shared" si="1"/>
        <v/>
      </c>
      <c r="AG1459" s="15" t="str">
        <f>IF(OR(AF1459="",AF1459="ERRO_CHAVE"),"",IFERROR(MATCH(AF1459,'Quitados DUPP'!$U$1:$U$6635,0),""))</f>
        <v/>
      </c>
      <c r="AH1459" s="15" t="str">
        <f t="shared" si="2"/>
        <v/>
      </c>
      <c r="AI1459" s="17" t="str">
        <f>IF(AG1459="","",INDEX('Quitados DUPP'!$G$1:$G$6635,AG1459))</f>
        <v/>
      </c>
      <c r="AJ1459" s="17" t="str">
        <f t="shared" si="3"/>
        <v/>
      </c>
    </row>
    <row r="1460" spans="31:36">
      <c r="AE1460" s="15" t="str">
        <f t="shared" si="0"/>
        <v/>
      </c>
      <c r="AF1460" s="15" t="str">
        <f t="shared" si="1"/>
        <v/>
      </c>
      <c r="AG1460" s="15" t="str">
        <f>IF(OR(AF1460="",AF1460="ERRO_CHAVE"),"",IFERROR(MATCH(AF1460,'Quitados DUPP'!$U$1:$U$6635,0),""))</f>
        <v/>
      </c>
      <c r="AH1460" s="15" t="str">
        <f t="shared" si="2"/>
        <v/>
      </c>
      <c r="AI1460" s="17" t="str">
        <f>IF(AG1460="","",INDEX('Quitados DUPP'!$G$1:$G$6635,AG1460))</f>
        <v/>
      </c>
      <c r="AJ1460" s="17" t="str">
        <f t="shared" si="3"/>
        <v/>
      </c>
    </row>
    <row r="1461" spans="31:36">
      <c r="AE1461" s="15" t="str">
        <f t="shared" si="0"/>
        <v/>
      </c>
      <c r="AF1461" s="15" t="str">
        <f t="shared" si="1"/>
        <v/>
      </c>
      <c r="AG1461" s="15" t="str">
        <f>IF(OR(AF1461="",AF1461="ERRO_CHAVE"),"",IFERROR(MATCH(AF1461,'Quitados DUPP'!$U$1:$U$6635,0),""))</f>
        <v/>
      </c>
      <c r="AH1461" s="15" t="str">
        <f t="shared" si="2"/>
        <v/>
      </c>
      <c r="AI1461" s="17" t="str">
        <f>IF(AG1461="","",INDEX('Quitados DUPP'!$G$1:$G$6635,AG1461))</f>
        <v/>
      </c>
      <c r="AJ1461" s="17" t="str">
        <f t="shared" si="3"/>
        <v/>
      </c>
    </row>
    <row r="1462" spans="31:36">
      <c r="AE1462" s="15" t="str">
        <f t="shared" si="0"/>
        <v/>
      </c>
      <c r="AF1462" s="15" t="str">
        <f t="shared" si="1"/>
        <v/>
      </c>
      <c r="AG1462" s="15" t="str">
        <f>IF(OR(AF1462="",AF1462="ERRO_CHAVE"),"",IFERROR(MATCH(AF1462,'Quitados DUPP'!$U$1:$U$6635,0),""))</f>
        <v/>
      </c>
      <c r="AH1462" s="15" t="str">
        <f t="shared" si="2"/>
        <v/>
      </c>
      <c r="AI1462" s="17" t="str">
        <f>IF(AG1462="","",INDEX('Quitados DUPP'!$G$1:$G$6635,AG1462))</f>
        <v/>
      </c>
      <c r="AJ1462" s="17" t="str">
        <f t="shared" si="3"/>
        <v/>
      </c>
    </row>
    <row r="1463" spans="31:36">
      <c r="AE1463" s="15" t="str">
        <f t="shared" si="0"/>
        <v/>
      </c>
      <c r="AF1463" s="15" t="str">
        <f t="shared" si="1"/>
        <v/>
      </c>
      <c r="AG1463" s="15" t="str">
        <f>IF(OR(AF1463="",AF1463="ERRO_CHAVE"),"",IFERROR(MATCH(AF1463,'Quitados DUPP'!$U$1:$U$6635,0),""))</f>
        <v/>
      </c>
      <c r="AH1463" s="15" t="str">
        <f t="shared" si="2"/>
        <v/>
      </c>
      <c r="AI1463" s="17" t="str">
        <f>IF(AG1463="","",INDEX('Quitados DUPP'!$G$1:$G$6635,AG1463))</f>
        <v/>
      </c>
      <c r="AJ1463" s="17" t="str">
        <f t="shared" si="3"/>
        <v/>
      </c>
    </row>
    <row r="1464" spans="31:36">
      <c r="AE1464" s="15" t="str">
        <f t="shared" si="0"/>
        <v/>
      </c>
      <c r="AF1464" s="15" t="str">
        <f t="shared" si="1"/>
        <v/>
      </c>
      <c r="AG1464" s="15" t="str">
        <f>IF(OR(AF1464="",AF1464="ERRO_CHAVE"),"",IFERROR(MATCH(AF1464,'Quitados DUPP'!$U$1:$U$6635,0),""))</f>
        <v/>
      </c>
      <c r="AH1464" s="15" t="str">
        <f t="shared" si="2"/>
        <v/>
      </c>
      <c r="AI1464" s="17" t="str">
        <f>IF(AG1464="","",INDEX('Quitados DUPP'!$G$1:$G$6635,AG1464))</f>
        <v/>
      </c>
      <c r="AJ1464" s="17" t="str">
        <f t="shared" si="3"/>
        <v/>
      </c>
    </row>
    <row r="1465" spans="31:36">
      <c r="AE1465" s="15" t="str">
        <f t="shared" si="0"/>
        <v/>
      </c>
      <c r="AF1465" s="15" t="str">
        <f t="shared" si="1"/>
        <v/>
      </c>
      <c r="AG1465" s="15" t="str">
        <f>IF(OR(AF1465="",AF1465="ERRO_CHAVE"),"",IFERROR(MATCH(AF1465,'Quitados DUPP'!$U$1:$U$6635,0),""))</f>
        <v/>
      </c>
      <c r="AH1465" s="15" t="str">
        <f t="shared" si="2"/>
        <v/>
      </c>
      <c r="AI1465" s="17" t="str">
        <f>IF(AG1465="","",INDEX('Quitados DUPP'!$G$1:$G$6635,AG1465))</f>
        <v/>
      </c>
      <c r="AJ1465" s="17" t="str">
        <f t="shared" si="3"/>
        <v/>
      </c>
    </row>
    <row r="1466" spans="31:36">
      <c r="AE1466" s="15" t="str">
        <f t="shared" si="0"/>
        <v/>
      </c>
      <c r="AF1466" s="15" t="str">
        <f t="shared" si="1"/>
        <v/>
      </c>
      <c r="AG1466" s="15" t="str">
        <f>IF(OR(AF1466="",AF1466="ERRO_CHAVE"),"",IFERROR(MATCH(AF1466,'Quitados DUPP'!$U$1:$U$6635,0),""))</f>
        <v/>
      </c>
      <c r="AH1466" s="15" t="str">
        <f t="shared" si="2"/>
        <v/>
      </c>
      <c r="AI1466" s="17" t="str">
        <f>IF(AG1466="","",INDEX('Quitados DUPP'!$G$1:$G$6635,AG1466))</f>
        <v/>
      </c>
      <c r="AJ1466" s="17" t="str">
        <f t="shared" si="3"/>
        <v/>
      </c>
    </row>
    <row r="1467" spans="31:36">
      <c r="AE1467" s="15" t="str">
        <f t="shared" si="0"/>
        <v/>
      </c>
      <c r="AF1467" s="15" t="str">
        <f t="shared" si="1"/>
        <v/>
      </c>
      <c r="AG1467" s="15" t="str">
        <f>IF(OR(AF1467="",AF1467="ERRO_CHAVE"),"",IFERROR(MATCH(AF1467,'Quitados DUPP'!$U$1:$U$6635,0),""))</f>
        <v/>
      </c>
      <c r="AH1467" s="15" t="str">
        <f t="shared" si="2"/>
        <v/>
      </c>
      <c r="AI1467" s="17" t="str">
        <f>IF(AG1467="","",INDEX('Quitados DUPP'!$G$1:$G$6635,AG1467))</f>
        <v/>
      </c>
      <c r="AJ1467" s="17" t="str">
        <f t="shared" si="3"/>
        <v/>
      </c>
    </row>
    <row r="1468" spans="31:36">
      <c r="AE1468" s="15" t="str">
        <f t="shared" si="0"/>
        <v/>
      </c>
      <c r="AF1468" s="15" t="str">
        <f t="shared" si="1"/>
        <v/>
      </c>
      <c r="AG1468" s="15" t="str">
        <f>IF(OR(AF1468="",AF1468="ERRO_CHAVE"),"",IFERROR(MATCH(AF1468,'Quitados DUPP'!$U$1:$U$6635,0),""))</f>
        <v/>
      </c>
      <c r="AH1468" s="15" t="str">
        <f t="shared" si="2"/>
        <v/>
      </c>
      <c r="AI1468" s="17" t="str">
        <f>IF(AG1468="","",INDEX('Quitados DUPP'!$G$1:$G$6635,AG1468))</f>
        <v/>
      </c>
      <c r="AJ1468" s="17" t="str">
        <f t="shared" si="3"/>
        <v/>
      </c>
    </row>
    <row r="1469" spans="31:36">
      <c r="AE1469" s="15" t="str">
        <f t="shared" si="0"/>
        <v/>
      </c>
      <c r="AF1469" s="15" t="str">
        <f t="shared" si="1"/>
        <v/>
      </c>
      <c r="AG1469" s="15" t="str">
        <f>IF(OR(AF1469="",AF1469="ERRO_CHAVE"),"",IFERROR(MATCH(AF1469,'Quitados DUPP'!$U$1:$U$6635,0),""))</f>
        <v/>
      </c>
      <c r="AH1469" s="15" t="str">
        <f t="shared" si="2"/>
        <v/>
      </c>
      <c r="AI1469" s="17" t="str">
        <f>IF(AG1469="","",INDEX('Quitados DUPP'!$G$1:$G$6635,AG1469))</f>
        <v/>
      </c>
      <c r="AJ1469" s="17" t="str">
        <f t="shared" si="3"/>
        <v/>
      </c>
    </row>
    <row r="1470" spans="31:36">
      <c r="AE1470" s="15" t="str">
        <f t="shared" si="0"/>
        <v/>
      </c>
      <c r="AF1470" s="15" t="str">
        <f t="shared" si="1"/>
        <v/>
      </c>
      <c r="AG1470" s="15" t="str">
        <f>IF(OR(AF1470="",AF1470="ERRO_CHAVE"),"",IFERROR(MATCH(AF1470,'Quitados DUPP'!$U$1:$U$6635,0),""))</f>
        <v/>
      </c>
      <c r="AH1470" s="15" t="str">
        <f t="shared" si="2"/>
        <v/>
      </c>
      <c r="AI1470" s="17" t="str">
        <f>IF(AG1470="","",INDEX('Quitados DUPP'!$G$1:$G$6635,AG1470))</f>
        <v/>
      </c>
      <c r="AJ1470" s="17" t="str">
        <f t="shared" si="3"/>
        <v/>
      </c>
    </row>
    <row r="1471" spans="31:36">
      <c r="AE1471" s="15" t="str">
        <f t="shared" si="0"/>
        <v/>
      </c>
      <c r="AF1471" s="15" t="str">
        <f t="shared" si="1"/>
        <v/>
      </c>
      <c r="AG1471" s="15" t="str">
        <f>IF(OR(AF1471="",AF1471="ERRO_CHAVE"),"",IFERROR(MATCH(AF1471,'Quitados DUPP'!$U$1:$U$6635,0),""))</f>
        <v/>
      </c>
      <c r="AH1471" s="15" t="str">
        <f t="shared" si="2"/>
        <v/>
      </c>
      <c r="AI1471" s="17" t="str">
        <f>IF(AG1471="","",INDEX('Quitados DUPP'!$G$1:$G$6635,AG1471))</f>
        <v/>
      </c>
      <c r="AJ1471" s="17" t="str">
        <f t="shared" si="3"/>
        <v/>
      </c>
    </row>
    <row r="1472" spans="31:36">
      <c r="AE1472" s="15" t="str">
        <f t="shared" si="0"/>
        <v/>
      </c>
      <c r="AF1472" s="15" t="str">
        <f t="shared" si="1"/>
        <v/>
      </c>
      <c r="AG1472" s="15" t="str">
        <f>IF(OR(AF1472="",AF1472="ERRO_CHAVE"),"",IFERROR(MATCH(AF1472,'Quitados DUPP'!$U$1:$U$6635,0),""))</f>
        <v/>
      </c>
      <c r="AH1472" s="15" t="str">
        <f t="shared" si="2"/>
        <v/>
      </c>
      <c r="AI1472" s="17" t="str">
        <f>IF(AG1472="","",INDEX('Quitados DUPP'!$G$1:$G$6635,AG1472))</f>
        <v/>
      </c>
      <c r="AJ1472" s="17" t="str">
        <f t="shared" si="3"/>
        <v/>
      </c>
    </row>
    <row r="1473" spans="31:36">
      <c r="AE1473" s="15" t="str">
        <f t="shared" si="0"/>
        <v/>
      </c>
      <c r="AF1473" s="15" t="str">
        <f t="shared" si="1"/>
        <v/>
      </c>
      <c r="AG1473" s="15" t="str">
        <f>IF(OR(AF1473="",AF1473="ERRO_CHAVE"),"",IFERROR(MATCH(AF1473,'Quitados DUPP'!$U$1:$U$6635,0),""))</f>
        <v/>
      </c>
      <c r="AH1473" s="15" t="str">
        <f t="shared" si="2"/>
        <v/>
      </c>
      <c r="AI1473" s="17" t="str">
        <f>IF(AG1473="","",INDEX('Quitados DUPP'!$G$1:$G$6635,AG1473))</f>
        <v/>
      </c>
      <c r="AJ1473" s="17" t="str">
        <f t="shared" si="3"/>
        <v/>
      </c>
    </row>
    <row r="1474" spans="31:36">
      <c r="AE1474" s="15" t="str">
        <f t="shared" si="0"/>
        <v/>
      </c>
      <c r="AF1474" s="15" t="str">
        <f t="shared" si="1"/>
        <v/>
      </c>
      <c r="AG1474" s="15" t="str">
        <f>IF(OR(AF1474="",AF1474="ERRO_CHAVE"),"",IFERROR(MATCH(AF1474,'Quitados DUPP'!$U$1:$U$6635,0),""))</f>
        <v/>
      </c>
      <c r="AH1474" s="15" t="str">
        <f t="shared" si="2"/>
        <v/>
      </c>
      <c r="AI1474" s="17" t="str">
        <f>IF(AG1474="","",INDEX('Quitados DUPP'!$G$1:$G$6635,AG1474))</f>
        <v/>
      </c>
      <c r="AJ1474" s="17" t="str">
        <f t="shared" si="3"/>
        <v/>
      </c>
    </row>
    <row r="1475" spans="31:36">
      <c r="AE1475" s="15" t="str">
        <f t="shared" si="0"/>
        <v/>
      </c>
      <c r="AF1475" s="15" t="str">
        <f t="shared" si="1"/>
        <v/>
      </c>
      <c r="AG1475" s="15" t="str">
        <f>IF(OR(AF1475="",AF1475="ERRO_CHAVE"),"",IFERROR(MATCH(AF1475,'Quitados DUPP'!$U$1:$U$6635,0),""))</f>
        <v/>
      </c>
      <c r="AH1475" s="15" t="str">
        <f t="shared" si="2"/>
        <v/>
      </c>
      <c r="AI1475" s="17" t="str">
        <f>IF(AG1475="","",INDEX('Quitados DUPP'!$G$1:$G$6635,AG1475))</f>
        <v/>
      </c>
      <c r="AJ1475" s="17" t="str">
        <f t="shared" si="3"/>
        <v/>
      </c>
    </row>
    <row r="1476" spans="31:36">
      <c r="AE1476" s="15" t="str">
        <f t="shared" si="0"/>
        <v/>
      </c>
      <c r="AF1476" s="15" t="str">
        <f t="shared" si="1"/>
        <v/>
      </c>
      <c r="AG1476" s="15" t="str">
        <f>IF(OR(AF1476="",AF1476="ERRO_CHAVE"),"",IFERROR(MATCH(AF1476,'Quitados DUPP'!$U$1:$U$6635,0),""))</f>
        <v/>
      </c>
      <c r="AH1476" s="15" t="str">
        <f t="shared" si="2"/>
        <v/>
      </c>
      <c r="AI1476" s="17" t="str">
        <f>IF(AG1476="","",INDEX('Quitados DUPP'!$G$1:$G$6635,AG1476))</f>
        <v/>
      </c>
      <c r="AJ1476" s="17" t="str">
        <f t="shared" si="3"/>
        <v/>
      </c>
    </row>
    <row r="1477" spans="31:36">
      <c r="AE1477" s="15" t="str">
        <f t="shared" si="0"/>
        <v/>
      </c>
      <c r="AF1477" s="15" t="str">
        <f t="shared" si="1"/>
        <v/>
      </c>
      <c r="AG1477" s="15" t="str">
        <f>IF(OR(AF1477="",AF1477="ERRO_CHAVE"),"",IFERROR(MATCH(AF1477,'Quitados DUPP'!$U$1:$U$6635,0),""))</f>
        <v/>
      </c>
      <c r="AH1477" s="15" t="str">
        <f t="shared" si="2"/>
        <v/>
      </c>
      <c r="AI1477" s="17" t="str">
        <f>IF(AG1477="","",INDEX('Quitados DUPP'!$G$1:$G$6635,AG1477))</f>
        <v/>
      </c>
      <c r="AJ1477" s="17" t="str">
        <f t="shared" si="3"/>
        <v/>
      </c>
    </row>
    <row r="1478" spans="31:36">
      <c r="AE1478" s="15" t="str">
        <f t="shared" si="0"/>
        <v/>
      </c>
      <c r="AF1478" s="15" t="str">
        <f t="shared" si="1"/>
        <v/>
      </c>
      <c r="AG1478" s="15" t="str">
        <f>IF(OR(AF1478="",AF1478="ERRO_CHAVE"),"",IFERROR(MATCH(AF1478,'Quitados DUPP'!$U$1:$U$6635,0),""))</f>
        <v/>
      </c>
      <c r="AH1478" s="15" t="str">
        <f t="shared" si="2"/>
        <v/>
      </c>
      <c r="AI1478" s="17" t="str">
        <f>IF(AG1478="","",INDEX('Quitados DUPP'!$G$1:$G$6635,AG1478))</f>
        <v/>
      </c>
      <c r="AJ1478" s="17" t="str">
        <f t="shared" si="3"/>
        <v/>
      </c>
    </row>
    <row r="1479" spans="31:36">
      <c r="AE1479" s="15" t="str">
        <f t="shared" si="0"/>
        <v/>
      </c>
      <c r="AF1479" s="15" t="str">
        <f t="shared" si="1"/>
        <v/>
      </c>
      <c r="AG1479" s="15" t="str">
        <f>IF(OR(AF1479="",AF1479="ERRO_CHAVE"),"",IFERROR(MATCH(AF1479,'Quitados DUPP'!$U$1:$U$6635,0),""))</f>
        <v/>
      </c>
      <c r="AH1479" s="15" t="str">
        <f t="shared" si="2"/>
        <v/>
      </c>
      <c r="AI1479" s="17" t="str">
        <f>IF(AG1479="","",INDEX('Quitados DUPP'!$G$1:$G$6635,AG1479))</f>
        <v/>
      </c>
      <c r="AJ1479" s="17" t="str">
        <f t="shared" si="3"/>
        <v/>
      </c>
    </row>
    <row r="1480" spans="31:36">
      <c r="AE1480" s="15" t="str">
        <f t="shared" si="0"/>
        <v/>
      </c>
      <c r="AF1480" s="15" t="str">
        <f t="shared" si="1"/>
        <v/>
      </c>
      <c r="AG1480" s="15" t="str">
        <f>IF(OR(AF1480="",AF1480="ERRO_CHAVE"),"",IFERROR(MATCH(AF1480,'Quitados DUPP'!$U$1:$U$6635,0),""))</f>
        <v/>
      </c>
      <c r="AH1480" s="15" t="str">
        <f t="shared" si="2"/>
        <v/>
      </c>
      <c r="AI1480" s="17" t="str">
        <f>IF(AG1480="","",INDEX('Quitados DUPP'!$G$1:$G$6635,AG1480))</f>
        <v/>
      </c>
      <c r="AJ1480" s="17" t="str">
        <f t="shared" si="3"/>
        <v/>
      </c>
    </row>
    <row r="1481" spans="31:36">
      <c r="AE1481" s="15" t="str">
        <f t="shared" si="0"/>
        <v/>
      </c>
      <c r="AF1481" s="15" t="str">
        <f t="shared" si="1"/>
        <v/>
      </c>
      <c r="AG1481" s="15" t="str">
        <f>IF(OR(AF1481="",AF1481="ERRO_CHAVE"),"",IFERROR(MATCH(AF1481,'Quitados DUPP'!$U$1:$U$6635,0),""))</f>
        <v/>
      </c>
      <c r="AH1481" s="15" t="str">
        <f t="shared" si="2"/>
        <v/>
      </c>
      <c r="AI1481" s="17" t="str">
        <f>IF(AG1481="","",INDEX('Quitados DUPP'!$G$1:$G$6635,AG1481))</f>
        <v/>
      </c>
      <c r="AJ1481" s="17" t="str">
        <f t="shared" si="3"/>
        <v/>
      </c>
    </row>
    <row r="1482" spans="31:36">
      <c r="AE1482" s="15" t="str">
        <f t="shared" si="0"/>
        <v/>
      </c>
      <c r="AF1482" s="15" t="str">
        <f t="shared" si="1"/>
        <v/>
      </c>
      <c r="AG1482" s="15" t="str">
        <f>IF(OR(AF1482="",AF1482="ERRO_CHAVE"),"",IFERROR(MATCH(AF1482,'Quitados DUPP'!$U$1:$U$6635,0),""))</f>
        <v/>
      </c>
      <c r="AH1482" s="15" t="str">
        <f t="shared" si="2"/>
        <v/>
      </c>
      <c r="AI1482" s="17" t="str">
        <f>IF(AG1482="","",INDEX('Quitados DUPP'!$G$1:$G$6635,AG1482))</f>
        <v/>
      </c>
      <c r="AJ1482" s="17" t="str">
        <f t="shared" si="3"/>
        <v/>
      </c>
    </row>
    <row r="1483" spans="31:36">
      <c r="AE1483" s="15" t="str">
        <f t="shared" si="0"/>
        <v/>
      </c>
      <c r="AF1483" s="15" t="str">
        <f t="shared" si="1"/>
        <v/>
      </c>
      <c r="AG1483" s="15" t="str">
        <f>IF(OR(AF1483="",AF1483="ERRO_CHAVE"),"",IFERROR(MATCH(AF1483,'Quitados DUPP'!$U$1:$U$6635,0),""))</f>
        <v/>
      </c>
      <c r="AH1483" s="15" t="str">
        <f t="shared" si="2"/>
        <v/>
      </c>
      <c r="AI1483" s="17" t="str">
        <f>IF(AG1483="","",INDEX('Quitados DUPP'!$G$1:$G$6635,AG1483))</f>
        <v/>
      </c>
      <c r="AJ1483" s="17" t="str">
        <f t="shared" si="3"/>
        <v/>
      </c>
    </row>
    <row r="1484" spans="31:36">
      <c r="AE1484" s="15" t="str">
        <f t="shared" si="0"/>
        <v/>
      </c>
      <c r="AF1484" s="15" t="str">
        <f t="shared" si="1"/>
        <v/>
      </c>
      <c r="AG1484" s="15" t="str">
        <f>IF(OR(AF1484="",AF1484="ERRO_CHAVE"),"",IFERROR(MATCH(AF1484,'Quitados DUPP'!$U$1:$U$6635,0),""))</f>
        <v/>
      </c>
      <c r="AH1484" s="15" t="str">
        <f t="shared" si="2"/>
        <v/>
      </c>
      <c r="AI1484" s="17" t="str">
        <f>IF(AG1484="","",INDEX('Quitados DUPP'!$G$1:$G$6635,AG1484))</f>
        <v/>
      </c>
      <c r="AJ1484" s="17" t="str">
        <f t="shared" si="3"/>
        <v/>
      </c>
    </row>
    <row r="1485" spans="31:36">
      <c r="AE1485" s="15" t="str">
        <f t="shared" si="0"/>
        <v/>
      </c>
      <c r="AF1485" s="15" t="str">
        <f t="shared" si="1"/>
        <v/>
      </c>
      <c r="AG1485" s="15" t="str">
        <f>IF(OR(AF1485="",AF1485="ERRO_CHAVE"),"",IFERROR(MATCH(AF1485,'Quitados DUPP'!$U$1:$U$6635,0),""))</f>
        <v/>
      </c>
      <c r="AH1485" s="15" t="str">
        <f t="shared" si="2"/>
        <v/>
      </c>
      <c r="AI1485" s="17" t="str">
        <f>IF(AG1485="","",INDEX('Quitados DUPP'!$G$1:$G$6635,AG1485))</f>
        <v/>
      </c>
      <c r="AJ1485" s="17" t="str">
        <f t="shared" si="3"/>
        <v/>
      </c>
    </row>
    <row r="1486" spans="31:36">
      <c r="AE1486" s="15" t="str">
        <f t="shared" si="0"/>
        <v/>
      </c>
      <c r="AF1486" s="15" t="str">
        <f t="shared" si="1"/>
        <v/>
      </c>
      <c r="AG1486" s="15" t="str">
        <f>IF(OR(AF1486="",AF1486="ERRO_CHAVE"),"",IFERROR(MATCH(AF1486,'Quitados DUPP'!$U$1:$U$6635,0),""))</f>
        <v/>
      </c>
      <c r="AH1486" s="15" t="str">
        <f t="shared" si="2"/>
        <v/>
      </c>
      <c r="AI1486" s="17" t="str">
        <f>IF(AG1486="","",INDEX('Quitados DUPP'!$G$1:$G$6635,AG1486))</f>
        <v/>
      </c>
      <c r="AJ1486" s="17" t="str">
        <f t="shared" si="3"/>
        <v/>
      </c>
    </row>
    <row r="1487" spans="31:36">
      <c r="AE1487" s="15" t="str">
        <f t="shared" si="0"/>
        <v/>
      </c>
      <c r="AF1487" s="15" t="str">
        <f t="shared" si="1"/>
        <v/>
      </c>
      <c r="AG1487" s="15" t="str">
        <f>IF(OR(AF1487="",AF1487="ERRO_CHAVE"),"",IFERROR(MATCH(AF1487,'Quitados DUPP'!$U$1:$U$6635,0),""))</f>
        <v/>
      </c>
      <c r="AH1487" s="15" t="str">
        <f t="shared" si="2"/>
        <v/>
      </c>
      <c r="AI1487" s="17" t="str">
        <f>IF(AG1487="","",INDEX('Quitados DUPP'!$G$1:$G$6635,AG1487))</f>
        <v/>
      </c>
      <c r="AJ1487" s="17" t="str">
        <f t="shared" si="3"/>
        <v/>
      </c>
    </row>
    <row r="1488" spans="31:36">
      <c r="AE1488" s="15" t="str">
        <f t="shared" si="0"/>
        <v/>
      </c>
      <c r="AF1488" s="15" t="str">
        <f t="shared" si="1"/>
        <v/>
      </c>
      <c r="AG1488" s="15" t="str">
        <f>IF(OR(AF1488="",AF1488="ERRO_CHAVE"),"",IFERROR(MATCH(AF1488,'Quitados DUPP'!$U$1:$U$6635,0),""))</f>
        <v/>
      </c>
      <c r="AH1488" s="15" t="str">
        <f t="shared" si="2"/>
        <v/>
      </c>
      <c r="AI1488" s="17" t="str">
        <f>IF(AG1488="","",INDEX('Quitados DUPP'!$G$1:$G$6635,AG1488))</f>
        <v/>
      </c>
      <c r="AJ1488" s="17" t="str">
        <f t="shared" si="3"/>
        <v/>
      </c>
    </row>
    <row r="1489" spans="31:36">
      <c r="AE1489" s="15" t="str">
        <f t="shared" si="0"/>
        <v/>
      </c>
      <c r="AF1489" s="15" t="str">
        <f t="shared" si="1"/>
        <v/>
      </c>
      <c r="AG1489" s="15" t="str">
        <f>IF(OR(AF1489="",AF1489="ERRO_CHAVE"),"",IFERROR(MATCH(AF1489,'Quitados DUPP'!$U$1:$U$6635,0),""))</f>
        <v/>
      </c>
      <c r="AH1489" s="15" t="str">
        <f t="shared" si="2"/>
        <v/>
      </c>
      <c r="AI1489" s="17" t="str">
        <f>IF(AG1489="","",INDEX('Quitados DUPP'!$G$1:$G$6635,AG1489))</f>
        <v/>
      </c>
      <c r="AJ1489" s="17" t="str">
        <f t="shared" si="3"/>
        <v/>
      </c>
    </row>
    <row r="1490" spans="31:36">
      <c r="AE1490" s="15" t="str">
        <f t="shared" si="0"/>
        <v/>
      </c>
      <c r="AF1490" s="15" t="str">
        <f t="shared" si="1"/>
        <v/>
      </c>
      <c r="AG1490" s="15" t="str">
        <f>IF(OR(AF1490="",AF1490="ERRO_CHAVE"),"",IFERROR(MATCH(AF1490,'Quitados DUPP'!$U$1:$U$6635,0),""))</f>
        <v/>
      </c>
      <c r="AH1490" s="15" t="str">
        <f t="shared" si="2"/>
        <v/>
      </c>
      <c r="AI1490" s="17" t="str">
        <f>IF(AG1490="","",INDEX('Quitados DUPP'!$G$1:$G$6635,AG1490))</f>
        <v/>
      </c>
      <c r="AJ1490" s="17" t="str">
        <f t="shared" si="3"/>
        <v/>
      </c>
    </row>
    <row r="1491" spans="31:36">
      <c r="AE1491" s="15" t="str">
        <f t="shared" si="0"/>
        <v/>
      </c>
      <c r="AF1491" s="15" t="str">
        <f t="shared" si="1"/>
        <v/>
      </c>
      <c r="AG1491" s="15" t="str">
        <f>IF(OR(AF1491="",AF1491="ERRO_CHAVE"),"",IFERROR(MATCH(AF1491,'Quitados DUPP'!$U$1:$U$6635,0),""))</f>
        <v/>
      </c>
      <c r="AH1491" s="15" t="str">
        <f t="shared" si="2"/>
        <v/>
      </c>
      <c r="AI1491" s="17" t="str">
        <f>IF(AG1491="","",INDEX('Quitados DUPP'!$G$1:$G$6635,AG1491))</f>
        <v/>
      </c>
      <c r="AJ1491" s="17" t="str">
        <f t="shared" si="3"/>
        <v/>
      </c>
    </row>
    <row r="1492" spans="31:36">
      <c r="AE1492" s="15" t="str">
        <f t="shared" si="0"/>
        <v/>
      </c>
      <c r="AF1492" s="15" t="str">
        <f t="shared" si="1"/>
        <v/>
      </c>
      <c r="AG1492" s="15" t="str">
        <f>IF(OR(AF1492="",AF1492="ERRO_CHAVE"),"",IFERROR(MATCH(AF1492,'Quitados DUPP'!$U$1:$U$6635,0),""))</f>
        <v/>
      </c>
      <c r="AH1492" s="15" t="str">
        <f t="shared" si="2"/>
        <v/>
      </c>
      <c r="AI1492" s="17" t="str">
        <f>IF(AG1492="","",INDEX('Quitados DUPP'!$G$1:$G$6635,AG1492))</f>
        <v/>
      </c>
      <c r="AJ1492" s="17" t="str">
        <f t="shared" si="3"/>
        <v/>
      </c>
    </row>
    <row r="1493" spans="31:36">
      <c r="AE1493" s="15" t="str">
        <f t="shared" si="0"/>
        <v/>
      </c>
      <c r="AF1493" s="15" t="str">
        <f t="shared" si="1"/>
        <v/>
      </c>
      <c r="AG1493" s="15" t="str">
        <f>IF(OR(AF1493="",AF1493="ERRO_CHAVE"),"",IFERROR(MATCH(AF1493,'Quitados DUPP'!$U$1:$U$6635,0),""))</f>
        <v/>
      </c>
      <c r="AH1493" s="15" t="str">
        <f t="shared" si="2"/>
        <v/>
      </c>
      <c r="AI1493" s="17" t="str">
        <f>IF(AG1493="","",INDEX('Quitados DUPP'!$G$1:$G$6635,AG1493))</f>
        <v/>
      </c>
      <c r="AJ1493" s="17" t="str">
        <f t="shared" si="3"/>
        <v/>
      </c>
    </row>
    <row r="1494" spans="31:36">
      <c r="AE1494" s="15" t="str">
        <f t="shared" si="0"/>
        <v/>
      </c>
      <c r="AF1494" s="15" t="str">
        <f t="shared" si="1"/>
        <v/>
      </c>
      <c r="AG1494" s="15" t="str">
        <f>IF(OR(AF1494="",AF1494="ERRO_CHAVE"),"",IFERROR(MATCH(AF1494,'Quitados DUPP'!$U$1:$U$6635,0),""))</f>
        <v/>
      </c>
      <c r="AH1494" s="15" t="str">
        <f t="shared" si="2"/>
        <v/>
      </c>
      <c r="AI1494" s="17" t="str">
        <f>IF(AG1494="","",INDEX('Quitados DUPP'!$G$1:$G$6635,AG1494))</f>
        <v/>
      </c>
      <c r="AJ1494" s="17" t="str">
        <f t="shared" si="3"/>
        <v/>
      </c>
    </row>
    <row r="1495" spans="31:36">
      <c r="AE1495" s="15" t="str">
        <f t="shared" si="0"/>
        <v/>
      </c>
      <c r="AF1495" s="15" t="str">
        <f t="shared" si="1"/>
        <v/>
      </c>
      <c r="AG1495" s="15" t="str">
        <f>IF(OR(AF1495="",AF1495="ERRO_CHAVE"),"",IFERROR(MATCH(AF1495,'Quitados DUPP'!$U$1:$U$6635,0),""))</f>
        <v/>
      </c>
      <c r="AH1495" s="15" t="str">
        <f t="shared" si="2"/>
        <v/>
      </c>
      <c r="AI1495" s="17" t="str">
        <f>IF(AG1495="","",INDEX('Quitados DUPP'!$G$1:$G$6635,AG1495))</f>
        <v/>
      </c>
      <c r="AJ1495" s="17" t="str">
        <f t="shared" si="3"/>
        <v/>
      </c>
    </row>
    <row r="1496" spans="31:36">
      <c r="AE1496" s="15" t="str">
        <f t="shared" si="0"/>
        <v/>
      </c>
      <c r="AF1496" s="15" t="str">
        <f t="shared" si="1"/>
        <v/>
      </c>
      <c r="AG1496" s="15" t="str">
        <f>IF(OR(AF1496="",AF1496="ERRO_CHAVE"),"",IFERROR(MATCH(AF1496,'Quitados DUPP'!$U$1:$U$6635,0),""))</f>
        <v/>
      </c>
      <c r="AH1496" s="15" t="str">
        <f t="shared" si="2"/>
        <v/>
      </c>
      <c r="AI1496" s="17" t="str">
        <f>IF(AG1496="","",INDEX('Quitados DUPP'!$G$1:$G$6635,AG1496))</f>
        <v/>
      </c>
      <c r="AJ1496" s="17" t="str">
        <f t="shared" si="3"/>
        <v/>
      </c>
    </row>
    <row r="1497" spans="31:36">
      <c r="AE1497" s="15" t="str">
        <f t="shared" si="0"/>
        <v/>
      </c>
      <c r="AF1497" s="15" t="str">
        <f t="shared" si="1"/>
        <v/>
      </c>
      <c r="AG1497" s="15" t="str">
        <f>IF(OR(AF1497="",AF1497="ERRO_CHAVE"),"",IFERROR(MATCH(AF1497,'Quitados DUPP'!$U$1:$U$6635,0),""))</f>
        <v/>
      </c>
      <c r="AH1497" s="15" t="str">
        <f t="shared" si="2"/>
        <v/>
      </c>
      <c r="AI1497" s="17" t="str">
        <f>IF(AG1497="","",INDEX('Quitados DUPP'!$G$1:$G$6635,AG1497))</f>
        <v/>
      </c>
      <c r="AJ1497" s="17" t="str">
        <f t="shared" si="3"/>
        <v/>
      </c>
    </row>
    <row r="1498" spans="31:36">
      <c r="AE1498" s="15" t="str">
        <f t="shared" si="0"/>
        <v/>
      </c>
      <c r="AF1498" s="15" t="str">
        <f t="shared" si="1"/>
        <v/>
      </c>
      <c r="AG1498" s="15" t="str">
        <f>IF(OR(AF1498="",AF1498="ERRO_CHAVE"),"",IFERROR(MATCH(AF1498,'Quitados DUPP'!$U$1:$U$6635,0),""))</f>
        <v/>
      </c>
      <c r="AH1498" s="15" t="str">
        <f t="shared" si="2"/>
        <v/>
      </c>
      <c r="AI1498" s="17" t="str">
        <f>IF(AG1498="","",INDEX('Quitados DUPP'!$G$1:$G$6635,AG1498))</f>
        <v/>
      </c>
      <c r="AJ1498" s="17" t="str">
        <f t="shared" si="3"/>
        <v/>
      </c>
    </row>
    <row r="1499" spans="31:36">
      <c r="AE1499" s="15" t="str">
        <f t="shared" si="0"/>
        <v/>
      </c>
      <c r="AF1499" s="15" t="str">
        <f t="shared" si="1"/>
        <v/>
      </c>
      <c r="AG1499" s="15" t="str">
        <f>IF(OR(AF1499="",AF1499="ERRO_CHAVE"),"",IFERROR(MATCH(AF1499,'Quitados DUPP'!$U$1:$U$6635,0),""))</f>
        <v/>
      </c>
      <c r="AH1499" s="15" t="str">
        <f t="shared" si="2"/>
        <v/>
      </c>
      <c r="AI1499" s="17" t="str">
        <f>IF(AG1499="","",INDEX('Quitados DUPP'!$G$1:$G$6635,AG1499))</f>
        <v/>
      </c>
      <c r="AJ1499" s="17" t="str">
        <f t="shared" si="3"/>
        <v/>
      </c>
    </row>
    <row r="1500" spans="31:36">
      <c r="AE1500" s="15" t="str">
        <f t="shared" si="0"/>
        <v/>
      </c>
      <c r="AF1500" s="15" t="str">
        <f t="shared" si="1"/>
        <v/>
      </c>
      <c r="AG1500" s="15" t="str">
        <f>IF(OR(AF1500="",AF1500="ERRO_CHAVE"),"",IFERROR(MATCH(AF1500,'Quitados DUPP'!$U$1:$U$6635,0),""))</f>
        <v/>
      </c>
      <c r="AH1500" s="15" t="str">
        <f t="shared" si="2"/>
        <v/>
      </c>
      <c r="AI1500" s="17" t="str">
        <f>IF(AG1500="","",INDEX('Quitados DUPP'!$G$1:$G$6635,AG1500))</f>
        <v/>
      </c>
      <c r="AJ1500" s="17" t="str">
        <f t="shared" si="3"/>
        <v/>
      </c>
    </row>
    <row r="1501" spans="31:36">
      <c r="AE1501" s="15" t="str">
        <f t="shared" si="0"/>
        <v/>
      </c>
      <c r="AF1501" s="15" t="str">
        <f t="shared" si="1"/>
        <v/>
      </c>
      <c r="AG1501" s="15" t="str">
        <f>IF(OR(AF1501="",AF1501="ERRO_CHAVE"),"",IFERROR(MATCH(AF1501,'Quitados DUPP'!$U$1:$U$6635,0),""))</f>
        <v/>
      </c>
      <c r="AH1501" s="15" t="str">
        <f t="shared" si="2"/>
        <v/>
      </c>
      <c r="AI1501" s="17" t="str">
        <f>IF(AG1501="","",INDEX('Quitados DUPP'!$G$1:$G$6635,AG1501))</f>
        <v/>
      </c>
      <c r="AJ1501" s="17" t="str">
        <f t="shared" si="3"/>
        <v/>
      </c>
    </row>
    <row r="1502" spans="31:36">
      <c r="AE1502" s="15" t="str">
        <f t="shared" si="0"/>
        <v/>
      </c>
      <c r="AF1502" s="15" t="str">
        <f t="shared" si="1"/>
        <v/>
      </c>
      <c r="AG1502" s="15" t="str">
        <f>IF(OR(AF1502="",AF1502="ERRO_CHAVE"),"",IFERROR(MATCH(AF1502,'Quitados DUPP'!$U$1:$U$6635,0),""))</f>
        <v/>
      </c>
      <c r="AH1502" s="15" t="str">
        <f t="shared" si="2"/>
        <v/>
      </c>
      <c r="AI1502" s="17" t="str">
        <f>IF(AG1502="","",INDEX('Quitados DUPP'!$G$1:$G$6635,AG1502))</f>
        <v/>
      </c>
      <c r="AJ1502" s="17" t="str">
        <f t="shared" si="3"/>
        <v/>
      </c>
    </row>
    <row r="1503" spans="31:36">
      <c r="AE1503" s="15" t="str">
        <f t="shared" si="0"/>
        <v/>
      </c>
      <c r="AF1503" s="15" t="str">
        <f t="shared" si="1"/>
        <v/>
      </c>
      <c r="AG1503" s="15" t="str">
        <f>IF(OR(AF1503="",AF1503="ERRO_CHAVE"),"",IFERROR(MATCH(AF1503,'Quitados DUPP'!$U$1:$U$6635,0),""))</f>
        <v/>
      </c>
      <c r="AH1503" s="15" t="str">
        <f t="shared" si="2"/>
        <v/>
      </c>
      <c r="AI1503" s="17" t="str">
        <f>IF(AG1503="","",INDEX('Quitados DUPP'!$G$1:$G$6635,AG1503))</f>
        <v/>
      </c>
      <c r="AJ1503" s="17" t="str">
        <f t="shared" si="3"/>
        <v/>
      </c>
    </row>
    <row r="1504" spans="31:36">
      <c r="AE1504" s="15" t="str">
        <f t="shared" si="0"/>
        <v/>
      </c>
      <c r="AF1504" s="15" t="str">
        <f t="shared" si="1"/>
        <v/>
      </c>
      <c r="AG1504" s="15" t="str">
        <f>IF(OR(AF1504="",AF1504="ERRO_CHAVE"),"",IFERROR(MATCH(AF1504,'Quitados DUPP'!$U$1:$U$6635,0),""))</f>
        <v/>
      </c>
      <c r="AH1504" s="15" t="str">
        <f t="shared" si="2"/>
        <v/>
      </c>
      <c r="AI1504" s="17" t="str">
        <f>IF(AG1504="","",INDEX('Quitados DUPP'!$G$1:$G$6635,AG1504))</f>
        <v/>
      </c>
      <c r="AJ1504" s="17" t="str">
        <f t="shared" si="3"/>
        <v/>
      </c>
    </row>
    <row r="1505" spans="31:36">
      <c r="AE1505" s="15" t="str">
        <f t="shared" si="0"/>
        <v/>
      </c>
      <c r="AF1505" s="15" t="str">
        <f t="shared" si="1"/>
        <v/>
      </c>
      <c r="AG1505" s="15" t="str">
        <f>IF(OR(AF1505="",AF1505="ERRO_CHAVE"),"",IFERROR(MATCH(AF1505,'Quitados DUPP'!$U$1:$U$6635,0),""))</f>
        <v/>
      </c>
      <c r="AH1505" s="15" t="str">
        <f t="shared" si="2"/>
        <v/>
      </c>
      <c r="AI1505" s="17" t="str">
        <f>IF(AG1505="","",INDEX('Quitados DUPP'!$G$1:$G$6635,AG1505))</f>
        <v/>
      </c>
      <c r="AJ1505" s="17" t="str">
        <f t="shared" si="3"/>
        <v/>
      </c>
    </row>
    <row r="1506" spans="31:36">
      <c r="AE1506" s="15" t="str">
        <f t="shared" si="0"/>
        <v/>
      </c>
      <c r="AF1506" s="15" t="str">
        <f t="shared" si="1"/>
        <v/>
      </c>
      <c r="AG1506" s="15" t="str">
        <f>IF(OR(AF1506="",AF1506="ERRO_CHAVE"),"",IFERROR(MATCH(AF1506,'Quitados DUPP'!$U$1:$U$6635,0),""))</f>
        <v/>
      </c>
      <c r="AH1506" s="15" t="str">
        <f t="shared" si="2"/>
        <v/>
      </c>
      <c r="AI1506" s="17" t="str">
        <f>IF(AG1506="","",INDEX('Quitados DUPP'!$G$1:$G$6635,AG1506))</f>
        <v/>
      </c>
      <c r="AJ1506" s="17" t="str">
        <f t="shared" si="3"/>
        <v/>
      </c>
    </row>
    <row r="1507" spans="31:36">
      <c r="AE1507" s="15" t="str">
        <f t="shared" si="0"/>
        <v/>
      </c>
      <c r="AF1507" s="15" t="str">
        <f t="shared" si="1"/>
        <v/>
      </c>
      <c r="AG1507" s="15" t="str">
        <f>IF(OR(AF1507="",AF1507="ERRO_CHAVE"),"",IFERROR(MATCH(AF1507,'Quitados DUPP'!$U$1:$U$6635,0),""))</f>
        <v/>
      </c>
      <c r="AH1507" s="15" t="str">
        <f t="shared" si="2"/>
        <v/>
      </c>
      <c r="AI1507" s="17" t="str">
        <f>IF(AG1507="","",INDEX('Quitados DUPP'!$G$1:$G$6635,AG1507))</f>
        <v/>
      </c>
      <c r="AJ1507" s="17" t="str">
        <f t="shared" si="3"/>
        <v/>
      </c>
    </row>
    <row r="1508" spans="31:36">
      <c r="AE1508" s="15" t="str">
        <f t="shared" si="0"/>
        <v/>
      </c>
      <c r="AF1508" s="15" t="str">
        <f t="shared" si="1"/>
        <v/>
      </c>
      <c r="AG1508" s="15" t="str">
        <f>IF(OR(AF1508="",AF1508="ERRO_CHAVE"),"",IFERROR(MATCH(AF1508,'Quitados DUPP'!$U$1:$U$6635,0),""))</f>
        <v/>
      </c>
      <c r="AH1508" s="15" t="str">
        <f t="shared" si="2"/>
        <v/>
      </c>
      <c r="AI1508" s="17" t="str">
        <f>IF(AG1508="","",INDEX('Quitados DUPP'!$G$1:$G$6635,AG1508))</f>
        <v/>
      </c>
      <c r="AJ1508" s="17" t="str">
        <f t="shared" si="3"/>
        <v/>
      </c>
    </row>
    <row r="1509" spans="31:36">
      <c r="AE1509" s="15" t="str">
        <f t="shared" si="0"/>
        <v/>
      </c>
      <c r="AF1509" s="15" t="str">
        <f t="shared" si="1"/>
        <v/>
      </c>
      <c r="AG1509" s="15" t="str">
        <f>IF(OR(AF1509="",AF1509="ERRO_CHAVE"),"",IFERROR(MATCH(AF1509,'Quitados DUPP'!$U$1:$U$6635,0),""))</f>
        <v/>
      </c>
      <c r="AH1509" s="15" t="str">
        <f t="shared" si="2"/>
        <v/>
      </c>
      <c r="AI1509" s="17" t="str">
        <f>IF(AG1509="","",INDEX('Quitados DUPP'!$G$1:$G$6635,AG1509))</f>
        <v/>
      </c>
      <c r="AJ1509" s="17" t="str">
        <f t="shared" si="3"/>
        <v/>
      </c>
    </row>
    <row r="1510" spans="31:36">
      <c r="AE1510" s="15" t="str">
        <f t="shared" si="0"/>
        <v/>
      </c>
      <c r="AF1510" s="15" t="str">
        <f t="shared" si="1"/>
        <v/>
      </c>
      <c r="AG1510" s="15" t="str">
        <f>IF(OR(AF1510="",AF1510="ERRO_CHAVE"),"",IFERROR(MATCH(AF1510,'Quitados DUPP'!$U$1:$U$6635,0),""))</f>
        <v/>
      </c>
      <c r="AH1510" s="15" t="str">
        <f t="shared" si="2"/>
        <v/>
      </c>
      <c r="AI1510" s="17" t="str">
        <f>IF(AG1510="","",INDEX('Quitados DUPP'!$G$1:$G$6635,AG1510))</f>
        <v/>
      </c>
      <c r="AJ1510" s="17" t="str">
        <f t="shared" si="3"/>
        <v/>
      </c>
    </row>
    <row r="1511" spans="31:36">
      <c r="AE1511" s="15" t="str">
        <f t="shared" si="0"/>
        <v/>
      </c>
      <c r="AF1511" s="15" t="str">
        <f t="shared" si="1"/>
        <v/>
      </c>
      <c r="AG1511" s="15" t="str">
        <f>IF(OR(AF1511="",AF1511="ERRO_CHAVE"),"",IFERROR(MATCH(AF1511,'Quitados DUPP'!$U$1:$U$6635,0),""))</f>
        <v/>
      </c>
      <c r="AH1511" s="15" t="str">
        <f t="shared" si="2"/>
        <v/>
      </c>
      <c r="AI1511" s="17" t="str">
        <f>IF(AG1511="","",INDEX('Quitados DUPP'!$G$1:$G$6635,AG1511))</f>
        <v/>
      </c>
      <c r="AJ1511" s="17" t="str">
        <f t="shared" si="3"/>
        <v/>
      </c>
    </row>
    <row r="1512" spans="31:36">
      <c r="AE1512" s="15" t="str">
        <f t="shared" si="0"/>
        <v/>
      </c>
      <c r="AF1512" s="15" t="str">
        <f t="shared" si="1"/>
        <v/>
      </c>
      <c r="AG1512" s="15" t="str">
        <f>IF(OR(AF1512="",AF1512="ERRO_CHAVE"),"",IFERROR(MATCH(AF1512,'Quitados DUPP'!$U$1:$U$6635,0),""))</f>
        <v/>
      </c>
      <c r="AH1512" s="15" t="str">
        <f t="shared" si="2"/>
        <v/>
      </c>
      <c r="AI1512" s="17" t="str">
        <f>IF(AG1512="","",INDEX('Quitados DUPP'!$G$1:$G$6635,AG1512))</f>
        <v/>
      </c>
      <c r="AJ1512" s="17" t="str">
        <f t="shared" si="3"/>
        <v/>
      </c>
    </row>
    <row r="1513" spans="31:36">
      <c r="AE1513" s="15" t="str">
        <f t="shared" si="0"/>
        <v/>
      </c>
      <c r="AF1513" s="15" t="str">
        <f t="shared" si="1"/>
        <v/>
      </c>
      <c r="AG1513" s="15" t="str">
        <f>IF(OR(AF1513="",AF1513="ERRO_CHAVE"),"",IFERROR(MATCH(AF1513,'Quitados DUPP'!$U$1:$U$6635,0),""))</f>
        <v/>
      </c>
      <c r="AH1513" s="15" t="str">
        <f t="shared" si="2"/>
        <v/>
      </c>
      <c r="AI1513" s="17" t="str">
        <f>IF(AG1513="","",INDEX('Quitados DUPP'!$G$1:$G$6635,AG1513))</f>
        <v/>
      </c>
      <c r="AJ1513" s="17" t="str">
        <f t="shared" si="3"/>
        <v/>
      </c>
    </row>
    <row r="1514" spans="31:36">
      <c r="AE1514" s="15" t="str">
        <f t="shared" si="0"/>
        <v/>
      </c>
      <c r="AF1514" s="15" t="str">
        <f t="shared" si="1"/>
        <v/>
      </c>
      <c r="AG1514" s="15" t="str">
        <f>IF(OR(AF1514="",AF1514="ERRO_CHAVE"),"",IFERROR(MATCH(AF1514,'Quitados DUPP'!$U$1:$U$6635,0),""))</f>
        <v/>
      </c>
      <c r="AH1514" s="15" t="str">
        <f t="shared" si="2"/>
        <v/>
      </c>
      <c r="AI1514" s="17" t="str">
        <f>IF(AG1514="","",INDEX('Quitados DUPP'!$G$1:$G$6635,AG1514))</f>
        <v/>
      </c>
      <c r="AJ1514" s="17" t="str">
        <f t="shared" si="3"/>
        <v/>
      </c>
    </row>
    <row r="1515" spans="31:36">
      <c r="AE1515" s="15" t="str">
        <f t="shared" si="0"/>
        <v/>
      </c>
      <c r="AF1515" s="15" t="str">
        <f t="shared" si="1"/>
        <v/>
      </c>
      <c r="AG1515" s="15" t="str">
        <f>IF(OR(AF1515="",AF1515="ERRO_CHAVE"),"",IFERROR(MATCH(AF1515,'Quitados DUPP'!$U$1:$U$6635,0),""))</f>
        <v/>
      </c>
      <c r="AH1515" s="15" t="str">
        <f t="shared" si="2"/>
        <v/>
      </c>
      <c r="AI1515" s="17" t="str">
        <f>IF(AG1515="","",INDEX('Quitados DUPP'!$G$1:$G$6635,AG1515))</f>
        <v/>
      </c>
      <c r="AJ1515" s="17" t="str">
        <f t="shared" si="3"/>
        <v/>
      </c>
    </row>
    <row r="1516" spans="31:36">
      <c r="AE1516" s="15" t="str">
        <f t="shared" si="0"/>
        <v/>
      </c>
      <c r="AF1516" s="15" t="str">
        <f t="shared" si="1"/>
        <v/>
      </c>
      <c r="AG1516" s="15" t="str">
        <f>IF(OR(AF1516="",AF1516="ERRO_CHAVE"),"",IFERROR(MATCH(AF1516,'Quitados DUPP'!$U$1:$U$6635,0),""))</f>
        <v/>
      </c>
      <c r="AH1516" s="15" t="str">
        <f t="shared" si="2"/>
        <v/>
      </c>
      <c r="AI1516" s="17" t="str">
        <f>IF(AG1516="","",INDEX('Quitados DUPP'!$G$1:$G$6635,AG1516))</f>
        <v/>
      </c>
      <c r="AJ1516" s="17" t="str">
        <f t="shared" si="3"/>
        <v/>
      </c>
    </row>
    <row r="1517" spans="31:36">
      <c r="AE1517" s="15" t="str">
        <f t="shared" si="0"/>
        <v/>
      </c>
      <c r="AF1517" s="15" t="str">
        <f t="shared" si="1"/>
        <v/>
      </c>
      <c r="AG1517" s="15" t="str">
        <f>IF(OR(AF1517="",AF1517="ERRO_CHAVE"),"",IFERROR(MATCH(AF1517,'Quitados DUPP'!$U$1:$U$6635,0),""))</f>
        <v/>
      </c>
      <c r="AH1517" s="15" t="str">
        <f t="shared" si="2"/>
        <v/>
      </c>
      <c r="AI1517" s="17" t="str">
        <f>IF(AG1517="","",INDEX('Quitados DUPP'!$G$1:$G$6635,AG1517))</f>
        <v/>
      </c>
      <c r="AJ1517" s="17" t="str">
        <f t="shared" si="3"/>
        <v/>
      </c>
    </row>
    <row r="1518" spans="31:36">
      <c r="AE1518" s="15" t="str">
        <f t="shared" si="0"/>
        <v/>
      </c>
      <c r="AF1518" s="15" t="str">
        <f t="shared" si="1"/>
        <v/>
      </c>
      <c r="AG1518" s="15" t="str">
        <f>IF(OR(AF1518="",AF1518="ERRO_CHAVE"),"",IFERROR(MATCH(AF1518,'Quitados DUPP'!$U$1:$U$6635,0),""))</f>
        <v/>
      </c>
      <c r="AH1518" s="15" t="str">
        <f t="shared" si="2"/>
        <v/>
      </c>
      <c r="AI1518" s="17" t="str">
        <f>IF(AG1518="","",INDEX('Quitados DUPP'!$G$1:$G$6635,AG1518))</f>
        <v/>
      </c>
      <c r="AJ1518" s="17" t="str">
        <f t="shared" si="3"/>
        <v/>
      </c>
    </row>
    <row r="1519" spans="31:36">
      <c r="AE1519" s="15" t="str">
        <f t="shared" si="0"/>
        <v/>
      </c>
      <c r="AF1519" s="15" t="str">
        <f t="shared" si="1"/>
        <v/>
      </c>
      <c r="AG1519" s="15" t="str">
        <f>IF(OR(AF1519="",AF1519="ERRO_CHAVE"),"",IFERROR(MATCH(AF1519,'Quitados DUPP'!$U$1:$U$6635,0),""))</f>
        <v/>
      </c>
      <c r="AH1519" s="15" t="str">
        <f t="shared" si="2"/>
        <v/>
      </c>
      <c r="AI1519" s="17" t="str">
        <f>IF(AG1519="","",INDEX('Quitados DUPP'!$G$1:$G$6635,AG1519))</f>
        <v/>
      </c>
      <c r="AJ1519" s="17" t="str">
        <f t="shared" si="3"/>
        <v/>
      </c>
    </row>
    <row r="1520" spans="31:36">
      <c r="AE1520" s="15" t="str">
        <f t="shared" si="0"/>
        <v/>
      </c>
      <c r="AF1520" s="15" t="str">
        <f t="shared" si="1"/>
        <v/>
      </c>
      <c r="AG1520" s="15" t="str">
        <f>IF(OR(AF1520="",AF1520="ERRO_CHAVE"),"",IFERROR(MATCH(AF1520,'Quitados DUPP'!$U$1:$U$6635,0),""))</f>
        <v/>
      </c>
      <c r="AH1520" s="15" t="str">
        <f t="shared" si="2"/>
        <v/>
      </c>
      <c r="AI1520" s="17" t="str">
        <f>IF(AG1520="","",INDEX('Quitados DUPP'!$G$1:$G$6635,AG1520))</f>
        <v/>
      </c>
      <c r="AJ1520" s="17" t="str">
        <f t="shared" si="3"/>
        <v/>
      </c>
    </row>
    <row r="1521" spans="31:36">
      <c r="AE1521" s="15" t="str">
        <f t="shared" si="0"/>
        <v/>
      </c>
      <c r="AF1521" s="15" t="str">
        <f t="shared" si="1"/>
        <v/>
      </c>
      <c r="AG1521" s="15" t="str">
        <f>IF(OR(AF1521="",AF1521="ERRO_CHAVE"),"",IFERROR(MATCH(AF1521,'Quitados DUPP'!$U$1:$U$6635,0),""))</f>
        <v/>
      </c>
      <c r="AH1521" s="15" t="str">
        <f t="shared" si="2"/>
        <v/>
      </c>
      <c r="AI1521" s="17" t="str">
        <f>IF(AG1521="","",INDEX('Quitados DUPP'!$G$1:$G$6635,AG1521))</f>
        <v/>
      </c>
      <c r="AJ1521" s="17" t="str">
        <f t="shared" si="3"/>
        <v/>
      </c>
    </row>
    <row r="1522" spans="31:36">
      <c r="AE1522" s="15" t="str">
        <f t="shared" si="0"/>
        <v/>
      </c>
      <c r="AF1522" s="15" t="str">
        <f t="shared" si="1"/>
        <v/>
      </c>
      <c r="AG1522" s="15" t="str">
        <f>IF(OR(AF1522="",AF1522="ERRO_CHAVE"),"",IFERROR(MATCH(AF1522,'Quitados DUPP'!$U$1:$U$6635,0),""))</f>
        <v/>
      </c>
      <c r="AH1522" s="15" t="str">
        <f t="shared" si="2"/>
        <v/>
      </c>
      <c r="AI1522" s="17" t="str">
        <f>IF(AG1522="","",INDEX('Quitados DUPP'!$G$1:$G$6635,AG1522))</f>
        <v/>
      </c>
      <c r="AJ1522" s="17" t="str">
        <f t="shared" si="3"/>
        <v/>
      </c>
    </row>
    <row r="1523" spans="31:36">
      <c r="AE1523" s="15" t="str">
        <f t="shared" si="0"/>
        <v/>
      </c>
      <c r="AF1523" s="15" t="str">
        <f t="shared" si="1"/>
        <v/>
      </c>
      <c r="AG1523" s="15" t="str">
        <f>IF(OR(AF1523="",AF1523="ERRO_CHAVE"),"",IFERROR(MATCH(AF1523,'Quitados DUPP'!$U$1:$U$6635,0),""))</f>
        <v/>
      </c>
      <c r="AH1523" s="15" t="str">
        <f t="shared" si="2"/>
        <v/>
      </c>
      <c r="AI1523" s="17" t="str">
        <f>IF(AG1523="","",INDEX('Quitados DUPP'!$G$1:$G$6635,AG1523))</f>
        <v/>
      </c>
      <c r="AJ1523" s="17" t="str">
        <f t="shared" si="3"/>
        <v/>
      </c>
    </row>
    <row r="1524" spans="31:36">
      <c r="AE1524" s="15" t="str">
        <f t="shared" si="0"/>
        <v/>
      </c>
      <c r="AF1524" s="15" t="str">
        <f t="shared" si="1"/>
        <v/>
      </c>
      <c r="AG1524" s="15" t="str">
        <f>IF(OR(AF1524="",AF1524="ERRO_CHAVE"),"",IFERROR(MATCH(AF1524,'Quitados DUPP'!$U$1:$U$6635,0),""))</f>
        <v/>
      </c>
      <c r="AH1524" s="15" t="str">
        <f t="shared" si="2"/>
        <v/>
      </c>
      <c r="AI1524" s="17" t="str">
        <f>IF(AG1524="","",INDEX('Quitados DUPP'!$G$1:$G$6635,AG1524))</f>
        <v/>
      </c>
      <c r="AJ1524" s="17" t="str">
        <f t="shared" si="3"/>
        <v/>
      </c>
    </row>
    <row r="1525" spans="31:36">
      <c r="AE1525" s="15" t="str">
        <f t="shared" si="0"/>
        <v/>
      </c>
      <c r="AF1525" s="15" t="str">
        <f t="shared" si="1"/>
        <v/>
      </c>
      <c r="AG1525" s="15" t="str">
        <f>IF(OR(AF1525="",AF1525="ERRO_CHAVE"),"",IFERROR(MATCH(AF1525,'Quitados DUPP'!$U$1:$U$6635,0),""))</f>
        <v/>
      </c>
      <c r="AH1525" s="15" t="str">
        <f t="shared" si="2"/>
        <v/>
      </c>
      <c r="AI1525" s="17" t="str">
        <f>IF(AG1525="","",INDEX('Quitados DUPP'!$G$1:$G$6635,AG1525))</f>
        <v/>
      </c>
      <c r="AJ1525" s="17" t="str">
        <f t="shared" si="3"/>
        <v/>
      </c>
    </row>
    <row r="1526" spans="31:36">
      <c r="AE1526" s="15" t="str">
        <f t="shared" si="0"/>
        <v/>
      </c>
      <c r="AF1526" s="15" t="str">
        <f t="shared" si="1"/>
        <v/>
      </c>
      <c r="AG1526" s="15" t="str">
        <f>IF(OR(AF1526="",AF1526="ERRO_CHAVE"),"",IFERROR(MATCH(AF1526,'Quitados DUPP'!$U$1:$U$6635,0),""))</f>
        <v/>
      </c>
      <c r="AH1526" s="15" t="str">
        <f t="shared" si="2"/>
        <v/>
      </c>
      <c r="AI1526" s="17" t="str">
        <f>IF(AG1526="","",INDEX('Quitados DUPP'!$G$1:$G$6635,AG1526))</f>
        <v/>
      </c>
      <c r="AJ1526" s="17" t="str">
        <f t="shared" si="3"/>
        <v/>
      </c>
    </row>
    <row r="1527" spans="31:36">
      <c r="AE1527" s="15" t="str">
        <f t="shared" si="0"/>
        <v/>
      </c>
      <c r="AF1527" s="15" t="str">
        <f t="shared" si="1"/>
        <v/>
      </c>
      <c r="AG1527" s="15" t="str">
        <f>IF(OR(AF1527="",AF1527="ERRO_CHAVE"),"",IFERROR(MATCH(AF1527,'Quitados DUPP'!$U$1:$U$6635,0),""))</f>
        <v/>
      </c>
      <c r="AH1527" s="15" t="str">
        <f t="shared" si="2"/>
        <v/>
      </c>
      <c r="AI1527" s="17" t="str">
        <f>IF(AG1527="","",INDEX('Quitados DUPP'!$G$1:$G$6635,AG1527))</f>
        <v/>
      </c>
      <c r="AJ1527" s="17" t="str">
        <f t="shared" si="3"/>
        <v/>
      </c>
    </row>
    <row r="1528" spans="31:36">
      <c r="AE1528" s="15" t="str">
        <f t="shared" si="0"/>
        <v/>
      </c>
      <c r="AF1528" s="15" t="str">
        <f t="shared" si="1"/>
        <v/>
      </c>
      <c r="AG1528" s="15" t="str">
        <f>IF(OR(AF1528="",AF1528="ERRO_CHAVE"),"",IFERROR(MATCH(AF1528,'Quitados DUPP'!$U$1:$U$6635,0),""))</f>
        <v/>
      </c>
      <c r="AH1528" s="15" t="str">
        <f t="shared" si="2"/>
        <v/>
      </c>
      <c r="AI1528" s="17" t="str">
        <f>IF(AG1528="","",INDEX('Quitados DUPP'!$G$1:$G$6635,AG1528))</f>
        <v/>
      </c>
      <c r="AJ1528" s="17" t="str">
        <f t="shared" si="3"/>
        <v/>
      </c>
    </row>
    <row r="1529" spans="31:36">
      <c r="AE1529" s="15" t="str">
        <f t="shared" si="0"/>
        <v/>
      </c>
      <c r="AF1529" s="15" t="str">
        <f t="shared" si="1"/>
        <v/>
      </c>
      <c r="AG1529" s="15" t="str">
        <f>IF(OR(AF1529="",AF1529="ERRO_CHAVE"),"",IFERROR(MATCH(AF1529,'Quitados DUPP'!$U$1:$U$6635,0),""))</f>
        <v/>
      </c>
      <c r="AH1529" s="15" t="str">
        <f t="shared" si="2"/>
        <v/>
      </c>
      <c r="AI1529" s="17" t="str">
        <f>IF(AG1529="","",INDEX('Quitados DUPP'!$G$1:$G$6635,AG1529))</f>
        <v/>
      </c>
      <c r="AJ1529" s="17" t="str">
        <f t="shared" si="3"/>
        <v/>
      </c>
    </row>
    <row r="1530" spans="31:36">
      <c r="AE1530" s="15" t="str">
        <f t="shared" si="0"/>
        <v/>
      </c>
      <c r="AF1530" s="15" t="str">
        <f t="shared" si="1"/>
        <v/>
      </c>
      <c r="AG1530" s="15" t="str">
        <f>IF(OR(AF1530="",AF1530="ERRO_CHAVE"),"",IFERROR(MATCH(AF1530,'Quitados DUPP'!$U$1:$U$6635,0),""))</f>
        <v/>
      </c>
      <c r="AH1530" s="15" t="str">
        <f t="shared" si="2"/>
        <v/>
      </c>
      <c r="AI1530" s="17" t="str">
        <f>IF(AG1530="","",INDEX('Quitados DUPP'!$G$1:$G$6635,AG1530))</f>
        <v/>
      </c>
      <c r="AJ1530" s="17" t="str">
        <f t="shared" si="3"/>
        <v/>
      </c>
    </row>
    <row r="1531" spans="31:36">
      <c r="AE1531" s="15" t="str">
        <f t="shared" si="0"/>
        <v/>
      </c>
      <c r="AF1531" s="15" t="str">
        <f t="shared" si="1"/>
        <v/>
      </c>
      <c r="AG1531" s="15" t="str">
        <f>IF(OR(AF1531="",AF1531="ERRO_CHAVE"),"",IFERROR(MATCH(AF1531,'Quitados DUPP'!$U$1:$U$6635,0),""))</f>
        <v/>
      </c>
      <c r="AH1531" s="15" t="str">
        <f t="shared" si="2"/>
        <v/>
      </c>
      <c r="AI1531" s="17" t="str">
        <f>IF(AG1531="","",INDEX('Quitados DUPP'!$G$1:$G$6635,AG1531))</f>
        <v/>
      </c>
      <c r="AJ1531" s="17" t="str">
        <f t="shared" si="3"/>
        <v/>
      </c>
    </row>
    <row r="1532" spans="31:36">
      <c r="AE1532" s="15" t="str">
        <f t="shared" si="0"/>
        <v/>
      </c>
      <c r="AF1532" s="15" t="str">
        <f t="shared" si="1"/>
        <v/>
      </c>
      <c r="AG1532" s="15" t="str">
        <f>IF(OR(AF1532="",AF1532="ERRO_CHAVE"),"",IFERROR(MATCH(AF1532,'Quitados DUPP'!$U$1:$U$6635,0),""))</f>
        <v/>
      </c>
      <c r="AH1532" s="15" t="str">
        <f t="shared" si="2"/>
        <v/>
      </c>
      <c r="AI1532" s="17" t="str">
        <f>IF(AG1532="","",INDEX('Quitados DUPP'!$G$1:$G$6635,AG1532))</f>
        <v/>
      </c>
      <c r="AJ1532" s="17" t="str">
        <f t="shared" si="3"/>
        <v/>
      </c>
    </row>
    <row r="1533" spans="31:36">
      <c r="AE1533" s="15" t="str">
        <f t="shared" si="0"/>
        <v/>
      </c>
      <c r="AF1533" s="15" t="str">
        <f t="shared" si="1"/>
        <v/>
      </c>
      <c r="AG1533" s="15" t="str">
        <f>IF(OR(AF1533="",AF1533="ERRO_CHAVE"),"",IFERROR(MATCH(AF1533,'Quitados DUPP'!$U$1:$U$6635,0),""))</f>
        <v/>
      </c>
      <c r="AH1533" s="15" t="str">
        <f t="shared" si="2"/>
        <v/>
      </c>
      <c r="AI1533" s="17" t="str">
        <f>IF(AG1533="","",INDEX('Quitados DUPP'!$G$1:$G$6635,AG1533))</f>
        <v/>
      </c>
      <c r="AJ1533" s="17" t="str">
        <f t="shared" si="3"/>
        <v/>
      </c>
    </row>
    <row r="1534" spans="31:36">
      <c r="AE1534" s="15" t="str">
        <f t="shared" si="0"/>
        <v/>
      </c>
      <c r="AF1534" s="15" t="str">
        <f t="shared" si="1"/>
        <v/>
      </c>
      <c r="AG1534" s="15" t="str">
        <f>IF(OR(AF1534="",AF1534="ERRO_CHAVE"),"",IFERROR(MATCH(AF1534,'Quitados DUPP'!$U$1:$U$6635,0),""))</f>
        <v/>
      </c>
      <c r="AH1534" s="15" t="str">
        <f t="shared" si="2"/>
        <v/>
      </c>
      <c r="AI1534" s="17" t="str">
        <f>IF(AG1534="","",INDEX('Quitados DUPP'!$G$1:$G$6635,AG1534))</f>
        <v/>
      </c>
      <c r="AJ1534" s="17" t="str">
        <f t="shared" si="3"/>
        <v/>
      </c>
    </row>
    <row r="1535" spans="31:36">
      <c r="AE1535" s="15" t="str">
        <f t="shared" si="0"/>
        <v/>
      </c>
      <c r="AF1535" s="15" t="str">
        <f t="shared" si="1"/>
        <v/>
      </c>
      <c r="AG1535" s="15" t="str">
        <f>IF(OR(AF1535="",AF1535="ERRO_CHAVE"),"",IFERROR(MATCH(AF1535,'Quitados DUPP'!$U$1:$U$6635,0),""))</f>
        <v/>
      </c>
      <c r="AH1535" s="15" t="str">
        <f t="shared" si="2"/>
        <v/>
      </c>
      <c r="AI1535" s="17" t="str">
        <f>IF(AG1535="","",INDEX('Quitados DUPP'!$G$1:$G$6635,AG1535))</f>
        <v/>
      </c>
      <c r="AJ1535" s="17" t="str">
        <f t="shared" si="3"/>
        <v/>
      </c>
    </row>
    <row r="1536" spans="31:36">
      <c r="AE1536" s="15" t="str">
        <f t="shared" si="0"/>
        <v/>
      </c>
      <c r="AF1536" s="15" t="str">
        <f t="shared" si="1"/>
        <v/>
      </c>
      <c r="AG1536" s="15" t="str">
        <f>IF(OR(AF1536="",AF1536="ERRO_CHAVE"),"",IFERROR(MATCH(AF1536,'Quitados DUPP'!$U$1:$U$6635,0),""))</f>
        <v/>
      </c>
      <c r="AH1536" s="15" t="str">
        <f t="shared" si="2"/>
        <v/>
      </c>
      <c r="AI1536" s="17" t="str">
        <f>IF(AG1536="","",INDEX('Quitados DUPP'!$G$1:$G$6635,AG1536))</f>
        <v/>
      </c>
      <c r="AJ1536" s="17" t="str">
        <f t="shared" si="3"/>
        <v/>
      </c>
    </row>
    <row r="1537" spans="31:36">
      <c r="AE1537" s="15" t="str">
        <f t="shared" si="0"/>
        <v/>
      </c>
      <c r="AF1537" s="15" t="str">
        <f t="shared" si="1"/>
        <v/>
      </c>
      <c r="AG1537" s="15" t="str">
        <f>IF(OR(AF1537="",AF1537="ERRO_CHAVE"),"",IFERROR(MATCH(AF1537,'Quitados DUPP'!$U$1:$U$6635,0),""))</f>
        <v/>
      </c>
      <c r="AH1537" s="15" t="str">
        <f t="shared" si="2"/>
        <v/>
      </c>
      <c r="AI1537" s="17" t="str">
        <f>IF(AG1537="","",INDEX('Quitados DUPP'!$G$1:$G$6635,AG1537))</f>
        <v/>
      </c>
      <c r="AJ1537" s="17" t="str">
        <f t="shared" si="3"/>
        <v/>
      </c>
    </row>
    <row r="1538" spans="31:36">
      <c r="AE1538" s="15" t="str">
        <f t="shared" si="0"/>
        <v/>
      </c>
      <c r="AF1538" s="15" t="str">
        <f t="shared" si="1"/>
        <v/>
      </c>
      <c r="AG1538" s="15" t="str">
        <f>IF(OR(AF1538="",AF1538="ERRO_CHAVE"),"",IFERROR(MATCH(AF1538,'Quitados DUPP'!$U$1:$U$6635,0),""))</f>
        <v/>
      </c>
      <c r="AH1538" s="15" t="str">
        <f t="shared" si="2"/>
        <v/>
      </c>
      <c r="AI1538" s="17" t="str">
        <f>IF(AG1538="","",INDEX('Quitados DUPP'!$G$1:$G$6635,AG1538))</f>
        <v/>
      </c>
      <c r="AJ1538" s="17" t="str">
        <f t="shared" si="3"/>
        <v/>
      </c>
    </row>
    <row r="1539" spans="31:36">
      <c r="AE1539" s="15" t="str">
        <f t="shared" si="0"/>
        <v/>
      </c>
      <c r="AF1539" s="15" t="str">
        <f t="shared" si="1"/>
        <v/>
      </c>
      <c r="AG1539" s="15" t="str">
        <f>IF(OR(AF1539="",AF1539="ERRO_CHAVE"),"",IFERROR(MATCH(AF1539,'Quitados DUPP'!$U$1:$U$6635,0),""))</f>
        <v/>
      </c>
      <c r="AH1539" s="15" t="str">
        <f t="shared" si="2"/>
        <v/>
      </c>
      <c r="AI1539" s="17" t="str">
        <f>IF(AG1539="","",INDEX('Quitados DUPP'!$G$1:$G$6635,AG1539))</f>
        <v/>
      </c>
      <c r="AJ1539" s="17" t="str">
        <f t="shared" si="3"/>
        <v/>
      </c>
    </row>
    <row r="1540" spans="31:36">
      <c r="AE1540" s="15" t="str">
        <f t="shared" si="0"/>
        <v/>
      </c>
      <c r="AF1540" s="15" t="str">
        <f t="shared" si="1"/>
        <v/>
      </c>
      <c r="AG1540" s="15" t="str">
        <f>IF(OR(AF1540="",AF1540="ERRO_CHAVE"),"",IFERROR(MATCH(AF1540,'Quitados DUPP'!$U$1:$U$6635,0),""))</f>
        <v/>
      </c>
      <c r="AH1540" s="15" t="str">
        <f t="shared" si="2"/>
        <v/>
      </c>
      <c r="AI1540" s="17" t="str">
        <f>IF(AG1540="","",INDEX('Quitados DUPP'!$G$1:$G$6635,AG1540))</f>
        <v/>
      </c>
      <c r="AJ1540" s="17" t="str">
        <f t="shared" si="3"/>
        <v/>
      </c>
    </row>
    <row r="1541" spans="31:36">
      <c r="AE1541" s="15" t="str">
        <f t="shared" si="0"/>
        <v/>
      </c>
      <c r="AF1541" s="15" t="str">
        <f t="shared" si="1"/>
        <v/>
      </c>
      <c r="AG1541" s="15" t="str">
        <f>IF(OR(AF1541="",AF1541="ERRO_CHAVE"),"",IFERROR(MATCH(AF1541,'Quitados DUPP'!$U$1:$U$6635,0),""))</f>
        <v/>
      </c>
      <c r="AH1541" s="15" t="str">
        <f t="shared" si="2"/>
        <v/>
      </c>
      <c r="AI1541" s="17" t="str">
        <f>IF(AG1541="","",INDEX('Quitados DUPP'!$G$1:$G$6635,AG1541))</f>
        <v/>
      </c>
      <c r="AJ1541" s="17" t="str">
        <f t="shared" si="3"/>
        <v/>
      </c>
    </row>
    <row r="1542" spans="31:36">
      <c r="AE1542" s="15" t="str">
        <f t="shared" si="0"/>
        <v/>
      </c>
      <c r="AF1542" s="15" t="str">
        <f t="shared" si="1"/>
        <v/>
      </c>
      <c r="AG1542" s="15" t="str">
        <f>IF(OR(AF1542="",AF1542="ERRO_CHAVE"),"",IFERROR(MATCH(AF1542,'Quitados DUPP'!$U$1:$U$6635,0),""))</f>
        <v/>
      </c>
      <c r="AH1542" s="15" t="str">
        <f t="shared" si="2"/>
        <v/>
      </c>
      <c r="AI1542" s="17" t="str">
        <f>IF(AG1542="","",INDEX('Quitados DUPP'!$G$1:$G$6635,AG1542))</f>
        <v/>
      </c>
      <c r="AJ1542" s="17" t="str">
        <f t="shared" si="3"/>
        <v/>
      </c>
    </row>
    <row r="1543" spans="31:36">
      <c r="AE1543" s="15" t="str">
        <f t="shared" si="0"/>
        <v/>
      </c>
      <c r="AF1543" s="15" t="str">
        <f t="shared" si="1"/>
        <v/>
      </c>
      <c r="AG1543" s="15" t="str">
        <f>IF(OR(AF1543="",AF1543="ERRO_CHAVE"),"",IFERROR(MATCH(AF1543,'Quitados DUPP'!$U$1:$U$6635,0),""))</f>
        <v/>
      </c>
      <c r="AH1543" s="15" t="str">
        <f t="shared" si="2"/>
        <v/>
      </c>
      <c r="AI1543" s="17" t="str">
        <f>IF(AG1543="","",INDEX('Quitados DUPP'!$G$1:$G$6635,AG1543))</f>
        <v/>
      </c>
      <c r="AJ1543" s="17" t="str">
        <f t="shared" si="3"/>
        <v/>
      </c>
    </row>
    <row r="1544" spans="31:36">
      <c r="AE1544" s="15" t="str">
        <f t="shared" si="0"/>
        <v/>
      </c>
      <c r="AF1544" s="15" t="str">
        <f t="shared" si="1"/>
        <v/>
      </c>
      <c r="AG1544" s="15" t="str">
        <f>IF(OR(AF1544="",AF1544="ERRO_CHAVE"),"",IFERROR(MATCH(AF1544,'Quitados DUPP'!$U$1:$U$6635,0),""))</f>
        <v/>
      </c>
      <c r="AH1544" s="15" t="str">
        <f t="shared" si="2"/>
        <v/>
      </c>
      <c r="AI1544" s="17" t="str">
        <f>IF(AG1544="","",INDEX('Quitados DUPP'!$G$1:$G$6635,AG1544))</f>
        <v/>
      </c>
      <c r="AJ1544" s="17" t="str">
        <f t="shared" si="3"/>
        <v/>
      </c>
    </row>
    <row r="1545" spans="31:36">
      <c r="AE1545" s="15" t="str">
        <f t="shared" si="0"/>
        <v/>
      </c>
      <c r="AF1545" s="15" t="str">
        <f t="shared" si="1"/>
        <v/>
      </c>
      <c r="AG1545" s="15" t="str">
        <f>IF(OR(AF1545="",AF1545="ERRO_CHAVE"),"",IFERROR(MATCH(AF1545,'Quitados DUPP'!$U$1:$U$6635,0),""))</f>
        <v/>
      </c>
      <c r="AH1545" s="15" t="str">
        <f t="shared" si="2"/>
        <v/>
      </c>
      <c r="AI1545" s="17" t="str">
        <f>IF(AG1545="","",INDEX('Quitados DUPP'!$G$1:$G$6635,AG1545))</f>
        <v/>
      </c>
      <c r="AJ1545" s="17" t="str">
        <f t="shared" si="3"/>
        <v/>
      </c>
    </row>
    <row r="1546" spans="31:36">
      <c r="AE1546" s="15" t="str">
        <f t="shared" si="0"/>
        <v/>
      </c>
      <c r="AF1546" s="15" t="str">
        <f t="shared" si="1"/>
        <v/>
      </c>
      <c r="AG1546" s="15" t="str">
        <f>IF(OR(AF1546="",AF1546="ERRO_CHAVE"),"",IFERROR(MATCH(AF1546,'Quitados DUPP'!$U$1:$U$6635,0),""))</f>
        <v/>
      </c>
      <c r="AH1546" s="15" t="str">
        <f t="shared" si="2"/>
        <v/>
      </c>
      <c r="AI1546" s="17" t="str">
        <f>IF(AG1546="","",INDEX('Quitados DUPP'!$G$1:$G$6635,AG1546))</f>
        <v/>
      </c>
      <c r="AJ1546" s="17" t="str">
        <f t="shared" si="3"/>
        <v/>
      </c>
    </row>
    <row r="1547" spans="31:36">
      <c r="AE1547" s="15" t="str">
        <f t="shared" si="0"/>
        <v/>
      </c>
      <c r="AF1547" s="15" t="str">
        <f t="shared" si="1"/>
        <v/>
      </c>
      <c r="AG1547" s="15" t="str">
        <f>IF(OR(AF1547="",AF1547="ERRO_CHAVE"),"",IFERROR(MATCH(AF1547,'Quitados DUPP'!$U$1:$U$6635,0),""))</f>
        <v/>
      </c>
      <c r="AH1547" s="15" t="str">
        <f t="shared" si="2"/>
        <v/>
      </c>
      <c r="AI1547" s="17" t="str">
        <f>IF(AG1547="","",INDEX('Quitados DUPP'!$G$1:$G$6635,AG1547))</f>
        <v/>
      </c>
      <c r="AJ1547" s="17" t="str">
        <f t="shared" si="3"/>
        <v/>
      </c>
    </row>
    <row r="1548" spans="31:36">
      <c r="AE1548" s="15" t="str">
        <f t="shared" si="0"/>
        <v/>
      </c>
      <c r="AF1548" s="15" t="str">
        <f t="shared" si="1"/>
        <v/>
      </c>
      <c r="AG1548" s="15" t="str">
        <f>IF(OR(AF1548="",AF1548="ERRO_CHAVE"),"",IFERROR(MATCH(AF1548,'Quitados DUPP'!$U$1:$U$6635,0),""))</f>
        <v/>
      </c>
      <c r="AH1548" s="15" t="str">
        <f t="shared" si="2"/>
        <v/>
      </c>
      <c r="AI1548" s="17" t="str">
        <f>IF(AG1548="","",INDEX('Quitados DUPP'!$G$1:$G$6635,AG1548))</f>
        <v/>
      </c>
      <c r="AJ1548" s="17" t="str">
        <f t="shared" si="3"/>
        <v/>
      </c>
    </row>
    <row r="1549" spans="31:36">
      <c r="AE1549" s="15" t="str">
        <f t="shared" si="0"/>
        <v/>
      </c>
      <c r="AF1549" s="15" t="str">
        <f t="shared" si="1"/>
        <v/>
      </c>
      <c r="AG1549" s="15" t="str">
        <f>IF(OR(AF1549="",AF1549="ERRO_CHAVE"),"",IFERROR(MATCH(AF1549,'Quitados DUPP'!$U$1:$U$6635,0),""))</f>
        <v/>
      </c>
      <c r="AH1549" s="15" t="str">
        <f t="shared" si="2"/>
        <v/>
      </c>
      <c r="AI1549" s="17" t="str">
        <f>IF(AG1549="","",INDEX('Quitados DUPP'!$G$1:$G$6635,AG1549))</f>
        <v/>
      </c>
      <c r="AJ1549" s="17" t="str">
        <f t="shared" si="3"/>
        <v/>
      </c>
    </row>
    <row r="1550" spans="31:36">
      <c r="AE1550" s="15" t="str">
        <f t="shared" si="0"/>
        <v/>
      </c>
      <c r="AF1550" s="15" t="str">
        <f t="shared" si="1"/>
        <v/>
      </c>
      <c r="AG1550" s="15" t="str">
        <f>IF(OR(AF1550="",AF1550="ERRO_CHAVE"),"",IFERROR(MATCH(AF1550,'Quitados DUPP'!$U$1:$U$6635,0),""))</f>
        <v/>
      </c>
      <c r="AH1550" s="15" t="str">
        <f t="shared" si="2"/>
        <v/>
      </c>
      <c r="AI1550" s="17" t="str">
        <f>IF(AG1550="","",INDEX('Quitados DUPP'!$G$1:$G$6635,AG1550))</f>
        <v/>
      </c>
      <c r="AJ1550" s="17" t="str">
        <f t="shared" si="3"/>
        <v/>
      </c>
    </row>
    <row r="1551" spans="31:36">
      <c r="AE1551" s="15" t="str">
        <f t="shared" si="0"/>
        <v/>
      </c>
      <c r="AF1551" s="15" t="str">
        <f t="shared" si="1"/>
        <v/>
      </c>
      <c r="AG1551" s="15" t="str">
        <f>IF(OR(AF1551="",AF1551="ERRO_CHAVE"),"",IFERROR(MATCH(AF1551,'Quitados DUPP'!$U$1:$U$6635,0),""))</f>
        <v/>
      </c>
      <c r="AH1551" s="15" t="str">
        <f t="shared" si="2"/>
        <v/>
      </c>
      <c r="AI1551" s="17" t="str">
        <f>IF(AG1551="","",INDEX('Quitados DUPP'!$G$1:$G$6635,AG1551))</f>
        <v/>
      </c>
      <c r="AJ1551" s="17" t="str">
        <f t="shared" si="3"/>
        <v/>
      </c>
    </row>
    <row r="1552" spans="31:36">
      <c r="AE1552" s="15" t="str">
        <f t="shared" si="0"/>
        <v/>
      </c>
      <c r="AF1552" s="15" t="str">
        <f t="shared" si="1"/>
        <v/>
      </c>
      <c r="AG1552" s="15" t="str">
        <f>IF(OR(AF1552="",AF1552="ERRO_CHAVE"),"",IFERROR(MATCH(AF1552,'Quitados DUPP'!$U$1:$U$6635,0),""))</f>
        <v/>
      </c>
      <c r="AH1552" s="15" t="str">
        <f t="shared" si="2"/>
        <v/>
      </c>
      <c r="AI1552" s="17" t="str">
        <f>IF(AG1552="","",INDEX('Quitados DUPP'!$G$1:$G$6635,AG1552))</f>
        <v/>
      </c>
      <c r="AJ1552" s="17" t="str">
        <f t="shared" si="3"/>
        <v/>
      </c>
    </row>
    <row r="1553" spans="31:36">
      <c r="AE1553" s="15" t="str">
        <f t="shared" si="0"/>
        <v/>
      </c>
      <c r="AF1553" s="15" t="str">
        <f t="shared" si="1"/>
        <v/>
      </c>
      <c r="AG1553" s="15" t="str">
        <f>IF(OR(AF1553="",AF1553="ERRO_CHAVE"),"",IFERROR(MATCH(AF1553,'Quitados DUPP'!$U$1:$U$6635,0),""))</f>
        <v/>
      </c>
      <c r="AH1553" s="15" t="str">
        <f t="shared" si="2"/>
        <v/>
      </c>
      <c r="AI1553" s="17" t="str">
        <f>IF(AG1553="","",INDEX('Quitados DUPP'!$G$1:$G$6635,AG1553))</f>
        <v/>
      </c>
      <c r="AJ1553" s="17" t="str">
        <f t="shared" si="3"/>
        <v/>
      </c>
    </row>
    <row r="1554" spans="31:36">
      <c r="AE1554" s="15" t="str">
        <f t="shared" si="0"/>
        <v/>
      </c>
      <c r="AF1554" s="15" t="str">
        <f t="shared" si="1"/>
        <v/>
      </c>
      <c r="AG1554" s="15" t="str">
        <f>IF(OR(AF1554="",AF1554="ERRO_CHAVE"),"",IFERROR(MATCH(AF1554,'Quitados DUPP'!$U$1:$U$6635,0),""))</f>
        <v/>
      </c>
      <c r="AH1554" s="15" t="str">
        <f t="shared" si="2"/>
        <v/>
      </c>
      <c r="AI1554" s="17" t="str">
        <f>IF(AG1554="","",INDEX('Quitados DUPP'!$G$1:$G$6635,AG1554))</f>
        <v/>
      </c>
      <c r="AJ1554" s="17" t="str">
        <f t="shared" si="3"/>
        <v/>
      </c>
    </row>
    <row r="1555" spans="31:36">
      <c r="AE1555" s="15" t="str">
        <f t="shared" si="0"/>
        <v/>
      </c>
      <c r="AF1555" s="15" t="str">
        <f t="shared" si="1"/>
        <v/>
      </c>
      <c r="AG1555" s="15" t="str">
        <f>IF(OR(AF1555="",AF1555="ERRO_CHAVE"),"",IFERROR(MATCH(AF1555,'Quitados DUPP'!$U$1:$U$6635,0),""))</f>
        <v/>
      </c>
      <c r="AH1555" s="15" t="str">
        <f t="shared" si="2"/>
        <v/>
      </c>
      <c r="AI1555" s="17" t="str">
        <f>IF(AG1555="","",INDEX('Quitados DUPP'!$G$1:$G$6635,AG1555))</f>
        <v/>
      </c>
      <c r="AJ1555" s="17" t="str">
        <f t="shared" si="3"/>
        <v/>
      </c>
    </row>
    <row r="1556" spans="31:36">
      <c r="AE1556" s="15" t="str">
        <f t="shared" si="0"/>
        <v/>
      </c>
      <c r="AF1556" s="15" t="str">
        <f t="shared" si="1"/>
        <v/>
      </c>
      <c r="AG1556" s="15" t="str">
        <f>IF(OR(AF1556="",AF1556="ERRO_CHAVE"),"",IFERROR(MATCH(AF1556,'Quitados DUPP'!$U$1:$U$6635,0),""))</f>
        <v/>
      </c>
      <c r="AH1556" s="15" t="str">
        <f t="shared" si="2"/>
        <v/>
      </c>
      <c r="AI1556" s="17" t="str">
        <f>IF(AG1556="","",INDEX('Quitados DUPP'!$G$1:$G$6635,AG1556))</f>
        <v/>
      </c>
      <c r="AJ1556" s="17" t="str">
        <f t="shared" si="3"/>
        <v/>
      </c>
    </row>
    <row r="1557" spans="31:36">
      <c r="AE1557" s="15" t="str">
        <f t="shared" si="0"/>
        <v/>
      </c>
      <c r="AF1557" s="15" t="str">
        <f t="shared" si="1"/>
        <v/>
      </c>
      <c r="AG1557" s="15" t="str">
        <f>IF(OR(AF1557="",AF1557="ERRO_CHAVE"),"",IFERROR(MATCH(AF1557,'Quitados DUPP'!$U$1:$U$6635,0),""))</f>
        <v/>
      </c>
      <c r="AH1557" s="15" t="str">
        <f t="shared" si="2"/>
        <v/>
      </c>
      <c r="AI1557" s="17" t="str">
        <f>IF(AG1557="","",INDEX('Quitados DUPP'!$G$1:$G$6635,AG1557))</f>
        <v/>
      </c>
      <c r="AJ1557" s="17" t="str">
        <f t="shared" si="3"/>
        <v/>
      </c>
    </row>
    <row r="1558" spans="31:36">
      <c r="AE1558" s="15" t="str">
        <f t="shared" si="0"/>
        <v/>
      </c>
      <c r="AF1558" s="15" t="str">
        <f t="shared" si="1"/>
        <v/>
      </c>
      <c r="AG1558" s="15" t="str">
        <f>IF(OR(AF1558="",AF1558="ERRO_CHAVE"),"",IFERROR(MATCH(AF1558,'Quitados DUPP'!$U$1:$U$6635,0),""))</f>
        <v/>
      </c>
      <c r="AH1558" s="15" t="str">
        <f t="shared" si="2"/>
        <v/>
      </c>
      <c r="AI1558" s="17" t="str">
        <f>IF(AG1558="","",INDEX('Quitados DUPP'!$G$1:$G$6635,AG1558))</f>
        <v/>
      </c>
      <c r="AJ1558" s="17" t="str">
        <f t="shared" si="3"/>
        <v/>
      </c>
    </row>
    <row r="1559" spans="31:36">
      <c r="AE1559" s="15" t="str">
        <f t="shared" si="0"/>
        <v/>
      </c>
      <c r="AF1559" s="15" t="str">
        <f t="shared" si="1"/>
        <v/>
      </c>
      <c r="AG1559" s="15" t="str">
        <f>IF(OR(AF1559="",AF1559="ERRO_CHAVE"),"",IFERROR(MATCH(AF1559,'Quitados DUPP'!$U$1:$U$6635,0),""))</f>
        <v/>
      </c>
      <c r="AH1559" s="15" t="str">
        <f t="shared" si="2"/>
        <v/>
      </c>
      <c r="AI1559" s="17" t="str">
        <f>IF(AG1559="","",INDEX('Quitados DUPP'!$G$1:$G$6635,AG1559))</f>
        <v/>
      </c>
      <c r="AJ1559" s="17" t="str">
        <f t="shared" si="3"/>
        <v/>
      </c>
    </row>
    <row r="1560" spans="31:36">
      <c r="AE1560" s="15" t="str">
        <f t="shared" si="0"/>
        <v/>
      </c>
      <c r="AF1560" s="15" t="str">
        <f t="shared" si="1"/>
        <v/>
      </c>
      <c r="AG1560" s="15" t="str">
        <f>IF(OR(AF1560="",AF1560="ERRO_CHAVE"),"",IFERROR(MATCH(AF1560,'Quitados DUPP'!$U$1:$U$6635,0),""))</f>
        <v/>
      </c>
      <c r="AH1560" s="15" t="str">
        <f t="shared" si="2"/>
        <v/>
      </c>
      <c r="AI1560" s="17" t="str">
        <f>IF(AG1560="","",INDEX('Quitados DUPP'!$G$1:$G$6635,AG1560))</f>
        <v/>
      </c>
      <c r="AJ1560" s="17" t="str">
        <f t="shared" si="3"/>
        <v/>
      </c>
    </row>
    <row r="1561" spans="31:36">
      <c r="AE1561" s="15" t="str">
        <f t="shared" si="0"/>
        <v/>
      </c>
      <c r="AF1561" s="15" t="str">
        <f t="shared" si="1"/>
        <v/>
      </c>
      <c r="AG1561" s="15" t="str">
        <f>IF(OR(AF1561="",AF1561="ERRO_CHAVE"),"",IFERROR(MATCH(AF1561,'Quitados DUPP'!$U$1:$U$6635,0),""))</f>
        <v/>
      </c>
      <c r="AH1561" s="15" t="str">
        <f t="shared" si="2"/>
        <v/>
      </c>
      <c r="AI1561" s="17" t="str">
        <f>IF(AG1561="","",INDEX('Quitados DUPP'!$G$1:$G$6635,AG1561))</f>
        <v/>
      </c>
      <c r="AJ1561" s="17" t="str">
        <f t="shared" si="3"/>
        <v/>
      </c>
    </row>
    <row r="1562" spans="31:36">
      <c r="AE1562" s="15" t="str">
        <f t="shared" si="0"/>
        <v/>
      </c>
      <c r="AF1562" s="15" t="str">
        <f t="shared" si="1"/>
        <v/>
      </c>
      <c r="AG1562" s="15" t="str">
        <f>IF(OR(AF1562="",AF1562="ERRO_CHAVE"),"",IFERROR(MATCH(AF1562,'Quitados DUPP'!$U$1:$U$6635,0),""))</f>
        <v/>
      </c>
      <c r="AH1562" s="15" t="str">
        <f t="shared" si="2"/>
        <v/>
      </c>
      <c r="AI1562" s="17" t="str">
        <f>IF(AG1562="","",INDEX('Quitados DUPP'!$G$1:$G$6635,AG1562))</f>
        <v/>
      </c>
      <c r="AJ1562" s="17" t="str">
        <f t="shared" si="3"/>
        <v/>
      </c>
    </row>
    <row r="1563" spans="31:36">
      <c r="AE1563" s="15" t="str">
        <f t="shared" si="0"/>
        <v/>
      </c>
      <c r="AF1563" s="15" t="str">
        <f t="shared" si="1"/>
        <v/>
      </c>
      <c r="AG1563" s="15" t="str">
        <f>IF(OR(AF1563="",AF1563="ERRO_CHAVE"),"",IFERROR(MATCH(AF1563,'Quitados DUPP'!$U$1:$U$6635,0),""))</f>
        <v/>
      </c>
      <c r="AH1563" s="15" t="str">
        <f t="shared" si="2"/>
        <v/>
      </c>
      <c r="AI1563" s="17" t="str">
        <f>IF(AG1563="","",INDEX('Quitados DUPP'!$G$1:$G$6635,AG1563))</f>
        <v/>
      </c>
      <c r="AJ1563" s="17" t="str">
        <f t="shared" si="3"/>
        <v/>
      </c>
    </row>
    <row r="1564" spans="31:36">
      <c r="AE1564" s="15" t="str">
        <f t="shared" si="0"/>
        <v/>
      </c>
      <c r="AF1564" s="15" t="str">
        <f t="shared" si="1"/>
        <v/>
      </c>
      <c r="AG1564" s="15" t="str">
        <f>IF(OR(AF1564="",AF1564="ERRO_CHAVE"),"",IFERROR(MATCH(AF1564,'Quitados DUPP'!$U$1:$U$6635,0),""))</f>
        <v/>
      </c>
      <c r="AH1564" s="15" t="str">
        <f t="shared" si="2"/>
        <v/>
      </c>
      <c r="AI1564" s="17" t="str">
        <f>IF(AG1564="","",INDEX('Quitados DUPP'!$G$1:$G$6635,AG1564))</f>
        <v/>
      </c>
      <c r="AJ1564" s="17" t="str">
        <f t="shared" si="3"/>
        <v/>
      </c>
    </row>
    <row r="1565" spans="31:36">
      <c r="AE1565" s="15" t="str">
        <f t="shared" si="0"/>
        <v/>
      </c>
      <c r="AF1565" s="15" t="str">
        <f t="shared" si="1"/>
        <v/>
      </c>
      <c r="AG1565" s="15" t="str">
        <f>IF(OR(AF1565="",AF1565="ERRO_CHAVE"),"",IFERROR(MATCH(AF1565,'Quitados DUPP'!$U$1:$U$6635,0),""))</f>
        <v/>
      </c>
      <c r="AH1565" s="15" t="str">
        <f t="shared" si="2"/>
        <v/>
      </c>
      <c r="AI1565" s="17" t="str">
        <f>IF(AG1565="","",INDEX('Quitados DUPP'!$G$1:$G$6635,AG1565))</f>
        <v/>
      </c>
      <c r="AJ1565" s="17" t="str">
        <f t="shared" si="3"/>
        <v/>
      </c>
    </row>
    <row r="1566" spans="31:36">
      <c r="AE1566" s="15" t="str">
        <f t="shared" si="0"/>
        <v/>
      </c>
      <c r="AF1566" s="15" t="str">
        <f t="shared" si="1"/>
        <v/>
      </c>
      <c r="AG1566" s="15" t="str">
        <f>IF(OR(AF1566="",AF1566="ERRO_CHAVE"),"",IFERROR(MATCH(AF1566,'Quitados DUPP'!$U$1:$U$6635,0),""))</f>
        <v/>
      </c>
      <c r="AH1566" s="15" t="str">
        <f t="shared" si="2"/>
        <v/>
      </c>
      <c r="AI1566" s="17" t="str">
        <f>IF(AG1566="","",INDEX('Quitados DUPP'!$G$1:$G$6635,AG1566))</f>
        <v/>
      </c>
      <c r="AJ1566" s="17" t="str">
        <f t="shared" si="3"/>
        <v/>
      </c>
    </row>
    <row r="1567" spans="31:36">
      <c r="AE1567" s="15" t="str">
        <f t="shared" si="0"/>
        <v/>
      </c>
      <c r="AF1567" s="15" t="str">
        <f t="shared" si="1"/>
        <v/>
      </c>
      <c r="AG1567" s="15" t="str">
        <f>IF(OR(AF1567="",AF1567="ERRO_CHAVE"),"",IFERROR(MATCH(AF1567,'Quitados DUPP'!$U$1:$U$6635,0),""))</f>
        <v/>
      </c>
      <c r="AH1567" s="15" t="str">
        <f t="shared" si="2"/>
        <v/>
      </c>
      <c r="AI1567" s="17" t="str">
        <f>IF(AG1567="","",INDEX('Quitados DUPP'!$G$1:$G$6635,AG1567))</f>
        <v/>
      </c>
      <c r="AJ1567" s="17" t="str">
        <f t="shared" si="3"/>
        <v/>
      </c>
    </row>
    <row r="1568" spans="31:36">
      <c r="AE1568" s="15" t="str">
        <f t="shared" si="0"/>
        <v/>
      </c>
      <c r="AF1568" s="15" t="str">
        <f t="shared" si="1"/>
        <v/>
      </c>
      <c r="AG1568" s="15" t="str">
        <f>IF(OR(AF1568="",AF1568="ERRO_CHAVE"),"",IFERROR(MATCH(AF1568,'Quitados DUPP'!$U$1:$U$6635,0),""))</f>
        <v/>
      </c>
      <c r="AH1568" s="15" t="str">
        <f t="shared" si="2"/>
        <v/>
      </c>
      <c r="AI1568" s="17" t="str">
        <f>IF(AG1568="","",INDEX('Quitados DUPP'!$G$1:$G$6635,AG1568))</f>
        <v/>
      </c>
      <c r="AJ1568" s="17" t="str">
        <f t="shared" si="3"/>
        <v/>
      </c>
    </row>
    <row r="1569" spans="31:36">
      <c r="AE1569" s="15" t="str">
        <f t="shared" si="0"/>
        <v/>
      </c>
      <c r="AF1569" s="15" t="str">
        <f t="shared" si="1"/>
        <v/>
      </c>
      <c r="AG1569" s="15" t="str">
        <f>IF(OR(AF1569="",AF1569="ERRO_CHAVE"),"",IFERROR(MATCH(AF1569,'Quitados DUPP'!$U$1:$U$6635,0),""))</f>
        <v/>
      </c>
      <c r="AH1569" s="15" t="str">
        <f t="shared" si="2"/>
        <v/>
      </c>
      <c r="AI1569" s="17" t="str">
        <f>IF(AG1569="","",INDEX('Quitados DUPP'!$G$1:$G$6635,AG1569))</f>
        <v/>
      </c>
      <c r="AJ1569" s="17" t="str">
        <f t="shared" si="3"/>
        <v/>
      </c>
    </row>
    <row r="1570" spans="31:36">
      <c r="AE1570" s="15" t="str">
        <f t="shared" si="0"/>
        <v/>
      </c>
      <c r="AF1570" s="15" t="str">
        <f t="shared" si="1"/>
        <v/>
      </c>
      <c r="AG1570" s="15" t="str">
        <f>IF(OR(AF1570="",AF1570="ERRO_CHAVE"),"",IFERROR(MATCH(AF1570,'Quitados DUPP'!$U$1:$U$6635,0),""))</f>
        <v/>
      </c>
      <c r="AH1570" s="15" t="str">
        <f t="shared" si="2"/>
        <v/>
      </c>
      <c r="AI1570" s="17" t="str">
        <f>IF(AG1570="","",INDEX('Quitados DUPP'!$G$1:$G$6635,AG1570))</f>
        <v/>
      </c>
      <c r="AJ1570" s="17" t="str">
        <f t="shared" si="3"/>
        <v/>
      </c>
    </row>
    <row r="1571" spans="31:36">
      <c r="AE1571" s="15" t="str">
        <f t="shared" si="0"/>
        <v/>
      </c>
      <c r="AF1571" s="15" t="str">
        <f t="shared" si="1"/>
        <v/>
      </c>
      <c r="AG1571" s="15" t="str">
        <f>IF(OR(AF1571="",AF1571="ERRO_CHAVE"),"",IFERROR(MATCH(AF1571,'Quitados DUPP'!$U$1:$U$6635,0),""))</f>
        <v/>
      </c>
      <c r="AH1571" s="15" t="str">
        <f t="shared" si="2"/>
        <v/>
      </c>
      <c r="AI1571" s="17" t="str">
        <f>IF(AG1571="","",INDEX('Quitados DUPP'!$G$1:$G$6635,AG1571))</f>
        <v/>
      </c>
      <c r="AJ1571" s="17" t="str">
        <f t="shared" si="3"/>
        <v/>
      </c>
    </row>
    <row r="1572" spans="31:36">
      <c r="AE1572" s="15" t="str">
        <f t="shared" si="0"/>
        <v/>
      </c>
      <c r="AF1572" s="15" t="str">
        <f t="shared" si="1"/>
        <v/>
      </c>
      <c r="AG1572" s="15" t="str">
        <f>IF(OR(AF1572="",AF1572="ERRO_CHAVE"),"",IFERROR(MATCH(AF1572,'Quitados DUPP'!$U$1:$U$6635,0),""))</f>
        <v/>
      </c>
      <c r="AH1572" s="15" t="str">
        <f t="shared" si="2"/>
        <v/>
      </c>
      <c r="AI1572" s="17" t="str">
        <f>IF(AG1572="","",INDEX('Quitados DUPP'!$G$1:$G$6635,AG1572))</f>
        <v/>
      </c>
      <c r="AJ1572" s="17" t="str">
        <f t="shared" si="3"/>
        <v/>
      </c>
    </row>
    <row r="1573" spans="31:36">
      <c r="AE1573" s="15" t="str">
        <f t="shared" si="0"/>
        <v/>
      </c>
      <c r="AF1573" s="15" t="str">
        <f t="shared" si="1"/>
        <v/>
      </c>
      <c r="AG1573" s="15" t="str">
        <f>IF(OR(AF1573="",AF1573="ERRO_CHAVE"),"",IFERROR(MATCH(AF1573,'Quitados DUPP'!$U$1:$U$6635,0),""))</f>
        <v/>
      </c>
      <c r="AH1573" s="15" t="str">
        <f t="shared" si="2"/>
        <v/>
      </c>
      <c r="AI1573" s="17" t="str">
        <f>IF(AG1573="","",INDEX('Quitados DUPP'!$G$1:$G$6635,AG1573))</f>
        <v/>
      </c>
      <c r="AJ1573" s="17" t="str">
        <f t="shared" si="3"/>
        <v/>
      </c>
    </row>
    <row r="1574" spans="31:36">
      <c r="AE1574" s="15" t="str">
        <f t="shared" si="0"/>
        <v/>
      </c>
      <c r="AF1574" s="15" t="str">
        <f t="shared" si="1"/>
        <v/>
      </c>
      <c r="AG1574" s="15" t="str">
        <f>IF(OR(AF1574="",AF1574="ERRO_CHAVE"),"",IFERROR(MATCH(AF1574,'Quitados DUPP'!$U$1:$U$6635,0),""))</f>
        <v/>
      </c>
      <c r="AH1574" s="15" t="str">
        <f t="shared" si="2"/>
        <v/>
      </c>
      <c r="AI1574" s="17" t="str">
        <f>IF(AG1574="","",INDEX('Quitados DUPP'!$G$1:$G$6635,AG1574))</f>
        <v/>
      </c>
      <c r="AJ1574" s="17" t="str">
        <f t="shared" si="3"/>
        <v/>
      </c>
    </row>
    <row r="1575" spans="31:36">
      <c r="AE1575" s="15" t="str">
        <f t="shared" si="0"/>
        <v/>
      </c>
      <c r="AF1575" s="15" t="str">
        <f t="shared" si="1"/>
        <v/>
      </c>
      <c r="AG1575" s="15" t="str">
        <f>IF(OR(AF1575="",AF1575="ERRO_CHAVE"),"",IFERROR(MATCH(AF1575,'Quitados DUPP'!$U$1:$U$6635,0),""))</f>
        <v/>
      </c>
      <c r="AH1575" s="15" t="str">
        <f t="shared" si="2"/>
        <v/>
      </c>
      <c r="AI1575" s="17" t="str">
        <f>IF(AG1575="","",INDEX('Quitados DUPP'!$G$1:$G$6635,AG1575))</f>
        <v/>
      </c>
      <c r="AJ1575" s="17" t="str">
        <f t="shared" si="3"/>
        <v/>
      </c>
    </row>
    <row r="1576" spans="31:36">
      <c r="AE1576" s="15" t="str">
        <f t="shared" si="0"/>
        <v/>
      </c>
      <c r="AF1576" s="15" t="str">
        <f t="shared" si="1"/>
        <v/>
      </c>
      <c r="AG1576" s="15" t="str">
        <f>IF(OR(AF1576="",AF1576="ERRO_CHAVE"),"",IFERROR(MATCH(AF1576,'Quitados DUPP'!$U$1:$U$6635,0),""))</f>
        <v/>
      </c>
      <c r="AH1576" s="15" t="str">
        <f t="shared" si="2"/>
        <v/>
      </c>
      <c r="AI1576" s="17" t="str">
        <f>IF(AG1576="","",INDEX('Quitados DUPP'!$G$1:$G$6635,AG1576))</f>
        <v/>
      </c>
      <c r="AJ1576" s="17" t="str">
        <f t="shared" si="3"/>
        <v/>
      </c>
    </row>
    <row r="1577" spans="31:36">
      <c r="AE1577" s="15" t="str">
        <f t="shared" si="0"/>
        <v/>
      </c>
      <c r="AF1577" s="15" t="str">
        <f t="shared" si="1"/>
        <v/>
      </c>
      <c r="AG1577" s="15" t="str">
        <f>IF(OR(AF1577="",AF1577="ERRO_CHAVE"),"",IFERROR(MATCH(AF1577,'Quitados DUPP'!$U$1:$U$6635,0),""))</f>
        <v/>
      </c>
      <c r="AH1577" s="15" t="str">
        <f t="shared" si="2"/>
        <v/>
      </c>
      <c r="AI1577" s="17" t="str">
        <f>IF(AG1577="","",INDEX('Quitados DUPP'!$G$1:$G$6635,AG1577))</f>
        <v/>
      </c>
      <c r="AJ1577" s="17" t="str">
        <f t="shared" si="3"/>
        <v/>
      </c>
    </row>
    <row r="1578" spans="31:36">
      <c r="AE1578" s="15" t="str">
        <f t="shared" si="0"/>
        <v/>
      </c>
      <c r="AF1578" s="15" t="str">
        <f t="shared" si="1"/>
        <v/>
      </c>
      <c r="AG1578" s="15" t="str">
        <f>IF(OR(AF1578="",AF1578="ERRO_CHAVE"),"",IFERROR(MATCH(AF1578,'Quitados DUPP'!$U$1:$U$6635,0),""))</f>
        <v/>
      </c>
      <c r="AH1578" s="15" t="str">
        <f t="shared" si="2"/>
        <v/>
      </c>
      <c r="AI1578" s="17" t="str">
        <f>IF(AG1578="","",INDEX('Quitados DUPP'!$G$1:$G$6635,AG1578))</f>
        <v/>
      </c>
      <c r="AJ1578" s="17" t="str">
        <f t="shared" si="3"/>
        <v/>
      </c>
    </row>
    <row r="1579" spans="31:36">
      <c r="AE1579" s="15" t="str">
        <f t="shared" si="0"/>
        <v/>
      </c>
      <c r="AF1579" s="15" t="str">
        <f t="shared" si="1"/>
        <v/>
      </c>
      <c r="AG1579" s="15" t="str">
        <f>IF(OR(AF1579="",AF1579="ERRO_CHAVE"),"",IFERROR(MATCH(AF1579,'Quitados DUPP'!$U$1:$U$6635,0),""))</f>
        <v/>
      </c>
      <c r="AH1579" s="15" t="str">
        <f t="shared" si="2"/>
        <v/>
      </c>
      <c r="AI1579" s="17" t="str">
        <f>IF(AG1579="","",INDEX('Quitados DUPP'!$G$1:$G$6635,AG1579))</f>
        <v/>
      </c>
      <c r="AJ1579" s="17" t="str">
        <f t="shared" si="3"/>
        <v/>
      </c>
    </row>
    <row r="1580" spans="31:36">
      <c r="AE1580" s="15" t="str">
        <f t="shared" si="0"/>
        <v/>
      </c>
      <c r="AF1580" s="15" t="str">
        <f t="shared" si="1"/>
        <v/>
      </c>
      <c r="AG1580" s="15" t="str">
        <f>IF(OR(AF1580="",AF1580="ERRO_CHAVE"),"",IFERROR(MATCH(AF1580,'Quitados DUPP'!$U$1:$U$6635,0),""))</f>
        <v/>
      </c>
      <c r="AH1580" s="15" t="str">
        <f t="shared" si="2"/>
        <v/>
      </c>
      <c r="AI1580" s="17" t="str">
        <f>IF(AG1580="","",INDEX('Quitados DUPP'!$G$1:$G$6635,AG1580))</f>
        <v/>
      </c>
      <c r="AJ1580" s="17" t="str">
        <f t="shared" si="3"/>
        <v/>
      </c>
    </row>
    <row r="1581" spans="31:36">
      <c r="AE1581" s="15" t="str">
        <f t="shared" si="0"/>
        <v/>
      </c>
      <c r="AF1581" s="15" t="str">
        <f t="shared" si="1"/>
        <v/>
      </c>
      <c r="AG1581" s="15" t="str">
        <f>IF(OR(AF1581="",AF1581="ERRO_CHAVE"),"",IFERROR(MATCH(AF1581,'Quitados DUPP'!$U$1:$U$6635,0),""))</f>
        <v/>
      </c>
      <c r="AH1581" s="15" t="str">
        <f t="shared" si="2"/>
        <v/>
      </c>
      <c r="AI1581" s="17" t="str">
        <f>IF(AG1581="","",INDEX('Quitados DUPP'!$G$1:$G$6635,AG1581))</f>
        <v/>
      </c>
      <c r="AJ1581" s="17" t="str">
        <f t="shared" si="3"/>
        <v/>
      </c>
    </row>
    <row r="1582" spans="31:36">
      <c r="AE1582" s="15" t="str">
        <f t="shared" si="0"/>
        <v/>
      </c>
      <c r="AF1582" s="15" t="str">
        <f t="shared" si="1"/>
        <v/>
      </c>
      <c r="AG1582" s="15" t="str">
        <f>IF(OR(AF1582="",AF1582="ERRO_CHAVE"),"",IFERROR(MATCH(AF1582,'Quitados DUPP'!$U$1:$U$6635,0),""))</f>
        <v/>
      </c>
      <c r="AH1582" s="15" t="str">
        <f t="shared" si="2"/>
        <v/>
      </c>
      <c r="AI1582" s="17" t="str">
        <f>IF(AG1582="","",INDEX('Quitados DUPP'!$G$1:$G$6635,AG1582))</f>
        <v/>
      </c>
      <c r="AJ1582" s="17" t="str">
        <f t="shared" si="3"/>
        <v/>
      </c>
    </row>
    <row r="1583" spans="31:36">
      <c r="AE1583" s="15" t="str">
        <f t="shared" si="0"/>
        <v/>
      </c>
      <c r="AF1583" s="15" t="str">
        <f t="shared" si="1"/>
        <v/>
      </c>
      <c r="AG1583" s="15" t="str">
        <f>IF(OR(AF1583="",AF1583="ERRO_CHAVE"),"",IFERROR(MATCH(AF1583,'Quitados DUPP'!$U$1:$U$6635,0),""))</f>
        <v/>
      </c>
      <c r="AH1583" s="15" t="str">
        <f t="shared" si="2"/>
        <v/>
      </c>
      <c r="AI1583" s="17" t="str">
        <f>IF(AG1583="","",INDEX('Quitados DUPP'!$G$1:$G$6635,AG1583))</f>
        <v/>
      </c>
      <c r="AJ1583" s="17" t="str">
        <f t="shared" si="3"/>
        <v/>
      </c>
    </row>
    <row r="1584" spans="31:36">
      <c r="AE1584" s="15" t="str">
        <f t="shared" si="0"/>
        <v/>
      </c>
      <c r="AF1584" s="15" t="str">
        <f t="shared" si="1"/>
        <v/>
      </c>
      <c r="AG1584" s="15" t="str">
        <f>IF(OR(AF1584="",AF1584="ERRO_CHAVE"),"",IFERROR(MATCH(AF1584,'Quitados DUPP'!$U$1:$U$6635,0),""))</f>
        <v/>
      </c>
      <c r="AH1584" s="15" t="str">
        <f t="shared" si="2"/>
        <v/>
      </c>
      <c r="AI1584" s="17" t="str">
        <f>IF(AG1584="","",INDEX('Quitados DUPP'!$G$1:$G$6635,AG1584))</f>
        <v/>
      </c>
      <c r="AJ1584" s="17" t="str">
        <f t="shared" si="3"/>
        <v/>
      </c>
    </row>
    <row r="1585" spans="31:36">
      <c r="AE1585" s="15" t="str">
        <f t="shared" si="0"/>
        <v/>
      </c>
      <c r="AF1585" s="15" t="str">
        <f t="shared" si="1"/>
        <v/>
      </c>
      <c r="AG1585" s="15" t="str">
        <f>IF(OR(AF1585="",AF1585="ERRO_CHAVE"),"",IFERROR(MATCH(AF1585,'Quitados DUPP'!$U$1:$U$6635,0),""))</f>
        <v/>
      </c>
      <c r="AH1585" s="15" t="str">
        <f t="shared" si="2"/>
        <v/>
      </c>
      <c r="AI1585" s="17" t="str">
        <f>IF(AG1585="","",INDEX('Quitados DUPP'!$G$1:$G$6635,AG1585))</f>
        <v/>
      </c>
      <c r="AJ1585" s="17" t="str">
        <f t="shared" si="3"/>
        <v/>
      </c>
    </row>
    <row r="1586" spans="31:36">
      <c r="AE1586" s="15" t="str">
        <f t="shared" si="0"/>
        <v/>
      </c>
      <c r="AF1586" s="15" t="str">
        <f t="shared" si="1"/>
        <v/>
      </c>
      <c r="AG1586" s="15" t="str">
        <f>IF(OR(AF1586="",AF1586="ERRO_CHAVE"),"",IFERROR(MATCH(AF1586,'Quitados DUPP'!$U$1:$U$6635,0),""))</f>
        <v/>
      </c>
      <c r="AH1586" s="15" t="str">
        <f t="shared" si="2"/>
        <v/>
      </c>
      <c r="AI1586" s="17" t="str">
        <f>IF(AG1586="","",INDEX('Quitados DUPP'!$G$1:$G$6635,AG1586))</f>
        <v/>
      </c>
      <c r="AJ1586" s="17" t="str">
        <f t="shared" si="3"/>
        <v/>
      </c>
    </row>
    <row r="1587" spans="31:36">
      <c r="AE1587" s="15" t="str">
        <f t="shared" si="0"/>
        <v/>
      </c>
      <c r="AF1587" s="15" t="str">
        <f t="shared" si="1"/>
        <v/>
      </c>
      <c r="AG1587" s="15" t="str">
        <f>IF(OR(AF1587="",AF1587="ERRO_CHAVE"),"",IFERROR(MATCH(AF1587,'Quitados DUPP'!$U$1:$U$6635,0),""))</f>
        <v/>
      </c>
      <c r="AH1587" s="15" t="str">
        <f t="shared" si="2"/>
        <v/>
      </c>
      <c r="AI1587" s="17" t="str">
        <f>IF(AG1587="","",INDEX('Quitados DUPP'!$G$1:$G$6635,AG1587))</f>
        <v/>
      </c>
      <c r="AJ1587" s="17" t="str">
        <f t="shared" si="3"/>
        <v/>
      </c>
    </row>
    <row r="1588" spans="31:36">
      <c r="AE1588" s="15" t="str">
        <f t="shared" si="0"/>
        <v/>
      </c>
      <c r="AF1588" s="15" t="str">
        <f t="shared" si="1"/>
        <v/>
      </c>
      <c r="AG1588" s="15" t="str">
        <f>IF(OR(AF1588="",AF1588="ERRO_CHAVE"),"",IFERROR(MATCH(AF1588,'Quitados DUPP'!$U$1:$U$6635,0),""))</f>
        <v/>
      </c>
      <c r="AH1588" s="15" t="str">
        <f t="shared" si="2"/>
        <v/>
      </c>
      <c r="AI1588" s="17" t="str">
        <f>IF(AG1588="","",INDEX('Quitados DUPP'!$G$1:$G$6635,AG1588))</f>
        <v/>
      </c>
      <c r="AJ1588" s="17" t="str">
        <f t="shared" si="3"/>
        <v/>
      </c>
    </row>
    <row r="1589" spans="31:36">
      <c r="AE1589" s="15" t="str">
        <f t="shared" si="0"/>
        <v/>
      </c>
      <c r="AF1589" s="15" t="str">
        <f t="shared" si="1"/>
        <v/>
      </c>
      <c r="AG1589" s="15" t="str">
        <f>IF(OR(AF1589="",AF1589="ERRO_CHAVE"),"",IFERROR(MATCH(AF1589,'Quitados DUPP'!$U$1:$U$6635,0),""))</f>
        <v/>
      </c>
      <c r="AH1589" s="15" t="str">
        <f t="shared" si="2"/>
        <v/>
      </c>
      <c r="AI1589" s="17" t="str">
        <f>IF(AG1589="","",INDEX('Quitados DUPP'!$G$1:$G$6635,AG1589))</f>
        <v/>
      </c>
      <c r="AJ1589" s="17" t="str">
        <f t="shared" si="3"/>
        <v/>
      </c>
    </row>
    <row r="1590" spans="31:36">
      <c r="AE1590" s="15" t="str">
        <f t="shared" si="0"/>
        <v/>
      </c>
      <c r="AF1590" s="15" t="str">
        <f t="shared" si="1"/>
        <v/>
      </c>
      <c r="AG1590" s="15" t="str">
        <f>IF(OR(AF1590="",AF1590="ERRO_CHAVE"),"",IFERROR(MATCH(AF1590,'Quitados DUPP'!$U$1:$U$6635,0),""))</f>
        <v/>
      </c>
      <c r="AH1590" s="15" t="str">
        <f t="shared" si="2"/>
        <v/>
      </c>
      <c r="AI1590" s="17" t="str">
        <f>IF(AG1590="","",INDEX('Quitados DUPP'!$G$1:$G$6635,AG1590))</f>
        <v/>
      </c>
      <c r="AJ1590" s="17" t="str">
        <f t="shared" si="3"/>
        <v/>
      </c>
    </row>
    <row r="1591" spans="31:36">
      <c r="AE1591" s="15" t="str">
        <f t="shared" si="0"/>
        <v/>
      </c>
      <c r="AF1591" s="15" t="str">
        <f t="shared" si="1"/>
        <v/>
      </c>
      <c r="AG1591" s="15" t="str">
        <f>IF(OR(AF1591="",AF1591="ERRO_CHAVE"),"",IFERROR(MATCH(AF1591,'Quitados DUPP'!$U$1:$U$6635,0),""))</f>
        <v/>
      </c>
      <c r="AH1591" s="15" t="str">
        <f t="shared" si="2"/>
        <v/>
      </c>
      <c r="AI1591" s="17" t="str">
        <f>IF(AG1591="","",INDEX('Quitados DUPP'!$G$1:$G$6635,AG1591))</f>
        <v/>
      </c>
      <c r="AJ1591" s="17" t="str">
        <f t="shared" si="3"/>
        <v/>
      </c>
    </row>
    <row r="1592" spans="31:36">
      <c r="AE1592" s="15" t="str">
        <f t="shared" si="0"/>
        <v/>
      </c>
      <c r="AF1592" s="15" t="str">
        <f t="shared" si="1"/>
        <v/>
      </c>
      <c r="AG1592" s="15" t="str">
        <f>IF(OR(AF1592="",AF1592="ERRO_CHAVE"),"",IFERROR(MATCH(AF1592,'Quitados DUPP'!$U$1:$U$6635,0),""))</f>
        <v/>
      </c>
      <c r="AH1592" s="15" t="str">
        <f t="shared" si="2"/>
        <v/>
      </c>
      <c r="AI1592" s="17" t="str">
        <f>IF(AG1592="","",INDEX('Quitados DUPP'!$G$1:$G$6635,AG1592))</f>
        <v/>
      </c>
      <c r="AJ1592" s="17" t="str">
        <f t="shared" si="3"/>
        <v/>
      </c>
    </row>
    <row r="1593" spans="31:36">
      <c r="AE1593" s="15" t="str">
        <f t="shared" si="0"/>
        <v/>
      </c>
      <c r="AF1593" s="15" t="str">
        <f t="shared" si="1"/>
        <v/>
      </c>
      <c r="AG1593" s="15" t="str">
        <f>IF(OR(AF1593="",AF1593="ERRO_CHAVE"),"",IFERROR(MATCH(AF1593,'Quitados DUPP'!$U$1:$U$6635,0),""))</f>
        <v/>
      </c>
      <c r="AH1593" s="15" t="str">
        <f t="shared" si="2"/>
        <v/>
      </c>
      <c r="AI1593" s="17" t="str">
        <f>IF(AG1593="","",INDEX('Quitados DUPP'!$G$1:$G$6635,AG1593))</f>
        <v/>
      </c>
      <c r="AJ1593" s="17" t="str">
        <f t="shared" si="3"/>
        <v/>
      </c>
    </row>
    <row r="1594" spans="31:36">
      <c r="AE1594" s="15" t="str">
        <f t="shared" si="0"/>
        <v/>
      </c>
      <c r="AF1594" s="15" t="str">
        <f t="shared" si="1"/>
        <v/>
      </c>
      <c r="AG1594" s="15" t="str">
        <f>IF(OR(AF1594="",AF1594="ERRO_CHAVE"),"",IFERROR(MATCH(AF1594,'Quitados DUPP'!$U$1:$U$6635,0),""))</f>
        <v/>
      </c>
      <c r="AH1594" s="15" t="str">
        <f t="shared" si="2"/>
        <v/>
      </c>
      <c r="AI1594" s="17" t="str">
        <f>IF(AG1594="","",INDEX('Quitados DUPP'!$G$1:$G$6635,AG1594))</f>
        <v/>
      </c>
      <c r="AJ1594" s="17" t="str">
        <f t="shared" si="3"/>
        <v/>
      </c>
    </row>
    <row r="1595" spans="31:36">
      <c r="AE1595" s="15" t="str">
        <f t="shared" si="0"/>
        <v/>
      </c>
      <c r="AF1595" s="15" t="str">
        <f t="shared" si="1"/>
        <v/>
      </c>
      <c r="AG1595" s="15" t="str">
        <f>IF(OR(AF1595="",AF1595="ERRO_CHAVE"),"",IFERROR(MATCH(AF1595,'Quitados DUPP'!$U$1:$U$6635,0),""))</f>
        <v/>
      </c>
      <c r="AH1595" s="15" t="str">
        <f t="shared" si="2"/>
        <v/>
      </c>
      <c r="AI1595" s="17" t="str">
        <f>IF(AG1595="","",INDEX('Quitados DUPP'!$G$1:$G$6635,AG1595))</f>
        <v/>
      </c>
      <c r="AJ1595" s="17" t="str">
        <f t="shared" si="3"/>
        <v/>
      </c>
    </row>
    <row r="1596" spans="31:36">
      <c r="AE1596" s="15" t="str">
        <f t="shared" si="0"/>
        <v/>
      </c>
      <c r="AF1596" s="15" t="str">
        <f t="shared" si="1"/>
        <v/>
      </c>
      <c r="AG1596" s="15" t="str">
        <f>IF(OR(AF1596="",AF1596="ERRO_CHAVE"),"",IFERROR(MATCH(AF1596,'Quitados DUPP'!$U$1:$U$6635,0),""))</f>
        <v/>
      </c>
      <c r="AH1596" s="15" t="str">
        <f t="shared" si="2"/>
        <v/>
      </c>
      <c r="AI1596" s="17" t="str">
        <f>IF(AG1596="","",INDEX('Quitados DUPP'!$G$1:$G$6635,AG1596))</f>
        <v/>
      </c>
      <c r="AJ1596" s="17" t="str">
        <f t="shared" si="3"/>
        <v/>
      </c>
    </row>
    <row r="1597" spans="31:36">
      <c r="AE1597" s="15" t="str">
        <f t="shared" si="0"/>
        <v/>
      </c>
      <c r="AF1597" s="15" t="str">
        <f t="shared" si="1"/>
        <v/>
      </c>
      <c r="AG1597" s="15" t="str">
        <f>IF(OR(AF1597="",AF1597="ERRO_CHAVE"),"",IFERROR(MATCH(AF1597,'Quitados DUPP'!$U$1:$U$6635,0),""))</f>
        <v/>
      </c>
      <c r="AH1597" s="15" t="str">
        <f t="shared" si="2"/>
        <v/>
      </c>
      <c r="AI1597" s="17" t="str">
        <f>IF(AG1597="","",INDEX('Quitados DUPP'!$G$1:$G$6635,AG1597))</f>
        <v/>
      </c>
      <c r="AJ1597" s="17" t="str">
        <f t="shared" si="3"/>
        <v/>
      </c>
    </row>
    <row r="1598" spans="31:36">
      <c r="AE1598" s="15" t="str">
        <f t="shared" si="0"/>
        <v/>
      </c>
      <c r="AF1598" s="15" t="str">
        <f t="shared" si="1"/>
        <v/>
      </c>
      <c r="AG1598" s="15" t="str">
        <f>IF(OR(AF1598="",AF1598="ERRO_CHAVE"),"",IFERROR(MATCH(AF1598,'Quitados DUPP'!$U$1:$U$6635,0),""))</f>
        <v/>
      </c>
      <c r="AH1598" s="15" t="str">
        <f t="shared" si="2"/>
        <v/>
      </c>
      <c r="AI1598" s="17" t="str">
        <f>IF(AG1598="","",INDEX('Quitados DUPP'!$G$1:$G$6635,AG1598))</f>
        <v/>
      </c>
      <c r="AJ1598" s="17" t="str">
        <f t="shared" si="3"/>
        <v/>
      </c>
    </row>
    <row r="1599" spans="31:36">
      <c r="AE1599" s="15" t="str">
        <f t="shared" si="0"/>
        <v/>
      </c>
      <c r="AF1599" s="15" t="str">
        <f t="shared" si="1"/>
        <v/>
      </c>
      <c r="AG1599" s="15" t="str">
        <f>IF(OR(AF1599="",AF1599="ERRO_CHAVE"),"",IFERROR(MATCH(AF1599,'Quitados DUPP'!$U$1:$U$6635,0),""))</f>
        <v/>
      </c>
      <c r="AH1599" s="15" t="str">
        <f t="shared" si="2"/>
        <v/>
      </c>
      <c r="AI1599" s="17" t="str">
        <f>IF(AG1599="","",INDEX('Quitados DUPP'!$G$1:$G$6635,AG1599))</f>
        <v/>
      </c>
      <c r="AJ1599" s="17" t="str">
        <f t="shared" si="3"/>
        <v/>
      </c>
    </row>
    <row r="1600" spans="31:36">
      <c r="AE1600" s="15" t="str">
        <f t="shared" si="0"/>
        <v/>
      </c>
      <c r="AF1600" s="15" t="str">
        <f t="shared" si="1"/>
        <v/>
      </c>
      <c r="AG1600" s="15" t="str">
        <f>IF(OR(AF1600="",AF1600="ERRO_CHAVE"),"",IFERROR(MATCH(AF1600,'Quitados DUPP'!$U$1:$U$6635,0),""))</f>
        <v/>
      </c>
      <c r="AH1600" s="15" t="str">
        <f t="shared" si="2"/>
        <v/>
      </c>
      <c r="AI1600" s="17" t="str">
        <f>IF(AG1600="","",INDEX('Quitados DUPP'!$G$1:$G$6635,AG1600))</f>
        <v/>
      </c>
      <c r="AJ1600" s="17" t="str">
        <f t="shared" si="3"/>
        <v/>
      </c>
    </row>
    <row r="1601" spans="31:36">
      <c r="AE1601" s="15" t="str">
        <f t="shared" si="0"/>
        <v/>
      </c>
      <c r="AF1601" s="15" t="str">
        <f t="shared" si="1"/>
        <v/>
      </c>
      <c r="AG1601" s="15" t="str">
        <f>IF(OR(AF1601="",AF1601="ERRO_CHAVE"),"",IFERROR(MATCH(AF1601,'Quitados DUPP'!$U$1:$U$6635,0),""))</f>
        <v/>
      </c>
      <c r="AH1601" s="15" t="str">
        <f t="shared" si="2"/>
        <v/>
      </c>
      <c r="AI1601" s="17" t="str">
        <f>IF(AG1601="","",INDEX('Quitados DUPP'!$G$1:$G$6635,AG1601))</f>
        <v/>
      </c>
      <c r="AJ1601" s="17" t="str">
        <f t="shared" si="3"/>
        <v/>
      </c>
    </row>
    <row r="1602" spans="31:36">
      <c r="AE1602" s="15" t="str">
        <f t="shared" si="0"/>
        <v/>
      </c>
      <c r="AF1602" s="15" t="str">
        <f t="shared" si="1"/>
        <v/>
      </c>
      <c r="AG1602" s="15" t="str">
        <f>IF(OR(AF1602="",AF1602="ERRO_CHAVE"),"",IFERROR(MATCH(AF1602,'Quitados DUPP'!$U$1:$U$6635,0),""))</f>
        <v/>
      </c>
      <c r="AH1602" s="15" t="str">
        <f t="shared" si="2"/>
        <v/>
      </c>
      <c r="AI1602" s="17" t="str">
        <f>IF(AG1602="","",INDEX('Quitados DUPP'!$G$1:$G$6635,AG1602))</f>
        <v/>
      </c>
      <c r="AJ1602" s="17" t="str">
        <f t="shared" si="3"/>
        <v/>
      </c>
    </row>
    <row r="1603" spans="31:36">
      <c r="AE1603" s="15" t="str">
        <f t="shared" si="0"/>
        <v/>
      </c>
      <c r="AF1603" s="15" t="str">
        <f t="shared" si="1"/>
        <v/>
      </c>
      <c r="AG1603" s="15" t="str">
        <f>IF(OR(AF1603="",AF1603="ERRO_CHAVE"),"",IFERROR(MATCH(AF1603,'Quitados DUPP'!$U$1:$U$6635,0),""))</f>
        <v/>
      </c>
      <c r="AH1603" s="15" t="str">
        <f t="shared" si="2"/>
        <v/>
      </c>
      <c r="AI1603" s="17" t="str">
        <f>IF(AG1603="","",INDEX('Quitados DUPP'!$G$1:$G$6635,AG1603))</f>
        <v/>
      </c>
      <c r="AJ1603" s="17" t="str">
        <f t="shared" si="3"/>
        <v/>
      </c>
    </row>
    <row r="1604" spans="31:36">
      <c r="AE1604" s="15" t="str">
        <f t="shared" si="0"/>
        <v/>
      </c>
      <c r="AF1604" s="15" t="str">
        <f t="shared" si="1"/>
        <v/>
      </c>
      <c r="AG1604" s="15" t="str">
        <f>IF(OR(AF1604="",AF1604="ERRO_CHAVE"),"",IFERROR(MATCH(AF1604,'Quitados DUPP'!$U$1:$U$6635,0),""))</f>
        <v/>
      </c>
      <c r="AH1604" s="15" t="str">
        <f t="shared" si="2"/>
        <v/>
      </c>
      <c r="AI1604" s="17" t="str">
        <f>IF(AG1604="","",INDEX('Quitados DUPP'!$G$1:$G$6635,AG1604))</f>
        <v/>
      </c>
      <c r="AJ1604" s="17" t="str">
        <f t="shared" si="3"/>
        <v/>
      </c>
    </row>
    <row r="1605" spans="31:36">
      <c r="AE1605" s="15" t="str">
        <f t="shared" si="0"/>
        <v/>
      </c>
      <c r="AF1605" s="15" t="str">
        <f t="shared" si="1"/>
        <v/>
      </c>
      <c r="AG1605" s="15" t="str">
        <f>IF(OR(AF1605="",AF1605="ERRO_CHAVE"),"",IFERROR(MATCH(AF1605,'Quitados DUPP'!$U$1:$U$6635,0),""))</f>
        <v/>
      </c>
      <c r="AH1605" s="15" t="str">
        <f t="shared" si="2"/>
        <v/>
      </c>
      <c r="AI1605" s="17" t="str">
        <f>IF(AG1605="","",INDEX('Quitados DUPP'!$G$1:$G$6635,AG1605))</f>
        <v/>
      </c>
      <c r="AJ1605" s="17" t="str">
        <f t="shared" si="3"/>
        <v/>
      </c>
    </row>
    <row r="1606" spans="31:36">
      <c r="AE1606" s="15" t="str">
        <f t="shared" si="0"/>
        <v/>
      </c>
      <c r="AF1606" s="15" t="str">
        <f t="shared" si="1"/>
        <v/>
      </c>
      <c r="AG1606" s="15" t="str">
        <f>IF(OR(AF1606="",AF1606="ERRO_CHAVE"),"",IFERROR(MATCH(AF1606,'Quitados DUPP'!$U$1:$U$6635,0),""))</f>
        <v/>
      </c>
      <c r="AH1606" s="15" t="str">
        <f t="shared" si="2"/>
        <v/>
      </c>
      <c r="AI1606" s="17" t="str">
        <f>IF(AG1606="","",INDEX('Quitados DUPP'!$G$1:$G$6635,AG1606))</f>
        <v/>
      </c>
      <c r="AJ1606" s="17" t="str">
        <f t="shared" si="3"/>
        <v/>
      </c>
    </row>
    <row r="1607" spans="31:36">
      <c r="AE1607" s="15" t="str">
        <f t="shared" si="0"/>
        <v/>
      </c>
      <c r="AF1607" s="15" t="str">
        <f t="shared" si="1"/>
        <v/>
      </c>
      <c r="AG1607" s="15" t="str">
        <f>IF(OR(AF1607="",AF1607="ERRO_CHAVE"),"",IFERROR(MATCH(AF1607,'Quitados DUPP'!$U$1:$U$6635,0),""))</f>
        <v/>
      </c>
      <c r="AH1607" s="15" t="str">
        <f t="shared" si="2"/>
        <v/>
      </c>
      <c r="AI1607" s="17" t="str">
        <f>IF(AG1607="","",INDEX('Quitados DUPP'!$G$1:$G$6635,AG1607))</f>
        <v/>
      </c>
      <c r="AJ1607" s="17" t="str">
        <f t="shared" si="3"/>
        <v/>
      </c>
    </row>
    <row r="1608" spans="31:36">
      <c r="AE1608" s="15" t="str">
        <f t="shared" si="0"/>
        <v/>
      </c>
      <c r="AF1608" s="15" t="str">
        <f t="shared" si="1"/>
        <v/>
      </c>
      <c r="AG1608" s="15" t="str">
        <f>IF(OR(AF1608="",AF1608="ERRO_CHAVE"),"",IFERROR(MATCH(AF1608,'Quitados DUPP'!$U$1:$U$6635,0),""))</f>
        <v/>
      </c>
      <c r="AH1608" s="15" t="str">
        <f t="shared" si="2"/>
        <v/>
      </c>
      <c r="AI1608" s="17" t="str">
        <f>IF(AG1608="","",INDEX('Quitados DUPP'!$G$1:$G$6635,AG1608))</f>
        <v/>
      </c>
      <c r="AJ1608" s="17" t="str">
        <f t="shared" si="3"/>
        <v/>
      </c>
    </row>
    <row r="1609" spans="31:36">
      <c r="AE1609" s="15" t="str">
        <f t="shared" si="0"/>
        <v/>
      </c>
      <c r="AF1609" s="15" t="str">
        <f t="shared" si="1"/>
        <v/>
      </c>
      <c r="AG1609" s="15" t="str">
        <f>IF(OR(AF1609="",AF1609="ERRO_CHAVE"),"",IFERROR(MATCH(AF1609,'Quitados DUPP'!$U$1:$U$6635,0),""))</f>
        <v/>
      </c>
      <c r="AH1609" s="15" t="str">
        <f t="shared" si="2"/>
        <v/>
      </c>
      <c r="AI1609" s="17" t="str">
        <f>IF(AG1609="","",INDEX('Quitados DUPP'!$G$1:$G$6635,AG1609))</f>
        <v/>
      </c>
      <c r="AJ1609" s="17" t="str">
        <f t="shared" si="3"/>
        <v/>
      </c>
    </row>
    <row r="1610" spans="31:36">
      <c r="AE1610" s="15" t="str">
        <f t="shared" si="0"/>
        <v/>
      </c>
      <c r="AF1610" s="15" t="str">
        <f t="shared" si="1"/>
        <v/>
      </c>
      <c r="AG1610" s="15" t="str">
        <f>IF(OR(AF1610="",AF1610="ERRO_CHAVE"),"",IFERROR(MATCH(AF1610,'Quitados DUPP'!$U$1:$U$6635,0),""))</f>
        <v/>
      </c>
      <c r="AH1610" s="15" t="str">
        <f t="shared" si="2"/>
        <v/>
      </c>
      <c r="AI1610" s="17" t="str">
        <f>IF(AG1610="","",INDEX('Quitados DUPP'!$G$1:$G$6635,AG1610))</f>
        <v/>
      </c>
      <c r="AJ1610" s="17" t="str">
        <f t="shared" si="3"/>
        <v/>
      </c>
    </row>
    <row r="1611" spans="31:36">
      <c r="AE1611" s="15" t="str">
        <f t="shared" si="0"/>
        <v/>
      </c>
      <c r="AF1611" s="15" t="str">
        <f t="shared" si="1"/>
        <v/>
      </c>
      <c r="AG1611" s="15" t="str">
        <f>IF(OR(AF1611="",AF1611="ERRO_CHAVE"),"",IFERROR(MATCH(AF1611,'Quitados DUPP'!$U$1:$U$6635,0),""))</f>
        <v/>
      </c>
      <c r="AH1611" s="15" t="str">
        <f t="shared" si="2"/>
        <v/>
      </c>
      <c r="AI1611" s="17" t="str">
        <f>IF(AG1611="","",INDEX('Quitados DUPP'!$G$1:$G$6635,AG1611))</f>
        <v/>
      </c>
      <c r="AJ1611" s="17" t="str">
        <f t="shared" si="3"/>
        <v/>
      </c>
    </row>
    <row r="1612" spans="31:36">
      <c r="AE1612" s="15" t="str">
        <f t="shared" si="0"/>
        <v/>
      </c>
      <c r="AF1612" s="15" t="str">
        <f t="shared" si="1"/>
        <v/>
      </c>
      <c r="AG1612" s="15" t="str">
        <f>IF(OR(AF1612="",AF1612="ERRO_CHAVE"),"",IFERROR(MATCH(AF1612,'Quitados DUPP'!$U$1:$U$6635,0),""))</f>
        <v/>
      </c>
      <c r="AH1612" s="15" t="str">
        <f t="shared" si="2"/>
        <v/>
      </c>
      <c r="AI1612" s="17" t="str">
        <f>IF(AG1612="","",INDEX('Quitados DUPP'!$G$1:$G$6635,AG1612))</f>
        <v/>
      </c>
      <c r="AJ1612" s="17" t="str">
        <f t="shared" si="3"/>
        <v/>
      </c>
    </row>
    <row r="1613" spans="31:36">
      <c r="AE1613" s="15" t="str">
        <f t="shared" si="0"/>
        <v/>
      </c>
      <c r="AF1613" s="15" t="str">
        <f t="shared" si="1"/>
        <v/>
      </c>
      <c r="AG1613" s="15" t="str">
        <f>IF(OR(AF1613="",AF1613="ERRO_CHAVE"),"",IFERROR(MATCH(AF1613,'Quitados DUPP'!$U$1:$U$6635,0),""))</f>
        <v/>
      </c>
      <c r="AH1613" s="15" t="str">
        <f t="shared" si="2"/>
        <v/>
      </c>
      <c r="AI1613" s="17" t="str">
        <f>IF(AG1613="","",INDEX('Quitados DUPP'!$G$1:$G$6635,AG1613))</f>
        <v/>
      </c>
      <c r="AJ1613" s="17" t="str">
        <f t="shared" si="3"/>
        <v/>
      </c>
    </row>
    <row r="1614" spans="31:36">
      <c r="AE1614" s="15" t="str">
        <f t="shared" si="0"/>
        <v/>
      </c>
      <c r="AF1614" s="15" t="str">
        <f t="shared" si="1"/>
        <v/>
      </c>
      <c r="AG1614" s="15" t="str">
        <f>IF(OR(AF1614="",AF1614="ERRO_CHAVE"),"",IFERROR(MATCH(AF1614,'Quitados DUPP'!$U$1:$U$6635,0),""))</f>
        <v/>
      </c>
      <c r="AH1614" s="15" t="str">
        <f t="shared" si="2"/>
        <v/>
      </c>
      <c r="AI1614" s="17" t="str">
        <f>IF(AG1614="","",INDEX('Quitados DUPP'!$G$1:$G$6635,AG1614))</f>
        <v/>
      </c>
      <c r="AJ1614" s="17" t="str">
        <f t="shared" si="3"/>
        <v/>
      </c>
    </row>
    <row r="1615" spans="31:36">
      <c r="AE1615" s="15" t="str">
        <f t="shared" si="0"/>
        <v/>
      </c>
      <c r="AF1615" s="15" t="str">
        <f t="shared" si="1"/>
        <v/>
      </c>
      <c r="AG1615" s="15" t="str">
        <f>IF(OR(AF1615="",AF1615="ERRO_CHAVE"),"",IFERROR(MATCH(AF1615,'Quitados DUPP'!$U$1:$U$6635,0),""))</f>
        <v/>
      </c>
      <c r="AH1615" s="15" t="str">
        <f t="shared" si="2"/>
        <v/>
      </c>
      <c r="AI1615" s="17" t="str">
        <f>IF(AG1615="","",INDEX('Quitados DUPP'!$G$1:$G$6635,AG1615))</f>
        <v/>
      </c>
      <c r="AJ1615" s="17" t="str">
        <f t="shared" si="3"/>
        <v/>
      </c>
    </row>
    <row r="1616" spans="31:36">
      <c r="AE1616" s="15" t="str">
        <f t="shared" si="0"/>
        <v/>
      </c>
      <c r="AF1616" s="15" t="str">
        <f t="shared" si="1"/>
        <v/>
      </c>
      <c r="AG1616" s="15" t="str">
        <f>IF(OR(AF1616="",AF1616="ERRO_CHAVE"),"",IFERROR(MATCH(AF1616,'Quitados DUPP'!$U$1:$U$6635,0),""))</f>
        <v/>
      </c>
      <c r="AH1616" s="15" t="str">
        <f t="shared" si="2"/>
        <v/>
      </c>
      <c r="AI1616" s="17" t="str">
        <f>IF(AG1616="","",INDEX('Quitados DUPP'!$G$1:$G$6635,AG1616))</f>
        <v/>
      </c>
      <c r="AJ1616" s="17" t="str">
        <f t="shared" si="3"/>
        <v/>
      </c>
    </row>
    <row r="1617" spans="31:36">
      <c r="AE1617" s="15" t="str">
        <f t="shared" si="0"/>
        <v/>
      </c>
      <c r="AF1617" s="15" t="str">
        <f t="shared" si="1"/>
        <v/>
      </c>
      <c r="AG1617" s="15" t="str">
        <f>IF(OR(AF1617="",AF1617="ERRO_CHAVE"),"",IFERROR(MATCH(AF1617,'Quitados DUPP'!$U$1:$U$6635,0),""))</f>
        <v/>
      </c>
      <c r="AH1617" s="15" t="str">
        <f t="shared" si="2"/>
        <v/>
      </c>
      <c r="AI1617" s="17" t="str">
        <f>IF(AG1617="","",INDEX('Quitados DUPP'!$G$1:$G$6635,AG1617))</f>
        <v/>
      </c>
      <c r="AJ1617" s="17" t="str">
        <f t="shared" si="3"/>
        <v/>
      </c>
    </row>
    <row r="1618" spans="31:36">
      <c r="AE1618" s="15" t="str">
        <f t="shared" si="0"/>
        <v/>
      </c>
      <c r="AF1618" s="15" t="str">
        <f t="shared" si="1"/>
        <v/>
      </c>
      <c r="AG1618" s="15" t="str">
        <f>IF(OR(AF1618="",AF1618="ERRO_CHAVE"),"",IFERROR(MATCH(AF1618,'Quitados DUPP'!$U$1:$U$6635,0),""))</f>
        <v/>
      </c>
      <c r="AH1618" s="15" t="str">
        <f t="shared" si="2"/>
        <v/>
      </c>
      <c r="AI1618" s="17" t="str">
        <f>IF(AG1618="","",INDEX('Quitados DUPP'!$G$1:$G$6635,AG1618))</f>
        <v/>
      </c>
      <c r="AJ1618" s="17" t="str">
        <f t="shared" si="3"/>
        <v/>
      </c>
    </row>
    <row r="1619" spans="31:36">
      <c r="AE1619" s="15" t="str">
        <f t="shared" si="0"/>
        <v/>
      </c>
      <c r="AF1619" s="15" t="str">
        <f t="shared" si="1"/>
        <v/>
      </c>
      <c r="AG1619" s="15" t="str">
        <f>IF(OR(AF1619="",AF1619="ERRO_CHAVE"),"",IFERROR(MATCH(AF1619,'Quitados DUPP'!$U$1:$U$6635,0),""))</f>
        <v/>
      </c>
      <c r="AH1619" s="15" t="str">
        <f t="shared" si="2"/>
        <v/>
      </c>
      <c r="AI1619" s="17" t="str">
        <f>IF(AG1619="","",INDEX('Quitados DUPP'!$G$1:$G$6635,AG1619))</f>
        <v/>
      </c>
      <c r="AJ1619" s="17" t="str">
        <f t="shared" si="3"/>
        <v/>
      </c>
    </row>
    <row r="1620" spans="31:36">
      <c r="AE1620" s="15" t="str">
        <f t="shared" si="0"/>
        <v/>
      </c>
      <c r="AF1620" s="15" t="str">
        <f t="shared" si="1"/>
        <v/>
      </c>
      <c r="AG1620" s="15" t="str">
        <f>IF(OR(AF1620="",AF1620="ERRO_CHAVE"),"",IFERROR(MATCH(AF1620,'Quitados DUPP'!$U$1:$U$6635,0),""))</f>
        <v/>
      </c>
      <c r="AH1620" s="15" t="str">
        <f t="shared" si="2"/>
        <v/>
      </c>
      <c r="AI1620" s="17" t="str">
        <f>IF(AG1620="","",INDEX('Quitados DUPP'!$G$1:$G$6635,AG1620))</f>
        <v/>
      </c>
      <c r="AJ1620" s="17" t="str">
        <f t="shared" si="3"/>
        <v/>
      </c>
    </row>
    <row r="1621" spans="31:36">
      <c r="AE1621" s="15" t="str">
        <f t="shared" si="0"/>
        <v/>
      </c>
      <c r="AF1621" s="15" t="str">
        <f t="shared" si="1"/>
        <v/>
      </c>
      <c r="AG1621" s="15" t="str">
        <f>IF(OR(AF1621="",AF1621="ERRO_CHAVE"),"",IFERROR(MATCH(AF1621,'Quitados DUPP'!$U$1:$U$6635,0),""))</f>
        <v/>
      </c>
      <c r="AH1621" s="15" t="str">
        <f t="shared" si="2"/>
        <v/>
      </c>
      <c r="AI1621" s="17" t="str">
        <f>IF(AG1621="","",INDEX('Quitados DUPP'!$G$1:$G$6635,AG1621))</f>
        <v/>
      </c>
      <c r="AJ1621" s="17" t="str">
        <f t="shared" si="3"/>
        <v/>
      </c>
    </row>
    <row r="1622" spans="31:36">
      <c r="AE1622" s="15" t="str">
        <f t="shared" si="0"/>
        <v/>
      </c>
      <c r="AF1622" s="15" t="str">
        <f t="shared" si="1"/>
        <v/>
      </c>
      <c r="AG1622" s="15" t="str">
        <f>IF(OR(AF1622="",AF1622="ERRO_CHAVE"),"",IFERROR(MATCH(AF1622,'Quitados DUPP'!$U$1:$U$6635,0),""))</f>
        <v/>
      </c>
      <c r="AH1622" s="15" t="str">
        <f t="shared" si="2"/>
        <v/>
      </c>
      <c r="AI1622" s="17" t="str">
        <f>IF(AG1622="","",INDEX('Quitados DUPP'!$G$1:$G$6635,AG1622))</f>
        <v/>
      </c>
      <c r="AJ1622" s="17" t="str">
        <f t="shared" si="3"/>
        <v/>
      </c>
    </row>
    <row r="1623" spans="31:36">
      <c r="AE1623" s="15" t="str">
        <f t="shared" si="0"/>
        <v/>
      </c>
      <c r="AF1623" s="15" t="str">
        <f t="shared" si="1"/>
        <v/>
      </c>
      <c r="AG1623" s="15" t="str">
        <f>IF(OR(AF1623="",AF1623="ERRO_CHAVE"),"",IFERROR(MATCH(AF1623,'Quitados DUPP'!$U$1:$U$6635,0),""))</f>
        <v/>
      </c>
      <c r="AH1623" s="15" t="str">
        <f t="shared" si="2"/>
        <v/>
      </c>
      <c r="AI1623" s="17" t="str">
        <f>IF(AG1623="","",INDEX('Quitados DUPP'!$G$1:$G$6635,AG1623))</f>
        <v/>
      </c>
      <c r="AJ1623" s="17" t="str">
        <f t="shared" si="3"/>
        <v/>
      </c>
    </row>
    <row r="1624" spans="31:36">
      <c r="AE1624" s="15" t="str">
        <f t="shared" si="0"/>
        <v/>
      </c>
      <c r="AF1624" s="15" t="str">
        <f t="shared" si="1"/>
        <v/>
      </c>
      <c r="AG1624" s="15" t="str">
        <f>IF(OR(AF1624="",AF1624="ERRO_CHAVE"),"",IFERROR(MATCH(AF1624,'Quitados DUPP'!$U$1:$U$6635,0),""))</f>
        <v/>
      </c>
      <c r="AH1624" s="15" t="str">
        <f t="shared" si="2"/>
        <v/>
      </c>
      <c r="AI1624" s="17" t="str">
        <f>IF(AG1624="","",INDEX('Quitados DUPP'!$G$1:$G$6635,AG1624))</f>
        <v/>
      </c>
      <c r="AJ1624" s="17" t="str">
        <f t="shared" si="3"/>
        <v/>
      </c>
    </row>
    <row r="1625" spans="31:36">
      <c r="AE1625" s="15" t="str">
        <f t="shared" si="0"/>
        <v/>
      </c>
      <c r="AF1625" s="15" t="str">
        <f t="shared" si="1"/>
        <v/>
      </c>
      <c r="AG1625" s="15" t="str">
        <f>IF(OR(AF1625="",AF1625="ERRO_CHAVE"),"",IFERROR(MATCH(AF1625,'Quitados DUPP'!$U$1:$U$6635,0),""))</f>
        <v/>
      </c>
      <c r="AH1625" s="15" t="str">
        <f t="shared" si="2"/>
        <v/>
      </c>
      <c r="AI1625" s="17" t="str">
        <f>IF(AG1625="","",INDEX('Quitados DUPP'!$G$1:$G$6635,AG1625))</f>
        <v/>
      </c>
      <c r="AJ1625" s="17" t="str">
        <f t="shared" si="3"/>
        <v/>
      </c>
    </row>
    <row r="1626" spans="31:36">
      <c r="AE1626" s="15" t="str">
        <f t="shared" si="0"/>
        <v/>
      </c>
      <c r="AF1626" s="15" t="str">
        <f t="shared" si="1"/>
        <v/>
      </c>
      <c r="AG1626" s="15" t="str">
        <f>IF(OR(AF1626="",AF1626="ERRO_CHAVE"),"",IFERROR(MATCH(AF1626,'Quitados DUPP'!$U$1:$U$6635,0),""))</f>
        <v/>
      </c>
      <c r="AH1626" s="15" t="str">
        <f t="shared" si="2"/>
        <v/>
      </c>
      <c r="AI1626" s="17" t="str">
        <f>IF(AG1626="","",INDEX('Quitados DUPP'!$G$1:$G$6635,AG1626))</f>
        <v/>
      </c>
      <c r="AJ1626" s="17" t="str">
        <f t="shared" si="3"/>
        <v/>
      </c>
    </row>
    <row r="1627" spans="31:36">
      <c r="AE1627" s="15" t="str">
        <f t="shared" si="0"/>
        <v/>
      </c>
      <c r="AF1627" s="15" t="str">
        <f t="shared" si="1"/>
        <v/>
      </c>
      <c r="AG1627" s="15" t="str">
        <f>IF(OR(AF1627="",AF1627="ERRO_CHAVE"),"",IFERROR(MATCH(AF1627,'Quitados DUPP'!$U$1:$U$6635,0),""))</f>
        <v/>
      </c>
      <c r="AH1627" s="15" t="str">
        <f t="shared" si="2"/>
        <v/>
      </c>
      <c r="AI1627" s="17" t="str">
        <f>IF(AG1627="","",INDEX('Quitados DUPP'!$G$1:$G$6635,AG1627))</f>
        <v/>
      </c>
      <c r="AJ1627" s="17" t="str">
        <f t="shared" si="3"/>
        <v/>
      </c>
    </row>
    <row r="1628" spans="31:36">
      <c r="AE1628" s="15" t="str">
        <f t="shared" si="0"/>
        <v/>
      </c>
      <c r="AF1628" s="15" t="str">
        <f t="shared" si="1"/>
        <v/>
      </c>
      <c r="AG1628" s="15" t="str">
        <f>IF(OR(AF1628="",AF1628="ERRO_CHAVE"),"",IFERROR(MATCH(AF1628,'Quitados DUPP'!$U$1:$U$6635,0),""))</f>
        <v/>
      </c>
      <c r="AH1628" s="15" t="str">
        <f t="shared" si="2"/>
        <v/>
      </c>
      <c r="AI1628" s="17" t="str">
        <f>IF(AG1628="","",INDEX('Quitados DUPP'!$G$1:$G$6635,AG1628))</f>
        <v/>
      </c>
      <c r="AJ1628" s="17" t="str">
        <f t="shared" si="3"/>
        <v/>
      </c>
    </row>
    <row r="1629" spans="31:36">
      <c r="AE1629" s="15" t="str">
        <f t="shared" si="0"/>
        <v/>
      </c>
      <c r="AF1629" s="15" t="str">
        <f t="shared" si="1"/>
        <v/>
      </c>
      <c r="AG1629" s="15" t="str">
        <f>IF(OR(AF1629="",AF1629="ERRO_CHAVE"),"",IFERROR(MATCH(AF1629,'Quitados DUPP'!$U$1:$U$6635,0),""))</f>
        <v/>
      </c>
      <c r="AH1629" s="15" t="str">
        <f t="shared" si="2"/>
        <v/>
      </c>
      <c r="AI1629" s="17" t="str">
        <f>IF(AG1629="","",INDEX('Quitados DUPP'!$G$1:$G$6635,AG1629))</f>
        <v/>
      </c>
      <c r="AJ1629" s="17" t="str">
        <f t="shared" si="3"/>
        <v/>
      </c>
    </row>
    <row r="1630" spans="31:36">
      <c r="AE1630" s="15" t="str">
        <f t="shared" si="0"/>
        <v/>
      </c>
      <c r="AF1630" s="15" t="str">
        <f t="shared" si="1"/>
        <v/>
      </c>
      <c r="AG1630" s="15" t="str">
        <f>IF(OR(AF1630="",AF1630="ERRO_CHAVE"),"",IFERROR(MATCH(AF1630,'Quitados DUPP'!$U$1:$U$6635,0),""))</f>
        <v/>
      </c>
      <c r="AH1630" s="15" t="str">
        <f t="shared" si="2"/>
        <v/>
      </c>
      <c r="AI1630" s="17" t="str">
        <f>IF(AG1630="","",INDEX('Quitados DUPP'!$G$1:$G$6635,AG1630))</f>
        <v/>
      </c>
      <c r="AJ1630" s="17" t="str">
        <f t="shared" si="3"/>
        <v/>
      </c>
    </row>
    <row r="1631" spans="31:36">
      <c r="AE1631" s="15" t="str">
        <f t="shared" si="0"/>
        <v/>
      </c>
      <c r="AF1631" s="15" t="str">
        <f t="shared" si="1"/>
        <v/>
      </c>
      <c r="AG1631" s="15" t="str">
        <f>IF(OR(AF1631="",AF1631="ERRO_CHAVE"),"",IFERROR(MATCH(AF1631,'Quitados DUPP'!$U$1:$U$6635,0),""))</f>
        <v/>
      </c>
      <c r="AH1631" s="15" t="str">
        <f t="shared" si="2"/>
        <v/>
      </c>
      <c r="AI1631" s="17" t="str">
        <f>IF(AG1631="","",INDEX('Quitados DUPP'!$G$1:$G$6635,AG1631))</f>
        <v/>
      </c>
      <c r="AJ1631" s="17" t="str">
        <f t="shared" si="3"/>
        <v/>
      </c>
    </row>
    <row r="1632" spans="31:36">
      <c r="AE1632" s="15" t="str">
        <f t="shared" si="0"/>
        <v/>
      </c>
      <c r="AF1632" s="15" t="str">
        <f t="shared" si="1"/>
        <v/>
      </c>
      <c r="AG1632" s="15" t="str">
        <f>IF(OR(AF1632="",AF1632="ERRO_CHAVE"),"",IFERROR(MATCH(AF1632,'Quitados DUPP'!$U$1:$U$6635,0),""))</f>
        <v/>
      </c>
      <c r="AH1632" s="15" t="str">
        <f t="shared" si="2"/>
        <v/>
      </c>
      <c r="AI1632" s="17" t="str">
        <f>IF(AG1632="","",INDEX('Quitados DUPP'!$G$1:$G$6635,AG1632))</f>
        <v/>
      </c>
      <c r="AJ1632" s="17" t="str">
        <f t="shared" si="3"/>
        <v/>
      </c>
    </row>
    <row r="1633" spans="31:36">
      <c r="AE1633" s="15" t="str">
        <f t="shared" si="0"/>
        <v/>
      </c>
      <c r="AF1633" s="15" t="str">
        <f t="shared" si="1"/>
        <v/>
      </c>
      <c r="AG1633" s="15" t="str">
        <f>IF(OR(AF1633="",AF1633="ERRO_CHAVE"),"",IFERROR(MATCH(AF1633,'Quitados DUPP'!$U$1:$U$6635,0),""))</f>
        <v/>
      </c>
      <c r="AH1633" s="15" t="str">
        <f t="shared" si="2"/>
        <v/>
      </c>
      <c r="AI1633" s="17" t="str">
        <f>IF(AG1633="","",INDEX('Quitados DUPP'!$G$1:$G$6635,AG1633))</f>
        <v/>
      </c>
      <c r="AJ1633" s="17" t="str">
        <f t="shared" si="3"/>
        <v/>
      </c>
    </row>
    <row r="1634" spans="31:36">
      <c r="AE1634" s="15" t="str">
        <f t="shared" si="0"/>
        <v/>
      </c>
      <c r="AF1634" s="15" t="str">
        <f t="shared" si="1"/>
        <v/>
      </c>
      <c r="AG1634" s="15" t="str">
        <f>IF(OR(AF1634="",AF1634="ERRO_CHAVE"),"",IFERROR(MATCH(AF1634,'Quitados DUPP'!$U$1:$U$6635,0),""))</f>
        <v/>
      </c>
      <c r="AH1634" s="15" t="str">
        <f t="shared" si="2"/>
        <v/>
      </c>
      <c r="AI1634" s="17" t="str">
        <f>IF(AG1634="","",INDEX('Quitados DUPP'!$G$1:$G$6635,AG1634))</f>
        <v/>
      </c>
      <c r="AJ1634" s="17" t="str">
        <f t="shared" si="3"/>
        <v/>
      </c>
    </row>
    <row r="1635" spans="31:36">
      <c r="AE1635" s="15" t="str">
        <f t="shared" si="0"/>
        <v/>
      </c>
      <c r="AF1635" s="15" t="str">
        <f t="shared" si="1"/>
        <v/>
      </c>
      <c r="AG1635" s="15" t="str">
        <f>IF(OR(AF1635="",AF1635="ERRO_CHAVE"),"",IFERROR(MATCH(AF1635,'Quitados DUPP'!$U$1:$U$6635,0),""))</f>
        <v/>
      </c>
      <c r="AH1635" s="15" t="str">
        <f t="shared" si="2"/>
        <v/>
      </c>
      <c r="AI1635" s="17" t="str">
        <f>IF(AG1635="","",INDEX('Quitados DUPP'!$G$1:$G$6635,AG1635))</f>
        <v/>
      </c>
      <c r="AJ1635" s="17" t="str">
        <f t="shared" si="3"/>
        <v/>
      </c>
    </row>
    <row r="1636" spans="31:36">
      <c r="AE1636" s="15" t="str">
        <f t="shared" si="0"/>
        <v/>
      </c>
      <c r="AF1636" s="15" t="str">
        <f t="shared" si="1"/>
        <v/>
      </c>
      <c r="AG1636" s="15" t="str">
        <f>IF(OR(AF1636="",AF1636="ERRO_CHAVE"),"",IFERROR(MATCH(AF1636,'Quitados DUPP'!$U$1:$U$6635,0),""))</f>
        <v/>
      </c>
      <c r="AH1636" s="15" t="str">
        <f t="shared" si="2"/>
        <v/>
      </c>
      <c r="AI1636" s="17" t="str">
        <f>IF(AG1636="","",INDEX('Quitados DUPP'!$G$1:$G$6635,AG1636))</f>
        <v/>
      </c>
      <c r="AJ1636" s="17" t="str">
        <f t="shared" si="3"/>
        <v/>
      </c>
    </row>
    <row r="1637" spans="31:36">
      <c r="AE1637" s="15" t="str">
        <f t="shared" si="0"/>
        <v/>
      </c>
      <c r="AF1637" s="15" t="str">
        <f t="shared" si="1"/>
        <v/>
      </c>
      <c r="AG1637" s="15" t="str">
        <f>IF(OR(AF1637="",AF1637="ERRO_CHAVE"),"",IFERROR(MATCH(AF1637,'Quitados DUPP'!$U$1:$U$6635,0),""))</f>
        <v/>
      </c>
      <c r="AH1637" s="15" t="str">
        <f t="shared" si="2"/>
        <v/>
      </c>
      <c r="AI1637" s="17" t="str">
        <f>IF(AG1637="","",INDEX('Quitados DUPP'!$G$1:$G$6635,AG1637))</f>
        <v/>
      </c>
      <c r="AJ1637" s="17" t="str">
        <f t="shared" si="3"/>
        <v/>
      </c>
    </row>
    <row r="1638" spans="31:36">
      <c r="AE1638" s="15" t="str">
        <f t="shared" si="0"/>
        <v/>
      </c>
      <c r="AF1638" s="15" t="str">
        <f t="shared" si="1"/>
        <v/>
      </c>
      <c r="AG1638" s="15" t="str">
        <f>IF(OR(AF1638="",AF1638="ERRO_CHAVE"),"",IFERROR(MATCH(AF1638,'Quitados DUPP'!$U$1:$U$6635,0),""))</f>
        <v/>
      </c>
      <c r="AH1638" s="15" t="str">
        <f t="shared" si="2"/>
        <v/>
      </c>
      <c r="AI1638" s="17" t="str">
        <f>IF(AG1638="","",INDEX('Quitados DUPP'!$G$1:$G$6635,AG1638))</f>
        <v/>
      </c>
      <c r="AJ1638" s="17" t="str">
        <f t="shared" si="3"/>
        <v/>
      </c>
    </row>
    <row r="1639" spans="31:36">
      <c r="AE1639" s="15" t="str">
        <f t="shared" si="0"/>
        <v/>
      </c>
      <c r="AF1639" s="15" t="str">
        <f t="shared" si="1"/>
        <v/>
      </c>
      <c r="AG1639" s="15" t="str">
        <f>IF(OR(AF1639="",AF1639="ERRO_CHAVE"),"",IFERROR(MATCH(AF1639,'Quitados DUPP'!$U$1:$U$6635,0),""))</f>
        <v/>
      </c>
      <c r="AH1639" s="15" t="str">
        <f t="shared" si="2"/>
        <v/>
      </c>
      <c r="AI1639" s="17" t="str">
        <f>IF(AG1639="","",INDEX('Quitados DUPP'!$G$1:$G$6635,AG1639))</f>
        <v/>
      </c>
      <c r="AJ1639" s="17" t="str">
        <f t="shared" si="3"/>
        <v/>
      </c>
    </row>
    <row r="1640" spans="31:36">
      <c r="AE1640" s="15" t="str">
        <f t="shared" si="0"/>
        <v/>
      </c>
      <c r="AF1640" s="15" t="str">
        <f t="shared" si="1"/>
        <v/>
      </c>
      <c r="AG1640" s="15" t="str">
        <f>IF(OR(AF1640="",AF1640="ERRO_CHAVE"),"",IFERROR(MATCH(AF1640,'Quitados DUPP'!$U$1:$U$6635,0),""))</f>
        <v/>
      </c>
      <c r="AH1640" s="15" t="str">
        <f t="shared" si="2"/>
        <v/>
      </c>
      <c r="AI1640" s="17" t="str">
        <f>IF(AG1640="","",INDEX('Quitados DUPP'!$G$1:$G$6635,AG1640))</f>
        <v/>
      </c>
      <c r="AJ1640" s="17" t="str">
        <f t="shared" si="3"/>
        <v/>
      </c>
    </row>
    <row r="1641" spans="31:36">
      <c r="AE1641" s="15" t="str">
        <f t="shared" si="0"/>
        <v/>
      </c>
      <c r="AF1641" s="15" t="str">
        <f t="shared" si="1"/>
        <v/>
      </c>
      <c r="AG1641" s="15" t="str">
        <f>IF(OR(AF1641="",AF1641="ERRO_CHAVE"),"",IFERROR(MATCH(AF1641,'Quitados DUPP'!$U$1:$U$6635,0),""))</f>
        <v/>
      </c>
      <c r="AH1641" s="15" t="str">
        <f t="shared" si="2"/>
        <v/>
      </c>
      <c r="AI1641" s="17" t="str">
        <f>IF(AG1641="","",INDEX('Quitados DUPP'!$G$1:$G$6635,AG1641))</f>
        <v/>
      </c>
      <c r="AJ1641" s="17" t="str">
        <f t="shared" si="3"/>
        <v/>
      </c>
    </row>
    <row r="1642" spans="31:36">
      <c r="AE1642" s="15" t="str">
        <f t="shared" si="0"/>
        <v/>
      </c>
      <c r="AF1642" s="15" t="str">
        <f t="shared" si="1"/>
        <v/>
      </c>
      <c r="AG1642" s="15" t="str">
        <f>IF(OR(AF1642="",AF1642="ERRO_CHAVE"),"",IFERROR(MATCH(AF1642,'Quitados DUPP'!$U$1:$U$6635,0),""))</f>
        <v/>
      </c>
      <c r="AH1642" s="15" t="str">
        <f t="shared" si="2"/>
        <v/>
      </c>
      <c r="AI1642" s="17" t="str">
        <f>IF(AG1642="","",INDEX('Quitados DUPP'!$G$1:$G$6635,AG1642))</f>
        <v/>
      </c>
      <c r="AJ1642" s="17" t="str">
        <f t="shared" si="3"/>
        <v/>
      </c>
    </row>
    <row r="1643" spans="31:36">
      <c r="AE1643" s="15" t="str">
        <f t="shared" si="0"/>
        <v/>
      </c>
      <c r="AF1643" s="15" t="str">
        <f t="shared" si="1"/>
        <v/>
      </c>
      <c r="AG1643" s="15" t="str">
        <f>IF(OR(AF1643="",AF1643="ERRO_CHAVE"),"",IFERROR(MATCH(AF1643,'Quitados DUPP'!$U$1:$U$6635,0),""))</f>
        <v/>
      </c>
      <c r="AH1643" s="15" t="str">
        <f t="shared" si="2"/>
        <v/>
      </c>
      <c r="AI1643" s="17" t="str">
        <f>IF(AG1643="","",INDEX('Quitados DUPP'!$G$1:$G$6635,AG1643))</f>
        <v/>
      </c>
      <c r="AJ1643" s="17" t="str">
        <f t="shared" si="3"/>
        <v/>
      </c>
    </row>
    <row r="1644" spans="31:36">
      <c r="AE1644" s="15" t="str">
        <f t="shared" si="0"/>
        <v/>
      </c>
      <c r="AF1644" s="15" t="str">
        <f t="shared" si="1"/>
        <v/>
      </c>
      <c r="AG1644" s="15" t="str">
        <f>IF(OR(AF1644="",AF1644="ERRO_CHAVE"),"",IFERROR(MATCH(AF1644,'Quitados DUPP'!$U$1:$U$6635,0),""))</f>
        <v/>
      </c>
      <c r="AH1644" s="15" t="str">
        <f t="shared" si="2"/>
        <v/>
      </c>
      <c r="AI1644" s="17" t="str">
        <f>IF(AG1644="","",INDEX('Quitados DUPP'!$G$1:$G$6635,AG1644))</f>
        <v/>
      </c>
      <c r="AJ1644" s="17" t="str">
        <f t="shared" si="3"/>
        <v/>
      </c>
    </row>
    <row r="1645" spans="31:36">
      <c r="AE1645" s="15" t="str">
        <f t="shared" si="0"/>
        <v/>
      </c>
      <c r="AF1645" s="15" t="str">
        <f t="shared" si="1"/>
        <v/>
      </c>
      <c r="AG1645" s="15" t="str">
        <f>IF(OR(AF1645="",AF1645="ERRO_CHAVE"),"",IFERROR(MATCH(AF1645,'Quitados DUPP'!$U$1:$U$6635,0),""))</f>
        <v/>
      </c>
      <c r="AH1645" s="15" t="str">
        <f t="shared" si="2"/>
        <v/>
      </c>
      <c r="AI1645" s="17" t="str">
        <f>IF(AG1645="","",INDEX('Quitados DUPP'!$G$1:$G$6635,AG1645))</f>
        <v/>
      </c>
      <c r="AJ1645" s="17" t="str">
        <f t="shared" si="3"/>
        <v/>
      </c>
    </row>
    <row r="1646" spans="31:36">
      <c r="AE1646" s="15" t="str">
        <f t="shared" si="0"/>
        <v/>
      </c>
      <c r="AF1646" s="15" t="str">
        <f t="shared" si="1"/>
        <v/>
      </c>
      <c r="AG1646" s="15" t="str">
        <f>IF(OR(AF1646="",AF1646="ERRO_CHAVE"),"",IFERROR(MATCH(AF1646,'Quitados DUPP'!$U$1:$U$6635,0),""))</f>
        <v/>
      </c>
      <c r="AH1646" s="15" t="str">
        <f t="shared" si="2"/>
        <v/>
      </c>
      <c r="AI1646" s="17" t="str">
        <f>IF(AG1646="","",INDEX('Quitados DUPP'!$G$1:$G$6635,AG1646))</f>
        <v/>
      </c>
      <c r="AJ1646" s="17" t="str">
        <f t="shared" si="3"/>
        <v/>
      </c>
    </row>
    <row r="1647" spans="31:36">
      <c r="AE1647" s="15" t="str">
        <f t="shared" si="0"/>
        <v/>
      </c>
      <c r="AF1647" s="15" t="str">
        <f t="shared" si="1"/>
        <v/>
      </c>
      <c r="AG1647" s="15" t="str">
        <f>IF(OR(AF1647="",AF1647="ERRO_CHAVE"),"",IFERROR(MATCH(AF1647,'Quitados DUPP'!$U$1:$U$6635,0),""))</f>
        <v/>
      </c>
      <c r="AH1647" s="15" t="str">
        <f t="shared" si="2"/>
        <v/>
      </c>
      <c r="AI1647" s="17" t="str">
        <f>IF(AG1647="","",INDEX('Quitados DUPP'!$G$1:$G$6635,AG1647))</f>
        <v/>
      </c>
      <c r="AJ1647" s="17" t="str">
        <f t="shared" si="3"/>
        <v/>
      </c>
    </row>
    <row r="1648" spans="31:36">
      <c r="AE1648" s="15" t="str">
        <f t="shared" si="0"/>
        <v/>
      </c>
      <c r="AF1648" s="15" t="str">
        <f t="shared" si="1"/>
        <v/>
      </c>
      <c r="AG1648" s="15" t="str">
        <f>IF(OR(AF1648="",AF1648="ERRO_CHAVE"),"",IFERROR(MATCH(AF1648,'Quitados DUPP'!$U$1:$U$6635,0),""))</f>
        <v/>
      </c>
      <c r="AH1648" s="15" t="str">
        <f t="shared" si="2"/>
        <v/>
      </c>
      <c r="AI1648" s="17" t="str">
        <f>IF(AG1648="","",INDEX('Quitados DUPP'!$G$1:$G$6635,AG1648))</f>
        <v/>
      </c>
      <c r="AJ1648" s="17" t="str">
        <f t="shared" si="3"/>
        <v/>
      </c>
    </row>
    <row r="1649" spans="31:36">
      <c r="AE1649" s="15" t="str">
        <f t="shared" si="0"/>
        <v/>
      </c>
      <c r="AF1649" s="15" t="str">
        <f t="shared" si="1"/>
        <v/>
      </c>
      <c r="AG1649" s="15" t="str">
        <f>IF(OR(AF1649="",AF1649="ERRO_CHAVE"),"",IFERROR(MATCH(AF1649,'Quitados DUPP'!$U$1:$U$6635,0),""))</f>
        <v/>
      </c>
      <c r="AH1649" s="15" t="str">
        <f t="shared" si="2"/>
        <v/>
      </c>
      <c r="AI1649" s="17" t="str">
        <f>IF(AG1649="","",INDEX('Quitados DUPP'!$G$1:$G$6635,AG1649))</f>
        <v/>
      </c>
      <c r="AJ1649" s="17" t="str">
        <f t="shared" si="3"/>
        <v/>
      </c>
    </row>
    <row r="1650" spans="31:36">
      <c r="AE1650" s="15" t="str">
        <f t="shared" si="0"/>
        <v/>
      </c>
      <c r="AF1650" s="15" t="str">
        <f t="shared" si="1"/>
        <v/>
      </c>
      <c r="AG1650" s="15" t="str">
        <f>IF(OR(AF1650="",AF1650="ERRO_CHAVE"),"",IFERROR(MATCH(AF1650,'Quitados DUPP'!$U$1:$U$6635,0),""))</f>
        <v/>
      </c>
      <c r="AH1650" s="15" t="str">
        <f t="shared" si="2"/>
        <v/>
      </c>
      <c r="AI1650" s="17" t="str">
        <f>IF(AG1650="","",INDEX('Quitados DUPP'!$G$1:$G$6635,AG1650))</f>
        <v/>
      </c>
      <c r="AJ1650" s="17" t="str">
        <f t="shared" si="3"/>
        <v/>
      </c>
    </row>
    <row r="1651" spans="31:36">
      <c r="AE1651" s="15" t="str">
        <f t="shared" si="0"/>
        <v/>
      </c>
      <c r="AF1651" s="15" t="str">
        <f t="shared" si="1"/>
        <v/>
      </c>
      <c r="AG1651" s="15" t="str">
        <f>IF(OR(AF1651="",AF1651="ERRO_CHAVE"),"",IFERROR(MATCH(AF1651,'Quitados DUPP'!$U$1:$U$6635,0),""))</f>
        <v/>
      </c>
      <c r="AH1651" s="15" t="str">
        <f t="shared" si="2"/>
        <v/>
      </c>
      <c r="AI1651" s="17" t="str">
        <f>IF(AG1651="","",INDEX('Quitados DUPP'!$G$1:$G$6635,AG1651))</f>
        <v/>
      </c>
      <c r="AJ1651" s="17" t="str">
        <f t="shared" si="3"/>
        <v/>
      </c>
    </row>
    <row r="1652" spans="31:36">
      <c r="AE1652" s="15" t="str">
        <f t="shared" si="0"/>
        <v/>
      </c>
      <c r="AF1652" s="15" t="str">
        <f t="shared" si="1"/>
        <v/>
      </c>
      <c r="AG1652" s="15" t="str">
        <f>IF(OR(AF1652="",AF1652="ERRO_CHAVE"),"",IFERROR(MATCH(AF1652,'Quitados DUPP'!$U$1:$U$6635,0),""))</f>
        <v/>
      </c>
      <c r="AH1652" s="15" t="str">
        <f t="shared" si="2"/>
        <v/>
      </c>
      <c r="AI1652" s="17" t="str">
        <f>IF(AG1652="","",INDEX('Quitados DUPP'!$G$1:$G$6635,AG1652))</f>
        <v/>
      </c>
      <c r="AJ1652" s="17" t="str">
        <f t="shared" si="3"/>
        <v/>
      </c>
    </row>
    <row r="1653" spans="31:36">
      <c r="AE1653" s="15" t="str">
        <f t="shared" si="0"/>
        <v/>
      </c>
      <c r="AF1653" s="15" t="str">
        <f t="shared" si="1"/>
        <v/>
      </c>
      <c r="AG1653" s="15" t="str">
        <f>IF(OR(AF1653="",AF1653="ERRO_CHAVE"),"",IFERROR(MATCH(AF1653,'Quitados DUPP'!$U$1:$U$6635,0),""))</f>
        <v/>
      </c>
      <c r="AH1653" s="15" t="str">
        <f t="shared" si="2"/>
        <v/>
      </c>
      <c r="AI1653" s="17" t="str">
        <f>IF(AG1653="","",INDEX('Quitados DUPP'!$G$1:$G$6635,AG1653))</f>
        <v/>
      </c>
      <c r="AJ1653" s="17" t="str">
        <f t="shared" si="3"/>
        <v/>
      </c>
    </row>
    <row r="1654" spans="31:36">
      <c r="AE1654" s="15" t="str">
        <f t="shared" si="0"/>
        <v/>
      </c>
      <c r="AF1654" s="15" t="str">
        <f t="shared" si="1"/>
        <v/>
      </c>
      <c r="AG1654" s="15" t="str">
        <f>IF(OR(AF1654="",AF1654="ERRO_CHAVE"),"",IFERROR(MATCH(AF1654,'Quitados DUPP'!$U$1:$U$6635,0),""))</f>
        <v/>
      </c>
      <c r="AH1654" s="15" t="str">
        <f t="shared" si="2"/>
        <v/>
      </c>
      <c r="AI1654" s="17" t="str">
        <f>IF(AG1654="","",INDEX('Quitados DUPP'!$G$1:$G$6635,AG1654))</f>
        <v/>
      </c>
      <c r="AJ1654" s="17" t="str">
        <f t="shared" si="3"/>
        <v/>
      </c>
    </row>
    <row r="1655" spans="31:36">
      <c r="AE1655" s="15" t="str">
        <f t="shared" si="0"/>
        <v/>
      </c>
      <c r="AF1655" s="15" t="str">
        <f t="shared" si="1"/>
        <v/>
      </c>
      <c r="AG1655" s="15" t="str">
        <f>IF(OR(AF1655="",AF1655="ERRO_CHAVE"),"",IFERROR(MATCH(AF1655,'Quitados DUPP'!$U$1:$U$6635,0),""))</f>
        <v/>
      </c>
      <c r="AH1655" s="15" t="str">
        <f t="shared" si="2"/>
        <v/>
      </c>
      <c r="AI1655" s="17" t="str">
        <f>IF(AG1655="","",INDEX('Quitados DUPP'!$G$1:$G$6635,AG1655))</f>
        <v/>
      </c>
      <c r="AJ1655" s="17" t="str">
        <f t="shared" si="3"/>
        <v/>
      </c>
    </row>
    <row r="1656" spans="31:36">
      <c r="AE1656" s="15" t="str">
        <f t="shared" si="0"/>
        <v/>
      </c>
      <c r="AF1656" s="15" t="str">
        <f t="shared" si="1"/>
        <v/>
      </c>
      <c r="AG1656" s="15" t="str">
        <f>IF(OR(AF1656="",AF1656="ERRO_CHAVE"),"",IFERROR(MATCH(AF1656,'Quitados DUPP'!$U$1:$U$6635,0),""))</f>
        <v/>
      </c>
      <c r="AH1656" s="15" t="str">
        <f t="shared" si="2"/>
        <v/>
      </c>
      <c r="AI1656" s="17" t="str">
        <f>IF(AG1656="","",INDEX('Quitados DUPP'!$G$1:$G$6635,AG1656))</f>
        <v/>
      </c>
      <c r="AJ1656" s="17" t="str">
        <f t="shared" si="3"/>
        <v/>
      </c>
    </row>
    <row r="1657" spans="31:36">
      <c r="AE1657" s="15" t="str">
        <f t="shared" si="0"/>
        <v/>
      </c>
      <c r="AF1657" s="15" t="str">
        <f t="shared" si="1"/>
        <v/>
      </c>
      <c r="AG1657" s="15" t="str">
        <f>IF(OR(AF1657="",AF1657="ERRO_CHAVE"),"",IFERROR(MATCH(AF1657,'Quitados DUPP'!$U$1:$U$6635,0),""))</f>
        <v/>
      </c>
      <c r="AH1657" s="15" t="str">
        <f t="shared" si="2"/>
        <v/>
      </c>
      <c r="AI1657" s="17" t="str">
        <f>IF(AG1657="","",INDEX('Quitados DUPP'!$G$1:$G$6635,AG1657))</f>
        <v/>
      </c>
      <c r="AJ1657" s="17" t="str">
        <f t="shared" si="3"/>
        <v/>
      </c>
    </row>
    <row r="1658" spans="31:36">
      <c r="AE1658" s="15" t="str">
        <f t="shared" si="0"/>
        <v/>
      </c>
      <c r="AF1658" s="15" t="str">
        <f t="shared" si="1"/>
        <v/>
      </c>
      <c r="AG1658" s="15" t="str">
        <f>IF(OR(AF1658="",AF1658="ERRO_CHAVE"),"",IFERROR(MATCH(AF1658,'Quitados DUPP'!$U$1:$U$6635,0),""))</f>
        <v/>
      </c>
      <c r="AH1658" s="15" t="str">
        <f t="shared" si="2"/>
        <v/>
      </c>
      <c r="AI1658" s="17" t="str">
        <f>IF(AG1658="","",INDEX('Quitados DUPP'!$G$1:$G$6635,AG1658))</f>
        <v/>
      </c>
      <c r="AJ1658" s="17" t="str">
        <f t="shared" si="3"/>
        <v/>
      </c>
    </row>
    <row r="1659" spans="31:36">
      <c r="AE1659" s="15" t="str">
        <f t="shared" si="0"/>
        <v/>
      </c>
      <c r="AF1659" s="15" t="str">
        <f t="shared" si="1"/>
        <v/>
      </c>
      <c r="AG1659" s="15" t="str">
        <f>IF(OR(AF1659="",AF1659="ERRO_CHAVE"),"",IFERROR(MATCH(AF1659,'Quitados DUPP'!$U$1:$U$6635,0),""))</f>
        <v/>
      </c>
      <c r="AH1659" s="15" t="str">
        <f t="shared" si="2"/>
        <v/>
      </c>
      <c r="AI1659" s="17" t="str">
        <f>IF(AG1659="","",INDEX('Quitados DUPP'!$G$1:$G$6635,AG1659))</f>
        <v/>
      </c>
      <c r="AJ1659" s="17" t="str">
        <f t="shared" si="3"/>
        <v/>
      </c>
    </row>
    <row r="1660" spans="31:36">
      <c r="AE1660" s="15" t="str">
        <f t="shared" si="0"/>
        <v/>
      </c>
      <c r="AF1660" s="15" t="str">
        <f t="shared" si="1"/>
        <v/>
      </c>
      <c r="AG1660" s="15" t="str">
        <f>IF(OR(AF1660="",AF1660="ERRO_CHAVE"),"",IFERROR(MATCH(AF1660,'Quitados DUPP'!$U$1:$U$6635,0),""))</f>
        <v/>
      </c>
      <c r="AH1660" s="15" t="str">
        <f t="shared" si="2"/>
        <v/>
      </c>
      <c r="AI1660" s="17" t="str">
        <f>IF(AG1660="","",INDEX('Quitados DUPP'!$G$1:$G$6635,AG1660))</f>
        <v/>
      </c>
      <c r="AJ1660" s="17" t="str">
        <f t="shared" si="3"/>
        <v/>
      </c>
    </row>
    <row r="1661" spans="31:36">
      <c r="AE1661" s="15" t="str">
        <f t="shared" si="0"/>
        <v/>
      </c>
      <c r="AF1661" s="15" t="str">
        <f t="shared" si="1"/>
        <v/>
      </c>
      <c r="AG1661" s="15" t="str">
        <f>IF(OR(AF1661="",AF1661="ERRO_CHAVE"),"",IFERROR(MATCH(AF1661,'Quitados DUPP'!$U$1:$U$6635,0),""))</f>
        <v/>
      </c>
      <c r="AH1661" s="15" t="str">
        <f t="shared" si="2"/>
        <v/>
      </c>
      <c r="AI1661" s="17" t="str">
        <f>IF(AG1661="","",INDEX('Quitados DUPP'!$G$1:$G$6635,AG1661))</f>
        <v/>
      </c>
      <c r="AJ1661" s="17" t="str">
        <f t="shared" si="3"/>
        <v/>
      </c>
    </row>
    <row r="1662" spans="31:36">
      <c r="AE1662" s="15" t="str">
        <f t="shared" si="0"/>
        <v/>
      </c>
      <c r="AF1662" s="15" t="str">
        <f t="shared" si="1"/>
        <v/>
      </c>
      <c r="AG1662" s="15" t="str">
        <f>IF(OR(AF1662="",AF1662="ERRO_CHAVE"),"",IFERROR(MATCH(AF1662,'Quitados DUPP'!$U$1:$U$6635,0),""))</f>
        <v/>
      </c>
      <c r="AH1662" s="15" t="str">
        <f t="shared" si="2"/>
        <v/>
      </c>
      <c r="AI1662" s="17" t="str">
        <f>IF(AG1662="","",INDEX('Quitados DUPP'!$G$1:$G$6635,AG1662))</f>
        <v/>
      </c>
      <c r="AJ1662" s="17" t="str">
        <f t="shared" si="3"/>
        <v/>
      </c>
    </row>
    <row r="1663" spans="31:36">
      <c r="AE1663" s="15" t="str">
        <f t="shared" si="0"/>
        <v/>
      </c>
      <c r="AF1663" s="15" t="str">
        <f t="shared" si="1"/>
        <v/>
      </c>
      <c r="AG1663" s="15" t="str">
        <f>IF(OR(AF1663="",AF1663="ERRO_CHAVE"),"",IFERROR(MATCH(AF1663,'Quitados DUPP'!$U$1:$U$6635,0),""))</f>
        <v/>
      </c>
      <c r="AH1663" s="15" t="str">
        <f t="shared" si="2"/>
        <v/>
      </c>
      <c r="AI1663" s="17" t="str">
        <f>IF(AG1663="","",INDEX('Quitados DUPP'!$G$1:$G$6635,AG1663))</f>
        <v/>
      </c>
      <c r="AJ1663" s="17" t="str">
        <f t="shared" si="3"/>
        <v/>
      </c>
    </row>
    <row r="1664" spans="31:36">
      <c r="AE1664" s="15" t="str">
        <f t="shared" si="0"/>
        <v/>
      </c>
      <c r="AF1664" s="15" t="str">
        <f t="shared" si="1"/>
        <v/>
      </c>
      <c r="AG1664" s="15" t="str">
        <f>IF(OR(AF1664="",AF1664="ERRO_CHAVE"),"",IFERROR(MATCH(AF1664,'Quitados DUPP'!$U$1:$U$6635,0),""))</f>
        <v/>
      </c>
      <c r="AH1664" s="15" t="str">
        <f t="shared" si="2"/>
        <v/>
      </c>
      <c r="AI1664" s="17" t="str">
        <f>IF(AG1664="","",INDEX('Quitados DUPP'!$G$1:$G$6635,AG1664))</f>
        <v/>
      </c>
      <c r="AJ1664" s="17" t="str">
        <f t="shared" si="3"/>
        <v/>
      </c>
    </row>
    <row r="1665" spans="31:36">
      <c r="AE1665" s="15" t="str">
        <f t="shared" si="0"/>
        <v/>
      </c>
      <c r="AF1665" s="15" t="str">
        <f t="shared" si="1"/>
        <v/>
      </c>
      <c r="AG1665" s="15" t="str">
        <f>IF(OR(AF1665="",AF1665="ERRO_CHAVE"),"",IFERROR(MATCH(AF1665,'Quitados DUPP'!$U$1:$U$6635,0),""))</f>
        <v/>
      </c>
      <c r="AH1665" s="15" t="str">
        <f t="shared" si="2"/>
        <v/>
      </c>
      <c r="AI1665" s="17" t="str">
        <f>IF(AG1665="","",INDEX('Quitados DUPP'!$G$1:$G$6635,AG1665))</f>
        <v/>
      </c>
      <c r="AJ1665" s="17" t="str">
        <f t="shared" si="3"/>
        <v/>
      </c>
    </row>
    <row r="1666" spans="31:36">
      <c r="AE1666" s="15" t="str">
        <f t="shared" si="0"/>
        <v/>
      </c>
      <c r="AF1666" s="15" t="str">
        <f t="shared" si="1"/>
        <v/>
      </c>
      <c r="AG1666" s="15" t="str">
        <f>IF(OR(AF1666="",AF1666="ERRO_CHAVE"),"",IFERROR(MATCH(AF1666,'Quitados DUPP'!$U$1:$U$6635,0),""))</f>
        <v/>
      </c>
      <c r="AH1666" s="15" t="str">
        <f t="shared" si="2"/>
        <v/>
      </c>
      <c r="AI1666" s="17" t="str">
        <f>IF(AG1666="","",INDEX('Quitados DUPP'!$G$1:$G$6635,AG1666))</f>
        <v/>
      </c>
      <c r="AJ1666" s="17" t="str">
        <f t="shared" si="3"/>
        <v/>
      </c>
    </row>
    <row r="1667" spans="31:36">
      <c r="AE1667" s="15" t="str">
        <f t="shared" si="0"/>
        <v/>
      </c>
      <c r="AF1667" s="15" t="str">
        <f t="shared" si="1"/>
        <v/>
      </c>
      <c r="AG1667" s="15" t="str">
        <f>IF(OR(AF1667="",AF1667="ERRO_CHAVE"),"",IFERROR(MATCH(AF1667,'Quitados DUPP'!$U$1:$U$6635,0),""))</f>
        <v/>
      </c>
      <c r="AH1667" s="15" t="str">
        <f t="shared" si="2"/>
        <v/>
      </c>
      <c r="AI1667" s="17" t="str">
        <f>IF(AG1667="","",INDEX('Quitados DUPP'!$G$1:$G$6635,AG1667))</f>
        <v/>
      </c>
      <c r="AJ1667" s="17" t="str">
        <f t="shared" si="3"/>
        <v/>
      </c>
    </row>
    <row r="1668" spans="31:36">
      <c r="AE1668" s="15" t="str">
        <f t="shared" si="0"/>
        <v/>
      </c>
      <c r="AF1668" s="15" t="str">
        <f t="shared" si="1"/>
        <v/>
      </c>
      <c r="AG1668" s="15" t="str">
        <f>IF(OR(AF1668="",AF1668="ERRO_CHAVE"),"",IFERROR(MATCH(AF1668,'Quitados DUPP'!$U$1:$U$6635,0),""))</f>
        <v/>
      </c>
      <c r="AH1668" s="15" t="str">
        <f t="shared" si="2"/>
        <v/>
      </c>
      <c r="AI1668" s="17" t="str">
        <f>IF(AG1668="","",INDEX('Quitados DUPP'!$G$1:$G$6635,AG1668))</f>
        <v/>
      </c>
      <c r="AJ1668" s="17" t="str">
        <f t="shared" si="3"/>
        <v/>
      </c>
    </row>
    <row r="1669" spans="31:36">
      <c r="AE1669" s="15" t="str">
        <f t="shared" si="0"/>
        <v/>
      </c>
      <c r="AF1669" s="15" t="str">
        <f t="shared" si="1"/>
        <v/>
      </c>
      <c r="AG1669" s="15" t="str">
        <f>IF(OR(AF1669="",AF1669="ERRO_CHAVE"),"",IFERROR(MATCH(AF1669,'Quitados DUPP'!$U$1:$U$6635,0),""))</f>
        <v/>
      </c>
      <c r="AH1669" s="15" t="str">
        <f t="shared" si="2"/>
        <v/>
      </c>
      <c r="AI1669" s="17" t="str">
        <f>IF(AG1669="","",INDEX('Quitados DUPP'!$G$1:$G$6635,AG1669))</f>
        <v/>
      </c>
      <c r="AJ1669" s="17" t="str">
        <f t="shared" si="3"/>
        <v/>
      </c>
    </row>
    <row r="1670" spans="31:36">
      <c r="AE1670" s="15" t="str">
        <f t="shared" si="0"/>
        <v/>
      </c>
      <c r="AF1670" s="15" t="str">
        <f t="shared" si="1"/>
        <v/>
      </c>
      <c r="AG1670" s="15" t="str">
        <f>IF(OR(AF1670="",AF1670="ERRO_CHAVE"),"",IFERROR(MATCH(AF1670,'Quitados DUPP'!$U$1:$U$6635,0),""))</f>
        <v/>
      </c>
      <c r="AH1670" s="15" t="str">
        <f t="shared" si="2"/>
        <v/>
      </c>
      <c r="AI1670" s="17" t="str">
        <f>IF(AG1670="","",INDEX('Quitados DUPP'!$G$1:$G$6635,AG1670))</f>
        <v/>
      </c>
      <c r="AJ1670" s="17" t="str">
        <f t="shared" si="3"/>
        <v/>
      </c>
    </row>
    <row r="1671" spans="31:36">
      <c r="AE1671" s="15" t="str">
        <f t="shared" si="0"/>
        <v/>
      </c>
      <c r="AF1671" s="15" t="str">
        <f t="shared" si="1"/>
        <v/>
      </c>
      <c r="AG1671" s="15" t="str">
        <f>IF(OR(AF1671="",AF1671="ERRO_CHAVE"),"",IFERROR(MATCH(AF1671,'Quitados DUPP'!$U$1:$U$6635,0),""))</f>
        <v/>
      </c>
      <c r="AH1671" s="15" t="str">
        <f t="shared" si="2"/>
        <v/>
      </c>
      <c r="AI1671" s="17" t="str">
        <f>IF(AG1671="","",INDEX('Quitados DUPP'!$G$1:$G$6635,AG1671))</f>
        <v/>
      </c>
      <c r="AJ1671" s="17" t="str">
        <f t="shared" si="3"/>
        <v/>
      </c>
    </row>
    <row r="1672" spans="31:36">
      <c r="AE1672" s="15" t="str">
        <f t="shared" si="0"/>
        <v/>
      </c>
      <c r="AF1672" s="15" t="str">
        <f t="shared" si="1"/>
        <v/>
      </c>
      <c r="AG1672" s="15" t="str">
        <f>IF(OR(AF1672="",AF1672="ERRO_CHAVE"),"",IFERROR(MATCH(AF1672,'Quitados DUPP'!$U$1:$U$6635,0),""))</f>
        <v/>
      </c>
      <c r="AH1672" s="15" t="str">
        <f t="shared" si="2"/>
        <v/>
      </c>
      <c r="AI1672" s="17" t="str">
        <f>IF(AG1672="","",INDEX('Quitados DUPP'!$G$1:$G$6635,AG1672))</f>
        <v/>
      </c>
      <c r="AJ1672" s="17" t="str">
        <f t="shared" si="3"/>
        <v/>
      </c>
    </row>
    <row r="1673" spans="31:36">
      <c r="AE1673" s="15" t="str">
        <f t="shared" si="0"/>
        <v/>
      </c>
      <c r="AF1673" s="15" t="str">
        <f t="shared" si="1"/>
        <v/>
      </c>
      <c r="AG1673" s="15" t="str">
        <f>IF(OR(AF1673="",AF1673="ERRO_CHAVE"),"",IFERROR(MATCH(AF1673,'Quitados DUPP'!$U$1:$U$6635,0),""))</f>
        <v/>
      </c>
      <c r="AH1673" s="15" t="str">
        <f t="shared" si="2"/>
        <v/>
      </c>
      <c r="AI1673" s="17" t="str">
        <f>IF(AG1673="","",INDEX('Quitados DUPP'!$G$1:$G$6635,AG1673))</f>
        <v/>
      </c>
      <c r="AJ1673" s="17" t="str">
        <f t="shared" si="3"/>
        <v/>
      </c>
    </row>
    <row r="1674" spans="31:36">
      <c r="AE1674" s="15" t="str">
        <f t="shared" si="0"/>
        <v/>
      </c>
      <c r="AF1674" s="15" t="str">
        <f t="shared" si="1"/>
        <v/>
      </c>
      <c r="AG1674" s="15" t="str">
        <f>IF(OR(AF1674="",AF1674="ERRO_CHAVE"),"",IFERROR(MATCH(AF1674,'Quitados DUPP'!$U$1:$U$6635,0),""))</f>
        <v/>
      </c>
      <c r="AH1674" s="15" t="str">
        <f t="shared" si="2"/>
        <v/>
      </c>
      <c r="AI1674" s="17" t="str">
        <f>IF(AG1674="","",INDEX('Quitados DUPP'!$G$1:$G$6635,AG1674))</f>
        <v/>
      </c>
      <c r="AJ1674" s="17" t="str">
        <f t="shared" si="3"/>
        <v/>
      </c>
    </row>
    <row r="1675" spans="31:36">
      <c r="AE1675" s="15" t="str">
        <f t="shared" si="0"/>
        <v/>
      </c>
      <c r="AF1675" s="15" t="str">
        <f t="shared" si="1"/>
        <v/>
      </c>
      <c r="AG1675" s="15" t="str">
        <f>IF(OR(AF1675="",AF1675="ERRO_CHAVE"),"",IFERROR(MATCH(AF1675,'Quitados DUPP'!$U$1:$U$6635,0),""))</f>
        <v/>
      </c>
      <c r="AH1675" s="15" t="str">
        <f t="shared" si="2"/>
        <v/>
      </c>
      <c r="AI1675" s="17" t="str">
        <f>IF(AG1675="","",INDEX('Quitados DUPP'!$G$1:$G$6635,AG1675))</f>
        <v/>
      </c>
      <c r="AJ1675" s="17" t="str">
        <f t="shared" si="3"/>
        <v/>
      </c>
    </row>
    <row r="1676" spans="31:36">
      <c r="AE1676" s="15" t="str">
        <f t="shared" si="0"/>
        <v/>
      </c>
      <c r="AF1676" s="15" t="str">
        <f t="shared" si="1"/>
        <v/>
      </c>
      <c r="AG1676" s="15" t="str">
        <f>IF(OR(AF1676="",AF1676="ERRO_CHAVE"),"",IFERROR(MATCH(AF1676,'Quitados DUPP'!$U$1:$U$6635,0),""))</f>
        <v/>
      </c>
      <c r="AH1676" s="15" t="str">
        <f t="shared" si="2"/>
        <v/>
      </c>
      <c r="AI1676" s="17" t="str">
        <f>IF(AG1676="","",INDEX('Quitados DUPP'!$G$1:$G$6635,AG1676))</f>
        <v/>
      </c>
      <c r="AJ1676" s="17" t="str">
        <f t="shared" si="3"/>
        <v/>
      </c>
    </row>
    <row r="1677" spans="31:36">
      <c r="AE1677" s="15" t="str">
        <f t="shared" si="0"/>
        <v/>
      </c>
      <c r="AF1677" s="15" t="str">
        <f t="shared" si="1"/>
        <v/>
      </c>
      <c r="AG1677" s="15" t="str">
        <f>IF(OR(AF1677="",AF1677="ERRO_CHAVE"),"",IFERROR(MATCH(AF1677,'Quitados DUPP'!$U$1:$U$6635,0),""))</f>
        <v/>
      </c>
      <c r="AH1677" s="15" t="str">
        <f t="shared" si="2"/>
        <v/>
      </c>
      <c r="AI1677" s="17" t="str">
        <f>IF(AG1677="","",INDEX('Quitados DUPP'!$G$1:$G$6635,AG1677))</f>
        <v/>
      </c>
      <c r="AJ1677" s="17" t="str">
        <f t="shared" si="3"/>
        <v/>
      </c>
    </row>
    <row r="1678" spans="31:36">
      <c r="AE1678" s="15" t="str">
        <f t="shared" si="0"/>
        <v/>
      </c>
      <c r="AF1678" s="15" t="str">
        <f t="shared" si="1"/>
        <v/>
      </c>
      <c r="AG1678" s="15" t="str">
        <f>IF(OR(AF1678="",AF1678="ERRO_CHAVE"),"",IFERROR(MATCH(AF1678,'Quitados DUPP'!$U$1:$U$6635,0),""))</f>
        <v/>
      </c>
      <c r="AH1678" s="15" t="str">
        <f t="shared" si="2"/>
        <v/>
      </c>
      <c r="AI1678" s="17" t="str">
        <f>IF(AG1678="","",INDEX('Quitados DUPP'!$G$1:$G$6635,AG1678))</f>
        <v/>
      </c>
      <c r="AJ1678" s="17" t="str">
        <f t="shared" si="3"/>
        <v/>
      </c>
    </row>
    <row r="1679" spans="31:36">
      <c r="AE1679" s="15" t="str">
        <f t="shared" si="0"/>
        <v/>
      </c>
      <c r="AF1679" s="15" t="str">
        <f t="shared" si="1"/>
        <v/>
      </c>
      <c r="AG1679" s="15" t="str">
        <f>IF(OR(AF1679="",AF1679="ERRO_CHAVE"),"",IFERROR(MATCH(AF1679,'Quitados DUPP'!$U$1:$U$6635,0),""))</f>
        <v/>
      </c>
      <c r="AH1679" s="15" t="str">
        <f t="shared" si="2"/>
        <v/>
      </c>
      <c r="AI1679" s="17" t="str">
        <f>IF(AG1679="","",INDEX('Quitados DUPP'!$G$1:$G$6635,AG1679))</f>
        <v/>
      </c>
      <c r="AJ1679" s="17" t="str">
        <f t="shared" si="3"/>
        <v/>
      </c>
    </row>
    <row r="1680" spans="31:36">
      <c r="AE1680" s="15" t="str">
        <f t="shared" si="0"/>
        <v/>
      </c>
      <c r="AF1680" s="15" t="str">
        <f t="shared" si="1"/>
        <v/>
      </c>
      <c r="AG1680" s="15" t="str">
        <f>IF(OR(AF1680="",AF1680="ERRO_CHAVE"),"",IFERROR(MATCH(AF1680,'Quitados DUPP'!$U$1:$U$6635,0),""))</f>
        <v/>
      </c>
      <c r="AH1680" s="15" t="str">
        <f t="shared" si="2"/>
        <v/>
      </c>
      <c r="AI1680" s="17" t="str">
        <f>IF(AG1680="","",INDEX('Quitados DUPP'!$G$1:$G$6635,AG1680))</f>
        <v/>
      </c>
      <c r="AJ1680" s="17" t="str">
        <f t="shared" si="3"/>
        <v/>
      </c>
    </row>
    <row r="1681" spans="31:36">
      <c r="AE1681" s="15" t="str">
        <f t="shared" si="0"/>
        <v/>
      </c>
      <c r="AF1681" s="15" t="str">
        <f t="shared" si="1"/>
        <v/>
      </c>
      <c r="AG1681" s="15" t="str">
        <f>IF(OR(AF1681="",AF1681="ERRO_CHAVE"),"",IFERROR(MATCH(AF1681,'Quitados DUPP'!$U$1:$U$6635,0),""))</f>
        <v/>
      </c>
      <c r="AH1681" s="15" t="str">
        <f t="shared" si="2"/>
        <v/>
      </c>
      <c r="AI1681" s="17" t="str">
        <f>IF(AG1681="","",INDEX('Quitados DUPP'!$G$1:$G$6635,AG1681))</f>
        <v/>
      </c>
      <c r="AJ1681" s="17" t="str">
        <f t="shared" si="3"/>
        <v/>
      </c>
    </row>
    <row r="1682" spans="31:36">
      <c r="AE1682" s="15" t="str">
        <f t="shared" si="0"/>
        <v/>
      </c>
      <c r="AF1682" s="15" t="str">
        <f t="shared" si="1"/>
        <v/>
      </c>
      <c r="AG1682" s="15" t="str">
        <f>IF(OR(AF1682="",AF1682="ERRO_CHAVE"),"",IFERROR(MATCH(AF1682,'Quitados DUPP'!$U$1:$U$6635,0),""))</f>
        <v/>
      </c>
      <c r="AH1682" s="15" t="str">
        <f t="shared" si="2"/>
        <v/>
      </c>
      <c r="AI1682" s="17" t="str">
        <f>IF(AG1682="","",INDEX('Quitados DUPP'!$G$1:$G$6635,AG1682))</f>
        <v/>
      </c>
      <c r="AJ1682" s="17" t="str">
        <f t="shared" si="3"/>
        <v/>
      </c>
    </row>
    <row r="1683" spans="31:36">
      <c r="AE1683" s="15" t="str">
        <f t="shared" si="0"/>
        <v/>
      </c>
      <c r="AF1683" s="15" t="str">
        <f t="shared" si="1"/>
        <v/>
      </c>
      <c r="AG1683" s="15" t="str">
        <f>IF(OR(AF1683="",AF1683="ERRO_CHAVE"),"",IFERROR(MATCH(AF1683,'Quitados DUPP'!$U$1:$U$6635,0),""))</f>
        <v/>
      </c>
      <c r="AH1683" s="15" t="str">
        <f t="shared" si="2"/>
        <v/>
      </c>
      <c r="AI1683" s="17" t="str">
        <f>IF(AG1683="","",INDEX('Quitados DUPP'!$G$1:$G$6635,AG1683))</f>
        <v/>
      </c>
      <c r="AJ1683" s="17" t="str">
        <f t="shared" si="3"/>
        <v/>
      </c>
    </row>
    <row r="1684" spans="31:36">
      <c r="AE1684" s="15" t="str">
        <f t="shared" si="0"/>
        <v/>
      </c>
      <c r="AF1684" s="15" t="str">
        <f t="shared" si="1"/>
        <v/>
      </c>
      <c r="AG1684" s="15" t="str">
        <f>IF(OR(AF1684="",AF1684="ERRO_CHAVE"),"",IFERROR(MATCH(AF1684,'Quitados DUPP'!$U$1:$U$6635,0),""))</f>
        <v/>
      </c>
      <c r="AH1684" s="15" t="str">
        <f t="shared" si="2"/>
        <v/>
      </c>
      <c r="AI1684" s="17" t="str">
        <f>IF(AG1684="","",INDEX('Quitados DUPP'!$G$1:$G$6635,AG1684))</f>
        <v/>
      </c>
      <c r="AJ1684" s="17" t="str">
        <f t="shared" si="3"/>
        <v/>
      </c>
    </row>
    <row r="1685" spans="31:36">
      <c r="AE1685" s="15" t="str">
        <f t="shared" si="0"/>
        <v/>
      </c>
      <c r="AF1685" s="15" t="str">
        <f t="shared" si="1"/>
        <v/>
      </c>
      <c r="AG1685" s="15" t="str">
        <f>IF(OR(AF1685="",AF1685="ERRO_CHAVE"),"",IFERROR(MATCH(AF1685,'Quitados DUPP'!$U$1:$U$6635,0),""))</f>
        <v/>
      </c>
      <c r="AH1685" s="15" t="str">
        <f t="shared" si="2"/>
        <v/>
      </c>
      <c r="AI1685" s="17" t="str">
        <f>IF(AG1685="","",INDEX('Quitados DUPP'!$G$1:$G$6635,AG1685))</f>
        <v/>
      </c>
      <c r="AJ1685" s="17" t="str">
        <f t="shared" si="3"/>
        <v/>
      </c>
    </row>
    <row r="1686" spans="31:36">
      <c r="AE1686" s="15" t="str">
        <f t="shared" si="0"/>
        <v/>
      </c>
      <c r="AF1686" s="15" t="str">
        <f t="shared" si="1"/>
        <v/>
      </c>
      <c r="AG1686" s="15" t="str">
        <f>IF(OR(AF1686="",AF1686="ERRO_CHAVE"),"",IFERROR(MATCH(AF1686,'Quitados DUPP'!$U$1:$U$6635,0),""))</f>
        <v/>
      </c>
      <c r="AH1686" s="15" t="str">
        <f t="shared" si="2"/>
        <v/>
      </c>
      <c r="AI1686" s="17" t="str">
        <f>IF(AG1686="","",INDEX('Quitados DUPP'!$G$1:$G$6635,AG1686))</f>
        <v/>
      </c>
      <c r="AJ1686" s="17" t="str">
        <f t="shared" si="3"/>
        <v/>
      </c>
    </row>
    <row r="1687" spans="31:36">
      <c r="AE1687" s="15" t="str">
        <f t="shared" si="0"/>
        <v/>
      </c>
      <c r="AF1687" s="15" t="str">
        <f t="shared" si="1"/>
        <v/>
      </c>
      <c r="AG1687" s="15" t="str">
        <f>IF(OR(AF1687="",AF1687="ERRO_CHAVE"),"",IFERROR(MATCH(AF1687,'Quitados DUPP'!$U$1:$U$6635,0),""))</f>
        <v/>
      </c>
      <c r="AH1687" s="15" t="str">
        <f t="shared" si="2"/>
        <v/>
      </c>
      <c r="AI1687" s="17" t="str">
        <f>IF(AG1687="","",INDEX('Quitados DUPP'!$G$1:$G$6635,AG1687))</f>
        <v/>
      </c>
      <c r="AJ1687" s="17" t="str">
        <f t="shared" si="3"/>
        <v/>
      </c>
    </row>
    <row r="1688" spans="31:36">
      <c r="AE1688" s="15" t="str">
        <f t="shared" si="0"/>
        <v/>
      </c>
      <c r="AF1688" s="15" t="str">
        <f t="shared" si="1"/>
        <v/>
      </c>
      <c r="AG1688" s="15" t="str">
        <f>IF(OR(AF1688="",AF1688="ERRO_CHAVE"),"",IFERROR(MATCH(AF1688,'Quitados DUPP'!$U$1:$U$6635,0),""))</f>
        <v/>
      </c>
      <c r="AH1688" s="15" t="str">
        <f t="shared" si="2"/>
        <v/>
      </c>
      <c r="AI1688" s="17" t="str">
        <f>IF(AG1688="","",INDEX('Quitados DUPP'!$G$1:$G$6635,AG1688))</f>
        <v/>
      </c>
      <c r="AJ1688" s="17" t="str">
        <f t="shared" si="3"/>
        <v/>
      </c>
    </row>
    <row r="1689" spans="31:36">
      <c r="AE1689" s="15" t="str">
        <f t="shared" si="0"/>
        <v/>
      </c>
      <c r="AF1689" s="15" t="str">
        <f t="shared" si="1"/>
        <v/>
      </c>
      <c r="AG1689" s="15" t="str">
        <f>IF(OR(AF1689="",AF1689="ERRO_CHAVE"),"",IFERROR(MATCH(AF1689,'Quitados DUPP'!$U$1:$U$6635,0),""))</f>
        <v/>
      </c>
      <c r="AH1689" s="15" t="str">
        <f t="shared" si="2"/>
        <v/>
      </c>
      <c r="AI1689" s="17" t="str">
        <f>IF(AG1689="","",INDEX('Quitados DUPP'!$G$1:$G$6635,AG1689))</f>
        <v/>
      </c>
      <c r="AJ1689" s="17" t="str">
        <f t="shared" si="3"/>
        <v/>
      </c>
    </row>
    <row r="1690" spans="31:36">
      <c r="AE1690" s="15" t="str">
        <f t="shared" si="0"/>
        <v/>
      </c>
      <c r="AF1690" s="15" t="str">
        <f t="shared" si="1"/>
        <v/>
      </c>
      <c r="AG1690" s="15" t="str">
        <f>IF(OR(AF1690="",AF1690="ERRO_CHAVE"),"",IFERROR(MATCH(AF1690,'Quitados DUPP'!$U$1:$U$6635,0),""))</f>
        <v/>
      </c>
      <c r="AH1690" s="15" t="str">
        <f t="shared" si="2"/>
        <v/>
      </c>
      <c r="AI1690" s="17" t="str">
        <f>IF(AG1690="","",INDEX('Quitados DUPP'!$G$1:$G$6635,AG1690))</f>
        <v/>
      </c>
      <c r="AJ1690" s="17" t="str">
        <f t="shared" si="3"/>
        <v/>
      </c>
    </row>
    <row r="1691" spans="31:36">
      <c r="AE1691" s="15" t="str">
        <f t="shared" si="0"/>
        <v/>
      </c>
      <c r="AF1691" s="15" t="str">
        <f t="shared" si="1"/>
        <v/>
      </c>
      <c r="AG1691" s="15" t="str">
        <f>IF(OR(AF1691="",AF1691="ERRO_CHAVE"),"",IFERROR(MATCH(AF1691,'Quitados DUPP'!$U$1:$U$6635,0),""))</f>
        <v/>
      </c>
      <c r="AH1691" s="15" t="str">
        <f t="shared" si="2"/>
        <v/>
      </c>
      <c r="AI1691" s="17" t="str">
        <f>IF(AG1691="","",INDEX('Quitados DUPP'!$G$1:$G$6635,AG1691))</f>
        <v/>
      </c>
      <c r="AJ1691" s="17" t="str">
        <f t="shared" si="3"/>
        <v/>
      </c>
    </row>
    <row r="1692" spans="31:36">
      <c r="AE1692" s="15" t="str">
        <f t="shared" si="0"/>
        <v/>
      </c>
      <c r="AF1692" s="15" t="str">
        <f t="shared" si="1"/>
        <v/>
      </c>
      <c r="AG1692" s="15" t="str">
        <f>IF(OR(AF1692="",AF1692="ERRO_CHAVE"),"",IFERROR(MATCH(AF1692,'Quitados DUPP'!$U$1:$U$6635,0),""))</f>
        <v/>
      </c>
      <c r="AH1692" s="15" t="str">
        <f t="shared" si="2"/>
        <v/>
      </c>
      <c r="AI1692" s="17" t="str">
        <f>IF(AG1692="","",INDEX('Quitados DUPP'!$G$1:$G$6635,AG1692))</f>
        <v/>
      </c>
      <c r="AJ1692" s="17" t="str">
        <f t="shared" si="3"/>
        <v/>
      </c>
    </row>
    <row r="1693" spans="31:36">
      <c r="AE1693" s="15" t="str">
        <f t="shared" si="0"/>
        <v/>
      </c>
      <c r="AF1693" s="15" t="str">
        <f t="shared" si="1"/>
        <v/>
      </c>
      <c r="AG1693" s="15" t="str">
        <f>IF(OR(AF1693="",AF1693="ERRO_CHAVE"),"",IFERROR(MATCH(AF1693,'Quitados DUPP'!$U$1:$U$6635,0),""))</f>
        <v/>
      </c>
      <c r="AH1693" s="15" t="str">
        <f t="shared" si="2"/>
        <v/>
      </c>
      <c r="AI1693" s="17" t="str">
        <f>IF(AG1693="","",INDEX('Quitados DUPP'!$G$1:$G$6635,AG1693))</f>
        <v/>
      </c>
      <c r="AJ1693" s="17" t="str">
        <f t="shared" si="3"/>
        <v/>
      </c>
    </row>
    <row r="1694" spans="31:36">
      <c r="AE1694" s="15" t="str">
        <f t="shared" si="0"/>
        <v/>
      </c>
      <c r="AF1694" s="15" t="str">
        <f t="shared" si="1"/>
        <v/>
      </c>
      <c r="AG1694" s="15" t="str">
        <f>IF(OR(AF1694="",AF1694="ERRO_CHAVE"),"",IFERROR(MATCH(AF1694,'Quitados DUPP'!$U$1:$U$6635,0),""))</f>
        <v/>
      </c>
      <c r="AH1694" s="15" t="str">
        <f t="shared" si="2"/>
        <v/>
      </c>
      <c r="AI1694" s="17" t="str">
        <f>IF(AG1694="","",INDEX('Quitados DUPP'!$G$1:$G$6635,AG1694))</f>
        <v/>
      </c>
      <c r="AJ1694" s="17" t="str">
        <f t="shared" si="3"/>
        <v/>
      </c>
    </row>
    <row r="1695" spans="31:36">
      <c r="AE1695" s="15" t="str">
        <f t="shared" si="0"/>
        <v/>
      </c>
      <c r="AF1695" s="15" t="str">
        <f t="shared" si="1"/>
        <v/>
      </c>
      <c r="AG1695" s="15" t="str">
        <f>IF(OR(AF1695="",AF1695="ERRO_CHAVE"),"",IFERROR(MATCH(AF1695,'Quitados DUPP'!$U$1:$U$6635,0),""))</f>
        <v/>
      </c>
      <c r="AH1695" s="15" t="str">
        <f t="shared" si="2"/>
        <v/>
      </c>
      <c r="AI1695" s="17" t="str">
        <f>IF(AG1695="","",INDEX('Quitados DUPP'!$G$1:$G$6635,AG1695))</f>
        <v/>
      </c>
      <c r="AJ1695" s="17" t="str">
        <f t="shared" si="3"/>
        <v/>
      </c>
    </row>
    <row r="1696" spans="31:36">
      <c r="AE1696" s="15" t="str">
        <f t="shared" si="0"/>
        <v/>
      </c>
      <c r="AF1696" s="15" t="str">
        <f t="shared" si="1"/>
        <v/>
      </c>
      <c r="AG1696" s="15" t="str">
        <f>IF(OR(AF1696="",AF1696="ERRO_CHAVE"),"",IFERROR(MATCH(AF1696,'Quitados DUPP'!$U$1:$U$6635,0),""))</f>
        <v/>
      </c>
      <c r="AH1696" s="15" t="str">
        <f t="shared" si="2"/>
        <v/>
      </c>
      <c r="AI1696" s="17" t="str">
        <f>IF(AG1696="","",INDEX('Quitados DUPP'!$G$1:$G$6635,AG1696))</f>
        <v/>
      </c>
      <c r="AJ1696" s="17" t="str">
        <f t="shared" si="3"/>
        <v/>
      </c>
    </row>
    <row r="1697" spans="31:36">
      <c r="AE1697" s="15" t="str">
        <f t="shared" si="0"/>
        <v/>
      </c>
      <c r="AF1697" s="15" t="str">
        <f t="shared" si="1"/>
        <v/>
      </c>
      <c r="AG1697" s="15" t="str">
        <f>IF(OR(AF1697="",AF1697="ERRO_CHAVE"),"",IFERROR(MATCH(AF1697,'Quitados DUPP'!$U$1:$U$6635,0),""))</f>
        <v/>
      </c>
      <c r="AH1697" s="15" t="str">
        <f t="shared" si="2"/>
        <v/>
      </c>
      <c r="AI1697" s="17" t="str">
        <f>IF(AG1697="","",INDEX('Quitados DUPP'!$G$1:$G$6635,AG1697))</f>
        <v/>
      </c>
      <c r="AJ1697" s="17" t="str">
        <f t="shared" si="3"/>
        <v/>
      </c>
    </row>
    <row r="1698" spans="31:36">
      <c r="AE1698" s="15" t="str">
        <f t="shared" si="0"/>
        <v/>
      </c>
      <c r="AF1698" s="15" t="str">
        <f t="shared" si="1"/>
        <v/>
      </c>
      <c r="AG1698" s="15" t="str">
        <f>IF(OR(AF1698="",AF1698="ERRO_CHAVE"),"",IFERROR(MATCH(AF1698,'Quitados DUPP'!$U$1:$U$6635,0),""))</f>
        <v/>
      </c>
      <c r="AH1698" s="15" t="str">
        <f t="shared" si="2"/>
        <v/>
      </c>
      <c r="AI1698" s="17" t="str">
        <f>IF(AG1698="","",INDEX('Quitados DUPP'!$G$1:$G$6635,AG1698))</f>
        <v/>
      </c>
      <c r="AJ1698" s="17" t="str">
        <f t="shared" si="3"/>
        <v/>
      </c>
    </row>
    <row r="1699" spans="31:36">
      <c r="AE1699" s="15" t="str">
        <f t="shared" si="0"/>
        <v/>
      </c>
      <c r="AF1699" s="15" t="str">
        <f t="shared" si="1"/>
        <v/>
      </c>
      <c r="AG1699" s="15" t="str">
        <f>IF(OR(AF1699="",AF1699="ERRO_CHAVE"),"",IFERROR(MATCH(AF1699,'Quitados DUPP'!$U$1:$U$6635,0),""))</f>
        <v/>
      </c>
      <c r="AH1699" s="15" t="str">
        <f t="shared" si="2"/>
        <v/>
      </c>
      <c r="AI1699" s="17" t="str">
        <f>IF(AG1699="","",INDEX('Quitados DUPP'!$G$1:$G$6635,AG1699))</f>
        <v/>
      </c>
      <c r="AJ1699" s="17" t="str">
        <f t="shared" si="3"/>
        <v/>
      </c>
    </row>
    <row r="1700" spans="31:36">
      <c r="AE1700" s="15" t="str">
        <f t="shared" si="0"/>
        <v/>
      </c>
      <c r="AF1700" s="15" t="str">
        <f t="shared" si="1"/>
        <v/>
      </c>
      <c r="AG1700" s="15" t="str">
        <f>IF(OR(AF1700="",AF1700="ERRO_CHAVE"),"",IFERROR(MATCH(AF1700,'Quitados DUPP'!$U$1:$U$6635,0),""))</f>
        <v/>
      </c>
      <c r="AH1700" s="15" t="str">
        <f t="shared" si="2"/>
        <v/>
      </c>
      <c r="AI1700" s="17" t="str">
        <f>IF(AG1700="","",INDEX('Quitados DUPP'!$G$1:$G$6635,AG1700))</f>
        <v/>
      </c>
      <c r="AJ1700" s="17" t="str">
        <f t="shared" si="3"/>
        <v/>
      </c>
    </row>
    <row r="1701" spans="31:36">
      <c r="AE1701" s="15" t="str">
        <f t="shared" si="0"/>
        <v/>
      </c>
      <c r="AF1701" s="15" t="str">
        <f t="shared" si="1"/>
        <v/>
      </c>
      <c r="AG1701" s="15" t="str">
        <f>IF(OR(AF1701="",AF1701="ERRO_CHAVE"),"",IFERROR(MATCH(AF1701,'Quitados DUPP'!$U$1:$U$6635,0),""))</f>
        <v/>
      </c>
      <c r="AH1701" s="15" t="str">
        <f t="shared" si="2"/>
        <v/>
      </c>
      <c r="AI1701" s="17" t="str">
        <f>IF(AG1701="","",INDEX('Quitados DUPP'!$G$1:$G$6635,AG1701))</f>
        <v/>
      </c>
      <c r="AJ1701" s="17" t="str">
        <f t="shared" si="3"/>
        <v/>
      </c>
    </row>
    <row r="1702" spans="31:36">
      <c r="AE1702" s="15" t="str">
        <f t="shared" si="0"/>
        <v/>
      </c>
      <c r="AF1702" s="15" t="str">
        <f t="shared" si="1"/>
        <v/>
      </c>
      <c r="AG1702" s="15" t="str">
        <f>IF(OR(AF1702="",AF1702="ERRO_CHAVE"),"",IFERROR(MATCH(AF1702,'Quitados DUPP'!$U$1:$U$6635,0),""))</f>
        <v/>
      </c>
      <c r="AH1702" s="15" t="str">
        <f t="shared" si="2"/>
        <v/>
      </c>
      <c r="AI1702" s="17" t="str">
        <f>IF(AG1702="","",INDEX('Quitados DUPP'!$G$1:$G$6635,AG1702))</f>
        <v/>
      </c>
      <c r="AJ1702" s="17" t="str">
        <f t="shared" si="3"/>
        <v/>
      </c>
    </row>
    <row r="1703" spans="31:36">
      <c r="AE1703" s="15" t="str">
        <f t="shared" si="0"/>
        <v/>
      </c>
      <c r="AF1703" s="15" t="str">
        <f t="shared" si="1"/>
        <v/>
      </c>
      <c r="AG1703" s="15" t="str">
        <f>IF(OR(AF1703="",AF1703="ERRO_CHAVE"),"",IFERROR(MATCH(AF1703,'Quitados DUPP'!$U$1:$U$6635,0),""))</f>
        <v/>
      </c>
      <c r="AH1703" s="15" t="str">
        <f t="shared" si="2"/>
        <v/>
      </c>
      <c r="AI1703" s="17" t="str">
        <f>IF(AG1703="","",INDEX('Quitados DUPP'!$G$1:$G$6635,AG1703))</f>
        <v/>
      </c>
      <c r="AJ1703" s="17" t="str">
        <f t="shared" si="3"/>
        <v/>
      </c>
    </row>
    <row r="1704" spans="31:36">
      <c r="AE1704" s="15" t="str">
        <f t="shared" si="0"/>
        <v/>
      </c>
      <c r="AF1704" s="15" t="str">
        <f t="shared" si="1"/>
        <v/>
      </c>
      <c r="AG1704" s="15" t="str">
        <f>IF(OR(AF1704="",AF1704="ERRO_CHAVE"),"",IFERROR(MATCH(AF1704,'Quitados DUPP'!$U$1:$U$6635,0),""))</f>
        <v/>
      </c>
      <c r="AH1704" s="15" t="str">
        <f t="shared" si="2"/>
        <v/>
      </c>
      <c r="AI1704" s="17" t="str">
        <f>IF(AG1704="","",INDEX('Quitados DUPP'!$G$1:$G$6635,AG1704))</f>
        <v/>
      </c>
      <c r="AJ1704" s="17" t="str">
        <f t="shared" si="3"/>
        <v/>
      </c>
    </row>
    <row r="1705" spans="31:36">
      <c r="AE1705" s="15" t="str">
        <f t="shared" si="0"/>
        <v/>
      </c>
      <c r="AF1705" s="15" t="str">
        <f t="shared" si="1"/>
        <v/>
      </c>
      <c r="AG1705" s="15" t="str">
        <f>IF(OR(AF1705="",AF1705="ERRO_CHAVE"),"",IFERROR(MATCH(AF1705,'Quitados DUPP'!$U$1:$U$6635,0),""))</f>
        <v/>
      </c>
      <c r="AH1705" s="15" t="str">
        <f t="shared" si="2"/>
        <v/>
      </c>
      <c r="AI1705" s="17" t="str">
        <f>IF(AG1705="","",INDEX('Quitados DUPP'!$G$1:$G$6635,AG1705))</f>
        <v/>
      </c>
      <c r="AJ1705" s="17" t="str">
        <f t="shared" si="3"/>
        <v/>
      </c>
    </row>
    <row r="1706" spans="31:36">
      <c r="AE1706" s="15" t="str">
        <f t="shared" si="0"/>
        <v/>
      </c>
      <c r="AF1706" s="15" t="str">
        <f t="shared" si="1"/>
        <v/>
      </c>
      <c r="AG1706" s="15" t="str">
        <f>IF(OR(AF1706="",AF1706="ERRO_CHAVE"),"",IFERROR(MATCH(AF1706,'Quitados DUPP'!$U$1:$U$6635,0),""))</f>
        <v/>
      </c>
      <c r="AH1706" s="15" t="str">
        <f t="shared" si="2"/>
        <v/>
      </c>
      <c r="AI1706" s="17" t="str">
        <f>IF(AG1706="","",INDEX('Quitados DUPP'!$G$1:$G$6635,AG1706))</f>
        <v/>
      </c>
      <c r="AJ1706" s="17" t="str">
        <f t="shared" si="3"/>
        <v/>
      </c>
    </row>
    <row r="1707" spans="31:36">
      <c r="AE1707" s="15" t="str">
        <f t="shared" si="0"/>
        <v/>
      </c>
      <c r="AF1707" s="15" t="str">
        <f t="shared" si="1"/>
        <v/>
      </c>
      <c r="AG1707" s="15" t="str">
        <f>IF(OR(AF1707="",AF1707="ERRO_CHAVE"),"",IFERROR(MATCH(AF1707,'Quitados DUPP'!$U$1:$U$6635,0),""))</f>
        <v/>
      </c>
      <c r="AH1707" s="15" t="str">
        <f t="shared" si="2"/>
        <v/>
      </c>
      <c r="AI1707" s="17" t="str">
        <f>IF(AG1707="","",INDEX('Quitados DUPP'!$G$1:$G$6635,AG1707))</f>
        <v/>
      </c>
      <c r="AJ1707" s="17" t="str">
        <f t="shared" si="3"/>
        <v/>
      </c>
    </row>
    <row r="1708" spans="31:36">
      <c r="AE1708" s="15" t="str">
        <f t="shared" si="0"/>
        <v/>
      </c>
      <c r="AF1708" s="15" t="str">
        <f t="shared" si="1"/>
        <v/>
      </c>
      <c r="AG1708" s="15" t="str">
        <f>IF(OR(AF1708="",AF1708="ERRO_CHAVE"),"",IFERROR(MATCH(AF1708,'Quitados DUPP'!$U$1:$U$6635,0),""))</f>
        <v/>
      </c>
      <c r="AH1708" s="15" t="str">
        <f t="shared" si="2"/>
        <v/>
      </c>
      <c r="AI1708" s="17" t="str">
        <f>IF(AG1708="","",INDEX('Quitados DUPP'!$G$1:$G$6635,AG1708))</f>
        <v/>
      </c>
      <c r="AJ1708" s="17" t="str">
        <f t="shared" si="3"/>
        <v/>
      </c>
    </row>
    <row r="1709" spans="31:36">
      <c r="AE1709" s="15" t="str">
        <f t="shared" si="0"/>
        <v/>
      </c>
      <c r="AF1709" s="15" t="str">
        <f t="shared" si="1"/>
        <v/>
      </c>
      <c r="AG1709" s="15" t="str">
        <f>IF(OR(AF1709="",AF1709="ERRO_CHAVE"),"",IFERROR(MATCH(AF1709,'Quitados DUPP'!$U$1:$U$6635,0),""))</f>
        <v/>
      </c>
      <c r="AH1709" s="15" t="str">
        <f t="shared" si="2"/>
        <v/>
      </c>
      <c r="AI1709" s="17" t="str">
        <f>IF(AG1709="","",INDEX('Quitados DUPP'!$G$1:$G$6635,AG1709))</f>
        <v/>
      </c>
      <c r="AJ1709" s="17" t="str">
        <f t="shared" si="3"/>
        <v/>
      </c>
    </row>
    <row r="1710" spans="31:36">
      <c r="AE1710" s="15" t="str">
        <f t="shared" si="0"/>
        <v/>
      </c>
      <c r="AF1710" s="15" t="str">
        <f t="shared" si="1"/>
        <v/>
      </c>
      <c r="AG1710" s="15" t="str">
        <f>IF(OR(AF1710="",AF1710="ERRO_CHAVE"),"",IFERROR(MATCH(AF1710,'Quitados DUPP'!$U$1:$U$6635,0),""))</f>
        <v/>
      </c>
      <c r="AH1710" s="15" t="str">
        <f t="shared" si="2"/>
        <v/>
      </c>
      <c r="AI1710" s="17" t="str">
        <f>IF(AG1710="","",INDEX('Quitados DUPP'!$G$1:$G$6635,AG1710))</f>
        <v/>
      </c>
      <c r="AJ1710" s="17" t="str">
        <f t="shared" si="3"/>
        <v/>
      </c>
    </row>
    <row r="1711" spans="31:36">
      <c r="AE1711" s="15" t="str">
        <f t="shared" si="0"/>
        <v/>
      </c>
      <c r="AF1711" s="15" t="str">
        <f t="shared" si="1"/>
        <v/>
      </c>
      <c r="AG1711" s="15" t="str">
        <f>IF(OR(AF1711="",AF1711="ERRO_CHAVE"),"",IFERROR(MATCH(AF1711,'Quitados DUPP'!$U$1:$U$6635,0),""))</f>
        <v/>
      </c>
      <c r="AH1711" s="15" t="str">
        <f t="shared" si="2"/>
        <v/>
      </c>
      <c r="AI1711" s="17" t="str">
        <f>IF(AG1711="","",INDEX('Quitados DUPP'!$G$1:$G$6635,AG1711))</f>
        <v/>
      </c>
      <c r="AJ1711" s="17" t="str">
        <f t="shared" si="3"/>
        <v/>
      </c>
    </row>
    <row r="1712" spans="31:36">
      <c r="AE1712" s="15" t="str">
        <f t="shared" si="0"/>
        <v/>
      </c>
      <c r="AF1712" s="15" t="str">
        <f t="shared" si="1"/>
        <v/>
      </c>
      <c r="AG1712" s="15" t="str">
        <f>IF(OR(AF1712="",AF1712="ERRO_CHAVE"),"",IFERROR(MATCH(AF1712,'Quitados DUPP'!$U$1:$U$6635,0),""))</f>
        <v/>
      </c>
      <c r="AH1712" s="15" t="str">
        <f t="shared" si="2"/>
        <v/>
      </c>
      <c r="AI1712" s="17" t="str">
        <f>IF(AG1712="","",INDEX('Quitados DUPP'!$G$1:$G$6635,AG1712))</f>
        <v/>
      </c>
      <c r="AJ1712" s="17" t="str">
        <f t="shared" si="3"/>
        <v/>
      </c>
    </row>
    <row r="1713" spans="31:36">
      <c r="AE1713" s="15" t="str">
        <f t="shared" si="0"/>
        <v/>
      </c>
      <c r="AF1713" s="15" t="str">
        <f t="shared" si="1"/>
        <v/>
      </c>
      <c r="AG1713" s="15" t="str">
        <f>IF(OR(AF1713="",AF1713="ERRO_CHAVE"),"",IFERROR(MATCH(AF1713,'Quitados DUPP'!$U$1:$U$6635,0),""))</f>
        <v/>
      </c>
      <c r="AH1713" s="15" t="str">
        <f t="shared" si="2"/>
        <v/>
      </c>
      <c r="AI1713" s="17" t="str">
        <f>IF(AG1713="","",INDEX('Quitados DUPP'!$G$1:$G$6635,AG1713))</f>
        <v/>
      </c>
      <c r="AJ1713" s="17" t="str">
        <f t="shared" si="3"/>
        <v/>
      </c>
    </row>
    <row r="1714" spans="31:36">
      <c r="AE1714" s="15" t="str">
        <f t="shared" si="0"/>
        <v/>
      </c>
      <c r="AF1714" s="15" t="str">
        <f t="shared" si="1"/>
        <v/>
      </c>
      <c r="AG1714" s="15" t="str">
        <f>IF(OR(AF1714="",AF1714="ERRO_CHAVE"),"",IFERROR(MATCH(AF1714,'Quitados DUPP'!$U$1:$U$6635,0),""))</f>
        <v/>
      </c>
      <c r="AH1714" s="15" t="str">
        <f t="shared" si="2"/>
        <v/>
      </c>
      <c r="AI1714" s="17" t="str">
        <f>IF(AG1714="","",INDEX('Quitados DUPP'!$G$1:$G$6635,AG1714))</f>
        <v/>
      </c>
      <c r="AJ1714" s="17" t="str">
        <f t="shared" si="3"/>
        <v/>
      </c>
    </row>
    <row r="1715" spans="31:36">
      <c r="AE1715" s="15" t="str">
        <f t="shared" si="0"/>
        <v/>
      </c>
      <c r="AF1715" s="15" t="str">
        <f t="shared" si="1"/>
        <v/>
      </c>
      <c r="AG1715" s="15" t="str">
        <f>IF(OR(AF1715="",AF1715="ERRO_CHAVE"),"",IFERROR(MATCH(AF1715,'Quitados DUPP'!$U$1:$U$6635,0),""))</f>
        <v/>
      </c>
      <c r="AH1715" s="15" t="str">
        <f t="shared" si="2"/>
        <v/>
      </c>
      <c r="AI1715" s="17" t="str">
        <f>IF(AG1715="","",INDEX('Quitados DUPP'!$G$1:$G$6635,AG1715))</f>
        <v/>
      </c>
      <c r="AJ1715" s="17" t="str">
        <f t="shared" si="3"/>
        <v/>
      </c>
    </row>
    <row r="1716" spans="31:36">
      <c r="AE1716" s="15" t="str">
        <f t="shared" si="0"/>
        <v/>
      </c>
      <c r="AF1716" s="15" t="str">
        <f t="shared" si="1"/>
        <v/>
      </c>
      <c r="AG1716" s="15" t="str">
        <f>IF(OR(AF1716="",AF1716="ERRO_CHAVE"),"",IFERROR(MATCH(AF1716,'Quitados DUPP'!$U$1:$U$6635,0),""))</f>
        <v/>
      </c>
      <c r="AH1716" s="15" t="str">
        <f t="shared" si="2"/>
        <v/>
      </c>
      <c r="AI1716" s="17" t="str">
        <f>IF(AG1716="","",INDEX('Quitados DUPP'!$G$1:$G$6635,AG1716))</f>
        <v/>
      </c>
      <c r="AJ1716" s="17" t="str">
        <f t="shared" si="3"/>
        <v/>
      </c>
    </row>
    <row r="1717" spans="31:36">
      <c r="AE1717" s="15" t="str">
        <f t="shared" si="0"/>
        <v/>
      </c>
      <c r="AF1717" s="15" t="str">
        <f t="shared" si="1"/>
        <v/>
      </c>
      <c r="AG1717" s="15" t="str">
        <f>IF(OR(AF1717="",AF1717="ERRO_CHAVE"),"",IFERROR(MATCH(AF1717,'Quitados DUPP'!$U$1:$U$6635,0),""))</f>
        <v/>
      </c>
      <c r="AH1717" s="15" t="str">
        <f t="shared" si="2"/>
        <v/>
      </c>
      <c r="AI1717" s="17" t="str">
        <f>IF(AG1717="","",INDEX('Quitados DUPP'!$G$1:$G$6635,AG1717))</f>
        <v/>
      </c>
      <c r="AJ1717" s="17" t="str">
        <f t="shared" si="3"/>
        <v/>
      </c>
    </row>
    <row r="1718" spans="31:36">
      <c r="AE1718" s="15" t="str">
        <f t="shared" si="0"/>
        <v/>
      </c>
      <c r="AF1718" s="15" t="str">
        <f t="shared" si="1"/>
        <v/>
      </c>
      <c r="AG1718" s="15" t="str">
        <f>IF(OR(AF1718="",AF1718="ERRO_CHAVE"),"",IFERROR(MATCH(AF1718,'Quitados DUPP'!$U$1:$U$6635,0),""))</f>
        <v/>
      </c>
      <c r="AH1718" s="15" t="str">
        <f t="shared" si="2"/>
        <v/>
      </c>
      <c r="AI1718" s="17" t="str">
        <f>IF(AG1718="","",INDEX('Quitados DUPP'!$G$1:$G$6635,AG1718))</f>
        <v/>
      </c>
      <c r="AJ1718" s="17" t="str">
        <f t="shared" si="3"/>
        <v/>
      </c>
    </row>
    <row r="1719" spans="31:36">
      <c r="AE1719" s="15" t="str">
        <f t="shared" si="0"/>
        <v/>
      </c>
      <c r="AF1719" s="15" t="str">
        <f t="shared" si="1"/>
        <v/>
      </c>
      <c r="AG1719" s="15" t="str">
        <f>IF(OR(AF1719="",AF1719="ERRO_CHAVE"),"",IFERROR(MATCH(AF1719,'Quitados DUPP'!$U$1:$U$6635,0),""))</f>
        <v/>
      </c>
      <c r="AH1719" s="15" t="str">
        <f t="shared" si="2"/>
        <v/>
      </c>
      <c r="AI1719" s="17" t="str">
        <f>IF(AG1719="","",INDEX('Quitados DUPP'!$G$1:$G$6635,AG1719))</f>
        <v/>
      </c>
      <c r="AJ1719" s="17" t="str">
        <f t="shared" si="3"/>
        <v/>
      </c>
    </row>
    <row r="1720" spans="31:36">
      <c r="AE1720" s="15" t="str">
        <f t="shared" si="0"/>
        <v/>
      </c>
      <c r="AF1720" s="15" t="str">
        <f t="shared" si="1"/>
        <v/>
      </c>
      <c r="AG1720" s="15" t="str">
        <f>IF(OR(AF1720="",AF1720="ERRO_CHAVE"),"",IFERROR(MATCH(AF1720,'Quitados DUPP'!$U$1:$U$6635,0),""))</f>
        <v/>
      </c>
      <c r="AH1720" s="15" t="str">
        <f t="shared" si="2"/>
        <v/>
      </c>
      <c r="AI1720" s="17" t="str">
        <f>IF(AG1720="","",INDEX('Quitados DUPP'!$G$1:$G$6635,AG1720))</f>
        <v/>
      </c>
      <c r="AJ1720" s="17" t="str">
        <f t="shared" si="3"/>
        <v/>
      </c>
    </row>
    <row r="1721" spans="31:36">
      <c r="AE1721" s="15" t="str">
        <f t="shared" si="0"/>
        <v/>
      </c>
      <c r="AF1721" s="15" t="str">
        <f t="shared" si="1"/>
        <v/>
      </c>
      <c r="AG1721" s="15" t="str">
        <f>IF(OR(AF1721="",AF1721="ERRO_CHAVE"),"",IFERROR(MATCH(AF1721,'Quitados DUPP'!$U$1:$U$6635,0),""))</f>
        <v/>
      </c>
      <c r="AH1721" s="15" t="str">
        <f t="shared" si="2"/>
        <v/>
      </c>
      <c r="AI1721" s="17" t="str">
        <f>IF(AG1721="","",INDEX('Quitados DUPP'!$G$1:$G$6635,AG1721))</f>
        <v/>
      </c>
      <c r="AJ1721" s="17" t="str">
        <f t="shared" si="3"/>
        <v/>
      </c>
    </row>
    <row r="1722" spans="31:36">
      <c r="AE1722" s="15" t="str">
        <f t="shared" si="0"/>
        <v/>
      </c>
      <c r="AF1722" s="15" t="str">
        <f t="shared" si="1"/>
        <v/>
      </c>
      <c r="AG1722" s="15" t="str">
        <f>IF(OR(AF1722="",AF1722="ERRO_CHAVE"),"",IFERROR(MATCH(AF1722,'Quitados DUPP'!$U$1:$U$6635,0),""))</f>
        <v/>
      </c>
      <c r="AH1722" s="15" t="str">
        <f t="shared" si="2"/>
        <v/>
      </c>
      <c r="AI1722" s="17" t="str">
        <f>IF(AG1722="","",INDEX('Quitados DUPP'!$G$1:$G$6635,AG1722))</f>
        <v/>
      </c>
      <c r="AJ1722" s="17" t="str">
        <f t="shared" si="3"/>
        <v/>
      </c>
    </row>
    <row r="1723" spans="31:36">
      <c r="AE1723" s="15" t="str">
        <f t="shared" si="0"/>
        <v/>
      </c>
      <c r="AF1723" s="15" t="str">
        <f t="shared" si="1"/>
        <v/>
      </c>
      <c r="AG1723" s="15" t="str">
        <f>IF(OR(AF1723="",AF1723="ERRO_CHAVE"),"",IFERROR(MATCH(AF1723,'Quitados DUPP'!$U$1:$U$6635,0),""))</f>
        <v/>
      </c>
      <c r="AH1723" s="15" t="str">
        <f t="shared" si="2"/>
        <v/>
      </c>
      <c r="AI1723" s="17" t="str">
        <f>IF(AG1723="","",INDEX('Quitados DUPP'!$G$1:$G$6635,AG1723))</f>
        <v/>
      </c>
      <c r="AJ1723" s="17" t="str">
        <f t="shared" si="3"/>
        <v/>
      </c>
    </row>
    <row r="1724" spans="31:36">
      <c r="AE1724" s="15" t="str">
        <f t="shared" si="0"/>
        <v/>
      </c>
      <c r="AF1724" s="15" t="str">
        <f t="shared" si="1"/>
        <v/>
      </c>
      <c r="AG1724" s="15" t="str">
        <f>IF(OR(AF1724="",AF1724="ERRO_CHAVE"),"",IFERROR(MATCH(AF1724,'Quitados DUPP'!$U$1:$U$6635,0),""))</f>
        <v/>
      </c>
      <c r="AH1724" s="15" t="str">
        <f t="shared" si="2"/>
        <v/>
      </c>
      <c r="AI1724" s="17" t="str">
        <f>IF(AG1724="","",INDEX('Quitados DUPP'!$G$1:$G$6635,AG1724))</f>
        <v/>
      </c>
      <c r="AJ1724" s="17" t="str">
        <f t="shared" si="3"/>
        <v/>
      </c>
    </row>
    <row r="1725" spans="31:36">
      <c r="AE1725" s="15" t="str">
        <f t="shared" si="0"/>
        <v/>
      </c>
      <c r="AF1725" s="15" t="str">
        <f t="shared" si="1"/>
        <v/>
      </c>
      <c r="AG1725" s="15" t="str">
        <f>IF(OR(AF1725="",AF1725="ERRO_CHAVE"),"",IFERROR(MATCH(AF1725,'Quitados DUPP'!$U$1:$U$6635,0),""))</f>
        <v/>
      </c>
      <c r="AH1725" s="15" t="str">
        <f t="shared" si="2"/>
        <v/>
      </c>
      <c r="AI1725" s="17" t="str">
        <f>IF(AG1725="","",INDEX('Quitados DUPP'!$G$1:$G$6635,AG1725))</f>
        <v/>
      </c>
      <c r="AJ1725" s="17" t="str">
        <f t="shared" si="3"/>
        <v/>
      </c>
    </row>
    <row r="1726" spans="31:36">
      <c r="AE1726" s="15" t="str">
        <f t="shared" si="0"/>
        <v/>
      </c>
      <c r="AF1726" s="15" t="str">
        <f t="shared" si="1"/>
        <v/>
      </c>
      <c r="AG1726" s="15" t="str">
        <f>IF(OR(AF1726="",AF1726="ERRO_CHAVE"),"",IFERROR(MATCH(AF1726,'Quitados DUPP'!$U$1:$U$6635,0),""))</f>
        <v/>
      </c>
      <c r="AH1726" s="15" t="str">
        <f t="shared" si="2"/>
        <v/>
      </c>
      <c r="AI1726" s="17" t="str">
        <f>IF(AG1726="","",INDEX('Quitados DUPP'!$G$1:$G$6635,AG1726))</f>
        <v/>
      </c>
      <c r="AJ1726" s="17" t="str">
        <f t="shared" si="3"/>
        <v/>
      </c>
    </row>
    <row r="1727" spans="31:36">
      <c r="AE1727" s="15" t="str">
        <f t="shared" si="0"/>
        <v/>
      </c>
      <c r="AF1727" s="15" t="str">
        <f t="shared" si="1"/>
        <v/>
      </c>
      <c r="AG1727" s="15" t="str">
        <f>IF(OR(AF1727="",AF1727="ERRO_CHAVE"),"",IFERROR(MATCH(AF1727,'Quitados DUPP'!$U$1:$U$6635,0),""))</f>
        <v/>
      </c>
      <c r="AH1727" s="15" t="str">
        <f t="shared" si="2"/>
        <v/>
      </c>
      <c r="AI1727" s="17" t="str">
        <f>IF(AG1727="","",INDEX('Quitados DUPP'!$G$1:$G$6635,AG1727))</f>
        <v/>
      </c>
      <c r="AJ1727" s="17" t="str">
        <f t="shared" si="3"/>
        <v/>
      </c>
    </row>
    <row r="1728" spans="31:36">
      <c r="AE1728" s="15" t="str">
        <f t="shared" si="0"/>
        <v/>
      </c>
      <c r="AF1728" s="15" t="str">
        <f t="shared" si="1"/>
        <v/>
      </c>
      <c r="AG1728" s="15" t="str">
        <f>IF(OR(AF1728="",AF1728="ERRO_CHAVE"),"",IFERROR(MATCH(AF1728,'Quitados DUPP'!$U$1:$U$6635,0),""))</f>
        <v/>
      </c>
      <c r="AH1728" s="15" t="str">
        <f t="shared" si="2"/>
        <v/>
      </c>
      <c r="AI1728" s="17" t="str">
        <f>IF(AG1728="","",INDEX('Quitados DUPP'!$G$1:$G$6635,AG1728))</f>
        <v/>
      </c>
      <c r="AJ1728" s="17" t="str">
        <f t="shared" si="3"/>
        <v/>
      </c>
    </row>
    <row r="1729" spans="31:36">
      <c r="AE1729" s="15" t="str">
        <f t="shared" si="0"/>
        <v/>
      </c>
      <c r="AF1729" s="15" t="str">
        <f t="shared" si="1"/>
        <v/>
      </c>
      <c r="AG1729" s="15" t="str">
        <f>IF(OR(AF1729="",AF1729="ERRO_CHAVE"),"",IFERROR(MATCH(AF1729,'Quitados DUPP'!$U$1:$U$6635,0),""))</f>
        <v/>
      </c>
      <c r="AH1729" s="15" t="str">
        <f t="shared" si="2"/>
        <v/>
      </c>
      <c r="AI1729" s="17" t="str">
        <f>IF(AG1729="","",INDEX('Quitados DUPP'!$G$1:$G$6635,AG1729))</f>
        <v/>
      </c>
      <c r="AJ1729" s="17" t="str">
        <f t="shared" si="3"/>
        <v/>
      </c>
    </row>
    <row r="1730" spans="31:36">
      <c r="AE1730" s="15" t="str">
        <f t="shared" si="0"/>
        <v/>
      </c>
      <c r="AF1730" s="15" t="str">
        <f t="shared" si="1"/>
        <v/>
      </c>
      <c r="AG1730" s="15" t="str">
        <f>IF(OR(AF1730="",AF1730="ERRO_CHAVE"),"",IFERROR(MATCH(AF1730,'Quitados DUPP'!$U$1:$U$6635,0),""))</f>
        <v/>
      </c>
      <c r="AH1730" s="15" t="str">
        <f t="shared" si="2"/>
        <v/>
      </c>
      <c r="AI1730" s="17" t="str">
        <f>IF(AG1730="","",INDEX('Quitados DUPP'!$G$1:$G$6635,AG1730))</f>
        <v/>
      </c>
      <c r="AJ1730" s="17" t="str">
        <f t="shared" si="3"/>
        <v/>
      </c>
    </row>
    <row r="1731" spans="31:36">
      <c r="AE1731" s="15" t="str">
        <f t="shared" si="0"/>
        <v/>
      </c>
      <c r="AF1731" s="15" t="str">
        <f t="shared" si="1"/>
        <v/>
      </c>
      <c r="AG1731" s="15" t="str">
        <f>IF(OR(AF1731="",AF1731="ERRO_CHAVE"),"",IFERROR(MATCH(AF1731,'Quitados DUPP'!$U$1:$U$6635,0),""))</f>
        <v/>
      </c>
      <c r="AH1731" s="15" t="str">
        <f t="shared" si="2"/>
        <v/>
      </c>
      <c r="AI1731" s="17" t="str">
        <f>IF(AG1731="","",INDEX('Quitados DUPP'!$G$1:$G$6635,AG1731))</f>
        <v/>
      </c>
      <c r="AJ1731" s="17" t="str">
        <f t="shared" si="3"/>
        <v/>
      </c>
    </row>
    <row r="1732" spans="31:36">
      <c r="AE1732" s="15" t="str">
        <f t="shared" si="0"/>
        <v/>
      </c>
      <c r="AF1732" s="15" t="str">
        <f t="shared" si="1"/>
        <v/>
      </c>
      <c r="AG1732" s="15" t="str">
        <f>IF(OR(AF1732="",AF1732="ERRO_CHAVE"),"",IFERROR(MATCH(AF1732,'Quitados DUPP'!$U$1:$U$6635,0),""))</f>
        <v/>
      </c>
      <c r="AH1732" s="15" t="str">
        <f t="shared" si="2"/>
        <v/>
      </c>
      <c r="AI1732" s="17" t="str">
        <f>IF(AG1732="","",INDEX('Quitados DUPP'!$G$1:$G$6635,AG1732))</f>
        <v/>
      </c>
      <c r="AJ1732" s="17" t="str">
        <f t="shared" si="3"/>
        <v/>
      </c>
    </row>
    <row r="1733" spans="31:36">
      <c r="AE1733" s="15" t="str">
        <f t="shared" si="0"/>
        <v/>
      </c>
      <c r="AF1733" s="15" t="str">
        <f t="shared" si="1"/>
        <v/>
      </c>
      <c r="AG1733" s="15" t="str">
        <f>IF(OR(AF1733="",AF1733="ERRO_CHAVE"),"",IFERROR(MATCH(AF1733,'Quitados DUPP'!$U$1:$U$6635,0),""))</f>
        <v/>
      </c>
      <c r="AH1733" s="15" t="str">
        <f t="shared" si="2"/>
        <v/>
      </c>
      <c r="AI1733" s="17" t="str">
        <f>IF(AG1733="","",INDEX('Quitados DUPP'!$G$1:$G$6635,AG1733))</f>
        <v/>
      </c>
      <c r="AJ1733" s="17" t="str">
        <f t="shared" si="3"/>
        <v/>
      </c>
    </row>
    <row r="1734" spans="31:36">
      <c r="AE1734" s="15" t="str">
        <f t="shared" si="0"/>
        <v/>
      </c>
      <c r="AF1734" s="15" t="str">
        <f t="shared" si="1"/>
        <v/>
      </c>
      <c r="AG1734" s="15" t="str">
        <f>IF(OR(AF1734="",AF1734="ERRO_CHAVE"),"",IFERROR(MATCH(AF1734,'Quitados DUPP'!$U$1:$U$6635,0),""))</f>
        <v/>
      </c>
      <c r="AH1734" s="15" t="str">
        <f t="shared" si="2"/>
        <v/>
      </c>
      <c r="AI1734" s="17" t="str">
        <f>IF(AG1734="","",INDEX('Quitados DUPP'!$G$1:$G$6635,AG1734))</f>
        <v/>
      </c>
      <c r="AJ1734" s="17" t="str">
        <f t="shared" si="3"/>
        <v/>
      </c>
    </row>
    <row r="1735" spans="31:36">
      <c r="AE1735" s="15" t="str">
        <f t="shared" si="0"/>
        <v/>
      </c>
      <c r="AF1735" s="15" t="str">
        <f t="shared" si="1"/>
        <v/>
      </c>
      <c r="AG1735" s="15" t="str">
        <f>IF(OR(AF1735="",AF1735="ERRO_CHAVE"),"",IFERROR(MATCH(AF1735,'Quitados DUPP'!$U$1:$U$6635,0),""))</f>
        <v/>
      </c>
      <c r="AH1735" s="15" t="str">
        <f t="shared" si="2"/>
        <v/>
      </c>
      <c r="AI1735" s="17" t="str">
        <f>IF(AG1735="","",INDEX('Quitados DUPP'!$G$1:$G$6635,AG1735))</f>
        <v/>
      </c>
      <c r="AJ1735" s="17" t="str">
        <f t="shared" si="3"/>
        <v/>
      </c>
    </row>
    <row r="1736" spans="31:36">
      <c r="AE1736" s="15" t="str">
        <f t="shared" si="0"/>
        <v/>
      </c>
      <c r="AF1736" s="15" t="str">
        <f t="shared" si="1"/>
        <v/>
      </c>
      <c r="AG1736" s="15" t="str">
        <f>IF(OR(AF1736="",AF1736="ERRO_CHAVE"),"",IFERROR(MATCH(AF1736,'Quitados DUPP'!$U$1:$U$6635,0),""))</f>
        <v/>
      </c>
      <c r="AH1736" s="15" t="str">
        <f t="shared" si="2"/>
        <v/>
      </c>
      <c r="AI1736" s="17" t="str">
        <f>IF(AG1736="","",INDEX('Quitados DUPP'!$G$1:$G$6635,AG1736))</f>
        <v/>
      </c>
      <c r="AJ1736" s="17" t="str">
        <f t="shared" si="3"/>
        <v/>
      </c>
    </row>
    <row r="1737" spans="31:36">
      <c r="AE1737" s="15" t="str">
        <f t="shared" si="0"/>
        <v/>
      </c>
      <c r="AF1737" s="15" t="str">
        <f t="shared" si="1"/>
        <v/>
      </c>
      <c r="AG1737" s="15" t="str">
        <f>IF(OR(AF1737="",AF1737="ERRO_CHAVE"),"",IFERROR(MATCH(AF1737,'Quitados DUPP'!$U$1:$U$6635,0),""))</f>
        <v/>
      </c>
      <c r="AH1737" s="15" t="str">
        <f t="shared" si="2"/>
        <v/>
      </c>
      <c r="AI1737" s="17" t="str">
        <f>IF(AG1737="","",INDEX('Quitados DUPP'!$G$1:$G$6635,AG1737))</f>
        <v/>
      </c>
      <c r="AJ1737" s="17" t="str">
        <f t="shared" si="3"/>
        <v/>
      </c>
    </row>
    <row r="1738" spans="31:36">
      <c r="AE1738" s="15" t="str">
        <f t="shared" si="0"/>
        <v/>
      </c>
      <c r="AF1738" s="15" t="str">
        <f t="shared" si="1"/>
        <v/>
      </c>
      <c r="AG1738" s="15" t="str">
        <f>IF(OR(AF1738="",AF1738="ERRO_CHAVE"),"",IFERROR(MATCH(AF1738,'Quitados DUPP'!$U$1:$U$6635,0),""))</f>
        <v/>
      </c>
      <c r="AH1738" s="15" t="str">
        <f t="shared" si="2"/>
        <v/>
      </c>
      <c r="AI1738" s="17" t="str">
        <f>IF(AG1738="","",INDEX('Quitados DUPP'!$G$1:$G$6635,AG1738))</f>
        <v/>
      </c>
      <c r="AJ1738" s="17" t="str">
        <f t="shared" si="3"/>
        <v/>
      </c>
    </row>
    <row r="1739" spans="31:36">
      <c r="AE1739" s="15" t="str">
        <f t="shared" si="0"/>
        <v/>
      </c>
      <c r="AF1739" s="15" t="str">
        <f t="shared" si="1"/>
        <v/>
      </c>
      <c r="AG1739" s="15" t="str">
        <f>IF(OR(AF1739="",AF1739="ERRO_CHAVE"),"",IFERROR(MATCH(AF1739,'Quitados DUPP'!$U$1:$U$6635,0),""))</f>
        <v/>
      </c>
      <c r="AH1739" s="15" t="str">
        <f t="shared" si="2"/>
        <v/>
      </c>
      <c r="AI1739" s="17" t="str">
        <f>IF(AG1739="","",INDEX('Quitados DUPP'!$G$1:$G$6635,AG1739))</f>
        <v/>
      </c>
      <c r="AJ1739" s="17" t="str">
        <f t="shared" si="3"/>
        <v/>
      </c>
    </row>
    <row r="1740" spans="31:36">
      <c r="AE1740" s="15" t="str">
        <f t="shared" si="0"/>
        <v/>
      </c>
      <c r="AF1740" s="15" t="str">
        <f t="shared" si="1"/>
        <v/>
      </c>
      <c r="AG1740" s="15" t="str">
        <f>IF(OR(AF1740="",AF1740="ERRO_CHAVE"),"",IFERROR(MATCH(AF1740,'Quitados DUPP'!$U$1:$U$6635,0),""))</f>
        <v/>
      </c>
      <c r="AH1740" s="15" t="str">
        <f t="shared" si="2"/>
        <v/>
      </c>
      <c r="AI1740" s="17" t="str">
        <f>IF(AG1740="","",INDEX('Quitados DUPP'!$G$1:$G$6635,AG1740))</f>
        <v/>
      </c>
      <c r="AJ1740" s="17" t="str">
        <f t="shared" si="3"/>
        <v/>
      </c>
    </row>
    <row r="1741" spans="31:36">
      <c r="AE1741" s="15" t="str">
        <f t="shared" si="0"/>
        <v/>
      </c>
      <c r="AF1741" s="15" t="str">
        <f t="shared" si="1"/>
        <v/>
      </c>
      <c r="AG1741" s="15" t="str">
        <f>IF(OR(AF1741="",AF1741="ERRO_CHAVE"),"",IFERROR(MATCH(AF1741,'Quitados DUPP'!$U$1:$U$6635,0),""))</f>
        <v/>
      </c>
      <c r="AH1741" s="15" t="str">
        <f t="shared" si="2"/>
        <v/>
      </c>
      <c r="AI1741" s="17" t="str">
        <f>IF(AG1741="","",INDEX('Quitados DUPP'!$G$1:$G$6635,AG1741))</f>
        <v/>
      </c>
      <c r="AJ1741" s="17" t="str">
        <f t="shared" si="3"/>
        <v/>
      </c>
    </row>
    <row r="1742" spans="31:36">
      <c r="AE1742" s="15" t="str">
        <f t="shared" si="0"/>
        <v/>
      </c>
      <c r="AF1742" s="15" t="str">
        <f t="shared" si="1"/>
        <v/>
      </c>
      <c r="AG1742" s="15" t="str">
        <f>IF(OR(AF1742="",AF1742="ERRO_CHAVE"),"",IFERROR(MATCH(AF1742,'Quitados DUPP'!$U$1:$U$6635,0),""))</f>
        <v/>
      </c>
      <c r="AH1742" s="15" t="str">
        <f t="shared" si="2"/>
        <v/>
      </c>
      <c r="AI1742" s="17" t="str">
        <f>IF(AG1742="","",INDEX('Quitados DUPP'!$G$1:$G$6635,AG1742))</f>
        <v/>
      </c>
      <c r="AJ1742" s="17" t="str">
        <f t="shared" si="3"/>
        <v/>
      </c>
    </row>
    <row r="1743" spans="31:36">
      <c r="AE1743" s="15" t="str">
        <f t="shared" si="0"/>
        <v/>
      </c>
      <c r="AF1743" s="15" t="str">
        <f t="shared" si="1"/>
        <v/>
      </c>
      <c r="AG1743" s="15" t="str">
        <f>IF(OR(AF1743="",AF1743="ERRO_CHAVE"),"",IFERROR(MATCH(AF1743,'Quitados DUPP'!$U$1:$U$6635,0),""))</f>
        <v/>
      </c>
      <c r="AH1743" s="15" t="str">
        <f t="shared" si="2"/>
        <v/>
      </c>
      <c r="AI1743" s="17" t="str">
        <f>IF(AG1743="","",INDEX('Quitados DUPP'!$G$1:$G$6635,AG1743))</f>
        <v/>
      </c>
      <c r="AJ1743" s="17" t="str">
        <f t="shared" si="3"/>
        <v/>
      </c>
    </row>
    <row r="1744" spans="31:36">
      <c r="AE1744" s="15" t="str">
        <f t="shared" si="0"/>
        <v/>
      </c>
      <c r="AF1744" s="15" t="str">
        <f t="shared" si="1"/>
        <v/>
      </c>
      <c r="AG1744" s="15" t="str">
        <f>IF(OR(AF1744="",AF1744="ERRO_CHAVE"),"",IFERROR(MATCH(AF1744,'Quitados DUPP'!$U$1:$U$6635,0),""))</f>
        <v/>
      </c>
      <c r="AH1744" s="15" t="str">
        <f t="shared" si="2"/>
        <v/>
      </c>
      <c r="AI1744" s="17" t="str">
        <f>IF(AG1744="","",INDEX('Quitados DUPP'!$G$1:$G$6635,AG1744))</f>
        <v/>
      </c>
      <c r="AJ1744" s="17" t="str">
        <f t="shared" si="3"/>
        <v/>
      </c>
    </row>
    <row r="1745" spans="31:36">
      <c r="AE1745" s="15" t="str">
        <f t="shared" si="0"/>
        <v/>
      </c>
      <c r="AF1745" s="15" t="str">
        <f t="shared" si="1"/>
        <v/>
      </c>
      <c r="AG1745" s="15" t="str">
        <f>IF(OR(AF1745="",AF1745="ERRO_CHAVE"),"",IFERROR(MATCH(AF1745,'Quitados DUPP'!$U$1:$U$6635,0),""))</f>
        <v/>
      </c>
      <c r="AH1745" s="15" t="str">
        <f t="shared" si="2"/>
        <v/>
      </c>
      <c r="AI1745" s="17" t="str">
        <f>IF(AG1745="","",INDEX('Quitados DUPP'!$G$1:$G$6635,AG1745))</f>
        <v/>
      </c>
      <c r="AJ1745" s="17" t="str">
        <f t="shared" si="3"/>
        <v/>
      </c>
    </row>
    <row r="1746" spans="31:36">
      <c r="AE1746" s="15" t="str">
        <f t="shared" si="0"/>
        <v/>
      </c>
      <c r="AF1746" s="15" t="str">
        <f t="shared" si="1"/>
        <v/>
      </c>
      <c r="AG1746" s="15" t="str">
        <f>IF(OR(AF1746="",AF1746="ERRO_CHAVE"),"",IFERROR(MATCH(AF1746,'Quitados DUPP'!$U$1:$U$6635,0),""))</f>
        <v/>
      </c>
      <c r="AH1746" s="15" t="str">
        <f t="shared" si="2"/>
        <v/>
      </c>
      <c r="AI1746" s="17" t="str">
        <f>IF(AG1746="","",INDEX('Quitados DUPP'!$G$1:$G$6635,AG1746))</f>
        <v/>
      </c>
      <c r="AJ1746" s="17" t="str">
        <f t="shared" si="3"/>
        <v/>
      </c>
    </row>
    <row r="1747" spans="31:36">
      <c r="AE1747" s="15" t="str">
        <f t="shared" si="0"/>
        <v/>
      </c>
      <c r="AF1747" s="15" t="str">
        <f t="shared" si="1"/>
        <v/>
      </c>
      <c r="AG1747" s="15" t="str">
        <f>IF(OR(AF1747="",AF1747="ERRO_CHAVE"),"",IFERROR(MATCH(AF1747,'Quitados DUPP'!$U$1:$U$6635,0),""))</f>
        <v/>
      </c>
      <c r="AH1747" s="15" t="str">
        <f t="shared" si="2"/>
        <v/>
      </c>
      <c r="AI1747" s="17" t="str">
        <f>IF(AG1747="","",INDEX('Quitados DUPP'!$G$1:$G$6635,AG1747))</f>
        <v/>
      </c>
      <c r="AJ1747" s="17" t="str">
        <f t="shared" si="3"/>
        <v/>
      </c>
    </row>
    <row r="1748" spans="31:36">
      <c r="AE1748" s="15" t="str">
        <f t="shared" si="0"/>
        <v/>
      </c>
      <c r="AF1748" s="15" t="str">
        <f t="shared" si="1"/>
        <v/>
      </c>
      <c r="AG1748" s="15" t="str">
        <f>IF(OR(AF1748="",AF1748="ERRO_CHAVE"),"",IFERROR(MATCH(AF1748,'Quitados DUPP'!$U$1:$U$6635,0),""))</f>
        <v/>
      </c>
      <c r="AH1748" s="15" t="str">
        <f t="shared" si="2"/>
        <v/>
      </c>
      <c r="AI1748" s="17" t="str">
        <f>IF(AG1748="","",INDEX('Quitados DUPP'!$G$1:$G$6635,AG1748))</f>
        <v/>
      </c>
      <c r="AJ1748" s="17" t="str">
        <f t="shared" si="3"/>
        <v/>
      </c>
    </row>
    <row r="1749" spans="31:36">
      <c r="AE1749" s="15" t="str">
        <f t="shared" si="0"/>
        <v/>
      </c>
      <c r="AF1749" s="15" t="str">
        <f t="shared" si="1"/>
        <v/>
      </c>
      <c r="AG1749" s="15" t="str">
        <f>IF(OR(AF1749="",AF1749="ERRO_CHAVE"),"",IFERROR(MATCH(AF1749,'Quitados DUPP'!$U$1:$U$6635,0),""))</f>
        <v/>
      </c>
      <c r="AH1749" s="15" t="str">
        <f t="shared" si="2"/>
        <v/>
      </c>
      <c r="AI1749" s="17" t="str">
        <f>IF(AG1749="","",INDEX('Quitados DUPP'!$G$1:$G$6635,AG1749))</f>
        <v/>
      </c>
      <c r="AJ1749" s="17" t="str">
        <f t="shared" si="3"/>
        <v/>
      </c>
    </row>
    <row r="1750" spans="31:36">
      <c r="AE1750" s="15" t="str">
        <f t="shared" si="0"/>
        <v/>
      </c>
      <c r="AF1750" s="15" t="str">
        <f t="shared" si="1"/>
        <v/>
      </c>
      <c r="AG1750" s="15" t="str">
        <f>IF(OR(AF1750="",AF1750="ERRO_CHAVE"),"",IFERROR(MATCH(AF1750,'Quitados DUPP'!$U$1:$U$6635,0),""))</f>
        <v/>
      </c>
      <c r="AH1750" s="15" t="str">
        <f t="shared" si="2"/>
        <v/>
      </c>
      <c r="AI1750" s="17" t="str">
        <f>IF(AG1750="","",INDEX('Quitados DUPP'!$G$1:$G$6635,AG1750))</f>
        <v/>
      </c>
      <c r="AJ1750" s="17" t="str">
        <f t="shared" si="3"/>
        <v/>
      </c>
    </row>
    <row r="1751" spans="31:36">
      <c r="AE1751" s="15" t="str">
        <f t="shared" si="0"/>
        <v/>
      </c>
      <c r="AF1751" s="15" t="str">
        <f t="shared" si="1"/>
        <v/>
      </c>
      <c r="AG1751" s="15" t="str">
        <f>IF(OR(AF1751="",AF1751="ERRO_CHAVE"),"",IFERROR(MATCH(AF1751,'Quitados DUPP'!$U$1:$U$6635,0),""))</f>
        <v/>
      </c>
      <c r="AH1751" s="15" t="str">
        <f t="shared" si="2"/>
        <v/>
      </c>
      <c r="AI1751" s="17" t="str">
        <f>IF(AG1751="","",INDEX('Quitados DUPP'!$G$1:$G$6635,AG1751))</f>
        <v/>
      </c>
      <c r="AJ1751" s="17" t="str">
        <f t="shared" si="3"/>
        <v/>
      </c>
    </row>
    <row r="1752" spans="31:36">
      <c r="AE1752" s="15" t="str">
        <f t="shared" si="0"/>
        <v/>
      </c>
      <c r="AF1752" s="15" t="str">
        <f t="shared" si="1"/>
        <v/>
      </c>
      <c r="AG1752" s="15" t="str">
        <f>IF(OR(AF1752="",AF1752="ERRO_CHAVE"),"",IFERROR(MATCH(AF1752,'Quitados DUPP'!$U$1:$U$6635,0),""))</f>
        <v/>
      </c>
      <c r="AH1752" s="15" t="str">
        <f t="shared" si="2"/>
        <v/>
      </c>
      <c r="AI1752" s="17" t="str">
        <f>IF(AG1752="","",INDEX('Quitados DUPP'!$G$1:$G$6635,AG1752))</f>
        <v/>
      </c>
      <c r="AJ1752" s="17" t="str">
        <f t="shared" si="3"/>
        <v/>
      </c>
    </row>
    <row r="1753" spans="31:36">
      <c r="AE1753" s="15" t="str">
        <f t="shared" si="0"/>
        <v/>
      </c>
      <c r="AF1753" s="15" t="str">
        <f t="shared" si="1"/>
        <v/>
      </c>
      <c r="AG1753" s="15" t="str">
        <f>IF(OR(AF1753="",AF1753="ERRO_CHAVE"),"",IFERROR(MATCH(AF1753,'Quitados DUPP'!$U$1:$U$6635,0),""))</f>
        <v/>
      </c>
      <c r="AH1753" s="15" t="str">
        <f t="shared" si="2"/>
        <v/>
      </c>
      <c r="AI1753" s="17" t="str">
        <f>IF(AG1753="","",INDEX('Quitados DUPP'!$G$1:$G$6635,AG1753))</f>
        <v/>
      </c>
      <c r="AJ1753" s="17" t="str">
        <f t="shared" si="3"/>
        <v/>
      </c>
    </row>
    <row r="1754" spans="31:36">
      <c r="AE1754" s="15" t="str">
        <f t="shared" si="0"/>
        <v/>
      </c>
      <c r="AF1754" s="15" t="str">
        <f t="shared" si="1"/>
        <v/>
      </c>
      <c r="AG1754" s="15" t="str">
        <f>IF(OR(AF1754="",AF1754="ERRO_CHAVE"),"",IFERROR(MATCH(AF1754,'Quitados DUPP'!$U$1:$U$6635,0),""))</f>
        <v/>
      </c>
      <c r="AH1754" s="15" t="str">
        <f t="shared" si="2"/>
        <v/>
      </c>
      <c r="AI1754" s="17" t="str">
        <f>IF(AG1754="","",INDEX('Quitados DUPP'!$G$1:$G$6635,AG1754))</f>
        <v/>
      </c>
      <c r="AJ1754" s="17" t="str">
        <f t="shared" si="3"/>
        <v/>
      </c>
    </row>
    <row r="1755" spans="31:36">
      <c r="AE1755" s="15" t="str">
        <f t="shared" si="0"/>
        <v/>
      </c>
      <c r="AF1755" s="15" t="str">
        <f t="shared" si="1"/>
        <v/>
      </c>
      <c r="AG1755" s="15" t="str">
        <f>IF(OR(AF1755="",AF1755="ERRO_CHAVE"),"",IFERROR(MATCH(AF1755,'Quitados DUPP'!$U$1:$U$6635,0),""))</f>
        <v/>
      </c>
      <c r="AH1755" s="15" t="str">
        <f t="shared" si="2"/>
        <v/>
      </c>
      <c r="AI1755" s="17" t="str">
        <f>IF(AG1755="","",INDEX('Quitados DUPP'!$G$1:$G$6635,AG1755))</f>
        <v/>
      </c>
      <c r="AJ1755" s="17" t="str">
        <f t="shared" si="3"/>
        <v/>
      </c>
    </row>
    <row r="1756" spans="31:36">
      <c r="AE1756" s="15" t="str">
        <f t="shared" si="0"/>
        <v/>
      </c>
      <c r="AF1756" s="15" t="str">
        <f t="shared" si="1"/>
        <v/>
      </c>
      <c r="AG1756" s="15" t="str">
        <f>IF(OR(AF1756="",AF1756="ERRO_CHAVE"),"",IFERROR(MATCH(AF1756,'Quitados DUPP'!$U$1:$U$6635,0),""))</f>
        <v/>
      </c>
      <c r="AH1756" s="15" t="str">
        <f t="shared" si="2"/>
        <v/>
      </c>
      <c r="AI1756" s="17" t="str">
        <f>IF(AG1756="","",INDEX('Quitados DUPP'!$G$1:$G$6635,AG1756))</f>
        <v/>
      </c>
      <c r="AJ1756" s="17" t="str">
        <f t="shared" si="3"/>
        <v/>
      </c>
    </row>
    <row r="1757" spans="31:36">
      <c r="AE1757" s="15" t="str">
        <f t="shared" si="0"/>
        <v/>
      </c>
      <c r="AF1757" s="15" t="str">
        <f t="shared" si="1"/>
        <v/>
      </c>
      <c r="AG1757" s="15" t="str">
        <f>IF(OR(AF1757="",AF1757="ERRO_CHAVE"),"",IFERROR(MATCH(AF1757,'Quitados DUPP'!$U$1:$U$6635,0),""))</f>
        <v/>
      </c>
      <c r="AH1757" s="15" t="str">
        <f t="shared" si="2"/>
        <v/>
      </c>
      <c r="AI1757" s="17" t="str">
        <f>IF(AG1757="","",INDEX('Quitados DUPP'!$G$1:$G$6635,AG1757))</f>
        <v/>
      </c>
      <c r="AJ1757" s="17" t="str">
        <f t="shared" si="3"/>
        <v/>
      </c>
    </row>
    <row r="1758" spans="31:36">
      <c r="AE1758" s="15" t="str">
        <f t="shared" si="0"/>
        <v/>
      </c>
      <c r="AF1758" s="15" t="str">
        <f t="shared" si="1"/>
        <v/>
      </c>
      <c r="AG1758" s="15" t="str">
        <f>IF(OR(AF1758="",AF1758="ERRO_CHAVE"),"",IFERROR(MATCH(AF1758,'Quitados DUPP'!$U$1:$U$6635,0),""))</f>
        <v/>
      </c>
      <c r="AH1758" s="15" t="str">
        <f t="shared" si="2"/>
        <v/>
      </c>
      <c r="AI1758" s="17" t="str">
        <f>IF(AG1758="","",INDEX('Quitados DUPP'!$G$1:$G$6635,AG1758))</f>
        <v/>
      </c>
      <c r="AJ1758" s="17" t="str">
        <f t="shared" si="3"/>
        <v/>
      </c>
    </row>
    <row r="1759" spans="31:36">
      <c r="AE1759" s="15" t="str">
        <f t="shared" si="0"/>
        <v/>
      </c>
      <c r="AF1759" s="15" t="str">
        <f t="shared" si="1"/>
        <v/>
      </c>
      <c r="AG1759" s="15" t="str">
        <f>IF(OR(AF1759="",AF1759="ERRO_CHAVE"),"",IFERROR(MATCH(AF1759,'Quitados DUPP'!$U$1:$U$6635,0),""))</f>
        <v/>
      </c>
      <c r="AH1759" s="15" t="str">
        <f t="shared" si="2"/>
        <v/>
      </c>
      <c r="AI1759" s="17" t="str">
        <f>IF(AG1759="","",INDEX('Quitados DUPP'!$G$1:$G$6635,AG1759))</f>
        <v/>
      </c>
      <c r="AJ1759" s="17" t="str">
        <f t="shared" si="3"/>
        <v/>
      </c>
    </row>
    <row r="1760" spans="31:36">
      <c r="AE1760" s="15" t="str">
        <f t="shared" si="0"/>
        <v/>
      </c>
      <c r="AF1760" s="15" t="str">
        <f t="shared" si="1"/>
        <v/>
      </c>
      <c r="AG1760" s="15" t="str">
        <f>IF(OR(AF1760="",AF1760="ERRO_CHAVE"),"",IFERROR(MATCH(AF1760,'Quitados DUPP'!$U$1:$U$6635,0),""))</f>
        <v/>
      </c>
      <c r="AH1760" s="15" t="str">
        <f t="shared" si="2"/>
        <v/>
      </c>
      <c r="AI1760" s="17" t="str">
        <f>IF(AG1760="","",INDEX('Quitados DUPP'!$G$1:$G$6635,AG1760))</f>
        <v/>
      </c>
      <c r="AJ1760" s="17" t="str">
        <f t="shared" si="3"/>
        <v/>
      </c>
    </row>
    <row r="1761" spans="31:36">
      <c r="AE1761" s="15" t="str">
        <f t="shared" si="0"/>
        <v/>
      </c>
      <c r="AF1761" s="15" t="str">
        <f t="shared" si="1"/>
        <v/>
      </c>
      <c r="AG1761" s="15" t="str">
        <f>IF(OR(AF1761="",AF1761="ERRO_CHAVE"),"",IFERROR(MATCH(AF1761,'Quitados DUPP'!$U$1:$U$6635,0),""))</f>
        <v/>
      </c>
      <c r="AH1761" s="15" t="str">
        <f t="shared" si="2"/>
        <v/>
      </c>
      <c r="AI1761" s="17" t="str">
        <f>IF(AG1761="","",INDEX('Quitados DUPP'!$G$1:$G$6635,AG1761))</f>
        <v/>
      </c>
      <c r="AJ1761" s="17" t="str">
        <f t="shared" si="3"/>
        <v/>
      </c>
    </row>
    <row r="1762" spans="31:36">
      <c r="AE1762" s="15" t="str">
        <f t="shared" si="0"/>
        <v/>
      </c>
      <c r="AF1762" s="15" t="str">
        <f t="shared" si="1"/>
        <v/>
      </c>
      <c r="AG1762" s="15" t="str">
        <f>IF(OR(AF1762="",AF1762="ERRO_CHAVE"),"",IFERROR(MATCH(AF1762,'Quitados DUPP'!$U$1:$U$6635,0),""))</f>
        <v/>
      </c>
      <c r="AH1762" s="15" t="str">
        <f t="shared" si="2"/>
        <v/>
      </c>
      <c r="AI1762" s="17" t="str">
        <f>IF(AG1762="","",INDEX('Quitados DUPP'!$G$1:$G$6635,AG1762))</f>
        <v/>
      </c>
      <c r="AJ1762" s="17" t="str">
        <f t="shared" si="3"/>
        <v/>
      </c>
    </row>
    <row r="1763" spans="31:36">
      <c r="AE1763" s="15" t="str">
        <f t="shared" si="0"/>
        <v/>
      </c>
      <c r="AF1763" s="15" t="str">
        <f t="shared" si="1"/>
        <v/>
      </c>
      <c r="AG1763" s="15" t="str">
        <f>IF(OR(AF1763="",AF1763="ERRO_CHAVE"),"",IFERROR(MATCH(AF1763,'Quitados DUPP'!$U$1:$U$6635,0),""))</f>
        <v/>
      </c>
      <c r="AH1763" s="15" t="str">
        <f t="shared" si="2"/>
        <v/>
      </c>
      <c r="AI1763" s="17" t="str">
        <f>IF(AG1763="","",INDEX('Quitados DUPP'!$G$1:$G$6635,AG1763))</f>
        <v/>
      </c>
      <c r="AJ1763" s="17" t="str">
        <f t="shared" si="3"/>
        <v/>
      </c>
    </row>
    <row r="1764" spans="31:36">
      <c r="AE1764" s="15" t="str">
        <f t="shared" si="0"/>
        <v/>
      </c>
      <c r="AF1764" s="15" t="str">
        <f t="shared" si="1"/>
        <v/>
      </c>
      <c r="AG1764" s="15" t="str">
        <f>IF(OR(AF1764="",AF1764="ERRO_CHAVE"),"",IFERROR(MATCH(AF1764,'Quitados DUPP'!$U$1:$U$6635,0),""))</f>
        <v/>
      </c>
      <c r="AH1764" s="15" t="str">
        <f t="shared" si="2"/>
        <v/>
      </c>
      <c r="AI1764" s="17" t="str">
        <f>IF(AG1764="","",INDEX('Quitados DUPP'!$G$1:$G$6635,AG1764))</f>
        <v/>
      </c>
      <c r="AJ1764" s="17" t="str">
        <f t="shared" si="3"/>
        <v/>
      </c>
    </row>
    <row r="1765" spans="31:36">
      <c r="AE1765" s="15" t="str">
        <f t="shared" si="0"/>
        <v/>
      </c>
      <c r="AF1765" s="15" t="str">
        <f t="shared" si="1"/>
        <v/>
      </c>
      <c r="AG1765" s="15" t="str">
        <f>IF(OR(AF1765="",AF1765="ERRO_CHAVE"),"",IFERROR(MATCH(AF1765,'Quitados DUPP'!$U$1:$U$6635,0),""))</f>
        <v/>
      </c>
      <c r="AH1765" s="15" t="str">
        <f t="shared" si="2"/>
        <v/>
      </c>
      <c r="AI1765" s="17" t="str">
        <f>IF(AG1765="","",INDEX('Quitados DUPP'!$G$1:$G$6635,AG1765))</f>
        <v/>
      </c>
      <c r="AJ1765" s="17" t="str">
        <f t="shared" si="3"/>
        <v/>
      </c>
    </row>
    <row r="1766" spans="31:36">
      <c r="AE1766" s="15" t="str">
        <f t="shared" si="0"/>
        <v/>
      </c>
      <c r="AF1766" s="15" t="str">
        <f t="shared" si="1"/>
        <v/>
      </c>
      <c r="AG1766" s="15" t="str">
        <f>IF(OR(AF1766="",AF1766="ERRO_CHAVE"),"",IFERROR(MATCH(AF1766,'Quitados DUPP'!$U$1:$U$6635,0),""))</f>
        <v/>
      </c>
      <c r="AH1766" s="15" t="str">
        <f t="shared" si="2"/>
        <v/>
      </c>
      <c r="AI1766" s="17" t="str">
        <f>IF(AG1766="","",INDEX('Quitados DUPP'!$G$1:$G$6635,AG1766))</f>
        <v/>
      </c>
      <c r="AJ1766" s="17" t="str">
        <f t="shared" si="3"/>
        <v/>
      </c>
    </row>
    <row r="1767" spans="31:36">
      <c r="AE1767" s="15" t="str">
        <f t="shared" si="0"/>
        <v/>
      </c>
      <c r="AF1767" s="15" t="str">
        <f t="shared" si="1"/>
        <v/>
      </c>
      <c r="AG1767" s="15" t="str">
        <f>IF(OR(AF1767="",AF1767="ERRO_CHAVE"),"",IFERROR(MATCH(AF1767,'Quitados DUPP'!$U$1:$U$6635,0),""))</f>
        <v/>
      </c>
      <c r="AH1767" s="15" t="str">
        <f t="shared" si="2"/>
        <v/>
      </c>
      <c r="AI1767" s="17" t="str">
        <f>IF(AG1767="","",INDEX('Quitados DUPP'!$G$1:$G$6635,AG1767))</f>
        <v/>
      </c>
      <c r="AJ1767" s="17" t="str">
        <f t="shared" si="3"/>
        <v/>
      </c>
    </row>
    <row r="1768" spans="31:36">
      <c r="AE1768" s="15" t="str">
        <f t="shared" si="0"/>
        <v/>
      </c>
      <c r="AF1768" s="15" t="str">
        <f t="shared" si="1"/>
        <v/>
      </c>
      <c r="AG1768" s="15" t="str">
        <f>IF(OR(AF1768="",AF1768="ERRO_CHAVE"),"",IFERROR(MATCH(AF1768,'Quitados DUPP'!$U$1:$U$6635,0),""))</f>
        <v/>
      </c>
      <c r="AH1768" s="15" t="str">
        <f t="shared" si="2"/>
        <v/>
      </c>
      <c r="AI1768" s="17" t="str">
        <f>IF(AG1768="","",INDEX('Quitados DUPP'!$G$1:$G$6635,AG1768))</f>
        <v/>
      </c>
      <c r="AJ1768" s="17" t="str">
        <f t="shared" si="3"/>
        <v/>
      </c>
    </row>
    <row r="1769" spans="31:36">
      <c r="AE1769" s="15" t="str">
        <f t="shared" si="0"/>
        <v/>
      </c>
      <c r="AF1769" s="15" t="str">
        <f t="shared" si="1"/>
        <v/>
      </c>
      <c r="AG1769" s="15" t="str">
        <f>IF(OR(AF1769="",AF1769="ERRO_CHAVE"),"",IFERROR(MATCH(AF1769,'Quitados DUPP'!$U$1:$U$6635,0),""))</f>
        <v/>
      </c>
      <c r="AH1769" s="15" t="str">
        <f t="shared" si="2"/>
        <v/>
      </c>
      <c r="AI1769" s="17" t="str">
        <f>IF(AG1769="","",INDEX('Quitados DUPP'!$G$1:$G$6635,AG1769))</f>
        <v/>
      </c>
      <c r="AJ1769" s="17" t="str">
        <f t="shared" si="3"/>
        <v/>
      </c>
    </row>
    <row r="1770" spans="31:36">
      <c r="AE1770" s="15" t="str">
        <f t="shared" si="0"/>
        <v/>
      </c>
      <c r="AF1770" s="15" t="str">
        <f t="shared" si="1"/>
        <v/>
      </c>
      <c r="AG1770" s="15" t="str">
        <f>IF(OR(AF1770="",AF1770="ERRO_CHAVE"),"",IFERROR(MATCH(AF1770,'Quitados DUPP'!$U$1:$U$6635,0),""))</f>
        <v/>
      </c>
      <c r="AH1770" s="15" t="str">
        <f t="shared" si="2"/>
        <v/>
      </c>
      <c r="AI1770" s="17" t="str">
        <f>IF(AG1770="","",INDEX('Quitados DUPP'!$G$1:$G$6635,AG1770))</f>
        <v/>
      </c>
      <c r="AJ1770" s="17" t="str">
        <f t="shared" si="3"/>
        <v/>
      </c>
    </row>
    <row r="1771" spans="31:36">
      <c r="AE1771" s="15" t="str">
        <f t="shared" si="0"/>
        <v/>
      </c>
      <c r="AF1771" s="15" t="str">
        <f t="shared" si="1"/>
        <v/>
      </c>
      <c r="AG1771" s="15" t="str">
        <f>IF(OR(AF1771="",AF1771="ERRO_CHAVE"),"",IFERROR(MATCH(AF1771,'Quitados DUPP'!$U$1:$U$6635,0),""))</f>
        <v/>
      </c>
      <c r="AH1771" s="15" t="str">
        <f t="shared" si="2"/>
        <v/>
      </c>
      <c r="AI1771" s="17" t="str">
        <f>IF(AG1771="","",INDEX('Quitados DUPP'!$G$1:$G$6635,AG1771))</f>
        <v/>
      </c>
      <c r="AJ1771" s="17" t="str">
        <f t="shared" si="3"/>
        <v/>
      </c>
    </row>
    <row r="1772" spans="31:36">
      <c r="AE1772" s="15" t="str">
        <f t="shared" si="0"/>
        <v/>
      </c>
      <c r="AF1772" s="15" t="str">
        <f t="shared" si="1"/>
        <v/>
      </c>
      <c r="AG1772" s="15" t="str">
        <f>IF(OR(AF1772="",AF1772="ERRO_CHAVE"),"",IFERROR(MATCH(AF1772,'Quitados DUPP'!$U$1:$U$6635,0),""))</f>
        <v/>
      </c>
      <c r="AH1772" s="15" t="str">
        <f t="shared" si="2"/>
        <v/>
      </c>
      <c r="AI1772" s="17" t="str">
        <f>IF(AG1772="","",INDEX('Quitados DUPP'!$G$1:$G$6635,AG1772))</f>
        <v/>
      </c>
      <c r="AJ1772" s="17" t="str">
        <f t="shared" si="3"/>
        <v/>
      </c>
    </row>
    <row r="1773" spans="31:36">
      <c r="AE1773" s="15" t="str">
        <f t="shared" si="0"/>
        <v/>
      </c>
      <c r="AF1773" s="15" t="str">
        <f t="shared" si="1"/>
        <v/>
      </c>
      <c r="AG1773" s="15" t="str">
        <f>IF(OR(AF1773="",AF1773="ERRO_CHAVE"),"",IFERROR(MATCH(AF1773,'Quitados DUPP'!$U$1:$U$6635,0),""))</f>
        <v/>
      </c>
      <c r="AH1773" s="15" t="str">
        <f t="shared" si="2"/>
        <v/>
      </c>
      <c r="AI1773" s="17" t="str">
        <f>IF(AG1773="","",INDEX('Quitados DUPP'!$G$1:$G$6635,AG1773))</f>
        <v/>
      </c>
      <c r="AJ1773" s="17" t="str">
        <f t="shared" si="3"/>
        <v/>
      </c>
    </row>
    <row r="1774" spans="31:36">
      <c r="AE1774" s="15" t="str">
        <f t="shared" si="0"/>
        <v/>
      </c>
      <c r="AF1774" s="15" t="str">
        <f t="shared" si="1"/>
        <v/>
      </c>
      <c r="AG1774" s="15" t="str">
        <f>IF(OR(AF1774="",AF1774="ERRO_CHAVE"),"",IFERROR(MATCH(AF1774,'Quitados DUPP'!$U$1:$U$6635,0),""))</f>
        <v/>
      </c>
      <c r="AH1774" s="15" t="str">
        <f t="shared" si="2"/>
        <v/>
      </c>
      <c r="AI1774" s="17" t="str">
        <f>IF(AG1774="","",INDEX('Quitados DUPP'!$G$1:$G$6635,AG1774))</f>
        <v/>
      </c>
      <c r="AJ1774" s="17" t="str">
        <f t="shared" si="3"/>
        <v/>
      </c>
    </row>
    <row r="1775" spans="31:36">
      <c r="AE1775" s="15" t="str">
        <f t="shared" si="0"/>
        <v/>
      </c>
      <c r="AF1775" s="15" t="str">
        <f t="shared" si="1"/>
        <v/>
      </c>
      <c r="AG1775" s="15" t="str">
        <f>IF(OR(AF1775="",AF1775="ERRO_CHAVE"),"",IFERROR(MATCH(AF1775,'Quitados DUPP'!$U$1:$U$6635,0),""))</f>
        <v/>
      </c>
      <c r="AH1775" s="15" t="str">
        <f t="shared" si="2"/>
        <v/>
      </c>
      <c r="AI1775" s="17" t="str">
        <f>IF(AG1775="","",INDEX('Quitados DUPP'!$G$1:$G$6635,AG1775))</f>
        <v/>
      </c>
      <c r="AJ1775" s="17" t="str">
        <f t="shared" si="3"/>
        <v/>
      </c>
    </row>
    <row r="1776" spans="31:36">
      <c r="AE1776" s="15" t="str">
        <f t="shared" si="0"/>
        <v/>
      </c>
      <c r="AF1776" s="15" t="str">
        <f t="shared" si="1"/>
        <v/>
      </c>
      <c r="AG1776" s="15" t="str">
        <f>IF(OR(AF1776="",AF1776="ERRO_CHAVE"),"",IFERROR(MATCH(AF1776,'Quitados DUPP'!$U$1:$U$6635,0),""))</f>
        <v/>
      </c>
      <c r="AH1776" s="15" t="str">
        <f t="shared" si="2"/>
        <v/>
      </c>
      <c r="AI1776" s="17" t="str">
        <f>IF(AG1776="","",INDEX('Quitados DUPP'!$G$1:$G$6635,AG1776))</f>
        <v/>
      </c>
      <c r="AJ1776" s="17" t="str">
        <f t="shared" si="3"/>
        <v/>
      </c>
    </row>
    <row r="1777" spans="31:36">
      <c r="AE1777" s="15" t="str">
        <f t="shared" si="0"/>
        <v/>
      </c>
      <c r="AF1777" s="15" t="str">
        <f t="shared" si="1"/>
        <v/>
      </c>
      <c r="AG1777" s="15" t="str">
        <f>IF(OR(AF1777="",AF1777="ERRO_CHAVE"),"",IFERROR(MATCH(AF1777,'Quitados DUPP'!$U$1:$U$6635,0),""))</f>
        <v/>
      </c>
      <c r="AH1777" s="15" t="str">
        <f t="shared" si="2"/>
        <v/>
      </c>
      <c r="AI1777" s="17" t="str">
        <f>IF(AG1777="","",INDEX('Quitados DUPP'!$G$1:$G$6635,AG1777))</f>
        <v/>
      </c>
      <c r="AJ1777" s="17" t="str">
        <f t="shared" si="3"/>
        <v/>
      </c>
    </row>
    <row r="1778" spans="31:36">
      <c r="AE1778" s="15" t="str">
        <f t="shared" si="0"/>
        <v/>
      </c>
      <c r="AF1778" s="15" t="str">
        <f t="shared" si="1"/>
        <v/>
      </c>
      <c r="AG1778" s="15" t="str">
        <f>IF(OR(AF1778="",AF1778="ERRO_CHAVE"),"",IFERROR(MATCH(AF1778,'Quitados DUPP'!$U$1:$U$6635,0),""))</f>
        <v/>
      </c>
      <c r="AH1778" s="15" t="str">
        <f t="shared" si="2"/>
        <v/>
      </c>
      <c r="AI1778" s="17" t="str">
        <f>IF(AG1778="","",INDEX('Quitados DUPP'!$G$1:$G$6635,AG1778))</f>
        <v/>
      </c>
      <c r="AJ1778" s="17" t="str">
        <f t="shared" si="3"/>
        <v/>
      </c>
    </row>
    <row r="1779" spans="31:36">
      <c r="AE1779" s="15" t="str">
        <f t="shared" si="0"/>
        <v/>
      </c>
      <c r="AF1779" s="15" t="str">
        <f t="shared" si="1"/>
        <v/>
      </c>
      <c r="AG1779" s="15" t="str">
        <f>IF(OR(AF1779="",AF1779="ERRO_CHAVE"),"",IFERROR(MATCH(AF1779,'Quitados DUPP'!$U$1:$U$6635,0),""))</f>
        <v/>
      </c>
      <c r="AH1779" s="15" t="str">
        <f t="shared" si="2"/>
        <v/>
      </c>
      <c r="AI1779" s="17" t="str">
        <f>IF(AG1779="","",INDEX('Quitados DUPP'!$G$1:$G$6635,AG1779))</f>
        <v/>
      </c>
      <c r="AJ1779" s="17" t="str">
        <f t="shared" si="3"/>
        <v/>
      </c>
    </row>
    <row r="1780" spans="31:36">
      <c r="AE1780" s="15" t="str">
        <f t="shared" si="0"/>
        <v/>
      </c>
      <c r="AF1780" s="15" t="str">
        <f t="shared" si="1"/>
        <v/>
      </c>
      <c r="AG1780" s="15" t="str">
        <f>IF(OR(AF1780="",AF1780="ERRO_CHAVE"),"",IFERROR(MATCH(AF1780,'Quitados DUPP'!$U$1:$U$6635,0),""))</f>
        <v/>
      </c>
      <c r="AH1780" s="15" t="str">
        <f t="shared" si="2"/>
        <v/>
      </c>
      <c r="AI1780" s="17" t="str">
        <f>IF(AG1780="","",INDEX('Quitados DUPP'!$G$1:$G$6635,AG1780))</f>
        <v/>
      </c>
      <c r="AJ1780" s="17" t="str">
        <f t="shared" si="3"/>
        <v/>
      </c>
    </row>
    <row r="1781" spans="31:36">
      <c r="AE1781" s="15" t="str">
        <f t="shared" si="0"/>
        <v/>
      </c>
      <c r="AF1781" s="15" t="str">
        <f t="shared" si="1"/>
        <v/>
      </c>
      <c r="AG1781" s="15" t="str">
        <f>IF(OR(AF1781="",AF1781="ERRO_CHAVE"),"",IFERROR(MATCH(AF1781,'Quitados DUPP'!$U$1:$U$6635,0),""))</f>
        <v/>
      </c>
      <c r="AH1781" s="15" t="str">
        <f t="shared" si="2"/>
        <v/>
      </c>
      <c r="AI1781" s="17" t="str">
        <f>IF(AG1781="","",INDEX('Quitados DUPP'!$G$1:$G$6635,AG1781))</f>
        <v/>
      </c>
      <c r="AJ1781" s="17" t="str">
        <f t="shared" si="3"/>
        <v/>
      </c>
    </row>
    <row r="1782" spans="31:36">
      <c r="AE1782" s="15" t="str">
        <f t="shared" si="0"/>
        <v/>
      </c>
      <c r="AF1782" s="15" t="str">
        <f t="shared" si="1"/>
        <v/>
      </c>
      <c r="AG1782" s="15" t="str">
        <f>IF(OR(AF1782="",AF1782="ERRO_CHAVE"),"",IFERROR(MATCH(AF1782,'Quitados DUPP'!$U$1:$U$6635,0),""))</f>
        <v/>
      </c>
      <c r="AH1782" s="15" t="str">
        <f t="shared" si="2"/>
        <v/>
      </c>
      <c r="AI1782" s="17" t="str">
        <f>IF(AG1782="","",INDEX('Quitados DUPP'!$G$1:$G$6635,AG1782))</f>
        <v/>
      </c>
      <c r="AJ1782" s="17" t="str">
        <f t="shared" si="3"/>
        <v/>
      </c>
    </row>
    <row r="1783" spans="31:36">
      <c r="AE1783" s="15" t="str">
        <f t="shared" si="0"/>
        <v/>
      </c>
      <c r="AF1783" s="15" t="str">
        <f t="shared" si="1"/>
        <v/>
      </c>
      <c r="AG1783" s="15" t="str">
        <f>IF(OR(AF1783="",AF1783="ERRO_CHAVE"),"",IFERROR(MATCH(AF1783,'Quitados DUPP'!$U$1:$U$6635,0),""))</f>
        <v/>
      </c>
      <c r="AH1783" s="15" t="str">
        <f t="shared" si="2"/>
        <v/>
      </c>
      <c r="AI1783" s="17" t="str">
        <f>IF(AG1783="","",INDEX('Quitados DUPP'!$G$1:$G$6635,AG1783))</f>
        <v/>
      </c>
      <c r="AJ1783" s="17" t="str">
        <f t="shared" si="3"/>
        <v/>
      </c>
    </row>
    <row r="1784" spans="31:36">
      <c r="AE1784" s="15" t="str">
        <f t="shared" si="0"/>
        <v/>
      </c>
      <c r="AF1784" s="15" t="str">
        <f t="shared" si="1"/>
        <v/>
      </c>
      <c r="AG1784" s="15" t="str">
        <f>IF(OR(AF1784="",AF1784="ERRO_CHAVE"),"",IFERROR(MATCH(AF1784,'Quitados DUPP'!$U$1:$U$6635,0),""))</f>
        <v/>
      </c>
      <c r="AH1784" s="15" t="str">
        <f t="shared" si="2"/>
        <v/>
      </c>
      <c r="AI1784" s="17" t="str">
        <f>IF(AG1784="","",INDEX('Quitados DUPP'!$G$1:$G$6635,AG1784))</f>
        <v/>
      </c>
      <c r="AJ1784" s="17" t="str">
        <f t="shared" si="3"/>
        <v/>
      </c>
    </row>
    <row r="1785" spans="31:36">
      <c r="AE1785" s="15" t="str">
        <f t="shared" si="0"/>
        <v/>
      </c>
      <c r="AF1785" s="15" t="str">
        <f t="shared" si="1"/>
        <v/>
      </c>
      <c r="AG1785" s="15" t="str">
        <f>IF(OR(AF1785="",AF1785="ERRO_CHAVE"),"",IFERROR(MATCH(AF1785,'Quitados DUPP'!$U$1:$U$6635,0),""))</f>
        <v/>
      </c>
      <c r="AH1785" s="15" t="str">
        <f t="shared" si="2"/>
        <v/>
      </c>
      <c r="AI1785" s="17" t="str">
        <f>IF(AG1785="","",INDEX('Quitados DUPP'!$G$1:$G$6635,AG1785))</f>
        <v/>
      </c>
      <c r="AJ1785" s="17" t="str">
        <f t="shared" si="3"/>
        <v/>
      </c>
    </row>
    <row r="1786" spans="31:36">
      <c r="AE1786" s="15" t="str">
        <f t="shared" si="0"/>
        <v/>
      </c>
      <c r="AF1786" s="15" t="str">
        <f t="shared" si="1"/>
        <v/>
      </c>
      <c r="AG1786" s="15" t="str">
        <f>IF(OR(AF1786="",AF1786="ERRO_CHAVE"),"",IFERROR(MATCH(AF1786,'Quitados DUPP'!$U$1:$U$6635,0),""))</f>
        <v/>
      </c>
      <c r="AH1786" s="15" t="str">
        <f t="shared" si="2"/>
        <v/>
      </c>
      <c r="AI1786" s="17" t="str">
        <f>IF(AG1786="","",INDEX('Quitados DUPP'!$G$1:$G$6635,AG1786))</f>
        <v/>
      </c>
      <c r="AJ1786" s="17" t="str">
        <f t="shared" si="3"/>
        <v/>
      </c>
    </row>
    <row r="1787" spans="31:36">
      <c r="AE1787" s="15" t="str">
        <f t="shared" si="0"/>
        <v/>
      </c>
      <c r="AF1787" s="15" t="str">
        <f t="shared" si="1"/>
        <v/>
      </c>
      <c r="AG1787" s="15" t="str">
        <f>IF(OR(AF1787="",AF1787="ERRO_CHAVE"),"",IFERROR(MATCH(AF1787,'Quitados DUPP'!$U$1:$U$6635,0),""))</f>
        <v/>
      </c>
      <c r="AH1787" s="15" t="str">
        <f t="shared" si="2"/>
        <v/>
      </c>
      <c r="AI1787" s="17" t="str">
        <f>IF(AG1787="","",INDEX('Quitados DUPP'!$G$1:$G$6635,AG1787))</f>
        <v/>
      </c>
      <c r="AJ1787" s="17" t="str">
        <f t="shared" si="3"/>
        <v/>
      </c>
    </row>
    <row r="1788" spans="31:36">
      <c r="AE1788" s="15" t="str">
        <f t="shared" si="0"/>
        <v/>
      </c>
      <c r="AF1788" s="15" t="str">
        <f t="shared" si="1"/>
        <v/>
      </c>
      <c r="AG1788" s="15" t="str">
        <f>IF(OR(AF1788="",AF1788="ERRO_CHAVE"),"",IFERROR(MATCH(AF1788,'Quitados DUPP'!$U$1:$U$6635,0),""))</f>
        <v/>
      </c>
      <c r="AH1788" s="15" t="str">
        <f t="shared" si="2"/>
        <v/>
      </c>
      <c r="AI1788" s="17" t="str">
        <f>IF(AG1788="","",INDEX('Quitados DUPP'!$G$1:$G$6635,AG1788))</f>
        <v/>
      </c>
      <c r="AJ1788" s="17" t="str">
        <f t="shared" si="3"/>
        <v/>
      </c>
    </row>
    <row r="1789" spans="31:36">
      <c r="AE1789" s="15" t="str">
        <f t="shared" si="0"/>
        <v/>
      </c>
      <c r="AF1789" s="15" t="str">
        <f t="shared" si="1"/>
        <v/>
      </c>
      <c r="AG1789" s="15" t="str">
        <f>IF(OR(AF1789="",AF1789="ERRO_CHAVE"),"",IFERROR(MATCH(AF1789,'Quitados DUPP'!$U$1:$U$6635,0),""))</f>
        <v/>
      </c>
      <c r="AH1789" s="15" t="str">
        <f t="shared" si="2"/>
        <v/>
      </c>
      <c r="AI1789" s="17" t="str">
        <f>IF(AG1789="","",INDEX('Quitados DUPP'!$G$1:$G$6635,AG1789))</f>
        <v/>
      </c>
      <c r="AJ1789" s="17" t="str">
        <f t="shared" si="3"/>
        <v/>
      </c>
    </row>
    <row r="1790" spans="31:36">
      <c r="AE1790" s="15" t="str">
        <f t="shared" si="0"/>
        <v/>
      </c>
      <c r="AF1790" s="15" t="str">
        <f t="shared" si="1"/>
        <v/>
      </c>
      <c r="AG1790" s="15" t="str">
        <f>IF(OR(AF1790="",AF1790="ERRO_CHAVE"),"",IFERROR(MATCH(AF1790,'Quitados DUPP'!$U$1:$U$6635,0),""))</f>
        <v/>
      </c>
      <c r="AH1790" s="15" t="str">
        <f t="shared" si="2"/>
        <v/>
      </c>
      <c r="AI1790" s="17" t="str">
        <f>IF(AG1790="","",INDEX('Quitados DUPP'!$G$1:$G$6635,AG1790))</f>
        <v/>
      </c>
      <c r="AJ1790" s="17" t="str">
        <f t="shared" si="3"/>
        <v/>
      </c>
    </row>
    <row r="1791" spans="31:36">
      <c r="AE1791" s="15" t="str">
        <f t="shared" si="0"/>
        <v/>
      </c>
      <c r="AF1791" s="15" t="str">
        <f t="shared" si="1"/>
        <v/>
      </c>
      <c r="AG1791" s="15" t="str">
        <f>IF(OR(AF1791="",AF1791="ERRO_CHAVE"),"",IFERROR(MATCH(AF1791,'Quitados DUPP'!$U$1:$U$6635,0),""))</f>
        <v/>
      </c>
      <c r="AH1791" s="15" t="str">
        <f t="shared" si="2"/>
        <v/>
      </c>
      <c r="AI1791" s="17" t="str">
        <f>IF(AG1791="","",INDEX('Quitados DUPP'!$G$1:$G$6635,AG1791))</f>
        <v/>
      </c>
      <c r="AJ1791" s="17" t="str">
        <f t="shared" si="3"/>
        <v/>
      </c>
    </row>
    <row r="1792" spans="31:36">
      <c r="AE1792" s="15" t="str">
        <f t="shared" si="0"/>
        <v/>
      </c>
      <c r="AF1792" s="15" t="str">
        <f t="shared" si="1"/>
        <v/>
      </c>
      <c r="AG1792" s="15" t="str">
        <f>IF(OR(AF1792="",AF1792="ERRO_CHAVE"),"",IFERROR(MATCH(AF1792,'Quitados DUPP'!$U$1:$U$6635,0),""))</f>
        <v/>
      </c>
      <c r="AH1792" s="15" t="str">
        <f t="shared" si="2"/>
        <v/>
      </c>
      <c r="AI1792" s="17" t="str">
        <f>IF(AG1792="","",INDEX('Quitados DUPP'!$G$1:$G$6635,AG1792))</f>
        <v/>
      </c>
      <c r="AJ1792" s="17" t="str">
        <f t="shared" si="3"/>
        <v/>
      </c>
    </row>
    <row r="1793" spans="31:36">
      <c r="AE1793" s="15" t="str">
        <f t="shared" si="0"/>
        <v/>
      </c>
      <c r="AF1793" s="15" t="str">
        <f t="shared" si="1"/>
        <v/>
      </c>
      <c r="AG1793" s="15" t="str">
        <f>IF(OR(AF1793="",AF1793="ERRO_CHAVE"),"",IFERROR(MATCH(AF1793,'Quitados DUPP'!$U$1:$U$6635,0),""))</f>
        <v/>
      </c>
      <c r="AH1793" s="15" t="str">
        <f t="shared" si="2"/>
        <v/>
      </c>
      <c r="AI1793" s="17" t="str">
        <f>IF(AG1793="","",INDEX('Quitados DUPP'!$G$1:$G$6635,AG1793))</f>
        <v/>
      </c>
      <c r="AJ1793" s="17" t="str">
        <f t="shared" si="3"/>
        <v/>
      </c>
    </row>
    <row r="1794" spans="31:36">
      <c r="AE1794" s="15" t="str">
        <f t="shared" si="0"/>
        <v/>
      </c>
      <c r="AF1794" s="15" t="str">
        <f t="shared" si="1"/>
        <v/>
      </c>
      <c r="AG1794" s="15" t="str">
        <f>IF(OR(AF1794="",AF1794="ERRO_CHAVE"),"",IFERROR(MATCH(AF1794,'Quitados DUPP'!$U$1:$U$6635,0),""))</f>
        <v/>
      </c>
      <c r="AH1794" s="15" t="str">
        <f t="shared" si="2"/>
        <v/>
      </c>
      <c r="AI1794" s="17" t="str">
        <f>IF(AG1794="","",INDEX('Quitados DUPP'!$G$1:$G$6635,AG1794))</f>
        <v/>
      </c>
      <c r="AJ1794" s="17" t="str">
        <f t="shared" si="3"/>
        <v/>
      </c>
    </row>
    <row r="1795" spans="31:36">
      <c r="AE1795" s="15" t="str">
        <f t="shared" si="0"/>
        <v/>
      </c>
      <c r="AF1795" s="15" t="str">
        <f t="shared" si="1"/>
        <v/>
      </c>
      <c r="AG1795" s="15" t="str">
        <f>IF(OR(AF1795="",AF1795="ERRO_CHAVE"),"",IFERROR(MATCH(AF1795,'Quitados DUPP'!$U$1:$U$6635,0),""))</f>
        <v/>
      </c>
      <c r="AH1795" s="15" t="str">
        <f t="shared" si="2"/>
        <v/>
      </c>
      <c r="AI1795" s="17" t="str">
        <f>IF(AG1795="","",INDEX('Quitados DUPP'!$G$1:$G$6635,AG1795))</f>
        <v/>
      </c>
      <c r="AJ1795" s="17" t="str">
        <f t="shared" si="3"/>
        <v/>
      </c>
    </row>
    <row r="1796" spans="31:36">
      <c r="AE1796" s="15" t="str">
        <f t="shared" si="0"/>
        <v/>
      </c>
      <c r="AF1796" s="15" t="str">
        <f t="shared" si="1"/>
        <v/>
      </c>
      <c r="AG1796" s="15" t="str">
        <f>IF(OR(AF1796="",AF1796="ERRO_CHAVE"),"",IFERROR(MATCH(AF1796,'Quitados DUPP'!$U$1:$U$6635,0),""))</f>
        <v/>
      </c>
      <c r="AH1796" s="15" t="str">
        <f t="shared" si="2"/>
        <v/>
      </c>
      <c r="AI1796" s="17" t="str">
        <f>IF(AG1796="","",INDEX('Quitados DUPP'!$G$1:$G$6635,AG1796))</f>
        <v/>
      </c>
      <c r="AJ1796" s="17" t="str">
        <f t="shared" si="3"/>
        <v/>
      </c>
    </row>
    <row r="1797" spans="31:36">
      <c r="AE1797" s="15" t="str">
        <f t="shared" si="0"/>
        <v/>
      </c>
      <c r="AF1797" s="15" t="str">
        <f t="shared" si="1"/>
        <v/>
      </c>
      <c r="AG1797" s="15" t="str">
        <f>IF(OR(AF1797="",AF1797="ERRO_CHAVE"),"",IFERROR(MATCH(AF1797,'Quitados DUPP'!$U$1:$U$6635,0),""))</f>
        <v/>
      </c>
      <c r="AH1797" s="15" t="str">
        <f t="shared" si="2"/>
        <v/>
      </c>
      <c r="AI1797" s="17" t="str">
        <f>IF(AG1797="","",INDEX('Quitados DUPP'!$G$1:$G$6635,AG1797))</f>
        <v/>
      </c>
      <c r="AJ1797" s="17" t="str">
        <f t="shared" si="3"/>
        <v/>
      </c>
    </row>
    <row r="1798" spans="31:36">
      <c r="AE1798" s="15" t="str">
        <f t="shared" si="0"/>
        <v/>
      </c>
      <c r="AF1798" s="15" t="str">
        <f t="shared" si="1"/>
        <v/>
      </c>
      <c r="AG1798" s="15" t="str">
        <f>IF(OR(AF1798="",AF1798="ERRO_CHAVE"),"",IFERROR(MATCH(AF1798,'Quitados DUPP'!$U$1:$U$6635,0),""))</f>
        <v/>
      </c>
      <c r="AH1798" s="15" t="str">
        <f t="shared" si="2"/>
        <v/>
      </c>
      <c r="AI1798" s="17" t="str">
        <f>IF(AG1798="","",INDEX('Quitados DUPP'!$G$1:$G$6635,AG1798))</f>
        <v/>
      </c>
      <c r="AJ1798" s="17" t="str">
        <f t="shared" si="3"/>
        <v/>
      </c>
    </row>
    <row r="1799" spans="31:36">
      <c r="AE1799" s="15" t="str">
        <f t="shared" si="0"/>
        <v/>
      </c>
      <c r="AF1799" s="15" t="str">
        <f t="shared" si="1"/>
        <v/>
      </c>
      <c r="AG1799" s="15" t="str">
        <f>IF(OR(AF1799="",AF1799="ERRO_CHAVE"),"",IFERROR(MATCH(AF1799,'Quitados DUPP'!$U$1:$U$6635,0),""))</f>
        <v/>
      </c>
      <c r="AH1799" s="15" t="str">
        <f t="shared" si="2"/>
        <v/>
      </c>
      <c r="AI1799" s="17" t="str">
        <f>IF(AG1799="","",INDEX('Quitados DUPP'!$G$1:$G$6635,AG1799))</f>
        <v/>
      </c>
      <c r="AJ1799" s="17" t="str">
        <f t="shared" si="3"/>
        <v/>
      </c>
    </row>
    <row r="1800" spans="31:36">
      <c r="AE1800" s="15" t="str">
        <f t="shared" si="0"/>
        <v/>
      </c>
      <c r="AF1800" s="15" t="str">
        <f t="shared" si="1"/>
        <v/>
      </c>
      <c r="AG1800" s="15" t="str">
        <f>IF(OR(AF1800="",AF1800="ERRO_CHAVE"),"",IFERROR(MATCH(AF1800,'Quitados DUPP'!$U$1:$U$6635,0),""))</f>
        <v/>
      </c>
      <c r="AH1800" s="15" t="str">
        <f t="shared" si="2"/>
        <v/>
      </c>
      <c r="AI1800" s="17" t="str">
        <f>IF(AG1800="","",INDEX('Quitados DUPP'!$G$1:$G$6635,AG1800))</f>
        <v/>
      </c>
      <c r="AJ1800" s="17" t="str">
        <f t="shared" si="3"/>
        <v/>
      </c>
    </row>
    <row r="1801" spans="31:36">
      <c r="AE1801" s="15" t="str">
        <f t="shared" si="0"/>
        <v/>
      </c>
      <c r="AF1801" s="15" t="str">
        <f t="shared" si="1"/>
        <v/>
      </c>
      <c r="AG1801" s="15" t="str">
        <f>IF(OR(AF1801="",AF1801="ERRO_CHAVE"),"",IFERROR(MATCH(AF1801,'Quitados DUPP'!$U$1:$U$6635,0),""))</f>
        <v/>
      </c>
      <c r="AH1801" s="15" t="str">
        <f t="shared" si="2"/>
        <v/>
      </c>
      <c r="AI1801" s="17" t="str">
        <f>IF(AG1801="","",INDEX('Quitados DUPP'!$G$1:$G$6635,AG1801))</f>
        <v/>
      </c>
      <c r="AJ1801" s="17" t="str">
        <f t="shared" si="3"/>
        <v/>
      </c>
    </row>
    <row r="1802" spans="31:36">
      <c r="AE1802" s="15" t="str">
        <f t="shared" si="0"/>
        <v/>
      </c>
      <c r="AF1802" s="15" t="str">
        <f t="shared" si="1"/>
        <v/>
      </c>
      <c r="AG1802" s="15" t="str">
        <f>IF(OR(AF1802="",AF1802="ERRO_CHAVE"),"",IFERROR(MATCH(AF1802,'Quitados DUPP'!$U$1:$U$6635,0),""))</f>
        <v/>
      </c>
      <c r="AH1802" s="15" t="str">
        <f t="shared" si="2"/>
        <v/>
      </c>
      <c r="AI1802" s="17" t="str">
        <f>IF(AG1802="","",INDEX('Quitados DUPP'!$G$1:$G$6635,AG1802))</f>
        <v/>
      </c>
      <c r="AJ1802" s="17" t="str">
        <f t="shared" si="3"/>
        <v/>
      </c>
    </row>
    <row r="1803" spans="31:36">
      <c r="AE1803" s="15" t="str">
        <f t="shared" si="0"/>
        <v/>
      </c>
      <c r="AF1803" s="15" t="str">
        <f t="shared" si="1"/>
        <v/>
      </c>
      <c r="AG1803" s="15" t="str">
        <f>IF(OR(AF1803="",AF1803="ERRO_CHAVE"),"",IFERROR(MATCH(AF1803,'Quitados DUPP'!$U$1:$U$6635,0),""))</f>
        <v/>
      </c>
      <c r="AH1803" s="15" t="str">
        <f t="shared" si="2"/>
        <v/>
      </c>
      <c r="AI1803" s="17" t="str">
        <f>IF(AG1803="","",INDEX('Quitados DUPP'!$G$1:$G$6635,AG1803))</f>
        <v/>
      </c>
      <c r="AJ1803" s="17" t="str">
        <f t="shared" si="3"/>
        <v/>
      </c>
    </row>
    <row r="1804" spans="31:36">
      <c r="AE1804" s="15" t="str">
        <f t="shared" si="0"/>
        <v/>
      </c>
      <c r="AF1804" s="15" t="str">
        <f t="shared" si="1"/>
        <v/>
      </c>
      <c r="AG1804" s="15" t="str">
        <f>IF(OR(AF1804="",AF1804="ERRO_CHAVE"),"",IFERROR(MATCH(AF1804,'Quitados DUPP'!$U$1:$U$6635,0),""))</f>
        <v/>
      </c>
      <c r="AH1804" s="15" t="str">
        <f t="shared" si="2"/>
        <v/>
      </c>
      <c r="AI1804" s="17" t="str">
        <f>IF(AG1804="","",INDEX('Quitados DUPP'!$G$1:$G$6635,AG1804))</f>
        <v/>
      </c>
      <c r="AJ1804" s="17" t="str">
        <f t="shared" si="3"/>
        <v/>
      </c>
    </row>
    <row r="1805" spans="31:36">
      <c r="AE1805" s="15" t="str">
        <f t="shared" si="0"/>
        <v/>
      </c>
      <c r="AF1805" s="15" t="str">
        <f t="shared" si="1"/>
        <v/>
      </c>
      <c r="AG1805" s="15" t="str">
        <f>IF(OR(AF1805="",AF1805="ERRO_CHAVE"),"",IFERROR(MATCH(AF1805,'Quitados DUPP'!$U$1:$U$6635,0),""))</f>
        <v/>
      </c>
      <c r="AH1805" s="15" t="str">
        <f t="shared" si="2"/>
        <v/>
      </c>
      <c r="AI1805" s="17" t="str">
        <f>IF(AG1805="","",INDEX('Quitados DUPP'!$G$1:$G$6635,AG1805))</f>
        <v/>
      </c>
      <c r="AJ1805" s="17" t="str">
        <f t="shared" si="3"/>
        <v/>
      </c>
    </row>
    <row r="1806" spans="31:36">
      <c r="AE1806" s="15" t="str">
        <f t="shared" si="0"/>
        <v/>
      </c>
      <c r="AF1806" s="15" t="str">
        <f t="shared" si="1"/>
        <v/>
      </c>
      <c r="AG1806" s="15" t="str">
        <f>IF(OR(AF1806="",AF1806="ERRO_CHAVE"),"",IFERROR(MATCH(AF1806,'Quitados DUPP'!$U$1:$U$6635,0),""))</f>
        <v/>
      </c>
      <c r="AH1806" s="15" t="str">
        <f t="shared" si="2"/>
        <v/>
      </c>
      <c r="AI1806" s="17" t="str">
        <f>IF(AG1806="","",INDEX('Quitados DUPP'!$G$1:$G$6635,AG1806))</f>
        <v/>
      </c>
      <c r="AJ1806" s="17" t="str">
        <f t="shared" si="3"/>
        <v/>
      </c>
    </row>
    <row r="1807" spans="31:36">
      <c r="AE1807" s="15" t="str">
        <f t="shared" si="0"/>
        <v/>
      </c>
      <c r="AF1807" s="15" t="str">
        <f t="shared" si="1"/>
        <v/>
      </c>
      <c r="AG1807" s="15" t="str">
        <f>IF(OR(AF1807="",AF1807="ERRO_CHAVE"),"",IFERROR(MATCH(AF1807,'Quitados DUPP'!$U$1:$U$6635,0),""))</f>
        <v/>
      </c>
      <c r="AH1807" s="15" t="str">
        <f t="shared" si="2"/>
        <v/>
      </c>
      <c r="AI1807" s="17" t="str">
        <f>IF(AG1807="","",INDEX('Quitados DUPP'!$G$1:$G$6635,AG1807))</f>
        <v/>
      </c>
      <c r="AJ1807" s="17" t="str">
        <f t="shared" si="3"/>
        <v/>
      </c>
    </row>
    <row r="1808" spans="31:36">
      <c r="AE1808" s="15" t="str">
        <f t="shared" si="0"/>
        <v/>
      </c>
      <c r="AF1808" s="15" t="str">
        <f t="shared" si="1"/>
        <v/>
      </c>
      <c r="AG1808" s="15" t="str">
        <f>IF(OR(AF1808="",AF1808="ERRO_CHAVE"),"",IFERROR(MATCH(AF1808,'Quitados DUPP'!$U$1:$U$6635,0),""))</f>
        <v/>
      </c>
      <c r="AH1808" s="15" t="str">
        <f t="shared" si="2"/>
        <v/>
      </c>
      <c r="AI1808" s="17" t="str">
        <f>IF(AG1808="","",INDEX('Quitados DUPP'!$G$1:$G$6635,AG1808))</f>
        <v/>
      </c>
      <c r="AJ1808" s="17" t="str">
        <f t="shared" si="3"/>
        <v/>
      </c>
    </row>
    <row r="1809" spans="31:36">
      <c r="AE1809" s="15" t="str">
        <f t="shared" si="0"/>
        <v/>
      </c>
      <c r="AF1809" s="15" t="str">
        <f t="shared" si="1"/>
        <v/>
      </c>
      <c r="AG1809" s="15" t="str">
        <f>IF(OR(AF1809="",AF1809="ERRO_CHAVE"),"",IFERROR(MATCH(AF1809,'Quitados DUPP'!$U$1:$U$6635,0),""))</f>
        <v/>
      </c>
      <c r="AH1809" s="15" t="str">
        <f t="shared" si="2"/>
        <v/>
      </c>
      <c r="AI1809" s="17" t="str">
        <f>IF(AG1809="","",INDEX('Quitados DUPP'!$G$1:$G$6635,AG1809))</f>
        <v/>
      </c>
      <c r="AJ1809" s="17" t="str">
        <f t="shared" si="3"/>
        <v/>
      </c>
    </row>
    <row r="1810" spans="31:36">
      <c r="AE1810" s="15" t="str">
        <f t="shared" si="0"/>
        <v/>
      </c>
      <c r="AF1810" s="15" t="str">
        <f t="shared" si="1"/>
        <v/>
      </c>
      <c r="AG1810" s="15" t="str">
        <f>IF(OR(AF1810="",AF1810="ERRO_CHAVE"),"",IFERROR(MATCH(AF1810,'Quitados DUPP'!$U$1:$U$6635,0),""))</f>
        <v/>
      </c>
      <c r="AH1810" s="15" t="str">
        <f t="shared" si="2"/>
        <v/>
      </c>
      <c r="AI1810" s="17" t="str">
        <f>IF(AG1810="","",INDEX('Quitados DUPP'!$G$1:$G$6635,AG1810))</f>
        <v/>
      </c>
      <c r="AJ1810" s="17" t="str">
        <f t="shared" si="3"/>
        <v/>
      </c>
    </row>
    <row r="1811" spans="31:36">
      <c r="AE1811" s="15" t="str">
        <f t="shared" si="0"/>
        <v/>
      </c>
      <c r="AF1811" s="15" t="str">
        <f t="shared" si="1"/>
        <v/>
      </c>
      <c r="AG1811" s="15" t="str">
        <f>IF(OR(AF1811="",AF1811="ERRO_CHAVE"),"",IFERROR(MATCH(AF1811,'Quitados DUPP'!$U$1:$U$6635,0),""))</f>
        <v/>
      </c>
      <c r="AH1811" s="15" t="str">
        <f t="shared" si="2"/>
        <v/>
      </c>
      <c r="AI1811" s="17" t="str">
        <f>IF(AG1811="","",INDEX('Quitados DUPP'!$G$1:$G$6635,AG1811))</f>
        <v/>
      </c>
      <c r="AJ1811" s="17" t="str">
        <f t="shared" si="3"/>
        <v/>
      </c>
    </row>
    <row r="1812" spans="31:36">
      <c r="AE1812" s="15" t="str">
        <f t="shared" si="0"/>
        <v/>
      </c>
      <c r="AF1812" s="15" t="str">
        <f t="shared" si="1"/>
        <v/>
      </c>
      <c r="AG1812" s="15" t="str">
        <f>IF(OR(AF1812="",AF1812="ERRO_CHAVE"),"",IFERROR(MATCH(AF1812,'Quitados DUPP'!$U$1:$U$6635,0),""))</f>
        <v/>
      </c>
      <c r="AH1812" s="15" t="str">
        <f t="shared" si="2"/>
        <v/>
      </c>
      <c r="AI1812" s="17" t="str">
        <f>IF(AG1812="","",INDEX('Quitados DUPP'!$G$1:$G$6635,AG1812))</f>
        <v/>
      </c>
      <c r="AJ1812" s="17" t="str">
        <f t="shared" si="3"/>
        <v/>
      </c>
    </row>
    <row r="1813" spans="31:36">
      <c r="AE1813" s="15" t="str">
        <f t="shared" si="0"/>
        <v/>
      </c>
      <c r="AF1813" s="15" t="str">
        <f t="shared" si="1"/>
        <v/>
      </c>
      <c r="AG1813" s="15" t="str">
        <f>IF(OR(AF1813="",AF1813="ERRO_CHAVE"),"",IFERROR(MATCH(AF1813,'Quitados DUPP'!$U$1:$U$6635,0),""))</f>
        <v/>
      </c>
      <c r="AH1813" s="15" t="str">
        <f t="shared" si="2"/>
        <v/>
      </c>
      <c r="AI1813" s="17" t="str">
        <f>IF(AG1813="","",INDEX('Quitados DUPP'!$G$1:$G$6635,AG1813))</f>
        <v/>
      </c>
      <c r="AJ1813" s="17" t="str">
        <f t="shared" si="3"/>
        <v/>
      </c>
    </row>
    <row r="1814" spans="31:36">
      <c r="AE1814" s="15" t="str">
        <f t="shared" si="0"/>
        <v/>
      </c>
      <c r="AF1814" s="15" t="str">
        <f t="shared" si="1"/>
        <v/>
      </c>
      <c r="AG1814" s="15" t="str">
        <f>IF(OR(AF1814="",AF1814="ERRO_CHAVE"),"",IFERROR(MATCH(AF1814,'Quitados DUPP'!$U$1:$U$6635,0),""))</f>
        <v/>
      </c>
      <c r="AH1814" s="15" t="str">
        <f t="shared" si="2"/>
        <v/>
      </c>
      <c r="AI1814" s="17" t="str">
        <f>IF(AG1814="","",INDEX('Quitados DUPP'!$G$1:$G$6635,AG1814))</f>
        <v/>
      </c>
      <c r="AJ1814" s="17" t="str">
        <f t="shared" si="3"/>
        <v/>
      </c>
    </row>
    <row r="1815" spans="31:36">
      <c r="AE1815" s="15" t="str">
        <f t="shared" si="0"/>
        <v/>
      </c>
      <c r="AF1815" s="15" t="str">
        <f t="shared" si="1"/>
        <v/>
      </c>
      <c r="AG1815" s="15" t="str">
        <f>IF(OR(AF1815="",AF1815="ERRO_CHAVE"),"",IFERROR(MATCH(AF1815,'Quitados DUPP'!$U$1:$U$6635,0),""))</f>
        <v/>
      </c>
      <c r="AH1815" s="15" t="str">
        <f t="shared" si="2"/>
        <v/>
      </c>
      <c r="AI1815" s="17" t="str">
        <f>IF(AG1815="","",INDEX('Quitados DUPP'!$G$1:$G$6635,AG1815))</f>
        <v/>
      </c>
      <c r="AJ1815" s="17" t="str">
        <f t="shared" si="3"/>
        <v/>
      </c>
    </row>
    <row r="1816" spans="31:36">
      <c r="AE1816" s="15" t="str">
        <f t="shared" si="0"/>
        <v/>
      </c>
      <c r="AF1816" s="15" t="str">
        <f t="shared" si="1"/>
        <v/>
      </c>
      <c r="AG1816" s="15" t="str">
        <f>IF(OR(AF1816="",AF1816="ERRO_CHAVE"),"",IFERROR(MATCH(AF1816,'Quitados DUPP'!$U$1:$U$6635,0),""))</f>
        <v/>
      </c>
      <c r="AH1816" s="15" t="str">
        <f t="shared" si="2"/>
        <v/>
      </c>
      <c r="AI1816" s="17" t="str">
        <f>IF(AG1816="","",INDEX('Quitados DUPP'!$G$1:$G$6635,AG1816))</f>
        <v/>
      </c>
      <c r="AJ1816" s="17" t="str">
        <f t="shared" si="3"/>
        <v/>
      </c>
    </row>
    <row r="1817" spans="31:36">
      <c r="AE1817" s="15" t="str">
        <f t="shared" si="0"/>
        <v/>
      </c>
      <c r="AF1817" s="15" t="str">
        <f t="shared" si="1"/>
        <v/>
      </c>
      <c r="AG1817" s="15" t="str">
        <f>IF(OR(AF1817="",AF1817="ERRO_CHAVE"),"",IFERROR(MATCH(AF1817,'Quitados DUPP'!$U$1:$U$6635,0),""))</f>
        <v/>
      </c>
      <c r="AH1817" s="15" t="str">
        <f t="shared" si="2"/>
        <v/>
      </c>
      <c r="AI1817" s="17" t="str">
        <f>IF(AG1817="","",INDEX('Quitados DUPP'!$G$1:$G$6635,AG1817))</f>
        <v/>
      </c>
      <c r="AJ1817" s="17" t="str">
        <f t="shared" si="3"/>
        <v/>
      </c>
    </row>
    <row r="1818" spans="31:36">
      <c r="AE1818" s="15" t="str">
        <f t="shared" si="0"/>
        <v/>
      </c>
      <c r="AF1818" s="15" t="str">
        <f t="shared" si="1"/>
        <v/>
      </c>
      <c r="AG1818" s="15" t="str">
        <f>IF(OR(AF1818="",AF1818="ERRO_CHAVE"),"",IFERROR(MATCH(AF1818,'Quitados DUPP'!$U$1:$U$6635,0),""))</f>
        <v/>
      </c>
      <c r="AH1818" s="15" t="str">
        <f t="shared" si="2"/>
        <v/>
      </c>
      <c r="AI1818" s="17" t="str">
        <f>IF(AG1818="","",INDEX('Quitados DUPP'!$G$1:$G$6635,AG1818))</f>
        <v/>
      </c>
      <c r="AJ1818" s="17" t="str">
        <f t="shared" si="3"/>
        <v/>
      </c>
    </row>
    <row r="1819" spans="31:36">
      <c r="AE1819" s="15" t="str">
        <f t="shared" si="0"/>
        <v/>
      </c>
      <c r="AF1819" s="15" t="str">
        <f t="shared" si="1"/>
        <v/>
      </c>
      <c r="AG1819" s="15" t="str">
        <f>IF(OR(AF1819="",AF1819="ERRO_CHAVE"),"",IFERROR(MATCH(AF1819,'Quitados DUPP'!$U$1:$U$6635,0),""))</f>
        <v/>
      </c>
      <c r="AH1819" s="15" t="str">
        <f t="shared" si="2"/>
        <v/>
      </c>
      <c r="AI1819" s="17" t="str">
        <f>IF(AG1819="","",INDEX('Quitados DUPP'!$G$1:$G$6635,AG1819))</f>
        <v/>
      </c>
      <c r="AJ1819" s="17" t="str">
        <f t="shared" si="3"/>
        <v/>
      </c>
    </row>
    <row r="1820" spans="31:36">
      <c r="AE1820" s="15" t="str">
        <f t="shared" si="0"/>
        <v/>
      </c>
      <c r="AF1820" s="15" t="str">
        <f t="shared" si="1"/>
        <v/>
      </c>
      <c r="AG1820" s="15" t="str">
        <f>IF(OR(AF1820="",AF1820="ERRO_CHAVE"),"",IFERROR(MATCH(AF1820,'Quitados DUPP'!$U$1:$U$6635,0),""))</f>
        <v/>
      </c>
      <c r="AH1820" s="15" t="str">
        <f t="shared" si="2"/>
        <v/>
      </c>
      <c r="AI1820" s="17" t="str">
        <f>IF(AG1820="","",INDEX('Quitados DUPP'!$G$1:$G$6635,AG1820))</f>
        <v/>
      </c>
      <c r="AJ1820" s="17" t="str">
        <f t="shared" si="3"/>
        <v/>
      </c>
    </row>
    <row r="1821" spans="31:36">
      <c r="AE1821" s="15" t="str">
        <f t="shared" si="0"/>
        <v/>
      </c>
      <c r="AF1821" s="15" t="str">
        <f t="shared" si="1"/>
        <v/>
      </c>
      <c r="AG1821" s="15" t="str">
        <f>IF(OR(AF1821="",AF1821="ERRO_CHAVE"),"",IFERROR(MATCH(AF1821,'Quitados DUPP'!$U$1:$U$6635,0),""))</f>
        <v/>
      </c>
      <c r="AH1821" s="15" t="str">
        <f t="shared" si="2"/>
        <v/>
      </c>
      <c r="AI1821" s="17" t="str">
        <f>IF(AG1821="","",INDEX('Quitados DUPP'!$G$1:$G$6635,AG1821))</f>
        <v/>
      </c>
      <c r="AJ1821" s="17" t="str">
        <f t="shared" si="3"/>
        <v/>
      </c>
    </row>
    <row r="1822" spans="31:36">
      <c r="AE1822" s="15" t="str">
        <f t="shared" si="0"/>
        <v/>
      </c>
      <c r="AF1822" s="15" t="str">
        <f t="shared" si="1"/>
        <v/>
      </c>
      <c r="AG1822" s="15" t="str">
        <f>IF(OR(AF1822="",AF1822="ERRO_CHAVE"),"",IFERROR(MATCH(AF1822,'Quitados DUPP'!$U$1:$U$6635,0),""))</f>
        <v/>
      </c>
      <c r="AH1822" s="15" t="str">
        <f t="shared" si="2"/>
        <v/>
      </c>
      <c r="AI1822" s="17" t="str">
        <f>IF(AG1822="","",INDEX('Quitados DUPP'!$G$1:$G$6635,AG1822))</f>
        <v/>
      </c>
      <c r="AJ1822" s="17" t="str">
        <f t="shared" si="3"/>
        <v/>
      </c>
    </row>
    <row r="1823" spans="31:36">
      <c r="AE1823" s="15" t="str">
        <f t="shared" si="0"/>
        <v/>
      </c>
      <c r="AF1823" s="15" t="str">
        <f t="shared" si="1"/>
        <v/>
      </c>
      <c r="AG1823" s="15" t="str">
        <f>IF(OR(AF1823="",AF1823="ERRO_CHAVE"),"",IFERROR(MATCH(AF1823,'Quitados DUPP'!$U$1:$U$6635,0),""))</f>
        <v/>
      </c>
      <c r="AH1823" s="15" t="str">
        <f t="shared" si="2"/>
        <v/>
      </c>
      <c r="AI1823" s="17" t="str">
        <f>IF(AG1823="","",INDEX('Quitados DUPP'!$G$1:$G$6635,AG1823))</f>
        <v/>
      </c>
      <c r="AJ1823" s="17" t="str">
        <f t="shared" si="3"/>
        <v/>
      </c>
    </row>
    <row r="1824" spans="31:36">
      <c r="AE1824" s="15" t="str">
        <f t="shared" si="0"/>
        <v/>
      </c>
      <c r="AF1824" s="15" t="str">
        <f t="shared" si="1"/>
        <v/>
      </c>
      <c r="AG1824" s="15" t="str">
        <f>IF(OR(AF1824="",AF1824="ERRO_CHAVE"),"",IFERROR(MATCH(AF1824,'Quitados DUPP'!$U$1:$U$6635,0),""))</f>
        <v/>
      </c>
      <c r="AH1824" s="15" t="str">
        <f t="shared" si="2"/>
        <v/>
      </c>
      <c r="AI1824" s="17" t="str">
        <f>IF(AG1824="","",INDEX('Quitados DUPP'!$G$1:$G$6635,AG1824))</f>
        <v/>
      </c>
      <c r="AJ1824" s="17" t="str">
        <f t="shared" si="3"/>
        <v/>
      </c>
    </row>
    <row r="1825" spans="31:36">
      <c r="AE1825" s="15" t="str">
        <f t="shared" si="0"/>
        <v/>
      </c>
      <c r="AF1825" s="15" t="str">
        <f t="shared" si="1"/>
        <v/>
      </c>
      <c r="AG1825" s="15" t="str">
        <f>IF(OR(AF1825="",AF1825="ERRO_CHAVE"),"",IFERROR(MATCH(AF1825,'Quitados DUPP'!$U$1:$U$6635,0),""))</f>
        <v/>
      </c>
      <c r="AH1825" s="15" t="str">
        <f t="shared" si="2"/>
        <v/>
      </c>
      <c r="AI1825" s="17" t="str">
        <f>IF(AG1825="","",INDEX('Quitados DUPP'!$G$1:$G$6635,AG1825))</f>
        <v/>
      </c>
      <c r="AJ1825" s="17" t="str">
        <f t="shared" si="3"/>
        <v/>
      </c>
    </row>
    <row r="1826" spans="31:36">
      <c r="AE1826" s="15" t="str">
        <f t="shared" si="0"/>
        <v/>
      </c>
      <c r="AF1826" s="15" t="str">
        <f t="shared" si="1"/>
        <v/>
      </c>
      <c r="AG1826" s="15" t="str">
        <f>IF(OR(AF1826="",AF1826="ERRO_CHAVE"),"",IFERROR(MATCH(AF1826,'Quitados DUPP'!$U$1:$U$6635,0),""))</f>
        <v/>
      </c>
      <c r="AH1826" s="15" t="str">
        <f t="shared" si="2"/>
        <v/>
      </c>
      <c r="AI1826" s="17" t="str">
        <f>IF(AG1826="","",INDEX('Quitados DUPP'!$G$1:$G$6635,AG1826))</f>
        <v/>
      </c>
      <c r="AJ1826" s="17" t="str">
        <f t="shared" si="3"/>
        <v/>
      </c>
    </row>
    <row r="1827" spans="31:36">
      <c r="AE1827" s="15" t="str">
        <f t="shared" si="0"/>
        <v/>
      </c>
      <c r="AF1827" s="15" t="str">
        <f t="shared" si="1"/>
        <v/>
      </c>
      <c r="AG1827" s="15" t="str">
        <f>IF(OR(AF1827="",AF1827="ERRO_CHAVE"),"",IFERROR(MATCH(AF1827,'Quitados DUPP'!$U$1:$U$6635,0),""))</f>
        <v/>
      </c>
      <c r="AH1827" s="15" t="str">
        <f t="shared" si="2"/>
        <v/>
      </c>
      <c r="AI1827" s="17" t="str">
        <f>IF(AG1827="","",INDEX('Quitados DUPP'!$G$1:$G$6635,AG1827))</f>
        <v/>
      </c>
      <c r="AJ1827" s="17" t="str">
        <f t="shared" si="3"/>
        <v/>
      </c>
    </row>
    <row r="1828" spans="31:36">
      <c r="AE1828" s="15" t="str">
        <f t="shared" si="0"/>
        <v/>
      </c>
      <c r="AF1828" s="15" t="str">
        <f t="shared" si="1"/>
        <v/>
      </c>
      <c r="AG1828" s="15" t="str">
        <f>IF(OR(AF1828="",AF1828="ERRO_CHAVE"),"",IFERROR(MATCH(AF1828,'Quitados DUPP'!$U$1:$U$6635,0),""))</f>
        <v/>
      </c>
      <c r="AH1828" s="15" t="str">
        <f t="shared" si="2"/>
        <v/>
      </c>
      <c r="AI1828" s="17" t="str">
        <f>IF(AG1828="","",INDEX('Quitados DUPP'!$G$1:$G$6635,AG1828))</f>
        <v/>
      </c>
      <c r="AJ1828" s="17" t="str">
        <f t="shared" si="3"/>
        <v/>
      </c>
    </row>
    <row r="1829" spans="31:36">
      <c r="AE1829" s="15" t="str">
        <f t="shared" si="0"/>
        <v/>
      </c>
      <c r="AF1829" s="15" t="str">
        <f t="shared" si="1"/>
        <v/>
      </c>
      <c r="AG1829" s="15" t="str">
        <f>IF(OR(AF1829="",AF1829="ERRO_CHAVE"),"",IFERROR(MATCH(AF1829,'Quitados DUPP'!$U$1:$U$6635,0),""))</f>
        <v/>
      </c>
      <c r="AH1829" s="15" t="str">
        <f t="shared" si="2"/>
        <v/>
      </c>
      <c r="AI1829" s="17" t="str">
        <f>IF(AG1829="","",INDEX('Quitados DUPP'!$G$1:$G$6635,AG1829))</f>
        <v/>
      </c>
      <c r="AJ1829" s="17" t="str">
        <f t="shared" si="3"/>
        <v/>
      </c>
    </row>
    <row r="1830" spans="31:36">
      <c r="AE1830" s="15" t="str">
        <f t="shared" si="0"/>
        <v/>
      </c>
      <c r="AF1830" s="15" t="str">
        <f t="shared" si="1"/>
        <v/>
      </c>
      <c r="AG1830" s="15" t="str">
        <f>IF(OR(AF1830="",AF1830="ERRO_CHAVE"),"",IFERROR(MATCH(AF1830,'Quitados DUPP'!$U$1:$U$6635,0),""))</f>
        <v/>
      </c>
      <c r="AH1830" s="15" t="str">
        <f t="shared" si="2"/>
        <v/>
      </c>
      <c r="AI1830" s="17" t="str">
        <f>IF(AG1830="","",INDEX('Quitados DUPP'!$G$1:$G$6635,AG1830))</f>
        <v/>
      </c>
      <c r="AJ1830" s="17" t="str">
        <f t="shared" si="3"/>
        <v/>
      </c>
    </row>
    <row r="1831" spans="31:36">
      <c r="AE1831" s="15" t="str">
        <f t="shared" si="0"/>
        <v/>
      </c>
      <c r="AF1831" s="15" t="str">
        <f t="shared" si="1"/>
        <v/>
      </c>
      <c r="AG1831" s="15" t="str">
        <f>IF(OR(AF1831="",AF1831="ERRO_CHAVE"),"",IFERROR(MATCH(AF1831,'Quitados DUPP'!$U$1:$U$6635,0),""))</f>
        <v/>
      </c>
      <c r="AH1831" s="15" t="str">
        <f t="shared" si="2"/>
        <v/>
      </c>
      <c r="AI1831" s="17" t="str">
        <f>IF(AG1831="","",INDEX('Quitados DUPP'!$G$1:$G$6635,AG1831))</f>
        <v/>
      </c>
      <c r="AJ1831" s="17" t="str">
        <f t="shared" si="3"/>
        <v/>
      </c>
    </row>
    <row r="1832" spans="31:36">
      <c r="AE1832" s="15" t="str">
        <f t="shared" si="0"/>
        <v/>
      </c>
      <c r="AF1832" s="15" t="str">
        <f t="shared" si="1"/>
        <v/>
      </c>
      <c r="AG1832" s="15" t="str">
        <f>IF(OR(AF1832="",AF1832="ERRO_CHAVE"),"",IFERROR(MATCH(AF1832,'Quitados DUPP'!$U$1:$U$6635,0),""))</f>
        <v/>
      </c>
      <c r="AH1832" s="15" t="str">
        <f t="shared" si="2"/>
        <v/>
      </c>
      <c r="AI1832" s="17" t="str">
        <f>IF(AG1832="","",INDEX('Quitados DUPP'!$G$1:$G$6635,AG1832))</f>
        <v/>
      </c>
      <c r="AJ1832" s="17" t="str">
        <f t="shared" si="3"/>
        <v/>
      </c>
    </row>
    <row r="1833" spans="31:36">
      <c r="AE1833" s="15" t="str">
        <f t="shared" si="0"/>
        <v/>
      </c>
      <c r="AF1833" s="15" t="str">
        <f t="shared" si="1"/>
        <v/>
      </c>
      <c r="AG1833" s="15" t="str">
        <f>IF(OR(AF1833="",AF1833="ERRO_CHAVE"),"",IFERROR(MATCH(AF1833,'Quitados DUPP'!$U$1:$U$6635,0),""))</f>
        <v/>
      </c>
      <c r="AH1833" s="15" t="str">
        <f t="shared" si="2"/>
        <v/>
      </c>
      <c r="AI1833" s="17" t="str">
        <f>IF(AG1833="","",INDEX('Quitados DUPP'!$G$1:$G$6635,AG1833))</f>
        <v/>
      </c>
      <c r="AJ1833" s="17" t="str">
        <f t="shared" si="3"/>
        <v/>
      </c>
    </row>
    <row r="1834" spans="31:36">
      <c r="AE1834" s="15" t="str">
        <f t="shared" si="0"/>
        <v/>
      </c>
      <c r="AF1834" s="15" t="str">
        <f t="shared" si="1"/>
        <v/>
      </c>
      <c r="AG1834" s="15" t="str">
        <f>IF(OR(AF1834="",AF1834="ERRO_CHAVE"),"",IFERROR(MATCH(AF1834,'Quitados DUPP'!$U$1:$U$6635,0),""))</f>
        <v/>
      </c>
      <c r="AH1834" s="15" t="str">
        <f t="shared" si="2"/>
        <v/>
      </c>
      <c r="AI1834" s="17" t="str">
        <f>IF(AG1834="","",INDEX('Quitados DUPP'!$G$1:$G$6635,AG1834))</f>
        <v/>
      </c>
      <c r="AJ1834" s="17" t="str">
        <f t="shared" si="3"/>
        <v/>
      </c>
    </row>
    <row r="1835" spans="31:36">
      <c r="AE1835" s="15" t="str">
        <f t="shared" si="0"/>
        <v/>
      </c>
      <c r="AF1835" s="15" t="str">
        <f t="shared" si="1"/>
        <v/>
      </c>
      <c r="AG1835" s="15" t="str">
        <f>IF(OR(AF1835="",AF1835="ERRO_CHAVE"),"",IFERROR(MATCH(AF1835,'Quitados DUPP'!$U$1:$U$6635,0),""))</f>
        <v/>
      </c>
      <c r="AH1835" s="15" t="str">
        <f t="shared" si="2"/>
        <v/>
      </c>
      <c r="AI1835" s="17" t="str">
        <f>IF(AG1835="","",INDEX('Quitados DUPP'!$G$1:$G$6635,AG1835))</f>
        <v/>
      </c>
      <c r="AJ1835" s="17" t="str">
        <f t="shared" si="3"/>
        <v/>
      </c>
    </row>
    <row r="1836" spans="31:36">
      <c r="AE1836" s="15" t="str">
        <f t="shared" si="0"/>
        <v/>
      </c>
      <c r="AF1836" s="15" t="str">
        <f t="shared" si="1"/>
        <v/>
      </c>
      <c r="AG1836" s="15" t="str">
        <f>IF(OR(AF1836="",AF1836="ERRO_CHAVE"),"",IFERROR(MATCH(AF1836,'Quitados DUPP'!$U$1:$U$6635,0),""))</f>
        <v/>
      </c>
      <c r="AH1836" s="15" t="str">
        <f t="shared" si="2"/>
        <v/>
      </c>
      <c r="AI1836" s="17" t="str">
        <f>IF(AG1836="","",INDEX('Quitados DUPP'!$G$1:$G$6635,AG1836))</f>
        <v/>
      </c>
      <c r="AJ1836" s="17" t="str">
        <f t="shared" si="3"/>
        <v/>
      </c>
    </row>
    <row r="1837" spans="31:36">
      <c r="AE1837" s="15" t="str">
        <f t="shared" si="0"/>
        <v/>
      </c>
      <c r="AF1837" s="15" t="str">
        <f t="shared" si="1"/>
        <v/>
      </c>
      <c r="AG1837" s="15" t="str">
        <f>IF(OR(AF1837="",AF1837="ERRO_CHAVE"),"",IFERROR(MATCH(AF1837,'Quitados DUPP'!$U$1:$U$6635,0),""))</f>
        <v/>
      </c>
      <c r="AH1837" s="15" t="str">
        <f t="shared" si="2"/>
        <v/>
      </c>
      <c r="AI1837" s="17" t="str">
        <f>IF(AG1837="","",INDEX('Quitados DUPP'!$G$1:$G$6635,AG1837))</f>
        <v/>
      </c>
      <c r="AJ1837" s="17" t="str">
        <f t="shared" si="3"/>
        <v/>
      </c>
    </row>
    <row r="1838" spans="31:36">
      <c r="AE1838" s="15" t="str">
        <f t="shared" si="0"/>
        <v/>
      </c>
      <c r="AF1838" s="15" t="str">
        <f t="shared" si="1"/>
        <v/>
      </c>
      <c r="AG1838" s="15" t="str">
        <f>IF(OR(AF1838="",AF1838="ERRO_CHAVE"),"",IFERROR(MATCH(AF1838,'Quitados DUPP'!$U$1:$U$6635,0),""))</f>
        <v/>
      </c>
      <c r="AH1838" s="15" t="str">
        <f t="shared" si="2"/>
        <v/>
      </c>
      <c r="AI1838" s="17" t="str">
        <f>IF(AG1838="","",INDEX('Quitados DUPP'!$G$1:$G$6635,AG1838))</f>
        <v/>
      </c>
      <c r="AJ1838" s="17" t="str">
        <f t="shared" si="3"/>
        <v/>
      </c>
    </row>
    <row r="1839" spans="31:36">
      <c r="AE1839" s="15" t="str">
        <f t="shared" si="0"/>
        <v/>
      </c>
      <c r="AF1839" s="15" t="str">
        <f t="shared" si="1"/>
        <v/>
      </c>
      <c r="AG1839" s="15" t="str">
        <f>IF(OR(AF1839="",AF1839="ERRO_CHAVE"),"",IFERROR(MATCH(AF1839,'Quitados DUPP'!$U$1:$U$6635,0),""))</f>
        <v/>
      </c>
      <c r="AH1839" s="15" t="str">
        <f t="shared" si="2"/>
        <v/>
      </c>
      <c r="AI1839" s="17" t="str">
        <f>IF(AG1839="","",INDEX('Quitados DUPP'!$G$1:$G$6635,AG1839))</f>
        <v/>
      </c>
      <c r="AJ1839" s="17" t="str">
        <f t="shared" si="3"/>
        <v/>
      </c>
    </row>
    <row r="1840" spans="31:36">
      <c r="AE1840" s="15" t="str">
        <f t="shared" si="0"/>
        <v/>
      </c>
      <c r="AF1840" s="15" t="str">
        <f t="shared" si="1"/>
        <v/>
      </c>
      <c r="AG1840" s="15" t="str">
        <f>IF(OR(AF1840="",AF1840="ERRO_CHAVE"),"",IFERROR(MATCH(AF1840,'Quitados DUPP'!$U$1:$U$6635,0),""))</f>
        <v/>
      </c>
      <c r="AH1840" s="15" t="str">
        <f t="shared" si="2"/>
        <v/>
      </c>
      <c r="AI1840" s="17" t="str">
        <f>IF(AG1840="","",INDEX('Quitados DUPP'!$G$1:$G$6635,AG1840))</f>
        <v/>
      </c>
      <c r="AJ1840" s="17" t="str">
        <f t="shared" si="3"/>
        <v/>
      </c>
    </row>
    <row r="1841" spans="31:36">
      <c r="AE1841" s="15" t="str">
        <f t="shared" si="0"/>
        <v/>
      </c>
      <c r="AF1841" s="15" t="str">
        <f t="shared" si="1"/>
        <v/>
      </c>
      <c r="AG1841" s="15" t="str">
        <f>IF(OR(AF1841="",AF1841="ERRO_CHAVE"),"",IFERROR(MATCH(AF1841,'Quitados DUPP'!$U$1:$U$6635,0),""))</f>
        <v/>
      </c>
      <c r="AH1841" s="15" t="str">
        <f t="shared" si="2"/>
        <v/>
      </c>
      <c r="AI1841" s="17" t="str">
        <f>IF(AG1841="","",INDEX('Quitados DUPP'!$G$1:$G$6635,AG1841))</f>
        <v/>
      </c>
      <c r="AJ1841" s="17" t="str">
        <f t="shared" si="3"/>
        <v/>
      </c>
    </row>
    <row r="1842" spans="31:36">
      <c r="AE1842" s="15" t="str">
        <f t="shared" si="0"/>
        <v/>
      </c>
      <c r="AF1842" s="15" t="str">
        <f t="shared" si="1"/>
        <v/>
      </c>
      <c r="AG1842" s="15" t="str">
        <f>IF(OR(AF1842="",AF1842="ERRO_CHAVE"),"",IFERROR(MATCH(AF1842,'Quitados DUPP'!$U$1:$U$6635,0),""))</f>
        <v/>
      </c>
      <c r="AH1842" s="15" t="str">
        <f t="shared" si="2"/>
        <v/>
      </c>
      <c r="AI1842" s="17" t="str">
        <f>IF(AG1842="","",INDEX('Quitados DUPP'!$G$1:$G$6635,AG1842))</f>
        <v/>
      </c>
      <c r="AJ1842" s="17" t="str">
        <f t="shared" si="3"/>
        <v/>
      </c>
    </row>
    <row r="1843" spans="31:36">
      <c r="AE1843" s="15" t="str">
        <f t="shared" si="0"/>
        <v/>
      </c>
      <c r="AF1843" s="15" t="str">
        <f t="shared" si="1"/>
        <v/>
      </c>
      <c r="AG1843" s="15" t="str">
        <f>IF(OR(AF1843="",AF1843="ERRO_CHAVE"),"",IFERROR(MATCH(AF1843,'Quitados DUPP'!$U$1:$U$6635,0),""))</f>
        <v/>
      </c>
      <c r="AH1843" s="15" t="str">
        <f t="shared" si="2"/>
        <v/>
      </c>
      <c r="AI1843" s="17" t="str">
        <f>IF(AG1843="","",INDEX('Quitados DUPP'!$G$1:$G$6635,AG1843))</f>
        <v/>
      </c>
      <c r="AJ1843" s="17" t="str">
        <f t="shared" si="3"/>
        <v/>
      </c>
    </row>
    <row r="1844" spans="31:36">
      <c r="AE1844" s="15" t="str">
        <f t="shared" si="0"/>
        <v/>
      </c>
      <c r="AF1844" s="15" t="str">
        <f t="shared" si="1"/>
        <v/>
      </c>
      <c r="AG1844" s="15" t="str">
        <f>IF(OR(AF1844="",AF1844="ERRO_CHAVE"),"",IFERROR(MATCH(AF1844,'Quitados DUPP'!$U$1:$U$6635,0),""))</f>
        <v/>
      </c>
      <c r="AH1844" s="15" t="str">
        <f t="shared" si="2"/>
        <v/>
      </c>
      <c r="AI1844" s="17" t="str">
        <f>IF(AG1844="","",INDEX('Quitados DUPP'!$G$1:$G$6635,AG1844))</f>
        <v/>
      </c>
      <c r="AJ1844" s="17" t="str">
        <f t="shared" si="3"/>
        <v/>
      </c>
    </row>
    <row r="1845" spans="31:36">
      <c r="AE1845" s="15" t="str">
        <f t="shared" si="0"/>
        <v/>
      </c>
      <c r="AF1845" s="15" t="str">
        <f t="shared" si="1"/>
        <v/>
      </c>
      <c r="AG1845" s="15" t="str">
        <f>IF(OR(AF1845="",AF1845="ERRO_CHAVE"),"",IFERROR(MATCH(AF1845,'Quitados DUPP'!$U$1:$U$6635,0),""))</f>
        <v/>
      </c>
      <c r="AH1845" s="15" t="str">
        <f t="shared" si="2"/>
        <v/>
      </c>
      <c r="AI1845" s="17" t="str">
        <f>IF(AG1845="","",INDEX('Quitados DUPP'!$G$1:$G$6635,AG1845))</f>
        <v/>
      </c>
      <c r="AJ1845" s="17" t="str">
        <f t="shared" si="3"/>
        <v/>
      </c>
    </row>
    <row r="1846" spans="31:36">
      <c r="AE1846" s="15" t="str">
        <f t="shared" si="0"/>
        <v/>
      </c>
      <c r="AF1846" s="15" t="str">
        <f t="shared" si="1"/>
        <v/>
      </c>
      <c r="AG1846" s="15" t="str">
        <f>IF(OR(AF1846="",AF1846="ERRO_CHAVE"),"",IFERROR(MATCH(AF1846,'Quitados DUPP'!$U$1:$U$6635,0),""))</f>
        <v/>
      </c>
      <c r="AH1846" s="15" t="str">
        <f t="shared" si="2"/>
        <v/>
      </c>
      <c r="AI1846" s="17" t="str">
        <f>IF(AG1846="","",INDEX('Quitados DUPP'!$G$1:$G$6635,AG1846))</f>
        <v/>
      </c>
      <c r="AJ1846" s="17" t="str">
        <f t="shared" si="3"/>
        <v/>
      </c>
    </row>
    <row r="1847" spans="31:36">
      <c r="AE1847" s="15" t="str">
        <f t="shared" si="0"/>
        <v/>
      </c>
      <c r="AF1847" s="15" t="str">
        <f t="shared" si="1"/>
        <v/>
      </c>
      <c r="AG1847" s="15" t="str">
        <f>IF(OR(AF1847="",AF1847="ERRO_CHAVE"),"",IFERROR(MATCH(AF1847,'Quitados DUPP'!$U$1:$U$6635,0),""))</f>
        <v/>
      </c>
      <c r="AH1847" s="15" t="str">
        <f t="shared" si="2"/>
        <v/>
      </c>
      <c r="AI1847" s="17" t="str">
        <f>IF(AG1847="","",INDEX('Quitados DUPP'!$G$1:$G$6635,AG1847))</f>
        <v/>
      </c>
      <c r="AJ1847" s="17" t="str">
        <f t="shared" si="3"/>
        <v/>
      </c>
    </row>
    <row r="1848" spans="31:36">
      <c r="AE1848" s="15" t="str">
        <f t="shared" si="0"/>
        <v/>
      </c>
      <c r="AF1848" s="15" t="str">
        <f t="shared" si="1"/>
        <v/>
      </c>
      <c r="AG1848" s="15" t="str">
        <f>IF(OR(AF1848="",AF1848="ERRO_CHAVE"),"",IFERROR(MATCH(AF1848,'Quitados DUPP'!$U$1:$U$6635,0),""))</f>
        <v/>
      </c>
      <c r="AH1848" s="15" t="str">
        <f t="shared" si="2"/>
        <v/>
      </c>
      <c r="AI1848" s="17" t="str">
        <f>IF(AG1848="","",INDEX('Quitados DUPP'!$G$1:$G$6635,AG1848))</f>
        <v/>
      </c>
      <c r="AJ1848" s="17" t="str">
        <f t="shared" si="3"/>
        <v/>
      </c>
    </row>
    <row r="1849" spans="31:36">
      <c r="AE1849" s="15" t="str">
        <f t="shared" si="0"/>
        <v/>
      </c>
      <c r="AF1849" s="15" t="str">
        <f t="shared" si="1"/>
        <v/>
      </c>
      <c r="AG1849" s="15" t="str">
        <f>IF(OR(AF1849="",AF1849="ERRO_CHAVE"),"",IFERROR(MATCH(AF1849,'Quitados DUPP'!$U$1:$U$6635,0),""))</f>
        <v/>
      </c>
      <c r="AH1849" s="15" t="str">
        <f t="shared" si="2"/>
        <v/>
      </c>
      <c r="AI1849" s="17" t="str">
        <f>IF(AG1849="","",INDEX('Quitados DUPP'!$G$1:$G$6635,AG1849))</f>
        <v/>
      </c>
      <c r="AJ1849" s="17" t="str">
        <f t="shared" si="3"/>
        <v/>
      </c>
    </row>
    <row r="1850" spans="31:36">
      <c r="AE1850" s="15" t="str">
        <f t="shared" si="0"/>
        <v/>
      </c>
      <c r="AF1850" s="15" t="str">
        <f t="shared" si="1"/>
        <v/>
      </c>
      <c r="AG1850" s="15" t="str">
        <f>IF(OR(AF1850="",AF1850="ERRO_CHAVE"),"",IFERROR(MATCH(AF1850,'Quitados DUPP'!$U$1:$U$6635,0),""))</f>
        <v/>
      </c>
      <c r="AH1850" s="15" t="str">
        <f t="shared" si="2"/>
        <v/>
      </c>
      <c r="AI1850" s="17" t="str">
        <f>IF(AG1850="","",INDEX('Quitados DUPP'!$G$1:$G$6635,AG1850))</f>
        <v/>
      </c>
      <c r="AJ1850" s="17" t="str">
        <f t="shared" si="3"/>
        <v/>
      </c>
    </row>
    <row r="1851" spans="31:36">
      <c r="AE1851" s="15" t="str">
        <f t="shared" si="0"/>
        <v/>
      </c>
      <c r="AF1851" s="15" t="str">
        <f t="shared" si="1"/>
        <v/>
      </c>
      <c r="AG1851" s="15" t="str">
        <f>IF(OR(AF1851="",AF1851="ERRO_CHAVE"),"",IFERROR(MATCH(AF1851,'Quitados DUPP'!$U$1:$U$6635,0),""))</f>
        <v/>
      </c>
      <c r="AH1851" s="15" t="str">
        <f t="shared" si="2"/>
        <v/>
      </c>
      <c r="AI1851" s="17" t="str">
        <f>IF(AG1851="","",INDEX('Quitados DUPP'!$G$1:$G$6635,AG1851))</f>
        <v/>
      </c>
      <c r="AJ1851" s="17" t="str">
        <f t="shared" si="3"/>
        <v/>
      </c>
    </row>
    <row r="1852" spans="31:36">
      <c r="AE1852" s="15" t="str">
        <f t="shared" si="0"/>
        <v/>
      </c>
      <c r="AF1852" s="15" t="str">
        <f t="shared" si="1"/>
        <v/>
      </c>
      <c r="AG1852" s="15" t="str">
        <f>IF(OR(AF1852="",AF1852="ERRO_CHAVE"),"",IFERROR(MATCH(AF1852,'Quitados DUPP'!$U$1:$U$6635,0),""))</f>
        <v/>
      </c>
      <c r="AH1852" s="15" t="str">
        <f t="shared" si="2"/>
        <v/>
      </c>
      <c r="AI1852" s="17" t="str">
        <f>IF(AG1852="","",INDEX('Quitados DUPP'!$G$1:$G$6635,AG1852))</f>
        <v/>
      </c>
      <c r="AJ1852" s="17" t="str">
        <f t="shared" si="3"/>
        <v/>
      </c>
    </row>
    <row r="1853" spans="31:36">
      <c r="AE1853" s="15" t="str">
        <f t="shared" si="0"/>
        <v/>
      </c>
      <c r="AF1853" s="15" t="str">
        <f t="shared" si="1"/>
        <v/>
      </c>
      <c r="AG1853" s="15" t="str">
        <f>IF(OR(AF1853="",AF1853="ERRO_CHAVE"),"",IFERROR(MATCH(AF1853,'Quitados DUPP'!$U$1:$U$6635,0),""))</f>
        <v/>
      </c>
      <c r="AH1853" s="15" t="str">
        <f t="shared" si="2"/>
        <v/>
      </c>
      <c r="AI1853" s="17" t="str">
        <f>IF(AG1853="","",INDEX('Quitados DUPP'!$G$1:$G$6635,AG1853))</f>
        <v/>
      </c>
      <c r="AJ1853" s="17" t="str">
        <f t="shared" si="3"/>
        <v/>
      </c>
    </row>
    <row r="1854" spans="31:36">
      <c r="AE1854" s="15" t="str">
        <f t="shared" si="0"/>
        <v/>
      </c>
      <c r="AF1854" s="15" t="str">
        <f t="shared" si="1"/>
        <v/>
      </c>
      <c r="AG1854" s="15" t="str">
        <f>IF(OR(AF1854="",AF1854="ERRO_CHAVE"),"",IFERROR(MATCH(AF1854,'Quitados DUPP'!$U$1:$U$6635,0),""))</f>
        <v/>
      </c>
      <c r="AH1854" s="15" t="str">
        <f t="shared" si="2"/>
        <v/>
      </c>
      <c r="AI1854" s="17" t="str">
        <f>IF(AG1854="","",INDEX('Quitados DUPP'!$G$1:$G$6635,AG1854))</f>
        <v/>
      </c>
      <c r="AJ1854" s="17" t="str">
        <f t="shared" si="3"/>
        <v/>
      </c>
    </row>
    <row r="1855" spans="31:36">
      <c r="AE1855" s="15" t="str">
        <f t="shared" si="0"/>
        <v/>
      </c>
      <c r="AF1855" s="15" t="str">
        <f t="shared" si="1"/>
        <v/>
      </c>
      <c r="AG1855" s="15" t="str">
        <f>IF(OR(AF1855="",AF1855="ERRO_CHAVE"),"",IFERROR(MATCH(AF1855,'Quitados DUPP'!$U$1:$U$6635,0),""))</f>
        <v/>
      </c>
      <c r="AH1855" s="15" t="str">
        <f t="shared" si="2"/>
        <v/>
      </c>
      <c r="AI1855" s="17" t="str">
        <f>IF(AG1855="","",INDEX('Quitados DUPP'!$G$1:$G$6635,AG1855))</f>
        <v/>
      </c>
      <c r="AJ1855" s="17" t="str">
        <f t="shared" si="3"/>
        <v/>
      </c>
    </row>
    <row r="1856" spans="31:36">
      <c r="AE1856" s="15" t="str">
        <f t="shared" si="0"/>
        <v/>
      </c>
      <c r="AF1856" s="15" t="str">
        <f t="shared" si="1"/>
        <v/>
      </c>
      <c r="AG1856" s="15" t="str">
        <f>IF(OR(AF1856="",AF1856="ERRO_CHAVE"),"",IFERROR(MATCH(AF1856,'Quitados DUPP'!$U$1:$U$6635,0),""))</f>
        <v/>
      </c>
      <c r="AH1856" s="15" t="str">
        <f t="shared" si="2"/>
        <v/>
      </c>
      <c r="AI1856" s="17" t="str">
        <f>IF(AG1856="","",INDEX('Quitados DUPP'!$G$1:$G$6635,AG1856))</f>
        <v/>
      </c>
      <c r="AJ1856" s="17" t="str">
        <f t="shared" si="3"/>
        <v/>
      </c>
    </row>
    <row r="1857" spans="31:36">
      <c r="AE1857" s="15" t="str">
        <f t="shared" si="0"/>
        <v/>
      </c>
      <c r="AF1857" s="15" t="str">
        <f t="shared" si="1"/>
        <v/>
      </c>
      <c r="AG1857" s="15" t="str">
        <f>IF(OR(AF1857="",AF1857="ERRO_CHAVE"),"",IFERROR(MATCH(AF1857,'Quitados DUPP'!$U$1:$U$6635,0),""))</f>
        <v/>
      </c>
      <c r="AH1857" s="15" t="str">
        <f t="shared" si="2"/>
        <v/>
      </c>
      <c r="AI1857" s="17" t="str">
        <f>IF(AG1857="","",INDEX('Quitados DUPP'!$G$1:$G$6635,AG1857))</f>
        <v/>
      </c>
      <c r="AJ1857" s="17" t="str">
        <f t="shared" si="3"/>
        <v/>
      </c>
    </row>
    <row r="1858" spans="31:36">
      <c r="AE1858" s="15" t="str">
        <f t="shared" si="0"/>
        <v/>
      </c>
      <c r="AF1858" s="15" t="str">
        <f t="shared" si="1"/>
        <v/>
      </c>
      <c r="AG1858" s="15" t="str">
        <f>IF(OR(AF1858="",AF1858="ERRO_CHAVE"),"",IFERROR(MATCH(AF1858,'Quitados DUPP'!$U$1:$U$6635,0),""))</f>
        <v/>
      </c>
      <c r="AH1858" s="15" t="str">
        <f t="shared" si="2"/>
        <v/>
      </c>
      <c r="AI1858" s="17" t="str">
        <f>IF(AG1858="","",INDEX('Quitados DUPP'!$G$1:$G$6635,AG1858))</f>
        <v/>
      </c>
      <c r="AJ1858" s="17" t="str">
        <f t="shared" si="3"/>
        <v/>
      </c>
    </row>
    <row r="1859" spans="31:36">
      <c r="AE1859" s="15" t="str">
        <f t="shared" si="0"/>
        <v/>
      </c>
      <c r="AF1859" s="15" t="str">
        <f t="shared" si="1"/>
        <v/>
      </c>
      <c r="AG1859" s="15" t="str">
        <f>IF(OR(AF1859="",AF1859="ERRO_CHAVE"),"",IFERROR(MATCH(AF1859,'Quitados DUPP'!$U$1:$U$6635,0),""))</f>
        <v/>
      </c>
      <c r="AH1859" s="15" t="str">
        <f t="shared" si="2"/>
        <v/>
      </c>
      <c r="AI1859" s="17" t="str">
        <f>IF(AG1859="","",INDEX('Quitados DUPP'!$G$1:$G$6635,AG1859))</f>
        <v/>
      </c>
      <c r="AJ1859" s="17" t="str">
        <f t="shared" si="3"/>
        <v/>
      </c>
    </row>
    <row r="1860" spans="31:36">
      <c r="AE1860" s="15" t="str">
        <f t="shared" si="0"/>
        <v/>
      </c>
      <c r="AF1860" s="15" t="str">
        <f t="shared" si="1"/>
        <v/>
      </c>
      <c r="AG1860" s="15" t="str">
        <f>IF(OR(AF1860="",AF1860="ERRO_CHAVE"),"",IFERROR(MATCH(AF1860,'Quitados DUPP'!$U$1:$U$6635,0),""))</f>
        <v/>
      </c>
      <c r="AH1860" s="15" t="str">
        <f t="shared" si="2"/>
        <v/>
      </c>
      <c r="AI1860" s="17" t="str">
        <f>IF(AG1860="","",INDEX('Quitados DUPP'!$G$1:$G$6635,AG1860))</f>
        <v/>
      </c>
      <c r="AJ1860" s="17" t="str">
        <f t="shared" si="3"/>
        <v/>
      </c>
    </row>
    <row r="1861" spans="31:36">
      <c r="AE1861" s="15" t="str">
        <f t="shared" si="0"/>
        <v/>
      </c>
      <c r="AF1861" s="15" t="str">
        <f t="shared" si="1"/>
        <v/>
      </c>
      <c r="AG1861" s="15" t="str">
        <f>IF(OR(AF1861="",AF1861="ERRO_CHAVE"),"",IFERROR(MATCH(AF1861,'Quitados DUPP'!$U$1:$U$6635,0),""))</f>
        <v/>
      </c>
      <c r="AH1861" s="15" t="str">
        <f t="shared" si="2"/>
        <v/>
      </c>
      <c r="AI1861" s="17" t="str">
        <f>IF(AG1861="","",INDEX('Quitados DUPP'!$G$1:$G$6635,AG1861))</f>
        <v/>
      </c>
      <c r="AJ1861" s="17" t="str">
        <f t="shared" si="3"/>
        <v/>
      </c>
    </row>
    <row r="1862" spans="31:36">
      <c r="AE1862" s="15" t="str">
        <f t="shared" si="0"/>
        <v/>
      </c>
      <c r="AF1862" s="15" t="str">
        <f t="shared" si="1"/>
        <v/>
      </c>
      <c r="AG1862" s="15" t="str">
        <f>IF(OR(AF1862="",AF1862="ERRO_CHAVE"),"",IFERROR(MATCH(AF1862,'Quitados DUPP'!$U$1:$U$6635,0),""))</f>
        <v/>
      </c>
      <c r="AH1862" s="15" t="str">
        <f t="shared" si="2"/>
        <v/>
      </c>
      <c r="AI1862" s="17" t="str">
        <f>IF(AG1862="","",INDEX('Quitados DUPP'!$G$1:$G$6635,AG1862))</f>
        <v/>
      </c>
      <c r="AJ1862" s="17" t="str">
        <f t="shared" si="3"/>
        <v/>
      </c>
    </row>
    <row r="1863" spans="31:36">
      <c r="AE1863" s="15" t="str">
        <f t="shared" si="0"/>
        <v/>
      </c>
      <c r="AF1863" s="15" t="str">
        <f t="shared" si="1"/>
        <v/>
      </c>
      <c r="AG1863" s="15" t="str">
        <f>IF(OR(AF1863="",AF1863="ERRO_CHAVE"),"",IFERROR(MATCH(AF1863,'Quitados DUPP'!$U$1:$U$6635,0),""))</f>
        <v/>
      </c>
      <c r="AH1863" s="15" t="str">
        <f t="shared" si="2"/>
        <v/>
      </c>
      <c r="AI1863" s="17" t="str">
        <f>IF(AG1863="","",INDEX('Quitados DUPP'!$G$1:$G$6635,AG1863))</f>
        <v/>
      </c>
      <c r="AJ1863" s="17" t="str">
        <f t="shared" si="3"/>
        <v/>
      </c>
    </row>
    <row r="1864" spans="31:36">
      <c r="AE1864" s="15" t="str">
        <f t="shared" si="0"/>
        <v/>
      </c>
      <c r="AF1864" s="15" t="str">
        <f t="shared" si="1"/>
        <v/>
      </c>
      <c r="AG1864" s="15" t="str">
        <f>IF(OR(AF1864="",AF1864="ERRO_CHAVE"),"",IFERROR(MATCH(AF1864,'Quitados DUPP'!$U$1:$U$6635,0),""))</f>
        <v/>
      </c>
      <c r="AH1864" s="15" t="str">
        <f t="shared" si="2"/>
        <v/>
      </c>
      <c r="AI1864" s="17" t="str">
        <f>IF(AG1864="","",INDEX('Quitados DUPP'!$G$1:$G$6635,AG1864))</f>
        <v/>
      </c>
      <c r="AJ1864" s="17" t="str">
        <f t="shared" si="3"/>
        <v/>
      </c>
    </row>
    <row r="1865" spans="31:36">
      <c r="AE1865" s="15" t="str">
        <f t="shared" si="0"/>
        <v/>
      </c>
      <c r="AF1865" s="15" t="str">
        <f t="shared" si="1"/>
        <v/>
      </c>
      <c r="AG1865" s="15" t="str">
        <f>IF(OR(AF1865="",AF1865="ERRO_CHAVE"),"",IFERROR(MATCH(AF1865,'Quitados DUPP'!$U$1:$U$6635,0),""))</f>
        <v/>
      </c>
      <c r="AH1865" s="15" t="str">
        <f t="shared" si="2"/>
        <v/>
      </c>
      <c r="AI1865" s="17" t="str">
        <f>IF(AG1865="","",INDEX('Quitados DUPP'!$G$1:$G$6635,AG1865))</f>
        <v/>
      </c>
      <c r="AJ1865" s="17" t="str">
        <f t="shared" si="3"/>
        <v/>
      </c>
    </row>
    <row r="1866" spans="31:36">
      <c r="AE1866" s="15" t="str">
        <f t="shared" si="0"/>
        <v/>
      </c>
      <c r="AF1866" s="15" t="str">
        <f t="shared" si="1"/>
        <v/>
      </c>
      <c r="AG1866" s="15" t="str">
        <f>IF(OR(AF1866="",AF1866="ERRO_CHAVE"),"",IFERROR(MATCH(AF1866,'Quitados DUPP'!$U$1:$U$6635,0),""))</f>
        <v/>
      </c>
      <c r="AH1866" s="15" t="str">
        <f t="shared" si="2"/>
        <v/>
      </c>
      <c r="AI1866" s="17" t="str">
        <f>IF(AG1866="","",INDEX('Quitados DUPP'!$G$1:$G$6635,AG1866))</f>
        <v/>
      </c>
      <c r="AJ1866" s="17" t="str">
        <f t="shared" si="3"/>
        <v/>
      </c>
    </row>
    <row r="1867" spans="31:36">
      <c r="AE1867" s="15" t="str">
        <f t="shared" si="0"/>
        <v/>
      </c>
      <c r="AF1867" s="15" t="str">
        <f t="shared" si="1"/>
        <v/>
      </c>
      <c r="AG1867" s="15" t="str">
        <f>IF(OR(AF1867="",AF1867="ERRO_CHAVE"),"",IFERROR(MATCH(AF1867,'Quitados DUPP'!$U$1:$U$6635,0),""))</f>
        <v/>
      </c>
      <c r="AH1867" s="15" t="str">
        <f t="shared" si="2"/>
        <v/>
      </c>
      <c r="AI1867" s="17" t="str">
        <f>IF(AG1867="","",INDEX('Quitados DUPP'!$G$1:$G$6635,AG1867))</f>
        <v/>
      </c>
      <c r="AJ1867" s="17" t="str">
        <f t="shared" si="3"/>
        <v/>
      </c>
    </row>
    <row r="1868" spans="31:36">
      <c r="AE1868" s="15" t="str">
        <f t="shared" si="0"/>
        <v/>
      </c>
      <c r="AF1868" s="15" t="str">
        <f t="shared" si="1"/>
        <v/>
      </c>
      <c r="AG1868" s="15" t="str">
        <f>IF(OR(AF1868="",AF1868="ERRO_CHAVE"),"",IFERROR(MATCH(AF1868,'Quitados DUPP'!$U$1:$U$6635,0),""))</f>
        <v/>
      </c>
      <c r="AH1868" s="15" t="str">
        <f t="shared" si="2"/>
        <v/>
      </c>
      <c r="AI1868" s="17" t="str">
        <f>IF(AG1868="","",INDEX('Quitados DUPP'!$G$1:$G$6635,AG1868))</f>
        <v/>
      </c>
      <c r="AJ1868" s="17" t="str">
        <f t="shared" si="3"/>
        <v/>
      </c>
    </row>
    <row r="1869" spans="31:36">
      <c r="AE1869" s="15" t="str">
        <f t="shared" si="0"/>
        <v/>
      </c>
      <c r="AF1869" s="15" t="str">
        <f t="shared" si="1"/>
        <v/>
      </c>
      <c r="AG1869" s="15" t="str">
        <f>IF(OR(AF1869="",AF1869="ERRO_CHAVE"),"",IFERROR(MATCH(AF1869,'Quitados DUPP'!$U$1:$U$6635,0),""))</f>
        <v/>
      </c>
      <c r="AH1869" s="15" t="str">
        <f t="shared" si="2"/>
        <v/>
      </c>
      <c r="AI1869" s="17" t="str">
        <f>IF(AG1869="","",INDEX('Quitados DUPP'!$G$1:$G$6635,AG1869))</f>
        <v/>
      </c>
      <c r="AJ1869" s="17" t="str">
        <f t="shared" si="3"/>
        <v/>
      </c>
    </row>
    <row r="1870" spans="31:36">
      <c r="AE1870" s="15" t="str">
        <f t="shared" si="0"/>
        <v/>
      </c>
      <c r="AF1870" s="15" t="str">
        <f t="shared" si="1"/>
        <v/>
      </c>
      <c r="AG1870" s="15" t="str">
        <f>IF(OR(AF1870="",AF1870="ERRO_CHAVE"),"",IFERROR(MATCH(AF1870,'Quitados DUPP'!$U$1:$U$6635,0),""))</f>
        <v/>
      </c>
      <c r="AH1870" s="15" t="str">
        <f t="shared" si="2"/>
        <v/>
      </c>
      <c r="AI1870" s="17" t="str">
        <f>IF(AG1870="","",INDEX('Quitados DUPP'!$G$1:$G$6635,AG1870))</f>
        <v/>
      </c>
      <c r="AJ1870" s="17" t="str">
        <f t="shared" si="3"/>
        <v/>
      </c>
    </row>
    <row r="1871" spans="31:36">
      <c r="AE1871" s="15" t="str">
        <f t="shared" si="0"/>
        <v/>
      </c>
      <c r="AF1871" s="15" t="str">
        <f t="shared" si="1"/>
        <v/>
      </c>
      <c r="AG1871" s="15" t="str">
        <f>IF(OR(AF1871="",AF1871="ERRO_CHAVE"),"",IFERROR(MATCH(AF1871,'Quitados DUPP'!$U$1:$U$6635,0),""))</f>
        <v/>
      </c>
      <c r="AH1871" s="15" t="str">
        <f t="shared" si="2"/>
        <v/>
      </c>
      <c r="AI1871" s="17" t="str">
        <f>IF(AG1871="","",INDEX('Quitados DUPP'!$G$1:$G$6635,AG1871))</f>
        <v/>
      </c>
      <c r="AJ1871" s="17" t="str">
        <f t="shared" si="3"/>
        <v/>
      </c>
    </row>
    <row r="1872" spans="31:36">
      <c r="AE1872" s="15" t="str">
        <f t="shared" si="0"/>
        <v/>
      </c>
      <c r="AF1872" s="15" t="str">
        <f t="shared" si="1"/>
        <v/>
      </c>
      <c r="AG1872" s="15" t="str">
        <f>IF(OR(AF1872="",AF1872="ERRO_CHAVE"),"",IFERROR(MATCH(AF1872,'Quitados DUPP'!$U$1:$U$6635,0),""))</f>
        <v/>
      </c>
      <c r="AH1872" s="15" t="str">
        <f t="shared" si="2"/>
        <v/>
      </c>
      <c r="AI1872" s="17" t="str">
        <f>IF(AG1872="","",INDEX('Quitados DUPP'!$G$1:$G$6635,AG1872))</f>
        <v/>
      </c>
      <c r="AJ1872" s="17" t="str">
        <f t="shared" si="3"/>
        <v/>
      </c>
    </row>
    <row r="1873" spans="31:36">
      <c r="AE1873" s="15" t="str">
        <f t="shared" si="0"/>
        <v/>
      </c>
      <c r="AF1873" s="15" t="str">
        <f t="shared" si="1"/>
        <v/>
      </c>
      <c r="AG1873" s="15" t="str">
        <f>IF(OR(AF1873="",AF1873="ERRO_CHAVE"),"",IFERROR(MATCH(AF1873,'Quitados DUPP'!$U$1:$U$6635,0),""))</f>
        <v/>
      </c>
      <c r="AH1873" s="15" t="str">
        <f t="shared" si="2"/>
        <v/>
      </c>
      <c r="AI1873" s="17" t="str">
        <f>IF(AG1873="","",INDEX('Quitados DUPP'!$G$1:$G$6635,AG1873))</f>
        <v/>
      </c>
      <c r="AJ1873" s="17" t="str">
        <f t="shared" si="3"/>
        <v/>
      </c>
    </row>
    <row r="1874" spans="31:36">
      <c r="AE1874" s="15" t="str">
        <f t="shared" si="0"/>
        <v/>
      </c>
      <c r="AF1874" s="15" t="str">
        <f t="shared" si="1"/>
        <v/>
      </c>
      <c r="AG1874" s="15" t="str">
        <f>IF(OR(AF1874="",AF1874="ERRO_CHAVE"),"",IFERROR(MATCH(AF1874,'Quitados DUPP'!$U$1:$U$6635,0),""))</f>
        <v/>
      </c>
      <c r="AH1874" s="15" t="str">
        <f t="shared" si="2"/>
        <v/>
      </c>
      <c r="AI1874" s="17" t="str">
        <f>IF(AG1874="","",INDEX('Quitados DUPP'!$G$1:$G$6635,AG1874))</f>
        <v/>
      </c>
      <c r="AJ1874" s="17" t="str">
        <f t="shared" si="3"/>
        <v/>
      </c>
    </row>
    <row r="1875" spans="31:36">
      <c r="AE1875" s="15" t="str">
        <f t="shared" si="0"/>
        <v/>
      </c>
      <c r="AF1875" s="15" t="str">
        <f t="shared" si="1"/>
        <v/>
      </c>
      <c r="AG1875" s="15" t="str">
        <f>IF(OR(AF1875="",AF1875="ERRO_CHAVE"),"",IFERROR(MATCH(AF1875,'Quitados DUPP'!$U$1:$U$6635,0),""))</f>
        <v/>
      </c>
      <c r="AH1875" s="15" t="str">
        <f t="shared" si="2"/>
        <v/>
      </c>
      <c r="AI1875" s="17" t="str">
        <f>IF(AG1875="","",INDEX('Quitados DUPP'!$G$1:$G$6635,AG1875))</f>
        <v/>
      </c>
      <c r="AJ1875" s="17" t="str">
        <f t="shared" si="3"/>
        <v/>
      </c>
    </row>
    <row r="1876" spans="31:36">
      <c r="AE1876" s="15" t="str">
        <f t="shared" si="0"/>
        <v/>
      </c>
      <c r="AF1876" s="15" t="str">
        <f t="shared" si="1"/>
        <v/>
      </c>
      <c r="AG1876" s="15" t="str">
        <f>IF(OR(AF1876="",AF1876="ERRO_CHAVE"),"",IFERROR(MATCH(AF1876,'Quitados DUPP'!$U$1:$U$6635,0),""))</f>
        <v/>
      </c>
      <c r="AH1876" s="15" t="str">
        <f t="shared" si="2"/>
        <v/>
      </c>
      <c r="AI1876" s="17" t="str">
        <f>IF(AG1876="","",INDEX('Quitados DUPP'!$G$1:$G$6635,AG1876))</f>
        <v/>
      </c>
      <c r="AJ1876" s="17" t="str">
        <f t="shared" si="3"/>
        <v/>
      </c>
    </row>
    <row r="1877" spans="31:36">
      <c r="AE1877" s="15" t="str">
        <f t="shared" si="0"/>
        <v/>
      </c>
      <c r="AF1877" s="15" t="str">
        <f t="shared" si="1"/>
        <v/>
      </c>
      <c r="AG1877" s="15" t="str">
        <f>IF(OR(AF1877="",AF1877="ERRO_CHAVE"),"",IFERROR(MATCH(AF1877,'Quitados DUPP'!$U$1:$U$6635,0),""))</f>
        <v/>
      </c>
      <c r="AH1877" s="15" t="str">
        <f t="shared" si="2"/>
        <v/>
      </c>
      <c r="AI1877" s="17" t="str">
        <f>IF(AG1877="","",INDEX('Quitados DUPP'!$G$1:$G$6635,AG1877))</f>
        <v/>
      </c>
      <c r="AJ1877" s="17" t="str">
        <f t="shared" si="3"/>
        <v/>
      </c>
    </row>
    <row r="1878" spans="31:36">
      <c r="AE1878" s="15" t="str">
        <f t="shared" si="0"/>
        <v/>
      </c>
      <c r="AF1878" s="15" t="str">
        <f t="shared" si="1"/>
        <v/>
      </c>
      <c r="AG1878" s="15" t="str">
        <f>IF(OR(AF1878="",AF1878="ERRO_CHAVE"),"",IFERROR(MATCH(AF1878,'Quitados DUPP'!$U$1:$U$6635,0),""))</f>
        <v/>
      </c>
      <c r="AH1878" s="15" t="str">
        <f t="shared" si="2"/>
        <v/>
      </c>
      <c r="AI1878" s="17" t="str">
        <f>IF(AG1878="","",INDEX('Quitados DUPP'!$G$1:$G$6635,AG1878))</f>
        <v/>
      </c>
      <c r="AJ1878" s="17" t="str">
        <f t="shared" si="3"/>
        <v/>
      </c>
    </row>
    <row r="1879" spans="31:36">
      <c r="AE1879" s="15" t="str">
        <f t="shared" si="0"/>
        <v/>
      </c>
      <c r="AF1879" s="15" t="str">
        <f t="shared" si="1"/>
        <v/>
      </c>
      <c r="AG1879" s="15" t="str">
        <f>IF(OR(AF1879="",AF1879="ERRO_CHAVE"),"",IFERROR(MATCH(AF1879,'Quitados DUPP'!$U$1:$U$6635,0),""))</f>
        <v/>
      </c>
      <c r="AH1879" s="15" t="str">
        <f t="shared" si="2"/>
        <v/>
      </c>
      <c r="AI1879" s="17" t="str">
        <f>IF(AG1879="","",INDEX('Quitados DUPP'!$G$1:$G$6635,AG1879))</f>
        <v/>
      </c>
      <c r="AJ1879" s="17" t="str">
        <f t="shared" si="3"/>
        <v/>
      </c>
    </row>
    <row r="1880" spans="31:36">
      <c r="AE1880" s="15" t="str">
        <f t="shared" si="0"/>
        <v/>
      </c>
      <c r="AF1880" s="15" t="str">
        <f t="shared" si="1"/>
        <v/>
      </c>
      <c r="AG1880" s="15" t="str">
        <f>IF(OR(AF1880="",AF1880="ERRO_CHAVE"),"",IFERROR(MATCH(AF1880,'Quitados DUPP'!$U$1:$U$6635,0),""))</f>
        <v/>
      </c>
      <c r="AH1880" s="15" t="str">
        <f t="shared" si="2"/>
        <v/>
      </c>
      <c r="AI1880" s="17" t="str">
        <f>IF(AG1880="","",INDEX('Quitados DUPP'!$G$1:$G$6635,AG1880))</f>
        <v/>
      </c>
      <c r="AJ1880" s="17" t="str">
        <f t="shared" si="3"/>
        <v/>
      </c>
    </row>
    <row r="1881" spans="31:36">
      <c r="AE1881" s="15" t="str">
        <f t="shared" si="0"/>
        <v/>
      </c>
      <c r="AF1881" s="15" t="str">
        <f t="shared" si="1"/>
        <v/>
      </c>
      <c r="AG1881" s="15" t="str">
        <f>IF(OR(AF1881="",AF1881="ERRO_CHAVE"),"",IFERROR(MATCH(AF1881,'Quitados DUPP'!$U$1:$U$6635,0),""))</f>
        <v/>
      </c>
      <c r="AH1881" s="15" t="str">
        <f t="shared" si="2"/>
        <v/>
      </c>
      <c r="AI1881" s="17" t="str">
        <f>IF(AG1881="","",INDEX('Quitados DUPP'!$G$1:$G$6635,AG1881))</f>
        <v/>
      </c>
      <c r="AJ1881" s="17" t="str">
        <f t="shared" si="3"/>
        <v/>
      </c>
    </row>
    <row r="1882" spans="31:36">
      <c r="AE1882" s="15" t="str">
        <f t="shared" si="0"/>
        <v/>
      </c>
      <c r="AF1882" s="15" t="str">
        <f t="shared" si="1"/>
        <v/>
      </c>
      <c r="AG1882" s="15" t="str">
        <f>IF(OR(AF1882="",AF1882="ERRO_CHAVE"),"",IFERROR(MATCH(AF1882,'Quitados DUPP'!$U$1:$U$6635,0),""))</f>
        <v/>
      </c>
      <c r="AH1882" s="15" t="str">
        <f t="shared" si="2"/>
        <v/>
      </c>
      <c r="AI1882" s="17" t="str">
        <f>IF(AG1882="","",INDEX('Quitados DUPP'!$G$1:$G$6635,AG1882))</f>
        <v/>
      </c>
      <c r="AJ1882" s="17" t="str">
        <f t="shared" si="3"/>
        <v/>
      </c>
    </row>
    <row r="1883" spans="31:36">
      <c r="AE1883" s="15" t="str">
        <f t="shared" si="0"/>
        <v/>
      </c>
      <c r="AF1883" s="15" t="str">
        <f t="shared" si="1"/>
        <v/>
      </c>
      <c r="AG1883" s="15" t="str">
        <f>IF(OR(AF1883="",AF1883="ERRO_CHAVE"),"",IFERROR(MATCH(AF1883,'Quitados DUPP'!$U$1:$U$6635,0),""))</f>
        <v/>
      </c>
      <c r="AH1883" s="15" t="str">
        <f t="shared" si="2"/>
        <v/>
      </c>
      <c r="AI1883" s="17" t="str">
        <f>IF(AG1883="","",INDEX('Quitados DUPP'!$G$1:$G$6635,AG1883))</f>
        <v/>
      </c>
      <c r="AJ1883" s="17" t="str">
        <f t="shared" si="3"/>
        <v/>
      </c>
    </row>
    <row r="1884" spans="31:36">
      <c r="AE1884" s="15" t="str">
        <f t="shared" si="0"/>
        <v/>
      </c>
      <c r="AF1884" s="15" t="str">
        <f t="shared" si="1"/>
        <v/>
      </c>
      <c r="AG1884" s="15" t="str">
        <f>IF(OR(AF1884="",AF1884="ERRO_CHAVE"),"",IFERROR(MATCH(AF1884,'Quitados DUPP'!$U$1:$U$6635,0),""))</f>
        <v/>
      </c>
      <c r="AH1884" s="15" t="str">
        <f t="shared" si="2"/>
        <v/>
      </c>
      <c r="AI1884" s="17" t="str">
        <f>IF(AG1884="","",INDEX('Quitados DUPP'!$G$1:$G$6635,AG1884))</f>
        <v/>
      </c>
      <c r="AJ1884" s="17" t="str">
        <f t="shared" si="3"/>
        <v/>
      </c>
    </row>
    <row r="1885" spans="31:36">
      <c r="AE1885" s="15" t="str">
        <f t="shared" si="0"/>
        <v/>
      </c>
      <c r="AF1885" s="15" t="str">
        <f t="shared" si="1"/>
        <v/>
      </c>
      <c r="AG1885" s="15" t="str">
        <f>IF(OR(AF1885="",AF1885="ERRO_CHAVE"),"",IFERROR(MATCH(AF1885,'Quitados DUPP'!$U$1:$U$6635,0),""))</f>
        <v/>
      </c>
      <c r="AH1885" s="15" t="str">
        <f t="shared" si="2"/>
        <v/>
      </c>
      <c r="AI1885" s="17" t="str">
        <f>IF(AG1885="","",INDEX('Quitados DUPP'!$G$1:$G$6635,AG1885))</f>
        <v/>
      </c>
      <c r="AJ1885" s="17" t="str">
        <f t="shared" si="3"/>
        <v/>
      </c>
    </row>
    <row r="1886" spans="31:36">
      <c r="AE1886" s="15" t="str">
        <f t="shared" si="0"/>
        <v/>
      </c>
      <c r="AF1886" s="15" t="str">
        <f t="shared" si="1"/>
        <v/>
      </c>
      <c r="AG1886" s="15" t="str">
        <f>IF(OR(AF1886="",AF1886="ERRO_CHAVE"),"",IFERROR(MATCH(AF1886,'Quitados DUPP'!$U$1:$U$6635,0),""))</f>
        <v/>
      </c>
      <c r="AH1886" s="15" t="str">
        <f t="shared" si="2"/>
        <v/>
      </c>
      <c r="AI1886" s="17" t="str">
        <f>IF(AG1886="","",INDEX('Quitados DUPP'!$G$1:$G$6635,AG1886))</f>
        <v/>
      </c>
      <c r="AJ1886" s="17" t="str">
        <f t="shared" si="3"/>
        <v/>
      </c>
    </row>
    <row r="1887" spans="31:36">
      <c r="AE1887" s="15" t="str">
        <f t="shared" si="0"/>
        <v/>
      </c>
      <c r="AF1887" s="15" t="str">
        <f t="shared" si="1"/>
        <v/>
      </c>
      <c r="AG1887" s="15" t="str">
        <f>IF(OR(AF1887="",AF1887="ERRO_CHAVE"),"",IFERROR(MATCH(AF1887,'Quitados DUPP'!$U$1:$U$6635,0),""))</f>
        <v/>
      </c>
      <c r="AH1887" s="15" t="str">
        <f t="shared" si="2"/>
        <v/>
      </c>
      <c r="AI1887" s="17" t="str">
        <f>IF(AG1887="","",INDEX('Quitados DUPP'!$G$1:$G$6635,AG1887))</f>
        <v/>
      </c>
      <c r="AJ1887" s="17" t="str">
        <f t="shared" si="3"/>
        <v/>
      </c>
    </row>
    <row r="1888" spans="31:36">
      <c r="AE1888" s="15" t="str">
        <f t="shared" si="0"/>
        <v/>
      </c>
      <c r="AF1888" s="15" t="str">
        <f t="shared" si="1"/>
        <v/>
      </c>
      <c r="AG1888" s="15" t="str">
        <f>IF(OR(AF1888="",AF1888="ERRO_CHAVE"),"",IFERROR(MATCH(AF1888,'Quitados DUPP'!$U$1:$U$6635,0),""))</f>
        <v/>
      </c>
      <c r="AH1888" s="15" t="str">
        <f t="shared" si="2"/>
        <v/>
      </c>
      <c r="AI1888" s="17" t="str">
        <f>IF(AG1888="","",INDEX('Quitados DUPP'!$G$1:$G$6635,AG1888))</f>
        <v/>
      </c>
      <c r="AJ1888" s="17" t="str">
        <f t="shared" si="3"/>
        <v/>
      </c>
    </row>
    <row r="1889" spans="31:36">
      <c r="AE1889" s="15" t="str">
        <f t="shared" si="0"/>
        <v/>
      </c>
      <c r="AF1889" s="15" t="str">
        <f t="shared" si="1"/>
        <v/>
      </c>
      <c r="AG1889" s="15" t="str">
        <f>IF(OR(AF1889="",AF1889="ERRO_CHAVE"),"",IFERROR(MATCH(AF1889,'Quitados DUPP'!$U$1:$U$6635,0),""))</f>
        <v/>
      </c>
      <c r="AH1889" s="15" t="str">
        <f t="shared" si="2"/>
        <v/>
      </c>
      <c r="AI1889" s="17" t="str">
        <f>IF(AG1889="","",INDEX('Quitados DUPP'!$G$1:$G$6635,AG1889))</f>
        <v/>
      </c>
      <c r="AJ1889" s="17" t="str">
        <f t="shared" si="3"/>
        <v/>
      </c>
    </row>
    <row r="1890" spans="31:36">
      <c r="AE1890" s="15" t="str">
        <f t="shared" si="0"/>
        <v/>
      </c>
      <c r="AF1890" s="15" t="str">
        <f t="shared" si="1"/>
        <v/>
      </c>
      <c r="AG1890" s="15" t="str">
        <f>IF(OR(AF1890="",AF1890="ERRO_CHAVE"),"",IFERROR(MATCH(AF1890,'Quitados DUPP'!$U$1:$U$6635,0),""))</f>
        <v/>
      </c>
      <c r="AH1890" s="15" t="str">
        <f t="shared" si="2"/>
        <v/>
      </c>
      <c r="AI1890" s="17" t="str">
        <f>IF(AG1890="","",INDEX('Quitados DUPP'!$G$1:$G$6635,AG1890))</f>
        <v/>
      </c>
      <c r="AJ1890" s="17" t="str">
        <f t="shared" si="3"/>
        <v/>
      </c>
    </row>
    <row r="1891" spans="31:36">
      <c r="AE1891" s="15" t="str">
        <f t="shared" si="0"/>
        <v/>
      </c>
      <c r="AF1891" s="15" t="str">
        <f t="shared" si="1"/>
        <v/>
      </c>
      <c r="AG1891" s="15" t="str">
        <f>IF(OR(AF1891="",AF1891="ERRO_CHAVE"),"",IFERROR(MATCH(AF1891,'Quitados DUPP'!$U$1:$U$6635,0),""))</f>
        <v/>
      </c>
      <c r="AH1891" s="15" t="str">
        <f t="shared" si="2"/>
        <v/>
      </c>
      <c r="AI1891" s="17" t="str">
        <f>IF(AG1891="","",INDEX('Quitados DUPP'!$G$1:$G$6635,AG1891))</f>
        <v/>
      </c>
      <c r="AJ1891" s="17" t="str">
        <f t="shared" si="3"/>
        <v/>
      </c>
    </row>
    <row r="1892" spans="31:36">
      <c r="AE1892" s="15" t="str">
        <f t="shared" si="0"/>
        <v/>
      </c>
      <c r="AF1892" s="15" t="str">
        <f t="shared" si="1"/>
        <v/>
      </c>
      <c r="AG1892" s="15" t="str">
        <f>IF(OR(AF1892="",AF1892="ERRO_CHAVE"),"",IFERROR(MATCH(AF1892,'Quitados DUPP'!$U$1:$U$6635,0),""))</f>
        <v/>
      </c>
      <c r="AH1892" s="15" t="str">
        <f t="shared" si="2"/>
        <v/>
      </c>
      <c r="AI1892" s="17" t="str">
        <f>IF(AG1892="","",INDEX('Quitados DUPP'!$G$1:$G$6635,AG1892))</f>
        <v/>
      </c>
      <c r="AJ1892" s="17" t="str">
        <f t="shared" si="3"/>
        <v/>
      </c>
    </row>
    <row r="1893" spans="31:36">
      <c r="AE1893" s="15" t="str">
        <f t="shared" si="0"/>
        <v/>
      </c>
      <c r="AF1893" s="15" t="str">
        <f t="shared" si="1"/>
        <v/>
      </c>
      <c r="AG1893" s="15" t="str">
        <f>IF(OR(AF1893="",AF1893="ERRO_CHAVE"),"",IFERROR(MATCH(AF1893,'Quitados DUPP'!$U$1:$U$6635,0),""))</f>
        <v/>
      </c>
      <c r="AH1893" s="15" t="str">
        <f t="shared" si="2"/>
        <v/>
      </c>
      <c r="AI1893" s="17" t="str">
        <f>IF(AG1893="","",INDEX('Quitados DUPP'!$G$1:$G$6635,AG1893))</f>
        <v/>
      </c>
      <c r="AJ1893" s="17" t="str">
        <f t="shared" si="3"/>
        <v/>
      </c>
    </row>
    <row r="1894" spans="31:36">
      <c r="AE1894" s="15" t="str">
        <f t="shared" si="0"/>
        <v/>
      </c>
      <c r="AF1894" s="15" t="str">
        <f t="shared" si="1"/>
        <v/>
      </c>
      <c r="AG1894" s="15" t="str">
        <f>IF(OR(AF1894="",AF1894="ERRO_CHAVE"),"",IFERROR(MATCH(AF1894,'Quitados DUPP'!$U$1:$U$6635,0),""))</f>
        <v/>
      </c>
      <c r="AH1894" s="15" t="str">
        <f t="shared" si="2"/>
        <v/>
      </c>
      <c r="AI1894" s="17" t="str">
        <f>IF(AG1894="","",INDEX('Quitados DUPP'!$G$1:$G$6635,AG1894))</f>
        <v/>
      </c>
      <c r="AJ1894" s="17" t="str">
        <f t="shared" si="3"/>
        <v/>
      </c>
    </row>
    <row r="1895" spans="31:36">
      <c r="AE1895" s="15" t="str">
        <f t="shared" si="0"/>
        <v/>
      </c>
      <c r="AF1895" s="15" t="str">
        <f t="shared" si="1"/>
        <v/>
      </c>
      <c r="AG1895" s="15" t="str">
        <f>IF(OR(AF1895="",AF1895="ERRO_CHAVE"),"",IFERROR(MATCH(AF1895,'Quitados DUPP'!$U$1:$U$6635,0),""))</f>
        <v/>
      </c>
      <c r="AH1895" s="15" t="str">
        <f t="shared" si="2"/>
        <v/>
      </c>
      <c r="AI1895" s="17" t="str">
        <f>IF(AG1895="","",INDEX('Quitados DUPP'!$G$1:$G$6635,AG1895))</f>
        <v/>
      </c>
      <c r="AJ1895" s="17" t="str">
        <f t="shared" si="3"/>
        <v/>
      </c>
    </row>
    <row r="1896" spans="31:36">
      <c r="AE1896" s="15" t="str">
        <f t="shared" si="0"/>
        <v/>
      </c>
      <c r="AF1896" s="15" t="str">
        <f t="shared" si="1"/>
        <v/>
      </c>
      <c r="AG1896" s="15" t="str">
        <f>IF(OR(AF1896="",AF1896="ERRO_CHAVE"),"",IFERROR(MATCH(AF1896,'Quitados DUPP'!$U$1:$U$6635,0),""))</f>
        <v/>
      </c>
      <c r="AH1896" s="15" t="str">
        <f t="shared" si="2"/>
        <v/>
      </c>
      <c r="AI1896" s="17" t="str">
        <f>IF(AG1896="","",INDEX('Quitados DUPP'!$G$1:$G$6635,AG1896))</f>
        <v/>
      </c>
      <c r="AJ1896" s="17" t="str">
        <f t="shared" si="3"/>
        <v/>
      </c>
    </row>
    <row r="1897" spans="31:36">
      <c r="AE1897" s="15" t="str">
        <f t="shared" si="0"/>
        <v/>
      </c>
      <c r="AF1897" s="15" t="str">
        <f t="shared" si="1"/>
        <v/>
      </c>
      <c r="AG1897" s="15" t="str">
        <f>IF(OR(AF1897="",AF1897="ERRO_CHAVE"),"",IFERROR(MATCH(AF1897,'Quitados DUPP'!$U$1:$U$6635,0),""))</f>
        <v/>
      </c>
      <c r="AH1897" s="15" t="str">
        <f t="shared" si="2"/>
        <v/>
      </c>
      <c r="AI1897" s="17" t="str">
        <f>IF(AG1897="","",INDEX('Quitados DUPP'!$G$1:$G$6635,AG1897))</f>
        <v/>
      </c>
      <c r="AJ1897" s="17" t="str">
        <f t="shared" si="3"/>
        <v/>
      </c>
    </row>
    <row r="1898" spans="31:36">
      <c r="AE1898" s="15" t="str">
        <f t="shared" si="0"/>
        <v/>
      </c>
      <c r="AF1898" s="15" t="str">
        <f t="shared" si="1"/>
        <v/>
      </c>
      <c r="AG1898" s="15" t="str">
        <f>IF(OR(AF1898="",AF1898="ERRO_CHAVE"),"",IFERROR(MATCH(AF1898,'Quitados DUPP'!$U$1:$U$6635,0),""))</f>
        <v/>
      </c>
      <c r="AH1898" s="15" t="str">
        <f t="shared" si="2"/>
        <v/>
      </c>
      <c r="AI1898" s="17" t="str">
        <f>IF(AG1898="","",INDEX('Quitados DUPP'!$G$1:$G$6635,AG1898))</f>
        <v/>
      </c>
      <c r="AJ1898" s="17" t="str">
        <f t="shared" si="3"/>
        <v/>
      </c>
    </row>
    <row r="1899" spans="31:36">
      <c r="AE1899" s="15" t="str">
        <f t="shared" si="0"/>
        <v/>
      </c>
      <c r="AF1899" s="15" t="str">
        <f t="shared" si="1"/>
        <v/>
      </c>
      <c r="AG1899" s="15" t="str">
        <f>IF(OR(AF1899="",AF1899="ERRO_CHAVE"),"",IFERROR(MATCH(AF1899,'Quitados DUPP'!$U$1:$U$6635,0),""))</f>
        <v/>
      </c>
      <c r="AH1899" s="15" t="str">
        <f t="shared" si="2"/>
        <v/>
      </c>
      <c r="AI1899" s="17" t="str">
        <f>IF(AG1899="","",INDEX('Quitados DUPP'!$G$1:$G$6635,AG1899))</f>
        <v/>
      </c>
      <c r="AJ1899" s="17" t="str">
        <f t="shared" si="3"/>
        <v/>
      </c>
    </row>
    <row r="1900" spans="31:36">
      <c r="AE1900" s="15" t="str">
        <f t="shared" si="0"/>
        <v/>
      </c>
      <c r="AF1900" s="15" t="str">
        <f t="shared" si="1"/>
        <v/>
      </c>
      <c r="AG1900" s="15" t="str">
        <f>IF(OR(AF1900="",AF1900="ERRO_CHAVE"),"",IFERROR(MATCH(AF1900,'Quitados DUPP'!$U$1:$U$6635,0),""))</f>
        <v/>
      </c>
      <c r="AH1900" s="15" t="str">
        <f t="shared" si="2"/>
        <v/>
      </c>
      <c r="AI1900" s="17" t="str">
        <f>IF(AG1900="","",INDEX('Quitados DUPP'!$G$1:$G$6635,AG1900))</f>
        <v/>
      </c>
      <c r="AJ1900" s="17" t="str">
        <f t="shared" si="3"/>
        <v/>
      </c>
    </row>
    <row r="1901" spans="31:36">
      <c r="AE1901" s="15" t="str">
        <f t="shared" si="0"/>
        <v/>
      </c>
      <c r="AF1901" s="15" t="str">
        <f t="shared" si="1"/>
        <v/>
      </c>
      <c r="AG1901" s="15" t="str">
        <f>IF(OR(AF1901="",AF1901="ERRO_CHAVE"),"",IFERROR(MATCH(AF1901,'Quitados DUPP'!$U$1:$U$6635,0),""))</f>
        <v/>
      </c>
      <c r="AH1901" s="15" t="str">
        <f t="shared" si="2"/>
        <v/>
      </c>
      <c r="AI1901" s="17" t="str">
        <f>IF(AG1901="","",INDEX('Quitados DUPP'!$G$1:$G$6635,AG1901))</f>
        <v/>
      </c>
      <c r="AJ1901" s="17" t="str">
        <f t="shared" si="3"/>
        <v/>
      </c>
    </row>
    <row r="1902" spans="31:36">
      <c r="AE1902" s="15" t="str">
        <f t="shared" si="0"/>
        <v/>
      </c>
      <c r="AF1902" s="15" t="str">
        <f t="shared" si="1"/>
        <v/>
      </c>
      <c r="AG1902" s="15" t="str">
        <f>IF(OR(AF1902="",AF1902="ERRO_CHAVE"),"",IFERROR(MATCH(AF1902,'Quitados DUPP'!$U$1:$U$6635,0),""))</f>
        <v/>
      </c>
      <c r="AH1902" s="15" t="str">
        <f t="shared" si="2"/>
        <v/>
      </c>
      <c r="AI1902" s="17" t="str">
        <f>IF(AG1902="","",INDEX('Quitados DUPP'!$G$1:$G$6635,AG1902))</f>
        <v/>
      </c>
      <c r="AJ1902" s="17" t="str">
        <f t="shared" si="3"/>
        <v/>
      </c>
    </row>
    <row r="1903" spans="31:36">
      <c r="AE1903" s="15" t="str">
        <f t="shared" si="0"/>
        <v/>
      </c>
      <c r="AF1903" s="15" t="str">
        <f t="shared" si="1"/>
        <v/>
      </c>
      <c r="AG1903" s="15" t="str">
        <f>IF(OR(AF1903="",AF1903="ERRO_CHAVE"),"",IFERROR(MATCH(AF1903,'Quitados DUPP'!$U$1:$U$6635,0),""))</f>
        <v/>
      </c>
      <c r="AH1903" s="15" t="str">
        <f t="shared" si="2"/>
        <v/>
      </c>
      <c r="AI1903" s="17" t="str">
        <f>IF(AG1903="","",INDEX('Quitados DUPP'!$G$1:$G$6635,AG1903))</f>
        <v/>
      </c>
      <c r="AJ1903" s="17" t="str">
        <f t="shared" si="3"/>
        <v/>
      </c>
    </row>
    <row r="1904" spans="31:36">
      <c r="AE1904" s="15" t="str">
        <f t="shared" si="0"/>
        <v/>
      </c>
      <c r="AF1904" s="15" t="str">
        <f t="shared" si="1"/>
        <v/>
      </c>
      <c r="AG1904" s="15" t="str">
        <f>IF(OR(AF1904="",AF1904="ERRO_CHAVE"),"",IFERROR(MATCH(AF1904,'Quitados DUPP'!$U$1:$U$6635,0),""))</f>
        <v/>
      </c>
      <c r="AH1904" s="15" t="str">
        <f t="shared" si="2"/>
        <v/>
      </c>
      <c r="AI1904" s="17" t="str">
        <f>IF(AG1904="","",INDEX('Quitados DUPP'!$G$1:$G$6635,AG1904))</f>
        <v/>
      </c>
      <c r="AJ1904" s="17" t="str">
        <f t="shared" si="3"/>
        <v/>
      </c>
    </row>
    <row r="1905" spans="31:36">
      <c r="AE1905" s="15" t="str">
        <f t="shared" si="0"/>
        <v/>
      </c>
      <c r="AF1905" s="15" t="str">
        <f t="shared" si="1"/>
        <v/>
      </c>
      <c r="AG1905" s="15" t="str">
        <f>IF(OR(AF1905="",AF1905="ERRO_CHAVE"),"",IFERROR(MATCH(AF1905,'Quitados DUPP'!$U$1:$U$6635,0),""))</f>
        <v/>
      </c>
      <c r="AH1905" s="15" t="str">
        <f t="shared" si="2"/>
        <v/>
      </c>
      <c r="AI1905" s="17" t="str">
        <f>IF(AG1905="","",INDEX('Quitados DUPP'!$G$1:$G$6635,AG1905))</f>
        <v/>
      </c>
      <c r="AJ1905" s="17" t="str">
        <f t="shared" si="3"/>
        <v/>
      </c>
    </row>
    <row r="1906" spans="31:36">
      <c r="AE1906" s="15" t="str">
        <f t="shared" si="0"/>
        <v/>
      </c>
      <c r="AF1906" s="15" t="str">
        <f t="shared" si="1"/>
        <v/>
      </c>
      <c r="AG1906" s="15" t="str">
        <f>IF(OR(AF1906="",AF1906="ERRO_CHAVE"),"",IFERROR(MATCH(AF1906,'Quitados DUPP'!$U$1:$U$6635,0),""))</f>
        <v/>
      </c>
      <c r="AH1906" s="15" t="str">
        <f t="shared" si="2"/>
        <v/>
      </c>
      <c r="AI1906" s="17" t="str">
        <f>IF(AG1906="","",INDEX('Quitados DUPP'!$G$1:$G$6635,AG1906))</f>
        <v/>
      </c>
      <c r="AJ1906" s="17" t="str">
        <f t="shared" si="3"/>
        <v/>
      </c>
    </row>
    <row r="1907" spans="31:36">
      <c r="AE1907" s="15" t="str">
        <f t="shared" si="0"/>
        <v/>
      </c>
      <c r="AF1907" s="15" t="str">
        <f t="shared" si="1"/>
        <v/>
      </c>
      <c r="AG1907" s="15" t="str">
        <f>IF(OR(AF1907="",AF1907="ERRO_CHAVE"),"",IFERROR(MATCH(AF1907,'Quitados DUPP'!$U$1:$U$6635,0),""))</f>
        <v/>
      </c>
      <c r="AH1907" s="15" t="str">
        <f t="shared" si="2"/>
        <v/>
      </c>
      <c r="AI1907" s="17" t="str">
        <f>IF(AG1907="","",INDEX('Quitados DUPP'!$G$1:$G$6635,AG1907))</f>
        <v/>
      </c>
      <c r="AJ1907" s="17" t="str">
        <f t="shared" si="3"/>
        <v/>
      </c>
    </row>
    <row r="1908" spans="31:36">
      <c r="AE1908" s="15" t="str">
        <f t="shared" si="0"/>
        <v/>
      </c>
      <c r="AF1908" s="15" t="str">
        <f t="shared" si="1"/>
        <v/>
      </c>
      <c r="AG1908" s="15" t="str">
        <f>IF(OR(AF1908="",AF1908="ERRO_CHAVE"),"",IFERROR(MATCH(AF1908,'Quitados DUPP'!$U$1:$U$6635,0),""))</f>
        <v/>
      </c>
      <c r="AH1908" s="15" t="str">
        <f t="shared" si="2"/>
        <v/>
      </c>
      <c r="AI1908" s="17" t="str">
        <f>IF(AG1908="","",INDEX('Quitados DUPP'!$G$1:$G$6635,AG1908))</f>
        <v/>
      </c>
      <c r="AJ1908" s="17" t="str">
        <f t="shared" si="3"/>
        <v/>
      </c>
    </row>
    <row r="1909" spans="31:36">
      <c r="AE1909" s="15" t="str">
        <f t="shared" si="0"/>
        <v/>
      </c>
      <c r="AF1909" s="15" t="str">
        <f t="shared" si="1"/>
        <v/>
      </c>
      <c r="AG1909" s="15" t="str">
        <f>IF(OR(AF1909="",AF1909="ERRO_CHAVE"),"",IFERROR(MATCH(AF1909,'Quitados DUPP'!$U$1:$U$6635,0),""))</f>
        <v/>
      </c>
      <c r="AH1909" s="15" t="str">
        <f t="shared" si="2"/>
        <v/>
      </c>
      <c r="AI1909" s="17" t="str">
        <f>IF(AG1909="","",INDEX('Quitados DUPP'!$G$1:$G$6635,AG1909))</f>
        <v/>
      </c>
      <c r="AJ1909" s="17" t="str">
        <f t="shared" si="3"/>
        <v/>
      </c>
    </row>
    <row r="1910" spans="31:36">
      <c r="AE1910" s="15" t="str">
        <f t="shared" si="0"/>
        <v/>
      </c>
      <c r="AF1910" s="15" t="str">
        <f t="shared" si="1"/>
        <v/>
      </c>
      <c r="AG1910" s="15" t="str">
        <f>IF(OR(AF1910="",AF1910="ERRO_CHAVE"),"",IFERROR(MATCH(AF1910,'Quitados DUPP'!$U$1:$U$6635,0),""))</f>
        <v/>
      </c>
      <c r="AH1910" s="15" t="str">
        <f t="shared" si="2"/>
        <v/>
      </c>
      <c r="AI1910" s="17" t="str">
        <f>IF(AG1910="","",INDEX('Quitados DUPP'!$G$1:$G$6635,AG1910))</f>
        <v/>
      </c>
      <c r="AJ1910" s="17" t="str">
        <f t="shared" si="3"/>
        <v/>
      </c>
    </row>
    <row r="1911" spans="31:36">
      <c r="AE1911" s="15" t="str">
        <f t="shared" si="0"/>
        <v/>
      </c>
      <c r="AF1911" s="15" t="str">
        <f t="shared" si="1"/>
        <v/>
      </c>
      <c r="AG1911" s="15" t="str">
        <f>IF(OR(AF1911="",AF1911="ERRO_CHAVE"),"",IFERROR(MATCH(AF1911,'Quitados DUPP'!$U$1:$U$6635,0),""))</f>
        <v/>
      </c>
      <c r="AH1911" s="15" t="str">
        <f t="shared" si="2"/>
        <v/>
      </c>
      <c r="AI1911" s="17" t="str">
        <f>IF(AG1911="","",INDEX('Quitados DUPP'!$G$1:$G$6635,AG1911))</f>
        <v/>
      </c>
      <c r="AJ1911" s="17" t="str">
        <f t="shared" si="3"/>
        <v/>
      </c>
    </row>
    <row r="1912" spans="31:36">
      <c r="AE1912" s="15" t="str">
        <f t="shared" si="0"/>
        <v/>
      </c>
      <c r="AF1912" s="15" t="str">
        <f t="shared" si="1"/>
        <v/>
      </c>
      <c r="AG1912" s="15" t="str">
        <f>IF(OR(AF1912="",AF1912="ERRO_CHAVE"),"",IFERROR(MATCH(AF1912,'Quitados DUPP'!$U$1:$U$6635,0),""))</f>
        <v/>
      </c>
      <c r="AH1912" s="15" t="str">
        <f t="shared" si="2"/>
        <v/>
      </c>
      <c r="AI1912" s="17" t="str">
        <f>IF(AG1912="","",INDEX('Quitados DUPP'!$G$1:$G$6635,AG1912))</f>
        <v/>
      </c>
      <c r="AJ1912" s="17" t="str">
        <f t="shared" si="3"/>
        <v/>
      </c>
    </row>
    <row r="1913" spans="31:36">
      <c r="AE1913" s="15" t="str">
        <f t="shared" si="0"/>
        <v/>
      </c>
      <c r="AF1913" s="15" t="str">
        <f t="shared" si="1"/>
        <v/>
      </c>
      <c r="AG1913" s="15" t="str">
        <f>IF(OR(AF1913="",AF1913="ERRO_CHAVE"),"",IFERROR(MATCH(AF1913,'Quitados DUPP'!$U$1:$U$6635,0),""))</f>
        <v/>
      </c>
      <c r="AH1913" s="15" t="str">
        <f t="shared" si="2"/>
        <v/>
      </c>
      <c r="AI1913" s="17" t="str">
        <f>IF(AG1913="","",INDEX('Quitados DUPP'!$G$1:$G$6635,AG1913))</f>
        <v/>
      </c>
      <c r="AJ1913" s="17" t="str">
        <f t="shared" si="3"/>
        <v/>
      </c>
    </row>
    <row r="1914" spans="31:36">
      <c r="AE1914" s="15" t="str">
        <f t="shared" si="0"/>
        <v/>
      </c>
      <c r="AF1914" s="15" t="str">
        <f t="shared" si="1"/>
        <v/>
      </c>
      <c r="AG1914" s="15" t="str">
        <f>IF(OR(AF1914="",AF1914="ERRO_CHAVE"),"",IFERROR(MATCH(AF1914,'Quitados DUPP'!$U$1:$U$6635,0),""))</f>
        <v/>
      </c>
      <c r="AH1914" s="15" t="str">
        <f t="shared" si="2"/>
        <v/>
      </c>
      <c r="AI1914" s="17" t="str">
        <f>IF(AG1914="","",INDEX('Quitados DUPP'!$G$1:$G$6635,AG1914))</f>
        <v/>
      </c>
      <c r="AJ1914" s="17" t="str">
        <f t="shared" si="3"/>
        <v/>
      </c>
    </row>
    <row r="1915" spans="31:36">
      <c r="AE1915" s="15" t="str">
        <f t="shared" si="0"/>
        <v/>
      </c>
      <c r="AF1915" s="15" t="str">
        <f t="shared" si="1"/>
        <v/>
      </c>
      <c r="AG1915" s="15" t="str">
        <f>IF(OR(AF1915="",AF1915="ERRO_CHAVE"),"",IFERROR(MATCH(AF1915,'Quitados DUPP'!$U$1:$U$6635,0),""))</f>
        <v/>
      </c>
      <c r="AH1915" s="15" t="str">
        <f t="shared" si="2"/>
        <v/>
      </c>
      <c r="AI1915" s="17" t="str">
        <f>IF(AG1915="","",INDEX('Quitados DUPP'!$G$1:$G$6635,AG1915))</f>
        <v/>
      </c>
      <c r="AJ1915" s="17" t="str">
        <f t="shared" si="3"/>
        <v/>
      </c>
    </row>
    <row r="1916" spans="31:36">
      <c r="AE1916" s="15" t="str">
        <f t="shared" si="0"/>
        <v/>
      </c>
      <c r="AF1916" s="15" t="str">
        <f t="shared" si="1"/>
        <v/>
      </c>
      <c r="AG1916" s="15" t="str">
        <f>IF(OR(AF1916="",AF1916="ERRO_CHAVE"),"",IFERROR(MATCH(AF1916,'Quitados DUPP'!$U$1:$U$6635,0),""))</f>
        <v/>
      </c>
      <c r="AH1916" s="15" t="str">
        <f t="shared" si="2"/>
        <v/>
      </c>
      <c r="AI1916" s="17" t="str">
        <f>IF(AG1916="","",INDEX('Quitados DUPP'!$G$1:$G$6635,AG1916))</f>
        <v/>
      </c>
      <c r="AJ1916" s="17" t="str">
        <f t="shared" si="3"/>
        <v/>
      </c>
    </row>
    <row r="1917" spans="31:36">
      <c r="AE1917" s="15" t="str">
        <f t="shared" si="0"/>
        <v/>
      </c>
      <c r="AF1917" s="15" t="str">
        <f t="shared" si="1"/>
        <v/>
      </c>
      <c r="AG1917" s="15" t="str">
        <f>IF(OR(AF1917="",AF1917="ERRO_CHAVE"),"",IFERROR(MATCH(AF1917,'Quitados DUPP'!$U$1:$U$6635,0),""))</f>
        <v/>
      </c>
      <c r="AH1917" s="15" t="str">
        <f t="shared" si="2"/>
        <v/>
      </c>
      <c r="AI1917" s="17" t="str">
        <f>IF(AG1917="","",INDEX('Quitados DUPP'!$G$1:$G$6635,AG1917))</f>
        <v/>
      </c>
      <c r="AJ1917" s="17" t="str">
        <f t="shared" si="3"/>
        <v/>
      </c>
    </row>
    <row r="1918" spans="31:36">
      <c r="AE1918" s="15" t="str">
        <f t="shared" si="0"/>
        <v/>
      </c>
      <c r="AF1918" s="15" t="str">
        <f t="shared" si="1"/>
        <v/>
      </c>
      <c r="AG1918" s="15" t="str">
        <f>IF(OR(AF1918="",AF1918="ERRO_CHAVE"),"",IFERROR(MATCH(AF1918,'Quitados DUPP'!$U$1:$U$6635,0),""))</f>
        <v/>
      </c>
      <c r="AH1918" s="15" t="str">
        <f t="shared" si="2"/>
        <v/>
      </c>
      <c r="AI1918" s="17" t="str">
        <f>IF(AG1918="","",INDEX('Quitados DUPP'!$G$1:$G$6635,AG1918))</f>
        <v/>
      </c>
      <c r="AJ1918" s="17" t="str">
        <f t="shared" si="3"/>
        <v/>
      </c>
    </row>
    <row r="1919" spans="31:36">
      <c r="AE1919" s="15" t="str">
        <f t="shared" si="0"/>
        <v/>
      </c>
      <c r="AF1919" s="15" t="str">
        <f t="shared" si="1"/>
        <v/>
      </c>
      <c r="AG1919" s="15" t="str">
        <f>IF(OR(AF1919="",AF1919="ERRO_CHAVE"),"",IFERROR(MATCH(AF1919,'Quitados DUPP'!$U$1:$U$6635,0),""))</f>
        <v/>
      </c>
      <c r="AH1919" s="15" t="str">
        <f t="shared" si="2"/>
        <v/>
      </c>
      <c r="AI1919" s="17" t="str">
        <f>IF(AG1919="","",INDEX('Quitados DUPP'!$G$1:$G$6635,AG1919))</f>
        <v/>
      </c>
      <c r="AJ1919" s="17" t="str">
        <f t="shared" si="3"/>
        <v/>
      </c>
    </row>
    <row r="1920" spans="31:36">
      <c r="AE1920" s="15" t="str">
        <f t="shared" si="0"/>
        <v/>
      </c>
      <c r="AF1920" s="15" t="str">
        <f t="shared" si="1"/>
        <v/>
      </c>
      <c r="AG1920" s="15" t="str">
        <f>IF(OR(AF1920="",AF1920="ERRO_CHAVE"),"",IFERROR(MATCH(AF1920,'Quitados DUPP'!$U$1:$U$6635,0),""))</f>
        <v/>
      </c>
      <c r="AH1920" s="15" t="str">
        <f t="shared" si="2"/>
        <v/>
      </c>
      <c r="AI1920" s="17" t="str">
        <f>IF(AG1920="","",INDEX('Quitados DUPP'!$G$1:$G$6635,AG1920))</f>
        <v/>
      </c>
      <c r="AJ1920" s="17" t="str">
        <f t="shared" si="3"/>
        <v/>
      </c>
    </row>
    <row r="1921" spans="31:36">
      <c r="AE1921" s="15" t="str">
        <f t="shared" si="0"/>
        <v/>
      </c>
      <c r="AF1921" s="15" t="str">
        <f t="shared" si="1"/>
        <v/>
      </c>
      <c r="AG1921" s="15" t="str">
        <f>IF(OR(AF1921="",AF1921="ERRO_CHAVE"),"",IFERROR(MATCH(AF1921,'Quitados DUPP'!$U$1:$U$6635,0),""))</f>
        <v/>
      </c>
      <c r="AH1921" s="15" t="str">
        <f t="shared" si="2"/>
        <v/>
      </c>
      <c r="AI1921" s="17" t="str">
        <f>IF(AG1921="","",INDEX('Quitados DUPP'!$G$1:$G$6635,AG1921))</f>
        <v/>
      </c>
      <c r="AJ1921" s="17" t="str">
        <f t="shared" si="3"/>
        <v/>
      </c>
    </row>
    <row r="1922" spans="31:36">
      <c r="AE1922" s="15" t="str">
        <f t="shared" si="0"/>
        <v/>
      </c>
      <c r="AF1922" s="15" t="str">
        <f t="shared" si="1"/>
        <v/>
      </c>
      <c r="AG1922" s="15" t="str">
        <f>IF(OR(AF1922="",AF1922="ERRO_CHAVE"),"",IFERROR(MATCH(AF1922,'Quitados DUPP'!$U$1:$U$6635,0),""))</f>
        <v/>
      </c>
      <c r="AH1922" s="15" t="str">
        <f t="shared" si="2"/>
        <v/>
      </c>
      <c r="AI1922" s="17" t="str">
        <f>IF(AG1922="","",INDEX('Quitados DUPP'!$G$1:$G$6635,AG1922))</f>
        <v/>
      </c>
      <c r="AJ1922" s="17" t="str">
        <f t="shared" si="3"/>
        <v/>
      </c>
    </row>
    <row r="1923" spans="31:36">
      <c r="AE1923" s="15" t="str">
        <f t="shared" si="0"/>
        <v/>
      </c>
      <c r="AF1923" s="15" t="str">
        <f t="shared" si="1"/>
        <v/>
      </c>
      <c r="AG1923" s="15" t="str">
        <f>IF(OR(AF1923="",AF1923="ERRO_CHAVE"),"",IFERROR(MATCH(AF1923,'Quitados DUPP'!$U$1:$U$6635,0),""))</f>
        <v/>
      </c>
      <c r="AH1923" s="15" t="str">
        <f t="shared" si="2"/>
        <v/>
      </c>
      <c r="AI1923" s="17" t="str">
        <f>IF(AG1923="","",INDEX('Quitados DUPP'!$G$1:$G$6635,AG1923))</f>
        <v/>
      </c>
      <c r="AJ1923" s="17" t="str">
        <f t="shared" si="3"/>
        <v/>
      </c>
    </row>
    <row r="1924" spans="31:36">
      <c r="AE1924" s="15" t="str">
        <f t="shared" si="0"/>
        <v/>
      </c>
      <c r="AF1924" s="15" t="str">
        <f t="shared" si="1"/>
        <v/>
      </c>
      <c r="AG1924" s="15" t="str">
        <f>IF(OR(AF1924="",AF1924="ERRO_CHAVE"),"",IFERROR(MATCH(AF1924,'Quitados DUPP'!$U$1:$U$6635,0),""))</f>
        <v/>
      </c>
      <c r="AH1924" s="15" t="str">
        <f t="shared" si="2"/>
        <v/>
      </c>
      <c r="AI1924" s="17" t="str">
        <f>IF(AG1924="","",INDEX('Quitados DUPP'!$G$1:$G$6635,AG1924))</f>
        <v/>
      </c>
      <c r="AJ1924" s="17" t="str">
        <f t="shared" si="3"/>
        <v/>
      </c>
    </row>
    <row r="1925" spans="31:36">
      <c r="AE1925" s="15" t="str">
        <f t="shared" si="0"/>
        <v/>
      </c>
      <c r="AF1925" s="15" t="str">
        <f t="shared" si="1"/>
        <v/>
      </c>
      <c r="AG1925" s="15" t="str">
        <f>IF(OR(AF1925="",AF1925="ERRO_CHAVE"),"",IFERROR(MATCH(AF1925,'Quitados DUPP'!$U$1:$U$6635,0),""))</f>
        <v/>
      </c>
      <c r="AH1925" s="15" t="str">
        <f t="shared" si="2"/>
        <v/>
      </c>
      <c r="AI1925" s="17" t="str">
        <f>IF(AG1925="","",INDEX('Quitados DUPP'!$G$1:$G$6635,AG1925))</f>
        <v/>
      </c>
      <c r="AJ1925" s="17" t="str">
        <f t="shared" si="3"/>
        <v/>
      </c>
    </row>
    <row r="1926" spans="31:36">
      <c r="AE1926" s="15" t="str">
        <f t="shared" si="0"/>
        <v/>
      </c>
      <c r="AF1926" s="15" t="str">
        <f t="shared" si="1"/>
        <v/>
      </c>
      <c r="AG1926" s="15" t="str">
        <f>IF(OR(AF1926="",AF1926="ERRO_CHAVE"),"",IFERROR(MATCH(AF1926,'Quitados DUPP'!$U$1:$U$6635,0),""))</f>
        <v/>
      </c>
      <c r="AH1926" s="15" t="str">
        <f t="shared" si="2"/>
        <v/>
      </c>
      <c r="AI1926" s="17" t="str">
        <f>IF(AG1926="","",INDEX('Quitados DUPP'!$G$1:$G$6635,AG1926))</f>
        <v/>
      </c>
      <c r="AJ1926" s="17" t="str">
        <f t="shared" si="3"/>
        <v/>
      </c>
    </row>
    <row r="1927" spans="31:36">
      <c r="AE1927" s="15" t="str">
        <f t="shared" si="0"/>
        <v/>
      </c>
      <c r="AF1927" s="15" t="str">
        <f t="shared" si="1"/>
        <v/>
      </c>
      <c r="AG1927" s="15" t="str">
        <f>IF(OR(AF1927="",AF1927="ERRO_CHAVE"),"",IFERROR(MATCH(AF1927,'Quitados DUPP'!$U$1:$U$6635,0),""))</f>
        <v/>
      </c>
      <c r="AH1927" s="15" t="str">
        <f t="shared" si="2"/>
        <v/>
      </c>
      <c r="AI1927" s="17" t="str">
        <f>IF(AG1927="","",INDEX('Quitados DUPP'!$G$1:$G$6635,AG1927))</f>
        <v/>
      </c>
      <c r="AJ1927" s="17" t="str">
        <f t="shared" si="3"/>
        <v/>
      </c>
    </row>
    <row r="1928" spans="31:36">
      <c r="AE1928" s="15" t="str">
        <f t="shared" si="0"/>
        <v/>
      </c>
      <c r="AF1928" s="15" t="str">
        <f t="shared" si="1"/>
        <v/>
      </c>
      <c r="AG1928" s="15" t="str">
        <f>IF(OR(AF1928="",AF1928="ERRO_CHAVE"),"",IFERROR(MATCH(AF1928,'Quitados DUPP'!$U$1:$U$6635,0),""))</f>
        <v/>
      </c>
      <c r="AH1928" s="15" t="str">
        <f t="shared" si="2"/>
        <v/>
      </c>
      <c r="AI1928" s="17" t="str">
        <f>IF(AG1928="","",INDEX('Quitados DUPP'!$G$1:$G$6635,AG1928))</f>
        <v/>
      </c>
      <c r="AJ1928" s="17" t="str">
        <f t="shared" si="3"/>
        <v/>
      </c>
    </row>
    <row r="1929" spans="31:36">
      <c r="AE1929" s="15" t="str">
        <f t="shared" si="0"/>
        <v/>
      </c>
      <c r="AF1929" s="15" t="str">
        <f t="shared" si="1"/>
        <v/>
      </c>
      <c r="AG1929" s="15" t="str">
        <f>IF(OR(AF1929="",AF1929="ERRO_CHAVE"),"",IFERROR(MATCH(AF1929,'Quitados DUPP'!$U$1:$U$6635,0),""))</f>
        <v/>
      </c>
      <c r="AH1929" s="15" t="str">
        <f t="shared" si="2"/>
        <v/>
      </c>
      <c r="AI1929" s="17" t="str">
        <f>IF(AG1929="","",INDEX('Quitados DUPP'!$G$1:$G$6635,AG1929))</f>
        <v/>
      </c>
      <c r="AJ1929" s="17" t="str">
        <f t="shared" si="3"/>
        <v/>
      </c>
    </row>
    <row r="1930" spans="31:36">
      <c r="AE1930" s="15" t="str">
        <f t="shared" si="0"/>
        <v/>
      </c>
      <c r="AF1930" s="15" t="str">
        <f t="shared" si="1"/>
        <v/>
      </c>
      <c r="AG1930" s="15" t="str">
        <f>IF(OR(AF1930="",AF1930="ERRO_CHAVE"),"",IFERROR(MATCH(AF1930,'Quitados DUPP'!$U$1:$U$6635,0),""))</f>
        <v/>
      </c>
      <c r="AH1930" s="15" t="str">
        <f t="shared" si="2"/>
        <v/>
      </c>
      <c r="AI1930" s="17" t="str">
        <f>IF(AG1930="","",INDEX('Quitados DUPP'!$G$1:$G$6635,AG1930))</f>
        <v/>
      </c>
      <c r="AJ1930" s="17" t="str">
        <f t="shared" si="3"/>
        <v/>
      </c>
    </row>
    <row r="1931" spans="31:36">
      <c r="AE1931" s="15" t="str">
        <f t="shared" si="0"/>
        <v/>
      </c>
      <c r="AF1931" s="15" t="str">
        <f t="shared" si="1"/>
        <v/>
      </c>
      <c r="AG1931" s="15" t="str">
        <f>IF(OR(AF1931="",AF1931="ERRO_CHAVE"),"",IFERROR(MATCH(AF1931,'Quitados DUPP'!$U$1:$U$6635,0),""))</f>
        <v/>
      </c>
      <c r="AH1931" s="15" t="str">
        <f t="shared" si="2"/>
        <v/>
      </c>
      <c r="AI1931" s="17" t="str">
        <f>IF(AG1931="","",INDEX('Quitados DUPP'!$G$1:$G$6635,AG1931))</f>
        <v/>
      </c>
      <c r="AJ1931" s="17" t="str">
        <f t="shared" si="3"/>
        <v/>
      </c>
    </row>
    <row r="1932" spans="31:36">
      <c r="AE1932" s="15" t="str">
        <f t="shared" si="0"/>
        <v/>
      </c>
      <c r="AF1932" s="15" t="str">
        <f t="shared" si="1"/>
        <v/>
      </c>
      <c r="AG1932" s="15" t="str">
        <f>IF(OR(AF1932="",AF1932="ERRO_CHAVE"),"",IFERROR(MATCH(AF1932,'Quitados DUPP'!$U$1:$U$6635,0),""))</f>
        <v/>
      </c>
      <c r="AH1932" s="15" t="str">
        <f t="shared" si="2"/>
        <v/>
      </c>
      <c r="AI1932" s="17" t="str">
        <f>IF(AG1932="","",INDEX('Quitados DUPP'!$G$1:$G$6635,AG1932))</f>
        <v/>
      </c>
      <c r="AJ1932" s="17" t="str">
        <f t="shared" si="3"/>
        <v/>
      </c>
    </row>
    <row r="1933" spans="31:36">
      <c r="AE1933" s="15" t="str">
        <f t="shared" si="0"/>
        <v/>
      </c>
      <c r="AF1933" s="15" t="str">
        <f t="shared" si="1"/>
        <v/>
      </c>
      <c r="AG1933" s="15" t="str">
        <f>IF(OR(AF1933="",AF1933="ERRO_CHAVE"),"",IFERROR(MATCH(AF1933,'Quitados DUPP'!$U$1:$U$6635,0),""))</f>
        <v/>
      </c>
      <c r="AH1933" s="15" t="str">
        <f t="shared" si="2"/>
        <v/>
      </c>
      <c r="AI1933" s="17" t="str">
        <f>IF(AG1933="","",INDEX('Quitados DUPP'!$G$1:$G$6635,AG1933))</f>
        <v/>
      </c>
      <c r="AJ1933" s="17" t="str">
        <f t="shared" si="3"/>
        <v/>
      </c>
    </row>
    <row r="1934" spans="31:36">
      <c r="AE1934" s="15" t="str">
        <f t="shared" si="0"/>
        <v/>
      </c>
      <c r="AF1934" s="15" t="str">
        <f t="shared" si="1"/>
        <v/>
      </c>
      <c r="AG1934" s="15" t="str">
        <f>IF(OR(AF1934="",AF1934="ERRO_CHAVE"),"",IFERROR(MATCH(AF1934,'Quitados DUPP'!$U$1:$U$6635,0),""))</f>
        <v/>
      </c>
      <c r="AH1934" s="15" t="str">
        <f t="shared" si="2"/>
        <v/>
      </c>
      <c r="AI1934" s="17" t="str">
        <f>IF(AG1934="","",INDEX('Quitados DUPP'!$G$1:$G$6635,AG1934))</f>
        <v/>
      </c>
      <c r="AJ1934" s="17" t="str">
        <f t="shared" si="3"/>
        <v/>
      </c>
    </row>
    <row r="1935" spans="31:36">
      <c r="AE1935" s="15" t="str">
        <f t="shared" si="0"/>
        <v/>
      </c>
      <c r="AF1935" s="15" t="str">
        <f t="shared" si="1"/>
        <v/>
      </c>
      <c r="AG1935" s="15" t="str">
        <f>IF(OR(AF1935="",AF1935="ERRO_CHAVE"),"",IFERROR(MATCH(AF1935,'Quitados DUPP'!$U$1:$U$6635,0),""))</f>
        <v/>
      </c>
      <c r="AH1935" s="15" t="str">
        <f t="shared" si="2"/>
        <v/>
      </c>
      <c r="AI1935" s="17" t="str">
        <f>IF(AG1935="","",INDEX('Quitados DUPP'!$G$1:$G$6635,AG1935))</f>
        <v/>
      </c>
      <c r="AJ1935" s="17" t="str">
        <f t="shared" si="3"/>
        <v/>
      </c>
    </row>
    <row r="1936" spans="31:36">
      <c r="AE1936" s="15" t="str">
        <f t="shared" si="0"/>
        <v/>
      </c>
      <c r="AF1936" s="15" t="str">
        <f t="shared" si="1"/>
        <v/>
      </c>
      <c r="AG1936" s="15" t="str">
        <f>IF(OR(AF1936="",AF1936="ERRO_CHAVE"),"",IFERROR(MATCH(AF1936,'Quitados DUPP'!$U$1:$U$6635,0),""))</f>
        <v/>
      </c>
      <c r="AH1936" s="15" t="str">
        <f t="shared" si="2"/>
        <v/>
      </c>
      <c r="AI1936" s="17" t="str">
        <f>IF(AG1936="","",INDEX('Quitados DUPP'!$G$1:$G$6635,AG1936))</f>
        <v/>
      </c>
      <c r="AJ1936" s="17" t="str">
        <f t="shared" si="3"/>
        <v/>
      </c>
    </row>
    <row r="1937" spans="31:36">
      <c r="AE1937" s="15" t="str">
        <f t="shared" si="0"/>
        <v/>
      </c>
      <c r="AF1937" s="15" t="str">
        <f t="shared" si="1"/>
        <v/>
      </c>
      <c r="AG1937" s="15" t="str">
        <f>IF(OR(AF1937="",AF1937="ERRO_CHAVE"),"",IFERROR(MATCH(AF1937,'Quitados DUPP'!$U$1:$U$6635,0),""))</f>
        <v/>
      </c>
      <c r="AH1937" s="15" t="str">
        <f t="shared" si="2"/>
        <v/>
      </c>
      <c r="AI1937" s="17" t="str">
        <f>IF(AG1937="","",INDEX('Quitados DUPP'!$G$1:$G$6635,AG1937))</f>
        <v/>
      </c>
      <c r="AJ1937" s="17" t="str">
        <f t="shared" si="3"/>
        <v/>
      </c>
    </row>
    <row r="1938" spans="31:36">
      <c r="AE1938" s="15" t="str">
        <f t="shared" si="0"/>
        <v/>
      </c>
      <c r="AF1938" s="15" t="str">
        <f t="shared" si="1"/>
        <v/>
      </c>
      <c r="AG1938" s="15" t="str">
        <f>IF(OR(AF1938="",AF1938="ERRO_CHAVE"),"",IFERROR(MATCH(AF1938,'Quitados DUPP'!$U$1:$U$6635,0),""))</f>
        <v/>
      </c>
      <c r="AH1938" s="15" t="str">
        <f t="shared" si="2"/>
        <v/>
      </c>
      <c r="AI1938" s="17" t="str">
        <f>IF(AG1938="","",INDEX('Quitados DUPP'!$G$1:$G$6635,AG1938))</f>
        <v/>
      </c>
      <c r="AJ1938" s="17" t="str">
        <f t="shared" si="3"/>
        <v/>
      </c>
    </row>
    <row r="1939" spans="31:36">
      <c r="AE1939" s="15" t="str">
        <f t="shared" si="0"/>
        <v/>
      </c>
      <c r="AF1939" s="15" t="str">
        <f t="shared" si="1"/>
        <v/>
      </c>
      <c r="AG1939" s="15" t="str">
        <f>IF(OR(AF1939="",AF1939="ERRO_CHAVE"),"",IFERROR(MATCH(AF1939,'Quitados DUPP'!$U$1:$U$6635,0),""))</f>
        <v/>
      </c>
      <c r="AH1939" s="15" t="str">
        <f t="shared" si="2"/>
        <v/>
      </c>
      <c r="AI1939" s="17" t="str">
        <f>IF(AG1939="","",INDEX('Quitados DUPP'!$G$1:$G$6635,AG1939))</f>
        <v/>
      </c>
      <c r="AJ1939" s="17" t="str">
        <f t="shared" si="3"/>
        <v/>
      </c>
    </row>
    <row r="1940" spans="31:36">
      <c r="AE1940" s="15" t="str">
        <f t="shared" si="0"/>
        <v/>
      </c>
      <c r="AF1940" s="15" t="str">
        <f t="shared" si="1"/>
        <v/>
      </c>
      <c r="AG1940" s="15" t="str">
        <f>IF(OR(AF1940="",AF1940="ERRO_CHAVE"),"",IFERROR(MATCH(AF1940,'Quitados DUPP'!$U$1:$U$6635,0),""))</f>
        <v/>
      </c>
      <c r="AH1940" s="15" t="str">
        <f t="shared" si="2"/>
        <v/>
      </c>
      <c r="AI1940" s="17" t="str">
        <f>IF(AG1940="","",INDEX('Quitados DUPP'!$G$1:$G$6635,AG1940))</f>
        <v/>
      </c>
      <c r="AJ1940" s="17" t="str">
        <f t="shared" si="3"/>
        <v/>
      </c>
    </row>
    <row r="1941" spans="31:36">
      <c r="AE1941" s="15" t="str">
        <f t="shared" si="0"/>
        <v/>
      </c>
      <c r="AF1941" s="15" t="str">
        <f t="shared" si="1"/>
        <v/>
      </c>
      <c r="AG1941" s="15" t="str">
        <f>IF(OR(AF1941="",AF1941="ERRO_CHAVE"),"",IFERROR(MATCH(AF1941,'Quitados DUPP'!$U$1:$U$6635,0),""))</f>
        <v/>
      </c>
      <c r="AH1941" s="15" t="str">
        <f t="shared" si="2"/>
        <v/>
      </c>
      <c r="AI1941" s="17" t="str">
        <f>IF(AG1941="","",INDEX('Quitados DUPP'!$G$1:$G$6635,AG1941))</f>
        <v/>
      </c>
      <c r="AJ1941" s="17" t="str">
        <f t="shared" si="3"/>
        <v/>
      </c>
    </row>
    <row r="1942" spans="31:36">
      <c r="AE1942" s="15" t="str">
        <f t="shared" si="0"/>
        <v/>
      </c>
      <c r="AF1942" s="15" t="str">
        <f t="shared" si="1"/>
        <v/>
      </c>
      <c r="AG1942" s="15" t="str">
        <f>IF(OR(AF1942="",AF1942="ERRO_CHAVE"),"",IFERROR(MATCH(AF1942,'Quitados DUPP'!$U$1:$U$6635,0),""))</f>
        <v/>
      </c>
      <c r="AH1942" s="15" t="str">
        <f t="shared" si="2"/>
        <v/>
      </c>
      <c r="AI1942" s="17" t="str">
        <f>IF(AG1942="","",INDEX('Quitados DUPP'!$G$1:$G$6635,AG1942))</f>
        <v/>
      </c>
      <c r="AJ1942" s="17" t="str">
        <f t="shared" si="3"/>
        <v/>
      </c>
    </row>
    <row r="1943" spans="31:36">
      <c r="AE1943" s="15" t="str">
        <f t="shared" si="0"/>
        <v/>
      </c>
      <c r="AF1943" s="15" t="str">
        <f t="shared" si="1"/>
        <v/>
      </c>
      <c r="AG1943" s="15" t="str">
        <f>IF(OR(AF1943="",AF1943="ERRO_CHAVE"),"",IFERROR(MATCH(AF1943,'Quitados DUPP'!$U$1:$U$6635,0),""))</f>
        <v/>
      </c>
      <c r="AH1943" s="15" t="str">
        <f t="shared" si="2"/>
        <v/>
      </c>
      <c r="AI1943" s="17" t="str">
        <f>IF(AG1943="","",INDEX('Quitados DUPP'!$G$1:$G$6635,AG1943))</f>
        <v/>
      </c>
      <c r="AJ1943" s="17" t="str">
        <f t="shared" si="3"/>
        <v/>
      </c>
    </row>
    <row r="1944" spans="31:36">
      <c r="AE1944" s="15" t="str">
        <f t="shared" si="0"/>
        <v/>
      </c>
      <c r="AF1944" s="15" t="str">
        <f t="shared" si="1"/>
        <v/>
      </c>
      <c r="AG1944" s="15" t="str">
        <f>IF(OR(AF1944="",AF1944="ERRO_CHAVE"),"",IFERROR(MATCH(AF1944,'Quitados DUPP'!$U$1:$U$6635,0),""))</f>
        <v/>
      </c>
      <c r="AH1944" s="15" t="str">
        <f t="shared" si="2"/>
        <v/>
      </c>
      <c r="AI1944" s="17" t="str">
        <f>IF(AG1944="","",INDEX('Quitados DUPP'!$G$1:$G$6635,AG1944))</f>
        <v/>
      </c>
      <c r="AJ1944" s="17" t="str">
        <f t="shared" si="3"/>
        <v/>
      </c>
    </row>
    <row r="1945" spans="31:36">
      <c r="AE1945" s="15" t="str">
        <f t="shared" si="0"/>
        <v/>
      </c>
      <c r="AF1945" s="15" t="str">
        <f t="shared" si="1"/>
        <v/>
      </c>
      <c r="AG1945" s="15" t="str">
        <f>IF(OR(AF1945="",AF1945="ERRO_CHAVE"),"",IFERROR(MATCH(AF1945,'Quitados DUPP'!$U$1:$U$6635,0),""))</f>
        <v/>
      </c>
      <c r="AH1945" s="15" t="str">
        <f t="shared" si="2"/>
        <v/>
      </c>
      <c r="AI1945" s="17" t="str">
        <f>IF(AG1945="","",INDEX('Quitados DUPP'!$G$1:$G$6635,AG1945))</f>
        <v/>
      </c>
      <c r="AJ1945" s="17" t="str">
        <f t="shared" si="3"/>
        <v/>
      </c>
    </row>
    <row r="1946" spans="31:36">
      <c r="AE1946" s="15" t="str">
        <f t="shared" si="0"/>
        <v/>
      </c>
      <c r="AF1946" s="15" t="str">
        <f t="shared" si="1"/>
        <v/>
      </c>
      <c r="AG1946" s="15" t="str">
        <f>IF(OR(AF1946="",AF1946="ERRO_CHAVE"),"",IFERROR(MATCH(AF1946,'Quitados DUPP'!$U$1:$U$6635,0),""))</f>
        <v/>
      </c>
      <c r="AH1946" s="15" t="str">
        <f t="shared" si="2"/>
        <v/>
      </c>
      <c r="AI1946" s="17" t="str">
        <f>IF(AG1946="","",INDEX('Quitados DUPP'!$G$1:$G$6635,AG1946))</f>
        <v/>
      </c>
      <c r="AJ1946" s="17" t="str">
        <f t="shared" si="3"/>
        <v/>
      </c>
    </row>
    <row r="1947" spans="31:36">
      <c r="AE1947" s="15" t="str">
        <f t="shared" si="0"/>
        <v/>
      </c>
      <c r="AF1947" s="15" t="str">
        <f t="shared" si="1"/>
        <v/>
      </c>
      <c r="AG1947" s="15" t="str">
        <f>IF(OR(AF1947="",AF1947="ERRO_CHAVE"),"",IFERROR(MATCH(AF1947,'Quitados DUPP'!$U$1:$U$6635,0),""))</f>
        <v/>
      </c>
      <c r="AH1947" s="15" t="str">
        <f t="shared" si="2"/>
        <v/>
      </c>
      <c r="AI1947" s="17" t="str">
        <f>IF(AG1947="","",INDEX('Quitados DUPP'!$G$1:$G$6635,AG1947))</f>
        <v/>
      </c>
      <c r="AJ1947" s="17" t="str">
        <f t="shared" si="3"/>
        <v/>
      </c>
    </row>
    <row r="1948" spans="31:36">
      <c r="AE1948" s="15" t="str">
        <f t="shared" si="0"/>
        <v/>
      </c>
      <c r="AF1948" s="15" t="str">
        <f t="shared" si="1"/>
        <v/>
      </c>
      <c r="AG1948" s="15" t="str">
        <f>IF(OR(AF1948="",AF1948="ERRO_CHAVE"),"",IFERROR(MATCH(AF1948,'Quitados DUPP'!$U$1:$U$6635,0),""))</f>
        <v/>
      </c>
      <c r="AH1948" s="15" t="str">
        <f t="shared" si="2"/>
        <v/>
      </c>
      <c r="AI1948" s="17" t="str">
        <f>IF(AG1948="","",INDEX('Quitados DUPP'!$G$1:$G$6635,AG1948))</f>
        <v/>
      </c>
      <c r="AJ1948" s="17" t="str">
        <f t="shared" si="3"/>
        <v/>
      </c>
    </row>
    <row r="1949" spans="31:36">
      <c r="AE1949" s="15" t="str">
        <f t="shared" si="0"/>
        <v/>
      </c>
      <c r="AF1949" s="15" t="str">
        <f t="shared" si="1"/>
        <v/>
      </c>
      <c r="AG1949" s="15" t="str">
        <f>IF(OR(AF1949="",AF1949="ERRO_CHAVE"),"",IFERROR(MATCH(AF1949,'Quitados DUPP'!$U$1:$U$6635,0),""))</f>
        <v/>
      </c>
      <c r="AH1949" s="15" t="str">
        <f t="shared" si="2"/>
        <v/>
      </c>
      <c r="AI1949" s="17" t="str">
        <f>IF(AG1949="","",INDEX('Quitados DUPP'!$G$1:$G$6635,AG1949))</f>
        <v/>
      </c>
      <c r="AJ1949" s="17" t="str">
        <f t="shared" si="3"/>
        <v/>
      </c>
    </row>
    <row r="1950" spans="31:36">
      <c r="AE1950" s="15" t="str">
        <f t="shared" si="0"/>
        <v/>
      </c>
      <c r="AF1950" s="15" t="str">
        <f t="shared" si="1"/>
        <v/>
      </c>
      <c r="AG1950" s="15" t="str">
        <f>IF(OR(AF1950="",AF1950="ERRO_CHAVE"),"",IFERROR(MATCH(AF1950,'Quitados DUPP'!$U$1:$U$6635,0),""))</f>
        <v/>
      </c>
      <c r="AH1950" s="15" t="str">
        <f t="shared" si="2"/>
        <v/>
      </c>
      <c r="AI1950" s="17" t="str">
        <f>IF(AG1950="","",INDEX('Quitados DUPP'!$G$1:$G$6635,AG1950))</f>
        <v/>
      </c>
      <c r="AJ1950" s="17" t="str">
        <f t="shared" si="3"/>
        <v/>
      </c>
    </row>
    <row r="1951" spans="31:36">
      <c r="AE1951" s="15" t="str">
        <f t="shared" si="0"/>
        <v/>
      </c>
      <c r="AF1951" s="15" t="str">
        <f t="shared" si="1"/>
        <v/>
      </c>
      <c r="AG1951" s="15" t="str">
        <f>IF(OR(AF1951="",AF1951="ERRO_CHAVE"),"",IFERROR(MATCH(AF1951,'Quitados DUPP'!$U$1:$U$6635,0),""))</f>
        <v/>
      </c>
      <c r="AH1951" s="15" t="str">
        <f t="shared" si="2"/>
        <v/>
      </c>
      <c r="AI1951" s="17" t="str">
        <f>IF(AG1951="","",INDEX('Quitados DUPP'!$G$1:$G$6635,AG1951))</f>
        <v/>
      </c>
      <c r="AJ1951" s="17" t="str">
        <f t="shared" si="3"/>
        <v/>
      </c>
    </row>
    <row r="1952" spans="31:36">
      <c r="AE1952" s="15" t="str">
        <f t="shared" si="0"/>
        <v/>
      </c>
      <c r="AF1952" s="15" t="str">
        <f t="shared" si="1"/>
        <v/>
      </c>
      <c r="AG1952" s="15" t="str">
        <f>IF(OR(AF1952="",AF1952="ERRO_CHAVE"),"",IFERROR(MATCH(AF1952,'Quitados DUPP'!$U$1:$U$6635,0),""))</f>
        <v/>
      </c>
      <c r="AH1952" s="15" t="str">
        <f t="shared" si="2"/>
        <v/>
      </c>
      <c r="AI1952" s="17" t="str">
        <f>IF(AG1952="","",INDEX('Quitados DUPP'!$G$1:$G$6635,AG1952))</f>
        <v/>
      </c>
      <c r="AJ1952" s="17" t="str">
        <f t="shared" si="3"/>
        <v/>
      </c>
    </row>
    <row r="1953" spans="31:36">
      <c r="AE1953" s="15" t="str">
        <f t="shared" si="0"/>
        <v/>
      </c>
      <c r="AF1953" s="15" t="str">
        <f t="shared" si="1"/>
        <v/>
      </c>
      <c r="AG1953" s="15" t="str">
        <f>IF(OR(AF1953="",AF1953="ERRO_CHAVE"),"",IFERROR(MATCH(AF1953,'Quitados DUPP'!$U$1:$U$6635,0),""))</f>
        <v/>
      </c>
      <c r="AH1953" s="15" t="str">
        <f t="shared" si="2"/>
        <v/>
      </c>
      <c r="AI1953" s="17" t="str">
        <f>IF(AG1953="","",INDEX('Quitados DUPP'!$G$1:$G$6635,AG1953))</f>
        <v/>
      </c>
      <c r="AJ1953" s="17" t="str">
        <f t="shared" si="3"/>
        <v/>
      </c>
    </row>
    <row r="1954" spans="31:36">
      <c r="AE1954" s="15" t="str">
        <f t="shared" si="0"/>
        <v/>
      </c>
      <c r="AF1954" s="15" t="str">
        <f t="shared" si="1"/>
        <v/>
      </c>
      <c r="AG1954" s="15" t="str">
        <f>IF(OR(AF1954="",AF1954="ERRO_CHAVE"),"",IFERROR(MATCH(AF1954,'Quitados DUPP'!$U$1:$U$6635,0),""))</f>
        <v/>
      </c>
      <c r="AH1954" s="15" t="str">
        <f t="shared" si="2"/>
        <v/>
      </c>
      <c r="AI1954" s="17" t="str">
        <f>IF(AG1954="","",INDEX('Quitados DUPP'!$G$1:$G$6635,AG1954))</f>
        <v/>
      </c>
      <c r="AJ1954" s="17" t="str">
        <f t="shared" si="3"/>
        <v/>
      </c>
    </row>
    <row r="1955" spans="31:36">
      <c r="AE1955" s="15" t="str">
        <f t="shared" si="0"/>
        <v/>
      </c>
      <c r="AF1955" s="15" t="str">
        <f t="shared" si="1"/>
        <v/>
      </c>
      <c r="AG1955" s="15" t="str">
        <f>IF(OR(AF1955="",AF1955="ERRO_CHAVE"),"",IFERROR(MATCH(AF1955,'Quitados DUPP'!$U$1:$U$6635,0),""))</f>
        <v/>
      </c>
      <c r="AH1955" s="15" t="str">
        <f t="shared" si="2"/>
        <v/>
      </c>
      <c r="AI1955" s="17" t="str">
        <f>IF(AG1955="","",INDEX('Quitados DUPP'!$G$1:$G$6635,AG1955))</f>
        <v/>
      </c>
      <c r="AJ1955" s="17" t="str">
        <f t="shared" si="3"/>
        <v/>
      </c>
    </row>
    <row r="1956" spans="31:36">
      <c r="AE1956" s="15" t="str">
        <f t="shared" si="0"/>
        <v/>
      </c>
      <c r="AF1956" s="15" t="str">
        <f t="shared" si="1"/>
        <v/>
      </c>
      <c r="AG1956" s="15" t="str">
        <f>IF(OR(AF1956="",AF1956="ERRO_CHAVE"),"",IFERROR(MATCH(AF1956,'Quitados DUPP'!$U$1:$U$6635,0),""))</f>
        <v/>
      </c>
      <c r="AH1956" s="15" t="str">
        <f t="shared" si="2"/>
        <v/>
      </c>
      <c r="AI1956" s="17" t="str">
        <f>IF(AG1956="","",INDEX('Quitados DUPP'!$G$1:$G$6635,AG1956))</f>
        <v/>
      </c>
      <c r="AJ1956" s="17" t="str">
        <f t="shared" si="3"/>
        <v/>
      </c>
    </row>
    <row r="1957" spans="31:36">
      <c r="AE1957" s="15" t="str">
        <f t="shared" si="0"/>
        <v/>
      </c>
      <c r="AF1957" s="15" t="str">
        <f t="shared" si="1"/>
        <v/>
      </c>
      <c r="AG1957" s="15" t="str">
        <f>IF(OR(AF1957="",AF1957="ERRO_CHAVE"),"",IFERROR(MATCH(AF1957,'Quitados DUPP'!$U$1:$U$6635,0),""))</f>
        <v/>
      </c>
      <c r="AH1957" s="15" t="str">
        <f t="shared" si="2"/>
        <v/>
      </c>
      <c r="AI1957" s="17" t="str">
        <f>IF(AG1957="","",INDEX('Quitados DUPP'!$G$1:$G$6635,AG1957))</f>
        <v/>
      </c>
      <c r="AJ1957" s="17" t="str">
        <f t="shared" si="3"/>
        <v/>
      </c>
    </row>
    <row r="1958" spans="31:36">
      <c r="AE1958" s="15" t="str">
        <f t="shared" si="0"/>
        <v/>
      </c>
      <c r="AF1958" s="15" t="str">
        <f t="shared" si="1"/>
        <v/>
      </c>
      <c r="AG1958" s="15" t="str">
        <f>IF(OR(AF1958="",AF1958="ERRO_CHAVE"),"",IFERROR(MATCH(AF1958,'Quitados DUPP'!$U$1:$U$6635,0),""))</f>
        <v/>
      </c>
      <c r="AH1958" s="15" t="str">
        <f t="shared" si="2"/>
        <v/>
      </c>
      <c r="AI1958" s="17" t="str">
        <f>IF(AG1958="","",INDEX('Quitados DUPP'!$G$1:$G$6635,AG1958))</f>
        <v/>
      </c>
      <c r="AJ1958" s="17" t="str">
        <f t="shared" si="3"/>
        <v/>
      </c>
    </row>
    <row r="1959" spans="31:36">
      <c r="AE1959" s="15" t="str">
        <f t="shared" si="0"/>
        <v/>
      </c>
      <c r="AF1959" s="15" t="str">
        <f t="shared" si="1"/>
        <v/>
      </c>
      <c r="AG1959" s="15" t="str">
        <f>IF(OR(AF1959="",AF1959="ERRO_CHAVE"),"",IFERROR(MATCH(AF1959,'Quitados DUPP'!$U$1:$U$6635,0),""))</f>
        <v/>
      </c>
      <c r="AH1959" s="15" t="str">
        <f t="shared" si="2"/>
        <v/>
      </c>
      <c r="AI1959" s="17" t="str">
        <f>IF(AG1959="","",INDEX('Quitados DUPP'!$G$1:$G$6635,AG1959))</f>
        <v/>
      </c>
      <c r="AJ1959" s="17" t="str">
        <f t="shared" si="3"/>
        <v/>
      </c>
    </row>
    <row r="1960" spans="31:36">
      <c r="AE1960" s="15" t="str">
        <f t="shared" si="0"/>
        <v/>
      </c>
      <c r="AF1960" s="15" t="str">
        <f t="shared" si="1"/>
        <v/>
      </c>
      <c r="AG1960" s="15" t="str">
        <f>IF(OR(AF1960="",AF1960="ERRO_CHAVE"),"",IFERROR(MATCH(AF1960,'Quitados DUPP'!$U$1:$U$6635,0),""))</f>
        <v/>
      </c>
      <c r="AH1960" s="15" t="str">
        <f t="shared" si="2"/>
        <v/>
      </c>
      <c r="AI1960" s="17" t="str">
        <f>IF(AG1960="","",INDEX('Quitados DUPP'!$G$1:$G$6635,AG1960))</f>
        <v/>
      </c>
      <c r="AJ1960" s="17" t="str">
        <f t="shared" si="3"/>
        <v/>
      </c>
    </row>
    <row r="1961" spans="31:36">
      <c r="AE1961" s="15" t="str">
        <f t="shared" si="0"/>
        <v/>
      </c>
      <c r="AF1961" s="15" t="str">
        <f t="shared" si="1"/>
        <v/>
      </c>
      <c r="AG1961" s="15" t="str">
        <f>IF(OR(AF1961="",AF1961="ERRO_CHAVE"),"",IFERROR(MATCH(AF1961,'Quitados DUPP'!$U$1:$U$6635,0),""))</f>
        <v/>
      </c>
      <c r="AH1961" s="15" t="str">
        <f t="shared" si="2"/>
        <v/>
      </c>
      <c r="AI1961" s="17" t="str">
        <f>IF(AG1961="","",INDEX('Quitados DUPP'!$G$1:$G$6635,AG1961))</f>
        <v/>
      </c>
      <c r="AJ1961" s="17" t="str">
        <f t="shared" si="3"/>
        <v/>
      </c>
    </row>
    <row r="1962" spans="31:36">
      <c r="AE1962" s="15" t="str">
        <f t="shared" si="0"/>
        <v/>
      </c>
      <c r="AF1962" s="15" t="str">
        <f t="shared" si="1"/>
        <v/>
      </c>
      <c r="AG1962" s="15" t="str">
        <f>IF(OR(AF1962="",AF1962="ERRO_CHAVE"),"",IFERROR(MATCH(AF1962,'Quitados DUPP'!$U$1:$U$6635,0),""))</f>
        <v/>
      </c>
      <c r="AH1962" s="15" t="str">
        <f t="shared" si="2"/>
        <v/>
      </c>
      <c r="AI1962" s="17" t="str">
        <f>IF(AG1962="","",INDEX('Quitados DUPP'!$G$1:$G$6635,AG1962))</f>
        <v/>
      </c>
      <c r="AJ1962" s="17" t="str">
        <f t="shared" si="3"/>
        <v/>
      </c>
    </row>
    <row r="1963" spans="31:36">
      <c r="AE1963" s="15" t="str">
        <f t="shared" si="0"/>
        <v/>
      </c>
      <c r="AF1963" s="15" t="str">
        <f t="shared" si="1"/>
        <v/>
      </c>
      <c r="AG1963" s="15" t="str">
        <f>IF(OR(AF1963="",AF1963="ERRO_CHAVE"),"",IFERROR(MATCH(AF1963,'Quitados DUPP'!$U$1:$U$6635,0),""))</f>
        <v/>
      </c>
      <c r="AH1963" s="15" t="str">
        <f t="shared" si="2"/>
        <v/>
      </c>
      <c r="AI1963" s="17" t="str">
        <f>IF(AG1963="","",INDEX('Quitados DUPP'!$G$1:$G$6635,AG1963))</f>
        <v/>
      </c>
      <c r="AJ1963" s="17" t="str">
        <f t="shared" si="3"/>
        <v/>
      </c>
    </row>
    <row r="1964" spans="31:36">
      <c r="AE1964" s="15" t="str">
        <f t="shared" si="0"/>
        <v/>
      </c>
      <c r="AF1964" s="15" t="str">
        <f t="shared" si="1"/>
        <v/>
      </c>
      <c r="AG1964" s="15" t="str">
        <f>IF(OR(AF1964="",AF1964="ERRO_CHAVE"),"",IFERROR(MATCH(AF1964,'Quitados DUPP'!$U$1:$U$6635,0),""))</f>
        <v/>
      </c>
      <c r="AH1964" s="15" t="str">
        <f t="shared" si="2"/>
        <v/>
      </c>
      <c r="AI1964" s="17" t="str">
        <f>IF(AG1964="","",INDEX('Quitados DUPP'!$G$1:$G$6635,AG1964))</f>
        <v/>
      </c>
      <c r="AJ1964" s="17" t="str">
        <f t="shared" si="3"/>
        <v/>
      </c>
    </row>
    <row r="1965" spans="31:36">
      <c r="AE1965" s="15" t="str">
        <f t="shared" si="0"/>
        <v/>
      </c>
      <c r="AF1965" s="15" t="str">
        <f t="shared" si="1"/>
        <v/>
      </c>
      <c r="AG1965" s="15" t="str">
        <f>IF(OR(AF1965="",AF1965="ERRO_CHAVE"),"",IFERROR(MATCH(AF1965,'Quitados DUPP'!$U$1:$U$6635,0),""))</f>
        <v/>
      </c>
      <c r="AH1965" s="15" t="str">
        <f t="shared" si="2"/>
        <v/>
      </c>
      <c r="AI1965" s="17" t="str">
        <f>IF(AG1965="","",INDEX('Quitados DUPP'!$G$1:$G$6635,AG1965))</f>
        <v/>
      </c>
      <c r="AJ1965" s="17" t="str">
        <f t="shared" si="3"/>
        <v/>
      </c>
    </row>
    <row r="1966" spans="31:36">
      <c r="AE1966" s="15" t="str">
        <f t="shared" si="0"/>
        <v/>
      </c>
      <c r="AF1966" s="15" t="str">
        <f t="shared" si="1"/>
        <v/>
      </c>
      <c r="AG1966" s="15" t="str">
        <f>IF(OR(AF1966="",AF1966="ERRO_CHAVE"),"",IFERROR(MATCH(AF1966,'Quitados DUPP'!$U$1:$U$6635,0),""))</f>
        <v/>
      </c>
      <c r="AH1966" s="15" t="str">
        <f t="shared" si="2"/>
        <v/>
      </c>
      <c r="AI1966" s="17" t="str">
        <f>IF(AG1966="","",INDEX('Quitados DUPP'!$G$1:$G$6635,AG1966))</f>
        <v/>
      </c>
      <c r="AJ1966" s="17" t="str">
        <f t="shared" si="3"/>
        <v/>
      </c>
    </row>
    <row r="1967" spans="31:36">
      <c r="AE1967" s="15" t="str">
        <f t="shared" si="0"/>
        <v/>
      </c>
      <c r="AF1967" s="15" t="str">
        <f t="shared" si="1"/>
        <v/>
      </c>
      <c r="AG1967" s="15" t="str">
        <f>IF(OR(AF1967="",AF1967="ERRO_CHAVE"),"",IFERROR(MATCH(AF1967,'Quitados DUPP'!$U$1:$U$6635,0),""))</f>
        <v/>
      </c>
      <c r="AH1967" s="15" t="str">
        <f t="shared" si="2"/>
        <v/>
      </c>
      <c r="AI1967" s="17" t="str">
        <f>IF(AG1967="","",INDEX('Quitados DUPP'!$G$1:$G$6635,AG1967))</f>
        <v/>
      </c>
      <c r="AJ1967" s="17" t="str">
        <f t="shared" si="3"/>
        <v/>
      </c>
    </row>
    <row r="1968" spans="31:36">
      <c r="AE1968" s="15" t="str">
        <f t="shared" si="0"/>
        <v/>
      </c>
      <c r="AF1968" s="15" t="str">
        <f t="shared" si="1"/>
        <v/>
      </c>
      <c r="AG1968" s="15" t="str">
        <f>IF(OR(AF1968="",AF1968="ERRO_CHAVE"),"",IFERROR(MATCH(AF1968,'Quitados DUPP'!$U$1:$U$6635,0),""))</f>
        <v/>
      </c>
      <c r="AH1968" s="15" t="str">
        <f t="shared" si="2"/>
        <v/>
      </c>
      <c r="AI1968" s="17" t="str">
        <f>IF(AG1968="","",INDEX('Quitados DUPP'!$G$1:$G$6635,AG1968))</f>
        <v/>
      </c>
      <c r="AJ1968" s="17" t="str">
        <f t="shared" si="3"/>
        <v/>
      </c>
    </row>
    <row r="1969" spans="31:36">
      <c r="AE1969" s="15" t="str">
        <f t="shared" si="0"/>
        <v/>
      </c>
      <c r="AF1969" s="15" t="str">
        <f t="shared" si="1"/>
        <v/>
      </c>
      <c r="AG1969" s="15" t="str">
        <f>IF(OR(AF1969="",AF1969="ERRO_CHAVE"),"",IFERROR(MATCH(AF1969,'Quitados DUPP'!$U$1:$U$6635,0),""))</f>
        <v/>
      </c>
      <c r="AH1969" s="15" t="str">
        <f t="shared" si="2"/>
        <v/>
      </c>
      <c r="AI1969" s="17" t="str">
        <f>IF(AG1969="","",INDEX('Quitados DUPP'!$G$1:$G$6635,AG1969))</f>
        <v/>
      </c>
      <c r="AJ1969" s="17" t="str">
        <f t="shared" si="3"/>
        <v/>
      </c>
    </row>
    <row r="1970" spans="31:36">
      <c r="AE1970" s="15" t="str">
        <f t="shared" si="0"/>
        <v/>
      </c>
      <c r="AF1970" s="15" t="str">
        <f t="shared" si="1"/>
        <v/>
      </c>
      <c r="AG1970" s="15" t="str">
        <f>IF(OR(AF1970="",AF1970="ERRO_CHAVE"),"",IFERROR(MATCH(AF1970,'Quitados DUPP'!$U$1:$U$6635,0),""))</f>
        <v/>
      </c>
      <c r="AH1970" s="15" t="str">
        <f t="shared" si="2"/>
        <v/>
      </c>
      <c r="AI1970" s="17" t="str">
        <f>IF(AG1970="","",INDEX('Quitados DUPP'!$G$1:$G$6635,AG1970))</f>
        <v/>
      </c>
      <c r="AJ1970" s="17" t="str">
        <f t="shared" si="3"/>
        <v/>
      </c>
    </row>
    <row r="1971" spans="31:36">
      <c r="AE1971" s="15" t="str">
        <f t="shared" si="0"/>
        <v/>
      </c>
      <c r="AF1971" s="15" t="str">
        <f t="shared" si="1"/>
        <v/>
      </c>
      <c r="AG1971" s="15" t="str">
        <f>IF(OR(AF1971="",AF1971="ERRO_CHAVE"),"",IFERROR(MATCH(AF1971,'Quitados DUPP'!$U$1:$U$6635,0),""))</f>
        <v/>
      </c>
      <c r="AH1971" s="15" t="str">
        <f t="shared" si="2"/>
        <v/>
      </c>
      <c r="AI1971" s="17" t="str">
        <f>IF(AG1971="","",INDEX('Quitados DUPP'!$G$1:$G$6635,AG1971))</f>
        <v/>
      </c>
      <c r="AJ1971" s="17" t="str">
        <f t="shared" si="3"/>
        <v/>
      </c>
    </row>
    <row r="1972" spans="31:36">
      <c r="AE1972" s="15" t="str">
        <f t="shared" si="0"/>
        <v/>
      </c>
      <c r="AF1972" s="15" t="str">
        <f t="shared" si="1"/>
        <v/>
      </c>
      <c r="AG1972" s="15" t="str">
        <f>IF(OR(AF1972="",AF1972="ERRO_CHAVE"),"",IFERROR(MATCH(AF1972,'Quitados DUPP'!$U$1:$U$6635,0),""))</f>
        <v/>
      </c>
      <c r="AH1972" s="15" t="str">
        <f t="shared" si="2"/>
        <v/>
      </c>
      <c r="AI1972" s="17" t="str">
        <f>IF(AG1972="","",INDEX('Quitados DUPP'!$G$1:$G$6635,AG1972))</f>
        <v/>
      </c>
      <c r="AJ1972" s="17" t="str">
        <f t="shared" si="3"/>
        <v/>
      </c>
    </row>
    <row r="1973" spans="31:36">
      <c r="AE1973" s="15" t="str">
        <f t="shared" si="0"/>
        <v/>
      </c>
      <c r="AF1973" s="15" t="str">
        <f t="shared" si="1"/>
        <v/>
      </c>
      <c r="AG1973" s="15" t="str">
        <f>IF(OR(AF1973="",AF1973="ERRO_CHAVE"),"",IFERROR(MATCH(AF1973,'Quitados DUPP'!$U$1:$U$6635,0),""))</f>
        <v/>
      </c>
      <c r="AH1973" s="15" t="str">
        <f t="shared" si="2"/>
        <v/>
      </c>
      <c r="AI1973" s="17" t="str">
        <f>IF(AG1973="","",INDEX('Quitados DUPP'!$G$1:$G$6635,AG1973))</f>
        <v/>
      </c>
      <c r="AJ1973" s="17" t="str">
        <f t="shared" si="3"/>
        <v/>
      </c>
    </row>
    <row r="1974" spans="31:36">
      <c r="AE1974" s="15" t="str">
        <f t="shared" si="0"/>
        <v/>
      </c>
      <c r="AF1974" s="15" t="str">
        <f t="shared" si="1"/>
        <v/>
      </c>
      <c r="AG1974" s="15" t="str">
        <f>IF(OR(AF1974="",AF1974="ERRO_CHAVE"),"",IFERROR(MATCH(AF1974,'Quitados DUPP'!$U$1:$U$6635,0),""))</f>
        <v/>
      </c>
      <c r="AH1974" s="15" t="str">
        <f t="shared" si="2"/>
        <v/>
      </c>
      <c r="AI1974" s="17" t="str">
        <f>IF(AG1974="","",INDEX('Quitados DUPP'!$G$1:$G$6635,AG1974))</f>
        <v/>
      </c>
      <c r="AJ1974" s="17" t="str">
        <f t="shared" si="3"/>
        <v/>
      </c>
    </row>
    <row r="1975" spans="31:36">
      <c r="AE1975" s="15" t="str">
        <f t="shared" si="0"/>
        <v/>
      </c>
      <c r="AF1975" s="15" t="str">
        <f t="shared" si="1"/>
        <v/>
      </c>
      <c r="AG1975" s="15" t="str">
        <f>IF(OR(AF1975="",AF1975="ERRO_CHAVE"),"",IFERROR(MATCH(AF1975,'Quitados DUPP'!$U$1:$U$6635,0),""))</f>
        <v/>
      </c>
      <c r="AH1975" s="15" t="str">
        <f t="shared" si="2"/>
        <v/>
      </c>
      <c r="AI1975" s="17" t="str">
        <f>IF(AG1975="","",INDEX('Quitados DUPP'!$G$1:$G$6635,AG1975))</f>
        <v/>
      </c>
      <c r="AJ1975" s="17" t="str">
        <f t="shared" si="3"/>
        <v/>
      </c>
    </row>
    <row r="1976" spans="31:36">
      <c r="AE1976" s="15" t="str">
        <f t="shared" si="0"/>
        <v/>
      </c>
      <c r="AF1976" s="15" t="str">
        <f t="shared" si="1"/>
        <v/>
      </c>
      <c r="AG1976" s="15" t="str">
        <f>IF(OR(AF1976="",AF1976="ERRO_CHAVE"),"",IFERROR(MATCH(AF1976,'Quitados DUPP'!$U$1:$U$6635,0),""))</f>
        <v/>
      </c>
      <c r="AH1976" s="15" t="str">
        <f t="shared" si="2"/>
        <v/>
      </c>
      <c r="AI1976" s="17" t="str">
        <f>IF(AG1976="","",INDEX('Quitados DUPP'!$G$1:$G$6635,AG1976))</f>
        <v/>
      </c>
      <c r="AJ1976" s="17" t="str">
        <f t="shared" si="3"/>
        <v/>
      </c>
    </row>
    <row r="1977" spans="31:36">
      <c r="AE1977" s="15" t="str">
        <f t="shared" si="0"/>
        <v/>
      </c>
      <c r="AF1977" s="15" t="str">
        <f t="shared" si="1"/>
        <v/>
      </c>
      <c r="AG1977" s="15" t="str">
        <f>IF(OR(AF1977="",AF1977="ERRO_CHAVE"),"",IFERROR(MATCH(AF1977,'Quitados DUPP'!$U$1:$U$6635,0),""))</f>
        <v/>
      </c>
      <c r="AH1977" s="15" t="str">
        <f t="shared" si="2"/>
        <v/>
      </c>
      <c r="AI1977" s="17" t="str">
        <f>IF(AG1977="","",INDEX('Quitados DUPP'!$G$1:$G$6635,AG1977))</f>
        <v/>
      </c>
      <c r="AJ1977" s="17" t="str">
        <f t="shared" si="3"/>
        <v/>
      </c>
    </row>
    <row r="1978" spans="31:36">
      <c r="AE1978" s="15" t="str">
        <f t="shared" si="0"/>
        <v/>
      </c>
      <c r="AF1978" s="15" t="str">
        <f t="shared" si="1"/>
        <v/>
      </c>
      <c r="AG1978" s="15" t="str">
        <f>IF(OR(AF1978="",AF1978="ERRO_CHAVE"),"",IFERROR(MATCH(AF1978,'Quitados DUPP'!$U$1:$U$6635,0),""))</f>
        <v/>
      </c>
      <c r="AH1978" s="15" t="str">
        <f t="shared" si="2"/>
        <v/>
      </c>
      <c r="AI1978" s="17" t="str">
        <f>IF(AG1978="","",INDEX('Quitados DUPP'!$G$1:$G$6635,AG1978))</f>
        <v/>
      </c>
      <c r="AJ1978" s="17" t="str">
        <f t="shared" si="3"/>
        <v/>
      </c>
    </row>
    <row r="1979" spans="31:36">
      <c r="AE1979" s="15" t="str">
        <f t="shared" si="0"/>
        <v/>
      </c>
      <c r="AF1979" s="15" t="str">
        <f t="shared" si="1"/>
        <v/>
      </c>
      <c r="AG1979" s="15" t="str">
        <f>IF(OR(AF1979="",AF1979="ERRO_CHAVE"),"",IFERROR(MATCH(AF1979,'Quitados DUPP'!$U$1:$U$6635,0),""))</f>
        <v/>
      </c>
      <c r="AH1979" s="15" t="str">
        <f t="shared" si="2"/>
        <v/>
      </c>
      <c r="AI1979" s="17" t="str">
        <f>IF(AG1979="","",INDEX('Quitados DUPP'!$G$1:$G$6635,AG1979))</f>
        <v/>
      </c>
      <c r="AJ1979" s="17" t="str">
        <f t="shared" si="3"/>
        <v/>
      </c>
    </row>
    <row r="1980" spans="31:36">
      <c r="AE1980" s="15" t="str">
        <f t="shared" si="0"/>
        <v/>
      </c>
      <c r="AF1980" s="15" t="str">
        <f t="shared" si="1"/>
        <v/>
      </c>
      <c r="AG1980" s="15" t="str">
        <f>IF(OR(AF1980="",AF1980="ERRO_CHAVE"),"",IFERROR(MATCH(AF1980,'Quitados DUPP'!$U$1:$U$6635,0),""))</f>
        <v/>
      </c>
      <c r="AH1980" s="15" t="str">
        <f t="shared" si="2"/>
        <v/>
      </c>
      <c r="AI1980" s="17" t="str">
        <f>IF(AG1980="","",INDEX('Quitados DUPP'!$G$1:$G$6635,AG1980))</f>
        <v/>
      </c>
      <c r="AJ1980" s="17" t="str">
        <f t="shared" si="3"/>
        <v/>
      </c>
    </row>
    <row r="1981" spans="31:36">
      <c r="AE1981" s="15" t="str">
        <f t="shared" si="0"/>
        <v/>
      </c>
      <c r="AF1981" s="15" t="str">
        <f t="shared" si="1"/>
        <v/>
      </c>
      <c r="AG1981" s="15" t="str">
        <f>IF(OR(AF1981="",AF1981="ERRO_CHAVE"),"",IFERROR(MATCH(AF1981,'Quitados DUPP'!$U$1:$U$6635,0),""))</f>
        <v/>
      </c>
      <c r="AH1981" s="15" t="str">
        <f t="shared" si="2"/>
        <v/>
      </c>
      <c r="AI1981" s="17" t="str">
        <f>IF(AG1981="","",INDEX('Quitados DUPP'!$G$1:$G$6635,AG1981))</f>
        <v/>
      </c>
      <c r="AJ1981" s="17" t="str">
        <f t="shared" si="3"/>
        <v/>
      </c>
    </row>
    <row r="1982" spans="31:36">
      <c r="AE1982" s="15" t="str">
        <f t="shared" si="0"/>
        <v/>
      </c>
      <c r="AF1982" s="15" t="str">
        <f t="shared" si="1"/>
        <v/>
      </c>
      <c r="AG1982" s="15" t="str">
        <f>IF(OR(AF1982="",AF1982="ERRO_CHAVE"),"",IFERROR(MATCH(AF1982,'Quitados DUPP'!$U$1:$U$6635,0),""))</f>
        <v/>
      </c>
      <c r="AH1982" s="15" t="str">
        <f t="shared" si="2"/>
        <v/>
      </c>
      <c r="AI1982" s="17" t="str">
        <f>IF(AG1982="","",INDEX('Quitados DUPP'!$G$1:$G$6635,AG1982))</f>
        <v/>
      </c>
      <c r="AJ1982" s="17" t="str">
        <f t="shared" si="3"/>
        <v/>
      </c>
    </row>
    <row r="1983" spans="31:36">
      <c r="AE1983" s="15" t="str">
        <f t="shared" si="0"/>
        <v/>
      </c>
      <c r="AF1983" s="15" t="str">
        <f t="shared" si="1"/>
        <v/>
      </c>
      <c r="AG1983" s="15" t="str">
        <f>IF(OR(AF1983="",AF1983="ERRO_CHAVE"),"",IFERROR(MATCH(AF1983,'Quitados DUPP'!$U$1:$U$6635,0),""))</f>
        <v/>
      </c>
      <c r="AH1983" s="15" t="str">
        <f t="shared" si="2"/>
        <v/>
      </c>
      <c r="AI1983" s="17" t="str">
        <f>IF(AG1983="","",INDEX('Quitados DUPP'!$G$1:$G$6635,AG1983))</f>
        <v/>
      </c>
      <c r="AJ1983" s="17" t="str">
        <f t="shared" si="3"/>
        <v/>
      </c>
    </row>
    <row r="1984" spans="31:36">
      <c r="AE1984" s="15" t="str">
        <f t="shared" si="0"/>
        <v/>
      </c>
      <c r="AF1984" s="15" t="str">
        <f t="shared" si="1"/>
        <v/>
      </c>
      <c r="AG1984" s="15" t="str">
        <f>IF(OR(AF1984="",AF1984="ERRO_CHAVE"),"",IFERROR(MATCH(AF1984,'Quitados DUPP'!$U$1:$U$6635,0),""))</f>
        <v/>
      </c>
      <c r="AH1984" s="15" t="str">
        <f t="shared" si="2"/>
        <v/>
      </c>
      <c r="AI1984" s="17" t="str">
        <f>IF(AG1984="","",INDEX('Quitados DUPP'!$G$1:$G$6635,AG1984))</f>
        <v/>
      </c>
      <c r="AJ1984" s="17" t="str">
        <f t="shared" si="3"/>
        <v/>
      </c>
    </row>
    <row r="1985" spans="31:36">
      <c r="AE1985" s="15" t="str">
        <f t="shared" si="0"/>
        <v/>
      </c>
      <c r="AF1985" s="15" t="str">
        <f t="shared" si="1"/>
        <v/>
      </c>
      <c r="AG1985" s="15" t="str">
        <f>IF(OR(AF1985="",AF1985="ERRO_CHAVE"),"",IFERROR(MATCH(AF1985,'Quitados DUPP'!$U$1:$U$6635,0),""))</f>
        <v/>
      </c>
      <c r="AH1985" s="15" t="str">
        <f t="shared" si="2"/>
        <v/>
      </c>
      <c r="AI1985" s="17" t="str">
        <f>IF(AG1985="","",INDEX('Quitados DUPP'!$G$1:$G$6635,AG1985))</f>
        <v/>
      </c>
      <c r="AJ1985" s="17" t="str">
        <f t="shared" si="3"/>
        <v/>
      </c>
    </row>
    <row r="1986" spans="31:36">
      <c r="AE1986" s="15" t="str">
        <f t="shared" si="0"/>
        <v/>
      </c>
      <c r="AF1986" s="15" t="str">
        <f t="shared" si="1"/>
        <v/>
      </c>
      <c r="AG1986" s="15" t="str">
        <f>IF(OR(AF1986="",AF1986="ERRO_CHAVE"),"",IFERROR(MATCH(AF1986,'Quitados DUPP'!$U$1:$U$6635,0),""))</f>
        <v/>
      </c>
      <c r="AH1986" s="15" t="str">
        <f t="shared" si="2"/>
        <v/>
      </c>
      <c r="AI1986" s="17" t="str">
        <f>IF(AG1986="","",INDEX('Quitados DUPP'!$G$1:$G$6635,AG1986))</f>
        <v/>
      </c>
      <c r="AJ1986" s="17" t="str">
        <f t="shared" si="3"/>
        <v/>
      </c>
    </row>
    <row r="1987" spans="31:36">
      <c r="AE1987" s="15" t="str">
        <f t="shared" si="0"/>
        <v/>
      </c>
      <c r="AF1987" s="15" t="str">
        <f t="shared" si="1"/>
        <v/>
      </c>
      <c r="AG1987" s="15" t="str">
        <f>IF(OR(AF1987="",AF1987="ERRO_CHAVE"),"",IFERROR(MATCH(AF1987,'Quitados DUPP'!$U$1:$U$6635,0),""))</f>
        <v/>
      </c>
      <c r="AH1987" s="15" t="str">
        <f t="shared" si="2"/>
        <v/>
      </c>
      <c r="AI1987" s="17" t="str">
        <f>IF(AG1987="","",INDEX('Quitados DUPP'!$G$1:$G$6635,AG1987))</f>
        <v/>
      </c>
      <c r="AJ1987" s="17" t="str">
        <f t="shared" si="3"/>
        <v/>
      </c>
    </row>
    <row r="1988" spans="31:36">
      <c r="AE1988" s="15" t="str">
        <f t="shared" si="0"/>
        <v/>
      </c>
      <c r="AF1988" s="15" t="str">
        <f t="shared" si="1"/>
        <v/>
      </c>
      <c r="AG1988" s="15" t="str">
        <f>IF(OR(AF1988="",AF1988="ERRO_CHAVE"),"",IFERROR(MATCH(AF1988,'Quitados DUPP'!$U$1:$U$6635,0),""))</f>
        <v/>
      </c>
      <c r="AH1988" s="15" t="str">
        <f t="shared" si="2"/>
        <v/>
      </c>
      <c r="AI1988" s="17" t="str">
        <f>IF(AG1988="","",INDEX('Quitados DUPP'!$G$1:$G$6635,AG1988))</f>
        <v/>
      </c>
      <c r="AJ1988" s="17" t="str">
        <f t="shared" si="3"/>
        <v/>
      </c>
    </row>
    <row r="1989" spans="31:36">
      <c r="AE1989" s="15" t="str">
        <f t="shared" si="0"/>
        <v/>
      </c>
      <c r="AF1989" s="15" t="str">
        <f t="shared" si="1"/>
        <v/>
      </c>
      <c r="AG1989" s="15" t="str">
        <f>IF(OR(AF1989="",AF1989="ERRO_CHAVE"),"",IFERROR(MATCH(AF1989,'Quitados DUPP'!$U$1:$U$6635,0),""))</f>
        <v/>
      </c>
      <c r="AH1989" s="15" t="str">
        <f t="shared" si="2"/>
        <v/>
      </c>
      <c r="AI1989" s="17" t="str">
        <f>IF(AG1989="","",INDEX('Quitados DUPP'!$G$1:$G$6635,AG1989))</f>
        <v/>
      </c>
      <c r="AJ1989" s="17" t="str">
        <f t="shared" si="3"/>
        <v/>
      </c>
    </row>
    <row r="1990" spans="31:36">
      <c r="AE1990" s="15" t="str">
        <f t="shared" si="0"/>
        <v/>
      </c>
      <c r="AF1990" s="15" t="str">
        <f t="shared" si="1"/>
        <v/>
      </c>
      <c r="AG1990" s="15" t="str">
        <f>IF(OR(AF1990="",AF1990="ERRO_CHAVE"),"",IFERROR(MATCH(AF1990,'Quitados DUPP'!$U$1:$U$6635,0),""))</f>
        <v/>
      </c>
      <c r="AH1990" s="15" t="str">
        <f t="shared" si="2"/>
        <v/>
      </c>
      <c r="AI1990" s="17" t="str">
        <f>IF(AG1990="","",INDEX('Quitados DUPP'!$G$1:$G$6635,AG1990))</f>
        <v/>
      </c>
      <c r="AJ1990" s="17" t="str">
        <f t="shared" si="3"/>
        <v/>
      </c>
    </row>
    <row r="1991" spans="31:36">
      <c r="AE1991" s="15" t="str">
        <f t="shared" si="0"/>
        <v/>
      </c>
      <c r="AF1991" s="15" t="str">
        <f t="shared" si="1"/>
        <v/>
      </c>
      <c r="AG1991" s="15" t="str">
        <f>IF(OR(AF1991="",AF1991="ERRO_CHAVE"),"",IFERROR(MATCH(AF1991,'Quitados DUPP'!$U$1:$U$6635,0),""))</f>
        <v/>
      </c>
      <c r="AH1991" s="15" t="str">
        <f t="shared" si="2"/>
        <v/>
      </c>
      <c r="AI1991" s="17" t="str">
        <f>IF(AG1991="","",INDEX('Quitados DUPP'!$G$1:$G$6635,AG1991))</f>
        <v/>
      </c>
      <c r="AJ1991" s="17" t="str">
        <f t="shared" si="3"/>
        <v/>
      </c>
    </row>
    <row r="1992" spans="31:36">
      <c r="AE1992" s="15" t="str">
        <f t="shared" si="0"/>
        <v/>
      </c>
      <c r="AF1992" s="15" t="str">
        <f t="shared" si="1"/>
        <v/>
      </c>
      <c r="AG1992" s="15" t="str">
        <f>IF(OR(AF1992="",AF1992="ERRO_CHAVE"),"",IFERROR(MATCH(AF1992,'Quitados DUPP'!$U$1:$U$6635,0),""))</f>
        <v/>
      </c>
      <c r="AH1992" s="15" t="str">
        <f t="shared" si="2"/>
        <v/>
      </c>
      <c r="AI1992" s="17" t="str">
        <f>IF(AG1992="","",INDEX('Quitados DUPP'!$G$1:$G$6635,AG1992))</f>
        <v/>
      </c>
      <c r="AJ1992" s="17" t="str">
        <f t="shared" si="3"/>
        <v/>
      </c>
    </row>
    <row r="1993" spans="31:36">
      <c r="AE1993" s="15" t="str">
        <f t="shared" si="0"/>
        <v/>
      </c>
      <c r="AF1993" s="15" t="str">
        <f t="shared" si="1"/>
        <v/>
      </c>
      <c r="AG1993" s="15" t="str">
        <f>IF(OR(AF1993="",AF1993="ERRO_CHAVE"),"",IFERROR(MATCH(AF1993,'Quitados DUPP'!$U$1:$U$6635,0),""))</f>
        <v/>
      </c>
      <c r="AH1993" s="15" t="str">
        <f t="shared" si="2"/>
        <v/>
      </c>
      <c r="AI1993" s="17" t="str">
        <f>IF(AG1993="","",INDEX('Quitados DUPP'!$G$1:$G$6635,AG1993))</f>
        <v/>
      </c>
      <c r="AJ1993" s="17" t="str">
        <f t="shared" si="3"/>
        <v/>
      </c>
    </row>
    <row r="1994" spans="31:36">
      <c r="AE1994" s="15" t="str">
        <f t="shared" si="0"/>
        <v/>
      </c>
      <c r="AF1994" s="15" t="str">
        <f t="shared" si="1"/>
        <v/>
      </c>
      <c r="AG1994" s="15" t="str">
        <f>IF(OR(AF1994="",AF1994="ERRO_CHAVE"),"",IFERROR(MATCH(AF1994,'Quitados DUPP'!$U$1:$U$6635,0),""))</f>
        <v/>
      </c>
      <c r="AH1994" s="15" t="str">
        <f t="shared" si="2"/>
        <v/>
      </c>
      <c r="AI1994" s="17" t="str">
        <f>IF(AG1994="","",INDEX('Quitados DUPP'!$G$1:$G$6635,AG1994))</f>
        <v/>
      </c>
      <c r="AJ1994" s="17" t="str">
        <f t="shared" si="3"/>
        <v/>
      </c>
    </row>
    <row r="1995" spans="31:36">
      <c r="AE1995" s="15" t="str">
        <f t="shared" si="0"/>
        <v/>
      </c>
      <c r="AF1995" s="15" t="str">
        <f t="shared" si="1"/>
        <v/>
      </c>
      <c r="AG1995" s="15" t="str">
        <f>IF(OR(AF1995="",AF1995="ERRO_CHAVE"),"",IFERROR(MATCH(AF1995,'Quitados DUPP'!$U$1:$U$6635,0),""))</f>
        <v/>
      </c>
      <c r="AH1995" s="15" t="str">
        <f t="shared" si="2"/>
        <v/>
      </c>
      <c r="AI1995" s="17" t="str">
        <f>IF(AG1995="","",INDEX('Quitados DUPP'!$G$1:$G$6635,AG1995))</f>
        <v/>
      </c>
      <c r="AJ1995" s="17" t="str">
        <f t="shared" si="3"/>
        <v/>
      </c>
    </row>
    <row r="1996" spans="31:36">
      <c r="AE1996" s="15" t="str">
        <f t="shared" si="0"/>
        <v/>
      </c>
      <c r="AF1996" s="15" t="str">
        <f t="shared" si="1"/>
        <v/>
      </c>
      <c r="AG1996" s="15" t="str">
        <f>IF(OR(AF1996="",AF1996="ERRO_CHAVE"),"",IFERROR(MATCH(AF1996,'Quitados DUPP'!$U$1:$U$6635,0),""))</f>
        <v/>
      </c>
      <c r="AH1996" s="15" t="str">
        <f t="shared" si="2"/>
        <v/>
      </c>
      <c r="AI1996" s="17" t="str">
        <f>IF(AG1996="","",INDEX('Quitados DUPP'!$G$1:$G$6635,AG1996))</f>
        <v/>
      </c>
      <c r="AJ1996" s="17" t="str">
        <f t="shared" si="3"/>
        <v/>
      </c>
    </row>
    <row r="1997" spans="31:36">
      <c r="AE1997" s="15" t="str">
        <f t="shared" si="0"/>
        <v/>
      </c>
      <c r="AF1997" s="15" t="str">
        <f t="shared" si="1"/>
        <v/>
      </c>
      <c r="AG1997" s="15" t="str">
        <f>IF(OR(AF1997="",AF1997="ERRO_CHAVE"),"",IFERROR(MATCH(AF1997,'Quitados DUPP'!$U$1:$U$6635,0),""))</f>
        <v/>
      </c>
      <c r="AH1997" s="15" t="str">
        <f t="shared" si="2"/>
        <v/>
      </c>
      <c r="AI1997" s="17" t="str">
        <f>IF(AG1997="","",INDEX('Quitados DUPP'!$G$1:$G$6635,AG1997))</f>
        <v/>
      </c>
      <c r="AJ1997" s="17" t="str">
        <f t="shared" si="3"/>
        <v/>
      </c>
    </row>
    <row r="1998" spans="31:36">
      <c r="AE1998" s="15" t="str">
        <f t="shared" si="0"/>
        <v/>
      </c>
      <c r="AF1998" s="15" t="str">
        <f t="shared" si="1"/>
        <v/>
      </c>
      <c r="AG1998" s="15" t="str">
        <f>IF(OR(AF1998="",AF1998="ERRO_CHAVE"),"",IFERROR(MATCH(AF1998,'Quitados DUPP'!$U$1:$U$6635,0),""))</f>
        <v/>
      </c>
      <c r="AH1998" s="15" t="str">
        <f t="shared" si="2"/>
        <v/>
      </c>
      <c r="AI1998" s="17" t="str">
        <f>IF(AG1998="","",INDEX('Quitados DUPP'!$G$1:$G$6635,AG1998))</f>
        <v/>
      </c>
      <c r="AJ1998" s="17" t="str">
        <f t="shared" si="3"/>
        <v/>
      </c>
    </row>
    <row r="1999" spans="31:36">
      <c r="AE1999" s="15" t="str">
        <f t="shared" si="0"/>
        <v/>
      </c>
      <c r="AF1999" s="15" t="str">
        <f t="shared" si="1"/>
        <v/>
      </c>
      <c r="AG1999" s="15" t="str">
        <f>IF(OR(AF1999="",AF1999="ERRO_CHAVE"),"",IFERROR(MATCH(AF1999,'Quitados DUPP'!$U$1:$U$6635,0),""))</f>
        <v/>
      </c>
      <c r="AH1999" s="15" t="str">
        <f t="shared" si="2"/>
        <v/>
      </c>
      <c r="AI1999" s="17" t="str">
        <f>IF(AG1999="","",INDEX('Quitados DUPP'!$G$1:$G$6635,AG1999))</f>
        <v/>
      </c>
      <c r="AJ1999" s="17" t="str">
        <f t="shared" si="3"/>
        <v/>
      </c>
    </row>
    <row r="2000" spans="31:36">
      <c r="AE2000" s="15" t="str">
        <f t="shared" si="0"/>
        <v/>
      </c>
      <c r="AF2000" s="15" t="str">
        <f t="shared" si="1"/>
        <v/>
      </c>
      <c r="AG2000" s="15" t="str">
        <f>IF(OR(AF2000="",AF2000="ERRO_CHAVE"),"",IFERROR(MATCH(AF2000,'Quitados DUPP'!$U$1:$U$6635,0),""))</f>
        <v/>
      </c>
      <c r="AH2000" s="15" t="str">
        <f t="shared" si="2"/>
        <v/>
      </c>
      <c r="AI2000" s="17" t="str">
        <f>IF(AG2000="","",INDEX('Quitados DUPP'!$G$1:$G$6635,AG2000))</f>
        <v/>
      </c>
      <c r="AJ2000" s="17" t="str">
        <f t="shared" si="3"/>
        <v/>
      </c>
    </row>
    <row r="2001" spans="31:36">
      <c r="AE2001" s="15" t="str">
        <f t="shared" si="0"/>
        <v/>
      </c>
      <c r="AF2001" s="15" t="str">
        <f t="shared" si="1"/>
        <v/>
      </c>
      <c r="AG2001" s="15" t="str">
        <f>IF(OR(AF2001="",AF2001="ERRO_CHAVE"),"",IFERROR(MATCH(AF2001,'Quitados DUPP'!$U$1:$U$6635,0),""))</f>
        <v/>
      </c>
      <c r="AH2001" s="15" t="str">
        <f t="shared" si="2"/>
        <v/>
      </c>
      <c r="AI2001" s="17" t="str">
        <f>IF(AG2001="","",INDEX('Quitados DUPP'!$G$1:$G$6635,AG2001))</f>
        <v/>
      </c>
      <c r="AJ2001" s="17" t="str">
        <f t="shared" si="3"/>
        <v/>
      </c>
    </row>
    <row r="2002" spans="31:36">
      <c r="AE2002" s="15" t="str">
        <f t="shared" si="0"/>
        <v/>
      </c>
      <c r="AF2002" s="15" t="str">
        <f t="shared" si="1"/>
        <v/>
      </c>
      <c r="AG2002" s="15" t="str">
        <f>IF(OR(AF2002="",AF2002="ERRO_CHAVE"),"",IFERROR(MATCH(AF2002,'Quitados DUPP'!$U$1:$U$6635,0),""))</f>
        <v/>
      </c>
      <c r="AH2002" s="15" t="str">
        <f t="shared" si="2"/>
        <v/>
      </c>
      <c r="AI2002" s="17" t="str">
        <f>IF(AG2002="","",INDEX('Quitados DUPP'!$G$1:$G$6635,AG2002))</f>
        <v/>
      </c>
      <c r="AJ2002" s="17" t="str">
        <f t="shared" si="3"/>
        <v/>
      </c>
    </row>
    <row r="2003" spans="31:36">
      <c r="AE2003" s="15" t="str">
        <f t="shared" si="0"/>
        <v/>
      </c>
      <c r="AF2003" s="15" t="str">
        <f t="shared" si="1"/>
        <v/>
      </c>
      <c r="AG2003" s="15" t="str">
        <f>IF(OR(AF2003="",AF2003="ERRO_CHAVE"),"",IFERROR(MATCH(AF2003,'Quitados DUPP'!$U$1:$U$6635,0),""))</f>
        <v/>
      </c>
      <c r="AH2003" s="15" t="str">
        <f t="shared" si="2"/>
        <v/>
      </c>
      <c r="AI2003" s="17" t="str">
        <f>IF(AG2003="","",INDEX('Quitados DUPP'!$G$1:$G$6635,AG2003))</f>
        <v/>
      </c>
      <c r="AJ2003" s="17" t="str">
        <f t="shared" si="3"/>
        <v/>
      </c>
    </row>
    <row r="2004" spans="31:36">
      <c r="AE2004" s="15" t="str">
        <f t="shared" si="0"/>
        <v/>
      </c>
      <c r="AF2004" s="15" t="str">
        <f t="shared" si="1"/>
        <v/>
      </c>
      <c r="AG2004" s="15" t="str">
        <f>IF(OR(AF2004="",AF2004="ERRO_CHAVE"),"",IFERROR(MATCH(AF2004,'Quitados DUPP'!$U$1:$U$6635,0),""))</f>
        <v/>
      </c>
      <c r="AH2004" s="15" t="str">
        <f t="shared" si="2"/>
        <v/>
      </c>
      <c r="AI2004" s="17" t="str">
        <f>IF(AG2004="","",INDEX('Quitados DUPP'!$G$1:$G$6635,AG2004))</f>
        <v/>
      </c>
      <c r="AJ2004" s="17" t="str">
        <f t="shared" si="3"/>
        <v/>
      </c>
    </row>
    <row r="2005" spans="31:36">
      <c r="AE2005" s="15" t="str">
        <f t="shared" si="0"/>
        <v/>
      </c>
      <c r="AF2005" s="15" t="str">
        <f t="shared" si="1"/>
        <v/>
      </c>
      <c r="AG2005" s="15" t="str">
        <f>IF(OR(AF2005="",AF2005="ERRO_CHAVE"),"",IFERROR(MATCH(AF2005,'Quitados DUPP'!$U$1:$U$6635,0),""))</f>
        <v/>
      </c>
      <c r="AH2005" s="15" t="str">
        <f t="shared" si="2"/>
        <v/>
      </c>
      <c r="AI2005" s="17" t="str">
        <f>IF(AG2005="","",INDEX('Quitados DUPP'!$G$1:$G$6635,AG2005))</f>
        <v/>
      </c>
      <c r="AJ2005" s="17" t="str">
        <f t="shared" si="3"/>
        <v/>
      </c>
    </row>
    <row r="2006" spans="31:36">
      <c r="AE2006" s="15" t="str">
        <f t="shared" si="0"/>
        <v/>
      </c>
      <c r="AF2006" s="15" t="str">
        <f t="shared" si="1"/>
        <v/>
      </c>
      <c r="AG2006" s="15" t="str">
        <f>IF(OR(AF2006="",AF2006="ERRO_CHAVE"),"",IFERROR(MATCH(AF2006,'Quitados DUPP'!$U$1:$U$6635,0),""))</f>
        <v/>
      </c>
      <c r="AH2006" s="15" t="str">
        <f t="shared" si="2"/>
        <v/>
      </c>
      <c r="AI2006" s="17" t="str">
        <f>IF(AG2006="","",INDEX('Quitados DUPP'!$G$1:$G$6635,AG2006))</f>
        <v/>
      </c>
      <c r="AJ2006" s="17" t="str">
        <f t="shared" si="3"/>
        <v/>
      </c>
    </row>
    <row r="2007" spans="31:36">
      <c r="AE2007" s="15" t="str">
        <f t="shared" si="0"/>
        <v/>
      </c>
      <c r="AF2007" s="15" t="str">
        <f t="shared" si="1"/>
        <v/>
      </c>
      <c r="AG2007" s="15" t="str">
        <f>IF(OR(AF2007="",AF2007="ERRO_CHAVE"),"",IFERROR(MATCH(AF2007,'Quitados DUPP'!$U$1:$U$6635,0),""))</f>
        <v/>
      </c>
      <c r="AH2007" s="15" t="str">
        <f t="shared" si="2"/>
        <v/>
      </c>
      <c r="AI2007" s="17" t="str">
        <f>IF(AG2007="","",INDEX('Quitados DUPP'!$G$1:$G$6635,AG2007))</f>
        <v/>
      </c>
      <c r="AJ2007" s="17" t="str">
        <f t="shared" si="3"/>
        <v/>
      </c>
    </row>
    <row r="2008" spans="31:36">
      <c r="AE2008" s="15" t="str">
        <f t="shared" si="0"/>
        <v/>
      </c>
      <c r="AF2008" s="15" t="str">
        <f t="shared" si="1"/>
        <v/>
      </c>
      <c r="AG2008" s="15" t="str">
        <f>IF(OR(AF2008="",AF2008="ERRO_CHAVE"),"",IFERROR(MATCH(AF2008,'Quitados DUPP'!$U$1:$U$6635,0),""))</f>
        <v/>
      </c>
      <c r="AH2008" s="15" t="str">
        <f t="shared" si="2"/>
        <v/>
      </c>
      <c r="AI2008" s="17" t="str">
        <f>IF(AG2008="","",INDEX('Quitados DUPP'!$G$1:$G$6635,AG2008))</f>
        <v/>
      </c>
      <c r="AJ2008" s="17" t="str">
        <f t="shared" si="3"/>
        <v/>
      </c>
    </row>
    <row r="2009" spans="31:36">
      <c r="AE2009" s="15" t="str">
        <f t="shared" si="0"/>
        <v/>
      </c>
      <c r="AF2009" s="15" t="str">
        <f t="shared" si="1"/>
        <v/>
      </c>
      <c r="AG2009" s="15" t="str">
        <f>IF(OR(AF2009="",AF2009="ERRO_CHAVE"),"",IFERROR(MATCH(AF2009,'Quitados DUPP'!$U$1:$U$6635,0),""))</f>
        <v/>
      </c>
      <c r="AH2009" s="15" t="str">
        <f t="shared" si="2"/>
        <v/>
      </c>
      <c r="AI2009" s="17" t="str">
        <f>IF(AG2009="","",INDEX('Quitados DUPP'!$G$1:$G$6635,AG2009))</f>
        <v/>
      </c>
      <c r="AJ2009" s="17" t="str">
        <f t="shared" si="3"/>
        <v/>
      </c>
    </row>
    <row r="2010" spans="31:36">
      <c r="AE2010" s="15" t="str">
        <f t="shared" si="0"/>
        <v/>
      </c>
      <c r="AF2010" s="15" t="str">
        <f t="shared" si="1"/>
        <v/>
      </c>
      <c r="AG2010" s="15" t="str">
        <f>IF(OR(AF2010="",AF2010="ERRO_CHAVE"),"",IFERROR(MATCH(AF2010,'Quitados DUPP'!$U$1:$U$6635,0),""))</f>
        <v/>
      </c>
      <c r="AH2010" s="15" t="str">
        <f t="shared" si="2"/>
        <v/>
      </c>
      <c r="AI2010" s="17" t="str">
        <f>IF(AG2010="","",INDEX('Quitados DUPP'!$G$1:$G$6635,AG2010))</f>
        <v/>
      </c>
      <c r="AJ2010" s="17" t="str">
        <f t="shared" si="3"/>
        <v/>
      </c>
    </row>
    <row r="2011" spans="31:36">
      <c r="AE2011" s="15" t="str">
        <f t="shared" si="0"/>
        <v/>
      </c>
      <c r="AF2011" s="15" t="str">
        <f t="shared" si="1"/>
        <v/>
      </c>
      <c r="AG2011" s="15" t="str">
        <f>IF(OR(AF2011="",AF2011="ERRO_CHAVE"),"",IFERROR(MATCH(AF2011,'Quitados DUPP'!$U$1:$U$6635,0),""))</f>
        <v/>
      </c>
      <c r="AH2011" s="15" t="str">
        <f t="shared" si="2"/>
        <v/>
      </c>
      <c r="AI2011" s="17" t="str">
        <f>IF(AG2011="","",INDEX('Quitados DUPP'!$G$1:$G$6635,AG2011))</f>
        <v/>
      </c>
      <c r="AJ2011" s="17" t="str">
        <f t="shared" si="3"/>
        <v/>
      </c>
    </row>
    <row r="2012" spans="31:36">
      <c r="AE2012" s="15" t="str">
        <f t="shared" si="0"/>
        <v/>
      </c>
      <c r="AF2012" s="15" t="str">
        <f t="shared" si="1"/>
        <v/>
      </c>
      <c r="AG2012" s="15" t="str">
        <f>IF(OR(AF2012="",AF2012="ERRO_CHAVE"),"",IFERROR(MATCH(AF2012,'Quitados DUPP'!$U$1:$U$6635,0),""))</f>
        <v/>
      </c>
      <c r="AH2012" s="15" t="str">
        <f t="shared" si="2"/>
        <v/>
      </c>
      <c r="AI2012" s="17" t="str">
        <f>IF(AG2012="","",INDEX('Quitados DUPP'!$G$1:$G$6635,AG2012))</f>
        <v/>
      </c>
      <c r="AJ2012" s="17" t="str">
        <f t="shared" si="3"/>
        <v/>
      </c>
    </row>
    <row r="2013" spans="31:36">
      <c r="AE2013" s="15" t="str">
        <f t="shared" si="0"/>
        <v/>
      </c>
      <c r="AF2013" s="15" t="str">
        <f t="shared" si="1"/>
        <v/>
      </c>
      <c r="AG2013" s="15" t="str">
        <f>IF(OR(AF2013="",AF2013="ERRO_CHAVE"),"",IFERROR(MATCH(AF2013,'Quitados DUPP'!$U$1:$U$6635,0),""))</f>
        <v/>
      </c>
      <c r="AH2013" s="15" t="str">
        <f t="shared" si="2"/>
        <v/>
      </c>
      <c r="AI2013" s="17" t="str">
        <f>IF(AG2013="","",INDEX('Quitados DUPP'!$G$1:$G$6635,AG2013))</f>
        <v/>
      </c>
      <c r="AJ2013" s="17" t="str">
        <f t="shared" si="3"/>
        <v/>
      </c>
    </row>
    <row r="2014" spans="31:36">
      <c r="AE2014" s="15" t="str">
        <f t="shared" si="0"/>
        <v/>
      </c>
      <c r="AF2014" s="15" t="str">
        <f t="shared" si="1"/>
        <v/>
      </c>
      <c r="AG2014" s="15" t="str">
        <f>IF(OR(AF2014="",AF2014="ERRO_CHAVE"),"",IFERROR(MATCH(AF2014,'Quitados DUPP'!$U$1:$U$6635,0),""))</f>
        <v/>
      </c>
      <c r="AH2014" s="15" t="str">
        <f t="shared" si="2"/>
        <v/>
      </c>
      <c r="AI2014" s="17" t="str">
        <f>IF(AG2014="","",INDEX('Quitados DUPP'!$G$1:$G$6635,AG2014))</f>
        <v/>
      </c>
      <c r="AJ2014" s="17" t="str">
        <f t="shared" si="3"/>
        <v/>
      </c>
    </row>
    <row r="2015" spans="31:36">
      <c r="AE2015" s="15" t="str">
        <f t="shared" si="0"/>
        <v/>
      </c>
      <c r="AF2015" s="15" t="str">
        <f t="shared" si="1"/>
        <v/>
      </c>
      <c r="AG2015" s="15" t="str">
        <f>IF(OR(AF2015="",AF2015="ERRO_CHAVE"),"",IFERROR(MATCH(AF2015,'Quitados DUPP'!$U$1:$U$6635,0),""))</f>
        <v/>
      </c>
      <c r="AH2015" s="15" t="str">
        <f t="shared" si="2"/>
        <v/>
      </c>
      <c r="AI2015" s="17" t="str">
        <f>IF(AG2015="","",INDEX('Quitados DUPP'!$G$1:$G$6635,AG2015))</f>
        <v/>
      </c>
      <c r="AJ2015" s="17" t="str">
        <f t="shared" si="3"/>
        <v/>
      </c>
    </row>
    <row r="2016" spans="31:36">
      <c r="AE2016" s="15" t="str">
        <f t="shared" si="0"/>
        <v/>
      </c>
      <c r="AF2016" s="15" t="str">
        <f t="shared" si="1"/>
        <v/>
      </c>
      <c r="AG2016" s="15" t="str">
        <f>IF(OR(AF2016="",AF2016="ERRO_CHAVE"),"",IFERROR(MATCH(AF2016,'Quitados DUPP'!$U$1:$U$6635,0),""))</f>
        <v/>
      </c>
      <c r="AH2016" s="15" t="str">
        <f t="shared" si="2"/>
        <v/>
      </c>
      <c r="AI2016" s="17" t="str">
        <f>IF(AG2016="","",INDEX('Quitados DUPP'!$G$1:$G$6635,AG2016))</f>
        <v/>
      </c>
      <c r="AJ2016" s="17" t="str">
        <f t="shared" si="3"/>
        <v/>
      </c>
    </row>
    <row r="2017" spans="31:36">
      <c r="AE2017" s="15" t="str">
        <f t="shared" si="0"/>
        <v/>
      </c>
      <c r="AF2017" s="15" t="str">
        <f t="shared" si="1"/>
        <v/>
      </c>
      <c r="AG2017" s="15" t="str">
        <f>IF(OR(AF2017="",AF2017="ERRO_CHAVE"),"",IFERROR(MATCH(AF2017,'Quitados DUPP'!$U$1:$U$6635,0),""))</f>
        <v/>
      </c>
      <c r="AH2017" s="15" t="str">
        <f t="shared" si="2"/>
        <v/>
      </c>
      <c r="AI2017" s="17" t="str">
        <f>IF(AG2017="","",INDEX('Quitados DUPP'!$G$1:$G$6635,AG2017))</f>
        <v/>
      </c>
      <c r="AJ2017" s="17" t="str">
        <f t="shared" si="3"/>
        <v/>
      </c>
    </row>
    <row r="2018" spans="31:36">
      <c r="AE2018" s="15" t="str">
        <f t="shared" si="0"/>
        <v/>
      </c>
      <c r="AF2018" s="15" t="str">
        <f t="shared" si="1"/>
        <v/>
      </c>
      <c r="AG2018" s="15" t="str">
        <f>IF(OR(AF2018="",AF2018="ERRO_CHAVE"),"",IFERROR(MATCH(AF2018,'Quitados DUPP'!$U$1:$U$6635,0),""))</f>
        <v/>
      </c>
      <c r="AH2018" s="15" t="str">
        <f t="shared" si="2"/>
        <v/>
      </c>
      <c r="AI2018" s="17" t="str">
        <f>IF(AG2018="","",INDEX('Quitados DUPP'!$G$1:$G$6635,AG2018))</f>
        <v/>
      </c>
      <c r="AJ2018" s="17" t="str">
        <f t="shared" si="3"/>
        <v/>
      </c>
    </row>
    <row r="2019" spans="31:36">
      <c r="AE2019" s="15" t="str">
        <f t="shared" si="0"/>
        <v/>
      </c>
      <c r="AF2019" s="15" t="str">
        <f t="shared" si="1"/>
        <v/>
      </c>
      <c r="AG2019" s="15" t="str">
        <f>IF(OR(AF2019="",AF2019="ERRO_CHAVE"),"",IFERROR(MATCH(AF2019,'Quitados DUPP'!$U$1:$U$6635,0),""))</f>
        <v/>
      </c>
      <c r="AH2019" s="15" t="str">
        <f t="shared" si="2"/>
        <v/>
      </c>
      <c r="AI2019" s="17" t="str">
        <f>IF(AG2019="","",INDEX('Quitados DUPP'!$G$1:$G$6635,AG2019))</f>
        <v/>
      </c>
      <c r="AJ2019" s="17" t="str">
        <f t="shared" si="3"/>
        <v/>
      </c>
    </row>
    <row r="2020" spans="31:36">
      <c r="AE2020" s="15" t="str">
        <f t="shared" si="0"/>
        <v/>
      </c>
      <c r="AF2020" s="15" t="str">
        <f t="shared" si="1"/>
        <v/>
      </c>
      <c r="AG2020" s="15" t="str">
        <f>IF(OR(AF2020="",AF2020="ERRO_CHAVE"),"",IFERROR(MATCH(AF2020,'Quitados DUPP'!$U$1:$U$6635,0),""))</f>
        <v/>
      </c>
      <c r="AH2020" s="15" t="str">
        <f t="shared" si="2"/>
        <v/>
      </c>
      <c r="AI2020" s="17" t="str">
        <f>IF(AG2020="","",INDEX('Quitados DUPP'!$G$1:$G$6635,AG2020))</f>
        <v/>
      </c>
      <c r="AJ2020" s="17" t="str">
        <f t="shared" si="3"/>
        <v/>
      </c>
    </row>
    <row r="2021" spans="31:36">
      <c r="AE2021" s="15" t="str">
        <f t="shared" si="0"/>
        <v/>
      </c>
      <c r="AF2021" s="15" t="str">
        <f t="shared" si="1"/>
        <v/>
      </c>
      <c r="AG2021" s="15" t="str">
        <f>IF(OR(AF2021="",AF2021="ERRO_CHAVE"),"",IFERROR(MATCH(AF2021,'Quitados DUPP'!$U$1:$U$6635,0),""))</f>
        <v/>
      </c>
      <c r="AH2021" s="15" t="str">
        <f t="shared" si="2"/>
        <v/>
      </c>
      <c r="AI2021" s="17" t="str">
        <f>IF(AG2021="","",INDEX('Quitados DUPP'!$G$1:$G$6635,AG2021))</f>
        <v/>
      </c>
      <c r="AJ2021" s="17" t="str">
        <f t="shared" si="3"/>
        <v/>
      </c>
    </row>
    <row r="2022" spans="31:36">
      <c r="AE2022" s="15" t="str">
        <f t="shared" si="0"/>
        <v/>
      </c>
      <c r="AF2022" s="15" t="str">
        <f t="shared" si="1"/>
        <v/>
      </c>
      <c r="AG2022" s="15" t="str">
        <f>IF(OR(AF2022="",AF2022="ERRO_CHAVE"),"",IFERROR(MATCH(AF2022,'Quitados DUPP'!$U$1:$U$6635,0),""))</f>
        <v/>
      </c>
      <c r="AH2022" s="15" t="str">
        <f t="shared" si="2"/>
        <v/>
      </c>
      <c r="AI2022" s="17" t="str">
        <f>IF(AG2022="","",INDEX('Quitados DUPP'!$G$1:$G$6635,AG2022))</f>
        <v/>
      </c>
      <c r="AJ2022" s="17" t="str">
        <f t="shared" si="3"/>
        <v/>
      </c>
    </row>
    <row r="2023" spans="31:36">
      <c r="AE2023" s="15" t="str">
        <f t="shared" si="0"/>
        <v/>
      </c>
      <c r="AF2023" s="15" t="str">
        <f t="shared" si="1"/>
        <v/>
      </c>
      <c r="AG2023" s="15" t="str">
        <f>IF(OR(AF2023="",AF2023="ERRO_CHAVE"),"",IFERROR(MATCH(AF2023,'Quitados DUPP'!$U$1:$U$6635,0),""))</f>
        <v/>
      </c>
      <c r="AH2023" s="15" t="str">
        <f t="shared" si="2"/>
        <v/>
      </c>
      <c r="AI2023" s="17" t="str">
        <f>IF(AG2023="","",INDEX('Quitados DUPP'!$G$1:$G$6635,AG2023))</f>
        <v/>
      </c>
      <c r="AJ2023" s="17" t="str">
        <f t="shared" si="3"/>
        <v/>
      </c>
    </row>
    <row r="2024" spans="31:36">
      <c r="AE2024" s="15" t="str">
        <f t="shared" si="0"/>
        <v/>
      </c>
      <c r="AF2024" s="15" t="str">
        <f t="shared" si="1"/>
        <v/>
      </c>
      <c r="AG2024" s="15" t="str">
        <f>IF(OR(AF2024="",AF2024="ERRO_CHAVE"),"",IFERROR(MATCH(AF2024,'Quitados DUPP'!$U$1:$U$6635,0),""))</f>
        <v/>
      </c>
      <c r="AH2024" s="15" t="str">
        <f t="shared" si="2"/>
        <v/>
      </c>
      <c r="AI2024" s="17" t="str">
        <f>IF(AG2024="","",INDEX('Quitados DUPP'!$G$1:$G$6635,AG2024))</f>
        <v/>
      </c>
      <c r="AJ2024" s="17" t="str">
        <f t="shared" si="3"/>
        <v/>
      </c>
    </row>
    <row r="2025" spans="31:36">
      <c r="AE2025" s="15" t="str">
        <f t="shared" si="0"/>
        <v/>
      </c>
      <c r="AF2025" s="15" t="str">
        <f t="shared" si="1"/>
        <v/>
      </c>
      <c r="AG2025" s="15" t="str">
        <f>IF(OR(AF2025="",AF2025="ERRO_CHAVE"),"",IFERROR(MATCH(AF2025,'Quitados DUPP'!$U$1:$U$6635,0),""))</f>
        <v/>
      </c>
      <c r="AH2025" s="15" t="str">
        <f t="shared" si="2"/>
        <v/>
      </c>
      <c r="AI2025" s="17" t="str">
        <f>IF(AG2025="","",INDEX('Quitados DUPP'!$G$1:$G$6635,AG2025))</f>
        <v/>
      </c>
      <c r="AJ2025" s="17" t="str">
        <f t="shared" si="3"/>
        <v/>
      </c>
    </row>
    <row r="2026" spans="31:36">
      <c r="AE2026" s="15" t="str">
        <f t="shared" si="0"/>
        <v/>
      </c>
      <c r="AF2026" s="15" t="str">
        <f t="shared" si="1"/>
        <v/>
      </c>
      <c r="AG2026" s="15" t="str">
        <f>IF(OR(AF2026="",AF2026="ERRO_CHAVE"),"",IFERROR(MATCH(AF2026,'Quitados DUPP'!$U$1:$U$6635,0),""))</f>
        <v/>
      </c>
      <c r="AH2026" s="15" t="str">
        <f t="shared" si="2"/>
        <v/>
      </c>
      <c r="AI2026" s="17" t="str">
        <f>IF(AG2026="","",INDEX('Quitados DUPP'!$G$1:$G$6635,AG2026))</f>
        <v/>
      </c>
      <c r="AJ2026" s="17" t="str">
        <f t="shared" si="3"/>
        <v/>
      </c>
    </row>
    <row r="2027" spans="31:36">
      <c r="AE2027" s="15" t="str">
        <f t="shared" si="0"/>
        <v/>
      </c>
      <c r="AF2027" s="15" t="str">
        <f t="shared" si="1"/>
        <v/>
      </c>
      <c r="AG2027" s="15" t="str">
        <f>IF(OR(AF2027="",AF2027="ERRO_CHAVE"),"",IFERROR(MATCH(AF2027,'Quitados DUPP'!$U$1:$U$6635,0),""))</f>
        <v/>
      </c>
      <c r="AH2027" s="15" t="str">
        <f t="shared" si="2"/>
        <v/>
      </c>
      <c r="AI2027" s="17" t="str">
        <f>IF(AG2027="","",INDEX('Quitados DUPP'!$G$1:$G$6635,AG2027))</f>
        <v/>
      </c>
      <c r="AJ2027" s="17" t="str">
        <f t="shared" si="3"/>
        <v/>
      </c>
    </row>
    <row r="2028" spans="31:36">
      <c r="AE2028" s="15" t="str">
        <f t="shared" si="0"/>
        <v/>
      </c>
      <c r="AF2028" s="15" t="str">
        <f t="shared" si="1"/>
        <v/>
      </c>
      <c r="AG2028" s="15" t="str">
        <f>IF(OR(AF2028="",AF2028="ERRO_CHAVE"),"",IFERROR(MATCH(AF2028,'Quitados DUPP'!$U$1:$U$6635,0),""))</f>
        <v/>
      </c>
      <c r="AH2028" s="15" t="str">
        <f t="shared" si="2"/>
        <v/>
      </c>
      <c r="AI2028" s="17" t="str">
        <f>IF(AG2028="","",INDEX('Quitados DUPP'!$G$1:$G$6635,AG2028))</f>
        <v/>
      </c>
      <c r="AJ2028" s="17" t="str">
        <f t="shared" si="3"/>
        <v/>
      </c>
    </row>
    <row r="2029" spans="31:36">
      <c r="AE2029" s="15" t="str">
        <f t="shared" si="0"/>
        <v/>
      </c>
      <c r="AF2029" s="15" t="str">
        <f t="shared" si="1"/>
        <v/>
      </c>
      <c r="AG2029" s="15" t="str">
        <f>IF(OR(AF2029="",AF2029="ERRO_CHAVE"),"",IFERROR(MATCH(AF2029,'Quitados DUPP'!$U$1:$U$6635,0),""))</f>
        <v/>
      </c>
      <c r="AH2029" s="15" t="str">
        <f t="shared" si="2"/>
        <v/>
      </c>
      <c r="AI2029" s="17" t="str">
        <f>IF(AG2029="","",INDEX('Quitados DUPP'!$G$1:$G$6635,AG2029))</f>
        <v/>
      </c>
      <c r="AJ2029" s="17" t="str">
        <f t="shared" si="3"/>
        <v/>
      </c>
    </row>
    <row r="2030" spans="31:36">
      <c r="AE2030" s="15" t="str">
        <f t="shared" si="0"/>
        <v/>
      </c>
      <c r="AF2030" s="15" t="str">
        <f t="shared" si="1"/>
        <v/>
      </c>
      <c r="AG2030" s="15" t="str">
        <f>IF(OR(AF2030="",AF2030="ERRO_CHAVE"),"",IFERROR(MATCH(AF2030,'Quitados DUPP'!$U$1:$U$6635,0),""))</f>
        <v/>
      </c>
      <c r="AH2030" s="15" t="str">
        <f t="shared" si="2"/>
        <v/>
      </c>
      <c r="AI2030" s="17" t="str">
        <f>IF(AG2030="","",INDEX('Quitados DUPP'!$G$1:$G$6635,AG2030))</f>
        <v/>
      </c>
      <c r="AJ2030" s="17" t="str">
        <f t="shared" si="3"/>
        <v/>
      </c>
    </row>
    <row r="2031" spans="31:36">
      <c r="AE2031" s="15" t="str">
        <f t="shared" si="0"/>
        <v/>
      </c>
      <c r="AF2031" s="15" t="str">
        <f t="shared" si="1"/>
        <v/>
      </c>
      <c r="AG2031" s="15" t="str">
        <f>IF(OR(AF2031="",AF2031="ERRO_CHAVE"),"",IFERROR(MATCH(AF2031,'Quitados DUPP'!$U$1:$U$6635,0),""))</f>
        <v/>
      </c>
      <c r="AH2031" s="15" t="str">
        <f t="shared" si="2"/>
        <v/>
      </c>
      <c r="AI2031" s="17" t="str">
        <f>IF(AG2031="","",INDEX('Quitados DUPP'!$G$1:$G$6635,AG2031))</f>
        <v/>
      </c>
      <c r="AJ2031" s="17" t="str">
        <f t="shared" si="3"/>
        <v/>
      </c>
    </row>
    <row r="2032" spans="31:36">
      <c r="AE2032" s="15" t="str">
        <f t="shared" si="0"/>
        <v/>
      </c>
      <c r="AF2032" s="15" t="str">
        <f t="shared" si="1"/>
        <v/>
      </c>
      <c r="AG2032" s="15" t="str">
        <f>IF(OR(AF2032="",AF2032="ERRO_CHAVE"),"",IFERROR(MATCH(AF2032,'Quitados DUPP'!$U$1:$U$6635,0),""))</f>
        <v/>
      </c>
      <c r="AH2032" s="15" t="str">
        <f t="shared" si="2"/>
        <v/>
      </c>
      <c r="AI2032" s="17" t="str">
        <f>IF(AG2032="","",INDEX('Quitados DUPP'!$G$1:$G$6635,AG2032))</f>
        <v/>
      </c>
      <c r="AJ2032" s="17" t="str">
        <f t="shared" si="3"/>
        <v/>
      </c>
    </row>
    <row r="2033" spans="31:36">
      <c r="AE2033" s="15" t="str">
        <f t="shared" si="0"/>
        <v/>
      </c>
      <c r="AF2033" s="15" t="str">
        <f t="shared" si="1"/>
        <v/>
      </c>
      <c r="AG2033" s="15" t="str">
        <f>IF(OR(AF2033="",AF2033="ERRO_CHAVE"),"",IFERROR(MATCH(AF2033,'Quitados DUPP'!$U$1:$U$6635,0),""))</f>
        <v/>
      </c>
      <c r="AH2033" s="15" t="str">
        <f t="shared" si="2"/>
        <v/>
      </c>
      <c r="AI2033" s="17" t="str">
        <f>IF(AG2033="","",INDEX('Quitados DUPP'!$G$1:$G$6635,AG2033))</f>
        <v/>
      </c>
      <c r="AJ2033" s="17" t="str">
        <f t="shared" si="3"/>
        <v/>
      </c>
    </row>
    <row r="2034" spans="31:36">
      <c r="AE2034" s="15" t="str">
        <f t="shared" si="0"/>
        <v/>
      </c>
      <c r="AF2034" s="15" t="str">
        <f t="shared" si="1"/>
        <v/>
      </c>
      <c r="AG2034" s="15" t="str">
        <f>IF(OR(AF2034="",AF2034="ERRO_CHAVE"),"",IFERROR(MATCH(AF2034,'Quitados DUPP'!$U$1:$U$6635,0),""))</f>
        <v/>
      </c>
      <c r="AH2034" s="15" t="str">
        <f t="shared" si="2"/>
        <v/>
      </c>
      <c r="AI2034" s="17" t="str">
        <f>IF(AG2034="","",INDEX('Quitados DUPP'!$G$1:$G$6635,AG2034))</f>
        <v/>
      </c>
      <c r="AJ2034" s="17" t="str">
        <f t="shared" si="3"/>
        <v/>
      </c>
    </row>
    <row r="2035" spans="31:36">
      <c r="AE2035" s="15" t="str">
        <f t="shared" si="0"/>
        <v/>
      </c>
      <c r="AF2035" s="15" t="str">
        <f t="shared" si="1"/>
        <v/>
      </c>
      <c r="AG2035" s="15" t="str">
        <f>IF(OR(AF2035="",AF2035="ERRO_CHAVE"),"",IFERROR(MATCH(AF2035,'Quitados DUPP'!$U$1:$U$6635,0),""))</f>
        <v/>
      </c>
      <c r="AH2035" s="15" t="str">
        <f t="shared" si="2"/>
        <v/>
      </c>
      <c r="AI2035" s="17" t="str">
        <f>IF(AG2035="","",INDEX('Quitados DUPP'!$G$1:$G$6635,AG2035))</f>
        <v/>
      </c>
      <c r="AJ2035" s="17" t="str">
        <f t="shared" si="3"/>
        <v/>
      </c>
    </row>
    <row r="2036" spans="31:36">
      <c r="AE2036" s="15" t="str">
        <f t="shared" si="0"/>
        <v/>
      </c>
      <c r="AF2036" s="15" t="str">
        <f t="shared" si="1"/>
        <v/>
      </c>
      <c r="AG2036" s="15" t="str">
        <f>IF(OR(AF2036="",AF2036="ERRO_CHAVE"),"",IFERROR(MATCH(AF2036,'Quitados DUPP'!$U$1:$U$6635,0),""))</f>
        <v/>
      </c>
      <c r="AH2036" s="15" t="str">
        <f t="shared" si="2"/>
        <v/>
      </c>
      <c r="AI2036" s="17" t="str">
        <f>IF(AG2036="","",INDEX('Quitados DUPP'!$G$1:$G$6635,AG2036))</f>
        <v/>
      </c>
      <c r="AJ2036" s="17" t="str">
        <f t="shared" si="3"/>
        <v/>
      </c>
    </row>
    <row r="2037" spans="31:36">
      <c r="AE2037" s="15" t="str">
        <f t="shared" si="0"/>
        <v/>
      </c>
      <c r="AF2037" s="15" t="str">
        <f t="shared" si="1"/>
        <v/>
      </c>
      <c r="AG2037" s="15" t="str">
        <f>IF(OR(AF2037="",AF2037="ERRO_CHAVE"),"",IFERROR(MATCH(AF2037,'Quitados DUPP'!$U$1:$U$6635,0),""))</f>
        <v/>
      </c>
      <c r="AH2037" s="15" t="str">
        <f t="shared" si="2"/>
        <v/>
      </c>
      <c r="AI2037" s="17" t="str">
        <f>IF(AG2037="","",INDEX('Quitados DUPP'!$G$1:$G$6635,AG2037))</f>
        <v/>
      </c>
      <c r="AJ2037" s="17" t="str">
        <f t="shared" si="3"/>
        <v/>
      </c>
    </row>
    <row r="2038" spans="31:36">
      <c r="AE2038" s="15" t="str">
        <f t="shared" si="0"/>
        <v/>
      </c>
      <c r="AF2038" s="15" t="str">
        <f t="shared" si="1"/>
        <v/>
      </c>
      <c r="AG2038" s="15" t="str">
        <f>IF(OR(AF2038="",AF2038="ERRO_CHAVE"),"",IFERROR(MATCH(AF2038,'Quitados DUPP'!$U$1:$U$6635,0),""))</f>
        <v/>
      </c>
      <c r="AH2038" s="15" t="str">
        <f t="shared" si="2"/>
        <v/>
      </c>
      <c r="AI2038" s="17" t="str">
        <f>IF(AG2038="","",INDEX('Quitados DUPP'!$G$1:$G$6635,AG2038))</f>
        <v/>
      </c>
      <c r="AJ2038" s="17" t="str">
        <f t="shared" si="3"/>
        <v/>
      </c>
    </row>
    <row r="2039" spans="31:36">
      <c r="AE2039" s="15" t="str">
        <f t="shared" si="0"/>
        <v/>
      </c>
      <c r="AF2039" s="15" t="str">
        <f t="shared" si="1"/>
        <v/>
      </c>
      <c r="AG2039" s="15" t="str">
        <f>IF(OR(AF2039="",AF2039="ERRO_CHAVE"),"",IFERROR(MATCH(AF2039,'Quitados DUPP'!$U$1:$U$6635,0),""))</f>
        <v/>
      </c>
      <c r="AH2039" s="15" t="str">
        <f t="shared" si="2"/>
        <v/>
      </c>
      <c r="AI2039" s="17" t="str">
        <f>IF(AG2039="","",INDEX('Quitados DUPP'!$G$1:$G$6635,AG2039))</f>
        <v/>
      </c>
      <c r="AJ2039" s="17" t="str">
        <f t="shared" si="3"/>
        <v/>
      </c>
    </row>
    <row r="2040" spans="31:36">
      <c r="AE2040" s="15" t="str">
        <f t="shared" si="0"/>
        <v/>
      </c>
      <c r="AF2040" s="15" t="str">
        <f t="shared" si="1"/>
        <v/>
      </c>
      <c r="AG2040" s="15" t="str">
        <f>IF(OR(AF2040="",AF2040="ERRO_CHAVE"),"",IFERROR(MATCH(AF2040,'Quitados DUPP'!$U$1:$U$6635,0),""))</f>
        <v/>
      </c>
      <c r="AH2040" s="15" t="str">
        <f t="shared" si="2"/>
        <v/>
      </c>
      <c r="AI2040" s="17" t="str">
        <f>IF(AG2040="","",INDEX('Quitados DUPP'!$G$1:$G$6635,AG2040))</f>
        <v/>
      </c>
      <c r="AJ2040" s="17" t="str">
        <f t="shared" si="3"/>
        <v/>
      </c>
    </row>
    <row r="2041" spans="31:36">
      <c r="AE2041" s="15" t="str">
        <f t="shared" si="0"/>
        <v/>
      </c>
      <c r="AF2041" s="15" t="str">
        <f t="shared" si="1"/>
        <v/>
      </c>
      <c r="AG2041" s="15" t="str">
        <f>IF(OR(AF2041="",AF2041="ERRO_CHAVE"),"",IFERROR(MATCH(AF2041,'Quitados DUPP'!$U$1:$U$6635,0),""))</f>
        <v/>
      </c>
      <c r="AH2041" s="15" t="str">
        <f t="shared" si="2"/>
        <v/>
      </c>
      <c r="AI2041" s="17" t="str">
        <f>IF(AG2041="","",INDEX('Quitados DUPP'!$G$1:$G$6635,AG2041))</f>
        <v/>
      </c>
      <c r="AJ2041" s="17" t="str">
        <f t="shared" si="3"/>
        <v/>
      </c>
    </row>
    <row r="2042" spans="31:36">
      <c r="AE2042" s="15" t="str">
        <f t="shared" si="0"/>
        <v/>
      </c>
      <c r="AF2042" s="15" t="str">
        <f t="shared" si="1"/>
        <v/>
      </c>
      <c r="AG2042" s="15" t="str">
        <f>IF(OR(AF2042="",AF2042="ERRO_CHAVE"),"",IFERROR(MATCH(AF2042,'Quitados DUPP'!$U$1:$U$6635,0),""))</f>
        <v/>
      </c>
      <c r="AH2042" s="15" t="str">
        <f t="shared" si="2"/>
        <v/>
      </c>
      <c r="AI2042" s="17" t="str">
        <f>IF(AG2042="","",INDEX('Quitados DUPP'!$G$1:$G$6635,AG2042))</f>
        <v/>
      </c>
      <c r="AJ2042" s="17" t="str">
        <f t="shared" si="3"/>
        <v/>
      </c>
    </row>
    <row r="2043" spans="31:36">
      <c r="AE2043" s="15" t="str">
        <f t="shared" si="0"/>
        <v/>
      </c>
      <c r="AF2043" s="15" t="str">
        <f t="shared" si="1"/>
        <v/>
      </c>
      <c r="AG2043" s="15" t="str">
        <f>IF(OR(AF2043="",AF2043="ERRO_CHAVE"),"",IFERROR(MATCH(AF2043,'Quitados DUPP'!$U$1:$U$6635,0),""))</f>
        <v/>
      </c>
      <c r="AH2043" s="15" t="str">
        <f t="shared" si="2"/>
        <v/>
      </c>
      <c r="AI2043" s="17" t="str">
        <f>IF(AG2043="","",INDEX('Quitados DUPP'!$G$1:$G$6635,AG2043))</f>
        <v/>
      </c>
      <c r="AJ2043" s="17" t="str">
        <f t="shared" si="3"/>
        <v/>
      </c>
    </row>
    <row r="2044" spans="31:36">
      <c r="AE2044" s="15" t="str">
        <f t="shared" si="0"/>
        <v/>
      </c>
      <c r="AF2044" s="15" t="str">
        <f t="shared" si="1"/>
        <v/>
      </c>
      <c r="AG2044" s="15" t="str">
        <f>IF(OR(AF2044="",AF2044="ERRO_CHAVE"),"",IFERROR(MATCH(AF2044,'Quitados DUPP'!$U$1:$U$6635,0),""))</f>
        <v/>
      </c>
      <c r="AH2044" s="15" t="str">
        <f t="shared" si="2"/>
        <v/>
      </c>
      <c r="AI2044" s="17" t="str">
        <f>IF(AG2044="","",INDEX('Quitados DUPP'!$G$1:$G$6635,AG2044))</f>
        <v/>
      </c>
      <c r="AJ2044" s="17" t="str">
        <f t="shared" si="3"/>
        <v/>
      </c>
    </row>
    <row r="2045" spans="31:36">
      <c r="AE2045" s="15" t="str">
        <f t="shared" si="0"/>
        <v/>
      </c>
      <c r="AF2045" s="15" t="str">
        <f t="shared" si="1"/>
        <v/>
      </c>
      <c r="AG2045" s="15" t="str">
        <f>IF(OR(AF2045="",AF2045="ERRO_CHAVE"),"",IFERROR(MATCH(AF2045,'Quitados DUPP'!$U$1:$U$6635,0),""))</f>
        <v/>
      </c>
      <c r="AH2045" s="15" t="str">
        <f t="shared" si="2"/>
        <v/>
      </c>
      <c r="AI2045" s="17" t="str">
        <f>IF(AG2045="","",INDEX('Quitados DUPP'!$G$1:$G$6635,AG2045))</f>
        <v/>
      </c>
      <c r="AJ2045" s="17" t="str">
        <f t="shared" si="3"/>
        <v/>
      </c>
    </row>
    <row r="2046" spans="31:36">
      <c r="AE2046" s="15" t="str">
        <f t="shared" si="0"/>
        <v/>
      </c>
      <c r="AF2046" s="15" t="str">
        <f t="shared" si="1"/>
        <v/>
      </c>
      <c r="AG2046" s="15" t="str">
        <f>IF(OR(AF2046="",AF2046="ERRO_CHAVE"),"",IFERROR(MATCH(AF2046,'Quitados DUPP'!$U$1:$U$6635,0),""))</f>
        <v/>
      </c>
      <c r="AH2046" s="15" t="str">
        <f t="shared" si="2"/>
        <v/>
      </c>
      <c r="AI2046" s="17" t="str">
        <f>IF(AG2046="","",INDEX('Quitados DUPP'!$G$1:$G$6635,AG2046))</f>
        <v/>
      </c>
      <c r="AJ2046" s="17" t="str">
        <f t="shared" si="3"/>
        <v/>
      </c>
    </row>
    <row r="2047" spans="31:36">
      <c r="AE2047" s="15" t="str">
        <f t="shared" si="0"/>
        <v/>
      </c>
      <c r="AF2047" s="15" t="str">
        <f t="shared" si="1"/>
        <v/>
      </c>
      <c r="AG2047" s="15" t="str">
        <f>IF(OR(AF2047="",AF2047="ERRO_CHAVE"),"",IFERROR(MATCH(AF2047,'Quitados DUPP'!$U$1:$U$6635,0),""))</f>
        <v/>
      </c>
      <c r="AH2047" s="15" t="str">
        <f t="shared" si="2"/>
        <v/>
      </c>
      <c r="AI2047" s="17" t="str">
        <f>IF(AG2047="","",INDEX('Quitados DUPP'!$G$1:$G$6635,AG2047))</f>
        <v/>
      </c>
      <c r="AJ2047" s="17" t="str">
        <f t="shared" si="3"/>
        <v/>
      </c>
    </row>
    <row r="2048" spans="31:36">
      <c r="AE2048" s="15" t="str">
        <f t="shared" si="0"/>
        <v/>
      </c>
      <c r="AF2048" s="15" t="str">
        <f t="shared" si="1"/>
        <v/>
      </c>
      <c r="AG2048" s="15" t="str">
        <f>IF(OR(AF2048="",AF2048="ERRO_CHAVE"),"",IFERROR(MATCH(AF2048,'Quitados DUPP'!$U$1:$U$6635,0),""))</f>
        <v/>
      </c>
      <c r="AH2048" s="15" t="str">
        <f t="shared" si="2"/>
        <v/>
      </c>
      <c r="AI2048" s="17" t="str">
        <f>IF(AG2048="","",INDEX('Quitados DUPP'!$G$1:$G$6635,AG2048))</f>
        <v/>
      </c>
      <c r="AJ2048" s="17" t="str">
        <f t="shared" si="3"/>
        <v/>
      </c>
    </row>
    <row r="2049" spans="31:36">
      <c r="AE2049" s="15" t="str">
        <f t="shared" si="0"/>
        <v/>
      </c>
      <c r="AF2049" s="15" t="str">
        <f t="shared" si="1"/>
        <v/>
      </c>
      <c r="AG2049" s="15" t="str">
        <f>IF(OR(AF2049="",AF2049="ERRO_CHAVE"),"",IFERROR(MATCH(AF2049,'Quitados DUPP'!$U$1:$U$6635,0),""))</f>
        <v/>
      </c>
      <c r="AH2049" s="15" t="str">
        <f t="shared" si="2"/>
        <v/>
      </c>
      <c r="AI2049" s="17" t="str">
        <f>IF(AG2049="","",INDEX('Quitados DUPP'!$G$1:$G$6635,AG2049))</f>
        <v/>
      </c>
      <c r="AJ2049" s="17" t="str">
        <f t="shared" si="3"/>
        <v/>
      </c>
    </row>
    <row r="2050" spans="31:36">
      <c r="AE2050" s="15" t="str">
        <f t="shared" si="0"/>
        <v/>
      </c>
      <c r="AF2050" s="15" t="str">
        <f t="shared" si="1"/>
        <v/>
      </c>
      <c r="AG2050" s="15" t="str">
        <f>IF(OR(AF2050="",AF2050="ERRO_CHAVE"),"",IFERROR(MATCH(AF2050,'Quitados DUPP'!$U$1:$U$6635,0),""))</f>
        <v/>
      </c>
      <c r="AH2050" s="15" t="str">
        <f t="shared" si="2"/>
        <v/>
      </c>
      <c r="AI2050" s="17" t="str">
        <f>IF(AG2050="","",INDEX('Quitados DUPP'!$G$1:$G$6635,AG2050))</f>
        <v/>
      </c>
      <c r="AJ2050" s="17" t="str">
        <f t="shared" si="3"/>
        <v/>
      </c>
    </row>
    <row r="2051" spans="31:36">
      <c r="AE2051" s="15" t="str">
        <f t="shared" si="0"/>
        <v/>
      </c>
      <c r="AF2051" s="15" t="str">
        <f t="shared" si="1"/>
        <v/>
      </c>
      <c r="AG2051" s="15" t="str">
        <f>IF(OR(AF2051="",AF2051="ERRO_CHAVE"),"",IFERROR(MATCH(AF2051,'Quitados DUPP'!$U$1:$U$6635,0),""))</f>
        <v/>
      </c>
      <c r="AH2051" s="15" t="str">
        <f t="shared" si="2"/>
        <v/>
      </c>
      <c r="AI2051" s="17" t="str">
        <f>IF(AG2051="","",INDEX('Quitados DUPP'!$G$1:$G$6635,AG2051))</f>
        <v/>
      </c>
      <c r="AJ2051" s="17" t="str">
        <f t="shared" si="3"/>
        <v/>
      </c>
    </row>
    <row r="2052" spans="31:36">
      <c r="AE2052" s="15" t="str">
        <f t="shared" si="0"/>
        <v/>
      </c>
      <c r="AF2052" s="15" t="str">
        <f t="shared" si="1"/>
        <v/>
      </c>
      <c r="AG2052" s="15" t="str">
        <f>IF(OR(AF2052="",AF2052="ERRO_CHAVE"),"",IFERROR(MATCH(AF2052,'Quitados DUPP'!$U$1:$U$6635,0),""))</f>
        <v/>
      </c>
      <c r="AH2052" s="15" t="str">
        <f t="shared" si="2"/>
        <v/>
      </c>
      <c r="AI2052" s="17" t="str">
        <f>IF(AG2052="","",INDEX('Quitados DUPP'!$G$1:$G$6635,AG2052))</f>
        <v/>
      </c>
      <c r="AJ2052" s="17" t="str">
        <f t="shared" si="3"/>
        <v/>
      </c>
    </row>
    <row r="2053" spans="31:36">
      <c r="AE2053" s="15" t="str">
        <f t="shared" si="0"/>
        <v/>
      </c>
      <c r="AF2053" s="15" t="str">
        <f t="shared" si="1"/>
        <v/>
      </c>
      <c r="AG2053" s="15" t="str">
        <f>IF(OR(AF2053="",AF2053="ERRO_CHAVE"),"",IFERROR(MATCH(AF2053,'Quitados DUPP'!$U$1:$U$6635,0),""))</f>
        <v/>
      </c>
      <c r="AH2053" s="15" t="str">
        <f t="shared" si="2"/>
        <v/>
      </c>
      <c r="AI2053" s="17" t="str">
        <f>IF(AG2053="","",INDEX('Quitados DUPP'!$G$1:$G$6635,AG2053))</f>
        <v/>
      </c>
      <c r="AJ2053" s="17" t="str">
        <f t="shared" si="3"/>
        <v/>
      </c>
    </row>
    <row r="2054" spans="31:36">
      <c r="AE2054" s="15" t="str">
        <f t="shared" si="0"/>
        <v/>
      </c>
      <c r="AF2054" s="15" t="str">
        <f t="shared" si="1"/>
        <v/>
      </c>
      <c r="AG2054" s="15" t="str">
        <f>IF(OR(AF2054="",AF2054="ERRO_CHAVE"),"",IFERROR(MATCH(AF2054,'Quitados DUPP'!$U$1:$U$6635,0),""))</f>
        <v/>
      </c>
      <c r="AH2054" s="15" t="str">
        <f t="shared" si="2"/>
        <v/>
      </c>
      <c r="AI2054" s="17" t="str">
        <f>IF(AG2054="","",INDEX('Quitados DUPP'!$G$1:$G$6635,AG2054))</f>
        <v/>
      </c>
      <c r="AJ2054" s="17" t="str">
        <f t="shared" si="3"/>
        <v/>
      </c>
    </row>
    <row r="2055" spans="31:36">
      <c r="AE2055" s="15" t="str">
        <f t="shared" si="0"/>
        <v/>
      </c>
      <c r="AF2055" s="15" t="str">
        <f t="shared" si="1"/>
        <v/>
      </c>
      <c r="AG2055" s="15" t="str">
        <f>IF(OR(AF2055="",AF2055="ERRO_CHAVE"),"",IFERROR(MATCH(AF2055,'Quitados DUPP'!$U$1:$U$6635,0),""))</f>
        <v/>
      </c>
      <c r="AH2055" s="15" t="str">
        <f t="shared" si="2"/>
        <v/>
      </c>
      <c r="AI2055" s="17" t="str">
        <f>IF(AG2055="","",INDEX('Quitados DUPP'!$G$1:$G$6635,AG2055))</f>
        <v/>
      </c>
      <c r="AJ2055" s="17" t="str">
        <f t="shared" si="3"/>
        <v/>
      </c>
    </row>
    <row r="2056" spans="31:36">
      <c r="AE2056" s="15" t="str">
        <f t="shared" si="0"/>
        <v/>
      </c>
      <c r="AF2056" s="15" t="str">
        <f t="shared" si="1"/>
        <v/>
      </c>
      <c r="AG2056" s="15" t="str">
        <f>IF(OR(AF2056="",AF2056="ERRO_CHAVE"),"",IFERROR(MATCH(AF2056,'Quitados DUPP'!$U$1:$U$6635,0),""))</f>
        <v/>
      </c>
      <c r="AH2056" s="15" t="str">
        <f t="shared" si="2"/>
        <v/>
      </c>
      <c r="AI2056" s="17" t="str">
        <f>IF(AG2056="","",INDEX('Quitados DUPP'!$G$1:$G$6635,AG2056))</f>
        <v/>
      </c>
      <c r="AJ2056" s="17" t="str">
        <f t="shared" si="3"/>
        <v/>
      </c>
    </row>
    <row r="2057" spans="31:36">
      <c r="AE2057" s="15" t="str">
        <f t="shared" si="0"/>
        <v/>
      </c>
      <c r="AF2057" s="15" t="str">
        <f t="shared" si="1"/>
        <v/>
      </c>
      <c r="AG2057" s="15" t="str">
        <f>IF(OR(AF2057="",AF2057="ERRO_CHAVE"),"",IFERROR(MATCH(AF2057,'Quitados DUPP'!$U$1:$U$6635,0),""))</f>
        <v/>
      </c>
      <c r="AH2057" s="15" t="str">
        <f t="shared" si="2"/>
        <v/>
      </c>
      <c r="AI2057" s="17" t="str">
        <f>IF(AG2057="","",INDEX('Quitados DUPP'!$G$1:$G$6635,AG2057))</f>
        <v/>
      </c>
      <c r="AJ2057" s="17" t="str">
        <f t="shared" si="3"/>
        <v/>
      </c>
    </row>
    <row r="2058" spans="31:36">
      <c r="AE2058" s="15" t="str">
        <f t="shared" si="0"/>
        <v/>
      </c>
      <c r="AF2058" s="15" t="str">
        <f t="shared" si="1"/>
        <v/>
      </c>
      <c r="AG2058" s="15" t="str">
        <f>IF(OR(AF2058="",AF2058="ERRO_CHAVE"),"",IFERROR(MATCH(AF2058,'Quitados DUPP'!$U$1:$U$6635,0),""))</f>
        <v/>
      </c>
      <c r="AH2058" s="15" t="str">
        <f t="shared" si="2"/>
        <v/>
      </c>
      <c r="AI2058" s="17" t="str">
        <f>IF(AG2058="","",INDEX('Quitados DUPP'!$G$1:$G$6635,AG2058))</f>
        <v/>
      </c>
      <c r="AJ2058" s="17" t="str">
        <f t="shared" si="3"/>
        <v/>
      </c>
    </row>
    <row r="2059" spans="31:36">
      <c r="AE2059" s="15" t="str">
        <f t="shared" si="0"/>
        <v/>
      </c>
      <c r="AF2059" s="15" t="str">
        <f t="shared" si="1"/>
        <v/>
      </c>
      <c r="AG2059" s="15" t="str">
        <f>IF(OR(AF2059="",AF2059="ERRO_CHAVE"),"",IFERROR(MATCH(AF2059,'Quitados DUPP'!$U$1:$U$6635,0),""))</f>
        <v/>
      </c>
      <c r="AH2059" s="15" t="str">
        <f t="shared" si="2"/>
        <v/>
      </c>
      <c r="AI2059" s="17" t="str">
        <f>IF(AG2059="","",INDEX('Quitados DUPP'!$G$1:$G$6635,AG2059))</f>
        <v/>
      </c>
      <c r="AJ2059" s="17" t="str">
        <f t="shared" si="3"/>
        <v/>
      </c>
    </row>
    <row r="2060" spans="31:36">
      <c r="AE2060" s="15" t="str">
        <f t="shared" si="0"/>
        <v/>
      </c>
      <c r="AF2060" s="15" t="str">
        <f t="shared" si="1"/>
        <v/>
      </c>
      <c r="AG2060" s="15" t="str">
        <f>IF(OR(AF2060="",AF2060="ERRO_CHAVE"),"",IFERROR(MATCH(AF2060,'Quitados DUPP'!$U$1:$U$6635,0),""))</f>
        <v/>
      </c>
      <c r="AH2060" s="15" t="str">
        <f t="shared" si="2"/>
        <v/>
      </c>
      <c r="AI2060" s="17" t="str">
        <f>IF(AG2060="","",INDEX('Quitados DUPP'!$G$1:$G$6635,AG2060))</f>
        <v/>
      </c>
      <c r="AJ2060" s="17" t="str">
        <f t="shared" si="3"/>
        <v/>
      </c>
    </row>
    <row r="2061" spans="31:36">
      <c r="AE2061" s="15" t="str">
        <f t="shared" si="0"/>
        <v/>
      </c>
      <c r="AF2061" s="15" t="str">
        <f t="shared" si="1"/>
        <v/>
      </c>
      <c r="AG2061" s="15" t="str">
        <f>IF(OR(AF2061="",AF2061="ERRO_CHAVE"),"",IFERROR(MATCH(AF2061,'Quitados DUPP'!$U$1:$U$6635,0),""))</f>
        <v/>
      </c>
      <c r="AH2061" s="15" t="str">
        <f t="shared" si="2"/>
        <v/>
      </c>
      <c r="AI2061" s="17" t="str">
        <f>IF(AG2061="","",INDEX('Quitados DUPP'!$G$1:$G$6635,AG2061))</f>
        <v/>
      </c>
      <c r="AJ2061" s="17" t="str">
        <f t="shared" si="3"/>
        <v/>
      </c>
    </row>
    <row r="2062" spans="31:36">
      <c r="AE2062" s="15" t="str">
        <f t="shared" si="0"/>
        <v/>
      </c>
      <c r="AF2062" s="15" t="str">
        <f t="shared" si="1"/>
        <v/>
      </c>
      <c r="AG2062" s="15" t="str">
        <f>IF(OR(AF2062="",AF2062="ERRO_CHAVE"),"",IFERROR(MATCH(AF2062,'Quitados DUPP'!$U$1:$U$6635,0),""))</f>
        <v/>
      </c>
      <c r="AH2062" s="15" t="str">
        <f t="shared" si="2"/>
        <v/>
      </c>
      <c r="AI2062" s="17" t="str">
        <f>IF(AG2062="","",INDEX('Quitados DUPP'!$G$1:$G$6635,AG2062))</f>
        <v/>
      </c>
      <c r="AJ2062" s="17" t="str">
        <f t="shared" si="3"/>
        <v/>
      </c>
    </row>
    <row r="2063" spans="31:36">
      <c r="AE2063" s="15" t="str">
        <f t="shared" si="0"/>
        <v/>
      </c>
      <c r="AF2063" s="15" t="str">
        <f t="shared" si="1"/>
        <v/>
      </c>
      <c r="AG2063" s="15" t="str">
        <f>IF(OR(AF2063="",AF2063="ERRO_CHAVE"),"",IFERROR(MATCH(AF2063,'Quitados DUPP'!$U$1:$U$6635,0),""))</f>
        <v/>
      </c>
      <c r="AH2063" s="15" t="str">
        <f t="shared" si="2"/>
        <v/>
      </c>
      <c r="AI2063" s="17" t="str">
        <f>IF(AG2063="","",INDEX('Quitados DUPP'!$G$1:$G$6635,AG2063))</f>
        <v/>
      </c>
      <c r="AJ2063" s="17" t="str">
        <f t="shared" si="3"/>
        <v/>
      </c>
    </row>
    <row r="2064" spans="31:36">
      <c r="AE2064" s="15" t="str">
        <f t="shared" si="0"/>
        <v/>
      </c>
      <c r="AF2064" s="15" t="str">
        <f t="shared" si="1"/>
        <v/>
      </c>
      <c r="AG2064" s="15" t="str">
        <f>IF(OR(AF2064="",AF2064="ERRO_CHAVE"),"",IFERROR(MATCH(AF2064,'Quitados DUPP'!$U$1:$U$6635,0),""))</f>
        <v/>
      </c>
      <c r="AH2064" s="15" t="str">
        <f t="shared" si="2"/>
        <v/>
      </c>
      <c r="AI2064" s="17" t="str">
        <f>IF(AG2064="","",INDEX('Quitados DUPP'!$G$1:$G$6635,AG2064))</f>
        <v/>
      </c>
      <c r="AJ2064" s="17" t="str">
        <f t="shared" si="3"/>
        <v/>
      </c>
    </row>
    <row r="2065" spans="31:36">
      <c r="AE2065" s="15" t="str">
        <f t="shared" si="0"/>
        <v/>
      </c>
      <c r="AF2065" s="15" t="str">
        <f t="shared" si="1"/>
        <v/>
      </c>
      <c r="AG2065" s="15" t="str">
        <f>IF(OR(AF2065="",AF2065="ERRO_CHAVE"),"",IFERROR(MATCH(AF2065,'Quitados DUPP'!$U$1:$U$6635,0),""))</f>
        <v/>
      </c>
      <c r="AH2065" s="15" t="str">
        <f t="shared" si="2"/>
        <v/>
      </c>
      <c r="AI2065" s="17" t="str">
        <f>IF(AG2065="","",INDEX('Quitados DUPP'!$G$1:$G$6635,AG2065))</f>
        <v/>
      </c>
      <c r="AJ2065" s="17" t="str">
        <f t="shared" si="3"/>
        <v/>
      </c>
    </row>
    <row r="2066" spans="31:36">
      <c r="AE2066" s="15" t="str">
        <f t="shared" si="0"/>
        <v/>
      </c>
      <c r="AF2066" s="15" t="str">
        <f t="shared" si="1"/>
        <v/>
      </c>
      <c r="AG2066" s="15" t="str">
        <f>IF(OR(AF2066="",AF2066="ERRO_CHAVE"),"",IFERROR(MATCH(AF2066,'Quitados DUPP'!$U$1:$U$6635,0),""))</f>
        <v/>
      </c>
      <c r="AH2066" s="15" t="str">
        <f t="shared" si="2"/>
        <v/>
      </c>
      <c r="AI2066" s="17" t="str">
        <f>IF(AG2066="","",INDEX('Quitados DUPP'!$G$1:$G$6635,AG2066))</f>
        <v/>
      </c>
      <c r="AJ2066" s="17" t="str">
        <f t="shared" si="3"/>
        <v/>
      </c>
    </row>
    <row r="2067" spans="31:36">
      <c r="AE2067" s="15" t="str">
        <f t="shared" si="0"/>
        <v/>
      </c>
      <c r="AF2067" s="15" t="str">
        <f t="shared" si="1"/>
        <v/>
      </c>
      <c r="AG2067" s="15" t="str">
        <f>IF(OR(AF2067="",AF2067="ERRO_CHAVE"),"",IFERROR(MATCH(AF2067,'Quitados DUPP'!$U$1:$U$6635,0),""))</f>
        <v/>
      </c>
      <c r="AH2067" s="15" t="str">
        <f t="shared" si="2"/>
        <v/>
      </c>
      <c r="AI2067" s="17" t="str">
        <f>IF(AG2067="","",INDEX('Quitados DUPP'!$G$1:$G$6635,AG2067))</f>
        <v/>
      </c>
      <c r="AJ2067" s="17" t="str">
        <f t="shared" si="3"/>
        <v/>
      </c>
    </row>
    <row r="2068" spans="31:36">
      <c r="AE2068" s="15" t="str">
        <f t="shared" si="0"/>
        <v/>
      </c>
      <c r="AF2068" s="15" t="str">
        <f t="shared" si="1"/>
        <v/>
      </c>
      <c r="AG2068" s="15" t="str">
        <f>IF(OR(AF2068="",AF2068="ERRO_CHAVE"),"",IFERROR(MATCH(AF2068,'Quitados DUPP'!$U$1:$U$6635,0),""))</f>
        <v/>
      </c>
      <c r="AH2068" s="15" t="str">
        <f t="shared" si="2"/>
        <v/>
      </c>
      <c r="AI2068" s="17" t="str">
        <f>IF(AG2068="","",INDEX('Quitados DUPP'!$G$1:$G$6635,AG2068))</f>
        <v/>
      </c>
      <c r="AJ2068" s="17" t="str">
        <f t="shared" si="3"/>
        <v/>
      </c>
    </row>
    <row r="2069" spans="31:36">
      <c r="AE2069" s="15" t="str">
        <f t="shared" si="0"/>
        <v/>
      </c>
      <c r="AF2069" s="15" t="str">
        <f t="shared" si="1"/>
        <v/>
      </c>
      <c r="AG2069" s="15" t="str">
        <f>IF(OR(AF2069="",AF2069="ERRO_CHAVE"),"",IFERROR(MATCH(AF2069,'Quitados DUPP'!$U$1:$U$6635,0),""))</f>
        <v/>
      </c>
      <c r="AH2069" s="15" t="str">
        <f t="shared" si="2"/>
        <v/>
      </c>
      <c r="AI2069" s="17" t="str">
        <f>IF(AG2069="","",INDEX('Quitados DUPP'!$G$1:$G$6635,AG2069))</f>
        <v/>
      </c>
      <c r="AJ2069" s="17" t="str">
        <f t="shared" si="3"/>
        <v/>
      </c>
    </row>
    <row r="2070" spans="31:36">
      <c r="AE2070" s="15" t="str">
        <f t="shared" si="0"/>
        <v/>
      </c>
      <c r="AF2070" s="15" t="str">
        <f t="shared" si="1"/>
        <v/>
      </c>
      <c r="AG2070" s="15" t="str">
        <f>IF(OR(AF2070="",AF2070="ERRO_CHAVE"),"",IFERROR(MATCH(AF2070,'Quitados DUPP'!$U$1:$U$6635,0),""))</f>
        <v/>
      </c>
      <c r="AH2070" s="15" t="str">
        <f t="shared" si="2"/>
        <v/>
      </c>
      <c r="AI2070" s="17" t="str">
        <f>IF(AG2070="","",INDEX('Quitados DUPP'!$G$1:$G$6635,AG2070))</f>
        <v/>
      </c>
      <c r="AJ2070" s="17" t="str">
        <f t="shared" si="3"/>
        <v/>
      </c>
    </row>
    <row r="2071" spans="31:36">
      <c r="AE2071" s="15" t="str">
        <f t="shared" si="0"/>
        <v/>
      </c>
      <c r="AF2071" s="15" t="str">
        <f t="shared" si="1"/>
        <v/>
      </c>
      <c r="AG2071" s="15" t="str">
        <f>IF(OR(AF2071="",AF2071="ERRO_CHAVE"),"",IFERROR(MATCH(AF2071,'Quitados DUPP'!$U$1:$U$6635,0),""))</f>
        <v/>
      </c>
      <c r="AH2071" s="15" t="str">
        <f t="shared" si="2"/>
        <v/>
      </c>
      <c r="AI2071" s="17" t="str">
        <f>IF(AG2071="","",INDEX('Quitados DUPP'!$G$1:$G$6635,AG2071))</f>
        <v/>
      </c>
      <c r="AJ2071" s="17" t="str">
        <f t="shared" si="3"/>
        <v/>
      </c>
    </row>
    <row r="2072" spans="31:36">
      <c r="AE2072" s="15" t="str">
        <f t="shared" si="0"/>
        <v/>
      </c>
      <c r="AF2072" s="15" t="str">
        <f t="shared" si="1"/>
        <v/>
      </c>
      <c r="AG2072" s="15" t="str">
        <f>IF(OR(AF2072="",AF2072="ERRO_CHAVE"),"",IFERROR(MATCH(AF2072,'Quitados DUPP'!$U$1:$U$6635,0),""))</f>
        <v/>
      </c>
      <c r="AH2072" s="15" t="str">
        <f t="shared" si="2"/>
        <v/>
      </c>
      <c r="AI2072" s="17" t="str">
        <f>IF(AG2072="","",INDEX('Quitados DUPP'!$G$1:$G$6635,AG2072))</f>
        <v/>
      </c>
      <c r="AJ2072" s="17" t="str">
        <f t="shared" si="3"/>
        <v/>
      </c>
    </row>
    <row r="2073" spans="31:36">
      <c r="AE2073" s="15" t="str">
        <f t="shared" si="0"/>
        <v/>
      </c>
      <c r="AF2073" s="15" t="str">
        <f t="shared" si="1"/>
        <v/>
      </c>
      <c r="AG2073" s="15" t="str">
        <f>IF(OR(AF2073="",AF2073="ERRO_CHAVE"),"",IFERROR(MATCH(AF2073,'Quitados DUPP'!$U$1:$U$6635,0),""))</f>
        <v/>
      </c>
      <c r="AH2073" s="15" t="str">
        <f t="shared" si="2"/>
        <v/>
      </c>
      <c r="AI2073" s="17" t="str">
        <f>IF(AG2073="","",INDEX('Quitados DUPP'!$G$1:$G$6635,AG2073))</f>
        <v/>
      </c>
      <c r="AJ2073" s="17" t="str">
        <f t="shared" si="3"/>
        <v/>
      </c>
    </row>
    <row r="2074" spans="31:36">
      <c r="AE2074" s="15" t="str">
        <f t="shared" si="0"/>
        <v/>
      </c>
      <c r="AF2074" s="15" t="str">
        <f t="shared" si="1"/>
        <v/>
      </c>
      <c r="AG2074" s="15" t="str">
        <f>IF(OR(AF2074="",AF2074="ERRO_CHAVE"),"",IFERROR(MATCH(AF2074,'Quitados DUPP'!$U$1:$U$6635,0),""))</f>
        <v/>
      </c>
      <c r="AH2074" s="15" t="str">
        <f t="shared" si="2"/>
        <v/>
      </c>
      <c r="AI2074" s="17" t="str">
        <f>IF(AG2074="","",INDEX('Quitados DUPP'!$G$1:$G$6635,AG2074))</f>
        <v/>
      </c>
      <c r="AJ2074" s="17" t="str">
        <f t="shared" si="3"/>
        <v/>
      </c>
    </row>
    <row r="2075" spans="31:36">
      <c r="AE2075" s="15" t="str">
        <f t="shared" si="0"/>
        <v/>
      </c>
      <c r="AF2075" s="15" t="str">
        <f t="shared" si="1"/>
        <v/>
      </c>
      <c r="AG2075" s="15" t="str">
        <f>IF(OR(AF2075="",AF2075="ERRO_CHAVE"),"",IFERROR(MATCH(AF2075,'Quitados DUPP'!$U$1:$U$6635,0),""))</f>
        <v/>
      </c>
      <c r="AH2075" s="15" t="str">
        <f t="shared" si="2"/>
        <v/>
      </c>
      <c r="AI2075" s="17" t="str">
        <f>IF(AG2075="","",INDEX('Quitados DUPP'!$G$1:$G$6635,AG2075))</f>
        <v/>
      </c>
      <c r="AJ2075" s="17" t="str">
        <f t="shared" si="3"/>
        <v/>
      </c>
    </row>
    <row r="2076" spans="31:36">
      <c r="AE2076" s="15" t="str">
        <f t="shared" si="0"/>
        <v/>
      </c>
      <c r="AF2076" s="15" t="str">
        <f t="shared" si="1"/>
        <v/>
      </c>
      <c r="AG2076" s="15" t="str">
        <f>IF(OR(AF2076="",AF2076="ERRO_CHAVE"),"",IFERROR(MATCH(AF2076,'Quitados DUPP'!$U$1:$U$6635,0),""))</f>
        <v/>
      </c>
      <c r="AH2076" s="15" t="str">
        <f t="shared" si="2"/>
        <v/>
      </c>
      <c r="AI2076" s="17" t="str">
        <f>IF(AG2076="","",INDEX('Quitados DUPP'!$G$1:$G$6635,AG2076))</f>
        <v/>
      </c>
      <c r="AJ2076" s="17" t="str">
        <f t="shared" si="3"/>
        <v/>
      </c>
    </row>
    <row r="2077" spans="31:36">
      <c r="AE2077" s="15" t="str">
        <f t="shared" si="0"/>
        <v/>
      </c>
      <c r="AF2077" s="15" t="str">
        <f t="shared" si="1"/>
        <v/>
      </c>
      <c r="AG2077" s="15" t="str">
        <f>IF(OR(AF2077="",AF2077="ERRO_CHAVE"),"",IFERROR(MATCH(AF2077,'Quitados DUPP'!$U$1:$U$6635,0),""))</f>
        <v/>
      </c>
      <c r="AH2077" s="15" t="str">
        <f t="shared" si="2"/>
        <v/>
      </c>
      <c r="AI2077" s="17" t="str">
        <f>IF(AG2077="","",INDEX('Quitados DUPP'!$G$1:$G$6635,AG2077))</f>
        <v/>
      </c>
      <c r="AJ2077" s="17" t="str">
        <f t="shared" si="3"/>
        <v/>
      </c>
    </row>
    <row r="2078" spans="31:36">
      <c r="AE2078" s="15" t="str">
        <f t="shared" si="0"/>
        <v/>
      </c>
      <c r="AF2078" s="15" t="str">
        <f t="shared" si="1"/>
        <v/>
      </c>
      <c r="AG2078" s="15" t="str">
        <f>IF(OR(AF2078="",AF2078="ERRO_CHAVE"),"",IFERROR(MATCH(AF2078,'Quitados DUPP'!$U$1:$U$6635,0),""))</f>
        <v/>
      </c>
      <c r="AH2078" s="15" t="str">
        <f t="shared" si="2"/>
        <v/>
      </c>
      <c r="AI2078" s="17" t="str">
        <f>IF(AG2078="","",INDEX('Quitados DUPP'!$G$1:$G$6635,AG2078))</f>
        <v/>
      </c>
      <c r="AJ2078" s="17" t="str">
        <f t="shared" si="3"/>
        <v/>
      </c>
    </row>
    <row r="2079" spans="31:36">
      <c r="AE2079" s="15" t="str">
        <f t="shared" si="0"/>
        <v/>
      </c>
      <c r="AF2079" s="15" t="str">
        <f t="shared" si="1"/>
        <v/>
      </c>
      <c r="AG2079" s="15" t="str">
        <f>IF(OR(AF2079="",AF2079="ERRO_CHAVE"),"",IFERROR(MATCH(AF2079,'Quitados DUPP'!$U$1:$U$6635,0),""))</f>
        <v/>
      </c>
      <c r="AH2079" s="15" t="str">
        <f t="shared" si="2"/>
        <v/>
      </c>
      <c r="AI2079" s="17" t="str">
        <f>IF(AG2079="","",INDEX('Quitados DUPP'!$G$1:$G$6635,AG2079))</f>
        <v/>
      </c>
      <c r="AJ2079" s="17" t="str">
        <f t="shared" si="3"/>
        <v/>
      </c>
    </row>
    <row r="2080" spans="31:36">
      <c r="AE2080" s="15" t="str">
        <f t="shared" si="0"/>
        <v/>
      </c>
      <c r="AF2080" s="15" t="str">
        <f t="shared" si="1"/>
        <v/>
      </c>
      <c r="AG2080" s="15" t="str">
        <f>IF(OR(AF2080="",AF2080="ERRO_CHAVE"),"",IFERROR(MATCH(AF2080,'Quitados DUPP'!$U$1:$U$6635,0),""))</f>
        <v/>
      </c>
      <c r="AH2080" s="15" t="str">
        <f t="shared" si="2"/>
        <v/>
      </c>
      <c r="AI2080" s="17" t="str">
        <f>IF(AG2080="","",INDEX('Quitados DUPP'!$G$1:$G$6635,AG2080))</f>
        <v/>
      </c>
      <c r="AJ2080" s="17" t="str">
        <f t="shared" si="3"/>
        <v/>
      </c>
    </row>
    <row r="2081" spans="31:36">
      <c r="AE2081" s="15" t="str">
        <f t="shared" si="0"/>
        <v/>
      </c>
      <c r="AF2081" s="15" t="str">
        <f t="shared" si="1"/>
        <v/>
      </c>
      <c r="AG2081" s="15" t="str">
        <f>IF(OR(AF2081="",AF2081="ERRO_CHAVE"),"",IFERROR(MATCH(AF2081,'Quitados DUPP'!$U$1:$U$6635,0),""))</f>
        <v/>
      </c>
      <c r="AH2081" s="15" t="str">
        <f t="shared" si="2"/>
        <v/>
      </c>
      <c r="AI2081" s="17" t="str">
        <f>IF(AG2081="","",INDEX('Quitados DUPP'!$G$1:$G$6635,AG2081))</f>
        <v/>
      </c>
      <c r="AJ2081" s="17" t="str">
        <f t="shared" si="3"/>
        <v/>
      </c>
    </row>
    <row r="2082" spans="31:36">
      <c r="AE2082" s="15" t="str">
        <f t="shared" si="0"/>
        <v/>
      </c>
      <c r="AF2082" s="15" t="str">
        <f t="shared" si="1"/>
        <v/>
      </c>
      <c r="AG2082" s="15" t="str">
        <f>IF(OR(AF2082="",AF2082="ERRO_CHAVE"),"",IFERROR(MATCH(AF2082,'Quitados DUPP'!$U$1:$U$6635,0),""))</f>
        <v/>
      </c>
      <c r="AH2082" s="15" t="str">
        <f t="shared" si="2"/>
        <v/>
      </c>
      <c r="AI2082" s="17" t="str">
        <f>IF(AG2082="","",INDEX('Quitados DUPP'!$G$1:$G$6635,AG2082))</f>
        <v/>
      </c>
      <c r="AJ2082" s="17" t="str">
        <f t="shared" si="3"/>
        <v/>
      </c>
    </row>
    <row r="2083" spans="31:36">
      <c r="AE2083" s="15" t="str">
        <f t="shared" si="0"/>
        <v/>
      </c>
      <c r="AF2083" s="15" t="str">
        <f t="shared" si="1"/>
        <v/>
      </c>
      <c r="AG2083" s="15" t="str">
        <f>IF(OR(AF2083="",AF2083="ERRO_CHAVE"),"",IFERROR(MATCH(AF2083,'Quitados DUPP'!$U$1:$U$6635,0),""))</f>
        <v/>
      </c>
      <c r="AH2083" s="15" t="str">
        <f t="shared" si="2"/>
        <v/>
      </c>
      <c r="AI2083" s="17" t="str">
        <f>IF(AG2083="","",INDEX('Quitados DUPP'!$G$1:$G$6635,AG2083))</f>
        <v/>
      </c>
      <c r="AJ2083" s="17" t="str">
        <f t="shared" si="3"/>
        <v/>
      </c>
    </row>
    <row r="2084" spans="31:36">
      <c r="AE2084" s="15" t="str">
        <f t="shared" si="0"/>
        <v/>
      </c>
      <c r="AF2084" s="15" t="str">
        <f t="shared" si="1"/>
        <v/>
      </c>
      <c r="AG2084" s="15" t="str">
        <f>IF(OR(AF2084="",AF2084="ERRO_CHAVE"),"",IFERROR(MATCH(AF2084,'Quitados DUPP'!$U$1:$U$6635,0),""))</f>
        <v/>
      </c>
      <c r="AH2084" s="15" t="str">
        <f t="shared" si="2"/>
        <v/>
      </c>
      <c r="AI2084" s="17" t="str">
        <f>IF(AG2084="","",INDEX('Quitados DUPP'!$G$1:$G$6635,AG2084))</f>
        <v/>
      </c>
      <c r="AJ2084" s="17" t="str">
        <f t="shared" si="3"/>
        <v/>
      </c>
    </row>
    <row r="2085" spans="31:36">
      <c r="AE2085" s="15" t="str">
        <f t="shared" si="0"/>
        <v/>
      </c>
      <c r="AF2085" s="15" t="str">
        <f t="shared" si="1"/>
        <v/>
      </c>
      <c r="AG2085" s="15" t="str">
        <f>IF(OR(AF2085="",AF2085="ERRO_CHAVE"),"",IFERROR(MATCH(AF2085,'Quitados DUPP'!$U$1:$U$6635,0),""))</f>
        <v/>
      </c>
      <c r="AH2085" s="15" t="str">
        <f t="shared" si="2"/>
        <v/>
      </c>
      <c r="AI2085" s="17" t="str">
        <f>IF(AG2085="","",INDEX('Quitados DUPP'!$G$1:$G$6635,AG2085))</f>
        <v/>
      </c>
      <c r="AJ2085" s="17" t="str">
        <f t="shared" si="3"/>
        <v/>
      </c>
    </row>
    <row r="2086" spans="31:36">
      <c r="AE2086" s="15" t="str">
        <f t="shared" si="0"/>
        <v/>
      </c>
      <c r="AF2086" s="15" t="str">
        <f t="shared" si="1"/>
        <v/>
      </c>
      <c r="AG2086" s="15" t="str">
        <f>IF(OR(AF2086="",AF2086="ERRO_CHAVE"),"",IFERROR(MATCH(AF2086,'Quitados DUPP'!$U$1:$U$6635,0),""))</f>
        <v/>
      </c>
      <c r="AH2086" s="15" t="str">
        <f t="shared" si="2"/>
        <v/>
      </c>
      <c r="AI2086" s="17" t="str">
        <f>IF(AG2086="","",INDEX('Quitados DUPP'!$G$1:$G$6635,AG2086))</f>
        <v/>
      </c>
      <c r="AJ2086" s="17" t="str">
        <f t="shared" si="3"/>
        <v/>
      </c>
    </row>
    <row r="2087" spans="31:36">
      <c r="AE2087" s="15" t="str">
        <f t="shared" si="0"/>
        <v/>
      </c>
      <c r="AF2087" s="15" t="str">
        <f t="shared" si="1"/>
        <v/>
      </c>
      <c r="AG2087" s="15" t="str">
        <f>IF(OR(AF2087="",AF2087="ERRO_CHAVE"),"",IFERROR(MATCH(AF2087,'Quitados DUPP'!$U$1:$U$6635,0),""))</f>
        <v/>
      </c>
      <c r="AH2087" s="15" t="str">
        <f t="shared" si="2"/>
        <v/>
      </c>
      <c r="AI2087" s="17" t="str">
        <f>IF(AG2087="","",INDEX('Quitados DUPP'!$G$1:$G$6635,AG2087))</f>
        <v/>
      </c>
      <c r="AJ2087" s="17" t="str">
        <f t="shared" si="3"/>
        <v/>
      </c>
    </row>
    <row r="2088" spans="31:36">
      <c r="AE2088" s="15" t="str">
        <f t="shared" si="0"/>
        <v/>
      </c>
      <c r="AF2088" s="15" t="str">
        <f t="shared" si="1"/>
        <v/>
      </c>
      <c r="AG2088" s="15" t="str">
        <f>IF(OR(AF2088="",AF2088="ERRO_CHAVE"),"",IFERROR(MATCH(AF2088,'Quitados DUPP'!$U$1:$U$6635,0),""))</f>
        <v/>
      </c>
      <c r="AH2088" s="15" t="str">
        <f t="shared" si="2"/>
        <v/>
      </c>
      <c r="AI2088" s="17" t="str">
        <f>IF(AG2088="","",INDEX('Quitados DUPP'!$G$1:$G$6635,AG2088))</f>
        <v/>
      </c>
      <c r="AJ2088" s="17" t="str">
        <f t="shared" si="3"/>
        <v/>
      </c>
    </row>
    <row r="2089" spans="31:36">
      <c r="AE2089" s="15" t="str">
        <f t="shared" si="0"/>
        <v/>
      </c>
      <c r="AF2089" s="15" t="str">
        <f t="shared" si="1"/>
        <v/>
      </c>
      <c r="AG2089" s="15" t="str">
        <f>IF(OR(AF2089="",AF2089="ERRO_CHAVE"),"",IFERROR(MATCH(AF2089,'Quitados DUPP'!$U$1:$U$6635,0),""))</f>
        <v/>
      </c>
      <c r="AH2089" s="15" t="str">
        <f t="shared" si="2"/>
        <v/>
      </c>
      <c r="AI2089" s="17" t="str">
        <f>IF(AG2089="","",INDEX('Quitados DUPP'!$G$1:$G$6635,AG2089))</f>
        <v/>
      </c>
      <c r="AJ2089" s="17" t="str">
        <f t="shared" si="3"/>
        <v/>
      </c>
    </row>
    <row r="2090" spans="31:36">
      <c r="AE2090" s="15" t="str">
        <f t="shared" si="0"/>
        <v/>
      </c>
      <c r="AF2090" s="15" t="str">
        <f t="shared" si="1"/>
        <v/>
      </c>
      <c r="AG2090" s="15" t="str">
        <f>IF(OR(AF2090="",AF2090="ERRO_CHAVE"),"",IFERROR(MATCH(AF2090,'Quitados DUPP'!$U$1:$U$6635,0),""))</f>
        <v/>
      </c>
      <c r="AH2090" s="15" t="str">
        <f t="shared" si="2"/>
        <v/>
      </c>
      <c r="AI2090" s="17" t="str">
        <f>IF(AG2090="","",INDEX('Quitados DUPP'!$G$1:$G$6635,AG2090))</f>
        <v/>
      </c>
      <c r="AJ2090" s="17" t="str">
        <f t="shared" si="3"/>
        <v/>
      </c>
    </row>
    <row r="2091" spans="31:36">
      <c r="AE2091" s="15" t="str">
        <f t="shared" si="0"/>
        <v/>
      </c>
      <c r="AF2091" s="15" t="str">
        <f t="shared" si="1"/>
        <v/>
      </c>
      <c r="AG2091" s="15" t="str">
        <f>IF(OR(AF2091="",AF2091="ERRO_CHAVE"),"",IFERROR(MATCH(AF2091,'Quitados DUPP'!$U$1:$U$6635,0),""))</f>
        <v/>
      </c>
      <c r="AH2091" s="15" t="str">
        <f t="shared" si="2"/>
        <v/>
      </c>
      <c r="AI2091" s="17" t="str">
        <f>IF(AG2091="","",INDEX('Quitados DUPP'!$G$1:$G$6635,AG2091))</f>
        <v/>
      </c>
      <c r="AJ2091" s="17" t="str">
        <f t="shared" si="3"/>
        <v/>
      </c>
    </row>
    <row r="2092" spans="31:36">
      <c r="AE2092" s="15" t="str">
        <f t="shared" si="0"/>
        <v/>
      </c>
      <c r="AF2092" s="15" t="str">
        <f t="shared" si="1"/>
        <v/>
      </c>
      <c r="AG2092" s="15" t="str">
        <f>IF(OR(AF2092="",AF2092="ERRO_CHAVE"),"",IFERROR(MATCH(AF2092,'Quitados DUPP'!$U$1:$U$6635,0),""))</f>
        <v/>
      </c>
      <c r="AH2092" s="15" t="str">
        <f t="shared" si="2"/>
        <v/>
      </c>
      <c r="AI2092" s="17" t="str">
        <f>IF(AG2092="","",INDEX('Quitados DUPP'!$G$1:$G$6635,AG2092))</f>
        <v/>
      </c>
      <c r="AJ2092" s="17" t="str">
        <f t="shared" si="3"/>
        <v/>
      </c>
    </row>
    <row r="2093" spans="31:36">
      <c r="AE2093" s="15" t="str">
        <f t="shared" si="0"/>
        <v/>
      </c>
      <c r="AF2093" s="15" t="str">
        <f t="shared" si="1"/>
        <v/>
      </c>
      <c r="AG2093" s="15" t="str">
        <f>IF(OR(AF2093="",AF2093="ERRO_CHAVE"),"",IFERROR(MATCH(AF2093,'Quitados DUPP'!$U$1:$U$6635,0),""))</f>
        <v/>
      </c>
      <c r="AH2093" s="15" t="str">
        <f t="shared" si="2"/>
        <v/>
      </c>
      <c r="AI2093" s="17" t="str">
        <f>IF(AG2093="","",INDEX('Quitados DUPP'!$G$1:$G$6635,AG2093))</f>
        <v/>
      </c>
      <c r="AJ2093" s="17" t="str">
        <f t="shared" si="3"/>
        <v/>
      </c>
    </row>
    <row r="2094" spans="31:36">
      <c r="AE2094" s="15" t="str">
        <f t="shared" si="0"/>
        <v/>
      </c>
      <c r="AF2094" s="15" t="str">
        <f t="shared" si="1"/>
        <v/>
      </c>
      <c r="AG2094" s="15" t="str">
        <f>IF(OR(AF2094="",AF2094="ERRO_CHAVE"),"",IFERROR(MATCH(AF2094,'Quitados DUPP'!$U$1:$U$6635,0),""))</f>
        <v/>
      </c>
      <c r="AH2094" s="15" t="str">
        <f t="shared" si="2"/>
        <v/>
      </c>
      <c r="AI2094" s="17" t="str">
        <f>IF(AG2094="","",INDEX('Quitados DUPP'!$G$1:$G$6635,AG2094))</f>
        <v/>
      </c>
      <c r="AJ2094" s="17" t="str">
        <f t="shared" si="3"/>
        <v/>
      </c>
    </row>
    <row r="2095" spans="31:36">
      <c r="AE2095" s="15" t="str">
        <f t="shared" si="0"/>
        <v/>
      </c>
      <c r="AF2095" s="15" t="str">
        <f t="shared" si="1"/>
        <v/>
      </c>
      <c r="AG2095" s="15" t="str">
        <f>IF(OR(AF2095="",AF2095="ERRO_CHAVE"),"",IFERROR(MATCH(AF2095,'Quitados DUPP'!$U$1:$U$6635,0),""))</f>
        <v/>
      </c>
      <c r="AH2095" s="15" t="str">
        <f t="shared" si="2"/>
        <v/>
      </c>
      <c r="AI2095" s="17" t="str">
        <f>IF(AG2095="","",INDEX('Quitados DUPP'!$G$1:$G$6635,AG2095))</f>
        <v/>
      </c>
      <c r="AJ2095" s="17" t="str">
        <f t="shared" si="3"/>
        <v/>
      </c>
    </row>
    <row r="2096" spans="31:36">
      <c r="AE2096" s="15" t="str">
        <f t="shared" si="0"/>
        <v/>
      </c>
      <c r="AF2096" s="15" t="str">
        <f t="shared" si="1"/>
        <v/>
      </c>
      <c r="AG2096" s="15" t="str">
        <f>IF(OR(AF2096="",AF2096="ERRO_CHAVE"),"",IFERROR(MATCH(AF2096,'Quitados DUPP'!$U$1:$U$6635,0),""))</f>
        <v/>
      </c>
      <c r="AH2096" s="15" t="str">
        <f t="shared" si="2"/>
        <v/>
      </c>
      <c r="AI2096" s="17" t="str">
        <f>IF(AG2096="","",INDEX('Quitados DUPP'!$G$1:$G$6635,AG2096))</f>
        <v/>
      </c>
      <c r="AJ2096" s="17" t="str">
        <f t="shared" si="3"/>
        <v/>
      </c>
    </row>
    <row r="2097" spans="31:36">
      <c r="AE2097" s="15" t="str">
        <f t="shared" si="0"/>
        <v/>
      </c>
      <c r="AF2097" s="15" t="str">
        <f t="shared" si="1"/>
        <v/>
      </c>
      <c r="AG2097" s="15" t="str">
        <f>IF(OR(AF2097="",AF2097="ERRO_CHAVE"),"",IFERROR(MATCH(AF2097,'Quitados DUPP'!$U$1:$U$6635,0),""))</f>
        <v/>
      </c>
      <c r="AH2097" s="15" t="str">
        <f t="shared" si="2"/>
        <v/>
      </c>
      <c r="AI2097" s="17" t="str">
        <f>IF(AG2097="","",INDEX('Quitados DUPP'!$G$1:$G$6635,AG2097))</f>
        <v/>
      </c>
      <c r="AJ2097" s="17" t="str">
        <f t="shared" si="3"/>
        <v/>
      </c>
    </row>
    <row r="2098" spans="31:36">
      <c r="AE2098" s="15" t="str">
        <f t="shared" si="0"/>
        <v/>
      </c>
      <c r="AF2098" s="15" t="str">
        <f t="shared" si="1"/>
        <v/>
      </c>
      <c r="AG2098" s="15" t="str">
        <f>IF(OR(AF2098="",AF2098="ERRO_CHAVE"),"",IFERROR(MATCH(AF2098,'Quitados DUPP'!$U$1:$U$6635,0),""))</f>
        <v/>
      </c>
      <c r="AH2098" s="15" t="str">
        <f t="shared" si="2"/>
        <v/>
      </c>
      <c r="AI2098" s="17" t="str">
        <f>IF(AG2098="","",INDEX('Quitados DUPP'!$G$1:$G$6635,AG2098))</f>
        <v/>
      </c>
      <c r="AJ2098" s="17" t="str">
        <f t="shared" si="3"/>
        <v/>
      </c>
    </row>
    <row r="2099" spans="31:36">
      <c r="AE2099" s="15" t="str">
        <f t="shared" si="0"/>
        <v/>
      </c>
      <c r="AF2099" s="15" t="str">
        <f t="shared" si="1"/>
        <v/>
      </c>
      <c r="AG2099" s="15" t="str">
        <f>IF(OR(AF2099="",AF2099="ERRO_CHAVE"),"",IFERROR(MATCH(AF2099,'Quitados DUPP'!$U$1:$U$6635,0),""))</f>
        <v/>
      </c>
      <c r="AH2099" s="15" t="str">
        <f t="shared" si="2"/>
        <v/>
      </c>
      <c r="AI2099" s="17" t="str">
        <f>IF(AG2099="","",INDEX('Quitados DUPP'!$G$1:$G$6635,AG2099))</f>
        <v/>
      </c>
      <c r="AJ2099" s="17" t="str">
        <f t="shared" si="3"/>
        <v/>
      </c>
    </row>
    <row r="2100" spans="31:36">
      <c r="AE2100" s="15" t="str">
        <f t="shared" si="0"/>
        <v/>
      </c>
      <c r="AF2100" s="15" t="str">
        <f t="shared" si="1"/>
        <v/>
      </c>
      <c r="AG2100" s="15" t="str">
        <f>IF(OR(AF2100="",AF2100="ERRO_CHAVE"),"",IFERROR(MATCH(AF2100,'Quitados DUPP'!$U$1:$U$6635,0),""))</f>
        <v/>
      </c>
      <c r="AH2100" s="15" t="str">
        <f t="shared" si="2"/>
        <v/>
      </c>
      <c r="AI2100" s="17" t="str">
        <f>IF(AG2100="","",INDEX('Quitados DUPP'!$G$1:$G$6635,AG2100))</f>
        <v/>
      </c>
      <c r="AJ2100" s="17" t="str">
        <f t="shared" si="3"/>
        <v/>
      </c>
    </row>
    <row r="2101" spans="31:36">
      <c r="AE2101" s="15" t="str">
        <f t="shared" si="0"/>
        <v/>
      </c>
      <c r="AF2101" s="15" t="str">
        <f t="shared" si="1"/>
        <v/>
      </c>
      <c r="AG2101" s="15" t="str">
        <f>IF(OR(AF2101="",AF2101="ERRO_CHAVE"),"",IFERROR(MATCH(AF2101,'Quitados DUPP'!$U$1:$U$6635,0),""))</f>
        <v/>
      </c>
      <c r="AH2101" s="15" t="str">
        <f t="shared" si="2"/>
        <v/>
      </c>
      <c r="AI2101" s="17" t="str">
        <f>IF(AG2101="","",INDEX('Quitados DUPP'!$G$1:$G$6635,AG2101))</f>
        <v/>
      </c>
      <c r="AJ2101" s="17" t="str">
        <f t="shared" si="3"/>
        <v/>
      </c>
    </row>
    <row r="2102" spans="31:36">
      <c r="AE2102" s="15" t="str">
        <f t="shared" si="0"/>
        <v/>
      </c>
      <c r="AF2102" s="15" t="str">
        <f t="shared" si="1"/>
        <v/>
      </c>
      <c r="AG2102" s="15" t="str">
        <f>IF(OR(AF2102="",AF2102="ERRO_CHAVE"),"",IFERROR(MATCH(AF2102,'Quitados DUPP'!$U$1:$U$6635,0),""))</f>
        <v/>
      </c>
      <c r="AH2102" s="15" t="str">
        <f t="shared" si="2"/>
        <v/>
      </c>
      <c r="AI2102" s="17" t="str">
        <f>IF(AG2102="","",INDEX('Quitados DUPP'!$G$1:$G$6635,AG2102))</f>
        <v/>
      </c>
      <c r="AJ2102" s="17" t="str">
        <f t="shared" si="3"/>
        <v/>
      </c>
    </row>
    <row r="2103" spans="31:36">
      <c r="AE2103" s="15" t="str">
        <f t="shared" si="0"/>
        <v/>
      </c>
      <c r="AF2103" s="15" t="str">
        <f t="shared" si="1"/>
        <v/>
      </c>
      <c r="AG2103" s="15" t="str">
        <f>IF(OR(AF2103="",AF2103="ERRO_CHAVE"),"",IFERROR(MATCH(AF2103,'Quitados DUPP'!$U$1:$U$6635,0),""))</f>
        <v/>
      </c>
      <c r="AH2103" s="15" t="str">
        <f t="shared" si="2"/>
        <v/>
      </c>
      <c r="AI2103" s="17" t="str">
        <f>IF(AG2103="","",INDEX('Quitados DUPP'!$G$1:$G$6635,AG2103))</f>
        <v/>
      </c>
      <c r="AJ2103" s="17" t="str">
        <f t="shared" si="3"/>
        <v/>
      </c>
    </row>
    <row r="2104" spans="31:36">
      <c r="AE2104" s="15" t="str">
        <f t="shared" si="0"/>
        <v/>
      </c>
      <c r="AF2104" s="15" t="str">
        <f t="shared" si="1"/>
        <v/>
      </c>
      <c r="AG2104" s="15" t="str">
        <f>IF(OR(AF2104="",AF2104="ERRO_CHAVE"),"",IFERROR(MATCH(AF2104,'Quitados DUPP'!$U$1:$U$6635,0),""))</f>
        <v/>
      </c>
      <c r="AH2104" s="15" t="str">
        <f t="shared" si="2"/>
        <v/>
      </c>
      <c r="AI2104" s="17" t="str">
        <f>IF(AG2104="","",INDEX('Quitados DUPP'!$G$1:$G$6635,AG2104))</f>
        <v/>
      </c>
      <c r="AJ2104" s="17" t="str">
        <f t="shared" si="3"/>
        <v/>
      </c>
    </row>
    <row r="2105" spans="31:36">
      <c r="AE2105" s="15" t="str">
        <f t="shared" si="0"/>
        <v/>
      </c>
      <c r="AF2105" s="15" t="str">
        <f t="shared" si="1"/>
        <v/>
      </c>
      <c r="AG2105" s="15" t="str">
        <f>IF(OR(AF2105="",AF2105="ERRO_CHAVE"),"",IFERROR(MATCH(AF2105,'Quitados DUPP'!$U$1:$U$6635,0),""))</f>
        <v/>
      </c>
      <c r="AH2105" s="15" t="str">
        <f t="shared" si="2"/>
        <v/>
      </c>
      <c r="AI2105" s="17" t="str">
        <f>IF(AG2105="","",INDEX('Quitados DUPP'!$G$1:$G$6635,AG2105))</f>
        <v/>
      </c>
      <c r="AJ2105" s="17" t="str">
        <f t="shared" si="3"/>
        <v/>
      </c>
    </row>
    <row r="2106" spans="31:36">
      <c r="AE2106" s="15" t="str">
        <f t="shared" si="0"/>
        <v/>
      </c>
      <c r="AF2106" s="15" t="str">
        <f t="shared" si="1"/>
        <v/>
      </c>
      <c r="AG2106" s="15" t="str">
        <f>IF(OR(AF2106="",AF2106="ERRO_CHAVE"),"",IFERROR(MATCH(AF2106,'Quitados DUPP'!$U$1:$U$6635,0),""))</f>
        <v/>
      </c>
      <c r="AH2106" s="15" t="str">
        <f t="shared" si="2"/>
        <v/>
      </c>
      <c r="AI2106" s="17" t="str">
        <f>IF(AG2106="","",INDEX('Quitados DUPP'!$G$1:$G$6635,AG2106))</f>
        <v/>
      </c>
      <c r="AJ2106" s="17" t="str">
        <f t="shared" si="3"/>
        <v/>
      </c>
    </row>
    <row r="2107" spans="31:36">
      <c r="AE2107" s="15" t="str">
        <f t="shared" si="0"/>
        <v/>
      </c>
      <c r="AF2107" s="15" t="str">
        <f t="shared" si="1"/>
        <v/>
      </c>
      <c r="AG2107" s="15" t="str">
        <f>IF(OR(AF2107="",AF2107="ERRO_CHAVE"),"",IFERROR(MATCH(AF2107,'Quitados DUPP'!$U$1:$U$6635,0),""))</f>
        <v/>
      </c>
      <c r="AH2107" s="15" t="str">
        <f t="shared" si="2"/>
        <v/>
      </c>
      <c r="AI2107" s="17" t="str">
        <f>IF(AG2107="","",INDEX('Quitados DUPP'!$G$1:$G$6635,AG2107))</f>
        <v/>
      </c>
      <c r="AJ2107" s="17" t="str">
        <f t="shared" si="3"/>
        <v/>
      </c>
    </row>
    <row r="2108" spans="31:36">
      <c r="AE2108" s="15" t="str">
        <f t="shared" si="0"/>
        <v/>
      </c>
      <c r="AF2108" s="15" t="str">
        <f t="shared" si="1"/>
        <v/>
      </c>
      <c r="AG2108" s="15" t="str">
        <f>IF(OR(AF2108="",AF2108="ERRO_CHAVE"),"",IFERROR(MATCH(AF2108,'Quitados DUPP'!$U$1:$U$6635,0),""))</f>
        <v/>
      </c>
      <c r="AH2108" s="15" t="str">
        <f t="shared" si="2"/>
        <v/>
      </c>
      <c r="AI2108" s="17" t="str">
        <f>IF(AG2108="","",INDEX('Quitados DUPP'!$G$1:$G$6635,AG2108))</f>
        <v/>
      </c>
      <c r="AJ2108" s="17" t="str">
        <f t="shared" si="3"/>
        <v/>
      </c>
    </row>
    <row r="2109" spans="31:36">
      <c r="AE2109" s="15" t="str">
        <f t="shared" si="0"/>
        <v/>
      </c>
      <c r="AF2109" s="15" t="str">
        <f t="shared" si="1"/>
        <v/>
      </c>
      <c r="AG2109" s="15" t="str">
        <f>IF(OR(AF2109="",AF2109="ERRO_CHAVE"),"",IFERROR(MATCH(AF2109,'Quitados DUPP'!$U$1:$U$6635,0),""))</f>
        <v/>
      </c>
      <c r="AH2109" s="15" t="str">
        <f t="shared" si="2"/>
        <v/>
      </c>
      <c r="AI2109" s="17" t="str">
        <f>IF(AG2109="","",INDEX('Quitados DUPP'!$G$1:$G$6635,AG2109))</f>
        <v/>
      </c>
      <c r="AJ2109" s="17" t="str">
        <f t="shared" si="3"/>
        <v/>
      </c>
    </row>
    <row r="2110" spans="31:36">
      <c r="AE2110" s="15" t="str">
        <f t="shared" si="0"/>
        <v/>
      </c>
      <c r="AF2110" s="15" t="str">
        <f t="shared" si="1"/>
        <v/>
      </c>
      <c r="AG2110" s="15" t="str">
        <f>IF(OR(AF2110="",AF2110="ERRO_CHAVE"),"",IFERROR(MATCH(AF2110,'Quitados DUPP'!$U$1:$U$6635,0),""))</f>
        <v/>
      </c>
      <c r="AH2110" s="15" t="str">
        <f t="shared" si="2"/>
        <v/>
      </c>
      <c r="AI2110" s="17" t="str">
        <f>IF(AG2110="","",INDEX('Quitados DUPP'!$G$1:$G$6635,AG2110))</f>
        <v/>
      </c>
      <c r="AJ2110" s="17" t="str">
        <f t="shared" si="3"/>
        <v/>
      </c>
    </row>
    <row r="2111" spans="31:36">
      <c r="AE2111" s="15" t="str">
        <f t="shared" si="0"/>
        <v/>
      </c>
      <c r="AF2111" s="15" t="str">
        <f t="shared" si="1"/>
        <v/>
      </c>
      <c r="AG2111" s="15" t="str">
        <f>IF(OR(AF2111="",AF2111="ERRO_CHAVE"),"",IFERROR(MATCH(AF2111,'Quitados DUPP'!$U$1:$U$6635,0),""))</f>
        <v/>
      </c>
      <c r="AH2111" s="15" t="str">
        <f t="shared" si="2"/>
        <v/>
      </c>
      <c r="AI2111" s="17" t="str">
        <f>IF(AG2111="","",INDEX('Quitados DUPP'!$G$1:$G$6635,AG2111))</f>
        <v/>
      </c>
      <c r="AJ2111" s="17" t="str">
        <f t="shared" si="3"/>
        <v/>
      </c>
    </row>
    <row r="2112" spans="31:36">
      <c r="AE2112" s="15" t="str">
        <f t="shared" si="0"/>
        <v/>
      </c>
      <c r="AF2112" s="15" t="str">
        <f t="shared" si="1"/>
        <v/>
      </c>
      <c r="AG2112" s="15" t="str">
        <f>IF(OR(AF2112="",AF2112="ERRO_CHAVE"),"",IFERROR(MATCH(AF2112,'Quitados DUPP'!$U$1:$U$6635,0),""))</f>
        <v/>
      </c>
      <c r="AH2112" s="15" t="str">
        <f t="shared" si="2"/>
        <v/>
      </c>
      <c r="AI2112" s="17" t="str">
        <f>IF(AG2112="","",INDEX('Quitados DUPP'!$G$1:$G$6635,AG2112))</f>
        <v/>
      </c>
      <c r="AJ2112" s="17" t="str">
        <f t="shared" si="3"/>
        <v/>
      </c>
    </row>
    <row r="2113" spans="31:36">
      <c r="AE2113" s="15" t="str">
        <f t="shared" si="0"/>
        <v/>
      </c>
      <c r="AF2113" s="15" t="str">
        <f t="shared" si="1"/>
        <v/>
      </c>
      <c r="AG2113" s="15" t="str">
        <f>IF(OR(AF2113="",AF2113="ERRO_CHAVE"),"",IFERROR(MATCH(AF2113,'Quitados DUPP'!$U$1:$U$6635,0),""))</f>
        <v/>
      </c>
      <c r="AH2113" s="15" t="str">
        <f t="shared" si="2"/>
        <v/>
      </c>
      <c r="AI2113" s="17" t="str">
        <f>IF(AG2113="","",INDEX('Quitados DUPP'!$G$1:$G$6635,AG2113))</f>
        <v/>
      </c>
      <c r="AJ2113" s="17" t="str">
        <f t="shared" si="3"/>
        <v/>
      </c>
    </row>
    <row r="2114" spans="31:36">
      <c r="AE2114" s="15" t="str">
        <f t="shared" si="0"/>
        <v/>
      </c>
      <c r="AF2114" s="15" t="str">
        <f t="shared" si="1"/>
        <v/>
      </c>
      <c r="AG2114" s="15" t="str">
        <f>IF(OR(AF2114="",AF2114="ERRO_CHAVE"),"",IFERROR(MATCH(AF2114,'Quitados DUPP'!$U$1:$U$6635,0),""))</f>
        <v/>
      </c>
      <c r="AH2114" s="15" t="str">
        <f t="shared" si="2"/>
        <v/>
      </c>
      <c r="AI2114" s="17" t="str">
        <f>IF(AG2114="","",INDEX('Quitados DUPP'!$G$1:$G$6635,AG2114))</f>
        <v/>
      </c>
      <c r="AJ2114" s="17" t="str">
        <f t="shared" si="3"/>
        <v/>
      </c>
    </row>
    <row r="2115" spans="31:36">
      <c r="AE2115" s="15" t="str">
        <f t="shared" si="0"/>
        <v/>
      </c>
      <c r="AF2115" s="15" t="str">
        <f t="shared" si="1"/>
        <v/>
      </c>
      <c r="AG2115" s="15" t="str">
        <f>IF(OR(AF2115="",AF2115="ERRO_CHAVE"),"",IFERROR(MATCH(AF2115,'Quitados DUPP'!$U$1:$U$6635,0),""))</f>
        <v/>
      </c>
      <c r="AH2115" s="15" t="str">
        <f t="shared" si="2"/>
        <v/>
      </c>
      <c r="AI2115" s="17" t="str">
        <f>IF(AG2115="","",INDEX('Quitados DUPP'!$G$1:$G$6635,AG2115))</f>
        <v/>
      </c>
      <c r="AJ2115" s="17" t="str">
        <f t="shared" si="3"/>
        <v/>
      </c>
    </row>
    <row r="2116" spans="31:36">
      <c r="AE2116" s="15" t="str">
        <f t="shared" si="0"/>
        <v/>
      </c>
      <c r="AF2116" s="15" t="str">
        <f t="shared" si="1"/>
        <v/>
      </c>
      <c r="AG2116" s="15" t="str">
        <f>IF(OR(AF2116="",AF2116="ERRO_CHAVE"),"",IFERROR(MATCH(AF2116,'Quitados DUPP'!$U$1:$U$6635,0),""))</f>
        <v/>
      </c>
      <c r="AH2116" s="15" t="str">
        <f t="shared" si="2"/>
        <v/>
      </c>
      <c r="AI2116" s="17" t="str">
        <f>IF(AG2116="","",INDEX('Quitados DUPP'!$G$1:$G$6635,AG2116))</f>
        <v/>
      </c>
      <c r="AJ2116" s="17" t="str">
        <f t="shared" si="3"/>
        <v/>
      </c>
    </row>
    <row r="2117" spans="31:36">
      <c r="AE2117" s="15" t="str">
        <f t="shared" si="0"/>
        <v/>
      </c>
      <c r="AF2117" s="15" t="str">
        <f t="shared" si="1"/>
        <v/>
      </c>
      <c r="AG2117" s="15" t="str">
        <f>IF(OR(AF2117="",AF2117="ERRO_CHAVE"),"",IFERROR(MATCH(AF2117,'Quitados DUPP'!$U$1:$U$6635,0),""))</f>
        <v/>
      </c>
      <c r="AH2117" s="15" t="str">
        <f t="shared" si="2"/>
        <v/>
      </c>
      <c r="AI2117" s="17" t="str">
        <f>IF(AG2117="","",INDEX('Quitados DUPP'!$G$1:$G$6635,AG2117))</f>
        <v/>
      </c>
      <c r="AJ2117" s="17" t="str">
        <f t="shared" si="3"/>
        <v/>
      </c>
    </row>
    <row r="2118" spans="31:36">
      <c r="AE2118" s="15" t="str">
        <f t="shared" si="0"/>
        <v/>
      </c>
      <c r="AF2118" s="15" t="str">
        <f t="shared" si="1"/>
        <v/>
      </c>
      <c r="AG2118" s="15" t="str">
        <f>IF(OR(AF2118="",AF2118="ERRO_CHAVE"),"",IFERROR(MATCH(AF2118,'Quitados DUPP'!$U$1:$U$6635,0),""))</f>
        <v/>
      </c>
      <c r="AH2118" s="15" t="str">
        <f t="shared" si="2"/>
        <v/>
      </c>
      <c r="AI2118" s="17" t="str">
        <f>IF(AG2118="","",INDEX('Quitados DUPP'!$G$1:$G$6635,AG2118))</f>
        <v/>
      </c>
      <c r="AJ2118" s="17" t="str">
        <f t="shared" si="3"/>
        <v/>
      </c>
    </row>
    <row r="2119" spans="31:36">
      <c r="AE2119" s="15" t="str">
        <f t="shared" si="0"/>
        <v/>
      </c>
      <c r="AF2119" s="15" t="str">
        <f t="shared" si="1"/>
        <v/>
      </c>
      <c r="AG2119" s="15" t="str">
        <f>IF(OR(AF2119="",AF2119="ERRO_CHAVE"),"",IFERROR(MATCH(AF2119,'Quitados DUPP'!$U$1:$U$6635,0),""))</f>
        <v/>
      </c>
      <c r="AH2119" s="15" t="str">
        <f t="shared" si="2"/>
        <v/>
      </c>
      <c r="AI2119" s="17" t="str">
        <f>IF(AG2119="","",INDEX('Quitados DUPP'!$G$1:$G$6635,AG2119))</f>
        <v/>
      </c>
      <c r="AJ2119" s="17" t="str">
        <f t="shared" si="3"/>
        <v/>
      </c>
    </row>
    <row r="2120" spans="31:36">
      <c r="AE2120" s="15" t="str">
        <f t="shared" si="0"/>
        <v/>
      </c>
      <c r="AF2120" s="15" t="str">
        <f t="shared" si="1"/>
        <v/>
      </c>
      <c r="AG2120" s="15" t="str">
        <f>IF(OR(AF2120="",AF2120="ERRO_CHAVE"),"",IFERROR(MATCH(AF2120,'Quitados DUPP'!$U$1:$U$6635,0),""))</f>
        <v/>
      </c>
      <c r="AH2120" s="15" t="str">
        <f t="shared" si="2"/>
        <v/>
      </c>
      <c r="AI2120" s="17" t="str">
        <f>IF(AG2120="","",INDEX('Quitados DUPP'!$G$1:$G$6635,AG2120))</f>
        <v/>
      </c>
      <c r="AJ2120" s="17" t="str">
        <f t="shared" si="3"/>
        <v/>
      </c>
    </row>
    <row r="2121" spans="31:36">
      <c r="AE2121" s="15" t="str">
        <f t="shared" si="0"/>
        <v/>
      </c>
      <c r="AF2121" s="15" t="str">
        <f t="shared" si="1"/>
        <v/>
      </c>
      <c r="AG2121" s="15" t="str">
        <f>IF(OR(AF2121="",AF2121="ERRO_CHAVE"),"",IFERROR(MATCH(AF2121,'Quitados DUPP'!$U$1:$U$6635,0),""))</f>
        <v/>
      </c>
      <c r="AH2121" s="15" t="str">
        <f t="shared" si="2"/>
        <v/>
      </c>
      <c r="AI2121" s="17" t="str">
        <f>IF(AG2121="","",INDEX('Quitados DUPP'!$G$1:$G$6635,AG2121))</f>
        <v/>
      </c>
      <c r="AJ2121" s="17" t="str">
        <f t="shared" si="3"/>
        <v/>
      </c>
    </row>
    <row r="2122" spans="31:36">
      <c r="AE2122" s="15" t="str">
        <f t="shared" si="0"/>
        <v/>
      </c>
      <c r="AF2122" s="15" t="str">
        <f t="shared" si="1"/>
        <v/>
      </c>
      <c r="AG2122" s="15" t="str">
        <f>IF(OR(AF2122="",AF2122="ERRO_CHAVE"),"",IFERROR(MATCH(AF2122,'Quitados DUPP'!$U$1:$U$6635,0),""))</f>
        <v/>
      </c>
      <c r="AH2122" s="15" t="str">
        <f t="shared" si="2"/>
        <v/>
      </c>
      <c r="AI2122" s="17" t="str">
        <f>IF(AG2122="","",INDEX('Quitados DUPP'!$G$1:$G$6635,AG2122))</f>
        <v/>
      </c>
      <c r="AJ2122" s="17" t="str">
        <f t="shared" si="3"/>
        <v/>
      </c>
    </row>
    <row r="2123" spans="31:36">
      <c r="AE2123" s="15" t="str">
        <f t="shared" si="0"/>
        <v/>
      </c>
      <c r="AF2123" s="15" t="str">
        <f t="shared" si="1"/>
        <v/>
      </c>
      <c r="AG2123" s="15" t="str">
        <f>IF(OR(AF2123="",AF2123="ERRO_CHAVE"),"",IFERROR(MATCH(AF2123,'Quitados DUPP'!$U$1:$U$6635,0),""))</f>
        <v/>
      </c>
      <c r="AH2123" s="15" t="str">
        <f t="shared" si="2"/>
        <v/>
      </c>
      <c r="AI2123" s="17" t="str">
        <f>IF(AG2123="","",INDEX('Quitados DUPP'!$G$1:$G$6635,AG2123))</f>
        <v/>
      </c>
      <c r="AJ2123" s="17" t="str">
        <f t="shared" si="3"/>
        <v/>
      </c>
    </row>
    <row r="2124" spans="31:36">
      <c r="AE2124" s="15" t="str">
        <f t="shared" si="0"/>
        <v/>
      </c>
      <c r="AF2124" s="15" t="str">
        <f t="shared" si="1"/>
        <v/>
      </c>
      <c r="AG2124" s="15" t="str">
        <f>IF(OR(AF2124="",AF2124="ERRO_CHAVE"),"",IFERROR(MATCH(AF2124,'Quitados DUPP'!$U$1:$U$6635,0),""))</f>
        <v/>
      </c>
      <c r="AH2124" s="15" t="str">
        <f t="shared" si="2"/>
        <v/>
      </c>
      <c r="AI2124" s="17" t="str">
        <f>IF(AG2124="","",INDEX('Quitados DUPP'!$G$1:$G$6635,AG2124))</f>
        <v/>
      </c>
      <c r="AJ2124" s="17" t="str">
        <f t="shared" si="3"/>
        <v/>
      </c>
    </row>
    <row r="2125" spans="31:36">
      <c r="AE2125" s="15" t="str">
        <f t="shared" si="0"/>
        <v/>
      </c>
      <c r="AF2125" s="15" t="str">
        <f t="shared" si="1"/>
        <v/>
      </c>
      <c r="AG2125" s="15" t="str">
        <f>IF(OR(AF2125="",AF2125="ERRO_CHAVE"),"",IFERROR(MATCH(AF2125,'Quitados DUPP'!$U$1:$U$6635,0),""))</f>
        <v/>
      </c>
      <c r="AH2125" s="15" t="str">
        <f t="shared" si="2"/>
        <v/>
      </c>
      <c r="AI2125" s="17" t="str">
        <f>IF(AG2125="","",INDEX('Quitados DUPP'!$G$1:$G$6635,AG2125))</f>
        <v/>
      </c>
      <c r="AJ2125" s="17" t="str">
        <f t="shared" si="3"/>
        <v/>
      </c>
    </row>
    <row r="2126" spans="31:36">
      <c r="AE2126" s="15" t="str">
        <f t="shared" si="0"/>
        <v/>
      </c>
      <c r="AF2126" s="15" t="str">
        <f t="shared" si="1"/>
        <v/>
      </c>
      <c r="AG2126" s="15" t="str">
        <f>IF(OR(AF2126="",AF2126="ERRO_CHAVE"),"",IFERROR(MATCH(AF2126,'Quitados DUPP'!$U$1:$U$6635,0),""))</f>
        <v/>
      </c>
      <c r="AH2126" s="15" t="str">
        <f t="shared" si="2"/>
        <v/>
      </c>
      <c r="AI2126" s="17" t="str">
        <f>IF(AG2126="","",INDEX('Quitados DUPP'!$G$1:$G$6635,AG2126))</f>
        <v/>
      </c>
      <c r="AJ2126" s="17" t="str">
        <f t="shared" si="3"/>
        <v/>
      </c>
    </row>
    <row r="2127" spans="31:36">
      <c r="AE2127" s="15" t="str">
        <f t="shared" si="0"/>
        <v/>
      </c>
      <c r="AF2127" s="15" t="str">
        <f t="shared" si="1"/>
        <v/>
      </c>
      <c r="AG2127" s="15" t="str">
        <f>IF(OR(AF2127="",AF2127="ERRO_CHAVE"),"",IFERROR(MATCH(AF2127,'Quitados DUPP'!$U$1:$U$6635,0),""))</f>
        <v/>
      </c>
      <c r="AH2127" s="15" t="str">
        <f t="shared" si="2"/>
        <v/>
      </c>
      <c r="AI2127" s="17" t="str">
        <f>IF(AG2127="","",INDEX('Quitados DUPP'!$G$1:$G$6635,AG2127))</f>
        <v/>
      </c>
      <c r="AJ2127" s="17" t="str">
        <f t="shared" si="3"/>
        <v/>
      </c>
    </row>
    <row r="2128" spans="31:36">
      <c r="AE2128" s="15" t="str">
        <f t="shared" si="0"/>
        <v/>
      </c>
      <c r="AF2128" s="15" t="str">
        <f t="shared" si="1"/>
        <v/>
      </c>
      <c r="AG2128" s="15" t="str">
        <f>IF(OR(AF2128="",AF2128="ERRO_CHAVE"),"",IFERROR(MATCH(AF2128,'Quitados DUPP'!$U$1:$U$6635,0),""))</f>
        <v/>
      </c>
      <c r="AH2128" s="15" t="str">
        <f t="shared" si="2"/>
        <v/>
      </c>
      <c r="AI2128" s="17" t="str">
        <f>IF(AG2128="","",INDEX('Quitados DUPP'!$G$1:$G$6635,AG2128))</f>
        <v/>
      </c>
      <c r="AJ2128" s="17" t="str">
        <f t="shared" si="3"/>
        <v/>
      </c>
    </row>
    <row r="2129" spans="31:36">
      <c r="AE2129" s="15" t="str">
        <f t="shared" si="0"/>
        <v/>
      </c>
      <c r="AF2129" s="15" t="str">
        <f t="shared" si="1"/>
        <v/>
      </c>
      <c r="AG2129" s="15" t="str">
        <f>IF(OR(AF2129="",AF2129="ERRO_CHAVE"),"",IFERROR(MATCH(AF2129,'Quitados DUPP'!$U$1:$U$6635,0),""))</f>
        <v/>
      </c>
      <c r="AH2129" s="15" t="str">
        <f t="shared" si="2"/>
        <v/>
      </c>
      <c r="AI2129" s="17" t="str">
        <f>IF(AG2129="","",INDEX('Quitados DUPP'!$G$1:$G$6635,AG2129))</f>
        <v/>
      </c>
      <c r="AJ2129" s="17" t="str">
        <f t="shared" si="3"/>
        <v/>
      </c>
    </row>
    <row r="2130" spans="31:36">
      <c r="AE2130" s="15" t="str">
        <f t="shared" si="0"/>
        <v/>
      </c>
      <c r="AF2130" s="15" t="str">
        <f t="shared" si="1"/>
        <v/>
      </c>
      <c r="AG2130" s="15" t="str">
        <f>IF(OR(AF2130="",AF2130="ERRO_CHAVE"),"",IFERROR(MATCH(AF2130,'Quitados DUPP'!$U$1:$U$6635,0),""))</f>
        <v/>
      </c>
      <c r="AH2130" s="15" t="str">
        <f t="shared" si="2"/>
        <v/>
      </c>
      <c r="AI2130" s="17" t="str">
        <f>IF(AG2130="","",INDEX('Quitados DUPP'!$G$1:$G$6635,AG2130))</f>
        <v/>
      </c>
      <c r="AJ2130" s="17" t="str">
        <f t="shared" si="3"/>
        <v/>
      </c>
    </row>
    <row r="2131" spans="31:36">
      <c r="AE2131" s="15" t="str">
        <f t="shared" si="0"/>
        <v/>
      </c>
      <c r="AF2131" s="15" t="str">
        <f t="shared" si="1"/>
        <v/>
      </c>
      <c r="AG2131" s="15" t="str">
        <f>IF(OR(AF2131="",AF2131="ERRO_CHAVE"),"",IFERROR(MATCH(AF2131,'Quitados DUPP'!$U$1:$U$6635,0),""))</f>
        <v/>
      </c>
      <c r="AH2131" s="15" t="str">
        <f t="shared" si="2"/>
        <v/>
      </c>
      <c r="AI2131" s="17" t="str">
        <f>IF(AG2131="","",INDEX('Quitados DUPP'!$G$1:$G$6635,AG2131))</f>
        <v/>
      </c>
      <c r="AJ2131" s="17" t="str">
        <f t="shared" si="3"/>
        <v/>
      </c>
    </row>
    <row r="2132" spans="31:36">
      <c r="AE2132" s="15" t="str">
        <f t="shared" si="0"/>
        <v/>
      </c>
      <c r="AF2132" s="15" t="str">
        <f t="shared" si="1"/>
        <v/>
      </c>
      <c r="AG2132" s="15" t="str">
        <f>IF(OR(AF2132="",AF2132="ERRO_CHAVE"),"",IFERROR(MATCH(AF2132,'Quitados DUPP'!$U$1:$U$6635,0),""))</f>
        <v/>
      </c>
      <c r="AH2132" s="15" t="str">
        <f t="shared" si="2"/>
        <v/>
      </c>
      <c r="AI2132" s="17" t="str">
        <f>IF(AG2132="","",INDEX('Quitados DUPP'!$G$1:$G$6635,AG2132))</f>
        <v/>
      </c>
      <c r="AJ2132" s="17" t="str">
        <f t="shared" si="3"/>
        <v/>
      </c>
    </row>
    <row r="2133" spans="31:36">
      <c r="AE2133" s="15" t="str">
        <f t="shared" si="0"/>
        <v/>
      </c>
      <c r="AF2133" s="15" t="str">
        <f t="shared" si="1"/>
        <v/>
      </c>
      <c r="AG2133" s="15" t="str">
        <f>IF(OR(AF2133="",AF2133="ERRO_CHAVE"),"",IFERROR(MATCH(AF2133,'Quitados DUPP'!$U$1:$U$6635,0),""))</f>
        <v/>
      </c>
      <c r="AH2133" s="15" t="str">
        <f t="shared" si="2"/>
        <v/>
      </c>
      <c r="AI2133" s="17" t="str">
        <f>IF(AG2133="","",INDEX('Quitados DUPP'!$G$1:$G$6635,AG2133))</f>
        <v/>
      </c>
      <c r="AJ2133" s="17" t="str">
        <f t="shared" si="3"/>
        <v/>
      </c>
    </row>
    <row r="2134" spans="31:36">
      <c r="AE2134" s="15" t="str">
        <f t="shared" si="0"/>
        <v/>
      </c>
      <c r="AF2134" s="15" t="str">
        <f t="shared" si="1"/>
        <v/>
      </c>
      <c r="AG2134" s="15" t="str">
        <f>IF(OR(AF2134="",AF2134="ERRO_CHAVE"),"",IFERROR(MATCH(AF2134,'Quitados DUPP'!$U$1:$U$6635,0),""))</f>
        <v/>
      </c>
      <c r="AH2134" s="15" t="str">
        <f t="shared" si="2"/>
        <v/>
      </c>
      <c r="AI2134" s="17" t="str">
        <f>IF(AG2134="","",INDEX('Quitados DUPP'!$G$1:$G$6635,AG2134))</f>
        <v/>
      </c>
      <c r="AJ2134" s="17" t="str">
        <f t="shared" si="3"/>
        <v/>
      </c>
    </row>
    <row r="2135" spans="31:36">
      <c r="AE2135" s="15" t="str">
        <f t="shared" si="0"/>
        <v/>
      </c>
      <c r="AF2135" s="15" t="str">
        <f t="shared" si="1"/>
        <v/>
      </c>
      <c r="AG2135" s="15" t="str">
        <f>IF(OR(AF2135="",AF2135="ERRO_CHAVE"),"",IFERROR(MATCH(AF2135,'Quitados DUPP'!$U$1:$U$6635,0),""))</f>
        <v/>
      </c>
      <c r="AH2135" s="15" t="str">
        <f t="shared" si="2"/>
        <v/>
      </c>
      <c r="AI2135" s="17" t="str">
        <f>IF(AG2135="","",INDEX('Quitados DUPP'!$G$1:$G$6635,AG2135))</f>
        <v/>
      </c>
      <c r="AJ2135" s="17" t="str">
        <f t="shared" si="3"/>
        <v/>
      </c>
    </row>
    <row r="2136" spans="31:36">
      <c r="AE2136" s="15" t="str">
        <f t="shared" si="0"/>
        <v/>
      </c>
      <c r="AF2136" s="15" t="str">
        <f t="shared" si="1"/>
        <v/>
      </c>
      <c r="AG2136" s="15" t="str">
        <f>IF(OR(AF2136="",AF2136="ERRO_CHAVE"),"",IFERROR(MATCH(AF2136,'Quitados DUPP'!$U$1:$U$6635,0),""))</f>
        <v/>
      </c>
      <c r="AH2136" s="15" t="str">
        <f t="shared" si="2"/>
        <v/>
      </c>
      <c r="AI2136" s="17" t="str">
        <f>IF(AG2136="","",INDEX('Quitados DUPP'!$G$1:$G$6635,AG2136))</f>
        <v/>
      </c>
      <c r="AJ2136" s="17" t="str">
        <f t="shared" si="3"/>
        <v/>
      </c>
    </row>
    <row r="2137" spans="31:36">
      <c r="AE2137" s="15" t="str">
        <f t="shared" si="0"/>
        <v/>
      </c>
      <c r="AF2137" s="15" t="str">
        <f t="shared" si="1"/>
        <v/>
      </c>
      <c r="AG2137" s="15" t="str">
        <f>IF(OR(AF2137="",AF2137="ERRO_CHAVE"),"",IFERROR(MATCH(AF2137,'Quitados DUPP'!$U$1:$U$6635,0),""))</f>
        <v/>
      </c>
      <c r="AH2137" s="15" t="str">
        <f t="shared" si="2"/>
        <v/>
      </c>
      <c r="AI2137" s="17" t="str">
        <f>IF(AG2137="","",INDEX('Quitados DUPP'!$G$1:$G$6635,AG2137))</f>
        <v/>
      </c>
      <c r="AJ2137" s="17" t="str">
        <f t="shared" si="3"/>
        <v/>
      </c>
    </row>
    <row r="2138" spans="31:36">
      <c r="AE2138" s="15" t="str">
        <f t="shared" si="0"/>
        <v/>
      </c>
      <c r="AF2138" s="15" t="str">
        <f t="shared" si="1"/>
        <v/>
      </c>
      <c r="AG2138" s="15" t="str">
        <f>IF(OR(AF2138="",AF2138="ERRO_CHAVE"),"",IFERROR(MATCH(AF2138,'Quitados DUPP'!$U$1:$U$6635,0),""))</f>
        <v/>
      </c>
      <c r="AH2138" s="15" t="str">
        <f t="shared" si="2"/>
        <v/>
      </c>
      <c r="AI2138" s="17" t="str">
        <f>IF(AG2138="","",INDEX('Quitados DUPP'!$G$1:$G$6635,AG2138))</f>
        <v/>
      </c>
      <c r="AJ2138" s="17" t="str">
        <f t="shared" si="3"/>
        <v/>
      </c>
    </row>
    <row r="2139" spans="31:36">
      <c r="AE2139" s="15" t="str">
        <f t="shared" si="0"/>
        <v/>
      </c>
      <c r="AF2139" s="15" t="str">
        <f t="shared" si="1"/>
        <v/>
      </c>
      <c r="AG2139" s="15" t="str">
        <f>IF(OR(AF2139="",AF2139="ERRO_CHAVE"),"",IFERROR(MATCH(AF2139,'Quitados DUPP'!$U$1:$U$6635,0),""))</f>
        <v/>
      </c>
      <c r="AH2139" s="15" t="str">
        <f t="shared" si="2"/>
        <v/>
      </c>
      <c r="AI2139" s="17" t="str">
        <f>IF(AG2139="","",INDEX('Quitados DUPP'!$G$1:$G$6635,AG2139))</f>
        <v/>
      </c>
      <c r="AJ2139" s="17" t="str">
        <f t="shared" si="3"/>
        <v/>
      </c>
    </row>
    <row r="2140" spans="31:36">
      <c r="AE2140" s="15" t="str">
        <f t="shared" si="0"/>
        <v/>
      </c>
      <c r="AF2140" s="15" t="str">
        <f t="shared" si="1"/>
        <v/>
      </c>
      <c r="AG2140" s="15" t="str">
        <f>IF(OR(AF2140="",AF2140="ERRO_CHAVE"),"",IFERROR(MATCH(AF2140,'Quitados DUPP'!$U$1:$U$6635,0),""))</f>
        <v/>
      </c>
      <c r="AH2140" s="15" t="str">
        <f t="shared" si="2"/>
        <v/>
      </c>
      <c r="AI2140" s="17" t="str">
        <f>IF(AG2140="","",INDEX('Quitados DUPP'!$G$1:$G$6635,AG2140))</f>
        <v/>
      </c>
      <c r="AJ2140" s="17" t="str">
        <f t="shared" si="3"/>
        <v/>
      </c>
    </row>
    <row r="2141" spans="31:36">
      <c r="AE2141" s="15" t="str">
        <f t="shared" si="0"/>
        <v/>
      </c>
      <c r="AF2141" s="15" t="str">
        <f t="shared" si="1"/>
        <v/>
      </c>
      <c r="AG2141" s="15" t="str">
        <f>IF(OR(AF2141="",AF2141="ERRO_CHAVE"),"",IFERROR(MATCH(AF2141,'Quitados DUPP'!$U$1:$U$6635,0),""))</f>
        <v/>
      </c>
      <c r="AH2141" s="15" t="str">
        <f t="shared" si="2"/>
        <v/>
      </c>
      <c r="AI2141" s="17" t="str">
        <f>IF(AG2141="","",INDEX('Quitados DUPP'!$G$1:$G$6635,AG2141))</f>
        <v/>
      </c>
      <c r="AJ2141" s="17" t="str">
        <f t="shared" si="3"/>
        <v/>
      </c>
    </row>
    <row r="2142" spans="31:36">
      <c r="AE2142" s="15" t="str">
        <f t="shared" si="0"/>
        <v/>
      </c>
      <c r="AF2142" s="15" t="str">
        <f t="shared" si="1"/>
        <v/>
      </c>
      <c r="AG2142" s="15" t="str">
        <f>IF(OR(AF2142="",AF2142="ERRO_CHAVE"),"",IFERROR(MATCH(AF2142,'Quitados DUPP'!$U$1:$U$6635,0),""))</f>
        <v/>
      </c>
      <c r="AH2142" s="15" t="str">
        <f t="shared" si="2"/>
        <v/>
      </c>
      <c r="AI2142" s="17" t="str">
        <f>IF(AG2142="","",INDEX('Quitados DUPP'!$G$1:$G$6635,AG2142))</f>
        <v/>
      </c>
      <c r="AJ2142" s="17" t="str">
        <f t="shared" si="3"/>
        <v/>
      </c>
    </row>
    <row r="2143" spans="31:36">
      <c r="AE2143" s="15" t="str">
        <f t="shared" si="0"/>
        <v/>
      </c>
      <c r="AF2143" s="15" t="str">
        <f t="shared" si="1"/>
        <v/>
      </c>
      <c r="AG2143" s="15" t="str">
        <f>IF(OR(AF2143="",AF2143="ERRO_CHAVE"),"",IFERROR(MATCH(AF2143,'Quitados DUPP'!$U$1:$U$6635,0),""))</f>
        <v/>
      </c>
      <c r="AH2143" s="15" t="str">
        <f t="shared" si="2"/>
        <v/>
      </c>
      <c r="AI2143" s="17" t="str">
        <f>IF(AG2143="","",INDEX('Quitados DUPP'!$G$1:$G$6635,AG2143))</f>
        <v/>
      </c>
      <c r="AJ2143" s="17" t="str">
        <f t="shared" si="3"/>
        <v/>
      </c>
    </row>
    <row r="2144" spans="31:36">
      <c r="AE2144" s="15" t="str">
        <f t="shared" si="0"/>
        <v/>
      </c>
      <c r="AF2144" s="15" t="str">
        <f t="shared" si="1"/>
        <v/>
      </c>
      <c r="AG2144" s="15" t="str">
        <f>IF(OR(AF2144="",AF2144="ERRO_CHAVE"),"",IFERROR(MATCH(AF2144,'Quitados DUPP'!$U$1:$U$6635,0),""))</f>
        <v/>
      </c>
      <c r="AH2144" s="15" t="str">
        <f t="shared" si="2"/>
        <v/>
      </c>
      <c r="AI2144" s="17" t="str">
        <f>IF(AG2144="","",INDEX('Quitados DUPP'!$G$1:$G$6635,AG2144))</f>
        <v/>
      </c>
      <c r="AJ2144" s="17" t="str">
        <f t="shared" si="3"/>
        <v/>
      </c>
    </row>
    <row r="2145" spans="31:36">
      <c r="AE2145" s="15" t="str">
        <f t="shared" si="0"/>
        <v/>
      </c>
      <c r="AF2145" s="15" t="str">
        <f t="shared" si="1"/>
        <v/>
      </c>
      <c r="AG2145" s="15" t="str">
        <f>IF(OR(AF2145="",AF2145="ERRO_CHAVE"),"",IFERROR(MATCH(AF2145,'Quitados DUPP'!$U$1:$U$6635,0),""))</f>
        <v/>
      </c>
      <c r="AH2145" s="15" t="str">
        <f t="shared" si="2"/>
        <v/>
      </c>
      <c r="AI2145" s="17" t="str">
        <f>IF(AG2145="","",INDEX('Quitados DUPP'!$G$1:$G$6635,AG2145))</f>
        <v/>
      </c>
      <c r="AJ2145" s="17" t="str">
        <f t="shared" si="3"/>
        <v/>
      </c>
    </row>
    <row r="2146" spans="31:36">
      <c r="AE2146" s="15" t="str">
        <f t="shared" si="0"/>
        <v/>
      </c>
      <c r="AF2146" s="15" t="str">
        <f t="shared" si="1"/>
        <v/>
      </c>
      <c r="AG2146" s="15" t="str">
        <f>IF(OR(AF2146="",AF2146="ERRO_CHAVE"),"",IFERROR(MATCH(AF2146,'Quitados DUPP'!$U$1:$U$6635,0),""))</f>
        <v/>
      </c>
      <c r="AH2146" s="15" t="str">
        <f t="shared" si="2"/>
        <v/>
      </c>
      <c r="AI2146" s="17" t="str">
        <f>IF(AG2146="","",INDEX('Quitados DUPP'!$G$1:$G$6635,AG2146))</f>
        <v/>
      </c>
      <c r="AJ2146" s="17" t="str">
        <f t="shared" si="3"/>
        <v/>
      </c>
    </row>
    <row r="2147" spans="31:36">
      <c r="AE2147" s="15" t="str">
        <f t="shared" si="0"/>
        <v/>
      </c>
      <c r="AF2147" s="15" t="str">
        <f t="shared" si="1"/>
        <v/>
      </c>
      <c r="AG2147" s="15" t="str">
        <f>IF(OR(AF2147="",AF2147="ERRO_CHAVE"),"",IFERROR(MATCH(AF2147,'Quitados DUPP'!$U$1:$U$6635,0),""))</f>
        <v/>
      </c>
      <c r="AH2147" s="15" t="str">
        <f t="shared" si="2"/>
        <v/>
      </c>
      <c r="AI2147" s="17" t="str">
        <f>IF(AG2147="","",INDEX('Quitados DUPP'!$G$1:$G$6635,AG2147))</f>
        <v/>
      </c>
      <c r="AJ2147" s="17" t="str">
        <f t="shared" si="3"/>
        <v/>
      </c>
    </row>
    <row r="2148" spans="31:36">
      <c r="AE2148" s="15" t="str">
        <f t="shared" si="0"/>
        <v/>
      </c>
      <c r="AF2148" s="15" t="str">
        <f t="shared" si="1"/>
        <v/>
      </c>
      <c r="AG2148" s="15" t="str">
        <f>IF(OR(AF2148="",AF2148="ERRO_CHAVE"),"",IFERROR(MATCH(AF2148,'Quitados DUPP'!$U$1:$U$6635,0),""))</f>
        <v/>
      </c>
      <c r="AH2148" s="15" t="str">
        <f t="shared" si="2"/>
        <v/>
      </c>
      <c r="AI2148" s="17" t="str">
        <f>IF(AG2148="","",INDEX('Quitados DUPP'!$G$1:$G$6635,AG2148))</f>
        <v/>
      </c>
      <c r="AJ2148" s="17" t="str">
        <f t="shared" si="3"/>
        <v/>
      </c>
    </row>
    <row r="2149" spans="31:36">
      <c r="AE2149" s="15" t="str">
        <f t="shared" si="0"/>
        <v/>
      </c>
      <c r="AF2149" s="15" t="str">
        <f t="shared" si="1"/>
        <v/>
      </c>
      <c r="AG2149" s="15" t="str">
        <f>IF(OR(AF2149="",AF2149="ERRO_CHAVE"),"",IFERROR(MATCH(AF2149,'Quitados DUPP'!$U$1:$U$6635,0),""))</f>
        <v/>
      </c>
      <c r="AH2149" s="15" t="str">
        <f t="shared" si="2"/>
        <v/>
      </c>
      <c r="AI2149" s="17" t="str">
        <f>IF(AG2149="","",INDEX('Quitados DUPP'!$G$1:$G$6635,AG2149))</f>
        <v/>
      </c>
      <c r="AJ2149" s="17" t="str">
        <f t="shared" si="3"/>
        <v/>
      </c>
    </row>
    <row r="2150" spans="31:36">
      <c r="AE2150" s="15" t="str">
        <f t="shared" si="0"/>
        <v/>
      </c>
      <c r="AF2150" s="15" t="str">
        <f t="shared" si="1"/>
        <v/>
      </c>
      <c r="AG2150" s="15" t="str">
        <f>IF(OR(AF2150="",AF2150="ERRO_CHAVE"),"",IFERROR(MATCH(AF2150,'Quitados DUPP'!$U$1:$U$6635,0),""))</f>
        <v/>
      </c>
      <c r="AH2150" s="15" t="str">
        <f t="shared" si="2"/>
        <v/>
      </c>
      <c r="AI2150" s="17" t="str">
        <f>IF(AG2150="","",INDEX('Quitados DUPP'!$G$1:$G$6635,AG2150))</f>
        <v/>
      </c>
      <c r="AJ2150" s="17" t="str">
        <f t="shared" si="3"/>
        <v/>
      </c>
    </row>
    <row r="2151" spans="31:36">
      <c r="AE2151" s="15" t="str">
        <f t="shared" si="0"/>
        <v/>
      </c>
      <c r="AF2151" s="15" t="str">
        <f t="shared" si="1"/>
        <v/>
      </c>
      <c r="AG2151" s="15" t="str">
        <f>IF(OR(AF2151="",AF2151="ERRO_CHAVE"),"",IFERROR(MATCH(AF2151,'Quitados DUPP'!$U$1:$U$6635,0),""))</f>
        <v/>
      </c>
      <c r="AH2151" s="15" t="str">
        <f t="shared" si="2"/>
        <v/>
      </c>
      <c r="AI2151" s="17" t="str">
        <f>IF(AG2151="","",INDEX('Quitados DUPP'!$G$1:$G$6635,AG2151))</f>
        <v/>
      </c>
      <c r="AJ2151" s="17" t="str">
        <f t="shared" si="3"/>
        <v/>
      </c>
    </row>
    <row r="2152" spans="31:36">
      <c r="AE2152" s="15" t="str">
        <f t="shared" si="0"/>
        <v/>
      </c>
      <c r="AF2152" s="15" t="str">
        <f t="shared" si="1"/>
        <v/>
      </c>
      <c r="AG2152" s="15" t="str">
        <f>IF(OR(AF2152="",AF2152="ERRO_CHAVE"),"",IFERROR(MATCH(AF2152,'Quitados DUPP'!$U$1:$U$6635,0),""))</f>
        <v/>
      </c>
      <c r="AH2152" s="15" t="str">
        <f t="shared" si="2"/>
        <v/>
      </c>
      <c r="AI2152" s="17" t="str">
        <f>IF(AG2152="","",INDEX('Quitados DUPP'!$G$1:$G$6635,AG2152))</f>
        <v/>
      </c>
      <c r="AJ2152" s="17" t="str">
        <f t="shared" si="3"/>
        <v/>
      </c>
    </row>
    <row r="2153" spans="31:36">
      <c r="AE2153" s="15" t="str">
        <f t="shared" si="0"/>
        <v/>
      </c>
      <c r="AF2153" s="15" t="str">
        <f t="shared" si="1"/>
        <v/>
      </c>
      <c r="AG2153" s="15" t="str">
        <f>IF(OR(AF2153="",AF2153="ERRO_CHAVE"),"",IFERROR(MATCH(AF2153,'Quitados DUPP'!$U$1:$U$6635,0),""))</f>
        <v/>
      </c>
      <c r="AH2153" s="15" t="str">
        <f t="shared" si="2"/>
        <v/>
      </c>
      <c r="AI2153" s="17" t="str">
        <f>IF(AG2153="","",INDEX('Quitados DUPP'!$G$1:$G$6635,AG2153))</f>
        <v/>
      </c>
      <c r="AJ2153" s="17" t="str">
        <f t="shared" si="3"/>
        <v/>
      </c>
    </row>
    <row r="2154" spans="31:36">
      <c r="AE2154" s="15" t="str">
        <f t="shared" si="0"/>
        <v/>
      </c>
      <c r="AF2154" s="15" t="str">
        <f t="shared" si="1"/>
        <v/>
      </c>
      <c r="AG2154" s="15" t="str">
        <f>IF(OR(AF2154="",AF2154="ERRO_CHAVE"),"",IFERROR(MATCH(AF2154,'Quitados DUPP'!$U$1:$U$6635,0),""))</f>
        <v/>
      </c>
      <c r="AH2154" s="15" t="str">
        <f t="shared" si="2"/>
        <v/>
      </c>
      <c r="AI2154" s="17" t="str">
        <f>IF(AG2154="","",INDEX('Quitados DUPP'!$G$1:$G$6635,AG2154))</f>
        <v/>
      </c>
      <c r="AJ2154" s="17" t="str">
        <f t="shared" si="3"/>
        <v/>
      </c>
    </row>
    <row r="2155" spans="31:36">
      <c r="AE2155" s="15" t="str">
        <f t="shared" si="0"/>
        <v/>
      </c>
      <c r="AF2155" s="15" t="str">
        <f t="shared" si="1"/>
        <v/>
      </c>
      <c r="AG2155" s="15" t="str">
        <f>IF(OR(AF2155="",AF2155="ERRO_CHAVE"),"",IFERROR(MATCH(AF2155,'Quitados DUPP'!$U$1:$U$6635,0),""))</f>
        <v/>
      </c>
      <c r="AH2155" s="15" t="str">
        <f t="shared" si="2"/>
        <v/>
      </c>
      <c r="AI2155" s="17" t="str">
        <f>IF(AG2155="","",INDEX('Quitados DUPP'!$G$1:$G$6635,AG2155))</f>
        <v/>
      </c>
      <c r="AJ2155" s="17" t="str">
        <f t="shared" si="3"/>
        <v/>
      </c>
    </row>
    <row r="2156" spans="31:36">
      <c r="AE2156" s="15" t="str">
        <f t="shared" si="0"/>
        <v/>
      </c>
      <c r="AF2156" s="15" t="str">
        <f t="shared" si="1"/>
        <v/>
      </c>
      <c r="AG2156" s="15" t="str">
        <f>IF(OR(AF2156="",AF2156="ERRO_CHAVE"),"",IFERROR(MATCH(AF2156,'Quitados DUPP'!$U$1:$U$6635,0),""))</f>
        <v/>
      </c>
      <c r="AH2156" s="15" t="str">
        <f t="shared" si="2"/>
        <v/>
      </c>
      <c r="AI2156" s="17" t="str">
        <f>IF(AG2156="","",INDEX('Quitados DUPP'!$G$1:$G$6635,AG2156))</f>
        <v/>
      </c>
      <c r="AJ2156" s="17" t="str">
        <f t="shared" si="3"/>
        <v/>
      </c>
    </row>
    <row r="2157" spans="31:36">
      <c r="AE2157" s="15" t="str">
        <f t="shared" si="0"/>
        <v/>
      </c>
      <c r="AF2157" s="15" t="str">
        <f t="shared" si="1"/>
        <v/>
      </c>
      <c r="AG2157" s="15" t="str">
        <f>IF(OR(AF2157="",AF2157="ERRO_CHAVE"),"",IFERROR(MATCH(AF2157,'Quitados DUPP'!$U$1:$U$6635,0),""))</f>
        <v/>
      </c>
      <c r="AH2157" s="15" t="str">
        <f t="shared" si="2"/>
        <v/>
      </c>
      <c r="AI2157" s="17" t="str">
        <f>IF(AG2157="","",INDEX('Quitados DUPP'!$G$1:$G$6635,AG2157))</f>
        <v/>
      </c>
      <c r="AJ2157" s="17" t="str">
        <f t="shared" si="3"/>
        <v/>
      </c>
    </row>
    <row r="2158" spans="31:36">
      <c r="AE2158" s="15" t="str">
        <f t="shared" si="0"/>
        <v/>
      </c>
      <c r="AF2158" s="15" t="str">
        <f t="shared" si="1"/>
        <v/>
      </c>
      <c r="AG2158" s="15" t="str">
        <f>IF(OR(AF2158="",AF2158="ERRO_CHAVE"),"",IFERROR(MATCH(AF2158,'Quitados DUPP'!$U$1:$U$6635,0),""))</f>
        <v/>
      </c>
      <c r="AH2158" s="15" t="str">
        <f t="shared" si="2"/>
        <v/>
      </c>
      <c r="AI2158" s="17" t="str">
        <f>IF(AG2158="","",INDEX('Quitados DUPP'!$G$1:$G$6635,AG2158))</f>
        <v/>
      </c>
      <c r="AJ2158" s="17" t="str">
        <f t="shared" si="3"/>
        <v/>
      </c>
    </row>
    <row r="2159" spans="31:36">
      <c r="AE2159" s="15" t="str">
        <f t="shared" si="0"/>
        <v/>
      </c>
      <c r="AF2159" s="15" t="str">
        <f t="shared" si="1"/>
        <v/>
      </c>
      <c r="AG2159" s="15" t="str">
        <f>IF(OR(AF2159="",AF2159="ERRO_CHAVE"),"",IFERROR(MATCH(AF2159,'Quitados DUPP'!$U$1:$U$6635,0),""))</f>
        <v/>
      </c>
      <c r="AH2159" s="15" t="str">
        <f t="shared" si="2"/>
        <v/>
      </c>
      <c r="AI2159" s="17" t="str">
        <f>IF(AG2159="","",INDEX('Quitados DUPP'!$G$1:$G$6635,AG2159))</f>
        <v/>
      </c>
      <c r="AJ2159" s="17" t="str">
        <f t="shared" si="3"/>
        <v/>
      </c>
    </row>
    <row r="2160" spans="31:36">
      <c r="AE2160" s="15" t="str">
        <f t="shared" si="0"/>
        <v/>
      </c>
      <c r="AF2160" s="15" t="str">
        <f t="shared" si="1"/>
        <v/>
      </c>
      <c r="AG2160" s="15" t="str">
        <f>IF(OR(AF2160="",AF2160="ERRO_CHAVE"),"",IFERROR(MATCH(AF2160,'Quitados DUPP'!$U$1:$U$6635,0),""))</f>
        <v/>
      </c>
      <c r="AH2160" s="15" t="str">
        <f t="shared" si="2"/>
        <v/>
      </c>
      <c r="AI2160" s="17" t="str">
        <f>IF(AG2160="","",INDEX('Quitados DUPP'!$G$1:$G$6635,AG2160))</f>
        <v/>
      </c>
      <c r="AJ2160" s="17" t="str">
        <f t="shared" si="3"/>
        <v/>
      </c>
    </row>
    <row r="2161" spans="31:36">
      <c r="AE2161" s="15" t="str">
        <f t="shared" si="0"/>
        <v/>
      </c>
      <c r="AF2161" s="15" t="str">
        <f t="shared" si="1"/>
        <v/>
      </c>
      <c r="AG2161" s="15" t="str">
        <f>IF(OR(AF2161="",AF2161="ERRO_CHAVE"),"",IFERROR(MATCH(AF2161,'Quitados DUPP'!$U$1:$U$6635,0),""))</f>
        <v/>
      </c>
      <c r="AH2161" s="15" t="str">
        <f t="shared" si="2"/>
        <v/>
      </c>
      <c r="AI2161" s="17" t="str">
        <f>IF(AG2161="","",INDEX('Quitados DUPP'!$G$1:$G$6635,AG2161))</f>
        <v/>
      </c>
      <c r="AJ2161" s="17" t="str">
        <f t="shared" si="3"/>
        <v/>
      </c>
    </row>
    <row r="2162" spans="31:36">
      <c r="AE2162" s="15" t="str">
        <f t="shared" si="0"/>
        <v/>
      </c>
      <c r="AF2162" s="15" t="str">
        <f t="shared" si="1"/>
        <v/>
      </c>
      <c r="AG2162" s="15" t="str">
        <f>IF(OR(AF2162="",AF2162="ERRO_CHAVE"),"",IFERROR(MATCH(AF2162,'Quitados DUPP'!$U$1:$U$6635,0),""))</f>
        <v/>
      </c>
      <c r="AH2162" s="15" t="str">
        <f t="shared" si="2"/>
        <v/>
      </c>
      <c r="AI2162" s="17" t="str">
        <f>IF(AG2162="","",INDEX('Quitados DUPP'!$G$1:$G$6635,AG2162))</f>
        <v/>
      </c>
      <c r="AJ2162" s="17" t="str">
        <f t="shared" si="3"/>
        <v/>
      </c>
    </row>
    <row r="2163" spans="31:36">
      <c r="AE2163" s="15" t="str">
        <f t="shared" si="0"/>
        <v/>
      </c>
      <c r="AF2163" s="15" t="str">
        <f t="shared" si="1"/>
        <v/>
      </c>
      <c r="AG2163" s="15" t="str">
        <f>IF(OR(AF2163="",AF2163="ERRO_CHAVE"),"",IFERROR(MATCH(AF2163,'Quitados DUPP'!$U$1:$U$6635,0),""))</f>
        <v/>
      </c>
      <c r="AH2163" s="15" t="str">
        <f t="shared" si="2"/>
        <v/>
      </c>
      <c r="AI2163" s="17" t="str">
        <f>IF(AG2163="","",INDEX('Quitados DUPP'!$G$1:$G$6635,AG2163))</f>
        <v/>
      </c>
      <c r="AJ2163" s="17" t="str">
        <f t="shared" si="3"/>
        <v/>
      </c>
    </row>
    <row r="2164" spans="31:36">
      <c r="AE2164" s="15" t="str">
        <f t="shared" si="0"/>
        <v/>
      </c>
      <c r="AF2164" s="15" t="str">
        <f t="shared" si="1"/>
        <v/>
      </c>
      <c r="AG2164" s="15" t="str">
        <f>IF(OR(AF2164="",AF2164="ERRO_CHAVE"),"",IFERROR(MATCH(AF2164,'Quitados DUPP'!$U$1:$U$6635,0),""))</f>
        <v/>
      </c>
      <c r="AH2164" s="15" t="str">
        <f t="shared" si="2"/>
        <v/>
      </c>
      <c r="AI2164" s="17" t="str">
        <f>IF(AG2164="","",INDEX('Quitados DUPP'!$G$1:$G$6635,AG2164))</f>
        <v/>
      </c>
      <c r="AJ2164" s="17" t="str">
        <f t="shared" si="3"/>
        <v/>
      </c>
    </row>
    <row r="2165" spans="31:36">
      <c r="AE2165" s="15" t="str">
        <f t="shared" si="0"/>
        <v/>
      </c>
      <c r="AF2165" s="15" t="str">
        <f t="shared" si="1"/>
        <v/>
      </c>
      <c r="AG2165" s="15" t="str">
        <f>IF(OR(AF2165="",AF2165="ERRO_CHAVE"),"",IFERROR(MATCH(AF2165,'Quitados DUPP'!$U$1:$U$6635,0),""))</f>
        <v/>
      </c>
      <c r="AH2165" s="15" t="str">
        <f t="shared" si="2"/>
        <v/>
      </c>
      <c r="AI2165" s="17" t="str">
        <f>IF(AG2165="","",INDEX('Quitados DUPP'!$G$1:$G$6635,AG2165))</f>
        <v/>
      </c>
      <c r="AJ2165" s="17" t="str">
        <f t="shared" si="3"/>
        <v/>
      </c>
    </row>
    <row r="2166" spans="31:36">
      <c r="AE2166" s="15" t="str">
        <f t="shared" si="0"/>
        <v/>
      </c>
      <c r="AF2166" s="15" t="str">
        <f t="shared" si="1"/>
        <v/>
      </c>
      <c r="AG2166" s="15" t="str">
        <f>IF(OR(AF2166="",AF2166="ERRO_CHAVE"),"",IFERROR(MATCH(AF2166,'Quitados DUPP'!$U$1:$U$6635,0),""))</f>
        <v/>
      </c>
      <c r="AH2166" s="15" t="str">
        <f t="shared" si="2"/>
        <v/>
      </c>
      <c r="AI2166" s="17" t="str">
        <f>IF(AG2166="","",INDEX('Quitados DUPP'!$G$1:$G$6635,AG2166))</f>
        <v/>
      </c>
      <c r="AJ2166" s="17" t="str">
        <f t="shared" si="3"/>
        <v/>
      </c>
    </row>
    <row r="2167" spans="31:36">
      <c r="AE2167" s="15" t="str">
        <f t="shared" si="0"/>
        <v/>
      </c>
      <c r="AF2167" s="15" t="str">
        <f t="shared" si="1"/>
        <v/>
      </c>
      <c r="AG2167" s="15" t="str">
        <f>IF(OR(AF2167="",AF2167="ERRO_CHAVE"),"",IFERROR(MATCH(AF2167,'Quitados DUPP'!$U$1:$U$6635,0),""))</f>
        <v/>
      </c>
      <c r="AH2167" s="15" t="str">
        <f t="shared" si="2"/>
        <v/>
      </c>
      <c r="AI2167" s="17" t="str">
        <f>IF(AG2167="","",INDEX('Quitados DUPP'!$G$1:$G$6635,AG2167))</f>
        <v/>
      </c>
      <c r="AJ2167" s="17" t="str">
        <f t="shared" si="3"/>
        <v/>
      </c>
    </row>
    <row r="2168" spans="31:36">
      <c r="AE2168" s="15" t="str">
        <f t="shared" si="0"/>
        <v/>
      </c>
      <c r="AF2168" s="15" t="str">
        <f t="shared" si="1"/>
        <v/>
      </c>
      <c r="AG2168" s="15" t="str">
        <f>IF(OR(AF2168="",AF2168="ERRO_CHAVE"),"",IFERROR(MATCH(AF2168,'Quitados DUPP'!$U$1:$U$6635,0),""))</f>
        <v/>
      </c>
      <c r="AH2168" s="15" t="str">
        <f t="shared" si="2"/>
        <v/>
      </c>
      <c r="AI2168" s="17" t="str">
        <f>IF(AG2168="","",INDEX('Quitados DUPP'!$G$1:$G$6635,AG2168))</f>
        <v/>
      </c>
      <c r="AJ2168" s="17" t="str">
        <f t="shared" si="3"/>
        <v/>
      </c>
    </row>
    <row r="2169" spans="31:36">
      <c r="AE2169" s="15" t="str">
        <f t="shared" si="0"/>
        <v/>
      </c>
      <c r="AF2169" s="15" t="str">
        <f t="shared" si="1"/>
        <v/>
      </c>
      <c r="AG2169" s="15" t="str">
        <f>IF(OR(AF2169="",AF2169="ERRO_CHAVE"),"",IFERROR(MATCH(AF2169,'Quitados DUPP'!$U$1:$U$6635,0),""))</f>
        <v/>
      </c>
      <c r="AH2169" s="15" t="str">
        <f t="shared" si="2"/>
        <v/>
      </c>
      <c r="AI2169" s="17" t="str">
        <f>IF(AG2169="","",INDEX('Quitados DUPP'!$G$1:$G$6635,AG2169))</f>
        <v/>
      </c>
      <c r="AJ2169" s="17" t="str">
        <f t="shared" si="3"/>
        <v/>
      </c>
    </row>
    <row r="2170" spans="31:36">
      <c r="AE2170" s="15" t="str">
        <f t="shared" si="0"/>
        <v/>
      </c>
      <c r="AF2170" s="15" t="str">
        <f t="shared" si="1"/>
        <v/>
      </c>
      <c r="AG2170" s="15" t="str">
        <f>IF(OR(AF2170="",AF2170="ERRO_CHAVE"),"",IFERROR(MATCH(AF2170,'Quitados DUPP'!$U$1:$U$6635,0),""))</f>
        <v/>
      </c>
      <c r="AH2170" s="15" t="str">
        <f t="shared" si="2"/>
        <v/>
      </c>
      <c r="AI2170" s="17" t="str">
        <f>IF(AG2170="","",INDEX('Quitados DUPP'!$G$1:$G$6635,AG2170))</f>
        <v/>
      </c>
      <c r="AJ2170" s="17" t="str">
        <f t="shared" si="3"/>
        <v/>
      </c>
    </row>
    <row r="2171" spans="31:36">
      <c r="AE2171" s="15" t="str">
        <f t="shared" si="0"/>
        <v/>
      </c>
      <c r="AF2171" s="15" t="str">
        <f t="shared" si="1"/>
        <v/>
      </c>
      <c r="AG2171" s="15" t="str">
        <f>IF(OR(AF2171="",AF2171="ERRO_CHAVE"),"",IFERROR(MATCH(AF2171,'Quitados DUPP'!$U$1:$U$6635,0),""))</f>
        <v/>
      </c>
      <c r="AH2171" s="15" t="str">
        <f t="shared" si="2"/>
        <v/>
      </c>
      <c r="AI2171" s="17" t="str">
        <f>IF(AG2171="","",INDEX('Quitados DUPP'!$G$1:$G$6635,AG2171))</f>
        <v/>
      </c>
      <c r="AJ2171" s="17" t="str">
        <f t="shared" si="3"/>
        <v/>
      </c>
    </row>
    <row r="2172" spans="31:36">
      <c r="AE2172" s="15" t="str">
        <f t="shared" si="0"/>
        <v/>
      </c>
      <c r="AF2172" s="15" t="str">
        <f t="shared" si="1"/>
        <v/>
      </c>
      <c r="AG2172" s="15" t="str">
        <f>IF(OR(AF2172="",AF2172="ERRO_CHAVE"),"",IFERROR(MATCH(AF2172,'Quitados DUPP'!$U$1:$U$6635,0),""))</f>
        <v/>
      </c>
      <c r="AH2172" s="15" t="str">
        <f t="shared" si="2"/>
        <v/>
      </c>
      <c r="AI2172" s="17" t="str">
        <f>IF(AG2172="","",INDEX('Quitados DUPP'!$G$1:$G$6635,AG2172))</f>
        <v/>
      </c>
      <c r="AJ2172" s="17" t="str">
        <f t="shared" si="3"/>
        <v/>
      </c>
    </row>
    <row r="2173" spans="31:36">
      <c r="AE2173" s="15" t="str">
        <f t="shared" si="0"/>
        <v/>
      </c>
      <c r="AF2173" s="15" t="str">
        <f t="shared" si="1"/>
        <v/>
      </c>
      <c r="AG2173" s="15" t="str">
        <f>IF(OR(AF2173="",AF2173="ERRO_CHAVE"),"",IFERROR(MATCH(AF2173,'Quitados DUPP'!$U$1:$U$6635,0),""))</f>
        <v/>
      </c>
      <c r="AH2173" s="15" t="str">
        <f t="shared" si="2"/>
        <v/>
      </c>
      <c r="AI2173" s="17" t="str">
        <f>IF(AG2173="","",INDEX('Quitados DUPP'!$G$1:$G$6635,AG2173))</f>
        <v/>
      </c>
      <c r="AJ2173" s="17" t="str">
        <f t="shared" si="3"/>
        <v/>
      </c>
    </row>
    <row r="2174" spans="31:36">
      <c r="AE2174" s="15" t="str">
        <f t="shared" si="0"/>
        <v/>
      </c>
      <c r="AF2174" s="15" t="str">
        <f t="shared" si="1"/>
        <v/>
      </c>
      <c r="AG2174" s="15" t="str">
        <f>IF(OR(AF2174="",AF2174="ERRO_CHAVE"),"",IFERROR(MATCH(AF2174,'Quitados DUPP'!$U$1:$U$6635,0),""))</f>
        <v/>
      </c>
      <c r="AH2174" s="15" t="str">
        <f t="shared" si="2"/>
        <v/>
      </c>
      <c r="AI2174" s="17" t="str">
        <f>IF(AG2174="","",INDEX('Quitados DUPP'!$G$1:$G$6635,AG2174))</f>
        <v/>
      </c>
      <c r="AJ2174" s="17" t="str">
        <f t="shared" si="3"/>
        <v/>
      </c>
    </row>
    <row r="2175" spans="31:36">
      <c r="AE2175" s="15" t="str">
        <f t="shared" si="0"/>
        <v/>
      </c>
      <c r="AF2175" s="15" t="str">
        <f t="shared" si="1"/>
        <v/>
      </c>
      <c r="AG2175" s="15" t="str">
        <f>IF(OR(AF2175="",AF2175="ERRO_CHAVE"),"",IFERROR(MATCH(AF2175,'Quitados DUPP'!$U$1:$U$6635,0),""))</f>
        <v/>
      </c>
      <c r="AH2175" s="15" t="str">
        <f t="shared" si="2"/>
        <v/>
      </c>
      <c r="AI2175" s="17" t="str">
        <f>IF(AG2175="","",INDEX('Quitados DUPP'!$G$1:$G$6635,AG2175))</f>
        <v/>
      </c>
      <c r="AJ2175" s="17" t="str">
        <f t="shared" si="3"/>
        <v/>
      </c>
    </row>
    <row r="2176" spans="31:36">
      <c r="AE2176" s="15" t="str">
        <f t="shared" si="0"/>
        <v/>
      </c>
      <c r="AF2176" s="15" t="str">
        <f t="shared" si="1"/>
        <v/>
      </c>
      <c r="AG2176" s="15" t="str">
        <f>IF(OR(AF2176="",AF2176="ERRO_CHAVE"),"",IFERROR(MATCH(AF2176,'Quitados DUPP'!$U$1:$U$6635,0),""))</f>
        <v/>
      </c>
      <c r="AH2176" s="15" t="str">
        <f t="shared" si="2"/>
        <v/>
      </c>
      <c r="AI2176" s="17" t="str">
        <f>IF(AG2176="","",INDEX('Quitados DUPP'!$G$1:$G$6635,AG2176))</f>
        <v/>
      </c>
      <c r="AJ2176" s="17" t="str">
        <f t="shared" si="3"/>
        <v/>
      </c>
    </row>
    <row r="2177" spans="31:36">
      <c r="AE2177" s="15" t="str">
        <f t="shared" si="0"/>
        <v/>
      </c>
      <c r="AF2177" s="15" t="str">
        <f t="shared" si="1"/>
        <v/>
      </c>
      <c r="AG2177" s="15" t="str">
        <f>IF(OR(AF2177="",AF2177="ERRO_CHAVE"),"",IFERROR(MATCH(AF2177,'Quitados DUPP'!$U$1:$U$6635,0),""))</f>
        <v/>
      </c>
      <c r="AH2177" s="15" t="str">
        <f t="shared" si="2"/>
        <v/>
      </c>
      <c r="AI2177" s="17" t="str">
        <f>IF(AG2177="","",INDEX('Quitados DUPP'!$G$1:$G$6635,AG2177))</f>
        <v/>
      </c>
      <c r="AJ2177" s="17" t="str">
        <f t="shared" si="3"/>
        <v/>
      </c>
    </row>
    <row r="2178" spans="31:36">
      <c r="AE2178" s="15" t="str">
        <f t="shared" si="0"/>
        <v/>
      </c>
      <c r="AF2178" s="15" t="str">
        <f t="shared" si="1"/>
        <v/>
      </c>
      <c r="AG2178" s="15" t="str">
        <f>IF(OR(AF2178="",AF2178="ERRO_CHAVE"),"",IFERROR(MATCH(AF2178,'Quitados DUPP'!$U$1:$U$6635,0),""))</f>
        <v/>
      </c>
      <c r="AH2178" s="15" t="str">
        <f t="shared" si="2"/>
        <v/>
      </c>
      <c r="AI2178" s="17" t="str">
        <f>IF(AG2178="","",INDEX('Quitados DUPP'!$G$1:$G$6635,AG2178))</f>
        <v/>
      </c>
      <c r="AJ2178" s="17" t="str">
        <f t="shared" si="3"/>
        <v/>
      </c>
    </row>
    <row r="2179" spans="31:36">
      <c r="AE2179" s="15" t="str">
        <f t="shared" si="0"/>
        <v/>
      </c>
      <c r="AF2179" s="15" t="str">
        <f t="shared" si="1"/>
        <v/>
      </c>
      <c r="AG2179" s="15" t="str">
        <f>IF(OR(AF2179="",AF2179="ERRO_CHAVE"),"",IFERROR(MATCH(AF2179,'Quitados DUPP'!$U$1:$U$6635,0),""))</f>
        <v/>
      </c>
      <c r="AH2179" s="15" t="str">
        <f t="shared" si="2"/>
        <v/>
      </c>
      <c r="AI2179" s="17" t="str">
        <f>IF(AG2179="","",INDEX('Quitados DUPP'!$G$1:$G$6635,AG2179))</f>
        <v/>
      </c>
      <c r="AJ2179" s="17" t="str">
        <f t="shared" si="3"/>
        <v/>
      </c>
    </row>
    <row r="2180" spans="31:36">
      <c r="AE2180" s="15" t="str">
        <f t="shared" si="0"/>
        <v/>
      </c>
      <c r="AF2180" s="15" t="str">
        <f t="shared" si="1"/>
        <v/>
      </c>
      <c r="AG2180" s="15" t="str">
        <f>IF(OR(AF2180="",AF2180="ERRO_CHAVE"),"",IFERROR(MATCH(AF2180,'Quitados DUPP'!$U$1:$U$6635,0),""))</f>
        <v/>
      </c>
      <c r="AH2180" s="15" t="str">
        <f t="shared" si="2"/>
        <v/>
      </c>
      <c r="AI2180" s="17" t="str">
        <f>IF(AG2180="","",INDEX('Quitados DUPP'!$G$1:$G$6635,AG2180))</f>
        <v/>
      </c>
      <c r="AJ2180" s="17" t="str">
        <f t="shared" si="3"/>
        <v/>
      </c>
    </row>
    <row r="2181" spans="31:36">
      <c r="AE2181" s="15" t="str">
        <f t="shared" si="0"/>
        <v/>
      </c>
      <c r="AF2181" s="15" t="str">
        <f t="shared" si="1"/>
        <v/>
      </c>
      <c r="AG2181" s="15" t="str">
        <f>IF(OR(AF2181="",AF2181="ERRO_CHAVE"),"",IFERROR(MATCH(AF2181,'Quitados DUPP'!$U$1:$U$6635,0),""))</f>
        <v/>
      </c>
      <c r="AH2181" s="15" t="str">
        <f t="shared" si="2"/>
        <v/>
      </c>
      <c r="AI2181" s="17" t="str">
        <f>IF(AG2181="","",INDEX('Quitados DUPP'!$G$1:$G$6635,AG2181))</f>
        <v/>
      </c>
      <c r="AJ2181" s="17" t="str">
        <f t="shared" si="3"/>
        <v/>
      </c>
    </row>
    <row r="2182" spans="31:36">
      <c r="AE2182" s="15" t="str">
        <f t="shared" si="0"/>
        <v/>
      </c>
      <c r="AF2182" s="15" t="str">
        <f t="shared" si="1"/>
        <v/>
      </c>
      <c r="AG2182" s="15" t="str">
        <f>IF(OR(AF2182="",AF2182="ERRO_CHAVE"),"",IFERROR(MATCH(AF2182,'Quitados DUPP'!$U$1:$U$6635,0),""))</f>
        <v/>
      </c>
      <c r="AH2182" s="15" t="str">
        <f t="shared" si="2"/>
        <v/>
      </c>
      <c r="AI2182" s="17" t="str">
        <f>IF(AG2182="","",INDEX('Quitados DUPP'!$G$1:$G$6635,AG2182))</f>
        <v/>
      </c>
      <c r="AJ2182" s="17" t="str">
        <f t="shared" si="3"/>
        <v/>
      </c>
    </row>
    <row r="2183" spans="31:36">
      <c r="AE2183" s="15" t="str">
        <f t="shared" si="0"/>
        <v/>
      </c>
      <c r="AF2183" s="15" t="str">
        <f t="shared" si="1"/>
        <v/>
      </c>
      <c r="AG2183" s="15" t="str">
        <f>IF(OR(AF2183="",AF2183="ERRO_CHAVE"),"",IFERROR(MATCH(AF2183,'Quitados DUPP'!$U$1:$U$6635,0),""))</f>
        <v/>
      </c>
      <c r="AH2183" s="15" t="str">
        <f t="shared" si="2"/>
        <v/>
      </c>
      <c r="AI2183" s="17" t="str">
        <f>IF(AG2183="","",INDEX('Quitados DUPP'!$G$1:$G$6635,AG2183))</f>
        <v/>
      </c>
      <c r="AJ2183" s="17" t="str">
        <f t="shared" si="3"/>
        <v/>
      </c>
    </row>
    <row r="2184" spans="31:36">
      <c r="AE2184" s="15" t="str">
        <f t="shared" si="0"/>
        <v/>
      </c>
      <c r="AF2184" s="15" t="str">
        <f t="shared" si="1"/>
        <v/>
      </c>
      <c r="AG2184" s="15" t="str">
        <f>IF(OR(AF2184="",AF2184="ERRO_CHAVE"),"",IFERROR(MATCH(AF2184,'Quitados DUPP'!$U$1:$U$6635,0),""))</f>
        <v/>
      </c>
      <c r="AH2184" s="15" t="str">
        <f t="shared" si="2"/>
        <v/>
      </c>
      <c r="AI2184" s="17" t="str">
        <f>IF(AG2184="","",INDEX('Quitados DUPP'!$G$1:$G$6635,AG2184))</f>
        <v/>
      </c>
      <c r="AJ2184" s="17" t="str">
        <f t="shared" si="3"/>
        <v/>
      </c>
    </row>
    <row r="2185" spans="31:36">
      <c r="AE2185" s="15" t="str">
        <f t="shared" si="0"/>
        <v/>
      </c>
      <c r="AF2185" s="15" t="str">
        <f t="shared" si="1"/>
        <v/>
      </c>
      <c r="AG2185" s="15" t="str">
        <f>IF(OR(AF2185="",AF2185="ERRO_CHAVE"),"",IFERROR(MATCH(AF2185,'Quitados DUPP'!$U$1:$U$6635,0),""))</f>
        <v/>
      </c>
      <c r="AH2185" s="15" t="str">
        <f t="shared" si="2"/>
        <v/>
      </c>
      <c r="AI2185" s="17" t="str">
        <f>IF(AG2185="","",INDEX('Quitados DUPP'!$G$1:$G$6635,AG2185))</f>
        <v/>
      </c>
      <c r="AJ2185" s="17" t="str">
        <f t="shared" si="3"/>
        <v/>
      </c>
    </row>
    <row r="2186" spans="31:36">
      <c r="AE2186" s="15" t="str">
        <f t="shared" si="0"/>
        <v/>
      </c>
      <c r="AF2186" s="15" t="str">
        <f t="shared" si="1"/>
        <v/>
      </c>
      <c r="AG2186" s="15" t="str">
        <f>IF(OR(AF2186="",AF2186="ERRO_CHAVE"),"",IFERROR(MATCH(AF2186,'Quitados DUPP'!$U$1:$U$6635,0),""))</f>
        <v/>
      </c>
      <c r="AH2186" s="15" t="str">
        <f t="shared" si="2"/>
        <v/>
      </c>
      <c r="AI2186" s="17" t="str">
        <f>IF(AG2186="","",INDEX('Quitados DUPP'!$G$1:$G$6635,AG2186))</f>
        <v/>
      </c>
      <c r="AJ2186" s="17" t="str">
        <f t="shared" si="3"/>
        <v/>
      </c>
    </row>
    <row r="2187" spans="31:36">
      <c r="AE2187" s="15" t="str">
        <f t="shared" si="0"/>
        <v/>
      </c>
      <c r="AF2187" s="15" t="str">
        <f t="shared" si="1"/>
        <v/>
      </c>
      <c r="AG2187" s="15" t="str">
        <f>IF(OR(AF2187="",AF2187="ERRO_CHAVE"),"",IFERROR(MATCH(AF2187,'Quitados DUPP'!$U$1:$U$6635,0),""))</f>
        <v/>
      </c>
      <c r="AH2187" s="15" t="str">
        <f t="shared" si="2"/>
        <v/>
      </c>
      <c r="AI2187" s="17" t="str">
        <f>IF(AG2187="","",INDEX('Quitados DUPP'!$G$1:$G$6635,AG2187))</f>
        <v/>
      </c>
      <c r="AJ2187" s="17" t="str">
        <f t="shared" si="3"/>
        <v/>
      </c>
    </row>
    <row r="2188" spans="31:36">
      <c r="AE2188" s="15" t="str">
        <f t="shared" si="0"/>
        <v/>
      </c>
      <c r="AF2188" s="15" t="str">
        <f t="shared" si="1"/>
        <v/>
      </c>
      <c r="AG2188" s="15" t="str">
        <f>IF(OR(AF2188="",AF2188="ERRO_CHAVE"),"",IFERROR(MATCH(AF2188,'Quitados DUPP'!$U$1:$U$6635,0),""))</f>
        <v/>
      </c>
      <c r="AH2188" s="15" t="str">
        <f t="shared" si="2"/>
        <v/>
      </c>
      <c r="AI2188" s="17" t="str">
        <f>IF(AG2188="","",INDEX('Quitados DUPP'!$G$1:$G$6635,AG2188))</f>
        <v/>
      </c>
      <c r="AJ2188" s="17" t="str">
        <f t="shared" si="3"/>
        <v/>
      </c>
    </row>
    <row r="2189" spans="31:36">
      <c r="AE2189" s="15" t="str">
        <f t="shared" si="0"/>
        <v/>
      </c>
      <c r="AF2189" s="15" t="str">
        <f t="shared" si="1"/>
        <v/>
      </c>
      <c r="AG2189" s="15" t="str">
        <f>IF(OR(AF2189="",AF2189="ERRO_CHAVE"),"",IFERROR(MATCH(AF2189,'Quitados DUPP'!$U$1:$U$6635,0),""))</f>
        <v/>
      </c>
      <c r="AH2189" s="15" t="str">
        <f t="shared" si="2"/>
        <v/>
      </c>
      <c r="AI2189" s="17" t="str">
        <f>IF(AG2189="","",INDEX('Quitados DUPP'!$G$1:$G$6635,AG2189))</f>
        <v/>
      </c>
      <c r="AJ2189" s="17" t="str">
        <f t="shared" si="3"/>
        <v/>
      </c>
    </row>
    <row r="2190" spans="31:36">
      <c r="AE2190" s="15" t="str">
        <f t="shared" si="0"/>
        <v/>
      </c>
      <c r="AF2190" s="15" t="str">
        <f t="shared" si="1"/>
        <v/>
      </c>
      <c r="AG2190" s="15" t="str">
        <f>IF(OR(AF2190="",AF2190="ERRO_CHAVE"),"",IFERROR(MATCH(AF2190,'Quitados DUPP'!$U$1:$U$6635,0),""))</f>
        <v/>
      </c>
      <c r="AH2190" s="15" t="str">
        <f t="shared" si="2"/>
        <v/>
      </c>
      <c r="AI2190" s="17" t="str">
        <f>IF(AG2190="","",INDEX('Quitados DUPP'!$G$1:$G$6635,AG2190))</f>
        <v/>
      </c>
      <c r="AJ2190" s="17" t="str">
        <f t="shared" si="3"/>
        <v/>
      </c>
    </row>
    <row r="2191" spans="31:36">
      <c r="AE2191" s="15" t="str">
        <f t="shared" si="0"/>
        <v/>
      </c>
      <c r="AF2191" s="15" t="str">
        <f t="shared" si="1"/>
        <v/>
      </c>
      <c r="AG2191" s="15" t="str">
        <f>IF(OR(AF2191="",AF2191="ERRO_CHAVE"),"",IFERROR(MATCH(AF2191,'Quitados DUPP'!$U$1:$U$6635,0),""))</f>
        <v/>
      </c>
      <c r="AH2191" s="15" t="str">
        <f t="shared" si="2"/>
        <v/>
      </c>
      <c r="AI2191" s="17" t="str">
        <f>IF(AG2191="","",INDEX('Quitados DUPP'!$G$1:$G$6635,AG2191))</f>
        <v/>
      </c>
      <c r="AJ2191" s="17" t="str">
        <f t="shared" si="3"/>
        <v/>
      </c>
    </row>
    <row r="2192" spans="31:36">
      <c r="AE2192" s="15" t="str">
        <f t="shared" si="0"/>
        <v/>
      </c>
      <c r="AF2192" s="15" t="str">
        <f t="shared" si="1"/>
        <v/>
      </c>
      <c r="AG2192" s="15" t="str">
        <f>IF(OR(AF2192="",AF2192="ERRO_CHAVE"),"",IFERROR(MATCH(AF2192,'Quitados DUPP'!$U$1:$U$6635,0),""))</f>
        <v/>
      </c>
      <c r="AH2192" s="15" t="str">
        <f t="shared" si="2"/>
        <v/>
      </c>
      <c r="AI2192" s="17" t="str">
        <f>IF(AG2192="","",INDEX('Quitados DUPP'!$G$1:$G$6635,AG2192))</f>
        <v/>
      </c>
      <c r="AJ2192" s="17" t="str">
        <f t="shared" si="3"/>
        <v/>
      </c>
    </row>
    <row r="2193" spans="31:36">
      <c r="AE2193" s="15" t="str">
        <f t="shared" si="0"/>
        <v/>
      </c>
      <c r="AF2193" s="15" t="str">
        <f t="shared" si="1"/>
        <v/>
      </c>
      <c r="AG2193" s="15" t="str">
        <f>IF(OR(AF2193="",AF2193="ERRO_CHAVE"),"",IFERROR(MATCH(AF2193,'Quitados DUPP'!$U$1:$U$6635,0),""))</f>
        <v/>
      </c>
      <c r="AH2193" s="15" t="str">
        <f t="shared" si="2"/>
        <v/>
      </c>
      <c r="AI2193" s="17" t="str">
        <f>IF(AG2193="","",INDEX('Quitados DUPP'!$G$1:$G$6635,AG2193))</f>
        <v/>
      </c>
      <c r="AJ2193" s="17" t="str">
        <f t="shared" si="3"/>
        <v/>
      </c>
    </row>
    <row r="2194" spans="31:36">
      <c r="AE2194" s="15" t="str">
        <f t="shared" si="0"/>
        <v/>
      </c>
      <c r="AF2194" s="15" t="str">
        <f t="shared" si="1"/>
        <v/>
      </c>
      <c r="AG2194" s="15" t="str">
        <f>IF(OR(AF2194="",AF2194="ERRO_CHAVE"),"",IFERROR(MATCH(AF2194,'Quitados DUPP'!$U$1:$U$6635,0),""))</f>
        <v/>
      </c>
      <c r="AH2194" s="15" t="str">
        <f t="shared" si="2"/>
        <v/>
      </c>
      <c r="AI2194" s="17" t="str">
        <f>IF(AG2194="","",INDEX('Quitados DUPP'!$G$1:$G$6635,AG2194))</f>
        <v/>
      </c>
      <c r="AJ2194" s="17" t="str">
        <f t="shared" si="3"/>
        <v/>
      </c>
    </row>
    <row r="2195" spans="31:36">
      <c r="AE2195" s="15" t="str">
        <f t="shared" si="0"/>
        <v/>
      </c>
      <c r="AF2195" s="15" t="str">
        <f t="shared" si="1"/>
        <v/>
      </c>
      <c r="AG2195" s="15" t="str">
        <f>IF(OR(AF2195="",AF2195="ERRO_CHAVE"),"",IFERROR(MATCH(AF2195,'Quitados DUPP'!$U$1:$U$6635,0),""))</f>
        <v/>
      </c>
      <c r="AH2195" s="15" t="str">
        <f t="shared" si="2"/>
        <v/>
      </c>
      <c r="AI2195" s="17" t="str">
        <f>IF(AG2195="","",INDEX('Quitados DUPP'!$G$1:$G$6635,AG2195))</f>
        <v/>
      </c>
      <c r="AJ2195" s="17" t="str">
        <f t="shared" si="3"/>
        <v/>
      </c>
    </row>
    <row r="2196" spans="31:36">
      <c r="AE2196" s="15" t="str">
        <f t="shared" si="0"/>
        <v/>
      </c>
      <c r="AF2196" s="15" t="str">
        <f t="shared" si="1"/>
        <v/>
      </c>
      <c r="AG2196" s="15" t="str">
        <f>IF(OR(AF2196="",AF2196="ERRO_CHAVE"),"",IFERROR(MATCH(AF2196,'Quitados DUPP'!$U$1:$U$6635,0),""))</f>
        <v/>
      </c>
      <c r="AH2196" s="15" t="str">
        <f t="shared" si="2"/>
        <v/>
      </c>
      <c r="AI2196" s="17" t="str">
        <f>IF(AG2196="","",INDEX('Quitados DUPP'!$G$1:$G$6635,AG2196))</f>
        <v/>
      </c>
      <c r="AJ2196" s="17" t="str">
        <f t="shared" si="3"/>
        <v/>
      </c>
    </row>
    <row r="2197" spans="31:36">
      <c r="AE2197" s="15" t="str">
        <f t="shared" si="0"/>
        <v/>
      </c>
      <c r="AF2197" s="15" t="str">
        <f t="shared" si="1"/>
        <v/>
      </c>
      <c r="AG2197" s="15" t="str">
        <f>IF(OR(AF2197="",AF2197="ERRO_CHAVE"),"",IFERROR(MATCH(AF2197,'Quitados DUPP'!$U$1:$U$6635,0),""))</f>
        <v/>
      </c>
      <c r="AH2197" s="15" t="str">
        <f t="shared" si="2"/>
        <v/>
      </c>
      <c r="AI2197" s="17" t="str">
        <f>IF(AG2197="","",INDEX('Quitados DUPP'!$G$1:$G$6635,AG2197))</f>
        <v/>
      </c>
      <c r="AJ2197" s="17" t="str">
        <f t="shared" si="3"/>
        <v/>
      </c>
    </row>
    <row r="2198" spans="31:36">
      <c r="AE2198" s="15" t="str">
        <f t="shared" si="0"/>
        <v/>
      </c>
      <c r="AF2198" s="15" t="str">
        <f t="shared" si="1"/>
        <v/>
      </c>
      <c r="AG2198" s="15" t="str">
        <f>IF(OR(AF2198="",AF2198="ERRO_CHAVE"),"",IFERROR(MATCH(AF2198,'Quitados DUPP'!$U$1:$U$6635,0),""))</f>
        <v/>
      </c>
      <c r="AH2198" s="15" t="str">
        <f t="shared" si="2"/>
        <v/>
      </c>
      <c r="AI2198" s="17" t="str">
        <f>IF(AG2198="","",INDEX('Quitados DUPP'!$G$1:$G$6635,AG2198))</f>
        <v/>
      </c>
      <c r="AJ2198" s="17" t="str">
        <f t="shared" si="3"/>
        <v/>
      </c>
    </row>
    <row r="2199" spans="31:36">
      <c r="AE2199" s="15" t="str">
        <f t="shared" si="0"/>
        <v/>
      </c>
      <c r="AF2199" s="15" t="str">
        <f t="shared" si="1"/>
        <v/>
      </c>
      <c r="AG2199" s="15" t="str">
        <f>IF(OR(AF2199="",AF2199="ERRO_CHAVE"),"",IFERROR(MATCH(AF2199,'Quitados DUPP'!$U$1:$U$6635,0),""))</f>
        <v/>
      </c>
      <c r="AH2199" s="15" t="str">
        <f t="shared" si="2"/>
        <v/>
      </c>
      <c r="AI2199" s="17" t="str">
        <f>IF(AG2199="","",INDEX('Quitados DUPP'!$G$1:$G$6635,AG2199))</f>
        <v/>
      </c>
      <c r="AJ2199" s="17" t="str">
        <f t="shared" si="3"/>
        <v/>
      </c>
    </row>
    <row r="2200" spans="31:36">
      <c r="AE2200" s="15" t="str">
        <f t="shared" si="0"/>
        <v/>
      </c>
      <c r="AF2200" s="15" t="str">
        <f t="shared" si="1"/>
        <v/>
      </c>
      <c r="AG2200" s="15" t="str">
        <f>IF(OR(AF2200="",AF2200="ERRO_CHAVE"),"",IFERROR(MATCH(AF2200,'Quitados DUPP'!$U$1:$U$6635,0),""))</f>
        <v/>
      </c>
      <c r="AH2200" s="15" t="str">
        <f t="shared" si="2"/>
        <v/>
      </c>
      <c r="AI2200" s="17" t="str">
        <f>IF(AG2200="","",INDEX('Quitados DUPP'!$G$1:$G$6635,AG2200))</f>
        <v/>
      </c>
      <c r="AJ2200" s="17" t="str">
        <f t="shared" si="3"/>
        <v/>
      </c>
    </row>
    <row r="2201" spans="31:36">
      <c r="AE2201" s="15" t="str">
        <f t="shared" si="0"/>
        <v/>
      </c>
      <c r="AF2201" s="15" t="str">
        <f t="shared" si="1"/>
        <v/>
      </c>
      <c r="AG2201" s="15" t="str">
        <f>IF(OR(AF2201="",AF2201="ERRO_CHAVE"),"",IFERROR(MATCH(AF2201,'Quitados DUPP'!$U$1:$U$6635,0),""))</f>
        <v/>
      </c>
      <c r="AH2201" s="15" t="str">
        <f t="shared" si="2"/>
        <v/>
      </c>
      <c r="AI2201" s="17" t="str">
        <f>IF(AG2201="","",INDEX('Quitados DUPP'!$G$1:$G$6635,AG2201))</f>
        <v/>
      </c>
      <c r="AJ2201" s="17" t="str">
        <f t="shared" si="3"/>
        <v/>
      </c>
    </row>
    <row r="2202" spans="31:36">
      <c r="AE2202" s="15" t="str">
        <f t="shared" si="0"/>
        <v/>
      </c>
      <c r="AF2202" s="15" t="str">
        <f t="shared" si="1"/>
        <v/>
      </c>
      <c r="AG2202" s="15" t="str">
        <f>IF(OR(AF2202="",AF2202="ERRO_CHAVE"),"",IFERROR(MATCH(AF2202,'Quitados DUPP'!$U$1:$U$6635,0),""))</f>
        <v/>
      </c>
      <c r="AH2202" s="15" t="str">
        <f t="shared" si="2"/>
        <v/>
      </c>
      <c r="AI2202" s="17" t="str">
        <f>IF(AG2202="","",INDEX('Quitados DUPP'!$G$1:$G$6635,AG2202))</f>
        <v/>
      </c>
      <c r="AJ2202" s="17" t="str">
        <f t="shared" si="3"/>
        <v/>
      </c>
    </row>
    <row r="2203" spans="31:36">
      <c r="AE2203" s="15" t="str">
        <f t="shared" si="0"/>
        <v/>
      </c>
      <c r="AF2203" s="15" t="str">
        <f t="shared" si="1"/>
        <v/>
      </c>
      <c r="AG2203" s="15" t="str">
        <f>IF(OR(AF2203="",AF2203="ERRO_CHAVE"),"",IFERROR(MATCH(AF2203,'Quitados DUPP'!$U$1:$U$6635,0),""))</f>
        <v/>
      </c>
      <c r="AH2203" s="15" t="str">
        <f t="shared" si="2"/>
        <v/>
      </c>
      <c r="AI2203" s="17" t="str">
        <f>IF(AG2203="","",INDEX('Quitados DUPP'!$G$1:$G$6635,AG2203))</f>
        <v/>
      </c>
      <c r="AJ2203" s="17" t="str">
        <f t="shared" si="3"/>
        <v/>
      </c>
    </row>
    <row r="2204" spans="31:36">
      <c r="AE2204" s="15" t="str">
        <f t="shared" si="0"/>
        <v/>
      </c>
      <c r="AF2204" s="15" t="str">
        <f t="shared" si="1"/>
        <v/>
      </c>
      <c r="AG2204" s="15" t="str">
        <f>IF(OR(AF2204="",AF2204="ERRO_CHAVE"),"",IFERROR(MATCH(AF2204,'Quitados DUPP'!$U$1:$U$6635,0),""))</f>
        <v/>
      </c>
      <c r="AH2204" s="15" t="str">
        <f t="shared" si="2"/>
        <v/>
      </c>
      <c r="AI2204" s="17" t="str">
        <f>IF(AG2204="","",INDEX('Quitados DUPP'!$G$1:$G$6635,AG2204))</f>
        <v/>
      </c>
      <c r="AJ2204" s="17" t="str">
        <f t="shared" si="3"/>
        <v/>
      </c>
    </row>
    <row r="2205" spans="31:36">
      <c r="AE2205" s="15" t="str">
        <f t="shared" si="0"/>
        <v/>
      </c>
      <c r="AF2205" s="15" t="str">
        <f t="shared" si="1"/>
        <v/>
      </c>
      <c r="AG2205" s="15" t="str">
        <f>IF(OR(AF2205="",AF2205="ERRO_CHAVE"),"",IFERROR(MATCH(AF2205,'Quitados DUPP'!$U$1:$U$6635,0),""))</f>
        <v/>
      </c>
      <c r="AH2205" s="15" t="str">
        <f t="shared" si="2"/>
        <v/>
      </c>
      <c r="AI2205" s="17" t="str">
        <f>IF(AG2205="","",INDEX('Quitados DUPP'!$G$1:$G$6635,AG2205))</f>
        <v/>
      </c>
      <c r="AJ2205" s="17" t="str">
        <f t="shared" si="3"/>
        <v/>
      </c>
    </row>
    <row r="2206" spans="31:36">
      <c r="AE2206" s="15" t="str">
        <f t="shared" si="0"/>
        <v/>
      </c>
      <c r="AF2206" s="15" t="str">
        <f t="shared" si="1"/>
        <v/>
      </c>
      <c r="AG2206" s="15" t="str">
        <f>IF(OR(AF2206="",AF2206="ERRO_CHAVE"),"",IFERROR(MATCH(AF2206,'Quitados DUPP'!$U$1:$U$6635,0),""))</f>
        <v/>
      </c>
      <c r="AH2206" s="15" t="str">
        <f t="shared" si="2"/>
        <v/>
      </c>
      <c r="AI2206" s="17" t="str">
        <f>IF(AG2206="","",INDEX('Quitados DUPP'!$G$1:$G$6635,AG2206))</f>
        <v/>
      </c>
      <c r="AJ2206" s="17" t="str">
        <f t="shared" si="3"/>
        <v/>
      </c>
    </row>
    <row r="2207" spans="31:36">
      <c r="AE2207" s="15" t="str">
        <f t="shared" si="0"/>
        <v/>
      </c>
      <c r="AF2207" s="15" t="str">
        <f t="shared" si="1"/>
        <v/>
      </c>
      <c r="AG2207" s="15" t="str">
        <f>IF(OR(AF2207="",AF2207="ERRO_CHAVE"),"",IFERROR(MATCH(AF2207,'Quitados DUPP'!$U$1:$U$6635,0),""))</f>
        <v/>
      </c>
      <c r="AH2207" s="15" t="str">
        <f t="shared" si="2"/>
        <v/>
      </c>
      <c r="AI2207" s="17" t="str">
        <f>IF(AG2207="","",INDEX('Quitados DUPP'!$G$1:$G$6635,AG2207))</f>
        <v/>
      </c>
      <c r="AJ2207" s="17" t="str">
        <f t="shared" si="3"/>
        <v/>
      </c>
    </row>
    <row r="2208" spans="31:36">
      <c r="AE2208" s="15" t="str">
        <f t="shared" si="0"/>
        <v/>
      </c>
      <c r="AF2208" s="15" t="str">
        <f t="shared" si="1"/>
        <v/>
      </c>
      <c r="AG2208" s="15" t="str">
        <f>IF(OR(AF2208="",AF2208="ERRO_CHAVE"),"",IFERROR(MATCH(AF2208,'Quitados DUPP'!$U$1:$U$6635,0),""))</f>
        <v/>
      </c>
      <c r="AH2208" s="15" t="str">
        <f t="shared" si="2"/>
        <v/>
      </c>
      <c r="AI2208" s="17" t="str">
        <f>IF(AG2208="","",INDEX('Quitados DUPP'!$G$1:$G$6635,AG2208))</f>
        <v/>
      </c>
      <c r="AJ2208" s="17" t="str">
        <f t="shared" si="3"/>
        <v/>
      </c>
    </row>
    <row r="2209" spans="31:36">
      <c r="AE2209" s="15" t="str">
        <f t="shared" si="0"/>
        <v/>
      </c>
      <c r="AF2209" s="15" t="str">
        <f t="shared" si="1"/>
        <v/>
      </c>
      <c r="AG2209" s="15" t="str">
        <f>IF(OR(AF2209="",AF2209="ERRO_CHAVE"),"",IFERROR(MATCH(AF2209,'Quitados DUPP'!$U$1:$U$6635,0),""))</f>
        <v/>
      </c>
      <c r="AH2209" s="15" t="str">
        <f t="shared" si="2"/>
        <v/>
      </c>
      <c r="AI2209" s="17" t="str">
        <f>IF(AG2209="","",INDEX('Quitados DUPP'!$G$1:$G$6635,AG2209))</f>
        <v/>
      </c>
      <c r="AJ2209" s="17" t="str">
        <f t="shared" si="3"/>
        <v/>
      </c>
    </row>
    <row r="2210" spans="31:36">
      <c r="AE2210" s="15" t="str">
        <f t="shared" si="0"/>
        <v/>
      </c>
      <c r="AF2210" s="15" t="str">
        <f t="shared" si="1"/>
        <v/>
      </c>
      <c r="AG2210" s="15" t="str">
        <f>IF(OR(AF2210="",AF2210="ERRO_CHAVE"),"",IFERROR(MATCH(AF2210,'Quitados DUPP'!$U$1:$U$6635,0),""))</f>
        <v/>
      </c>
      <c r="AH2210" s="15" t="str">
        <f t="shared" si="2"/>
        <v/>
      </c>
      <c r="AI2210" s="17" t="str">
        <f>IF(AG2210="","",INDEX('Quitados DUPP'!$G$1:$G$6635,AG2210))</f>
        <v/>
      </c>
      <c r="AJ2210" s="17" t="str">
        <f t="shared" si="3"/>
        <v/>
      </c>
    </row>
    <row r="2211" spans="31:36">
      <c r="AE2211" s="15" t="str">
        <f t="shared" si="0"/>
        <v/>
      </c>
      <c r="AF2211" s="15" t="str">
        <f t="shared" si="1"/>
        <v/>
      </c>
      <c r="AG2211" s="15" t="str">
        <f>IF(OR(AF2211="",AF2211="ERRO_CHAVE"),"",IFERROR(MATCH(AF2211,'Quitados DUPP'!$U$1:$U$6635,0),""))</f>
        <v/>
      </c>
      <c r="AH2211" s="15" t="str">
        <f t="shared" si="2"/>
        <v/>
      </c>
      <c r="AI2211" s="17" t="str">
        <f>IF(AG2211="","",INDEX('Quitados DUPP'!$G$1:$G$6635,AG2211))</f>
        <v/>
      </c>
      <c r="AJ2211" s="17" t="str">
        <f t="shared" si="3"/>
        <v/>
      </c>
    </row>
    <row r="2212" spans="31:36">
      <c r="AE2212" s="15" t="str">
        <f t="shared" si="0"/>
        <v/>
      </c>
      <c r="AF2212" s="15" t="str">
        <f t="shared" si="1"/>
        <v/>
      </c>
      <c r="AG2212" s="15" t="str">
        <f>IF(OR(AF2212="",AF2212="ERRO_CHAVE"),"",IFERROR(MATCH(AF2212,'Quitados DUPP'!$U$1:$U$6635,0),""))</f>
        <v/>
      </c>
      <c r="AH2212" s="15" t="str">
        <f t="shared" si="2"/>
        <v/>
      </c>
      <c r="AI2212" s="17" t="str">
        <f>IF(AG2212="","",INDEX('Quitados DUPP'!$G$1:$G$6635,AG2212))</f>
        <v/>
      </c>
      <c r="AJ2212" s="17" t="str">
        <f t="shared" si="3"/>
        <v/>
      </c>
    </row>
    <row r="2213" spans="31:36">
      <c r="AE2213" s="15" t="str">
        <f t="shared" si="0"/>
        <v/>
      </c>
      <c r="AF2213" s="15" t="str">
        <f t="shared" si="1"/>
        <v/>
      </c>
      <c r="AG2213" s="15" t="str">
        <f>IF(OR(AF2213="",AF2213="ERRO_CHAVE"),"",IFERROR(MATCH(AF2213,'Quitados DUPP'!$U$1:$U$6635,0),""))</f>
        <v/>
      </c>
      <c r="AH2213" s="15" t="str">
        <f t="shared" si="2"/>
        <v/>
      </c>
      <c r="AI2213" s="17" t="str">
        <f>IF(AG2213="","",INDEX('Quitados DUPP'!$G$1:$G$6635,AG2213))</f>
        <v/>
      </c>
      <c r="AJ2213" s="17" t="str">
        <f t="shared" si="3"/>
        <v/>
      </c>
    </row>
    <row r="2214" spans="31:36">
      <c r="AE2214" s="15" t="str">
        <f t="shared" si="0"/>
        <v/>
      </c>
      <c r="AF2214" s="15" t="str">
        <f t="shared" si="1"/>
        <v/>
      </c>
      <c r="AG2214" s="15" t="str">
        <f>IF(OR(AF2214="",AF2214="ERRO_CHAVE"),"",IFERROR(MATCH(AF2214,'Quitados DUPP'!$U$1:$U$6635,0),""))</f>
        <v/>
      </c>
      <c r="AH2214" s="15" t="str">
        <f t="shared" si="2"/>
        <v/>
      </c>
      <c r="AI2214" s="17" t="str">
        <f>IF(AG2214="","",INDEX('Quitados DUPP'!$G$1:$G$6635,AG2214))</f>
        <v/>
      </c>
      <c r="AJ2214" s="17" t="str">
        <f t="shared" si="3"/>
        <v/>
      </c>
    </row>
    <row r="2215" spans="31:36">
      <c r="AE2215" s="15" t="str">
        <f t="shared" si="0"/>
        <v/>
      </c>
      <c r="AF2215" s="15" t="str">
        <f t="shared" si="1"/>
        <v/>
      </c>
      <c r="AG2215" s="15" t="str">
        <f>IF(OR(AF2215="",AF2215="ERRO_CHAVE"),"",IFERROR(MATCH(AF2215,'Quitados DUPP'!$U$1:$U$6635,0),""))</f>
        <v/>
      </c>
      <c r="AH2215" s="15" t="str">
        <f t="shared" si="2"/>
        <v/>
      </c>
      <c r="AI2215" s="17" t="str">
        <f>IF(AG2215="","",INDEX('Quitados DUPP'!$G$1:$G$6635,AG2215))</f>
        <v/>
      </c>
      <c r="AJ2215" s="17" t="str">
        <f t="shared" si="3"/>
        <v/>
      </c>
    </row>
    <row r="2216" spans="31:36">
      <c r="AE2216" s="15" t="str">
        <f t="shared" si="0"/>
        <v/>
      </c>
      <c r="AF2216" s="15" t="str">
        <f t="shared" si="1"/>
        <v/>
      </c>
      <c r="AG2216" s="15" t="str">
        <f>IF(OR(AF2216="",AF2216="ERRO_CHAVE"),"",IFERROR(MATCH(AF2216,'Quitados DUPP'!$U$1:$U$6635,0),""))</f>
        <v/>
      </c>
      <c r="AH2216" s="15" t="str">
        <f t="shared" si="2"/>
        <v/>
      </c>
      <c r="AI2216" s="17" t="str">
        <f>IF(AG2216="","",INDEX('Quitados DUPP'!$G$1:$G$6635,AG2216))</f>
        <v/>
      </c>
      <c r="AJ2216" s="17" t="str">
        <f t="shared" si="3"/>
        <v/>
      </c>
    </row>
    <row r="2217" spans="31:36">
      <c r="AE2217" s="15" t="str">
        <f t="shared" si="0"/>
        <v/>
      </c>
      <c r="AF2217" s="15" t="str">
        <f t="shared" si="1"/>
        <v/>
      </c>
      <c r="AG2217" s="15" t="str">
        <f>IF(OR(AF2217="",AF2217="ERRO_CHAVE"),"",IFERROR(MATCH(AF2217,'Quitados DUPP'!$U$1:$U$6635,0),""))</f>
        <v/>
      </c>
      <c r="AH2217" s="15" t="str">
        <f t="shared" si="2"/>
        <v/>
      </c>
      <c r="AI2217" s="17" t="str">
        <f>IF(AG2217="","",INDEX('Quitados DUPP'!$G$1:$G$6635,AG2217))</f>
        <v/>
      </c>
      <c r="AJ2217" s="17" t="str">
        <f t="shared" si="3"/>
        <v/>
      </c>
    </row>
    <row r="2218" spans="31:36">
      <c r="AE2218" s="15" t="str">
        <f t="shared" si="0"/>
        <v/>
      </c>
      <c r="AF2218" s="15" t="str">
        <f t="shared" si="1"/>
        <v/>
      </c>
      <c r="AG2218" s="15" t="str">
        <f>IF(OR(AF2218="",AF2218="ERRO_CHAVE"),"",IFERROR(MATCH(AF2218,'Quitados DUPP'!$U$1:$U$6635,0),""))</f>
        <v/>
      </c>
      <c r="AH2218" s="15" t="str">
        <f t="shared" si="2"/>
        <v/>
      </c>
      <c r="AI2218" s="17" t="str">
        <f>IF(AG2218="","",INDEX('Quitados DUPP'!$G$1:$G$6635,AG2218))</f>
        <v/>
      </c>
      <c r="AJ2218" s="17" t="str">
        <f t="shared" si="3"/>
        <v/>
      </c>
    </row>
    <row r="2219" spans="31:36">
      <c r="AE2219" s="15" t="str">
        <f t="shared" si="0"/>
        <v/>
      </c>
      <c r="AF2219" s="15" t="str">
        <f t="shared" si="1"/>
        <v/>
      </c>
      <c r="AG2219" s="15" t="str">
        <f>IF(OR(AF2219="",AF2219="ERRO_CHAVE"),"",IFERROR(MATCH(AF2219,'Quitados DUPP'!$U$1:$U$6635,0),""))</f>
        <v/>
      </c>
      <c r="AH2219" s="15" t="str">
        <f t="shared" si="2"/>
        <v/>
      </c>
      <c r="AI2219" s="17" t="str">
        <f>IF(AG2219="","",INDEX('Quitados DUPP'!$G$1:$G$6635,AG2219))</f>
        <v/>
      </c>
      <c r="AJ2219" s="17" t="str">
        <f t="shared" si="3"/>
        <v/>
      </c>
    </row>
    <row r="2220" spans="31:36">
      <c r="AE2220" s="15" t="str">
        <f t="shared" si="0"/>
        <v/>
      </c>
      <c r="AF2220" s="15" t="str">
        <f t="shared" si="1"/>
        <v/>
      </c>
      <c r="AG2220" s="15" t="str">
        <f>IF(OR(AF2220="",AF2220="ERRO_CHAVE"),"",IFERROR(MATCH(AF2220,'Quitados DUPP'!$U$1:$U$6635,0),""))</f>
        <v/>
      </c>
      <c r="AH2220" s="15" t="str">
        <f t="shared" si="2"/>
        <v/>
      </c>
      <c r="AI2220" s="17" t="str">
        <f>IF(AG2220="","",INDEX('Quitados DUPP'!$G$1:$G$6635,AG2220))</f>
        <v/>
      </c>
      <c r="AJ2220" s="17" t="str">
        <f t="shared" si="3"/>
        <v/>
      </c>
    </row>
    <row r="2221" spans="31:36">
      <c r="AE2221" s="15" t="str">
        <f t="shared" si="0"/>
        <v/>
      </c>
      <c r="AF2221" s="15" t="str">
        <f t="shared" si="1"/>
        <v/>
      </c>
      <c r="AG2221" s="15" t="str">
        <f>IF(OR(AF2221="",AF2221="ERRO_CHAVE"),"",IFERROR(MATCH(AF2221,'Quitados DUPP'!$U$1:$U$6635,0),""))</f>
        <v/>
      </c>
      <c r="AH2221" s="15" t="str">
        <f t="shared" si="2"/>
        <v/>
      </c>
      <c r="AI2221" s="17" t="str">
        <f>IF(AG2221="","",INDEX('Quitados DUPP'!$G$1:$G$6635,AG2221))</f>
        <v/>
      </c>
      <c r="AJ2221" s="17" t="str">
        <f t="shared" si="3"/>
        <v/>
      </c>
    </row>
    <row r="2222" spans="31:36">
      <c r="AE2222" s="15" t="str">
        <f t="shared" si="0"/>
        <v/>
      </c>
      <c r="AF2222" s="15" t="str">
        <f t="shared" si="1"/>
        <v/>
      </c>
      <c r="AG2222" s="15" t="str">
        <f>IF(OR(AF2222="",AF2222="ERRO_CHAVE"),"",IFERROR(MATCH(AF2222,'Quitados DUPP'!$U$1:$U$6635,0),""))</f>
        <v/>
      </c>
      <c r="AH2222" s="15" t="str">
        <f t="shared" si="2"/>
        <v/>
      </c>
      <c r="AI2222" s="17" t="str">
        <f>IF(AG2222="","",INDEX('Quitados DUPP'!$G$1:$G$6635,AG2222))</f>
        <v/>
      </c>
      <c r="AJ2222" s="17" t="str">
        <f t="shared" si="3"/>
        <v/>
      </c>
    </row>
    <row r="2223" spans="31:36">
      <c r="AE2223" s="15" t="str">
        <f t="shared" si="0"/>
        <v/>
      </c>
      <c r="AF2223" s="15" t="str">
        <f t="shared" si="1"/>
        <v/>
      </c>
      <c r="AG2223" s="15" t="str">
        <f>IF(OR(AF2223="",AF2223="ERRO_CHAVE"),"",IFERROR(MATCH(AF2223,'Quitados DUPP'!$U$1:$U$6635,0),""))</f>
        <v/>
      </c>
      <c r="AH2223" s="15" t="str">
        <f t="shared" si="2"/>
        <v/>
      </c>
      <c r="AI2223" s="17" t="str">
        <f>IF(AG2223="","",INDEX('Quitados DUPP'!$G$1:$G$6635,AG2223))</f>
        <v/>
      </c>
      <c r="AJ2223" s="17" t="str">
        <f t="shared" si="3"/>
        <v/>
      </c>
    </row>
    <row r="2224" spans="31:36">
      <c r="AE2224" s="15" t="str">
        <f t="shared" si="0"/>
        <v/>
      </c>
      <c r="AF2224" s="15" t="str">
        <f t="shared" si="1"/>
        <v/>
      </c>
      <c r="AG2224" s="15" t="str">
        <f>IF(OR(AF2224="",AF2224="ERRO_CHAVE"),"",IFERROR(MATCH(AF2224,'Quitados DUPP'!$U$1:$U$6635,0),""))</f>
        <v/>
      </c>
      <c r="AH2224" s="15" t="str">
        <f t="shared" si="2"/>
        <v/>
      </c>
      <c r="AI2224" s="17" t="str">
        <f>IF(AG2224="","",INDEX('Quitados DUPP'!$G$1:$G$6635,AG2224))</f>
        <v/>
      </c>
      <c r="AJ2224" s="17" t="str">
        <f t="shared" si="3"/>
        <v/>
      </c>
    </row>
    <row r="2225" spans="31:36">
      <c r="AE2225" s="15" t="str">
        <f t="shared" si="0"/>
        <v/>
      </c>
      <c r="AF2225" s="15" t="str">
        <f t="shared" si="1"/>
        <v/>
      </c>
      <c r="AG2225" s="15" t="str">
        <f>IF(OR(AF2225="",AF2225="ERRO_CHAVE"),"",IFERROR(MATCH(AF2225,'Quitados DUPP'!$U$1:$U$6635,0),""))</f>
        <v/>
      </c>
      <c r="AH2225" s="15" t="str">
        <f t="shared" si="2"/>
        <v/>
      </c>
      <c r="AI2225" s="17" t="str">
        <f>IF(AG2225="","",INDEX('Quitados DUPP'!$G$1:$G$6635,AG2225))</f>
        <v/>
      </c>
      <c r="AJ2225" s="17" t="str">
        <f t="shared" si="3"/>
        <v/>
      </c>
    </row>
    <row r="2226" spans="31:36">
      <c r="AE2226" s="15" t="str">
        <f t="shared" si="0"/>
        <v/>
      </c>
      <c r="AF2226" s="15" t="str">
        <f t="shared" si="1"/>
        <v/>
      </c>
      <c r="AG2226" s="15" t="str">
        <f>IF(OR(AF2226="",AF2226="ERRO_CHAVE"),"",IFERROR(MATCH(AF2226,'Quitados DUPP'!$U$1:$U$6635,0),""))</f>
        <v/>
      </c>
      <c r="AH2226" s="15" t="str">
        <f t="shared" si="2"/>
        <v/>
      </c>
      <c r="AI2226" s="17" t="str">
        <f>IF(AG2226="","",INDEX('Quitados DUPP'!$G$1:$G$6635,AG2226))</f>
        <v/>
      </c>
      <c r="AJ2226" s="17" t="str">
        <f t="shared" si="3"/>
        <v/>
      </c>
    </row>
    <row r="2227" spans="31:36">
      <c r="AE2227" s="15" t="str">
        <f t="shared" si="0"/>
        <v/>
      </c>
      <c r="AF2227" s="15" t="str">
        <f t="shared" si="1"/>
        <v/>
      </c>
      <c r="AG2227" s="15" t="str">
        <f>IF(OR(AF2227="",AF2227="ERRO_CHAVE"),"",IFERROR(MATCH(AF2227,'Quitados DUPP'!$U$1:$U$6635,0),""))</f>
        <v/>
      </c>
      <c r="AH2227" s="15" t="str">
        <f t="shared" si="2"/>
        <v/>
      </c>
      <c r="AI2227" s="17" t="str">
        <f>IF(AG2227="","",INDEX('Quitados DUPP'!$G$1:$G$6635,AG2227))</f>
        <v/>
      </c>
      <c r="AJ2227" s="17" t="str">
        <f t="shared" si="3"/>
        <v/>
      </c>
    </row>
    <row r="2228" spans="31:36">
      <c r="AE2228" s="15" t="str">
        <f t="shared" si="0"/>
        <v/>
      </c>
      <c r="AF2228" s="15" t="str">
        <f t="shared" si="1"/>
        <v/>
      </c>
      <c r="AG2228" s="15" t="str">
        <f>IF(OR(AF2228="",AF2228="ERRO_CHAVE"),"",IFERROR(MATCH(AF2228,'Quitados DUPP'!$U$1:$U$6635,0),""))</f>
        <v/>
      </c>
      <c r="AH2228" s="15" t="str">
        <f t="shared" si="2"/>
        <v/>
      </c>
      <c r="AI2228" s="17" t="str">
        <f>IF(AG2228="","",INDEX('Quitados DUPP'!$G$1:$G$6635,AG2228))</f>
        <v/>
      </c>
      <c r="AJ2228" s="17" t="str">
        <f t="shared" si="3"/>
        <v/>
      </c>
    </row>
    <row r="2229" spans="31:36">
      <c r="AE2229" s="15" t="str">
        <f t="shared" si="0"/>
        <v/>
      </c>
      <c r="AF2229" s="15" t="str">
        <f t="shared" si="1"/>
        <v/>
      </c>
      <c r="AG2229" s="15" t="str">
        <f>IF(OR(AF2229="",AF2229="ERRO_CHAVE"),"",IFERROR(MATCH(AF2229,'Quitados DUPP'!$U$1:$U$6635,0),""))</f>
        <v/>
      </c>
      <c r="AH2229" s="15" t="str">
        <f t="shared" si="2"/>
        <v/>
      </c>
      <c r="AI2229" s="17" t="str">
        <f>IF(AG2229="","",INDEX('Quitados DUPP'!$G$1:$G$6635,AG2229))</f>
        <v/>
      </c>
      <c r="AJ2229" s="17" t="str">
        <f t="shared" si="3"/>
        <v/>
      </c>
    </row>
    <row r="2230" spans="31:36">
      <c r="AE2230" s="15" t="str">
        <f t="shared" si="0"/>
        <v/>
      </c>
      <c r="AF2230" s="15" t="str">
        <f t="shared" si="1"/>
        <v/>
      </c>
      <c r="AG2230" s="15" t="str">
        <f>IF(OR(AF2230="",AF2230="ERRO_CHAVE"),"",IFERROR(MATCH(AF2230,'Quitados DUPP'!$U$1:$U$6635,0),""))</f>
        <v/>
      </c>
      <c r="AH2230" s="15" t="str">
        <f t="shared" si="2"/>
        <v/>
      </c>
      <c r="AI2230" s="17" t="str">
        <f>IF(AG2230="","",INDEX('Quitados DUPP'!$G$1:$G$6635,AG2230))</f>
        <v/>
      </c>
      <c r="AJ2230" s="17" t="str">
        <f t="shared" si="3"/>
        <v/>
      </c>
    </row>
    <row r="2231" spans="31:36">
      <c r="AE2231" s="15" t="str">
        <f t="shared" si="0"/>
        <v/>
      </c>
      <c r="AF2231" s="15" t="str">
        <f t="shared" si="1"/>
        <v/>
      </c>
      <c r="AG2231" s="15" t="str">
        <f>IF(OR(AF2231="",AF2231="ERRO_CHAVE"),"",IFERROR(MATCH(AF2231,'Quitados DUPP'!$U$1:$U$6635,0),""))</f>
        <v/>
      </c>
      <c r="AH2231" s="15" t="str">
        <f t="shared" si="2"/>
        <v/>
      </c>
      <c r="AI2231" s="17" t="str">
        <f>IF(AG2231="","",INDEX('Quitados DUPP'!$G$1:$G$6635,AG2231))</f>
        <v/>
      </c>
      <c r="AJ2231" s="17" t="str">
        <f t="shared" si="3"/>
        <v/>
      </c>
    </row>
    <row r="2232" spans="31:36">
      <c r="AE2232" s="15" t="str">
        <f t="shared" si="0"/>
        <v/>
      </c>
      <c r="AF2232" s="15" t="str">
        <f t="shared" si="1"/>
        <v/>
      </c>
      <c r="AG2232" s="15" t="str">
        <f>IF(OR(AF2232="",AF2232="ERRO_CHAVE"),"",IFERROR(MATCH(AF2232,'Quitados DUPP'!$U$1:$U$6635,0),""))</f>
        <v/>
      </c>
      <c r="AH2232" s="15" t="str">
        <f t="shared" si="2"/>
        <v/>
      </c>
      <c r="AI2232" s="17" t="str">
        <f>IF(AG2232="","",INDEX('Quitados DUPP'!$G$1:$G$6635,AG2232))</f>
        <v/>
      </c>
      <c r="AJ2232" s="17" t="str">
        <f t="shared" si="3"/>
        <v/>
      </c>
    </row>
    <row r="2233" spans="31:36">
      <c r="AE2233" s="15" t="str">
        <f t="shared" si="0"/>
        <v/>
      </c>
      <c r="AF2233" s="15" t="str">
        <f t="shared" si="1"/>
        <v/>
      </c>
      <c r="AG2233" s="15" t="str">
        <f>IF(OR(AF2233="",AF2233="ERRO_CHAVE"),"",IFERROR(MATCH(AF2233,'Quitados DUPP'!$U$1:$U$6635,0),""))</f>
        <v/>
      </c>
      <c r="AH2233" s="15" t="str">
        <f t="shared" si="2"/>
        <v/>
      </c>
      <c r="AI2233" s="17" t="str">
        <f>IF(AG2233="","",INDEX('Quitados DUPP'!$G$1:$G$6635,AG2233))</f>
        <v/>
      </c>
      <c r="AJ2233" s="17" t="str">
        <f t="shared" si="3"/>
        <v/>
      </c>
    </row>
    <row r="2234" spans="31:36">
      <c r="AE2234" s="15" t="str">
        <f t="shared" si="0"/>
        <v/>
      </c>
      <c r="AF2234" s="15" t="str">
        <f t="shared" si="1"/>
        <v/>
      </c>
      <c r="AG2234" s="15" t="str">
        <f>IF(OR(AF2234="",AF2234="ERRO_CHAVE"),"",IFERROR(MATCH(AF2234,'Quitados DUPP'!$U$1:$U$6635,0),""))</f>
        <v/>
      </c>
      <c r="AH2234" s="15" t="str">
        <f t="shared" si="2"/>
        <v/>
      </c>
      <c r="AI2234" s="17" t="str">
        <f>IF(AG2234="","",INDEX('Quitados DUPP'!$G$1:$G$6635,AG2234))</f>
        <v/>
      </c>
      <c r="AJ2234" s="17" t="str">
        <f t="shared" si="3"/>
        <v/>
      </c>
    </row>
    <row r="2235" spans="31:36">
      <c r="AE2235" s="15" t="str">
        <f t="shared" si="0"/>
        <v/>
      </c>
      <c r="AF2235" s="15" t="str">
        <f t="shared" si="1"/>
        <v/>
      </c>
      <c r="AG2235" s="15" t="str">
        <f>IF(OR(AF2235="",AF2235="ERRO_CHAVE"),"",IFERROR(MATCH(AF2235,'Quitados DUPP'!$U$1:$U$6635,0),""))</f>
        <v/>
      </c>
      <c r="AH2235" s="15" t="str">
        <f t="shared" si="2"/>
        <v/>
      </c>
      <c r="AI2235" s="17" t="str">
        <f>IF(AG2235="","",INDEX('Quitados DUPP'!$G$1:$G$6635,AG2235))</f>
        <v/>
      </c>
      <c r="AJ2235" s="17" t="str">
        <f t="shared" si="3"/>
        <v/>
      </c>
    </row>
    <row r="2236" spans="31:36">
      <c r="AE2236" s="15" t="str">
        <f t="shared" si="0"/>
        <v/>
      </c>
      <c r="AF2236" s="15" t="str">
        <f t="shared" si="1"/>
        <v/>
      </c>
      <c r="AG2236" s="15" t="str">
        <f>IF(OR(AF2236="",AF2236="ERRO_CHAVE"),"",IFERROR(MATCH(AF2236,'Quitados DUPP'!$U$1:$U$6635,0),""))</f>
        <v/>
      </c>
      <c r="AH2236" s="15" t="str">
        <f t="shared" si="2"/>
        <v/>
      </c>
      <c r="AI2236" s="17" t="str">
        <f>IF(AG2236="","",INDEX('Quitados DUPP'!$G$1:$G$6635,AG2236))</f>
        <v/>
      </c>
      <c r="AJ2236" s="17" t="str">
        <f t="shared" si="3"/>
        <v/>
      </c>
    </row>
    <row r="2237" spans="31:36">
      <c r="AE2237" s="15" t="str">
        <f t="shared" si="0"/>
        <v/>
      </c>
      <c r="AF2237" s="15" t="str">
        <f t="shared" si="1"/>
        <v/>
      </c>
      <c r="AG2237" s="15" t="str">
        <f>IF(OR(AF2237="",AF2237="ERRO_CHAVE"),"",IFERROR(MATCH(AF2237,'Quitados DUPP'!$U$1:$U$6635,0),""))</f>
        <v/>
      </c>
      <c r="AH2237" s="15" t="str">
        <f t="shared" si="2"/>
        <v/>
      </c>
      <c r="AI2237" s="17" t="str">
        <f>IF(AG2237="","",INDEX('Quitados DUPP'!$G$1:$G$6635,AG2237))</f>
        <v/>
      </c>
      <c r="AJ2237" s="17" t="str">
        <f t="shared" si="3"/>
        <v/>
      </c>
    </row>
    <row r="2238" spans="31:36">
      <c r="AE2238" s="15" t="str">
        <f t="shared" si="0"/>
        <v/>
      </c>
      <c r="AF2238" s="15" t="str">
        <f t="shared" si="1"/>
        <v/>
      </c>
      <c r="AG2238" s="15" t="str">
        <f>IF(OR(AF2238="",AF2238="ERRO_CHAVE"),"",IFERROR(MATCH(AF2238,'Quitados DUPP'!$U$1:$U$6635,0),""))</f>
        <v/>
      </c>
      <c r="AH2238" s="15" t="str">
        <f t="shared" si="2"/>
        <v/>
      </c>
      <c r="AI2238" s="17" t="str">
        <f>IF(AG2238="","",INDEX('Quitados DUPP'!$G$1:$G$6635,AG2238))</f>
        <v/>
      </c>
      <c r="AJ2238" s="17" t="str">
        <f t="shared" si="3"/>
        <v/>
      </c>
    </row>
    <row r="2239" spans="31:36">
      <c r="AE2239" s="15" t="str">
        <f t="shared" si="0"/>
        <v/>
      </c>
      <c r="AF2239" s="15" t="str">
        <f t="shared" si="1"/>
        <v/>
      </c>
      <c r="AG2239" s="15" t="str">
        <f>IF(OR(AF2239="",AF2239="ERRO_CHAVE"),"",IFERROR(MATCH(AF2239,'Quitados DUPP'!$U$1:$U$6635,0),""))</f>
        <v/>
      </c>
      <c r="AH2239" s="15" t="str">
        <f t="shared" si="2"/>
        <v/>
      </c>
      <c r="AI2239" s="17" t="str">
        <f>IF(AG2239="","",INDEX('Quitados DUPP'!$G$1:$G$6635,AG2239))</f>
        <v/>
      </c>
      <c r="AJ2239" s="17" t="str">
        <f t="shared" si="3"/>
        <v/>
      </c>
    </row>
    <row r="2240" spans="31:36">
      <c r="AE2240" s="15" t="str">
        <f t="shared" si="0"/>
        <v/>
      </c>
      <c r="AF2240" s="15" t="str">
        <f t="shared" si="1"/>
        <v/>
      </c>
      <c r="AG2240" s="15" t="str">
        <f>IF(OR(AF2240="",AF2240="ERRO_CHAVE"),"",IFERROR(MATCH(AF2240,'Quitados DUPP'!$U$1:$U$6635,0),""))</f>
        <v/>
      </c>
      <c r="AH2240" s="15" t="str">
        <f t="shared" si="2"/>
        <v/>
      </c>
      <c r="AI2240" s="17" t="str">
        <f>IF(AG2240="","",INDEX('Quitados DUPP'!$G$1:$G$6635,AG2240))</f>
        <v/>
      </c>
      <c r="AJ2240" s="17" t="str">
        <f t="shared" si="3"/>
        <v/>
      </c>
    </row>
    <row r="2241" spans="31:36">
      <c r="AE2241" s="15" t="str">
        <f t="shared" si="0"/>
        <v/>
      </c>
      <c r="AF2241" s="15" t="str">
        <f t="shared" si="1"/>
        <v/>
      </c>
      <c r="AG2241" s="15" t="str">
        <f>IF(OR(AF2241="",AF2241="ERRO_CHAVE"),"",IFERROR(MATCH(AF2241,'Quitados DUPP'!$U$1:$U$6635,0),""))</f>
        <v/>
      </c>
      <c r="AH2241" s="15" t="str">
        <f t="shared" si="2"/>
        <v/>
      </c>
      <c r="AI2241" s="17" t="str">
        <f>IF(AG2241="","",INDEX('Quitados DUPP'!$G$1:$G$6635,AG2241))</f>
        <v/>
      </c>
      <c r="AJ2241" s="17" t="str">
        <f t="shared" si="3"/>
        <v/>
      </c>
    </row>
    <row r="2242" spans="31:36">
      <c r="AE2242" s="15" t="str">
        <f t="shared" si="0"/>
        <v/>
      </c>
      <c r="AF2242" s="15" t="str">
        <f t="shared" si="1"/>
        <v/>
      </c>
      <c r="AG2242" s="15" t="str">
        <f>IF(OR(AF2242="",AF2242="ERRO_CHAVE"),"",IFERROR(MATCH(AF2242,'Quitados DUPP'!$U$1:$U$6635,0),""))</f>
        <v/>
      </c>
      <c r="AH2242" s="15" t="str">
        <f t="shared" si="2"/>
        <v/>
      </c>
      <c r="AI2242" s="17" t="str">
        <f>IF(AG2242="","",INDEX('Quitados DUPP'!$G$1:$G$6635,AG2242))</f>
        <v/>
      </c>
      <c r="AJ2242" s="17" t="str">
        <f t="shared" si="3"/>
        <v/>
      </c>
    </row>
    <row r="2243" spans="31:36">
      <c r="AE2243" s="15" t="str">
        <f t="shared" si="0"/>
        <v/>
      </c>
      <c r="AF2243" s="15" t="str">
        <f t="shared" si="1"/>
        <v/>
      </c>
      <c r="AG2243" s="15" t="str">
        <f>IF(OR(AF2243="",AF2243="ERRO_CHAVE"),"",IFERROR(MATCH(AF2243,'Quitados DUPP'!$U$1:$U$6635,0),""))</f>
        <v/>
      </c>
      <c r="AH2243" s="15" t="str">
        <f t="shared" si="2"/>
        <v/>
      </c>
      <c r="AI2243" s="17" t="str">
        <f>IF(AG2243="","",INDEX('Quitados DUPP'!$G$1:$G$6635,AG2243))</f>
        <v/>
      </c>
      <c r="AJ2243" s="17" t="str">
        <f t="shared" si="3"/>
        <v/>
      </c>
    </row>
    <row r="2244" spans="31:36">
      <c r="AE2244" s="15" t="str">
        <f t="shared" si="0"/>
        <v/>
      </c>
      <c r="AF2244" s="15" t="str">
        <f t="shared" si="1"/>
        <v/>
      </c>
      <c r="AG2244" s="15" t="str">
        <f>IF(OR(AF2244="",AF2244="ERRO_CHAVE"),"",IFERROR(MATCH(AF2244,'Quitados DUPP'!$U$1:$U$6635,0),""))</f>
        <v/>
      </c>
      <c r="AH2244" s="15" t="str">
        <f t="shared" si="2"/>
        <v/>
      </c>
      <c r="AI2244" s="17" t="str">
        <f>IF(AG2244="","",INDEX('Quitados DUPP'!$G$1:$G$6635,AG2244))</f>
        <v/>
      </c>
      <c r="AJ2244" s="17" t="str">
        <f t="shared" si="3"/>
        <v/>
      </c>
    </row>
    <row r="2245" spans="31:36">
      <c r="AE2245" s="15" t="str">
        <f t="shared" si="0"/>
        <v/>
      </c>
      <c r="AF2245" s="15" t="str">
        <f t="shared" si="1"/>
        <v/>
      </c>
      <c r="AG2245" s="15" t="str">
        <f>IF(OR(AF2245="",AF2245="ERRO_CHAVE"),"",IFERROR(MATCH(AF2245,'Quitados DUPP'!$U$1:$U$6635,0),""))</f>
        <v/>
      </c>
      <c r="AH2245" s="15" t="str">
        <f t="shared" si="2"/>
        <v/>
      </c>
      <c r="AI2245" s="17" t="str">
        <f>IF(AG2245="","",INDEX('Quitados DUPP'!$G$1:$G$6635,AG2245))</f>
        <v/>
      </c>
      <c r="AJ2245" s="17" t="str">
        <f t="shared" si="3"/>
        <v/>
      </c>
    </row>
    <row r="2246" spans="31:36">
      <c r="AE2246" s="15" t="str">
        <f t="shared" si="0"/>
        <v/>
      </c>
      <c r="AF2246" s="15" t="str">
        <f t="shared" si="1"/>
        <v/>
      </c>
      <c r="AG2246" s="15" t="str">
        <f>IF(OR(AF2246="",AF2246="ERRO_CHAVE"),"",IFERROR(MATCH(AF2246,'Quitados DUPP'!$U$1:$U$6635,0),""))</f>
        <v/>
      </c>
      <c r="AH2246" s="15" t="str">
        <f t="shared" si="2"/>
        <v/>
      </c>
      <c r="AI2246" s="17" t="str">
        <f>IF(AG2246="","",INDEX('Quitados DUPP'!$G$1:$G$6635,AG2246))</f>
        <v/>
      </c>
      <c r="AJ2246" s="17" t="str">
        <f t="shared" si="3"/>
        <v/>
      </c>
    </row>
    <row r="2247" spans="31:36">
      <c r="AE2247" s="15" t="str">
        <f t="shared" si="0"/>
        <v/>
      </c>
      <c r="AF2247" s="15" t="str">
        <f t="shared" si="1"/>
        <v/>
      </c>
      <c r="AG2247" s="15" t="str">
        <f>IF(OR(AF2247="",AF2247="ERRO_CHAVE"),"",IFERROR(MATCH(AF2247,'Quitados DUPP'!$U$1:$U$6635,0),""))</f>
        <v/>
      </c>
      <c r="AH2247" s="15" t="str">
        <f t="shared" si="2"/>
        <v/>
      </c>
      <c r="AI2247" s="17" t="str">
        <f>IF(AG2247="","",INDEX('Quitados DUPP'!$G$1:$G$6635,AG2247))</f>
        <v/>
      </c>
      <c r="AJ2247" s="17" t="str">
        <f t="shared" si="3"/>
        <v/>
      </c>
    </row>
    <row r="2248" spans="31:36">
      <c r="AE2248" s="15" t="str">
        <f t="shared" si="0"/>
        <v/>
      </c>
      <c r="AF2248" s="15" t="str">
        <f t="shared" si="1"/>
        <v/>
      </c>
      <c r="AG2248" s="15" t="str">
        <f>IF(OR(AF2248="",AF2248="ERRO_CHAVE"),"",IFERROR(MATCH(AF2248,'Quitados DUPP'!$U$1:$U$6635,0),""))</f>
        <v/>
      </c>
      <c r="AH2248" s="15" t="str">
        <f t="shared" si="2"/>
        <v/>
      </c>
      <c r="AI2248" s="17" t="str">
        <f>IF(AG2248="","",INDEX('Quitados DUPP'!$G$1:$G$6635,AG2248))</f>
        <v/>
      </c>
      <c r="AJ2248" s="17" t="str">
        <f t="shared" si="3"/>
        <v/>
      </c>
    </row>
    <row r="2249" spans="31:36">
      <c r="AE2249" s="15" t="str">
        <f t="shared" si="0"/>
        <v/>
      </c>
      <c r="AF2249" s="15" t="str">
        <f t="shared" si="1"/>
        <v/>
      </c>
      <c r="AG2249" s="15" t="str">
        <f>IF(OR(AF2249="",AF2249="ERRO_CHAVE"),"",IFERROR(MATCH(AF2249,'Quitados DUPP'!$U$1:$U$6635,0),""))</f>
        <v/>
      </c>
      <c r="AH2249" s="15" t="str">
        <f t="shared" si="2"/>
        <v/>
      </c>
      <c r="AI2249" s="17" t="str">
        <f>IF(AG2249="","",INDEX('Quitados DUPP'!$G$1:$G$6635,AG2249))</f>
        <v/>
      </c>
      <c r="AJ2249" s="17" t="str">
        <f t="shared" si="3"/>
        <v/>
      </c>
    </row>
    <row r="2250" spans="31:36">
      <c r="AE2250" s="15" t="str">
        <f t="shared" si="0"/>
        <v/>
      </c>
      <c r="AF2250" s="15" t="str">
        <f t="shared" si="1"/>
        <v/>
      </c>
      <c r="AG2250" s="15" t="str">
        <f>IF(OR(AF2250="",AF2250="ERRO_CHAVE"),"",IFERROR(MATCH(AF2250,'Quitados DUPP'!$U$1:$U$6635,0),""))</f>
        <v/>
      </c>
      <c r="AH2250" s="15" t="str">
        <f t="shared" si="2"/>
        <v/>
      </c>
      <c r="AI2250" s="17" t="str">
        <f>IF(AG2250="","",INDEX('Quitados DUPP'!$G$1:$G$6635,AG2250))</f>
        <v/>
      </c>
      <c r="AJ2250" s="17" t="str">
        <f t="shared" si="3"/>
        <v/>
      </c>
    </row>
    <row r="2251" spans="31:36">
      <c r="AE2251" s="15" t="str">
        <f t="shared" si="0"/>
        <v/>
      </c>
      <c r="AF2251" s="15" t="str">
        <f t="shared" si="1"/>
        <v/>
      </c>
      <c r="AG2251" s="15" t="str">
        <f>IF(OR(AF2251="",AF2251="ERRO_CHAVE"),"",IFERROR(MATCH(AF2251,'Quitados DUPP'!$U$1:$U$6635,0),""))</f>
        <v/>
      </c>
      <c r="AH2251" s="15" t="str">
        <f t="shared" si="2"/>
        <v/>
      </c>
      <c r="AI2251" s="17" t="str">
        <f>IF(AG2251="","",INDEX('Quitados DUPP'!$G$1:$G$6635,AG2251))</f>
        <v/>
      </c>
      <c r="AJ2251" s="17" t="str">
        <f t="shared" si="3"/>
        <v/>
      </c>
    </row>
    <row r="2252" spans="31:36">
      <c r="AE2252" s="15" t="str">
        <f t="shared" si="0"/>
        <v/>
      </c>
      <c r="AF2252" s="15" t="str">
        <f t="shared" si="1"/>
        <v/>
      </c>
      <c r="AG2252" s="15" t="str">
        <f>IF(OR(AF2252="",AF2252="ERRO_CHAVE"),"",IFERROR(MATCH(AF2252,'Quitados DUPP'!$U$1:$U$6635,0),""))</f>
        <v/>
      </c>
      <c r="AH2252" s="15" t="str">
        <f t="shared" si="2"/>
        <v/>
      </c>
      <c r="AI2252" s="17" t="str">
        <f>IF(AG2252="","",INDEX('Quitados DUPP'!$G$1:$G$6635,AG2252))</f>
        <v/>
      </c>
      <c r="AJ2252" s="17" t="str">
        <f t="shared" si="3"/>
        <v/>
      </c>
    </row>
    <row r="2253" spans="31:36">
      <c r="AE2253" s="15" t="str">
        <f t="shared" si="0"/>
        <v/>
      </c>
      <c r="AF2253" s="15" t="str">
        <f t="shared" si="1"/>
        <v/>
      </c>
      <c r="AG2253" s="15" t="str">
        <f>IF(OR(AF2253="",AF2253="ERRO_CHAVE"),"",IFERROR(MATCH(AF2253,'Quitados DUPP'!$U$1:$U$6635,0),""))</f>
        <v/>
      </c>
      <c r="AH2253" s="15" t="str">
        <f t="shared" si="2"/>
        <v/>
      </c>
      <c r="AI2253" s="17" t="str">
        <f>IF(AG2253="","",INDEX('Quitados DUPP'!$G$1:$G$6635,AG2253))</f>
        <v/>
      </c>
      <c r="AJ2253" s="17" t="str">
        <f t="shared" si="3"/>
        <v/>
      </c>
    </row>
    <row r="2254" spans="31:36">
      <c r="AE2254" s="15" t="str">
        <f t="shared" si="0"/>
        <v/>
      </c>
      <c r="AF2254" s="15" t="str">
        <f t="shared" si="1"/>
        <v/>
      </c>
      <c r="AG2254" s="15" t="str">
        <f>IF(OR(AF2254="",AF2254="ERRO_CHAVE"),"",IFERROR(MATCH(AF2254,'Quitados DUPP'!$U$1:$U$6635,0),""))</f>
        <v/>
      </c>
      <c r="AH2254" s="15" t="str">
        <f t="shared" si="2"/>
        <v/>
      </c>
      <c r="AI2254" s="17" t="str">
        <f>IF(AG2254="","",INDEX('Quitados DUPP'!$G$1:$G$6635,AG2254))</f>
        <v/>
      </c>
      <c r="AJ2254" s="17" t="str">
        <f t="shared" si="3"/>
        <v/>
      </c>
    </row>
    <row r="2255" spans="31:36">
      <c r="AE2255" s="15" t="str">
        <f t="shared" si="0"/>
        <v/>
      </c>
      <c r="AF2255" s="15" t="str">
        <f t="shared" si="1"/>
        <v/>
      </c>
      <c r="AG2255" s="15" t="str">
        <f>IF(OR(AF2255="",AF2255="ERRO_CHAVE"),"",IFERROR(MATCH(AF2255,'Quitados DUPP'!$U$1:$U$6635,0),""))</f>
        <v/>
      </c>
      <c r="AH2255" s="15" t="str">
        <f t="shared" si="2"/>
        <v/>
      </c>
      <c r="AI2255" s="17" t="str">
        <f>IF(AG2255="","",INDEX('Quitados DUPP'!$G$1:$G$6635,AG2255))</f>
        <v/>
      </c>
      <c r="AJ2255" s="17" t="str">
        <f t="shared" si="3"/>
        <v/>
      </c>
    </row>
    <row r="2256" spans="31:36">
      <c r="AE2256" s="15" t="str">
        <f t="shared" si="0"/>
        <v/>
      </c>
      <c r="AF2256" s="15" t="str">
        <f t="shared" si="1"/>
        <v/>
      </c>
      <c r="AG2256" s="15" t="str">
        <f>IF(OR(AF2256="",AF2256="ERRO_CHAVE"),"",IFERROR(MATCH(AF2256,'Quitados DUPP'!$U$1:$U$6635,0),""))</f>
        <v/>
      </c>
      <c r="AH2256" s="15" t="str">
        <f t="shared" si="2"/>
        <v/>
      </c>
      <c r="AI2256" s="17" t="str">
        <f>IF(AG2256="","",INDEX('Quitados DUPP'!$G$1:$G$6635,AG2256))</f>
        <v/>
      </c>
      <c r="AJ2256" s="17" t="str">
        <f t="shared" si="3"/>
        <v/>
      </c>
    </row>
    <row r="2257" spans="31:36">
      <c r="AE2257" s="15" t="str">
        <f t="shared" si="0"/>
        <v/>
      </c>
      <c r="AF2257" s="15" t="str">
        <f t="shared" si="1"/>
        <v/>
      </c>
      <c r="AG2257" s="15" t="str">
        <f>IF(OR(AF2257="",AF2257="ERRO_CHAVE"),"",IFERROR(MATCH(AF2257,'Quitados DUPP'!$U$1:$U$6635,0),""))</f>
        <v/>
      </c>
      <c r="AH2257" s="15" t="str">
        <f t="shared" si="2"/>
        <v/>
      </c>
      <c r="AI2257" s="17" t="str">
        <f>IF(AG2257="","",INDEX('Quitados DUPP'!$G$1:$G$6635,AG2257))</f>
        <v/>
      </c>
      <c r="AJ2257" s="17" t="str">
        <f t="shared" si="3"/>
        <v/>
      </c>
    </row>
    <row r="2258" spans="31:36">
      <c r="AE2258" s="15" t="str">
        <f t="shared" si="0"/>
        <v/>
      </c>
      <c r="AF2258" s="15" t="str">
        <f t="shared" si="1"/>
        <v/>
      </c>
      <c r="AG2258" s="15" t="str">
        <f>IF(OR(AF2258="",AF2258="ERRO_CHAVE"),"",IFERROR(MATCH(AF2258,'Quitados DUPP'!$U$1:$U$6635,0),""))</f>
        <v/>
      </c>
      <c r="AH2258" s="15" t="str">
        <f t="shared" si="2"/>
        <v/>
      </c>
      <c r="AI2258" s="17" t="str">
        <f>IF(AG2258="","",INDEX('Quitados DUPP'!$G$1:$G$6635,AG2258))</f>
        <v/>
      </c>
      <c r="AJ2258" s="17" t="str">
        <f t="shared" si="3"/>
        <v/>
      </c>
    </row>
    <row r="2259" spans="31:36">
      <c r="AE2259" s="15" t="str">
        <f t="shared" si="0"/>
        <v/>
      </c>
      <c r="AF2259" s="15" t="str">
        <f t="shared" si="1"/>
        <v/>
      </c>
      <c r="AG2259" s="15" t="str">
        <f>IF(OR(AF2259="",AF2259="ERRO_CHAVE"),"",IFERROR(MATCH(AF2259,'Quitados DUPP'!$U$1:$U$6635,0),""))</f>
        <v/>
      </c>
      <c r="AH2259" s="15" t="str">
        <f t="shared" si="2"/>
        <v/>
      </c>
      <c r="AI2259" s="17" t="str">
        <f>IF(AG2259="","",INDEX('Quitados DUPP'!$G$1:$G$6635,AG2259))</f>
        <v/>
      </c>
      <c r="AJ2259" s="17" t="str">
        <f t="shared" si="3"/>
        <v/>
      </c>
    </row>
    <row r="2260" spans="31:36">
      <c r="AE2260" s="15" t="str">
        <f t="shared" si="0"/>
        <v/>
      </c>
      <c r="AF2260" s="15" t="str">
        <f t="shared" si="1"/>
        <v/>
      </c>
      <c r="AG2260" s="15" t="str">
        <f>IF(OR(AF2260="",AF2260="ERRO_CHAVE"),"",IFERROR(MATCH(AF2260,'Quitados DUPP'!$U$1:$U$6635,0),""))</f>
        <v/>
      </c>
      <c r="AH2260" s="15" t="str">
        <f t="shared" si="2"/>
        <v/>
      </c>
      <c r="AI2260" s="17" t="str">
        <f>IF(AG2260="","",INDEX('Quitados DUPP'!$G$1:$G$6635,AG2260))</f>
        <v/>
      </c>
      <c r="AJ2260" s="17" t="str">
        <f t="shared" si="3"/>
        <v/>
      </c>
    </row>
    <row r="2261" spans="31:36">
      <c r="AE2261" s="15" t="str">
        <f t="shared" si="0"/>
        <v/>
      </c>
      <c r="AF2261" s="15" t="str">
        <f t="shared" si="1"/>
        <v/>
      </c>
      <c r="AG2261" s="15" t="str">
        <f>IF(OR(AF2261="",AF2261="ERRO_CHAVE"),"",IFERROR(MATCH(AF2261,'Quitados DUPP'!$U$1:$U$6635,0),""))</f>
        <v/>
      </c>
      <c r="AH2261" s="15" t="str">
        <f t="shared" si="2"/>
        <v/>
      </c>
      <c r="AI2261" s="17" t="str">
        <f>IF(AG2261="","",INDEX('Quitados DUPP'!$G$1:$G$6635,AG2261))</f>
        <v/>
      </c>
      <c r="AJ2261" s="17" t="str">
        <f t="shared" si="3"/>
        <v/>
      </c>
    </row>
    <row r="2262" spans="31:36">
      <c r="AE2262" s="15" t="str">
        <f t="shared" si="0"/>
        <v/>
      </c>
      <c r="AF2262" s="15" t="str">
        <f t="shared" si="1"/>
        <v/>
      </c>
      <c r="AG2262" s="15" t="str">
        <f>IF(OR(AF2262="",AF2262="ERRO_CHAVE"),"",IFERROR(MATCH(AF2262,'Quitados DUPP'!$U$1:$U$6635,0),""))</f>
        <v/>
      </c>
      <c r="AH2262" s="15" t="str">
        <f t="shared" si="2"/>
        <v/>
      </c>
      <c r="AI2262" s="17" t="str">
        <f>IF(AG2262="","",INDEX('Quitados DUPP'!$G$1:$G$6635,AG2262))</f>
        <v/>
      </c>
      <c r="AJ2262" s="17" t="str">
        <f t="shared" si="3"/>
        <v/>
      </c>
    </row>
    <row r="2263" spans="31:36">
      <c r="AE2263" s="15" t="str">
        <f t="shared" si="0"/>
        <v/>
      </c>
      <c r="AF2263" s="15" t="str">
        <f t="shared" si="1"/>
        <v/>
      </c>
      <c r="AG2263" s="15" t="str">
        <f>IF(OR(AF2263="",AF2263="ERRO_CHAVE"),"",IFERROR(MATCH(AF2263,'Quitados DUPP'!$U$1:$U$6635,0),""))</f>
        <v/>
      </c>
      <c r="AH2263" s="15" t="str">
        <f t="shared" si="2"/>
        <v/>
      </c>
      <c r="AI2263" s="17" t="str">
        <f>IF(AG2263="","",INDEX('Quitados DUPP'!$G$1:$G$6635,AG2263))</f>
        <v/>
      </c>
      <c r="AJ2263" s="17" t="str">
        <f t="shared" si="3"/>
        <v/>
      </c>
    </row>
    <row r="2264" spans="31:36">
      <c r="AE2264" s="15" t="str">
        <f t="shared" si="0"/>
        <v/>
      </c>
      <c r="AF2264" s="15" t="str">
        <f t="shared" si="1"/>
        <v/>
      </c>
      <c r="AG2264" s="15" t="str">
        <f>IF(OR(AF2264="",AF2264="ERRO_CHAVE"),"",IFERROR(MATCH(AF2264,'Quitados DUPP'!$U$1:$U$6635,0),""))</f>
        <v/>
      </c>
      <c r="AH2264" s="15" t="str">
        <f t="shared" si="2"/>
        <v/>
      </c>
      <c r="AI2264" s="17" t="str">
        <f>IF(AG2264="","",INDEX('Quitados DUPP'!$G$1:$G$6635,AG2264))</f>
        <v/>
      </c>
      <c r="AJ2264" s="17" t="str">
        <f t="shared" si="3"/>
        <v/>
      </c>
    </row>
    <row r="2265" spans="31:36">
      <c r="AE2265" s="15" t="str">
        <f t="shared" si="0"/>
        <v/>
      </c>
      <c r="AF2265" s="15" t="str">
        <f t="shared" si="1"/>
        <v/>
      </c>
      <c r="AG2265" s="15" t="str">
        <f>IF(OR(AF2265="",AF2265="ERRO_CHAVE"),"",IFERROR(MATCH(AF2265,'Quitados DUPP'!$U$1:$U$6635,0),""))</f>
        <v/>
      </c>
      <c r="AH2265" s="15" t="str">
        <f t="shared" si="2"/>
        <v/>
      </c>
      <c r="AI2265" s="17" t="str">
        <f>IF(AG2265="","",INDEX('Quitados DUPP'!$G$1:$G$6635,AG2265))</f>
        <v/>
      </c>
      <c r="AJ2265" s="17" t="str">
        <f t="shared" si="3"/>
        <v/>
      </c>
    </row>
    <row r="2266" spans="31:36">
      <c r="AE2266" s="15" t="str">
        <f t="shared" si="0"/>
        <v/>
      </c>
      <c r="AF2266" s="15" t="str">
        <f t="shared" si="1"/>
        <v/>
      </c>
      <c r="AG2266" s="15" t="str">
        <f>IF(OR(AF2266="",AF2266="ERRO_CHAVE"),"",IFERROR(MATCH(AF2266,'Quitados DUPP'!$U$1:$U$6635,0),""))</f>
        <v/>
      </c>
      <c r="AH2266" s="15" t="str">
        <f t="shared" si="2"/>
        <v/>
      </c>
      <c r="AI2266" s="17" t="str">
        <f>IF(AG2266="","",INDEX('Quitados DUPP'!$G$1:$G$6635,AG2266))</f>
        <v/>
      </c>
      <c r="AJ2266" s="17" t="str">
        <f t="shared" si="3"/>
        <v/>
      </c>
    </row>
    <row r="2267" spans="31:36">
      <c r="AE2267" s="15" t="str">
        <f t="shared" si="0"/>
        <v/>
      </c>
      <c r="AF2267" s="15" t="str">
        <f t="shared" si="1"/>
        <v/>
      </c>
      <c r="AG2267" s="15" t="str">
        <f>IF(OR(AF2267="",AF2267="ERRO_CHAVE"),"",IFERROR(MATCH(AF2267,'Quitados DUPP'!$U$1:$U$6635,0),""))</f>
        <v/>
      </c>
      <c r="AH2267" s="15" t="str">
        <f t="shared" si="2"/>
        <v/>
      </c>
      <c r="AI2267" s="17" t="str">
        <f>IF(AG2267="","",INDEX('Quitados DUPP'!$G$1:$G$6635,AG2267))</f>
        <v/>
      </c>
      <c r="AJ2267" s="17" t="str">
        <f t="shared" si="3"/>
        <v/>
      </c>
    </row>
    <row r="2268" spans="31:36">
      <c r="AE2268" s="15" t="str">
        <f t="shared" si="0"/>
        <v/>
      </c>
      <c r="AF2268" s="15" t="str">
        <f t="shared" si="1"/>
        <v/>
      </c>
      <c r="AG2268" s="15" t="str">
        <f>IF(OR(AF2268="",AF2268="ERRO_CHAVE"),"",IFERROR(MATCH(AF2268,'Quitados DUPP'!$U$1:$U$6635,0),""))</f>
        <v/>
      </c>
      <c r="AH2268" s="15" t="str">
        <f t="shared" si="2"/>
        <v/>
      </c>
      <c r="AI2268" s="17" t="str">
        <f>IF(AG2268="","",INDEX('Quitados DUPP'!$G$1:$G$6635,AG2268))</f>
        <v/>
      </c>
      <c r="AJ2268" s="17" t="str">
        <f t="shared" si="3"/>
        <v/>
      </c>
    </row>
    <row r="2269" spans="31:36">
      <c r="AE2269" s="15" t="str">
        <f t="shared" si="0"/>
        <v/>
      </c>
      <c r="AF2269" s="15" t="str">
        <f t="shared" si="1"/>
        <v/>
      </c>
      <c r="AG2269" s="15" t="str">
        <f>IF(OR(AF2269="",AF2269="ERRO_CHAVE"),"",IFERROR(MATCH(AF2269,'Quitados DUPP'!$U$1:$U$6635,0),""))</f>
        <v/>
      </c>
      <c r="AH2269" s="15" t="str">
        <f t="shared" si="2"/>
        <v/>
      </c>
      <c r="AI2269" s="17" t="str">
        <f>IF(AG2269="","",INDEX('Quitados DUPP'!$G$1:$G$6635,AG2269))</f>
        <v/>
      </c>
      <c r="AJ2269" s="17" t="str">
        <f t="shared" si="3"/>
        <v/>
      </c>
    </row>
    <row r="2270" spans="31:36">
      <c r="AE2270" s="15" t="str">
        <f t="shared" si="0"/>
        <v/>
      </c>
      <c r="AF2270" s="15" t="str">
        <f t="shared" si="1"/>
        <v/>
      </c>
      <c r="AG2270" s="15" t="str">
        <f>IF(OR(AF2270="",AF2270="ERRO_CHAVE"),"",IFERROR(MATCH(AF2270,'Quitados DUPP'!$U$1:$U$6635,0),""))</f>
        <v/>
      </c>
      <c r="AH2270" s="15" t="str">
        <f t="shared" si="2"/>
        <v/>
      </c>
      <c r="AI2270" s="17" t="str">
        <f>IF(AG2270="","",INDEX('Quitados DUPP'!$G$1:$G$6635,AG2270))</f>
        <v/>
      </c>
      <c r="AJ2270" s="17" t="str">
        <f t="shared" si="3"/>
        <v/>
      </c>
    </row>
    <row r="2271" spans="31:36">
      <c r="AE2271" s="15" t="str">
        <f t="shared" si="0"/>
        <v/>
      </c>
      <c r="AF2271" s="15" t="str">
        <f t="shared" si="1"/>
        <v/>
      </c>
      <c r="AG2271" s="15" t="str">
        <f>IF(OR(AF2271="",AF2271="ERRO_CHAVE"),"",IFERROR(MATCH(AF2271,'Quitados DUPP'!$U$1:$U$6635,0),""))</f>
        <v/>
      </c>
      <c r="AH2271" s="15" t="str">
        <f t="shared" si="2"/>
        <v/>
      </c>
      <c r="AI2271" s="17" t="str">
        <f>IF(AG2271="","",INDEX('Quitados DUPP'!$G$1:$G$6635,AG2271))</f>
        <v/>
      </c>
      <c r="AJ2271" s="17" t="str">
        <f t="shared" si="3"/>
        <v/>
      </c>
    </row>
    <row r="2272" spans="31:36">
      <c r="AE2272" s="15" t="str">
        <f t="shared" si="0"/>
        <v/>
      </c>
      <c r="AF2272" s="15" t="str">
        <f t="shared" si="1"/>
        <v/>
      </c>
      <c r="AG2272" s="15" t="str">
        <f>IF(OR(AF2272="",AF2272="ERRO_CHAVE"),"",IFERROR(MATCH(AF2272,'Quitados DUPP'!$U$1:$U$6635,0),""))</f>
        <v/>
      </c>
      <c r="AH2272" s="15" t="str">
        <f t="shared" si="2"/>
        <v/>
      </c>
      <c r="AI2272" s="17" t="str">
        <f>IF(AG2272="","",INDEX('Quitados DUPP'!$G$1:$G$6635,AG2272))</f>
        <v/>
      </c>
      <c r="AJ2272" s="17" t="str">
        <f t="shared" si="3"/>
        <v/>
      </c>
    </row>
    <row r="2273" spans="31:36">
      <c r="AE2273" s="15" t="str">
        <f t="shared" si="0"/>
        <v/>
      </c>
      <c r="AF2273" s="15" t="str">
        <f t="shared" si="1"/>
        <v/>
      </c>
      <c r="AG2273" s="15" t="str">
        <f>IF(OR(AF2273="",AF2273="ERRO_CHAVE"),"",IFERROR(MATCH(AF2273,'Quitados DUPP'!$U$1:$U$6635,0),""))</f>
        <v/>
      </c>
      <c r="AH2273" s="15" t="str">
        <f t="shared" si="2"/>
        <v/>
      </c>
      <c r="AI2273" s="17" t="str">
        <f>IF(AG2273="","",INDEX('Quitados DUPP'!$G$1:$G$6635,AG2273))</f>
        <v/>
      </c>
      <c r="AJ2273" s="17" t="str">
        <f t="shared" si="3"/>
        <v/>
      </c>
    </row>
    <row r="2274" spans="31:36">
      <c r="AE2274" s="15" t="str">
        <f t="shared" si="0"/>
        <v/>
      </c>
      <c r="AF2274" s="15" t="str">
        <f t="shared" si="1"/>
        <v/>
      </c>
      <c r="AG2274" s="15" t="str">
        <f>IF(OR(AF2274="",AF2274="ERRO_CHAVE"),"",IFERROR(MATCH(AF2274,'Quitados DUPP'!$U$1:$U$6635,0),""))</f>
        <v/>
      </c>
      <c r="AH2274" s="15" t="str">
        <f t="shared" si="2"/>
        <v/>
      </c>
      <c r="AI2274" s="17" t="str">
        <f>IF(AG2274="","",INDEX('Quitados DUPP'!$G$1:$G$6635,AG2274))</f>
        <v/>
      </c>
      <c r="AJ2274" s="17" t="str">
        <f t="shared" si="3"/>
        <v/>
      </c>
    </row>
    <row r="2275" spans="31:36">
      <c r="AE2275" s="15" t="str">
        <f t="shared" si="0"/>
        <v/>
      </c>
      <c r="AF2275" s="15" t="str">
        <f t="shared" si="1"/>
        <v/>
      </c>
      <c r="AG2275" s="15" t="str">
        <f>IF(OR(AF2275="",AF2275="ERRO_CHAVE"),"",IFERROR(MATCH(AF2275,'Quitados DUPP'!$U$1:$U$6635,0),""))</f>
        <v/>
      </c>
      <c r="AH2275" s="15" t="str">
        <f t="shared" si="2"/>
        <v/>
      </c>
      <c r="AI2275" s="17" t="str">
        <f>IF(AG2275="","",INDEX('Quitados DUPP'!$G$1:$G$6635,AG2275))</f>
        <v/>
      </c>
      <c r="AJ2275" s="17" t="str">
        <f t="shared" si="3"/>
        <v/>
      </c>
    </row>
    <row r="2276" spans="31:36">
      <c r="AE2276" s="15" t="str">
        <f t="shared" si="0"/>
        <v/>
      </c>
      <c r="AF2276" s="15" t="str">
        <f t="shared" si="1"/>
        <v/>
      </c>
      <c r="AG2276" s="15" t="str">
        <f>IF(OR(AF2276="",AF2276="ERRO_CHAVE"),"",IFERROR(MATCH(AF2276,'Quitados DUPP'!$U$1:$U$6635,0),""))</f>
        <v/>
      </c>
      <c r="AH2276" s="15" t="str">
        <f t="shared" si="2"/>
        <v/>
      </c>
      <c r="AI2276" s="17" t="str">
        <f>IF(AG2276="","",INDEX('Quitados DUPP'!$G$1:$G$6635,AG2276))</f>
        <v/>
      </c>
      <c r="AJ2276" s="17" t="str">
        <f t="shared" si="3"/>
        <v/>
      </c>
    </row>
    <row r="2277" spans="31:36">
      <c r="AE2277" s="15" t="str">
        <f t="shared" si="0"/>
        <v/>
      </c>
      <c r="AF2277" s="15" t="str">
        <f t="shared" si="1"/>
        <v/>
      </c>
      <c r="AG2277" s="15" t="str">
        <f>IF(OR(AF2277="",AF2277="ERRO_CHAVE"),"",IFERROR(MATCH(AF2277,'Quitados DUPP'!$U$1:$U$6635,0),""))</f>
        <v/>
      </c>
      <c r="AH2277" s="15" t="str">
        <f t="shared" si="2"/>
        <v/>
      </c>
      <c r="AI2277" s="17" t="str">
        <f>IF(AG2277="","",INDEX('Quitados DUPP'!$G$1:$G$6635,AG2277))</f>
        <v/>
      </c>
      <c r="AJ2277" s="17" t="str">
        <f t="shared" si="3"/>
        <v/>
      </c>
    </row>
    <row r="2278" spans="31:36">
      <c r="AE2278" s="15" t="str">
        <f t="shared" si="0"/>
        <v/>
      </c>
      <c r="AF2278" s="15" t="str">
        <f t="shared" si="1"/>
        <v/>
      </c>
      <c r="AG2278" s="15" t="str">
        <f>IF(OR(AF2278="",AF2278="ERRO_CHAVE"),"",IFERROR(MATCH(AF2278,'Quitados DUPP'!$U$1:$U$6635,0),""))</f>
        <v/>
      </c>
      <c r="AH2278" s="15" t="str">
        <f t="shared" si="2"/>
        <v/>
      </c>
      <c r="AI2278" s="17" t="str">
        <f>IF(AG2278="","",INDEX('Quitados DUPP'!$G$1:$G$6635,AG2278))</f>
        <v/>
      </c>
      <c r="AJ2278" s="17" t="str">
        <f t="shared" si="3"/>
        <v/>
      </c>
    </row>
    <row r="2279" spans="31:36">
      <c r="AE2279" s="15" t="str">
        <f t="shared" si="0"/>
        <v/>
      </c>
      <c r="AF2279" s="15" t="str">
        <f t="shared" si="1"/>
        <v/>
      </c>
      <c r="AG2279" s="15" t="str">
        <f>IF(OR(AF2279="",AF2279="ERRO_CHAVE"),"",IFERROR(MATCH(AF2279,'Quitados DUPP'!$U$1:$U$6635,0),""))</f>
        <v/>
      </c>
      <c r="AH2279" s="15" t="str">
        <f t="shared" si="2"/>
        <v/>
      </c>
      <c r="AI2279" s="17" t="str">
        <f>IF(AG2279="","",INDEX('Quitados DUPP'!$G$1:$G$6635,AG2279))</f>
        <v/>
      </c>
      <c r="AJ2279" s="17" t="str">
        <f t="shared" si="3"/>
        <v/>
      </c>
    </row>
    <row r="2280" spans="31:36">
      <c r="AE2280" s="15" t="str">
        <f t="shared" si="0"/>
        <v/>
      </c>
      <c r="AF2280" s="15" t="str">
        <f t="shared" si="1"/>
        <v/>
      </c>
      <c r="AG2280" s="15" t="str">
        <f>IF(OR(AF2280="",AF2280="ERRO_CHAVE"),"",IFERROR(MATCH(AF2280,'Quitados DUPP'!$U$1:$U$6635,0),""))</f>
        <v/>
      </c>
      <c r="AH2280" s="15" t="str">
        <f t="shared" si="2"/>
        <v/>
      </c>
      <c r="AI2280" s="17" t="str">
        <f>IF(AG2280="","",INDEX('Quitados DUPP'!$G$1:$G$6635,AG2280))</f>
        <v/>
      </c>
      <c r="AJ2280" s="17" t="str">
        <f t="shared" si="3"/>
        <v/>
      </c>
    </row>
    <row r="2281" spans="31:36">
      <c r="AE2281" s="15" t="str">
        <f t="shared" si="0"/>
        <v/>
      </c>
      <c r="AF2281" s="15" t="str">
        <f t="shared" si="1"/>
        <v/>
      </c>
      <c r="AG2281" s="15" t="str">
        <f>IF(OR(AF2281="",AF2281="ERRO_CHAVE"),"",IFERROR(MATCH(AF2281,'Quitados DUPP'!$U$1:$U$6635,0),""))</f>
        <v/>
      </c>
      <c r="AH2281" s="15" t="str">
        <f t="shared" si="2"/>
        <v/>
      </c>
      <c r="AI2281" s="17" t="str">
        <f>IF(AG2281="","",INDEX('Quitados DUPP'!$G$1:$G$6635,AG2281))</f>
        <v/>
      </c>
      <c r="AJ2281" s="17" t="str">
        <f t="shared" si="3"/>
        <v/>
      </c>
    </row>
    <row r="2282" spans="31:36">
      <c r="AE2282" s="15" t="str">
        <f t="shared" si="0"/>
        <v/>
      </c>
      <c r="AF2282" s="15" t="str">
        <f t="shared" si="1"/>
        <v/>
      </c>
      <c r="AG2282" s="15" t="str">
        <f>IF(OR(AF2282="",AF2282="ERRO_CHAVE"),"",IFERROR(MATCH(AF2282,'Quitados DUPP'!$U$1:$U$6635,0),""))</f>
        <v/>
      </c>
      <c r="AH2282" s="15" t="str">
        <f t="shared" si="2"/>
        <v/>
      </c>
      <c r="AI2282" s="17" t="str">
        <f>IF(AG2282="","",INDEX('Quitados DUPP'!$G$1:$G$6635,AG2282))</f>
        <v/>
      </c>
      <c r="AJ2282" s="17" t="str">
        <f t="shared" si="3"/>
        <v/>
      </c>
    </row>
    <row r="2283" spans="31:36">
      <c r="AE2283" s="15" t="str">
        <f t="shared" si="0"/>
        <v/>
      </c>
      <c r="AF2283" s="15" t="str">
        <f t="shared" si="1"/>
        <v/>
      </c>
      <c r="AG2283" s="15" t="str">
        <f>IF(OR(AF2283="",AF2283="ERRO_CHAVE"),"",IFERROR(MATCH(AF2283,'Quitados DUPP'!$U$1:$U$6635,0),""))</f>
        <v/>
      </c>
      <c r="AH2283" s="15" t="str">
        <f t="shared" si="2"/>
        <v/>
      </c>
      <c r="AI2283" s="17" t="str">
        <f>IF(AG2283="","",INDEX('Quitados DUPP'!$G$1:$G$6635,AG2283))</f>
        <v/>
      </c>
      <c r="AJ2283" s="17" t="str">
        <f t="shared" si="3"/>
        <v/>
      </c>
    </row>
    <row r="2284" spans="31:36">
      <c r="AE2284" s="15" t="str">
        <f t="shared" si="0"/>
        <v/>
      </c>
      <c r="AF2284" s="15" t="str">
        <f t="shared" si="1"/>
        <v/>
      </c>
      <c r="AG2284" s="15" t="str">
        <f>IF(OR(AF2284="",AF2284="ERRO_CHAVE"),"",IFERROR(MATCH(AF2284,'Quitados DUPP'!$U$1:$U$6635,0),""))</f>
        <v/>
      </c>
      <c r="AH2284" s="15" t="str">
        <f t="shared" si="2"/>
        <v/>
      </c>
      <c r="AI2284" s="17" t="str">
        <f>IF(AG2284="","",INDEX('Quitados DUPP'!$G$1:$G$6635,AG2284))</f>
        <v/>
      </c>
      <c r="AJ2284" s="17" t="str">
        <f t="shared" si="3"/>
        <v/>
      </c>
    </row>
    <row r="2285" spans="31:36">
      <c r="AE2285" s="15" t="str">
        <f t="shared" si="0"/>
        <v/>
      </c>
      <c r="AF2285" s="15" t="str">
        <f t="shared" si="1"/>
        <v/>
      </c>
      <c r="AG2285" s="15" t="str">
        <f>IF(OR(AF2285="",AF2285="ERRO_CHAVE"),"",IFERROR(MATCH(AF2285,'Quitados DUPP'!$U$1:$U$6635,0),""))</f>
        <v/>
      </c>
      <c r="AH2285" s="15" t="str">
        <f t="shared" si="2"/>
        <v/>
      </c>
      <c r="AI2285" s="17" t="str">
        <f>IF(AG2285="","",INDEX('Quitados DUPP'!$G$1:$G$6635,AG2285))</f>
        <v/>
      </c>
      <c r="AJ2285" s="17" t="str">
        <f t="shared" si="3"/>
        <v/>
      </c>
    </row>
    <row r="2286" spans="31:36">
      <c r="AE2286" s="15" t="str">
        <f t="shared" si="0"/>
        <v/>
      </c>
      <c r="AF2286" s="15" t="str">
        <f t="shared" si="1"/>
        <v/>
      </c>
      <c r="AG2286" s="15" t="str">
        <f>IF(OR(AF2286="",AF2286="ERRO_CHAVE"),"",IFERROR(MATCH(AF2286,'Quitados DUPP'!$U$1:$U$6635,0),""))</f>
        <v/>
      </c>
      <c r="AH2286" s="15" t="str">
        <f t="shared" si="2"/>
        <v/>
      </c>
      <c r="AI2286" s="17" t="str">
        <f>IF(AG2286="","",INDEX('Quitados DUPP'!$G$1:$G$6635,AG2286))</f>
        <v/>
      </c>
      <c r="AJ2286" s="17" t="str">
        <f t="shared" si="3"/>
        <v/>
      </c>
    </row>
    <row r="2287" spans="31:36">
      <c r="AE2287" s="15" t="str">
        <f t="shared" si="0"/>
        <v/>
      </c>
      <c r="AF2287" s="15" t="str">
        <f t="shared" si="1"/>
        <v/>
      </c>
      <c r="AG2287" s="15" t="str">
        <f>IF(OR(AF2287="",AF2287="ERRO_CHAVE"),"",IFERROR(MATCH(AF2287,'Quitados DUPP'!$U$1:$U$6635,0),""))</f>
        <v/>
      </c>
      <c r="AH2287" s="15" t="str">
        <f t="shared" si="2"/>
        <v/>
      </c>
      <c r="AI2287" s="17" t="str">
        <f>IF(AG2287="","",INDEX('Quitados DUPP'!$G$1:$G$6635,AG2287))</f>
        <v/>
      </c>
      <c r="AJ2287" s="17" t="str">
        <f t="shared" si="3"/>
        <v/>
      </c>
    </row>
    <row r="2288" spans="31:36">
      <c r="AE2288" s="15" t="str">
        <f t="shared" si="0"/>
        <v/>
      </c>
      <c r="AF2288" s="15" t="str">
        <f t="shared" si="1"/>
        <v/>
      </c>
      <c r="AG2288" s="15" t="str">
        <f>IF(OR(AF2288="",AF2288="ERRO_CHAVE"),"",IFERROR(MATCH(AF2288,'Quitados DUPP'!$U$1:$U$6635,0),""))</f>
        <v/>
      </c>
      <c r="AH2288" s="15" t="str">
        <f t="shared" si="2"/>
        <v/>
      </c>
      <c r="AI2288" s="17" t="str">
        <f>IF(AG2288="","",INDEX('Quitados DUPP'!$G$1:$G$6635,AG2288))</f>
        <v/>
      </c>
      <c r="AJ2288" s="17" t="str">
        <f t="shared" si="3"/>
        <v/>
      </c>
    </row>
    <row r="2289" spans="31:36">
      <c r="AE2289" s="15" t="str">
        <f t="shared" si="0"/>
        <v/>
      </c>
      <c r="AF2289" s="15" t="str">
        <f t="shared" si="1"/>
        <v/>
      </c>
      <c r="AG2289" s="15" t="str">
        <f>IF(OR(AF2289="",AF2289="ERRO_CHAVE"),"",IFERROR(MATCH(AF2289,'Quitados DUPP'!$U$1:$U$6635,0),""))</f>
        <v/>
      </c>
      <c r="AH2289" s="15" t="str">
        <f t="shared" si="2"/>
        <v/>
      </c>
      <c r="AI2289" s="17" t="str">
        <f>IF(AG2289="","",INDEX('Quitados DUPP'!$G$1:$G$6635,AG2289))</f>
        <v/>
      </c>
      <c r="AJ2289" s="17" t="str">
        <f t="shared" si="3"/>
        <v/>
      </c>
    </row>
    <row r="2290" spans="31:36">
      <c r="AE2290" s="15" t="str">
        <f t="shared" si="0"/>
        <v/>
      </c>
      <c r="AF2290" s="15" t="str">
        <f t="shared" si="1"/>
        <v/>
      </c>
      <c r="AG2290" s="15" t="str">
        <f>IF(OR(AF2290="",AF2290="ERRO_CHAVE"),"",IFERROR(MATCH(AF2290,'Quitados DUPP'!$U$1:$U$6635,0),""))</f>
        <v/>
      </c>
      <c r="AH2290" s="15" t="str">
        <f t="shared" si="2"/>
        <v/>
      </c>
      <c r="AI2290" s="17" t="str">
        <f>IF(AG2290="","",INDEX('Quitados DUPP'!$G$1:$G$6635,AG2290))</f>
        <v/>
      </c>
      <c r="AJ2290" s="17" t="str">
        <f t="shared" si="3"/>
        <v/>
      </c>
    </row>
    <row r="2291" spans="31:36">
      <c r="AE2291" s="15" t="str">
        <f t="shared" si="0"/>
        <v/>
      </c>
      <c r="AF2291" s="15" t="str">
        <f t="shared" si="1"/>
        <v/>
      </c>
      <c r="AG2291" s="15" t="str">
        <f>IF(OR(AF2291="",AF2291="ERRO_CHAVE"),"",IFERROR(MATCH(AF2291,'Quitados DUPP'!$U$1:$U$6635,0),""))</f>
        <v/>
      </c>
      <c r="AH2291" s="15" t="str">
        <f t="shared" si="2"/>
        <v/>
      </c>
      <c r="AI2291" s="17" t="str">
        <f>IF(AG2291="","",INDEX('Quitados DUPP'!$G$1:$G$6635,AG2291))</f>
        <v/>
      </c>
      <c r="AJ2291" s="17" t="str">
        <f t="shared" si="3"/>
        <v/>
      </c>
    </row>
    <row r="2292" spans="31:36">
      <c r="AE2292" s="15" t="str">
        <f t="shared" si="0"/>
        <v/>
      </c>
      <c r="AF2292" s="15" t="str">
        <f t="shared" si="1"/>
        <v/>
      </c>
      <c r="AG2292" s="15" t="str">
        <f>IF(OR(AF2292="",AF2292="ERRO_CHAVE"),"",IFERROR(MATCH(AF2292,'Quitados DUPP'!$U$1:$U$6635,0),""))</f>
        <v/>
      </c>
      <c r="AH2292" s="15" t="str">
        <f t="shared" si="2"/>
        <v/>
      </c>
      <c r="AI2292" s="17" t="str">
        <f>IF(AG2292="","",INDEX('Quitados DUPP'!$G$1:$G$6635,AG2292))</f>
        <v/>
      </c>
      <c r="AJ2292" s="17" t="str">
        <f t="shared" si="3"/>
        <v/>
      </c>
    </row>
    <row r="2293" spans="31:36">
      <c r="AE2293" s="15" t="str">
        <f t="shared" si="0"/>
        <v/>
      </c>
      <c r="AF2293" s="15" t="str">
        <f t="shared" si="1"/>
        <v/>
      </c>
      <c r="AG2293" s="15" t="str">
        <f>IF(OR(AF2293="",AF2293="ERRO_CHAVE"),"",IFERROR(MATCH(AF2293,'Quitados DUPP'!$U$1:$U$6635,0),""))</f>
        <v/>
      </c>
      <c r="AH2293" s="15" t="str">
        <f t="shared" si="2"/>
        <v/>
      </c>
      <c r="AI2293" s="17" t="str">
        <f>IF(AG2293="","",INDEX('Quitados DUPP'!$G$1:$G$6635,AG2293))</f>
        <v/>
      </c>
      <c r="AJ2293" s="17" t="str">
        <f t="shared" si="3"/>
        <v/>
      </c>
    </row>
    <row r="2294" spans="31:36">
      <c r="AE2294" s="15" t="str">
        <f t="shared" si="0"/>
        <v/>
      </c>
      <c r="AF2294" s="15" t="str">
        <f t="shared" si="1"/>
        <v/>
      </c>
      <c r="AG2294" s="15" t="str">
        <f>IF(OR(AF2294="",AF2294="ERRO_CHAVE"),"",IFERROR(MATCH(AF2294,'Quitados DUPP'!$U$1:$U$6635,0),""))</f>
        <v/>
      </c>
      <c r="AH2294" s="15" t="str">
        <f t="shared" si="2"/>
        <v/>
      </c>
      <c r="AI2294" s="17" t="str">
        <f>IF(AG2294="","",INDEX('Quitados DUPP'!$G$1:$G$6635,AG2294))</f>
        <v/>
      </c>
      <c r="AJ2294" s="17" t="str">
        <f t="shared" si="3"/>
        <v/>
      </c>
    </row>
    <row r="2295" spans="31:36">
      <c r="AE2295" s="15" t="str">
        <f t="shared" si="0"/>
        <v/>
      </c>
      <c r="AF2295" s="15" t="str">
        <f t="shared" si="1"/>
        <v/>
      </c>
      <c r="AG2295" s="15" t="str">
        <f>IF(OR(AF2295="",AF2295="ERRO_CHAVE"),"",IFERROR(MATCH(AF2295,'Quitados DUPP'!$U$1:$U$6635,0),""))</f>
        <v/>
      </c>
      <c r="AH2295" s="15" t="str">
        <f t="shared" si="2"/>
        <v/>
      </c>
      <c r="AI2295" s="17" t="str">
        <f>IF(AG2295="","",INDEX('Quitados DUPP'!$G$1:$G$6635,AG2295))</f>
        <v/>
      </c>
      <c r="AJ2295" s="17" t="str">
        <f t="shared" si="3"/>
        <v/>
      </c>
    </row>
    <row r="2296" spans="31:36">
      <c r="AE2296" s="15" t="str">
        <f t="shared" si="0"/>
        <v/>
      </c>
      <c r="AF2296" s="15" t="str">
        <f t="shared" si="1"/>
        <v/>
      </c>
      <c r="AG2296" s="15" t="str">
        <f>IF(OR(AF2296="",AF2296="ERRO_CHAVE"),"",IFERROR(MATCH(AF2296,'Quitados DUPP'!$U$1:$U$6635,0),""))</f>
        <v/>
      </c>
      <c r="AH2296" s="15" t="str">
        <f t="shared" si="2"/>
        <v/>
      </c>
      <c r="AI2296" s="17" t="str">
        <f>IF(AG2296="","",INDEX('Quitados DUPP'!$G$1:$G$6635,AG2296))</f>
        <v/>
      </c>
      <c r="AJ2296" s="17" t="str">
        <f t="shared" si="3"/>
        <v/>
      </c>
    </row>
    <row r="2297" spans="31:36">
      <c r="AE2297" s="15" t="str">
        <f t="shared" si="0"/>
        <v/>
      </c>
      <c r="AF2297" s="15" t="str">
        <f t="shared" si="1"/>
        <v/>
      </c>
      <c r="AG2297" s="15" t="str">
        <f>IF(OR(AF2297="",AF2297="ERRO_CHAVE"),"",IFERROR(MATCH(AF2297,'Quitados DUPP'!$U$1:$U$6635,0),""))</f>
        <v/>
      </c>
      <c r="AH2297" s="15" t="str">
        <f t="shared" si="2"/>
        <v/>
      </c>
      <c r="AI2297" s="17" t="str">
        <f>IF(AG2297="","",INDEX('Quitados DUPP'!$G$1:$G$6635,AG2297))</f>
        <v/>
      </c>
      <c r="AJ2297" s="17" t="str">
        <f t="shared" si="3"/>
        <v/>
      </c>
    </row>
    <row r="2298" spans="31:36">
      <c r="AE2298" s="15" t="str">
        <f t="shared" si="0"/>
        <v/>
      </c>
      <c r="AF2298" s="15" t="str">
        <f t="shared" si="1"/>
        <v/>
      </c>
      <c r="AG2298" s="15" t="str">
        <f>IF(OR(AF2298="",AF2298="ERRO_CHAVE"),"",IFERROR(MATCH(AF2298,'Quitados DUPP'!$U$1:$U$6635,0),""))</f>
        <v/>
      </c>
      <c r="AH2298" s="15" t="str">
        <f t="shared" si="2"/>
        <v/>
      </c>
      <c r="AI2298" s="17" t="str">
        <f>IF(AG2298="","",INDEX('Quitados DUPP'!$G$1:$G$6635,AG2298))</f>
        <v/>
      </c>
      <c r="AJ2298" s="17" t="str">
        <f t="shared" si="3"/>
        <v/>
      </c>
    </row>
    <row r="2299" spans="31:36">
      <c r="AE2299" s="15" t="str">
        <f t="shared" si="0"/>
        <v/>
      </c>
      <c r="AF2299" s="15" t="str">
        <f t="shared" si="1"/>
        <v/>
      </c>
      <c r="AG2299" s="15" t="str">
        <f>IF(OR(AF2299="",AF2299="ERRO_CHAVE"),"",IFERROR(MATCH(AF2299,'Quitados DUPP'!$U$1:$U$6635,0),""))</f>
        <v/>
      </c>
      <c r="AH2299" s="15" t="str">
        <f t="shared" si="2"/>
        <v/>
      </c>
      <c r="AI2299" s="17" t="str">
        <f>IF(AG2299="","",INDEX('Quitados DUPP'!$G$1:$G$6635,AG2299))</f>
        <v/>
      </c>
      <c r="AJ2299" s="17" t="str">
        <f t="shared" si="3"/>
        <v/>
      </c>
    </row>
    <row r="2300" spans="31:36">
      <c r="AE2300" s="15" t="str">
        <f t="shared" si="0"/>
        <v/>
      </c>
      <c r="AF2300" s="15" t="str">
        <f t="shared" si="1"/>
        <v/>
      </c>
      <c r="AG2300" s="15" t="str">
        <f>IF(OR(AF2300="",AF2300="ERRO_CHAVE"),"",IFERROR(MATCH(AF2300,'Quitados DUPP'!$U$1:$U$6635,0),""))</f>
        <v/>
      </c>
      <c r="AH2300" s="15" t="str">
        <f t="shared" si="2"/>
        <v/>
      </c>
      <c r="AI2300" s="17" t="str">
        <f>IF(AG2300="","",INDEX('Quitados DUPP'!$G$1:$G$6635,AG2300))</f>
        <v/>
      </c>
      <c r="AJ2300" s="17" t="str">
        <f t="shared" si="3"/>
        <v/>
      </c>
    </row>
    <row r="2301" spans="31:36">
      <c r="AE2301" s="15" t="str">
        <f t="shared" si="0"/>
        <v/>
      </c>
      <c r="AF2301" s="15" t="str">
        <f t="shared" si="1"/>
        <v/>
      </c>
      <c r="AG2301" s="15" t="str">
        <f>IF(OR(AF2301="",AF2301="ERRO_CHAVE"),"",IFERROR(MATCH(AF2301,'Quitados DUPP'!$U$1:$U$6635,0),""))</f>
        <v/>
      </c>
      <c r="AH2301" s="15" t="str">
        <f t="shared" si="2"/>
        <v/>
      </c>
      <c r="AI2301" s="17" t="str">
        <f>IF(AG2301="","",INDEX('Quitados DUPP'!$G$1:$G$6635,AG2301))</f>
        <v/>
      </c>
      <c r="AJ2301" s="17" t="str">
        <f t="shared" si="3"/>
        <v/>
      </c>
    </row>
    <row r="2302" spans="31:36">
      <c r="AE2302" s="15" t="str">
        <f t="shared" si="0"/>
        <v/>
      </c>
      <c r="AF2302" s="15" t="str">
        <f t="shared" si="1"/>
        <v/>
      </c>
      <c r="AG2302" s="15" t="str">
        <f>IF(OR(AF2302="",AF2302="ERRO_CHAVE"),"",IFERROR(MATCH(AF2302,'Quitados DUPP'!$U$1:$U$6635,0),""))</f>
        <v/>
      </c>
      <c r="AH2302" s="15" t="str">
        <f t="shared" si="2"/>
        <v/>
      </c>
      <c r="AI2302" s="17" t="str">
        <f>IF(AG2302="","",INDEX('Quitados DUPP'!$G$1:$G$6635,AG2302))</f>
        <v/>
      </c>
      <c r="AJ2302" s="17" t="str">
        <f t="shared" si="3"/>
        <v/>
      </c>
    </row>
    <row r="2303" spans="31:36">
      <c r="AE2303" s="15" t="str">
        <f t="shared" si="0"/>
        <v/>
      </c>
      <c r="AF2303" s="15" t="str">
        <f t="shared" si="1"/>
        <v/>
      </c>
      <c r="AG2303" s="15" t="str">
        <f>IF(OR(AF2303="",AF2303="ERRO_CHAVE"),"",IFERROR(MATCH(AF2303,'Quitados DUPP'!$U$1:$U$6635,0),""))</f>
        <v/>
      </c>
      <c r="AH2303" s="15" t="str">
        <f t="shared" si="2"/>
        <v/>
      </c>
      <c r="AI2303" s="17" t="str">
        <f>IF(AG2303="","",INDEX('Quitados DUPP'!$G$1:$G$6635,AG2303))</f>
        <v/>
      </c>
      <c r="AJ2303" s="17" t="str">
        <f t="shared" si="3"/>
        <v/>
      </c>
    </row>
    <row r="2304" spans="31:36">
      <c r="AE2304" s="15" t="str">
        <f t="shared" si="0"/>
        <v/>
      </c>
      <c r="AF2304" s="15" t="str">
        <f t="shared" si="1"/>
        <v/>
      </c>
      <c r="AG2304" s="15" t="str">
        <f>IF(OR(AF2304="",AF2304="ERRO_CHAVE"),"",IFERROR(MATCH(AF2304,'Quitados DUPP'!$U$1:$U$6635,0),""))</f>
        <v/>
      </c>
      <c r="AH2304" s="15" t="str">
        <f t="shared" si="2"/>
        <v/>
      </c>
      <c r="AI2304" s="17" t="str">
        <f>IF(AG2304="","",INDEX('Quitados DUPP'!$G$1:$G$6635,AG2304))</f>
        <v/>
      </c>
      <c r="AJ2304" s="17" t="str">
        <f t="shared" si="3"/>
        <v/>
      </c>
    </row>
    <row r="2305" spans="31:36">
      <c r="AE2305" s="15" t="str">
        <f t="shared" si="0"/>
        <v/>
      </c>
      <c r="AF2305" s="15" t="str">
        <f t="shared" si="1"/>
        <v/>
      </c>
      <c r="AG2305" s="15" t="str">
        <f>IF(OR(AF2305="",AF2305="ERRO_CHAVE"),"",IFERROR(MATCH(AF2305,'Quitados DUPP'!$U$1:$U$6635,0),""))</f>
        <v/>
      </c>
      <c r="AH2305" s="15" t="str">
        <f t="shared" si="2"/>
        <v/>
      </c>
      <c r="AI2305" s="17" t="str">
        <f>IF(AG2305="","",INDEX('Quitados DUPP'!$G$1:$G$6635,AG2305))</f>
        <v/>
      </c>
      <c r="AJ2305" s="17" t="str">
        <f t="shared" si="3"/>
        <v/>
      </c>
    </row>
    <row r="2306" spans="31:36">
      <c r="AE2306" s="15" t="str">
        <f t="shared" si="0"/>
        <v/>
      </c>
      <c r="AF2306" s="15" t="str">
        <f t="shared" si="1"/>
        <v/>
      </c>
      <c r="AG2306" s="15" t="str">
        <f>IF(OR(AF2306="",AF2306="ERRO_CHAVE"),"",IFERROR(MATCH(AF2306,'Quitados DUPP'!$U$1:$U$6635,0),""))</f>
        <v/>
      </c>
      <c r="AH2306" s="15" t="str">
        <f t="shared" si="2"/>
        <v/>
      </c>
      <c r="AI2306" s="17" t="str">
        <f>IF(AG2306="","",INDEX('Quitados DUPP'!$G$1:$G$6635,AG2306))</f>
        <v/>
      </c>
      <c r="AJ2306" s="17" t="str">
        <f t="shared" si="3"/>
        <v/>
      </c>
    </row>
    <row r="2307" spans="31:36">
      <c r="AE2307" s="15" t="str">
        <f t="shared" si="0"/>
        <v/>
      </c>
      <c r="AF2307" s="15" t="str">
        <f t="shared" si="1"/>
        <v/>
      </c>
      <c r="AG2307" s="15" t="str">
        <f>IF(OR(AF2307="",AF2307="ERRO_CHAVE"),"",IFERROR(MATCH(AF2307,'Quitados DUPP'!$U$1:$U$6635,0),""))</f>
        <v/>
      </c>
      <c r="AH2307" s="15" t="str">
        <f t="shared" si="2"/>
        <v/>
      </c>
      <c r="AI2307" s="17" t="str">
        <f>IF(AG2307="","",INDEX('Quitados DUPP'!$G$1:$G$6635,AG2307))</f>
        <v/>
      </c>
      <c r="AJ2307" s="17" t="str">
        <f t="shared" si="3"/>
        <v/>
      </c>
    </row>
    <row r="2308" spans="31:36">
      <c r="AE2308" s="15" t="str">
        <f t="shared" si="0"/>
        <v/>
      </c>
      <c r="AF2308" s="15" t="str">
        <f t="shared" si="1"/>
        <v/>
      </c>
      <c r="AG2308" s="15" t="str">
        <f>IF(OR(AF2308="",AF2308="ERRO_CHAVE"),"",IFERROR(MATCH(AF2308,'Quitados DUPP'!$U$1:$U$6635,0),""))</f>
        <v/>
      </c>
      <c r="AH2308" s="15" t="str">
        <f t="shared" si="2"/>
        <v/>
      </c>
      <c r="AI2308" s="17" t="str">
        <f>IF(AG2308="","",INDEX('Quitados DUPP'!$G$1:$G$6635,AG2308))</f>
        <v/>
      </c>
      <c r="AJ2308" s="17" t="str">
        <f t="shared" si="3"/>
        <v/>
      </c>
    </row>
    <row r="2309" spans="31:36">
      <c r="AE2309" s="15" t="str">
        <f t="shared" si="0"/>
        <v/>
      </c>
      <c r="AF2309" s="15" t="str">
        <f t="shared" si="1"/>
        <v/>
      </c>
      <c r="AG2309" s="15" t="str">
        <f>IF(OR(AF2309="",AF2309="ERRO_CHAVE"),"",IFERROR(MATCH(AF2309,'Quitados DUPP'!$U$1:$U$6635,0),""))</f>
        <v/>
      </c>
      <c r="AH2309" s="15" t="str">
        <f t="shared" si="2"/>
        <v/>
      </c>
      <c r="AI2309" s="17" t="str">
        <f>IF(AG2309="","",INDEX('Quitados DUPP'!$G$1:$G$6635,AG2309))</f>
        <v/>
      </c>
      <c r="AJ2309" s="17" t="str">
        <f t="shared" si="3"/>
        <v/>
      </c>
    </row>
    <row r="2310" spans="31:36">
      <c r="AE2310" s="15" t="str">
        <f t="shared" si="0"/>
        <v/>
      </c>
      <c r="AF2310" s="15" t="str">
        <f t="shared" si="1"/>
        <v/>
      </c>
      <c r="AG2310" s="15" t="str">
        <f>IF(OR(AF2310="",AF2310="ERRO_CHAVE"),"",IFERROR(MATCH(AF2310,'Quitados DUPP'!$U$1:$U$6635,0),""))</f>
        <v/>
      </c>
      <c r="AH2310" s="15" t="str">
        <f t="shared" si="2"/>
        <v/>
      </c>
      <c r="AI2310" s="17" t="str">
        <f>IF(AG2310="","",INDEX('Quitados DUPP'!$G$1:$G$6635,AG2310))</f>
        <v/>
      </c>
      <c r="AJ2310" s="17" t="str">
        <f t="shared" si="3"/>
        <v/>
      </c>
    </row>
    <row r="2311" spans="31:36">
      <c r="AE2311" s="15" t="str">
        <f t="shared" si="0"/>
        <v/>
      </c>
      <c r="AF2311" s="15" t="str">
        <f t="shared" si="1"/>
        <v/>
      </c>
      <c r="AG2311" s="15" t="str">
        <f>IF(OR(AF2311="",AF2311="ERRO_CHAVE"),"",IFERROR(MATCH(AF2311,'Quitados DUPP'!$U$1:$U$6635,0),""))</f>
        <v/>
      </c>
      <c r="AH2311" s="15" t="str">
        <f t="shared" si="2"/>
        <v/>
      </c>
      <c r="AI2311" s="17" t="str">
        <f>IF(AG2311="","",INDEX('Quitados DUPP'!$G$1:$G$6635,AG2311))</f>
        <v/>
      </c>
      <c r="AJ2311" s="17" t="str">
        <f t="shared" si="3"/>
        <v/>
      </c>
    </row>
    <row r="2312" spans="31:36">
      <c r="AE2312" s="15" t="str">
        <f t="shared" si="0"/>
        <v/>
      </c>
      <c r="AF2312" s="15" t="str">
        <f t="shared" si="1"/>
        <v/>
      </c>
      <c r="AG2312" s="15" t="str">
        <f>IF(OR(AF2312="",AF2312="ERRO_CHAVE"),"",IFERROR(MATCH(AF2312,'Quitados DUPP'!$U$1:$U$6635,0),""))</f>
        <v/>
      </c>
      <c r="AH2312" s="15" t="str">
        <f t="shared" si="2"/>
        <v/>
      </c>
      <c r="AI2312" s="17" t="str">
        <f>IF(AG2312="","",INDEX('Quitados DUPP'!$G$1:$G$6635,AG2312))</f>
        <v/>
      </c>
      <c r="AJ2312" s="17" t="str">
        <f t="shared" si="3"/>
        <v/>
      </c>
    </row>
    <row r="2313" spans="31:36">
      <c r="AE2313" s="15" t="str">
        <f t="shared" si="0"/>
        <v/>
      </c>
      <c r="AF2313" s="15" t="str">
        <f t="shared" si="1"/>
        <v/>
      </c>
      <c r="AG2313" s="15" t="str">
        <f>IF(OR(AF2313="",AF2313="ERRO_CHAVE"),"",IFERROR(MATCH(AF2313,'Quitados DUPP'!$U$1:$U$6635,0),""))</f>
        <v/>
      </c>
      <c r="AH2313" s="15" t="str">
        <f t="shared" si="2"/>
        <v/>
      </c>
      <c r="AI2313" s="17" t="str">
        <f>IF(AG2313="","",INDEX('Quitados DUPP'!$G$1:$G$6635,AG2313))</f>
        <v/>
      </c>
      <c r="AJ2313" s="17" t="str">
        <f t="shared" si="3"/>
        <v/>
      </c>
    </row>
    <row r="2314" spans="31:36">
      <c r="AE2314" s="15" t="str">
        <f t="shared" si="0"/>
        <v/>
      </c>
      <c r="AF2314" s="15" t="str">
        <f t="shared" si="1"/>
        <v/>
      </c>
      <c r="AG2314" s="15" t="str">
        <f>IF(OR(AF2314="",AF2314="ERRO_CHAVE"),"",IFERROR(MATCH(AF2314,'Quitados DUPP'!$U$1:$U$6635,0),""))</f>
        <v/>
      </c>
      <c r="AH2314" s="15" t="str">
        <f t="shared" si="2"/>
        <v/>
      </c>
      <c r="AI2314" s="17" t="str">
        <f>IF(AG2314="","",INDEX('Quitados DUPP'!$G$1:$G$6635,AG2314))</f>
        <v/>
      </c>
      <c r="AJ2314" s="17" t="str">
        <f t="shared" si="3"/>
        <v/>
      </c>
    </row>
    <row r="2315" spans="31:36">
      <c r="AE2315" s="15" t="str">
        <f t="shared" si="0"/>
        <v/>
      </c>
      <c r="AF2315" s="15" t="str">
        <f t="shared" si="1"/>
        <v/>
      </c>
      <c r="AG2315" s="15" t="str">
        <f>IF(OR(AF2315="",AF2315="ERRO_CHAVE"),"",IFERROR(MATCH(AF2315,'Quitados DUPP'!$U$1:$U$6635,0),""))</f>
        <v/>
      </c>
      <c r="AH2315" s="15" t="str">
        <f t="shared" si="2"/>
        <v/>
      </c>
      <c r="AI2315" s="17" t="str">
        <f>IF(AG2315="","",INDEX('Quitados DUPP'!$G$1:$G$6635,AG2315))</f>
        <v/>
      </c>
      <c r="AJ2315" s="17" t="str">
        <f t="shared" si="3"/>
        <v/>
      </c>
    </row>
    <row r="2316" spans="31:36">
      <c r="AE2316" s="15" t="str">
        <f t="shared" si="0"/>
        <v/>
      </c>
      <c r="AF2316" s="15" t="str">
        <f t="shared" si="1"/>
        <v/>
      </c>
      <c r="AG2316" s="15" t="str">
        <f>IF(OR(AF2316="",AF2316="ERRO_CHAVE"),"",IFERROR(MATCH(AF2316,'Quitados DUPP'!$U$1:$U$6635,0),""))</f>
        <v/>
      </c>
      <c r="AH2316" s="15" t="str">
        <f t="shared" si="2"/>
        <v/>
      </c>
      <c r="AI2316" s="17" t="str">
        <f>IF(AG2316="","",INDEX('Quitados DUPP'!$G$1:$G$6635,AG2316))</f>
        <v/>
      </c>
      <c r="AJ2316" s="17" t="str">
        <f t="shared" si="3"/>
        <v/>
      </c>
    </row>
    <row r="2317" spans="31:36">
      <c r="AE2317" s="15" t="str">
        <f t="shared" si="0"/>
        <v/>
      </c>
      <c r="AF2317" s="15" t="str">
        <f t="shared" si="1"/>
        <v/>
      </c>
      <c r="AG2317" s="15" t="str">
        <f>IF(OR(AF2317="",AF2317="ERRO_CHAVE"),"",IFERROR(MATCH(AF2317,'Quitados DUPP'!$U$1:$U$6635,0),""))</f>
        <v/>
      </c>
      <c r="AH2317" s="15" t="str">
        <f t="shared" si="2"/>
        <v/>
      </c>
      <c r="AI2317" s="17" t="str">
        <f>IF(AG2317="","",INDEX('Quitados DUPP'!$G$1:$G$6635,AG2317))</f>
        <v/>
      </c>
      <c r="AJ2317" s="17" t="str">
        <f t="shared" si="3"/>
        <v/>
      </c>
    </row>
    <row r="2318" spans="31:36">
      <c r="AE2318" s="15" t="str">
        <f t="shared" si="0"/>
        <v/>
      </c>
      <c r="AF2318" s="15" t="str">
        <f t="shared" si="1"/>
        <v/>
      </c>
      <c r="AG2318" s="15" t="str">
        <f>IF(OR(AF2318="",AF2318="ERRO_CHAVE"),"",IFERROR(MATCH(AF2318,'Quitados DUPP'!$U$1:$U$6635,0),""))</f>
        <v/>
      </c>
      <c r="AH2318" s="15" t="str">
        <f t="shared" si="2"/>
        <v/>
      </c>
      <c r="AI2318" s="17" t="str">
        <f>IF(AG2318="","",INDEX('Quitados DUPP'!$G$1:$G$6635,AG2318))</f>
        <v/>
      </c>
      <c r="AJ2318" s="17" t="str">
        <f t="shared" si="3"/>
        <v/>
      </c>
    </row>
    <row r="2319" spans="31:36">
      <c r="AE2319" s="15" t="str">
        <f t="shared" si="0"/>
        <v/>
      </c>
      <c r="AF2319" s="15" t="str">
        <f t="shared" si="1"/>
        <v/>
      </c>
      <c r="AG2319" s="15" t="str">
        <f>IF(OR(AF2319="",AF2319="ERRO_CHAVE"),"",IFERROR(MATCH(AF2319,'Quitados DUPP'!$U$1:$U$6635,0),""))</f>
        <v/>
      </c>
      <c r="AH2319" s="15" t="str">
        <f t="shared" si="2"/>
        <v/>
      </c>
      <c r="AI2319" s="17" t="str">
        <f>IF(AG2319="","",INDEX('Quitados DUPP'!$G$1:$G$6635,AG2319))</f>
        <v/>
      </c>
      <c r="AJ2319" s="17" t="str">
        <f t="shared" si="3"/>
        <v/>
      </c>
    </row>
    <row r="2320" spans="31:36">
      <c r="AE2320" s="15" t="str">
        <f t="shared" si="0"/>
        <v/>
      </c>
      <c r="AF2320" s="15" t="str">
        <f t="shared" si="1"/>
        <v/>
      </c>
      <c r="AG2320" s="15" t="str">
        <f>IF(OR(AF2320="",AF2320="ERRO_CHAVE"),"",IFERROR(MATCH(AF2320,'Quitados DUPP'!$U$1:$U$6635,0),""))</f>
        <v/>
      </c>
      <c r="AH2320" s="15" t="str">
        <f t="shared" si="2"/>
        <v/>
      </c>
      <c r="AI2320" s="17" t="str">
        <f>IF(AG2320="","",INDEX('Quitados DUPP'!$G$1:$G$6635,AG2320))</f>
        <v/>
      </c>
      <c r="AJ2320" s="17" t="str">
        <f t="shared" si="3"/>
        <v/>
      </c>
    </row>
    <row r="2321" spans="31:36">
      <c r="AE2321" s="15" t="str">
        <f t="shared" si="0"/>
        <v/>
      </c>
      <c r="AF2321" s="15" t="str">
        <f t="shared" si="1"/>
        <v/>
      </c>
      <c r="AG2321" s="15" t="str">
        <f>IF(OR(AF2321="",AF2321="ERRO_CHAVE"),"",IFERROR(MATCH(AF2321,'Quitados DUPP'!$U$1:$U$6635,0),""))</f>
        <v/>
      </c>
      <c r="AH2321" s="15" t="str">
        <f t="shared" si="2"/>
        <v/>
      </c>
      <c r="AI2321" s="17" t="str">
        <f>IF(AG2321="","",INDEX('Quitados DUPP'!$G$1:$G$6635,AG2321))</f>
        <v/>
      </c>
      <c r="AJ2321" s="17" t="str">
        <f t="shared" si="3"/>
        <v/>
      </c>
    </row>
    <row r="2322" spans="31:36">
      <c r="AE2322" s="15" t="str">
        <f t="shared" si="0"/>
        <v/>
      </c>
      <c r="AF2322" s="15" t="str">
        <f t="shared" si="1"/>
        <v/>
      </c>
      <c r="AG2322" s="15" t="str">
        <f>IF(OR(AF2322="",AF2322="ERRO_CHAVE"),"",IFERROR(MATCH(AF2322,'Quitados DUPP'!$U$1:$U$6635,0),""))</f>
        <v/>
      </c>
      <c r="AH2322" s="15" t="str">
        <f t="shared" si="2"/>
        <v/>
      </c>
      <c r="AI2322" s="17" t="str">
        <f>IF(AG2322="","",INDEX('Quitados DUPP'!$G$1:$G$6635,AG2322))</f>
        <v/>
      </c>
      <c r="AJ2322" s="17" t="str">
        <f t="shared" si="3"/>
        <v/>
      </c>
    </row>
    <row r="2323" spans="31:36">
      <c r="AE2323" s="15" t="str">
        <f t="shared" si="0"/>
        <v/>
      </c>
      <c r="AF2323" s="15" t="str">
        <f t="shared" si="1"/>
        <v/>
      </c>
      <c r="AG2323" s="15" t="str">
        <f>IF(OR(AF2323="",AF2323="ERRO_CHAVE"),"",IFERROR(MATCH(AF2323,'Quitados DUPP'!$U$1:$U$6635,0),""))</f>
        <v/>
      </c>
      <c r="AH2323" s="15" t="str">
        <f t="shared" si="2"/>
        <v/>
      </c>
      <c r="AI2323" s="17" t="str">
        <f>IF(AG2323="","",INDEX('Quitados DUPP'!$G$1:$G$6635,AG2323))</f>
        <v/>
      </c>
      <c r="AJ2323" s="17" t="str">
        <f t="shared" si="3"/>
        <v/>
      </c>
    </row>
    <row r="2324" spans="31:36">
      <c r="AE2324" s="15" t="str">
        <f t="shared" si="0"/>
        <v/>
      </c>
      <c r="AF2324" s="15" t="str">
        <f t="shared" si="1"/>
        <v/>
      </c>
      <c r="AG2324" s="15" t="str">
        <f>IF(OR(AF2324="",AF2324="ERRO_CHAVE"),"",IFERROR(MATCH(AF2324,'Quitados DUPP'!$U$1:$U$6635,0),""))</f>
        <v/>
      </c>
      <c r="AH2324" s="15" t="str">
        <f t="shared" si="2"/>
        <v/>
      </c>
      <c r="AI2324" s="17" t="str">
        <f>IF(AG2324="","",INDEX('Quitados DUPP'!$G$1:$G$6635,AG2324))</f>
        <v/>
      </c>
      <c r="AJ2324" s="17" t="str">
        <f t="shared" si="3"/>
        <v/>
      </c>
    </row>
    <row r="2325" spans="31:36">
      <c r="AE2325" s="15" t="str">
        <f t="shared" si="0"/>
        <v/>
      </c>
      <c r="AF2325" s="15" t="str">
        <f t="shared" si="1"/>
        <v/>
      </c>
      <c r="AG2325" s="15" t="str">
        <f>IF(OR(AF2325="",AF2325="ERRO_CHAVE"),"",IFERROR(MATCH(AF2325,'Quitados DUPP'!$U$1:$U$6635,0),""))</f>
        <v/>
      </c>
      <c r="AH2325" s="15" t="str">
        <f t="shared" si="2"/>
        <v/>
      </c>
      <c r="AI2325" s="17" t="str">
        <f>IF(AG2325="","",INDEX('Quitados DUPP'!$G$1:$G$6635,AG2325))</f>
        <v/>
      </c>
      <c r="AJ2325" s="17" t="str">
        <f t="shared" si="3"/>
        <v/>
      </c>
    </row>
    <row r="2326" spans="31:36">
      <c r="AE2326" s="15" t="str">
        <f t="shared" si="0"/>
        <v/>
      </c>
      <c r="AF2326" s="15" t="str">
        <f t="shared" si="1"/>
        <v/>
      </c>
      <c r="AG2326" s="15" t="str">
        <f>IF(OR(AF2326="",AF2326="ERRO_CHAVE"),"",IFERROR(MATCH(AF2326,'Quitados DUPP'!$U$1:$U$6635,0),""))</f>
        <v/>
      </c>
      <c r="AH2326" s="15" t="str">
        <f t="shared" si="2"/>
        <v/>
      </c>
      <c r="AI2326" s="17" t="str">
        <f>IF(AG2326="","",INDEX('Quitados DUPP'!$G$1:$G$6635,AG2326))</f>
        <v/>
      </c>
      <c r="AJ2326" s="17" t="str">
        <f t="shared" si="3"/>
        <v/>
      </c>
    </row>
    <row r="2327" spans="31:36">
      <c r="AE2327" s="15" t="str">
        <f t="shared" si="0"/>
        <v/>
      </c>
      <c r="AF2327" s="15" t="str">
        <f t="shared" si="1"/>
        <v/>
      </c>
      <c r="AG2327" s="15" t="str">
        <f>IF(OR(AF2327="",AF2327="ERRO_CHAVE"),"",IFERROR(MATCH(AF2327,'Quitados DUPP'!$U$1:$U$6635,0),""))</f>
        <v/>
      </c>
      <c r="AH2327" s="15" t="str">
        <f t="shared" si="2"/>
        <v/>
      </c>
      <c r="AI2327" s="17" t="str">
        <f>IF(AG2327="","",INDEX('Quitados DUPP'!$G$1:$G$6635,AG2327))</f>
        <v/>
      </c>
      <c r="AJ2327" s="17" t="str">
        <f t="shared" si="3"/>
        <v/>
      </c>
    </row>
    <row r="2328" spans="31:36">
      <c r="AE2328" s="15" t="str">
        <f t="shared" si="0"/>
        <v/>
      </c>
      <c r="AF2328" s="15" t="str">
        <f t="shared" si="1"/>
        <v/>
      </c>
      <c r="AG2328" s="15" t="str">
        <f>IF(OR(AF2328="",AF2328="ERRO_CHAVE"),"",IFERROR(MATCH(AF2328,'Quitados DUPP'!$U$1:$U$6635,0),""))</f>
        <v/>
      </c>
      <c r="AH2328" s="15" t="str">
        <f t="shared" si="2"/>
        <v/>
      </c>
      <c r="AI2328" s="17" t="str">
        <f>IF(AG2328="","",INDEX('Quitados DUPP'!$G$1:$G$6635,AG2328))</f>
        <v/>
      </c>
      <c r="AJ2328" s="17" t="str">
        <f t="shared" si="3"/>
        <v/>
      </c>
    </row>
    <row r="2329" spans="31:36">
      <c r="AE2329" s="15" t="str">
        <f t="shared" si="0"/>
        <v/>
      </c>
      <c r="AF2329" s="15" t="str">
        <f t="shared" si="1"/>
        <v/>
      </c>
      <c r="AG2329" s="15" t="str">
        <f>IF(OR(AF2329="",AF2329="ERRO_CHAVE"),"",IFERROR(MATCH(AF2329,'Quitados DUPP'!$U$1:$U$6635,0),""))</f>
        <v/>
      </c>
      <c r="AH2329" s="15" t="str">
        <f t="shared" si="2"/>
        <v/>
      </c>
      <c r="AI2329" s="17" t="str">
        <f>IF(AG2329="","",INDEX('Quitados DUPP'!$G$1:$G$6635,AG2329))</f>
        <v/>
      </c>
      <c r="AJ2329" s="17" t="str">
        <f t="shared" si="3"/>
        <v/>
      </c>
    </row>
    <row r="2330" spans="31:36">
      <c r="AE2330" s="15" t="str">
        <f t="shared" si="0"/>
        <v/>
      </c>
      <c r="AF2330" s="15" t="str">
        <f t="shared" si="1"/>
        <v/>
      </c>
      <c r="AG2330" s="15" t="str">
        <f>IF(OR(AF2330="",AF2330="ERRO_CHAVE"),"",IFERROR(MATCH(AF2330,'Quitados DUPP'!$U$1:$U$6635,0),""))</f>
        <v/>
      </c>
      <c r="AH2330" s="15" t="str">
        <f t="shared" si="2"/>
        <v/>
      </c>
      <c r="AI2330" s="17" t="str">
        <f>IF(AG2330="","",INDEX('Quitados DUPP'!$G$1:$G$6635,AG2330))</f>
        <v/>
      </c>
      <c r="AJ2330" s="17" t="str">
        <f t="shared" si="3"/>
        <v/>
      </c>
    </row>
    <row r="2331" spans="31:36">
      <c r="AE2331" s="15" t="str">
        <f t="shared" si="0"/>
        <v/>
      </c>
      <c r="AF2331" s="15" t="str">
        <f t="shared" si="1"/>
        <v/>
      </c>
      <c r="AG2331" s="15" t="str">
        <f>IF(OR(AF2331="",AF2331="ERRO_CHAVE"),"",IFERROR(MATCH(AF2331,'Quitados DUPP'!$U$1:$U$6635,0),""))</f>
        <v/>
      </c>
      <c r="AH2331" s="15" t="str">
        <f t="shared" si="2"/>
        <v/>
      </c>
      <c r="AI2331" s="17" t="str">
        <f>IF(AG2331="","",INDEX('Quitados DUPP'!$G$1:$G$6635,AG2331))</f>
        <v/>
      </c>
      <c r="AJ2331" s="17" t="str">
        <f t="shared" si="3"/>
        <v/>
      </c>
    </row>
    <row r="2332" spans="31:36">
      <c r="AE2332" s="15" t="str">
        <f t="shared" si="0"/>
        <v/>
      </c>
      <c r="AF2332" s="15" t="str">
        <f t="shared" si="1"/>
        <v/>
      </c>
      <c r="AG2332" s="15" t="str">
        <f>IF(OR(AF2332="",AF2332="ERRO_CHAVE"),"",IFERROR(MATCH(AF2332,'Quitados DUPP'!$U$1:$U$6635,0),""))</f>
        <v/>
      </c>
      <c r="AH2332" s="15" t="str">
        <f t="shared" si="2"/>
        <v/>
      </c>
      <c r="AI2332" s="17" t="str">
        <f>IF(AG2332="","",INDEX('Quitados DUPP'!$G$1:$G$6635,AG2332))</f>
        <v/>
      </c>
      <c r="AJ2332" s="17" t="str">
        <f t="shared" si="3"/>
        <v/>
      </c>
    </row>
    <row r="2333" spans="31:36">
      <c r="AE2333" s="15" t="str">
        <f t="shared" si="0"/>
        <v/>
      </c>
      <c r="AF2333" s="15" t="str">
        <f t="shared" si="1"/>
        <v/>
      </c>
      <c r="AG2333" s="15" t="str">
        <f>IF(OR(AF2333="",AF2333="ERRO_CHAVE"),"",IFERROR(MATCH(AF2333,'Quitados DUPP'!$U$1:$U$6635,0),""))</f>
        <v/>
      </c>
      <c r="AH2333" s="15" t="str">
        <f t="shared" si="2"/>
        <v/>
      </c>
      <c r="AI2333" s="17" t="str">
        <f>IF(AG2333="","",INDEX('Quitados DUPP'!$G$1:$G$6635,AG2333))</f>
        <v/>
      </c>
      <c r="AJ2333" s="17" t="str">
        <f t="shared" si="3"/>
        <v/>
      </c>
    </row>
    <row r="2334" spans="31:36">
      <c r="AE2334" s="15" t="str">
        <f t="shared" si="0"/>
        <v/>
      </c>
      <c r="AF2334" s="15" t="str">
        <f t="shared" si="1"/>
        <v/>
      </c>
      <c r="AG2334" s="15" t="str">
        <f>IF(OR(AF2334="",AF2334="ERRO_CHAVE"),"",IFERROR(MATCH(AF2334,'Quitados DUPP'!$U$1:$U$6635,0),""))</f>
        <v/>
      </c>
      <c r="AH2334" s="15" t="str">
        <f t="shared" si="2"/>
        <v/>
      </c>
      <c r="AI2334" s="17" t="str">
        <f>IF(AG2334="","",INDEX('Quitados DUPP'!$G$1:$G$6635,AG2334))</f>
        <v/>
      </c>
      <c r="AJ2334" s="17" t="str">
        <f t="shared" si="3"/>
        <v/>
      </c>
    </row>
    <row r="2335" spans="31:36">
      <c r="AE2335" s="15" t="str">
        <f t="shared" si="0"/>
        <v/>
      </c>
      <c r="AF2335" s="15" t="str">
        <f t="shared" si="1"/>
        <v/>
      </c>
      <c r="AG2335" s="15" t="str">
        <f>IF(OR(AF2335="",AF2335="ERRO_CHAVE"),"",IFERROR(MATCH(AF2335,'Quitados DUPP'!$U$1:$U$6635,0),""))</f>
        <v/>
      </c>
      <c r="AH2335" s="15" t="str">
        <f t="shared" si="2"/>
        <v/>
      </c>
      <c r="AI2335" s="17" t="str">
        <f>IF(AG2335="","",INDEX('Quitados DUPP'!$G$1:$G$6635,AG2335))</f>
        <v/>
      </c>
      <c r="AJ2335" s="17" t="str">
        <f t="shared" si="3"/>
        <v/>
      </c>
    </row>
    <row r="2336" spans="31:36">
      <c r="AE2336" s="15" t="str">
        <f t="shared" si="0"/>
        <v/>
      </c>
      <c r="AF2336" s="15" t="str">
        <f t="shared" si="1"/>
        <v/>
      </c>
      <c r="AG2336" s="15" t="str">
        <f>IF(OR(AF2336="",AF2336="ERRO_CHAVE"),"",IFERROR(MATCH(AF2336,'Quitados DUPP'!$U$1:$U$6635,0),""))</f>
        <v/>
      </c>
      <c r="AH2336" s="15" t="str">
        <f t="shared" si="2"/>
        <v/>
      </c>
      <c r="AI2336" s="17" t="str">
        <f>IF(AG2336="","",INDEX('Quitados DUPP'!$G$1:$G$6635,AG2336))</f>
        <v/>
      </c>
      <c r="AJ2336" s="17" t="str">
        <f t="shared" si="3"/>
        <v/>
      </c>
    </row>
    <row r="2337" spans="31:36">
      <c r="AE2337" s="15" t="str">
        <f t="shared" si="0"/>
        <v/>
      </c>
      <c r="AF2337" s="15" t="str">
        <f t="shared" si="1"/>
        <v/>
      </c>
      <c r="AG2337" s="15" t="str">
        <f>IF(OR(AF2337="",AF2337="ERRO_CHAVE"),"",IFERROR(MATCH(AF2337,'Quitados DUPP'!$U$1:$U$6635,0),""))</f>
        <v/>
      </c>
      <c r="AH2337" s="15" t="str">
        <f t="shared" si="2"/>
        <v/>
      </c>
      <c r="AI2337" s="17" t="str">
        <f>IF(AG2337="","",INDEX('Quitados DUPP'!$G$1:$G$6635,AG2337))</f>
        <v/>
      </c>
      <c r="AJ2337" s="17" t="str">
        <f t="shared" si="3"/>
        <v/>
      </c>
    </row>
    <row r="2338" spans="31:36">
      <c r="AE2338" s="15" t="str">
        <f t="shared" si="0"/>
        <v/>
      </c>
      <c r="AF2338" s="15" t="str">
        <f t="shared" si="1"/>
        <v/>
      </c>
      <c r="AG2338" s="15" t="str">
        <f>IF(OR(AF2338="",AF2338="ERRO_CHAVE"),"",IFERROR(MATCH(AF2338,'Quitados DUPP'!$U$1:$U$6635,0),""))</f>
        <v/>
      </c>
      <c r="AH2338" s="15" t="str">
        <f t="shared" si="2"/>
        <v/>
      </c>
      <c r="AI2338" s="17" t="str">
        <f>IF(AG2338="","",INDEX('Quitados DUPP'!$G$1:$G$6635,AG2338))</f>
        <v/>
      </c>
      <c r="AJ2338" s="17" t="str">
        <f t="shared" si="3"/>
        <v/>
      </c>
    </row>
    <row r="2339" spans="31:36">
      <c r="AE2339" s="15" t="str">
        <f t="shared" si="0"/>
        <v/>
      </c>
      <c r="AF2339" s="15" t="str">
        <f t="shared" si="1"/>
        <v/>
      </c>
      <c r="AG2339" s="15" t="str">
        <f>IF(OR(AF2339="",AF2339="ERRO_CHAVE"),"",IFERROR(MATCH(AF2339,'Quitados DUPP'!$U$1:$U$6635,0),""))</f>
        <v/>
      </c>
      <c r="AH2339" s="15" t="str">
        <f t="shared" si="2"/>
        <v/>
      </c>
      <c r="AI2339" s="17" t="str">
        <f>IF(AG2339="","",INDEX('Quitados DUPP'!$G$1:$G$6635,AG2339))</f>
        <v/>
      </c>
      <c r="AJ2339" s="17" t="str">
        <f t="shared" si="3"/>
        <v/>
      </c>
    </row>
    <row r="2340" spans="31:36">
      <c r="AE2340" s="15" t="str">
        <f t="shared" si="0"/>
        <v/>
      </c>
      <c r="AF2340" s="15" t="str">
        <f t="shared" si="1"/>
        <v/>
      </c>
      <c r="AG2340" s="15" t="str">
        <f>IF(OR(AF2340="",AF2340="ERRO_CHAVE"),"",IFERROR(MATCH(AF2340,'Quitados DUPP'!$U$1:$U$6635,0),""))</f>
        <v/>
      </c>
      <c r="AH2340" s="15" t="str">
        <f t="shared" si="2"/>
        <v/>
      </c>
      <c r="AI2340" s="17" t="str">
        <f>IF(AG2340="","",INDEX('Quitados DUPP'!$G$1:$G$6635,AG2340))</f>
        <v/>
      </c>
      <c r="AJ2340" s="17" t="str">
        <f t="shared" si="3"/>
        <v/>
      </c>
    </row>
    <row r="2341" spans="31:36">
      <c r="AE2341" s="15" t="str">
        <f t="shared" si="0"/>
        <v/>
      </c>
      <c r="AF2341" s="15" t="str">
        <f t="shared" si="1"/>
        <v/>
      </c>
      <c r="AG2341" s="15" t="str">
        <f>IF(OR(AF2341="",AF2341="ERRO_CHAVE"),"",IFERROR(MATCH(AF2341,'Quitados DUPP'!$U$1:$U$6635,0),""))</f>
        <v/>
      </c>
      <c r="AH2341" s="15" t="str">
        <f t="shared" si="2"/>
        <v/>
      </c>
      <c r="AI2341" s="17" t="str">
        <f>IF(AG2341="","",INDEX('Quitados DUPP'!$G$1:$G$6635,AG2341))</f>
        <v/>
      </c>
      <c r="AJ2341" s="17" t="str">
        <f t="shared" si="3"/>
        <v/>
      </c>
    </row>
    <row r="2342" spans="31:36">
      <c r="AE2342" s="15" t="str">
        <f t="shared" si="0"/>
        <v/>
      </c>
      <c r="AF2342" s="15" t="str">
        <f t="shared" si="1"/>
        <v/>
      </c>
      <c r="AG2342" s="15" t="str">
        <f>IF(OR(AF2342="",AF2342="ERRO_CHAVE"),"",IFERROR(MATCH(AF2342,'Quitados DUPP'!$U$1:$U$6635,0),""))</f>
        <v/>
      </c>
      <c r="AH2342" s="15" t="str">
        <f t="shared" si="2"/>
        <v/>
      </c>
      <c r="AI2342" s="17" t="str">
        <f>IF(AG2342="","",INDEX('Quitados DUPP'!$G$1:$G$6635,AG2342))</f>
        <v/>
      </c>
      <c r="AJ2342" s="17" t="str">
        <f t="shared" si="3"/>
        <v/>
      </c>
    </row>
    <row r="2343" spans="31:36">
      <c r="AE2343" s="15" t="str">
        <f t="shared" si="0"/>
        <v/>
      </c>
      <c r="AF2343" s="15" t="str">
        <f t="shared" si="1"/>
        <v/>
      </c>
      <c r="AG2343" s="15" t="str">
        <f>IF(OR(AF2343="",AF2343="ERRO_CHAVE"),"",IFERROR(MATCH(AF2343,'Quitados DUPP'!$U$1:$U$6635,0),""))</f>
        <v/>
      </c>
      <c r="AH2343" s="15" t="str">
        <f t="shared" si="2"/>
        <v/>
      </c>
      <c r="AI2343" s="17" t="str">
        <f>IF(AG2343="","",INDEX('Quitados DUPP'!$G$1:$G$6635,AG2343))</f>
        <v/>
      </c>
      <c r="AJ2343" s="17" t="str">
        <f t="shared" si="3"/>
        <v/>
      </c>
    </row>
    <row r="2344" spans="31:36">
      <c r="AE2344" s="15" t="str">
        <f t="shared" si="0"/>
        <v/>
      </c>
      <c r="AF2344" s="15" t="str">
        <f t="shared" si="1"/>
        <v/>
      </c>
      <c r="AG2344" s="15" t="str">
        <f>IF(OR(AF2344="",AF2344="ERRO_CHAVE"),"",IFERROR(MATCH(AF2344,'Quitados DUPP'!$U$1:$U$6635,0),""))</f>
        <v/>
      </c>
      <c r="AH2344" s="15" t="str">
        <f t="shared" si="2"/>
        <v/>
      </c>
      <c r="AI2344" s="17" t="str">
        <f>IF(AG2344="","",INDEX('Quitados DUPP'!$G$1:$G$6635,AG2344))</f>
        <v/>
      </c>
      <c r="AJ2344" s="17" t="str">
        <f t="shared" si="3"/>
        <v/>
      </c>
    </row>
    <row r="2345" spans="31:36">
      <c r="AE2345" s="15" t="str">
        <f t="shared" si="0"/>
        <v/>
      </c>
      <c r="AF2345" s="15" t="str">
        <f t="shared" si="1"/>
        <v/>
      </c>
      <c r="AG2345" s="15" t="str">
        <f>IF(OR(AF2345="",AF2345="ERRO_CHAVE"),"",IFERROR(MATCH(AF2345,'Quitados DUPP'!$U$1:$U$6635,0),""))</f>
        <v/>
      </c>
      <c r="AH2345" s="15" t="str">
        <f t="shared" si="2"/>
        <v/>
      </c>
      <c r="AI2345" s="17" t="str">
        <f>IF(AG2345="","",INDEX('Quitados DUPP'!$G$1:$G$6635,AG2345))</f>
        <v/>
      </c>
      <c r="AJ2345" s="17" t="str">
        <f t="shared" si="3"/>
        <v/>
      </c>
    </row>
    <row r="2346" spans="31:36">
      <c r="AE2346" s="15" t="str">
        <f t="shared" si="0"/>
        <v/>
      </c>
      <c r="AF2346" s="15" t="str">
        <f t="shared" si="1"/>
        <v/>
      </c>
      <c r="AG2346" s="15" t="str">
        <f>IF(OR(AF2346="",AF2346="ERRO_CHAVE"),"",IFERROR(MATCH(AF2346,'Quitados DUPP'!$U$1:$U$6635,0),""))</f>
        <v/>
      </c>
      <c r="AH2346" s="15" t="str">
        <f t="shared" si="2"/>
        <v/>
      </c>
      <c r="AI2346" s="17" t="str">
        <f>IF(AG2346="","",INDEX('Quitados DUPP'!$G$1:$G$6635,AG2346))</f>
        <v/>
      </c>
      <c r="AJ2346" s="17" t="str">
        <f t="shared" si="3"/>
        <v/>
      </c>
    </row>
    <row r="2347" spans="31:36">
      <c r="AE2347" s="15" t="str">
        <f t="shared" si="0"/>
        <v/>
      </c>
      <c r="AF2347" s="15" t="str">
        <f t="shared" si="1"/>
        <v/>
      </c>
      <c r="AG2347" s="15" t="str">
        <f>IF(OR(AF2347="",AF2347="ERRO_CHAVE"),"",IFERROR(MATCH(AF2347,'Quitados DUPP'!$U$1:$U$6635,0),""))</f>
        <v/>
      </c>
      <c r="AH2347" s="15" t="str">
        <f t="shared" si="2"/>
        <v/>
      </c>
      <c r="AI2347" s="17" t="str">
        <f>IF(AG2347="","",INDEX('Quitados DUPP'!$G$1:$G$6635,AG2347))</f>
        <v/>
      </c>
      <c r="AJ2347" s="17" t="str">
        <f t="shared" si="3"/>
        <v/>
      </c>
    </row>
    <row r="2348" spans="31:36">
      <c r="AE2348" s="15" t="str">
        <f t="shared" si="0"/>
        <v/>
      </c>
      <c r="AF2348" s="15" t="str">
        <f t="shared" si="1"/>
        <v/>
      </c>
      <c r="AG2348" s="15" t="str">
        <f>IF(OR(AF2348="",AF2348="ERRO_CHAVE"),"",IFERROR(MATCH(AF2348,'Quitados DUPP'!$U$1:$U$6635,0),""))</f>
        <v/>
      </c>
      <c r="AH2348" s="15" t="str">
        <f t="shared" si="2"/>
        <v/>
      </c>
      <c r="AI2348" s="17" t="str">
        <f>IF(AG2348="","",INDEX('Quitados DUPP'!$G$1:$G$6635,AG2348))</f>
        <v/>
      </c>
      <c r="AJ2348" s="17" t="str">
        <f t="shared" si="3"/>
        <v/>
      </c>
    </row>
    <row r="2349" spans="31:36">
      <c r="AE2349" s="15" t="str">
        <f t="shared" si="0"/>
        <v/>
      </c>
      <c r="AF2349" s="15" t="str">
        <f t="shared" si="1"/>
        <v/>
      </c>
      <c r="AG2349" s="15" t="str">
        <f>IF(OR(AF2349="",AF2349="ERRO_CHAVE"),"",IFERROR(MATCH(AF2349,'Quitados DUPP'!$U$1:$U$6635,0),""))</f>
        <v/>
      </c>
      <c r="AH2349" s="15" t="str">
        <f t="shared" si="2"/>
        <v/>
      </c>
      <c r="AI2349" s="17" t="str">
        <f>IF(AG2349="","",INDEX('Quitados DUPP'!$G$1:$G$6635,AG2349))</f>
        <v/>
      </c>
      <c r="AJ2349" s="17" t="str">
        <f t="shared" si="3"/>
        <v/>
      </c>
    </row>
    <row r="2350" spans="31:36">
      <c r="AE2350" s="15" t="str">
        <f t="shared" si="0"/>
        <v/>
      </c>
      <c r="AF2350" s="15" t="str">
        <f t="shared" si="1"/>
        <v/>
      </c>
      <c r="AG2350" s="15" t="str">
        <f>IF(OR(AF2350="",AF2350="ERRO_CHAVE"),"",IFERROR(MATCH(AF2350,'Quitados DUPP'!$U$1:$U$6635,0),""))</f>
        <v/>
      </c>
      <c r="AH2350" s="15" t="str">
        <f t="shared" si="2"/>
        <v/>
      </c>
      <c r="AI2350" s="17" t="str">
        <f>IF(AG2350="","",INDEX('Quitados DUPP'!$G$1:$G$6635,AG2350))</f>
        <v/>
      </c>
      <c r="AJ2350" s="17" t="str">
        <f t="shared" si="3"/>
        <v/>
      </c>
    </row>
    <row r="2351" spans="31:36">
      <c r="AE2351" s="15" t="str">
        <f t="shared" si="0"/>
        <v/>
      </c>
      <c r="AF2351" s="15" t="str">
        <f t="shared" si="1"/>
        <v/>
      </c>
      <c r="AG2351" s="15" t="str">
        <f>IF(OR(AF2351="",AF2351="ERRO_CHAVE"),"",IFERROR(MATCH(AF2351,'Quitados DUPP'!$U$1:$U$6635,0),""))</f>
        <v/>
      </c>
      <c r="AH2351" s="15" t="str">
        <f t="shared" si="2"/>
        <v/>
      </c>
      <c r="AI2351" s="17" t="str">
        <f>IF(AG2351="","",INDEX('Quitados DUPP'!$G$1:$G$6635,AG2351))</f>
        <v/>
      </c>
      <c r="AJ2351" s="17" t="str">
        <f t="shared" si="3"/>
        <v/>
      </c>
    </row>
    <row r="2352" spans="31:36">
      <c r="AE2352" s="15" t="str">
        <f t="shared" si="0"/>
        <v/>
      </c>
      <c r="AF2352" s="15" t="str">
        <f t="shared" si="1"/>
        <v/>
      </c>
      <c r="AG2352" s="15" t="str">
        <f>IF(OR(AF2352="",AF2352="ERRO_CHAVE"),"",IFERROR(MATCH(AF2352,'Quitados DUPP'!$U$1:$U$6635,0),""))</f>
        <v/>
      </c>
      <c r="AH2352" s="15" t="str">
        <f t="shared" si="2"/>
        <v/>
      </c>
      <c r="AI2352" s="17" t="str">
        <f>IF(AG2352="","",INDEX('Quitados DUPP'!$G$1:$G$6635,AG2352))</f>
        <v/>
      </c>
      <c r="AJ2352" s="17" t="str">
        <f t="shared" si="3"/>
        <v/>
      </c>
    </row>
    <row r="2353" spans="31:36">
      <c r="AE2353" s="15" t="str">
        <f t="shared" si="0"/>
        <v/>
      </c>
      <c r="AF2353" s="15" t="str">
        <f t="shared" si="1"/>
        <v/>
      </c>
      <c r="AG2353" s="15" t="str">
        <f>IF(OR(AF2353="",AF2353="ERRO_CHAVE"),"",IFERROR(MATCH(AF2353,'Quitados DUPP'!$U$1:$U$6635,0),""))</f>
        <v/>
      </c>
      <c r="AH2353" s="15" t="str">
        <f t="shared" si="2"/>
        <v/>
      </c>
      <c r="AI2353" s="17" t="str">
        <f>IF(AG2353="","",INDEX('Quitados DUPP'!$G$1:$G$6635,AG2353))</f>
        <v/>
      </c>
      <c r="AJ2353" s="17" t="str">
        <f t="shared" si="3"/>
        <v/>
      </c>
    </row>
    <row r="2354" spans="31:36">
      <c r="AE2354" s="15" t="str">
        <f t="shared" si="0"/>
        <v/>
      </c>
      <c r="AF2354" s="15" t="str">
        <f t="shared" si="1"/>
        <v/>
      </c>
      <c r="AG2354" s="15" t="str">
        <f>IF(OR(AF2354="",AF2354="ERRO_CHAVE"),"",IFERROR(MATCH(AF2354,'Quitados DUPP'!$U$1:$U$6635,0),""))</f>
        <v/>
      </c>
      <c r="AH2354" s="15" t="str">
        <f t="shared" si="2"/>
        <v/>
      </c>
      <c r="AI2354" s="17" t="str">
        <f>IF(AG2354="","",INDEX('Quitados DUPP'!$G$1:$G$6635,AG2354))</f>
        <v/>
      </c>
      <c r="AJ2354" s="17" t="str">
        <f t="shared" si="3"/>
        <v/>
      </c>
    </row>
    <row r="2355" spans="31:36">
      <c r="AE2355" s="15" t="str">
        <f t="shared" si="0"/>
        <v/>
      </c>
      <c r="AF2355" s="15" t="str">
        <f t="shared" si="1"/>
        <v/>
      </c>
      <c r="AG2355" s="15" t="str">
        <f>IF(OR(AF2355="",AF2355="ERRO_CHAVE"),"",IFERROR(MATCH(AF2355,'Quitados DUPP'!$U$1:$U$6635,0),""))</f>
        <v/>
      </c>
      <c r="AH2355" s="15" t="str">
        <f t="shared" si="2"/>
        <v/>
      </c>
      <c r="AI2355" s="17" t="str">
        <f>IF(AG2355="","",INDEX('Quitados DUPP'!$G$1:$G$6635,AG2355))</f>
        <v/>
      </c>
      <c r="AJ2355" s="17" t="str">
        <f t="shared" si="3"/>
        <v/>
      </c>
    </row>
    <row r="2356" spans="31:36">
      <c r="AE2356" s="15" t="str">
        <f t="shared" si="0"/>
        <v/>
      </c>
      <c r="AF2356" s="15" t="str">
        <f t="shared" si="1"/>
        <v/>
      </c>
      <c r="AG2356" s="15" t="str">
        <f>IF(OR(AF2356="",AF2356="ERRO_CHAVE"),"",IFERROR(MATCH(AF2356,'Quitados DUPP'!$U$1:$U$6635,0),""))</f>
        <v/>
      </c>
      <c r="AH2356" s="15" t="str">
        <f t="shared" si="2"/>
        <v/>
      </c>
      <c r="AI2356" s="17" t="str">
        <f>IF(AG2356="","",INDEX('Quitados DUPP'!$G$1:$G$6635,AG2356))</f>
        <v/>
      </c>
      <c r="AJ2356" s="17" t="str">
        <f t="shared" si="3"/>
        <v/>
      </c>
    </row>
    <row r="2357" spans="31:36">
      <c r="AE2357" s="15" t="str">
        <f t="shared" si="0"/>
        <v/>
      </c>
      <c r="AF2357" s="15" t="str">
        <f t="shared" si="1"/>
        <v/>
      </c>
      <c r="AG2357" s="15" t="str">
        <f>IF(OR(AF2357="",AF2357="ERRO_CHAVE"),"",IFERROR(MATCH(AF2357,'Quitados DUPP'!$U$1:$U$6635,0),""))</f>
        <v/>
      </c>
      <c r="AH2357" s="15" t="str">
        <f t="shared" si="2"/>
        <v/>
      </c>
      <c r="AI2357" s="17" t="str">
        <f>IF(AG2357="","",INDEX('Quitados DUPP'!$G$1:$G$6635,AG2357))</f>
        <v/>
      </c>
      <c r="AJ2357" s="17" t="str">
        <f t="shared" si="3"/>
        <v/>
      </c>
    </row>
    <row r="2358" spans="31:36">
      <c r="AE2358" s="15" t="str">
        <f t="shared" si="0"/>
        <v/>
      </c>
      <c r="AF2358" s="15" t="str">
        <f t="shared" si="1"/>
        <v/>
      </c>
      <c r="AG2358" s="15" t="str">
        <f>IF(OR(AF2358="",AF2358="ERRO_CHAVE"),"",IFERROR(MATCH(AF2358,'Quitados DUPP'!$U$1:$U$6635,0),""))</f>
        <v/>
      </c>
      <c r="AH2358" s="15" t="str">
        <f t="shared" si="2"/>
        <v/>
      </c>
      <c r="AI2358" s="17" t="str">
        <f>IF(AG2358="","",INDEX('Quitados DUPP'!$G$1:$G$6635,AG2358))</f>
        <v/>
      </c>
      <c r="AJ2358" s="17" t="str">
        <f t="shared" si="3"/>
        <v/>
      </c>
    </row>
    <row r="2359" spans="31:36">
      <c r="AE2359" s="15" t="str">
        <f t="shared" si="0"/>
        <v/>
      </c>
      <c r="AF2359" s="15" t="str">
        <f t="shared" si="1"/>
        <v/>
      </c>
      <c r="AG2359" s="15" t="str">
        <f>IF(OR(AF2359="",AF2359="ERRO_CHAVE"),"",IFERROR(MATCH(AF2359,'Quitados DUPP'!$U$1:$U$6635,0),""))</f>
        <v/>
      </c>
      <c r="AH2359" s="15" t="str">
        <f t="shared" si="2"/>
        <v/>
      </c>
      <c r="AI2359" s="17" t="str">
        <f>IF(AG2359="","",INDEX('Quitados DUPP'!$G$1:$G$6635,AG2359))</f>
        <v/>
      </c>
      <c r="AJ2359" s="17" t="str">
        <f t="shared" si="3"/>
        <v/>
      </c>
    </row>
    <row r="2360" spans="31:36">
      <c r="AE2360" s="15" t="str">
        <f t="shared" si="0"/>
        <v/>
      </c>
      <c r="AF2360" s="15" t="str">
        <f t="shared" si="1"/>
        <v/>
      </c>
      <c r="AG2360" s="15" t="str">
        <f>IF(OR(AF2360="",AF2360="ERRO_CHAVE"),"",IFERROR(MATCH(AF2360,'Quitados DUPP'!$U$1:$U$6635,0),""))</f>
        <v/>
      </c>
      <c r="AH2360" s="15" t="str">
        <f t="shared" si="2"/>
        <v/>
      </c>
      <c r="AI2360" s="17" t="str">
        <f>IF(AG2360="","",INDEX('Quitados DUPP'!$G$1:$G$6635,AG2360))</f>
        <v/>
      </c>
      <c r="AJ2360" s="17" t="str">
        <f t="shared" si="3"/>
        <v/>
      </c>
    </row>
    <row r="2361" spans="31:36">
      <c r="AE2361" s="15" t="str">
        <f t="shared" si="0"/>
        <v/>
      </c>
      <c r="AF2361" s="15" t="str">
        <f t="shared" si="1"/>
        <v/>
      </c>
      <c r="AG2361" s="15" t="str">
        <f>IF(OR(AF2361="",AF2361="ERRO_CHAVE"),"",IFERROR(MATCH(AF2361,'Quitados DUPP'!$U$1:$U$6635,0),""))</f>
        <v/>
      </c>
      <c r="AH2361" s="15" t="str">
        <f t="shared" si="2"/>
        <v/>
      </c>
      <c r="AI2361" s="17" t="str">
        <f>IF(AG2361="","",INDEX('Quitados DUPP'!$G$1:$G$6635,AG2361))</f>
        <v/>
      </c>
      <c r="AJ2361" s="17" t="str">
        <f t="shared" si="3"/>
        <v/>
      </c>
    </row>
    <row r="2362" spans="31:36">
      <c r="AE2362" s="15" t="str">
        <f t="shared" si="0"/>
        <v/>
      </c>
      <c r="AF2362" s="15" t="str">
        <f t="shared" si="1"/>
        <v/>
      </c>
      <c r="AG2362" s="15" t="str">
        <f>IF(OR(AF2362="",AF2362="ERRO_CHAVE"),"",IFERROR(MATCH(AF2362,'Quitados DUPP'!$U$1:$U$6635,0),""))</f>
        <v/>
      </c>
      <c r="AH2362" s="15" t="str">
        <f t="shared" si="2"/>
        <v/>
      </c>
      <c r="AI2362" s="17" t="str">
        <f>IF(AG2362="","",INDEX('Quitados DUPP'!$G$1:$G$6635,AG2362))</f>
        <v/>
      </c>
      <c r="AJ2362" s="17" t="str">
        <f t="shared" si="3"/>
        <v/>
      </c>
    </row>
    <row r="2363" spans="31:36">
      <c r="AE2363" s="15" t="str">
        <f t="shared" si="0"/>
        <v/>
      </c>
      <c r="AF2363" s="15" t="str">
        <f t="shared" si="1"/>
        <v/>
      </c>
      <c r="AG2363" s="15" t="str">
        <f>IF(OR(AF2363="",AF2363="ERRO_CHAVE"),"",IFERROR(MATCH(AF2363,'Quitados DUPP'!$U$1:$U$6635,0),""))</f>
        <v/>
      </c>
      <c r="AH2363" s="15" t="str">
        <f t="shared" si="2"/>
        <v/>
      </c>
      <c r="AI2363" s="17" t="str">
        <f>IF(AG2363="","",INDEX('Quitados DUPP'!$G$1:$G$6635,AG2363))</f>
        <v/>
      </c>
      <c r="AJ2363" s="17" t="str">
        <f t="shared" si="3"/>
        <v/>
      </c>
    </row>
    <row r="2364" spans="31:36">
      <c r="AE2364" s="15" t="str">
        <f t="shared" si="0"/>
        <v/>
      </c>
      <c r="AF2364" s="15" t="str">
        <f t="shared" si="1"/>
        <v/>
      </c>
      <c r="AG2364" s="15" t="str">
        <f>IF(OR(AF2364="",AF2364="ERRO_CHAVE"),"",IFERROR(MATCH(AF2364,'Quitados DUPP'!$U$1:$U$6635,0),""))</f>
        <v/>
      </c>
      <c r="AH2364" s="15" t="str">
        <f t="shared" si="2"/>
        <v/>
      </c>
      <c r="AI2364" s="17" t="str">
        <f>IF(AG2364="","",INDEX('Quitados DUPP'!$G$1:$G$6635,AG2364))</f>
        <v/>
      </c>
      <c r="AJ2364" s="17" t="str">
        <f t="shared" si="3"/>
        <v/>
      </c>
    </row>
    <row r="2365" spans="31:36">
      <c r="AE2365" s="15" t="str">
        <f t="shared" si="0"/>
        <v/>
      </c>
      <c r="AF2365" s="15" t="str">
        <f t="shared" si="1"/>
        <v/>
      </c>
      <c r="AG2365" s="15" t="str">
        <f>IF(OR(AF2365="",AF2365="ERRO_CHAVE"),"",IFERROR(MATCH(AF2365,'Quitados DUPP'!$U$1:$U$6635,0),""))</f>
        <v/>
      </c>
      <c r="AH2365" s="15" t="str">
        <f t="shared" si="2"/>
        <v/>
      </c>
      <c r="AI2365" s="17" t="str">
        <f>IF(AG2365="","",INDEX('Quitados DUPP'!$G$1:$G$6635,AG2365))</f>
        <v/>
      </c>
      <c r="AJ2365" s="17" t="str">
        <f t="shared" si="3"/>
        <v/>
      </c>
    </row>
    <row r="2366" spans="31:36">
      <c r="AE2366" s="15" t="str">
        <f t="shared" si="0"/>
        <v/>
      </c>
      <c r="AF2366" s="15" t="str">
        <f t="shared" si="1"/>
        <v/>
      </c>
      <c r="AG2366" s="15" t="str">
        <f>IF(OR(AF2366="",AF2366="ERRO_CHAVE"),"",IFERROR(MATCH(AF2366,'Quitados DUPP'!$U$1:$U$6635,0),""))</f>
        <v/>
      </c>
      <c r="AH2366" s="15" t="str">
        <f t="shared" si="2"/>
        <v/>
      </c>
      <c r="AI2366" s="17" t="str">
        <f>IF(AG2366="","",INDEX('Quitados DUPP'!$G$1:$G$6635,AG2366))</f>
        <v/>
      </c>
      <c r="AJ2366" s="17" t="str">
        <f t="shared" si="3"/>
        <v/>
      </c>
    </row>
    <row r="2367" spans="31:36">
      <c r="AE2367" s="15" t="str">
        <f t="shared" si="0"/>
        <v/>
      </c>
      <c r="AF2367" s="15" t="str">
        <f t="shared" si="1"/>
        <v/>
      </c>
      <c r="AG2367" s="15" t="str">
        <f>IF(OR(AF2367="",AF2367="ERRO_CHAVE"),"",IFERROR(MATCH(AF2367,'Quitados DUPP'!$U$1:$U$6635,0),""))</f>
        <v/>
      </c>
      <c r="AH2367" s="15" t="str">
        <f t="shared" si="2"/>
        <v/>
      </c>
      <c r="AI2367" s="17" t="str">
        <f>IF(AG2367="","",INDEX('Quitados DUPP'!$G$1:$G$6635,AG2367))</f>
        <v/>
      </c>
      <c r="AJ2367" s="17" t="str">
        <f t="shared" si="3"/>
        <v/>
      </c>
    </row>
    <row r="2368" spans="31:36">
      <c r="AE2368" s="15" t="str">
        <f t="shared" si="0"/>
        <v/>
      </c>
      <c r="AF2368" s="15" t="str">
        <f t="shared" si="1"/>
        <v/>
      </c>
      <c r="AG2368" s="15" t="str">
        <f>IF(OR(AF2368="",AF2368="ERRO_CHAVE"),"",IFERROR(MATCH(AF2368,'Quitados DUPP'!$U$1:$U$6635,0),""))</f>
        <v/>
      </c>
      <c r="AH2368" s="15" t="str">
        <f t="shared" si="2"/>
        <v/>
      </c>
      <c r="AI2368" s="17" t="str">
        <f>IF(AG2368="","",INDEX('Quitados DUPP'!$G$1:$G$6635,AG2368))</f>
        <v/>
      </c>
      <c r="AJ2368" s="17" t="str">
        <f t="shared" si="3"/>
        <v/>
      </c>
    </row>
    <row r="2369" spans="31:36">
      <c r="AE2369" s="15" t="str">
        <f t="shared" si="0"/>
        <v/>
      </c>
      <c r="AF2369" s="15" t="str">
        <f t="shared" si="1"/>
        <v/>
      </c>
      <c r="AG2369" s="15" t="str">
        <f>IF(OR(AF2369="",AF2369="ERRO_CHAVE"),"",IFERROR(MATCH(AF2369,'Quitados DUPP'!$U$1:$U$6635,0),""))</f>
        <v/>
      </c>
      <c r="AH2369" s="15" t="str">
        <f t="shared" si="2"/>
        <v/>
      </c>
      <c r="AI2369" s="17" t="str">
        <f>IF(AG2369="","",INDEX('Quitados DUPP'!$G$1:$G$6635,AG2369))</f>
        <v/>
      </c>
      <c r="AJ2369" s="17" t="str">
        <f t="shared" si="3"/>
        <v/>
      </c>
    </row>
    <row r="2370" spans="31:36">
      <c r="AE2370" s="15" t="str">
        <f t="shared" si="0"/>
        <v/>
      </c>
      <c r="AF2370" s="15" t="str">
        <f t="shared" si="1"/>
        <v/>
      </c>
      <c r="AG2370" s="15" t="str">
        <f>IF(OR(AF2370="",AF2370="ERRO_CHAVE"),"",IFERROR(MATCH(AF2370,'Quitados DUPP'!$U$1:$U$6635,0),""))</f>
        <v/>
      </c>
      <c r="AH2370" s="15" t="str">
        <f t="shared" si="2"/>
        <v/>
      </c>
      <c r="AI2370" s="17" t="str">
        <f>IF(AG2370="","",INDEX('Quitados DUPP'!$G$1:$G$6635,AG2370))</f>
        <v/>
      </c>
      <c r="AJ2370" s="17" t="str">
        <f t="shared" si="3"/>
        <v/>
      </c>
    </row>
    <row r="2371" spans="31:36">
      <c r="AE2371" s="15" t="str">
        <f t="shared" si="0"/>
        <v/>
      </c>
      <c r="AF2371" s="15" t="str">
        <f t="shared" si="1"/>
        <v/>
      </c>
      <c r="AG2371" s="15" t="str">
        <f>IF(OR(AF2371="",AF2371="ERRO_CHAVE"),"",IFERROR(MATCH(AF2371,'Quitados DUPP'!$U$1:$U$6635,0),""))</f>
        <v/>
      </c>
      <c r="AH2371" s="15" t="str">
        <f t="shared" si="2"/>
        <v/>
      </c>
      <c r="AI2371" s="17" t="str">
        <f>IF(AG2371="","",INDEX('Quitados DUPP'!$G$1:$G$6635,AG2371))</f>
        <v/>
      </c>
      <c r="AJ2371" s="17" t="str">
        <f t="shared" si="3"/>
        <v/>
      </c>
    </row>
    <row r="2372" spans="31:36">
      <c r="AE2372" s="15" t="str">
        <f t="shared" si="0"/>
        <v/>
      </c>
      <c r="AF2372" s="15" t="str">
        <f t="shared" si="1"/>
        <v/>
      </c>
      <c r="AG2372" s="15" t="str">
        <f>IF(OR(AF2372="",AF2372="ERRO_CHAVE"),"",IFERROR(MATCH(AF2372,'Quitados DUPP'!$U$1:$U$6635,0),""))</f>
        <v/>
      </c>
      <c r="AH2372" s="15" t="str">
        <f t="shared" si="2"/>
        <v/>
      </c>
      <c r="AI2372" s="17" t="str">
        <f>IF(AG2372="","",INDEX('Quitados DUPP'!$G$1:$G$6635,AG2372))</f>
        <v/>
      </c>
      <c r="AJ2372" s="17" t="str">
        <f t="shared" si="3"/>
        <v/>
      </c>
    </row>
    <row r="2373" spans="31:36">
      <c r="AE2373" s="15" t="str">
        <f t="shared" si="0"/>
        <v/>
      </c>
      <c r="AF2373" s="15" t="str">
        <f t="shared" si="1"/>
        <v/>
      </c>
      <c r="AG2373" s="15" t="str">
        <f>IF(OR(AF2373="",AF2373="ERRO_CHAVE"),"",IFERROR(MATCH(AF2373,'Quitados DUPP'!$U$1:$U$6635,0),""))</f>
        <v/>
      </c>
      <c r="AH2373" s="15" t="str">
        <f t="shared" si="2"/>
        <v/>
      </c>
      <c r="AI2373" s="17" t="str">
        <f>IF(AG2373="","",INDEX('Quitados DUPP'!$G$1:$G$6635,AG2373))</f>
        <v/>
      </c>
      <c r="AJ2373" s="17" t="str">
        <f t="shared" si="3"/>
        <v/>
      </c>
    </row>
    <row r="2374" spans="31:36">
      <c r="AE2374" s="15" t="str">
        <f t="shared" si="0"/>
        <v/>
      </c>
      <c r="AF2374" s="15" t="str">
        <f t="shared" si="1"/>
        <v/>
      </c>
      <c r="AG2374" s="15" t="str">
        <f>IF(OR(AF2374="",AF2374="ERRO_CHAVE"),"",IFERROR(MATCH(AF2374,'Quitados DUPP'!$U$1:$U$6635,0),""))</f>
        <v/>
      </c>
      <c r="AH2374" s="15" t="str">
        <f t="shared" si="2"/>
        <v/>
      </c>
      <c r="AI2374" s="17" t="str">
        <f>IF(AG2374="","",INDEX('Quitados DUPP'!$G$1:$G$6635,AG2374))</f>
        <v/>
      </c>
      <c r="AJ2374" s="17" t="str">
        <f t="shared" si="3"/>
        <v/>
      </c>
    </row>
    <row r="2375" spans="31:36">
      <c r="AE2375" s="15" t="str">
        <f t="shared" si="0"/>
        <v/>
      </c>
      <c r="AF2375" s="15" t="str">
        <f t="shared" si="1"/>
        <v/>
      </c>
      <c r="AG2375" s="15" t="str">
        <f>IF(OR(AF2375="",AF2375="ERRO_CHAVE"),"",IFERROR(MATCH(AF2375,'Quitados DUPP'!$U$1:$U$6635,0),""))</f>
        <v/>
      </c>
      <c r="AH2375" s="15" t="str">
        <f t="shared" si="2"/>
        <v/>
      </c>
      <c r="AI2375" s="17" t="str">
        <f>IF(AG2375="","",INDEX('Quitados DUPP'!$G$1:$G$6635,AG2375))</f>
        <v/>
      </c>
      <c r="AJ2375" s="17" t="str">
        <f t="shared" si="3"/>
        <v/>
      </c>
    </row>
    <row r="2376" spans="31:36">
      <c r="AE2376" s="15" t="str">
        <f t="shared" si="0"/>
        <v/>
      </c>
      <c r="AF2376" s="15" t="str">
        <f t="shared" si="1"/>
        <v/>
      </c>
      <c r="AG2376" s="15" t="str">
        <f>IF(OR(AF2376="",AF2376="ERRO_CHAVE"),"",IFERROR(MATCH(AF2376,'Quitados DUPP'!$U$1:$U$6635,0),""))</f>
        <v/>
      </c>
      <c r="AH2376" s="15" t="str">
        <f t="shared" si="2"/>
        <v/>
      </c>
      <c r="AI2376" s="17" t="str">
        <f>IF(AG2376="","",INDEX('Quitados DUPP'!$G$1:$G$6635,AG2376))</f>
        <v/>
      </c>
      <c r="AJ2376" s="17" t="str">
        <f t="shared" si="3"/>
        <v/>
      </c>
    </row>
    <row r="2377" spans="31:36">
      <c r="AE2377" s="15" t="str">
        <f t="shared" si="0"/>
        <v/>
      </c>
      <c r="AF2377" s="15" t="str">
        <f t="shared" si="1"/>
        <v/>
      </c>
      <c r="AG2377" s="15" t="str">
        <f>IF(OR(AF2377="",AF2377="ERRO_CHAVE"),"",IFERROR(MATCH(AF2377,'Quitados DUPP'!$U$1:$U$6635,0),""))</f>
        <v/>
      </c>
      <c r="AH2377" s="15" t="str">
        <f t="shared" si="2"/>
        <v/>
      </c>
      <c r="AI2377" s="17" t="str">
        <f>IF(AG2377="","",INDEX('Quitados DUPP'!$G$1:$G$6635,AG2377))</f>
        <v/>
      </c>
      <c r="AJ2377" s="17" t="str">
        <f t="shared" si="3"/>
        <v/>
      </c>
    </row>
    <row r="2378" spans="31:36">
      <c r="AE2378" s="15" t="str">
        <f t="shared" si="0"/>
        <v/>
      </c>
      <c r="AF2378" s="15" t="str">
        <f t="shared" si="1"/>
        <v/>
      </c>
      <c r="AG2378" s="15" t="str">
        <f>IF(OR(AF2378="",AF2378="ERRO_CHAVE"),"",IFERROR(MATCH(AF2378,'Quitados DUPP'!$U$1:$U$6635,0),""))</f>
        <v/>
      </c>
      <c r="AH2378" s="15" t="str">
        <f t="shared" si="2"/>
        <v/>
      </c>
      <c r="AI2378" s="17" t="str">
        <f>IF(AG2378="","",INDEX('Quitados DUPP'!$G$1:$G$6635,AG2378))</f>
        <v/>
      </c>
      <c r="AJ2378" s="17" t="str">
        <f t="shared" si="3"/>
        <v/>
      </c>
    </row>
    <row r="2379" spans="31:36">
      <c r="AE2379" s="15" t="str">
        <f t="shared" si="0"/>
        <v/>
      </c>
      <c r="AF2379" s="15" t="str">
        <f t="shared" si="1"/>
        <v/>
      </c>
      <c r="AG2379" s="15" t="str">
        <f>IF(OR(AF2379="",AF2379="ERRO_CHAVE"),"",IFERROR(MATCH(AF2379,'Quitados DUPP'!$U$1:$U$6635,0),""))</f>
        <v/>
      </c>
      <c r="AH2379" s="15" t="str">
        <f t="shared" si="2"/>
        <v/>
      </c>
      <c r="AI2379" s="17" t="str">
        <f>IF(AG2379="","",INDEX('Quitados DUPP'!$G$1:$G$6635,AG2379))</f>
        <v/>
      </c>
      <c r="AJ2379" s="17" t="str">
        <f t="shared" si="3"/>
        <v/>
      </c>
    </row>
    <row r="2380" spans="31:36">
      <c r="AE2380" s="15" t="str">
        <f t="shared" si="0"/>
        <v/>
      </c>
      <c r="AF2380" s="15" t="str">
        <f t="shared" si="1"/>
        <v/>
      </c>
      <c r="AG2380" s="15" t="str">
        <f>IF(OR(AF2380="",AF2380="ERRO_CHAVE"),"",IFERROR(MATCH(AF2380,'Quitados DUPP'!$U$1:$U$6635,0),""))</f>
        <v/>
      </c>
      <c r="AH2380" s="15" t="str">
        <f t="shared" si="2"/>
        <v/>
      </c>
      <c r="AI2380" s="17" t="str">
        <f>IF(AG2380="","",INDEX('Quitados DUPP'!$G$1:$G$6635,AG2380))</f>
        <v/>
      </c>
      <c r="AJ2380" s="17" t="str">
        <f t="shared" si="3"/>
        <v/>
      </c>
    </row>
    <row r="2381" spans="31:36">
      <c r="AE2381" s="15" t="str">
        <f t="shared" si="0"/>
        <v/>
      </c>
      <c r="AF2381" s="15" t="str">
        <f t="shared" si="1"/>
        <v/>
      </c>
      <c r="AG2381" s="15" t="str">
        <f>IF(OR(AF2381="",AF2381="ERRO_CHAVE"),"",IFERROR(MATCH(AF2381,'Quitados DUPP'!$U$1:$U$6635,0),""))</f>
        <v/>
      </c>
      <c r="AH2381" s="15" t="str">
        <f t="shared" si="2"/>
        <v/>
      </c>
      <c r="AI2381" s="17" t="str">
        <f>IF(AG2381="","",INDEX('Quitados DUPP'!$G$1:$G$6635,AG2381))</f>
        <v/>
      </c>
      <c r="AJ2381" s="17" t="str">
        <f t="shared" si="3"/>
        <v/>
      </c>
    </row>
    <row r="2382" spans="31:36">
      <c r="AE2382" s="15" t="str">
        <f t="shared" si="0"/>
        <v/>
      </c>
      <c r="AF2382" s="15" t="str">
        <f t="shared" si="1"/>
        <v/>
      </c>
      <c r="AG2382" s="15" t="str">
        <f>IF(OR(AF2382="",AF2382="ERRO_CHAVE"),"",IFERROR(MATCH(AF2382,'Quitados DUPP'!$U$1:$U$6635,0),""))</f>
        <v/>
      </c>
      <c r="AH2382" s="15" t="str">
        <f t="shared" si="2"/>
        <v/>
      </c>
      <c r="AI2382" s="17" t="str">
        <f>IF(AG2382="","",INDEX('Quitados DUPP'!$G$1:$G$6635,AG2382))</f>
        <v/>
      </c>
      <c r="AJ2382" s="17" t="str">
        <f t="shared" si="3"/>
        <v/>
      </c>
    </row>
    <row r="2383" spans="31:36">
      <c r="AE2383" s="15" t="str">
        <f t="shared" si="0"/>
        <v/>
      </c>
      <c r="AF2383" s="15" t="str">
        <f t="shared" si="1"/>
        <v/>
      </c>
      <c r="AG2383" s="15" t="str">
        <f>IF(OR(AF2383="",AF2383="ERRO_CHAVE"),"",IFERROR(MATCH(AF2383,'Quitados DUPP'!$U$1:$U$6635,0),""))</f>
        <v/>
      </c>
      <c r="AH2383" s="15" t="str">
        <f t="shared" si="2"/>
        <v/>
      </c>
      <c r="AI2383" s="17" t="str">
        <f>IF(AG2383="","",INDEX('Quitados DUPP'!$G$1:$G$6635,AG2383))</f>
        <v/>
      </c>
      <c r="AJ2383" s="17" t="str">
        <f t="shared" si="3"/>
        <v/>
      </c>
    </row>
    <row r="2384" spans="31:36">
      <c r="AE2384" s="15" t="str">
        <f t="shared" si="0"/>
        <v/>
      </c>
      <c r="AF2384" s="15" t="str">
        <f t="shared" si="1"/>
        <v/>
      </c>
      <c r="AG2384" s="15" t="str">
        <f>IF(OR(AF2384="",AF2384="ERRO_CHAVE"),"",IFERROR(MATCH(AF2384,'Quitados DUPP'!$U$1:$U$6635,0),""))</f>
        <v/>
      </c>
      <c r="AH2384" s="15" t="str">
        <f t="shared" si="2"/>
        <v/>
      </c>
      <c r="AI2384" s="17" t="str">
        <f>IF(AG2384="","",INDEX('Quitados DUPP'!$G$1:$G$6635,AG2384))</f>
        <v/>
      </c>
      <c r="AJ2384" s="17" t="str">
        <f t="shared" si="3"/>
        <v/>
      </c>
    </row>
    <row r="2385" spans="31:36">
      <c r="AE2385" s="15" t="str">
        <f t="shared" si="0"/>
        <v/>
      </c>
      <c r="AF2385" s="15" t="str">
        <f t="shared" si="1"/>
        <v/>
      </c>
      <c r="AG2385" s="15" t="str">
        <f>IF(OR(AF2385="",AF2385="ERRO_CHAVE"),"",IFERROR(MATCH(AF2385,'Quitados DUPP'!$U$1:$U$6635,0),""))</f>
        <v/>
      </c>
      <c r="AH2385" s="15" t="str">
        <f t="shared" si="2"/>
        <v/>
      </c>
      <c r="AI2385" s="17" t="str">
        <f>IF(AG2385="","",INDEX('Quitados DUPP'!$G$1:$G$6635,AG2385))</f>
        <v/>
      </c>
      <c r="AJ2385" s="17" t="str">
        <f t="shared" si="3"/>
        <v/>
      </c>
    </row>
    <row r="2386" spans="31:36">
      <c r="AE2386" s="15" t="str">
        <f t="shared" si="0"/>
        <v/>
      </c>
      <c r="AF2386" s="15" t="str">
        <f t="shared" si="1"/>
        <v/>
      </c>
      <c r="AG2386" s="15" t="str">
        <f>IF(OR(AF2386="",AF2386="ERRO_CHAVE"),"",IFERROR(MATCH(AF2386,'Quitados DUPP'!$U$1:$U$6635,0),""))</f>
        <v/>
      </c>
      <c r="AH2386" s="15" t="str">
        <f t="shared" si="2"/>
        <v/>
      </c>
      <c r="AI2386" s="17" t="str">
        <f>IF(AG2386="","",INDEX('Quitados DUPP'!$G$1:$G$6635,AG2386))</f>
        <v/>
      </c>
      <c r="AJ2386" s="17" t="str">
        <f t="shared" si="3"/>
        <v/>
      </c>
    </row>
    <row r="2387" spans="31:36">
      <c r="AE2387" s="15" t="str">
        <f t="shared" si="0"/>
        <v/>
      </c>
      <c r="AF2387" s="15" t="str">
        <f t="shared" si="1"/>
        <v/>
      </c>
      <c r="AG2387" s="15" t="str">
        <f>IF(OR(AF2387="",AF2387="ERRO_CHAVE"),"",IFERROR(MATCH(AF2387,'Quitados DUPP'!$U$1:$U$6635,0),""))</f>
        <v/>
      </c>
      <c r="AH2387" s="15" t="str">
        <f t="shared" si="2"/>
        <v/>
      </c>
      <c r="AI2387" s="17" t="str">
        <f>IF(AG2387="","",INDEX('Quitados DUPP'!$G$1:$G$6635,AG2387))</f>
        <v/>
      </c>
      <c r="AJ2387" s="17" t="str">
        <f t="shared" si="3"/>
        <v/>
      </c>
    </row>
    <row r="2388" spans="31:36">
      <c r="AE2388" s="15" t="str">
        <f t="shared" si="0"/>
        <v/>
      </c>
      <c r="AF2388" s="15" t="str">
        <f t="shared" si="1"/>
        <v/>
      </c>
      <c r="AG2388" s="15" t="str">
        <f>IF(OR(AF2388="",AF2388="ERRO_CHAVE"),"",IFERROR(MATCH(AF2388,'Quitados DUPP'!$U$1:$U$6635,0),""))</f>
        <v/>
      </c>
      <c r="AH2388" s="15" t="str">
        <f t="shared" si="2"/>
        <v/>
      </c>
      <c r="AI2388" s="17" t="str">
        <f>IF(AG2388="","",INDEX('Quitados DUPP'!$G$1:$G$6635,AG2388))</f>
        <v/>
      </c>
      <c r="AJ2388" s="17" t="str">
        <f t="shared" si="3"/>
        <v/>
      </c>
    </row>
    <row r="2389" spans="31:36">
      <c r="AE2389" s="15" t="str">
        <f t="shared" si="0"/>
        <v/>
      </c>
      <c r="AF2389" s="15" t="str">
        <f t="shared" si="1"/>
        <v/>
      </c>
      <c r="AG2389" s="15" t="str">
        <f>IF(OR(AF2389="",AF2389="ERRO_CHAVE"),"",IFERROR(MATCH(AF2389,'Quitados DUPP'!$U$1:$U$6635,0),""))</f>
        <v/>
      </c>
      <c r="AH2389" s="15" t="str">
        <f t="shared" si="2"/>
        <v/>
      </c>
      <c r="AI2389" s="17" t="str">
        <f>IF(AG2389="","",INDEX('Quitados DUPP'!$G$1:$G$6635,AG2389))</f>
        <v/>
      </c>
      <c r="AJ2389" s="17" t="str">
        <f t="shared" si="3"/>
        <v/>
      </c>
    </row>
    <row r="2390" spans="31:36">
      <c r="AE2390" s="15" t="str">
        <f t="shared" si="0"/>
        <v/>
      </c>
      <c r="AF2390" s="15" t="str">
        <f t="shared" si="1"/>
        <v/>
      </c>
      <c r="AG2390" s="15" t="str">
        <f>IF(OR(AF2390="",AF2390="ERRO_CHAVE"),"",IFERROR(MATCH(AF2390,'Quitados DUPP'!$U$1:$U$6635,0),""))</f>
        <v/>
      </c>
      <c r="AH2390" s="15" t="str">
        <f t="shared" si="2"/>
        <v/>
      </c>
      <c r="AI2390" s="17" t="str">
        <f>IF(AG2390="","",INDEX('Quitados DUPP'!$G$1:$G$6635,AG2390))</f>
        <v/>
      </c>
      <c r="AJ2390" s="17" t="str">
        <f t="shared" si="3"/>
        <v/>
      </c>
    </row>
    <row r="2391" spans="31:36">
      <c r="AE2391" s="15" t="str">
        <f t="shared" si="0"/>
        <v/>
      </c>
      <c r="AF2391" s="15" t="str">
        <f t="shared" si="1"/>
        <v/>
      </c>
      <c r="AG2391" s="15" t="str">
        <f>IF(OR(AF2391="",AF2391="ERRO_CHAVE"),"",IFERROR(MATCH(AF2391,'Quitados DUPP'!$U$1:$U$6635,0),""))</f>
        <v/>
      </c>
      <c r="AH2391" s="15" t="str">
        <f t="shared" si="2"/>
        <v/>
      </c>
      <c r="AI2391" s="17" t="str">
        <f>IF(AG2391="","",INDEX('Quitados DUPP'!$G$1:$G$6635,AG2391))</f>
        <v/>
      </c>
      <c r="AJ2391" s="17" t="str">
        <f t="shared" si="3"/>
        <v/>
      </c>
    </row>
    <row r="2392" spans="31:36">
      <c r="AE2392" s="15" t="str">
        <f t="shared" si="0"/>
        <v/>
      </c>
      <c r="AF2392" s="15" t="str">
        <f t="shared" si="1"/>
        <v/>
      </c>
      <c r="AG2392" s="15" t="str">
        <f>IF(OR(AF2392="",AF2392="ERRO_CHAVE"),"",IFERROR(MATCH(AF2392,'Quitados DUPP'!$U$1:$U$6635,0),""))</f>
        <v/>
      </c>
      <c r="AH2392" s="15" t="str">
        <f t="shared" si="2"/>
        <v/>
      </c>
      <c r="AI2392" s="17" t="str">
        <f>IF(AG2392="","",INDEX('Quitados DUPP'!$G$1:$G$6635,AG2392))</f>
        <v/>
      </c>
      <c r="AJ2392" s="17" t="str">
        <f t="shared" si="3"/>
        <v/>
      </c>
    </row>
    <row r="2393" spans="31:36">
      <c r="AE2393" s="15" t="str">
        <f t="shared" si="0"/>
        <v/>
      </c>
      <c r="AF2393" s="15" t="str">
        <f t="shared" si="1"/>
        <v/>
      </c>
      <c r="AG2393" s="15" t="str">
        <f>IF(OR(AF2393="",AF2393="ERRO_CHAVE"),"",IFERROR(MATCH(AF2393,'Quitados DUPP'!$U$1:$U$6635,0),""))</f>
        <v/>
      </c>
      <c r="AH2393" s="15" t="str">
        <f t="shared" si="2"/>
        <v/>
      </c>
      <c r="AI2393" s="17" t="str">
        <f>IF(AG2393="","",INDEX('Quitados DUPP'!$G$1:$G$6635,AG2393))</f>
        <v/>
      </c>
      <c r="AJ2393" s="17" t="str">
        <f t="shared" si="3"/>
        <v/>
      </c>
    </row>
    <row r="2394" spans="31:36">
      <c r="AE2394" s="15" t="str">
        <f t="shared" si="0"/>
        <v/>
      </c>
      <c r="AF2394" s="15" t="str">
        <f t="shared" si="1"/>
        <v/>
      </c>
      <c r="AG2394" s="15" t="str">
        <f>IF(OR(AF2394="",AF2394="ERRO_CHAVE"),"",IFERROR(MATCH(AF2394,'Quitados DUPP'!$U$1:$U$6635,0),""))</f>
        <v/>
      </c>
      <c r="AH2394" s="15" t="str">
        <f t="shared" si="2"/>
        <v/>
      </c>
      <c r="AI2394" s="17" t="str">
        <f>IF(AG2394="","",INDEX('Quitados DUPP'!$G$1:$G$6635,AG2394))</f>
        <v/>
      </c>
      <c r="AJ2394" s="17" t="str">
        <f t="shared" si="3"/>
        <v/>
      </c>
    </row>
    <row r="2395" spans="31:36">
      <c r="AE2395" s="15" t="str">
        <f t="shared" si="0"/>
        <v/>
      </c>
      <c r="AF2395" s="15" t="str">
        <f t="shared" si="1"/>
        <v/>
      </c>
      <c r="AG2395" s="15" t="str">
        <f>IF(OR(AF2395="",AF2395="ERRO_CHAVE"),"",IFERROR(MATCH(AF2395,'Quitados DUPP'!$U$1:$U$6635,0),""))</f>
        <v/>
      </c>
      <c r="AH2395" s="15" t="str">
        <f t="shared" si="2"/>
        <v/>
      </c>
      <c r="AI2395" s="17" t="str">
        <f>IF(AG2395="","",INDEX('Quitados DUPP'!$G$1:$G$6635,AG2395))</f>
        <v/>
      </c>
      <c r="AJ2395" s="17" t="str">
        <f t="shared" si="3"/>
        <v/>
      </c>
    </row>
    <row r="2396" spans="31:36">
      <c r="AE2396" s="15" t="str">
        <f t="shared" si="0"/>
        <v/>
      </c>
      <c r="AF2396" s="15" t="str">
        <f t="shared" si="1"/>
        <v/>
      </c>
      <c r="AG2396" s="15" t="str">
        <f>IF(OR(AF2396="",AF2396="ERRO_CHAVE"),"",IFERROR(MATCH(AF2396,'Quitados DUPP'!$U$1:$U$6635,0),""))</f>
        <v/>
      </c>
      <c r="AH2396" s="15" t="str">
        <f t="shared" si="2"/>
        <v/>
      </c>
      <c r="AI2396" s="17" t="str">
        <f>IF(AG2396="","",INDEX('Quitados DUPP'!$G$1:$G$6635,AG2396))</f>
        <v/>
      </c>
      <c r="AJ2396" s="17" t="str">
        <f t="shared" si="3"/>
        <v/>
      </c>
    </row>
    <row r="2397" spans="31:36">
      <c r="AE2397" s="15" t="str">
        <f t="shared" si="0"/>
        <v/>
      </c>
      <c r="AF2397" s="15" t="str">
        <f t="shared" si="1"/>
        <v/>
      </c>
      <c r="AG2397" s="15" t="str">
        <f>IF(OR(AF2397="",AF2397="ERRO_CHAVE"),"",IFERROR(MATCH(AF2397,'Quitados DUPP'!$U$1:$U$6635,0),""))</f>
        <v/>
      </c>
      <c r="AH2397" s="15" t="str">
        <f t="shared" si="2"/>
        <v/>
      </c>
      <c r="AI2397" s="17" t="str">
        <f>IF(AG2397="","",INDEX('Quitados DUPP'!$G$1:$G$6635,AG2397))</f>
        <v/>
      </c>
      <c r="AJ2397" s="17" t="str">
        <f t="shared" si="3"/>
        <v/>
      </c>
    </row>
    <row r="2398" spans="31:36">
      <c r="AE2398" s="15" t="str">
        <f t="shared" si="0"/>
        <v/>
      </c>
      <c r="AF2398" s="15" t="str">
        <f t="shared" si="1"/>
        <v/>
      </c>
      <c r="AG2398" s="15" t="str">
        <f>IF(OR(AF2398="",AF2398="ERRO_CHAVE"),"",IFERROR(MATCH(AF2398,'Quitados DUPP'!$U$1:$U$6635,0),""))</f>
        <v/>
      </c>
      <c r="AH2398" s="15" t="str">
        <f t="shared" si="2"/>
        <v/>
      </c>
      <c r="AI2398" s="17" t="str">
        <f>IF(AG2398="","",INDEX('Quitados DUPP'!$G$1:$G$6635,AG2398))</f>
        <v/>
      </c>
      <c r="AJ2398" s="17" t="str">
        <f t="shared" si="3"/>
        <v/>
      </c>
    </row>
    <row r="2399" spans="31:36">
      <c r="AE2399" s="15" t="str">
        <f t="shared" si="0"/>
        <v/>
      </c>
      <c r="AF2399" s="15" t="str">
        <f t="shared" si="1"/>
        <v/>
      </c>
      <c r="AG2399" s="15" t="str">
        <f>IF(OR(AF2399="",AF2399="ERRO_CHAVE"),"",IFERROR(MATCH(AF2399,'Quitados DUPP'!$U$1:$U$6635,0),""))</f>
        <v/>
      </c>
      <c r="AH2399" s="15" t="str">
        <f t="shared" si="2"/>
        <v/>
      </c>
      <c r="AI2399" s="17" t="str">
        <f>IF(AG2399="","",INDEX('Quitados DUPP'!$G$1:$G$6635,AG2399))</f>
        <v/>
      </c>
      <c r="AJ2399" s="17" t="str">
        <f t="shared" si="3"/>
        <v/>
      </c>
    </row>
    <row r="2400" spans="31:36">
      <c r="AE2400" s="15" t="str">
        <f t="shared" si="0"/>
        <v/>
      </c>
      <c r="AF2400" s="15" t="str">
        <f t="shared" si="1"/>
        <v/>
      </c>
      <c r="AG2400" s="15" t="str">
        <f>IF(OR(AF2400="",AF2400="ERRO_CHAVE"),"",IFERROR(MATCH(AF2400,'Quitados DUPP'!$U$1:$U$6635,0),""))</f>
        <v/>
      </c>
      <c r="AH2400" s="15" t="str">
        <f t="shared" si="2"/>
        <v/>
      </c>
      <c r="AI2400" s="17" t="str">
        <f>IF(AG2400="","",INDEX('Quitados DUPP'!$G$1:$G$6635,AG2400))</f>
        <v/>
      </c>
      <c r="AJ2400" s="17" t="str">
        <f t="shared" si="3"/>
        <v/>
      </c>
    </row>
    <row r="2401" spans="31:36">
      <c r="AE2401" s="15" t="str">
        <f t="shared" si="0"/>
        <v/>
      </c>
      <c r="AF2401" s="15" t="str">
        <f t="shared" si="1"/>
        <v/>
      </c>
      <c r="AG2401" s="15" t="str">
        <f>IF(OR(AF2401="",AF2401="ERRO_CHAVE"),"",IFERROR(MATCH(AF2401,'Quitados DUPP'!$U$1:$U$6635,0),""))</f>
        <v/>
      </c>
      <c r="AH2401" s="15" t="str">
        <f t="shared" si="2"/>
        <v/>
      </c>
      <c r="AI2401" s="17" t="str">
        <f>IF(AG2401="","",INDEX('Quitados DUPP'!$G$1:$G$6635,AG2401))</f>
        <v/>
      </c>
      <c r="AJ2401" s="17" t="str">
        <f t="shared" si="3"/>
        <v/>
      </c>
    </row>
    <row r="2402" spans="31:36">
      <c r="AE2402" s="15" t="str">
        <f t="shared" si="0"/>
        <v/>
      </c>
      <c r="AF2402" s="15" t="str">
        <f t="shared" si="1"/>
        <v/>
      </c>
      <c r="AG2402" s="15" t="str">
        <f>IF(OR(AF2402="",AF2402="ERRO_CHAVE"),"",IFERROR(MATCH(AF2402,'Quitados DUPP'!$U$1:$U$6635,0),""))</f>
        <v/>
      </c>
      <c r="AH2402" s="15" t="str">
        <f t="shared" si="2"/>
        <v/>
      </c>
      <c r="AI2402" s="17" t="str">
        <f>IF(AG2402="","",INDEX('Quitados DUPP'!$G$1:$G$6635,AG2402))</f>
        <v/>
      </c>
      <c r="AJ2402" s="17" t="str">
        <f t="shared" si="3"/>
        <v/>
      </c>
    </row>
    <row r="2403" spans="31:36">
      <c r="AE2403" s="15" t="str">
        <f t="shared" si="0"/>
        <v/>
      </c>
      <c r="AF2403" s="15" t="str">
        <f t="shared" si="1"/>
        <v/>
      </c>
      <c r="AG2403" s="15" t="str">
        <f>IF(OR(AF2403="",AF2403="ERRO_CHAVE"),"",IFERROR(MATCH(AF2403,'Quitados DUPP'!$U$1:$U$6635,0),""))</f>
        <v/>
      </c>
      <c r="AH2403" s="15" t="str">
        <f t="shared" si="2"/>
        <v/>
      </c>
      <c r="AI2403" s="17" t="str">
        <f>IF(AG2403="","",INDEX('Quitados DUPP'!$G$1:$G$6635,AG2403))</f>
        <v/>
      </c>
      <c r="AJ2403" s="17" t="str">
        <f t="shared" si="3"/>
        <v/>
      </c>
    </row>
    <row r="2404" spans="31:36">
      <c r="AE2404" s="15" t="str">
        <f t="shared" si="0"/>
        <v/>
      </c>
      <c r="AF2404" s="15" t="str">
        <f t="shared" si="1"/>
        <v/>
      </c>
      <c r="AG2404" s="15" t="str">
        <f>IF(OR(AF2404="",AF2404="ERRO_CHAVE"),"",IFERROR(MATCH(AF2404,'Quitados DUPP'!$U$1:$U$6635,0),""))</f>
        <v/>
      </c>
      <c r="AH2404" s="15" t="str">
        <f t="shared" si="2"/>
        <v/>
      </c>
      <c r="AI2404" s="17" t="str">
        <f>IF(AG2404="","",INDEX('Quitados DUPP'!$G$1:$G$6635,AG2404))</f>
        <v/>
      </c>
      <c r="AJ2404" s="17" t="str">
        <f t="shared" si="3"/>
        <v/>
      </c>
    </row>
    <row r="2405" spans="31:36">
      <c r="AE2405" s="15" t="str">
        <f t="shared" si="0"/>
        <v/>
      </c>
      <c r="AF2405" s="15" t="str">
        <f t="shared" si="1"/>
        <v/>
      </c>
      <c r="AG2405" s="15" t="str">
        <f>IF(OR(AF2405="",AF2405="ERRO_CHAVE"),"",IFERROR(MATCH(AF2405,'Quitados DUPP'!$U$1:$U$6635,0),""))</f>
        <v/>
      </c>
      <c r="AH2405" s="15" t="str">
        <f t="shared" si="2"/>
        <v/>
      </c>
      <c r="AI2405" s="17" t="str">
        <f>IF(AG2405="","",INDEX('Quitados DUPP'!$G$1:$G$6635,AG2405))</f>
        <v/>
      </c>
      <c r="AJ2405" s="17" t="str">
        <f t="shared" si="3"/>
        <v/>
      </c>
    </row>
    <row r="2406" spans="31:36">
      <c r="AE2406" s="15" t="str">
        <f t="shared" si="0"/>
        <v/>
      </c>
      <c r="AF2406" s="15" t="str">
        <f t="shared" si="1"/>
        <v/>
      </c>
      <c r="AG2406" s="15" t="str">
        <f>IF(OR(AF2406="",AF2406="ERRO_CHAVE"),"",IFERROR(MATCH(AF2406,'Quitados DUPP'!$U$1:$U$6635,0),""))</f>
        <v/>
      </c>
      <c r="AH2406" s="15" t="str">
        <f t="shared" si="2"/>
        <v/>
      </c>
      <c r="AI2406" s="17" t="str">
        <f>IF(AG2406="","",INDEX('Quitados DUPP'!$G$1:$G$6635,AG2406))</f>
        <v/>
      </c>
      <c r="AJ2406" s="17" t="str">
        <f t="shared" si="3"/>
        <v/>
      </c>
    </row>
    <row r="2407" spans="31:36">
      <c r="AE2407" s="15" t="str">
        <f t="shared" si="0"/>
        <v/>
      </c>
      <c r="AF2407" s="15" t="str">
        <f t="shared" si="1"/>
        <v/>
      </c>
      <c r="AG2407" s="15" t="str">
        <f>IF(OR(AF2407="",AF2407="ERRO_CHAVE"),"",IFERROR(MATCH(AF2407,'Quitados DUPP'!$U$1:$U$6635,0),""))</f>
        <v/>
      </c>
      <c r="AH2407" s="15" t="str">
        <f t="shared" si="2"/>
        <v/>
      </c>
      <c r="AI2407" s="17" t="str">
        <f>IF(AG2407="","",INDEX('Quitados DUPP'!$G$1:$G$6635,AG2407))</f>
        <v/>
      </c>
      <c r="AJ2407" s="17" t="str">
        <f t="shared" si="3"/>
        <v/>
      </c>
    </row>
    <row r="2408" spans="31:36">
      <c r="AE2408" s="15" t="str">
        <f t="shared" si="0"/>
        <v/>
      </c>
      <c r="AF2408" s="15" t="str">
        <f t="shared" si="1"/>
        <v/>
      </c>
      <c r="AG2408" s="15" t="str">
        <f>IF(OR(AF2408="",AF2408="ERRO_CHAVE"),"",IFERROR(MATCH(AF2408,'Quitados DUPP'!$U$1:$U$6635,0),""))</f>
        <v/>
      </c>
      <c r="AH2408" s="15" t="str">
        <f t="shared" si="2"/>
        <v/>
      </c>
      <c r="AI2408" s="17" t="str">
        <f>IF(AG2408="","",INDEX('Quitados DUPP'!$G$1:$G$6635,AG2408))</f>
        <v/>
      </c>
      <c r="AJ2408" s="17" t="str">
        <f t="shared" si="3"/>
        <v/>
      </c>
    </row>
    <row r="2409" spans="31:36">
      <c r="AE2409" s="15" t="str">
        <f t="shared" si="0"/>
        <v/>
      </c>
      <c r="AF2409" s="15" t="str">
        <f t="shared" si="1"/>
        <v/>
      </c>
      <c r="AG2409" s="15" t="str">
        <f>IF(OR(AF2409="",AF2409="ERRO_CHAVE"),"",IFERROR(MATCH(AF2409,'Quitados DUPP'!$U$1:$U$6635,0),""))</f>
        <v/>
      </c>
      <c r="AH2409" s="15" t="str">
        <f t="shared" si="2"/>
        <v/>
      </c>
      <c r="AI2409" s="17" t="str">
        <f>IF(AG2409="","",INDEX('Quitados DUPP'!$G$1:$G$6635,AG2409))</f>
        <v/>
      </c>
      <c r="AJ2409" s="17" t="str">
        <f t="shared" si="3"/>
        <v/>
      </c>
    </row>
    <row r="2410" spans="31:36">
      <c r="AE2410" s="15" t="str">
        <f t="shared" si="0"/>
        <v/>
      </c>
      <c r="AF2410" s="15" t="str">
        <f t="shared" si="1"/>
        <v/>
      </c>
      <c r="AG2410" s="15" t="str">
        <f>IF(OR(AF2410="",AF2410="ERRO_CHAVE"),"",IFERROR(MATCH(AF2410,'Quitados DUPP'!$U$1:$U$6635,0),""))</f>
        <v/>
      </c>
      <c r="AH2410" s="15" t="str">
        <f t="shared" si="2"/>
        <v/>
      </c>
      <c r="AI2410" s="17" t="str">
        <f>IF(AG2410="","",INDEX('Quitados DUPP'!$G$1:$G$6635,AG2410))</f>
        <v/>
      </c>
      <c r="AJ2410" s="17" t="str">
        <f t="shared" si="3"/>
        <v/>
      </c>
    </row>
    <row r="2411" spans="31:36">
      <c r="AE2411" s="15" t="str">
        <f t="shared" si="0"/>
        <v/>
      </c>
      <c r="AF2411" s="15" t="str">
        <f t="shared" si="1"/>
        <v/>
      </c>
      <c r="AG2411" s="15" t="str">
        <f>IF(OR(AF2411="",AF2411="ERRO_CHAVE"),"",IFERROR(MATCH(AF2411,'Quitados DUPP'!$U$1:$U$6635,0),""))</f>
        <v/>
      </c>
      <c r="AH2411" s="15" t="str">
        <f t="shared" si="2"/>
        <v/>
      </c>
      <c r="AI2411" s="17" t="str">
        <f>IF(AG2411="","",INDEX('Quitados DUPP'!$G$1:$G$6635,AG2411))</f>
        <v/>
      </c>
      <c r="AJ2411" s="17" t="str">
        <f t="shared" si="3"/>
        <v/>
      </c>
    </row>
    <row r="2412" spans="31:36">
      <c r="AE2412" s="15" t="str">
        <f t="shared" si="0"/>
        <v/>
      </c>
      <c r="AF2412" s="15" t="str">
        <f t="shared" si="1"/>
        <v/>
      </c>
      <c r="AG2412" s="15" t="str">
        <f>IF(OR(AF2412="",AF2412="ERRO_CHAVE"),"",IFERROR(MATCH(AF2412,'Quitados DUPP'!$U$1:$U$6635,0),""))</f>
        <v/>
      </c>
      <c r="AH2412" s="15" t="str">
        <f t="shared" si="2"/>
        <v/>
      </c>
      <c r="AI2412" s="17" t="str">
        <f>IF(AG2412="","",INDEX('Quitados DUPP'!$G$1:$G$6635,AG2412))</f>
        <v/>
      </c>
      <c r="AJ2412" s="17" t="str">
        <f t="shared" si="3"/>
        <v/>
      </c>
    </row>
    <row r="2413" spans="31:36">
      <c r="AE2413" s="15" t="str">
        <f t="shared" si="0"/>
        <v/>
      </c>
      <c r="AF2413" s="15" t="str">
        <f t="shared" si="1"/>
        <v/>
      </c>
      <c r="AG2413" s="15" t="str">
        <f>IF(OR(AF2413="",AF2413="ERRO_CHAVE"),"",IFERROR(MATCH(AF2413,'Quitados DUPP'!$U$1:$U$6635,0),""))</f>
        <v/>
      </c>
      <c r="AH2413" s="15" t="str">
        <f t="shared" si="2"/>
        <v/>
      </c>
      <c r="AI2413" s="17" t="str">
        <f>IF(AG2413="","",INDEX('Quitados DUPP'!$G$1:$G$6635,AG2413))</f>
        <v/>
      </c>
      <c r="AJ2413" s="17" t="str">
        <f t="shared" si="3"/>
        <v/>
      </c>
    </row>
    <row r="2414" spans="31:36">
      <c r="AE2414" s="15" t="str">
        <f t="shared" si="0"/>
        <v/>
      </c>
      <c r="AF2414" s="15" t="str">
        <f t="shared" si="1"/>
        <v/>
      </c>
      <c r="AG2414" s="15" t="str">
        <f>IF(OR(AF2414="",AF2414="ERRO_CHAVE"),"",IFERROR(MATCH(AF2414,'Quitados DUPP'!$U$1:$U$6635,0),""))</f>
        <v/>
      </c>
      <c r="AH2414" s="15" t="str">
        <f t="shared" si="2"/>
        <v/>
      </c>
      <c r="AI2414" s="17" t="str">
        <f>IF(AG2414="","",INDEX('Quitados DUPP'!$G$1:$G$6635,AG2414))</f>
        <v/>
      </c>
      <c r="AJ2414" s="17" t="str">
        <f t="shared" si="3"/>
        <v/>
      </c>
    </row>
    <row r="2415" spans="31:36">
      <c r="AE2415" s="15" t="str">
        <f t="shared" si="0"/>
        <v/>
      </c>
      <c r="AF2415" s="15" t="str">
        <f t="shared" si="1"/>
        <v/>
      </c>
      <c r="AG2415" s="15" t="str">
        <f>IF(OR(AF2415="",AF2415="ERRO_CHAVE"),"",IFERROR(MATCH(AF2415,'Quitados DUPP'!$U$1:$U$6635,0),""))</f>
        <v/>
      </c>
      <c r="AH2415" s="15" t="str">
        <f t="shared" si="2"/>
        <v/>
      </c>
      <c r="AI2415" s="17" t="str">
        <f>IF(AG2415="","",INDEX('Quitados DUPP'!$G$1:$G$6635,AG2415))</f>
        <v/>
      </c>
      <c r="AJ2415" s="17" t="str">
        <f t="shared" si="3"/>
        <v/>
      </c>
    </row>
    <row r="2416" spans="31:36">
      <c r="AE2416" s="15" t="str">
        <f t="shared" si="0"/>
        <v/>
      </c>
      <c r="AF2416" s="15" t="str">
        <f t="shared" si="1"/>
        <v/>
      </c>
      <c r="AG2416" s="15" t="str">
        <f>IF(OR(AF2416="",AF2416="ERRO_CHAVE"),"",IFERROR(MATCH(AF2416,'Quitados DUPP'!$U$1:$U$6635,0),""))</f>
        <v/>
      </c>
      <c r="AH2416" s="15" t="str">
        <f t="shared" si="2"/>
        <v/>
      </c>
      <c r="AI2416" s="17" t="str">
        <f>IF(AG2416="","",INDEX('Quitados DUPP'!$G$1:$G$6635,AG2416))</f>
        <v/>
      </c>
      <c r="AJ2416" s="17" t="str">
        <f t="shared" si="3"/>
        <v/>
      </c>
    </row>
    <row r="2417" spans="31:36">
      <c r="AE2417" s="15" t="str">
        <f t="shared" si="0"/>
        <v/>
      </c>
      <c r="AF2417" s="15" t="str">
        <f t="shared" si="1"/>
        <v/>
      </c>
      <c r="AG2417" s="15" t="str">
        <f>IF(OR(AF2417="",AF2417="ERRO_CHAVE"),"",IFERROR(MATCH(AF2417,'Quitados DUPP'!$U$1:$U$6635,0),""))</f>
        <v/>
      </c>
      <c r="AH2417" s="15" t="str">
        <f t="shared" si="2"/>
        <v/>
      </c>
      <c r="AI2417" s="17" t="str">
        <f>IF(AG2417="","",INDEX('Quitados DUPP'!$G$1:$G$6635,AG2417))</f>
        <v/>
      </c>
      <c r="AJ2417" s="17" t="str">
        <f t="shared" si="3"/>
        <v/>
      </c>
    </row>
    <row r="2418" spans="31:36">
      <c r="AE2418" s="15" t="str">
        <f t="shared" si="0"/>
        <v/>
      </c>
      <c r="AF2418" s="15" t="str">
        <f t="shared" si="1"/>
        <v/>
      </c>
      <c r="AG2418" s="15" t="str">
        <f>IF(OR(AF2418="",AF2418="ERRO_CHAVE"),"",IFERROR(MATCH(AF2418,'Quitados DUPP'!$U$1:$U$6635,0),""))</f>
        <v/>
      </c>
      <c r="AH2418" s="15" t="str">
        <f t="shared" si="2"/>
        <v/>
      </c>
      <c r="AI2418" s="17" t="str">
        <f>IF(AG2418="","",INDEX('Quitados DUPP'!$G$1:$G$6635,AG2418))</f>
        <v/>
      </c>
      <c r="AJ2418" s="17" t="str">
        <f t="shared" si="3"/>
        <v/>
      </c>
    </row>
    <row r="2419" spans="31:36">
      <c r="AE2419" s="15" t="str">
        <f t="shared" si="0"/>
        <v/>
      </c>
      <c r="AF2419" s="15" t="str">
        <f t="shared" si="1"/>
        <v/>
      </c>
      <c r="AG2419" s="15" t="str">
        <f>IF(OR(AF2419="",AF2419="ERRO_CHAVE"),"",IFERROR(MATCH(AF2419,'Quitados DUPP'!$U$1:$U$6635,0),""))</f>
        <v/>
      </c>
      <c r="AH2419" s="15" t="str">
        <f t="shared" si="2"/>
        <v/>
      </c>
      <c r="AI2419" s="17" t="str">
        <f>IF(AG2419="","",INDEX('Quitados DUPP'!$G$1:$G$6635,AG2419))</f>
        <v/>
      </c>
      <c r="AJ2419" s="17" t="str">
        <f t="shared" si="3"/>
        <v/>
      </c>
    </row>
    <row r="2420" spans="31:36">
      <c r="AE2420" s="15" t="str">
        <f t="shared" si="0"/>
        <v/>
      </c>
      <c r="AF2420" s="15" t="str">
        <f t="shared" si="1"/>
        <v/>
      </c>
      <c r="AG2420" s="15" t="str">
        <f>IF(OR(AF2420="",AF2420="ERRO_CHAVE"),"",IFERROR(MATCH(AF2420,'Quitados DUPP'!$U$1:$U$6635,0),""))</f>
        <v/>
      </c>
      <c r="AH2420" s="15" t="str">
        <f t="shared" si="2"/>
        <v/>
      </c>
      <c r="AI2420" s="17" t="str">
        <f>IF(AG2420="","",INDEX('Quitados DUPP'!$G$1:$G$6635,AG2420))</f>
        <v/>
      </c>
      <c r="AJ2420" s="17" t="str">
        <f t="shared" si="3"/>
        <v/>
      </c>
    </row>
    <row r="2421" spans="31:36">
      <c r="AE2421" s="15" t="str">
        <f t="shared" si="0"/>
        <v/>
      </c>
      <c r="AF2421" s="15" t="str">
        <f t="shared" si="1"/>
        <v/>
      </c>
      <c r="AG2421" s="15" t="str">
        <f>IF(OR(AF2421="",AF2421="ERRO_CHAVE"),"",IFERROR(MATCH(AF2421,'Quitados DUPP'!$U$1:$U$6635,0),""))</f>
        <v/>
      </c>
      <c r="AH2421" s="15" t="str">
        <f t="shared" si="2"/>
        <v/>
      </c>
      <c r="AI2421" s="17" t="str">
        <f>IF(AG2421="","",INDEX('Quitados DUPP'!$G$1:$G$6635,AG2421))</f>
        <v/>
      </c>
      <c r="AJ2421" s="17" t="str">
        <f t="shared" si="3"/>
        <v/>
      </c>
    </row>
    <row r="2422" spans="31:36">
      <c r="AE2422" s="15" t="str">
        <f t="shared" si="0"/>
        <v/>
      </c>
      <c r="AF2422" s="15" t="str">
        <f t="shared" si="1"/>
        <v/>
      </c>
      <c r="AG2422" s="15" t="str">
        <f>IF(OR(AF2422="",AF2422="ERRO_CHAVE"),"",IFERROR(MATCH(AF2422,'Quitados DUPP'!$U$1:$U$6635,0),""))</f>
        <v/>
      </c>
      <c r="AH2422" s="15" t="str">
        <f t="shared" si="2"/>
        <v/>
      </c>
      <c r="AI2422" s="17" t="str">
        <f>IF(AG2422="","",INDEX('Quitados DUPP'!$G$1:$G$6635,AG2422))</f>
        <v/>
      </c>
      <c r="AJ2422" s="17" t="str">
        <f t="shared" si="3"/>
        <v/>
      </c>
    </row>
    <row r="2423" spans="31:36">
      <c r="AE2423" s="15" t="str">
        <f t="shared" si="0"/>
        <v/>
      </c>
      <c r="AF2423" s="15" t="str">
        <f t="shared" si="1"/>
        <v/>
      </c>
      <c r="AG2423" s="15" t="str">
        <f>IF(OR(AF2423="",AF2423="ERRO_CHAVE"),"",IFERROR(MATCH(AF2423,'Quitados DUPP'!$U$1:$U$6635,0),""))</f>
        <v/>
      </c>
      <c r="AH2423" s="15" t="str">
        <f t="shared" si="2"/>
        <v/>
      </c>
      <c r="AI2423" s="17" t="str">
        <f>IF(AG2423="","",INDEX('Quitados DUPP'!$G$1:$G$6635,AG2423))</f>
        <v/>
      </c>
      <c r="AJ2423" s="17" t="str">
        <f t="shared" si="3"/>
        <v/>
      </c>
    </row>
    <row r="2424" spans="31:36">
      <c r="AE2424" s="15" t="str">
        <f t="shared" si="0"/>
        <v/>
      </c>
      <c r="AF2424" s="15" t="str">
        <f t="shared" si="1"/>
        <v/>
      </c>
      <c r="AG2424" s="15" t="str">
        <f>IF(OR(AF2424="",AF2424="ERRO_CHAVE"),"",IFERROR(MATCH(AF2424,'Quitados DUPP'!$U$1:$U$6635,0),""))</f>
        <v/>
      </c>
      <c r="AH2424" s="15" t="str">
        <f t="shared" si="2"/>
        <v/>
      </c>
      <c r="AI2424" s="17" t="str">
        <f>IF(AG2424="","",INDEX('Quitados DUPP'!$G$1:$G$6635,AG2424))</f>
        <v/>
      </c>
      <c r="AJ2424" s="17" t="str">
        <f t="shared" si="3"/>
        <v/>
      </c>
    </row>
    <row r="2425" spans="31:36">
      <c r="AE2425" s="15" t="str">
        <f t="shared" si="0"/>
        <v/>
      </c>
      <c r="AF2425" s="15" t="str">
        <f t="shared" si="1"/>
        <v/>
      </c>
      <c r="AG2425" s="15" t="str">
        <f>IF(OR(AF2425="",AF2425="ERRO_CHAVE"),"",IFERROR(MATCH(AF2425,'Quitados DUPP'!$U$1:$U$6635,0),""))</f>
        <v/>
      </c>
      <c r="AH2425" s="15" t="str">
        <f t="shared" si="2"/>
        <v/>
      </c>
      <c r="AI2425" s="17" t="str">
        <f>IF(AG2425="","",INDEX('Quitados DUPP'!$G$1:$G$6635,AG2425))</f>
        <v/>
      </c>
      <c r="AJ2425" s="17" t="str">
        <f t="shared" si="3"/>
        <v/>
      </c>
    </row>
    <row r="2426" spans="31:36">
      <c r="AE2426" s="15" t="str">
        <f t="shared" si="0"/>
        <v/>
      </c>
      <c r="AF2426" s="15" t="str">
        <f t="shared" si="1"/>
        <v/>
      </c>
      <c r="AG2426" s="15" t="str">
        <f>IF(OR(AF2426="",AF2426="ERRO_CHAVE"),"",IFERROR(MATCH(AF2426,'Quitados DUPP'!$U$1:$U$6635,0),""))</f>
        <v/>
      </c>
      <c r="AH2426" s="15" t="str">
        <f t="shared" si="2"/>
        <v/>
      </c>
      <c r="AI2426" s="17" t="str">
        <f>IF(AG2426="","",INDEX('Quitados DUPP'!$G$1:$G$6635,AG2426))</f>
        <v/>
      </c>
      <c r="AJ2426" s="17" t="str">
        <f t="shared" si="3"/>
        <v/>
      </c>
    </row>
    <row r="2427" spans="31:36">
      <c r="AE2427" s="15" t="str">
        <f t="shared" si="0"/>
        <v/>
      </c>
      <c r="AF2427" s="15" t="str">
        <f t="shared" si="1"/>
        <v/>
      </c>
      <c r="AG2427" s="15" t="str">
        <f>IF(OR(AF2427="",AF2427="ERRO_CHAVE"),"",IFERROR(MATCH(AF2427,'Quitados DUPP'!$U$1:$U$6635,0),""))</f>
        <v/>
      </c>
      <c r="AH2427" s="15" t="str">
        <f t="shared" si="2"/>
        <v/>
      </c>
      <c r="AI2427" s="17" t="str">
        <f>IF(AG2427="","",INDEX('Quitados DUPP'!$G$1:$G$6635,AG2427))</f>
        <v/>
      </c>
      <c r="AJ2427" s="17" t="str">
        <f t="shared" si="3"/>
        <v/>
      </c>
    </row>
    <row r="2428" spans="31:36">
      <c r="AE2428" s="15" t="str">
        <f t="shared" si="0"/>
        <v/>
      </c>
      <c r="AF2428" s="15" t="str">
        <f t="shared" si="1"/>
        <v/>
      </c>
      <c r="AG2428" s="15" t="str">
        <f>IF(OR(AF2428="",AF2428="ERRO_CHAVE"),"",IFERROR(MATCH(AF2428,'Quitados DUPP'!$U$1:$U$6635,0),""))</f>
        <v/>
      </c>
      <c r="AH2428" s="15" t="str">
        <f t="shared" si="2"/>
        <v/>
      </c>
      <c r="AI2428" s="17" t="str">
        <f>IF(AG2428="","",INDEX('Quitados DUPP'!$G$1:$G$6635,AG2428))</f>
        <v/>
      </c>
      <c r="AJ2428" s="17" t="str">
        <f t="shared" si="3"/>
        <v/>
      </c>
    </row>
    <row r="2429" spans="31:36">
      <c r="AE2429" s="15" t="str">
        <f t="shared" si="0"/>
        <v/>
      </c>
      <c r="AF2429" s="15" t="str">
        <f t="shared" si="1"/>
        <v/>
      </c>
      <c r="AG2429" s="15" t="str">
        <f>IF(OR(AF2429="",AF2429="ERRO_CHAVE"),"",IFERROR(MATCH(AF2429,'Quitados DUPP'!$U$1:$U$6635,0),""))</f>
        <v/>
      </c>
      <c r="AH2429" s="15" t="str">
        <f t="shared" si="2"/>
        <v/>
      </c>
      <c r="AI2429" s="17" t="str">
        <f>IF(AG2429="","",INDEX('Quitados DUPP'!$G$1:$G$6635,AG2429))</f>
        <v/>
      </c>
      <c r="AJ2429" s="17" t="str">
        <f t="shared" si="3"/>
        <v/>
      </c>
    </row>
    <row r="2430" spans="31:36">
      <c r="AE2430" s="15" t="str">
        <f t="shared" si="0"/>
        <v/>
      </c>
      <c r="AF2430" s="15" t="str">
        <f t="shared" si="1"/>
        <v/>
      </c>
      <c r="AG2430" s="15" t="str">
        <f>IF(OR(AF2430="",AF2430="ERRO_CHAVE"),"",IFERROR(MATCH(AF2430,'Quitados DUPP'!$U$1:$U$6635,0),""))</f>
        <v/>
      </c>
      <c r="AH2430" s="15" t="str">
        <f t="shared" si="2"/>
        <v/>
      </c>
      <c r="AI2430" s="17" t="str">
        <f>IF(AG2430="","",INDEX('Quitados DUPP'!$G$1:$G$6635,AG2430))</f>
        <v/>
      </c>
      <c r="AJ2430" s="17" t="str">
        <f t="shared" si="3"/>
        <v/>
      </c>
    </row>
    <row r="2431" spans="31:36">
      <c r="AE2431" s="15" t="str">
        <f t="shared" si="0"/>
        <v/>
      </c>
      <c r="AF2431" s="15" t="str">
        <f t="shared" si="1"/>
        <v/>
      </c>
      <c r="AG2431" s="15" t="str">
        <f>IF(OR(AF2431="",AF2431="ERRO_CHAVE"),"",IFERROR(MATCH(AF2431,'Quitados DUPP'!$U$1:$U$6635,0),""))</f>
        <v/>
      </c>
      <c r="AH2431" s="15" t="str">
        <f t="shared" si="2"/>
        <v/>
      </c>
      <c r="AI2431" s="17" t="str">
        <f>IF(AG2431="","",INDEX('Quitados DUPP'!$G$1:$G$6635,AG2431))</f>
        <v/>
      </c>
      <c r="AJ2431" s="17" t="str">
        <f t="shared" si="3"/>
        <v/>
      </c>
    </row>
    <row r="2432" spans="31:36">
      <c r="AE2432" s="15" t="str">
        <f t="shared" si="0"/>
        <v/>
      </c>
      <c r="AF2432" s="15" t="str">
        <f t="shared" si="1"/>
        <v/>
      </c>
      <c r="AG2432" s="15" t="str">
        <f>IF(OR(AF2432="",AF2432="ERRO_CHAVE"),"",IFERROR(MATCH(AF2432,'Quitados DUPP'!$U$1:$U$6635,0),""))</f>
        <v/>
      </c>
      <c r="AH2432" s="15" t="str">
        <f t="shared" si="2"/>
        <v/>
      </c>
      <c r="AI2432" s="17" t="str">
        <f>IF(AG2432="","",INDEX('Quitados DUPP'!$G$1:$G$6635,AG2432))</f>
        <v/>
      </c>
      <c r="AJ2432" s="17" t="str">
        <f t="shared" si="3"/>
        <v/>
      </c>
    </row>
    <row r="2433" spans="31:36">
      <c r="AE2433" s="15" t="str">
        <f t="shared" si="0"/>
        <v/>
      </c>
      <c r="AF2433" s="15" t="str">
        <f t="shared" si="1"/>
        <v/>
      </c>
      <c r="AG2433" s="15" t="str">
        <f>IF(OR(AF2433="",AF2433="ERRO_CHAVE"),"",IFERROR(MATCH(AF2433,'Quitados DUPP'!$U$1:$U$6635,0),""))</f>
        <v/>
      </c>
      <c r="AH2433" s="15" t="str">
        <f t="shared" si="2"/>
        <v/>
      </c>
      <c r="AI2433" s="17" t="str">
        <f>IF(AG2433="","",INDEX('Quitados DUPP'!$G$1:$G$6635,AG2433))</f>
        <v/>
      </c>
      <c r="AJ2433" s="17" t="str">
        <f t="shared" si="3"/>
        <v/>
      </c>
    </row>
    <row r="2434" spans="31:36">
      <c r="AE2434" s="15" t="str">
        <f t="shared" si="0"/>
        <v/>
      </c>
      <c r="AF2434" s="15" t="str">
        <f t="shared" si="1"/>
        <v/>
      </c>
      <c r="AG2434" s="15" t="str">
        <f>IF(OR(AF2434="",AF2434="ERRO_CHAVE"),"",IFERROR(MATCH(AF2434,'Quitados DUPP'!$U$1:$U$6635,0),""))</f>
        <v/>
      </c>
      <c r="AH2434" s="15" t="str">
        <f t="shared" si="2"/>
        <v/>
      </c>
      <c r="AI2434" s="17" t="str">
        <f>IF(AG2434="","",INDEX('Quitados DUPP'!$G$1:$G$6635,AG2434))</f>
        <v/>
      </c>
      <c r="AJ2434" s="17" t="str">
        <f t="shared" si="3"/>
        <v/>
      </c>
    </row>
    <row r="2435" spans="31:36">
      <c r="AE2435" s="15" t="str">
        <f t="shared" si="0"/>
        <v/>
      </c>
      <c r="AF2435" s="15" t="str">
        <f t="shared" si="1"/>
        <v/>
      </c>
      <c r="AG2435" s="15" t="str">
        <f>IF(OR(AF2435="",AF2435="ERRO_CHAVE"),"",IFERROR(MATCH(AF2435,'Quitados DUPP'!$U$1:$U$6635,0),""))</f>
        <v/>
      </c>
      <c r="AH2435" s="15" t="str">
        <f t="shared" si="2"/>
        <v/>
      </c>
      <c r="AI2435" s="17" t="str">
        <f>IF(AG2435="","",INDEX('Quitados DUPP'!$G$1:$G$6635,AG2435))</f>
        <v/>
      </c>
      <c r="AJ2435" s="17" t="str">
        <f t="shared" si="3"/>
        <v/>
      </c>
    </row>
    <row r="2436" spans="31:36">
      <c r="AE2436" s="15" t="str">
        <f t="shared" si="0"/>
        <v/>
      </c>
      <c r="AF2436" s="15" t="str">
        <f t="shared" si="1"/>
        <v/>
      </c>
      <c r="AG2436" s="15" t="str">
        <f>IF(OR(AF2436="",AF2436="ERRO_CHAVE"),"",IFERROR(MATCH(AF2436,'Quitados DUPP'!$U$1:$U$6635,0),""))</f>
        <v/>
      </c>
      <c r="AH2436" s="15" t="str">
        <f t="shared" si="2"/>
        <v/>
      </c>
      <c r="AI2436" s="17" t="str">
        <f>IF(AG2436="","",INDEX('Quitados DUPP'!$G$1:$G$6635,AG2436))</f>
        <v/>
      </c>
      <c r="AJ2436" s="17" t="str">
        <f t="shared" si="3"/>
        <v/>
      </c>
    </row>
    <row r="2437" spans="31:36">
      <c r="AE2437" s="15" t="str">
        <f t="shared" si="0"/>
        <v/>
      </c>
      <c r="AF2437" s="15" t="str">
        <f t="shared" si="1"/>
        <v/>
      </c>
      <c r="AG2437" s="15" t="str">
        <f>IF(OR(AF2437="",AF2437="ERRO_CHAVE"),"",IFERROR(MATCH(AF2437,'Quitados DUPP'!$U$1:$U$6635,0),""))</f>
        <v/>
      </c>
      <c r="AH2437" s="15" t="str">
        <f t="shared" si="2"/>
        <v/>
      </c>
      <c r="AI2437" s="17" t="str">
        <f>IF(AG2437="","",INDEX('Quitados DUPP'!$G$1:$G$6635,AG2437))</f>
        <v/>
      </c>
      <c r="AJ2437" s="17" t="str">
        <f t="shared" si="3"/>
        <v/>
      </c>
    </row>
    <row r="2438" spans="31:36">
      <c r="AE2438" s="15" t="str">
        <f t="shared" si="0"/>
        <v/>
      </c>
      <c r="AF2438" s="15" t="str">
        <f t="shared" si="1"/>
        <v/>
      </c>
      <c r="AG2438" s="15" t="str">
        <f>IF(OR(AF2438="",AF2438="ERRO_CHAVE"),"",IFERROR(MATCH(AF2438,'Quitados DUPP'!$U$1:$U$6635,0),""))</f>
        <v/>
      </c>
      <c r="AH2438" s="15" t="str">
        <f t="shared" si="2"/>
        <v/>
      </c>
      <c r="AI2438" s="17" t="str">
        <f>IF(AG2438="","",INDEX('Quitados DUPP'!$G$1:$G$6635,AG2438))</f>
        <v/>
      </c>
      <c r="AJ2438" s="17" t="str">
        <f t="shared" si="3"/>
        <v/>
      </c>
    </row>
    <row r="2439" spans="31:36">
      <c r="AE2439" s="15" t="str">
        <f t="shared" si="0"/>
        <v/>
      </c>
      <c r="AF2439" s="15" t="str">
        <f t="shared" si="1"/>
        <v/>
      </c>
      <c r="AG2439" s="15" t="str">
        <f>IF(OR(AF2439="",AF2439="ERRO_CHAVE"),"",IFERROR(MATCH(AF2439,'Quitados DUPP'!$U$1:$U$6635,0),""))</f>
        <v/>
      </c>
      <c r="AH2439" s="15" t="str">
        <f t="shared" si="2"/>
        <v/>
      </c>
      <c r="AI2439" s="17" t="str">
        <f>IF(AG2439="","",INDEX('Quitados DUPP'!$G$1:$G$6635,AG2439))</f>
        <v/>
      </c>
      <c r="AJ2439" s="17" t="str">
        <f t="shared" si="3"/>
        <v/>
      </c>
    </row>
    <row r="2440" spans="31:36">
      <c r="AE2440" s="15" t="str">
        <f t="shared" si="0"/>
        <v/>
      </c>
      <c r="AF2440" s="15" t="str">
        <f t="shared" si="1"/>
        <v/>
      </c>
      <c r="AG2440" s="15" t="str">
        <f>IF(OR(AF2440="",AF2440="ERRO_CHAVE"),"",IFERROR(MATCH(AF2440,'Quitados DUPP'!$U$1:$U$6635,0),""))</f>
        <v/>
      </c>
      <c r="AH2440" s="15" t="str">
        <f t="shared" si="2"/>
        <v/>
      </c>
      <c r="AI2440" s="17" t="str">
        <f>IF(AG2440="","",INDEX('Quitados DUPP'!$G$1:$G$6635,AG2440))</f>
        <v/>
      </c>
      <c r="AJ2440" s="17" t="str">
        <f t="shared" si="3"/>
        <v/>
      </c>
    </row>
    <row r="2441" spans="31:36">
      <c r="AE2441" s="15" t="str">
        <f t="shared" si="0"/>
        <v/>
      </c>
      <c r="AF2441" s="15" t="str">
        <f t="shared" si="1"/>
        <v/>
      </c>
      <c r="AG2441" s="15" t="str">
        <f>IF(OR(AF2441="",AF2441="ERRO_CHAVE"),"",IFERROR(MATCH(AF2441,'Quitados DUPP'!$U$1:$U$6635,0),""))</f>
        <v/>
      </c>
      <c r="AH2441" s="15" t="str">
        <f t="shared" si="2"/>
        <v/>
      </c>
      <c r="AI2441" s="17" t="str">
        <f>IF(AG2441="","",INDEX('Quitados DUPP'!$G$1:$G$6635,AG2441))</f>
        <v/>
      </c>
      <c r="AJ2441" s="17" t="str">
        <f t="shared" si="3"/>
        <v/>
      </c>
    </row>
    <row r="2442" spans="31:36">
      <c r="AE2442" s="15" t="str">
        <f t="shared" si="0"/>
        <v/>
      </c>
      <c r="AF2442" s="15" t="str">
        <f t="shared" si="1"/>
        <v/>
      </c>
      <c r="AG2442" s="15" t="str">
        <f>IF(OR(AF2442="",AF2442="ERRO_CHAVE"),"",IFERROR(MATCH(AF2442,'Quitados DUPP'!$U$1:$U$6635,0),""))</f>
        <v/>
      </c>
      <c r="AH2442" s="15" t="str">
        <f t="shared" si="2"/>
        <v/>
      </c>
      <c r="AI2442" s="17" t="str">
        <f>IF(AG2442="","",INDEX('Quitados DUPP'!$G$1:$G$6635,AG2442))</f>
        <v/>
      </c>
      <c r="AJ2442" s="17" t="str">
        <f t="shared" si="3"/>
        <v/>
      </c>
    </row>
    <row r="2443" spans="31:36">
      <c r="AE2443" s="15" t="str">
        <f t="shared" si="0"/>
        <v/>
      </c>
      <c r="AF2443" s="15" t="str">
        <f t="shared" si="1"/>
        <v/>
      </c>
      <c r="AG2443" s="15" t="str">
        <f>IF(OR(AF2443="",AF2443="ERRO_CHAVE"),"",IFERROR(MATCH(AF2443,'Quitados DUPP'!$U$1:$U$6635,0),""))</f>
        <v/>
      </c>
      <c r="AH2443" s="15" t="str">
        <f t="shared" si="2"/>
        <v/>
      </c>
      <c r="AI2443" s="17" t="str">
        <f>IF(AG2443="","",INDEX('Quitados DUPP'!$G$1:$G$6635,AG2443))</f>
        <v/>
      </c>
      <c r="AJ2443" s="17" t="str">
        <f t="shared" si="3"/>
        <v/>
      </c>
    </row>
    <row r="2444" spans="31:36">
      <c r="AE2444" s="15" t="str">
        <f t="shared" si="0"/>
        <v/>
      </c>
      <c r="AF2444" s="15" t="str">
        <f t="shared" si="1"/>
        <v/>
      </c>
      <c r="AG2444" s="15" t="str">
        <f>IF(OR(AF2444="",AF2444="ERRO_CHAVE"),"",IFERROR(MATCH(AF2444,'Quitados DUPP'!$U$1:$U$6635,0),""))</f>
        <v/>
      </c>
      <c r="AH2444" s="15" t="str">
        <f t="shared" si="2"/>
        <v/>
      </c>
      <c r="AI2444" s="17" t="str">
        <f>IF(AG2444="","",INDEX('Quitados DUPP'!$G$1:$G$6635,AG2444))</f>
        <v/>
      </c>
      <c r="AJ2444" s="17" t="str">
        <f t="shared" si="3"/>
        <v/>
      </c>
    </row>
    <row r="2445" spans="31:36">
      <c r="AE2445" s="15" t="str">
        <f t="shared" si="0"/>
        <v/>
      </c>
      <c r="AF2445" s="15" t="str">
        <f t="shared" si="1"/>
        <v/>
      </c>
      <c r="AG2445" s="15" t="str">
        <f>IF(OR(AF2445="",AF2445="ERRO_CHAVE"),"",IFERROR(MATCH(AF2445,'Quitados DUPP'!$U$1:$U$6635,0),""))</f>
        <v/>
      </c>
      <c r="AH2445" s="15" t="str">
        <f t="shared" si="2"/>
        <v/>
      </c>
      <c r="AI2445" s="17" t="str">
        <f>IF(AG2445="","",INDEX('Quitados DUPP'!$G$1:$G$6635,AG2445))</f>
        <v/>
      </c>
      <c r="AJ2445" s="17" t="str">
        <f t="shared" si="3"/>
        <v/>
      </c>
    </row>
    <row r="2446" spans="31:36">
      <c r="AE2446" s="15" t="str">
        <f t="shared" si="0"/>
        <v/>
      </c>
      <c r="AF2446" s="15" t="str">
        <f t="shared" si="1"/>
        <v/>
      </c>
      <c r="AG2446" s="15" t="str">
        <f>IF(OR(AF2446="",AF2446="ERRO_CHAVE"),"",IFERROR(MATCH(AF2446,'Quitados DUPP'!$U$1:$U$6635,0),""))</f>
        <v/>
      </c>
      <c r="AH2446" s="15" t="str">
        <f t="shared" si="2"/>
        <v/>
      </c>
      <c r="AI2446" s="17" t="str">
        <f>IF(AG2446="","",INDEX('Quitados DUPP'!$G$1:$G$6635,AG2446))</f>
        <v/>
      </c>
      <c r="AJ2446" s="17" t="str">
        <f t="shared" si="3"/>
        <v/>
      </c>
    </row>
    <row r="2447" spans="31:36">
      <c r="AE2447" s="15" t="str">
        <f t="shared" si="0"/>
        <v/>
      </c>
      <c r="AF2447" s="15" t="str">
        <f t="shared" si="1"/>
        <v/>
      </c>
      <c r="AG2447" s="15" t="str">
        <f>IF(OR(AF2447="",AF2447="ERRO_CHAVE"),"",IFERROR(MATCH(AF2447,'Quitados DUPP'!$U$1:$U$6635,0),""))</f>
        <v/>
      </c>
      <c r="AH2447" s="15" t="str">
        <f t="shared" si="2"/>
        <v/>
      </c>
      <c r="AI2447" s="17" t="str">
        <f>IF(AG2447="","",INDEX('Quitados DUPP'!$G$1:$G$6635,AG2447))</f>
        <v/>
      </c>
      <c r="AJ2447" s="17" t="str">
        <f t="shared" si="3"/>
        <v/>
      </c>
    </row>
    <row r="2448" spans="31:36">
      <c r="AE2448" s="15" t="str">
        <f t="shared" si="0"/>
        <v/>
      </c>
      <c r="AF2448" s="15" t="str">
        <f t="shared" si="1"/>
        <v/>
      </c>
      <c r="AG2448" s="15" t="str">
        <f>IF(OR(AF2448="",AF2448="ERRO_CHAVE"),"",IFERROR(MATCH(AF2448,'Quitados DUPP'!$U$1:$U$6635,0),""))</f>
        <v/>
      </c>
      <c r="AH2448" s="15" t="str">
        <f t="shared" si="2"/>
        <v/>
      </c>
      <c r="AI2448" s="17" t="str">
        <f>IF(AG2448="","",INDEX('Quitados DUPP'!$G$1:$G$6635,AG2448))</f>
        <v/>
      </c>
      <c r="AJ2448" s="17" t="str">
        <f t="shared" si="3"/>
        <v/>
      </c>
    </row>
    <row r="2449" spans="31:36">
      <c r="AE2449" s="15" t="str">
        <f t="shared" si="0"/>
        <v/>
      </c>
      <c r="AF2449" s="15" t="str">
        <f t="shared" si="1"/>
        <v/>
      </c>
      <c r="AG2449" s="15" t="str">
        <f>IF(OR(AF2449="",AF2449="ERRO_CHAVE"),"",IFERROR(MATCH(AF2449,'Quitados DUPP'!$U$1:$U$6635,0),""))</f>
        <v/>
      </c>
      <c r="AH2449" s="15" t="str">
        <f t="shared" si="2"/>
        <v/>
      </c>
      <c r="AI2449" s="17" t="str">
        <f>IF(AG2449="","",INDEX('Quitados DUPP'!$G$1:$G$6635,AG2449))</f>
        <v/>
      </c>
      <c r="AJ2449" s="17" t="str">
        <f t="shared" si="3"/>
        <v/>
      </c>
    </row>
    <row r="2450" spans="31:36">
      <c r="AE2450" s="15" t="str">
        <f t="shared" si="0"/>
        <v/>
      </c>
      <c r="AF2450" s="15" t="str">
        <f t="shared" si="1"/>
        <v/>
      </c>
      <c r="AG2450" s="15" t="str">
        <f>IF(OR(AF2450="",AF2450="ERRO_CHAVE"),"",IFERROR(MATCH(AF2450,'Quitados DUPP'!$U$1:$U$6635,0),""))</f>
        <v/>
      </c>
      <c r="AH2450" s="15" t="str">
        <f t="shared" si="2"/>
        <v/>
      </c>
      <c r="AI2450" s="17" t="str">
        <f>IF(AG2450="","",INDEX('Quitados DUPP'!$G$1:$G$6635,AG2450))</f>
        <v/>
      </c>
      <c r="AJ2450" s="17" t="str">
        <f t="shared" si="3"/>
        <v/>
      </c>
    </row>
    <row r="2451" spans="31:36">
      <c r="AE2451" s="15" t="str">
        <f t="shared" si="0"/>
        <v/>
      </c>
      <c r="AF2451" s="15" t="str">
        <f t="shared" si="1"/>
        <v/>
      </c>
      <c r="AG2451" s="15" t="str">
        <f>IF(OR(AF2451="",AF2451="ERRO_CHAVE"),"",IFERROR(MATCH(AF2451,'Quitados DUPP'!$U$1:$U$6635,0),""))</f>
        <v/>
      </c>
      <c r="AH2451" s="15" t="str">
        <f t="shared" si="2"/>
        <v/>
      </c>
      <c r="AI2451" s="17" t="str">
        <f>IF(AG2451="","",INDEX('Quitados DUPP'!$G$1:$G$6635,AG2451))</f>
        <v/>
      </c>
      <c r="AJ2451" s="17" t="str">
        <f t="shared" si="3"/>
        <v/>
      </c>
    </row>
    <row r="2452" spans="31:36">
      <c r="AE2452" s="15" t="str">
        <f t="shared" si="0"/>
        <v/>
      </c>
      <c r="AF2452" s="15" t="str">
        <f t="shared" si="1"/>
        <v/>
      </c>
      <c r="AG2452" s="15" t="str">
        <f>IF(OR(AF2452="",AF2452="ERRO_CHAVE"),"",IFERROR(MATCH(AF2452,'Quitados DUPP'!$U$1:$U$6635,0),""))</f>
        <v/>
      </c>
      <c r="AH2452" s="15" t="str">
        <f t="shared" si="2"/>
        <v/>
      </c>
      <c r="AI2452" s="17" t="str">
        <f>IF(AG2452="","",INDEX('Quitados DUPP'!$G$1:$G$6635,AG2452))</f>
        <v/>
      </c>
      <c r="AJ2452" s="17" t="str">
        <f t="shared" si="3"/>
        <v/>
      </c>
    </row>
    <row r="2453" spans="31:36">
      <c r="AE2453" s="15" t="str">
        <f t="shared" si="0"/>
        <v/>
      </c>
      <c r="AF2453" s="15" t="str">
        <f t="shared" si="1"/>
        <v/>
      </c>
      <c r="AG2453" s="15" t="str">
        <f>IF(OR(AF2453="",AF2453="ERRO_CHAVE"),"",IFERROR(MATCH(AF2453,'Quitados DUPP'!$U$1:$U$6635,0),""))</f>
        <v/>
      </c>
      <c r="AH2453" s="15" t="str">
        <f t="shared" si="2"/>
        <v/>
      </c>
      <c r="AI2453" s="17" t="str">
        <f>IF(AG2453="","",INDEX('Quitados DUPP'!$G$1:$G$6635,AG2453))</f>
        <v/>
      </c>
      <c r="AJ2453" s="17" t="str">
        <f t="shared" si="3"/>
        <v/>
      </c>
    </row>
    <row r="2454" spans="31:36">
      <c r="AE2454" s="15" t="str">
        <f t="shared" si="0"/>
        <v/>
      </c>
      <c r="AF2454" s="15" t="str">
        <f t="shared" si="1"/>
        <v/>
      </c>
      <c r="AG2454" s="15" t="str">
        <f>IF(OR(AF2454="",AF2454="ERRO_CHAVE"),"",IFERROR(MATCH(AF2454,'Quitados DUPP'!$U$1:$U$6635,0),""))</f>
        <v/>
      </c>
      <c r="AH2454" s="15" t="str">
        <f t="shared" si="2"/>
        <v/>
      </c>
      <c r="AI2454" s="17" t="str">
        <f>IF(AG2454="","",INDEX('Quitados DUPP'!$G$1:$G$6635,AG2454))</f>
        <v/>
      </c>
      <c r="AJ2454" s="17" t="str">
        <f t="shared" si="3"/>
        <v/>
      </c>
    </row>
    <row r="2455" spans="31:36">
      <c r="AE2455" s="15" t="str">
        <f t="shared" si="0"/>
        <v/>
      </c>
      <c r="AF2455" s="15" t="str">
        <f t="shared" si="1"/>
        <v/>
      </c>
      <c r="AG2455" s="15" t="str">
        <f>IF(OR(AF2455="",AF2455="ERRO_CHAVE"),"",IFERROR(MATCH(AF2455,'Quitados DUPP'!$U$1:$U$6635,0),""))</f>
        <v/>
      </c>
      <c r="AH2455" s="15" t="str">
        <f t="shared" si="2"/>
        <v/>
      </c>
      <c r="AI2455" s="17" t="str">
        <f>IF(AG2455="","",INDEX('Quitados DUPP'!$G$1:$G$6635,AG2455))</f>
        <v/>
      </c>
      <c r="AJ2455" s="17" t="str">
        <f t="shared" si="3"/>
        <v/>
      </c>
    </row>
    <row r="2456" spans="31:36">
      <c r="AE2456" s="15" t="str">
        <f t="shared" si="0"/>
        <v/>
      </c>
      <c r="AF2456" s="15" t="str">
        <f t="shared" si="1"/>
        <v/>
      </c>
      <c r="AG2456" s="15" t="str">
        <f>IF(OR(AF2456="",AF2456="ERRO_CHAVE"),"",IFERROR(MATCH(AF2456,'Quitados DUPP'!$U$1:$U$6635,0),""))</f>
        <v/>
      </c>
      <c r="AH2456" s="15" t="str">
        <f t="shared" si="2"/>
        <v/>
      </c>
      <c r="AI2456" s="17" t="str">
        <f>IF(AG2456="","",INDEX('Quitados DUPP'!$G$1:$G$6635,AG2456))</f>
        <v/>
      </c>
      <c r="AJ2456" s="17" t="str">
        <f t="shared" si="3"/>
        <v/>
      </c>
    </row>
    <row r="2457" spans="31:36">
      <c r="AE2457" s="15" t="str">
        <f t="shared" si="0"/>
        <v/>
      </c>
      <c r="AF2457" s="15" t="str">
        <f t="shared" si="1"/>
        <v/>
      </c>
      <c r="AG2457" s="15" t="str">
        <f>IF(OR(AF2457="",AF2457="ERRO_CHAVE"),"",IFERROR(MATCH(AF2457,'Quitados DUPP'!$U$1:$U$6635,0),""))</f>
        <v/>
      </c>
      <c r="AH2457" s="15" t="str">
        <f t="shared" si="2"/>
        <v/>
      </c>
      <c r="AI2457" s="17" t="str">
        <f>IF(AG2457="","",INDEX('Quitados DUPP'!$G$1:$G$6635,AG2457))</f>
        <v/>
      </c>
      <c r="AJ2457" s="17" t="str">
        <f t="shared" si="3"/>
        <v/>
      </c>
    </row>
    <row r="2458" spans="31:36">
      <c r="AE2458" s="15" t="str">
        <f t="shared" si="0"/>
        <v/>
      </c>
      <c r="AF2458" s="15" t="str">
        <f t="shared" si="1"/>
        <v/>
      </c>
      <c r="AG2458" s="15" t="str">
        <f>IF(OR(AF2458="",AF2458="ERRO_CHAVE"),"",IFERROR(MATCH(AF2458,'Quitados DUPP'!$U$1:$U$6635,0),""))</f>
        <v/>
      </c>
      <c r="AH2458" s="15" t="str">
        <f t="shared" si="2"/>
        <v/>
      </c>
      <c r="AI2458" s="17" t="str">
        <f>IF(AG2458="","",INDEX('Quitados DUPP'!$G$1:$G$6635,AG2458))</f>
        <v/>
      </c>
      <c r="AJ2458" s="17" t="str">
        <f t="shared" si="3"/>
        <v/>
      </c>
    </row>
    <row r="2459" spans="31:36">
      <c r="AE2459" s="15" t="str">
        <f t="shared" si="0"/>
        <v/>
      </c>
      <c r="AF2459" s="15" t="str">
        <f t="shared" si="1"/>
        <v/>
      </c>
      <c r="AG2459" s="15" t="str">
        <f>IF(OR(AF2459="",AF2459="ERRO_CHAVE"),"",IFERROR(MATCH(AF2459,'Quitados DUPP'!$U$1:$U$6635,0),""))</f>
        <v/>
      </c>
      <c r="AH2459" s="15" t="str">
        <f t="shared" si="2"/>
        <v/>
      </c>
      <c r="AI2459" s="17" t="str">
        <f>IF(AG2459="","",INDEX('Quitados DUPP'!$G$1:$G$6635,AG2459))</f>
        <v/>
      </c>
      <c r="AJ2459" s="17" t="str">
        <f t="shared" si="3"/>
        <v/>
      </c>
    </row>
    <row r="2460" spans="31:36">
      <c r="AE2460" s="15" t="str">
        <f t="shared" si="0"/>
        <v/>
      </c>
      <c r="AF2460" s="15" t="str">
        <f t="shared" si="1"/>
        <v/>
      </c>
      <c r="AG2460" s="15" t="str">
        <f>IF(OR(AF2460="",AF2460="ERRO_CHAVE"),"",IFERROR(MATCH(AF2460,'Quitados DUPP'!$U$1:$U$6635,0),""))</f>
        <v/>
      </c>
      <c r="AH2460" s="15" t="str">
        <f t="shared" si="2"/>
        <v/>
      </c>
      <c r="AI2460" s="17" t="str">
        <f>IF(AG2460="","",INDEX('Quitados DUPP'!$G$1:$G$6635,AG2460))</f>
        <v/>
      </c>
      <c r="AJ2460" s="17" t="str">
        <f t="shared" si="3"/>
        <v/>
      </c>
    </row>
    <row r="2461" spans="31:36">
      <c r="AE2461" s="15" t="str">
        <f t="shared" si="0"/>
        <v/>
      </c>
      <c r="AF2461" s="15" t="str">
        <f t="shared" si="1"/>
        <v/>
      </c>
      <c r="AG2461" s="15" t="str">
        <f>IF(OR(AF2461="",AF2461="ERRO_CHAVE"),"",IFERROR(MATCH(AF2461,'Quitados DUPP'!$U$1:$U$6635,0),""))</f>
        <v/>
      </c>
      <c r="AH2461" s="15" t="str">
        <f t="shared" si="2"/>
        <v/>
      </c>
      <c r="AI2461" s="17" t="str">
        <f>IF(AG2461="","",INDEX('Quitados DUPP'!$G$1:$G$6635,AG2461))</f>
        <v/>
      </c>
      <c r="AJ2461" s="17" t="str">
        <f t="shared" si="3"/>
        <v/>
      </c>
    </row>
    <row r="2462" spans="31:36">
      <c r="AE2462" s="15" t="str">
        <f t="shared" si="0"/>
        <v/>
      </c>
      <c r="AF2462" s="15" t="str">
        <f t="shared" si="1"/>
        <v/>
      </c>
      <c r="AG2462" s="15" t="str">
        <f>IF(OR(AF2462="",AF2462="ERRO_CHAVE"),"",IFERROR(MATCH(AF2462,'Quitados DUPP'!$U$1:$U$6635,0),""))</f>
        <v/>
      </c>
      <c r="AH2462" s="15" t="str">
        <f t="shared" si="2"/>
        <v/>
      </c>
      <c r="AI2462" s="17" t="str">
        <f>IF(AG2462="","",INDEX('Quitados DUPP'!$G$1:$G$6635,AG2462))</f>
        <v/>
      </c>
      <c r="AJ2462" s="17" t="str">
        <f t="shared" si="3"/>
        <v/>
      </c>
    </row>
    <row r="2463" spans="31:36">
      <c r="AE2463" s="15" t="str">
        <f t="shared" si="0"/>
        <v/>
      </c>
      <c r="AF2463" s="15" t="str">
        <f t="shared" si="1"/>
        <v/>
      </c>
      <c r="AG2463" s="15" t="str">
        <f>IF(OR(AF2463="",AF2463="ERRO_CHAVE"),"",IFERROR(MATCH(AF2463,'Quitados DUPP'!$U$1:$U$6635,0),""))</f>
        <v/>
      </c>
      <c r="AH2463" s="15" t="str">
        <f t="shared" si="2"/>
        <v/>
      </c>
      <c r="AI2463" s="17" t="str">
        <f>IF(AG2463="","",INDEX('Quitados DUPP'!$G$1:$G$6635,AG2463))</f>
        <v/>
      </c>
      <c r="AJ2463" s="17" t="str">
        <f t="shared" si="3"/>
        <v/>
      </c>
    </row>
    <row r="2464" spans="31:36">
      <c r="AE2464" s="15" t="str">
        <f t="shared" si="0"/>
        <v/>
      </c>
      <c r="AF2464" s="15" t="str">
        <f t="shared" si="1"/>
        <v/>
      </c>
      <c r="AG2464" s="15" t="str">
        <f>IF(OR(AF2464="",AF2464="ERRO_CHAVE"),"",IFERROR(MATCH(AF2464,'Quitados DUPP'!$U$1:$U$6635,0),""))</f>
        <v/>
      </c>
      <c r="AH2464" s="15" t="str">
        <f t="shared" si="2"/>
        <v/>
      </c>
      <c r="AI2464" s="17" t="str">
        <f>IF(AG2464="","",INDEX('Quitados DUPP'!$G$1:$G$6635,AG2464))</f>
        <v/>
      </c>
      <c r="AJ2464" s="17" t="str">
        <f t="shared" si="3"/>
        <v/>
      </c>
    </row>
    <row r="2465" spans="31:36">
      <c r="AE2465" s="15" t="str">
        <f t="shared" si="0"/>
        <v/>
      </c>
      <c r="AF2465" s="15" t="str">
        <f t="shared" si="1"/>
        <v/>
      </c>
      <c r="AG2465" s="15" t="str">
        <f>IF(OR(AF2465="",AF2465="ERRO_CHAVE"),"",IFERROR(MATCH(AF2465,'Quitados DUPP'!$U$1:$U$6635,0),""))</f>
        <v/>
      </c>
      <c r="AH2465" s="15" t="str">
        <f t="shared" si="2"/>
        <v/>
      </c>
      <c r="AI2465" s="17" t="str">
        <f>IF(AG2465="","",INDEX('Quitados DUPP'!$G$1:$G$6635,AG2465))</f>
        <v/>
      </c>
      <c r="AJ2465" s="17" t="str">
        <f t="shared" si="3"/>
        <v/>
      </c>
    </row>
    <row r="2466" spans="31:36">
      <c r="AE2466" s="15" t="str">
        <f t="shared" si="0"/>
        <v/>
      </c>
      <c r="AF2466" s="15" t="str">
        <f t="shared" si="1"/>
        <v/>
      </c>
      <c r="AG2466" s="15" t="str">
        <f>IF(OR(AF2466="",AF2466="ERRO_CHAVE"),"",IFERROR(MATCH(AF2466,'Quitados DUPP'!$U$1:$U$6635,0),""))</f>
        <v/>
      </c>
      <c r="AH2466" s="15" t="str">
        <f t="shared" si="2"/>
        <v/>
      </c>
      <c r="AI2466" s="17" t="str">
        <f>IF(AG2466="","",INDEX('Quitados DUPP'!$G$1:$G$6635,AG2466))</f>
        <v/>
      </c>
      <c r="AJ2466" s="17" t="str">
        <f t="shared" si="3"/>
        <v/>
      </c>
    </row>
    <row r="2467" spans="31:36">
      <c r="AE2467" s="15" t="str">
        <f t="shared" si="0"/>
        <v/>
      </c>
      <c r="AF2467" s="15" t="str">
        <f t="shared" si="1"/>
        <v/>
      </c>
      <c r="AG2467" s="15" t="str">
        <f>IF(OR(AF2467="",AF2467="ERRO_CHAVE"),"",IFERROR(MATCH(AF2467,'Quitados DUPP'!$U$1:$U$6635,0),""))</f>
        <v/>
      </c>
      <c r="AH2467" s="15" t="str">
        <f t="shared" si="2"/>
        <v/>
      </c>
      <c r="AI2467" s="17" t="str">
        <f>IF(AG2467="","",INDEX('Quitados DUPP'!$G$1:$G$6635,AG2467))</f>
        <v/>
      </c>
      <c r="AJ2467" s="17" t="str">
        <f t="shared" si="3"/>
        <v/>
      </c>
    </row>
    <row r="2468" spans="31:36">
      <c r="AE2468" s="15" t="str">
        <f t="shared" si="0"/>
        <v/>
      </c>
      <c r="AF2468" s="15" t="str">
        <f t="shared" si="1"/>
        <v/>
      </c>
      <c r="AG2468" s="15" t="str">
        <f>IF(OR(AF2468="",AF2468="ERRO_CHAVE"),"",IFERROR(MATCH(AF2468,'Quitados DUPP'!$U$1:$U$6635,0),""))</f>
        <v/>
      </c>
      <c r="AH2468" s="15" t="str">
        <f t="shared" si="2"/>
        <v/>
      </c>
      <c r="AI2468" s="17" t="str">
        <f>IF(AG2468="","",INDEX('Quitados DUPP'!$G$1:$G$6635,AG2468))</f>
        <v/>
      </c>
      <c r="AJ2468" s="17" t="str">
        <f t="shared" si="3"/>
        <v/>
      </c>
    </row>
    <row r="2469" spans="31:36">
      <c r="AE2469" s="15" t="str">
        <f t="shared" si="0"/>
        <v/>
      </c>
      <c r="AF2469" s="15" t="str">
        <f t="shared" si="1"/>
        <v/>
      </c>
      <c r="AG2469" s="15" t="str">
        <f>IF(OR(AF2469="",AF2469="ERRO_CHAVE"),"",IFERROR(MATCH(AF2469,'Quitados DUPP'!$U$1:$U$6635,0),""))</f>
        <v/>
      </c>
      <c r="AH2469" s="15" t="str">
        <f t="shared" si="2"/>
        <v/>
      </c>
      <c r="AI2469" s="17" t="str">
        <f>IF(AG2469="","",INDEX('Quitados DUPP'!$G$1:$G$6635,AG2469))</f>
        <v/>
      </c>
      <c r="AJ2469" s="17" t="str">
        <f t="shared" si="3"/>
        <v/>
      </c>
    </row>
    <row r="2470" spans="31:36">
      <c r="AE2470" s="15" t="str">
        <f t="shared" si="0"/>
        <v/>
      </c>
      <c r="AF2470" s="15" t="str">
        <f t="shared" si="1"/>
        <v/>
      </c>
      <c r="AG2470" s="15" t="str">
        <f>IF(OR(AF2470="",AF2470="ERRO_CHAVE"),"",IFERROR(MATCH(AF2470,'Quitados DUPP'!$U$1:$U$6635,0),""))</f>
        <v/>
      </c>
      <c r="AH2470" s="15" t="str">
        <f t="shared" si="2"/>
        <v/>
      </c>
      <c r="AI2470" s="17" t="str">
        <f>IF(AG2470="","",INDEX('Quitados DUPP'!$G$1:$G$6635,AG2470))</f>
        <v/>
      </c>
      <c r="AJ2470" s="17" t="str">
        <f t="shared" si="3"/>
        <v/>
      </c>
    </row>
    <row r="2471" spans="31:36">
      <c r="AE2471" s="15" t="str">
        <f t="shared" si="0"/>
        <v/>
      </c>
      <c r="AF2471" s="15" t="str">
        <f t="shared" si="1"/>
        <v/>
      </c>
      <c r="AG2471" s="15" t="str">
        <f>IF(OR(AF2471="",AF2471="ERRO_CHAVE"),"",IFERROR(MATCH(AF2471,'Quitados DUPP'!$U$1:$U$6635,0),""))</f>
        <v/>
      </c>
      <c r="AH2471" s="15" t="str">
        <f t="shared" si="2"/>
        <v/>
      </c>
      <c r="AI2471" s="17" t="str">
        <f>IF(AG2471="","",INDEX('Quitados DUPP'!$G$1:$G$6635,AG2471))</f>
        <v/>
      </c>
      <c r="AJ2471" s="17" t="str">
        <f t="shared" si="3"/>
        <v/>
      </c>
    </row>
    <row r="2472" spans="31:36">
      <c r="AE2472" s="15" t="str">
        <f t="shared" si="0"/>
        <v/>
      </c>
      <c r="AF2472" s="15" t="str">
        <f t="shared" si="1"/>
        <v/>
      </c>
      <c r="AG2472" s="15" t="str">
        <f>IF(OR(AF2472="",AF2472="ERRO_CHAVE"),"",IFERROR(MATCH(AF2472,'Quitados DUPP'!$U$1:$U$6635,0),""))</f>
        <v/>
      </c>
      <c r="AH2472" s="15" t="str">
        <f t="shared" si="2"/>
        <v/>
      </c>
      <c r="AI2472" s="17" t="str">
        <f>IF(AG2472="","",INDEX('Quitados DUPP'!$G$1:$G$6635,AG2472))</f>
        <v/>
      </c>
      <c r="AJ2472" s="17" t="str">
        <f t="shared" si="3"/>
        <v/>
      </c>
    </row>
    <row r="2473" spans="31:36">
      <c r="AE2473" s="15" t="str">
        <f t="shared" si="0"/>
        <v/>
      </c>
      <c r="AF2473" s="15" t="str">
        <f t="shared" si="1"/>
        <v/>
      </c>
      <c r="AG2473" s="15" t="str">
        <f>IF(OR(AF2473="",AF2473="ERRO_CHAVE"),"",IFERROR(MATCH(AF2473,'Quitados DUPP'!$U$1:$U$6635,0),""))</f>
        <v/>
      </c>
      <c r="AH2473" s="15" t="str">
        <f t="shared" si="2"/>
        <v/>
      </c>
      <c r="AI2473" s="17" t="str">
        <f>IF(AG2473="","",INDEX('Quitados DUPP'!$G$1:$G$6635,AG2473))</f>
        <v/>
      </c>
      <c r="AJ2473" s="17" t="str">
        <f t="shared" si="3"/>
        <v/>
      </c>
    </row>
    <row r="2474" spans="31:36">
      <c r="AE2474" s="15" t="str">
        <f t="shared" si="0"/>
        <v/>
      </c>
      <c r="AF2474" s="15" t="str">
        <f t="shared" si="1"/>
        <v/>
      </c>
      <c r="AG2474" s="15" t="str">
        <f>IF(OR(AF2474="",AF2474="ERRO_CHAVE"),"",IFERROR(MATCH(AF2474,'Quitados DUPP'!$U$1:$U$6635,0),""))</f>
        <v/>
      </c>
      <c r="AH2474" s="15" t="str">
        <f t="shared" si="2"/>
        <v/>
      </c>
      <c r="AI2474" s="17" t="str">
        <f>IF(AG2474="","",INDEX('Quitados DUPP'!$G$1:$G$6635,AG2474))</f>
        <v/>
      </c>
      <c r="AJ2474" s="17" t="str">
        <f t="shared" si="3"/>
        <v/>
      </c>
    </row>
    <row r="2475" spans="31:36">
      <c r="AE2475" s="15" t="str">
        <f t="shared" si="0"/>
        <v/>
      </c>
      <c r="AF2475" s="15" t="str">
        <f t="shared" si="1"/>
        <v/>
      </c>
      <c r="AG2475" s="15" t="str">
        <f>IF(OR(AF2475="",AF2475="ERRO_CHAVE"),"",IFERROR(MATCH(AF2475,'Quitados DUPP'!$U$1:$U$6635,0),""))</f>
        <v/>
      </c>
      <c r="AH2475" s="15" t="str">
        <f t="shared" si="2"/>
        <v/>
      </c>
      <c r="AI2475" s="17" t="str">
        <f>IF(AG2475="","",INDEX('Quitados DUPP'!$G$1:$G$6635,AG2475))</f>
        <v/>
      </c>
      <c r="AJ2475" s="17" t="str">
        <f t="shared" si="3"/>
        <v/>
      </c>
    </row>
    <row r="2476" spans="31:36">
      <c r="AE2476" s="15" t="str">
        <f t="shared" si="0"/>
        <v/>
      </c>
      <c r="AF2476" s="15" t="str">
        <f t="shared" si="1"/>
        <v/>
      </c>
      <c r="AG2476" s="15" t="str">
        <f>IF(OR(AF2476="",AF2476="ERRO_CHAVE"),"",IFERROR(MATCH(AF2476,'Quitados DUPP'!$U$1:$U$6635,0),""))</f>
        <v/>
      </c>
      <c r="AH2476" s="15" t="str">
        <f t="shared" si="2"/>
        <v/>
      </c>
      <c r="AI2476" s="17" t="str">
        <f>IF(AG2476="","",INDEX('Quitados DUPP'!$G$1:$G$6635,AG2476))</f>
        <v/>
      </c>
      <c r="AJ2476" s="17" t="str">
        <f t="shared" si="3"/>
        <v/>
      </c>
    </row>
    <row r="2477" spans="31:36">
      <c r="AE2477" s="15" t="str">
        <f t="shared" si="0"/>
        <v/>
      </c>
      <c r="AF2477" s="15" t="str">
        <f t="shared" si="1"/>
        <v/>
      </c>
      <c r="AG2477" s="15" t="str">
        <f>IF(OR(AF2477="",AF2477="ERRO_CHAVE"),"",IFERROR(MATCH(AF2477,'Quitados DUPP'!$U$1:$U$6635,0),""))</f>
        <v/>
      </c>
      <c r="AH2477" s="15" t="str">
        <f t="shared" si="2"/>
        <v/>
      </c>
      <c r="AI2477" s="17" t="str">
        <f>IF(AG2477="","",INDEX('Quitados DUPP'!$G$1:$G$6635,AG2477))</f>
        <v/>
      </c>
      <c r="AJ2477" s="17" t="str">
        <f t="shared" si="3"/>
        <v/>
      </c>
    </row>
    <row r="2478" spans="31:36">
      <c r="AE2478" s="15" t="str">
        <f t="shared" si="0"/>
        <v/>
      </c>
      <c r="AF2478" s="15" t="str">
        <f t="shared" si="1"/>
        <v/>
      </c>
      <c r="AG2478" s="15" t="str">
        <f>IF(OR(AF2478="",AF2478="ERRO_CHAVE"),"",IFERROR(MATCH(AF2478,'Quitados DUPP'!$U$1:$U$6635,0),""))</f>
        <v/>
      </c>
      <c r="AH2478" s="15" t="str">
        <f t="shared" si="2"/>
        <v/>
      </c>
      <c r="AI2478" s="17" t="str">
        <f>IF(AG2478="","",INDEX('Quitados DUPP'!$G$1:$G$6635,AG2478))</f>
        <v/>
      </c>
      <c r="AJ2478" s="17" t="str">
        <f t="shared" si="3"/>
        <v/>
      </c>
    </row>
    <row r="2479" spans="31:36">
      <c r="AE2479" s="15" t="str">
        <f t="shared" si="0"/>
        <v/>
      </c>
      <c r="AF2479" s="15" t="str">
        <f t="shared" si="1"/>
        <v/>
      </c>
      <c r="AG2479" s="15" t="str">
        <f>IF(OR(AF2479="",AF2479="ERRO_CHAVE"),"",IFERROR(MATCH(AF2479,'Quitados DUPP'!$U$1:$U$6635,0),""))</f>
        <v/>
      </c>
      <c r="AH2479" s="15" t="str">
        <f t="shared" si="2"/>
        <v/>
      </c>
      <c r="AI2479" s="17" t="str">
        <f>IF(AG2479="","",INDEX('Quitados DUPP'!$G$1:$G$6635,AG2479))</f>
        <v/>
      </c>
      <c r="AJ2479" s="17" t="str">
        <f t="shared" si="3"/>
        <v/>
      </c>
    </row>
    <row r="2480" spans="31:36">
      <c r="AE2480" s="15" t="str">
        <f t="shared" si="0"/>
        <v/>
      </c>
      <c r="AF2480" s="15" t="str">
        <f t="shared" si="1"/>
        <v/>
      </c>
      <c r="AG2480" s="15" t="str">
        <f>IF(OR(AF2480="",AF2480="ERRO_CHAVE"),"",IFERROR(MATCH(AF2480,'Quitados DUPP'!$U$1:$U$6635,0),""))</f>
        <v/>
      </c>
      <c r="AH2480" s="15" t="str">
        <f t="shared" si="2"/>
        <v/>
      </c>
      <c r="AI2480" s="17" t="str">
        <f>IF(AG2480="","",INDEX('Quitados DUPP'!$G$1:$G$6635,AG2480))</f>
        <v/>
      </c>
      <c r="AJ2480" s="17" t="str">
        <f t="shared" si="3"/>
        <v/>
      </c>
    </row>
    <row r="2481" spans="31:36">
      <c r="AE2481" s="15" t="str">
        <f t="shared" si="0"/>
        <v/>
      </c>
      <c r="AF2481" s="15" t="str">
        <f t="shared" si="1"/>
        <v/>
      </c>
      <c r="AG2481" s="15" t="str">
        <f>IF(OR(AF2481="",AF2481="ERRO_CHAVE"),"",IFERROR(MATCH(AF2481,'Quitados DUPP'!$U$1:$U$6635,0),""))</f>
        <v/>
      </c>
      <c r="AH2481" s="15" t="str">
        <f t="shared" si="2"/>
        <v/>
      </c>
      <c r="AI2481" s="17" t="str">
        <f>IF(AG2481="","",INDEX('Quitados DUPP'!$G$1:$G$6635,AG2481))</f>
        <v/>
      </c>
      <c r="AJ2481" s="17" t="str">
        <f t="shared" si="3"/>
        <v/>
      </c>
    </row>
    <row r="2482" spans="31:36">
      <c r="AE2482" s="15" t="str">
        <f t="shared" si="0"/>
        <v/>
      </c>
      <c r="AF2482" s="15" t="str">
        <f t="shared" si="1"/>
        <v/>
      </c>
      <c r="AG2482" s="15" t="str">
        <f>IF(OR(AF2482="",AF2482="ERRO_CHAVE"),"",IFERROR(MATCH(AF2482,'Quitados DUPP'!$U$1:$U$6635,0),""))</f>
        <v/>
      </c>
      <c r="AH2482" s="15" t="str">
        <f t="shared" si="2"/>
        <v/>
      </c>
      <c r="AI2482" s="17" t="str">
        <f>IF(AG2482="","",INDEX('Quitados DUPP'!$G$1:$G$6635,AG2482))</f>
        <v/>
      </c>
      <c r="AJ2482" s="17" t="str">
        <f t="shared" si="3"/>
        <v/>
      </c>
    </row>
    <row r="2483" spans="31:36">
      <c r="AE2483" s="15" t="str">
        <f t="shared" si="0"/>
        <v/>
      </c>
      <c r="AF2483" s="15" t="str">
        <f t="shared" si="1"/>
        <v/>
      </c>
      <c r="AG2483" s="15" t="str">
        <f>IF(OR(AF2483="",AF2483="ERRO_CHAVE"),"",IFERROR(MATCH(AF2483,'Quitados DUPP'!$U$1:$U$6635,0),""))</f>
        <v/>
      </c>
      <c r="AH2483" s="15" t="str">
        <f t="shared" si="2"/>
        <v/>
      </c>
      <c r="AI2483" s="17" t="str">
        <f>IF(AG2483="","",INDEX('Quitados DUPP'!$G$1:$G$6635,AG2483))</f>
        <v/>
      </c>
      <c r="AJ2483" s="17" t="str">
        <f t="shared" si="3"/>
        <v/>
      </c>
    </row>
    <row r="2484" spans="31:36">
      <c r="AE2484" s="15" t="str">
        <f t="shared" si="0"/>
        <v/>
      </c>
      <c r="AF2484" s="15" t="str">
        <f t="shared" si="1"/>
        <v/>
      </c>
      <c r="AG2484" s="15" t="str">
        <f>IF(OR(AF2484="",AF2484="ERRO_CHAVE"),"",IFERROR(MATCH(AF2484,'Quitados DUPP'!$U$1:$U$6635,0),""))</f>
        <v/>
      </c>
      <c r="AH2484" s="15" t="str">
        <f t="shared" si="2"/>
        <v/>
      </c>
      <c r="AI2484" s="17" t="str">
        <f>IF(AG2484="","",INDEX('Quitados DUPP'!$G$1:$G$6635,AG2484))</f>
        <v/>
      </c>
      <c r="AJ2484" s="17" t="str">
        <f t="shared" si="3"/>
        <v/>
      </c>
    </row>
    <row r="2485" spans="31:36">
      <c r="AE2485" s="15" t="str">
        <f t="shared" si="0"/>
        <v/>
      </c>
      <c r="AF2485" s="15" t="str">
        <f t="shared" si="1"/>
        <v/>
      </c>
      <c r="AG2485" s="15" t="str">
        <f>IF(OR(AF2485="",AF2485="ERRO_CHAVE"),"",IFERROR(MATCH(AF2485,'Quitados DUPP'!$U$1:$U$6635,0),""))</f>
        <v/>
      </c>
      <c r="AH2485" s="15" t="str">
        <f t="shared" si="2"/>
        <v/>
      </c>
      <c r="AI2485" s="17" t="str">
        <f>IF(AG2485="","",INDEX('Quitados DUPP'!$G$1:$G$6635,AG2485))</f>
        <v/>
      </c>
      <c r="AJ2485" s="17" t="str">
        <f t="shared" si="3"/>
        <v/>
      </c>
    </row>
    <row r="2486" spans="31:36">
      <c r="AE2486" s="15" t="str">
        <f t="shared" si="0"/>
        <v/>
      </c>
      <c r="AF2486" s="15" t="str">
        <f t="shared" si="1"/>
        <v/>
      </c>
      <c r="AG2486" s="15" t="str">
        <f>IF(OR(AF2486="",AF2486="ERRO_CHAVE"),"",IFERROR(MATCH(AF2486,'Quitados DUPP'!$U$1:$U$6635,0),""))</f>
        <v/>
      </c>
      <c r="AH2486" s="15" t="str">
        <f t="shared" si="2"/>
        <v/>
      </c>
      <c r="AI2486" s="17" t="str">
        <f>IF(AG2486="","",INDEX('Quitados DUPP'!$G$1:$G$6635,AG2486))</f>
        <v/>
      </c>
      <c r="AJ2486" s="17" t="str">
        <f t="shared" si="3"/>
        <v/>
      </c>
    </row>
    <row r="2487" spans="31:36">
      <c r="AE2487" s="15" t="str">
        <f t="shared" si="0"/>
        <v/>
      </c>
      <c r="AF2487" s="15" t="str">
        <f t="shared" si="1"/>
        <v/>
      </c>
      <c r="AG2487" s="15" t="str">
        <f>IF(OR(AF2487="",AF2487="ERRO_CHAVE"),"",IFERROR(MATCH(AF2487,'Quitados DUPP'!$U$1:$U$6635,0),""))</f>
        <v/>
      </c>
      <c r="AH2487" s="15" t="str">
        <f t="shared" si="2"/>
        <v/>
      </c>
      <c r="AI2487" s="17" t="str">
        <f>IF(AG2487="","",INDEX('Quitados DUPP'!$G$1:$G$6635,AG2487))</f>
        <v/>
      </c>
      <c r="AJ2487" s="17" t="str">
        <f t="shared" si="3"/>
        <v/>
      </c>
    </row>
    <row r="2488" spans="31:36">
      <c r="AE2488" s="15" t="str">
        <f t="shared" si="0"/>
        <v/>
      </c>
      <c r="AF2488" s="15" t="str">
        <f t="shared" si="1"/>
        <v/>
      </c>
      <c r="AG2488" s="15" t="str">
        <f>IF(OR(AF2488="",AF2488="ERRO_CHAVE"),"",IFERROR(MATCH(AF2488,'Quitados DUPP'!$U$1:$U$6635,0),""))</f>
        <v/>
      </c>
      <c r="AH2488" s="15" t="str">
        <f t="shared" si="2"/>
        <v/>
      </c>
      <c r="AI2488" s="17" t="str">
        <f>IF(AG2488="","",INDEX('Quitados DUPP'!$G$1:$G$6635,AG2488))</f>
        <v/>
      </c>
      <c r="AJ2488" s="17" t="str">
        <f t="shared" si="3"/>
        <v/>
      </c>
    </row>
    <row r="2489" spans="31:36">
      <c r="AE2489" s="15" t="str">
        <f t="shared" si="0"/>
        <v/>
      </c>
      <c r="AF2489" s="15" t="str">
        <f t="shared" si="1"/>
        <v/>
      </c>
      <c r="AG2489" s="15" t="str">
        <f>IF(OR(AF2489="",AF2489="ERRO_CHAVE"),"",IFERROR(MATCH(AF2489,'Quitados DUPP'!$U$1:$U$6635,0),""))</f>
        <v/>
      </c>
      <c r="AH2489" s="15" t="str">
        <f t="shared" si="2"/>
        <v/>
      </c>
      <c r="AI2489" s="17" t="str">
        <f>IF(AG2489="","",INDEX('Quitados DUPP'!$G$1:$G$6635,AG2489))</f>
        <v/>
      </c>
      <c r="AJ2489" s="17" t="str">
        <f t="shared" si="3"/>
        <v/>
      </c>
    </row>
    <row r="2490" spans="31:36">
      <c r="AE2490" s="15" t="str">
        <f t="shared" si="0"/>
        <v/>
      </c>
      <c r="AF2490" s="15" t="str">
        <f t="shared" si="1"/>
        <v/>
      </c>
      <c r="AG2490" s="15" t="str">
        <f>IF(OR(AF2490="",AF2490="ERRO_CHAVE"),"",IFERROR(MATCH(AF2490,'Quitados DUPP'!$U$1:$U$6635,0),""))</f>
        <v/>
      </c>
      <c r="AH2490" s="15" t="str">
        <f t="shared" si="2"/>
        <v/>
      </c>
      <c r="AI2490" s="17" t="str">
        <f>IF(AG2490="","",INDEX('Quitados DUPP'!$G$1:$G$6635,AG2490))</f>
        <v/>
      </c>
      <c r="AJ2490" s="17" t="str">
        <f t="shared" si="3"/>
        <v/>
      </c>
    </row>
    <row r="2491" spans="31:36">
      <c r="AE2491" s="15" t="str">
        <f t="shared" si="0"/>
        <v/>
      </c>
      <c r="AF2491" s="15" t="str">
        <f t="shared" si="1"/>
        <v/>
      </c>
      <c r="AG2491" s="15" t="str">
        <f>IF(OR(AF2491="",AF2491="ERRO_CHAVE"),"",IFERROR(MATCH(AF2491,'Quitados DUPP'!$U$1:$U$6635,0),""))</f>
        <v/>
      </c>
      <c r="AH2491" s="15" t="str">
        <f t="shared" si="2"/>
        <v/>
      </c>
      <c r="AI2491" s="17" t="str">
        <f>IF(AG2491="","",INDEX('Quitados DUPP'!$G$1:$G$6635,AG2491))</f>
        <v/>
      </c>
      <c r="AJ2491" s="17" t="str">
        <f t="shared" si="3"/>
        <v/>
      </c>
    </row>
    <row r="2492" spans="31:36">
      <c r="AE2492" s="15" t="str">
        <f t="shared" si="0"/>
        <v/>
      </c>
      <c r="AF2492" s="15" t="str">
        <f t="shared" si="1"/>
        <v/>
      </c>
      <c r="AG2492" s="15" t="str">
        <f>IF(OR(AF2492="",AF2492="ERRO_CHAVE"),"",IFERROR(MATCH(AF2492,'Quitados DUPP'!$U$1:$U$6635,0),""))</f>
        <v/>
      </c>
      <c r="AH2492" s="15" t="str">
        <f t="shared" si="2"/>
        <v/>
      </c>
      <c r="AI2492" s="17" t="str">
        <f>IF(AG2492="","",INDEX('Quitados DUPP'!$G$1:$G$6635,AG2492))</f>
        <v/>
      </c>
      <c r="AJ2492" s="17" t="str">
        <f t="shared" si="3"/>
        <v/>
      </c>
    </row>
    <row r="2493" spans="31:36">
      <c r="AE2493" s="15" t="str">
        <f t="shared" si="0"/>
        <v/>
      </c>
      <c r="AF2493" s="15" t="str">
        <f t="shared" si="1"/>
        <v/>
      </c>
      <c r="AG2493" s="15" t="str">
        <f>IF(OR(AF2493="",AF2493="ERRO_CHAVE"),"",IFERROR(MATCH(AF2493,'Quitados DUPP'!$U$1:$U$6635,0),""))</f>
        <v/>
      </c>
      <c r="AH2493" s="15" t="str">
        <f t="shared" si="2"/>
        <v/>
      </c>
      <c r="AI2493" s="17" t="str">
        <f>IF(AG2493="","",INDEX('Quitados DUPP'!$G$1:$G$6635,AG2493))</f>
        <v/>
      </c>
      <c r="AJ2493" s="17" t="str">
        <f t="shared" si="3"/>
        <v/>
      </c>
    </row>
    <row r="2494" spans="31:36">
      <c r="AE2494" s="15" t="str">
        <f t="shared" si="0"/>
        <v/>
      </c>
      <c r="AF2494" s="15" t="str">
        <f t="shared" si="1"/>
        <v/>
      </c>
      <c r="AG2494" s="15" t="str">
        <f>IF(OR(AF2494="",AF2494="ERRO_CHAVE"),"",IFERROR(MATCH(AF2494,'Quitados DUPP'!$U$1:$U$6635,0),""))</f>
        <v/>
      </c>
      <c r="AH2494" s="15" t="str">
        <f t="shared" si="2"/>
        <v/>
      </c>
      <c r="AI2494" s="17" t="str">
        <f>IF(AG2494="","",INDEX('Quitados DUPP'!$G$1:$G$6635,AG2494))</f>
        <v/>
      </c>
      <c r="AJ2494" s="17" t="str">
        <f t="shared" si="3"/>
        <v/>
      </c>
    </row>
    <row r="2495" spans="31:36">
      <c r="AE2495" s="15" t="str">
        <f t="shared" si="0"/>
        <v/>
      </c>
      <c r="AF2495" s="15" t="str">
        <f t="shared" si="1"/>
        <v/>
      </c>
      <c r="AG2495" s="15" t="str">
        <f>IF(OR(AF2495="",AF2495="ERRO_CHAVE"),"",IFERROR(MATCH(AF2495,'Quitados DUPP'!$U$1:$U$6635,0),""))</f>
        <v/>
      </c>
      <c r="AH2495" s="15" t="str">
        <f t="shared" si="2"/>
        <v/>
      </c>
      <c r="AI2495" s="17" t="str">
        <f>IF(AG2495="","",INDEX('Quitados DUPP'!$G$1:$G$6635,AG2495))</f>
        <v/>
      </c>
      <c r="AJ2495" s="17" t="str">
        <f t="shared" si="3"/>
        <v/>
      </c>
    </row>
    <row r="2496" spans="31:36">
      <c r="AE2496" s="15" t="str">
        <f t="shared" si="0"/>
        <v/>
      </c>
      <c r="AF2496" s="15" t="str">
        <f t="shared" si="1"/>
        <v/>
      </c>
      <c r="AG2496" s="15" t="str">
        <f>IF(OR(AF2496="",AF2496="ERRO_CHAVE"),"",IFERROR(MATCH(AF2496,'Quitados DUPP'!$U$1:$U$6635,0),""))</f>
        <v/>
      </c>
      <c r="AH2496" s="15" t="str">
        <f t="shared" si="2"/>
        <v/>
      </c>
      <c r="AI2496" s="17" t="str">
        <f>IF(AG2496="","",INDEX('Quitados DUPP'!$G$1:$G$6635,AG2496))</f>
        <v/>
      </c>
      <c r="AJ2496" s="17" t="str">
        <f t="shared" si="3"/>
        <v/>
      </c>
    </row>
    <row r="2497" spans="31:36">
      <c r="AE2497" s="15" t="str">
        <f t="shared" si="0"/>
        <v/>
      </c>
      <c r="AF2497" s="15" t="str">
        <f t="shared" si="1"/>
        <v/>
      </c>
      <c r="AG2497" s="15" t="str">
        <f>IF(OR(AF2497="",AF2497="ERRO_CHAVE"),"",IFERROR(MATCH(AF2497,'Quitados DUPP'!$U$1:$U$6635,0),""))</f>
        <v/>
      </c>
      <c r="AH2497" s="15" t="str">
        <f t="shared" si="2"/>
        <v/>
      </c>
      <c r="AI2497" s="17" t="str">
        <f>IF(AG2497="","",INDEX('Quitados DUPP'!$G$1:$G$6635,AG2497))</f>
        <v/>
      </c>
      <c r="AJ2497" s="17" t="str">
        <f t="shared" si="3"/>
        <v/>
      </c>
    </row>
    <row r="2498" spans="31:36">
      <c r="AE2498" s="15" t="str">
        <f t="shared" si="0"/>
        <v/>
      </c>
      <c r="AF2498" s="15" t="str">
        <f t="shared" si="1"/>
        <v/>
      </c>
      <c r="AG2498" s="15" t="str">
        <f>IF(OR(AF2498="",AF2498="ERRO_CHAVE"),"",IFERROR(MATCH(AF2498,'Quitados DUPP'!$U$1:$U$6635,0),""))</f>
        <v/>
      </c>
      <c r="AH2498" s="15" t="str">
        <f t="shared" si="2"/>
        <v/>
      </c>
      <c r="AI2498" s="17" t="str">
        <f>IF(AG2498="","",INDEX('Quitados DUPP'!$G$1:$G$6635,AG2498))</f>
        <v/>
      </c>
      <c r="AJ2498" s="17" t="str">
        <f t="shared" si="3"/>
        <v/>
      </c>
    </row>
    <row r="2499" spans="31:36">
      <c r="AE2499" s="15" t="str">
        <f t="shared" si="0"/>
        <v/>
      </c>
      <c r="AF2499" s="15" t="str">
        <f t="shared" si="1"/>
        <v/>
      </c>
      <c r="AG2499" s="15" t="str">
        <f>IF(OR(AF2499="",AF2499="ERRO_CHAVE"),"",IFERROR(MATCH(AF2499,'Quitados DUPP'!$U$1:$U$6635,0),""))</f>
        <v/>
      </c>
      <c r="AH2499" s="15" t="str">
        <f t="shared" si="2"/>
        <v/>
      </c>
      <c r="AI2499" s="17" t="str">
        <f>IF(AG2499="","",INDEX('Quitados DUPP'!$G$1:$G$6635,AG2499))</f>
        <v/>
      </c>
      <c r="AJ2499" s="17" t="str">
        <f t="shared" si="3"/>
        <v/>
      </c>
    </row>
    <row r="2500" spans="31:36">
      <c r="AE2500" s="15" t="str">
        <f t="shared" si="0"/>
        <v/>
      </c>
      <c r="AF2500" s="15" t="str">
        <f t="shared" si="1"/>
        <v/>
      </c>
      <c r="AG2500" s="15" t="str">
        <f>IF(OR(AF2500="",AF2500="ERRO_CHAVE"),"",IFERROR(MATCH(AF2500,'Quitados DUPP'!$U$1:$U$6635,0),""))</f>
        <v/>
      </c>
      <c r="AH2500" s="15" t="str">
        <f t="shared" si="2"/>
        <v/>
      </c>
      <c r="AI2500" s="17" t="str">
        <f>IF(AG2500="","",INDEX('Quitados DUPP'!$G$1:$G$6635,AG2500))</f>
        <v/>
      </c>
      <c r="AJ2500" s="17" t="str">
        <f t="shared" si="3"/>
        <v/>
      </c>
    </row>
    <row r="2501" spans="31:36">
      <c r="AE2501" s="15" t="str">
        <f t="shared" si="0"/>
        <v/>
      </c>
      <c r="AF2501" s="15" t="str">
        <f t="shared" si="1"/>
        <v/>
      </c>
      <c r="AG2501" s="15" t="str">
        <f>IF(OR(AF2501="",AF2501="ERRO_CHAVE"),"",IFERROR(MATCH(AF2501,'Quitados DUPP'!$U$1:$U$6635,0),""))</f>
        <v/>
      </c>
      <c r="AH2501" s="15" t="str">
        <f t="shared" si="2"/>
        <v/>
      </c>
      <c r="AI2501" s="17" t="str">
        <f>IF(AG2501="","",INDEX('Quitados DUPP'!$G$1:$G$6635,AG2501))</f>
        <v/>
      </c>
      <c r="AJ2501" s="17" t="str">
        <f t="shared" si="3"/>
        <v/>
      </c>
    </row>
    <row r="2502" spans="31:36">
      <c r="AE2502" s="15" t="str">
        <f t="shared" si="0"/>
        <v/>
      </c>
      <c r="AF2502" s="15" t="str">
        <f t="shared" si="1"/>
        <v/>
      </c>
      <c r="AG2502" s="15" t="str">
        <f>IF(OR(AF2502="",AF2502="ERRO_CHAVE"),"",IFERROR(MATCH(AF2502,'Quitados DUPP'!$U$1:$U$6635,0),""))</f>
        <v/>
      </c>
      <c r="AH2502" s="15" t="str">
        <f t="shared" si="2"/>
        <v/>
      </c>
      <c r="AI2502" s="17" t="str">
        <f>IF(AG2502="","",INDEX('Quitados DUPP'!$G$1:$G$6635,AG2502))</f>
        <v/>
      </c>
      <c r="AJ2502" s="17" t="str">
        <f t="shared" si="3"/>
        <v/>
      </c>
    </row>
    <row r="2503" spans="31:36">
      <c r="AE2503" s="15" t="str">
        <f t="shared" si="0"/>
        <v/>
      </c>
      <c r="AF2503" s="15" t="str">
        <f t="shared" si="1"/>
        <v/>
      </c>
      <c r="AG2503" s="15" t="str">
        <f>IF(OR(AF2503="",AF2503="ERRO_CHAVE"),"",IFERROR(MATCH(AF2503,'Quitados DUPP'!$U$1:$U$6635,0),""))</f>
        <v/>
      </c>
      <c r="AH2503" s="15" t="str">
        <f t="shared" si="2"/>
        <v/>
      </c>
      <c r="AI2503" s="17" t="str">
        <f>IF(AG2503="","",INDEX('Quitados DUPP'!$G$1:$G$6635,AG2503))</f>
        <v/>
      </c>
      <c r="AJ2503" s="17" t="str">
        <f t="shared" si="3"/>
        <v/>
      </c>
    </row>
    <row r="2504" spans="31:36">
      <c r="AE2504" s="15" t="str">
        <f t="shared" si="0"/>
        <v/>
      </c>
      <c r="AF2504" s="15" t="str">
        <f t="shared" si="1"/>
        <v/>
      </c>
      <c r="AG2504" s="15" t="str">
        <f>IF(OR(AF2504="",AF2504="ERRO_CHAVE"),"",IFERROR(MATCH(AF2504,'Quitados DUPP'!$U$1:$U$6635,0),""))</f>
        <v/>
      </c>
      <c r="AH2504" s="15" t="str">
        <f t="shared" si="2"/>
        <v/>
      </c>
      <c r="AI2504" s="17" t="str">
        <f>IF(AG2504="","",INDEX('Quitados DUPP'!$G$1:$G$6635,AG2504))</f>
        <v/>
      </c>
      <c r="AJ2504" s="17" t="str">
        <f t="shared" si="3"/>
        <v/>
      </c>
    </row>
    <row r="2505" spans="31:36">
      <c r="AE2505" s="15" t="str">
        <f t="shared" si="0"/>
        <v/>
      </c>
      <c r="AF2505" s="15" t="str">
        <f t="shared" si="1"/>
        <v/>
      </c>
      <c r="AG2505" s="15" t="str">
        <f>IF(OR(AF2505="",AF2505="ERRO_CHAVE"),"",IFERROR(MATCH(AF2505,'Quitados DUPP'!$U$1:$U$6635,0),""))</f>
        <v/>
      </c>
      <c r="AH2505" s="15" t="str">
        <f t="shared" si="2"/>
        <v/>
      </c>
      <c r="AI2505" s="17" t="str">
        <f>IF(AG2505="","",INDEX('Quitados DUPP'!$G$1:$G$6635,AG2505))</f>
        <v/>
      </c>
      <c r="AJ2505" s="17" t="str">
        <f t="shared" si="3"/>
        <v/>
      </c>
    </row>
    <row r="2506" spans="31:36">
      <c r="AE2506" s="15" t="str">
        <f t="shared" si="0"/>
        <v/>
      </c>
      <c r="AF2506" s="15" t="str">
        <f t="shared" si="1"/>
        <v/>
      </c>
      <c r="AG2506" s="15" t="str">
        <f>IF(OR(AF2506="",AF2506="ERRO_CHAVE"),"",IFERROR(MATCH(AF2506,'Quitados DUPP'!$U$1:$U$6635,0),""))</f>
        <v/>
      </c>
      <c r="AH2506" s="15" t="str">
        <f t="shared" si="2"/>
        <v/>
      </c>
      <c r="AI2506" s="17" t="str">
        <f>IF(AG2506="","",INDEX('Quitados DUPP'!$G$1:$G$6635,AG2506))</f>
        <v/>
      </c>
      <c r="AJ2506" s="17" t="str">
        <f t="shared" si="3"/>
        <v/>
      </c>
    </row>
    <row r="2507" spans="31:36">
      <c r="AE2507" s="15" t="str">
        <f t="shared" si="0"/>
        <v/>
      </c>
      <c r="AF2507" s="15" t="str">
        <f t="shared" si="1"/>
        <v/>
      </c>
      <c r="AG2507" s="15" t="str">
        <f>IF(OR(AF2507="",AF2507="ERRO_CHAVE"),"",IFERROR(MATCH(AF2507,'Quitados DUPP'!$U$1:$U$6635,0),""))</f>
        <v/>
      </c>
      <c r="AH2507" s="15" t="str">
        <f t="shared" si="2"/>
        <v/>
      </c>
      <c r="AI2507" s="17" t="str">
        <f>IF(AG2507="","",INDEX('Quitados DUPP'!$G$1:$G$6635,AG2507))</f>
        <v/>
      </c>
      <c r="AJ2507" s="17" t="str">
        <f t="shared" si="3"/>
        <v/>
      </c>
    </row>
    <row r="2508" spans="31:36">
      <c r="AE2508" s="15" t="str">
        <f t="shared" si="0"/>
        <v/>
      </c>
      <c r="AF2508" s="15" t="str">
        <f t="shared" si="1"/>
        <v/>
      </c>
      <c r="AG2508" s="15" t="str">
        <f>IF(OR(AF2508="",AF2508="ERRO_CHAVE"),"",IFERROR(MATCH(AF2508,'Quitados DUPP'!$U$1:$U$6635,0),""))</f>
        <v/>
      </c>
      <c r="AH2508" s="15" t="str">
        <f t="shared" si="2"/>
        <v/>
      </c>
      <c r="AI2508" s="17" t="str">
        <f>IF(AG2508="","",INDEX('Quitados DUPP'!$G$1:$G$6635,AG2508))</f>
        <v/>
      </c>
      <c r="AJ2508" s="17" t="str">
        <f t="shared" si="3"/>
        <v/>
      </c>
    </row>
    <row r="2509" spans="31:36">
      <c r="AE2509" s="15" t="str">
        <f t="shared" si="0"/>
        <v/>
      </c>
      <c r="AF2509" s="15" t="str">
        <f t="shared" si="1"/>
        <v/>
      </c>
      <c r="AG2509" s="15" t="str">
        <f>IF(OR(AF2509="",AF2509="ERRO_CHAVE"),"",IFERROR(MATCH(AF2509,'Quitados DUPP'!$U$1:$U$6635,0),""))</f>
        <v/>
      </c>
      <c r="AH2509" s="15" t="str">
        <f t="shared" si="2"/>
        <v/>
      </c>
      <c r="AI2509" s="17" t="str">
        <f>IF(AG2509="","",INDEX('Quitados DUPP'!$G$1:$G$6635,AG2509))</f>
        <v/>
      </c>
      <c r="AJ2509" s="17" t="str">
        <f t="shared" si="3"/>
        <v/>
      </c>
    </row>
    <row r="2510" spans="31:36">
      <c r="AE2510" s="15" t="str">
        <f t="shared" si="0"/>
        <v/>
      </c>
      <c r="AF2510" s="15" t="str">
        <f t="shared" si="1"/>
        <v/>
      </c>
      <c r="AG2510" s="15" t="str">
        <f>IF(OR(AF2510="",AF2510="ERRO_CHAVE"),"",IFERROR(MATCH(AF2510,'Quitados DUPP'!$U$1:$U$6635,0),""))</f>
        <v/>
      </c>
      <c r="AH2510" s="15" t="str">
        <f t="shared" si="2"/>
        <v/>
      </c>
      <c r="AI2510" s="17" t="str">
        <f>IF(AG2510="","",INDEX('Quitados DUPP'!$G$1:$G$6635,AG2510))</f>
        <v/>
      </c>
      <c r="AJ2510" s="17" t="str">
        <f t="shared" si="3"/>
        <v/>
      </c>
    </row>
    <row r="2511" spans="31:36">
      <c r="AE2511" s="15" t="str">
        <f t="shared" si="0"/>
        <v/>
      </c>
      <c r="AF2511" s="15" t="str">
        <f t="shared" si="1"/>
        <v/>
      </c>
      <c r="AG2511" s="15" t="str">
        <f>IF(OR(AF2511="",AF2511="ERRO_CHAVE"),"",IFERROR(MATCH(AF2511,'Quitados DUPP'!$U$1:$U$6635,0),""))</f>
        <v/>
      </c>
      <c r="AH2511" s="15" t="str">
        <f t="shared" si="2"/>
        <v/>
      </c>
      <c r="AI2511" s="17" t="str">
        <f>IF(AG2511="","",INDEX('Quitados DUPP'!$G$1:$G$6635,AG2511))</f>
        <v/>
      </c>
      <c r="AJ2511" s="17" t="str">
        <f t="shared" si="3"/>
        <v/>
      </c>
    </row>
    <row r="2512" spans="31:36">
      <c r="AE2512" s="15" t="str">
        <f t="shared" si="0"/>
        <v/>
      </c>
      <c r="AF2512" s="15" t="str">
        <f t="shared" si="1"/>
        <v/>
      </c>
      <c r="AG2512" s="15" t="str">
        <f>IF(OR(AF2512="",AF2512="ERRO_CHAVE"),"",IFERROR(MATCH(AF2512,'Quitados DUPP'!$U$1:$U$6635,0),""))</f>
        <v/>
      </c>
      <c r="AH2512" s="15" t="str">
        <f t="shared" si="2"/>
        <v/>
      </c>
      <c r="AI2512" s="17" t="str">
        <f>IF(AG2512="","",INDEX('Quitados DUPP'!$G$1:$G$6635,AG2512))</f>
        <v/>
      </c>
      <c r="AJ2512" s="17" t="str">
        <f t="shared" si="3"/>
        <v/>
      </c>
    </row>
    <row r="2513" spans="31:36">
      <c r="AE2513" s="15" t="str">
        <f t="shared" si="0"/>
        <v/>
      </c>
      <c r="AF2513" s="15" t="str">
        <f t="shared" si="1"/>
        <v/>
      </c>
      <c r="AG2513" s="15" t="str">
        <f>IF(OR(AF2513="",AF2513="ERRO_CHAVE"),"",IFERROR(MATCH(AF2513,'Quitados DUPP'!$U$1:$U$6635,0),""))</f>
        <v/>
      </c>
      <c r="AH2513" s="15" t="str">
        <f t="shared" si="2"/>
        <v/>
      </c>
      <c r="AI2513" s="17" t="str">
        <f>IF(AG2513="","",INDEX('Quitados DUPP'!$G$1:$G$6635,AG2513))</f>
        <v/>
      </c>
      <c r="AJ2513" s="17" t="str">
        <f t="shared" si="3"/>
        <v/>
      </c>
    </row>
    <row r="2514" spans="31:36">
      <c r="AE2514" s="15" t="str">
        <f t="shared" si="0"/>
        <v/>
      </c>
      <c r="AF2514" s="15" t="str">
        <f t="shared" si="1"/>
        <v/>
      </c>
      <c r="AG2514" s="15" t="str">
        <f>IF(OR(AF2514="",AF2514="ERRO_CHAVE"),"",IFERROR(MATCH(AF2514,'Quitados DUPP'!$U$1:$U$6635,0),""))</f>
        <v/>
      </c>
      <c r="AH2514" s="15" t="str">
        <f t="shared" si="2"/>
        <v/>
      </c>
      <c r="AI2514" s="17" t="str">
        <f>IF(AG2514="","",INDEX('Quitados DUPP'!$G$1:$G$6635,AG2514))</f>
        <v/>
      </c>
      <c r="AJ2514" s="17" t="str">
        <f t="shared" si="3"/>
        <v/>
      </c>
    </row>
    <row r="2515" spans="31:36">
      <c r="AE2515" s="15" t="str">
        <f t="shared" si="0"/>
        <v/>
      </c>
      <c r="AF2515" s="15" t="str">
        <f t="shared" si="1"/>
        <v/>
      </c>
      <c r="AG2515" s="15" t="str">
        <f>IF(OR(AF2515="",AF2515="ERRO_CHAVE"),"",IFERROR(MATCH(AF2515,'Quitados DUPP'!$U$1:$U$6635,0),""))</f>
        <v/>
      </c>
      <c r="AH2515" s="15" t="str">
        <f t="shared" si="2"/>
        <v/>
      </c>
      <c r="AI2515" s="17" t="str">
        <f>IF(AG2515="","",INDEX('Quitados DUPP'!$G$1:$G$6635,AG2515))</f>
        <v/>
      </c>
      <c r="AJ2515" s="17" t="str">
        <f t="shared" si="3"/>
        <v/>
      </c>
    </row>
    <row r="2516" spans="31:36">
      <c r="AE2516" s="15" t="str">
        <f t="shared" si="0"/>
        <v/>
      </c>
      <c r="AF2516" s="15" t="str">
        <f t="shared" si="1"/>
        <v/>
      </c>
      <c r="AG2516" s="15" t="str">
        <f>IF(OR(AF2516="",AF2516="ERRO_CHAVE"),"",IFERROR(MATCH(AF2516,'Quitados DUPP'!$U$1:$U$6635,0),""))</f>
        <v/>
      </c>
      <c r="AH2516" s="15" t="str">
        <f t="shared" si="2"/>
        <v/>
      </c>
      <c r="AI2516" s="17" t="str">
        <f>IF(AG2516="","",INDEX('Quitados DUPP'!$G$1:$G$6635,AG2516))</f>
        <v/>
      </c>
      <c r="AJ2516" s="17" t="str">
        <f t="shared" si="3"/>
        <v/>
      </c>
    </row>
    <row r="2517" spans="31:36">
      <c r="AE2517" s="15" t="str">
        <f t="shared" si="0"/>
        <v/>
      </c>
      <c r="AF2517" s="15" t="str">
        <f t="shared" si="1"/>
        <v/>
      </c>
      <c r="AG2517" s="15" t="str">
        <f>IF(OR(AF2517="",AF2517="ERRO_CHAVE"),"",IFERROR(MATCH(AF2517,'Quitados DUPP'!$U$1:$U$6635,0),""))</f>
        <v/>
      </c>
      <c r="AH2517" s="15" t="str">
        <f t="shared" si="2"/>
        <v/>
      </c>
      <c r="AI2517" s="17" t="str">
        <f>IF(AG2517="","",INDEX('Quitados DUPP'!$G$1:$G$6635,AG2517))</f>
        <v/>
      </c>
      <c r="AJ2517" s="17" t="str">
        <f t="shared" si="3"/>
        <v/>
      </c>
    </row>
    <row r="2518" spans="31:36">
      <c r="AE2518" s="15" t="str">
        <f t="shared" si="0"/>
        <v/>
      </c>
      <c r="AF2518" s="15" t="str">
        <f t="shared" si="1"/>
        <v/>
      </c>
      <c r="AG2518" s="15" t="str">
        <f>IF(OR(AF2518="",AF2518="ERRO_CHAVE"),"",IFERROR(MATCH(AF2518,'Quitados DUPP'!$U$1:$U$6635,0),""))</f>
        <v/>
      </c>
      <c r="AH2518" s="15" t="str">
        <f t="shared" si="2"/>
        <v/>
      </c>
      <c r="AI2518" s="17" t="str">
        <f>IF(AG2518="","",INDEX('Quitados DUPP'!$G$1:$G$6635,AG2518))</f>
        <v/>
      </c>
      <c r="AJ2518" s="17" t="str">
        <f t="shared" si="3"/>
        <v/>
      </c>
    </row>
    <row r="2519" spans="31:36">
      <c r="AE2519" s="15" t="str">
        <f t="shared" si="0"/>
        <v/>
      </c>
      <c r="AF2519" s="15" t="str">
        <f t="shared" si="1"/>
        <v/>
      </c>
      <c r="AG2519" s="15" t="str">
        <f>IF(OR(AF2519="",AF2519="ERRO_CHAVE"),"",IFERROR(MATCH(AF2519,'Quitados DUPP'!$U$1:$U$6635,0),""))</f>
        <v/>
      </c>
      <c r="AH2519" s="15" t="str">
        <f t="shared" si="2"/>
        <v/>
      </c>
      <c r="AI2519" s="17" t="str">
        <f>IF(AG2519="","",INDEX('Quitados DUPP'!$G$1:$G$6635,AG2519))</f>
        <v/>
      </c>
      <c r="AJ2519" s="17" t="str">
        <f t="shared" si="3"/>
        <v/>
      </c>
    </row>
    <row r="2520" spans="31:36">
      <c r="AE2520" s="15" t="str">
        <f t="shared" si="0"/>
        <v/>
      </c>
      <c r="AF2520" s="15" t="str">
        <f t="shared" si="1"/>
        <v/>
      </c>
      <c r="AG2520" s="15" t="str">
        <f>IF(OR(AF2520="",AF2520="ERRO_CHAVE"),"",IFERROR(MATCH(AF2520,'Quitados DUPP'!$U$1:$U$6635,0),""))</f>
        <v/>
      </c>
      <c r="AH2520" s="15" t="str">
        <f t="shared" si="2"/>
        <v/>
      </c>
      <c r="AI2520" s="17" t="str">
        <f>IF(AG2520="","",INDEX('Quitados DUPP'!$G$1:$G$6635,AG2520))</f>
        <v/>
      </c>
      <c r="AJ2520" s="17" t="str">
        <f t="shared" si="3"/>
        <v/>
      </c>
    </row>
    <row r="2521" spans="31:36">
      <c r="AE2521" s="15" t="str">
        <f t="shared" si="0"/>
        <v/>
      </c>
      <c r="AF2521" s="15" t="str">
        <f t="shared" si="1"/>
        <v/>
      </c>
      <c r="AG2521" s="15" t="str">
        <f>IF(OR(AF2521="",AF2521="ERRO_CHAVE"),"",IFERROR(MATCH(AF2521,'Quitados DUPP'!$U$1:$U$6635,0),""))</f>
        <v/>
      </c>
      <c r="AH2521" s="15" t="str">
        <f t="shared" si="2"/>
        <v/>
      </c>
      <c r="AI2521" s="17" t="str">
        <f>IF(AG2521="","",INDEX('Quitados DUPP'!$G$1:$G$6635,AG2521))</f>
        <v/>
      </c>
      <c r="AJ2521" s="17" t="str">
        <f t="shared" si="3"/>
        <v/>
      </c>
    </row>
    <row r="2522" spans="31:36">
      <c r="AE2522" s="15" t="str">
        <f t="shared" si="0"/>
        <v/>
      </c>
      <c r="AF2522" s="15" t="str">
        <f t="shared" si="1"/>
        <v/>
      </c>
      <c r="AG2522" s="15" t="str">
        <f>IF(OR(AF2522="",AF2522="ERRO_CHAVE"),"",IFERROR(MATCH(AF2522,'Quitados DUPP'!$U$1:$U$6635,0),""))</f>
        <v/>
      </c>
      <c r="AH2522" s="15" t="str">
        <f t="shared" si="2"/>
        <v/>
      </c>
      <c r="AI2522" s="17" t="str">
        <f>IF(AG2522="","",INDEX('Quitados DUPP'!$G$1:$G$6635,AG2522))</f>
        <v/>
      </c>
      <c r="AJ2522" s="17" t="str">
        <f t="shared" si="3"/>
        <v/>
      </c>
    </row>
    <row r="2523" spans="31:36">
      <c r="AE2523" s="15" t="str">
        <f t="shared" si="0"/>
        <v/>
      </c>
      <c r="AF2523" s="15" t="str">
        <f t="shared" si="1"/>
        <v/>
      </c>
      <c r="AG2523" s="15" t="str">
        <f>IF(OR(AF2523="",AF2523="ERRO_CHAVE"),"",IFERROR(MATCH(AF2523,'Quitados DUPP'!$U$1:$U$6635,0),""))</f>
        <v/>
      </c>
      <c r="AH2523" s="15" t="str">
        <f t="shared" si="2"/>
        <v/>
      </c>
      <c r="AI2523" s="17" t="str">
        <f>IF(AG2523="","",INDEX('Quitados DUPP'!$G$1:$G$6635,AG2523))</f>
        <v/>
      </c>
      <c r="AJ2523" s="17" t="str">
        <f t="shared" si="3"/>
        <v/>
      </c>
    </row>
    <row r="2524" spans="31:36">
      <c r="AE2524" s="15" t="str">
        <f t="shared" si="0"/>
        <v/>
      </c>
      <c r="AF2524" s="15" t="str">
        <f t="shared" si="1"/>
        <v/>
      </c>
      <c r="AG2524" s="15" t="str">
        <f>IF(OR(AF2524="",AF2524="ERRO_CHAVE"),"",IFERROR(MATCH(AF2524,'Quitados DUPP'!$U$1:$U$6635,0),""))</f>
        <v/>
      </c>
      <c r="AH2524" s="15" t="str">
        <f t="shared" si="2"/>
        <v/>
      </c>
      <c r="AI2524" s="17" t="str">
        <f>IF(AG2524="","",INDEX('Quitados DUPP'!$G$1:$G$6635,AG2524))</f>
        <v/>
      </c>
      <c r="AJ2524" s="17" t="str">
        <f t="shared" si="3"/>
        <v/>
      </c>
    </row>
    <row r="2525" spans="31:36">
      <c r="AE2525" s="15" t="str">
        <f t="shared" si="0"/>
        <v/>
      </c>
      <c r="AF2525" s="15" t="str">
        <f t="shared" si="1"/>
        <v/>
      </c>
      <c r="AG2525" s="15" t="str">
        <f>IF(OR(AF2525="",AF2525="ERRO_CHAVE"),"",IFERROR(MATCH(AF2525,'Quitados DUPP'!$U$1:$U$6635,0),""))</f>
        <v/>
      </c>
      <c r="AH2525" s="15" t="str">
        <f t="shared" si="2"/>
        <v/>
      </c>
      <c r="AI2525" s="17" t="str">
        <f>IF(AG2525="","",INDEX('Quitados DUPP'!$G$1:$G$6635,AG2525))</f>
        <v/>
      </c>
      <c r="AJ2525" s="17" t="str">
        <f t="shared" si="3"/>
        <v/>
      </c>
    </row>
    <row r="2526" spans="31:36">
      <c r="AE2526" s="15" t="str">
        <f t="shared" si="0"/>
        <v/>
      </c>
      <c r="AF2526" s="15" t="str">
        <f t="shared" si="1"/>
        <v/>
      </c>
      <c r="AG2526" s="15" t="str">
        <f>IF(OR(AF2526="",AF2526="ERRO_CHAVE"),"",IFERROR(MATCH(AF2526,'Quitados DUPP'!$U$1:$U$6635,0),""))</f>
        <v/>
      </c>
      <c r="AH2526" s="15" t="str">
        <f t="shared" si="2"/>
        <v/>
      </c>
      <c r="AI2526" s="17" t="str">
        <f>IF(AG2526="","",INDEX('Quitados DUPP'!$G$1:$G$6635,AG2526))</f>
        <v/>
      </c>
      <c r="AJ2526" s="17" t="str">
        <f t="shared" si="3"/>
        <v/>
      </c>
    </row>
    <row r="2527" spans="31:36">
      <c r="AE2527" s="15" t="str">
        <f t="shared" si="0"/>
        <v/>
      </c>
      <c r="AF2527" s="15" t="str">
        <f t="shared" si="1"/>
        <v/>
      </c>
      <c r="AG2527" s="15" t="str">
        <f>IF(OR(AF2527="",AF2527="ERRO_CHAVE"),"",IFERROR(MATCH(AF2527,'Quitados DUPP'!$U$1:$U$6635,0),""))</f>
        <v/>
      </c>
      <c r="AH2527" s="15" t="str">
        <f t="shared" si="2"/>
        <v/>
      </c>
      <c r="AI2527" s="17" t="str">
        <f>IF(AG2527="","",INDEX('Quitados DUPP'!$G$1:$G$6635,AG2527))</f>
        <v/>
      </c>
      <c r="AJ2527" s="17" t="str">
        <f t="shared" si="3"/>
        <v/>
      </c>
    </row>
    <row r="2528" spans="31:36">
      <c r="AE2528" s="15" t="str">
        <f t="shared" si="0"/>
        <v/>
      </c>
      <c r="AF2528" s="15" t="str">
        <f t="shared" si="1"/>
        <v/>
      </c>
      <c r="AG2528" s="15" t="str">
        <f>IF(OR(AF2528="",AF2528="ERRO_CHAVE"),"",IFERROR(MATCH(AF2528,'Quitados DUPP'!$U$1:$U$6635,0),""))</f>
        <v/>
      </c>
      <c r="AH2528" s="15" t="str">
        <f t="shared" si="2"/>
        <v/>
      </c>
      <c r="AI2528" s="17" t="str">
        <f>IF(AG2528="","",INDEX('Quitados DUPP'!$G$1:$G$6635,AG2528))</f>
        <v/>
      </c>
      <c r="AJ2528" s="17" t="str">
        <f t="shared" si="3"/>
        <v/>
      </c>
    </row>
    <row r="2529" spans="31:36">
      <c r="AE2529" s="15" t="str">
        <f t="shared" si="0"/>
        <v/>
      </c>
      <c r="AF2529" s="15" t="str">
        <f t="shared" si="1"/>
        <v/>
      </c>
      <c r="AG2529" s="15" t="str">
        <f>IF(OR(AF2529="",AF2529="ERRO_CHAVE"),"",IFERROR(MATCH(AF2529,'Quitados DUPP'!$U$1:$U$6635,0),""))</f>
        <v/>
      </c>
      <c r="AH2529" s="15" t="str">
        <f t="shared" si="2"/>
        <v/>
      </c>
      <c r="AI2529" s="17" t="str">
        <f>IF(AG2529="","",INDEX('Quitados DUPP'!$G$1:$G$6635,AG2529))</f>
        <v/>
      </c>
      <c r="AJ2529" s="17" t="str">
        <f t="shared" si="3"/>
        <v/>
      </c>
    </row>
    <row r="2530" spans="31:36">
      <c r="AE2530" s="15" t="str">
        <f t="shared" si="0"/>
        <v/>
      </c>
      <c r="AF2530" s="15" t="str">
        <f t="shared" si="1"/>
        <v/>
      </c>
      <c r="AG2530" s="15" t="str">
        <f>IF(OR(AF2530="",AF2530="ERRO_CHAVE"),"",IFERROR(MATCH(AF2530,'Quitados DUPP'!$U$1:$U$6635,0),""))</f>
        <v/>
      </c>
      <c r="AH2530" s="15" t="str">
        <f t="shared" si="2"/>
        <v/>
      </c>
      <c r="AI2530" s="17" t="str">
        <f>IF(AG2530="","",INDEX('Quitados DUPP'!$G$1:$G$6635,AG2530))</f>
        <v/>
      </c>
      <c r="AJ2530" s="17" t="str">
        <f t="shared" si="3"/>
        <v/>
      </c>
    </row>
    <row r="2531" spans="31:36">
      <c r="AE2531" s="15" t="str">
        <f t="shared" si="0"/>
        <v/>
      </c>
      <c r="AF2531" s="15" t="str">
        <f t="shared" si="1"/>
        <v/>
      </c>
      <c r="AG2531" s="15" t="str">
        <f>IF(OR(AF2531="",AF2531="ERRO_CHAVE"),"",IFERROR(MATCH(AF2531,'Quitados DUPP'!$U$1:$U$6635,0),""))</f>
        <v/>
      </c>
      <c r="AH2531" s="15" t="str">
        <f t="shared" si="2"/>
        <v/>
      </c>
      <c r="AI2531" s="17" t="str">
        <f>IF(AG2531="","",INDEX('Quitados DUPP'!$G$1:$G$6635,AG2531))</f>
        <v/>
      </c>
      <c r="AJ2531" s="17" t="str">
        <f t="shared" si="3"/>
        <v/>
      </c>
    </row>
    <row r="2532" spans="31:36">
      <c r="AE2532" s="15" t="str">
        <f t="shared" si="0"/>
        <v/>
      </c>
      <c r="AF2532" s="15" t="str">
        <f t="shared" si="1"/>
        <v/>
      </c>
      <c r="AG2532" s="15" t="str">
        <f>IF(OR(AF2532="",AF2532="ERRO_CHAVE"),"",IFERROR(MATCH(AF2532,'Quitados DUPP'!$U$1:$U$6635,0),""))</f>
        <v/>
      </c>
      <c r="AH2532" s="15" t="str">
        <f t="shared" si="2"/>
        <v/>
      </c>
      <c r="AI2532" s="17" t="str">
        <f>IF(AG2532="","",INDEX('Quitados DUPP'!$G$1:$G$6635,AG2532))</f>
        <v/>
      </c>
      <c r="AJ2532" s="17" t="str">
        <f t="shared" si="3"/>
        <v/>
      </c>
    </row>
    <row r="2533" spans="31:36">
      <c r="AE2533" s="15" t="str">
        <f t="shared" si="0"/>
        <v/>
      </c>
      <c r="AF2533" s="15" t="str">
        <f t="shared" si="1"/>
        <v/>
      </c>
      <c r="AG2533" s="15" t="str">
        <f>IF(OR(AF2533="",AF2533="ERRO_CHAVE"),"",IFERROR(MATCH(AF2533,'Quitados DUPP'!$U$1:$U$6635,0),""))</f>
        <v/>
      </c>
      <c r="AH2533" s="15" t="str">
        <f t="shared" si="2"/>
        <v/>
      </c>
      <c r="AI2533" s="17" t="str">
        <f>IF(AG2533="","",INDEX('Quitados DUPP'!$G$1:$G$6635,AG2533))</f>
        <v/>
      </c>
      <c r="AJ2533" s="17" t="str">
        <f t="shared" si="3"/>
        <v/>
      </c>
    </row>
    <row r="2534" spans="31:36">
      <c r="AE2534" s="15" t="str">
        <f t="shared" si="0"/>
        <v/>
      </c>
      <c r="AF2534" s="15" t="str">
        <f t="shared" si="1"/>
        <v/>
      </c>
      <c r="AG2534" s="15" t="str">
        <f>IF(OR(AF2534="",AF2534="ERRO_CHAVE"),"",IFERROR(MATCH(AF2534,'Quitados DUPP'!$U$1:$U$6635,0),""))</f>
        <v/>
      </c>
      <c r="AH2534" s="15" t="str">
        <f t="shared" si="2"/>
        <v/>
      </c>
      <c r="AI2534" s="17" t="str">
        <f>IF(AG2534="","",INDEX('Quitados DUPP'!$G$1:$G$6635,AG2534))</f>
        <v/>
      </c>
      <c r="AJ2534" s="17" t="str">
        <f t="shared" si="3"/>
        <v/>
      </c>
    </row>
    <row r="2535" spans="31:36">
      <c r="AE2535" s="15" t="str">
        <f t="shared" si="0"/>
        <v/>
      </c>
      <c r="AF2535" s="15" t="str">
        <f t="shared" si="1"/>
        <v/>
      </c>
      <c r="AG2535" s="15" t="str">
        <f>IF(OR(AF2535="",AF2535="ERRO_CHAVE"),"",IFERROR(MATCH(AF2535,'Quitados DUPP'!$U$1:$U$6635,0),""))</f>
        <v/>
      </c>
      <c r="AH2535" s="15" t="str">
        <f t="shared" si="2"/>
        <v/>
      </c>
      <c r="AI2535" s="17" t="str">
        <f>IF(AG2535="","",INDEX('Quitados DUPP'!$G$1:$G$6635,AG2535))</f>
        <v/>
      </c>
      <c r="AJ2535" s="17" t="str">
        <f t="shared" si="3"/>
        <v/>
      </c>
    </row>
    <row r="2536" spans="31:36">
      <c r="AE2536" s="15" t="str">
        <f t="shared" si="0"/>
        <v/>
      </c>
      <c r="AF2536" s="15" t="str">
        <f t="shared" si="1"/>
        <v/>
      </c>
      <c r="AG2536" s="15" t="str">
        <f>IF(OR(AF2536="",AF2536="ERRO_CHAVE"),"",IFERROR(MATCH(AF2536,'Quitados DUPP'!$U$1:$U$6635,0),""))</f>
        <v/>
      </c>
      <c r="AH2536" s="15" t="str">
        <f t="shared" si="2"/>
        <v/>
      </c>
      <c r="AI2536" s="17" t="str">
        <f>IF(AG2536="","",INDEX('Quitados DUPP'!$G$1:$G$6635,AG2536))</f>
        <v/>
      </c>
      <c r="AJ2536" s="17" t="str">
        <f t="shared" si="3"/>
        <v/>
      </c>
    </row>
    <row r="2537" spans="31:36">
      <c r="AE2537" s="15" t="str">
        <f t="shared" si="0"/>
        <v/>
      </c>
      <c r="AF2537" s="15" t="str">
        <f t="shared" si="1"/>
        <v/>
      </c>
      <c r="AG2537" s="15" t="str">
        <f>IF(OR(AF2537="",AF2537="ERRO_CHAVE"),"",IFERROR(MATCH(AF2537,'Quitados DUPP'!$U$1:$U$6635,0),""))</f>
        <v/>
      </c>
      <c r="AH2537" s="15" t="str">
        <f t="shared" si="2"/>
        <v/>
      </c>
      <c r="AI2537" s="17" t="str">
        <f>IF(AG2537="","",INDEX('Quitados DUPP'!$G$1:$G$6635,AG2537))</f>
        <v/>
      </c>
      <c r="AJ2537" s="17" t="str">
        <f t="shared" si="3"/>
        <v/>
      </c>
    </row>
    <row r="2538" spans="31:36">
      <c r="AE2538" s="15" t="str">
        <f t="shared" si="0"/>
        <v/>
      </c>
      <c r="AF2538" s="15" t="str">
        <f t="shared" si="1"/>
        <v/>
      </c>
      <c r="AG2538" s="15" t="str">
        <f>IF(OR(AF2538="",AF2538="ERRO_CHAVE"),"",IFERROR(MATCH(AF2538,'Quitados DUPP'!$U$1:$U$6635,0),""))</f>
        <v/>
      </c>
      <c r="AH2538" s="15" t="str">
        <f t="shared" si="2"/>
        <v/>
      </c>
      <c r="AI2538" s="17" t="str">
        <f>IF(AG2538="","",INDEX('Quitados DUPP'!$G$1:$G$6635,AG2538))</f>
        <v/>
      </c>
      <c r="AJ2538" s="17" t="str">
        <f t="shared" si="3"/>
        <v/>
      </c>
    </row>
    <row r="2539" spans="31:36">
      <c r="AE2539" s="15" t="str">
        <f t="shared" si="0"/>
        <v/>
      </c>
      <c r="AF2539" s="15" t="str">
        <f t="shared" si="1"/>
        <v/>
      </c>
      <c r="AG2539" s="15" t="str">
        <f>IF(OR(AF2539="",AF2539="ERRO_CHAVE"),"",IFERROR(MATCH(AF2539,'Quitados DUPP'!$U$1:$U$6635,0),""))</f>
        <v/>
      </c>
      <c r="AH2539" s="15" t="str">
        <f t="shared" si="2"/>
        <v/>
      </c>
      <c r="AI2539" s="17" t="str">
        <f>IF(AG2539="","",INDEX('Quitados DUPP'!$G$1:$G$6635,AG2539))</f>
        <v/>
      </c>
      <c r="AJ2539" s="17" t="str">
        <f t="shared" si="3"/>
        <v/>
      </c>
    </row>
    <row r="2540" spans="31:36">
      <c r="AE2540" s="15" t="str">
        <f t="shared" si="0"/>
        <v/>
      </c>
      <c r="AF2540" s="15" t="str">
        <f t="shared" si="1"/>
        <v/>
      </c>
      <c r="AG2540" s="15" t="str">
        <f>IF(OR(AF2540="",AF2540="ERRO_CHAVE"),"",IFERROR(MATCH(AF2540,'Quitados DUPP'!$U$1:$U$6635,0),""))</f>
        <v/>
      </c>
      <c r="AH2540" s="15" t="str">
        <f t="shared" si="2"/>
        <v/>
      </c>
      <c r="AI2540" s="17" t="str">
        <f>IF(AG2540="","",INDEX('Quitados DUPP'!$G$1:$G$6635,AG2540))</f>
        <v/>
      </c>
      <c r="AJ2540" s="17" t="str">
        <f t="shared" si="3"/>
        <v/>
      </c>
    </row>
    <row r="2541" spans="31:36">
      <c r="AE2541" s="15" t="str">
        <f t="shared" si="0"/>
        <v/>
      </c>
      <c r="AF2541" s="15" t="str">
        <f t="shared" si="1"/>
        <v/>
      </c>
      <c r="AG2541" s="15" t="str">
        <f>IF(OR(AF2541="",AF2541="ERRO_CHAVE"),"",IFERROR(MATCH(AF2541,'Quitados DUPP'!$U$1:$U$6635,0),""))</f>
        <v/>
      </c>
      <c r="AH2541" s="15" t="str">
        <f t="shared" si="2"/>
        <v/>
      </c>
      <c r="AI2541" s="17" t="str">
        <f>IF(AG2541="","",INDEX('Quitados DUPP'!$G$1:$G$6635,AG2541))</f>
        <v/>
      </c>
      <c r="AJ2541" s="17" t="str">
        <f t="shared" si="3"/>
        <v/>
      </c>
    </row>
    <row r="2542" spans="31:36">
      <c r="AE2542" s="15" t="str">
        <f t="shared" si="0"/>
        <v/>
      </c>
      <c r="AF2542" s="15" t="str">
        <f t="shared" si="1"/>
        <v/>
      </c>
      <c r="AG2542" s="15" t="str">
        <f>IF(OR(AF2542="",AF2542="ERRO_CHAVE"),"",IFERROR(MATCH(AF2542,'Quitados DUPP'!$U$1:$U$6635,0),""))</f>
        <v/>
      </c>
      <c r="AH2542" s="15" t="str">
        <f t="shared" si="2"/>
        <v/>
      </c>
      <c r="AI2542" s="17" t="str">
        <f>IF(AG2542="","",INDEX('Quitados DUPP'!$G$1:$G$6635,AG2542))</f>
        <v/>
      </c>
      <c r="AJ2542" s="17" t="str">
        <f t="shared" si="3"/>
        <v/>
      </c>
    </row>
    <row r="2543" spans="31:36">
      <c r="AE2543" s="15" t="str">
        <f t="shared" si="0"/>
        <v/>
      </c>
      <c r="AF2543" s="15" t="str">
        <f t="shared" si="1"/>
        <v/>
      </c>
      <c r="AG2543" s="15" t="str">
        <f>IF(OR(AF2543="",AF2543="ERRO_CHAVE"),"",IFERROR(MATCH(AF2543,'Quitados DUPP'!$U$1:$U$6635,0),""))</f>
        <v/>
      </c>
      <c r="AH2543" s="15" t="str">
        <f t="shared" si="2"/>
        <v/>
      </c>
      <c r="AI2543" s="17" t="str">
        <f>IF(AG2543="","",INDEX('Quitados DUPP'!$G$1:$G$6635,AG2543))</f>
        <v/>
      </c>
      <c r="AJ2543" s="17" t="str">
        <f t="shared" si="3"/>
        <v/>
      </c>
    </row>
    <row r="2544" spans="31:36">
      <c r="AE2544" s="15" t="str">
        <f t="shared" si="0"/>
        <v/>
      </c>
      <c r="AF2544" s="15" t="str">
        <f t="shared" si="1"/>
        <v/>
      </c>
      <c r="AG2544" s="15" t="str">
        <f>IF(OR(AF2544="",AF2544="ERRO_CHAVE"),"",IFERROR(MATCH(AF2544,'Quitados DUPP'!$U$1:$U$6635,0),""))</f>
        <v/>
      </c>
      <c r="AH2544" s="15" t="str">
        <f t="shared" si="2"/>
        <v/>
      </c>
      <c r="AI2544" s="17" t="str">
        <f>IF(AG2544="","",INDEX('Quitados DUPP'!$G$1:$G$6635,AG2544))</f>
        <v/>
      </c>
      <c r="AJ2544" s="17" t="str">
        <f t="shared" si="3"/>
        <v/>
      </c>
    </row>
    <row r="2545" spans="31:36">
      <c r="AE2545" s="15" t="str">
        <f t="shared" si="0"/>
        <v/>
      </c>
      <c r="AF2545" s="15" t="str">
        <f t="shared" si="1"/>
        <v/>
      </c>
      <c r="AG2545" s="15" t="str">
        <f>IF(OR(AF2545="",AF2545="ERRO_CHAVE"),"",IFERROR(MATCH(AF2545,'Quitados DUPP'!$U$1:$U$6635,0),""))</f>
        <v/>
      </c>
      <c r="AH2545" s="15" t="str">
        <f t="shared" si="2"/>
        <v/>
      </c>
      <c r="AI2545" s="17" t="str">
        <f>IF(AG2545="","",INDEX('Quitados DUPP'!$G$1:$G$6635,AG2545))</f>
        <v/>
      </c>
      <c r="AJ2545" s="17" t="str">
        <f t="shared" si="3"/>
        <v/>
      </c>
    </row>
    <row r="2546" spans="31:36">
      <c r="AE2546" s="15" t="str">
        <f t="shared" si="0"/>
        <v/>
      </c>
      <c r="AF2546" s="15" t="str">
        <f t="shared" si="1"/>
        <v/>
      </c>
      <c r="AG2546" s="15" t="str">
        <f>IF(OR(AF2546="",AF2546="ERRO_CHAVE"),"",IFERROR(MATCH(AF2546,'Quitados DUPP'!$U$1:$U$6635,0),""))</f>
        <v/>
      </c>
      <c r="AH2546" s="15" t="str">
        <f t="shared" si="2"/>
        <v/>
      </c>
      <c r="AI2546" s="17" t="str">
        <f>IF(AG2546="","",INDEX('Quitados DUPP'!$G$1:$G$6635,AG2546))</f>
        <v/>
      </c>
      <c r="AJ2546" s="17" t="str">
        <f t="shared" si="3"/>
        <v/>
      </c>
    </row>
    <row r="2547" spans="31:36">
      <c r="AE2547" s="15" t="str">
        <f t="shared" si="0"/>
        <v/>
      </c>
      <c r="AF2547" s="15" t="str">
        <f t="shared" si="1"/>
        <v/>
      </c>
      <c r="AG2547" s="15" t="str">
        <f>IF(OR(AF2547="",AF2547="ERRO_CHAVE"),"",IFERROR(MATCH(AF2547,'Quitados DUPP'!$U$1:$U$6635,0),""))</f>
        <v/>
      </c>
      <c r="AH2547" s="15" t="str">
        <f t="shared" si="2"/>
        <v/>
      </c>
      <c r="AI2547" s="17" t="str">
        <f>IF(AG2547="","",INDEX('Quitados DUPP'!$G$1:$G$6635,AG2547))</f>
        <v/>
      </c>
      <c r="AJ2547" s="17" t="str">
        <f t="shared" si="3"/>
        <v/>
      </c>
    </row>
    <row r="2548" spans="31:36">
      <c r="AE2548" s="15" t="str">
        <f t="shared" si="0"/>
        <v/>
      </c>
      <c r="AF2548" s="15" t="str">
        <f t="shared" si="1"/>
        <v/>
      </c>
      <c r="AG2548" s="15" t="str">
        <f>IF(OR(AF2548="",AF2548="ERRO_CHAVE"),"",IFERROR(MATCH(AF2548,'Quitados DUPP'!$U$1:$U$6635,0),""))</f>
        <v/>
      </c>
      <c r="AH2548" s="15" t="str">
        <f t="shared" si="2"/>
        <v/>
      </c>
      <c r="AI2548" s="17" t="str">
        <f>IF(AG2548="","",INDEX('Quitados DUPP'!$G$1:$G$6635,AG2548))</f>
        <v/>
      </c>
      <c r="AJ2548" s="17" t="str">
        <f t="shared" si="3"/>
        <v/>
      </c>
    </row>
    <row r="2549" spans="31:36">
      <c r="AE2549" s="15" t="str">
        <f t="shared" si="0"/>
        <v/>
      </c>
      <c r="AF2549" s="15" t="str">
        <f t="shared" si="1"/>
        <v/>
      </c>
      <c r="AG2549" s="15" t="str">
        <f>IF(OR(AF2549="",AF2549="ERRO_CHAVE"),"",IFERROR(MATCH(AF2549,'Quitados DUPP'!$U$1:$U$6635,0),""))</f>
        <v/>
      </c>
      <c r="AH2549" s="15" t="str">
        <f t="shared" si="2"/>
        <v/>
      </c>
      <c r="AI2549" s="17" t="str">
        <f>IF(AG2549="","",INDEX('Quitados DUPP'!$G$1:$G$6635,AG2549))</f>
        <v/>
      </c>
      <c r="AJ2549" s="17" t="str">
        <f t="shared" si="3"/>
        <v/>
      </c>
    </row>
    <row r="2550" spans="31:36">
      <c r="AE2550" s="15" t="str">
        <f t="shared" si="0"/>
        <v/>
      </c>
      <c r="AF2550" s="15" t="str">
        <f t="shared" si="1"/>
        <v/>
      </c>
      <c r="AG2550" s="15" t="str">
        <f>IF(OR(AF2550="",AF2550="ERRO_CHAVE"),"",IFERROR(MATCH(AF2550,'Quitados DUPP'!$U$1:$U$6635,0),""))</f>
        <v/>
      </c>
      <c r="AH2550" s="15" t="str">
        <f t="shared" si="2"/>
        <v/>
      </c>
      <c r="AI2550" s="17" t="str">
        <f>IF(AG2550="","",INDEX('Quitados DUPP'!$G$1:$G$6635,AG2550))</f>
        <v/>
      </c>
      <c r="AJ2550" s="17" t="str">
        <f t="shared" si="3"/>
        <v/>
      </c>
    </row>
    <row r="2551" spans="31:36">
      <c r="AE2551" s="15" t="str">
        <f t="shared" si="0"/>
        <v/>
      </c>
      <c r="AF2551" s="15" t="str">
        <f t="shared" si="1"/>
        <v/>
      </c>
      <c r="AG2551" s="15" t="str">
        <f>IF(OR(AF2551="",AF2551="ERRO_CHAVE"),"",IFERROR(MATCH(AF2551,'Quitados DUPP'!$U$1:$U$6635,0),""))</f>
        <v/>
      </c>
      <c r="AH2551" s="15" t="str">
        <f t="shared" si="2"/>
        <v/>
      </c>
      <c r="AI2551" s="17" t="str">
        <f>IF(AG2551="","",INDEX('Quitados DUPP'!$G$1:$G$6635,AG2551))</f>
        <v/>
      </c>
      <c r="AJ2551" s="17" t="str">
        <f t="shared" si="3"/>
        <v/>
      </c>
    </row>
    <row r="2552" spans="31:36">
      <c r="AE2552" s="15" t="str">
        <f t="shared" si="0"/>
        <v/>
      </c>
      <c r="AF2552" s="15" t="str">
        <f t="shared" si="1"/>
        <v/>
      </c>
      <c r="AG2552" s="15" t="str">
        <f>IF(OR(AF2552="",AF2552="ERRO_CHAVE"),"",IFERROR(MATCH(AF2552,'Quitados DUPP'!$U$1:$U$6635,0),""))</f>
        <v/>
      </c>
      <c r="AH2552" s="15" t="str">
        <f t="shared" si="2"/>
        <v/>
      </c>
      <c r="AI2552" s="17" t="str">
        <f>IF(AG2552="","",INDEX('Quitados DUPP'!$G$1:$G$6635,AG2552))</f>
        <v/>
      </c>
      <c r="AJ2552" s="17" t="str">
        <f t="shared" si="3"/>
        <v/>
      </c>
    </row>
    <row r="2553" spans="31:36">
      <c r="AE2553" s="15" t="str">
        <f t="shared" si="0"/>
        <v/>
      </c>
      <c r="AF2553" s="15" t="str">
        <f t="shared" si="1"/>
        <v/>
      </c>
      <c r="AG2553" s="15" t="str">
        <f>IF(OR(AF2553="",AF2553="ERRO_CHAVE"),"",IFERROR(MATCH(AF2553,'Quitados DUPP'!$U$1:$U$6635,0),""))</f>
        <v/>
      </c>
      <c r="AH2553" s="15" t="str">
        <f t="shared" si="2"/>
        <v/>
      </c>
      <c r="AI2553" s="17" t="str">
        <f>IF(AG2553="","",INDEX('Quitados DUPP'!$G$1:$G$6635,AG2553))</f>
        <v/>
      </c>
      <c r="AJ2553" s="17" t="str">
        <f t="shared" si="3"/>
        <v/>
      </c>
    </row>
    <row r="2554" spans="31:36">
      <c r="AE2554" s="15" t="str">
        <f t="shared" si="0"/>
        <v/>
      </c>
      <c r="AF2554" s="15" t="str">
        <f t="shared" si="1"/>
        <v/>
      </c>
      <c r="AG2554" s="15" t="str">
        <f>IF(OR(AF2554="",AF2554="ERRO_CHAVE"),"",IFERROR(MATCH(AF2554,'Quitados DUPP'!$U$1:$U$6635,0),""))</f>
        <v/>
      </c>
      <c r="AH2554" s="15" t="str">
        <f t="shared" si="2"/>
        <v/>
      </c>
      <c r="AI2554" s="17" t="str">
        <f>IF(AG2554="","",INDEX('Quitados DUPP'!$G$1:$G$6635,AG2554))</f>
        <v/>
      </c>
      <c r="AJ2554" s="17" t="str">
        <f t="shared" si="3"/>
        <v/>
      </c>
    </row>
    <row r="2555" spans="31:36">
      <c r="AE2555" s="15" t="str">
        <f t="shared" si="0"/>
        <v/>
      </c>
      <c r="AF2555" s="15" t="str">
        <f t="shared" si="1"/>
        <v/>
      </c>
      <c r="AG2555" s="15" t="str">
        <f>IF(OR(AF2555="",AF2555="ERRO_CHAVE"),"",IFERROR(MATCH(AF2555,'Quitados DUPP'!$U$1:$U$6635,0),""))</f>
        <v/>
      </c>
      <c r="AH2555" s="15" t="str">
        <f t="shared" si="2"/>
        <v/>
      </c>
      <c r="AI2555" s="17" t="str">
        <f>IF(AG2555="","",INDEX('Quitados DUPP'!$G$1:$G$6635,AG2555))</f>
        <v/>
      </c>
      <c r="AJ2555" s="17" t="str">
        <f t="shared" si="3"/>
        <v/>
      </c>
    </row>
    <row r="2556" spans="31:36">
      <c r="AE2556" s="15" t="str">
        <f t="shared" si="0"/>
        <v/>
      </c>
      <c r="AF2556" s="15" t="str">
        <f t="shared" si="1"/>
        <v/>
      </c>
      <c r="AG2556" s="15" t="str">
        <f>IF(OR(AF2556="",AF2556="ERRO_CHAVE"),"",IFERROR(MATCH(AF2556,'Quitados DUPP'!$U$1:$U$6635,0),""))</f>
        <v/>
      </c>
      <c r="AH2556" s="15" t="str">
        <f t="shared" si="2"/>
        <v/>
      </c>
      <c r="AI2556" s="17" t="str">
        <f>IF(AG2556="","",INDEX('Quitados DUPP'!$G$1:$G$6635,AG2556))</f>
        <v/>
      </c>
      <c r="AJ2556" s="17" t="str">
        <f t="shared" si="3"/>
        <v/>
      </c>
    </row>
    <row r="2557" spans="31:36">
      <c r="AE2557" s="15" t="str">
        <f t="shared" si="0"/>
        <v/>
      </c>
      <c r="AF2557" s="15" t="str">
        <f t="shared" si="1"/>
        <v/>
      </c>
      <c r="AG2557" s="15" t="str">
        <f>IF(OR(AF2557="",AF2557="ERRO_CHAVE"),"",IFERROR(MATCH(AF2557,'Quitados DUPP'!$U$1:$U$6635,0),""))</f>
        <v/>
      </c>
      <c r="AH2557" s="15" t="str">
        <f t="shared" si="2"/>
        <v/>
      </c>
      <c r="AI2557" s="17" t="str">
        <f>IF(AG2557="","",INDEX('Quitados DUPP'!$G$1:$G$6635,AG2557))</f>
        <v/>
      </c>
      <c r="AJ2557" s="17" t="str">
        <f t="shared" si="3"/>
        <v/>
      </c>
    </row>
    <row r="2558" spans="31:36">
      <c r="AE2558" s="15" t="str">
        <f t="shared" si="0"/>
        <v/>
      </c>
      <c r="AF2558" s="15" t="str">
        <f t="shared" si="1"/>
        <v/>
      </c>
      <c r="AG2558" s="15" t="str">
        <f>IF(OR(AF2558="",AF2558="ERRO_CHAVE"),"",IFERROR(MATCH(AF2558,'Quitados DUPP'!$U$1:$U$6635,0),""))</f>
        <v/>
      </c>
      <c r="AH2558" s="15" t="str">
        <f t="shared" si="2"/>
        <v/>
      </c>
      <c r="AI2558" s="17" t="str">
        <f>IF(AG2558="","",INDEX('Quitados DUPP'!$G$1:$G$6635,AG2558))</f>
        <v/>
      </c>
      <c r="AJ2558" s="17" t="str">
        <f t="shared" si="3"/>
        <v/>
      </c>
    </row>
    <row r="2559" spans="31:36">
      <c r="AE2559" s="15" t="str">
        <f t="shared" si="0"/>
        <v/>
      </c>
      <c r="AF2559" s="15" t="str">
        <f t="shared" si="1"/>
        <v/>
      </c>
      <c r="AG2559" s="15" t="str">
        <f>IF(OR(AF2559="",AF2559="ERRO_CHAVE"),"",IFERROR(MATCH(AF2559,'Quitados DUPP'!$U$1:$U$6635,0),""))</f>
        <v/>
      </c>
      <c r="AH2559" s="15" t="str">
        <f t="shared" si="2"/>
        <v/>
      </c>
      <c r="AI2559" s="17" t="str">
        <f>IF(AG2559="","",INDEX('Quitados DUPP'!$G$1:$G$6635,AG2559))</f>
        <v/>
      </c>
      <c r="AJ2559" s="17" t="str">
        <f t="shared" si="3"/>
        <v/>
      </c>
    </row>
    <row r="2560" spans="31:36">
      <c r="AE2560" s="15" t="str">
        <f t="shared" si="0"/>
        <v/>
      </c>
      <c r="AF2560" s="15" t="str">
        <f t="shared" si="1"/>
        <v/>
      </c>
      <c r="AG2560" s="15" t="str">
        <f>IF(OR(AF2560="",AF2560="ERRO_CHAVE"),"",IFERROR(MATCH(AF2560,'Quitados DUPP'!$U$1:$U$6635,0),""))</f>
        <v/>
      </c>
      <c r="AH2560" s="15" t="str">
        <f t="shared" si="2"/>
        <v/>
      </c>
      <c r="AI2560" s="17" t="str">
        <f>IF(AG2560="","",INDEX('Quitados DUPP'!$G$1:$G$6635,AG2560))</f>
        <v/>
      </c>
      <c r="AJ2560" s="17" t="str">
        <f t="shared" si="3"/>
        <v/>
      </c>
    </row>
    <row r="2561" spans="31:36">
      <c r="AE2561" s="15" t="str">
        <f t="shared" si="0"/>
        <v/>
      </c>
      <c r="AF2561" s="15" t="str">
        <f t="shared" si="1"/>
        <v/>
      </c>
      <c r="AG2561" s="15" t="str">
        <f>IF(OR(AF2561="",AF2561="ERRO_CHAVE"),"",IFERROR(MATCH(AF2561,'Quitados DUPP'!$U$1:$U$6635,0),""))</f>
        <v/>
      </c>
      <c r="AH2561" s="15" t="str">
        <f t="shared" si="2"/>
        <v/>
      </c>
      <c r="AI2561" s="17" t="str">
        <f>IF(AG2561="","",INDEX('Quitados DUPP'!$G$1:$G$6635,AG2561))</f>
        <v/>
      </c>
      <c r="AJ2561" s="17" t="str">
        <f t="shared" si="3"/>
        <v/>
      </c>
    </row>
    <row r="2562" spans="31:36">
      <c r="AE2562" s="15" t="str">
        <f t="shared" si="0"/>
        <v/>
      </c>
      <c r="AF2562" s="15" t="str">
        <f t="shared" si="1"/>
        <v/>
      </c>
      <c r="AG2562" s="15" t="str">
        <f>IF(OR(AF2562="",AF2562="ERRO_CHAVE"),"",IFERROR(MATCH(AF2562,'Quitados DUPP'!$U$1:$U$6635,0),""))</f>
        <v/>
      </c>
      <c r="AH2562" s="15" t="str">
        <f t="shared" si="2"/>
        <v/>
      </c>
      <c r="AI2562" s="17" t="str">
        <f>IF(AG2562="","",INDEX('Quitados DUPP'!$G$1:$G$6635,AG2562))</f>
        <v/>
      </c>
      <c r="AJ2562" s="17" t="str">
        <f t="shared" si="3"/>
        <v/>
      </c>
    </row>
    <row r="2563" spans="31:36">
      <c r="AE2563" s="15" t="str">
        <f t="shared" si="0"/>
        <v/>
      </c>
      <c r="AF2563" s="15" t="str">
        <f t="shared" si="1"/>
        <v/>
      </c>
      <c r="AG2563" s="15" t="str">
        <f>IF(OR(AF2563="",AF2563="ERRO_CHAVE"),"",IFERROR(MATCH(AF2563,'Quitados DUPP'!$U$1:$U$6635,0),""))</f>
        <v/>
      </c>
      <c r="AH2563" s="15" t="str">
        <f t="shared" si="2"/>
        <v/>
      </c>
      <c r="AI2563" s="17" t="str">
        <f>IF(AG2563="","",INDEX('Quitados DUPP'!$G$1:$G$6635,AG2563))</f>
        <v/>
      </c>
      <c r="AJ2563" s="17" t="str">
        <f t="shared" si="3"/>
        <v/>
      </c>
    </row>
    <row r="2564" spans="31:36">
      <c r="AE2564" s="15" t="str">
        <f t="shared" si="0"/>
        <v/>
      </c>
      <c r="AF2564" s="15" t="str">
        <f t="shared" si="1"/>
        <v/>
      </c>
      <c r="AG2564" s="15" t="str">
        <f>IF(OR(AF2564="",AF2564="ERRO_CHAVE"),"",IFERROR(MATCH(AF2564,'Quitados DUPP'!$U$1:$U$6635,0),""))</f>
        <v/>
      </c>
      <c r="AH2564" s="15" t="str">
        <f t="shared" si="2"/>
        <v/>
      </c>
      <c r="AI2564" s="17" t="str">
        <f>IF(AG2564="","",INDEX('Quitados DUPP'!$G$1:$G$6635,AG2564))</f>
        <v/>
      </c>
      <c r="AJ2564" s="17" t="str">
        <f t="shared" si="3"/>
        <v/>
      </c>
    </row>
    <row r="2565" spans="31:36">
      <c r="AE2565" s="15" t="str">
        <f t="shared" si="0"/>
        <v/>
      </c>
      <c r="AF2565" s="15" t="str">
        <f t="shared" si="1"/>
        <v/>
      </c>
      <c r="AG2565" s="15" t="str">
        <f>IF(OR(AF2565="",AF2565="ERRO_CHAVE"),"",IFERROR(MATCH(AF2565,'Quitados DUPP'!$U$1:$U$6635,0),""))</f>
        <v/>
      </c>
      <c r="AH2565" s="15" t="str">
        <f t="shared" si="2"/>
        <v/>
      </c>
      <c r="AI2565" s="17" t="str">
        <f>IF(AG2565="","",INDEX('Quitados DUPP'!$G$1:$G$6635,AG2565))</f>
        <v/>
      </c>
      <c r="AJ2565" s="17" t="str">
        <f t="shared" si="3"/>
        <v/>
      </c>
    </row>
    <row r="2566" spans="31:36">
      <c r="AE2566" s="15" t="str">
        <f t="shared" si="0"/>
        <v/>
      </c>
      <c r="AF2566" s="15" t="str">
        <f t="shared" si="1"/>
        <v/>
      </c>
      <c r="AG2566" s="15" t="str">
        <f>IF(OR(AF2566="",AF2566="ERRO_CHAVE"),"",IFERROR(MATCH(AF2566,'Quitados DUPP'!$U$1:$U$6635,0),""))</f>
        <v/>
      </c>
      <c r="AH2566" s="15" t="str">
        <f t="shared" si="2"/>
        <v/>
      </c>
      <c r="AI2566" s="17" t="str">
        <f>IF(AG2566="","",INDEX('Quitados DUPP'!$G$1:$G$6635,AG2566))</f>
        <v/>
      </c>
      <c r="AJ2566" s="17" t="str">
        <f t="shared" si="3"/>
        <v/>
      </c>
    </row>
    <row r="2567" spans="31:36">
      <c r="AE2567" s="15" t="str">
        <f t="shared" si="0"/>
        <v/>
      </c>
      <c r="AF2567" s="15" t="str">
        <f t="shared" si="1"/>
        <v/>
      </c>
      <c r="AG2567" s="15" t="str">
        <f>IF(OR(AF2567="",AF2567="ERRO_CHAVE"),"",IFERROR(MATCH(AF2567,'Quitados DUPP'!$U$1:$U$6635,0),""))</f>
        <v/>
      </c>
      <c r="AH2567" s="15" t="str">
        <f t="shared" si="2"/>
        <v/>
      </c>
      <c r="AI2567" s="17" t="str">
        <f>IF(AG2567="","",INDEX('Quitados DUPP'!$G$1:$G$6635,AG2567))</f>
        <v/>
      </c>
      <c r="AJ2567" s="17" t="str">
        <f t="shared" si="3"/>
        <v/>
      </c>
    </row>
    <row r="2568" spans="31:36">
      <c r="AE2568" s="15" t="str">
        <f t="shared" si="0"/>
        <v/>
      </c>
      <c r="AF2568" s="15" t="str">
        <f t="shared" si="1"/>
        <v/>
      </c>
      <c r="AG2568" s="15" t="str">
        <f>IF(OR(AF2568="",AF2568="ERRO_CHAVE"),"",IFERROR(MATCH(AF2568,'Quitados DUPP'!$U$1:$U$6635,0),""))</f>
        <v/>
      </c>
      <c r="AH2568" s="15" t="str">
        <f t="shared" si="2"/>
        <v/>
      </c>
      <c r="AI2568" s="17" t="str">
        <f>IF(AG2568="","",INDEX('Quitados DUPP'!$G$1:$G$6635,AG2568))</f>
        <v/>
      </c>
      <c r="AJ2568" s="17" t="str">
        <f t="shared" si="3"/>
        <v/>
      </c>
    </row>
    <row r="2569" spans="31:36">
      <c r="AE2569" s="15" t="str">
        <f t="shared" si="0"/>
        <v/>
      </c>
      <c r="AF2569" s="15" t="str">
        <f t="shared" si="1"/>
        <v/>
      </c>
      <c r="AG2569" s="15" t="str">
        <f>IF(OR(AF2569="",AF2569="ERRO_CHAVE"),"",IFERROR(MATCH(AF2569,'Quitados DUPP'!$U$1:$U$6635,0),""))</f>
        <v/>
      </c>
      <c r="AH2569" s="15" t="str">
        <f t="shared" si="2"/>
        <v/>
      </c>
      <c r="AI2569" s="17" t="str">
        <f>IF(AG2569="","",INDEX('Quitados DUPP'!$G$1:$G$6635,AG2569))</f>
        <v/>
      </c>
      <c r="AJ2569" s="17" t="str">
        <f t="shared" si="3"/>
        <v/>
      </c>
    </row>
    <row r="2570" spans="31:36">
      <c r="AE2570" s="15" t="str">
        <f t="shared" si="0"/>
        <v/>
      </c>
      <c r="AF2570" s="15" t="str">
        <f t="shared" si="1"/>
        <v/>
      </c>
      <c r="AG2570" s="15" t="str">
        <f>IF(OR(AF2570="",AF2570="ERRO_CHAVE"),"",IFERROR(MATCH(AF2570,'Quitados DUPP'!$U$1:$U$6635,0),""))</f>
        <v/>
      </c>
      <c r="AH2570" s="15" t="str">
        <f t="shared" si="2"/>
        <v/>
      </c>
      <c r="AI2570" s="17" t="str">
        <f>IF(AG2570="","",INDEX('Quitados DUPP'!$G$1:$G$6635,AG2570))</f>
        <v/>
      </c>
      <c r="AJ2570" s="17" t="str">
        <f t="shared" si="3"/>
        <v/>
      </c>
    </row>
    <row r="2571" spans="31:36">
      <c r="AE2571" s="15" t="str">
        <f t="shared" si="0"/>
        <v/>
      </c>
      <c r="AF2571" s="15" t="str">
        <f t="shared" si="1"/>
        <v/>
      </c>
      <c r="AG2571" s="15" t="str">
        <f>IF(OR(AF2571="",AF2571="ERRO_CHAVE"),"",IFERROR(MATCH(AF2571,'Quitados DUPP'!$U$1:$U$6635,0),""))</f>
        <v/>
      </c>
      <c r="AH2571" s="15" t="str">
        <f t="shared" si="2"/>
        <v/>
      </c>
      <c r="AI2571" s="17" t="str">
        <f>IF(AG2571="","",INDEX('Quitados DUPP'!$G$1:$G$6635,AG2571))</f>
        <v/>
      </c>
      <c r="AJ2571" s="17" t="str">
        <f t="shared" si="3"/>
        <v/>
      </c>
    </row>
    <row r="2572" spans="31:36">
      <c r="AE2572" s="15" t="str">
        <f t="shared" si="0"/>
        <v/>
      </c>
      <c r="AF2572" s="15" t="str">
        <f t="shared" si="1"/>
        <v/>
      </c>
      <c r="AG2572" s="15" t="str">
        <f>IF(OR(AF2572="",AF2572="ERRO_CHAVE"),"",IFERROR(MATCH(AF2572,'Quitados DUPP'!$U$1:$U$6635,0),""))</f>
        <v/>
      </c>
      <c r="AH2572" s="15" t="str">
        <f t="shared" si="2"/>
        <v/>
      </c>
      <c r="AI2572" s="17" t="str">
        <f>IF(AG2572="","",INDEX('Quitados DUPP'!$G$1:$G$6635,AG2572))</f>
        <v/>
      </c>
      <c r="AJ2572" s="17" t="str">
        <f t="shared" si="3"/>
        <v/>
      </c>
    </row>
    <row r="2573" spans="31:36">
      <c r="AE2573" s="15" t="str">
        <f t="shared" si="0"/>
        <v/>
      </c>
      <c r="AF2573" s="15" t="str">
        <f t="shared" si="1"/>
        <v/>
      </c>
      <c r="AG2573" s="15" t="str">
        <f>IF(OR(AF2573="",AF2573="ERRO_CHAVE"),"",IFERROR(MATCH(AF2573,'Quitados DUPP'!$U$1:$U$6635,0),""))</f>
        <v/>
      </c>
      <c r="AH2573" s="15" t="str">
        <f t="shared" si="2"/>
        <v/>
      </c>
      <c r="AI2573" s="17" t="str">
        <f>IF(AG2573="","",INDEX('Quitados DUPP'!$G$1:$G$6635,AG2573))</f>
        <v/>
      </c>
      <c r="AJ2573" s="17" t="str">
        <f t="shared" si="3"/>
        <v/>
      </c>
    </row>
    <row r="2574" spans="31:36">
      <c r="AE2574" s="15" t="str">
        <f t="shared" si="0"/>
        <v/>
      </c>
      <c r="AF2574" s="15" t="str">
        <f t="shared" si="1"/>
        <v/>
      </c>
      <c r="AG2574" s="15" t="str">
        <f>IF(OR(AF2574="",AF2574="ERRO_CHAVE"),"",IFERROR(MATCH(AF2574,'Quitados DUPP'!$U$1:$U$6635,0),""))</f>
        <v/>
      </c>
      <c r="AH2574" s="15" t="str">
        <f t="shared" si="2"/>
        <v/>
      </c>
      <c r="AI2574" s="17" t="str">
        <f>IF(AG2574="","",INDEX('Quitados DUPP'!$G$1:$G$6635,AG2574))</f>
        <v/>
      </c>
      <c r="AJ2574" s="17" t="str">
        <f t="shared" si="3"/>
        <v/>
      </c>
    </row>
    <row r="2575" spans="31:36">
      <c r="AE2575" s="15" t="str">
        <f t="shared" si="0"/>
        <v/>
      </c>
      <c r="AF2575" s="15" t="str">
        <f t="shared" si="1"/>
        <v/>
      </c>
      <c r="AG2575" s="15" t="str">
        <f>IF(OR(AF2575="",AF2575="ERRO_CHAVE"),"",IFERROR(MATCH(AF2575,'Quitados DUPP'!$U$1:$U$6635,0),""))</f>
        <v/>
      </c>
      <c r="AH2575" s="15" t="str">
        <f t="shared" si="2"/>
        <v/>
      </c>
      <c r="AI2575" s="17" t="str">
        <f>IF(AG2575="","",INDEX('Quitados DUPP'!$G$1:$G$6635,AG2575))</f>
        <v/>
      </c>
      <c r="AJ2575" s="17" t="str">
        <f t="shared" si="3"/>
        <v/>
      </c>
    </row>
    <row r="2576" spans="31:36">
      <c r="AE2576" s="15" t="str">
        <f t="shared" si="0"/>
        <v/>
      </c>
      <c r="AF2576" s="15" t="str">
        <f t="shared" si="1"/>
        <v/>
      </c>
      <c r="AG2576" s="15" t="str">
        <f>IF(OR(AF2576="",AF2576="ERRO_CHAVE"),"",IFERROR(MATCH(AF2576,'Quitados DUPP'!$U$1:$U$6635,0),""))</f>
        <v/>
      </c>
      <c r="AH2576" s="15" t="str">
        <f t="shared" si="2"/>
        <v/>
      </c>
      <c r="AI2576" s="17" t="str">
        <f>IF(AG2576="","",INDEX('Quitados DUPP'!$G$1:$G$6635,AG2576))</f>
        <v/>
      </c>
      <c r="AJ2576" s="17" t="str">
        <f t="shared" si="3"/>
        <v/>
      </c>
    </row>
    <row r="2577" spans="31:36">
      <c r="AE2577" s="15" t="str">
        <f t="shared" si="0"/>
        <v/>
      </c>
      <c r="AF2577" s="15" t="str">
        <f t="shared" si="1"/>
        <v/>
      </c>
      <c r="AG2577" s="15" t="str">
        <f>IF(OR(AF2577="",AF2577="ERRO_CHAVE"),"",IFERROR(MATCH(AF2577,'Quitados DUPP'!$U$1:$U$6635,0),""))</f>
        <v/>
      </c>
      <c r="AH2577" s="15" t="str">
        <f t="shared" si="2"/>
        <v/>
      </c>
      <c r="AI2577" s="17" t="str">
        <f>IF(AG2577="","",INDEX('Quitados DUPP'!$G$1:$G$6635,AG2577))</f>
        <v/>
      </c>
      <c r="AJ2577" s="17" t="str">
        <f t="shared" si="3"/>
        <v/>
      </c>
    </row>
    <row r="2578" spans="31:36">
      <c r="AE2578" s="15" t="str">
        <f t="shared" si="0"/>
        <v/>
      </c>
      <c r="AF2578" s="15" t="str">
        <f t="shared" si="1"/>
        <v/>
      </c>
      <c r="AG2578" s="15" t="str">
        <f>IF(OR(AF2578="",AF2578="ERRO_CHAVE"),"",IFERROR(MATCH(AF2578,'Quitados DUPP'!$U$1:$U$6635,0),""))</f>
        <v/>
      </c>
      <c r="AH2578" s="15" t="str">
        <f t="shared" si="2"/>
        <v/>
      </c>
      <c r="AI2578" s="17" t="str">
        <f>IF(AG2578="","",INDEX('Quitados DUPP'!$G$1:$G$6635,AG2578))</f>
        <v/>
      </c>
      <c r="AJ2578" s="17" t="str">
        <f t="shared" si="3"/>
        <v/>
      </c>
    </row>
    <row r="2579" spans="31:36">
      <c r="AE2579" s="15" t="str">
        <f t="shared" si="0"/>
        <v/>
      </c>
      <c r="AF2579" s="15" t="str">
        <f t="shared" si="1"/>
        <v/>
      </c>
      <c r="AG2579" s="15" t="str">
        <f>IF(OR(AF2579="",AF2579="ERRO_CHAVE"),"",IFERROR(MATCH(AF2579,'Quitados DUPP'!$U$1:$U$6635,0),""))</f>
        <v/>
      </c>
      <c r="AH2579" s="15" t="str">
        <f t="shared" si="2"/>
        <v/>
      </c>
      <c r="AI2579" s="17" t="str">
        <f>IF(AG2579="","",INDEX('Quitados DUPP'!$G$1:$G$6635,AG2579))</f>
        <v/>
      </c>
      <c r="AJ2579" s="17" t="str">
        <f t="shared" si="3"/>
        <v/>
      </c>
    </row>
    <row r="2580" spans="31:36">
      <c r="AE2580" s="15" t="str">
        <f t="shared" si="0"/>
        <v/>
      </c>
      <c r="AF2580" s="15" t="str">
        <f t="shared" si="1"/>
        <v/>
      </c>
      <c r="AG2580" s="15" t="str">
        <f>IF(OR(AF2580="",AF2580="ERRO_CHAVE"),"",IFERROR(MATCH(AF2580,'Quitados DUPP'!$U$1:$U$6635,0),""))</f>
        <v/>
      </c>
      <c r="AH2580" s="15" t="str">
        <f t="shared" si="2"/>
        <v/>
      </c>
      <c r="AI2580" s="17" t="str">
        <f>IF(AG2580="","",INDEX('Quitados DUPP'!$G$1:$G$6635,AG2580))</f>
        <v/>
      </c>
      <c r="AJ2580" s="17" t="str">
        <f t="shared" si="3"/>
        <v/>
      </c>
    </row>
    <row r="2581" spans="31:36">
      <c r="AE2581" s="15" t="str">
        <f t="shared" si="0"/>
        <v/>
      </c>
      <c r="AF2581" s="15" t="str">
        <f t="shared" si="1"/>
        <v/>
      </c>
      <c r="AG2581" s="15" t="str">
        <f>IF(OR(AF2581="",AF2581="ERRO_CHAVE"),"",IFERROR(MATCH(AF2581,'Quitados DUPP'!$U$1:$U$6635,0),""))</f>
        <v/>
      </c>
      <c r="AH2581" s="15" t="str">
        <f t="shared" si="2"/>
        <v/>
      </c>
      <c r="AI2581" s="17" t="str">
        <f>IF(AG2581="","",INDEX('Quitados DUPP'!$G$1:$G$6635,AG2581))</f>
        <v/>
      </c>
      <c r="AJ2581" s="17" t="str">
        <f t="shared" si="3"/>
        <v/>
      </c>
    </row>
    <row r="2582" spans="31:36">
      <c r="AE2582" s="15" t="str">
        <f t="shared" si="0"/>
        <v/>
      </c>
      <c r="AF2582" s="15" t="str">
        <f t="shared" si="1"/>
        <v/>
      </c>
      <c r="AG2582" s="15" t="str">
        <f>IF(OR(AF2582="",AF2582="ERRO_CHAVE"),"",IFERROR(MATCH(AF2582,'Quitados DUPP'!$U$1:$U$6635,0),""))</f>
        <v/>
      </c>
      <c r="AH2582" s="15" t="str">
        <f t="shared" si="2"/>
        <v/>
      </c>
      <c r="AI2582" s="17" t="str">
        <f>IF(AG2582="","",INDEX('Quitados DUPP'!$G$1:$G$6635,AG2582))</f>
        <v/>
      </c>
      <c r="AJ2582" s="17" t="str">
        <f t="shared" si="3"/>
        <v/>
      </c>
    </row>
    <row r="2583" spans="31:36">
      <c r="AE2583" s="15" t="str">
        <f t="shared" si="0"/>
        <v/>
      </c>
      <c r="AF2583" s="15" t="str">
        <f t="shared" si="1"/>
        <v/>
      </c>
      <c r="AG2583" s="15" t="str">
        <f>IF(OR(AF2583="",AF2583="ERRO_CHAVE"),"",IFERROR(MATCH(AF2583,'Quitados DUPP'!$U$1:$U$6635,0),""))</f>
        <v/>
      </c>
      <c r="AH2583" s="15" t="str">
        <f t="shared" si="2"/>
        <v/>
      </c>
      <c r="AI2583" s="17" t="str">
        <f>IF(AG2583="","",INDEX('Quitados DUPP'!$G$1:$G$6635,AG2583))</f>
        <v/>
      </c>
      <c r="AJ2583" s="17" t="str">
        <f t="shared" si="3"/>
        <v/>
      </c>
    </row>
    <row r="2584" spans="31:36">
      <c r="AE2584" s="15" t="str">
        <f t="shared" si="0"/>
        <v/>
      </c>
      <c r="AF2584" s="15" t="str">
        <f t="shared" si="1"/>
        <v/>
      </c>
      <c r="AG2584" s="15" t="str">
        <f>IF(OR(AF2584="",AF2584="ERRO_CHAVE"),"",IFERROR(MATCH(AF2584,'Quitados DUPP'!$U$1:$U$6635,0),""))</f>
        <v/>
      </c>
      <c r="AH2584" s="15" t="str">
        <f t="shared" si="2"/>
        <v/>
      </c>
      <c r="AI2584" s="17" t="str">
        <f>IF(AG2584="","",INDEX('Quitados DUPP'!$G$1:$G$6635,AG2584))</f>
        <v/>
      </c>
      <c r="AJ2584" s="17" t="str">
        <f t="shared" si="3"/>
        <v/>
      </c>
    </row>
    <row r="2585" spans="31:36">
      <c r="AE2585" s="15" t="str">
        <f t="shared" si="0"/>
        <v/>
      </c>
      <c r="AF2585" s="15" t="str">
        <f t="shared" si="1"/>
        <v/>
      </c>
      <c r="AG2585" s="15" t="str">
        <f>IF(OR(AF2585="",AF2585="ERRO_CHAVE"),"",IFERROR(MATCH(AF2585,'Quitados DUPP'!$U$1:$U$6635,0),""))</f>
        <v/>
      </c>
      <c r="AH2585" s="15" t="str">
        <f t="shared" si="2"/>
        <v/>
      </c>
      <c r="AI2585" s="17" t="str">
        <f>IF(AG2585="","",INDEX('Quitados DUPP'!$G$1:$G$6635,AG2585))</f>
        <v/>
      </c>
      <c r="AJ2585" s="17" t="str">
        <f t="shared" si="3"/>
        <v/>
      </c>
    </row>
    <row r="2586" spans="31:36">
      <c r="AE2586" s="15" t="str">
        <f t="shared" si="0"/>
        <v/>
      </c>
      <c r="AF2586" s="15" t="str">
        <f t="shared" si="1"/>
        <v/>
      </c>
      <c r="AG2586" s="15" t="str">
        <f>IF(OR(AF2586="",AF2586="ERRO_CHAVE"),"",IFERROR(MATCH(AF2586,'Quitados DUPP'!$U$1:$U$6635,0),""))</f>
        <v/>
      </c>
      <c r="AH2586" s="15" t="str">
        <f t="shared" si="2"/>
        <v/>
      </c>
      <c r="AI2586" s="17" t="str">
        <f>IF(AG2586="","",INDEX('Quitados DUPP'!$G$1:$G$6635,AG2586))</f>
        <v/>
      </c>
      <c r="AJ2586" s="17" t="str">
        <f t="shared" si="3"/>
        <v/>
      </c>
    </row>
    <row r="2587" spans="31:36">
      <c r="AE2587" s="15" t="str">
        <f t="shared" si="0"/>
        <v/>
      </c>
      <c r="AF2587" s="15" t="str">
        <f t="shared" si="1"/>
        <v/>
      </c>
      <c r="AG2587" s="15" t="str">
        <f>IF(OR(AF2587="",AF2587="ERRO_CHAVE"),"",IFERROR(MATCH(AF2587,'Quitados DUPP'!$U$1:$U$6635,0),""))</f>
        <v/>
      </c>
      <c r="AH2587" s="15" t="str">
        <f t="shared" si="2"/>
        <v/>
      </c>
      <c r="AI2587" s="17" t="str">
        <f>IF(AG2587="","",INDEX('Quitados DUPP'!$G$1:$G$6635,AG2587))</f>
        <v/>
      </c>
      <c r="AJ2587" s="17" t="str">
        <f t="shared" si="3"/>
        <v/>
      </c>
    </row>
    <row r="2588" spans="31:36">
      <c r="AE2588" s="15" t="str">
        <f t="shared" si="0"/>
        <v/>
      </c>
      <c r="AF2588" s="15" t="str">
        <f t="shared" si="1"/>
        <v/>
      </c>
      <c r="AG2588" s="15" t="str">
        <f>IF(OR(AF2588="",AF2588="ERRO_CHAVE"),"",IFERROR(MATCH(AF2588,'Quitados DUPP'!$U$1:$U$6635,0),""))</f>
        <v/>
      </c>
      <c r="AH2588" s="15" t="str">
        <f t="shared" si="2"/>
        <v/>
      </c>
      <c r="AI2588" s="17" t="str">
        <f>IF(AG2588="","",INDEX('Quitados DUPP'!$G$1:$G$6635,AG2588))</f>
        <v/>
      </c>
      <c r="AJ2588" s="17" t="str">
        <f t="shared" si="3"/>
        <v/>
      </c>
    </row>
    <row r="2589" spans="31:36">
      <c r="AE2589" s="15" t="str">
        <f t="shared" si="0"/>
        <v/>
      </c>
      <c r="AF2589" s="15" t="str">
        <f t="shared" si="1"/>
        <v/>
      </c>
      <c r="AG2589" s="15" t="str">
        <f>IF(OR(AF2589="",AF2589="ERRO_CHAVE"),"",IFERROR(MATCH(AF2589,'Quitados DUPP'!$U$1:$U$6635,0),""))</f>
        <v/>
      </c>
      <c r="AH2589" s="15" t="str">
        <f t="shared" si="2"/>
        <v/>
      </c>
      <c r="AI2589" s="17" t="str">
        <f>IF(AG2589="","",INDEX('Quitados DUPP'!$G$1:$G$6635,AG2589))</f>
        <v/>
      </c>
      <c r="AJ2589" s="17" t="str">
        <f t="shared" si="3"/>
        <v/>
      </c>
    </row>
    <row r="2590" spans="31:36">
      <c r="AE2590" s="15" t="str">
        <f t="shared" si="0"/>
        <v/>
      </c>
      <c r="AF2590" s="15" t="str">
        <f t="shared" si="1"/>
        <v/>
      </c>
      <c r="AG2590" s="15" t="str">
        <f>IF(OR(AF2590="",AF2590="ERRO_CHAVE"),"",IFERROR(MATCH(AF2590,'Quitados DUPP'!$U$1:$U$6635,0),""))</f>
        <v/>
      </c>
      <c r="AH2590" s="15" t="str">
        <f t="shared" si="2"/>
        <v/>
      </c>
      <c r="AI2590" s="17" t="str">
        <f>IF(AG2590="","",INDEX('Quitados DUPP'!$G$1:$G$6635,AG2590))</f>
        <v/>
      </c>
      <c r="AJ2590" s="17" t="str">
        <f t="shared" si="3"/>
        <v/>
      </c>
    </row>
    <row r="2591" spans="31:36">
      <c r="AE2591" s="15" t="str">
        <f t="shared" si="0"/>
        <v/>
      </c>
      <c r="AF2591" s="15" t="str">
        <f t="shared" si="1"/>
        <v/>
      </c>
      <c r="AG2591" s="15" t="str">
        <f>IF(OR(AF2591="",AF2591="ERRO_CHAVE"),"",IFERROR(MATCH(AF2591,'Quitados DUPP'!$U$1:$U$6635,0),""))</f>
        <v/>
      </c>
      <c r="AH2591" s="15" t="str">
        <f t="shared" si="2"/>
        <v/>
      </c>
      <c r="AI2591" s="17" t="str">
        <f>IF(AG2591="","",INDEX('Quitados DUPP'!$G$1:$G$6635,AG2591))</f>
        <v/>
      </c>
      <c r="AJ2591" s="17" t="str">
        <f t="shared" si="3"/>
        <v/>
      </c>
    </row>
    <row r="2592" spans="31:36">
      <c r="AE2592" s="15" t="str">
        <f t="shared" si="0"/>
        <v/>
      </c>
      <c r="AF2592" s="15" t="str">
        <f t="shared" si="1"/>
        <v/>
      </c>
      <c r="AG2592" s="15" t="str">
        <f>IF(OR(AF2592="",AF2592="ERRO_CHAVE"),"",IFERROR(MATCH(AF2592,'Quitados DUPP'!$U$1:$U$6635,0),""))</f>
        <v/>
      </c>
      <c r="AH2592" s="15" t="str">
        <f t="shared" si="2"/>
        <v/>
      </c>
      <c r="AI2592" s="17" t="str">
        <f>IF(AG2592="","",INDEX('Quitados DUPP'!$G$1:$G$6635,AG2592))</f>
        <v/>
      </c>
      <c r="AJ2592" s="17" t="str">
        <f t="shared" si="3"/>
        <v/>
      </c>
    </row>
    <row r="2593" spans="31:36">
      <c r="AE2593" s="15" t="str">
        <f t="shared" si="0"/>
        <v/>
      </c>
      <c r="AF2593" s="15" t="str">
        <f t="shared" si="1"/>
        <v/>
      </c>
      <c r="AG2593" s="15" t="str">
        <f>IF(OR(AF2593="",AF2593="ERRO_CHAVE"),"",IFERROR(MATCH(AF2593,'Quitados DUPP'!$U$1:$U$6635,0),""))</f>
        <v/>
      </c>
      <c r="AH2593" s="15" t="str">
        <f t="shared" si="2"/>
        <v/>
      </c>
      <c r="AI2593" s="17" t="str">
        <f>IF(AG2593="","",INDEX('Quitados DUPP'!$G$1:$G$6635,AG2593))</f>
        <v/>
      </c>
      <c r="AJ2593" s="17" t="str">
        <f t="shared" si="3"/>
        <v/>
      </c>
    </row>
    <row r="2594" spans="31:36">
      <c r="AE2594" s="15" t="str">
        <f t="shared" si="0"/>
        <v/>
      </c>
      <c r="AF2594" s="15" t="str">
        <f t="shared" si="1"/>
        <v/>
      </c>
      <c r="AG2594" s="15" t="str">
        <f>IF(OR(AF2594="",AF2594="ERRO_CHAVE"),"",IFERROR(MATCH(AF2594,'Quitados DUPP'!$U$1:$U$6635,0),""))</f>
        <v/>
      </c>
      <c r="AH2594" s="15" t="str">
        <f t="shared" si="2"/>
        <v/>
      </c>
      <c r="AI2594" s="17" t="str">
        <f>IF(AG2594="","",INDEX('Quitados DUPP'!$G$1:$G$6635,AG2594))</f>
        <v/>
      </c>
      <c r="AJ2594" s="17" t="str">
        <f t="shared" si="3"/>
        <v/>
      </c>
    </row>
    <row r="2595" spans="31:36">
      <c r="AE2595" s="15" t="str">
        <f t="shared" si="0"/>
        <v/>
      </c>
      <c r="AF2595" s="15" t="str">
        <f t="shared" si="1"/>
        <v/>
      </c>
      <c r="AG2595" s="15" t="str">
        <f>IF(OR(AF2595="",AF2595="ERRO_CHAVE"),"",IFERROR(MATCH(AF2595,'Quitados DUPP'!$U$1:$U$6635,0),""))</f>
        <v/>
      </c>
      <c r="AH2595" s="15" t="str">
        <f t="shared" si="2"/>
        <v/>
      </c>
      <c r="AI2595" s="17" t="str">
        <f>IF(AG2595="","",INDEX('Quitados DUPP'!$G$1:$G$6635,AG2595))</f>
        <v/>
      </c>
      <c r="AJ2595" s="17" t="str">
        <f t="shared" si="3"/>
        <v/>
      </c>
    </row>
    <row r="2596" spans="31:36">
      <c r="AE2596" s="15" t="str">
        <f t="shared" si="0"/>
        <v/>
      </c>
      <c r="AF2596" s="15" t="str">
        <f t="shared" si="1"/>
        <v/>
      </c>
      <c r="AG2596" s="15" t="str">
        <f>IF(OR(AF2596="",AF2596="ERRO_CHAVE"),"",IFERROR(MATCH(AF2596,'Quitados DUPP'!$U$1:$U$6635,0),""))</f>
        <v/>
      </c>
      <c r="AH2596" s="15" t="str">
        <f t="shared" si="2"/>
        <v/>
      </c>
      <c r="AI2596" s="17" t="str">
        <f>IF(AG2596="","",INDEX('Quitados DUPP'!$G$1:$G$6635,AG2596))</f>
        <v/>
      </c>
      <c r="AJ2596" s="17" t="str">
        <f t="shared" si="3"/>
        <v/>
      </c>
    </row>
    <row r="2597" spans="31:36">
      <c r="AE2597" s="15" t="str">
        <f t="shared" si="0"/>
        <v/>
      </c>
      <c r="AF2597" s="15" t="str">
        <f t="shared" si="1"/>
        <v/>
      </c>
      <c r="AG2597" s="15" t="str">
        <f>IF(OR(AF2597="",AF2597="ERRO_CHAVE"),"",IFERROR(MATCH(AF2597,'Quitados DUPP'!$U$1:$U$6635,0),""))</f>
        <v/>
      </c>
      <c r="AH2597" s="15" t="str">
        <f t="shared" si="2"/>
        <v/>
      </c>
      <c r="AI2597" s="17" t="str">
        <f>IF(AG2597="","",INDEX('Quitados DUPP'!$G$1:$G$6635,AG2597))</f>
        <v/>
      </c>
      <c r="AJ2597" s="17" t="str">
        <f t="shared" si="3"/>
        <v/>
      </c>
    </row>
    <row r="2598" spans="31:36">
      <c r="AE2598" s="15" t="str">
        <f t="shared" si="0"/>
        <v/>
      </c>
      <c r="AF2598" s="15" t="str">
        <f t="shared" si="1"/>
        <v/>
      </c>
      <c r="AG2598" s="15" t="str">
        <f>IF(OR(AF2598="",AF2598="ERRO_CHAVE"),"",IFERROR(MATCH(AF2598,'Quitados DUPP'!$U$1:$U$6635,0),""))</f>
        <v/>
      </c>
      <c r="AH2598" s="15" t="str">
        <f t="shared" si="2"/>
        <v/>
      </c>
      <c r="AI2598" s="17" t="str">
        <f>IF(AG2598="","",INDEX('Quitados DUPP'!$G$1:$G$6635,AG2598))</f>
        <v/>
      </c>
      <c r="AJ2598" s="17" t="str">
        <f t="shared" si="3"/>
        <v/>
      </c>
    </row>
    <row r="2599" spans="31:36">
      <c r="AE2599" s="15" t="str">
        <f t="shared" si="0"/>
        <v/>
      </c>
      <c r="AF2599" s="15" t="str">
        <f t="shared" si="1"/>
        <v/>
      </c>
      <c r="AG2599" s="15" t="str">
        <f>IF(OR(AF2599="",AF2599="ERRO_CHAVE"),"",IFERROR(MATCH(AF2599,'Quitados DUPP'!$U$1:$U$6635,0),""))</f>
        <v/>
      </c>
      <c r="AH2599" s="15" t="str">
        <f t="shared" si="2"/>
        <v/>
      </c>
      <c r="AI2599" s="17" t="str">
        <f>IF(AG2599="","",INDEX('Quitados DUPP'!$G$1:$G$6635,AG2599))</f>
        <v/>
      </c>
      <c r="AJ2599" s="17" t="str">
        <f t="shared" si="3"/>
        <v/>
      </c>
    </row>
    <row r="2600" spans="31:36">
      <c r="AE2600" s="15" t="str">
        <f t="shared" si="0"/>
        <v/>
      </c>
      <c r="AF2600" s="15" t="str">
        <f t="shared" si="1"/>
        <v/>
      </c>
      <c r="AG2600" s="15" t="str">
        <f>IF(OR(AF2600="",AF2600="ERRO_CHAVE"),"",IFERROR(MATCH(AF2600,'Quitados DUPP'!$U$1:$U$6635,0),""))</f>
        <v/>
      </c>
      <c r="AH2600" s="15" t="str">
        <f t="shared" si="2"/>
        <v/>
      </c>
      <c r="AI2600" s="17" t="str">
        <f>IF(AG2600="","",INDEX('Quitados DUPP'!$G$1:$G$6635,AG2600))</f>
        <v/>
      </c>
      <c r="AJ2600" s="17" t="str">
        <f t="shared" si="3"/>
        <v/>
      </c>
    </row>
    <row r="2601" spans="31:36">
      <c r="AE2601" s="15" t="str">
        <f t="shared" si="0"/>
        <v/>
      </c>
      <c r="AF2601" s="15" t="str">
        <f t="shared" si="1"/>
        <v/>
      </c>
      <c r="AG2601" s="15" t="str">
        <f>IF(OR(AF2601="",AF2601="ERRO_CHAVE"),"",IFERROR(MATCH(AF2601,'Quitados DUPP'!$U$1:$U$6635,0),""))</f>
        <v/>
      </c>
      <c r="AH2601" s="15" t="str">
        <f t="shared" si="2"/>
        <v/>
      </c>
      <c r="AI2601" s="17" t="str">
        <f>IF(AG2601="","",INDEX('Quitados DUPP'!$G$1:$G$6635,AG2601))</f>
        <v/>
      </c>
      <c r="AJ2601" s="17" t="str">
        <f t="shared" si="3"/>
        <v/>
      </c>
    </row>
    <row r="2602" spans="31:36">
      <c r="AE2602" s="15" t="str">
        <f t="shared" si="0"/>
        <v/>
      </c>
      <c r="AF2602" s="15" t="str">
        <f t="shared" si="1"/>
        <v/>
      </c>
      <c r="AG2602" s="15" t="str">
        <f>IF(OR(AF2602="",AF2602="ERRO_CHAVE"),"",IFERROR(MATCH(AF2602,'Quitados DUPP'!$U$1:$U$6635,0),""))</f>
        <v/>
      </c>
      <c r="AH2602" s="15" t="str">
        <f t="shared" si="2"/>
        <v/>
      </c>
      <c r="AI2602" s="17" t="str">
        <f>IF(AG2602="","",INDEX('Quitados DUPP'!$G$1:$G$6635,AG2602))</f>
        <v/>
      </c>
      <c r="AJ2602" s="17" t="str">
        <f t="shared" si="3"/>
        <v/>
      </c>
    </row>
    <row r="2603" spans="31:36">
      <c r="AE2603" s="15" t="str">
        <f t="shared" si="0"/>
        <v/>
      </c>
      <c r="AF2603" s="15" t="str">
        <f t="shared" si="1"/>
        <v/>
      </c>
      <c r="AG2603" s="15" t="str">
        <f>IF(OR(AF2603="",AF2603="ERRO_CHAVE"),"",IFERROR(MATCH(AF2603,'Quitados DUPP'!$U$1:$U$6635,0),""))</f>
        <v/>
      </c>
      <c r="AH2603" s="15" t="str">
        <f t="shared" si="2"/>
        <v/>
      </c>
      <c r="AI2603" s="17" t="str">
        <f>IF(AG2603="","",INDEX('Quitados DUPP'!$G$1:$G$6635,AG2603))</f>
        <v/>
      </c>
      <c r="AJ2603" s="17" t="str">
        <f t="shared" si="3"/>
        <v/>
      </c>
    </row>
    <row r="2604" spans="31:36">
      <c r="AE2604" s="15" t="str">
        <f t="shared" si="0"/>
        <v/>
      </c>
      <c r="AF2604" s="15" t="str">
        <f t="shared" si="1"/>
        <v/>
      </c>
      <c r="AG2604" s="15" t="str">
        <f>IF(OR(AF2604="",AF2604="ERRO_CHAVE"),"",IFERROR(MATCH(AF2604,'Quitados DUPP'!$U$1:$U$6635,0),""))</f>
        <v/>
      </c>
      <c r="AH2604" s="15" t="str">
        <f t="shared" si="2"/>
        <v/>
      </c>
      <c r="AI2604" s="17" t="str">
        <f>IF(AG2604="","",INDEX('Quitados DUPP'!$G$1:$G$6635,AG2604))</f>
        <v/>
      </c>
      <c r="AJ2604" s="17" t="str">
        <f t="shared" si="3"/>
        <v/>
      </c>
    </row>
    <row r="2605" spans="31:36">
      <c r="AE2605" s="15" t="str">
        <f t="shared" si="0"/>
        <v/>
      </c>
      <c r="AF2605" s="15" t="str">
        <f t="shared" si="1"/>
        <v/>
      </c>
      <c r="AG2605" s="15" t="str">
        <f>IF(OR(AF2605="",AF2605="ERRO_CHAVE"),"",IFERROR(MATCH(AF2605,'Quitados DUPP'!$U$1:$U$6635,0),""))</f>
        <v/>
      </c>
      <c r="AH2605" s="15" t="str">
        <f t="shared" si="2"/>
        <v/>
      </c>
      <c r="AI2605" s="17" t="str">
        <f>IF(AG2605="","",INDEX('Quitados DUPP'!$G$1:$G$6635,AG2605))</f>
        <v/>
      </c>
      <c r="AJ2605" s="17" t="str">
        <f t="shared" si="3"/>
        <v/>
      </c>
    </row>
    <row r="2606" spans="31:36">
      <c r="AE2606" s="15" t="str">
        <f t="shared" si="0"/>
        <v/>
      </c>
      <c r="AF2606" s="15" t="str">
        <f t="shared" si="1"/>
        <v/>
      </c>
      <c r="AG2606" s="15" t="str">
        <f>IF(OR(AF2606="",AF2606="ERRO_CHAVE"),"",IFERROR(MATCH(AF2606,'Quitados DUPP'!$U$1:$U$6635,0),""))</f>
        <v/>
      </c>
      <c r="AH2606" s="15" t="str">
        <f t="shared" si="2"/>
        <v/>
      </c>
      <c r="AI2606" s="17" t="str">
        <f>IF(AG2606="","",INDEX('Quitados DUPP'!$G$1:$G$6635,AG2606))</f>
        <v/>
      </c>
      <c r="AJ2606" s="17" t="str">
        <f t="shared" si="3"/>
        <v/>
      </c>
    </row>
    <row r="2607" spans="31:36">
      <c r="AE2607" s="15" t="str">
        <f t="shared" si="0"/>
        <v/>
      </c>
      <c r="AF2607" s="15" t="str">
        <f t="shared" si="1"/>
        <v/>
      </c>
      <c r="AG2607" s="15" t="str">
        <f>IF(OR(AF2607="",AF2607="ERRO_CHAVE"),"",IFERROR(MATCH(AF2607,'Quitados DUPP'!$U$1:$U$6635,0),""))</f>
        <v/>
      </c>
      <c r="AH2607" s="15" t="str">
        <f t="shared" si="2"/>
        <v/>
      </c>
      <c r="AI2607" s="17" t="str">
        <f>IF(AG2607="","",INDEX('Quitados DUPP'!$G$1:$G$6635,AG2607))</f>
        <v/>
      </c>
      <c r="AJ2607" s="17" t="str">
        <f t="shared" si="3"/>
        <v/>
      </c>
    </row>
    <row r="2608" spans="31:36">
      <c r="AE2608" s="15" t="str">
        <f t="shared" si="0"/>
        <v/>
      </c>
      <c r="AF2608" s="15" t="str">
        <f t="shared" si="1"/>
        <v/>
      </c>
      <c r="AG2608" s="15" t="str">
        <f>IF(OR(AF2608="",AF2608="ERRO_CHAVE"),"",IFERROR(MATCH(AF2608,'Quitados DUPP'!$U$1:$U$6635,0),""))</f>
        <v/>
      </c>
      <c r="AH2608" s="15" t="str">
        <f t="shared" si="2"/>
        <v/>
      </c>
      <c r="AI2608" s="17" t="str">
        <f>IF(AG2608="","",INDEX('Quitados DUPP'!$G$1:$G$6635,AG2608))</f>
        <v/>
      </c>
      <c r="AJ2608" s="17" t="str">
        <f t="shared" si="3"/>
        <v/>
      </c>
    </row>
    <row r="2609" spans="31:36">
      <c r="AE2609" s="15" t="str">
        <f t="shared" si="0"/>
        <v/>
      </c>
      <c r="AF2609" s="15" t="str">
        <f t="shared" si="1"/>
        <v/>
      </c>
      <c r="AG2609" s="15" t="str">
        <f>IF(OR(AF2609="",AF2609="ERRO_CHAVE"),"",IFERROR(MATCH(AF2609,'Quitados DUPP'!$U$1:$U$6635,0),""))</f>
        <v/>
      </c>
      <c r="AH2609" s="15" t="str">
        <f t="shared" si="2"/>
        <v/>
      </c>
      <c r="AI2609" s="17" t="str">
        <f>IF(AG2609="","",INDEX('Quitados DUPP'!$G$1:$G$6635,AG2609))</f>
        <v/>
      </c>
      <c r="AJ2609" s="17" t="str">
        <f t="shared" si="3"/>
        <v/>
      </c>
    </row>
    <row r="2610" spans="31:36">
      <c r="AE2610" s="15" t="str">
        <f t="shared" si="0"/>
        <v/>
      </c>
      <c r="AF2610" s="15" t="str">
        <f t="shared" si="1"/>
        <v/>
      </c>
      <c r="AG2610" s="15" t="str">
        <f>IF(OR(AF2610="",AF2610="ERRO_CHAVE"),"",IFERROR(MATCH(AF2610,'Quitados DUPP'!$U$1:$U$6635,0),""))</f>
        <v/>
      </c>
      <c r="AH2610" s="15" t="str">
        <f t="shared" si="2"/>
        <v/>
      </c>
      <c r="AI2610" s="17" t="str">
        <f>IF(AG2610="","",INDEX('Quitados DUPP'!$G$1:$G$6635,AG2610))</f>
        <v/>
      </c>
      <c r="AJ2610" s="17" t="str">
        <f t="shared" si="3"/>
        <v/>
      </c>
    </row>
    <row r="2611" spans="31:36">
      <c r="AE2611" s="15" t="str">
        <f t="shared" si="0"/>
        <v/>
      </c>
      <c r="AF2611" s="15" t="str">
        <f t="shared" si="1"/>
        <v/>
      </c>
      <c r="AG2611" s="15" t="str">
        <f>IF(OR(AF2611="",AF2611="ERRO_CHAVE"),"",IFERROR(MATCH(AF2611,'Quitados DUPP'!$U$1:$U$6635,0),""))</f>
        <v/>
      </c>
      <c r="AH2611" s="15" t="str">
        <f t="shared" si="2"/>
        <v/>
      </c>
      <c r="AI2611" s="17" t="str">
        <f>IF(AG2611="","",INDEX('Quitados DUPP'!$G$1:$G$6635,AG2611))</f>
        <v/>
      </c>
      <c r="AJ2611" s="17" t="str">
        <f t="shared" si="3"/>
        <v/>
      </c>
    </row>
    <row r="2612" spans="31:36">
      <c r="AE2612" s="15" t="str">
        <f t="shared" si="0"/>
        <v/>
      </c>
      <c r="AF2612" s="15" t="str">
        <f t="shared" si="1"/>
        <v/>
      </c>
      <c r="AG2612" s="15" t="str">
        <f>IF(OR(AF2612="",AF2612="ERRO_CHAVE"),"",IFERROR(MATCH(AF2612,'Quitados DUPP'!$U$1:$U$6635,0),""))</f>
        <v/>
      </c>
      <c r="AH2612" s="15" t="str">
        <f t="shared" si="2"/>
        <v/>
      </c>
      <c r="AI2612" s="17" t="str">
        <f>IF(AG2612="","",INDEX('Quitados DUPP'!$G$1:$G$6635,AG2612))</f>
        <v/>
      </c>
      <c r="AJ2612" s="17" t="str">
        <f t="shared" si="3"/>
        <v/>
      </c>
    </row>
    <row r="2613" spans="31:36">
      <c r="AE2613" s="15" t="str">
        <f t="shared" si="0"/>
        <v/>
      </c>
      <c r="AF2613" s="15" t="str">
        <f t="shared" si="1"/>
        <v/>
      </c>
      <c r="AG2613" s="15" t="str">
        <f>IF(OR(AF2613="",AF2613="ERRO_CHAVE"),"",IFERROR(MATCH(AF2613,'Quitados DUPP'!$U$1:$U$6635,0),""))</f>
        <v/>
      </c>
      <c r="AH2613" s="15" t="str">
        <f t="shared" si="2"/>
        <v/>
      </c>
      <c r="AI2613" s="17" t="str">
        <f>IF(AG2613="","",INDEX('Quitados DUPP'!$G$1:$G$6635,AG2613))</f>
        <v/>
      </c>
      <c r="AJ2613" s="17" t="str">
        <f t="shared" si="3"/>
        <v/>
      </c>
    </row>
    <row r="2614" spans="31:36">
      <c r="AE2614" s="15" t="str">
        <f t="shared" si="0"/>
        <v/>
      </c>
      <c r="AF2614" s="15" t="str">
        <f t="shared" si="1"/>
        <v/>
      </c>
      <c r="AG2614" s="15" t="str">
        <f>IF(OR(AF2614="",AF2614="ERRO_CHAVE"),"",IFERROR(MATCH(AF2614,'Quitados DUPP'!$U$1:$U$6635,0),""))</f>
        <v/>
      </c>
      <c r="AH2614" s="15" t="str">
        <f t="shared" si="2"/>
        <v/>
      </c>
      <c r="AI2614" s="17" t="str">
        <f>IF(AG2614="","",INDEX('Quitados DUPP'!$G$1:$G$6635,AG2614))</f>
        <v/>
      </c>
      <c r="AJ2614" s="17" t="str">
        <f t="shared" si="3"/>
        <v/>
      </c>
    </row>
    <row r="2615" spans="31:36">
      <c r="AE2615" s="15" t="str">
        <f t="shared" si="0"/>
        <v/>
      </c>
      <c r="AF2615" s="15" t="str">
        <f t="shared" si="1"/>
        <v/>
      </c>
      <c r="AG2615" s="15" t="str">
        <f>IF(OR(AF2615="",AF2615="ERRO_CHAVE"),"",IFERROR(MATCH(AF2615,'Quitados DUPP'!$U$1:$U$6635,0),""))</f>
        <v/>
      </c>
      <c r="AH2615" s="15" t="str">
        <f t="shared" si="2"/>
        <v/>
      </c>
      <c r="AI2615" s="17" t="str">
        <f>IF(AG2615="","",INDEX('Quitados DUPP'!$G$1:$G$6635,AG2615))</f>
        <v/>
      </c>
      <c r="AJ2615" s="17" t="str">
        <f t="shared" si="3"/>
        <v/>
      </c>
    </row>
    <row r="2616" spans="31:36">
      <c r="AE2616" s="15" t="str">
        <f t="shared" si="0"/>
        <v/>
      </c>
      <c r="AF2616" s="15" t="str">
        <f t="shared" si="1"/>
        <v/>
      </c>
      <c r="AG2616" s="15" t="str">
        <f>IF(OR(AF2616="",AF2616="ERRO_CHAVE"),"",IFERROR(MATCH(AF2616,'Quitados DUPP'!$U$1:$U$6635,0),""))</f>
        <v/>
      </c>
      <c r="AH2616" s="15" t="str">
        <f t="shared" si="2"/>
        <v/>
      </c>
      <c r="AI2616" s="17" t="str">
        <f>IF(AG2616="","",INDEX('Quitados DUPP'!$G$1:$G$6635,AG2616))</f>
        <v/>
      </c>
      <c r="AJ2616" s="17" t="str">
        <f t="shared" si="3"/>
        <v/>
      </c>
    </row>
    <row r="2617" spans="31:36">
      <c r="AE2617" s="15" t="str">
        <f t="shared" si="0"/>
        <v/>
      </c>
      <c r="AF2617" s="15" t="str">
        <f t="shared" si="1"/>
        <v/>
      </c>
      <c r="AG2617" s="15" t="str">
        <f>IF(OR(AF2617="",AF2617="ERRO_CHAVE"),"",IFERROR(MATCH(AF2617,'Quitados DUPP'!$U$1:$U$6635,0),""))</f>
        <v/>
      </c>
      <c r="AH2617" s="15" t="str">
        <f t="shared" si="2"/>
        <v/>
      </c>
      <c r="AI2617" s="17" t="str">
        <f>IF(AG2617="","",INDEX('Quitados DUPP'!$G$1:$G$6635,AG2617))</f>
        <v/>
      </c>
      <c r="AJ2617" s="17" t="str">
        <f t="shared" si="3"/>
        <v/>
      </c>
    </row>
    <row r="2618" spans="31:36">
      <c r="AE2618" s="15" t="str">
        <f t="shared" si="0"/>
        <v/>
      </c>
      <c r="AF2618" s="15" t="str">
        <f t="shared" si="1"/>
        <v/>
      </c>
      <c r="AG2618" s="15" t="str">
        <f>IF(OR(AF2618="",AF2618="ERRO_CHAVE"),"",IFERROR(MATCH(AF2618,'Quitados DUPP'!$U$1:$U$6635,0),""))</f>
        <v/>
      </c>
      <c r="AH2618" s="15" t="str">
        <f t="shared" si="2"/>
        <v/>
      </c>
      <c r="AI2618" s="17" t="str">
        <f>IF(AG2618="","",INDEX('Quitados DUPP'!$G$1:$G$6635,AG2618))</f>
        <v/>
      </c>
      <c r="AJ2618" s="17" t="str">
        <f t="shared" si="3"/>
        <v/>
      </c>
    </row>
    <row r="2619" spans="31:36">
      <c r="AE2619" s="15" t="str">
        <f t="shared" si="0"/>
        <v/>
      </c>
      <c r="AF2619" s="15" t="str">
        <f t="shared" si="1"/>
        <v/>
      </c>
      <c r="AG2619" s="15" t="str">
        <f>IF(OR(AF2619="",AF2619="ERRO_CHAVE"),"",IFERROR(MATCH(AF2619,'Quitados DUPP'!$U$1:$U$6635,0),""))</f>
        <v/>
      </c>
      <c r="AH2619" s="15" t="str">
        <f t="shared" si="2"/>
        <v/>
      </c>
      <c r="AI2619" s="17" t="str">
        <f>IF(AG2619="","",INDEX('Quitados DUPP'!$G$1:$G$6635,AG2619))</f>
        <v/>
      </c>
      <c r="AJ2619" s="17" t="str">
        <f t="shared" si="3"/>
        <v/>
      </c>
    </row>
    <row r="2620" spans="31:36">
      <c r="AE2620" s="15" t="str">
        <f t="shared" si="0"/>
        <v/>
      </c>
      <c r="AF2620" s="15" t="str">
        <f t="shared" si="1"/>
        <v/>
      </c>
      <c r="AG2620" s="15" t="str">
        <f>IF(OR(AF2620="",AF2620="ERRO_CHAVE"),"",IFERROR(MATCH(AF2620,'Quitados DUPP'!$U$1:$U$6635,0),""))</f>
        <v/>
      </c>
      <c r="AH2620" s="15" t="str">
        <f t="shared" si="2"/>
        <v/>
      </c>
      <c r="AI2620" s="17" t="str">
        <f>IF(AG2620="","",INDEX('Quitados DUPP'!$G$1:$G$6635,AG2620))</f>
        <v/>
      </c>
      <c r="AJ2620" s="17" t="str">
        <f t="shared" si="3"/>
        <v/>
      </c>
    </row>
    <row r="2621" spans="31:36">
      <c r="AE2621" s="15" t="str">
        <f t="shared" si="0"/>
        <v/>
      </c>
      <c r="AF2621" s="15" t="str">
        <f t="shared" si="1"/>
        <v/>
      </c>
      <c r="AG2621" s="15" t="str">
        <f>IF(OR(AF2621="",AF2621="ERRO_CHAVE"),"",IFERROR(MATCH(AF2621,'Quitados DUPP'!$U$1:$U$6635,0),""))</f>
        <v/>
      </c>
      <c r="AH2621" s="15" t="str">
        <f t="shared" si="2"/>
        <v/>
      </c>
      <c r="AI2621" s="17" t="str">
        <f>IF(AG2621="","",INDEX('Quitados DUPP'!$G$1:$G$6635,AG2621))</f>
        <v/>
      </c>
      <c r="AJ2621" s="17" t="str">
        <f t="shared" si="3"/>
        <v/>
      </c>
    </row>
    <row r="2622" spans="31:36">
      <c r="AE2622" s="15" t="str">
        <f t="shared" si="0"/>
        <v/>
      </c>
      <c r="AF2622" s="15" t="str">
        <f t="shared" si="1"/>
        <v/>
      </c>
      <c r="AG2622" s="15" t="str">
        <f>IF(OR(AF2622="",AF2622="ERRO_CHAVE"),"",IFERROR(MATCH(AF2622,'Quitados DUPP'!$U$1:$U$6635,0),""))</f>
        <v/>
      </c>
      <c r="AH2622" s="15" t="str">
        <f t="shared" si="2"/>
        <v/>
      </c>
      <c r="AI2622" s="17" t="str">
        <f>IF(AG2622="","",INDEX('Quitados DUPP'!$G$1:$G$6635,AG2622))</f>
        <v/>
      </c>
      <c r="AJ2622" s="17" t="str">
        <f t="shared" si="3"/>
        <v/>
      </c>
    </row>
    <row r="2623" spans="31:36">
      <c r="AE2623" s="15" t="str">
        <f t="shared" si="0"/>
        <v/>
      </c>
      <c r="AF2623" s="15" t="str">
        <f t="shared" si="1"/>
        <v/>
      </c>
      <c r="AG2623" s="15" t="str">
        <f>IF(OR(AF2623="",AF2623="ERRO_CHAVE"),"",IFERROR(MATCH(AF2623,'Quitados DUPP'!$U$1:$U$6635,0),""))</f>
        <v/>
      </c>
      <c r="AH2623" s="15" t="str">
        <f t="shared" si="2"/>
        <v/>
      </c>
      <c r="AI2623" s="17" t="str">
        <f>IF(AG2623="","",INDEX('Quitados DUPP'!$G$1:$G$6635,AG2623))</f>
        <v/>
      </c>
      <c r="AJ2623" s="17" t="str">
        <f t="shared" si="3"/>
        <v/>
      </c>
    </row>
    <row r="2624" spans="31:36">
      <c r="AE2624" s="15" t="str">
        <f t="shared" si="0"/>
        <v/>
      </c>
      <c r="AF2624" s="15" t="str">
        <f t="shared" si="1"/>
        <v/>
      </c>
      <c r="AG2624" s="15" t="str">
        <f>IF(OR(AF2624="",AF2624="ERRO_CHAVE"),"",IFERROR(MATCH(AF2624,'Quitados DUPP'!$U$1:$U$6635,0),""))</f>
        <v/>
      </c>
      <c r="AH2624" s="15" t="str">
        <f t="shared" si="2"/>
        <v/>
      </c>
      <c r="AI2624" s="17" t="str">
        <f>IF(AG2624="","",INDEX('Quitados DUPP'!$G$1:$G$6635,AG2624))</f>
        <v/>
      </c>
      <c r="AJ2624" s="17" t="str">
        <f t="shared" si="3"/>
        <v/>
      </c>
    </row>
    <row r="2625" spans="31:36">
      <c r="AE2625" s="15" t="str">
        <f t="shared" si="0"/>
        <v/>
      </c>
      <c r="AF2625" s="15" t="str">
        <f t="shared" si="1"/>
        <v/>
      </c>
      <c r="AG2625" s="15" t="str">
        <f>IF(OR(AF2625="",AF2625="ERRO_CHAVE"),"",IFERROR(MATCH(AF2625,'Quitados DUPP'!$U$1:$U$6635,0),""))</f>
        <v/>
      </c>
      <c r="AH2625" s="15" t="str">
        <f t="shared" si="2"/>
        <v/>
      </c>
      <c r="AI2625" s="17" t="str">
        <f>IF(AG2625="","",INDEX('Quitados DUPP'!$G$1:$G$6635,AG2625))</f>
        <v/>
      </c>
      <c r="AJ2625" s="17" t="str">
        <f t="shared" si="3"/>
        <v/>
      </c>
    </row>
    <row r="2626" spans="31:36">
      <c r="AE2626" s="15" t="str">
        <f t="shared" si="0"/>
        <v/>
      </c>
      <c r="AF2626" s="15" t="str">
        <f t="shared" si="1"/>
        <v/>
      </c>
      <c r="AG2626" s="15" t="str">
        <f>IF(OR(AF2626="",AF2626="ERRO_CHAVE"),"",IFERROR(MATCH(AF2626,'Quitados DUPP'!$U$1:$U$6635,0),""))</f>
        <v/>
      </c>
      <c r="AH2626" s="15" t="str">
        <f t="shared" si="2"/>
        <v/>
      </c>
      <c r="AI2626" s="17" t="str">
        <f>IF(AG2626="","",INDEX('Quitados DUPP'!$G$1:$G$6635,AG2626))</f>
        <v/>
      </c>
      <c r="AJ2626" s="17" t="str">
        <f t="shared" si="3"/>
        <v/>
      </c>
    </row>
    <row r="2627" spans="31:36">
      <c r="AE2627" s="15" t="str">
        <f t="shared" si="0"/>
        <v/>
      </c>
      <c r="AF2627" s="15" t="str">
        <f t="shared" si="1"/>
        <v/>
      </c>
      <c r="AG2627" s="15" t="str">
        <f>IF(OR(AF2627="",AF2627="ERRO_CHAVE"),"",IFERROR(MATCH(AF2627,'Quitados DUPP'!$U$1:$U$6635,0),""))</f>
        <v/>
      </c>
      <c r="AH2627" s="15" t="str">
        <f t="shared" si="2"/>
        <v/>
      </c>
      <c r="AI2627" s="17" t="str">
        <f>IF(AG2627="","",INDEX('Quitados DUPP'!$G$1:$G$6635,AG2627))</f>
        <v/>
      </c>
      <c r="AJ2627" s="17" t="str">
        <f t="shared" si="3"/>
        <v/>
      </c>
    </row>
    <row r="2628" spans="31:36">
      <c r="AE2628" s="15" t="str">
        <f t="shared" si="0"/>
        <v/>
      </c>
      <c r="AF2628" s="15" t="str">
        <f t="shared" si="1"/>
        <v/>
      </c>
      <c r="AG2628" s="15" t="str">
        <f>IF(OR(AF2628="",AF2628="ERRO_CHAVE"),"",IFERROR(MATCH(AF2628,'Quitados DUPP'!$U$1:$U$6635,0),""))</f>
        <v/>
      </c>
      <c r="AH2628" s="15" t="str">
        <f t="shared" si="2"/>
        <v/>
      </c>
      <c r="AI2628" s="17" t="str">
        <f>IF(AG2628="","",INDEX('Quitados DUPP'!$G$1:$G$6635,AG2628))</f>
        <v/>
      </c>
      <c r="AJ2628" s="17" t="str">
        <f t="shared" si="3"/>
        <v/>
      </c>
    </row>
    <row r="2629" spans="31:36">
      <c r="AE2629" s="15" t="str">
        <f t="shared" si="0"/>
        <v/>
      </c>
      <c r="AF2629" s="15" t="str">
        <f t="shared" si="1"/>
        <v/>
      </c>
      <c r="AG2629" s="15" t="str">
        <f>IF(OR(AF2629="",AF2629="ERRO_CHAVE"),"",IFERROR(MATCH(AF2629,'Quitados DUPP'!$U$1:$U$6635,0),""))</f>
        <v/>
      </c>
      <c r="AH2629" s="15" t="str">
        <f t="shared" si="2"/>
        <v/>
      </c>
      <c r="AI2629" s="17" t="str">
        <f>IF(AG2629="","",INDEX('Quitados DUPP'!$G$1:$G$6635,AG2629))</f>
        <v/>
      </c>
      <c r="AJ2629" s="17" t="str">
        <f t="shared" si="3"/>
        <v/>
      </c>
    </row>
    <row r="2630" spans="31:36">
      <c r="AE2630" s="15" t="str">
        <f t="shared" si="0"/>
        <v/>
      </c>
      <c r="AF2630" s="15" t="str">
        <f t="shared" si="1"/>
        <v/>
      </c>
      <c r="AG2630" s="15" t="str">
        <f>IF(OR(AF2630="",AF2630="ERRO_CHAVE"),"",IFERROR(MATCH(AF2630,'Quitados DUPP'!$U$1:$U$6635,0),""))</f>
        <v/>
      </c>
      <c r="AH2630" s="15" t="str">
        <f t="shared" si="2"/>
        <v/>
      </c>
      <c r="AI2630" s="17" t="str">
        <f>IF(AG2630="","",INDEX('Quitados DUPP'!$G$1:$G$6635,AG2630))</f>
        <v/>
      </c>
      <c r="AJ2630" s="17" t="str">
        <f t="shared" si="3"/>
        <v/>
      </c>
    </row>
    <row r="2631" spans="31:36">
      <c r="AE2631" s="15" t="str">
        <f t="shared" si="0"/>
        <v/>
      </c>
      <c r="AF2631" s="15" t="str">
        <f t="shared" si="1"/>
        <v/>
      </c>
      <c r="AG2631" s="15" t="str">
        <f>IF(OR(AF2631="",AF2631="ERRO_CHAVE"),"",IFERROR(MATCH(AF2631,'Quitados DUPP'!$U$1:$U$6635,0),""))</f>
        <v/>
      </c>
      <c r="AH2631" s="15" t="str">
        <f t="shared" si="2"/>
        <v/>
      </c>
      <c r="AI2631" s="17" t="str">
        <f>IF(AG2631="","",INDEX('Quitados DUPP'!$G$1:$G$6635,AG2631))</f>
        <v/>
      </c>
      <c r="AJ2631" s="17" t="str">
        <f t="shared" si="3"/>
        <v/>
      </c>
    </row>
    <row r="2632" spans="31:36">
      <c r="AE2632" s="15" t="str">
        <f t="shared" si="0"/>
        <v/>
      </c>
      <c r="AF2632" s="15" t="str">
        <f t="shared" si="1"/>
        <v/>
      </c>
      <c r="AG2632" s="15" t="str">
        <f>IF(OR(AF2632="",AF2632="ERRO_CHAVE"),"",IFERROR(MATCH(AF2632,'Quitados DUPP'!$U$1:$U$6635,0),""))</f>
        <v/>
      </c>
      <c r="AH2632" s="15" t="str">
        <f t="shared" si="2"/>
        <v/>
      </c>
      <c r="AI2632" s="17" t="str">
        <f>IF(AG2632="","",INDEX('Quitados DUPP'!$G$1:$G$6635,AG2632))</f>
        <v/>
      </c>
      <c r="AJ2632" s="17" t="str">
        <f t="shared" si="3"/>
        <v/>
      </c>
    </row>
    <row r="2633" spans="31:36">
      <c r="AE2633" s="15" t="str">
        <f t="shared" si="0"/>
        <v/>
      </c>
      <c r="AF2633" s="15" t="str">
        <f t="shared" si="1"/>
        <v/>
      </c>
      <c r="AG2633" s="15" t="str">
        <f>IF(OR(AF2633="",AF2633="ERRO_CHAVE"),"",IFERROR(MATCH(AF2633,'Quitados DUPP'!$U$1:$U$6635,0),""))</f>
        <v/>
      </c>
      <c r="AH2633" s="15" t="str">
        <f t="shared" si="2"/>
        <v/>
      </c>
      <c r="AI2633" s="17" t="str">
        <f>IF(AG2633="","",INDEX('Quitados DUPP'!$G$1:$G$6635,AG2633))</f>
        <v/>
      </c>
      <c r="AJ2633" s="17" t="str">
        <f t="shared" si="3"/>
        <v/>
      </c>
    </row>
    <row r="2634" spans="31:36">
      <c r="AE2634" s="15" t="str">
        <f t="shared" si="0"/>
        <v/>
      </c>
      <c r="AF2634" s="15" t="str">
        <f t="shared" si="1"/>
        <v/>
      </c>
      <c r="AG2634" s="15" t="str">
        <f>IF(OR(AF2634="",AF2634="ERRO_CHAVE"),"",IFERROR(MATCH(AF2634,'Quitados DUPP'!$U$1:$U$6635,0),""))</f>
        <v/>
      </c>
      <c r="AH2634" s="15" t="str">
        <f t="shared" si="2"/>
        <v/>
      </c>
      <c r="AI2634" s="17" t="str">
        <f>IF(AG2634="","",INDEX('Quitados DUPP'!$G$1:$G$6635,AG2634))</f>
        <v/>
      </c>
      <c r="AJ2634" s="17" t="str">
        <f t="shared" si="3"/>
        <v/>
      </c>
    </row>
    <row r="2635" spans="31:36">
      <c r="AE2635" s="15" t="str">
        <f t="shared" si="0"/>
        <v/>
      </c>
      <c r="AF2635" s="15" t="str">
        <f t="shared" si="1"/>
        <v/>
      </c>
      <c r="AG2635" s="15" t="str">
        <f>IF(OR(AF2635="",AF2635="ERRO_CHAVE"),"",IFERROR(MATCH(AF2635,'Quitados DUPP'!$U$1:$U$6635,0),""))</f>
        <v/>
      </c>
      <c r="AH2635" s="15" t="str">
        <f t="shared" si="2"/>
        <v/>
      </c>
      <c r="AI2635" s="17" t="str">
        <f>IF(AG2635="","",INDEX('Quitados DUPP'!$G$1:$G$6635,AG2635))</f>
        <v/>
      </c>
      <c r="AJ2635" s="17" t="str">
        <f t="shared" si="3"/>
        <v/>
      </c>
    </row>
    <row r="2636" spans="31:36">
      <c r="AE2636" s="15" t="str">
        <f t="shared" si="0"/>
        <v/>
      </c>
      <c r="AF2636" s="15" t="str">
        <f t="shared" si="1"/>
        <v/>
      </c>
      <c r="AG2636" s="15" t="str">
        <f>IF(OR(AF2636="",AF2636="ERRO_CHAVE"),"",IFERROR(MATCH(AF2636,'Quitados DUPP'!$U$1:$U$6635,0),""))</f>
        <v/>
      </c>
      <c r="AH2636" s="15" t="str">
        <f t="shared" si="2"/>
        <v/>
      </c>
      <c r="AI2636" s="17" t="str">
        <f>IF(AG2636="","",INDEX('Quitados DUPP'!$G$1:$G$6635,AG2636))</f>
        <v/>
      </c>
      <c r="AJ2636" s="17" t="str">
        <f t="shared" si="3"/>
        <v/>
      </c>
    </row>
    <row r="2637" spans="31:36">
      <c r="AE2637" s="15" t="str">
        <f t="shared" si="0"/>
        <v/>
      </c>
      <c r="AF2637" s="15" t="str">
        <f t="shared" si="1"/>
        <v/>
      </c>
      <c r="AG2637" s="15" t="str">
        <f>IF(OR(AF2637="",AF2637="ERRO_CHAVE"),"",IFERROR(MATCH(AF2637,'Quitados DUPP'!$U$1:$U$6635,0),""))</f>
        <v/>
      </c>
      <c r="AH2637" s="15" t="str">
        <f t="shared" si="2"/>
        <v/>
      </c>
      <c r="AI2637" s="17" t="str">
        <f>IF(AG2637="","",INDEX('Quitados DUPP'!$G$1:$G$6635,AG2637))</f>
        <v/>
      </c>
      <c r="AJ2637" s="17" t="str">
        <f t="shared" si="3"/>
        <v/>
      </c>
    </row>
    <row r="2638" spans="31:36">
      <c r="AE2638" s="15" t="str">
        <f t="shared" si="0"/>
        <v/>
      </c>
      <c r="AF2638" s="15" t="str">
        <f t="shared" si="1"/>
        <v/>
      </c>
      <c r="AG2638" s="15" t="str">
        <f>IF(OR(AF2638="",AF2638="ERRO_CHAVE"),"",IFERROR(MATCH(AF2638,'Quitados DUPP'!$U$1:$U$6635,0),""))</f>
        <v/>
      </c>
      <c r="AH2638" s="15" t="str">
        <f t="shared" si="2"/>
        <v/>
      </c>
      <c r="AI2638" s="17" t="str">
        <f>IF(AG2638="","",INDEX('Quitados DUPP'!$G$1:$G$6635,AG2638))</f>
        <v/>
      </c>
      <c r="AJ2638" s="17" t="str">
        <f t="shared" si="3"/>
        <v/>
      </c>
    </row>
    <row r="2639" spans="31:36">
      <c r="AE2639" s="15" t="str">
        <f t="shared" si="0"/>
        <v/>
      </c>
      <c r="AF2639" s="15" t="str">
        <f t="shared" si="1"/>
        <v/>
      </c>
      <c r="AG2639" s="15" t="str">
        <f>IF(OR(AF2639="",AF2639="ERRO_CHAVE"),"",IFERROR(MATCH(AF2639,'Quitados DUPP'!$U$1:$U$6635,0),""))</f>
        <v/>
      </c>
      <c r="AH2639" s="15" t="str">
        <f t="shared" si="2"/>
        <v/>
      </c>
      <c r="AI2639" s="17" t="str">
        <f>IF(AG2639="","",INDEX('Quitados DUPP'!$G$1:$G$6635,AG2639))</f>
        <v/>
      </c>
      <c r="AJ2639" s="17" t="str">
        <f t="shared" si="3"/>
        <v/>
      </c>
    </row>
    <row r="2640" spans="31:36">
      <c r="AE2640" s="15" t="str">
        <f t="shared" si="0"/>
        <v/>
      </c>
      <c r="AF2640" s="15" t="str">
        <f t="shared" si="1"/>
        <v/>
      </c>
      <c r="AG2640" s="15" t="str">
        <f>IF(OR(AF2640="",AF2640="ERRO_CHAVE"),"",IFERROR(MATCH(AF2640,'Quitados DUPP'!$U$1:$U$6635,0),""))</f>
        <v/>
      </c>
      <c r="AH2640" s="15" t="str">
        <f t="shared" si="2"/>
        <v/>
      </c>
      <c r="AI2640" s="17" t="str">
        <f>IF(AG2640="","",INDEX('Quitados DUPP'!$G$1:$G$6635,AG2640))</f>
        <v/>
      </c>
      <c r="AJ2640" s="17" t="str">
        <f t="shared" si="3"/>
        <v/>
      </c>
    </row>
    <row r="2641" spans="31:36">
      <c r="AE2641" s="15" t="str">
        <f t="shared" si="0"/>
        <v/>
      </c>
      <c r="AF2641" s="15" t="str">
        <f t="shared" si="1"/>
        <v/>
      </c>
      <c r="AG2641" s="15" t="str">
        <f>IF(OR(AF2641="",AF2641="ERRO_CHAVE"),"",IFERROR(MATCH(AF2641,'Quitados DUPP'!$U$1:$U$6635,0),""))</f>
        <v/>
      </c>
      <c r="AH2641" s="15" t="str">
        <f t="shared" si="2"/>
        <v/>
      </c>
      <c r="AI2641" s="17" t="str">
        <f>IF(AG2641="","",INDEX('Quitados DUPP'!$G$1:$G$6635,AG2641))</f>
        <v/>
      </c>
      <c r="AJ2641" s="17" t="str">
        <f t="shared" si="3"/>
        <v/>
      </c>
    </row>
    <row r="2642" spans="31:36">
      <c r="AE2642" s="15" t="str">
        <f t="shared" si="0"/>
        <v/>
      </c>
      <c r="AF2642" s="15" t="str">
        <f t="shared" si="1"/>
        <v/>
      </c>
      <c r="AG2642" s="15" t="str">
        <f>IF(OR(AF2642="",AF2642="ERRO_CHAVE"),"",IFERROR(MATCH(AF2642,'Quitados DUPP'!$U$1:$U$6635,0),""))</f>
        <v/>
      </c>
      <c r="AH2642" s="15" t="str">
        <f t="shared" si="2"/>
        <v/>
      </c>
      <c r="AI2642" s="17" t="str">
        <f>IF(AG2642="","",INDEX('Quitados DUPP'!$G$1:$G$6635,AG2642))</f>
        <v/>
      </c>
      <c r="AJ2642" s="17" t="str">
        <f t="shared" si="3"/>
        <v/>
      </c>
    </row>
    <row r="2643" spans="31:36">
      <c r="AE2643" s="15" t="str">
        <f t="shared" si="0"/>
        <v/>
      </c>
      <c r="AF2643" s="15" t="str">
        <f t="shared" si="1"/>
        <v/>
      </c>
      <c r="AG2643" s="15" t="str">
        <f>IF(OR(AF2643="",AF2643="ERRO_CHAVE"),"",IFERROR(MATCH(AF2643,'Quitados DUPP'!$U$1:$U$6635,0),""))</f>
        <v/>
      </c>
      <c r="AH2643" s="15" t="str">
        <f t="shared" si="2"/>
        <v/>
      </c>
      <c r="AI2643" s="17" t="str">
        <f>IF(AG2643="","",INDEX('Quitados DUPP'!$G$1:$G$6635,AG2643))</f>
        <v/>
      </c>
      <c r="AJ2643" s="17" t="str">
        <f t="shared" si="3"/>
        <v/>
      </c>
    </row>
    <row r="2644" spans="31:36">
      <c r="AE2644" s="15" t="str">
        <f t="shared" si="0"/>
        <v/>
      </c>
      <c r="AF2644" s="15" t="str">
        <f t="shared" si="1"/>
        <v/>
      </c>
      <c r="AG2644" s="15" t="str">
        <f>IF(OR(AF2644="",AF2644="ERRO_CHAVE"),"",IFERROR(MATCH(AF2644,'Quitados DUPP'!$U$1:$U$6635,0),""))</f>
        <v/>
      </c>
      <c r="AH2644" s="15" t="str">
        <f t="shared" si="2"/>
        <v/>
      </c>
      <c r="AI2644" s="17" t="str">
        <f>IF(AG2644="","",INDEX('Quitados DUPP'!$G$1:$G$6635,AG2644))</f>
        <v/>
      </c>
      <c r="AJ2644" s="17" t="str">
        <f t="shared" si="3"/>
        <v/>
      </c>
    </row>
    <row r="2645" spans="31:36">
      <c r="AE2645" s="15" t="str">
        <f t="shared" si="0"/>
        <v/>
      </c>
      <c r="AF2645" s="15" t="str">
        <f t="shared" si="1"/>
        <v/>
      </c>
      <c r="AG2645" s="15" t="str">
        <f>IF(OR(AF2645="",AF2645="ERRO_CHAVE"),"",IFERROR(MATCH(AF2645,'Quitados DUPP'!$U$1:$U$6635,0),""))</f>
        <v/>
      </c>
      <c r="AH2645" s="15" t="str">
        <f t="shared" si="2"/>
        <v/>
      </c>
      <c r="AI2645" s="17" t="str">
        <f>IF(AG2645="","",INDEX('Quitados DUPP'!$G$1:$G$6635,AG2645))</f>
        <v/>
      </c>
      <c r="AJ2645" s="17" t="str">
        <f t="shared" si="3"/>
        <v/>
      </c>
    </row>
    <row r="2646" spans="31:36">
      <c r="AE2646" s="15" t="str">
        <f t="shared" si="0"/>
        <v/>
      </c>
      <c r="AF2646" s="15" t="str">
        <f t="shared" si="1"/>
        <v/>
      </c>
      <c r="AG2646" s="15" t="str">
        <f>IF(OR(AF2646="",AF2646="ERRO_CHAVE"),"",IFERROR(MATCH(AF2646,'Quitados DUPP'!$U$1:$U$6635,0),""))</f>
        <v/>
      </c>
      <c r="AH2646" s="15" t="str">
        <f t="shared" si="2"/>
        <v/>
      </c>
      <c r="AI2646" s="17" t="str">
        <f>IF(AG2646="","",INDEX('Quitados DUPP'!$G$1:$G$6635,AG2646))</f>
        <v/>
      </c>
      <c r="AJ2646" s="17" t="str">
        <f t="shared" si="3"/>
        <v/>
      </c>
    </row>
    <row r="2647" spans="31:36">
      <c r="AE2647" s="15" t="str">
        <f t="shared" si="0"/>
        <v/>
      </c>
      <c r="AF2647" s="15" t="str">
        <f t="shared" si="1"/>
        <v/>
      </c>
      <c r="AG2647" s="15" t="str">
        <f>IF(OR(AF2647="",AF2647="ERRO_CHAVE"),"",IFERROR(MATCH(AF2647,'Quitados DUPP'!$U$1:$U$6635,0),""))</f>
        <v/>
      </c>
      <c r="AH2647" s="15" t="str">
        <f t="shared" si="2"/>
        <v/>
      </c>
      <c r="AI2647" s="17" t="str">
        <f>IF(AG2647="","",INDEX('Quitados DUPP'!$G$1:$G$6635,AG2647))</f>
        <v/>
      </c>
      <c r="AJ2647" s="17" t="str">
        <f t="shared" si="3"/>
        <v/>
      </c>
    </row>
    <row r="2648" spans="31:36">
      <c r="AE2648" s="15" t="str">
        <f t="shared" si="0"/>
        <v/>
      </c>
      <c r="AF2648" s="15" t="str">
        <f t="shared" si="1"/>
        <v/>
      </c>
      <c r="AG2648" s="15" t="str">
        <f>IF(OR(AF2648="",AF2648="ERRO_CHAVE"),"",IFERROR(MATCH(AF2648,'Quitados DUPP'!$U$1:$U$6635,0),""))</f>
        <v/>
      </c>
      <c r="AH2648" s="15" t="str">
        <f t="shared" si="2"/>
        <v/>
      </c>
      <c r="AI2648" s="17" t="str">
        <f>IF(AG2648="","",INDEX('Quitados DUPP'!$G$1:$G$6635,AG2648))</f>
        <v/>
      </c>
      <c r="AJ2648" s="17" t="str">
        <f t="shared" si="3"/>
        <v/>
      </c>
    </row>
    <row r="2649" spans="31:36">
      <c r="AE2649" s="15" t="str">
        <f t="shared" si="0"/>
        <v/>
      </c>
      <c r="AF2649" s="15" t="str">
        <f t="shared" si="1"/>
        <v/>
      </c>
      <c r="AG2649" s="15" t="str">
        <f>IF(OR(AF2649="",AF2649="ERRO_CHAVE"),"",IFERROR(MATCH(AF2649,'Quitados DUPP'!$U$1:$U$6635,0),""))</f>
        <v/>
      </c>
      <c r="AH2649" s="15" t="str">
        <f t="shared" si="2"/>
        <v/>
      </c>
      <c r="AI2649" s="17" t="str">
        <f>IF(AG2649="","",INDEX('Quitados DUPP'!$G$1:$G$6635,AG2649))</f>
        <v/>
      </c>
      <c r="AJ2649" s="17" t="str">
        <f t="shared" si="3"/>
        <v/>
      </c>
    </row>
    <row r="2650" spans="31:36">
      <c r="AE2650" s="15" t="str">
        <f t="shared" si="0"/>
        <v/>
      </c>
      <c r="AF2650" s="15" t="str">
        <f t="shared" si="1"/>
        <v/>
      </c>
      <c r="AG2650" s="15" t="str">
        <f>IF(OR(AF2650="",AF2650="ERRO_CHAVE"),"",IFERROR(MATCH(AF2650,'Quitados DUPP'!$U$1:$U$6635,0),""))</f>
        <v/>
      </c>
      <c r="AH2650" s="15" t="str">
        <f t="shared" si="2"/>
        <v/>
      </c>
      <c r="AI2650" s="17" t="str">
        <f>IF(AG2650="","",INDEX('Quitados DUPP'!$G$1:$G$6635,AG2650))</f>
        <v/>
      </c>
      <c r="AJ2650" s="17" t="str">
        <f t="shared" si="3"/>
        <v/>
      </c>
    </row>
    <row r="2651" spans="31:36">
      <c r="AE2651" s="15" t="str">
        <f t="shared" si="0"/>
        <v/>
      </c>
      <c r="AF2651" s="15" t="str">
        <f t="shared" si="1"/>
        <v/>
      </c>
      <c r="AG2651" s="15" t="str">
        <f>IF(OR(AF2651="",AF2651="ERRO_CHAVE"),"",IFERROR(MATCH(AF2651,'Quitados DUPP'!$U$1:$U$6635,0),""))</f>
        <v/>
      </c>
      <c r="AH2651" s="15" t="str">
        <f t="shared" si="2"/>
        <v/>
      </c>
      <c r="AI2651" s="17" t="str">
        <f>IF(AG2651="","",INDEX('Quitados DUPP'!$G$1:$G$6635,AG2651))</f>
        <v/>
      </c>
      <c r="AJ2651" s="17" t="str">
        <f t="shared" si="3"/>
        <v/>
      </c>
    </row>
    <row r="2652" spans="31:36">
      <c r="AE2652" s="15" t="str">
        <f t="shared" si="0"/>
        <v/>
      </c>
      <c r="AF2652" s="15" t="str">
        <f t="shared" si="1"/>
        <v/>
      </c>
      <c r="AG2652" s="15" t="str">
        <f>IF(OR(AF2652="",AF2652="ERRO_CHAVE"),"",IFERROR(MATCH(AF2652,'Quitados DUPP'!$U$1:$U$6635,0),""))</f>
        <v/>
      </c>
      <c r="AH2652" s="15" t="str">
        <f t="shared" si="2"/>
        <v/>
      </c>
      <c r="AI2652" s="17" t="str">
        <f>IF(AG2652="","",INDEX('Quitados DUPP'!$G$1:$G$6635,AG2652))</f>
        <v/>
      </c>
      <c r="AJ2652" s="17" t="str">
        <f t="shared" si="3"/>
        <v/>
      </c>
    </row>
    <row r="2653" spans="31:36">
      <c r="AE2653" s="15" t="str">
        <f t="shared" si="0"/>
        <v/>
      </c>
      <c r="AF2653" s="15" t="str">
        <f t="shared" si="1"/>
        <v/>
      </c>
      <c r="AG2653" s="15" t="str">
        <f>IF(OR(AF2653="",AF2653="ERRO_CHAVE"),"",IFERROR(MATCH(AF2653,'Quitados DUPP'!$U$1:$U$6635,0),""))</f>
        <v/>
      </c>
      <c r="AH2653" s="15" t="str">
        <f t="shared" si="2"/>
        <v/>
      </c>
      <c r="AI2653" s="17" t="str">
        <f>IF(AG2653="","",INDEX('Quitados DUPP'!$G$1:$G$6635,AG2653))</f>
        <v/>
      </c>
      <c r="AJ2653" s="17" t="str">
        <f t="shared" si="3"/>
        <v/>
      </c>
    </row>
    <row r="2654" spans="31:36">
      <c r="AE2654" s="15" t="str">
        <f t="shared" si="0"/>
        <v/>
      </c>
      <c r="AF2654" s="15" t="str">
        <f t="shared" si="1"/>
        <v/>
      </c>
      <c r="AG2654" s="15" t="str">
        <f>IF(OR(AF2654="",AF2654="ERRO_CHAVE"),"",IFERROR(MATCH(AF2654,'Quitados DUPP'!$U$1:$U$6635,0),""))</f>
        <v/>
      </c>
      <c r="AH2654" s="15" t="str">
        <f t="shared" si="2"/>
        <v/>
      </c>
      <c r="AI2654" s="17" t="str">
        <f>IF(AG2654="","",INDEX('Quitados DUPP'!$G$1:$G$6635,AG2654))</f>
        <v/>
      </c>
      <c r="AJ2654" s="17" t="str">
        <f t="shared" si="3"/>
        <v/>
      </c>
    </row>
    <row r="2655" spans="31:36">
      <c r="AE2655" s="15" t="str">
        <f t="shared" si="0"/>
        <v/>
      </c>
      <c r="AF2655" s="15" t="str">
        <f t="shared" si="1"/>
        <v/>
      </c>
      <c r="AG2655" s="15" t="str">
        <f>IF(OR(AF2655="",AF2655="ERRO_CHAVE"),"",IFERROR(MATCH(AF2655,'Quitados DUPP'!$U$1:$U$6635,0),""))</f>
        <v/>
      </c>
      <c r="AH2655" s="15" t="str">
        <f t="shared" si="2"/>
        <v/>
      </c>
      <c r="AI2655" s="17" t="str">
        <f>IF(AG2655="","",INDEX('Quitados DUPP'!$G$1:$G$6635,AG2655))</f>
        <v/>
      </c>
      <c r="AJ2655" s="17" t="str">
        <f t="shared" si="3"/>
        <v/>
      </c>
    </row>
    <row r="2656" spans="31:36">
      <c r="AE2656" s="15" t="str">
        <f t="shared" si="0"/>
        <v/>
      </c>
      <c r="AF2656" s="15" t="str">
        <f t="shared" si="1"/>
        <v/>
      </c>
      <c r="AG2656" s="15" t="str">
        <f>IF(OR(AF2656="",AF2656="ERRO_CHAVE"),"",IFERROR(MATCH(AF2656,'Quitados DUPP'!$U$1:$U$6635,0),""))</f>
        <v/>
      </c>
      <c r="AH2656" s="15" t="str">
        <f t="shared" si="2"/>
        <v/>
      </c>
      <c r="AI2656" s="17" t="str">
        <f>IF(AG2656="","",INDEX('Quitados DUPP'!$G$1:$G$6635,AG2656))</f>
        <v/>
      </c>
      <c r="AJ2656" s="17" t="str">
        <f t="shared" si="3"/>
        <v/>
      </c>
    </row>
    <row r="2657" spans="31:36">
      <c r="AE2657" s="15" t="str">
        <f t="shared" si="0"/>
        <v/>
      </c>
      <c r="AF2657" s="15" t="str">
        <f t="shared" si="1"/>
        <v/>
      </c>
      <c r="AG2657" s="15" t="str">
        <f>IF(OR(AF2657="",AF2657="ERRO_CHAVE"),"",IFERROR(MATCH(AF2657,'Quitados DUPP'!$U$1:$U$6635,0),""))</f>
        <v/>
      </c>
      <c r="AH2657" s="15" t="str">
        <f t="shared" si="2"/>
        <v/>
      </c>
      <c r="AI2657" s="17" t="str">
        <f>IF(AG2657="","",INDEX('Quitados DUPP'!$G$1:$G$6635,AG2657))</f>
        <v/>
      </c>
      <c r="AJ2657" s="17" t="str">
        <f t="shared" si="3"/>
        <v/>
      </c>
    </row>
    <row r="2658" spans="31:36">
      <c r="AE2658" s="15" t="str">
        <f t="shared" si="0"/>
        <v/>
      </c>
      <c r="AF2658" s="15" t="str">
        <f t="shared" si="1"/>
        <v/>
      </c>
      <c r="AG2658" s="15" t="str">
        <f>IF(OR(AF2658="",AF2658="ERRO_CHAVE"),"",IFERROR(MATCH(AF2658,'Quitados DUPP'!$U$1:$U$6635,0),""))</f>
        <v/>
      </c>
      <c r="AH2658" s="15" t="str">
        <f t="shared" si="2"/>
        <v/>
      </c>
      <c r="AI2658" s="17" t="str">
        <f>IF(AG2658="","",INDEX('Quitados DUPP'!$G$1:$G$6635,AG2658))</f>
        <v/>
      </c>
      <c r="AJ2658" s="17" t="str">
        <f t="shared" si="3"/>
        <v/>
      </c>
    </row>
    <row r="2659" spans="31:36">
      <c r="AE2659" s="15" t="str">
        <f t="shared" si="0"/>
        <v/>
      </c>
      <c r="AF2659" s="15" t="str">
        <f t="shared" si="1"/>
        <v/>
      </c>
      <c r="AG2659" s="15" t="str">
        <f>IF(OR(AF2659="",AF2659="ERRO_CHAVE"),"",IFERROR(MATCH(AF2659,'Quitados DUPP'!$U$1:$U$6635,0),""))</f>
        <v/>
      </c>
      <c r="AH2659" s="15" t="str">
        <f t="shared" si="2"/>
        <v/>
      </c>
      <c r="AI2659" s="17" t="str">
        <f>IF(AG2659="","",INDEX('Quitados DUPP'!$G$1:$G$6635,AG2659))</f>
        <v/>
      </c>
      <c r="AJ2659" s="17" t="str">
        <f t="shared" si="3"/>
        <v/>
      </c>
    </row>
    <row r="2660" spans="31:36">
      <c r="AE2660" s="15" t="str">
        <f t="shared" si="0"/>
        <v/>
      </c>
      <c r="AF2660" s="15" t="str">
        <f t="shared" si="1"/>
        <v/>
      </c>
      <c r="AG2660" s="15" t="str">
        <f>IF(OR(AF2660="",AF2660="ERRO_CHAVE"),"",IFERROR(MATCH(AF2660,'Quitados DUPP'!$U$1:$U$6635,0),""))</f>
        <v/>
      </c>
      <c r="AH2660" s="15" t="str">
        <f t="shared" si="2"/>
        <v/>
      </c>
      <c r="AI2660" s="17" t="str">
        <f>IF(AG2660="","",INDEX('Quitados DUPP'!$G$1:$G$6635,AG2660))</f>
        <v/>
      </c>
      <c r="AJ2660" s="17" t="str">
        <f t="shared" si="3"/>
        <v/>
      </c>
    </row>
    <row r="2661" spans="31:36">
      <c r="AE2661" s="15" t="str">
        <f t="shared" si="0"/>
        <v/>
      </c>
      <c r="AF2661" s="15" t="str">
        <f t="shared" si="1"/>
        <v/>
      </c>
      <c r="AG2661" s="15" t="str">
        <f>IF(OR(AF2661="",AF2661="ERRO_CHAVE"),"",IFERROR(MATCH(AF2661,'Quitados DUPP'!$U$1:$U$6635,0),""))</f>
        <v/>
      </c>
      <c r="AH2661" s="15" t="str">
        <f t="shared" si="2"/>
        <v/>
      </c>
      <c r="AI2661" s="17" t="str">
        <f>IF(AG2661="","",INDEX('Quitados DUPP'!$G$1:$G$6635,AG2661))</f>
        <v/>
      </c>
      <c r="AJ2661" s="17" t="str">
        <f t="shared" si="3"/>
        <v/>
      </c>
    </row>
    <row r="2662" spans="31:36">
      <c r="AE2662" s="15" t="str">
        <f t="shared" si="0"/>
        <v/>
      </c>
      <c r="AF2662" s="15" t="str">
        <f t="shared" si="1"/>
        <v/>
      </c>
      <c r="AG2662" s="15" t="str">
        <f>IF(OR(AF2662="",AF2662="ERRO_CHAVE"),"",IFERROR(MATCH(AF2662,'Quitados DUPP'!$U$1:$U$6635,0),""))</f>
        <v/>
      </c>
      <c r="AH2662" s="15" t="str">
        <f t="shared" si="2"/>
        <v/>
      </c>
      <c r="AI2662" s="17" t="str">
        <f>IF(AG2662="","",INDEX('Quitados DUPP'!$G$1:$G$6635,AG2662))</f>
        <v/>
      </c>
      <c r="AJ2662" s="17" t="str">
        <f t="shared" si="3"/>
        <v/>
      </c>
    </row>
    <row r="2663" spans="31:36">
      <c r="AE2663" s="15" t="str">
        <f t="shared" si="0"/>
        <v/>
      </c>
      <c r="AF2663" s="15" t="str">
        <f t="shared" si="1"/>
        <v/>
      </c>
      <c r="AG2663" s="15" t="str">
        <f>IF(OR(AF2663="",AF2663="ERRO_CHAVE"),"",IFERROR(MATCH(AF2663,'Quitados DUPP'!$U$1:$U$6635,0),""))</f>
        <v/>
      </c>
      <c r="AH2663" s="15" t="str">
        <f t="shared" si="2"/>
        <v/>
      </c>
      <c r="AI2663" s="17" t="str">
        <f>IF(AG2663="","",INDEX('Quitados DUPP'!$G$1:$G$6635,AG2663))</f>
        <v/>
      </c>
      <c r="AJ2663" s="17" t="str">
        <f t="shared" si="3"/>
        <v/>
      </c>
    </row>
    <row r="2664" spans="31:36">
      <c r="AE2664" s="15" t="str">
        <f t="shared" si="0"/>
        <v/>
      </c>
      <c r="AF2664" s="15" t="str">
        <f t="shared" si="1"/>
        <v/>
      </c>
      <c r="AG2664" s="15" t="str">
        <f>IF(OR(AF2664="",AF2664="ERRO_CHAVE"),"",IFERROR(MATCH(AF2664,'Quitados DUPP'!$U$1:$U$6635,0),""))</f>
        <v/>
      </c>
      <c r="AH2664" s="15" t="str">
        <f t="shared" si="2"/>
        <v/>
      </c>
      <c r="AI2664" s="17" t="str">
        <f>IF(AG2664="","",INDEX('Quitados DUPP'!$G$1:$G$6635,AG2664))</f>
        <v/>
      </c>
      <c r="AJ2664" s="17" t="str">
        <f t="shared" si="3"/>
        <v/>
      </c>
    </row>
    <row r="2665" spans="31:36">
      <c r="AE2665" s="15" t="str">
        <f t="shared" si="0"/>
        <v/>
      </c>
      <c r="AF2665" s="15" t="str">
        <f t="shared" si="1"/>
        <v/>
      </c>
      <c r="AG2665" s="15" t="str">
        <f>IF(OR(AF2665="",AF2665="ERRO_CHAVE"),"",IFERROR(MATCH(AF2665,'Quitados DUPP'!$U$1:$U$6635,0),""))</f>
        <v/>
      </c>
      <c r="AH2665" s="15" t="str">
        <f t="shared" si="2"/>
        <v/>
      </c>
      <c r="AI2665" s="17" t="str">
        <f>IF(AG2665="","",INDEX('Quitados DUPP'!$G$1:$G$6635,AG2665))</f>
        <v/>
      </c>
      <c r="AJ2665" s="17" t="str">
        <f t="shared" si="3"/>
        <v/>
      </c>
    </row>
    <row r="2666" spans="31:36">
      <c r="AE2666" s="15" t="str">
        <f t="shared" si="0"/>
        <v/>
      </c>
      <c r="AF2666" s="15" t="str">
        <f t="shared" si="1"/>
        <v/>
      </c>
      <c r="AG2666" s="15" t="str">
        <f>IF(OR(AF2666="",AF2666="ERRO_CHAVE"),"",IFERROR(MATCH(AF2666,'Quitados DUPP'!$U$1:$U$6635,0),""))</f>
        <v/>
      </c>
      <c r="AH2666" s="15" t="str">
        <f t="shared" si="2"/>
        <v/>
      </c>
      <c r="AI2666" s="17" t="str">
        <f>IF(AG2666="","",INDEX('Quitados DUPP'!$G$1:$G$6635,AG2666))</f>
        <v/>
      </c>
      <c r="AJ2666" s="17" t="str">
        <f t="shared" si="3"/>
        <v/>
      </c>
    </row>
    <row r="2667" spans="31:36">
      <c r="AE2667" s="15" t="str">
        <f t="shared" si="0"/>
        <v/>
      </c>
      <c r="AF2667" s="15" t="str">
        <f t="shared" si="1"/>
        <v/>
      </c>
      <c r="AG2667" s="15" t="str">
        <f>IF(OR(AF2667="",AF2667="ERRO_CHAVE"),"",IFERROR(MATCH(AF2667,'Quitados DUPP'!$U$1:$U$6635,0),""))</f>
        <v/>
      </c>
      <c r="AH2667" s="15" t="str">
        <f t="shared" si="2"/>
        <v/>
      </c>
      <c r="AI2667" s="17" t="str">
        <f>IF(AG2667="","",INDEX('Quitados DUPP'!$G$1:$G$6635,AG2667))</f>
        <v/>
      </c>
      <c r="AJ2667" s="17" t="str">
        <f t="shared" si="3"/>
        <v/>
      </c>
    </row>
    <row r="2668" spans="31:36">
      <c r="AE2668" s="15" t="str">
        <f t="shared" si="0"/>
        <v/>
      </c>
      <c r="AF2668" s="15" t="str">
        <f t="shared" si="1"/>
        <v/>
      </c>
      <c r="AG2668" s="15" t="str">
        <f>IF(OR(AF2668="",AF2668="ERRO_CHAVE"),"",IFERROR(MATCH(AF2668,'Quitados DUPP'!$U$1:$U$6635,0),""))</f>
        <v/>
      </c>
      <c r="AH2668" s="15" t="str">
        <f t="shared" si="2"/>
        <v/>
      </c>
      <c r="AI2668" s="17" t="str">
        <f>IF(AG2668="","",INDEX('Quitados DUPP'!$G$1:$G$6635,AG2668))</f>
        <v/>
      </c>
      <c r="AJ2668" s="17" t="str">
        <f t="shared" si="3"/>
        <v/>
      </c>
    </row>
    <row r="2669" spans="31:36">
      <c r="AE2669" s="15" t="str">
        <f t="shared" si="0"/>
        <v/>
      </c>
      <c r="AF2669" s="15" t="str">
        <f t="shared" si="1"/>
        <v/>
      </c>
      <c r="AG2669" s="15" t="str">
        <f>IF(OR(AF2669="",AF2669="ERRO_CHAVE"),"",IFERROR(MATCH(AF2669,'Quitados DUPP'!$U$1:$U$6635,0),""))</f>
        <v/>
      </c>
      <c r="AH2669" s="15" t="str">
        <f t="shared" si="2"/>
        <v/>
      </c>
      <c r="AI2669" s="17" t="str">
        <f>IF(AG2669="","",INDEX('Quitados DUPP'!$G$1:$G$6635,AG2669))</f>
        <v/>
      </c>
      <c r="AJ2669" s="17" t="str">
        <f t="shared" si="3"/>
        <v/>
      </c>
    </row>
    <row r="2670" spans="31:36">
      <c r="AE2670" s="15" t="str">
        <f t="shared" si="0"/>
        <v/>
      </c>
      <c r="AF2670" s="15" t="str">
        <f t="shared" si="1"/>
        <v/>
      </c>
      <c r="AG2670" s="15" t="str">
        <f>IF(OR(AF2670="",AF2670="ERRO_CHAVE"),"",IFERROR(MATCH(AF2670,'Quitados DUPP'!$U$1:$U$6635,0),""))</f>
        <v/>
      </c>
      <c r="AH2670" s="15" t="str">
        <f t="shared" si="2"/>
        <v/>
      </c>
      <c r="AI2670" s="17" t="str">
        <f>IF(AG2670="","",INDEX('Quitados DUPP'!$G$1:$G$6635,AG2670))</f>
        <v/>
      </c>
      <c r="AJ2670" s="17" t="str">
        <f t="shared" si="3"/>
        <v/>
      </c>
    </row>
    <row r="2671" spans="31:36">
      <c r="AE2671" s="15" t="str">
        <f t="shared" si="0"/>
        <v/>
      </c>
      <c r="AF2671" s="15" t="str">
        <f t="shared" si="1"/>
        <v/>
      </c>
      <c r="AG2671" s="15" t="str">
        <f>IF(OR(AF2671="",AF2671="ERRO_CHAVE"),"",IFERROR(MATCH(AF2671,'Quitados DUPP'!$U$1:$U$6635,0),""))</f>
        <v/>
      </c>
      <c r="AH2671" s="15" t="str">
        <f t="shared" si="2"/>
        <v/>
      </c>
      <c r="AI2671" s="17" t="str">
        <f>IF(AG2671="","",INDEX('Quitados DUPP'!$G$1:$G$6635,AG2671))</f>
        <v/>
      </c>
      <c r="AJ2671" s="17" t="str">
        <f t="shared" si="3"/>
        <v/>
      </c>
    </row>
    <row r="2672" spans="31:36">
      <c r="AE2672" s="15" t="str">
        <f t="shared" si="0"/>
        <v/>
      </c>
      <c r="AF2672" s="15" t="str">
        <f t="shared" si="1"/>
        <v/>
      </c>
      <c r="AG2672" s="15" t="str">
        <f>IF(OR(AF2672="",AF2672="ERRO_CHAVE"),"",IFERROR(MATCH(AF2672,'Quitados DUPP'!$U$1:$U$6635,0),""))</f>
        <v/>
      </c>
      <c r="AH2672" s="15" t="str">
        <f t="shared" si="2"/>
        <v/>
      </c>
      <c r="AI2672" s="17" t="str">
        <f>IF(AG2672="","",INDEX('Quitados DUPP'!$G$1:$G$6635,AG2672))</f>
        <v/>
      </c>
      <c r="AJ2672" s="17" t="str">
        <f t="shared" si="3"/>
        <v/>
      </c>
    </row>
    <row r="2673" spans="31:36">
      <c r="AE2673" s="15" t="str">
        <f t="shared" si="0"/>
        <v/>
      </c>
      <c r="AF2673" s="15" t="str">
        <f t="shared" si="1"/>
        <v/>
      </c>
      <c r="AG2673" s="15" t="str">
        <f>IF(OR(AF2673="",AF2673="ERRO_CHAVE"),"",IFERROR(MATCH(AF2673,'Quitados DUPP'!$U$1:$U$6635,0),""))</f>
        <v/>
      </c>
      <c r="AH2673" s="15" t="str">
        <f t="shared" si="2"/>
        <v/>
      </c>
      <c r="AI2673" s="17" t="str">
        <f>IF(AG2673="","",INDEX('Quitados DUPP'!$G$1:$G$6635,AG2673))</f>
        <v/>
      </c>
      <c r="AJ2673" s="17" t="str">
        <f t="shared" si="3"/>
        <v/>
      </c>
    </row>
    <row r="2674" spans="31:36">
      <c r="AE2674" s="15" t="str">
        <f t="shared" si="0"/>
        <v/>
      </c>
      <c r="AF2674" s="15" t="str">
        <f t="shared" si="1"/>
        <v/>
      </c>
      <c r="AG2674" s="15" t="str">
        <f>IF(OR(AF2674="",AF2674="ERRO_CHAVE"),"",IFERROR(MATCH(AF2674,'Quitados DUPP'!$U$1:$U$6635,0),""))</f>
        <v/>
      </c>
      <c r="AH2674" s="15" t="str">
        <f t="shared" si="2"/>
        <v/>
      </c>
      <c r="AI2674" s="17" t="str">
        <f>IF(AG2674="","",INDEX('Quitados DUPP'!$G$1:$G$6635,AG2674))</f>
        <v/>
      </c>
      <c r="AJ2674" s="17" t="str">
        <f t="shared" si="3"/>
        <v/>
      </c>
    </row>
    <row r="2675" spans="31:36">
      <c r="AE2675" s="15" t="str">
        <f t="shared" si="0"/>
        <v/>
      </c>
      <c r="AF2675" s="15" t="str">
        <f t="shared" si="1"/>
        <v/>
      </c>
      <c r="AG2675" s="15" t="str">
        <f>IF(OR(AF2675="",AF2675="ERRO_CHAVE"),"",IFERROR(MATCH(AF2675,'Quitados DUPP'!$U$1:$U$6635,0),""))</f>
        <v/>
      </c>
      <c r="AH2675" s="15" t="str">
        <f t="shared" si="2"/>
        <v/>
      </c>
      <c r="AI2675" s="17" t="str">
        <f>IF(AG2675="","",INDEX('Quitados DUPP'!$G$1:$G$6635,AG2675))</f>
        <v/>
      </c>
      <c r="AJ2675" s="17" t="str">
        <f t="shared" si="3"/>
        <v/>
      </c>
    </row>
    <row r="2676" spans="31:36">
      <c r="AE2676" s="15" t="str">
        <f t="shared" si="0"/>
        <v/>
      </c>
      <c r="AF2676" s="15" t="str">
        <f t="shared" si="1"/>
        <v/>
      </c>
      <c r="AG2676" s="15" t="str">
        <f>IF(OR(AF2676="",AF2676="ERRO_CHAVE"),"",IFERROR(MATCH(AF2676,'Quitados DUPP'!$U$1:$U$6635,0),""))</f>
        <v/>
      </c>
      <c r="AH2676" s="15" t="str">
        <f t="shared" si="2"/>
        <v/>
      </c>
      <c r="AI2676" s="17" t="str">
        <f>IF(AG2676="","",INDEX('Quitados DUPP'!$G$1:$G$6635,AG2676))</f>
        <v/>
      </c>
      <c r="AJ2676" s="17" t="str">
        <f t="shared" si="3"/>
        <v/>
      </c>
    </row>
    <row r="2677" spans="31:36">
      <c r="AE2677" s="15" t="str">
        <f t="shared" si="0"/>
        <v/>
      </c>
      <c r="AF2677" s="15" t="str">
        <f t="shared" si="1"/>
        <v/>
      </c>
      <c r="AG2677" s="15" t="str">
        <f>IF(OR(AF2677="",AF2677="ERRO_CHAVE"),"",IFERROR(MATCH(AF2677,'Quitados DUPP'!$U$1:$U$6635,0),""))</f>
        <v/>
      </c>
      <c r="AH2677" s="15" t="str">
        <f t="shared" si="2"/>
        <v/>
      </c>
      <c r="AI2677" s="17" t="str">
        <f>IF(AG2677="","",INDEX('Quitados DUPP'!$G$1:$G$6635,AG2677))</f>
        <v/>
      </c>
      <c r="AJ2677" s="17" t="str">
        <f t="shared" si="3"/>
        <v/>
      </c>
    </row>
    <row r="2678" spans="31:36">
      <c r="AE2678" s="15" t="str">
        <f t="shared" si="0"/>
        <v/>
      </c>
      <c r="AF2678" s="15" t="str">
        <f t="shared" si="1"/>
        <v/>
      </c>
      <c r="AG2678" s="15" t="str">
        <f>IF(OR(AF2678="",AF2678="ERRO_CHAVE"),"",IFERROR(MATCH(AF2678,'Quitados DUPP'!$U$1:$U$6635,0),""))</f>
        <v/>
      </c>
      <c r="AH2678" s="15" t="str">
        <f t="shared" si="2"/>
        <v/>
      </c>
      <c r="AI2678" s="17" t="str">
        <f>IF(AG2678="","",INDEX('Quitados DUPP'!$G$1:$G$6635,AG2678))</f>
        <v/>
      </c>
      <c r="AJ2678" s="17" t="str">
        <f t="shared" si="3"/>
        <v/>
      </c>
    </row>
    <row r="2679" spans="31:36">
      <c r="AE2679" s="15" t="str">
        <f t="shared" si="0"/>
        <v/>
      </c>
      <c r="AF2679" s="15" t="str">
        <f t="shared" si="1"/>
        <v/>
      </c>
      <c r="AG2679" s="15" t="str">
        <f>IF(OR(AF2679="",AF2679="ERRO_CHAVE"),"",IFERROR(MATCH(AF2679,'Quitados DUPP'!$U$1:$U$6635,0),""))</f>
        <v/>
      </c>
      <c r="AH2679" s="15" t="str">
        <f t="shared" si="2"/>
        <v/>
      </c>
      <c r="AI2679" s="17" t="str">
        <f>IF(AG2679="","",INDEX('Quitados DUPP'!$G$1:$G$6635,AG2679))</f>
        <v/>
      </c>
      <c r="AJ2679" s="17" t="str">
        <f t="shared" si="3"/>
        <v/>
      </c>
    </row>
    <row r="2680" spans="31:36">
      <c r="AE2680" s="15" t="str">
        <f t="shared" si="0"/>
        <v/>
      </c>
      <c r="AF2680" s="15" t="str">
        <f t="shared" si="1"/>
        <v/>
      </c>
      <c r="AG2680" s="15" t="str">
        <f>IF(OR(AF2680="",AF2680="ERRO_CHAVE"),"",IFERROR(MATCH(AF2680,'Quitados DUPP'!$U$1:$U$6635,0),""))</f>
        <v/>
      </c>
      <c r="AH2680" s="15" t="str">
        <f t="shared" si="2"/>
        <v/>
      </c>
      <c r="AI2680" s="17" t="str">
        <f>IF(AG2680="","",INDEX('Quitados DUPP'!$G$1:$G$6635,AG2680))</f>
        <v/>
      </c>
      <c r="AJ2680" s="17" t="str">
        <f t="shared" si="3"/>
        <v/>
      </c>
    </row>
    <row r="2681" spans="31:36">
      <c r="AE2681" s="15" t="str">
        <f t="shared" si="0"/>
        <v/>
      </c>
      <c r="AF2681" s="15" t="str">
        <f t="shared" si="1"/>
        <v/>
      </c>
      <c r="AG2681" s="15" t="str">
        <f>IF(OR(AF2681="",AF2681="ERRO_CHAVE"),"",IFERROR(MATCH(AF2681,'Quitados DUPP'!$U$1:$U$6635,0),""))</f>
        <v/>
      </c>
      <c r="AH2681" s="15" t="str">
        <f t="shared" si="2"/>
        <v/>
      </c>
      <c r="AI2681" s="17" t="str">
        <f>IF(AG2681="","",INDEX('Quitados DUPP'!$G$1:$G$6635,AG2681))</f>
        <v/>
      </c>
      <c r="AJ2681" s="17" t="str">
        <f t="shared" si="3"/>
        <v/>
      </c>
    </row>
    <row r="2682" spans="31:36">
      <c r="AE2682" s="15" t="str">
        <f t="shared" si="0"/>
        <v/>
      </c>
      <c r="AF2682" s="15" t="str">
        <f t="shared" si="1"/>
        <v/>
      </c>
      <c r="AG2682" s="15" t="str">
        <f>IF(OR(AF2682="",AF2682="ERRO_CHAVE"),"",IFERROR(MATCH(AF2682,'Quitados DUPP'!$U$1:$U$6635,0),""))</f>
        <v/>
      </c>
      <c r="AH2682" s="15" t="str">
        <f t="shared" si="2"/>
        <v/>
      </c>
      <c r="AI2682" s="17" t="str">
        <f>IF(AG2682="","",INDEX('Quitados DUPP'!$G$1:$G$6635,AG2682))</f>
        <v/>
      </c>
      <c r="AJ2682" s="17" t="str">
        <f t="shared" si="3"/>
        <v/>
      </c>
    </row>
    <row r="2683" spans="31:36">
      <c r="AE2683" s="15" t="str">
        <f t="shared" si="0"/>
        <v/>
      </c>
      <c r="AF2683" s="15" t="str">
        <f t="shared" si="1"/>
        <v/>
      </c>
      <c r="AG2683" s="15" t="str">
        <f>IF(OR(AF2683="",AF2683="ERRO_CHAVE"),"",IFERROR(MATCH(AF2683,'Quitados DUPP'!$U$1:$U$6635,0),""))</f>
        <v/>
      </c>
      <c r="AH2683" s="15" t="str">
        <f t="shared" si="2"/>
        <v/>
      </c>
      <c r="AI2683" s="17" t="str">
        <f>IF(AG2683="","",INDEX('Quitados DUPP'!$G$1:$G$6635,AG2683))</f>
        <v/>
      </c>
      <c r="AJ2683" s="17" t="str">
        <f t="shared" si="3"/>
        <v/>
      </c>
    </row>
    <row r="2684" spans="31:36">
      <c r="AE2684" s="15" t="str">
        <f t="shared" si="0"/>
        <v/>
      </c>
      <c r="AF2684" s="15" t="str">
        <f t="shared" si="1"/>
        <v/>
      </c>
      <c r="AG2684" s="15" t="str">
        <f>IF(OR(AF2684="",AF2684="ERRO_CHAVE"),"",IFERROR(MATCH(AF2684,'Quitados DUPP'!$U$1:$U$6635,0),""))</f>
        <v/>
      </c>
      <c r="AH2684" s="15" t="str">
        <f t="shared" si="2"/>
        <v/>
      </c>
      <c r="AI2684" s="17" t="str">
        <f>IF(AG2684="","",INDEX('Quitados DUPP'!$G$1:$G$6635,AG2684))</f>
        <v/>
      </c>
      <c r="AJ2684" s="17" t="str">
        <f t="shared" si="3"/>
        <v/>
      </c>
    </row>
    <row r="2685" spans="31:36">
      <c r="AE2685" s="15" t="str">
        <f t="shared" si="0"/>
        <v/>
      </c>
      <c r="AF2685" s="15" t="str">
        <f t="shared" si="1"/>
        <v/>
      </c>
      <c r="AG2685" s="15" t="str">
        <f>IF(OR(AF2685="",AF2685="ERRO_CHAVE"),"",IFERROR(MATCH(AF2685,'Quitados DUPP'!$U$1:$U$6635,0),""))</f>
        <v/>
      </c>
      <c r="AH2685" s="15" t="str">
        <f t="shared" si="2"/>
        <v/>
      </c>
      <c r="AI2685" s="17" t="str">
        <f>IF(AG2685="","",INDEX('Quitados DUPP'!$G$1:$G$6635,AG2685))</f>
        <v/>
      </c>
      <c r="AJ2685" s="17" t="str">
        <f t="shared" si="3"/>
        <v/>
      </c>
    </row>
    <row r="2686" spans="31:36">
      <c r="AE2686" s="15" t="str">
        <f t="shared" si="0"/>
        <v/>
      </c>
      <c r="AF2686" s="15" t="str">
        <f t="shared" si="1"/>
        <v/>
      </c>
      <c r="AG2686" s="15" t="str">
        <f>IF(OR(AF2686="",AF2686="ERRO_CHAVE"),"",IFERROR(MATCH(AF2686,'Quitados DUPP'!$U$1:$U$6635,0),""))</f>
        <v/>
      </c>
      <c r="AH2686" s="15" t="str">
        <f t="shared" si="2"/>
        <v/>
      </c>
      <c r="AI2686" s="17" t="str">
        <f>IF(AG2686="","",INDEX('Quitados DUPP'!$G$1:$G$6635,AG2686))</f>
        <v/>
      </c>
      <c r="AJ2686" s="17" t="str">
        <f t="shared" si="3"/>
        <v/>
      </c>
    </row>
    <row r="2687" spans="31:36">
      <c r="AE2687" s="15" t="str">
        <f t="shared" si="0"/>
        <v/>
      </c>
      <c r="AF2687" s="15" t="str">
        <f t="shared" si="1"/>
        <v/>
      </c>
      <c r="AG2687" s="15" t="str">
        <f>IF(OR(AF2687="",AF2687="ERRO_CHAVE"),"",IFERROR(MATCH(AF2687,'Quitados DUPP'!$U$1:$U$6635,0),""))</f>
        <v/>
      </c>
      <c r="AH2687" s="15" t="str">
        <f t="shared" si="2"/>
        <v/>
      </c>
      <c r="AI2687" s="17" t="str">
        <f>IF(AG2687="","",INDEX('Quitados DUPP'!$G$1:$G$6635,AG2687))</f>
        <v/>
      </c>
      <c r="AJ2687" s="17" t="str">
        <f t="shared" si="3"/>
        <v/>
      </c>
    </row>
    <row r="2688" spans="31:36">
      <c r="AE2688" s="15" t="str">
        <f t="shared" si="0"/>
        <v/>
      </c>
      <c r="AF2688" s="15" t="str">
        <f t="shared" si="1"/>
        <v/>
      </c>
      <c r="AG2688" s="15" t="str">
        <f>IF(OR(AF2688="",AF2688="ERRO_CHAVE"),"",IFERROR(MATCH(AF2688,'Quitados DUPP'!$U$1:$U$6635,0),""))</f>
        <v/>
      </c>
      <c r="AH2688" s="15" t="str">
        <f t="shared" si="2"/>
        <v/>
      </c>
      <c r="AI2688" s="17" t="str">
        <f>IF(AG2688="","",INDEX('Quitados DUPP'!$G$1:$G$6635,AG2688))</f>
        <v/>
      </c>
      <c r="AJ2688" s="17" t="str">
        <f t="shared" si="3"/>
        <v/>
      </c>
    </row>
    <row r="2689" spans="31:36">
      <c r="AE2689" s="15" t="str">
        <f t="shared" si="0"/>
        <v/>
      </c>
      <c r="AF2689" s="15" t="str">
        <f t="shared" si="1"/>
        <v/>
      </c>
      <c r="AG2689" s="15" t="str">
        <f>IF(OR(AF2689="",AF2689="ERRO_CHAVE"),"",IFERROR(MATCH(AF2689,'Quitados DUPP'!$U$1:$U$6635,0),""))</f>
        <v/>
      </c>
      <c r="AH2689" s="15" t="str">
        <f t="shared" si="2"/>
        <v/>
      </c>
      <c r="AI2689" s="17" t="str">
        <f>IF(AG2689="","",INDEX('Quitados DUPP'!$G$1:$G$6635,AG2689))</f>
        <v/>
      </c>
      <c r="AJ2689" s="17" t="str">
        <f t="shared" si="3"/>
        <v/>
      </c>
    </row>
    <row r="2690" spans="31:36">
      <c r="AE2690" s="15" t="str">
        <f t="shared" si="0"/>
        <v/>
      </c>
      <c r="AF2690" s="15" t="str">
        <f t="shared" si="1"/>
        <v/>
      </c>
      <c r="AG2690" s="15" t="str">
        <f>IF(OR(AF2690="",AF2690="ERRO_CHAVE"),"",IFERROR(MATCH(AF2690,'Quitados DUPP'!$U$1:$U$6635,0),""))</f>
        <v/>
      </c>
      <c r="AH2690" s="15" t="str">
        <f t="shared" si="2"/>
        <v/>
      </c>
      <c r="AI2690" s="17" t="str">
        <f>IF(AG2690="","",INDEX('Quitados DUPP'!$G$1:$G$6635,AG2690))</f>
        <v/>
      </c>
      <c r="AJ2690" s="17" t="str">
        <f t="shared" si="3"/>
        <v/>
      </c>
    </row>
    <row r="2691" spans="31:36">
      <c r="AE2691" s="15" t="str">
        <f t="shared" si="0"/>
        <v/>
      </c>
      <c r="AF2691" s="15" t="str">
        <f t="shared" si="1"/>
        <v/>
      </c>
      <c r="AG2691" s="15" t="str">
        <f>IF(OR(AF2691="",AF2691="ERRO_CHAVE"),"",IFERROR(MATCH(AF2691,'Quitados DUPP'!$U$1:$U$6635,0),""))</f>
        <v/>
      </c>
      <c r="AH2691" s="15" t="str">
        <f t="shared" si="2"/>
        <v/>
      </c>
      <c r="AI2691" s="17" t="str">
        <f>IF(AG2691="","",INDEX('Quitados DUPP'!$G$1:$G$6635,AG2691))</f>
        <v/>
      </c>
      <c r="AJ2691" s="17" t="str">
        <f t="shared" si="3"/>
        <v/>
      </c>
    </row>
    <row r="2692" spans="31:36">
      <c r="AE2692" s="15" t="str">
        <f t="shared" si="0"/>
        <v/>
      </c>
      <c r="AF2692" s="15" t="str">
        <f t="shared" si="1"/>
        <v/>
      </c>
      <c r="AG2692" s="15" t="str">
        <f>IF(OR(AF2692="",AF2692="ERRO_CHAVE"),"",IFERROR(MATCH(AF2692,'Quitados DUPP'!$U$1:$U$6635,0),""))</f>
        <v/>
      </c>
      <c r="AH2692" s="15" t="str">
        <f t="shared" si="2"/>
        <v/>
      </c>
      <c r="AI2692" s="17" t="str">
        <f>IF(AG2692="","",INDEX('Quitados DUPP'!$G$1:$G$6635,AG2692))</f>
        <v/>
      </c>
      <c r="AJ2692" s="17" t="str">
        <f t="shared" si="3"/>
        <v/>
      </c>
    </row>
    <row r="2693" spans="31:36">
      <c r="AE2693" s="15" t="str">
        <f t="shared" si="0"/>
        <v/>
      </c>
      <c r="AF2693" s="15" t="str">
        <f t="shared" si="1"/>
        <v/>
      </c>
      <c r="AG2693" s="15" t="str">
        <f>IF(OR(AF2693="",AF2693="ERRO_CHAVE"),"",IFERROR(MATCH(AF2693,'Quitados DUPP'!$U$1:$U$6635,0),""))</f>
        <v/>
      </c>
      <c r="AH2693" s="15" t="str">
        <f t="shared" si="2"/>
        <v/>
      </c>
      <c r="AI2693" s="17" t="str">
        <f>IF(AG2693="","",INDEX('Quitados DUPP'!$G$1:$G$6635,AG2693))</f>
        <v/>
      </c>
      <c r="AJ2693" s="17" t="str">
        <f t="shared" si="3"/>
        <v/>
      </c>
    </row>
    <row r="2694" spans="31:36">
      <c r="AE2694" s="15" t="str">
        <f t="shared" si="0"/>
        <v/>
      </c>
      <c r="AF2694" s="15" t="str">
        <f t="shared" si="1"/>
        <v/>
      </c>
      <c r="AG2694" s="15" t="str">
        <f>IF(OR(AF2694="",AF2694="ERRO_CHAVE"),"",IFERROR(MATCH(AF2694,'Quitados DUPP'!$U$1:$U$6635,0),""))</f>
        <v/>
      </c>
      <c r="AH2694" s="15" t="str">
        <f t="shared" si="2"/>
        <v/>
      </c>
      <c r="AI2694" s="17" t="str">
        <f>IF(AG2694="","",INDEX('Quitados DUPP'!$G$1:$G$6635,AG2694))</f>
        <v/>
      </c>
      <c r="AJ2694" s="17" t="str">
        <f t="shared" si="3"/>
        <v/>
      </c>
    </row>
    <row r="2695" spans="31:36">
      <c r="AE2695" s="15" t="str">
        <f t="shared" si="0"/>
        <v/>
      </c>
      <c r="AF2695" s="15" t="str">
        <f t="shared" si="1"/>
        <v/>
      </c>
      <c r="AG2695" s="15" t="str">
        <f>IF(OR(AF2695="",AF2695="ERRO_CHAVE"),"",IFERROR(MATCH(AF2695,'Quitados DUPP'!$U$1:$U$6635,0),""))</f>
        <v/>
      </c>
      <c r="AH2695" s="15" t="str">
        <f t="shared" si="2"/>
        <v/>
      </c>
      <c r="AI2695" s="17" t="str">
        <f>IF(AG2695="","",INDEX('Quitados DUPP'!$G$1:$G$6635,AG2695))</f>
        <v/>
      </c>
      <c r="AJ2695" s="17" t="str">
        <f t="shared" si="3"/>
        <v/>
      </c>
    </row>
    <row r="2696" spans="31:36">
      <c r="AE2696" s="15" t="str">
        <f t="shared" si="0"/>
        <v/>
      </c>
      <c r="AF2696" s="15" t="str">
        <f t="shared" si="1"/>
        <v/>
      </c>
      <c r="AG2696" s="15" t="str">
        <f>IF(OR(AF2696="",AF2696="ERRO_CHAVE"),"",IFERROR(MATCH(AF2696,'Quitados DUPP'!$U$1:$U$6635,0),""))</f>
        <v/>
      </c>
      <c r="AH2696" s="15" t="str">
        <f t="shared" si="2"/>
        <v/>
      </c>
      <c r="AI2696" s="17" t="str">
        <f>IF(AG2696="","",INDEX('Quitados DUPP'!$G$1:$G$6635,AG2696))</f>
        <v/>
      </c>
      <c r="AJ2696" s="17" t="str">
        <f t="shared" si="3"/>
        <v/>
      </c>
    </row>
    <row r="2697" spans="31:36">
      <c r="AE2697" s="15" t="str">
        <f t="shared" si="0"/>
        <v/>
      </c>
      <c r="AF2697" s="15" t="str">
        <f t="shared" si="1"/>
        <v/>
      </c>
      <c r="AG2697" s="15" t="str">
        <f>IF(OR(AF2697="",AF2697="ERRO_CHAVE"),"",IFERROR(MATCH(AF2697,'Quitados DUPP'!$U$1:$U$6635,0),""))</f>
        <v/>
      </c>
      <c r="AH2697" s="15" t="str">
        <f t="shared" si="2"/>
        <v/>
      </c>
      <c r="AI2697" s="17" t="str">
        <f>IF(AG2697="","",INDEX('Quitados DUPP'!$G$1:$G$6635,AG2697))</f>
        <v/>
      </c>
      <c r="AJ2697" s="17" t="str">
        <f t="shared" si="3"/>
        <v/>
      </c>
    </row>
    <row r="2698" spans="31:36">
      <c r="AE2698" s="15" t="str">
        <f t="shared" si="0"/>
        <v/>
      </c>
      <c r="AF2698" s="15" t="str">
        <f t="shared" si="1"/>
        <v/>
      </c>
      <c r="AG2698" s="15" t="str">
        <f>IF(OR(AF2698="",AF2698="ERRO_CHAVE"),"",IFERROR(MATCH(AF2698,'Quitados DUPP'!$U$1:$U$6635,0),""))</f>
        <v/>
      </c>
      <c r="AH2698" s="15" t="str">
        <f t="shared" si="2"/>
        <v/>
      </c>
      <c r="AI2698" s="17" t="str">
        <f>IF(AG2698="","",INDEX('Quitados DUPP'!$G$1:$G$6635,AG2698))</f>
        <v/>
      </c>
      <c r="AJ2698" s="17" t="str">
        <f t="shared" si="3"/>
        <v/>
      </c>
    </row>
    <row r="2699" spans="31:36">
      <c r="AE2699" s="15" t="str">
        <f t="shared" si="0"/>
        <v/>
      </c>
      <c r="AF2699" s="15" t="str">
        <f t="shared" si="1"/>
        <v/>
      </c>
      <c r="AG2699" s="15" t="str">
        <f>IF(OR(AF2699="",AF2699="ERRO_CHAVE"),"",IFERROR(MATCH(AF2699,'Quitados DUPP'!$U$1:$U$6635,0),""))</f>
        <v/>
      </c>
      <c r="AH2699" s="15" t="str">
        <f t="shared" si="2"/>
        <v/>
      </c>
      <c r="AI2699" s="17" t="str">
        <f>IF(AG2699="","",INDEX('Quitados DUPP'!$G$1:$G$6635,AG2699))</f>
        <v/>
      </c>
      <c r="AJ2699" s="17" t="str">
        <f t="shared" si="3"/>
        <v/>
      </c>
    </row>
    <row r="2700" spans="31:36">
      <c r="AE2700" s="15" t="str">
        <f t="shared" si="0"/>
        <v/>
      </c>
      <c r="AF2700" s="15" t="str">
        <f t="shared" si="1"/>
        <v/>
      </c>
      <c r="AG2700" s="15" t="str">
        <f>IF(OR(AF2700="",AF2700="ERRO_CHAVE"),"",IFERROR(MATCH(AF2700,'Quitados DUPP'!$U$1:$U$6635,0),""))</f>
        <v/>
      </c>
      <c r="AH2700" s="15" t="str">
        <f t="shared" si="2"/>
        <v/>
      </c>
      <c r="AI2700" s="17" t="str">
        <f>IF(AG2700="","",INDEX('Quitados DUPP'!$G$1:$G$6635,AG2700))</f>
        <v/>
      </c>
      <c r="AJ2700" s="17" t="str">
        <f t="shared" si="3"/>
        <v/>
      </c>
    </row>
    <row r="2701" spans="31:36">
      <c r="AE2701" s="15" t="str">
        <f t="shared" si="0"/>
        <v/>
      </c>
      <c r="AF2701" s="15" t="str">
        <f t="shared" si="1"/>
        <v/>
      </c>
      <c r="AG2701" s="15" t="str">
        <f>IF(OR(AF2701="",AF2701="ERRO_CHAVE"),"",IFERROR(MATCH(AF2701,'Quitados DUPP'!$U$1:$U$6635,0),""))</f>
        <v/>
      </c>
      <c r="AH2701" s="15" t="str">
        <f t="shared" si="2"/>
        <v/>
      </c>
      <c r="AI2701" s="17" t="str">
        <f>IF(AG2701="","",INDEX('Quitados DUPP'!$G$1:$G$6635,AG2701))</f>
        <v/>
      </c>
      <c r="AJ2701" s="17" t="str">
        <f t="shared" si="3"/>
        <v/>
      </c>
    </row>
    <row r="2702" spans="31:36">
      <c r="AE2702" s="15" t="str">
        <f t="shared" si="0"/>
        <v/>
      </c>
      <c r="AF2702" s="15" t="str">
        <f t="shared" si="1"/>
        <v/>
      </c>
      <c r="AG2702" s="15" t="str">
        <f>IF(OR(AF2702="",AF2702="ERRO_CHAVE"),"",IFERROR(MATCH(AF2702,'Quitados DUPP'!$U$1:$U$6635,0),""))</f>
        <v/>
      </c>
      <c r="AH2702" s="15" t="str">
        <f t="shared" si="2"/>
        <v/>
      </c>
      <c r="AI2702" s="17" t="str">
        <f>IF(AG2702="","",INDEX('Quitados DUPP'!$G$1:$G$6635,AG2702))</f>
        <v/>
      </c>
      <c r="AJ2702" s="17" t="str">
        <f t="shared" si="3"/>
        <v/>
      </c>
    </row>
    <row r="2703" spans="31:36">
      <c r="AE2703" s="15" t="str">
        <f t="shared" si="0"/>
        <v/>
      </c>
      <c r="AF2703" s="15" t="str">
        <f t="shared" si="1"/>
        <v/>
      </c>
      <c r="AG2703" s="15" t="str">
        <f>IF(OR(AF2703="",AF2703="ERRO_CHAVE"),"",IFERROR(MATCH(AF2703,'Quitados DUPP'!$U$1:$U$6635,0),""))</f>
        <v/>
      </c>
      <c r="AH2703" s="15" t="str">
        <f t="shared" si="2"/>
        <v/>
      </c>
      <c r="AI2703" s="17" t="str">
        <f>IF(AG2703="","",INDEX('Quitados DUPP'!$G$1:$G$6635,AG2703))</f>
        <v/>
      </c>
      <c r="AJ2703" s="17" t="str">
        <f t="shared" si="3"/>
        <v/>
      </c>
    </row>
    <row r="2704" spans="31:36">
      <c r="AE2704" s="15" t="str">
        <f t="shared" si="0"/>
        <v/>
      </c>
      <c r="AF2704" s="15" t="str">
        <f t="shared" si="1"/>
        <v/>
      </c>
      <c r="AG2704" s="15" t="str">
        <f>IF(OR(AF2704="",AF2704="ERRO_CHAVE"),"",IFERROR(MATCH(AF2704,'Quitados DUPP'!$U$1:$U$6635,0),""))</f>
        <v/>
      </c>
      <c r="AH2704" s="15" t="str">
        <f t="shared" si="2"/>
        <v/>
      </c>
      <c r="AI2704" s="17" t="str">
        <f>IF(AG2704="","",INDEX('Quitados DUPP'!$G$1:$G$6635,AG2704))</f>
        <v/>
      </c>
      <c r="AJ2704" s="17" t="str">
        <f t="shared" si="3"/>
        <v/>
      </c>
    </row>
    <row r="2705" spans="31:36">
      <c r="AE2705" s="15" t="str">
        <f t="shared" si="0"/>
        <v/>
      </c>
      <c r="AF2705" s="15" t="str">
        <f t="shared" si="1"/>
        <v/>
      </c>
      <c r="AG2705" s="15" t="str">
        <f>IF(OR(AF2705="",AF2705="ERRO_CHAVE"),"",IFERROR(MATCH(AF2705,'Quitados DUPP'!$U$1:$U$6635,0),""))</f>
        <v/>
      </c>
      <c r="AH2705" s="15" t="str">
        <f t="shared" si="2"/>
        <v/>
      </c>
      <c r="AI2705" s="17" t="str">
        <f>IF(AG2705="","",INDEX('Quitados DUPP'!$G$1:$G$6635,AG2705))</f>
        <v/>
      </c>
      <c r="AJ2705" s="17" t="str">
        <f t="shared" si="3"/>
        <v/>
      </c>
    </row>
    <row r="2706" spans="31:36">
      <c r="AE2706" s="15" t="str">
        <f t="shared" si="0"/>
        <v/>
      </c>
      <c r="AF2706" s="15" t="str">
        <f t="shared" si="1"/>
        <v/>
      </c>
      <c r="AG2706" s="15" t="str">
        <f>IF(OR(AF2706="",AF2706="ERRO_CHAVE"),"",IFERROR(MATCH(AF2706,'Quitados DUPP'!$U$1:$U$6635,0),""))</f>
        <v/>
      </c>
      <c r="AH2706" s="15" t="str">
        <f t="shared" si="2"/>
        <v/>
      </c>
      <c r="AI2706" s="17" t="str">
        <f>IF(AG2706="","",INDEX('Quitados DUPP'!$G$1:$G$6635,AG2706))</f>
        <v/>
      </c>
      <c r="AJ2706" s="17" t="str">
        <f t="shared" si="3"/>
        <v/>
      </c>
    </row>
    <row r="2707" spans="31:36">
      <c r="AE2707" s="15" t="str">
        <f t="shared" si="0"/>
        <v/>
      </c>
      <c r="AF2707" s="15" t="str">
        <f t="shared" si="1"/>
        <v/>
      </c>
      <c r="AG2707" s="15" t="str">
        <f>IF(OR(AF2707="",AF2707="ERRO_CHAVE"),"",IFERROR(MATCH(AF2707,'Quitados DUPP'!$U$1:$U$6635,0),""))</f>
        <v/>
      </c>
      <c r="AH2707" s="15" t="str">
        <f t="shared" si="2"/>
        <v/>
      </c>
      <c r="AI2707" s="17" t="str">
        <f>IF(AG2707="","",INDEX('Quitados DUPP'!$G$1:$G$6635,AG2707))</f>
        <v/>
      </c>
      <c r="AJ2707" s="17" t="str">
        <f t="shared" si="3"/>
        <v/>
      </c>
    </row>
    <row r="2708" spans="31:36">
      <c r="AE2708" s="15" t="str">
        <f t="shared" si="0"/>
        <v/>
      </c>
      <c r="AF2708" s="15" t="str">
        <f t="shared" si="1"/>
        <v/>
      </c>
      <c r="AG2708" s="15" t="str">
        <f>IF(OR(AF2708="",AF2708="ERRO_CHAVE"),"",IFERROR(MATCH(AF2708,'Quitados DUPP'!$U$1:$U$6635,0),""))</f>
        <v/>
      </c>
      <c r="AH2708" s="15" t="str">
        <f t="shared" si="2"/>
        <v/>
      </c>
      <c r="AI2708" s="17" t="str">
        <f>IF(AG2708="","",INDEX('Quitados DUPP'!$G$1:$G$6635,AG2708))</f>
        <v/>
      </c>
      <c r="AJ2708" s="17" t="str">
        <f t="shared" si="3"/>
        <v/>
      </c>
    </row>
    <row r="2709" spans="31:36">
      <c r="AE2709" s="15" t="str">
        <f t="shared" si="0"/>
        <v/>
      </c>
      <c r="AF2709" s="15" t="str">
        <f t="shared" si="1"/>
        <v/>
      </c>
      <c r="AG2709" s="15" t="str">
        <f>IF(OR(AF2709="",AF2709="ERRO_CHAVE"),"",IFERROR(MATCH(AF2709,'Quitados DUPP'!$U$1:$U$6635,0),""))</f>
        <v/>
      </c>
      <c r="AH2709" s="15" t="str">
        <f t="shared" si="2"/>
        <v/>
      </c>
      <c r="AI2709" s="17" t="str">
        <f>IF(AG2709="","",INDEX('Quitados DUPP'!$G$1:$G$6635,AG2709))</f>
        <v/>
      </c>
      <c r="AJ2709" s="17" t="str">
        <f t="shared" si="3"/>
        <v/>
      </c>
    </row>
    <row r="2710" spans="31:36">
      <c r="AE2710" s="15" t="str">
        <f t="shared" si="0"/>
        <v/>
      </c>
      <c r="AF2710" s="15" t="str">
        <f t="shared" si="1"/>
        <v/>
      </c>
      <c r="AG2710" s="15" t="str">
        <f>IF(OR(AF2710="",AF2710="ERRO_CHAVE"),"",IFERROR(MATCH(AF2710,'Quitados DUPP'!$U$1:$U$6635,0),""))</f>
        <v/>
      </c>
      <c r="AH2710" s="15" t="str">
        <f t="shared" si="2"/>
        <v/>
      </c>
      <c r="AI2710" s="17" t="str">
        <f>IF(AG2710="","",INDEX('Quitados DUPP'!$G$1:$G$6635,AG2710))</f>
        <v/>
      </c>
      <c r="AJ2710" s="17" t="str">
        <f t="shared" si="3"/>
        <v/>
      </c>
    </row>
    <row r="2711" spans="31:36">
      <c r="AE2711" s="15" t="str">
        <f t="shared" si="0"/>
        <v/>
      </c>
      <c r="AF2711" s="15" t="str">
        <f t="shared" si="1"/>
        <v/>
      </c>
      <c r="AG2711" s="15" t="str">
        <f>IF(OR(AF2711="",AF2711="ERRO_CHAVE"),"",IFERROR(MATCH(AF2711,'Quitados DUPP'!$U$1:$U$6635,0),""))</f>
        <v/>
      </c>
      <c r="AH2711" s="15" t="str">
        <f t="shared" si="2"/>
        <v/>
      </c>
      <c r="AI2711" s="17" t="str">
        <f>IF(AG2711="","",INDEX('Quitados DUPP'!$G$1:$G$6635,AG2711))</f>
        <v/>
      </c>
      <c r="AJ2711" s="17" t="str">
        <f t="shared" si="3"/>
        <v/>
      </c>
    </row>
    <row r="2712" spans="31:36">
      <c r="AE2712" s="15" t="str">
        <f t="shared" si="0"/>
        <v/>
      </c>
      <c r="AF2712" s="15" t="str">
        <f t="shared" si="1"/>
        <v/>
      </c>
      <c r="AG2712" s="15" t="str">
        <f>IF(OR(AF2712="",AF2712="ERRO_CHAVE"),"",IFERROR(MATCH(AF2712,'Quitados DUPP'!$U$1:$U$6635,0),""))</f>
        <v/>
      </c>
      <c r="AH2712" s="15" t="str">
        <f t="shared" si="2"/>
        <v/>
      </c>
      <c r="AI2712" s="17" t="str">
        <f>IF(AG2712="","",INDEX('Quitados DUPP'!$G$1:$G$6635,AG2712))</f>
        <v/>
      </c>
      <c r="AJ2712" s="17" t="str">
        <f t="shared" si="3"/>
        <v/>
      </c>
    </row>
    <row r="2713" spans="31:36">
      <c r="AE2713" s="15" t="str">
        <f t="shared" si="0"/>
        <v/>
      </c>
      <c r="AF2713" s="15" t="str">
        <f t="shared" si="1"/>
        <v/>
      </c>
      <c r="AG2713" s="15" t="str">
        <f>IF(OR(AF2713="",AF2713="ERRO_CHAVE"),"",IFERROR(MATCH(AF2713,'Quitados DUPP'!$U$1:$U$6635,0),""))</f>
        <v/>
      </c>
      <c r="AH2713" s="15" t="str">
        <f t="shared" si="2"/>
        <v/>
      </c>
      <c r="AI2713" s="17" t="str">
        <f>IF(AG2713="","",INDEX('Quitados DUPP'!$G$1:$G$6635,AG2713))</f>
        <v/>
      </c>
      <c r="AJ2713" s="17" t="str">
        <f t="shared" si="3"/>
        <v/>
      </c>
    </row>
    <row r="2714" spans="31:36">
      <c r="AE2714" s="15" t="str">
        <f t="shared" si="0"/>
        <v/>
      </c>
      <c r="AF2714" s="15" t="str">
        <f t="shared" si="1"/>
        <v/>
      </c>
      <c r="AG2714" s="15" t="str">
        <f>IF(OR(AF2714="",AF2714="ERRO_CHAVE"),"",IFERROR(MATCH(AF2714,'Quitados DUPP'!$U$1:$U$6635,0),""))</f>
        <v/>
      </c>
      <c r="AH2714" s="15" t="str">
        <f t="shared" si="2"/>
        <v/>
      </c>
      <c r="AI2714" s="17" t="str">
        <f>IF(AG2714="","",INDEX('Quitados DUPP'!$G$1:$G$6635,AG2714))</f>
        <v/>
      </c>
      <c r="AJ2714" s="17" t="str">
        <f t="shared" si="3"/>
        <v/>
      </c>
    </row>
    <row r="2715" spans="31:36">
      <c r="AE2715" s="15" t="str">
        <f t="shared" si="0"/>
        <v/>
      </c>
      <c r="AF2715" s="15" t="str">
        <f t="shared" si="1"/>
        <v/>
      </c>
      <c r="AG2715" s="15" t="str">
        <f>IF(OR(AF2715="",AF2715="ERRO_CHAVE"),"",IFERROR(MATCH(AF2715,'Quitados DUPP'!$U$1:$U$6635,0),""))</f>
        <v/>
      </c>
      <c r="AH2715" s="15" t="str">
        <f t="shared" si="2"/>
        <v/>
      </c>
      <c r="AI2715" s="17" t="str">
        <f>IF(AG2715="","",INDEX('Quitados DUPP'!$G$1:$G$6635,AG2715))</f>
        <v/>
      </c>
      <c r="AJ2715" s="17" t="str">
        <f t="shared" si="3"/>
        <v/>
      </c>
    </row>
    <row r="2716" spans="31:36">
      <c r="AE2716" s="15" t="str">
        <f t="shared" si="0"/>
        <v/>
      </c>
      <c r="AF2716" s="15" t="str">
        <f t="shared" si="1"/>
        <v/>
      </c>
      <c r="AG2716" s="15" t="str">
        <f>IF(OR(AF2716="",AF2716="ERRO_CHAVE"),"",IFERROR(MATCH(AF2716,'Quitados DUPP'!$U$1:$U$6635,0),""))</f>
        <v/>
      </c>
      <c r="AH2716" s="15" t="str">
        <f t="shared" si="2"/>
        <v/>
      </c>
      <c r="AI2716" s="17" t="str">
        <f>IF(AG2716="","",INDEX('Quitados DUPP'!$G$1:$G$6635,AG2716))</f>
        <v/>
      </c>
      <c r="AJ2716" s="17" t="str">
        <f t="shared" si="3"/>
        <v/>
      </c>
    </row>
    <row r="2717" spans="31:36">
      <c r="AE2717" s="15" t="str">
        <f t="shared" si="0"/>
        <v/>
      </c>
      <c r="AF2717" s="15" t="str">
        <f t="shared" si="1"/>
        <v/>
      </c>
      <c r="AG2717" s="15" t="str">
        <f>IF(OR(AF2717="",AF2717="ERRO_CHAVE"),"",IFERROR(MATCH(AF2717,'Quitados DUPP'!$U$1:$U$6635,0),""))</f>
        <v/>
      </c>
      <c r="AH2717" s="15" t="str">
        <f t="shared" si="2"/>
        <v/>
      </c>
      <c r="AI2717" s="17" t="str">
        <f>IF(AG2717="","",INDEX('Quitados DUPP'!$G$1:$G$6635,AG2717))</f>
        <v/>
      </c>
      <c r="AJ2717" s="17" t="str">
        <f t="shared" si="3"/>
        <v/>
      </c>
    </row>
    <row r="2718" spans="31:36">
      <c r="AE2718" s="15" t="str">
        <f t="shared" si="0"/>
        <v/>
      </c>
      <c r="AF2718" s="15" t="str">
        <f t="shared" si="1"/>
        <v/>
      </c>
      <c r="AG2718" s="15" t="str">
        <f>IF(OR(AF2718="",AF2718="ERRO_CHAVE"),"",IFERROR(MATCH(AF2718,'Quitados DUPP'!$U$1:$U$6635,0),""))</f>
        <v/>
      </c>
      <c r="AH2718" s="15" t="str">
        <f t="shared" si="2"/>
        <v/>
      </c>
      <c r="AI2718" s="17" t="str">
        <f>IF(AG2718="","",INDEX('Quitados DUPP'!$G$1:$G$6635,AG2718))</f>
        <v/>
      </c>
      <c r="AJ2718" s="17" t="str">
        <f t="shared" si="3"/>
        <v/>
      </c>
    </row>
    <row r="2719" spans="31:36">
      <c r="AE2719" s="15" t="str">
        <f t="shared" si="0"/>
        <v/>
      </c>
      <c r="AF2719" s="15" t="str">
        <f t="shared" si="1"/>
        <v/>
      </c>
      <c r="AG2719" s="15" t="str">
        <f>IF(OR(AF2719="",AF2719="ERRO_CHAVE"),"",IFERROR(MATCH(AF2719,'Quitados DUPP'!$U$1:$U$6635,0),""))</f>
        <v/>
      </c>
      <c r="AH2719" s="15" t="str">
        <f t="shared" si="2"/>
        <v/>
      </c>
      <c r="AI2719" s="17" t="str">
        <f>IF(AG2719="","",INDEX('Quitados DUPP'!$G$1:$G$6635,AG2719))</f>
        <v/>
      </c>
      <c r="AJ2719" s="17" t="str">
        <f t="shared" si="3"/>
        <v/>
      </c>
    </row>
    <row r="2720" spans="31:36">
      <c r="AE2720" s="15" t="str">
        <f t="shared" si="0"/>
        <v/>
      </c>
      <c r="AF2720" s="15" t="str">
        <f t="shared" si="1"/>
        <v/>
      </c>
      <c r="AG2720" s="15" t="str">
        <f>IF(OR(AF2720="",AF2720="ERRO_CHAVE"),"",IFERROR(MATCH(AF2720,'Quitados DUPP'!$U$1:$U$6635,0),""))</f>
        <v/>
      </c>
      <c r="AH2720" s="15" t="str">
        <f t="shared" si="2"/>
        <v/>
      </c>
      <c r="AI2720" s="17" t="str">
        <f>IF(AG2720="","",INDEX('Quitados DUPP'!$G$1:$G$6635,AG2720))</f>
        <v/>
      </c>
      <c r="AJ2720" s="17" t="str">
        <f t="shared" si="3"/>
        <v/>
      </c>
    </row>
    <row r="2721" spans="31:36">
      <c r="AE2721" s="15" t="str">
        <f t="shared" si="0"/>
        <v/>
      </c>
      <c r="AF2721" s="15" t="str">
        <f t="shared" si="1"/>
        <v/>
      </c>
      <c r="AG2721" s="15" t="str">
        <f>IF(OR(AF2721="",AF2721="ERRO_CHAVE"),"",IFERROR(MATCH(AF2721,'Quitados DUPP'!$U$1:$U$6635,0),""))</f>
        <v/>
      </c>
      <c r="AH2721" s="15" t="str">
        <f t="shared" si="2"/>
        <v/>
      </c>
      <c r="AI2721" s="17" t="str">
        <f>IF(AG2721="","",INDEX('Quitados DUPP'!$G$1:$G$6635,AG2721))</f>
        <v/>
      </c>
      <c r="AJ2721" s="17" t="str">
        <f t="shared" si="3"/>
        <v/>
      </c>
    </row>
    <row r="2722" spans="31:36">
      <c r="AE2722" s="15" t="str">
        <f t="shared" si="0"/>
        <v/>
      </c>
      <c r="AF2722" s="15" t="str">
        <f t="shared" si="1"/>
        <v/>
      </c>
      <c r="AG2722" s="15" t="str">
        <f>IF(OR(AF2722="",AF2722="ERRO_CHAVE"),"",IFERROR(MATCH(AF2722,'Quitados DUPP'!$U$1:$U$6635,0),""))</f>
        <v/>
      </c>
      <c r="AH2722" s="15" t="str">
        <f t="shared" si="2"/>
        <v/>
      </c>
      <c r="AI2722" s="17" t="str">
        <f>IF(AG2722="","",INDEX('Quitados DUPP'!$G$1:$G$6635,AG2722))</f>
        <v/>
      </c>
      <c r="AJ2722" s="17" t="str">
        <f t="shared" si="3"/>
        <v/>
      </c>
    </row>
    <row r="2723" spans="31:36">
      <c r="AE2723" s="15" t="str">
        <f t="shared" si="0"/>
        <v/>
      </c>
      <c r="AF2723" s="15" t="str">
        <f t="shared" si="1"/>
        <v/>
      </c>
      <c r="AG2723" s="15" t="str">
        <f>IF(OR(AF2723="",AF2723="ERRO_CHAVE"),"",IFERROR(MATCH(AF2723,'Quitados DUPP'!$U$1:$U$6635,0),""))</f>
        <v/>
      </c>
      <c r="AH2723" s="15" t="str">
        <f t="shared" si="2"/>
        <v/>
      </c>
      <c r="AI2723" s="17" t="str">
        <f>IF(AG2723="","",INDEX('Quitados DUPP'!$G$1:$G$6635,AG2723))</f>
        <v/>
      </c>
      <c r="AJ2723" s="17" t="str">
        <f t="shared" si="3"/>
        <v/>
      </c>
    </row>
    <row r="2724" spans="31:36">
      <c r="AE2724" s="15" t="str">
        <f t="shared" si="0"/>
        <v/>
      </c>
      <c r="AF2724" s="15" t="str">
        <f t="shared" si="1"/>
        <v/>
      </c>
      <c r="AG2724" s="15" t="str">
        <f>IF(OR(AF2724="",AF2724="ERRO_CHAVE"),"",IFERROR(MATCH(AF2724,'Quitados DUPP'!$U$1:$U$6635,0),""))</f>
        <v/>
      </c>
      <c r="AH2724" s="15" t="str">
        <f t="shared" si="2"/>
        <v/>
      </c>
      <c r="AI2724" s="17" t="str">
        <f>IF(AG2724="","",INDEX('Quitados DUPP'!$G$1:$G$6635,AG2724))</f>
        <v/>
      </c>
      <c r="AJ2724" s="17" t="str">
        <f t="shared" si="3"/>
        <v/>
      </c>
    </row>
    <row r="2725" spans="31:36">
      <c r="AE2725" s="15" t="str">
        <f t="shared" si="0"/>
        <v/>
      </c>
      <c r="AF2725" s="15" t="str">
        <f t="shared" si="1"/>
        <v/>
      </c>
      <c r="AG2725" s="15" t="str">
        <f>IF(OR(AF2725="",AF2725="ERRO_CHAVE"),"",IFERROR(MATCH(AF2725,'Quitados DUPP'!$U$1:$U$6635,0),""))</f>
        <v/>
      </c>
      <c r="AH2725" s="15" t="str">
        <f t="shared" si="2"/>
        <v/>
      </c>
      <c r="AI2725" s="17" t="str">
        <f>IF(AG2725="","",INDEX('Quitados DUPP'!$G$1:$G$6635,AG2725))</f>
        <v/>
      </c>
      <c r="AJ2725" s="17" t="str">
        <f t="shared" si="3"/>
        <v/>
      </c>
    </row>
    <row r="2726" spans="31:36">
      <c r="AE2726" s="15" t="str">
        <f t="shared" si="0"/>
        <v/>
      </c>
      <c r="AF2726" s="15" t="str">
        <f t="shared" si="1"/>
        <v/>
      </c>
      <c r="AG2726" s="15" t="str">
        <f>IF(OR(AF2726="",AF2726="ERRO_CHAVE"),"",IFERROR(MATCH(AF2726,'Quitados DUPP'!$U$1:$U$6635,0),""))</f>
        <v/>
      </c>
      <c r="AH2726" s="15" t="str">
        <f t="shared" si="2"/>
        <v/>
      </c>
      <c r="AI2726" s="17" t="str">
        <f>IF(AG2726="","",INDEX('Quitados DUPP'!$G$1:$G$6635,AG2726))</f>
        <v/>
      </c>
      <c r="AJ2726" s="17" t="str">
        <f t="shared" si="3"/>
        <v/>
      </c>
    </row>
    <row r="2727" spans="31:36">
      <c r="AE2727" s="15" t="str">
        <f t="shared" si="0"/>
        <v/>
      </c>
      <c r="AF2727" s="15" t="str">
        <f t="shared" si="1"/>
        <v/>
      </c>
      <c r="AG2727" s="15" t="str">
        <f>IF(OR(AF2727="",AF2727="ERRO_CHAVE"),"",IFERROR(MATCH(AF2727,'Quitados DUPP'!$U$1:$U$6635,0),""))</f>
        <v/>
      </c>
      <c r="AH2727" s="15" t="str">
        <f t="shared" si="2"/>
        <v/>
      </c>
      <c r="AI2727" s="17" t="str">
        <f>IF(AG2727="","",INDEX('Quitados DUPP'!$G$1:$G$6635,AG2727))</f>
        <v/>
      </c>
      <c r="AJ2727" s="17" t="str">
        <f t="shared" si="3"/>
        <v/>
      </c>
    </row>
    <row r="2728" spans="31:36">
      <c r="AE2728" s="15" t="str">
        <f t="shared" si="0"/>
        <v/>
      </c>
      <c r="AF2728" s="15" t="str">
        <f t="shared" si="1"/>
        <v/>
      </c>
      <c r="AG2728" s="15" t="str">
        <f>IF(OR(AF2728="",AF2728="ERRO_CHAVE"),"",IFERROR(MATCH(AF2728,'Quitados DUPP'!$U$1:$U$6635,0),""))</f>
        <v/>
      </c>
      <c r="AH2728" s="15" t="str">
        <f t="shared" si="2"/>
        <v/>
      </c>
      <c r="AI2728" s="17" t="str">
        <f>IF(AG2728="","",INDEX('Quitados DUPP'!$G$1:$G$6635,AG2728))</f>
        <v/>
      </c>
      <c r="AJ2728" s="17" t="str">
        <f t="shared" si="3"/>
        <v/>
      </c>
    </row>
    <row r="2729" spans="31:36">
      <c r="AE2729" s="15" t="str">
        <f t="shared" si="0"/>
        <v/>
      </c>
      <c r="AF2729" s="15" t="str">
        <f t="shared" si="1"/>
        <v/>
      </c>
      <c r="AG2729" s="15" t="str">
        <f>IF(OR(AF2729="",AF2729="ERRO_CHAVE"),"",IFERROR(MATCH(AF2729,'Quitados DUPP'!$U$1:$U$6635,0),""))</f>
        <v/>
      </c>
      <c r="AH2729" s="15" t="str">
        <f t="shared" si="2"/>
        <v/>
      </c>
      <c r="AI2729" s="17" t="str">
        <f>IF(AG2729="","",INDEX('Quitados DUPP'!$G$1:$G$6635,AG2729))</f>
        <v/>
      </c>
      <c r="AJ2729" s="17" t="str">
        <f t="shared" si="3"/>
        <v/>
      </c>
    </row>
    <row r="2730" spans="31:36">
      <c r="AE2730" s="15" t="str">
        <f t="shared" si="0"/>
        <v/>
      </c>
      <c r="AF2730" s="15" t="str">
        <f t="shared" si="1"/>
        <v/>
      </c>
      <c r="AG2730" s="15" t="str">
        <f>IF(OR(AF2730="",AF2730="ERRO_CHAVE"),"",IFERROR(MATCH(AF2730,'Quitados DUPP'!$U$1:$U$6635,0),""))</f>
        <v/>
      </c>
      <c r="AH2730" s="15" t="str">
        <f t="shared" si="2"/>
        <v/>
      </c>
      <c r="AI2730" s="17" t="str">
        <f>IF(AG2730="","",INDEX('Quitados DUPP'!$G$1:$G$6635,AG2730))</f>
        <v/>
      </c>
      <c r="AJ2730" s="17" t="str">
        <f t="shared" si="3"/>
        <v/>
      </c>
    </row>
    <row r="2731" spans="31:36">
      <c r="AE2731" s="15" t="str">
        <f t="shared" si="0"/>
        <v/>
      </c>
      <c r="AF2731" s="15" t="str">
        <f t="shared" si="1"/>
        <v/>
      </c>
      <c r="AG2731" s="15" t="str">
        <f>IF(OR(AF2731="",AF2731="ERRO_CHAVE"),"",IFERROR(MATCH(AF2731,'Quitados DUPP'!$U$1:$U$6635,0),""))</f>
        <v/>
      </c>
      <c r="AH2731" s="15" t="str">
        <f t="shared" si="2"/>
        <v/>
      </c>
      <c r="AI2731" s="17" t="str">
        <f>IF(AG2731="","",INDEX('Quitados DUPP'!$G$1:$G$6635,AG2731))</f>
        <v/>
      </c>
      <c r="AJ2731" s="17" t="str">
        <f t="shared" si="3"/>
        <v/>
      </c>
    </row>
    <row r="2732" spans="31:36">
      <c r="AE2732" s="15" t="str">
        <f t="shared" si="0"/>
        <v/>
      </c>
      <c r="AF2732" s="15" t="str">
        <f t="shared" si="1"/>
        <v/>
      </c>
      <c r="AG2732" s="15" t="str">
        <f>IF(OR(AF2732="",AF2732="ERRO_CHAVE"),"",IFERROR(MATCH(AF2732,'Quitados DUPP'!$U$1:$U$6635,0),""))</f>
        <v/>
      </c>
      <c r="AH2732" s="15" t="str">
        <f t="shared" si="2"/>
        <v/>
      </c>
      <c r="AI2732" s="17" t="str">
        <f>IF(AG2732="","",INDEX('Quitados DUPP'!$G$1:$G$6635,AG2732))</f>
        <v/>
      </c>
      <c r="AJ2732" s="17" t="str">
        <f t="shared" si="3"/>
        <v/>
      </c>
    </row>
    <row r="2733" spans="31:36">
      <c r="AE2733" s="15" t="str">
        <f t="shared" si="0"/>
        <v/>
      </c>
      <c r="AF2733" s="15" t="str">
        <f t="shared" si="1"/>
        <v/>
      </c>
      <c r="AG2733" s="15" t="str">
        <f>IF(OR(AF2733="",AF2733="ERRO_CHAVE"),"",IFERROR(MATCH(AF2733,'Quitados DUPP'!$U$1:$U$6635,0),""))</f>
        <v/>
      </c>
      <c r="AH2733" s="15" t="str">
        <f t="shared" si="2"/>
        <v/>
      </c>
      <c r="AI2733" s="17" t="str">
        <f>IF(AG2733="","",INDEX('Quitados DUPP'!$G$1:$G$6635,AG2733))</f>
        <v/>
      </c>
      <c r="AJ2733" s="17" t="str">
        <f t="shared" si="3"/>
        <v/>
      </c>
    </row>
    <row r="2734" spans="31:36">
      <c r="AE2734" s="15" t="str">
        <f t="shared" si="0"/>
        <v/>
      </c>
      <c r="AF2734" s="15" t="str">
        <f t="shared" si="1"/>
        <v/>
      </c>
      <c r="AG2734" s="15" t="str">
        <f>IF(OR(AF2734="",AF2734="ERRO_CHAVE"),"",IFERROR(MATCH(AF2734,'Quitados DUPP'!$U$1:$U$6635,0),""))</f>
        <v/>
      </c>
      <c r="AH2734" s="15" t="str">
        <f t="shared" si="2"/>
        <v/>
      </c>
      <c r="AI2734" s="17" t="str">
        <f>IF(AG2734="","",INDEX('Quitados DUPP'!$G$1:$G$6635,AG2734))</f>
        <v/>
      </c>
      <c r="AJ2734" s="17" t="str">
        <f t="shared" si="3"/>
        <v/>
      </c>
    </row>
    <row r="2735" spans="31:36">
      <c r="AE2735" s="15" t="str">
        <f t="shared" si="0"/>
        <v/>
      </c>
      <c r="AF2735" s="15" t="str">
        <f t="shared" si="1"/>
        <v/>
      </c>
      <c r="AG2735" s="15" t="str">
        <f>IF(OR(AF2735="",AF2735="ERRO_CHAVE"),"",IFERROR(MATCH(AF2735,'Quitados DUPP'!$U$1:$U$6635,0),""))</f>
        <v/>
      </c>
      <c r="AH2735" s="15" t="str">
        <f t="shared" si="2"/>
        <v/>
      </c>
      <c r="AI2735" s="17" t="str">
        <f>IF(AG2735="","",INDEX('Quitados DUPP'!$G$1:$G$6635,AG2735))</f>
        <v/>
      </c>
      <c r="AJ2735" s="17" t="str">
        <f t="shared" si="3"/>
        <v/>
      </c>
    </row>
    <row r="2736" spans="31:36">
      <c r="AE2736" s="15" t="str">
        <f t="shared" si="0"/>
        <v/>
      </c>
      <c r="AF2736" s="15" t="str">
        <f t="shared" si="1"/>
        <v/>
      </c>
      <c r="AG2736" s="15" t="str">
        <f>IF(OR(AF2736="",AF2736="ERRO_CHAVE"),"",IFERROR(MATCH(AF2736,'Quitados DUPP'!$U$1:$U$6635,0),""))</f>
        <v/>
      </c>
      <c r="AH2736" s="15" t="str">
        <f t="shared" si="2"/>
        <v/>
      </c>
      <c r="AI2736" s="17" t="str">
        <f>IF(AG2736="","",INDEX('Quitados DUPP'!$G$1:$G$6635,AG2736))</f>
        <v/>
      </c>
      <c r="AJ2736" s="17" t="str">
        <f t="shared" si="3"/>
        <v/>
      </c>
    </row>
    <row r="2737" spans="31:36">
      <c r="AE2737" s="15" t="str">
        <f t="shared" si="0"/>
        <v/>
      </c>
      <c r="AF2737" s="15" t="str">
        <f t="shared" si="1"/>
        <v/>
      </c>
      <c r="AG2737" s="15" t="str">
        <f>IF(OR(AF2737="",AF2737="ERRO_CHAVE"),"",IFERROR(MATCH(AF2737,'Quitados DUPP'!$U$1:$U$6635,0),""))</f>
        <v/>
      </c>
      <c r="AH2737" s="15" t="str">
        <f t="shared" si="2"/>
        <v/>
      </c>
      <c r="AI2737" s="17" t="str">
        <f>IF(AG2737="","",INDEX('Quitados DUPP'!$G$1:$G$6635,AG2737))</f>
        <v/>
      </c>
      <c r="AJ2737" s="17" t="str">
        <f t="shared" si="3"/>
        <v/>
      </c>
    </row>
    <row r="2738" spans="31:36">
      <c r="AE2738" s="15" t="str">
        <f t="shared" si="0"/>
        <v/>
      </c>
      <c r="AF2738" s="15" t="str">
        <f t="shared" si="1"/>
        <v/>
      </c>
      <c r="AG2738" s="15" t="str">
        <f>IF(OR(AF2738="",AF2738="ERRO_CHAVE"),"",IFERROR(MATCH(AF2738,'Quitados DUPP'!$U$1:$U$6635,0),""))</f>
        <v/>
      </c>
      <c r="AH2738" s="15" t="str">
        <f t="shared" si="2"/>
        <v/>
      </c>
      <c r="AI2738" s="17" t="str">
        <f>IF(AG2738="","",INDEX('Quitados DUPP'!$G$1:$G$6635,AG2738))</f>
        <v/>
      </c>
      <c r="AJ2738" s="17" t="str">
        <f t="shared" si="3"/>
        <v/>
      </c>
    </row>
    <row r="2739" spans="31:36">
      <c r="AE2739" s="15" t="str">
        <f t="shared" si="0"/>
        <v/>
      </c>
      <c r="AF2739" s="15" t="str">
        <f t="shared" si="1"/>
        <v/>
      </c>
      <c r="AG2739" s="15" t="str">
        <f>IF(OR(AF2739="",AF2739="ERRO_CHAVE"),"",IFERROR(MATCH(AF2739,'Quitados DUPP'!$U$1:$U$6635,0),""))</f>
        <v/>
      </c>
      <c r="AH2739" s="15" t="str">
        <f t="shared" si="2"/>
        <v/>
      </c>
      <c r="AI2739" s="17" t="str">
        <f>IF(AG2739="","",INDEX('Quitados DUPP'!$G$1:$G$6635,AG2739))</f>
        <v/>
      </c>
      <c r="AJ2739" s="17" t="str">
        <f t="shared" si="3"/>
        <v/>
      </c>
    </row>
    <row r="2740" spans="31:36">
      <c r="AE2740" s="15" t="str">
        <f t="shared" si="0"/>
        <v/>
      </c>
      <c r="AF2740" s="15" t="str">
        <f t="shared" si="1"/>
        <v/>
      </c>
      <c r="AG2740" s="15" t="str">
        <f>IF(OR(AF2740="",AF2740="ERRO_CHAVE"),"",IFERROR(MATCH(AF2740,'Quitados DUPP'!$U$1:$U$6635,0),""))</f>
        <v/>
      </c>
      <c r="AH2740" s="15" t="str">
        <f t="shared" si="2"/>
        <v/>
      </c>
      <c r="AI2740" s="17" t="str">
        <f>IF(AG2740="","",INDEX('Quitados DUPP'!$G$1:$G$6635,AG2740))</f>
        <v/>
      </c>
      <c r="AJ2740" s="17" t="str">
        <f t="shared" si="3"/>
        <v/>
      </c>
    </row>
    <row r="2741" spans="31:36">
      <c r="AE2741" s="15" t="str">
        <f t="shared" si="0"/>
        <v/>
      </c>
      <c r="AF2741" s="15" t="str">
        <f t="shared" si="1"/>
        <v/>
      </c>
      <c r="AG2741" s="15" t="str">
        <f>IF(OR(AF2741="",AF2741="ERRO_CHAVE"),"",IFERROR(MATCH(AF2741,'Quitados DUPP'!$U$1:$U$6635,0),""))</f>
        <v/>
      </c>
      <c r="AH2741" s="15" t="str">
        <f t="shared" si="2"/>
        <v/>
      </c>
      <c r="AI2741" s="17" t="str">
        <f>IF(AG2741="","",INDEX('Quitados DUPP'!$G$1:$G$6635,AG2741))</f>
        <v/>
      </c>
      <c r="AJ2741" s="17" t="str">
        <f t="shared" si="3"/>
        <v/>
      </c>
    </row>
    <row r="2742" spans="31:36">
      <c r="AE2742" s="15" t="str">
        <f t="shared" si="0"/>
        <v/>
      </c>
      <c r="AF2742" s="15" t="str">
        <f t="shared" si="1"/>
        <v/>
      </c>
      <c r="AG2742" s="15" t="str">
        <f>IF(OR(AF2742="",AF2742="ERRO_CHAVE"),"",IFERROR(MATCH(AF2742,'Quitados DUPP'!$U$1:$U$6635,0),""))</f>
        <v/>
      </c>
      <c r="AH2742" s="15" t="str">
        <f t="shared" si="2"/>
        <v/>
      </c>
      <c r="AI2742" s="17" t="str">
        <f>IF(AG2742="","",INDEX('Quitados DUPP'!$G$1:$G$6635,AG2742))</f>
        <v/>
      </c>
      <c r="AJ2742" s="17" t="str">
        <f t="shared" si="3"/>
        <v/>
      </c>
    </row>
    <row r="2743" spans="31:36">
      <c r="AE2743" s="15" t="str">
        <f t="shared" si="0"/>
        <v/>
      </c>
      <c r="AF2743" s="15" t="str">
        <f t="shared" si="1"/>
        <v/>
      </c>
      <c r="AG2743" s="15" t="str">
        <f>IF(OR(AF2743="",AF2743="ERRO_CHAVE"),"",IFERROR(MATCH(AF2743,'Quitados DUPP'!$U$1:$U$6635,0),""))</f>
        <v/>
      </c>
      <c r="AH2743" s="15" t="str">
        <f t="shared" si="2"/>
        <v/>
      </c>
      <c r="AI2743" s="17" t="str">
        <f>IF(AG2743="","",INDEX('Quitados DUPP'!$G$1:$G$6635,AG2743))</f>
        <v/>
      </c>
      <c r="AJ2743" s="17" t="str">
        <f t="shared" si="3"/>
        <v/>
      </c>
    </row>
    <row r="2744" spans="31:36">
      <c r="AE2744" s="15" t="str">
        <f t="shared" si="0"/>
        <v/>
      </c>
      <c r="AF2744" s="15" t="str">
        <f t="shared" si="1"/>
        <v/>
      </c>
      <c r="AG2744" s="15" t="str">
        <f>IF(OR(AF2744="",AF2744="ERRO_CHAVE"),"",IFERROR(MATCH(AF2744,'Quitados DUPP'!$U$1:$U$6635,0),""))</f>
        <v/>
      </c>
      <c r="AH2744" s="15" t="str">
        <f t="shared" si="2"/>
        <v/>
      </c>
      <c r="AI2744" s="17" t="str">
        <f>IF(AG2744="","",INDEX('Quitados DUPP'!$G$1:$G$6635,AG2744))</f>
        <v/>
      </c>
      <c r="AJ2744" s="17" t="str">
        <f t="shared" si="3"/>
        <v/>
      </c>
    </row>
    <row r="2745" spans="31:36">
      <c r="AE2745" s="15" t="str">
        <f t="shared" si="0"/>
        <v/>
      </c>
      <c r="AF2745" s="15" t="str">
        <f t="shared" si="1"/>
        <v/>
      </c>
      <c r="AG2745" s="15" t="str">
        <f>IF(OR(AF2745="",AF2745="ERRO_CHAVE"),"",IFERROR(MATCH(AF2745,'Quitados DUPP'!$U$1:$U$6635,0),""))</f>
        <v/>
      </c>
      <c r="AH2745" s="15" t="str">
        <f t="shared" si="2"/>
        <v/>
      </c>
      <c r="AI2745" s="17" t="str">
        <f>IF(AG2745="","",INDEX('Quitados DUPP'!$G$1:$G$6635,AG2745))</f>
        <v/>
      </c>
      <c r="AJ2745" s="17" t="str">
        <f t="shared" si="3"/>
        <v/>
      </c>
    </row>
    <row r="2746" spans="31:36">
      <c r="AE2746" s="15" t="str">
        <f t="shared" si="0"/>
        <v/>
      </c>
      <c r="AF2746" s="15" t="str">
        <f t="shared" si="1"/>
        <v/>
      </c>
      <c r="AG2746" s="15" t="str">
        <f>IF(OR(AF2746="",AF2746="ERRO_CHAVE"),"",IFERROR(MATCH(AF2746,'Quitados DUPP'!$U$1:$U$6635,0),""))</f>
        <v/>
      </c>
      <c r="AH2746" s="15" t="str">
        <f t="shared" si="2"/>
        <v/>
      </c>
      <c r="AI2746" s="17" t="str">
        <f>IF(AG2746="","",INDEX('Quitados DUPP'!$G$1:$G$6635,AG2746))</f>
        <v/>
      </c>
      <c r="AJ2746" s="17" t="str">
        <f t="shared" si="3"/>
        <v/>
      </c>
    </row>
    <row r="2747" spans="31:36">
      <c r="AE2747" s="15" t="str">
        <f t="shared" si="0"/>
        <v/>
      </c>
      <c r="AF2747" s="15" t="str">
        <f t="shared" si="1"/>
        <v/>
      </c>
      <c r="AG2747" s="15" t="str">
        <f>IF(OR(AF2747="",AF2747="ERRO_CHAVE"),"",IFERROR(MATCH(AF2747,'Quitados DUPP'!$U$1:$U$6635,0),""))</f>
        <v/>
      </c>
      <c r="AH2747" s="15" t="str">
        <f t="shared" si="2"/>
        <v/>
      </c>
      <c r="AI2747" s="17" t="str">
        <f>IF(AG2747="","",INDEX('Quitados DUPP'!$G$1:$G$6635,AG2747))</f>
        <v/>
      </c>
      <c r="AJ2747" s="17" t="str">
        <f t="shared" si="3"/>
        <v/>
      </c>
    </row>
    <row r="2748" spans="31:36">
      <c r="AE2748" s="15" t="str">
        <f t="shared" si="0"/>
        <v/>
      </c>
      <c r="AF2748" s="15" t="str">
        <f t="shared" si="1"/>
        <v/>
      </c>
      <c r="AG2748" s="15" t="str">
        <f>IF(OR(AF2748="",AF2748="ERRO_CHAVE"),"",IFERROR(MATCH(AF2748,'Quitados DUPP'!$U$1:$U$6635,0),""))</f>
        <v/>
      </c>
      <c r="AH2748" s="15" t="str">
        <f t="shared" si="2"/>
        <v/>
      </c>
      <c r="AI2748" s="17" t="str">
        <f>IF(AG2748="","",INDEX('Quitados DUPP'!$G$1:$G$6635,AG2748))</f>
        <v/>
      </c>
      <c r="AJ2748" s="17" t="str">
        <f t="shared" si="3"/>
        <v/>
      </c>
    </row>
    <row r="2749" spans="31:36">
      <c r="AE2749" s="15" t="str">
        <f t="shared" si="0"/>
        <v/>
      </c>
      <c r="AF2749" s="15" t="str">
        <f t="shared" si="1"/>
        <v/>
      </c>
      <c r="AG2749" s="15" t="str">
        <f>IF(OR(AF2749="",AF2749="ERRO_CHAVE"),"",IFERROR(MATCH(AF2749,'Quitados DUPP'!$U$1:$U$6635,0),""))</f>
        <v/>
      </c>
      <c r="AH2749" s="15" t="str">
        <f t="shared" si="2"/>
        <v/>
      </c>
      <c r="AI2749" s="17" t="str">
        <f>IF(AG2749="","",INDEX('Quitados DUPP'!$G$1:$G$6635,AG2749))</f>
        <v/>
      </c>
      <c r="AJ2749" s="17" t="str">
        <f t="shared" si="3"/>
        <v/>
      </c>
    </row>
    <row r="2750" spans="31:36">
      <c r="AE2750" s="15" t="str">
        <f t="shared" si="0"/>
        <v/>
      </c>
      <c r="AF2750" s="15" t="str">
        <f t="shared" si="1"/>
        <v/>
      </c>
      <c r="AG2750" s="15" t="str">
        <f>IF(OR(AF2750="",AF2750="ERRO_CHAVE"),"",IFERROR(MATCH(AF2750,'Quitados DUPP'!$U$1:$U$6635,0),""))</f>
        <v/>
      </c>
      <c r="AH2750" s="15" t="str">
        <f t="shared" si="2"/>
        <v/>
      </c>
      <c r="AI2750" s="17" t="str">
        <f>IF(AG2750="","",INDEX('Quitados DUPP'!$G$1:$G$6635,AG2750))</f>
        <v/>
      </c>
      <c r="AJ2750" s="17" t="str">
        <f t="shared" si="3"/>
        <v/>
      </c>
    </row>
    <row r="2751" spans="31:36">
      <c r="AE2751" s="15" t="str">
        <f t="shared" si="0"/>
        <v/>
      </c>
      <c r="AF2751" s="15" t="str">
        <f t="shared" si="1"/>
        <v/>
      </c>
      <c r="AG2751" s="15" t="str">
        <f>IF(OR(AF2751="",AF2751="ERRO_CHAVE"),"",IFERROR(MATCH(AF2751,'Quitados DUPP'!$U$1:$U$6635,0),""))</f>
        <v/>
      </c>
      <c r="AH2751" s="15" t="str">
        <f t="shared" si="2"/>
        <v/>
      </c>
      <c r="AI2751" s="17" t="str">
        <f>IF(AG2751="","",INDEX('Quitados DUPP'!$G$1:$G$6635,AG2751))</f>
        <v/>
      </c>
      <c r="AJ2751" s="17" t="str">
        <f t="shared" si="3"/>
        <v/>
      </c>
    </row>
    <row r="2752" spans="31:36">
      <c r="AE2752" s="15" t="str">
        <f t="shared" si="0"/>
        <v/>
      </c>
      <c r="AF2752" s="15" t="str">
        <f t="shared" si="1"/>
        <v/>
      </c>
      <c r="AG2752" s="15" t="str">
        <f>IF(OR(AF2752="",AF2752="ERRO_CHAVE"),"",IFERROR(MATCH(AF2752,'Quitados DUPP'!$U$1:$U$6635,0),""))</f>
        <v/>
      </c>
      <c r="AH2752" s="15" t="str">
        <f t="shared" si="2"/>
        <v/>
      </c>
      <c r="AI2752" s="17" t="str">
        <f>IF(AG2752="","",INDEX('Quitados DUPP'!$G$1:$G$6635,AG2752))</f>
        <v/>
      </c>
      <c r="AJ2752" s="17" t="str">
        <f t="shared" si="3"/>
        <v/>
      </c>
    </row>
    <row r="2753" spans="31:36">
      <c r="AE2753" s="15" t="str">
        <f t="shared" si="0"/>
        <v/>
      </c>
      <c r="AF2753" s="15" t="str">
        <f t="shared" si="1"/>
        <v/>
      </c>
      <c r="AG2753" s="15" t="str">
        <f>IF(OR(AF2753="",AF2753="ERRO_CHAVE"),"",IFERROR(MATCH(AF2753,'Quitados DUPP'!$U$1:$U$6635,0),""))</f>
        <v/>
      </c>
      <c r="AH2753" s="15" t="str">
        <f t="shared" si="2"/>
        <v/>
      </c>
      <c r="AI2753" s="17" t="str">
        <f>IF(AG2753="","",INDEX('Quitados DUPP'!$G$1:$G$6635,AG2753))</f>
        <v/>
      </c>
      <c r="AJ2753" s="17" t="str">
        <f t="shared" si="3"/>
        <v/>
      </c>
    </row>
    <row r="2754" spans="31:36">
      <c r="AE2754" s="15" t="str">
        <f t="shared" si="0"/>
        <v/>
      </c>
      <c r="AF2754" s="15" t="str">
        <f t="shared" si="1"/>
        <v/>
      </c>
      <c r="AG2754" s="15" t="str">
        <f>IF(OR(AF2754="",AF2754="ERRO_CHAVE"),"",IFERROR(MATCH(AF2754,'Quitados DUPP'!$U$1:$U$6635,0),""))</f>
        <v/>
      </c>
      <c r="AH2754" s="15" t="str">
        <f t="shared" si="2"/>
        <v/>
      </c>
      <c r="AI2754" s="17" t="str">
        <f>IF(AG2754="","",INDEX('Quitados DUPP'!$G$1:$G$6635,AG2754))</f>
        <v/>
      </c>
      <c r="AJ2754" s="17" t="str">
        <f t="shared" si="3"/>
        <v/>
      </c>
    </row>
    <row r="2755" spans="31:36">
      <c r="AE2755" s="15" t="str">
        <f t="shared" si="0"/>
        <v/>
      </c>
      <c r="AF2755" s="15" t="str">
        <f t="shared" si="1"/>
        <v/>
      </c>
      <c r="AG2755" s="15" t="str">
        <f>IF(OR(AF2755="",AF2755="ERRO_CHAVE"),"",IFERROR(MATCH(AF2755,'Quitados DUPP'!$U$1:$U$6635,0),""))</f>
        <v/>
      </c>
      <c r="AH2755" s="15" t="str">
        <f t="shared" si="2"/>
        <v/>
      </c>
      <c r="AI2755" s="17" t="str">
        <f>IF(AG2755="","",INDEX('Quitados DUPP'!$G$1:$G$6635,AG2755))</f>
        <v/>
      </c>
      <c r="AJ2755" s="17" t="str">
        <f t="shared" si="3"/>
        <v/>
      </c>
    </row>
    <row r="2756" spans="31:36">
      <c r="AE2756" s="15" t="str">
        <f t="shared" si="0"/>
        <v/>
      </c>
      <c r="AF2756" s="15" t="str">
        <f t="shared" si="1"/>
        <v/>
      </c>
      <c r="AG2756" s="15" t="str">
        <f>IF(OR(AF2756="",AF2756="ERRO_CHAVE"),"",IFERROR(MATCH(AF2756,'Quitados DUPP'!$U$1:$U$6635,0),""))</f>
        <v/>
      </c>
      <c r="AH2756" s="15" t="str">
        <f t="shared" si="2"/>
        <v/>
      </c>
      <c r="AI2756" s="17" t="str">
        <f>IF(AG2756="","",INDEX('Quitados DUPP'!$G$1:$G$6635,AG2756))</f>
        <v/>
      </c>
      <c r="AJ2756" s="17" t="str">
        <f t="shared" si="3"/>
        <v/>
      </c>
    </row>
    <row r="2757" spans="31:36">
      <c r="AE2757" s="15" t="str">
        <f t="shared" si="0"/>
        <v/>
      </c>
      <c r="AF2757" s="15" t="str">
        <f t="shared" si="1"/>
        <v/>
      </c>
      <c r="AG2757" s="15" t="str">
        <f>IF(OR(AF2757="",AF2757="ERRO_CHAVE"),"",IFERROR(MATCH(AF2757,'Quitados DUPP'!$U$1:$U$6635,0),""))</f>
        <v/>
      </c>
      <c r="AH2757" s="15" t="str">
        <f t="shared" si="2"/>
        <v/>
      </c>
      <c r="AI2757" s="17" t="str">
        <f>IF(AG2757="","",INDEX('Quitados DUPP'!$G$1:$G$6635,AG2757))</f>
        <v/>
      </c>
      <c r="AJ2757" s="17" t="str">
        <f t="shared" si="3"/>
        <v/>
      </c>
    </row>
    <row r="2758" spans="31:36">
      <c r="AE2758" s="15" t="str">
        <f t="shared" si="0"/>
        <v/>
      </c>
      <c r="AF2758" s="15" t="str">
        <f t="shared" si="1"/>
        <v/>
      </c>
      <c r="AG2758" s="15" t="str">
        <f>IF(OR(AF2758="",AF2758="ERRO_CHAVE"),"",IFERROR(MATCH(AF2758,'Quitados DUPP'!$U$1:$U$6635,0),""))</f>
        <v/>
      </c>
      <c r="AH2758" s="15" t="str">
        <f t="shared" si="2"/>
        <v/>
      </c>
      <c r="AI2758" s="17" t="str">
        <f>IF(AG2758="","",INDEX('Quitados DUPP'!$G$1:$G$6635,AG2758))</f>
        <v/>
      </c>
      <c r="AJ2758" s="17" t="str">
        <f t="shared" si="3"/>
        <v/>
      </c>
    </row>
    <row r="2759" spans="31:36">
      <c r="AE2759" s="15" t="str">
        <f t="shared" si="0"/>
        <v/>
      </c>
      <c r="AF2759" s="15" t="str">
        <f t="shared" si="1"/>
        <v/>
      </c>
      <c r="AG2759" s="15" t="str">
        <f>IF(OR(AF2759="",AF2759="ERRO_CHAVE"),"",IFERROR(MATCH(AF2759,'Quitados DUPP'!$U$1:$U$6635,0),""))</f>
        <v/>
      </c>
      <c r="AH2759" s="15" t="str">
        <f t="shared" si="2"/>
        <v/>
      </c>
      <c r="AI2759" s="17" t="str">
        <f>IF(AG2759="","",INDEX('Quitados DUPP'!$G$1:$G$6635,AG2759))</f>
        <v/>
      </c>
      <c r="AJ2759" s="17" t="str">
        <f t="shared" si="3"/>
        <v/>
      </c>
    </row>
    <row r="2760" spans="31:36">
      <c r="AE2760" s="15" t="str">
        <f t="shared" si="0"/>
        <v/>
      </c>
      <c r="AF2760" s="15" t="str">
        <f t="shared" si="1"/>
        <v/>
      </c>
      <c r="AG2760" s="15" t="str">
        <f>IF(OR(AF2760="",AF2760="ERRO_CHAVE"),"",IFERROR(MATCH(AF2760,'Quitados DUPP'!$U$1:$U$6635,0),""))</f>
        <v/>
      </c>
      <c r="AH2760" s="15" t="str">
        <f t="shared" si="2"/>
        <v/>
      </c>
      <c r="AI2760" s="17" t="str">
        <f>IF(AG2760="","",INDEX('Quitados DUPP'!$G$1:$G$6635,AG2760))</f>
        <v/>
      </c>
      <c r="AJ2760" s="17" t="str">
        <f t="shared" si="3"/>
        <v/>
      </c>
    </row>
    <row r="2761" spans="31:36">
      <c r="AE2761" s="15" t="str">
        <f t="shared" si="0"/>
        <v/>
      </c>
      <c r="AF2761" s="15" t="str">
        <f t="shared" si="1"/>
        <v/>
      </c>
      <c r="AG2761" s="15" t="str">
        <f>IF(OR(AF2761="",AF2761="ERRO_CHAVE"),"",IFERROR(MATCH(AF2761,'Quitados DUPP'!$U$1:$U$6635,0),""))</f>
        <v/>
      </c>
      <c r="AH2761" s="15" t="str">
        <f t="shared" si="2"/>
        <v/>
      </c>
      <c r="AI2761" s="17" t="str">
        <f>IF(AG2761="","",INDEX('Quitados DUPP'!$G$1:$G$6635,AG2761))</f>
        <v/>
      </c>
      <c r="AJ2761" s="17" t="str">
        <f t="shared" si="3"/>
        <v/>
      </c>
    </row>
    <row r="2762" spans="31:36">
      <c r="AE2762" s="15" t="str">
        <f t="shared" si="0"/>
        <v/>
      </c>
      <c r="AF2762" s="15" t="str">
        <f t="shared" si="1"/>
        <v/>
      </c>
      <c r="AG2762" s="15" t="str">
        <f>IF(OR(AF2762="",AF2762="ERRO_CHAVE"),"",IFERROR(MATCH(AF2762,'Quitados DUPP'!$U$1:$U$6635,0),""))</f>
        <v/>
      </c>
      <c r="AH2762" s="15" t="str">
        <f t="shared" si="2"/>
        <v/>
      </c>
      <c r="AI2762" s="17" t="str">
        <f>IF(AG2762="","",INDEX('Quitados DUPP'!$G$1:$G$6635,AG2762))</f>
        <v/>
      </c>
      <c r="AJ2762" s="17" t="str">
        <f t="shared" si="3"/>
        <v/>
      </c>
    </row>
    <row r="2763" spans="31:36">
      <c r="AE2763" s="15" t="str">
        <f t="shared" si="0"/>
        <v/>
      </c>
      <c r="AF2763" s="15" t="str">
        <f t="shared" si="1"/>
        <v/>
      </c>
      <c r="AG2763" s="15" t="str">
        <f>IF(OR(AF2763="",AF2763="ERRO_CHAVE"),"",IFERROR(MATCH(AF2763,'Quitados DUPP'!$U$1:$U$6635,0),""))</f>
        <v/>
      </c>
      <c r="AH2763" s="15" t="str">
        <f t="shared" si="2"/>
        <v/>
      </c>
      <c r="AI2763" s="17" t="str">
        <f>IF(AG2763="","",INDEX('Quitados DUPP'!$G$1:$G$6635,AG2763))</f>
        <v/>
      </c>
      <c r="AJ2763" s="17" t="str">
        <f t="shared" si="3"/>
        <v/>
      </c>
    </row>
    <row r="2764" spans="31:36">
      <c r="AE2764" s="15" t="str">
        <f t="shared" si="0"/>
        <v/>
      </c>
      <c r="AF2764" s="15" t="str">
        <f t="shared" si="1"/>
        <v/>
      </c>
      <c r="AG2764" s="15" t="str">
        <f>IF(OR(AF2764="",AF2764="ERRO_CHAVE"),"",IFERROR(MATCH(AF2764,'Quitados DUPP'!$U$1:$U$6635,0),""))</f>
        <v/>
      </c>
      <c r="AH2764" s="15" t="str">
        <f t="shared" si="2"/>
        <v/>
      </c>
      <c r="AI2764" s="17" t="str">
        <f>IF(AG2764="","",INDEX('Quitados DUPP'!$G$1:$G$6635,AG2764))</f>
        <v/>
      </c>
      <c r="AJ2764" s="17" t="str">
        <f t="shared" si="3"/>
        <v/>
      </c>
    </row>
    <row r="2765" spans="31:36">
      <c r="AE2765" s="15" t="str">
        <f t="shared" si="0"/>
        <v/>
      </c>
      <c r="AF2765" s="15" t="str">
        <f t="shared" si="1"/>
        <v/>
      </c>
      <c r="AG2765" s="15" t="str">
        <f>IF(OR(AF2765="",AF2765="ERRO_CHAVE"),"",IFERROR(MATCH(AF2765,'Quitados DUPP'!$U$1:$U$6635,0),""))</f>
        <v/>
      </c>
      <c r="AH2765" s="15" t="str">
        <f t="shared" si="2"/>
        <v/>
      </c>
      <c r="AI2765" s="17" t="str">
        <f>IF(AG2765="","",INDEX('Quitados DUPP'!$G$1:$G$6635,AG2765))</f>
        <v/>
      </c>
      <c r="AJ2765" s="17" t="str">
        <f t="shared" si="3"/>
        <v/>
      </c>
    </row>
    <row r="2766" spans="31:36">
      <c r="AE2766" s="15" t="str">
        <f t="shared" si="0"/>
        <v/>
      </c>
      <c r="AF2766" s="15" t="str">
        <f t="shared" si="1"/>
        <v/>
      </c>
      <c r="AG2766" s="15" t="str">
        <f>IF(OR(AF2766="",AF2766="ERRO_CHAVE"),"",IFERROR(MATCH(AF2766,'Quitados DUPP'!$U$1:$U$6635,0),""))</f>
        <v/>
      </c>
      <c r="AH2766" s="15" t="str">
        <f t="shared" si="2"/>
        <v/>
      </c>
      <c r="AI2766" s="17" t="str">
        <f>IF(AG2766="","",INDEX('Quitados DUPP'!$G$1:$G$6635,AG2766))</f>
        <v/>
      </c>
      <c r="AJ2766" s="17" t="str">
        <f t="shared" si="3"/>
        <v/>
      </c>
    </row>
    <row r="2767" spans="31:36">
      <c r="AE2767" s="15" t="str">
        <f t="shared" si="0"/>
        <v/>
      </c>
      <c r="AF2767" s="15" t="str">
        <f t="shared" si="1"/>
        <v/>
      </c>
      <c r="AG2767" s="15" t="str">
        <f>IF(OR(AF2767="",AF2767="ERRO_CHAVE"),"",IFERROR(MATCH(AF2767,'Quitados DUPP'!$U$1:$U$6635,0),""))</f>
        <v/>
      </c>
      <c r="AH2767" s="15" t="str">
        <f t="shared" si="2"/>
        <v/>
      </c>
      <c r="AI2767" s="17" t="str">
        <f>IF(AG2767="","",INDEX('Quitados DUPP'!$G$1:$G$6635,AG2767))</f>
        <v/>
      </c>
      <c r="AJ2767" s="17" t="str">
        <f t="shared" si="3"/>
        <v/>
      </c>
    </row>
    <row r="2768" spans="31:36">
      <c r="AE2768" s="15" t="str">
        <f t="shared" si="0"/>
        <v/>
      </c>
      <c r="AF2768" s="15" t="str">
        <f t="shared" si="1"/>
        <v/>
      </c>
      <c r="AG2768" s="15" t="str">
        <f>IF(OR(AF2768="",AF2768="ERRO_CHAVE"),"",IFERROR(MATCH(AF2768,'Quitados DUPP'!$U$1:$U$6635,0),""))</f>
        <v/>
      </c>
      <c r="AH2768" s="15" t="str">
        <f t="shared" si="2"/>
        <v/>
      </c>
      <c r="AI2768" s="17" t="str">
        <f>IF(AG2768="","",INDEX('Quitados DUPP'!$G$1:$G$6635,AG2768))</f>
        <v/>
      </c>
      <c r="AJ2768" s="17" t="str">
        <f t="shared" si="3"/>
        <v/>
      </c>
    </row>
    <row r="2769" spans="31:36">
      <c r="AE2769" s="15" t="str">
        <f t="shared" si="0"/>
        <v/>
      </c>
      <c r="AF2769" s="15" t="str">
        <f t="shared" si="1"/>
        <v/>
      </c>
      <c r="AG2769" s="15" t="str">
        <f>IF(OR(AF2769="",AF2769="ERRO_CHAVE"),"",IFERROR(MATCH(AF2769,'Quitados DUPP'!$U$1:$U$6635,0),""))</f>
        <v/>
      </c>
      <c r="AH2769" s="15" t="str">
        <f t="shared" si="2"/>
        <v/>
      </c>
      <c r="AI2769" s="17" t="str">
        <f>IF(AG2769="","",INDEX('Quitados DUPP'!$G$1:$G$6635,AG2769))</f>
        <v/>
      </c>
      <c r="AJ2769" s="17" t="str">
        <f t="shared" si="3"/>
        <v/>
      </c>
    </row>
    <row r="2770" spans="31:36">
      <c r="AE2770" s="15" t="str">
        <f t="shared" si="0"/>
        <v/>
      </c>
      <c r="AF2770" s="15" t="str">
        <f t="shared" si="1"/>
        <v/>
      </c>
      <c r="AG2770" s="15" t="str">
        <f>IF(OR(AF2770="",AF2770="ERRO_CHAVE"),"",IFERROR(MATCH(AF2770,'Quitados DUPP'!$U$1:$U$6635,0),""))</f>
        <v/>
      </c>
      <c r="AH2770" s="15" t="str">
        <f t="shared" si="2"/>
        <v/>
      </c>
      <c r="AI2770" s="17" t="str">
        <f>IF(AG2770="","",INDEX('Quitados DUPP'!$G$1:$G$6635,AG2770))</f>
        <v/>
      </c>
      <c r="AJ2770" s="17" t="str">
        <f t="shared" si="3"/>
        <v/>
      </c>
    </row>
    <row r="2771" spans="31:36">
      <c r="AE2771" s="15" t="str">
        <f t="shared" si="0"/>
        <v/>
      </c>
      <c r="AF2771" s="15" t="str">
        <f t="shared" si="1"/>
        <v/>
      </c>
      <c r="AG2771" s="15" t="str">
        <f>IF(OR(AF2771="",AF2771="ERRO_CHAVE"),"",IFERROR(MATCH(AF2771,'Quitados DUPP'!$U$1:$U$6635,0),""))</f>
        <v/>
      </c>
      <c r="AH2771" s="15" t="str">
        <f t="shared" si="2"/>
        <v/>
      </c>
      <c r="AI2771" s="17" t="str">
        <f>IF(AG2771="","",INDEX('Quitados DUPP'!$G$1:$G$6635,AG2771))</f>
        <v/>
      </c>
      <c r="AJ2771" s="17" t="str">
        <f t="shared" si="3"/>
        <v/>
      </c>
    </row>
    <row r="2772" spans="31:36">
      <c r="AE2772" s="15" t="str">
        <f t="shared" si="0"/>
        <v/>
      </c>
      <c r="AF2772" s="15" t="str">
        <f t="shared" si="1"/>
        <v/>
      </c>
      <c r="AG2772" s="15" t="str">
        <f>IF(OR(AF2772="",AF2772="ERRO_CHAVE"),"",IFERROR(MATCH(AF2772,'Quitados DUPP'!$U$1:$U$6635,0),""))</f>
        <v/>
      </c>
      <c r="AH2772" s="15" t="str">
        <f t="shared" si="2"/>
        <v/>
      </c>
      <c r="AI2772" s="17" t="str">
        <f>IF(AG2772="","",INDEX('Quitados DUPP'!$G$1:$G$6635,AG2772))</f>
        <v/>
      </c>
      <c r="AJ2772" s="17" t="str">
        <f t="shared" si="3"/>
        <v/>
      </c>
    </row>
    <row r="2773" spans="31:36">
      <c r="AE2773" s="15" t="str">
        <f t="shared" si="0"/>
        <v/>
      </c>
      <c r="AF2773" s="15" t="str">
        <f t="shared" si="1"/>
        <v/>
      </c>
      <c r="AG2773" s="15" t="str">
        <f>IF(OR(AF2773="",AF2773="ERRO_CHAVE"),"",IFERROR(MATCH(AF2773,'Quitados DUPP'!$U$1:$U$6635,0),""))</f>
        <v/>
      </c>
      <c r="AH2773" s="15" t="str">
        <f t="shared" si="2"/>
        <v/>
      </c>
      <c r="AI2773" s="17" t="str">
        <f>IF(AG2773="","",INDEX('Quitados DUPP'!$G$1:$G$6635,AG2773))</f>
        <v/>
      </c>
      <c r="AJ2773" s="17" t="str">
        <f t="shared" si="3"/>
        <v/>
      </c>
    </row>
    <row r="2774" spans="31:36">
      <c r="AE2774" s="15" t="str">
        <f t="shared" si="0"/>
        <v/>
      </c>
      <c r="AF2774" s="15" t="str">
        <f t="shared" si="1"/>
        <v/>
      </c>
      <c r="AG2774" s="15" t="str">
        <f>IF(OR(AF2774="",AF2774="ERRO_CHAVE"),"",IFERROR(MATCH(AF2774,'Quitados DUPP'!$U$1:$U$6635,0),""))</f>
        <v/>
      </c>
      <c r="AH2774" s="15" t="str">
        <f t="shared" si="2"/>
        <v/>
      </c>
      <c r="AI2774" s="17" t="str">
        <f>IF(AG2774="","",INDEX('Quitados DUPP'!$G$1:$G$6635,AG2774))</f>
        <v/>
      </c>
      <c r="AJ2774" s="17" t="str">
        <f t="shared" si="3"/>
        <v/>
      </c>
    </row>
    <row r="2775" spans="31:36">
      <c r="AE2775" s="15" t="str">
        <f t="shared" si="0"/>
        <v/>
      </c>
      <c r="AF2775" s="15" t="str">
        <f t="shared" si="1"/>
        <v/>
      </c>
      <c r="AG2775" s="15" t="str">
        <f>IF(OR(AF2775="",AF2775="ERRO_CHAVE"),"",IFERROR(MATCH(AF2775,'Quitados DUPP'!$U$1:$U$6635,0),""))</f>
        <v/>
      </c>
      <c r="AH2775" s="15" t="str">
        <f t="shared" si="2"/>
        <v/>
      </c>
      <c r="AI2775" s="17" t="str">
        <f>IF(AG2775="","",INDEX('Quitados DUPP'!$G$1:$G$6635,AG2775))</f>
        <v/>
      </c>
      <c r="AJ2775" s="17" t="str">
        <f t="shared" si="3"/>
        <v/>
      </c>
    </row>
    <row r="2776" spans="31:36">
      <c r="AE2776" s="15" t="str">
        <f t="shared" si="0"/>
        <v/>
      </c>
      <c r="AF2776" s="15" t="str">
        <f t="shared" si="1"/>
        <v/>
      </c>
      <c r="AG2776" s="15" t="str">
        <f>IF(OR(AF2776="",AF2776="ERRO_CHAVE"),"",IFERROR(MATCH(AF2776,'Quitados DUPP'!$U$1:$U$6635,0),""))</f>
        <v/>
      </c>
      <c r="AH2776" s="15" t="str">
        <f t="shared" si="2"/>
        <v/>
      </c>
      <c r="AI2776" s="17" t="str">
        <f>IF(AG2776="","",INDEX('Quitados DUPP'!$G$1:$G$6635,AG2776))</f>
        <v/>
      </c>
      <c r="AJ2776" s="17" t="str">
        <f t="shared" si="3"/>
        <v/>
      </c>
    </row>
    <row r="2777" spans="31:36">
      <c r="AE2777" s="15" t="str">
        <f t="shared" si="0"/>
        <v/>
      </c>
      <c r="AF2777" s="15" t="str">
        <f t="shared" si="1"/>
        <v/>
      </c>
      <c r="AG2777" s="15" t="str">
        <f>IF(OR(AF2777="",AF2777="ERRO_CHAVE"),"",IFERROR(MATCH(AF2777,'Quitados DUPP'!$U$1:$U$6635,0),""))</f>
        <v/>
      </c>
      <c r="AH2777" s="15" t="str">
        <f t="shared" si="2"/>
        <v/>
      </c>
      <c r="AI2777" s="17" t="str">
        <f>IF(AG2777="","",INDEX('Quitados DUPP'!$G$1:$G$6635,AG2777))</f>
        <v/>
      </c>
      <c r="AJ2777" s="17" t="str">
        <f t="shared" si="3"/>
        <v/>
      </c>
    </row>
    <row r="2778" spans="31:36">
      <c r="AE2778" s="15" t="str">
        <f t="shared" si="0"/>
        <v/>
      </c>
      <c r="AF2778" s="15" t="str">
        <f t="shared" si="1"/>
        <v/>
      </c>
      <c r="AG2778" s="15" t="str">
        <f>IF(OR(AF2778="",AF2778="ERRO_CHAVE"),"",IFERROR(MATCH(AF2778,'Quitados DUPP'!$U$1:$U$6635,0),""))</f>
        <v/>
      </c>
      <c r="AH2778" s="15" t="str">
        <f t="shared" si="2"/>
        <v/>
      </c>
      <c r="AI2778" s="17" t="str">
        <f>IF(AG2778="","",INDEX('Quitados DUPP'!$G$1:$G$6635,AG2778))</f>
        <v/>
      </c>
      <c r="AJ2778" s="17" t="str">
        <f t="shared" si="3"/>
        <v/>
      </c>
    </row>
    <row r="2779" spans="31:36">
      <c r="AE2779" s="15" t="str">
        <f t="shared" si="0"/>
        <v/>
      </c>
      <c r="AF2779" s="15" t="str">
        <f t="shared" si="1"/>
        <v/>
      </c>
      <c r="AG2779" s="15" t="str">
        <f>IF(OR(AF2779="",AF2779="ERRO_CHAVE"),"",IFERROR(MATCH(AF2779,'Quitados DUPP'!$U$1:$U$6635,0),""))</f>
        <v/>
      </c>
      <c r="AH2779" s="15" t="str">
        <f t="shared" si="2"/>
        <v/>
      </c>
      <c r="AI2779" s="17" t="str">
        <f>IF(AG2779="","",INDEX('Quitados DUPP'!$G$1:$G$6635,AG2779))</f>
        <v/>
      </c>
      <c r="AJ2779" s="17" t="str">
        <f t="shared" si="3"/>
        <v/>
      </c>
    </row>
    <row r="2780" spans="31:36">
      <c r="AE2780" s="15" t="str">
        <f t="shared" si="0"/>
        <v/>
      </c>
      <c r="AF2780" s="15" t="str">
        <f t="shared" si="1"/>
        <v/>
      </c>
      <c r="AG2780" s="15" t="str">
        <f>IF(OR(AF2780="",AF2780="ERRO_CHAVE"),"",IFERROR(MATCH(AF2780,'Quitados DUPP'!$U$1:$U$6635,0),""))</f>
        <v/>
      </c>
      <c r="AH2780" s="15" t="str">
        <f t="shared" si="2"/>
        <v/>
      </c>
      <c r="AI2780" s="17" t="str">
        <f>IF(AG2780="","",INDEX('Quitados DUPP'!$G$1:$G$6635,AG2780))</f>
        <v/>
      </c>
      <c r="AJ2780" s="17" t="str">
        <f t="shared" si="3"/>
        <v/>
      </c>
    </row>
    <row r="2781" spans="31:36">
      <c r="AE2781" s="15" t="str">
        <f t="shared" si="0"/>
        <v/>
      </c>
      <c r="AF2781" s="15" t="str">
        <f t="shared" si="1"/>
        <v/>
      </c>
      <c r="AG2781" s="15" t="str">
        <f>IF(OR(AF2781="",AF2781="ERRO_CHAVE"),"",IFERROR(MATCH(AF2781,'Quitados DUPP'!$U$1:$U$6635,0),""))</f>
        <v/>
      </c>
      <c r="AH2781" s="15" t="str">
        <f t="shared" si="2"/>
        <v/>
      </c>
      <c r="AI2781" s="17" t="str">
        <f>IF(AG2781="","",INDEX('Quitados DUPP'!$G$1:$G$6635,AG2781))</f>
        <v/>
      </c>
      <c r="AJ2781" s="17" t="str">
        <f t="shared" si="3"/>
        <v/>
      </c>
    </row>
    <row r="2782" spans="31:36">
      <c r="AE2782" s="15" t="str">
        <f t="shared" si="0"/>
        <v/>
      </c>
      <c r="AF2782" s="15" t="str">
        <f t="shared" si="1"/>
        <v/>
      </c>
      <c r="AG2782" s="15" t="str">
        <f>IF(OR(AF2782="",AF2782="ERRO_CHAVE"),"",IFERROR(MATCH(AF2782,'Quitados DUPP'!$U$1:$U$6635,0),""))</f>
        <v/>
      </c>
      <c r="AH2782" s="15" t="str">
        <f t="shared" si="2"/>
        <v/>
      </c>
      <c r="AI2782" s="17" t="str">
        <f>IF(AG2782="","",INDEX('Quitados DUPP'!$G$1:$G$6635,AG2782))</f>
        <v/>
      </c>
      <c r="AJ2782" s="17" t="str">
        <f t="shared" si="3"/>
        <v/>
      </c>
    </row>
    <row r="2783" spans="31:36">
      <c r="AE2783" s="15" t="str">
        <f t="shared" si="0"/>
        <v/>
      </c>
      <c r="AF2783" s="15" t="str">
        <f t="shared" si="1"/>
        <v/>
      </c>
      <c r="AG2783" s="15" t="str">
        <f>IF(OR(AF2783="",AF2783="ERRO_CHAVE"),"",IFERROR(MATCH(AF2783,'Quitados DUPP'!$U$1:$U$6635,0),""))</f>
        <v/>
      </c>
      <c r="AH2783" s="15" t="str">
        <f t="shared" si="2"/>
        <v/>
      </c>
      <c r="AI2783" s="17" t="str">
        <f>IF(AG2783="","",INDEX('Quitados DUPP'!$G$1:$G$6635,AG2783))</f>
        <v/>
      </c>
      <c r="AJ2783" s="17" t="str">
        <f t="shared" si="3"/>
        <v/>
      </c>
    </row>
    <row r="2784" spans="31:36">
      <c r="AE2784" s="15" t="str">
        <f t="shared" si="0"/>
        <v/>
      </c>
      <c r="AF2784" s="15" t="str">
        <f t="shared" si="1"/>
        <v/>
      </c>
      <c r="AG2784" s="15" t="str">
        <f>IF(OR(AF2784="",AF2784="ERRO_CHAVE"),"",IFERROR(MATCH(AF2784,'Quitados DUPP'!$U$1:$U$6635,0),""))</f>
        <v/>
      </c>
      <c r="AH2784" s="15" t="str">
        <f t="shared" si="2"/>
        <v/>
      </c>
      <c r="AI2784" s="17" t="str">
        <f>IF(AG2784="","",INDEX('Quitados DUPP'!$G$1:$G$6635,AG2784))</f>
        <v/>
      </c>
      <c r="AJ2784" s="17" t="str">
        <f t="shared" si="3"/>
        <v/>
      </c>
    </row>
    <row r="2785" spans="31:36">
      <c r="AE2785" s="15" t="str">
        <f t="shared" si="0"/>
        <v/>
      </c>
      <c r="AF2785" s="15" t="str">
        <f t="shared" si="1"/>
        <v/>
      </c>
      <c r="AG2785" s="15" t="str">
        <f>IF(OR(AF2785="",AF2785="ERRO_CHAVE"),"",IFERROR(MATCH(AF2785,'Quitados DUPP'!$U$1:$U$6635,0),""))</f>
        <v/>
      </c>
      <c r="AH2785" s="15" t="str">
        <f t="shared" si="2"/>
        <v/>
      </c>
      <c r="AI2785" s="17" t="str">
        <f>IF(AG2785="","",INDEX('Quitados DUPP'!$G$1:$G$6635,AG2785))</f>
        <v/>
      </c>
      <c r="AJ2785" s="17" t="str">
        <f t="shared" si="3"/>
        <v/>
      </c>
    </row>
    <row r="2786" spans="31:36">
      <c r="AE2786" s="15" t="str">
        <f t="shared" si="0"/>
        <v/>
      </c>
      <c r="AF2786" s="15" t="str">
        <f t="shared" si="1"/>
        <v/>
      </c>
      <c r="AG2786" s="15" t="str">
        <f>IF(OR(AF2786="",AF2786="ERRO_CHAVE"),"",IFERROR(MATCH(AF2786,'Quitados DUPP'!$U$1:$U$6635,0),""))</f>
        <v/>
      </c>
      <c r="AH2786" s="15" t="str">
        <f t="shared" si="2"/>
        <v/>
      </c>
      <c r="AI2786" s="17" t="str">
        <f>IF(AG2786="","",INDEX('Quitados DUPP'!$G$1:$G$6635,AG2786))</f>
        <v/>
      </c>
      <c r="AJ2786" s="17" t="str">
        <f t="shared" si="3"/>
        <v/>
      </c>
    </row>
    <row r="2787" spans="31:36">
      <c r="AE2787" s="15" t="str">
        <f t="shared" si="0"/>
        <v/>
      </c>
      <c r="AF2787" s="15" t="str">
        <f t="shared" si="1"/>
        <v/>
      </c>
      <c r="AG2787" s="15" t="str">
        <f>IF(OR(AF2787="",AF2787="ERRO_CHAVE"),"",IFERROR(MATCH(AF2787,'Quitados DUPP'!$U$1:$U$6635,0),""))</f>
        <v/>
      </c>
      <c r="AH2787" s="15" t="str">
        <f t="shared" si="2"/>
        <v/>
      </c>
      <c r="AI2787" s="17" t="str">
        <f>IF(AG2787="","",INDEX('Quitados DUPP'!$G$1:$G$6635,AG2787))</f>
        <v/>
      </c>
      <c r="AJ2787" s="17" t="str">
        <f t="shared" si="3"/>
        <v/>
      </c>
    </row>
    <row r="2788" spans="31:36">
      <c r="AE2788" s="15" t="str">
        <f t="shared" si="0"/>
        <v/>
      </c>
      <c r="AF2788" s="15" t="str">
        <f t="shared" si="1"/>
        <v/>
      </c>
      <c r="AG2788" s="15" t="str">
        <f>IF(OR(AF2788="",AF2788="ERRO_CHAVE"),"",IFERROR(MATCH(AF2788,'Quitados DUPP'!$U$1:$U$6635,0),""))</f>
        <v/>
      </c>
      <c r="AH2788" s="15" t="str">
        <f t="shared" si="2"/>
        <v/>
      </c>
      <c r="AI2788" s="17" t="str">
        <f>IF(AG2788="","",INDEX('Quitados DUPP'!$G$1:$G$6635,AG2788))</f>
        <v/>
      </c>
      <c r="AJ2788" s="17" t="str">
        <f t="shared" si="3"/>
        <v/>
      </c>
    </row>
    <row r="2789" spans="31:36">
      <c r="AE2789" s="15" t="str">
        <f t="shared" si="0"/>
        <v/>
      </c>
      <c r="AF2789" s="15" t="str">
        <f t="shared" si="1"/>
        <v/>
      </c>
      <c r="AG2789" s="15" t="str">
        <f>IF(OR(AF2789="",AF2789="ERRO_CHAVE"),"",IFERROR(MATCH(AF2789,'Quitados DUPP'!$U$1:$U$6635,0),""))</f>
        <v/>
      </c>
      <c r="AH2789" s="15" t="str">
        <f t="shared" si="2"/>
        <v/>
      </c>
      <c r="AI2789" s="17" t="str">
        <f>IF(AG2789="","",INDEX('Quitados DUPP'!$G$1:$G$6635,AG2789))</f>
        <v/>
      </c>
      <c r="AJ2789" s="17" t="str">
        <f t="shared" si="3"/>
        <v/>
      </c>
    </row>
    <row r="2790" spans="31:36">
      <c r="AE2790" s="15" t="str">
        <f t="shared" si="0"/>
        <v/>
      </c>
      <c r="AF2790" s="15" t="str">
        <f t="shared" si="1"/>
        <v/>
      </c>
      <c r="AG2790" s="15" t="str">
        <f>IF(OR(AF2790="",AF2790="ERRO_CHAVE"),"",IFERROR(MATCH(AF2790,'Quitados DUPP'!$U$1:$U$6635,0),""))</f>
        <v/>
      </c>
      <c r="AH2790" s="15" t="str">
        <f t="shared" si="2"/>
        <v/>
      </c>
      <c r="AI2790" s="17" t="str">
        <f>IF(AG2790="","",INDEX('Quitados DUPP'!$G$1:$G$6635,AG2790))</f>
        <v/>
      </c>
      <c r="AJ2790" s="17" t="str">
        <f t="shared" si="3"/>
        <v/>
      </c>
    </row>
    <row r="2791" spans="31:36">
      <c r="AE2791" s="15" t="str">
        <f t="shared" si="0"/>
        <v/>
      </c>
      <c r="AF2791" s="15" t="str">
        <f t="shared" si="1"/>
        <v/>
      </c>
      <c r="AG2791" s="15" t="str">
        <f>IF(OR(AF2791="",AF2791="ERRO_CHAVE"),"",IFERROR(MATCH(AF2791,'Quitados DUPP'!$U$1:$U$6635,0),""))</f>
        <v/>
      </c>
      <c r="AH2791" s="15" t="str">
        <f t="shared" si="2"/>
        <v/>
      </c>
      <c r="AI2791" s="17" t="str">
        <f>IF(AG2791="","",INDEX('Quitados DUPP'!$G$1:$G$6635,AG2791))</f>
        <v/>
      </c>
      <c r="AJ2791" s="17" t="str">
        <f t="shared" si="3"/>
        <v/>
      </c>
    </row>
    <row r="2792" spans="31:36">
      <c r="AE2792" s="15" t="str">
        <f t="shared" si="0"/>
        <v/>
      </c>
      <c r="AF2792" s="15" t="str">
        <f t="shared" si="1"/>
        <v/>
      </c>
      <c r="AG2792" s="15" t="str">
        <f>IF(OR(AF2792="",AF2792="ERRO_CHAVE"),"",IFERROR(MATCH(AF2792,'Quitados DUPP'!$U$1:$U$6635,0),""))</f>
        <v/>
      </c>
      <c r="AH2792" s="15" t="str">
        <f t="shared" si="2"/>
        <v/>
      </c>
      <c r="AI2792" s="17" t="str">
        <f>IF(AG2792="","",INDEX('Quitados DUPP'!$G$1:$G$6635,AG2792))</f>
        <v/>
      </c>
      <c r="AJ2792" s="17" t="str">
        <f t="shared" si="3"/>
        <v/>
      </c>
    </row>
    <row r="2793" spans="31:36">
      <c r="AE2793" s="15" t="str">
        <f t="shared" si="0"/>
        <v/>
      </c>
      <c r="AF2793" s="15" t="str">
        <f t="shared" si="1"/>
        <v/>
      </c>
      <c r="AG2793" s="15" t="str">
        <f>IF(OR(AF2793="",AF2793="ERRO_CHAVE"),"",IFERROR(MATCH(AF2793,'Quitados DUPP'!$U$1:$U$6635,0),""))</f>
        <v/>
      </c>
      <c r="AH2793" s="15" t="str">
        <f t="shared" si="2"/>
        <v/>
      </c>
      <c r="AI2793" s="17" t="str">
        <f>IF(AG2793="","",INDEX('Quitados DUPP'!$G$1:$G$6635,AG2793))</f>
        <v/>
      </c>
      <c r="AJ2793" s="17" t="str">
        <f t="shared" si="3"/>
        <v/>
      </c>
    </row>
    <row r="2794" spans="31:36">
      <c r="AE2794" s="15" t="str">
        <f t="shared" si="0"/>
        <v/>
      </c>
      <c r="AF2794" s="15" t="str">
        <f t="shared" si="1"/>
        <v/>
      </c>
      <c r="AG2794" s="15" t="str">
        <f>IF(OR(AF2794="",AF2794="ERRO_CHAVE"),"",IFERROR(MATCH(AF2794,'Quitados DUPP'!$U$1:$U$6635,0),""))</f>
        <v/>
      </c>
      <c r="AH2794" s="15" t="str">
        <f t="shared" si="2"/>
        <v/>
      </c>
      <c r="AI2794" s="17" t="str">
        <f>IF(AG2794="","",INDEX('Quitados DUPP'!$G$1:$G$6635,AG2794))</f>
        <v/>
      </c>
      <c r="AJ2794" s="17" t="str">
        <f t="shared" si="3"/>
        <v/>
      </c>
    </row>
    <row r="2795" spans="31:36">
      <c r="AE2795" s="15" t="str">
        <f t="shared" si="0"/>
        <v/>
      </c>
      <c r="AF2795" s="15" t="str">
        <f t="shared" si="1"/>
        <v/>
      </c>
      <c r="AG2795" s="15" t="str">
        <f>IF(OR(AF2795="",AF2795="ERRO_CHAVE"),"",IFERROR(MATCH(AF2795,'Quitados DUPP'!$U$1:$U$6635,0),""))</f>
        <v/>
      </c>
      <c r="AH2795" s="15" t="str">
        <f t="shared" si="2"/>
        <v/>
      </c>
      <c r="AI2795" s="17" t="str">
        <f>IF(AG2795="","",INDEX('Quitados DUPP'!$G$1:$G$6635,AG2795))</f>
        <v/>
      </c>
      <c r="AJ2795" s="17" t="str">
        <f t="shared" si="3"/>
        <v/>
      </c>
    </row>
    <row r="2796" spans="31:36">
      <c r="AE2796" s="15" t="str">
        <f t="shared" si="0"/>
        <v/>
      </c>
      <c r="AF2796" s="15" t="str">
        <f t="shared" si="1"/>
        <v/>
      </c>
      <c r="AG2796" s="15" t="str">
        <f>IF(OR(AF2796="",AF2796="ERRO_CHAVE"),"",IFERROR(MATCH(AF2796,'Quitados DUPP'!$U$1:$U$6635,0),""))</f>
        <v/>
      </c>
      <c r="AH2796" s="15" t="str">
        <f t="shared" si="2"/>
        <v/>
      </c>
      <c r="AI2796" s="17" t="str">
        <f>IF(AG2796="","",INDEX('Quitados DUPP'!$G$1:$G$6635,AG2796))</f>
        <v/>
      </c>
      <c r="AJ2796" s="17" t="str">
        <f t="shared" si="3"/>
        <v/>
      </c>
    </row>
    <row r="2797" spans="31:36">
      <c r="AE2797" s="15" t="str">
        <f t="shared" si="0"/>
        <v/>
      </c>
      <c r="AF2797" s="15" t="str">
        <f t="shared" si="1"/>
        <v/>
      </c>
      <c r="AG2797" s="15" t="str">
        <f>IF(OR(AF2797="",AF2797="ERRO_CHAVE"),"",IFERROR(MATCH(AF2797,'Quitados DUPP'!$U$1:$U$6635,0),""))</f>
        <v/>
      </c>
      <c r="AH2797" s="15" t="str">
        <f t="shared" si="2"/>
        <v/>
      </c>
      <c r="AI2797" s="17" t="str">
        <f>IF(AG2797="","",INDEX('Quitados DUPP'!$G$1:$G$6635,AG2797))</f>
        <v/>
      </c>
      <c r="AJ2797" s="17" t="str">
        <f t="shared" si="3"/>
        <v/>
      </c>
    </row>
    <row r="2798" spans="31:36">
      <c r="AE2798" s="15" t="str">
        <f t="shared" si="0"/>
        <v/>
      </c>
      <c r="AF2798" s="15" t="str">
        <f t="shared" si="1"/>
        <v/>
      </c>
      <c r="AG2798" s="15" t="str">
        <f>IF(OR(AF2798="",AF2798="ERRO_CHAVE"),"",IFERROR(MATCH(AF2798,'Quitados DUPP'!$U$1:$U$6635,0),""))</f>
        <v/>
      </c>
      <c r="AH2798" s="15" t="str">
        <f t="shared" si="2"/>
        <v/>
      </c>
      <c r="AI2798" s="17" t="str">
        <f>IF(AG2798="","",INDEX('Quitados DUPP'!$G$1:$G$6635,AG2798))</f>
        <v/>
      </c>
      <c r="AJ2798" s="17" t="str">
        <f t="shared" si="3"/>
        <v/>
      </c>
    </row>
    <row r="2799" spans="31:36">
      <c r="AE2799" s="15" t="str">
        <f t="shared" si="0"/>
        <v/>
      </c>
      <c r="AF2799" s="15" t="str">
        <f t="shared" si="1"/>
        <v/>
      </c>
      <c r="AG2799" s="15" t="str">
        <f>IF(OR(AF2799="",AF2799="ERRO_CHAVE"),"",IFERROR(MATCH(AF2799,'Quitados DUPP'!$U$1:$U$6635,0),""))</f>
        <v/>
      </c>
      <c r="AH2799" s="15" t="str">
        <f t="shared" si="2"/>
        <v/>
      </c>
      <c r="AI2799" s="17" t="str">
        <f>IF(AG2799="","",INDEX('Quitados DUPP'!$G$1:$G$6635,AG2799))</f>
        <v/>
      </c>
      <c r="AJ2799" s="17" t="str">
        <f t="shared" si="3"/>
        <v/>
      </c>
    </row>
    <row r="2800" spans="31:36">
      <c r="AE2800" s="15" t="str">
        <f t="shared" si="0"/>
        <v/>
      </c>
      <c r="AF2800" s="15" t="str">
        <f t="shared" si="1"/>
        <v/>
      </c>
      <c r="AG2800" s="15" t="str">
        <f>IF(OR(AF2800="",AF2800="ERRO_CHAVE"),"",IFERROR(MATCH(AF2800,'Quitados DUPP'!$U$1:$U$6635,0),""))</f>
        <v/>
      </c>
      <c r="AH2800" s="15" t="str">
        <f t="shared" si="2"/>
        <v/>
      </c>
      <c r="AI2800" s="17" t="str">
        <f>IF(AG2800="","",INDEX('Quitados DUPP'!$G$1:$G$6635,AG2800))</f>
        <v/>
      </c>
      <c r="AJ2800" s="17" t="str">
        <f t="shared" si="3"/>
        <v/>
      </c>
    </row>
    <row r="2801" spans="31:36">
      <c r="AE2801" s="15" t="str">
        <f t="shared" si="0"/>
        <v/>
      </c>
      <c r="AF2801" s="15" t="str">
        <f t="shared" si="1"/>
        <v/>
      </c>
      <c r="AG2801" s="15" t="str">
        <f>IF(OR(AF2801="",AF2801="ERRO_CHAVE"),"",IFERROR(MATCH(AF2801,'Quitados DUPP'!$U$1:$U$6635,0),""))</f>
        <v/>
      </c>
      <c r="AH2801" s="15" t="str">
        <f t="shared" si="2"/>
        <v/>
      </c>
      <c r="AI2801" s="17" t="str">
        <f>IF(AG2801="","",INDEX('Quitados DUPP'!$G$1:$G$6635,AG2801))</f>
        <v/>
      </c>
      <c r="AJ2801" s="17" t="str">
        <f t="shared" si="3"/>
        <v/>
      </c>
    </row>
    <row r="2802" spans="31:36">
      <c r="AE2802" s="15" t="str">
        <f t="shared" si="0"/>
        <v/>
      </c>
      <c r="AF2802" s="15" t="str">
        <f t="shared" si="1"/>
        <v/>
      </c>
      <c r="AG2802" s="15" t="str">
        <f>IF(OR(AF2802="",AF2802="ERRO_CHAVE"),"",IFERROR(MATCH(AF2802,'Quitados DUPP'!$U$1:$U$6635,0),""))</f>
        <v/>
      </c>
      <c r="AH2802" s="15" t="str">
        <f t="shared" si="2"/>
        <v/>
      </c>
      <c r="AI2802" s="17" t="str">
        <f>IF(AG2802="","",INDEX('Quitados DUPP'!$G$1:$G$6635,AG2802))</f>
        <v/>
      </c>
      <c r="AJ2802" s="17" t="str">
        <f t="shared" si="3"/>
        <v/>
      </c>
    </row>
    <row r="2803" spans="31:36">
      <c r="AE2803" s="15" t="str">
        <f t="shared" si="0"/>
        <v/>
      </c>
      <c r="AF2803" s="15" t="str">
        <f t="shared" si="1"/>
        <v/>
      </c>
      <c r="AG2803" s="15" t="str">
        <f>IF(OR(AF2803="",AF2803="ERRO_CHAVE"),"",IFERROR(MATCH(AF2803,'Quitados DUPP'!$U$1:$U$6635,0),""))</f>
        <v/>
      </c>
      <c r="AH2803" s="15" t="str">
        <f t="shared" si="2"/>
        <v/>
      </c>
      <c r="AI2803" s="17" t="str">
        <f>IF(AG2803="","",INDEX('Quitados DUPP'!$G$1:$G$6635,AG2803))</f>
        <v/>
      </c>
      <c r="AJ2803" s="17" t="str">
        <f t="shared" si="3"/>
        <v/>
      </c>
    </row>
    <row r="2804" spans="31:36">
      <c r="AE2804" s="15" t="str">
        <f t="shared" si="0"/>
        <v/>
      </c>
      <c r="AF2804" s="15" t="str">
        <f t="shared" si="1"/>
        <v/>
      </c>
      <c r="AG2804" s="15" t="str">
        <f>IF(OR(AF2804="",AF2804="ERRO_CHAVE"),"",IFERROR(MATCH(AF2804,'Quitados DUPP'!$U$1:$U$6635,0),""))</f>
        <v/>
      </c>
      <c r="AH2804" s="15" t="str">
        <f t="shared" si="2"/>
        <v/>
      </c>
      <c r="AI2804" s="17" t="str">
        <f>IF(AG2804="","",INDEX('Quitados DUPP'!$G$1:$G$6635,AG2804))</f>
        <v/>
      </c>
      <c r="AJ2804" s="17" t="str">
        <f t="shared" si="3"/>
        <v/>
      </c>
    </row>
    <row r="2805" spans="31:36">
      <c r="AE2805" s="15" t="str">
        <f t="shared" si="0"/>
        <v/>
      </c>
      <c r="AF2805" s="15" t="str">
        <f t="shared" si="1"/>
        <v/>
      </c>
      <c r="AG2805" s="15" t="str">
        <f>IF(OR(AF2805="",AF2805="ERRO_CHAVE"),"",IFERROR(MATCH(AF2805,'Quitados DUPP'!$U$1:$U$6635,0),""))</f>
        <v/>
      </c>
      <c r="AH2805" s="15" t="str">
        <f t="shared" si="2"/>
        <v/>
      </c>
      <c r="AI2805" s="17" t="str">
        <f>IF(AG2805="","",INDEX('Quitados DUPP'!$G$1:$G$6635,AG2805))</f>
        <v/>
      </c>
      <c r="AJ2805" s="17" t="str">
        <f t="shared" si="3"/>
        <v/>
      </c>
    </row>
    <row r="2806" spans="31:36">
      <c r="AE2806" s="15" t="str">
        <f t="shared" si="0"/>
        <v/>
      </c>
      <c r="AF2806" s="15" t="str">
        <f t="shared" si="1"/>
        <v/>
      </c>
      <c r="AG2806" s="15" t="str">
        <f>IF(OR(AF2806="",AF2806="ERRO_CHAVE"),"",IFERROR(MATCH(AF2806,'Quitados DUPP'!$U$1:$U$6635,0),""))</f>
        <v/>
      </c>
      <c r="AH2806" s="15" t="str">
        <f t="shared" si="2"/>
        <v/>
      </c>
      <c r="AI2806" s="17" t="str">
        <f>IF(AG2806="","",INDEX('Quitados DUPP'!$G$1:$G$6635,AG2806))</f>
        <v/>
      </c>
      <c r="AJ2806" s="17" t="str">
        <f t="shared" si="3"/>
        <v/>
      </c>
    </row>
    <row r="2807" spans="31:36">
      <c r="AE2807" s="15" t="str">
        <f t="shared" si="0"/>
        <v/>
      </c>
      <c r="AF2807" s="15" t="str">
        <f t="shared" si="1"/>
        <v/>
      </c>
      <c r="AG2807" s="15" t="str">
        <f>IF(OR(AF2807="",AF2807="ERRO_CHAVE"),"",IFERROR(MATCH(AF2807,'Quitados DUPP'!$U$1:$U$6635,0),""))</f>
        <v/>
      </c>
      <c r="AH2807" s="15" t="str">
        <f t="shared" si="2"/>
        <v/>
      </c>
      <c r="AI2807" s="17" t="str">
        <f>IF(AG2807="","",INDEX('Quitados DUPP'!$G$1:$G$6635,AG2807))</f>
        <v/>
      </c>
      <c r="AJ2807" s="17" t="str">
        <f t="shared" si="3"/>
        <v/>
      </c>
    </row>
    <row r="2808" spans="31:36">
      <c r="AE2808" s="15" t="str">
        <f t="shared" si="0"/>
        <v/>
      </c>
      <c r="AF2808" s="15" t="str">
        <f t="shared" si="1"/>
        <v/>
      </c>
      <c r="AG2808" s="15" t="str">
        <f>IF(OR(AF2808="",AF2808="ERRO_CHAVE"),"",IFERROR(MATCH(AF2808,'Quitados DUPP'!$U$1:$U$6635,0),""))</f>
        <v/>
      </c>
      <c r="AH2808" s="15" t="str">
        <f t="shared" si="2"/>
        <v/>
      </c>
      <c r="AI2808" s="17" t="str">
        <f>IF(AG2808="","",INDEX('Quitados DUPP'!$G$1:$G$6635,AG2808))</f>
        <v/>
      </c>
      <c r="AJ2808" s="17" t="str">
        <f t="shared" si="3"/>
        <v/>
      </c>
    </row>
    <row r="2809" spans="31:36">
      <c r="AE2809" s="15" t="str">
        <f t="shared" si="0"/>
        <v/>
      </c>
      <c r="AF2809" s="15" t="str">
        <f t="shared" si="1"/>
        <v/>
      </c>
      <c r="AG2809" s="15" t="str">
        <f>IF(OR(AF2809="",AF2809="ERRO_CHAVE"),"",IFERROR(MATCH(AF2809,'Quitados DUPP'!$U$1:$U$6635,0),""))</f>
        <v/>
      </c>
      <c r="AH2809" s="15" t="str">
        <f t="shared" si="2"/>
        <v/>
      </c>
      <c r="AI2809" s="17" t="str">
        <f>IF(AG2809="","",INDEX('Quitados DUPP'!$G$1:$G$6635,AG2809))</f>
        <v/>
      </c>
      <c r="AJ2809" s="17" t="str">
        <f t="shared" si="3"/>
        <v/>
      </c>
    </row>
    <row r="2810" spans="31:36">
      <c r="AE2810" s="15" t="str">
        <f t="shared" si="0"/>
        <v/>
      </c>
      <c r="AF2810" s="15" t="str">
        <f t="shared" si="1"/>
        <v/>
      </c>
      <c r="AG2810" s="15" t="str">
        <f>IF(OR(AF2810="",AF2810="ERRO_CHAVE"),"",IFERROR(MATCH(AF2810,'Quitados DUPP'!$U$1:$U$6635,0),""))</f>
        <v/>
      </c>
      <c r="AH2810" s="15" t="str">
        <f t="shared" si="2"/>
        <v/>
      </c>
      <c r="AI2810" s="17" t="str">
        <f>IF(AG2810="","",INDEX('Quitados DUPP'!$G$1:$G$6635,AG2810))</f>
        <v/>
      </c>
      <c r="AJ2810" s="17" t="str">
        <f t="shared" si="3"/>
        <v/>
      </c>
    </row>
    <row r="2811" spans="31:36">
      <c r="AE2811" s="15" t="str">
        <f t="shared" si="0"/>
        <v/>
      </c>
      <c r="AF2811" s="15" t="str">
        <f t="shared" si="1"/>
        <v/>
      </c>
      <c r="AG2811" s="15" t="str">
        <f>IF(OR(AF2811="",AF2811="ERRO_CHAVE"),"",IFERROR(MATCH(AF2811,'Quitados DUPP'!$U$1:$U$6635,0),""))</f>
        <v/>
      </c>
      <c r="AH2811" s="15" t="str">
        <f t="shared" si="2"/>
        <v/>
      </c>
      <c r="AI2811" s="17" t="str">
        <f>IF(AG2811="","",INDEX('Quitados DUPP'!$G$1:$G$6635,AG2811))</f>
        <v/>
      </c>
      <c r="AJ2811" s="17" t="str">
        <f t="shared" si="3"/>
        <v/>
      </c>
    </row>
    <row r="2812" spans="31:36">
      <c r="AE2812" s="15" t="str">
        <f t="shared" si="0"/>
        <v/>
      </c>
      <c r="AF2812" s="15" t="str">
        <f t="shared" si="1"/>
        <v/>
      </c>
      <c r="AG2812" s="15" t="str">
        <f>IF(OR(AF2812="",AF2812="ERRO_CHAVE"),"",IFERROR(MATCH(AF2812,'Quitados DUPP'!$U$1:$U$6635,0),""))</f>
        <v/>
      </c>
      <c r="AH2812" s="15" t="str">
        <f t="shared" si="2"/>
        <v/>
      </c>
      <c r="AI2812" s="17" t="str">
        <f>IF(AG2812="","",INDEX('Quitados DUPP'!$G$1:$G$6635,AG2812))</f>
        <v/>
      </c>
      <c r="AJ2812" s="17" t="str">
        <f t="shared" si="3"/>
        <v/>
      </c>
    </row>
    <row r="2813" spans="31:36">
      <c r="AE2813" s="15" t="str">
        <f t="shared" si="0"/>
        <v/>
      </c>
      <c r="AF2813" s="15" t="str">
        <f t="shared" si="1"/>
        <v/>
      </c>
      <c r="AG2813" s="15" t="str">
        <f>IF(OR(AF2813="",AF2813="ERRO_CHAVE"),"",IFERROR(MATCH(AF2813,'Quitados DUPP'!$U$1:$U$6635,0),""))</f>
        <v/>
      </c>
      <c r="AH2813" s="15" t="str">
        <f t="shared" si="2"/>
        <v/>
      </c>
      <c r="AI2813" s="17" t="str">
        <f>IF(AG2813="","",INDEX('Quitados DUPP'!$G$1:$G$6635,AG2813))</f>
        <v/>
      </c>
      <c r="AJ2813" s="17" t="str">
        <f t="shared" si="3"/>
        <v/>
      </c>
    </row>
    <row r="2814" spans="31:36">
      <c r="AE2814" s="15" t="str">
        <f t="shared" si="0"/>
        <v/>
      </c>
      <c r="AF2814" s="15" t="str">
        <f t="shared" si="1"/>
        <v/>
      </c>
      <c r="AG2814" s="15" t="str">
        <f>IF(OR(AF2814="",AF2814="ERRO_CHAVE"),"",IFERROR(MATCH(AF2814,'Quitados DUPP'!$U$1:$U$6635,0),""))</f>
        <v/>
      </c>
      <c r="AH2814" s="15" t="str">
        <f t="shared" si="2"/>
        <v/>
      </c>
      <c r="AI2814" s="17" t="str">
        <f>IF(AG2814="","",INDEX('Quitados DUPP'!$G$1:$G$6635,AG2814))</f>
        <v/>
      </c>
      <c r="AJ2814" s="17" t="str">
        <f t="shared" si="3"/>
        <v/>
      </c>
    </row>
    <row r="2815" spans="31:36">
      <c r="AE2815" s="15" t="str">
        <f t="shared" si="0"/>
        <v/>
      </c>
      <c r="AF2815" s="15" t="str">
        <f t="shared" si="1"/>
        <v/>
      </c>
      <c r="AG2815" s="15" t="str">
        <f>IF(OR(AF2815="",AF2815="ERRO_CHAVE"),"",IFERROR(MATCH(AF2815,'Quitados DUPP'!$U$1:$U$6635,0),""))</f>
        <v/>
      </c>
      <c r="AH2815" s="15" t="str">
        <f t="shared" si="2"/>
        <v/>
      </c>
      <c r="AI2815" s="17" t="str">
        <f>IF(AG2815="","",INDEX('Quitados DUPP'!$G$1:$G$6635,AG2815))</f>
        <v/>
      </c>
      <c r="AJ2815" s="17" t="str">
        <f t="shared" si="3"/>
        <v/>
      </c>
    </row>
    <row r="2816" spans="31:36">
      <c r="AE2816" s="15" t="str">
        <f t="shared" si="0"/>
        <v/>
      </c>
      <c r="AF2816" s="15" t="str">
        <f t="shared" si="1"/>
        <v/>
      </c>
      <c r="AG2816" s="15" t="str">
        <f>IF(OR(AF2816="",AF2816="ERRO_CHAVE"),"",IFERROR(MATCH(AF2816,'Quitados DUPP'!$U$1:$U$6635,0),""))</f>
        <v/>
      </c>
      <c r="AH2816" s="15" t="str">
        <f t="shared" si="2"/>
        <v/>
      </c>
      <c r="AI2816" s="17" t="str">
        <f>IF(AG2816="","",INDEX('Quitados DUPP'!$G$1:$G$6635,AG2816))</f>
        <v/>
      </c>
      <c r="AJ2816" s="17" t="str">
        <f t="shared" si="3"/>
        <v/>
      </c>
    </row>
    <row r="2817" spans="31:36">
      <c r="AE2817" s="15" t="str">
        <f t="shared" si="0"/>
        <v/>
      </c>
      <c r="AF2817" s="15" t="str">
        <f t="shared" si="1"/>
        <v/>
      </c>
      <c r="AG2817" s="15" t="str">
        <f>IF(OR(AF2817="",AF2817="ERRO_CHAVE"),"",IFERROR(MATCH(AF2817,'Quitados DUPP'!$U$1:$U$6635,0),""))</f>
        <v/>
      </c>
      <c r="AH2817" s="15" t="str">
        <f t="shared" si="2"/>
        <v/>
      </c>
      <c r="AI2817" s="17" t="str">
        <f>IF(AG2817="","",INDEX('Quitados DUPP'!$G$1:$G$6635,AG2817))</f>
        <v/>
      </c>
      <c r="AJ2817" s="17" t="str">
        <f t="shared" si="3"/>
        <v/>
      </c>
    </row>
    <row r="2818" spans="31:36">
      <c r="AE2818" s="15" t="str">
        <f t="shared" si="0"/>
        <v/>
      </c>
      <c r="AF2818" s="15" t="str">
        <f t="shared" si="1"/>
        <v/>
      </c>
      <c r="AG2818" s="15" t="str">
        <f>IF(OR(AF2818="",AF2818="ERRO_CHAVE"),"",IFERROR(MATCH(AF2818,'Quitados DUPP'!$U$1:$U$6635,0),""))</f>
        <v/>
      </c>
      <c r="AH2818" s="15" t="str">
        <f t="shared" si="2"/>
        <v/>
      </c>
      <c r="AI2818" s="17" t="str">
        <f>IF(AG2818="","",INDEX('Quitados DUPP'!$G$1:$G$6635,AG2818))</f>
        <v/>
      </c>
      <c r="AJ2818" s="17" t="str">
        <f t="shared" si="3"/>
        <v/>
      </c>
    </row>
    <row r="2819" spans="31:36">
      <c r="AE2819" s="15" t="str">
        <f t="shared" si="0"/>
        <v/>
      </c>
      <c r="AF2819" s="15" t="str">
        <f t="shared" si="1"/>
        <v/>
      </c>
      <c r="AG2819" s="15" t="str">
        <f>IF(OR(AF2819="",AF2819="ERRO_CHAVE"),"",IFERROR(MATCH(AF2819,'Quitados DUPP'!$U$1:$U$6635,0),""))</f>
        <v/>
      </c>
      <c r="AH2819" s="15" t="str">
        <f t="shared" si="2"/>
        <v/>
      </c>
      <c r="AI2819" s="17" t="str">
        <f>IF(AG2819="","",INDEX('Quitados DUPP'!$G$1:$G$6635,AG2819))</f>
        <v/>
      </c>
      <c r="AJ2819" s="17" t="str">
        <f t="shared" si="3"/>
        <v/>
      </c>
    </row>
    <row r="2820" spans="31:36">
      <c r="AE2820" s="15" t="str">
        <f t="shared" si="0"/>
        <v/>
      </c>
      <c r="AF2820" s="15" t="str">
        <f t="shared" si="1"/>
        <v/>
      </c>
      <c r="AG2820" s="15" t="str">
        <f>IF(OR(AF2820="",AF2820="ERRO_CHAVE"),"",IFERROR(MATCH(AF2820,'Quitados DUPP'!$U$1:$U$6635,0),""))</f>
        <v/>
      </c>
      <c r="AH2820" s="15" t="str">
        <f t="shared" si="2"/>
        <v/>
      </c>
      <c r="AI2820" s="17" t="str">
        <f>IF(AG2820="","",INDEX('Quitados DUPP'!$G$1:$G$6635,AG2820))</f>
        <v/>
      </c>
      <c r="AJ2820" s="17" t="str">
        <f t="shared" si="3"/>
        <v/>
      </c>
    </row>
    <row r="2821" spans="31:36">
      <c r="AE2821" s="15" t="str">
        <f t="shared" si="0"/>
        <v/>
      </c>
      <c r="AF2821" s="15" t="str">
        <f t="shared" si="1"/>
        <v/>
      </c>
      <c r="AG2821" s="15" t="str">
        <f>IF(OR(AF2821="",AF2821="ERRO_CHAVE"),"",IFERROR(MATCH(AF2821,'Quitados DUPP'!$U$1:$U$6635,0),""))</f>
        <v/>
      </c>
      <c r="AH2821" s="15" t="str">
        <f t="shared" si="2"/>
        <v/>
      </c>
      <c r="AI2821" s="17" t="str">
        <f>IF(AG2821="","",INDEX('Quitados DUPP'!$G$1:$G$6635,AG2821))</f>
        <v/>
      </c>
      <c r="AJ2821" s="17" t="str">
        <f t="shared" si="3"/>
        <v/>
      </c>
    </row>
    <row r="2822" spans="31:36">
      <c r="AE2822" s="15" t="str">
        <f t="shared" si="0"/>
        <v/>
      </c>
      <c r="AF2822" s="15" t="str">
        <f t="shared" si="1"/>
        <v/>
      </c>
      <c r="AG2822" s="15" t="str">
        <f>IF(OR(AF2822="",AF2822="ERRO_CHAVE"),"",IFERROR(MATCH(AF2822,'Quitados DUPP'!$U$1:$U$6635,0),""))</f>
        <v/>
      </c>
      <c r="AH2822" s="15" t="str">
        <f t="shared" si="2"/>
        <v/>
      </c>
      <c r="AI2822" s="17" t="str">
        <f>IF(AG2822="","",INDEX('Quitados DUPP'!$G$1:$G$6635,AG2822))</f>
        <v/>
      </c>
      <c r="AJ2822" s="17" t="str">
        <f t="shared" si="3"/>
        <v/>
      </c>
    </row>
    <row r="2823" spans="31:36">
      <c r="AE2823" s="15" t="str">
        <f t="shared" si="0"/>
        <v/>
      </c>
      <c r="AF2823" s="15" t="str">
        <f t="shared" si="1"/>
        <v/>
      </c>
      <c r="AG2823" s="15" t="str">
        <f>IF(OR(AF2823="",AF2823="ERRO_CHAVE"),"",IFERROR(MATCH(AF2823,'Quitados DUPP'!$U$1:$U$6635,0),""))</f>
        <v/>
      </c>
      <c r="AH2823" s="15" t="str">
        <f t="shared" si="2"/>
        <v/>
      </c>
      <c r="AI2823" s="17" t="str">
        <f>IF(AG2823="","",INDEX('Quitados DUPP'!$G$1:$G$6635,AG2823))</f>
        <v/>
      </c>
      <c r="AJ2823" s="17" t="str">
        <f t="shared" si="3"/>
        <v/>
      </c>
    </row>
    <row r="2824" spans="31:36">
      <c r="AE2824" s="15" t="str">
        <f t="shared" si="0"/>
        <v/>
      </c>
      <c r="AF2824" s="15" t="str">
        <f t="shared" si="1"/>
        <v/>
      </c>
      <c r="AG2824" s="15" t="str">
        <f>IF(OR(AF2824="",AF2824="ERRO_CHAVE"),"",IFERROR(MATCH(AF2824,'Quitados DUPP'!$U$1:$U$6635,0),""))</f>
        <v/>
      </c>
      <c r="AH2824" s="15" t="str">
        <f t="shared" si="2"/>
        <v/>
      </c>
      <c r="AI2824" s="17" t="str">
        <f>IF(AG2824="","",INDEX('Quitados DUPP'!$G$1:$G$6635,AG2824))</f>
        <v/>
      </c>
      <c r="AJ2824" s="17" t="str">
        <f t="shared" si="3"/>
        <v/>
      </c>
    </row>
    <row r="2825" spans="31:36">
      <c r="AE2825" s="15" t="str">
        <f t="shared" si="0"/>
        <v/>
      </c>
      <c r="AF2825" s="15" t="str">
        <f t="shared" si="1"/>
        <v/>
      </c>
      <c r="AG2825" s="15" t="str">
        <f>IF(OR(AF2825="",AF2825="ERRO_CHAVE"),"",IFERROR(MATCH(AF2825,'Quitados DUPP'!$U$1:$U$6635,0),""))</f>
        <v/>
      </c>
      <c r="AH2825" s="15" t="str">
        <f t="shared" si="2"/>
        <v/>
      </c>
      <c r="AI2825" s="17" t="str">
        <f>IF(AG2825="","",INDEX('Quitados DUPP'!$G$1:$G$6635,AG2825))</f>
        <v/>
      </c>
      <c r="AJ2825" s="17" t="str">
        <f t="shared" si="3"/>
        <v/>
      </c>
    </row>
    <row r="2826" spans="31:36">
      <c r="AE2826" s="15" t="str">
        <f t="shared" si="0"/>
        <v/>
      </c>
      <c r="AF2826" s="15" t="str">
        <f t="shared" si="1"/>
        <v/>
      </c>
      <c r="AG2826" s="15" t="str">
        <f>IF(OR(AF2826="",AF2826="ERRO_CHAVE"),"",IFERROR(MATCH(AF2826,'Quitados DUPP'!$U$1:$U$6635,0),""))</f>
        <v/>
      </c>
      <c r="AH2826" s="15" t="str">
        <f t="shared" si="2"/>
        <v/>
      </c>
      <c r="AI2826" s="17" t="str">
        <f>IF(AG2826="","",INDEX('Quitados DUPP'!$G$1:$G$6635,AG2826))</f>
        <v/>
      </c>
      <c r="AJ2826" s="17" t="str">
        <f t="shared" si="3"/>
        <v/>
      </c>
    </row>
    <row r="2827" spans="31:36">
      <c r="AE2827" s="15" t="str">
        <f t="shared" si="0"/>
        <v/>
      </c>
      <c r="AF2827" s="15" t="str">
        <f t="shared" si="1"/>
        <v/>
      </c>
      <c r="AG2827" s="15" t="str">
        <f>IF(OR(AF2827="",AF2827="ERRO_CHAVE"),"",IFERROR(MATCH(AF2827,'Quitados DUPP'!$U$1:$U$6635,0),""))</f>
        <v/>
      </c>
      <c r="AH2827" s="15" t="str">
        <f t="shared" si="2"/>
        <v/>
      </c>
      <c r="AI2827" s="17" t="str">
        <f>IF(AG2827="","",INDEX('Quitados DUPP'!$G$1:$G$6635,AG2827))</f>
        <v/>
      </c>
      <c r="AJ2827" s="17" t="str">
        <f t="shared" si="3"/>
        <v/>
      </c>
    </row>
    <row r="2828" spans="31:36">
      <c r="AE2828" s="15" t="str">
        <f t="shared" si="0"/>
        <v/>
      </c>
      <c r="AF2828" s="15" t="str">
        <f t="shared" si="1"/>
        <v/>
      </c>
      <c r="AG2828" s="15" t="str">
        <f>IF(OR(AF2828="",AF2828="ERRO_CHAVE"),"",IFERROR(MATCH(AF2828,'Quitados DUPP'!$U$1:$U$6635,0),""))</f>
        <v/>
      </c>
      <c r="AH2828" s="15" t="str">
        <f t="shared" si="2"/>
        <v/>
      </c>
      <c r="AI2828" s="17" t="str">
        <f>IF(AG2828="","",INDEX('Quitados DUPP'!$G$1:$G$6635,AG2828))</f>
        <v/>
      </c>
      <c r="AJ2828" s="17" t="str">
        <f t="shared" si="3"/>
        <v/>
      </c>
    </row>
    <row r="2829" spans="31:36">
      <c r="AE2829" s="15" t="str">
        <f t="shared" si="0"/>
        <v/>
      </c>
      <c r="AF2829" s="15" t="str">
        <f t="shared" si="1"/>
        <v/>
      </c>
      <c r="AG2829" s="15" t="str">
        <f>IF(OR(AF2829="",AF2829="ERRO_CHAVE"),"",IFERROR(MATCH(AF2829,'Quitados DUPP'!$U$1:$U$6635,0),""))</f>
        <v/>
      </c>
      <c r="AH2829" s="15" t="str">
        <f t="shared" si="2"/>
        <v/>
      </c>
      <c r="AI2829" s="17" t="str">
        <f>IF(AG2829="","",INDEX('Quitados DUPP'!$G$1:$G$6635,AG2829))</f>
        <v/>
      </c>
      <c r="AJ2829" s="17" t="str">
        <f t="shared" si="3"/>
        <v/>
      </c>
    </row>
    <row r="2830" spans="31:36">
      <c r="AE2830" s="15" t="str">
        <f t="shared" si="0"/>
        <v/>
      </c>
      <c r="AF2830" s="15" t="str">
        <f t="shared" si="1"/>
        <v/>
      </c>
      <c r="AG2830" s="15" t="str">
        <f>IF(OR(AF2830="",AF2830="ERRO_CHAVE"),"",IFERROR(MATCH(AF2830,'Quitados DUPP'!$U$1:$U$6635,0),""))</f>
        <v/>
      </c>
      <c r="AH2830" s="15" t="str">
        <f t="shared" si="2"/>
        <v/>
      </c>
      <c r="AI2830" s="17" t="str">
        <f>IF(AG2830="","",INDEX('Quitados DUPP'!$G$1:$G$6635,AG2830))</f>
        <v/>
      </c>
      <c r="AJ2830" s="17" t="str">
        <f t="shared" si="3"/>
        <v/>
      </c>
    </row>
    <row r="2831" spans="31:36">
      <c r="AE2831" s="15" t="str">
        <f t="shared" si="0"/>
        <v/>
      </c>
      <c r="AF2831" s="15" t="str">
        <f t="shared" si="1"/>
        <v/>
      </c>
      <c r="AG2831" s="15" t="str">
        <f>IF(OR(AF2831="",AF2831="ERRO_CHAVE"),"",IFERROR(MATCH(AF2831,'Quitados DUPP'!$U$1:$U$6635,0),""))</f>
        <v/>
      </c>
      <c r="AH2831" s="15" t="str">
        <f t="shared" si="2"/>
        <v/>
      </c>
      <c r="AI2831" s="17" t="str">
        <f>IF(AG2831="","",INDEX('Quitados DUPP'!$G$1:$G$6635,AG2831))</f>
        <v/>
      </c>
      <c r="AJ2831" s="17" t="str">
        <f t="shared" si="3"/>
        <v/>
      </c>
    </row>
    <row r="2832" spans="31:36">
      <c r="AE2832" s="15" t="str">
        <f t="shared" si="0"/>
        <v/>
      </c>
      <c r="AF2832" s="15" t="str">
        <f t="shared" si="1"/>
        <v/>
      </c>
      <c r="AG2832" s="15" t="str">
        <f>IF(OR(AF2832="",AF2832="ERRO_CHAVE"),"",IFERROR(MATCH(AF2832,'Quitados DUPP'!$U$1:$U$6635,0),""))</f>
        <v/>
      </c>
      <c r="AH2832" s="15" t="str">
        <f t="shared" si="2"/>
        <v/>
      </c>
      <c r="AI2832" s="17" t="str">
        <f>IF(AG2832="","",INDEX('Quitados DUPP'!$G$1:$G$6635,AG2832))</f>
        <v/>
      </c>
      <c r="AJ2832" s="17" t="str">
        <f t="shared" si="3"/>
        <v/>
      </c>
    </row>
    <row r="2833" spans="31:36">
      <c r="AE2833" s="15" t="str">
        <f t="shared" si="0"/>
        <v/>
      </c>
      <c r="AF2833" s="15" t="str">
        <f t="shared" si="1"/>
        <v/>
      </c>
      <c r="AG2833" s="15" t="str">
        <f>IF(OR(AF2833="",AF2833="ERRO_CHAVE"),"",IFERROR(MATCH(AF2833,'Quitados DUPP'!$U$1:$U$6635,0),""))</f>
        <v/>
      </c>
      <c r="AH2833" s="15" t="str">
        <f t="shared" si="2"/>
        <v/>
      </c>
      <c r="AI2833" s="17" t="str">
        <f>IF(AG2833="","",INDEX('Quitados DUPP'!$G$1:$G$6635,AG2833))</f>
        <v/>
      </c>
      <c r="AJ2833" s="17" t="str">
        <f t="shared" si="3"/>
        <v/>
      </c>
    </row>
    <row r="2834" spans="31:36">
      <c r="AE2834" s="15" t="str">
        <f t="shared" si="0"/>
        <v/>
      </c>
      <c r="AF2834" s="15" t="str">
        <f t="shared" si="1"/>
        <v/>
      </c>
      <c r="AG2834" s="15" t="str">
        <f>IF(OR(AF2834="",AF2834="ERRO_CHAVE"),"",IFERROR(MATCH(AF2834,'Quitados DUPP'!$U$1:$U$6635,0),""))</f>
        <v/>
      </c>
      <c r="AH2834" s="15" t="str">
        <f t="shared" si="2"/>
        <v/>
      </c>
      <c r="AI2834" s="17" t="str">
        <f>IF(AG2834="","",INDEX('Quitados DUPP'!$G$1:$G$6635,AG2834))</f>
        <v/>
      </c>
      <c r="AJ2834" s="17" t="str">
        <f t="shared" si="3"/>
        <v/>
      </c>
    </row>
    <row r="2835" spans="31:36">
      <c r="AE2835" s="15" t="str">
        <f t="shared" si="0"/>
        <v/>
      </c>
      <c r="AF2835" s="15" t="str">
        <f t="shared" si="1"/>
        <v/>
      </c>
      <c r="AG2835" s="15" t="str">
        <f>IF(OR(AF2835="",AF2835="ERRO_CHAVE"),"",IFERROR(MATCH(AF2835,'Quitados DUPP'!$U$1:$U$6635,0),""))</f>
        <v/>
      </c>
      <c r="AH2835" s="15" t="str">
        <f t="shared" si="2"/>
        <v/>
      </c>
      <c r="AI2835" s="17" t="str">
        <f>IF(AG2835="","",INDEX('Quitados DUPP'!$G$1:$G$6635,AG2835))</f>
        <v/>
      </c>
      <c r="AJ2835" s="17" t="str">
        <f t="shared" si="3"/>
        <v/>
      </c>
    </row>
    <row r="2836" spans="31:36">
      <c r="AE2836" s="15" t="str">
        <f t="shared" si="0"/>
        <v/>
      </c>
      <c r="AF2836" s="15" t="str">
        <f t="shared" si="1"/>
        <v/>
      </c>
      <c r="AG2836" s="15" t="str">
        <f>IF(OR(AF2836="",AF2836="ERRO_CHAVE"),"",IFERROR(MATCH(AF2836,'Quitados DUPP'!$U$1:$U$6635,0),""))</f>
        <v/>
      </c>
      <c r="AH2836" s="15" t="str">
        <f t="shared" si="2"/>
        <v/>
      </c>
      <c r="AI2836" s="17" t="str">
        <f>IF(AG2836="","",INDEX('Quitados DUPP'!$G$1:$G$6635,AG2836))</f>
        <v/>
      </c>
      <c r="AJ2836" s="17" t="str">
        <f t="shared" si="3"/>
        <v/>
      </c>
    </row>
    <row r="2837" spans="31:36">
      <c r="AE2837" s="15" t="str">
        <f t="shared" si="0"/>
        <v/>
      </c>
      <c r="AF2837" s="15" t="str">
        <f t="shared" si="1"/>
        <v/>
      </c>
      <c r="AG2837" s="15" t="str">
        <f>IF(OR(AF2837="",AF2837="ERRO_CHAVE"),"",IFERROR(MATCH(AF2837,'Quitados DUPP'!$U$1:$U$6635,0),""))</f>
        <v/>
      </c>
      <c r="AH2837" s="15" t="str">
        <f t="shared" si="2"/>
        <v/>
      </c>
      <c r="AI2837" s="17" t="str">
        <f>IF(AG2837="","",INDEX('Quitados DUPP'!$G$1:$G$6635,AG2837))</f>
        <v/>
      </c>
      <c r="AJ2837" s="17" t="str">
        <f t="shared" si="3"/>
        <v/>
      </c>
    </row>
    <row r="2838" spans="31:36">
      <c r="AE2838" s="15" t="str">
        <f t="shared" si="0"/>
        <v/>
      </c>
      <c r="AF2838" s="15" t="str">
        <f t="shared" si="1"/>
        <v/>
      </c>
      <c r="AG2838" s="15" t="str">
        <f>IF(OR(AF2838="",AF2838="ERRO_CHAVE"),"",IFERROR(MATCH(AF2838,'Quitados DUPP'!$U$1:$U$6635,0),""))</f>
        <v/>
      </c>
      <c r="AH2838" s="15" t="str">
        <f t="shared" si="2"/>
        <v/>
      </c>
      <c r="AI2838" s="17" t="str">
        <f>IF(AG2838="","",INDEX('Quitados DUPP'!$G$1:$G$6635,AG2838))</f>
        <v/>
      </c>
      <c r="AJ2838" s="17" t="str">
        <f t="shared" si="3"/>
        <v/>
      </c>
    </row>
    <row r="2839" spans="31:36">
      <c r="AE2839" s="15" t="str">
        <f t="shared" si="0"/>
        <v/>
      </c>
      <c r="AF2839" s="15" t="str">
        <f t="shared" si="1"/>
        <v/>
      </c>
      <c r="AG2839" s="15" t="str">
        <f>IF(OR(AF2839="",AF2839="ERRO_CHAVE"),"",IFERROR(MATCH(AF2839,'Quitados DUPP'!$U$1:$U$6635,0),""))</f>
        <v/>
      </c>
      <c r="AH2839" s="15" t="str">
        <f t="shared" si="2"/>
        <v/>
      </c>
      <c r="AI2839" s="17" t="str">
        <f>IF(AG2839="","",INDEX('Quitados DUPP'!$G$1:$G$6635,AG2839))</f>
        <v/>
      </c>
      <c r="AJ2839" s="17" t="str">
        <f t="shared" si="3"/>
        <v/>
      </c>
    </row>
    <row r="2840" spans="31:36">
      <c r="AE2840" s="15" t="str">
        <f t="shared" si="0"/>
        <v/>
      </c>
      <c r="AF2840" s="15" t="str">
        <f t="shared" si="1"/>
        <v/>
      </c>
      <c r="AG2840" s="15" t="str">
        <f>IF(OR(AF2840="",AF2840="ERRO_CHAVE"),"",IFERROR(MATCH(AF2840,'Quitados DUPP'!$U$1:$U$6635,0),""))</f>
        <v/>
      </c>
      <c r="AH2840" s="15" t="str">
        <f t="shared" si="2"/>
        <v/>
      </c>
      <c r="AI2840" s="17" t="str">
        <f>IF(AG2840="","",INDEX('Quitados DUPP'!$G$1:$G$6635,AG2840))</f>
        <v/>
      </c>
      <c r="AJ2840" s="17" t="str">
        <f t="shared" si="3"/>
        <v/>
      </c>
    </row>
    <row r="2841" spans="31:36">
      <c r="AE2841" s="15" t="str">
        <f t="shared" si="0"/>
        <v/>
      </c>
      <c r="AF2841" s="15" t="str">
        <f t="shared" si="1"/>
        <v/>
      </c>
      <c r="AG2841" s="15" t="str">
        <f>IF(OR(AF2841="",AF2841="ERRO_CHAVE"),"",IFERROR(MATCH(AF2841,'Quitados DUPP'!$U$1:$U$6635,0),""))</f>
        <v/>
      </c>
      <c r="AH2841" s="15" t="str">
        <f t="shared" si="2"/>
        <v/>
      </c>
      <c r="AI2841" s="17" t="str">
        <f>IF(AG2841="","",INDEX('Quitados DUPP'!$G$1:$G$6635,AG2841))</f>
        <v/>
      </c>
      <c r="AJ2841" s="17" t="str">
        <f t="shared" si="3"/>
        <v/>
      </c>
    </row>
    <row r="2842" spans="31:36">
      <c r="AE2842" s="15" t="str">
        <f t="shared" si="0"/>
        <v/>
      </c>
      <c r="AF2842" s="15" t="str">
        <f t="shared" si="1"/>
        <v/>
      </c>
      <c r="AG2842" s="15" t="str">
        <f>IF(OR(AF2842="",AF2842="ERRO_CHAVE"),"",IFERROR(MATCH(AF2842,'Quitados DUPP'!$U$1:$U$6635,0),""))</f>
        <v/>
      </c>
      <c r="AH2842" s="15" t="str">
        <f t="shared" si="2"/>
        <v/>
      </c>
      <c r="AI2842" s="17" t="str">
        <f>IF(AG2842="","",INDEX('Quitados DUPP'!$G$1:$G$6635,AG2842))</f>
        <v/>
      </c>
      <c r="AJ2842" s="17" t="str">
        <f t="shared" si="3"/>
        <v/>
      </c>
    </row>
    <row r="2843" spans="31:36">
      <c r="AE2843" s="15" t="str">
        <f t="shared" si="0"/>
        <v/>
      </c>
      <c r="AF2843" s="15" t="str">
        <f t="shared" si="1"/>
        <v/>
      </c>
      <c r="AG2843" s="15" t="str">
        <f>IF(OR(AF2843="",AF2843="ERRO_CHAVE"),"",IFERROR(MATCH(AF2843,'Quitados DUPP'!$U$1:$U$6635,0),""))</f>
        <v/>
      </c>
      <c r="AH2843" s="15" t="str">
        <f t="shared" si="2"/>
        <v/>
      </c>
      <c r="AI2843" s="17" t="str">
        <f>IF(AG2843="","",INDEX('Quitados DUPP'!$G$1:$G$6635,AG2843))</f>
        <v/>
      </c>
      <c r="AJ2843" s="17" t="str">
        <f t="shared" si="3"/>
        <v/>
      </c>
    </row>
    <row r="2844" spans="31:36">
      <c r="AE2844" s="15" t="str">
        <f t="shared" si="0"/>
        <v/>
      </c>
      <c r="AF2844" s="15" t="str">
        <f t="shared" si="1"/>
        <v/>
      </c>
      <c r="AG2844" s="15" t="str">
        <f>IF(OR(AF2844="",AF2844="ERRO_CHAVE"),"",IFERROR(MATCH(AF2844,'Quitados DUPP'!$U$1:$U$6635,0),""))</f>
        <v/>
      </c>
      <c r="AH2844" s="15" t="str">
        <f t="shared" si="2"/>
        <v/>
      </c>
      <c r="AI2844" s="17" t="str">
        <f>IF(AG2844="","",INDEX('Quitados DUPP'!$G$1:$G$6635,AG2844))</f>
        <v/>
      </c>
      <c r="AJ2844" s="17" t="str">
        <f t="shared" si="3"/>
        <v/>
      </c>
    </row>
    <row r="2845" spans="31:36">
      <c r="AE2845" s="15" t="str">
        <f t="shared" si="0"/>
        <v/>
      </c>
      <c r="AF2845" s="15" t="str">
        <f t="shared" si="1"/>
        <v/>
      </c>
      <c r="AG2845" s="15" t="str">
        <f>IF(OR(AF2845="",AF2845="ERRO_CHAVE"),"",IFERROR(MATCH(AF2845,'Quitados DUPP'!$U$1:$U$6635,0),""))</f>
        <v/>
      </c>
      <c r="AH2845" s="15" t="str">
        <f t="shared" si="2"/>
        <v/>
      </c>
      <c r="AI2845" s="17" t="str">
        <f>IF(AG2845="","",INDEX('Quitados DUPP'!$G$1:$G$6635,AG2845))</f>
        <v/>
      </c>
      <c r="AJ2845" s="17" t="str">
        <f t="shared" si="3"/>
        <v/>
      </c>
    </row>
    <row r="2846" spans="31:36">
      <c r="AE2846" s="15" t="str">
        <f t="shared" si="0"/>
        <v/>
      </c>
      <c r="AF2846" s="15" t="str">
        <f t="shared" si="1"/>
        <v/>
      </c>
      <c r="AG2846" s="15" t="str">
        <f>IF(OR(AF2846="",AF2846="ERRO_CHAVE"),"",IFERROR(MATCH(AF2846,'Quitados DUPP'!$U$1:$U$6635,0),""))</f>
        <v/>
      </c>
      <c r="AH2846" s="15" t="str">
        <f t="shared" si="2"/>
        <v/>
      </c>
      <c r="AI2846" s="17" t="str">
        <f>IF(AG2846="","",INDEX('Quitados DUPP'!$G$1:$G$6635,AG2846))</f>
        <v/>
      </c>
      <c r="AJ2846" s="17" t="str">
        <f t="shared" si="3"/>
        <v/>
      </c>
    </row>
    <row r="2847" spans="31:36">
      <c r="AE2847" s="15" t="str">
        <f t="shared" si="0"/>
        <v/>
      </c>
      <c r="AF2847" s="15" t="str">
        <f t="shared" si="1"/>
        <v/>
      </c>
      <c r="AG2847" s="15" t="str">
        <f>IF(OR(AF2847="",AF2847="ERRO_CHAVE"),"",IFERROR(MATCH(AF2847,'Quitados DUPP'!$U$1:$U$6635,0),""))</f>
        <v/>
      </c>
      <c r="AH2847" s="15" t="str">
        <f t="shared" si="2"/>
        <v/>
      </c>
      <c r="AI2847" s="17" t="str">
        <f>IF(AG2847="","",INDEX('Quitados DUPP'!$G$1:$G$6635,AG2847))</f>
        <v/>
      </c>
      <c r="AJ2847" s="17" t="str">
        <f t="shared" si="3"/>
        <v/>
      </c>
    </row>
    <row r="2848" spans="31:36">
      <c r="AE2848" s="15" t="str">
        <f t="shared" si="0"/>
        <v/>
      </c>
      <c r="AF2848" s="15" t="str">
        <f t="shared" si="1"/>
        <v/>
      </c>
      <c r="AG2848" s="15" t="str">
        <f>IF(OR(AF2848="",AF2848="ERRO_CHAVE"),"",IFERROR(MATCH(AF2848,'Quitados DUPP'!$U$1:$U$6635,0),""))</f>
        <v/>
      </c>
      <c r="AH2848" s="15" t="str">
        <f t="shared" si="2"/>
        <v/>
      </c>
      <c r="AI2848" s="17" t="str">
        <f>IF(AG2848="","",INDEX('Quitados DUPP'!$G$1:$G$6635,AG2848))</f>
        <v/>
      </c>
      <c r="AJ2848" s="17" t="str">
        <f t="shared" si="3"/>
        <v/>
      </c>
    </row>
    <row r="2849" spans="31:36">
      <c r="AE2849" s="15" t="str">
        <f t="shared" si="0"/>
        <v/>
      </c>
      <c r="AF2849" s="15" t="str">
        <f t="shared" si="1"/>
        <v/>
      </c>
      <c r="AG2849" s="15" t="str">
        <f>IF(OR(AF2849="",AF2849="ERRO_CHAVE"),"",IFERROR(MATCH(AF2849,'Quitados DUPP'!$U$1:$U$6635,0),""))</f>
        <v/>
      </c>
      <c r="AH2849" s="15" t="str">
        <f t="shared" si="2"/>
        <v/>
      </c>
      <c r="AI2849" s="17" t="str">
        <f>IF(AG2849="","",INDEX('Quitados DUPP'!$G$1:$G$6635,AG2849))</f>
        <v/>
      </c>
      <c r="AJ2849" s="17" t="str">
        <f t="shared" si="3"/>
        <v/>
      </c>
    </row>
    <row r="2850" spans="31:36">
      <c r="AE2850" s="15" t="str">
        <f t="shared" si="0"/>
        <v/>
      </c>
      <c r="AF2850" s="15" t="str">
        <f t="shared" si="1"/>
        <v/>
      </c>
      <c r="AG2850" s="15" t="str">
        <f>IF(OR(AF2850="",AF2850="ERRO_CHAVE"),"",IFERROR(MATCH(AF2850,'Quitados DUPP'!$U$1:$U$6635,0),""))</f>
        <v/>
      </c>
      <c r="AH2850" s="15" t="str">
        <f t="shared" si="2"/>
        <v/>
      </c>
      <c r="AI2850" s="17" t="str">
        <f>IF(AG2850="","",INDEX('Quitados DUPP'!$G$1:$G$6635,AG2850))</f>
        <v/>
      </c>
      <c r="AJ2850" s="17" t="str">
        <f t="shared" si="3"/>
        <v/>
      </c>
    </row>
    <row r="2851" spans="31:36">
      <c r="AE2851" s="15" t="str">
        <f t="shared" si="0"/>
        <v/>
      </c>
      <c r="AF2851" s="15" t="str">
        <f t="shared" si="1"/>
        <v/>
      </c>
      <c r="AG2851" s="15" t="str">
        <f>IF(OR(AF2851="",AF2851="ERRO_CHAVE"),"",IFERROR(MATCH(AF2851,'Quitados DUPP'!$U$1:$U$6635,0),""))</f>
        <v/>
      </c>
      <c r="AH2851" s="15" t="str">
        <f t="shared" si="2"/>
        <v/>
      </c>
      <c r="AI2851" s="17" t="str">
        <f>IF(AG2851="","",INDEX('Quitados DUPP'!$G$1:$G$6635,AG2851))</f>
        <v/>
      </c>
      <c r="AJ2851" s="17" t="str">
        <f t="shared" si="3"/>
        <v/>
      </c>
    </row>
    <row r="2852" spans="31:36">
      <c r="AE2852" s="15" t="str">
        <f t="shared" si="0"/>
        <v/>
      </c>
      <c r="AF2852" s="15" t="str">
        <f t="shared" si="1"/>
        <v/>
      </c>
      <c r="AG2852" s="15" t="str">
        <f>IF(OR(AF2852="",AF2852="ERRO_CHAVE"),"",IFERROR(MATCH(AF2852,'Quitados DUPP'!$U$1:$U$6635,0),""))</f>
        <v/>
      </c>
      <c r="AH2852" s="15" t="str">
        <f t="shared" si="2"/>
        <v/>
      </c>
      <c r="AI2852" s="17" t="str">
        <f>IF(AG2852="","",INDEX('Quitados DUPP'!$G$1:$G$6635,AG2852))</f>
        <v/>
      </c>
      <c r="AJ2852" s="17" t="str">
        <f t="shared" si="3"/>
        <v/>
      </c>
    </row>
    <row r="2853" spans="31:36">
      <c r="AE2853" s="15" t="str">
        <f t="shared" si="0"/>
        <v/>
      </c>
      <c r="AF2853" s="15" t="str">
        <f t="shared" si="1"/>
        <v/>
      </c>
      <c r="AG2853" s="15" t="str">
        <f>IF(OR(AF2853="",AF2853="ERRO_CHAVE"),"",IFERROR(MATCH(AF2853,'Quitados DUPP'!$U$1:$U$6635,0),""))</f>
        <v/>
      </c>
      <c r="AH2853" s="15" t="str">
        <f t="shared" si="2"/>
        <v/>
      </c>
      <c r="AI2853" s="17" t="str">
        <f>IF(AG2853="","",INDEX('Quitados DUPP'!$G$1:$G$6635,AG2853))</f>
        <v/>
      </c>
      <c r="AJ2853" s="17" t="str">
        <f t="shared" si="3"/>
        <v/>
      </c>
    </row>
    <row r="2854" spans="31:36">
      <c r="AE2854" s="15" t="str">
        <f t="shared" si="0"/>
        <v/>
      </c>
      <c r="AF2854" s="15" t="str">
        <f t="shared" si="1"/>
        <v/>
      </c>
      <c r="AG2854" s="15" t="str">
        <f>IF(OR(AF2854="",AF2854="ERRO_CHAVE"),"",IFERROR(MATCH(AF2854,'Quitados DUPP'!$U$1:$U$6635,0),""))</f>
        <v/>
      </c>
      <c r="AH2854" s="15" t="str">
        <f t="shared" si="2"/>
        <v/>
      </c>
      <c r="AI2854" s="17" t="str">
        <f>IF(AG2854="","",INDEX('Quitados DUPP'!$G$1:$G$6635,AG2854))</f>
        <v/>
      </c>
      <c r="AJ2854" s="17" t="str">
        <f t="shared" si="3"/>
        <v/>
      </c>
    </row>
    <row r="2855" spans="31:36">
      <c r="AE2855" s="15" t="str">
        <f t="shared" si="0"/>
        <v/>
      </c>
      <c r="AF2855" s="15" t="str">
        <f t="shared" si="1"/>
        <v/>
      </c>
      <c r="AG2855" s="15" t="str">
        <f>IF(OR(AF2855="",AF2855="ERRO_CHAVE"),"",IFERROR(MATCH(AF2855,'Quitados DUPP'!$U$1:$U$6635,0),""))</f>
        <v/>
      </c>
      <c r="AH2855" s="15" t="str">
        <f t="shared" si="2"/>
        <v/>
      </c>
      <c r="AI2855" s="17" t="str">
        <f>IF(AG2855="","",INDEX('Quitados DUPP'!$G$1:$G$6635,AG2855))</f>
        <v/>
      </c>
      <c r="AJ2855" s="17" t="str">
        <f t="shared" si="3"/>
        <v/>
      </c>
    </row>
    <row r="2856" spans="31:36">
      <c r="AE2856" s="15" t="str">
        <f t="shared" si="0"/>
        <v/>
      </c>
      <c r="AF2856" s="15" t="str">
        <f t="shared" si="1"/>
        <v/>
      </c>
      <c r="AG2856" s="15" t="str">
        <f>IF(OR(AF2856="",AF2856="ERRO_CHAVE"),"",IFERROR(MATCH(AF2856,'Quitados DUPP'!$U$1:$U$6635,0),""))</f>
        <v/>
      </c>
      <c r="AH2856" s="15" t="str">
        <f t="shared" si="2"/>
        <v/>
      </c>
      <c r="AI2856" s="17" t="str">
        <f>IF(AG2856="","",INDEX('Quitados DUPP'!$G$1:$G$6635,AG2856))</f>
        <v/>
      </c>
      <c r="AJ2856" s="17" t="str">
        <f t="shared" si="3"/>
        <v/>
      </c>
    </row>
    <row r="2857" spans="31:36">
      <c r="AE2857" s="15" t="str">
        <f t="shared" si="0"/>
        <v/>
      </c>
      <c r="AF2857" s="15" t="str">
        <f t="shared" si="1"/>
        <v/>
      </c>
      <c r="AG2857" s="15" t="str">
        <f>IF(OR(AF2857="",AF2857="ERRO_CHAVE"),"",IFERROR(MATCH(AF2857,'Quitados DUPP'!$U$1:$U$6635,0),""))</f>
        <v/>
      </c>
      <c r="AH2857" s="15" t="str">
        <f t="shared" si="2"/>
        <v/>
      </c>
      <c r="AI2857" s="17" t="str">
        <f>IF(AG2857="","",INDEX('Quitados DUPP'!$G$1:$G$6635,AG2857))</f>
        <v/>
      </c>
      <c r="AJ2857" s="17" t="str">
        <f t="shared" si="3"/>
        <v/>
      </c>
    </row>
    <row r="2858" spans="31:36">
      <c r="AE2858" s="15" t="str">
        <f t="shared" si="0"/>
        <v/>
      </c>
      <c r="AF2858" s="15" t="str">
        <f t="shared" si="1"/>
        <v/>
      </c>
      <c r="AG2858" s="15" t="str">
        <f>IF(OR(AF2858="",AF2858="ERRO_CHAVE"),"",IFERROR(MATCH(AF2858,'Quitados DUPP'!$U$1:$U$6635,0),""))</f>
        <v/>
      </c>
      <c r="AH2858" s="15" t="str">
        <f t="shared" si="2"/>
        <v/>
      </c>
      <c r="AI2858" s="17" t="str">
        <f>IF(AG2858="","",INDEX('Quitados DUPP'!$G$1:$G$6635,AG2858))</f>
        <v/>
      </c>
      <c r="AJ2858" s="17" t="str">
        <f t="shared" si="3"/>
        <v/>
      </c>
    </row>
    <row r="2859" spans="31:36">
      <c r="AE2859" s="15" t="str">
        <f t="shared" si="0"/>
        <v/>
      </c>
      <c r="AF2859" s="15" t="str">
        <f t="shared" si="1"/>
        <v/>
      </c>
      <c r="AG2859" s="15" t="str">
        <f>IF(OR(AF2859="",AF2859="ERRO_CHAVE"),"",IFERROR(MATCH(AF2859,'Quitados DUPP'!$U$1:$U$6635,0),""))</f>
        <v/>
      </c>
      <c r="AH2859" s="15" t="str">
        <f t="shared" si="2"/>
        <v/>
      </c>
      <c r="AI2859" s="17" t="str">
        <f>IF(AG2859="","",INDEX('Quitados DUPP'!$G$1:$G$6635,AG2859))</f>
        <v/>
      </c>
      <c r="AJ2859" s="17" t="str">
        <f t="shared" si="3"/>
        <v/>
      </c>
    </row>
    <row r="2860" spans="31:36">
      <c r="AE2860" s="15" t="str">
        <f t="shared" si="0"/>
        <v/>
      </c>
      <c r="AF2860" s="15" t="str">
        <f t="shared" si="1"/>
        <v/>
      </c>
      <c r="AG2860" s="15" t="str">
        <f>IF(OR(AF2860="",AF2860="ERRO_CHAVE"),"",IFERROR(MATCH(AF2860,'Quitados DUPP'!$U$1:$U$6635,0),""))</f>
        <v/>
      </c>
      <c r="AH2860" s="15" t="str">
        <f t="shared" si="2"/>
        <v/>
      </c>
      <c r="AI2860" s="17" t="str">
        <f>IF(AG2860="","",INDEX('Quitados DUPP'!$G$1:$G$6635,AG2860))</f>
        <v/>
      </c>
      <c r="AJ2860" s="17" t="str">
        <f t="shared" si="3"/>
        <v/>
      </c>
    </row>
    <row r="2861" spans="31:36">
      <c r="AE2861" s="15" t="str">
        <f t="shared" si="0"/>
        <v/>
      </c>
      <c r="AF2861" s="15" t="str">
        <f t="shared" si="1"/>
        <v/>
      </c>
      <c r="AG2861" s="15" t="str">
        <f>IF(OR(AF2861="",AF2861="ERRO_CHAVE"),"",IFERROR(MATCH(AF2861,'Quitados DUPP'!$U$1:$U$6635,0),""))</f>
        <v/>
      </c>
      <c r="AH2861" s="15" t="str">
        <f t="shared" si="2"/>
        <v/>
      </c>
      <c r="AI2861" s="17" t="str">
        <f>IF(AG2861="","",INDEX('Quitados DUPP'!$G$1:$G$6635,AG2861))</f>
        <v/>
      </c>
      <c r="AJ2861" s="17" t="str">
        <f t="shared" si="3"/>
        <v/>
      </c>
    </row>
    <row r="2862" spans="31:36">
      <c r="AE2862" s="15" t="str">
        <f t="shared" si="0"/>
        <v/>
      </c>
      <c r="AF2862" s="15" t="str">
        <f t="shared" si="1"/>
        <v/>
      </c>
      <c r="AG2862" s="15" t="str">
        <f>IF(OR(AF2862="",AF2862="ERRO_CHAVE"),"",IFERROR(MATCH(AF2862,'Quitados DUPP'!$U$1:$U$6635,0),""))</f>
        <v/>
      </c>
      <c r="AH2862" s="15" t="str">
        <f t="shared" si="2"/>
        <v/>
      </c>
      <c r="AI2862" s="17" t="str">
        <f>IF(AG2862="","",INDEX('Quitados DUPP'!$G$1:$G$6635,AG2862))</f>
        <v/>
      </c>
      <c r="AJ2862" s="17" t="str">
        <f t="shared" si="3"/>
        <v/>
      </c>
    </row>
    <row r="2863" spans="31:36">
      <c r="AE2863" s="15" t="str">
        <f t="shared" si="0"/>
        <v/>
      </c>
      <c r="AF2863" s="15" t="str">
        <f t="shared" si="1"/>
        <v/>
      </c>
      <c r="AG2863" s="15" t="str">
        <f>IF(OR(AF2863="",AF2863="ERRO_CHAVE"),"",IFERROR(MATCH(AF2863,'Quitados DUPP'!$U$1:$U$6635,0),""))</f>
        <v/>
      </c>
      <c r="AH2863" s="15" t="str">
        <f t="shared" si="2"/>
        <v/>
      </c>
      <c r="AI2863" s="17" t="str">
        <f>IF(AG2863="","",INDEX('Quitados DUPP'!$G$1:$G$6635,AG2863))</f>
        <v/>
      </c>
      <c r="AJ2863" s="17" t="str">
        <f t="shared" si="3"/>
        <v/>
      </c>
    </row>
    <row r="2864" spans="31:36">
      <c r="AE2864" s="15" t="str">
        <f t="shared" si="0"/>
        <v/>
      </c>
      <c r="AF2864" s="15" t="str">
        <f t="shared" si="1"/>
        <v/>
      </c>
      <c r="AG2864" s="15" t="str">
        <f>IF(OR(AF2864="",AF2864="ERRO_CHAVE"),"",IFERROR(MATCH(AF2864,'Quitados DUPP'!$U$1:$U$6635,0),""))</f>
        <v/>
      </c>
      <c r="AH2864" s="15" t="str">
        <f t="shared" si="2"/>
        <v/>
      </c>
      <c r="AI2864" s="17" t="str">
        <f>IF(AG2864="","",INDEX('Quitados DUPP'!$G$1:$G$6635,AG2864))</f>
        <v/>
      </c>
      <c r="AJ2864" s="17" t="str">
        <f t="shared" si="3"/>
        <v/>
      </c>
    </row>
    <row r="2865" spans="31:36">
      <c r="AE2865" s="15" t="str">
        <f t="shared" si="0"/>
        <v/>
      </c>
      <c r="AF2865" s="15" t="str">
        <f t="shared" si="1"/>
        <v/>
      </c>
      <c r="AG2865" s="15" t="str">
        <f>IF(OR(AF2865="",AF2865="ERRO_CHAVE"),"",IFERROR(MATCH(AF2865,'Quitados DUPP'!$U$1:$U$6635,0),""))</f>
        <v/>
      </c>
      <c r="AH2865" s="15" t="str">
        <f t="shared" si="2"/>
        <v/>
      </c>
      <c r="AI2865" s="17" t="str">
        <f>IF(AG2865="","",INDEX('Quitados DUPP'!$G$1:$G$6635,AG2865))</f>
        <v/>
      </c>
      <c r="AJ2865" s="17" t="str">
        <f t="shared" si="3"/>
        <v/>
      </c>
    </row>
    <row r="2866" spans="31:36">
      <c r="AE2866" s="15" t="str">
        <f t="shared" si="0"/>
        <v/>
      </c>
      <c r="AF2866" s="15" t="str">
        <f t="shared" si="1"/>
        <v/>
      </c>
      <c r="AG2866" s="15" t="str">
        <f>IF(OR(AF2866="",AF2866="ERRO_CHAVE"),"",IFERROR(MATCH(AF2866,'Quitados DUPP'!$U$1:$U$6635,0),""))</f>
        <v/>
      </c>
      <c r="AH2866" s="15" t="str">
        <f t="shared" si="2"/>
        <v/>
      </c>
      <c r="AI2866" s="17" t="str">
        <f>IF(AG2866="","",INDEX('Quitados DUPP'!$G$1:$G$6635,AG2866))</f>
        <v/>
      </c>
      <c r="AJ2866" s="17" t="str">
        <f t="shared" si="3"/>
        <v/>
      </c>
    </row>
    <row r="2867" spans="31:36">
      <c r="AE2867" s="15" t="str">
        <f t="shared" si="0"/>
        <v/>
      </c>
      <c r="AF2867" s="15" t="str">
        <f t="shared" si="1"/>
        <v/>
      </c>
      <c r="AG2867" s="15" t="str">
        <f>IF(OR(AF2867="",AF2867="ERRO_CHAVE"),"",IFERROR(MATCH(AF2867,'Quitados DUPP'!$U$1:$U$6635,0),""))</f>
        <v/>
      </c>
      <c r="AH2867" s="15" t="str">
        <f t="shared" si="2"/>
        <v/>
      </c>
      <c r="AI2867" s="17" t="str">
        <f>IF(AG2867="","",INDEX('Quitados DUPP'!$G$1:$G$6635,AG2867))</f>
        <v/>
      </c>
      <c r="AJ2867" s="17" t="str">
        <f t="shared" si="3"/>
        <v/>
      </c>
    </row>
    <row r="2868" spans="31:36">
      <c r="AE2868" s="15" t="str">
        <f t="shared" si="0"/>
        <v/>
      </c>
      <c r="AF2868" s="15" t="str">
        <f t="shared" si="1"/>
        <v/>
      </c>
      <c r="AG2868" s="15" t="str">
        <f>IF(OR(AF2868="",AF2868="ERRO_CHAVE"),"",IFERROR(MATCH(AF2868,'Quitados DUPP'!$U$1:$U$6635,0),""))</f>
        <v/>
      </c>
      <c r="AH2868" s="15" t="str">
        <f t="shared" si="2"/>
        <v/>
      </c>
      <c r="AI2868" s="17" t="str">
        <f>IF(AG2868="","",INDEX('Quitados DUPP'!$G$1:$G$6635,AG2868))</f>
        <v/>
      </c>
      <c r="AJ2868" s="17" t="str">
        <f t="shared" si="3"/>
        <v/>
      </c>
    </row>
    <row r="2869" spans="31:36">
      <c r="AE2869" s="15" t="str">
        <f t="shared" si="0"/>
        <v/>
      </c>
      <c r="AF2869" s="15" t="str">
        <f t="shared" si="1"/>
        <v/>
      </c>
      <c r="AG2869" s="15" t="str">
        <f>IF(OR(AF2869="",AF2869="ERRO_CHAVE"),"",IFERROR(MATCH(AF2869,'Quitados DUPP'!$U$1:$U$6635,0),""))</f>
        <v/>
      </c>
      <c r="AH2869" s="15" t="str">
        <f t="shared" si="2"/>
        <v/>
      </c>
      <c r="AI2869" s="17" t="str">
        <f>IF(AG2869="","",INDEX('Quitados DUPP'!$G$1:$G$6635,AG2869))</f>
        <v/>
      </c>
      <c r="AJ2869" s="17" t="str">
        <f t="shared" si="3"/>
        <v/>
      </c>
    </row>
    <row r="2870" spans="31:36">
      <c r="AE2870" s="15" t="str">
        <f t="shared" si="0"/>
        <v/>
      </c>
      <c r="AF2870" s="15" t="str">
        <f t="shared" si="1"/>
        <v/>
      </c>
      <c r="AG2870" s="15" t="str">
        <f>IF(OR(AF2870="",AF2870="ERRO_CHAVE"),"",IFERROR(MATCH(AF2870,'Quitados DUPP'!$U$1:$U$6635,0),""))</f>
        <v/>
      </c>
      <c r="AH2870" s="15" t="str">
        <f t="shared" si="2"/>
        <v/>
      </c>
      <c r="AI2870" s="17" t="str">
        <f>IF(AG2870="","",INDEX('Quitados DUPP'!$G$1:$G$6635,AG2870))</f>
        <v/>
      </c>
      <c r="AJ2870" s="17" t="str">
        <f t="shared" si="3"/>
        <v/>
      </c>
    </row>
    <row r="2871" spans="31:36">
      <c r="AE2871" s="15" t="str">
        <f t="shared" si="0"/>
        <v/>
      </c>
      <c r="AF2871" s="15" t="str">
        <f t="shared" si="1"/>
        <v/>
      </c>
      <c r="AG2871" s="15" t="str">
        <f>IF(OR(AF2871="",AF2871="ERRO_CHAVE"),"",IFERROR(MATCH(AF2871,'Quitados DUPP'!$U$1:$U$6635,0),""))</f>
        <v/>
      </c>
      <c r="AH2871" s="15" t="str">
        <f t="shared" si="2"/>
        <v/>
      </c>
      <c r="AI2871" s="17" t="str">
        <f>IF(AG2871="","",INDEX('Quitados DUPP'!$G$1:$G$6635,AG2871))</f>
        <v/>
      </c>
      <c r="AJ2871" s="17" t="str">
        <f t="shared" si="3"/>
        <v/>
      </c>
    </row>
    <row r="2872" spans="31:36">
      <c r="AE2872" s="15" t="str">
        <f t="shared" si="0"/>
        <v/>
      </c>
      <c r="AF2872" s="15" t="str">
        <f t="shared" si="1"/>
        <v/>
      </c>
      <c r="AG2872" s="15" t="str">
        <f>IF(OR(AF2872="",AF2872="ERRO_CHAVE"),"",IFERROR(MATCH(AF2872,'Quitados DUPP'!$U$1:$U$6635,0),""))</f>
        <v/>
      </c>
      <c r="AH2872" s="15" t="str">
        <f t="shared" si="2"/>
        <v/>
      </c>
      <c r="AI2872" s="17" t="str">
        <f>IF(AG2872="","",INDEX('Quitados DUPP'!$G$1:$G$6635,AG2872))</f>
        <v/>
      </c>
      <c r="AJ2872" s="17" t="str">
        <f t="shared" si="3"/>
        <v/>
      </c>
    </row>
    <row r="2873" spans="31:36">
      <c r="AE2873" s="15" t="str">
        <f t="shared" si="0"/>
        <v/>
      </c>
      <c r="AF2873" s="15" t="str">
        <f t="shared" si="1"/>
        <v/>
      </c>
      <c r="AG2873" s="15" t="str">
        <f>IF(OR(AF2873="",AF2873="ERRO_CHAVE"),"",IFERROR(MATCH(AF2873,'Quitados DUPP'!$U$1:$U$6635,0),""))</f>
        <v/>
      </c>
      <c r="AH2873" s="15" t="str">
        <f t="shared" si="2"/>
        <v/>
      </c>
      <c r="AI2873" s="17" t="str">
        <f>IF(AG2873="","",INDEX('Quitados DUPP'!$G$1:$G$6635,AG2873))</f>
        <v/>
      </c>
      <c r="AJ2873" s="17" t="str">
        <f t="shared" si="3"/>
        <v/>
      </c>
    </row>
    <row r="2874" spans="31:36">
      <c r="AE2874" s="15" t="str">
        <f t="shared" si="0"/>
        <v/>
      </c>
      <c r="AF2874" s="15" t="str">
        <f t="shared" si="1"/>
        <v/>
      </c>
      <c r="AG2874" s="15" t="str">
        <f>IF(OR(AF2874="",AF2874="ERRO_CHAVE"),"",IFERROR(MATCH(AF2874,'Quitados DUPP'!$U$1:$U$6635,0),""))</f>
        <v/>
      </c>
      <c r="AH2874" s="15" t="str">
        <f t="shared" si="2"/>
        <v/>
      </c>
      <c r="AI2874" s="17" t="str">
        <f>IF(AG2874="","",INDEX('Quitados DUPP'!$G$1:$G$6635,AG2874))</f>
        <v/>
      </c>
      <c r="AJ2874" s="17" t="str">
        <f t="shared" si="3"/>
        <v/>
      </c>
    </row>
    <row r="2875" spans="31:36">
      <c r="AE2875" s="15" t="str">
        <f t="shared" si="0"/>
        <v/>
      </c>
      <c r="AF2875" s="15" t="str">
        <f t="shared" si="1"/>
        <v/>
      </c>
      <c r="AG2875" s="15" t="str">
        <f>IF(OR(AF2875="",AF2875="ERRO_CHAVE"),"",IFERROR(MATCH(AF2875,'Quitados DUPP'!$U$1:$U$6635,0),""))</f>
        <v/>
      </c>
      <c r="AH2875" s="15" t="str">
        <f t="shared" si="2"/>
        <v/>
      </c>
      <c r="AI2875" s="17" t="str">
        <f>IF(AG2875="","",INDEX('Quitados DUPP'!$G$1:$G$6635,AG2875))</f>
        <v/>
      </c>
      <c r="AJ2875" s="17" t="str">
        <f t="shared" si="3"/>
        <v/>
      </c>
    </row>
    <row r="2876" spans="31:36">
      <c r="AE2876" s="15" t="str">
        <f t="shared" si="0"/>
        <v/>
      </c>
      <c r="AF2876" s="15" t="str">
        <f t="shared" si="1"/>
        <v/>
      </c>
      <c r="AG2876" s="15" t="str">
        <f>IF(OR(AF2876="",AF2876="ERRO_CHAVE"),"",IFERROR(MATCH(AF2876,'Quitados DUPP'!$U$1:$U$6635,0),""))</f>
        <v/>
      </c>
      <c r="AH2876" s="15" t="str">
        <f t="shared" si="2"/>
        <v/>
      </c>
      <c r="AI2876" s="17" t="str">
        <f>IF(AG2876="","",INDEX('Quitados DUPP'!$G$1:$G$6635,AG2876))</f>
        <v/>
      </c>
      <c r="AJ2876" s="17" t="str">
        <f t="shared" si="3"/>
        <v/>
      </c>
    </row>
    <row r="2877" spans="31:36">
      <c r="AE2877" s="15" t="str">
        <f t="shared" si="0"/>
        <v/>
      </c>
      <c r="AF2877" s="15" t="str">
        <f t="shared" si="1"/>
        <v/>
      </c>
      <c r="AG2877" s="15" t="str">
        <f>IF(OR(AF2877="",AF2877="ERRO_CHAVE"),"",IFERROR(MATCH(AF2877,'Quitados DUPP'!$U$1:$U$6635,0),""))</f>
        <v/>
      </c>
      <c r="AH2877" s="15" t="str">
        <f t="shared" si="2"/>
        <v/>
      </c>
      <c r="AI2877" s="17" t="str">
        <f>IF(AG2877="","",INDEX('Quitados DUPP'!$G$1:$G$6635,AG2877))</f>
        <v/>
      </c>
      <c r="AJ2877" s="17" t="str">
        <f t="shared" si="3"/>
        <v/>
      </c>
    </row>
    <row r="2878" spans="31:36">
      <c r="AE2878" s="15" t="str">
        <f t="shared" si="0"/>
        <v/>
      </c>
      <c r="AF2878" s="15" t="str">
        <f t="shared" si="1"/>
        <v/>
      </c>
      <c r="AG2878" s="15" t="str">
        <f>IF(OR(AF2878="",AF2878="ERRO_CHAVE"),"",IFERROR(MATCH(AF2878,'Quitados DUPP'!$U$1:$U$6635,0),""))</f>
        <v/>
      </c>
      <c r="AH2878" s="15" t="str">
        <f t="shared" si="2"/>
        <v/>
      </c>
      <c r="AI2878" s="17" t="str">
        <f>IF(AG2878="","",INDEX('Quitados DUPP'!$G$1:$G$6635,AG2878))</f>
        <v/>
      </c>
      <c r="AJ2878" s="17" t="str">
        <f t="shared" si="3"/>
        <v/>
      </c>
    </row>
    <row r="2879" spans="31:36">
      <c r="AE2879" s="15" t="str">
        <f t="shared" si="0"/>
        <v/>
      </c>
      <c r="AF2879" s="15" t="str">
        <f t="shared" si="1"/>
        <v/>
      </c>
      <c r="AG2879" s="15" t="str">
        <f>IF(OR(AF2879="",AF2879="ERRO_CHAVE"),"",IFERROR(MATCH(AF2879,'Quitados DUPP'!$U$1:$U$6635,0),""))</f>
        <v/>
      </c>
      <c r="AH2879" s="15" t="str">
        <f t="shared" si="2"/>
        <v/>
      </c>
      <c r="AI2879" s="17" t="str">
        <f>IF(AG2879="","",INDEX('Quitados DUPP'!$G$1:$G$6635,AG2879))</f>
        <v/>
      </c>
      <c r="AJ2879" s="17" t="str">
        <f t="shared" si="3"/>
        <v/>
      </c>
    </row>
    <row r="2880" spans="31:36">
      <c r="AE2880" s="15" t="str">
        <f t="shared" si="0"/>
        <v/>
      </c>
      <c r="AF2880" s="15" t="str">
        <f t="shared" si="1"/>
        <v/>
      </c>
      <c r="AG2880" s="15" t="str">
        <f>IF(OR(AF2880="",AF2880="ERRO_CHAVE"),"",IFERROR(MATCH(AF2880,'Quitados DUPP'!$U$1:$U$6635,0),""))</f>
        <v/>
      </c>
      <c r="AH2880" s="15" t="str">
        <f t="shared" si="2"/>
        <v/>
      </c>
      <c r="AI2880" s="17" t="str">
        <f>IF(AG2880="","",INDEX('Quitados DUPP'!$G$1:$G$6635,AG2880))</f>
        <v/>
      </c>
      <c r="AJ2880" s="17" t="str">
        <f t="shared" si="3"/>
        <v/>
      </c>
    </row>
    <row r="2881" spans="31:36">
      <c r="AE2881" s="15" t="str">
        <f t="shared" si="0"/>
        <v/>
      </c>
      <c r="AF2881" s="15" t="str">
        <f t="shared" si="1"/>
        <v/>
      </c>
      <c r="AG2881" s="15" t="str">
        <f>IF(OR(AF2881="",AF2881="ERRO_CHAVE"),"",IFERROR(MATCH(AF2881,'Quitados DUPP'!$U$1:$U$6635,0),""))</f>
        <v/>
      </c>
      <c r="AH2881" s="15" t="str">
        <f t="shared" si="2"/>
        <v/>
      </c>
      <c r="AI2881" s="17" t="str">
        <f>IF(AG2881="","",INDEX('Quitados DUPP'!$G$1:$G$6635,AG2881))</f>
        <v/>
      </c>
      <c r="AJ2881" s="17" t="str">
        <f t="shared" si="3"/>
        <v/>
      </c>
    </row>
    <row r="2882" spans="31:36">
      <c r="AE2882" s="15" t="str">
        <f t="shared" si="0"/>
        <v/>
      </c>
      <c r="AF2882" s="15" t="str">
        <f t="shared" si="1"/>
        <v/>
      </c>
      <c r="AG2882" s="15" t="str">
        <f>IF(OR(AF2882="",AF2882="ERRO_CHAVE"),"",IFERROR(MATCH(AF2882,'Quitados DUPP'!$U$1:$U$6635,0),""))</f>
        <v/>
      </c>
      <c r="AH2882" s="15" t="str">
        <f t="shared" si="2"/>
        <v/>
      </c>
      <c r="AI2882" s="17" t="str">
        <f>IF(AG2882="","",INDEX('Quitados DUPP'!$G$1:$G$6635,AG2882))</f>
        <v/>
      </c>
      <c r="AJ2882" s="17" t="str">
        <f t="shared" si="3"/>
        <v/>
      </c>
    </row>
    <row r="2883" spans="31:36">
      <c r="AE2883" s="15" t="str">
        <f t="shared" si="0"/>
        <v/>
      </c>
      <c r="AF2883" s="15" t="str">
        <f t="shared" si="1"/>
        <v/>
      </c>
      <c r="AG2883" s="15" t="str">
        <f>IF(OR(AF2883="",AF2883="ERRO_CHAVE"),"",IFERROR(MATCH(AF2883,'Quitados DUPP'!$U$1:$U$6635,0),""))</f>
        <v/>
      </c>
      <c r="AH2883" s="15" t="str">
        <f t="shared" si="2"/>
        <v/>
      </c>
      <c r="AI2883" s="17" t="str">
        <f>IF(AG2883="","",INDEX('Quitados DUPP'!$G$1:$G$6635,AG2883))</f>
        <v/>
      </c>
      <c r="AJ2883" s="17" t="str">
        <f t="shared" si="3"/>
        <v/>
      </c>
    </row>
    <row r="2884" spans="31:36">
      <c r="AE2884" s="15" t="str">
        <f t="shared" si="0"/>
        <v/>
      </c>
      <c r="AF2884" s="15" t="str">
        <f t="shared" si="1"/>
        <v/>
      </c>
      <c r="AG2884" s="15" t="str">
        <f>IF(OR(AF2884="",AF2884="ERRO_CHAVE"),"",IFERROR(MATCH(AF2884,'Quitados DUPP'!$U$1:$U$6635,0),""))</f>
        <v/>
      </c>
      <c r="AH2884" s="15" t="str">
        <f t="shared" si="2"/>
        <v/>
      </c>
      <c r="AI2884" s="17" t="str">
        <f>IF(AG2884="","",INDEX('Quitados DUPP'!$G$1:$G$6635,AG2884))</f>
        <v/>
      </c>
      <c r="AJ2884" s="17" t="str">
        <f t="shared" si="3"/>
        <v/>
      </c>
    </row>
    <row r="2885" spans="31:36">
      <c r="AE2885" s="15" t="str">
        <f t="shared" si="0"/>
        <v/>
      </c>
      <c r="AF2885" s="15" t="str">
        <f t="shared" si="1"/>
        <v/>
      </c>
      <c r="AG2885" s="15" t="str">
        <f>IF(OR(AF2885="",AF2885="ERRO_CHAVE"),"",IFERROR(MATCH(AF2885,'Quitados DUPP'!$U$1:$U$6635,0),""))</f>
        <v/>
      </c>
      <c r="AH2885" s="15" t="str">
        <f t="shared" si="2"/>
        <v/>
      </c>
      <c r="AI2885" s="17" t="str">
        <f>IF(AG2885="","",INDEX('Quitados DUPP'!$G$1:$G$6635,AG2885))</f>
        <v/>
      </c>
      <c r="AJ2885" s="17" t="str">
        <f t="shared" si="3"/>
        <v/>
      </c>
    </row>
    <row r="2886" spans="31:36">
      <c r="AE2886" s="15" t="str">
        <f t="shared" si="0"/>
        <v/>
      </c>
      <c r="AF2886" s="15" t="str">
        <f t="shared" si="1"/>
        <v/>
      </c>
      <c r="AG2886" s="15" t="str">
        <f>IF(OR(AF2886="",AF2886="ERRO_CHAVE"),"",IFERROR(MATCH(AF2886,'Quitados DUPP'!$U$1:$U$6635,0),""))</f>
        <v/>
      </c>
      <c r="AH2886" s="15" t="str">
        <f t="shared" si="2"/>
        <v/>
      </c>
      <c r="AI2886" s="17" t="str">
        <f>IF(AG2886="","",INDEX('Quitados DUPP'!$G$1:$G$6635,AG2886))</f>
        <v/>
      </c>
      <c r="AJ2886" s="17" t="str">
        <f t="shared" si="3"/>
        <v/>
      </c>
    </row>
    <row r="2887" spans="31:36">
      <c r="AE2887" s="15" t="str">
        <f t="shared" si="0"/>
        <v/>
      </c>
      <c r="AF2887" s="15" t="str">
        <f t="shared" si="1"/>
        <v/>
      </c>
      <c r="AG2887" s="15" t="str">
        <f>IF(OR(AF2887="",AF2887="ERRO_CHAVE"),"",IFERROR(MATCH(AF2887,'Quitados DUPP'!$U$1:$U$6635,0),""))</f>
        <v/>
      </c>
      <c r="AH2887" s="15" t="str">
        <f t="shared" si="2"/>
        <v/>
      </c>
      <c r="AI2887" s="17" t="str">
        <f>IF(AG2887="","",INDEX('Quitados DUPP'!$G$1:$G$6635,AG2887))</f>
        <v/>
      </c>
      <c r="AJ2887" s="17" t="str">
        <f t="shared" si="3"/>
        <v/>
      </c>
    </row>
    <row r="2888" spans="31:36">
      <c r="AE2888" s="15" t="str">
        <f t="shared" si="0"/>
        <v/>
      </c>
      <c r="AF2888" s="15" t="str">
        <f t="shared" si="1"/>
        <v/>
      </c>
      <c r="AG2888" s="15" t="str">
        <f>IF(OR(AF2888="",AF2888="ERRO_CHAVE"),"",IFERROR(MATCH(AF2888,'Quitados DUPP'!$U$1:$U$6635,0),""))</f>
        <v/>
      </c>
      <c r="AH2888" s="15" t="str">
        <f t="shared" si="2"/>
        <v/>
      </c>
      <c r="AI2888" s="17" t="str">
        <f>IF(AG2888="","",INDEX('Quitados DUPP'!$G$1:$G$6635,AG2888))</f>
        <v/>
      </c>
      <c r="AJ2888" s="17" t="str">
        <f t="shared" si="3"/>
        <v/>
      </c>
    </row>
    <row r="2889" spans="31:36">
      <c r="AE2889" s="15" t="str">
        <f t="shared" si="0"/>
        <v/>
      </c>
      <c r="AF2889" s="15" t="str">
        <f t="shared" si="1"/>
        <v/>
      </c>
      <c r="AG2889" s="15" t="str">
        <f>IF(OR(AF2889="",AF2889="ERRO_CHAVE"),"",IFERROR(MATCH(AF2889,'Quitados DUPP'!$U$1:$U$6635,0),""))</f>
        <v/>
      </c>
      <c r="AH2889" s="15" t="str">
        <f t="shared" si="2"/>
        <v/>
      </c>
      <c r="AI2889" s="17" t="str">
        <f>IF(AG2889="","",INDEX('Quitados DUPP'!$G$1:$G$6635,AG2889))</f>
        <v/>
      </c>
      <c r="AJ2889" s="17" t="str">
        <f t="shared" si="3"/>
        <v/>
      </c>
    </row>
    <row r="2890" spans="31:36">
      <c r="AE2890" s="15" t="str">
        <f t="shared" si="0"/>
        <v/>
      </c>
      <c r="AF2890" s="15" t="str">
        <f t="shared" si="1"/>
        <v/>
      </c>
      <c r="AG2890" s="15" t="str">
        <f>IF(OR(AF2890="",AF2890="ERRO_CHAVE"),"",IFERROR(MATCH(AF2890,'Quitados DUPP'!$U$1:$U$6635,0),""))</f>
        <v/>
      </c>
      <c r="AH2890" s="15" t="str">
        <f t="shared" si="2"/>
        <v/>
      </c>
      <c r="AI2890" s="17" t="str">
        <f>IF(AG2890="","",INDEX('Quitados DUPP'!$G$1:$G$6635,AG2890))</f>
        <v/>
      </c>
      <c r="AJ2890" s="17" t="str">
        <f t="shared" si="3"/>
        <v/>
      </c>
    </row>
    <row r="2891" spans="31:36">
      <c r="AE2891" s="15" t="str">
        <f t="shared" si="0"/>
        <v/>
      </c>
      <c r="AF2891" s="15" t="str">
        <f t="shared" si="1"/>
        <v/>
      </c>
      <c r="AG2891" s="15" t="str">
        <f>IF(OR(AF2891="",AF2891="ERRO_CHAVE"),"",IFERROR(MATCH(AF2891,'Quitados DUPP'!$U$1:$U$6635,0),""))</f>
        <v/>
      </c>
      <c r="AH2891" s="15" t="str">
        <f t="shared" si="2"/>
        <v/>
      </c>
      <c r="AI2891" s="17" t="str">
        <f>IF(AG2891="","",INDEX('Quitados DUPP'!$G$1:$G$6635,AG2891))</f>
        <v/>
      </c>
      <c r="AJ2891" s="17" t="str">
        <f t="shared" si="3"/>
        <v/>
      </c>
    </row>
    <row r="2892" spans="31:36">
      <c r="AE2892" s="15" t="str">
        <f t="shared" si="0"/>
        <v/>
      </c>
      <c r="AF2892" s="15" t="str">
        <f t="shared" si="1"/>
        <v/>
      </c>
      <c r="AG2892" s="15" t="str">
        <f>IF(OR(AF2892="",AF2892="ERRO_CHAVE"),"",IFERROR(MATCH(AF2892,'Quitados DUPP'!$U$1:$U$6635,0),""))</f>
        <v/>
      </c>
      <c r="AH2892" s="15" t="str">
        <f t="shared" si="2"/>
        <v/>
      </c>
      <c r="AI2892" s="17" t="str">
        <f>IF(AG2892="","",INDEX('Quitados DUPP'!$G$1:$G$6635,AG2892))</f>
        <v/>
      </c>
      <c r="AJ2892" s="17" t="str">
        <f t="shared" si="3"/>
        <v/>
      </c>
    </row>
    <row r="2893" spans="31:36">
      <c r="AE2893" s="15" t="str">
        <f t="shared" si="0"/>
        <v/>
      </c>
      <c r="AF2893" s="15" t="str">
        <f t="shared" si="1"/>
        <v/>
      </c>
      <c r="AG2893" s="15" t="str">
        <f>IF(OR(AF2893="",AF2893="ERRO_CHAVE"),"",IFERROR(MATCH(AF2893,'Quitados DUPP'!$U$1:$U$6635,0),""))</f>
        <v/>
      </c>
      <c r="AH2893" s="15" t="str">
        <f t="shared" si="2"/>
        <v/>
      </c>
      <c r="AI2893" s="17" t="str">
        <f>IF(AG2893="","",INDEX('Quitados DUPP'!$G$1:$G$6635,AG2893))</f>
        <v/>
      </c>
      <c r="AJ2893" s="17" t="str">
        <f t="shared" si="3"/>
        <v/>
      </c>
    </row>
    <row r="2894" spans="31:36">
      <c r="AE2894" s="15" t="str">
        <f t="shared" si="0"/>
        <v/>
      </c>
      <c r="AF2894" s="15" t="str">
        <f t="shared" si="1"/>
        <v/>
      </c>
      <c r="AG2894" s="15" t="str">
        <f>IF(OR(AF2894="",AF2894="ERRO_CHAVE"),"",IFERROR(MATCH(AF2894,'Quitados DUPP'!$U$1:$U$6635,0),""))</f>
        <v/>
      </c>
      <c r="AH2894" s="15" t="str">
        <f t="shared" si="2"/>
        <v/>
      </c>
      <c r="AI2894" s="17" t="str">
        <f>IF(AG2894="","",INDEX('Quitados DUPP'!$G$1:$G$6635,AG2894))</f>
        <v/>
      </c>
      <c r="AJ2894" s="17" t="str">
        <f t="shared" si="3"/>
        <v/>
      </c>
    </row>
    <row r="2895" spans="31:36">
      <c r="AE2895" s="15" t="str">
        <f t="shared" si="0"/>
        <v/>
      </c>
      <c r="AF2895" s="15" t="str">
        <f t="shared" si="1"/>
        <v/>
      </c>
      <c r="AG2895" s="15" t="str">
        <f>IF(OR(AF2895="",AF2895="ERRO_CHAVE"),"",IFERROR(MATCH(AF2895,'Quitados DUPP'!$U$1:$U$6635,0),""))</f>
        <v/>
      </c>
      <c r="AH2895" s="15" t="str">
        <f t="shared" si="2"/>
        <v/>
      </c>
      <c r="AI2895" s="17" t="str">
        <f>IF(AG2895="","",INDEX('Quitados DUPP'!$G$1:$G$6635,AG2895))</f>
        <v/>
      </c>
      <c r="AJ2895" s="17" t="str">
        <f t="shared" si="3"/>
        <v/>
      </c>
    </row>
    <row r="2896" spans="31:36">
      <c r="AE2896" s="15" t="str">
        <f t="shared" si="0"/>
        <v/>
      </c>
      <c r="AF2896" s="15" t="str">
        <f t="shared" si="1"/>
        <v/>
      </c>
      <c r="AG2896" s="15" t="str">
        <f>IF(OR(AF2896="",AF2896="ERRO_CHAVE"),"",IFERROR(MATCH(AF2896,'Quitados DUPP'!$U$1:$U$6635,0),""))</f>
        <v/>
      </c>
      <c r="AH2896" s="15" t="str">
        <f t="shared" si="2"/>
        <v/>
      </c>
      <c r="AI2896" s="17" t="str">
        <f>IF(AG2896="","",INDEX('Quitados DUPP'!$G$1:$G$6635,AG2896))</f>
        <v/>
      </c>
      <c r="AJ2896" s="17" t="str">
        <f t="shared" si="3"/>
        <v/>
      </c>
    </row>
    <row r="2897" spans="31:36">
      <c r="AE2897" s="15" t="str">
        <f t="shared" si="0"/>
        <v/>
      </c>
      <c r="AF2897" s="15" t="str">
        <f t="shared" si="1"/>
        <v/>
      </c>
      <c r="AG2897" s="15" t="str">
        <f>IF(OR(AF2897="",AF2897="ERRO_CHAVE"),"",IFERROR(MATCH(AF2897,'Quitados DUPP'!$U$1:$U$6635,0),""))</f>
        <v/>
      </c>
      <c r="AH2897" s="15" t="str">
        <f t="shared" si="2"/>
        <v/>
      </c>
      <c r="AI2897" s="17" t="str">
        <f>IF(AG2897="","",INDEX('Quitados DUPP'!$G$1:$G$6635,AG2897))</f>
        <v/>
      </c>
      <c r="AJ2897" s="17" t="str">
        <f t="shared" si="3"/>
        <v/>
      </c>
    </row>
    <row r="2898" spans="31:36">
      <c r="AE2898" s="15" t="str">
        <f t="shared" si="0"/>
        <v/>
      </c>
      <c r="AF2898" s="15" t="str">
        <f t="shared" si="1"/>
        <v/>
      </c>
      <c r="AG2898" s="15" t="str">
        <f>IF(OR(AF2898="",AF2898="ERRO_CHAVE"),"",IFERROR(MATCH(AF2898,'Quitados DUPP'!$U$1:$U$6635,0),""))</f>
        <v/>
      </c>
      <c r="AH2898" s="15" t="str">
        <f t="shared" si="2"/>
        <v/>
      </c>
      <c r="AI2898" s="17" t="str">
        <f>IF(AG2898="","",INDEX('Quitados DUPP'!$G$1:$G$6635,AG2898))</f>
        <v/>
      </c>
      <c r="AJ2898" s="17" t="str">
        <f t="shared" si="3"/>
        <v/>
      </c>
    </row>
    <row r="2899" spans="31:36">
      <c r="AE2899" s="15" t="str">
        <f t="shared" si="0"/>
        <v/>
      </c>
      <c r="AF2899" s="15" t="str">
        <f t="shared" si="1"/>
        <v/>
      </c>
      <c r="AG2899" s="15" t="str">
        <f>IF(OR(AF2899="",AF2899="ERRO_CHAVE"),"",IFERROR(MATCH(AF2899,'Quitados DUPP'!$U$1:$U$6635,0),""))</f>
        <v/>
      </c>
      <c r="AH2899" s="15" t="str">
        <f t="shared" si="2"/>
        <v/>
      </c>
      <c r="AI2899" s="17" t="str">
        <f>IF(AG2899="","",INDEX('Quitados DUPP'!$G$1:$G$6635,AG2899))</f>
        <v/>
      </c>
      <c r="AJ2899" s="17" t="str">
        <f t="shared" si="3"/>
        <v/>
      </c>
    </row>
    <row r="2900" spans="31:36">
      <c r="AE2900" s="15" t="str">
        <f t="shared" si="0"/>
        <v/>
      </c>
      <c r="AF2900" s="15" t="str">
        <f t="shared" si="1"/>
        <v/>
      </c>
      <c r="AG2900" s="15" t="str">
        <f>IF(OR(AF2900="",AF2900="ERRO_CHAVE"),"",IFERROR(MATCH(AF2900,'Quitados DUPP'!$U$1:$U$6635,0),""))</f>
        <v/>
      </c>
      <c r="AH2900" s="15" t="str">
        <f t="shared" si="2"/>
        <v/>
      </c>
      <c r="AI2900" s="17" t="str">
        <f>IF(AG2900="","",INDEX('Quitados DUPP'!$G$1:$G$6635,AG2900))</f>
        <v/>
      </c>
      <c r="AJ2900" s="17" t="str">
        <f t="shared" si="3"/>
        <v/>
      </c>
    </row>
    <row r="2901" spans="31:36">
      <c r="AE2901" s="15" t="str">
        <f t="shared" si="0"/>
        <v/>
      </c>
      <c r="AF2901" s="15" t="str">
        <f t="shared" si="1"/>
        <v/>
      </c>
      <c r="AG2901" s="15" t="str">
        <f>IF(OR(AF2901="",AF2901="ERRO_CHAVE"),"",IFERROR(MATCH(AF2901,'Quitados DUPP'!$U$1:$U$6635,0),""))</f>
        <v/>
      </c>
      <c r="AH2901" s="15" t="str">
        <f t="shared" si="2"/>
        <v/>
      </c>
      <c r="AI2901" s="17" t="str">
        <f>IF(AG2901="","",INDEX('Quitados DUPP'!$G$1:$G$6635,AG2901))</f>
        <v/>
      </c>
      <c r="AJ2901" s="17" t="str">
        <f t="shared" si="3"/>
        <v/>
      </c>
    </row>
    <row r="2902" spans="31:36">
      <c r="AE2902" s="15" t="str">
        <f t="shared" si="0"/>
        <v/>
      </c>
      <c r="AF2902" s="15" t="str">
        <f t="shared" si="1"/>
        <v/>
      </c>
      <c r="AG2902" s="15" t="str">
        <f>IF(OR(AF2902="",AF2902="ERRO_CHAVE"),"",IFERROR(MATCH(AF2902,'Quitados DUPP'!$U$1:$U$6635,0),""))</f>
        <v/>
      </c>
      <c r="AH2902" s="15" t="str">
        <f t="shared" si="2"/>
        <v/>
      </c>
      <c r="AI2902" s="17" t="str">
        <f>IF(AG2902="","",INDEX('Quitados DUPP'!$G$1:$G$6635,AG2902))</f>
        <v/>
      </c>
      <c r="AJ2902" s="17" t="str">
        <f t="shared" si="3"/>
        <v/>
      </c>
    </row>
    <row r="2903" spans="31:36">
      <c r="AE2903" s="15" t="str">
        <f t="shared" si="0"/>
        <v/>
      </c>
      <c r="AF2903" s="15" t="str">
        <f t="shared" si="1"/>
        <v/>
      </c>
      <c r="AG2903" s="15" t="str">
        <f>IF(OR(AF2903="",AF2903="ERRO_CHAVE"),"",IFERROR(MATCH(AF2903,'Quitados DUPP'!$U$1:$U$6635,0),""))</f>
        <v/>
      </c>
      <c r="AH2903" s="15" t="str">
        <f t="shared" si="2"/>
        <v/>
      </c>
      <c r="AI2903" s="17" t="str">
        <f>IF(AG2903="","",INDEX('Quitados DUPP'!$G$1:$G$6635,AG2903))</f>
        <v/>
      </c>
      <c r="AJ2903" s="17" t="str">
        <f t="shared" si="3"/>
        <v/>
      </c>
    </row>
    <row r="2904" spans="31:36">
      <c r="AE2904" s="15" t="str">
        <f t="shared" si="0"/>
        <v/>
      </c>
      <c r="AF2904" s="15" t="str">
        <f t="shared" si="1"/>
        <v/>
      </c>
      <c r="AG2904" s="15" t="str">
        <f>IF(OR(AF2904="",AF2904="ERRO_CHAVE"),"",IFERROR(MATCH(AF2904,'Quitados DUPP'!$U$1:$U$6635,0),""))</f>
        <v/>
      </c>
      <c r="AH2904" s="15" t="str">
        <f t="shared" si="2"/>
        <v/>
      </c>
      <c r="AI2904" s="17" t="str">
        <f>IF(AG2904="","",INDEX('Quitados DUPP'!$G$1:$G$6635,AG2904))</f>
        <v/>
      </c>
      <c r="AJ2904" s="17" t="str">
        <f t="shared" si="3"/>
        <v/>
      </c>
    </row>
    <row r="2905" spans="31:36">
      <c r="AE2905" s="15" t="str">
        <f t="shared" si="0"/>
        <v/>
      </c>
      <c r="AF2905" s="15" t="str">
        <f t="shared" si="1"/>
        <v/>
      </c>
      <c r="AG2905" s="15" t="str">
        <f>IF(OR(AF2905="",AF2905="ERRO_CHAVE"),"",IFERROR(MATCH(AF2905,'Quitados DUPP'!$U$1:$U$6635,0),""))</f>
        <v/>
      </c>
      <c r="AH2905" s="15" t="str">
        <f t="shared" si="2"/>
        <v/>
      </c>
      <c r="AI2905" s="17" t="str">
        <f>IF(AG2905="","",INDEX('Quitados DUPP'!$G$1:$G$6635,AG2905))</f>
        <v/>
      </c>
      <c r="AJ2905" s="17" t="str">
        <f t="shared" si="3"/>
        <v/>
      </c>
    </row>
    <row r="2906" spans="31:36">
      <c r="AE2906" s="15" t="str">
        <f t="shared" si="0"/>
        <v/>
      </c>
      <c r="AF2906" s="15" t="str">
        <f t="shared" si="1"/>
        <v/>
      </c>
      <c r="AG2906" s="15" t="str">
        <f>IF(OR(AF2906="",AF2906="ERRO_CHAVE"),"",IFERROR(MATCH(AF2906,'Quitados DUPP'!$U$1:$U$6635,0),""))</f>
        <v/>
      </c>
      <c r="AH2906" s="15" t="str">
        <f t="shared" si="2"/>
        <v/>
      </c>
      <c r="AI2906" s="17" t="str">
        <f>IF(AG2906="","",INDEX('Quitados DUPP'!$G$1:$G$6635,AG2906))</f>
        <v/>
      </c>
      <c r="AJ2906" s="17" t="str">
        <f t="shared" si="3"/>
        <v/>
      </c>
    </row>
    <row r="2907" spans="31:36">
      <c r="AE2907" s="15" t="str">
        <f t="shared" si="0"/>
        <v/>
      </c>
      <c r="AF2907" s="15" t="str">
        <f t="shared" si="1"/>
        <v/>
      </c>
      <c r="AG2907" s="15" t="str">
        <f>IF(OR(AF2907="",AF2907="ERRO_CHAVE"),"",IFERROR(MATCH(AF2907,'Quitados DUPP'!$U$1:$U$6635,0),""))</f>
        <v/>
      </c>
      <c r="AH2907" s="15" t="str">
        <f t="shared" si="2"/>
        <v/>
      </c>
      <c r="AI2907" s="17" t="str">
        <f>IF(AG2907="","",INDEX('Quitados DUPP'!$G$1:$G$6635,AG2907))</f>
        <v/>
      </c>
      <c r="AJ2907" s="17" t="str">
        <f t="shared" si="3"/>
        <v/>
      </c>
    </row>
    <row r="2908" spans="31:36">
      <c r="AE2908" s="15" t="str">
        <f t="shared" si="0"/>
        <v/>
      </c>
      <c r="AF2908" s="15" t="str">
        <f t="shared" si="1"/>
        <v/>
      </c>
      <c r="AG2908" s="15" t="str">
        <f>IF(OR(AF2908="",AF2908="ERRO_CHAVE"),"",IFERROR(MATCH(AF2908,'Quitados DUPP'!$U$1:$U$6635,0),""))</f>
        <v/>
      </c>
      <c r="AH2908" s="15" t="str">
        <f t="shared" si="2"/>
        <v/>
      </c>
      <c r="AI2908" s="17" t="str">
        <f>IF(AG2908="","",INDEX('Quitados DUPP'!$G$1:$G$6635,AG2908))</f>
        <v/>
      </c>
      <c r="AJ2908" s="17" t="str">
        <f t="shared" si="3"/>
        <v/>
      </c>
    </row>
    <row r="2909" spans="31:36">
      <c r="AE2909" s="15" t="str">
        <f t="shared" si="0"/>
        <v/>
      </c>
      <c r="AF2909" s="15" t="str">
        <f t="shared" si="1"/>
        <v/>
      </c>
      <c r="AG2909" s="15" t="str">
        <f>IF(OR(AF2909="",AF2909="ERRO_CHAVE"),"",IFERROR(MATCH(AF2909,'Quitados DUPP'!$U$1:$U$6635,0),""))</f>
        <v/>
      </c>
      <c r="AH2909" s="15" t="str">
        <f t="shared" si="2"/>
        <v/>
      </c>
      <c r="AI2909" s="17" t="str">
        <f>IF(AG2909="","",INDEX('Quitados DUPP'!$G$1:$G$6635,AG2909))</f>
        <v/>
      </c>
      <c r="AJ2909" s="17" t="str">
        <f t="shared" si="3"/>
        <v/>
      </c>
    </row>
    <row r="2910" spans="31:36">
      <c r="AE2910" s="15" t="str">
        <f t="shared" si="0"/>
        <v/>
      </c>
      <c r="AF2910" s="15" t="str">
        <f t="shared" si="1"/>
        <v/>
      </c>
      <c r="AG2910" s="15" t="str">
        <f>IF(OR(AF2910="",AF2910="ERRO_CHAVE"),"",IFERROR(MATCH(AF2910,'Quitados DUPP'!$U$1:$U$6635,0),""))</f>
        <v/>
      </c>
      <c r="AH2910" s="15" t="str">
        <f t="shared" si="2"/>
        <v/>
      </c>
      <c r="AI2910" s="17" t="str">
        <f>IF(AG2910="","",INDEX('Quitados DUPP'!$G$1:$G$6635,AG2910))</f>
        <v/>
      </c>
      <c r="AJ2910" s="17" t="str">
        <f t="shared" si="3"/>
        <v/>
      </c>
    </row>
    <row r="2911" spans="31:36">
      <c r="AE2911" s="15" t="str">
        <f t="shared" si="0"/>
        <v/>
      </c>
      <c r="AF2911" s="15" t="str">
        <f t="shared" si="1"/>
        <v/>
      </c>
      <c r="AG2911" s="15" t="str">
        <f>IF(OR(AF2911="",AF2911="ERRO_CHAVE"),"",IFERROR(MATCH(AF2911,'Quitados DUPP'!$U$1:$U$6635,0),""))</f>
        <v/>
      </c>
      <c r="AH2911" s="15" t="str">
        <f t="shared" si="2"/>
        <v/>
      </c>
      <c r="AI2911" s="17" t="str">
        <f>IF(AG2911="","",INDEX('Quitados DUPP'!$G$1:$G$6635,AG2911))</f>
        <v/>
      </c>
      <c r="AJ2911" s="17" t="str">
        <f t="shared" si="3"/>
        <v/>
      </c>
    </row>
    <row r="2912" spans="31:36">
      <c r="AE2912" s="15" t="str">
        <f t="shared" si="0"/>
        <v/>
      </c>
      <c r="AF2912" s="15" t="str">
        <f t="shared" si="1"/>
        <v/>
      </c>
      <c r="AG2912" s="15" t="str">
        <f>IF(OR(AF2912="",AF2912="ERRO_CHAVE"),"",IFERROR(MATCH(AF2912,'Quitados DUPP'!$U$1:$U$6635,0),""))</f>
        <v/>
      </c>
      <c r="AH2912" s="15" t="str">
        <f t="shared" si="2"/>
        <v/>
      </c>
      <c r="AI2912" s="17" t="str">
        <f>IF(AG2912="","",INDEX('Quitados DUPP'!$G$1:$G$6635,AG2912))</f>
        <v/>
      </c>
      <c r="AJ2912" s="17" t="str">
        <f t="shared" si="3"/>
        <v/>
      </c>
    </row>
    <row r="2913" spans="31:36">
      <c r="AE2913" s="15" t="str">
        <f t="shared" si="0"/>
        <v/>
      </c>
      <c r="AF2913" s="15" t="str">
        <f t="shared" si="1"/>
        <v/>
      </c>
      <c r="AG2913" s="15" t="str">
        <f>IF(OR(AF2913="",AF2913="ERRO_CHAVE"),"",IFERROR(MATCH(AF2913,'Quitados DUPP'!$U$1:$U$6635,0),""))</f>
        <v/>
      </c>
      <c r="AH2913" s="15" t="str">
        <f t="shared" si="2"/>
        <v/>
      </c>
      <c r="AI2913" s="17" t="str">
        <f>IF(AG2913="","",INDEX('Quitados DUPP'!$G$1:$G$6635,AG2913))</f>
        <v/>
      </c>
      <c r="AJ2913" s="17" t="str">
        <f t="shared" si="3"/>
        <v/>
      </c>
    </row>
    <row r="2914" spans="31:36">
      <c r="AE2914" s="15" t="str">
        <f t="shared" si="0"/>
        <v/>
      </c>
      <c r="AF2914" s="15" t="str">
        <f t="shared" si="1"/>
        <v/>
      </c>
      <c r="AG2914" s="15" t="str">
        <f>IF(OR(AF2914="",AF2914="ERRO_CHAVE"),"",IFERROR(MATCH(AF2914,'Quitados DUPP'!$U$1:$U$6635,0),""))</f>
        <v/>
      </c>
      <c r="AH2914" s="15" t="str">
        <f t="shared" si="2"/>
        <v/>
      </c>
      <c r="AI2914" s="17" t="str">
        <f>IF(AG2914="","",INDEX('Quitados DUPP'!$G$1:$G$6635,AG2914))</f>
        <v/>
      </c>
      <c r="AJ2914" s="17" t="str">
        <f t="shared" si="3"/>
        <v/>
      </c>
    </row>
    <row r="2915" spans="31:36">
      <c r="AE2915" s="15" t="str">
        <f t="shared" si="0"/>
        <v/>
      </c>
      <c r="AF2915" s="15" t="str">
        <f t="shared" si="1"/>
        <v/>
      </c>
      <c r="AG2915" s="15" t="str">
        <f>IF(OR(AF2915="",AF2915="ERRO_CHAVE"),"",IFERROR(MATCH(AF2915,'Quitados DUPP'!$U$1:$U$6635,0),""))</f>
        <v/>
      </c>
      <c r="AH2915" s="15" t="str">
        <f t="shared" si="2"/>
        <v/>
      </c>
      <c r="AI2915" s="17" t="str">
        <f>IF(AG2915="","",INDEX('Quitados DUPP'!$G$1:$G$6635,AG2915))</f>
        <v/>
      </c>
      <c r="AJ2915" s="17" t="str">
        <f t="shared" si="3"/>
        <v/>
      </c>
    </row>
    <row r="2916" spans="31:36">
      <c r="AE2916" s="15" t="str">
        <f t="shared" si="0"/>
        <v/>
      </c>
      <c r="AF2916" s="15" t="str">
        <f t="shared" si="1"/>
        <v/>
      </c>
      <c r="AG2916" s="15" t="str">
        <f>IF(OR(AF2916="",AF2916="ERRO_CHAVE"),"",IFERROR(MATCH(AF2916,'Quitados DUPP'!$U$1:$U$6635,0),""))</f>
        <v/>
      </c>
      <c r="AH2916" s="15" t="str">
        <f t="shared" si="2"/>
        <v/>
      </c>
      <c r="AI2916" s="17" t="str">
        <f>IF(AG2916="","",INDEX('Quitados DUPP'!$G$1:$G$6635,AG2916))</f>
        <v/>
      </c>
      <c r="AJ2916" s="17" t="str">
        <f t="shared" si="3"/>
        <v/>
      </c>
    </row>
    <row r="2917" spans="31:36">
      <c r="AE2917" s="15" t="str">
        <f t="shared" si="0"/>
        <v/>
      </c>
      <c r="AF2917" s="15" t="str">
        <f t="shared" si="1"/>
        <v/>
      </c>
      <c r="AG2917" s="15" t="str">
        <f>IF(OR(AF2917="",AF2917="ERRO_CHAVE"),"",IFERROR(MATCH(AF2917,'Quitados DUPP'!$U$1:$U$6635,0),""))</f>
        <v/>
      </c>
      <c r="AH2917" s="15" t="str">
        <f t="shared" si="2"/>
        <v/>
      </c>
      <c r="AI2917" s="17" t="str">
        <f>IF(AG2917="","",INDEX('Quitados DUPP'!$G$1:$G$6635,AG2917))</f>
        <v/>
      </c>
      <c r="AJ2917" s="17" t="str">
        <f t="shared" si="3"/>
        <v/>
      </c>
    </row>
    <row r="2918" spans="31:36">
      <c r="AE2918" s="15" t="str">
        <f t="shared" si="0"/>
        <v/>
      </c>
      <c r="AF2918" s="15" t="str">
        <f t="shared" si="1"/>
        <v/>
      </c>
      <c r="AG2918" s="15" t="str">
        <f>IF(OR(AF2918="",AF2918="ERRO_CHAVE"),"",IFERROR(MATCH(AF2918,'Quitados DUPP'!$U$1:$U$6635,0),""))</f>
        <v/>
      </c>
      <c r="AH2918" s="15" t="str">
        <f t="shared" si="2"/>
        <v/>
      </c>
      <c r="AI2918" s="17" t="str">
        <f>IF(AG2918="","",INDEX('Quitados DUPP'!$G$1:$G$6635,AG2918))</f>
        <v/>
      </c>
      <c r="AJ2918" s="17" t="str">
        <f t="shared" si="3"/>
        <v/>
      </c>
    </row>
    <row r="2919" spans="31:36">
      <c r="AE2919" s="15" t="str">
        <f t="shared" si="0"/>
        <v/>
      </c>
      <c r="AF2919" s="15" t="str">
        <f t="shared" si="1"/>
        <v/>
      </c>
      <c r="AG2919" s="15" t="str">
        <f>IF(OR(AF2919="",AF2919="ERRO_CHAVE"),"",IFERROR(MATCH(AF2919,'Quitados DUPP'!$U$1:$U$6635,0),""))</f>
        <v/>
      </c>
      <c r="AH2919" s="15" t="str">
        <f t="shared" si="2"/>
        <v/>
      </c>
      <c r="AI2919" s="17" t="str">
        <f>IF(AG2919="","",INDEX('Quitados DUPP'!$G$1:$G$6635,AG2919))</f>
        <v/>
      </c>
      <c r="AJ2919" s="17" t="str">
        <f t="shared" si="3"/>
        <v/>
      </c>
    </row>
    <row r="2920" spans="31:36">
      <c r="AE2920" s="15" t="str">
        <f t="shared" si="0"/>
        <v/>
      </c>
      <c r="AF2920" s="15" t="str">
        <f t="shared" si="1"/>
        <v/>
      </c>
      <c r="AG2920" s="15" t="str">
        <f>IF(OR(AF2920="",AF2920="ERRO_CHAVE"),"",IFERROR(MATCH(AF2920,'Quitados DUPP'!$U$1:$U$6635,0),""))</f>
        <v/>
      </c>
      <c r="AH2920" s="15" t="str">
        <f t="shared" si="2"/>
        <v/>
      </c>
      <c r="AI2920" s="17" t="str">
        <f>IF(AG2920="","",INDEX('Quitados DUPP'!$G$1:$G$6635,AG2920))</f>
        <v/>
      </c>
      <c r="AJ2920" s="17" t="str">
        <f t="shared" si="3"/>
        <v/>
      </c>
    </row>
    <row r="2921" spans="31:36">
      <c r="AE2921" s="15" t="str">
        <f t="shared" si="0"/>
        <v/>
      </c>
      <c r="AF2921" s="15" t="str">
        <f t="shared" si="1"/>
        <v/>
      </c>
      <c r="AG2921" s="15" t="str">
        <f>IF(OR(AF2921="",AF2921="ERRO_CHAVE"),"",IFERROR(MATCH(AF2921,'Quitados DUPP'!$U$1:$U$6635,0),""))</f>
        <v/>
      </c>
      <c r="AH2921" s="15" t="str">
        <f t="shared" si="2"/>
        <v/>
      </c>
      <c r="AI2921" s="17" t="str">
        <f>IF(AG2921="","",INDEX('Quitados DUPP'!$G$1:$G$6635,AG2921))</f>
        <v/>
      </c>
      <c r="AJ2921" s="17" t="str">
        <f t="shared" si="3"/>
        <v/>
      </c>
    </row>
    <row r="2922" spans="31:36">
      <c r="AE2922" s="15" t="str">
        <f t="shared" si="0"/>
        <v/>
      </c>
      <c r="AF2922" s="15" t="str">
        <f t="shared" si="1"/>
        <v/>
      </c>
      <c r="AG2922" s="15" t="str">
        <f>IF(OR(AF2922="",AF2922="ERRO_CHAVE"),"",IFERROR(MATCH(AF2922,'Quitados DUPP'!$U$1:$U$6635,0),""))</f>
        <v/>
      </c>
      <c r="AH2922" s="15" t="str">
        <f t="shared" si="2"/>
        <v/>
      </c>
      <c r="AI2922" s="17" t="str">
        <f>IF(AG2922="","",INDEX('Quitados DUPP'!$G$1:$G$6635,AG2922))</f>
        <v/>
      </c>
      <c r="AJ2922" s="17" t="str">
        <f t="shared" si="3"/>
        <v/>
      </c>
    </row>
    <row r="2923" spans="31:36">
      <c r="AE2923" s="15" t="str">
        <f t="shared" si="0"/>
        <v/>
      </c>
      <c r="AF2923" s="15" t="str">
        <f t="shared" si="1"/>
        <v/>
      </c>
      <c r="AG2923" s="15" t="str">
        <f>IF(OR(AF2923="",AF2923="ERRO_CHAVE"),"",IFERROR(MATCH(AF2923,'Quitados DUPP'!$U$1:$U$6635,0),""))</f>
        <v/>
      </c>
      <c r="AH2923" s="15" t="str">
        <f t="shared" si="2"/>
        <v/>
      </c>
      <c r="AI2923" s="17" t="str">
        <f>IF(AG2923="","",INDEX('Quitados DUPP'!$G$1:$G$6635,AG2923))</f>
        <v/>
      </c>
      <c r="AJ2923" s="17" t="str">
        <f t="shared" si="3"/>
        <v/>
      </c>
    </row>
    <row r="2924" spans="31:36">
      <c r="AE2924" s="15" t="str">
        <f t="shared" si="0"/>
        <v/>
      </c>
      <c r="AF2924" s="15" t="str">
        <f t="shared" si="1"/>
        <v/>
      </c>
      <c r="AG2924" s="15" t="str">
        <f>IF(OR(AF2924="",AF2924="ERRO_CHAVE"),"",IFERROR(MATCH(AF2924,'Quitados DUPP'!$U$1:$U$6635,0),""))</f>
        <v/>
      </c>
      <c r="AH2924" s="15" t="str">
        <f t="shared" si="2"/>
        <v/>
      </c>
      <c r="AI2924" s="17" t="str">
        <f>IF(AG2924="","",INDEX('Quitados DUPP'!$G$1:$G$6635,AG2924))</f>
        <v/>
      </c>
      <c r="AJ2924" s="17" t="str">
        <f t="shared" si="3"/>
        <v/>
      </c>
    </row>
    <row r="2925" spans="31:36">
      <c r="AE2925" s="15" t="str">
        <f t="shared" si="0"/>
        <v/>
      </c>
      <c r="AF2925" s="15" t="str">
        <f t="shared" si="1"/>
        <v/>
      </c>
      <c r="AG2925" s="15" t="str">
        <f>IF(OR(AF2925="",AF2925="ERRO_CHAVE"),"",IFERROR(MATCH(AF2925,'Quitados DUPP'!$U$1:$U$6635,0),""))</f>
        <v/>
      </c>
      <c r="AH2925" s="15" t="str">
        <f t="shared" si="2"/>
        <v/>
      </c>
      <c r="AI2925" s="17" t="str">
        <f>IF(AG2925="","",INDEX('Quitados DUPP'!$G$1:$G$6635,AG2925))</f>
        <v/>
      </c>
      <c r="AJ2925" s="17" t="str">
        <f t="shared" si="3"/>
        <v/>
      </c>
    </row>
    <row r="2926" spans="31:36">
      <c r="AE2926" s="15" t="str">
        <f t="shared" si="0"/>
        <v/>
      </c>
      <c r="AF2926" s="15" t="str">
        <f t="shared" si="1"/>
        <v/>
      </c>
      <c r="AG2926" s="15" t="str">
        <f>IF(OR(AF2926="",AF2926="ERRO_CHAVE"),"",IFERROR(MATCH(AF2926,'Quitados DUPP'!$U$1:$U$6635,0),""))</f>
        <v/>
      </c>
      <c r="AH2926" s="15" t="str">
        <f t="shared" si="2"/>
        <v/>
      </c>
      <c r="AI2926" s="17" t="str">
        <f>IF(AG2926="","",INDEX('Quitados DUPP'!$G$1:$G$6635,AG2926))</f>
        <v/>
      </c>
      <c r="AJ2926" s="17" t="str">
        <f t="shared" si="3"/>
        <v/>
      </c>
    </row>
    <row r="2927" spans="31:36">
      <c r="AE2927" s="15" t="str">
        <f t="shared" si="0"/>
        <v/>
      </c>
      <c r="AF2927" s="15" t="str">
        <f t="shared" si="1"/>
        <v/>
      </c>
      <c r="AG2927" s="15" t="str">
        <f>IF(OR(AF2927="",AF2927="ERRO_CHAVE"),"",IFERROR(MATCH(AF2927,'Quitados DUPP'!$U$1:$U$6635,0),""))</f>
        <v/>
      </c>
      <c r="AH2927" s="15" t="str">
        <f t="shared" si="2"/>
        <v/>
      </c>
      <c r="AI2927" s="17" t="str">
        <f>IF(AG2927="","",INDEX('Quitados DUPP'!$G$1:$G$6635,AG2927))</f>
        <v/>
      </c>
      <c r="AJ2927" s="17" t="str">
        <f t="shared" si="3"/>
        <v/>
      </c>
    </row>
    <row r="2928" spans="31:36">
      <c r="AE2928" s="15" t="str">
        <f t="shared" si="0"/>
        <v/>
      </c>
      <c r="AF2928" s="15" t="str">
        <f t="shared" si="1"/>
        <v/>
      </c>
      <c r="AG2928" s="15" t="str">
        <f>IF(OR(AF2928="",AF2928="ERRO_CHAVE"),"",IFERROR(MATCH(AF2928,'Quitados DUPP'!$U$1:$U$6635,0),""))</f>
        <v/>
      </c>
      <c r="AH2928" s="15" t="str">
        <f t="shared" si="2"/>
        <v/>
      </c>
      <c r="AI2928" s="17" t="str">
        <f>IF(AG2928="","",INDEX('Quitados DUPP'!$G$1:$G$6635,AG2928))</f>
        <v/>
      </c>
      <c r="AJ2928" s="17" t="str">
        <f t="shared" si="3"/>
        <v/>
      </c>
    </row>
    <row r="2929" spans="31:36">
      <c r="AE2929" s="15" t="str">
        <f t="shared" si="0"/>
        <v/>
      </c>
      <c r="AF2929" s="15" t="str">
        <f t="shared" si="1"/>
        <v/>
      </c>
      <c r="AG2929" s="15" t="str">
        <f>IF(OR(AF2929="",AF2929="ERRO_CHAVE"),"",IFERROR(MATCH(AF2929,'Quitados DUPP'!$U$1:$U$6635,0),""))</f>
        <v/>
      </c>
      <c r="AH2929" s="15" t="str">
        <f t="shared" si="2"/>
        <v/>
      </c>
      <c r="AI2929" s="17" t="str">
        <f>IF(AG2929="","",INDEX('Quitados DUPP'!$G$1:$G$6635,AG2929))</f>
        <v/>
      </c>
      <c r="AJ2929" s="17" t="str">
        <f t="shared" si="3"/>
        <v/>
      </c>
    </row>
    <row r="2930" spans="31:36">
      <c r="AE2930" s="15" t="str">
        <f t="shared" si="0"/>
        <v/>
      </c>
      <c r="AF2930" s="15" t="str">
        <f t="shared" si="1"/>
        <v/>
      </c>
      <c r="AG2930" s="15" t="str">
        <f>IF(OR(AF2930="",AF2930="ERRO_CHAVE"),"",IFERROR(MATCH(AF2930,'Quitados DUPP'!$U$1:$U$6635,0),""))</f>
        <v/>
      </c>
      <c r="AH2930" s="15" t="str">
        <f t="shared" si="2"/>
        <v/>
      </c>
      <c r="AI2930" s="17" t="str">
        <f>IF(AG2930="","",INDEX('Quitados DUPP'!$G$1:$G$6635,AG2930))</f>
        <v/>
      </c>
      <c r="AJ2930" s="17" t="str">
        <f t="shared" si="3"/>
        <v/>
      </c>
    </row>
    <row r="2931" spans="31:36">
      <c r="AE2931" s="15" t="str">
        <f t="shared" si="0"/>
        <v/>
      </c>
      <c r="AF2931" s="15" t="str">
        <f t="shared" si="1"/>
        <v/>
      </c>
      <c r="AG2931" s="15" t="str">
        <f>IF(OR(AF2931="",AF2931="ERRO_CHAVE"),"",IFERROR(MATCH(AF2931,'Quitados DUPP'!$U$1:$U$6635,0),""))</f>
        <v/>
      </c>
      <c r="AH2931" s="15" t="str">
        <f t="shared" si="2"/>
        <v/>
      </c>
      <c r="AI2931" s="17" t="str">
        <f>IF(AG2931="","",INDEX('Quitados DUPP'!$G$1:$G$6635,AG2931))</f>
        <v/>
      </c>
      <c r="AJ2931" s="17" t="str">
        <f t="shared" si="3"/>
        <v/>
      </c>
    </row>
    <row r="2932" spans="31:36">
      <c r="AE2932" s="15" t="str">
        <f t="shared" si="0"/>
        <v/>
      </c>
      <c r="AF2932" s="15" t="str">
        <f t="shared" si="1"/>
        <v/>
      </c>
      <c r="AG2932" s="15" t="str">
        <f>IF(OR(AF2932="",AF2932="ERRO_CHAVE"),"",IFERROR(MATCH(AF2932,'Quitados DUPP'!$U$1:$U$6635,0),""))</f>
        <v/>
      </c>
      <c r="AH2932" s="15" t="str">
        <f t="shared" si="2"/>
        <v/>
      </c>
      <c r="AI2932" s="17" t="str">
        <f>IF(AG2932="","",INDEX('Quitados DUPP'!$G$1:$G$6635,AG2932))</f>
        <v/>
      </c>
      <c r="AJ2932" s="17" t="str">
        <f t="shared" si="3"/>
        <v/>
      </c>
    </row>
    <row r="2933" spans="31:36">
      <c r="AE2933" s="15" t="str">
        <f t="shared" si="0"/>
        <v/>
      </c>
      <c r="AF2933" s="15" t="str">
        <f t="shared" si="1"/>
        <v/>
      </c>
      <c r="AG2933" s="15" t="str">
        <f>IF(OR(AF2933="",AF2933="ERRO_CHAVE"),"",IFERROR(MATCH(AF2933,'Quitados DUPP'!$U$1:$U$6635,0),""))</f>
        <v/>
      </c>
      <c r="AH2933" s="15" t="str">
        <f t="shared" si="2"/>
        <v/>
      </c>
      <c r="AI2933" s="17" t="str">
        <f>IF(AG2933="","",INDEX('Quitados DUPP'!$G$1:$G$6635,AG2933))</f>
        <v/>
      </c>
      <c r="AJ2933" s="17" t="str">
        <f t="shared" si="3"/>
        <v/>
      </c>
    </row>
    <row r="2934" spans="31:36">
      <c r="AE2934" s="15" t="str">
        <f t="shared" si="0"/>
        <v/>
      </c>
      <c r="AF2934" s="15" t="str">
        <f t="shared" si="1"/>
        <v/>
      </c>
      <c r="AG2934" s="15" t="str">
        <f>IF(OR(AF2934="",AF2934="ERRO_CHAVE"),"",IFERROR(MATCH(AF2934,'Quitados DUPP'!$U$1:$U$6635,0),""))</f>
        <v/>
      </c>
      <c r="AH2934" s="15" t="str">
        <f t="shared" si="2"/>
        <v/>
      </c>
      <c r="AI2934" s="17" t="str">
        <f>IF(AG2934="","",INDEX('Quitados DUPP'!$G$1:$G$6635,AG2934))</f>
        <v/>
      </c>
      <c r="AJ2934" s="17" t="str">
        <f t="shared" si="3"/>
        <v/>
      </c>
    </row>
    <row r="2935" spans="31:36">
      <c r="AE2935" s="15" t="str">
        <f t="shared" si="0"/>
        <v/>
      </c>
      <c r="AF2935" s="15" t="str">
        <f t="shared" si="1"/>
        <v/>
      </c>
      <c r="AG2935" s="15" t="str">
        <f>IF(OR(AF2935="",AF2935="ERRO_CHAVE"),"",IFERROR(MATCH(AF2935,'Quitados DUPP'!$U$1:$U$6635,0),""))</f>
        <v/>
      </c>
      <c r="AH2935" s="15" t="str">
        <f t="shared" si="2"/>
        <v/>
      </c>
      <c r="AI2935" s="17" t="str">
        <f>IF(AG2935="","",INDEX('Quitados DUPP'!$G$1:$G$6635,AG2935))</f>
        <v/>
      </c>
      <c r="AJ2935" s="17" t="str">
        <f t="shared" si="3"/>
        <v/>
      </c>
    </row>
    <row r="2936" spans="31:36">
      <c r="AE2936" s="15" t="str">
        <f t="shared" si="0"/>
        <v/>
      </c>
      <c r="AF2936" s="15" t="str">
        <f t="shared" si="1"/>
        <v/>
      </c>
      <c r="AG2936" s="15" t="str">
        <f>IF(OR(AF2936="",AF2936="ERRO_CHAVE"),"",IFERROR(MATCH(AF2936,'Quitados DUPP'!$U$1:$U$6635,0),""))</f>
        <v/>
      </c>
      <c r="AH2936" s="15" t="str">
        <f t="shared" si="2"/>
        <v/>
      </c>
      <c r="AI2936" s="17" t="str">
        <f>IF(AG2936="","",INDEX('Quitados DUPP'!$G$1:$G$6635,AG2936))</f>
        <v/>
      </c>
      <c r="AJ2936" s="17" t="str">
        <f t="shared" si="3"/>
        <v/>
      </c>
    </row>
    <row r="2937" spans="31:36">
      <c r="AE2937" s="15" t="str">
        <f t="shared" si="0"/>
        <v/>
      </c>
      <c r="AF2937" s="15" t="str">
        <f t="shared" si="1"/>
        <v/>
      </c>
      <c r="AG2937" s="15" t="str">
        <f>IF(OR(AF2937="",AF2937="ERRO_CHAVE"),"",IFERROR(MATCH(AF2937,'Quitados DUPP'!$U$1:$U$6635,0),""))</f>
        <v/>
      </c>
      <c r="AH2937" s="15" t="str">
        <f t="shared" si="2"/>
        <v/>
      </c>
      <c r="AI2937" s="17" t="str">
        <f>IF(AG2937="","",INDEX('Quitados DUPP'!$G$1:$G$6635,AG2937))</f>
        <v/>
      </c>
      <c r="AJ2937" s="17" t="str">
        <f t="shared" si="3"/>
        <v/>
      </c>
    </row>
    <row r="2938" spans="31:36">
      <c r="AE2938" s="15" t="str">
        <f t="shared" si="0"/>
        <v/>
      </c>
      <c r="AF2938" s="15" t="str">
        <f t="shared" si="1"/>
        <v/>
      </c>
      <c r="AG2938" s="15" t="str">
        <f>IF(OR(AF2938="",AF2938="ERRO_CHAVE"),"",IFERROR(MATCH(AF2938,'Quitados DUPP'!$U$1:$U$6635,0),""))</f>
        <v/>
      </c>
      <c r="AH2938" s="15" t="str">
        <f t="shared" si="2"/>
        <v/>
      </c>
      <c r="AI2938" s="17" t="str">
        <f>IF(AG2938="","",INDEX('Quitados DUPP'!$G$1:$G$6635,AG2938))</f>
        <v/>
      </c>
      <c r="AJ2938" s="17" t="str">
        <f t="shared" si="3"/>
        <v/>
      </c>
    </row>
    <row r="2939" spans="31:36">
      <c r="AE2939" s="15" t="str">
        <f t="shared" si="0"/>
        <v/>
      </c>
      <c r="AF2939" s="15" t="str">
        <f t="shared" si="1"/>
        <v/>
      </c>
      <c r="AG2939" s="15" t="str">
        <f>IF(OR(AF2939="",AF2939="ERRO_CHAVE"),"",IFERROR(MATCH(AF2939,'Quitados DUPP'!$U$1:$U$6635,0),""))</f>
        <v/>
      </c>
      <c r="AH2939" s="15" t="str">
        <f t="shared" si="2"/>
        <v/>
      </c>
      <c r="AI2939" s="17" t="str">
        <f>IF(AG2939="","",INDEX('Quitados DUPP'!$G$1:$G$6635,AG2939))</f>
        <v/>
      </c>
      <c r="AJ2939" s="17" t="str">
        <f t="shared" si="3"/>
        <v/>
      </c>
    </row>
    <row r="2940" spans="31:36">
      <c r="AE2940" s="15" t="str">
        <f t="shared" si="0"/>
        <v/>
      </c>
      <c r="AF2940" s="15" t="str">
        <f t="shared" si="1"/>
        <v/>
      </c>
      <c r="AG2940" s="15" t="str">
        <f>IF(OR(AF2940="",AF2940="ERRO_CHAVE"),"",IFERROR(MATCH(AF2940,'Quitados DUPP'!$U$1:$U$6635,0),""))</f>
        <v/>
      </c>
      <c r="AH2940" s="15" t="str">
        <f t="shared" si="2"/>
        <v/>
      </c>
      <c r="AI2940" s="17" t="str">
        <f>IF(AG2940="","",INDEX('Quitados DUPP'!$G$1:$G$6635,AG2940))</f>
        <v/>
      </c>
      <c r="AJ2940" s="17" t="str">
        <f t="shared" si="3"/>
        <v/>
      </c>
    </row>
    <row r="2941" spans="31:36">
      <c r="AE2941" s="15" t="str">
        <f t="shared" si="0"/>
        <v/>
      </c>
      <c r="AF2941" s="15" t="str">
        <f t="shared" si="1"/>
        <v/>
      </c>
      <c r="AG2941" s="15" t="str">
        <f>IF(OR(AF2941="",AF2941="ERRO_CHAVE"),"",IFERROR(MATCH(AF2941,'Quitados DUPP'!$U$1:$U$6635,0),""))</f>
        <v/>
      </c>
      <c r="AH2941" s="15" t="str">
        <f t="shared" si="2"/>
        <v/>
      </c>
      <c r="AI2941" s="17" t="str">
        <f>IF(AG2941="","",INDEX('Quitados DUPP'!$G$1:$G$6635,AG2941))</f>
        <v/>
      </c>
      <c r="AJ2941" s="17" t="str">
        <f t="shared" si="3"/>
        <v/>
      </c>
    </row>
    <row r="2942" spans="31:36">
      <c r="AE2942" s="15" t="str">
        <f t="shared" si="0"/>
        <v/>
      </c>
      <c r="AF2942" s="15" t="str">
        <f t="shared" si="1"/>
        <v/>
      </c>
      <c r="AG2942" s="15" t="str">
        <f>IF(OR(AF2942="",AF2942="ERRO_CHAVE"),"",IFERROR(MATCH(AF2942,'Quitados DUPP'!$U$1:$U$6635,0),""))</f>
        <v/>
      </c>
      <c r="AH2942" s="15" t="str">
        <f t="shared" si="2"/>
        <v/>
      </c>
      <c r="AI2942" s="17" t="str">
        <f>IF(AG2942="","",INDEX('Quitados DUPP'!$G$1:$G$6635,AG2942))</f>
        <v/>
      </c>
      <c r="AJ2942" s="17" t="str">
        <f t="shared" si="3"/>
        <v/>
      </c>
    </row>
    <row r="2943" spans="31:36">
      <c r="AE2943" s="15" t="str">
        <f t="shared" si="0"/>
        <v/>
      </c>
      <c r="AF2943" s="15" t="str">
        <f t="shared" si="1"/>
        <v/>
      </c>
      <c r="AG2943" s="15" t="str">
        <f>IF(OR(AF2943="",AF2943="ERRO_CHAVE"),"",IFERROR(MATCH(AF2943,'Quitados DUPP'!$U$1:$U$6635,0),""))</f>
        <v/>
      </c>
      <c r="AH2943" s="15" t="str">
        <f t="shared" si="2"/>
        <v/>
      </c>
      <c r="AI2943" s="17" t="str">
        <f>IF(AG2943="","",INDEX('Quitados DUPP'!$G$1:$G$6635,AG2943))</f>
        <v/>
      </c>
      <c r="AJ2943" s="17" t="str">
        <f t="shared" si="3"/>
        <v/>
      </c>
    </row>
    <row r="2944" spans="31:36">
      <c r="AE2944" s="15" t="str">
        <f t="shared" si="0"/>
        <v/>
      </c>
      <c r="AF2944" s="15" t="str">
        <f t="shared" si="1"/>
        <v/>
      </c>
      <c r="AG2944" s="15" t="str">
        <f>IF(OR(AF2944="",AF2944="ERRO_CHAVE"),"",IFERROR(MATCH(AF2944,'Quitados DUPP'!$U$1:$U$6635,0),""))</f>
        <v/>
      </c>
      <c r="AH2944" s="15" t="str">
        <f t="shared" si="2"/>
        <v/>
      </c>
      <c r="AI2944" s="17" t="str">
        <f>IF(AG2944="","",INDEX('Quitados DUPP'!$G$1:$G$6635,AG2944))</f>
        <v/>
      </c>
      <c r="AJ2944" s="17" t="str">
        <f t="shared" si="3"/>
        <v/>
      </c>
    </row>
    <row r="2945" spans="31:36">
      <c r="AE2945" s="15" t="str">
        <f t="shared" si="0"/>
        <v/>
      </c>
      <c r="AF2945" s="15" t="str">
        <f t="shared" si="1"/>
        <v/>
      </c>
      <c r="AG2945" s="15" t="str">
        <f>IF(OR(AF2945="",AF2945="ERRO_CHAVE"),"",IFERROR(MATCH(AF2945,'Quitados DUPP'!$U$1:$U$6635,0),""))</f>
        <v/>
      </c>
      <c r="AH2945" s="15" t="str">
        <f t="shared" si="2"/>
        <v/>
      </c>
      <c r="AI2945" s="17" t="str">
        <f>IF(AG2945="","",INDEX('Quitados DUPP'!$G$1:$G$6635,AG2945))</f>
        <v/>
      </c>
      <c r="AJ2945" s="17" t="str">
        <f t="shared" si="3"/>
        <v/>
      </c>
    </row>
    <row r="2946" spans="31:36">
      <c r="AE2946" s="15" t="str">
        <f t="shared" si="0"/>
        <v/>
      </c>
      <c r="AF2946" s="15" t="str">
        <f t="shared" si="1"/>
        <v/>
      </c>
      <c r="AG2946" s="15" t="str">
        <f>IF(OR(AF2946="",AF2946="ERRO_CHAVE"),"",IFERROR(MATCH(AF2946,'Quitados DUPP'!$U$1:$U$6635,0),""))</f>
        <v/>
      </c>
      <c r="AH2946" s="15" t="str">
        <f t="shared" si="2"/>
        <v/>
      </c>
      <c r="AI2946" s="17" t="str">
        <f>IF(AG2946="","",INDEX('Quitados DUPP'!$G$1:$G$6635,AG2946))</f>
        <v/>
      </c>
      <c r="AJ2946" s="17" t="str">
        <f t="shared" si="3"/>
        <v/>
      </c>
    </row>
    <row r="2947" spans="31:36">
      <c r="AE2947" s="15" t="str">
        <f t="shared" si="0"/>
        <v/>
      </c>
      <c r="AF2947" s="15" t="str">
        <f t="shared" si="1"/>
        <v/>
      </c>
      <c r="AG2947" s="15" t="str">
        <f>IF(OR(AF2947="",AF2947="ERRO_CHAVE"),"",IFERROR(MATCH(AF2947,'Quitados DUPP'!$U$1:$U$6635,0),""))</f>
        <v/>
      </c>
      <c r="AH2947" s="15" t="str">
        <f t="shared" si="2"/>
        <v/>
      </c>
      <c r="AI2947" s="17" t="str">
        <f>IF(AG2947="","",INDEX('Quitados DUPP'!$G$1:$G$6635,AG2947))</f>
        <v/>
      </c>
      <c r="AJ2947" s="17" t="str">
        <f t="shared" si="3"/>
        <v/>
      </c>
    </row>
    <row r="2948" spans="31:36">
      <c r="AE2948" s="15" t="str">
        <f t="shared" si="0"/>
        <v/>
      </c>
      <c r="AF2948" s="15" t="str">
        <f t="shared" si="1"/>
        <v/>
      </c>
      <c r="AG2948" s="15" t="str">
        <f>IF(OR(AF2948="",AF2948="ERRO_CHAVE"),"",IFERROR(MATCH(AF2948,'Quitados DUPP'!$U$1:$U$6635,0),""))</f>
        <v/>
      </c>
      <c r="AH2948" s="15" t="str">
        <f t="shared" si="2"/>
        <v/>
      </c>
      <c r="AI2948" s="17" t="str">
        <f>IF(AG2948="","",INDEX('Quitados DUPP'!$G$1:$G$6635,AG2948))</f>
        <v/>
      </c>
      <c r="AJ2948" s="17" t="str">
        <f t="shared" si="3"/>
        <v/>
      </c>
    </row>
    <row r="2949" spans="31:36">
      <c r="AE2949" s="15" t="str">
        <f t="shared" si="0"/>
        <v/>
      </c>
      <c r="AF2949" s="15" t="str">
        <f t="shared" si="1"/>
        <v/>
      </c>
      <c r="AG2949" s="15" t="str">
        <f>IF(OR(AF2949="",AF2949="ERRO_CHAVE"),"",IFERROR(MATCH(AF2949,'Quitados DUPP'!$U$1:$U$6635,0),""))</f>
        <v/>
      </c>
      <c r="AH2949" s="15" t="str">
        <f t="shared" si="2"/>
        <v/>
      </c>
      <c r="AI2949" s="17" t="str">
        <f>IF(AG2949="","",INDEX('Quitados DUPP'!$G$1:$G$6635,AG2949))</f>
        <v/>
      </c>
      <c r="AJ2949" s="17" t="str">
        <f t="shared" si="3"/>
        <v/>
      </c>
    </row>
    <row r="2950" spans="31:36">
      <c r="AE2950" s="15" t="str">
        <f t="shared" si="0"/>
        <v/>
      </c>
      <c r="AF2950" s="15" t="str">
        <f t="shared" si="1"/>
        <v/>
      </c>
      <c r="AG2950" s="15" t="str">
        <f>IF(OR(AF2950="",AF2950="ERRO_CHAVE"),"",IFERROR(MATCH(AF2950,'Quitados DUPP'!$U$1:$U$6635,0),""))</f>
        <v/>
      </c>
      <c r="AH2950" s="15" t="str">
        <f t="shared" si="2"/>
        <v/>
      </c>
      <c r="AI2950" s="17" t="str">
        <f>IF(AG2950="","",INDEX('Quitados DUPP'!$G$1:$G$6635,AG2950))</f>
        <v/>
      </c>
      <c r="AJ2950" s="17" t="str">
        <f t="shared" si="3"/>
        <v/>
      </c>
    </row>
    <row r="2951" spans="31:36">
      <c r="AE2951" s="15" t="str">
        <f t="shared" si="0"/>
        <v/>
      </c>
      <c r="AF2951" s="15" t="str">
        <f t="shared" si="1"/>
        <v/>
      </c>
      <c r="AG2951" s="15" t="str">
        <f>IF(OR(AF2951="",AF2951="ERRO_CHAVE"),"",IFERROR(MATCH(AF2951,'Quitados DUPP'!$U$1:$U$6635,0),""))</f>
        <v/>
      </c>
      <c r="AH2951" s="15" t="str">
        <f t="shared" si="2"/>
        <v/>
      </c>
      <c r="AI2951" s="17" t="str">
        <f>IF(AG2951="","",INDEX('Quitados DUPP'!$G$1:$G$6635,AG2951))</f>
        <v/>
      </c>
      <c r="AJ2951" s="17" t="str">
        <f t="shared" si="3"/>
        <v/>
      </c>
    </row>
    <row r="2952" spans="31:36">
      <c r="AE2952" s="15" t="str">
        <f t="shared" si="0"/>
        <v/>
      </c>
      <c r="AF2952" s="15" t="str">
        <f t="shared" si="1"/>
        <v/>
      </c>
      <c r="AG2952" s="15" t="str">
        <f>IF(OR(AF2952="",AF2952="ERRO_CHAVE"),"",IFERROR(MATCH(AF2952,'Quitados DUPP'!$U$1:$U$6635,0),""))</f>
        <v/>
      </c>
      <c r="AH2952" s="15" t="str">
        <f t="shared" si="2"/>
        <v/>
      </c>
      <c r="AI2952" s="17" t="str">
        <f>IF(AG2952="","",INDEX('Quitados DUPP'!$G$1:$G$6635,AG2952))</f>
        <v/>
      </c>
      <c r="AJ2952" s="17" t="str">
        <f t="shared" si="3"/>
        <v/>
      </c>
    </row>
    <row r="2953" spans="31:36">
      <c r="AE2953" s="15" t="str">
        <f t="shared" si="0"/>
        <v/>
      </c>
      <c r="AF2953" s="15" t="str">
        <f t="shared" si="1"/>
        <v/>
      </c>
      <c r="AG2953" s="15" t="str">
        <f>IF(OR(AF2953="",AF2953="ERRO_CHAVE"),"",IFERROR(MATCH(AF2953,'Quitados DUPP'!$U$1:$U$6635,0),""))</f>
        <v/>
      </c>
      <c r="AH2953" s="15" t="str">
        <f t="shared" si="2"/>
        <v/>
      </c>
      <c r="AI2953" s="17" t="str">
        <f>IF(AG2953="","",INDEX('Quitados DUPP'!$G$1:$G$6635,AG2953))</f>
        <v/>
      </c>
      <c r="AJ2953" s="17" t="str">
        <f t="shared" si="3"/>
        <v/>
      </c>
    </row>
    <row r="2954" spans="31:36">
      <c r="AE2954" s="15" t="str">
        <f t="shared" si="0"/>
        <v/>
      </c>
      <c r="AF2954" s="15" t="str">
        <f t="shared" si="1"/>
        <v/>
      </c>
      <c r="AG2954" s="15" t="str">
        <f>IF(OR(AF2954="",AF2954="ERRO_CHAVE"),"",IFERROR(MATCH(AF2954,'Quitados DUPP'!$U$1:$U$6635,0),""))</f>
        <v/>
      </c>
      <c r="AH2954" s="15" t="str">
        <f t="shared" si="2"/>
        <v/>
      </c>
      <c r="AI2954" s="17" t="str">
        <f>IF(AG2954="","",INDEX('Quitados DUPP'!$G$1:$G$6635,AG2954))</f>
        <v/>
      </c>
      <c r="AJ2954" s="17" t="str">
        <f t="shared" si="3"/>
        <v/>
      </c>
    </row>
    <row r="2955" spans="31:36">
      <c r="AE2955" s="15" t="str">
        <f t="shared" si="0"/>
        <v/>
      </c>
      <c r="AF2955" s="15" t="str">
        <f t="shared" si="1"/>
        <v/>
      </c>
      <c r="AG2955" s="15" t="str">
        <f>IF(OR(AF2955="",AF2955="ERRO_CHAVE"),"",IFERROR(MATCH(AF2955,'Quitados DUPP'!$U$1:$U$6635,0),""))</f>
        <v/>
      </c>
      <c r="AH2955" s="15" t="str">
        <f t="shared" si="2"/>
        <v/>
      </c>
      <c r="AI2955" s="17" t="str">
        <f>IF(AG2955="","",INDEX('Quitados DUPP'!$G$1:$G$6635,AG2955))</f>
        <v/>
      </c>
      <c r="AJ2955" s="17" t="str">
        <f t="shared" si="3"/>
        <v/>
      </c>
    </row>
    <row r="2956" spans="31:36">
      <c r="AE2956" s="15" t="str">
        <f t="shared" si="0"/>
        <v/>
      </c>
      <c r="AF2956" s="15" t="str">
        <f t="shared" si="1"/>
        <v/>
      </c>
      <c r="AG2956" s="15" t="str">
        <f>IF(OR(AF2956="",AF2956="ERRO_CHAVE"),"",IFERROR(MATCH(AF2956,'Quitados DUPP'!$U$1:$U$6635,0),""))</f>
        <v/>
      </c>
      <c r="AH2956" s="15" t="str">
        <f t="shared" si="2"/>
        <v/>
      </c>
      <c r="AI2956" s="17" t="str">
        <f>IF(AG2956="","",INDEX('Quitados DUPP'!$G$1:$G$6635,AG2956))</f>
        <v/>
      </c>
      <c r="AJ2956" s="17" t="str">
        <f t="shared" si="3"/>
        <v/>
      </c>
    </row>
    <row r="2957" spans="31:36">
      <c r="AE2957" s="15" t="str">
        <f t="shared" si="0"/>
        <v/>
      </c>
      <c r="AF2957" s="15" t="str">
        <f t="shared" si="1"/>
        <v/>
      </c>
      <c r="AG2957" s="15" t="str">
        <f>IF(OR(AF2957="",AF2957="ERRO_CHAVE"),"",IFERROR(MATCH(AF2957,'Quitados DUPP'!$U$1:$U$6635,0),""))</f>
        <v/>
      </c>
      <c r="AH2957" s="15" t="str">
        <f t="shared" si="2"/>
        <v/>
      </c>
      <c r="AI2957" s="17" t="str">
        <f>IF(AG2957="","",INDEX('Quitados DUPP'!$G$1:$G$6635,AG2957))</f>
        <v/>
      </c>
      <c r="AJ2957" s="17" t="str">
        <f t="shared" si="3"/>
        <v/>
      </c>
    </row>
    <row r="2958" spans="31:36">
      <c r="AE2958" s="15" t="str">
        <f t="shared" si="0"/>
        <v/>
      </c>
      <c r="AF2958" s="15" t="str">
        <f t="shared" si="1"/>
        <v/>
      </c>
      <c r="AG2958" s="15" t="str">
        <f>IF(OR(AF2958="",AF2958="ERRO_CHAVE"),"",IFERROR(MATCH(AF2958,'Quitados DUPP'!$U$1:$U$6635,0),""))</f>
        <v/>
      </c>
      <c r="AH2958" s="15" t="str">
        <f t="shared" si="2"/>
        <v/>
      </c>
      <c r="AI2958" s="17" t="str">
        <f>IF(AG2958="","",INDEX('Quitados DUPP'!$G$1:$G$6635,AG2958))</f>
        <v/>
      </c>
      <c r="AJ2958" s="17" t="str">
        <f t="shared" si="3"/>
        <v/>
      </c>
    </row>
    <row r="2959" spans="31:36">
      <c r="AE2959" s="15" t="str">
        <f t="shared" si="0"/>
        <v/>
      </c>
      <c r="AF2959" s="15" t="str">
        <f t="shared" si="1"/>
        <v/>
      </c>
      <c r="AG2959" s="15" t="str">
        <f>IF(OR(AF2959="",AF2959="ERRO_CHAVE"),"",IFERROR(MATCH(AF2959,'Quitados DUPP'!$U$1:$U$6635,0),""))</f>
        <v/>
      </c>
      <c r="AH2959" s="15" t="str">
        <f t="shared" si="2"/>
        <v/>
      </c>
      <c r="AI2959" s="17" t="str">
        <f>IF(AG2959="","",INDEX('Quitados DUPP'!$G$1:$G$6635,AG2959))</f>
        <v/>
      </c>
      <c r="AJ2959" s="17" t="str">
        <f t="shared" si="3"/>
        <v/>
      </c>
    </row>
    <row r="2960" spans="31:36">
      <c r="AE2960" s="15" t="str">
        <f t="shared" si="0"/>
        <v/>
      </c>
      <c r="AF2960" s="15" t="str">
        <f t="shared" si="1"/>
        <v/>
      </c>
      <c r="AG2960" s="15" t="str">
        <f>IF(OR(AF2960="",AF2960="ERRO_CHAVE"),"",IFERROR(MATCH(AF2960,'Quitados DUPP'!$U$1:$U$6635,0),""))</f>
        <v/>
      </c>
      <c r="AH2960" s="15" t="str">
        <f t="shared" si="2"/>
        <v/>
      </c>
      <c r="AI2960" s="17" t="str">
        <f>IF(AG2960="","",INDEX('Quitados DUPP'!$G$1:$G$6635,AG2960))</f>
        <v/>
      </c>
      <c r="AJ2960" s="17" t="str">
        <f t="shared" si="3"/>
        <v/>
      </c>
    </row>
    <row r="2961" spans="31:36">
      <c r="AE2961" s="15" t="str">
        <f t="shared" si="0"/>
        <v/>
      </c>
      <c r="AF2961" s="15" t="str">
        <f t="shared" si="1"/>
        <v/>
      </c>
      <c r="AG2961" s="15" t="str">
        <f>IF(OR(AF2961="",AF2961="ERRO_CHAVE"),"",IFERROR(MATCH(AF2961,'Quitados DUPP'!$U$1:$U$6635,0),""))</f>
        <v/>
      </c>
      <c r="AH2961" s="15" t="str">
        <f t="shared" si="2"/>
        <v/>
      </c>
      <c r="AI2961" s="17" t="str">
        <f>IF(AG2961="","",INDEX('Quitados DUPP'!$G$1:$G$6635,AG2961))</f>
        <v/>
      </c>
      <c r="AJ2961" s="17" t="str">
        <f t="shared" si="3"/>
        <v/>
      </c>
    </row>
    <row r="2962" spans="31:36">
      <c r="AE2962" s="15" t="str">
        <f t="shared" si="0"/>
        <v/>
      </c>
      <c r="AF2962" s="15" t="str">
        <f t="shared" si="1"/>
        <v/>
      </c>
      <c r="AG2962" s="15" t="str">
        <f>IF(OR(AF2962="",AF2962="ERRO_CHAVE"),"",IFERROR(MATCH(AF2962,'Quitados DUPP'!$U$1:$U$6635,0),""))</f>
        <v/>
      </c>
      <c r="AH2962" s="15" t="str">
        <f t="shared" si="2"/>
        <v/>
      </c>
      <c r="AI2962" s="17" t="str">
        <f>IF(AG2962="","",INDEX('Quitados DUPP'!$G$1:$G$6635,AG2962))</f>
        <v/>
      </c>
      <c r="AJ2962" s="17" t="str">
        <f t="shared" si="3"/>
        <v/>
      </c>
    </row>
    <row r="2963" spans="31:36">
      <c r="AE2963" s="15" t="str">
        <f t="shared" si="0"/>
        <v/>
      </c>
      <c r="AF2963" s="15" t="str">
        <f t="shared" si="1"/>
        <v/>
      </c>
      <c r="AG2963" s="15" t="str">
        <f>IF(OR(AF2963="",AF2963="ERRO_CHAVE"),"",IFERROR(MATCH(AF2963,'Quitados DUPP'!$U$1:$U$6635,0),""))</f>
        <v/>
      </c>
      <c r="AH2963" s="15" t="str">
        <f t="shared" si="2"/>
        <v/>
      </c>
      <c r="AI2963" s="17" t="str">
        <f>IF(AG2963="","",INDEX('Quitados DUPP'!$G$1:$G$6635,AG2963))</f>
        <v/>
      </c>
      <c r="AJ2963" s="17" t="str">
        <f t="shared" si="3"/>
        <v/>
      </c>
    </row>
    <row r="2964" spans="31:36">
      <c r="AE2964" s="15" t="str">
        <f t="shared" si="0"/>
        <v/>
      </c>
      <c r="AF2964" s="15" t="str">
        <f t="shared" si="1"/>
        <v/>
      </c>
      <c r="AG2964" s="15" t="str">
        <f>IF(OR(AF2964="",AF2964="ERRO_CHAVE"),"",IFERROR(MATCH(AF2964,'Quitados DUPP'!$U$1:$U$6635,0),""))</f>
        <v/>
      </c>
      <c r="AH2964" s="15" t="str">
        <f t="shared" si="2"/>
        <v/>
      </c>
      <c r="AI2964" s="17" t="str">
        <f>IF(AG2964="","",INDEX('Quitados DUPP'!$G$1:$G$6635,AG2964))</f>
        <v/>
      </c>
      <c r="AJ2964" s="17" t="str">
        <f t="shared" si="3"/>
        <v/>
      </c>
    </row>
    <row r="2965" spans="31:36">
      <c r="AE2965" s="15" t="str">
        <f t="shared" si="0"/>
        <v/>
      </c>
      <c r="AF2965" s="15" t="str">
        <f t="shared" si="1"/>
        <v/>
      </c>
      <c r="AG2965" s="15" t="str">
        <f>IF(OR(AF2965="",AF2965="ERRO_CHAVE"),"",IFERROR(MATCH(AF2965,'Quitados DUPP'!$U$1:$U$6635,0),""))</f>
        <v/>
      </c>
      <c r="AH2965" s="15" t="str">
        <f t="shared" si="2"/>
        <v/>
      </c>
      <c r="AI2965" s="17" t="str">
        <f>IF(AG2965="","",INDEX('Quitados DUPP'!$G$1:$G$6635,AG2965))</f>
        <v/>
      </c>
      <c r="AJ2965" s="17" t="str">
        <f t="shared" si="3"/>
        <v/>
      </c>
    </row>
    <row r="2966" spans="31:36">
      <c r="AE2966" s="15" t="str">
        <f t="shared" si="0"/>
        <v/>
      </c>
      <c r="AF2966" s="15" t="str">
        <f t="shared" si="1"/>
        <v/>
      </c>
      <c r="AG2966" s="15" t="str">
        <f>IF(OR(AF2966="",AF2966="ERRO_CHAVE"),"",IFERROR(MATCH(AF2966,'Quitados DUPP'!$U$1:$U$6635,0),""))</f>
        <v/>
      </c>
      <c r="AH2966" s="15" t="str">
        <f t="shared" si="2"/>
        <v/>
      </c>
      <c r="AI2966" s="17" t="str">
        <f>IF(AG2966="","",INDEX('Quitados DUPP'!$G$1:$G$6635,AG2966))</f>
        <v/>
      </c>
      <c r="AJ2966" s="17" t="str">
        <f t="shared" si="3"/>
        <v/>
      </c>
    </row>
    <row r="2967" spans="31:36">
      <c r="AE2967" s="15" t="str">
        <f t="shared" si="0"/>
        <v/>
      </c>
      <c r="AF2967" s="15" t="str">
        <f t="shared" si="1"/>
        <v/>
      </c>
      <c r="AG2967" s="15" t="str">
        <f>IF(OR(AF2967="",AF2967="ERRO_CHAVE"),"",IFERROR(MATCH(AF2967,'Quitados DUPP'!$U$1:$U$6635,0),""))</f>
        <v/>
      </c>
      <c r="AH2967" s="15" t="str">
        <f t="shared" si="2"/>
        <v/>
      </c>
      <c r="AI2967" s="17" t="str">
        <f>IF(AG2967="","",INDEX('Quitados DUPP'!$G$1:$G$6635,AG2967))</f>
        <v/>
      </c>
      <c r="AJ2967" s="17" t="str">
        <f t="shared" si="3"/>
        <v/>
      </c>
    </row>
    <row r="2968" spans="31:36">
      <c r="AE2968" s="15" t="str">
        <f t="shared" si="0"/>
        <v/>
      </c>
      <c r="AF2968" s="15" t="str">
        <f t="shared" si="1"/>
        <v/>
      </c>
      <c r="AG2968" s="15" t="str">
        <f>IF(OR(AF2968="",AF2968="ERRO_CHAVE"),"",IFERROR(MATCH(AF2968,'Quitados DUPP'!$U$1:$U$6635,0),""))</f>
        <v/>
      </c>
      <c r="AH2968" s="15" t="str">
        <f t="shared" si="2"/>
        <v/>
      </c>
      <c r="AI2968" s="17" t="str">
        <f>IF(AG2968="","",INDEX('Quitados DUPP'!$G$1:$G$6635,AG2968))</f>
        <v/>
      </c>
      <c r="AJ2968" s="17" t="str">
        <f t="shared" si="3"/>
        <v/>
      </c>
    </row>
    <row r="2969" spans="31:36">
      <c r="AE2969" s="15" t="str">
        <f t="shared" si="0"/>
        <v/>
      </c>
      <c r="AF2969" s="15" t="str">
        <f t="shared" si="1"/>
        <v/>
      </c>
      <c r="AG2969" s="15" t="str">
        <f>IF(OR(AF2969="",AF2969="ERRO_CHAVE"),"",IFERROR(MATCH(AF2969,'Quitados DUPP'!$U$1:$U$6635,0),""))</f>
        <v/>
      </c>
      <c r="AH2969" s="15" t="str">
        <f t="shared" si="2"/>
        <v/>
      </c>
      <c r="AI2969" s="17" t="str">
        <f>IF(AG2969="","",INDEX('Quitados DUPP'!$G$1:$G$6635,AG2969))</f>
        <v/>
      </c>
      <c r="AJ2969" s="17" t="str">
        <f t="shared" si="3"/>
        <v/>
      </c>
    </row>
    <row r="2970" spans="31:36">
      <c r="AE2970" s="15" t="str">
        <f t="shared" si="0"/>
        <v/>
      </c>
      <c r="AF2970" s="15" t="str">
        <f t="shared" si="1"/>
        <v/>
      </c>
      <c r="AG2970" s="15" t="str">
        <f>IF(OR(AF2970="",AF2970="ERRO_CHAVE"),"",IFERROR(MATCH(AF2970,'Quitados DUPP'!$U$1:$U$6635,0),""))</f>
        <v/>
      </c>
      <c r="AH2970" s="15" t="str">
        <f t="shared" si="2"/>
        <v/>
      </c>
      <c r="AI2970" s="17" t="str">
        <f>IF(AG2970="","",INDEX('Quitados DUPP'!$G$1:$G$6635,AG2970))</f>
        <v/>
      </c>
      <c r="AJ2970" s="17" t="str">
        <f t="shared" si="3"/>
        <v/>
      </c>
    </row>
    <row r="2971" spans="31:36">
      <c r="AE2971" s="15" t="str">
        <f t="shared" si="0"/>
        <v/>
      </c>
      <c r="AF2971" s="15" t="str">
        <f t="shared" si="1"/>
        <v/>
      </c>
      <c r="AG2971" s="15" t="str">
        <f>IF(OR(AF2971="",AF2971="ERRO_CHAVE"),"",IFERROR(MATCH(AF2971,'Quitados DUPP'!$U$1:$U$6635,0),""))</f>
        <v/>
      </c>
      <c r="AH2971" s="15" t="str">
        <f t="shared" si="2"/>
        <v/>
      </c>
      <c r="AI2971" s="17" t="str">
        <f>IF(AG2971="","",INDEX('Quitados DUPP'!$G$1:$G$6635,AG2971))</f>
        <v/>
      </c>
      <c r="AJ2971" s="17" t="str">
        <f t="shared" si="3"/>
        <v/>
      </c>
    </row>
    <row r="2972" spans="31:36">
      <c r="AE2972" s="15" t="str">
        <f t="shared" si="0"/>
        <v/>
      </c>
      <c r="AF2972" s="15" t="str">
        <f t="shared" si="1"/>
        <v/>
      </c>
      <c r="AG2972" s="15" t="str">
        <f>IF(OR(AF2972="",AF2972="ERRO_CHAVE"),"",IFERROR(MATCH(AF2972,'Quitados DUPP'!$U$1:$U$6635,0),""))</f>
        <v/>
      </c>
      <c r="AH2972" s="15" t="str">
        <f t="shared" si="2"/>
        <v/>
      </c>
      <c r="AI2972" s="17" t="str">
        <f>IF(AG2972="","",INDEX('Quitados DUPP'!$G$1:$G$6635,AG2972))</f>
        <v/>
      </c>
      <c r="AJ2972" s="17" t="str">
        <f t="shared" si="3"/>
        <v/>
      </c>
    </row>
    <row r="2973" spans="31:36">
      <c r="AE2973" s="15" t="str">
        <f t="shared" si="0"/>
        <v/>
      </c>
      <c r="AF2973" s="15" t="str">
        <f t="shared" si="1"/>
        <v/>
      </c>
      <c r="AG2973" s="15" t="str">
        <f>IF(OR(AF2973="",AF2973="ERRO_CHAVE"),"",IFERROR(MATCH(AF2973,'Quitados DUPP'!$U$1:$U$6635,0),""))</f>
        <v/>
      </c>
      <c r="AH2973" s="15" t="str">
        <f t="shared" si="2"/>
        <v/>
      </c>
      <c r="AI2973" s="17" t="str">
        <f>IF(AG2973="","",INDEX('Quitados DUPP'!$G$1:$G$6635,AG2973))</f>
        <v/>
      </c>
      <c r="AJ2973" s="17" t="str">
        <f t="shared" si="3"/>
        <v/>
      </c>
    </row>
    <row r="2974" spans="31:36">
      <c r="AE2974" s="15" t="str">
        <f t="shared" si="0"/>
        <v/>
      </c>
      <c r="AF2974" s="15" t="str">
        <f t="shared" si="1"/>
        <v/>
      </c>
      <c r="AG2974" s="15" t="str">
        <f>IF(OR(AF2974="",AF2974="ERRO_CHAVE"),"",IFERROR(MATCH(AF2974,'Quitados DUPP'!$U$1:$U$6635,0),""))</f>
        <v/>
      </c>
      <c r="AH2974" s="15" t="str">
        <f t="shared" si="2"/>
        <v/>
      </c>
      <c r="AI2974" s="17" t="str">
        <f>IF(AG2974="","",INDEX('Quitados DUPP'!$G$1:$G$6635,AG2974))</f>
        <v/>
      </c>
      <c r="AJ2974" s="17" t="str">
        <f t="shared" si="3"/>
        <v/>
      </c>
    </row>
    <row r="2975" spans="31:36">
      <c r="AE2975" s="15" t="str">
        <f t="shared" si="0"/>
        <v/>
      </c>
      <c r="AF2975" s="15" t="str">
        <f t="shared" si="1"/>
        <v/>
      </c>
      <c r="AG2975" s="15" t="str">
        <f>IF(OR(AF2975="",AF2975="ERRO_CHAVE"),"",IFERROR(MATCH(AF2975,'Quitados DUPP'!$U$1:$U$6635,0),""))</f>
        <v/>
      </c>
      <c r="AH2975" s="15" t="str">
        <f t="shared" si="2"/>
        <v/>
      </c>
      <c r="AI2975" s="17" t="str">
        <f>IF(AG2975="","",INDEX('Quitados DUPP'!$G$1:$G$6635,AG2975))</f>
        <v/>
      </c>
      <c r="AJ2975" s="17" t="str">
        <f t="shared" si="3"/>
        <v/>
      </c>
    </row>
    <row r="2976" spans="31:36">
      <c r="AE2976" s="15" t="str">
        <f t="shared" si="0"/>
        <v/>
      </c>
      <c r="AF2976" s="15" t="str">
        <f t="shared" si="1"/>
        <v/>
      </c>
      <c r="AG2976" s="15" t="str">
        <f>IF(OR(AF2976="",AF2976="ERRO_CHAVE"),"",IFERROR(MATCH(AF2976,'Quitados DUPP'!$U$1:$U$6635,0),""))</f>
        <v/>
      </c>
      <c r="AH2976" s="15" t="str">
        <f t="shared" si="2"/>
        <v/>
      </c>
      <c r="AI2976" s="17" t="str">
        <f>IF(AG2976="","",INDEX('Quitados DUPP'!$G$1:$G$6635,AG2976))</f>
        <v/>
      </c>
      <c r="AJ2976" s="17" t="str">
        <f t="shared" si="3"/>
        <v/>
      </c>
    </row>
    <row r="2977" spans="31:36">
      <c r="AE2977" s="15" t="str">
        <f t="shared" si="0"/>
        <v/>
      </c>
      <c r="AF2977" s="15" t="str">
        <f t="shared" si="1"/>
        <v/>
      </c>
      <c r="AG2977" s="15" t="str">
        <f>IF(OR(AF2977="",AF2977="ERRO_CHAVE"),"",IFERROR(MATCH(AF2977,'Quitados DUPP'!$U$1:$U$6635,0),""))</f>
        <v/>
      </c>
      <c r="AH2977" s="15" t="str">
        <f t="shared" si="2"/>
        <v/>
      </c>
      <c r="AI2977" s="17" t="str">
        <f>IF(AG2977="","",INDEX('Quitados DUPP'!$G$1:$G$6635,AG2977))</f>
        <v/>
      </c>
      <c r="AJ2977" s="17" t="str">
        <f t="shared" si="3"/>
        <v/>
      </c>
    </row>
    <row r="2978" spans="31:36">
      <c r="AE2978" s="15" t="str">
        <f t="shared" si="0"/>
        <v/>
      </c>
      <c r="AF2978" s="15" t="str">
        <f t="shared" si="1"/>
        <v/>
      </c>
      <c r="AG2978" s="15" t="str">
        <f>IF(OR(AF2978="",AF2978="ERRO_CHAVE"),"",IFERROR(MATCH(AF2978,'Quitados DUPP'!$U$1:$U$6635,0),""))</f>
        <v/>
      </c>
      <c r="AH2978" s="15" t="str">
        <f t="shared" si="2"/>
        <v/>
      </c>
      <c r="AI2978" s="17" t="str">
        <f>IF(AG2978="","",INDEX('Quitados DUPP'!$G$1:$G$6635,AG2978))</f>
        <v/>
      </c>
      <c r="AJ2978" s="17" t="str">
        <f t="shared" si="3"/>
        <v/>
      </c>
    </row>
    <row r="2979" spans="31:36">
      <c r="AE2979" s="15" t="str">
        <f t="shared" si="0"/>
        <v/>
      </c>
      <c r="AF2979" s="15" t="str">
        <f t="shared" si="1"/>
        <v/>
      </c>
      <c r="AG2979" s="15" t="str">
        <f>IF(OR(AF2979="",AF2979="ERRO_CHAVE"),"",IFERROR(MATCH(AF2979,'Quitados DUPP'!$U$1:$U$6635,0),""))</f>
        <v/>
      </c>
      <c r="AH2979" s="15" t="str">
        <f t="shared" si="2"/>
        <v/>
      </c>
      <c r="AI2979" s="17" t="str">
        <f>IF(AG2979="","",INDEX('Quitados DUPP'!$G$1:$G$6635,AG2979))</f>
        <v/>
      </c>
      <c r="AJ2979" s="17" t="str">
        <f t="shared" si="3"/>
        <v/>
      </c>
    </row>
    <row r="2980" spans="31:36">
      <c r="AE2980" s="15" t="str">
        <f t="shared" si="0"/>
        <v/>
      </c>
      <c r="AF2980" s="15" t="str">
        <f t="shared" si="1"/>
        <v/>
      </c>
      <c r="AG2980" s="15" t="str">
        <f>IF(OR(AF2980="",AF2980="ERRO_CHAVE"),"",IFERROR(MATCH(AF2980,'Quitados DUPP'!$U$1:$U$6635,0),""))</f>
        <v/>
      </c>
      <c r="AH2980" s="15" t="str">
        <f t="shared" si="2"/>
        <v/>
      </c>
      <c r="AI2980" s="17" t="str">
        <f>IF(AG2980="","",INDEX('Quitados DUPP'!$G$1:$G$6635,AG2980))</f>
        <v/>
      </c>
      <c r="AJ2980" s="17" t="str">
        <f t="shared" si="3"/>
        <v/>
      </c>
    </row>
    <row r="2981" spans="31:36">
      <c r="AE2981" s="15" t="str">
        <f t="shared" si="0"/>
        <v/>
      </c>
      <c r="AF2981" s="15" t="str">
        <f t="shared" si="1"/>
        <v/>
      </c>
      <c r="AG2981" s="15" t="str">
        <f>IF(OR(AF2981="",AF2981="ERRO_CHAVE"),"",IFERROR(MATCH(AF2981,'Quitados DUPP'!$U$1:$U$6635,0),""))</f>
        <v/>
      </c>
      <c r="AH2981" s="15" t="str">
        <f t="shared" si="2"/>
        <v/>
      </c>
      <c r="AI2981" s="17" t="str">
        <f>IF(AG2981="","",INDEX('Quitados DUPP'!$G$1:$G$6635,AG2981))</f>
        <v/>
      </c>
      <c r="AJ2981" s="17" t="str">
        <f t="shared" si="3"/>
        <v/>
      </c>
    </row>
    <row r="2982" spans="31:36">
      <c r="AE2982" s="15" t="str">
        <f t="shared" si="0"/>
        <v/>
      </c>
      <c r="AF2982" s="15" t="str">
        <f t="shared" si="1"/>
        <v/>
      </c>
      <c r="AG2982" s="15" t="str">
        <f>IF(OR(AF2982="",AF2982="ERRO_CHAVE"),"",IFERROR(MATCH(AF2982,'Quitados DUPP'!$U$1:$U$6635,0),""))</f>
        <v/>
      </c>
      <c r="AH2982" s="15" t="str">
        <f t="shared" si="2"/>
        <v/>
      </c>
      <c r="AI2982" s="17" t="str">
        <f>IF(AG2982="","",INDEX('Quitados DUPP'!$G$1:$G$6635,AG2982))</f>
        <v/>
      </c>
      <c r="AJ2982" s="17" t="str">
        <f t="shared" si="3"/>
        <v/>
      </c>
    </row>
    <row r="2983" spans="31:36">
      <c r="AE2983" s="15" t="str">
        <f t="shared" si="0"/>
        <v/>
      </c>
      <c r="AF2983" s="15" t="str">
        <f t="shared" si="1"/>
        <v/>
      </c>
      <c r="AG2983" s="15" t="str">
        <f>IF(OR(AF2983="",AF2983="ERRO_CHAVE"),"",IFERROR(MATCH(AF2983,'Quitados DUPP'!$U$1:$U$6635,0),""))</f>
        <v/>
      </c>
      <c r="AH2983" s="15" t="str">
        <f t="shared" si="2"/>
        <v/>
      </c>
      <c r="AI2983" s="17" t="str">
        <f>IF(AG2983="","",INDEX('Quitados DUPP'!$G$1:$G$6635,AG2983))</f>
        <v/>
      </c>
      <c r="AJ2983" s="17" t="str">
        <f t="shared" si="3"/>
        <v/>
      </c>
    </row>
    <row r="2984" spans="31:36">
      <c r="AE2984" s="15" t="str">
        <f t="shared" si="0"/>
        <v/>
      </c>
      <c r="AF2984" s="15" t="str">
        <f t="shared" si="1"/>
        <v/>
      </c>
      <c r="AG2984" s="15" t="str">
        <f>IF(OR(AF2984="",AF2984="ERRO_CHAVE"),"",IFERROR(MATCH(AF2984,'Quitados DUPP'!$U$1:$U$6635,0),""))</f>
        <v/>
      </c>
      <c r="AH2984" s="15" t="str">
        <f t="shared" si="2"/>
        <v/>
      </c>
      <c r="AI2984" s="17" t="str">
        <f>IF(AG2984="","",INDEX('Quitados DUPP'!$G$1:$G$6635,AG2984))</f>
        <v/>
      </c>
      <c r="AJ2984" s="17" t="str">
        <f t="shared" si="3"/>
        <v/>
      </c>
    </row>
    <row r="2985" spans="31:36">
      <c r="AE2985" s="15" t="str">
        <f t="shared" si="0"/>
        <v/>
      </c>
      <c r="AF2985" s="15" t="str">
        <f t="shared" si="1"/>
        <v/>
      </c>
      <c r="AG2985" s="15" t="str">
        <f>IF(OR(AF2985="",AF2985="ERRO_CHAVE"),"",IFERROR(MATCH(AF2985,'Quitados DUPP'!$U$1:$U$6635,0),""))</f>
        <v/>
      </c>
      <c r="AH2985" s="15" t="str">
        <f t="shared" si="2"/>
        <v/>
      </c>
      <c r="AI2985" s="17" t="str">
        <f>IF(AG2985="","",INDEX('Quitados DUPP'!$G$1:$G$6635,AG2985))</f>
        <v/>
      </c>
      <c r="AJ2985" s="17" t="str">
        <f t="shared" si="3"/>
        <v/>
      </c>
    </row>
    <row r="2986" spans="31:36">
      <c r="AE2986" s="15" t="str">
        <f t="shared" si="0"/>
        <v/>
      </c>
      <c r="AF2986" s="15" t="str">
        <f t="shared" si="1"/>
        <v/>
      </c>
      <c r="AG2986" s="15" t="str">
        <f>IF(OR(AF2986="",AF2986="ERRO_CHAVE"),"",IFERROR(MATCH(AF2986,'Quitados DUPP'!$U$1:$U$6635,0),""))</f>
        <v/>
      </c>
      <c r="AH2986" s="15" t="str">
        <f t="shared" si="2"/>
        <v/>
      </c>
      <c r="AI2986" s="17" t="str">
        <f>IF(AG2986="","",INDEX('Quitados DUPP'!$G$1:$G$6635,AG2986))</f>
        <v/>
      </c>
      <c r="AJ2986" s="17" t="str">
        <f t="shared" si="3"/>
        <v/>
      </c>
    </row>
    <row r="2987" spans="31:36">
      <c r="AE2987" s="15" t="str">
        <f t="shared" si="0"/>
        <v/>
      </c>
      <c r="AF2987" s="15" t="str">
        <f t="shared" si="1"/>
        <v/>
      </c>
      <c r="AG2987" s="15" t="str">
        <f>IF(OR(AF2987="",AF2987="ERRO_CHAVE"),"",IFERROR(MATCH(AF2987,'Quitados DUPP'!$U$1:$U$6635,0),""))</f>
        <v/>
      </c>
      <c r="AH2987" s="15" t="str">
        <f t="shared" si="2"/>
        <v/>
      </c>
      <c r="AI2987" s="17" t="str">
        <f>IF(AG2987="","",INDEX('Quitados DUPP'!$G$1:$G$6635,AG2987))</f>
        <v/>
      </c>
      <c r="AJ2987" s="17" t="str">
        <f t="shared" si="3"/>
        <v/>
      </c>
    </row>
    <row r="2988" spans="31:36">
      <c r="AE2988" s="15" t="str">
        <f t="shared" si="0"/>
        <v/>
      </c>
      <c r="AF2988" s="15" t="str">
        <f t="shared" si="1"/>
        <v/>
      </c>
      <c r="AG2988" s="15" t="str">
        <f>IF(OR(AF2988="",AF2988="ERRO_CHAVE"),"",IFERROR(MATCH(AF2988,'Quitados DUPP'!$U$1:$U$6635,0),""))</f>
        <v/>
      </c>
      <c r="AH2988" s="15" t="str">
        <f t="shared" si="2"/>
        <v/>
      </c>
      <c r="AI2988" s="17" t="str">
        <f>IF(AG2988="","",INDEX('Quitados DUPP'!$G$1:$G$6635,AG2988))</f>
        <v/>
      </c>
      <c r="AJ2988" s="17" t="str">
        <f t="shared" si="3"/>
        <v/>
      </c>
    </row>
    <row r="2989" spans="31:36">
      <c r="AE2989" s="15" t="str">
        <f t="shared" si="0"/>
        <v/>
      </c>
      <c r="AF2989" s="15" t="str">
        <f t="shared" si="1"/>
        <v/>
      </c>
      <c r="AG2989" s="15" t="str">
        <f>IF(OR(AF2989="",AF2989="ERRO_CHAVE"),"",IFERROR(MATCH(AF2989,'Quitados DUPP'!$U$1:$U$6635,0),""))</f>
        <v/>
      </c>
      <c r="AH2989" s="15" t="str">
        <f t="shared" si="2"/>
        <v/>
      </c>
      <c r="AI2989" s="17" t="str">
        <f>IF(AG2989="","",INDEX('Quitados DUPP'!$G$1:$G$6635,AG2989))</f>
        <v/>
      </c>
      <c r="AJ2989" s="17" t="str">
        <f t="shared" si="3"/>
        <v/>
      </c>
    </row>
    <row r="2990" spans="31:36">
      <c r="AE2990" s="15" t="str">
        <f t="shared" si="0"/>
        <v/>
      </c>
      <c r="AF2990" s="15" t="str">
        <f t="shared" si="1"/>
        <v/>
      </c>
      <c r="AG2990" s="15" t="str">
        <f>IF(OR(AF2990="",AF2990="ERRO_CHAVE"),"",IFERROR(MATCH(AF2990,'Quitados DUPP'!$U$1:$U$6635,0),""))</f>
        <v/>
      </c>
      <c r="AH2990" s="15" t="str">
        <f t="shared" si="2"/>
        <v/>
      </c>
      <c r="AI2990" s="17" t="str">
        <f>IF(AG2990="","",INDEX('Quitados DUPP'!$G$1:$G$6635,AG2990))</f>
        <v/>
      </c>
      <c r="AJ2990" s="17" t="str">
        <f t="shared" si="3"/>
        <v/>
      </c>
    </row>
    <row r="2991" spans="31:36">
      <c r="AE2991" s="15" t="str">
        <f t="shared" si="0"/>
        <v/>
      </c>
      <c r="AF2991" s="15" t="str">
        <f t="shared" si="1"/>
        <v/>
      </c>
      <c r="AG2991" s="15" t="str">
        <f>IF(OR(AF2991="",AF2991="ERRO_CHAVE"),"",IFERROR(MATCH(AF2991,'Quitados DUPP'!$U$1:$U$6635,0),""))</f>
        <v/>
      </c>
      <c r="AH2991" s="15" t="str">
        <f t="shared" si="2"/>
        <v/>
      </c>
      <c r="AI2991" s="17" t="str">
        <f>IF(AG2991="","",INDEX('Quitados DUPP'!$G$1:$G$6635,AG2991))</f>
        <v/>
      </c>
      <c r="AJ2991" s="17" t="str">
        <f t="shared" si="3"/>
        <v/>
      </c>
    </row>
    <row r="2992" spans="31:36">
      <c r="AE2992" s="15" t="str">
        <f t="shared" si="0"/>
        <v/>
      </c>
      <c r="AF2992" s="15" t="str">
        <f t="shared" si="1"/>
        <v/>
      </c>
      <c r="AG2992" s="15" t="str">
        <f>IF(OR(AF2992="",AF2992="ERRO_CHAVE"),"",IFERROR(MATCH(AF2992,'Quitados DUPP'!$U$1:$U$6635,0),""))</f>
        <v/>
      </c>
      <c r="AH2992" s="15" t="str">
        <f t="shared" si="2"/>
        <v/>
      </c>
      <c r="AI2992" s="17" t="str">
        <f>IF(AG2992="","",INDEX('Quitados DUPP'!$G$1:$G$6635,AG2992))</f>
        <v/>
      </c>
      <c r="AJ2992" s="17" t="str">
        <f t="shared" si="3"/>
        <v/>
      </c>
    </row>
    <row r="2993" spans="31:36">
      <c r="AE2993" s="15" t="str">
        <f t="shared" si="0"/>
        <v/>
      </c>
      <c r="AF2993" s="15" t="str">
        <f t="shared" si="1"/>
        <v/>
      </c>
      <c r="AG2993" s="15" t="str">
        <f>IF(OR(AF2993="",AF2993="ERRO_CHAVE"),"",IFERROR(MATCH(AF2993,'Quitados DUPP'!$U$1:$U$6635,0),""))</f>
        <v/>
      </c>
      <c r="AH2993" s="15" t="str">
        <f t="shared" si="2"/>
        <v/>
      </c>
      <c r="AI2993" s="17" t="str">
        <f>IF(AG2993="","",INDEX('Quitados DUPP'!$G$1:$G$6635,AG2993))</f>
        <v/>
      </c>
      <c r="AJ2993" s="17" t="str">
        <f t="shared" si="3"/>
        <v/>
      </c>
    </row>
    <row r="2994" spans="31:36">
      <c r="AE2994" s="15" t="str">
        <f t="shared" si="0"/>
        <v/>
      </c>
      <c r="AF2994" s="15" t="str">
        <f t="shared" si="1"/>
        <v/>
      </c>
      <c r="AG2994" s="15" t="str">
        <f>IF(OR(AF2994="",AF2994="ERRO_CHAVE"),"",IFERROR(MATCH(AF2994,'Quitados DUPP'!$U$1:$U$6635,0),""))</f>
        <v/>
      </c>
      <c r="AH2994" s="15" t="str">
        <f t="shared" si="2"/>
        <v/>
      </c>
      <c r="AI2994" s="17" t="str">
        <f>IF(AG2994="","",INDEX('Quitados DUPP'!$G$1:$G$6635,AG2994))</f>
        <v/>
      </c>
      <c r="AJ2994" s="17" t="str">
        <f t="shared" si="3"/>
        <v/>
      </c>
    </row>
    <row r="2995" spans="31:36">
      <c r="AE2995" s="15" t="str">
        <f t="shared" si="0"/>
        <v/>
      </c>
      <c r="AF2995" s="15" t="str">
        <f t="shared" si="1"/>
        <v/>
      </c>
      <c r="AG2995" s="15" t="str">
        <f>IF(OR(AF2995="",AF2995="ERRO_CHAVE"),"",IFERROR(MATCH(AF2995,'Quitados DUPP'!$U$1:$U$6635,0),""))</f>
        <v/>
      </c>
      <c r="AH2995" s="15" t="str">
        <f t="shared" si="2"/>
        <v/>
      </c>
      <c r="AI2995" s="17" t="str">
        <f>IF(AG2995="","",INDEX('Quitados DUPP'!$G$1:$G$6635,AG2995))</f>
        <v/>
      </c>
      <c r="AJ2995" s="17" t="str">
        <f t="shared" si="3"/>
        <v/>
      </c>
    </row>
    <row r="2996" spans="31:36">
      <c r="AE2996" s="15" t="str">
        <f t="shared" si="0"/>
        <v/>
      </c>
      <c r="AF2996" s="15" t="str">
        <f t="shared" si="1"/>
        <v/>
      </c>
      <c r="AG2996" s="15" t="str">
        <f>IF(OR(AF2996="",AF2996="ERRO_CHAVE"),"",IFERROR(MATCH(AF2996,'Quitados DUPP'!$U$1:$U$6635,0),""))</f>
        <v/>
      </c>
      <c r="AH2996" s="15" t="str">
        <f t="shared" si="2"/>
        <v/>
      </c>
      <c r="AI2996" s="17" t="str">
        <f>IF(AG2996="","",INDEX('Quitados DUPP'!$G$1:$G$6635,AG2996))</f>
        <v/>
      </c>
      <c r="AJ2996" s="17" t="str">
        <f t="shared" si="3"/>
        <v/>
      </c>
    </row>
    <row r="2997" spans="31:36">
      <c r="AE2997" s="15" t="str">
        <f t="shared" si="0"/>
        <v/>
      </c>
      <c r="AF2997" s="15" t="str">
        <f t="shared" si="1"/>
        <v/>
      </c>
      <c r="AG2997" s="15" t="str">
        <f>IF(OR(AF2997="",AF2997="ERRO_CHAVE"),"",IFERROR(MATCH(AF2997,'Quitados DUPP'!$U$1:$U$6635,0),""))</f>
        <v/>
      </c>
      <c r="AH2997" s="15" t="str">
        <f t="shared" si="2"/>
        <v/>
      </c>
      <c r="AI2997" s="17" t="str">
        <f>IF(AG2997="","",INDEX('Quitados DUPP'!$G$1:$G$6635,AG2997))</f>
        <v/>
      </c>
      <c r="AJ2997" s="17" t="str">
        <f t="shared" si="3"/>
        <v/>
      </c>
    </row>
    <row r="2998" spans="31:36">
      <c r="AE2998" s="15" t="str">
        <f t="shared" si="0"/>
        <v/>
      </c>
      <c r="AF2998" s="15" t="str">
        <f t="shared" si="1"/>
        <v/>
      </c>
      <c r="AG2998" s="15" t="str">
        <f>IF(OR(AF2998="",AF2998="ERRO_CHAVE"),"",IFERROR(MATCH(AF2998,'Quitados DUPP'!$U$1:$U$6635,0),""))</f>
        <v/>
      </c>
      <c r="AH2998" s="15" t="str">
        <f t="shared" si="2"/>
        <v/>
      </c>
      <c r="AI2998" s="17" t="str">
        <f>IF(AG2998="","",INDEX('Quitados DUPP'!$G$1:$G$6635,AG2998))</f>
        <v/>
      </c>
      <c r="AJ2998" s="17" t="str">
        <f t="shared" si="3"/>
        <v/>
      </c>
    </row>
    <row r="2999" spans="31:36">
      <c r="AE2999" s="15" t="str">
        <f t="shared" si="0"/>
        <v/>
      </c>
      <c r="AF2999" s="15" t="str">
        <f t="shared" si="1"/>
        <v/>
      </c>
      <c r="AG2999" s="15" t="str">
        <f>IF(OR(AF2999="",AF2999="ERRO_CHAVE"),"",IFERROR(MATCH(AF2999,'Quitados DUPP'!$U$1:$U$6635,0),""))</f>
        <v/>
      </c>
      <c r="AH2999" s="15" t="str">
        <f t="shared" si="2"/>
        <v/>
      </c>
      <c r="AI2999" s="17" t="str">
        <f>IF(AG2999="","",INDEX('Quitados DUPP'!$G$1:$G$6635,AG2999))</f>
        <v/>
      </c>
      <c r="AJ2999" s="17" t="str">
        <f t="shared" si="3"/>
        <v/>
      </c>
    </row>
    <row r="3000" spans="31:36">
      <c r="AE3000" s="15" t="str">
        <f t="shared" si="0"/>
        <v/>
      </c>
      <c r="AF3000" s="15" t="str">
        <f t="shared" si="1"/>
        <v/>
      </c>
      <c r="AG3000" s="15" t="str">
        <f>IF(OR(AF3000="",AF3000="ERRO_CHAVE"),"",IFERROR(MATCH(AF3000,'Quitados DUPP'!$U$1:$U$6635,0),""))</f>
        <v/>
      </c>
      <c r="AH3000" s="15" t="str">
        <f t="shared" si="2"/>
        <v/>
      </c>
      <c r="AI3000" s="17" t="str">
        <f>IF(AG3000="","",INDEX('Quitados DUPP'!$G$1:$G$6635,AG3000))</f>
        <v/>
      </c>
      <c r="AJ3000" s="17" t="str">
        <f t="shared" si="3"/>
        <v/>
      </c>
    </row>
    <row r="3001" spans="31:36">
      <c r="AE3001" s="15" t="str">
        <f t="shared" si="0"/>
        <v/>
      </c>
      <c r="AF3001" s="15" t="str">
        <f t="shared" si="1"/>
        <v/>
      </c>
      <c r="AG3001" s="15" t="str">
        <f>IF(OR(AF3001="",AF3001="ERRO_CHAVE"),"",IFERROR(MATCH(AF3001,'Quitados DUPP'!$U$1:$U$6635,0),""))</f>
        <v/>
      </c>
      <c r="AH3001" s="15" t="str">
        <f t="shared" si="2"/>
        <v/>
      </c>
      <c r="AI3001" s="17" t="str">
        <f>IF(AG3001="","",INDEX('Quitados DUPP'!$G$1:$G$6635,AG3001))</f>
        <v/>
      </c>
      <c r="AJ3001" s="17" t="str">
        <f t="shared" si="3"/>
        <v/>
      </c>
    </row>
    <row r="3002" spans="31:36">
      <c r="AE3002" s="15" t="str">
        <f t="shared" si="0"/>
        <v/>
      </c>
      <c r="AF3002" s="15" t="str">
        <f t="shared" si="1"/>
        <v/>
      </c>
      <c r="AG3002" s="15" t="str">
        <f>IF(OR(AF3002="",AF3002="ERRO_CHAVE"),"",IFERROR(MATCH(AF3002,'Quitados DUPP'!$U$1:$U$6635,0),""))</f>
        <v/>
      </c>
      <c r="AH3002" s="15" t="str">
        <f t="shared" si="2"/>
        <v/>
      </c>
      <c r="AI3002" s="17" t="str">
        <f>IF(AG3002="","",INDEX('Quitados DUPP'!$G$1:$G$6635,AG3002))</f>
        <v/>
      </c>
      <c r="AJ3002" s="17" t="str">
        <f t="shared" si="3"/>
        <v/>
      </c>
    </row>
    <row r="3003" spans="31:36">
      <c r="AE3003" s="15" t="str">
        <f t="shared" si="0"/>
        <v/>
      </c>
      <c r="AF3003" s="15" t="str">
        <f t="shared" si="1"/>
        <v/>
      </c>
      <c r="AG3003" s="15" t="str">
        <f>IF(OR(AF3003="",AF3003="ERRO_CHAVE"),"",IFERROR(MATCH(AF3003,'Quitados DUPP'!$U$1:$U$6635,0),""))</f>
        <v/>
      </c>
      <c r="AH3003" s="15" t="str">
        <f t="shared" si="2"/>
        <v/>
      </c>
      <c r="AI3003" s="17" t="str">
        <f>IF(AG3003="","",INDEX('Quitados DUPP'!$G$1:$G$6635,AG3003))</f>
        <v/>
      </c>
      <c r="AJ3003" s="17" t="str">
        <f t="shared" si="3"/>
        <v/>
      </c>
    </row>
    <row r="3004" spans="31:36">
      <c r="AE3004" s="15" t="str">
        <f t="shared" si="0"/>
        <v/>
      </c>
      <c r="AF3004" s="15" t="str">
        <f t="shared" si="1"/>
        <v/>
      </c>
      <c r="AG3004" s="15" t="str">
        <f>IF(OR(AF3004="",AF3004="ERRO_CHAVE"),"",IFERROR(MATCH(AF3004,'Quitados DUPP'!$U$1:$U$6635,0),""))</f>
        <v/>
      </c>
      <c r="AH3004" s="15" t="str">
        <f t="shared" si="2"/>
        <v/>
      </c>
      <c r="AI3004" s="17" t="str">
        <f>IF(AG3004="","",INDEX('Quitados DUPP'!$G$1:$G$6635,AG3004))</f>
        <v/>
      </c>
      <c r="AJ3004" s="17" t="str">
        <f t="shared" si="3"/>
        <v/>
      </c>
    </row>
    <row r="3005" spans="31:36">
      <c r="AE3005" s="15" t="str">
        <f t="shared" si="0"/>
        <v/>
      </c>
      <c r="AF3005" s="15" t="str">
        <f t="shared" si="1"/>
        <v/>
      </c>
      <c r="AG3005" s="15" t="str">
        <f>IF(OR(AF3005="",AF3005="ERRO_CHAVE"),"",IFERROR(MATCH(AF3005,'Quitados DUPP'!$U$1:$U$6635,0),""))</f>
        <v/>
      </c>
      <c r="AH3005" s="15" t="str">
        <f t="shared" si="2"/>
        <v/>
      </c>
      <c r="AI3005" s="17" t="str">
        <f>IF(AG3005="","",INDEX('Quitados DUPP'!$G$1:$G$6635,AG3005))</f>
        <v/>
      </c>
      <c r="AJ3005" s="17" t="str">
        <f t="shared" si="3"/>
        <v/>
      </c>
    </row>
    <row r="3006" spans="31:36">
      <c r="AE3006" s="15" t="str">
        <f t="shared" si="0"/>
        <v/>
      </c>
      <c r="AF3006" s="15" t="str">
        <f t="shared" si="1"/>
        <v/>
      </c>
      <c r="AG3006" s="15" t="str">
        <f>IF(OR(AF3006="",AF3006="ERRO_CHAVE"),"",IFERROR(MATCH(AF3006,'Quitados DUPP'!$U$1:$U$6635,0),""))</f>
        <v/>
      </c>
      <c r="AH3006" s="15" t="str">
        <f t="shared" si="2"/>
        <v/>
      </c>
      <c r="AI3006" s="17" t="str">
        <f>IF(AG3006="","",INDEX('Quitados DUPP'!$G$1:$G$6635,AG3006))</f>
        <v/>
      </c>
      <c r="AJ3006" s="17" t="str">
        <f t="shared" si="3"/>
        <v/>
      </c>
    </row>
    <row r="3007" spans="31:36">
      <c r="AE3007" s="15" t="str">
        <f t="shared" si="0"/>
        <v/>
      </c>
      <c r="AF3007" s="15" t="str">
        <f t="shared" si="1"/>
        <v/>
      </c>
      <c r="AG3007" s="15" t="str">
        <f>IF(OR(AF3007="",AF3007="ERRO_CHAVE"),"",IFERROR(MATCH(AF3007,'Quitados DUPP'!$U$1:$U$6635,0),""))</f>
        <v/>
      </c>
      <c r="AH3007" s="15" t="str">
        <f t="shared" si="2"/>
        <v/>
      </c>
      <c r="AI3007" s="17" t="str">
        <f>IF(AG3007="","",INDEX('Quitados DUPP'!$G$1:$G$6635,AG3007))</f>
        <v/>
      </c>
      <c r="AJ3007" s="17" t="str">
        <f t="shared" si="3"/>
        <v/>
      </c>
    </row>
    <row r="3008" spans="31:36">
      <c r="AE3008" s="15" t="str">
        <f t="shared" si="0"/>
        <v/>
      </c>
      <c r="AF3008" s="15" t="str">
        <f t="shared" si="1"/>
        <v/>
      </c>
      <c r="AG3008" s="15" t="str">
        <f>IF(OR(AF3008="",AF3008="ERRO_CHAVE"),"",IFERROR(MATCH(AF3008,'Quitados DUPP'!$U$1:$U$6635,0),""))</f>
        <v/>
      </c>
      <c r="AH3008" s="15" t="str">
        <f t="shared" si="2"/>
        <v/>
      </c>
      <c r="AI3008" s="17" t="str">
        <f>IF(AG3008="","",INDEX('Quitados DUPP'!$G$1:$G$6635,AG3008))</f>
        <v/>
      </c>
      <c r="AJ3008" s="17" t="str">
        <f t="shared" si="3"/>
        <v/>
      </c>
    </row>
    <row r="3009" spans="31:36">
      <c r="AE3009" s="15" t="str">
        <f t="shared" si="0"/>
        <v/>
      </c>
      <c r="AF3009" s="15" t="str">
        <f t="shared" si="1"/>
        <v/>
      </c>
      <c r="AG3009" s="15" t="str">
        <f>IF(OR(AF3009="",AF3009="ERRO_CHAVE"),"",IFERROR(MATCH(AF3009,'Quitados DUPP'!$U$1:$U$6635,0),""))</f>
        <v/>
      </c>
      <c r="AH3009" s="15" t="str">
        <f t="shared" si="2"/>
        <v/>
      </c>
      <c r="AI3009" s="17" t="str">
        <f>IF(AG3009="","",INDEX('Quitados DUPP'!$G$1:$G$6635,AG3009))</f>
        <v/>
      </c>
      <c r="AJ3009" s="17" t="str">
        <f t="shared" si="3"/>
        <v/>
      </c>
    </row>
    <row r="3010" spans="31:36">
      <c r="AE3010" s="15" t="str">
        <f t="shared" si="0"/>
        <v/>
      </c>
      <c r="AF3010" s="15" t="str">
        <f t="shared" si="1"/>
        <v/>
      </c>
      <c r="AG3010" s="15" t="str">
        <f>IF(OR(AF3010="",AF3010="ERRO_CHAVE"),"",IFERROR(MATCH(AF3010,'Quitados DUPP'!$U$1:$U$6635,0),""))</f>
        <v/>
      </c>
      <c r="AH3010" s="15" t="str">
        <f t="shared" si="2"/>
        <v/>
      </c>
      <c r="AI3010" s="17" t="str">
        <f>IF(AG3010="","",INDEX('Quitados DUPP'!$G$1:$G$6635,AG3010))</f>
        <v/>
      </c>
      <c r="AJ3010" s="17" t="str">
        <f t="shared" si="3"/>
        <v/>
      </c>
    </row>
    <row r="3011" spans="31:36">
      <c r="AE3011" s="15" t="str">
        <f t="shared" si="0"/>
        <v/>
      </c>
      <c r="AF3011" s="15" t="str">
        <f t="shared" si="1"/>
        <v/>
      </c>
      <c r="AG3011" s="15" t="str">
        <f>IF(OR(AF3011="",AF3011="ERRO_CHAVE"),"",IFERROR(MATCH(AF3011,'Quitados DUPP'!$U$1:$U$6635,0),""))</f>
        <v/>
      </c>
      <c r="AH3011" s="15" t="str">
        <f t="shared" si="2"/>
        <v/>
      </c>
      <c r="AI3011" s="17" t="str">
        <f>IF(AG3011="","",INDEX('Quitados DUPP'!$G$1:$G$6635,AG3011))</f>
        <v/>
      </c>
      <c r="AJ3011" s="17" t="str">
        <f t="shared" si="3"/>
        <v/>
      </c>
    </row>
    <row r="3012" spans="31:36">
      <c r="AE3012" s="15" t="str">
        <f t="shared" si="0"/>
        <v/>
      </c>
      <c r="AF3012" s="15" t="str">
        <f t="shared" si="1"/>
        <v/>
      </c>
      <c r="AG3012" s="15" t="str">
        <f>IF(OR(AF3012="",AF3012="ERRO_CHAVE"),"",IFERROR(MATCH(AF3012,'Quitados DUPP'!$U$1:$U$6635,0),""))</f>
        <v/>
      </c>
      <c r="AH3012" s="15" t="str">
        <f t="shared" si="2"/>
        <v/>
      </c>
      <c r="AI3012" s="17" t="str">
        <f>IF(AG3012="","",INDEX('Quitados DUPP'!$G$1:$G$6635,AG3012))</f>
        <v/>
      </c>
      <c r="AJ3012" s="17" t="str">
        <f t="shared" si="3"/>
        <v/>
      </c>
    </row>
    <row r="3013" spans="31:36">
      <c r="AE3013" s="15" t="str">
        <f t="shared" si="0"/>
        <v/>
      </c>
      <c r="AF3013" s="15" t="str">
        <f t="shared" si="1"/>
        <v/>
      </c>
      <c r="AG3013" s="15" t="str">
        <f>IF(OR(AF3013="",AF3013="ERRO_CHAVE"),"",IFERROR(MATCH(AF3013,'Quitados DUPP'!$U$1:$U$6635,0),""))</f>
        <v/>
      </c>
      <c r="AH3013" s="15" t="str">
        <f t="shared" si="2"/>
        <v/>
      </c>
      <c r="AI3013" s="17" t="str">
        <f>IF(AG3013="","",INDEX('Quitados DUPP'!$G$1:$G$6635,AG3013))</f>
        <v/>
      </c>
      <c r="AJ3013" s="17" t="str">
        <f t="shared" si="3"/>
        <v/>
      </c>
    </row>
    <row r="3014" spans="31:36">
      <c r="AE3014" s="15" t="str">
        <f t="shared" si="0"/>
        <v/>
      </c>
      <c r="AF3014" s="15" t="str">
        <f t="shared" si="1"/>
        <v/>
      </c>
      <c r="AG3014" s="15" t="str">
        <f>IF(OR(AF3014="",AF3014="ERRO_CHAVE"),"",IFERROR(MATCH(AF3014,'Quitados DUPP'!$U$1:$U$6635,0),""))</f>
        <v/>
      </c>
      <c r="AH3014" s="15" t="str">
        <f t="shared" si="2"/>
        <v/>
      </c>
      <c r="AI3014" s="17" t="str">
        <f>IF(AG3014="","",INDEX('Quitados DUPP'!$G$1:$G$6635,AG3014))</f>
        <v/>
      </c>
      <c r="AJ3014" s="17" t="str">
        <f t="shared" si="3"/>
        <v/>
      </c>
    </row>
    <row r="3015" spans="31:36">
      <c r="AE3015" s="15" t="str">
        <f t="shared" si="0"/>
        <v/>
      </c>
      <c r="AF3015" s="15" t="str">
        <f t="shared" si="1"/>
        <v/>
      </c>
      <c r="AG3015" s="15" t="str">
        <f>IF(OR(AF3015="",AF3015="ERRO_CHAVE"),"",IFERROR(MATCH(AF3015,'Quitados DUPP'!$U$1:$U$6635,0),""))</f>
        <v/>
      </c>
      <c r="AH3015" s="15" t="str">
        <f t="shared" si="2"/>
        <v/>
      </c>
      <c r="AI3015" s="17" t="str">
        <f>IF(AG3015="","",INDEX('Quitados DUPP'!$G$1:$G$6635,AG3015))</f>
        <v/>
      </c>
      <c r="AJ3015" s="17" t="str">
        <f t="shared" si="3"/>
        <v/>
      </c>
    </row>
    <row r="3016" spans="31:36">
      <c r="AE3016" s="15" t="str">
        <f t="shared" si="0"/>
        <v/>
      </c>
      <c r="AF3016" s="15" t="str">
        <f t="shared" si="1"/>
        <v/>
      </c>
      <c r="AG3016" s="15" t="str">
        <f>IF(OR(AF3016="",AF3016="ERRO_CHAVE"),"",IFERROR(MATCH(AF3016,'Quitados DUPP'!$U$1:$U$6635,0),""))</f>
        <v/>
      </c>
      <c r="AH3016" s="15" t="str">
        <f t="shared" si="2"/>
        <v/>
      </c>
      <c r="AI3016" s="17" t="str">
        <f>IF(AG3016="","",INDEX('Quitados DUPP'!$G$1:$G$6635,AG3016))</f>
        <v/>
      </c>
      <c r="AJ3016" s="17" t="str">
        <f t="shared" si="3"/>
        <v/>
      </c>
    </row>
    <row r="3017" spans="31:36">
      <c r="AE3017" s="15" t="str">
        <f t="shared" si="0"/>
        <v/>
      </c>
      <c r="AF3017" s="15" t="str">
        <f t="shared" si="1"/>
        <v/>
      </c>
      <c r="AG3017" s="15" t="str">
        <f>IF(OR(AF3017="",AF3017="ERRO_CHAVE"),"",IFERROR(MATCH(AF3017,'Quitados DUPP'!$U$1:$U$6635,0),""))</f>
        <v/>
      </c>
      <c r="AH3017" s="15" t="str">
        <f t="shared" si="2"/>
        <v/>
      </c>
      <c r="AI3017" s="17" t="str">
        <f>IF(AG3017="","",INDEX('Quitados DUPP'!$G$1:$G$6635,AG3017))</f>
        <v/>
      </c>
      <c r="AJ3017" s="17" t="str">
        <f t="shared" si="3"/>
        <v/>
      </c>
    </row>
    <row r="3018" spans="31:36">
      <c r="AE3018" s="15" t="str">
        <f t="shared" si="0"/>
        <v/>
      </c>
      <c r="AF3018" s="15" t="str">
        <f t="shared" si="1"/>
        <v/>
      </c>
      <c r="AG3018" s="15" t="str">
        <f>IF(OR(AF3018="",AF3018="ERRO_CHAVE"),"",IFERROR(MATCH(AF3018,'Quitados DUPP'!$U$1:$U$6635,0),""))</f>
        <v/>
      </c>
      <c r="AH3018" s="15" t="str">
        <f t="shared" si="2"/>
        <v/>
      </c>
      <c r="AI3018" s="17" t="str">
        <f>IF(AG3018="","",INDEX('Quitados DUPP'!$G$1:$G$6635,AG3018))</f>
        <v/>
      </c>
      <c r="AJ3018" s="17" t="str">
        <f t="shared" si="3"/>
        <v/>
      </c>
    </row>
    <row r="3019" spans="31:36">
      <c r="AE3019" s="15" t="str">
        <f t="shared" si="0"/>
        <v/>
      </c>
      <c r="AF3019" s="15" t="str">
        <f t="shared" si="1"/>
        <v/>
      </c>
      <c r="AG3019" s="15" t="str">
        <f>IF(OR(AF3019="",AF3019="ERRO_CHAVE"),"",IFERROR(MATCH(AF3019,'Quitados DUPP'!$U$1:$U$6635,0),""))</f>
        <v/>
      </c>
      <c r="AH3019" s="15" t="str">
        <f t="shared" si="2"/>
        <v/>
      </c>
      <c r="AI3019" s="17" t="str">
        <f>IF(AG3019="","",INDEX('Quitados DUPP'!$G$1:$G$6635,AG3019))</f>
        <v/>
      </c>
      <c r="AJ3019" s="17" t="str">
        <f t="shared" si="3"/>
        <v/>
      </c>
    </row>
    <row r="3020" spans="31:36">
      <c r="AE3020" s="15" t="str">
        <f t="shared" si="0"/>
        <v/>
      </c>
      <c r="AF3020" s="15" t="str">
        <f t="shared" si="1"/>
        <v/>
      </c>
      <c r="AG3020" s="15" t="str">
        <f>IF(OR(AF3020="",AF3020="ERRO_CHAVE"),"",IFERROR(MATCH(AF3020,'Quitados DUPP'!$U$1:$U$6635,0),""))</f>
        <v/>
      </c>
      <c r="AH3020" s="15" t="str">
        <f t="shared" si="2"/>
        <v/>
      </c>
      <c r="AI3020" s="17" t="str">
        <f>IF(AG3020="","",INDEX('Quitados DUPP'!$G$1:$G$6635,AG3020))</f>
        <v/>
      </c>
      <c r="AJ3020" s="17" t="str">
        <f t="shared" si="3"/>
        <v/>
      </c>
    </row>
    <row r="3021" spans="31:36">
      <c r="AE3021" s="15" t="str">
        <f t="shared" si="0"/>
        <v/>
      </c>
      <c r="AF3021" s="15" t="str">
        <f t="shared" si="1"/>
        <v/>
      </c>
      <c r="AG3021" s="15" t="str">
        <f>IF(OR(AF3021="",AF3021="ERRO_CHAVE"),"",IFERROR(MATCH(AF3021,'Quitados DUPP'!$U$1:$U$6635,0),""))</f>
        <v/>
      </c>
      <c r="AH3021" s="15" t="str">
        <f t="shared" si="2"/>
        <v/>
      </c>
      <c r="AI3021" s="17" t="str">
        <f>IF(AG3021="","",INDEX('Quitados DUPP'!$G$1:$G$6635,AG3021))</f>
        <v/>
      </c>
      <c r="AJ3021" s="17" t="str">
        <f t="shared" si="3"/>
        <v/>
      </c>
    </row>
    <row r="3022" spans="31:36">
      <c r="AE3022" s="15" t="str">
        <f t="shared" si="0"/>
        <v/>
      </c>
      <c r="AF3022" s="15" t="str">
        <f t="shared" si="1"/>
        <v/>
      </c>
      <c r="AG3022" s="15" t="str">
        <f>IF(OR(AF3022="",AF3022="ERRO_CHAVE"),"",IFERROR(MATCH(AF3022,'Quitados DUPP'!$U$1:$U$6635,0),""))</f>
        <v/>
      </c>
      <c r="AH3022" s="15" t="str">
        <f t="shared" si="2"/>
        <v/>
      </c>
      <c r="AI3022" s="17" t="str">
        <f>IF(AG3022="","",INDEX('Quitados DUPP'!$G$1:$G$6635,AG3022))</f>
        <v/>
      </c>
      <c r="AJ3022" s="17" t="str">
        <f t="shared" si="3"/>
        <v/>
      </c>
    </row>
    <row r="3023" spans="31:36">
      <c r="AE3023" s="15" t="str">
        <f t="shared" si="0"/>
        <v/>
      </c>
      <c r="AF3023" s="15" t="str">
        <f t="shared" si="1"/>
        <v/>
      </c>
      <c r="AG3023" s="15" t="str">
        <f>IF(OR(AF3023="",AF3023="ERRO_CHAVE"),"",IFERROR(MATCH(AF3023,'Quitados DUPP'!$U$1:$U$6635,0),""))</f>
        <v/>
      </c>
      <c r="AH3023" s="15" t="str">
        <f t="shared" si="2"/>
        <v/>
      </c>
      <c r="AI3023" s="17" t="str">
        <f>IF(AG3023="","",INDEX('Quitados DUPP'!$G$1:$G$6635,AG3023))</f>
        <v/>
      </c>
      <c r="AJ3023" s="17" t="str">
        <f t="shared" si="3"/>
        <v/>
      </c>
    </row>
    <row r="3024" spans="31:36">
      <c r="AE3024" s="15" t="str">
        <f t="shared" si="0"/>
        <v/>
      </c>
      <c r="AF3024" s="15" t="str">
        <f t="shared" si="1"/>
        <v/>
      </c>
      <c r="AG3024" s="15" t="str">
        <f>IF(OR(AF3024="",AF3024="ERRO_CHAVE"),"",IFERROR(MATCH(AF3024,'Quitados DUPP'!$U$1:$U$6635,0),""))</f>
        <v/>
      </c>
      <c r="AH3024" s="15" t="str">
        <f t="shared" si="2"/>
        <v/>
      </c>
      <c r="AI3024" s="17" t="str">
        <f>IF(AG3024="","",INDEX('Quitados DUPP'!$G$1:$G$6635,AG3024))</f>
        <v/>
      </c>
      <c r="AJ3024" s="17" t="str">
        <f t="shared" si="3"/>
        <v/>
      </c>
    </row>
    <row r="3025" spans="31:36">
      <c r="AE3025" s="15" t="str">
        <f t="shared" si="0"/>
        <v/>
      </c>
      <c r="AF3025" s="15" t="str">
        <f t="shared" si="1"/>
        <v/>
      </c>
      <c r="AG3025" s="15" t="str">
        <f>IF(OR(AF3025="",AF3025="ERRO_CHAVE"),"",IFERROR(MATCH(AF3025,'Quitados DUPP'!$U$1:$U$6635,0),""))</f>
        <v/>
      </c>
      <c r="AH3025" s="15" t="str">
        <f t="shared" si="2"/>
        <v/>
      </c>
      <c r="AI3025" s="17" t="str">
        <f>IF(AG3025="","",INDEX('Quitados DUPP'!$G$1:$G$6635,AG3025))</f>
        <v/>
      </c>
      <c r="AJ3025" s="17" t="str">
        <f t="shared" si="3"/>
        <v/>
      </c>
    </row>
    <row r="3026" spans="31:36">
      <c r="AE3026" s="15" t="str">
        <f t="shared" si="0"/>
        <v/>
      </c>
      <c r="AF3026" s="15" t="str">
        <f t="shared" si="1"/>
        <v/>
      </c>
      <c r="AG3026" s="15" t="str">
        <f>IF(OR(AF3026="",AF3026="ERRO_CHAVE"),"",IFERROR(MATCH(AF3026,'Quitados DUPP'!$U$1:$U$6635,0),""))</f>
        <v/>
      </c>
      <c r="AH3026" s="15" t="str">
        <f t="shared" si="2"/>
        <v/>
      </c>
      <c r="AI3026" s="17" t="str">
        <f>IF(AG3026="","",INDEX('Quitados DUPP'!$G$1:$G$6635,AG3026))</f>
        <v/>
      </c>
      <c r="AJ3026" s="17" t="str">
        <f t="shared" si="3"/>
        <v/>
      </c>
    </row>
    <row r="3027" spans="31:36">
      <c r="AE3027" s="15" t="str">
        <f t="shared" si="0"/>
        <v/>
      </c>
      <c r="AF3027" s="15" t="str">
        <f t="shared" si="1"/>
        <v/>
      </c>
      <c r="AG3027" s="15" t="str">
        <f>IF(OR(AF3027="",AF3027="ERRO_CHAVE"),"",IFERROR(MATCH(AF3027,'Quitados DUPP'!$U$1:$U$6635,0),""))</f>
        <v/>
      </c>
      <c r="AH3027" s="15" t="str">
        <f t="shared" si="2"/>
        <v/>
      </c>
      <c r="AI3027" s="17" t="str">
        <f>IF(AG3027="","",INDEX('Quitados DUPP'!$G$1:$G$6635,AG3027))</f>
        <v/>
      </c>
      <c r="AJ3027" s="17" t="str">
        <f t="shared" si="3"/>
        <v/>
      </c>
    </row>
    <row r="3028" spans="31:36">
      <c r="AE3028" s="15" t="str">
        <f t="shared" si="0"/>
        <v/>
      </c>
      <c r="AF3028" s="15" t="str">
        <f t="shared" si="1"/>
        <v/>
      </c>
      <c r="AG3028" s="15" t="str">
        <f>IF(OR(AF3028="",AF3028="ERRO_CHAVE"),"",IFERROR(MATCH(AF3028,'Quitados DUPP'!$U$1:$U$6635,0),""))</f>
        <v/>
      </c>
      <c r="AH3028" s="15" t="str">
        <f t="shared" si="2"/>
        <v/>
      </c>
      <c r="AI3028" s="17" t="str">
        <f>IF(AG3028="","",INDEX('Quitados DUPP'!$G$1:$G$6635,AG3028))</f>
        <v/>
      </c>
      <c r="AJ3028" s="17" t="str">
        <f t="shared" si="3"/>
        <v/>
      </c>
    </row>
    <row r="3029" spans="31:36">
      <c r="AE3029" s="15" t="str">
        <f t="shared" si="0"/>
        <v/>
      </c>
      <c r="AF3029" s="15" t="str">
        <f t="shared" si="1"/>
        <v/>
      </c>
      <c r="AG3029" s="15" t="str">
        <f>IF(OR(AF3029="",AF3029="ERRO_CHAVE"),"",IFERROR(MATCH(AF3029,'Quitados DUPP'!$U$1:$U$6635,0),""))</f>
        <v/>
      </c>
      <c r="AH3029" s="15" t="str">
        <f t="shared" si="2"/>
        <v/>
      </c>
      <c r="AI3029" s="17" t="str">
        <f>IF(AG3029="","",INDEX('Quitados DUPP'!$G$1:$G$6635,AG3029))</f>
        <v/>
      </c>
      <c r="AJ3029" s="17" t="str">
        <f t="shared" si="3"/>
        <v/>
      </c>
    </row>
    <row r="3030" spans="31:36">
      <c r="AE3030" s="15" t="str">
        <f t="shared" si="0"/>
        <v/>
      </c>
      <c r="AF3030" s="15" t="str">
        <f t="shared" si="1"/>
        <v/>
      </c>
      <c r="AG3030" s="15" t="str">
        <f>IF(OR(AF3030="",AF3030="ERRO_CHAVE"),"",IFERROR(MATCH(AF3030,'Quitados DUPP'!$U$1:$U$6635,0),""))</f>
        <v/>
      </c>
      <c r="AH3030" s="15" t="str">
        <f t="shared" si="2"/>
        <v/>
      </c>
      <c r="AI3030" s="17" t="str">
        <f>IF(AG3030="","",INDEX('Quitados DUPP'!$G$1:$G$6635,AG3030))</f>
        <v/>
      </c>
      <c r="AJ3030" s="17" t="str">
        <f t="shared" si="3"/>
        <v/>
      </c>
    </row>
    <row r="3031" spans="31:36">
      <c r="AE3031" s="15" t="str">
        <f t="shared" si="0"/>
        <v/>
      </c>
      <c r="AF3031" s="15" t="str">
        <f t="shared" si="1"/>
        <v/>
      </c>
      <c r="AG3031" s="15" t="str">
        <f>IF(OR(AF3031="",AF3031="ERRO_CHAVE"),"",IFERROR(MATCH(AF3031,'Quitados DUPP'!$U$1:$U$6635,0),""))</f>
        <v/>
      </c>
      <c r="AH3031" s="15" t="str">
        <f t="shared" si="2"/>
        <v/>
      </c>
      <c r="AI3031" s="17" t="str">
        <f>IF(AG3031="","",INDEX('Quitados DUPP'!$G$1:$G$6635,AG3031))</f>
        <v/>
      </c>
      <c r="AJ3031" s="17" t="str">
        <f t="shared" si="3"/>
        <v/>
      </c>
    </row>
    <row r="3032" spans="31:36">
      <c r="AE3032" s="15" t="str">
        <f t="shared" si="0"/>
        <v/>
      </c>
      <c r="AF3032" s="15" t="str">
        <f t="shared" si="1"/>
        <v/>
      </c>
      <c r="AG3032" s="15" t="str">
        <f>IF(OR(AF3032="",AF3032="ERRO_CHAVE"),"",IFERROR(MATCH(AF3032,'Quitados DUPP'!$U$1:$U$6635,0),""))</f>
        <v/>
      </c>
      <c r="AH3032" s="15" t="str">
        <f t="shared" si="2"/>
        <v/>
      </c>
      <c r="AI3032" s="17" t="str">
        <f>IF(AG3032="","",INDEX('Quitados DUPP'!$G$1:$G$6635,AG3032))</f>
        <v/>
      </c>
      <c r="AJ3032" s="17" t="str">
        <f t="shared" si="3"/>
        <v/>
      </c>
    </row>
    <row r="3033" spans="31:36">
      <c r="AE3033" s="15" t="str">
        <f t="shared" si="0"/>
        <v/>
      </c>
      <c r="AF3033" s="15" t="str">
        <f t="shared" si="1"/>
        <v/>
      </c>
      <c r="AG3033" s="15" t="str">
        <f>IF(OR(AF3033="",AF3033="ERRO_CHAVE"),"",IFERROR(MATCH(AF3033,'Quitados DUPP'!$U$1:$U$6635,0),""))</f>
        <v/>
      </c>
      <c r="AH3033" s="15" t="str">
        <f t="shared" si="2"/>
        <v/>
      </c>
      <c r="AI3033" s="17" t="str">
        <f>IF(AG3033="","",INDEX('Quitados DUPP'!$G$1:$G$6635,AG3033))</f>
        <v/>
      </c>
      <c r="AJ3033" s="17" t="str">
        <f t="shared" si="3"/>
        <v/>
      </c>
    </row>
    <row r="3034" spans="31:36">
      <c r="AE3034" s="15" t="str">
        <f t="shared" si="0"/>
        <v/>
      </c>
      <c r="AF3034" s="15" t="str">
        <f t="shared" si="1"/>
        <v/>
      </c>
      <c r="AG3034" s="15" t="str">
        <f>IF(OR(AF3034="",AF3034="ERRO_CHAVE"),"",IFERROR(MATCH(AF3034,'Quitados DUPP'!$U$1:$U$6635,0),""))</f>
        <v/>
      </c>
      <c r="AH3034" s="15" t="str">
        <f t="shared" si="2"/>
        <v/>
      </c>
      <c r="AI3034" s="17" t="str">
        <f>IF(AG3034="","",INDEX('Quitados DUPP'!$G$1:$G$6635,AG3034))</f>
        <v/>
      </c>
      <c r="AJ3034" s="17" t="str">
        <f t="shared" si="3"/>
        <v/>
      </c>
    </row>
    <row r="3035" spans="31:36">
      <c r="AE3035" s="15" t="str">
        <f t="shared" si="0"/>
        <v/>
      </c>
      <c r="AF3035" s="15" t="str">
        <f t="shared" si="1"/>
        <v/>
      </c>
      <c r="AG3035" s="15" t="str">
        <f>IF(OR(AF3035="",AF3035="ERRO_CHAVE"),"",IFERROR(MATCH(AF3035,'Quitados DUPP'!$U$1:$U$6635,0),""))</f>
        <v/>
      </c>
      <c r="AH3035" s="15" t="str">
        <f t="shared" si="2"/>
        <v/>
      </c>
      <c r="AI3035" s="17" t="str">
        <f>IF(AG3035="","",INDEX('Quitados DUPP'!$G$1:$G$6635,AG3035))</f>
        <v/>
      </c>
      <c r="AJ3035" s="17" t="str">
        <f t="shared" si="3"/>
        <v/>
      </c>
    </row>
    <row r="3036" spans="31:36">
      <c r="AE3036" s="15" t="str">
        <f t="shared" si="0"/>
        <v/>
      </c>
      <c r="AF3036" s="15" t="str">
        <f t="shared" si="1"/>
        <v/>
      </c>
      <c r="AG3036" s="15" t="str">
        <f>IF(OR(AF3036="",AF3036="ERRO_CHAVE"),"",IFERROR(MATCH(AF3036,'Quitados DUPP'!$U$1:$U$6635,0),""))</f>
        <v/>
      </c>
      <c r="AH3036" s="15" t="str">
        <f t="shared" si="2"/>
        <v/>
      </c>
      <c r="AI3036" s="17" t="str">
        <f>IF(AG3036="","",INDEX('Quitados DUPP'!$G$1:$G$6635,AG3036))</f>
        <v/>
      </c>
      <c r="AJ3036" s="17" t="str">
        <f t="shared" si="3"/>
        <v/>
      </c>
    </row>
    <row r="3037" spans="31:36">
      <c r="AE3037" s="15" t="str">
        <f t="shared" si="0"/>
        <v/>
      </c>
      <c r="AF3037" s="15" t="str">
        <f t="shared" si="1"/>
        <v/>
      </c>
      <c r="AG3037" s="15" t="str">
        <f>IF(OR(AF3037="",AF3037="ERRO_CHAVE"),"",IFERROR(MATCH(AF3037,'Quitados DUPP'!$U$1:$U$6635,0),""))</f>
        <v/>
      </c>
      <c r="AH3037" s="15" t="str">
        <f t="shared" si="2"/>
        <v/>
      </c>
      <c r="AI3037" s="17" t="str">
        <f>IF(AG3037="","",INDEX('Quitados DUPP'!$G$1:$G$6635,AG3037))</f>
        <v/>
      </c>
      <c r="AJ3037" s="17" t="str">
        <f t="shared" si="3"/>
        <v/>
      </c>
    </row>
    <row r="3038" spans="31:36">
      <c r="AE3038" s="15" t="str">
        <f t="shared" si="0"/>
        <v/>
      </c>
      <c r="AF3038" s="15" t="str">
        <f t="shared" si="1"/>
        <v/>
      </c>
      <c r="AG3038" s="15" t="str">
        <f>IF(OR(AF3038="",AF3038="ERRO_CHAVE"),"",IFERROR(MATCH(AF3038,'Quitados DUPP'!$U$1:$U$6635,0),""))</f>
        <v/>
      </c>
      <c r="AH3038" s="15" t="str">
        <f t="shared" si="2"/>
        <v/>
      </c>
      <c r="AI3038" s="17" t="str">
        <f>IF(AG3038="","",INDEX('Quitados DUPP'!$G$1:$G$6635,AG3038))</f>
        <v/>
      </c>
      <c r="AJ3038" s="17" t="str">
        <f t="shared" si="3"/>
        <v/>
      </c>
    </row>
    <row r="3039" spans="31:36">
      <c r="AE3039" s="15" t="str">
        <f t="shared" si="0"/>
        <v/>
      </c>
      <c r="AF3039" s="15" t="str">
        <f t="shared" si="1"/>
        <v/>
      </c>
      <c r="AG3039" s="15" t="str">
        <f>IF(OR(AF3039="",AF3039="ERRO_CHAVE"),"",IFERROR(MATCH(AF3039,'Quitados DUPP'!$U$1:$U$6635,0),""))</f>
        <v/>
      </c>
      <c r="AH3039" s="15" t="str">
        <f t="shared" si="2"/>
        <v/>
      </c>
      <c r="AI3039" s="17" t="str">
        <f>IF(AG3039="","",INDEX('Quitados DUPP'!$G$1:$G$6635,AG3039))</f>
        <v/>
      </c>
      <c r="AJ3039" s="17" t="str">
        <f t="shared" si="3"/>
        <v/>
      </c>
    </row>
    <row r="3040" spans="31:36">
      <c r="AE3040" s="15" t="str">
        <f t="shared" si="0"/>
        <v/>
      </c>
      <c r="AF3040" s="15" t="str">
        <f t="shared" si="1"/>
        <v/>
      </c>
      <c r="AG3040" s="15" t="str">
        <f>IF(OR(AF3040="",AF3040="ERRO_CHAVE"),"",IFERROR(MATCH(AF3040,'Quitados DUPP'!$U$1:$U$6635,0),""))</f>
        <v/>
      </c>
      <c r="AH3040" s="15" t="str">
        <f t="shared" si="2"/>
        <v/>
      </c>
      <c r="AI3040" s="17" t="str">
        <f>IF(AG3040="","",INDEX('Quitados DUPP'!$G$1:$G$6635,AG3040))</f>
        <v/>
      </c>
      <c r="AJ3040" s="17" t="str">
        <f t="shared" si="3"/>
        <v/>
      </c>
    </row>
    <row r="3041" spans="31:36">
      <c r="AE3041" s="15" t="str">
        <f t="shared" si="0"/>
        <v/>
      </c>
      <c r="AF3041" s="15" t="str">
        <f t="shared" si="1"/>
        <v/>
      </c>
      <c r="AG3041" s="15" t="str">
        <f>IF(OR(AF3041="",AF3041="ERRO_CHAVE"),"",IFERROR(MATCH(AF3041,'Quitados DUPP'!$U$1:$U$6635,0),""))</f>
        <v/>
      </c>
      <c r="AH3041" s="15" t="str">
        <f t="shared" si="2"/>
        <v/>
      </c>
      <c r="AI3041" s="17" t="str">
        <f>IF(AG3041="","",INDEX('Quitados DUPP'!$G$1:$G$6635,AG3041))</f>
        <v/>
      </c>
      <c r="AJ3041" s="17" t="str">
        <f t="shared" si="3"/>
        <v/>
      </c>
    </row>
    <row r="3042" spans="31:36">
      <c r="AE3042" s="15" t="str">
        <f t="shared" si="0"/>
        <v/>
      </c>
      <c r="AF3042" s="15" t="str">
        <f t="shared" si="1"/>
        <v/>
      </c>
      <c r="AG3042" s="15" t="str">
        <f>IF(OR(AF3042="",AF3042="ERRO_CHAVE"),"",IFERROR(MATCH(AF3042,'Quitados DUPP'!$U$1:$U$6635,0),""))</f>
        <v/>
      </c>
      <c r="AH3042" s="15" t="str">
        <f t="shared" si="2"/>
        <v/>
      </c>
      <c r="AI3042" s="17" t="str">
        <f>IF(AG3042="","",INDEX('Quitados DUPP'!$G$1:$G$6635,AG3042))</f>
        <v/>
      </c>
      <c r="AJ3042" s="17" t="str">
        <f t="shared" si="3"/>
        <v/>
      </c>
    </row>
    <row r="3043" spans="31:36">
      <c r="AE3043" s="15" t="str">
        <f t="shared" si="0"/>
        <v/>
      </c>
      <c r="AF3043" s="15" t="str">
        <f t="shared" si="1"/>
        <v/>
      </c>
      <c r="AG3043" s="15" t="str">
        <f>IF(OR(AF3043="",AF3043="ERRO_CHAVE"),"",IFERROR(MATCH(AF3043,'Quitados DUPP'!$U$1:$U$6635,0),""))</f>
        <v/>
      </c>
      <c r="AH3043" s="15" t="str">
        <f t="shared" si="2"/>
        <v/>
      </c>
      <c r="AI3043" s="17" t="str">
        <f>IF(AG3043="","",INDEX('Quitados DUPP'!$G$1:$G$6635,AG3043))</f>
        <v/>
      </c>
      <c r="AJ3043" s="17" t="str">
        <f t="shared" si="3"/>
        <v/>
      </c>
    </row>
    <row r="3044" spans="31:36">
      <c r="AE3044" s="15" t="str">
        <f t="shared" si="0"/>
        <v/>
      </c>
      <c r="AF3044" s="15" t="str">
        <f t="shared" si="1"/>
        <v/>
      </c>
      <c r="AG3044" s="15" t="str">
        <f>IF(OR(AF3044="",AF3044="ERRO_CHAVE"),"",IFERROR(MATCH(AF3044,'Quitados DUPP'!$U$1:$U$6635,0),""))</f>
        <v/>
      </c>
      <c r="AH3044" s="15" t="str">
        <f t="shared" si="2"/>
        <v/>
      </c>
      <c r="AI3044" s="17" t="str">
        <f>IF(AG3044="","",INDEX('Quitados DUPP'!$G$1:$G$6635,AG3044))</f>
        <v/>
      </c>
      <c r="AJ3044" s="17" t="str">
        <f t="shared" si="3"/>
        <v/>
      </c>
    </row>
    <row r="3045" spans="31:36">
      <c r="AE3045" s="15" t="str">
        <f t="shared" si="0"/>
        <v/>
      </c>
      <c r="AF3045" s="15" t="str">
        <f t="shared" si="1"/>
        <v/>
      </c>
      <c r="AG3045" s="15" t="str">
        <f>IF(OR(AF3045="",AF3045="ERRO_CHAVE"),"",IFERROR(MATCH(AF3045,'Quitados DUPP'!$U$1:$U$6635,0),""))</f>
        <v/>
      </c>
      <c r="AH3045" s="15" t="str">
        <f t="shared" si="2"/>
        <v/>
      </c>
      <c r="AI3045" s="17" t="str">
        <f>IF(AG3045="","",INDEX('Quitados DUPP'!$G$1:$G$6635,AG3045))</f>
        <v/>
      </c>
      <c r="AJ3045" s="17" t="str">
        <f t="shared" si="3"/>
        <v/>
      </c>
    </row>
    <row r="3046" spans="31:36">
      <c r="AE3046" s="15" t="str">
        <f t="shared" si="0"/>
        <v/>
      </c>
      <c r="AF3046" s="15" t="str">
        <f t="shared" si="1"/>
        <v/>
      </c>
      <c r="AG3046" s="15" t="str">
        <f>IF(OR(AF3046="",AF3046="ERRO_CHAVE"),"",IFERROR(MATCH(AF3046,'Quitados DUPP'!$U$1:$U$6635,0),""))</f>
        <v/>
      </c>
      <c r="AH3046" s="15" t="str">
        <f t="shared" si="2"/>
        <v/>
      </c>
      <c r="AI3046" s="17" t="str">
        <f>IF(AG3046="","",INDEX('Quitados DUPP'!$G$1:$G$6635,AG3046))</f>
        <v/>
      </c>
      <c r="AJ3046" s="17" t="str">
        <f t="shared" si="3"/>
        <v/>
      </c>
    </row>
    <row r="3047" spans="31:36">
      <c r="AE3047" s="15" t="str">
        <f t="shared" si="0"/>
        <v/>
      </c>
      <c r="AF3047" s="15" t="str">
        <f t="shared" si="1"/>
        <v/>
      </c>
      <c r="AG3047" s="15" t="str">
        <f>IF(OR(AF3047="",AF3047="ERRO_CHAVE"),"",IFERROR(MATCH(AF3047,'Quitados DUPP'!$U$1:$U$6635,0),""))</f>
        <v/>
      </c>
      <c r="AH3047" s="15" t="str">
        <f t="shared" si="2"/>
        <v/>
      </c>
      <c r="AI3047" s="17" t="str">
        <f>IF(AG3047="","",INDEX('Quitados DUPP'!$G$1:$G$6635,AG3047))</f>
        <v/>
      </c>
      <c r="AJ3047" s="17" t="str">
        <f t="shared" si="3"/>
        <v/>
      </c>
    </row>
    <row r="3048" spans="31:36">
      <c r="AE3048" s="15" t="str">
        <f t="shared" si="0"/>
        <v/>
      </c>
      <c r="AF3048" s="15" t="str">
        <f t="shared" si="1"/>
        <v/>
      </c>
      <c r="AG3048" s="15" t="str">
        <f>IF(OR(AF3048="",AF3048="ERRO_CHAVE"),"",IFERROR(MATCH(AF3048,'Quitados DUPP'!$U$1:$U$6635,0),""))</f>
        <v/>
      </c>
      <c r="AH3048" s="15" t="str">
        <f t="shared" si="2"/>
        <v/>
      </c>
      <c r="AI3048" s="17" t="str">
        <f>IF(AG3048="","",INDEX('Quitados DUPP'!$G$1:$G$6635,AG3048))</f>
        <v/>
      </c>
      <c r="AJ3048" s="17" t="str">
        <f t="shared" si="3"/>
        <v/>
      </c>
    </row>
    <row r="3049" spans="31:36">
      <c r="AE3049" s="15" t="str">
        <f t="shared" si="0"/>
        <v/>
      </c>
      <c r="AF3049" s="15" t="str">
        <f t="shared" si="1"/>
        <v/>
      </c>
      <c r="AG3049" s="15" t="str">
        <f>IF(OR(AF3049="",AF3049="ERRO_CHAVE"),"",IFERROR(MATCH(AF3049,'Quitados DUPP'!$U$1:$U$6635,0),""))</f>
        <v/>
      </c>
      <c r="AH3049" s="15" t="str">
        <f t="shared" si="2"/>
        <v/>
      </c>
      <c r="AI3049" s="17" t="str">
        <f>IF(AG3049="","",INDEX('Quitados DUPP'!$G$1:$G$6635,AG3049))</f>
        <v/>
      </c>
      <c r="AJ3049" s="17" t="str">
        <f t="shared" si="3"/>
        <v/>
      </c>
    </row>
    <row r="3050" spans="31:36">
      <c r="AE3050" s="15" t="str">
        <f t="shared" si="0"/>
        <v/>
      </c>
      <c r="AF3050" s="15" t="str">
        <f t="shared" si="1"/>
        <v/>
      </c>
      <c r="AG3050" s="15" t="str">
        <f>IF(OR(AF3050="",AF3050="ERRO_CHAVE"),"",IFERROR(MATCH(AF3050,'Quitados DUPP'!$U$1:$U$6635,0),""))</f>
        <v/>
      </c>
      <c r="AH3050" s="15" t="str">
        <f t="shared" si="2"/>
        <v/>
      </c>
      <c r="AI3050" s="17" t="str">
        <f>IF(AG3050="","",INDEX('Quitados DUPP'!$G$1:$G$6635,AG3050))</f>
        <v/>
      </c>
      <c r="AJ3050" s="17" t="str">
        <f t="shared" si="3"/>
        <v/>
      </c>
    </row>
    <row r="3051" spans="31:36">
      <c r="AE3051" s="15" t="str">
        <f t="shared" si="0"/>
        <v/>
      </c>
      <c r="AF3051" s="15" t="str">
        <f t="shared" si="1"/>
        <v/>
      </c>
      <c r="AG3051" s="15" t="str">
        <f>IF(OR(AF3051="",AF3051="ERRO_CHAVE"),"",IFERROR(MATCH(AF3051,'Quitados DUPP'!$U$1:$U$6635,0),""))</f>
        <v/>
      </c>
      <c r="AH3051" s="15" t="str">
        <f t="shared" si="2"/>
        <v/>
      </c>
      <c r="AI3051" s="17" t="str">
        <f>IF(AG3051="","",INDEX('Quitados DUPP'!$G$1:$G$6635,AG3051))</f>
        <v/>
      </c>
      <c r="AJ3051" s="17" t="str">
        <f t="shared" si="3"/>
        <v/>
      </c>
    </row>
    <row r="3052" spans="31:36">
      <c r="AE3052" s="15" t="str">
        <f t="shared" si="0"/>
        <v/>
      </c>
      <c r="AF3052" s="15" t="str">
        <f t="shared" si="1"/>
        <v/>
      </c>
      <c r="AG3052" s="15" t="str">
        <f>IF(OR(AF3052="",AF3052="ERRO_CHAVE"),"",IFERROR(MATCH(AF3052,'Quitados DUPP'!$U$1:$U$6635,0),""))</f>
        <v/>
      </c>
      <c r="AH3052" s="15" t="str">
        <f t="shared" si="2"/>
        <v/>
      </c>
      <c r="AI3052" s="17" t="str">
        <f>IF(AG3052="","",INDEX('Quitados DUPP'!$G$1:$G$6635,AG3052))</f>
        <v/>
      </c>
      <c r="AJ3052" s="17" t="str">
        <f t="shared" si="3"/>
        <v/>
      </c>
    </row>
    <row r="3053" spans="31:36">
      <c r="AE3053" s="15" t="str">
        <f t="shared" si="0"/>
        <v/>
      </c>
      <c r="AF3053" s="15" t="str">
        <f t="shared" si="1"/>
        <v/>
      </c>
      <c r="AG3053" s="15" t="str">
        <f>IF(OR(AF3053="",AF3053="ERRO_CHAVE"),"",IFERROR(MATCH(AF3053,'Quitados DUPP'!$U$1:$U$6635,0),""))</f>
        <v/>
      </c>
      <c r="AH3053" s="15" t="str">
        <f t="shared" si="2"/>
        <v/>
      </c>
      <c r="AI3053" s="17" t="str">
        <f>IF(AG3053="","",INDEX('Quitados DUPP'!$G$1:$G$6635,AG3053))</f>
        <v/>
      </c>
      <c r="AJ3053" s="17" t="str">
        <f t="shared" si="3"/>
        <v/>
      </c>
    </row>
    <row r="3054" spans="31:36">
      <c r="AE3054" s="15" t="str">
        <f t="shared" si="0"/>
        <v/>
      </c>
      <c r="AF3054" s="15" t="str">
        <f t="shared" si="1"/>
        <v/>
      </c>
      <c r="AG3054" s="15" t="str">
        <f>IF(OR(AF3054="",AF3054="ERRO_CHAVE"),"",IFERROR(MATCH(AF3054,'Quitados DUPP'!$U$1:$U$6635,0),""))</f>
        <v/>
      </c>
      <c r="AH3054" s="15" t="str">
        <f t="shared" si="2"/>
        <v/>
      </c>
      <c r="AI3054" s="17" t="str">
        <f>IF(AG3054="","",INDEX('Quitados DUPP'!$G$1:$G$6635,AG3054))</f>
        <v/>
      </c>
      <c r="AJ3054" s="17" t="str">
        <f t="shared" si="3"/>
        <v/>
      </c>
    </row>
    <row r="3055" spans="31:36">
      <c r="AE3055" s="15" t="str">
        <f t="shared" si="0"/>
        <v/>
      </c>
      <c r="AF3055" s="15" t="str">
        <f t="shared" si="1"/>
        <v/>
      </c>
      <c r="AG3055" s="15" t="str">
        <f>IF(OR(AF3055="",AF3055="ERRO_CHAVE"),"",IFERROR(MATCH(AF3055,'Quitados DUPP'!$U$1:$U$6635,0),""))</f>
        <v/>
      </c>
      <c r="AH3055" s="15" t="str">
        <f t="shared" si="2"/>
        <v/>
      </c>
      <c r="AI3055" s="17" t="str">
        <f>IF(AG3055="","",INDEX('Quitados DUPP'!$G$1:$G$6635,AG3055))</f>
        <v/>
      </c>
      <c r="AJ3055" s="17" t="str">
        <f t="shared" si="3"/>
        <v/>
      </c>
    </row>
    <row r="3056" spans="31:36">
      <c r="AE3056" s="15" t="str">
        <f t="shared" si="0"/>
        <v/>
      </c>
      <c r="AF3056" s="15" t="str">
        <f t="shared" si="1"/>
        <v/>
      </c>
      <c r="AG3056" s="15" t="str">
        <f>IF(OR(AF3056="",AF3056="ERRO_CHAVE"),"",IFERROR(MATCH(AF3056,'Quitados DUPP'!$U$1:$U$6635,0),""))</f>
        <v/>
      </c>
      <c r="AH3056" s="15" t="str">
        <f t="shared" si="2"/>
        <v/>
      </c>
      <c r="AI3056" s="17" t="str">
        <f>IF(AG3056="","",INDEX('Quitados DUPP'!$G$1:$G$6635,AG3056))</f>
        <v/>
      </c>
      <c r="AJ3056" s="17" t="str">
        <f t="shared" si="3"/>
        <v/>
      </c>
    </row>
    <row r="3057" spans="31:36">
      <c r="AE3057" s="15" t="str">
        <f t="shared" si="0"/>
        <v/>
      </c>
      <c r="AF3057" s="15" t="str">
        <f t="shared" si="1"/>
        <v/>
      </c>
      <c r="AG3057" s="15" t="str">
        <f>IF(OR(AF3057="",AF3057="ERRO_CHAVE"),"",IFERROR(MATCH(AF3057,'Quitados DUPP'!$U$1:$U$6635,0),""))</f>
        <v/>
      </c>
      <c r="AH3057" s="15" t="str">
        <f t="shared" si="2"/>
        <v/>
      </c>
      <c r="AI3057" s="17" t="str">
        <f>IF(AG3057="","",INDEX('Quitados DUPP'!$G$1:$G$6635,AG3057))</f>
        <v/>
      </c>
      <c r="AJ3057" s="17" t="str">
        <f t="shared" si="3"/>
        <v/>
      </c>
    </row>
    <row r="3058" spans="31:36">
      <c r="AE3058" s="15" t="str">
        <f t="shared" si="0"/>
        <v/>
      </c>
      <c r="AF3058" s="15" t="str">
        <f t="shared" si="1"/>
        <v/>
      </c>
      <c r="AG3058" s="15" t="str">
        <f>IF(OR(AF3058="",AF3058="ERRO_CHAVE"),"",IFERROR(MATCH(AF3058,'Quitados DUPP'!$U$1:$U$6635,0),""))</f>
        <v/>
      </c>
      <c r="AH3058" s="15" t="str">
        <f t="shared" si="2"/>
        <v/>
      </c>
      <c r="AI3058" s="17" t="str">
        <f>IF(AG3058="","",INDEX('Quitados DUPP'!$G$1:$G$6635,AG3058))</f>
        <v/>
      </c>
      <c r="AJ3058" s="17" t="str">
        <f t="shared" si="3"/>
        <v/>
      </c>
    </row>
    <row r="3059" spans="31:36">
      <c r="AE3059" s="15" t="str">
        <f t="shared" si="0"/>
        <v/>
      </c>
      <c r="AF3059" s="15" t="str">
        <f t="shared" si="1"/>
        <v/>
      </c>
      <c r="AG3059" s="15" t="str">
        <f>IF(OR(AF3059="",AF3059="ERRO_CHAVE"),"",IFERROR(MATCH(AF3059,'Quitados DUPP'!$U$1:$U$6635,0),""))</f>
        <v/>
      </c>
      <c r="AH3059" s="15" t="str">
        <f t="shared" si="2"/>
        <v/>
      </c>
      <c r="AI3059" s="17" t="str">
        <f>IF(AG3059="","",INDEX('Quitados DUPP'!$G$1:$G$6635,AG3059))</f>
        <v/>
      </c>
      <c r="AJ3059" s="17" t="str">
        <f t="shared" si="3"/>
        <v/>
      </c>
    </row>
    <row r="3060" spans="31:36">
      <c r="AE3060" s="15" t="str">
        <f t="shared" si="0"/>
        <v/>
      </c>
      <c r="AF3060" s="15" t="str">
        <f t="shared" si="1"/>
        <v/>
      </c>
      <c r="AG3060" s="15" t="str">
        <f>IF(OR(AF3060="",AF3060="ERRO_CHAVE"),"",IFERROR(MATCH(AF3060,'Quitados DUPP'!$U$1:$U$6635,0),""))</f>
        <v/>
      </c>
      <c r="AH3060" s="15" t="str">
        <f t="shared" si="2"/>
        <v/>
      </c>
      <c r="AI3060" s="17" t="str">
        <f>IF(AG3060="","",INDEX('Quitados DUPP'!$G$1:$G$6635,AG3060))</f>
        <v/>
      </c>
      <c r="AJ3060" s="17" t="str">
        <f t="shared" si="3"/>
        <v/>
      </c>
    </row>
    <row r="3061" spans="31:36">
      <c r="AE3061" s="15" t="str">
        <f t="shared" si="0"/>
        <v/>
      </c>
      <c r="AF3061" s="15" t="str">
        <f t="shared" si="1"/>
        <v/>
      </c>
      <c r="AG3061" s="15" t="str">
        <f>IF(OR(AF3061="",AF3061="ERRO_CHAVE"),"",IFERROR(MATCH(AF3061,'Quitados DUPP'!$U$1:$U$6635,0),""))</f>
        <v/>
      </c>
      <c r="AH3061" s="15" t="str">
        <f t="shared" si="2"/>
        <v/>
      </c>
      <c r="AI3061" s="17" t="str">
        <f>IF(AG3061="","",INDEX('Quitados DUPP'!$G$1:$G$6635,AG3061))</f>
        <v/>
      </c>
      <c r="AJ3061" s="17" t="str">
        <f t="shared" si="3"/>
        <v/>
      </c>
    </row>
    <row r="3062" spans="31:36">
      <c r="AE3062" s="15" t="str">
        <f t="shared" si="0"/>
        <v/>
      </c>
      <c r="AF3062" s="15" t="str">
        <f t="shared" si="1"/>
        <v/>
      </c>
      <c r="AG3062" s="15" t="str">
        <f>IF(OR(AF3062="",AF3062="ERRO_CHAVE"),"",IFERROR(MATCH(AF3062,'Quitados DUPP'!$U$1:$U$6635,0),""))</f>
        <v/>
      </c>
      <c r="AH3062" s="15" t="str">
        <f t="shared" si="2"/>
        <v/>
      </c>
      <c r="AI3062" s="17" t="str">
        <f>IF(AG3062="","",INDEX('Quitados DUPP'!$G$1:$G$6635,AG3062))</f>
        <v/>
      </c>
      <c r="AJ3062" s="17" t="str">
        <f t="shared" si="3"/>
        <v/>
      </c>
    </row>
    <row r="3063" spans="31:36">
      <c r="AE3063" s="15" t="str">
        <f t="shared" si="0"/>
        <v/>
      </c>
      <c r="AF3063" s="15" t="str">
        <f t="shared" si="1"/>
        <v/>
      </c>
      <c r="AG3063" s="15" t="str">
        <f>IF(OR(AF3063="",AF3063="ERRO_CHAVE"),"",IFERROR(MATCH(AF3063,'Quitados DUPP'!$U$1:$U$6635,0),""))</f>
        <v/>
      </c>
      <c r="AH3063" s="15" t="str">
        <f t="shared" si="2"/>
        <v/>
      </c>
      <c r="AI3063" s="17" t="str">
        <f>IF(AG3063="","",INDEX('Quitados DUPP'!$G$1:$G$6635,AG3063))</f>
        <v/>
      </c>
      <c r="AJ3063" s="17" t="str">
        <f t="shared" si="3"/>
        <v/>
      </c>
    </row>
    <row r="3064" spans="31:36">
      <c r="AE3064" s="15" t="str">
        <f t="shared" si="0"/>
        <v/>
      </c>
      <c r="AF3064" s="15" t="str">
        <f t="shared" si="1"/>
        <v/>
      </c>
      <c r="AG3064" s="15" t="str">
        <f>IF(OR(AF3064="",AF3064="ERRO_CHAVE"),"",IFERROR(MATCH(AF3064,'Quitados DUPP'!$U$1:$U$6635,0),""))</f>
        <v/>
      </c>
      <c r="AH3064" s="15" t="str">
        <f t="shared" si="2"/>
        <v/>
      </c>
      <c r="AI3064" s="17" t="str">
        <f>IF(AG3064="","",INDEX('Quitados DUPP'!$G$1:$G$6635,AG3064))</f>
        <v/>
      </c>
      <c r="AJ3064" s="17" t="str">
        <f t="shared" si="3"/>
        <v/>
      </c>
    </row>
    <row r="3065" spans="31:36">
      <c r="AE3065" s="15" t="str">
        <f t="shared" si="0"/>
        <v/>
      </c>
      <c r="AF3065" s="15" t="str">
        <f t="shared" si="1"/>
        <v/>
      </c>
      <c r="AG3065" s="15" t="str">
        <f>IF(OR(AF3065="",AF3065="ERRO_CHAVE"),"",IFERROR(MATCH(AF3065,'Quitados DUPP'!$U$1:$U$6635,0),""))</f>
        <v/>
      </c>
      <c r="AH3065" s="15" t="str">
        <f t="shared" si="2"/>
        <v/>
      </c>
      <c r="AI3065" s="17" t="str">
        <f>IF(AG3065="","",INDEX('Quitados DUPP'!$G$1:$G$6635,AG3065))</f>
        <v/>
      </c>
      <c r="AJ3065" s="17" t="str">
        <f t="shared" si="3"/>
        <v/>
      </c>
    </row>
    <row r="3066" spans="31:36">
      <c r="AE3066" s="15" t="str">
        <f t="shared" si="0"/>
        <v/>
      </c>
      <c r="AF3066" s="15" t="str">
        <f t="shared" si="1"/>
        <v/>
      </c>
      <c r="AG3066" s="15" t="str">
        <f>IF(OR(AF3066="",AF3066="ERRO_CHAVE"),"",IFERROR(MATCH(AF3066,'Quitados DUPP'!$U$1:$U$6635,0),""))</f>
        <v/>
      </c>
      <c r="AH3066" s="15" t="str">
        <f t="shared" si="2"/>
        <v/>
      </c>
      <c r="AI3066" s="17" t="str">
        <f>IF(AG3066="","",INDEX('Quitados DUPP'!$G$1:$G$6635,AG3066))</f>
        <v/>
      </c>
      <c r="AJ3066" s="17" t="str">
        <f t="shared" si="3"/>
        <v/>
      </c>
    </row>
    <row r="3067" spans="31:36">
      <c r="AE3067" s="15" t="str">
        <f t="shared" si="0"/>
        <v/>
      </c>
      <c r="AF3067" s="15" t="str">
        <f t="shared" si="1"/>
        <v/>
      </c>
      <c r="AG3067" s="15" t="str">
        <f>IF(OR(AF3067="",AF3067="ERRO_CHAVE"),"",IFERROR(MATCH(AF3067,'Quitados DUPP'!$U$1:$U$6635,0),""))</f>
        <v/>
      </c>
      <c r="AH3067" s="15" t="str">
        <f t="shared" si="2"/>
        <v/>
      </c>
      <c r="AI3067" s="17" t="str">
        <f>IF(AG3067="","",INDEX('Quitados DUPP'!$G$1:$G$6635,AG3067))</f>
        <v/>
      </c>
      <c r="AJ3067" s="17" t="str">
        <f t="shared" si="3"/>
        <v/>
      </c>
    </row>
    <row r="3068" spans="31:36">
      <c r="AE3068" s="15" t="str">
        <f t="shared" si="0"/>
        <v/>
      </c>
      <c r="AF3068" s="15" t="str">
        <f t="shared" si="1"/>
        <v/>
      </c>
      <c r="AG3068" s="15" t="str">
        <f>IF(OR(AF3068="",AF3068="ERRO_CHAVE"),"",IFERROR(MATCH(AF3068,'Quitados DUPP'!$U$1:$U$6635,0),""))</f>
        <v/>
      </c>
      <c r="AH3068" s="15" t="str">
        <f t="shared" si="2"/>
        <v/>
      </c>
      <c r="AI3068" s="17" t="str">
        <f>IF(AG3068="","",INDEX('Quitados DUPP'!$G$1:$G$6635,AG3068))</f>
        <v/>
      </c>
      <c r="AJ3068" s="17" t="str">
        <f t="shared" si="3"/>
        <v/>
      </c>
    </row>
    <row r="3069" spans="31:36">
      <c r="AE3069" s="15" t="str">
        <f t="shared" si="0"/>
        <v/>
      </c>
      <c r="AF3069" s="15" t="str">
        <f t="shared" si="1"/>
        <v/>
      </c>
      <c r="AG3069" s="15" t="str">
        <f>IF(OR(AF3069="",AF3069="ERRO_CHAVE"),"",IFERROR(MATCH(AF3069,'Quitados DUPP'!$U$1:$U$6635,0),""))</f>
        <v/>
      </c>
      <c r="AH3069" s="15" t="str">
        <f t="shared" si="2"/>
        <v/>
      </c>
      <c r="AI3069" s="17" t="str">
        <f>IF(AG3069="","",INDEX('Quitados DUPP'!$G$1:$G$6635,AG3069))</f>
        <v/>
      </c>
      <c r="AJ3069" s="17" t="str">
        <f t="shared" si="3"/>
        <v/>
      </c>
    </row>
    <row r="3070" spans="31:36">
      <c r="AE3070" s="15" t="str">
        <f t="shared" si="0"/>
        <v/>
      </c>
      <c r="AF3070" s="15" t="str">
        <f t="shared" si="1"/>
        <v/>
      </c>
      <c r="AG3070" s="15" t="str">
        <f>IF(OR(AF3070="",AF3070="ERRO_CHAVE"),"",IFERROR(MATCH(AF3070,'Quitados DUPP'!$U$1:$U$6635,0),""))</f>
        <v/>
      </c>
      <c r="AH3070" s="15" t="str">
        <f t="shared" si="2"/>
        <v/>
      </c>
      <c r="AI3070" s="17" t="str">
        <f>IF(AG3070="","",INDEX('Quitados DUPP'!$G$1:$G$6635,AG3070))</f>
        <v/>
      </c>
      <c r="AJ3070" s="17" t="str">
        <f t="shared" si="3"/>
        <v/>
      </c>
    </row>
    <row r="3071" spans="31:36">
      <c r="AE3071" s="15" t="str">
        <f t="shared" si="0"/>
        <v/>
      </c>
      <c r="AF3071" s="15" t="str">
        <f t="shared" si="1"/>
        <v/>
      </c>
      <c r="AG3071" s="15" t="str">
        <f>IF(OR(AF3071="",AF3071="ERRO_CHAVE"),"",IFERROR(MATCH(AF3071,'Quitados DUPP'!$U$1:$U$6635,0),""))</f>
        <v/>
      </c>
      <c r="AH3071" s="15" t="str">
        <f t="shared" si="2"/>
        <v/>
      </c>
      <c r="AI3071" s="17" t="str">
        <f>IF(AG3071="","",INDEX('Quitados DUPP'!$G$1:$G$6635,AG3071))</f>
        <v/>
      </c>
      <c r="AJ3071" s="17" t="str">
        <f t="shared" si="3"/>
        <v/>
      </c>
    </row>
    <row r="3072" spans="31:36">
      <c r="AE3072" s="15" t="str">
        <f t="shared" si="0"/>
        <v/>
      </c>
      <c r="AF3072" s="15" t="str">
        <f t="shared" si="1"/>
        <v/>
      </c>
      <c r="AG3072" s="15" t="str">
        <f>IF(OR(AF3072="",AF3072="ERRO_CHAVE"),"",IFERROR(MATCH(AF3072,'Quitados DUPP'!$U$1:$U$6635,0),""))</f>
        <v/>
      </c>
      <c r="AH3072" s="15" t="str">
        <f t="shared" si="2"/>
        <v/>
      </c>
      <c r="AI3072" s="17" t="str">
        <f>IF(AG3072="","",INDEX('Quitados DUPP'!$G$1:$G$6635,AG3072))</f>
        <v/>
      </c>
      <c r="AJ3072" s="17" t="str">
        <f t="shared" si="3"/>
        <v/>
      </c>
    </row>
    <row r="3073" spans="31:36">
      <c r="AE3073" s="15" t="str">
        <f t="shared" si="0"/>
        <v/>
      </c>
      <c r="AF3073" s="15" t="str">
        <f t="shared" si="1"/>
        <v/>
      </c>
      <c r="AG3073" s="15" t="str">
        <f>IF(OR(AF3073="",AF3073="ERRO_CHAVE"),"",IFERROR(MATCH(AF3073,'Quitados DUPP'!$U$1:$U$6635,0),""))</f>
        <v/>
      </c>
      <c r="AH3073" s="15" t="str">
        <f t="shared" si="2"/>
        <v/>
      </c>
      <c r="AI3073" s="17" t="str">
        <f>IF(AG3073="","",INDEX('Quitados DUPP'!$G$1:$G$6635,AG3073))</f>
        <v/>
      </c>
      <c r="AJ3073" s="17" t="str">
        <f t="shared" si="3"/>
        <v/>
      </c>
    </row>
    <row r="3074" spans="31:36">
      <c r="AE3074" s="15" t="str">
        <f t="shared" si="0"/>
        <v/>
      </c>
      <c r="AF3074" s="15" t="str">
        <f t="shared" si="1"/>
        <v/>
      </c>
      <c r="AG3074" s="15" t="str">
        <f>IF(OR(AF3074="",AF3074="ERRO_CHAVE"),"",IFERROR(MATCH(AF3074,'Quitados DUPP'!$U$1:$U$6635,0),""))</f>
        <v/>
      </c>
      <c r="AH3074" s="15" t="str">
        <f t="shared" si="2"/>
        <v/>
      </c>
      <c r="AI3074" s="17" t="str">
        <f>IF(AG3074="","",INDEX('Quitados DUPP'!$G$1:$G$6635,AG3074))</f>
        <v/>
      </c>
      <c r="AJ3074" s="17" t="str">
        <f t="shared" si="3"/>
        <v/>
      </c>
    </row>
    <row r="3075" spans="31:36">
      <c r="AE3075" s="15" t="str">
        <f t="shared" si="0"/>
        <v/>
      </c>
      <c r="AF3075" s="15" t="str">
        <f t="shared" si="1"/>
        <v/>
      </c>
      <c r="AG3075" s="15" t="str">
        <f>IF(OR(AF3075="",AF3075="ERRO_CHAVE"),"",IFERROR(MATCH(AF3075,'Quitados DUPP'!$U$1:$U$6635,0),""))</f>
        <v/>
      </c>
      <c r="AH3075" s="15" t="str">
        <f t="shared" si="2"/>
        <v/>
      </c>
      <c r="AI3075" s="17" t="str">
        <f>IF(AG3075="","",INDEX('Quitados DUPP'!$G$1:$G$6635,AG3075))</f>
        <v/>
      </c>
      <c r="AJ3075" s="17" t="str">
        <f t="shared" si="3"/>
        <v/>
      </c>
    </row>
    <row r="3076" spans="31:36">
      <c r="AE3076" s="15" t="str">
        <f t="shared" si="0"/>
        <v/>
      </c>
      <c r="AF3076" s="15" t="str">
        <f t="shared" si="1"/>
        <v/>
      </c>
      <c r="AG3076" s="15" t="str">
        <f>IF(OR(AF3076="",AF3076="ERRO_CHAVE"),"",IFERROR(MATCH(AF3076,'Quitados DUPP'!$U$1:$U$6635,0),""))</f>
        <v/>
      </c>
      <c r="AH3076" s="15" t="str">
        <f t="shared" si="2"/>
        <v/>
      </c>
      <c r="AI3076" s="17" t="str">
        <f>IF(AG3076="","",INDEX('Quitados DUPP'!$G$1:$G$6635,AG3076))</f>
        <v/>
      </c>
      <c r="AJ3076" s="17" t="str">
        <f t="shared" si="3"/>
        <v/>
      </c>
    </row>
    <row r="3077" spans="31:36">
      <c r="AE3077" s="15" t="str">
        <f t="shared" si="0"/>
        <v/>
      </c>
      <c r="AF3077" s="15" t="str">
        <f t="shared" si="1"/>
        <v/>
      </c>
      <c r="AG3077" s="15" t="str">
        <f>IF(OR(AF3077="",AF3077="ERRO_CHAVE"),"",IFERROR(MATCH(AF3077,'Quitados DUPP'!$U$1:$U$6635,0),""))</f>
        <v/>
      </c>
      <c r="AH3077" s="15" t="str">
        <f t="shared" si="2"/>
        <v/>
      </c>
      <c r="AI3077" s="17" t="str">
        <f>IF(AG3077="","",INDEX('Quitados DUPP'!$G$1:$G$6635,AG3077))</f>
        <v/>
      </c>
      <c r="AJ3077" s="17" t="str">
        <f t="shared" si="3"/>
        <v/>
      </c>
    </row>
    <row r="3078" spans="31:36">
      <c r="AE3078" s="15" t="str">
        <f t="shared" si="0"/>
        <v/>
      </c>
      <c r="AF3078" s="15" t="str">
        <f t="shared" si="1"/>
        <v/>
      </c>
      <c r="AG3078" s="15" t="str">
        <f>IF(OR(AF3078="",AF3078="ERRO_CHAVE"),"",IFERROR(MATCH(AF3078,'Quitados DUPP'!$U$1:$U$6635,0),""))</f>
        <v/>
      </c>
      <c r="AH3078" s="15" t="str">
        <f t="shared" si="2"/>
        <v/>
      </c>
      <c r="AI3078" s="17" t="str">
        <f>IF(AG3078="","",INDEX('Quitados DUPP'!$G$1:$G$6635,AG3078))</f>
        <v/>
      </c>
      <c r="AJ3078" s="17" t="str">
        <f t="shared" si="3"/>
        <v/>
      </c>
    </row>
    <row r="3079" spans="31:36">
      <c r="AE3079" s="15" t="str">
        <f t="shared" si="0"/>
        <v/>
      </c>
      <c r="AF3079" s="15" t="str">
        <f t="shared" si="1"/>
        <v/>
      </c>
      <c r="AG3079" s="15" t="str">
        <f>IF(OR(AF3079="",AF3079="ERRO_CHAVE"),"",IFERROR(MATCH(AF3079,'Quitados DUPP'!$U$1:$U$6635,0),""))</f>
        <v/>
      </c>
      <c r="AH3079" s="15" t="str">
        <f t="shared" si="2"/>
        <v/>
      </c>
      <c r="AI3079" s="17" t="str">
        <f>IF(AG3079="","",INDEX('Quitados DUPP'!$G$1:$G$6635,AG3079))</f>
        <v/>
      </c>
      <c r="AJ3079" s="17" t="str">
        <f t="shared" si="3"/>
        <v/>
      </c>
    </row>
    <row r="3080" spans="31:36">
      <c r="AE3080" s="15" t="str">
        <f t="shared" si="0"/>
        <v/>
      </c>
      <c r="AF3080" s="15" t="str">
        <f t="shared" si="1"/>
        <v/>
      </c>
      <c r="AG3080" s="15" t="str">
        <f>IF(OR(AF3080="",AF3080="ERRO_CHAVE"),"",IFERROR(MATCH(AF3080,'Quitados DUPP'!$U$1:$U$6635,0),""))</f>
        <v/>
      </c>
      <c r="AH3080" s="15" t="str">
        <f t="shared" si="2"/>
        <v/>
      </c>
      <c r="AI3080" s="17" t="str">
        <f>IF(AG3080="","",INDEX('Quitados DUPP'!$G$1:$G$6635,AG3080))</f>
        <v/>
      </c>
      <c r="AJ3080" s="17" t="str">
        <f t="shared" si="3"/>
        <v/>
      </c>
    </row>
    <row r="3081" spans="31:36">
      <c r="AE3081" s="15" t="str">
        <f t="shared" si="0"/>
        <v/>
      </c>
      <c r="AF3081" s="15" t="str">
        <f t="shared" si="1"/>
        <v/>
      </c>
      <c r="AG3081" s="15" t="str">
        <f>IF(OR(AF3081="",AF3081="ERRO_CHAVE"),"",IFERROR(MATCH(AF3081,'Quitados DUPP'!$U$1:$U$6635,0),""))</f>
        <v/>
      </c>
      <c r="AH3081" s="15" t="str">
        <f t="shared" si="2"/>
        <v/>
      </c>
      <c r="AI3081" s="17" t="str">
        <f>IF(AG3081="","",INDEX('Quitados DUPP'!$G$1:$G$6635,AG3081))</f>
        <v/>
      </c>
      <c r="AJ3081" s="17" t="str">
        <f t="shared" si="3"/>
        <v/>
      </c>
    </row>
    <row r="3082" spans="31:36">
      <c r="AE3082" s="15" t="str">
        <f t="shared" si="0"/>
        <v/>
      </c>
      <c r="AF3082" s="15" t="str">
        <f t="shared" si="1"/>
        <v/>
      </c>
      <c r="AG3082" s="15" t="str">
        <f>IF(OR(AF3082="",AF3082="ERRO_CHAVE"),"",IFERROR(MATCH(AF3082,'Quitados DUPP'!$U$1:$U$6635,0),""))</f>
        <v/>
      </c>
      <c r="AH3082" s="15" t="str">
        <f t="shared" si="2"/>
        <v/>
      </c>
      <c r="AI3082" s="17" t="str">
        <f>IF(AG3082="","",INDEX('Quitados DUPP'!$G$1:$G$6635,AG3082))</f>
        <v/>
      </c>
      <c r="AJ3082" s="17" t="str">
        <f t="shared" si="3"/>
        <v/>
      </c>
    </row>
    <row r="3083" spans="31:36">
      <c r="AE3083" s="15" t="str">
        <f t="shared" si="0"/>
        <v/>
      </c>
      <c r="AF3083" s="15" t="str">
        <f t="shared" si="1"/>
        <v/>
      </c>
      <c r="AG3083" s="15" t="str">
        <f>IF(OR(AF3083="",AF3083="ERRO_CHAVE"),"",IFERROR(MATCH(AF3083,'Quitados DUPP'!$U$1:$U$6635,0),""))</f>
        <v/>
      </c>
      <c r="AH3083" s="15" t="str">
        <f t="shared" si="2"/>
        <v/>
      </c>
      <c r="AI3083" s="17" t="str">
        <f>IF(AG3083="","",INDEX('Quitados DUPP'!$G$1:$G$6635,AG3083))</f>
        <v/>
      </c>
      <c r="AJ3083" s="17" t="str">
        <f t="shared" si="3"/>
        <v/>
      </c>
    </row>
    <row r="3084" spans="31:36">
      <c r="AE3084" s="15" t="str">
        <f t="shared" si="0"/>
        <v/>
      </c>
      <c r="AF3084" s="15" t="str">
        <f t="shared" si="1"/>
        <v/>
      </c>
      <c r="AG3084" s="15" t="str">
        <f>IF(OR(AF3084="",AF3084="ERRO_CHAVE"),"",IFERROR(MATCH(AF3084,'Quitados DUPP'!$U$1:$U$6635,0),""))</f>
        <v/>
      </c>
      <c r="AH3084" s="15" t="str">
        <f t="shared" si="2"/>
        <v/>
      </c>
      <c r="AI3084" s="17" t="str">
        <f>IF(AG3084="","",INDEX('Quitados DUPP'!$G$1:$G$6635,AG3084))</f>
        <v/>
      </c>
      <c r="AJ3084" s="17" t="str">
        <f t="shared" si="3"/>
        <v/>
      </c>
    </row>
    <row r="3085" spans="31:36">
      <c r="AE3085" s="15" t="str">
        <f t="shared" si="0"/>
        <v/>
      </c>
      <c r="AF3085" s="15" t="str">
        <f t="shared" si="1"/>
        <v/>
      </c>
      <c r="AG3085" s="15" t="str">
        <f>IF(OR(AF3085="",AF3085="ERRO_CHAVE"),"",IFERROR(MATCH(AF3085,'Quitados DUPP'!$U$1:$U$6635,0),""))</f>
        <v/>
      </c>
      <c r="AH3085" s="15" t="str">
        <f t="shared" si="2"/>
        <v/>
      </c>
      <c r="AI3085" s="17" t="str">
        <f>IF(AG3085="","",INDEX('Quitados DUPP'!$G$1:$G$6635,AG3085))</f>
        <v/>
      </c>
      <c r="AJ3085" s="17" t="str">
        <f t="shared" si="3"/>
        <v/>
      </c>
    </row>
    <row r="3086" spans="31:36">
      <c r="AE3086" s="15" t="str">
        <f t="shared" si="0"/>
        <v/>
      </c>
      <c r="AF3086" s="15" t="str">
        <f t="shared" si="1"/>
        <v/>
      </c>
      <c r="AG3086" s="15" t="str">
        <f>IF(OR(AF3086="",AF3086="ERRO_CHAVE"),"",IFERROR(MATCH(AF3086,'Quitados DUPP'!$U$1:$U$6635,0),""))</f>
        <v/>
      </c>
      <c r="AH3086" s="15" t="str">
        <f t="shared" si="2"/>
        <v/>
      </c>
      <c r="AI3086" s="17" t="str">
        <f>IF(AG3086="","",INDEX('Quitados DUPP'!$G$1:$G$6635,AG3086))</f>
        <v/>
      </c>
      <c r="AJ3086" s="17" t="str">
        <f t="shared" si="3"/>
        <v/>
      </c>
    </row>
    <row r="3087" spans="31:36">
      <c r="AE3087" s="15" t="str">
        <f t="shared" si="0"/>
        <v/>
      </c>
      <c r="AF3087" s="15" t="str">
        <f t="shared" si="1"/>
        <v/>
      </c>
      <c r="AG3087" s="15" t="str">
        <f>IF(OR(AF3087="",AF3087="ERRO_CHAVE"),"",IFERROR(MATCH(AF3087,'Quitados DUPP'!$U$1:$U$6635,0),""))</f>
        <v/>
      </c>
      <c r="AH3087" s="15" t="str">
        <f t="shared" si="2"/>
        <v/>
      </c>
      <c r="AI3087" s="17" t="str">
        <f>IF(AG3087="","",INDEX('Quitados DUPP'!$G$1:$G$6635,AG3087))</f>
        <v/>
      </c>
      <c r="AJ3087" s="17" t="str">
        <f t="shared" si="3"/>
        <v/>
      </c>
    </row>
    <row r="3088" spans="31:36">
      <c r="AE3088" s="15" t="str">
        <f t="shared" si="0"/>
        <v/>
      </c>
      <c r="AF3088" s="15" t="str">
        <f t="shared" si="1"/>
        <v/>
      </c>
      <c r="AG3088" s="15" t="str">
        <f>IF(OR(AF3088="",AF3088="ERRO_CHAVE"),"",IFERROR(MATCH(AF3088,'Quitados DUPP'!$U$1:$U$6635,0),""))</f>
        <v/>
      </c>
      <c r="AH3088" s="15" t="str">
        <f t="shared" si="2"/>
        <v/>
      </c>
      <c r="AI3088" s="17" t="str">
        <f>IF(AG3088="","",INDEX('Quitados DUPP'!$G$1:$G$6635,AG3088))</f>
        <v/>
      </c>
      <c r="AJ3088" s="17" t="str">
        <f t="shared" si="3"/>
        <v/>
      </c>
    </row>
    <row r="3089" spans="31:36">
      <c r="AE3089" s="15" t="str">
        <f t="shared" si="0"/>
        <v/>
      </c>
      <c r="AF3089" s="15" t="str">
        <f t="shared" si="1"/>
        <v/>
      </c>
      <c r="AG3089" s="15" t="str">
        <f>IF(OR(AF3089="",AF3089="ERRO_CHAVE"),"",IFERROR(MATCH(AF3089,'Quitados DUPP'!$U$1:$U$6635,0),""))</f>
        <v/>
      </c>
      <c r="AH3089" s="15" t="str">
        <f t="shared" si="2"/>
        <v/>
      </c>
      <c r="AI3089" s="17" t="str">
        <f>IF(AG3089="","",INDEX('Quitados DUPP'!$G$1:$G$6635,AG3089))</f>
        <v/>
      </c>
      <c r="AJ3089" s="17" t="str">
        <f t="shared" si="3"/>
        <v/>
      </c>
    </row>
    <row r="3090" spans="31:36">
      <c r="AE3090" s="15" t="str">
        <f t="shared" si="0"/>
        <v/>
      </c>
      <c r="AF3090" s="15" t="str">
        <f t="shared" si="1"/>
        <v/>
      </c>
      <c r="AG3090" s="15" t="str">
        <f>IF(OR(AF3090="",AF3090="ERRO_CHAVE"),"",IFERROR(MATCH(AF3090,'Quitados DUPP'!$U$1:$U$6635,0),""))</f>
        <v/>
      </c>
      <c r="AH3090" s="15" t="str">
        <f t="shared" si="2"/>
        <v/>
      </c>
      <c r="AI3090" s="17" t="str">
        <f>IF(AG3090="","",INDEX('Quitados DUPP'!$G$1:$G$6635,AG3090))</f>
        <v/>
      </c>
      <c r="AJ3090" s="17" t="str">
        <f t="shared" si="3"/>
        <v/>
      </c>
    </row>
    <row r="3091" spans="31:36">
      <c r="AE3091" s="15" t="str">
        <f t="shared" si="0"/>
        <v/>
      </c>
      <c r="AF3091" s="15" t="str">
        <f t="shared" si="1"/>
        <v/>
      </c>
      <c r="AG3091" s="15" t="str">
        <f>IF(OR(AF3091="",AF3091="ERRO_CHAVE"),"",IFERROR(MATCH(AF3091,'Quitados DUPP'!$U$1:$U$6635,0),""))</f>
        <v/>
      </c>
      <c r="AH3091" s="15" t="str">
        <f t="shared" si="2"/>
        <v/>
      </c>
      <c r="AI3091" s="17" t="str">
        <f>IF(AG3091="","",INDEX('Quitados DUPP'!$G$1:$G$6635,AG3091))</f>
        <v/>
      </c>
      <c r="AJ3091" s="17" t="str">
        <f t="shared" si="3"/>
        <v/>
      </c>
    </row>
    <row r="3092" spans="31:36">
      <c r="AE3092" s="15" t="str">
        <f t="shared" si="0"/>
        <v/>
      </c>
      <c r="AF3092" s="15" t="str">
        <f t="shared" si="1"/>
        <v/>
      </c>
      <c r="AG3092" s="15" t="str">
        <f>IF(OR(AF3092="",AF3092="ERRO_CHAVE"),"",IFERROR(MATCH(AF3092,'Quitados DUPP'!$U$1:$U$6635,0),""))</f>
        <v/>
      </c>
      <c r="AH3092" s="15" t="str">
        <f t="shared" si="2"/>
        <v/>
      </c>
      <c r="AI3092" s="17" t="str">
        <f>IF(AG3092="","",INDEX('Quitados DUPP'!$G$1:$G$6635,AG3092))</f>
        <v/>
      </c>
      <c r="AJ3092" s="17" t="str">
        <f t="shared" si="3"/>
        <v/>
      </c>
    </row>
    <row r="3093" spans="31:36">
      <c r="AE3093" s="15" t="str">
        <f t="shared" si="0"/>
        <v/>
      </c>
      <c r="AF3093" s="15" t="str">
        <f t="shared" si="1"/>
        <v/>
      </c>
      <c r="AG3093" s="15" t="str">
        <f>IF(OR(AF3093="",AF3093="ERRO_CHAVE"),"",IFERROR(MATCH(AF3093,'Quitados DUPP'!$U$1:$U$6635,0),""))</f>
        <v/>
      </c>
      <c r="AH3093" s="15" t="str">
        <f t="shared" si="2"/>
        <v/>
      </c>
      <c r="AI3093" s="17" t="str">
        <f>IF(AG3093="","",INDEX('Quitados DUPP'!$G$1:$G$6635,AG3093))</f>
        <v/>
      </c>
      <c r="AJ3093" s="17" t="str">
        <f t="shared" si="3"/>
        <v/>
      </c>
    </row>
    <row r="3094" spans="31:36">
      <c r="AE3094" s="15" t="str">
        <f t="shared" si="0"/>
        <v/>
      </c>
      <c r="AF3094" s="15" t="str">
        <f t="shared" si="1"/>
        <v/>
      </c>
      <c r="AG3094" s="15" t="str">
        <f>IF(OR(AF3094="",AF3094="ERRO_CHAVE"),"",IFERROR(MATCH(AF3094,'Quitados DUPP'!$U$1:$U$6635,0),""))</f>
        <v/>
      </c>
      <c r="AH3094" s="15" t="str">
        <f t="shared" si="2"/>
        <v/>
      </c>
      <c r="AI3094" s="17" t="str">
        <f>IF(AG3094="","",INDEX('Quitados DUPP'!$G$1:$G$6635,AG3094))</f>
        <v/>
      </c>
      <c r="AJ3094" s="17" t="str">
        <f t="shared" si="3"/>
        <v/>
      </c>
    </row>
    <row r="3095" spans="31:36">
      <c r="AE3095" s="15" t="str">
        <f t="shared" si="0"/>
        <v/>
      </c>
      <c r="AF3095" s="15" t="str">
        <f t="shared" si="1"/>
        <v/>
      </c>
      <c r="AG3095" s="15" t="str">
        <f>IF(OR(AF3095="",AF3095="ERRO_CHAVE"),"",IFERROR(MATCH(AF3095,'Quitados DUPP'!$U$1:$U$6635,0),""))</f>
        <v/>
      </c>
      <c r="AH3095" s="15" t="str">
        <f t="shared" si="2"/>
        <v/>
      </c>
      <c r="AI3095" s="17" t="str">
        <f>IF(AG3095="","",INDEX('Quitados DUPP'!$G$1:$G$6635,AG3095))</f>
        <v/>
      </c>
      <c r="AJ3095" s="17" t="str">
        <f t="shared" si="3"/>
        <v/>
      </c>
    </row>
    <row r="3096" spans="31:36">
      <c r="AE3096" s="15" t="str">
        <f t="shared" si="0"/>
        <v/>
      </c>
      <c r="AF3096" s="15" t="str">
        <f t="shared" si="1"/>
        <v/>
      </c>
      <c r="AG3096" s="15" t="str">
        <f>IF(OR(AF3096="",AF3096="ERRO_CHAVE"),"",IFERROR(MATCH(AF3096,'Quitados DUPP'!$U$1:$U$6635,0),""))</f>
        <v/>
      </c>
      <c r="AH3096" s="15" t="str">
        <f t="shared" si="2"/>
        <v/>
      </c>
      <c r="AI3096" s="17" t="str">
        <f>IF(AG3096="","",INDEX('Quitados DUPP'!$G$1:$G$6635,AG3096))</f>
        <v/>
      </c>
      <c r="AJ3096" s="17" t="str">
        <f t="shared" si="3"/>
        <v/>
      </c>
    </row>
    <row r="3097" spans="31:36">
      <c r="AE3097" s="15" t="str">
        <f t="shared" si="0"/>
        <v/>
      </c>
      <c r="AF3097" s="15" t="str">
        <f t="shared" si="1"/>
        <v/>
      </c>
      <c r="AG3097" s="15" t="str">
        <f>IF(OR(AF3097="",AF3097="ERRO_CHAVE"),"",IFERROR(MATCH(AF3097,'Quitados DUPP'!$U$1:$U$6635,0),""))</f>
        <v/>
      </c>
      <c r="AH3097" s="15" t="str">
        <f t="shared" si="2"/>
        <v/>
      </c>
      <c r="AI3097" s="17" t="str">
        <f>IF(AG3097="","",INDEX('Quitados DUPP'!$G$1:$G$6635,AG3097))</f>
        <v/>
      </c>
      <c r="AJ3097" s="17" t="str">
        <f t="shared" si="3"/>
        <v/>
      </c>
    </row>
    <row r="3098" spans="31:36">
      <c r="AE3098" s="15" t="str">
        <f t="shared" si="0"/>
        <v/>
      </c>
      <c r="AF3098" s="15" t="str">
        <f t="shared" si="1"/>
        <v/>
      </c>
      <c r="AG3098" s="15" t="str">
        <f>IF(OR(AF3098="",AF3098="ERRO_CHAVE"),"",IFERROR(MATCH(AF3098,'Quitados DUPP'!$U$1:$U$6635,0),""))</f>
        <v/>
      </c>
      <c r="AH3098" s="15" t="str">
        <f t="shared" si="2"/>
        <v/>
      </c>
      <c r="AI3098" s="17" t="str">
        <f>IF(AG3098="","",INDEX('Quitados DUPP'!$G$1:$G$6635,AG3098))</f>
        <v/>
      </c>
      <c r="AJ3098" s="17" t="str">
        <f t="shared" si="3"/>
        <v/>
      </c>
    </row>
    <row r="3099" spans="31:36">
      <c r="AE3099" s="15" t="str">
        <f t="shared" si="0"/>
        <v/>
      </c>
      <c r="AF3099" s="15" t="str">
        <f t="shared" si="1"/>
        <v/>
      </c>
      <c r="AG3099" s="15" t="str">
        <f>IF(OR(AF3099="",AF3099="ERRO_CHAVE"),"",IFERROR(MATCH(AF3099,'Quitados DUPP'!$U$1:$U$6635,0),""))</f>
        <v/>
      </c>
      <c r="AH3099" s="15" t="str">
        <f t="shared" si="2"/>
        <v/>
      </c>
      <c r="AI3099" s="17" t="str">
        <f>IF(AG3099="","",INDEX('Quitados DUPP'!$G$1:$G$6635,AG3099))</f>
        <v/>
      </c>
      <c r="AJ3099" s="17" t="str">
        <f t="shared" si="3"/>
        <v/>
      </c>
    </row>
    <row r="3100" spans="31:36">
      <c r="AE3100" s="15" t="str">
        <f t="shared" si="0"/>
        <v/>
      </c>
      <c r="AF3100" s="15" t="str">
        <f t="shared" si="1"/>
        <v/>
      </c>
      <c r="AG3100" s="15" t="str">
        <f>IF(OR(AF3100="",AF3100="ERRO_CHAVE"),"",IFERROR(MATCH(AF3100,'Quitados DUPP'!$U$1:$U$6635,0),""))</f>
        <v/>
      </c>
      <c r="AH3100" s="15" t="str">
        <f t="shared" si="2"/>
        <v/>
      </c>
      <c r="AI3100" s="17" t="str">
        <f>IF(AG3100="","",INDEX('Quitados DUPP'!$G$1:$G$6635,AG3100))</f>
        <v/>
      </c>
      <c r="AJ3100" s="17" t="str">
        <f t="shared" si="3"/>
        <v/>
      </c>
    </row>
    <row r="3101" spans="31:36">
      <c r="AE3101" s="15" t="str">
        <f t="shared" si="0"/>
        <v/>
      </c>
      <c r="AF3101" s="15" t="str">
        <f t="shared" si="1"/>
        <v/>
      </c>
      <c r="AG3101" s="15" t="str">
        <f>IF(OR(AF3101="",AF3101="ERRO_CHAVE"),"",IFERROR(MATCH(AF3101,'Quitados DUPP'!$U$1:$U$6635,0),""))</f>
        <v/>
      </c>
      <c r="AH3101" s="15" t="str">
        <f t="shared" si="2"/>
        <v/>
      </c>
      <c r="AI3101" s="17" t="str">
        <f>IF(AG3101="","",INDEX('Quitados DUPP'!$G$1:$G$6635,AG3101))</f>
        <v/>
      </c>
      <c r="AJ3101" s="17" t="str">
        <f t="shared" si="3"/>
        <v/>
      </c>
    </row>
    <row r="3102" spans="31:36">
      <c r="AE3102" s="15" t="str">
        <f t="shared" si="0"/>
        <v/>
      </c>
      <c r="AF3102" s="15" t="str">
        <f t="shared" si="1"/>
        <v/>
      </c>
      <c r="AG3102" s="15" t="str">
        <f>IF(OR(AF3102="",AF3102="ERRO_CHAVE"),"",IFERROR(MATCH(AF3102,'Quitados DUPP'!$U$1:$U$6635,0),""))</f>
        <v/>
      </c>
      <c r="AH3102" s="15" t="str">
        <f t="shared" si="2"/>
        <v/>
      </c>
      <c r="AI3102" s="17" t="str">
        <f>IF(AG3102="","",INDEX('Quitados DUPP'!$G$1:$G$6635,AG3102))</f>
        <v/>
      </c>
      <c r="AJ3102" s="17" t="str">
        <f t="shared" si="3"/>
        <v/>
      </c>
    </row>
    <row r="3103" spans="31:36">
      <c r="AE3103" s="15" t="str">
        <f t="shared" si="0"/>
        <v/>
      </c>
      <c r="AF3103" s="15" t="str">
        <f t="shared" si="1"/>
        <v/>
      </c>
      <c r="AG3103" s="15" t="str">
        <f>IF(OR(AF3103="",AF3103="ERRO_CHAVE"),"",IFERROR(MATCH(AF3103,'Quitados DUPP'!$U$1:$U$6635,0),""))</f>
        <v/>
      </c>
      <c r="AH3103" s="15" t="str">
        <f t="shared" si="2"/>
        <v/>
      </c>
      <c r="AI3103" s="17" t="str">
        <f>IF(AG3103="","",INDEX('Quitados DUPP'!$G$1:$G$6635,AG3103))</f>
        <v/>
      </c>
      <c r="AJ3103" s="17" t="str">
        <f t="shared" si="3"/>
        <v/>
      </c>
    </row>
    <row r="3104" spans="31:36">
      <c r="AE3104" s="15" t="str">
        <f t="shared" si="0"/>
        <v/>
      </c>
      <c r="AF3104" s="15" t="str">
        <f t="shared" si="1"/>
        <v/>
      </c>
      <c r="AG3104" s="15" t="str">
        <f>IF(OR(AF3104="",AF3104="ERRO_CHAVE"),"",IFERROR(MATCH(AF3104,'Quitados DUPP'!$U$1:$U$6635,0),""))</f>
        <v/>
      </c>
      <c r="AH3104" s="15" t="str">
        <f t="shared" si="2"/>
        <v/>
      </c>
      <c r="AI3104" s="17" t="str">
        <f>IF(AG3104="","",INDEX('Quitados DUPP'!$G$1:$G$6635,AG3104))</f>
        <v/>
      </c>
      <c r="AJ3104" s="17" t="str">
        <f t="shared" si="3"/>
        <v/>
      </c>
    </row>
    <row r="3105" spans="31:36">
      <c r="AE3105" s="15" t="str">
        <f t="shared" si="0"/>
        <v/>
      </c>
      <c r="AF3105" s="15" t="str">
        <f t="shared" si="1"/>
        <v/>
      </c>
      <c r="AG3105" s="15" t="str">
        <f>IF(OR(AF3105="",AF3105="ERRO_CHAVE"),"",IFERROR(MATCH(AF3105,'Quitados DUPP'!$U$1:$U$6635,0),""))</f>
        <v/>
      </c>
      <c r="AH3105" s="15" t="str">
        <f t="shared" si="2"/>
        <v/>
      </c>
      <c r="AI3105" s="17" t="str">
        <f>IF(AG3105="","",INDEX('Quitados DUPP'!$G$1:$G$6635,AG3105))</f>
        <v/>
      </c>
      <c r="AJ3105" s="17" t="str">
        <f t="shared" si="3"/>
        <v/>
      </c>
    </row>
    <row r="3106" spans="31:36">
      <c r="AE3106" s="15" t="str">
        <f t="shared" si="0"/>
        <v/>
      </c>
      <c r="AF3106" s="15" t="str">
        <f t="shared" si="1"/>
        <v/>
      </c>
      <c r="AG3106" s="15" t="str">
        <f>IF(OR(AF3106="",AF3106="ERRO_CHAVE"),"",IFERROR(MATCH(AF3106,'Quitados DUPP'!$U$1:$U$6635,0),""))</f>
        <v/>
      </c>
      <c r="AH3106" s="15" t="str">
        <f t="shared" si="2"/>
        <v/>
      </c>
      <c r="AI3106" s="17" t="str">
        <f>IF(AG3106="","",INDEX('Quitados DUPP'!$G$1:$G$6635,AG3106))</f>
        <v/>
      </c>
      <c r="AJ3106" s="17" t="str">
        <f t="shared" si="3"/>
        <v/>
      </c>
    </row>
    <row r="3107" spans="31:36">
      <c r="AE3107" s="15" t="str">
        <f t="shared" si="0"/>
        <v/>
      </c>
      <c r="AF3107" s="15" t="str">
        <f t="shared" si="1"/>
        <v/>
      </c>
      <c r="AG3107" s="15" t="str">
        <f>IF(OR(AF3107="",AF3107="ERRO_CHAVE"),"",IFERROR(MATCH(AF3107,'Quitados DUPP'!$U$1:$U$6635,0),""))</f>
        <v/>
      </c>
      <c r="AH3107" s="15" t="str">
        <f t="shared" si="2"/>
        <v/>
      </c>
      <c r="AI3107" s="17" t="str">
        <f>IF(AG3107="","",INDEX('Quitados DUPP'!$G$1:$G$6635,AG3107))</f>
        <v/>
      </c>
      <c r="AJ3107" s="17" t="str">
        <f t="shared" si="3"/>
        <v/>
      </c>
    </row>
    <row r="3108" spans="31:36">
      <c r="AE3108" s="15" t="str">
        <f t="shared" si="0"/>
        <v/>
      </c>
      <c r="AF3108" s="15" t="str">
        <f t="shared" si="1"/>
        <v/>
      </c>
      <c r="AG3108" s="15" t="str">
        <f>IF(OR(AF3108="",AF3108="ERRO_CHAVE"),"",IFERROR(MATCH(AF3108,'Quitados DUPP'!$U$1:$U$6635,0),""))</f>
        <v/>
      </c>
      <c r="AH3108" s="15" t="str">
        <f t="shared" si="2"/>
        <v/>
      </c>
      <c r="AI3108" s="17" t="str">
        <f>IF(AG3108="","",INDEX('Quitados DUPP'!$G$1:$G$6635,AG3108))</f>
        <v/>
      </c>
      <c r="AJ3108" s="17" t="str">
        <f t="shared" si="3"/>
        <v/>
      </c>
    </row>
    <row r="3109" spans="31:36">
      <c r="AE3109" s="15" t="str">
        <f t="shared" si="0"/>
        <v/>
      </c>
      <c r="AF3109" s="15" t="str">
        <f t="shared" si="1"/>
        <v/>
      </c>
      <c r="AG3109" s="15" t="str">
        <f>IF(OR(AF3109="",AF3109="ERRO_CHAVE"),"",IFERROR(MATCH(AF3109,'Quitados DUPP'!$U$1:$U$6635,0),""))</f>
        <v/>
      </c>
      <c r="AH3109" s="15" t="str">
        <f t="shared" si="2"/>
        <v/>
      </c>
      <c r="AI3109" s="17" t="str">
        <f>IF(AG3109="","",INDEX('Quitados DUPP'!$G$1:$G$6635,AG3109))</f>
        <v/>
      </c>
      <c r="AJ3109" s="17" t="str">
        <f t="shared" si="3"/>
        <v/>
      </c>
    </row>
    <row r="3110" spans="31:36">
      <c r="AE3110" s="15" t="str">
        <f t="shared" si="0"/>
        <v/>
      </c>
      <c r="AF3110" s="15" t="str">
        <f t="shared" si="1"/>
        <v/>
      </c>
      <c r="AG3110" s="15" t="str">
        <f>IF(OR(AF3110="",AF3110="ERRO_CHAVE"),"",IFERROR(MATCH(AF3110,'Quitados DUPP'!$U$1:$U$6635,0),""))</f>
        <v/>
      </c>
      <c r="AH3110" s="15" t="str">
        <f t="shared" si="2"/>
        <v/>
      </c>
      <c r="AI3110" s="17" t="str">
        <f>IF(AG3110="","",INDEX('Quitados DUPP'!$G$1:$G$6635,AG3110))</f>
        <v/>
      </c>
      <c r="AJ3110" s="17" t="str">
        <f t="shared" si="3"/>
        <v/>
      </c>
    </row>
    <row r="3111" spans="31:36">
      <c r="AE3111" s="15" t="str">
        <f t="shared" si="0"/>
        <v/>
      </c>
      <c r="AF3111" s="15" t="str">
        <f t="shared" si="1"/>
        <v/>
      </c>
      <c r="AG3111" s="15" t="str">
        <f>IF(OR(AF3111="",AF3111="ERRO_CHAVE"),"",IFERROR(MATCH(AF3111,'Quitados DUPP'!$U$1:$U$6635,0),""))</f>
        <v/>
      </c>
      <c r="AH3111" s="15" t="str">
        <f t="shared" si="2"/>
        <v/>
      </c>
      <c r="AI3111" s="17" t="str">
        <f>IF(AG3111="","",INDEX('Quitados DUPP'!$G$1:$G$6635,AG3111))</f>
        <v/>
      </c>
      <c r="AJ3111" s="17" t="str">
        <f t="shared" si="3"/>
        <v/>
      </c>
    </row>
    <row r="3112" spans="31:36">
      <c r="AE3112" s="15" t="str">
        <f t="shared" si="0"/>
        <v/>
      </c>
      <c r="AF3112" s="15" t="str">
        <f t="shared" si="1"/>
        <v/>
      </c>
      <c r="AG3112" s="15" t="str">
        <f>IF(OR(AF3112="",AF3112="ERRO_CHAVE"),"",IFERROR(MATCH(AF3112,'Quitados DUPP'!$U$1:$U$6635,0),""))</f>
        <v/>
      </c>
      <c r="AH3112" s="15" t="str">
        <f t="shared" si="2"/>
        <v/>
      </c>
      <c r="AI3112" s="17" t="str">
        <f>IF(AG3112="","",INDEX('Quitados DUPP'!$G$1:$G$6635,AG3112))</f>
        <v/>
      </c>
      <c r="AJ3112" s="17" t="str">
        <f t="shared" si="3"/>
        <v/>
      </c>
    </row>
    <row r="3113" spans="31:36">
      <c r="AE3113" s="15" t="str">
        <f t="shared" si="0"/>
        <v/>
      </c>
      <c r="AF3113" s="15" t="str">
        <f t="shared" si="1"/>
        <v/>
      </c>
      <c r="AG3113" s="15" t="str">
        <f>IF(OR(AF3113="",AF3113="ERRO_CHAVE"),"",IFERROR(MATCH(AF3113,'Quitados DUPP'!$U$1:$U$6635,0),""))</f>
        <v/>
      </c>
      <c r="AH3113" s="15" t="str">
        <f t="shared" si="2"/>
        <v/>
      </c>
      <c r="AI3113" s="17" t="str">
        <f>IF(AG3113="","",INDEX('Quitados DUPP'!$G$1:$G$6635,AG3113))</f>
        <v/>
      </c>
      <c r="AJ3113" s="17" t="str">
        <f t="shared" si="3"/>
        <v/>
      </c>
    </row>
    <row r="3114" spans="31:36">
      <c r="AE3114" s="15" t="str">
        <f t="shared" si="0"/>
        <v/>
      </c>
      <c r="AF3114" s="15" t="str">
        <f t="shared" si="1"/>
        <v/>
      </c>
      <c r="AG3114" s="15" t="str">
        <f>IF(OR(AF3114="",AF3114="ERRO_CHAVE"),"",IFERROR(MATCH(AF3114,'Quitados DUPP'!$U$1:$U$6635,0),""))</f>
        <v/>
      </c>
      <c r="AH3114" s="15" t="str">
        <f t="shared" si="2"/>
        <v/>
      </c>
      <c r="AI3114" s="17" t="str">
        <f>IF(AG3114="","",INDEX('Quitados DUPP'!$G$1:$G$6635,AG3114))</f>
        <v/>
      </c>
      <c r="AJ3114" s="17" t="str">
        <f t="shared" si="3"/>
        <v/>
      </c>
    </row>
    <row r="3115" spans="31:36">
      <c r="AE3115" s="15" t="str">
        <f t="shared" si="0"/>
        <v/>
      </c>
      <c r="AF3115" s="15" t="str">
        <f t="shared" si="1"/>
        <v/>
      </c>
      <c r="AG3115" s="15" t="str">
        <f>IF(OR(AF3115="",AF3115="ERRO_CHAVE"),"",IFERROR(MATCH(AF3115,'Quitados DUPP'!$U$1:$U$6635,0),""))</f>
        <v/>
      </c>
      <c r="AH3115" s="15" t="str">
        <f t="shared" si="2"/>
        <v/>
      </c>
      <c r="AI3115" s="17" t="str">
        <f>IF(AG3115="","",INDEX('Quitados DUPP'!$G$1:$G$6635,AG3115))</f>
        <v/>
      </c>
      <c r="AJ3115" s="17" t="str">
        <f t="shared" si="3"/>
        <v/>
      </c>
    </row>
    <row r="3116" spans="31:36">
      <c r="AE3116" s="15" t="str">
        <f t="shared" si="0"/>
        <v/>
      </c>
      <c r="AF3116" s="15" t="str">
        <f t="shared" si="1"/>
        <v/>
      </c>
      <c r="AG3116" s="15" t="str">
        <f>IF(OR(AF3116="",AF3116="ERRO_CHAVE"),"",IFERROR(MATCH(AF3116,'Quitados DUPP'!$U$1:$U$6635,0),""))</f>
        <v/>
      </c>
      <c r="AH3116" s="15" t="str">
        <f t="shared" si="2"/>
        <v/>
      </c>
      <c r="AI3116" s="17" t="str">
        <f>IF(AG3116="","",INDEX('Quitados DUPP'!$G$1:$G$6635,AG3116))</f>
        <v/>
      </c>
      <c r="AJ3116" s="17" t="str">
        <f t="shared" si="3"/>
        <v/>
      </c>
    </row>
    <row r="3117" spans="31:36">
      <c r="AE3117" s="15" t="str">
        <f t="shared" si="0"/>
        <v/>
      </c>
      <c r="AF3117" s="15" t="str">
        <f t="shared" si="1"/>
        <v/>
      </c>
      <c r="AG3117" s="15" t="str">
        <f>IF(OR(AF3117="",AF3117="ERRO_CHAVE"),"",IFERROR(MATCH(AF3117,'Quitados DUPP'!$U$1:$U$6635,0),""))</f>
        <v/>
      </c>
      <c r="AH3117" s="15" t="str">
        <f t="shared" si="2"/>
        <v/>
      </c>
      <c r="AI3117" s="17" t="str">
        <f>IF(AG3117="","",INDEX('Quitados DUPP'!$G$1:$G$6635,AG3117))</f>
        <v/>
      </c>
      <c r="AJ3117" s="17" t="str">
        <f t="shared" si="3"/>
        <v/>
      </c>
    </row>
    <row r="3118" spans="31:36">
      <c r="AE3118" s="15" t="str">
        <f t="shared" si="0"/>
        <v/>
      </c>
      <c r="AF3118" s="15" t="str">
        <f t="shared" si="1"/>
        <v/>
      </c>
      <c r="AG3118" s="15" t="str">
        <f>IF(OR(AF3118="",AF3118="ERRO_CHAVE"),"",IFERROR(MATCH(AF3118,'Quitados DUPP'!$U$1:$U$6635,0),""))</f>
        <v/>
      </c>
      <c r="AH3118" s="15" t="str">
        <f t="shared" si="2"/>
        <v/>
      </c>
      <c r="AI3118" s="17" t="str">
        <f>IF(AG3118="","",INDEX('Quitados DUPP'!$G$1:$G$6635,AG3118))</f>
        <v/>
      </c>
      <c r="AJ3118" s="17" t="str">
        <f t="shared" si="3"/>
        <v/>
      </c>
    </row>
    <row r="3119" spans="31:36">
      <c r="AE3119" s="15" t="str">
        <f t="shared" si="0"/>
        <v/>
      </c>
      <c r="AF3119" s="15" t="str">
        <f t="shared" si="1"/>
        <v/>
      </c>
      <c r="AG3119" s="15" t="str">
        <f>IF(OR(AF3119="",AF3119="ERRO_CHAVE"),"",IFERROR(MATCH(AF3119,'Quitados DUPP'!$U$1:$U$6635,0),""))</f>
        <v/>
      </c>
      <c r="AH3119" s="15" t="str">
        <f t="shared" si="2"/>
        <v/>
      </c>
      <c r="AI3119" s="17" t="str">
        <f>IF(AG3119="","",INDEX('Quitados DUPP'!$G$1:$G$6635,AG3119))</f>
        <v/>
      </c>
      <c r="AJ3119" s="17" t="str">
        <f t="shared" si="3"/>
        <v/>
      </c>
    </row>
    <row r="3120" spans="31:36">
      <c r="AE3120" s="15" t="str">
        <f t="shared" si="0"/>
        <v/>
      </c>
      <c r="AF3120" s="15" t="str">
        <f t="shared" si="1"/>
        <v/>
      </c>
      <c r="AG3120" s="15" t="str">
        <f>IF(OR(AF3120="",AF3120="ERRO_CHAVE"),"",IFERROR(MATCH(AF3120,'Quitados DUPP'!$U$1:$U$6635,0),""))</f>
        <v/>
      </c>
      <c r="AH3120" s="15" t="str">
        <f t="shared" si="2"/>
        <v/>
      </c>
      <c r="AI3120" s="17" t="str">
        <f>IF(AG3120="","",INDEX('Quitados DUPP'!$G$1:$G$6635,AG3120))</f>
        <v/>
      </c>
      <c r="AJ3120" s="17" t="str">
        <f t="shared" si="3"/>
        <v/>
      </c>
    </row>
    <row r="3121" spans="31:36">
      <c r="AE3121" s="15" t="str">
        <f t="shared" si="0"/>
        <v/>
      </c>
      <c r="AF3121" s="15" t="str">
        <f t="shared" si="1"/>
        <v/>
      </c>
      <c r="AG3121" s="15" t="str">
        <f>IF(OR(AF3121="",AF3121="ERRO_CHAVE"),"",IFERROR(MATCH(AF3121,'Quitados DUPP'!$U$1:$U$6635,0),""))</f>
        <v/>
      </c>
      <c r="AH3121" s="15" t="str">
        <f t="shared" si="2"/>
        <v/>
      </c>
      <c r="AI3121" s="17" t="str">
        <f>IF(AG3121="","",INDEX('Quitados DUPP'!$G$1:$G$6635,AG3121))</f>
        <v/>
      </c>
      <c r="AJ3121" s="17" t="str">
        <f t="shared" si="3"/>
        <v/>
      </c>
    </row>
    <row r="3122" spans="31:36">
      <c r="AE3122" s="15" t="str">
        <f t="shared" si="0"/>
        <v/>
      </c>
      <c r="AF3122" s="15" t="str">
        <f t="shared" si="1"/>
        <v/>
      </c>
      <c r="AG3122" s="15" t="str">
        <f>IF(OR(AF3122="",AF3122="ERRO_CHAVE"),"",IFERROR(MATCH(AF3122,'Quitados DUPP'!$U$1:$U$6635,0),""))</f>
        <v/>
      </c>
      <c r="AH3122" s="15" t="str">
        <f t="shared" si="2"/>
        <v/>
      </c>
      <c r="AI3122" s="17" t="str">
        <f>IF(AG3122="","",INDEX('Quitados DUPP'!$G$1:$G$6635,AG3122))</f>
        <v/>
      </c>
      <c r="AJ3122" s="17" t="str">
        <f t="shared" si="3"/>
        <v/>
      </c>
    </row>
    <row r="3123" spans="31:36">
      <c r="AE3123" s="15" t="str">
        <f t="shared" si="0"/>
        <v/>
      </c>
      <c r="AF3123" s="15" t="str">
        <f t="shared" si="1"/>
        <v/>
      </c>
      <c r="AG3123" s="15" t="str">
        <f>IF(OR(AF3123="",AF3123="ERRO_CHAVE"),"",IFERROR(MATCH(AF3123,'Quitados DUPP'!$U$1:$U$6635,0),""))</f>
        <v/>
      </c>
      <c r="AH3123" s="15" t="str">
        <f t="shared" si="2"/>
        <v/>
      </c>
      <c r="AI3123" s="17" t="str">
        <f>IF(AG3123="","",INDEX('Quitados DUPP'!$G$1:$G$6635,AG3123))</f>
        <v/>
      </c>
      <c r="AJ3123" s="17" t="str">
        <f t="shared" si="3"/>
        <v/>
      </c>
    </row>
    <row r="3124" spans="31:36">
      <c r="AE3124" s="15" t="str">
        <f t="shared" si="0"/>
        <v/>
      </c>
      <c r="AF3124" s="15" t="str">
        <f t="shared" si="1"/>
        <v/>
      </c>
      <c r="AG3124" s="15" t="str">
        <f>IF(OR(AF3124="",AF3124="ERRO_CHAVE"),"",IFERROR(MATCH(AF3124,'Quitados DUPP'!$U$1:$U$6635,0),""))</f>
        <v/>
      </c>
      <c r="AH3124" s="15" t="str">
        <f t="shared" si="2"/>
        <v/>
      </c>
      <c r="AI3124" s="17" t="str">
        <f>IF(AG3124="","",INDEX('Quitados DUPP'!$G$1:$G$6635,AG3124))</f>
        <v/>
      </c>
      <c r="AJ3124" s="17" t="str">
        <f t="shared" si="3"/>
        <v/>
      </c>
    </row>
    <row r="3125" spans="31:36">
      <c r="AE3125" s="15" t="str">
        <f t="shared" si="0"/>
        <v/>
      </c>
      <c r="AF3125" s="15" t="str">
        <f t="shared" si="1"/>
        <v/>
      </c>
      <c r="AG3125" s="15" t="str">
        <f>IF(OR(AF3125="",AF3125="ERRO_CHAVE"),"",IFERROR(MATCH(AF3125,'Quitados DUPP'!$U$1:$U$6635,0),""))</f>
        <v/>
      </c>
      <c r="AH3125" s="15" t="str">
        <f t="shared" si="2"/>
        <v/>
      </c>
      <c r="AI3125" s="17" t="str">
        <f>IF(AG3125="","",INDEX('Quitados DUPP'!$G$1:$G$6635,AG3125))</f>
        <v/>
      </c>
      <c r="AJ3125" s="17" t="str">
        <f t="shared" si="3"/>
        <v/>
      </c>
    </row>
    <row r="3126" spans="31:36">
      <c r="AE3126" s="15" t="str">
        <f t="shared" si="0"/>
        <v/>
      </c>
      <c r="AF3126" s="15" t="str">
        <f t="shared" si="1"/>
        <v/>
      </c>
      <c r="AG3126" s="15" t="str">
        <f>IF(OR(AF3126="",AF3126="ERRO_CHAVE"),"",IFERROR(MATCH(AF3126,'Quitados DUPP'!$U$1:$U$6635,0),""))</f>
        <v/>
      </c>
      <c r="AH3126" s="15" t="str">
        <f t="shared" si="2"/>
        <v/>
      </c>
      <c r="AI3126" s="17" t="str">
        <f>IF(AG3126="","",INDEX('Quitados DUPP'!$G$1:$G$6635,AG3126))</f>
        <v/>
      </c>
      <c r="AJ3126" s="17" t="str">
        <f t="shared" si="3"/>
        <v/>
      </c>
    </row>
    <row r="3127" spans="31:36">
      <c r="AE3127" s="15" t="str">
        <f t="shared" si="0"/>
        <v/>
      </c>
      <c r="AF3127" s="15" t="str">
        <f t="shared" si="1"/>
        <v/>
      </c>
      <c r="AG3127" s="15" t="str">
        <f>IF(OR(AF3127="",AF3127="ERRO_CHAVE"),"",IFERROR(MATCH(AF3127,'Quitados DUPP'!$U$1:$U$6635,0),""))</f>
        <v/>
      </c>
      <c r="AH3127" s="15" t="str">
        <f t="shared" si="2"/>
        <v/>
      </c>
      <c r="AI3127" s="17" t="str">
        <f>IF(AG3127="","",INDEX('Quitados DUPP'!$G$1:$G$6635,AG3127))</f>
        <v/>
      </c>
      <c r="AJ3127" s="17" t="str">
        <f t="shared" si="3"/>
        <v/>
      </c>
    </row>
    <row r="3128" spans="31:36">
      <c r="AE3128" s="15" t="str">
        <f t="shared" si="0"/>
        <v/>
      </c>
      <c r="AF3128" s="15" t="str">
        <f t="shared" si="1"/>
        <v/>
      </c>
      <c r="AG3128" s="15" t="str">
        <f>IF(OR(AF3128="",AF3128="ERRO_CHAVE"),"",IFERROR(MATCH(AF3128,'Quitados DUPP'!$U$1:$U$6635,0),""))</f>
        <v/>
      </c>
      <c r="AH3128" s="15" t="str">
        <f t="shared" si="2"/>
        <v/>
      </c>
      <c r="AI3128" s="17" t="str">
        <f>IF(AG3128="","",INDEX('Quitados DUPP'!$G$1:$G$6635,AG3128))</f>
        <v/>
      </c>
      <c r="AJ3128" s="17" t="str">
        <f t="shared" si="3"/>
        <v/>
      </c>
    </row>
    <row r="3129" spans="31:36">
      <c r="AE3129" s="15" t="str">
        <f t="shared" si="0"/>
        <v/>
      </c>
      <c r="AF3129" s="15" t="str">
        <f t="shared" si="1"/>
        <v/>
      </c>
      <c r="AG3129" s="15" t="str">
        <f>IF(OR(AF3129="",AF3129="ERRO_CHAVE"),"",IFERROR(MATCH(AF3129,'Quitados DUPP'!$U$1:$U$6635,0),""))</f>
        <v/>
      </c>
      <c r="AH3129" s="15" t="str">
        <f t="shared" si="2"/>
        <v/>
      </c>
      <c r="AI3129" s="17" t="str">
        <f>IF(AG3129="","",INDEX('Quitados DUPP'!$G$1:$G$6635,AG3129))</f>
        <v/>
      </c>
      <c r="AJ3129" s="17" t="str">
        <f t="shared" si="3"/>
        <v/>
      </c>
    </row>
    <row r="3130" spans="31:36">
      <c r="AE3130" s="15" t="str">
        <f t="shared" si="0"/>
        <v/>
      </c>
      <c r="AF3130" s="15" t="str">
        <f t="shared" si="1"/>
        <v/>
      </c>
      <c r="AG3130" s="15" t="str">
        <f>IF(OR(AF3130="",AF3130="ERRO_CHAVE"),"",IFERROR(MATCH(AF3130,'Quitados DUPP'!$U$1:$U$6635,0),""))</f>
        <v/>
      </c>
      <c r="AH3130" s="15" t="str">
        <f t="shared" si="2"/>
        <v/>
      </c>
      <c r="AI3130" s="17" t="str">
        <f>IF(AG3130="","",INDEX('Quitados DUPP'!$G$1:$G$6635,AG3130))</f>
        <v/>
      </c>
      <c r="AJ3130" s="17" t="str">
        <f t="shared" si="3"/>
        <v/>
      </c>
    </row>
    <row r="3131" spans="31:36">
      <c r="AE3131" s="15" t="str">
        <f t="shared" si="0"/>
        <v/>
      </c>
      <c r="AF3131" s="15" t="str">
        <f t="shared" si="1"/>
        <v/>
      </c>
      <c r="AG3131" s="15" t="str">
        <f>IF(OR(AF3131="",AF3131="ERRO_CHAVE"),"",IFERROR(MATCH(AF3131,'Quitados DUPP'!$U$1:$U$6635,0),""))</f>
        <v/>
      </c>
      <c r="AH3131" s="15" t="str">
        <f t="shared" si="2"/>
        <v/>
      </c>
      <c r="AI3131" s="17" t="str">
        <f>IF(AG3131="","",INDEX('Quitados DUPP'!$G$1:$G$6635,AG3131))</f>
        <v/>
      </c>
      <c r="AJ3131" s="17" t="str">
        <f t="shared" si="3"/>
        <v/>
      </c>
    </row>
    <row r="3132" spans="31:36">
      <c r="AE3132" s="15" t="str">
        <f t="shared" si="0"/>
        <v/>
      </c>
      <c r="AF3132" s="15" t="str">
        <f t="shared" si="1"/>
        <v/>
      </c>
      <c r="AG3132" s="15" t="str">
        <f>IF(OR(AF3132="",AF3132="ERRO_CHAVE"),"",IFERROR(MATCH(AF3132,'Quitados DUPP'!$U$1:$U$6635,0),""))</f>
        <v/>
      </c>
      <c r="AH3132" s="15" t="str">
        <f t="shared" si="2"/>
        <v/>
      </c>
      <c r="AI3132" s="17" t="str">
        <f>IF(AG3132="","",INDEX('Quitados DUPP'!$G$1:$G$6635,AG3132))</f>
        <v/>
      </c>
      <c r="AJ3132" s="17" t="str">
        <f t="shared" si="3"/>
        <v/>
      </c>
    </row>
    <row r="3133" spans="31:36">
      <c r="AE3133" s="15" t="str">
        <f t="shared" si="0"/>
        <v/>
      </c>
      <c r="AF3133" s="15" t="str">
        <f t="shared" si="1"/>
        <v/>
      </c>
      <c r="AG3133" s="15" t="str">
        <f>IF(OR(AF3133="",AF3133="ERRO_CHAVE"),"",IFERROR(MATCH(AF3133,'Quitados DUPP'!$U$1:$U$6635,0),""))</f>
        <v/>
      </c>
      <c r="AH3133" s="15" t="str">
        <f t="shared" si="2"/>
        <v/>
      </c>
      <c r="AI3133" s="17" t="str">
        <f>IF(AG3133="","",INDEX('Quitados DUPP'!$G$1:$G$6635,AG3133))</f>
        <v/>
      </c>
      <c r="AJ3133" s="17" t="str">
        <f t="shared" si="3"/>
        <v/>
      </c>
    </row>
    <row r="3134" spans="31:36">
      <c r="AE3134" s="15" t="str">
        <f t="shared" si="0"/>
        <v/>
      </c>
      <c r="AF3134" s="15" t="str">
        <f t="shared" si="1"/>
        <v/>
      </c>
      <c r="AG3134" s="15" t="str">
        <f>IF(OR(AF3134="",AF3134="ERRO_CHAVE"),"",IFERROR(MATCH(AF3134,'Quitados DUPP'!$U$1:$U$6635,0),""))</f>
        <v/>
      </c>
      <c r="AH3134" s="15" t="str">
        <f t="shared" si="2"/>
        <v/>
      </c>
      <c r="AI3134" s="17" t="str">
        <f>IF(AG3134="","",INDEX('Quitados DUPP'!$G$1:$G$6635,AG3134))</f>
        <v/>
      </c>
      <c r="AJ3134" s="17" t="str">
        <f t="shared" si="3"/>
        <v/>
      </c>
    </row>
    <row r="3135" spans="31:36">
      <c r="AE3135" s="15" t="str">
        <f t="shared" si="0"/>
        <v/>
      </c>
      <c r="AF3135" s="15" t="str">
        <f t="shared" si="1"/>
        <v/>
      </c>
      <c r="AG3135" s="15" t="str">
        <f>IF(OR(AF3135="",AF3135="ERRO_CHAVE"),"",IFERROR(MATCH(AF3135,'Quitados DUPP'!$U$1:$U$6635,0),""))</f>
        <v/>
      </c>
      <c r="AH3135" s="15" t="str">
        <f t="shared" si="2"/>
        <v/>
      </c>
      <c r="AI3135" s="17" t="str">
        <f>IF(AG3135="","",INDEX('Quitados DUPP'!$G$1:$G$6635,AG3135))</f>
        <v/>
      </c>
      <c r="AJ3135" s="17" t="str">
        <f t="shared" si="3"/>
        <v/>
      </c>
    </row>
    <row r="3136" spans="31:36">
      <c r="AE3136" s="15" t="str">
        <f t="shared" si="0"/>
        <v/>
      </c>
      <c r="AF3136" s="15" t="str">
        <f t="shared" si="1"/>
        <v/>
      </c>
      <c r="AG3136" s="15" t="str">
        <f>IF(OR(AF3136="",AF3136="ERRO_CHAVE"),"",IFERROR(MATCH(AF3136,'Quitados DUPP'!$U$1:$U$6635,0),""))</f>
        <v/>
      </c>
      <c r="AH3136" s="15" t="str">
        <f t="shared" si="2"/>
        <v/>
      </c>
      <c r="AI3136" s="17" t="str">
        <f>IF(AG3136="","",INDEX('Quitados DUPP'!$G$1:$G$6635,AG3136))</f>
        <v/>
      </c>
      <c r="AJ3136" s="17" t="str">
        <f t="shared" si="3"/>
        <v/>
      </c>
    </row>
    <row r="3137" spans="31:36">
      <c r="AE3137" s="15" t="str">
        <f t="shared" si="0"/>
        <v/>
      </c>
      <c r="AF3137" s="15" t="str">
        <f t="shared" si="1"/>
        <v/>
      </c>
      <c r="AG3137" s="15" t="str">
        <f>IF(OR(AF3137="",AF3137="ERRO_CHAVE"),"",IFERROR(MATCH(AF3137,'Quitados DUPP'!$U$1:$U$6635,0),""))</f>
        <v/>
      </c>
      <c r="AH3137" s="15" t="str">
        <f t="shared" si="2"/>
        <v/>
      </c>
      <c r="AI3137" s="17" t="str">
        <f>IF(AG3137="","",INDEX('Quitados DUPP'!$G$1:$G$6635,AG3137))</f>
        <v/>
      </c>
      <c r="AJ3137" s="17" t="str">
        <f t="shared" si="3"/>
        <v/>
      </c>
    </row>
    <row r="3138" spans="31:36">
      <c r="AE3138" s="15" t="str">
        <f t="shared" si="0"/>
        <v/>
      </c>
      <c r="AF3138" s="15" t="str">
        <f t="shared" si="1"/>
        <v/>
      </c>
      <c r="AG3138" s="15" t="str">
        <f>IF(OR(AF3138="",AF3138="ERRO_CHAVE"),"",IFERROR(MATCH(AF3138,'Quitados DUPP'!$U$1:$U$6635,0),""))</f>
        <v/>
      </c>
      <c r="AH3138" s="15" t="str">
        <f t="shared" si="2"/>
        <v/>
      </c>
      <c r="AI3138" s="17" t="str">
        <f>IF(AG3138="","",INDEX('Quitados DUPP'!$G$1:$G$6635,AG3138))</f>
        <v/>
      </c>
      <c r="AJ3138" s="17" t="str">
        <f t="shared" si="3"/>
        <v/>
      </c>
    </row>
    <row r="3139" spans="31:36">
      <c r="AE3139" s="15" t="str">
        <f t="shared" si="0"/>
        <v/>
      </c>
      <c r="AF3139" s="15" t="str">
        <f t="shared" si="1"/>
        <v/>
      </c>
      <c r="AG3139" s="15" t="str">
        <f>IF(OR(AF3139="",AF3139="ERRO_CHAVE"),"",IFERROR(MATCH(AF3139,'Quitados DUPP'!$U$1:$U$6635,0),""))</f>
        <v/>
      </c>
      <c r="AH3139" s="15" t="str">
        <f t="shared" si="2"/>
        <v/>
      </c>
      <c r="AI3139" s="17" t="str">
        <f>IF(AG3139="","",INDEX('Quitados DUPP'!$G$1:$G$6635,AG3139))</f>
        <v/>
      </c>
      <c r="AJ3139" s="17" t="str">
        <f t="shared" si="3"/>
        <v/>
      </c>
    </row>
    <row r="3140" spans="31:36">
      <c r="AE3140" s="15" t="str">
        <f t="shared" si="0"/>
        <v/>
      </c>
      <c r="AF3140" s="15" t="str">
        <f t="shared" si="1"/>
        <v/>
      </c>
      <c r="AG3140" s="15" t="str">
        <f>IF(OR(AF3140="",AF3140="ERRO_CHAVE"),"",IFERROR(MATCH(AF3140,'Quitados DUPP'!$U$1:$U$6635,0),""))</f>
        <v/>
      </c>
      <c r="AH3140" s="15" t="str">
        <f t="shared" si="2"/>
        <v/>
      </c>
      <c r="AI3140" s="17" t="str">
        <f>IF(AG3140="","",INDEX('Quitados DUPP'!$G$1:$G$6635,AG3140))</f>
        <v/>
      </c>
      <c r="AJ3140" s="17" t="str">
        <f t="shared" si="3"/>
        <v/>
      </c>
    </row>
    <row r="3141" spans="31:36">
      <c r="AE3141" s="15" t="str">
        <f t="shared" si="0"/>
        <v/>
      </c>
      <c r="AF3141" s="15" t="str">
        <f t="shared" si="1"/>
        <v/>
      </c>
      <c r="AG3141" s="15" t="str">
        <f>IF(OR(AF3141="",AF3141="ERRO_CHAVE"),"",IFERROR(MATCH(AF3141,'Quitados DUPP'!$U$1:$U$6635,0),""))</f>
        <v/>
      </c>
      <c r="AH3141" s="15" t="str">
        <f t="shared" si="2"/>
        <v/>
      </c>
      <c r="AI3141" s="17" t="str">
        <f>IF(AG3141="","",INDEX('Quitados DUPP'!$G$1:$G$6635,AG3141))</f>
        <v/>
      </c>
      <c r="AJ3141" s="17" t="str">
        <f t="shared" si="3"/>
        <v/>
      </c>
    </row>
    <row r="3142" spans="31:36">
      <c r="AE3142" s="15" t="str">
        <f t="shared" si="0"/>
        <v/>
      </c>
      <c r="AF3142" s="15" t="str">
        <f t="shared" si="1"/>
        <v/>
      </c>
      <c r="AG3142" s="15" t="str">
        <f>IF(OR(AF3142="",AF3142="ERRO_CHAVE"),"",IFERROR(MATCH(AF3142,'Quitados DUPP'!$U$1:$U$6635,0),""))</f>
        <v/>
      </c>
      <c r="AH3142" s="15" t="str">
        <f t="shared" si="2"/>
        <v/>
      </c>
      <c r="AI3142" s="17" t="str">
        <f>IF(AG3142="","",INDEX('Quitados DUPP'!$G$1:$G$6635,AG3142))</f>
        <v/>
      </c>
      <c r="AJ3142" s="17" t="str">
        <f t="shared" si="3"/>
        <v/>
      </c>
    </row>
    <row r="3143" spans="31:36">
      <c r="AE3143" s="15" t="str">
        <f t="shared" si="0"/>
        <v/>
      </c>
      <c r="AF3143" s="15" t="str">
        <f t="shared" si="1"/>
        <v/>
      </c>
      <c r="AG3143" s="15" t="str">
        <f>IF(OR(AF3143="",AF3143="ERRO_CHAVE"),"",IFERROR(MATCH(AF3143,'Quitados DUPP'!$U$1:$U$6635,0),""))</f>
        <v/>
      </c>
      <c r="AH3143" s="15" t="str">
        <f t="shared" si="2"/>
        <v/>
      </c>
      <c r="AI3143" s="17" t="str">
        <f>IF(AG3143="","",INDEX('Quitados DUPP'!$G$1:$G$6635,AG3143))</f>
        <v/>
      </c>
      <c r="AJ3143" s="17" t="str">
        <f t="shared" si="3"/>
        <v/>
      </c>
    </row>
    <row r="3144" spans="31:36">
      <c r="AE3144" s="15" t="str">
        <f t="shared" si="0"/>
        <v/>
      </c>
      <c r="AF3144" s="15" t="str">
        <f t="shared" si="1"/>
        <v/>
      </c>
      <c r="AG3144" s="15" t="str">
        <f>IF(OR(AF3144="",AF3144="ERRO_CHAVE"),"",IFERROR(MATCH(AF3144,'Quitados DUPP'!$U$1:$U$6635,0),""))</f>
        <v/>
      </c>
      <c r="AH3144" s="15" t="str">
        <f t="shared" si="2"/>
        <v/>
      </c>
      <c r="AI3144" s="17" t="str">
        <f>IF(AG3144="","",INDEX('Quitados DUPP'!$G$1:$G$6635,AG3144))</f>
        <v/>
      </c>
      <c r="AJ3144" s="17" t="str">
        <f t="shared" si="3"/>
        <v/>
      </c>
    </row>
    <row r="3145" spans="31:36">
      <c r="AE3145" s="15" t="str">
        <f t="shared" si="0"/>
        <v/>
      </c>
      <c r="AF3145" s="15" t="str">
        <f t="shared" si="1"/>
        <v/>
      </c>
      <c r="AG3145" s="15" t="str">
        <f>IF(OR(AF3145="",AF3145="ERRO_CHAVE"),"",IFERROR(MATCH(AF3145,'Quitados DUPP'!$U$1:$U$6635,0),""))</f>
        <v/>
      </c>
      <c r="AH3145" s="15" t="str">
        <f t="shared" si="2"/>
        <v/>
      </c>
      <c r="AI3145" s="17" t="str">
        <f>IF(AG3145="","",INDEX('Quitados DUPP'!$G$1:$G$6635,AG3145))</f>
        <v/>
      </c>
      <c r="AJ3145" s="17" t="str">
        <f t="shared" si="3"/>
        <v/>
      </c>
    </row>
    <row r="3146" spans="31:36">
      <c r="AE3146" s="15" t="str">
        <f t="shared" si="0"/>
        <v/>
      </c>
      <c r="AF3146" s="15" t="str">
        <f t="shared" si="1"/>
        <v/>
      </c>
      <c r="AG3146" s="15" t="str">
        <f>IF(OR(AF3146="",AF3146="ERRO_CHAVE"),"",IFERROR(MATCH(AF3146,'Quitados DUPP'!$U$1:$U$6635,0),""))</f>
        <v/>
      </c>
      <c r="AH3146" s="15" t="str">
        <f t="shared" si="2"/>
        <v/>
      </c>
      <c r="AI3146" s="17" t="str">
        <f>IF(AG3146="","",INDEX('Quitados DUPP'!$G$1:$G$6635,AG3146))</f>
        <v/>
      </c>
      <c r="AJ3146" s="17" t="str">
        <f t="shared" si="3"/>
        <v/>
      </c>
    </row>
    <row r="3147" spans="31:36">
      <c r="AE3147" s="15" t="str">
        <f t="shared" si="0"/>
        <v/>
      </c>
      <c r="AF3147" s="15" t="str">
        <f t="shared" si="1"/>
        <v/>
      </c>
      <c r="AG3147" s="15" t="str">
        <f>IF(OR(AF3147="",AF3147="ERRO_CHAVE"),"",IFERROR(MATCH(AF3147,'Quitados DUPP'!$U$1:$U$6635,0),""))</f>
        <v/>
      </c>
      <c r="AH3147" s="15" t="str">
        <f t="shared" si="2"/>
        <v/>
      </c>
      <c r="AI3147" s="17" t="str">
        <f>IF(AG3147="","",INDEX('Quitados DUPP'!$G$1:$G$6635,AG3147))</f>
        <v/>
      </c>
      <c r="AJ3147" s="17" t="str">
        <f t="shared" si="3"/>
        <v/>
      </c>
    </row>
    <row r="3148" spans="31:36">
      <c r="AE3148" s="15" t="str">
        <f t="shared" si="0"/>
        <v/>
      </c>
      <c r="AF3148" s="15" t="str">
        <f t="shared" si="1"/>
        <v/>
      </c>
      <c r="AG3148" s="15" t="str">
        <f>IF(OR(AF3148="",AF3148="ERRO_CHAVE"),"",IFERROR(MATCH(AF3148,'Quitados DUPP'!$U$1:$U$6635,0),""))</f>
        <v/>
      </c>
      <c r="AH3148" s="15" t="str">
        <f t="shared" si="2"/>
        <v/>
      </c>
      <c r="AI3148" s="17" t="str">
        <f>IF(AG3148="","",INDEX('Quitados DUPP'!$G$1:$G$6635,AG3148))</f>
        <v/>
      </c>
      <c r="AJ3148" s="17" t="str">
        <f t="shared" si="3"/>
        <v/>
      </c>
    </row>
    <row r="3149" spans="31:36">
      <c r="AE3149" s="15" t="str">
        <f t="shared" si="0"/>
        <v/>
      </c>
      <c r="AF3149" s="15" t="str">
        <f t="shared" si="1"/>
        <v/>
      </c>
      <c r="AG3149" s="15" t="str">
        <f>IF(OR(AF3149="",AF3149="ERRO_CHAVE"),"",IFERROR(MATCH(AF3149,'Quitados DUPP'!$U$1:$U$6635,0),""))</f>
        <v/>
      </c>
      <c r="AH3149" s="15" t="str">
        <f t="shared" si="2"/>
        <v/>
      </c>
      <c r="AI3149" s="17" t="str">
        <f>IF(AG3149="","",INDEX('Quitados DUPP'!$G$1:$G$6635,AG3149))</f>
        <v/>
      </c>
      <c r="AJ3149" s="17" t="str">
        <f t="shared" si="3"/>
        <v/>
      </c>
    </row>
    <row r="3150" spans="31:36">
      <c r="AE3150" s="15" t="str">
        <f t="shared" si="0"/>
        <v/>
      </c>
      <c r="AF3150" s="15" t="str">
        <f t="shared" si="1"/>
        <v/>
      </c>
      <c r="AG3150" s="15" t="str">
        <f>IF(OR(AF3150="",AF3150="ERRO_CHAVE"),"",IFERROR(MATCH(AF3150,'Quitados DUPP'!$U$1:$U$6635,0),""))</f>
        <v/>
      </c>
      <c r="AH3150" s="15" t="str">
        <f t="shared" si="2"/>
        <v/>
      </c>
      <c r="AI3150" s="17" t="str">
        <f>IF(AG3150="","",INDEX('Quitados DUPP'!$G$1:$G$6635,AG3150))</f>
        <v/>
      </c>
      <c r="AJ3150" s="17" t="str">
        <f t="shared" si="3"/>
        <v/>
      </c>
    </row>
    <row r="3151" spans="31:36">
      <c r="AE3151" s="15" t="str">
        <f t="shared" si="0"/>
        <v/>
      </c>
      <c r="AF3151" s="15" t="str">
        <f t="shared" si="1"/>
        <v/>
      </c>
      <c r="AG3151" s="15" t="str">
        <f>IF(OR(AF3151="",AF3151="ERRO_CHAVE"),"",IFERROR(MATCH(AF3151,'Quitados DUPP'!$U$1:$U$6635,0),""))</f>
        <v/>
      </c>
      <c r="AH3151" s="15" t="str">
        <f t="shared" si="2"/>
        <v/>
      </c>
      <c r="AI3151" s="17" t="str">
        <f>IF(AG3151="","",INDEX('Quitados DUPP'!$G$1:$G$6635,AG3151))</f>
        <v/>
      </c>
      <c r="AJ3151" s="17" t="str">
        <f t="shared" si="3"/>
        <v/>
      </c>
    </row>
    <row r="3152" spans="31:36">
      <c r="AE3152" s="15" t="str">
        <f t="shared" si="0"/>
        <v/>
      </c>
      <c r="AF3152" s="15" t="str">
        <f t="shared" si="1"/>
        <v/>
      </c>
      <c r="AG3152" s="15" t="str">
        <f>IF(OR(AF3152="",AF3152="ERRO_CHAVE"),"",IFERROR(MATCH(AF3152,'Quitados DUPP'!$U$1:$U$6635,0),""))</f>
        <v/>
      </c>
      <c r="AH3152" s="15" t="str">
        <f t="shared" si="2"/>
        <v/>
      </c>
      <c r="AI3152" s="17" t="str">
        <f>IF(AG3152="","",INDEX('Quitados DUPP'!$G$1:$G$6635,AG3152))</f>
        <v/>
      </c>
      <c r="AJ3152" s="17" t="str">
        <f t="shared" si="3"/>
        <v/>
      </c>
    </row>
    <row r="3153" spans="31:36">
      <c r="AE3153" s="15" t="str">
        <f t="shared" si="0"/>
        <v/>
      </c>
      <c r="AF3153" s="15" t="str">
        <f t="shared" si="1"/>
        <v/>
      </c>
      <c r="AG3153" s="15" t="str">
        <f>IF(OR(AF3153="",AF3153="ERRO_CHAVE"),"",IFERROR(MATCH(AF3153,'Quitados DUPP'!$U$1:$U$6635,0),""))</f>
        <v/>
      </c>
      <c r="AH3153" s="15" t="str">
        <f t="shared" si="2"/>
        <v/>
      </c>
      <c r="AI3153" s="17" t="str">
        <f>IF(AG3153="","",INDEX('Quitados DUPP'!$G$1:$G$6635,AG3153))</f>
        <v/>
      </c>
      <c r="AJ3153" s="17" t="str">
        <f t="shared" si="3"/>
        <v/>
      </c>
    </row>
    <row r="3154" spans="31:36">
      <c r="AE3154" s="15" t="str">
        <f t="shared" si="0"/>
        <v/>
      </c>
      <c r="AF3154" s="15" t="str">
        <f t="shared" si="1"/>
        <v/>
      </c>
      <c r="AG3154" s="15" t="str">
        <f>IF(OR(AF3154="",AF3154="ERRO_CHAVE"),"",IFERROR(MATCH(AF3154,'Quitados DUPP'!$U$1:$U$6635,0),""))</f>
        <v/>
      </c>
      <c r="AH3154" s="15" t="str">
        <f t="shared" si="2"/>
        <v/>
      </c>
      <c r="AI3154" s="17" t="str">
        <f>IF(AG3154="","",INDEX('Quitados DUPP'!$G$1:$G$6635,AG3154))</f>
        <v/>
      </c>
      <c r="AJ3154" s="17" t="str">
        <f t="shared" si="3"/>
        <v/>
      </c>
    </row>
    <row r="3155" spans="31:36">
      <c r="AE3155" s="15" t="str">
        <f t="shared" si="0"/>
        <v/>
      </c>
      <c r="AF3155" s="15" t="str">
        <f t="shared" si="1"/>
        <v/>
      </c>
      <c r="AG3155" s="15" t="str">
        <f>IF(OR(AF3155="",AF3155="ERRO_CHAVE"),"",IFERROR(MATCH(AF3155,'Quitados DUPP'!$U$1:$U$6635,0),""))</f>
        <v/>
      </c>
      <c r="AH3155" s="15" t="str">
        <f t="shared" si="2"/>
        <v/>
      </c>
      <c r="AI3155" s="17" t="str">
        <f>IF(AG3155="","",INDEX('Quitados DUPP'!$G$1:$G$6635,AG3155))</f>
        <v/>
      </c>
      <c r="AJ3155" s="17" t="str">
        <f t="shared" si="3"/>
        <v/>
      </c>
    </row>
    <row r="3156" spans="31:36">
      <c r="AE3156" s="15" t="str">
        <f t="shared" si="0"/>
        <v/>
      </c>
      <c r="AF3156" s="15" t="str">
        <f t="shared" si="1"/>
        <v/>
      </c>
      <c r="AG3156" s="15" t="str">
        <f>IF(OR(AF3156="",AF3156="ERRO_CHAVE"),"",IFERROR(MATCH(AF3156,'Quitados DUPP'!$U$1:$U$6635,0),""))</f>
        <v/>
      </c>
      <c r="AH3156" s="15" t="str">
        <f t="shared" si="2"/>
        <v/>
      </c>
      <c r="AI3156" s="17" t="str">
        <f>IF(AG3156="","",INDEX('Quitados DUPP'!$G$1:$G$6635,AG3156))</f>
        <v/>
      </c>
      <c r="AJ3156" s="17" t="str">
        <f t="shared" si="3"/>
        <v/>
      </c>
    </row>
    <row r="3157" spans="31:36">
      <c r="AE3157" s="15" t="str">
        <f t="shared" si="0"/>
        <v/>
      </c>
      <c r="AF3157" s="15" t="str">
        <f t="shared" si="1"/>
        <v/>
      </c>
      <c r="AG3157" s="15" t="str">
        <f>IF(OR(AF3157="",AF3157="ERRO_CHAVE"),"",IFERROR(MATCH(AF3157,'Quitados DUPP'!$U$1:$U$6635,0),""))</f>
        <v/>
      </c>
      <c r="AH3157" s="15" t="str">
        <f t="shared" si="2"/>
        <v/>
      </c>
      <c r="AI3157" s="17" t="str">
        <f>IF(AG3157="","",INDEX('Quitados DUPP'!$G$1:$G$6635,AG3157))</f>
        <v/>
      </c>
      <c r="AJ3157" s="17" t="str">
        <f t="shared" si="3"/>
        <v/>
      </c>
    </row>
    <row r="3158" spans="31:36">
      <c r="AE3158" s="15" t="str">
        <f t="shared" si="0"/>
        <v/>
      </c>
      <c r="AF3158" s="15" t="str">
        <f t="shared" si="1"/>
        <v/>
      </c>
      <c r="AG3158" s="15" t="str">
        <f>IF(OR(AF3158="",AF3158="ERRO_CHAVE"),"",IFERROR(MATCH(AF3158,'Quitados DUPP'!$U$1:$U$6635,0),""))</f>
        <v/>
      </c>
      <c r="AH3158" s="15" t="str">
        <f t="shared" si="2"/>
        <v/>
      </c>
      <c r="AI3158" s="17" t="str">
        <f>IF(AG3158="","",INDEX('Quitados DUPP'!$G$1:$G$6635,AG3158))</f>
        <v/>
      </c>
      <c r="AJ3158" s="17" t="str">
        <f t="shared" si="3"/>
        <v/>
      </c>
    </row>
    <row r="3159" spans="31:36">
      <c r="AE3159" s="15" t="str">
        <f t="shared" si="0"/>
        <v/>
      </c>
      <c r="AF3159" s="15" t="str">
        <f t="shared" si="1"/>
        <v/>
      </c>
      <c r="AG3159" s="15" t="str">
        <f>IF(OR(AF3159="",AF3159="ERRO_CHAVE"),"",IFERROR(MATCH(AF3159,'Quitados DUPP'!$U$1:$U$6635,0),""))</f>
        <v/>
      </c>
      <c r="AH3159" s="15" t="str">
        <f t="shared" si="2"/>
        <v/>
      </c>
      <c r="AI3159" s="17" t="str">
        <f>IF(AG3159="","",INDEX('Quitados DUPP'!$G$1:$G$6635,AG3159))</f>
        <v/>
      </c>
      <c r="AJ3159" s="17" t="str">
        <f t="shared" si="3"/>
        <v/>
      </c>
    </row>
    <row r="3160" spans="31:36">
      <c r="AE3160" s="15" t="str">
        <f t="shared" si="0"/>
        <v/>
      </c>
      <c r="AF3160" s="15" t="str">
        <f t="shared" si="1"/>
        <v/>
      </c>
      <c r="AG3160" s="15" t="str">
        <f>IF(OR(AF3160="",AF3160="ERRO_CHAVE"),"",IFERROR(MATCH(AF3160,'Quitados DUPP'!$U$1:$U$6635,0),""))</f>
        <v/>
      </c>
      <c r="AH3160" s="15" t="str">
        <f t="shared" si="2"/>
        <v/>
      </c>
      <c r="AI3160" s="17" t="str">
        <f>IF(AG3160="","",INDEX('Quitados DUPP'!$G$1:$G$6635,AG3160))</f>
        <v/>
      </c>
      <c r="AJ3160" s="17" t="str">
        <f t="shared" si="3"/>
        <v/>
      </c>
    </row>
    <row r="3161" spans="31:36">
      <c r="AE3161" s="15" t="str">
        <f t="shared" si="0"/>
        <v/>
      </c>
      <c r="AF3161" s="15" t="str">
        <f t="shared" si="1"/>
        <v/>
      </c>
      <c r="AG3161" s="15" t="str">
        <f>IF(OR(AF3161="",AF3161="ERRO_CHAVE"),"",IFERROR(MATCH(AF3161,'Quitados DUPP'!$U$1:$U$6635,0),""))</f>
        <v/>
      </c>
      <c r="AH3161" s="15" t="str">
        <f t="shared" si="2"/>
        <v/>
      </c>
      <c r="AI3161" s="17" t="str">
        <f>IF(AG3161="","",INDEX('Quitados DUPP'!$G$1:$G$6635,AG3161))</f>
        <v/>
      </c>
      <c r="AJ3161" s="17" t="str">
        <f t="shared" si="3"/>
        <v/>
      </c>
    </row>
    <row r="3162" spans="31:36">
      <c r="AE3162" s="15" t="str">
        <f t="shared" si="0"/>
        <v/>
      </c>
      <c r="AF3162" s="15" t="str">
        <f t="shared" si="1"/>
        <v/>
      </c>
      <c r="AG3162" s="15" t="str">
        <f>IF(OR(AF3162="",AF3162="ERRO_CHAVE"),"",IFERROR(MATCH(AF3162,'Quitados DUPP'!$U$1:$U$6635,0),""))</f>
        <v/>
      </c>
      <c r="AH3162" s="15" t="str">
        <f t="shared" si="2"/>
        <v/>
      </c>
      <c r="AI3162" s="17" t="str">
        <f>IF(AG3162="","",INDEX('Quitados DUPP'!$G$1:$G$6635,AG3162))</f>
        <v/>
      </c>
      <c r="AJ3162" s="17" t="str">
        <f t="shared" si="3"/>
        <v/>
      </c>
    </row>
    <row r="3163" spans="31:36">
      <c r="AE3163" s="15" t="str">
        <f t="shared" si="0"/>
        <v/>
      </c>
      <c r="AF3163" s="15" t="str">
        <f t="shared" si="1"/>
        <v/>
      </c>
      <c r="AG3163" s="15" t="str">
        <f>IF(OR(AF3163="",AF3163="ERRO_CHAVE"),"",IFERROR(MATCH(AF3163,'Quitados DUPP'!$U$1:$U$6635,0),""))</f>
        <v/>
      </c>
      <c r="AH3163" s="15" t="str">
        <f t="shared" si="2"/>
        <v/>
      </c>
      <c r="AI3163" s="17" t="str">
        <f>IF(AG3163="","",INDEX('Quitados DUPP'!$G$1:$G$6635,AG3163))</f>
        <v/>
      </c>
      <c r="AJ3163" s="17" t="str">
        <f t="shared" si="3"/>
        <v/>
      </c>
    </row>
    <row r="3164" spans="31:36">
      <c r="AE3164" s="15" t="str">
        <f t="shared" si="0"/>
        <v/>
      </c>
      <c r="AF3164" s="15" t="str">
        <f t="shared" si="1"/>
        <v/>
      </c>
      <c r="AG3164" s="15" t="str">
        <f>IF(OR(AF3164="",AF3164="ERRO_CHAVE"),"",IFERROR(MATCH(AF3164,'Quitados DUPP'!$U$1:$U$6635,0),""))</f>
        <v/>
      </c>
      <c r="AH3164" s="15" t="str">
        <f t="shared" si="2"/>
        <v/>
      </c>
      <c r="AI3164" s="17" t="str">
        <f>IF(AG3164="","",INDEX('Quitados DUPP'!$G$1:$G$6635,AG3164))</f>
        <v/>
      </c>
      <c r="AJ3164" s="17" t="str">
        <f t="shared" si="3"/>
        <v/>
      </c>
    </row>
    <row r="3165" spans="31:36">
      <c r="AE3165" s="15" t="str">
        <f t="shared" si="0"/>
        <v/>
      </c>
      <c r="AF3165" s="15" t="str">
        <f t="shared" si="1"/>
        <v/>
      </c>
      <c r="AG3165" s="15" t="str">
        <f>IF(OR(AF3165="",AF3165="ERRO_CHAVE"),"",IFERROR(MATCH(AF3165,'Quitados DUPP'!$U$1:$U$6635,0),""))</f>
        <v/>
      </c>
      <c r="AH3165" s="15" t="str">
        <f t="shared" si="2"/>
        <v/>
      </c>
      <c r="AI3165" s="17" t="str">
        <f>IF(AG3165="","",INDEX('Quitados DUPP'!$G$1:$G$6635,AG3165))</f>
        <v/>
      </c>
      <c r="AJ3165" s="17" t="str">
        <f t="shared" si="3"/>
        <v/>
      </c>
    </row>
    <row r="3166" spans="31:36">
      <c r="AE3166" s="15" t="str">
        <f t="shared" si="0"/>
        <v/>
      </c>
      <c r="AF3166" s="15" t="str">
        <f t="shared" si="1"/>
        <v/>
      </c>
      <c r="AG3166" s="15" t="str">
        <f>IF(OR(AF3166="",AF3166="ERRO_CHAVE"),"",IFERROR(MATCH(AF3166,'Quitados DUPP'!$U$1:$U$6635,0),""))</f>
        <v/>
      </c>
      <c r="AH3166" s="15" t="str">
        <f t="shared" si="2"/>
        <v/>
      </c>
      <c r="AI3166" s="17" t="str">
        <f>IF(AG3166="","",INDEX('Quitados DUPP'!$G$1:$G$6635,AG3166))</f>
        <v/>
      </c>
      <c r="AJ3166" s="17" t="str">
        <f t="shared" si="3"/>
        <v/>
      </c>
    </row>
    <row r="3167" spans="31:36">
      <c r="AE3167" s="15" t="str">
        <f t="shared" si="0"/>
        <v/>
      </c>
      <c r="AF3167" s="15" t="str">
        <f t="shared" si="1"/>
        <v/>
      </c>
      <c r="AG3167" s="15" t="str">
        <f>IF(OR(AF3167="",AF3167="ERRO_CHAVE"),"",IFERROR(MATCH(AF3167,'Quitados DUPP'!$U$1:$U$6635,0),""))</f>
        <v/>
      </c>
      <c r="AH3167" s="15" t="str">
        <f t="shared" si="2"/>
        <v/>
      </c>
      <c r="AI3167" s="17" t="str">
        <f>IF(AG3167="","",INDEX('Quitados DUPP'!$G$1:$G$6635,AG3167))</f>
        <v/>
      </c>
      <c r="AJ3167" s="17" t="str">
        <f t="shared" si="3"/>
        <v/>
      </c>
    </row>
    <row r="3168" spans="31:36">
      <c r="AE3168" s="15" t="str">
        <f t="shared" si="0"/>
        <v/>
      </c>
      <c r="AF3168" s="15" t="str">
        <f t="shared" si="1"/>
        <v/>
      </c>
      <c r="AG3168" s="15" t="str">
        <f>IF(OR(AF3168="",AF3168="ERRO_CHAVE"),"",IFERROR(MATCH(AF3168,'Quitados DUPP'!$U$1:$U$6635,0),""))</f>
        <v/>
      </c>
      <c r="AH3168" s="15" t="str">
        <f t="shared" si="2"/>
        <v/>
      </c>
      <c r="AI3168" s="17" t="str">
        <f>IF(AG3168="","",INDEX('Quitados DUPP'!$G$1:$G$6635,AG3168))</f>
        <v/>
      </c>
      <c r="AJ3168" s="17" t="str">
        <f t="shared" si="3"/>
        <v/>
      </c>
    </row>
    <row r="3169" spans="31:36">
      <c r="AE3169" s="15" t="str">
        <f t="shared" si="0"/>
        <v/>
      </c>
      <c r="AF3169" s="15" t="str">
        <f t="shared" si="1"/>
        <v/>
      </c>
      <c r="AG3169" s="15" t="str">
        <f>IF(OR(AF3169="",AF3169="ERRO_CHAVE"),"",IFERROR(MATCH(AF3169,'Quitados DUPP'!$U$1:$U$6635,0),""))</f>
        <v/>
      </c>
      <c r="AH3169" s="15" t="str">
        <f t="shared" si="2"/>
        <v/>
      </c>
      <c r="AI3169" s="17" t="str">
        <f>IF(AG3169="","",INDEX('Quitados DUPP'!$G$1:$G$6635,AG3169))</f>
        <v/>
      </c>
      <c r="AJ3169" s="17" t="str">
        <f t="shared" si="3"/>
        <v/>
      </c>
    </row>
    <row r="3170" spans="31:36">
      <c r="AE3170" s="15" t="str">
        <f t="shared" si="0"/>
        <v/>
      </c>
      <c r="AF3170" s="15" t="str">
        <f t="shared" si="1"/>
        <v/>
      </c>
      <c r="AG3170" s="15" t="str">
        <f>IF(OR(AF3170="",AF3170="ERRO_CHAVE"),"",IFERROR(MATCH(AF3170,'Quitados DUPP'!$U$1:$U$6635,0),""))</f>
        <v/>
      </c>
      <c r="AH3170" s="15" t="str">
        <f t="shared" si="2"/>
        <v/>
      </c>
      <c r="AI3170" s="17" t="str">
        <f>IF(AG3170="","",INDEX('Quitados DUPP'!$G$1:$G$6635,AG3170))</f>
        <v/>
      </c>
      <c r="AJ3170" s="17" t="str">
        <f t="shared" si="3"/>
        <v/>
      </c>
    </row>
    <row r="3171" spans="31:36">
      <c r="AE3171" s="15" t="str">
        <f t="shared" si="0"/>
        <v/>
      </c>
      <c r="AF3171" s="15" t="str">
        <f t="shared" si="1"/>
        <v/>
      </c>
      <c r="AG3171" s="15" t="str">
        <f>IF(OR(AF3171="",AF3171="ERRO_CHAVE"),"",IFERROR(MATCH(AF3171,'Quitados DUPP'!$U$1:$U$6635,0),""))</f>
        <v/>
      </c>
      <c r="AH3171" s="15" t="str">
        <f t="shared" si="2"/>
        <v/>
      </c>
      <c r="AI3171" s="17" t="str">
        <f>IF(AG3171="","",INDEX('Quitados DUPP'!$G$1:$G$6635,AG3171))</f>
        <v/>
      </c>
      <c r="AJ3171" s="17" t="str">
        <f t="shared" si="3"/>
        <v/>
      </c>
    </row>
    <row r="3172" spans="31:36">
      <c r="AE3172" s="15" t="str">
        <f t="shared" si="0"/>
        <v/>
      </c>
      <c r="AF3172" s="15" t="str">
        <f t="shared" si="1"/>
        <v/>
      </c>
      <c r="AG3172" s="15" t="str">
        <f>IF(OR(AF3172="",AF3172="ERRO_CHAVE"),"",IFERROR(MATCH(AF3172,'Quitados DUPP'!$U$1:$U$6635,0),""))</f>
        <v/>
      </c>
      <c r="AH3172" s="15" t="str">
        <f t="shared" si="2"/>
        <v/>
      </c>
      <c r="AI3172" s="17" t="str">
        <f>IF(AG3172="","",INDEX('Quitados DUPP'!$G$1:$G$6635,AG3172))</f>
        <v/>
      </c>
      <c r="AJ3172" s="17" t="str">
        <f t="shared" si="3"/>
        <v/>
      </c>
    </row>
    <row r="3173" spans="31:36">
      <c r="AE3173" s="15" t="str">
        <f t="shared" si="0"/>
        <v/>
      </c>
      <c r="AF3173" s="15" t="str">
        <f t="shared" si="1"/>
        <v/>
      </c>
      <c r="AG3173" s="15" t="str">
        <f>IF(OR(AF3173="",AF3173="ERRO_CHAVE"),"",IFERROR(MATCH(AF3173,'Quitados DUPP'!$U$1:$U$6635,0),""))</f>
        <v/>
      </c>
      <c r="AH3173" s="15" t="str">
        <f t="shared" si="2"/>
        <v/>
      </c>
      <c r="AI3173" s="17" t="str">
        <f>IF(AG3173="","",INDEX('Quitados DUPP'!$G$1:$G$6635,AG3173))</f>
        <v/>
      </c>
      <c r="AJ3173" s="17" t="str">
        <f t="shared" si="3"/>
        <v/>
      </c>
    </row>
    <row r="3174" spans="31:36">
      <c r="AE3174" s="15" t="str">
        <f t="shared" si="0"/>
        <v/>
      </c>
      <c r="AF3174" s="15" t="str">
        <f t="shared" si="1"/>
        <v/>
      </c>
      <c r="AG3174" s="15" t="str">
        <f>IF(OR(AF3174="",AF3174="ERRO_CHAVE"),"",IFERROR(MATCH(AF3174,'Quitados DUPP'!$U$1:$U$6635,0),""))</f>
        <v/>
      </c>
      <c r="AH3174" s="15" t="str">
        <f t="shared" si="2"/>
        <v/>
      </c>
      <c r="AI3174" s="17" t="str">
        <f>IF(AG3174="","",INDEX('Quitados DUPP'!$G$1:$G$6635,AG3174))</f>
        <v/>
      </c>
      <c r="AJ3174" s="17" t="str">
        <f t="shared" si="3"/>
        <v/>
      </c>
    </row>
    <row r="3175" spans="31:36">
      <c r="AE3175" s="15" t="str">
        <f t="shared" si="0"/>
        <v/>
      </c>
      <c r="AF3175" s="15" t="str">
        <f t="shared" si="1"/>
        <v/>
      </c>
      <c r="AG3175" s="15" t="str">
        <f>IF(OR(AF3175="",AF3175="ERRO_CHAVE"),"",IFERROR(MATCH(AF3175,'Quitados DUPP'!$U$1:$U$6635,0),""))</f>
        <v/>
      </c>
      <c r="AH3175" s="15" t="str">
        <f t="shared" si="2"/>
        <v/>
      </c>
      <c r="AI3175" s="17" t="str">
        <f>IF(AG3175="","",INDEX('Quitados DUPP'!$G$1:$G$6635,AG3175))</f>
        <v/>
      </c>
      <c r="AJ3175" s="17" t="str">
        <f t="shared" si="3"/>
        <v/>
      </c>
    </row>
    <row r="3176" spans="31:36">
      <c r="AE3176" s="15" t="str">
        <f t="shared" si="0"/>
        <v/>
      </c>
      <c r="AF3176" s="15" t="str">
        <f t="shared" si="1"/>
        <v/>
      </c>
      <c r="AG3176" s="15" t="str">
        <f>IF(OR(AF3176="",AF3176="ERRO_CHAVE"),"",IFERROR(MATCH(AF3176,'Quitados DUPP'!$U$1:$U$6635,0),""))</f>
        <v/>
      </c>
      <c r="AH3176" s="15" t="str">
        <f t="shared" si="2"/>
        <v/>
      </c>
      <c r="AI3176" s="17" t="str">
        <f>IF(AG3176="","",INDEX('Quitados DUPP'!$G$1:$G$6635,AG3176))</f>
        <v/>
      </c>
      <c r="AJ3176" s="17" t="str">
        <f t="shared" si="3"/>
        <v/>
      </c>
    </row>
    <row r="3177" spans="31:36">
      <c r="AE3177" s="15" t="str">
        <f t="shared" si="0"/>
        <v/>
      </c>
      <c r="AF3177" s="15" t="str">
        <f t="shared" si="1"/>
        <v/>
      </c>
      <c r="AG3177" s="15" t="str">
        <f>IF(OR(AF3177="",AF3177="ERRO_CHAVE"),"",IFERROR(MATCH(AF3177,'Quitados DUPP'!$U$1:$U$6635,0),""))</f>
        <v/>
      </c>
      <c r="AH3177" s="15" t="str">
        <f t="shared" si="2"/>
        <v/>
      </c>
      <c r="AI3177" s="17" t="str">
        <f>IF(AG3177="","",INDEX('Quitados DUPP'!$G$1:$G$6635,AG3177))</f>
        <v/>
      </c>
      <c r="AJ3177" s="17" t="str">
        <f t="shared" si="3"/>
        <v/>
      </c>
    </row>
    <row r="3178" spans="31:36">
      <c r="AE3178" s="15" t="str">
        <f t="shared" si="0"/>
        <v/>
      </c>
      <c r="AF3178" s="15" t="str">
        <f t="shared" si="1"/>
        <v/>
      </c>
      <c r="AG3178" s="15" t="str">
        <f>IF(OR(AF3178="",AF3178="ERRO_CHAVE"),"",IFERROR(MATCH(AF3178,'Quitados DUPP'!$U$1:$U$6635,0),""))</f>
        <v/>
      </c>
      <c r="AH3178" s="15" t="str">
        <f t="shared" si="2"/>
        <v/>
      </c>
      <c r="AI3178" s="17" t="str">
        <f>IF(AG3178="","",INDEX('Quitados DUPP'!$G$1:$G$6635,AG3178))</f>
        <v/>
      </c>
      <c r="AJ3178" s="17" t="str">
        <f t="shared" si="3"/>
        <v/>
      </c>
    </row>
    <row r="3179" spans="31:36">
      <c r="AE3179" s="15" t="str">
        <f t="shared" si="0"/>
        <v/>
      </c>
      <c r="AF3179" s="15" t="str">
        <f t="shared" si="1"/>
        <v/>
      </c>
      <c r="AG3179" s="15" t="str">
        <f>IF(OR(AF3179="",AF3179="ERRO_CHAVE"),"",IFERROR(MATCH(AF3179,'Quitados DUPP'!$U$1:$U$6635,0),""))</f>
        <v/>
      </c>
      <c r="AH3179" s="15" t="str">
        <f t="shared" si="2"/>
        <v/>
      </c>
      <c r="AI3179" s="17" t="str">
        <f>IF(AG3179="","",INDEX('Quitados DUPP'!$G$1:$G$6635,AG3179))</f>
        <v/>
      </c>
      <c r="AJ3179" s="17" t="str">
        <f t="shared" si="3"/>
        <v/>
      </c>
    </row>
    <row r="3180" spans="31:36">
      <c r="AE3180" s="15" t="str">
        <f t="shared" si="0"/>
        <v/>
      </c>
      <c r="AF3180" s="15" t="str">
        <f t="shared" si="1"/>
        <v/>
      </c>
      <c r="AG3180" s="15" t="str">
        <f>IF(OR(AF3180="",AF3180="ERRO_CHAVE"),"",IFERROR(MATCH(AF3180,'Quitados DUPP'!$U$1:$U$6635,0),""))</f>
        <v/>
      </c>
      <c r="AH3180" s="15" t="str">
        <f t="shared" si="2"/>
        <v/>
      </c>
      <c r="AI3180" s="17" t="str">
        <f>IF(AG3180="","",INDEX('Quitados DUPP'!$G$1:$G$6635,AG3180))</f>
        <v/>
      </c>
      <c r="AJ3180" s="17" t="str">
        <f t="shared" si="3"/>
        <v/>
      </c>
    </row>
    <row r="3181" spans="31:36">
      <c r="AE3181" s="15" t="str">
        <f t="shared" si="0"/>
        <v/>
      </c>
      <c r="AF3181" s="15" t="str">
        <f t="shared" si="1"/>
        <v/>
      </c>
      <c r="AG3181" s="15" t="str">
        <f>IF(OR(AF3181="",AF3181="ERRO_CHAVE"),"",IFERROR(MATCH(AF3181,'Quitados DUPP'!$U$1:$U$6635,0),""))</f>
        <v/>
      </c>
      <c r="AH3181" s="15" t="str">
        <f t="shared" si="2"/>
        <v/>
      </c>
      <c r="AI3181" s="17" t="str">
        <f>IF(AG3181="","",INDEX('Quitados DUPP'!$G$1:$G$6635,AG3181))</f>
        <v/>
      </c>
      <c r="AJ3181" s="17" t="str">
        <f t="shared" si="3"/>
        <v/>
      </c>
    </row>
    <row r="3182" spans="31:36">
      <c r="AE3182" s="15" t="str">
        <f t="shared" si="0"/>
        <v/>
      </c>
      <c r="AF3182" s="15" t="str">
        <f t="shared" si="1"/>
        <v/>
      </c>
      <c r="AG3182" s="15" t="str">
        <f>IF(OR(AF3182="",AF3182="ERRO_CHAVE"),"",IFERROR(MATCH(AF3182,'Quitados DUPP'!$U$1:$U$6635,0),""))</f>
        <v/>
      </c>
      <c r="AH3182" s="15" t="str">
        <f t="shared" si="2"/>
        <v/>
      </c>
      <c r="AI3182" s="17" t="str">
        <f>IF(AG3182="","",INDEX('Quitados DUPP'!$G$1:$G$6635,AG3182))</f>
        <v/>
      </c>
      <c r="AJ3182" s="17" t="str">
        <f t="shared" si="3"/>
        <v/>
      </c>
    </row>
    <row r="3183" spans="31:36">
      <c r="AE3183" s="15" t="str">
        <f t="shared" si="0"/>
        <v/>
      </c>
      <c r="AF3183" s="15" t="str">
        <f t="shared" si="1"/>
        <v/>
      </c>
      <c r="AG3183" s="15" t="str">
        <f>IF(OR(AF3183="",AF3183="ERRO_CHAVE"),"",IFERROR(MATCH(AF3183,'Quitados DUPP'!$U$1:$U$6635,0),""))</f>
        <v/>
      </c>
      <c r="AH3183" s="15" t="str">
        <f t="shared" si="2"/>
        <v/>
      </c>
      <c r="AI3183" s="17" t="str">
        <f>IF(AG3183="","",INDEX('Quitados DUPP'!$G$1:$G$6635,AG3183))</f>
        <v/>
      </c>
      <c r="AJ3183" s="17" t="str">
        <f t="shared" si="3"/>
        <v/>
      </c>
    </row>
    <row r="3184" spans="31:36">
      <c r="AE3184" s="15" t="str">
        <f t="shared" si="0"/>
        <v/>
      </c>
      <c r="AF3184" s="15" t="str">
        <f t="shared" si="1"/>
        <v/>
      </c>
      <c r="AG3184" s="15" t="str">
        <f>IF(OR(AF3184="",AF3184="ERRO_CHAVE"),"",IFERROR(MATCH(AF3184,'Quitados DUPP'!$U$1:$U$6635,0),""))</f>
        <v/>
      </c>
      <c r="AH3184" s="15" t="str">
        <f t="shared" si="2"/>
        <v/>
      </c>
      <c r="AI3184" s="17" t="str">
        <f>IF(AG3184="","",INDEX('Quitados DUPP'!$G$1:$G$6635,AG3184))</f>
        <v/>
      </c>
      <c r="AJ3184" s="17" t="str">
        <f t="shared" si="3"/>
        <v/>
      </c>
    </row>
    <row r="3185" spans="31:36">
      <c r="AE3185" s="15" t="str">
        <f t="shared" si="0"/>
        <v/>
      </c>
      <c r="AF3185" s="15" t="str">
        <f t="shared" si="1"/>
        <v/>
      </c>
      <c r="AG3185" s="15" t="str">
        <f>IF(OR(AF3185="",AF3185="ERRO_CHAVE"),"",IFERROR(MATCH(AF3185,'Quitados DUPP'!$U$1:$U$6635,0),""))</f>
        <v/>
      </c>
      <c r="AH3185" s="15" t="str">
        <f t="shared" si="2"/>
        <v/>
      </c>
      <c r="AI3185" s="17" t="str">
        <f>IF(AG3185="","",INDEX('Quitados DUPP'!$G$1:$G$6635,AG3185))</f>
        <v/>
      </c>
      <c r="AJ3185" s="17" t="str">
        <f t="shared" si="3"/>
        <v/>
      </c>
    </row>
    <row r="3186" spans="31:36">
      <c r="AE3186" s="15" t="str">
        <f t="shared" si="0"/>
        <v/>
      </c>
      <c r="AF3186" s="15" t="str">
        <f t="shared" si="1"/>
        <v/>
      </c>
      <c r="AG3186" s="15" t="str">
        <f>IF(OR(AF3186="",AF3186="ERRO_CHAVE"),"",IFERROR(MATCH(AF3186,'Quitados DUPP'!$U$1:$U$6635,0),""))</f>
        <v/>
      </c>
      <c r="AH3186" s="15" t="str">
        <f t="shared" si="2"/>
        <v/>
      </c>
      <c r="AI3186" s="17" t="str">
        <f>IF(AG3186="","",INDEX('Quitados DUPP'!$G$1:$G$6635,AG3186))</f>
        <v/>
      </c>
      <c r="AJ3186" s="17" t="str">
        <f t="shared" si="3"/>
        <v/>
      </c>
    </row>
    <row r="3187" spans="31:36">
      <c r="AE3187" s="15" t="str">
        <f t="shared" si="0"/>
        <v/>
      </c>
      <c r="AF3187" s="15" t="str">
        <f t="shared" si="1"/>
        <v/>
      </c>
      <c r="AG3187" s="15" t="str">
        <f>IF(OR(AF3187="",AF3187="ERRO_CHAVE"),"",IFERROR(MATCH(AF3187,'Quitados DUPP'!$U$1:$U$6635,0),""))</f>
        <v/>
      </c>
      <c r="AH3187" s="15" t="str">
        <f t="shared" si="2"/>
        <v/>
      </c>
      <c r="AI3187" s="17" t="str">
        <f>IF(AG3187="","",INDEX('Quitados DUPP'!$G$1:$G$6635,AG3187))</f>
        <v/>
      </c>
      <c r="AJ3187" s="17" t="str">
        <f t="shared" si="3"/>
        <v/>
      </c>
    </row>
    <row r="3188" spans="31:36">
      <c r="AE3188" s="15" t="str">
        <f t="shared" si="0"/>
        <v/>
      </c>
      <c r="AF3188" s="15" t="str">
        <f t="shared" si="1"/>
        <v/>
      </c>
      <c r="AG3188" s="15" t="str">
        <f>IF(OR(AF3188="",AF3188="ERRO_CHAVE"),"",IFERROR(MATCH(AF3188,'Quitados DUPP'!$U$1:$U$6635,0),""))</f>
        <v/>
      </c>
      <c r="AH3188" s="15" t="str">
        <f t="shared" si="2"/>
        <v/>
      </c>
      <c r="AI3188" s="17" t="str">
        <f>IF(AG3188="","",INDEX('Quitados DUPP'!$G$1:$G$6635,AG3188))</f>
        <v/>
      </c>
      <c r="AJ3188" s="17" t="str">
        <f t="shared" si="3"/>
        <v/>
      </c>
    </row>
    <row r="3189" spans="31:36">
      <c r="AE3189" s="15" t="str">
        <f t="shared" si="0"/>
        <v/>
      </c>
      <c r="AF3189" s="15" t="str">
        <f t="shared" si="1"/>
        <v/>
      </c>
      <c r="AG3189" s="15" t="str">
        <f>IF(OR(AF3189="",AF3189="ERRO_CHAVE"),"",IFERROR(MATCH(AF3189,'Quitados DUPP'!$U$1:$U$6635,0),""))</f>
        <v/>
      </c>
      <c r="AH3189" s="15" t="str">
        <f t="shared" si="2"/>
        <v/>
      </c>
      <c r="AI3189" s="17" t="str">
        <f>IF(AG3189="","",INDEX('Quitados DUPP'!$G$1:$G$6635,AG3189))</f>
        <v/>
      </c>
      <c r="AJ3189" s="17" t="str">
        <f t="shared" si="3"/>
        <v/>
      </c>
    </row>
    <row r="3190" spans="31:36">
      <c r="AE3190" s="15" t="str">
        <f t="shared" si="0"/>
        <v/>
      </c>
      <c r="AF3190" s="15" t="str">
        <f t="shared" si="1"/>
        <v/>
      </c>
      <c r="AG3190" s="15" t="str">
        <f>IF(OR(AF3190="",AF3190="ERRO_CHAVE"),"",IFERROR(MATCH(AF3190,'Quitados DUPP'!$U$1:$U$6635,0),""))</f>
        <v/>
      </c>
      <c r="AH3190" s="15" t="str">
        <f t="shared" si="2"/>
        <v/>
      </c>
      <c r="AI3190" s="17" t="str">
        <f>IF(AG3190="","",INDEX('Quitados DUPP'!$G$1:$G$6635,AG3190))</f>
        <v/>
      </c>
      <c r="AJ3190" s="17" t="str">
        <f t="shared" si="3"/>
        <v/>
      </c>
    </row>
    <row r="3191" spans="31:36">
      <c r="AE3191" s="15" t="str">
        <f t="shared" si="0"/>
        <v/>
      </c>
      <c r="AF3191" s="15" t="str">
        <f t="shared" si="1"/>
        <v/>
      </c>
      <c r="AG3191" s="15" t="str">
        <f>IF(OR(AF3191="",AF3191="ERRO_CHAVE"),"",IFERROR(MATCH(AF3191,'Quitados DUPP'!$U$1:$U$6635,0),""))</f>
        <v/>
      </c>
      <c r="AH3191" s="15" t="str">
        <f t="shared" si="2"/>
        <v/>
      </c>
      <c r="AI3191" s="17" t="str">
        <f>IF(AG3191="","",INDEX('Quitados DUPP'!$G$1:$G$6635,AG3191))</f>
        <v/>
      </c>
      <c r="AJ3191" s="17" t="str">
        <f t="shared" si="3"/>
        <v/>
      </c>
    </row>
    <row r="3192" spans="31:36">
      <c r="AE3192" s="15" t="str">
        <f t="shared" si="0"/>
        <v/>
      </c>
      <c r="AF3192" s="15" t="str">
        <f t="shared" si="1"/>
        <v/>
      </c>
      <c r="AG3192" s="15" t="str">
        <f>IF(OR(AF3192="",AF3192="ERRO_CHAVE"),"",IFERROR(MATCH(AF3192,'Quitados DUPP'!$U$1:$U$6635,0),""))</f>
        <v/>
      </c>
      <c r="AH3192" s="15" t="str">
        <f t="shared" si="2"/>
        <v/>
      </c>
      <c r="AI3192" s="17" t="str">
        <f>IF(AG3192="","",INDEX('Quitados DUPP'!$G$1:$G$6635,AG3192))</f>
        <v/>
      </c>
      <c r="AJ3192" s="17" t="str">
        <f t="shared" si="3"/>
        <v/>
      </c>
    </row>
    <row r="3193" spans="31:36">
      <c r="AE3193" s="15" t="str">
        <f t="shared" si="0"/>
        <v/>
      </c>
      <c r="AF3193" s="15" t="str">
        <f t="shared" si="1"/>
        <v/>
      </c>
      <c r="AG3193" s="15" t="str">
        <f>IF(OR(AF3193="",AF3193="ERRO_CHAVE"),"",IFERROR(MATCH(AF3193,'Quitados DUPP'!$U$1:$U$6635,0),""))</f>
        <v/>
      </c>
      <c r="AH3193" s="15" t="str">
        <f t="shared" si="2"/>
        <v/>
      </c>
      <c r="AI3193" s="17" t="str">
        <f>IF(AG3193="","",INDEX('Quitados DUPP'!$G$1:$G$6635,AG3193))</f>
        <v/>
      </c>
      <c r="AJ3193" s="17" t="str">
        <f t="shared" si="3"/>
        <v/>
      </c>
    </row>
    <row r="3194" spans="31:36">
      <c r="AE3194" s="15" t="str">
        <f t="shared" si="0"/>
        <v/>
      </c>
      <c r="AF3194" s="15" t="str">
        <f t="shared" si="1"/>
        <v/>
      </c>
      <c r="AG3194" s="15" t="str">
        <f>IF(OR(AF3194="",AF3194="ERRO_CHAVE"),"",IFERROR(MATCH(AF3194,'Quitados DUPP'!$U$1:$U$6635,0),""))</f>
        <v/>
      </c>
      <c r="AH3194" s="15" t="str">
        <f t="shared" si="2"/>
        <v/>
      </c>
      <c r="AI3194" s="17" t="str">
        <f>IF(AG3194="","",INDEX('Quitados DUPP'!$G$1:$G$6635,AG3194))</f>
        <v/>
      </c>
      <c r="AJ3194" s="17" t="str">
        <f t="shared" si="3"/>
        <v/>
      </c>
    </row>
    <row r="3195" spans="31:36">
      <c r="AE3195" s="15" t="str">
        <f t="shared" si="0"/>
        <v/>
      </c>
      <c r="AF3195" s="15" t="str">
        <f t="shared" si="1"/>
        <v/>
      </c>
      <c r="AG3195" s="15" t="str">
        <f>IF(OR(AF3195="",AF3195="ERRO_CHAVE"),"",IFERROR(MATCH(AF3195,'Quitados DUPP'!$U$1:$U$6635,0),""))</f>
        <v/>
      </c>
      <c r="AH3195" s="15" t="str">
        <f t="shared" si="2"/>
        <v/>
      </c>
      <c r="AI3195" s="17" t="str">
        <f>IF(AG3195="","",INDEX('Quitados DUPP'!$G$1:$G$6635,AG3195))</f>
        <v/>
      </c>
      <c r="AJ3195" s="17" t="str">
        <f t="shared" si="3"/>
        <v/>
      </c>
    </row>
    <row r="3196" spans="31:36">
      <c r="AE3196" s="15" t="str">
        <f t="shared" si="0"/>
        <v/>
      </c>
      <c r="AF3196" s="15" t="str">
        <f t="shared" si="1"/>
        <v/>
      </c>
      <c r="AG3196" s="15" t="str">
        <f>IF(OR(AF3196="",AF3196="ERRO_CHAVE"),"",IFERROR(MATCH(AF3196,'Quitados DUPP'!$U$1:$U$6635,0),""))</f>
        <v/>
      </c>
      <c r="AH3196" s="15" t="str">
        <f t="shared" si="2"/>
        <v/>
      </c>
      <c r="AI3196" s="17" t="str">
        <f>IF(AG3196="","",INDEX('Quitados DUPP'!$G$1:$G$6635,AG3196))</f>
        <v/>
      </c>
      <c r="AJ3196" s="17" t="str">
        <f t="shared" si="3"/>
        <v/>
      </c>
    </row>
    <row r="3197" spans="31:36">
      <c r="AE3197" s="15" t="str">
        <f t="shared" si="0"/>
        <v/>
      </c>
      <c r="AF3197" s="15" t="str">
        <f t="shared" si="1"/>
        <v/>
      </c>
      <c r="AG3197" s="15" t="str">
        <f>IF(OR(AF3197="",AF3197="ERRO_CHAVE"),"",IFERROR(MATCH(AF3197,'Quitados DUPP'!$U$1:$U$6635,0),""))</f>
        <v/>
      </c>
      <c r="AH3197" s="15" t="str">
        <f t="shared" si="2"/>
        <v/>
      </c>
      <c r="AI3197" s="17" t="str">
        <f>IF(AG3197="","",INDEX('Quitados DUPP'!$G$1:$G$6635,AG3197))</f>
        <v/>
      </c>
      <c r="AJ3197" s="17" t="str">
        <f t="shared" si="3"/>
        <v/>
      </c>
    </row>
    <row r="3198" spans="31:36">
      <c r="AE3198" s="15" t="str">
        <f t="shared" si="0"/>
        <v/>
      </c>
      <c r="AF3198" s="15" t="str">
        <f t="shared" si="1"/>
        <v/>
      </c>
      <c r="AG3198" s="15" t="str">
        <f>IF(OR(AF3198="",AF3198="ERRO_CHAVE"),"",IFERROR(MATCH(AF3198,'Quitados DUPP'!$U$1:$U$6635,0),""))</f>
        <v/>
      </c>
      <c r="AH3198" s="15" t="str">
        <f t="shared" si="2"/>
        <v/>
      </c>
      <c r="AI3198" s="17" t="str">
        <f>IF(AG3198="","",INDEX('Quitados DUPP'!$G$1:$G$6635,AG3198))</f>
        <v/>
      </c>
      <c r="AJ3198" s="17" t="str">
        <f t="shared" si="3"/>
        <v/>
      </c>
    </row>
    <row r="3199" spans="31:36">
      <c r="AE3199" s="15" t="str">
        <f t="shared" si="0"/>
        <v/>
      </c>
      <c r="AF3199" s="15" t="str">
        <f t="shared" si="1"/>
        <v/>
      </c>
      <c r="AG3199" s="15" t="str">
        <f>IF(OR(AF3199="",AF3199="ERRO_CHAVE"),"",IFERROR(MATCH(AF3199,'Quitados DUPP'!$U$1:$U$6635,0),""))</f>
        <v/>
      </c>
      <c r="AH3199" s="15" t="str">
        <f t="shared" si="2"/>
        <v/>
      </c>
      <c r="AI3199" s="17" t="str">
        <f>IF(AG3199="","",INDEX('Quitados DUPP'!$G$1:$G$6635,AG3199))</f>
        <v/>
      </c>
      <c r="AJ3199" s="17" t="str">
        <f t="shared" si="3"/>
        <v/>
      </c>
    </row>
    <row r="3200" spans="31:36">
      <c r="AE3200" s="15" t="str">
        <f t="shared" si="0"/>
        <v/>
      </c>
      <c r="AF3200" s="15" t="str">
        <f t="shared" si="1"/>
        <v/>
      </c>
      <c r="AG3200" s="15" t="str">
        <f>IF(OR(AF3200="",AF3200="ERRO_CHAVE"),"",IFERROR(MATCH(AF3200,'Quitados DUPP'!$U$1:$U$6635,0),""))</f>
        <v/>
      </c>
      <c r="AH3200" s="15" t="str">
        <f t="shared" si="2"/>
        <v/>
      </c>
      <c r="AI3200" s="17" t="str">
        <f>IF(AG3200="","",INDEX('Quitados DUPP'!$G$1:$G$6635,AG3200))</f>
        <v/>
      </c>
      <c r="AJ3200" s="17" t="str">
        <f t="shared" si="3"/>
        <v/>
      </c>
    </row>
    <row r="3201" spans="31:36">
      <c r="AE3201" s="15" t="str">
        <f t="shared" si="0"/>
        <v/>
      </c>
      <c r="AF3201" s="15" t="str">
        <f t="shared" si="1"/>
        <v/>
      </c>
      <c r="AG3201" s="15" t="str">
        <f>IF(OR(AF3201="",AF3201="ERRO_CHAVE"),"",IFERROR(MATCH(AF3201,'Quitados DUPP'!$U$1:$U$6635,0),""))</f>
        <v/>
      </c>
      <c r="AH3201" s="15" t="str">
        <f t="shared" si="2"/>
        <v/>
      </c>
      <c r="AI3201" s="17" t="str">
        <f>IF(AG3201="","",INDEX('Quitados DUPP'!$G$1:$G$6635,AG3201))</f>
        <v/>
      </c>
      <c r="AJ3201" s="17" t="str">
        <f t="shared" si="3"/>
        <v/>
      </c>
    </row>
    <row r="3202" spans="31:36">
      <c r="AE3202" s="15" t="str">
        <f t="shared" si="0"/>
        <v/>
      </c>
      <c r="AF3202" s="15" t="str">
        <f t="shared" si="1"/>
        <v/>
      </c>
      <c r="AG3202" s="15" t="str">
        <f>IF(OR(AF3202="",AF3202="ERRO_CHAVE"),"",IFERROR(MATCH(AF3202,'Quitados DUPP'!$U$1:$U$6635,0),""))</f>
        <v/>
      </c>
      <c r="AH3202" s="15" t="str">
        <f t="shared" si="2"/>
        <v/>
      </c>
      <c r="AI3202" s="17" t="str">
        <f>IF(AG3202="","",INDEX('Quitados DUPP'!$G$1:$G$6635,AG3202))</f>
        <v/>
      </c>
      <c r="AJ3202" s="17" t="str">
        <f t="shared" si="3"/>
        <v/>
      </c>
    </row>
    <row r="3203" spans="31:36">
      <c r="AE3203" s="15" t="str">
        <f t="shared" si="0"/>
        <v/>
      </c>
      <c r="AF3203" s="15" t="str">
        <f t="shared" si="1"/>
        <v/>
      </c>
      <c r="AG3203" s="15" t="str">
        <f>IF(OR(AF3203="",AF3203="ERRO_CHAVE"),"",IFERROR(MATCH(AF3203,'Quitados DUPP'!$U$1:$U$6635,0),""))</f>
        <v/>
      </c>
      <c r="AH3203" s="15" t="str">
        <f t="shared" si="2"/>
        <v/>
      </c>
      <c r="AI3203" s="17" t="str">
        <f>IF(AG3203="","",INDEX('Quitados DUPP'!$G$1:$G$6635,AG3203))</f>
        <v/>
      </c>
      <c r="AJ3203" s="17" t="str">
        <f t="shared" si="3"/>
        <v/>
      </c>
    </row>
    <row r="3204" spans="31:36">
      <c r="AE3204" s="15" t="str">
        <f t="shared" si="0"/>
        <v/>
      </c>
      <c r="AF3204" s="15" t="str">
        <f t="shared" si="1"/>
        <v/>
      </c>
      <c r="AG3204" s="15" t="str">
        <f>IF(OR(AF3204="",AF3204="ERRO_CHAVE"),"",IFERROR(MATCH(AF3204,'Quitados DUPP'!$U$1:$U$6635,0),""))</f>
        <v/>
      </c>
      <c r="AH3204" s="15" t="str">
        <f t="shared" si="2"/>
        <v/>
      </c>
      <c r="AI3204" s="17" t="str">
        <f>IF(AG3204="","",INDEX('Quitados DUPP'!$G$1:$G$6635,AG3204))</f>
        <v/>
      </c>
      <c r="AJ3204" s="17" t="str">
        <f t="shared" si="3"/>
        <v/>
      </c>
    </row>
    <row r="3205" spans="31:36">
      <c r="AE3205" s="15" t="str">
        <f t="shared" si="0"/>
        <v/>
      </c>
      <c r="AF3205" s="15" t="str">
        <f t="shared" si="1"/>
        <v/>
      </c>
      <c r="AG3205" s="15" t="str">
        <f>IF(OR(AF3205="",AF3205="ERRO_CHAVE"),"",IFERROR(MATCH(AF3205,'Quitados DUPP'!$U$1:$U$6635,0),""))</f>
        <v/>
      </c>
      <c r="AH3205" s="15" t="str">
        <f t="shared" si="2"/>
        <v/>
      </c>
      <c r="AI3205" s="17" t="str">
        <f>IF(AG3205="","",INDEX('Quitados DUPP'!$G$1:$G$6635,AG3205))</f>
        <v/>
      </c>
      <c r="AJ3205" s="17" t="str">
        <f t="shared" si="3"/>
        <v/>
      </c>
    </row>
    <row r="3206" spans="31:36">
      <c r="AE3206" s="15" t="str">
        <f t="shared" si="0"/>
        <v/>
      </c>
      <c r="AF3206" s="15" t="str">
        <f t="shared" si="1"/>
        <v/>
      </c>
      <c r="AG3206" s="15" t="str">
        <f>IF(OR(AF3206="",AF3206="ERRO_CHAVE"),"",IFERROR(MATCH(AF3206,'Quitados DUPP'!$U$1:$U$6635,0),""))</f>
        <v/>
      </c>
      <c r="AH3206" s="15" t="str">
        <f t="shared" si="2"/>
        <v/>
      </c>
      <c r="AI3206" s="17" t="str">
        <f>IF(AG3206="","",INDEX('Quitados DUPP'!$G$1:$G$6635,AG3206))</f>
        <v/>
      </c>
      <c r="AJ3206" s="17" t="str">
        <f t="shared" si="3"/>
        <v/>
      </c>
    </row>
    <row r="3207" spans="31:36">
      <c r="AE3207" s="15" t="str">
        <f t="shared" si="0"/>
        <v/>
      </c>
      <c r="AF3207" s="15" t="str">
        <f t="shared" si="1"/>
        <v/>
      </c>
      <c r="AG3207" s="15" t="str">
        <f>IF(OR(AF3207="",AF3207="ERRO_CHAVE"),"",IFERROR(MATCH(AF3207,'Quitados DUPP'!$U$1:$U$6635,0),""))</f>
        <v/>
      </c>
      <c r="AH3207" s="15" t="str">
        <f t="shared" si="2"/>
        <v/>
      </c>
      <c r="AI3207" s="17" t="str">
        <f>IF(AG3207="","",INDEX('Quitados DUPP'!$G$1:$G$6635,AG3207))</f>
        <v/>
      </c>
      <c r="AJ3207" s="17" t="str">
        <f t="shared" si="3"/>
        <v/>
      </c>
    </row>
    <row r="3208" spans="31:36">
      <c r="AE3208" s="15" t="str">
        <f t="shared" si="0"/>
        <v/>
      </c>
      <c r="AF3208" s="15" t="str">
        <f t="shared" si="1"/>
        <v/>
      </c>
      <c r="AG3208" s="15" t="str">
        <f>IF(OR(AF3208="",AF3208="ERRO_CHAVE"),"",IFERROR(MATCH(AF3208,'Quitados DUPP'!$U$1:$U$6635,0),""))</f>
        <v/>
      </c>
      <c r="AH3208" s="15" t="str">
        <f t="shared" si="2"/>
        <v/>
      </c>
      <c r="AI3208" s="17" t="str">
        <f>IF(AG3208="","",INDEX('Quitados DUPP'!$G$1:$G$6635,AG3208))</f>
        <v/>
      </c>
      <c r="AJ3208" s="17" t="str">
        <f t="shared" si="3"/>
        <v/>
      </c>
    </row>
    <row r="3209" spans="31:36">
      <c r="AE3209" s="15" t="str">
        <f t="shared" si="0"/>
        <v/>
      </c>
      <c r="AF3209" s="15" t="str">
        <f t="shared" si="1"/>
        <v/>
      </c>
      <c r="AG3209" s="15" t="str">
        <f>IF(OR(AF3209="",AF3209="ERRO_CHAVE"),"",IFERROR(MATCH(AF3209,'Quitados DUPP'!$U$1:$U$6635,0),""))</f>
        <v/>
      </c>
      <c r="AH3209" s="15" t="str">
        <f t="shared" si="2"/>
        <v/>
      </c>
      <c r="AI3209" s="17" t="str">
        <f>IF(AG3209="","",INDEX('Quitados DUPP'!$G$1:$G$6635,AG3209))</f>
        <v/>
      </c>
      <c r="AJ3209" s="17" t="str">
        <f t="shared" si="3"/>
        <v/>
      </c>
    </row>
    <row r="3210" spans="31:36">
      <c r="AE3210" s="15" t="str">
        <f t="shared" si="0"/>
        <v/>
      </c>
      <c r="AF3210" s="15" t="str">
        <f t="shared" si="1"/>
        <v/>
      </c>
      <c r="AG3210" s="15" t="str">
        <f>IF(OR(AF3210="",AF3210="ERRO_CHAVE"),"",IFERROR(MATCH(AF3210,'Quitados DUPP'!$U$1:$U$6635,0),""))</f>
        <v/>
      </c>
      <c r="AH3210" s="15" t="str">
        <f t="shared" si="2"/>
        <v/>
      </c>
      <c r="AI3210" s="17" t="str">
        <f>IF(AG3210="","",INDEX('Quitados DUPP'!$G$1:$G$6635,AG3210))</f>
        <v/>
      </c>
      <c r="AJ3210" s="17" t="str">
        <f t="shared" si="3"/>
        <v/>
      </c>
    </row>
    <row r="3211" spans="31:36">
      <c r="AE3211" s="15" t="str">
        <f t="shared" si="0"/>
        <v/>
      </c>
      <c r="AF3211" s="15" t="str">
        <f t="shared" si="1"/>
        <v/>
      </c>
      <c r="AG3211" s="15" t="str">
        <f>IF(OR(AF3211="",AF3211="ERRO_CHAVE"),"",IFERROR(MATCH(AF3211,'Quitados DUPP'!$U$1:$U$6635,0),""))</f>
        <v/>
      </c>
      <c r="AH3211" s="15" t="str">
        <f t="shared" si="2"/>
        <v/>
      </c>
      <c r="AI3211" s="17" t="str">
        <f>IF(AG3211="","",INDEX('Quitados DUPP'!$G$1:$G$6635,AG3211))</f>
        <v/>
      </c>
      <c r="AJ3211" s="17" t="str">
        <f t="shared" si="3"/>
        <v/>
      </c>
    </row>
    <row r="3212" spans="31:36">
      <c r="AE3212" s="15" t="str">
        <f t="shared" si="0"/>
        <v/>
      </c>
      <c r="AF3212" s="15" t="str">
        <f t="shared" si="1"/>
        <v/>
      </c>
      <c r="AG3212" s="15" t="str">
        <f>IF(OR(AF3212="",AF3212="ERRO_CHAVE"),"",IFERROR(MATCH(AF3212,'Quitados DUPP'!$U$1:$U$6635,0),""))</f>
        <v/>
      </c>
      <c r="AH3212" s="15" t="str">
        <f t="shared" si="2"/>
        <v/>
      </c>
      <c r="AI3212" s="17" t="str">
        <f>IF(AG3212="","",INDEX('Quitados DUPP'!$G$1:$G$6635,AG3212))</f>
        <v/>
      </c>
      <c r="AJ3212" s="17" t="str">
        <f t="shared" si="3"/>
        <v/>
      </c>
    </row>
    <row r="3213" spans="31:36">
      <c r="AE3213" s="15" t="str">
        <f t="shared" si="0"/>
        <v/>
      </c>
      <c r="AF3213" s="15" t="str">
        <f t="shared" si="1"/>
        <v/>
      </c>
      <c r="AG3213" s="15" t="str">
        <f>IF(OR(AF3213="",AF3213="ERRO_CHAVE"),"",IFERROR(MATCH(AF3213,'Quitados DUPP'!$U$1:$U$6635,0),""))</f>
        <v/>
      </c>
      <c r="AH3213" s="15" t="str">
        <f t="shared" si="2"/>
        <v/>
      </c>
      <c r="AI3213" s="17" t="str">
        <f>IF(AG3213="","",INDEX('Quitados DUPP'!$G$1:$G$6635,AG3213))</f>
        <v/>
      </c>
      <c r="AJ3213" s="17" t="str">
        <f t="shared" si="3"/>
        <v/>
      </c>
    </row>
    <row r="3214" spans="31:36">
      <c r="AE3214" s="15" t="str">
        <f t="shared" si="0"/>
        <v/>
      </c>
      <c r="AF3214" s="15" t="str">
        <f t="shared" si="1"/>
        <v/>
      </c>
      <c r="AG3214" s="15" t="str">
        <f>IF(OR(AF3214="",AF3214="ERRO_CHAVE"),"",IFERROR(MATCH(AF3214,'Quitados DUPP'!$U$1:$U$6635,0),""))</f>
        <v/>
      </c>
      <c r="AH3214" s="15" t="str">
        <f t="shared" si="2"/>
        <v/>
      </c>
      <c r="AI3214" s="17" t="str">
        <f>IF(AG3214="","",INDEX('Quitados DUPP'!$G$1:$G$6635,AG3214))</f>
        <v/>
      </c>
      <c r="AJ3214" s="17" t="str">
        <f t="shared" si="3"/>
        <v/>
      </c>
    </row>
    <row r="3215" spans="31:36">
      <c r="AE3215" s="15" t="str">
        <f t="shared" si="0"/>
        <v/>
      </c>
      <c r="AF3215" s="15" t="str">
        <f t="shared" si="1"/>
        <v/>
      </c>
      <c r="AG3215" s="15" t="str">
        <f>IF(OR(AF3215="",AF3215="ERRO_CHAVE"),"",IFERROR(MATCH(AF3215,'Quitados DUPP'!$U$1:$U$6635,0),""))</f>
        <v/>
      </c>
      <c r="AH3215" s="15" t="str">
        <f t="shared" si="2"/>
        <v/>
      </c>
      <c r="AI3215" s="17" t="str">
        <f>IF(AG3215="","",INDEX('Quitados DUPP'!$G$1:$G$6635,AG3215))</f>
        <v/>
      </c>
      <c r="AJ3215" s="17" t="str">
        <f t="shared" si="3"/>
        <v/>
      </c>
    </row>
    <row r="3216" spans="31:36">
      <c r="AE3216" s="15" t="str">
        <f t="shared" si="0"/>
        <v/>
      </c>
      <c r="AF3216" s="15" t="str">
        <f t="shared" si="1"/>
        <v/>
      </c>
      <c r="AG3216" s="15" t="str">
        <f>IF(OR(AF3216="",AF3216="ERRO_CHAVE"),"",IFERROR(MATCH(AF3216,'Quitados DUPP'!$U$1:$U$6635,0),""))</f>
        <v/>
      </c>
      <c r="AH3216" s="15" t="str">
        <f t="shared" si="2"/>
        <v/>
      </c>
      <c r="AI3216" s="17" t="str">
        <f>IF(AG3216="","",INDEX('Quitados DUPP'!$G$1:$G$6635,AG3216))</f>
        <v/>
      </c>
      <c r="AJ3216" s="17" t="str">
        <f t="shared" si="3"/>
        <v/>
      </c>
    </row>
    <row r="3217" spans="31:36">
      <c r="AE3217" s="15" t="str">
        <f t="shared" si="0"/>
        <v/>
      </c>
      <c r="AF3217" s="15" t="str">
        <f t="shared" si="1"/>
        <v/>
      </c>
      <c r="AG3217" s="15" t="str">
        <f>IF(OR(AF3217="",AF3217="ERRO_CHAVE"),"",IFERROR(MATCH(AF3217,'Quitados DUPP'!$U$1:$U$6635,0),""))</f>
        <v/>
      </c>
      <c r="AH3217" s="15" t="str">
        <f t="shared" si="2"/>
        <v/>
      </c>
      <c r="AI3217" s="17" t="str">
        <f>IF(AG3217="","",INDEX('Quitados DUPP'!$G$1:$G$6635,AG3217))</f>
        <v/>
      </c>
      <c r="AJ3217" s="17" t="str">
        <f t="shared" si="3"/>
        <v/>
      </c>
    </row>
    <row r="3218" spans="31:36">
      <c r="AE3218" s="15" t="str">
        <f t="shared" si="0"/>
        <v/>
      </c>
      <c r="AF3218" s="15" t="str">
        <f t="shared" si="1"/>
        <v/>
      </c>
      <c r="AG3218" s="15" t="str">
        <f>IF(OR(AF3218="",AF3218="ERRO_CHAVE"),"",IFERROR(MATCH(AF3218,'Quitados DUPP'!$U$1:$U$6635,0),""))</f>
        <v/>
      </c>
      <c r="AH3218" s="15" t="str">
        <f t="shared" si="2"/>
        <v/>
      </c>
      <c r="AI3218" s="17" t="str">
        <f>IF(AG3218="","",INDEX('Quitados DUPP'!$G$1:$G$6635,AG3218))</f>
        <v/>
      </c>
      <c r="AJ3218" s="17" t="str">
        <f t="shared" si="3"/>
        <v/>
      </c>
    </row>
    <row r="3219" spans="31:36">
      <c r="AE3219" s="15" t="str">
        <f t="shared" si="0"/>
        <v/>
      </c>
      <c r="AF3219" s="15" t="str">
        <f t="shared" si="1"/>
        <v/>
      </c>
      <c r="AG3219" s="15" t="str">
        <f>IF(OR(AF3219="",AF3219="ERRO_CHAVE"),"",IFERROR(MATCH(AF3219,'Quitados DUPP'!$U$1:$U$6635,0),""))</f>
        <v/>
      </c>
      <c r="AH3219" s="15" t="str">
        <f t="shared" si="2"/>
        <v/>
      </c>
      <c r="AI3219" s="17" t="str">
        <f>IF(AG3219="","",INDEX('Quitados DUPP'!$G$1:$G$6635,AG3219))</f>
        <v/>
      </c>
      <c r="AJ3219" s="17" t="str">
        <f t="shared" si="3"/>
        <v/>
      </c>
    </row>
    <row r="3220" spans="31:36">
      <c r="AE3220" s="15" t="str">
        <f t="shared" si="0"/>
        <v/>
      </c>
      <c r="AF3220" s="15" t="str">
        <f t="shared" si="1"/>
        <v/>
      </c>
      <c r="AG3220" s="15" t="str">
        <f>IF(OR(AF3220="",AF3220="ERRO_CHAVE"),"",IFERROR(MATCH(AF3220,'Quitados DUPP'!$U$1:$U$6635,0),""))</f>
        <v/>
      </c>
      <c r="AH3220" s="15" t="str">
        <f t="shared" si="2"/>
        <v/>
      </c>
      <c r="AI3220" s="17" t="str">
        <f>IF(AG3220="","",INDEX('Quitados DUPP'!$G$1:$G$6635,AG3220))</f>
        <v/>
      </c>
      <c r="AJ3220" s="17" t="str">
        <f t="shared" si="3"/>
        <v/>
      </c>
    </row>
    <row r="3221" spans="31:36">
      <c r="AE3221" s="15" t="str">
        <f t="shared" si="0"/>
        <v/>
      </c>
      <c r="AF3221" s="15" t="str">
        <f t="shared" si="1"/>
        <v/>
      </c>
      <c r="AG3221" s="15" t="str">
        <f>IF(OR(AF3221="",AF3221="ERRO_CHAVE"),"",IFERROR(MATCH(AF3221,'Quitados DUPP'!$U$1:$U$6635,0),""))</f>
        <v/>
      </c>
      <c r="AH3221" s="15" t="str">
        <f t="shared" si="2"/>
        <v/>
      </c>
      <c r="AI3221" s="17" t="str">
        <f>IF(AG3221="","",INDEX('Quitados DUPP'!$G$1:$G$6635,AG3221))</f>
        <v/>
      </c>
      <c r="AJ3221" s="17" t="str">
        <f t="shared" si="3"/>
        <v/>
      </c>
    </row>
    <row r="3222" spans="31:36">
      <c r="AE3222" s="15" t="str">
        <f t="shared" si="0"/>
        <v/>
      </c>
      <c r="AF3222" s="15" t="str">
        <f t="shared" si="1"/>
        <v/>
      </c>
      <c r="AG3222" s="15" t="str">
        <f>IF(OR(AF3222="",AF3222="ERRO_CHAVE"),"",IFERROR(MATCH(AF3222,'Quitados DUPP'!$U$1:$U$6635,0),""))</f>
        <v/>
      </c>
      <c r="AH3222" s="15" t="str">
        <f t="shared" si="2"/>
        <v/>
      </c>
      <c r="AI3222" s="17" t="str">
        <f>IF(AG3222="","",INDEX('Quitados DUPP'!$G$1:$G$6635,AG3222))</f>
        <v/>
      </c>
      <c r="AJ3222" s="17" t="str">
        <f t="shared" si="3"/>
        <v/>
      </c>
    </row>
    <row r="3223" spans="31:36">
      <c r="AE3223" s="15" t="str">
        <f t="shared" si="0"/>
        <v/>
      </c>
      <c r="AF3223" s="15" t="str">
        <f t="shared" si="1"/>
        <v/>
      </c>
      <c r="AG3223" s="15" t="str">
        <f>IF(OR(AF3223="",AF3223="ERRO_CHAVE"),"",IFERROR(MATCH(AF3223,'Quitados DUPP'!$U$1:$U$6635,0),""))</f>
        <v/>
      </c>
      <c r="AH3223" s="15" t="str">
        <f t="shared" si="2"/>
        <v/>
      </c>
      <c r="AI3223" s="17" t="str">
        <f>IF(AG3223="","",INDEX('Quitados DUPP'!$G$1:$G$6635,AG3223))</f>
        <v/>
      </c>
      <c r="AJ3223" s="17" t="str">
        <f t="shared" si="3"/>
        <v/>
      </c>
    </row>
    <row r="3224" spans="31:36">
      <c r="AE3224" s="15" t="str">
        <f t="shared" si="0"/>
        <v/>
      </c>
      <c r="AF3224" s="15" t="str">
        <f t="shared" si="1"/>
        <v/>
      </c>
      <c r="AG3224" s="15" t="str">
        <f>IF(OR(AF3224="",AF3224="ERRO_CHAVE"),"",IFERROR(MATCH(AF3224,'Quitados DUPP'!$U$1:$U$6635,0),""))</f>
        <v/>
      </c>
      <c r="AH3224" s="15" t="str">
        <f t="shared" si="2"/>
        <v/>
      </c>
      <c r="AI3224" s="17" t="str">
        <f>IF(AG3224="","",INDEX('Quitados DUPP'!$G$1:$G$6635,AG3224))</f>
        <v/>
      </c>
      <c r="AJ3224" s="17" t="str">
        <f t="shared" si="3"/>
        <v/>
      </c>
    </row>
    <row r="3225" spans="31:36">
      <c r="AE3225" s="15" t="str">
        <f t="shared" si="0"/>
        <v/>
      </c>
      <c r="AF3225" s="15" t="str">
        <f t="shared" si="1"/>
        <v/>
      </c>
      <c r="AG3225" s="15" t="str">
        <f>IF(OR(AF3225="",AF3225="ERRO_CHAVE"),"",IFERROR(MATCH(AF3225,'Quitados DUPP'!$U$1:$U$6635,0),""))</f>
        <v/>
      </c>
      <c r="AH3225" s="15" t="str">
        <f t="shared" si="2"/>
        <v/>
      </c>
      <c r="AI3225" s="17" t="str">
        <f>IF(AG3225="","",INDEX('Quitados DUPP'!$G$1:$G$6635,AG3225))</f>
        <v/>
      </c>
      <c r="AJ3225" s="17" t="str">
        <f t="shared" si="3"/>
        <v/>
      </c>
    </row>
    <row r="3226" spans="31:36">
      <c r="AE3226" s="15" t="str">
        <f t="shared" si="0"/>
        <v/>
      </c>
      <c r="AF3226" s="15" t="str">
        <f t="shared" si="1"/>
        <v/>
      </c>
      <c r="AG3226" s="15" t="str">
        <f>IF(OR(AF3226="",AF3226="ERRO_CHAVE"),"",IFERROR(MATCH(AF3226,'Quitados DUPP'!$U$1:$U$6635,0),""))</f>
        <v/>
      </c>
      <c r="AH3226" s="15" t="str">
        <f t="shared" si="2"/>
        <v/>
      </c>
      <c r="AI3226" s="17" t="str">
        <f>IF(AG3226="","",INDEX('Quitados DUPP'!$G$1:$G$6635,AG3226))</f>
        <v/>
      </c>
      <c r="AJ3226" s="17" t="str">
        <f t="shared" si="3"/>
        <v/>
      </c>
    </row>
    <row r="3227" spans="31:36">
      <c r="AE3227" s="15" t="str">
        <f t="shared" si="0"/>
        <v/>
      </c>
      <c r="AF3227" s="15" t="str">
        <f t="shared" si="1"/>
        <v/>
      </c>
      <c r="AG3227" s="15" t="str">
        <f>IF(OR(AF3227="",AF3227="ERRO_CHAVE"),"",IFERROR(MATCH(AF3227,'Quitados DUPP'!$U$1:$U$6635,0),""))</f>
        <v/>
      </c>
      <c r="AH3227" s="15" t="str">
        <f t="shared" si="2"/>
        <v/>
      </c>
      <c r="AI3227" s="17" t="str">
        <f>IF(AG3227="","",INDEX('Quitados DUPP'!$G$1:$G$6635,AG3227))</f>
        <v/>
      </c>
      <c r="AJ3227" s="17" t="str">
        <f t="shared" si="3"/>
        <v/>
      </c>
    </row>
    <row r="3228" spans="31:36">
      <c r="AE3228" s="15" t="str">
        <f t="shared" si="0"/>
        <v/>
      </c>
      <c r="AF3228" s="15" t="str">
        <f t="shared" si="1"/>
        <v/>
      </c>
      <c r="AG3228" s="15" t="str">
        <f>IF(OR(AF3228="",AF3228="ERRO_CHAVE"),"",IFERROR(MATCH(AF3228,'Quitados DUPP'!$U$1:$U$6635,0),""))</f>
        <v/>
      </c>
      <c r="AH3228" s="15" t="str">
        <f t="shared" si="2"/>
        <v/>
      </c>
      <c r="AI3228" s="17" t="str">
        <f>IF(AG3228="","",INDEX('Quitados DUPP'!$G$1:$G$6635,AG3228))</f>
        <v/>
      </c>
      <c r="AJ3228" s="17" t="str">
        <f t="shared" si="3"/>
        <v/>
      </c>
    </row>
    <row r="3229" spans="31:36">
      <c r="AE3229" s="15" t="str">
        <f t="shared" si="0"/>
        <v/>
      </c>
      <c r="AF3229" s="15" t="str">
        <f t="shared" si="1"/>
        <v/>
      </c>
      <c r="AG3229" s="15" t="str">
        <f>IF(OR(AF3229="",AF3229="ERRO_CHAVE"),"",IFERROR(MATCH(AF3229,'Quitados DUPP'!$U$1:$U$6635,0),""))</f>
        <v/>
      </c>
      <c r="AH3229" s="15" t="str">
        <f t="shared" si="2"/>
        <v/>
      </c>
      <c r="AI3229" s="17" t="str">
        <f>IF(AG3229="","",INDEX('Quitados DUPP'!$G$1:$G$6635,AG3229))</f>
        <v/>
      </c>
      <c r="AJ3229" s="17" t="str">
        <f t="shared" si="3"/>
        <v/>
      </c>
    </row>
    <row r="3230" spans="31:36">
      <c r="AE3230" s="15" t="str">
        <f t="shared" si="0"/>
        <v/>
      </c>
      <c r="AF3230" s="15" t="str">
        <f t="shared" si="1"/>
        <v/>
      </c>
      <c r="AG3230" s="15" t="str">
        <f>IF(OR(AF3230="",AF3230="ERRO_CHAVE"),"",IFERROR(MATCH(AF3230,'Quitados DUPP'!$U$1:$U$6635,0),""))</f>
        <v/>
      </c>
      <c r="AH3230" s="15" t="str">
        <f t="shared" si="2"/>
        <v/>
      </c>
      <c r="AI3230" s="17" t="str">
        <f>IF(AG3230="","",INDEX('Quitados DUPP'!$G$1:$G$6635,AG3230))</f>
        <v/>
      </c>
      <c r="AJ3230" s="17" t="str">
        <f t="shared" si="3"/>
        <v/>
      </c>
    </row>
    <row r="3231" spans="31:36">
      <c r="AE3231" s="15" t="str">
        <f t="shared" si="0"/>
        <v/>
      </c>
      <c r="AF3231" s="15" t="str">
        <f t="shared" si="1"/>
        <v/>
      </c>
      <c r="AG3231" s="15" t="str">
        <f>IF(OR(AF3231="",AF3231="ERRO_CHAVE"),"",IFERROR(MATCH(AF3231,'Quitados DUPP'!$U$1:$U$6635,0),""))</f>
        <v/>
      </c>
      <c r="AH3231" s="15" t="str">
        <f t="shared" si="2"/>
        <v/>
      </c>
      <c r="AI3231" s="17" t="str">
        <f>IF(AG3231="","",INDEX('Quitados DUPP'!$G$1:$G$6635,AG3231))</f>
        <v/>
      </c>
      <c r="AJ3231" s="17" t="str">
        <f t="shared" si="3"/>
        <v/>
      </c>
    </row>
    <row r="3232" spans="31:36">
      <c r="AE3232" s="15" t="str">
        <f t="shared" si="0"/>
        <v/>
      </c>
      <c r="AF3232" s="15" t="str">
        <f t="shared" si="1"/>
        <v/>
      </c>
      <c r="AG3232" s="15" t="str">
        <f>IF(OR(AF3232="",AF3232="ERRO_CHAVE"),"",IFERROR(MATCH(AF3232,'Quitados DUPP'!$U$1:$U$6635,0),""))</f>
        <v/>
      </c>
      <c r="AH3232" s="15" t="str">
        <f t="shared" si="2"/>
        <v/>
      </c>
      <c r="AI3232" s="17" t="str">
        <f>IF(AG3232="","",INDEX('Quitados DUPP'!$G$1:$G$6635,AG3232))</f>
        <v/>
      </c>
      <c r="AJ3232" s="17" t="str">
        <f t="shared" si="3"/>
        <v/>
      </c>
    </row>
    <row r="3233" spans="31:36">
      <c r="AE3233" s="15" t="str">
        <f t="shared" si="0"/>
        <v/>
      </c>
      <c r="AF3233" s="15" t="str">
        <f t="shared" si="1"/>
        <v/>
      </c>
      <c r="AG3233" s="15" t="str">
        <f>IF(OR(AF3233="",AF3233="ERRO_CHAVE"),"",IFERROR(MATCH(AF3233,'Quitados DUPP'!$U$1:$U$6635,0),""))</f>
        <v/>
      </c>
      <c r="AH3233" s="15" t="str">
        <f t="shared" si="2"/>
        <v/>
      </c>
      <c r="AI3233" s="17" t="str">
        <f>IF(AG3233="","",INDEX('Quitados DUPP'!$G$1:$G$6635,AG3233))</f>
        <v/>
      </c>
      <c r="AJ3233" s="17" t="str">
        <f t="shared" si="3"/>
        <v/>
      </c>
    </row>
    <row r="3234" spans="31:36">
      <c r="AE3234" s="15" t="str">
        <f t="shared" si="0"/>
        <v/>
      </c>
      <c r="AF3234" s="15" t="str">
        <f t="shared" si="1"/>
        <v/>
      </c>
      <c r="AG3234" s="15" t="str">
        <f>IF(OR(AF3234="",AF3234="ERRO_CHAVE"),"",IFERROR(MATCH(AF3234,'Quitados DUPP'!$U$1:$U$6635,0),""))</f>
        <v/>
      </c>
      <c r="AH3234" s="15" t="str">
        <f t="shared" si="2"/>
        <v/>
      </c>
      <c r="AI3234" s="17" t="str">
        <f>IF(AG3234="","",INDEX('Quitados DUPP'!$G$1:$G$6635,AG3234))</f>
        <v/>
      </c>
      <c r="AJ3234" s="17" t="str">
        <f t="shared" si="3"/>
        <v/>
      </c>
    </row>
    <row r="3235" spans="31:36">
      <c r="AE3235" s="15" t="str">
        <f t="shared" si="0"/>
        <v/>
      </c>
      <c r="AF3235" s="15" t="str">
        <f t="shared" si="1"/>
        <v/>
      </c>
      <c r="AG3235" s="15" t="str">
        <f>IF(OR(AF3235="",AF3235="ERRO_CHAVE"),"",IFERROR(MATCH(AF3235,'Quitados DUPP'!$U$1:$U$6635,0),""))</f>
        <v/>
      </c>
      <c r="AH3235" s="15" t="str">
        <f t="shared" si="2"/>
        <v/>
      </c>
      <c r="AI3235" s="17" t="str">
        <f>IF(AG3235="","",INDEX('Quitados DUPP'!$G$1:$G$6635,AG3235))</f>
        <v/>
      </c>
      <c r="AJ3235" s="17" t="str">
        <f t="shared" si="3"/>
        <v/>
      </c>
    </row>
    <row r="3236" spans="31:36">
      <c r="AE3236" s="15" t="str">
        <f t="shared" si="0"/>
        <v/>
      </c>
      <c r="AF3236" s="15" t="str">
        <f t="shared" si="1"/>
        <v/>
      </c>
      <c r="AG3236" s="15" t="str">
        <f>IF(OR(AF3236="",AF3236="ERRO_CHAVE"),"",IFERROR(MATCH(AF3236,'Quitados DUPP'!$U$1:$U$6635,0),""))</f>
        <v/>
      </c>
      <c r="AH3236" s="15" t="str">
        <f t="shared" si="2"/>
        <v/>
      </c>
      <c r="AI3236" s="17" t="str">
        <f>IF(AG3236="","",INDEX('Quitados DUPP'!$G$1:$G$6635,AG3236))</f>
        <v/>
      </c>
      <c r="AJ3236" s="17" t="str">
        <f t="shared" si="3"/>
        <v/>
      </c>
    </row>
    <row r="3237" spans="31:36">
      <c r="AE3237" s="15" t="str">
        <f t="shared" si="0"/>
        <v/>
      </c>
      <c r="AF3237" s="15" t="str">
        <f t="shared" si="1"/>
        <v/>
      </c>
      <c r="AG3237" s="15" t="str">
        <f>IF(OR(AF3237="",AF3237="ERRO_CHAVE"),"",IFERROR(MATCH(AF3237,'Quitados DUPP'!$U$1:$U$6635,0),""))</f>
        <v/>
      </c>
      <c r="AH3237" s="15" t="str">
        <f t="shared" si="2"/>
        <v/>
      </c>
      <c r="AI3237" s="17" t="str">
        <f>IF(AG3237="","",INDEX('Quitados DUPP'!$G$1:$G$6635,AG3237))</f>
        <v/>
      </c>
      <c r="AJ3237" s="17" t="str">
        <f t="shared" si="3"/>
        <v/>
      </c>
    </row>
    <row r="3238" spans="31:36">
      <c r="AE3238" s="15" t="str">
        <f t="shared" si="0"/>
        <v/>
      </c>
      <c r="AF3238" s="15" t="str">
        <f t="shared" si="1"/>
        <v/>
      </c>
      <c r="AG3238" s="15" t="str">
        <f>IF(OR(AF3238="",AF3238="ERRO_CHAVE"),"",IFERROR(MATCH(AF3238,'Quitados DUPP'!$U$1:$U$6635,0),""))</f>
        <v/>
      </c>
      <c r="AH3238" s="15" t="str">
        <f t="shared" si="2"/>
        <v/>
      </c>
      <c r="AI3238" s="17" t="str">
        <f>IF(AG3238="","",INDEX('Quitados DUPP'!$G$1:$G$6635,AG3238))</f>
        <v/>
      </c>
      <c r="AJ3238" s="17" t="str">
        <f t="shared" si="3"/>
        <v/>
      </c>
    </row>
    <row r="3239" spans="31:36">
      <c r="AE3239" s="15" t="str">
        <f t="shared" si="0"/>
        <v/>
      </c>
      <c r="AF3239" s="15" t="str">
        <f t="shared" si="1"/>
        <v/>
      </c>
      <c r="AG3239" s="15" t="str">
        <f>IF(OR(AF3239="",AF3239="ERRO_CHAVE"),"",IFERROR(MATCH(AF3239,'Quitados DUPP'!$U$1:$U$6635,0),""))</f>
        <v/>
      </c>
      <c r="AH3239" s="15" t="str">
        <f t="shared" si="2"/>
        <v/>
      </c>
      <c r="AI3239" s="17" t="str">
        <f>IF(AG3239="","",INDEX('Quitados DUPP'!$G$1:$G$6635,AG3239))</f>
        <v/>
      </c>
      <c r="AJ3239" s="17" t="str">
        <f t="shared" si="3"/>
        <v/>
      </c>
    </row>
    <row r="3240" spans="31:36">
      <c r="AE3240" s="15" t="str">
        <f t="shared" si="0"/>
        <v/>
      </c>
      <c r="AF3240" s="15" t="str">
        <f t="shared" si="1"/>
        <v/>
      </c>
      <c r="AG3240" s="15" t="str">
        <f>IF(OR(AF3240="",AF3240="ERRO_CHAVE"),"",IFERROR(MATCH(AF3240,'Quitados DUPP'!$U$1:$U$6635,0),""))</f>
        <v/>
      </c>
      <c r="AH3240" s="15" t="str">
        <f t="shared" si="2"/>
        <v/>
      </c>
      <c r="AI3240" s="17" t="str">
        <f>IF(AG3240="","",INDEX('Quitados DUPP'!$G$1:$G$6635,AG3240))</f>
        <v/>
      </c>
      <c r="AJ3240" s="17" t="str">
        <f t="shared" si="3"/>
        <v/>
      </c>
    </row>
    <row r="3241" spans="31:36">
      <c r="AE3241" s="15" t="str">
        <f t="shared" si="0"/>
        <v/>
      </c>
      <c r="AF3241" s="15" t="str">
        <f t="shared" si="1"/>
        <v/>
      </c>
      <c r="AG3241" s="15" t="str">
        <f>IF(OR(AF3241="",AF3241="ERRO_CHAVE"),"",IFERROR(MATCH(AF3241,'Quitados DUPP'!$U$1:$U$6635,0),""))</f>
        <v/>
      </c>
      <c r="AH3241" s="15" t="str">
        <f t="shared" si="2"/>
        <v/>
      </c>
      <c r="AI3241" s="17" t="str">
        <f>IF(AG3241="","",INDEX('Quitados DUPP'!$G$1:$G$6635,AG3241))</f>
        <v/>
      </c>
      <c r="AJ3241" s="17" t="str">
        <f t="shared" si="3"/>
        <v/>
      </c>
    </row>
    <row r="3242" spans="31:36">
      <c r="AE3242" s="15" t="str">
        <f t="shared" si="0"/>
        <v/>
      </c>
      <c r="AF3242" s="15" t="str">
        <f t="shared" si="1"/>
        <v/>
      </c>
      <c r="AG3242" s="15" t="str">
        <f>IF(OR(AF3242="",AF3242="ERRO_CHAVE"),"",IFERROR(MATCH(AF3242,'Quitados DUPP'!$U$1:$U$6635,0),""))</f>
        <v/>
      </c>
      <c r="AH3242" s="15" t="str">
        <f t="shared" si="2"/>
        <v/>
      </c>
      <c r="AI3242" s="17" t="str">
        <f>IF(AG3242="","",INDEX('Quitados DUPP'!$G$1:$G$6635,AG3242))</f>
        <v/>
      </c>
      <c r="AJ3242" s="17" t="str">
        <f t="shared" si="3"/>
        <v/>
      </c>
    </row>
    <row r="3243" spans="31:36">
      <c r="AE3243" s="15" t="str">
        <f t="shared" si="0"/>
        <v/>
      </c>
      <c r="AF3243" s="15" t="str">
        <f t="shared" si="1"/>
        <v/>
      </c>
      <c r="AG3243" s="15" t="str">
        <f>IF(OR(AF3243="",AF3243="ERRO_CHAVE"),"",IFERROR(MATCH(AF3243,'Quitados DUPP'!$U$1:$U$6635,0),""))</f>
        <v/>
      </c>
      <c r="AH3243" s="15" t="str">
        <f t="shared" si="2"/>
        <v/>
      </c>
      <c r="AI3243" s="17" t="str">
        <f>IF(AG3243="","",INDEX('Quitados DUPP'!$G$1:$G$6635,AG3243))</f>
        <v/>
      </c>
      <c r="AJ3243" s="17" t="str">
        <f t="shared" si="3"/>
        <v/>
      </c>
    </row>
    <row r="3244" spans="31:36">
      <c r="AE3244" s="15" t="str">
        <f t="shared" si="0"/>
        <v/>
      </c>
      <c r="AF3244" s="15" t="str">
        <f t="shared" si="1"/>
        <v/>
      </c>
      <c r="AG3244" s="15" t="str">
        <f>IF(OR(AF3244="",AF3244="ERRO_CHAVE"),"",IFERROR(MATCH(AF3244,'Quitados DUPP'!$U$1:$U$6635,0),""))</f>
        <v/>
      </c>
      <c r="AH3244" s="15" t="str">
        <f t="shared" si="2"/>
        <v/>
      </c>
      <c r="AI3244" s="17" t="str">
        <f>IF(AG3244="","",INDEX('Quitados DUPP'!$G$1:$G$6635,AG3244))</f>
        <v/>
      </c>
      <c r="AJ3244" s="17" t="str">
        <f t="shared" si="3"/>
        <v/>
      </c>
    </row>
    <row r="3245" spans="31:36">
      <c r="AE3245" s="15" t="str">
        <f t="shared" si="0"/>
        <v/>
      </c>
      <c r="AF3245" s="15" t="str">
        <f t="shared" si="1"/>
        <v/>
      </c>
      <c r="AG3245" s="15" t="str">
        <f>IF(OR(AF3245="",AF3245="ERRO_CHAVE"),"",IFERROR(MATCH(AF3245,'Quitados DUPP'!$U$1:$U$6635,0),""))</f>
        <v/>
      </c>
      <c r="AH3245" s="15" t="str">
        <f t="shared" si="2"/>
        <v/>
      </c>
      <c r="AI3245" s="17" t="str">
        <f>IF(AG3245="","",INDEX('Quitados DUPP'!$G$1:$G$6635,AG3245))</f>
        <v/>
      </c>
      <c r="AJ3245" s="17" t="str">
        <f t="shared" si="3"/>
        <v/>
      </c>
    </row>
    <row r="3246" spans="31:36">
      <c r="AE3246" s="15" t="str">
        <f t="shared" si="0"/>
        <v/>
      </c>
      <c r="AF3246" s="15" t="str">
        <f t="shared" si="1"/>
        <v/>
      </c>
      <c r="AG3246" s="15" t="str">
        <f>IF(OR(AF3246="",AF3246="ERRO_CHAVE"),"",IFERROR(MATCH(AF3246,'Quitados DUPP'!$U$1:$U$6635,0),""))</f>
        <v/>
      </c>
      <c r="AH3246" s="15" t="str">
        <f t="shared" si="2"/>
        <v/>
      </c>
      <c r="AI3246" s="17" t="str">
        <f>IF(AG3246="","",INDEX('Quitados DUPP'!$G$1:$G$6635,AG3246))</f>
        <v/>
      </c>
      <c r="AJ3246" s="17" t="str">
        <f t="shared" si="3"/>
        <v/>
      </c>
    </row>
    <row r="3247" spans="31:36">
      <c r="AE3247" s="15" t="str">
        <f t="shared" si="0"/>
        <v/>
      </c>
      <c r="AF3247" s="15" t="str">
        <f t="shared" si="1"/>
        <v/>
      </c>
      <c r="AG3247" s="15" t="str">
        <f>IF(OR(AF3247="",AF3247="ERRO_CHAVE"),"",IFERROR(MATCH(AF3247,'Quitados DUPP'!$U$1:$U$6635,0),""))</f>
        <v/>
      </c>
      <c r="AH3247" s="15" t="str">
        <f t="shared" si="2"/>
        <v/>
      </c>
      <c r="AI3247" s="17" t="str">
        <f>IF(AG3247="","",INDEX('Quitados DUPP'!$G$1:$G$6635,AG3247))</f>
        <v/>
      </c>
      <c r="AJ3247" s="17" t="str">
        <f t="shared" si="3"/>
        <v/>
      </c>
    </row>
    <row r="3248" spans="31:36">
      <c r="AE3248" s="15" t="str">
        <f t="shared" si="0"/>
        <v/>
      </c>
      <c r="AF3248" s="15" t="str">
        <f t="shared" si="1"/>
        <v/>
      </c>
      <c r="AG3248" s="15" t="str">
        <f>IF(OR(AF3248="",AF3248="ERRO_CHAVE"),"",IFERROR(MATCH(AF3248,'Quitados DUPP'!$U$1:$U$6635,0),""))</f>
        <v/>
      </c>
      <c r="AH3248" s="15" t="str">
        <f t="shared" si="2"/>
        <v/>
      </c>
      <c r="AI3248" s="17" t="str">
        <f>IF(AG3248="","",INDEX('Quitados DUPP'!$G$1:$G$6635,AG3248))</f>
        <v/>
      </c>
      <c r="AJ3248" s="17" t="str">
        <f t="shared" si="3"/>
        <v/>
      </c>
    </row>
    <row r="3249" spans="31:36">
      <c r="AE3249" s="15" t="str">
        <f t="shared" si="0"/>
        <v/>
      </c>
      <c r="AF3249" s="15" t="str">
        <f t="shared" si="1"/>
        <v/>
      </c>
      <c r="AG3249" s="15" t="str">
        <f>IF(OR(AF3249="",AF3249="ERRO_CHAVE"),"",IFERROR(MATCH(AF3249,'Quitados DUPP'!$U$1:$U$6635,0),""))</f>
        <v/>
      </c>
      <c r="AH3249" s="15" t="str">
        <f t="shared" si="2"/>
        <v/>
      </c>
      <c r="AI3249" s="17" t="str">
        <f>IF(AG3249="","",INDEX('Quitados DUPP'!$G$1:$G$6635,AG3249))</f>
        <v/>
      </c>
      <c r="AJ3249" s="17" t="str">
        <f t="shared" si="3"/>
        <v/>
      </c>
    </row>
    <row r="3250" spans="31:36">
      <c r="AE3250" s="15" t="str">
        <f t="shared" si="0"/>
        <v/>
      </c>
      <c r="AF3250" s="15" t="str">
        <f t="shared" si="1"/>
        <v/>
      </c>
      <c r="AG3250" s="15" t="str">
        <f>IF(OR(AF3250="",AF3250="ERRO_CHAVE"),"",IFERROR(MATCH(AF3250,'Quitados DUPP'!$U$1:$U$6635,0),""))</f>
        <v/>
      </c>
      <c r="AH3250" s="15" t="str">
        <f t="shared" si="2"/>
        <v/>
      </c>
      <c r="AI3250" s="17" t="str">
        <f>IF(AG3250="","",INDEX('Quitados DUPP'!$G$1:$G$6635,AG3250))</f>
        <v/>
      </c>
      <c r="AJ3250" s="17" t="str">
        <f t="shared" si="3"/>
        <v/>
      </c>
    </row>
    <row r="3251" spans="31:36">
      <c r="AE3251" s="15" t="str">
        <f t="shared" si="0"/>
        <v/>
      </c>
      <c r="AF3251" s="15" t="str">
        <f t="shared" si="1"/>
        <v/>
      </c>
      <c r="AG3251" s="15" t="str">
        <f>IF(OR(AF3251="",AF3251="ERRO_CHAVE"),"",IFERROR(MATCH(AF3251,'Quitados DUPP'!$U$1:$U$6635,0),""))</f>
        <v/>
      </c>
      <c r="AH3251" s="15" t="str">
        <f t="shared" si="2"/>
        <v/>
      </c>
      <c r="AI3251" s="17" t="str">
        <f>IF(AG3251="","",INDEX('Quitados DUPP'!$G$1:$G$6635,AG3251))</f>
        <v/>
      </c>
      <c r="AJ3251" s="17" t="str">
        <f t="shared" si="3"/>
        <v/>
      </c>
    </row>
    <row r="3252" spans="31:36">
      <c r="AE3252" s="15" t="str">
        <f t="shared" si="0"/>
        <v/>
      </c>
      <c r="AF3252" s="15" t="str">
        <f t="shared" si="1"/>
        <v/>
      </c>
      <c r="AG3252" s="15" t="str">
        <f>IF(OR(AF3252="",AF3252="ERRO_CHAVE"),"",IFERROR(MATCH(AF3252,'Quitados DUPP'!$U$1:$U$6635,0),""))</f>
        <v/>
      </c>
      <c r="AH3252" s="15" t="str">
        <f t="shared" si="2"/>
        <v/>
      </c>
      <c r="AI3252" s="17" t="str">
        <f>IF(AG3252="","",INDEX('Quitados DUPP'!$G$1:$G$6635,AG3252))</f>
        <v/>
      </c>
      <c r="AJ3252" s="17" t="str">
        <f t="shared" si="3"/>
        <v/>
      </c>
    </row>
    <row r="3253" spans="31:36">
      <c r="AE3253" s="15" t="str">
        <f t="shared" si="0"/>
        <v/>
      </c>
      <c r="AF3253" s="15" t="str">
        <f t="shared" si="1"/>
        <v/>
      </c>
      <c r="AG3253" s="15" t="str">
        <f>IF(OR(AF3253="",AF3253="ERRO_CHAVE"),"",IFERROR(MATCH(AF3253,'Quitados DUPP'!$U$1:$U$6635,0),""))</f>
        <v/>
      </c>
      <c r="AH3253" s="15" t="str">
        <f t="shared" si="2"/>
        <v/>
      </c>
      <c r="AI3253" s="17" t="str">
        <f>IF(AG3253="","",INDEX('Quitados DUPP'!$G$1:$G$6635,AG3253))</f>
        <v/>
      </c>
      <c r="AJ3253" s="17" t="str">
        <f t="shared" si="3"/>
        <v/>
      </c>
    </row>
    <row r="3254" spans="31:36">
      <c r="AE3254" s="15" t="str">
        <f t="shared" si="0"/>
        <v/>
      </c>
      <c r="AF3254" s="15" t="str">
        <f t="shared" si="1"/>
        <v/>
      </c>
      <c r="AG3254" s="15" t="str">
        <f>IF(OR(AF3254="",AF3254="ERRO_CHAVE"),"",IFERROR(MATCH(AF3254,'Quitados DUPP'!$U$1:$U$6635,0),""))</f>
        <v/>
      </c>
      <c r="AH3254" s="15" t="str">
        <f t="shared" si="2"/>
        <v/>
      </c>
      <c r="AI3254" s="17" t="str">
        <f>IF(AG3254="","",INDEX('Quitados DUPP'!$G$1:$G$6635,AG3254))</f>
        <v/>
      </c>
      <c r="AJ3254" s="17" t="str">
        <f t="shared" si="3"/>
        <v/>
      </c>
    </row>
    <row r="3255" spans="31:36">
      <c r="AE3255" s="15" t="str">
        <f t="shared" si="0"/>
        <v/>
      </c>
      <c r="AF3255" s="15" t="str">
        <f t="shared" si="1"/>
        <v/>
      </c>
      <c r="AG3255" s="15" t="str">
        <f>IF(OR(AF3255="",AF3255="ERRO_CHAVE"),"",IFERROR(MATCH(AF3255,'Quitados DUPP'!$U$1:$U$6635,0),""))</f>
        <v/>
      </c>
      <c r="AH3255" s="15" t="str">
        <f t="shared" si="2"/>
        <v/>
      </c>
      <c r="AI3255" s="17" t="str">
        <f>IF(AG3255="","",INDEX('Quitados DUPP'!$G$1:$G$6635,AG3255))</f>
        <v/>
      </c>
      <c r="AJ3255" s="17" t="str">
        <f t="shared" si="3"/>
        <v/>
      </c>
    </row>
    <row r="3256" spans="31:36">
      <c r="AE3256" s="15" t="str">
        <f t="shared" si="0"/>
        <v/>
      </c>
      <c r="AF3256" s="15" t="str">
        <f t="shared" si="1"/>
        <v/>
      </c>
      <c r="AG3256" s="15" t="str">
        <f>IF(OR(AF3256="",AF3256="ERRO_CHAVE"),"",IFERROR(MATCH(AF3256,'Quitados DUPP'!$U$1:$U$6635,0),""))</f>
        <v/>
      </c>
      <c r="AH3256" s="15" t="str">
        <f t="shared" si="2"/>
        <v/>
      </c>
      <c r="AI3256" s="17" t="str">
        <f>IF(AG3256="","",INDEX('Quitados DUPP'!$G$1:$G$6635,AG3256))</f>
        <v/>
      </c>
      <c r="AJ3256" s="17" t="str">
        <f t="shared" si="3"/>
        <v/>
      </c>
    </row>
    <row r="3257" spans="31:36">
      <c r="AE3257" s="15" t="str">
        <f t="shared" si="0"/>
        <v/>
      </c>
      <c r="AF3257" s="15" t="str">
        <f t="shared" si="1"/>
        <v/>
      </c>
      <c r="AG3257" s="15" t="str">
        <f>IF(OR(AF3257="",AF3257="ERRO_CHAVE"),"",IFERROR(MATCH(AF3257,'Quitados DUPP'!$U$1:$U$6635,0),""))</f>
        <v/>
      </c>
      <c r="AH3257" s="15" t="str">
        <f t="shared" si="2"/>
        <v/>
      </c>
      <c r="AI3257" s="17" t="str">
        <f>IF(AG3257="","",INDEX('Quitados DUPP'!$G$1:$G$6635,AG3257))</f>
        <v/>
      </c>
      <c r="AJ3257" s="17" t="str">
        <f t="shared" si="3"/>
        <v/>
      </c>
    </row>
    <row r="3258" spans="31:36">
      <c r="AE3258" s="15" t="str">
        <f t="shared" si="0"/>
        <v/>
      </c>
      <c r="AF3258" s="15" t="str">
        <f t="shared" si="1"/>
        <v/>
      </c>
      <c r="AG3258" s="15" t="str">
        <f>IF(OR(AF3258="",AF3258="ERRO_CHAVE"),"",IFERROR(MATCH(AF3258,'Quitados DUPP'!$U$1:$U$6635,0),""))</f>
        <v/>
      </c>
      <c r="AH3258" s="15" t="str">
        <f t="shared" si="2"/>
        <v/>
      </c>
      <c r="AI3258" s="17" t="str">
        <f>IF(AG3258="","",INDEX('Quitados DUPP'!$G$1:$G$6635,AG3258))</f>
        <v/>
      </c>
      <c r="AJ3258" s="17" t="str">
        <f t="shared" si="3"/>
        <v/>
      </c>
    </row>
    <row r="3259" spans="31:36">
      <c r="AE3259" s="15" t="str">
        <f t="shared" si="0"/>
        <v/>
      </c>
      <c r="AF3259" s="15" t="str">
        <f t="shared" si="1"/>
        <v/>
      </c>
      <c r="AG3259" s="15" t="str">
        <f>IF(OR(AF3259="",AF3259="ERRO_CHAVE"),"",IFERROR(MATCH(AF3259,'Quitados DUPP'!$U$1:$U$6635,0),""))</f>
        <v/>
      </c>
      <c r="AH3259" s="15" t="str">
        <f t="shared" si="2"/>
        <v/>
      </c>
      <c r="AI3259" s="17" t="str">
        <f>IF(AG3259="","",INDEX('Quitados DUPP'!$G$1:$G$6635,AG3259))</f>
        <v/>
      </c>
      <c r="AJ3259" s="17" t="str">
        <f t="shared" si="3"/>
        <v/>
      </c>
    </row>
    <row r="3260" spans="31:36">
      <c r="AE3260" s="15" t="str">
        <f t="shared" si="0"/>
        <v/>
      </c>
      <c r="AF3260" s="15" t="str">
        <f t="shared" si="1"/>
        <v/>
      </c>
      <c r="AG3260" s="15" t="str">
        <f>IF(OR(AF3260="",AF3260="ERRO_CHAVE"),"",IFERROR(MATCH(AF3260,'Quitados DUPP'!$U$1:$U$6635,0),""))</f>
        <v/>
      </c>
      <c r="AH3260" s="15" t="str">
        <f t="shared" si="2"/>
        <v/>
      </c>
      <c r="AI3260" s="17" t="str">
        <f>IF(AG3260="","",INDEX('Quitados DUPP'!$G$1:$G$6635,AG3260))</f>
        <v/>
      </c>
      <c r="AJ3260" s="17" t="str">
        <f t="shared" si="3"/>
        <v/>
      </c>
    </row>
    <row r="3261" spans="31:36">
      <c r="AE3261" s="15" t="str">
        <f t="shared" si="0"/>
        <v/>
      </c>
      <c r="AF3261" s="15" t="str">
        <f t="shared" si="1"/>
        <v/>
      </c>
      <c r="AG3261" s="15" t="str">
        <f>IF(OR(AF3261="",AF3261="ERRO_CHAVE"),"",IFERROR(MATCH(AF3261,'Quitados DUPP'!$U$1:$U$6635,0),""))</f>
        <v/>
      </c>
      <c r="AH3261" s="15" t="str">
        <f t="shared" si="2"/>
        <v/>
      </c>
      <c r="AI3261" s="17" t="str">
        <f>IF(AG3261="","",INDEX('Quitados DUPP'!$G$1:$G$6635,AG3261))</f>
        <v/>
      </c>
      <c r="AJ3261" s="17" t="str">
        <f t="shared" si="3"/>
        <v/>
      </c>
    </row>
    <row r="3262" spans="31:36">
      <c r="AE3262" s="15" t="str">
        <f t="shared" si="0"/>
        <v/>
      </c>
      <c r="AF3262" s="15" t="str">
        <f t="shared" si="1"/>
        <v/>
      </c>
      <c r="AG3262" s="15" t="str">
        <f>IF(OR(AF3262="",AF3262="ERRO_CHAVE"),"",IFERROR(MATCH(AF3262,'Quitados DUPP'!$U$1:$U$6635,0),""))</f>
        <v/>
      </c>
      <c r="AH3262" s="15" t="str">
        <f t="shared" si="2"/>
        <v/>
      </c>
      <c r="AI3262" s="17" t="str">
        <f>IF(AG3262="","",INDEX('Quitados DUPP'!$G$1:$G$6635,AG3262))</f>
        <v/>
      </c>
      <c r="AJ3262" s="17" t="str">
        <f t="shared" si="3"/>
        <v/>
      </c>
    </row>
    <row r="3263" spans="31:36">
      <c r="AE3263" s="15" t="str">
        <f t="shared" si="0"/>
        <v/>
      </c>
      <c r="AF3263" s="15" t="str">
        <f t="shared" si="1"/>
        <v/>
      </c>
      <c r="AG3263" s="15" t="str">
        <f>IF(OR(AF3263="",AF3263="ERRO_CHAVE"),"",IFERROR(MATCH(AF3263,'Quitados DUPP'!$U$1:$U$6635,0),""))</f>
        <v/>
      </c>
      <c r="AH3263" s="15" t="str">
        <f t="shared" si="2"/>
        <v/>
      </c>
      <c r="AI3263" s="17" t="str">
        <f>IF(AG3263="","",INDEX('Quitados DUPP'!$G$1:$G$6635,AG3263))</f>
        <v/>
      </c>
      <c r="AJ3263" s="17" t="str">
        <f t="shared" si="3"/>
        <v/>
      </c>
    </row>
    <row r="3264" spans="31:36">
      <c r="AE3264" s="15" t="str">
        <f t="shared" si="0"/>
        <v/>
      </c>
      <c r="AF3264" s="15" t="str">
        <f t="shared" si="1"/>
        <v/>
      </c>
      <c r="AG3264" s="15" t="str">
        <f>IF(OR(AF3264="",AF3264="ERRO_CHAVE"),"",IFERROR(MATCH(AF3264,'Quitados DUPP'!$U$1:$U$6635,0),""))</f>
        <v/>
      </c>
      <c r="AH3264" s="15" t="str">
        <f t="shared" si="2"/>
        <v/>
      </c>
      <c r="AI3264" s="17" t="str">
        <f>IF(AG3264="","",INDEX('Quitados DUPP'!$G$1:$G$6635,AG3264))</f>
        <v/>
      </c>
      <c r="AJ3264" s="17" t="str">
        <f t="shared" si="3"/>
        <v/>
      </c>
    </row>
    <row r="3265" spans="31:36">
      <c r="AE3265" s="15" t="str">
        <f t="shared" si="0"/>
        <v/>
      </c>
      <c r="AF3265" s="15" t="str">
        <f t="shared" si="1"/>
        <v/>
      </c>
      <c r="AG3265" s="15" t="str">
        <f>IF(OR(AF3265="",AF3265="ERRO_CHAVE"),"",IFERROR(MATCH(AF3265,'Quitados DUPP'!$U$1:$U$6635,0),""))</f>
        <v/>
      </c>
      <c r="AH3265" s="15" t="str">
        <f t="shared" si="2"/>
        <v/>
      </c>
      <c r="AI3265" s="17" t="str">
        <f>IF(AG3265="","",INDEX('Quitados DUPP'!$G$1:$G$6635,AG3265))</f>
        <v/>
      </c>
      <c r="AJ3265" s="17" t="str">
        <f t="shared" si="3"/>
        <v/>
      </c>
    </row>
    <row r="3266" spans="31:36">
      <c r="AE3266" s="15" t="str">
        <f t="shared" si="0"/>
        <v/>
      </c>
      <c r="AF3266" s="15" t="str">
        <f t="shared" si="1"/>
        <v/>
      </c>
      <c r="AG3266" s="15" t="str">
        <f>IF(OR(AF3266="",AF3266="ERRO_CHAVE"),"",IFERROR(MATCH(AF3266,'Quitados DUPP'!$U$1:$U$6635,0),""))</f>
        <v/>
      </c>
      <c r="AH3266" s="15" t="str">
        <f t="shared" si="2"/>
        <v/>
      </c>
      <c r="AI3266" s="17" t="str">
        <f>IF(AG3266="","",INDEX('Quitados DUPP'!$G$1:$G$6635,AG3266))</f>
        <v/>
      </c>
      <c r="AJ3266" s="17" t="str">
        <f t="shared" si="3"/>
        <v/>
      </c>
    </row>
    <row r="3267" spans="31:36">
      <c r="AE3267" s="15" t="str">
        <f t="shared" si="0"/>
        <v/>
      </c>
      <c r="AF3267" s="15" t="str">
        <f t="shared" si="1"/>
        <v/>
      </c>
      <c r="AG3267" s="15" t="str">
        <f>IF(OR(AF3267="",AF3267="ERRO_CHAVE"),"",IFERROR(MATCH(AF3267,'Quitados DUPP'!$U$1:$U$6635,0),""))</f>
        <v/>
      </c>
      <c r="AH3267" s="15" t="str">
        <f t="shared" si="2"/>
        <v/>
      </c>
      <c r="AI3267" s="17" t="str">
        <f>IF(AG3267="","",INDEX('Quitados DUPP'!$G$1:$G$6635,AG3267))</f>
        <v/>
      </c>
      <c r="AJ3267" s="17" t="str">
        <f t="shared" si="3"/>
        <v/>
      </c>
    </row>
    <row r="3268" spans="31:36">
      <c r="AE3268" s="15" t="str">
        <f t="shared" si="0"/>
        <v/>
      </c>
      <c r="AF3268" s="15" t="str">
        <f t="shared" si="1"/>
        <v/>
      </c>
      <c r="AG3268" s="15" t="str">
        <f>IF(OR(AF3268="",AF3268="ERRO_CHAVE"),"",IFERROR(MATCH(AF3268,'Quitados DUPP'!$U$1:$U$6635,0),""))</f>
        <v/>
      </c>
      <c r="AH3268" s="15" t="str">
        <f t="shared" si="2"/>
        <v/>
      </c>
      <c r="AI3268" s="17" t="str">
        <f>IF(AG3268="","",INDEX('Quitados DUPP'!$G$1:$G$6635,AG3268))</f>
        <v/>
      </c>
      <c r="AJ3268" s="17" t="str">
        <f t="shared" si="3"/>
        <v/>
      </c>
    </row>
    <row r="3269" spans="31:36">
      <c r="AE3269" s="15" t="str">
        <f t="shared" si="0"/>
        <v/>
      </c>
      <c r="AF3269" s="15" t="str">
        <f t="shared" si="1"/>
        <v/>
      </c>
      <c r="AG3269" s="15" t="str">
        <f>IF(OR(AF3269="",AF3269="ERRO_CHAVE"),"",IFERROR(MATCH(AF3269,'Quitados DUPP'!$U$1:$U$6635,0),""))</f>
        <v/>
      </c>
      <c r="AH3269" s="15" t="str">
        <f t="shared" si="2"/>
        <v/>
      </c>
      <c r="AI3269" s="17" t="str">
        <f>IF(AG3269="","",INDEX('Quitados DUPP'!$G$1:$G$6635,AG3269))</f>
        <v/>
      </c>
      <c r="AJ3269" s="17" t="str">
        <f t="shared" si="3"/>
        <v/>
      </c>
    </row>
    <row r="3270" spans="31:36">
      <c r="AE3270" s="15" t="str">
        <f t="shared" si="0"/>
        <v/>
      </c>
      <c r="AF3270" s="15" t="str">
        <f t="shared" si="1"/>
        <v/>
      </c>
      <c r="AG3270" s="15" t="str">
        <f>IF(OR(AF3270="",AF3270="ERRO_CHAVE"),"",IFERROR(MATCH(AF3270,'Quitados DUPP'!$U$1:$U$6635,0),""))</f>
        <v/>
      </c>
      <c r="AH3270" s="15" t="str">
        <f t="shared" si="2"/>
        <v/>
      </c>
      <c r="AI3270" s="17" t="str">
        <f>IF(AG3270="","",INDEX('Quitados DUPP'!$G$1:$G$6635,AG3270))</f>
        <v/>
      </c>
      <c r="AJ3270" s="17" t="str">
        <f t="shared" si="3"/>
        <v/>
      </c>
    </row>
    <row r="3271" spans="31:36">
      <c r="AE3271" s="15" t="str">
        <f t="shared" si="0"/>
        <v/>
      </c>
      <c r="AF3271" s="15" t="str">
        <f t="shared" si="1"/>
        <v/>
      </c>
      <c r="AG3271" s="15" t="str">
        <f>IF(OR(AF3271="",AF3271="ERRO_CHAVE"),"",IFERROR(MATCH(AF3271,'Quitados DUPP'!$U$1:$U$6635,0),""))</f>
        <v/>
      </c>
      <c r="AH3271" s="15" t="str">
        <f t="shared" si="2"/>
        <v/>
      </c>
      <c r="AI3271" s="17" t="str">
        <f>IF(AG3271="","",INDEX('Quitados DUPP'!$G$1:$G$6635,AG3271))</f>
        <v/>
      </c>
      <c r="AJ3271" s="17" t="str">
        <f t="shared" si="3"/>
        <v/>
      </c>
    </row>
    <row r="3272" spans="31:36">
      <c r="AE3272" s="15" t="str">
        <f t="shared" si="0"/>
        <v/>
      </c>
      <c r="AF3272" s="15" t="str">
        <f t="shared" si="1"/>
        <v/>
      </c>
      <c r="AG3272" s="15" t="str">
        <f>IF(OR(AF3272="",AF3272="ERRO_CHAVE"),"",IFERROR(MATCH(AF3272,'Quitados DUPP'!$U$1:$U$6635,0),""))</f>
        <v/>
      </c>
      <c r="AH3272" s="15" t="str">
        <f t="shared" si="2"/>
        <v/>
      </c>
      <c r="AI3272" s="17" t="str">
        <f>IF(AG3272="","",INDEX('Quitados DUPP'!$G$1:$G$6635,AG3272))</f>
        <v/>
      </c>
      <c r="AJ3272" s="17" t="str">
        <f t="shared" si="3"/>
        <v/>
      </c>
    </row>
    <row r="3273" spans="31:36">
      <c r="AE3273" s="15" t="str">
        <f t="shared" si="0"/>
        <v/>
      </c>
      <c r="AF3273" s="15" t="str">
        <f t="shared" si="1"/>
        <v/>
      </c>
      <c r="AG3273" s="15" t="str">
        <f>IF(OR(AF3273="",AF3273="ERRO_CHAVE"),"",IFERROR(MATCH(AF3273,'Quitados DUPP'!$U$1:$U$6635,0),""))</f>
        <v/>
      </c>
      <c r="AH3273" s="15" t="str">
        <f t="shared" si="2"/>
        <v/>
      </c>
      <c r="AI3273" s="17" t="str">
        <f>IF(AG3273="","",INDEX('Quitados DUPP'!$G$1:$G$6635,AG3273))</f>
        <v/>
      </c>
      <c r="AJ3273" s="17" t="str">
        <f t="shared" si="3"/>
        <v/>
      </c>
    </row>
    <row r="3274" spans="31:36">
      <c r="AE3274" s="15" t="str">
        <f t="shared" si="0"/>
        <v/>
      </c>
      <c r="AF3274" s="15" t="str">
        <f t="shared" si="1"/>
        <v/>
      </c>
      <c r="AG3274" s="15" t="str">
        <f>IF(OR(AF3274="",AF3274="ERRO_CHAVE"),"",IFERROR(MATCH(AF3274,'Quitados DUPP'!$U$1:$U$6635,0),""))</f>
        <v/>
      </c>
      <c r="AH3274" s="15" t="str">
        <f t="shared" si="2"/>
        <v/>
      </c>
      <c r="AI3274" s="17" t="str">
        <f>IF(AG3274="","",INDEX('Quitados DUPP'!$G$1:$G$6635,AG3274))</f>
        <v/>
      </c>
      <c r="AJ3274" s="17" t="str">
        <f t="shared" si="3"/>
        <v/>
      </c>
    </row>
    <row r="3275" spans="31:36">
      <c r="AE3275" s="15" t="str">
        <f t="shared" si="0"/>
        <v/>
      </c>
      <c r="AF3275" s="15" t="str">
        <f t="shared" si="1"/>
        <v/>
      </c>
      <c r="AG3275" s="15" t="str">
        <f>IF(OR(AF3275="",AF3275="ERRO_CHAVE"),"",IFERROR(MATCH(AF3275,'Quitados DUPP'!$U$1:$U$6635,0),""))</f>
        <v/>
      </c>
      <c r="AH3275" s="15" t="str">
        <f t="shared" si="2"/>
        <v/>
      </c>
      <c r="AI3275" s="17" t="str">
        <f>IF(AG3275="","",INDEX('Quitados DUPP'!$G$1:$G$6635,AG3275))</f>
        <v/>
      </c>
      <c r="AJ3275" s="17" t="str">
        <f t="shared" si="3"/>
        <v/>
      </c>
    </row>
    <row r="3276" spans="31:36">
      <c r="AE3276" s="15" t="str">
        <f t="shared" si="0"/>
        <v/>
      </c>
      <c r="AF3276" s="15" t="str">
        <f t="shared" si="1"/>
        <v/>
      </c>
      <c r="AG3276" s="15" t="str">
        <f>IF(OR(AF3276="",AF3276="ERRO_CHAVE"),"",IFERROR(MATCH(AF3276,'Quitados DUPP'!$U$1:$U$6635,0),""))</f>
        <v/>
      </c>
      <c r="AH3276" s="15" t="str">
        <f t="shared" si="2"/>
        <v/>
      </c>
      <c r="AI3276" s="17" t="str">
        <f>IF(AG3276="","",INDEX('Quitados DUPP'!$G$1:$G$6635,AG3276))</f>
        <v/>
      </c>
      <c r="AJ3276" s="17" t="str">
        <f t="shared" si="3"/>
        <v/>
      </c>
    </row>
    <row r="3277" spans="31:36">
      <c r="AE3277" s="15" t="str">
        <f t="shared" si="0"/>
        <v/>
      </c>
      <c r="AF3277" s="15" t="str">
        <f t="shared" si="1"/>
        <v/>
      </c>
      <c r="AG3277" s="15" t="str">
        <f>IF(OR(AF3277="",AF3277="ERRO_CHAVE"),"",IFERROR(MATCH(AF3277,'Quitados DUPP'!$U$1:$U$6635,0),""))</f>
        <v/>
      </c>
      <c r="AH3277" s="15" t="str">
        <f t="shared" si="2"/>
        <v/>
      </c>
      <c r="AI3277" s="17" t="str">
        <f>IF(AG3277="","",INDEX('Quitados DUPP'!$G$1:$G$6635,AG3277))</f>
        <v/>
      </c>
      <c r="AJ3277" s="17" t="str">
        <f t="shared" si="3"/>
        <v/>
      </c>
    </row>
    <row r="3278" spans="31:36">
      <c r="AE3278" s="15" t="str">
        <f t="shared" si="0"/>
        <v/>
      </c>
      <c r="AF3278" s="15" t="str">
        <f t="shared" si="1"/>
        <v/>
      </c>
      <c r="AG3278" s="15" t="str">
        <f>IF(OR(AF3278="",AF3278="ERRO_CHAVE"),"",IFERROR(MATCH(AF3278,'Quitados DUPP'!$U$1:$U$6635,0),""))</f>
        <v/>
      </c>
      <c r="AH3278" s="15" t="str">
        <f t="shared" si="2"/>
        <v/>
      </c>
      <c r="AI3278" s="17" t="str">
        <f>IF(AG3278="","",INDEX('Quitados DUPP'!$G$1:$G$6635,AG3278))</f>
        <v/>
      </c>
      <c r="AJ3278" s="17" t="str">
        <f t="shared" si="3"/>
        <v/>
      </c>
    </row>
    <row r="3279" spans="31:36">
      <c r="AE3279" s="15" t="str">
        <f t="shared" si="0"/>
        <v/>
      </c>
      <c r="AF3279" s="15" t="str">
        <f t="shared" si="1"/>
        <v/>
      </c>
      <c r="AG3279" s="15" t="str">
        <f>IF(OR(AF3279="",AF3279="ERRO_CHAVE"),"",IFERROR(MATCH(AF3279,'Quitados DUPP'!$U$1:$U$6635,0),""))</f>
        <v/>
      </c>
      <c r="AH3279" s="15" t="str">
        <f t="shared" si="2"/>
        <v/>
      </c>
      <c r="AI3279" s="17" t="str">
        <f>IF(AG3279="","",INDEX('Quitados DUPP'!$G$1:$G$6635,AG3279))</f>
        <v/>
      </c>
      <c r="AJ3279" s="17" t="str">
        <f t="shared" si="3"/>
        <v/>
      </c>
    </row>
    <row r="3280" spans="31:36">
      <c r="AE3280" s="15" t="str">
        <f t="shared" si="0"/>
        <v/>
      </c>
      <c r="AF3280" s="15" t="str">
        <f t="shared" si="1"/>
        <v/>
      </c>
      <c r="AG3280" s="15" t="str">
        <f>IF(OR(AF3280="",AF3280="ERRO_CHAVE"),"",IFERROR(MATCH(AF3280,'Quitados DUPP'!$U$1:$U$6635,0),""))</f>
        <v/>
      </c>
      <c r="AH3280" s="15" t="str">
        <f t="shared" si="2"/>
        <v/>
      </c>
      <c r="AI3280" s="17" t="str">
        <f>IF(AG3280="","",INDEX('Quitados DUPP'!$G$1:$G$6635,AG3280))</f>
        <v/>
      </c>
      <c r="AJ3280" s="17" t="str">
        <f t="shared" si="3"/>
        <v/>
      </c>
    </row>
    <row r="3281" spans="31:36">
      <c r="AE3281" s="15" t="str">
        <f t="shared" si="0"/>
        <v/>
      </c>
      <c r="AF3281" s="15" t="str">
        <f t="shared" si="1"/>
        <v/>
      </c>
      <c r="AG3281" s="15" t="str">
        <f>IF(OR(AF3281="",AF3281="ERRO_CHAVE"),"",IFERROR(MATCH(AF3281,'Quitados DUPP'!$U$1:$U$6635,0),""))</f>
        <v/>
      </c>
      <c r="AH3281" s="15" t="str">
        <f t="shared" si="2"/>
        <v/>
      </c>
      <c r="AI3281" s="17" t="str">
        <f>IF(AG3281="","",INDEX('Quitados DUPP'!$G$1:$G$6635,AG3281))</f>
        <v/>
      </c>
      <c r="AJ3281" s="17" t="str">
        <f t="shared" si="3"/>
        <v/>
      </c>
    </row>
    <row r="3282" spans="31:36">
      <c r="AE3282" s="15" t="str">
        <f t="shared" si="0"/>
        <v/>
      </c>
      <c r="AF3282" s="15" t="str">
        <f t="shared" si="1"/>
        <v/>
      </c>
      <c r="AG3282" s="15" t="str">
        <f>IF(OR(AF3282="",AF3282="ERRO_CHAVE"),"",IFERROR(MATCH(AF3282,'Quitados DUPP'!$U$1:$U$6635,0),""))</f>
        <v/>
      </c>
      <c r="AH3282" s="15" t="str">
        <f t="shared" si="2"/>
        <v/>
      </c>
      <c r="AI3282" s="17" t="str">
        <f>IF(AG3282="","",INDEX('Quitados DUPP'!$G$1:$G$6635,AG3282))</f>
        <v/>
      </c>
      <c r="AJ3282" s="17" t="str">
        <f t="shared" si="3"/>
        <v/>
      </c>
    </row>
    <row r="3283" spans="31:36">
      <c r="AE3283" s="15" t="str">
        <f t="shared" si="0"/>
        <v/>
      </c>
      <c r="AF3283" s="15" t="str">
        <f t="shared" si="1"/>
        <v/>
      </c>
      <c r="AG3283" s="15" t="str">
        <f>IF(OR(AF3283="",AF3283="ERRO_CHAVE"),"",IFERROR(MATCH(AF3283,'Quitados DUPP'!$U$1:$U$6635,0),""))</f>
        <v/>
      </c>
      <c r="AH3283" s="15" t="str">
        <f t="shared" si="2"/>
        <v/>
      </c>
      <c r="AI3283" s="17" t="str">
        <f>IF(AG3283="","",INDEX('Quitados DUPP'!$G$1:$G$6635,AG3283))</f>
        <v/>
      </c>
      <c r="AJ3283" s="17" t="str">
        <f t="shared" si="3"/>
        <v/>
      </c>
    </row>
    <row r="3284" spans="31:36">
      <c r="AE3284" s="15" t="str">
        <f t="shared" si="0"/>
        <v/>
      </c>
      <c r="AF3284" s="15" t="str">
        <f t="shared" si="1"/>
        <v/>
      </c>
      <c r="AG3284" s="15" t="str">
        <f>IF(OR(AF3284="",AF3284="ERRO_CHAVE"),"",IFERROR(MATCH(AF3284,'Quitados DUPP'!$U$1:$U$6635,0),""))</f>
        <v/>
      </c>
      <c r="AH3284" s="15" t="str">
        <f t="shared" si="2"/>
        <v/>
      </c>
      <c r="AI3284" s="17" t="str">
        <f>IF(AG3284="","",INDEX('Quitados DUPP'!$G$1:$G$6635,AG3284))</f>
        <v/>
      </c>
      <c r="AJ3284" s="17" t="str">
        <f t="shared" si="3"/>
        <v/>
      </c>
    </row>
    <row r="3285" spans="31:36">
      <c r="AE3285" s="15" t="str">
        <f t="shared" si="0"/>
        <v/>
      </c>
      <c r="AF3285" s="15" t="str">
        <f t="shared" si="1"/>
        <v/>
      </c>
      <c r="AG3285" s="15" t="str">
        <f>IF(OR(AF3285="",AF3285="ERRO_CHAVE"),"",IFERROR(MATCH(AF3285,'Quitados DUPP'!$U$1:$U$6635,0),""))</f>
        <v/>
      </c>
      <c r="AH3285" s="15" t="str">
        <f t="shared" si="2"/>
        <v/>
      </c>
      <c r="AI3285" s="17" t="str">
        <f>IF(AG3285="","",INDEX('Quitados DUPP'!$G$1:$G$6635,AG3285))</f>
        <v/>
      </c>
      <c r="AJ3285" s="17" t="str">
        <f t="shared" si="3"/>
        <v/>
      </c>
    </row>
    <row r="3286" spans="31:36">
      <c r="AE3286" s="15" t="str">
        <f t="shared" si="0"/>
        <v/>
      </c>
      <c r="AF3286" s="15" t="str">
        <f t="shared" si="1"/>
        <v/>
      </c>
      <c r="AG3286" s="15" t="str">
        <f>IF(OR(AF3286="",AF3286="ERRO_CHAVE"),"",IFERROR(MATCH(AF3286,'Quitados DUPP'!$U$1:$U$6635,0),""))</f>
        <v/>
      </c>
      <c r="AH3286" s="15" t="str">
        <f t="shared" si="2"/>
        <v/>
      </c>
      <c r="AI3286" s="17" t="str">
        <f>IF(AG3286="","",INDEX('Quitados DUPP'!$G$1:$G$6635,AG3286))</f>
        <v/>
      </c>
      <c r="AJ3286" s="17" t="str">
        <f t="shared" si="3"/>
        <v/>
      </c>
    </row>
    <row r="3287" spans="31:36">
      <c r="AE3287" s="15" t="str">
        <f t="shared" si="0"/>
        <v/>
      </c>
      <c r="AF3287" s="15" t="str">
        <f t="shared" si="1"/>
        <v/>
      </c>
      <c r="AG3287" s="15" t="str">
        <f>IF(OR(AF3287="",AF3287="ERRO_CHAVE"),"",IFERROR(MATCH(AF3287,'Quitados DUPP'!$U$1:$U$6635,0),""))</f>
        <v/>
      </c>
      <c r="AH3287" s="15" t="str">
        <f t="shared" si="2"/>
        <v/>
      </c>
      <c r="AI3287" s="17" t="str">
        <f>IF(AG3287="","",INDEX('Quitados DUPP'!$G$1:$G$6635,AG3287))</f>
        <v/>
      </c>
      <c r="AJ3287" s="17" t="str">
        <f t="shared" si="3"/>
        <v/>
      </c>
    </row>
    <row r="3288" spans="31:36">
      <c r="AE3288" s="15" t="str">
        <f t="shared" si="0"/>
        <v/>
      </c>
      <c r="AF3288" s="15" t="str">
        <f t="shared" si="1"/>
        <v/>
      </c>
      <c r="AG3288" s="15" t="str">
        <f>IF(OR(AF3288="",AF3288="ERRO_CHAVE"),"",IFERROR(MATCH(AF3288,'Quitados DUPP'!$U$1:$U$6635,0),""))</f>
        <v/>
      </c>
      <c r="AH3288" s="15" t="str">
        <f t="shared" si="2"/>
        <v/>
      </c>
      <c r="AI3288" s="17" t="str">
        <f>IF(AG3288="","",INDEX('Quitados DUPP'!$G$1:$G$6635,AG3288))</f>
        <v/>
      </c>
      <c r="AJ3288" s="17" t="str">
        <f t="shared" si="3"/>
        <v/>
      </c>
    </row>
    <row r="3289" spans="31:36">
      <c r="AE3289" s="15" t="str">
        <f t="shared" si="0"/>
        <v/>
      </c>
      <c r="AF3289" s="15" t="str">
        <f t="shared" si="1"/>
        <v/>
      </c>
      <c r="AG3289" s="15" t="str">
        <f>IF(OR(AF3289="",AF3289="ERRO_CHAVE"),"",IFERROR(MATCH(AF3289,'Quitados DUPP'!$U$1:$U$6635,0),""))</f>
        <v/>
      </c>
      <c r="AH3289" s="15" t="str">
        <f t="shared" si="2"/>
        <v/>
      </c>
      <c r="AI3289" s="17" t="str">
        <f>IF(AG3289="","",INDEX('Quitados DUPP'!$G$1:$G$6635,AG3289))</f>
        <v/>
      </c>
      <c r="AJ3289" s="17" t="str">
        <f t="shared" si="3"/>
        <v/>
      </c>
    </row>
    <row r="3290" spans="31:36">
      <c r="AE3290" s="15" t="str">
        <f t="shared" si="0"/>
        <v/>
      </c>
      <c r="AF3290" s="15" t="str">
        <f t="shared" si="1"/>
        <v/>
      </c>
      <c r="AG3290" s="15" t="str">
        <f>IF(OR(AF3290="",AF3290="ERRO_CHAVE"),"",IFERROR(MATCH(AF3290,'Quitados DUPP'!$U$1:$U$6635,0),""))</f>
        <v/>
      </c>
      <c r="AH3290" s="15" t="str">
        <f t="shared" si="2"/>
        <v/>
      </c>
      <c r="AI3290" s="17" t="str">
        <f>IF(AG3290="","",INDEX('Quitados DUPP'!$G$1:$G$6635,AG3290))</f>
        <v/>
      </c>
      <c r="AJ3290" s="17" t="str">
        <f t="shared" si="3"/>
        <v/>
      </c>
    </row>
    <row r="3291" spans="31:36">
      <c r="AE3291" s="15" t="str">
        <f t="shared" si="0"/>
        <v/>
      </c>
      <c r="AF3291" s="15" t="str">
        <f t="shared" si="1"/>
        <v/>
      </c>
      <c r="AG3291" s="15" t="str">
        <f>IF(OR(AF3291="",AF3291="ERRO_CHAVE"),"",IFERROR(MATCH(AF3291,'Quitados DUPP'!$U$1:$U$6635,0),""))</f>
        <v/>
      </c>
      <c r="AH3291" s="15" t="str">
        <f t="shared" si="2"/>
        <v/>
      </c>
      <c r="AI3291" s="17" t="str">
        <f>IF(AG3291="","",INDEX('Quitados DUPP'!$G$1:$G$6635,AG3291))</f>
        <v/>
      </c>
      <c r="AJ3291" s="17" t="str">
        <f t="shared" si="3"/>
        <v/>
      </c>
    </row>
    <row r="3292" spans="31:36">
      <c r="AE3292" s="15" t="str">
        <f t="shared" si="0"/>
        <v/>
      </c>
      <c r="AF3292" s="15" t="str">
        <f t="shared" si="1"/>
        <v/>
      </c>
      <c r="AG3292" s="15" t="str">
        <f>IF(OR(AF3292="",AF3292="ERRO_CHAVE"),"",IFERROR(MATCH(AF3292,'Quitados DUPP'!$U$1:$U$6635,0),""))</f>
        <v/>
      </c>
      <c r="AH3292" s="15" t="str">
        <f t="shared" si="2"/>
        <v/>
      </c>
      <c r="AI3292" s="17" t="str">
        <f>IF(AG3292="","",INDEX('Quitados DUPP'!$G$1:$G$6635,AG3292))</f>
        <v/>
      </c>
      <c r="AJ3292" s="17" t="str">
        <f t="shared" si="3"/>
        <v/>
      </c>
    </row>
    <row r="3293" spans="31:36">
      <c r="AE3293" s="15" t="str">
        <f t="shared" si="0"/>
        <v/>
      </c>
      <c r="AF3293" s="15" t="str">
        <f t="shared" si="1"/>
        <v/>
      </c>
      <c r="AG3293" s="15" t="str">
        <f>IF(OR(AF3293="",AF3293="ERRO_CHAVE"),"",IFERROR(MATCH(AF3293,'Quitados DUPP'!$U$1:$U$6635,0),""))</f>
        <v/>
      </c>
      <c r="AH3293" s="15" t="str">
        <f t="shared" si="2"/>
        <v/>
      </c>
      <c r="AI3293" s="17" t="str">
        <f>IF(AG3293="","",INDEX('Quitados DUPP'!$G$1:$G$6635,AG3293))</f>
        <v/>
      </c>
      <c r="AJ3293" s="17" t="str">
        <f t="shared" si="3"/>
        <v/>
      </c>
    </row>
    <row r="3294" spans="31:36">
      <c r="AE3294" s="15" t="str">
        <f t="shared" si="0"/>
        <v/>
      </c>
      <c r="AF3294" s="15" t="str">
        <f t="shared" si="1"/>
        <v/>
      </c>
      <c r="AG3294" s="15" t="str">
        <f>IF(OR(AF3294="",AF3294="ERRO_CHAVE"),"",IFERROR(MATCH(AF3294,'Quitados DUPP'!$U$1:$U$6635,0),""))</f>
        <v/>
      </c>
      <c r="AH3294" s="15" t="str">
        <f t="shared" si="2"/>
        <v/>
      </c>
      <c r="AI3294" s="17" t="str">
        <f>IF(AG3294="","",INDEX('Quitados DUPP'!$G$1:$G$6635,AG3294))</f>
        <v/>
      </c>
      <c r="AJ3294" s="17" t="str">
        <f t="shared" si="3"/>
        <v/>
      </c>
    </row>
    <row r="3295" spans="31:36">
      <c r="AE3295" s="15" t="str">
        <f t="shared" si="0"/>
        <v/>
      </c>
      <c r="AF3295" s="15" t="str">
        <f t="shared" si="1"/>
        <v/>
      </c>
      <c r="AG3295" s="15" t="str">
        <f>IF(OR(AF3295="",AF3295="ERRO_CHAVE"),"",IFERROR(MATCH(AF3295,'Quitados DUPP'!$U$1:$U$6635,0),""))</f>
        <v/>
      </c>
      <c r="AH3295" s="15" t="str">
        <f t="shared" si="2"/>
        <v/>
      </c>
      <c r="AI3295" s="17" t="str">
        <f>IF(AG3295="","",INDEX('Quitados DUPP'!$G$1:$G$6635,AG3295))</f>
        <v/>
      </c>
      <c r="AJ3295" s="17" t="str">
        <f t="shared" si="3"/>
        <v/>
      </c>
    </row>
    <row r="3296" spans="31:36">
      <c r="AE3296" s="15" t="str">
        <f t="shared" si="0"/>
        <v/>
      </c>
      <c r="AF3296" s="15" t="str">
        <f t="shared" si="1"/>
        <v/>
      </c>
      <c r="AG3296" s="15" t="str">
        <f>IF(OR(AF3296="",AF3296="ERRO_CHAVE"),"",IFERROR(MATCH(AF3296,'Quitados DUPP'!$U$1:$U$6635,0),""))</f>
        <v/>
      </c>
      <c r="AH3296" s="15" t="str">
        <f t="shared" si="2"/>
        <v/>
      </c>
      <c r="AI3296" s="17" t="str">
        <f>IF(AG3296="","",INDEX('Quitados DUPP'!$G$1:$G$6635,AG3296))</f>
        <v/>
      </c>
      <c r="AJ3296" s="17" t="str">
        <f t="shared" si="3"/>
        <v/>
      </c>
    </row>
    <row r="3297" spans="31:36">
      <c r="AE3297" s="15" t="str">
        <f t="shared" si="0"/>
        <v/>
      </c>
      <c r="AF3297" s="15" t="str">
        <f t="shared" si="1"/>
        <v/>
      </c>
      <c r="AG3297" s="15" t="str">
        <f>IF(OR(AF3297="",AF3297="ERRO_CHAVE"),"",IFERROR(MATCH(AF3297,'Quitados DUPP'!$U$1:$U$6635,0),""))</f>
        <v/>
      </c>
      <c r="AH3297" s="15" t="str">
        <f t="shared" si="2"/>
        <v/>
      </c>
      <c r="AI3297" s="17" t="str">
        <f>IF(AG3297="","",INDEX('Quitados DUPP'!$G$1:$G$6635,AG3297))</f>
        <v/>
      </c>
      <c r="AJ3297" s="17" t="str">
        <f t="shared" si="3"/>
        <v/>
      </c>
    </row>
    <row r="3298" spans="31:36">
      <c r="AE3298" s="15" t="str">
        <f t="shared" si="0"/>
        <v/>
      </c>
      <c r="AF3298" s="15" t="str">
        <f t="shared" si="1"/>
        <v/>
      </c>
      <c r="AG3298" s="15" t="str">
        <f>IF(OR(AF3298="",AF3298="ERRO_CHAVE"),"",IFERROR(MATCH(AF3298,'Quitados DUPP'!$U$1:$U$6635,0),""))</f>
        <v/>
      </c>
      <c r="AH3298" s="15" t="str">
        <f t="shared" si="2"/>
        <v/>
      </c>
      <c r="AI3298" s="17" t="str">
        <f>IF(AG3298="","",INDEX('Quitados DUPP'!$G$1:$G$6635,AG3298))</f>
        <v/>
      </c>
      <c r="AJ3298" s="17" t="str">
        <f t="shared" si="3"/>
        <v/>
      </c>
    </row>
    <row r="3299" spans="31:36">
      <c r="AE3299" s="15" t="str">
        <f t="shared" si="0"/>
        <v/>
      </c>
      <c r="AF3299" s="15" t="str">
        <f t="shared" si="1"/>
        <v/>
      </c>
      <c r="AG3299" s="15" t="str">
        <f>IF(OR(AF3299="",AF3299="ERRO_CHAVE"),"",IFERROR(MATCH(AF3299,'Quitados DUPP'!$U$1:$U$6635,0),""))</f>
        <v/>
      </c>
      <c r="AH3299" s="15" t="str">
        <f t="shared" si="2"/>
        <v/>
      </c>
      <c r="AI3299" s="17" t="str">
        <f>IF(AG3299="","",INDEX('Quitados DUPP'!$G$1:$G$6635,AG3299))</f>
        <v/>
      </c>
      <c r="AJ3299" s="17" t="str">
        <f t="shared" si="3"/>
        <v/>
      </c>
    </row>
    <row r="3300" spans="31:36">
      <c r="AE3300" s="15" t="str">
        <f t="shared" si="0"/>
        <v/>
      </c>
      <c r="AF3300" s="15" t="str">
        <f t="shared" si="1"/>
        <v/>
      </c>
      <c r="AG3300" s="15" t="str">
        <f>IF(OR(AF3300="",AF3300="ERRO_CHAVE"),"",IFERROR(MATCH(AF3300,'Quitados DUPP'!$U$1:$U$6635,0),""))</f>
        <v/>
      </c>
      <c r="AH3300" s="15" t="str">
        <f t="shared" si="2"/>
        <v/>
      </c>
      <c r="AI3300" s="17" t="str">
        <f>IF(AG3300="","",INDEX('Quitados DUPP'!$G$1:$G$6635,AG3300))</f>
        <v/>
      </c>
      <c r="AJ3300" s="17" t="str">
        <f t="shared" si="3"/>
        <v/>
      </c>
    </row>
    <row r="3301" spans="31:36">
      <c r="AE3301" s="15" t="str">
        <f t="shared" si="0"/>
        <v/>
      </c>
      <c r="AF3301" s="15" t="str">
        <f t="shared" si="1"/>
        <v/>
      </c>
      <c r="AG3301" s="15" t="str">
        <f>IF(OR(AF3301="",AF3301="ERRO_CHAVE"),"",IFERROR(MATCH(AF3301,'Quitados DUPP'!$U$1:$U$6635,0),""))</f>
        <v/>
      </c>
      <c r="AH3301" s="15" t="str">
        <f t="shared" si="2"/>
        <v/>
      </c>
      <c r="AI3301" s="17" t="str">
        <f>IF(AG3301="","",INDEX('Quitados DUPP'!$G$1:$G$6635,AG3301))</f>
        <v/>
      </c>
      <c r="AJ3301" s="17" t="str">
        <f t="shared" si="3"/>
        <v/>
      </c>
    </row>
    <row r="3302" spans="31:36">
      <c r="AE3302" s="15" t="str">
        <f t="shared" si="0"/>
        <v/>
      </c>
      <c r="AF3302" s="15" t="str">
        <f t="shared" si="1"/>
        <v/>
      </c>
      <c r="AG3302" s="15" t="str">
        <f>IF(OR(AF3302="",AF3302="ERRO_CHAVE"),"",IFERROR(MATCH(AF3302,'Quitados DUPP'!$U$1:$U$6635,0),""))</f>
        <v/>
      </c>
      <c r="AH3302" s="15" t="str">
        <f t="shared" si="2"/>
        <v/>
      </c>
      <c r="AI3302" s="17" t="str">
        <f>IF(AG3302="","",INDEX('Quitados DUPP'!$G$1:$G$6635,AG3302))</f>
        <v/>
      </c>
      <c r="AJ3302" s="17" t="str">
        <f t="shared" si="3"/>
        <v/>
      </c>
    </row>
    <row r="3303" spans="31:36">
      <c r="AE3303" s="15" t="str">
        <f t="shared" si="0"/>
        <v/>
      </c>
      <c r="AF3303" s="15" t="str">
        <f t="shared" si="1"/>
        <v/>
      </c>
      <c r="AG3303" s="15" t="str">
        <f>IF(OR(AF3303="",AF3303="ERRO_CHAVE"),"",IFERROR(MATCH(AF3303,'Quitados DUPP'!$U$1:$U$6635,0),""))</f>
        <v/>
      </c>
      <c r="AH3303" s="15" t="str">
        <f t="shared" si="2"/>
        <v/>
      </c>
      <c r="AI3303" s="17" t="str">
        <f>IF(AG3303="","",INDEX('Quitados DUPP'!$G$1:$G$6635,AG3303))</f>
        <v/>
      </c>
      <c r="AJ3303" s="17" t="str">
        <f t="shared" si="3"/>
        <v/>
      </c>
    </row>
    <row r="3304" spans="31:36">
      <c r="AE3304" s="15" t="str">
        <f t="shared" si="0"/>
        <v/>
      </c>
      <c r="AF3304" s="15" t="str">
        <f t="shared" si="1"/>
        <v/>
      </c>
      <c r="AG3304" s="15" t="str">
        <f>IF(OR(AF3304="",AF3304="ERRO_CHAVE"),"",IFERROR(MATCH(AF3304,'Quitados DUPP'!$U$1:$U$6635,0),""))</f>
        <v/>
      </c>
      <c r="AH3304" s="15" t="str">
        <f t="shared" si="2"/>
        <v/>
      </c>
      <c r="AI3304" s="17" t="str">
        <f>IF(AG3304="","",INDEX('Quitados DUPP'!$G$1:$G$6635,AG3304))</f>
        <v/>
      </c>
      <c r="AJ3304" s="17" t="str">
        <f t="shared" si="3"/>
        <v/>
      </c>
    </row>
    <row r="3305" spans="31:36">
      <c r="AE3305" s="15" t="str">
        <f t="shared" si="0"/>
        <v/>
      </c>
      <c r="AF3305" s="15" t="str">
        <f t="shared" si="1"/>
        <v/>
      </c>
      <c r="AG3305" s="15" t="str">
        <f>IF(OR(AF3305="",AF3305="ERRO_CHAVE"),"",IFERROR(MATCH(AF3305,'Quitados DUPP'!$U$1:$U$6635,0),""))</f>
        <v/>
      </c>
      <c r="AH3305" s="15" t="str">
        <f t="shared" si="2"/>
        <v/>
      </c>
      <c r="AI3305" s="17" t="str">
        <f>IF(AG3305="","",INDEX('Quitados DUPP'!$G$1:$G$6635,AG3305))</f>
        <v/>
      </c>
      <c r="AJ3305" s="17" t="str">
        <f t="shared" si="3"/>
        <v/>
      </c>
    </row>
    <row r="3306" spans="31:36">
      <c r="AE3306" s="15" t="str">
        <f t="shared" si="0"/>
        <v/>
      </c>
      <c r="AF3306" s="15" t="str">
        <f t="shared" si="1"/>
        <v/>
      </c>
      <c r="AG3306" s="15" t="str">
        <f>IF(OR(AF3306="",AF3306="ERRO_CHAVE"),"",IFERROR(MATCH(AF3306,'Quitados DUPP'!$U$1:$U$6635,0),""))</f>
        <v/>
      </c>
      <c r="AH3306" s="15" t="str">
        <f t="shared" si="2"/>
        <v/>
      </c>
      <c r="AI3306" s="17" t="str">
        <f>IF(AG3306="","",INDEX('Quitados DUPP'!$G$1:$G$6635,AG3306))</f>
        <v/>
      </c>
      <c r="AJ3306" s="17" t="str">
        <f t="shared" si="3"/>
        <v/>
      </c>
    </row>
    <row r="3307" spans="31:36">
      <c r="AE3307" s="15" t="str">
        <f t="shared" si="0"/>
        <v/>
      </c>
      <c r="AF3307" s="15" t="str">
        <f t="shared" si="1"/>
        <v/>
      </c>
      <c r="AG3307" s="15" t="str">
        <f>IF(OR(AF3307="",AF3307="ERRO_CHAVE"),"",IFERROR(MATCH(AF3307,'Quitados DUPP'!$U$1:$U$6635,0),""))</f>
        <v/>
      </c>
      <c r="AH3307" s="15" t="str">
        <f t="shared" si="2"/>
        <v/>
      </c>
      <c r="AI3307" s="17" t="str">
        <f>IF(AG3307="","",INDEX('Quitados DUPP'!$G$1:$G$6635,AG3307))</f>
        <v/>
      </c>
      <c r="AJ3307" s="17" t="str">
        <f t="shared" si="3"/>
        <v/>
      </c>
    </row>
    <row r="3308" spans="31:36">
      <c r="AE3308" s="15" t="str">
        <f t="shared" si="0"/>
        <v/>
      </c>
      <c r="AF3308" s="15" t="str">
        <f t="shared" si="1"/>
        <v/>
      </c>
      <c r="AG3308" s="15" t="str">
        <f>IF(OR(AF3308="",AF3308="ERRO_CHAVE"),"",IFERROR(MATCH(AF3308,'Quitados DUPP'!$U$1:$U$6635,0),""))</f>
        <v/>
      </c>
      <c r="AH3308" s="15" t="str">
        <f t="shared" si="2"/>
        <v/>
      </c>
      <c r="AI3308" s="17" t="str">
        <f>IF(AG3308="","",INDEX('Quitados DUPP'!$G$1:$G$6635,AG3308))</f>
        <v/>
      </c>
      <c r="AJ3308" s="17" t="str">
        <f t="shared" si="3"/>
        <v/>
      </c>
    </row>
    <row r="3309" spans="31:36">
      <c r="AE3309" s="15" t="str">
        <f t="shared" si="0"/>
        <v/>
      </c>
      <c r="AF3309" s="15" t="str">
        <f t="shared" si="1"/>
        <v/>
      </c>
      <c r="AG3309" s="15" t="str">
        <f>IF(OR(AF3309="",AF3309="ERRO_CHAVE"),"",IFERROR(MATCH(AF3309,'Quitados DUPP'!$U$1:$U$6635,0),""))</f>
        <v/>
      </c>
      <c r="AH3309" s="15" t="str">
        <f t="shared" si="2"/>
        <v/>
      </c>
      <c r="AI3309" s="17" t="str">
        <f>IF(AG3309="","",INDEX('Quitados DUPP'!$G$1:$G$6635,AG3309))</f>
        <v/>
      </c>
      <c r="AJ3309" s="17" t="str">
        <f t="shared" si="3"/>
        <v/>
      </c>
    </row>
    <row r="3310" spans="31:36">
      <c r="AE3310" s="15" t="str">
        <f t="shared" si="0"/>
        <v/>
      </c>
      <c r="AF3310" s="15" t="str">
        <f t="shared" si="1"/>
        <v/>
      </c>
      <c r="AG3310" s="15" t="str">
        <f>IF(OR(AF3310="",AF3310="ERRO_CHAVE"),"",IFERROR(MATCH(AF3310,'Quitados DUPP'!$U$1:$U$6635,0),""))</f>
        <v/>
      </c>
      <c r="AH3310" s="15" t="str">
        <f t="shared" si="2"/>
        <v/>
      </c>
      <c r="AI3310" s="17" t="str">
        <f>IF(AG3310="","",INDEX('Quitados DUPP'!$G$1:$G$6635,AG3310))</f>
        <v/>
      </c>
      <c r="AJ3310" s="17" t="str">
        <f t="shared" si="3"/>
        <v/>
      </c>
    </row>
    <row r="3311" spans="31:36">
      <c r="AE3311" s="15" t="str">
        <f t="shared" si="0"/>
        <v/>
      </c>
      <c r="AF3311" s="15" t="str">
        <f t="shared" si="1"/>
        <v/>
      </c>
      <c r="AG3311" s="15" t="str">
        <f>IF(OR(AF3311="",AF3311="ERRO_CHAVE"),"",IFERROR(MATCH(AF3311,'Quitados DUPP'!$U$1:$U$6635,0),""))</f>
        <v/>
      </c>
      <c r="AH3311" s="15" t="str">
        <f t="shared" si="2"/>
        <v/>
      </c>
      <c r="AI3311" s="17" t="str">
        <f>IF(AG3311="","",INDEX('Quitados DUPP'!$G$1:$G$6635,AG3311))</f>
        <v/>
      </c>
      <c r="AJ3311" s="17" t="str">
        <f t="shared" si="3"/>
        <v/>
      </c>
    </row>
    <row r="3312" spans="31:36">
      <c r="AE3312" s="15" t="str">
        <f t="shared" si="0"/>
        <v/>
      </c>
      <c r="AF3312" s="15" t="str">
        <f t="shared" si="1"/>
        <v/>
      </c>
      <c r="AG3312" s="15" t="str">
        <f>IF(OR(AF3312="",AF3312="ERRO_CHAVE"),"",IFERROR(MATCH(AF3312,'Quitados DUPP'!$U$1:$U$6635,0),""))</f>
        <v/>
      </c>
      <c r="AH3312" s="15" t="str">
        <f t="shared" si="2"/>
        <v/>
      </c>
      <c r="AI3312" s="17" t="str">
        <f>IF(AG3312="","",INDEX('Quitados DUPP'!$G$1:$G$6635,AG3312))</f>
        <v/>
      </c>
      <c r="AJ3312" s="17" t="str">
        <f t="shared" si="3"/>
        <v/>
      </c>
    </row>
    <row r="3313" spans="31:36">
      <c r="AE3313" s="15" t="str">
        <f t="shared" si="0"/>
        <v/>
      </c>
      <c r="AF3313" s="15" t="str">
        <f t="shared" si="1"/>
        <v/>
      </c>
      <c r="AG3313" s="15" t="str">
        <f>IF(OR(AF3313="",AF3313="ERRO_CHAVE"),"",IFERROR(MATCH(AF3313,'Quitados DUPP'!$U$1:$U$6635,0),""))</f>
        <v/>
      </c>
      <c r="AH3313" s="15" t="str">
        <f t="shared" si="2"/>
        <v/>
      </c>
      <c r="AI3313" s="17" t="str">
        <f>IF(AG3313="","",INDEX('Quitados DUPP'!$G$1:$G$6635,AG3313))</f>
        <v/>
      </c>
      <c r="AJ3313" s="17" t="str">
        <f t="shared" si="3"/>
        <v/>
      </c>
    </row>
    <row r="3314" spans="31:36">
      <c r="AE3314" s="15" t="str">
        <f t="shared" si="0"/>
        <v/>
      </c>
      <c r="AF3314" s="15" t="str">
        <f t="shared" si="1"/>
        <v/>
      </c>
      <c r="AG3314" s="15" t="str">
        <f>IF(OR(AF3314="",AF3314="ERRO_CHAVE"),"",IFERROR(MATCH(AF3314,'Quitados DUPP'!$U$1:$U$6635,0),""))</f>
        <v/>
      </c>
      <c r="AH3314" s="15" t="str">
        <f t="shared" si="2"/>
        <v/>
      </c>
      <c r="AI3314" s="17" t="str">
        <f>IF(AG3314="","",INDEX('Quitados DUPP'!$G$1:$G$6635,AG3314))</f>
        <v/>
      </c>
      <c r="AJ3314" s="17" t="str">
        <f t="shared" si="3"/>
        <v/>
      </c>
    </row>
    <row r="3315" spans="31:36">
      <c r="AE3315" s="15" t="str">
        <f t="shared" si="0"/>
        <v/>
      </c>
      <c r="AF3315" s="15" t="str">
        <f t="shared" si="1"/>
        <v/>
      </c>
      <c r="AG3315" s="15" t="str">
        <f>IF(OR(AF3315="",AF3315="ERRO_CHAVE"),"",IFERROR(MATCH(AF3315,'Quitados DUPP'!$U$1:$U$6635,0),""))</f>
        <v/>
      </c>
      <c r="AH3315" s="15" t="str">
        <f t="shared" si="2"/>
        <v/>
      </c>
      <c r="AI3315" s="17" t="str">
        <f>IF(AG3315="","",INDEX('Quitados DUPP'!$G$1:$G$6635,AG3315))</f>
        <v/>
      </c>
      <c r="AJ3315" s="17" t="str">
        <f t="shared" si="3"/>
        <v/>
      </c>
    </row>
    <row r="3316" spans="31:36">
      <c r="AE3316" s="15" t="str">
        <f t="shared" si="0"/>
        <v/>
      </c>
      <c r="AF3316" s="15" t="str">
        <f t="shared" si="1"/>
        <v/>
      </c>
      <c r="AG3316" s="15" t="str">
        <f>IF(OR(AF3316="",AF3316="ERRO_CHAVE"),"",IFERROR(MATCH(AF3316,'Quitados DUPP'!$U$1:$U$6635,0),""))</f>
        <v/>
      </c>
      <c r="AH3316" s="15" t="str">
        <f t="shared" si="2"/>
        <v/>
      </c>
      <c r="AI3316" s="17" t="str">
        <f>IF(AG3316="","",INDEX('Quitados DUPP'!$G$1:$G$6635,AG3316))</f>
        <v/>
      </c>
      <c r="AJ3316" s="17" t="str">
        <f t="shared" si="3"/>
        <v/>
      </c>
    </row>
    <row r="3317" spans="31:36">
      <c r="AE3317" s="15" t="str">
        <f t="shared" si="0"/>
        <v/>
      </c>
      <c r="AF3317" s="15" t="str">
        <f t="shared" si="1"/>
        <v/>
      </c>
      <c r="AG3317" s="15" t="str">
        <f>IF(OR(AF3317="",AF3317="ERRO_CHAVE"),"",IFERROR(MATCH(AF3317,'Quitados DUPP'!$U$1:$U$6635,0),""))</f>
        <v/>
      </c>
      <c r="AH3317" s="15" t="str">
        <f t="shared" si="2"/>
        <v/>
      </c>
      <c r="AI3317" s="17" t="str">
        <f>IF(AG3317="","",INDEX('Quitados DUPP'!$G$1:$G$6635,AG3317))</f>
        <v/>
      </c>
      <c r="AJ3317" s="17" t="str">
        <f t="shared" si="3"/>
        <v/>
      </c>
    </row>
    <row r="3318" spans="31:36">
      <c r="AE3318" s="15" t="str">
        <f t="shared" si="0"/>
        <v/>
      </c>
      <c r="AF3318" s="15" t="str">
        <f t="shared" si="1"/>
        <v/>
      </c>
      <c r="AG3318" s="15" t="str">
        <f>IF(OR(AF3318="",AF3318="ERRO_CHAVE"),"",IFERROR(MATCH(AF3318,'Quitados DUPP'!$U$1:$U$6635,0),""))</f>
        <v/>
      </c>
      <c r="AH3318" s="15" t="str">
        <f t="shared" si="2"/>
        <v/>
      </c>
      <c r="AI3318" s="17" t="str">
        <f>IF(AG3318="","",INDEX('Quitados DUPP'!$G$1:$G$6635,AG3318))</f>
        <v/>
      </c>
      <c r="AJ3318" s="17" t="str">
        <f t="shared" si="3"/>
        <v/>
      </c>
    </row>
    <row r="3319" spans="31:36">
      <c r="AE3319" s="15" t="str">
        <f t="shared" si="0"/>
        <v/>
      </c>
      <c r="AF3319" s="15" t="str">
        <f t="shared" si="1"/>
        <v/>
      </c>
      <c r="AG3319" s="15" t="str">
        <f>IF(OR(AF3319="",AF3319="ERRO_CHAVE"),"",IFERROR(MATCH(AF3319,'Quitados DUPP'!$U$1:$U$6635,0),""))</f>
        <v/>
      </c>
      <c r="AH3319" s="15" t="str">
        <f t="shared" si="2"/>
        <v/>
      </c>
      <c r="AI3319" s="17" t="str">
        <f>IF(AG3319="","",INDEX('Quitados DUPP'!$G$1:$G$6635,AG3319))</f>
        <v/>
      </c>
      <c r="AJ3319" s="17" t="str">
        <f t="shared" si="3"/>
        <v/>
      </c>
    </row>
    <row r="3320" spans="31:36">
      <c r="AE3320" s="15" t="str">
        <f t="shared" si="0"/>
        <v/>
      </c>
      <c r="AF3320" s="15" t="str">
        <f t="shared" si="1"/>
        <v/>
      </c>
      <c r="AG3320" s="15" t="str">
        <f>IF(OR(AF3320="",AF3320="ERRO_CHAVE"),"",IFERROR(MATCH(AF3320,'Quitados DUPP'!$U$1:$U$6635,0),""))</f>
        <v/>
      </c>
      <c r="AH3320" s="15" t="str">
        <f t="shared" si="2"/>
        <v/>
      </c>
      <c r="AI3320" s="17" t="str">
        <f>IF(AG3320="","",INDEX('Quitados DUPP'!$G$1:$G$6635,AG3320))</f>
        <v/>
      </c>
      <c r="AJ3320" s="17" t="str">
        <f t="shared" si="3"/>
        <v/>
      </c>
    </row>
    <row r="3321" spans="31:36">
      <c r="AE3321" s="15" t="str">
        <f t="shared" si="0"/>
        <v/>
      </c>
      <c r="AF3321" s="15" t="str">
        <f t="shared" si="1"/>
        <v/>
      </c>
      <c r="AG3321" s="15" t="str">
        <f>IF(OR(AF3321="",AF3321="ERRO_CHAVE"),"",IFERROR(MATCH(AF3321,'Quitados DUPP'!$U$1:$U$6635,0),""))</f>
        <v/>
      </c>
      <c r="AH3321" s="15" t="str">
        <f t="shared" si="2"/>
        <v/>
      </c>
      <c r="AI3321" s="17" t="str">
        <f>IF(AG3321="","",INDEX('Quitados DUPP'!$G$1:$G$6635,AG3321))</f>
        <v/>
      </c>
      <c r="AJ3321" s="17" t="str">
        <f t="shared" si="3"/>
        <v/>
      </c>
    </row>
    <row r="3322" spans="31:36">
      <c r="AE3322" s="15" t="str">
        <f t="shared" si="0"/>
        <v/>
      </c>
      <c r="AF3322" s="15" t="str">
        <f t="shared" si="1"/>
        <v/>
      </c>
      <c r="AG3322" s="15" t="str">
        <f>IF(OR(AF3322="",AF3322="ERRO_CHAVE"),"",IFERROR(MATCH(AF3322,'Quitados DUPP'!$U$1:$U$6635,0),""))</f>
        <v/>
      </c>
      <c r="AH3322" s="15" t="str">
        <f t="shared" si="2"/>
        <v/>
      </c>
      <c r="AI3322" s="17" t="str">
        <f>IF(AG3322="","",INDEX('Quitados DUPP'!$G$1:$G$6635,AG3322))</f>
        <v/>
      </c>
      <c r="AJ3322" s="17" t="str">
        <f t="shared" si="3"/>
        <v/>
      </c>
    </row>
    <row r="3323" spans="31:36">
      <c r="AE3323" s="15" t="str">
        <f t="shared" si="0"/>
        <v/>
      </c>
      <c r="AF3323" s="15" t="str">
        <f t="shared" si="1"/>
        <v/>
      </c>
      <c r="AG3323" s="15" t="str">
        <f>IF(OR(AF3323="",AF3323="ERRO_CHAVE"),"",IFERROR(MATCH(AF3323,'Quitados DUPP'!$U$1:$U$6635,0),""))</f>
        <v/>
      </c>
      <c r="AH3323" s="15" t="str">
        <f t="shared" si="2"/>
        <v/>
      </c>
      <c r="AI3323" s="17" t="str">
        <f>IF(AG3323="","",INDEX('Quitados DUPP'!$G$1:$G$6635,AG3323))</f>
        <v/>
      </c>
      <c r="AJ3323" s="17" t="str">
        <f t="shared" si="3"/>
        <v/>
      </c>
    </row>
    <row r="3324" spans="31:36">
      <c r="AE3324" s="15" t="str">
        <f t="shared" si="0"/>
        <v/>
      </c>
      <c r="AF3324" s="15" t="str">
        <f t="shared" si="1"/>
        <v/>
      </c>
      <c r="AG3324" s="15" t="str">
        <f>IF(OR(AF3324="",AF3324="ERRO_CHAVE"),"",IFERROR(MATCH(AF3324,'Quitados DUPP'!$U$1:$U$6635,0),""))</f>
        <v/>
      </c>
      <c r="AH3324" s="15" t="str">
        <f t="shared" si="2"/>
        <v/>
      </c>
      <c r="AI3324" s="17" t="str">
        <f>IF(AG3324="","",INDEX('Quitados DUPP'!$G$1:$G$6635,AG3324))</f>
        <v/>
      </c>
      <c r="AJ3324" s="17" t="str">
        <f t="shared" si="3"/>
        <v/>
      </c>
    </row>
    <row r="3325" spans="31:36">
      <c r="AE3325" s="15" t="str">
        <f t="shared" si="0"/>
        <v/>
      </c>
      <c r="AF3325" s="15" t="str">
        <f t="shared" si="1"/>
        <v/>
      </c>
      <c r="AG3325" s="15" t="str">
        <f>IF(OR(AF3325="",AF3325="ERRO_CHAVE"),"",IFERROR(MATCH(AF3325,'Quitados DUPP'!$U$1:$U$6635,0),""))</f>
        <v/>
      </c>
      <c r="AH3325" s="15" t="str">
        <f t="shared" si="2"/>
        <v/>
      </c>
      <c r="AI3325" s="17" t="str">
        <f>IF(AG3325="","",INDEX('Quitados DUPP'!$G$1:$G$6635,AG3325))</f>
        <v/>
      </c>
      <c r="AJ3325" s="17" t="str">
        <f t="shared" si="3"/>
        <v/>
      </c>
    </row>
    <row r="3326" spans="31:36">
      <c r="AE3326" s="15" t="str">
        <f t="shared" si="0"/>
        <v/>
      </c>
      <c r="AF3326" s="15" t="str">
        <f t="shared" si="1"/>
        <v/>
      </c>
      <c r="AG3326" s="15" t="str">
        <f>IF(OR(AF3326="",AF3326="ERRO_CHAVE"),"",IFERROR(MATCH(AF3326,'Quitados DUPP'!$U$1:$U$6635,0),""))</f>
        <v/>
      </c>
      <c r="AH3326" s="15" t="str">
        <f t="shared" si="2"/>
        <v/>
      </c>
      <c r="AI3326" s="17" t="str">
        <f>IF(AG3326="","",INDEX('Quitados DUPP'!$G$1:$G$6635,AG3326))</f>
        <v/>
      </c>
      <c r="AJ3326" s="17" t="str">
        <f t="shared" si="3"/>
        <v/>
      </c>
    </row>
    <row r="3327" spans="31:36">
      <c r="AE3327" s="15" t="str">
        <f t="shared" si="0"/>
        <v/>
      </c>
      <c r="AF3327" s="15" t="str">
        <f t="shared" si="1"/>
        <v/>
      </c>
      <c r="AG3327" s="15" t="str">
        <f>IF(OR(AF3327="",AF3327="ERRO_CHAVE"),"",IFERROR(MATCH(AF3327,'Quitados DUPP'!$U$1:$U$6635,0),""))</f>
        <v/>
      </c>
      <c r="AH3327" s="15" t="str">
        <f t="shared" si="2"/>
        <v/>
      </c>
      <c r="AI3327" s="17" t="str">
        <f>IF(AG3327="","",INDEX('Quitados DUPP'!$G$1:$G$6635,AG3327))</f>
        <v/>
      </c>
      <c r="AJ3327" s="17" t="str">
        <f t="shared" si="3"/>
        <v/>
      </c>
    </row>
    <row r="3328" spans="31:36">
      <c r="AE3328" s="15" t="str">
        <f t="shared" si="0"/>
        <v/>
      </c>
      <c r="AF3328" s="15" t="str">
        <f t="shared" si="1"/>
        <v/>
      </c>
      <c r="AG3328" s="15" t="str">
        <f>IF(OR(AF3328="",AF3328="ERRO_CHAVE"),"",IFERROR(MATCH(AF3328,'Quitados DUPP'!$U$1:$U$6635,0),""))</f>
        <v/>
      </c>
      <c r="AH3328" s="15" t="str">
        <f t="shared" si="2"/>
        <v/>
      </c>
      <c r="AI3328" s="17" t="str">
        <f>IF(AG3328="","",INDEX('Quitados DUPP'!$G$1:$G$6635,AG3328))</f>
        <v/>
      </c>
      <c r="AJ3328" s="17" t="str">
        <f t="shared" si="3"/>
        <v/>
      </c>
    </row>
    <row r="3329" spans="31:36">
      <c r="AE3329" s="15" t="str">
        <f t="shared" si="0"/>
        <v/>
      </c>
      <c r="AF3329" s="15" t="str">
        <f t="shared" si="1"/>
        <v/>
      </c>
      <c r="AG3329" s="15" t="str">
        <f>IF(OR(AF3329="",AF3329="ERRO_CHAVE"),"",IFERROR(MATCH(AF3329,'Quitados DUPP'!$U$1:$U$6635,0),""))</f>
        <v/>
      </c>
      <c r="AH3329" s="15" t="str">
        <f t="shared" si="2"/>
        <v/>
      </c>
      <c r="AI3329" s="17" t="str">
        <f>IF(AG3329="","",INDEX('Quitados DUPP'!$G$1:$G$6635,AG3329))</f>
        <v/>
      </c>
      <c r="AJ3329" s="17" t="str">
        <f t="shared" si="3"/>
        <v/>
      </c>
    </row>
    <row r="3330" spans="31:36">
      <c r="AE3330" s="15" t="str">
        <f t="shared" si="0"/>
        <v/>
      </c>
      <c r="AF3330" s="15" t="str">
        <f t="shared" si="1"/>
        <v/>
      </c>
      <c r="AG3330" s="15" t="str">
        <f>IF(OR(AF3330="",AF3330="ERRO_CHAVE"),"",IFERROR(MATCH(AF3330,'Quitados DUPP'!$U$1:$U$6635,0),""))</f>
        <v/>
      </c>
      <c r="AH3330" s="15" t="str">
        <f t="shared" si="2"/>
        <v/>
      </c>
      <c r="AI3330" s="17" t="str">
        <f>IF(AG3330="","",INDEX('Quitados DUPP'!$G$1:$G$6635,AG3330))</f>
        <v/>
      </c>
      <c r="AJ3330" s="17" t="str">
        <f t="shared" si="3"/>
        <v/>
      </c>
    </row>
    <row r="3331" spans="31:36">
      <c r="AE3331" s="15" t="str">
        <f t="shared" si="0"/>
        <v/>
      </c>
      <c r="AF3331" s="15" t="str">
        <f t="shared" si="1"/>
        <v/>
      </c>
      <c r="AG3331" s="15" t="str">
        <f>IF(OR(AF3331="",AF3331="ERRO_CHAVE"),"",IFERROR(MATCH(AF3331,'Quitados DUPP'!$U$1:$U$6635,0),""))</f>
        <v/>
      </c>
      <c r="AH3331" s="15" t="str">
        <f t="shared" si="2"/>
        <v/>
      </c>
      <c r="AI3331" s="17" t="str">
        <f>IF(AG3331="","",INDEX('Quitados DUPP'!$G$1:$G$6635,AG3331))</f>
        <v/>
      </c>
      <c r="AJ3331" s="17" t="str">
        <f t="shared" si="3"/>
        <v/>
      </c>
    </row>
    <row r="3332" spans="31:36">
      <c r="AE3332" s="15" t="str">
        <f t="shared" si="0"/>
        <v/>
      </c>
      <c r="AF3332" s="15" t="str">
        <f t="shared" si="1"/>
        <v/>
      </c>
      <c r="AG3332" s="15" t="str">
        <f>IF(OR(AF3332="",AF3332="ERRO_CHAVE"),"",IFERROR(MATCH(AF3332,'Quitados DUPP'!$U$1:$U$6635,0),""))</f>
        <v/>
      </c>
      <c r="AH3332" s="15" t="str">
        <f t="shared" si="2"/>
        <v/>
      </c>
      <c r="AI3332" s="17" t="str">
        <f>IF(AG3332="","",INDEX('Quitados DUPP'!$G$1:$G$6635,AG3332))</f>
        <v/>
      </c>
      <c r="AJ3332" s="17" t="str">
        <f t="shared" si="3"/>
        <v/>
      </c>
    </row>
    <row r="3333" spans="31:36">
      <c r="AE3333" s="15" t="str">
        <f t="shared" si="0"/>
        <v/>
      </c>
      <c r="AF3333" s="15" t="str">
        <f t="shared" si="1"/>
        <v/>
      </c>
      <c r="AG3333" s="15" t="str">
        <f>IF(OR(AF3333="",AF3333="ERRO_CHAVE"),"",IFERROR(MATCH(AF3333,'Quitados DUPP'!$U$1:$U$6635,0),""))</f>
        <v/>
      </c>
      <c r="AH3333" s="15" t="str">
        <f t="shared" si="2"/>
        <v/>
      </c>
      <c r="AI3333" s="17" t="str">
        <f>IF(AG3333="","",INDEX('Quitados DUPP'!$G$1:$G$6635,AG3333))</f>
        <v/>
      </c>
      <c r="AJ3333" s="17" t="str">
        <f t="shared" si="3"/>
        <v/>
      </c>
    </row>
    <row r="3334" spans="31:36">
      <c r="AE3334" s="15" t="str">
        <f t="shared" si="0"/>
        <v/>
      </c>
      <c r="AF3334" s="15" t="str">
        <f t="shared" si="1"/>
        <v/>
      </c>
      <c r="AG3334" s="15" t="str">
        <f>IF(OR(AF3334="",AF3334="ERRO_CHAVE"),"",IFERROR(MATCH(AF3334,'Quitados DUPP'!$U$1:$U$6635,0),""))</f>
        <v/>
      </c>
      <c r="AH3334" s="15" t="str">
        <f t="shared" si="2"/>
        <v/>
      </c>
      <c r="AI3334" s="17" t="str">
        <f>IF(AG3334="","",INDEX('Quitados DUPP'!$G$1:$G$6635,AG3334))</f>
        <v/>
      </c>
      <c r="AJ3334" s="17" t="str">
        <f t="shared" si="3"/>
        <v/>
      </c>
    </row>
    <row r="3335" spans="31:36">
      <c r="AE3335" s="15" t="str">
        <f t="shared" si="0"/>
        <v/>
      </c>
      <c r="AF3335" s="15" t="str">
        <f t="shared" si="1"/>
        <v/>
      </c>
      <c r="AG3335" s="15" t="str">
        <f>IF(OR(AF3335="",AF3335="ERRO_CHAVE"),"",IFERROR(MATCH(AF3335,'Quitados DUPP'!$U$1:$U$6635,0),""))</f>
        <v/>
      </c>
      <c r="AH3335" s="15" t="str">
        <f t="shared" si="2"/>
        <v/>
      </c>
      <c r="AI3335" s="17" t="str">
        <f>IF(AG3335="","",INDEX('Quitados DUPP'!$G$1:$G$6635,AG3335))</f>
        <v/>
      </c>
      <c r="AJ3335" s="17" t="str">
        <f t="shared" si="3"/>
        <v/>
      </c>
    </row>
    <row r="3336" spans="31:36">
      <c r="AE3336" s="15" t="str">
        <f t="shared" si="0"/>
        <v/>
      </c>
      <c r="AF3336" s="15" t="str">
        <f t="shared" si="1"/>
        <v/>
      </c>
      <c r="AG3336" s="15" t="str">
        <f>IF(OR(AF3336="",AF3336="ERRO_CHAVE"),"",IFERROR(MATCH(AF3336,'Quitados DUPP'!$U$1:$U$6635,0),""))</f>
        <v/>
      </c>
      <c r="AH3336" s="15" t="str">
        <f t="shared" si="2"/>
        <v/>
      </c>
      <c r="AI3336" s="17" t="str">
        <f>IF(AG3336="","",INDEX('Quitados DUPP'!$G$1:$G$6635,AG3336))</f>
        <v/>
      </c>
      <c r="AJ3336" s="17" t="str">
        <f t="shared" si="3"/>
        <v/>
      </c>
    </row>
    <row r="3337" spans="31:36">
      <c r="AE3337" s="15" t="str">
        <f t="shared" si="0"/>
        <v/>
      </c>
      <c r="AF3337" s="15" t="str">
        <f t="shared" si="1"/>
        <v/>
      </c>
      <c r="AG3337" s="15" t="str">
        <f>IF(OR(AF3337="",AF3337="ERRO_CHAVE"),"",IFERROR(MATCH(AF3337,'Quitados DUPP'!$U$1:$U$6635,0),""))</f>
        <v/>
      </c>
      <c r="AH3337" s="15" t="str">
        <f t="shared" si="2"/>
        <v/>
      </c>
      <c r="AI3337" s="17" t="str">
        <f>IF(AG3337="","",INDEX('Quitados DUPP'!$G$1:$G$6635,AG3337))</f>
        <v/>
      </c>
      <c r="AJ3337" s="17" t="str">
        <f t="shared" si="3"/>
        <v/>
      </c>
    </row>
    <row r="3338" spans="31:36">
      <c r="AE3338" s="15" t="str">
        <f t="shared" si="0"/>
        <v/>
      </c>
      <c r="AF3338" s="15" t="str">
        <f t="shared" si="1"/>
        <v/>
      </c>
      <c r="AG3338" s="15" t="str">
        <f>IF(OR(AF3338="",AF3338="ERRO_CHAVE"),"",IFERROR(MATCH(AF3338,'Quitados DUPP'!$U$1:$U$6635,0),""))</f>
        <v/>
      </c>
      <c r="AH3338" s="15" t="str">
        <f t="shared" si="2"/>
        <v/>
      </c>
      <c r="AI3338" s="17" t="str">
        <f>IF(AG3338="","",INDEX('Quitados DUPP'!$G$1:$G$6635,AG3338))</f>
        <v/>
      </c>
      <c r="AJ3338" s="17" t="str">
        <f t="shared" si="3"/>
        <v/>
      </c>
    </row>
    <row r="3339" spans="31:36">
      <c r="AE3339" s="15" t="str">
        <f t="shared" si="0"/>
        <v/>
      </c>
      <c r="AF3339" s="15" t="str">
        <f t="shared" si="1"/>
        <v/>
      </c>
      <c r="AG3339" s="15" t="str">
        <f>IF(OR(AF3339="",AF3339="ERRO_CHAVE"),"",IFERROR(MATCH(AF3339,'Quitados DUPP'!$U$1:$U$6635,0),""))</f>
        <v/>
      </c>
      <c r="AH3339" s="15" t="str">
        <f t="shared" si="2"/>
        <v/>
      </c>
      <c r="AI3339" s="17" t="str">
        <f>IF(AG3339="","",INDEX('Quitados DUPP'!$G$1:$G$6635,AG3339))</f>
        <v/>
      </c>
      <c r="AJ3339" s="17" t="str">
        <f t="shared" si="3"/>
        <v/>
      </c>
    </row>
    <row r="3340" spans="31:36">
      <c r="AE3340" s="15" t="str">
        <f t="shared" si="0"/>
        <v/>
      </c>
      <c r="AF3340" s="15" t="str">
        <f t="shared" si="1"/>
        <v/>
      </c>
      <c r="AG3340" s="15" t="str">
        <f>IF(OR(AF3340="",AF3340="ERRO_CHAVE"),"",IFERROR(MATCH(AF3340,'Quitados DUPP'!$U$1:$U$6635,0),""))</f>
        <v/>
      </c>
      <c r="AH3340" s="15" t="str">
        <f t="shared" si="2"/>
        <v/>
      </c>
      <c r="AI3340" s="17" t="str">
        <f>IF(AG3340="","",INDEX('Quitados DUPP'!$G$1:$G$6635,AG3340))</f>
        <v/>
      </c>
      <c r="AJ3340" s="17" t="str">
        <f t="shared" si="3"/>
        <v/>
      </c>
    </row>
    <row r="3341" spans="31:36">
      <c r="AE3341" s="15" t="str">
        <f t="shared" si="0"/>
        <v/>
      </c>
      <c r="AF3341" s="15" t="str">
        <f t="shared" si="1"/>
        <v/>
      </c>
      <c r="AG3341" s="15" t="str">
        <f>IF(OR(AF3341="",AF3341="ERRO_CHAVE"),"",IFERROR(MATCH(AF3341,'Quitados DUPP'!$U$1:$U$6635,0),""))</f>
        <v/>
      </c>
      <c r="AH3341" s="15" t="str">
        <f t="shared" si="2"/>
        <v/>
      </c>
      <c r="AI3341" s="17" t="str">
        <f>IF(AG3341="","",INDEX('Quitados DUPP'!$G$1:$G$6635,AG3341))</f>
        <v/>
      </c>
      <c r="AJ3341" s="17" t="str">
        <f t="shared" si="3"/>
        <v/>
      </c>
    </row>
    <row r="3342" spans="31:36">
      <c r="AE3342" s="15" t="str">
        <f t="shared" si="0"/>
        <v/>
      </c>
      <c r="AF3342" s="15" t="str">
        <f t="shared" si="1"/>
        <v/>
      </c>
      <c r="AG3342" s="15" t="str">
        <f>IF(OR(AF3342="",AF3342="ERRO_CHAVE"),"",IFERROR(MATCH(AF3342,'Quitados DUPP'!$U$1:$U$6635,0),""))</f>
        <v/>
      </c>
      <c r="AH3342" s="15" t="str">
        <f t="shared" si="2"/>
        <v/>
      </c>
      <c r="AI3342" s="17" t="str">
        <f>IF(AG3342="","",INDEX('Quitados DUPP'!$G$1:$G$6635,AG3342))</f>
        <v/>
      </c>
      <c r="AJ3342" s="17" t="str">
        <f t="shared" si="3"/>
        <v/>
      </c>
    </row>
    <row r="3343" spans="31:36">
      <c r="AE3343" s="15" t="str">
        <f t="shared" si="0"/>
        <v/>
      </c>
      <c r="AF3343" s="15" t="str">
        <f t="shared" si="1"/>
        <v/>
      </c>
      <c r="AG3343" s="15" t="str">
        <f>IF(OR(AF3343="",AF3343="ERRO_CHAVE"),"",IFERROR(MATCH(AF3343,'Quitados DUPP'!$U$1:$U$6635,0),""))</f>
        <v/>
      </c>
      <c r="AH3343" s="15" t="str">
        <f t="shared" si="2"/>
        <v/>
      </c>
      <c r="AI3343" s="17" t="str">
        <f>IF(AG3343="","",INDEX('Quitados DUPP'!$G$1:$G$6635,AG3343))</f>
        <v/>
      </c>
      <c r="AJ3343" s="17" t="str">
        <f t="shared" si="3"/>
        <v/>
      </c>
    </row>
    <row r="3344" spans="31:36">
      <c r="AE3344" s="15" t="str">
        <f t="shared" si="0"/>
        <v/>
      </c>
      <c r="AF3344" s="15" t="str">
        <f t="shared" si="1"/>
        <v/>
      </c>
      <c r="AG3344" s="15" t="str">
        <f>IF(OR(AF3344="",AF3344="ERRO_CHAVE"),"",IFERROR(MATCH(AF3344,'Quitados DUPP'!$U$1:$U$6635,0),""))</f>
        <v/>
      </c>
      <c r="AH3344" s="15" t="str">
        <f t="shared" si="2"/>
        <v/>
      </c>
      <c r="AI3344" s="17" t="str">
        <f>IF(AG3344="","",INDEX('Quitados DUPP'!$G$1:$G$6635,AG3344))</f>
        <v/>
      </c>
      <c r="AJ3344" s="17" t="str">
        <f t="shared" si="3"/>
        <v/>
      </c>
    </row>
    <row r="3345" spans="31:36">
      <c r="AE3345" s="15" t="str">
        <f t="shared" si="0"/>
        <v/>
      </c>
      <c r="AF3345" s="15" t="str">
        <f t="shared" si="1"/>
        <v/>
      </c>
      <c r="AG3345" s="15" t="str">
        <f>IF(OR(AF3345="",AF3345="ERRO_CHAVE"),"",IFERROR(MATCH(AF3345,'Quitados DUPP'!$U$1:$U$6635,0),""))</f>
        <v/>
      </c>
      <c r="AH3345" s="15" t="str">
        <f t="shared" si="2"/>
        <v/>
      </c>
      <c r="AI3345" s="17" t="str">
        <f>IF(AG3345="","",INDEX('Quitados DUPP'!$G$1:$G$6635,AG3345))</f>
        <v/>
      </c>
      <c r="AJ3345" s="17" t="str">
        <f t="shared" si="3"/>
        <v/>
      </c>
    </row>
    <row r="3346" spans="31:36">
      <c r="AE3346" s="15" t="str">
        <f t="shared" si="0"/>
        <v/>
      </c>
      <c r="AF3346" s="15" t="str">
        <f t="shared" si="1"/>
        <v/>
      </c>
      <c r="AG3346" s="15" t="str">
        <f>IF(OR(AF3346="",AF3346="ERRO_CHAVE"),"",IFERROR(MATCH(AF3346,'Quitados DUPP'!$U$1:$U$6635,0),""))</f>
        <v/>
      </c>
      <c r="AH3346" s="15" t="str">
        <f t="shared" si="2"/>
        <v/>
      </c>
      <c r="AI3346" s="17" t="str">
        <f>IF(AG3346="","",INDEX('Quitados DUPP'!$G$1:$G$6635,AG3346))</f>
        <v/>
      </c>
      <c r="AJ3346" s="17" t="str">
        <f t="shared" si="3"/>
        <v/>
      </c>
    </row>
    <row r="3347" spans="31:36">
      <c r="AE3347" s="15" t="str">
        <f t="shared" si="0"/>
        <v/>
      </c>
      <c r="AF3347" s="15" t="str">
        <f t="shared" si="1"/>
        <v/>
      </c>
      <c r="AG3347" s="15" t="str">
        <f>IF(OR(AF3347="",AF3347="ERRO_CHAVE"),"",IFERROR(MATCH(AF3347,'Quitados DUPP'!$U$1:$U$6635,0),""))</f>
        <v/>
      </c>
      <c r="AH3347" s="15" t="str">
        <f t="shared" si="2"/>
        <v/>
      </c>
      <c r="AI3347" s="17" t="str">
        <f>IF(AG3347="","",INDEX('Quitados DUPP'!$G$1:$G$6635,AG3347))</f>
        <v/>
      </c>
      <c r="AJ3347" s="17" t="str">
        <f t="shared" si="3"/>
        <v/>
      </c>
    </row>
    <row r="3348" spans="31:36">
      <c r="AE3348" s="15" t="str">
        <f t="shared" si="0"/>
        <v/>
      </c>
      <c r="AF3348" s="15" t="str">
        <f t="shared" si="1"/>
        <v/>
      </c>
      <c r="AG3348" s="15" t="str">
        <f>IF(OR(AF3348="",AF3348="ERRO_CHAVE"),"",IFERROR(MATCH(AF3348,'Quitados DUPP'!$U$1:$U$6635,0),""))</f>
        <v/>
      </c>
      <c r="AH3348" s="15" t="str">
        <f t="shared" si="2"/>
        <v/>
      </c>
      <c r="AI3348" s="17" t="str">
        <f>IF(AG3348="","",INDEX('Quitados DUPP'!$G$1:$G$6635,AG3348))</f>
        <v/>
      </c>
      <c r="AJ3348" s="17" t="str">
        <f t="shared" si="3"/>
        <v/>
      </c>
    </row>
    <row r="3349" spans="31:36">
      <c r="AE3349" s="15" t="str">
        <f t="shared" si="0"/>
        <v/>
      </c>
      <c r="AF3349" s="15" t="str">
        <f t="shared" si="1"/>
        <v/>
      </c>
      <c r="AG3349" s="15" t="str">
        <f>IF(OR(AF3349="",AF3349="ERRO_CHAVE"),"",IFERROR(MATCH(AF3349,'Quitados DUPP'!$U$1:$U$6635,0),""))</f>
        <v/>
      </c>
      <c r="AH3349" s="15" t="str">
        <f t="shared" si="2"/>
        <v/>
      </c>
      <c r="AI3349" s="17" t="str">
        <f>IF(AG3349="","",INDEX('Quitados DUPP'!$G$1:$G$6635,AG3349))</f>
        <v/>
      </c>
      <c r="AJ3349" s="17" t="str">
        <f t="shared" si="3"/>
        <v/>
      </c>
    </row>
    <row r="3350" spans="31:36">
      <c r="AE3350" s="15" t="str">
        <f t="shared" si="0"/>
        <v/>
      </c>
      <c r="AF3350" s="15" t="str">
        <f t="shared" si="1"/>
        <v/>
      </c>
      <c r="AG3350" s="15" t="str">
        <f>IF(OR(AF3350="",AF3350="ERRO_CHAVE"),"",IFERROR(MATCH(AF3350,'Quitados DUPP'!$U$1:$U$6635,0),""))</f>
        <v/>
      </c>
      <c r="AH3350" s="15" t="str">
        <f t="shared" si="2"/>
        <v/>
      </c>
      <c r="AI3350" s="17" t="str">
        <f>IF(AG3350="","",INDEX('Quitados DUPP'!$G$1:$G$6635,AG3350))</f>
        <v/>
      </c>
      <c r="AJ3350" s="17" t="str">
        <f t="shared" si="3"/>
        <v/>
      </c>
    </row>
    <row r="3351" spans="31:36">
      <c r="AE3351" s="15" t="str">
        <f t="shared" si="0"/>
        <v/>
      </c>
      <c r="AF3351" s="15" t="str">
        <f t="shared" si="1"/>
        <v/>
      </c>
      <c r="AG3351" s="15" t="str">
        <f>IF(OR(AF3351="",AF3351="ERRO_CHAVE"),"",IFERROR(MATCH(AF3351,'Quitados DUPP'!$U$1:$U$6635,0),""))</f>
        <v/>
      </c>
      <c r="AH3351" s="15" t="str">
        <f t="shared" si="2"/>
        <v/>
      </c>
      <c r="AI3351" s="17" t="str">
        <f>IF(AG3351="","",INDEX('Quitados DUPP'!$G$1:$G$6635,AG3351))</f>
        <v/>
      </c>
      <c r="AJ3351" s="17" t="str">
        <f t="shared" si="3"/>
        <v/>
      </c>
    </row>
    <row r="3352" spans="31:36">
      <c r="AE3352" s="15" t="str">
        <f t="shared" si="0"/>
        <v/>
      </c>
      <c r="AF3352" s="15" t="str">
        <f t="shared" si="1"/>
        <v/>
      </c>
      <c r="AG3352" s="15" t="str">
        <f>IF(OR(AF3352="",AF3352="ERRO_CHAVE"),"",IFERROR(MATCH(AF3352,'Quitados DUPP'!$U$1:$U$6635,0),""))</f>
        <v/>
      </c>
      <c r="AH3352" s="15" t="str">
        <f t="shared" si="2"/>
        <v/>
      </c>
      <c r="AI3352" s="17" t="str">
        <f>IF(AG3352="","",INDEX('Quitados DUPP'!$G$1:$G$6635,AG3352))</f>
        <v/>
      </c>
      <c r="AJ3352" s="17" t="str">
        <f t="shared" si="3"/>
        <v/>
      </c>
    </row>
    <row r="3353" spans="31:36">
      <c r="AE3353" s="15" t="str">
        <f t="shared" si="0"/>
        <v/>
      </c>
      <c r="AF3353" s="15" t="str">
        <f t="shared" si="1"/>
        <v/>
      </c>
      <c r="AG3353" s="15" t="str">
        <f>IF(OR(AF3353="",AF3353="ERRO_CHAVE"),"",IFERROR(MATCH(AF3353,'Quitados DUPP'!$U$1:$U$6635,0),""))</f>
        <v/>
      </c>
      <c r="AH3353" s="15" t="str">
        <f t="shared" si="2"/>
        <v/>
      </c>
      <c r="AI3353" s="17" t="str">
        <f>IF(AG3353="","",INDEX('Quitados DUPP'!$G$1:$G$6635,AG3353))</f>
        <v/>
      </c>
      <c r="AJ3353" s="17" t="str">
        <f t="shared" si="3"/>
        <v/>
      </c>
    </row>
    <row r="3354" spans="31:36">
      <c r="AE3354" s="15" t="str">
        <f t="shared" si="0"/>
        <v/>
      </c>
      <c r="AF3354" s="15" t="str">
        <f t="shared" si="1"/>
        <v/>
      </c>
      <c r="AG3354" s="15" t="str">
        <f>IF(OR(AF3354="",AF3354="ERRO_CHAVE"),"",IFERROR(MATCH(AF3354,'Quitados DUPP'!$U$1:$U$6635,0),""))</f>
        <v/>
      </c>
      <c r="AH3354" s="15" t="str">
        <f t="shared" si="2"/>
        <v/>
      </c>
      <c r="AI3354" s="17" t="str">
        <f>IF(AG3354="","",INDEX('Quitados DUPP'!$G$1:$G$6635,AG3354))</f>
        <v/>
      </c>
      <c r="AJ3354" s="17" t="str">
        <f t="shared" si="3"/>
        <v/>
      </c>
    </row>
    <row r="3355" spans="31:36">
      <c r="AE3355" s="15" t="str">
        <f t="shared" si="0"/>
        <v/>
      </c>
      <c r="AF3355" s="15" t="str">
        <f t="shared" si="1"/>
        <v/>
      </c>
      <c r="AG3355" s="15" t="str">
        <f>IF(OR(AF3355="",AF3355="ERRO_CHAVE"),"",IFERROR(MATCH(AF3355,'Quitados DUPP'!$U$1:$U$6635,0),""))</f>
        <v/>
      </c>
      <c r="AH3355" s="15" t="str">
        <f t="shared" si="2"/>
        <v/>
      </c>
      <c r="AI3355" s="17" t="str">
        <f>IF(AG3355="","",INDEX('Quitados DUPP'!$G$1:$G$6635,AG3355))</f>
        <v/>
      </c>
      <c r="AJ3355" s="17" t="str">
        <f t="shared" si="3"/>
        <v/>
      </c>
    </row>
    <row r="3356" spans="31:36">
      <c r="AE3356" s="15" t="str">
        <f t="shared" si="0"/>
        <v/>
      </c>
      <c r="AF3356" s="15" t="str">
        <f t="shared" si="1"/>
        <v/>
      </c>
      <c r="AG3356" s="15" t="str">
        <f>IF(OR(AF3356="",AF3356="ERRO_CHAVE"),"",IFERROR(MATCH(AF3356,'Quitados DUPP'!$U$1:$U$6635,0),""))</f>
        <v/>
      </c>
      <c r="AH3356" s="15" t="str">
        <f t="shared" si="2"/>
        <v/>
      </c>
      <c r="AI3356" s="17" t="str">
        <f>IF(AG3356="","",INDEX('Quitados DUPP'!$G$1:$G$6635,AG3356))</f>
        <v/>
      </c>
      <c r="AJ3356" s="17" t="str">
        <f t="shared" si="3"/>
        <v/>
      </c>
    </row>
    <row r="3357" spans="31:36">
      <c r="AE3357" s="15" t="str">
        <f t="shared" si="0"/>
        <v/>
      </c>
      <c r="AF3357" s="15" t="str">
        <f t="shared" si="1"/>
        <v/>
      </c>
      <c r="AG3357" s="15" t="str">
        <f>IF(OR(AF3357="",AF3357="ERRO_CHAVE"),"",IFERROR(MATCH(AF3357,'Quitados DUPP'!$U$1:$U$6635,0),""))</f>
        <v/>
      </c>
      <c r="AH3357" s="15" t="str">
        <f t="shared" si="2"/>
        <v/>
      </c>
      <c r="AI3357" s="17" t="str">
        <f>IF(AG3357="","",INDEX('Quitados DUPP'!$G$1:$G$6635,AG3357))</f>
        <v/>
      </c>
      <c r="AJ3357" s="17" t="str">
        <f t="shared" si="3"/>
        <v/>
      </c>
    </row>
    <row r="3358" spans="31:36">
      <c r="AE3358" s="15" t="str">
        <f t="shared" si="0"/>
        <v/>
      </c>
      <c r="AF3358" s="15" t="str">
        <f t="shared" si="1"/>
        <v/>
      </c>
      <c r="AG3358" s="15" t="str">
        <f>IF(OR(AF3358="",AF3358="ERRO_CHAVE"),"",IFERROR(MATCH(AF3358,'Quitados DUPP'!$U$1:$U$6635,0),""))</f>
        <v/>
      </c>
      <c r="AH3358" s="15" t="str">
        <f t="shared" si="2"/>
        <v/>
      </c>
      <c r="AI3358" s="17" t="str">
        <f>IF(AG3358="","",INDEX('Quitados DUPP'!$G$1:$G$6635,AG3358))</f>
        <v/>
      </c>
      <c r="AJ3358" s="17" t="str">
        <f t="shared" si="3"/>
        <v/>
      </c>
    </row>
    <row r="3359" spans="31:36">
      <c r="AE3359" s="15" t="str">
        <f t="shared" si="0"/>
        <v/>
      </c>
      <c r="AF3359" s="15" t="str">
        <f t="shared" si="1"/>
        <v/>
      </c>
      <c r="AG3359" s="15" t="str">
        <f>IF(OR(AF3359="",AF3359="ERRO_CHAVE"),"",IFERROR(MATCH(AF3359,'Quitados DUPP'!$U$1:$U$6635,0),""))</f>
        <v/>
      </c>
      <c r="AH3359" s="15" t="str">
        <f t="shared" si="2"/>
        <v/>
      </c>
      <c r="AI3359" s="17" t="str">
        <f>IF(AG3359="","",INDEX('Quitados DUPP'!$G$1:$G$6635,AG3359))</f>
        <v/>
      </c>
      <c r="AJ3359" s="17" t="str">
        <f t="shared" si="3"/>
        <v/>
      </c>
    </row>
    <row r="3360" spans="31:36">
      <c r="AE3360" s="15" t="str">
        <f t="shared" si="0"/>
        <v/>
      </c>
      <c r="AF3360" s="15" t="str">
        <f t="shared" si="1"/>
        <v/>
      </c>
      <c r="AG3360" s="15" t="str">
        <f>IF(OR(AF3360="",AF3360="ERRO_CHAVE"),"",IFERROR(MATCH(AF3360,'Quitados DUPP'!$U$1:$U$6635,0),""))</f>
        <v/>
      </c>
      <c r="AH3360" s="15" t="str">
        <f t="shared" si="2"/>
        <v/>
      </c>
      <c r="AI3360" s="17" t="str">
        <f>IF(AG3360="","",INDEX('Quitados DUPP'!$G$1:$G$6635,AG3360))</f>
        <v/>
      </c>
      <c r="AJ3360" s="17" t="str">
        <f t="shared" si="3"/>
        <v/>
      </c>
    </row>
    <row r="3361" spans="31:36">
      <c r="AE3361" s="15" t="str">
        <f t="shared" si="0"/>
        <v/>
      </c>
      <c r="AF3361" s="15" t="str">
        <f t="shared" si="1"/>
        <v/>
      </c>
      <c r="AG3361" s="15" t="str">
        <f>IF(OR(AF3361="",AF3361="ERRO_CHAVE"),"",IFERROR(MATCH(AF3361,'Quitados DUPP'!$U$1:$U$6635,0),""))</f>
        <v/>
      </c>
      <c r="AH3361" s="15" t="str">
        <f t="shared" si="2"/>
        <v/>
      </c>
      <c r="AI3361" s="17" t="str">
        <f>IF(AG3361="","",INDEX('Quitados DUPP'!$G$1:$G$6635,AG3361))</f>
        <v/>
      </c>
      <c r="AJ3361" s="17" t="str">
        <f t="shared" si="3"/>
        <v/>
      </c>
    </row>
    <row r="3362" spans="31:36">
      <c r="AE3362" s="15" t="str">
        <f t="shared" si="0"/>
        <v/>
      </c>
      <c r="AF3362" s="15" t="str">
        <f t="shared" si="1"/>
        <v/>
      </c>
      <c r="AG3362" s="15" t="str">
        <f>IF(OR(AF3362="",AF3362="ERRO_CHAVE"),"",IFERROR(MATCH(AF3362,'Quitados DUPP'!$U$1:$U$6635,0),""))</f>
        <v/>
      </c>
      <c r="AH3362" s="15" t="str">
        <f t="shared" si="2"/>
        <v/>
      </c>
      <c r="AI3362" s="17" t="str">
        <f>IF(AG3362="","",INDEX('Quitados DUPP'!$G$1:$G$6635,AG3362))</f>
        <v/>
      </c>
      <c r="AJ3362" s="17" t="str">
        <f t="shared" si="3"/>
        <v/>
      </c>
    </row>
    <row r="3363" spans="31:36">
      <c r="AE3363" s="15" t="str">
        <f t="shared" si="0"/>
        <v/>
      </c>
      <c r="AF3363" s="15" t="str">
        <f t="shared" si="1"/>
        <v/>
      </c>
      <c r="AG3363" s="15" t="str">
        <f>IF(OR(AF3363="",AF3363="ERRO_CHAVE"),"",IFERROR(MATCH(AF3363,'Quitados DUPP'!$U$1:$U$6635,0),""))</f>
        <v/>
      </c>
      <c r="AH3363" s="15" t="str">
        <f t="shared" si="2"/>
        <v/>
      </c>
      <c r="AI3363" s="17" t="str">
        <f>IF(AG3363="","",INDEX('Quitados DUPP'!$G$1:$G$6635,AG3363))</f>
        <v/>
      </c>
      <c r="AJ3363" s="17" t="str">
        <f t="shared" si="3"/>
        <v/>
      </c>
    </row>
    <row r="3364" spans="31:36">
      <c r="AE3364" s="15" t="str">
        <f t="shared" si="0"/>
        <v/>
      </c>
      <c r="AF3364" s="15" t="str">
        <f t="shared" si="1"/>
        <v/>
      </c>
      <c r="AG3364" s="15" t="str">
        <f>IF(OR(AF3364="",AF3364="ERRO_CHAVE"),"",IFERROR(MATCH(AF3364,'Quitados DUPP'!$U$1:$U$6635,0),""))</f>
        <v/>
      </c>
      <c r="AH3364" s="15" t="str">
        <f t="shared" si="2"/>
        <v/>
      </c>
      <c r="AI3364" s="17" t="str">
        <f>IF(AG3364="","",INDEX('Quitados DUPP'!$G$1:$G$6635,AG3364))</f>
        <v/>
      </c>
      <c r="AJ3364" s="17" t="str">
        <f t="shared" si="3"/>
        <v/>
      </c>
    </row>
    <row r="3365" spans="31:36">
      <c r="AE3365" s="15" t="str">
        <f t="shared" si="0"/>
        <v/>
      </c>
      <c r="AF3365" s="15" t="str">
        <f t="shared" si="1"/>
        <v/>
      </c>
      <c r="AG3365" s="15" t="str">
        <f>IF(OR(AF3365="",AF3365="ERRO_CHAVE"),"",IFERROR(MATCH(AF3365,'Quitados DUPP'!$U$1:$U$6635,0),""))</f>
        <v/>
      </c>
      <c r="AH3365" s="15" t="str">
        <f t="shared" si="2"/>
        <v/>
      </c>
      <c r="AI3365" s="17" t="str">
        <f>IF(AG3365="","",INDEX('Quitados DUPP'!$G$1:$G$6635,AG3365))</f>
        <v/>
      </c>
      <c r="AJ3365" s="17" t="str">
        <f t="shared" si="3"/>
        <v/>
      </c>
    </row>
    <row r="3366" spans="31:36">
      <c r="AE3366" s="15" t="str">
        <f t="shared" si="0"/>
        <v/>
      </c>
      <c r="AF3366" s="15" t="str">
        <f t="shared" si="1"/>
        <v/>
      </c>
      <c r="AG3366" s="15" t="str">
        <f>IF(OR(AF3366="",AF3366="ERRO_CHAVE"),"",IFERROR(MATCH(AF3366,'Quitados DUPP'!$U$1:$U$6635,0),""))</f>
        <v/>
      </c>
      <c r="AH3366" s="15" t="str">
        <f t="shared" si="2"/>
        <v/>
      </c>
      <c r="AI3366" s="17" t="str">
        <f>IF(AG3366="","",INDEX('Quitados DUPP'!$G$1:$G$6635,AG3366))</f>
        <v/>
      </c>
      <c r="AJ3366" s="17" t="str">
        <f t="shared" si="3"/>
        <v/>
      </c>
    </row>
    <row r="3367" spans="31:36">
      <c r="AE3367" s="15" t="str">
        <f t="shared" si="0"/>
        <v/>
      </c>
      <c r="AF3367" s="15" t="str">
        <f t="shared" si="1"/>
        <v/>
      </c>
      <c r="AG3367" s="15" t="str">
        <f>IF(OR(AF3367="",AF3367="ERRO_CHAVE"),"",IFERROR(MATCH(AF3367,'Quitados DUPP'!$U$1:$U$6635,0),""))</f>
        <v/>
      </c>
      <c r="AH3367" s="15" t="str">
        <f t="shared" si="2"/>
        <v/>
      </c>
      <c r="AI3367" s="17" t="str">
        <f>IF(AG3367="","",INDEX('Quitados DUPP'!$G$1:$G$6635,AG3367))</f>
        <v/>
      </c>
      <c r="AJ3367" s="17" t="str">
        <f t="shared" si="3"/>
        <v/>
      </c>
    </row>
    <row r="3368" spans="31:36">
      <c r="AE3368" s="15" t="str">
        <f t="shared" si="0"/>
        <v/>
      </c>
      <c r="AF3368" s="15" t="str">
        <f t="shared" si="1"/>
        <v/>
      </c>
      <c r="AG3368" s="15" t="str">
        <f>IF(OR(AF3368="",AF3368="ERRO_CHAVE"),"",IFERROR(MATCH(AF3368,'Quitados DUPP'!$U$1:$U$6635,0),""))</f>
        <v/>
      </c>
      <c r="AH3368" s="15" t="str">
        <f t="shared" si="2"/>
        <v/>
      </c>
      <c r="AI3368" s="17" t="str">
        <f>IF(AG3368="","",INDEX('Quitados DUPP'!$G$1:$G$6635,AG3368))</f>
        <v/>
      </c>
      <c r="AJ3368" s="17" t="str">
        <f t="shared" si="3"/>
        <v/>
      </c>
    </row>
    <row r="3369" spans="31:36">
      <c r="AE3369" s="15" t="str">
        <f t="shared" si="0"/>
        <v/>
      </c>
      <c r="AF3369" s="15" t="str">
        <f t="shared" si="1"/>
        <v/>
      </c>
      <c r="AG3369" s="15" t="str">
        <f>IF(OR(AF3369="",AF3369="ERRO_CHAVE"),"",IFERROR(MATCH(AF3369,'Quitados DUPP'!$U$1:$U$6635,0),""))</f>
        <v/>
      </c>
      <c r="AH3369" s="15" t="str">
        <f t="shared" si="2"/>
        <v/>
      </c>
      <c r="AI3369" s="17" t="str">
        <f>IF(AG3369="","",INDEX('Quitados DUPP'!$G$1:$G$6635,AG3369))</f>
        <v/>
      </c>
      <c r="AJ3369" s="17" t="str">
        <f t="shared" si="3"/>
        <v/>
      </c>
    </row>
    <row r="3370" spans="31:36">
      <c r="AE3370" s="15" t="str">
        <f t="shared" si="0"/>
        <v/>
      </c>
      <c r="AF3370" s="15" t="str">
        <f t="shared" si="1"/>
        <v/>
      </c>
      <c r="AG3370" s="15" t="str">
        <f>IF(OR(AF3370="",AF3370="ERRO_CHAVE"),"",IFERROR(MATCH(AF3370,'Quitados DUPP'!$U$1:$U$6635,0),""))</f>
        <v/>
      </c>
      <c r="AH3370" s="15" t="str">
        <f t="shared" si="2"/>
        <v/>
      </c>
      <c r="AI3370" s="17" t="str">
        <f>IF(AG3370="","",INDEX('Quitados DUPP'!$G$1:$G$6635,AG3370))</f>
        <v/>
      </c>
      <c r="AJ3370" s="17" t="str">
        <f t="shared" si="3"/>
        <v/>
      </c>
    </row>
    <row r="3371" spans="31:36">
      <c r="AE3371" s="15" t="str">
        <f t="shared" si="0"/>
        <v/>
      </c>
      <c r="AF3371" s="15" t="str">
        <f t="shared" si="1"/>
        <v/>
      </c>
      <c r="AG3371" s="15" t="str">
        <f>IF(OR(AF3371="",AF3371="ERRO_CHAVE"),"",IFERROR(MATCH(AF3371,'Quitados DUPP'!$U$1:$U$6635,0),""))</f>
        <v/>
      </c>
      <c r="AH3371" s="15" t="str">
        <f t="shared" si="2"/>
        <v/>
      </c>
      <c r="AI3371" s="17" t="str">
        <f>IF(AG3371="","",INDEX('Quitados DUPP'!$G$1:$G$6635,AG3371))</f>
        <v/>
      </c>
      <c r="AJ3371" s="17" t="str">
        <f t="shared" si="3"/>
        <v/>
      </c>
    </row>
    <row r="3372" spans="31:36">
      <c r="AE3372" s="15" t="str">
        <f t="shared" si="0"/>
        <v/>
      </c>
      <c r="AF3372" s="15" t="str">
        <f t="shared" si="1"/>
        <v/>
      </c>
      <c r="AG3372" s="15" t="str">
        <f>IF(OR(AF3372="",AF3372="ERRO_CHAVE"),"",IFERROR(MATCH(AF3372,'Quitados DUPP'!$U$1:$U$6635,0),""))</f>
        <v/>
      </c>
      <c r="AH3372" s="15" t="str">
        <f t="shared" si="2"/>
        <v/>
      </c>
      <c r="AI3372" s="17" t="str">
        <f>IF(AG3372="","",INDEX('Quitados DUPP'!$G$1:$G$6635,AG3372))</f>
        <v/>
      </c>
      <c r="AJ3372" s="17" t="str">
        <f t="shared" si="3"/>
        <v/>
      </c>
    </row>
    <row r="3373" spans="31:36">
      <c r="AE3373" s="15" t="str">
        <f t="shared" si="0"/>
        <v/>
      </c>
      <c r="AF3373" s="15" t="str">
        <f t="shared" si="1"/>
        <v/>
      </c>
      <c r="AG3373" s="15" t="str">
        <f>IF(OR(AF3373="",AF3373="ERRO_CHAVE"),"",IFERROR(MATCH(AF3373,'Quitados DUPP'!$U$1:$U$6635,0),""))</f>
        <v/>
      </c>
      <c r="AH3373" s="15" t="str">
        <f t="shared" si="2"/>
        <v/>
      </c>
      <c r="AI3373" s="17" t="str">
        <f>IF(AG3373="","",INDEX('Quitados DUPP'!$G$1:$G$6635,AG3373))</f>
        <v/>
      </c>
      <c r="AJ3373" s="17" t="str">
        <f t="shared" si="3"/>
        <v/>
      </c>
    </row>
    <row r="3374" spans="31:36">
      <c r="AE3374" s="15" t="str">
        <f t="shared" si="0"/>
        <v/>
      </c>
      <c r="AF3374" s="15" t="str">
        <f t="shared" si="1"/>
        <v/>
      </c>
      <c r="AG3374" s="15" t="str">
        <f>IF(OR(AF3374="",AF3374="ERRO_CHAVE"),"",IFERROR(MATCH(AF3374,'Quitados DUPP'!$U$1:$U$6635,0),""))</f>
        <v/>
      </c>
      <c r="AH3374" s="15" t="str">
        <f t="shared" si="2"/>
        <v/>
      </c>
      <c r="AI3374" s="17" t="str">
        <f>IF(AG3374="","",INDEX('Quitados DUPP'!$G$1:$G$6635,AG3374))</f>
        <v/>
      </c>
      <c r="AJ3374" s="17" t="str">
        <f t="shared" si="3"/>
        <v/>
      </c>
    </row>
    <row r="3375" spans="31:36">
      <c r="AE3375" s="15" t="str">
        <f t="shared" si="0"/>
        <v/>
      </c>
      <c r="AF3375" s="15" t="str">
        <f t="shared" si="1"/>
        <v/>
      </c>
      <c r="AG3375" s="15" t="str">
        <f>IF(OR(AF3375="",AF3375="ERRO_CHAVE"),"",IFERROR(MATCH(AF3375,'Quitados DUPP'!$U$1:$U$6635,0),""))</f>
        <v/>
      </c>
      <c r="AH3375" s="15" t="str">
        <f t="shared" si="2"/>
        <v/>
      </c>
      <c r="AI3375" s="17" t="str">
        <f>IF(AG3375="","",INDEX('Quitados DUPP'!$G$1:$G$6635,AG3375))</f>
        <v/>
      </c>
      <c r="AJ3375" s="17" t="str">
        <f t="shared" si="3"/>
        <v/>
      </c>
    </row>
    <row r="3376" spans="31:36">
      <c r="AE3376" s="15" t="str">
        <f t="shared" si="0"/>
        <v/>
      </c>
      <c r="AF3376" s="15" t="str">
        <f t="shared" si="1"/>
        <v/>
      </c>
      <c r="AG3376" s="15" t="str">
        <f>IF(OR(AF3376="",AF3376="ERRO_CHAVE"),"",IFERROR(MATCH(AF3376,'Quitados DUPP'!$U$1:$U$6635,0),""))</f>
        <v/>
      </c>
      <c r="AH3376" s="15" t="str">
        <f t="shared" si="2"/>
        <v/>
      </c>
      <c r="AI3376" s="17" t="str">
        <f>IF(AG3376="","",INDEX('Quitados DUPP'!$G$1:$G$6635,AG3376))</f>
        <v/>
      </c>
      <c r="AJ3376" s="17" t="str">
        <f t="shared" si="3"/>
        <v/>
      </c>
    </row>
    <row r="3377" spans="31:36">
      <c r="AE3377" s="15" t="str">
        <f t="shared" si="0"/>
        <v/>
      </c>
      <c r="AF3377" s="15" t="str">
        <f t="shared" si="1"/>
        <v/>
      </c>
      <c r="AG3377" s="15" t="str">
        <f>IF(OR(AF3377="",AF3377="ERRO_CHAVE"),"",IFERROR(MATCH(AF3377,'Quitados DUPP'!$U$1:$U$6635,0),""))</f>
        <v/>
      </c>
      <c r="AH3377" s="15" t="str">
        <f t="shared" si="2"/>
        <v/>
      </c>
      <c r="AI3377" s="17" t="str">
        <f>IF(AG3377="","",INDEX('Quitados DUPP'!$G$1:$G$6635,AG3377))</f>
        <v/>
      </c>
      <c r="AJ3377" s="17" t="str">
        <f t="shared" si="3"/>
        <v/>
      </c>
    </row>
    <row r="3378" spans="31:36">
      <c r="AE3378" s="15" t="str">
        <f t="shared" si="0"/>
        <v/>
      </c>
      <c r="AF3378" s="15" t="str">
        <f t="shared" si="1"/>
        <v/>
      </c>
      <c r="AG3378" s="15" t="str">
        <f>IF(OR(AF3378="",AF3378="ERRO_CHAVE"),"",IFERROR(MATCH(AF3378,'Quitados DUPP'!$U$1:$U$6635,0),""))</f>
        <v/>
      </c>
      <c r="AH3378" s="15" t="str">
        <f t="shared" si="2"/>
        <v/>
      </c>
      <c r="AI3378" s="17" t="str">
        <f>IF(AG3378="","",INDEX('Quitados DUPP'!$G$1:$G$6635,AG3378))</f>
        <v/>
      </c>
      <c r="AJ3378" s="17" t="str">
        <f t="shared" si="3"/>
        <v/>
      </c>
    </row>
    <row r="3379" spans="31:36">
      <c r="AE3379" s="15" t="str">
        <f t="shared" si="0"/>
        <v/>
      </c>
      <c r="AF3379" s="15" t="str">
        <f t="shared" si="1"/>
        <v/>
      </c>
      <c r="AG3379" s="15" t="str">
        <f>IF(OR(AF3379="",AF3379="ERRO_CHAVE"),"",IFERROR(MATCH(AF3379,'Quitados DUPP'!$U$1:$U$6635,0),""))</f>
        <v/>
      </c>
      <c r="AH3379" s="15" t="str">
        <f t="shared" si="2"/>
        <v/>
      </c>
      <c r="AI3379" s="17" t="str">
        <f>IF(AG3379="","",INDEX('Quitados DUPP'!$G$1:$G$6635,AG3379))</f>
        <v/>
      </c>
      <c r="AJ3379" s="17" t="str">
        <f t="shared" si="3"/>
        <v/>
      </c>
    </row>
    <row r="3380" spans="31:36">
      <c r="AE3380" s="15" t="str">
        <f t="shared" si="0"/>
        <v/>
      </c>
      <c r="AF3380" s="15" t="str">
        <f t="shared" si="1"/>
        <v/>
      </c>
      <c r="AG3380" s="15" t="str">
        <f>IF(OR(AF3380="",AF3380="ERRO_CHAVE"),"",IFERROR(MATCH(AF3380,'Quitados DUPP'!$U$1:$U$6635,0),""))</f>
        <v/>
      </c>
      <c r="AH3380" s="15" t="str">
        <f t="shared" si="2"/>
        <v/>
      </c>
      <c r="AI3380" s="17" t="str">
        <f>IF(AG3380="","",INDEX('Quitados DUPP'!$G$1:$G$6635,AG3380))</f>
        <v/>
      </c>
      <c r="AJ3380" s="17" t="str">
        <f t="shared" si="3"/>
        <v/>
      </c>
    </row>
    <row r="3381" spans="31:36">
      <c r="AE3381" s="15" t="str">
        <f t="shared" si="0"/>
        <v/>
      </c>
      <c r="AF3381" s="15" t="str">
        <f t="shared" si="1"/>
        <v/>
      </c>
      <c r="AG3381" s="15" t="str">
        <f>IF(OR(AF3381="",AF3381="ERRO_CHAVE"),"",IFERROR(MATCH(AF3381,'Quitados DUPP'!$U$1:$U$6635,0),""))</f>
        <v/>
      </c>
      <c r="AH3381" s="15" t="str">
        <f t="shared" si="2"/>
        <v/>
      </c>
      <c r="AI3381" s="17" t="str">
        <f>IF(AG3381="","",INDEX('Quitados DUPP'!$G$1:$G$6635,AG3381))</f>
        <v/>
      </c>
      <c r="AJ3381" s="17" t="str">
        <f t="shared" si="3"/>
        <v/>
      </c>
    </row>
    <row r="3382" spans="31:36">
      <c r="AE3382" s="15" t="str">
        <f t="shared" si="0"/>
        <v/>
      </c>
      <c r="AF3382" s="15" t="str">
        <f t="shared" si="1"/>
        <v/>
      </c>
      <c r="AG3382" s="15" t="str">
        <f>IF(OR(AF3382="",AF3382="ERRO_CHAVE"),"",IFERROR(MATCH(AF3382,'Quitados DUPP'!$U$1:$U$6635,0),""))</f>
        <v/>
      </c>
      <c r="AH3382" s="15" t="str">
        <f t="shared" si="2"/>
        <v/>
      </c>
      <c r="AI3382" s="17" t="str">
        <f>IF(AG3382="","",INDEX('Quitados DUPP'!$G$1:$G$6635,AG3382))</f>
        <v/>
      </c>
      <c r="AJ3382" s="17" t="str">
        <f t="shared" si="3"/>
        <v/>
      </c>
    </row>
    <row r="3383" spans="31:36">
      <c r="AE3383" s="15" t="str">
        <f t="shared" si="0"/>
        <v/>
      </c>
      <c r="AF3383" s="15" t="str">
        <f t="shared" si="1"/>
        <v/>
      </c>
      <c r="AG3383" s="15" t="str">
        <f>IF(OR(AF3383="",AF3383="ERRO_CHAVE"),"",IFERROR(MATCH(AF3383,'Quitados DUPP'!$U$1:$U$6635,0),""))</f>
        <v/>
      </c>
      <c r="AH3383" s="15" t="str">
        <f t="shared" si="2"/>
        <v/>
      </c>
      <c r="AI3383" s="17" t="str">
        <f>IF(AG3383="","",INDEX('Quitados DUPP'!$G$1:$G$6635,AG3383))</f>
        <v/>
      </c>
      <c r="AJ3383" s="17" t="str">
        <f t="shared" si="3"/>
        <v/>
      </c>
    </row>
    <row r="3384" spans="31:36">
      <c r="AE3384" s="15" t="str">
        <f t="shared" si="0"/>
        <v/>
      </c>
      <c r="AF3384" s="15" t="str">
        <f t="shared" si="1"/>
        <v/>
      </c>
      <c r="AG3384" s="15" t="str">
        <f>IF(OR(AF3384="",AF3384="ERRO_CHAVE"),"",IFERROR(MATCH(AF3384,'Quitados DUPP'!$U$1:$U$6635,0),""))</f>
        <v/>
      </c>
      <c r="AH3384" s="15" t="str">
        <f t="shared" si="2"/>
        <v/>
      </c>
      <c r="AI3384" s="17" t="str">
        <f>IF(AG3384="","",INDEX('Quitados DUPP'!$G$1:$G$6635,AG3384))</f>
        <v/>
      </c>
      <c r="AJ3384" s="17" t="str">
        <f t="shared" si="3"/>
        <v/>
      </c>
    </row>
    <row r="3385" spans="31:36">
      <c r="AE3385" s="15" t="str">
        <f t="shared" si="0"/>
        <v/>
      </c>
      <c r="AF3385" s="15" t="str">
        <f t="shared" si="1"/>
        <v/>
      </c>
      <c r="AG3385" s="15" t="str">
        <f>IF(OR(AF3385="",AF3385="ERRO_CHAVE"),"",IFERROR(MATCH(AF3385,'Quitados DUPP'!$U$1:$U$6635,0),""))</f>
        <v/>
      </c>
      <c r="AH3385" s="15" t="str">
        <f t="shared" si="2"/>
        <v/>
      </c>
      <c r="AI3385" s="17" t="str">
        <f>IF(AG3385="","",INDEX('Quitados DUPP'!$G$1:$G$6635,AG3385))</f>
        <v/>
      </c>
      <c r="AJ3385" s="17" t="str">
        <f t="shared" si="3"/>
        <v/>
      </c>
    </row>
    <row r="3386" spans="31:36">
      <c r="AE3386" s="15" t="str">
        <f t="shared" si="0"/>
        <v/>
      </c>
      <c r="AF3386" s="15" t="str">
        <f t="shared" si="1"/>
        <v/>
      </c>
      <c r="AG3386" s="15" t="str">
        <f>IF(OR(AF3386="",AF3386="ERRO_CHAVE"),"",IFERROR(MATCH(AF3386,'Quitados DUPP'!$U$1:$U$6635,0),""))</f>
        <v/>
      </c>
      <c r="AH3386" s="15" t="str">
        <f t="shared" si="2"/>
        <v/>
      </c>
      <c r="AI3386" s="17" t="str">
        <f>IF(AG3386="","",INDEX('Quitados DUPP'!$G$1:$G$6635,AG3386))</f>
        <v/>
      </c>
      <c r="AJ3386" s="17" t="str">
        <f t="shared" si="3"/>
        <v/>
      </c>
    </row>
    <row r="3387" spans="31:36">
      <c r="AE3387" s="15" t="str">
        <f t="shared" si="0"/>
        <v/>
      </c>
      <c r="AF3387" s="15" t="str">
        <f t="shared" si="1"/>
        <v/>
      </c>
      <c r="AG3387" s="15" t="str">
        <f>IF(OR(AF3387="",AF3387="ERRO_CHAVE"),"",IFERROR(MATCH(AF3387,'Quitados DUPP'!$U$1:$U$6635,0),""))</f>
        <v/>
      </c>
      <c r="AH3387" s="15" t="str">
        <f t="shared" si="2"/>
        <v/>
      </c>
      <c r="AI3387" s="17" t="str">
        <f>IF(AG3387="","",INDEX('Quitados DUPP'!$G$1:$G$6635,AG3387))</f>
        <v/>
      </c>
      <c r="AJ3387" s="17" t="str">
        <f t="shared" si="3"/>
        <v/>
      </c>
    </row>
    <row r="3388" spans="31:36">
      <c r="AE3388" s="15" t="str">
        <f t="shared" si="0"/>
        <v/>
      </c>
      <c r="AF3388" s="15" t="str">
        <f t="shared" si="1"/>
        <v/>
      </c>
      <c r="AG3388" s="15" t="str">
        <f>IF(OR(AF3388="",AF3388="ERRO_CHAVE"),"",IFERROR(MATCH(AF3388,'Quitados DUPP'!$U$1:$U$6635,0),""))</f>
        <v/>
      </c>
      <c r="AH3388" s="15" t="str">
        <f t="shared" si="2"/>
        <v/>
      </c>
      <c r="AI3388" s="17" t="str">
        <f>IF(AG3388="","",INDEX('Quitados DUPP'!$G$1:$G$6635,AG3388))</f>
        <v/>
      </c>
      <c r="AJ3388" s="17" t="str">
        <f t="shared" si="3"/>
        <v/>
      </c>
    </row>
    <row r="3389" spans="31:36">
      <c r="AE3389" s="15" t="str">
        <f t="shared" si="0"/>
        <v/>
      </c>
      <c r="AF3389" s="15" t="str">
        <f t="shared" si="1"/>
        <v/>
      </c>
      <c r="AG3389" s="15" t="str">
        <f>IF(OR(AF3389="",AF3389="ERRO_CHAVE"),"",IFERROR(MATCH(AF3389,'Quitados DUPP'!$U$1:$U$6635,0),""))</f>
        <v/>
      </c>
      <c r="AH3389" s="15" t="str">
        <f t="shared" si="2"/>
        <v/>
      </c>
      <c r="AI3389" s="17" t="str">
        <f>IF(AG3389="","",INDEX('Quitados DUPP'!$G$1:$G$6635,AG3389))</f>
        <v/>
      </c>
      <c r="AJ3389" s="17" t="str">
        <f t="shared" si="3"/>
        <v/>
      </c>
    </row>
    <row r="3390" spans="31:36">
      <c r="AE3390" s="15" t="str">
        <f t="shared" si="0"/>
        <v/>
      </c>
      <c r="AF3390" s="15" t="str">
        <f t="shared" si="1"/>
        <v/>
      </c>
      <c r="AG3390" s="15" t="str">
        <f>IF(OR(AF3390="",AF3390="ERRO_CHAVE"),"",IFERROR(MATCH(AF3390,'Quitados DUPP'!$U$1:$U$6635,0),""))</f>
        <v/>
      </c>
      <c r="AH3390" s="15" t="str">
        <f t="shared" si="2"/>
        <v/>
      </c>
      <c r="AI3390" s="17" t="str">
        <f>IF(AG3390="","",INDEX('Quitados DUPP'!$G$1:$G$6635,AG3390))</f>
        <v/>
      </c>
      <c r="AJ3390" s="17" t="str">
        <f t="shared" si="3"/>
        <v/>
      </c>
    </row>
    <row r="3391" spans="31:36">
      <c r="AE3391" s="15" t="str">
        <f t="shared" si="0"/>
        <v/>
      </c>
      <c r="AF3391" s="15" t="str">
        <f t="shared" si="1"/>
        <v/>
      </c>
      <c r="AG3391" s="15" t="str">
        <f>IF(OR(AF3391="",AF3391="ERRO_CHAVE"),"",IFERROR(MATCH(AF3391,'Quitados DUPP'!$U$1:$U$6635,0),""))</f>
        <v/>
      </c>
      <c r="AH3391" s="15" t="str">
        <f t="shared" si="2"/>
        <v/>
      </c>
      <c r="AI3391" s="17" t="str">
        <f>IF(AG3391="","",INDEX('Quitados DUPP'!$G$1:$G$6635,AG3391))</f>
        <v/>
      </c>
      <c r="AJ3391" s="17" t="str">
        <f t="shared" si="3"/>
        <v/>
      </c>
    </row>
    <row r="3392" spans="31:36">
      <c r="AE3392" s="15" t="str">
        <f t="shared" si="0"/>
        <v/>
      </c>
      <c r="AF3392" s="15" t="str">
        <f t="shared" si="1"/>
        <v/>
      </c>
      <c r="AG3392" s="15" t="str">
        <f>IF(OR(AF3392="",AF3392="ERRO_CHAVE"),"",IFERROR(MATCH(AF3392,'Quitados DUPP'!$U$1:$U$6635,0),""))</f>
        <v/>
      </c>
      <c r="AH3392" s="15" t="str">
        <f t="shared" si="2"/>
        <v/>
      </c>
      <c r="AI3392" s="17" t="str">
        <f>IF(AG3392="","",INDEX('Quitados DUPP'!$G$1:$G$6635,AG3392))</f>
        <v/>
      </c>
      <c r="AJ3392" s="17" t="str">
        <f t="shared" si="3"/>
        <v/>
      </c>
    </row>
    <row r="3393" spans="31:36">
      <c r="AE3393" s="15" t="str">
        <f t="shared" si="0"/>
        <v/>
      </c>
      <c r="AF3393" s="15" t="str">
        <f t="shared" si="1"/>
        <v/>
      </c>
      <c r="AG3393" s="15" t="str">
        <f>IF(OR(AF3393="",AF3393="ERRO_CHAVE"),"",IFERROR(MATCH(AF3393,'Quitados DUPP'!$U$1:$U$6635,0),""))</f>
        <v/>
      </c>
      <c r="AH3393" s="15" t="str">
        <f t="shared" si="2"/>
        <v/>
      </c>
      <c r="AI3393" s="17" t="str">
        <f>IF(AG3393="","",INDEX('Quitados DUPP'!$G$1:$G$6635,AG3393))</f>
        <v/>
      </c>
      <c r="AJ3393" s="17" t="str">
        <f t="shared" si="3"/>
        <v/>
      </c>
    </row>
    <row r="3394" spans="31:36">
      <c r="AE3394" s="15" t="str">
        <f t="shared" si="0"/>
        <v/>
      </c>
      <c r="AF3394" s="15" t="str">
        <f t="shared" si="1"/>
        <v/>
      </c>
      <c r="AG3394" s="15" t="str">
        <f>IF(OR(AF3394="",AF3394="ERRO_CHAVE"),"",IFERROR(MATCH(AF3394,'Quitados DUPP'!$U$1:$U$6635,0),""))</f>
        <v/>
      </c>
      <c r="AH3394" s="15" t="str">
        <f t="shared" si="2"/>
        <v/>
      </c>
      <c r="AI3394" s="17" t="str">
        <f>IF(AG3394="","",INDEX('Quitados DUPP'!$G$1:$G$6635,AG3394))</f>
        <v/>
      </c>
      <c r="AJ3394" s="17" t="str">
        <f t="shared" si="3"/>
        <v/>
      </c>
    </row>
    <row r="3395" spans="31:36">
      <c r="AE3395" s="15" t="str">
        <f t="shared" si="0"/>
        <v/>
      </c>
      <c r="AF3395" s="15" t="str">
        <f t="shared" si="1"/>
        <v/>
      </c>
      <c r="AG3395" s="15" t="str">
        <f>IF(OR(AF3395="",AF3395="ERRO_CHAVE"),"",IFERROR(MATCH(AF3395,'Quitados DUPP'!$U$1:$U$6635,0),""))</f>
        <v/>
      </c>
      <c r="AH3395" s="15" t="str">
        <f t="shared" si="2"/>
        <v/>
      </c>
      <c r="AI3395" s="17" t="str">
        <f>IF(AG3395="","",INDEX('Quitados DUPP'!$G$1:$G$6635,AG3395))</f>
        <v/>
      </c>
      <c r="AJ3395" s="17" t="str">
        <f t="shared" si="3"/>
        <v/>
      </c>
    </row>
    <row r="3396" spans="31:36">
      <c r="AE3396" s="15" t="str">
        <f t="shared" si="0"/>
        <v/>
      </c>
      <c r="AF3396" s="15" t="str">
        <f t="shared" si="1"/>
        <v/>
      </c>
      <c r="AG3396" s="15" t="str">
        <f>IF(OR(AF3396="",AF3396="ERRO_CHAVE"),"",IFERROR(MATCH(AF3396,'Quitados DUPP'!$U$1:$U$6635,0),""))</f>
        <v/>
      </c>
      <c r="AH3396" s="15" t="str">
        <f t="shared" si="2"/>
        <v/>
      </c>
      <c r="AI3396" s="17" t="str">
        <f>IF(AG3396="","",INDEX('Quitados DUPP'!$G$1:$G$6635,AG3396))</f>
        <v/>
      </c>
      <c r="AJ3396" s="17" t="str">
        <f t="shared" si="3"/>
        <v/>
      </c>
    </row>
    <row r="3397" spans="31:36">
      <c r="AE3397" s="15" t="str">
        <f t="shared" si="0"/>
        <v/>
      </c>
      <c r="AF3397" s="15" t="str">
        <f t="shared" si="1"/>
        <v/>
      </c>
      <c r="AG3397" s="15" t="str">
        <f>IF(OR(AF3397="",AF3397="ERRO_CHAVE"),"",IFERROR(MATCH(AF3397,'Quitados DUPP'!$U$1:$U$6635,0),""))</f>
        <v/>
      </c>
      <c r="AH3397" s="15" t="str">
        <f t="shared" si="2"/>
        <v/>
      </c>
      <c r="AI3397" s="17" t="str">
        <f>IF(AG3397="","",INDEX('Quitados DUPP'!$G$1:$G$6635,AG3397))</f>
        <v/>
      </c>
      <c r="AJ3397" s="17" t="str">
        <f t="shared" si="3"/>
        <v/>
      </c>
    </row>
    <row r="3398" spans="31:36">
      <c r="AE3398" s="15" t="str">
        <f t="shared" si="0"/>
        <v/>
      </c>
      <c r="AF3398" s="15" t="str">
        <f t="shared" si="1"/>
        <v/>
      </c>
      <c r="AG3398" s="15" t="str">
        <f>IF(OR(AF3398="",AF3398="ERRO_CHAVE"),"",IFERROR(MATCH(AF3398,'Quitados DUPP'!$U$1:$U$6635,0),""))</f>
        <v/>
      </c>
      <c r="AH3398" s="15" t="str">
        <f t="shared" si="2"/>
        <v/>
      </c>
      <c r="AI3398" s="17" t="str">
        <f>IF(AG3398="","",INDEX('Quitados DUPP'!$G$1:$G$6635,AG3398))</f>
        <v/>
      </c>
      <c r="AJ3398" s="17" t="str">
        <f t="shared" si="3"/>
        <v/>
      </c>
    </row>
    <row r="3399" spans="31:36">
      <c r="AE3399" s="15" t="str">
        <f t="shared" si="0"/>
        <v/>
      </c>
      <c r="AF3399" s="15" t="str">
        <f t="shared" si="1"/>
        <v/>
      </c>
      <c r="AG3399" s="15" t="str">
        <f>IF(OR(AF3399="",AF3399="ERRO_CHAVE"),"",IFERROR(MATCH(AF3399,'Quitados DUPP'!$U$1:$U$6635,0),""))</f>
        <v/>
      </c>
      <c r="AH3399" s="15" t="str">
        <f t="shared" si="2"/>
        <v/>
      </c>
      <c r="AI3399" s="17" t="str">
        <f>IF(AG3399="","",INDEX('Quitados DUPP'!$G$1:$G$6635,AG3399))</f>
        <v/>
      </c>
      <c r="AJ3399" s="17" t="str">
        <f t="shared" si="3"/>
        <v/>
      </c>
    </row>
    <row r="3400" spans="31:36">
      <c r="AE3400" s="15" t="str">
        <f t="shared" si="0"/>
        <v/>
      </c>
      <c r="AF3400" s="15" t="str">
        <f t="shared" si="1"/>
        <v/>
      </c>
      <c r="AG3400" s="15" t="str">
        <f>IF(OR(AF3400="",AF3400="ERRO_CHAVE"),"",IFERROR(MATCH(AF3400,'Quitados DUPP'!$U$1:$U$6635,0),""))</f>
        <v/>
      </c>
      <c r="AH3400" s="15" t="str">
        <f t="shared" si="2"/>
        <v/>
      </c>
      <c r="AI3400" s="17" t="str">
        <f>IF(AG3400="","",INDEX('Quitados DUPP'!$G$1:$G$6635,AG3400))</f>
        <v/>
      </c>
      <c r="AJ3400" s="17" t="str">
        <f t="shared" si="3"/>
        <v/>
      </c>
    </row>
    <row r="3401" spans="31:36">
      <c r="AE3401" s="15" t="str">
        <f t="shared" si="0"/>
        <v/>
      </c>
      <c r="AF3401" s="15" t="str">
        <f t="shared" si="1"/>
        <v/>
      </c>
      <c r="AG3401" s="15" t="str">
        <f>IF(OR(AF3401="",AF3401="ERRO_CHAVE"),"",IFERROR(MATCH(AF3401,'Quitados DUPP'!$U$1:$U$6635,0),""))</f>
        <v/>
      </c>
      <c r="AH3401" s="15" t="str">
        <f t="shared" si="2"/>
        <v/>
      </c>
      <c r="AI3401" s="17" t="str">
        <f>IF(AG3401="","",INDEX('Quitados DUPP'!$G$1:$G$6635,AG3401))</f>
        <v/>
      </c>
      <c r="AJ3401" s="17" t="str">
        <f t="shared" si="3"/>
        <v/>
      </c>
    </row>
    <row r="3402" spans="31:36">
      <c r="AE3402" s="15" t="str">
        <f t="shared" si="0"/>
        <v/>
      </c>
      <c r="AF3402" s="15" t="str">
        <f t="shared" si="1"/>
        <v/>
      </c>
      <c r="AG3402" s="15" t="str">
        <f>IF(OR(AF3402="",AF3402="ERRO_CHAVE"),"",IFERROR(MATCH(AF3402,'Quitados DUPP'!$U$1:$U$6635,0),""))</f>
        <v/>
      </c>
      <c r="AH3402" s="15" t="str">
        <f t="shared" si="2"/>
        <v/>
      </c>
      <c r="AI3402" s="17" t="str">
        <f>IF(AG3402="","",INDEX('Quitados DUPP'!$G$1:$G$6635,AG3402))</f>
        <v/>
      </c>
      <c r="AJ3402" s="17" t="str">
        <f t="shared" si="3"/>
        <v/>
      </c>
    </row>
    <row r="3403" spans="31:36">
      <c r="AE3403" s="15" t="str">
        <f t="shared" si="0"/>
        <v/>
      </c>
      <c r="AF3403" s="15" t="str">
        <f t="shared" si="1"/>
        <v/>
      </c>
      <c r="AG3403" s="15" t="str">
        <f>IF(OR(AF3403="",AF3403="ERRO_CHAVE"),"",IFERROR(MATCH(AF3403,'Quitados DUPP'!$U$1:$U$6635,0),""))</f>
        <v/>
      </c>
      <c r="AH3403" s="15" t="str">
        <f t="shared" si="2"/>
        <v/>
      </c>
      <c r="AI3403" s="17" t="str">
        <f>IF(AG3403="","",INDEX('Quitados DUPP'!$G$1:$G$6635,AG3403))</f>
        <v/>
      </c>
      <c r="AJ3403" s="17" t="str">
        <f t="shared" si="3"/>
        <v/>
      </c>
    </row>
    <row r="3404" spans="31:36">
      <c r="AE3404" s="15" t="str">
        <f t="shared" si="0"/>
        <v/>
      </c>
      <c r="AF3404" s="15" t="str">
        <f t="shared" si="1"/>
        <v/>
      </c>
      <c r="AG3404" s="15" t="str">
        <f>IF(OR(AF3404="",AF3404="ERRO_CHAVE"),"",IFERROR(MATCH(AF3404,'Quitados DUPP'!$U$1:$U$6635,0),""))</f>
        <v/>
      </c>
      <c r="AH3404" s="15" t="str">
        <f t="shared" si="2"/>
        <v/>
      </c>
      <c r="AI3404" s="17" t="str">
        <f>IF(AG3404="","",INDEX('Quitados DUPP'!$G$1:$G$6635,AG3404))</f>
        <v/>
      </c>
      <c r="AJ3404" s="17" t="str">
        <f t="shared" si="3"/>
        <v/>
      </c>
    </row>
    <row r="3405" spans="31:36">
      <c r="AE3405" s="15" t="str">
        <f t="shared" si="0"/>
        <v/>
      </c>
      <c r="AF3405" s="15" t="str">
        <f t="shared" si="1"/>
        <v/>
      </c>
      <c r="AG3405" s="15" t="str">
        <f>IF(OR(AF3405="",AF3405="ERRO_CHAVE"),"",IFERROR(MATCH(AF3405,'Quitados DUPP'!$U$1:$U$6635,0),""))</f>
        <v/>
      </c>
      <c r="AH3405" s="15" t="str">
        <f t="shared" si="2"/>
        <v/>
      </c>
      <c r="AI3405" s="17" t="str">
        <f>IF(AG3405="","",INDEX('Quitados DUPP'!$G$1:$G$6635,AG3405))</f>
        <v/>
      </c>
      <c r="AJ3405" s="17" t="str">
        <f t="shared" si="3"/>
        <v/>
      </c>
    </row>
    <row r="3406" spans="31:36">
      <c r="AE3406" s="15" t="str">
        <f t="shared" si="0"/>
        <v/>
      </c>
      <c r="AF3406" s="15" t="str">
        <f t="shared" si="1"/>
        <v/>
      </c>
      <c r="AG3406" s="15" t="str">
        <f>IF(OR(AF3406="",AF3406="ERRO_CHAVE"),"",IFERROR(MATCH(AF3406,'Quitados DUPP'!$U$1:$U$6635,0),""))</f>
        <v/>
      </c>
      <c r="AH3406" s="15" t="str">
        <f t="shared" si="2"/>
        <v/>
      </c>
      <c r="AI3406" s="17" t="str">
        <f>IF(AG3406="","",INDEX('Quitados DUPP'!$G$1:$G$6635,AG3406))</f>
        <v/>
      </c>
      <c r="AJ3406" s="17" t="str">
        <f t="shared" si="3"/>
        <v/>
      </c>
    </row>
    <row r="3407" spans="31:36">
      <c r="AE3407" s="15" t="str">
        <f t="shared" si="0"/>
        <v/>
      </c>
      <c r="AF3407" s="15" t="str">
        <f t="shared" si="1"/>
        <v/>
      </c>
      <c r="AG3407" s="15" t="str">
        <f>IF(OR(AF3407="",AF3407="ERRO_CHAVE"),"",IFERROR(MATCH(AF3407,'Quitados DUPP'!$U$1:$U$6635,0),""))</f>
        <v/>
      </c>
      <c r="AH3407" s="15" t="str">
        <f t="shared" si="2"/>
        <v/>
      </c>
      <c r="AI3407" s="17" t="str">
        <f>IF(AG3407="","",INDEX('Quitados DUPP'!$G$1:$G$6635,AG3407))</f>
        <v/>
      </c>
      <c r="AJ3407" s="17" t="str">
        <f t="shared" si="3"/>
        <v/>
      </c>
    </row>
    <row r="3408" spans="31:36">
      <c r="AE3408" s="15" t="str">
        <f t="shared" si="0"/>
        <v/>
      </c>
      <c r="AF3408" s="15" t="str">
        <f t="shared" si="1"/>
        <v/>
      </c>
      <c r="AG3408" s="15" t="str">
        <f>IF(OR(AF3408="",AF3408="ERRO_CHAVE"),"",IFERROR(MATCH(AF3408,'Quitados DUPP'!$U$1:$U$6635,0),""))</f>
        <v/>
      </c>
      <c r="AH3408" s="15" t="str">
        <f t="shared" si="2"/>
        <v/>
      </c>
      <c r="AI3408" s="17" t="str">
        <f>IF(AG3408="","",INDEX('Quitados DUPP'!$G$1:$G$6635,AG3408))</f>
        <v/>
      </c>
      <c r="AJ3408" s="17" t="str">
        <f t="shared" si="3"/>
        <v/>
      </c>
    </row>
    <row r="3409" spans="31:36">
      <c r="AE3409" s="15" t="str">
        <f t="shared" si="0"/>
        <v/>
      </c>
      <c r="AF3409" s="15" t="str">
        <f t="shared" si="1"/>
        <v/>
      </c>
      <c r="AG3409" s="15" t="str">
        <f>IF(OR(AF3409="",AF3409="ERRO_CHAVE"),"",IFERROR(MATCH(AF3409,'Quitados DUPP'!$U$1:$U$6635,0),""))</f>
        <v/>
      </c>
      <c r="AH3409" s="15" t="str">
        <f t="shared" si="2"/>
        <v/>
      </c>
      <c r="AI3409" s="17" t="str">
        <f>IF(AG3409="","",INDEX('Quitados DUPP'!$G$1:$G$6635,AG3409))</f>
        <v/>
      </c>
      <c r="AJ3409" s="17" t="str">
        <f t="shared" si="3"/>
        <v/>
      </c>
    </row>
    <row r="3410" spans="31:36">
      <c r="AE3410" s="15" t="str">
        <f t="shared" si="0"/>
        <v/>
      </c>
      <c r="AF3410" s="15" t="str">
        <f t="shared" si="1"/>
        <v/>
      </c>
      <c r="AG3410" s="15" t="str">
        <f>IF(OR(AF3410="",AF3410="ERRO_CHAVE"),"",IFERROR(MATCH(AF3410,'Quitados DUPP'!$U$1:$U$6635,0),""))</f>
        <v/>
      </c>
      <c r="AH3410" s="15" t="str">
        <f t="shared" si="2"/>
        <v/>
      </c>
      <c r="AI3410" s="17" t="str">
        <f>IF(AG3410="","",INDEX('Quitados DUPP'!$G$1:$G$6635,AG3410))</f>
        <v/>
      </c>
      <c r="AJ3410" s="17" t="str">
        <f t="shared" si="3"/>
        <v/>
      </c>
    </row>
    <row r="3411" spans="31:36">
      <c r="AE3411" s="15" t="str">
        <f t="shared" si="0"/>
        <v/>
      </c>
      <c r="AF3411" s="15" t="str">
        <f t="shared" si="1"/>
        <v/>
      </c>
      <c r="AG3411" s="15" t="str">
        <f>IF(OR(AF3411="",AF3411="ERRO_CHAVE"),"",IFERROR(MATCH(AF3411,'Quitados DUPP'!$U$1:$U$6635,0),""))</f>
        <v/>
      </c>
      <c r="AH3411" s="15" t="str">
        <f t="shared" si="2"/>
        <v/>
      </c>
      <c r="AI3411" s="17" t="str">
        <f>IF(AG3411="","",INDEX('Quitados DUPP'!$G$1:$G$6635,AG3411))</f>
        <v/>
      </c>
      <c r="AJ3411" s="17" t="str">
        <f t="shared" si="3"/>
        <v/>
      </c>
    </row>
    <row r="3412" spans="31:36">
      <c r="AE3412" s="15" t="str">
        <f t="shared" si="0"/>
        <v/>
      </c>
      <c r="AF3412" s="15" t="str">
        <f t="shared" si="1"/>
        <v/>
      </c>
      <c r="AG3412" s="15" t="str">
        <f>IF(OR(AF3412="",AF3412="ERRO_CHAVE"),"",IFERROR(MATCH(AF3412,'Quitados DUPP'!$U$1:$U$6635,0),""))</f>
        <v/>
      </c>
      <c r="AH3412" s="15" t="str">
        <f t="shared" si="2"/>
        <v/>
      </c>
      <c r="AI3412" s="17" t="str">
        <f>IF(AG3412="","",INDEX('Quitados DUPP'!$G$1:$G$6635,AG3412))</f>
        <v/>
      </c>
      <c r="AJ3412" s="17" t="str">
        <f t="shared" si="3"/>
        <v/>
      </c>
    </row>
    <row r="3413" spans="31:36">
      <c r="AE3413" s="15" t="str">
        <f t="shared" si="0"/>
        <v/>
      </c>
      <c r="AF3413" s="15" t="str">
        <f t="shared" si="1"/>
        <v/>
      </c>
      <c r="AG3413" s="15" t="str">
        <f>IF(OR(AF3413="",AF3413="ERRO_CHAVE"),"",IFERROR(MATCH(AF3413,'Quitados DUPP'!$U$1:$U$6635,0),""))</f>
        <v/>
      </c>
      <c r="AH3413" s="15" t="str">
        <f t="shared" si="2"/>
        <v/>
      </c>
      <c r="AI3413" s="17" t="str">
        <f>IF(AG3413="","",INDEX('Quitados DUPP'!$G$1:$G$6635,AG3413))</f>
        <v/>
      </c>
      <c r="AJ3413" s="17" t="str">
        <f t="shared" si="3"/>
        <v/>
      </c>
    </row>
    <row r="3414" spans="31:36">
      <c r="AE3414" s="15" t="str">
        <f t="shared" si="0"/>
        <v/>
      </c>
      <c r="AF3414" s="15" t="str">
        <f t="shared" si="1"/>
        <v/>
      </c>
      <c r="AG3414" s="15" t="str">
        <f>IF(OR(AF3414="",AF3414="ERRO_CHAVE"),"",IFERROR(MATCH(AF3414,'Quitados DUPP'!$U$1:$U$6635,0),""))</f>
        <v/>
      </c>
      <c r="AH3414" s="15" t="str">
        <f t="shared" si="2"/>
        <v/>
      </c>
      <c r="AI3414" s="17" t="str">
        <f>IF(AG3414="","",INDEX('Quitados DUPP'!$G$1:$G$6635,AG3414))</f>
        <v/>
      </c>
      <c r="AJ3414" s="17" t="str">
        <f t="shared" si="3"/>
        <v/>
      </c>
    </row>
    <row r="3415" spans="31:36">
      <c r="AE3415" s="15" t="str">
        <f t="shared" si="0"/>
        <v/>
      </c>
      <c r="AF3415" s="15" t="str">
        <f t="shared" si="1"/>
        <v/>
      </c>
      <c r="AG3415" s="15" t="str">
        <f>IF(OR(AF3415="",AF3415="ERRO_CHAVE"),"",IFERROR(MATCH(AF3415,'Quitados DUPP'!$U$1:$U$6635,0),""))</f>
        <v/>
      </c>
      <c r="AH3415" s="15" t="str">
        <f t="shared" si="2"/>
        <v/>
      </c>
      <c r="AI3415" s="17" t="str">
        <f>IF(AG3415="","",INDEX('Quitados DUPP'!$G$1:$G$6635,AG3415))</f>
        <v/>
      </c>
      <c r="AJ3415" s="17" t="str">
        <f t="shared" si="3"/>
        <v/>
      </c>
    </row>
    <row r="3416" spans="31:36">
      <c r="AE3416" s="15" t="str">
        <f t="shared" si="0"/>
        <v/>
      </c>
      <c r="AF3416" s="15" t="str">
        <f t="shared" si="1"/>
        <v/>
      </c>
      <c r="AG3416" s="15" t="str">
        <f>IF(OR(AF3416="",AF3416="ERRO_CHAVE"),"",IFERROR(MATCH(AF3416,'Quitados DUPP'!$U$1:$U$6635,0),""))</f>
        <v/>
      </c>
      <c r="AH3416" s="15" t="str">
        <f t="shared" si="2"/>
        <v/>
      </c>
      <c r="AI3416" s="17" t="str">
        <f>IF(AG3416="","",INDEX('Quitados DUPP'!$G$1:$G$6635,AG3416))</f>
        <v/>
      </c>
      <c r="AJ3416" s="17" t="str">
        <f t="shared" si="3"/>
        <v/>
      </c>
    </row>
    <row r="3417" spans="31:36">
      <c r="AE3417" s="15" t="str">
        <f t="shared" si="0"/>
        <v/>
      </c>
      <c r="AF3417" s="15" t="str">
        <f t="shared" si="1"/>
        <v/>
      </c>
      <c r="AG3417" s="15" t="str">
        <f>IF(OR(AF3417="",AF3417="ERRO_CHAVE"),"",IFERROR(MATCH(AF3417,'Quitados DUPP'!$U$1:$U$6635,0),""))</f>
        <v/>
      </c>
      <c r="AH3417" s="15" t="str">
        <f t="shared" si="2"/>
        <v/>
      </c>
      <c r="AI3417" s="17" t="str">
        <f>IF(AG3417="","",INDEX('Quitados DUPP'!$G$1:$G$6635,AG3417))</f>
        <v/>
      </c>
      <c r="AJ3417" s="17" t="str">
        <f t="shared" si="3"/>
        <v/>
      </c>
    </row>
    <row r="3418" spans="31:36">
      <c r="AE3418" s="15" t="str">
        <f t="shared" si="0"/>
        <v/>
      </c>
      <c r="AF3418" s="15" t="str">
        <f t="shared" si="1"/>
        <v/>
      </c>
      <c r="AG3418" s="15" t="str">
        <f>IF(OR(AF3418="",AF3418="ERRO_CHAVE"),"",IFERROR(MATCH(AF3418,'Quitados DUPP'!$U$1:$U$6635,0),""))</f>
        <v/>
      </c>
      <c r="AH3418" s="15" t="str">
        <f t="shared" si="2"/>
        <v/>
      </c>
      <c r="AI3418" s="17" t="str">
        <f>IF(AG3418="","",INDEX('Quitados DUPP'!$G$1:$G$6635,AG3418))</f>
        <v/>
      </c>
      <c r="AJ3418" s="17" t="str">
        <f t="shared" si="3"/>
        <v/>
      </c>
    </row>
    <row r="3419" spans="31:36">
      <c r="AE3419" s="15" t="str">
        <f t="shared" si="0"/>
        <v/>
      </c>
      <c r="AF3419" s="15" t="str">
        <f t="shared" si="1"/>
        <v/>
      </c>
      <c r="AG3419" s="15" t="str">
        <f>IF(OR(AF3419="",AF3419="ERRO_CHAVE"),"",IFERROR(MATCH(AF3419,'Quitados DUPP'!$U$1:$U$6635,0),""))</f>
        <v/>
      </c>
      <c r="AH3419" s="15" t="str">
        <f t="shared" si="2"/>
        <v/>
      </c>
      <c r="AI3419" s="17" t="str">
        <f>IF(AG3419="","",INDEX('Quitados DUPP'!$G$1:$G$6635,AG3419))</f>
        <v/>
      </c>
      <c r="AJ3419" s="17" t="str">
        <f t="shared" si="3"/>
        <v/>
      </c>
    </row>
    <row r="3420" spans="31:36">
      <c r="AE3420" s="15" t="str">
        <f t="shared" si="0"/>
        <v/>
      </c>
      <c r="AF3420" s="15" t="str">
        <f t="shared" si="1"/>
        <v/>
      </c>
      <c r="AG3420" s="15" t="str">
        <f>IF(OR(AF3420="",AF3420="ERRO_CHAVE"),"",IFERROR(MATCH(AF3420,'Quitados DUPP'!$U$1:$U$6635,0),""))</f>
        <v/>
      </c>
      <c r="AH3420" s="15" t="str">
        <f t="shared" si="2"/>
        <v/>
      </c>
      <c r="AI3420" s="17" t="str">
        <f>IF(AG3420="","",INDEX('Quitados DUPP'!$G$1:$G$6635,AG3420))</f>
        <v/>
      </c>
      <c r="AJ3420" s="17" t="str">
        <f t="shared" si="3"/>
        <v/>
      </c>
    </row>
    <row r="3421" spans="31:36">
      <c r="AE3421" s="15" t="str">
        <f t="shared" si="0"/>
        <v/>
      </c>
      <c r="AF3421" s="15" t="str">
        <f t="shared" si="1"/>
        <v/>
      </c>
      <c r="AG3421" s="15" t="str">
        <f>IF(OR(AF3421="",AF3421="ERRO_CHAVE"),"",IFERROR(MATCH(AF3421,'Quitados DUPP'!$U$1:$U$6635,0),""))</f>
        <v/>
      </c>
      <c r="AH3421" s="15" t="str">
        <f t="shared" si="2"/>
        <v/>
      </c>
      <c r="AI3421" s="17" t="str">
        <f>IF(AG3421="","",INDEX('Quitados DUPP'!$G$1:$G$6635,AG3421))</f>
        <v/>
      </c>
      <c r="AJ3421" s="17" t="str">
        <f t="shared" si="3"/>
        <v/>
      </c>
    </row>
    <row r="3422" spans="31:36">
      <c r="AE3422" s="15" t="str">
        <f t="shared" si="0"/>
        <v/>
      </c>
      <c r="AF3422" s="15" t="str">
        <f t="shared" si="1"/>
        <v/>
      </c>
      <c r="AG3422" s="15" t="str">
        <f>IF(OR(AF3422="",AF3422="ERRO_CHAVE"),"",IFERROR(MATCH(AF3422,'Quitados DUPP'!$U$1:$U$6635,0),""))</f>
        <v/>
      </c>
      <c r="AH3422" s="15" t="str">
        <f t="shared" si="2"/>
        <v/>
      </c>
      <c r="AI3422" s="17" t="str">
        <f>IF(AG3422="","",INDEX('Quitados DUPP'!$G$1:$G$6635,AG3422))</f>
        <v/>
      </c>
      <c r="AJ3422" s="17" t="str">
        <f t="shared" si="3"/>
        <v/>
      </c>
    </row>
    <row r="3423" spans="31:36">
      <c r="AE3423" s="15" t="str">
        <f t="shared" si="0"/>
        <v/>
      </c>
      <c r="AF3423" s="15" t="str">
        <f t="shared" si="1"/>
        <v/>
      </c>
      <c r="AG3423" s="15" t="str">
        <f>IF(OR(AF3423="",AF3423="ERRO_CHAVE"),"",IFERROR(MATCH(AF3423,'Quitados DUPP'!$U$1:$U$6635,0),""))</f>
        <v/>
      </c>
      <c r="AH3423" s="15" t="str">
        <f t="shared" si="2"/>
        <v/>
      </c>
      <c r="AI3423" s="17" t="str">
        <f>IF(AG3423="","",INDEX('Quitados DUPP'!$G$1:$G$6635,AG3423))</f>
        <v/>
      </c>
      <c r="AJ3423" s="17" t="str">
        <f t="shared" si="3"/>
        <v/>
      </c>
    </row>
    <row r="3424" spans="31:36">
      <c r="AE3424" s="15" t="str">
        <f t="shared" si="0"/>
        <v/>
      </c>
      <c r="AF3424" s="15" t="str">
        <f t="shared" si="1"/>
        <v/>
      </c>
      <c r="AG3424" s="15" t="str">
        <f>IF(OR(AF3424="",AF3424="ERRO_CHAVE"),"",IFERROR(MATCH(AF3424,'Quitados DUPP'!$U$1:$U$6635,0),""))</f>
        <v/>
      </c>
      <c r="AH3424" s="15" t="str">
        <f t="shared" si="2"/>
        <v/>
      </c>
      <c r="AI3424" s="17" t="str">
        <f>IF(AG3424="","",INDEX('Quitados DUPP'!$G$1:$G$6635,AG3424))</f>
        <v/>
      </c>
      <c r="AJ3424" s="17" t="str">
        <f t="shared" si="3"/>
        <v/>
      </c>
    </row>
    <row r="3425" spans="31:36">
      <c r="AE3425" s="15" t="str">
        <f t="shared" si="0"/>
        <v/>
      </c>
      <c r="AF3425" s="15" t="str">
        <f t="shared" si="1"/>
        <v/>
      </c>
      <c r="AG3425" s="15" t="str">
        <f>IF(OR(AF3425="",AF3425="ERRO_CHAVE"),"",IFERROR(MATCH(AF3425,'Quitados DUPP'!$U$1:$U$6635,0),""))</f>
        <v/>
      </c>
      <c r="AH3425" s="15" t="str">
        <f t="shared" si="2"/>
        <v/>
      </c>
      <c r="AI3425" s="17" t="str">
        <f>IF(AG3425="","",INDEX('Quitados DUPP'!$G$1:$G$6635,AG3425))</f>
        <v/>
      </c>
      <c r="AJ3425" s="17" t="str">
        <f t="shared" si="3"/>
        <v/>
      </c>
    </row>
    <row r="3426" spans="31:36">
      <c r="AE3426" s="15" t="str">
        <f t="shared" si="0"/>
        <v/>
      </c>
      <c r="AF3426" s="15" t="str">
        <f t="shared" si="1"/>
        <v/>
      </c>
      <c r="AG3426" s="15" t="str">
        <f>IF(OR(AF3426="",AF3426="ERRO_CHAVE"),"",IFERROR(MATCH(AF3426,'Quitados DUPP'!$U$1:$U$6635,0),""))</f>
        <v/>
      </c>
      <c r="AH3426" s="15" t="str">
        <f t="shared" si="2"/>
        <v/>
      </c>
      <c r="AI3426" s="17" t="str">
        <f>IF(AG3426="","",INDEX('Quitados DUPP'!$G$1:$G$6635,AG3426))</f>
        <v/>
      </c>
      <c r="AJ3426" s="17" t="str">
        <f t="shared" si="3"/>
        <v/>
      </c>
    </row>
    <row r="3427" spans="31:36">
      <c r="AE3427" s="15" t="str">
        <f t="shared" si="0"/>
        <v/>
      </c>
      <c r="AF3427" s="15" t="str">
        <f t="shared" si="1"/>
        <v/>
      </c>
      <c r="AG3427" s="15" t="str">
        <f>IF(OR(AF3427="",AF3427="ERRO_CHAVE"),"",IFERROR(MATCH(AF3427,'Quitados DUPP'!$U$1:$U$6635,0),""))</f>
        <v/>
      </c>
      <c r="AH3427" s="15" t="str">
        <f t="shared" si="2"/>
        <v/>
      </c>
      <c r="AI3427" s="17" t="str">
        <f>IF(AG3427="","",INDEX('Quitados DUPP'!$G$1:$G$6635,AG3427))</f>
        <v/>
      </c>
      <c r="AJ3427" s="17" t="str">
        <f t="shared" si="3"/>
        <v/>
      </c>
    </row>
    <row r="3428" spans="31:36">
      <c r="AE3428" s="15" t="str">
        <f t="shared" si="0"/>
        <v/>
      </c>
      <c r="AF3428" s="15" t="str">
        <f t="shared" si="1"/>
        <v/>
      </c>
      <c r="AG3428" s="15" t="str">
        <f>IF(OR(AF3428="",AF3428="ERRO_CHAVE"),"",IFERROR(MATCH(AF3428,'Quitados DUPP'!$U$1:$U$6635,0),""))</f>
        <v/>
      </c>
      <c r="AH3428" s="15" t="str">
        <f t="shared" si="2"/>
        <v/>
      </c>
      <c r="AI3428" s="17" t="str">
        <f>IF(AG3428="","",INDEX('Quitados DUPP'!$G$1:$G$6635,AG3428))</f>
        <v/>
      </c>
      <c r="AJ3428" s="17" t="str">
        <f t="shared" si="3"/>
        <v/>
      </c>
    </row>
    <row r="3429" spans="31:36">
      <c r="AE3429" s="15" t="str">
        <f t="shared" si="0"/>
        <v/>
      </c>
      <c r="AF3429" s="15" t="str">
        <f t="shared" si="1"/>
        <v/>
      </c>
      <c r="AG3429" s="15" t="str">
        <f>IF(OR(AF3429="",AF3429="ERRO_CHAVE"),"",IFERROR(MATCH(AF3429,'Quitados DUPP'!$U$1:$U$6635,0),""))</f>
        <v/>
      </c>
      <c r="AH3429" s="15" t="str">
        <f t="shared" si="2"/>
        <v/>
      </c>
      <c r="AI3429" s="17" t="str">
        <f>IF(AG3429="","",INDEX('Quitados DUPP'!$G$1:$G$6635,AG3429))</f>
        <v/>
      </c>
      <c r="AJ3429" s="17" t="str">
        <f t="shared" si="3"/>
        <v/>
      </c>
    </row>
    <row r="3430" spans="31:36">
      <c r="AE3430" s="15" t="str">
        <f t="shared" si="0"/>
        <v/>
      </c>
      <c r="AF3430" s="15" t="str">
        <f t="shared" si="1"/>
        <v/>
      </c>
      <c r="AG3430" s="15" t="str">
        <f>IF(OR(AF3430="",AF3430="ERRO_CHAVE"),"",IFERROR(MATCH(AF3430,'Quitados DUPP'!$U$1:$U$6635,0),""))</f>
        <v/>
      </c>
      <c r="AH3430" s="15" t="str">
        <f t="shared" si="2"/>
        <v/>
      </c>
      <c r="AI3430" s="17" t="str">
        <f>IF(AG3430="","",INDEX('Quitados DUPP'!$G$1:$G$6635,AG3430))</f>
        <v/>
      </c>
      <c r="AJ3430" s="17" t="str">
        <f t="shared" si="3"/>
        <v/>
      </c>
    </row>
    <row r="3431" spans="31:36">
      <c r="AE3431" s="15" t="str">
        <f t="shared" si="0"/>
        <v/>
      </c>
      <c r="AF3431" s="15" t="str">
        <f t="shared" si="1"/>
        <v/>
      </c>
      <c r="AG3431" s="15" t="str">
        <f>IF(OR(AF3431="",AF3431="ERRO_CHAVE"),"",IFERROR(MATCH(AF3431,'Quitados DUPP'!$U$1:$U$6635,0),""))</f>
        <v/>
      </c>
      <c r="AH3431" s="15" t="str">
        <f t="shared" si="2"/>
        <v/>
      </c>
      <c r="AI3431" s="17" t="str">
        <f>IF(AG3431="","",INDEX('Quitados DUPP'!$G$1:$G$6635,AG3431))</f>
        <v/>
      </c>
      <c r="AJ3431" s="17" t="str">
        <f t="shared" si="3"/>
        <v/>
      </c>
    </row>
    <row r="3432" spans="31:36">
      <c r="AE3432" s="15" t="str">
        <f t="shared" si="0"/>
        <v/>
      </c>
      <c r="AF3432" s="15" t="str">
        <f t="shared" si="1"/>
        <v/>
      </c>
      <c r="AG3432" s="15" t="str">
        <f>IF(OR(AF3432="",AF3432="ERRO_CHAVE"),"",IFERROR(MATCH(AF3432,'Quitados DUPP'!$U$1:$U$6635,0),""))</f>
        <v/>
      </c>
      <c r="AH3432" s="15" t="str">
        <f t="shared" si="2"/>
        <v/>
      </c>
      <c r="AI3432" s="17" t="str">
        <f>IF(AG3432="","",INDEX('Quitados DUPP'!$G$1:$G$6635,AG3432))</f>
        <v/>
      </c>
      <c r="AJ3432" s="17" t="str">
        <f t="shared" si="3"/>
        <v/>
      </c>
    </row>
    <row r="3433" spans="31:36">
      <c r="AE3433" s="15" t="str">
        <f t="shared" si="0"/>
        <v/>
      </c>
      <c r="AF3433" s="15" t="str">
        <f t="shared" si="1"/>
        <v/>
      </c>
      <c r="AG3433" s="15" t="str">
        <f>IF(OR(AF3433="",AF3433="ERRO_CHAVE"),"",IFERROR(MATCH(AF3433,'Quitados DUPP'!$U$1:$U$6635,0),""))</f>
        <v/>
      </c>
      <c r="AH3433" s="15" t="str">
        <f t="shared" si="2"/>
        <v/>
      </c>
      <c r="AI3433" s="17" t="str">
        <f>IF(AG3433="","",INDEX('Quitados DUPP'!$G$1:$G$6635,AG3433))</f>
        <v/>
      </c>
      <c r="AJ3433" s="17" t="str">
        <f t="shared" si="3"/>
        <v/>
      </c>
    </row>
    <row r="3434" spans="31:36">
      <c r="AE3434" s="15" t="str">
        <f t="shared" si="0"/>
        <v/>
      </c>
      <c r="AF3434" s="15" t="str">
        <f t="shared" si="1"/>
        <v/>
      </c>
      <c r="AG3434" s="15" t="str">
        <f>IF(OR(AF3434="",AF3434="ERRO_CHAVE"),"",IFERROR(MATCH(AF3434,'Quitados DUPP'!$U$1:$U$6635,0),""))</f>
        <v/>
      </c>
      <c r="AH3434" s="15" t="str">
        <f t="shared" si="2"/>
        <v/>
      </c>
      <c r="AI3434" s="17" t="str">
        <f>IF(AG3434="","",INDEX('Quitados DUPP'!$G$1:$G$6635,AG3434))</f>
        <v/>
      </c>
      <c r="AJ3434" s="17" t="str">
        <f t="shared" si="3"/>
        <v/>
      </c>
    </row>
    <row r="3435" spans="31:36">
      <c r="AE3435" s="15" t="str">
        <f t="shared" si="0"/>
        <v/>
      </c>
      <c r="AF3435" s="15" t="str">
        <f t="shared" si="1"/>
        <v/>
      </c>
      <c r="AG3435" s="15" t="str">
        <f>IF(OR(AF3435="",AF3435="ERRO_CHAVE"),"",IFERROR(MATCH(AF3435,'Quitados DUPP'!$U$1:$U$6635,0),""))</f>
        <v/>
      </c>
      <c r="AH3435" s="15" t="str">
        <f t="shared" si="2"/>
        <v/>
      </c>
      <c r="AI3435" s="17" t="str">
        <f>IF(AG3435="","",INDEX('Quitados DUPP'!$G$1:$G$6635,AG3435))</f>
        <v/>
      </c>
      <c r="AJ3435" s="17" t="str">
        <f t="shared" si="3"/>
        <v/>
      </c>
    </row>
    <row r="3436" spans="31:36">
      <c r="AE3436" s="15" t="str">
        <f t="shared" si="0"/>
        <v/>
      </c>
      <c r="AF3436" s="15" t="str">
        <f t="shared" si="1"/>
        <v/>
      </c>
      <c r="AG3436" s="15" t="str">
        <f>IF(OR(AF3436="",AF3436="ERRO_CHAVE"),"",IFERROR(MATCH(AF3436,'Quitados DUPP'!$U$1:$U$6635,0),""))</f>
        <v/>
      </c>
      <c r="AH3436" s="15" t="str">
        <f t="shared" si="2"/>
        <v/>
      </c>
      <c r="AI3436" s="17" t="str">
        <f>IF(AG3436="","",INDEX('Quitados DUPP'!$G$1:$G$6635,AG3436))</f>
        <v/>
      </c>
      <c r="AJ3436" s="17" t="str">
        <f t="shared" si="3"/>
        <v/>
      </c>
    </row>
    <row r="3437" spans="31:36">
      <c r="AE3437" s="15" t="str">
        <f t="shared" si="0"/>
        <v/>
      </c>
      <c r="AF3437" s="15" t="str">
        <f t="shared" si="1"/>
        <v/>
      </c>
      <c r="AG3437" s="15" t="str">
        <f>IF(OR(AF3437="",AF3437="ERRO_CHAVE"),"",IFERROR(MATCH(AF3437,'Quitados DUPP'!$U$1:$U$6635,0),""))</f>
        <v/>
      </c>
      <c r="AH3437" s="15" t="str">
        <f t="shared" si="2"/>
        <v/>
      </c>
      <c r="AI3437" s="17" t="str">
        <f>IF(AG3437="","",INDEX('Quitados DUPP'!$G$1:$G$6635,AG3437))</f>
        <v/>
      </c>
      <c r="AJ3437" s="17" t="str">
        <f t="shared" si="3"/>
        <v/>
      </c>
    </row>
    <row r="3438" spans="31:36">
      <c r="AE3438" s="15" t="str">
        <f t="shared" si="0"/>
        <v/>
      </c>
      <c r="AF3438" s="15" t="str">
        <f t="shared" si="1"/>
        <v/>
      </c>
      <c r="AG3438" s="15" t="str">
        <f>IF(OR(AF3438="",AF3438="ERRO_CHAVE"),"",IFERROR(MATCH(AF3438,'Quitados DUPP'!$U$1:$U$6635,0),""))</f>
        <v/>
      </c>
      <c r="AH3438" s="15" t="str">
        <f t="shared" si="2"/>
        <v/>
      </c>
      <c r="AI3438" s="17" t="str">
        <f>IF(AG3438="","",INDEX('Quitados DUPP'!$G$1:$G$6635,AG3438))</f>
        <v/>
      </c>
      <c r="AJ3438" s="17" t="str">
        <f t="shared" si="3"/>
        <v/>
      </c>
    </row>
    <row r="3439" spans="31:36">
      <c r="AE3439" s="15" t="str">
        <f t="shared" si="0"/>
        <v/>
      </c>
      <c r="AF3439" s="15" t="str">
        <f t="shared" si="1"/>
        <v/>
      </c>
      <c r="AG3439" s="15" t="str">
        <f>IF(OR(AF3439="",AF3439="ERRO_CHAVE"),"",IFERROR(MATCH(AF3439,'Quitados DUPP'!$U$1:$U$6635,0),""))</f>
        <v/>
      </c>
      <c r="AH3439" s="15" t="str">
        <f t="shared" si="2"/>
        <v/>
      </c>
      <c r="AI3439" s="17" t="str">
        <f>IF(AG3439="","",INDEX('Quitados DUPP'!$G$1:$G$6635,AG3439))</f>
        <v/>
      </c>
      <c r="AJ3439" s="17" t="str">
        <f t="shared" si="3"/>
        <v/>
      </c>
    </row>
    <row r="3440" spans="31:36">
      <c r="AE3440" s="15" t="str">
        <f t="shared" si="0"/>
        <v/>
      </c>
      <c r="AF3440" s="15" t="str">
        <f t="shared" si="1"/>
        <v/>
      </c>
      <c r="AG3440" s="15" t="str">
        <f>IF(OR(AF3440="",AF3440="ERRO_CHAVE"),"",IFERROR(MATCH(AF3440,'Quitados DUPP'!$U$1:$U$6635,0),""))</f>
        <v/>
      </c>
      <c r="AH3440" s="15" t="str">
        <f t="shared" si="2"/>
        <v/>
      </c>
      <c r="AI3440" s="17" t="str">
        <f>IF(AG3440="","",INDEX('Quitados DUPP'!$G$1:$G$6635,AG3440))</f>
        <v/>
      </c>
      <c r="AJ3440" s="17" t="str">
        <f t="shared" si="3"/>
        <v/>
      </c>
    </row>
    <row r="3441" spans="31:36">
      <c r="AE3441" s="15" t="str">
        <f t="shared" si="0"/>
        <v/>
      </c>
      <c r="AF3441" s="15" t="str">
        <f t="shared" si="1"/>
        <v/>
      </c>
      <c r="AG3441" s="15" t="str">
        <f>IF(OR(AF3441="",AF3441="ERRO_CHAVE"),"",IFERROR(MATCH(AF3441,'Quitados DUPP'!$U$1:$U$6635,0),""))</f>
        <v/>
      </c>
      <c r="AH3441" s="15" t="str">
        <f t="shared" si="2"/>
        <v/>
      </c>
      <c r="AI3441" s="17" t="str">
        <f>IF(AG3441="","",INDEX('Quitados DUPP'!$G$1:$G$6635,AG3441))</f>
        <v/>
      </c>
      <c r="AJ3441" s="17" t="str">
        <f t="shared" si="3"/>
        <v/>
      </c>
    </row>
    <row r="3442" spans="31:36">
      <c r="AE3442" s="15" t="str">
        <f t="shared" si="0"/>
        <v/>
      </c>
      <c r="AF3442" s="15" t="str">
        <f t="shared" si="1"/>
        <v/>
      </c>
      <c r="AG3442" s="15" t="str">
        <f>IF(OR(AF3442="",AF3442="ERRO_CHAVE"),"",IFERROR(MATCH(AF3442,'Quitados DUPP'!$U$1:$U$6635,0),""))</f>
        <v/>
      </c>
      <c r="AH3442" s="15" t="str">
        <f t="shared" si="2"/>
        <v/>
      </c>
      <c r="AI3442" s="17" t="str">
        <f>IF(AG3442="","",INDEX('Quitados DUPP'!$G$1:$G$6635,AG3442))</f>
        <v/>
      </c>
      <c r="AJ3442" s="17" t="str">
        <f t="shared" si="3"/>
        <v/>
      </c>
    </row>
    <row r="3443" spans="31:36">
      <c r="AE3443" s="15" t="str">
        <f t="shared" si="0"/>
        <v/>
      </c>
      <c r="AF3443" s="15" t="str">
        <f t="shared" si="1"/>
        <v/>
      </c>
      <c r="AG3443" s="15" t="str">
        <f>IF(OR(AF3443="",AF3443="ERRO_CHAVE"),"",IFERROR(MATCH(AF3443,'Quitados DUPP'!$U$1:$U$6635,0),""))</f>
        <v/>
      </c>
      <c r="AH3443" s="15" t="str">
        <f t="shared" si="2"/>
        <v/>
      </c>
      <c r="AI3443" s="17" t="str">
        <f>IF(AG3443="","",INDEX('Quitados DUPP'!$G$1:$G$6635,AG3443))</f>
        <v/>
      </c>
      <c r="AJ3443" s="17" t="str">
        <f t="shared" si="3"/>
        <v/>
      </c>
    </row>
    <row r="3444" spans="31:36">
      <c r="AE3444" s="15" t="str">
        <f t="shared" si="0"/>
        <v/>
      </c>
      <c r="AF3444" s="15" t="str">
        <f t="shared" si="1"/>
        <v/>
      </c>
      <c r="AG3444" s="15" t="str">
        <f>IF(OR(AF3444="",AF3444="ERRO_CHAVE"),"",IFERROR(MATCH(AF3444,'Quitados DUPP'!$U$1:$U$6635,0),""))</f>
        <v/>
      </c>
      <c r="AH3444" s="15" t="str">
        <f t="shared" si="2"/>
        <v/>
      </c>
      <c r="AI3444" s="17" t="str">
        <f>IF(AG3444="","",INDEX('Quitados DUPP'!$G$1:$G$6635,AG3444))</f>
        <v/>
      </c>
      <c r="AJ3444" s="17" t="str">
        <f t="shared" si="3"/>
        <v/>
      </c>
    </row>
    <row r="3445" spans="31:36">
      <c r="AE3445" s="15" t="str">
        <f t="shared" si="0"/>
        <v/>
      </c>
      <c r="AF3445" s="15" t="str">
        <f t="shared" si="1"/>
        <v/>
      </c>
      <c r="AG3445" s="15" t="str">
        <f>IF(OR(AF3445="",AF3445="ERRO_CHAVE"),"",IFERROR(MATCH(AF3445,'Quitados DUPP'!$U$1:$U$6635,0),""))</f>
        <v/>
      </c>
      <c r="AH3445" s="15" t="str">
        <f t="shared" si="2"/>
        <v/>
      </c>
      <c r="AI3445" s="17" t="str">
        <f>IF(AG3445="","",INDEX('Quitados DUPP'!$G$1:$G$6635,AG3445))</f>
        <v/>
      </c>
      <c r="AJ3445" s="17" t="str">
        <f t="shared" si="3"/>
        <v/>
      </c>
    </row>
    <row r="3446" spans="31:36">
      <c r="AE3446" s="15" t="str">
        <f t="shared" si="0"/>
        <v/>
      </c>
      <c r="AF3446" s="15" t="str">
        <f t="shared" si="1"/>
        <v/>
      </c>
      <c r="AG3446" s="15" t="str">
        <f>IF(OR(AF3446="",AF3446="ERRO_CHAVE"),"",IFERROR(MATCH(AF3446,'Quitados DUPP'!$U$1:$U$6635,0),""))</f>
        <v/>
      </c>
      <c r="AH3446" s="15" t="str">
        <f t="shared" si="2"/>
        <v/>
      </c>
      <c r="AI3446" s="17" t="str">
        <f>IF(AG3446="","",INDEX('Quitados DUPP'!$G$1:$G$6635,AG3446))</f>
        <v/>
      </c>
      <c r="AJ3446" s="17" t="str">
        <f t="shared" si="3"/>
        <v/>
      </c>
    </row>
    <row r="3447" spans="31:36">
      <c r="AE3447" s="15" t="str">
        <f t="shared" si="0"/>
        <v/>
      </c>
      <c r="AF3447" s="15" t="str">
        <f t="shared" si="1"/>
        <v/>
      </c>
      <c r="AG3447" s="15" t="str">
        <f>IF(OR(AF3447="",AF3447="ERRO_CHAVE"),"",IFERROR(MATCH(AF3447,'Quitados DUPP'!$U$1:$U$6635,0),""))</f>
        <v/>
      </c>
      <c r="AH3447" s="15" t="str">
        <f t="shared" si="2"/>
        <v/>
      </c>
      <c r="AI3447" s="17" t="str">
        <f>IF(AG3447="","",INDEX('Quitados DUPP'!$G$1:$G$6635,AG3447))</f>
        <v/>
      </c>
      <c r="AJ3447" s="17" t="str">
        <f t="shared" si="3"/>
        <v/>
      </c>
    </row>
    <row r="3448" spans="31:36">
      <c r="AE3448" s="15" t="str">
        <f t="shared" si="0"/>
        <v/>
      </c>
      <c r="AF3448" s="15" t="str">
        <f t="shared" si="1"/>
        <v/>
      </c>
      <c r="AG3448" s="15" t="str">
        <f>IF(OR(AF3448="",AF3448="ERRO_CHAVE"),"",IFERROR(MATCH(AF3448,'Quitados DUPP'!$U$1:$U$6635,0),""))</f>
        <v/>
      </c>
      <c r="AH3448" s="15" t="str">
        <f t="shared" si="2"/>
        <v/>
      </c>
      <c r="AI3448" s="17" t="str">
        <f>IF(AG3448="","",INDEX('Quitados DUPP'!$G$1:$G$6635,AG3448))</f>
        <v/>
      </c>
      <c r="AJ3448" s="17" t="str">
        <f t="shared" si="3"/>
        <v/>
      </c>
    </row>
    <row r="3449" spans="31:36">
      <c r="AE3449" s="15" t="str">
        <f t="shared" si="0"/>
        <v/>
      </c>
      <c r="AF3449" s="15" t="str">
        <f t="shared" si="1"/>
        <v/>
      </c>
      <c r="AG3449" s="15" t="str">
        <f>IF(OR(AF3449="",AF3449="ERRO_CHAVE"),"",IFERROR(MATCH(AF3449,'Quitados DUPP'!$U$1:$U$6635,0),""))</f>
        <v/>
      </c>
      <c r="AH3449" s="15" t="str">
        <f t="shared" si="2"/>
        <v/>
      </c>
      <c r="AI3449" s="17" t="str">
        <f>IF(AG3449="","",INDEX('Quitados DUPP'!$G$1:$G$6635,AG3449))</f>
        <v/>
      </c>
      <c r="AJ3449" s="17" t="str">
        <f t="shared" si="3"/>
        <v/>
      </c>
    </row>
    <row r="3450" spans="31:36">
      <c r="AE3450" s="15" t="str">
        <f t="shared" si="0"/>
        <v/>
      </c>
      <c r="AF3450" s="15" t="str">
        <f t="shared" si="1"/>
        <v/>
      </c>
      <c r="AG3450" s="15" t="str">
        <f>IF(OR(AF3450="",AF3450="ERRO_CHAVE"),"",IFERROR(MATCH(AF3450,'Quitados DUPP'!$U$1:$U$6635,0),""))</f>
        <v/>
      </c>
      <c r="AH3450" s="15" t="str">
        <f t="shared" si="2"/>
        <v/>
      </c>
      <c r="AI3450" s="17" t="str">
        <f>IF(AG3450="","",INDEX('Quitados DUPP'!$G$1:$G$6635,AG3450))</f>
        <v/>
      </c>
      <c r="AJ3450" s="17" t="str">
        <f t="shared" si="3"/>
        <v/>
      </c>
    </row>
    <row r="3451" spans="31:36">
      <c r="AE3451" s="15" t="str">
        <f t="shared" si="0"/>
        <v/>
      </c>
      <c r="AF3451" s="15" t="str">
        <f t="shared" si="1"/>
        <v/>
      </c>
      <c r="AG3451" s="15" t="str">
        <f>IF(OR(AF3451="",AF3451="ERRO_CHAVE"),"",IFERROR(MATCH(AF3451,'Quitados DUPP'!$U$1:$U$6635,0),""))</f>
        <v/>
      </c>
      <c r="AH3451" s="15" t="str">
        <f t="shared" si="2"/>
        <v/>
      </c>
      <c r="AI3451" s="17" t="str">
        <f>IF(AG3451="","",INDEX('Quitados DUPP'!$G$1:$G$6635,AG3451))</f>
        <v/>
      </c>
      <c r="AJ3451" s="17" t="str">
        <f t="shared" si="3"/>
        <v/>
      </c>
    </row>
    <row r="3452" spans="31:36">
      <c r="AE3452" s="15" t="str">
        <f t="shared" si="0"/>
        <v/>
      </c>
      <c r="AF3452" s="15" t="str">
        <f t="shared" si="1"/>
        <v/>
      </c>
      <c r="AG3452" s="15" t="str">
        <f>IF(OR(AF3452="",AF3452="ERRO_CHAVE"),"",IFERROR(MATCH(AF3452,'Quitados DUPP'!$U$1:$U$6635,0),""))</f>
        <v/>
      </c>
      <c r="AH3452" s="15" t="str">
        <f t="shared" si="2"/>
        <v/>
      </c>
      <c r="AI3452" s="17" t="str">
        <f>IF(AG3452="","",INDEX('Quitados DUPP'!$G$1:$G$6635,AG3452))</f>
        <v/>
      </c>
      <c r="AJ3452" s="17" t="str">
        <f t="shared" si="3"/>
        <v/>
      </c>
    </row>
    <row r="3453" spans="31:36">
      <c r="AE3453" s="15" t="str">
        <f t="shared" si="0"/>
        <v/>
      </c>
      <c r="AF3453" s="15" t="str">
        <f t="shared" si="1"/>
        <v/>
      </c>
      <c r="AG3453" s="15" t="str">
        <f>IF(OR(AF3453="",AF3453="ERRO_CHAVE"),"",IFERROR(MATCH(AF3453,'Quitados DUPP'!$U$1:$U$6635,0),""))</f>
        <v/>
      </c>
      <c r="AH3453" s="15" t="str">
        <f t="shared" si="2"/>
        <v/>
      </c>
      <c r="AI3453" s="17" t="str">
        <f>IF(AG3453="","",INDEX('Quitados DUPP'!$G$1:$G$6635,AG3453))</f>
        <v/>
      </c>
      <c r="AJ3453" s="17" t="str">
        <f t="shared" si="3"/>
        <v/>
      </c>
    </row>
    <row r="3454" spans="31:36">
      <c r="AE3454" s="15" t="str">
        <f t="shared" si="0"/>
        <v/>
      </c>
      <c r="AF3454" s="15" t="str">
        <f t="shared" si="1"/>
        <v/>
      </c>
      <c r="AG3454" s="15" t="str">
        <f>IF(OR(AF3454="",AF3454="ERRO_CHAVE"),"",IFERROR(MATCH(AF3454,'Quitados DUPP'!$U$1:$U$6635,0),""))</f>
        <v/>
      </c>
      <c r="AH3454" s="15" t="str">
        <f t="shared" si="2"/>
        <v/>
      </c>
      <c r="AI3454" s="17" t="str">
        <f>IF(AG3454="","",INDEX('Quitados DUPP'!$G$1:$G$6635,AG3454))</f>
        <v/>
      </c>
      <c r="AJ3454" s="17" t="str">
        <f t="shared" si="3"/>
        <v/>
      </c>
    </row>
    <row r="3455" spans="31:36">
      <c r="AE3455" s="15" t="str">
        <f t="shared" si="0"/>
        <v/>
      </c>
      <c r="AF3455" s="15" t="str">
        <f t="shared" si="1"/>
        <v/>
      </c>
      <c r="AG3455" s="15" t="str">
        <f>IF(OR(AF3455="",AF3455="ERRO_CHAVE"),"",IFERROR(MATCH(AF3455,'Quitados DUPP'!$U$1:$U$6635,0),""))</f>
        <v/>
      </c>
      <c r="AH3455" s="15" t="str">
        <f t="shared" si="2"/>
        <v/>
      </c>
      <c r="AI3455" s="17" t="str">
        <f>IF(AG3455="","",INDEX('Quitados DUPP'!$G$1:$G$6635,AG3455))</f>
        <v/>
      </c>
      <c r="AJ3455" s="17" t="str">
        <f t="shared" si="3"/>
        <v/>
      </c>
    </row>
    <row r="3456" spans="31:36">
      <c r="AE3456" s="15" t="str">
        <f t="shared" si="0"/>
        <v/>
      </c>
      <c r="AF3456" s="15" t="str">
        <f t="shared" si="1"/>
        <v/>
      </c>
      <c r="AG3456" s="15" t="str">
        <f>IF(OR(AF3456="",AF3456="ERRO_CHAVE"),"",IFERROR(MATCH(AF3456,'Quitados DUPP'!$U$1:$U$6635,0),""))</f>
        <v/>
      </c>
      <c r="AH3456" s="15" t="str">
        <f t="shared" si="2"/>
        <v/>
      </c>
      <c r="AI3456" s="17" t="str">
        <f>IF(AG3456="","",INDEX('Quitados DUPP'!$G$1:$G$6635,AG3456))</f>
        <v/>
      </c>
      <c r="AJ3456" s="17" t="str">
        <f t="shared" si="3"/>
        <v/>
      </c>
    </row>
    <row r="3457" spans="31:36">
      <c r="AE3457" s="15" t="str">
        <f t="shared" si="0"/>
        <v/>
      </c>
      <c r="AF3457" s="15" t="str">
        <f t="shared" si="1"/>
        <v/>
      </c>
      <c r="AG3457" s="15" t="str">
        <f>IF(OR(AF3457="",AF3457="ERRO_CHAVE"),"",IFERROR(MATCH(AF3457,'Quitados DUPP'!$U$1:$U$6635,0),""))</f>
        <v/>
      </c>
      <c r="AH3457" s="15" t="str">
        <f t="shared" si="2"/>
        <v/>
      </c>
      <c r="AI3457" s="17" t="str">
        <f>IF(AG3457="","",INDEX('Quitados DUPP'!$G$1:$G$6635,AG3457))</f>
        <v/>
      </c>
      <c r="AJ3457" s="17" t="str">
        <f t="shared" si="3"/>
        <v/>
      </c>
    </row>
    <row r="3458" spans="31:36">
      <c r="AE3458" s="15" t="str">
        <f t="shared" si="0"/>
        <v/>
      </c>
      <c r="AF3458" s="15" t="str">
        <f t="shared" si="1"/>
        <v/>
      </c>
      <c r="AG3458" s="15" t="str">
        <f>IF(OR(AF3458="",AF3458="ERRO_CHAVE"),"",IFERROR(MATCH(AF3458,'Quitados DUPP'!$U$1:$U$6635,0),""))</f>
        <v/>
      </c>
      <c r="AH3458" s="15" t="str">
        <f t="shared" si="2"/>
        <v/>
      </c>
      <c r="AI3458" s="17" t="str">
        <f>IF(AG3458="","",INDEX('Quitados DUPP'!$G$1:$G$6635,AG3458))</f>
        <v/>
      </c>
      <c r="AJ3458" s="17" t="str">
        <f t="shared" si="3"/>
        <v/>
      </c>
    </row>
    <row r="3459" spans="31:36">
      <c r="AE3459" s="15" t="str">
        <f t="shared" si="0"/>
        <v/>
      </c>
      <c r="AF3459" s="15" t="str">
        <f t="shared" si="1"/>
        <v/>
      </c>
      <c r="AG3459" s="15" t="str">
        <f>IF(OR(AF3459="",AF3459="ERRO_CHAVE"),"",IFERROR(MATCH(AF3459,'Quitados DUPP'!$U$1:$U$6635,0),""))</f>
        <v/>
      </c>
      <c r="AH3459" s="15" t="str">
        <f t="shared" si="2"/>
        <v/>
      </c>
      <c r="AI3459" s="17" t="str">
        <f>IF(AG3459="","",INDEX('Quitados DUPP'!$G$1:$G$6635,AG3459))</f>
        <v/>
      </c>
      <c r="AJ3459" s="17" t="str">
        <f t="shared" si="3"/>
        <v/>
      </c>
    </row>
    <row r="3460" spans="31:36">
      <c r="AE3460" s="15" t="str">
        <f t="shared" si="0"/>
        <v/>
      </c>
      <c r="AF3460" s="15" t="str">
        <f t="shared" si="1"/>
        <v/>
      </c>
      <c r="AG3460" s="15" t="str">
        <f>IF(OR(AF3460="",AF3460="ERRO_CHAVE"),"",IFERROR(MATCH(AF3460,'Quitados DUPP'!$U$1:$U$6635,0),""))</f>
        <v/>
      </c>
      <c r="AH3460" s="15" t="str">
        <f t="shared" si="2"/>
        <v/>
      </c>
      <c r="AI3460" s="17" t="str">
        <f>IF(AG3460="","",INDEX('Quitados DUPP'!$G$1:$G$6635,AG3460))</f>
        <v/>
      </c>
      <c r="AJ3460" s="17" t="str">
        <f t="shared" si="3"/>
        <v/>
      </c>
    </row>
    <row r="3461" spans="31:36">
      <c r="AE3461" s="15" t="str">
        <f t="shared" si="0"/>
        <v/>
      </c>
      <c r="AF3461" s="15" t="str">
        <f t="shared" si="1"/>
        <v/>
      </c>
      <c r="AG3461" s="15" t="str">
        <f>IF(OR(AF3461="",AF3461="ERRO_CHAVE"),"",IFERROR(MATCH(AF3461,'Quitados DUPP'!$U$1:$U$6635,0),""))</f>
        <v/>
      </c>
      <c r="AH3461" s="15" t="str">
        <f t="shared" si="2"/>
        <v/>
      </c>
      <c r="AI3461" s="17" t="str">
        <f>IF(AG3461="","",INDEX('Quitados DUPP'!$G$1:$G$6635,AG3461))</f>
        <v/>
      </c>
      <c r="AJ3461" s="17" t="str">
        <f t="shared" si="3"/>
        <v/>
      </c>
    </row>
    <row r="3462" spans="31:36">
      <c r="AE3462" s="15" t="str">
        <f t="shared" si="0"/>
        <v/>
      </c>
      <c r="AF3462" s="15" t="str">
        <f t="shared" si="1"/>
        <v/>
      </c>
      <c r="AG3462" s="15" t="str">
        <f>IF(OR(AF3462="",AF3462="ERRO_CHAVE"),"",IFERROR(MATCH(AF3462,'Quitados DUPP'!$U$1:$U$6635,0),""))</f>
        <v/>
      </c>
      <c r="AH3462" s="15" t="str">
        <f t="shared" si="2"/>
        <v/>
      </c>
      <c r="AI3462" s="17" t="str">
        <f>IF(AG3462="","",INDEX('Quitados DUPP'!$G$1:$G$6635,AG3462))</f>
        <v/>
      </c>
      <c r="AJ3462" s="17" t="str">
        <f t="shared" si="3"/>
        <v/>
      </c>
    </row>
    <row r="3463" spans="31:36">
      <c r="AE3463" s="15" t="str">
        <f t="shared" si="0"/>
        <v/>
      </c>
      <c r="AF3463" s="15" t="str">
        <f t="shared" si="1"/>
        <v/>
      </c>
      <c r="AG3463" s="15" t="str">
        <f>IF(OR(AF3463="",AF3463="ERRO_CHAVE"),"",IFERROR(MATCH(AF3463,'Quitados DUPP'!$U$1:$U$6635,0),""))</f>
        <v/>
      </c>
      <c r="AH3463" s="15" t="str">
        <f t="shared" si="2"/>
        <v/>
      </c>
      <c r="AI3463" s="17" t="str">
        <f>IF(AG3463="","",INDEX('Quitados DUPP'!$G$1:$G$6635,AG3463))</f>
        <v/>
      </c>
      <c r="AJ3463" s="17" t="str">
        <f t="shared" si="3"/>
        <v/>
      </c>
    </row>
    <row r="3464" spans="31:36">
      <c r="AE3464" s="15" t="str">
        <f t="shared" si="0"/>
        <v/>
      </c>
      <c r="AF3464" s="15" t="str">
        <f t="shared" si="1"/>
        <v/>
      </c>
      <c r="AG3464" s="15" t="str">
        <f>IF(OR(AF3464="",AF3464="ERRO_CHAVE"),"",IFERROR(MATCH(AF3464,'Quitados DUPP'!$U$1:$U$6635,0),""))</f>
        <v/>
      </c>
      <c r="AH3464" s="15" t="str">
        <f t="shared" si="2"/>
        <v/>
      </c>
      <c r="AI3464" s="17" t="str">
        <f>IF(AG3464="","",INDEX('Quitados DUPP'!$G$1:$G$6635,AG3464))</f>
        <v/>
      </c>
      <c r="AJ3464" s="17" t="str">
        <f t="shared" si="3"/>
        <v/>
      </c>
    </row>
    <row r="3465" spans="31:36">
      <c r="AE3465" s="15" t="str">
        <f t="shared" si="0"/>
        <v/>
      </c>
      <c r="AF3465" s="15" t="str">
        <f t="shared" si="1"/>
        <v/>
      </c>
      <c r="AG3465" s="15" t="str">
        <f>IF(OR(AF3465="",AF3465="ERRO_CHAVE"),"",IFERROR(MATCH(AF3465,'Quitados DUPP'!$U$1:$U$6635,0),""))</f>
        <v/>
      </c>
      <c r="AH3465" s="15" t="str">
        <f t="shared" si="2"/>
        <v/>
      </c>
      <c r="AI3465" s="17" t="str">
        <f>IF(AG3465="","",INDEX('Quitados DUPP'!$G$1:$G$6635,AG3465))</f>
        <v/>
      </c>
      <c r="AJ3465" s="17" t="str">
        <f t="shared" si="3"/>
        <v/>
      </c>
    </row>
    <row r="3466" spans="31:36">
      <c r="AE3466" s="15" t="str">
        <f t="shared" si="0"/>
        <v/>
      </c>
      <c r="AF3466" s="15" t="str">
        <f t="shared" si="1"/>
        <v/>
      </c>
      <c r="AG3466" s="15" t="str">
        <f>IF(OR(AF3466="",AF3466="ERRO_CHAVE"),"",IFERROR(MATCH(AF3466,'Quitados DUPP'!$U$1:$U$6635,0),""))</f>
        <v/>
      </c>
      <c r="AH3466" s="15" t="str">
        <f t="shared" si="2"/>
        <v/>
      </c>
      <c r="AI3466" s="17" t="str">
        <f>IF(AG3466="","",INDEX('Quitados DUPP'!$G$1:$G$6635,AG3466))</f>
        <v/>
      </c>
      <c r="AJ3466" s="17" t="str">
        <f t="shared" si="3"/>
        <v/>
      </c>
    </row>
    <row r="3467" spans="31:36">
      <c r="AE3467" s="15" t="str">
        <f t="shared" si="0"/>
        <v/>
      </c>
      <c r="AF3467" s="15" t="str">
        <f t="shared" si="1"/>
        <v/>
      </c>
      <c r="AG3467" s="15" t="str">
        <f>IF(OR(AF3467="",AF3467="ERRO_CHAVE"),"",IFERROR(MATCH(AF3467,'Quitados DUPP'!$U$1:$U$6635,0),""))</f>
        <v/>
      </c>
      <c r="AH3467" s="15" t="str">
        <f t="shared" si="2"/>
        <v/>
      </c>
      <c r="AI3467" s="17" t="str">
        <f>IF(AG3467="","",INDEX('Quitados DUPP'!$G$1:$G$6635,AG3467))</f>
        <v/>
      </c>
      <c r="AJ3467" s="17" t="str">
        <f t="shared" si="3"/>
        <v/>
      </c>
    </row>
    <row r="3468" spans="31:36">
      <c r="AE3468" s="15" t="str">
        <f t="shared" si="0"/>
        <v/>
      </c>
      <c r="AF3468" s="15" t="str">
        <f t="shared" si="1"/>
        <v/>
      </c>
      <c r="AG3468" s="15" t="str">
        <f>IF(OR(AF3468="",AF3468="ERRO_CHAVE"),"",IFERROR(MATCH(AF3468,'Quitados DUPP'!$U$1:$U$6635,0),""))</f>
        <v/>
      </c>
      <c r="AH3468" s="15" t="str">
        <f t="shared" si="2"/>
        <v/>
      </c>
      <c r="AI3468" s="17" t="str">
        <f>IF(AG3468="","",INDEX('Quitados DUPP'!$G$1:$G$6635,AG3468))</f>
        <v/>
      </c>
      <c r="AJ3468" s="17" t="str">
        <f t="shared" si="3"/>
        <v/>
      </c>
    </row>
    <row r="3469" spans="31:36">
      <c r="AE3469" s="15" t="str">
        <f t="shared" si="0"/>
        <v/>
      </c>
      <c r="AF3469" s="15" t="str">
        <f t="shared" si="1"/>
        <v/>
      </c>
      <c r="AG3469" s="15" t="str">
        <f>IF(OR(AF3469="",AF3469="ERRO_CHAVE"),"",IFERROR(MATCH(AF3469,'Quitados DUPP'!$U$1:$U$6635,0),""))</f>
        <v/>
      </c>
      <c r="AH3469" s="15" t="str">
        <f t="shared" si="2"/>
        <v/>
      </c>
      <c r="AI3469" s="17" t="str">
        <f>IF(AG3469="","",INDEX('Quitados DUPP'!$G$1:$G$6635,AG3469))</f>
        <v/>
      </c>
      <c r="AJ3469" s="17" t="str">
        <f t="shared" si="3"/>
        <v/>
      </c>
    </row>
    <row r="3470" spans="31:36">
      <c r="AE3470" s="15" t="str">
        <f t="shared" si="0"/>
        <v/>
      </c>
      <c r="AF3470" s="15" t="str">
        <f t="shared" si="1"/>
        <v/>
      </c>
      <c r="AG3470" s="15" t="str">
        <f>IF(OR(AF3470="",AF3470="ERRO_CHAVE"),"",IFERROR(MATCH(AF3470,'Quitados DUPP'!$U$1:$U$6635,0),""))</f>
        <v/>
      </c>
      <c r="AH3470" s="15" t="str">
        <f t="shared" si="2"/>
        <v/>
      </c>
      <c r="AI3470" s="17" t="str">
        <f>IF(AG3470="","",INDEX('Quitados DUPP'!$G$1:$G$6635,AG3470))</f>
        <v/>
      </c>
      <c r="AJ3470" s="17" t="str">
        <f t="shared" si="3"/>
        <v/>
      </c>
    </row>
    <row r="3471" spans="31:36">
      <c r="AE3471" s="15" t="str">
        <f t="shared" si="0"/>
        <v/>
      </c>
      <c r="AF3471" s="15" t="str">
        <f t="shared" si="1"/>
        <v/>
      </c>
      <c r="AG3471" s="15" t="str">
        <f>IF(OR(AF3471="",AF3471="ERRO_CHAVE"),"",IFERROR(MATCH(AF3471,'Quitados DUPP'!$U$1:$U$6635,0),""))</f>
        <v/>
      </c>
      <c r="AH3471" s="15" t="str">
        <f t="shared" si="2"/>
        <v/>
      </c>
      <c r="AI3471" s="17" t="str">
        <f>IF(AG3471="","",INDEX('Quitados DUPP'!$G$1:$G$6635,AG3471))</f>
        <v/>
      </c>
      <c r="AJ3471" s="17" t="str">
        <f t="shared" si="3"/>
        <v/>
      </c>
    </row>
    <row r="3472" spans="31:36">
      <c r="AE3472" s="15" t="str">
        <f t="shared" si="0"/>
        <v/>
      </c>
      <c r="AF3472" s="15" t="str">
        <f t="shared" si="1"/>
        <v/>
      </c>
      <c r="AG3472" s="15" t="str">
        <f>IF(OR(AF3472="",AF3472="ERRO_CHAVE"),"",IFERROR(MATCH(AF3472,'Quitados DUPP'!$U$1:$U$6635,0),""))</f>
        <v/>
      </c>
      <c r="AH3472" s="15" t="str">
        <f t="shared" si="2"/>
        <v/>
      </c>
      <c r="AI3472" s="17" t="str">
        <f>IF(AG3472="","",INDEX('Quitados DUPP'!$G$1:$G$6635,AG3472))</f>
        <v/>
      </c>
      <c r="AJ3472" s="17" t="str">
        <f t="shared" si="3"/>
        <v/>
      </c>
    </row>
    <row r="3473" spans="31:36">
      <c r="AE3473" s="15" t="str">
        <f t="shared" si="0"/>
        <v/>
      </c>
      <c r="AF3473" s="15" t="str">
        <f t="shared" si="1"/>
        <v/>
      </c>
      <c r="AG3473" s="15" t="str">
        <f>IF(OR(AF3473="",AF3473="ERRO_CHAVE"),"",IFERROR(MATCH(AF3473,'Quitados DUPP'!$U$1:$U$6635,0),""))</f>
        <v/>
      </c>
      <c r="AH3473" s="15" t="str">
        <f t="shared" si="2"/>
        <v/>
      </c>
      <c r="AI3473" s="17" t="str">
        <f>IF(AG3473="","",INDEX('Quitados DUPP'!$G$1:$G$6635,AG3473))</f>
        <v/>
      </c>
      <c r="AJ3473" s="17" t="str">
        <f t="shared" si="3"/>
        <v/>
      </c>
    </row>
    <row r="3474" spans="31:36">
      <c r="AE3474" s="15" t="str">
        <f t="shared" si="0"/>
        <v/>
      </c>
      <c r="AF3474" s="15" t="str">
        <f t="shared" si="1"/>
        <v/>
      </c>
      <c r="AG3474" s="15" t="str">
        <f>IF(OR(AF3474="",AF3474="ERRO_CHAVE"),"",IFERROR(MATCH(AF3474,'Quitados DUPP'!$U$1:$U$6635,0),""))</f>
        <v/>
      </c>
      <c r="AH3474" s="15" t="str">
        <f t="shared" si="2"/>
        <v/>
      </c>
      <c r="AI3474" s="17" t="str">
        <f>IF(AG3474="","",INDEX('Quitados DUPP'!$G$1:$G$6635,AG3474))</f>
        <v/>
      </c>
      <c r="AJ3474" s="17" t="str">
        <f t="shared" si="3"/>
        <v/>
      </c>
    </row>
    <row r="3475" spans="31:36">
      <c r="AE3475" s="15" t="str">
        <f t="shared" si="0"/>
        <v/>
      </c>
      <c r="AF3475" s="15" t="str">
        <f t="shared" si="1"/>
        <v/>
      </c>
      <c r="AG3475" s="15" t="str">
        <f>IF(OR(AF3475="",AF3475="ERRO_CHAVE"),"",IFERROR(MATCH(AF3475,'Quitados DUPP'!$U$1:$U$6635,0),""))</f>
        <v/>
      </c>
      <c r="AH3475" s="15" t="str">
        <f t="shared" si="2"/>
        <v/>
      </c>
      <c r="AI3475" s="17" t="str">
        <f>IF(AG3475="","",INDEX('Quitados DUPP'!$G$1:$G$6635,AG3475))</f>
        <v/>
      </c>
      <c r="AJ3475" s="17" t="str">
        <f t="shared" si="3"/>
        <v/>
      </c>
    </row>
    <row r="3476" spans="31:36">
      <c r="AE3476" s="15" t="str">
        <f t="shared" si="0"/>
        <v/>
      </c>
      <c r="AF3476" s="15" t="str">
        <f t="shared" si="1"/>
        <v/>
      </c>
      <c r="AG3476" s="15" t="str">
        <f>IF(OR(AF3476="",AF3476="ERRO_CHAVE"),"",IFERROR(MATCH(AF3476,'Quitados DUPP'!$U$1:$U$6635,0),""))</f>
        <v/>
      </c>
      <c r="AH3476" s="15" t="str">
        <f t="shared" si="2"/>
        <v/>
      </c>
      <c r="AI3476" s="17" t="str">
        <f>IF(AG3476="","",INDEX('Quitados DUPP'!$G$1:$G$6635,AG3476))</f>
        <v/>
      </c>
      <c r="AJ3476" s="17" t="str">
        <f t="shared" si="3"/>
        <v/>
      </c>
    </row>
    <row r="3477" spans="31:36">
      <c r="AE3477" s="15" t="str">
        <f t="shared" si="0"/>
        <v/>
      </c>
      <c r="AF3477" s="15" t="str">
        <f t="shared" si="1"/>
        <v/>
      </c>
      <c r="AG3477" s="15" t="str">
        <f>IF(OR(AF3477="",AF3477="ERRO_CHAVE"),"",IFERROR(MATCH(AF3477,'Quitados DUPP'!$U$1:$U$6635,0),""))</f>
        <v/>
      </c>
      <c r="AH3477" s="15" t="str">
        <f t="shared" si="2"/>
        <v/>
      </c>
      <c r="AI3477" s="17" t="str">
        <f>IF(AG3477="","",INDEX('Quitados DUPP'!$G$1:$G$6635,AG3477))</f>
        <v/>
      </c>
      <c r="AJ3477" s="17" t="str">
        <f t="shared" si="3"/>
        <v/>
      </c>
    </row>
    <row r="3478" spans="31:36">
      <c r="AE3478" s="15" t="str">
        <f t="shared" si="0"/>
        <v/>
      </c>
      <c r="AF3478" s="15" t="str">
        <f t="shared" si="1"/>
        <v/>
      </c>
      <c r="AG3478" s="15" t="str">
        <f>IF(OR(AF3478="",AF3478="ERRO_CHAVE"),"",IFERROR(MATCH(AF3478,'Quitados DUPP'!$U$1:$U$6635,0),""))</f>
        <v/>
      </c>
      <c r="AH3478" s="15" t="str">
        <f t="shared" si="2"/>
        <v/>
      </c>
      <c r="AI3478" s="17" t="str">
        <f>IF(AG3478="","",INDEX('Quitados DUPP'!$G$1:$G$6635,AG3478))</f>
        <v/>
      </c>
      <c r="AJ3478" s="17" t="str">
        <f t="shared" si="3"/>
        <v/>
      </c>
    </row>
    <row r="3479" spans="31:36">
      <c r="AE3479" s="15" t="str">
        <f t="shared" si="0"/>
        <v/>
      </c>
      <c r="AF3479" s="15" t="str">
        <f t="shared" si="1"/>
        <v/>
      </c>
      <c r="AG3479" s="15" t="str">
        <f>IF(OR(AF3479="",AF3479="ERRO_CHAVE"),"",IFERROR(MATCH(AF3479,'Quitados DUPP'!$U$1:$U$6635,0),""))</f>
        <v/>
      </c>
      <c r="AH3479" s="15" t="str">
        <f t="shared" si="2"/>
        <v/>
      </c>
      <c r="AI3479" s="17" t="str">
        <f>IF(AG3479="","",INDEX('Quitados DUPP'!$G$1:$G$6635,AG3479))</f>
        <v/>
      </c>
      <c r="AJ3479" s="17" t="str">
        <f t="shared" si="3"/>
        <v/>
      </c>
    </row>
    <row r="3480" spans="31:36">
      <c r="AE3480" s="15" t="str">
        <f t="shared" si="0"/>
        <v/>
      </c>
      <c r="AF3480" s="15" t="str">
        <f t="shared" si="1"/>
        <v/>
      </c>
      <c r="AG3480" s="15" t="str">
        <f>IF(OR(AF3480="",AF3480="ERRO_CHAVE"),"",IFERROR(MATCH(AF3480,'Quitados DUPP'!$U$1:$U$6635,0),""))</f>
        <v/>
      </c>
      <c r="AH3480" s="15" t="str">
        <f t="shared" si="2"/>
        <v/>
      </c>
      <c r="AI3480" s="17" t="str">
        <f>IF(AG3480="","",INDEX('Quitados DUPP'!$G$1:$G$6635,AG3480))</f>
        <v/>
      </c>
      <c r="AJ3480" s="17" t="str">
        <f t="shared" si="3"/>
        <v/>
      </c>
    </row>
    <row r="3481" spans="31:36">
      <c r="AE3481" s="15" t="str">
        <f t="shared" si="0"/>
        <v/>
      </c>
      <c r="AF3481" s="15" t="str">
        <f t="shared" si="1"/>
        <v/>
      </c>
      <c r="AG3481" s="15" t="str">
        <f>IF(OR(AF3481="",AF3481="ERRO_CHAVE"),"",IFERROR(MATCH(AF3481,'Quitados DUPP'!$U$1:$U$6635,0),""))</f>
        <v/>
      </c>
      <c r="AH3481" s="15" t="str">
        <f t="shared" si="2"/>
        <v/>
      </c>
      <c r="AI3481" s="17" t="str">
        <f>IF(AG3481="","",INDEX('Quitados DUPP'!$G$1:$G$6635,AG3481))</f>
        <v/>
      </c>
      <c r="AJ3481" s="17" t="str">
        <f t="shared" si="3"/>
        <v/>
      </c>
    </row>
    <row r="3482" spans="31:36">
      <c r="AE3482" s="15" t="str">
        <f t="shared" si="0"/>
        <v/>
      </c>
      <c r="AF3482" s="15" t="str">
        <f t="shared" si="1"/>
        <v/>
      </c>
      <c r="AG3482" s="15" t="str">
        <f>IF(OR(AF3482="",AF3482="ERRO_CHAVE"),"",IFERROR(MATCH(AF3482,'Quitados DUPP'!$U$1:$U$6635,0),""))</f>
        <v/>
      </c>
      <c r="AH3482" s="15" t="str">
        <f t="shared" si="2"/>
        <v/>
      </c>
      <c r="AI3482" s="17" t="str">
        <f>IF(AG3482="","",INDEX('Quitados DUPP'!$G$1:$G$6635,AG3482))</f>
        <v/>
      </c>
      <c r="AJ3482" s="17" t="str">
        <f t="shared" si="3"/>
        <v/>
      </c>
    </row>
    <row r="3483" spans="31:36">
      <c r="AE3483" s="15" t="str">
        <f t="shared" si="0"/>
        <v/>
      </c>
      <c r="AF3483" s="15" t="str">
        <f t="shared" si="1"/>
        <v/>
      </c>
      <c r="AG3483" s="15" t="str">
        <f>IF(OR(AF3483="",AF3483="ERRO_CHAVE"),"",IFERROR(MATCH(AF3483,'Quitados DUPP'!$U$1:$U$6635,0),""))</f>
        <v/>
      </c>
      <c r="AH3483" s="15" t="str">
        <f t="shared" si="2"/>
        <v/>
      </c>
      <c r="AI3483" s="17" t="str">
        <f>IF(AG3483="","",INDEX('Quitados DUPP'!$G$1:$G$6635,AG3483))</f>
        <v/>
      </c>
      <c r="AJ3483" s="17" t="str">
        <f t="shared" si="3"/>
        <v/>
      </c>
    </row>
    <row r="3484" spans="31:36">
      <c r="AE3484" s="15" t="str">
        <f t="shared" si="0"/>
        <v/>
      </c>
      <c r="AF3484" s="15" t="str">
        <f t="shared" si="1"/>
        <v/>
      </c>
      <c r="AG3484" s="15" t="str">
        <f>IF(OR(AF3484="",AF3484="ERRO_CHAVE"),"",IFERROR(MATCH(AF3484,'Quitados DUPP'!$U$1:$U$6635,0),""))</f>
        <v/>
      </c>
      <c r="AH3484" s="15" t="str">
        <f t="shared" si="2"/>
        <v/>
      </c>
      <c r="AI3484" s="17" t="str">
        <f>IF(AG3484="","",INDEX('Quitados DUPP'!$G$1:$G$6635,AG3484))</f>
        <v/>
      </c>
      <c r="AJ3484" s="17" t="str">
        <f t="shared" si="3"/>
        <v/>
      </c>
    </row>
    <row r="3485" spans="31:36">
      <c r="AE3485" s="15" t="str">
        <f t="shared" si="0"/>
        <v/>
      </c>
      <c r="AF3485" s="15" t="str">
        <f t="shared" si="1"/>
        <v/>
      </c>
      <c r="AG3485" s="15" t="str">
        <f>IF(OR(AF3485="",AF3485="ERRO_CHAVE"),"",IFERROR(MATCH(AF3485,'Quitados DUPP'!$U$1:$U$6635,0),""))</f>
        <v/>
      </c>
      <c r="AH3485" s="15" t="str">
        <f t="shared" si="2"/>
        <v/>
      </c>
      <c r="AI3485" s="17" t="str">
        <f>IF(AG3485="","",INDEX('Quitados DUPP'!$G$1:$G$6635,AG3485))</f>
        <v/>
      </c>
      <c r="AJ3485" s="17" t="str">
        <f t="shared" si="3"/>
        <v/>
      </c>
    </row>
    <row r="3486" spans="31:36">
      <c r="AE3486" s="15" t="str">
        <f t="shared" si="0"/>
        <v/>
      </c>
      <c r="AF3486" s="15" t="str">
        <f t="shared" si="1"/>
        <v/>
      </c>
      <c r="AG3486" s="15" t="str">
        <f>IF(OR(AF3486="",AF3486="ERRO_CHAVE"),"",IFERROR(MATCH(AF3486,'Quitados DUPP'!$U$1:$U$6635,0),""))</f>
        <v/>
      </c>
      <c r="AH3486" s="15" t="str">
        <f t="shared" si="2"/>
        <v/>
      </c>
      <c r="AI3486" s="17" t="str">
        <f>IF(AG3486="","",INDEX('Quitados DUPP'!$G$1:$G$6635,AG3486))</f>
        <v/>
      </c>
      <c r="AJ3486" s="17" t="str">
        <f t="shared" si="3"/>
        <v/>
      </c>
    </row>
    <row r="3487" spans="31:36">
      <c r="AE3487" s="15" t="str">
        <f t="shared" si="0"/>
        <v/>
      </c>
      <c r="AF3487" s="15" t="str">
        <f t="shared" si="1"/>
        <v/>
      </c>
      <c r="AG3487" s="15" t="str">
        <f>IF(OR(AF3487="",AF3487="ERRO_CHAVE"),"",IFERROR(MATCH(AF3487,'Quitados DUPP'!$U$1:$U$6635,0),""))</f>
        <v/>
      </c>
      <c r="AH3487" s="15" t="str">
        <f t="shared" si="2"/>
        <v/>
      </c>
      <c r="AI3487" s="17" t="str">
        <f>IF(AG3487="","",INDEX('Quitados DUPP'!$G$1:$G$6635,AG3487))</f>
        <v/>
      </c>
      <c r="AJ3487" s="17" t="str">
        <f t="shared" si="3"/>
        <v/>
      </c>
    </row>
    <row r="3488" spans="31:36">
      <c r="AE3488" s="15" t="str">
        <f t="shared" si="0"/>
        <v/>
      </c>
      <c r="AF3488" s="15" t="str">
        <f t="shared" si="1"/>
        <v/>
      </c>
      <c r="AG3488" s="15" t="str">
        <f>IF(OR(AF3488="",AF3488="ERRO_CHAVE"),"",IFERROR(MATCH(AF3488,'Quitados DUPP'!$U$1:$U$6635,0),""))</f>
        <v/>
      </c>
      <c r="AH3488" s="15" t="str">
        <f t="shared" si="2"/>
        <v/>
      </c>
      <c r="AI3488" s="17" t="str">
        <f>IF(AG3488="","",INDEX('Quitados DUPP'!$G$1:$G$6635,AG3488))</f>
        <v/>
      </c>
      <c r="AJ3488" s="17" t="str">
        <f t="shared" si="3"/>
        <v/>
      </c>
    </row>
    <row r="3489" spans="31:36">
      <c r="AE3489" s="15" t="str">
        <f t="shared" si="0"/>
        <v/>
      </c>
      <c r="AF3489" s="15" t="str">
        <f t="shared" si="1"/>
        <v/>
      </c>
      <c r="AG3489" s="15" t="str">
        <f>IF(OR(AF3489="",AF3489="ERRO_CHAVE"),"",IFERROR(MATCH(AF3489,'Quitados DUPP'!$U$1:$U$6635,0),""))</f>
        <v/>
      </c>
      <c r="AH3489" s="15" t="str">
        <f t="shared" si="2"/>
        <v/>
      </c>
      <c r="AI3489" s="17" t="str">
        <f>IF(AG3489="","",INDEX('Quitados DUPP'!$G$1:$G$6635,AG3489))</f>
        <v/>
      </c>
      <c r="AJ3489" s="17" t="str">
        <f t="shared" si="3"/>
        <v/>
      </c>
    </row>
    <row r="3490" spans="31:36">
      <c r="AE3490" s="15" t="str">
        <f t="shared" si="0"/>
        <v/>
      </c>
      <c r="AF3490" s="15" t="str">
        <f t="shared" si="1"/>
        <v/>
      </c>
      <c r="AG3490" s="15" t="str">
        <f>IF(OR(AF3490="",AF3490="ERRO_CHAVE"),"",IFERROR(MATCH(AF3490,'Quitados DUPP'!$U$1:$U$6635,0),""))</f>
        <v/>
      </c>
      <c r="AH3490" s="15" t="str">
        <f t="shared" si="2"/>
        <v/>
      </c>
      <c r="AI3490" s="17" t="str">
        <f>IF(AG3490="","",INDEX('Quitados DUPP'!$G$1:$G$6635,AG3490))</f>
        <v/>
      </c>
      <c r="AJ3490" s="17" t="str">
        <f t="shared" si="3"/>
        <v/>
      </c>
    </row>
    <row r="3491" spans="31:36">
      <c r="AE3491" s="15" t="str">
        <f t="shared" si="0"/>
        <v/>
      </c>
      <c r="AF3491" s="15" t="str">
        <f t="shared" si="1"/>
        <v/>
      </c>
      <c r="AG3491" s="15" t="str">
        <f>IF(OR(AF3491="",AF3491="ERRO_CHAVE"),"",IFERROR(MATCH(AF3491,'Quitados DUPP'!$U$1:$U$6635,0),""))</f>
        <v/>
      </c>
      <c r="AH3491" s="15" t="str">
        <f t="shared" si="2"/>
        <v/>
      </c>
      <c r="AI3491" s="17" t="str">
        <f>IF(AG3491="","",INDEX('Quitados DUPP'!$G$1:$G$6635,AG3491))</f>
        <v/>
      </c>
      <c r="AJ3491" s="17" t="str">
        <f t="shared" si="3"/>
        <v/>
      </c>
    </row>
    <row r="3492" spans="31:36">
      <c r="AE3492" s="15" t="str">
        <f t="shared" si="0"/>
        <v/>
      </c>
      <c r="AF3492" s="15" t="str">
        <f t="shared" si="1"/>
        <v/>
      </c>
      <c r="AG3492" s="15" t="str">
        <f>IF(OR(AF3492="",AF3492="ERRO_CHAVE"),"",IFERROR(MATCH(AF3492,'Quitados DUPP'!$U$1:$U$6635,0),""))</f>
        <v/>
      </c>
      <c r="AH3492" s="15" t="str">
        <f t="shared" si="2"/>
        <v/>
      </c>
      <c r="AI3492" s="17" t="str">
        <f>IF(AG3492="","",INDEX('Quitados DUPP'!$G$1:$G$6635,AG3492))</f>
        <v/>
      </c>
      <c r="AJ3492" s="17" t="str">
        <f t="shared" si="3"/>
        <v/>
      </c>
    </row>
    <row r="3493" spans="31:36">
      <c r="AE3493" s="15" t="str">
        <f t="shared" si="0"/>
        <v/>
      </c>
      <c r="AF3493" s="15" t="str">
        <f t="shared" si="1"/>
        <v/>
      </c>
      <c r="AG3493" s="15" t="str">
        <f>IF(OR(AF3493="",AF3493="ERRO_CHAVE"),"",IFERROR(MATCH(AF3493,'Quitados DUPP'!$U$1:$U$6635,0),""))</f>
        <v/>
      </c>
      <c r="AH3493" s="15" t="str">
        <f t="shared" si="2"/>
        <v/>
      </c>
      <c r="AI3493" s="17" t="str">
        <f>IF(AG3493="","",INDEX('Quitados DUPP'!$G$1:$G$6635,AG3493))</f>
        <v/>
      </c>
      <c r="AJ3493" s="17" t="str">
        <f t="shared" si="3"/>
        <v/>
      </c>
    </row>
    <row r="3494" spans="31:36">
      <c r="AE3494" s="15" t="str">
        <f t="shared" si="0"/>
        <v/>
      </c>
      <c r="AF3494" s="15" t="str">
        <f t="shared" si="1"/>
        <v/>
      </c>
      <c r="AG3494" s="15" t="str">
        <f>IF(OR(AF3494="",AF3494="ERRO_CHAVE"),"",IFERROR(MATCH(AF3494,'Quitados DUPP'!$U$1:$U$6635,0),""))</f>
        <v/>
      </c>
      <c r="AH3494" s="15" t="str">
        <f t="shared" si="2"/>
        <v/>
      </c>
      <c r="AI3494" s="17" t="str">
        <f>IF(AG3494="","",INDEX('Quitados DUPP'!$G$1:$G$6635,AG3494))</f>
        <v/>
      </c>
      <c r="AJ3494" s="17" t="str">
        <f t="shared" si="3"/>
        <v/>
      </c>
    </row>
    <row r="3495" spans="31:36">
      <c r="AE3495" s="15" t="str">
        <f t="shared" si="0"/>
        <v/>
      </c>
      <c r="AF3495" s="15" t="str">
        <f t="shared" si="1"/>
        <v/>
      </c>
      <c r="AG3495" s="15" t="str">
        <f>IF(OR(AF3495="",AF3495="ERRO_CHAVE"),"",IFERROR(MATCH(AF3495,'Quitados DUPP'!$U$1:$U$6635,0),""))</f>
        <v/>
      </c>
      <c r="AH3495" s="15" t="str">
        <f t="shared" si="2"/>
        <v/>
      </c>
      <c r="AI3495" s="17" t="str">
        <f>IF(AG3495="","",INDEX('Quitados DUPP'!$G$1:$G$6635,AG3495))</f>
        <v/>
      </c>
      <c r="AJ3495" s="17" t="str">
        <f t="shared" si="3"/>
        <v/>
      </c>
    </row>
    <row r="3496" spans="31:36">
      <c r="AE3496" s="15" t="str">
        <f t="shared" si="0"/>
        <v/>
      </c>
      <c r="AF3496" s="15" t="str">
        <f t="shared" si="1"/>
        <v/>
      </c>
      <c r="AG3496" s="15" t="str">
        <f>IF(OR(AF3496="",AF3496="ERRO_CHAVE"),"",IFERROR(MATCH(AF3496,'Quitados DUPP'!$U$1:$U$6635,0),""))</f>
        <v/>
      </c>
      <c r="AH3496" s="15" t="str">
        <f t="shared" si="2"/>
        <v/>
      </c>
      <c r="AI3496" s="17" t="str">
        <f>IF(AG3496="","",INDEX('Quitados DUPP'!$G$1:$G$6635,AG3496))</f>
        <v/>
      </c>
      <c r="AJ3496" s="17" t="str">
        <f t="shared" si="3"/>
        <v/>
      </c>
    </row>
    <row r="3497" spans="31:36">
      <c r="AE3497" s="15" t="str">
        <f t="shared" si="0"/>
        <v/>
      </c>
      <c r="AF3497" s="15" t="str">
        <f t="shared" si="1"/>
        <v/>
      </c>
      <c r="AG3497" s="15" t="str">
        <f>IF(OR(AF3497="",AF3497="ERRO_CHAVE"),"",IFERROR(MATCH(AF3497,'Quitados DUPP'!$U$1:$U$6635,0),""))</f>
        <v/>
      </c>
      <c r="AH3497" s="15" t="str">
        <f t="shared" si="2"/>
        <v/>
      </c>
      <c r="AI3497" s="17" t="str">
        <f>IF(AG3497="","",INDEX('Quitados DUPP'!$G$1:$G$6635,AG3497))</f>
        <v/>
      </c>
      <c r="AJ3497" s="17" t="str">
        <f t="shared" si="3"/>
        <v/>
      </c>
    </row>
    <row r="3498" spans="31:36">
      <c r="AE3498" s="15" t="str">
        <f t="shared" si="0"/>
        <v/>
      </c>
      <c r="AF3498" s="15" t="str">
        <f t="shared" si="1"/>
        <v/>
      </c>
      <c r="AG3498" s="15" t="str">
        <f>IF(OR(AF3498="",AF3498="ERRO_CHAVE"),"",IFERROR(MATCH(AF3498,'Quitados DUPP'!$U$1:$U$6635,0),""))</f>
        <v/>
      </c>
      <c r="AH3498" s="15" t="str">
        <f t="shared" si="2"/>
        <v/>
      </c>
      <c r="AI3498" s="17" t="str">
        <f>IF(AG3498="","",INDEX('Quitados DUPP'!$G$1:$G$6635,AG3498))</f>
        <v/>
      </c>
      <c r="AJ3498" s="17" t="str">
        <f t="shared" si="3"/>
        <v/>
      </c>
    </row>
    <row r="3499" spans="31:36">
      <c r="AE3499" s="15" t="str">
        <f t="shared" si="0"/>
        <v/>
      </c>
      <c r="AF3499" s="15" t="str">
        <f t="shared" si="1"/>
        <v/>
      </c>
      <c r="AG3499" s="15" t="str">
        <f>IF(OR(AF3499="",AF3499="ERRO_CHAVE"),"",IFERROR(MATCH(AF3499,'Quitados DUPP'!$U$1:$U$6635,0),""))</f>
        <v/>
      </c>
      <c r="AH3499" s="15" t="str">
        <f t="shared" si="2"/>
        <v/>
      </c>
      <c r="AI3499" s="17" t="str">
        <f>IF(AG3499="","",INDEX('Quitados DUPP'!$G$1:$G$6635,AG3499))</f>
        <v/>
      </c>
      <c r="AJ3499" s="17" t="str">
        <f t="shared" si="3"/>
        <v/>
      </c>
    </row>
    <row r="3500" spans="31:36">
      <c r="AE3500" s="15" t="str">
        <f t="shared" si="0"/>
        <v/>
      </c>
      <c r="AF3500" s="15" t="str">
        <f t="shared" si="1"/>
        <v/>
      </c>
      <c r="AG3500" s="15" t="str">
        <f>IF(OR(AF3500="",AF3500="ERRO_CHAVE"),"",IFERROR(MATCH(AF3500,'Quitados DUPP'!$U$1:$U$6635,0),""))</f>
        <v/>
      </c>
      <c r="AH3500" s="15" t="str">
        <f t="shared" si="2"/>
        <v/>
      </c>
      <c r="AI3500" s="17" t="str">
        <f>IF(AG3500="","",INDEX('Quitados DUPP'!$G$1:$G$6635,AG3500))</f>
        <v/>
      </c>
      <c r="AJ3500" s="17" t="str">
        <f t="shared" si="3"/>
        <v/>
      </c>
    </row>
    <row r="3501" spans="31:36">
      <c r="AE3501" s="15" t="str">
        <f t="shared" si="0"/>
        <v/>
      </c>
      <c r="AF3501" s="15" t="str">
        <f t="shared" si="1"/>
        <v/>
      </c>
      <c r="AG3501" s="15" t="str">
        <f>IF(OR(AF3501="",AF3501="ERRO_CHAVE"),"",IFERROR(MATCH(AF3501,'Quitados DUPP'!$U$1:$U$6635,0),""))</f>
        <v/>
      </c>
      <c r="AH3501" s="15" t="str">
        <f t="shared" si="2"/>
        <v/>
      </c>
      <c r="AI3501" s="17" t="str">
        <f>IF(AG3501="","",INDEX('Quitados DUPP'!$G$1:$G$6635,AG3501))</f>
        <v/>
      </c>
      <c r="AJ3501" s="17" t="str">
        <f t="shared" si="3"/>
        <v/>
      </c>
    </row>
    <row r="3502" spans="31:36">
      <c r="AE3502" s="15" t="str">
        <f t="shared" si="0"/>
        <v/>
      </c>
      <c r="AF3502" s="15" t="str">
        <f t="shared" si="1"/>
        <v/>
      </c>
      <c r="AG3502" s="15" t="str">
        <f>IF(OR(AF3502="",AF3502="ERRO_CHAVE"),"",IFERROR(MATCH(AF3502,'Quitados DUPP'!$U$1:$U$6635,0),""))</f>
        <v/>
      </c>
      <c r="AH3502" s="15" t="str">
        <f t="shared" si="2"/>
        <v/>
      </c>
      <c r="AI3502" s="17" t="str">
        <f>IF(AG3502="","",INDEX('Quitados DUPP'!$G$1:$G$6635,AG3502))</f>
        <v/>
      </c>
      <c r="AJ3502" s="17" t="str">
        <f t="shared" si="3"/>
        <v/>
      </c>
    </row>
    <row r="3503" spans="31:36">
      <c r="AE3503" s="15" t="str">
        <f t="shared" si="0"/>
        <v/>
      </c>
      <c r="AF3503" s="15" t="str">
        <f t="shared" si="1"/>
        <v/>
      </c>
      <c r="AG3503" s="15" t="str">
        <f>IF(OR(AF3503="",AF3503="ERRO_CHAVE"),"",IFERROR(MATCH(AF3503,'Quitados DUPP'!$U$1:$U$6635,0),""))</f>
        <v/>
      </c>
      <c r="AH3503" s="15" t="str">
        <f t="shared" si="2"/>
        <v/>
      </c>
      <c r="AI3503" s="17" t="str">
        <f>IF(AG3503="","",INDEX('Quitados DUPP'!$G$1:$G$6635,AG3503))</f>
        <v/>
      </c>
      <c r="AJ3503" s="17" t="str">
        <f t="shared" si="3"/>
        <v/>
      </c>
    </row>
    <row r="3504" spans="31:36">
      <c r="AE3504" s="15" t="str">
        <f t="shared" si="0"/>
        <v/>
      </c>
      <c r="AF3504" s="15" t="str">
        <f t="shared" si="1"/>
        <v/>
      </c>
      <c r="AG3504" s="15" t="str">
        <f>IF(OR(AF3504="",AF3504="ERRO_CHAVE"),"",IFERROR(MATCH(AF3504,'Quitados DUPP'!$U$1:$U$6635,0),""))</f>
        <v/>
      </c>
      <c r="AH3504" s="15" t="str">
        <f t="shared" si="2"/>
        <v/>
      </c>
      <c r="AI3504" s="17" t="str">
        <f>IF(AG3504="","",INDEX('Quitados DUPP'!$G$1:$G$6635,AG3504))</f>
        <v/>
      </c>
      <c r="AJ3504" s="17" t="str">
        <f t="shared" si="3"/>
        <v/>
      </c>
    </row>
    <row r="3505" spans="31:36">
      <c r="AE3505" s="15" t="str">
        <f t="shared" si="0"/>
        <v/>
      </c>
      <c r="AF3505" s="15" t="str">
        <f t="shared" si="1"/>
        <v/>
      </c>
      <c r="AG3505" s="15" t="str">
        <f>IF(OR(AF3505="",AF3505="ERRO_CHAVE"),"",IFERROR(MATCH(AF3505,'Quitados DUPP'!$U$1:$U$6635,0),""))</f>
        <v/>
      </c>
      <c r="AH3505" s="15" t="str">
        <f t="shared" si="2"/>
        <v/>
      </c>
      <c r="AI3505" s="17" t="str">
        <f>IF(AG3505="","",INDEX('Quitados DUPP'!$G$1:$G$6635,AG3505))</f>
        <v/>
      </c>
      <c r="AJ3505" s="17" t="str">
        <f t="shared" si="3"/>
        <v/>
      </c>
    </row>
    <row r="3506" spans="31:36">
      <c r="AE3506" s="15" t="str">
        <f t="shared" si="0"/>
        <v/>
      </c>
      <c r="AF3506" s="15" t="str">
        <f t="shared" si="1"/>
        <v/>
      </c>
      <c r="AG3506" s="15" t="str">
        <f>IF(OR(AF3506="",AF3506="ERRO_CHAVE"),"",IFERROR(MATCH(AF3506,'Quitados DUPP'!$U$1:$U$6635,0),""))</f>
        <v/>
      </c>
      <c r="AH3506" s="15" t="str">
        <f t="shared" si="2"/>
        <v/>
      </c>
      <c r="AI3506" s="17" t="str">
        <f>IF(AG3506="","",INDEX('Quitados DUPP'!$G$1:$G$6635,AG3506))</f>
        <v/>
      </c>
      <c r="AJ3506" s="17" t="str">
        <f t="shared" si="3"/>
        <v/>
      </c>
    </row>
    <row r="3507" spans="31:36">
      <c r="AE3507" s="15" t="str">
        <f t="shared" si="0"/>
        <v/>
      </c>
      <c r="AF3507" s="15" t="str">
        <f t="shared" si="1"/>
        <v/>
      </c>
      <c r="AG3507" s="15" t="str">
        <f>IF(OR(AF3507="",AF3507="ERRO_CHAVE"),"",IFERROR(MATCH(AF3507,'Quitados DUPP'!$U$1:$U$6635,0),""))</f>
        <v/>
      </c>
      <c r="AH3507" s="15" t="str">
        <f t="shared" si="2"/>
        <v/>
      </c>
      <c r="AI3507" s="17" t="str">
        <f>IF(AG3507="","",INDEX('Quitados DUPP'!$G$1:$G$6635,AG3507))</f>
        <v/>
      </c>
      <c r="AJ3507" s="17" t="str">
        <f t="shared" si="3"/>
        <v/>
      </c>
    </row>
    <row r="3508" spans="31:36">
      <c r="AE3508" s="15" t="str">
        <f t="shared" si="0"/>
        <v/>
      </c>
      <c r="AF3508" s="15" t="str">
        <f t="shared" si="1"/>
        <v/>
      </c>
      <c r="AG3508" s="15" t="str">
        <f>IF(OR(AF3508="",AF3508="ERRO_CHAVE"),"",IFERROR(MATCH(AF3508,'Quitados DUPP'!$U$1:$U$6635,0),""))</f>
        <v/>
      </c>
      <c r="AH3508" s="15" t="str">
        <f t="shared" si="2"/>
        <v/>
      </c>
      <c r="AI3508" s="17" t="str">
        <f>IF(AG3508="","",INDEX('Quitados DUPP'!$G$1:$G$6635,AG3508))</f>
        <v/>
      </c>
      <c r="AJ3508" s="17" t="str">
        <f t="shared" si="3"/>
        <v/>
      </c>
    </row>
    <row r="3509" spans="31:36">
      <c r="AE3509" s="15" t="str">
        <f t="shared" si="0"/>
        <v/>
      </c>
      <c r="AF3509" s="15" t="str">
        <f t="shared" si="1"/>
        <v/>
      </c>
      <c r="AG3509" s="15" t="str">
        <f>IF(OR(AF3509="",AF3509="ERRO_CHAVE"),"",IFERROR(MATCH(AF3509,'Quitados DUPP'!$U$1:$U$6635,0),""))</f>
        <v/>
      </c>
      <c r="AH3509" s="15" t="str">
        <f t="shared" si="2"/>
        <v/>
      </c>
      <c r="AI3509" s="17" t="str">
        <f>IF(AG3509="","",INDEX('Quitados DUPP'!$G$1:$G$6635,AG3509))</f>
        <v/>
      </c>
      <c r="AJ3509" s="17" t="str">
        <f t="shared" si="3"/>
        <v/>
      </c>
    </row>
    <row r="3510" spans="31:36">
      <c r="AE3510" s="15" t="str">
        <f t="shared" si="0"/>
        <v/>
      </c>
      <c r="AF3510" s="15" t="str">
        <f t="shared" si="1"/>
        <v/>
      </c>
      <c r="AG3510" s="15" t="str">
        <f>IF(OR(AF3510="",AF3510="ERRO_CHAVE"),"",IFERROR(MATCH(AF3510,'Quitados DUPP'!$U$1:$U$6635,0),""))</f>
        <v/>
      </c>
      <c r="AH3510" s="15" t="str">
        <f t="shared" si="2"/>
        <v/>
      </c>
      <c r="AI3510" s="17" t="str">
        <f>IF(AG3510="","",INDEX('Quitados DUPP'!$G$1:$G$6635,AG3510))</f>
        <v/>
      </c>
      <c r="AJ3510" s="17" t="str">
        <f t="shared" si="3"/>
        <v/>
      </c>
    </row>
    <row r="3511" spans="31:36">
      <c r="AE3511" s="15" t="str">
        <f t="shared" si="0"/>
        <v/>
      </c>
      <c r="AF3511" s="15" t="str">
        <f t="shared" si="1"/>
        <v/>
      </c>
      <c r="AG3511" s="15" t="str">
        <f>IF(OR(AF3511="",AF3511="ERRO_CHAVE"),"",IFERROR(MATCH(AF3511,'Quitados DUPP'!$U$1:$U$6635,0),""))</f>
        <v/>
      </c>
      <c r="AH3511" s="15" t="str">
        <f t="shared" si="2"/>
        <v/>
      </c>
      <c r="AI3511" s="17" t="str">
        <f>IF(AG3511="","",INDEX('Quitados DUPP'!$G$1:$G$6635,AG3511))</f>
        <v/>
      </c>
      <c r="AJ3511" s="17" t="str">
        <f t="shared" si="3"/>
        <v/>
      </c>
    </row>
    <row r="3512" spans="31:36">
      <c r="AE3512" s="15" t="str">
        <f t="shared" si="0"/>
        <v/>
      </c>
      <c r="AF3512" s="15" t="str">
        <f t="shared" si="1"/>
        <v/>
      </c>
      <c r="AG3512" s="15" t="str">
        <f>IF(OR(AF3512="",AF3512="ERRO_CHAVE"),"",IFERROR(MATCH(AF3512,'Quitados DUPP'!$U$1:$U$6635,0),""))</f>
        <v/>
      </c>
      <c r="AH3512" s="15" t="str">
        <f t="shared" si="2"/>
        <v/>
      </c>
      <c r="AI3512" s="17" t="str">
        <f>IF(AG3512="","",INDEX('Quitados DUPP'!$G$1:$G$6635,AG3512))</f>
        <v/>
      </c>
      <c r="AJ3512" s="17" t="str">
        <f t="shared" si="3"/>
        <v/>
      </c>
    </row>
    <row r="3513" spans="31:36">
      <c r="AE3513" s="15" t="str">
        <f t="shared" si="0"/>
        <v/>
      </c>
      <c r="AF3513" s="15" t="str">
        <f t="shared" si="1"/>
        <v/>
      </c>
      <c r="AG3513" s="15" t="str">
        <f>IF(OR(AF3513="",AF3513="ERRO_CHAVE"),"",IFERROR(MATCH(AF3513,'Quitados DUPP'!$U$1:$U$6635,0),""))</f>
        <v/>
      </c>
      <c r="AH3513" s="15" t="str">
        <f t="shared" si="2"/>
        <v/>
      </c>
      <c r="AI3513" s="17" t="str">
        <f>IF(AG3513="","",INDEX('Quitados DUPP'!$G$1:$G$6635,AG3513))</f>
        <v/>
      </c>
      <c r="AJ3513" s="17" t="str">
        <f t="shared" si="3"/>
        <v/>
      </c>
    </row>
    <row r="3514" spans="31:36">
      <c r="AE3514" s="15" t="str">
        <f t="shared" si="0"/>
        <v/>
      </c>
      <c r="AF3514" s="15" t="str">
        <f t="shared" si="1"/>
        <v/>
      </c>
      <c r="AG3514" s="15" t="str">
        <f>IF(OR(AF3514="",AF3514="ERRO_CHAVE"),"",IFERROR(MATCH(AF3514,'Quitados DUPP'!$U$1:$U$6635,0),""))</f>
        <v/>
      </c>
      <c r="AH3514" s="15" t="str">
        <f t="shared" si="2"/>
        <v/>
      </c>
      <c r="AI3514" s="17" t="str">
        <f>IF(AG3514="","",INDEX('Quitados DUPP'!$G$1:$G$6635,AG3514))</f>
        <v/>
      </c>
      <c r="AJ3514" s="17" t="str">
        <f t="shared" si="3"/>
        <v/>
      </c>
    </row>
    <row r="3515" spans="31:36">
      <c r="AE3515" s="15" t="str">
        <f t="shared" si="0"/>
        <v/>
      </c>
      <c r="AF3515" s="15" t="str">
        <f t="shared" si="1"/>
        <v/>
      </c>
      <c r="AG3515" s="15" t="str">
        <f>IF(OR(AF3515="",AF3515="ERRO_CHAVE"),"",IFERROR(MATCH(AF3515,'Quitados DUPP'!$U$1:$U$6635,0),""))</f>
        <v/>
      </c>
      <c r="AH3515" s="15" t="str">
        <f t="shared" si="2"/>
        <v/>
      </c>
      <c r="AI3515" s="17" t="str">
        <f>IF(AG3515="","",INDEX('Quitados DUPP'!$G$1:$G$6635,AG3515))</f>
        <v/>
      </c>
      <c r="AJ3515" s="17" t="str">
        <f t="shared" si="3"/>
        <v/>
      </c>
    </row>
    <row r="3516" spans="31:36">
      <c r="AE3516" s="15" t="str">
        <f t="shared" si="0"/>
        <v/>
      </c>
      <c r="AF3516" s="15" t="str">
        <f t="shared" si="1"/>
        <v/>
      </c>
      <c r="AG3516" s="15" t="str">
        <f>IF(OR(AF3516="",AF3516="ERRO_CHAVE"),"",IFERROR(MATCH(AF3516,'Quitados DUPP'!$U$1:$U$6635,0),""))</f>
        <v/>
      </c>
      <c r="AH3516" s="15" t="str">
        <f t="shared" si="2"/>
        <v/>
      </c>
      <c r="AI3516" s="17" t="str">
        <f>IF(AG3516="","",INDEX('Quitados DUPP'!$G$1:$G$6635,AG3516))</f>
        <v/>
      </c>
      <c r="AJ3516" s="17" t="str">
        <f t="shared" si="3"/>
        <v/>
      </c>
    </row>
    <row r="3517" spans="31:36">
      <c r="AE3517" s="15" t="str">
        <f t="shared" si="0"/>
        <v/>
      </c>
      <c r="AF3517" s="15" t="str">
        <f t="shared" si="1"/>
        <v/>
      </c>
      <c r="AG3517" s="15" t="str">
        <f>IF(OR(AF3517="",AF3517="ERRO_CHAVE"),"",IFERROR(MATCH(AF3517,'Quitados DUPP'!$U$1:$U$6635,0),""))</f>
        <v/>
      </c>
      <c r="AH3517" s="15" t="str">
        <f t="shared" si="2"/>
        <v/>
      </c>
      <c r="AI3517" s="17" t="str">
        <f>IF(AG3517="","",INDEX('Quitados DUPP'!$G$1:$G$6635,AG3517))</f>
        <v/>
      </c>
      <c r="AJ3517" s="17" t="str">
        <f t="shared" si="3"/>
        <v/>
      </c>
    </row>
    <row r="3518" spans="31:36">
      <c r="AE3518" s="15" t="str">
        <f t="shared" si="0"/>
        <v/>
      </c>
      <c r="AF3518" s="15" t="str">
        <f t="shared" si="1"/>
        <v/>
      </c>
      <c r="AG3518" s="15" t="str">
        <f>IF(OR(AF3518="",AF3518="ERRO_CHAVE"),"",IFERROR(MATCH(AF3518,'Quitados DUPP'!$U$1:$U$6635,0),""))</f>
        <v/>
      </c>
      <c r="AH3518" s="15" t="str">
        <f t="shared" si="2"/>
        <v/>
      </c>
      <c r="AI3518" s="17" t="str">
        <f>IF(AG3518="","",INDEX('Quitados DUPP'!$G$1:$G$6635,AG3518))</f>
        <v/>
      </c>
      <c r="AJ3518" s="17" t="str">
        <f t="shared" si="3"/>
        <v/>
      </c>
    </row>
    <row r="3519" spans="31:36">
      <c r="AE3519" s="15" t="str">
        <f t="shared" si="0"/>
        <v/>
      </c>
      <c r="AF3519" s="15" t="str">
        <f t="shared" si="1"/>
        <v/>
      </c>
      <c r="AG3519" s="15" t="str">
        <f>IF(OR(AF3519="",AF3519="ERRO_CHAVE"),"",IFERROR(MATCH(AF3519,'Quitados DUPP'!$U$1:$U$6635,0),""))</f>
        <v/>
      </c>
      <c r="AH3519" s="15" t="str">
        <f t="shared" si="2"/>
        <v/>
      </c>
      <c r="AI3519" s="17" t="str">
        <f>IF(AG3519="","",INDEX('Quitados DUPP'!$G$1:$G$6635,AG3519))</f>
        <v/>
      </c>
      <c r="AJ3519" s="17" t="str">
        <f t="shared" si="3"/>
        <v/>
      </c>
    </row>
    <row r="3520" spans="31:36">
      <c r="AE3520" s="15" t="str">
        <f t="shared" si="0"/>
        <v/>
      </c>
      <c r="AF3520" s="15" t="str">
        <f t="shared" si="1"/>
        <v/>
      </c>
      <c r="AG3520" s="15" t="str">
        <f>IF(OR(AF3520="",AF3520="ERRO_CHAVE"),"",IFERROR(MATCH(AF3520,'Quitados DUPP'!$U$1:$U$6635,0),""))</f>
        <v/>
      </c>
      <c r="AH3520" s="15" t="str">
        <f t="shared" si="2"/>
        <v/>
      </c>
      <c r="AI3520" s="17" t="str">
        <f>IF(AG3520="","",INDEX('Quitados DUPP'!$G$1:$G$6635,AG3520))</f>
        <v/>
      </c>
      <c r="AJ3520" s="17" t="str">
        <f t="shared" si="3"/>
        <v/>
      </c>
    </row>
    <row r="3521" spans="31:36">
      <c r="AE3521" s="15" t="str">
        <f t="shared" si="0"/>
        <v/>
      </c>
      <c r="AF3521" s="15" t="str">
        <f t="shared" si="1"/>
        <v/>
      </c>
      <c r="AG3521" s="15" t="str">
        <f>IF(OR(AF3521="",AF3521="ERRO_CHAVE"),"",IFERROR(MATCH(AF3521,'Quitados DUPP'!$U$1:$U$6635,0),""))</f>
        <v/>
      </c>
      <c r="AH3521" s="15" t="str">
        <f t="shared" si="2"/>
        <v/>
      </c>
      <c r="AI3521" s="17" t="str">
        <f>IF(AG3521="","",INDEX('Quitados DUPP'!$G$1:$G$6635,AG3521))</f>
        <v/>
      </c>
      <c r="AJ3521" s="17" t="str">
        <f t="shared" si="3"/>
        <v/>
      </c>
    </row>
    <row r="3522" spans="31:36">
      <c r="AE3522" s="15" t="str">
        <f t="shared" si="0"/>
        <v/>
      </c>
      <c r="AF3522" s="15" t="str">
        <f t="shared" si="1"/>
        <v/>
      </c>
      <c r="AG3522" s="15" t="str">
        <f>IF(OR(AF3522="",AF3522="ERRO_CHAVE"),"",IFERROR(MATCH(AF3522,'Quitados DUPP'!$U$1:$U$6635,0),""))</f>
        <v/>
      </c>
      <c r="AH3522" s="15" t="str">
        <f t="shared" si="2"/>
        <v/>
      </c>
      <c r="AI3522" s="17" t="str">
        <f>IF(AG3522="","",INDEX('Quitados DUPP'!$G$1:$G$6635,AG3522))</f>
        <v/>
      </c>
      <c r="AJ3522" s="17" t="str">
        <f t="shared" si="3"/>
        <v/>
      </c>
    </row>
    <row r="3523" spans="31:36">
      <c r="AE3523" s="15" t="str">
        <f t="shared" si="0"/>
        <v/>
      </c>
      <c r="AF3523" s="15" t="str">
        <f t="shared" si="1"/>
        <v/>
      </c>
      <c r="AG3523" s="15" t="str">
        <f>IF(OR(AF3523="",AF3523="ERRO_CHAVE"),"",IFERROR(MATCH(AF3523,'Quitados DUPP'!$U$1:$U$6635,0),""))</f>
        <v/>
      </c>
      <c r="AH3523" s="15" t="str">
        <f t="shared" si="2"/>
        <v/>
      </c>
      <c r="AI3523" s="17" t="str">
        <f>IF(AG3523="","",INDEX('Quitados DUPP'!$G$1:$G$6635,AG3523))</f>
        <v/>
      </c>
      <c r="AJ3523" s="17" t="str">
        <f t="shared" si="3"/>
        <v/>
      </c>
    </row>
    <row r="3524" spans="31:36">
      <c r="AE3524" s="15" t="str">
        <f t="shared" si="0"/>
        <v/>
      </c>
      <c r="AF3524" s="15" t="str">
        <f t="shared" si="1"/>
        <v/>
      </c>
      <c r="AG3524" s="15" t="str">
        <f>IF(OR(AF3524="",AF3524="ERRO_CHAVE"),"",IFERROR(MATCH(AF3524,'Quitados DUPP'!$U$1:$U$6635,0),""))</f>
        <v/>
      </c>
      <c r="AH3524" s="15" t="str">
        <f t="shared" si="2"/>
        <v/>
      </c>
      <c r="AI3524" s="17" t="str">
        <f>IF(AG3524="","",INDEX('Quitados DUPP'!$G$1:$G$6635,AG3524))</f>
        <v/>
      </c>
      <c r="AJ3524" s="17" t="str">
        <f t="shared" si="3"/>
        <v/>
      </c>
    </row>
    <row r="3525" spans="31:36">
      <c r="AE3525" s="15" t="str">
        <f t="shared" si="0"/>
        <v/>
      </c>
      <c r="AF3525" s="15" t="str">
        <f t="shared" si="1"/>
        <v/>
      </c>
      <c r="AG3525" s="15" t="str">
        <f>IF(OR(AF3525="",AF3525="ERRO_CHAVE"),"",IFERROR(MATCH(AF3525,'Quitados DUPP'!$U$1:$U$6635,0),""))</f>
        <v/>
      </c>
      <c r="AH3525" s="15" t="str">
        <f t="shared" si="2"/>
        <v/>
      </c>
      <c r="AI3525" s="17" t="str">
        <f>IF(AG3525="","",INDEX('Quitados DUPP'!$G$1:$G$6635,AG3525))</f>
        <v/>
      </c>
      <c r="AJ3525" s="17" t="str">
        <f t="shared" si="3"/>
        <v/>
      </c>
    </row>
    <row r="3526" spans="31:36">
      <c r="AE3526" s="15" t="str">
        <f t="shared" si="0"/>
        <v/>
      </c>
      <c r="AF3526" s="15" t="str">
        <f t="shared" si="1"/>
        <v/>
      </c>
      <c r="AG3526" s="15" t="str">
        <f>IF(OR(AF3526="",AF3526="ERRO_CHAVE"),"",IFERROR(MATCH(AF3526,'Quitados DUPP'!$U$1:$U$6635,0),""))</f>
        <v/>
      </c>
      <c r="AH3526" s="15" t="str">
        <f t="shared" si="2"/>
        <v/>
      </c>
      <c r="AI3526" s="17" t="str">
        <f>IF(AG3526="","",INDEX('Quitados DUPP'!$G$1:$G$6635,AG3526))</f>
        <v/>
      </c>
      <c r="AJ3526" s="17" t="str">
        <f t="shared" si="3"/>
        <v/>
      </c>
    </row>
    <row r="3527" spans="31:36">
      <c r="AE3527" s="15" t="str">
        <f t="shared" si="0"/>
        <v/>
      </c>
      <c r="AF3527" s="15" t="str">
        <f t="shared" si="1"/>
        <v/>
      </c>
      <c r="AG3527" s="15" t="str">
        <f>IF(OR(AF3527="",AF3527="ERRO_CHAVE"),"",IFERROR(MATCH(AF3527,'Quitados DUPP'!$U$1:$U$6635,0),""))</f>
        <v/>
      </c>
      <c r="AH3527" s="15" t="str">
        <f t="shared" si="2"/>
        <v/>
      </c>
      <c r="AI3527" s="17" t="str">
        <f>IF(AG3527="","",INDEX('Quitados DUPP'!$G$1:$G$6635,AG3527))</f>
        <v/>
      </c>
      <c r="AJ3527" s="17" t="str">
        <f t="shared" si="3"/>
        <v/>
      </c>
    </row>
    <row r="3528" spans="31:36">
      <c r="AE3528" s="15" t="str">
        <f t="shared" si="0"/>
        <v/>
      </c>
      <c r="AF3528" s="15" t="str">
        <f t="shared" si="1"/>
        <v/>
      </c>
      <c r="AG3528" s="15" t="str">
        <f>IF(OR(AF3528="",AF3528="ERRO_CHAVE"),"",IFERROR(MATCH(AF3528,'Quitados DUPP'!$U$1:$U$6635,0),""))</f>
        <v/>
      </c>
      <c r="AH3528" s="15" t="str">
        <f t="shared" si="2"/>
        <v/>
      </c>
      <c r="AI3528" s="17" t="str">
        <f>IF(AG3528="","",INDEX('Quitados DUPP'!$G$1:$G$6635,AG3528))</f>
        <v/>
      </c>
      <c r="AJ3528" s="17" t="str">
        <f t="shared" si="3"/>
        <v/>
      </c>
    </row>
    <row r="3529" spans="31:36">
      <c r="AE3529" s="15" t="str">
        <f t="shared" si="0"/>
        <v/>
      </c>
      <c r="AF3529" s="15" t="str">
        <f t="shared" si="1"/>
        <v/>
      </c>
      <c r="AG3529" s="15" t="str">
        <f>IF(OR(AF3529="",AF3529="ERRO_CHAVE"),"",IFERROR(MATCH(AF3529,'Quitados DUPP'!$U$1:$U$6635,0),""))</f>
        <v/>
      </c>
      <c r="AH3529" s="15" t="str">
        <f t="shared" si="2"/>
        <v/>
      </c>
      <c r="AI3529" s="17" t="str">
        <f>IF(AG3529="","",INDEX('Quitados DUPP'!$G$1:$G$6635,AG3529))</f>
        <v/>
      </c>
      <c r="AJ3529" s="17" t="str">
        <f t="shared" si="3"/>
        <v/>
      </c>
    </row>
    <row r="3530" spans="31:36">
      <c r="AE3530" s="15" t="str">
        <f t="shared" si="0"/>
        <v/>
      </c>
      <c r="AF3530" s="15" t="str">
        <f t="shared" si="1"/>
        <v/>
      </c>
      <c r="AG3530" s="15" t="str">
        <f>IF(OR(AF3530="",AF3530="ERRO_CHAVE"),"",IFERROR(MATCH(AF3530,'Quitados DUPP'!$U$1:$U$6635,0),""))</f>
        <v/>
      </c>
      <c r="AH3530" s="15" t="str">
        <f t="shared" si="2"/>
        <v/>
      </c>
      <c r="AI3530" s="17" t="str">
        <f>IF(AG3530="","",INDEX('Quitados DUPP'!$G$1:$G$6635,AG3530))</f>
        <v/>
      </c>
      <c r="AJ3530" s="17" t="str">
        <f t="shared" si="3"/>
        <v/>
      </c>
    </row>
    <row r="3531" spans="31:36">
      <c r="AE3531" s="15" t="str">
        <f t="shared" si="0"/>
        <v/>
      </c>
      <c r="AF3531" s="15" t="str">
        <f t="shared" si="1"/>
        <v/>
      </c>
      <c r="AG3531" s="15" t="str">
        <f>IF(OR(AF3531="",AF3531="ERRO_CHAVE"),"",IFERROR(MATCH(AF3531,'Quitados DUPP'!$U$1:$U$6635,0),""))</f>
        <v/>
      </c>
      <c r="AH3531" s="15" t="str">
        <f t="shared" si="2"/>
        <v/>
      </c>
      <c r="AI3531" s="17" t="str">
        <f>IF(AG3531="","",INDEX('Quitados DUPP'!$G$1:$G$6635,AG3531))</f>
        <v/>
      </c>
      <c r="AJ3531" s="17" t="str">
        <f t="shared" si="3"/>
        <v/>
      </c>
    </row>
    <row r="3532" spans="31:36">
      <c r="AE3532" s="15" t="str">
        <f t="shared" si="0"/>
        <v/>
      </c>
      <c r="AF3532" s="15" t="str">
        <f t="shared" si="1"/>
        <v/>
      </c>
      <c r="AG3532" s="15" t="str">
        <f>IF(OR(AF3532="",AF3532="ERRO_CHAVE"),"",IFERROR(MATCH(AF3532,'Quitados DUPP'!$U$1:$U$6635,0),""))</f>
        <v/>
      </c>
      <c r="AH3532" s="15" t="str">
        <f t="shared" si="2"/>
        <v/>
      </c>
      <c r="AI3532" s="17" t="str">
        <f>IF(AG3532="","",INDEX('Quitados DUPP'!$G$1:$G$6635,AG3532))</f>
        <v/>
      </c>
      <c r="AJ3532" s="17" t="str">
        <f t="shared" si="3"/>
        <v/>
      </c>
    </row>
    <row r="3533" spans="31:36">
      <c r="AE3533" s="15" t="str">
        <f t="shared" si="0"/>
        <v/>
      </c>
      <c r="AF3533" s="15" t="str">
        <f t="shared" si="1"/>
        <v/>
      </c>
      <c r="AG3533" s="15" t="str">
        <f>IF(OR(AF3533="",AF3533="ERRO_CHAVE"),"",IFERROR(MATCH(AF3533,'Quitados DUPP'!$U$1:$U$6635,0),""))</f>
        <v/>
      </c>
      <c r="AH3533" s="15" t="str">
        <f t="shared" si="2"/>
        <v/>
      </c>
      <c r="AI3533" s="17" t="str">
        <f>IF(AG3533="","",INDEX('Quitados DUPP'!$G$1:$G$6635,AG3533))</f>
        <v/>
      </c>
      <c r="AJ3533" s="17" t="str">
        <f t="shared" si="3"/>
        <v/>
      </c>
    </row>
    <row r="3534" spans="31:36">
      <c r="AE3534" s="15" t="str">
        <f t="shared" si="0"/>
        <v/>
      </c>
      <c r="AF3534" s="15" t="str">
        <f t="shared" si="1"/>
        <v/>
      </c>
      <c r="AG3534" s="15" t="str">
        <f>IF(OR(AF3534="",AF3534="ERRO_CHAVE"),"",IFERROR(MATCH(AF3534,'Quitados DUPP'!$U$1:$U$6635,0),""))</f>
        <v/>
      </c>
      <c r="AH3534" s="15" t="str">
        <f t="shared" si="2"/>
        <v/>
      </c>
      <c r="AI3534" s="17" t="str">
        <f>IF(AG3534="","",INDEX('Quitados DUPP'!$G$1:$G$6635,AG3534))</f>
        <v/>
      </c>
      <c r="AJ3534" s="17" t="str">
        <f t="shared" si="3"/>
        <v/>
      </c>
    </row>
    <row r="3535" spans="31:36">
      <c r="AE3535" s="15" t="str">
        <f t="shared" si="0"/>
        <v/>
      </c>
      <c r="AF3535" s="15" t="str">
        <f t="shared" si="1"/>
        <v/>
      </c>
      <c r="AG3535" s="15" t="str">
        <f>IF(OR(AF3535="",AF3535="ERRO_CHAVE"),"",IFERROR(MATCH(AF3535,'Quitados DUPP'!$U$1:$U$6635,0),""))</f>
        <v/>
      </c>
      <c r="AH3535" s="15" t="str">
        <f t="shared" si="2"/>
        <v/>
      </c>
      <c r="AI3535" s="17" t="str">
        <f>IF(AG3535="","",INDEX('Quitados DUPP'!$G$1:$G$6635,AG3535))</f>
        <v/>
      </c>
      <c r="AJ3535" s="17" t="str">
        <f t="shared" si="3"/>
        <v/>
      </c>
    </row>
    <row r="3536" spans="31:36">
      <c r="AE3536" s="15" t="str">
        <f t="shared" si="0"/>
        <v/>
      </c>
      <c r="AF3536" s="15" t="str">
        <f t="shared" si="1"/>
        <v/>
      </c>
      <c r="AG3536" s="15" t="str">
        <f>IF(OR(AF3536="",AF3536="ERRO_CHAVE"),"",IFERROR(MATCH(AF3536,'Quitados DUPP'!$U$1:$U$6635,0),""))</f>
        <v/>
      </c>
      <c r="AH3536" s="15" t="str">
        <f t="shared" si="2"/>
        <v/>
      </c>
      <c r="AI3536" s="17" t="str">
        <f>IF(AG3536="","",INDEX('Quitados DUPP'!$G$1:$G$6635,AG3536))</f>
        <v/>
      </c>
      <c r="AJ3536" s="17" t="str">
        <f t="shared" si="3"/>
        <v/>
      </c>
    </row>
    <row r="3537" spans="31:36">
      <c r="AE3537" s="15" t="str">
        <f t="shared" si="0"/>
        <v/>
      </c>
      <c r="AF3537" s="15" t="str">
        <f t="shared" si="1"/>
        <v/>
      </c>
      <c r="AG3537" s="15" t="str">
        <f>IF(OR(AF3537="",AF3537="ERRO_CHAVE"),"",IFERROR(MATCH(AF3537,'Quitados DUPP'!$U$1:$U$6635,0),""))</f>
        <v/>
      </c>
      <c r="AH3537" s="15" t="str">
        <f t="shared" si="2"/>
        <v/>
      </c>
      <c r="AI3537" s="17" t="str">
        <f>IF(AG3537="","",INDEX('Quitados DUPP'!$G$1:$G$6635,AG3537))</f>
        <v/>
      </c>
      <c r="AJ3537" s="17" t="str">
        <f t="shared" si="3"/>
        <v/>
      </c>
    </row>
    <row r="3538" spans="31:36">
      <c r="AE3538" s="15" t="str">
        <f t="shared" si="0"/>
        <v/>
      </c>
      <c r="AF3538" s="15" t="str">
        <f t="shared" si="1"/>
        <v/>
      </c>
      <c r="AG3538" s="15" t="str">
        <f>IF(OR(AF3538="",AF3538="ERRO_CHAVE"),"",IFERROR(MATCH(AF3538,'Quitados DUPP'!$U$1:$U$6635,0),""))</f>
        <v/>
      </c>
      <c r="AH3538" s="15" t="str">
        <f t="shared" si="2"/>
        <v/>
      </c>
      <c r="AI3538" s="17" t="str">
        <f>IF(AG3538="","",INDEX('Quitados DUPP'!$G$1:$G$6635,AG3538))</f>
        <v/>
      </c>
      <c r="AJ3538" s="17" t="str">
        <f t="shared" si="3"/>
        <v/>
      </c>
    </row>
    <row r="3539" spans="31:36">
      <c r="AE3539" s="15" t="str">
        <f t="shared" si="0"/>
        <v/>
      </c>
      <c r="AF3539" s="15" t="str">
        <f t="shared" si="1"/>
        <v/>
      </c>
      <c r="AG3539" s="15" t="str">
        <f>IF(OR(AF3539="",AF3539="ERRO_CHAVE"),"",IFERROR(MATCH(AF3539,'Quitados DUPP'!$U$1:$U$6635,0),""))</f>
        <v/>
      </c>
      <c r="AH3539" s="15" t="str">
        <f t="shared" si="2"/>
        <v/>
      </c>
      <c r="AI3539" s="17" t="str">
        <f>IF(AG3539="","",INDEX('Quitados DUPP'!$G$1:$G$6635,AG3539))</f>
        <v/>
      </c>
      <c r="AJ3539" s="17" t="str">
        <f t="shared" si="3"/>
        <v/>
      </c>
    </row>
    <row r="3540" spans="31:36">
      <c r="AE3540" s="15" t="str">
        <f t="shared" si="0"/>
        <v/>
      </c>
      <c r="AF3540" s="15" t="str">
        <f t="shared" si="1"/>
        <v/>
      </c>
      <c r="AG3540" s="15" t="str">
        <f>IF(OR(AF3540="",AF3540="ERRO_CHAVE"),"",IFERROR(MATCH(AF3540,'Quitados DUPP'!$U$1:$U$6635,0),""))</f>
        <v/>
      </c>
      <c r="AH3540" s="15" t="str">
        <f t="shared" si="2"/>
        <v/>
      </c>
      <c r="AI3540" s="17" t="str">
        <f>IF(AG3540="","",INDEX('Quitados DUPP'!$G$1:$G$6635,AG3540))</f>
        <v/>
      </c>
      <c r="AJ3540" s="17" t="str">
        <f t="shared" si="3"/>
        <v/>
      </c>
    </row>
    <row r="3541" spans="31:36">
      <c r="AE3541" s="15" t="str">
        <f t="shared" si="0"/>
        <v/>
      </c>
      <c r="AF3541" s="15" t="str">
        <f t="shared" si="1"/>
        <v/>
      </c>
      <c r="AG3541" s="15" t="str">
        <f>IF(OR(AF3541="",AF3541="ERRO_CHAVE"),"",IFERROR(MATCH(AF3541,'Quitados DUPP'!$U$1:$U$6635,0),""))</f>
        <v/>
      </c>
      <c r="AH3541" s="15" t="str">
        <f t="shared" si="2"/>
        <v/>
      </c>
      <c r="AI3541" s="17" t="str">
        <f>IF(AG3541="","",INDEX('Quitados DUPP'!$G$1:$G$6635,AG3541))</f>
        <v/>
      </c>
      <c r="AJ3541" s="17" t="str">
        <f t="shared" si="3"/>
        <v/>
      </c>
    </row>
    <row r="3542" spans="31:36">
      <c r="AE3542" s="15" t="str">
        <f t="shared" si="0"/>
        <v/>
      </c>
      <c r="AF3542" s="15" t="str">
        <f t="shared" si="1"/>
        <v/>
      </c>
      <c r="AG3542" s="15" t="str">
        <f>IF(OR(AF3542="",AF3542="ERRO_CHAVE"),"",IFERROR(MATCH(AF3542,'Quitados DUPP'!$U$1:$U$6635,0),""))</f>
        <v/>
      </c>
      <c r="AH3542" s="15" t="str">
        <f t="shared" si="2"/>
        <v/>
      </c>
      <c r="AI3542" s="17" t="str">
        <f>IF(AG3542="","",INDEX('Quitados DUPP'!$G$1:$G$6635,AG3542))</f>
        <v/>
      </c>
      <c r="AJ3542" s="17" t="str">
        <f t="shared" si="3"/>
        <v/>
      </c>
    </row>
    <row r="3543" spans="31:36">
      <c r="AE3543" s="15" t="str">
        <f t="shared" si="0"/>
        <v/>
      </c>
      <c r="AF3543" s="15" t="str">
        <f t="shared" si="1"/>
        <v/>
      </c>
      <c r="AG3543" s="15" t="str">
        <f>IF(OR(AF3543="",AF3543="ERRO_CHAVE"),"",IFERROR(MATCH(AF3543,'Quitados DUPP'!$U$1:$U$6635,0),""))</f>
        <v/>
      </c>
      <c r="AH3543" s="15" t="str">
        <f t="shared" si="2"/>
        <v/>
      </c>
      <c r="AI3543" s="17" t="str">
        <f>IF(AG3543="","",INDEX('Quitados DUPP'!$G$1:$G$6635,AG3543))</f>
        <v/>
      </c>
      <c r="AJ3543" s="17" t="str">
        <f t="shared" si="3"/>
        <v/>
      </c>
    </row>
    <row r="3544" spans="31:36">
      <c r="AE3544" s="15" t="str">
        <f t="shared" si="0"/>
        <v/>
      </c>
      <c r="AF3544" s="15" t="str">
        <f t="shared" si="1"/>
        <v/>
      </c>
      <c r="AG3544" s="15" t="str">
        <f>IF(OR(AF3544="",AF3544="ERRO_CHAVE"),"",IFERROR(MATCH(AF3544,'Quitados DUPP'!$U$1:$U$6635,0),""))</f>
        <v/>
      </c>
      <c r="AH3544" s="15" t="str">
        <f t="shared" si="2"/>
        <v/>
      </c>
      <c r="AI3544" s="17" t="str">
        <f>IF(AG3544="","",INDEX('Quitados DUPP'!$G$1:$G$6635,AG3544))</f>
        <v/>
      </c>
      <c r="AJ3544" s="17" t="str">
        <f t="shared" si="3"/>
        <v/>
      </c>
    </row>
    <row r="3545" spans="31:36">
      <c r="AE3545" s="15" t="str">
        <f t="shared" si="0"/>
        <v/>
      </c>
      <c r="AF3545" s="15" t="str">
        <f t="shared" si="1"/>
        <v/>
      </c>
      <c r="AG3545" s="15" t="str">
        <f>IF(OR(AF3545="",AF3545="ERRO_CHAVE"),"",IFERROR(MATCH(AF3545,'Quitados DUPP'!$U$1:$U$6635,0),""))</f>
        <v/>
      </c>
      <c r="AH3545" s="15" t="str">
        <f t="shared" si="2"/>
        <v/>
      </c>
      <c r="AI3545" s="17" t="str">
        <f>IF(AG3545="","",INDEX('Quitados DUPP'!$G$1:$G$6635,AG3545))</f>
        <v/>
      </c>
      <c r="AJ3545" s="17" t="str">
        <f t="shared" si="3"/>
        <v/>
      </c>
    </row>
    <row r="3546" spans="31:36">
      <c r="AE3546" s="15" t="str">
        <f t="shared" si="0"/>
        <v/>
      </c>
      <c r="AF3546" s="15" t="str">
        <f t="shared" si="1"/>
        <v/>
      </c>
      <c r="AG3546" s="15" t="str">
        <f>IF(OR(AF3546="",AF3546="ERRO_CHAVE"),"",IFERROR(MATCH(AF3546,'Quitados DUPP'!$U$1:$U$6635,0),""))</f>
        <v/>
      </c>
      <c r="AH3546" s="15" t="str">
        <f t="shared" si="2"/>
        <v/>
      </c>
      <c r="AI3546" s="17" t="str">
        <f>IF(AG3546="","",INDEX('Quitados DUPP'!$G$1:$G$6635,AG3546))</f>
        <v/>
      </c>
      <c r="AJ3546" s="17" t="str">
        <f t="shared" si="3"/>
        <v/>
      </c>
    </row>
    <row r="3547" spans="31:36">
      <c r="AE3547" s="15" t="str">
        <f t="shared" si="0"/>
        <v/>
      </c>
      <c r="AF3547" s="15" t="str">
        <f t="shared" si="1"/>
        <v/>
      </c>
      <c r="AG3547" s="15" t="str">
        <f>IF(OR(AF3547="",AF3547="ERRO_CHAVE"),"",IFERROR(MATCH(AF3547,'Quitados DUPP'!$U$1:$U$6635,0),""))</f>
        <v/>
      </c>
      <c r="AH3547" s="15" t="str">
        <f t="shared" si="2"/>
        <v/>
      </c>
      <c r="AI3547" s="17" t="str">
        <f>IF(AG3547="","",INDEX('Quitados DUPP'!$G$1:$G$6635,AG3547))</f>
        <v/>
      </c>
      <c r="AJ3547" s="17" t="str">
        <f t="shared" si="3"/>
        <v/>
      </c>
    </row>
    <row r="3548" spans="31:36">
      <c r="AE3548" s="15" t="str">
        <f t="shared" si="0"/>
        <v/>
      </c>
      <c r="AF3548" s="15" t="str">
        <f t="shared" si="1"/>
        <v/>
      </c>
      <c r="AG3548" s="15" t="str">
        <f>IF(OR(AF3548="",AF3548="ERRO_CHAVE"),"",IFERROR(MATCH(AF3548,'Quitados DUPP'!$U$1:$U$6635,0),""))</f>
        <v/>
      </c>
      <c r="AH3548" s="15" t="str">
        <f t="shared" si="2"/>
        <v/>
      </c>
      <c r="AI3548" s="17" t="str">
        <f>IF(AG3548="","",INDEX('Quitados DUPP'!$G$1:$G$6635,AG3548))</f>
        <v/>
      </c>
      <c r="AJ3548" s="17" t="str">
        <f t="shared" si="3"/>
        <v/>
      </c>
    </row>
    <row r="3549" spans="31:36">
      <c r="AE3549" s="15" t="str">
        <f t="shared" si="0"/>
        <v/>
      </c>
      <c r="AF3549" s="15" t="str">
        <f t="shared" si="1"/>
        <v/>
      </c>
      <c r="AG3549" s="15" t="str">
        <f>IF(OR(AF3549="",AF3549="ERRO_CHAVE"),"",IFERROR(MATCH(AF3549,'Quitados DUPP'!$U$1:$U$6635,0),""))</f>
        <v/>
      </c>
      <c r="AH3549" s="15" t="str">
        <f t="shared" si="2"/>
        <v/>
      </c>
      <c r="AI3549" s="17" t="str">
        <f>IF(AG3549="","",INDEX('Quitados DUPP'!$G$1:$G$6635,AG3549))</f>
        <v/>
      </c>
      <c r="AJ3549" s="17" t="str">
        <f t="shared" si="3"/>
        <v/>
      </c>
    </row>
    <row r="3550" spans="31:36">
      <c r="AE3550" s="15" t="str">
        <f t="shared" si="0"/>
        <v/>
      </c>
      <c r="AF3550" s="15" t="str">
        <f t="shared" si="1"/>
        <v/>
      </c>
      <c r="AG3550" s="15" t="str">
        <f>IF(OR(AF3550="",AF3550="ERRO_CHAVE"),"",IFERROR(MATCH(AF3550,'Quitados DUPP'!$U$1:$U$6635,0),""))</f>
        <v/>
      </c>
      <c r="AH3550" s="15" t="str">
        <f t="shared" si="2"/>
        <v/>
      </c>
      <c r="AI3550" s="17" t="str">
        <f>IF(AG3550="","",INDEX('Quitados DUPP'!$G$1:$G$6635,AG3550))</f>
        <v/>
      </c>
      <c r="AJ3550" s="17" t="str">
        <f t="shared" si="3"/>
        <v/>
      </c>
    </row>
    <row r="3551" spans="31:36">
      <c r="AE3551" s="15" t="str">
        <f t="shared" si="0"/>
        <v/>
      </c>
      <c r="AF3551" s="15" t="str">
        <f t="shared" si="1"/>
        <v/>
      </c>
      <c r="AG3551" s="15" t="str">
        <f>IF(OR(AF3551="",AF3551="ERRO_CHAVE"),"",IFERROR(MATCH(AF3551,'Quitados DUPP'!$U$1:$U$6635,0),""))</f>
        <v/>
      </c>
      <c r="AH3551" s="15" t="str">
        <f t="shared" si="2"/>
        <v/>
      </c>
      <c r="AI3551" s="17" t="str">
        <f>IF(AG3551="","",INDEX('Quitados DUPP'!$G$1:$G$6635,AG3551))</f>
        <v/>
      </c>
      <c r="AJ3551" s="17" t="str">
        <f t="shared" si="3"/>
        <v/>
      </c>
    </row>
    <row r="3552" spans="31:36">
      <c r="AE3552" s="15" t="str">
        <f t="shared" si="0"/>
        <v/>
      </c>
      <c r="AF3552" s="15" t="str">
        <f t="shared" si="1"/>
        <v/>
      </c>
      <c r="AG3552" s="15" t="str">
        <f>IF(OR(AF3552="",AF3552="ERRO_CHAVE"),"",IFERROR(MATCH(AF3552,'Quitados DUPP'!$U$1:$U$6635,0),""))</f>
        <v/>
      </c>
      <c r="AH3552" s="15" t="str">
        <f t="shared" si="2"/>
        <v/>
      </c>
      <c r="AI3552" s="17" t="str">
        <f>IF(AG3552="","",INDEX('Quitados DUPP'!$G$1:$G$6635,AG3552))</f>
        <v/>
      </c>
      <c r="AJ3552" s="17" t="str">
        <f t="shared" si="3"/>
        <v/>
      </c>
    </row>
    <row r="3553" spans="31:36">
      <c r="AE3553" s="15" t="str">
        <f t="shared" si="0"/>
        <v/>
      </c>
      <c r="AF3553" s="15" t="str">
        <f t="shared" si="1"/>
        <v/>
      </c>
      <c r="AG3553" s="15" t="str">
        <f>IF(OR(AF3553="",AF3553="ERRO_CHAVE"),"",IFERROR(MATCH(AF3553,'Quitados DUPP'!$U$1:$U$6635,0),""))</f>
        <v/>
      </c>
      <c r="AH3553" s="15" t="str">
        <f t="shared" si="2"/>
        <v/>
      </c>
      <c r="AI3553" s="17" t="str">
        <f>IF(AG3553="","",INDEX('Quitados DUPP'!$G$1:$G$6635,AG3553))</f>
        <v/>
      </c>
      <c r="AJ3553" s="17" t="str">
        <f t="shared" si="3"/>
        <v/>
      </c>
    </row>
    <row r="3554" spans="31:36">
      <c r="AE3554" s="15" t="str">
        <f t="shared" si="0"/>
        <v/>
      </c>
      <c r="AF3554" s="15" t="str">
        <f t="shared" si="1"/>
        <v/>
      </c>
      <c r="AG3554" s="15" t="str">
        <f>IF(OR(AF3554="",AF3554="ERRO_CHAVE"),"",IFERROR(MATCH(AF3554,'Quitados DUPP'!$U$1:$U$6635,0),""))</f>
        <v/>
      </c>
      <c r="AH3554" s="15" t="str">
        <f t="shared" si="2"/>
        <v/>
      </c>
      <c r="AI3554" s="17" t="str">
        <f>IF(AG3554="","",INDEX('Quitados DUPP'!$G$1:$G$6635,AG3554))</f>
        <v/>
      </c>
      <c r="AJ3554" s="17" t="str">
        <f t="shared" si="3"/>
        <v/>
      </c>
    </row>
    <row r="3555" spans="31:36">
      <c r="AE3555" s="15" t="str">
        <f t="shared" si="0"/>
        <v/>
      </c>
      <c r="AF3555" s="15" t="str">
        <f t="shared" si="1"/>
        <v/>
      </c>
      <c r="AG3555" s="15" t="str">
        <f>IF(OR(AF3555="",AF3555="ERRO_CHAVE"),"",IFERROR(MATCH(AF3555,'Quitados DUPP'!$U$1:$U$6635,0),""))</f>
        <v/>
      </c>
      <c r="AH3555" s="15" t="str">
        <f t="shared" si="2"/>
        <v/>
      </c>
      <c r="AI3555" s="17" t="str">
        <f>IF(AG3555="","",INDEX('Quitados DUPP'!$G$1:$G$6635,AG3555))</f>
        <v/>
      </c>
      <c r="AJ3555" s="17" t="str">
        <f t="shared" si="3"/>
        <v/>
      </c>
    </row>
    <row r="3556" spans="31:36">
      <c r="AE3556" s="15" t="str">
        <f t="shared" si="0"/>
        <v/>
      </c>
      <c r="AF3556" s="15" t="str">
        <f t="shared" si="1"/>
        <v/>
      </c>
      <c r="AG3556" s="15" t="str">
        <f>IF(OR(AF3556="",AF3556="ERRO_CHAVE"),"",IFERROR(MATCH(AF3556,'Quitados DUPP'!$U$1:$U$6635,0),""))</f>
        <v/>
      </c>
      <c r="AH3556" s="15" t="str">
        <f t="shared" si="2"/>
        <v/>
      </c>
      <c r="AI3556" s="17" t="str">
        <f>IF(AG3556="","",INDEX('Quitados DUPP'!$G$1:$G$6635,AG3556))</f>
        <v/>
      </c>
      <c r="AJ3556" s="17" t="str">
        <f t="shared" si="3"/>
        <v/>
      </c>
    </row>
    <row r="3557" spans="31:36">
      <c r="AE3557" s="15" t="str">
        <f t="shared" si="0"/>
        <v/>
      </c>
      <c r="AF3557" s="15" t="str">
        <f t="shared" si="1"/>
        <v/>
      </c>
      <c r="AG3557" s="15" t="str">
        <f>IF(OR(AF3557="",AF3557="ERRO_CHAVE"),"",IFERROR(MATCH(AF3557,'Quitados DUPP'!$U$1:$U$6635,0),""))</f>
        <v/>
      </c>
      <c r="AH3557" s="15" t="str">
        <f t="shared" si="2"/>
        <v/>
      </c>
      <c r="AI3557" s="17" t="str">
        <f>IF(AG3557="","",INDEX('Quitados DUPP'!$G$1:$G$6635,AG3557))</f>
        <v/>
      </c>
      <c r="AJ3557" s="17" t="str">
        <f t="shared" si="3"/>
        <v/>
      </c>
    </row>
    <row r="3558" spans="31:36">
      <c r="AE3558" s="15" t="str">
        <f t="shared" si="0"/>
        <v/>
      </c>
      <c r="AF3558" s="15" t="str">
        <f t="shared" si="1"/>
        <v/>
      </c>
      <c r="AG3558" s="15" t="str">
        <f>IF(OR(AF3558="",AF3558="ERRO_CHAVE"),"",IFERROR(MATCH(AF3558,'Quitados DUPP'!$U$1:$U$6635,0),""))</f>
        <v/>
      </c>
      <c r="AH3558" s="15" t="str">
        <f t="shared" si="2"/>
        <v/>
      </c>
      <c r="AI3558" s="17" t="str">
        <f>IF(AG3558="","",INDEX('Quitados DUPP'!$G$1:$G$6635,AG3558))</f>
        <v/>
      </c>
      <c r="AJ3558" s="17" t="str">
        <f t="shared" si="3"/>
        <v/>
      </c>
    </row>
    <row r="3559" spans="31:36">
      <c r="AE3559" s="15" t="str">
        <f t="shared" si="0"/>
        <v/>
      </c>
      <c r="AF3559" s="15" t="str">
        <f t="shared" si="1"/>
        <v/>
      </c>
      <c r="AG3559" s="15" t="str">
        <f>IF(OR(AF3559="",AF3559="ERRO_CHAVE"),"",IFERROR(MATCH(AF3559,'Quitados DUPP'!$U$1:$U$6635,0),""))</f>
        <v/>
      </c>
      <c r="AH3559" s="15" t="str">
        <f t="shared" si="2"/>
        <v/>
      </c>
      <c r="AI3559" s="17" t="str">
        <f>IF(AG3559="","",INDEX('Quitados DUPP'!$G$1:$G$6635,AG3559))</f>
        <v/>
      </c>
      <c r="AJ3559" s="17" t="str">
        <f t="shared" si="3"/>
        <v/>
      </c>
    </row>
    <row r="3560" spans="31:36">
      <c r="AE3560" s="15" t="str">
        <f t="shared" si="0"/>
        <v/>
      </c>
      <c r="AF3560" s="15" t="str">
        <f t="shared" si="1"/>
        <v/>
      </c>
      <c r="AG3560" s="15" t="str">
        <f>IF(OR(AF3560="",AF3560="ERRO_CHAVE"),"",IFERROR(MATCH(AF3560,'Quitados DUPP'!$U$1:$U$6635,0),""))</f>
        <v/>
      </c>
      <c r="AH3560" s="15" t="str">
        <f t="shared" si="2"/>
        <v/>
      </c>
      <c r="AI3560" s="17" t="str">
        <f>IF(AG3560="","",INDEX('Quitados DUPP'!$G$1:$G$6635,AG3560))</f>
        <v/>
      </c>
      <c r="AJ3560" s="17" t="str">
        <f t="shared" si="3"/>
        <v/>
      </c>
    </row>
    <row r="3561" spans="31:36">
      <c r="AE3561" s="15" t="str">
        <f t="shared" si="0"/>
        <v/>
      </c>
      <c r="AF3561" s="15" t="str">
        <f t="shared" si="1"/>
        <v/>
      </c>
      <c r="AG3561" s="15" t="str">
        <f>IF(OR(AF3561="",AF3561="ERRO_CHAVE"),"",IFERROR(MATCH(AF3561,'Quitados DUPP'!$U$1:$U$6635,0),""))</f>
        <v/>
      </c>
      <c r="AH3561" s="15" t="str">
        <f t="shared" si="2"/>
        <v/>
      </c>
      <c r="AI3561" s="17" t="str">
        <f>IF(AG3561="","",INDEX('Quitados DUPP'!$G$1:$G$6635,AG3561))</f>
        <v/>
      </c>
      <c r="AJ3561" s="17" t="str">
        <f t="shared" si="3"/>
        <v/>
      </c>
    </row>
    <row r="3562" spans="31:36">
      <c r="AE3562" s="15" t="str">
        <f t="shared" si="0"/>
        <v/>
      </c>
      <c r="AF3562" s="15" t="str">
        <f t="shared" si="1"/>
        <v/>
      </c>
      <c r="AG3562" s="15" t="str">
        <f>IF(OR(AF3562="",AF3562="ERRO_CHAVE"),"",IFERROR(MATCH(AF3562,'Quitados DUPP'!$U$1:$U$6635,0),""))</f>
        <v/>
      </c>
      <c r="AH3562" s="15" t="str">
        <f t="shared" si="2"/>
        <v/>
      </c>
      <c r="AI3562" s="17" t="str">
        <f>IF(AG3562="","",INDEX('Quitados DUPP'!$G$1:$G$6635,AG3562))</f>
        <v/>
      </c>
      <c r="AJ3562" s="17" t="str">
        <f t="shared" si="3"/>
        <v/>
      </c>
    </row>
    <row r="3563" spans="31:36">
      <c r="AE3563" s="15" t="str">
        <f t="shared" si="0"/>
        <v/>
      </c>
      <c r="AF3563" s="15" t="str">
        <f t="shared" si="1"/>
        <v/>
      </c>
      <c r="AG3563" s="15" t="str">
        <f>IF(OR(AF3563="",AF3563="ERRO_CHAVE"),"",IFERROR(MATCH(AF3563,'Quitados DUPP'!$U$1:$U$6635,0),""))</f>
        <v/>
      </c>
      <c r="AH3563" s="15" t="str">
        <f t="shared" si="2"/>
        <v/>
      </c>
      <c r="AI3563" s="17" t="str">
        <f>IF(AG3563="","",INDEX('Quitados DUPP'!$G$1:$G$6635,AG3563))</f>
        <v/>
      </c>
      <c r="AJ3563" s="17" t="str">
        <f t="shared" si="3"/>
        <v/>
      </c>
    </row>
    <row r="3564" spans="31:36">
      <c r="AE3564" s="15" t="str">
        <f t="shared" si="0"/>
        <v/>
      </c>
      <c r="AF3564" s="15" t="str">
        <f t="shared" si="1"/>
        <v/>
      </c>
      <c r="AG3564" s="15" t="str">
        <f>IF(OR(AF3564="",AF3564="ERRO_CHAVE"),"",IFERROR(MATCH(AF3564,'Quitados DUPP'!$U$1:$U$6635,0),""))</f>
        <v/>
      </c>
      <c r="AH3564" s="15" t="str">
        <f t="shared" si="2"/>
        <v/>
      </c>
      <c r="AI3564" s="17" t="str">
        <f>IF(AG3564="","",INDEX('Quitados DUPP'!$G$1:$G$6635,AG3564))</f>
        <v/>
      </c>
      <c r="AJ3564" s="17" t="str">
        <f t="shared" si="3"/>
        <v/>
      </c>
    </row>
    <row r="3565" spans="31:36">
      <c r="AE3565" s="15" t="str">
        <f t="shared" si="0"/>
        <v/>
      </c>
      <c r="AF3565" s="15" t="str">
        <f t="shared" si="1"/>
        <v/>
      </c>
      <c r="AG3565" s="15" t="str">
        <f>IF(OR(AF3565="",AF3565="ERRO_CHAVE"),"",IFERROR(MATCH(AF3565,'Quitados DUPP'!$U$1:$U$6635,0),""))</f>
        <v/>
      </c>
      <c r="AH3565" s="15" t="str">
        <f t="shared" si="2"/>
        <v/>
      </c>
      <c r="AI3565" s="17" t="str">
        <f>IF(AG3565="","",INDEX('Quitados DUPP'!$G$1:$G$6635,AG3565))</f>
        <v/>
      </c>
      <c r="AJ3565" s="17" t="str">
        <f t="shared" si="3"/>
        <v/>
      </c>
    </row>
    <row r="3566" spans="31:36">
      <c r="AE3566" s="15" t="str">
        <f t="shared" si="0"/>
        <v/>
      </c>
      <c r="AF3566" s="15" t="str">
        <f t="shared" si="1"/>
        <v/>
      </c>
      <c r="AG3566" s="15" t="str">
        <f>IF(OR(AF3566="",AF3566="ERRO_CHAVE"),"",IFERROR(MATCH(AF3566,'Quitados DUPP'!$U$1:$U$6635,0),""))</f>
        <v/>
      </c>
      <c r="AH3566" s="15" t="str">
        <f t="shared" si="2"/>
        <v/>
      </c>
      <c r="AI3566" s="17" t="str">
        <f>IF(AG3566="","",INDEX('Quitados DUPP'!$G$1:$G$6635,AG3566))</f>
        <v/>
      </c>
      <c r="AJ3566" s="17" t="str">
        <f t="shared" si="3"/>
        <v/>
      </c>
    </row>
    <row r="3567" spans="31:36">
      <c r="AE3567" s="15" t="str">
        <f t="shared" si="0"/>
        <v/>
      </c>
      <c r="AF3567" s="15" t="str">
        <f t="shared" si="1"/>
        <v/>
      </c>
      <c r="AG3567" s="15" t="str">
        <f>IF(OR(AF3567="",AF3567="ERRO_CHAVE"),"",IFERROR(MATCH(AF3567,'Quitados DUPP'!$U$1:$U$6635,0),""))</f>
        <v/>
      </c>
      <c r="AH3567" s="15" t="str">
        <f t="shared" si="2"/>
        <v/>
      </c>
      <c r="AI3567" s="17" t="str">
        <f>IF(AG3567="","",INDEX('Quitados DUPP'!$G$1:$G$6635,AG3567))</f>
        <v/>
      </c>
      <c r="AJ3567" s="17" t="str">
        <f t="shared" si="3"/>
        <v/>
      </c>
    </row>
    <row r="3568" spans="31:36">
      <c r="AE3568" s="15" t="str">
        <f t="shared" si="0"/>
        <v/>
      </c>
      <c r="AF3568" s="15" t="str">
        <f t="shared" si="1"/>
        <v/>
      </c>
      <c r="AG3568" s="15" t="str">
        <f>IF(OR(AF3568="",AF3568="ERRO_CHAVE"),"",IFERROR(MATCH(AF3568,'Quitados DUPP'!$U$1:$U$6635,0),""))</f>
        <v/>
      </c>
      <c r="AH3568" s="15" t="str">
        <f t="shared" si="2"/>
        <v/>
      </c>
      <c r="AI3568" s="17" t="str">
        <f>IF(AG3568="","",INDEX('Quitados DUPP'!$G$1:$G$6635,AG3568))</f>
        <v/>
      </c>
      <c r="AJ3568" s="17" t="str">
        <f t="shared" si="3"/>
        <v/>
      </c>
    </row>
    <row r="3569" spans="31:36">
      <c r="AE3569" s="15" t="str">
        <f t="shared" si="0"/>
        <v/>
      </c>
      <c r="AF3569" s="15" t="str">
        <f t="shared" si="1"/>
        <v/>
      </c>
      <c r="AG3569" s="15" t="str">
        <f>IF(OR(AF3569="",AF3569="ERRO_CHAVE"),"",IFERROR(MATCH(AF3569,'Quitados DUPP'!$U$1:$U$6635,0),""))</f>
        <v/>
      </c>
      <c r="AH3569" s="15" t="str">
        <f t="shared" si="2"/>
        <v/>
      </c>
      <c r="AI3569" s="17" t="str">
        <f>IF(AG3569="","",INDEX('Quitados DUPP'!$G$1:$G$6635,AG3569))</f>
        <v/>
      </c>
      <c r="AJ3569" s="17" t="str">
        <f t="shared" si="3"/>
        <v/>
      </c>
    </row>
    <row r="3570" spans="31:36">
      <c r="AE3570" s="15" t="str">
        <f t="shared" si="0"/>
        <v/>
      </c>
      <c r="AF3570" s="15" t="str">
        <f t="shared" si="1"/>
        <v/>
      </c>
      <c r="AG3570" s="15" t="str">
        <f>IF(OR(AF3570="",AF3570="ERRO_CHAVE"),"",IFERROR(MATCH(AF3570,'Quitados DUPP'!$U$1:$U$6635,0),""))</f>
        <v/>
      </c>
      <c r="AH3570" s="15" t="str">
        <f t="shared" si="2"/>
        <v/>
      </c>
      <c r="AI3570" s="17" t="str">
        <f>IF(AG3570="","",INDEX('Quitados DUPP'!$G$1:$G$6635,AG3570))</f>
        <v/>
      </c>
      <c r="AJ3570" s="17" t="str">
        <f t="shared" si="3"/>
        <v/>
      </c>
    </row>
    <row r="3571" spans="31:36">
      <c r="AE3571" s="15" t="str">
        <f t="shared" si="0"/>
        <v/>
      </c>
      <c r="AF3571" s="15" t="str">
        <f t="shared" si="1"/>
        <v/>
      </c>
      <c r="AG3571" s="15" t="str">
        <f>IF(OR(AF3571="",AF3571="ERRO_CHAVE"),"",IFERROR(MATCH(AF3571,'Quitados DUPP'!$U$1:$U$6635,0),""))</f>
        <v/>
      </c>
      <c r="AH3571" s="15" t="str">
        <f t="shared" si="2"/>
        <v/>
      </c>
      <c r="AI3571" s="17" t="str">
        <f>IF(AG3571="","",INDEX('Quitados DUPP'!$G$1:$G$6635,AG3571))</f>
        <v/>
      </c>
      <c r="AJ3571" s="17" t="str">
        <f t="shared" si="3"/>
        <v/>
      </c>
    </row>
    <row r="3572" spans="31:36">
      <c r="AE3572" s="15" t="str">
        <f t="shared" si="0"/>
        <v/>
      </c>
      <c r="AF3572" s="15" t="str">
        <f t="shared" si="1"/>
        <v/>
      </c>
      <c r="AG3572" s="15" t="str">
        <f>IF(OR(AF3572="",AF3572="ERRO_CHAVE"),"",IFERROR(MATCH(AF3572,'Quitados DUPP'!$U$1:$U$6635,0),""))</f>
        <v/>
      </c>
      <c r="AH3572" s="15" t="str">
        <f t="shared" si="2"/>
        <v/>
      </c>
      <c r="AI3572" s="17" t="str">
        <f>IF(AG3572="","",INDEX('Quitados DUPP'!$G$1:$G$6635,AG3572))</f>
        <v/>
      </c>
      <c r="AJ3572" s="17" t="str">
        <f t="shared" si="3"/>
        <v/>
      </c>
    </row>
    <row r="3573" spans="31:36">
      <c r="AE3573" s="15" t="str">
        <f t="shared" si="0"/>
        <v/>
      </c>
      <c r="AF3573" s="15" t="str">
        <f t="shared" si="1"/>
        <v/>
      </c>
      <c r="AG3573" s="15" t="str">
        <f>IF(OR(AF3573="",AF3573="ERRO_CHAVE"),"",IFERROR(MATCH(AF3573,'Quitados DUPP'!$U$1:$U$6635,0),""))</f>
        <v/>
      </c>
      <c r="AH3573" s="15" t="str">
        <f t="shared" si="2"/>
        <v/>
      </c>
      <c r="AI3573" s="17" t="str">
        <f>IF(AG3573="","",INDEX('Quitados DUPP'!$G$1:$G$6635,AG3573))</f>
        <v/>
      </c>
      <c r="AJ3573" s="17" t="str">
        <f t="shared" si="3"/>
        <v/>
      </c>
    </row>
    <row r="3574" spans="31:36">
      <c r="AE3574" s="15" t="str">
        <f t="shared" si="0"/>
        <v/>
      </c>
      <c r="AF3574" s="15" t="str">
        <f t="shared" si="1"/>
        <v/>
      </c>
      <c r="AG3574" s="15" t="str">
        <f>IF(OR(AF3574="",AF3574="ERRO_CHAVE"),"",IFERROR(MATCH(AF3574,'Quitados DUPP'!$U$1:$U$6635,0),""))</f>
        <v/>
      </c>
      <c r="AH3574" s="15" t="str">
        <f t="shared" si="2"/>
        <v/>
      </c>
      <c r="AI3574" s="17" t="str">
        <f>IF(AG3574="","",INDEX('Quitados DUPP'!$G$1:$G$6635,AG3574))</f>
        <v/>
      </c>
      <c r="AJ3574" s="17" t="str">
        <f t="shared" si="3"/>
        <v/>
      </c>
    </row>
    <row r="3575" spans="31:36">
      <c r="AE3575" s="15" t="str">
        <f t="shared" si="0"/>
        <v/>
      </c>
      <c r="AF3575" s="15" t="str">
        <f t="shared" si="1"/>
        <v/>
      </c>
      <c r="AG3575" s="15" t="str">
        <f>IF(OR(AF3575="",AF3575="ERRO_CHAVE"),"",IFERROR(MATCH(AF3575,'Quitados DUPP'!$U$1:$U$6635,0),""))</f>
        <v/>
      </c>
      <c r="AH3575" s="15" t="str">
        <f t="shared" si="2"/>
        <v/>
      </c>
      <c r="AI3575" s="17" t="str">
        <f>IF(AG3575="","",INDEX('Quitados DUPP'!$G$1:$G$6635,AG3575))</f>
        <v/>
      </c>
      <c r="AJ3575" s="17" t="str">
        <f t="shared" si="3"/>
        <v/>
      </c>
    </row>
    <row r="3576" spans="31:36">
      <c r="AE3576" s="15" t="str">
        <f t="shared" si="0"/>
        <v/>
      </c>
      <c r="AF3576" s="15" t="str">
        <f t="shared" si="1"/>
        <v/>
      </c>
      <c r="AG3576" s="15" t="str">
        <f>IF(OR(AF3576="",AF3576="ERRO_CHAVE"),"",IFERROR(MATCH(AF3576,'Quitados DUPP'!$U$1:$U$6635,0),""))</f>
        <v/>
      </c>
      <c r="AH3576" s="15" t="str">
        <f t="shared" si="2"/>
        <v/>
      </c>
      <c r="AI3576" s="17" t="str">
        <f>IF(AG3576="","",INDEX('Quitados DUPP'!$G$1:$G$6635,AG3576))</f>
        <v/>
      </c>
      <c r="AJ3576" s="17" t="str">
        <f t="shared" si="3"/>
        <v/>
      </c>
    </row>
    <row r="3577" spans="31:36">
      <c r="AE3577" s="15" t="str">
        <f t="shared" si="0"/>
        <v/>
      </c>
      <c r="AF3577" s="15" t="str">
        <f t="shared" si="1"/>
        <v/>
      </c>
      <c r="AG3577" s="15" t="str">
        <f>IF(OR(AF3577="",AF3577="ERRO_CHAVE"),"",IFERROR(MATCH(AF3577,'Quitados DUPP'!$U$1:$U$6635,0),""))</f>
        <v/>
      </c>
      <c r="AH3577" s="15" t="str">
        <f t="shared" si="2"/>
        <v/>
      </c>
      <c r="AI3577" s="17" t="str">
        <f>IF(AG3577="","",INDEX('Quitados DUPP'!$G$1:$G$6635,AG3577))</f>
        <v/>
      </c>
      <c r="AJ3577" s="17" t="str">
        <f t="shared" si="3"/>
        <v/>
      </c>
    </row>
    <row r="3578" spans="31:36">
      <c r="AE3578" s="15" t="str">
        <f t="shared" si="0"/>
        <v/>
      </c>
      <c r="AF3578" s="15" t="str">
        <f t="shared" si="1"/>
        <v/>
      </c>
      <c r="AG3578" s="15" t="str">
        <f>IF(OR(AF3578="",AF3578="ERRO_CHAVE"),"",IFERROR(MATCH(AF3578,'Quitados DUPP'!$U$1:$U$6635,0),""))</f>
        <v/>
      </c>
      <c r="AH3578" s="15" t="str">
        <f t="shared" si="2"/>
        <v/>
      </c>
      <c r="AI3578" s="17" t="str">
        <f>IF(AG3578="","",INDEX('Quitados DUPP'!$G$1:$G$6635,AG3578))</f>
        <v/>
      </c>
      <c r="AJ3578" s="17" t="str">
        <f t="shared" si="3"/>
        <v/>
      </c>
    </row>
    <row r="3579" spans="31:36">
      <c r="AE3579" s="15" t="str">
        <f t="shared" si="0"/>
        <v/>
      </c>
      <c r="AF3579" s="15" t="str">
        <f t="shared" si="1"/>
        <v/>
      </c>
      <c r="AG3579" s="15" t="str">
        <f>IF(OR(AF3579="",AF3579="ERRO_CHAVE"),"",IFERROR(MATCH(AF3579,'Quitados DUPP'!$U$1:$U$6635,0),""))</f>
        <v/>
      </c>
      <c r="AH3579" s="15" t="str">
        <f t="shared" si="2"/>
        <v/>
      </c>
      <c r="AI3579" s="17" t="str">
        <f>IF(AG3579="","",INDEX('Quitados DUPP'!$G$1:$G$6635,AG3579))</f>
        <v/>
      </c>
      <c r="AJ3579" s="17" t="str">
        <f t="shared" si="3"/>
        <v/>
      </c>
    </row>
    <row r="3580" spans="31:36">
      <c r="AE3580" s="15" t="str">
        <f t="shared" si="0"/>
        <v/>
      </c>
      <c r="AF3580" s="15" t="str">
        <f t="shared" si="1"/>
        <v/>
      </c>
      <c r="AG3580" s="15" t="str">
        <f>IF(OR(AF3580="",AF3580="ERRO_CHAVE"),"",IFERROR(MATCH(AF3580,'Quitados DUPP'!$U$1:$U$6635,0),""))</f>
        <v/>
      </c>
      <c r="AH3580" s="15" t="str">
        <f t="shared" si="2"/>
        <v/>
      </c>
      <c r="AI3580" s="17" t="str">
        <f>IF(AG3580="","",INDEX('Quitados DUPP'!$G$1:$G$6635,AG3580))</f>
        <v/>
      </c>
      <c r="AJ3580" s="17" t="str">
        <f t="shared" si="3"/>
        <v/>
      </c>
    </row>
    <row r="3581" spans="31:36">
      <c r="AE3581" s="15" t="str">
        <f t="shared" si="0"/>
        <v/>
      </c>
      <c r="AF3581" s="15" t="str">
        <f t="shared" si="1"/>
        <v/>
      </c>
      <c r="AG3581" s="15" t="str">
        <f>IF(OR(AF3581="",AF3581="ERRO_CHAVE"),"",IFERROR(MATCH(AF3581,'Quitados DUPP'!$U$1:$U$6635,0),""))</f>
        <v/>
      </c>
      <c r="AH3581" s="15" t="str">
        <f t="shared" si="2"/>
        <v/>
      </c>
      <c r="AI3581" s="17" t="str">
        <f>IF(AG3581="","",INDEX('Quitados DUPP'!$G$1:$G$6635,AG3581))</f>
        <v/>
      </c>
      <c r="AJ3581" s="17" t="str">
        <f t="shared" si="3"/>
        <v/>
      </c>
    </row>
    <row r="3582" spans="31:36">
      <c r="AE3582" s="15" t="str">
        <f t="shared" si="0"/>
        <v/>
      </c>
      <c r="AF3582" s="15" t="str">
        <f t="shared" si="1"/>
        <v/>
      </c>
      <c r="AG3582" s="15" t="str">
        <f>IF(OR(AF3582="",AF3582="ERRO_CHAVE"),"",IFERROR(MATCH(AF3582,'Quitados DUPP'!$U$1:$U$6635,0),""))</f>
        <v/>
      </c>
      <c r="AH3582" s="15" t="str">
        <f t="shared" si="2"/>
        <v/>
      </c>
      <c r="AI3582" s="17" t="str">
        <f>IF(AG3582="","",INDEX('Quitados DUPP'!$G$1:$G$6635,AG3582))</f>
        <v/>
      </c>
      <c r="AJ3582" s="17" t="str">
        <f t="shared" si="3"/>
        <v/>
      </c>
    </row>
    <row r="3583" spans="31:36">
      <c r="AE3583" s="15" t="str">
        <f t="shared" si="0"/>
        <v/>
      </c>
      <c r="AF3583" s="15" t="str">
        <f t="shared" si="1"/>
        <v/>
      </c>
      <c r="AG3583" s="15" t="str">
        <f>IF(OR(AF3583="",AF3583="ERRO_CHAVE"),"",IFERROR(MATCH(AF3583,'Quitados DUPP'!$U$1:$U$6635,0),""))</f>
        <v/>
      </c>
      <c r="AH3583" s="15" t="str">
        <f t="shared" si="2"/>
        <v/>
      </c>
      <c r="AI3583" s="17" t="str">
        <f>IF(AG3583="","",INDEX('Quitados DUPP'!$G$1:$G$6635,AG3583))</f>
        <v/>
      </c>
      <c r="AJ3583" s="17" t="str">
        <f t="shared" si="3"/>
        <v/>
      </c>
    </row>
    <row r="3584" spans="31:36">
      <c r="AE3584" s="15" t="str">
        <f t="shared" si="0"/>
        <v/>
      </c>
      <c r="AF3584" s="15" t="str">
        <f t="shared" si="1"/>
        <v/>
      </c>
      <c r="AG3584" s="15" t="str">
        <f>IF(OR(AF3584="",AF3584="ERRO_CHAVE"),"",IFERROR(MATCH(AF3584,'Quitados DUPP'!$U$1:$U$6635,0),""))</f>
        <v/>
      </c>
      <c r="AH3584" s="15" t="str">
        <f t="shared" si="2"/>
        <v/>
      </c>
      <c r="AI3584" s="17" t="str">
        <f>IF(AG3584="","",INDEX('Quitados DUPP'!$G$1:$G$6635,AG3584))</f>
        <v/>
      </c>
      <c r="AJ3584" s="17" t="str">
        <f t="shared" si="3"/>
        <v/>
      </c>
    </row>
    <row r="3585" spans="31:36">
      <c r="AE3585" s="15" t="str">
        <f t="shared" si="0"/>
        <v/>
      </c>
      <c r="AF3585" s="15" t="str">
        <f t="shared" si="1"/>
        <v/>
      </c>
      <c r="AG3585" s="15" t="str">
        <f>IF(OR(AF3585="",AF3585="ERRO_CHAVE"),"",IFERROR(MATCH(AF3585,'Quitados DUPP'!$U$1:$U$6635,0),""))</f>
        <v/>
      </c>
      <c r="AH3585" s="15" t="str">
        <f t="shared" si="2"/>
        <v/>
      </c>
      <c r="AI3585" s="17" t="str">
        <f>IF(AG3585="","",INDEX('Quitados DUPP'!$G$1:$G$6635,AG3585))</f>
        <v/>
      </c>
      <c r="AJ3585" s="17" t="str">
        <f t="shared" si="3"/>
        <v/>
      </c>
    </row>
    <row r="3586" spans="31:36">
      <c r="AE3586" s="15" t="str">
        <f t="shared" si="0"/>
        <v/>
      </c>
      <c r="AF3586" s="15" t="str">
        <f t="shared" si="1"/>
        <v/>
      </c>
      <c r="AG3586" s="15" t="str">
        <f>IF(OR(AF3586="",AF3586="ERRO_CHAVE"),"",IFERROR(MATCH(AF3586,'Quitados DUPP'!$U$1:$U$6635,0),""))</f>
        <v/>
      </c>
      <c r="AH3586" s="15" t="str">
        <f t="shared" si="2"/>
        <v/>
      </c>
      <c r="AI3586" s="17" t="str">
        <f>IF(AG3586="","",INDEX('Quitados DUPP'!$G$1:$G$6635,AG3586))</f>
        <v/>
      </c>
      <c r="AJ3586" s="17" t="str">
        <f t="shared" si="3"/>
        <v/>
      </c>
    </row>
    <row r="3587" spans="31:36">
      <c r="AE3587" s="15" t="str">
        <f t="shared" si="0"/>
        <v/>
      </c>
      <c r="AF3587" s="15" t="str">
        <f t="shared" si="1"/>
        <v/>
      </c>
      <c r="AG3587" s="15" t="str">
        <f>IF(OR(AF3587="",AF3587="ERRO_CHAVE"),"",IFERROR(MATCH(AF3587,'Quitados DUPP'!$U$1:$U$6635,0),""))</f>
        <v/>
      </c>
      <c r="AH3587" s="15" t="str">
        <f t="shared" si="2"/>
        <v/>
      </c>
      <c r="AI3587" s="17" t="str">
        <f>IF(AG3587="","",INDEX('Quitados DUPP'!$G$1:$G$6635,AG3587))</f>
        <v/>
      </c>
      <c r="AJ3587" s="17" t="str">
        <f t="shared" si="3"/>
        <v/>
      </c>
    </row>
    <row r="3588" spans="31:36">
      <c r="AE3588" s="15" t="str">
        <f t="shared" si="0"/>
        <v/>
      </c>
      <c r="AF3588" s="15" t="str">
        <f t="shared" si="1"/>
        <v/>
      </c>
      <c r="AG3588" s="15" t="str">
        <f>IF(OR(AF3588="",AF3588="ERRO_CHAVE"),"",IFERROR(MATCH(AF3588,'Quitados DUPP'!$U$1:$U$6635,0),""))</f>
        <v/>
      </c>
      <c r="AH3588" s="15" t="str">
        <f t="shared" si="2"/>
        <v/>
      </c>
      <c r="AI3588" s="17" t="str">
        <f>IF(AG3588="","",INDEX('Quitados DUPP'!$G$1:$G$6635,AG3588))</f>
        <v/>
      </c>
      <c r="AJ3588" s="17" t="str">
        <f t="shared" si="3"/>
        <v/>
      </c>
    </row>
    <row r="3589" spans="31:36">
      <c r="AE3589" s="15" t="str">
        <f t="shared" si="0"/>
        <v/>
      </c>
      <c r="AF3589" s="15" t="str">
        <f t="shared" si="1"/>
        <v/>
      </c>
      <c r="AG3589" s="15" t="str">
        <f>IF(OR(AF3589="",AF3589="ERRO_CHAVE"),"",IFERROR(MATCH(AF3589,'Quitados DUPP'!$U$1:$U$6635,0),""))</f>
        <v/>
      </c>
      <c r="AH3589" s="15" t="str">
        <f t="shared" si="2"/>
        <v/>
      </c>
      <c r="AI3589" s="17" t="str">
        <f>IF(AG3589="","",INDEX('Quitados DUPP'!$G$1:$G$6635,AG3589))</f>
        <v/>
      </c>
      <c r="AJ3589" s="17" t="str">
        <f t="shared" si="3"/>
        <v/>
      </c>
    </row>
    <row r="3590" spans="31:36">
      <c r="AE3590" s="15" t="str">
        <f t="shared" si="0"/>
        <v/>
      </c>
      <c r="AF3590" s="15" t="str">
        <f t="shared" si="1"/>
        <v/>
      </c>
      <c r="AG3590" s="15" t="str">
        <f>IF(OR(AF3590="",AF3590="ERRO_CHAVE"),"",IFERROR(MATCH(AF3590,'Quitados DUPP'!$U$1:$U$6635,0),""))</f>
        <v/>
      </c>
      <c r="AH3590" s="15" t="str">
        <f t="shared" si="2"/>
        <v/>
      </c>
      <c r="AI3590" s="17" t="str">
        <f>IF(AG3590="","",INDEX('Quitados DUPP'!$G$1:$G$6635,AG3590))</f>
        <v/>
      </c>
      <c r="AJ3590" s="17" t="str">
        <f t="shared" si="3"/>
        <v/>
      </c>
    </row>
    <row r="3591" spans="31:36">
      <c r="AE3591" s="15" t="str">
        <f t="shared" si="0"/>
        <v/>
      </c>
      <c r="AF3591" s="15" t="str">
        <f t="shared" si="1"/>
        <v/>
      </c>
      <c r="AG3591" s="15" t="str">
        <f>IF(OR(AF3591="",AF3591="ERRO_CHAVE"),"",IFERROR(MATCH(AF3591,'Quitados DUPP'!$U$1:$U$6635,0),""))</f>
        <v/>
      </c>
      <c r="AH3591" s="15" t="str">
        <f t="shared" si="2"/>
        <v/>
      </c>
      <c r="AI3591" s="17" t="str">
        <f>IF(AG3591="","",INDEX('Quitados DUPP'!$G$1:$G$6635,AG3591))</f>
        <v/>
      </c>
      <c r="AJ3591" s="17" t="str">
        <f t="shared" si="3"/>
        <v/>
      </c>
    </row>
    <row r="3592" spans="31:36">
      <c r="AE3592" s="15" t="str">
        <f t="shared" si="0"/>
        <v/>
      </c>
      <c r="AF3592" s="15" t="str">
        <f t="shared" si="1"/>
        <v/>
      </c>
      <c r="AG3592" s="15" t="str">
        <f>IF(OR(AF3592="",AF3592="ERRO_CHAVE"),"",IFERROR(MATCH(AF3592,'Quitados DUPP'!$U$1:$U$6635,0),""))</f>
        <v/>
      </c>
      <c r="AH3592" s="15" t="str">
        <f t="shared" si="2"/>
        <v/>
      </c>
      <c r="AI3592" s="17" t="str">
        <f>IF(AG3592="","",INDEX('Quitados DUPP'!$G$1:$G$6635,AG3592))</f>
        <v/>
      </c>
      <c r="AJ3592" s="17" t="str">
        <f t="shared" si="3"/>
        <v/>
      </c>
    </row>
    <row r="3593" spans="31:36">
      <c r="AE3593" s="15" t="str">
        <f t="shared" si="0"/>
        <v/>
      </c>
      <c r="AF3593" s="15" t="str">
        <f t="shared" si="1"/>
        <v/>
      </c>
      <c r="AG3593" s="15" t="str">
        <f>IF(OR(AF3593="",AF3593="ERRO_CHAVE"),"",IFERROR(MATCH(AF3593,'Quitados DUPP'!$U$1:$U$6635,0),""))</f>
        <v/>
      </c>
      <c r="AH3593" s="15" t="str">
        <f t="shared" si="2"/>
        <v/>
      </c>
      <c r="AI3593" s="17" t="str">
        <f>IF(AG3593="","",INDEX('Quitados DUPP'!$G$1:$G$6635,AG3593))</f>
        <v/>
      </c>
      <c r="AJ3593" s="17" t="str">
        <f t="shared" si="3"/>
        <v/>
      </c>
    </row>
    <row r="3594" spans="31:36">
      <c r="AE3594" s="15" t="str">
        <f t="shared" si="0"/>
        <v/>
      </c>
      <c r="AF3594" s="15" t="str">
        <f t="shared" si="1"/>
        <v/>
      </c>
      <c r="AG3594" s="15" t="str">
        <f>IF(OR(AF3594="",AF3594="ERRO_CHAVE"),"",IFERROR(MATCH(AF3594,'Quitados DUPP'!$U$1:$U$6635,0),""))</f>
        <v/>
      </c>
      <c r="AH3594" s="15" t="str">
        <f t="shared" si="2"/>
        <v/>
      </c>
      <c r="AI3594" s="17" t="str">
        <f>IF(AG3594="","",INDEX('Quitados DUPP'!$G$1:$G$6635,AG3594))</f>
        <v/>
      </c>
      <c r="AJ3594" s="17" t="str">
        <f t="shared" si="3"/>
        <v/>
      </c>
    </row>
    <row r="3595" spans="31:36">
      <c r="AE3595" s="15" t="str">
        <f t="shared" si="0"/>
        <v/>
      </c>
      <c r="AF3595" s="15" t="str">
        <f t="shared" si="1"/>
        <v/>
      </c>
      <c r="AG3595" s="15" t="str">
        <f>IF(OR(AF3595="",AF3595="ERRO_CHAVE"),"",IFERROR(MATCH(AF3595,'Quitados DUPP'!$U$1:$U$6635,0),""))</f>
        <v/>
      </c>
      <c r="AH3595" s="15" t="str">
        <f t="shared" si="2"/>
        <v/>
      </c>
      <c r="AI3595" s="17" t="str">
        <f>IF(AG3595="","",INDEX('Quitados DUPP'!$G$1:$G$6635,AG3595))</f>
        <v/>
      </c>
      <c r="AJ3595" s="17" t="str">
        <f t="shared" si="3"/>
        <v/>
      </c>
    </row>
    <row r="3596" spans="31:36">
      <c r="AE3596" s="15" t="str">
        <f t="shared" si="0"/>
        <v/>
      </c>
      <c r="AF3596" s="15" t="str">
        <f t="shared" si="1"/>
        <v/>
      </c>
      <c r="AG3596" s="15" t="str">
        <f>IF(OR(AF3596="",AF3596="ERRO_CHAVE"),"",IFERROR(MATCH(AF3596,'Quitados DUPP'!$U$1:$U$6635,0),""))</f>
        <v/>
      </c>
      <c r="AH3596" s="15" t="str">
        <f t="shared" si="2"/>
        <v/>
      </c>
      <c r="AI3596" s="17" t="str">
        <f>IF(AG3596="","",INDEX('Quitados DUPP'!$G$1:$G$6635,AG3596))</f>
        <v/>
      </c>
      <c r="AJ3596" s="17" t="str">
        <f t="shared" si="3"/>
        <v/>
      </c>
    </row>
    <row r="3597" spans="31:36">
      <c r="AE3597" s="15" t="str">
        <f t="shared" si="0"/>
        <v/>
      </c>
      <c r="AF3597" s="15" t="str">
        <f t="shared" si="1"/>
        <v/>
      </c>
      <c r="AG3597" s="15" t="str">
        <f>IF(OR(AF3597="",AF3597="ERRO_CHAVE"),"",IFERROR(MATCH(AF3597,'Quitados DUPP'!$U$1:$U$6635,0),""))</f>
        <v/>
      </c>
      <c r="AH3597" s="15" t="str">
        <f t="shared" si="2"/>
        <v/>
      </c>
      <c r="AI3597" s="17" t="str">
        <f>IF(AG3597="","",INDEX('Quitados DUPP'!$G$1:$G$6635,AG3597))</f>
        <v/>
      </c>
      <c r="AJ3597" s="17" t="str">
        <f t="shared" si="3"/>
        <v/>
      </c>
    </row>
    <row r="3598" spans="31:36">
      <c r="AE3598" s="15" t="str">
        <f t="shared" si="0"/>
        <v/>
      </c>
      <c r="AF3598" s="15" t="str">
        <f t="shared" si="1"/>
        <v/>
      </c>
      <c r="AG3598" s="15" t="str">
        <f>IF(OR(AF3598="",AF3598="ERRO_CHAVE"),"",IFERROR(MATCH(AF3598,'Quitados DUPP'!$U$1:$U$6635,0),""))</f>
        <v/>
      </c>
      <c r="AH3598" s="15" t="str">
        <f t="shared" si="2"/>
        <v/>
      </c>
      <c r="AI3598" s="17" t="str">
        <f>IF(AG3598="","",INDEX('Quitados DUPP'!$G$1:$G$6635,AG3598))</f>
        <v/>
      </c>
      <c r="AJ3598" s="17" t="str">
        <f t="shared" si="3"/>
        <v/>
      </c>
    </row>
    <row r="3599" spans="31:36">
      <c r="AE3599" s="15" t="str">
        <f t="shared" si="0"/>
        <v/>
      </c>
      <c r="AF3599" s="15" t="str">
        <f t="shared" si="1"/>
        <v/>
      </c>
      <c r="AG3599" s="15" t="str">
        <f>IF(OR(AF3599="",AF3599="ERRO_CHAVE"),"",IFERROR(MATCH(AF3599,'Quitados DUPP'!$U$1:$U$6635,0),""))</f>
        <v/>
      </c>
      <c r="AH3599" s="15" t="str">
        <f t="shared" si="2"/>
        <v/>
      </c>
      <c r="AI3599" s="17" t="str">
        <f>IF(AG3599="","",INDEX('Quitados DUPP'!$G$1:$G$6635,AG3599))</f>
        <v/>
      </c>
      <c r="AJ3599" s="17" t="str">
        <f t="shared" si="3"/>
        <v/>
      </c>
    </row>
    <row r="3600" spans="31:36">
      <c r="AE3600" s="15" t="str">
        <f t="shared" si="0"/>
        <v/>
      </c>
      <c r="AF3600" s="15" t="str">
        <f t="shared" si="1"/>
        <v/>
      </c>
      <c r="AG3600" s="15" t="str">
        <f>IF(OR(AF3600="",AF3600="ERRO_CHAVE"),"",IFERROR(MATCH(AF3600,'Quitados DUPP'!$U$1:$U$6635,0),""))</f>
        <v/>
      </c>
      <c r="AH3600" s="15" t="str">
        <f t="shared" si="2"/>
        <v/>
      </c>
      <c r="AI3600" s="17" t="str">
        <f>IF(AG3600="","",INDEX('Quitados DUPP'!$G$1:$G$6635,AG3600))</f>
        <v/>
      </c>
      <c r="AJ3600" s="17" t="str">
        <f t="shared" si="3"/>
        <v/>
      </c>
    </row>
    <row r="3601" spans="31:36">
      <c r="AE3601" s="15" t="str">
        <f t="shared" si="0"/>
        <v/>
      </c>
      <c r="AF3601" s="15" t="str">
        <f t="shared" si="1"/>
        <v/>
      </c>
      <c r="AG3601" s="15" t="str">
        <f>IF(OR(AF3601="",AF3601="ERRO_CHAVE"),"",IFERROR(MATCH(AF3601,'Quitados DUPP'!$U$1:$U$6635,0),""))</f>
        <v/>
      </c>
      <c r="AH3601" s="15" t="str">
        <f t="shared" si="2"/>
        <v/>
      </c>
      <c r="AI3601" s="17" t="str">
        <f>IF(AG3601="","",INDEX('Quitados DUPP'!$G$1:$G$6635,AG3601))</f>
        <v/>
      </c>
      <c r="AJ3601" s="17" t="str">
        <f t="shared" si="3"/>
        <v/>
      </c>
    </row>
    <row r="3602" spans="31:36">
      <c r="AE3602" s="15" t="str">
        <f t="shared" si="0"/>
        <v/>
      </c>
      <c r="AF3602" s="15" t="str">
        <f t="shared" si="1"/>
        <v/>
      </c>
      <c r="AG3602" s="15" t="str">
        <f>IF(OR(AF3602="",AF3602="ERRO_CHAVE"),"",IFERROR(MATCH(AF3602,'Quitados DUPP'!$U$1:$U$6635,0),""))</f>
        <v/>
      </c>
      <c r="AH3602" s="15" t="str">
        <f t="shared" si="2"/>
        <v/>
      </c>
      <c r="AI3602" s="17" t="str">
        <f>IF(AG3602="","",INDEX('Quitados DUPP'!$G$1:$G$6635,AG3602))</f>
        <v/>
      </c>
      <c r="AJ3602" s="17" t="str">
        <f t="shared" si="3"/>
        <v/>
      </c>
    </row>
    <row r="3603" spans="31:36">
      <c r="AE3603" s="15" t="str">
        <f t="shared" si="0"/>
        <v/>
      </c>
      <c r="AF3603" s="15" t="str">
        <f t="shared" si="1"/>
        <v/>
      </c>
      <c r="AG3603" s="15" t="str">
        <f>IF(OR(AF3603="",AF3603="ERRO_CHAVE"),"",IFERROR(MATCH(AF3603,'Quitados DUPP'!$U$1:$U$6635,0),""))</f>
        <v/>
      </c>
      <c r="AH3603" s="15" t="str">
        <f t="shared" si="2"/>
        <v/>
      </c>
      <c r="AI3603" s="17" t="str">
        <f>IF(AG3603="","",INDEX('Quitados DUPP'!$G$1:$G$6635,AG3603))</f>
        <v/>
      </c>
      <c r="AJ3603" s="17" t="str">
        <f t="shared" si="3"/>
        <v/>
      </c>
    </row>
    <row r="3604" spans="31:36">
      <c r="AE3604" s="15" t="str">
        <f t="shared" si="0"/>
        <v/>
      </c>
      <c r="AF3604" s="15" t="str">
        <f t="shared" si="1"/>
        <v/>
      </c>
      <c r="AG3604" s="15" t="str">
        <f>IF(OR(AF3604="",AF3604="ERRO_CHAVE"),"",IFERROR(MATCH(AF3604,'Quitados DUPP'!$U$1:$U$6635,0),""))</f>
        <v/>
      </c>
      <c r="AH3604" s="15" t="str">
        <f t="shared" si="2"/>
        <v/>
      </c>
      <c r="AI3604" s="17" t="str">
        <f>IF(AG3604="","",INDEX('Quitados DUPP'!$G$1:$G$6635,AG3604))</f>
        <v/>
      </c>
      <c r="AJ3604" s="17" t="str">
        <f t="shared" si="3"/>
        <v/>
      </c>
    </row>
    <row r="3605" spans="31:36">
      <c r="AE3605" s="15" t="str">
        <f t="shared" si="0"/>
        <v/>
      </c>
      <c r="AF3605" s="15" t="str">
        <f t="shared" si="1"/>
        <v/>
      </c>
      <c r="AG3605" s="15" t="str">
        <f>IF(OR(AF3605="",AF3605="ERRO_CHAVE"),"",IFERROR(MATCH(AF3605,'Quitados DUPP'!$U$1:$U$6635,0),""))</f>
        <v/>
      </c>
      <c r="AH3605" s="15" t="str">
        <f t="shared" si="2"/>
        <v/>
      </c>
      <c r="AI3605" s="17" t="str">
        <f>IF(AG3605="","",INDEX('Quitados DUPP'!$G$1:$G$6635,AG3605))</f>
        <v/>
      </c>
      <c r="AJ3605" s="17" t="str">
        <f t="shared" si="3"/>
        <v/>
      </c>
    </row>
    <row r="3606" spans="31:36">
      <c r="AE3606" s="15" t="str">
        <f t="shared" si="0"/>
        <v/>
      </c>
      <c r="AF3606" s="15" t="str">
        <f t="shared" si="1"/>
        <v/>
      </c>
      <c r="AG3606" s="15" t="str">
        <f>IF(OR(AF3606="",AF3606="ERRO_CHAVE"),"",IFERROR(MATCH(AF3606,'Quitados DUPP'!$U$1:$U$6635,0),""))</f>
        <v/>
      </c>
      <c r="AH3606" s="15" t="str">
        <f t="shared" si="2"/>
        <v/>
      </c>
      <c r="AI3606" s="17" t="str">
        <f>IF(AG3606="","",INDEX('Quitados DUPP'!$G$1:$G$6635,AG3606))</f>
        <v/>
      </c>
      <c r="AJ3606" s="17" t="str">
        <f t="shared" si="3"/>
        <v/>
      </c>
    </row>
    <row r="3607" spans="31:36">
      <c r="AE3607" s="15" t="str">
        <f t="shared" si="0"/>
        <v/>
      </c>
      <c r="AF3607" s="15" t="str">
        <f t="shared" si="1"/>
        <v/>
      </c>
      <c r="AG3607" s="15" t="str">
        <f>IF(OR(AF3607="",AF3607="ERRO_CHAVE"),"",IFERROR(MATCH(AF3607,'Quitados DUPP'!$U$1:$U$6635,0),""))</f>
        <v/>
      </c>
      <c r="AH3607" s="15" t="str">
        <f t="shared" si="2"/>
        <v/>
      </c>
      <c r="AI3607" s="17" t="str">
        <f>IF(AG3607="","",INDEX('Quitados DUPP'!$G$1:$G$6635,AG3607))</f>
        <v/>
      </c>
      <c r="AJ3607" s="17" t="str">
        <f t="shared" si="3"/>
        <v/>
      </c>
    </row>
    <row r="3608" spans="31:36">
      <c r="AE3608" s="15" t="str">
        <f t="shared" si="0"/>
        <v/>
      </c>
      <c r="AF3608" s="15" t="str">
        <f t="shared" si="1"/>
        <v/>
      </c>
      <c r="AG3608" s="15" t="str">
        <f>IF(OR(AF3608="",AF3608="ERRO_CHAVE"),"",IFERROR(MATCH(AF3608,'Quitados DUPP'!$U$1:$U$6635,0),""))</f>
        <v/>
      </c>
      <c r="AH3608" s="15" t="str">
        <f t="shared" si="2"/>
        <v/>
      </c>
      <c r="AI3608" s="17" t="str">
        <f>IF(AG3608="","",INDEX('Quitados DUPP'!$G$1:$G$6635,AG3608))</f>
        <v/>
      </c>
      <c r="AJ3608" s="17" t="str">
        <f t="shared" si="3"/>
        <v/>
      </c>
    </row>
    <row r="3609" spans="31:36">
      <c r="AE3609" s="15" t="str">
        <f t="shared" si="0"/>
        <v/>
      </c>
      <c r="AF3609" s="15" t="str">
        <f t="shared" si="1"/>
        <v/>
      </c>
      <c r="AG3609" s="15" t="str">
        <f>IF(OR(AF3609="",AF3609="ERRO_CHAVE"),"",IFERROR(MATCH(AF3609,'Quitados DUPP'!$U$1:$U$6635,0),""))</f>
        <v/>
      </c>
      <c r="AH3609" s="15" t="str">
        <f t="shared" si="2"/>
        <v/>
      </c>
      <c r="AI3609" s="17" t="str">
        <f>IF(AG3609="","",INDEX('Quitados DUPP'!$G$1:$G$6635,AG3609))</f>
        <v/>
      </c>
      <c r="AJ3609" s="17" t="str">
        <f t="shared" si="3"/>
        <v/>
      </c>
    </row>
    <row r="3610" spans="31:36">
      <c r="AE3610" s="15" t="str">
        <f t="shared" si="0"/>
        <v/>
      </c>
      <c r="AF3610" s="15" t="str">
        <f t="shared" si="1"/>
        <v/>
      </c>
      <c r="AG3610" s="15" t="str">
        <f>IF(OR(AF3610="",AF3610="ERRO_CHAVE"),"",IFERROR(MATCH(AF3610,'Quitados DUPP'!$U$1:$U$6635,0),""))</f>
        <v/>
      </c>
      <c r="AH3610" s="15" t="str">
        <f t="shared" si="2"/>
        <v/>
      </c>
      <c r="AI3610" s="17" t="str">
        <f>IF(AG3610="","",INDEX('Quitados DUPP'!$G$1:$G$6635,AG3610))</f>
        <v/>
      </c>
      <c r="AJ3610" s="17" t="str">
        <f t="shared" si="3"/>
        <v/>
      </c>
    </row>
    <row r="3611" spans="31:36">
      <c r="AE3611" s="15" t="str">
        <f t="shared" si="0"/>
        <v/>
      </c>
      <c r="AF3611" s="15" t="str">
        <f t="shared" si="1"/>
        <v/>
      </c>
      <c r="AG3611" s="15" t="str">
        <f>IF(OR(AF3611="",AF3611="ERRO_CHAVE"),"",IFERROR(MATCH(AF3611,'Quitados DUPP'!$U$1:$U$6635,0),""))</f>
        <v/>
      </c>
      <c r="AH3611" s="15" t="str">
        <f t="shared" si="2"/>
        <v/>
      </c>
      <c r="AI3611" s="17" t="str">
        <f>IF(AG3611="","",INDEX('Quitados DUPP'!$G$1:$G$6635,AG3611))</f>
        <v/>
      </c>
      <c r="AJ3611" s="17" t="str">
        <f t="shared" si="3"/>
        <v/>
      </c>
    </row>
    <row r="3612" spans="31:36">
      <c r="AE3612" s="15" t="str">
        <f t="shared" si="0"/>
        <v/>
      </c>
      <c r="AF3612" s="15" t="str">
        <f t="shared" si="1"/>
        <v/>
      </c>
      <c r="AG3612" s="15" t="str">
        <f>IF(OR(AF3612="",AF3612="ERRO_CHAVE"),"",IFERROR(MATCH(AF3612,'Quitados DUPP'!$U$1:$U$6635,0),""))</f>
        <v/>
      </c>
      <c r="AH3612" s="15" t="str">
        <f t="shared" si="2"/>
        <v/>
      </c>
      <c r="AI3612" s="17" t="str">
        <f>IF(AG3612="","",INDEX('Quitados DUPP'!$G$1:$G$6635,AG3612))</f>
        <v/>
      </c>
      <c r="AJ3612" s="17" t="str">
        <f t="shared" si="3"/>
        <v/>
      </c>
    </row>
    <row r="3613" spans="31:36">
      <c r="AE3613" s="15" t="str">
        <f t="shared" si="0"/>
        <v/>
      </c>
      <c r="AF3613" s="15" t="str">
        <f t="shared" si="1"/>
        <v/>
      </c>
      <c r="AG3613" s="15" t="str">
        <f>IF(OR(AF3613="",AF3613="ERRO_CHAVE"),"",IFERROR(MATCH(AF3613,'Quitados DUPP'!$U$1:$U$6635,0),""))</f>
        <v/>
      </c>
      <c r="AH3613" s="15" t="str">
        <f t="shared" si="2"/>
        <v/>
      </c>
      <c r="AI3613" s="17" t="str">
        <f>IF(AG3613="","",INDEX('Quitados DUPP'!$G$1:$G$6635,AG3613))</f>
        <v/>
      </c>
      <c r="AJ3613" s="17" t="str">
        <f t="shared" si="3"/>
        <v/>
      </c>
    </row>
    <row r="3614" spans="31:36">
      <c r="AE3614" s="15" t="str">
        <f t="shared" si="0"/>
        <v/>
      </c>
      <c r="AF3614" s="15" t="str">
        <f t="shared" si="1"/>
        <v/>
      </c>
      <c r="AG3614" s="15" t="str">
        <f>IF(OR(AF3614="",AF3614="ERRO_CHAVE"),"",IFERROR(MATCH(AF3614,'Quitados DUPP'!$U$1:$U$6635,0),""))</f>
        <v/>
      </c>
      <c r="AH3614" s="15" t="str">
        <f t="shared" si="2"/>
        <v/>
      </c>
      <c r="AI3614" s="17" t="str">
        <f>IF(AG3614="","",INDEX('Quitados DUPP'!$G$1:$G$6635,AG3614))</f>
        <v/>
      </c>
      <c r="AJ3614" s="17" t="str">
        <f t="shared" si="3"/>
        <v/>
      </c>
    </row>
    <row r="3615" spans="31:36">
      <c r="AE3615" s="15" t="str">
        <f t="shared" si="0"/>
        <v/>
      </c>
      <c r="AF3615" s="15" t="str">
        <f t="shared" si="1"/>
        <v/>
      </c>
      <c r="AG3615" s="15" t="str">
        <f>IF(OR(AF3615="",AF3615="ERRO_CHAVE"),"",IFERROR(MATCH(AF3615,'Quitados DUPP'!$U$1:$U$6635,0),""))</f>
        <v/>
      </c>
      <c r="AH3615" s="15" t="str">
        <f t="shared" si="2"/>
        <v/>
      </c>
      <c r="AI3615" s="17" t="str">
        <f>IF(AG3615="","",INDEX('Quitados DUPP'!$G$1:$G$6635,AG3615))</f>
        <v/>
      </c>
      <c r="AJ3615" s="17" t="str">
        <f t="shared" si="3"/>
        <v/>
      </c>
    </row>
    <row r="3616" spans="31:36">
      <c r="AE3616" s="15" t="str">
        <f t="shared" si="0"/>
        <v/>
      </c>
      <c r="AF3616" s="15" t="str">
        <f t="shared" si="1"/>
        <v/>
      </c>
      <c r="AG3616" s="15" t="str">
        <f>IF(OR(AF3616="",AF3616="ERRO_CHAVE"),"",IFERROR(MATCH(AF3616,'Quitados DUPP'!$U$1:$U$6635,0),""))</f>
        <v/>
      </c>
      <c r="AH3616" s="15" t="str">
        <f t="shared" si="2"/>
        <v/>
      </c>
      <c r="AI3616" s="17" t="str">
        <f>IF(AG3616="","",INDEX('Quitados DUPP'!$G$1:$G$6635,AG3616))</f>
        <v/>
      </c>
      <c r="AJ3616" s="17" t="str">
        <f t="shared" si="3"/>
        <v/>
      </c>
    </row>
    <row r="3617" spans="31:36">
      <c r="AE3617" s="15" t="str">
        <f t="shared" si="0"/>
        <v/>
      </c>
      <c r="AF3617" s="15" t="str">
        <f t="shared" si="1"/>
        <v/>
      </c>
      <c r="AG3617" s="15" t="str">
        <f>IF(OR(AF3617="",AF3617="ERRO_CHAVE"),"",IFERROR(MATCH(AF3617,'Quitados DUPP'!$U$1:$U$6635,0),""))</f>
        <v/>
      </c>
      <c r="AH3617" s="15" t="str">
        <f t="shared" si="2"/>
        <v/>
      </c>
      <c r="AI3617" s="17" t="str">
        <f>IF(AG3617="","",INDEX('Quitados DUPP'!$G$1:$G$6635,AG3617))</f>
        <v/>
      </c>
      <c r="AJ3617" s="17" t="str">
        <f t="shared" si="3"/>
        <v/>
      </c>
    </row>
    <row r="3618" spans="31:36">
      <c r="AE3618" s="15" t="str">
        <f t="shared" si="0"/>
        <v/>
      </c>
      <c r="AF3618" s="15" t="str">
        <f t="shared" si="1"/>
        <v/>
      </c>
      <c r="AG3618" s="15" t="str">
        <f>IF(OR(AF3618="",AF3618="ERRO_CHAVE"),"",IFERROR(MATCH(AF3618,'Quitados DUPP'!$U$1:$U$6635,0),""))</f>
        <v/>
      </c>
      <c r="AH3618" s="15" t="str">
        <f t="shared" si="2"/>
        <v/>
      </c>
      <c r="AI3618" s="17" t="str">
        <f>IF(AG3618="","",INDEX('Quitados DUPP'!$G$1:$G$6635,AG3618))</f>
        <v/>
      </c>
      <c r="AJ3618" s="17" t="str">
        <f t="shared" si="3"/>
        <v/>
      </c>
    </row>
    <row r="3619" spans="31:36">
      <c r="AE3619" s="15" t="str">
        <f t="shared" si="0"/>
        <v/>
      </c>
      <c r="AF3619" s="15" t="str">
        <f t="shared" si="1"/>
        <v/>
      </c>
      <c r="AG3619" s="15" t="str">
        <f>IF(OR(AF3619="",AF3619="ERRO_CHAVE"),"",IFERROR(MATCH(AF3619,'Quitados DUPP'!$U$1:$U$6635,0),""))</f>
        <v/>
      </c>
      <c r="AH3619" s="15" t="str">
        <f t="shared" si="2"/>
        <v/>
      </c>
      <c r="AI3619" s="17" t="str">
        <f>IF(AG3619="","",INDEX('Quitados DUPP'!$G$1:$G$6635,AG3619))</f>
        <v/>
      </c>
      <c r="AJ3619" s="17" t="str">
        <f t="shared" si="3"/>
        <v/>
      </c>
    </row>
    <row r="3620" spans="31:36">
      <c r="AE3620" s="15" t="str">
        <f t="shared" si="0"/>
        <v/>
      </c>
      <c r="AF3620" s="15" t="str">
        <f t="shared" si="1"/>
        <v/>
      </c>
      <c r="AG3620" s="15" t="str">
        <f>IF(OR(AF3620="",AF3620="ERRO_CHAVE"),"",IFERROR(MATCH(AF3620,'Quitados DUPP'!$U$1:$U$6635,0),""))</f>
        <v/>
      </c>
      <c r="AH3620" s="15" t="str">
        <f t="shared" si="2"/>
        <v/>
      </c>
      <c r="AI3620" s="17" t="str">
        <f>IF(AG3620="","",INDEX('Quitados DUPP'!$G$1:$G$6635,AG3620))</f>
        <v/>
      </c>
      <c r="AJ3620" s="17" t="str">
        <f t="shared" si="3"/>
        <v/>
      </c>
    </row>
    <row r="3621" spans="31:36">
      <c r="AE3621" s="15" t="str">
        <f t="shared" si="0"/>
        <v/>
      </c>
      <c r="AF3621" s="15" t="str">
        <f t="shared" si="1"/>
        <v/>
      </c>
      <c r="AG3621" s="15" t="str">
        <f>IF(OR(AF3621="",AF3621="ERRO_CHAVE"),"",IFERROR(MATCH(AF3621,'Quitados DUPP'!$U$1:$U$6635,0),""))</f>
        <v/>
      </c>
      <c r="AH3621" s="15" t="str">
        <f t="shared" si="2"/>
        <v/>
      </c>
      <c r="AI3621" s="17" t="str">
        <f>IF(AG3621="","",INDEX('Quitados DUPP'!$G$1:$G$6635,AG3621))</f>
        <v/>
      </c>
      <c r="AJ3621" s="17" t="str">
        <f t="shared" si="3"/>
        <v/>
      </c>
    </row>
    <row r="3622" spans="31:36">
      <c r="AE3622" s="15" t="str">
        <f t="shared" si="0"/>
        <v/>
      </c>
      <c r="AF3622" s="15" t="str">
        <f t="shared" si="1"/>
        <v/>
      </c>
      <c r="AG3622" s="15" t="str">
        <f>IF(OR(AF3622="",AF3622="ERRO_CHAVE"),"",IFERROR(MATCH(AF3622,'Quitados DUPP'!$U$1:$U$6635,0),""))</f>
        <v/>
      </c>
      <c r="AH3622" s="15" t="str">
        <f t="shared" si="2"/>
        <v/>
      </c>
      <c r="AI3622" s="17" t="str">
        <f>IF(AG3622="","",INDEX('Quitados DUPP'!$G$1:$G$6635,AG3622))</f>
        <v/>
      </c>
      <c r="AJ3622" s="17" t="str">
        <f t="shared" si="3"/>
        <v/>
      </c>
    </row>
    <row r="3623" spans="31:36">
      <c r="AE3623" s="15" t="str">
        <f t="shared" si="0"/>
        <v/>
      </c>
      <c r="AF3623" s="15" t="str">
        <f t="shared" si="1"/>
        <v/>
      </c>
      <c r="AG3623" s="15" t="str">
        <f>IF(OR(AF3623="",AF3623="ERRO_CHAVE"),"",IFERROR(MATCH(AF3623,'Quitados DUPP'!$U$1:$U$6635,0),""))</f>
        <v/>
      </c>
      <c r="AH3623" s="15" t="str">
        <f t="shared" si="2"/>
        <v/>
      </c>
      <c r="AI3623" s="17" t="str">
        <f>IF(AG3623="","",INDEX('Quitados DUPP'!$G$1:$G$6635,AG3623))</f>
        <v/>
      </c>
      <c r="AJ3623" s="17" t="str">
        <f t="shared" si="3"/>
        <v/>
      </c>
    </row>
    <row r="3624" spans="31:36">
      <c r="AE3624" s="15" t="str">
        <f t="shared" si="0"/>
        <v/>
      </c>
      <c r="AF3624" s="15" t="str">
        <f t="shared" si="1"/>
        <v/>
      </c>
      <c r="AG3624" s="15" t="str">
        <f>IF(OR(AF3624="",AF3624="ERRO_CHAVE"),"",IFERROR(MATCH(AF3624,'Quitados DUPP'!$U$1:$U$6635,0),""))</f>
        <v/>
      </c>
      <c r="AH3624" s="15" t="str">
        <f t="shared" si="2"/>
        <v/>
      </c>
      <c r="AI3624" s="17" t="str">
        <f>IF(AG3624="","",INDEX('Quitados DUPP'!$G$1:$G$6635,AG3624))</f>
        <v/>
      </c>
      <c r="AJ3624" s="17" t="str">
        <f t="shared" si="3"/>
        <v/>
      </c>
    </row>
    <row r="3625" spans="31:36">
      <c r="AE3625" s="15" t="str">
        <f t="shared" si="0"/>
        <v/>
      </c>
      <c r="AF3625" s="15" t="str">
        <f t="shared" si="1"/>
        <v/>
      </c>
      <c r="AG3625" s="15" t="str">
        <f>IF(OR(AF3625="",AF3625="ERRO_CHAVE"),"",IFERROR(MATCH(AF3625,'Quitados DUPP'!$U$1:$U$6635,0),""))</f>
        <v/>
      </c>
      <c r="AH3625" s="15" t="str">
        <f t="shared" si="2"/>
        <v/>
      </c>
      <c r="AI3625" s="17" t="str">
        <f>IF(AG3625="","",INDEX('Quitados DUPP'!$G$1:$G$6635,AG3625))</f>
        <v/>
      </c>
      <c r="AJ3625" s="17" t="str">
        <f t="shared" si="3"/>
        <v/>
      </c>
    </row>
    <row r="3626" spans="31:36">
      <c r="AE3626" s="15" t="str">
        <f t="shared" si="0"/>
        <v/>
      </c>
      <c r="AF3626" s="15" t="str">
        <f t="shared" si="1"/>
        <v/>
      </c>
      <c r="AG3626" s="15" t="str">
        <f>IF(OR(AF3626="",AF3626="ERRO_CHAVE"),"",IFERROR(MATCH(AF3626,'Quitados DUPP'!$U$1:$U$6635,0),""))</f>
        <v/>
      </c>
      <c r="AH3626" s="15" t="str">
        <f t="shared" si="2"/>
        <v/>
      </c>
      <c r="AI3626" s="17" t="str">
        <f>IF(AG3626="","",INDEX('Quitados DUPP'!$G$1:$G$6635,AG3626))</f>
        <v/>
      </c>
      <c r="AJ3626" s="17" t="str">
        <f t="shared" si="3"/>
        <v/>
      </c>
    </row>
    <row r="3627" spans="31:36">
      <c r="AE3627" s="15" t="str">
        <f t="shared" si="0"/>
        <v/>
      </c>
      <c r="AF3627" s="15" t="str">
        <f t="shared" si="1"/>
        <v/>
      </c>
      <c r="AG3627" s="15" t="str">
        <f>IF(OR(AF3627="",AF3627="ERRO_CHAVE"),"",IFERROR(MATCH(AF3627,'Quitados DUPP'!$U$1:$U$6635,0),""))</f>
        <v/>
      </c>
      <c r="AH3627" s="15" t="str">
        <f t="shared" si="2"/>
        <v/>
      </c>
      <c r="AI3627" s="17" t="str">
        <f>IF(AG3627="","",INDEX('Quitados DUPP'!$G$1:$G$6635,AG3627))</f>
        <v/>
      </c>
      <c r="AJ3627" s="17" t="str">
        <f t="shared" si="3"/>
        <v/>
      </c>
    </row>
    <row r="3628" spans="31:36">
      <c r="AE3628" s="15" t="str">
        <f t="shared" si="0"/>
        <v/>
      </c>
      <c r="AF3628" s="15" t="str">
        <f t="shared" si="1"/>
        <v/>
      </c>
      <c r="AG3628" s="15" t="str">
        <f>IF(OR(AF3628="",AF3628="ERRO_CHAVE"),"",IFERROR(MATCH(AF3628,'Quitados DUPP'!$U$1:$U$6635,0),""))</f>
        <v/>
      </c>
      <c r="AH3628" s="15" t="str">
        <f t="shared" si="2"/>
        <v/>
      </c>
      <c r="AI3628" s="17" t="str">
        <f>IF(AG3628="","",INDEX('Quitados DUPP'!$G$1:$G$6635,AG3628))</f>
        <v/>
      </c>
      <c r="AJ3628" s="17" t="str">
        <f t="shared" si="3"/>
        <v/>
      </c>
    </row>
    <row r="3629" spans="31:36">
      <c r="AE3629" s="15" t="str">
        <f t="shared" si="0"/>
        <v/>
      </c>
      <c r="AF3629" s="15" t="str">
        <f t="shared" si="1"/>
        <v/>
      </c>
      <c r="AG3629" s="15" t="str">
        <f>IF(OR(AF3629="",AF3629="ERRO_CHAVE"),"",IFERROR(MATCH(AF3629,'Quitados DUPP'!$U$1:$U$6635,0),""))</f>
        <v/>
      </c>
      <c r="AH3629" s="15" t="str">
        <f t="shared" si="2"/>
        <v/>
      </c>
      <c r="AI3629" s="17" t="str">
        <f>IF(AG3629="","",INDEX('Quitados DUPP'!$G$1:$G$6635,AG3629))</f>
        <v/>
      </c>
      <c r="AJ3629" s="17" t="str">
        <f t="shared" si="3"/>
        <v/>
      </c>
    </row>
    <row r="3630" spans="31:36">
      <c r="AE3630" s="15" t="str">
        <f t="shared" si="0"/>
        <v/>
      </c>
      <c r="AF3630" s="15" t="str">
        <f t="shared" si="1"/>
        <v/>
      </c>
      <c r="AG3630" s="15" t="str">
        <f>IF(OR(AF3630="",AF3630="ERRO_CHAVE"),"",IFERROR(MATCH(AF3630,'Quitados DUPP'!$U$1:$U$6635,0),""))</f>
        <v/>
      </c>
      <c r="AH3630" s="15" t="str">
        <f t="shared" si="2"/>
        <v/>
      </c>
      <c r="AI3630" s="17" t="str">
        <f>IF(AG3630="","",INDEX('Quitados DUPP'!$G$1:$G$6635,AG3630))</f>
        <v/>
      </c>
      <c r="AJ3630" s="17" t="str">
        <f t="shared" si="3"/>
        <v/>
      </c>
    </row>
    <row r="3631" spans="31:36">
      <c r="AE3631" s="15" t="str">
        <f t="shared" si="0"/>
        <v/>
      </c>
      <c r="AF3631" s="15" t="str">
        <f t="shared" si="1"/>
        <v/>
      </c>
      <c r="AG3631" s="15" t="str">
        <f>IF(OR(AF3631="",AF3631="ERRO_CHAVE"),"",IFERROR(MATCH(AF3631,'Quitados DUPP'!$U$1:$U$6635,0),""))</f>
        <v/>
      </c>
      <c r="AH3631" s="15" t="str">
        <f t="shared" si="2"/>
        <v/>
      </c>
      <c r="AI3631" s="17" t="str">
        <f>IF(AG3631="","",INDEX('Quitados DUPP'!$G$1:$G$6635,AG3631))</f>
        <v/>
      </c>
      <c r="AJ3631" s="17" t="str">
        <f t="shared" si="3"/>
        <v/>
      </c>
    </row>
    <row r="3632" spans="31:36">
      <c r="AE3632" s="15" t="str">
        <f t="shared" si="0"/>
        <v/>
      </c>
      <c r="AF3632" s="15" t="str">
        <f t="shared" si="1"/>
        <v/>
      </c>
      <c r="AG3632" s="15" t="str">
        <f>IF(OR(AF3632="",AF3632="ERRO_CHAVE"),"",IFERROR(MATCH(AF3632,'Quitados DUPP'!$U$1:$U$6635,0),""))</f>
        <v/>
      </c>
      <c r="AH3632" s="15" t="str">
        <f t="shared" si="2"/>
        <v/>
      </c>
      <c r="AI3632" s="17" t="str">
        <f>IF(AG3632="","",INDEX('Quitados DUPP'!$G$1:$G$6635,AG3632))</f>
        <v/>
      </c>
      <c r="AJ3632" s="17" t="str">
        <f t="shared" si="3"/>
        <v/>
      </c>
    </row>
    <row r="3633" spans="31:36">
      <c r="AE3633" s="15" t="str">
        <f t="shared" si="0"/>
        <v/>
      </c>
      <c r="AF3633" s="15" t="str">
        <f t="shared" si="1"/>
        <v/>
      </c>
      <c r="AG3633" s="15" t="str">
        <f>IF(OR(AF3633="",AF3633="ERRO_CHAVE"),"",IFERROR(MATCH(AF3633,'Quitados DUPP'!$U$1:$U$6635,0),""))</f>
        <v/>
      </c>
      <c r="AH3633" s="15" t="str">
        <f t="shared" si="2"/>
        <v/>
      </c>
      <c r="AI3633" s="17" t="str">
        <f>IF(AG3633="","",INDEX('Quitados DUPP'!$G$1:$G$6635,AG3633))</f>
        <v/>
      </c>
      <c r="AJ3633" s="17" t="str">
        <f t="shared" si="3"/>
        <v/>
      </c>
    </row>
    <row r="3634" spans="31:36">
      <c r="AE3634" s="15" t="str">
        <f t="shared" si="0"/>
        <v/>
      </c>
      <c r="AF3634" s="15" t="str">
        <f t="shared" si="1"/>
        <v/>
      </c>
      <c r="AG3634" s="15" t="str">
        <f>IF(OR(AF3634="",AF3634="ERRO_CHAVE"),"",IFERROR(MATCH(AF3634,'Quitados DUPP'!$U$1:$U$6635,0),""))</f>
        <v/>
      </c>
      <c r="AH3634" s="15" t="str">
        <f t="shared" si="2"/>
        <v/>
      </c>
      <c r="AI3634" s="17" t="str">
        <f>IF(AG3634="","",INDEX('Quitados DUPP'!$G$1:$G$6635,AG3634))</f>
        <v/>
      </c>
      <c r="AJ3634" s="17" t="str">
        <f t="shared" si="3"/>
        <v/>
      </c>
    </row>
    <row r="3635" spans="31:36">
      <c r="AE3635" s="15" t="str">
        <f t="shared" si="0"/>
        <v/>
      </c>
      <c r="AF3635" s="15" t="str">
        <f t="shared" si="1"/>
        <v/>
      </c>
      <c r="AG3635" s="15" t="str">
        <f>IF(OR(AF3635="",AF3635="ERRO_CHAVE"),"",IFERROR(MATCH(AF3635,'Quitados DUPP'!$U$1:$U$6635,0),""))</f>
        <v/>
      </c>
      <c r="AH3635" s="15" t="str">
        <f t="shared" si="2"/>
        <v/>
      </c>
      <c r="AI3635" s="17" t="str">
        <f>IF(AG3635="","",INDEX('Quitados DUPP'!$G$1:$G$6635,AG3635))</f>
        <v/>
      </c>
      <c r="AJ3635" s="17" t="str">
        <f t="shared" si="3"/>
        <v/>
      </c>
    </row>
    <row r="3636" spans="31:36">
      <c r="AE3636" s="15" t="str">
        <f t="shared" si="0"/>
        <v/>
      </c>
      <c r="AF3636" s="15" t="str">
        <f t="shared" si="1"/>
        <v/>
      </c>
      <c r="AG3636" s="15" t="str">
        <f>IF(OR(AF3636="",AF3636="ERRO_CHAVE"),"",IFERROR(MATCH(AF3636,'Quitados DUPP'!$U$1:$U$6635,0),""))</f>
        <v/>
      </c>
      <c r="AH3636" s="15" t="str">
        <f t="shared" si="2"/>
        <v/>
      </c>
      <c r="AI3636" s="17" t="str">
        <f>IF(AG3636="","",INDEX('Quitados DUPP'!$G$1:$G$6635,AG3636))</f>
        <v/>
      </c>
      <c r="AJ3636" s="17" t="str">
        <f t="shared" si="3"/>
        <v/>
      </c>
    </row>
    <row r="3637" spans="31:36">
      <c r="AE3637" s="15" t="str">
        <f t="shared" si="0"/>
        <v/>
      </c>
      <c r="AF3637" s="15" t="str">
        <f t="shared" si="1"/>
        <v/>
      </c>
      <c r="AG3637" s="15" t="str">
        <f>IF(OR(AF3637="",AF3637="ERRO_CHAVE"),"",IFERROR(MATCH(AF3637,'Quitados DUPP'!$U$1:$U$6635,0),""))</f>
        <v/>
      </c>
      <c r="AH3637" s="15" t="str">
        <f t="shared" si="2"/>
        <v/>
      </c>
      <c r="AI3637" s="17" t="str">
        <f>IF(AG3637="","",INDEX('Quitados DUPP'!$G$1:$G$6635,AG3637))</f>
        <v/>
      </c>
      <c r="AJ3637" s="17" t="str">
        <f t="shared" si="3"/>
        <v/>
      </c>
    </row>
    <row r="3638" spans="31:36">
      <c r="AE3638" s="15" t="str">
        <f t="shared" si="0"/>
        <v/>
      </c>
      <c r="AF3638" s="15" t="str">
        <f t="shared" si="1"/>
        <v/>
      </c>
      <c r="AG3638" s="15" t="str">
        <f>IF(OR(AF3638="",AF3638="ERRO_CHAVE"),"",IFERROR(MATCH(AF3638,'Quitados DUPP'!$U$1:$U$6635,0),""))</f>
        <v/>
      </c>
      <c r="AH3638" s="15" t="str">
        <f t="shared" si="2"/>
        <v/>
      </c>
      <c r="AI3638" s="17" t="str">
        <f>IF(AG3638="","",INDEX('Quitados DUPP'!$G$1:$G$6635,AG3638))</f>
        <v/>
      </c>
      <c r="AJ3638" s="17" t="str">
        <f t="shared" si="3"/>
        <v/>
      </c>
    </row>
    <row r="3639" spans="31:36">
      <c r="AE3639" s="15" t="str">
        <f t="shared" si="0"/>
        <v/>
      </c>
      <c r="AF3639" s="15" t="str">
        <f t="shared" si="1"/>
        <v/>
      </c>
      <c r="AG3639" s="15" t="str">
        <f>IF(OR(AF3639="",AF3639="ERRO_CHAVE"),"",IFERROR(MATCH(AF3639,'Quitados DUPP'!$U$1:$U$6635,0),""))</f>
        <v/>
      </c>
      <c r="AH3639" s="15" t="str">
        <f t="shared" si="2"/>
        <v/>
      </c>
      <c r="AI3639" s="17" t="str">
        <f>IF(AG3639="","",INDEX('Quitados DUPP'!$G$1:$G$6635,AG3639))</f>
        <v/>
      </c>
      <c r="AJ3639" s="17" t="str">
        <f t="shared" si="3"/>
        <v/>
      </c>
    </row>
    <row r="3640" spans="31:36">
      <c r="AE3640" s="15" t="str">
        <f t="shared" si="0"/>
        <v/>
      </c>
      <c r="AF3640" s="15" t="str">
        <f t="shared" si="1"/>
        <v/>
      </c>
      <c r="AG3640" s="15" t="str">
        <f>IF(OR(AF3640="",AF3640="ERRO_CHAVE"),"",IFERROR(MATCH(AF3640,'Quitados DUPP'!$U$1:$U$6635,0),""))</f>
        <v/>
      </c>
      <c r="AH3640" s="15" t="str">
        <f t="shared" si="2"/>
        <v/>
      </c>
      <c r="AI3640" s="17" t="str">
        <f>IF(AG3640="","",INDEX('Quitados DUPP'!$G$1:$G$6635,AG3640))</f>
        <v/>
      </c>
      <c r="AJ3640" s="17" t="str">
        <f t="shared" si="3"/>
        <v/>
      </c>
    </row>
    <row r="3641" spans="31:36">
      <c r="AE3641" s="15" t="str">
        <f t="shared" si="0"/>
        <v/>
      </c>
      <c r="AF3641" s="15" t="str">
        <f t="shared" si="1"/>
        <v/>
      </c>
      <c r="AG3641" s="15" t="str">
        <f>IF(OR(AF3641="",AF3641="ERRO_CHAVE"),"",IFERROR(MATCH(AF3641,'Quitados DUPP'!$U$1:$U$6635,0),""))</f>
        <v/>
      </c>
      <c r="AH3641" s="15" t="str">
        <f t="shared" si="2"/>
        <v/>
      </c>
      <c r="AI3641" s="17" t="str">
        <f>IF(AG3641="","",INDEX('Quitados DUPP'!$G$1:$G$6635,AG3641))</f>
        <v/>
      </c>
      <c r="AJ3641" s="17" t="str">
        <f t="shared" si="3"/>
        <v/>
      </c>
    </row>
    <row r="3642" spans="31:36">
      <c r="AE3642" s="15" t="str">
        <f t="shared" si="0"/>
        <v/>
      </c>
      <c r="AF3642" s="15" t="str">
        <f t="shared" si="1"/>
        <v/>
      </c>
      <c r="AG3642" s="15" t="str">
        <f>IF(OR(AF3642="",AF3642="ERRO_CHAVE"),"",IFERROR(MATCH(AF3642,'Quitados DUPP'!$U$1:$U$6635,0),""))</f>
        <v/>
      </c>
      <c r="AH3642" s="15" t="str">
        <f t="shared" si="2"/>
        <v/>
      </c>
      <c r="AI3642" s="17" t="str">
        <f>IF(AG3642="","",INDEX('Quitados DUPP'!$G$1:$G$6635,AG3642))</f>
        <v/>
      </c>
      <c r="AJ3642" s="17" t="str">
        <f t="shared" si="3"/>
        <v/>
      </c>
    </row>
    <row r="3643" spans="31:36">
      <c r="AE3643" s="15" t="str">
        <f t="shared" si="0"/>
        <v/>
      </c>
      <c r="AF3643" s="15" t="str">
        <f t="shared" si="1"/>
        <v/>
      </c>
      <c r="AG3643" s="15" t="str">
        <f>IF(OR(AF3643="",AF3643="ERRO_CHAVE"),"",IFERROR(MATCH(AF3643,'Quitados DUPP'!$U$1:$U$6635,0),""))</f>
        <v/>
      </c>
      <c r="AH3643" s="15" t="str">
        <f t="shared" si="2"/>
        <v/>
      </c>
      <c r="AI3643" s="17" t="str">
        <f>IF(AG3643="","",INDEX('Quitados DUPP'!$G$1:$G$6635,AG3643))</f>
        <v/>
      </c>
      <c r="AJ3643" s="17" t="str">
        <f t="shared" si="3"/>
        <v/>
      </c>
    </row>
    <row r="3644" spans="31:36">
      <c r="AE3644" s="15" t="str">
        <f t="shared" si="0"/>
        <v/>
      </c>
      <c r="AF3644" s="15" t="str">
        <f t="shared" si="1"/>
        <v/>
      </c>
      <c r="AG3644" s="15" t="str">
        <f>IF(OR(AF3644="",AF3644="ERRO_CHAVE"),"",IFERROR(MATCH(AF3644,'Quitados DUPP'!$U$1:$U$6635,0),""))</f>
        <v/>
      </c>
      <c r="AH3644" s="15" t="str">
        <f t="shared" si="2"/>
        <v/>
      </c>
      <c r="AI3644" s="17" t="str">
        <f>IF(AG3644="","",INDEX('Quitados DUPP'!$G$1:$G$6635,AG3644))</f>
        <v/>
      </c>
      <c r="AJ3644" s="17" t="str">
        <f t="shared" si="3"/>
        <v/>
      </c>
    </row>
    <row r="3645" spans="31:36">
      <c r="AE3645" s="15" t="str">
        <f t="shared" si="0"/>
        <v/>
      </c>
      <c r="AF3645" s="15" t="str">
        <f t="shared" si="1"/>
        <v/>
      </c>
      <c r="AG3645" s="15" t="str">
        <f>IF(OR(AF3645="",AF3645="ERRO_CHAVE"),"",IFERROR(MATCH(AF3645,'Quitados DUPP'!$U$1:$U$6635,0),""))</f>
        <v/>
      </c>
      <c r="AH3645" s="15" t="str">
        <f t="shared" si="2"/>
        <v/>
      </c>
      <c r="AI3645" s="17" t="str">
        <f>IF(AG3645="","",INDEX('Quitados DUPP'!$G$1:$G$6635,AG3645))</f>
        <v/>
      </c>
      <c r="AJ3645" s="17" t="str">
        <f t="shared" si="3"/>
        <v/>
      </c>
    </row>
    <row r="3646" spans="31:36">
      <c r="AE3646" s="15" t="str">
        <f t="shared" si="0"/>
        <v/>
      </c>
      <c r="AF3646" s="15" t="str">
        <f t="shared" si="1"/>
        <v/>
      </c>
      <c r="AG3646" s="15" t="str">
        <f>IF(OR(AF3646="",AF3646="ERRO_CHAVE"),"",IFERROR(MATCH(AF3646,'Quitados DUPP'!$U$1:$U$6635,0),""))</f>
        <v/>
      </c>
      <c r="AH3646" s="15" t="str">
        <f t="shared" si="2"/>
        <v/>
      </c>
      <c r="AI3646" s="17" t="str">
        <f>IF(AG3646="","",INDEX('Quitados DUPP'!$G$1:$G$6635,AG3646))</f>
        <v/>
      </c>
      <c r="AJ3646" s="17" t="str">
        <f t="shared" si="3"/>
        <v/>
      </c>
    </row>
    <row r="3647" spans="31:36">
      <c r="AE3647" s="15" t="str">
        <f t="shared" si="0"/>
        <v/>
      </c>
      <c r="AF3647" s="15" t="str">
        <f t="shared" si="1"/>
        <v/>
      </c>
      <c r="AG3647" s="15" t="str">
        <f>IF(OR(AF3647="",AF3647="ERRO_CHAVE"),"",IFERROR(MATCH(AF3647,'Quitados DUPP'!$U$1:$U$6635,0),""))</f>
        <v/>
      </c>
      <c r="AH3647" s="15" t="str">
        <f t="shared" si="2"/>
        <v/>
      </c>
      <c r="AI3647" s="17" t="str">
        <f>IF(AG3647="","",INDEX('Quitados DUPP'!$G$1:$G$6635,AG3647))</f>
        <v/>
      </c>
      <c r="AJ3647" s="17" t="str">
        <f t="shared" si="3"/>
        <v/>
      </c>
    </row>
    <row r="3648" spans="31:36">
      <c r="AE3648" s="15" t="str">
        <f t="shared" si="0"/>
        <v/>
      </c>
      <c r="AF3648" s="15" t="str">
        <f t="shared" si="1"/>
        <v/>
      </c>
      <c r="AG3648" s="15" t="str">
        <f>IF(OR(AF3648="",AF3648="ERRO_CHAVE"),"",IFERROR(MATCH(AF3648,'Quitados DUPP'!$U$1:$U$6635,0),""))</f>
        <v/>
      </c>
      <c r="AH3648" s="15" t="str">
        <f t="shared" si="2"/>
        <v/>
      </c>
      <c r="AI3648" s="17" t="str">
        <f>IF(AG3648="","",INDEX('Quitados DUPP'!$G$1:$G$6635,AG3648))</f>
        <v/>
      </c>
      <c r="AJ3648" s="17" t="str">
        <f t="shared" si="3"/>
        <v/>
      </c>
    </row>
    <row r="3649" spans="31:36">
      <c r="AE3649" s="15" t="str">
        <f t="shared" si="0"/>
        <v/>
      </c>
      <c r="AF3649" s="15" t="str">
        <f t="shared" si="1"/>
        <v/>
      </c>
      <c r="AG3649" s="15" t="str">
        <f>IF(OR(AF3649="",AF3649="ERRO_CHAVE"),"",IFERROR(MATCH(AF3649,'Quitados DUPP'!$U$1:$U$6635,0),""))</f>
        <v/>
      </c>
      <c r="AH3649" s="15" t="str">
        <f t="shared" si="2"/>
        <v/>
      </c>
      <c r="AI3649" s="17" t="str">
        <f>IF(AG3649="","",INDEX('Quitados DUPP'!$G$1:$G$6635,AG3649))</f>
        <v/>
      </c>
      <c r="AJ3649" s="17" t="str">
        <f t="shared" si="3"/>
        <v/>
      </c>
    </row>
    <row r="3650" spans="31:36">
      <c r="AE3650" s="15" t="str">
        <f t="shared" si="0"/>
        <v/>
      </c>
      <c r="AF3650" s="15" t="str">
        <f t="shared" si="1"/>
        <v/>
      </c>
      <c r="AG3650" s="15" t="str">
        <f>IF(OR(AF3650="",AF3650="ERRO_CHAVE"),"",IFERROR(MATCH(AF3650,'Quitados DUPP'!$U$1:$U$6635,0),""))</f>
        <v/>
      </c>
      <c r="AH3650" s="15" t="str">
        <f t="shared" si="2"/>
        <v/>
      </c>
      <c r="AI3650" s="17" t="str">
        <f>IF(AG3650="","",INDEX('Quitados DUPP'!$G$1:$G$6635,AG3650))</f>
        <v/>
      </c>
      <c r="AJ3650" s="17" t="str">
        <f t="shared" si="3"/>
        <v/>
      </c>
    </row>
    <row r="3651" spans="31:36">
      <c r="AE3651" s="15" t="str">
        <f t="shared" si="0"/>
        <v/>
      </c>
      <c r="AF3651" s="15" t="str">
        <f t="shared" si="1"/>
        <v/>
      </c>
      <c r="AG3651" s="15" t="str">
        <f>IF(OR(AF3651="",AF3651="ERRO_CHAVE"),"",IFERROR(MATCH(AF3651,'Quitados DUPP'!$U$1:$U$6635,0),""))</f>
        <v/>
      </c>
      <c r="AH3651" s="15" t="str">
        <f t="shared" si="2"/>
        <v/>
      </c>
      <c r="AI3651" s="17" t="str">
        <f>IF(AG3651="","",INDEX('Quitados DUPP'!$G$1:$G$6635,AG3651))</f>
        <v/>
      </c>
      <c r="AJ3651" s="17" t="str">
        <f t="shared" si="3"/>
        <v/>
      </c>
    </row>
    <row r="3652" spans="31:36">
      <c r="AE3652" s="15" t="str">
        <f t="shared" si="0"/>
        <v/>
      </c>
      <c r="AF3652" s="15" t="str">
        <f t="shared" si="1"/>
        <v/>
      </c>
      <c r="AG3652" s="15" t="str">
        <f>IF(OR(AF3652="",AF3652="ERRO_CHAVE"),"",IFERROR(MATCH(AF3652,'Quitados DUPP'!$U$1:$U$6635,0),""))</f>
        <v/>
      </c>
      <c r="AH3652" s="15" t="str">
        <f t="shared" si="2"/>
        <v/>
      </c>
      <c r="AI3652" s="17" t="str">
        <f>IF(AG3652="","",INDEX('Quitados DUPP'!$G$1:$G$6635,AG3652))</f>
        <v/>
      </c>
      <c r="AJ3652" s="17" t="str">
        <f t="shared" si="3"/>
        <v/>
      </c>
    </row>
    <row r="3653" spans="31:36">
      <c r="AE3653" s="15" t="str">
        <f t="shared" si="0"/>
        <v/>
      </c>
      <c r="AF3653" s="15" t="str">
        <f t="shared" si="1"/>
        <v/>
      </c>
      <c r="AG3653" s="15" t="str">
        <f>IF(OR(AF3653="",AF3653="ERRO_CHAVE"),"",IFERROR(MATCH(AF3653,'Quitados DUPP'!$U$1:$U$6635,0),""))</f>
        <v/>
      </c>
      <c r="AH3653" s="15" t="str">
        <f t="shared" si="2"/>
        <v/>
      </c>
      <c r="AI3653" s="17" t="str">
        <f>IF(AG3653="","",INDEX('Quitados DUPP'!$G$1:$G$6635,AG3653))</f>
        <v/>
      </c>
      <c r="AJ3653" s="17" t="str">
        <f t="shared" si="3"/>
        <v/>
      </c>
    </row>
    <row r="3654" spans="31:36">
      <c r="AE3654" s="15" t="str">
        <f t="shared" si="0"/>
        <v/>
      </c>
      <c r="AF3654" s="15" t="str">
        <f t="shared" si="1"/>
        <v/>
      </c>
      <c r="AG3654" s="15" t="str">
        <f>IF(OR(AF3654="",AF3654="ERRO_CHAVE"),"",IFERROR(MATCH(AF3654,'Quitados DUPP'!$U$1:$U$6635,0),""))</f>
        <v/>
      </c>
      <c r="AH3654" s="15" t="str">
        <f t="shared" si="2"/>
        <v/>
      </c>
      <c r="AI3654" s="17" t="str">
        <f>IF(AG3654="","",INDEX('Quitados DUPP'!$G$1:$G$6635,AG3654))</f>
        <v/>
      </c>
      <c r="AJ3654" s="17" t="str">
        <f t="shared" si="3"/>
        <v/>
      </c>
    </row>
    <row r="3655" spans="31:36">
      <c r="AE3655" s="15" t="str">
        <f t="shared" si="0"/>
        <v/>
      </c>
      <c r="AF3655" s="15" t="str">
        <f t="shared" si="1"/>
        <v/>
      </c>
      <c r="AG3655" s="15" t="str">
        <f>IF(OR(AF3655="",AF3655="ERRO_CHAVE"),"",IFERROR(MATCH(AF3655,'Quitados DUPP'!$U$1:$U$6635,0),""))</f>
        <v/>
      </c>
      <c r="AH3655" s="15" t="str">
        <f t="shared" si="2"/>
        <v/>
      </c>
      <c r="AI3655" s="17" t="str">
        <f>IF(AG3655="","",INDEX('Quitados DUPP'!$G$1:$G$6635,AG3655))</f>
        <v/>
      </c>
      <c r="AJ3655" s="17" t="str">
        <f t="shared" si="3"/>
        <v/>
      </c>
    </row>
    <row r="3656" spans="31:36">
      <c r="AE3656" s="15" t="str">
        <f t="shared" si="0"/>
        <v/>
      </c>
      <c r="AF3656" s="15" t="str">
        <f t="shared" si="1"/>
        <v/>
      </c>
      <c r="AG3656" s="15" t="str">
        <f>IF(OR(AF3656="",AF3656="ERRO_CHAVE"),"",IFERROR(MATCH(AF3656,'Quitados DUPP'!$U$1:$U$6635,0),""))</f>
        <v/>
      </c>
      <c r="AH3656" s="15" t="str">
        <f t="shared" si="2"/>
        <v/>
      </c>
      <c r="AI3656" s="17" t="str">
        <f>IF(AG3656="","",INDEX('Quitados DUPP'!$G$1:$G$6635,AG3656))</f>
        <v/>
      </c>
      <c r="AJ3656" s="17" t="str">
        <f t="shared" si="3"/>
        <v/>
      </c>
    </row>
    <row r="3657" spans="31:36">
      <c r="AE3657" s="15" t="str">
        <f t="shared" si="0"/>
        <v/>
      </c>
      <c r="AF3657" s="15" t="str">
        <f t="shared" si="1"/>
        <v/>
      </c>
      <c r="AG3657" s="15" t="str">
        <f>IF(OR(AF3657="",AF3657="ERRO_CHAVE"),"",IFERROR(MATCH(AF3657,'Quitados DUPP'!$U$1:$U$6635,0),""))</f>
        <v/>
      </c>
      <c r="AH3657" s="15" t="str">
        <f t="shared" si="2"/>
        <v/>
      </c>
      <c r="AI3657" s="17" t="str">
        <f>IF(AG3657="","",INDEX('Quitados DUPP'!$G$1:$G$6635,AG3657))</f>
        <v/>
      </c>
      <c r="AJ3657" s="17" t="str">
        <f t="shared" si="3"/>
        <v/>
      </c>
    </row>
    <row r="3658" spans="31:36">
      <c r="AE3658" s="15" t="str">
        <f t="shared" si="0"/>
        <v/>
      </c>
      <c r="AF3658" s="15" t="str">
        <f t="shared" si="1"/>
        <v/>
      </c>
      <c r="AG3658" s="15" t="str">
        <f>IF(OR(AF3658="",AF3658="ERRO_CHAVE"),"",IFERROR(MATCH(AF3658,'Quitados DUPP'!$U$1:$U$6635,0),""))</f>
        <v/>
      </c>
      <c r="AH3658" s="15" t="str">
        <f t="shared" si="2"/>
        <v/>
      </c>
      <c r="AI3658" s="17" t="str">
        <f>IF(AG3658="","",INDEX('Quitados DUPP'!$G$1:$G$6635,AG3658))</f>
        <v/>
      </c>
      <c r="AJ3658" s="17" t="str">
        <f t="shared" si="3"/>
        <v/>
      </c>
    </row>
    <row r="3659" spans="31:36">
      <c r="AE3659" s="15" t="str">
        <f t="shared" si="0"/>
        <v/>
      </c>
      <c r="AF3659" s="15" t="str">
        <f t="shared" si="1"/>
        <v/>
      </c>
      <c r="AG3659" s="15" t="str">
        <f>IF(OR(AF3659="",AF3659="ERRO_CHAVE"),"",IFERROR(MATCH(AF3659,'Quitados DUPP'!$U$1:$U$6635,0),""))</f>
        <v/>
      </c>
      <c r="AH3659" s="15" t="str">
        <f t="shared" si="2"/>
        <v/>
      </c>
      <c r="AI3659" s="17" t="str">
        <f>IF(AG3659="","",INDEX('Quitados DUPP'!$G$1:$G$6635,AG3659))</f>
        <v/>
      </c>
      <c r="AJ3659" s="17" t="str">
        <f t="shared" si="3"/>
        <v/>
      </c>
    </row>
    <row r="3660" spans="31:36">
      <c r="AE3660" s="15" t="str">
        <f t="shared" si="0"/>
        <v/>
      </c>
      <c r="AF3660" s="15" t="str">
        <f t="shared" si="1"/>
        <v/>
      </c>
      <c r="AG3660" s="15" t="str">
        <f>IF(OR(AF3660="",AF3660="ERRO_CHAVE"),"",IFERROR(MATCH(AF3660,'Quitados DUPP'!$U$1:$U$6635,0),""))</f>
        <v/>
      </c>
      <c r="AH3660" s="15" t="str">
        <f t="shared" si="2"/>
        <v/>
      </c>
      <c r="AI3660" s="17" t="str">
        <f>IF(AG3660="","",INDEX('Quitados DUPP'!$G$1:$G$6635,AG3660))</f>
        <v/>
      </c>
      <c r="AJ3660" s="17" t="str">
        <f t="shared" si="3"/>
        <v/>
      </c>
    </row>
    <row r="3661" spans="31:36">
      <c r="AE3661" s="15" t="str">
        <f t="shared" si="0"/>
        <v/>
      </c>
      <c r="AF3661" s="15" t="str">
        <f t="shared" si="1"/>
        <v/>
      </c>
      <c r="AG3661" s="15" t="str">
        <f>IF(OR(AF3661="",AF3661="ERRO_CHAVE"),"",IFERROR(MATCH(AF3661,'Quitados DUPP'!$U$1:$U$6635,0),""))</f>
        <v/>
      </c>
      <c r="AH3661" s="15" t="str">
        <f t="shared" si="2"/>
        <v/>
      </c>
      <c r="AI3661" s="17" t="str">
        <f>IF(AG3661="","",INDEX('Quitados DUPP'!$G$1:$G$6635,AG3661))</f>
        <v/>
      </c>
      <c r="AJ3661" s="17" t="str">
        <f t="shared" si="3"/>
        <v/>
      </c>
    </row>
    <row r="3662" spans="31:36">
      <c r="AE3662" s="15" t="str">
        <f t="shared" si="0"/>
        <v/>
      </c>
      <c r="AF3662" s="15" t="str">
        <f t="shared" si="1"/>
        <v/>
      </c>
      <c r="AG3662" s="15" t="str">
        <f>IF(OR(AF3662="",AF3662="ERRO_CHAVE"),"",IFERROR(MATCH(AF3662,'Quitados DUPP'!$U$1:$U$6635,0),""))</f>
        <v/>
      </c>
      <c r="AH3662" s="15" t="str">
        <f t="shared" si="2"/>
        <v/>
      </c>
      <c r="AI3662" s="17" t="str">
        <f>IF(AG3662="","",INDEX('Quitados DUPP'!$G$1:$G$6635,AG3662))</f>
        <v/>
      </c>
      <c r="AJ3662" s="17" t="str">
        <f t="shared" si="3"/>
        <v/>
      </c>
    </row>
    <row r="3663" spans="31:36">
      <c r="AE3663" s="15" t="str">
        <f t="shared" si="0"/>
        <v/>
      </c>
      <c r="AF3663" s="15" t="str">
        <f t="shared" si="1"/>
        <v/>
      </c>
      <c r="AG3663" s="15" t="str">
        <f>IF(OR(AF3663="",AF3663="ERRO_CHAVE"),"",IFERROR(MATCH(AF3663,'Quitados DUPP'!$U$1:$U$6635,0),""))</f>
        <v/>
      </c>
      <c r="AH3663" s="15" t="str">
        <f t="shared" si="2"/>
        <v/>
      </c>
      <c r="AI3663" s="17" t="str">
        <f>IF(AG3663="","",INDEX('Quitados DUPP'!$G$1:$G$6635,AG3663))</f>
        <v/>
      </c>
      <c r="AJ3663" s="17" t="str">
        <f t="shared" si="3"/>
        <v/>
      </c>
    </row>
    <row r="3664" spans="31:36">
      <c r="AE3664" s="15" t="str">
        <f t="shared" si="0"/>
        <v/>
      </c>
      <c r="AF3664" s="15" t="str">
        <f t="shared" si="1"/>
        <v/>
      </c>
      <c r="AG3664" s="15" t="str">
        <f>IF(OR(AF3664="",AF3664="ERRO_CHAVE"),"",IFERROR(MATCH(AF3664,'Quitados DUPP'!$U$1:$U$6635,0),""))</f>
        <v/>
      </c>
      <c r="AH3664" s="15" t="str">
        <f t="shared" si="2"/>
        <v/>
      </c>
      <c r="AI3664" s="17" t="str">
        <f>IF(AG3664="","",INDEX('Quitados DUPP'!$G$1:$G$6635,AG3664))</f>
        <v/>
      </c>
      <c r="AJ3664" s="17" t="str">
        <f t="shared" si="3"/>
        <v/>
      </c>
    </row>
    <row r="3665" spans="31:36">
      <c r="AE3665" s="15" t="str">
        <f t="shared" si="0"/>
        <v/>
      </c>
      <c r="AF3665" s="15" t="str">
        <f t="shared" si="1"/>
        <v/>
      </c>
      <c r="AG3665" s="15" t="str">
        <f>IF(OR(AF3665="",AF3665="ERRO_CHAVE"),"",IFERROR(MATCH(AF3665,'Quitados DUPP'!$U$1:$U$6635,0),""))</f>
        <v/>
      </c>
      <c r="AH3665" s="15" t="str">
        <f t="shared" si="2"/>
        <v/>
      </c>
      <c r="AI3665" s="17" t="str">
        <f>IF(AG3665="","",INDEX('Quitados DUPP'!$G$1:$G$6635,AG3665))</f>
        <v/>
      </c>
      <c r="AJ3665" s="17" t="str">
        <f t="shared" si="3"/>
        <v/>
      </c>
    </row>
    <row r="3666" spans="31:36">
      <c r="AE3666" s="15" t="str">
        <f t="shared" si="0"/>
        <v/>
      </c>
      <c r="AF3666" s="15" t="str">
        <f t="shared" si="1"/>
        <v/>
      </c>
      <c r="AG3666" s="15" t="str">
        <f>IF(OR(AF3666="",AF3666="ERRO_CHAVE"),"",IFERROR(MATCH(AF3666,'Quitados DUPP'!$U$1:$U$6635,0),""))</f>
        <v/>
      </c>
      <c r="AH3666" s="15" t="str">
        <f t="shared" si="2"/>
        <v/>
      </c>
      <c r="AI3666" s="17" t="str">
        <f>IF(AG3666="","",INDEX('Quitados DUPP'!$G$1:$G$6635,AG3666))</f>
        <v/>
      </c>
      <c r="AJ3666" s="17" t="str">
        <f t="shared" si="3"/>
        <v/>
      </c>
    </row>
    <row r="3667" spans="31:36">
      <c r="AE3667" s="15" t="str">
        <f t="shared" si="0"/>
        <v/>
      </c>
      <c r="AF3667" s="15" t="str">
        <f t="shared" si="1"/>
        <v/>
      </c>
      <c r="AG3667" s="15" t="str">
        <f>IF(OR(AF3667="",AF3667="ERRO_CHAVE"),"",IFERROR(MATCH(AF3667,'Quitados DUPP'!$U$1:$U$6635,0),""))</f>
        <v/>
      </c>
      <c r="AH3667" s="15" t="str">
        <f t="shared" si="2"/>
        <v/>
      </c>
      <c r="AI3667" s="17" t="str">
        <f>IF(AG3667="","",INDEX('Quitados DUPP'!$G$1:$G$6635,AG3667))</f>
        <v/>
      </c>
      <c r="AJ3667" s="17" t="str">
        <f t="shared" si="3"/>
        <v/>
      </c>
    </row>
    <row r="3668" spans="31:36">
      <c r="AE3668" s="15" t="str">
        <f t="shared" si="0"/>
        <v/>
      </c>
      <c r="AF3668" s="15" t="str">
        <f t="shared" si="1"/>
        <v/>
      </c>
      <c r="AG3668" s="15" t="str">
        <f>IF(OR(AF3668="",AF3668="ERRO_CHAVE"),"",IFERROR(MATCH(AF3668,'Quitados DUPP'!$U$1:$U$6635,0),""))</f>
        <v/>
      </c>
      <c r="AH3668" s="15" t="str">
        <f t="shared" si="2"/>
        <v/>
      </c>
      <c r="AI3668" s="17" t="str">
        <f>IF(AG3668="","",INDEX('Quitados DUPP'!$G$1:$G$6635,AG3668))</f>
        <v/>
      </c>
      <c r="AJ3668" s="17" t="str">
        <f t="shared" si="3"/>
        <v/>
      </c>
    </row>
    <row r="3669" spans="31:36">
      <c r="AE3669" s="15" t="str">
        <f t="shared" si="0"/>
        <v/>
      </c>
      <c r="AF3669" s="15" t="str">
        <f t="shared" si="1"/>
        <v/>
      </c>
      <c r="AG3669" s="15" t="str">
        <f>IF(OR(AF3669="",AF3669="ERRO_CHAVE"),"",IFERROR(MATCH(AF3669,'Quitados DUPP'!$U$1:$U$6635,0),""))</f>
        <v/>
      </c>
      <c r="AH3669" s="15" t="str">
        <f t="shared" si="2"/>
        <v/>
      </c>
      <c r="AI3669" s="17" t="str">
        <f>IF(AG3669="","",INDEX('Quitados DUPP'!$G$1:$G$6635,AG3669))</f>
        <v/>
      </c>
      <c r="AJ3669" s="17" t="str">
        <f t="shared" si="3"/>
        <v/>
      </c>
    </row>
    <row r="3670" spans="31:36">
      <c r="AE3670" s="15" t="str">
        <f t="shared" si="0"/>
        <v/>
      </c>
      <c r="AF3670" s="15" t="str">
        <f t="shared" si="1"/>
        <v/>
      </c>
      <c r="AG3670" s="15" t="str">
        <f>IF(OR(AF3670="",AF3670="ERRO_CHAVE"),"",IFERROR(MATCH(AF3670,'Quitados DUPP'!$U$1:$U$6635,0),""))</f>
        <v/>
      </c>
      <c r="AH3670" s="15" t="str">
        <f t="shared" si="2"/>
        <v/>
      </c>
      <c r="AI3670" s="17" t="str">
        <f>IF(AG3670="","",INDEX('Quitados DUPP'!$G$1:$G$6635,AG3670))</f>
        <v/>
      </c>
      <c r="AJ3670" s="17" t="str">
        <f t="shared" si="3"/>
        <v/>
      </c>
    </row>
    <row r="3671" spans="31:36">
      <c r="AE3671" s="15" t="str">
        <f t="shared" si="0"/>
        <v/>
      </c>
      <c r="AF3671" s="15" t="str">
        <f t="shared" si="1"/>
        <v/>
      </c>
      <c r="AG3671" s="15" t="str">
        <f>IF(OR(AF3671="",AF3671="ERRO_CHAVE"),"",IFERROR(MATCH(AF3671,'Quitados DUPP'!$U$1:$U$6635,0),""))</f>
        <v/>
      </c>
      <c r="AH3671" s="15" t="str">
        <f t="shared" si="2"/>
        <v/>
      </c>
      <c r="AI3671" s="17" t="str">
        <f>IF(AG3671="","",INDEX('Quitados DUPP'!$G$1:$G$6635,AG3671))</f>
        <v/>
      </c>
      <c r="AJ3671" s="17" t="str">
        <f t="shared" si="3"/>
        <v/>
      </c>
    </row>
    <row r="3672" spans="31:36">
      <c r="AE3672" s="15" t="str">
        <f t="shared" si="0"/>
        <v/>
      </c>
      <c r="AF3672" s="15" t="str">
        <f t="shared" si="1"/>
        <v/>
      </c>
      <c r="AG3672" s="15" t="str">
        <f>IF(OR(AF3672="",AF3672="ERRO_CHAVE"),"",IFERROR(MATCH(AF3672,'Quitados DUPP'!$U$1:$U$6635,0),""))</f>
        <v/>
      </c>
      <c r="AH3672" s="15" t="str">
        <f t="shared" si="2"/>
        <v/>
      </c>
      <c r="AI3672" s="17" t="str">
        <f>IF(AG3672="","",INDEX('Quitados DUPP'!$G$1:$G$6635,AG3672))</f>
        <v/>
      </c>
      <c r="AJ3672" s="17" t="str">
        <f t="shared" si="3"/>
        <v/>
      </c>
    </row>
    <row r="3673" spans="31:36">
      <c r="AE3673" s="15" t="str">
        <f t="shared" si="0"/>
        <v/>
      </c>
      <c r="AF3673" s="15" t="str">
        <f t="shared" si="1"/>
        <v/>
      </c>
      <c r="AG3673" s="15" t="str">
        <f>IF(OR(AF3673="",AF3673="ERRO_CHAVE"),"",IFERROR(MATCH(AF3673,'Quitados DUPP'!$U$1:$U$6635,0),""))</f>
        <v/>
      </c>
      <c r="AH3673" s="15" t="str">
        <f t="shared" si="2"/>
        <v/>
      </c>
      <c r="AI3673" s="17" t="str">
        <f>IF(AG3673="","",INDEX('Quitados DUPP'!$G$1:$G$6635,AG3673))</f>
        <v/>
      </c>
      <c r="AJ3673" s="17" t="str">
        <f t="shared" si="3"/>
        <v/>
      </c>
    </row>
    <row r="3674" spans="31:36">
      <c r="AE3674" s="15" t="str">
        <f t="shared" si="0"/>
        <v/>
      </c>
      <c r="AF3674" s="15" t="str">
        <f t="shared" si="1"/>
        <v/>
      </c>
      <c r="AG3674" s="15" t="str">
        <f>IF(OR(AF3674="",AF3674="ERRO_CHAVE"),"",IFERROR(MATCH(AF3674,'Quitados DUPP'!$U$1:$U$6635,0),""))</f>
        <v/>
      </c>
      <c r="AH3674" s="15" t="str">
        <f t="shared" si="2"/>
        <v/>
      </c>
      <c r="AI3674" s="17" t="str">
        <f>IF(AG3674="","",INDEX('Quitados DUPP'!$G$1:$G$6635,AG3674))</f>
        <v/>
      </c>
      <c r="AJ3674" s="17" t="str">
        <f t="shared" si="3"/>
        <v/>
      </c>
    </row>
    <row r="3675" spans="31:36">
      <c r="AE3675" s="15" t="str">
        <f t="shared" si="0"/>
        <v/>
      </c>
      <c r="AF3675" s="15" t="str">
        <f t="shared" si="1"/>
        <v/>
      </c>
      <c r="AG3675" s="15" t="str">
        <f>IF(OR(AF3675="",AF3675="ERRO_CHAVE"),"",IFERROR(MATCH(AF3675,'Quitados DUPP'!$U$1:$U$6635,0),""))</f>
        <v/>
      </c>
      <c r="AH3675" s="15" t="str">
        <f t="shared" si="2"/>
        <v/>
      </c>
      <c r="AI3675" s="17" t="str">
        <f>IF(AG3675="","",INDEX('Quitados DUPP'!$G$1:$G$6635,AG3675))</f>
        <v/>
      </c>
      <c r="AJ3675" s="17" t="str">
        <f t="shared" si="3"/>
        <v/>
      </c>
    </row>
    <row r="3676" spans="31:36">
      <c r="AE3676" s="15" t="str">
        <f t="shared" si="0"/>
        <v/>
      </c>
      <c r="AF3676" s="15" t="str">
        <f t="shared" si="1"/>
        <v/>
      </c>
      <c r="AG3676" s="15" t="str">
        <f>IF(OR(AF3676="",AF3676="ERRO_CHAVE"),"",IFERROR(MATCH(AF3676,'Quitados DUPP'!$U$1:$U$6635,0),""))</f>
        <v/>
      </c>
      <c r="AH3676" s="15" t="str">
        <f t="shared" si="2"/>
        <v/>
      </c>
      <c r="AI3676" s="17" t="str">
        <f>IF(AG3676="","",INDEX('Quitados DUPP'!$G$1:$G$6635,AG3676))</f>
        <v/>
      </c>
      <c r="AJ3676" s="17" t="str">
        <f t="shared" si="3"/>
        <v/>
      </c>
    </row>
    <row r="3677" spans="31:36">
      <c r="AE3677" s="15" t="str">
        <f t="shared" si="0"/>
        <v/>
      </c>
      <c r="AF3677" s="15" t="str">
        <f t="shared" si="1"/>
        <v/>
      </c>
      <c r="AG3677" s="15" t="str">
        <f>IF(OR(AF3677="",AF3677="ERRO_CHAVE"),"",IFERROR(MATCH(AF3677,'Quitados DUPP'!$U$1:$U$6635,0),""))</f>
        <v/>
      </c>
      <c r="AH3677" s="15" t="str">
        <f t="shared" si="2"/>
        <v/>
      </c>
      <c r="AI3677" s="17" t="str">
        <f>IF(AG3677="","",INDEX('Quitados DUPP'!$G$1:$G$6635,AG3677))</f>
        <v/>
      </c>
      <c r="AJ3677" s="17" t="str">
        <f t="shared" si="3"/>
        <v/>
      </c>
    </row>
    <row r="3678" spans="31:36">
      <c r="AE3678" s="15" t="str">
        <f t="shared" si="0"/>
        <v/>
      </c>
      <c r="AF3678" s="15" t="str">
        <f t="shared" si="1"/>
        <v/>
      </c>
      <c r="AG3678" s="15" t="str">
        <f>IF(OR(AF3678="",AF3678="ERRO_CHAVE"),"",IFERROR(MATCH(AF3678,'Quitados DUPP'!$U$1:$U$6635,0),""))</f>
        <v/>
      </c>
      <c r="AH3678" s="15" t="str">
        <f t="shared" si="2"/>
        <v/>
      </c>
      <c r="AI3678" s="17" t="str">
        <f>IF(AG3678="","",INDEX('Quitados DUPP'!$G$1:$G$6635,AG3678))</f>
        <v/>
      </c>
      <c r="AJ3678" s="17" t="str">
        <f t="shared" si="3"/>
        <v/>
      </c>
    </row>
    <row r="3679" spans="31:36">
      <c r="AE3679" s="15" t="str">
        <f t="shared" si="0"/>
        <v/>
      </c>
      <c r="AF3679" s="15" t="str">
        <f t="shared" si="1"/>
        <v/>
      </c>
      <c r="AG3679" s="15" t="str">
        <f>IF(OR(AF3679="",AF3679="ERRO_CHAVE"),"",IFERROR(MATCH(AF3679,'Quitados DUPP'!$U$1:$U$6635,0),""))</f>
        <v/>
      </c>
      <c r="AH3679" s="15" t="str">
        <f t="shared" si="2"/>
        <v/>
      </c>
      <c r="AI3679" s="17" t="str">
        <f>IF(AG3679="","",INDEX('Quitados DUPP'!$G$1:$G$6635,AG3679))</f>
        <v/>
      </c>
      <c r="AJ3679" s="17" t="str">
        <f t="shared" si="3"/>
        <v/>
      </c>
    </row>
    <row r="3680" spans="31:36">
      <c r="AE3680" s="15" t="str">
        <f t="shared" si="0"/>
        <v/>
      </c>
      <c r="AF3680" s="15" t="str">
        <f t="shared" si="1"/>
        <v/>
      </c>
      <c r="AG3680" s="15" t="str">
        <f>IF(OR(AF3680="",AF3680="ERRO_CHAVE"),"",IFERROR(MATCH(AF3680,'Quitados DUPP'!$U$1:$U$6635,0),""))</f>
        <v/>
      </c>
      <c r="AH3680" s="15" t="str">
        <f t="shared" si="2"/>
        <v/>
      </c>
      <c r="AI3680" s="17" t="str">
        <f>IF(AG3680="","",INDEX('Quitados DUPP'!$G$1:$G$6635,AG3680))</f>
        <v/>
      </c>
      <c r="AJ3680" s="17" t="str">
        <f t="shared" si="3"/>
        <v/>
      </c>
    </row>
    <row r="3681" spans="31:36">
      <c r="AE3681" s="15" t="str">
        <f t="shared" si="0"/>
        <v/>
      </c>
      <c r="AF3681" s="15" t="str">
        <f t="shared" si="1"/>
        <v/>
      </c>
      <c r="AG3681" s="15" t="str">
        <f>IF(OR(AF3681="",AF3681="ERRO_CHAVE"),"",IFERROR(MATCH(AF3681,'Quitados DUPP'!$U$1:$U$6635,0),""))</f>
        <v/>
      </c>
      <c r="AH3681" s="15" t="str">
        <f t="shared" si="2"/>
        <v/>
      </c>
      <c r="AI3681" s="17" t="str">
        <f>IF(AG3681="","",INDEX('Quitados DUPP'!$G$1:$G$6635,AG3681))</f>
        <v/>
      </c>
      <c r="AJ3681" s="17" t="str">
        <f t="shared" si="3"/>
        <v/>
      </c>
    </row>
    <row r="3682" spans="31:36">
      <c r="AE3682" s="15" t="str">
        <f t="shared" si="0"/>
        <v/>
      </c>
      <c r="AF3682" s="15" t="str">
        <f t="shared" si="1"/>
        <v/>
      </c>
      <c r="AG3682" s="15" t="str">
        <f>IF(OR(AF3682="",AF3682="ERRO_CHAVE"),"",IFERROR(MATCH(AF3682,'Quitados DUPP'!$U$1:$U$6635,0),""))</f>
        <v/>
      </c>
      <c r="AH3682" s="15" t="str">
        <f t="shared" si="2"/>
        <v/>
      </c>
      <c r="AI3682" s="17" t="str">
        <f>IF(AG3682="","",INDEX('Quitados DUPP'!$G$1:$G$6635,AG3682))</f>
        <v/>
      </c>
      <c r="AJ3682" s="17" t="str">
        <f t="shared" si="3"/>
        <v/>
      </c>
    </row>
    <row r="3683" spans="31:36">
      <c r="AE3683" s="15" t="str">
        <f t="shared" si="0"/>
        <v/>
      </c>
      <c r="AF3683" s="15" t="str">
        <f t="shared" si="1"/>
        <v/>
      </c>
      <c r="AG3683" s="15" t="str">
        <f>IF(OR(AF3683="",AF3683="ERRO_CHAVE"),"",IFERROR(MATCH(AF3683,'Quitados DUPP'!$U$1:$U$6635,0),""))</f>
        <v/>
      </c>
      <c r="AH3683" s="15" t="str">
        <f t="shared" si="2"/>
        <v/>
      </c>
      <c r="AI3683" s="17" t="str">
        <f>IF(AG3683="","",INDEX('Quitados DUPP'!$G$1:$G$6635,AG3683))</f>
        <v/>
      </c>
      <c r="AJ3683" s="17" t="str">
        <f t="shared" si="3"/>
        <v/>
      </c>
    </row>
    <row r="3684" spans="31:36">
      <c r="AE3684" s="15" t="str">
        <f t="shared" si="0"/>
        <v/>
      </c>
      <c r="AF3684" s="15" t="str">
        <f t="shared" si="1"/>
        <v/>
      </c>
      <c r="AG3684" s="15" t="str">
        <f>IF(OR(AF3684="",AF3684="ERRO_CHAVE"),"",IFERROR(MATCH(AF3684,'Quitados DUPP'!$U$1:$U$6635,0),""))</f>
        <v/>
      </c>
      <c r="AH3684" s="15" t="str">
        <f t="shared" si="2"/>
        <v/>
      </c>
      <c r="AI3684" s="17" t="str">
        <f>IF(AG3684="","",INDEX('Quitados DUPP'!$G$1:$G$6635,AG3684))</f>
        <v/>
      </c>
      <c r="AJ3684" s="17" t="str">
        <f t="shared" si="3"/>
        <v/>
      </c>
    </row>
    <row r="3685" spans="31:36">
      <c r="AE3685" s="15" t="str">
        <f t="shared" si="0"/>
        <v/>
      </c>
      <c r="AF3685" s="15" t="str">
        <f t="shared" si="1"/>
        <v/>
      </c>
      <c r="AG3685" s="15" t="str">
        <f>IF(OR(AF3685="",AF3685="ERRO_CHAVE"),"",IFERROR(MATCH(AF3685,'Quitados DUPP'!$U$1:$U$6635,0),""))</f>
        <v/>
      </c>
      <c r="AH3685" s="15" t="str">
        <f t="shared" si="2"/>
        <v/>
      </c>
      <c r="AI3685" s="17" t="str">
        <f>IF(AG3685="","",INDEX('Quitados DUPP'!$G$1:$G$6635,AG3685))</f>
        <v/>
      </c>
      <c r="AJ3685" s="17" t="str">
        <f t="shared" si="3"/>
        <v/>
      </c>
    </row>
    <row r="3686" spans="31:36">
      <c r="AE3686" s="15" t="str">
        <f t="shared" si="0"/>
        <v/>
      </c>
      <c r="AF3686" s="15" t="str">
        <f t="shared" si="1"/>
        <v/>
      </c>
      <c r="AG3686" s="15" t="str">
        <f>IF(OR(AF3686="",AF3686="ERRO_CHAVE"),"",IFERROR(MATCH(AF3686,'Quitados DUPP'!$U$1:$U$6635,0),""))</f>
        <v/>
      </c>
      <c r="AH3686" s="15" t="str">
        <f t="shared" si="2"/>
        <v/>
      </c>
      <c r="AI3686" s="17" t="str">
        <f>IF(AG3686="","",INDEX('Quitados DUPP'!$G$1:$G$6635,AG3686))</f>
        <v/>
      </c>
      <c r="AJ3686" s="17" t="str">
        <f t="shared" si="3"/>
        <v/>
      </c>
    </row>
    <row r="3687" spans="31:36">
      <c r="AE3687" s="15" t="str">
        <f t="shared" si="0"/>
        <v/>
      </c>
      <c r="AF3687" s="15" t="str">
        <f t="shared" si="1"/>
        <v/>
      </c>
      <c r="AG3687" s="15" t="str">
        <f>IF(OR(AF3687="",AF3687="ERRO_CHAVE"),"",IFERROR(MATCH(AF3687,'Quitados DUPP'!$U$1:$U$6635,0),""))</f>
        <v/>
      </c>
      <c r="AH3687" s="15" t="str">
        <f t="shared" si="2"/>
        <v/>
      </c>
      <c r="AI3687" s="17" t="str">
        <f>IF(AG3687="","",INDEX('Quitados DUPP'!$G$1:$G$6635,AG3687))</f>
        <v/>
      </c>
      <c r="AJ3687" s="17" t="str">
        <f t="shared" si="3"/>
        <v/>
      </c>
    </row>
    <row r="3688" spans="31:36">
      <c r="AE3688" s="15" t="str">
        <f t="shared" si="0"/>
        <v/>
      </c>
      <c r="AF3688" s="15" t="str">
        <f t="shared" si="1"/>
        <v/>
      </c>
      <c r="AG3688" s="15" t="str">
        <f>IF(OR(AF3688="",AF3688="ERRO_CHAVE"),"",IFERROR(MATCH(AF3688,'Quitados DUPP'!$U$1:$U$6635,0),""))</f>
        <v/>
      </c>
      <c r="AH3688" s="15" t="str">
        <f t="shared" si="2"/>
        <v/>
      </c>
      <c r="AI3688" s="17" t="str">
        <f>IF(AG3688="","",INDEX('Quitados DUPP'!$G$1:$G$6635,AG3688))</f>
        <v/>
      </c>
      <c r="AJ3688" s="17" t="str">
        <f t="shared" si="3"/>
        <v/>
      </c>
    </row>
    <row r="3689" spans="31:36">
      <c r="AE3689" s="15" t="str">
        <f t="shared" si="0"/>
        <v/>
      </c>
      <c r="AF3689" s="15" t="str">
        <f t="shared" si="1"/>
        <v/>
      </c>
      <c r="AG3689" s="15" t="str">
        <f>IF(OR(AF3689="",AF3689="ERRO_CHAVE"),"",IFERROR(MATCH(AF3689,'Quitados DUPP'!$U$1:$U$6635,0),""))</f>
        <v/>
      </c>
      <c r="AH3689" s="15" t="str">
        <f t="shared" si="2"/>
        <v/>
      </c>
      <c r="AI3689" s="17" t="str">
        <f>IF(AG3689="","",INDEX('Quitados DUPP'!$G$1:$G$6635,AG3689))</f>
        <v/>
      </c>
      <c r="AJ3689" s="17" t="str">
        <f t="shared" si="3"/>
        <v/>
      </c>
    </row>
    <row r="3690" spans="31:36">
      <c r="AE3690" s="15" t="str">
        <f t="shared" si="0"/>
        <v/>
      </c>
      <c r="AF3690" s="15" t="str">
        <f t="shared" si="1"/>
        <v/>
      </c>
      <c r="AG3690" s="15" t="str">
        <f>IF(OR(AF3690="",AF3690="ERRO_CHAVE"),"",IFERROR(MATCH(AF3690,'Quitados DUPP'!$U$1:$U$6635,0),""))</f>
        <v/>
      </c>
      <c r="AH3690" s="15" t="str">
        <f t="shared" si="2"/>
        <v/>
      </c>
      <c r="AI3690" s="17" t="str">
        <f>IF(AG3690="","",INDEX('Quitados DUPP'!$G$1:$G$6635,AG3690))</f>
        <v/>
      </c>
      <c r="AJ3690" s="17" t="str">
        <f t="shared" si="3"/>
        <v/>
      </c>
    </row>
    <row r="3691" spans="31:36">
      <c r="AE3691" s="15" t="str">
        <f t="shared" si="0"/>
        <v/>
      </c>
      <c r="AF3691" s="15" t="str">
        <f t="shared" si="1"/>
        <v/>
      </c>
      <c r="AG3691" s="15" t="str">
        <f>IF(OR(AF3691="",AF3691="ERRO_CHAVE"),"",IFERROR(MATCH(AF3691,'Quitados DUPP'!$U$1:$U$6635,0),""))</f>
        <v/>
      </c>
      <c r="AH3691" s="15" t="str">
        <f t="shared" si="2"/>
        <v/>
      </c>
      <c r="AI3691" s="17" t="str">
        <f>IF(AG3691="","",INDEX('Quitados DUPP'!$G$1:$G$6635,AG3691))</f>
        <v/>
      </c>
      <c r="AJ3691" s="17" t="str">
        <f t="shared" si="3"/>
        <v/>
      </c>
    </row>
    <row r="3692" spans="31:36">
      <c r="AE3692" s="15" t="str">
        <f t="shared" si="0"/>
        <v/>
      </c>
      <c r="AF3692" s="15" t="str">
        <f t="shared" si="1"/>
        <v/>
      </c>
      <c r="AG3692" s="15" t="str">
        <f>IF(OR(AF3692="",AF3692="ERRO_CHAVE"),"",IFERROR(MATCH(AF3692,'Quitados DUPP'!$U$1:$U$6635,0),""))</f>
        <v/>
      </c>
      <c r="AH3692" s="15" t="str">
        <f t="shared" si="2"/>
        <v/>
      </c>
      <c r="AI3692" s="17" t="str">
        <f>IF(AG3692="","",INDEX('Quitados DUPP'!$G$1:$G$6635,AG3692))</f>
        <v/>
      </c>
      <c r="AJ3692" s="17" t="str">
        <f t="shared" si="3"/>
        <v/>
      </c>
    </row>
    <row r="3693" spans="31:36">
      <c r="AE3693" s="15" t="str">
        <f t="shared" si="0"/>
        <v/>
      </c>
      <c r="AF3693" s="15" t="str">
        <f t="shared" si="1"/>
        <v/>
      </c>
      <c r="AG3693" s="15" t="str">
        <f>IF(OR(AF3693="",AF3693="ERRO_CHAVE"),"",IFERROR(MATCH(AF3693,'Quitados DUPP'!$U$1:$U$6635,0),""))</f>
        <v/>
      </c>
      <c r="AH3693" s="15" t="str">
        <f t="shared" si="2"/>
        <v/>
      </c>
      <c r="AI3693" s="17" t="str">
        <f>IF(AG3693="","",INDEX('Quitados DUPP'!$G$1:$G$6635,AG3693))</f>
        <v/>
      </c>
      <c r="AJ3693" s="17" t="str">
        <f t="shared" si="3"/>
        <v/>
      </c>
    </row>
    <row r="3694" spans="31:36">
      <c r="AE3694" s="15" t="str">
        <f t="shared" si="0"/>
        <v/>
      </c>
      <c r="AF3694" s="15" t="str">
        <f t="shared" si="1"/>
        <v/>
      </c>
      <c r="AG3694" s="15" t="str">
        <f>IF(OR(AF3694="",AF3694="ERRO_CHAVE"),"",IFERROR(MATCH(AF3694,'Quitados DUPP'!$U$1:$U$6635,0),""))</f>
        <v/>
      </c>
      <c r="AH3694" s="15" t="str">
        <f t="shared" si="2"/>
        <v/>
      </c>
      <c r="AI3694" s="17" t="str">
        <f>IF(AG3694="","",INDEX('Quitados DUPP'!$G$1:$G$6635,AG3694))</f>
        <v/>
      </c>
      <c r="AJ3694" s="17" t="str">
        <f t="shared" si="3"/>
        <v/>
      </c>
    </row>
    <row r="3695" spans="31:36">
      <c r="AE3695" s="15" t="str">
        <f t="shared" si="0"/>
        <v/>
      </c>
      <c r="AF3695" s="15" t="str">
        <f t="shared" si="1"/>
        <v/>
      </c>
      <c r="AG3695" s="15" t="str">
        <f>IF(OR(AF3695="",AF3695="ERRO_CHAVE"),"",IFERROR(MATCH(AF3695,'Quitados DUPP'!$U$1:$U$6635,0),""))</f>
        <v/>
      </c>
      <c r="AH3695" s="15" t="str">
        <f t="shared" si="2"/>
        <v/>
      </c>
      <c r="AI3695" s="17" t="str">
        <f>IF(AG3695="","",INDEX('Quitados DUPP'!$G$1:$G$6635,AG3695))</f>
        <v/>
      </c>
      <c r="AJ3695" s="17" t="str">
        <f t="shared" si="3"/>
        <v/>
      </c>
    </row>
    <row r="3696" spans="31:36">
      <c r="AE3696" s="15" t="str">
        <f t="shared" si="0"/>
        <v/>
      </c>
      <c r="AF3696" s="15" t="str">
        <f t="shared" si="1"/>
        <v/>
      </c>
      <c r="AG3696" s="15" t="str">
        <f>IF(OR(AF3696="",AF3696="ERRO_CHAVE"),"",IFERROR(MATCH(AF3696,'Quitados DUPP'!$U$1:$U$6635,0),""))</f>
        <v/>
      </c>
      <c r="AH3696" s="15" t="str">
        <f t="shared" si="2"/>
        <v/>
      </c>
      <c r="AI3696" s="17" t="str">
        <f>IF(AG3696="","",INDEX('Quitados DUPP'!$G$1:$G$6635,AG3696))</f>
        <v/>
      </c>
      <c r="AJ3696" s="17" t="str">
        <f t="shared" si="3"/>
        <v/>
      </c>
    </row>
    <row r="3697" spans="31:36">
      <c r="AE3697" s="15" t="str">
        <f t="shared" si="0"/>
        <v/>
      </c>
      <c r="AF3697" s="15" t="str">
        <f t="shared" si="1"/>
        <v/>
      </c>
      <c r="AG3697" s="15" t="str">
        <f>IF(OR(AF3697="",AF3697="ERRO_CHAVE"),"",IFERROR(MATCH(AF3697,'Quitados DUPP'!$U$1:$U$6635,0),""))</f>
        <v/>
      </c>
      <c r="AH3697" s="15" t="str">
        <f t="shared" si="2"/>
        <v/>
      </c>
      <c r="AI3697" s="17" t="str">
        <f>IF(AG3697="","",INDEX('Quitados DUPP'!$G$1:$G$6635,AG3697))</f>
        <v/>
      </c>
      <c r="AJ3697" s="17" t="str">
        <f t="shared" si="3"/>
        <v/>
      </c>
    </row>
    <row r="3698" spans="31:36">
      <c r="AE3698" s="15" t="str">
        <f t="shared" si="0"/>
        <v/>
      </c>
      <c r="AF3698" s="15" t="str">
        <f t="shared" si="1"/>
        <v/>
      </c>
      <c r="AG3698" s="15" t="str">
        <f>IF(OR(AF3698="",AF3698="ERRO_CHAVE"),"",IFERROR(MATCH(AF3698,'Quitados DUPP'!$U$1:$U$6635,0),""))</f>
        <v/>
      </c>
      <c r="AH3698" s="15" t="str">
        <f t="shared" si="2"/>
        <v/>
      </c>
      <c r="AI3698" s="17" t="str">
        <f>IF(AG3698="","",INDEX('Quitados DUPP'!$G$1:$G$6635,AG3698))</f>
        <v/>
      </c>
      <c r="AJ3698" s="17" t="str">
        <f t="shared" si="3"/>
        <v/>
      </c>
    </row>
    <row r="3699" spans="31:36">
      <c r="AE3699" s="15" t="str">
        <f t="shared" si="0"/>
        <v/>
      </c>
      <c r="AF3699" s="15" t="str">
        <f t="shared" si="1"/>
        <v/>
      </c>
      <c r="AG3699" s="15" t="str">
        <f>IF(OR(AF3699="",AF3699="ERRO_CHAVE"),"",IFERROR(MATCH(AF3699,'Quitados DUPP'!$U$1:$U$6635,0),""))</f>
        <v/>
      </c>
      <c r="AH3699" s="15" t="str">
        <f t="shared" si="2"/>
        <v/>
      </c>
      <c r="AI3699" s="17" t="str">
        <f>IF(AG3699="","",INDEX('Quitados DUPP'!$G$1:$G$6635,AG3699))</f>
        <v/>
      </c>
      <c r="AJ3699" s="17" t="str">
        <f t="shared" si="3"/>
        <v/>
      </c>
    </row>
    <row r="3700" spans="31:36">
      <c r="AE3700" s="15" t="str">
        <f t="shared" si="0"/>
        <v/>
      </c>
      <c r="AF3700" s="15" t="str">
        <f t="shared" si="1"/>
        <v/>
      </c>
      <c r="AG3700" s="15" t="str">
        <f>IF(OR(AF3700="",AF3700="ERRO_CHAVE"),"",IFERROR(MATCH(AF3700,'Quitados DUPP'!$U$1:$U$6635,0),""))</f>
        <v/>
      </c>
      <c r="AH3700" s="15" t="str">
        <f t="shared" si="2"/>
        <v/>
      </c>
      <c r="AI3700" s="17" t="str">
        <f>IF(AG3700="","",INDEX('Quitados DUPP'!$G$1:$G$6635,AG3700))</f>
        <v/>
      </c>
      <c r="AJ3700" s="17" t="str">
        <f t="shared" si="3"/>
        <v/>
      </c>
    </row>
    <row r="3701" spans="31:36">
      <c r="AE3701" s="15" t="str">
        <f t="shared" si="0"/>
        <v/>
      </c>
      <c r="AF3701" s="15" t="str">
        <f t="shared" si="1"/>
        <v/>
      </c>
      <c r="AG3701" s="15" t="str">
        <f>IF(OR(AF3701="",AF3701="ERRO_CHAVE"),"",IFERROR(MATCH(AF3701,'Quitados DUPP'!$U$1:$U$6635,0),""))</f>
        <v/>
      </c>
      <c r="AH3701" s="15" t="str">
        <f t="shared" si="2"/>
        <v/>
      </c>
      <c r="AI3701" s="17" t="str">
        <f>IF(AG3701="","",INDEX('Quitados DUPP'!$G$1:$G$6635,AG3701))</f>
        <v/>
      </c>
      <c r="AJ3701" s="17" t="str">
        <f t="shared" si="3"/>
        <v/>
      </c>
    </row>
    <row r="3702" spans="31:36">
      <c r="AE3702" s="15" t="str">
        <f t="shared" si="0"/>
        <v/>
      </c>
      <c r="AF3702" s="15" t="str">
        <f t="shared" si="1"/>
        <v/>
      </c>
      <c r="AG3702" s="15" t="str">
        <f>IF(OR(AF3702="",AF3702="ERRO_CHAVE"),"",IFERROR(MATCH(AF3702,'Quitados DUPP'!$U$1:$U$6635,0),""))</f>
        <v/>
      </c>
      <c r="AH3702" s="15" t="str">
        <f t="shared" si="2"/>
        <v/>
      </c>
      <c r="AI3702" s="17" t="str">
        <f>IF(AG3702="","",INDEX('Quitados DUPP'!$G$1:$G$6635,AG3702))</f>
        <v/>
      </c>
      <c r="AJ3702" s="17" t="str">
        <f t="shared" si="3"/>
        <v/>
      </c>
    </row>
    <row r="3703" spans="31:36">
      <c r="AE3703" s="15" t="str">
        <f t="shared" si="0"/>
        <v/>
      </c>
      <c r="AF3703" s="15" t="str">
        <f t="shared" si="1"/>
        <v/>
      </c>
      <c r="AG3703" s="15" t="str">
        <f>IF(OR(AF3703="",AF3703="ERRO_CHAVE"),"",IFERROR(MATCH(AF3703,'Quitados DUPP'!$U$1:$U$6635,0),""))</f>
        <v/>
      </c>
      <c r="AH3703" s="15" t="str">
        <f t="shared" si="2"/>
        <v/>
      </c>
      <c r="AI3703" s="17" t="str">
        <f>IF(AG3703="","",INDEX('Quitados DUPP'!$G$1:$G$6635,AG3703))</f>
        <v/>
      </c>
      <c r="AJ3703" s="17" t="str">
        <f t="shared" si="3"/>
        <v/>
      </c>
    </row>
    <row r="3704" spans="31:36">
      <c r="AE3704" s="15" t="str">
        <f t="shared" si="0"/>
        <v/>
      </c>
      <c r="AF3704" s="15" t="str">
        <f t="shared" si="1"/>
        <v/>
      </c>
      <c r="AG3704" s="15" t="str">
        <f>IF(OR(AF3704="",AF3704="ERRO_CHAVE"),"",IFERROR(MATCH(AF3704,'Quitados DUPP'!$U$1:$U$6635,0),""))</f>
        <v/>
      </c>
      <c r="AH3704" s="15" t="str">
        <f t="shared" si="2"/>
        <v/>
      </c>
      <c r="AI3704" s="17" t="str">
        <f>IF(AG3704="","",INDEX('Quitados DUPP'!$G$1:$G$6635,AG3704))</f>
        <v/>
      </c>
      <c r="AJ3704" s="17" t="str">
        <f t="shared" si="3"/>
        <v/>
      </c>
    </row>
    <row r="3705" spans="31:36">
      <c r="AE3705" s="15" t="str">
        <f t="shared" si="0"/>
        <v/>
      </c>
      <c r="AF3705" s="15" t="str">
        <f t="shared" si="1"/>
        <v/>
      </c>
      <c r="AG3705" s="15" t="str">
        <f>IF(OR(AF3705="",AF3705="ERRO_CHAVE"),"",IFERROR(MATCH(AF3705,'Quitados DUPP'!$U$1:$U$6635,0),""))</f>
        <v/>
      </c>
      <c r="AH3705" s="15" t="str">
        <f t="shared" si="2"/>
        <v/>
      </c>
      <c r="AI3705" s="17" t="str">
        <f>IF(AG3705="","",INDEX('Quitados DUPP'!$G$1:$G$6635,AG3705))</f>
        <v/>
      </c>
      <c r="AJ3705" s="17" t="str">
        <f t="shared" si="3"/>
        <v/>
      </c>
    </row>
    <row r="3706" spans="31:36">
      <c r="AE3706" s="15" t="str">
        <f t="shared" si="0"/>
        <v/>
      </c>
      <c r="AF3706" s="15" t="str">
        <f t="shared" si="1"/>
        <v/>
      </c>
      <c r="AG3706" s="15" t="str">
        <f>IF(OR(AF3706="",AF3706="ERRO_CHAVE"),"",IFERROR(MATCH(AF3706,'Quitados DUPP'!$U$1:$U$6635,0),""))</f>
        <v/>
      </c>
      <c r="AH3706" s="15" t="str">
        <f t="shared" si="2"/>
        <v/>
      </c>
      <c r="AI3706" s="17" t="str">
        <f>IF(AG3706="","",INDEX('Quitados DUPP'!$G$1:$G$6635,AG3706))</f>
        <v/>
      </c>
      <c r="AJ3706" s="17" t="str">
        <f t="shared" si="3"/>
        <v/>
      </c>
    </row>
    <row r="3707" spans="31:36">
      <c r="AE3707" s="15" t="str">
        <f t="shared" si="0"/>
        <v/>
      </c>
      <c r="AF3707" s="15" t="str">
        <f t="shared" si="1"/>
        <v/>
      </c>
      <c r="AG3707" s="15" t="str">
        <f>IF(OR(AF3707="",AF3707="ERRO_CHAVE"),"",IFERROR(MATCH(AF3707,'Quitados DUPP'!$U$1:$U$6635,0),""))</f>
        <v/>
      </c>
      <c r="AH3707" s="15" t="str">
        <f t="shared" si="2"/>
        <v/>
      </c>
      <c r="AI3707" s="17" t="str">
        <f>IF(AG3707="","",INDEX('Quitados DUPP'!$G$1:$G$6635,AG3707))</f>
        <v/>
      </c>
      <c r="AJ3707" s="17" t="str">
        <f t="shared" si="3"/>
        <v/>
      </c>
    </row>
    <row r="3708" spans="31:36">
      <c r="AE3708" s="15" t="str">
        <f t="shared" si="0"/>
        <v/>
      </c>
      <c r="AF3708" s="15" t="str">
        <f t="shared" si="1"/>
        <v/>
      </c>
      <c r="AG3708" s="15" t="str">
        <f>IF(OR(AF3708="",AF3708="ERRO_CHAVE"),"",IFERROR(MATCH(AF3708,'Quitados DUPP'!$U$1:$U$6635,0),""))</f>
        <v/>
      </c>
      <c r="AH3708" s="15" t="str">
        <f t="shared" si="2"/>
        <v/>
      </c>
      <c r="AI3708" s="17" t="str">
        <f>IF(AG3708="","",INDEX('Quitados DUPP'!$G$1:$G$6635,AG3708))</f>
        <v/>
      </c>
      <c r="AJ3708" s="17" t="str">
        <f t="shared" si="3"/>
        <v/>
      </c>
    </row>
    <row r="3709" spans="31:36">
      <c r="AE3709" s="15" t="str">
        <f t="shared" si="0"/>
        <v/>
      </c>
      <c r="AF3709" s="15" t="str">
        <f t="shared" si="1"/>
        <v/>
      </c>
      <c r="AG3709" s="15" t="str">
        <f>IF(OR(AF3709="",AF3709="ERRO_CHAVE"),"",IFERROR(MATCH(AF3709,'Quitados DUPP'!$U$1:$U$6635,0),""))</f>
        <v/>
      </c>
      <c r="AH3709" s="15" t="str">
        <f t="shared" si="2"/>
        <v/>
      </c>
      <c r="AI3709" s="17" t="str">
        <f>IF(AG3709="","",INDEX('Quitados DUPP'!$G$1:$G$6635,AG3709))</f>
        <v/>
      </c>
      <c r="AJ3709" s="17" t="str">
        <f t="shared" si="3"/>
        <v/>
      </c>
    </row>
    <row r="3710" spans="31:36">
      <c r="AE3710" s="15" t="str">
        <f t="shared" si="0"/>
        <v/>
      </c>
      <c r="AF3710" s="15" t="str">
        <f t="shared" si="1"/>
        <v/>
      </c>
      <c r="AG3710" s="15" t="str">
        <f>IF(OR(AF3710="",AF3710="ERRO_CHAVE"),"",IFERROR(MATCH(AF3710,'Quitados DUPP'!$U$1:$U$6635,0),""))</f>
        <v/>
      </c>
      <c r="AH3710" s="15" t="str">
        <f t="shared" si="2"/>
        <v/>
      </c>
      <c r="AI3710" s="17" t="str">
        <f>IF(AG3710="","",INDEX('Quitados DUPP'!$G$1:$G$6635,AG3710))</f>
        <v/>
      </c>
      <c r="AJ3710" s="17" t="str">
        <f t="shared" si="3"/>
        <v/>
      </c>
    </row>
    <row r="3711" spans="31:36">
      <c r="AE3711" s="15" t="str">
        <f t="shared" si="0"/>
        <v/>
      </c>
      <c r="AF3711" s="15" t="str">
        <f t="shared" si="1"/>
        <v/>
      </c>
      <c r="AG3711" s="15" t="str">
        <f>IF(OR(AF3711="",AF3711="ERRO_CHAVE"),"",IFERROR(MATCH(AF3711,'Quitados DUPP'!$U$1:$U$6635,0),""))</f>
        <v/>
      </c>
      <c r="AH3711" s="15" t="str">
        <f t="shared" si="2"/>
        <v/>
      </c>
      <c r="AI3711" s="17" t="str">
        <f>IF(AG3711="","",INDEX('Quitados DUPP'!$G$1:$G$6635,AG3711))</f>
        <v/>
      </c>
      <c r="AJ3711" s="17" t="str">
        <f t="shared" si="3"/>
        <v/>
      </c>
    </row>
    <row r="3712" spans="31:36">
      <c r="AE3712" s="15" t="str">
        <f t="shared" si="0"/>
        <v/>
      </c>
      <c r="AF3712" s="15" t="str">
        <f t="shared" si="1"/>
        <v/>
      </c>
      <c r="AG3712" s="15" t="str">
        <f>IF(OR(AF3712="",AF3712="ERRO_CHAVE"),"",IFERROR(MATCH(AF3712,'Quitados DUPP'!$U$1:$U$6635,0),""))</f>
        <v/>
      </c>
      <c r="AH3712" s="15" t="str">
        <f t="shared" si="2"/>
        <v/>
      </c>
      <c r="AI3712" s="17" t="str">
        <f>IF(AG3712="","",INDEX('Quitados DUPP'!$G$1:$G$6635,AG3712))</f>
        <v/>
      </c>
      <c r="AJ3712" s="17" t="str">
        <f t="shared" si="3"/>
        <v/>
      </c>
    </row>
    <row r="3713" spans="31:36">
      <c r="AE3713" s="15" t="str">
        <f t="shared" si="0"/>
        <v/>
      </c>
      <c r="AF3713" s="15" t="str">
        <f t="shared" si="1"/>
        <v/>
      </c>
      <c r="AG3713" s="15" t="str">
        <f>IF(OR(AF3713="",AF3713="ERRO_CHAVE"),"",IFERROR(MATCH(AF3713,'Quitados DUPP'!$U$1:$U$6635,0),""))</f>
        <v/>
      </c>
      <c r="AH3713" s="15" t="str">
        <f t="shared" si="2"/>
        <v/>
      </c>
      <c r="AI3713" s="17" t="str">
        <f>IF(AG3713="","",INDEX('Quitados DUPP'!$G$1:$G$6635,AG3713))</f>
        <v/>
      </c>
      <c r="AJ3713" s="17" t="str">
        <f t="shared" si="3"/>
        <v/>
      </c>
    </row>
    <row r="3714" spans="31:36">
      <c r="AE3714" s="15" t="str">
        <f t="shared" si="0"/>
        <v/>
      </c>
      <c r="AF3714" s="15" t="str">
        <f t="shared" si="1"/>
        <v/>
      </c>
      <c r="AG3714" s="15" t="str">
        <f>IF(OR(AF3714="",AF3714="ERRO_CHAVE"),"",IFERROR(MATCH(AF3714,'Quitados DUPP'!$U$1:$U$6635,0),""))</f>
        <v/>
      </c>
      <c r="AH3714" s="15" t="str">
        <f t="shared" si="2"/>
        <v/>
      </c>
      <c r="AI3714" s="17" t="str">
        <f>IF(AG3714="","",INDEX('Quitados DUPP'!$G$1:$G$6635,AG3714))</f>
        <v/>
      </c>
      <c r="AJ3714" s="17" t="str">
        <f t="shared" si="3"/>
        <v/>
      </c>
    </row>
    <row r="3715" spans="31:36">
      <c r="AE3715" s="15" t="str">
        <f t="shared" si="0"/>
        <v/>
      </c>
      <c r="AF3715" s="15" t="str">
        <f t="shared" si="1"/>
        <v/>
      </c>
      <c r="AG3715" s="15" t="str">
        <f>IF(OR(AF3715="",AF3715="ERRO_CHAVE"),"",IFERROR(MATCH(AF3715,'Quitados DUPP'!$U$1:$U$6635,0),""))</f>
        <v/>
      </c>
      <c r="AH3715" s="15" t="str">
        <f t="shared" si="2"/>
        <v/>
      </c>
      <c r="AI3715" s="17" t="str">
        <f>IF(AG3715="","",INDEX('Quitados DUPP'!$G$1:$G$6635,AG3715))</f>
        <v/>
      </c>
      <c r="AJ3715" s="17" t="str">
        <f t="shared" si="3"/>
        <v/>
      </c>
    </row>
    <row r="3716" spans="31:36">
      <c r="AE3716" s="15" t="str">
        <f t="shared" si="0"/>
        <v/>
      </c>
      <c r="AF3716" s="15" t="str">
        <f t="shared" si="1"/>
        <v/>
      </c>
      <c r="AG3716" s="15" t="str">
        <f>IF(OR(AF3716="",AF3716="ERRO_CHAVE"),"",IFERROR(MATCH(AF3716,'Quitados DUPP'!$U$1:$U$6635,0),""))</f>
        <v/>
      </c>
      <c r="AH3716" s="15" t="str">
        <f t="shared" si="2"/>
        <v/>
      </c>
      <c r="AI3716" s="17" t="str">
        <f>IF(AG3716="","",INDEX('Quitados DUPP'!$G$1:$G$6635,AG3716))</f>
        <v/>
      </c>
      <c r="AJ3716" s="17" t="str">
        <f t="shared" si="3"/>
        <v/>
      </c>
    </row>
    <row r="3717" spans="31:36">
      <c r="AE3717" s="15" t="str">
        <f t="shared" si="0"/>
        <v/>
      </c>
      <c r="AF3717" s="15" t="str">
        <f t="shared" si="1"/>
        <v/>
      </c>
      <c r="AG3717" s="15" t="str">
        <f>IF(OR(AF3717="",AF3717="ERRO_CHAVE"),"",IFERROR(MATCH(AF3717,'Quitados DUPP'!$U$1:$U$6635,0),""))</f>
        <v/>
      </c>
      <c r="AH3717" s="15" t="str">
        <f t="shared" si="2"/>
        <v/>
      </c>
      <c r="AI3717" s="17" t="str">
        <f>IF(AG3717="","",INDEX('Quitados DUPP'!$G$1:$G$6635,AG3717))</f>
        <v/>
      </c>
      <c r="AJ3717" s="17" t="str">
        <f t="shared" si="3"/>
        <v/>
      </c>
    </row>
    <row r="3718" spans="31:36">
      <c r="AE3718" s="15" t="str">
        <f t="shared" si="0"/>
        <v/>
      </c>
      <c r="AF3718" s="15" t="str">
        <f t="shared" si="1"/>
        <v/>
      </c>
      <c r="AG3718" s="15" t="str">
        <f>IF(OR(AF3718="",AF3718="ERRO_CHAVE"),"",IFERROR(MATCH(AF3718,'Quitados DUPP'!$U$1:$U$6635,0),""))</f>
        <v/>
      </c>
      <c r="AH3718" s="15" t="str">
        <f t="shared" si="2"/>
        <v/>
      </c>
      <c r="AI3718" s="17" t="str">
        <f>IF(AG3718="","",INDEX('Quitados DUPP'!$G$1:$G$6635,AG3718))</f>
        <v/>
      </c>
      <c r="AJ3718" s="17" t="str">
        <f t="shared" si="3"/>
        <v/>
      </c>
    </row>
    <row r="3719" spans="31:36">
      <c r="AE3719" s="15" t="str">
        <f t="shared" si="0"/>
        <v/>
      </c>
      <c r="AF3719" s="15" t="str">
        <f t="shared" si="1"/>
        <v/>
      </c>
      <c r="AG3719" s="15" t="str">
        <f>IF(OR(AF3719="",AF3719="ERRO_CHAVE"),"",IFERROR(MATCH(AF3719,'Quitados DUPP'!$U$1:$U$6635,0),""))</f>
        <v/>
      </c>
      <c r="AH3719" s="15" t="str">
        <f t="shared" si="2"/>
        <v/>
      </c>
      <c r="AI3719" s="17" t="str">
        <f>IF(AG3719="","",INDEX('Quitados DUPP'!$G$1:$G$6635,AG3719))</f>
        <v/>
      </c>
      <c r="AJ3719" s="17" t="str">
        <f t="shared" si="3"/>
        <v/>
      </c>
    </row>
    <row r="3720" spans="31:36">
      <c r="AE3720" s="15" t="str">
        <f t="shared" si="0"/>
        <v/>
      </c>
      <c r="AF3720" s="15" t="str">
        <f t="shared" si="1"/>
        <v/>
      </c>
      <c r="AG3720" s="15" t="str">
        <f>IF(OR(AF3720="",AF3720="ERRO_CHAVE"),"",IFERROR(MATCH(AF3720,'Quitados DUPP'!$U$1:$U$6635,0),""))</f>
        <v/>
      </c>
      <c r="AH3720" s="15" t="str">
        <f t="shared" si="2"/>
        <v/>
      </c>
      <c r="AI3720" s="17" t="str">
        <f>IF(AG3720="","",INDEX('Quitados DUPP'!$G$1:$G$6635,AG3720))</f>
        <v/>
      </c>
      <c r="AJ3720" s="17" t="str">
        <f t="shared" si="3"/>
        <v/>
      </c>
    </row>
    <row r="3721" spans="31:36">
      <c r="AE3721" s="15" t="str">
        <f t="shared" si="0"/>
        <v/>
      </c>
      <c r="AF3721" s="15" t="str">
        <f t="shared" si="1"/>
        <v/>
      </c>
      <c r="AG3721" s="15" t="str">
        <f>IF(OR(AF3721="",AF3721="ERRO_CHAVE"),"",IFERROR(MATCH(AF3721,'Quitados DUPP'!$U$1:$U$6635,0),""))</f>
        <v/>
      </c>
      <c r="AH3721" s="15" t="str">
        <f t="shared" si="2"/>
        <v/>
      </c>
      <c r="AI3721" s="17" t="str">
        <f>IF(AG3721="","",INDEX('Quitados DUPP'!$G$1:$G$6635,AG3721))</f>
        <v/>
      </c>
      <c r="AJ3721" s="17" t="str">
        <f t="shared" si="3"/>
        <v/>
      </c>
    </row>
    <row r="3722" spans="31:36">
      <c r="AE3722" s="15" t="str">
        <f t="shared" si="0"/>
        <v/>
      </c>
      <c r="AF3722" s="15" t="str">
        <f t="shared" si="1"/>
        <v/>
      </c>
      <c r="AG3722" s="15" t="str">
        <f>IF(OR(AF3722="",AF3722="ERRO_CHAVE"),"",IFERROR(MATCH(AF3722,'Quitados DUPP'!$U$1:$U$6635,0),""))</f>
        <v/>
      </c>
      <c r="AH3722" s="15" t="str">
        <f t="shared" si="2"/>
        <v/>
      </c>
      <c r="AI3722" s="17" t="str">
        <f>IF(AG3722="","",INDEX('Quitados DUPP'!$G$1:$G$6635,AG3722))</f>
        <v/>
      </c>
      <c r="AJ3722" s="17" t="str">
        <f t="shared" si="3"/>
        <v/>
      </c>
    </row>
    <row r="3723" spans="31:36">
      <c r="AE3723" s="15" t="str">
        <f t="shared" si="0"/>
        <v/>
      </c>
      <c r="AF3723" s="15" t="str">
        <f t="shared" si="1"/>
        <v/>
      </c>
      <c r="AG3723" s="15" t="str">
        <f>IF(OR(AF3723="",AF3723="ERRO_CHAVE"),"",IFERROR(MATCH(AF3723,'Quitados DUPP'!$U$1:$U$6635,0),""))</f>
        <v/>
      </c>
      <c r="AH3723" s="15" t="str">
        <f t="shared" si="2"/>
        <v/>
      </c>
      <c r="AI3723" s="17" t="str">
        <f>IF(AG3723="","",INDEX('Quitados DUPP'!$G$1:$G$6635,AG3723))</f>
        <v/>
      </c>
      <c r="AJ3723" s="17" t="str">
        <f t="shared" si="3"/>
        <v/>
      </c>
    </row>
    <row r="3724" spans="31:36">
      <c r="AE3724" s="15" t="str">
        <f t="shared" si="0"/>
        <v/>
      </c>
      <c r="AF3724" s="15" t="str">
        <f t="shared" si="1"/>
        <v/>
      </c>
      <c r="AG3724" s="15" t="str">
        <f>IF(OR(AF3724="",AF3724="ERRO_CHAVE"),"",IFERROR(MATCH(AF3724,'Quitados DUPP'!$U$1:$U$6635,0),""))</f>
        <v/>
      </c>
      <c r="AH3724" s="15" t="str">
        <f t="shared" si="2"/>
        <v/>
      </c>
      <c r="AI3724" s="17" t="str">
        <f>IF(AG3724="","",INDEX('Quitados DUPP'!$G$1:$G$6635,AG3724))</f>
        <v/>
      </c>
      <c r="AJ3724" s="17" t="str">
        <f t="shared" si="3"/>
        <v/>
      </c>
    </row>
    <row r="3725" spans="31:36">
      <c r="AE3725" s="15" t="str">
        <f t="shared" si="0"/>
        <v/>
      </c>
      <c r="AF3725" s="15" t="str">
        <f t="shared" si="1"/>
        <v/>
      </c>
      <c r="AG3725" s="15" t="str">
        <f>IF(OR(AF3725="",AF3725="ERRO_CHAVE"),"",IFERROR(MATCH(AF3725,'Quitados DUPP'!$U$1:$U$6635,0),""))</f>
        <v/>
      </c>
      <c r="AH3725" s="15" t="str">
        <f t="shared" si="2"/>
        <v/>
      </c>
      <c r="AI3725" s="17" t="str">
        <f>IF(AG3725="","",INDEX('Quitados DUPP'!$G$1:$G$6635,AG3725))</f>
        <v/>
      </c>
      <c r="AJ3725" s="17" t="str">
        <f t="shared" si="3"/>
        <v/>
      </c>
    </row>
    <row r="3726" spans="31:36">
      <c r="AE3726" s="15" t="str">
        <f t="shared" si="0"/>
        <v/>
      </c>
      <c r="AF3726" s="15" t="str">
        <f t="shared" si="1"/>
        <v/>
      </c>
      <c r="AG3726" s="15" t="str">
        <f>IF(OR(AF3726="",AF3726="ERRO_CHAVE"),"",IFERROR(MATCH(AF3726,'Quitados DUPP'!$U$1:$U$6635,0),""))</f>
        <v/>
      </c>
      <c r="AH3726" s="15" t="str">
        <f t="shared" si="2"/>
        <v/>
      </c>
      <c r="AI3726" s="17" t="str">
        <f>IF(AG3726="","",INDEX('Quitados DUPP'!$G$1:$G$6635,AG3726))</f>
        <v/>
      </c>
      <c r="AJ3726" s="17" t="str">
        <f t="shared" si="3"/>
        <v/>
      </c>
    </row>
    <row r="3727" spans="31:36">
      <c r="AE3727" s="15" t="str">
        <f t="shared" si="0"/>
        <v/>
      </c>
      <c r="AF3727" s="15" t="str">
        <f t="shared" si="1"/>
        <v/>
      </c>
      <c r="AG3727" s="15" t="str">
        <f>IF(OR(AF3727="",AF3727="ERRO_CHAVE"),"",IFERROR(MATCH(AF3727,'Quitados DUPP'!$U$1:$U$6635,0),""))</f>
        <v/>
      </c>
      <c r="AH3727" s="15" t="str">
        <f t="shared" si="2"/>
        <v/>
      </c>
      <c r="AI3727" s="17" t="str">
        <f>IF(AG3727="","",INDEX('Quitados DUPP'!$G$1:$G$6635,AG3727))</f>
        <v/>
      </c>
      <c r="AJ3727" s="17" t="str">
        <f t="shared" si="3"/>
        <v/>
      </c>
    </row>
    <row r="3728" spans="31:36">
      <c r="AE3728" s="15" t="str">
        <f t="shared" si="0"/>
        <v/>
      </c>
      <c r="AF3728" s="15" t="str">
        <f t="shared" si="1"/>
        <v/>
      </c>
      <c r="AG3728" s="15" t="str">
        <f>IF(OR(AF3728="",AF3728="ERRO_CHAVE"),"",IFERROR(MATCH(AF3728,'Quitados DUPP'!$U$1:$U$6635,0),""))</f>
        <v/>
      </c>
      <c r="AH3728" s="15" t="str">
        <f t="shared" si="2"/>
        <v/>
      </c>
      <c r="AI3728" s="17" t="str">
        <f>IF(AG3728="","",INDEX('Quitados DUPP'!$G$1:$G$6635,AG3728))</f>
        <v/>
      </c>
      <c r="AJ3728" s="17" t="str">
        <f t="shared" si="3"/>
        <v/>
      </c>
    </row>
    <row r="3729" spans="31:36">
      <c r="AE3729" s="15" t="str">
        <f t="shared" si="0"/>
        <v/>
      </c>
      <c r="AF3729" s="15" t="str">
        <f t="shared" si="1"/>
        <v/>
      </c>
      <c r="AG3729" s="15" t="str">
        <f>IF(OR(AF3729="",AF3729="ERRO_CHAVE"),"",IFERROR(MATCH(AF3729,'Quitados DUPP'!$U$1:$U$6635,0),""))</f>
        <v/>
      </c>
      <c r="AH3729" s="15" t="str">
        <f t="shared" si="2"/>
        <v/>
      </c>
      <c r="AI3729" s="17" t="str">
        <f>IF(AG3729="","",INDEX('Quitados DUPP'!$G$1:$G$6635,AG3729))</f>
        <v/>
      </c>
      <c r="AJ3729" s="17" t="str">
        <f t="shared" si="3"/>
        <v/>
      </c>
    </row>
    <row r="3730" spans="31:36">
      <c r="AE3730" s="15" t="str">
        <f t="shared" si="0"/>
        <v/>
      </c>
      <c r="AF3730" s="15" t="str">
        <f t="shared" si="1"/>
        <v/>
      </c>
      <c r="AG3730" s="15" t="str">
        <f>IF(OR(AF3730="",AF3730="ERRO_CHAVE"),"",IFERROR(MATCH(AF3730,'Quitados DUPP'!$U$1:$U$6635,0),""))</f>
        <v/>
      </c>
      <c r="AH3730" s="15" t="str">
        <f t="shared" si="2"/>
        <v/>
      </c>
      <c r="AI3730" s="17" t="str">
        <f>IF(AG3730="","",INDEX('Quitados DUPP'!$G$1:$G$6635,AG3730))</f>
        <v/>
      </c>
      <c r="AJ3730" s="17" t="str">
        <f t="shared" si="3"/>
        <v/>
      </c>
    </row>
    <row r="3731" spans="31:36">
      <c r="AE3731" s="15" t="str">
        <f t="shared" si="0"/>
        <v/>
      </c>
      <c r="AF3731" s="15" t="str">
        <f t="shared" si="1"/>
        <v/>
      </c>
      <c r="AG3731" s="15" t="str">
        <f>IF(OR(AF3731="",AF3731="ERRO_CHAVE"),"",IFERROR(MATCH(AF3731,'Quitados DUPP'!$U$1:$U$6635,0),""))</f>
        <v/>
      </c>
      <c r="AH3731" s="15" t="str">
        <f t="shared" si="2"/>
        <v/>
      </c>
      <c r="AI3731" s="17" t="str">
        <f>IF(AG3731="","",INDEX('Quitados DUPP'!$G$1:$G$6635,AG3731))</f>
        <v/>
      </c>
      <c r="AJ3731" s="17" t="str">
        <f t="shared" si="3"/>
        <v/>
      </c>
    </row>
    <row r="3732" spans="31:36">
      <c r="AE3732" s="15" t="str">
        <f t="shared" si="0"/>
        <v/>
      </c>
      <c r="AF3732" s="15" t="str">
        <f t="shared" si="1"/>
        <v/>
      </c>
      <c r="AG3732" s="15" t="str">
        <f>IF(OR(AF3732="",AF3732="ERRO_CHAVE"),"",IFERROR(MATCH(AF3732,'Quitados DUPP'!$U$1:$U$6635,0),""))</f>
        <v/>
      </c>
      <c r="AH3732" s="15" t="str">
        <f t="shared" si="2"/>
        <v/>
      </c>
      <c r="AI3732" s="17" t="str">
        <f>IF(AG3732="","",INDEX('Quitados DUPP'!$G$1:$G$6635,AG3732))</f>
        <v/>
      </c>
      <c r="AJ3732" s="17" t="str">
        <f t="shared" si="3"/>
        <v/>
      </c>
    </row>
    <row r="3733" spans="31:36">
      <c r="AE3733" s="15" t="str">
        <f t="shared" si="0"/>
        <v/>
      </c>
      <c r="AF3733" s="15" t="str">
        <f t="shared" si="1"/>
        <v/>
      </c>
      <c r="AG3733" s="15" t="str">
        <f>IF(OR(AF3733="",AF3733="ERRO_CHAVE"),"",IFERROR(MATCH(AF3733,'Quitados DUPP'!$U$1:$U$6635,0),""))</f>
        <v/>
      </c>
      <c r="AH3733" s="15" t="str">
        <f t="shared" si="2"/>
        <v/>
      </c>
      <c r="AI3733" s="17" t="str">
        <f>IF(AG3733="","",INDEX('Quitados DUPP'!$G$1:$G$6635,AG3733))</f>
        <v/>
      </c>
      <c r="AJ3733" s="17" t="str">
        <f t="shared" si="3"/>
        <v/>
      </c>
    </row>
    <row r="3734" spans="31:36">
      <c r="AE3734" s="15" t="str">
        <f t="shared" si="0"/>
        <v/>
      </c>
      <c r="AF3734" s="15" t="str">
        <f t="shared" si="1"/>
        <v/>
      </c>
      <c r="AG3734" s="15" t="str">
        <f>IF(OR(AF3734="",AF3734="ERRO_CHAVE"),"",IFERROR(MATCH(AF3734,'Quitados DUPP'!$U$1:$U$6635,0),""))</f>
        <v/>
      </c>
      <c r="AH3734" s="15" t="str">
        <f t="shared" si="2"/>
        <v/>
      </c>
      <c r="AI3734" s="17" t="str">
        <f>IF(AG3734="","",INDEX('Quitados DUPP'!$G$1:$G$6635,AG3734))</f>
        <v/>
      </c>
      <c r="AJ3734" s="17" t="str">
        <f t="shared" si="3"/>
        <v/>
      </c>
    </row>
    <row r="3735" spans="31:36">
      <c r="AE3735" s="15" t="str">
        <f t="shared" si="0"/>
        <v/>
      </c>
      <c r="AF3735" s="15" t="str">
        <f t="shared" si="1"/>
        <v/>
      </c>
      <c r="AG3735" s="15" t="str">
        <f>IF(OR(AF3735="",AF3735="ERRO_CHAVE"),"",IFERROR(MATCH(AF3735,'Quitados DUPP'!$U$1:$U$6635,0),""))</f>
        <v/>
      </c>
      <c r="AH3735" s="15" t="str">
        <f t="shared" si="2"/>
        <v/>
      </c>
      <c r="AI3735" s="17" t="str">
        <f>IF(AG3735="","",INDEX('Quitados DUPP'!$G$1:$G$6635,AG3735))</f>
        <v/>
      </c>
      <c r="AJ3735" s="17" t="str">
        <f t="shared" si="3"/>
        <v/>
      </c>
    </row>
    <row r="3736" spans="31:36">
      <c r="AE3736" s="15" t="str">
        <f t="shared" si="0"/>
        <v/>
      </c>
      <c r="AF3736" s="15" t="str">
        <f t="shared" si="1"/>
        <v/>
      </c>
      <c r="AG3736" s="15" t="str">
        <f>IF(OR(AF3736="",AF3736="ERRO_CHAVE"),"",IFERROR(MATCH(AF3736,'Quitados DUPP'!$U$1:$U$6635,0),""))</f>
        <v/>
      </c>
      <c r="AH3736" s="15" t="str">
        <f t="shared" si="2"/>
        <v/>
      </c>
      <c r="AI3736" s="17" t="str">
        <f>IF(AG3736="","",INDEX('Quitados DUPP'!$G$1:$G$6635,AG3736))</f>
        <v/>
      </c>
      <c r="AJ3736" s="17" t="str">
        <f t="shared" si="3"/>
        <v/>
      </c>
    </row>
    <row r="3737" spans="31:36">
      <c r="AE3737" s="15" t="str">
        <f t="shared" si="0"/>
        <v/>
      </c>
      <c r="AF3737" s="15" t="str">
        <f t="shared" si="1"/>
        <v/>
      </c>
      <c r="AG3737" s="15" t="str">
        <f>IF(OR(AF3737="",AF3737="ERRO_CHAVE"),"",IFERROR(MATCH(AF3737,'Quitados DUPP'!$U$1:$U$6635,0),""))</f>
        <v/>
      </c>
      <c r="AH3737" s="15" t="str">
        <f t="shared" si="2"/>
        <v/>
      </c>
      <c r="AI3737" s="17" t="str">
        <f>IF(AG3737="","",INDEX('Quitados DUPP'!$G$1:$G$6635,AG3737))</f>
        <v/>
      </c>
      <c r="AJ3737" s="17" t="str">
        <f t="shared" si="3"/>
        <v/>
      </c>
    </row>
    <row r="3738" spans="31:36">
      <c r="AE3738" s="15" t="str">
        <f t="shared" si="0"/>
        <v/>
      </c>
      <c r="AF3738" s="15" t="str">
        <f t="shared" si="1"/>
        <v/>
      </c>
      <c r="AG3738" s="15" t="str">
        <f>IF(OR(AF3738="",AF3738="ERRO_CHAVE"),"",IFERROR(MATCH(AF3738,'Quitados DUPP'!$U$1:$U$6635,0),""))</f>
        <v/>
      </c>
      <c r="AH3738" s="15" t="str">
        <f t="shared" si="2"/>
        <v/>
      </c>
      <c r="AI3738" s="17" t="str">
        <f>IF(AG3738="","",INDEX('Quitados DUPP'!$G$1:$G$6635,AG3738))</f>
        <v/>
      </c>
      <c r="AJ3738" s="17" t="str">
        <f t="shared" si="3"/>
        <v/>
      </c>
    </row>
    <row r="3739" spans="31:36">
      <c r="AE3739" s="15" t="str">
        <f t="shared" si="0"/>
        <v/>
      </c>
      <c r="AF3739" s="15" t="str">
        <f t="shared" si="1"/>
        <v/>
      </c>
      <c r="AG3739" s="15" t="str">
        <f>IF(OR(AF3739="",AF3739="ERRO_CHAVE"),"",IFERROR(MATCH(AF3739,'Quitados DUPP'!$U$1:$U$6635,0),""))</f>
        <v/>
      </c>
      <c r="AH3739" s="15" t="str">
        <f t="shared" si="2"/>
        <v/>
      </c>
      <c r="AI3739" s="17" t="str">
        <f>IF(AG3739="","",INDEX('Quitados DUPP'!$G$1:$G$6635,AG3739))</f>
        <v/>
      </c>
      <c r="AJ3739" s="17" t="str">
        <f t="shared" si="3"/>
        <v/>
      </c>
    </row>
    <row r="3740" spans="31:36">
      <c r="AE3740" s="15" t="str">
        <f t="shared" si="0"/>
        <v/>
      </c>
      <c r="AF3740" s="15" t="str">
        <f t="shared" si="1"/>
        <v/>
      </c>
      <c r="AG3740" s="15" t="str">
        <f>IF(OR(AF3740="",AF3740="ERRO_CHAVE"),"",IFERROR(MATCH(AF3740,'Quitados DUPP'!$U$1:$U$6635,0),""))</f>
        <v/>
      </c>
      <c r="AH3740" s="15" t="str">
        <f t="shared" si="2"/>
        <v/>
      </c>
      <c r="AI3740" s="17" t="str">
        <f>IF(AG3740="","",INDEX('Quitados DUPP'!$G$1:$G$6635,AG3740))</f>
        <v/>
      </c>
      <c r="AJ3740" s="17" t="str">
        <f t="shared" si="3"/>
        <v/>
      </c>
    </row>
    <row r="3741" spans="31:36">
      <c r="AE3741" s="15" t="str">
        <f t="shared" si="0"/>
        <v/>
      </c>
      <c r="AF3741" s="15" t="str">
        <f t="shared" si="1"/>
        <v/>
      </c>
      <c r="AG3741" s="15" t="str">
        <f>IF(OR(AF3741="",AF3741="ERRO_CHAVE"),"",IFERROR(MATCH(AF3741,'Quitados DUPP'!$U$1:$U$6635,0),""))</f>
        <v/>
      </c>
      <c r="AH3741" s="15" t="str">
        <f t="shared" si="2"/>
        <v/>
      </c>
      <c r="AI3741" s="17" t="str">
        <f>IF(AG3741="","",INDEX('Quitados DUPP'!$G$1:$G$6635,AG3741))</f>
        <v/>
      </c>
      <c r="AJ3741" s="17" t="str">
        <f t="shared" si="3"/>
        <v/>
      </c>
    </row>
    <row r="3742" spans="31:36">
      <c r="AE3742" s="15" t="str">
        <f t="shared" si="0"/>
        <v/>
      </c>
      <c r="AF3742" s="15" t="str">
        <f t="shared" si="1"/>
        <v/>
      </c>
      <c r="AG3742" s="15" t="str">
        <f>IF(OR(AF3742="",AF3742="ERRO_CHAVE"),"",IFERROR(MATCH(AF3742,'Quitados DUPP'!$U$1:$U$6635,0),""))</f>
        <v/>
      </c>
      <c r="AH3742" s="15" t="str">
        <f t="shared" si="2"/>
        <v/>
      </c>
      <c r="AI3742" s="17" t="str">
        <f>IF(AG3742="","",INDEX('Quitados DUPP'!$G$1:$G$6635,AG3742))</f>
        <v/>
      </c>
      <c r="AJ3742" s="17" t="str">
        <f t="shared" si="3"/>
        <v/>
      </c>
    </row>
    <row r="3743" spans="31:36">
      <c r="AE3743" s="15" t="str">
        <f t="shared" si="0"/>
        <v/>
      </c>
      <c r="AF3743" s="15" t="str">
        <f t="shared" si="1"/>
        <v/>
      </c>
      <c r="AG3743" s="15" t="str">
        <f>IF(OR(AF3743="",AF3743="ERRO_CHAVE"),"",IFERROR(MATCH(AF3743,'Quitados DUPP'!$U$1:$U$6635,0),""))</f>
        <v/>
      </c>
      <c r="AH3743" s="15" t="str">
        <f t="shared" si="2"/>
        <v/>
      </c>
      <c r="AI3743" s="17" t="str">
        <f>IF(AG3743="","",INDEX('Quitados DUPP'!$G$1:$G$6635,AG3743))</f>
        <v/>
      </c>
      <c r="AJ3743" s="17" t="str">
        <f t="shared" si="3"/>
        <v/>
      </c>
    </row>
    <row r="3744" spans="31:36">
      <c r="AE3744" s="15" t="str">
        <f t="shared" si="0"/>
        <v/>
      </c>
      <c r="AF3744" s="15" t="str">
        <f t="shared" si="1"/>
        <v/>
      </c>
      <c r="AG3744" s="15" t="str">
        <f>IF(OR(AF3744="",AF3744="ERRO_CHAVE"),"",IFERROR(MATCH(AF3744,'Quitados DUPP'!$U$1:$U$6635,0),""))</f>
        <v/>
      </c>
      <c r="AH3744" s="15" t="str">
        <f t="shared" si="2"/>
        <v/>
      </c>
      <c r="AI3744" s="17" t="str">
        <f>IF(AG3744="","",INDEX('Quitados DUPP'!$G$1:$G$6635,AG3744))</f>
        <v/>
      </c>
      <c r="AJ3744" s="17" t="str">
        <f t="shared" si="3"/>
        <v/>
      </c>
    </row>
    <row r="3745" spans="31:36">
      <c r="AE3745" s="15" t="str">
        <f t="shared" si="0"/>
        <v/>
      </c>
      <c r="AF3745" s="15" t="str">
        <f t="shared" si="1"/>
        <v/>
      </c>
      <c r="AG3745" s="15" t="str">
        <f>IF(OR(AF3745="",AF3745="ERRO_CHAVE"),"",IFERROR(MATCH(AF3745,'Quitados DUPP'!$U$1:$U$6635,0),""))</f>
        <v/>
      </c>
      <c r="AH3745" s="15" t="str">
        <f t="shared" si="2"/>
        <v/>
      </c>
      <c r="AI3745" s="17" t="str">
        <f>IF(AG3745="","",INDEX('Quitados DUPP'!$G$1:$G$6635,AG3745))</f>
        <v/>
      </c>
      <c r="AJ3745" s="17" t="str">
        <f t="shared" si="3"/>
        <v/>
      </c>
    </row>
    <row r="3746" spans="31:36">
      <c r="AE3746" s="15" t="str">
        <f t="shared" si="0"/>
        <v/>
      </c>
      <c r="AF3746" s="15" t="str">
        <f t="shared" si="1"/>
        <v/>
      </c>
      <c r="AG3746" s="15" t="str">
        <f>IF(OR(AF3746="",AF3746="ERRO_CHAVE"),"",IFERROR(MATCH(AF3746,'Quitados DUPP'!$U$1:$U$6635,0),""))</f>
        <v/>
      </c>
      <c r="AH3746" s="15" t="str">
        <f t="shared" si="2"/>
        <v/>
      </c>
      <c r="AI3746" s="17" t="str">
        <f>IF(AG3746="","",INDEX('Quitados DUPP'!$G$1:$G$6635,AG3746))</f>
        <v/>
      </c>
      <c r="AJ3746" s="17" t="str">
        <f t="shared" si="3"/>
        <v/>
      </c>
    </row>
    <row r="3747" spans="31:36">
      <c r="AE3747" s="15" t="str">
        <f t="shared" si="0"/>
        <v/>
      </c>
      <c r="AF3747" s="15" t="str">
        <f t="shared" si="1"/>
        <v/>
      </c>
      <c r="AG3747" s="15" t="str">
        <f>IF(OR(AF3747="",AF3747="ERRO_CHAVE"),"",IFERROR(MATCH(AF3747,'Quitados DUPP'!$U$1:$U$6635,0),""))</f>
        <v/>
      </c>
      <c r="AH3747" s="15" t="str">
        <f t="shared" si="2"/>
        <v/>
      </c>
      <c r="AI3747" s="17" t="str">
        <f>IF(AG3747="","",INDEX('Quitados DUPP'!$G$1:$G$6635,AG3747))</f>
        <v/>
      </c>
      <c r="AJ3747" s="17" t="str">
        <f t="shared" si="3"/>
        <v/>
      </c>
    </row>
    <row r="3748" spans="31:36">
      <c r="AE3748" s="15" t="str">
        <f t="shared" si="0"/>
        <v/>
      </c>
      <c r="AF3748" s="15" t="str">
        <f t="shared" si="1"/>
        <v/>
      </c>
      <c r="AG3748" s="15" t="str">
        <f>IF(OR(AF3748="",AF3748="ERRO_CHAVE"),"",IFERROR(MATCH(AF3748,'Quitados DUPP'!$U$1:$U$6635,0),""))</f>
        <v/>
      </c>
      <c r="AH3748" s="15" t="str">
        <f t="shared" si="2"/>
        <v/>
      </c>
      <c r="AI3748" s="17" t="str">
        <f>IF(AG3748="","",INDEX('Quitados DUPP'!$G$1:$G$6635,AG3748))</f>
        <v/>
      </c>
      <c r="AJ3748" s="17" t="str">
        <f t="shared" si="3"/>
        <v/>
      </c>
    </row>
    <row r="3749" spans="31:36">
      <c r="AE3749" s="15" t="str">
        <f t="shared" si="0"/>
        <v/>
      </c>
      <c r="AF3749" s="15" t="str">
        <f t="shared" si="1"/>
        <v/>
      </c>
      <c r="AG3749" s="15" t="str">
        <f>IF(OR(AF3749="",AF3749="ERRO_CHAVE"),"",IFERROR(MATCH(AF3749,'Quitados DUPP'!$U$1:$U$6635,0),""))</f>
        <v/>
      </c>
      <c r="AH3749" s="15" t="str">
        <f t="shared" si="2"/>
        <v/>
      </c>
      <c r="AI3749" s="17" t="str">
        <f>IF(AG3749="","",INDEX('Quitados DUPP'!$G$1:$G$6635,AG3749))</f>
        <v/>
      </c>
      <c r="AJ3749" s="17" t="str">
        <f t="shared" si="3"/>
        <v/>
      </c>
    </row>
    <row r="3750" spans="31:36">
      <c r="AE3750" s="15" t="str">
        <f t="shared" si="0"/>
        <v/>
      </c>
      <c r="AF3750" s="15" t="str">
        <f t="shared" si="1"/>
        <v/>
      </c>
      <c r="AG3750" s="15" t="str">
        <f>IF(OR(AF3750="",AF3750="ERRO_CHAVE"),"",IFERROR(MATCH(AF3750,'Quitados DUPP'!$U$1:$U$6635,0),""))</f>
        <v/>
      </c>
      <c r="AH3750" s="15" t="str">
        <f t="shared" si="2"/>
        <v/>
      </c>
      <c r="AI3750" s="17" t="str">
        <f>IF(AG3750="","",INDEX('Quitados DUPP'!$G$1:$G$6635,AG3750))</f>
        <v/>
      </c>
      <c r="AJ3750" s="17" t="str">
        <f t="shared" si="3"/>
        <v/>
      </c>
    </row>
    <row r="3751" spans="31:36">
      <c r="AE3751" s="15" t="str">
        <f t="shared" si="0"/>
        <v/>
      </c>
      <c r="AF3751" s="15" t="str">
        <f t="shared" si="1"/>
        <v/>
      </c>
      <c r="AG3751" s="15" t="str">
        <f>IF(OR(AF3751="",AF3751="ERRO_CHAVE"),"",IFERROR(MATCH(AF3751,'Quitados DUPP'!$U$1:$U$6635,0),""))</f>
        <v/>
      </c>
      <c r="AH3751" s="15" t="str">
        <f t="shared" si="2"/>
        <v/>
      </c>
      <c r="AI3751" s="17" t="str">
        <f>IF(AG3751="","",INDEX('Quitados DUPP'!$G$1:$G$6635,AG3751))</f>
        <v/>
      </c>
      <c r="AJ3751" s="17" t="str">
        <f t="shared" si="3"/>
        <v/>
      </c>
    </row>
    <row r="3752" spans="31:36">
      <c r="AE3752" s="15" t="str">
        <f t="shared" si="0"/>
        <v/>
      </c>
      <c r="AF3752" s="15" t="str">
        <f t="shared" si="1"/>
        <v/>
      </c>
      <c r="AG3752" s="15" t="str">
        <f>IF(OR(AF3752="",AF3752="ERRO_CHAVE"),"",IFERROR(MATCH(AF3752,'Quitados DUPP'!$U$1:$U$6635,0),""))</f>
        <v/>
      </c>
      <c r="AH3752" s="15" t="str">
        <f t="shared" si="2"/>
        <v/>
      </c>
      <c r="AI3752" s="17" t="str">
        <f>IF(AG3752="","",INDEX('Quitados DUPP'!$G$1:$G$6635,AG3752))</f>
        <v/>
      </c>
      <c r="AJ3752" s="17" t="str">
        <f t="shared" si="3"/>
        <v/>
      </c>
    </row>
    <row r="3753" spans="31:36">
      <c r="AE3753" s="15" t="str">
        <f t="shared" si="0"/>
        <v/>
      </c>
      <c r="AF3753" s="15" t="str">
        <f t="shared" si="1"/>
        <v/>
      </c>
      <c r="AG3753" s="15" t="str">
        <f>IF(OR(AF3753="",AF3753="ERRO_CHAVE"),"",IFERROR(MATCH(AF3753,'Quitados DUPP'!$U$1:$U$6635,0),""))</f>
        <v/>
      </c>
      <c r="AH3753" s="15" t="str">
        <f t="shared" si="2"/>
        <v/>
      </c>
      <c r="AI3753" s="17" t="str">
        <f>IF(AG3753="","",INDEX('Quitados DUPP'!$G$1:$G$6635,AG3753))</f>
        <v/>
      </c>
      <c r="AJ3753" s="17" t="str">
        <f t="shared" si="3"/>
        <v/>
      </c>
    </row>
    <row r="3754" spans="31:36">
      <c r="AE3754" s="15" t="str">
        <f t="shared" si="0"/>
        <v/>
      </c>
      <c r="AF3754" s="15" t="str">
        <f t="shared" si="1"/>
        <v/>
      </c>
      <c r="AG3754" s="15" t="str">
        <f>IF(OR(AF3754="",AF3754="ERRO_CHAVE"),"",IFERROR(MATCH(AF3754,'Quitados DUPP'!$U$1:$U$6635,0),""))</f>
        <v/>
      </c>
      <c r="AH3754" s="15" t="str">
        <f t="shared" si="2"/>
        <v/>
      </c>
      <c r="AI3754" s="17" t="str">
        <f>IF(AG3754="","",INDEX('Quitados DUPP'!$G$1:$G$6635,AG3754))</f>
        <v/>
      </c>
      <c r="AJ3754" s="17" t="str">
        <f t="shared" si="3"/>
        <v/>
      </c>
    </row>
    <row r="3755" spans="31:36">
      <c r="AE3755" s="15" t="str">
        <f t="shared" si="0"/>
        <v/>
      </c>
      <c r="AF3755" s="15" t="str">
        <f t="shared" si="1"/>
        <v/>
      </c>
      <c r="AG3755" s="15" t="str">
        <f>IF(OR(AF3755="",AF3755="ERRO_CHAVE"),"",IFERROR(MATCH(AF3755,'Quitados DUPP'!$U$1:$U$6635,0),""))</f>
        <v/>
      </c>
      <c r="AH3755" s="15" t="str">
        <f t="shared" si="2"/>
        <v/>
      </c>
      <c r="AI3755" s="17" t="str">
        <f>IF(AG3755="","",INDEX('Quitados DUPP'!$G$1:$G$6635,AG3755))</f>
        <v/>
      </c>
      <c r="AJ3755" s="17" t="str">
        <f t="shared" si="3"/>
        <v/>
      </c>
    </row>
    <row r="3756" spans="31:36">
      <c r="AE3756" s="15" t="str">
        <f t="shared" si="0"/>
        <v/>
      </c>
      <c r="AF3756" s="15" t="str">
        <f t="shared" si="1"/>
        <v/>
      </c>
      <c r="AG3756" s="15" t="str">
        <f>IF(OR(AF3756="",AF3756="ERRO_CHAVE"),"",IFERROR(MATCH(AF3756,'Quitados DUPP'!$U$1:$U$6635,0),""))</f>
        <v/>
      </c>
      <c r="AH3756" s="15" t="str">
        <f t="shared" si="2"/>
        <v/>
      </c>
      <c r="AI3756" s="17" t="str">
        <f>IF(AG3756="","",INDEX('Quitados DUPP'!$G$1:$G$6635,AG3756))</f>
        <v/>
      </c>
      <c r="AJ3756" s="17" t="str">
        <f t="shared" si="3"/>
        <v/>
      </c>
    </row>
    <row r="3757" spans="31:36">
      <c r="AE3757" s="15" t="str">
        <f t="shared" si="0"/>
        <v/>
      </c>
      <c r="AF3757" s="15" t="str">
        <f t="shared" si="1"/>
        <v/>
      </c>
      <c r="AG3757" s="15" t="str">
        <f>IF(OR(AF3757="",AF3757="ERRO_CHAVE"),"",IFERROR(MATCH(AF3757,'Quitados DUPP'!$U$1:$U$6635,0),""))</f>
        <v/>
      </c>
      <c r="AH3757" s="15" t="str">
        <f t="shared" si="2"/>
        <v/>
      </c>
      <c r="AI3757" s="17" t="str">
        <f>IF(AG3757="","",INDEX('Quitados DUPP'!$G$1:$G$6635,AG3757))</f>
        <v/>
      </c>
      <c r="AJ3757" s="17" t="str">
        <f t="shared" si="3"/>
        <v/>
      </c>
    </row>
    <row r="3758" spans="31:36">
      <c r="AE3758" s="15" t="str">
        <f t="shared" si="0"/>
        <v/>
      </c>
      <c r="AF3758" s="15" t="str">
        <f t="shared" si="1"/>
        <v/>
      </c>
      <c r="AG3758" s="15" t="str">
        <f>IF(OR(AF3758="",AF3758="ERRO_CHAVE"),"",IFERROR(MATCH(AF3758,'Quitados DUPP'!$U$1:$U$6635,0),""))</f>
        <v/>
      </c>
      <c r="AH3758" s="15" t="str">
        <f t="shared" si="2"/>
        <v/>
      </c>
      <c r="AI3758" s="17" t="str">
        <f>IF(AG3758="","",INDEX('Quitados DUPP'!$G$1:$G$6635,AG3758))</f>
        <v/>
      </c>
      <c r="AJ3758" s="17" t="str">
        <f t="shared" si="3"/>
        <v/>
      </c>
    </row>
    <row r="3759" spans="31:36">
      <c r="AE3759" s="15" t="str">
        <f t="shared" si="0"/>
        <v/>
      </c>
      <c r="AF3759" s="15" t="str">
        <f t="shared" si="1"/>
        <v/>
      </c>
      <c r="AG3759" s="15" t="str">
        <f>IF(OR(AF3759="",AF3759="ERRO_CHAVE"),"",IFERROR(MATCH(AF3759,'Quitados DUPP'!$U$1:$U$6635,0),""))</f>
        <v/>
      </c>
      <c r="AH3759" s="15" t="str">
        <f t="shared" si="2"/>
        <v/>
      </c>
      <c r="AI3759" s="17" t="str">
        <f>IF(AG3759="","",INDEX('Quitados DUPP'!$G$1:$G$6635,AG3759))</f>
        <v/>
      </c>
      <c r="AJ3759" s="17" t="str">
        <f t="shared" si="3"/>
        <v/>
      </c>
    </row>
    <row r="3760" spans="31:36">
      <c r="AE3760" s="15" t="str">
        <f t="shared" si="0"/>
        <v/>
      </c>
      <c r="AF3760" s="15" t="str">
        <f t="shared" si="1"/>
        <v/>
      </c>
      <c r="AG3760" s="15" t="str">
        <f>IF(OR(AF3760="",AF3760="ERRO_CHAVE"),"",IFERROR(MATCH(AF3760,'Quitados DUPP'!$U$1:$U$6635,0),""))</f>
        <v/>
      </c>
      <c r="AH3760" s="15" t="str">
        <f t="shared" si="2"/>
        <v/>
      </c>
      <c r="AI3760" s="17" t="str">
        <f>IF(AG3760="","",INDEX('Quitados DUPP'!$G$1:$G$6635,AG3760))</f>
        <v/>
      </c>
      <c r="AJ3760" s="17" t="str">
        <f t="shared" si="3"/>
        <v/>
      </c>
    </row>
    <row r="3761" spans="31:36">
      <c r="AE3761" s="15" t="str">
        <f t="shared" si="0"/>
        <v/>
      </c>
      <c r="AF3761" s="15" t="str">
        <f t="shared" si="1"/>
        <v/>
      </c>
      <c r="AG3761" s="15" t="str">
        <f>IF(OR(AF3761="",AF3761="ERRO_CHAVE"),"",IFERROR(MATCH(AF3761,'Quitados DUPP'!$U$1:$U$6635,0),""))</f>
        <v/>
      </c>
      <c r="AH3761" s="15" t="str">
        <f t="shared" si="2"/>
        <v/>
      </c>
      <c r="AI3761" s="17" t="str">
        <f>IF(AG3761="","",INDEX('Quitados DUPP'!$G$1:$G$6635,AG3761))</f>
        <v/>
      </c>
      <c r="AJ3761" s="17" t="str">
        <f t="shared" si="3"/>
        <v/>
      </c>
    </row>
    <row r="3762" spans="31:36">
      <c r="AE3762" s="15" t="str">
        <f t="shared" si="0"/>
        <v/>
      </c>
      <c r="AF3762" s="15" t="str">
        <f t="shared" si="1"/>
        <v/>
      </c>
      <c r="AG3762" s="15" t="str">
        <f>IF(OR(AF3762="",AF3762="ERRO_CHAVE"),"",IFERROR(MATCH(AF3762,'Quitados DUPP'!$U$1:$U$6635,0),""))</f>
        <v/>
      </c>
      <c r="AH3762" s="15" t="str">
        <f t="shared" si="2"/>
        <v/>
      </c>
      <c r="AI3762" s="17" t="str">
        <f>IF(AG3762="","",INDEX('Quitados DUPP'!$G$1:$G$6635,AG3762))</f>
        <v/>
      </c>
      <c r="AJ3762" s="17" t="str">
        <f t="shared" si="3"/>
        <v/>
      </c>
    </row>
    <row r="3763" spans="31:36">
      <c r="AE3763" s="15" t="str">
        <f t="shared" si="0"/>
        <v/>
      </c>
      <c r="AF3763" s="15" t="str">
        <f t="shared" si="1"/>
        <v/>
      </c>
      <c r="AG3763" s="15" t="str">
        <f>IF(OR(AF3763="",AF3763="ERRO_CHAVE"),"",IFERROR(MATCH(AF3763,'Quitados DUPP'!$U$1:$U$6635,0),""))</f>
        <v/>
      </c>
      <c r="AH3763" s="15" t="str">
        <f t="shared" si="2"/>
        <v/>
      </c>
      <c r="AI3763" s="17" t="str">
        <f>IF(AG3763="","",INDEX('Quitados DUPP'!$G$1:$G$6635,AG3763))</f>
        <v/>
      </c>
      <c r="AJ3763" s="17" t="str">
        <f t="shared" si="3"/>
        <v/>
      </c>
    </row>
    <row r="3764" spans="31:36">
      <c r="AE3764" s="15" t="str">
        <f t="shared" si="0"/>
        <v/>
      </c>
      <c r="AF3764" s="15" t="str">
        <f t="shared" si="1"/>
        <v/>
      </c>
      <c r="AG3764" s="15" t="str">
        <f>IF(OR(AF3764="",AF3764="ERRO_CHAVE"),"",IFERROR(MATCH(AF3764,'Quitados DUPP'!$U$1:$U$6635,0),""))</f>
        <v/>
      </c>
      <c r="AH3764" s="15" t="str">
        <f t="shared" si="2"/>
        <v/>
      </c>
      <c r="AI3764" s="17" t="str">
        <f>IF(AG3764="","",INDEX('Quitados DUPP'!$G$1:$G$6635,AG3764))</f>
        <v/>
      </c>
      <c r="AJ3764" s="17" t="str">
        <f t="shared" si="3"/>
        <v/>
      </c>
    </row>
    <row r="3765" spans="31:36">
      <c r="AE3765" s="15" t="str">
        <f t="shared" si="0"/>
        <v/>
      </c>
      <c r="AF3765" s="15" t="str">
        <f t="shared" si="1"/>
        <v/>
      </c>
      <c r="AG3765" s="15" t="str">
        <f>IF(OR(AF3765="",AF3765="ERRO_CHAVE"),"",IFERROR(MATCH(AF3765,'Quitados DUPP'!$U$1:$U$6635,0),""))</f>
        <v/>
      </c>
      <c r="AH3765" s="15" t="str">
        <f t="shared" si="2"/>
        <v/>
      </c>
      <c r="AI3765" s="17" t="str">
        <f>IF(AG3765="","",INDEX('Quitados DUPP'!$G$1:$G$6635,AG3765))</f>
        <v/>
      </c>
      <c r="AJ3765" s="17" t="str">
        <f t="shared" si="3"/>
        <v/>
      </c>
    </row>
    <row r="3766" spans="31:36">
      <c r="AE3766" s="15" t="str">
        <f t="shared" si="0"/>
        <v/>
      </c>
      <c r="AF3766" s="15" t="str">
        <f t="shared" si="1"/>
        <v/>
      </c>
      <c r="AG3766" s="15" t="str">
        <f>IF(OR(AF3766="",AF3766="ERRO_CHAVE"),"",IFERROR(MATCH(AF3766,'Quitados DUPP'!$U$1:$U$6635,0),""))</f>
        <v/>
      </c>
      <c r="AH3766" s="15" t="str">
        <f t="shared" si="2"/>
        <v/>
      </c>
      <c r="AI3766" s="17" t="str">
        <f>IF(AG3766="","",INDEX('Quitados DUPP'!$G$1:$G$6635,AG3766))</f>
        <v/>
      </c>
      <c r="AJ3766" s="17" t="str">
        <f t="shared" si="3"/>
        <v/>
      </c>
    </row>
    <row r="3767" spans="31:36">
      <c r="AE3767" s="15" t="str">
        <f t="shared" si="0"/>
        <v/>
      </c>
      <c r="AF3767" s="15" t="str">
        <f t="shared" si="1"/>
        <v/>
      </c>
      <c r="AG3767" s="15" t="str">
        <f>IF(OR(AF3767="",AF3767="ERRO_CHAVE"),"",IFERROR(MATCH(AF3767,'Quitados DUPP'!$U$1:$U$6635,0),""))</f>
        <v/>
      </c>
      <c r="AH3767" s="15" t="str">
        <f t="shared" si="2"/>
        <v/>
      </c>
      <c r="AI3767" s="17" t="str">
        <f>IF(AG3767="","",INDEX('Quitados DUPP'!$G$1:$G$6635,AG3767))</f>
        <v/>
      </c>
      <c r="AJ3767" s="17" t="str">
        <f t="shared" si="3"/>
        <v/>
      </c>
    </row>
    <row r="3768" spans="31:36">
      <c r="AE3768" s="15" t="str">
        <f t="shared" si="0"/>
        <v/>
      </c>
      <c r="AF3768" s="15" t="str">
        <f t="shared" si="1"/>
        <v/>
      </c>
      <c r="AG3768" s="15" t="str">
        <f>IF(OR(AF3768="",AF3768="ERRO_CHAVE"),"",IFERROR(MATCH(AF3768,'Quitados DUPP'!$U$1:$U$6635,0),""))</f>
        <v/>
      </c>
      <c r="AH3768" s="15" t="str">
        <f t="shared" si="2"/>
        <v/>
      </c>
      <c r="AI3768" s="17" t="str">
        <f>IF(AG3768="","",INDEX('Quitados DUPP'!$G$1:$G$6635,AG3768))</f>
        <v/>
      </c>
      <c r="AJ3768" s="17" t="str">
        <f t="shared" si="3"/>
        <v/>
      </c>
    </row>
    <row r="3769" spans="31:36">
      <c r="AE3769" s="15" t="str">
        <f t="shared" si="0"/>
        <v/>
      </c>
      <c r="AF3769" s="15" t="str">
        <f t="shared" si="1"/>
        <v/>
      </c>
      <c r="AG3769" s="15" t="str">
        <f>IF(OR(AF3769="",AF3769="ERRO_CHAVE"),"",IFERROR(MATCH(AF3769,'Quitados DUPP'!$U$1:$U$6635,0),""))</f>
        <v/>
      </c>
      <c r="AH3769" s="15" t="str">
        <f t="shared" si="2"/>
        <v/>
      </c>
      <c r="AI3769" s="17" t="str">
        <f>IF(AG3769="","",INDEX('Quitados DUPP'!$G$1:$G$6635,AG3769))</f>
        <v/>
      </c>
      <c r="AJ3769" s="17" t="str">
        <f t="shared" si="3"/>
        <v/>
      </c>
    </row>
    <row r="3770" spans="31:36">
      <c r="AE3770" s="15" t="str">
        <f t="shared" si="0"/>
        <v/>
      </c>
      <c r="AF3770" s="15" t="str">
        <f t="shared" si="1"/>
        <v/>
      </c>
      <c r="AG3770" s="15" t="str">
        <f>IF(OR(AF3770="",AF3770="ERRO_CHAVE"),"",IFERROR(MATCH(AF3770,'Quitados DUPP'!$U$1:$U$6635,0),""))</f>
        <v/>
      </c>
      <c r="AH3770" s="15" t="str">
        <f t="shared" si="2"/>
        <v/>
      </c>
      <c r="AI3770" s="17" t="str">
        <f>IF(AG3770="","",INDEX('Quitados DUPP'!$G$1:$G$6635,AG3770))</f>
        <v/>
      </c>
      <c r="AJ3770" s="17" t="str">
        <f t="shared" si="3"/>
        <v/>
      </c>
    </row>
    <row r="3771" spans="31:36">
      <c r="AE3771" s="15" t="str">
        <f t="shared" si="0"/>
        <v/>
      </c>
      <c r="AF3771" s="15" t="str">
        <f t="shared" si="1"/>
        <v/>
      </c>
      <c r="AG3771" s="15" t="str">
        <f>IF(OR(AF3771="",AF3771="ERRO_CHAVE"),"",IFERROR(MATCH(AF3771,'Quitados DUPP'!$U$1:$U$6635,0),""))</f>
        <v/>
      </c>
      <c r="AH3771" s="15" t="str">
        <f t="shared" si="2"/>
        <v/>
      </c>
      <c r="AI3771" s="17" t="str">
        <f>IF(AG3771="","",INDEX('Quitados DUPP'!$G$1:$G$6635,AG3771))</f>
        <v/>
      </c>
      <c r="AJ3771" s="17" t="str">
        <f t="shared" si="3"/>
        <v/>
      </c>
    </row>
    <row r="3772" spans="31:36">
      <c r="AE3772" s="15" t="str">
        <f t="shared" si="0"/>
        <v/>
      </c>
      <c r="AF3772" s="15" t="str">
        <f t="shared" si="1"/>
        <v/>
      </c>
      <c r="AG3772" s="15" t="str">
        <f>IF(OR(AF3772="",AF3772="ERRO_CHAVE"),"",IFERROR(MATCH(AF3772,'Quitados DUPP'!$U$1:$U$6635,0),""))</f>
        <v/>
      </c>
      <c r="AH3772" s="15" t="str">
        <f t="shared" si="2"/>
        <v/>
      </c>
      <c r="AI3772" s="17" t="str">
        <f>IF(AG3772="","",INDEX('Quitados DUPP'!$G$1:$G$6635,AG3772))</f>
        <v/>
      </c>
      <c r="AJ3772" s="17" t="str">
        <f t="shared" si="3"/>
        <v/>
      </c>
    </row>
    <row r="3773" spans="31:36">
      <c r="AE3773" s="15" t="str">
        <f t="shared" si="0"/>
        <v/>
      </c>
      <c r="AF3773" s="15" t="str">
        <f t="shared" si="1"/>
        <v/>
      </c>
      <c r="AG3773" s="15" t="str">
        <f>IF(OR(AF3773="",AF3773="ERRO_CHAVE"),"",IFERROR(MATCH(AF3773,'Quitados DUPP'!$U$1:$U$6635,0),""))</f>
        <v/>
      </c>
      <c r="AH3773" s="15" t="str">
        <f t="shared" si="2"/>
        <v/>
      </c>
      <c r="AI3773" s="17" t="str">
        <f>IF(AG3773="","",INDEX('Quitados DUPP'!$G$1:$G$6635,AG3773))</f>
        <v/>
      </c>
      <c r="AJ3773" s="17" t="str">
        <f t="shared" si="3"/>
        <v/>
      </c>
    </row>
    <row r="3774" spans="31:36">
      <c r="AE3774" s="15" t="str">
        <f t="shared" si="0"/>
        <v/>
      </c>
      <c r="AF3774" s="15" t="str">
        <f t="shared" si="1"/>
        <v/>
      </c>
      <c r="AG3774" s="15" t="str">
        <f>IF(OR(AF3774="",AF3774="ERRO_CHAVE"),"",IFERROR(MATCH(AF3774,'Quitados DUPP'!$U$1:$U$6635,0),""))</f>
        <v/>
      </c>
      <c r="AH3774" s="15" t="str">
        <f t="shared" si="2"/>
        <v/>
      </c>
      <c r="AI3774" s="17" t="str">
        <f>IF(AG3774="","",INDEX('Quitados DUPP'!$G$1:$G$6635,AG3774))</f>
        <v/>
      </c>
      <c r="AJ3774" s="17" t="str">
        <f t="shared" si="3"/>
        <v/>
      </c>
    </row>
    <row r="3775" spans="31:36">
      <c r="AE3775" s="15" t="str">
        <f t="shared" si="0"/>
        <v/>
      </c>
      <c r="AF3775" s="15" t="str">
        <f t="shared" si="1"/>
        <v/>
      </c>
      <c r="AG3775" s="15" t="str">
        <f>IF(OR(AF3775="",AF3775="ERRO_CHAVE"),"",IFERROR(MATCH(AF3775,'Quitados DUPP'!$U$1:$U$6635,0),""))</f>
        <v/>
      </c>
      <c r="AH3775" s="15" t="str">
        <f t="shared" si="2"/>
        <v/>
      </c>
      <c r="AI3775" s="17" t="str">
        <f>IF(AG3775="","",INDEX('Quitados DUPP'!$G$1:$G$6635,AG3775))</f>
        <v/>
      </c>
      <c r="AJ3775" s="17" t="str">
        <f t="shared" si="3"/>
        <v/>
      </c>
    </row>
    <row r="3776" spans="31:36">
      <c r="AE3776" s="15" t="str">
        <f t="shared" si="0"/>
        <v/>
      </c>
      <c r="AF3776" s="15" t="str">
        <f t="shared" si="1"/>
        <v/>
      </c>
      <c r="AG3776" s="15" t="str">
        <f>IF(OR(AF3776="",AF3776="ERRO_CHAVE"),"",IFERROR(MATCH(AF3776,'Quitados DUPP'!$U$1:$U$6635,0),""))</f>
        <v/>
      </c>
      <c r="AH3776" s="15" t="str">
        <f t="shared" si="2"/>
        <v/>
      </c>
      <c r="AI3776" s="17" t="str">
        <f>IF(AG3776="","",INDEX('Quitados DUPP'!$G$1:$G$6635,AG3776))</f>
        <v/>
      </c>
      <c r="AJ3776" s="17" t="str">
        <f t="shared" si="3"/>
        <v/>
      </c>
    </row>
    <row r="3777" spans="31:36">
      <c r="AE3777" s="15" t="str">
        <f t="shared" si="0"/>
        <v/>
      </c>
      <c r="AF3777" s="15" t="str">
        <f t="shared" si="1"/>
        <v/>
      </c>
      <c r="AG3777" s="15" t="str">
        <f>IF(OR(AF3777="",AF3777="ERRO_CHAVE"),"",IFERROR(MATCH(AF3777,'Quitados DUPP'!$U$1:$U$6635,0),""))</f>
        <v/>
      </c>
      <c r="AH3777" s="15" t="str">
        <f t="shared" si="2"/>
        <v/>
      </c>
      <c r="AI3777" s="17" t="str">
        <f>IF(AG3777="","",INDEX('Quitados DUPP'!$G$1:$G$6635,AG3777))</f>
        <v/>
      </c>
      <c r="AJ3777" s="17" t="str">
        <f t="shared" si="3"/>
        <v/>
      </c>
    </row>
    <row r="3778" spans="31:36">
      <c r="AE3778" s="15" t="str">
        <f t="shared" si="0"/>
        <v/>
      </c>
      <c r="AF3778" s="15" t="str">
        <f t="shared" si="1"/>
        <v/>
      </c>
      <c r="AG3778" s="15" t="str">
        <f>IF(OR(AF3778="",AF3778="ERRO_CHAVE"),"",IFERROR(MATCH(AF3778,'Quitados DUPP'!$U$1:$U$6635,0),""))</f>
        <v/>
      </c>
      <c r="AH3778" s="15" t="str">
        <f t="shared" si="2"/>
        <v/>
      </c>
      <c r="AI3778" s="17" t="str">
        <f>IF(AG3778="","",INDEX('Quitados DUPP'!$G$1:$G$6635,AG3778))</f>
        <v/>
      </c>
      <c r="AJ3778" s="17" t="str">
        <f t="shared" si="3"/>
        <v/>
      </c>
    </row>
    <row r="3779" spans="31:36">
      <c r="AE3779" s="15" t="str">
        <f t="shared" si="0"/>
        <v/>
      </c>
      <c r="AF3779" s="15" t="str">
        <f t="shared" si="1"/>
        <v/>
      </c>
      <c r="AG3779" s="15" t="str">
        <f>IF(OR(AF3779="",AF3779="ERRO_CHAVE"),"",IFERROR(MATCH(AF3779,'Quitados DUPP'!$U$1:$U$6635,0),""))</f>
        <v/>
      </c>
      <c r="AH3779" s="15" t="str">
        <f t="shared" si="2"/>
        <v/>
      </c>
      <c r="AI3779" s="17" t="str">
        <f>IF(AG3779="","",INDEX('Quitados DUPP'!$G$1:$G$6635,AG3779))</f>
        <v/>
      </c>
      <c r="AJ3779" s="17" t="str">
        <f t="shared" si="3"/>
        <v/>
      </c>
    </row>
    <row r="3780" spans="31:36">
      <c r="AE3780" s="15" t="str">
        <f t="shared" si="0"/>
        <v/>
      </c>
      <c r="AF3780" s="15" t="str">
        <f t="shared" si="1"/>
        <v/>
      </c>
      <c r="AG3780" s="15" t="str">
        <f>IF(OR(AF3780="",AF3780="ERRO_CHAVE"),"",IFERROR(MATCH(AF3780,'Quitados DUPP'!$U$1:$U$6635,0),""))</f>
        <v/>
      </c>
      <c r="AH3780" s="15" t="str">
        <f t="shared" si="2"/>
        <v/>
      </c>
      <c r="AI3780" s="17" t="str">
        <f>IF(AG3780="","",INDEX('Quitados DUPP'!$G$1:$G$6635,AG3780))</f>
        <v/>
      </c>
      <c r="AJ3780" s="17" t="str">
        <f t="shared" si="3"/>
        <v/>
      </c>
    </row>
    <row r="3781" spans="31:36">
      <c r="AE3781" s="15" t="str">
        <f t="shared" si="0"/>
        <v/>
      </c>
      <c r="AF3781" s="15" t="str">
        <f t="shared" si="1"/>
        <v/>
      </c>
      <c r="AG3781" s="15" t="str">
        <f>IF(OR(AF3781="",AF3781="ERRO_CHAVE"),"",IFERROR(MATCH(AF3781,'Quitados DUPP'!$U$1:$U$6635,0),""))</f>
        <v/>
      </c>
      <c r="AH3781" s="15" t="str">
        <f t="shared" si="2"/>
        <v/>
      </c>
      <c r="AI3781" s="17" t="str">
        <f>IF(AG3781="","",INDEX('Quitados DUPP'!$G$1:$G$6635,AG3781))</f>
        <v/>
      </c>
      <c r="AJ3781" s="17" t="str">
        <f t="shared" si="3"/>
        <v/>
      </c>
    </row>
    <row r="3782" spans="31:36">
      <c r="AE3782" s="15" t="str">
        <f t="shared" si="0"/>
        <v/>
      </c>
      <c r="AF3782" s="15" t="str">
        <f t="shared" si="1"/>
        <v/>
      </c>
      <c r="AG3782" s="15" t="str">
        <f>IF(OR(AF3782="",AF3782="ERRO_CHAVE"),"",IFERROR(MATCH(AF3782,'Quitados DUPP'!$U$1:$U$6635,0),""))</f>
        <v/>
      </c>
      <c r="AH3782" s="15" t="str">
        <f t="shared" si="2"/>
        <v/>
      </c>
      <c r="AI3782" s="17" t="str">
        <f>IF(AG3782="","",INDEX('Quitados DUPP'!$G$1:$G$6635,AG3782))</f>
        <v/>
      </c>
      <c r="AJ3782" s="17" t="str">
        <f t="shared" si="3"/>
        <v/>
      </c>
    </row>
    <row r="3783" spans="31:36">
      <c r="AE3783" s="15" t="str">
        <f t="shared" si="0"/>
        <v/>
      </c>
      <c r="AF3783" s="15" t="str">
        <f t="shared" si="1"/>
        <v/>
      </c>
      <c r="AG3783" s="15" t="str">
        <f>IF(OR(AF3783="",AF3783="ERRO_CHAVE"),"",IFERROR(MATCH(AF3783,'Quitados DUPP'!$U$1:$U$6635,0),""))</f>
        <v/>
      </c>
      <c r="AH3783" s="15" t="str">
        <f t="shared" si="2"/>
        <v/>
      </c>
      <c r="AI3783" s="17" t="str">
        <f>IF(AG3783="","",INDEX('Quitados DUPP'!$G$1:$G$6635,AG3783))</f>
        <v/>
      </c>
      <c r="AJ3783" s="17" t="str">
        <f t="shared" si="3"/>
        <v/>
      </c>
    </row>
    <row r="3784" spans="31:36">
      <c r="AE3784" s="15" t="str">
        <f t="shared" si="0"/>
        <v/>
      </c>
      <c r="AF3784" s="15" t="str">
        <f t="shared" si="1"/>
        <v/>
      </c>
      <c r="AG3784" s="15" t="str">
        <f>IF(OR(AF3784="",AF3784="ERRO_CHAVE"),"",IFERROR(MATCH(AF3784,'Quitados DUPP'!$U$1:$U$6635,0),""))</f>
        <v/>
      </c>
      <c r="AH3784" s="15" t="str">
        <f t="shared" si="2"/>
        <v/>
      </c>
      <c r="AI3784" s="17" t="str">
        <f>IF(AG3784="","",INDEX('Quitados DUPP'!$G$1:$G$6635,AG3784))</f>
        <v/>
      </c>
      <c r="AJ3784" s="17" t="str">
        <f t="shared" si="3"/>
        <v/>
      </c>
    </row>
    <row r="3785" spans="31:36">
      <c r="AE3785" s="15" t="str">
        <f t="shared" si="0"/>
        <v/>
      </c>
      <c r="AF3785" s="15" t="str">
        <f t="shared" si="1"/>
        <v/>
      </c>
      <c r="AG3785" s="15" t="str">
        <f>IF(OR(AF3785="",AF3785="ERRO_CHAVE"),"",IFERROR(MATCH(AF3785,'Quitados DUPP'!$U$1:$U$6635,0),""))</f>
        <v/>
      </c>
      <c r="AH3785" s="15" t="str">
        <f t="shared" si="2"/>
        <v/>
      </c>
      <c r="AI3785" s="17" t="str">
        <f>IF(AG3785="","",INDEX('Quitados DUPP'!$G$1:$G$6635,AG3785))</f>
        <v/>
      </c>
      <c r="AJ3785" s="17" t="str">
        <f t="shared" si="3"/>
        <v/>
      </c>
    </row>
    <row r="3786" spans="31:36">
      <c r="AE3786" s="15" t="str">
        <f t="shared" si="0"/>
        <v/>
      </c>
      <c r="AF3786" s="15" t="str">
        <f t="shared" si="1"/>
        <v/>
      </c>
      <c r="AG3786" s="15" t="str">
        <f>IF(OR(AF3786="",AF3786="ERRO_CHAVE"),"",IFERROR(MATCH(AF3786,'Quitados DUPP'!$U$1:$U$6635,0),""))</f>
        <v/>
      </c>
      <c r="AH3786" s="15" t="str">
        <f t="shared" si="2"/>
        <v/>
      </c>
      <c r="AI3786" s="17" t="str">
        <f>IF(AG3786="","",INDEX('Quitados DUPP'!$G$1:$G$6635,AG3786))</f>
        <v/>
      </c>
      <c r="AJ3786" s="17" t="str">
        <f t="shared" si="3"/>
        <v/>
      </c>
    </row>
    <row r="3787" spans="31:36">
      <c r="AE3787" s="15" t="str">
        <f t="shared" si="0"/>
        <v/>
      </c>
      <c r="AF3787" s="15" t="str">
        <f t="shared" si="1"/>
        <v/>
      </c>
      <c r="AG3787" s="15" t="str">
        <f>IF(OR(AF3787="",AF3787="ERRO_CHAVE"),"",IFERROR(MATCH(AF3787,'Quitados DUPP'!$U$1:$U$6635,0),""))</f>
        <v/>
      </c>
      <c r="AH3787" s="15" t="str">
        <f t="shared" si="2"/>
        <v/>
      </c>
      <c r="AI3787" s="17" t="str">
        <f>IF(AG3787="","",INDEX('Quitados DUPP'!$G$1:$G$6635,AG3787))</f>
        <v/>
      </c>
      <c r="AJ3787" s="17" t="str">
        <f t="shared" si="3"/>
        <v/>
      </c>
    </row>
    <row r="3788" spans="31:36">
      <c r="AE3788" s="15" t="str">
        <f t="shared" si="0"/>
        <v/>
      </c>
      <c r="AF3788" s="15" t="str">
        <f t="shared" si="1"/>
        <v/>
      </c>
      <c r="AG3788" s="15" t="str">
        <f>IF(OR(AF3788="",AF3788="ERRO_CHAVE"),"",IFERROR(MATCH(AF3788,'Quitados DUPP'!$U$1:$U$6635,0),""))</f>
        <v/>
      </c>
      <c r="AH3788" s="15" t="str">
        <f t="shared" si="2"/>
        <v/>
      </c>
      <c r="AI3788" s="17" t="str">
        <f>IF(AG3788="","",INDEX('Quitados DUPP'!$G$1:$G$6635,AG3788))</f>
        <v/>
      </c>
      <c r="AJ3788" s="17" t="str">
        <f t="shared" si="3"/>
        <v/>
      </c>
    </row>
    <row r="3789" spans="31:36">
      <c r="AE3789" s="15" t="str">
        <f t="shared" si="0"/>
        <v/>
      </c>
      <c r="AF3789" s="15" t="str">
        <f t="shared" si="1"/>
        <v/>
      </c>
      <c r="AG3789" s="15" t="str">
        <f>IF(OR(AF3789="",AF3789="ERRO_CHAVE"),"",IFERROR(MATCH(AF3789,'Quitados DUPP'!$U$1:$U$6635,0),""))</f>
        <v/>
      </c>
      <c r="AH3789" s="15" t="str">
        <f t="shared" si="2"/>
        <v/>
      </c>
      <c r="AI3789" s="17" t="str">
        <f>IF(AG3789="","",INDEX('Quitados DUPP'!$G$1:$G$6635,AG3789))</f>
        <v/>
      </c>
      <c r="AJ3789" s="17" t="str">
        <f t="shared" si="3"/>
        <v/>
      </c>
    </row>
    <row r="3790" spans="31:36">
      <c r="AE3790" s="15" t="str">
        <f t="shared" si="0"/>
        <v/>
      </c>
      <c r="AF3790" s="15" t="str">
        <f t="shared" si="1"/>
        <v/>
      </c>
      <c r="AG3790" s="15" t="str">
        <f>IF(OR(AF3790="",AF3790="ERRO_CHAVE"),"",IFERROR(MATCH(AF3790,'Quitados DUPP'!$U$1:$U$6635,0),""))</f>
        <v/>
      </c>
      <c r="AH3790" s="15" t="str">
        <f t="shared" si="2"/>
        <v/>
      </c>
      <c r="AI3790" s="17" t="str">
        <f>IF(AG3790="","",INDEX('Quitados DUPP'!$G$1:$G$6635,AG3790))</f>
        <v/>
      </c>
      <c r="AJ3790" s="17" t="str">
        <f t="shared" si="3"/>
        <v/>
      </c>
    </row>
    <row r="3791" spans="31:36">
      <c r="AE3791" s="15" t="str">
        <f t="shared" si="0"/>
        <v/>
      </c>
      <c r="AF3791" s="15" t="str">
        <f t="shared" si="1"/>
        <v/>
      </c>
      <c r="AG3791" s="15" t="str">
        <f>IF(OR(AF3791="",AF3791="ERRO_CHAVE"),"",IFERROR(MATCH(AF3791,'Quitados DUPP'!$U$1:$U$6635,0),""))</f>
        <v/>
      </c>
      <c r="AH3791" s="15" t="str">
        <f t="shared" si="2"/>
        <v/>
      </c>
      <c r="AI3791" s="17" t="str">
        <f>IF(AG3791="","",INDEX('Quitados DUPP'!$G$1:$G$6635,AG3791))</f>
        <v/>
      </c>
      <c r="AJ3791" s="17" t="str">
        <f t="shared" si="3"/>
        <v/>
      </c>
    </row>
    <row r="3792" spans="31:36">
      <c r="AE3792" s="15" t="str">
        <f t="shared" si="0"/>
        <v/>
      </c>
      <c r="AF3792" s="15" t="str">
        <f t="shared" si="1"/>
        <v/>
      </c>
      <c r="AG3792" s="15" t="str">
        <f>IF(OR(AF3792="",AF3792="ERRO_CHAVE"),"",IFERROR(MATCH(AF3792,'Quitados DUPP'!$U$1:$U$6635,0),""))</f>
        <v/>
      </c>
      <c r="AH3792" s="15" t="str">
        <f t="shared" si="2"/>
        <v/>
      </c>
      <c r="AI3792" s="17" t="str">
        <f>IF(AG3792="","",INDEX('Quitados DUPP'!$G$1:$G$6635,AG3792))</f>
        <v/>
      </c>
      <c r="AJ3792" s="17" t="str">
        <f t="shared" si="3"/>
        <v/>
      </c>
    </row>
    <row r="3793" spans="31:36">
      <c r="AE3793" s="15" t="str">
        <f t="shared" si="0"/>
        <v/>
      </c>
      <c r="AF3793" s="15" t="str">
        <f t="shared" si="1"/>
        <v/>
      </c>
      <c r="AG3793" s="15" t="str">
        <f>IF(OR(AF3793="",AF3793="ERRO_CHAVE"),"",IFERROR(MATCH(AF3793,'Quitados DUPP'!$U$1:$U$6635,0),""))</f>
        <v/>
      </c>
      <c r="AH3793" s="15" t="str">
        <f t="shared" si="2"/>
        <v/>
      </c>
      <c r="AI3793" s="17" t="str">
        <f>IF(AG3793="","",INDEX('Quitados DUPP'!$G$1:$G$6635,AG3793))</f>
        <v/>
      </c>
      <c r="AJ3793" s="17" t="str">
        <f t="shared" si="3"/>
        <v/>
      </c>
    </row>
    <row r="3794" spans="31:36">
      <c r="AE3794" s="15" t="str">
        <f t="shared" si="0"/>
        <v/>
      </c>
      <c r="AF3794" s="15" t="str">
        <f t="shared" si="1"/>
        <v/>
      </c>
      <c r="AG3794" s="15" t="str">
        <f>IF(OR(AF3794="",AF3794="ERRO_CHAVE"),"",IFERROR(MATCH(AF3794,'Quitados DUPP'!$U$1:$U$6635,0),""))</f>
        <v/>
      </c>
      <c r="AH3794" s="15" t="str">
        <f t="shared" si="2"/>
        <v/>
      </c>
      <c r="AI3794" s="17" t="str">
        <f>IF(AG3794="","",INDEX('Quitados DUPP'!$G$1:$G$6635,AG3794))</f>
        <v/>
      </c>
      <c r="AJ3794" s="17" t="str">
        <f t="shared" si="3"/>
        <v/>
      </c>
    </row>
    <row r="3795" spans="31:36">
      <c r="AE3795" s="15" t="str">
        <f t="shared" si="0"/>
        <v/>
      </c>
      <c r="AF3795" s="15" t="str">
        <f t="shared" si="1"/>
        <v/>
      </c>
      <c r="AG3795" s="15" t="str">
        <f>IF(OR(AF3795="",AF3795="ERRO_CHAVE"),"",IFERROR(MATCH(AF3795,'Quitados DUPP'!$U$1:$U$6635,0),""))</f>
        <v/>
      </c>
      <c r="AH3795" s="15" t="str">
        <f t="shared" si="2"/>
        <v/>
      </c>
      <c r="AI3795" s="17" t="str">
        <f>IF(AG3795="","",INDEX('Quitados DUPP'!$G$1:$G$6635,AG3795))</f>
        <v/>
      </c>
      <c r="AJ3795" s="17" t="str">
        <f t="shared" si="3"/>
        <v/>
      </c>
    </row>
    <row r="3796" spans="31:36">
      <c r="AE3796" s="15" t="str">
        <f t="shared" si="0"/>
        <v/>
      </c>
      <c r="AF3796" s="15" t="str">
        <f t="shared" si="1"/>
        <v/>
      </c>
      <c r="AG3796" s="15" t="str">
        <f>IF(OR(AF3796="",AF3796="ERRO_CHAVE"),"",IFERROR(MATCH(AF3796,'Quitados DUPP'!$U$1:$U$6635,0),""))</f>
        <v/>
      </c>
      <c r="AH3796" s="15" t="str">
        <f t="shared" si="2"/>
        <v/>
      </c>
      <c r="AI3796" s="17" t="str">
        <f>IF(AG3796="","",INDEX('Quitados DUPP'!$G$1:$G$6635,AG3796))</f>
        <v/>
      </c>
      <c r="AJ3796" s="17" t="str">
        <f t="shared" si="3"/>
        <v/>
      </c>
    </row>
    <row r="3797" spans="31:36">
      <c r="AE3797" s="15" t="str">
        <f t="shared" si="0"/>
        <v/>
      </c>
      <c r="AF3797" s="15" t="str">
        <f t="shared" si="1"/>
        <v/>
      </c>
      <c r="AG3797" s="15" t="str">
        <f>IF(OR(AF3797="",AF3797="ERRO_CHAVE"),"",IFERROR(MATCH(AF3797,'Quitados DUPP'!$U$1:$U$6635,0),""))</f>
        <v/>
      </c>
      <c r="AH3797" s="15" t="str">
        <f t="shared" si="2"/>
        <v/>
      </c>
      <c r="AI3797" s="17" t="str">
        <f>IF(AG3797="","",INDEX('Quitados DUPP'!$G$1:$G$6635,AG3797))</f>
        <v/>
      </c>
      <c r="AJ3797" s="17" t="str">
        <f t="shared" si="3"/>
        <v/>
      </c>
    </row>
    <row r="3798" spans="31:36">
      <c r="AE3798" s="15" t="str">
        <f t="shared" si="0"/>
        <v/>
      </c>
      <c r="AF3798" s="15" t="str">
        <f t="shared" si="1"/>
        <v/>
      </c>
      <c r="AG3798" s="15" t="str">
        <f>IF(OR(AF3798="",AF3798="ERRO_CHAVE"),"",IFERROR(MATCH(AF3798,'Quitados DUPP'!$U$1:$U$6635,0),""))</f>
        <v/>
      </c>
      <c r="AH3798" s="15" t="str">
        <f t="shared" si="2"/>
        <v/>
      </c>
      <c r="AI3798" s="17" t="str">
        <f>IF(AG3798="","",INDEX('Quitados DUPP'!$G$1:$G$6635,AG3798))</f>
        <v/>
      </c>
      <c r="AJ3798" s="17" t="str">
        <f t="shared" si="3"/>
        <v/>
      </c>
    </row>
    <row r="3799" spans="31:36">
      <c r="AE3799" s="15" t="str">
        <f t="shared" si="0"/>
        <v/>
      </c>
      <c r="AF3799" s="15" t="str">
        <f t="shared" si="1"/>
        <v/>
      </c>
      <c r="AG3799" s="15" t="str">
        <f>IF(OR(AF3799="",AF3799="ERRO_CHAVE"),"",IFERROR(MATCH(AF3799,'Quitados DUPP'!$U$1:$U$6635,0),""))</f>
        <v/>
      </c>
      <c r="AH3799" s="15" t="str">
        <f t="shared" si="2"/>
        <v/>
      </c>
      <c r="AI3799" s="17" t="str">
        <f>IF(AG3799="","",INDEX('Quitados DUPP'!$G$1:$G$6635,AG3799))</f>
        <v/>
      </c>
      <c r="AJ3799" s="17" t="str">
        <f t="shared" si="3"/>
        <v/>
      </c>
    </row>
    <row r="3800" spans="31:36">
      <c r="AE3800" s="15" t="str">
        <f t="shared" si="0"/>
        <v/>
      </c>
      <c r="AF3800" s="15" t="str">
        <f t="shared" si="1"/>
        <v/>
      </c>
      <c r="AG3800" s="15" t="str">
        <f>IF(OR(AF3800="",AF3800="ERRO_CHAVE"),"",IFERROR(MATCH(AF3800,'Quitados DUPP'!$U$1:$U$6635,0),""))</f>
        <v/>
      </c>
      <c r="AH3800" s="15" t="str">
        <f t="shared" si="2"/>
        <v/>
      </c>
      <c r="AI3800" s="17" t="str">
        <f>IF(AG3800="","",INDEX('Quitados DUPP'!$G$1:$G$6635,AG3800))</f>
        <v/>
      </c>
      <c r="AJ3800" s="17" t="str">
        <f t="shared" si="3"/>
        <v/>
      </c>
    </row>
    <row r="3801" spans="31:36">
      <c r="AE3801" s="15" t="str">
        <f t="shared" si="0"/>
        <v/>
      </c>
      <c r="AF3801" s="15" t="str">
        <f t="shared" si="1"/>
        <v/>
      </c>
      <c r="AG3801" s="15" t="str">
        <f>IF(OR(AF3801="",AF3801="ERRO_CHAVE"),"",IFERROR(MATCH(AF3801,'Quitados DUPP'!$U$1:$U$6635,0),""))</f>
        <v/>
      </c>
      <c r="AH3801" s="15" t="str">
        <f t="shared" si="2"/>
        <v/>
      </c>
      <c r="AI3801" s="17" t="str">
        <f>IF(AG3801="","",INDEX('Quitados DUPP'!$G$1:$G$6635,AG3801))</f>
        <v/>
      </c>
      <c r="AJ3801" s="17" t="str">
        <f t="shared" si="3"/>
        <v/>
      </c>
    </row>
    <row r="3802" spans="31:36">
      <c r="AE3802" s="15" t="str">
        <f t="shared" si="0"/>
        <v/>
      </c>
      <c r="AF3802" s="15" t="str">
        <f t="shared" si="1"/>
        <v/>
      </c>
      <c r="AG3802" s="15" t="str">
        <f>IF(OR(AF3802="",AF3802="ERRO_CHAVE"),"",IFERROR(MATCH(AF3802,'Quitados DUPP'!$U$1:$U$6635,0),""))</f>
        <v/>
      </c>
      <c r="AH3802" s="15" t="str">
        <f t="shared" si="2"/>
        <v/>
      </c>
      <c r="AI3802" s="17" t="str">
        <f>IF(AG3802="","",INDEX('Quitados DUPP'!$G$1:$G$6635,AG3802))</f>
        <v/>
      </c>
      <c r="AJ3802" s="17" t="str">
        <f t="shared" si="3"/>
        <v/>
      </c>
    </row>
    <row r="3803" spans="31:36">
      <c r="AE3803" s="15" t="str">
        <f t="shared" si="0"/>
        <v/>
      </c>
      <c r="AF3803" s="15" t="str">
        <f t="shared" si="1"/>
        <v/>
      </c>
      <c r="AG3803" s="15" t="str">
        <f>IF(OR(AF3803="",AF3803="ERRO_CHAVE"),"",IFERROR(MATCH(AF3803,'Quitados DUPP'!$U$1:$U$6635,0),""))</f>
        <v/>
      </c>
      <c r="AH3803" s="15" t="str">
        <f t="shared" si="2"/>
        <v/>
      </c>
      <c r="AI3803" s="17" t="str">
        <f>IF(AG3803="","",INDEX('Quitados DUPP'!$G$1:$G$6635,AG3803))</f>
        <v/>
      </c>
      <c r="AJ3803" s="17" t="str">
        <f t="shared" si="3"/>
        <v/>
      </c>
    </row>
    <row r="3804" spans="31:36">
      <c r="AE3804" s="15" t="str">
        <f t="shared" si="0"/>
        <v/>
      </c>
      <c r="AF3804" s="15" t="str">
        <f t="shared" si="1"/>
        <v/>
      </c>
      <c r="AG3804" s="15" t="str">
        <f>IF(OR(AF3804="",AF3804="ERRO_CHAVE"),"",IFERROR(MATCH(AF3804,'Quitados DUPP'!$U$1:$U$6635,0),""))</f>
        <v/>
      </c>
      <c r="AH3804" s="15" t="str">
        <f t="shared" si="2"/>
        <v/>
      </c>
      <c r="AI3804" s="17" t="str">
        <f>IF(AG3804="","",INDEX('Quitados DUPP'!$G$1:$G$6635,AG3804))</f>
        <v/>
      </c>
      <c r="AJ3804" s="17" t="str">
        <f t="shared" si="3"/>
        <v/>
      </c>
    </row>
    <row r="3805" spans="31:36">
      <c r="AE3805" s="15" t="str">
        <f t="shared" si="0"/>
        <v/>
      </c>
      <c r="AF3805" s="15" t="str">
        <f t="shared" si="1"/>
        <v/>
      </c>
      <c r="AG3805" s="15" t="str">
        <f>IF(OR(AF3805="",AF3805="ERRO_CHAVE"),"",IFERROR(MATCH(AF3805,'Quitados DUPP'!$U$1:$U$6635,0),""))</f>
        <v/>
      </c>
      <c r="AH3805" s="15" t="str">
        <f t="shared" si="2"/>
        <v/>
      </c>
      <c r="AI3805" s="17" t="str">
        <f>IF(AG3805="","",INDEX('Quitados DUPP'!$G$1:$G$6635,AG3805))</f>
        <v/>
      </c>
      <c r="AJ3805" s="17" t="str">
        <f t="shared" si="3"/>
        <v/>
      </c>
    </row>
    <row r="3806" spans="31:36">
      <c r="AE3806" s="15" t="str">
        <f t="shared" si="0"/>
        <v/>
      </c>
      <c r="AF3806" s="15" t="str">
        <f t="shared" si="1"/>
        <v/>
      </c>
      <c r="AG3806" s="15" t="str">
        <f>IF(OR(AF3806="",AF3806="ERRO_CHAVE"),"",IFERROR(MATCH(AF3806,'Quitados DUPP'!$U$1:$U$6635,0),""))</f>
        <v/>
      </c>
      <c r="AH3806" s="15" t="str">
        <f t="shared" si="2"/>
        <v/>
      </c>
      <c r="AI3806" s="17" t="str">
        <f>IF(AG3806="","",INDEX('Quitados DUPP'!$G$1:$G$6635,AG3806))</f>
        <v/>
      </c>
      <c r="AJ3806" s="17" t="str">
        <f t="shared" si="3"/>
        <v/>
      </c>
    </row>
    <row r="3807" spans="31:36">
      <c r="AE3807" s="15" t="str">
        <f t="shared" si="0"/>
        <v/>
      </c>
      <c r="AF3807" s="15" t="str">
        <f t="shared" si="1"/>
        <v/>
      </c>
      <c r="AG3807" s="15" t="str">
        <f>IF(OR(AF3807="",AF3807="ERRO_CHAVE"),"",IFERROR(MATCH(AF3807,'Quitados DUPP'!$U$1:$U$6635,0),""))</f>
        <v/>
      </c>
      <c r="AH3807" s="15" t="str">
        <f t="shared" si="2"/>
        <v/>
      </c>
      <c r="AI3807" s="17" t="str">
        <f>IF(AG3807="","",INDEX('Quitados DUPP'!$G$1:$G$6635,AG3807))</f>
        <v/>
      </c>
      <c r="AJ3807" s="17" t="str">
        <f t="shared" si="3"/>
        <v/>
      </c>
    </row>
    <row r="3808" spans="31:36">
      <c r="AE3808" s="15" t="str">
        <f t="shared" si="0"/>
        <v/>
      </c>
      <c r="AF3808" s="15" t="str">
        <f t="shared" si="1"/>
        <v/>
      </c>
      <c r="AG3808" s="15" t="str">
        <f>IF(OR(AF3808="",AF3808="ERRO_CHAVE"),"",IFERROR(MATCH(AF3808,'Quitados DUPP'!$U$1:$U$6635,0),""))</f>
        <v/>
      </c>
      <c r="AH3808" s="15" t="str">
        <f t="shared" si="2"/>
        <v/>
      </c>
      <c r="AI3808" s="17" t="str">
        <f>IF(AG3808="","",INDEX('Quitados DUPP'!$G$1:$G$6635,AG3808))</f>
        <v/>
      </c>
      <c r="AJ3808" s="17" t="str">
        <f t="shared" si="3"/>
        <v/>
      </c>
    </row>
    <row r="3809" spans="31:36">
      <c r="AE3809" s="15" t="str">
        <f t="shared" si="0"/>
        <v/>
      </c>
      <c r="AF3809" s="15" t="str">
        <f t="shared" si="1"/>
        <v/>
      </c>
      <c r="AG3809" s="15" t="str">
        <f>IF(OR(AF3809="",AF3809="ERRO_CHAVE"),"",IFERROR(MATCH(AF3809,'Quitados DUPP'!$U$1:$U$6635,0),""))</f>
        <v/>
      </c>
      <c r="AH3809" s="15" t="str">
        <f t="shared" si="2"/>
        <v/>
      </c>
      <c r="AI3809" s="17" t="str">
        <f>IF(AG3809="","",INDEX('Quitados DUPP'!$G$1:$G$6635,AG3809))</f>
        <v/>
      </c>
      <c r="AJ3809" s="17" t="str">
        <f t="shared" si="3"/>
        <v/>
      </c>
    </row>
    <row r="3810" spans="31:36">
      <c r="AE3810" s="15" t="str">
        <f t="shared" si="0"/>
        <v/>
      </c>
      <c r="AF3810" s="15" t="str">
        <f t="shared" si="1"/>
        <v/>
      </c>
      <c r="AG3810" s="15" t="str">
        <f>IF(OR(AF3810="",AF3810="ERRO_CHAVE"),"",IFERROR(MATCH(AF3810,'Quitados DUPP'!$U$1:$U$6635,0),""))</f>
        <v/>
      </c>
      <c r="AH3810" s="15" t="str">
        <f t="shared" si="2"/>
        <v/>
      </c>
      <c r="AI3810" s="17" t="str">
        <f>IF(AG3810="","",INDEX('Quitados DUPP'!$G$1:$G$6635,AG3810))</f>
        <v/>
      </c>
      <c r="AJ3810" s="17" t="str">
        <f t="shared" si="3"/>
        <v/>
      </c>
    </row>
    <row r="3811" spans="31:36">
      <c r="AE3811" s="15" t="str">
        <f t="shared" si="0"/>
        <v/>
      </c>
      <c r="AF3811" s="15" t="str">
        <f t="shared" si="1"/>
        <v/>
      </c>
      <c r="AG3811" s="15" t="str">
        <f>IF(OR(AF3811="",AF3811="ERRO_CHAVE"),"",IFERROR(MATCH(AF3811,'Quitados DUPP'!$U$1:$U$6635,0),""))</f>
        <v/>
      </c>
      <c r="AH3811" s="15" t="str">
        <f t="shared" si="2"/>
        <v/>
      </c>
      <c r="AI3811" s="17" t="str">
        <f>IF(AG3811="","",INDEX('Quitados DUPP'!$G$1:$G$6635,AG3811))</f>
        <v/>
      </c>
      <c r="AJ3811" s="17" t="str">
        <f t="shared" si="3"/>
        <v/>
      </c>
    </row>
    <row r="3812" spans="31:36">
      <c r="AE3812" s="15" t="str">
        <f t="shared" si="0"/>
        <v/>
      </c>
      <c r="AF3812" s="15" t="str">
        <f t="shared" si="1"/>
        <v/>
      </c>
      <c r="AG3812" s="15" t="str">
        <f>IF(OR(AF3812="",AF3812="ERRO_CHAVE"),"",IFERROR(MATCH(AF3812,'Quitados DUPP'!$U$1:$U$6635,0),""))</f>
        <v/>
      </c>
      <c r="AH3812" s="15" t="str">
        <f t="shared" si="2"/>
        <v/>
      </c>
      <c r="AI3812" s="17" t="str">
        <f>IF(AG3812="","",INDEX('Quitados DUPP'!$G$1:$G$6635,AG3812))</f>
        <v/>
      </c>
      <c r="AJ3812" s="17" t="str">
        <f t="shared" si="3"/>
        <v/>
      </c>
    </row>
    <row r="3813" spans="31:36">
      <c r="AE3813" s="15" t="str">
        <f t="shared" si="0"/>
        <v/>
      </c>
      <c r="AF3813" s="15" t="str">
        <f t="shared" si="1"/>
        <v/>
      </c>
      <c r="AG3813" s="15" t="str">
        <f>IF(OR(AF3813="",AF3813="ERRO_CHAVE"),"",IFERROR(MATCH(AF3813,'Quitados DUPP'!$U$1:$U$6635,0),""))</f>
        <v/>
      </c>
      <c r="AH3813" s="15" t="str">
        <f t="shared" si="2"/>
        <v/>
      </c>
      <c r="AI3813" s="17" t="str">
        <f>IF(AG3813="","",INDEX('Quitados DUPP'!$G$1:$G$6635,AG3813))</f>
        <v/>
      </c>
      <c r="AJ3813" s="17" t="str">
        <f t="shared" si="3"/>
        <v/>
      </c>
    </row>
    <row r="3814" spans="31:36">
      <c r="AE3814" s="15" t="str">
        <f t="shared" si="0"/>
        <v/>
      </c>
      <c r="AF3814" s="15" t="str">
        <f t="shared" si="1"/>
        <v/>
      </c>
      <c r="AG3814" s="15" t="str">
        <f>IF(OR(AF3814="",AF3814="ERRO_CHAVE"),"",IFERROR(MATCH(AF3814,'Quitados DUPP'!$U$1:$U$6635,0),""))</f>
        <v/>
      </c>
      <c r="AH3814" s="15" t="str">
        <f t="shared" si="2"/>
        <v/>
      </c>
      <c r="AI3814" s="17" t="str">
        <f>IF(AG3814="","",INDEX('Quitados DUPP'!$G$1:$G$6635,AG3814))</f>
        <v/>
      </c>
      <c r="AJ3814" s="17" t="str">
        <f t="shared" si="3"/>
        <v/>
      </c>
    </row>
    <row r="3815" spans="31:36">
      <c r="AE3815" s="15" t="str">
        <f t="shared" si="0"/>
        <v/>
      </c>
      <c r="AF3815" s="15" t="str">
        <f t="shared" si="1"/>
        <v/>
      </c>
      <c r="AG3815" s="15" t="str">
        <f>IF(OR(AF3815="",AF3815="ERRO_CHAVE"),"",IFERROR(MATCH(AF3815,'Quitados DUPP'!$U$1:$U$6635,0),""))</f>
        <v/>
      </c>
      <c r="AH3815" s="15" t="str">
        <f t="shared" si="2"/>
        <v/>
      </c>
      <c r="AI3815" s="17" t="str">
        <f>IF(AG3815="","",INDEX('Quitados DUPP'!$G$1:$G$6635,AG3815))</f>
        <v/>
      </c>
      <c r="AJ3815" s="17" t="str">
        <f t="shared" si="3"/>
        <v/>
      </c>
    </row>
    <row r="3816" spans="31:36">
      <c r="AE3816" s="15" t="str">
        <f t="shared" si="0"/>
        <v/>
      </c>
      <c r="AF3816" s="15" t="str">
        <f t="shared" si="1"/>
        <v/>
      </c>
      <c r="AG3816" s="15" t="str">
        <f>IF(OR(AF3816="",AF3816="ERRO_CHAVE"),"",IFERROR(MATCH(AF3816,'Quitados DUPP'!$U$1:$U$6635,0),""))</f>
        <v/>
      </c>
      <c r="AH3816" s="15" t="str">
        <f t="shared" si="2"/>
        <v/>
      </c>
      <c r="AI3816" s="17" t="str">
        <f>IF(AG3816="","",INDEX('Quitados DUPP'!$G$1:$G$6635,AG3816))</f>
        <v/>
      </c>
      <c r="AJ3816" s="17" t="str">
        <f t="shared" si="3"/>
        <v/>
      </c>
    </row>
    <row r="3817" spans="31:36">
      <c r="AE3817" s="15" t="str">
        <f t="shared" si="0"/>
        <v/>
      </c>
      <c r="AF3817" s="15" t="str">
        <f t="shared" si="1"/>
        <v/>
      </c>
      <c r="AG3817" s="15" t="str">
        <f>IF(OR(AF3817="",AF3817="ERRO_CHAVE"),"",IFERROR(MATCH(AF3817,'Quitados DUPP'!$U$1:$U$6635,0),""))</f>
        <v/>
      </c>
      <c r="AH3817" s="15" t="str">
        <f t="shared" si="2"/>
        <v/>
      </c>
      <c r="AI3817" s="17" t="str">
        <f>IF(AG3817="","",INDEX('Quitados DUPP'!$G$1:$G$6635,AG3817))</f>
        <v/>
      </c>
      <c r="AJ3817" s="17" t="str">
        <f t="shared" si="3"/>
        <v/>
      </c>
    </row>
    <row r="3818" spans="31:36">
      <c r="AE3818" s="15" t="str">
        <f t="shared" si="0"/>
        <v/>
      </c>
      <c r="AF3818" s="15" t="str">
        <f t="shared" si="1"/>
        <v/>
      </c>
      <c r="AG3818" s="15" t="str">
        <f>IF(OR(AF3818="",AF3818="ERRO_CHAVE"),"",IFERROR(MATCH(AF3818,'Quitados DUPP'!$U$1:$U$6635,0),""))</f>
        <v/>
      </c>
      <c r="AH3818" s="15" t="str">
        <f t="shared" si="2"/>
        <v/>
      </c>
      <c r="AI3818" s="17" t="str">
        <f>IF(AG3818="","",INDEX('Quitados DUPP'!$G$1:$G$6635,AG3818))</f>
        <v/>
      </c>
      <c r="AJ3818" s="17" t="str">
        <f t="shared" si="3"/>
        <v/>
      </c>
    </row>
    <row r="3819" spans="31:36">
      <c r="AE3819" s="15" t="str">
        <f t="shared" si="0"/>
        <v/>
      </c>
      <c r="AF3819" s="15" t="str">
        <f t="shared" si="1"/>
        <v/>
      </c>
      <c r="AG3819" s="15" t="str">
        <f>IF(OR(AF3819="",AF3819="ERRO_CHAVE"),"",IFERROR(MATCH(AF3819,'Quitados DUPP'!$U$1:$U$6635,0),""))</f>
        <v/>
      </c>
      <c r="AH3819" s="15" t="str">
        <f t="shared" si="2"/>
        <v/>
      </c>
      <c r="AI3819" s="17" t="str">
        <f>IF(AG3819="","",INDEX('Quitados DUPP'!$G$1:$G$6635,AG3819))</f>
        <v/>
      </c>
      <c r="AJ3819" s="17" t="str">
        <f t="shared" si="3"/>
        <v/>
      </c>
    </row>
    <row r="3820" spans="31:36">
      <c r="AE3820" s="15" t="str">
        <f t="shared" si="0"/>
        <v/>
      </c>
      <c r="AF3820" s="15" t="str">
        <f t="shared" si="1"/>
        <v/>
      </c>
      <c r="AG3820" s="15" t="str">
        <f>IF(OR(AF3820="",AF3820="ERRO_CHAVE"),"",IFERROR(MATCH(AF3820,'Quitados DUPP'!$U$1:$U$6635,0),""))</f>
        <v/>
      </c>
      <c r="AH3820" s="15" t="str">
        <f t="shared" si="2"/>
        <v/>
      </c>
      <c r="AI3820" s="17" t="str">
        <f>IF(AG3820="","",INDEX('Quitados DUPP'!$G$1:$G$6635,AG3820))</f>
        <v/>
      </c>
      <c r="AJ3820" s="17" t="str">
        <f t="shared" si="3"/>
        <v/>
      </c>
    </row>
    <row r="3821" spans="31:36">
      <c r="AE3821" s="15" t="str">
        <f t="shared" si="0"/>
        <v/>
      </c>
      <c r="AF3821" s="15" t="str">
        <f t="shared" si="1"/>
        <v/>
      </c>
      <c r="AG3821" s="15" t="str">
        <f>IF(OR(AF3821="",AF3821="ERRO_CHAVE"),"",IFERROR(MATCH(AF3821,'Quitados DUPP'!$U$1:$U$6635,0),""))</f>
        <v/>
      </c>
      <c r="AH3821" s="15" t="str">
        <f t="shared" si="2"/>
        <v/>
      </c>
      <c r="AI3821" s="17" t="str">
        <f>IF(AG3821="","",INDEX('Quitados DUPP'!$G$1:$G$6635,AG3821))</f>
        <v/>
      </c>
      <c r="AJ3821" s="17" t="str">
        <f t="shared" si="3"/>
        <v/>
      </c>
    </row>
    <row r="3822" spans="31:36">
      <c r="AE3822" s="15" t="str">
        <f t="shared" si="0"/>
        <v/>
      </c>
      <c r="AF3822" s="15" t="str">
        <f t="shared" si="1"/>
        <v/>
      </c>
      <c r="AG3822" s="15" t="str">
        <f>IF(OR(AF3822="",AF3822="ERRO_CHAVE"),"",IFERROR(MATCH(AF3822,'Quitados DUPP'!$U$1:$U$6635,0),""))</f>
        <v/>
      </c>
      <c r="AH3822" s="15" t="str">
        <f t="shared" si="2"/>
        <v/>
      </c>
      <c r="AI3822" s="17" t="str">
        <f>IF(AG3822="","",INDEX('Quitados DUPP'!$G$1:$G$6635,AG3822))</f>
        <v/>
      </c>
      <c r="AJ3822" s="17" t="str">
        <f t="shared" si="3"/>
        <v/>
      </c>
    </row>
    <row r="3823" spans="31:36">
      <c r="AE3823" s="15" t="str">
        <f t="shared" si="0"/>
        <v/>
      </c>
      <c r="AF3823" s="15" t="str">
        <f t="shared" si="1"/>
        <v/>
      </c>
      <c r="AG3823" s="15" t="str">
        <f>IF(OR(AF3823="",AF3823="ERRO_CHAVE"),"",IFERROR(MATCH(AF3823,'Quitados DUPP'!$U$1:$U$6635,0),""))</f>
        <v/>
      </c>
      <c r="AH3823" s="15" t="str">
        <f t="shared" si="2"/>
        <v/>
      </c>
      <c r="AI3823" s="17" t="str">
        <f>IF(AG3823="","",INDEX('Quitados DUPP'!$G$1:$G$6635,AG3823))</f>
        <v/>
      </c>
      <c r="AJ3823" s="17" t="str">
        <f t="shared" si="3"/>
        <v/>
      </c>
    </row>
    <row r="3824" spans="31:36">
      <c r="AE3824" s="15" t="str">
        <f t="shared" si="0"/>
        <v/>
      </c>
      <c r="AF3824" s="15" t="str">
        <f t="shared" si="1"/>
        <v/>
      </c>
      <c r="AG3824" s="15" t="str">
        <f>IF(OR(AF3824="",AF3824="ERRO_CHAVE"),"",IFERROR(MATCH(AF3824,'Quitados DUPP'!$U$1:$U$6635,0),""))</f>
        <v/>
      </c>
      <c r="AH3824" s="15" t="str">
        <f t="shared" si="2"/>
        <v/>
      </c>
      <c r="AI3824" s="17" t="str">
        <f>IF(AG3824="","",INDEX('Quitados DUPP'!$G$1:$G$6635,AG3824))</f>
        <v/>
      </c>
      <c r="AJ3824" s="17" t="str">
        <f t="shared" si="3"/>
        <v/>
      </c>
    </row>
    <row r="3825" spans="31:36">
      <c r="AE3825" s="15" t="str">
        <f t="shared" si="0"/>
        <v/>
      </c>
      <c r="AF3825" s="15" t="str">
        <f t="shared" si="1"/>
        <v/>
      </c>
      <c r="AG3825" s="15" t="str">
        <f>IF(OR(AF3825="",AF3825="ERRO_CHAVE"),"",IFERROR(MATCH(AF3825,'Quitados DUPP'!$U$1:$U$6635,0),""))</f>
        <v/>
      </c>
      <c r="AH3825" s="15" t="str">
        <f t="shared" si="2"/>
        <v/>
      </c>
      <c r="AI3825" s="17" t="str">
        <f>IF(AG3825="","",INDEX('Quitados DUPP'!$G$1:$G$6635,AG3825))</f>
        <v/>
      </c>
      <c r="AJ3825" s="17" t="str">
        <f t="shared" si="3"/>
        <v/>
      </c>
    </row>
    <row r="3826" spans="31:36">
      <c r="AE3826" s="15" t="str">
        <f t="shared" si="0"/>
        <v/>
      </c>
      <c r="AF3826" s="15" t="str">
        <f t="shared" si="1"/>
        <v/>
      </c>
      <c r="AG3826" s="15" t="str">
        <f>IF(OR(AF3826="",AF3826="ERRO_CHAVE"),"",IFERROR(MATCH(AF3826,'Quitados DUPP'!$U$1:$U$6635,0),""))</f>
        <v/>
      </c>
      <c r="AH3826" s="15" t="str">
        <f t="shared" si="2"/>
        <v/>
      </c>
      <c r="AI3826" s="17" t="str">
        <f>IF(AG3826="","",INDEX('Quitados DUPP'!$G$1:$G$6635,AG3826))</f>
        <v/>
      </c>
      <c r="AJ3826" s="17" t="str">
        <f t="shared" si="3"/>
        <v/>
      </c>
    </row>
    <row r="3827" spans="31:36">
      <c r="AE3827" s="15" t="str">
        <f t="shared" si="0"/>
        <v/>
      </c>
      <c r="AF3827" s="15" t="str">
        <f t="shared" si="1"/>
        <v/>
      </c>
      <c r="AG3827" s="15" t="str">
        <f>IF(OR(AF3827="",AF3827="ERRO_CHAVE"),"",IFERROR(MATCH(AF3827,'Quitados DUPP'!$U$1:$U$6635,0),""))</f>
        <v/>
      </c>
      <c r="AH3827" s="15" t="str">
        <f t="shared" si="2"/>
        <v/>
      </c>
      <c r="AI3827" s="17" t="str">
        <f>IF(AG3827="","",INDEX('Quitados DUPP'!$G$1:$G$6635,AG3827))</f>
        <v/>
      </c>
      <c r="AJ3827" s="17" t="str">
        <f t="shared" si="3"/>
        <v/>
      </c>
    </row>
    <row r="3828" spans="31:36">
      <c r="AE3828" s="15" t="str">
        <f t="shared" si="0"/>
        <v/>
      </c>
      <c r="AF3828" s="15" t="str">
        <f t="shared" si="1"/>
        <v/>
      </c>
      <c r="AG3828" s="15" t="str">
        <f>IF(OR(AF3828="",AF3828="ERRO_CHAVE"),"",IFERROR(MATCH(AF3828,'Quitados DUPP'!$U$1:$U$6635,0),""))</f>
        <v/>
      </c>
      <c r="AH3828" s="15" t="str">
        <f t="shared" si="2"/>
        <v/>
      </c>
      <c r="AI3828" s="17" t="str">
        <f>IF(AG3828="","",INDEX('Quitados DUPP'!$G$1:$G$6635,AG3828))</f>
        <v/>
      </c>
      <c r="AJ3828" s="17" t="str">
        <f t="shared" si="3"/>
        <v/>
      </c>
    </row>
    <row r="3829" spans="31:36">
      <c r="AE3829" s="15" t="str">
        <f t="shared" si="0"/>
        <v/>
      </c>
      <c r="AF3829" s="15" t="str">
        <f t="shared" si="1"/>
        <v/>
      </c>
      <c r="AG3829" s="15" t="str">
        <f>IF(OR(AF3829="",AF3829="ERRO_CHAVE"),"",IFERROR(MATCH(AF3829,'Quitados DUPP'!$U$1:$U$6635,0),""))</f>
        <v/>
      </c>
      <c r="AH3829" s="15" t="str">
        <f t="shared" si="2"/>
        <v/>
      </c>
      <c r="AI3829" s="17" t="str">
        <f>IF(AG3829="","",INDEX('Quitados DUPP'!$G$1:$G$6635,AG3829))</f>
        <v/>
      </c>
      <c r="AJ3829" s="17" t="str">
        <f t="shared" si="3"/>
        <v/>
      </c>
    </row>
    <row r="3830" spans="31:36">
      <c r="AE3830" s="15" t="str">
        <f t="shared" si="0"/>
        <v/>
      </c>
      <c r="AF3830" s="15" t="str">
        <f t="shared" si="1"/>
        <v/>
      </c>
      <c r="AG3830" s="15" t="str">
        <f>IF(OR(AF3830="",AF3830="ERRO_CHAVE"),"",IFERROR(MATCH(AF3830,'Quitados DUPP'!$U$1:$U$6635,0),""))</f>
        <v/>
      </c>
      <c r="AH3830" s="15" t="str">
        <f t="shared" si="2"/>
        <v/>
      </c>
      <c r="AI3830" s="17" t="str">
        <f>IF(AG3830="","",INDEX('Quitados DUPP'!$G$1:$G$6635,AG3830))</f>
        <v/>
      </c>
      <c r="AJ3830" s="17" t="str">
        <f t="shared" si="3"/>
        <v/>
      </c>
    </row>
    <row r="3831" spans="31:36">
      <c r="AE3831" s="15" t="str">
        <f t="shared" si="0"/>
        <v/>
      </c>
      <c r="AF3831" s="15" t="str">
        <f t="shared" si="1"/>
        <v/>
      </c>
      <c r="AG3831" s="15" t="str">
        <f>IF(OR(AF3831="",AF3831="ERRO_CHAVE"),"",IFERROR(MATCH(AF3831,'Quitados DUPP'!$U$1:$U$6635,0),""))</f>
        <v/>
      </c>
      <c r="AH3831" s="15" t="str">
        <f t="shared" si="2"/>
        <v/>
      </c>
      <c r="AI3831" s="17" t="str">
        <f>IF(AG3831="","",INDEX('Quitados DUPP'!$G$1:$G$6635,AG3831))</f>
        <v/>
      </c>
      <c r="AJ3831" s="17" t="str">
        <f t="shared" si="3"/>
        <v/>
      </c>
    </row>
    <row r="3832" spans="31:36">
      <c r="AE3832" s="15" t="str">
        <f t="shared" si="0"/>
        <v/>
      </c>
      <c r="AF3832" s="15" t="str">
        <f t="shared" si="1"/>
        <v/>
      </c>
      <c r="AG3832" s="15" t="str">
        <f>IF(OR(AF3832="",AF3832="ERRO_CHAVE"),"",IFERROR(MATCH(AF3832,'Quitados DUPP'!$U$1:$U$6635,0),""))</f>
        <v/>
      </c>
      <c r="AH3832" s="15" t="str">
        <f t="shared" si="2"/>
        <v/>
      </c>
      <c r="AI3832" s="17" t="str">
        <f>IF(AG3832="","",INDEX('Quitados DUPP'!$G$1:$G$6635,AG3832))</f>
        <v/>
      </c>
      <c r="AJ3832" s="17" t="str">
        <f t="shared" si="3"/>
        <v/>
      </c>
    </row>
    <row r="3833" spans="31:36">
      <c r="AE3833" s="15" t="str">
        <f t="shared" si="0"/>
        <v/>
      </c>
      <c r="AF3833" s="15" t="str">
        <f t="shared" si="1"/>
        <v/>
      </c>
      <c r="AG3833" s="15" t="str">
        <f>IF(OR(AF3833="",AF3833="ERRO_CHAVE"),"",IFERROR(MATCH(AF3833,'Quitados DUPP'!$U$1:$U$6635,0),""))</f>
        <v/>
      </c>
      <c r="AH3833" s="15" t="str">
        <f t="shared" si="2"/>
        <v/>
      </c>
      <c r="AI3833" s="17" t="str">
        <f>IF(AG3833="","",INDEX('Quitados DUPP'!$G$1:$G$6635,AG3833))</f>
        <v/>
      </c>
      <c r="AJ3833" s="17" t="str">
        <f t="shared" si="3"/>
        <v/>
      </c>
    </row>
    <row r="3834" spans="31:36">
      <c r="AE3834" s="15" t="str">
        <f t="shared" si="0"/>
        <v/>
      </c>
      <c r="AF3834" s="15" t="str">
        <f t="shared" si="1"/>
        <v/>
      </c>
      <c r="AG3834" s="15" t="str">
        <f>IF(OR(AF3834="",AF3834="ERRO_CHAVE"),"",IFERROR(MATCH(AF3834,'Quitados DUPP'!$U$1:$U$6635,0),""))</f>
        <v/>
      </c>
      <c r="AH3834" s="15" t="str">
        <f t="shared" si="2"/>
        <v/>
      </c>
      <c r="AI3834" s="17" t="str">
        <f>IF(AG3834="","",INDEX('Quitados DUPP'!$G$1:$G$6635,AG3834))</f>
        <v/>
      </c>
      <c r="AJ3834" s="17" t="str">
        <f t="shared" si="3"/>
        <v/>
      </c>
    </row>
    <row r="3835" spans="31:36">
      <c r="AE3835" s="15" t="str">
        <f t="shared" si="0"/>
        <v/>
      </c>
      <c r="AF3835" s="15" t="str">
        <f t="shared" si="1"/>
        <v/>
      </c>
      <c r="AG3835" s="15" t="str">
        <f>IF(OR(AF3835="",AF3835="ERRO_CHAVE"),"",IFERROR(MATCH(AF3835,'Quitados DUPP'!$U$1:$U$6635,0),""))</f>
        <v/>
      </c>
      <c r="AH3835" s="15" t="str">
        <f t="shared" si="2"/>
        <v/>
      </c>
      <c r="AI3835" s="17" t="str">
        <f>IF(AG3835="","",INDEX('Quitados DUPP'!$G$1:$G$6635,AG3835))</f>
        <v/>
      </c>
      <c r="AJ3835" s="17" t="str">
        <f t="shared" si="3"/>
        <v/>
      </c>
    </row>
    <row r="3836" spans="31:36">
      <c r="AE3836" s="15" t="str">
        <f t="shared" si="0"/>
        <v/>
      </c>
      <c r="AF3836" s="15" t="str">
        <f t="shared" si="1"/>
        <v/>
      </c>
      <c r="AG3836" s="15" t="str">
        <f>IF(OR(AF3836="",AF3836="ERRO_CHAVE"),"",IFERROR(MATCH(AF3836,'Quitados DUPP'!$U$1:$U$6635,0),""))</f>
        <v/>
      </c>
      <c r="AH3836" s="15" t="str">
        <f t="shared" si="2"/>
        <v/>
      </c>
      <c r="AI3836" s="17" t="str">
        <f>IF(AG3836="","",INDEX('Quitados DUPP'!$G$1:$G$6635,AG3836))</f>
        <v/>
      </c>
      <c r="AJ3836" s="17" t="str">
        <f t="shared" si="3"/>
        <v/>
      </c>
    </row>
    <row r="3837" spans="31:36">
      <c r="AE3837" s="15" t="str">
        <f t="shared" si="0"/>
        <v/>
      </c>
      <c r="AF3837" s="15" t="str">
        <f t="shared" si="1"/>
        <v/>
      </c>
      <c r="AG3837" s="15" t="str">
        <f>IF(OR(AF3837="",AF3837="ERRO_CHAVE"),"",IFERROR(MATCH(AF3837,'Quitados DUPP'!$U$1:$U$6635,0),""))</f>
        <v/>
      </c>
      <c r="AH3837" s="15" t="str">
        <f t="shared" si="2"/>
        <v/>
      </c>
      <c r="AI3837" s="17" t="str">
        <f>IF(AG3837="","",INDEX('Quitados DUPP'!$G$1:$G$6635,AG3837))</f>
        <v/>
      </c>
      <c r="AJ3837" s="17" t="str">
        <f t="shared" si="3"/>
        <v/>
      </c>
    </row>
    <row r="3838" spans="31:36">
      <c r="AE3838" s="15" t="str">
        <f t="shared" si="0"/>
        <v/>
      </c>
      <c r="AF3838" s="15" t="str">
        <f t="shared" si="1"/>
        <v/>
      </c>
      <c r="AG3838" s="15" t="str">
        <f>IF(OR(AF3838="",AF3838="ERRO_CHAVE"),"",IFERROR(MATCH(AF3838,'Quitados DUPP'!$U$1:$U$6635,0),""))</f>
        <v/>
      </c>
      <c r="AH3838" s="15" t="str">
        <f t="shared" si="2"/>
        <v/>
      </c>
      <c r="AI3838" s="17" t="str">
        <f>IF(AG3838="","",INDEX('Quitados DUPP'!$G$1:$G$6635,AG3838))</f>
        <v/>
      </c>
      <c r="AJ3838" s="17" t="str">
        <f t="shared" si="3"/>
        <v/>
      </c>
    </row>
    <row r="3839" spans="31:36">
      <c r="AE3839" s="15" t="str">
        <f t="shared" si="0"/>
        <v/>
      </c>
      <c r="AF3839" s="15" t="str">
        <f t="shared" si="1"/>
        <v/>
      </c>
      <c r="AG3839" s="15" t="str">
        <f>IF(OR(AF3839="",AF3839="ERRO_CHAVE"),"",IFERROR(MATCH(AF3839,'Quitados DUPP'!$U$1:$U$6635,0),""))</f>
        <v/>
      </c>
      <c r="AH3839" s="15" t="str">
        <f t="shared" si="2"/>
        <v/>
      </c>
      <c r="AI3839" s="17" t="str">
        <f>IF(AG3839="","",INDEX('Quitados DUPP'!$G$1:$G$6635,AG3839))</f>
        <v/>
      </c>
      <c r="AJ3839" s="17" t="str">
        <f t="shared" si="3"/>
        <v/>
      </c>
    </row>
    <row r="3840" spans="31:36">
      <c r="AE3840" s="15" t="str">
        <f t="shared" si="0"/>
        <v/>
      </c>
      <c r="AF3840" s="15" t="str">
        <f t="shared" si="1"/>
        <v/>
      </c>
      <c r="AG3840" s="15" t="str">
        <f>IF(OR(AF3840="",AF3840="ERRO_CHAVE"),"",IFERROR(MATCH(AF3840,'Quitados DUPP'!$U$1:$U$6635,0),""))</f>
        <v/>
      </c>
      <c r="AH3840" s="15" t="str">
        <f t="shared" si="2"/>
        <v/>
      </c>
      <c r="AI3840" s="17" t="str">
        <f>IF(AG3840="","",INDEX('Quitados DUPP'!$G$1:$G$6635,AG3840))</f>
        <v/>
      </c>
      <c r="AJ3840" s="17" t="str">
        <f t="shared" si="3"/>
        <v/>
      </c>
    </row>
    <row r="3841" spans="31:36">
      <c r="AE3841" s="15" t="str">
        <f t="shared" si="0"/>
        <v/>
      </c>
      <c r="AF3841" s="15" t="str">
        <f t="shared" si="1"/>
        <v/>
      </c>
      <c r="AG3841" s="15" t="str">
        <f>IF(OR(AF3841="",AF3841="ERRO_CHAVE"),"",IFERROR(MATCH(AF3841,'Quitados DUPP'!$U$1:$U$6635,0),""))</f>
        <v/>
      </c>
      <c r="AH3841" s="15" t="str">
        <f t="shared" si="2"/>
        <v/>
      </c>
      <c r="AI3841" s="17" t="str">
        <f>IF(AG3841="","",INDEX('Quitados DUPP'!$G$1:$G$6635,AG3841))</f>
        <v/>
      </c>
      <c r="AJ3841" s="17" t="str">
        <f t="shared" si="3"/>
        <v/>
      </c>
    </row>
    <row r="3842" spans="31:36">
      <c r="AE3842" s="15" t="str">
        <f t="shared" si="0"/>
        <v/>
      </c>
      <c r="AF3842" s="15" t="str">
        <f t="shared" si="1"/>
        <v/>
      </c>
      <c r="AG3842" s="15" t="str">
        <f>IF(OR(AF3842="",AF3842="ERRO_CHAVE"),"",IFERROR(MATCH(AF3842,'Quitados DUPP'!$U$1:$U$6635,0),""))</f>
        <v/>
      </c>
      <c r="AH3842" s="15" t="str">
        <f t="shared" si="2"/>
        <v/>
      </c>
      <c r="AI3842" s="17" t="str">
        <f>IF(AG3842="","",INDEX('Quitados DUPP'!$G$1:$G$6635,AG3842))</f>
        <v/>
      </c>
      <c r="AJ3842" s="17" t="str">
        <f t="shared" si="3"/>
        <v/>
      </c>
    </row>
    <row r="3843" spans="31:36">
      <c r="AE3843" s="15" t="str">
        <f t="shared" si="0"/>
        <v/>
      </c>
      <c r="AF3843" s="15" t="str">
        <f t="shared" si="1"/>
        <v/>
      </c>
      <c r="AG3843" s="15" t="str">
        <f>IF(OR(AF3843="",AF3843="ERRO_CHAVE"),"",IFERROR(MATCH(AF3843,'Quitados DUPP'!$U$1:$U$6635,0),""))</f>
        <v/>
      </c>
      <c r="AH3843" s="15" t="str">
        <f t="shared" si="2"/>
        <v/>
      </c>
      <c r="AI3843" s="17" t="str">
        <f>IF(AG3843="","",INDEX('Quitados DUPP'!$G$1:$G$6635,AG3843))</f>
        <v/>
      </c>
      <c r="AJ3843" s="17" t="str">
        <f t="shared" si="3"/>
        <v/>
      </c>
    </row>
    <row r="3844" spans="31:36">
      <c r="AE3844" s="15" t="str">
        <f t="shared" si="0"/>
        <v/>
      </c>
      <c r="AF3844" s="15" t="str">
        <f t="shared" si="1"/>
        <v/>
      </c>
      <c r="AG3844" s="15" t="str">
        <f>IF(OR(AF3844="",AF3844="ERRO_CHAVE"),"",IFERROR(MATCH(AF3844,'Quitados DUPP'!$U$1:$U$6635,0),""))</f>
        <v/>
      </c>
      <c r="AH3844" s="15" t="str">
        <f t="shared" si="2"/>
        <v/>
      </c>
      <c r="AI3844" s="17" t="str">
        <f>IF(AG3844="","",INDEX('Quitados DUPP'!$G$1:$G$6635,AG3844))</f>
        <v/>
      </c>
      <c r="AJ3844" s="17" t="str">
        <f t="shared" si="3"/>
        <v/>
      </c>
    </row>
    <row r="3845" spans="31:36">
      <c r="AE3845" s="15" t="str">
        <f t="shared" si="0"/>
        <v/>
      </c>
      <c r="AF3845" s="15" t="str">
        <f t="shared" si="1"/>
        <v/>
      </c>
      <c r="AG3845" s="15" t="str">
        <f>IF(OR(AF3845="",AF3845="ERRO_CHAVE"),"",IFERROR(MATCH(AF3845,'Quitados DUPP'!$U$1:$U$6635,0),""))</f>
        <v/>
      </c>
      <c r="AH3845" s="15" t="str">
        <f t="shared" si="2"/>
        <v/>
      </c>
      <c r="AI3845" s="17" t="str">
        <f>IF(AG3845="","",INDEX('Quitados DUPP'!$G$1:$G$6635,AG3845))</f>
        <v/>
      </c>
      <c r="AJ3845" s="17" t="str">
        <f t="shared" si="3"/>
        <v/>
      </c>
    </row>
    <row r="3846" spans="31:36">
      <c r="AE3846" s="15" t="str">
        <f t="shared" si="0"/>
        <v/>
      </c>
      <c r="AF3846" s="15" t="str">
        <f t="shared" si="1"/>
        <v/>
      </c>
      <c r="AG3846" s="15" t="str">
        <f>IF(OR(AF3846="",AF3846="ERRO_CHAVE"),"",IFERROR(MATCH(AF3846,'Quitados DUPP'!$U$1:$U$6635,0),""))</f>
        <v/>
      </c>
      <c r="AH3846" s="15" t="str">
        <f t="shared" si="2"/>
        <v/>
      </c>
      <c r="AI3846" s="17" t="str">
        <f>IF(AG3846="","",INDEX('Quitados DUPP'!$G$1:$G$6635,AG3846))</f>
        <v/>
      </c>
      <c r="AJ3846" s="17" t="str">
        <f t="shared" si="3"/>
        <v/>
      </c>
    </row>
    <row r="3847" spans="31:36">
      <c r="AE3847" s="15" t="str">
        <f t="shared" si="0"/>
        <v/>
      </c>
      <c r="AF3847" s="15" t="str">
        <f t="shared" si="1"/>
        <v/>
      </c>
      <c r="AG3847" s="15" t="str">
        <f>IF(OR(AF3847="",AF3847="ERRO_CHAVE"),"",IFERROR(MATCH(AF3847,'Quitados DUPP'!$U$1:$U$6635,0),""))</f>
        <v/>
      </c>
      <c r="AH3847" s="15" t="str">
        <f t="shared" si="2"/>
        <v/>
      </c>
      <c r="AI3847" s="17" t="str">
        <f>IF(AG3847="","",INDEX('Quitados DUPP'!$G$1:$G$6635,AG3847))</f>
        <v/>
      </c>
      <c r="AJ3847" s="17" t="str">
        <f t="shared" si="3"/>
        <v/>
      </c>
    </row>
    <row r="3848" spans="31:36">
      <c r="AE3848" s="15" t="str">
        <f t="shared" si="0"/>
        <v/>
      </c>
      <c r="AF3848" s="15" t="str">
        <f t="shared" si="1"/>
        <v/>
      </c>
      <c r="AG3848" s="15" t="str">
        <f>IF(OR(AF3848="",AF3848="ERRO_CHAVE"),"",IFERROR(MATCH(AF3848,'Quitados DUPP'!$U$1:$U$6635,0),""))</f>
        <v/>
      </c>
      <c r="AH3848" s="15" t="str">
        <f t="shared" si="2"/>
        <v/>
      </c>
      <c r="AI3848" s="17" t="str">
        <f>IF(AG3848="","",INDEX('Quitados DUPP'!$G$1:$G$6635,AG3848))</f>
        <v/>
      </c>
      <c r="AJ3848" s="17" t="str">
        <f t="shared" si="3"/>
        <v/>
      </c>
    </row>
    <row r="3849" spans="31:36">
      <c r="AE3849" s="15" t="str">
        <f t="shared" si="0"/>
        <v/>
      </c>
      <c r="AF3849" s="15" t="str">
        <f t="shared" si="1"/>
        <v/>
      </c>
      <c r="AG3849" s="15" t="str">
        <f>IF(OR(AF3849="",AF3849="ERRO_CHAVE"),"",IFERROR(MATCH(AF3849,'Quitados DUPP'!$U$1:$U$6635,0),""))</f>
        <v/>
      </c>
      <c r="AH3849" s="15" t="str">
        <f t="shared" si="2"/>
        <v/>
      </c>
      <c r="AI3849" s="17" t="str">
        <f>IF(AG3849="","",INDEX('Quitados DUPP'!$G$1:$G$6635,AG3849))</f>
        <v/>
      </c>
      <c r="AJ3849" s="17" t="str">
        <f t="shared" si="3"/>
        <v/>
      </c>
    </row>
    <row r="3850" spans="31:36">
      <c r="AE3850" s="15" t="str">
        <f t="shared" si="0"/>
        <v/>
      </c>
      <c r="AF3850" s="15" t="str">
        <f t="shared" si="1"/>
        <v/>
      </c>
      <c r="AG3850" s="15" t="str">
        <f>IF(OR(AF3850="",AF3850="ERRO_CHAVE"),"",IFERROR(MATCH(AF3850,'Quitados DUPP'!$U$1:$U$6635,0),""))</f>
        <v/>
      </c>
      <c r="AH3850" s="15" t="str">
        <f t="shared" si="2"/>
        <v/>
      </c>
      <c r="AI3850" s="17" t="str">
        <f>IF(AG3850="","",INDEX('Quitados DUPP'!$G$1:$G$6635,AG3850))</f>
        <v/>
      </c>
      <c r="AJ3850" s="17" t="str">
        <f t="shared" si="3"/>
        <v/>
      </c>
    </row>
    <row r="3851" spans="31:36">
      <c r="AE3851" s="15" t="str">
        <f t="shared" si="0"/>
        <v/>
      </c>
      <c r="AF3851" s="15" t="str">
        <f t="shared" si="1"/>
        <v/>
      </c>
      <c r="AG3851" s="15" t="str">
        <f>IF(OR(AF3851="",AF3851="ERRO_CHAVE"),"",IFERROR(MATCH(AF3851,'Quitados DUPP'!$U$1:$U$6635,0),""))</f>
        <v/>
      </c>
      <c r="AH3851" s="15" t="str">
        <f t="shared" si="2"/>
        <v/>
      </c>
      <c r="AI3851" s="17" t="str">
        <f>IF(AG3851="","",INDEX('Quitados DUPP'!$G$1:$G$6635,AG3851))</f>
        <v/>
      </c>
      <c r="AJ3851" s="17" t="str">
        <f t="shared" si="3"/>
        <v/>
      </c>
    </row>
    <row r="3852" spans="31:36">
      <c r="AE3852" s="15" t="str">
        <f t="shared" si="0"/>
        <v/>
      </c>
      <c r="AF3852" s="15" t="str">
        <f t="shared" si="1"/>
        <v/>
      </c>
      <c r="AG3852" s="15" t="str">
        <f>IF(OR(AF3852="",AF3852="ERRO_CHAVE"),"",IFERROR(MATCH(AF3852,'Quitados DUPP'!$U$1:$U$6635,0),""))</f>
        <v/>
      </c>
      <c r="AH3852" s="15" t="str">
        <f t="shared" si="2"/>
        <v/>
      </c>
      <c r="AI3852" s="17" t="str">
        <f>IF(AG3852="","",INDEX('Quitados DUPP'!$G$1:$G$6635,AG3852))</f>
        <v/>
      </c>
      <c r="AJ3852" s="17" t="str">
        <f t="shared" si="3"/>
        <v/>
      </c>
    </row>
    <row r="3853" spans="31:36">
      <c r="AE3853" s="15" t="str">
        <f t="shared" si="0"/>
        <v/>
      </c>
      <c r="AF3853" s="15" t="str">
        <f t="shared" si="1"/>
        <v/>
      </c>
      <c r="AG3853" s="15" t="str">
        <f>IF(OR(AF3853="",AF3853="ERRO_CHAVE"),"",IFERROR(MATCH(AF3853,'Quitados DUPP'!$U$1:$U$6635,0),""))</f>
        <v/>
      </c>
      <c r="AH3853" s="15" t="str">
        <f t="shared" si="2"/>
        <v/>
      </c>
      <c r="AI3853" s="17" t="str">
        <f>IF(AG3853="","",INDEX('Quitados DUPP'!$G$1:$G$6635,AG3853))</f>
        <v/>
      </c>
      <c r="AJ3853" s="17" t="str">
        <f t="shared" si="3"/>
        <v/>
      </c>
    </row>
    <row r="3854" spans="31:36">
      <c r="AE3854" s="15" t="str">
        <f t="shared" si="0"/>
        <v/>
      </c>
      <c r="AF3854" s="15" t="str">
        <f t="shared" si="1"/>
        <v/>
      </c>
      <c r="AG3854" s="15" t="str">
        <f>IF(OR(AF3854="",AF3854="ERRO_CHAVE"),"",IFERROR(MATCH(AF3854,'Quitados DUPP'!$U$1:$U$6635,0),""))</f>
        <v/>
      </c>
      <c r="AH3854" s="15" t="str">
        <f t="shared" si="2"/>
        <v/>
      </c>
      <c r="AI3854" s="17" t="str">
        <f>IF(AG3854="","",INDEX('Quitados DUPP'!$G$1:$G$6635,AG3854))</f>
        <v/>
      </c>
      <c r="AJ3854" s="17" t="str">
        <f t="shared" si="3"/>
        <v/>
      </c>
    </row>
    <row r="3855" spans="31:36">
      <c r="AE3855" s="15" t="str">
        <f t="shared" si="0"/>
        <v/>
      </c>
      <c r="AF3855" s="15" t="str">
        <f t="shared" si="1"/>
        <v/>
      </c>
      <c r="AG3855" s="15" t="str">
        <f>IF(OR(AF3855="",AF3855="ERRO_CHAVE"),"",IFERROR(MATCH(AF3855,'Quitados DUPP'!$U$1:$U$6635,0),""))</f>
        <v/>
      </c>
      <c r="AH3855" s="15" t="str">
        <f t="shared" si="2"/>
        <v/>
      </c>
      <c r="AI3855" s="17" t="str">
        <f>IF(AG3855="","",INDEX('Quitados DUPP'!$G$1:$G$6635,AG3855))</f>
        <v/>
      </c>
      <c r="AJ3855" s="17" t="str">
        <f t="shared" si="3"/>
        <v/>
      </c>
    </row>
    <row r="3856" spans="31:36">
      <c r="AE3856" s="15" t="str">
        <f t="shared" si="0"/>
        <v/>
      </c>
      <c r="AF3856" s="15" t="str">
        <f t="shared" si="1"/>
        <v/>
      </c>
      <c r="AG3856" s="15" t="str">
        <f>IF(OR(AF3856="",AF3856="ERRO_CHAVE"),"",IFERROR(MATCH(AF3856,'Quitados DUPP'!$U$1:$U$6635,0),""))</f>
        <v/>
      </c>
      <c r="AH3856" s="15" t="str">
        <f t="shared" si="2"/>
        <v/>
      </c>
      <c r="AI3856" s="17" t="str">
        <f>IF(AG3856="","",INDEX('Quitados DUPP'!$G$1:$G$6635,AG3856))</f>
        <v/>
      </c>
      <c r="AJ3856" s="17" t="str">
        <f t="shared" si="3"/>
        <v/>
      </c>
    </row>
    <row r="3857" spans="31:36">
      <c r="AE3857" s="15" t="str">
        <f t="shared" si="0"/>
        <v/>
      </c>
      <c r="AF3857" s="15" t="str">
        <f t="shared" si="1"/>
        <v/>
      </c>
      <c r="AG3857" s="15" t="str">
        <f>IF(OR(AF3857="",AF3857="ERRO_CHAVE"),"",IFERROR(MATCH(AF3857,'Quitados DUPP'!$U$1:$U$6635,0),""))</f>
        <v/>
      </c>
      <c r="AH3857" s="15" t="str">
        <f t="shared" si="2"/>
        <v/>
      </c>
      <c r="AI3857" s="17" t="str">
        <f>IF(AG3857="","",INDEX('Quitados DUPP'!$G$1:$G$6635,AG3857))</f>
        <v/>
      </c>
      <c r="AJ3857" s="17" t="str">
        <f t="shared" si="3"/>
        <v/>
      </c>
    </row>
    <row r="3858" spans="31:36">
      <c r="AE3858" s="15" t="str">
        <f t="shared" si="0"/>
        <v/>
      </c>
      <c r="AF3858" s="15" t="str">
        <f t="shared" si="1"/>
        <v/>
      </c>
      <c r="AG3858" s="15" t="str">
        <f>IF(OR(AF3858="",AF3858="ERRO_CHAVE"),"",IFERROR(MATCH(AF3858,'Quitados DUPP'!$U$1:$U$6635,0),""))</f>
        <v/>
      </c>
      <c r="AH3858" s="15" t="str">
        <f t="shared" si="2"/>
        <v/>
      </c>
      <c r="AI3858" s="17" t="str">
        <f>IF(AG3858="","",INDEX('Quitados DUPP'!$G$1:$G$6635,AG3858))</f>
        <v/>
      </c>
      <c r="AJ3858" s="17" t="str">
        <f t="shared" si="3"/>
        <v/>
      </c>
    </row>
    <row r="3859" spans="31:36">
      <c r="AE3859" s="15" t="str">
        <f t="shared" si="0"/>
        <v/>
      </c>
      <c r="AF3859" s="15" t="str">
        <f t="shared" si="1"/>
        <v/>
      </c>
      <c r="AG3859" s="15" t="str">
        <f>IF(OR(AF3859="",AF3859="ERRO_CHAVE"),"",IFERROR(MATCH(AF3859,'Quitados DUPP'!$U$1:$U$6635,0),""))</f>
        <v/>
      </c>
      <c r="AH3859" s="15" t="str">
        <f t="shared" si="2"/>
        <v/>
      </c>
      <c r="AI3859" s="17" t="str">
        <f>IF(AG3859="","",INDEX('Quitados DUPP'!$G$1:$G$6635,AG3859))</f>
        <v/>
      </c>
      <c r="AJ3859" s="17" t="str">
        <f t="shared" si="3"/>
        <v/>
      </c>
    </row>
    <row r="3860" spans="31:36">
      <c r="AE3860" s="15" t="str">
        <f t="shared" si="0"/>
        <v/>
      </c>
      <c r="AF3860" s="15" t="str">
        <f t="shared" si="1"/>
        <v/>
      </c>
      <c r="AG3860" s="15" t="str">
        <f>IF(OR(AF3860="",AF3860="ERRO_CHAVE"),"",IFERROR(MATCH(AF3860,'Quitados DUPP'!$U$1:$U$6635,0),""))</f>
        <v/>
      </c>
      <c r="AH3860" s="15" t="str">
        <f t="shared" si="2"/>
        <v/>
      </c>
      <c r="AI3860" s="17" t="str">
        <f>IF(AG3860="","",INDEX('Quitados DUPP'!$G$1:$G$6635,AG3860))</f>
        <v/>
      </c>
      <c r="AJ3860" s="17" t="str">
        <f t="shared" si="3"/>
        <v/>
      </c>
    </row>
    <row r="3861" spans="31:36">
      <c r="AE3861" s="15" t="str">
        <f t="shared" si="0"/>
        <v/>
      </c>
      <c r="AF3861" s="15" t="str">
        <f t="shared" si="1"/>
        <v/>
      </c>
      <c r="AG3861" s="15" t="str">
        <f>IF(OR(AF3861="",AF3861="ERRO_CHAVE"),"",IFERROR(MATCH(AF3861,'Quitados DUPP'!$U$1:$U$6635,0),""))</f>
        <v/>
      </c>
      <c r="AH3861" s="15" t="str">
        <f t="shared" si="2"/>
        <v/>
      </c>
      <c r="AI3861" s="17" t="str">
        <f>IF(AG3861="","",INDEX('Quitados DUPP'!$G$1:$G$6635,AG3861))</f>
        <v/>
      </c>
      <c r="AJ3861" s="17" t="str">
        <f t="shared" si="3"/>
        <v/>
      </c>
    </row>
    <row r="3862" spans="31:36">
      <c r="AE3862" s="15" t="str">
        <f t="shared" si="0"/>
        <v/>
      </c>
      <c r="AF3862" s="15" t="str">
        <f t="shared" si="1"/>
        <v/>
      </c>
      <c r="AG3862" s="15" t="str">
        <f>IF(OR(AF3862="",AF3862="ERRO_CHAVE"),"",IFERROR(MATCH(AF3862,'Quitados DUPP'!$U$1:$U$6635,0),""))</f>
        <v/>
      </c>
      <c r="AH3862" s="15" t="str">
        <f t="shared" si="2"/>
        <v/>
      </c>
      <c r="AI3862" s="17" t="str">
        <f>IF(AG3862="","",INDEX('Quitados DUPP'!$G$1:$G$6635,AG3862))</f>
        <v/>
      </c>
      <c r="AJ3862" s="17" t="str">
        <f t="shared" si="3"/>
        <v/>
      </c>
    </row>
    <row r="3863" spans="31:36">
      <c r="AE3863" s="15" t="str">
        <f t="shared" si="0"/>
        <v/>
      </c>
      <c r="AF3863" s="15" t="str">
        <f t="shared" si="1"/>
        <v/>
      </c>
      <c r="AG3863" s="15" t="str">
        <f>IF(OR(AF3863="",AF3863="ERRO_CHAVE"),"",IFERROR(MATCH(AF3863,'Quitados DUPP'!$U$1:$U$6635,0),""))</f>
        <v/>
      </c>
      <c r="AH3863" s="15" t="str">
        <f t="shared" si="2"/>
        <v/>
      </c>
      <c r="AI3863" s="17" t="str">
        <f>IF(AG3863="","",INDEX('Quitados DUPP'!$G$1:$G$6635,AG3863))</f>
        <v/>
      </c>
      <c r="AJ3863" s="17" t="str">
        <f t="shared" si="3"/>
        <v/>
      </c>
    </row>
    <row r="3864" spans="31:36">
      <c r="AE3864" s="15" t="str">
        <f t="shared" si="0"/>
        <v/>
      </c>
      <c r="AF3864" s="15" t="str">
        <f t="shared" si="1"/>
        <v/>
      </c>
      <c r="AG3864" s="15" t="str">
        <f>IF(OR(AF3864="",AF3864="ERRO_CHAVE"),"",IFERROR(MATCH(AF3864,'Quitados DUPP'!$U$1:$U$6635,0),""))</f>
        <v/>
      </c>
      <c r="AH3864" s="15" t="str">
        <f t="shared" si="2"/>
        <v/>
      </c>
      <c r="AI3864" s="17" t="str">
        <f>IF(AG3864="","",INDEX('Quitados DUPP'!$G$1:$G$6635,AG3864))</f>
        <v/>
      </c>
      <c r="AJ3864" s="17" t="str">
        <f t="shared" si="3"/>
        <v/>
      </c>
    </row>
    <row r="3865" spans="31:36">
      <c r="AE3865" s="15" t="str">
        <f t="shared" si="0"/>
        <v/>
      </c>
      <c r="AF3865" s="15" t="str">
        <f t="shared" si="1"/>
        <v/>
      </c>
      <c r="AG3865" s="15" t="str">
        <f>IF(OR(AF3865="",AF3865="ERRO_CHAVE"),"",IFERROR(MATCH(AF3865,'Quitados DUPP'!$U$1:$U$6635,0),""))</f>
        <v/>
      </c>
      <c r="AH3865" s="15" t="str">
        <f t="shared" si="2"/>
        <v/>
      </c>
      <c r="AI3865" s="17" t="str">
        <f>IF(AG3865="","",INDEX('Quitados DUPP'!$G$1:$G$6635,AG3865))</f>
        <v/>
      </c>
      <c r="AJ3865" s="17" t="str">
        <f t="shared" si="3"/>
        <v/>
      </c>
    </row>
    <row r="3866" spans="31:36">
      <c r="AE3866" s="15" t="str">
        <f t="shared" si="0"/>
        <v/>
      </c>
      <c r="AF3866" s="15" t="str">
        <f t="shared" si="1"/>
        <v/>
      </c>
      <c r="AG3866" s="15" t="str">
        <f>IF(OR(AF3866="",AF3866="ERRO_CHAVE"),"",IFERROR(MATCH(AF3866,'Quitados DUPP'!$U$1:$U$6635,0),""))</f>
        <v/>
      </c>
      <c r="AH3866" s="15" t="str">
        <f t="shared" si="2"/>
        <v/>
      </c>
      <c r="AI3866" s="17" t="str">
        <f>IF(AG3866="","",INDEX('Quitados DUPP'!$G$1:$G$6635,AG3866))</f>
        <v/>
      </c>
      <c r="AJ3866" s="17" t="str">
        <f t="shared" si="3"/>
        <v/>
      </c>
    </row>
    <row r="3867" spans="31:36">
      <c r="AE3867" s="15" t="str">
        <f t="shared" si="0"/>
        <v/>
      </c>
      <c r="AF3867" s="15" t="str">
        <f t="shared" si="1"/>
        <v/>
      </c>
      <c r="AG3867" s="15" t="str">
        <f>IF(OR(AF3867="",AF3867="ERRO_CHAVE"),"",IFERROR(MATCH(AF3867,'Quitados DUPP'!$U$1:$U$6635,0),""))</f>
        <v/>
      </c>
      <c r="AH3867" s="15" t="str">
        <f t="shared" si="2"/>
        <v/>
      </c>
      <c r="AI3867" s="17" t="str">
        <f>IF(AG3867="","",INDEX('Quitados DUPP'!$G$1:$G$6635,AG3867))</f>
        <v/>
      </c>
      <c r="AJ3867" s="17" t="str">
        <f t="shared" si="3"/>
        <v/>
      </c>
    </row>
    <row r="3868" spans="31:36">
      <c r="AE3868" s="15" t="str">
        <f t="shared" si="0"/>
        <v/>
      </c>
      <c r="AF3868" s="15" t="str">
        <f t="shared" si="1"/>
        <v/>
      </c>
      <c r="AG3868" s="15" t="str">
        <f>IF(OR(AF3868="",AF3868="ERRO_CHAVE"),"",IFERROR(MATCH(AF3868,'Quitados DUPP'!$U$1:$U$6635,0),""))</f>
        <v/>
      </c>
      <c r="AH3868" s="15" t="str">
        <f t="shared" si="2"/>
        <v/>
      </c>
      <c r="AI3868" s="17" t="str">
        <f>IF(AG3868="","",INDEX('Quitados DUPP'!$G$1:$G$6635,AG3868))</f>
        <v/>
      </c>
      <c r="AJ3868" s="17" t="str">
        <f t="shared" si="3"/>
        <v/>
      </c>
    </row>
    <row r="3869" spans="31:36">
      <c r="AE3869" s="15" t="str">
        <f t="shared" si="0"/>
        <v/>
      </c>
      <c r="AF3869" s="15" t="str">
        <f t="shared" si="1"/>
        <v/>
      </c>
      <c r="AG3869" s="15" t="str">
        <f>IF(OR(AF3869="",AF3869="ERRO_CHAVE"),"",IFERROR(MATCH(AF3869,'Quitados DUPP'!$U$1:$U$6635,0),""))</f>
        <v/>
      </c>
      <c r="AH3869" s="15" t="str">
        <f t="shared" si="2"/>
        <v/>
      </c>
      <c r="AI3869" s="17" t="str">
        <f>IF(AG3869="","",INDEX('Quitados DUPP'!$G$1:$G$6635,AG3869))</f>
        <v/>
      </c>
      <c r="AJ3869" s="17" t="str">
        <f t="shared" si="3"/>
        <v/>
      </c>
    </row>
    <row r="3870" spans="31:36">
      <c r="AE3870" s="15" t="str">
        <f t="shared" si="0"/>
        <v/>
      </c>
      <c r="AF3870" s="15" t="str">
        <f t="shared" si="1"/>
        <v/>
      </c>
      <c r="AG3870" s="15" t="str">
        <f>IF(OR(AF3870="",AF3870="ERRO_CHAVE"),"",IFERROR(MATCH(AF3870,'Quitados DUPP'!$U$1:$U$6635,0),""))</f>
        <v/>
      </c>
      <c r="AH3870" s="15" t="str">
        <f t="shared" si="2"/>
        <v/>
      </c>
      <c r="AI3870" s="17" t="str">
        <f>IF(AG3870="","",INDEX('Quitados DUPP'!$G$1:$G$6635,AG3870))</f>
        <v/>
      </c>
      <c r="AJ3870" s="17" t="str">
        <f t="shared" si="3"/>
        <v/>
      </c>
    </row>
    <row r="3871" spans="31:36">
      <c r="AE3871" s="15" t="str">
        <f t="shared" si="0"/>
        <v/>
      </c>
      <c r="AF3871" s="15" t="str">
        <f t="shared" si="1"/>
        <v/>
      </c>
      <c r="AG3871" s="15" t="str">
        <f>IF(OR(AF3871="",AF3871="ERRO_CHAVE"),"",IFERROR(MATCH(AF3871,'Quitados DUPP'!$U$1:$U$6635,0),""))</f>
        <v/>
      </c>
      <c r="AH3871" s="15" t="str">
        <f t="shared" si="2"/>
        <v/>
      </c>
      <c r="AI3871" s="17" t="str">
        <f>IF(AG3871="","",INDEX('Quitados DUPP'!$G$1:$G$6635,AG3871))</f>
        <v/>
      </c>
      <c r="AJ3871" s="17" t="str">
        <f t="shared" si="3"/>
        <v/>
      </c>
    </row>
    <row r="3872" spans="31:36">
      <c r="AE3872" s="15" t="str">
        <f t="shared" si="0"/>
        <v/>
      </c>
      <c r="AF3872" s="15" t="str">
        <f t="shared" si="1"/>
        <v/>
      </c>
      <c r="AG3872" s="15" t="str">
        <f>IF(OR(AF3872="",AF3872="ERRO_CHAVE"),"",IFERROR(MATCH(AF3872,'Quitados DUPP'!$U$1:$U$6635,0),""))</f>
        <v/>
      </c>
      <c r="AH3872" s="15" t="str">
        <f t="shared" si="2"/>
        <v/>
      </c>
      <c r="AI3872" s="17" t="str">
        <f>IF(AG3872="","",INDEX('Quitados DUPP'!$G$1:$G$6635,AG3872))</f>
        <v/>
      </c>
      <c r="AJ3872" s="17" t="str">
        <f t="shared" si="3"/>
        <v/>
      </c>
    </row>
    <row r="3873" spans="31:36">
      <c r="AE3873" s="15" t="str">
        <f t="shared" si="0"/>
        <v/>
      </c>
      <c r="AF3873" s="15" t="str">
        <f t="shared" si="1"/>
        <v/>
      </c>
      <c r="AG3873" s="15" t="str">
        <f>IF(OR(AF3873="",AF3873="ERRO_CHAVE"),"",IFERROR(MATCH(AF3873,'Quitados DUPP'!$U$1:$U$6635,0),""))</f>
        <v/>
      </c>
      <c r="AH3873" s="15" t="str">
        <f t="shared" si="2"/>
        <v/>
      </c>
      <c r="AI3873" s="17" t="str">
        <f>IF(AG3873="","",INDEX('Quitados DUPP'!$G$1:$G$6635,AG3873))</f>
        <v/>
      </c>
      <c r="AJ3873" s="17" t="str">
        <f t="shared" si="3"/>
        <v/>
      </c>
    </row>
    <row r="3874" spans="31:36">
      <c r="AE3874" s="15" t="str">
        <f t="shared" si="0"/>
        <v/>
      </c>
      <c r="AF3874" s="15" t="str">
        <f t="shared" si="1"/>
        <v/>
      </c>
      <c r="AG3874" s="15" t="str">
        <f>IF(OR(AF3874="",AF3874="ERRO_CHAVE"),"",IFERROR(MATCH(AF3874,'Quitados DUPP'!$U$1:$U$6635,0),""))</f>
        <v/>
      </c>
      <c r="AH3874" s="15" t="str">
        <f t="shared" si="2"/>
        <v/>
      </c>
      <c r="AI3874" s="17" t="str">
        <f>IF(AG3874="","",INDEX('Quitados DUPP'!$G$1:$G$6635,AG3874))</f>
        <v/>
      </c>
      <c r="AJ3874" s="17" t="str">
        <f t="shared" si="3"/>
        <v/>
      </c>
    </row>
    <row r="3875" spans="31:36">
      <c r="AE3875" s="15" t="str">
        <f t="shared" si="0"/>
        <v/>
      </c>
      <c r="AF3875" s="15" t="str">
        <f t="shared" si="1"/>
        <v/>
      </c>
      <c r="AG3875" s="15" t="str">
        <f>IF(OR(AF3875="",AF3875="ERRO_CHAVE"),"",IFERROR(MATCH(AF3875,'Quitados DUPP'!$U$1:$U$6635,0),""))</f>
        <v/>
      </c>
      <c r="AH3875" s="15" t="str">
        <f t="shared" si="2"/>
        <v/>
      </c>
      <c r="AI3875" s="17" t="str">
        <f>IF(AG3875="","",INDEX('Quitados DUPP'!$G$1:$G$6635,AG3875))</f>
        <v/>
      </c>
      <c r="AJ3875" s="17" t="str">
        <f t="shared" si="3"/>
        <v/>
      </c>
    </row>
    <row r="3876" spans="31:36">
      <c r="AE3876" s="15" t="str">
        <f t="shared" si="0"/>
        <v/>
      </c>
      <c r="AF3876" s="15" t="str">
        <f t="shared" si="1"/>
        <v/>
      </c>
      <c r="AG3876" s="15" t="str">
        <f>IF(OR(AF3876="",AF3876="ERRO_CHAVE"),"",IFERROR(MATCH(AF3876,'Quitados DUPP'!$U$1:$U$6635,0),""))</f>
        <v/>
      </c>
      <c r="AH3876" s="15" t="str">
        <f t="shared" si="2"/>
        <v/>
      </c>
      <c r="AI3876" s="17" t="str">
        <f>IF(AG3876="","",INDEX('Quitados DUPP'!$G$1:$G$6635,AG3876))</f>
        <v/>
      </c>
      <c r="AJ3876" s="17" t="str">
        <f t="shared" si="3"/>
        <v/>
      </c>
    </row>
    <row r="3877" spans="31:36">
      <c r="AE3877" s="15" t="str">
        <f t="shared" si="0"/>
        <v/>
      </c>
      <c r="AF3877" s="15" t="str">
        <f t="shared" si="1"/>
        <v/>
      </c>
      <c r="AG3877" s="15" t="str">
        <f>IF(OR(AF3877="",AF3877="ERRO_CHAVE"),"",IFERROR(MATCH(AF3877,'Quitados DUPP'!$U$1:$U$6635,0),""))</f>
        <v/>
      </c>
      <c r="AH3877" s="15" t="str">
        <f t="shared" si="2"/>
        <v/>
      </c>
      <c r="AI3877" s="17" t="str">
        <f>IF(AG3877="","",INDEX('Quitados DUPP'!$G$1:$G$6635,AG3877))</f>
        <v/>
      </c>
      <c r="AJ3877" s="17" t="str">
        <f t="shared" si="3"/>
        <v/>
      </c>
    </row>
    <row r="3878" spans="31:36">
      <c r="AE3878" s="15" t="str">
        <f t="shared" si="0"/>
        <v/>
      </c>
      <c r="AF3878" s="15" t="str">
        <f t="shared" si="1"/>
        <v/>
      </c>
      <c r="AG3878" s="15" t="str">
        <f>IF(OR(AF3878="",AF3878="ERRO_CHAVE"),"",IFERROR(MATCH(AF3878,'Quitados DUPP'!$U$1:$U$6635,0),""))</f>
        <v/>
      </c>
      <c r="AH3878" s="15" t="str">
        <f t="shared" si="2"/>
        <v/>
      </c>
      <c r="AI3878" s="17" t="str">
        <f>IF(AG3878="","",INDEX('Quitados DUPP'!$G$1:$G$6635,AG3878))</f>
        <v/>
      </c>
      <c r="AJ3878" s="17" t="str">
        <f t="shared" si="3"/>
        <v/>
      </c>
    </row>
    <row r="3879" spans="31:36">
      <c r="AE3879" s="15" t="str">
        <f t="shared" si="0"/>
        <v/>
      </c>
      <c r="AF3879" s="15" t="str">
        <f t="shared" si="1"/>
        <v/>
      </c>
      <c r="AG3879" s="15" t="str">
        <f>IF(OR(AF3879="",AF3879="ERRO_CHAVE"),"",IFERROR(MATCH(AF3879,'Quitados DUPP'!$U$1:$U$6635,0),""))</f>
        <v/>
      </c>
      <c r="AH3879" s="15" t="str">
        <f t="shared" si="2"/>
        <v/>
      </c>
      <c r="AI3879" s="17" t="str">
        <f>IF(AG3879="","",INDEX('Quitados DUPP'!$G$1:$G$6635,AG3879))</f>
        <v/>
      </c>
      <c r="AJ3879" s="17" t="str">
        <f t="shared" si="3"/>
        <v/>
      </c>
    </row>
    <row r="3880" spans="31:36">
      <c r="AE3880" s="15" t="str">
        <f t="shared" si="0"/>
        <v/>
      </c>
      <c r="AF3880" s="15" t="str">
        <f t="shared" si="1"/>
        <v/>
      </c>
      <c r="AG3880" s="15" t="str">
        <f>IF(OR(AF3880="",AF3880="ERRO_CHAVE"),"",IFERROR(MATCH(AF3880,'Quitados DUPP'!$U$1:$U$6635,0),""))</f>
        <v/>
      </c>
      <c r="AH3880" s="15" t="str">
        <f t="shared" si="2"/>
        <v/>
      </c>
      <c r="AI3880" s="17" t="str">
        <f>IF(AG3880="","",INDEX('Quitados DUPP'!$G$1:$G$6635,AG3880))</f>
        <v/>
      </c>
      <c r="AJ3880" s="17" t="str">
        <f t="shared" si="3"/>
        <v/>
      </c>
    </row>
    <row r="3881" spans="31:36">
      <c r="AE3881" s="15" t="str">
        <f t="shared" si="0"/>
        <v/>
      </c>
      <c r="AF3881" s="15" t="str">
        <f t="shared" si="1"/>
        <v/>
      </c>
      <c r="AG3881" s="15" t="str">
        <f>IF(OR(AF3881="",AF3881="ERRO_CHAVE"),"",IFERROR(MATCH(AF3881,'Quitados DUPP'!$U$1:$U$6635,0),""))</f>
        <v/>
      </c>
      <c r="AH3881" s="15" t="str">
        <f t="shared" si="2"/>
        <v/>
      </c>
      <c r="AI3881" s="17" t="str">
        <f>IF(AG3881="","",INDEX('Quitados DUPP'!$G$1:$G$6635,AG3881))</f>
        <v/>
      </c>
      <c r="AJ3881" s="17" t="str">
        <f t="shared" si="3"/>
        <v/>
      </c>
    </row>
    <row r="3882" spans="31:36">
      <c r="AE3882" s="15" t="str">
        <f t="shared" si="0"/>
        <v/>
      </c>
      <c r="AF3882" s="15" t="str">
        <f t="shared" si="1"/>
        <v/>
      </c>
      <c r="AG3882" s="15" t="str">
        <f>IF(OR(AF3882="",AF3882="ERRO_CHAVE"),"",IFERROR(MATCH(AF3882,'Quitados DUPP'!$U$1:$U$6635,0),""))</f>
        <v/>
      </c>
      <c r="AH3882" s="15" t="str">
        <f t="shared" si="2"/>
        <v/>
      </c>
      <c r="AI3882" s="17" t="str">
        <f>IF(AG3882="","",INDEX('Quitados DUPP'!$G$1:$G$6635,AG3882))</f>
        <v/>
      </c>
      <c r="AJ3882" s="17" t="str">
        <f t="shared" si="3"/>
        <v/>
      </c>
    </row>
    <row r="3883" spans="31:36">
      <c r="AE3883" s="15" t="str">
        <f t="shared" si="0"/>
        <v/>
      </c>
      <c r="AF3883" s="15" t="str">
        <f t="shared" si="1"/>
        <v/>
      </c>
      <c r="AG3883" s="15" t="str">
        <f>IF(OR(AF3883="",AF3883="ERRO_CHAVE"),"",IFERROR(MATCH(AF3883,'Quitados DUPP'!$U$1:$U$6635,0),""))</f>
        <v/>
      </c>
      <c r="AH3883" s="15" t="str">
        <f t="shared" si="2"/>
        <v/>
      </c>
      <c r="AI3883" s="17" t="str">
        <f>IF(AG3883="","",INDEX('Quitados DUPP'!$G$1:$G$6635,AG3883))</f>
        <v/>
      </c>
      <c r="AJ3883" s="17" t="str">
        <f t="shared" si="3"/>
        <v/>
      </c>
    </row>
    <row r="3884" spans="31:36">
      <c r="AE3884" s="15" t="str">
        <f t="shared" si="0"/>
        <v/>
      </c>
      <c r="AF3884" s="15" t="str">
        <f t="shared" si="1"/>
        <v/>
      </c>
      <c r="AG3884" s="15" t="str">
        <f>IF(OR(AF3884="",AF3884="ERRO_CHAVE"),"",IFERROR(MATCH(AF3884,'Quitados DUPP'!$U$1:$U$6635,0),""))</f>
        <v/>
      </c>
      <c r="AH3884" s="15" t="str">
        <f t="shared" si="2"/>
        <v/>
      </c>
      <c r="AI3884" s="17" t="str">
        <f>IF(AG3884="","",INDEX('Quitados DUPP'!$G$1:$G$6635,AG3884))</f>
        <v/>
      </c>
      <c r="AJ3884" s="17" t="str">
        <f t="shared" si="3"/>
        <v/>
      </c>
    </row>
    <row r="3885" spans="31:36">
      <c r="AE3885" s="15" t="str">
        <f t="shared" si="0"/>
        <v/>
      </c>
      <c r="AF3885" s="15" t="str">
        <f t="shared" si="1"/>
        <v/>
      </c>
      <c r="AG3885" s="15" t="str">
        <f>IF(OR(AF3885="",AF3885="ERRO_CHAVE"),"",IFERROR(MATCH(AF3885,'Quitados DUPP'!$U$1:$U$6635,0),""))</f>
        <v/>
      </c>
      <c r="AH3885" s="15" t="str">
        <f t="shared" si="2"/>
        <v/>
      </c>
      <c r="AI3885" s="17" t="str">
        <f>IF(AG3885="","",INDEX('Quitados DUPP'!$G$1:$G$6635,AG3885))</f>
        <v/>
      </c>
      <c r="AJ3885" s="17" t="str">
        <f t="shared" si="3"/>
        <v/>
      </c>
    </row>
    <row r="3886" spans="31:36">
      <c r="AE3886" s="15" t="str">
        <f t="shared" si="0"/>
        <v/>
      </c>
      <c r="AF3886" s="15" t="str">
        <f t="shared" si="1"/>
        <v/>
      </c>
      <c r="AG3886" s="15" t="str">
        <f>IF(OR(AF3886="",AF3886="ERRO_CHAVE"),"",IFERROR(MATCH(AF3886,'Quitados DUPP'!$U$1:$U$6635,0),""))</f>
        <v/>
      </c>
      <c r="AH3886" s="15" t="str">
        <f t="shared" si="2"/>
        <v/>
      </c>
      <c r="AI3886" s="17" t="str">
        <f>IF(AG3886="","",INDEX('Quitados DUPP'!$G$1:$G$6635,AG3886))</f>
        <v/>
      </c>
      <c r="AJ3886" s="17" t="str">
        <f t="shared" si="3"/>
        <v/>
      </c>
    </row>
    <row r="3887" spans="31:36">
      <c r="AE3887" s="15" t="str">
        <f t="shared" si="0"/>
        <v/>
      </c>
      <c r="AF3887" s="15" t="str">
        <f t="shared" si="1"/>
        <v/>
      </c>
      <c r="AG3887" s="15" t="str">
        <f>IF(OR(AF3887="",AF3887="ERRO_CHAVE"),"",IFERROR(MATCH(AF3887,'Quitados DUPP'!$U$1:$U$6635,0),""))</f>
        <v/>
      </c>
      <c r="AH3887" s="15" t="str">
        <f t="shared" si="2"/>
        <v/>
      </c>
      <c r="AI3887" s="17" t="str">
        <f>IF(AG3887="","",INDEX('Quitados DUPP'!$G$1:$G$6635,AG3887))</f>
        <v/>
      </c>
      <c r="AJ3887" s="17" t="str">
        <f t="shared" si="3"/>
        <v/>
      </c>
    </row>
    <row r="3888" spans="31:36">
      <c r="AE3888" s="15" t="str">
        <f t="shared" si="0"/>
        <v/>
      </c>
      <c r="AF3888" s="15" t="str">
        <f t="shared" si="1"/>
        <v/>
      </c>
      <c r="AG3888" s="15" t="str">
        <f>IF(OR(AF3888="",AF3888="ERRO_CHAVE"),"",IFERROR(MATCH(AF3888,'Quitados DUPP'!$U$1:$U$6635,0),""))</f>
        <v/>
      </c>
      <c r="AH3888" s="15" t="str">
        <f t="shared" si="2"/>
        <v/>
      </c>
      <c r="AI3888" s="17" t="str">
        <f>IF(AG3888="","",INDEX('Quitados DUPP'!$G$1:$G$6635,AG3888))</f>
        <v/>
      </c>
      <c r="AJ3888" s="17" t="str">
        <f t="shared" si="3"/>
        <v/>
      </c>
    </row>
    <row r="3889" spans="31:36">
      <c r="AE3889" s="15" t="str">
        <f t="shared" si="0"/>
        <v/>
      </c>
      <c r="AF3889" s="15" t="str">
        <f t="shared" si="1"/>
        <v/>
      </c>
      <c r="AG3889" s="15" t="str">
        <f>IF(OR(AF3889="",AF3889="ERRO_CHAVE"),"",IFERROR(MATCH(AF3889,'Quitados DUPP'!$U$1:$U$6635,0),""))</f>
        <v/>
      </c>
      <c r="AH3889" s="15" t="str">
        <f t="shared" si="2"/>
        <v/>
      </c>
      <c r="AI3889" s="17" t="str">
        <f>IF(AG3889="","",INDEX('Quitados DUPP'!$G$1:$G$6635,AG3889))</f>
        <v/>
      </c>
      <c r="AJ3889" s="17" t="str">
        <f t="shared" si="3"/>
        <v/>
      </c>
    </row>
    <row r="3890" spans="31:36">
      <c r="AE3890" s="15" t="str">
        <f t="shared" si="0"/>
        <v/>
      </c>
      <c r="AF3890" s="15" t="str">
        <f t="shared" si="1"/>
        <v/>
      </c>
      <c r="AG3890" s="15" t="str">
        <f>IF(OR(AF3890="",AF3890="ERRO_CHAVE"),"",IFERROR(MATCH(AF3890,'Quitados DUPP'!$U$1:$U$6635,0),""))</f>
        <v/>
      </c>
      <c r="AH3890" s="15" t="str">
        <f t="shared" si="2"/>
        <v/>
      </c>
      <c r="AI3890" s="17" t="str">
        <f>IF(AG3890="","",INDEX('Quitados DUPP'!$G$1:$G$6635,AG3890))</f>
        <v/>
      </c>
      <c r="AJ3890" s="17" t="str">
        <f t="shared" si="3"/>
        <v/>
      </c>
    </row>
    <row r="3891" spans="31:36">
      <c r="AE3891" s="15" t="str">
        <f t="shared" si="0"/>
        <v/>
      </c>
      <c r="AF3891" s="15" t="str">
        <f t="shared" si="1"/>
        <v/>
      </c>
      <c r="AG3891" s="15" t="str">
        <f>IF(OR(AF3891="",AF3891="ERRO_CHAVE"),"",IFERROR(MATCH(AF3891,'Quitados DUPP'!$U$1:$U$6635,0),""))</f>
        <v/>
      </c>
      <c r="AH3891" s="15" t="str">
        <f t="shared" si="2"/>
        <v/>
      </c>
      <c r="AI3891" s="17" t="str">
        <f>IF(AG3891="","",INDEX('Quitados DUPP'!$G$1:$G$6635,AG3891))</f>
        <v/>
      </c>
      <c r="AJ3891" s="17" t="str">
        <f t="shared" si="3"/>
        <v/>
      </c>
    </row>
    <row r="3892" spans="31:36">
      <c r="AE3892" s="15" t="str">
        <f t="shared" si="0"/>
        <v/>
      </c>
      <c r="AF3892" s="15" t="str">
        <f t="shared" si="1"/>
        <v/>
      </c>
      <c r="AG3892" s="15" t="str">
        <f>IF(OR(AF3892="",AF3892="ERRO_CHAVE"),"",IFERROR(MATCH(AF3892,'Quitados DUPP'!$U$1:$U$6635,0),""))</f>
        <v/>
      </c>
      <c r="AH3892" s="15" t="str">
        <f t="shared" si="2"/>
        <v/>
      </c>
      <c r="AI3892" s="17" t="str">
        <f>IF(AG3892="","",INDEX('Quitados DUPP'!$G$1:$G$6635,AG3892))</f>
        <v/>
      </c>
      <c r="AJ3892" s="17" t="str">
        <f t="shared" si="3"/>
        <v/>
      </c>
    </row>
    <row r="3893" spans="31:36">
      <c r="AE3893" s="15" t="str">
        <f t="shared" si="0"/>
        <v/>
      </c>
      <c r="AF3893" s="15" t="str">
        <f t="shared" si="1"/>
        <v/>
      </c>
      <c r="AG3893" s="15" t="str">
        <f>IF(OR(AF3893="",AF3893="ERRO_CHAVE"),"",IFERROR(MATCH(AF3893,'Quitados DUPP'!$U$1:$U$6635,0),""))</f>
        <v/>
      </c>
      <c r="AH3893" s="15" t="str">
        <f t="shared" si="2"/>
        <v/>
      </c>
      <c r="AI3893" s="17" t="str">
        <f>IF(AG3893="","",INDEX('Quitados DUPP'!$G$1:$G$6635,AG3893))</f>
        <v/>
      </c>
      <c r="AJ3893" s="17" t="str">
        <f t="shared" si="3"/>
        <v/>
      </c>
    </row>
    <row r="3894" spans="31:36">
      <c r="AE3894" s="15" t="str">
        <f t="shared" si="0"/>
        <v/>
      </c>
      <c r="AF3894" s="15" t="str">
        <f t="shared" si="1"/>
        <v/>
      </c>
      <c r="AG3894" s="15" t="str">
        <f>IF(OR(AF3894="",AF3894="ERRO_CHAVE"),"",IFERROR(MATCH(AF3894,'Quitados DUPP'!$U$1:$U$6635,0),""))</f>
        <v/>
      </c>
      <c r="AH3894" s="15" t="str">
        <f t="shared" si="2"/>
        <v/>
      </c>
      <c r="AI3894" s="17" t="str">
        <f>IF(AG3894="","",INDEX('Quitados DUPP'!$G$1:$G$6635,AG3894))</f>
        <v/>
      </c>
      <c r="AJ3894" s="17" t="str">
        <f t="shared" si="3"/>
        <v/>
      </c>
    </row>
    <row r="3895" spans="31:36">
      <c r="AE3895" s="15" t="str">
        <f t="shared" si="0"/>
        <v/>
      </c>
      <c r="AF3895" s="15" t="str">
        <f t="shared" si="1"/>
        <v/>
      </c>
      <c r="AG3895" s="15" t="str">
        <f>IF(OR(AF3895="",AF3895="ERRO_CHAVE"),"",IFERROR(MATCH(AF3895,'Quitados DUPP'!$U$1:$U$6635,0),""))</f>
        <v/>
      </c>
      <c r="AH3895" s="15" t="str">
        <f t="shared" si="2"/>
        <v/>
      </c>
      <c r="AI3895" s="17" t="str">
        <f>IF(AG3895="","",INDEX('Quitados DUPP'!$G$1:$G$6635,AG3895))</f>
        <v/>
      </c>
      <c r="AJ3895" s="17" t="str">
        <f t="shared" si="3"/>
        <v/>
      </c>
    </row>
    <row r="3896" spans="31:36">
      <c r="AE3896" s="15" t="str">
        <f t="shared" si="0"/>
        <v/>
      </c>
      <c r="AF3896" s="15" t="str">
        <f t="shared" si="1"/>
        <v/>
      </c>
      <c r="AG3896" s="15" t="str">
        <f>IF(OR(AF3896="",AF3896="ERRO_CHAVE"),"",IFERROR(MATCH(AF3896,'Quitados DUPP'!$U$1:$U$6635,0),""))</f>
        <v/>
      </c>
      <c r="AH3896" s="15" t="str">
        <f t="shared" si="2"/>
        <v/>
      </c>
      <c r="AI3896" s="17" t="str">
        <f>IF(AG3896="","",INDEX('Quitados DUPP'!$G$1:$G$6635,AG3896))</f>
        <v/>
      </c>
      <c r="AJ3896" s="17" t="str">
        <f t="shared" si="3"/>
        <v/>
      </c>
    </row>
    <row r="3897" spans="31:36">
      <c r="AE3897" s="15" t="str">
        <f t="shared" si="0"/>
        <v/>
      </c>
      <c r="AF3897" s="15" t="str">
        <f t="shared" si="1"/>
        <v/>
      </c>
      <c r="AG3897" s="15" t="str">
        <f>IF(OR(AF3897="",AF3897="ERRO_CHAVE"),"",IFERROR(MATCH(AF3897,'Quitados DUPP'!$U$1:$U$6635,0),""))</f>
        <v/>
      </c>
      <c r="AH3897" s="15" t="str">
        <f t="shared" si="2"/>
        <v/>
      </c>
      <c r="AI3897" s="17" t="str">
        <f>IF(AG3897="","",INDEX('Quitados DUPP'!$G$1:$G$6635,AG3897))</f>
        <v/>
      </c>
      <c r="AJ3897" s="17" t="str">
        <f t="shared" si="3"/>
        <v/>
      </c>
    </row>
    <row r="3898" spans="31:36">
      <c r="AE3898" s="15" t="str">
        <f t="shared" si="0"/>
        <v/>
      </c>
      <c r="AF3898" s="15" t="str">
        <f t="shared" si="1"/>
        <v/>
      </c>
      <c r="AG3898" s="15" t="str">
        <f>IF(OR(AF3898="",AF3898="ERRO_CHAVE"),"",IFERROR(MATCH(AF3898,'Quitados DUPP'!$U$1:$U$6635,0),""))</f>
        <v/>
      </c>
      <c r="AH3898" s="15" t="str">
        <f t="shared" si="2"/>
        <v/>
      </c>
      <c r="AI3898" s="17" t="str">
        <f>IF(AG3898="","",INDEX('Quitados DUPP'!$G$1:$G$6635,AG3898))</f>
        <v/>
      </c>
      <c r="AJ3898" s="17" t="str">
        <f t="shared" si="3"/>
        <v/>
      </c>
    </row>
    <row r="3899" spans="31:36">
      <c r="AE3899" s="15" t="str">
        <f t="shared" si="0"/>
        <v/>
      </c>
      <c r="AF3899" s="15" t="str">
        <f t="shared" si="1"/>
        <v/>
      </c>
      <c r="AG3899" s="15" t="str">
        <f>IF(OR(AF3899="",AF3899="ERRO_CHAVE"),"",IFERROR(MATCH(AF3899,'Quitados DUPP'!$U$1:$U$6635,0),""))</f>
        <v/>
      </c>
      <c r="AH3899" s="15" t="str">
        <f t="shared" si="2"/>
        <v/>
      </c>
      <c r="AI3899" s="17" t="str">
        <f>IF(AG3899="","",INDEX('Quitados DUPP'!$G$1:$G$6635,AG3899))</f>
        <v/>
      </c>
      <c r="AJ3899" s="17" t="str">
        <f t="shared" si="3"/>
        <v/>
      </c>
    </row>
    <row r="3900" spans="31:36">
      <c r="AE3900" s="15" t="str">
        <f t="shared" si="0"/>
        <v/>
      </c>
      <c r="AF3900" s="15" t="str">
        <f t="shared" si="1"/>
        <v/>
      </c>
      <c r="AG3900" s="15" t="str">
        <f>IF(OR(AF3900="",AF3900="ERRO_CHAVE"),"",IFERROR(MATCH(AF3900,'Quitados DUPP'!$U$1:$U$6635,0),""))</f>
        <v/>
      </c>
      <c r="AH3900" s="15" t="str">
        <f t="shared" si="2"/>
        <v/>
      </c>
      <c r="AI3900" s="17" t="str">
        <f>IF(AG3900="","",INDEX('Quitados DUPP'!$G$1:$G$6635,AG3900))</f>
        <v/>
      </c>
      <c r="AJ3900" s="17" t="str">
        <f t="shared" si="3"/>
        <v/>
      </c>
    </row>
    <row r="3901" spans="31:36">
      <c r="AE3901" s="15" t="str">
        <f t="shared" si="0"/>
        <v/>
      </c>
      <c r="AF3901" s="15" t="str">
        <f t="shared" si="1"/>
        <v/>
      </c>
      <c r="AG3901" s="15" t="str">
        <f>IF(OR(AF3901="",AF3901="ERRO_CHAVE"),"",IFERROR(MATCH(AF3901,'Quitados DUPP'!$U$1:$U$6635,0),""))</f>
        <v/>
      </c>
      <c r="AH3901" s="15" t="str">
        <f t="shared" si="2"/>
        <v/>
      </c>
      <c r="AI3901" s="17" t="str">
        <f>IF(AG3901="","",INDEX('Quitados DUPP'!$G$1:$G$6635,AG3901))</f>
        <v/>
      </c>
      <c r="AJ3901" s="17" t="str">
        <f t="shared" si="3"/>
        <v/>
      </c>
    </row>
    <row r="3902" spans="31:36">
      <c r="AE3902" s="15" t="str">
        <f t="shared" si="0"/>
        <v/>
      </c>
      <c r="AF3902" s="15" t="str">
        <f t="shared" si="1"/>
        <v/>
      </c>
      <c r="AG3902" s="15" t="str">
        <f>IF(OR(AF3902="",AF3902="ERRO_CHAVE"),"",IFERROR(MATCH(AF3902,'Quitados DUPP'!$U$1:$U$6635,0),""))</f>
        <v/>
      </c>
      <c r="AH3902" s="15" t="str">
        <f t="shared" si="2"/>
        <v/>
      </c>
      <c r="AI3902" s="17" t="str">
        <f>IF(AG3902="","",INDEX('Quitados DUPP'!$G$1:$G$6635,AG3902))</f>
        <v/>
      </c>
      <c r="AJ3902" s="17" t="str">
        <f t="shared" si="3"/>
        <v/>
      </c>
    </row>
    <row r="3903" spans="31:36">
      <c r="AE3903" s="15" t="str">
        <f t="shared" si="0"/>
        <v/>
      </c>
      <c r="AF3903" s="15" t="str">
        <f t="shared" si="1"/>
        <v/>
      </c>
      <c r="AG3903" s="15" t="str">
        <f>IF(OR(AF3903="",AF3903="ERRO_CHAVE"),"",IFERROR(MATCH(AF3903,'Quitados DUPP'!$U$1:$U$6635,0),""))</f>
        <v/>
      </c>
      <c r="AH3903" s="15" t="str">
        <f t="shared" si="2"/>
        <v/>
      </c>
      <c r="AI3903" s="17" t="str">
        <f>IF(AG3903="","",INDEX('Quitados DUPP'!$G$1:$G$6635,AG3903))</f>
        <v/>
      </c>
      <c r="AJ3903" s="17" t="str">
        <f t="shared" si="3"/>
        <v/>
      </c>
    </row>
    <row r="3904" spans="31:36">
      <c r="AE3904" s="15" t="str">
        <f t="shared" si="0"/>
        <v/>
      </c>
      <c r="AF3904" s="15" t="str">
        <f t="shared" si="1"/>
        <v/>
      </c>
      <c r="AG3904" s="15" t="str">
        <f>IF(OR(AF3904="",AF3904="ERRO_CHAVE"),"",IFERROR(MATCH(AF3904,'Quitados DUPP'!$U$1:$U$6635,0),""))</f>
        <v/>
      </c>
      <c r="AH3904" s="15" t="str">
        <f t="shared" si="2"/>
        <v/>
      </c>
      <c r="AI3904" s="17" t="str">
        <f>IF(AG3904="","",INDEX('Quitados DUPP'!$G$1:$G$6635,AG3904))</f>
        <v/>
      </c>
      <c r="AJ3904" s="17" t="str">
        <f t="shared" si="3"/>
        <v/>
      </c>
    </row>
    <row r="3905" spans="31:36">
      <c r="AE3905" s="15" t="str">
        <f t="shared" si="0"/>
        <v/>
      </c>
      <c r="AF3905" s="15" t="str">
        <f t="shared" si="1"/>
        <v/>
      </c>
      <c r="AG3905" s="15" t="str">
        <f>IF(OR(AF3905="",AF3905="ERRO_CHAVE"),"",IFERROR(MATCH(AF3905,'Quitados DUPP'!$U$1:$U$6635,0),""))</f>
        <v/>
      </c>
      <c r="AH3905" s="15" t="str">
        <f t="shared" si="2"/>
        <v/>
      </c>
      <c r="AI3905" s="17" t="str">
        <f>IF(AG3905="","",INDEX('Quitados DUPP'!$G$1:$G$6635,AG3905))</f>
        <v/>
      </c>
      <c r="AJ3905" s="17" t="str">
        <f t="shared" si="3"/>
        <v/>
      </c>
    </row>
    <row r="3906" spans="31:36">
      <c r="AE3906" s="15" t="str">
        <f t="shared" si="0"/>
        <v/>
      </c>
      <c r="AF3906" s="15" t="str">
        <f t="shared" si="1"/>
        <v/>
      </c>
      <c r="AG3906" s="15" t="str">
        <f>IF(OR(AF3906="",AF3906="ERRO_CHAVE"),"",IFERROR(MATCH(AF3906,'Quitados DUPP'!$U$1:$U$6635,0),""))</f>
        <v/>
      </c>
      <c r="AH3906" s="15" t="str">
        <f t="shared" si="2"/>
        <v/>
      </c>
      <c r="AI3906" s="17" t="str">
        <f>IF(AG3906="","",INDEX('Quitados DUPP'!$G$1:$G$6635,AG3906))</f>
        <v/>
      </c>
      <c r="AJ3906" s="17" t="str">
        <f t="shared" si="3"/>
        <v/>
      </c>
    </row>
    <row r="3907" spans="31:36">
      <c r="AE3907" s="15" t="str">
        <f t="shared" si="0"/>
        <v/>
      </c>
      <c r="AF3907" s="15" t="str">
        <f t="shared" si="1"/>
        <v/>
      </c>
      <c r="AG3907" s="15" t="str">
        <f>IF(OR(AF3907="",AF3907="ERRO_CHAVE"),"",IFERROR(MATCH(AF3907,'Quitados DUPP'!$U$1:$U$6635,0),""))</f>
        <v/>
      </c>
      <c r="AH3907" s="15" t="str">
        <f t="shared" si="2"/>
        <v/>
      </c>
      <c r="AI3907" s="17" t="str">
        <f>IF(AG3907="","",INDEX('Quitados DUPP'!$G$1:$G$6635,AG3907))</f>
        <v/>
      </c>
      <c r="AJ3907" s="17" t="str">
        <f t="shared" si="3"/>
        <v/>
      </c>
    </row>
    <row r="3908" spans="31:36">
      <c r="AE3908" s="15" t="str">
        <f t="shared" si="0"/>
        <v/>
      </c>
      <c r="AF3908" s="15" t="str">
        <f t="shared" si="1"/>
        <v/>
      </c>
      <c r="AG3908" s="15" t="str">
        <f>IF(OR(AF3908="",AF3908="ERRO_CHAVE"),"",IFERROR(MATCH(AF3908,'Quitados DUPP'!$U$1:$U$6635,0),""))</f>
        <v/>
      </c>
      <c r="AH3908" s="15" t="str">
        <f t="shared" si="2"/>
        <v/>
      </c>
      <c r="AI3908" s="17" t="str">
        <f>IF(AG3908="","",INDEX('Quitados DUPP'!$G$1:$G$6635,AG3908))</f>
        <v/>
      </c>
      <c r="AJ3908" s="17" t="str">
        <f t="shared" si="3"/>
        <v/>
      </c>
    </row>
    <row r="3909" spans="31:36">
      <c r="AE3909" s="15" t="str">
        <f t="shared" si="0"/>
        <v/>
      </c>
      <c r="AF3909" s="15" t="str">
        <f t="shared" si="1"/>
        <v/>
      </c>
      <c r="AG3909" s="15" t="str">
        <f>IF(OR(AF3909="",AF3909="ERRO_CHAVE"),"",IFERROR(MATCH(AF3909,'Quitados DUPP'!$U$1:$U$6635,0),""))</f>
        <v/>
      </c>
      <c r="AH3909" s="15" t="str">
        <f t="shared" si="2"/>
        <v/>
      </c>
      <c r="AI3909" s="17" t="str">
        <f>IF(AG3909="","",INDEX('Quitados DUPP'!$G$1:$G$6635,AG3909))</f>
        <v/>
      </c>
      <c r="AJ3909" s="17" t="str">
        <f t="shared" si="3"/>
        <v/>
      </c>
    </row>
    <row r="3910" spans="31:36">
      <c r="AE3910" s="15" t="str">
        <f t="shared" si="0"/>
        <v/>
      </c>
      <c r="AF3910" s="15" t="str">
        <f t="shared" si="1"/>
        <v/>
      </c>
      <c r="AG3910" s="15" t="str">
        <f>IF(OR(AF3910="",AF3910="ERRO_CHAVE"),"",IFERROR(MATCH(AF3910,'Quitados DUPP'!$U$1:$U$6635,0),""))</f>
        <v/>
      </c>
      <c r="AH3910" s="15" t="str">
        <f t="shared" si="2"/>
        <v/>
      </c>
      <c r="AI3910" s="17" t="str">
        <f>IF(AG3910="","",INDEX('Quitados DUPP'!$G$1:$G$6635,AG3910))</f>
        <v/>
      </c>
      <c r="AJ3910" s="17" t="str">
        <f t="shared" si="3"/>
        <v/>
      </c>
    </row>
    <row r="3911" spans="31:36">
      <c r="AE3911" s="15" t="str">
        <f t="shared" si="0"/>
        <v/>
      </c>
      <c r="AF3911" s="15" t="str">
        <f t="shared" si="1"/>
        <v/>
      </c>
      <c r="AG3911" s="15" t="str">
        <f>IF(OR(AF3911="",AF3911="ERRO_CHAVE"),"",IFERROR(MATCH(AF3911,'Quitados DUPP'!$U$1:$U$6635,0),""))</f>
        <v/>
      </c>
      <c r="AH3911" s="15" t="str">
        <f t="shared" si="2"/>
        <v/>
      </c>
      <c r="AI3911" s="17" t="str">
        <f>IF(AG3911="","",INDEX('Quitados DUPP'!$G$1:$G$6635,AG3911))</f>
        <v/>
      </c>
      <c r="AJ3911" s="17" t="str">
        <f t="shared" si="3"/>
        <v/>
      </c>
    </row>
    <row r="3912" spans="31:36">
      <c r="AE3912" s="15" t="str">
        <f t="shared" si="0"/>
        <v/>
      </c>
      <c r="AF3912" s="15" t="str">
        <f t="shared" si="1"/>
        <v/>
      </c>
      <c r="AG3912" s="15" t="str">
        <f>IF(OR(AF3912="",AF3912="ERRO_CHAVE"),"",IFERROR(MATCH(AF3912,'Quitados DUPP'!$U$1:$U$6635,0),""))</f>
        <v/>
      </c>
      <c r="AH3912" s="15" t="str">
        <f t="shared" si="2"/>
        <v/>
      </c>
      <c r="AI3912" s="17" t="str">
        <f>IF(AG3912="","",INDEX('Quitados DUPP'!$G$1:$G$6635,AG3912))</f>
        <v/>
      </c>
      <c r="AJ3912" s="17" t="str">
        <f t="shared" si="3"/>
        <v/>
      </c>
    </row>
    <row r="3913" spans="31:36">
      <c r="AE3913" s="15" t="str">
        <f t="shared" si="0"/>
        <v/>
      </c>
      <c r="AF3913" s="15" t="str">
        <f t="shared" si="1"/>
        <v/>
      </c>
      <c r="AG3913" s="15" t="str">
        <f>IF(OR(AF3913="",AF3913="ERRO_CHAVE"),"",IFERROR(MATCH(AF3913,'Quitados DUPP'!$U$1:$U$6635,0),""))</f>
        <v/>
      </c>
      <c r="AH3913" s="15" t="str">
        <f t="shared" si="2"/>
        <v/>
      </c>
      <c r="AI3913" s="17" t="str">
        <f>IF(AG3913="","",INDEX('Quitados DUPP'!$G$1:$G$6635,AG3913))</f>
        <v/>
      </c>
      <c r="AJ3913" s="17" t="str">
        <f t="shared" si="3"/>
        <v/>
      </c>
    </row>
    <row r="3914" spans="31:36">
      <c r="AE3914" s="15" t="str">
        <f t="shared" si="0"/>
        <v/>
      </c>
      <c r="AF3914" s="15" t="str">
        <f t="shared" si="1"/>
        <v/>
      </c>
      <c r="AG3914" s="15" t="str">
        <f>IF(OR(AF3914="",AF3914="ERRO_CHAVE"),"",IFERROR(MATCH(AF3914,'Quitados DUPP'!$U$1:$U$6635,0),""))</f>
        <v/>
      </c>
      <c r="AH3914" s="15" t="str">
        <f t="shared" si="2"/>
        <v/>
      </c>
      <c r="AI3914" s="17" t="str">
        <f>IF(AG3914="","",INDEX('Quitados DUPP'!$G$1:$G$6635,AG3914))</f>
        <v/>
      </c>
      <c r="AJ3914" s="17" t="str">
        <f t="shared" si="3"/>
        <v/>
      </c>
    </row>
    <row r="3915" spans="31:36">
      <c r="AE3915" s="15" t="str">
        <f t="shared" si="0"/>
        <v/>
      </c>
      <c r="AF3915" s="15" t="str">
        <f t="shared" si="1"/>
        <v/>
      </c>
      <c r="AG3915" s="15" t="str">
        <f>IF(OR(AF3915="",AF3915="ERRO_CHAVE"),"",IFERROR(MATCH(AF3915,'Quitados DUPP'!$U$1:$U$6635,0),""))</f>
        <v/>
      </c>
      <c r="AH3915" s="15" t="str">
        <f t="shared" si="2"/>
        <v/>
      </c>
      <c r="AI3915" s="17" t="str">
        <f>IF(AG3915="","",INDEX('Quitados DUPP'!$G$1:$G$6635,AG3915))</f>
        <v/>
      </c>
      <c r="AJ3915" s="17" t="str">
        <f t="shared" si="3"/>
        <v/>
      </c>
    </row>
    <row r="3916" spans="31:36">
      <c r="AE3916" s="15" t="str">
        <f t="shared" si="0"/>
        <v/>
      </c>
      <c r="AF3916" s="15" t="str">
        <f t="shared" si="1"/>
        <v/>
      </c>
      <c r="AG3916" s="15" t="str">
        <f>IF(OR(AF3916="",AF3916="ERRO_CHAVE"),"",IFERROR(MATCH(AF3916,'Quitados DUPP'!$U$1:$U$6635,0),""))</f>
        <v/>
      </c>
      <c r="AH3916" s="15" t="str">
        <f t="shared" si="2"/>
        <v/>
      </c>
      <c r="AI3916" s="17" t="str">
        <f>IF(AG3916="","",INDEX('Quitados DUPP'!$G$1:$G$6635,AG3916))</f>
        <v/>
      </c>
      <c r="AJ3916" s="17" t="str">
        <f t="shared" si="3"/>
        <v/>
      </c>
    </row>
    <row r="3917" spans="31:36">
      <c r="AE3917" s="15" t="str">
        <f t="shared" si="0"/>
        <v/>
      </c>
      <c r="AF3917" s="15" t="str">
        <f t="shared" si="1"/>
        <v/>
      </c>
      <c r="AG3917" s="15" t="str">
        <f>IF(OR(AF3917="",AF3917="ERRO_CHAVE"),"",IFERROR(MATCH(AF3917,'Quitados DUPP'!$U$1:$U$6635,0),""))</f>
        <v/>
      </c>
      <c r="AH3917" s="15" t="str">
        <f t="shared" si="2"/>
        <v/>
      </c>
      <c r="AI3917" s="17" t="str">
        <f>IF(AG3917="","",INDEX('Quitados DUPP'!$G$1:$G$6635,AG3917))</f>
        <v/>
      </c>
      <c r="AJ3917" s="17" t="str">
        <f t="shared" si="3"/>
        <v/>
      </c>
    </row>
    <row r="3918" spans="31:36">
      <c r="AE3918" s="15" t="str">
        <f t="shared" si="0"/>
        <v/>
      </c>
      <c r="AF3918" s="15" t="str">
        <f t="shared" si="1"/>
        <v/>
      </c>
      <c r="AG3918" s="15" t="str">
        <f>IF(OR(AF3918="",AF3918="ERRO_CHAVE"),"",IFERROR(MATCH(AF3918,'Quitados DUPP'!$U$1:$U$6635,0),""))</f>
        <v/>
      </c>
      <c r="AH3918" s="15" t="str">
        <f t="shared" si="2"/>
        <v/>
      </c>
      <c r="AI3918" s="17" t="str">
        <f>IF(AG3918="","",INDEX('Quitados DUPP'!$G$1:$G$6635,AG3918))</f>
        <v/>
      </c>
      <c r="AJ3918" s="17" t="str">
        <f t="shared" si="3"/>
        <v/>
      </c>
    </row>
    <row r="3919" spans="31:36">
      <c r="AE3919" s="15" t="str">
        <f t="shared" si="0"/>
        <v/>
      </c>
      <c r="AF3919" s="15" t="str">
        <f t="shared" si="1"/>
        <v/>
      </c>
      <c r="AG3919" s="15" t="str">
        <f>IF(OR(AF3919="",AF3919="ERRO_CHAVE"),"",IFERROR(MATCH(AF3919,'Quitados DUPP'!$U$1:$U$6635,0),""))</f>
        <v/>
      </c>
      <c r="AH3919" s="15" t="str">
        <f t="shared" si="2"/>
        <v/>
      </c>
      <c r="AI3919" s="17" t="str">
        <f>IF(AG3919="","",INDEX('Quitados DUPP'!$G$1:$G$6635,AG3919))</f>
        <v/>
      </c>
      <c r="AJ3919" s="17" t="str">
        <f t="shared" si="3"/>
        <v/>
      </c>
    </row>
    <row r="3920" spans="31:36">
      <c r="AE3920" s="15" t="str">
        <f t="shared" si="0"/>
        <v/>
      </c>
      <c r="AF3920" s="15" t="str">
        <f t="shared" si="1"/>
        <v/>
      </c>
      <c r="AG3920" s="15" t="str">
        <f>IF(OR(AF3920="",AF3920="ERRO_CHAVE"),"",IFERROR(MATCH(AF3920,'Quitados DUPP'!$U$1:$U$6635,0),""))</f>
        <v/>
      </c>
      <c r="AH3920" s="15" t="str">
        <f t="shared" si="2"/>
        <v/>
      </c>
      <c r="AI3920" s="17" t="str">
        <f>IF(AG3920="","",INDEX('Quitados DUPP'!$G$1:$G$6635,AG3920))</f>
        <v/>
      </c>
      <c r="AJ3920" s="17" t="str">
        <f t="shared" si="3"/>
        <v/>
      </c>
    </row>
    <row r="3921" spans="31:36">
      <c r="AE3921" s="15" t="str">
        <f t="shared" si="0"/>
        <v/>
      </c>
      <c r="AF3921" s="15" t="str">
        <f t="shared" si="1"/>
        <v/>
      </c>
      <c r="AG3921" s="15" t="str">
        <f>IF(OR(AF3921="",AF3921="ERRO_CHAVE"),"",IFERROR(MATCH(AF3921,'Quitados DUPP'!$U$1:$U$6635,0),""))</f>
        <v/>
      </c>
      <c r="AH3921" s="15" t="str">
        <f t="shared" si="2"/>
        <v/>
      </c>
      <c r="AI3921" s="17" t="str">
        <f>IF(AG3921="","",INDEX('Quitados DUPP'!$G$1:$G$6635,AG3921))</f>
        <v/>
      </c>
      <c r="AJ3921" s="17" t="str">
        <f t="shared" si="3"/>
        <v/>
      </c>
    </row>
    <row r="3922" spans="31:36">
      <c r="AE3922" s="15" t="str">
        <f t="shared" si="0"/>
        <v/>
      </c>
      <c r="AF3922" s="15" t="str">
        <f t="shared" si="1"/>
        <v/>
      </c>
      <c r="AG3922" s="15" t="str">
        <f>IF(OR(AF3922="",AF3922="ERRO_CHAVE"),"",IFERROR(MATCH(AF3922,'Quitados DUPP'!$U$1:$U$6635,0),""))</f>
        <v/>
      </c>
      <c r="AH3922" s="15" t="str">
        <f t="shared" si="2"/>
        <v/>
      </c>
      <c r="AI3922" s="17" t="str">
        <f>IF(AG3922="","",INDEX('Quitados DUPP'!$G$1:$G$6635,AG3922))</f>
        <v/>
      </c>
      <c r="AJ3922" s="17" t="str">
        <f t="shared" si="3"/>
        <v/>
      </c>
    </row>
    <row r="3923" spans="31:36">
      <c r="AE3923" s="15" t="str">
        <f t="shared" si="0"/>
        <v/>
      </c>
      <c r="AF3923" s="15" t="str">
        <f t="shared" si="1"/>
        <v/>
      </c>
      <c r="AG3923" s="15" t="str">
        <f>IF(OR(AF3923="",AF3923="ERRO_CHAVE"),"",IFERROR(MATCH(AF3923,'Quitados DUPP'!$U$1:$U$6635,0),""))</f>
        <v/>
      </c>
      <c r="AH3923" s="15" t="str">
        <f t="shared" si="2"/>
        <v/>
      </c>
      <c r="AI3923" s="17" t="str">
        <f>IF(AG3923="","",INDEX('Quitados DUPP'!$G$1:$G$6635,AG3923))</f>
        <v/>
      </c>
      <c r="AJ3923" s="17" t="str">
        <f t="shared" si="3"/>
        <v/>
      </c>
    </row>
    <row r="3924" spans="31:36">
      <c r="AE3924" s="15" t="str">
        <f t="shared" si="0"/>
        <v/>
      </c>
      <c r="AF3924" s="15" t="str">
        <f t="shared" si="1"/>
        <v/>
      </c>
      <c r="AG3924" s="15" t="str">
        <f>IF(OR(AF3924="",AF3924="ERRO_CHAVE"),"",IFERROR(MATCH(AF3924,'Quitados DUPP'!$U$1:$U$6635,0),""))</f>
        <v/>
      </c>
      <c r="AH3924" s="15" t="str">
        <f t="shared" si="2"/>
        <v/>
      </c>
      <c r="AI3924" s="17" t="str">
        <f>IF(AG3924="","",INDEX('Quitados DUPP'!$G$1:$G$6635,AG3924))</f>
        <v/>
      </c>
      <c r="AJ3924" s="17" t="str">
        <f t="shared" si="3"/>
        <v/>
      </c>
    </row>
    <row r="3925" spans="31:36">
      <c r="AE3925" s="15" t="str">
        <f t="shared" si="0"/>
        <v/>
      </c>
      <c r="AF3925" s="15" t="str">
        <f t="shared" si="1"/>
        <v/>
      </c>
      <c r="AG3925" s="15" t="str">
        <f>IF(OR(AF3925="",AF3925="ERRO_CHAVE"),"",IFERROR(MATCH(AF3925,'Quitados DUPP'!$U$1:$U$6635,0),""))</f>
        <v/>
      </c>
      <c r="AH3925" s="15" t="str">
        <f t="shared" si="2"/>
        <v/>
      </c>
      <c r="AI3925" s="17" t="str">
        <f>IF(AG3925="","",INDEX('Quitados DUPP'!$G$1:$G$6635,AG3925))</f>
        <v/>
      </c>
      <c r="AJ3925" s="17" t="str">
        <f t="shared" si="3"/>
        <v/>
      </c>
    </row>
    <row r="3926" spans="31:36">
      <c r="AE3926" s="15" t="str">
        <f t="shared" si="0"/>
        <v/>
      </c>
      <c r="AF3926" s="15" t="str">
        <f t="shared" si="1"/>
        <v/>
      </c>
      <c r="AG3926" s="15" t="str">
        <f>IF(OR(AF3926="",AF3926="ERRO_CHAVE"),"",IFERROR(MATCH(AF3926,'Quitados DUPP'!$U$1:$U$6635,0),""))</f>
        <v/>
      </c>
      <c r="AH3926" s="15" t="str">
        <f t="shared" si="2"/>
        <v/>
      </c>
      <c r="AI3926" s="17" t="str">
        <f>IF(AG3926="","",INDEX('Quitados DUPP'!$G$1:$G$6635,AG3926))</f>
        <v/>
      </c>
      <c r="AJ3926" s="17" t="str">
        <f t="shared" si="3"/>
        <v/>
      </c>
    </row>
    <row r="3927" spans="31:36">
      <c r="AE3927" s="15" t="str">
        <f t="shared" si="0"/>
        <v/>
      </c>
      <c r="AF3927" s="15" t="str">
        <f t="shared" si="1"/>
        <v/>
      </c>
      <c r="AG3927" s="15" t="str">
        <f>IF(OR(AF3927="",AF3927="ERRO_CHAVE"),"",IFERROR(MATCH(AF3927,'Quitados DUPP'!$U$1:$U$6635,0),""))</f>
        <v/>
      </c>
      <c r="AH3927" s="15" t="str">
        <f t="shared" si="2"/>
        <v/>
      </c>
      <c r="AI3927" s="17" t="str">
        <f>IF(AG3927="","",INDEX('Quitados DUPP'!$G$1:$G$6635,AG3927))</f>
        <v/>
      </c>
      <c r="AJ3927" s="17" t="str">
        <f t="shared" si="3"/>
        <v/>
      </c>
    </row>
    <row r="3928" spans="31:36">
      <c r="AE3928" s="15" t="str">
        <f t="shared" si="0"/>
        <v/>
      </c>
      <c r="AF3928" s="15" t="str">
        <f t="shared" si="1"/>
        <v/>
      </c>
      <c r="AG3928" s="15" t="str">
        <f>IF(OR(AF3928="",AF3928="ERRO_CHAVE"),"",IFERROR(MATCH(AF3928,'Quitados DUPP'!$U$1:$U$6635,0),""))</f>
        <v/>
      </c>
      <c r="AH3928" s="15" t="str">
        <f t="shared" si="2"/>
        <v/>
      </c>
      <c r="AI3928" s="17" t="str">
        <f>IF(AG3928="","",INDEX('Quitados DUPP'!$G$1:$G$6635,AG3928))</f>
        <v/>
      </c>
      <c r="AJ3928" s="17" t="str">
        <f t="shared" si="3"/>
        <v/>
      </c>
    </row>
    <row r="3929" spans="31:36">
      <c r="AE3929" s="15" t="str">
        <f t="shared" si="0"/>
        <v/>
      </c>
      <c r="AF3929" s="15" t="str">
        <f t="shared" si="1"/>
        <v/>
      </c>
      <c r="AG3929" s="15" t="str">
        <f>IF(OR(AF3929="",AF3929="ERRO_CHAVE"),"",IFERROR(MATCH(AF3929,'Quitados DUPP'!$U$1:$U$6635,0),""))</f>
        <v/>
      </c>
      <c r="AH3929" s="15" t="str">
        <f t="shared" si="2"/>
        <v/>
      </c>
      <c r="AI3929" s="17" t="str">
        <f>IF(AG3929="","",INDEX('Quitados DUPP'!$G$1:$G$6635,AG3929))</f>
        <v/>
      </c>
      <c r="AJ3929" s="17" t="str">
        <f t="shared" si="3"/>
        <v/>
      </c>
    </row>
    <row r="3930" spans="31:36">
      <c r="AE3930" s="15" t="str">
        <f t="shared" si="0"/>
        <v/>
      </c>
      <c r="AF3930" s="15" t="str">
        <f t="shared" si="1"/>
        <v/>
      </c>
      <c r="AG3930" s="15" t="str">
        <f>IF(OR(AF3930="",AF3930="ERRO_CHAVE"),"",IFERROR(MATCH(AF3930,'Quitados DUPP'!$U$1:$U$6635,0),""))</f>
        <v/>
      </c>
      <c r="AH3930" s="15" t="str">
        <f t="shared" si="2"/>
        <v/>
      </c>
      <c r="AI3930" s="17" t="str">
        <f>IF(AG3930="","",INDEX('Quitados DUPP'!$G$1:$G$6635,AG3930))</f>
        <v/>
      </c>
      <c r="AJ3930" s="17" t="str">
        <f t="shared" si="3"/>
        <v/>
      </c>
    </row>
    <row r="3931" spans="31:36">
      <c r="AE3931" s="15" t="str">
        <f t="shared" si="0"/>
        <v/>
      </c>
      <c r="AF3931" s="15" t="str">
        <f t="shared" si="1"/>
        <v/>
      </c>
      <c r="AG3931" s="15" t="str">
        <f>IF(OR(AF3931="",AF3931="ERRO_CHAVE"),"",IFERROR(MATCH(AF3931,'Quitados DUPP'!$U$1:$U$6635,0),""))</f>
        <v/>
      </c>
      <c r="AH3931" s="15" t="str">
        <f t="shared" si="2"/>
        <v/>
      </c>
      <c r="AI3931" s="17" t="str">
        <f>IF(AG3931="","",INDEX('Quitados DUPP'!$G$1:$G$6635,AG3931))</f>
        <v/>
      </c>
      <c r="AJ3931" s="17" t="str">
        <f t="shared" si="3"/>
        <v/>
      </c>
    </row>
    <row r="3932" spans="31:36">
      <c r="AE3932" s="15" t="str">
        <f t="shared" si="0"/>
        <v/>
      </c>
      <c r="AF3932" s="15" t="str">
        <f t="shared" si="1"/>
        <v/>
      </c>
      <c r="AG3932" s="15" t="str">
        <f>IF(OR(AF3932="",AF3932="ERRO_CHAVE"),"",IFERROR(MATCH(AF3932,'Quitados DUPP'!$U$1:$U$6635,0),""))</f>
        <v/>
      </c>
      <c r="AH3932" s="15" t="str">
        <f t="shared" si="2"/>
        <v/>
      </c>
      <c r="AI3932" s="17" t="str">
        <f>IF(AG3932="","",INDEX('Quitados DUPP'!$G$1:$G$6635,AG3932))</f>
        <v/>
      </c>
      <c r="AJ3932" s="17" t="str">
        <f t="shared" si="3"/>
        <v/>
      </c>
    </row>
    <row r="3933" spans="31:36">
      <c r="AE3933" s="15" t="str">
        <f t="shared" si="0"/>
        <v/>
      </c>
      <c r="AF3933" s="15" t="str">
        <f t="shared" si="1"/>
        <v/>
      </c>
      <c r="AG3933" s="15" t="str">
        <f>IF(OR(AF3933="",AF3933="ERRO_CHAVE"),"",IFERROR(MATCH(AF3933,'Quitados DUPP'!$U$1:$U$6635,0),""))</f>
        <v/>
      </c>
      <c r="AH3933" s="15" t="str">
        <f t="shared" si="2"/>
        <v/>
      </c>
      <c r="AI3933" s="17" t="str">
        <f>IF(AG3933="","",INDEX('Quitados DUPP'!$G$1:$G$6635,AG3933))</f>
        <v/>
      </c>
      <c r="AJ3933" s="17" t="str">
        <f t="shared" si="3"/>
        <v/>
      </c>
    </row>
    <row r="3934" spans="31:36">
      <c r="AE3934" s="15" t="str">
        <f t="shared" si="0"/>
        <v/>
      </c>
      <c r="AF3934" s="15" t="str">
        <f t="shared" si="1"/>
        <v/>
      </c>
      <c r="AG3934" s="15" t="str">
        <f>IF(OR(AF3934="",AF3934="ERRO_CHAVE"),"",IFERROR(MATCH(AF3934,'Quitados DUPP'!$U$1:$U$6635,0),""))</f>
        <v/>
      </c>
      <c r="AH3934" s="15" t="str">
        <f t="shared" si="2"/>
        <v/>
      </c>
      <c r="AI3934" s="17" t="str">
        <f>IF(AG3934="","",INDEX('Quitados DUPP'!$G$1:$G$6635,AG3934))</f>
        <v/>
      </c>
      <c r="AJ3934" s="17" t="str">
        <f t="shared" si="3"/>
        <v/>
      </c>
    </row>
    <row r="3935" spans="31:36">
      <c r="AE3935" s="15" t="str">
        <f t="shared" si="0"/>
        <v/>
      </c>
      <c r="AF3935" s="15" t="str">
        <f t="shared" si="1"/>
        <v/>
      </c>
      <c r="AG3935" s="15" t="str">
        <f>IF(OR(AF3935="",AF3935="ERRO_CHAVE"),"",IFERROR(MATCH(AF3935,'Quitados DUPP'!$U$1:$U$6635,0),""))</f>
        <v/>
      </c>
      <c r="AH3935" s="15" t="str">
        <f t="shared" si="2"/>
        <v/>
      </c>
      <c r="AI3935" s="17" t="str">
        <f>IF(AG3935="","",INDEX('Quitados DUPP'!$G$1:$G$6635,AG3935))</f>
        <v/>
      </c>
      <c r="AJ3935" s="17" t="str">
        <f t="shared" si="3"/>
        <v/>
      </c>
    </row>
    <row r="3936" spans="31:36">
      <c r="AE3936" s="15" t="str">
        <f t="shared" si="0"/>
        <v/>
      </c>
      <c r="AF3936" s="15" t="str">
        <f t="shared" si="1"/>
        <v/>
      </c>
      <c r="AG3936" s="15" t="str">
        <f>IF(OR(AF3936="",AF3936="ERRO_CHAVE"),"",IFERROR(MATCH(AF3936,'Quitados DUPP'!$U$1:$U$6635,0),""))</f>
        <v/>
      </c>
      <c r="AH3936" s="15" t="str">
        <f t="shared" si="2"/>
        <v/>
      </c>
      <c r="AI3936" s="17" t="str">
        <f>IF(AG3936="","",INDEX('Quitados DUPP'!$G$1:$G$6635,AG3936))</f>
        <v/>
      </c>
      <c r="AJ3936" s="17" t="str">
        <f t="shared" si="3"/>
        <v/>
      </c>
    </row>
    <row r="3937" spans="31:36">
      <c r="AE3937" s="15" t="str">
        <f t="shared" si="0"/>
        <v/>
      </c>
      <c r="AF3937" s="15" t="str">
        <f t="shared" si="1"/>
        <v/>
      </c>
      <c r="AG3937" s="15" t="str">
        <f>IF(OR(AF3937="",AF3937="ERRO_CHAVE"),"",IFERROR(MATCH(AF3937,'Quitados DUPP'!$U$1:$U$6635,0),""))</f>
        <v/>
      </c>
      <c r="AH3937" s="15" t="str">
        <f t="shared" si="2"/>
        <v/>
      </c>
      <c r="AI3937" s="17" t="str">
        <f>IF(AG3937="","",INDEX('Quitados DUPP'!$G$1:$G$6635,AG3937))</f>
        <v/>
      </c>
      <c r="AJ3937" s="17" t="str">
        <f t="shared" si="3"/>
        <v/>
      </c>
    </row>
    <row r="3938" spans="31:36">
      <c r="AE3938" s="15" t="str">
        <f t="shared" si="0"/>
        <v/>
      </c>
      <c r="AF3938" s="15" t="str">
        <f t="shared" si="1"/>
        <v/>
      </c>
      <c r="AG3938" s="15" t="str">
        <f>IF(OR(AF3938="",AF3938="ERRO_CHAVE"),"",IFERROR(MATCH(AF3938,'Quitados DUPP'!$U$1:$U$6635,0),""))</f>
        <v/>
      </c>
      <c r="AH3938" s="15" t="str">
        <f t="shared" si="2"/>
        <v/>
      </c>
      <c r="AI3938" s="17" t="str">
        <f>IF(AG3938="","",INDEX('Quitados DUPP'!$G$1:$G$6635,AG3938))</f>
        <v/>
      </c>
      <c r="AJ3938" s="17" t="str">
        <f t="shared" si="3"/>
        <v/>
      </c>
    </row>
    <row r="3939" spans="31:36">
      <c r="AE3939" s="15" t="str">
        <f t="shared" si="0"/>
        <v/>
      </c>
      <c r="AF3939" s="15" t="str">
        <f t="shared" si="1"/>
        <v/>
      </c>
      <c r="AG3939" s="15" t="str">
        <f>IF(OR(AF3939="",AF3939="ERRO_CHAVE"),"",IFERROR(MATCH(AF3939,'Quitados DUPP'!$U$1:$U$6635,0),""))</f>
        <v/>
      </c>
      <c r="AH3939" s="15" t="str">
        <f t="shared" si="2"/>
        <v/>
      </c>
      <c r="AI3939" s="17" t="str">
        <f>IF(AG3939="","",INDEX('Quitados DUPP'!$G$1:$G$6635,AG3939))</f>
        <v/>
      </c>
      <c r="AJ3939" s="17" t="str">
        <f t="shared" si="3"/>
        <v/>
      </c>
    </row>
    <row r="3940" spans="31:36">
      <c r="AE3940" s="15" t="str">
        <f t="shared" si="0"/>
        <v/>
      </c>
      <c r="AF3940" s="15" t="str">
        <f t="shared" si="1"/>
        <v/>
      </c>
      <c r="AG3940" s="15" t="str">
        <f>IF(OR(AF3940="",AF3940="ERRO_CHAVE"),"",IFERROR(MATCH(AF3940,'Quitados DUPP'!$U$1:$U$6635,0),""))</f>
        <v/>
      </c>
      <c r="AH3940" s="15" t="str">
        <f t="shared" si="2"/>
        <v/>
      </c>
      <c r="AI3940" s="17" t="str">
        <f>IF(AG3940="","",INDEX('Quitados DUPP'!$G$1:$G$6635,AG3940))</f>
        <v/>
      </c>
      <c r="AJ3940" s="17" t="str">
        <f t="shared" si="3"/>
        <v/>
      </c>
    </row>
    <row r="3941" spans="31:36">
      <c r="AE3941" s="15" t="str">
        <f t="shared" si="0"/>
        <v/>
      </c>
      <c r="AF3941" s="15" t="str">
        <f t="shared" si="1"/>
        <v/>
      </c>
      <c r="AG3941" s="15" t="str">
        <f>IF(OR(AF3941="",AF3941="ERRO_CHAVE"),"",IFERROR(MATCH(AF3941,'Quitados DUPP'!$U$1:$U$6635,0),""))</f>
        <v/>
      </c>
      <c r="AH3941" s="15" t="str">
        <f t="shared" si="2"/>
        <v/>
      </c>
      <c r="AI3941" s="17" t="str">
        <f>IF(AG3941="","",INDEX('Quitados DUPP'!$G$1:$G$6635,AG3941))</f>
        <v/>
      </c>
      <c r="AJ3941" s="17" t="str">
        <f t="shared" si="3"/>
        <v/>
      </c>
    </row>
    <row r="3942" spans="31:36">
      <c r="AE3942" s="15" t="str">
        <f t="shared" si="0"/>
        <v/>
      </c>
      <c r="AF3942" s="15" t="str">
        <f t="shared" si="1"/>
        <v/>
      </c>
      <c r="AG3942" s="15" t="str">
        <f>IF(OR(AF3942="",AF3942="ERRO_CHAVE"),"",IFERROR(MATCH(AF3942,'Quitados DUPP'!$U$1:$U$6635,0),""))</f>
        <v/>
      </c>
      <c r="AH3942" s="15" t="str">
        <f t="shared" si="2"/>
        <v/>
      </c>
      <c r="AI3942" s="17" t="str">
        <f>IF(AG3942="","",INDEX('Quitados DUPP'!$G$1:$G$6635,AG3942))</f>
        <v/>
      </c>
      <c r="AJ3942" s="17" t="str">
        <f t="shared" si="3"/>
        <v/>
      </c>
    </row>
    <row r="3943" spans="31:36">
      <c r="AE3943" s="15" t="str">
        <f t="shared" si="0"/>
        <v/>
      </c>
      <c r="AF3943" s="15" t="str">
        <f t="shared" si="1"/>
        <v/>
      </c>
      <c r="AG3943" s="15" t="str">
        <f>IF(OR(AF3943="",AF3943="ERRO_CHAVE"),"",IFERROR(MATCH(AF3943,'Quitados DUPP'!$U$1:$U$6635,0),""))</f>
        <v/>
      </c>
      <c r="AH3943" s="15" t="str">
        <f t="shared" si="2"/>
        <v/>
      </c>
      <c r="AI3943" s="17" t="str">
        <f>IF(AG3943="","",INDEX('Quitados DUPP'!$G$1:$G$6635,AG3943))</f>
        <v/>
      </c>
      <c r="AJ3943" s="17" t="str">
        <f t="shared" si="3"/>
        <v/>
      </c>
    </row>
    <row r="3944" spans="31:36">
      <c r="AE3944" s="15" t="str">
        <f t="shared" si="0"/>
        <v/>
      </c>
      <c r="AF3944" s="15" t="str">
        <f t="shared" si="1"/>
        <v/>
      </c>
      <c r="AG3944" s="15" t="str">
        <f>IF(OR(AF3944="",AF3944="ERRO_CHAVE"),"",IFERROR(MATCH(AF3944,'Quitados DUPP'!$U$1:$U$6635,0),""))</f>
        <v/>
      </c>
      <c r="AH3944" s="15" t="str">
        <f t="shared" si="2"/>
        <v/>
      </c>
      <c r="AI3944" s="17" t="str">
        <f>IF(AG3944="","",INDEX('Quitados DUPP'!$G$1:$G$6635,AG3944))</f>
        <v/>
      </c>
      <c r="AJ3944" s="17" t="str">
        <f t="shared" si="3"/>
        <v/>
      </c>
    </row>
    <row r="3945" spans="31:36">
      <c r="AE3945" s="15" t="str">
        <f t="shared" si="0"/>
        <v/>
      </c>
      <c r="AF3945" s="15" t="str">
        <f t="shared" si="1"/>
        <v/>
      </c>
      <c r="AG3945" s="15" t="str">
        <f>IF(OR(AF3945="",AF3945="ERRO_CHAVE"),"",IFERROR(MATCH(AF3945,'Quitados DUPP'!$U$1:$U$6635,0),""))</f>
        <v/>
      </c>
      <c r="AH3945" s="15" t="str">
        <f t="shared" si="2"/>
        <v/>
      </c>
      <c r="AI3945" s="17" t="str">
        <f>IF(AG3945="","",INDEX('Quitados DUPP'!$G$1:$G$6635,AG3945))</f>
        <v/>
      </c>
      <c r="AJ3945" s="17" t="str">
        <f t="shared" si="3"/>
        <v/>
      </c>
    </row>
    <row r="3946" spans="31:36">
      <c r="AE3946" s="15" t="str">
        <f t="shared" si="0"/>
        <v/>
      </c>
      <c r="AF3946" s="15" t="str">
        <f t="shared" si="1"/>
        <v/>
      </c>
      <c r="AG3946" s="15" t="str">
        <f>IF(OR(AF3946="",AF3946="ERRO_CHAVE"),"",IFERROR(MATCH(AF3946,'Quitados DUPP'!$U$1:$U$6635,0),""))</f>
        <v/>
      </c>
      <c r="AH3946" s="15" t="str">
        <f t="shared" si="2"/>
        <v/>
      </c>
      <c r="AI3946" s="17" t="str">
        <f>IF(AG3946="","",INDEX('Quitados DUPP'!$G$1:$G$6635,AG3946))</f>
        <v/>
      </c>
      <c r="AJ3946" s="17" t="str">
        <f t="shared" si="3"/>
        <v/>
      </c>
    </row>
    <row r="3947" spans="31:36">
      <c r="AE3947" s="15" t="str">
        <f t="shared" si="0"/>
        <v/>
      </c>
      <c r="AF3947" s="15" t="str">
        <f t="shared" si="1"/>
        <v/>
      </c>
      <c r="AG3947" s="15" t="str">
        <f>IF(OR(AF3947="",AF3947="ERRO_CHAVE"),"",IFERROR(MATCH(AF3947,'Quitados DUPP'!$U$1:$U$6635,0),""))</f>
        <v/>
      </c>
      <c r="AH3947" s="15" t="str">
        <f t="shared" si="2"/>
        <v/>
      </c>
      <c r="AI3947" s="17" t="str">
        <f>IF(AG3947="","",INDEX('Quitados DUPP'!$G$1:$G$6635,AG3947))</f>
        <v/>
      </c>
      <c r="AJ3947" s="17" t="str">
        <f t="shared" si="3"/>
        <v/>
      </c>
    </row>
    <row r="3948" spans="31:36">
      <c r="AE3948" s="15" t="str">
        <f t="shared" si="0"/>
        <v/>
      </c>
      <c r="AF3948" s="15" t="str">
        <f t="shared" si="1"/>
        <v/>
      </c>
      <c r="AG3948" s="15" t="str">
        <f>IF(OR(AF3948="",AF3948="ERRO_CHAVE"),"",IFERROR(MATCH(AF3948,'Quitados DUPP'!$U$1:$U$6635,0),""))</f>
        <v/>
      </c>
      <c r="AH3948" s="15" t="str">
        <f t="shared" si="2"/>
        <v/>
      </c>
      <c r="AI3948" s="17" t="str">
        <f>IF(AG3948="","",INDEX('Quitados DUPP'!$G$1:$G$6635,AG3948))</f>
        <v/>
      </c>
      <c r="AJ3948" s="17" t="str">
        <f t="shared" si="3"/>
        <v/>
      </c>
    </row>
    <row r="3949" spans="31:36">
      <c r="AE3949" s="15" t="str">
        <f t="shared" si="0"/>
        <v/>
      </c>
      <c r="AF3949" s="15" t="str">
        <f t="shared" si="1"/>
        <v/>
      </c>
      <c r="AG3949" s="15" t="str">
        <f>IF(OR(AF3949="",AF3949="ERRO_CHAVE"),"",IFERROR(MATCH(AF3949,'Quitados DUPP'!$U$1:$U$6635,0),""))</f>
        <v/>
      </c>
      <c r="AH3949" s="15" t="str">
        <f t="shared" si="2"/>
        <v/>
      </c>
      <c r="AI3949" s="17" t="str">
        <f>IF(AG3949="","",INDEX('Quitados DUPP'!$G$1:$G$6635,AG3949))</f>
        <v/>
      </c>
      <c r="AJ3949" s="17" t="str">
        <f t="shared" si="3"/>
        <v/>
      </c>
    </row>
    <row r="3950" spans="31:36">
      <c r="AE3950" s="15" t="str">
        <f t="shared" si="0"/>
        <v/>
      </c>
      <c r="AF3950" s="15" t="str">
        <f t="shared" si="1"/>
        <v/>
      </c>
      <c r="AG3950" s="15" t="str">
        <f>IF(OR(AF3950="",AF3950="ERRO_CHAVE"),"",IFERROR(MATCH(AF3950,'Quitados DUPP'!$U$1:$U$6635,0),""))</f>
        <v/>
      </c>
      <c r="AH3950" s="15" t="str">
        <f t="shared" si="2"/>
        <v/>
      </c>
      <c r="AI3950" s="17" t="str">
        <f>IF(AG3950="","",INDEX('Quitados DUPP'!$G$1:$G$6635,AG3950))</f>
        <v/>
      </c>
      <c r="AJ3950" s="17" t="str">
        <f t="shared" si="3"/>
        <v/>
      </c>
    </row>
    <row r="3951" spans="31:36">
      <c r="AE3951" s="15" t="str">
        <f t="shared" si="0"/>
        <v/>
      </c>
      <c r="AF3951" s="15" t="str">
        <f t="shared" si="1"/>
        <v/>
      </c>
      <c r="AG3951" s="15" t="str">
        <f>IF(OR(AF3951="",AF3951="ERRO_CHAVE"),"",IFERROR(MATCH(AF3951,'Quitados DUPP'!$U$1:$U$6635,0),""))</f>
        <v/>
      </c>
      <c r="AH3951" s="15" t="str">
        <f t="shared" si="2"/>
        <v/>
      </c>
      <c r="AI3951" s="17" t="str">
        <f>IF(AG3951="","",INDEX('Quitados DUPP'!$G$1:$G$6635,AG3951))</f>
        <v/>
      </c>
      <c r="AJ3951" s="17" t="str">
        <f t="shared" si="3"/>
        <v/>
      </c>
    </row>
    <row r="3952" spans="31:36">
      <c r="AE3952" s="15" t="str">
        <f t="shared" si="0"/>
        <v/>
      </c>
      <c r="AF3952" s="15" t="str">
        <f t="shared" si="1"/>
        <v/>
      </c>
      <c r="AG3952" s="15" t="str">
        <f>IF(OR(AF3952="",AF3952="ERRO_CHAVE"),"",IFERROR(MATCH(AF3952,'Quitados DUPP'!$U$1:$U$6635,0),""))</f>
        <v/>
      </c>
      <c r="AH3952" s="15" t="str">
        <f t="shared" si="2"/>
        <v/>
      </c>
      <c r="AI3952" s="17" t="str">
        <f>IF(AG3952="","",INDEX('Quitados DUPP'!$G$1:$G$6635,AG3952))</f>
        <v/>
      </c>
      <c r="AJ3952" s="17" t="str">
        <f t="shared" si="3"/>
        <v/>
      </c>
    </row>
    <row r="3953" spans="31:36">
      <c r="AE3953" s="15" t="str">
        <f t="shared" si="0"/>
        <v/>
      </c>
      <c r="AF3953" s="15" t="str">
        <f t="shared" si="1"/>
        <v/>
      </c>
      <c r="AG3953" s="15" t="str">
        <f>IF(OR(AF3953="",AF3953="ERRO_CHAVE"),"",IFERROR(MATCH(AF3953,'Quitados DUPP'!$U$1:$U$6635,0),""))</f>
        <v/>
      </c>
      <c r="AH3953" s="15" t="str">
        <f t="shared" si="2"/>
        <v/>
      </c>
      <c r="AI3953" s="17" t="str">
        <f>IF(AG3953="","",INDEX('Quitados DUPP'!$G$1:$G$6635,AG3953))</f>
        <v/>
      </c>
      <c r="AJ3953" s="17" t="str">
        <f t="shared" si="3"/>
        <v/>
      </c>
    </row>
    <row r="3954" spans="31:36">
      <c r="AE3954" s="15" t="str">
        <f t="shared" si="0"/>
        <v/>
      </c>
      <c r="AF3954" s="15" t="str">
        <f t="shared" si="1"/>
        <v/>
      </c>
      <c r="AG3954" s="15" t="str">
        <f>IF(OR(AF3954="",AF3954="ERRO_CHAVE"),"",IFERROR(MATCH(AF3954,'Quitados DUPP'!$U$1:$U$6635,0),""))</f>
        <v/>
      </c>
      <c r="AH3954" s="15" t="str">
        <f t="shared" si="2"/>
        <v/>
      </c>
      <c r="AI3954" s="17" t="str">
        <f>IF(AG3954="","",INDEX('Quitados DUPP'!$G$1:$G$6635,AG3954))</f>
        <v/>
      </c>
      <c r="AJ3954" s="17" t="str">
        <f t="shared" si="3"/>
        <v/>
      </c>
    </row>
    <row r="3955" spans="31:36">
      <c r="AE3955" s="15" t="str">
        <f t="shared" si="0"/>
        <v/>
      </c>
      <c r="AF3955" s="15" t="str">
        <f t="shared" si="1"/>
        <v/>
      </c>
      <c r="AG3955" s="15" t="str">
        <f>IF(OR(AF3955="",AF3955="ERRO_CHAVE"),"",IFERROR(MATCH(AF3955,'Quitados DUPP'!$U$1:$U$6635,0),""))</f>
        <v/>
      </c>
      <c r="AH3955" s="15" t="str">
        <f t="shared" si="2"/>
        <v/>
      </c>
      <c r="AI3955" s="17" t="str">
        <f>IF(AG3955="","",INDEX('Quitados DUPP'!$G$1:$G$6635,AG3955))</f>
        <v/>
      </c>
      <c r="AJ3955" s="17" t="str">
        <f t="shared" si="3"/>
        <v/>
      </c>
    </row>
    <row r="3956" spans="31:36">
      <c r="AE3956" s="15" t="str">
        <f t="shared" si="0"/>
        <v/>
      </c>
      <c r="AF3956" s="15" t="str">
        <f t="shared" si="1"/>
        <v/>
      </c>
      <c r="AG3956" s="15" t="str">
        <f>IF(OR(AF3956="",AF3956="ERRO_CHAVE"),"",IFERROR(MATCH(AF3956,'Quitados DUPP'!$U$1:$U$6635,0),""))</f>
        <v/>
      </c>
      <c r="AH3956" s="15" t="str">
        <f t="shared" si="2"/>
        <v/>
      </c>
      <c r="AI3956" s="17" t="str">
        <f>IF(AG3956="","",INDEX('Quitados DUPP'!$G$1:$G$6635,AG3956))</f>
        <v/>
      </c>
      <c r="AJ3956" s="17" t="str">
        <f t="shared" si="3"/>
        <v/>
      </c>
    </row>
    <row r="3957" spans="31:36">
      <c r="AE3957" s="15" t="str">
        <f t="shared" si="0"/>
        <v/>
      </c>
      <c r="AF3957" s="15" t="str">
        <f t="shared" si="1"/>
        <v/>
      </c>
      <c r="AG3957" s="15" t="str">
        <f>IF(OR(AF3957="",AF3957="ERRO_CHAVE"),"",IFERROR(MATCH(AF3957,'Quitados DUPP'!$U$1:$U$6635,0),""))</f>
        <v/>
      </c>
      <c r="AH3957" s="15" t="str">
        <f t="shared" si="2"/>
        <v/>
      </c>
      <c r="AI3957" s="17" t="str">
        <f>IF(AG3957="","",INDEX('Quitados DUPP'!$G$1:$G$6635,AG3957))</f>
        <v/>
      </c>
      <c r="AJ3957" s="17" t="str">
        <f t="shared" si="3"/>
        <v/>
      </c>
    </row>
    <row r="3958" spans="31:36">
      <c r="AE3958" s="15" t="str">
        <f t="shared" si="0"/>
        <v/>
      </c>
      <c r="AF3958" s="15" t="str">
        <f t="shared" si="1"/>
        <v/>
      </c>
      <c r="AG3958" s="15" t="str">
        <f>IF(OR(AF3958="",AF3958="ERRO_CHAVE"),"",IFERROR(MATCH(AF3958,'Quitados DUPP'!$U$1:$U$6635,0),""))</f>
        <v/>
      </c>
      <c r="AH3958" s="15" t="str">
        <f t="shared" si="2"/>
        <v/>
      </c>
      <c r="AI3958" s="17" t="str">
        <f>IF(AG3958="","",INDEX('Quitados DUPP'!$G$1:$G$6635,AG3958))</f>
        <v/>
      </c>
      <c r="AJ3958" s="17" t="str">
        <f t="shared" si="3"/>
        <v/>
      </c>
    </row>
    <row r="3959" spans="31:36">
      <c r="AE3959" s="15" t="str">
        <f t="shared" si="0"/>
        <v/>
      </c>
      <c r="AF3959" s="15" t="str">
        <f t="shared" si="1"/>
        <v/>
      </c>
      <c r="AG3959" s="15" t="str">
        <f>IF(OR(AF3959="",AF3959="ERRO_CHAVE"),"",IFERROR(MATCH(AF3959,'Quitados DUPP'!$U$1:$U$6635,0),""))</f>
        <v/>
      </c>
      <c r="AH3959" s="15" t="str">
        <f t="shared" si="2"/>
        <v/>
      </c>
      <c r="AI3959" s="17" t="str">
        <f>IF(AG3959="","",INDEX('Quitados DUPP'!$G$1:$G$6635,AG3959))</f>
        <v/>
      </c>
      <c r="AJ3959" s="17" t="str">
        <f t="shared" si="3"/>
        <v/>
      </c>
    </row>
    <row r="3960" spans="31:36">
      <c r="AE3960" s="15" t="str">
        <f t="shared" si="0"/>
        <v/>
      </c>
      <c r="AF3960" s="15" t="str">
        <f t="shared" si="1"/>
        <v/>
      </c>
      <c r="AG3960" s="15" t="str">
        <f>IF(OR(AF3960="",AF3960="ERRO_CHAVE"),"",IFERROR(MATCH(AF3960,'Quitados DUPP'!$U$1:$U$6635,0),""))</f>
        <v/>
      </c>
      <c r="AH3960" s="15" t="str">
        <f t="shared" si="2"/>
        <v/>
      </c>
      <c r="AI3960" s="17" t="str">
        <f>IF(AG3960="","",INDEX('Quitados DUPP'!$G$1:$G$6635,AG3960))</f>
        <v/>
      </c>
      <c r="AJ3960" s="17" t="str">
        <f t="shared" si="3"/>
        <v/>
      </c>
    </row>
    <row r="3961" spans="31:36">
      <c r="AE3961" s="15" t="str">
        <f t="shared" si="0"/>
        <v/>
      </c>
      <c r="AF3961" s="15" t="str">
        <f t="shared" si="1"/>
        <v/>
      </c>
      <c r="AG3961" s="15" t="str">
        <f>IF(OR(AF3961="",AF3961="ERRO_CHAVE"),"",IFERROR(MATCH(AF3961,'Quitados DUPP'!$U$1:$U$6635,0),""))</f>
        <v/>
      </c>
      <c r="AH3961" s="15" t="str">
        <f t="shared" si="2"/>
        <v/>
      </c>
      <c r="AI3961" s="17" t="str">
        <f>IF(AG3961="","",INDEX('Quitados DUPP'!$G$1:$G$6635,AG3961))</f>
        <v/>
      </c>
      <c r="AJ3961" s="17" t="str">
        <f t="shared" si="3"/>
        <v/>
      </c>
    </row>
    <row r="3962" spans="31:36">
      <c r="AE3962" s="15" t="str">
        <f t="shared" si="0"/>
        <v/>
      </c>
      <c r="AF3962" s="15" t="str">
        <f t="shared" si="1"/>
        <v/>
      </c>
      <c r="AG3962" s="15" t="str">
        <f>IF(OR(AF3962="",AF3962="ERRO_CHAVE"),"",IFERROR(MATCH(AF3962,'Quitados DUPP'!$U$1:$U$6635,0),""))</f>
        <v/>
      </c>
      <c r="AH3962" s="15" t="str">
        <f t="shared" si="2"/>
        <v/>
      </c>
      <c r="AI3962" s="17" t="str">
        <f>IF(AG3962="","",INDEX('Quitados DUPP'!$G$1:$G$6635,AG3962))</f>
        <v/>
      </c>
      <c r="AJ3962" s="17" t="str">
        <f t="shared" si="3"/>
        <v/>
      </c>
    </row>
    <row r="3963" spans="31:36">
      <c r="AE3963" s="15" t="str">
        <f t="shared" si="0"/>
        <v/>
      </c>
      <c r="AF3963" s="15" t="str">
        <f t="shared" si="1"/>
        <v/>
      </c>
      <c r="AG3963" s="15" t="str">
        <f>IF(OR(AF3963="",AF3963="ERRO_CHAVE"),"",IFERROR(MATCH(AF3963,'Quitados DUPP'!$U$1:$U$6635,0),""))</f>
        <v/>
      </c>
      <c r="AH3963" s="15" t="str">
        <f t="shared" si="2"/>
        <v/>
      </c>
      <c r="AI3963" s="17" t="str">
        <f>IF(AG3963="","",INDEX('Quitados DUPP'!$G$1:$G$6635,AG3963))</f>
        <v/>
      </c>
      <c r="AJ3963" s="17" t="str">
        <f t="shared" si="3"/>
        <v/>
      </c>
    </row>
    <row r="3964" spans="31:36">
      <c r="AE3964" s="15" t="str">
        <f t="shared" si="0"/>
        <v/>
      </c>
      <c r="AF3964" s="15" t="str">
        <f t="shared" si="1"/>
        <v/>
      </c>
      <c r="AG3964" s="15" t="str">
        <f>IF(OR(AF3964="",AF3964="ERRO_CHAVE"),"",IFERROR(MATCH(AF3964,'Quitados DUPP'!$U$1:$U$6635,0),""))</f>
        <v/>
      </c>
      <c r="AH3964" s="15" t="str">
        <f t="shared" si="2"/>
        <v/>
      </c>
      <c r="AI3964" s="17" t="str">
        <f>IF(AG3964="","",INDEX('Quitados DUPP'!$G$1:$G$6635,AG3964))</f>
        <v/>
      </c>
      <c r="AJ3964" s="17" t="str">
        <f t="shared" si="3"/>
        <v/>
      </c>
    </row>
    <row r="3965" spans="31:36">
      <c r="AE3965" s="15" t="str">
        <f t="shared" si="0"/>
        <v/>
      </c>
      <c r="AF3965" s="15" t="str">
        <f t="shared" si="1"/>
        <v/>
      </c>
      <c r="AG3965" s="15" t="str">
        <f>IF(OR(AF3965="",AF3965="ERRO_CHAVE"),"",IFERROR(MATCH(AF3965,'Quitados DUPP'!$U$1:$U$6635,0),""))</f>
        <v/>
      </c>
      <c r="AH3965" s="15" t="str">
        <f t="shared" si="2"/>
        <v/>
      </c>
      <c r="AI3965" s="17" t="str">
        <f>IF(AG3965="","",INDEX('Quitados DUPP'!$G$1:$G$6635,AG3965))</f>
        <v/>
      </c>
      <c r="AJ3965" s="17" t="str">
        <f t="shared" si="3"/>
        <v/>
      </c>
    </row>
    <row r="3966" spans="31:36">
      <c r="AE3966" s="15" t="str">
        <f t="shared" si="0"/>
        <v/>
      </c>
      <c r="AF3966" s="15" t="str">
        <f t="shared" si="1"/>
        <v/>
      </c>
      <c r="AG3966" s="15" t="str">
        <f>IF(OR(AF3966="",AF3966="ERRO_CHAVE"),"",IFERROR(MATCH(AF3966,'Quitados DUPP'!$U$1:$U$6635,0),""))</f>
        <v/>
      </c>
      <c r="AH3966" s="15" t="str">
        <f t="shared" si="2"/>
        <v/>
      </c>
      <c r="AI3966" s="17" t="str">
        <f>IF(AG3966="","",INDEX('Quitados DUPP'!$G$1:$G$6635,AG3966))</f>
        <v/>
      </c>
      <c r="AJ3966" s="17" t="str">
        <f t="shared" si="3"/>
        <v/>
      </c>
    </row>
    <row r="3967" spans="31:36">
      <c r="AE3967" s="15" t="str">
        <f t="shared" si="0"/>
        <v/>
      </c>
      <c r="AF3967" s="15" t="str">
        <f t="shared" si="1"/>
        <v/>
      </c>
      <c r="AG3967" s="15" t="str">
        <f>IF(OR(AF3967="",AF3967="ERRO_CHAVE"),"",IFERROR(MATCH(AF3967,'Quitados DUPP'!$U$1:$U$6635,0),""))</f>
        <v/>
      </c>
      <c r="AH3967" s="15" t="str">
        <f t="shared" si="2"/>
        <v/>
      </c>
      <c r="AI3967" s="17" t="str">
        <f>IF(AG3967="","",INDEX('Quitados DUPP'!$G$1:$G$6635,AG3967))</f>
        <v/>
      </c>
      <c r="AJ3967" s="17" t="str">
        <f t="shared" si="3"/>
        <v/>
      </c>
    </row>
    <row r="3968" spans="31:36">
      <c r="AE3968" s="15" t="str">
        <f t="shared" si="0"/>
        <v/>
      </c>
      <c r="AF3968" s="15" t="str">
        <f t="shared" si="1"/>
        <v/>
      </c>
      <c r="AG3968" s="15" t="str">
        <f>IF(OR(AF3968="",AF3968="ERRO_CHAVE"),"",IFERROR(MATCH(AF3968,'Quitados DUPP'!$U$1:$U$6635,0),""))</f>
        <v/>
      </c>
      <c r="AH3968" s="15" t="str">
        <f t="shared" si="2"/>
        <v/>
      </c>
      <c r="AI3968" s="17" t="str">
        <f>IF(AG3968="","",INDEX('Quitados DUPP'!$G$1:$G$6635,AG3968))</f>
        <v/>
      </c>
      <c r="AJ3968" s="17" t="str">
        <f t="shared" si="3"/>
        <v/>
      </c>
    </row>
    <row r="3969" spans="31:36">
      <c r="AE3969" s="15" t="str">
        <f t="shared" si="0"/>
        <v/>
      </c>
      <c r="AF3969" s="15" t="str">
        <f t="shared" si="1"/>
        <v/>
      </c>
      <c r="AG3969" s="15" t="str">
        <f>IF(OR(AF3969="",AF3969="ERRO_CHAVE"),"",IFERROR(MATCH(AF3969,'Quitados DUPP'!$U$1:$U$6635,0),""))</f>
        <v/>
      </c>
      <c r="AH3969" s="15" t="str">
        <f t="shared" si="2"/>
        <v/>
      </c>
      <c r="AI3969" s="17" t="str">
        <f>IF(AG3969="","",INDEX('Quitados DUPP'!$G$1:$G$6635,AG3969))</f>
        <v/>
      </c>
      <c r="AJ3969" s="17" t="str">
        <f t="shared" si="3"/>
        <v/>
      </c>
    </row>
    <row r="3970" spans="31:36">
      <c r="AE3970" s="15" t="str">
        <f t="shared" si="0"/>
        <v/>
      </c>
      <c r="AF3970" s="15" t="str">
        <f t="shared" si="1"/>
        <v/>
      </c>
      <c r="AG3970" s="15" t="str">
        <f>IF(OR(AF3970="",AF3970="ERRO_CHAVE"),"",IFERROR(MATCH(AF3970,'Quitados DUPP'!$U$1:$U$6635,0),""))</f>
        <v/>
      </c>
      <c r="AH3970" s="15" t="str">
        <f t="shared" si="2"/>
        <v/>
      </c>
      <c r="AI3970" s="17" t="str">
        <f>IF(AG3970="","",INDEX('Quitados DUPP'!$G$1:$G$6635,AG3970))</f>
        <v/>
      </c>
      <c r="AJ3970" s="17" t="str">
        <f t="shared" si="3"/>
        <v/>
      </c>
    </row>
    <row r="3971" spans="31:36">
      <c r="AE3971" s="15" t="str">
        <f t="shared" si="0"/>
        <v/>
      </c>
      <c r="AF3971" s="15" t="str">
        <f t="shared" si="1"/>
        <v/>
      </c>
      <c r="AG3971" s="15" t="str">
        <f>IF(OR(AF3971="",AF3971="ERRO_CHAVE"),"",IFERROR(MATCH(AF3971,'Quitados DUPP'!$U$1:$U$6635,0),""))</f>
        <v/>
      </c>
      <c r="AH3971" s="15" t="str">
        <f t="shared" si="2"/>
        <v/>
      </c>
      <c r="AI3971" s="17" t="str">
        <f>IF(AG3971="","",INDEX('Quitados DUPP'!$G$1:$G$6635,AG3971))</f>
        <v/>
      </c>
      <c r="AJ3971" s="17" t="str">
        <f t="shared" si="3"/>
        <v/>
      </c>
    </row>
    <row r="3972" spans="31:36">
      <c r="AE3972" s="15" t="str">
        <f t="shared" si="0"/>
        <v/>
      </c>
      <c r="AF3972" s="15" t="str">
        <f t="shared" si="1"/>
        <v/>
      </c>
      <c r="AG3972" s="15" t="str">
        <f>IF(OR(AF3972="",AF3972="ERRO_CHAVE"),"",IFERROR(MATCH(AF3972,'Quitados DUPP'!$U$1:$U$6635,0),""))</f>
        <v/>
      </c>
      <c r="AH3972" s="15" t="str">
        <f t="shared" si="2"/>
        <v/>
      </c>
      <c r="AI3972" s="17" t="str">
        <f>IF(AG3972="","",INDEX('Quitados DUPP'!$G$1:$G$6635,AG3972))</f>
        <v/>
      </c>
      <c r="AJ3972" s="17" t="str">
        <f t="shared" si="3"/>
        <v/>
      </c>
    </row>
    <row r="3973" spans="31:36">
      <c r="AE3973" s="15" t="str">
        <f t="shared" si="0"/>
        <v/>
      </c>
      <c r="AF3973" s="15" t="str">
        <f t="shared" si="1"/>
        <v/>
      </c>
      <c r="AG3973" s="15" t="str">
        <f>IF(OR(AF3973="",AF3973="ERRO_CHAVE"),"",IFERROR(MATCH(AF3973,'Quitados DUPP'!$U$1:$U$6635,0),""))</f>
        <v/>
      </c>
      <c r="AH3973" s="15" t="str">
        <f t="shared" si="2"/>
        <v/>
      </c>
      <c r="AI3973" s="17" t="str">
        <f>IF(AG3973="","",INDEX('Quitados DUPP'!$G$1:$G$6635,AG3973))</f>
        <v/>
      </c>
      <c r="AJ3973" s="17" t="str">
        <f t="shared" si="3"/>
        <v/>
      </c>
    </row>
    <row r="3974" spans="31:36">
      <c r="AE3974" s="15" t="str">
        <f t="shared" si="0"/>
        <v/>
      </c>
      <c r="AF3974" s="15" t="str">
        <f t="shared" si="1"/>
        <v/>
      </c>
      <c r="AG3974" s="15" t="str">
        <f>IF(OR(AF3974="",AF3974="ERRO_CHAVE"),"",IFERROR(MATCH(AF3974,'Quitados DUPP'!$U$1:$U$6635,0),""))</f>
        <v/>
      </c>
      <c r="AH3974" s="15" t="str">
        <f t="shared" si="2"/>
        <v/>
      </c>
      <c r="AI3974" s="17" t="str">
        <f>IF(AG3974="","",INDEX('Quitados DUPP'!$G$1:$G$6635,AG3974))</f>
        <v/>
      </c>
      <c r="AJ3974" s="17" t="str">
        <f t="shared" si="3"/>
        <v/>
      </c>
    </row>
    <row r="3975" spans="31:36">
      <c r="AE3975" s="15" t="str">
        <f t="shared" si="0"/>
        <v/>
      </c>
      <c r="AF3975" s="15" t="str">
        <f t="shared" si="1"/>
        <v/>
      </c>
      <c r="AG3975" s="15" t="str">
        <f>IF(OR(AF3975="",AF3975="ERRO_CHAVE"),"",IFERROR(MATCH(AF3975,'Quitados DUPP'!$U$1:$U$6635,0),""))</f>
        <v/>
      </c>
      <c r="AH3975" s="15" t="str">
        <f t="shared" si="2"/>
        <v/>
      </c>
      <c r="AI3975" s="17" t="str">
        <f>IF(AG3975="","",INDEX('Quitados DUPP'!$G$1:$G$6635,AG3975))</f>
        <v/>
      </c>
      <c r="AJ3975" s="17" t="str">
        <f t="shared" si="3"/>
        <v/>
      </c>
    </row>
    <row r="3976" spans="31:36">
      <c r="AE3976" s="15" t="str">
        <f t="shared" si="0"/>
        <v/>
      </c>
      <c r="AF3976" s="15" t="str">
        <f t="shared" si="1"/>
        <v/>
      </c>
      <c r="AG3976" s="15" t="str">
        <f>IF(OR(AF3976="",AF3976="ERRO_CHAVE"),"",IFERROR(MATCH(AF3976,'Quitados DUPP'!$U$1:$U$6635,0),""))</f>
        <v/>
      </c>
      <c r="AH3976" s="15" t="str">
        <f t="shared" si="2"/>
        <v/>
      </c>
      <c r="AI3976" s="17" t="str">
        <f>IF(AG3976="","",INDEX('Quitados DUPP'!$G$1:$G$6635,AG3976))</f>
        <v/>
      </c>
      <c r="AJ3976" s="17" t="str">
        <f t="shared" si="3"/>
        <v/>
      </c>
    </row>
    <row r="3977" spans="31:36">
      <c r="AE3977" s="15" t="str">
        <f t="shared" si="0"/>
        <v/>
      </c>
      <c r="AF3977" s="15" t="str">
        <f t="shared" si="1"/>
        <v/>
      </c>
      <c r="AG3977" s="15" t="str">
        <f>IF(OR(AF3977="",AF3977="ERRO_CHAVE"),"",IFERROR(MATCH(AF3977,'Quitados DUPP'!$U$1:$U$6635,0),""))</f>
        <v/>
      </c>
      <c r="AH3977" s="15" t="str">
        <f t="shared" si="2"/>
        <v/>
      </c>
      <c r="AI3977" s="17" t="str">
        <f>IF(AG3977="","",INDEX('Quitados DUPP'!$G$1:$G$6635,AG3977))</f>
        <v/>
      </c>
      <c r="AJ3977" s="17" t="str">
        <f t="shared" si="3"/>
        <v/>
      </c>
    </row>
    <row r="3978" spans="31:36">
      <c r="AE3978" s="15" t="str">
        <f t="shared" si="0"/>
        <v/>
      </c>
      <c r="AF3978" s="15" t="str">
        <f t="shared" si="1"/>
        <v/>
      </c>
      <c r="AG3978" s="15" t="str">
        <f>IF(OR(AF3978="",AF3978="ERRO_CHAVE"),"",IFERROR(MATCH(AF3978,'Quitados DUPP'!$U$1:$U$6635,0),""))</f>
        <v/>
      </c>
      <c r="AH3978" s="15" t="str">
        <f t="shared" si="2"/>
        <v/>
      </c>
      <c r="AI3978" s="17" t="str">
        <f>IF(AG3978="","",INDEX('Quitados DUPP'!$G$1:$G$6635,AG3978))</f>
        <v/>
      </c>
      <c r="AJ3978" s="17" t="str">
        <f t="shared" si="3"/>
        <v/>
      </c>
    </row>
    <row r="3979" spans="31:36">
      <c r="AE3979" s="15" t="str">
        <f t="shared" si="0"/>
        <v/>
      </c>
      <c r="AF3979" s="15" t="str">
        <f t="shared" si="1"/>
        <v/>
      </c>
      <c r="AG3979" s="15" t="str">
        <f>IF(OR(AF3979="",AF3979="ERRO_CHAVE"),"",IFERROR(MATCH(AF3979,'Quitados DUPP'!$U$1:$U$6635,0),""))</f>
        <v/>
      </c>
      <c r="AH3979" s="15" t="str">
        <f t="shared" si="2"/>
        <v/>
      </c>
      <c r="AI3979" s="17" t="str">
        <f>IF(AG3979="","",INDEX('Quitados DUPP'!$G$1:$G$6635,AG3979))</f>
        <v/>
      </c>
      <c r="AJ3979" s="17" t="str">
        <f t="shared" si="3"/>
        <v/>
      </c>
    </row>
    <row r="3980" spans="31:36">
      <c r="AE3980" s="15" t="str">
        <f t="shared" si="0"/>
        <v/>
      </c>
      <c r="AF3980" s="15" t="str">
        <f t="shared" si="1"/>
        <v/>
      </c>
      <c r="AG3980" s="15" t="str">
        <f>IF(OR(AF3980="",AF3980="ERRO_CHAVE"),"",IFERROR(MATCH(AF3980,'Quitados DUPP'!$U$1:$U$6635,0),""))</f>
        <v/>
      </c>
      <c r="AH3980" s="15" t="str">
        <f t="shared" si="2"/>
        <v/>
      </c>
      <c r="AI3980" s="17" t="str">
        <f>IF(AG3980="","",INDEX('Quitados DUPP'!$G$1:$G$6635,AG3980))</f>
        <v/>
      </c>
      <c r="AJ3980" s="17" t="str">
        <f t="shared" si="3"/>
        <v/>
      </c>
    </row>
    <row r="3981" spans="31:36">
      <c r="AE3981" s="15" t="str">
        <f t="shared" si="0"/>
        <v/>
      </c>
      <c r="AF3981" s="15" t="str">
        <f t="shared" si="1"/>
        <v/>
      </c>
      <c r="AG3981" s="15" t="str">
        <f>IF(OR(AF3981="",AF3981="ERRO_CHAVE"),"",IFERROR(MATCH(AF3981,'Quitados DUPP'!$U$1:$U$6635,0),""))</f>
        <v/>
      </c>
      <c r="AH3981" s="15" t="str">
        <f t="shared" si="2"/>
        <v/>
      </c>
      <c r="AI3981" s="17" t="str">
        <f>IF(AG3981="","",INDEX('Quitados DUPP'!$G$1:$G$6635,AG3981))</f>
        <v/>
      </c>
      <c r="AJ3981" s="17" t="str">
        <f t="shared" si="3"/>
        <v/>
      </c>
    </row>
    <row r="3982" spans="31:36">
      <c r="AE3982" s="15" t="str">
        <f t="shared" si="0"/>
        <v/>
      </c>
      <c r="AF3982" s="15" t="str">
        <f t="shared" si="1"/>
        <v/>
      </c>
      <c r="AG3982" s="15" t="str">
        <f>IF(OR(AF3982="",AF3982="ERRO_CHAVE"),"",IFERROR(MATCH(AF3982,'Quitados DUPP'!$U$1:$U$6635,0),""))</f>
        <v/>
      </c>
      <c r="AH3982" s="15" t="str">
        <f t="shared" si="2"/>
        <v/>
      </c>
      <c r="AI3982" s="17" t="str">
        <f>IF(AG3982="","",INDEX('Quitados DUPP'!$G$1:$G$6635,AG3982))</f>
        <v/>
      </c>
      <c r="AJ3982" s="17" t="str">
        <f t="shared" si="3"/>
        <v/>
      </c>
    </row>
    <row r="3983" spans="31:36">
      <c r="AE3983" s="15" t="str">
        <f t="shared" si="0"/>
        <v/>
      </c>
      <c r="AF3983" s="15" t="str">
        <f t="shared" si="1"/>
        <v/>
      </c>
      <c r="AG3983" s="15" t="str">
        <f>IF(OR(AF3983="",AF3983="ERRO_CHAVE"),"",IFERROR(MATCH(AF3983,'Quitados DUPP'!$U$1:$U$6635,0),""))</f>
        <v/>
      </c>
      <c r="AH3983" s="15" t="str">
        <f t="shared" si="2"/>
        <v/>
      </c>
      <c r="AI3983" s="17" t="str">
        <f>IF(AG3983="","",INDEX('Quitados DUPP'!$G$1:$G$6635,AG3983))</f>
        <v/>
      </c>
      <c r="AJ3983" s="17" t="str">
        <f t="shared" si="3"/>
        <v/>
      </c>
    </row>
    <row r="3984" spans="31:36">
      <c r="AE3984" s="15" t="str">
        <f t="shared" si="0"/>
        <v/>
      </c>
      <c r="AF3984" s="15" t="str">
        <f t="shared" si="1"/>
        <v/>
      </c>
      <c r="AG3984" s="15" t="str">
        <f>IF(OR(AF3984="",AF3984="ERRO_CHAVE"),"",IFERROR(MATCH(AF3984,'Quitados DUPP'!$U$1:$U$6635,0),""))</f>
        <v/>
      </c>
      <c r="AH3984" s="15" t="str">
        <f t="shared" si="2"/>
        <v/>
      </c>
      <c r="AI3984" s="17" t="str">
        <f>IF(AG3984="","",INDEX('Quitados DUPP'!$G$1:$G$6635,AG3984))</f>
        <v/>
      </c>
      <c r="AJ3984" s="17" t="str">
        <f t="shared" si="3"/>
        <v/>
      </c>
    </row>
    <row r="3985" spans="31:36">
      <c r="AE3985" s="15" t="str">
        <f t="shared" si="0"/>
        <v/>
      </c>
      <c r="AF3985" s="15" t="str">
        <f t="shared" si="1"/>
        <v/>
      </c>
      <c r="AG3985" s="15" t="str">
        <f>IF(OR(AF3985="",AF3985="ERRO_CHAVE"),"",IFERROR(MATCH(AF3985,'Quitados DUPP'!$U$1:$U$6635,0),""))</f>
        <v/>
      </c>
      <c r="AH3985" s="15" t="str">
        <f t="shared" si="2"/>
        <v/>
      </c>
      <c r="AI3985" s="17" t="str">
        <f>IF(AG3985="","",INDEX('Quitados DUPP'!$G$1:$G$6635,AG3985))</f>
        <v/>
      </c>
      <c r="AJ3985" s="17" t="str">
        <f t="shared" si="3"/>
        <v/>
      </c>
    </row>
    <row r="3986" spans="31:36">
      <c r="AE3986" s="15" t="str">
        <f t="shared" si="0"/>
        <v/>
      </c>
      <c r="AF3986" s="15" t="str">
        <f t="shared" si="1"/>
        <v/>
      </c>
      <c r="AG3986" s="15" t="str">
        <f>IF(OR(AF3986="",AF3986="ERRO_CHAVE"),"",IFERROR(MATCH(AF3986,'Quitados DUPP'!$U$1:$U$6635,0),""))</f>
        <v/>
      </c>
      <c r="AH3986" s="15" t="str">
        <f t="shared" si="2"/>
        <v/>
      </c>
      <c r="AI3986" s="17" t="str">
        <f>IF(AG3986="","",INDEX('Quitados DUPP'!$G$1:$G$6635,AG3986))</f>
        <v/>
      </c>
      <c r="AJ3986" s="17" t="str">
        <f t="shared" si="3"/>
        <v/>
      </c>
    </row>
    <row r="3987" spans="31:36">
      <c r="AE3987" s="15" t="str">
        <f t="shared" si="0"/>
        <v/>
      </c>
      <c r="AF3987" s="15" t="str">
        <f t="shared" si="1"/>
        <v/>
      </c>
      <c r="AG3987" s="15" t="str">
        <f>IF(OR(AF3987="",AF3987="ERRO_CHAVE"),"",IFERROR(MATCH(AF3987,'Quitados DUPP'!$U$1:$U$6635,0),""))</f>
        <v/>
      </c>
      <c r="AH3987" s="15" t="str">
        <f t="shared" si="2"/>
        <v/>
      </c>
      <c r="AI3987" s="17" t="str">
        <f>IF(AG3987="","",INDEX('Quitados DUPP'!$G$1:$G$6635,AG3987))</f>
        <v/>
      </c>
      <c r="AJ3987" s="17" t="str">
        <f t="shared" si="3"/>
        <v/>
      </c>
    </row>
    <row r="3988" spans="31:36">
      <c r="AE3988" s="15" t="str">
        <f t="shared" si="0"/>
        <v/>
      </c>
      <c r="AF3988" s="15" t="str">
        <f t="shared" si="1"/>
        <v/>
      </c>
      <c r="AG3988" s="15" t="str">
        <f>IF(OR(AF3988="",AF3988="ERRO_CHAVE"),"",IFERROR(MATCH(AF3988,'Quitados DUPP'!$U$1:$U$6635,0),""))</f>
        <v/>
      </c>
      <c r="AH3988" s="15" t="str">
        <f t="shared" si="2"/>
        <v/>
      </c>
      <c r="AI3988" s="17" t="str">
        <f>IF(AG3988="","",INDEX('Quitados DUPP'!$G$1:$G$6635,AG3988))</f>
        <v/>
      </c>
      <c r="AJ3988" s="17" t="str">
        <f t="shared" si="3"/>
        <v/>
      </c>
    </row>
    <row r="3989" spans="31:36">
      <c r="AE3989" s="15" t="str">
        <f t="shared" si="0"/>
        <v/>
      </c>
      <c r="AF3989" s="15" t="str">
        <f t="shared" si="1"/>
        <v/>
      </c>
      <c r="AG3989" s="15" t="str">
        <f>IF(OR(AF3989="",AF3989="ERRO_CHAVE"),"",IFERROR(MATCH(AF3989,'Quitados DUPP'!$U$1:$U$6635,0),""))</f>
        <v/>
      </c>
      <c r="AH3989" s="15" t="str">
        <f t="shared" si="2"/>
        <v/>
      </c>
      <c r="AI3989" s="17" t="str">
        <f>IF(AG3989="","",INDEX('Quitados DUPP'!$G$1:$G$6635,AG3989))</f>
        <v/>
      </c>
      <c r="AJ3989" s="17" t="str">
        <f t="shared" si="3"/>
        <v/>
      </c>
    </row>
    <row r="3990" spans="31:36">
      <c r="AE3990" s="15" t="str">
        <f t="shared" si="0"/>
        <v/>
      </c>
      <c r="AF3990" s="15" t="str">
        <f t="shared" si="1"/>
        <v/>
      </c>
      <c r="AG3990" s="15" t="str">
        <f>IF(OR(AF3990="",AF3990="ERRO_CHAVE"),"",IFERROR(MATCH(AF3990,'Quitados DUPP'!$U$1:$U$6635,0),""))</f>
        <v/>
      </c>
      <c r="AH3990" s="15" t="str">
        <f t="shared" si="2"/>
        <v/>
      </c>
      <c r="AI3990" s="17" t="str">
        <f>IF(AG3990="","",INDEX('Quitados DUPP'!$G$1:$G$6635,AG3990))</f>
        <v/>
      </c>
      <c r="AJ3990" s="17" t="str">
        <f t="shared" si="3"/>
        <v/>
      </c>
    </row>
    <row r="3991" spans="31:36">
      <c r="AE3991" s="15" t="str">
        <f t="shared" si="0"/>
        <v/>
      </c>
      <c r="AF3991" s="15" t="str">
        <f t="shared" si="1"/>
        <v/>
      </c>
      <c r="AG3991" s="15" t="str">
        <f>IF(OR(AF3991="",AF3991="ERRO_CHAVE"),"",IFERROR(MATCH(AF3991,'Quitados DUPP'!$U$1:$U$6635,0),""))</f>
        <v/>
      </c>
      <c r="AH3991" s="15" t="str">
        <f t="shared" si="2"/>
        <v/>
      </c>
      <c r="AI3991" s="17" t="str">
        <f>IF(AG3991="","",INDEX('Quitados DUPP'!$G$1:$G$6635,AG3991))</f>
        <v/>
      </c>
      <c r="AJ3991" s="17" t="str">
        <f t="shared" si="3"/>
        <v/>
      </c>
    </row>
    <row r="3992" spans="31:36">
      <c r="AE3992" s="15" t="str">
        <f t="shared" si="0"/>
        <v/>
      </c>
      <c r="AF3992" s="15" t="str">
        <f t="shared" si="1"/>
        <v/>
      </c>
      <c r="AG3992" s="15" t="str">
        <f>IF(OR(AF3992="",AF3992="ERRO_CHAVE"),"",IFERROR(MATCH(AF3992,'Quitados DUPP'!$U$1:$U$6635,0),""))</f>
        <v/>
      </c>
      <c r="AH3992" s="15" t="str">
        <f t="shared" si="2"/>
        <v/>
      </c>
      <c r="AI3992" s="17" t="str">
        <f>IF(AG3992="","",INDEX('Quitados DUPP'!$G$1:$G$6635,AG3992))</f>
        <v/>
      </c>
      <c r="AJ3992" s="17" t="str">
        <f t="shared" si="3"/>
        <v/>
      </c>
    </row>
    <row r="3993" spans="31:36">
      <c r="AE3993" s="15" t="str">
        <f t="shared" si="0"/>
        <v/>
      </c>
      <c r="AF3993" s="15" t="str">
        <f t="shared" si="1"/>
        <v/>
      </c>
      <c r="AG3993" s="15" t="str">
        <f>IF(OR(AF3993="",AF3993="ERRO_CHAVE"),"",IFERROR(MATCH(AF3993,'Quitados DUPP'!$U$1:$U$6635,0),""))</f>
        <v/>
      </c>
      <c r="AH3993" s="15" t="str">
        <f t="shared" si="2"/>
        <v/>
      </c>
      <c r="AI3993" s="17" t="str">
        <f>IF(AG3993="","",INDEX('Quitados DUPP'!$G$1:$G$6635,AG3993))</f>
        <v/>
      </c>
      <c r="AJ3993" s="17" t="str">
        <f t="shared" si="3"/>
        <v/>
      </c>
    </row>
    <row r="3994" spans="31:36">
      <c r="AE3994" s="15" t="str">
        <f t="shared" si="0"/>
        <v/>
      </c>
      <c r="AF3994" s="15" t="str">
        <f t="shared" si="1"/>
        <v/>
      </c>
      <c r="AG3994" s="15" t="str">
        <f>IF(OR(AF3994="",AF3994="ERRO_CHAVE"),"",IFERROR(MATCH(AF3994,'Quitados DUPP'!$U$1:$U$6635,0),""))</f>
        <v/>
      </c>
      <c r="AH3994" s="15" t="str">
        <f t="shared" si="2"/>
        <v/>
      </c>
      <c r="AI3994" s="17" t="str">
        <f>IF(AG3994="","",INDEX('Quitados DUPP'!$G$1:$G$6635,AG3994))</f>
        <v/>
      </c>
      <c r="AJ3994" s="17" t="str">
        <f t="shared" si="3"/>
        <v/>
      </c>
    </row>
    <row r="3995" spans="31:36">
      <c r="AE3995" s="15" t="str">
        <f t="shared" si="0"/>
        <v/>
      </c>
      <c r="AF3995" s="15" t="str">
        <f t="shared" si="1"/>
        <v/>
      </c>
      <c r="AG3995" s="15" t="str">
        <f>IF(OR(AF3995="",AF3995="ERRO_CHAVE"),"",IFERROR(MATCH(AF3995,'Quitados DUPP'!$U$1:$U$6635,0),""))</f>
        <v/>
      </c>
      <c r="AH3995" s="15" t="str">
        <f t="shared" si="2"/>
        <v/>
      </c>
      <c r="AI3995" s="17" t="str">
        <f>IF(AG3995="","",INDEX('Quitados DUPP'!$G$1:$G$6635,AG3995))</f>
        <v/>
      </c>
      <c r="AJ3995" s="17" t="str">
        <f t="shared" si="3"/>
        <v/>
      </c>
    </row>
    <row r="3996" spans="31:36">
      <c r="AE3996" s="15" t="str">
        <f t="shared" si="0"/>
        <v/>
      </c>
      <c r="AF3996" s="15" t="str">
        <f t="shared" si="1"/>
        <v/>
      </c>
      <c r="AG3996" s="15" t="str">
        <f>IF(OR(AF3996="",AF3996="ERRO_CHAVE"),"",IFERROR(MATCH(AF3996,'Quitados DUPP'!$U$1:$U$6635,0),""))</f>
        <v/>
      </c>
      <c r="AH3996" s="15" t="str">
        <f t="shared" si="2"/>
        <v/>
      </c>
      <c r="AI3996" s="17" t="str">
        <f>IF(AG3996="","",INDEX('Quitados DUPP'!$G$1:$G$6635,AG3996))</f>
        <v/>
      </c>
      <c r="AJ3996" s="17" t="str">
        <f t="shared" si="3"/>
        <v/>
      </c>
    </row>
    <row r="3997" spans="31:36">
      <c r="AE3997" s="15" t="str">
        <f t="shared" si="0"/>
        <v/>
      </c>
      <c r="AF3997" s="15" t="str">
        <f t="shared" si="1"/>
        <v/>
      </c>
      <c r="AG3997" s="15" t="str">
        <f>IF(OR(AF3997="",AF3997="ERRO_CHAVE"),"",IFERROR(MATCH(AF3997,'Quitados DUPP'!$U$1:$U$6635,0),""))</f>
        <v/>
      </c>
      <c r="AH3997" s="15" t="str">
        <f t="shared" si="2"/>
        <v/>
      </c>
      <c r="AI3997" s="17" t="str">
        <f>IF(AG3997="","",INDEX('Quitados DUPP'!$G$1:$G$6635,AG3997))</f>
        <v/>
      </c>
      <c r="AJ3997" s="17" t="str">
        <f t="shared" si="3"/>
        <v/>
      </c>
    </row>
    <row r="3998" spans="31:36">
      <c r="AE3998" s="15" t="str">
        <f t="shared" si="0"/>
        <v/>
      </c>
      <c r="AF3998" s="15" t="str">
        <f t="shared" si="1"/>
        <v/>
      </c>
      <c r="AG3998" s="15" t="str">
        <f>IF(OR(AF3998="",AF3998="ERRO_CHAVE"),"",IFERROR(MATCH(AF3998,'Quitados DUPP'!$U$1:$U$6635,0),""))</f>
        <v/>
      </c>
      <c r="AH3998" s="15" t="str">
        <f t="shared" si="2"/>
        <v/>
      </c>
      <c r="AI3998" s="17" t="str">
        <f>IF(AG3998="","",INDEX('Quitados DUPP'!$G$1:$G$6635,AG3998))</f>
        <v/>
      </c>
      <c r="AJ3998" s="17" t="str">
        <f t="shared" si="3"/>
        <v/>
      </c>
    </row>
    <row r="3999" spans="31:36">
      <c r="AE3999" s="15" t="str">
        <f t="shared" si="0"/>
        <v/>
      </c>
      <c r="AF3999" s="15" t="str">
        <f t="shared" si="1"/>
        <v/>
      </c>
      <c r="AG3999" s="15" t="str">
        <f>IF(OR(AF3999="",AF3999="ERRO_CHAVE"),"",IFERROR(MATCH(AF3999,'Quitados DUPP'!$U$1:$U$6635,0),""))</f>
        <v/>
      </c>
      <c r="AH3999" s="15" t="str">
        <f t="shared" si="2"/>
        <v/>
      </c>
      <c r="AI3999" s="17" t="str">
        <f>IF(AG3999="","",INDEX('Quitados DUPP'!$G$1:$G$6635,AG3999))</f>
        <v/>
      </c>
      <c r="AJ3999" s="17" t="str">
        <f t="shared" si="3"/>
        <v/>
      </c>
    </row>
    <row r="4000" spans="31:36">
      <c r="AE4000" s="15" t="str">
        <f t="shared" si="0"/>
        <v/>
      </c>
      <c r="AF4000" s="15" t="str">
        <f t="shared" si="1"/>
        <v/>
      </c>
      <c r="AG4000" s="15" t="str">
        <f>IF(OR(AF4000="",AF4000="ERRO_CHAVE"),"",IFERROR(MATCH(AF4000,'Quitados DUPP'!$U$1:$U$6635,0),""))</f>
        <v/>
      </c>
      <c r="AH4000" s="15" t="str">
        <f t="shared" si="2"/>
        <v/>
      </c>
      <c r="AI4000" s="17" t="str">
        <f>IF(AG4000="","",INDEX('Quitados DUPP'!$G$1:$G$6635,AG4000))</f>
        <v/>
      </c>
      <c r="AJ4000" s="17" t="str">
        <f t="shared" si="3"/>
        <v/>
      </c>
    </row>
    <row r="4001" spans="31:36">
      <c r="AE4001" s="15" t="str">
        <f t="shared" si="0"/>
        <v/>
      </c>
      <c r="AF4001" s="15" t="str">
        <f t="shared" si="1"/>
        <v/>
      </c>
      <c r="AG4001" s="15" t="str">
        <f>IF(OR(AF4001="",AF4001="ERRO_CHAVE"),"",IFERROR(MATCH(AF4001,'Quitados DUPP'!$U$1:$U$6635,0),""))</f>
        <v/>
      </c>
      <c r="AH4001" s="15" t="str">
        <f t="shared" si="2"/>
        <v/>
      </c>
      <c r="AI4001" s="17" t="str">
        <f>IF(AG4001="","",INDEX('Quitados DUPP'!$G$1:$G$6635,AG4001))</f>
        <v/>
      </c>
      <c r="AJ4001" s="17" t="str">
        <f t="shared" si="3"/>
        <v/>
      </c>
    </row>
    <row r="4002" spans="31:36">
      <c r="AE4002" s="15" t="str">
        <f t="shared" si="0"/>
        <v/>
      </c>
      <c r="AF4002" s="15" t="str">
        <f t="shared" si="1"/>
        <v/>
      </c>
      <c r="AG4002" s="15" t="str">
        <f>IF(OR(AF4002="",AF4002="ERRO_CHAVE"),"",IFERROR(MATCH(AF4002,'Quitados DUPP'!$U$1:$U$6635,0),""))</f>
        <v/>
      </c>
      <c r="AH4002" s="15" t="str">
        <f t="shared" si="2"/>
        <v/>
      </c>
      <c r="AI4002" s="17" t="str">
        <f>IF(AG4002="","",INDEX('Quitados DUPP'!$G$1:$G$6635,AG4002))</f>
        <v/>
      </c>
      <c r="AJ4002" s="17" t="str">
        <f t="shared" si="3"/>
        <v/>
      </c>
    </row>
    <row r="4003" spans="31:36">
      <c r="AE4003" s="15" t="str">
        <f t="shared" si="0"/>
        <v/>
      </c>
      <c r="AF4003" s="15" t="str">
        <f t="shared" si="1"/>
        <v/>
      </c>
      <c r="AG4003" s="15" t="str">
        <f>IF(OR(AF4003="",AF4003="ERRO_CHAVE"),"",IFERROR(MATCH(AF4003,'Quitados DUPP'!$U$1:$U$6635,0),""))</f>
        <v/>
      </c>
      <c r="AH4003" s="15" t="str">
        <f t="shared" si="2"/>
        <v/>
      </c>
      <c r="AI4003" s="17" t="str">
        <f>IF(AG4003="","",INDEX('Quitados DUPP'!$G$1:$G$6635,AG4003))</f>
        <v/>
      </c>
      <c r="AJ4003" s="17" t="str">
        <f t="shared" si="3"/>
        <v/>
      </c>
    </row>
    <row r="4004" spans="31:36">
      <c r="AE4004" s="15" t="str">
        <f t="shared" si="0"/>
        <v/>
      </c>
      <c r="AF4004" s="15" t="str">
        <f t="shared" si="1"/>
        <v/>
      </c>
      <c r="AG4004" s="15" t="str">
        <f>IF(OR(AF4004="",AF4004="ERRO_CHAVE"),"",IFERROR(MATCH(AF4004,'Quitados DUPP'!$U$1:$U$6635,0),""))</f>
        <v/>
      </c>
      <c r="AH4004" s="15" t="str">
        <f t="shared" si="2"/>
        <v/>
      </c>
      <c r="AI4004" s="17" t="str">
        <f>IF(AG4004="","",INDEX('Quitados DUPP'!$G$1:$G$6635,AG4004))</f>
        <v/>
      </c>
      <c r="AJ4004" s="17" t="str">
        <f t="shared" si="3"/>
        <v/>
      </c>
    </row>
    <row r="4005" spans="31:36">
      <c r="AE4005" s="15" t="str">
        <f t="shared" si="0"/>
        <v/>
      </c>
      <c r="AF4005" s="15" t="str">
        <f t="shared" si="1"/>
        <v/>
      </c>
      <c r="AG4005" s="15" t="str">
        <f>IF(OR(AF4005="",AF4005="ERRO_CHAVE"),"",IFERROR(MATCH(AF4005,'Quitados DUPP'!$U$1:$U$6635,0),""))</f>
        <v/>
      </c>
      <c r="AH4005" s="15" t="str">
        <f t="shared" si="2"/>
        <v/>
      </c>
      <c r="AI4005" s="17" t="str">
        <f>IF(AG4005="","",INDEX('Quitados DUPP'!$G$1:$G$6635,AG4005))</f>
        <v/>
      </c>
      <c r="AJ4005" s="17" t="str">
        <f t="shared" si="3"/>
        <v/>
      </c>
    </row>
    <row r="4006" spans="31:36">
      <c r="AE4006" s="15" t="str">
        <f t="shared" si="0"/>
        <v/>
      </c>
      <c r="AF4006" s="15" t="str">
        <f t="shared" si="1"/>
        <v/>
      </c>
      <c r="AG4006" s="15" t="str">
        <f>IF(OR(AF4006="",AF4006="ERRO_CHAVE"),"",IFERROR(MATCH(AF4006,'Quitados DUPP'!$U$1:$U$6635,0),""))</f>
        <v/>
      </c>
      <c r="AH4006" s="15" t="str">
        <f t="shared" si="2"/>
        <v/>
      </c>
      <c r="AI4006" s="17" t="str">
        <f>IF(AG4006="","",INDEX('Quitados DUPP'!$G$1:$G$6635,AG4006))</f>
        <v/>
      </c>
      <c r="AJ4006" s="17" t="str">
        <f t="shared" si="3"/>
        <v/>
      </c>
    </row>
    <row r="4007" spans="31:36">
      <c r="AE4007" s="15" t="str">
        <f t="shared" si="0"/>
        <v/>
      </c>
      <c r="AF4007" s="15" t="str">
        <f t="shared" si="1"/>
        <v/>
      </c>
      <c r="AG4007" s="15" t="str">
        <f>IF(OR(AF4007="",AF4007="ERRO_CHAVE"),"",IFERROR(MATCH(AF4007,'Quitados DUPP'!$U$1:$U$6635,0),""))</f>
        <v/>
      </c>
      <c r="AH4007" s="15" t="str">
        <f t="shared" si="2"/>
        <v/>
      </c>
      <c r="AI4007" s="17" t="str">
        <f>IF(AG4007="","",INDEX('Quitados DUPP'!$G$1:$G$6635,AG4007))</f>
        <v/>
      </c>
      <c r="AJ4007" s="17" t="str">
        <f t="shared" si="3"/>
        <v/>
      </c>
    </row>
    <row r="4008" spans="31:36">
      <c r="AE4008" s="15" t="str">
        <f t="shared" si="0"/>
        <v/>
      </c>
      <c r="AF4008" s="15" t="str">
        <f t="shared" si="1"/>
        <v/>
      </c>
      <c r="AG4008" s="15" t="str">
        <f>IF(OR(AF4008="",AF4008="ERRO_CHAVE"),"",IFERROR(MATCH(AF4008,'Quitados DUPP'!$U$1:$U$6635,0),""))</f>
        <v/>
      </c>
      <c r="AH4008" s="15" t="str">
        <f t="shared" si="2"/>
        <v/>
      </c>
      <c r="AI4008" s="17" t="str">
        <f>IF(AG4008="","",INDEX('Quitados DUPP'!$G$1:$G$6635,AG4008))</f>
        <v/>
      </c>
      <c r="AJ4008" s="17" t="str">
        <f t="shared" si="3"/>
        <v/>
      </c>
    </row>
    <row r="4009" spans="31:36">
      <c r="AE4009" s="15" t="str">
        <f t="shared" si="0"/>
        <v/>
      </c>
      <c r="AF4009" s="15" t="str">
        <f t="shared" si="1"/>
        <v/>
      </c>
      <c r="AG4009" s="15" t="str">
        <f>IF(OR(AF4009="",AF4009="ERRO_CHAVE"),"",IFERROR(MATCH(AF4009,'Quitados DUPP'!$U$1:$U$6635,0),""))</f>
        <v/>
      </c>
      <c r="AH4009" s="15" t="str">
        <f t="shared" si="2"/>
        <v/>
      </c>
      <c r="AI4009" s="17" t="str">
        <f>IF(AG4009="","",INDEX('Quitados DUPP'!$G$1:$G$6635,AG4009))</f>
        <v/>
      </c>
      <c r="AJ4009" s="17" t="str">
        <f t="shared" si="3"/>
        <v/>
      </c>
    </row>
    <row r="4010" spans="31:36">
      <c r="AE4010" s="15" t="str">
        <f t="shared" si="0"/>
        <v/>
      </c>
      <c r="AF4010" s="15" t="str">
        <f t="shared" si="1"/>
        <v/>
      </c>
      <c r="AG4010" s="15" t="str">
        <f>IF(OR(AF4010="",AF4010="ERRO_CHAVE"),"",IFERROR(MATCH(AF4010,'Quitados DUPP'!$U$1:$U$6635,0),""))</f>
        <v/>
      </c>
      <c r="AH4010" s="15" t="str">
        <f t="shared" si="2"/>
        <v/>
      </c>
      <c r="AI4010" s="17" t="str">
        <f>IF(AG4010="","",INDEX('Quitados DUPP'!$G$1:$G$6635,AG4010))</f>
        <v/>
      </c>
      <c r="AJ4010" s="17" t="str">
        <f t="shared" si="3"/>
        <v/>
      </c>
    </row>
    <row r="4011" spans="31:36">
      <c r="AE4011" s="15" t="str">
        <f t="shared" si="0"/>
        <v/>
      </c>
      <c r="AF4011" s="15" t="str">
        <f t="shared" si="1"/>
        <v/>
      </c>
      <c r="AG4011" s="15" t="str">
        <f>IF(OR(AF4011="",AF4011="ERRO_CHAVE"),"",IFERROR(MATCH(AF4011,'Quitados DUPP'!$U$1:$U$6635,0),""))</f>
        <v/>
      </c>
      <c r="AH4011" s="15" t="str">
        <f t="shared" si="2"/>
        <v/>
      </c>
      <c r="AI4011" s="17" t="str">
        <f>IF(AG4011="","",INDEX('Quitados DUPP'!$G$1:$G$6635,AG4011))</f>
        <v/>
      </c>
      <c r="AJ4011" s="17" t="str">
        <f t="shared" si="3"/>
        <v/>
      </c>
    </row>
    <row r="4012" spans="31:36">
      <c r="AE4012" s="15" t="str">
        <f t="shared" si="0"/>
        <v/>
      </c>
      <c r="AF4012" s="15" t="str">
        <f t="shared" si="1"/>
        <v/>
      </c>
      <c r="AG4012" s="15" t="str">
        <f>IF(OR(AF4012="",AF4012="ERRO_CHAVE"),"",IFERROR(MATCH(AF4012,'Quitados DUPP'!$U$1:$U$6635,0),""))</f>
        <v/>
      </c>
      <c r="AH4012" s="15" t="str">
        <f t="shared" si="2"/>
        <v/>
      </c>
      <c r="AI4012" s="17" t="str">
        <f>IF(AG4012="","",INDEX('Quitados DUPP'!$G$1:$G$6635,AG4012))</f>
        <v/>
      </c>
      <c r="AJ4012" s="17" t="str">
        <f t="shared" si="3"/>
        <v/>
      </c>
    </row>
    <row r="4013" spans="31:36">
      <c r="AE4013" s="15" t="str">
        <f t="shared" si="0"/>
        <v/>
      </c>
      <c r="AF4013" s="15" t="str">
        <f t="shared" si="1"/>
        <v/>
      </c>
      <c r="AG4013" s="15" t="str">
        <f>IF(OR(AF4013="",AF4013="ERRO_CHAVE"),"",IFERROR(MATCH(AF4013,'Quitados DUPP'!$U$1:$U$6635,0),""))</f>
        <v/>
      </c>
      <c r="AH4013" s="15" t="str">
        <f t="shared" si="2"/>
        <v/>
      </c>
      <c r="AI4013" s="17" t="str">
        <f>IF(AG4013="","",INDEX('Quitados DUPP'!$G$1:$G$6635,AG4013))</f>
        <v/>
      </c>
      <c r="AJ4013" s="17" t="str">
        <f t="shared" si="3"/>
        <v/>
      </c>
    </row>
    <row r="4014" spans="31:36">
      <c r="AE4014" s="15" t="str">
        <f t="shared" si="0"/>
        <v/>
      </c>
      <c r="AF4014" s="15" t="str">
        <f t="shared" si="1"/>
        <v/>
      </c>
      <c r="AG4014" s="15" t="str">
        <f>IF(OR(AF4014="",AF4014="ERRO_CHAVE"),"",IFERROR(MATCH(AF4014,'Quitados DUPP'!$U$1:$U$6635,0),""))</f>
        <v/>
      </c>
      <c r="AH4014" s="15" t="str">
        <f t="shared" si="2"/>
        <v/>
      </c>
      <c r="AI4014" s="17" t="str">
        <f>IF(AG4014="","",INDEX('Quitados DUPP'!$G$1:$G$6635,AG4014))</f>
        <v/>
      </c>
      <c r="AJ4014" s="17" t="str">
        <f t="shared" si="3"/>
        <v/>
      </c>
    </row>
    <row r="4015" spans="31:36">
      <c r="AE4015" s="15" t="str">
        <f t="shared" si="0"/>
        <v/>
      </c>
      <c r="AF4015" s="15" t="str">
        <f t="shared" si="1"/>
        <v/>
      </c>
      <c r="AG4015" s="15" t="str">
        <f>IF(OR(AF4015="",AF4015="ERRO_CHAVE"),"",IFERROR(MATCH(AF4015,'Quitados DUPP'!$U$1:$U$6635,0),""))</f>
        <v/>
      </c>
      <c r="AH4015" s="15" t="str">
        <f t="shared" si="2"/>
        <v/>
      </c>
      <c r="AI4015" s="17" t="str">
        <f>IF(AG4015="","",INDEX('Quitados DUPP'!$G$1:$G$6635,AG4015))</f>
        <v/>
      </c>
      <c r="AJ4015" s="17" t="str">
        <f t="shared" si="3"/>
        <v/>
      </c>
    </row>
    <row r="4016" spans="31:36">
      <c r="AE4016" s="15" t="str">
        <f t="shared" si="0"/>
        <v/>
      </c>
      <c r="AF4016" s="15" t="str">
        <f t="shared" si="1"/>
        <v/>
      </c>
      <c r="AG4016" s="15" t="str">
        <f>IF(OR(AF4016="",AF4016="ERRO_CHAVE"),"",IFERROR(MATCH(AF4016,'Quitados DUPP'!$U$1:$U$6635,0),""))</f>
        <v/>
      </c>
      <c r="AH4016" s="15" t="str">
        <f t="shared" si="2"/>
        <v/>
      </c>
      <c r="AI4016" s="17" t="str">
        <f>IF(AG4016="","",INDEX('Quitados DUPP'!$G$1:$G$6635,AG4016))</f>
        <v/>
      </c>
      <c r="AJ4016" s="17" t="str">
        <f t="shared" si="3"/>
        <v/>
      </c>
    </row>
    <row r="4017" spans="31:36">
      <c r="AE4017" s="15" t="str">
        <f t="shared" si="0"/>
        <v/>
      </c>
      <c r="AF4017" s="15" t="str">
        <f t="shared" si="1"/>
        <v/>
      </c>
      <c r="AG4017" s="15" t="str">
        <f>IF(OR(AF4017="",AF4017="ERRO_CHAVE"),"",IFERROR(MATCH(AF4017,'Quitados DUPP'!$U$1:$U$6635,0),""))</f>
        <v/>
      </c>
      <c r="AH4017" s="15" t="str">
        <f t="shared" si="2"/>
        <v/>
      </c>
      <c r="AI4017" s="17" t="str">
        <f>IF(AG4017="","",INDEX('Quitados DUPP'!$G$1:$G$6635,AG4017))</f>
        <v/>
      </c>
      <c r="AJ4017" s="17" t="str">
        <f t="shared" si="3"/>
        <v/>
      </c>
    </row>
    <row r="4018" spans="31:36">
      <c r="AE4018" s="15" t="str">
        <f t="shared" si="0"/>
        <v/>
      </c>
      <c r="AF4018" s="15" t="str">
        <f t="shared" si="1"/>
        <v/>
      </c>
      <c r="AG4018" s="15" t="str">
        <f>IF(OR(AF4018="",AF4018="ERRO_CHAVE"),"",IFERROR(MATCH(AF4018,'Quitados DUPP'!$U$1:$U$6635,0),""))</f>
        <v/>
      </c>
      <c r="AH4018" s="15" t="str">
        <f t="shared" si="2"/>
        <v/>
      </c>
      <c r="AI4018" s="17" t="str">
        <f>IF(AG4018="","",INDEX('Quitados DUPP'!$G$1:$G$6635,AG4018))</f>
        <v/>
      </c>
      <c r="AJ4018" s="17" t="str">
        <f t="shared" si="3"/>
        <v/>
      </c>
    </row>
    <row r="4019" spans="31:36">
      <c r="AE4019" s="15" t="str">
        <f t="shared" si="0"/>
        <v/>
      </c>
      <c r="AF4019" s="15" t="str">
        <f t="shared" si="1"/>
        <v/>
      </c>
      <c r="AG4019" s="15" t="str">
        <f>IF(OR(AF4019="",AF4019="ERRO_CHAVE"),"",IFERROR(MATCH(AF4019,'Quitados DUPP'!$U$1:$U$6635,0),""))</f>
        <v/>
      </c>
      <c r="AH4019" s="15" t="str">
        <f t="shared" si="2"/>
        <v/>
      </c>
      <c r="AI4019" s="17" t="str">
        <f>IF(AG4019="","",INDEX('Quitados DUPP'!$G$1:$G$6635,AG4019))</f>
        <v/>
      </c>
      <c r="AJ4019" s="17" t="str">
        <f t="shared" si="3"/>
        <v/>
      </c>
    </row>
    <row r="4020" spans="31:36">
      <c r="AE4020" s="15" t="str">
        <f t="shared" si="0"/>
        <v/>
      </c>
      <c r="AF4020" s="15" t="str">
        <f t="shared" si="1"/>
        <v/>
      </c>
      <c r="AG4020" s="15" t="str">
        <f>IF(OR(AF4020="",AF4020="ERRO_CHAVE"),"",IFERROR(MATCH(AF4020,'Quitados DUPP'!$U$1:$U$6635,0),""))</f>
        <v/>
      </c>
      <c r="AH4020" s="15" t="str">
        <f t="shared" si="2"/>
        <v/>
      </c>
      <c r="AI4020" s="17" t="str">
        <f>IF(AG4020="","",INDEX('Quitados DUPP'!$G$1:$G$6635,AG4020))</f>
        <v/>
      </c>
      <c r="AJ4020" s="17" t="str">
        <f t="shared" si="3"/>
        <v/>
      </c>
    </row>
    <row r="4021" spans="31:36">
      <c r="AE4021" s="15" t="str">
        <f t="shared" si="0"/>
        <v/>
      </c>
      <c r="AF4021" s="15" t="str">
        <f t="shared" si="1"/>
        <v/>
      </c>
      <c r="AG4021" s="15" t="str">
        <f>IF(OR(AF4021="",AF4021="ERRO_CHAVE"),"",IFERROR(MATCH(AF4021,'Quitados DUPP'!$U$1:$U$6635,0),""))</f>
        <v/>
      </c>
      <c r="AH4021" s="15" t="str">
        <f t="shared" si="2"/>
        <v/>
      </c>
      <c r="AI4021" s="17" t="str">
        <f>IF(AG4021="","",INDEX('Quitados DUPP'!$G$1:$G$6635,AG4021))</f>
        <v/>
      </c>
      <c r="AJ4021" s="17" t="str">
        <f t="shared" si="3"/>
        <v/>
      </c>
    </row>
    <row r="4022" spans="31:36">
      <c r="AE4022" s="15" t="str">
        <f t="shared" si="0"/>
        <v/>
      </c>
      <c r="AF4022" s="15" t="str">
        <f t="shared" si="1"/>
        <v/>
      </c>
      <c r="AG4022" s="15" t="str">
        <f>IF(OR(AF4022="",AF4022="ERRO_CHAVE"),"",IFERROR(MATCH(AF4022,'Quitados DUPP'!$U$1:$U$6635,0),""))</f>
        <v/>
      </c>
      <c r="AH4022" s="15" t="str">
        <f t="shared" si="2"/>
        <v/>
      </c>
      <c r="AI4022" s="17" t="str">
        <f>IF(AG4022="","",INDEX('Quitados DUPP'!$G$1:$G$6635,AG4022))</f>
        <v/>
      </c>
      <c r="AJ4022" s="17" t="str">
        <f t="shared" si="3"/>
        <v/>
      </c>
    </row>
    <row r="4023" spans="31:36">
      <c r="AE4023" s="15" t="str">
        <f t="shared" si="0"/>
        <v/>
      </c>
      <c r="AF4023" s="15" t="str">
        <f t="shared" si="1"/>
        <v/>
      </c>
      <c r="AG4023" s="15" t="str">
        <f>IF(OR(AF4023="",AF4023="ERRO_CHAVE"),"",IFERROR(MATCH(AF4023,'Quitados DUPP'!$U$1:$U$6635,0),""))</f>
        <v/>
      </c>
      <c r="AH4023" s="15" t="str">
        <f t="shared" si="2"/>
        <v/>
      </c>
      <c r="AI4023" s="17" t="str">
        <f>IF(AG4023="","",INDEX('Quitados DUPP'!$G$1:$G$6635,AG4023))</f>
        <v/>
      </c>
      <c r="AJ4023" s="17" t="str">
        <f t="shared" si="3"/>
        <v/>
      </c>
    </row>
    <row r="4024" spans="31:36">
      <c r="AE4024" s="15" t="str">
        <f t="shared" si="0"/>
        <v/>
      </c>
      <c r="AF4024" s="15" t="str">
        <f t="shared" si="1"/>
        <v/>
      </c>
      <c r="AG4024" s="15" t="str">
        <f>IF(OR(AF4024="",AF4024="ERRO_CHAVE"),"",IFERROR(MATCH(AF4024,'Quitados DUPP'!$U$1:$U$6635,0),""))</f>
        <v/>
      </c>
      <c r="AH4024" s="15" t="str">
        <f t="shared" si="2"/>
        <v/>
      </c>
      <c r="AI4024" s="17" t="str">
        <f>IF(AG4024="","",INDEX('Quitados DUPP'!$G$1:$G$6635,AG4024))</f>
        <v/>
      </c>
      <c r="AJ4024" s="17" t="str">
        <f t="shared" si="3"/>
        <v/>
      </c>
    </row>
    <row r="4025" spans="31:36">
      <c r="AE4025" s="15" t="str">
        <f t="shared" si="0"/>
        <v/>
      </c>
      <c r="AF4025" s="15" t="str">
        <f t="shared" si="1"/>
        <v/>
      </c>
      <c r="AG4025" s="15" t="str">
        <f>IF(OR(AF4025="",AF4025="ERRO_CHAVE"),"",IFERROR(MATCH(AF4025,'Quitados DUPP'!$U$1:$U$6635,0),""))</f>
        <v/>
      </c>
      <c r="AH4025" s="15" t="str">
        <f t="shared" si="2"/>
        <v/>
      </c>
      <c r="AI4025" s="17" t="str">
        <f>IF(AG4025="","",INDEX('Quitados DUPP'!$G$1:$G$6635,AG4025))</f>
        <v/>
      </c>
      <c r="AJ4025" s="17" t="str">
        <f t="shared" si="3"/>
        <v/>
      </c>
    </row>
    <row r="4026" spans="31:36">
      <c r="AE4026" s="15" t="str">
        <f t="shared" si="0"/>
        <v/>
      </c>
      <c r="AF4026" s="15" t="str">
        <f t="shared" si="1"/>
        <v/>
      </c>
      <c r="AG4026" s="15" t="str">
        <f>IF(OR(AF4026="",AF4026="ERRO_CHAVE"),"",IFERROR(MATCH(AF4026,'Quitados DUPP'!$U$1:$U$6635,0),""))</f>
        <v/>
      </c>
      <c r="AH4026" s="15" t="str">
        <f t="shared" si="2"/>
        <v/>
      </c>
      <c r="AI4026" s="17" t="str">
        <f>IF(AG4026="","",INDEX('Quitados DUPP'!$G$1:$G$6635,AG4026))</f>
        <v/>
      </c>
      <c r="AJ4026" s="17" t="str">
        <f t="shared" si="3"/>
        <v/>
      </c>
    </row>
    <row r="4027" spans="31:36">
      <c r="AE4027" s="15" t="str">
        <f t="shared" si="0"/>
        <v/>
      </c>
      <c r="AF4027" s="15" t="str">
        <f t="shared" si="1"/>
        <v/>
      </c>
      <c r="AG4027" s="15" t="str">
        <f>IF(OR(AF4027="",AF4027="ERRO_CHAVE"),"",IFERROR(MATCH(AF4027,'Quitados DUPP'!$U$1:$U$6635,0),""))</f>
        <v/>
      </c>
      <c r="AH4027" s="15" t="str">
        <f t="shared" si="2"/>
        <v/>
      </c>
      <c r="AI4027" s="17" t="str">
        <f>IF(AG4027="","",INDEX('Quitados DUPP'!$G$1:$G$6635,AG4027))</f>
        <v/>
      </c>
      <c r="AJ4027" s="17" t="str">
        <f t="shared" si="3"/>
        <v/>
      </c>
    </row>
    <row r="4028" spans="31:36">
      <c r="AE4028" s="15" t="str">
        <f t="shared" si="0"/>
        <v/>
      </c>
      <c r="AF4028" s="15" t="str">
        <f t="shared" si="1"/>
        <v/>
      </c>
      <c r="AG4028" s="15" t="str">
        <f>IF(OR(AF4028="",AF4028="ERRO_CHAVE"),"",IFERROR(MATCH(AF4028,'Quitados DUPP'!$U$1:$U$6635,0),""))</f>
        <v/>
      </c>
      <c r="AH4028" s="15" t="str">
        <f t="shared" si="2"/>
        <v/>
      </c>
      <c r="AI4028" s="17" t="str">
        <f>IF(AG4028="","",INDEX('Quitados DUPP'!$G$1:$G$6635,AG4028))</f>
        <v/>
      </c>
      <c r="AJ4028" s="17" t="str">
        <f t="shared" si="3"/>
        <v/>
      </c>
    </row>
    <row r="4029" spans="31:36">
      <c r="AE4029" s="15" t="str">
        <f t="shared" si="0"/>
        <v/>
      </c>
      <c r="AF4029" s="15" t="str">
        <f t="shared" si="1"/>
        <v/>
      </c>
      <c r="AG4029" s="15" t="str">
        <f>IF(OR(AF4029="",AF4029="ERRO_CHAVE"),"",IFERROR(MATCH(AF4029,'Quitados DUPP'!$U$1:$U$6635,0),""))</f>
        <v/>
      </c>
      <c r="AH4029" s="15" t="str">
        <f t="shared" si="2"/>
        <v/>
      </c>
      <c r="AI4029" s="17" t="str">
        <f>IF(AG4029="","",INDEX('Quitados DUPP'!$G$1:$G$6635,AG4029))</f>
        <v/>
      </c>
      <c r="AJ4029" s="17" t="str">
        <f t="shared" si="3"/>
        <v/>
      </c>
    </row>
    <row r="4030" spans="31:36">
      <c r="AE4030" s="15" t="str">
        <f t="shared" si="0"/>
        <v/>
      </c>
      <c r="AF4030" s="15" t="str">
        <f t="shared" si="1"/>
        <v/>
      </c>
      <c r="AG4030" s="15" t="str">
        <f>IF(OR(AF4030="",AF4030="ERRO_CHAVE"),"",IFERROR(MATCH(AF4030,'Quitados DUPP'!$U$1:$U$6635,0),""))</f>
        <v/>
      </c>
      <c r="AH4030" s="15" t="str">
        <f t="shared" si="2"/>
        <v/>
      </c>
      <c r="AI4030" s="17" t="str">
        <f>IF(AG4030="","",INDEX('Quitados DUPP'!$G$1:$G$6635,AG4030))</f>
        <v/>
      </c>
      <c r="AJ4030" s="17" t="str">
        <f t="shared" si="3"/>
        <v/>
      </c>
    </row>
    <row r="4031" spans="31:36">
      <c r="AE4031" s="15" t="str">
        <f t="shared" si="0"/>
        <v/>
      </c>
      <c r="AF4031" s="15" t="str">
        <f t="shared" si="1"/>
        <v/>
      </c>
      <c r="AG4031" s="15" t="str">
        <f>IF(OR(AF4031="",AF4031="ERRO_CHAVE"),"",IFERROR(MATCH(AF4031,'Quitados DUPP'!$U$1:$U$6635,0),""))</f>
        <v/>
      </c>
      <c r="AH4031" s="15" t="str">
        <f t="shared" si="2"/>
        <v/>
      </c>
      <c r="AI4031" s="17" t="str">
        <f>IF(AG4031="","",INDEX('Quitados DUPP'!$G$1:$G$6635,AG4031))</f>
        <v/>
      </c>
      <c r="AJ4031" s="17" t="str">
        <f t="shared" si="3"/>
        <v/>
      </c>
    </row>
    <row r="4032" spans="31:36">
      <c r="AE4032" s="15" t="str">
        <f t="shared" si="0"/>
        <v/>
      </c>
      <c r="AF4032" s="15" t="str">
        <f t="shared" si="1"/>
        <v/>
      </c>
      <c r="AG4032" s="15" t="str">
        <f>IF(OR(AF4032="",AF4032="ERRO_CHAVE"),"",IFERROR(MATCH(AF4032,'Quitados DUPP'!$U$1:$U$6635,0),""))</f>
        <v/>
      </c>
      <c r="AH4032" s="15" t="str">
        <f t="shared" si="2"/>
        <v/>
      </c>
      <c r="AI4032" s="17" t="str">
        <f>IF(AG4032="","",INDEX('Quitados DUPP'!$G$1:$G$6635,AG4032))</f>
        <v/>
      </c>
      <c r="AJ4032" s="17" t="str">
        <f t="shared" si="3"/>
        <v/>
      </c>
    </row>
    <row r="4033" spans="31:36">
      <c r="AE4033" s="15" t="str">
        <f t="shared" si="0"/>
        <v/>
      </c>
      <c r="AF4033" s="15" t="str">
        <f t="shared" si="1"/>
        <v/>
      </c>
      <c r="AG4033" s="15" t="str">
        <f>IF(OR(AF4033="",AF4033="ERRO_CHAVE"),"",IFERROR(MATCH(AF4033,'Quitados DUPP'!$U$1:$U$6635,0),""))</f>
        <v/>
      </c>
      <c r="AH4033" s="15" t="str">
        <f t="shared" si="2"/>
        <v/>
      </c>
      <c r="AI4033" s="17" t="str">
        <f>IF(AG4033="","",INDEX('Quitados DUPP'!$G$1:$G$6635,AG4033))</f>
        <v/>
      </c>
      <c r="AJ4033" s="17" t="str">
        <f t="shared" si="3"/>
        <v/>
      </c>
    </row>
    <row r="4034" spans="31:36">
      <c r="AE4034" s="15" t="str">
        <f t="shared" si="0"/>
        <v/>
      </c>
      <c r="AF4034" s="15" t="str">
        <f t="shared" si="1"/>
        <v/>
      </c>
      <c r="AG4034" s="15" t="str">
        <f>IF(OR(AF4034="",AF4034="ERRO_CHAVE"),"",IFERROR(MATCH(AF4034,'Quitados DUPP'!$U$1:$U$6635,0),""))</f>
        <v/>
      </c>
      <c r="AH4034" s="15" t="str">
        <f t="shared" si="2"/>
        <v/>
      </c>
      <c r="AI4034" s="17" t="str">
        <f>IF(AG4034="","",INDEX('Quitados DUPP'!$G$1:$G$6635,AG4034))</f>
        <v/>
      </c>
      <c r="AJ4034" s="17" t="str">
        <f t="shared" si="3"/>
        <v/>
      </c>
    </row>
    <row r="4035" spans="31:36">
      <c r="AE4035" s="15" t="str">
        <f t="shared" si="0"/>
        <v/>
      </c>
      <c r="AF4035" s="15" t="str">
        <f t="shared" si="1"/>
        <v/>
      </c>
      <c r="AG4035" s="15" t="str">
        <f>IF(OR(AF4035="",AF4035="ERRO_CHAVE"),"",IFERROR(MATCH(AF4035,'Quitados DUPP'!$U$1:$U$6635,0),""))</f>
        <v/>
      </c>
      <c r="AH4035" s="15" t="str">
        <f t="shared" si="2"/>
        <v/>
      </c>
      <c r="AI4035" s="17" t="str">
        <f>IF(AG4035="","",INDEX('Quitados DUPP'!$G$1:$G$6635,AG4035))</f>
        <v/>
      </c>
      <c r="AJ4035" s="17" t="str">
        <f t="shared" si="3"/>
        <v/>
      </c>
    </row>
    <row r="4036" spans="31:36">
      <c r="AE4036" s="15" t="str">
        <f t="shared" si="0"/>
        <v/>
      </c>
      <c r="AF4036" s="15" t="str">
        <f t="shared" si="1"/>
        <v/>
      </c>
      <c r="AG4036" s="15" t="str">
        <f>IF(OR(AF4036="",AF4036="ERRO_CHAVE"),"",IFERROR(MATCH(AF4036,'Quitados DUPP'!$U$1:$U$6635,0),""))</f>
        <v/>
      </c>
      <c r="AH4036" s="15" t="str">
        <f t="shared" si="2"/>
        <v/>
      </c>
      <c r="AI4036" s="17" t="str">
        <f>IF(AG4036="","",INDEX('Quitados DUPP'!$G$1:$G$6635,AG4036))</f>
        <v/>
      </c>
      <c r="AJ4036" s="17" t="str">
        <f t="shared" si="3"/>
        <v/>
      </c>
    </row>
    <row r="4037" spans="31:36">
      <c r="AE4037" s="15" t="str">
        <f t="shared" si="0"/>
        <v/>
      </c>
      <c r="AF4037" s="15" t="str">
        <f t="shared" si="1"/>
        <v/>
      </c>
      <c r="AG4037" s="15" t="str">
        <f>IF(OR(AF4037="",AF4037="ERRO_CHAVE"),"",IFERROR(MATCH(AF4037,'Quitados DUPP'!$U$1:$U$6635,0),""))</f>
        <v/>
      </c>
      <c r="AH4037" s="15" t="str">
        <f t="shared" si="2"/>
        <v/>
      </c>
      <c r="AI4037" s="17" t="str">
        <f>IF(AG4037="","",INDEX('Quitados DUPP'!$G$1:$G$6635,AG4037))</f>
        <v/>
      </c>
      <c r="AJ4037" s="17" t="str">
        <f t="shared" si="3"/>
        <v/>
      </c>
    </row>
    <row r="4038" spans="31:36">
      <c r="AE4038" s="15" t="str">
        <f t="shared" si="0"/>
        <v/>
      </c>
      <c r="AF4038" s="15" t="str">
        <f t="shared" si="1"/>
        <v/>
      </c>
      <c r="AG4038" s="15" t="str">
        <f>IF(OR(AF4038="",AF4038="ERRO_CHAVE"),"",IFERROR(MATCH(AF4038,'Quitados DUPP'!$U$1:$U$6635,0),""))</f>
        <v/>
      </c>
      <c r="AH4038" s="15" t="str">
        <f t="shared" si="2"/>
        <v/>
      </c>
      <c r="AI4038" s="17" t="str">
        <f>IF(AG4038="","",INDEX('Quitados DUPP'!$G$1:$G$6635,AG4038))</f>
        <v/>
      </c>
      <c r="AJ4038" s="17" t="str">
        <f t="shared" si="3"/>
        <v/>
      </c>
    </row>
    <row r="4039" spans="31:36">
      <c r="AE4039" s="15" t="str">
        <f t="shared" si="0"/>
        <v/>
      </c>
      <c r="AF4039" s="15" t="str">
        <f t="shared" si="1"/>
        <v/>
      </c>
      <c r="AG4039" s="15" t="str">
        <f>IF(OR(AF4039="",AF4039="ERRO_CHAVE"),"",IFERROR(MATCH(AF4039,'Quitados DUPP'!$U$1:$U$6635,0),""))</f>
        <v/>
      </c>
      <c r="AH4039" s="15" t="str">
        <f t="shared" si="2"/>
        <v/>
      </c>
      <c r="AI4039" s="17" t="str">
        <f>IF(AG4039="","",INDEX('Quitados DUPP'!$G$1:$G$6635,AG4039))</f>
        <v/>
      </c>
      <c r="AJ4039" s="17" t="str">
        <f t="shared" si="3"/>
        <v/>
      </c>
    </row>
    <row r="4040" spans="31:36">
      <c r="AE4040" s="15" t="str">
        <f t="shared" si="0"/>
        <v/>
      </c>
      <c r="AF4040" s="15" t="str">
        <f t="shared" si="1"/>
        <v/>
      </c>
      <c r="AG4040" s="15" t="str">
        <f>IF(OR(AF4040="",AF4040="ERRO_CHAVE"),"",IFERROR(MATCH(AF4040,'Quitados DUPP'!$U$1:$U$6635,0),""))</f>
        <v/>
      </c>
      <c r="AH4040" s="15" t="str">
        <f t="shared" si="2"/>
        <v/>
      </c>
      <c r="AI4040" s="17" t="str">
        <f>IF(AG4040="","",INDEX('Quitados DUPP'!$G$1:$G$6635,AG4040))</f>
        <v/>
      </c>
      <c r="AJ4040" s="17" t="str">
        <f t="shared" si="3"/>
        <v/>
      </c>
    </row>
    <row r="4041" spans="31:36">
      <c r="AE4041" s="15" t="str">
        <f t="shared" si="0"/>
        <v/>
      </c>
      <c r="AF4041" s="15" t="str">
        <f t="shared" si="1"/>
        <v/>
      </c>
      <c r="AG4041" s="15" t="str">
        <f>IF(OR(AF4041="",AF4041="ERRO_CHAVE"),"",IFERROR(MATCH(AF4041,'Quitados DUPP'!$U$1:$U$6635,0),""))</f>
        <v/>
      </c>
      <c r="AH4041" s="15" t="str">
        <f t="shared" si="2"/>
        <v/>
      </c>
      <c r="AI4041" s="17" t="str">
        <f>IF(AG4041="","",INDEX('Quitados DUPP'!$G$1:$G$6635,AG4041))</f>
        <v/>
      </c>
      <c r="AJ4041" s="17" t="str">
        <f t="shared" si="3"/>
        <v/>
      </c>
    </row>
    <row r="4042" spans="31:36">
      <c r="AE4042" s="15" t="str">
        <f t="shared" si="0"/>
        <v/>
      </c>
      <c r="AF4042" s="15" t="str">
        <f t="shared" si="1"/>
        <v/>
      </c>
      <c r="AG4042" s="15" t="str">
        <f>IF(OR(AF4042="",AF4042="ERRO_CHAVE"),"",IFERROR(MATCH(AF4042,'Quitados DUPP'!$U$1:$U$6635,0),""))</f>
        <v/>
      </c>
      <c r="AH4042" s="15" t="str">
        <f t="shared" si="2"/>
        <v/>
      </c>
      <c r="AI4042" s="17" t="str">
        <f>IF(AG4042="","",INDEX('Quitados DUPP'!$G$1:$G$6635,AG4042))</f>
        <v/>
      </c>
      <c r="AJ4042" s="17" t="str">
        <f t="shared" si="3"/>
        <v/>
      </c>
    </row>
    <row r="4043" spans="31:36">
      <c r="AE4043" s="15" t="str">
        <f t="shared" si="0"/>
        <v/>
      </c>
      <c r="AF4043" s="15" t="str">
        <f t="shared" si="1"/>
        <v/>
      </c>
      <c r="AG4043" s="15" t="str">
        <f>IF(OR(AF4043="",AF4043="ERRO_CHAVE"),"",IFERROR(MATCH(AF4043,'Quitados DUPP'!$U$1:$U$6635,0),""))</f>
        <v/>
      </c>
      <c r="AH4043" s="15" t="str">
        <f t="shared" si="2"/>
        <v/>
      </c>
      <c r="AI4043" s="17" t="str">
        <f>IF(AG4043="","",INDEX('Quitados DUPP'!$G$1:$G$6635,AG4043))</f>
        <v/>
      </c>
      <c r="AJ4043" s="17" t="str">
        <f t="shared" si="3"/>
        <v/>
      </c>
    </row>
    <row r="4044" spans="31:36">
      <c r="AE4044" s="15" t="str">
        <f t="shared" si="0"/>
        <v/>
      </c>
      <c r="AF4044" s="15" t="str">
        <f t="shared" si="1"/>
        <v/>
      </c>
      <c r="AG4044" s="15" t="str">
        <f>IF(OR(AF4044="",AF4044="ERRO_CHAVE"),"",IFERROR(MATCH(AF4044,'Quitados DUPP'!$U$1:$U$6635,0),""))</f>
        <v/>
      </c>
      <c r="AH4044" s="15" t="str">
        <f t="shared" si="2"/>
        <v/>
      </c>
      <c r="AI4044" s="17" t="str">
        <f>IF(AG4044="","",INDEX('Quitados DUPP'!$G$1:$G$6635,AG4044))</f>
        <v/>
      </c>
      <c r="AJ4044" s="17" t="str">
        <f t="shared" si="3"/>
        <v/>
      </c>
    </row>
    <row r="4045" spans="31:36">
      <c r="AE4045" s="15" t="str">
        <f t="shared" si="0"/>
        <v/>
      </c>
      <c r="AF4045" s="15" t="str">
        <f t="shared" si="1"/>
        <v/>
      </c>
      <c r="AG4045" s="15" t="str">
        <f>IF(OR(AF4045="",AF4045="ERRO_CHAVE"),"",IFERROR(MATCH(AF4045,'Quitados DUPP'!$U$1:$U$6635,0),""))</f>
        <v/>
      </c>
      <c r="AH4045" s="15" t="str">
        <f t="shared" si="2"/>
        <v/>
      </c>
      <c r="AI4045" s="17" t="str">
        <f>IF(AG4045="","",INDEX('Quitados DUPP'!$G$1:$G$6635,AG4045))</f>
        <v/>
      </c>
      <c r="AJ4045" s="17" t="str">
        <f t="shared" si="3"/>
        <v/>
      </c>
    </row>
    <row r="4046" spans="31:36">
      <c r="AE4046" s="15" t="str">
        <f t="shared" si="0"/>
        <v/>
      </c>
      <c r="AF4046" s="15" t="str">
        <f t="shared" si="1"/>
        <v/>
      </c>
      <c r="AG4046" s="15" t="str">
        <f>IF(OR(AF4046="",AF4046="ERRO_CHAVE"),"",IFERROR(MATCH(AF4046,'Quitados DUPP'!$U$1:$U$6635,0),""))</f>
        <v/>
      </c>
      <c r="AH4046" s="15" t="str">
        <f t="shared" si="2"/>
        <v/>
      </c>
      <c r="AI4046" s="17" t="str">
        <f>IF(AG4046="","",INDEX('Quitados DUPP'!$G$1:$G$6635,AG4046))</f>
        <v/>
      </c>
      <c r="AJ4046" s="17" t="str">
        <f t="shared" si="3"/>
        <v/>
      </c>
    </row>
    <row r="4047" spans="31:36">
      <c r="AE4047" s="15" t="str">
        <f t="shared" si="0"/>
        <v/>
      </c>
      <c r="AF4047" s="15" t="str">
        <f t="shared" si="1"/>
        <v/>
      </c>
      <c r="AG4047" s="15" t="str">
        <f>IF(OR(AF4047="",AF4047="ERRO_CHAVE"),"",IFERROR(MATCH(AF4047,'Quitados DUPP'!$U$1:$U$6635,0),""))</f>
        <v/>
      </c>
      <c r="AH4047" s="15" t="str">
        <f t="shared" si="2"/>
        <v/>
      </c>
      <c r="AI4047" s="17" t="str">
        <f>IF(AG4047="","",INDEX('Quitados DUPP'!$G$1:$G$6635,AG4047))</f>
        <v/>
      </c>
      <c r="AJ4047" s="17" t="str">
        <f t="shared" si="3"/>
        <v/>
      </c>
    </row>
    <row r="4048" spans="31:36">
      <c r="AE4048" s="15" t="str">
        <f t="shared" si="0"/>
        <v/>
      </c>
      <c r="AF4048" s="15" t="str">
        <f t="shared" si="1"/>
        <v/>
      </c>
      <c r="AG4048" s="15" t="str">
        <f>IF(OR(AF4048="",AF4048="ERRO_CHAVE"),"",IFERROR(MATCH(AF4048,'Quitados DUPP'!$U$1:$U$6635,0),""))</f>
        <v/>
      </c>
      <c r="AH4048" s="15" t="str">
        <f t="shared" si="2"/>
        <v/>
      </c>
      <c r="AI4048" s="17" t="str">
        <f>IF(AG4048="","",INDEX('Quitados DUPP'!$G$1:$G$6635,AG4048))</f>
        <v/>
      </c>
      <c r="AJ4048" s="17" t="str">
        <f t="shared" si="3"/>
        <v/>
      </c>
    </row>
    <row r="4049" spans="31:36">
      <c r="AE4049" s="15" t="str">
        <f t="shared" si="0"/>
        <v/>
      </c>
      <c r="AF4049" s="15" t="str">
        <f t="shared" si="1"/>
        <v/>
      </c>
      <c r="AG4049" s="15" t="str">
        <f>IF(OR(AF4049="",AF4049="ERRO_CHAVE"),"",IFERROR(MATCH(AF4049,'Quitados DUPP'!$U$1:$U$6635,0),""))</f>
        <v/>
      </c>
      <c r="AH4049" s="15" t="str">
        <f t="shared" si="2"/>
        <v/>
      </c>
      <c r="AI4049" s="17" t="str">
        <f>IF(AG4049="","",INDEX('Quitados DUPP'!$G$1:$G$6635,AG4049))</f>
        <v/>
      </c>
      <c r="AJ4049" s="17" t="str">
        <f t="shared" si="3"/>
        <v/>
      </c>
    </row>
    <row r="4050" spans="31:36">
      <c r="AE4050" s="15" t="str">
        <f t="shared" si="0"/>
        <v/>
      </c>
      <c r="AF4050" s="15" t="str">
        <f t="shared" si="1"/>
        <v/>
      </c>
      <c r="AG4050" s="15" t="str">
        <f>IF(OR(AF4050="",AF4050="ERRO_CHAVE"),"",IFERROR(MATCH(AF4050,'Quitados DUPP'!$U$1:$U$6635,0),""))</f>
        <v/>
      </c>
      <c r="AH4050" s="15" t="str">
        <f t="shared" si="2"/>
        <v/>
      </c>
      <c r="AI4050" s="17" t="str">
        <f>IF(AG4050="","",INDEX('Quitados DUPP'!$G$1:$G$6635,AG4050))</f>
        <v/>
      </c>
      <c r="AJ4050" s="17" t="str">
        <f t="shared" si="3"/>
        <v/>
      </c>
    </row>
    <row r="4051" spans="31:36">
      <c r="AE4051" s="15" t="str">
        <f t="shared" si="0"/>
        <v/>
      </c>
      <c r="AF4051" s="15" t="str">
        <f t="shared" si="1"/>
        <v/>
      </c>
      <c r="AG4051" s="15" t="str">
        <f>IF(OR(AF4051="",AF4051="ERRO_CHAVE"),"",IFERROR(MATCH(AF4051,'Quitados DUPP'!$U$1:$U$6635,0),""))</f>
        <v/>
      </c>
      <c r="AH4051" s="15" t="str">
        <f t="shared" si="2"/>
        <v/>
      </c>
      <c r="AI4051" s="17" t="str">
        <f>IF(AG4051="","",INDEX('Quitados DUPP'!$G$1:$G$6635,AG4051))</f>
        <v/>
      </c>
      <c r="AJ4051" s="17" t="str">
        <f t="shared" si="3"/>
        <v/>
      </c>
    </row>
    <row r="4052" spans="31:36">
      <c r="AE4052" s="15" t="str">
        <f t="shared" si="0"/>
        <v/>
      </c>
      <c r="AF4052" s="15" t="str">
        <f t="shared" si="1"/>
        <v/>
      </c>
      <c r="AG4052" s="15" t="str">
        <f>IF(OR(AF4052="",AF4052="ERRO_CHAVE"),"",IFERROR(MATCH(AF4052,'Quitados DUPP'!$U$1:$U$6635,0),""))</f>
        <v/>
      </c>
      <c r="AH4052" s="15" t="str">
        <f t="shared" si="2"/>
        <v/>
      </c>
      <c r="AI4052" s="17" t="str">
        <f>IF(AG4052="","",INDEX('Quitados DUPP'!$G$1:$G$6635,AG4052))</f>
        <v/>
      </c>
      <c r="AJ4052" s="17" t="str">
        <f t="shared" si="3"/>
        <v/>
      </c>
    </row>
    <row r="4053" spans="31:36">
      <c r="AE4053" s="15" t="str">
        <f t="shared" si="0"/>
        <v/>
      </c>
      <c r="AF4053" s="15" t="str">
        <f t="shared" si="1"/>
        <v/>
      </c>
      <c r="AG4053" s="15" t="str">
        <f>IF(OR(AF4053="",AF4053="ERRO_CHAVE"),"",IFERROR(MATCH(AF4053,'Quitados DUPP'!$U$1:$U$6635,0),""))</f>
        <v/>
      </c>
      <c r="AH4053" s="15" t="str">
        <f t="shared" si="2"/>
        <v/>
      </c>
      <c r="AI4053" s="17" t="str">
        <f>IF(AG4053="","",INDEX('Quitados DUPP'!$G$1:$G$6635,AG4053))</f>
        <v/>
      </c>
      <c r="AJ4053" s="17" t="str">
        <f t="shared" si="3"/>
        <v/>
      </c>
    </row>
    <row r="4054" spans="31:36">
      <c r="AE4054" s="15" t="str">
        <f t="shared" si="0"/>
        <v/>
      </c>
      <c r="AF4054" s="15" t="str">
        <f t="shared" si="1"/>
        <v/>
      </c>
      <c r="AG4054" s="15" t="str">
        <f>IF(OR(AF4054="",AF4054="ERRO_CHAVE"),"",IFERROR(MATCH(AF4054,'Quitados DUPP'!$U$1:$U$6635,0),""))</f>
        <v/>
      </c>
      <c r="AH4054" s="15" t="str">
        <f t="shared" si="2"/>
        <v/>
      </c>
      <c r="AI4054" s="17" t="str">
        <f>IF(AG4054="","",INDEX('Quitados DUPP'!$G$1:$G$6635,AG4054))</f>
        <v/>
      </c>
      <c r="AJ4054" s="17" t="str">
        <f t="shared" si="3"/>
        <v/>
      </c>
    </row>
    <row r="4055" spans="31:36">
      <c r="AE4055" s="15" t="str">
        <f t="shared" si="0"/>
        <v/>
      </c>
      <c r="AF4055" s="15" t="str">
        <f t="shared" si="1"/>
        <v/>
      </c>
      <c r="AG4055" s="15" t="str">
        <f>IF(OR(AF4055="",AF4055="ERRO_CHAVE"),"",IFERROR(MATCH(AF4055,'Quitados DUPP'!$U$1:$U$6635,0),""))</f>
        <v/>
      </c>
      <c r="AH4055" s="15" t="str">
        <f t="shared" si="2"/>
        <v/>
      </c>
      <c r="AI4055" s="17" t="str">
        <f>IF(AG4055="","",INDEX('Quitados DUPP'!$G$1:$G$6635,AG4055))</f>
        <v/>
      </c>
      <c r="AJ4055" s="17" t="str">
        <f t="shared" si="3"/>
        <v/>
      </c>
    </row>
    <row r="4056" spans="31:36">
      <c r="AE4056" s="15" t="str">
        <f t="shared" si="0"/>
        <v/>
      </c>
      <c r="AF4056" s="15" t="str">
        <f t="shared" si="1"/>
        <v/>
      </c>
      <c r="AG4056" s="15" t="str">
        <f>IF(OR(AF4056="",AF4056="ERRO_CHAVE"),"",IFERROR(MATCH(AF4056,'Quitados DUPP'!$U$1:$U$6635,0),""))</f>
        <v/>
      </c>
      <c r="AH4056" s="15" t="str">
        <f t="shared" si="2"/>
        <v/>
      </c>
      <c r="AI4056" s="17" t="str">
        <f>IF(AG4056="","",INDEX('Quitados DUPP'!$G$1:$G$6635,AG4056))</f>
        <v/>
      </c>
      <c r="AJ4056" s="17" t="str">
        <f t="shared" si="3"/>
        <v/>
      </c>
    </row>
    <row r="4057" spans="31:36">
      <c r="AE4057" s="15" t="str">
        <f t="shared" si="0"/>
        <v/>
      </c>
      <c r="AF4057" s="15" t="str">
        <f t="shared" si="1"/>
        <v/>
      </c>
      <c r="AG4057" s="15" t="str">
        <f>IF(OR(AF4057="",AF4057="ERRO_CHAVE"),"",IFERROR(MATCH(AF4057,'Quitados DUPP'!$U$1:$U$6635,0),""))</f>
        <v/>
      </c>
      <c r="AH4057" s="15" t="str">
        <f t="shared" si="2"/>
        <v/>
      </c>
      <c r="AI4057" s="17" t="str">
        <f>IF(AG4057="","",INDEX('Quitados DUPP'!$G$1:$G$6635,AG4057))</f>
        <v/>
      </c>
      <c r="AJ4057" s="17" t="str">
        <f t="shared" si="3"/>
        <v/>
      </c>
    </row>
    <row r="4058" spans="31:36">
      <c r="AE4058" s="15" t="str">
        <f t="shared" si="0"/>
        <v/>
      </c>
      <c r="AF4058" s="15" t="str">
        <f t="shared" si="1"/>
        <v/>
      </c>
      <c r="AG4058" s="15" t="str">
        <f>IF(OR(AF4058="",AF4058="ERRO_CHAVE"),"",IFERROR(MATCH(AF4058,'Quitados DUPP'!$U$1:$U$6635,0),""))</f>
        <v/>
      </c>
      <c r="AH4058" s="15" t="str">
        <f t="shared" si="2"/>
        <v/>
      </c>
      <c r="AI4058" s="17" t="str">
        <f>IF(AG4058="","",INDEX('Quitados DUPP'!$G$1:$G$6635,AG4058))</f>
        <v/>
      </c>
      <c r="AJ4058" s="17" t="str">
        <f t="shared" si="3"/>
        <v/>
      </c>
    </row>
    <row r="4059" spans="31:36">
      <c r="AE4059" s="15" t="str">
        <f t="shared" si="0"/>
        <v/>
      </c>
      <c r="AF4059" s="15" t="str">
        <f t="shared" si="1"/>
        <v/>
      </c>
      <c r="AG4059" s="15" t="str">
        <f>IF(OR(AF4059="",AF4059="ERRO_CHAVE"),"",IFERROR(MATCH(AF4059,'Quitados DUPP'!$U$1:$U$6635,0),""))</f>
        <v/>
      </c>
      <c r="AH4059" s="15" t="str">
        <f t="shared" si="2"/>
        <v/>
      </c>
      <c r="AI4059" s="17" t="str">
        <f>IF(AG4059="","",INDEX('Quitados DUPP'!$G$1:$G$6635,AG4059))</f>
        <v/>
      </c>
      <c r="AJ4059" s="17" t="str">
        <f t="shared" si="3"/>
        <v/>
      </c>
    </row>
    <row r="4060" spans="31:36">
      <c r="AE4060" s="15" t="str">
        <f t="shared" si="0"/>
        <v/>
      </c>
      <c r="AF4060" s="15" t="str">
        <f t="shared" si="1"/>
        <v/>
      </c>
      <c r="AG4060" s="15" t="str">
        <f>IF(OR(AF4060="",AF4060="ERRO_CHAVE"),"",IFERROR(MATCH(AF4060,'Quitados DUPP'!$U$1:$U$6635,0),""))</f>
        <v/>
      </c>
      <c r="AH4060" s="15" t="str">
        <f t="shared" si="2"/>
        <v/>
      </c>
      <c r="AI4060" s="17" t="str">
        <f>IF(AG4060="","",INDEX('Quitados DUPP'!$G$1:$G$6635,AG4060))</f>
        <v/>
      </c>
      <c r="AJ4060" s="17" t="str">
        <f t="shared" si="3"/>
        <v/>
      </c>
    </row>
    <row r="4061" spans="31:36">
      <c r="AE4061" s="15" t="str">
        <f t="shared" si="0"/>
        <v/>
      </c>
      <c r="AF4061" s="15" t="str">
        <f t="shared" si="1"/>
        <v/>
      </c>
      <c r="AG4061" s="15" t="str">
        <f>IF(OR(AF4061="",AF4061="ERRO_CHAVE"),"",IFERROR(MATCH(AF4061,'Quitados DUPP'!$U$1:$U$6635,0),""))</f>
        <v/>
      </c>
      <c r="AH4061" s="15" t="str">
        <f t="shared" si="2"/>
        <v/>
      </c>
      <c r="AI4061" s="17" t="str">
        <f>IF(AG4061="","",INDEX('Quitados DUPP'!$G$1:$G$6635,AG4061))</f>
        <v/>
      </c>
      <c r="AJ4061" s="17" t="str">
        <f t="shared" si="3"/>
        <v/>
      </c>
    </row>
    <row r="4062" spans="31:36">
      <c r="AE4062" s="15" t="str">
        <f t="shared" si="0"/>
        <v/>
      </c>
      <c r="AF4062" s="15" t="str">
        <f t="shared" si="1"/>
        <v/>
      </c>
      <c r="AG4062" s="15" t="str">
        <f>IF(OR(AF4062="",AF4062="ERRO_CHAVE"),"",IFERROR(MATCH(AF4062,'Quitados DUPP'!$U$1:$U$6635,0),""))</f>
        <v/>
      </c>
      <c r="AH4062" s="15" t="str">
        <f t="shared" si="2"/>
        <v/>
      </c>
      <c r="AI4062" s="17" t="str">
        <f>IF(AG4062="","",INDEX('Quitados DUPP'!$G$1:$G$6635,AG4062))</f>
        <v/>
      </c>
      <c r="AJ4062" s="17" t="str">
        <f t="shared" si="3"/>
        <v/>
      </c>
    </row>
    <row r="4063" spans="31:36">
      <c r="AE4063" s="15" t="str">
        <f t="shared" si="0"/>
        <v/>
      </c>
      <c r="AF4063" s="15" t="str">
        <f t="shared" si="1"/>
        <v/>
      </c>
      <c r="AG4063" s="15" t="str">
        <f>IF(OR(AF4063="",AF4063="ERRO_CHAVE"),"",IFERROR(MATCH(AF4063,'Quitados DUPP'!$U$1:$U$6635,0),""))</f>
        <v/>
      </c>
      <c r="AH4063" s="15" t="str">
        <f t="shared" si="2"/>
        <v/>
      </c>
      <c r="AI4063" s="17" t="str">
        <f>IF(AG4063="","",INDEX('Quitados DUPP'!$G$1:$G$6635,AG4063))</f>
        <v/>
      </c>
      <c r="AJ4063" s="17" t="str">
        <f t="shared" si="3"/>
        <v/>
      </c>
    </row>
    <row r="4064" spans="31:36">
      <c r="AE4064" s="15" t="str">
        <f t="shared" si="0"/>
        <v/>
      </c>
      <c r="AF4064" s="15" t="str">
        <f t="shared" si="1"/>
        <v/>
      </c>
      <c r="AG4064" s="15" t="str">
        <f>IF(OR(AF4064="",AF4064="ERRO_CHAVE"),"",IFERROR(MATCH(AF4064,'Quitados DUPP'!$U$1:$U$6635,0),""))</f>
        <v/>
      </c>
      <c r="AH4064" s="15" t="str">
        <f t="shared" si="2"/>
        <v/>
      </c>
      <c r="AI4064" s="17" t="str">
        <f>IF(AG4064="","",INDEX('Quitados DUPP'!$G$1:$G$6635,AG4064))</f>
        <v/>
      </c>
      <c r="AJ4064" s="17" t="str">
        <f t="shared" si="3"/>
        <v/>
      </c>
    </row>
    <row r="4065" spans="31:36">
      <c r="AE4065" s="15" t="str">
        <f t="shared" si="0"/>
        <v/>
      </c>
      <c r="AF4065" s="15" t="str">
        <f t="shared" si="1"/>
        <v/>
      </c>
      <c r="AG4065" s="15" t="str">
        <f>IF(OR(AF4065="",AF4065="ERRO_CHAVE"),"",IFERROR(MATCH(AF4065,'Quitados DUPP'!$U$1:$U$6635,0),""))</f>
        <v/>
      </c>
      <c r="AH4065" s="15" t="str">
        <f t="shared" si="2"/>
        <v/>
      </c>
      <c r="AI4065" s="17" t="str">
        <f>IF(AG4065="","",INDEX('Quitados DUPP'!$G$1:$G$6635,AG4065))</f>
        <v/>
      </c>
      <c r="AJ4065" s="17" t="str">
        <f t="shared" si="3"/>
        <v/>
      </c>
    </row>
    <row r="4066" spans="31:36">
      <c r="AE4066" s="15" t="str">
        <f t="shared" si="0"/>
        <v/>
      </c>
      <c r="AF4066" s="15" t="str">
        <f t="shared" si="1"/>
        <v/>
      </c>
      <c r="AG4066" s="15" t="str">
        <f>IF(OR(AF4066="",AF4066="ERRO_CHAVE"),"",IFERROR(MATCH(AF4066,'Quitados DUPP'!$U$1:$U$6635,0),""))</f>
        <v/>
      </c>
      <c r="AH4066" s="15" t="str">
        <f t="shared" si="2"/>
        <v/>
      </c>
      <c r="AI4066" s="17" t="str">
        <f>IF(AG4066="","",INDEX('Quitados DUPP'!$G$1:$G$6635,AG4066))</f>
        <v/>
      </c>
      <c r="AJ4066" s="17" t="str">
        <f t="shared" si="3"/>
        <v/>
      </c>
    </row>
    <row r="4067" spans="31:36">
      <c r="AE4067" s="15" t="str">
        <f t="shared" si="0"/>
        <v/>
      </c>
      <c r="AF4067" s="15" t="str">
        <f t="shared" si="1"/>
        <v/>
      </c>
      <c r="AG4067" s="15" t="str">
        <f>IF(OR(AF4067="",AF4067="ERRO_CHAVE"),"",IFERROR(MATCH(AF4067,'Quitados DUPP'!$U$1:$U$6635,0),""))</f>
        <v/>
      </c>
      <c r="AH4067" s="15" t="str">
        <f t="shared" si="2"/>
        <v/>
      </c>
      <c r="AI4067" s="17" t="str">
        <f>IF(AG4067="","",INDEX('Quitados DUPP'!$G$1:$G$6635,AG4067))</f>
        <v/>
      </c>
      <c r="AJ4067" s="17" t="str">
        <f t="shared" si="3"/>
        <v/>
      </c>
    </row>
    <row r="4068" spans="31:36">
      <c r="AE4068" s="15" t="str">
        <f t="shared" si="0"/>
        <v/>
      </c>
      <c r="AF4068" s="15" t="str">
        <f t="shared" si="1"/>
        <v/>
      </c>
      <c r="AG4068" s="15" t="str">
        <f>IF(OR(AF4068="",AF4068="ERRO_CHAVE"),"",IFERROR(MATCH(AF4068,'Quitados DUPP'!$U$1:$U$6635,0),""))</f>
        <v/>
      </c>
      <c r="AH4068" s="15" t="str">
        <f t="shared" si="2"/>
        <v/>
      </c>
      <c r="AI4068" s="17" t="str">
        <f>IF(AG4068="","",INDEX('Quitados DUPP'!$G$1:$G$6635,AG4068))</f>
        <v/>
      </c>
      <c r="AJ4068" s="17" t="str">
        <f t="shared" si="3"/>
        <v/>
      </c>
    </row>
    <row r="4069" spans="31:36">
      <c r="AE4069" s="15" t="str">
        <f t="shared" si="0"/>
        <v/>
      </c>
      <c r="AF4069" s="15" t="str">
        <f t="shared" si="1"/>
        <v/>
      </c>
      <c r="AG4069" s="15" t="str">
        <f>IF(OR(AF4069="",AF4069="ERRO_CHAVE"),"",IFERROR(MATCH(AF4069,'Quitados DUPP'!$U$1:$U$6635,0),""))</f>
        <v/>
      </c>
      <c r="AH4069" s="15" t="str">
        <f t="shared" si="2"/>
        <v/>
      </c>
      <c r="AI4069" s="17" t="str">
        <f>IF(AG4069="","",INDEX('Quitados DUPP'!$G$1:$G$6635,AG4069))</f>
        <v/>
      </c>
      <c r="AJ4069" s="17" t="str">
        <f t="shared" si="3"/>
        <v/>
      </c>
    </row>
    <row r="4070" spans="31:36">
      <c r="AE4070" s="15" t="str">
        <f t="shared" si="0"/>
        <v/>
      </c>
      <c r="AF4070" s="15" t="str">
        <f t="shared" si="1"/>
        <v/>
      </c>
      <c r="AG4070" s="15" t="str">
        <f>IF(OR(AF4070="",AF4070="ERRO_CHAVE"),"",IFERROR(MATCH(AF4070,'Quitados DUPP'!$U$1:$U$6635,0),""))</f>
        <v/>
      </c>
      <c r="AH4070" s="15" t="str">
        <f t="shared" si="2"/>
        <v/>
      </c>
      <c r="AI4070" s="17" t="str">
        <f>IF(AG4070="","",INDEX('Quitados DUPP'!$G$1:$G$6635,AG4070))</f>
        <v/>
      </c>
      <c r="AJ4070" s="17" t="str">
        <f t="shared" si="3"/>
        <v/>
      </c>
    </row>
    <row r="4071" spans="31:36">
      <c r="AE4071" s="15" t="str">
        <f t="shared" si="0"/>
        <v/>
      </c>
      <c r="AF4071" s="15" t="str">
        <f t="shared" si="1"/>
        <v/>
      </c>
      <c r="AG4071" s="15" t="str">
        <f>IF(OR(AF4071="",AF4071="ERRO_CHAVE"),"",IFERROR(MATCH(AF4071,'Quitados DUPP'!$U$1:$U$6635,0),""))</f>
        <v/>
      </c>
      <c r="AH4071" s="15" t="str">
        <f t="shared" si="2"/>
        <v/>
      </c>
      <c r="AI4071" s="17" t="str">
        <f>IF(AG4071="","",INDEX('Quitados DUPP'!$G$1:$G$6635,AG4071))</f>
        <v/>
      </c>
      <c r="AJ4071" s="17" t="str">
        <f t="shared" si="3"/>
        <v/>
      </c>
    </row>
    <row r="4072" spans="31:36">
      <c r="AE4072" s="15" t="str">
        <f t="shared" si="0"/>
        <v/>
      </c>
      <c r="AF4072" s="15" t="str">
        <f t="shared" si="1"/>
        <v/>
      </c>
      <c r="AG4072" s="15" t="str">
        <f>IF(OR(AF4072="",AF4072="ERRO_CHAVE"),"",IFERROR(MATCH(AF4072,'Quitados DUPP'!$U$1:$U$6635,0),""))</f>
        <v/>
      </c>
      <c r="AH4072" s="15" t="str">
        <f t="shared" si="2"/>
        <v/>
      </c>
      <c r="AI4072" s="17" t="str">
        <f>IF(AG4072="","",INDEX('Quitados DUPP'!$G$1:$G$6635,AG4072))</f>
        <v/>
      </c>
      <c r="AJ4072" s="17" t="str">
        <f t="shared" si="3"/>
        <v/>
      </c>
    </row>
    <row r="4073" spans="31:36">
      <c r="AE4073" s="15" t="str">
        <f t="shared" si="0"/>
        <v/>
      </c>
      <c r="AF4073" s="15" t="str">
        <f t="shared" si="1"/>
        <v/>
      </c>
      <c r="AG4073" s="15" t="str">
        <f>IF(OR(AF4073="",AF4073="ERRO_CHAVE"),"",IFERROR(MATCH(AF4073,'Quitados DUPP'!$U$1:$U$6635,0),""))</f>
        <v/>
      </c>
      <c r="AH4073" s="15" t="str">
        <f t="shared" si="2"/>
        <v/>
      </c>
      <c r="AI4073" s="17" t="str">
        <f>IF(AG4073="","",INDEX('Quitados DUPP'!$G$1:$G$6635,AG4073))</f>
        <v/>
      </c>
      <c r="AJ4073" s="17" t="str">
        <f t="shared" si="3"/>
        <v/>
      </c>
    </row>
    <row r="4074" spans="31:36">
      <c r="AE4074" s="15" t="str">
        <f t="shared" si="0"/>
        <v/>
      </c>
      <c r="AF4074" s="15" t="str">
        <f t="shared" si="1"/>
        <v/>
      </c>
      <c r="AG4074" s="15" t="str">
        <f>IF(OR(AF4074="",AF4074="ERRO_CHAVE"),"",IFERROR(MATCH(AF4074,'Quitados DUPP'!$U$1:$U$6635,0),""))</f>
        <v/>
      </c>
      <c r="AH4074" s="15" t="str">
        <f t="shared" si="2"/>
        <v/>
      </c>
      <c r="AI4074" s="17" t="str">
        <f>IF(AG4074="","",INDEX('Quitados DUPP'!$G$1:$G$6635,AG4074))</f>
        <v/>
      </c>
      <c r="AJ4074" s="17" t="str">
        <f t="shared" si="3"/>
        <v/>
      </c>
    </row>
    <row r="4075" spans="31:36">
      <c r="AE4075" s="15" t="str">
        <f t="shared" si="0"/>
        <v/>
      </c>
      <c r="AF4075" s="15" t="str">
        <f t="shared" si="1"/>
        <v/>
      </c>
      <c r="AG4075" s="15" t="str">
        <f>IF(OR(AF4075="",AF4075="ERRO_CHAVE"),"",IFERROR(MATCH(AF4075,'Quitados DUPP'!$U$1:$U$6635,0),""))</f>
        <v/>
      </c>
      <c r="AH4075" s="15" t="str">
        <f t="shared" si="2"/>
        <v/>
      </c>
      <c r="AI4075" s="17" t="str">
        <f>IF(AG4075="","",INDEX('Quitados DUPP'!$G$1:$G$6635,AG4075))</f>
        <v/>
      </c>
      <c r="AJ4075" s="17" t="str">
        <f t="shared" si="3"/>
        <v/>
      </c>
    </row>
    <row r="4076" spans="31:36">
      <c r="AE4076" s="15" t="str">
        <f t="shared" si="0"/>
        <v/>
      </c>
      <c r="AF4076" s="15" t="str">
        <f t="shared" si="1"/>
        <v/>
      </c>
      <c r="AG4076" s="15" t="str">
        <f>IF(OR(AF4076="",AF4076="ERRO_CHAVE"),"",IFERROR(MATCH(AF4076,'Quitados DUPP'!$U$1:$U$6635,0),""))</f>
        <v/>
      </c>
      <c r="AH4076" s="15" t="str">
        <f t="shared" si="2"/>
        <v/>
      </c>
      <c r="AI4076" s="17" t="str">
        <f>IF(AG4076="","",INDEX('Quitados DUPP'!$G$1:$G$6635,AG4076))</f>
        <v/>
      </c>
      <c r="AJ4076" s="17" t="str">
        <f t="shared" si="3"/>
        <v/>
      </c>
    </row>
    <row r="4077" spans="31:36">
      <c r="AE4077" s="15" t="str">
        <f t="shared" si="0"/>
        <v/>
      </c>
      <c r="AF4077" s="15" t="str">
        <f t="shared" si="1"/>
        <v/>
      </c>
      <c r="AG4077" s="15" t="str">
        <f>IF(OR(AF4077="",AF4077="ERRO_CHAVE"),"",IFERROR(MATCH(AF4077,'Quitados DUPP'!$U$1:$U$6635,0),""))</f>
        <v/>
      </c>
      <c r="AH4077" s="15" t="str">
        <f t="shared" si="2"/>
        <v/>
      </c>
      <c r="AI4077" s="17" t="str">
        <f>IF(AG4077="","",INDEX('Quitados DUPP'!$G$1:$G$6635,AG4077))</f>
        <v/>
      </c>
      <c r="AJ4077" s="17" t="str">
        <f t="shared" si="3"/>
        <v/>
      </c>
    </row>
    <row r="4078" spans="31:36">
      <c r="AE4078" s="15" t="str">
        <f t="shared" si="0"/>
        <v/>
      </c>
      <c r="AF4078" s="15" t="str">
        <f t="shared" si="1"/>
        <v/>
      </c>
      <c r="AG4078" s="15" t="str">
        <f>IF(OR(AF4078="",AF4078="ERRO_CHAVE"),"",IFERROR(MATCH(AF4078,'Quitados DUPP'!$U$1:$U$6635,0),""))</f>
        <v/>
      </c>
      <c r="AH4078" s="15" t="str">
        <f t="shared" si="2"/>
        <v/>
      </c>
      <c r="AI4078" s="17" t="str">
        <f>IF(AG4078="","",INDEX('Quitados DUPP'!$G$1:$G$6635,AG4078))</f>
        <v/>
      </c>
      <c r="AJ4078" s="17" t="str">
        <f t="shared" si="3"/>
        <v/>
      </c>
    </row>
    <row r="4079" spans="31:36">
      <c r="AE4079" s="15" t="str">
        <f t="shared" si="0"/>
        <v/>
      </c>
      <c r="AF4079" s="15" t="str">
        <f t="shared" si="1"/>
        <v/>
      </c>
      <c r="AG4079" s="15" t="str">
        <f>IF(OR(AF4079="",AF4079="ERRO_CHAVE"),"",IFERROR(MATCH(AF4079,'Quitados DUPP'!$U$1:$U$6635,0),""))</f>
        <v/>
      </c>
      <c r="AH4079" s="15" t="str">
        <f t="shared" si="2"/>
        <v/>
      </c>
      <c r="AI4079" s="17" t="str">
        <f>IF(AG4079="","",INDEX('Quitados DUPP'!$G$1:$G$6635,AG4079))</f>
        <v/>
      </c>
      <c r="AJ4079" s="17" t="str">
        <f t="shared" si="3"/>
        <v/>
      </c>
    </row>
    <row r="4080" spans="31:36">
      <c r="AE4080" s="15" t="str">
        <f t="shared" si="0"/>
        <v/>
      </c>
      <c r="AF4080" s="15" t="str">
        <f t="shared" si="1"/>
        <v/>
      </c>
      <c r="AG4080" s="15" t="str">
        <f>IF(OR(AF4080="",AF4080="ERRO_CHAVE"),"",IFERROR(MATCH(AF4080,'Quitados DUPP'!$U$1:$U$6635,0),""))</f>
        <v/>
      </c>
      <c r="AH4080" s="15" t="str">
        <f t="shared" si="2"/>
        <v/>
      </c>
      <c r="AI4080" s="17" t="str">
        <f>IF(AG4080="","",INDEX('Quitados DUPP'!$G$1:$G$6635,AG4080))</f>
        <v/>
      </c>
      <c r="AJ4080" s="17" t="str">
        <f t="shared" si="3"/>
        <v/>
      </c>
    </row>
    <row r="4081" spans="31:36">
      <c r="AE4081" s="15" t="str">
        <f t="shared" si="0"/>
        <v/>
      </c>
      <c r="AF4081" s="15" t="str">
        <f t="shared" si="1"/>
        <v/>
      </c>
      <c r="AG4081" s="15" t="str">
        <f>IF(OR(AF4081="",AF4081="ERRO_CHAVE"),"",IFERROR(MATCH(AF4081,'Quitados DUPP'!$U$1:$U$6635,0),""))</f>
        <v/>
      </c>
      <c r="AH4081" s="15" t="str">
        <f t="shared" si="2"/>
        <v/>
      </c>
      <c r="AI4081" s="17" t="str">
        <f>IF(AG4081="","",INDEX('Quitados DUPP'!$G$1:$G$6635,AG4081))</f>
        <v/>
      </c>
      <c r="AJ4081" s="17" t="str">
        <f t="shared" si="3"/>
        <v/>
      </c>
    </row>
    <row r="4082" spans="31:36">
      <c r="AE4082" s="15" t="str">
        <f t="shared" si="0"/>
        <v/>
      </c>
      <c r="AF4082" s="15" t="str">
        <f t="shared" si="1"/>
        <v/>
      </c>
      <c r="AG4082" s="15" t="str">
        <f>IF(OR(AF4082="",AF4082="ERRO_CHAVE"),"",IFERROR(MATCH(AF4082,'Quitados DUPP'!$U$1:$U$6635,0),""))</f>
        <v/>
      </c>
      <c r="AH4082" s="15" t="str">
        <f t="shared" si="2"/>
        <v/>
      </c>
      <c r="AI4082" s="17" t="str">
        <f>IF(AG4082="","",INDEX('Quitados DUPP'!$G$1:$G$6635,AG4082))</f>
        <v/>
      </c>
      <c r="AJ4082" s="17" t="str">
        <f t="shared" si="3"/>
        <v/>
      </c>
    </row>
    <row r="4083" spans="31:36">
      <c r="AE4083" s="15" t="str">
        <f t="shared" si="0"/>
        <v/>
      </c>
      <c r="AF4083" s="15" t="str">
        <f t="shared" si="1"/>
        <v/>
      </c>
      <c r="AG4083" s="15" t="str">
        <f>IF(OR(AF4083="",AF4083="ERRO_CHAVE"),"",IFERROR(MATCH(AF4083,'Quitados DUPP'!$U$1:$U$6635,0),""))</f>
        <v/>
      </c>
      <c r="AH4083" s="15" t="str">
        <f t="shared" si="2"/>
        <v/>
      </c>
      <c r="AI4083" s="17" t="str">
        <f>IF(AG4083="","",INDEX('Quitados DUPP'!$G$1:$G$6635,AG4083))</f>
        <v/>
      </c>
      <c r="AJ4083" s="17" t="str">
        <f t="shared" si="3"/>
        <v/>
      </c>
    </row>
    <row r="4084" spans="31:36">
      <c r="AE4084" s="15" t="str">
        <f t="shared" si="0"/>
        <v/>
      </c>
      <c r="AF4084" s="15" t="str">
        <f t="shared" si="1"/>
        <v/>
      </c>
      <c r="AG4084" s="15" t="str">
        <f>IF(OR(AF4084="",AF4084="ERRO_CHAVE"),"",IFERROR(MATCH(AF4084,'Quitados DUPP'!$U$1:$U$6635,0),""))</f>
        <v/>
      </c>
      <c r="AH4084" s="15" t="str">
        <f t="shared" si="2"/>
        <v/>
      </c>
      <c r="AI4084" s="17" t="str">
        <f>IF(AG4084="","",INDEX('Quitados DUPP'!$G$1:$G$6635,AG4084))</f>
        <v/>
      </c>
      <c r="AJ4084" s="17" t="str">
        <f t="shared" si="3"/>
        <v/>
      </c>
    </row>
    <row r="4085" spans="31:36">
      <c r="AE4085" s="15" t="str">
        <f t="shared" si="0"/>
        <v/>
      </c>
      <c r="AF4085" s="15" t="str">
        <f t="shared" si="1"/>
        <v/>
      </c>
      <c r="AG4085" s="15" t="str">
        <f>IF(OR(AF4085="",AF4085="ERRO_CHAVE"),"",IFERROR(MATCH(AF4085,'Quitados DUPP'!$U$1:$U$6635,0),""))</f>
        <v/>
      </c>
      <c r="AH4085" s="15" t="str">
        <f t="shared" si="2"/>
        <v/>
      </c>
      <c r="AI4085" s="17" t="str">
        <f>IF(AG4085="","",INDEX('Quitados DUPP'!$G$1:$G$6635,AG4085))</f>
        <v/>
      </c>
      <c r="AJ4085" s="17" t="str">
        <f t="shared" si="3"/>
        <v/>
      </c>
    </row>
    <row r="4086" spans="31:36">
      <c r="AE4086" s="15" t="str">
        <f t="shared" si="0"/>
        <v/>
      </c>
      <c r="AF4086" s="15" t="str">
        <f t="shared" si="1"/>
        <v/>
      </c>
      <c r="AG4086" s="15" t="str">
        <f>IF(OR(AF4086="",AF4086="ERRO_CHAVE"),"",IFERROR(MATCH(AF4086,'Quitados DUPP'!$U$1:$U$6635,0),""))</f>
        <v/>
      </c>
      <c r="AH4086" s="15" t="str">
        <f t="shared" si="2"/>
        <v/>
      </c>
      <c r="AI4086" s="17" t="str">
        <f>IF(AG4086="","",INDEX('Quitados DUPP'!$G$1:$G$6635,AG4086))</f>
        <v/>
      </c>
      <c r="AJ4086" s="17" t="str">
        <f t="shared" si="3"/>
        <v/>
      </c>
    </row>
    <row r="4087" spans="31:36">
      <c r="AE4087" s="15" t="str">
        <f t="shared" si="0"/>
        <v/>
      </c>
      <c r="AF4087" s="15" t="str">
        <f t="shared" si="1"/>
        <v/>
      </c>
      <c r="AG4087" s="15" t="str">
        <f>IF(OR(AF4087="",AF4087="ERRO_CHAVE"),"",IFERROR(MATCH(AF4087,'Quitados DUPP'!$U$1:$U$6635,0),""))</f>
        <v/>
      </c>
      <c r="AH4087" s="15" t="str">
        <f t="shared" si="2"/>
        <v/>
      </c>
      <c r="AI4087" s="17" t="str">
        <f>IF(AG4087="","",INDEX('Quitados DUPP'!$G$1:$G$6635,AG4087))</f>
        <v/>
      </c>
      <c r="AJ4087" s="17" t="str">
        <f t="shared" si="3"/>
        <v/>
      </c>
    </row>
    <row r="4088" spans="31:36">
      <c r="AE4088" s="15" t="str">
        <f t="shared" si="0"/>
        <v/>
      </c>
      <c r="AF4088" s="15" t="str">
        <f t="shared" si="1"/>
        <v/>
      </c>
      <c r="AG4088" s="15" t="str">
        <f>IF(OR(AF4088="",AF4088="ERRO_CHAVE"),"",IFERROR(MATCH(AF4088,'Quitados DUPP'!$U$1:$U$6635,0),""))</f>
        <v/>
      </c>
      <c r="AH4088" s="15" t="str">
        <f t="shared" si="2"/>
        <v/>
      </c>
      <c r="AI4088" s="17" t="str">
        <f>IF(AG4088="","",INDEX('Quitados DUPP'!$G$1:$G$6635,AG4088))</f>
        <v/>
      </c>
      <c r="AJ4088" s="17" t="str">
        <f t="shared" si="3"/>
        <v/>
      </c>
    </row>
    <row r="4089" spans="31:36">
      <c r="AE4089" s="15" t="str">
        <f t="shared" si="0"/>
        <v/>
      </c>
      <c r="AF4089" s="15" t="str">
        <f t="shared" si="1"/>
        <v/>
      </c>
      <c r="AG4089" s="15" t="str">
        <f>IF(OR(AF4089="",AF4089="ERRO_CHAVE"),"",IFERROR(MATCH(AF4089,'Quitados DUPP'!$U$1:$U$6635,0),""))</f>
        <v/>
      </c>
      <c r="AH4089" s="15" t="str">
        <f t="shared" si="2"/>
        <v/>
      </c>
      <c r="AI4089" s="17" t="str">
        <f>IF(AG4089="","",INDEX('Quitados DUPP'!$G$1:$G$6635,AG4089))</f>
        <v/>
      </c>
      <c r="AJ4089" s="17" t="str">
        <f t="shared" si="3"/>
        <v/>
      </c>
    </row>
    <row r="4090" spans="31:36">
      <c r="AE4090" s="15" t="str">
        <f t="shared" si="0"/>
        <v/>
      </c>
      <c r="AF4090" s="15" t="str">
        <f t="shared" si="1"/>
        <v/>
      </c>
      <c r="AG4090" s="15" t="str">
        <f>IF(OR(AF4090="",AF4090="ERRO_CHAVE"),"",IFERROR(MATCH(AF4090,'Quitados DUPP'!$U$1:$U$6635,0),""))</f>
        <v/>
      </c>
      <c r="AH4090" s="15" t="str">
        <f t="shared" si="2"/>
        <v/>
      </c>
      <c r="AI4090" s="17" t="str">
        <f>IF(AG4090="","",INDEX('Quitados DUPP'!$G$1:$G$6635,AG4090))</f>
        <v/>
      </c>
      <c r="AJ4090" s="17" t="str">
        <f t="shared" si="3"/>
        <v/>
      </c>
    </row>
    <row r="4091" spans="31:36">
      <c r="AE4091" s="15" t="str">
        <f t="shared" si="0"/>
        <v/>
      </c>
      <c r="AF4091" s="15" t="str">
        <f t="shared" si="1"/>
        <v/>
      </c>
      <c r="AG4091" s="15" t="str">
        <f>IF(OR(AF4091="",AF4091="ERRO_CHAVE"),"",IFERROR(MATCH(AF4091,'Quitados DUPP'!$U$1:$U$6635,0),""))</f>
        <v/>
      </c>
      <c r="AH4091" s="15" t="str">
        <f t="shared" si="2"/>
        <v/>
      </c>
      <c r="AI4091" s="17" t="str">
        <f>IF(AG4091="","",INDEX('Quitados DUPP'!$G$1:$G$6635,AG4091))</f>
        <v/>
      </c>
      <c r="AJ4091" s="17" t="str">
        <f t="shared" si="3"/>
        <v/>
      </c>
    </row>
    <row r="4092" spans="31:36">
      <c r="AE4092" s="15" t="str">
        <f t="shared" si="0"/>
        <v/>
      </c>
      <c r="AF4092" s="15" t="str">
        <f t="shared" si="1"/>
        <v/>
      </c>
      <c r="AG4092" s="15" t="str">
        <f>IF(OR(AF4092="",AF4092="ERRO_CHAVE"),"",IFERROR(MATCH(AF4092,'Quitados DUPP'!$U$1:$U$6635,0),""))</f>
        <v/>
      </c>
      <c r="AH4092" s="15" t="str">
        <f t="shared" si="2"/>
        <v/>
      </c>
      <c r="AI4092" s="17" t="str">
        <f>IF(AG4092="","",INDEX('Quitados DUPP'!$G$1:$G$6635,AG4092))</f>
        <v/>
      </c>
      <c r="AJ4092" s="17" t="str">
        <f t="shared" si="3"/>
        <v/>
      </c>
    </row>
    <row r="4093" spans="31:36">
      <c r="AE4093" s="15" t="str">
        <f t="shared" si="0"/>
        <v/>
      </c>
      <c r="AF4093" s="15" t="str">
        <f t="shared" si="1"/>
        <v/>
      </c>
      <c r="AG4093" s="15" t="str">
        <f>IF(OR(AF4093="",AF4093="ERRO_CHAVE"),"",IFERROR(MATCH(AF4093,'Quitados DUPP'!$U$1:$U$6635,0),""))</f>
        <v/>
      </c>
      <c r="AH4093" s="15" t="str">
        <f t="shared" si="2"/>
        <v/>
      </c>
      <c r="AI4093" s="17" t="str">
        <f>IF(AG4093="","",INDEX('Quitados DUPP'!$G$1:$G$6635,AG4093))</f>
        <v/>
      </c>
      <c r="AJ4093" s="17" t="str">
        <f t="shared" si="3"/>
        <v/>
      </c>
    </row>
    <row r="4094" spans="31:36">
      <c r="AE4094" s="15" t="str">
        <f t="shared" si="0"/>
        <v/>
      </c>
      <c r="AF4094" s="15" t="str">
        <f t="shared" si="1"/>
        <v/>
      </c>
      <c r="AG4094" s="15" t="str">
        <f>IF(OR(AF4094="",AF4094="ERRO_CHAVE"),"",IFERROR(MATCH(AF4094,'Quitados DUPP'!$U$1:$U$6635,0),""))</f>
        <v/>
      </c>
      <c r="AH4094" s="15" t="str">
        <f t="shared" si="2"/>
        <v/>
      </c>
      <c r="AI4094" s="17" t="str">
        <f>IF(AG4094="","",INDEX('Quitados DUPP'!$G$1:$G$6635,AG4094))</f>
        <v/>
      </c>
      <c r="AJ4094" s="17" t="str">
        <f t="shared" si="3"/>
        <v/>
      </c>
    </row>
    <row r="4095" spans="31:36">
      <c r="AE4095" s="15" t="str">
        <f t="shared" si="0"/>
        <v/>
      </c>
      <c r="AF4095" s="15" t="str">
        <f t="shared" si="1"/>
        <v/>
      </c>
      <c r="AG4095" s="15" t="str">
        <f>IF(OR(AF4095="",AF4095="ERRO_CHAVE"),"",IFERROR(MATCH(AF4095,'Quitados DUPP'!$U$1:$U$6635,0),""))</f>
        <v/>
      </c>
      <c r="AH4095" s="15" t="str">
        <f t="shared" si="2"/>
        <v/>
      </c>
      <c r="AI4095" s="17" t="str">
        <f>IF(AG4095="","",INDEX('Quitados DUPP'!$G$1:$G$6635,AG4095))</f>
        <v/>
      </c>
      <c r="AJ4095" s="17" t="str">
        <f t="shared" si="3"/>
        <v/>
      </c>
    </row>
    <row r="4096" spans="31:36">
      <c r="AE4096" s="15" t="str">
        <f t="shared" si="0"/>
        <v/>
      </c>
      <c r="AF4096" s="15" t="str">
        <f t="shared" si="1"/>
        <v/>
      </c>
      <c r="AG4096" s="15" t="str">
        <f>IF(OR(AF4096="",AF4096="ERRO_CHAVE"),"",IFERROR(MATCH(AF4096,'Quitados DUPP'!$U$1:$U$6635,0),""))</f>
        <v/>
      </c>
      <c r="AH4096" s="15" t="str">
        <f t="shared" si="2"/>
        <v/>
      </c>
      <c r="AI4096" s="17" t="str">
        <f>IF(AG4096="","",INDEX('Quitados DUPP'!$G$1:$G$6635,AG4096))</f>
        <v/>
      </c>
      <c r="AJ4096" s="17" t="str">
        <f t="shared" si="3"/>
        <v/>
      </c>
    </row>
    <row r="4097" spans="31:36">
      <c r="AE4097" s="15" t="str">
        <f t="shared" si="0"/>
        <v/>
      </c>
      <c r="AF4097" s="15" t="str">
        <f t="shared" si="1"/>
        <v/>
      </c>
      <c r="AG4097" s="15" t="str">
        <f>IF(OR(AF4097="",AF4097="ERRO_CHAVE"),"",IFERROR(MATCH(AF4097,'Quitados DUPP'!$U$1:$U$6635,0),""))</f>
        <v/>
      </c>
      <c r="AH4097" s="15" t="str">
        <f t="shared" si="2"/>
        <v/>
      </c>
      <c r="AI4097" s="17" t="str">
        <f>IF(AG4097="","",INDEX('Quitados DUPP'!$G$1:$G$6635,AG4097))</f>
        <v/>
      </c>
      <c r="AJ4097" s="17" t="str">
        <f t="shared" si="3"/>
        <v/>
      </c>
    </row>
    <row r="4098" spans="31:36">
      <c r="AE4098" s="15" t="str">
        <f t="shared" si="0"/>
        <v/>
      </c>
      <c r="AF4098" s="15" t="str">
        <f t="shared" si="1"/>
        <v/>
      </c>
      <c r="AG4098" s="15" t="str">
        <f>IF(OR(AF4098="",AF4098="ERRO_CHAVE"),"",IFERROR(MATCH(AF4098,'Quitados DUPP'!$U$1:$U$6635,0),""))</f>
        <v/>
      </c>
      <c r="AH4098" s="15" t="str">
        <f t="shared" si="2"/>
        <v/>
      </c>
      <c r="AI4098" s="17" t="str">
        <f>IF(AG4098="","",INDEX('Quitados DUPP'!$G$1:$G$6635,AG4098))</f>
        <v/>
      </c>
      <c r="AJ4098" s="17" t="str">
        <f t="shared" si="3"/>
        <v/>
      </c>
    </row>
    <row r="4099" spans="31:36">
      <c r="AE4099" s="15" t="str">
        <f t="shared" si="0"/>
        <v/>
      </c>
      <c r="AF4099" s="15" t="str">
        <f t="shared" si="1"/>
        <v/>
      </c>
      <c r="AG4099" s="15" t="str">
        <f>IF(OR(AF4099="",AF4099="ERRO_CHAVE"),"",IFERROR(MATCH(AF4099,'Quitados DUPP'!$U$1:$U$6635,0),""))</f>
        <v/>
      </c>
      <c r="AH4099" s="15" t="str">
        <f t="shared" si="2"/>
        <v/>
      </c>
      <c r="AI4099" s="17" t="str">
        <f>IF(AG4099="","",INDEX('Quitados DUPP'!$G$1:$G$6635,AG4099))</f>
        <v/>
      </c>
      <c r="AJ4099" s="17" t="str">
        <f t="shared" si="3"/>
        <v/>
      </c>
    </row>
    <row r="4100" spans="31:36">
      <c r="AE4100" s="15" t="str">
        <f t="shared" si="0"/>
        <v/>
      </c>
      <c r="AF4100" s="15" t="str">
        <f t="shared" si="1"/>
        <v/>
      </c>
      <c r="AG4100" s="15" t="str">
        <f>IF(OR(AF4100="",AF4100="ERRO_CHAVE"),"",IFERROR(MATCH(AF4100,'Quitados DUPP'!$U$1:$U$6635,0),""))</f>
        <v/>
      </c>
      <c r="AH4100" s="15" t="str">
        <f t="shared" si="2"/>
        <v/>
      </c>
      <c r="AI4100" s="17" t="str">
        <f>IF(AG4100="","",INDEX('Quitados DUPP'!$G$1:$G$6635,AG4100))</f>
        <v/>
      </c>
      <c r="AJ4100" s="17" t="str">
        <f t="shared" si="3"/>
        <v/>
      </c>
    </row>
    <row r="4101" spans="31:36">
      <c r="AE4101" s="15" t="str">
        <f t="shared" si="0"/>
        <v/>
      </c>
      <c r="AF4101" s="15" t="str">
        <f t="shared" si="1"/>
        <v/>
      </c>
      <c r="AG4101" s="15" t="str">
        <f>IF(OR(AF4101="",AF4101="ERRO_CHAVE"),"",IFERROR(MATCH(AF4101,'Quitados DUPP'!$U$1:$U$6635,0),""))</f>
        <v/>
      </c>
      <c r="AH4101" s="15" t="str">
        <f t="shared" si="2"/>
        <v/>
      </c>
      <c r="AI4101" s="17" t="str">
        <f>IF(AG4101="","",INDEX('Quitados DUPP'!$G$1:$G$6635,AG4101))</f>
        <v/>
      </c>
      <c r="AJ4101" s="17" t="str">
        <f t="shared" si="3"/>
        <v/>
      </c>
    </row>
    <row r="4102" spans="31:36">
      <c r="AE4102" s="15" t="str">
        <f t="shared" si="0"/>
        <v/>
      </c>
      <c r="AF4102" s="15" t="str">
        <f t="shared" si="1"/>
        <v/>
      </c>
      <c r="AG4102" s="15" t="str">
        <f>IF(OR(AF4102="",AF4102="ERRO_CHAVE"),"",IFERROR(MATCH(AF4102,'Quitados DUPP'!$U$1:$U$6635,0),""))</f>
        <v/>
      </c>
      <c r="AH4102" s="15" t="str">
        <f t="shared" si="2"/>
        <v/>
      </c>
      <c r="AI4102" s="17" t="str">
        <f>IF(AG4102="","",INDEX('Quitados DUPP'!$G$1:$G$6635,AG4102))</f>
        <v/>
      </c>
      <c r="AJ4102" s="17" t="str">
        <f t="shared" si="3"/>
        <v/>
      </c>
    </row>
    <row r="4103" spans="31:36">
      <c r="AE4103" s="15" t="str">
        <f t="shared" si="0"/>
        <v/>
      </c>
      <c r="AF4103" s="15" t="str">
        <f t="shared" si="1"/>
        <v/>
      </c>
      <c r="AG4103" s="15" t="str">
        <f>IF(OR(AF4103="",AF4103="ERRO_CHAVE"),"",IFERROR(MATCH(AF4103,'Quitados DUPP'!$U$1:$U$6635,0),""))</f>
        <v/>
      </c>
      <c r="AH4103" s="15" t="str">
        <f t="shared" si="2"/>
        <v/>
      </c>
      <c r="AI4103" s="17" t="str">
        <f>IF(AG4103="","",INDEX('Quitados DUPP'!$G$1:$G$6635,AG4103))</f>
        <v/>
      </c>
      <c r="AJ4103" s="17" t="str">
        <f t="shared" si="3"/>
        <v/>
      </c>
    </row>
    <row r="4104" spans="31:36">
      <c r="AE4104" s="15" t="str">
        <f t="shared" si="0"/>
        <v/>
      </c>
      <c r="AF4104" s="15" t="str">
        <f t="shared" si="1"/>
        <v/>
      </c>
      <c r="AG4104" s="15" t="str">
        <f>IF(OR(AF4104="",AF4104="ERRO_CHAVE"),"",IFERROR(MATCH(AF4104,'Quitados DUPP'!$U$1:$U$6635,0),""))</f>
        <v/>
      </c>
      <c r="AH4104" s="15" t="str">
        <f t="shared" si="2"/>
        <v/>
      </c>
      <c r="AI4104" s="17" t="str">
        <f>IF(AG4104="","",INDEX('Quitados DUPP'!$G$1:$G$6635,AG4104))</f>
        <v/>
      </c>
      <c r="AJ4104" s="17" t="str">
        <f t="shared" si="3"/>
        <v/>
      </c>
    </row>
    <row r="4105" spans="31:36">
      <c r="AE4105" s="15" t="str">
        <f t="shared" si="0"/>
        <v/>
      </c>
      <c r="AF4105" s="15" t="str">
        <f t="shared" si="1"/>
        <v/>
      </c>
      <c r="AG4105" s="15" t="str">
        <f>IF(OR(AF4105="",AF4105="ERRO_CHAVE"),"",IFERROR(MATCH(AF4105,'Quitados DUPP'!$U$1:$U$6635,0),""))</f>
        <v/>
      </c>
      <c r="AH4105" s="15" t="str">
        <f t="shared" si="2"/>
        <v/>
      </c>
      <c r="AI4105" s="17" t="str">
        <f>IF(AG4105="","",INDEX('Quitados DUPP'!$G$1:$G$6635,AG4105))</f>
        <v/>
      </c>
      <c r="AJ4105" s="17" t="str">
        <f t="shared" si="3"/>
        <v/>
      </c>
    </row>
    <row r="4106" spans="31:36">
      <c r="AE4106" s="15" t="str">
        <f t="shared" si="0"/>
        <v/>
      </c>
      <c r="AF4106" s="15" t="str">
        <f t="shared" si="1"/>
        <v/>
      </c>
      <c r="AG4106" s="15" t="str">
        <f>IF(OR(AF4106="",AF4106="ERRO_CHAVE"),"",IFERROR(MATCH(AF4106,'Quitados DUPP'!$U$1:$U$6635,0),""))</f>
        <v/>
      </c>
      <c r="AH4106" s="15" t="str">
        <f t="shared" si="2"/>
        <v/>
      </c>
      <c r="AI4106" s="17" t="str">
        <f>IF(AG4106="","",INDEX('Quitados DUPP'!$G$1:$G$6635,AG4106))</f>
        <v/>
      </c>
      <c r="AJ4106" s="17" t="str">
        <f t="shared" si="3"/>
        <v/>
      </c>
    </row>
    <row r="4107" spans="31:36">
      <c r="AE4107" s="15" t="str">
        <f t="shared" si="0"/>
        <v/>
      </c>
      <c r="AF4107" s="15" t="str">
        <f t="shared" si="1"/>
        <v/>
      </c>
      <c r="AG4107" s="15" t="str">
        <f>IF(OR(AF4107="",AF4107="ERRO_CHAVE"),"",IFERROR(MATCH(AF4107,'Quitados DUPP'!$U$1:$U$6635,0),""))</f>
        <v/>
      </c>
      <c r="AH4107" s="15" t="str">
        <f t="shared" si="2"/>
        <v/>
      </c>
      <c r="AI4107" s="17" t="str">
        <f>IF(AG4107="","",INDEX('Quitados DUPP'!$G$1:$G$6635,AG4107))</f>
        <v/>
      </c>
      <c r="AJ4107" s="17" t="str">
        <f t="shared" si="3"/>
        <v/>
      </c>
    </row>
    <row r="4108" spans="31:36">
      <c r="AE4108" s="15" t="str">
        <f t="shared" si="0"/>
        <v/>
      </c>
      <c r="AF4108" s="15" t="str">
        <f t="shared" si="1"/>
        <v/>
      </c>
      <c r="AG4108" s="15" t="str">
        <f>IF(OR(AF4108="",AF4108="ERRO_CHAVE"),"",IFERROR(MATCH(AF4108,'Quitados DUPP'!$U$1:$U$6635,0),""))</f>
        <v/>
      </c>
      <c r="AH4108" s="15" t="str">
        <f t="shared" si="2"/>
        <v/>
      </c>
      <c r="AI4108" s="17" t="str">
        <f>IF(AG4108="","",INDEX('Quitados DUPP'!$G$1:$G$6635,AG4108))</f>
        <v/>
      </c>
      <c r="AJ4108" s="17" t="str">
        <f t="shared" si="3"/>
        <v/>
      </c>
    </row>
    <row r="4109" spans="31:36">
      <c r="AE4109" s="15" t="str">
        <f t="shared" si="0"/>
        <v/>
      </c>
      <c r="AF4109" s="15" t="str">
        <f t="shared" si="1"/>
        <v/>
      </c>
      <c r="AG4109" s="15" t="str">
        <f>IF(OR(AF4109="",AF4109="ERRO_CHAVE"),"",IFERROR(MATCH(AF4109,'Quitados DUPP'!$U$1:$U$6635,0),""))</f>
        <v/>
      </c>
      <c r="AH4109" s="15" t="str">
        <f t="shared" si="2"/>
        <v/>
      </c>
      <c r="AI4109" s="17" t="str">
        <f>IF(AG4109="","",INDEX('Quitados DUPP'!$G$1:$G$6635,AG4109))</f>
        <v/>
      </c>
      <c r="AJ4109" s="17" t="str">
        <f t="shared" si="3"/>
        <v/>
      </c>
    </row>
    <row r="4110" spans="31:36">
      <c r="AE4110" s="15" t="str">
        <f t="shared" si="0"/>
        <v/>
      </c>
      <c r="AF4110" s="15" t="str">
        <f t="shared" si="1"/>
        <v/>
      </c>
      <c r="AG4110" s="15" t="str">
        <f>IF(OR(AF4110="",AF4110="ERRO_CHAVE"),"",IFERROR(MATCH(AF4110,'Quitados DUPP'!$U$1:$U$6635,0),""))</f>
        <v/>
      </c>
      <c r="AH4110" s="15" t="str">
        <f t="shared" si="2"/>
        <v/>
      </c>
      <c r="AI4110" s="17" t="str">
        <f>IF(AG4110="","",INDEX('Quitados DUPP'!$G$1:$G$6635,AG4110))</f>
        <v/>
      </c>
      <c r="AJ4110" s="17" t="str">
        <f t="shared" si="3"/>
        <v/>
      </c>
    </row>
    <row r="4111" spans="31:36">
      <c r="AE4111" s="15" t="str">
        <f t="shared" si="0"/>
        <v/>
      </c>
      <c r="AF4111" s="15" t="str">
        <f t="shared" si="1"/>
        <v/>
      </c>
      <c r="AG4111" s="15" t="str">
        <f>IF(OR(AF4111="",AF4111="ERRO_CHAVE"),"",IFERROR(MATCH(AF4111,'Quitados DUPP'!$U$1:$U$6635,0),""))</f>
        <v/>
      </c>
      <c r="AH4111" s="15" t="str">
        <f t="shared" si="2"/>
        <v/>
      </c>
      <c r="AI4111" s="17" t="str">
        <f>IF(AG4111="","",INDEX('Quitados DUPP'!$G$1:$G$6635,AG4111))</f>
        <v/>
      </c>
      <c r="AJ4111" s="17" t="str">
        <f t="shared" si="3"/>
        <v/>
      </c>
    </row>
    <row r="4112" spans="31:36">
      <c r="AE4112" s="15" t="str">
        <f t="shared" si="0"/>
        <v/>
      </c>
      <c r="AF4112" s="15" t="str">
        <f t="shared" si="1"/>
        <v/>
      </c>
      <c r="AG4112" s="15" t="str">
        <f>IF(OR(AF4112="",AF4112="ERRO_CHAVE"),"",IFERROR(MATCH(AF4112,'Quitados DUPP'!$U$1:$U$6635,0),""))</f>
        <v/>
      </c>
      <c r="AH4112" s="15" t="str">
        <f t="shared" si="2"/>
        <v/>
      </c>
      <c r="AI4112" s="17" t="str">
        <f>IF(AG4112="","",INDEX('Quitados DUPP'!$G$1:$G$6635,AG4112))</f>
        <v/>
      </c>
      <c r="AJ4112" s="17" t="str">
        <f t="shared" si="3"/>
        <v/>
      </c>
    </row>
    <row r="4113" spans="31:36">
      <c r="AE4113" s="15" t="str">
        <f t="shared" si="0"/>
        <v/>
      </c>
      <c r="AF4113" s="15" t="str">
        <f t="shared" si="1"/>
        <v/>
      </c>
      <c r="AG4113" s="15" t="str">
        <f>IF(OR(AF4113="",AF4113="ERRO_CHAVE"),"",IFERROR(MATCH(AF4113,'Quitados DUPP'!$U$1:$U$6635,0),""))</f>
        <v/>
      </c>
      <c r="AH4113" s="15" t="str">
        <f t="shared" si="2"/>
        <v/>
      </c>
      <c r="AI4113" s="17" t="str">
        <f>IF(AG4113="","",INDEX('Quitados DUPP'!$G$1:$G$6635,AG4113))</f>
        <v/>
      </c>
      <c r="AJ4113" s="17" t="str">
        <f t="shared" si="3"/>
        <v/>
      </c>
    </row>
    <row r="4114" spans="31:36">
      <c r="AE4114" s="15" t="str">
        <f t="shared" si="0"/>
        <v/>
      </c>
      <c r="AF4114" s="15" t="str">
        <f t="shared" si="1"/>
        <v/>
      </c>
      <c r="AG4114" s="15" t="str">
        <f>IF(OR(AF4114="",AF4114="ERRO_CHAVE"),"",IFERROR(MATCH(AF4114,'Quitados DUPP'!$U$1:$U$6635,0),""))</f>
        <v/>
      </c>
      <c r="AH4114" s="15" t="str">
        <f t="shared" si="2"/>
        <v/>
      </c>
      <c r="AI4114" s="17" t="str">
        <f>IF(AG4114="","",INDEX('Quitados DUPP'!$G$1:$G$6635,AG4114))</f>
        <v/>
      </c>
      <c r="AJ4114" s="17" t="str">
        <f t="shared" si="3"/>
        <v/>
      </c>
    </row>
    <row r="4115" spans="31:36">
      <c r="AE4115" s="15" t="str">
        <f t="shared" si="0"/>
        <v/>
      </c>
      <c r="AF4115" s="15" t="str">
        <f t="shared" si="1"/>
        <v/>
      </c>
      <c r="AG4115" s="15" t="str">
        <f>IF(OR(AF4115="",AF4115="ERRO_CHAVE"),"",IFERROR(MATCH(AF4115,'Quitados DUPP'!$U$1:$U$6635,0),""))</f>
        <v/>
      </c>
      <c r="AH4115" s="15" t="str">
        <f t="shared" si="2"/>
        <v/>
      </c>
      <c r="AI4115" s="17" t="str">
        <f>IF(AG4115="","",INDEX('Quitados DUPP'!$G$1:$G$6635,AG4115))</f>
        <v/>
      </c>
      <c r="AJ4115" s="17" t="str">
        <f t="shared" si="3"/>
        <v/>
      </c>
    </row>
    <row r="4116" spans="31:36">
      <c r="AE4116" s="15" t="str">
        <f t="shared" si="0"/>
        <v/>
      </c>
      <c r="AF4116" s="15" t="str">
        <f t="shared" si="1"/>
        <v/>
      </c>
      <c r="AG4116" s="15" t="str">
        <f>IF(OR(AF4116="",AF4116="ERRO_CHAVE"),"",IFERROR(MATCH(AF4116,'Quitados DUPP'!$U$1:$U$6635,0),""))</f>
        <v/>
      </c>
      <c r="AH4116" s="15" t="str">
        <f t="shared" si="2"/>
        <v/>
      </c>
      <c r="AI4116" s="17" t="str">
        <f>IF(AG4116="","",INDEX('Quitados DUPP'!$G$1:$G$6635,AG4116))</f>
        <v/>
      </c>
      <c r="AJ4116" s="17" t="str">
        <f t="shared" si="3"/>
        <v/>
      </c>
    </row>
    <row r="4117" spans="31:36">
      <c r="AE4117" s="15" t="str">
        <f t="shared" si="0"/>
        <v/>
      </c>
      <c r="AF4117" s="15" t="str">
        <f t="shared" si="1"/>
        <v/>
      </c>
      <c r="AG4117" s="15" t="str">
        <f>IF(OR(AF4117="",AF4117="ERRO_CHAVE"),"",IFERROR(MATCH(AF4117,'Quitados DUPP'!$U$1:$U$6635,0),""))</f>
        <v/>
      </c>
      <c r="AH4117" s="15" t="str">
        <f t="shared" si="2"/>
        <v/>
      </c>
      <c r="AI4117" s="17" t="str">
        <f>IF(AG4117="","",INDEX('Quitados DUPP'!$G$1:$G$6635,AG4117))</f>
        <v/>
      </c>
      <c r="AJ4117" s="17" t="str">
        <f t="shared" si="3"/>
        <v/>
      </c>
    </row>
    <row r="4118" spans="31:36">
      <c r="AE4118" s="15" t="str">
        <f t="shared" si="0"/>
        <v/>
      </c>
      <c r="AF4118" s="15" t="str">
        <f t="shared" si="1"/>
        <v/>
      </c>
      <c r="AG4118" s="15" t="str">
        <f>IF(OR(AF4118="",AF4118="ERRO_CHAVE"),"",IFERROR(MATCH(AF4118,'Quitados DUPP'!$U$1:$U$6635,0),""))</f>
        <v/>
      </c>
      <c r="AH4118" s="15" t="str">
        <f t="shared" si="2"/>
        <v/>
      </c>
      <c r="AI4118" s="17" t="str">
        <f>IF(AG4118="","",INDEX('Quitados DUPP'!$G$1:$G$6635,AG4118))</f>
        <v/>
      </c>
      <c r="AJ4118" s="17" t="str">
        <f t="shared" si="3"/>
        <v/>
      </c>
    </row>
    <row r="4119" spans="31:36">
      <c r="AE4119" s="15" t="str">
        <f t="shared" si="0"/>
        <v/>
      </c>
      <c r="AF4119" s="15" t="str">
        <f t="shared" si="1"/>
        <v/>
      </c>
      <c r="AG4119" s="15" t="str">
        <f>IF(OR(AF4119="",AF4119="ERRO_CHAVE"),"",IFERROR(MATCH(AF4119,'Quitados DUPP'!$U$1:$U$6635,0),""))</f>
        <v/>
      </c>
      <c r="AH4119" s="15" t="str">
        <f t="shared" si="2"/>
        <v/>
      </c>
      <c r="AI4119" s="17" t="str">
        <f>IF(AG4119="","",INDEX('Quitados DUPP'!$G$1:$G$6635,AG4119))</f>
        <v/>
      </c>
      <c r="AJ4119" s="17" t="str">
        <f t="shared" si="3"/>
        <v/>
      </c>
    </row>
    <row r="4120" spans="31:36">
      <c r="AE4120" s="15" t="str">
        <f t="shared" si="0"/>
        <v/>
      </c>
      <c r="AF4120" s="15" t="str">
        <f t="shared" si="1"/>
        <v/>
      </c>
      <c r="AG4120" s="15" t="str">
        <f>IF(OR(AF4120="",AF4120="ERRO_CHAVE"),"",IFERROR(MATCH(AF4120,'Quitados DUPP'!$U$1:$U$6635,0),""))</f>
        <v/>
      </c>
      <c r="AH4120" s="15" t="str">
        <f t="shared" si="2"/>
        <v/>
      </c>
      <c r="AI4120" s="17" t="str">
        <f>IF(AG4120="","",INDEX('Quitados DUPP'!$G$1:$G$6635,AG4120))</f>
        <v/>
      </c>
      <c r="AJ4120" s="17" t="str">
        <f t="shared" si="3"/>
        <v/>
      </c>
    </row>
    <row r="4121" spans="31:36">
      <c r="AE4121" s="15" t="str">
        <f t="shared" si="0"/>
        <v/>
      </c>
      <c r="AF4121" s="15" t="str">
        <f t="shared" si="1"/>
        <v/>
      </c>
      <c r="AG4121" s="15" t="str">
        <f>IF(OR(AF4121="",AF4121="ERRO_CHAVE"),"",IFERROR(MATCH(AF4121,'Quitados DUPP'!$U$1:$U$6635,0),""))</f>
        <v/>
      </c>
      <c r="AH4121" s="15" t="str">
        <f t="shared" si="2"/>
        <v/>
      </c>
      <c r="AI4121" s="17" t="str">
        <f>IF(AG4121="","",INDEX('Quitados DUPP'!$G$1:$G$6635,AG4121))</f>
        <v/>
      </c>
      <c r="AJ4121" s="17" t="str">
        <f t="shared" si="3"/>
        <v/>
      </c>
    </row>
    <row r="4122" spans="31:36">
      <c r="AE4122" s="15" t="str">
        <f t="shared" si="0"/>
        <v/>
      </c>
      <c r="AF4122" s="15" t="str">
        <f t="shared" si="1"/>
        <v/>
      </c>
      <c r="AG4122" s="15" t="str">
        <f>IF(OR(AF4122="",AF4122="ERRO_CHAVE"),"",IFERROR(MATCH(AF4122,'Quitados DUPP'!$U$1:$U$6635,0),""))</f>
        <v/>
      </c>
      <c r="AH4122" s="15" t="str">
        <f t="shared" si="2"/>
        <v/>
      </c>
      <c r="AI4122" s="17" t="str">
        <f>IF(AG4122="","",INDEX('Quitados DUPP'!$G$1:$G$6635,AG4122))</f>
        <v/>
      </c>
      <c r="AJ4122" s="17" t="str">
        <f t="shared" si="3"/>
        <v/>
      </c>
    </row>
    <row r="4123" spans="31:36">
      <c r="AE4123" s="15" t="str">
        <f t="shared" si="0"/>
        <v/>
      </c>
      <c r="AF4123" s="15" t="str">
        <f t="shared" si="1"/>
        <v/>
      </c>
      <c r="AG4123" s="15" t="str">
        <f>IF(OR(AF4123="",AF4123="ERRO_CHAVE"),"",IFERROR(MATCH(AF4123,'Quitados DUPP'!$U$1:$U$6635,0),""))</f>
        <v/>
      </c>
      <c r="AH4123" s="15" t="str">
        <f t="shared" si="2"/>
        <v/>
      </c>
      <c r="AI4123" s="17" t="str">
        <f>IF(AG4123="","",INDEX('Quitados DUPP'!$G$1:$G$6635,AG4123))</f>
        <v/>
      </c>
      <c r="AJ4123" s="17" t="str">
        <f t="shared" si="3"/>
        <v/>
      </c>
    </row>
    <row r="4124" spans="31:36">
      <c r="AE4124" s="15" t="str">
        <f t="shared" si="0"/>
        <v/>
      </c>
      <c r="AF4124" s="15" t="str">
        <f t="shared" si="1"/>
        <v/>
      </c>
      <c r="AG4124" s="15" t="str">
        <f>IF(OR(AF4124="",AF4124="ERRO_CHAVE"),"",IFERROR(MATCH(AF4124,'Quitados DUPP'!$U$1:$U$6635,0),""))</f>
        <v/>
      </c>
      <c r="AH4124" s="15" t="str">
        <f t="shared" si="2"/>
        <v/>
      </c>
      <c r="AI4124" s="17" t="str">
        <f>IF(AG4124="","",INDEX('Quitados DUPP'!$G$1:$G$6635,AG4124))</f>
        <v/>
      </c>
      <c r="AJ4124" s="17" t="str">
        <f t="shared" si="3"/>
        <v/>
      </c>
    </row>
    <row r="4125" spans="31:36">
      <c r="AE4125" s="15" t="str">
        <f t="shared" si="0"/>
        <v/>
      </c>
      <c r="AF4125" s="15" t="str">
        <f t="shared" si="1"/>
        <v/>
      </c>
      <c r="AG4125" s="15" t="str">
        <f>IF(OR(AF4125="",AF4125="ERRO_CHAVE"),"",IFERROR(MATCH(AF4125,'Quitados DUPP'!$U$1:$U$6635,0),""))</f>
        <v/>
      </c>
      <c r="AH4125" s="15" t="str">
        <f t="shared" si="2"/>
        <v/>
      </c>
      <c r="AI4125" s="17" t="str">
        <f>IF(AG4125="","",INDEX('Quitados DUPP'!$G$1:$G$6635,AG4125))</f>
        <v/>
      </c>
      <c r="AJ4125" s="17" t="str">
        <f t="shared" si="3"/>
        <v/>
      </c>
    </row>
    <row r="4126" spans="31:36">
      <c r="AE4126" s="15" t="str">
        <f t="shared" si="0"/>
        <v/>
      </c>
      <c r="AF4126" s="15" t="str">
        <f t="shared" si="1"/>
        <v/>
      </c>
      <c r="AG4126" s="15" t="str">
        <f>IF(OR(AF4126="",AF4126="ERRO_CHAVE"),"",IFERROR(MATCH(AF4126,'Quitados DUPP'!$U$1:$U$6635,0),""))</f>
        <v/>
      </c>
      <c r="AH4126" s="15" t="str">
        <f t="shared" si="2"/>
        <v/>
      </c>
      <c r="AI4126" s="17" t="str">
        <f>IF(AG4126="","",INDEX('Quitados DUPP'!$G$1:$G$6635,AG4126))</f>
        <v/>
      </c>
      <c r="AJ4126" s="17" t="str">
        <f t="shared" si="3"/>
        <v/>
      </c>
    </row>
    <row r="4127" spans="31:36">
      <c r="AE4127" s="15" t="str">
        <f t="shared" si="0"/>
        <v/>
      </c>
      <c r="AF4127" s="15" t="str">
        <f t="shared" si="1"/>
        <v/>
      </c>
      <c r="AG4127" s="15" t="str">
        <f>IF(OR(AF4127="",AF4127="ERRO_CHAVE"),"",IFERROR(MATCH(AF4127,'Quitados DUPP'!$U$1:$U$6635,0),""))</f>
        <v/>
      </c>
      <c r="AH4127" s="15" t="str">
        <f t="shared" si="2"/>
        <v/>
      </c>
      <c r="AI4127" s="17" t="str">
        <f>IF(AG4127="","",INDEX('Quitados DUPP'!$G$1:$G$6635,AG4127))</f>
        <v/>
      </c>
      <c r="AJ4127" s="17" t="str">
        <f t="shared" si="3"/>
        <v/>
      </c>
    </row>
    <row r="4128" spans="31:36">
      <c r="AE4128" s="15" t="str">
        <f t="shared" si="0"/>
        <v/>
      </c>
      <c r="AF4128" s="15" t="str">
        <f t="shared" si="1"/>
        <v/>
      </c>
      <c r="AG4128" s="15" t="str">
        <f>IF(OR(AF4128="",AF4128="ERRO_CHAVE"),"",IFERROR(MATCH(AF4128,'Quitados DUPP'!$U$1:$U$6635,0),""))</f>
        <v/>
      </c>
      <c r="AH4128" s="15" t="str">
        <f t="shared" si="2"/>
        <v/>
      </c>
      <c r="AI4128" s="17" t="str">
        <f>IF(AG4128="","",INDEX('Quitados DUPP'!$G$1:$G$6635,AG4128))</f>
        <v/>
      </c>
      <c r="AJ4128" s="17" t="str">
        <f t="shared" si="3"/>
        <v/>
      </c>
    </row>
    <row r="4129" spans="31:36">
      <c r="AE4129" s="15" t="str">
        <f t="shared" si="0"/>
        <v/>
      </c>
      <c r="AF4129" s="15" t="str">
        <f t="shared" si="1"/>
        <v/>
      </c>
      <c r="AG4129" s="15" t="str">
        <f>IF(OR(AF4129="",AF4129="ERRO_CHAVE"),"",IFERROR(MATCH(AF4129,'Quitados DUPP'!$U$1:$U$6635,0),""))</f>
        <v/>
      </c>
      <c r="AH4129" s="15" t="str">
        <f t="shared" si="2"/>
        <v/>
      </c>
      <c r="AI4129" s="17" t="str">
        <f>IF(AG4129="","",INDEX('Quitados DUPP'!$G$1:$G$6635,AG4129))</f>
        <v/>
      </c>
      <c r="AJ4129" s="17" t="str">
        <f t="shared" si="3"/>
        <v/>
      </c>
    </row>
    <row r="4130" spans="31:36">
      <c r="AE4130" s="15" t="str">
        <f t="shared" si="0"/>
        <v/>
      </c>
      <c r="AF4130" s="15" t="str">
        <f t="shared" si="1"/>
        <v/>
      </c>
      <c r="AG4130" s="15" t="str">
        <f>IF(OR(AF4130="",AF4130="ERRO_CHAVE"),"",IFERROR(MATCH(AF4130,'Quitados DUPP'!$U$1:$U$6635,0),""))</f>
        <v/>
      </c>
      <c r="AH4130" s="15" t="str">
        <f t="shared" si="2"/>
        <v/>
      </c>
      <c r="AI4130" s="17" t="str">
        <f>IF(AG4130="","",INDEX('Quitados DUPP'!$G$1:$G$6635,AG4130))</f>
        <v/>
      </c>
      <c r="AJ4130" s="17" t="str">
        <f t="shared" si="3"/>
        <v/>
      </c>
    </row>
    <row r="4131" spans="31:36">
      <c r="AE4131" s="15" t="str">
        <f t="shared" si="0"/>
        <v/>
      </c>
      <c r="AF4131" s="15" t="str">
        <f t="shared" si="1"/>
        <v/>
      </c>
      <c r="AG4131" s="15" t="str">
        <f>IF(OR(AF4131="",AF4131="ERRO_CHAVE"),"",IFERROR(MATCH(AF4131,'Quitados DUPP'!$U$1:$U$6635,0),""))</f>
        <v/>
      </c>
      <c r="AH4131" s="15" t="str">
        <f t="shared" si="2"/>
        <v/>
      </c>
      <c r="AI4131" s="17" t="str">
        <f>IF(AG4131="","",INDEX('Quitados DUPP'!$G$1:$G$6635,AG4131))</f>
        <v/>
      </c>
      <c r="AJ4131" s="17" t="str">
        <f t="shared" si="3"/>
        <v/>
      </c>
    </row>
    <row r="4132" spans="31:36">
      <c r="AE4132" s="15" t="str">
        <f t="shared" si="0"/>
        <v/>
      </c>
      <c r="AF4132" s="15" t="str">
        <f t="shared" si="1"/>
        <v/>
      </c>
      <c r="AG4132" s="15" t="str">
        <f>IF(OR(AF4132="",AF4132="ERRO_CHAVE"),"",IFERROR(MATCH(AF4132,'Quitados DUPP'!$U$1:$U$6635,0),""))</f>
        <v/>
      </c>
      <c r="AH4132" s="15" t="str">
        <f t="shared" si="2"/>
        <v/>
      </c>
      <c r="AI4132" s="17" t="str">
        <f>IF(AG4132="","",INDEX('Quitados DUPP'!$G$1:$G$6635,AG4132))</f>
        <v/>
      </c>
      <c r="AJ4132" s="17" t="str">
        <f t="shared" si="3"/>
        <v/>
      </c>
    </row>
    <row r="4133" spans="31:36">
      <c r="AE4133" s="15" t="str">
        <f t="shared" si="0"/>
        <v/>
      </c>
      <c r="AF4133" s="15" t="str">
        <f t="shared" si="1"/>
        <v/>
      </c>
      <c r="AG4133" s="15" t="str">
        <f>IF(OR(AF4133="",AF4133="ERRO_CHAVE"),"",IFERROR(MATCH(AF4133,'Quitados DUPP'!$U$1:$U$6635,0),""))</f>
        <v/>
      </c>
      <c r="AH4133" s="15" t="str">
        <f t="shared" si="2"/>
        <v/>
      </c>
      <c r="AI4133" s="17" t="str">
        <f>IF(AG4133="","",INDEX('Quitados DUPP'!$G$1:$G$6635,AG4133))</f>
        <v/>
      </c>
      <c r="AJ4133" s="17" t="str">
        <f t="shared" si="3"/>
        <v/>
      </c>
    </row>
    <row r="4134" spans="31:36">
      <c r="AE4134" s="15" t="str">
        <f t="shared" si="0"/>
        <v/>
      </c>
      <c r="AF4134" s="15" t="str">
        <f t="shared" si="1"/>
        <v/>
      </c>
      <c r="AG4134" s="15" t="str">
        <f>IF(OR(AF4134="",AF4134="ERRO_CHAVE"),"",IFERROR(MATCH(AF4134,'Quitados DUPP'!$U$1:$U$6635,0),""))</f>
        <v/>
      </c>
      <c r="AH4134" s="15" t="str">
        <f t="shared" si="2"/>
        <v/>
      </c>
      <c r="AI4134" s="17" t="str">
        <f>IF(AG4134="","",INDEX('Quitados DUPP'!$G$1:$G$6635,AG4134))</f>
        <v/>
      </c>
      <c r="AJ4134" s="17" t="str">
        <f t="shared" si="3"/>
        <v/>
      </c>
    </row>
    <row r="4135" spans="31:36">
      <c r="AE4135" s="15" t="str">
        <f t="shared" si="0"/>
        <v/>
      </c>
      <c r="AF4135" s="15" t="str">
        <f t="shared" si="1"/>
        <v/>
      </c>
      <c r="AG4135" s="15" t="str">
        <f>IF(OR(AF4135="",AF4135="ERRO_CHAVE"),"",IFERROR(MATCH(AF4135,'Quitados DUPP'!$U$1:$U$6635,0),""))</f>
        <v/>
      </c>
      <c r="AH4135" s="15" t="str">
        <f t="shared" si="2"/>
        <v/>
      </c>
      <c r="AI4135" s="17" t="str">
        <f>IF(AG4135="","",INDEX('Quitados DUPP'!$G$1:$G$6635,AG4135))</f>
        <v/>
      </c>
      <c r="AJ4135" s="17" t="str">
        <f t="shared" si="3"/>
        <v/>
      </c>
    </row>
    <row r="4136" spans="31:36">
      <c r="AE4136" s="15" t="str">
        <f t="shared" si="0"/>
        <v/>
      </c>
      <c r="AF4136" s="15" t="str">
        <f t="shared" si="1"/>
        <v/>
      </c>
      <c r="AG4136" s="15" t="str">
        <f>IF(OR(AF4136="",AF4136="ERRO_CHAVE"),"",IFERROR(MATCH(AF4136,'Quitados DUPP'!$U$1:$U$6635,0),""))</f>
        <v/>
      </c>
      <c r="AH4136" s="15" t="str">
        <f t="shared" si="2"/>
        <v/>
      </c>
      <c r="AI4136" s="17" t="str">
        <f>IF(AG4136="","",INDEX('Quitados DUPP'!$G$1:$G$6635,AG4136))</f>
        <v/>
      </c>
      <c r="AJ4136" s="17" t="str">
        <f t="shared" si="3"/>
        <v/>
      </c>
    </row>
    <row r="4137" spans="31:36">
      <c r="AE4137" s="15" t="str">
        <f t="shared" si="0"/>
        <v/>
      </c>
      <c r="AF4137" s="15" t="str">
        <f t="shared" si="1"/>
        <v/>
      </c>
      <c r="AG4137" s="15" t="str">
        <f>IF(OR(AF4137="",AF4137="ERRO_CHAVE"),"",IFERROR(MATCH(AF4137,'Quitados DUPP'!$U$1:$U$6635,0),""))</f>
        <v/>
      </c>
      <c r="AH4137" s="15" t="str">
        <f t="shared" si="2"/>
        <v/>
      </c>
      <c r="AI4137" s="17" t="str">
        <f>IF(AG4137="","",INDEX('Quitados DUPP'!$G$1:$G$6635,AG4137))</f>
        <v/>
      </c>
      <c r="AJ4137" s="17" t="str">
        <f t="shared" si="3"/>
        <v/>
      </c>
    </row>
    <row r="4138" spans="31:36">
      <c r="AE4138" s="15" t="str">
        <f t="shared" si="0"/>
        <v/>
      </c>
      <c r="AF4138" s="15" t="str">
        <f t="shared" si="1"/>
        <v/>
      </c>
      <c r="AG4138" s="15" t="str">
        <f>IF(OR(AF4138="",AF4138="ERRO_CHAVE"),"",IFERROR(MATCH(AF4138,'Quitados DUPP'!$U$1:$U$6635,0),""))</f>
        <v/>
      </c>
      <c r="AH4138" s="15" t="str">
        <f t="shared" si="2"/>
        <v/>
      </c>
      <c r="AI4138" s="17" t="str">
        <f>IF(AG4138="","",INDEX('Quitados DUPP'!$G$1:$G$6635,AG4138))</f>
        <v/>
      </c>
      <c r="AJ4138" s="17" t="str">
        <f t="shared" si="3"/>
        <v/>
      </c>
    </row>
    <row r="4139" spans="31:36">
      <c r="AE4139" s="15" t="str">
        <f t="shared" si="0"/>
        <v/>
      </c>
      <c r="AF4139" s="15" t="str">
        <f t="shared" si="1"/>
        <v/>
      </c>
      <c r="AG4139" s="15" t="str">
        <f>IF(OR(AF4139="",AF4139="ERRO_CHAVE"),"",IFERROR(MATCH(AF4139,'Quitados DUPP'!$U$1:$U$6635,0),""))</f>
        <v/>
      </c>
      <c r="AH4139" s="15" t="str">
        <f t="shared" si="2"/>
        <v/>
      </c>
      <c r="AI4139" s="17" t="str">
        <f>IF(AG4139="","",INDEX('Quitados DUPP'!$G$1:$G$6635,AG4139))</f>
        <v/>
      </c>
      <c r="AJ4139" s="17" t="str">
        <f t="shared" si="3"/>
        <v/>
      </c>
    </row>
    <row r="4140" spans="31:36">
      <c r="AE4140" s="15" t="str">
        <f t="shared" si="0"/>
        <v/>
      </c>
      <c r="AF4140" s="15" t="str">
        <f t="shared" si="1"/>
        <v/>
      </c>
      <c r="AG4140" s="15" t="str">
        <f>IF(OR(AF4140="",AF4140="ERRO_CHAVE"),"",IFERROR(MATCH(AF4140,'Quitados DUPP'!$U$1:$U$6635,0),""))</f>
        <v/>
      </c>
      <c r="AH4140" s="15" t="str">
        <f t="shared" si="2"/>
        <v/>
      </c>
      <c r="AI4140" s="17" t="str">
        <f>IF(AG4140="","",INDEX('Quitados DUPP'!$G$1:$G$6635,AG4140))</f>
        <v/>
      </c>
      <c r="AJ4140" s="17" t="str">
        <f t="shared" si="3"/>
        <v/>
      </c>
    </row>
    <row r="4141" spans="31:36">
      <c r="AE4141" s="15" t="str">
        <f t="shared" si="0"/>
        <v/>
      </c>
      <c r="AF4141" s="15" t="str">
        <f t="shared" si="1"/>
        <v/>
      </c>
      <c r="AG4141" s="15" t="str">
        <f>IF(OR(AF4141="",AF4141="ERRO_CHAVE"),"",IFERROR(MATCH(AF4141,'Quitados DUPP'!$U$1:$U$6635,0),""))</f>
        <v/>
      </c>
      <c r="AH4141" s="15" t="str">
        <f t="shared" si="2"/>
        <v/>
      </c>
      <c r="AI4141" s="17" t="str">
        <f>IF(AG4141="","",INDEX('Quitados DUPP'!$G$1:$G$6635,AG4141))</f>
        <v/>
      </c>
      <c r="AJ4141" s="17" t="str">
        <f t="shared" si="3"/>
        <v/>
      </c>
    </row>
    <row r="4142" spans="31:36">
      <c r="AE4142" s="15" t="str">
        <f t="shared" si="0"/>
        <v/>
      </c>
      <c r="AF4142" s="15" t="str">
        <f t="shared" si="1"/>
        <v/>
      </c>
      <c r="AG4142" s="15" t="str">
        <f>IF(OR(AF4142="",AF4142="ERRO_CHAVE"),"",IFERROR(MATCH(AF4142,'Quitados DUPP'!$U$1:$U$6635,0),""))</f>
        <v/>
      </c>
      <c r="AH4142" s="15" t="str">
        <f t="shared" si="2"/>
        <v/>
      </c>
      <c r="AI4142" s="17" t="str">
        <f>IF(AG4142="","",INDEX('Quitados DUPP'!$G$1:$G$6635,AG4142))</f>
        <v/>
      </c>
      <c r="AJ4142" s="17" t="str">
        <f t="shared" si="3"/>
        <v/>
      </c>
    </row>
    <row r="4143" spans="31:36">
      <c r="AE4143" s="15" t="str">
        <f t="shared" si="0"/>
        <v/>
      </c>
      <c r="AF4143" s="15" t="str">
        <f t="shared" si="1"/>
        <v/>
      </c>
      <c r="AG4143" s="15" t="str">
        <f>IF(OR(AF4143="",AF4143="ERRO_CHAVE"),"",IFERROR(MATCH(AF4143,'Quitados DUPP'!$U$1:$U$6635,0),""))</f>
        <v/>
      </c>
      <c r="AH4143" s="15" t="str">
        <f t="shared" si="2"/>
        <v/>
      </c>
      <c r="AI4143" s="17" t="str">
        <f>IF(AG4143="","",INDEX('Quitados DUPP'!$G$1:$G$6635,AG4143))</f>
        <v/>
      </c>
      <c r="AJ4143" s="17" t="str">
        <f t="shared" si="3"/>
        <v/>
      </c>
    </row>
    <row r="4144" spans="31:36">
      <c r="AE4144" s="15" t="str">
        <f t="shared" si="0"/>
        <v/>
      </c>
      <c r="AF4144" s="15" t="str">
        <f t="shared" si="1"/>
        <v/>
      </c>
      <c r="AG4144" s="15" t="str">
        <f>IF(OR(AF4144="",AF4144="ERRO_CHAVE"),"",IFERROR(MATCH(AF4144,'Quitados DUPP'!$U$1:$U$6635,0),""))</f>
        <v/>
      </c>
      <c r="AH4144" s="15" t="str">
        <f t="shared" si="2"/>
        <v/>
      </c>
      <c r="AI4144" s="17" t="str">
        <f>IF(AG4144="","",INDEX('Quitados DUPP'!$G$1:$G$6635,AG4144))</f>
        <v/>
      </c>
      <c r="AJ4144" s="17" t="str">
        <f t="shared" si="3"/>
        <v/>
      </c>
    </row>
    <row r="4145" spans="31:36">
      <c r="AE4145" s="15" t="str">
        <f t="shared" si="0"/>
        <v/>
      </c>
      <c r="AF4145" s="15" t="str">
        <f t="shared" si="1"/>
        <v/>
      </c>
      <c r="AG4145" s="15" t="str">
        <f>IF(OR(AF4145="",AF4145="ERRO_CHAVE"),"",IFERROR(MATCH(AF4145,'Quitados DUPP'!$U$1:$U$6635,0),""))</f>
        <v/>
      </c>
      <c r="AH4145" s="15" t="str">
        <f t="shared" si="2"/>
        <v/>
      </c>
      <c r="AI4145" s="17" t="str">
        <f>IF(AG4145="","",INDEX('Quitados DUPP'!$G$1:$G$6635,AG4145))</f>
        <v/>
      </c>
      <c r="AJ4145" s="17" t="str">
        <f t="shared" si="3"/>
        <v/>
      </c>
    </row>
    <row r="4146" spans="31:36">
      <c r="AE4146" s="15" t="str">
        <f t="shared" si="0"/>
        <v/>
      </c>
      <c r="AF4146" s="15" t="str">
        <f t="shared" si="1"/>
        <v/>
      </c>
      <c r="AG4146" s="15" t="str">
        <f>IF(OR(AF4146="",AF4146="ERRO_CHAVE"),"",IFERROR(MATCH(AF4146,'Quitados DUPP'!$U$1:$U$6635,0),""))</f>
        <v/>
      </c>
      <c r="AH4146" s="15" t="str">
        <f t="shared" si="2"/>
        <v/>
      </c>
      <c r="AI4146" s="17" t="str">
        <f>IF(AG4146="","",INDEX('Quitados DUPP'!$G$1:$G$6635,AG4146))</f>
        <v/>
      </c>
      <c r="AJ4146" s="17" t="str">
        <f t="shared" si="3"/>
        <v/>
      </c>
    </row>
    <row r="4147" spans="31:36">
      <c r="AE4147" s="15" t="str">
        <f t="shared" si="0"/>
        <v/>
      </c>
      <c r="AF4147" s="15" t="str">
        <f t="shared" si="1"/>
        <v/>
      </c>
      <c r="AG4147" s="15" t="str">
        <f>IF(OR(AF4147="",AF4147="ERRO_CHAVE"),"",IFERROR(MATCH(AF4147,'Quitados DUPP'!$U$1:$U$6635,0),""))</f>
        <v/>
      </c>
      <c r="AH4147" s="15" t="str">
        <f t="shared" si="2"/>
        <v/>
      </c>
      <c r="AI4147" s="17" t="str">
        <f>IF(AG4147="","",INDEX('Quitados DUPP'!$G$1:$G$6635,AG4147))</f>
        <v/>
      </c>
      <c r="AJ4147" s="17" t="str">
        <f t="shared" si="3"/>
        <v/>
      </c>
    </row>
    <row r="4148" spans="31:36">
      <c r="AE4148" s="15" t="str">
        <f t="shared" si="0"/>
        <v/>
      </c>
      <c r="AF4148" s="15" t="str">
        <f t="shared" si="1"/>
        <v/>
      </c>
      <c r="AG4148" s="15" t="str">
        <f>IF(OR(AF4148="",AF4148="ERRO_CHAVE"),"",IFERROR(MATCH(AF4148,'Quitados DUPP'!$U$1:$U$6635,0),""))</f>
        <v/>
      </c>
      <c r="AH4148" s="15" t="str">
        <f t="shared" si="2"/>
        <v/>
      </c>
      <c r="AI4148" s="17" t="str">
        <f>IF(AG4148="","",INDEX('Quitados DUPP'!$G$1:$G$6635,AG4148))</f>
        <v/>
      </c>
      <c r="AJ4148" s="17" t="str">
        <f t="shared" si="3"/>
        <v/>
      </c>
    </row>
    <row r="4149" spans="31:36">
      <c r="AE4149" s="15" t="str">
        <f t="shared" si="0"/>
        <v/>
      </c>
      <c r="AF4149" s="15" t="str">
        <f t="shared" si="1"/>
        <v/>
      </c>
      <c r="AG4149" s="15" t="str">
        <f>IF(OR(AF4149="",AF4149="ERRO_CHAVE"),"",IFERROR(MATCH(AF4149,'Quitados DUPP'!$U$1:$U$6635,0),""))</f>
        <v/>
      </c>
      <c r="AH4149" s="15" t="str">
        <f t="shared" si="2"/>
        <v/>
      </c>
      <c r="AI4149" s="17" t="str">
        <f>IF(AG4149="","",INDEX('Quitados DUPP'!$G$1:$G$6635,AG4149))</f>
        <v/>
      </c>
      <c r="AJ4149" s="17" t="str">
        <f t="shared" si="3"/>
        <v/>
      </c>
    </row>
    <row r="4150" spans="31:36">
      <c r="AE4150" s="15" t="str">
        <f t="shared" si="0"/>
        <v/>
      </c>
      <c r="AF4150" s="15" t="str">
        <f t="shared" si="1"/>
        <v/>
      </c>
      <c r="AG4150" s="15" t="str">
        <f>IF(OR(AF4150="",AF4150="ERRO_CHAVE"),"",IFERROR(MATCH(AF4150,'Quitados DUPP'!$U$1:$U$6635,0),""))</f>
        <v/>
      </c>
      <c r="AH4150" s="15" t="str">
        <f t="shared" si="2"/>
        <v/>
      </c>
      <c r="AI4150" s="17" t="str">
        <f>IF(AG4150="","",INDEX('Quitados DUPP'!$G$1:$G$6635,AG4150))</f>
        <v/>
      </c>
      <c r="AJ4150" s="17" t="str">
        <f t="shared" si="3"/>
        <v/>
      </c>
    </row>
    <row r="4151" spans="31:36">
      <c r="AE4151" s="15" t="str">
        <f t="shared" si="0"/>
        <v/>
      </c>
      <c r="AF4151" s="15" t="str">
        <f t="shared" si="1"/>
        <v/>
      </c>
      <c r="AG4151" s="15" t="str">
        <f>IF(OR(AF4151="",AF4151="ERRO_CHAVE"),"",IFERROR(MATCH(AF4151,'Quitados DUPP'!$U$1:$U$6635,0),""))</f>
        <v/>
      </c>
      <c r="AH4151" s="15" t="str">
        <f t="shared" si="2"/>
        <v/>
      </c>
      <c r="AI4151" s="17" t="str">
        <f>IF(AG4151="","",INDEX('Quitados DUPP'!$G$1:$G$6635,AG4151))</f>
        <v/>
      </c>
      <c r="AJ4151" s="17" t="str">
        <f t="shared" si="3"/>
        <v/>
      </c>
    </row>
    <row r="4152" spans="31:36">
      <c r="AE4152" s="15" t="str">
        <f t="shared" si="0"/>
        <v/>
      </c>
      <c r="AF4152" s="15" t="str">
        <f t="shared" si="1"/>
        <v/>
      </c>
      <c r="AG4152" s="15" t="str">
        <f>IF(OR(AF4152="",AF4152="ERRO_CHAVE"),"",IFERROR(MATCH(AF4152,'Quitados DUPP'!$U$1:$U$6635,0),""))</f>
        <v/>
      </c>
      <c r="AH4152" s="15" t="str">
        <f t="shared" si="2"/>
        <v/>
      </c>
      <c r="AI4152" s="17" t="str">
        <f>IF(AG4152="","",INDEX('Quitados DUPP'!$G$1:$G$6635,AG4152))</f>
        <v/>
      </c>
      <c r="AJ4152" s="17" t="str">
        <f t="shared" si="3"/>
        <v/>
      </c>
    </row>
    <row r="4153" spans="31:36">
      <c r="AE4153" s="15" t="str">
        <f t="shared" si="0"/>
        <v/>
      </c>
      <c r="AF4153" s="15" t="str">
        <f t="shared" si="1"/>
        <v/>
      </c>
      <c r="AG4153" s="15" t="str">
        <f>IF(OR(AF4153="",AF4153="ERRO_CHAVE"),"",IFERROR(MATCH(AF4153,'Quitados DUPP'!$U$1:$U$6635,0),""))</f>
        <v/>
      </c>
      <c r="AH4153" s="15" t="str">
        <f t="shared" si="2"/>
        <v/>
      </c>
      <c r="AI4153" s="17" t="str">
        <f>IF(AG4153="","",INDEX('Quitados DUPP'!$G$1:$G$6635,AG4153))</f>
        <v/>
      </c>
      <c r="AJ4153" s="17" t="str">
        <f t="shared" si="3"/>
        <v/>
      </c>
    </row>
    <row r="4154" spans="31:36">
      <c r="AE4154" s="15" t="str">
        <f t="shared" si="0"/>
        <v/>
      </c>
      <c r="AF4154" s="15" t="str">
        <f t="shared" si="1"/>
        <v/>
      </c>
      <c r="AG4154" s="15" t="str">
        <f>IF(OR(AF4154="",AF4154="ERRO_CHAVE"),"",IFERROR(MATCH(AF4154,'Quitados DUPP'!$U$1:$U$6635,0),""))</f>
        <v/>
      </c>
      <c r="AH4154" s="15" t="str">
        <f t="shared" si="2"/>
        <v/>
      </c>
      <c r="AI4154" s="17" t="str">
        <f>IF(AG4154="","",INDEX('Quitados DUPP'!$G$1:$G$6635,AG4154))</f>
        <v/>
      </c>
      <c r="AJ4154" s="17" t="str">
        <f t="shared" si="3"/>
        <v/>
      </c>
    </row>
    <row r="4155" spans="31:36">
      <c r="AE4155" s="15" t="str">
        <f t="shared" si="0"/>
        <v/>
      </c>
      <c r="AF4155" s="15" t="str">
        <f t="shared" si="1"/>
        <v/>
      </c>
      <c r="AG4155" s="15" t="str">
        <f>IF(OR(AF4155="",AF4155="ERRO_CHAVE"),"",IFERROR(MATCH(AF4155,'Quitados DUPP'!$U$1:$U$6635,0),""))</f>
        <v/>
      </c>
      <c r="AH4155" s="15" t="str">
        <f t="shared" si="2"/>
        <v/>
      </c>
      <c r="AI4155" s="17" t="str">
        <f>IF(AG4155="","",INDEX('Quitados DUPP'!$G$1:$G$6635,AG4155))</f>
        <v/>
      </c>
      <c r="AJ4155" s="17" t="str">
        <f t="shared" si="3"/>
        <v/>
      </c>
    </row>
    <row r="4156" spans="31:36">
      <c r="AE4156" s="15" t="str">
        <f t="shared" si="0"/>
        <v/>
      </c>
      <c r="AF4156" s="15" t="str">
        <f t="shared" si="1"/>
        <v/>
      </c>
      <c r="AG4156" s="15" t="str">
        <f>IF(OR(AF4156="",AF4156="ERRO_CHAVE"),"",IFERROR(MATCH(AF4156,'Quitados DUPP'!$U$1:$U$6635,0),""))</f>
        <v/>
      </c>
      <c r="AH4156" s="15" t="str">
        <f t="shared" si="2"/>
        <v/>
      </c>
      <c r="AI4156" s="17" t="str">
        <f>IF(AG4156="","",INDEX('Quitados DUPP'!$G$1:$G$6635,AG4156))</f>
        <v/>
      </c>
      <c r="AJ4156" s="17" t="str">
        <f t="shared" si="3"/>
        <v/>
      </c>
    </row>
    <row r="4157" spans="31:36">
      <c r="AE4157" s="15" t="str">
        <f t="shared" si="0"/>
        <v/>
      </c>
      <c r="AF4157" s="15" t="str">
        <f t="shared" si="1"/>
        <v/>
      </c>
      <c r="AG4157" s="15" t="str">
        <f>IF(OR(AF4157="",AF4157="ERRO_CHAVE"),"",IFERROR(MATCH(AF4157,'Quitados DUPP'!$U$1:$U$6635,0),""))</f>
        <v/>
      </c>
      <c r="AH4157" s="15" t="str">
        <f t="shared" si="2"/>
        <v/>
      </c>
      <c r="AI4157" s="17" t="str">
        <f>IF(AG4157="","",INDEX('Quitados DUPP'!$G$1:$G$6635,AG4157))</f>
        <v/>
      </c>
      <c r="AJ4157" s="17" t="str">
        <f t="shared" si="3"/>
        <v/>
      </c>
    </row>
    <row r="4158" spans="31:36">
      <c r="AE4158" s="15" t="str">
        <f t="shared" si="0"/>
        <v/>
      </c>
      <c r="AF4158" s="15" t="str">
        <f t="shared" si="1"/>
        <v/>
      </c>
      <c r="AG4158" s="15" t="str">
        <f>IF(OR(AF4158="",AF4158="ERRO_CHAVE"),"",IFERROR(MATCH(AF4158,'Quitados DUPP'!$U$1:$U$6635,0),""))</f>
        <v/>
      </c>
      <c r="AH4158" s="15" t="str">
        <f t="shared" si="2"/>
        <v/>
      </c>
      <c r="AI4158" s="17" t="str">
        <f>IF(AG4158="","",INDEX('Quitados DUPP'!$G$1:$G$6635,AG4158))</f>
        <v/>
      </c>
      <c r="AJ4158" s="17" t="str">
        <f t="shared" si="3"/>
        <v/>
      </c>
    </row>
    <row r="4159" spans="31:36">
      <c r="AE4159" s="15" t="str">
        <f t="shared" si="0"/>
        <v/>
      </c>
      <c r="AF4159" s="15" t="str">
        <f t="shared" si="1"/>
        <v/>
      </c>
      <c r="AG4159" s="15" t="str">
        <f>IF(OR(AF4159="",AF4159="ERRO_CHAVE"),"",IFERROR(MATCH(AF4159,'Quitados DUPP'!$U$1:$U$6635,0),""))</f>
        <v/>
      </c>
      <c r="AH4159" s="15" t="str">
        <f t="shared" si="2"/>
        <v/>
      </c>
      <c r="AI4159" s="17" t="str">
        <f>IF(AG4159="","",INDEX('Quitados DUPP'!$G$1:$G$6635,AG4159))</f>
        <v/>
      </c>
      <c r="AJ4159" s="17" t="str">
        <f t="shared" si="3"/>
        <v/>
      </c>
    </row>
    <row r="4160" spans="31:36">
      <c r="AE4160" s="15" t="str">
        <f t="shared" si="0"/>
        <v/>
      </c>
      <c r="AF4160" s="15" t="str">
        <f t="shared" si="1"/>
        <v/>
      </c>
      <c r="AG4160" s="15" t="str">
        <f>IF(OR(AF4160="",AF4160="ERRO_CHAVE"),"",IFERROR(MATCH(AF4160,'Quitados DUPP'!$U$1:$U$6635,0),""))</f>
        <v/>
      </c>
      <c r="AH4160" s="15" t="str">
        <f t="shared" si="2"/>
        <v/>
      </c>
      <c r="AI4160" s="17" t="str">
        <f>IF(AG4160="","",INDEX('Quitados DUPP'!$G$1:$G$6635,AG4160))</f>
        <v/>
      </c>
      <c r="AJ4160" s="17" t="str">
        <f t="shared" si="3"/>
        <v/>
      </c>
    </row>
    <row r="4161" spans="31:36">
      <c r="AE4161" s="15" t="str">
        <f t="shared" si="0"/>
        <v/>
      </c>
      <c r="AF4161" s="15" t="str">
        <f t="shared" si="1"/>
        <v/>
      </c>
      <c r="AG4161" s="15" t="str">
        <f>IF(OR(AF4161="",AF4161="ERRO_CHAVE"),"",IFERROR(MATCH(AF4161,'Quitados DUPP'!$U$1:$U$6635,0),""))</f>
        <v/>
      </c>
      <c r="AH4161" s="15" t="str">
        <f t="shared" si="2"/>
        <v/>
      </c>
      <c r="AI4161" s="17" t="str">
        <f>IF(AG4161="","",INDEX('Quitados DUPP'!$G$1:$G$6635,AG4161))</f>
        <v/>
      </c>
      <c r="AJ4161" s="17" t="str">
        <f t="shared" si="3"/>
        <v/>
      </c>
    </row>
    <row r="4162" spans="31:36">
      <c r="AE4162" s="15" t="str">
        <f t="shared" si="0"/>
        <v/>
      </c>
      <c r="AF4162" s="15" t="str">
        <f t="shared" si="1"/>
        <v/>
      </c>
      <c r="AG4162" s="15" t="str">
        <f>IF(OR(AF4162="",AF4162="ERRO_CHAVE"),"",IFERROR(MATCH(AF4162,'Quitados DUPP'!$U$1:$U$6635,0),""))</f>
        <v/>
      </c>
      <c r="AH4162" s="15" t="str">
        <f t="shared" si="2"/>
        <v/>
      </c>
      <c r="AI4162" s="17" t="str">
        <f>IF(AG4162="","",INDEX('Quitados DUPP'!$G$1:$G$6635,AG4162))</f>
        <v/>
      </c>
      <c r="AJ4162" s="17" t="str">
        <f t="shared" si="3"/>
        <v/>
      </c>
    </row>
    <row r="4163" spans="31:36">
      <c r="AE4163" s="15" t="str">
        <f t="shared" si="0"/>
        <v/>
      </c>
      <c r="AF4163" s="15" t="str">
        <f t="shared" si="1"/>
        <v/>
      </c>
      <c r="AG4163" s="15" t="str">
        <f>IF(OR(AF4163="",AF4163="ERRO_CHAVE"),"",IFERROR(MATCH(AF4163,'Quitados DUPP'!$U$1:$U$6635,0),""))</f>
        <v/>
      </c>
      <c r="AH4163" s="15" t="str">
        <f t="shared" si="2"/>
        <v/>
      </c>
      <c r="AI4163" s="17" t="str">
        <f>IF(AG4163="","",INDEX('Quitados DUPP'!$G$1:$G$6635,AG4163))</f>
        <v/>
      </c>
      <c r="AJ4163" s="17" t="str">
        <f t="shared" si="3"/>
        <v/>
      </c>
    </row>
    <row r="4164" spans="31:36">
      <c r="AE4164" s="15" t="str">
        <f t="shared" si="0"/>
        <v/>
      </c>
      <c r="AF4164" s="15" t="str">
        <f t="shared" si="1"/>
        <v/>
      </c>
      <c r="AG4164" s="15" t="str">
        <f>IF(OR(AF4164="",AF4164="ERRO_CHAVE"),"",IFERROR(MATCH(AF4164,'Quitados DUPP'!$U$1:$U$6635,0),""))</f>
        <v/>
      </c>
      <c r="AH4164" s="15" t="str">
        <f t="shared" si="2"/>
        <v/>
      </c>
      <c r="AI4164" s="17" t="str">
        <f>IF(AG4164="","",INDEX('Quitados DUPP'!$G$1:$G$6635,AG4164))</f>
        <v/>
      </c>
      <c r="AJ4164" s="17" t="str">
        <f t="shared" si="3"/>
        <v/>
      </c>
    </row>
    <row r="4165" spans="31:36">
      <c r="AE4165" s="15" t="str">
        <f t="shared" si="0"/>
        <v/>
      </c>
      <c r="AF4165" s="15" t="str">
        <f t="shared" si="1"/>
        <v/>
      </c>
      <c r="AG4165" s="15" t="str">
        <f>IF(OR(AF4165="",AF4165="ERRO_CHAVE"),"",IFERROR(MATCH(AF4165,'Quitados DUPP'!$U$1:$U$6635,0),""))</f>
        <v/>
      </c>
      <c r="AH4165" s="15" t="str">
        <f t="shared" si="2"/>
        <v/>
      </c>
      <c r="AI4165" s="17" t="str">
        <f>IF(AG4165="","",INDEX('Quitados DUPP'!$G$1:$G$6635,AG4165))</f>
        <v/>
      </c>
      <c r="AJ4165" s="17" t="str">
        <f t="shared" si="3"/>
        <v/>
      </c>
    </row>
    <row r="4166" spans="31:36">
      <c r="AE4166" s="15" t="str">
        <f t="shared" si="0"/>
        <v/>
      </c>
      <c r="AF4166" s="15" t="str">
        <f t="shared" si="1"/>
        <v/>
      </c>
      <c r="AG4166" s="15" t="str">
        <f>IF(OR(AF4166="",AF4166="ERRO_CHAVE"),"",IFERROR(MATCH(AF4166,'Quitados DUPP'!$U$1:$U$6635,0),""))</f>
        <v/>
      </c>
      <c r="AH4166" s="15" t="str">
        <f t="shared" si="2"/>
        <v/>
      </c>
      <c r="AI4166" s="17" t="str">
        <f>IF(AG4166="","",INDEX('Quitados DUPP'!$G$1:$G$6635,AG4166))</f>
        <v/>
      </c>
      <c r="AJ4166" s="17" t="str">
        <f t="shared" si="3"/>
        <v/>
      </c>
    </row>
    <row r="4167" spans="31:36">
      <c r="AE4167" s="15" t="str">
        <f t="shared" si="0"/>
        <v/>
      </c>
      <c r="AF4167" s="15" t="str">
        <f t="shared" si="1"/>
        <v/>
      </c>
      <c r="AG4167" s="15" t="str">
        <f>IF(OR(AF4167="",AF4167="ERRO_CHAVE"),"",IFERROR(MATCH(AF4167,'Quitados DUPP'!$U$1:$U$6635,0),""))</f>
        <v/>
      </c>
      <c r="AH4167" s="15" t="str">
        <f t="shared" si="2"/>
        <v/>
      </c>
      <c r="AI4167" s="17" t="str">
        <f>IF(AG4167="","",INDEX('Quitados DUPP'!$G$1:$G$6635,AG4167))</f>
        <v/>
      </c>
      <c r="AJ4167" s="17" t="str">
        <f t="shared" si="3"/>
        <v/>
      </c>
    </row>
    <row r="4168" spans="31:36">
      <c r="AE4168" s="15" t="str">
        <f t="shared" si="0"/>
        <v/>
      </c>
      <c r="AF4168" s="15" t="str">
        <f t="shared" si="1"/>
        <v/>
      </c>
      <c r="AG4168" s="15" t="str">
        <f>IF(OR(AF4168="",AF4168="ERRO_CHAVE"),"",IFERROR(MATCH(AF4168,'Quitados DUPP'!$U$1:$U$6635,0),""))</f>
        <v/>
      </c>
      <c r="AH4168" s="15" t="str">
        <f t="shared" si="2"/>
        <v/>
      </c>
      <c r="AI4168" s="17" t="str">
        <f>IF(AG4168="","",INDEX('Quitados DUPP'!$G$1:$G$6635,AG4168))</f>
        <v/>
      </c>
      <c r="AJ4168" s="17" t="str">
        <f t="shared" si="3"/>
        <v/>
      </c>
    </row>
    <row r="4169" spans="31:36">
      <c r="AE4169" s="15" t="str">
        <f t="shared" si="0"/>
        <v/>
      </c>
      <c r="AF4169" s="15" t="str">
        <f t="shared" si="1"/>
        <v/>
      </c>
      <c r="AG4169" s="15" t="str">
        <f>IF(OR(AF4169="",AF4169="ERRO_CHAVE"),"",IFERROR(MATCH(AF4169,'Quitados DUPP'!$U$1:$U$6635,0),""))</f>
        <v/>
      </c>
      <c r="AH4169" s="15" t="str">
        <f t="shared" si="2"/>
        <v/>
      </c>
      <c r="AI4169" s="17" t="str">
        <f>IF(AG4169="","",INDEX('Quitados DUPP'!$G$1:$G$6635,AG4169))</f>
        <v/>
      </c>
      <c r="AJ4169" s="17" t="str">
        <f t="shared" si="3"/>
        <v/>
      </c>
    </row>
    <row r="4170" spans="31:36">
      <c r="AE4170" s="15" t="str">
        <f t="shared" si="0"/>
        <v/>
      </c>
      <c r="AF4170" s="15" t="str">
        <f t="shared" si="1"/>
        <v/>
      </c>
      <c r="AG4170" s="15" t="str">
        <f>IF(OR(AF4170="",AF4170="ERRO_CHAVE"),"",IFERROR(MATCH(AF4170,'Quitados DUPP'!$U$1:$U$6635,0),""))</f>
        <v/>
      </c>
      <c r="AH4170" s="15" t="str">
        <f t="shared" si="2"/>
        <v/>
      </c>
      <c r="AI4170" s="17" t="str">
        <f>IF(AG4170="","",INDEX('Quitados DUPP'!$G$1:$G$6635,AG4170))</f>
        <v/>
      </c>
      <c r="AJ4170" s="17" t="str">
        <f t="shared" si="3"/>
        <v/>
      </c>
    </row>
    <row r="4171" spans="31:36">
      <c r="AE4171" s="15" t="str">
        <f t="shared" si="0"/>
        <v/>
      </c>
      <c r="AF4171" s="15" t="str">
        <f t="shared" si="1"/>
        <v/>
      </c>
      <c r="AG4171" s="15" t="str">
        <f>IF(OR(AF4171="",AF4171="ERRO_CHAVE"),"",IFERROR(MATCH(AF4171,'Quitados DUPP'!$U$1:$U$6635,0),""))</f>
        <v/>
      </c>
      <c r="AH4171" s="15" t="str">
        <f t="shared" si="2"/>
        <v/>
      </c>
      <c r="AI4171" s="17" t="str">
        <f>IF(AG4171="","",INDEX('Quitados DUPP'!$G$1:$G$6635,AG4171))</f>
        <v/>
      </c>
      <c r="AJ4171" s="17" t="str">
        <f t="shared" si="3"/>
        <v/>
      </c>
    </row>
    <row r="4172" spans="31:36">
      <c r="AE4172" s="15" t="str">
        <f t="shared" si="0"/>
        <v/>
      </c>
      <c r="AF4172" s="15" t="str">
        <f t="shared" si="1"/>
        <v/>
      </c>
      <c r="AG4172" s="15" t="str">
        <f>IF(OR(AF4172="",AF4172="ERRO_CHAVE"),"",IFERROR(MATCH(AF4172,'Quitados DUPP'!$U$1:$U$6635,0),""))</f>
        <v/>
      </c>
      <c r="AH4172" s="15" t="str">
        <f t="shared" si="2"/>
        <v/>
      </c>
      <c r="AI4172" s="17" t="str">
        <f>IF(AG4172="","",INDEX('Quitados DUPP'!$G$1:$G$6635,AG4172))</f>
        <v/>
      </c>
      <c r="AJ4172" s="17" t="str">
        <f t="shared" si="3"/>
        <v/>
      </c>
    </row>
    <row r="4173" spans="31:36">
      <c r="AE4173" s="15" t="str">
        <f t="shared" si="0"/>
        <v/>
      </c>
      <c r="AF4173" s="15" t="str">
        <f t="shared" si="1"/>
        <v/>
      </c>
      <c r="AG4173" s="15" t="str">
        <f>IF(OR(AF4173="",AF4173="ERRO_CHAVE"),"",IFERROR(MATCH(AF4173,'Quitados DUPP'!$U$1:$U$6635,0),""))</f>
        <v/>
      </c>
      <c r="AH4173" s="15" t="str">
        <f t="shared" si="2"/>
        <v/>
      </c>
      <c r="AI4173" s="17" t="str">
        <f>IF(AG4173="","",INDEX('Quitados DUPP'!$G$1:$G$6635,AG4173))</f>
        <v/>
      </c>
      <c r="AJ4173" s="17" t="str">
        <f t="shared" si="3"/>
        <v/>
      </c>
    </row>
    <row r="4174" spans="31:36">
      <c r="AE4174" s="15" t="str">
        <f t="shared" si="0"/>
        <v/>
      </c>
      <c r="AF4174" s="15" t="str">
        <f t="shared" si="1"/>
        <v/>
      </c>
      <c r="AG4174" s="15" t="str">
        <f>IF(OR(AF4174="",AF4174="ERRO_CHAVE"),"",IFERROR(MATCH(AF4174,'Quitados DUPP'!$U$1:$U$6635,0),""))</f>
        <v/>
      </c>
      <c r="AH4174" s="15" t="str">
        <f t="shared" si="2"/>
        <v/>
      </c>
      <c r="AI4174" s="17" t="str">
        <f>IF(AG4174="","",INDEX('Quitados DUPP'!$G$1:$G$6635,AG4174))</f>
        <v/>
      </c>
      <c r="AJ4174" s="17" t="str">
        <f t="shared" si="3"/>
        <v/>
      </c>
    </row>
    <row r="4175" spans="31:36">
      <c r="AE4175" s="15" t="str">
        <f t="shared" si="0"/>
        <v/>
      </c>
      <c r="AF4175" s="15" t="str">
        <f t="shared" si="1"/>
        <v/>
      </c>
      <c r="AG4175" s="15" t="str">
        <f>IF(OR(AF4175="",AF4175="ERRO_CHAVE"),"",IFERROR(MATCH(AF4175,'Quitados DUPP'!$U$1:$U$6635,0),""))</f>
        <v/>
      </c>
      <c r="AH4175" s="15" t="str">
        <f t="shared" si="2"/>
        <v/>
      </c>
      <c r="AI4175" s="17" t="str">
        <f>IF(AG4175="","",INDEX('Quitados DUPP'!$G$1:$G$6635,AG4175))</f>
        <v/>
      </c>
      <c r="AJ4175" s="17" t="str">
        <f t="shared" si="3"/>
        <v/>
      </c>
    </row>
    <row r="4176" spans="31:36">
      <c r="AE4176" s="15" t="str">
        <f t="shared" si="0"/>
        <v/>
      </c>
      <c r="AF4176" s="15" t="str">
        <f t="shared" si="1"/>
        <v/>
      </c>
      <c r="AG4176" s="15" t="str">
        <f>IF(OR(AF4176="",AF4176="ERRO_CHAVE"),"",IFERROR(MATCH(AF4176,'Quitados DUPP'!$U$1:$U$6635,0),""))</f>
        <v/>
      </c>
      <c r="AH4176" s="15" t="str">
        <f t="shared" si="2"/>
        <v/>
      </c>
      <c r="AI4176" s="17" t="str">
        <f>IF(AG4176="","",INDEX('Quitados DUPP'!$G$1:$G$6635,AG4176))</f>
        <v/>
      </c>
      <c r="AJ4176" s="17" t="str">
        <f t="shared" si="3"/>
        <v/>
      </c>
    </row>
    <row r="4177" spans="31:36">
      <c r="AE4177" s="15" t="str">
        <f t="shared" si="0"/>
        <v/>
      </c>
      <c r="AF4177" s="15" t="str">
        <f t="shared" si="1"/>
        <v/>
      </c>
      <c r="AG4177" s="15" t="str">
        <f>IF(OR(AF4177="",AF4177="ERRO_CHAVE"),"",IFERROR(MATCH(AF4177,'Quitados DUPP'!$U$1:$U$6635,0),""))</f>
        <v/>
      </c>
      <c r="AH4177" s="15" t="str">
        <f t="shared" si="2"/>
        <v/>
      </c>
      <c r="AI4177" s="17" t="str">
        <f>IF(AG4177="","",INDEX('Quitados DUPP'!$G$1:$G$6635,AG4177))</f>
        <v/>
      </c>
      <c r="AJ4177" s="17" t="str">
        <f t="shared" si="3"/>
        <v/>
      </c>
    </row>
    <row r="4178" spans="31:36">
      <c r="AE4178" s="15" t="str">
        <f t="shared" si="0"/>
        <v/>
      </c>
      <c r="AF4178" s="15" t="str">
        <f t="shared" si="1"/>
        <v/>
      </c>
      <c r="AG4178" s="15" t="str">
        <f>IF(OR(AF4178="",AF4178="ERRO_CHAVE"),"",IFERROR(MATCH(AF4178,'Quitados DUPP'!$U$1:$U$6635,0),""))</f>
        <v/>
      </c>
      <c r="AH4178" s="15" t="str">
        <f t="shared" si="2"/>
        <v/>
      </c>
      <c r="AI4178" s="17" t="str">
        <f>IF(AG4178="","",INDEX('Quitados DUPP'!$G$1:$G$6635,AG4178))</f>
        <v/>
      </c>
      <c r="AJ4178" s="17" t="str">
        <f t="shared" si="3"/>
        <v/>
      </c>
    </row>
    <row r="4179" spans="31:36">
      <c r="AE4179" s="15" t="str">
        <f t="shared" si="0"/>
        <v/>
      </c>
      <c r="AF4179" s="15" t="str">
        <f t="shared" si="1"/>
        <v/>
      </c>
      <c r="AG4179" s="15" t="str">
        <f>IF(OR(AF4179="",AF4179="ERRO_CHAVE"),"",IFERROR(MATCH(AF4179,'Quitados DUPP'!$U$1:$U$6635,0),""))</f>
        <v/>
      </c>
      <c r="AH4179" s="15" t="str">
        <f t="shared" si="2"/>
        <v/>
      </c>
      <c r="AI4179" s="17" t="str">
        <f>IF(AG4179="","",INDEX('Quitados DUPP'!$G$1:$G$6635,AG4179))</f>
        <v/>
      </c>
      <c r="AJ4179" s="17" t="str">
        <f t="shared" si="3"/>
        <v/>
      </c>
    </row>
    <row r="4180" spans="31:36">
      <c r="AE4180" s="15" t="str">
        <f t="shared" si="0"/>
        <v/>
      </c>
      <c r="AF4180" s="15" t="str">
        <f t="shared" si="1"/>
        <v/>
      </c>
      <c r="AG4180" s="15" t="str">
        <f>IF(OR(AF4180="",AF4180="ERRO_CHAVE"),"",IFERROR(MATCH(AF4180,'Quitados DUPP'!$U$1:$U$6635,0),""))</f>
        <v/>
      </c>
      <c r="AH4180" s="15" t="str">
        <f t="shared" si="2"/>
        <v/>
      </c>
      <c r="AI4180" s="17" t="str">
        <f>IF(AG4180="","",INDEX('Quitados DUPP'!$G$1:$G$6635,AG4180))</f>
        <v/>
      </c>
      <c r="AJ4180" s="17" t="str">
        <f t="shared" si="3"/>
        <v/>
      </c>
    </row>
    <row r="4181" spans="31:36">
      <c r="AE4181" s="15" t="str">
        <f t="shared" si="0"/>
        <v/>
      </c>
      <c r="AF4181" s="15" t="str">
        <f t="shared" si="1"/>
        <v/>
      </c>
      <c r="AG4181" s="15" t="str">
        <f>IF(OR(AF4181="",AF4181="ERRO_CHAVE"),"",IFERROR(MATCH(AF4181,'Quitados DUPP'!$U$1:$U$6635,0),""))</f>
        <v/>
      </c>
      <c r="AH4181" s="15" t="str">
        <f t="shared" si="2"/>
        <v/>
      </c>
      <c r="AI4181" s="17" t="str">
        <f>IF(AG4181="","",INDEX('Quitados DUPP'!$G$1:$G$6635,AG4181))</f>
        <v/>
      </c>
      <c r="AJ4181" s="17" t="str">
        <f t="shared" si="3"/>
        <v/>
      </c>
    </row>
    <row r="4182" spans="31:36">
      <c r="AE4182" s="15" t="str">
        <f t="shared" si="0"/>
        <v/>
      </c>
      <c r="AF4182" s="15" t="str">
        <f t="shared" si="1"/>
        <v/>
      </c>
      <c r="AG4182" s="15" t="str">
        <f>IF(OR(AF4182="",AF4182="ERRO_CHAVE"),"",IFERROR(MATCH(AF4182,'Quitados DUPP'!$U$1:$U$6635,0),""))</f>
        <v/>
      </c>
      <c r="AH4182" s="15" t="str">
        <f t="shared" si="2"/>
        <v/>
      </c>
      <c r="AI4182" s="17" t="str">
        <f>IF(AG4182="","",INDEX('Quitados DUPP'!$G$1:$G$6635,AG4182))</f>
        <v/>
      </c>
      <c r="AJ4182" s="17" t="str">
        <f t="shared" si="3"/>
        <v/>
      </c>
    </row>
    <row r="4183" spans="31:36">
      <c r="AE4183" s="15" t="str">
        <f t="shared" si="0"/>
        <v/>
      </c>
      <c r="AF4183" s="15" t="str">
        <f t="shared" si="1"/>
        <v/>
      </c>
      <c r="AG4183" s="15" t="str">
        <f>IF(OR(AF4183="",AF4183="ERRO_CHAVE"),"",IFERROR(MATCH(AF4183,'Quitados DUPP'!$U$1:$U$6635,0),""))</f>
        <v/>
      </c>
      <c r="AH4183" s="15" t="str">
        <f t="shared" si="2"/>
        <v/>
      </c>
      <c r="AI4183" s="17" t="str">
        <f>IF(AG4183="","",INDEX('Quitados DUPP'!$G$1:$G$6635,AG4183))</f>
        <v/>
      </c>
      <c r="AJ4183" s="17" t="str">
        <f t="shared" si="3"/>
        <v/>
      </c>
    </row>
    <row r="4184" spans="31:36">
      <c r="AE4184" s="15" t="str">
        <f t="shared" si="0"/>
        <v/>
      </c>
      <c r="AF4184" s="15" t="str">
        <f t="shared" si="1"/>
        <v/>
      </c>
      <c r="AG4184" s="15" t="str">
        <f>IF(OR(AF4184="",AF4184="ERRO_CHAVE"),"",IFERROR(MATCH(AF4184,'Quitados DUPP'!$U$1:$U$6635,0),""))</f>
        <v/>
      </c>
      <c r="AH4184" s="15" t="str">
        <f t="shared" si="2"/>
        <v/>
      </c>
      <c r="AI4184" s="17" t="str">
        <f>IF(AG4184="","",INDEX('Quitados DUPP'!$G$1:$G$6635,AG4184))</f>
        <v/>
      </c>
      <c r="AJ4184" s="17" t="str">
        <f t="shared" si="3"/>
        <v/>
      </c>
    </row>
    <row r="4185" spans="31:36">
      <c r="AE4185" s="15" t="str">
        <f t="shared" si="0"/>
        <v/>
      </c>
      <c r="AF4185" s="15" t="str">
        <f t="shared" si="1"/>
        <v/>
      </c>
      <c r="AG4185" s="15" t="str">
        <f>IF(OR(AF4185="",AF4185="ERRO_CHAVE"),"",IFERROR(MATCH(AF4185,'Quitados DUPP'!$U$1:$U$6635,0),""))</f>
        <v/>
      </c>
      <c r="AH4185" s="15" t="str">
        <f t="shared" si="2"/>
        <v/>
      </c>
      <c r="AI4185" s="17" t="str">
        <f>IF(AG4185="","",INDEX('Quitados DUPP'!$G$1:$G$6635,AG4185))</f>
        <v/>
      </c>
      <c r="AJ4185" s="17" t="str">
        <f t="shared" si="3"/>
        <v/>
      </c>
    </row>
    <row r="4186" spans="31:36">
      <c r="AE4186" s="15" t="str">
        <f t="shared" si="0"/>
        <v/>
      </c>
      <c r="AF4186" s="15" t="str">
        <f t="shared" si="1"/>
        <v/>
      </c>
      <c r="AG4186" s="15" t="str">
        <f>IF(OR(AF4186="",AF4186="ERRO_CHAVE"),"",IFERROR(MATCH(AF4186,'Quitados DUPP'!$U$1:$U$6635,0),""))</f>
        <v/>
      </c>
      <c r="AH4186" s="15" t="str">
        <f t="shared" si="2"/>
        <v/>
      </c>
      <c r="AI4186" s="17" t="str">
        <f>IF(AG4186="","",INDEX('Quitados DUPP'!$G$1:$G$6635,AG4186))</f>
        <v/>
      </c>
      <c r="AJ4186" s="17" t="str">
        <f t="shared" si="3"/>
        <v/>
      </c>
    </row>
    <row r="4187" spans="31:36">
      <c r="AE4187" s="15" t="str">
        <f t="shared" si="0"/>
        <v/>
      </c>
      <c r="AF4187" s="15" t="str">
        <f t="shared" si="1"/>
        <v/>
      </c>
      <c r="AG4187" s="15" t="str">
        <f>IF(OR(AF4187="",AF4187="ERRO_CHAVE"),"",IFERROR(MATCH(AF4187,'Quitados DUPP'!$U$1:$U$6635,0),""))</f>
        <v/>
      </c>
      <c r="AH4187" s="15" t="str">
        <f t="shared" si="2"/>
        <v/>
      </c>
      <c r="AI4187" s="17" t="str">
        <f>IF(AG4187="","",INDEX('Quitados DUPP'!$G$1:$G$6635,AG4187))</f>
        <v/>
      </c>
      <c r="AJ4187" s="17" t="str">
        <f t="shared" si="3"/>
        <v/>
      </c>
    </row>
    <row r="4188" spans="31:36">
      <c r="AE4188" s="15" t="str">
        <f t="shared" si="0"/>
        <v/>
      </c>
      <c r="AF4188" s="15" t="str">
        <f t="shared" si="1"/>
        <v/>
      </c>
      <c r="AG4188" s="15" t="str">
        <f>IF(OR(AF4188="",AF4188="ERRO_CHAVE"),"",IFERROR(MATCH(AF4188,'Quitados DUPP'!$U$1:$U$6635,0),""))</f>
        <v/>
      </c>
      <c r="AH4188" s="15" t="str">
        <f t="shared" si="2"/>
        <v/>
      </c>
      <c r="AI4188" s="17" t="str">
        <f>IF(AG4188="","",INDEX('Quitados DUPP'!$G$1:$G$6635,AG4188))</f>
        <v/>
      </c>
      <c r="AJ4188" s="17" t="str">
        <f t="shared" si="3"/>
        <v/>
      </c>
    </row>
    <row r="4189" spans="31:36">
      <c r="AE4189" s="15" t="str">
        <f t="shared" si="0"/>
        <v/>
      </c>
      <c r="AF4189" s="15" t="str">
        <f t="shared" si="1"/>
        <v/>
      </c>
      <c r="AG4189" s="15" t="str">
        <f>IF(OR(AF4189="",AF4189="ERRO_CHAVE"),"",IFERROR(MATCH(AF4189,'Quitados DUPP'!$U$1:$U$6635,0),""))</f>
        <v/>
      </c>
      <c r="AH4189" s="15" t="str">
        <f t="shared" si="2"/>
        <v/>
      </c>
      <c r="AI4189" s="17" t="str">
        <f>IF(AG4189="","",INDEX('Quitados DUPP'!$G$1:$G$6635,AG4189))</f>
        <v/>
      </c>
      <c r="AJ4189" s="17" t="str">
        <f t="shared" si="3"/>
        <v/>
      </c>
    </row>
    <row r="4190" spans="31:36">
      <c r="AE4190" s="15" t="str">
        <f t="shared" si="0"/>
        <v/>
      </c>
      <c r="AF4190" s="15" t="str">
        <f t="shared" si="1"/>
        <v/>
      </c>
      <c r="AG4190" s="15" t="str">
        <f>IF(OR(AF4190="",AF4190="ERRO_CHAVE"),"",IFERROR(MATCH(AF4190,'Quitados DUPP'!$U$1:$U$6635,0),""))</f>
        <v/>
      </c>
      <c r="AH4190" s="15" t="str">
        <f t="shared" si="2"/>
        <v/>
      </c>
      <c r="AI4190" s="17" t="str">
        <f>IF(AG4190="","",INDEX('Quitados DUPP'!$G$1:$G$6635,AG4190))</f>
        <v/>
      </c>
      <c r="AJ4190" s="17" t="str">
        <f t="shared" si="3"/>
        <v/>
      </c>
    </row>
    <row r="4191" spans="31:36">
      <c r="AE4191" s="15" t="str">
        <f t="shared" si="0"/>
        <v/>
      </c>
      <c r="AF4191" s="15" t="str">
        <f t="shared" si="1"/>
        <v/>
      </c>
      <c r="AG4191" s="15" t="str">
        <f>IF(OR(AF4191="",AF4191="ERRO_CHAVE"),"",IFERROR(MATCH(AF4191,'Quitados DUPP'!$U$1:$U$6635,0),""))</f>
        <v/>
      </c>
      <c r="AH4191" s="15" t="str">
        <f t="shared" si="2"/>
        <v/>
      </c>
      <c r="AI4191" s="17" t="str">
        <f>IF(AG4191="","",INDEX('Quitados DUPP'!$G$1:$G$6635,AG4191))</f>
        <v/>
      </c>
      <c r="AJ4191" s="17" t="str">
        <f t="shared" si="3"/>
        <v/>
      </c>
    </row>
    <row r="4192" spans="31:36">
      <c r="AE4192" s="15" t="str">
        <f t="shared" si="0"/>
        <v/>
      </c>
      <c r="AF4192" s="15" t="str">
        <f t="shared" si="1"/>
        <v/>
      </c>
      <c r="AG4192" s="15" t="str">
        <f>IF(OR(AF4192="",AF4192="ERRO_CHAVE"),"",IFERROR(MATCH(AF4192,'Quitados DUPP'!$U$1:$U$6635,0),""))</f>
        <v/>
      </c>
      <c r="AH4192" s="15" t="str">
        <f t="shared" si="2"/>
        <v/>
      </c>
      <c r="AI4192" s="17" t="str">
        <f>IF(AG4192="","",INDEX('Quitados DUPP'!$G$1:$G$6635,AG4192))</f>
        <v/>
      </c>
      <c r="AJ4192" s="17" t="str">
        <f t="shared" si="3"/>
        <v/>
      </c>
    </row>
    <row r="4193" spans="31:36">
      <c r="AE4193" s="15" t="str">
        <f t="shared" si="0"/>
        <v/>
      </c>
      <c r="AF4193" s="15" t="str">
        <f t="shared" si="1"/>
        <v/>
      </c>
      <c r="AG4193" s="15" t="str">
        <f>IF(OR(AF4193="",AF4193="ERRO_CHAVE"),"",IFERROR(MATCH(AF4193,'Quitados DUPP'!$U$1:$U$6635,0),""))</f>
        <v/>
      </c>
      <c r="AH4193" s="15" t="str">
        <f t="shared" si="2"/>
        <v/>
      </c>
      <c r="AI4193" s="17" t="str">
        <f>IF(AG4193="","",INDEX('Quitados DUPP'!$G$1:$G$6635,AG4193))</f>
        <v/>
      </c>
      <c r="AJ4193" s="17" t="str">
        <f t="shared" si="3"/>
        <v/>
      </c>
    </row>
    <row r="4194" spans="31:36">
      <c r="AE4194" s="15" t="str">
        <f t="shared" si="0"/>
        <v/>
      </c>
      <c r="AF4194" s="15" t="str">
        <f t="shared" si="1"/>
        <v/>
      </c>
      <c r="AG4194" s="15" t="str">
        <f>IF(OR(AF4194="",AF4194="ERRO_CHAVE"),"",IFERROR(MATCH(AF4194,'Quitados DUPP'!$U$1:$U$6635,0),""))</f>
        <v/>
      </c>
      <c r="AH4194" s="15" t="str">
        <f t="shared" si="2"/>
        <v/>
      </c>
      <c r="AI4194" s="17" t="str">
        <f>IF(AG4194="","",INDEX('Quitados DUPP'!$G$1:$G$6635,AG4194))</f>
        <v/>
      </c>
      <c r="AJ4194" s="17" t="str">
        <f t="shared" si="3"/>
        <v/>
      </c>
    </row>
    <row r="4195" spans="31:36">
      <c r="AE4195" s="15" t="str">
        <f t="shared" si="0"/>
        <v/>
      </c>
      <c r="AF4195" s="15" t="str">
        <f t="shared" si="1"/>
        <v/>
      </c>
      <c r="AG4195" s="15" t="str">
        <f>IF(OR(AF4195="",AF4195="ERRO_CHAVE"),"",IFERROR(MATCH(AF4195,'Quitados DUPP'!$U$1:$U$6635,0),""))</f>
        <v/>
      </c>
      <c r="AH4195" s="15" t="str">
        <f t="shared" si="2"/>
        <v/>
      </c>
      <c r="AI4195" s="17" t="str">
        <f>IF(AG4195="","",INDEX('Quitados DUPP'!$G$1:$G$6635,AG4195))</f>
        <v/>
      </c>
      <c r="AJ4195" s="17" t="str">
        <f t="shared" si="3"/>
        <v/>
      </c>
    </row>
    <row r="4196" spans="31:36">
      <c r="AE4196" s="15" t="str">
        <f t="shared" si="0"/>
        <v/>
      </c>
      <c r="AF4196" s="15" t="str">
        <f t="shared" si="1"/>
        <v/>
      </c>
      <c r="AG4196" s="15" t="str">
        <f>IF(OR(AF4196="",AF4196="ERRO_CHAVE"),"",IFERROR(MATCH(AF4196,'Quitados DUPP'!$U$1:$U$6635,0),""))</f>
        <v/>
      </c>
      <c r="AH4196" s="15" t="str">
        <f t="shared" si="2"/>
        <v/>
      </c>
      <c r="AI4196" s="17" t="str">
        <f>IF(AG4196="","",INDEX('Quitados DUPP'!$G$1:$G$6635,AG4196))</f>
        <v/>
      </c>
      <c r="AJ4196" s="17" t="str">
        <f t="shared" si="3"/>
        <v/>
      </c>
    </row>
    <row r="4197" spans="31:36">
      <c r="AE4197" s="15" t="str">
        <f t="shared" si="0"/>
        <v/>
      </c>
      <c r="AF4197" s="15" t="str">
        <f t="shared" si="1"/>
        <v/>
      </c>
      <c r="AG4197" s="15" t="str">
        <f>IF(OR(AF4197="",AF4197="ERRO_CHAVE"),"",IFERROR(MATCH(AF4197,'Quitados DUPP'!$U$1:$U$6635,0),""))</f>
        <v/>
      </c>
      <c r="AH4197" s="15" t="str">
        <f t="shared" si="2"/>
        <v/>
      </c>
      <c r="AI4197" s="17" t="str">
        <f>IF(AG4197="","",INDEX('Quitados DUPP'!$G$1:$G$6635,AG4197))</f>
        <v/>
      </c>
      <c r="AJ4197" s="17" t="str">
        <f t="shared" si="3"/>
        <v/>
      </c>
    </row>
    <row r="4198" spans="31:36">
      <c r="AE4198" s="15" t="str">
        <f t="shared" si="0"/>
        <v/>
      </c>
      <c r="AF4198" s="15" t="str">
        <f t="shared" si="1"/>
        <v/>
      </c>
      <c r="AG4198" s="15" t="str">
        <f>IF(OR(AF4198="",AF4198="ERRO_CHAVE"),"",IFERROR(MATCH(AF4198,'Quitados DUPP'!$U$1:$U$6635,0),""))</f>
        <v/>
      </c>
      <c r="AH4198" s="15" t="str">
        <f t="shared" si="2"/>
        <v/>
      </c>
      <c r="AI4198" s="17" t="str">
        <f>IF(AG4198="","",INDEX('Quitados DUPP'!$G$1:$G$6635,AG4198))</f>
        <v/>
      </c>
      <c r="AJ4198" s="17" t="str">
        <f t="shared" si="3"/>
        <v/>
      </c>
    </row>
    <row r="4199" spans="31:36">
      <c r="AE4199" s="15" t="str">
        <f t="shared" si="0"/>
        <v/>
      </c>
      <c r="AF4199" s="15" t="str">
        <f t="shared" si="1"/>
        <v/>
      </c>
      <c r="AG4199" s="15" t="str">
        <f>IF(OR(AF4199="",AF4199="ERRO_CHAVE"),"",IFERROR(MATCH(AF4199,'Quitados DUPP'!$U$1:$U$6635,0),""))</f>
        <v/>
      </c>
      <c r="AH4199" s="15" t="str">
        <f t="shared" si="2"/>
        <v/>
      </c>
      <c r="AI4199" s="17" t="str">
        <f>IF(AG4199="","",INDEX('Quitados DUPP'!$G$1:$G$6635,AG4199))</f>
        <v/>
      </c>
      <c r="AJ4199" s="17" t="str">
        <f t="shared" si="3"/>
        <v/>
      </c>
    </row>
    <row r="4200" spans="31:36">
      <c r="AE4200" s="15" t="str">
        <f t="shared" si="0"/>
        <v/>
      </c>
      <c r="AF4200" s="15" t="str">
        <f t="shared" si="1"/>
        <v/>
      </c>
      <c r="AG4200" s="15" t="str">
        <f>IF(OR(AF4200="",AF4200="ERRO_CHAVE"),"",IFERROR(MATCH(AF4200,'Quitados DUPP'!$U$1:$U$6635,0),""))</f>
        <v/>
      </c>
      <c r="AH4200" s="15" t="str">
        <f t="shared" si="2"/>
        <v/>
      </c>
      <c r="AI4200" s="17" t="str">
        <f>IF(AG4200="","",INDEX('Quitados DUPP'!$G$1:$G$6635,AG4200))</f>
        <v/>
      </c>
      <c r="AJ4200" s="17" t="str">
        <f t="shared" si="3"/>
        <v/>
      </c>
    </row>
    <row r="4201" spans="31:36">
      <c r="AE4201" s="15" t="str">
        <f t="shared" si="0"/>
        <v/>
      </c>
      <c r="AF4201" s="15" t="str">
        <f t="shared" si="1"/>
        <v/>
      </c>
      <c r="AG4201" s="15" t="str">
        <f>IF(OR(AF4201="",AF4201="ERRO_CHAVE"),"",IFERROR(MATCH(AF4201,'Quitados DUPP'!$U$1:$U$6635,0),""))</f>
        <v/>
      </c>
      <c r="AH4201" s="15" t="str">
        <f t="shared" si="2"/>
        <v/>
      </c>
      <c r="AI4201" s="17" t="str">
        <f>IF(AG4201="","",INDEX('Quitados DUPP'!$G$1:$G$6635,AG4201))</f>
        <v/>
      </c>
      <c r="AJ4201" s="17" t="str">
        <f t="shared" si="3"/>
        <v/>
      </c>
    </row>
    <row r="4202" spans="31:36">
      <c r="AE4202" s="15" t="str">
        <f t="shared" si="0"/>
        <v/>
      </c>
      <c r="AF4202" s="15" t="str">
        <f t="shared" si="1"/>
        <v/>
      </c>
      <c r="AG4202" s="15" t="str">
        <f>IF(OR(AF4202="",AF4202="ERRO_CHAVE"),"",IFERROR(MATCH(AF4202,'Quitados DUPP'!$U$1:$U$6635,0),""))</f>
        <v/>
      </c>
      <c r="AH4202" s="15" t="str">
        <f t="shared" si="2"/>
        <v/>
      </c>
      <c r="AI4202" s="17" t="str">
        <f>IF(AG4202="","",INDEX('Quitados DUPP'!$G$1:$G$6635,AG4202))</f>
        <v/>
      </c>
      <c r="AJ4202" s="17" t="str">
        <f t="shared" si="3"/>
        <v/>
      </c>
    </row>
    <row r="4203" spans="31:36">
      <c r="AE4203" s="15" t="str">
        <f t="shared" si="0"/>
        <v/>
      </c>
      <c r="AF4203" s="15" t="str">
        <f t="shared" si="1"/>
        <v/>
      </c>
      <c r="AG4203" s="15" t="str">
        <f>IF(OR(AF4203="",AF4203="ERRO_CHAVE"),"",IFERROR(MATCH(AF4203,'Quitados DUPP'!$U$1:$U$6635,0),""))</f>
        <v/>
      </c>
      <c r="AH4203" s="15" t="str">
        <f t="shared" si="2"/>
        <v/>
      </c>
      <c r="AI4203" s="17" t="str">
        <f>IF(AG4203="","",INDEX('Quitados DUPP'!$G$1:$G$6635,AG4203))</f>
        <v/>
      </c>
      <c r="AJ4203" s="17" t="str">
        <f t="shared" si="3"/>
        <v/>
      </c>
    </row>
    <row r="4204" spans="31:36">
      <c r="AE4204" s="15" t="str">
        <f t="shared" si="0"/>
        <v/>
      </c>
      <c r="AF4204" s="15" t="str">
        <f t="shared" si="1"/>
        <v/>
      </c>
      <c r="AG4204" s="15" t="str">
        <f>IF(OR(AF4204="",AF4204="ERRO_CHAVE"),"",IFERROR(MATCH(AF4204,'Quitados DUPP'!$U$1:$U$6635,0),""))</f>
        <v/>
      </c>
      <c r="AH4204" s="15" t="str">
        <f t="shared" si="2"/>
        <v/>
      </c>
      <c r="AI4204" s="17" t="str">
        <f>IF(AG4204="","",INDEX('Quitados DUPP'!$G$1:$G$6635,AG4204))</f>
        <v/>
      </c>
      <c r="AJ4204" s="17" t="str">
        <f t="shared" si="3"/>
        <v/>
      </c>
    </row>
    <row r="4205" spans="31:36">
      <c r="AE4205" s="15" t="str">
        <f t="shared" si="0"/>
        <v/>
      </c>
      <c r="AF4205" s="15" t="str">
        <f t="shared" si="1"/>
        <v/>
      </c>
      <c r="AG4205" s="15" t="str">
        <f>IF(OR(AF4205="",AF4205="ERRO_CHAVE"),"",IFERROR(MATCH(AF4205,'Quitados DUPP'!$U$1:$U$6635,0),""))</f>
        <v/>
      </c>
      <c r="AH4205" s="15" t="str">
        <f t="shared" si="2"/>
        <v/>
      </c>
      <c r="AI4205" s="17" t="str">
        <f>IF(AG4205="","",INDEX('Quitados DUPP'!$G$1:$G$6635,AG4205))</f>
        <v/>
      </c>
      <c r="AJ4205" s="17" t="str">
        <f t="shared" si="3"/>
        <v/>
      </c>
    </row>
    <row r="4206" spans="31:36">
      <c r="AE4206" s="15" t="str">
        <f t="shared" si="0"/>
        <v/>
      </c>
      <c r="AF4206" s="15" t="str">
        <f t="shared" si="1"/>
        <v/>
      </c>
      <c r="AG4206" s="15" t="str">
        <f>IF(OR(AF4206="",AF4206="ERRO_CHAVE"),"",IFERROR(MATCH(AF4206,'Quitados DUPP'!$U$1:$U$6635,0),""))</f>
        <v/>
      </c>
      <c r="AH4206" s="15" t="str">
        <f t="shared" si="2"/>
        <v/>
      </c>
      <c r="AI4206" s="17" t="str">
        <f>IF(AG4206="","",INDEX('Quitados DUPP'!$G$1:$G$6635,AG4206))</f>
        <v/>
      </c>
      <c r="AJ4206" s="17" t="str">
        <f t="shared" si="3"/>
        <v/>
      </c>
    </row>
    <row r="4207" spans="31:36">
      <c r="AE4207" s="15" t="str">
        <f t="shared" si="0"/>
        <v/>
      </c>
      <c r="AF4207" s="15" t="str">
        <f t="shared" si="1"/>
        <v/>
      </c>
      <c r="AG4207" s="15" t="str">
        <f>IF(OR(AF4207="",AF4207="ERRO_CHAVE"),"",IFERROR(MATCH(AF4207,'Quitados DUPP'!$U$1:$U$6635,0),""))</f>
        <v/>
      </c>
      <c r="AH4207" s="15" t="str">
        <f t="shared" si="2"/>
        <v/>
      </c>
      <c r="AI4207" s="17" t="str">
        <f>IF(AG4207="","",INDEX('Quitados DUPP'!$G$1:$G$6635,AG4207))</f>
        <v/>
      </c>
      <c r="AJ4207" s="17" t="str">
        <f t="shared" si="3"/>
        <v/>
      </c>
    </row>
    <row r="4208" spans="31:36">
      <c r="AE4208" s="15" t="str">
        <f t="shared" si="0"/>
        <v/>
      </c>
      <c r="AF4208" s="15" t="str">
        <f t="shared" si="1"/>
        <v/>
      </c>
      <c r="AG4208" s="15" t="str">
        <f>IF(OR(AF4208="",AF4208="ERRO_CHAVE"),"",IFERROR(MATCH(AF4208,'Quitados DUPP'!$U$1:$U$6635,0),""))</f>
        <v/>
      </c>
      <c r="AH4208" s="15" t="str">
        <f t="shared" si="2"/>
        <v/>
      </c>
      <c r="AI4208" s="17" t="str">
        <f>IF(AG4208="","",INDEX('Quitados DUPP'!$G$1:$G$6635,AG4208))</f>
        <v/>
      </c>
      <c r="AJ4208" s="17" t="str">
        <f t="shared" si="3"/>
        <v/>
      </c>
    </row>
    <row r="4209" spans="31:36">
      <c r="AE4209" s="15" t="str">
        <f t="shared" si="0"/>
        <v/>
      </c>
      <c r="AF4209" s="15" t="str">
        <f t="shared" si="1"/>
        <v/>
      </c>
      <c r="AG4209" s="15" t="str">
        <f>IF(OR(AF4209="",AF4209="ERRO_CHAVE"),"",IFERROR(MATCH(AF4209,'Quitados DUPP'!$U$1:$U$6635,0),""))</f>
        <v/>
      </c>
      <c r="AH4209" s="15" t="str">
        <f t="shared" si="2"/>
        <v/>
      </c>
      <c r="AI4209" s="17" t="str">
        <f>IF(AG4209="","",INDEX('Quitados DUPP'!$G$1:$G$6635,AG4209))</f>
        <v/>
      </c>
      <c r="AJ4209" s="17" t="str">
        <f t="shared" si="3"/>
        <v/>
      </c>
    </row>
    <row r="4210" spans="31:36">
      <c r="AE4210" s="15" t="str">
        <f t="shared" si="0"/>
        <v/>
      </c>
      <c r="AF4210" s="15" t="str">
        <f t="shared" si="1"/>
        <v/>
      </c>
      <c r="AG4210" s="15" t="str">
        <f>IF(OR(AF4210="",AF4210="ERRO_CHAVE"),"",IFERROR(MATCH(AF4210,'Quitados DUPP'!$U$1:$U$6635,0),""))</f>
        <v/>
      </c>
      <c r="AH4210" s="15" t="str">
        <f t="shared" si="2"/>
        <v/>
      </c>
      <c r="AI4210" s="17" t="str">
        <f>IF(AG4210="","",INDEX('Quitados DUPP'!$G$1:$G$6635,AG4210))</f>
        <v/>
      </c>
      <c r="AJ4210" s="17" t="str">
        <f t="shared" si="3"/>
        <v/>
      </c>
    </row>
    <row r="4211" spans="31:36">
      <c r="AE4211" s="15" t="str">
        <f t="shared" si="0"/>
        <v/>
      </c>
      <c r="AF4211" s="15" t="str">
        <f t="shared" si="1"/>
        <v/>
      </c>
      <c r="AG4211" s="15" t="str">
        <f>IF(OR(AF4211="",AF4211="ERRO_CHAVE"),"",IFERROR(MATCH(AF4211,'Quitados DUPP'!$U$1:$U$6635,0),""))</f>
        <v/>
      </c>
      <c r="AH4211" s="15" t="str">
        <f t="shared" si="2"/>
        <v/>
      </c>
      <c r="AI4211" s="17" t="str">
        <f>IF(AG4211="","",INDEX('Quitados DUPP'!$G$1:$G$6635,AG4211))</f>
        <v/>
      </c>
      <c r="AJ4211" s="17" t="str">
        <f t="shared" si="3"/>
        <v/>
      </c>
    </row>
    <row r="4212" spans="31:36">
      <c r="AE4212" s="15" t="str">
        <f t="shared" si="0"/>
        <v/>
      </c>
      <c r="AF4212" s="15" t="str">
        <f t="shared" si="1"/>
        <v/>
      </c>
      <c r="AG4212" s="15" t="str">
        <f>IF(OR(AF4212="",AF4212="ERRO_CHAVE"),"",IFERROR(MATCH(AF4212,'Quitados DUPP'!$U$1:$U$6635,0),""))</f>
        <v/>
      </c>
      <c r="AH4212" s="15" t="str">
        <f t="shared" si="2"/>
        <v/>
      </c>
      <c r="AI4212" s="17" t="str">
        <f>IF(AG4212="","",INDEX('Quitados DUPP'!$G$1:$G$6635,AG4212))</f>
        <v/>
      </c>
      <c r="AJ4212" s="17" t="str">
        <f t="shared" si="3"/>
        <v/>
      </c>
    </row>
    <row r="4213" spans="31:36">
      <c r="AE4213" s="15" t="str">
        <f t="shared" si="0"/>
        <v/>
      </c>
      <c r="AF4213" s="15" t="str">
        <f t="shared" si="1"/>
        <v/>
      </c>
      <c r="AG4213" s="15" t="str">
        <f>IF(OR(AF4213="",AF4213="ERRO_CHAVE"),"",IFERROR(MATCH(AF4213,'Quitados DUPP'!$U$1:$U$6635,0),""))</f>
        <v/>
      </c>
      <c r="AH4213" s="15" t="str">
        <f t="shared" si="2"/>
        <v/>
      </c>
      <c r="AI4213" s="17" t="str">
        <f>IF(AG4213="","",INDEX('Quitados DUPP'!$G$1:$G$6635,AG4213))</f>
        <v/>
      </c>
      <c r="AJ4213" s="17" t="str">
        <f t="shared" si="3"/>
        <v/>
      </c>
    </row>
    <row r="4214" spans="31:36">
      <c r="AE4214" s="15" t="str">
        <f t="shared" si="0"/>
        <v/>
      </c>
      <c r="AF4214" s="15" t="str">
        <f t="shared" si="1"/>
        <v/>
      </c>
      <c r="AG4214" s="15" t="str">
        <f>IF(OR(AF4214="",AF4214="ERRO_CHAVE"),"",IFERROR(MATCH(AF4214,'Quitados DUPP'!$U$1:$U$6635,0),""))</f>
        <v/>
      </c>
      <c r="AH4214" s="15" t="str">
        <f t="shared" si="2"/>
        <v/>
      </c>
      <c r="AI4214" s="17" t="str">
        <f>IF(AG4214="","",INDEX('Quitados DUPP'!$G$1:$G$6635,AG4214))</f>
        <v/>
      </c>
      <c r="AJ4214" s="17" t="str">
        <f t="shared" si="3"/>
        <v/>
      </c>
    </row>
    <row r="4215" spans="31:36">
      <c r="AE4215" s="15" t="str">
        <f t="shared" si="0"/>
        <v/>
      </c>
      <c r="AF4215" s="15" t="str">
        <f t="shared" si="1"/>
        <v/>
      </c>
      <c r="AG4215" s="15" t="str">
        <f>IF(OR(AF4215="",AF4215="ERRO_CHAVE"),"",IFERROR(MATCH(AF4215,'Quitados DUPP'!$U$1:$U$6635,0),""))</f>
        <v/>
      </c>
      <c r="AH4215" s="15" t="str">
        <f t="shared" si="2"/>
        <v/>
      </c>
      <c r="AI4215" s="17" t="str">
        <f>IF(AG4215="","",INDEX('Quitados DUPP'!$G$1:$G$6635,AG4215))</f>
        <v/>
      </c>
      <c r="AJ4215" s="17" t="str">
        <f t="shared" si="3"/>
        <v/>
      </c>
    </row>
    <row r="4216" spans="31:36">
      <c r="AE4216" s="15" t="str">
        <f t="shared" si="0"/>
        <v/>
      </c>
      <c r="AF4216" s="15" t="str">
        <f t="shared" si="1"/>
        <v/>
      </c>
      <c r="AG4216" s="15" t="str">
        <f>IF(OR(AF4216="",AF4216="ERRO_CHAVE"),"",IFERROR(MATCH(AF4216,'Quitados DUPP'!$U$1:$U$6635,0),""))</f>
        <v/>
      </c>
      <c r="AH4216" s="15" t="str">
        <f t="shared" si="2"/>
        <v/>
      </c>
      <c r="AI4216" s="17" t="str">
        <f>IF(AG4216="","",INDEX('Quitados DUPP'!$G$1:$G$6635,AG4216))</f>
        <v/>
      </c>
      <c r="AJ4216" s="17" t="str">
        <f t="shared" si="3"/>
        <v/>
      </c>
    </row>
    <row r="4217" spans="31:36">
      <c r="AE4217" s="15" t="str">
        <f t="shared" si="0"/>
        <v/>
      </c>
      <c r="AF4217" s="15" t="str">
        <f t="shared" si="1"/>
        <v/>
      </c>
      <c r="AG4217" s="15" t="str">
        <f>IF(OR(AF4217="",AF4217="ERRO_CHAVE"),"",IFERROR(MATCH(AF4217,'Quitados DUPP'!$U$1:$U$6635,0),""))</f>
        <v/>
      </c>
      <c r="AH4217" s="15" t="str">
        <f t="shared" si="2"/>
        <v/>
      </c>
      <c r="AI4217" s="17" t="str">
        <f>IF(AG4217="","",INDEX('Quitados DUPP'!$G$1:$G$6635,AG4217))</f>
        <v/>
      </c>
      <c r="AJ4217" s="17" t="str">
        <f t="shared" si="3"/>
        <v/>
      </c>
    </row>
    <row r="4218" spans="31:36">
      <c r="AE4218" s="15" t="str">
        <f t="shared" si="0"/>
        <v/>
      </c>
      <c r="AF4218" s="15" t="str">
        <f t="shared" si="1"/>
        <v/>
      </c>
      <c r="AG4218" s="15" t="str">
        <f>IF(OR(AF4218="",AF4218="ERRO_CHAVE"),"",IFERROR(MATCH(AF4218,'Quitados DUPP'!$U$1:$U$6635,0),""))</f>
        <v/>
      </c>
      <c r="AH4218" s="15" t="str">
        <f t="shared" si="2"/>
        <v/>
      </c>
      <c r="AI4218" s="17" t="str">
        <f>IF(AG4218="","",INDEX('Quitados DUPP'!$G$1:$G$6635,AG4218))</f>
        <v/>
      </c>
      <c r="AJ4218" s="17" t="str">
        <f t="shared" si="3"/>
        <v/>
      </c>
    </row>
    <row r="4219" spans="31:36">
      <c r="AE4219" s="15" t="str">
        <f t="shared" si="0"/>
        <v/>
      </c>
      <c r="AF4219" s="15" t="str">
        <f t="shared" si="1"/>
        <v/>
      </c>
      <c r="AG4219" s="15" t="str">
        <f>IF(OR(AF4219="",AF4219="ERRO_CHAVE"),"",IFERROR(MATCH(AF4219,'Quitados DUPP'!$U$1:$U$6635,0),""))</f>
        <v/>
      </c>
      <c r="AH4219" s="15" t="str">
        <f t="shared" si="2"/>
        <v/>
      </c>
      <c r="AI4219" s="17" t="str">
        <f>IF(AG4219="","",INDEX('Quitados DUPP'!$G$1:$G$6635,AG4219))</f>
        <v/>
      </c>
      <c r="AJ4219" s="17" t="str">
        <f t="shared" si="3"/>
        <v/>
      </c>
    </row>
    <row r="4220" spans="31:36">
      <c r="AE4220" s="15" t="str">
        <f t="shared" si="0"/>
        <v/>
      </c>
      <c r="AF4220" s="15" t="str">
        <f t="shared" si="1"/>
        <v/>
      </c>
      <c r="AG4220" s="15" t="str">
        <f>IF(OR(AF4220="",AF4220="ERRO_CHAVE"),"",IFERROR(MATCH(AF4220,'Quitados DUPP'!$U$1:$U$6635,0),""))</f>
        <v/>
      </c>
      <c r="AH4220" s="15" t="str">
        <f t="shared" si="2"/>
        <v/>
      </c>
      <c r="AI4220" s="17" t="str">
        <f>IF(AG4220="","",INDEX('Quitados DUPP'!$G$1:$G$6635,AG4220))</f>
        <v/>
      </c>
      <c r="AJ4220" s="17" t="str">
        <f t="shared" si="3"/>
        <v/>
      </c>
    </row>
    <row r="4221" spans="31:36">
      <c r="AE4221" s="15" t="str">
        <f t="shared" si="0"/>
        <v/>
      </c>
      <c r="AF4221" s="15" t="str">
        <f t="shared" si="1"/>
        <v/>
      </c>
      <c r="AG4221" s="15" t="str">
        <f>IF(OR(AF4221="",AF4221="ERRO_CHAVE"),"",IFERROR(MATCH(AF4221,'Quitados DUPP'!$U$1:$U$6635,0),""))</f>
        <v/>
      </c>
      <c r="AH4221" s="15" t="str">
        <f t="shared" si="2"/>
        <v/>
      </c>
      <c r="AI4221" s="17" t="str">
        <f>IF(AG4221="","",INDEX('Quitados DUPP'!$G$1:$G$6635,AG4221))</f>
        <v/>
      </c>
      <c r="AJ4221" s="17" t="str">
        <f t="shared" si="3"/>
        <v/>
      </c>
    </row>
    <row r="4222" spans="31:36">
      <c r="AE4222" s="15" t="str">
        <f t="shared" si="0"/>
        <v/>
      </c>
      <c r="AF4222" s="15" t="str">
        <f t="shared" si="1"/>
        <v/>
      </c>
      <c r="AG4222" s="15" t="str">
        <f>IF(OR(AF4222="",AF4222="ERRO_CHAVE"),"",IFERROR(MATCH(AF4222,'Quitados DUPP'!$U$1:$U$6635,0),""))</f>
        <v/>
      </c>
      <c r="AH4222" s="15" t="str">
        <f t="shared" si="2"/>
        <v/>
      </c>
      <c r="AI4222" s="17" t="str">
        <f>IF(AG4222="","",INDEX('Quitados DUPP'!$G$1:$G$6635,AG4222))</f>
        <v/>
      </c>
      <c r="AJ4222" s="17" t="str">
        <f t="shared" si="3"/>
        <v/>
      </c>
    </row>
    <row r="4223" spans="31:36">
      <c r="AE4223" s="15" t="str">
        <f t="shared" si="0"/>
        <v/>
      </c>
      <c r="AF4223" s="15" t="str">
        <f t="shared" si="1"/>
        <v/>
      </c>
      <c r="AG4223" s="15" t="str">
        <f>IF(OR(AF4223="",AF4223="ERRO_CHAVE"),"",IFERROR(MATCH(AF4223,'Quitados DUPP'!$U$1:$U$6635,0),""))</f>
        <v/>
      </c>
      <c r="AH4223" s="15" t="str">
        <f t="shared" si="2"/>
        <v/>
      </c>
      <c r="AI4223" s="17" t="str">
        <f>IF(AG4223="","",INDEX('Quitados DUPP'!$G$1:$G$6635,AG4223))</f>
        <v/>
      </c>
      <c r="AJ4223" s="17" t="str">
        <f t="shared" si="3"/>
        <v/>
      </c>
    </row>
    <row r="4224" spans="31:36">
      <c r="AE4224" s="15" t="str">
        <f t="shared" si="0"/>
        <v/>
      </c>
      <c r="AF4224" s="15" t="str">
        <f t="shared" si="1"/>
        <v/>
      </c>
      <c r="AG4224" s="15" t="str">
        <f>IF(OR(AF4224="",AF4224="ERRO_CHAVE"),"",IFERROR(MATCH(AF4224,'Quitados DUPP'!$U$1:$U$6635,0),""))</f>
        <v/>
      </c>
      <c r="AH4224" s="15" t="str">
        <f t="shared" si="2"/>
        <v/>
      </c>
      <c r="AI4224" s="17" t="str">
        <f>IF(AG4224="","",INDEX('Quitados DUPP'!$G$1:$G$6635,AG4224))</f>
        <v/>
      </c>
      <c r="AJ4224" s="17" t="str">
        <f t="shared" si="3"/>
        <v/>
      </c>
    </row>
    <row r="4225" spans="31:36">
      <c r="AE4225" s="15" t="str">
        <f t="shared" si="0"/>
        <v/>
      </c>
      <c r="AF4225" s="15" t="str">
        <f t="shared" si="1"/>
        <v/>
      </c>
      <c r="AG4225" s="15" t="str">
        <f>IF(OR(AF4225="",AF4225="ERRO_CHAVE"),"",IFERROR(MATCH(AF4225,'Quitados DUPP'!$U$1:$U$6635,0),""))</f>
        <v/>
      </c>
      <c r="AH4225" s="15" t="str">
        <f t="shared" si="2"/>
        <v/>
      </c>
      <c r="AI4225" s="17" t="str">
        <f>IF(AG4225="","",INDEX('Quitados DUPP'!$G$1:$G$6635,AG4225))</f>
        <v/>
      </c>
      <c r="AJ4225" s="17" t="str">
        <f t="shared" si="3"/>
        <v/>
      </c>
    </row>
    <row r="4226" spans="31:36">
      <c r="AE4226" s="15" t="str">
        <f t="shared" si="0"/>
        <v/>
      </c>
      <c r="AF4226" s="15" t="str">
        <f t="shared" si="1"/>
        <v/>
      </c>
      <c r="AG4226" s="15" t="str">
        <f>IF(OR(AF4226="",AF4226="ERRO_CHAVE"),"",IFERROR(MATCH(AF4226,'Quitados DUPP'!$U$1:$U$6635,0),""))</f>
        <v/>
      </c>
      <c r="AH4226" s="15" t="str">
        <f t="shared" si="2"/>
        <v/>
      </c>
      <c r="AI4226" s="17" t="str">
        <f>IF(AG4226="","",INDEX('Quitados DUPP'!$G$1:$G$6635,AG4226))</f>
        <v/>
      </c>
      <c r="AJ4226" s="17" t="str">
        <f t="shared" si="3"/>
        <v/>
      </c>
    </row>
    <row r="4227" spans="31:36">
      <c r="AE4227" s="15" t="str">
        <f t="shared" si="0"/>
        <v/>
      </c>
      <c r="AF4227" s="15" t="str">
        <f t="shared" si="1"/>
        <v/>
      </c>
      <c r="AG4227" s="15" t="str">
        <f>IF(OR(AF4227="",AF4227="ERRO_CHAVE"),"",IFERROR(MATCH(AF4227,'Quitados DUPP'!$U$1:$U$6635,0),""))</f>
        <v/>
      </c>
      <c r="AH4227" s="15" t="str">
        <f t="shared" si="2"/>
        <v/>
      </c>
      <c r="AI4227" s="17" t="str">
        <f>IF(AG4227="","",INDEX('Quitados DUPP'!$G$1:$G$6635,AG4227))</f>
        <v/>
      </c>
      <c r="AJ4227" s="17" t="str">
        <f t="shared" si="3"/>
        <v/>
      </c>
    </row>
    <row r="4228" spans="31:36">
      <c r="AE4228" s="15" t="str">
        <f t="shared" si="0"/>
        <v/>
      </c>
      <c r="AF4228" s="15" t="str">
        <f t="shared" si="1"/>
        <v/>
      </c>
      <c r="AG4228" s="15" t="str">
        <f>IF(OR(AF4228="",AF4228="ERRO_CHAVE"),"",IFERROR(MATCH(AF4228,'Quitados DUPP'!$U$1:$U$6635,0),""))</f>
        <v/>
      </c>
      <c r="AH4228" s="15" t="str">
        <f t="shared" si="2"/>
        <v/>
      </c>
      <c r="AI4228" s="17" t="str">
        <f>IF(AG4228="","",INDEX('Quitados DUPP'!$G$1:$G$6635,AG4228))</f>
        <v/>
      </c>
      <c r="AJ4228" s="17" t="str">
        <f t="shared" si="3"/>
        <v/>
      </c>
    </row>
    <row r="4229" spans="31:36">
      <c r="AE4229" s="15" t="str">
        <f t="shared" si="0"/>
        <v/>
      </c>
      <c r="AF4229" s="15" t="str">
        <f t="shared" si="1"/>
        <v/>
      </c>
      <c r="AG4229" s="15" t="str">
        <f>IF(OR(AF4229="",AF4229="ERRO_CHAVE"),"",IFERROR(MATCH(AF4229,'Quitados DUPP'!$U$1:$U$6635,0),""))</f>
        <v/>
      </c>
      <c r="AH4229" s="15" t="str">
        <f t="shared" si="2"/>
        <v/>
      </c>
      <c r="AI4229" s="17" t="str">
        <f>IF(AG4229="","",INDEX('Quitados DUPP'!$G$1:$G$6635,AG4229))</f>
        <v/>
      </c>
      <c r="AJ4229" s="17" t="str">
        <f t="shared" si="3"/>
        <v/>
      </c>
    </row>
    <row r="4230" spans="31:36">
      <c r="AE4230" s="15" t="str">
        <f t="shared" si="0"/>
        <v/>
      </c>
      <c r="AF4230" s="15" t="str">
        <f t="shared" si="1"/>
        <v/>
      </c>
      <c r="AG4230" s="15" t="str">
        <f>IF(OR(AF4230="",AF4230="ERRO_CHAVE"),"",IFERROR(MATCH(AF4230,'Quitados DUPP'!$U$1:$U$6635,0),""))</f>
        <v/>
      </c>
      <c r="AH4230" s="15" t="str">
        <f t="shared" si="2"/>
        <v/>
      </c>
      <c r="AI4230" s="17" t="str">
        <f>IF(AG4230="","",INDEX('Quitados DUPP'!$G$1:$G$6635,AG4230))</f>
        <v/>
      </c>
      <c r="AJ4230" s="17" t="str">
        <f t="shared" si="3"/>
        <v/>
      </c>
    </row>
    <row r="4231" spans="31:36">
      <c r="AE4231" s="15" t="str">
        <f t="shared" si="0"/>
        <v/>
      </c>
      <c r="AF4231" s="15" t="str">
        <f t="shared" si="1"/>
        <v/>
      </c>
      <c r="AG4231" s="15" t="str">
        <f>IF(OR(AF4231="",AF4231="ERRO_CHAVE"),"",IFERROR(MATCH(AF4231,'Quitados DUPP'!$U$1:$U$6635,0),""))</f>
        <v/>
      </c>
      <c r="AH4231" s="15" t="str">
        <f t="shared" si="2"/>
        <v/>
      </c>
      <c r="AI4231" s="17" t="str">
        <f>IF(AG4231="","",INDEX('Quitados DUPP'!$G$1:$G$6635,AG4231))</f>
        <v/>
      </c>
      <c r="AJ4231" s="17" t="str">
        <f t="shared" si="3"/>
        <v/>
      </c>
    </row>
    <row r="4232" spans="31:36">
      <c r="AE4232" s="15" t="str">
        <f t="shared" si="0"/>
        <v/>
      </c>
      <c r="AF4232" s="15" t="str">
        <f t="shared" si="1"/>
        <v/>
      </c>
      <c r="AG4232" s="15" t="str">
        <f>IF(OR(AF4232="",AF4232="ERRO_CHAVE"),"",IFERROR(MATCH(AF4232,'Quitados DUPP'!$U$1:$U$6635,0),""))</f>
        <v/>
      </c>
      <c r="AH4232" s="15" t="str">
        <f t="shared" si="2"/>
        <v/>
      </c>
      <c r="AI4232" s="17" t="str">
        <f>IF(AG4232="","",INDEX('Quitados DUPP'!$G$1:$G$6635,AG4232))</f>
        <v/>
      </c>
      <c r="AJ4232" s="17" t="str">
        <f t="shared" si="3"/>
        <v/>
      </c>
    </row>
    <row r="4233" spans="31:36">
      <c r="AE4233" s="15" t="str">
        <f t="shared" si="0"/>
        <v/>
      </c>
      <c r="AF4233" s="15" t="str">
        <f t="shared" si="1"/>
        <v/>
      </c>
      <c r="AG4233" s="15" t="str">
        <f>IF(OR(AF4233="",AF4233="ERRO_CHAVE"),"",IFERROR(MATCH(AF4233,'Quitados DUPP'!$U$1:$U$6635,0),""))</f>
        <v/>
      </c>
      <c r="AH4233" s="15" t="str">
        <f t="shared" si="2"/>
        <v/>
      </c>
      <c r="AI4233" s="17" t="str">
        <f>IF(AG4233="","",INDEX('Quitados DUPP'!$G$1:$G$6635,AG4233))</f>
        <v/>
      </c>
      <c r="AJ4233" s="17" t="str">
        <f t="shared" si="3"/>
        <v/>
      </c>
    </row>
    <row r="4234" spans="31:36">
      <c r="AE4234" s="15" t="str">
        <f t="shared" si="0"/>
        <v/>
      </c>
      <c r="AF4234" s="15" t="str">
        <f t="shared" si="1"/>
        <v/>
      </c>
      <c r="AG4234" s="15" t="str">
        <f>IF(OR(AF4234="",AF4234="ERRO_CHAVE"),"",IFERROR(MATCH(AF4234,'Quitados DUPP'!$U$1:$U$6635,0),""))</f>
        <v/>
      </c>
      <c r="AH4234" s="15" t="str">
        <f t="shared" si="2"/>
        <v/>
      </c>
      <c r="AI4234" s="17" t="str">
        <f>IF(AG4234="","",INDEX('Quitados DUPP'!$G$1:$G$6635,AG4234))</f>
        <v/>
      </c>
      <c r="AJ4234" s="17" t="str">
        <f t="shared" si="3"/>
        <v/>
      </c>
    </row>
    <row r="4235" spans="31:36">
      <c r="AE4235" s="15" t="str">
        <f t="shared" si="0"/>
        <v/>
      </c>
      <c r="AF4235" s="15" t="str">
        <f t="shared" si="1"/>
        <v/>
      </c>
      <c r="AG4235" s="15" t="str">
        <f>IF(OR(AF4235="",AF4235="ERRO_CHAVE"),"",IFERROR(MATCH(AF4235,'Quitados DUPP'!$U$1:$U$6635,0),""))</f>
        <v/>
      </c>
      <c r="AH4235" s="15" t="str">
        <f t="shared" si="2"/>
        <v/>
      </c>
      <c r="AI4235" s="17" t="str">
        <f>IF(AG4235="","",INDEX('Quitados DUPP'!$G$1:$G$6635,AG4235))</f>
        <v/>
      </c>
      <c r="AJ4235" s="17" t="str">
        <f t="shared" si="3"/>
        <v/>
      </c>
    </row>
    <row r="4236" spans="31:36">
      <c r="AE4236" s="15" t="str">
        <f t="shared" si="0"/>
        <v/>
      </c>
      <c r="AF4236" s="15" t="str">
        <f t="shared" si="1"/>
        <v/>
      </c>
      <c r="AG4236" s="15" t="str">
        <f>IF(OR(AF4236="",AF4236="ERRO_CHAVE"),"",IFERROR(MATCH(AF4236,'Quitados DUPP'!$U$1:$U$6635,0),""))</f>
        <v/>
      </c>
      <c r="AH4236" s="15" t="str">
        <f t="shared" si="2"/>
        <v/>
      </c>
      <c r="AI4236" s="17" t="str">
        <f>IF(AG4236="","",INDEX('Quitados DUPP'!$G$1:$G$6635,AG4236))</f>
        <v/>
      </c>
      <c r="AJ4236" s="17" t="str">
        <f t="shared" si="3"/>
        <v/>
      </c>
    </row>
    <row r="4237" spans="31:36">
      <c r="AE4237" s="15" t="str">
        <f t="shared" si="0"/>
        <v/>
      </c>
      <c r="AF4237" s="15" t="str">
        <f t="shared" si="1"/>
        <v/>
      </c>
      <c r="AG4237" s="15" t="str">
        <f>IF(OR(AF4237="",AF4237="ERRO_CHAVE"),"",IFERROR(MATCH(AF4237,'Quitados DUPP'!$U$1:$U$6635,0),""))</f>
        <v/>
      </c>
      <c r="AH4237" s="15" t="str">
        <f t="shared" si="2"/>
        <v/>
      </c>
      <c r="AI4237" s="17" t="str">
        <f>IF(AG4237="","",INDEX('Quitados DUPP'!$G$1:$G$6635,AG4237))</f>
        <v/>
      </c>
      <c r="AJ4237" s="17" t="str">
        <f t="shared" si="3"/>
        <v/>
      </c>
    </row>
    <row r="4238" spans="31:36">
      <c r="AE4238" s="15" t="str">
        <f t="shared" si="0"/>
        <v/>
      </c>
      <c r="AF4238" s="15" t="str">
        <f t="shared" si="1"/>
        <v/>
      </c>
      <c r="AG4238" s="15" t="str">
        <f>IF(OR(AF4238="",AF4238="ERRO_CHAVE"),"",IFERROR(MATCH(AF4238,'Quitados DUPP'!$U$1:$U$6635,0),""))</f>
        <v/>
      </c>
      <c r="AH4238" s="15" t="str">
        <f t="shared" si="2"/>
        <v/>
      </c>
      <c r="AI4238" s="17" t="str">
        <f>IF(AG4238="","",INDEX('Quitados DUPP'!$G$1:$G$6635,AG4238))</f>
        <v/>
      </c>
      <c r="AJ4238" s="17" t="str">
        <f t="shared" si="3"/>
        <v/>
      </c>
    </row>
    <row r="4239" spans="31:36">
      <c r="AE4239" s="15" t="str">
        <f t="shared" si="0"/>
        <v/>
      </c>
      <c r="AF4239" s="15" t="str">
        <f t="shared" si="1"/>
        <v/>
      </c>
      <c r="AG4239" s="15" t="str">
        <f>IF(OR(AF4239="",AF4239="ERRO_CHAVE"),"",IFERROR(MATCH(AF4239,'Quitados DUPP'!$U$1:$U$6635,0),""))</f>
        <v/>
      </c>
      <c r="AH4239" s="15" t="str">
        <f t="shared" si="2"/>
        <v/>
      </c>
      <c r="AI4239" s="17" t="str">
        <f>IF(AG4239="","",INDEX('Quitados DUPP'!$G$1:$G$6635,AG4239))</f>
        <v/>
      </c>
      <c r="AJ4239" s="17" t="str">
        <f t="shared" si="3"/>
        <v/>
      </c>
    </row>
    <row r="4240" spans="31:36">
      <c r="AE4240" s="15" t="str">
        <f t="shared" si="0"/>
        <v/>
      </c>
      <c r="AF4240" s="15" t="str">
        <f t="shared" si="1"/>
        <v/>
      </c>
      <c r="AG4240" s="15" t="str">
        <f>IF(OR(AF4240="",AF4240="ERRO_CHAVE"),"",IFERROR(MATCH(AF4240,'Quitados DUPP'!$U$1:$U$6635,0),""))</f>
        <v/>
      </c>
      <c r="AH4240" s="15" t="str">
        <f t="shared" si="2"/>
        <v/>
      </c>
      <c r="AI4240" s="17" t="str">
        <f>IF(AG4240="","",INDEX('Quitados DUPP'!$G$1:$G$6635,AG4240))</f>
        <v/>
      </c>
      <c r="AJ4240" s="17" t="str">
        <f t="shared" si="3"/>
        <v/>
      </c>
    </row>
    <row r="4241" spans="31:36">
      <c r="AE4241" s="15" t="str">
        <f t="shared" si="0"/>
        <v/>
      </c>
      <c r="AF4241" s="15" t="str">
        <f t="shared" si="1"/>
        <v/>
      </c>
      <c r="AG4241" s="15" t="str">
        <f>IF(OR(AF4241="",AF4241="ERRO_CHAVE"),"",IFERROR(MATCH(AF4241,'Quitados DUPP'!$U$1:$U$6635,0),""))</f>
        <v/>
      </c>
      <c r="AH4241" s="15" t="str">
        <f t="shared" si="2"/>
        <v/>
      </c>
      <c r="AI4241" s="17" t="str">
        <f>IF(AG4241="","",INDEX('Quitados DUPP'!$G$1:$G$6635,AG4241))</f>
        <v/>
      </c>
      <c r="AJ4241" s="17" t="str">
        <f t="shared" si="3"/>
        <v/>
      </c>
    </row>
    <row r="4242" spans="31:36">
      <c r="AE4242" s="15" t="str">
        <f t="shared" si="0"/>
        <v/>
      </c>
      <c r="AF4242" s="15" t="str">
        <f t="shared" si="1"/>
        <v/>
      </c>
      <c r="AG4242" s="15" t="str">
        <f>IF(OR(AF4242="",AF4242="ERRO_CHAVE"),"",IFERROR(MATCH(AF4242,'Quitados DUPP'!$U$1:$U$6635,0),""))</f>
        <v/>
      </c>
      <c r="AH4242" s="15" t="str">
        <f t="shared" si="2"/>
        <v/>
      </c>
      <c r="AI4242" s="17" t="str">
        <f>IF(AG4242="","",INDEX('Quitados DUPP'!$G$1:$G$6635,AG4242))</f>
        <v/>
      </c>
      <c r="AJ4242" s="17" t="str">
        <f t="shared" si="3"/>
        <v/>
      </c>
    </row>
    <row r="4243" spans="31:36">
      <c r="AE4243" s="15" t="str">
        <f t="shared" si="0"/>
        <v/>
      </c>
      <c r="AF4243" s="15" t="str">
        <f t="shared" si="1"/>
        <v/>
      </c>
      <c r="AG4243" s="15" t="str">
        <f>IF(OR(AF4243="",AF4243="ERRO_CHAVE"),"",IFERROR(MATCH(AF4243,'Quitados DUPP'!$U$1:$U$6635,0),""))</f>
        <v/>
      </c>
      <c r="AH4243" s="15" t="str">
        <f t="shared" si="2"/>
        <v/>
      </c>
      <c r="AI4243" s="17" t="str">
        <f>IF(AG4243="","",INDEX('Quitados DUPP'!$G$1:$G$6635,AG4243))</f>
        <v/>
      </c>
      <c r="AJ4243" s="17" t="str">
        <f t="shared" si="3"/>
        <v/>
      </c>
    </row>
    <row r="4244" spans="31:36">
      <c r="AE4244" s="15" t="str">
        <f t="shared" si="0"/>
        <v/>
      </c>
      <c r="AF4244" s="15" t="str">
        <f t="shared" si="1"/>
        <v/>
      </c>
      <c r="AG4244" s="15" t="str">
        <f>IF(OR(AF4244="",AF4244="ERRO_CHAVE"),"",IFERROR(MATCH(AF4244,'Quitados DUPP'!$U$1:$U$6635,0),""))</f>
        <v/>
      </c>
      <c r="AH4244" s="15" t="str">
        <f t="shared" si="2"/>
        <v/>
      </c>
      <c r="AI4244" s="17" t="str">
        <f>IF(AG4244="","",INDEX('Quitados DUPP'!$G$1:$G$6635,AG4244))</f>
        <v/>
      </c>
      <c r="AJ4244" s="17" t="str">
        <f t="shared" si="3"/>
        <v/>
      </c>
    </row>
    <row r="4245" spans="31:36">
      <c r="AE4245" s="15" t="str">
        <f t="shared" si="0"/>
        <v/>
      </c>
      <c r="AF4245" s="15" t="str">
        <f t="shared" si="1"/>
        <v/>
      </c>
      <c r="AG4245" s="15" t="str">
        <f>IF(OR(AF4245="",AF4245="ERRO_CHAVE"),"",IFERROR(MATCH(AF4245,'Quitados DUPP'!$U$1:$U$6635,0),""))</f>
        <v/>
      </c>
      <c r="AH4245" s="15" t="str">
        <f t="shared" si="2"/>
        <v/>
      </c>
      <c r="AI4245" s="17" t="str">
        <f>IF(AG4245="","",INDEX('Quitados DUPP'!$G$1:$G$6635,AG4245))</f>
        <v/>
      </c>
      <c r="AJ4245" s="17" t="str">
        <f t="shared" si="3"/>
        <v/>
      </c>
    </row>
    <row r="4246" spans="31:36">
      <c r="AE4246" s="15" t="str">
        <f t="shared" si="0"/>
        <v/>
      </c>
      <c r="AF4246" s="15" t="str">
        <f t="shared" si="1"/>
        <v/>
      </c>
      <c r="AG4246" s="15" t="str">
        <f>IF(OR(AF4246="",AF4246="ERRO_CHAVE"),"",IFERROR(MATCH(AF4246,'Quitados DUPP'!$U$1:$U$6635,0),""))</f>
        <v/>
      </c>
      <c r="AH4246" s="15" t="str">
        <f t="shared" si="2"/>
        <v/>
      </c>
      <c r="AI4246" s="17" t="str">
        <f>IF(AG4246="","",INDEX('Quitados DUPP'!$G$1:$G$6635,AG4246))</f>
        <v/>
      </c>
      <c r="AJ4246" s="17" t="str">
        <f t="shared" si="3"/>
        <v/>
      </c>
    </row>
    <row r="4247" spans="31:36">
      <c r="AE4247" s="15" t="str">
        <f t="shared" si="0"/>
        <v/>
      </c>
      <c r="AF4247" s="15" t="str">
        <f t="shared" si="1"/>
        <v/>
      </c>
      <c r="AG4247" s="15" t="str">
        <f>IF(OR(AF4247="",AF4247="ERRO_CHAVE"),"",IFERROR(MATCH(AF4247,'Quitados DUPP'!$U$1:$U$6635,0),""))</f>
        <v/>
      </c>
      <c r="AH4247" s="15" t="str">
        <f t="shared" si="2"/>
        <v/>
      </c>
      <c r="AI4247" s="17" t="str">
        <f>IF(AG4247="","",INDEX('Quitados DUPP'!$G$1:$G$6635,AG4247))</f>
        <v/>
      </c>
      <c r="AJ4247" s="17" t="str">
        <f t="shared" si="3"/>
        <v/>
      </c>
    </row>
    <row r="4248" spans="31:36">
      <c r="AE4248" s="15" t="str">
        <f t="shared" si="0"/>
        <v/>
      </c>
      <c r="AF4248" s="15" t="str">
        <f t="shared" si="1"/>
        <v/>
      </c>
      <c r="AG4248" s="15" t="str">
        <f>IF(OR(AF4248="",AF4248="ERRO_CHAVE"),"",IFERROR(MATCH(AF4248,'Quitados DUPP'!$U$1:$U$6635,0),""))</f>
        <v/>
      </c>
      <c r="AH4248" s="15" t="str">
        <f t="shared" si="2"/>
        <v/>
      </c>
      <c r="AI4248" s="17" t="str">
        <f>IF(AG4248="","",INDEX('Quitados DUPP'!$G$1:$G$6635,AG4248))</f>
        <v/>
      </c>
      <c r="AJ4248" s="17" t="str">
        <f t="shared" si="3"/>
        <v/>
      </c>
    </row>
    <row r="4249" spans="31:36">
      <c r="AE4249" s="15" t="str">
        <f t="shared" si="0"/>
        <v/>
      </c>
      <c r="AF4249" s="15" t="str">
        <f t="shared" si="1"/>
        <v/>
      </c>
      <c r="AG4249" s="15" t="str">
        <f>IF(OR(AF4249="",AF4249="ERRO_CHAVE"),"",IFERROR(MATCH(AF4249,'Quitados DUPP'!$U$1:$U$6635,0),""))</f>
        <v/>
      </c>
      <c r="AH4249" s="15" t="str">
        <f t="shared" si="2"/>
        <v/>
      </c>
      <c r="AI4249" s="17" t="str">
        <f>IF(AG4249="","",INDEX('Quitados DUPP'!$G$1:$G$6635,AG4249))</f>
        <v/>
      </c>
      <c r="AJ4249" s="17" t="str">
        <f t="shared" si="3"/>
        <v/>
      </c>
    </row>
    <row r="4250" spans="31:36">
      <c r="AE4250" s="15" t="str">
        <f t="shared" si="0"/>
        <v/>
      </c>
      <c r="AF4250" s="15" t="str">
        <f t="shared" si="1"/>
        <v/>
      </c>
      <c r="AG4250" s="15" t="str">
        <f>IF(OR(AF4250="",AF4250="ERRO_CHAVE"),"",IFERROR(MATCH(AF4250,'Quitados DUPP'!$U$1:$U$6635,0),""))</f>
        <v/>
      </c>
      <c r="AH4250" s="15" t="str">
        <f t="shared" si="2"/>
        <v/>
      </c>
      <c r="AI4250" s="17" t="str">
        <f>IF(AG4250="","",INDEX('Quitados DUPP'!$G$1:$G$6635,AG4250))</f>
        <v/>
      </c>
      <c r="AJ4250" s="17" t="str">
        <f t="shared" si="3"/>
        <v/>
      </c>
    </row>
    <row r="4251" spans="31:36">
      <c r="AE4251" s="15" t="str">
        <f t="shared" si="0"/>
        <v/>
      </c>
      <c r="AF4251" s="15" t="str">
        <f t="shared" si="1"/>
        <v/>
      </c>
      <c r="AG4251" s="15" t="str">
        <f>IF(OR(AF4251="",AF4251="ERRO_CHAVE"),"",IFERROR(MATCH(AF4251,'Quitados DUPP'!$U$1:$U$6635,0),""))</f>
        <v/>
      </c>
      <c r="AH4251" s="15" t="str">
        <f t="shared" si="2"/>
        <v/>
      </c>
      <c r="AI4251" s="17" t="str">
        <f>IF(AG4251="","",INDEX('Quitados DUPP'!$G$1:$G$6635,AG4251))</f>
        <v/>
      </c>
      <c r="AJ4251" s="17" t="str">
        <f t="shared" si="3"/>
        <v/>
      </c>
    </row>
    <row r="4252" spans="31:36">
      <c r="AE4252" s="15" t="str">
        <f t="shared" si="0"/>
        <v/>
      </c>
      <c r="AF4252" s="15" t="str">
        <f t="shared" si="1"/>
        <v/>
      </c>
      <c r="AG4252" s="15" t="str">
        <f>IF(OR(AF4252="",AF4252="ERRO_CHAVE"),"",IFERROR(MATCH(AF4252,'Quitados DUPP'!$U$1:$U$6635,0),""))</f>
        <v/>
      </c>
      <c r="AH4252" s="15" t="str">
        <f t="shared" si="2"/>
        <v/>
      </c>
      <c r="AI4252" s="17" t="str">
        <f>IF(AG4252="","",INDEX('Quitados DUPP'!$G$1:$G$6635,AG4252))</f>
        <v/>
      </c>
      <c r="AJ4252" s="17" t="str">
        <f t="shared" si="3"/>
        <v/>
      </c>
    </row>
    <row r="4253" spans="31:36">
      <c r="AE4253" s="15" t="str">
        <f t="shared" si="0"/>
        <v/>
      </c>
      <c r="AF4253" s="15" t="str">
        <f t="shared" si="1"/>
        <v/>
      </c>
      <c r="AG4253" s="15" t="str">
        <f>IF(OR(AF4253="",AF4253="ERRO_CHAVE"),"",IFERROR(MATCH(AF4253,'Quitados DUPP'!$U$1:$U$6635,0),""))</f>
        <v/>
      </c>
      <c r="AH4253" s="15" t="str">
        <f t="shared" si="2"/>
        <v/>
      </c>
      <c r="AI4253" s="17" t="str">
        <f>IF(AG4253="","",INDEX('Quitados DUPP'!$G$1:$G$6635,AG4253))</f>
        <v/>
      </c>
      <c r="AJ4253" s="17" t="str">
        <f t="shared" si="3"/>
        <v/>
      </c>
    </row>
    <row r="4254" spans="31:36">
      <c r="AE4254" s="15" t="str">
        <f t="shared" si="0"/>
        <v/>
      </c>
      <c r="AF4254" s="15" t="str">
        <f t="shared" si="1"/>
        <v/>
      </c>
      <c r="AG4254" s="15" t="str">
        <f>IF(OR(AF4254="",AF4254="ERRO_CHAVE"),"",IFERROR(MATCH(AF4254,'Quitados DUPP'!$U$1:$U$6635,0),""))</f>
        <v/>
      </c>
      <c r="AH4254" s="15" t="str">
        <f t="shared" si="2"/>
        <v/>
      </c>
      <c r="AI4254" s="17" t="str">
        <f>IF(AG4254="","",INDEX('Quitados DUPP'!$G$1:$G$6635,AG4254))</f>
        <v/>
      </c>
      <c r="AJ4254" s="17" t="str">
        <f t="shared" si="3"/>
        <v/>
      </c>
    </row>
    <row r="4255" spans="31:36">
      <c r="AE4255" s="15" t="str">
        <f t="shared" si="0"/>
        <v/>
      </c>
      <c r="AF4255" s="15" t="str">
        <f t="shared" si="1"/>
        <v/>
      </c>
      <c r="AG4255" s="15" t="str">
        <f>IF(OR(AF4255="",AF4255="ERRO_CHAVE"),"",IFERROR(MATCH(AF4255,'Quitados DUPP'!$U$1:$U$6635,0),""))</f>
        <v/>
      </c>
      <c r="AH4255" s="15" t="str">
        <f t="shared" si="2"/>
        <v/>
      </c>
      <c r="AI4255" s="17" t="str">
        <f>IF(AG4255="","",INDEX('Quitados DUPP'!$G$1:$G$6635,AG4255))</f>
        <v/>
      </c>
      <c r="AJ4255" s="17" t="str">
        <f t="shared" si="3"/>
        <v/>
      </c>
    </row>
    <row r="4256" spans="31:36">
      <c r="AE4256" s="15" t="str">
        <f t="shared" si="0"/>
        <v/>
      </c>
      <c r="AF4256" s="15" t="str">
        <f t="shared" si="1"/>
        <v/>
      </c>
      <c r="AG4256" s="15" t="str">
        <f>IF(OR(AF4256="",AF4256="ERRO_CHAVE"),"",IFERROR(MATCH(AF4256,'Quitados DUPP'!$U$1:$U$6635,0),""))</f>
        <v/>
      </c>
      <c r="AH4256" s="15" t="str">
        <f t="shared" si="2"/>
        <v/>
      </c>
      <c r="AI4256" s="17" t="str">
        <f>IF(AG4256="","",INDEX('Quitados DUPP'!$G$1:$G$6635,AG4256))</f>
        <v/>
      </c>
      <c r="AJ4256" s="17" t="str">
        <f t="shared" si="3"/>
        <v/>
      </c>
    </row>
    <row r="4257" spans="31:36">
      <c r="AE4257" s="15" t="str">
        <f t="shared" si="0"/>
        <v/>
      </c>
      <c r="AF4257" s="15" t="str">
        <f t="shared" si="1"/>
        <v/>
      </c>
      <c r="AG4257" s="15" t="str">
        <f>IF(OR(AF4257="",AF4257="ERRO_CHAVE"),"",IFERROR(MATCH(AF4257,'Quitados DUPP'!$U$1:$U$6635,0),""))</f>
        <v/>
      </c>
      <c r="AH4257" s="15" t="str">
        <f t="shared" si="2"/>
        <v/>
      </c>
      <c r="AI4257" s="17" t="str">
        <f>IF(AG4257="","",INDEX('Quitados DUPP'!$G$1:$G$6635,AG4257))</f>
        <v/>
      </c>
      <c r="AJ4257" s="17" t="str">
        <f t="shared" si="3"/>
        <v/>
      </c>
    </row>
    <row r="4258" spans="31:36">
      <c r="AE4258" s="15" t="str">
        <f t="shared" si="0"/>
        <v/>
      </c>
      <c r="AF4258" s="15" t="str">
        <f t="shared" si="1"/>
        <v/>
      </c>
      <c r="AG4258" s="15" t="str">
        <f>IF(OR(AF4258="",AF4258="ERRO_CHAVE"),"",IFERROR(MATCH(AF4258,'Quitados DUPP'!$U$1:$U$6635,0),""))</f>
        <v/>
      </c>
      <c r="AH4258" s="15" t="str">
        <f t="shared" si="2"/>
        <v/>
      </c>
      <c r="AI4258" s="17" t="str">
        <f>IF(AG4258="","",INDEX('Quitados DUPP'!$G$1:$G$6635,AG4258))</f>
        <v/>
      </c>
      <c r="AJ4258" s="17" t="str">
        <f t="shared" si="3"/>
        <v/>
      </c>
    </row>
    <row r="4259" spans="31:36">
      <c r="AE4259" s="15" t="str">
        <f t="shared" si="0"/>
        <v/>
      </c>
      <c r="AF4259" s="15" t="str">
        <f t="shared" si="1"/>
        <v/>
      </c>
      <c r="AG4259" s="15" t="str">
        <f>IF(OR(AF4259="",AF4259="ERRO_CHAVE"),"",IFERROR(MATCH(AF4259,'Quitados DUPP'!$U$1:$U$6635,0),""))</f>
        <v/>
      </c>
      <c r="AH4259" s="15" t="str">
        <f t="shared" si="2"/>
        <v/>
      </c>
      <c r="AI4259" s="17" t="str">
        <f>IF(AG4259="","",INDEX('Quitados DUPP'!$G$1:$G$6635,AG4259))</f>
        <v/>
      </c>
      <c r="AJ4259" s="17" t="str">
        <f t="shared" si="3"/>
        <v/>
      </c>
    </row>
    <row r="4260" spans="31:36">
      <c r="AE4260" s="15" t="str">
        <f t="shared" si="0"/>
        <v/>
      </c>
      <c r="AF4260" s="15" t="str">
        <f t="shared" si="1"/>
        <v/>
      </c>
      <c r="AG4260" s="15" t="str">
        <f>IF(OR(AF4260="",AF4260="ERRO_CHAVE"),"",IFERROR(MATCH(AF4260,'Quitados DUPP'!$U$1:$U$6635,0),""))</f>
        <v/>
      </c>
      <c r="AH4260" s="15" t="str">
        <f t="shared" si="2"/>
        <v/>
      </c>
      <c r="AI4260" s="17" t="str">
        <f>IF(AG4260="","",INDEX('Quitados DUPP'!$G$1:$G$6635,AG4260))</f>
        <v/>
      </c>
      <c r="AJ4260" s="17" t="str">
        <f t="shared" si="3"/>
        <v/>
      </c>
    </row>
    <row r="4261" spans="31:36">
      <c r="AE4261" s="15" t="str">
        <f t="shared" si="0"/>
        <v/>
      </c>
      <c r="AF4261" s="15" t="str">
        <f t="shared" si="1"/>
        <v/>
      </c>
      <c r="AG4261" s="15" t="str">
        <f>IF(OR(AF4261="",AF4261="ERRO_CHAVE"),"",IFERROR(MATCH(AF4261,'Quitados DUPP'!$U$1:$U$6635,0),""))</f>
        <v/>
      </c>
      <c r="AH4261" s="15" t="str">
        <f t="shared" si="2"/>
        <v/>
      </c>
      <c r="AI4261" s="17" t="str">
        <f>IF(AG4261="","",INDEX('Quitados DUPP'!$G$1:$G$6635,AG4261))</f>
        <v/>
      </c>
      <c r="AJ4261" s="17" t="str">
        <f t="shared" si="3"/>
        <v/>
      </c>
    </row>
    <row r="4262" spans="31:36">
      <c r="AE4262" s="15" t="str">
        <f t="shared" si="0"/>
        <v/>
      </c>
      <c r="AF4262" s="15" t="str">
        <f t="shared" si="1"/>
        <v/>
      </c>
      <c r="AG4262" s="15" t="str">
        <f>IF(OR(AF4262="",AF4262="ERRO_CHAVE"),"",IFERROR(MATCH(AF4262,'Quitados DUPP'!$U$1:$U$6635,0),""))</f>
        <v/>
      </c>
      <c r="AH4262" s="15" t="str">
        <f t="shared" si="2"/>
        <v/>
      </c>
      <c r="AI4262" s="17" t="str">
        <f>IF(AG4262="","",INDEX('Quitados DUPP'!$G$1:$G$6635,AG4262))</f>
        <v/>
      </c>
      <c r="AJ4262" s="17" t="str">
        <f t="shared" si="3"/>
        <v/>
      </c>
    </row>
    <row r="4263" spans="31:36">
      <c r="AE4263" s="15" t="str">
        <f t="shared" si="0"/>
        <v/>
      </c>
      <c r="AF4263" s="15" t="str">
        <f t="shared" si="1"/>
        <v/>
      </c>
      <c r="AG4263" s="15" t="str">
        <f>IF(OR(AF4263="",AF4263="ERRO_CHAVE"),"",IFERROR(MATCH(AF4263,'Quitados DUPP'!$U$1:$U$6635,0),""))</f>
        <v/>
      </c>
      <c r="AH4263" s="15" t="str">
        <f t="shared" si="2"/>
        <v/>
      </c>
      <c r="AI4263" s="17" t="str">
        <f>IF(AG4263="","",INDEX('Quitados DUPP'!$G$1:$G$6635,AG4263))</f>
        <v/>
      </c>
      <c r="AJ4263" s="17" t="str">
        <f t="shared" si="3"/>
        <v/>
      </c>
    </row>
    <row r="4264" spans="31:36">
      <c r="AE4264" s="15" t="str">
        <f t="shared" si="0"/>
        <v/>
      </c>
      <c r="AF4264" s="15" t="str">
        <f t="shared" si="1"/>
        <v/>
      </c>
      <c r="AG4264" s="15" t="str">
        <f>IF(OR(AF4264="",AF4264="ERRO_CHAVE"),"",IFERROR(MATCH(AF4264,'Quitados DUPP'!$U$1:$U$6635,0),""))</f>
        <v/>
      </c>
      <c r="AH4264" s="15" t="str">
        <f t="shared" si="2"/>
        <v/>
      </c>
      <c r="AI4264" s="17" t="str">
        <f>IF(AG4264="","",INDEX('Quitados DUPP'!$G$1:$G$6635,AG4264))</f>
        <v/>
      </c>
      <c r="AJ4264" s="17" t="str">
        <f t="shared" si="3"/>
        <v/>
      </c>
    </row>
    <row r="4265" spans="31:36">
      <c r="AE4265" s="15" t="str">
        <f t="shared" si="0"/>
        <v/>
      </c>
      <c r="AF4265" s="15" t="str">
        <f t="shared" si="1"/>
        <v/>
      </c>
      <c r="AG4265" s="15" t="str">
        <f>IF(OR(AF4265="",AF4265="ERRO_CHAVE"),"",IFERROR(MATCH(AF4265,'Quitados DUPP'!$U$1:$U$6635,0),""))</f>
        <v/>
      </c>
      <c r="AH4265" s="15" t="str">
        <f t="shared" si="2"/>
        <v/>
      </c>
      <c r="AI4265" s="17" t="str">
        <f>IF(AG4265="","",INDEX('Quitados DUPP'!$G$1:$G$6635,AG4265))</f>
        <v/>
      </c>
      <c r="AJ4265" s="17" t="str">
        <f t="shared" si="3"/>
        <v/>
      </c>
    </row>
    <row r="4266" spans="31:36">
      <c r="AE4266" s="15" t="str">
        <f t="shared" si="0"/>
        <v/>
      </c>
      <c r="AF4266" s="15" t="str">
        <f t="shared" si="1"/>
        <v/>
      </c>
      <c r="AG4266" s="15" t="str">
        <f>IF(OR(AF4266="",AF4266="ERRO_CHAVE"),"",IFERROR(MATCH(AF4266,'Quitados DUPP'!$U$1:$U$6635,0),""))</f>
        <v/>
      </c>
      <c r="AH4266" s="15" t="str">
        <f t="shared" si="2"/>
        <v/>
      </c>
      <c r="AI4266" s="17" t="str">
        <f>IF(AG4266="","",INDEX('Quitados DUPP'!$G$1:$G$6635,AG4266))</f>
        <v/>
      </c>
      <c r="AJ4266" s="17" t="str">
        <f t="shared" si="3"/>
        <v/>
      </c>
    </row>
    <row r="4267" spans="31:36">
      <c r="AE4267" s="15" t="str">
        <f t="shared" si="0"/>
        <v/>
      </c>
      <c r="AF4267" s="15" t="str">
        <f t="shared" si="1"/>
        <v/>
      </c>
      <c r="AG4267" s="15" t="str">
        <f>IF(OR(AF4267="",AF4267="ERRO_CHAVE"),"",IFERROR(MATCH(AF4267,'Quitados DUPP'!$U$1:$U$6635,0),""))</f>
        <v/>
      </c>
      <c r="AH4267" s="15" t="str">
        <f t="shared" si="2"/>
        <v/>
      </c>
      <c r="AI4267" s="17" t="str">
        <f>IF(AG4267="","",INDEX('Quitados DUPP'!$G$1:$G$6635,AG4267))</f>
        <v/>
      </c>
      <c r="AJ4267" s="17" t="str">
        <f t="shared" si="3"/>
        <v/>
      </c>
    </row>
    <row r="4268" spans="31:36">
      <c r="AE4268" s="15" t="str">
        <f t="shared" si="0"/>
        <v/>
      </c>
      <c r="AF4268" s="15" t="str">
        <f t="shared" si="1"/>
        <v/>
      </c>
      <c r="AG4268" s="15" t="str">
        <f>IF(OR(AF4268="",AF4268="ERRO_CHAVE"),"",IFERROR(MATCH(AF4268,'Quitados DUPP'!$U$1:$U$6635,0),""))</f>
        <v/>
      </c>
      <c r="AH4268" s="15" t="str">
        <f t="shared" si="2"/>
        <v/>
      </c>
      <c r="AI4268" s="17" t="str">
        <f>IF(AG4268="","",INDEX('Quitados DUPP'!$G$1:$G$6635,AG4268))</f>
        <v/>
      </c>
      <c r="AJ4268" s="17" t="str">
        <f t="shared" si="3"/>
        <v/>
      </c>
    </row>
    <row r="4269" spans="31:36">
      <c r="AE4269" s="15" t="str">
        <f t="shared" si="0"/>
        <v/>
      </c>
      <c r="AF4269" s="15" t="str">
        <f t="shared" si="1"/>
        <v/>
      </c>
      <c r="AG4269" s="15" t="str">
        <f>IF(OR(AF4269="",AF4269="ERRO_CHAVE"),"",IFERROR(MATCH(AF4269,'Quitados DUPP'!$U$1:$U$6635,0),""))</f>
        <v/>
      </c>
      <c r="AH4269" s="15" t="str">
        <f t="shared" si="2"/>
        <v/>
      </c>
      <c r="AI4269" s="17" t="str">
        <f>IF(AG4269="","",INDEX('Quitados DUPP'!$G$1:$G$6635,AG4269))</f>
        <v/>
      </c>
      <c r="AJ4269" s="17" t="str">
        <f t="shared" si="3"/>
        <v/>
      </c>
    </row>
    <row r="4270" spans="31:36">
      <c r="AE4270" s="15" t="str">
        <f t="shared" si="0"/>
        <v/>
      </c>
      <c r="AF4270" s="15" t="str">
        <f t="shared" si="1"/>
        <v/>
      </c>
      <c r="AG4270" s="15" t="str">
        <f>IF(OR(AF4270="",AF4270="ERRO_CHAVE"),"",IFERROR(MATCH(AF4270,'Quitados DUPP'!$U$1:$U$6635,0),""))</f>
        <v/>
      </c>
      <c r="AH4270" s="15" t="str">
        <f t="shared" si="2"/>
        <v/>
      </c>
      <c r="AI4270" s="17" t="str">
        <f>IF(AG4270="","",INDEX('Quitados DUPP'!$G$1:$G$6635,AG4270))</f>
        <v/>
      </c>
      <c r="AJ4270" s="17" t="str">
        <f t="shared" si="3"/>
        <v/>
      </c>
    </row>
    <row r="4271" spans="31:36">
      <c r="AE4271" s="15" t="str">
        <f t="shared" si="0"/>
        <v/>
      </c>
      <c r="AF4271" s="15" t="str">
        <f t="shared" si="1"/>
        <v/>
      </c>
      <c r="AG4271" s="15" t="str">
        <f>IF(OR(AF4271="",AF4271="ERRO_CHAVE"),"",IFERROR(MATCH(AF4271,'Quitados DUPP'!$U$1:$U$6635,0),""))</f>
        <v/>
      </c>
      <c r="AH4271" s="15" t="str">
        <f t="shared" si="2"/>
        <v/>
      </c>
      <c r="AI4271" s="17" t="str">
        <f>IF(AG4271="","",INDEX('Quitados DUPP'!$G$1:$G$6635,AG4271))</f>
        <v/>
      </c>
      <c r="AJ4271" s="17" t="str">
        <f t="shared" si="3"/>
        <v/>
      </c>
    </row>
    <row r="4272" spans="31:36">
      <c r="AE4272" s="15" t="str">
        <f t="shared" si="0"/>
        <v/>
      </c>
      <c r="AF4272" s="15" t="str">
        <f t="shared" si="1"/>
        <v/>
      </c>
      <c r="AG4272" s="15" t="str">
        <f>IF(OR(AF4272="",AF4272="ERRO_CHAVE"),"",IFERROR(MATCH(AF4272,'Quitados DUPP'!$U$1:$U$6635,0),""))</f>
        <v/>
      </c>
      <c r="AH4272" s="15" t="str">
        <f t="shared" si="2"/>
        <v/>
      </c>
      <c r="AI4272" s="17" t="str">
        <f>IF(AG4272="","",INDEX('Quitados DUPP'!$G$1:$G$6635,AG4272))</f>
        <v/>
      </c>
      <c r="AJ4272" s="17" t="str">
        <f t="shared" si="3"/>
        <v/>
      </c>
    </row>
    <row r="4273" spans="31:36">
      <c r="AE4273" s="15" t="str">
        <f t="shared" si="0"/>
        <v/>
      </c>
      <c r="AF4273" s="15" t="str">
        <f t="shared" si="1"/>
        <v/>
      </c>
      <c r="AG4273" s="15" t="str">
        <f>IF(OR(AF4273="",AF4273="ERRO_CHAVE"),"",IFERROR(MATCH(AF4273,'Quitados DUPP'!$U$1:$U$6635,0),""))</f>
        <v/>
      </c>
      <c r="AH4273" s="15" t="str">
        <f t="shared" si="2"/>
        <v/>
      </c>
      <c r="AI4273" s="17" t="str">
        <f>IF(AG4273="","",INDEX('Quitados DUPP'!$G$1:$G$6635,AG4273))</f>
        <v/>
      </c>
      <c r="AJ4273" s="17" t="str">
        <f t="shared" si="3"/>
        <v/>
      </c>
    </row>
    <row r="4274" spans="31:36">
      <c r="AE4274" s="15" t="str">
        <f t="shared" si="0"/>
        <v/>
      </c>
      <c r="AF4274" s="15" t="str">
        <f t="shared" si="1"/>
        <v/>
      </c>
      <c r="AG4274" s="15" t="str">
        <f>IF(OR(AF4274="",AF4274="ERRO_CHAVE"),"",IFERROR(MATCH(AF4274,'Quitados DUPP'!$U$1:$U$6635,0),""))</f>
        <v/>
      </c>
      <c r="AH4274" s="15" t="str">
        <f t="shared" si="2"/>
        <v/>
      </c>
      <c r="AI4274" s="17" t="str">
        <f>IF(AG4274="","",INDEX('Quitados DUPP'!$G$1:$G$6635,AG4274))</f>
        <v/>
      </c>
      <c r="AJ4274" s="17" t="str">
        <f t="shared" si="3"/>
        <v/>
      </c>
    </row>
    <row r="4275" spans="31:36">
      <c r="AE4275" s="15" t="str">
        <f t="shared" si="0"/>
        <v/>
      </c>
      <c r="AF4275" s="15" t="str">
        <f t="shared" si="1"/>
        <v/>
      </c>
      <c r="AG4275" s="15" t="str">
        <f>IF(OR(AF4275="",AF4275="ERRO_CHAVE"),"",IFERROR(MATCH(AF4275,'Quitados DUPP'!$U$1:$U$6635,0),""))</f>
        <v/>
      </c>
      <c r="AH4275" s="15" t="str">
        <f t="shared" si="2"/>
        <v/>
      </c>
      <c r="AI4275" s="17" t="str">
        <f>IF(AG4275="","",INDEX('Quitados DUPP'!$G$1:$G$6635,AG4275))</f>
        <v/>
      </c>
      <c r="AJ4275" s="17" t="str">
        <f t="shared" si="3"/>
        <v/>
      </c>
    </row>
    <row r="4276" spans="31:36">
      <c r="AE4276" s="15" t="str">
        <f t="shared" si="0"/>
        <v/>
      </c>
      <c r="AF4276" s="15" t="str">
        <f t="shared" si="1"/>
        <v/>
      </c>
      <c r="AG4276" s="15" t="str">
        <f>IF(OR(AF4276="",AF4276="ERRO_CHAVE"),"",IFERROR(MATCH(AF4276,'Quitados DUPP'!$U$1:$U$6635,0),""))</f>
        <v/>
      </c>
      <c r="AH4276" s="15" t="str">
        <f t="shared" si="2"/>
        <v/>
      </c>
      <c r="AI4276" s="17" t="str">
        <f>IF(AG4276="","",INDEX('Quitados DUPP'!$G$1:$G$6635,AG4276))</f>
        <v/>
      </c>
      <c r="AJ4276" s="17" t="str">
        <f t="shared" si="3"/>
        <v/>
      </c>
    </row>
    <row r="4277" spans="31:36">
      <c r="AE4277" s="15" t="str">
        <f t="shared" si="0"/>
        <v/>
      </c>
      <c r="AF4277" s="15" t="str">
        <f t="shared" si="1"/>
        <v/>
      </c>
      <c r="AG4277" s="15" t="str">
        <f>IF(OR(AF4277="",AF4277="ERRO_CHAVE"),"",IFERROR(MATCH(AF4277,'Quitados DUPP'!$U$1:$U$6635,0),""))</f>
        <v/>
      </c>
      <c r="AH4277" s="15" t="str">
        <f t="shared" si="2"/>
        <v/>
      </c>
      <c r="AI4277" s="17" t="str">
        <f>IF(AG4277="","",INDEX('Quitados DUPP'!$G$1:$G$6635,AG4277))</f>
        <v/>
      </c>
      <c r="AJ4277" s="17" t="str">
        <f t="shared" si="3"/>
        <v/>
      </c>
    </row>
    <row r="4278" spans="31:36">
      <c r="AE4278" s="15" t="str">
        <f t="shared" si="0"/>
        <v/>
      </c>
      <c r="AF4278" s="15" t="str">
        <f t="shared" si="1"/>
        <v/>
      </c>
      <c r="AG4278" s="15" t="str">
        <f>IF(OR(AF4278="",AF4278="ERRO_CHAVE"),"",IFERROR(MATCH(AF4278,'Quitados DUPP'!$U$1:$U$6635,0),""))</f>
        <v/>
      </c>
      <c r="AH4278" s="15" t="str">
        <f t="shared" si="2"/>
        <v/>
      </c>
      <c r="AI4278" s="17" t="str">
        <f>IF(AG4278="","",INDEX('Quitados DUPP'!$G$1:$G$6635,AG4278))</f>
        <v/>
      </c>
      <c r="AJ4278" s="17" t="str">
        <f t="shared" si="3"/>
        <v/>
      </c>
    </row>
    <row r="4279" spans="31:36">
      <c r="AE4279" s="15" t="str">
        <f t="shared" si="0"/>
        <v/>
      </c>
      <c r="AF4279" s="15" t="str">
        <f t="shared" si="1"/>
        <v/>
      </c>
      <c r="AG4279" s="15" t="str">
        <f>IF(OR(AF4279="",AF4279="ERRO_CHAVE"),"",IFERROR(MATCH(AF4279,'Quitados DUPP'!$U$1:$U$6635,0),""))</f>
        <v/>
      </c>
      <c r="AH4279" s="15" t="str">
        <f t="shared" si="2"/>
        <v/>
      </c>
      <c r="AI4279" s="17" t="str">
        <f>IF(AG4279="","",INDEX('Quitados DUPP'!$G$1:$G$6635,AG4279))</f>
        <v/>
      </c>
      <c r="AJ4279" s="17" t="str">
        <f t="shared" si="3"/>
        <v/>
      </c>
    </row>
    <row r="4280" spans="31:36">
      <c r="AE4280" s="15" t="str">
        <f t="shared" si="0"/>
        <v/>
      </c>
      <c r="AF4280" s="15" t="str">
        <f t="shared" si="1"/>
        <v/>
      </c>
      <c r="AG4280" s="15" t="str">
        <f>IF(OR(AF4280="",AF4280="ERRO_CHAVE"),"",IFERROR(MATCH(AF4280,'Quitados DUPP'!$U$1:$U$6635,0),""))</f>
        <v/>
      </c>
      <c r="AH4280" s="15" t="str">
        <f t="shared" si="2"/>
        <v/>
      </c>
      <c r="AI4280" s="17" t="str">
        <f>IF(AG4280="","",INDEX('Quitados DUPP'!$G$1:$G$6635,AG4280))</f>
        <v/>
      </c>
      <c r="AJ4280" s="17" t="str">
        <f t="shared" si="3"/>
        <v/>
      </c>
    </row>
    <row r="4281" spans="31:36">
      <c r="AE4281" s="15" t="str">
        <f t="shared" si="0"/>
        <v/>
      </c>
      <c r="AF4281" s="15" t="str">
        <f t="shared" si="1"/>
        <v/>
      </c>
      <c r="AG4281" s="15" t="str">
        <f>IF(OR(AF4281="",AF4281="ERRO_CHAVE"),"",IFERROR(MATCH(AF4281,'Quitados DUPP'!$U$1:$U$6635,0),""))</f>
        <v/>
      </c>
      <c r="AH4281" s="15" t="str">
        <f t="shared" si="2"/>
        <v/>
      </c>
      <c r="AI4281" s="17" t="str">
        <f>IF(AG4281="","",INDEX('Quitados DUPP'!$G$1:$G$6635,AG4281))</f>
        <v/>
      </c>
      <c r="AJ4281" s="17" t="str">
        <f t="shared" si="3"/>
        <v/>
      </c>
    </row>
    <row r="4282" spans="31:36">
      <c r="AE4282" s="15" t="str">
        <f t="shared" si="0"/>
        <v/>
      </c>
      <c r="AF4282" s="15" t="str">
        <f t="shared" si="1"/>
        <v/>
      </c>
      <c r="AG4282" s="15" t="str">
        <f>IF(OR(AF4282="",AF4282="ERRO_CHAVE"),"",IFERROR(MATCH(AF4282,'Quitados DUPP'!$U$1:$U$6635,0),""))</f>
        <v/>
      </c>
      <c r="AH4282" s="15" t="str">
        <f t="shared" si="2"/>
        <v/>
      </c>
      <c r="AI4282" s="17" t="str">
        <f>IF(AG4282="","",INDEX('Quitados DUPP'!$G$1:$G$6635,AG4282))</f>
        <v/>
      </c>
      <c r="AJ4282" s="17" t="str">
        <f t="shared" si="3"/>
        <v/>
      </c>
    </row>
    <row r="4283" spans="31:36">
      <c r="AE4283" s="15" t="str">
        <f t="shared" si="0"/>
        <v/>
      </c>
      <c r="AF4283" s="15" t="str">
        <f t="shared" si="1"/>
        <v/>
      </c>
      <c r="AG4283" s="15" t="str">
        <f>IF(OR(AF4283="",AF4283="ERRO_CHAVE"),"",IFERROR(MATCH(AF4283,'Quitados DUPP'!$U$1:$U$6635,0),""))</f>
        <v/>
      </c>
      <c r="AH4283" s="15" t="str">
        <f t="shared" si="2"/>
        <v/>
      </c>
      <c r="AI4283" s="17" t="str">
        <f>IF(AG4283="","",INDEX('Quitados DUPP'!$G$1:$G$6635,AG4283))</f>
        <v/>
      </c>
      <c r="AJ4283" s="17" t="str">
        <f t="shared" si="3"/>
        <v/>
      </c>
    </row>
    <row r="4284" spans="31:36">
      <c r="AE4284" s="15" t="str">
        <f t="shared" si="0"/>
        <v/>
      </c>
      <c r="AF4284" s="15" t="str">
        <f t="shared" si="1"/>
        <v/>
      </c>
      <c r="AG4284" s="15" t="str">
        <f>IF(OR(AF4284="",AF4284="ERRO_CHAVE"),"",IFERROR(MATCH(AF4284,'Quitados DUPP'!$U$1:$U$6635,0),""))</f>
        <v/>
      </c>
      <c r="AH4284" s="15" t="str">
        <f t="shared" si="2"/>
        <v/>
      </c>
      <c r="AI4284" s="17" t="str">
        <f>IF(AG4284="","",INDEX('Quitados DUPP'!$G$1:$G$6635,AG4284))</f>
        <v/>
      </c>
      <c r="AJ4284" s="17" t="str">
        <f t="shared" si="3"/>
        <v/>
      </c>
    </row>
    <row r="4285" spans="31:36">
      <c r="AE4285" s="15" t="str">
        <f t="shared" si="0"/>
        <v/>
      </c>
      <c r="AF4285" s="15" t="str">
        <f t="shared" si="1"/>
        <v/>
      </c>
      <c r="AG4285" s="15" t="str">
        <f>IF(OR(AF4285="",AF4285="ERRO_CHAVE"),"",IFERROR(MATCH(AF4285,'Quitados DUPP'!$U$1:$U$6635,0),""))</f>
        <v/>
      </c>
      <c r="AH4285" s="15" t="str">
        <f t="shared" si="2"/>
        <v/>
      </c>
      <c r="AI4285" s="17" t="str">
        <f>IF(AG4285="","",INDEX('Quitados DUPP'!$G$1:$G$6635,AG4285))</f>
        <v/>
      </c>
      <c r="AJ4285" s="17" t="str">
        <f t="shared" si="3"/>
        <v/>
      </c>
    </row>
    <row r="4286" spans="31:36">
      <c r="AE4286" s="15" t="str">
        <f t="shared" si="0"/>
        <v/>
      </c>
      <c r="AF4286" s="15" t="str">
        <f t="shared" si="1"/>
        <v/>
      </c>
      <c r="AG4286" s="15" t="str">
        <f>IF(OR(AF4286="",AF4286="ERRO_CHAVE"),"",IFERROR(MATCH(AF4286,'Quitados DUPP'!$U$1:$U$6635,0),""))</f>
        <v/>
      </c>
      <c r="AH4286" s="15" t="str">
        <f t="shared" si="2"/>
        <v/>
      </c>
      <c r="AI4286" s="17" t="str">
        <f>IF(AG4286="","",INDEX('Quitados DUPP'!$G$1:$G$6635,AG4286))</f>
        <v/>
      </c>
      <c r="AJ4286" s="17" t="str">
        <f t="shared" si="3"/>
        <v/>
      </c>
    </row>
    <row r="4287" spans="31:36">
      <c r="AE4287" s="15" t="str">
        <f t="shared" si="0"/>
        <v/>
      </c>
      <c r="AF4287" s="15" t="str">
        <f t="shared" si="1"/>
        <v/>
      </c>
      <c r="AG4287" s="15" t="str">
        <f>IF(OR(AF4287="",AF4287="ERRO_CHAVE"),"",IFERROR(MATCH(AF4287,'Quitados DUPP'!$U$1:$U$6635,0),""))</f>
        <v/>
      </c>
      <c r="AH4287" s="15" t="str">
        <f t="shared" si="2"/>
        <v/>
      </c>
      <c r="AI4287" s="17" t="str">
        <f>IF(AG4287="","",INDEX('Quitados DUPP'!$G$1:$G$6635,AG4287))</f>
        <v/>
      </c>
      <c r="AJ4287" s="17" t="str">
        <f t="shared" si="3"/>
        <v/>
      </c>
    </row>
    <row r="4288" spans="31:36">
      <c r="AE4288" s="15" t="str">
        <f t="shared" si="0"/>
        <v/>
      </c>
      <c r="AF4288" s="15" t="str">
        <f t="shared" si="1"/>
        <v/>
      </c>
      <c r="AG4288" s="15" t="str">
        <f>IF(OR(AF4288="",AF4288="ERRO_CHAVE"),"",IFERROR(MATCH(AF4288,'Quitados DUPP'!$U$1:$U$6635,0),""))</f>
        <v/>
      </c>
      <c r="AH4288" s="15" t="str">
        <f t="shared" si="2"/>
        <v/>
      </c>
      <c r="AI4288" s="17" t="str">
        <f>IF(AG4288="","",INDEX('Quitados DUPP'!$G$1:$G$6635,AG4288))</f>
        <v/>
      </c>
      <c r="AJ4288" s="17" t="str">
        <f t="shared" si="3"/>
        <v/>
      </c>
    </row>
    <row r="4289" spans="31:36">
      <c r="AE4289" s="15" t="str">
        <f t="shared" si="0"/>
        <v/>
      </c>
      <c r="AF4289" s="15" t="str">
        <f t="shared" si="1"/>
        <v/>
      </c>
      <c r="AG4289" s="15" t="str">
        <f>IF(OR(AF4289="",AF4289="ERRO_CHAVE"),"",IFERROR(MATCH(AF4289,'Quitados DUPP'!$U$1:$U$6635,0),""))</f>
        <v/>
      </c>
      <c r="AH4289" s="15" t="str">
        <f t="shared" si="2"/>
        <v/>
      </c>
      <c r="AI4289" s="17" t="str">
        <f>IF(AG4289="","",INDEX('Quitados DUPP'!$G$1:$G$6635,AG4289))</f>
        <v/>
      </c>
      <c r="AJ4289" s="17" t="str">
        <f t="shared" si="3"/>
        <v/>
      </c>
    </row>
    <row r="4290" spans="31:36">
      <c r="AE4290" s="15" t="str">
        <f t="shared" si="0"/>
        <v/>
      </c>
      <c r="AF4290" s="15" t="str">
        <f t="shared" si="1"/>
        <v/>
      </c>
      <c r="AG4290" s="15" t="str">
        <f>IF(OR(AF4290="",AF4290="ERRO_CHAVE"),"",IFERROR(MATCH(AF4290,'Quitados DUPP'!$U$1:$U$6635,0),""))</f>
        <v/>
      </c>
      <c r="AH4290" s="15" t="str">
        <f t="shared" si="2"/>
        <v/>
      </c>
      <c r="AI4290" s="17" t="str">
        <f>IF(AG4290="","",INDEX('Quitados DUPP'!$G$1:$G$6635,AG4290))</f>
        <v/>
      </c>
      <c r="AJ4290" s="17" t="str">
        <f t="shared" si="3"/>
        <v/>
      </c>
    </row>
    <row r="4291" spans="31:36">
      <c r="AE4291" s="15" t="str">
        <f t="shared" si="0"/>
        <v/>
      </c>
      <c r="AF4291" s="15" t="str">
        <f t="shared" si="1"/>
        <v/>
      </c>
      <c r="AG4291" s="15" t="str">
        <f>IF(OR(AF4291="",AF4291="ERRO_CHAVE"),"",IFERROR(MATCH(AF4291,'Quitados DUPP'!$U$1:$U$6635,0),""))</f>
        <v/>
      </c>
      <c r="AH4291" s="15" t="str">
        <f t="shared" si="2"/>
        <v/>
      </c>
      <c r="AI4291" s="17" t="str">
        <f>IF(AG4291="","",INDEX('Quitados DUPP'!$G$1:$G$6635,AG4291))</f>
        <v/>
      </c>
      <c r="AJ4291" s="17" t="str">
        <f t="shared" si="3"/>
        <v/>
      </c>
    </row>
    <row r="4292" spans="31:36">
      <c r="AE4292" s="15" t="str">
        <f t="shared" si="0"/>
        <v/>
      </c>
      <c r="AF4292" s="15" t="str">
        <f t="shared" si="1"/>
        <v/>
      </c>
      <c r="AG4292" s="15" t="str">
        <f>IF(OR(AF4292="",AF4292="ERRO_CHAVE"),"",IFERROR(MATCH(AF4292,'Quitados DUPP'!$U$1:$U$6635,0),""))</f>
        <v/>
      </c>
      <c r="AH4292" s="15" t="str">
        <f t="shared" si="2"/>
        <v/>
      </c>
      <c r="AI4292" s="17" t="str">
        <f>IF(AG4292="","",INDEX('Quitados DUPP'!$G$1:$G$6635,AG4292))</f>
        <v/>
      </c>
      <c r="AJ4292" s="17" t="str">
        <f t="shared" si="3"/>
        <v/>
      </c>
    </row>
    <row r="4293" spans="31:36">
      <c r="AE4293" s="15" t="str">
        <f t="shared" si="0"/>
        <v/>
      </c>
      <c r="AF4293" s="15" t="str">
        <f t="shared" si="1"/>
        <v/>
      </c>
      <c r="AG4293" s="15" t="str">
        <f>IF(OR(AF4293="",AF4293="ERRO_CHAVE"),"",IFERROR(MATCH(AF4293,'Quitados DUPP'!$U$1:$U$6635,0),""))</f>
        <v/>
      </c>
      <c r="AH4293" s="15" t="str">
        <f t="shared" si="2"/>
        <v/>
      </c>
      <c r="AI4293" s="17" t="str">
        <f>IF(AG4293="","",INDEX('Quitados DUPP'!$G$1:$G$6635,AG4293))</f>
        <v/>
      </c>
      <c r="AJ4293" s="17" t="str">
        <f t="shared" si="3"/>
        <v/>
      </c>
    </row>
    <row r="4294" spans="31:36">
      <c r="AE4294" s="15" t="str">
        <f t="shared" si="0"/>
        <v/>
      </c>
      <c r="AF4294" s="15" t="str">
        <f t="shared" si="1"/>
        <v/>
      </c>
      <c r="AG4294" s="15" t="str">
        <f>IF(OR(AF4294="",AF4294="ERRO_CHAVE"),"",IFERROR(MATCH(AF4294,'Quitados DUPP'!$U$1:$U$6635,0),""))</f>
        <v/>
      </c>
      <c r="AH4294" s="15" t="str">
        <f t="shared" si="2"/>
        <v/>
      </c>
      <c r="AI4294" s="17" t="str">
        <f>IF(AG4294="","",INDEX('Quitados DUPP'!$G$1:$G$6635,AG4294))</f>
        <v/>
      </c>
      <c r="AJ4294" s="17" t="str">
        <f t="shared" si="3"/>
        <v/>
      </c>
    </row>
    <row r="4295" spans="31:36">
      <c r="AE4295" s="15" t="str">
        <f t="shared" si="0"/>
        <v/>
      </c>
      <c r="AF4295" s="15" t="str">
        <f t="shared" si="1"/>
        <v/>
      </c>
      <c r="AG4295" s="15" t="str">
        <f>IF(OR(AF4295="",AF4295="ERRO_CHAVE"),"",IFERROR(MATCH(AF4295,'Quitados DUPP'!$U$1:$U$6635,0),""))</f>
        <v/>
      </c>
      <c r="AH4295" s="15" t="str">
        <f t="shared" si="2"/>
        <v/>
      </c>
      <c r="AI4295" s="17" t="str">
        <f>IF(AG4295="","",INDEX('Quitados DUPP'!$G$1:$G$6635,AG4295))</f>
        <v/>
      </c>
      <c r="AJ4295" s="17" t="str">
        <f t="shared" si="3"/>
        <v/>
      </c>
    </row>
    <row r="4296" spans="31:36">
      <c r="AE4296" s="15" t="str">
        <f t="shared" si="0"/>
        <v/>
      </c>
      <c r="AF4296" s="15" t="str">
        <f t="shared" si="1"/>
        <v/>
      </c>
      <c r="AG4296" s="15" t="str">
        <f>IF(OR(AF4296="",AF4296="ERRO_CHAVE"),"",IFERROR(MATCH(AF4296,'Quitados DUPP'!$U$1:$U$6635,0),""))</f>
        <v/>
      </c>
      <c r="AH4296" s="15" t="str">
        <f t="shared" si="2"/>
        <v/>
      </c>
      <c r="AI4296" s="17" t="str">
        <f>IF(AG4296="","",INDEX('Quitados DUPP'!$G$1:$G$6635,AG4296))</f>
        <v/>
      </c>
      <c r="AJ4296" s="17" t="str">
        <f t="shared" si="3"/>
        <v/>
      </c>
    </row>
    <row r="4297" spans="31:36">
      <c r="AE4297" s="15" t="str">
        <f t="shared" si="0"/>
        <v/>
      </c>
      <c r="AF4297" s="15" t="str">
        <f t="shared" si="1"/>
        <v/>
      </c>
      <c r="AG4297" s="15" t="str">
        <f>IF(OR(AF4297="",AF4297="ERRO_CHAVE"),"",IFERROR(MATCH(AF4297,'Quitados DUPP'!$U$1:$U$6635,0),""))</f>
        <v/>
      </c>
      <c r="AH4297" s="15" t="str">
        <f t="shared" si="2"/>
        <v/>
      </c>
      <c r="AI4297" s="17" t="str">
        <f>IF(AG4297="","",INDEX('Quitados DUPP'!$G$1:$G$6635,AG4297))</f>
        <v/>
      </c>
      <c r="AJ4297" s="17" t="str">
        <f t="shared" si="3"/>
        <v/>
      </c>
    </row>
    <row r="4298" spans="31:36">
      <c r="AE4298" s="15" t="str">
        <f t="shared" si="0"/>
        <v/>
      </c>
      <c r="AF4298" s="15" t="str">
        <f t="shared" si="1"/>
        <v/>
      </c>
      <c r="AG4298" s="15" t="str">
        <f>IF(OR(AF4298="",AF4298="ERRO_CHAVE"),"",IFERROR(MATCH(AF4298,'Quitados DUPP'!$U$1:$U$6635,0),""))</f>
        <v/>
      </c>
      <c r="AH4298" s="15" t="str">
        <f t="shared" si="2"/>
        <v/>
      </c>
      <c r="AI4298" s="17" t="str">
        <f>IF(AG4298="","",INDEX('Quitados DUPP'!$G$1:$G$6635,AG4298))</f>
        <v/>
      </c>
      <c r="AJ4298" s="17" t="str">
        <f t="shared" si="3"/>
        <v/>
      </c>
    </row>
    <row r="4299" spans="31:36">
      <c r="AE4299" s="15" t="str">
        <f t="shared" si="0"/>
        <v/>
      </c>
      <c r="AF4299" s="15" t="str">
        <f t="shared" si="1"/>
        <v/>
      </c>
      <c r="AG4299" s="15" t="str">
        <f>IF(OR(AF4299="",AF4299="ERRO_CHAVE"),"",IFERROR(MATCH(AF4299,'Quitados DUPP'!$U$1:$U$6635,0),""))</f>
        <v/>
      </c>
      <c r="AH4299" s="15" t="str">
        <f t="shared" si="2"/>
        <v/>
      </c>
      <c r="AI4299" s="17" t="str">
        <f>IF(AG4299="","",INDEX('Quitados DUPP'!$G$1:$G$6635,AG4299))</f>
        <v/>
      </c>
      <c r="AJ4299" s="17" t="str">
        <f t="shared" si="3"/>
        <v/>
      </c>
    </row>
    <row r="4300" spans="31:36">
      <c r="AE4300" s="15" t="str">
        <f t="shared" si="0"/>
        <v/>
      </c>
      <c r="AF4300" s="15" t="str">
        <f t="shared" si="1"/>
        <v/>
      </c>
      <c r="AG4300" s="15" t="str">
        <f>IF(OR(AF4300="",AF4300="ERRO_CHAVE"),"",IFERROR(MATCH(AF4300,'Quitados DUPP'!$U$1:$U$6635,0),""))</f>
        <v/>
      </c>
      <c r="AH4300" s="15" t="str">
        <f t="shared" si="2"/>
        <v/>
      </c>
      <c r="AI4300" s="17" t="str">
        <f>IF(AG4300="","",INDEX('Quitados DUPP'!$G$1:$G$6635,AG4300))</f>
        <v/>
      </c>
      <c r="AJ4300" s="17" t="str">
        <f t="shared" si="3"/>
        <v/>
      </c>
    </row>
    <row r="4301" spans="31:36">
      <c r="AE4301" s="15" t="str">
        <f t="shared" si="0"/>
        <v/>
      </c>
      <c r="AF4301" s="15" t="str">
        <f t="shared" si="1"/>
        <v/>
      </c>
      <c r="AG4301" s="15" t="str">
        <f>IF(OR(AF4301="",AF4301="ERRO_CHAVE"),"",IFERROR(MATCH(AF4301,'Quitados DUPP'!$U$1:$U$6635,0),""))</f>
        <v/>
      </c>
      <c r="AH4301" s="15" t="str">
        <f t="shared" si="2"/>
        <v/>
      </c>
      <c r="AI4301" s="17" t="str">
        <f>IF(AG4301="","",INDEX('Quitados DUPP'!$G$1:$G$6635,AG4301))</f>
        <v/>
      </c>
      <c r="AJ4301" s="17" t="str">
        <f t="shared" si="3"/>
        <v/>
      </c>
    </row>
    <row r="4302" spans="31:36">
      <c r="AE4302" s="15" t="str">
        <f t="shared" si="0"/>
        <v/>
      </c>
      <c r="AF4302" s="15" t="str">
        <f t="shared" si="1"/>
        <v/>
      </c>
      <c r="AG4302" s="15" t="str">
        <f>IF(OR(AF4302="",AF4302="ERRO_CHAVE"),"",IFERROR(MATCH(AF4302,'Quitados DUPP'!$U$1:$U$6635,0),""))</f>
        <v/>
      </c>
      <c r="AH4302" s="15" t="str">
        <f t="shared" si="2"/>
        <v/>
      </c>
      <c r="AI4302" s="17" t="str">
        <f>IF(AG4302="","",INDEX('Quitados DUPP'!$G$1:$G$6635,AG4302))</f>
        <v/>
      </c>
      <c r="AJ4302" s="17" t="str">
        <f t="shared" si="3"/>
        <v/>
      </c>
    </row>
    <row r="4303" spans="31:36">
      <c r="AE4303" s="15" t="str">
        <f t="shared" si="0"/>
        <v/>
      </c>
      <c r="AF4303" s="15" t="str">
        <f t="shared" si="1"/>
        <v/>
      </c>
      <c r="AG4303" s="15" t="str">
        <f>IF(OR(AF4303="",AF4303="ERRO_CHAVE"),"",IFERROR(MATCH(AF4303,'Quitados DUPP'!$U$1:$U$6635,0),""))</f>
        <v/>
      </c>
      <c r="AH4303" s="15" t="str">
        <f t="shared" si="2"/>
        <v/>
      </c>
      <c r="AI4303" s="17" t="str">
        <f>IF(AG4303="","",INDEX('Quitados DUPP'!$G$1:$G$6635,AG4303))</f>
        <v/>
      </c>
      <c r="AJ4303" s="17" t="str">
        <f t="shared" si="3"/>
        <v/>
      </c>
    </row>
    <row r="4304" spans="31:36">
      <c r="AE4304" s="15" t="str">
        <f t="shared" si="0"/>
        <v/>
      </c>
      <c r="AF4304" s="15" t="str">
        <f t="shared" si="1"/>
        <v/>
      </c>
      <c r="AG4304" s="15" t="str">
        <f>IF(OR(AF4304="",AF4304="ERRO_CHAVE"),"",IFERROR(MATCH(AF4304,'Quitados DUPP'!$U$1:$U$6635,0),""))</f>
        <v/>
      </c>
      <c r="AH4304" s="15" t="str">
        <f t="shared" si="2"/>
        <v/>
      </c>
      <c r="AI4304" s="17" t="str">
        <f>IF(AG4304="","",INDEX('Quitados DUPP'!$G$1:$G$6635,AG4304))</f>
        <v/>
      </c>
      <c r="AJ4304" s="17" t="str">
        <f t="shared" si="3"/>
        <v/>
      </c>
    </row>
    <row r="4305" spans="31:36">
      <c r="AE4305" s="15" t="str">
        <f t="shared" si="0"/>
        <v/>
      </c>
      <c r="AF4305" s="15" t="str">
        <f t="shared" si="1"/>
        <v/>
      </c>
      <c r="AG4305" s="15" t="str">
        <f>IF(OR(AF4305="",AF4305="ERRO_CHAVE"),"",IFERROR(MATCH(AF4305,'Quitados DUPP'!$U$1:$U$6635,0),""))</f>
        <v/>
      </c>
      <c r="AH4305" s="15" t="str">
        <f t="shared" si="2"/>
        <v/>
      </c>
      <c r="AI4305" s="17" t="str">
        <f>IF(AG4305="","",INDEX('Quitados DUPP'!$G$1:$G$6635,AG4305))</f>
        <v/>
      </c>
      <c r="AJ4305" s="17" t="str">
        <f t="shared" si="3"/>
        <v/>
      </c>
    </row>
    <row r="4306" spans="31:36">
      <c r="AE4306" s="15" t="str">
        <f t="shared" si="0"/>
        <v/>
      </c>
      <c r="AF4306" s="15" t="str">
        <f t="shared" si="1"/>
        <v/>
      </c>
      <c r="AG4306" s="15" t="str">
        <f>IF(OR(AF4306="",AF4306="ERRO_CHAVE"),"",IFERROR(MATCH(AF4306,'Quitados DUPP'!$U$1:$U$6635,0),""))</f>
        <v/>
      </c>
      <c r="AH4306" s="15" t="str">
        <f t="shared" si="2"/>
        <v/>
      </c>
      <c r="AI4306" s="17" t="str">
        <f>IF(AG4306="","",INDEX('Quitados DUPP'!$G$1:$G$6635,AG4306))</f>
        <v/>
      </c>
      <c r="AJ4306" s="17" t="str">
        <f t="shared" si="3"/>
        <v/>
      </c>
    </row>
    <row r="4307" spans="31:36">
      <c r="AE4307" s="15" t="str">
        <f t="shared" si="0"/>
        <v/>
      </c>
      <c r="AF4307" s="15" t="str">
        <f t="shared" si="1"/>
        <v/>
      </c>
      <c r="AG4307" s="15" t="str">
        <f>IF(OR(AF4307="",AF4307="ERRO_CHAVE"),"",IFERROR(MATCH(AF4307,'Quitados DUPP'!$U$1:$U$6635,0),""))</f>
        <v/>
      </c>
      <c r="AH4307" s="15" t="str">
        <f t="shared" si="2"/>
        <v/>
      </c>
      <c r="AI4307" s="17" t="str">
        <f>IF(AG4307="","",INDEX('Quitados DUPP'!$G$1:$G$6635,AG4307))</f>
        <v/>
      </c>
      <c r="AJ4307" s="17" t="str">
        <f t="shared" si="3"/>
        <v/>
      </c>
    </row>
    <row r="4308" spans="31:36">
      <c r="AE4308" s="15" t="str">
        <f t="shared" si="0"/>
        <v/>
      </c>
      <c r="AF4308" s="15" t="str">
        <f t="shared" si="1"/>
        <v/>
      </c>
      <c r="AG4308" s="15" t="str">
        <f>IF(OR(AF4308="",AF4308="ERRO_CHAVE"),"",IFERROR(MATCH(AF4308,'Quitados DUPP'!$U$1:$U$6635,0),""))</f>
        <v/>
      </c>
      <c r="AH4308" s="15" t="str">
        <f t="shared" si="2"/>
        <v/>
      </c>
      <c r="AI4308" s="17" t="str">
        <f>IF(AG4308="","",INDEX('Quitados DUPP'!$G$1:$G$6635,AG4308))</f>
        <v/>
      </c>
      <c r="AJ4308" s="17" t="str">
        <f t="shared" si="3"/>
        <v/>
      </c>
    </row>
    <row r="4309" spans="31:36">
      <c r="AE4309" s="15" t="str">
        <f t="shared" si="0"/>
        <v/>
      </c>
      <c r="AF4309" s="15" t="str">
        <f t="shared" si="1"/>
        <v/>
      </c>
      <c r="AG4309" s="15" t="str">
        <f>IF(OR(AF4309="",AF4309="ERRO_CHAVE"),"",IFERROR(MATCH(AF4309,'Quitados DUPP'!$U$1:$U$6635,0),""))</f>
        <v/>
      </c>
      <c r="AH4309" s="15" t="str">
        <f t="shared" si="2"/>
        <v/>
      </c>
      <c r="AI4309" s="17" t="str">
        <f>IF(AG4309="","",INDEX('Quitados DUPP'!$G$1:$G$6635,AG4309))</f>
        <v/>
      </c>
      <c r="AJ4309" s="17" t="str">
        <f t="shared" si="3"/>
        <v/>
      </c>
    </row>
    <row r="4310" spans="31:36">
      <c r="AE4310" s="15" t="str">
        <f t="shared" si="0"/>
        <v/>
      </c>
      <c r="AF4310" s="15" t="str">
        <f t="shared" si="1"/>
        <v/>
      </c>
      <c r="AG4310" s="15" t="str">
        <f>IF(OR(AF4310="",AF4310="ERRO_CHAVE"),"",IFERROR(MATCH(AF4310,'Quitados DUPP'!$U$1:$U$6635,0),""))</f>
        <v/>
      </c>
      <c r="AH4310" s="15" t="str">
        <f t="shared" si="2"/>
        <v/>
      </c>
      <c r="AI4310" s="17" t="str">
        <f>IF(AG4310="","",INDEX('Quitados DUPP'!$G$1:$G$6635,AG4310))</f>
        <v/>
      </c>
      <c r="AJ4310" s="17" t="str">
        <f t="shared" si="3"/>
        <v/>
      </c>
    </row>
    <row r="4311" spans="31:36">
      <c r="AE4311" s="15" t="str">
        <f t="shared" si="0"/>
        <v/>
      </c>
      <c r="AF4311" s="15" t="str">
        <f t="shared" si="1"/>
        <v/>
      </c>
      <c r="AG4311" s="15" t="str">
        <f>IF(OR(AF4311="",AF4311="ERRO_CHAVE"),"",IFERROR(MATCH(AF4311,'Quitados DUPP'!$U$1:$U$6635,0),""))</f>
        <v/>
      </c>
      <c r="AH4311" s="15" t="str">
        <f t="shared" si="2"/>
        <v/>
      </c>
      <c r="AI4311" s="17" t="str">
        <f>IF(AG4311="","",INDEX('Quitados DUPP'!$G$1:$G$6635,AG4311))</f>
        <v/>
      </c>
      <c r="AJ4311" s="17" t="str">
        <f t="shared" si="3"/>
        <v/>
      </c>
    </row>
    <row r="4312" spans="31:36">
      <c r="AE4312" s="15" t="str">
        <f t="shared" si="0"/>
        <v/>
      </c>
      <c r="AF4312" s="15" t="str">
        <f t="shared" si="1"/>
        <v/>
      </c>
      <c r="AG4312" s="15" t="str">
        <f>IF(OR(AF4312="",AF4312="ERRO_CHAVE"),"",IFERROR(MATCH(AF4312,'Quitados DUPP'!$U$1:$U$6635,0),""))</f>
        <v/>
      </c>
      <c r="AH4312" s="15" t="str">
        <f t="shared" si="2"/>
        <v/>
      </c>
      <c r="AI4312" s="17" t="str">
        <f>IF(AG4312="","",INDEX('Quitados DUPP'!$G$1:$G$6635,AG4312))</f>
        <v/>
      </c>
      <c r="AJ4312" s="17" t="str">
        <f t="shared" si="3"/>
        <v/>
      </c>
    </row>
    <row r="4313" spans="31:36">
      <c r="AE4313" s="15" t="str">
        <f t="shared" si="0"/>
        <v/>
      </c>
      <c r="AF4313" s="15" t="str">
        <f t="shared" si="1"/>
        <v/>
      </c>
      <c r="AG4313" s="15" t="str">
        <f>IF(OR(AF4313="",AF4313="ERRO_CHAVE"),"",IFERROR(MATCH(AF4313,'Quitados DUPP'!$U$1:$U$6635,0),""))</f>
        <v/>
      </c>
      <c r="AH4313" s="15" t="str">
        <f t="shared" si="2"/>
        <v/>
      </c>
      <c r="AI4313" s="17" t="str">
        <f>IF(AG4313="","",INDEX('Quitados DUPP'!$G$1:$G$6635,AG4313))</f>
        <v/>
      </c>
      <c r="AJ4313" s="17" t="str">
        <f t="shared" si="3"/>
        <v/>
      </c>
    </row>
    <row r="4314" spans="31:36">
      <c r="AE4314" s="15" t="str">
        <f t="shared" si="0"/>
        <v/>
      </c>
      <c r="AF4314" s="15" t="str">
        <f t="shared" si="1"/>
        <v/>
      </c>
      <c r="AG4314" s="15" t="str">
        <f>IF(OR(AF4314="",AF4314="ERRO_CHAVE"),"",IFERROR(MATCH(AF4314,'Quitados DUPP'!$U$1:$U$6635,0),""))</f>
        <v/>
      </c>
      <c r="AH4314" s="15" t="str">
        <f t="shared" si="2"/>
        <v/>
      </c>
      <c r="AI4314" s="17" t="str">
        <f>IF(AG4314="","",INDEX('Quitados DUPP'!$G$1:$G$6635,AG4314))</f>
        <v/>
      </c>
      <c r="AJ4314" s="17" t="str">
        <f t="shared" si="3"/>
        <v/>
      </c>
    </row>
    <row r="4315" spans="31:36">
      <c r="AE4315" s="15" t="str">
        <f t="shared" si="0"/>
        <v/>
      </c>
      <c r="AF4315" s="15" t="str">
        <f t="shared" si="1"/>
        <v/>
      </c>
      <c r="AG4315" s="15" t="str">
        <f>IF(OR(AF4315="",AF4315="ERRO_CHAVE"),"",IFERROR(MATCH(AF4315,'Quitados DUPP'!$U$1:$U$6635,0),""))</f>
        <v/>
      </c>
      <c r="AH4315" s="15" t="str">
        <f t="shared" si="2"/>
        <v/>
      </c>
      <c r="AI4315" s="17" t="str">
        <f>IF(AG4315="","",INDEX('Quitados DUPP'!$G$1:$G$6635,AG4315))</f>
        <v/>
      </c>
      <c r="AJ4315" s="17" t="str">
        <f t="shared" si="3"/>
        <v/>
      </c>
    </row>
    <row r="4316" spans="31:36">
      <c r="AE4316" s="15" t="str">
        <f t="shared" si="0"/>
        <v/>
      </c>
      <c r="AF4316" s="15" t="str">
        <f t="shared" si="1"/>
        <v/>
      </c>
      <c r="AG4316" s="15" t="str">
        <f>IF(OR(AF4316="",AF4316="ERRO_CHAVE"),"",IFERROR(MATCH(AF4316,'Quitados DUPP'!$U$1:$U$6635,0),""))</f>
        <v/>
      </c>
      <c r="AH4316" s="15" t="str">
        <f t="shared" si="2"/>
        <v/>
      </c>
      <c r="AI4316" s="17" t="str">
        <f>IF(AG4316="","",INDEX('Quitados DUPP'!$G$1:$G$6635,AG4316))</f>
        <v/>
      </c>
      <c r="AJ4316" s="17" t="str">
        <f t="shared" si="3"/>
        <v/>
      </c>
    </row>
    <row r="4317" spans="31:36">
      <c r="AE4317" s="15" t="str">
        <f t="shared" si="0"/>
        <v/>
      </c>
      <c r="AF4317" s="15" t="str">
        <f t="shared" si="1"/>
        <v/>
      </c>
      <c r="AG4317" s="15" t="str">
        <f>IF(OR(AF4317="",AF4317="ERRO_CHAVE"),"",IFERROR(MATCH(AF4317,'Quitados DUPP'!$U$1:$U$6635,0),""))</f>
        <v/>
      </c>
      <c r="AH4317" s="15" t="str">
        <f t="shared" si="2"/>
        <v/>
      </c>
      <c r="AI4317" s="17" t="str">
        <f>IF(AG4317="","",INDEX('Quitados DUPP'!$G$1:$G$6635,AG4317))</f>
        <v/>
      </c>
      <c r="AJ4317" s="17" t="str">
        <f t="shared" si="3"/>
        <v/>
      </c>
    </row>
    <row r="4318" spans="31:36">
      <c r="AE4318" s="15" t="str">
        <f t="shared" si="0"/>
        <v/>
      </c>
      <c r="AF4318" s="15" t="str">
        <f t="shared" si="1"/>
        <v/>
      </c>
      <c r="AG4318" s="15" t="str">
        <f>IF(OR(AF4318="",AF4318="ERRO_CHAVE"),"",IFERROR(MATCH(AF4318,'Quitados DUPP'!$U$1:$U$6635,0),""))</f>
        <v/>
      </c>
      <c r="AH4318" s="15" t="str">
        <f t="shared" si="2"/>
        <v/>
      </c>
      <c r="AI4318" s="17" t="str">
        <f>IF(AG4318="","",INDEX('Quitados DUPP'!$G$1:$G$6635,AG4318))</f>
        <v/>
      </c>
      <c r="AJ4318" s="17" t="str">
        <f t="shared" si="3"/>
        <v/>
      </c>
    </row>
    <row r="4319" spans="31:36">
      <c r="AE4319" s="15" t="str">
        <f t="shared" si="0"/>
        <v/>
      </c>
      <c r="AF4319" s="15" t="str">
        <f t="shared" si="1"/>
        <v/>
      </c>
      <c r="AG4319" s="15" t="str">
        <f>IF(OR(AF4319="",AF4319="ERRO_CHAVE"),"",IFERROR(MATCH(AF4319,'Quitados DUPP'!$U$1:$U$6635,0),""))</f>
        <v/>
      </c>
      <c r="AH4319" s="15" t="str">
        <f t="shared" si="2"/>
        <v/>
      </c>
      <c r="AI4319" s="17" t="str">
        <f>IF(AG4319="","",INDEX('Quitados DUPP'!$G$1:$G$6635,AG4319))</f>
        <v/>
      </c>
      <c r="AJ4319" s="17" t="str">
        <f t="shared" si="3"/>
        <v/>
      </c>
    </row>
    <row r="4320" spans="31:36">
      <c r="AE4320" s="15" t="str">
        <f t="shared" si="0"/>
        <v/>
      </c>
      <c r="AF4320" s="15" t="str">
        <f t="shared" si="1"/>
        <v/>
      </c>
      <c r="AG4320" s="15" t="str">
        <f>IF(OR(AF4320="",AF4320="ERRO_CHAVE"),"",IFERROR(MATCH(AF4320,'Quitados DUPP'!$U$1:$U$6635,0),""))</f>
        <v/>
      </c>
      <c r="AH4320" s="15" t="str">
        <f t="shared" si="2"/>
        <v/>
      </c>
      <c r="AI4320" s="17" t="str">
        <f>IF(AG4320="","",INDEX('Quitados DUPP'!$G$1:$G$6635,AG4320))</f>
        <v/>
      </c>
      <c r="AJ4320" s="17" t="str">
        <f t="shared" si="3"/>
        <v/>
      </c>
    </row>
    <row r="4321" spans="31:36">
      <c r="AE4321" s="15" t="str">
        <f t="shared" si="0"/>
        <v/>
      </c>
      <c r="AF4321" s="15" t="str">
        <f t="shared" si="1"/>
        <v/>
      </c>
      <c r="AG4321" s="15" t="str">
        <f>IF(OR(AF4321="",AF4321="ERRO_CHAVE"),"",IFERROR(MATCH(AF4321,'Quitados DUPP'!$U$1:$U$6635,0),""))</f>
        <v/>
      </c>
      <c r="AH4321" s="15" t="str">
        <f t="shared" si="2"/>
        <v/>
      </c>
      <c r="AI4321" s="17" t="str">
        <f>IF(AG4321="","",INDEX('Quitados DUPP'!$G$1:$G$6635,AG4321))</f>
        <v/>
      </c>
      <c r="AJ4321" s="17" t="str">
        <f t="shared" si="3"/>
        <v/>
      </c>
    </row>
    <row r="4322" spans="31:36">
      <c r="AE4322" s="15" t="str">
        <f t="shared" si="0"/>
        <v/>
      </c>
      <c r="AF4322" s="15" t="str">
        <f t="shared" si="1"/>
        <v/>
      </c>
      <c r="AG4322" s="15" t="str">
        <f>IF(OR(AF4322="",AF4322="ERRO_CHAVE"),"",IFERROR(MATCH(AF4322,'Quitados DUPP'!$U$1:$U$6635,0),""))</f>
        <v/>
      </c>
      <c r="AH4322" s="15" t="str">
        <f t="shared" si="2"/>
        <v/>
      </c>
      <c r="AI4322" s="17" t="str">
        <f>IF(AG4322="","",INDEX('Quitados DUPP'!$G$1:$G$6635,AG4322))</f>
        <v/>
      </c>
      <c r="AJ4322" s="17" t="str">
        <f t="shared" si="3"/>
        <v/>
      </c>
    </row>
    <row r="4323" spans="31:36">
      <c r="AE4323" s="15" t="str">
        <f t="shared" si="0"/>
        <v/>
      </c>
      <c r="AF4323" s="15" t="str">
        <f t="shared" si="1"/>
        <v/>
      </c>
      <c r="AG4323" s="15" t="str">
        <f>IF(OR(AF4323="",AF4323="ERRO_CHAVE"),"",IFERROR(MATCH(AF4323,'Quitados DUPP'!$U$1:$U$6635,0),""))</f>
        <v/>
      </c>
      <c r="AH4323" s="15" t="str">
        <f t="shared" si="2"/>
        <v/>
      </c>
      <c r="AI4323" s="17" t="str">
        <f>IF(AG4323="","",INDEX('Quitados DUPP'!$G$1:$G$6635,AG4323))</f>
        <v/>
      </c>
      <c r="AJ4323" s="17" t="str">
        <f t="shared" si="3"/>
        <v/>
      </c>
    </row>
    <row r="4324" spans="31:36">
      <c r="AE4324" s="15" t="str">
        <f t="shared" si="0"/>
        <v/>
      </c>
      <c r="AF4324" s="15" t="str">
        <f t="shared" si="1"/>
        <v/>
      </c>
      <c r="AG4324" s="15" t="str">
        <f>IF(OR(AF4324="",AF4324="ERRO_CHAVE"),"",IFERROR(MATCH(AF4324,'Quitados DUPP'!$U$1:$U$6635,0),""))</f>
        <v/>
      </c>
      <c r="AH4324" s="15" t="str">
        <f t="shared" si="2"/>
        <v/>
      </c>
      <c r="AI4324" s="17" t="str">
        <f>IF(AG4324="","",INDEX('Quitados DUPP'!$G$1:$G$6635,AG4324))</f>
        <v/>
      </c>
      <c r="AJ4324" s="17" t="str">
        <f t="shared" si="3"/>
        <v/>
      </c>
    </row>
    <row r="4325" spans="31:36">
      <c r="AE4325" s="15" t="str">
        <f t="shared" si="0"/>
        <v/>
      </c>
      <c r="AF4325" s="15" t="str">
        <f t="shared" si="1"/>
        <v/>
      </c>
      <c r="AG4325" s="15" t="str">
        <f>IF(OR(AF4325="",AF4325="ERRO_CHAVE"),"",IFERROR(MATCH(AF4325,'Quitados DUPP'!$U$1:$U$6635,0),""))</f>
        <v/>
      </c>
      <c r="AH4325" s="15" t="str">
        <f t="shared" si="2"/>
        <v/>
      </c>
      <c r="AI4325" s="17" t="str">
        <f>IF(AG4325="","",INDEX('Quitados DUPP'!$G$1:$G$6635,AG4325))</f>
        <v/>
      </c>
      <c r="AJ4325" s="17" t="str">
        <f t="shared" si="3"/>
        <v/>
      </c>
    </row>
    <row r="4326" spans="31:36">
      <c r="AE4326" s="15" t="str">
        <f t="shared" si="0"/>
        <v/>
      </c>
      <c r="AF4326" s="15" t="str">
        <f t="shared" si="1"/>
        <v/>
      </c>
      <c r="AG4326" s="15" t="str">
        <f>IF(OR(AF4326="",AF4326="ERRO_CHAVE"),"",IFERROR(MATCH(AF4326,'Quitados DUPP'!$U$1:$U$6635,0),""))</f>
        <v/>
      </c>
      <c r="AH4326" s="15" t="str">
        <f t="shared" si="2"/>
        <v/>
      </c>
      <c r="AI4326" s="17" t="str">
        <f>IF(AG4326="","",INDEX('Quitados DUPP'!$G$1:$G$6635,AG4326))</f>
        <v/>
      </c>
      <c r="AJ4326" s="17" t="str">
        <f t="shared" si="3"/>
        <v/>
      </c>
    </row>
    <row r="4327" spans="31:36">
      <c r="AE4327" s="15" t="str">
        <f t="shared" si="0"/>
        <v/>
      </c>
      <c r="AF4327" s="15" t="str">
        <f t="shared" si="1"/>
        <v/>
      </c>
      <c r="AG4327" s="15" t="str">
        <f>IF(OR(AF4327="",AF4327="ERRO_CHAVE"),"",IFERROR(MATCH(AF4327,'Quitados DUPP'!$U$1:$U$6635,0),""))</f>
        <v/>
      </c>
      <c r="AH4327" s="15" t="str">
        <f t="shared" si="2"/>
        <v/>
      </c>
      <c r="AI4327" s="17" t="str">
        <f>IF(AG4327="","",INDEX('Quitados DUPP'!$G$1:$G$6635,AG4327))</f>
        <v/>
      </c>
      <c r="AJ4327" s="17" t="str">
        <f t="shared" si="3"/>
        <v/>
      </c>
    </row>
    <row r="4328" spans="31:36">
      <c r="AE4328" s="15" t="str">
        <f t="shared" si="0"/>
        <v/>
      </c>
      <c r="AF4328" s="15" t="str">
        <f t="shared" si="1"/>
        <v/>
      </c>
      <c r="AG4328" s="15" t="str">
        <f>IF(OR(AF4328="",AF4328="ERRO_CHAVE"),"",IFERROR(MATCH(AF4328,'Quitados DUPP'!$U$1:$U$6635,0),""))</f>
        <v/>
      </c>
      <c r="AH4328" s="15" t="str">
        <f t="shared" si="2"/>
        <v/>
      </c>
      <c r="AI4328" s="17" t="str">
        <f>IF(AG4328="","",INDEX('Quitados DUPP'!$G$1:$G$6635,AG4328))</f>
        <v/>
      </c>
      <c r="AJ4328" s="17" t="str">
        <f t="shared" si="3"/>
        <v/>
      </c>
    </row>
    <row r="4329" spans="31:36">
      <c r="AE4329" s="15" t="str">
        <f t="shared" si="0"/>
        <v/>
      </c>
      <c r="AF4329" s="15" t="str">
        <f t="shared" si="1"/>
        <v/>
      </c>
      <c r="AG4329" s="15" t="str">
        <f>IF(OR(AF4329="",AF4329="ERRO_CHAVE"),"",IFERROR(MATCH(AF4329,'Quitados DUPP'!$U$1:$U$6635,0),""))</f>
        <v/>
      </c>
      <c r="AH4329" s="15" t="str">
        <f t="shared" si="2"/>
        <v/>
      </c>
      <c r="AI4329" s="17" t="str">
        <f>IF(AG4329="","",INDEX('Quitados DUPP'!$G$1:$G$6635,AG4329))</f>
        <v/>
      </c>
      <c r="AJ4329" s="17" t="str">
        <f t="shared" si="3"/>
        <v/>
      </c>
    </row>
    <row r="4330" spans="31:36">
      <c r="AE4330" s="15" t="str">
        <f t="shared" si="0"/>
        <v/>
      </c>
      <c r="AF4330" s="15" t="str">
        <f t="shared" si="1"/>
        <v/>
      </c>
      <c r="AG4330" s="15" t="str">
        <f>IF(OR(AF4330="",AF4330="ERRO_CHAVE"),"",IFERROR(MATCH(AF4330,'Quitados DUPP'!$U$1:$U$6635,0),""))</f>
        <v/>
      </c>
      <c r="AH4330" s="15" t="str">
        <f t="shared" si="2"/>
        <v/>
      </c>
      <c r="AI4330" s="17" t="str">
        <f>IF(AG4330="","",INDEX('Quitados DUPP'!$G$1:$G$6635,AG4330))</f>
        <v/>
      </c>
      <c r="AJ4330" s="17" t="str">
        <f t="shared" si="3"/>
        <v/>
      </c>
    </row>
    <row r="4331" spans="31:36">
      <c r="AE4331" s="15" t="str">
        <f t="shared" si="0"/>
        <v/>
      </c>
      <c r="AF4331" s="15" t="str">
        <f t="shared" si="1"/>
        <v/>
      </c>
      <c r="AG4331" s="15" t="str">
        <f>IF(OR(AF4331="",AF4331="ERRO_CHAVE"),"",IFERROR(MATCH(AF4331,'Quitados DUPP'!$U$1:$U$6635,0),""))</f>
        <v/>
      </c>
      <c r="AH4331" s="15" t="str">
        <f t="shared" si="2"/>
        <v/>
      </c>
      <c r="AI4331" s="17" t="str">
        <f>IF(AG4331="","",INDEX('Quitados DUPP'!$G$1:$G$6635,AG4331))</f>
        <v/>
      </c>
      <c r="AJ4331" s="17" t="str">
        <f t="shared" si="3"/>
        <v/>
      </c>
    </row>
    <row r="4332" spans="31:36">
      <c r="AE4332" s="15" t="str">
        <f t="shared" si="0"/>
        <v/>
      </c>
      <c r="AF4332" s="15" t="str">
        <f t="shared" si="1"/>
        <v/>
      </c>
      <c r="AG4332" s="15" t="str">
        <f>IF(OR(AF4332="",AF4332="ERRO_CHAVE"),"",IFERROR(MATCH(AF4332,'Quitados DUPP'!$U$1:$U$6635,0),""))</f>
        <v/>
      </c>
      <c r="AH4332" s="15" t="str">
        <f t="shared" si="2"/>
        <v/>
      </c>
      <c r="AI4332" s="17" t="str">
        <f>IF(AG4332="","",INDEX('Quitados DUPP'!$G$1:$G$6635,AG4332))</f>
        <v/>
      </c>
      <c r="AJ4332" s="17" t="str">
        <f t="shared" si="3"/>
        <v/>
      </c>
    </row>
    <row r="4333" spans="31:36">
      <c r="AE4333" s="15" t="str">
        <f t="shared" si="0"/>
        <v/>
      </c>
      <c r="AF4333" s="15" t="str">
        <f t="shared" si="1"/>
        <v/>
      </c>
      <c r="AG4333" s="15" t="str">
        <f>IF(OR(AF4333="",AF4333="ERRO_CHAVE"),"",IFERROR(MATCH(AF4333,'Quitados DUPP'!$U$1:$U$6635,0),""))</f>
        <v/>
      </c>
      <c r="AH4333" s="15" t="str">
        <f t="shared" si="2"/>
        <v/>
      </c>
      <c r="AI4333" s="17" t="str">
        <f>IF(AG4333="","",INDEX('Quitados DUPP'!$G$1:$G$6635,AG4333))</f>
        <v/>
      </c>
      <c r="AJ4333" s="17" t="str">
        <f t="shared" si="3"/>
        <v/>
      </c>
    </row>
    <row r="4334" spans="31:36">
      <c r="AE4334" s="15" t="str">
        <f t="shared" si="0"/>
        <v/>
      </c>
      <c r="AF4334" s="15" t="str">
        <f t="shared" si="1"/>
        <v/>
      </c>
      <c r="AG4334" s="15" t="str">
        <f>IF(OR(AF4334="",AF4334="ERRO_CHAVE"),"",IFERROR(MATCH(AF4334,'Quitados DUPP'!$U$1:$U$6635,0),""))</f>
        <v/>
      </c>
      <c r="AH4334" s="15" t="str">
        <f t="shared" si="2"/>
        <v/>
      </c>
      <c r="AI4334" s="17" t="str">
        <f>IF(AG4334="","",INDEX('Quitados DUPP'!$G$1:$G$6635,AG4334))</f>
        <v/>
      </c>
      <c r="AJ4334" s="17" t="str">
        <f t="shared" si="3"/>
        <v/>
      </c>
    </row>
    <row r="4335" spans="31:36">
      <c r="AE4335" s="15" t="str">
        <f t="shared" si="0"/>
        <v/>
      </c>
      <c r="AF4335" s="15" t="str">
        <f t="shared" si="1"/>
        <v/>
      </c>
      <c r="AG4335" s="15" t="str">
        <f>IF(OR(AF4335="",AF4335="ERRO_CHAVE"),"",IFERROR(MATCH(AF4335,'Quitados DUPP'!$U$1:$U$6635,0),""))</f>
        <v/>
      </c>
      <c r="AH4335" s="15" t="str">
        <f t="shared" si="2"/>
        <v/>
      </c>
      <c r="AI4335" s="17" t="str">
        <f>IF(AG4335="","",INDEX('Quitados DUPP'!$G$1:$G$6635,AG4335))</f>
        <v/>
      </c>
      <c r="AJ4335" s="17" t="str">
        <f t="shared" si="3"/>
        <v/>
      </c>
    </row>
    <row r="4336" spans="31:36">
      <c r="AE4336" s="15" t="str">
        <f t="shared" si="0"/>
        <v/>
      </c>
      <c r="AF4336" s="15" t="str">
        <f t="shared" si="1"/>
        <v/>
      </c>
      <c r="AG4336" s="15" t="str">
        <f>IF(OR(AF4336="",AF4336="ERRO_CHAVE"),"",IFERROR(MATCH(AF4336,'Quitados DUPP'!$U$1:$U$6635,0),""))</f>
        <v/>
      </c>
      <c r="AH4336" s="15" t="str">
        <f t="shared" si="2"/>
        <v/>
      </c>
      <c r="AI4336" s="17" t="str">
        <f>IF(AG4336="","",INDEX('Quitados DUPP'!$G$1:$G$6635,AG4336))</f>
        <v/>
      </c>
      <c r="AJ4336" s="17" t="str">
        <f t="shared" si="3"/>
        <v/>
      </c>
    </row>
    <row r="4337" spans="31:36">
      <c r="AE4337" s="15" t="str">
        <f t="shared" si="0"/>
        <v/>
      </c>
      <c r="AF4337" s="15" t="str">
        <f t="shared" si="1"/>
        <v/>
      </c>
      <c r="AG4337" s="15" t="str">
        <f>IF(OR(AF4337="",AF4337="ERRO_CHAVE"),"",IFERROR(MATCH(AF4337,'Quitados DUPP'!$U$1:$U$6635,0),""))</f>
        <v/>
      </c>
      <c r="AH4337" s="15" t="str">
        <f t="shared" si="2"/>
        <v/>
      </c>
      <c r="AI4337" s="17" t="str">
        <f>IF(AG4337="","",INDEX('Quitados DUPP'!$G$1:$G$6635,AG4337))</f>
        <v/>
      </c>
      <c r="AJ4337" s="17" t="str">
        <f t="shared" si="3"/>
        <v/>
      </c>
    </row>
    <row r="4338" spans="31:36">
      <c r="AE4338" s="15" t="str">
        <f t="shared" si="0"/>
        <v/>
      </c>
      <c r="AF4338" s="15" t="str">
        <f t="shared" si="1"/>
        <v/>
      </c>
      <c r="AG4338" s="15" t="str">
        <f>IF(OR(AF4338="",AF4338="ERRO_CHAVE"),"",IFERROR(MATCH(AF4338,'Quitados DUPP'!$U$1:$U$6635,0),""))</f>
        <v/>
      </c>
      <c r="AH4338" s="15" t="str">
        <f t="shared" si="2"/>
        <v/>
      </c>
      <c r="AI4338" s="17" t="str">
        <f>IF(AG4338="","",INDEX('Quitados DUPP'!$G$1:$G$6635,AG4338))</f>
        <v/>
      </c>
      <c r="AJ4338" s="17" t="str">
        <f t="shared" si="3"/>
        <v/>
      </c>
    </row>
    <row r="4339" spans="31:36">
      <c r="AE4339" s="15" t="str">
        <f t="shared" si="0"/>
        <v/>
      </c>
      <c r="AF4339" s="15" t="str">
        <f t="shared" si="1"/>
        <v/>
      </c>
      <c r="AG4339" s="15" t="str">
        <f>IF(OR(AF4339="",AF4339="ERRO_CHAVE"),"",IFERROR(MATCH(AF4339,'Quitados DUPP'!$U$1:$U$6635,0),""))</f>
        <v/>
      </c>
      <c r="AH4339" s="15" t="str">
        <f t="shared" si="2"/>
        <v/>
      </c>
      <c r="AI4339" s="17" t="str">
        <f>IF(AG4339="","",INDEX('Quitados DUPP'!$G$1:$G$6635,AG4339))</f>
        <v/>
      </c>
      <c r="AJ4339" s="17" t="str">
        <f t="shared" si="3"/>
        <v/>
      </c>
    </row>
    <row r="4340" spans="31:36">
      <c r="AE4340" s="15" t="str">
        <f t="shared" si="0"/>
        <v/>
      </c>
      <c r="AF4340" s="15" t="str">
        <f t="shared" si="1"/>
        <v/>
      </c>
      <c r="AG4340" s="15" t="str">
        <f>IF(OR(AF4340="",AF4340="ERRO_CHAVE"),"",IFERROR(MATCH(AF4340,'Quitados DUPP'!$U$1:$U$6635,0),""))</f>
        <v/>
      </c>
      <c r="AH4340" s="15" t="str">
        <f t="shared" si="2"/>
        <v/>
      </c>
      <c r="AI4340" s="17" t="str">
        <f>IF(AG4340="","",INDEX('Quitados DUPP'!$G$1:$G$6635,AG4340))</f>
        <v/>
      </c>
      <c r="AJ4340" s="17" t="str">
        <f t="shared" si="3"/>
        <v/>
      </c>
    </row>
    <row r="4341" spans="31:36">
      <c r="AE4341" s="15" t="str">
        <f t="shared" si="0"/>
        <v/>
      </c>
      <c r="AF4341" s="15" t="str">
        <f t="shared" si="1"/>
        <v/>
      </c>
      <c r="AG4341" s="15" t="str">
        <f>IF(OR(AF4341="",AF4341="ERRO_CHAVE"),"",IFERROR(MATCH(AF4341,'Quitados DUPP'!$U$1:$U$6635,0),""))</f>
        <v/>
      </c>
      <c r="AH4341" s="15" t="str">
        <f t="shared" si="2"/>
        <v/>
      </c>
      <c r="AI4341" s="17" t="str">
        <f>IF(AG4341="","",INDEX('Quitados DUPP'!$G$1:$G$6635,AG4341))</f>
        <v/>
      </c>
      <c r="AJ4341" s="17" t="str">
        <f t="shared" si="3"/>
        <v/>
      </c>
    </row>
    <row r="4342" spans="31:36">
      <c r="AE4342" s="15" t="str">
        <f t="shared" si="0"/>
        <v/>
      </c>
      <c r="AF4342" s="15" t="str">
        <f t="shared" si="1"/>
        <v/>
      </c>
      <c r="AG4342" s="15" t="str">
        <f>IF(OR(AF4342="",AF4342="ERRO_CHAVE"),"",IFERROR(MATCH(AF4342,'Quitados DUPP'!$U$1:$U$6635,0),""))</f>
        <v/>
      </c>
      <c r="AH4342" s="15" t="str">
        <f t="shared" si="2"/>
        <v/>
      </c>
      <c r="AI4342" s="17" t="str">
        <f>IF(AG4342="","",INDEX('Quitados DUPP'!$G$1:$G$6635,AG4342))</f>
        <v/>
      </c>
      <c r="AJ4342" s="17" t="str">
        <f t="shared" si="3"/>
        <v/>
      </c>
    </row>
    <row r="4343" spans="31:36">
      <c r="AE4343" s="15" t="str">
        <f t="shared" si="0"/>
        <v/>
      </c>
      <c r="AF4343" s="15" t="str">
        <f t="shared" si="1"/>
        <v/>
      </c>
      <c r="AG4343" s="15" t="str">
        <f>IF(OR(AF4343="",AF4343="ERRO_CHAVE"),"",IFERROR(MATCH(AF4343,'Quitados DUPP'!$U$1:$U$6635,0),""))</f>
        <v/>
      </c>
      <c r="AH4343" s="15" t="str">
        <f t="shared" si="2"/>
        <v/>
      </c>
      <c r="AI4343" s="17" t="str">
        <f>IF(AG4343="","",INDEX('Quitados DUPP'!$G$1:$G$6635,AG4343))</f>
        <v/>
      </c>
      <c r="AJ4343" s="17" t="str">
        <f t="shared" si="3"/>
        <v/>
      </c>
    </row>
    <row r="4344" spans="31:36">
      <c r="AE4344" s="15" t="str">
        <f t="shared" si="0"/>
        <v/>
      </c>
      <c r="AF4344" s="15" t="str">
        <f t="shared" si="1"/>
        <v/>
      </c>
      <c r="AG4344" s="15" t="str">
        <f>IF(OR(AF4344="",AF4344="ERRO_CHAVE"),"",IFERROR(MATCH(AF4344,'Quitados DUPP'!$U$1:$U$6635,0),""))</f>
        <v/>
      </c>
      <c r="AH4344" s="15" t="str">
        <f t="shared" si="2"/>
        <v/>
      </c>
      <c r="AI4344" s="17" t="str">
        <f>IF(AG4344="","",INDEX('Quitados DUPP'!$G$1:$G$6635,AG4344))</f>
        <v/>
      </c>
      <c r="AJ4344" s="17" t="str">
        <f t="shared" si="3"/>
        <v/>
      </c>
    </row>
    <row r="4345" spans="31:36">
      <c r="AE4345" s="15" t="str">
        <f t="shared" si="0"/>
        <v/>
      </c>
      <c r="AF4345" s="15" t="str">
        <f t="shared" si="1"/>
        <v/>
      </c>
      <c r="AG4345" s="15" t="str">
        <f>IF(OR(AF4345="",AF4345="ERRO_CHAVE"),"",IFERROR(MATCH(AF4345,'Quitados DUPP'!$U$1:$U$6635,0),""))</f>
        <v/>
      </c>
      <c r="AH4345" s="15" t="str">
        <f t="shared" si="2"/>
        <v/>
      </c>
      <c r="AI4345" s="17" t="str">
        <f>IF(AG4345="","",INDEX('Quitados DUPP'!$G$1:$G$6635,AG4345))</f>
        <v/>
      </c>
      <c r="AJ4345" s="17" t="str">
        <f t="shared" si="3"/>
        <v/>
      </c>
    </row>
    <row r="4346" spans="31:36">
      <c r="AE4346" s="15" t="str">
        <f t="shared" si="0"/>
        <v/>
      </c>
      <c r="AF4346" s="15" t="str">
        <f t="shared" si="1"/>
        <v/>
      </c>
      <c r="AG4346" s="15" t="str">
        <f>IF(OR(AF4346="",AF4346="ERRO_CHAVE"),"",IFERROR(MATCH(AF4346,'Quitados DUPP'!$U$1:$U$6635,0),""))</f>
        <v/>
      </c>
      <c r="AH4346" s="15" t="str">
        <f t="shared" si="2"/>
        <v/>
      </c>
      <c r="AI4346" s="17" t="str">
        <f>IF(AG4346="","",INDEX('Quitados DUPP'!$G$1:$G$6635,AG4346))</f>
        <v/>
      </c>
      <c r="AJ4346" s="17" t="str">
        <f t="shared" si="3"/>
        <v/>
      </c>
    </row>
    <row r="4347" spans="31:36">
      <c r="AE4347" s="15" t="str">
        <f t="shared" si="0"/>
        <v/>
      </c>
      <c r="AF4347" s="15" t="str">
        <f t="shared" si="1"/>
        <v/>
      </c>
      <c r="AG4347" s="15" t="str">
        <f>IF(OR(AF4347="",AF4347="ERRO_CHAVE"),"",IFERROR(MATCH(AF4347,'Quitados DUPP'!$U$1:$U$6635,0),""))</f>
        <v/>
      </c>
      <c r="AH4347" s="15" t="str">
        <f t="shared" si="2"/>
        <v/>
      </c>
      <c r="AI4347" s="17" t="str">
        <f>IF(AG4347="","",INDEX('Quitados DUPP'!$G$1:$G$6635,AG4347))</f>
        <v/>
      </c>
      <c r="AJ4347" s="17" t="str">
        <f t="shared" si="3"/>
        <v/>
      </c>
    </row>
    <row r="4348" spans="31:36">
      <c r="AE4348" s="15" t="str">
        <f t="shared" si="0"/>
        <v/>
      </c>
      <c r="AF4348" s="15" t="str">
        <f t="shared" si="1"/>
        <v/>
      </c>
      <c r="AG4348" s="15" t="str">
        <f>IF(OR(AF4348="",AF4348="ERRO_CHAVE"),"",IFERROR(MATCH(AF4348,'Quitados DUPP'!$U$1:$U$6635,0),""))</f>
        <v/>
      </c>
      <c r="AH4348" s="15" t="str">
        <f t="shared" si="2"/>
        <v/>
      </c>
      <c r="AI4348" s="17" t="str">
        <f>IF(AG4348="","",INDEX('Quitados DUPP'!$G$1:$G$6635,AG4348))</f>
        <v/>
      </c>
      <c r="AJ4348" s="17" t="str">
        <f t="shared" si="3"/>
        <v/>
      </c>
    </row>
    <row r="4349" spans="31:36">
      <c r="AE4349" s="15" t="str">
        <f t="shared" si="0"/>
        <v/>
      </c>
      <c r="AF4349" s="15" t="str">
        <f t="shared" si="1"/>
        <v/>
      </c>
      <c r="AG4349" s="15" t="str">
        <f>IF(OR(AF4349="",AF4349="ERRO_CHAVE"),"",IFERROR(MATCH(AF4349,'Quitados DUPP'!$U$1:$U$6635,0),""))</f>
        <v/>
      </c>
      <c r="AH4349" s="15" t="str">
        <f t="shared" si="2"/>
        <v/>
      </c>
      <c r="AI4349" s="17" t="str">
        <f>IF(AG4349="","",INDEX('Quitados DUPP'!$G$1:$G$6635,AG4349))</f>
        <v/>
      </c>
      <c r="AJ4349" s="17" t="str">
        <f t="shared" si="3"/>
        <v/>
      </c>
    </row>
    <row r="4350" spans="31:36">
      <c r="AE4350" s="15" t="str">
        <f t="shared" si="0"/>
        <v/>
      </c>
      <c r="AF4350" s="15" t="str">
        <f t="shared" si="1"/>
        <v/>
      </c>
      <c r="AG4350" s="15" t="str">
        <f>IF(OR(AF4350="",AF4350="ERRO_CHAVE"),"",IFERROR(MATCH(AF4350,'Quitados DUPP'!$U$1:$U$6635,0),""))</f>
        <v/>
      </c>
      <c r="AH4350" s="15" t="str">
        <f t="shared" si="2"/>
        <v/>
      </c>
      <c r="AI4350" s="17" t="str">
        <f>IF(AG4350="","",INDEX('Quitados DUPP'!$G$1:$G$6635,AG4350))</f>
        <v/>
      </c>
      <c r="AJ4350" s="17" t="str">
        <f t="shared" si="3"/>
        <v/>
      </c>
    </row>
    <row r="4351" spans="31:36">
      <c r="AE4351" s="15" t="str">
        <f t="shared" si="0"/>
        <v/>
      </c>
      <c r="AF4351" s="15" t="str">
        <f t="shared" si="1"/>
        <v/>
      </c>
      <c r="AG4351" s="15" t="str">
        <f>IF(OR(AF4351="",AF4351="ERRO_CHAVE"),"",IFERROR(MATCH(AF4351,'Quitados DUPP'!$U$1:$U$6635,0),""))</f>
        <v/>
      </c>
      <c r="AH4351" s="15" t="str">
        <f t="shared" si="2"/>
        <v/>
      </c>
      <c r="AI4351" s="17" t="str">
        <f>IF(AG4351="","",INDEX('Quitados DUPP'!$G$1:$G$6635,AG4351))</f>
        <v/>
      </c>
      <c r="AJ4351" s="17" t="str">
        <f t="shared" si="3"/>
        <v/>
      </c>
    </row>
    <row r="4352" spans="31:36">
      <c r="AE4352" s="15" t="str">
        <f t="shared" si="0"/>
        <v/>
      </c>
      <c r="AF4352" s="15" t="str">
        <f t="shared" si="1"/>
        <v/>
      </c>
      <c r="AG4352" s="15" t="str">
        <f>IF(OR(AF4352="",AF4352="ERRO_CHAVE"),"",IFERROR(MATCH(AF4352,'Quitados DUPP'!$U$1:$U$6635,0),""))</f>
        <v/>
      </c>
      <c r="AH4352" s="15" t="str">
        <f t="shared" si="2"/>
        <v/>
      </c>
      <c r="AI4352" s="17" t="str">
        <f>IF(AG4352="","",INDEX('Quitados DUPP'!$G$1:$G$6635,AG4352))</f>
        <v/>
      </c>
      <c r="AJ4352" s="17" t="str">
        <f t="shared" si="3"/>
        <v/>
      </c>
    </row>
    <row r="4353" spans="31:36">
      <c r="AE4353" s="15" t="str">
        <f t="shared" si="0"/>
        <v/>
      </c>
      <c r="AF4353" s="15" t="str">
        <f t="shared" si="1"/>
        <v/>
      </c>
      <c r="AG4353" s="15" t="str">
        <f>IF(OR(AF4353="",AF4353="ERRO_CHAVE"),"",IFERROR(MATCH(AF4353,'Quitados DUPP'!$U$1:$U$6635,0),""))</f>
        <v/>
      </c>
      <c r="AH4353" s="15" t="str">
        <f t="shared" si="2"/>
        <v/>
      </c>
      <c r="AI4353" s="17" t="str">
        <f>IF(AG4353="","",INDEX('Quitados DUPP'!$G$1:$G$6635,AG4353))</f>
        <v/>
      </c>
      <c r="AJ4353" s="17" t="str">
        <f t="shared" si="3"/>
        <v/>
      </c>
    </row>
    <row r="4354" spans="31:36">
      <c r="AE4354" s="15" t="str">
        <f t="shared" si="0"/>
        <v/>
      </c>
      <c r="AF4354" s="15" t="str">
        <f t="shared" si="1"/>
        <v/>
      </c>
      <c r="AG4354" s="15" t="str">
        <f>IF(OR(AF4354="",AF4354="ERRO_CHAVE"),"",IFERROR(MATCH(AF4354,'Quitados DUPP'!$U$1:$U$6635,0),""))</f>
        <v/>
      </c>
      <c r="AH4354" s="15" t="str">
        <f t="shared" si="2"/>
        <v/>
      </c>
      <c r="AI4354" s="17" t="str">
        <f>IF(AG4354="","",INDEX('Quitados DUPP'!$G$1:$G$6635,AG4354))</f>
        <v/>
      </c>
      <c r="AJ4354" s="17" t="str">
        <f t="shared" si="3"/>
        <v/>
      </c>
    </row>
    <row r="4355" spans="31:36">
      <c r="AE4355" s="15" t="str">
        <f t="shared" si="0"/>
        <v/>
      </c>
      <c r="AF4355" s="15" t="str">
        <f t="shared" si="1"/>
        <v/>
      </c>
      <c r="AG4355" s="15" t="str">
        <f>IF(OR(AF4355="",AF4355="ERRO_CHAVE"),"",IFERROR(MATCH(AF4355,'Quitados DUPP'!$U$1:$U$6635,0),""))</f>
        <v/>
      </c>
      <c r="AH4355" s="15" t="str">
        <f t="shared" si="2"/>
        <v/>
      </c>
      <c r="AI4355" s="17" t="str">
        <f>IF(AG4355="","",INDEX('Quitados DUPP'!$G$1:$G$6635,AG4355))</f>
        <v/>
      </c>
      <c r="AJ4355" s="17" t="str">
        <f t="shared" si="3"/>
        <v/>
      </c>
    </row>
    <row r="4356" spans="31:36">
      <c r="AE4356" s="15" t="str">
        <f t="shared" si="0"/>
        <v/>
      </c>
      <c r="AF4356" s="15" t="str">
        <f t="shared" si="1"/>
        <v/>
      </c>
      <c r="AG4356" s="15" t="str">
        <f>IF(OR(AF4356="",AF4356="ERRO_CHAVE"),"",IFERROR(MATCH(AF4356,'Quitados DUPP'!$U$1:$U$6635,0),""))</f>
        <v/>
      </c>
      <c r="AH4356" s="15" t="str">
        <f t="shared" si="2"/>
        <v/>
      </c>
      <c r="AI4356" s="17" t="str">
        <f>IF(AG4356="","",INDEX('Quitados DUPP'!$G$1:$G$6635,AG4356))</f>
        <v/>
      </c>
      <c r="AJ4356" s="17" t="str">
        <f t="shared" si="3"/>
        <v/>
      </c>
    </row>
    <row r="4357" spans="31:36">
      <c r="AE4357" s="15" t="str">
        <f t="shared" si="0"/>
        <v/>
      </c>
      <c r="AF4357" s="15" t="str">
        <f t="shared" si="1"/>
        <v/>
      </c>
      <c r="AG4357" s="15" t="str">
        <f>IF(OR(AF4357="",AF4357="ERRO_CHAVE"),"",IFERROR(MATCH(AF4357,'Quitados DUPP'!$U$1:$U$6635,0),""))</f>
        <v/>
      </c>
      <c r="AH4357" s="15" t="str">
        <f t="shared" si="2"/>
        <v/>
      </c>
      <c r="AI4357" s="17" t="str">
        <f>IF(AG4357="","",INDEX('Quitados DUPP'!$G$1:$G$6635,AG4357))</f>
        <v/>
      </c>
      <c r="AJ4357" s="17" t="str">
        <f t="shared" si="3"/>
        <v/>
      </c>
    </row>
    <row r="4358" spans="31:36">
      <c r="AE4358" s="15" t="str">
        <f t="shared" si="0"/>
        <v/>
      </c>
      <c r="AF4358" s="15" t="str">
        <f t="shared" si="1"/>
        <v/>
      </c>
      <c r="AG4358" s="15" t="str">
        <f>IF(OR(AF4358="",AF4358="ERRO_CHAVE"),"",IFERROR(MATCH(AF4358,'Quitados DUPP'!$U$1:$U$6635,0),""))</f>
        <v/>
      </c>
      <c r="AH4358" s="15" t="str">
        <f t="shared" si="2"/>
        <v/>
      </c>
      <c r="AI4358" s="17" t="str">
        <f>IF(AG4358="","",INDEX('Quitados DUPP'!$G$1:$G$6635,AG4358))</f>
        <v/>
      </c>
      <c r="AJ4358" s="17" t="str">
        <f t="shared" si="3"/>
        <v/>
      </c>
    </row>
    <row r="4359" spans="31:36">
      <c r="AE4359" s="15" t="str">
        <f t="shared" si="0"/>
        <v/>
      </c>
      <c r="AF4359" s="15" t="str">
        <f t="shared" si="1"/>
        <v/>
      </c>
      <c r="AG4359" s="15" t="str">
        <f>IF(OR(AF4359="",AF4359="ERRO_CHAVE"),"",IFERROR(MATCH(AF4359,'Quitados DUPP'!$U$1:$U$6635,0),""))</f>
        <v/>
      </c>
      <c r="AH4359" s="15" t="str">
        <f t="shared" si="2"/>
        <v/>
      </c>
      <c r="AI4359" s="17" t="str">
        <f>IF(AG4359="","",INDEX('Quitados DUPP'!$G$1:$G$6635,AG4359))</f>
        <v/>
      </c>
      <c r="AJ4359" s="17" t="str">
        <f t="shared" si="3"/>
        <v/>
      </c>
    </row>
    <row r="4360" spans="31:36">
      <c r="AE4360" s="15" t="str">
        <f t="shared" si="0"/>
        <v/>
      </c>
      <c r="AF4360" s="15" t="str">
        <f t="shared" si="1"/>
        <v/>
      </c>
      <c r="AG4360" s="15" t="str">
        <f>IF(OR(AF4360="",AF4360="ERRO_CHAVE"),"",IFERROR(MATCH(AF4360,'Quitados DUPP'!$U$1:$U$6635,0),""))</f>
        <v/>
      </c>
      <c r="AH4360" s="15" t="str">
        <f t="shared" si="2"/>
        <v/>
      </c>
      <c r="AI4360" s="17" t="str">
        <f>IF(AG4360="","",INDEX('Quitados DUPP'!$G$1:$G$6635,AG4360))</f>
        <v/>
      </c>
      <c r="AJ4360" s="17" t="str">
        <f t="shared" si="3"/>
        <v/>
      </c>
    </row>
    <row r="4361" spans="31:36">
      <c r="AE4361" s="15" t="str">
        <f t="shared" si="0"/>
        <v/>
      </c>
      <c r="AF4361" s="15" t="str">
        <f t="shared" si="1"/>
        <v/>
      </c>
      <c r="AG4361" s="15" t="str">
        <f>IF(OR(AF4361="",AF4361="ERRO_CHAVE"),"",IFERROR(MATCH(AF4361,'Quitados DUPP'!$U$1:$U$6635,0),""))</f>
        <v/>
      </c>
      <c r="AH4361" s="15" t="str">
        <f t="shared" si="2"/>
        <v/>
      </c>
      <c r="AI4361" s="17" t="str">
        <f>IF(AG4361="","",INDEX('Quitados DUPP'!$G$1:$G$6635,AG4361))</f>
        <v/>
      </c>
      <c r="AJ4361" s="17" t="str">
        <f t="shared" si="3"/>
        <v/>
      </c>
    </row>
    <row r="4362" spans="31:36">
      <c r="AE4362" s="15" t="str">
        <f t="shared" si="0"/>
        <v/>
      </c>
      <c r="AF4362" s="15" t="str">
        <f t="shared" si="1"/>
        <v/>
      </c>
      <c r="AG4362" s="15" t="str">
        <f>IF(OR(AF4362="",AF4362="ERRO_CHAVE"),"",IFERROR(MATCH(AF4362,'Quitados DUPP'!$U$1:$U$6635,0),""))</f>
        <v/>
      </c>
      <c r="AH4362" s="15" t="str">
        <f t="shared" si="2"/>
        <v/>
      </c>
      <c r="AI4362" s="17" t="str">
        <f>IF(AG4362="","",INDEX('Quitados DUPP'!$G$1:$G$6635,AG4362))</f>
        <v/>
      </c>
      <c r="AJ4362" s="17" t="str">
        <f t="shared" si="3"/>
        <v/>
      </c>
    </row>
    <row r="4363" spans="31:36">
      <c r="AE4363" s="15" t="str">
        <f t="shared" si="0"/>
        <v/>
      </c>
      <c r="AF4363" s="15" t="str">
        <f t="shared" si="1"/>
        <v/>
      </c>
      <c r="AG4363" s="15" t="str">
        <f>IF(OR(AF4363="",AF4363="ERRO_CHAVE"),"",IFERROR(MATCH(AF4363,'Quitados DUPP'!$U$1:$U$6635,0),""))</f>
        <v/>
      </c>
      <c r="AH4363" s="15" t="str">
        <f t="shared" si="2"/>
        <v/>
      </c>
      <c r="AI4363" s="17" t="str">
        <f>IF(AG4363="","",INDEX('Quitados DUPP'!$G$1:$G$6635,AG4363))</f>
        <v/>
      </c>
      <c r="AJ4363" s="17" t="str">
        <f t="shared" si="3"/>
        <v/>
      </c>
    </row>
    <row r="4364" spans="31:36">
      <c r="AE4364" s="15" t="str">
        <f t="shared" si="0"/>
        <v/>
      </c>
      <c r="AF4364" s="15" t="str">
        <f t="shared" si="1"/>
        <v/>
      </c>
      <c r="AG4364" s="15" t="str">
        <f>IF(OR(AF4364="",AF4364="ERRO_CHAVE"),"",IFERROR(MATCH(AF4364,'Quitados DUPP'!$U$1:$U$6635,0),""))</f>
        <v/>
      </c>
      <c r="AH4364" s="15" t="str">
        <f t="shared" si="2"/>
        <v/>
      </c>
      <c r="AI4364" s="17" t="str">
        <f>IF(AG4364="","",INDEX('Quitados DUPP'!$G$1:$G$6635,AG4364))</f>
        <v/>
      </c>
      <c r="AJ4364" s="17" t="str">
        <f t="shared" si="3"/>
        <v/>
      </c>
    </row>
    <row r="4365" spans="31:36">
      <c r="AE4365" s="15" t="str">
        <f t="shared" si="0"/>
        <v/>
      </c>
      <c r="AF4365" s="15" t="str">
        <f t="shared" si="1"/>
        <v/>
      </c>
      <c r="AG4365" s="15" t="str">
        <f>IF(OR(AF4365="",AF4365="ERRO_CHAVE"),"",IFERROR(MATCH(AF4365,'Quitados DUPP'!$U$1:$U$6635,0),""))</f>
        <v/>
      </c>
      <c r="AH4365" s="15" t="str">
        <f t="shared" si="2"/>
        <v/>
      </c>
      <c r="AI4365" s="17" t="str">
        <f>IF(AG4365="","",INDEX('Quitados DUPP'!$G$1:$G$6635,AG4365))</f>
        <v/>
      </c>
      <c r="AJ4365" s="17" t="str">
        <f t="shared" si="3"/>
        <v/>
      </c>
    </row>
    <row r="4366" spans="31:36">
      <c r="AE4366" s="15" t="str">
        <f t="shared" si="0"/>
        <v/>
      </c>
      <c r="AF4366" s="15" t="str">
        <f t="shared" si="1"/>
        <v/>
      </c>
      <c r="AG4366" s="15" t="str">
        <f>IF(OR(AF4366="",AF4366="ERRO_CHAVE"),"",IFERROR(MATCH(AF4366,'Quitados DUPP'!$U$1:$U$6635,0),""))</f>
        <v/>
      </c>
      <c r="AH4366" s="15" t="str">
        <f t="shared" si="2"/>
        <v/>
      </c>
      <c r="AI4366" s="17" t="str">
        <f>IF(AG4366="","",INDEX('Quitados DUPP'!$G$1:$G$6635,AG4366))</f>
        <v/>
      </c>
      <c r="AJ4366" s="17" t="str">
        <f t="shared" si="3"/>
        <v/>
      </c>
    </row>
    <row r="4367" spans="31:36">
      <c r="AE4367" s="15" t="str">
        <f t="shared" si="0"/>
        <v/>
      </c>
      <c r="AF4367" s="15" t="str">
        <f t="shared" si="1"/>
        <v/>
      </c>
      <c r="AG4367" s="15" t="str">
        <f>IF(OR(AF4367="",AF4367="ERRO_CHAVE"),"",IFERROR(MATCH(AF4367,'Quitados DUPP'!$U$1:$U$6635,0),""))</f>
        <v/>
      </c>
      <c r="AH4367" s="15" t="str">
        <f t="shared" si="2"/>
        <v/>
      </c>
      <c r="AI4367" s="17" t="str">
        <f>IF(AG4367="","",INDEX('Quitados DUPP'!$G$1:$G$6635,AG4367))</f>
        <v/>
      </c>
      <c r="AJ4367" s="17" t="str">
        <f t="shared" si="3"/>
        <v/>
      </c>
    </row>
    <row r="4368" spans="31:36">
      <c r="AE4368" s="15" t="str">
        <f t="shared" si="0"/>
        <v/>
      </c>
      <c r="AF4368" s="15" t="str">
        <f t="shared" si="1"/>
        <v/>
      </c>
      <c r="AG4368" s="15" t="str">
        <f>IF(OR(AF4368="",AF4368="ERRO_CHAVE"),"",IFERROR(MATCH(AF4368,'Quitados DUPP'!$U$1:$U$6635,0),""))</f>
        <v/>
      </c>
      <c r="AH4368" s="15" t="str">
        <f t="shared" si="2"/>
        <v/>
      </c>
      <c r="AI4368" s="17" t="str">
        <f>IF(AG4368="","",INDEX('Quitados DUPP'!$G$1:$G$6635,AG4368))</f>
        <v/>
      </c>
      <c r="AJ4368" s="17" t="str">
        <f t="shared" si="3"/>
        <v/>
      </c>
    </row>
    <row r="4369" spans="31:36">
      <c r="AE4369" s="15" t="str">
        <f t="shared" si="0"/>
        <v/>
      </c>
      <c r="AF4369" s="15" t="str">
        <f t="shared" si="1"/>
        <v/>
      </c>
      <c r="AG4369" s="15" t="str">
        <f>IF(OR(AF4369="",AF4369="ERRO_CHAVE"),"",IFERROR(MATCH(AF4369,'Quitados DUPP'!$U$1:$U$6635,0),""))</f>
        <v/>
      </c>
      <c r="AH4369" s="15" t="str">
        <f t="shared" si="2"/>
        <v/>
      </c>
      <c r="AI4369" s="17" t="str">
        <f>IF(AG4369="","",INDEX('Quitados DUPP'!$G$1:$G$6635,AG4369))</f>
        <v/>
      </c>
      <c r="AJ4369" s="17" t="str">
        <f t="shared" si="3"/>
        <v/>
      </c>
    </row>
    <row r="4370" spans="31:36">
      <c r="AE4370" s="15" t="str">
        <f t="shared" si="0"/>
        <v/>
      </c>
      <c r="AF4370" s="15" t="str">
        <f t="shared" si="1"/>
        <v/>
      </c>
      <c r="AG4370" s="15" t="str">
        <f>IF(OR(AF4370="",AF4370="ERRO_CHAVE"),"",IFERROR(MATCH(AF4370,'Quitados DUPP'!$U$1:$U$6635,0),""))</f>
        <v/>
      </c>
      <c r="AH4370" s="15" t="str">
        <f t="shared" si="2"/>
        <v/>
      </c>
      <c r="AI4370" s="17" t="str">
        <f>IF(AG4370="","",INDEX('Quitados DUPP'!$G$1:$G$6635,AG4370))</f>
        <v/>
      </c>
      <c r="AJ4370" s="17" t="str">
        <f t="shared" si="3"/>
        <v/>
      </c>
    </row>
    <row r="4371" spans="31:36">
      <c r="AE4371" s="15" t="str">
        <f t="shared" si="0"/>
        <v/>
      </c>
      <c r="AF4371" s="15" t="str">
        <f t="shared" si="1"/>
        <v/>
      </c>
      <c r="AG4371" s="15" t="str">
        <f>IF(OR(AF4371="",AF4371="ERRO_CHAVE"),"",IFERROR(MATCH(AF4371,'Quitados DUPP'!$U$1:$U$6635,0),""))</f>
        <v/>
      </c>
      <c r="AH4371" s="15" t="str">
        <f t="shared" si="2"/>
        <v/>
      </c>
      <c r="AI4371" s="17" t="str">
        <f>IF(AG4371="","",INDEX('Quitados DUPP'!$G$1:$G$6635,AG4371))</f>
        <v/>
      </c>
      <c r="AJ4371" s="17" t="str">
        <f t="shared" si="3"/>
        <v/>
      </c>
    </row>
    <row r="4372" spans="31:36">
      <c r="AE4372" s="15" t="str">
        <f t="shared" si="0"/>
        <v/>
      </c>
      <c r="AF4372" s="15" t="str">
        <f t="shared" si="1"/>
        <v/>
      </c>
      <c r="AG4372" s="15" t="str">
        <f>IF(OR(AF4372="",AF4372="ERRO_CHAVE"),"",IFERROR(MATCH(AF4372,'Quitados DUPP'!$U$1:$U$6635,0),""))</f>
        <v/>
      </c>
      <c r="AH4372" s="15" t="str">
        <f t="shared" si="2"/>
        <v/>
      </c>
      <c r="AI4372" s="17" t="str">
        <f>IF(AG4372="","",INDEX('Quitados DUPP'!$G$1:$G$6635,AG4372))</f>
        <v/>
      </c>
      <c r="AJ4372" s="17" t="str">
        <f t="shared" si="3"/>
        <v/>
      </c>
    </row>
    <row r="4373" spans="31:36">
      <c r="AE4373" s="15" t="str">
        <f t="shared" si="0"/>
        <v/>
      </c>
      <c r="AF4373" s="15" t="str">
        <f t="shared" si="1"/>
        <v/>
      </c>
      <c r="AG4373" s="15" t="str">
        <f>IF(OR(AF4373="",AF4373="ERRO_CHAVE"),"",IFERROR(MATCH(AF4373,'Quitados DUPP'!$U$1:$U$6635,0),""))</f>
        <v/>
      </c>
      <c r="AH4373" s="15" t="str">
        <f t="shared" si="2"/>
        <v/>
      </c>
      <c r="AI4373" s="17" t="str">
        <f>IF(AG4373="","",INDEX('Quitados DUPP'!$G$1:$G$6635,AG4373))</f>
        <v/>
      </c>
      <c r="AJ4373" s="17" t="str">
        <f t="shared" si="3"/>
        <v/>
      </c>
    </row>
    <row r="4374" spans="31:36">
      <c r="AE4374" s="15" t="str">
        <f t="shared" si="0"/>
        <v/>
      </c>
      <c r="AF4374" s="15" t="str">
        <f t="shared" si="1"/>
        <v/>
      </c>
      <c r="AG4374" s="15" t="str">
        <f>IF(OR(AF4374="",AF4374="ERRO_CHAVE"),"",IFERROR(MATCH(AF4374,'Quitados DUPP'!$U$1:$U$6635,0),""))</f>
        <v/>
      </c>
      <c r="AH4374" s="15" t="str">
        <f t="shared" si="2"/>
        <v/>
      </c>
      <c r="AI4374" s="17" t="str">
        <f>IF(AG4374="","",INDEX('Quitados DUPP'!$G$1:$G$6635,AG4374))</f>
        <v/>
      </c>
      <c r="AJ4374" s="17" t="str">
        <f t="shared" si="3"/>
        <v/>
      </c>
    </row>
    <row r="4375" spans="31:36">
      <c r="AE4375" s="15" t="str">
        <f t="shared" si="0"/>
        <v/>
      </c>
      <c r="AF4375" s="15" t="str">
        <f t="shared" si="1"/>
        <v/>
      </c>
      <c r="AG4375" s="15" t="str">
        <f>IF(OR(AF4375="",AF4375="ERRO_CHAVE"),"",IFERROR(MATCH(AF4375,'Quitados DUPP'!$U$1:$U$6635,0),""))</f>
        <v/>
      </c>
      <c r="AH4375" s="15" t="str">
        <f t="shared" si="2"/>
        <v/>
      </c>
      <c r="AI4375" s="17" t="str">
        <f>IF(AG4375="","",INDEX('Quitados DUPP'!$G$1:$G$6635,AG4375))</f>
        <v/>
      </c>
      <c r="AJ4375" s="17" t="str">
        <f t="shared" si="3"/>
        <v/>
      </c>
    </row>
    <row r="4376" spans="31:36">
      <c r="AE4376" s="15" t="str">
        <f t="shared" si="0"/>
        <v/>
      </c>
      <c r="AF4376" s="15" t="str">
        <f t="shared" si="1"/>
        <v/>
      </c>
      <c r="AG4376" s="15" t="str">
        <f>IF(OR(AF4376="",AF4376="ERRO_CHAVE"),"",IFERROR(MATCH(AF4376,'Quitados DUPP'!$U$1:$U$6635,0),""))</f>
        <v/>
      </c>
      <c r="AH4376" s="15" t="str">
        <f t="shared" si="2"/>
        <v/>
      </c>
      <c r="AI4376" s="17" t="str">
        <f>IF(AG4376="","",INDEX('Quitados DUPP'!$G$1:$G$6635,AG4376))</f>
        <v/>
      </c>
      <c r="AJ4376" s="17" t="str">
        <f t="shared" si="3"/>
        <v/>
      </c>
    </row>
    <row r="4377" spans="31:36">
      <c r="AE4377" s="15" t="str">
        <f t="shared" si="0"/>
        <v/>
      </c>
      <c r="AF4377" s="15" t="str">
        <f t="shared" si="1"/>
        <v/>
      </c>
      <c r="AG4377" s="15" t="str">
        <f>IF(OR(AF4377="",AF4377="ERRO_CHAVE"),"",IFERROR(MATCH(AF4377,'Quitados DUPP'!$U$1:$U$6635,0),""))</f>
        <v/>
      </c>
      <c r="AH4377" s="15" t="str">
        <f t="shared" si="2"/>
        <v/>
      </c>
      <c r="AI4377" s="17" t="str">
        <f>IF(AG4377="","",INDEX('Quitados DUPP'!$G$1:$G$6635,AG4377))</f>
        <v/>
      </c>
      <c r="AJ4377" s="17" t="str">
        <f t="shared" si="3"/>
        <v/>
      </c>
    </row>
    <row r="4378" spans="31:36">
      <c r="AE4378" s="15" t="str">
        <f t="shared" si="0"/>
        <v/>
      </c>
      <c r="AF4378" s="15" t="str">
        <f t="shared" si="1"/>
        <v/>
      </c>
      <c r="AG4378" s="15" t="str">
        <f>IF(OR(AF4378="",AF4378="ERRO_CHAVE"),"",IFERROR(MATCH(AF4378,'Quitados DUPP'!$U$1:$U$6635,0),""))</f>
        <v/>
      </c>
      <c r="AH4378" s="15" t="str">
        <f t="shared" si="2"/>
        <v/>
      </c>
      <c r="AI4378" s="17" t="str">
        <f>IF(AG4378="","",INDEX('Quitados DUPP'!$G$1:$G$6635,AG4378))</f>
        <v/>
      </c>
      <c r="AJ4378" s="17" t="str">
        <f t="shared" si="3"/>
        <v/>
      </c>
    </row>
    <row r="4379" spans="31:36">
      <c r="AE4379" s="15" t="str">
        <f t="shared" si="0"/>
        <v/>
      </c>
      <c r="AF4379" s="15" t="str">
        <f t="shared" si="1"/>
        <v/>
      </c>
      <c r="AG4379" s="15" t="str">
        <f>IF(OR(AF4379="",AF4379="ERRO_CHAVE"),"",IFERROR(MATCH(AF4379,'Quitados DUPP'!$U$1:$U$6635,0),""))</f>
        <v/>
      </c>
      <c r="AH4379" s="15" t="str">
        <f t="shared" si="2"/>
        <v/>
      </c>
      <c r="AI4379" s="17" t="str">
        <f>IF(AG4379="","",INDEX('Quitados DUPP'!$G$1:$G$6635,AG4379))</f>
        <v/>
      </c>
      <c r="AJ4379" s="17" t="str">
        <f t="shared" si="3"/>
        <v/>
      </c>
    </row>
    <row r="4380" spans="31:36">
      <c r="AE4380" s="15" t="str">
        <f t="shared" si="0"/>
        <v/>
      </c>
      <c r="AF4380" s="15" t="str">
        <f t="shared" si="1"/>
        <v/>
      </c>
      <c r="AG4380" s="15" t="str">
        <f>IF(OR(AF4380="",AF4380="ERRO_CHAVE"),"",IFERROR(MATCH(AF4380,'Quitados DUPP'!$U$1:$U$6635,0),""))</f>
        <v/>
      </c>
      <c r="AH4380" s="15" t="str">
        <f t="shared" si="2"/>
        <v/>
      </c>
      <c r="AI4380" s="17" t="str">
        <f>IF(AG4380="","",INDEX('Quitados DUPP'!$G$1:$G$6635,AG4380))</f>
        <v/>
      </c>
      <c r="AJ4380" s="17" t="str">
        <f t="shared" si="3"/>
        <v/>
      </c>
    </row>
    <row r="4381" spans="31:36">
      <c r="AE4381" s="15" t="str">
        <f t="shared" si="0"/>
        <v/>
      </c>
      <c r="AF4381" s="15" t="str">
        <f t="shared" si="1"/>
        <v/>
      </c>
      <c r="AG4381" s="15" t="str">
        <f>IF(OR(AF4381="",AF4381="ERRO_CHAVE"),"",IFERROR(MATCH(AF4381,'Quitados DUPP'!$U$1:$U$6635,0),""))</f>
        <v/>
      </c>
      <c r="AH4381" s="15" t="str">
        <f t="shared" si="2"/>
        <v/>
      </c>
      <c r="AI4381" s="17" t="str">
        <f>IF(AG4381="","",INDEX('Quitados DUPP'!$G$1:$G$6635,AG4381))</f>
        <v/>
      </c>
      <c r="AJ4381" s="17" t="str">
        <f t="shared" si="3"/>
        <v/>
      </c>
    </row>
    <row r="4382" spans="31:36">
      <c r="AE4382" s="15" t="str">
        <f t="shared" si="0"/>
        <v/>
      </c>
      <c r="AF4382" s="15" t="str">
        <f t="shared" si="1"/>
        <v/>
      </c>
      <c r="AG4382" s="15" t="str">
        <f>IF(OR(AF4382="",AF4382="ERRO_CHAVE"),"",IFERROR(MATCH(AF4382,'Quitados DUPP'!$U$1:$U$6635,0),""))</f>
        <v/>
      </c>
      <c r="AH4382" s="15" t="str">
        <f t="shared" si="2"/>
        <v/>
      </c>
      <c r="AI4382" s="17" t="str">
        <f>IF(AG4382="","",INDEX('Quitados DUPP'!$G$1:$G$6635,AG4382))</f>
        <v/>
      </c>
      <c r="AJ4382" s="17" t="str">
        <f t="shared" si="3"/>
        <v/>
      </c>
    </row>
    <row r="4383" spans="31:36">
      <c r="AE4383" s="15" t="str">
        <f t="shared" si="0"/>
        <v/>
      </c>
      <c r="AF4383" s="15" t="str">
        <f t="shared" si="1"/>
        <v/>
      </c>
      <c r="AG4383" s="15" t="str">
        <f>IF(OR(AF4383="",AF4383="ERRO_CHAVE"),"",IFERROR(MATCH(AF4383,'Quitados DUPP'!$U$1:$U$6635,0),""))</f>
        <v/>
      </c>
      <c r="AH4383" s="15" t="str">
        <f t="shared" si="2"/>
        <v/>
      </c>
      <c r="AI4383" s="17" t="str">
        <f>IF(AG4383="","",INDEX('Quitados DUPP'!$G$1:$G$6635,AG4383))</f>
        <v/>
      </c>
      <c r="AJ4383" s="17" t="str">
        <f t="shared" si="3"/>
        <v/>
      </c>
    </row>
    <row r="4384" spans="31:36">
      <c r="AE4384" s="15" t="str">
        <f t="shared" si="0"/>
        <v/>
      </c>
      <c r="AF4384" s="15" t="str">
        <f t="shared" si="1"/>
        <v/>
      </c>
      <c r="AG4384" s="15" t="str">
        <f>IF(OR(AF4384="",AF4384="ERRO_CHAVE"),"",IFERROR(MATCH(AF4384,'Quitados DUPP'!$U$1:$U$6635,0),""))</f>
        <v/>
      </c>
      <c r="AH4384" s="15" t="str">
        <f t="shared" si="2"/>
        <v/>
      </c>
      <c r="AI4384" s="17" t="str">
        <f>IF(AG4384="","",INDEX('Quitados DUPP'!$G$1:$G$6635,AG4384))</f>
        <v/>
      </c>
      <c r="AJ4384" s="17" t="str">
        <f t="shared" si="3"/>
        <v/>
      </c>
    </row>
    <row r="4385" spans="31:36">
      <c r="AE4385" s="15" t="str">
        <f t="shared" si="0"/>
        <v/>
      </c>
      <c r="AF4385" s="15" t="str">
        <f t="shared" si="1"/>
        <v/>
      </c>
      <c r="AG4385" s="15" t="str">
        <f>IF(OR(AF4385="",AF4385="ERRO_CHAVE"),"",IFERROR(MATCH(AF4385,'Quitados DUPP'!$U$1:$U$6635,0),""))</f>
        <v/>
      </c>
      <c r="AH4385" s="15" t="str">
        <f t="shared" si="2"/>
        <v/>
      </c>
      <c r="AI4385" s="17" t="str">
        <f>IF(AG4385="","",INDEX('Quitados DUPP'!$G$1:$G$6635,AG4385))</f>
        <v/>
      </c>
      <c r="AJ4385" s="17" t="str">
        <f t="shared" si="3"/>
        <v/>
      </c>
    </row>
    <row r="4386" spans="31:36">
      <c r="AE4386" s="15" t="str">
        <f t="shared" si="0"/>
        <v/>
      </c>
      <c r="AF4386" s="15" t="str">
        <f t="shared" si="1"/>
        <v/>
      </c>
      <c r="AG4386" s="15" t="str">
        <f>IF(OR(AF4386="",AF4386="ERRO_CHAVE"),"",IFERROR(MATCH(AF4386,'Quitados DUPP'!$U$1:$U$6635,0),""))</f>
        <v/>
      </c>
      <c r="AH4386" s="15" t="str">
        <f t="shared" si="2"/>
        <v/>
      </c>
      <c r="AI4386" s="17" t="str">
        <f>IF(AG4386="","",INDEX('Quitados DUPP'!$G$1:$G$6635,AG4386))</f>
        <v/>
      </c>
      <c r="AJ4386" s="17" t="str">
        <f t="shared" si="3"/>
        <v/>
      </c>
    </row>
    <row r="4387" spans="31:36">
      <c r="AE4387" s="15" t="str">
        <f t="shared" si="0"/>
        <v/>
      </c>
      <c r="AF4387" s="15" t="str">
        <f t="shared" si="1"/>
        <v/>
      </c>
      <c r="AG4387" s="15" t="str">
        <f>IF(OR(AF4387="",AF4387="ERRO_CHAVE"),"",IFERROR(MATCH(AF4387,'Quitados DUPP'!$U$1:$U$6635,0),""))</f>
        <v/>
      </c>
      <c r="AH4387" s="15" t="str">
        <f t="shared" si="2"/>
        <v/>
      </c>
      <c r="AI4387" s="17" t="str">
        <f>IF(AG4387="","",INDEX('Quitados DUPP'!$G$1:$G$6635,AG4387))</f>
        <v/>
      </c>
      <c r="AJ4387" s="17" t="str">
        <f t="shared" si="3"/>
        <v/>
      </c>
    </row>
    <row r="4388" spans="31:36">
      <c r="AE4388" s="15" t="str">
        <f t="shared" si="0"/>
        <v/>
      </c>
      <c r="AF4388" s="15" t="str">
        <f t="shared" si="1"/>
        <v/>
      </c>
      <c r="AG4388" s="15" t="str">
        <f>IF(OR(AF4388="",AF4388="ERRO_CHAVE"),"",IFERROR(MATCH(AF4388,'Quitados DUPP'!$U$1:$U$6635,0),""))</f>
        <v/>
      </c>
      <c r="AH4388" s="15" t="str">
        <f t="shared" si="2"/>
        <v/>
      </c>
      <c r="AI4388" s="17" t="str">
        <f>IF(AG4388="","",INDEX('Quitados DUPP'!$G$1:$G$6635,AG4388))</f>
        <v/>
      </c>
      <c r="AJ4388" s="17" t="str">
        <f t="shared" si="3"/>
        <v/>
      </c>
    </row>
    <row r="4389" spans="31:36">
      <c r="AE4389" s="15" t="str">
        <f t="shared" si="0"/>
        <v/>
      </c>
      <c r="AF4389" s="15" t="str">
        <f t="shared" si="1"/>
        <v/>
      </c>
      <c r="AG4389" s="15" t="str">
        <f>IF(OR(AF4389="",AF4389="ERRO_CHAVE"),"",IFERROR(MATCH(AF4389,'Quitados DUPP'!$U$1:$U$6635,0),""))</f>
        <v/>
      </c>
      <c r="AH4389" s="15" t="str">
        <f t="shared" si="2"/>
        <v/>
      </c>
      <c r="AI4389" s="17" t="str">
        <f>IF(AG4389="","",INDEX('Quitados DUPP'!$G$1:$G$6635,AG4389))</f>
        <v/>
      </c>
      <c r="AJ4389" s="17" t="str">
        <f t="shared" si="3"/>
        <v/>
      </c>
    </row>
    <row r="4390" spans="31:36">
      <c r="AE4390" s="15" t="str">
        <f t="shared" si="0"/>
        <v/>
      </c>
      <c r="AF4390" s="15" t="str">
        <f t="shared" si="1"/>
        <v/>
      </c>
      <c r="AG4390" s="15" t="str">
        <f>IF(OR(AF4390="",AF4390="ERRO_CHAVE"),"",IFERROR(MATCH(AF4390,'Quitados DUPP'!$U$1:$U$6635,0),""))</f>
        <v/>
      </c>
      <c r="AH4390" s="15" t="str">
        <f t="shared" si="2"/>
        <v/>
      </c>
      <c r="AI4390" s="17" t="str">
        <f>IF(AG4390="","",INDEX('Quitados DUPP'!$G$1:$G$6635,AG4390))</f>
        <v/>
      </c>
      <c r="AJ4390" s="17" t="str">
        <f t="shared" si="3"/>
        <v/>
      </c>
    </row>
    <row r="4391" spans="31:36">
      <c r="AE4391" s="15" t="str">
        <f t="shared" si="0"/>
        <v/>
      </c>
      <c r="AF4391" s="15" t="str">
        <f t="shared" si="1"/>
        <v/>
      </c>
      <c r="AG4391" s="15" t="str">
        <f>IF(OR(AF4391="",AF4391="ERRO_CHAVE"),"",IFERROR(MATCH(AF4391,'Quitados DUPP'!$U$1:$U$6635,0),""))</f>
        <v/>
      </c>
      <c r="AH4391" s="15" t="str">
        <f t="shared" si="2"/>
        <v/>
      </c>
      <c r="AI4391" s="17" t="str">
        <f>IF(AG4391="","",INDEX('Quitados DUPP'!$G$1:$G$6635,AG4391))</f>
        <v/>
      </c>
      <c r="AJ4391" s="17" t="str">
        <f t="shared" si="3"/>
        <v/>
      </c>
    </row>
    <row r="4392" spans="31:36">
      <c r="AE4392" s="15" t="str">
        <f t="shared" si="0"/>
        <v/>
      </c>
      <c r="AF4392" s="15" t="str">
        <f t="shared" si="1"/>
        <v/>
      </c>
      <c r="AG4392" s="15" t="str">
        <f>IF(OR(AF4392="",AF4392="ERRO_CHAVE"),"",IFERROR(MATCH(AF4392,'Quitados DUPP'!$U$1:$U$6635,0),""))</f>
        <v/>
      </c>
      <c r="AH4392" s="15" t="str">
        <f t="shared" si="2"/>
        <v/>
      </c>
      <c r="AI4392" s="17" t="str">
        <f>IF(AG4392="","",INDEX('Quitados DUPP'!$G$1:$G$6635,AG4392))</f>
        <v/>
      </c>
      <c r="AJ4392" s="17" t="str">
        <f t="shared" si="3"/>
        <v/>
      </c>
    </row>
    <row r="4393" spans="31:36">
      <c r="AE4393" s="15" t="str">
        <f t="shared" si="0"/>
        <v/>
      </c>
      <c r="AF4393" s="15" t="str">
        <f t="shared" si="1"/>
        <v/>
      </c>
      <c r="AG4393" s="15" t="str">
        <f>IF(OR(AF4393="",AF4393="ERRO_CHAVE"),"",IFERROR(MATCH(AF4393,'Quitados DUPP'!$U$1:$U$6635,0),""))</f>
        <v/>
      </c>
      <c r="AH4393" s="15" t="str">
        <f t="shared" si="2"/>
        <v/>
      </c>
      <c r="AI4393" s="17" t="str">
        <f>IF(AG4393="","",INDEX('Quitados DUPP'!$G$1:$G$6635,AG4393))</f>
        <v/>
      </c>
      <c r="AJ4393" s="17" t="str">
        <f t="shared" si="3"/>
        <v/>
      </c>
    </row>
    <row r="4394" spans="31:36">
      <c r="AE4394" s="15" t="str">
        <f t="shared" si="0"/>
        <v/>
      </c>
      <c r="AF4394" s="15" t="str">
        <f t="shared" si="1"/>
        <v/>
      </c>
      <c r="AG4394" s="15" t="str">
        <f>IF(OR(AF4394="",AF4394="ERRO_CHAVE"),"",IFERROR(MATCH(AF4394,'Quitados DUPP'!$U$1:$U$6635,0),""))</f>
        <v/>
      </c>
      <c r="AH4394" s="15" t="str">
        <f t="shared" si="2"/>
        <v/>
      </c>
      <c r="AI4394" s="17" t="str">
        <f>IF(AG4394="","",INDEX('Quitados DUPP'!$G$1:$G$6635,AG4394))</f>
        <v/>
      </c>
      <c r="AJ4394" s="17" t="str">
        <f t="shared" si="3"/>
        <v/>
      </c>
    </row>
    <row r="4395" spans="31:36">
      <c r="AE4395" s="15" t="str">
        <f t="shared" si="0"/>
        <v/>
      </c>
      <c r="AF4395" s="15" t="str">
        <f t="shared" si="1"/>
        <v/>
      </c>
      <c r="AG4395" s="15" t="str">
        <f>IF(OR(AF4395="",AF4395="ERRO_CHAVE"),"",IFERROR(MATCH(AF4395,'Quitados DUPP'!$U$1:$U$6635,0),""))</f>
        <v/>
      </c>
      <c r="AH4395" s="15" t="str">
        <f t="shared" si="2"/>
        <v/>
      </c>
      <c r="AI4395" s="17" t="str">
        <f>IF(AG4395="","",INDEX('Quitados DUPP'!$G$1:$G$6635,AG4395))</f>
        <v/>
      </c>
      <c r="AJ4395" s="17" t="str">
        <f t="shared" si="3"/>
        <v/>
      </c>
    </row>
    <row r="4396" spans="31:36">
      <c r="AE4396" s="15" t="str">
        <f t="shared" si="0"/>
        <v/>
      </c>
      <c r="AF4396" s="15" t="str">
        <f t="shared" si="1"/>
        <v/>
      </c>
      <c r="AG4396" s="15" t="str">
        <f>IF(OR(AF4396="",AF4396="ERRO_CHAVE"),"",IFERROR(MATCH(AF4396,'Quitados DUPP'!$U$1:$U$6635,0),""))</f>
        <v/>
      </c>
      <c r="AH4396" s="15" t="str">
        <f t="shared" si="2"/>
        <v/>
      </c>
      <c r="AI4396" s="17" t="str">
        <f>IF(AG4396="","",INDEX('Quitados DUPP'!$G$1:$G$6635,AG4396))</f>
        <v/>
      </c>
      <c r="AJ4396" s="17" t="str">
        <f t="shared" si="3"/>
        <v/>
      </c>
    </row>
    <row r="4397" spans="31:36">
      <c r="AE4397" s="15" t="str">
        <f t="shared" si="0"/>
        <v/>
      </c>
      <c r="AF4397" s="15" t="str">
        <f t="shared" si="1"/>
        <v/>
      </c>
      <c r="AG4397" s="15" t="str">
        <f>IF(OR(AF4397="",AF4397="ERRO_CHAVE"),"",IFERROR(MATCH(AF4397,'Quitados DUPP'!$U$1:$U$6635,0),""))</f>
        <v/>
      </c>
      <c r="AH4397" s="15" t="str">
        <f t="shared" si="2"/>
        <v/>
      </c>
      <c r="AI4397" s="17" t="str">
        <f>IF(AG4397="","",INDEX('Quitados DUPP'!$G$1:$G$6635,AG4397))</f>
        <v/>
      </c>
      <c r="AJ4397" s="17" t="str">
        <f t="shared" si="3"/>
        <v/>
      </c>
    </row>
    <row r="4398" spans="31:36">
      <c r="AE4398" s="15" t="str">
        <f t="shared" si="0"/>
        <v/>
      </c>
      <c r="AF4398" s="15" t="str">
        <f t="shared" si="1"/>
        <v/>
      </c>
      <c r="AG4398" s="15" t="str">
        <f>IF(OR(AF4398="",AF4398="ERRO_CHAVE"),"",IFERROR(MATCH(AF4398,'Quitados DUPP'!$U$1:$U$6635,0),""))</f>
        <v/>
      </c>
      <c r="AH4398" s="15" t="str">
        <f t="shared" si="2"/>
        <v/>
      </c>
      <c r="AI4398" s="17" t="str">
        <f>IF(AG4398="","",INDEX('Quitados DUPP'!$G$1:$G$6635,AG4398))</f>
        <v/>
      </c>
      <c r="AJ4398" s="17" t="str">
        <f t="shared" si="3"/>
        <v/>
      </c>
    </row>
    <row r="4399" spans="31:36">
      <c r="AE4399" s="15" t="str">
        <f t="shared" si="0"/>
        <v/>
      </c>
      <c r="AF4399" s="15" t="str">
        <f t="shared" si="1"/>
        <v/>
      </c>
      <c r="AG4399" s="15" t="str">
        <f>IF(OR(AF4399="",AF4399="ERRO_CHAVE"),"",IFERROR(MATCH(AF4399,'Quitados DUPP'!$U$1:$U$6635,0),""))</f>
        <v/>
      </c>
      <c r="AH4399" s="15" t="str">
        <f t="shared" si="2"/>
        <v/>
      </c>
      <c r="AI4399" s="17" t="str">
        <f>IF(AG4399="","",INDEX('Quitados DUPP'!$G$1:$G$6635,AG4399))</f>
        <v/>
      </c>
      <c r="AJ4399" s="17" t="str">
        <f t="shared" si="3"/>
        <v/>
      </c>
    </row>
    <row r="4400" spans="31:36">
      <c r="AE4400" s="15" t="str">
        <f t="shared" si="0"/>
        <v/>
      </c>
      <c r="AF4400" s="15" t="str">
        <f t="shared" si="1"/>
        <v/>
      </c>
      <c r="AG4400" s="15" t="str">
        <f>IF(OR(AF4400="",AF4400="ERRO_CHAVE"),"",IFERROR(MATCH(AF4400,'Quitados DUPP'!$U$1:$U$6635,0),""))</f>
        <v/>
      </c>
      <c r="AH4400" s="15" t="str">
        <f t="shared" si="2"/>
        <v/>
      </c>
      <c r="AI4400" s="17" t="str">
        <f>IF(AG4400="","",INDEX('Quitados DUPP'!$G$1:$G$6635,AG4400))</f>
        <v/>
      </c>
      <c r="AJ4400" s="17" t="str">
        <f t="shared" si="3"/>
        <v/>
      </c>
    </row>
    <row r="4401" spans="31:36">
      <c r="AE4401" s="15" t="str">
        <f t="shared" si="0"/>
        <v/>
      </c>
      <c r="AF4401" s="15" t="str">
        <f t="shared" si="1"/>
        <v/>
      </c>
      <c r="AG4401" s="15" t="str">
        <f>IF(OR(AF4401="",AF4401="ERRO_CHAVE"),"",IFERROR(MATCH(AF4401,'Quitados DUPP'!$U$1:$U$6635,0),""))</f>
        <v/>
      </c>
      <c r="AH4401" s="15" t="str">
        <f t="shared" si="2"/>
        <v/>
      </c>
      <c r="AI4401" s="17" t="str">
        <f>IF(AG4401="","",INDEX('Quitados DUPP'!$G$1:$G$6635,AG4401))</f>
        <v/>
      </c>
      <c r="AJ4401" s="17" t="str">
        <f t="shared" si="3"/>
        <v/>
      </c>
    </row>
    <row r="4402" spans="31:36">
      <c r="AE4402" s="15" t="str">
        <f t="shared" si="0"/>
        <v/>
      </c>
      <c r="AF4402" s="15" t="str">
        <f t="shared" si="1"/>
        <v/>
      </c>
      <c r="AG4402" s="15" t="str">
        <f>IF(OR(AF4402="",AF4402="ERRO_CHAVE"),"",IFERROR(MATCH(AF4402,'Quitados DUPP'!$U$1:$U$6635,0),""))</f>
        <v/>
      </c>
      <c r="AH4402" s="15" t="str">
        <f t="shared" si="2"/>
        <v/>
      </c>
      <c r="AI4402" s="17" t="str">
        <f>IF(AG4402="","",INDEX('Quitados DUPP'!$G$1:$G$6635,AG4402))</f>
        <v/>
      </c>
      <c r="AJ4402" s="17" t="str">
        <f t="shared" si="3"/>
        <v/>
      </c>
    </row>
    <row r="4403" spans="31:36">
      <c r="AE4403" s="15" t="str">
        <f t="shared" si="0"/>
        <v/>
      </c>
      <c r="AF4403" s="15" t="str">
        <f t="shared" si="1"/>
        <v/>
      </c>
      <c r="AG4403" s="15" t="str">
        <f>IF(OR(AF4403="",AF4403="ERRO_CHAVE"),"",IFERROR(MATCH(AF4403,'Quitados DUPP'!$U$1:$U$6635,0),""))</f>
        <v/>
      </c>
      <c r="AH4403" s="15" t="str">
        <f t="shared" si="2"/>
        <v/>
      </c>
      <c r="AI4403" s="17" t="str">
        <f>IF(AG4403="","",INDEX('Quitados DUPP'!$G$1:$G$6635,AG4403))</f>
        <v/>
      </c>
      <c r="AJ4403" s="17" t="str">
        <f t="shared" si="3"/>
        <v/>
      </c>
    </row>
    <row r="4404" spans="31:36">
      <c r="AE4404" s="15" t="str">
        <f t="shared" si="0"/>
        <v/>
      </c>
      <c r="AF4404" s="15" t="str">
        <f t="shared" si="1"/>
        <v/>
      </c>
      <c r="AG4404" s="15" t="str">
        <f>IF(OR(AF4404="",AF4404="ERRO_CHAVE"),"",IFERROR(MATCH(AF4404,'Quitados DUPP'!$U$1:$U$6635,0),""))</f>
        <v/>
      </c>
      <c r="AH4404" s="15" t="str">
        <f t="shared" si="2"/>
        <v/>
      </c>
      <c r="AI4404" s="17" t="str">
        <f>IF(AG4404="","",INDEX('Quitados DUPP'!$G$1:$G$6635,AG4404))</f>
        <v/>
      </c>
      <c r="AJ4404" s="17" t="str">
        <f t="shared" si="3"/>
        <v/>
      </c>
    </row>
    <row r="4405" spans="31:36">
      <c r="AE4405" s="15" t="str">
        <f t="shared" si="0"/>
        <v/>
      </c>
      <c r="AF4405" s="15" t="str">
        <f t="shared" si="1"/>
        <v/>
      </c>
      <c r="AG4405" s="15" t="str">
        <f>IF(OR(AF4405="",AF4405="ERRO_CHAVE"),"",IFERROR(MATCH(AF4405,'Quitados DUPP'!$U$1:$U$6635,0),""))</f>
        <v/>
      </c>
      <c r="AH4405" s="15" t="str">
        <f t="shared" si="2"/>
        <v/>
      </c>
      <c r="AI4405" s="17" t="str">
        <f>IF(AG4405="","",INDEX('Quitados DUPP'!$G$1:$G$6635,AG4405))</f>
        <v/>
      </c>
      <c r="AJ4405" s="17" t="str">
        <f t="shared" si="3"/>
        <v/>
      </c>
    </row>
    <row r="4406" spans="31:36">
      <c r="AE4406" s="15" t="str">
        <f t="shared" si="0"/>
        <v/>
      </c>
      <c r="AF4406" s="15" t="str">
        <f t="shared" si="1"/>
        <v/>
      </c>
      <c r="AG4406" s="15" t="str">
        <f>IF(OR(AF4406="",AF4406="ERRO_CHAVE"),"",IFERROR(MATCH(AF4406,'Quitados DUPP'!$U$1:$U$6635,0),""))</f>
        <v/>
      </c>
      <c r="AH4406" s="15" t="str">
        <f t="shared" si="2"/>
        <v/>
      </c>
      <c r="AI4406" s="17" t="str">
        <f>IF(AG4406="","",INDEX('Quitados DUPP'!$G$1:$G$6635,AG4406))</f>
        <v/>
      </c>
      <c r="AJ4406" s="17" t="str">
        <f t="shared" si="3"/>
        <v/>
      </c>
    </row>
    <row r="4407" spans="31:36">
      <c r="AE4407" s="15" t="str">
        <f t="shared" si="0"/>
        <v/>
      </c>
      <c r="AF4407" s="15" t="str">
        <f t="shared" si="1"/>
        <v/>
      </c>
      <c r="AG4407" s="15" t="str">
        <f>IF(OR(AF4407="",AF4407="ERRO_CHAVE"),"",IFERROR(MATCH(AF4407,'Quitados DUPP'!$U$1:$U$6635,0),""))</f>
        <v/>
      </c>
      <c r="AH4407" s="15" t="str">
        <f t="shared" si="2"/>
        <v/>
      </c>
      <c r="AI4407" s="17" t="str">
        <f>IF(AG4407="","",INDEX('Quitados DUPP'!$G$1:$G$6635,AG4407))</f>
        <v/>
      </c>
      <c r="AJ4407" s="17" t="str">
        <f t="shared" si="3"/>
        <v/>
      </c>
    </row>
    <row r="4408" spans="31:36">
      <c r="AE4408" s="15" t="str">
        <f t="shared" si="0"/>
        <v/>
      </c>
      <c r="AF4408" s="15" t="str">
        <f t="shared" si="1"/>
        <v/>
      </c>
      <c r="AG4408" s="15" t="str">
        <f>IF(OR(AF4408="",AF4408="ERRO_CHAVE"),"",IFERROR(MATCH(AF4408,'Quitados DUPP'!$U$1:$U$6635,0),""))</f>
        <v/>
      </c>
      <c r="AH4408" s="15" t="str">
        <f t="shared" si="2"/>
        <v/>
      </c>
      <c r="AI4408" s="17" t="str">
        <f>IF(AG4408="","",INDEX('Quitados DUPP'!$G$1:$G$6635,AG4408))</f>
        <v/>
      </c>
      <c r="AJ4408" s="17" t="str">
        <f t="shared" si="3"/>
        <v/>
      </c>
    </row>
    <row r="4409" spans="31:36">
      <c r="AE4409" s="15" t="str">
        <f t="shared" si="0"/>
        <v/>
      </c>
      <c r="AF4409" s="15" t="str">
        <f t="shared" si="1"/>
        <v/>
      </c>
      <c r="AG4409" s="15" t="str">
        <f>IF(OR(AF4409="",AF4409="ERRO_CHAVE"),"",IFERROR(MATCH(AF4409,'Quitados DUPP'!$U$1:$U$6635,0),""))</f>
        <v/>
      </c>
      <c r="AH4409" s="15" t="str">
        <f t="shared" si="2"/>
        <v/>
      </c>
      <c r="AI4409" s="17" t="str">
        <f>IF(AG4409="","",INDEX('Quitados DUPP'!$G$1:$G$6635,AG4409))</f>
        <v/>
      </c>
      <c r="AJ4409" s="17" t="str">
        <f t="shared" si="3"/>
        <v/>
      </c>
    </row>
    <row r="4410" spans="31:36">
      <c r="AE4410" s="15" t="str">
        <f t="shared" si="0"/>
        <v/>
      </c>
      <c r="AF4410" s="15" t="str">
        <f t="shared" si="1"/>
        <v/>
      </c>
      <c r="AG4410" s="15" t="str">
        <f>IF(OR(AF4410="",AF4410="ERRO_CHAVE"),"",IFERROR(MATCH(AF4410,'Quitados DUPP'!$U$1:$U$6635,0),""))</f>
        <v/>
      </c>
      <c r="AH4410" s="15" t="str">
        <f t="shared" si="2"/>
        <v/>
      </c>
      <c r="AI4410" s="17" t="str">
        <f>IF(AG4410="","",INDEX('Quitados DUPP'!$G$1:$G$6635,AG4410))</f>
        <v/>
      </c>
      <c r="AJ4410" s="17" t="str">
        <f t="shared" si="3"/>
        <v/>
      </c>
    </row>
    <row r="4411" spans="31:36">
      <c r="AE4411" s="15" t="str">
        <f t="shared" si="0"/>
        <v/>
      </c>
      <c r="AF4411" s="15" t="str">
        <f t="shared" si="1"/>
        <v/>
      </c>
      <c r="AG4411" s="15" t="str">
        <f>IF(OR(AF4411="",AF4411="ERRO_CHAVE"),"",IFERROR(MATCH(AF4411,'Quitados DUPP'!$U$1:$U$6635,0),""))</f>
        <v/>
      </c>
      <c r="AH4411" s="15" t="str">
        <f t="shared" si="2"/>
        <v/>
      </c>
      <c r="AI4411" s="17" t="str">
        <f>IF(AG4411="","",INDEX('Quitados DUPP'!$G$1:$G$6635,AG4411))</f>
        <v/>
      </c>
      <c r="AJ4411" s="17" t="str">
        <f t="shared" si="3"/>
        <v/>
      </c>
    </row>
    <row r="4412" spans="31:36">
      <c r="AE4412" s="15" t="str">
        <f t="shared" si="0"/>
        <v/>
      </c>
      <c r="AF4412" s="15" t="str">
        <f t="shared" si="1"/>
        <v/>
      </c>
      <c r="AG4412" s="15" t="str">
        <f>IF(OR(AF4412="",AF4412="ERRO_CHAVE"),"",IFERROR(MATCH(AF4412,'Quitados DUPP'!$U$1:$U$6635,0),""))</f>
        <v/>
      </c>
      <c r="AH4412" s="15" t="str">
        <f t="shared" si="2"/>
        <v/>
      </c>
      <c r="AI4412" s="17" t="str">
        <f>IF(AG4412="","",INDEX('Quitados DUPP'!$G$1:$G$6635,AG4412))</f>
        <v/>
      </c>
      <c r="AJ4412" s="17" t="str">
        <f t="shared" si="3"/>
        <v/>
      </c>
    </row>
    <row r="4413" spans="31:36">
      <c r="AE4413" s="15" t="str">
        <f t="shared" si="0"/>
        <v/>
      </c>
      <c r="AF4413" s="15" t="str">
        <f t="shared" si="1"/>
        <v/>
      </c>
      <c r="AG4413" s="15" t="str">
        <f>IF(OR(AF4413="",AF4413="ERRO_CHAVE"),"",IFERROR(MATCH(AF4413,'Quitados DUPP'!$U$1:$U$6635,0),""))</f>
        <v/>
      </c>
      <c r="AH4413" s="15" t="str">
        <f t="shared" si="2"/>
        <v/>
      </c>
      <c r="AI4413" s="17" t="str">
        <f>IF(AG4413="","",INDEX('Quitados DUPP'!$G$1:$G$6635,AG4413))</f>
        <v/>
      </c>
      <c r="AJ4413" s="17" t="str">
        <f t="shared" si="3"/>
        <v/>
      </c>
    </row>
    <row r="4414" spans="31:36">
      <c r="AE4414" s="15" t="str">
        <f t="shared" si="0"/>
        <v/>
      </c>
      <c r="AF4414" s="15" t="str">
        <f t="shared" si="1"/>
        <v/>
      </c>
      <c r="AG4414" s="15" t="str">
        <f>IF(OR(AF4414="",AF4414="ERRO_CHAVE"),"",IFERROR(MATCH(AF4414,'Quitados DUPP'!$U$1:$U$6635,0),""))</f>
        <v/>
      </c>
      <c r="AH4414" s="15" t="str">
        <f t="shared" si="2"/>
        <v/>
      </c>
      <c r="AI4414" s="17" t="str">
        <f>IF(AG4414="","",INDEX('Quitados DUPP'!$G$1:$G$6635,AG4414))</f>
        <v/>
      </c>
      <c r="AJ4414" s="17" t="str">
        <f t="shared" si="3"/>
        <v/>
      </c>
    </row>
    <row r="4415" spans="31:36">
      <c r="AE4415" s="15" t="str">
        <f t="shared" si="0"/>
        <v/>
      </c>
      <c r="AF4415" s="15" t="str">
        <f t="shared" si="1"/>
        <v/>
      </c>
      <c r="AG4415" s="15" t="str">
        <f>IF(OR(AF4415="",AF4415="ERRO_CHAVE"),"",IFERROR(MATCH(AF4415,'Quitados DUPP'!$U$1:$U$6635,0),""))</f>
        <v/>
      </c>
      <c r="AH4415" s="15" t="str">
        <f t="shared" si="2"/>
        <v/>
      </c>
      <c r="AI4415" s="17" t="str">
        <f>IF(AG4415="","",INDEX('Quitados DUPP'!$G$1:$G$6635,AG4415))</f>
        <v/>
      </c>
      <c r="AJ4415" s="17" t="str">
        <f t="shared" si="3"/>
        <v/>
      </c>
    </row>
    <row r="4416" spans="31:36">
      <c r="AE4416" s="15" t="str">
        <f t="shared" si="0"/>
        <v/>
      </c>
      <c r="AF4416" s="15" t="str">
        <f t="shared" si="1"/>
        <v/>
      </c>
      <c r="AG4416" s="15" t="str">
        <f>IF(OR(AF4416="",AF4416="ERRO_CHAVE"),"",IFERROR(MATCH(AF4416,'Quitados DUPP'!$U$1:$U$6635,0),""))</f>
        <v/>
      </c>
      <c r="AH4416" s="15" t="str">
        <f t="shared" si="2"/>
        <v/>
      </c>
      <c r="AI4416" s="17" t="str">
        <f>IF(AG4416="","",INDEX('Quitados DUPP'!$G$1:$G$6635,AG4416))</f>
        <v/>
      </c>
      <c r="AJ4416" s="17" t="str">
        <f t="shared" si="3"/>
        <v/>
      </c>
    </row>
    <row r="4417" spans="31:36">
      <c r="AE4417" s="15" t="str">
        <f t="shared" si="0"/>
        <v/>
      </c>
      <c r="AF4417" s="15" t="str">
        <f t="shared" si="1"/>
        <v/>
      </c>
      <c r="AG4417" s="15" t="str">
        <f>IF(OR(AF4417="",AF4417="ERRO_CHAVE"),"",IFERROR(MATCH(AF4417,'Quitados DUPP'!$U$1:$U$6635,0),""))</f>
        <v/>
      </c>
      <c r="AH4417" s="15" t="str">
        <f t="shared" si="2"/>
        <v/>
      </c>
      <c r="AI4417" s="17" t="str">
        <f>IF(AG4417="","",INDEX('Quitados DUPP'!$G$1:$G$6635,AG4417))</f>
        <v/>
      </c>
      <c r="AJ4417" s="17" t="str">
        <f t="shared" si="3"/>
        <v/>
      </c>
    </row>
    <row r="4418" spans="31:36">
      <c r="AE4418" s="15" t="str">
        <f t="shared" si="0"/>
        <v/>
      </c>
      <c r="AF4418" s="15" t="str">
        <f t="shared" si="1"/>
        <v/>
      </c>
      <c r="AG4418" s="15" t="str">
        <f>IF(OR(AF4418="",AF4418="ERRO_CHAVE"),"",IFERROR(MATCH(AF4418,'Quitados DUPP'!$U$1:$U$6635,0),""))</f>
        <v/>
      </c>
      <c r="AH4418" s="15" t="str">
        <f t="shared" si="2"/>
        <v/>
      </c>
      <c r="AI4418" s="17" t="str">
        <f>IF(AG4418="","",INDEX('Quitados DUPP'!$G$1:$G$6635,AG4418))</f>
        <v/>
      </c>
      <c r="AJ4418" s="17" t="str">
        <f t="shared" si="3"/>
        <v/>
      </c>
    </row>
    <row r="4419" spans="31:36">
      <c r="AE4419" s="15" t="str">
        <f t="shared" si="0"/>
        <v/>
      </c>
      <c r="AF4419" s="15" t="str">
        <f t="shared" si="1"/>
        <v/>
      </c>
      <c r="AG4419" s="15" t="str">
        <f>IF(OR(AF4419="",AF4419="ERRO_CHAVE"),"",IFERROR(MATCH(AF4419,'Quitados DUPP'!$U$1:$U$6635,0),""))</f>
        <v/>
      </c>
      <c r="AH4419" s="15" t="str">
        <f t="shared" si="2"/>
        <v/>
      </c>
      <c r="AI4419" s="17" t="str">
        <f>IF(AG4419="","",INDEX('Quitados DUPP'!$G$1:$G$6635,AG4419))</f>
        <v/>
      </c>
      <c r="AJ4419" s="17" t="str">
        <f t="shared" si="3"/>
        <v/>
      </c>
    </row>
    <row r="4420" spans="31:36">
      <c r="AE4420" s="15" t="str">
        <f t="shared" si="0"/>
        <v/>
      </c>
      <c r="AF4420" s="15" t="str">
        <f t="shared" si="1"/>
        <v/>
      </c>
      <c r="AG4420" s="15" t="str">
        <f>IF(OR(AF4420="",AF4420="ERRO_CHAVE"),"",IFERROR(MATCH(AF4420,'Quitados DUPP'!$U$1:$U$6635,0),""))</f>
        <v/>
      </c>
      <c r="AH4420" s="15" t="str">
        <f t="shared" si="2"/>
        <v/>
      </c>
      <c r="AI4420" s="17" t="str">
        <f>IF(AG4420="","",INDEX('Quitados DUPP'!$G$1:$G$6635,AG4420))</f>
        <v/>
      </c>
      <c r="AJ4420" s="17" t="str">
        <f t="shared" si="3"/>
        <v/>
      </c>
    </row>
    <row r="4421" spans="31:36">
      <c r="AE4421" s="15" t="str">
        <f t="shared" si="0"/>
        <v/>
      </c>
      <c r="AF4421" s="15" t="str">
        <f t="shared" si="1"/>
        <v/>
      </c>
      <c r="AG4421" s="15" t="str">
        <f>IF(OR(AF4421="",AF4421="ERRO_CHAVE"),"",IFERROR(MATCH(AF4421,'Quitados DUPP'!$U$1:$U$6635,0),""))</f>
        <v/>
      </c>
      <c r="AH4421" s="15" t="str">
        <f t="shared" si="2"/>
        <v/>
      </c>
      <c r="AI4421" s="17" t="str">
        <f>IF(AG4421="","",INDEX('Quitados DUPP'!$G$1:$G$6635,AG4421))</f>
        <v/>
      </c>
      <c r="AJ4421" s="17" t="str">
        <f t="shared" si="3"/>
        <v/>
      </c>
    </row>
    <row r="4422" spans="31:36">
      <c r="AE4422" s="15" t="str">
        <f t="shared" si="0"/>
        <v/>
      </c>
      <c r="AF4422" s="15" t="str">
        <f t="shared" si="1"/>
        <v/>
      </c>
      <c r="AG4422" s="15" t="str">
        <f>IF(OR(AF4422="",AF4422="ERRO_CHAVE"),"",IFERROR(MATCH(AF4422,'Quitados DUPP'!$U$1:$U$6635,0),""))</f>
        <v/>
      </c>
      <c r="AH4422" s="15" t="str">
        <f t="shared" si="2"/>
        <v/>
      </c>
      <c r="AI4422" s="17" t="str">
        <f>IF(AG4422="","",INDEX('Quitados DUPP'!$G$1:$G$6635,AG4422))</f>
        <v/>
      </c>
      <c r="AJ4422" s="17" t="str">
        <f t="shared" si="3"/>
        <v/>
      </c>
    </row>
    <row r="4423" spans="31:36">
      <c r="AE4423" s="15" t="str">
        <f t="shared" si="0"/>
        <v/>
      </c>
      <c r="AF4423" s="15" t="str">
        <f t="shared" si="1"/>
        <v/>
      </c>
      <c r="AG4423" s="15" t="str">
        <f>IF(OR(AF4423="",AF4423="ERRO_CHAVE"),"",IFERROR(MATCH(AF4423,'Quitados DUPP'!$U$1:$U$6635,0),""))</f>
        <v/>
      </c>
      <c r="AH4423" s="15" t="str">
        <f t="shared" si="2"/>
        <v/>
      </c>
      <c r="AI4423" s="17" t="str">
        <f>IF(AG4423="","",INDEX('Quitados DUPP'!$G$1:$G$6635,AG4423))</f>
        <v/>
      </c>
      <c r="AJ4423" s="17" t="str">
        <f t="shared" si="3"/>
        <v/>
      </c>
    </row>
    <row r="4424" spans="31:36">
      <c r="AE4424" s="15" t="str">
        <f t="shared" si="0"/>
        <v/>
      </c>
      <c r="AF4424" s="15" t="str">
        <f t="shared" si="1"/>
        <v/>
      </c>
      <c r="AG4424" s="15" t="str">
        <f>IF(OR(AF4424="",AF4424="ERRO_CHAVE"),"",IFERROR(MATCH(AF4424,'Quitados DUPP'!$U$1:$U$6635,0),""))</f>
        <v/>
      </c>
      <c r="AH4424" s="15" t="str">
        <f t="shared" si="2"/>
        <v/>
      </c>
      <c r="AI4424" s="17" t="str">
        <f>IF(AG4424="","",INDEX('Quitados DUPP'!$G$1:$G$6635,AG4424))</f>
        <v/>
      </c>
      <c r="AJ4424" s="17" t="str">
        <f t="shared" si="3"/>
        <v/>
      </c>
    </row>
    <row r="4425" spans="31:36">
      <c r="AE4425" s="15" t="str">
        <f t="shared" si="0"/>
        <v/>
      </c>
      <c r="AF4425" s="15" t="str">
        <f t="shared" si="1"/>
        <v/>
      </c>
      <c r="AG4425" s="15" t="str">
        <f>IF(OR(AF4425="",AF4425="ERRO_CHAVE"),"",IFERROR(MATCH(AF4425,'Quitados DUPP'!$U$1:$U$6635,0),""))</f>
        <v/>
      </c>
      <c r="AH4425" s="15" t="str">
        <f t="shared" si="2"/>
        <v/>
      </c>
      <c r="AI4425" s="17" t="str">
        <f>IF(AG4425="","",INDEX('Quitados DUPP'!$G$1:$G$6635,AG4425))</f>
        <v/>
      </c>
      <c r="AJ4425" s="17" t="str">
        <f t="shared" si="3"/>
        <v/>
      </c>
    </row>
    <row r="4426" spans="31:36">
      <c r="AE4426" s="15" t="str">
        <f t="shared" si="0"/>
        <v/>
      </c>
      <c r="AF4426" s="15" t="str">
        <f t="shared" si="1"/>
        <v/>
      </c>
      <c r="AG4426" s="15" t="str">
        <f>IF(OR(AF4426="",AF4426="ERRO_CHAVE"),"",IFERROR(MATCH(AF4426,'Quitados DUPP'!$U$1:$U$6635,0),""))</f>
        <v/>
      </c>
      <c r="AH4426" s="15" t="str">
        <f t="shared" si="2"/>
        <v/>
      </c>
      <c r="AI4426" s="17" t="str">
        <f>IF(AG4426="","",INDEX('Quitados DUPP'!$G$1:$G$6635,AG4426))</f>
        <v/>
      </c>
      <c r="AJ4426" s="17" t="str">
        <f t="shared" si="3"/>
        <v/>
      </c>
    </row>
    <row r="4427" spans="31:36">
      <c r="AE4427" s="15" t="str">
        <f t="shared" si="0"/>
        <v/>
      </c>
      <c r="AF4427" s="15" t="str">
        <f t="shared" si="1"/>
        <v/>
      </c>
      <c r="AG4427" s="15" t="str">
        <f>IF(OR(AF4427="",AF4427="ERRO_CHAVE"),"",IFERROR(MATCH(AF4427,'Quitados DUPP'!$U$1:$U$6635,0),""))</f>
        <v/>
      </c>
      <c r="AH4427" s="15" t="str">
        <f t="shared" si="2"/>
        <v/>
      </c>
      <c r="AI4427" s="17" t="str">
        <f>IF(AG4427="","",INDEX('Quitados DUPP'!$G$1:$G$6635,AG4427))</f>
        <v/>
      </c>
      <c r="AJ4427" s="17" t="str">
        <f t="shared" si="3"/>
        <v/>
      </c>
    </row>
    <row r="4428" spans="31:36">
      <c r="AE4428" s="15" t="str">
        <f t="shared" si="0"/>
        <v/>
      </c>
      <c r="AF4428" s="15" t="str">
        <f t="shared" si="1"/>
        <v/>
      </c>
      <c r="AG4428" s="15" t="str">
        <f>IF(OR(AF4428="",AF4428="ERRO_CHAVE"),"",IFERROR(MATCH(AF4428,'Quitados DUPP'!$U$1:$U$6635,0),""))</f>
        <v/>
      </c>
      <c r="AH4428" s="15" t="str">
        <f t="shared" si="2"/>
        <v/>
      </c>
      <c r="AI4428" s="17" t="str">
        <f>IF(AG4428="","",INDEX('Quitados DUPP'!$G$1:$G$6635,AG4428))</f>
        <v/>
      </c>
      <c r="AJ4428" s="17" t="str">
        <f t="shared" si="3"/>
        <v/>
      </c>
    </row>
    <row r="4429" spans="31:36">
      <c r="AE4429" s="15" t="str">
        <f t="shared" si="0"/>
        <v/>
      </c>
      <c r="AF4429" s="15" t="str">
        <f t="shared" si="1"/>
        <v/>
      </c>
      <c r="AG4429" s="15" t="str">
        <f>IF(OR(AF4429="",AF4429="ERRO_CHAVE"),"",IFERROR(MATCH(AF4429,'Quitados DUPP'!$U$1:$U$6635,0),""))</f>
        <v/>
      </c>
      <c r="AH4429" s="15" t="str">
        <f t="shared" si="2"/>
        <v/>
      </c>
      <c r="AI4429" s="17" t="str">
        <f>IF(AG4429="","",INDEX('Quitados DUPP'!$G$1:$G$6635,AG4429))</f>
        <v/>
      </c>
      <c r="AJ4429" s="17" t="str">
        <f t="shared" si="3"/>
        <v/>
      </c>
    </row>
    <row r="4430" spans="31:36">
      <c r="AE4430" s="15" t="str">
        <f t="shared" si="0"/>
        <v/>
      </c>
      <c r="AF4430" s="15" t="str">
        <f t="shared" si="1"/>
        <v/>
      </c>
      <c r="AG4430" s="15" t="str">
        <f>IF(OR(AF4430="",AF4430="ERRO_CHAVE"),"",IFERROR(MATCH(AF4430,'Quitados DUPP'!$U$1:$U$6635,0),""))</f>
        <v/>
      </c>
      <c r="AH4430" s="15" t="str">
        <f t="shared" si="2"/>
        <v/>
      </c>
      <c r="AI4430" s="17" t="str">
        <f>IF(AG4430="","",INDEX('Quitados DUPP'!$G$1:$G$6635,AG4430))</f>
        <v/>
      </c>
      <c r="AJ4430" s="17" t="str">
        <f t="shared" si="3"/>
        <v/>
      </c>
    </row>
    <row r="4431" spans="31:36">
      <c r="AE4431" s="15" t="str">
        <f t="shared" si="0"/>
        <v/>
      </c>
      <c r="AF4431" s="15" t="str">
        <f t="shared" si="1"/>
        <v/>
      </c>
      <c r="AG4431" s="15" t="str">
        <f>IF(OR(AF4431="",AF4431="ERRO_CHAVE"),"",IFERROR(MATCH(AF4431,'Quitados DUPP'!$U$1:$U$6635,0),""))</f>
        <v/>
      </c>
      <c r="AH4431" s="15" t="str">
        <f t="shared" si="2"/>
        <v/>
      </c>
      <c r="AI4431" s="17" t="str">
        <f>IF(AG4431="","",INDEX('Quitados DUPP'!$G$1:$G$6635,AG4431))</f>
        <v/>
      </c>
      <c r="AJ4431" s="17" t="str">
        <f t="shared" si="3"/>
        <v/>
      </c>
    </row>
    <row r="4432" spans="31:36">
      <c r="AE4432" s="15" t="str">
        <f t="shared" si="0"/>
        <v/>
      </c>
      <c r="AF4432" s="15" t="str">
        <f t="shared" si="1"/>
        <v/>
      </c>
      <c r="AG4432" s="15" t="str">
        <f>IF(OR(AF4432="",AF4432="ERRO_CHAVE"),"",IFERROR(MATCH(AF4432,'Quitados DUPP'!$U$1:$U$6635,0),""))</f>
        <v/>
      </c>
      <c r="AH4432" s="15" t="str">
        <f t="shared" si="2"/>
        <v/>
      </c>
      <c r="AI4432" s="17" t="str">
        <f>IF(AG4432="","",INDEX('Quitados DUPP'!$G$1:$G$6635,AG4432))</f>
        <v/>
      </c>
      <c r="AJ4432" s="17" t="str">
        <f t="shared" si="3"/>
        <v/>
      </c>
    </row>
    <row r="4433" spans="31:36">
      <c r="AE4433" s="15" t="str">
        <f t="shared" si="0"/>
        <v/>
      </c>
      <c r="AF4433" s="15" t="str">
        <f t="shared" si="1"/>
        <v/>
      </c>
      <c r="AG4433" s="15" t="str">
        <f>IF(OR(AF4433="",AF4433="ERRO_CHAVE"),"",IFERROR(MATCH(AF4433,'Quitados DUPP'!$U$1:$U$6635,0),""))</f>
        <v/>
      </c>
      <c r="AH4433" s="15" t="str">
        <f t="shared" si="2"/>
        <v/>
      </c>
      <c r="AI4433" s="17" t="str">
        <f>IF(AG4433="","",INDEX('Quitados DUPP'!$G$1:$G$6635,AG4433))</f>
        <v/>
      </c>
      <c r="AJ4433" s="17" t="str">
        <f t="shared" si="3"/>
        <v/>
      </c>
    </row>
    <row r="4434" spans="31:36">
      <c r="AE4434" s="15" t="str">
        <f t="shared" si="0"/>
        <v/>
      </c>
      <c r="AF4434" s="15" t="str">
        <f t="shared" si="1"/>
        <v/>
      </c>
      <c r="AG4434" s="15" t="str">
        <f>IF(OR(AF4434="",AF4434="ERRO_CHAVE"),"",IFERROR(MATCH(AF4434,'Quitados DUPP'!$U$1:$U$6635,0),""))</f>
        <v/>
      </c>
      <c r="AH4434" s="15" t="str">
        <f t="shared" si="2"/>
        <v/>
      </c>
      <c r="AI4434" s="17" t="str">
        <f>IF(AG4434="","",INDEX('Quitados DUPP'!$G$1:$G$6635,AG4434))</f>
        <v/>
      </c>
      <c r="AJ4434" s="17" t="str">
        <f t="shared" si="3"/>
        <v/>
      </c>
    </row>
    <row r="4435" spans="31:36">
      <c r="AE4435" s="15" t="str">
        <f t="shared" si="0"/>
        <v/>
      </c>
      <c r="AF4435" s="15" t="str">
        <f t="shared" si="1"/>
        <v/>
      </c>
      <c r="AG4435" s="15" t="str">
        <f>IF(OR(AF4435="",AF4435="ERRO_CHAVE"),"",IFERROR(MATCH(AF4435,'Quitados DUPP'!$U$1:$U$6635,0),""))</f>
        <v/>
      </c>
      <c r="AH4435" s="15" t="str">
        <f t="shared" si="2"/>
        <v/>
      </c>
      <c r="AI4435" s="17" t="str">
        <f>IF(AG4435="","",INDEX('Quitados DUPP'!$G$1:$G$6635,AG4435))</f>
        <v/>
      </c>
      <c r="AJ4435" s="17" t="str">
        <f t="shared" si="3"/>
        <v/>
      </c>
    </row>
    <row r="4436" spans="31:36">
      <c r="AE4436" s="15" t="str">
        <f t="shared" si="0"/>
        <v/>
      </c>
      <c r="AF4436" s="15" t="str">
        <f t="shared" si="1"/>
        <v/>
      </c>
      <c r="AG4436" s="15" t="str">
        <f>IF(OR(AF4436="",AF4436="ERRO_CHAVE"),"",IFERROR(MATCH(AF4436,'Quitados DUPP'!$U$1:$U$6635,0),""))</f>
        <v/>
      </c>
      <c r="AH4436" s="15" t="str">
        <f t="shared" si="2"/>
        <v/>
      </c>
      <c r="AI4436" s="17" t="str">
        <f>IF(AG4436="","",INDEX('Quitados DUPP'!$G$1:$G$6635,AG4436))</f>
        <v/>
      </c>
      <c r="AJ4436" s="17" t="str">
        <f t="shared" si="3"/>
        <v/>
      </c>
    </row>
    <row r="4437" spans="31:36">
      <c r="AE4437" s="15" t="str">
        <f t="shared" si="0"/>
        <v/>
      </c>
      <c r="AF4437" s="15" t="str">
        <f t="shared" si="1"/>
        <v/>
      </c>
      <c r="AG4437" s="15" t="str">
        <f>IF(OR(AF4437="",AF4437="ERRO_CHAVE"),"",IFERROR(MATCH(AF4437,'Quitados DUPP'!$U$1:$U$6635,0),""))</f>
        <v/>
      </c>
      <c r="AH4437" s="15" t="str">
        <f t="shared" si="2"/>
        <v/>
      </c>
      <c r="AI4437" s="17" t="str">
        <f>IF(AG4437="","",INDEX('Quitados DUPP'!$G$1:$G$6635,AG4437))</f>
        <v/>
      </c>
      <c r="AJ4437" s="17" t="str">
        <f t="shared" si="3"/>
        <v/>
      </c>
    </row>
    <row r="4438" spans="31:36">
      <c r="AE4438" s="15" t="str">
        <f t="shared" si="0"/>
        <v/>
      </c>
      <c r="AF4438" s="15" t="str">
        <f t="shared" si="1"/>
        <v/>
      </c>
      <c r="AG4438" s="15" t="str">
        <f>IF(OR(AF4438="",AF4438="ERRO_CHAVE"),"",IFERROR(MATCH(AF4438,'Quitados DUPP'!$U$1:$U$6635,0),""))</f>
        <v/>
      </c>
      <c r="AH4438" s="15" t="str">
        <f t="shared" si="2"/>
        <v/>
      </c>
      <c r="AI4438" s="17" t="str">
        <f>IF(AG4438="","",INDEX('Quitados DUPP'!$G$1:$G$6635,AG4438))</f>
        <v/>
      </c>
      <c r="AJ4438" s="17" t="str">
        <f t="shared" si="3"/>
        <v/>
      </c>
    </row>
    <row r="4439" spans="31:36">
      <c r="AE4439" s="15" t="str">
        <f t="shared" si="0"/>
        <v/>
      </c>
      <c r="AF4439" s="15" t="str">
        <f t="shared" si="1"/>
        <v/>
      </c>
      <c r="AG4439" s="15" t="str">
        <f>IF(OR(AF4439="",AF4439="ERRO_CHAVE"),"",IFERROR(MATCH(AF4439,'Quitados DUPP'!$U$1:$U$6635,0),""))</f>
        <v/>
      </c>
      <c r="AH4439" s="15" t="str">
        <f t="shared" si="2"/>
        <v/>
      </c>
      <c r="AI4439" s="17" t="str">
        <f>IF(AG4439="","",INDEX('Quitados DUPP'!$G$1:$G$6635,AG4439))</f>
        <v/>
      </c>
      <c r="AJ4439" s="17" t="str">
        <f t="shared" si="3"/>
        <v/>
      </c>
    </row>
    <row r="4440" spans="31:36">
      <c r="AE4440" s="15" t="str">
        <f t="shared" si="0"/>
        <v/>
      </c>
      <c r="AF4440" s="15" t="str">
        <f t="shared" si="1"/>
        <v/>
      </c>
      <c r="AG4440" s="15" t="str">
        <f>IF(OR(AF4440="",AF4440="ERRO_CHAVE"),"",IFERROR(MATCH(AF4440,'Quitados DUPP'!$U$1:$U$6635,0),""))</f>
        <v/>
      </c>
      <c r="AH4440" s="15" t="str">
        <f t="shared" si="2"/>
        <v/>
      </c>
      <c r="AI4440" s="17" t="str">
        <f>IF(AG4440="","",INDEX('Quitados DUPP'!$G$1:$G$6635,AG4440))</f>
        <v/>
      </c>
      <c r="AJ4440" s="17" t="str">
        <f t="shared" si="3"/>
        <v/>
      </c>
    </row>
    <row r="4441" spans="31:36">
      <c r="AE4441" s="15" t="str">
        <f t="shared" si="0"/>
        <v/>
      </c>
      <c r="AF4441" s="15" t="str">
        <f t="shared" si="1"/>
        <v/>
      </c>
      <c r="AG4441" s="15" t="str">
        <f>IF(OR(AF4441="",AF4441="ERRO_CHAVE"),"",IFERROR(MATCH(AF4441,'Quitados DUPP'!$U$1:$U$6635,0),""))</f>
        <v/>
      </c>
      <c r="AH4441" s="15" t="str">
        <f t="shared" si="2"/>
        <v/>
      </c>
      <c r="AI4441" s="17" t="str">
        <f>IF(AG4441="","",INDEX('Quitados DUPP'!$G$1:$G$6635,AG4441))</f>
        <v/>
      </c>
      <c r="AJ4441" s="17" t="str">
        <f t="shared" si="3"/>
        <v/>
      </c>
    </row>
    <row r="4442" spans="31:36">
      <c r="AE4442" s="15" t="str">
        <f t="shared" si="0"/>
        <v/>
      </c>
      <c r="AF4442" s="15" t="str">
        <f t="shared" si="1"/>
        <v/>
      </c>
      <c r="AG4442" s="15" t="str">
        <f>IF(OR(AF4442="",AF4442="ERRO_CHAVE"),"",IFERROR(MATCH(AF4442,'Quitados DUPP'!$U$1:$U$6635,0),""))</f>
        <v/>
      </c>
      <c r="AH4442" s="15" t="str">
        <f t="shared" si="2"/>
        <v/>
      </c>
      <c r="AI4442" s="17" t="str">
        <f>IF(AG4442="","",INDEX('Quitados DUPP'!$G$1:$G$6635,AG4442))</f>
        <v/>
      </c>
      <c r="AJ4442" s="17" t="str">
        <f t="shared" si="3"/>
        <v/>
      </c>
    </row>
    <row r="4443" spans="31:36">
      <c r="AE4443" s="15" t="str">
        <f t="shared" si="0"/>
        <v/>
      </c>
      <c r="AF4443" s="15" t="str">
        <f t="shared" si="1"/>
        <v/>
      </c>
      <c r="AG4443" s="15" t="str">
        <f>IF(OR(AF4443="",AF4443="ERRO_CHAVE"),"",IFERROR(MATCH(AF4443,'Quitados DUPP'!$U$1:$U$6635,0),""))</f>
        <v/>
      </c>
      <c r="AH4443" s="15" t="str">
        <f t="shared" si="2"/>
        <v/>
      </c>
      <c r="AI4443" s="17" t="str">
        <f>IF(AG4443="","",INDEX('Quitados DUPP'!$G$1:$G$6635,AG4443))</f>
        <v/>
      </c>
      <c r="AJ4443" s="17" t="str">
        <f t="shared" si="3"/>
        <v/>
      </c>
    </row>
    <row r="4444" spans="31:36">
      <c r="AE4444" s="15" t="str">
        <f t="shared" si="0"/>
        <v/>
      </c>
      <c r="AF4444" s="15" t="str">
        <f t="shared" si="1"/>
        <v/>
      </c>
      <c r="AG4444" s="15" t="str">
        <f>IF(OR(AF4444="",AF4444="ERRO_CHAVE"),"",IFERROR(MATCH(AF4444,'Quitados DUPP'!$U$1:$U$6635,0),""))</f>
        <v/>
      </c>
      <c r="AH4444" s="15" t="str">
        <f t="shared" si="2"/>
        <v/>
      </c>
      <c r="AI4444" s="17" t="str">
        <f>IF(AG4444="","",INDEX('Quitados DUPP'!$G$1:$G$6635,AG4444))</f>
        <v/>
      </c>
      <c r="AJ4444" s="17" t="str">
        <f t="shared" si="3"/>
        <v/>
      </c>
    </row>
    <row r="4445" spans="31:36">
      <c r="AE4445" s="15" t="str">
        <f t="shared" si="0"/>
        <v/>
      </c>
      <c r="AF4445" s="15" t="str">
        <f t="shared" si="1"/>
        <v/>
      </c>
      <c r="AG4445" s="15" t="str">
        <f>IF(OR(AF4445="",AF4445="ERRO_CHAVE"),"",IFERROR(MATCH(AF4445,'Quitados DUPP'!$U$1:$U$6635,0),""))</f>
        <v/>
      </c>
      <c r="AH4445" s="15" t="str">
        <f t="shared" si="2"/>
        <v/>
      </c>
      <c r="AI4445" s="17" t="str">
        <f>IF(AG4445="","",INDEX('Quitados DUPP'!$G$1:$G$6635,AG4445))</f>
        <v/>
      </c>
      <c r="AJ4445" s="17" t="str">
        <f t="shared" si="3"/>
        <v/>
      </c>
    </row>
    <row r="4446" spans="31:36">
      <c r="AE4446" s="15" t="str">
        <f t="shared" si="0"/>
        <v/>
      </c>
      <c r="AF4446" s="15" t="str">
        <f t="shared" si="1"/>
        <v/>
      </c>
      <c r="AG4446" s="15" t="str">
        <f>IF(OR(AF4446="",AF4446="ERRO_CHAVE"),"",IFERROR(MATCH(AF4446,'Quitados DUPP'!$U$1:$U$6635,0),""))</f>
        <v/>
      </c>
      <c r="AH4446" s="15" t="str">
        <f t="shared" si="2"/>
        <v/>
      </c>
      <c r="AI4446" s="17" t="str">
        <f>IF(AG4446="","",INDEX('Quitados DUPP'!$G$1:$G$6635,AG4446))</f>
        <v/>
      </c>
      <c r="AJ4446" s="17" t="str">
        <f t="shared" si="3"/>
        <v/>
      </c>
    </row>
    <row r="4447" spans="31:36">
      <c r="AE4447" s="15" t="str">
        <f t="shared" si="0"/>
        <v/>
      </c>
      <c r="AF4447" s="15" t="str">
        <f t="shared" si="1"/>
        <v/>
      </c>
      <c r="AG4447" s="15" t="str">
        <f>IF(OR(AF4447="",AF4447="ERRO_CHAVE"),"",IFERROR(MATCH(AF4447,'Quitados DUPP'!$U$1:$U$6635,0),""))</f>
        <v/>
      </c>
      <c r="AH4447" s="15" t="str">
        <f t="shared" si="2"/>
        <v/>
      </c>
      <c r="AI4447" s="17" t="str">
        <f>IF(AG4447="","",INDEX('Quitados DUPP'!$G$1:$G$6635,AG4447))</f>
        <v/>
      </c>
      <c r="AJ4447" s="17" t="str">
        <f t="shared" si="3"/>
        <v/>
      </c>
    </row>
    <row r="4448" spans="31:36">
      <c r="AE4448" s="15" t="str">
        <f t="shared" si="0"/>
        <v/>
      </c>
      <c r="AF4448" s="15" t="str">
        <f t="shared" si="1"/>
        <v/>
      </c>
      <c r="AG4448" s="15" t="str">
        <f>IF(OR(AF4448="",AF4448="ERRO_CHAVE"),"",IFERROR(MATCH(AF4448,'Quitados DUPP'!$U$1:$U$6635,0),""))</f>
        <v/>
      </c>
      <c r="AH4448" s="15" t="str">
        <f t="shared" si="2"/>
        <v/>
      </c>
      <c r="AI4448" s="17" t="str">
        <f>IF(AG4448="","",INDEX('Quitados DUPP'!$G$1:$G$6635,AG4448))</f>
        <v/>
      </c>
      <c r="AJ4448" s="17" t="str">
        <f t="shared" si="3"/>
        <v/>
      </c>
    </row>
    <row r="4449" spans="31:36">
      <c r="AE4449" s="15" t="str">
        <f t="shared" si="0"/>
        <v/>
      </c>
      <c r="AF4449" s="15" t="str">
        <f t="shared" si="1"/>
        <v/>
      </c>
      <c r="AG4449" s="15" t="str">
        <f>IF(OR(AF4449="",AF4449="ERRO_CHAVE"),"",IFERROR(MATCH(AF4449,'Quitados DUPP'!$U$1:$U$6635,0),""))</f>
        <v/>
      </c>
      <c r="AH4449" s="15" t="str">
        <f t="shared" si="2"/>
        <v/>
      </c>
      <c r="AI4449" s="17" t="str">
        <f>IF(AG4449="","",INDEX('Quitados DUPP'!$G$1:$G$6635,AG4449))</f>
        <v/>
      </c>
      <c r="AJ4449" s="17" t="str">
        <f t="shared" si="3"/>
        <v/>
      </c>
    </row>
    <row r="4450" spans="31:36">
      <c r="AE4450" s="15" t="str">
        <f t="shared" si="0"/>
        <v/>
      </c>
      <c r="AF4450" s="15" t="str">
        <f t="shared" si="1"/>
        <v/>
      </c>
      <c r="AG4450" s="15" t="str">
        <f>IF(OR(AF4450="",AF4450="ERRO_CHAVE"),"",IFERROR(MATCH(AF4450,'Quitados DUPP'!$U$1:$U$6635,0),""))</f>
        <v/>
      </c>
      <c r="AH4450" s="15" t="str">
        <f t="shared" si="2"/>
        <v/>
      </c>
      <c r="AI4450" s="17" t="str">
        <f>IF(AG4450="","",INDEX('Quitados DUPP'!$G$1:$G$6635,AG4450))</f>
        <v/>
      </c>
      <c r="AJ4450" s="17" t="str">
        <f t="shared" si="3"/>
        <v/>
      </c>
    </row>
    <row r="4451" spans="31:36">
      <c r="AE4451" s="15" t="str">
        <f t="shared" si="0"/>
        <v/>
      </c>
      <c r="AF4451" s="15" t="str">
        <f t="shared" si="1"/>
        <v/>
      </c>
      <c r="AG4451" s="15" t="str">
        <f>IF(OR(AF4451="",AF4451="ERRO_CHAVE"),"",IFERROR(MATCH(AF4451,'Quitados DUPP'!$U$1:$U$6635,0),""))</f>
        <v/>
      </c>
      <c r="AH4451" s="15" t="str">
        <f t="shared" si="2"/>
        <v/>
      </c>
      <c r="AI4451" s="17" t="str">
        <f>IF(AG4451="","",INDEX('Quitados DUPP'!$G$1:$G$6635,AG4451))</f>
        <v/>
      </c>
      <c r="AJ4451" s="17" t="str">
        <f t="shared" si="3"/>
        <v/>
      </c>
    </row>
    <row r="4452" spans="31:36">
      <c r="AE4452" s="15" t="str">
        <f t="shared" si="0"/>
        <v/>
      </c>
      <c r="AF4452" s="15" t="str">
        <f t="shared" si="1"/>
        <v/>
      </c>
      <c r="AG4452" s="15" t="str">
        <f>IF(OR(AF4452="",AF4452="ERRO_CHAVE"),"",IFERROR(MATCH(AF4452,'Quitados DUPP'!$U$1:$U$6635,0),""))</f>
        <v/>
      </c>
      <c r="AH4452" s="15" t="str">
        <f t="shared" si="2"/>
        <v/>
      </c>
      <c r="AI4452" s="17" t="str">
        <f>IF(AG4452="","",INDEX('Quitados DUPP'!$G$1:$G$6635,AG4452))</f>
        <v/>
      </c>
      <c r="AJ4452" s="17" t="str">
        <f t="shared" si="3"/>
        <v/>
      </c>
    </row>
    <row r="4453" spans="31:36">
      <c r="AE4453" s="15" t="str">
        <f t="shared" si="0"/>
        <v/>
      </c>
      <c r="AF4453" s="15" t="str">
        <f t="shared" si="1"/>
        <v/>
      </c>
      <c r="AG4453" s="15" t="str">
        <f>IF(OR(AF4453="",AF4453="ERRO_CHAVE"),"",IFERROR(MATCH(AF4453,'Quitados DUPP'!$U$1:$U$6635,0),""))</f>
        <v/>
      </c>
      <c r="AH4453" s="15" t="str">
        <f t="shared" si="2"/>
        <v/>
      </c>
      <c r="AI4453" s="17" t="str">
        <f>IF(AG4453="","",INDEX('Quitados DUPP'!$G$1:$G$6635,AG4453))</f>
        <v/>
      </c>
      <c r="AJ4453" s="17" t="str">
        <f t="shared" si="3"/>
        <v/>
      </c>
    </row>
    <row r="4454" spans="31:36">
      <c r="AE4454" s="15" t="str">
        <f t="shared" si="0"/>
        <v/>
      </c>
      <c r="AF4454" s="15" t="str">
        <f t="shared" si="1"/>
        <v/>
      </c>
      <c r="AG4454" s="15" t="str">
        <f>IF(OR(AF4454="",AF4454="ERRO_CHAVE"),"",IFERROR(MATCH(AF4454,'Quitados DUPP'!$U$1:$U$6635,0),""))</f>
        <v/>
      </c>
      <c r="AH4454" s="15" t="str">
        <f t="shared" si="2"/>
        <v/>
      </c>
      <c r="AI4454" s="17" t="str">
        <f>IF(AG4454="","",INDEX('Quitados DUPP'!$G$1:$G$6635,AG4454))</f>
        <v/>
      </c>
      <c r="AJ4454" s="17" t="str">
        <f t="shared" si="3"/>
        <v/>
      </c>
    </row>
    <row r="4455" spans="31:36">
      <c r="AE4455" s="15" t="str">
        <f t="shared" si="0"/>
        <v/>
      </c>
      <c r="AF4455" s="15" t="str">
        <f t="shared" si="1"/>
        <v/>
      </c>
      <c r="AG4455" s="15" t="str">
        <f>IF(OR(AF4455="",AF4455="ERRO_CHAVE"),"",IFERROR(MATCH(AF4455,'Quitados DUPP'!$U$1:$U$6635,0),""))</f>
        <v/>
      </c>
      <c r="AH4455" s="15" t="str">
        <f t="shared" si="2"/>
        <v/>
      </c>
      <c r="AI4455" s="17" t="str">
        <f>IF(AG4455="","",INDEX('Quitados DUPP'!$G$1:$G$6635,AG4455))</f>
        <v/>
      </c>
      <c r="AJ4455" s="17" t="str">
        <f t="shared" si="3"/>
        <v/>
      </c>
    </row>
    <row r="4456" spans="31:36">
      <c r="AE4456" s="15" t="str">
        <f t="shared" si="0"/>
        <v/>
      </c>
      <c r="AF4456" s="15" t="str">
        <f t="shared" si="1"/>
        <v/>
      </c>
      <c r="AG4456" s="15" t="str">
        <f>IF(OR(AF4456="",AF4456="ERRO_CHAVE"),"",IFERROR(MATCH(AF4456,'Quitados DUPP'!$U$1:$U$6635,0),""))</f>
        <v/>
      </c>
      <c r="AH4456" s="15" t="str">
        <f t="shared" si="2"/>
        <v/>
      </c>
      <c r="AI4456" s="17" t="str">
        <f>IF(AG4456="","",INDEX('Quitados DUPP'!$G$1:$G$6635,AG4456))</f>
        <v/>
      </c>
      <c r="AJ4456" s="17" t="str">
        <f t="shared" si="3"/>
        <v/>
      </c>
    </row>
    <row r="4457" spans="31:36">
      <c r="AE4457" s="15" t="str">
        <f t="shared" si="0"/>
        <v/>
      </c>
      <c r="AF4457" s="15" t="str">
        <f t="shared" si="1"/>
        <v/>
      </c>
      <c r="AG4457" s="15" t="str">
        <f>IF(OR(AF4457="",AF4457="ERRO_CHAVE"),"",IFERROR(MATCH(AF4457,'Quitados DUPP'!$U$1:$U$6635,0),""))</f>
        <v/>
      </c>
      <c r="AH4457" s="15" t="str">
        <f t="shared" si="2"/>
        <v/>
      </c>
      <c r="AI4457" s="17" t="str">
        <f>IF(AG4457="","",INDEX('Quitados DUPP'!$G$1:$G$6635,AG4457))</f>
        <v/>
      </c>
      <c r="AJ4457" s="17" t="str">
        <f t="shared" si="3"/>
        <v/>
      </c>
    </row>
    <row r="4458" spans="31:36">
      <c r="AE4458" s="15" t="str">
        <f t="shared" si="0"/>
        <v/>
      </c>
      <c r="AF4458" s="15" t="str">
        <f t="shared" si="1"/>
        <v/>
      </c>
      <c r="AG4458" s="15" t="str">
        <f>IF(OR(AF4458="",AF4458="ERRO_CHAVE"),"",IFERROR(MATCH(AF4458,'Quitados DUPP'!$U$1:$U$6635,0),""))</f>
        <v/>
      </c>
      <c r="AH4458" s="15" t="str">
        <f t="shared" si="2"/>
        <v/>
      </c>
      <c r="AI4458" s="17" t="str">
        <f>IF(AG4458="","",INDEX('Quitados DUPP'!$G$1:$G$6635,AG4458))</f>
        <v/>
      </c>
      <c r="AJ4458" s="17" t="str">
        <f t="shared" si="3"/>
        <v/>
      </c>
    </row>
    <row r="4459" spans="31:36">
      <c r="AE4459" s="15" t="str">
        <f t="shared" si="0"/>
        <v/>
      </c>
      <c r="AF4459" s="15" t="str">
        <f t="shared" si="1"/>
        <v/>
      </c>
      <c r="AG4459" s="15" t="str">
        <f>IF(OR(AF4459="",AF4459="ERRO_CHAVE"),"",IFERROR(MATCH(AF4459,'Quitados DUPP'!$U$1:$U$6635,0),""))</f>
        <v/>
      </c>
      <c r="AH4459" s="15" t="str">
        <f t="shared" si="2"/>
        <v/>
      </c>
      <c r="AI4459" s="17" t="str">
        <f>IF(AG4459="","",INDEX('Quitados DUPP'!$G$1:$G$6635,AG4459))</f>
        <v/>
      </c>
      <c r="AJ4459" s="17" t="str">
        <f t="shared" si="3"/>
        <v/>
      </c>
    </row>
    <row r="4460" spans="31:36">
      <c r="AE4460" s="15" t="str">
        <f t="shared" si="0"/>
        <v/>
      </c>
      <c r="AF4460" s="15" t="str">
        <f t="shared" si="1"/>
        <v/>
      </c>
      <c r="AG4460" s="15" t="str">
        <f>IF(OR(AF4460="",AF4460="ERRO_CHAVE"),"",IFERROR(MATCH(AF4460,'Quitados DUPP'!$U$1:$U$6635,0),""))</f>
        <v/>
      </c>
      <c r="AH4460" s="15" t="str">
        <f t="shared" si="2"/>
        <v/>
      </c>
      <c r="AI4460" s="17" t="str">
        <f>IF(AG4460="","",INDEX('Quitados DUPP'!$G$1:$G$6635,AG4460))</f>
        <v/>
      </c>
      <c r="AJ4460" s="17" t="str">
        <f t="shared" si="3"/>
        <v/>
      </c>
    </row>
    <row r="4461" spans="31:36">
      <c r="AE4461" s="15" t="str">
        <f t="shared" si="0"/>
        <v/>
      </c>
      <c r="AF4461" s="15" t="str">
        <f t="shared" si="1"/>
        <v/>
      </c>
      <c r="AG4461" s="15" t="str">
        <f>IF(OR(AF4461="",AF4461="ERRO_CHAVE"),"",IFERROR(MATCH(AF4461,'Quitados DUPP'!$U$1:$U$6635,0),""))</f>
        <v/>
      </c>
      <c r="AH4461" s="15" t="str">
        <f t="shared" si="2"/>
        <v/>
      </c>
      <c r="AI4461" s="17" t="str">
        <f>IF(AG4461="","",INDEX('Quitados DUPP'!$G$1:$G$6635,AG4461))</f>
        <v/>
      </c>
      <c r="AJ4461" s="17" t="str">
        <f t="shared" si="3"/>
        <v/>
      </c>
    </row>
    <row r="4462" spans="31:36">
      <c r="AE4462" s="15" t="str">
        <f t="shared" si="0"/>
        <v/>
      </c>
      <c r="AF4462" s="15" t="str">
        <f t="shared" si="1"/>
        <v/>
      </c>
      <c r="AG4462" s="15" t="str">
        <f>IF(OR(AF4462="",AF4462="ERRO_CHAVE"),"",IFERROR(MATCH(AF4462,'Quitados DUPP'!$U$1:$U$6635,0),""))</f>
        <v/>
      </c>
      <c r="AH4462" s="15" t="str">
        <f t="shared" si="2"/>
        <v/>
      </c>
      <c r="AI4462" s="17" t="str">
        <f>IF(AG4462="","",INDEX('Quitados DUPP'!$G$1:$G$6635,AG4462))</f>
        <v/>
      </c>
      <c r="AJ4462" s="17" t="str">
        <f t="shared" si="3"/>
        <v/>
      </c>
    </row>
    <row r="4463" spans="31:36">
      <c r="AE4463" s="15" t="str">
        <f t="shared" si="0"/>
        <v/>
      </c>
      <c r="AF4463" s="15" t="str">
        <f t="shared" si="1"/>
        <v/>
      </c>
      <c r="AG4463" s="15" t="str">
        <f>IF(OR(AF4463="",AF4463="ERRO_CHAVE"),"",IFERROR(MATCH(AF4463,'Quitados DUPP'!$U$1:$U$6635,0),""))</f>
        <v/>
      </c>
      <c r="AH4463" s="15" t="str">
        <f t="shared" si="2"/>
        <v/>
      </c>
      <c r="AI4463" s="17" t="str">
        <f>IF(AG4463="","",INDEX('Quitados DUPP'!$G$1:$G$6635,AG4463))</f>
        <v/>
      </c>
      <c r="AJ4463" s="17" t="str">
        <f t="shared" si="3"/>
        <v/>
      </c>
    </row>
    <row r="4464" spans="31:36">
      <c r="AE4464" s="15" t="str">
        <f t="shared" si="0"/>
        <v/>
      </c>
      <c r="AF4464" s="15" t="str">
        <f t="shared" si="1"/>
        <v/>
      </c>
      <c r="AG4464" s="15" t="str">
        <f>IF(OR(AF4464="",AF4464="ERRO_CHAVE"),"",IFERROR(MATCH(AF4464,'Quitados DUPP'!$U$1:$U$6635,0),""))</f>
        <v/>
      </c>
      <c r="AH4464" s="15" t="str">
        <f t="shared" si="2"/>
        <v/>
      </c>
      <c r="AI4464" s="17" t="str">
        <f>IF(AG4464="","",INDEX('Quitados DUPP'!$G$1:$G$6635,AG4464))</f>
        <v/>
      </c>
      <c r="AJ4464" s="17" t="str">
        <f t="shared" si="3"/>
        <v/>
      </c>
    </row>
    <row r="4465" spans="31:36">
      <c r="AE4465" s="15" t="str">
        <f t="shared" si="0"/>
        <v/>
      </c>
      <c r="AF4465" s="15" t="str">
        <f t="shared" si="1"/>
        <v/>
      </c>
      <c r="AG4465" s="15" t="str">
        <f>IF(OR(AF4465="",AF4465="ERRO_CHAVE"),"",IFERROR(MATCH(AF4465,'Quitados DUPP'!$U$1:$U$6635,0),""))</f>
        <v/>
      </c>
      <c r="AH4465" s="15" t="str">
        <f t="shared" si="2"/>
        <v/>
      </c>
      <c r="AI4465" s="17" t="str">
        <f>IF(AG4465="","",INDEX('Quitados DUPP'!$G$1:$G$6635,AG4465))</f>
        <v/>
      </c>
      <c r="AJ4465" s="17" t="str">
        <f t="shared" si="3"/>
        <v/>
      </c>
    </row>
    <row r="4466" spans="31:36">
      <c r="AE4466" s="15" t="str">
        <f t="shared" si="0"/>
        <v/>
      </c>
      <c r="AF4466" s="15" t="str">
        <f t="shared" si="1"/>
        <v/>
      </c>
      <c r="AG4466" s="15" t="str">
        <f>IF(OR(AF4466="",AF4466="ERRO_CHAVE"),"",IFERROR(MATCH(AF4466,'Quitados DUPP'!$U$1:$U$6635,0),""))</f>
        <v/>
      </c>
      <c r="AH4466" s="15" t="str">
        <f t="shared" si="2"/>
        <v/>
      </c>
      <c r="AI4466" s="17" t="str">
        <f>IF(AG4466="","",INDEX('Quitados DUPP'!$G$1:$G$6635,AG4466))</f>
        <v/>
      </c>
      <c r="AJ4466" s="17" t="str">
        <f t="shared" si="3"/>
        <v/>
      </c>
    </row>
    <row r="4467" spans="31:36">
      <c r="AE4467" s="15" t="str">
        <f t="shared" si="0"/>
        <v/>
      </c>
      <c r="AF4467" s="15" t="str">
        <f t="shared" si="1"/>
        <v/>
      </c>
      <c r="AG4467" s="15" t="str">
        <f>IF(OR(AF4467="",AF4467="ERRO_CHAVE"),"",IFERROR(MATCH(AF4467,'Quitados DUPP'!$U$1:$U$6635,0),""))</f>
        <v/>
      </c>
      <c r="AH4467" s="15" t="str">
        <f t="shared" si="2"/>
        <v/>
      </c>
      <c r="AI4467" s="17" t="str">
        <f>IF(AG4467="","",INDEX('Quitados DUPP'!$G$1:$G$6635,AG4467))</f>
        <v/>
      </c>
      <c r="AJ4467" s="17" t="str">
        <f t="shared" si="3"/>
        <v/>
      </c>
    </row>
    <row r="4468" spans="31:36">
      <c r="AE4468" s="15" t="str">
        <f t="shared" si="0"/>
        <v/>
      </c>
      <c r="AF4468" s="15" t="str">
        <f t="shared" si="1"/>
        <v/>
      </c>
      <c r="AG4468" s="15" t="str">
        <f>IF(OR(AF4468="",AF4468="ERRO_CHAVE"),"",IFERROR(MATCH(AF4468,'Quitados DUPP'!$U$1:$U$6635,0),""))</f>
        <v/>
      </c>
      <c r="AH4468" s="15" t="str">
        <f t="shared" si="2"/>
        <v/>
      </c>
      <c r="AI4468" s="17" t="str">
        <f>IF(AG4468="","",INDEX('Quitados DUPP'!$G$1:$G$6635,AG4468))</f>
        <v/>
      </c>
      <c r="AJ4468" s="17" t="str">
        <f t="shared" si="3"/>
        <v/>
      </c>
    </row>
    <row r="4469" spans="31:36">
      <c r="AE4469" s="15" t="str">
        <f t="shared" si="0"/>
        <v/>
      </c>
      <c r="AF4469" s="15" t="str">
        <f t="shared" si="1"/>
        <v/>
      </c>
      <c r="AG4469" s="15" t="str">
        <f>IF(OR(AF4469="",AF4469="ERRO_CHAVE"),"",IFERROR(MATCH(AF4469,'Quitados DUPP'!$U$1:$U$6635,0),""))</f>
        <v/>
      </c>
      <c r="AH4469" s="15" t="str">
        <f t="shared" si="2"/>
        <v/>
      </c>
      <c r="AI4469" s="17" t="str">
        <f>IF(AG4469="","",INDEX('Quitados DUPP'!$G$1:$G$6635,AG4469))</f>
        <v/>
      </c>
      <c r="AJ4469" s="17" t="str">
        <f t="shared" si="3"/>
        <v/>
      </c>
    </row>
    <row r="4470" spans="31:36">
      <c r="AE4470" s="15" t="str">
        <f t="shared" si="0"/>
        <v/>
      </c>
      <c r="AF4470" s="15" t="str">
        <f t="shared" si="1"/>
        <v/>
      </c>
      <c r="AG4470" s="15" t="str">
        <f>IF(OR(AF4470="",AF4470="ERRO_CHAVE"),"",IFERROR(MATCH(AF4470,'Quitados DUPP'!$U$1:$U$6635,0),""))</f>
        <v/>
      </c>
      <c r="AH4470" s="15" t="str">
        <f t="shared" si="2"/>
        <v/>
      </c>
      <c r="AI4470" s="17" t="str">
        <f>IF(AG4470="","",INDEX('Quitados DUPP'!$G$1:$G$6635,AG4470))</f>
        <v/>
      </c>
      <c r="AJ4470" s="17" t="str">
        <f t="shared" si="3"/>
        <v/>
      </c>
    </row>
    <row r="4471" spans="31:36">
      <c r="AE4471" s="15" t="str">
        <f t="shared" si="0"/>
        <v/>
      </c>
      <c r="AF4471" s="15" t="str">
        <f t="shared" si="1"/>
        <v/>
      </c>
      <c r="AG4471" s="15" t="str">
        <f>IF(OR(AF4471="",AF4471="ERRO_CHAVE"),"",IFERROR(MATCH(AF4471,'Quitados DUPP'!$U$1:$U$6635,0),""))</f>
        <v/>
      </c>
      <c r="AH4471" s="15" t="str">
        <f t="shared" si="2"/>
        <v/>
      </c>
      <c r="AI4471" s="17" t="str">
        <f>IF(AG4471="","",INDEX('Quitados DUPP'!$G$1:$G$6635,AG4471))</f>
        <v/>
      </c>
      <c r="AJ4471" s="17" t="str">
        <f t="shared" si="3"/>
        <v/>
      </c>
    </row>
    <row r="4472" spans="31:36">
      <c r="AE4472" s="15" t="str">
        <f t="shared" si="0"/>
        <v/>
      </c>
      <c r="AF4472" s="15" t="str">
        <f t="shared" si="1"/>
        <v/>
      </c>
      <c r="AG4472" s="15" t="str">
        <f>IF(OR(AF4472="",AF4472="ERRO_CHAVE"),"",IFERROR(MATCH(AF4472,'Quitados DUPP'!$U$1:$U$6635,0),""))</f>
        <v/>
      </c>
      <c r="AH4472" s="15" t="str">
        <f t="shared" si="2"/>
        <v/>
      </c>
      <c r="AI4472" s="17" t="str">
        <f>IF(AG4472="","",INDEX('Quitados DUPP'!$G$1:$G$6635,AG4472))</f>
        <v/>
      </c>
      <c r="AJ4472" s="17" t="str">
        <f t="shared" si="3"/>
        <v/>
      </c>
    </row>
    <row r="4473" spans="31:36">
      <c r="AE4473" s="15" t="str">
        <f t="shared" si="0"/>
        <v/>
      </c>
      <c r="AF4473" s="15" t="str">
        <f t="shared" si="1"/>
        <v/>
      </c>
      <c r="AG4473" s="15" t="str">
        <f>IF(OR(AF4473="",AF4473="ERRO_CHAVE"),"",IFERROR(MATCH(AF4473,'Quitados DUPP'!$U$1:$U$6635,0),""))</f>
        <v/>
      </c>
      <c r="AH4473" s="15" t="str">
        <f t="shared" si="2"/>
        <v/>
      </c>
      <c r="AI4473" s="17" t="str">
        <f>IF(AG4473="","",INDEX('Quitados DUPP'!$G$1:$G$6635,AG4473))</f>
        <v/>
      </c>
      <c r="AJ4473" s="17" t="str">
        <f t="shared" si="3"/>
        <v/>
      </c>
    </row>
    <row r="4474" spans="31:36">
      <c r="AE4474" s="15" t="str">
        <f t="shared" si="0"/>
        <v/>
      </c>
      <c r="AF4474" s="15" t="str">
        <f t="shared" si="1"/>
        <v/>
      </c>
      <c r="AG4474" s="15" t="str">
        <f>IF(OR(AF4474="",AF4474="ERRO_CHAVE"),"",IFERROR(MATCH(AF4474,'Quitados DUPP'!$U$1:$U$6635,0),""))</f>
        <v/>
      </c>
      <c r="AH4474" s="15" t="str">
        <f t="shared" si="2"/>
        <v/>
      </c>
      <c r="AI4474" s="17" t="str">
        <f>IF(AG4474="","",INDEX('Quitados DUPP'!$G$1:$G$6635,AG4474))</f>
        <v/>
      </c>
      <c r="AJ4474" s="17" t="str">
        <f t="shared" si="3"/>
        <v/>
      </c>
    </row>
    <row r="4475" spans="31:36">
      <c r="AE4475" s="15" t="str">
        <f t="shared" si="0"/>
        <v/>
      </c>
      <c r="AF4475" s="15" t="str">
        <f t="shared" si="1"/>
        <v/>
      </c>
      <c r="AG4475" s="15" t="str">
        <f>IF(OR(AF4475="",AF4475="ERRO_CHAVE"),"",IFERROR(MATCH(AF4475,'Quitados DUPP'!$U$1:$U$6635,0),""))</f>
        <v/>
      </c>
      <c r="AH4475" s="15" t="str">
        <f t="shared" si="2"/>
        <v/>
      </c>
      <c r="AI4475" s="17" t="str">
        <f>IF(AG4475="","",INDEX('Quitados DUPP'!$G$1:$G$6635,AG4475))</f>
        <v/>
      </c>
      <c r="AJ4475" s="17" t="str">
        <f t="shared" si="3"/>
        <v/>
      </c>
    </row>
    <row r="4476" spans="31:36">
      <c r="AE4476" s="15" t="str">
        <f t="shared" si="0"/>
        <v/>
      </c>
      <c r="AF4476" s="15" t="str">
        <f t="shared" si="1"/>
        <v/>
      </c>
      <c r="AG4476" s="15" t="str">
        <f>IF(OR(AF4476="",AF4476="ERRO_CHAVE"),"",IFERROR(MATCH(AF4476,'Quitados DUPP'!$U$1:$U$6635,0),""))</f>
        <v/>
      </c>
      <c r="AH4476" s="15" t="str">
        <f t="shared" si="2"/>
        <v/>
      </c>
      <c r="AI4476" s="17" t="str">
        <f>IF(AG4476="","",INDEX('Quitados DUPP'!$G$1:$G$6635,AG4476))</f>
        <v/>
      </c>
      <c r="AJ4476" s="17" t="str">
        <f t="shared" si="3"/>
        <v/>
      </c>
    </row>
    <row r="4477" spans="31:36">
      <c r="AE4477" s="15" t="str">
        <f t="shared" si="0"/>
        <v/>
      </c>
      <c r="AF4477" s="15" t="str">
        <f t="shared" si="1"/>
        <v/>
      </c>
      <c r="AG4477" s="15" t="str">
        <f>IF(OR(AF4477="",AF4477="ERRO_CHAVE"),"",IFERROR(MATCH(AF4477,'Quitados DUPP'!$U$1:$U$6635,0),""))</f>
        <v/>
      </c>
      <c r="AH4477" s="15" t="str">
        <f t="shared" si="2"/>
        <v/>
      </c>
      <c r="AI4477" s="17" t="str">
        <f>IF(AG4477="","",INDEX('Quitados DUPP'!$G$1:$G$6635,AG4477))</f>
        <v/>
      </c>
      <c r="AJ4477" s="17" t="str">
        <f t="shared" si="3"/>
        <v/>
      </c>
    </row>
    <row r="4478" spans="31:36">
      <c r="AE4478" s="15" t="str">
        <f t="shared" si="0"/>
        <v/>
      </c>
      <c r="AF4478" s="15" t="str">
        <f t="shared" si="1"/>
        <v/>
      </c>
      <c r="AG4478" s="15" t="str">
        <f>IF(OR(AF4478="",AF4478="ERRO_CHAVE"),"",IFERROR(MATCH(AF4478,'Quitados DUPP'!$U$1:$U$6635,0),""))</f>
        <v/>
      </c>
      <c r="AH4478" s="15" t="str">
        <f t="shared" si="2"/>
        <v/>
      </c>
      <c r="AI4478" s="17" t="str">
        <f>IF(AG4478="","",INDEX('Quitados DUPP'!$G$1:$G$6635,AG4478))</f>
        <v/>
      </c>
      <c r="AJ4478" s="17" t="str">
        <f t="shared" si="3"/>
        <v/>
      </c>
    </row>
    <row r="4479" spans="31:36">
      <c r="AE4479" s="15" t="str">
        <f t="shared" si="0"/>
        <v/>
      </c>
      <c r="AF4479" s="15" t="str">
        <f t="shared" si="1"/>
        <v/>
      </c>
      <c r="AG4479" s="15" t="str">
        <f>IF(OR(AF4479="",AF4479="ERRO_CHAVE"),"",IFERROR(MATCH(AF4479,'Quitados DUPP'!$U$1:$U$6635,0),""))</f>
        <v/>
      </c>
      <c r="AH4479" s="15" t="str">
        <f t="shared" si="2"/>
        <v/>
      </c>
      <c r="AI4479" s="17" t="str">
        <f>IF(AG4479="","",INDEX('Quitados DUPP'!$G$1:$G$6635,AG4479))</f>
        <v/>
      </c>
      <c r="AJ4479" s="17" t="str">
        <f t="shared" si="3"/>
        <v/>
      </c>
    </row>
    <row r="4480" spans="31:36">
      <c r="AE4480" s="15" t="str">
        <f t="shared" si="0"/>
        <v/>
      </c>
      <c r="AF4480" s="15" t="str">
        <f t="shared" si="1"/>
        <v/>
      </c>
      <c r="AG4480" s="15" t="str">
        <f>IF(OR(AF4480="",AF4480="ERRO_CHAVE"),"",IFERROR(MATCH(AF4480,'Quitados DUPP'!$U$1:$U$6635,0),""))</f>
        <v/>
      </c>
      <c r="AH4480" s="15" t="str">
        <f t="shared" si="2"/>
        <v/>
      </c>
      <c r="AI4480" s="17" t="str">
        <f>IF(AG4480="","",INDEX('Quitados DUPP'!$G$1:$G$6635,AG4480))</f>
        <v/>
      </c>
      <c r="AJ4480" s="17" t="str">
        <f t="shared" si="3"/>
        <v/>
      </c>
    </row>
    <row r="4481" spans="31:36">
      <c r="AE4481" s="15" t="str">
        <f t="shared" si="0"/>
        <v/>
      </c>
      <c r="AF4481" s="15" t="str">
        <f t="shared" si="1"/>
        <v/>
      </c>
      <c r="AG4481" s="15" t="str">
        <f>IF(OR(AF4481="",AF4481="ERRO_CHAVE"),"",IFERROR(MATCH(AF4481,'Quitados DUPP'!$U$1:$U$6635,0),""))</f>
        <v/>
      </c>
      <c r="AH4481" s="15" t="str">
        <f t="shared" si="2"/>
        <v/>
      </c>
      <c r="AI4481" s="17" t="str">
        <f>IF(AG4481="","",INDEX('Quitados DUPP'!$G$1:$G$6635,AG4481))</f>
        <v/>
      </c>
      <c r="AJ4481" s="17" t="str">
        <f t="shared" si="3"/>
        <v/>
      </c>
    </row>
    <row r="4482" spans="31:36">
      <c r="AE4482" s="15" t="str">
        <f t="shared" si="0"/>
        <v/>
      </c>
      <c r="AF4482" s="15" t="str">
        <f t="shared" si="1"/>
        <v/>
      </c>
      <c r="AG4482" s="15" t="str">
        <f>IF(OR(AF4482="",AF4482="ERRO_CHAVE"),"",IFERROR(MATCH(AF4482,'Quitados DUPP'!$U$1:$U$6635,0),""))</f>
        <v/>
      </c>
      <c r="AH4482" s="15" t="str">
        <f t="shared" si="2"/>
        <v/>
      </c>
      <c r="AI4482" s="17" t="str">
        <f>IF(AG4482="","",INDEX('Quitados DUPP'!$G$1:$G$6635,AG4482))</f>
        <v/>
      </c>
      <c r="AJ4482" s="17" t="str">
        <f t="shared" si="3"/>
        <v/>
      </c>
    </row>
    <row r="4483" spans="31:36">
      <c r="AE4483" s="15" t="str">
        <f t="shared" si="0"/>
        <v/>
      </c>
      <c r="AF4483" s="15" t="str">
        <f t="shared" si="1"/>
        <v/>
      </c>
      <c r="AG4483" s="15" t="str">
        <f>IF(OR(AF4483="",AF4483="ERRO_CHAVE"),"",IFERROR(MATCH(AF4483,'Quitados DUPP'!$U$1:$U$6635,0),""))</f>
        <v/>
      </c>
      <c r="AH4483" s="15" t="str">
        <f t="shared" si="2"/>
        <v/>
      </c>
      <c r="AI4483" s="17" t="str">
        <f>IF(AG4483="","",INDEX('Quitados DUPP'!$G$1:$G$6635,AG4483))</f>
        <v/>
      </c>
      <c r="AJ4483" s="17" t="str">
        <f t="shared" si="3"/>
        <v/>
      </c>
    </row>
    <row r="4484" spans="31:36">
      <c r="AE4484" s="15" t="str">
        <f t="shared" si="0"/>
        <v/>
      </c>
      <c r="AF4484" s="15" t="str">
        <f t="shared" si="1"/>
        <v/>
      </c>
      <c r="AG4484" s="15" t="str">
        <f>IF(OR(AF4484="",AF4484="ERRO_CHAVE"),"",IFERROR(MATCH(AF4484,'Quitados DUPP'!$U$1:$U$6635,0),""))</f>
        <v/>
      </c>
      <c r="AH4484" s="15" t="str">
        <f t="shared" si="2"/>
        <v/>
      </c>
      <c r="AI4484" s="17" t="str">
        <f>IF(AG4484="","",INDEX('Quitados DUPP'!$G$1:$G$6635,AG4484))</f>
        <v/>
      </c>
      <c r="AJ4484" s="17" t="str">
        <f t="shared" si="3"/>
        <v/>
      </c>
    </row>
    <row r="4485" spans="31:36">
      <c r="AE4485" s="15" t="str">
        <f t="shared" si="0"/>
        <v/>
      </c>
      <c r="AF4485" s="15" t="str">
        <f t="shared" si="1"/>
        <v/>
      </c>
      <c r="AG4485" s="15" t="str">
        <f>IF(OR(AF4485="",AF4485="ERRO_CHAVE"),"",IFERROR(MATCH(AF4485,'Quitados DUPP'!$U$1:$U$6635,0),""))</f>
        <v/>
      </c>
      <c r="AH4485" s="15" t="str">
        <f t="shared" si="2"/>
        <v/>
      </c>
      <c r="AI4485" s="17" t="str">
        <f>IF(AG4485="","",INDEX('Quitados DUPP'!$G$1:$G$6635,AG4485))</f>
        <v/>
      </c>
      <c r="AJ4485" s="17" t="str">
        <f t="shared" si="3"/>
        <v/>
      </c>
    </row>
    <row r="4486" spans="31:36">
      <c r="AE4486" s="15" t="str">
        <f t="shared" si="0"/>
        <v/>
      </c>
      <c r="AF4486" s="15" t="str">
        <f t="shared" si="1"/>
        <v/>
      </c>
      <c r="AG4486" s="15" t="str">
        <f>IF(OR(AF4486="",AF4486="ERRO_CHAVE"),"",IFERROR(MATCH(AF4486,'Quitados DUPP'!$U$1:$U$6635,0),""))</f>
        <v/>
      </c>
      <c r="AH4486" s="15" t="str">
        <f t="shared" si="2"/>
        <v/>
      </c>
      <c r="AI4486" s="17" t="str">
        <f>IF(AG4486="","",INDEX('Quitados DUPP'!$G$1:$G$6635,AG4486))</f>
        <v/>
      </c>
      <c r="AJ4486" s="17" t="str">
        <f t="shared" si="3"/>
        <v/>
      </c>
    </row>
    <row r="4487" spans="31:36">
      <c r="AE4487" s="15" t="str">
        <f t="shared" si="0"/>
        <v/>
      </c>
      <c r="AF4487" s="15" t="str">
        <f t="shared" si="1"/>
        <v/>
      </c>
      <c r="AG4487" s="15" t="str">
        <f>IF(OR(AF4487="",AF4487="ERRO_CHAVE"),"",IFERROR(MATCH(AF4487,'Quitados DUPP'!$U$1:$U$6635,0),""))</f>
        <v/>
      </c>
      <c r="AH4487" s="15" t="str">
        <f t="shared" si="2"/>
        <v/>
      </c>
      <c r="AI4487" s="17" t="str">
        <f>IF(AG4487="","",INDEX('Quitados DUPP'!$G$1:$G$6635,AG4487))</f>
        <v/>
      </c>
      <c r="AJ4487" s="17" t="str">
        <f t="shared" si="3"/>
        <v/>
      </c>
    </row>
    <row r="4488" spans="31:36">
      <c r="AE4488" s="15" t="str">
        <f t="shared" si="0"/>
        <v/>
      </c>
      <c r="AF4488" s="15" t="str">
        <f t="shared" si="1"/>
        <v/>
      </c>
      <c r="AG4488" s="15" t="str">
        <f>IF(OR(AF4488="",AF4488="ERRO_CHAVE"),"",IFERROR(MATCH(AF4488,'Quitados DUPP'!$U$1:$U$6635,0),""))</f>
        <v/>
      </c>
      <c r="AH4488" s="15" t="str">
        <f t="shared" si="2"/>
        <v/>
      </c>
      <c r="AI4488" s="17" t="str">
        <f>IF(AG4488="","",INDEX('Quitados DUPP'!$G$1:$G$6635,AG4488))</f>
        <v/>
      </c>
      <c r="AJ4488" s="17" t="str">
        <f t="shared" si="3"/>
        <v/>
      </c>
    </row>
    <row r="4489" spans="31:36">
      <c r="AE4489" s="15" t="str">
        <f t="shared" si="0"/>
        <v/>
      </c>
      <c r="AF4489" s="15" t="str">
        <f t="shared" si="1"/>
        <v/>
      </c>
      <c r="AG4489" s="15" t="str">
        <f>IF(OR(AF4489="",AF4489="ERRO_CHAVE"),"",IFERROR(MATCH(AF4489,'Quitados DUPP'!$U$1:$U$6635,0),""))</f>
        <v/>
      </c>
      <c r="AH4489" s="15" t="str">
        <f t="shared" si="2"/>
        <v/>
      </c>
      <c r="AI4489" s="17" t="str">
        <f>IF(AG4489="","",INDEX('Quitados DUPP'!$G$1:$G$6635,AG4489))</f>
        <v/>
      </c>
      <c r="AJ4489" s="17" t="str">
        <f t="shared" si="3"/>
        <v/>
      </c>
    </row>
    <row r="4490" spans="31:36">
      <c r="AE4490" s="15" t="str">
        <f t="shared" si="0"/>
        <v/>
      </c>
      <c r="AF4490" s="15" t="str">
        <f t="shared" si="1"/>
        <v/>
      </c>
      <c r="AG4490" s="15" t="str">
        <f>IF(OR(AF4490="",AF4490="ERRO_CHAVE"),"",IFERROR(MATCH(AF4490,'Quitados DUPP'!$U$1:$U$6635,0),""))</f>
        <v/>
      </c>
      <c r="AH4490" s="15" t="str">
        <f t="shared" si="2"/>
        <v/>
      </c>
      <c r="AI4490" s="17" t="str">
        <f>IF(AG4490="","",INDEX('Quitados DUPP'!$G$1:$G$6635,AG4490))</f>
        <v/>
      </c>
      <c r="AJ4490" s="17" t="str">
        <f t="shared" si="3"/>
        <v/>
      </c>
    </row>
    <row r="4491" spans="31:36">
      <c r="AE4491" s="15" t="str">
        <f t="shared" si="0"/>
        <v/>
      </c>
      <c r="AF4491" s="15" t="str">
        <f t="shared" si="1"/>
        <v/>
      </c>
      <c r="AG4491" s="15" t="str">
        <f>IF(OR(AF4491="",AF4491="ERRO_CHAVE"),"",IFERROR(MATCH(AF4491,'Quitados DUPP'!$U$1:$U$6635,0),""))</f>
        <v/>
      </c>
      <c r="AH4491" s="15" t="str">
        <f t="shared" si="2"/>
        <v/>
      </c>
      <c r="AI4491" s="17" t="str">
        <f>IF(AG4491="","",INDEX('Quitados DUPP'!$G$1:$G$6635,AG4491))</f>
        <v/>
      </c>
      <c r="AJ4491" s="17" t="str">
        <f t="shared" si="3"/>
        <v/>
      </c>
    </row>
    <row r="4492" spans="31:36">
      <c r="AE4492" s="15" t="str">
        <f t="shared" si="0"/>
        <v/>
      </c>
      <c r="AF4492" s="15" t="str">
        <f t="shared" si="1"/>
        <v/>
      </c>
      <c r="AG4492" s="15" t="str">
        <f>IF(OR(AF4492="",AF4492="ERRO_CHAVE"),"",IFERROR(MATCH(AF4492,'Quitados DUPP'!$U$1:$U$6635,0),""))</f>
        <v/>
      </c>
      <c r="AH4492" s="15" t="str">
        <f t="shared" si="2"/>
        <v/>
      </c>
      <c r="AI4492" s="17" t="str">
        <f>IF(AG4492="","",INDEX('Quitados DUPP'!$G$1:$G$6635,AG4492))</f>
        <v/>
      </c>
      <c r="AJ4492" s="17" t="str">
        <f t="shared" si="3"/>
        <v/>
      </c>
    </row>
    <row r="4493" spans="31:36">
      <c r="AE4493" s="15" t="str">
        <f t="shared" si="0"/>
        <v/>
      </c>
      <c r="AF4493" s="15" t="str">
        <f t="shared" si="1"/>
        <v/>
      </c>
      <c r="AG4493" s="15" t="str">
        <f>IF(OR(AF4493="",AF4493="ERRO_CHAVE"),"",IFERROR(MATCH(AF4493,'Quitados DUPP'!$U$1:$U$6635,0),""))</f>
        <v/>
      </c>
      <c r="AH4493" s="15" t="str">
        <f t="shared" si="2"/>
        <v/>
      </c>
      <c r="AI4493" s="17" t="str">
        <f>IF(AG4493="","",INDEX('Quitados DUPP'!$G$1:$G$6635,AG4493))</f>
        <v/>
      </c>
      <c r="AJ4493" s="17" t="str">
        <f t="shared" si="3"/>
        <v/>
      </c>
    </row>
    <row r="4494" spans="31:36">
      <c r="AE4494" s="15" t="str">
        <f t="shared" si="0"/>
        <v/>
      </c>
      <c r="AF4494" s="15" t="str">
        <f t="shared" si="1"/>
        <v/>
      </c>
      <c r="AG4494" s="15" t="str">
        <f>IF(OR(AF4494="",AF4494="ERRO_CHAVE"),"",IFERROR(MATCH(AF4494,'Quitados DUPP'!$U$1:$U$6635,0),""))</f>
        <v/>
      </c>
      <c r="AH4494" s="15" t="str">
        <f t="shared" si="2"/>
        <v/>
      </c>
      <c r="AI4494" s="17" t="str">
        <f>IF(AG4494="","",INDEX('Quitados DUPP'!$G$1:$G$6635,AG4494))</f>
        <v/>
      </c>
      <c r="AJ4494" s="17" t="str">
        <f t="shared" si="3"/>
        <v/>
      </c>
    </row>
    <row r="4495" spans="31:36">
      <c r="AE4495" s="15" t="str">
        <f t="shared" si="0"/>
        <v/>
      </c>
      <c r="AF4495" s="15" t="str">
        <f t="shared" si="1"/>
        <v/>
      </c>
      <c r="AG4495" s="15" t="str">
        <f>IF(OR(AF4495="",AF4495="ERRO_CHAVE"),"",IFERROR(MATCH(AF4495,'Quitados DUPP'!$U$1:$U$6635,0),""))</f>
        <v/>
      </c>
      <c r="AH4495" s="15" t="str">
        <f t="shared" si="2"/>
        <v/>
      </c>
      <c r="AI4495" s="17" t="str">
        <f>IF(AG4495="","",INDEX('Quitados DUPP'!$G$1:$G$6635,AG4495))</f>
        <v/>
      </c>
      <c r="AJ4495" s="17" t="str">
        <f t="shared" si="3"/>
        <v/>
      </c>
    </row>
    <row r="4496" spans="31:36">
      <c r="AE4496" s="15" t="str">
        <f t="shared" si="0"/>
        <v/>
      </c>
      <c r="AF4496" s="15" t="str">
        <f t="shared" si="1"/>
        <v/>
      </c>
      <c r="AG4496" s="15" t="str">
        <f>IF(OR(AF4496="",AF4496="ERRO_CHAVE"),"",IFERROR(MATCH(AF4496,'Quitados DUPP'!$U$1:$U$6635,0),""))</f>
        <v/>
      </c>
      <c r="AH4496" s="15" t="str">
        <f t="shared" si="2"/>
        <v/>
      </c>
      <c r="AI4496" s="17" t="str">
        <f>IF(AG4496="","",INDEX('Quitados DUPP'!$G$1:$G$6635,AG4496))</f>
        <v/>
      </c>
      <c r="AJ4496" s="17" t="str">
        <f t="shared" si="3"/>
        <v/>
      </c>
    </row>
    <row r="4497" spans="31:36">
      <c r="AE4497" s="15" t="str">
        <f t="shared" si="0"/>
        <v/>
      </c>
      <c r="AF4497" s="15" t="str">
        <f t="shared" si="1"/>
        <v/>
      </c>
      <c r="AG4497" s="15" t="str">
        <f>IF(OR(AF4497="",AF4497="ERRO_CHAVE"),"",IFERROR(MATCH(AF4497,'Quitados DUPP'!$U$1:$U$6635,0),""))</f>
        <v/>
      </c>
      <c r="AH4497" s="15" t="str">
        <f t="shared" si="2"/>
        <v/>
      </c>
      <c r="AI4497" s="17" t="str">
        <f>IF(AG4497="","",INDEX('Quitados DUPP'!$G$1:$G$6635,AG4497))</f>
        <v/>
      </c>
      <c r="AJ4497" s="17" t="str">
        <f t="shared" si="3"/>
        <v/>
      </c>
    </row>
    <row r="4498" spans="31:36">
      <c r="AE4498" s="15" t="str">
        <f t="shared" si="0"/>
        <v/>
      </c>
      <c r="AF4498" s="15" t="str">
        <f t="shared" si="1"/>
        <v/>
      </c>
      <c r="AG4498" s="15" t="str">
        <f>IF(OR(AF4498="",AF4498="ERRO_CHAVE"),"",IFERROR(MATCH(AF4498,'Quitados DUPP'!$U$1:$U$6635,0),""))</f>
        <v/>
      </c>
      <c r="AH4498" s="15" t="str">
        <f t="shared" si="2"/>
        <v/>
      </c>
      <c r="AI4498" s="17" t="str">
        <f>IF(AG4498="","",INDEX('Quitados DUPP'!$G$1:$G$6635,AG4498))</f>
        <v/>
      </c>
      <c r="AJ4498" s="17" t="str">
        <f t="shared" si="3"/>
        <v/>
      </c>
    </row>
    <row r="4499" spans="31:36">
      <c r="AE4499" s="15" t="str">
        <f t="shared" si="0"/>
        <v/>
      </c>
      <c r="AF4499" s="15" t="str">
        <f t="shared" si="1"/>
        <v/>
      </c>
      <c r="AG4499" s="15" t="str">
        <f>IF(OR(AF4499="",AF4499="ERRO_CHAVE"),"",IFERROR(MATCH(AF4499,'Quitados DUPP'!$U$1:$U$6635,0),""))</f>
        <v/>
      </c>
      <c r="AH4499" s="15" t="str">
        <f t="shared" si="2"/>
        <v/>
      </c>
      <c r="AI4499" s="17" t="str">
        <f>IF(AG4499="","",INDEX('Quitados DUPP'!$G$1:$G$6635,AG4499))</f>
        <v/>
      </c>
      <c r="AJ4499" s="17" t="str">
        <f t="shared" si="3"/>
        <v/>
      </c>
    </row>
    <row r="4500" spans="31:36">
      <c r="AE4500" s="15" t="str">
        <f t="shared" si="0"/>
        <v/>
      </c>
      <c r="AF4500" s="15" t="str">
        <f t="shared" si="1"/>
        <v/>
      </c>
      <c r="AG4500" s="15" t="str">
        <f>IF(OR(AF4500="",AF4500="ERRO_CHAVE"),"",IFERROR(MATCH(AF4500,'Quitados DUPP'!$U$1:$U$6635,0),""))</f>
        <v/>
      </c>
      <c r="AH4500" s="15" t="str">
        <f t="shared" si="2"/>
        <v/>
      </c>
      <c r="AI4500" s="17" t="str">
        <f>IF(AG4500="","",INDEX('Quitados DUPP'!$G$1:$G$6635,AG4500))</f>
        <v/>
      </c>
      <c r="AJ4500" s="17" t="str">
        <f t="shared" si="3"/>
        <v/>
      </c>
    </row>
    <row r="4501" spans="31:36">
      <c r="AE4501" s="15" t="str">
        <f t="shared" si="0"/>
        <v/>
      </c>
      <c r="AF4501" s="15" t="str">
        <f t="shared" si="1"/>
        <v/>
      </c>
      <c r="AG4501" s="15" t="str">
        <f>IF(OR(AF4501="",AF4501="ERRO_CHAVE"),"",IFERROR(MATCH(AF4501,'Quitados DUPP'!$U$1:$U$6635,0),""))</f>
        <v/>
      </c>
      <c r="AH4501" s="15" t="str">
        <f t="shared" si="2"/>
        <v/>
      </c>
      <c r="AI4501" s="17" t="str">
        <f>IF(AG4501="","",INDEX('Quitados DUPP'!$G$1:$G$6635,AG4501))</f>
        <v/>
      </c>
      <c r="AJ4501" s="17" t="str">
        <f t="shared" si="3"/>
        <v/>
      </c>
    </row>
    <row r="4502" spans="31:36">
      <c r="AE4502" s="15" t="str">
        <f t="shared" si="0"/>
        <v/>
      </c>
      <c r="AF4502" s="15" t="str">
        <f t="shared" si="1"/>
        <v/>
      </c>
      <c r="AG4502" s="15" t="str">
        <f>IF(OR(AF4502="",AF4502="ERRO_CHAVE"),"",IFERROR(MATCH(AF4502,'Quitados DUPP'!$U$1:$U$6635,0),""))</f>
        <v/>
      </c>
      <c r="AH4502" s="15" t="str">
        <f t="shared" si="2"/>
        <v/>
      </c>
      <c r="AI4502" s="17" t="str">
        <f>IF(AG4502="","",INDEX('Quitados DUPP'!$G$1:$G$6635,AG4502))</f>
        <v/>
      </c>
      <c r="AJ4502" s="17" t="str">
        <f t="shared" si="3"/>
        <v/>
      </c>
    </row>
    <row r="4503" spans="31:36">
      <c r="AE4503" s="15" t="str">
        <f t="shared" si="0"/>
        <v/>
      </c>
      <c r="AF4503" s="15" t="str">
        <f t="shared" si="1"/>
        <v/>
      </c>
      <c r="AG4503" s="15" t="str">
        <f>IF(OR(AF4503="",AF4503="ERRO_CHAVE"),"",IFERROR(MATCH(AF4503,'Quitados DUPP'!$U$1:$U$6635,0),""))</f>
        <v/>
      </c>
      <c r="AH4503" s="15" t="str">
        <f t="shared" si="2"/>
        <v/>
      </c>
      <c r="AI4503" s="17" t="str">
        <f>IF(AG4503="","",INDEX('Quitados DUPP'!$G$1:$G$6635,AG4503))</f>
        <v/>
      </c>
      <c r="AJ4503" s="17" t="str">
        <f t="shared" si="3"/>
        <v/>
      </c>
    </row>
    <row r="4504" spans="31:36">
      <c r="AE4504" s="15" t="str">
        <f t="shared" si="0"/>
        <v/>
      </c>
      <c r="AF4504" s="15" t="str">
        <f t="shared" si="1"/>
        <v/>
      </c>
      <c r="AG4504" s="15" t="str">
        <f>IF(OR(AF4504="",AF4504="ERRO_CHAVE"),"",IFERROR(MATCH(AF4504,'Quitados DUPP'!$U$1:$U$6635,0),""))</f>
        <v/>
      </c>
      <c r="AH4504" s="15" t="str">
        <f t="shared" si="2"/>
        <v/>
      </c>
      <c r="AI4504" s="17" t="str">
        <f>IF(AG4504="","",INDEX('Quitados DUPP'!$G$1:$G$6635,AG4504))</f>
        <v/>
      </c>
      <c r="AJ4504" s="17" t="str">
        <f t="shared" si="3"/>
        <v/>
      </c>
    </row>
    <row r="4505" spans="31:36">
      <c r="AE4505" s="15" t="str">
        <f t="shared" si="0"/>
        <v/>
      </c>
      <c r="AF4505" s="15" t="str">
        <f t="shared" si="1"/>
        <v/>
      </c>
      <c r="AG4505" s="15" t="str">
        <f>IF(OR(AF4505="",AF4505="ERRO_CHAVE"),"",IFERROR(MATCH(AF4505,'Quitados DUPP'!$U$1:$U$6635,0),""))</f>
        <v/>
      </c>
      <c r="AH4505" s="15" t="str">
        <f t="shared" si="2"/>
        <v/>
      </c>
      <c r="AI4505" s="17" t="str">
        <f>IF(AG4505="","",INDEX('Quitados DUPP'!$G$1:$G$6635,AG4505))</f>
        <v/>
      </c>
      <c r="AJ4505" s="17" t="str">
        <f t="shared" si="3"/>
        <v/>
      </c>
    </row>
    <row r="4506" spans="31:36">
      <c r="AE4506" s="15" t="str">
        <f t="shared" si="0"/>
        <v/>
      </c>
      <c r="AF4506" s="15" t="str">
        <f t="shared" si="1"/>
        <v/>
      </c>
      <c r="AG4506" s="15" t="str">
        <f>IF(OR(AF4506="",AF4506="ERRO_CHAVE"),"",IFERROR(MATCH(AF4506,'Quitados DUPP'!$U$1:$U$6635,0),""))</f>
        <v/>
      </c>
      <c r="AH4506" s="15" t="str">
        <f t="shared" si="2"/>
        <v/>
      </c>
      <c r="AI4506" s="17" t="str">
        <f>IF(AG4506="","",INDEX('Quitados DUPP'!$G$1:$G$6635,AG4506))</f>
        <v/>
      </c>
      <c r="AJ4506" s="17" t="str">
        <f t="shared" si="3"/>
        <v/>
      </c>
    </row>
    <row r="4507" spans="31:36">
      <c r="AE4507" s="15" t="str">
        <f t="shared" si="0"/>
        <v/>
      </c>
      <c r="AF4507" s="15" t="str">
        <f t="shared" si="1"/>
        <v/>
      </c>
      <c r="AG4507" s="15" t="str">
        <f>IF(OR(AF4507="",AF4507="ERRO_CHAVE"),"",IFERROR(MATCH(AF4507,'Quitados DUPP'!$U$1:$U$6635,0),""))</f>
        <v/>
      </c>
      <c r="AH4507" s="15" t="str">
        <f t="shared" si="2"/>
        <v/>
      </c>
      <c r="AI4507" s="17" t="str">
        <f>IF(AG4507="","",INDEX('Quitados DUPP'!$G$1:$G$6635,AG4507))</f>
        <v/>
      </c>
      <c r="AJ4507" s="17" t="str">
        <f t="shared" si="3"/>
        <v/>
      </c>
    </row>
    <row r="4508" spans="31:36">
      <c r="AE4508" s="15" t="str">
        <f t="shared" si="0"/>
        <v/>
      </c>
      <c r="AF4508" s="15" t="str">
        <f t="shared" si="1"/>
        <v/>
      </c>
      <c r="AG4508" s="15" t="str">
        <f>IF(OR(AF4508="",AF4508="ERRO_CHAVE"),"",IFERROR(MATCH(AF4508,'Quitados DUPP'!$U$1:$U$6635,0),""))</f>
        <v/>
      </c>
      <c r="AH4508" s="15" t="str">
        <f t="shared" si="2"/>
        <v/>
      </c>
      <c r="AI4508" s="17" t="str">
        <f>IF(AG4508="","",INDEX('Quitados DUPP'!$G$1:$G$6635,AG4508))</f>
        <v/>
      </c>
      <c r="AJ4508" s="17" t="str">
        <f t="shared" si="3"/>
        <v/>
      </c>
    </row>
    <row r="4509" spans="31:36">
      <c r="AE4509" s="15" t="str">
        <f t="shared" si="0"/>
        <v/>
      </c>
      <c r="AF4509" s="15" t="str">
        <f t="shared" si="1"/>
        <v/>
      </c>
      <c r="AG4509" s="15" t="str">
        <f>IF(OR(AF4509="",AF4509="ERRO_CHAVE"),"",IFERROR(MATCH(AF4509,'Quitados DUPP'!$U$1:$U$6635,0),""))</f>
        <v/>
      </c>
      <c r="AH4509" s="15" t="str">
        <f t="shared" si="2"/>
        <v/>
      </c>
      <c r="AI4509" s="17" t="str">
        <f>IF(AG4509="","",INDEX('Quitados DUPP'!$G$1:$G$6635,AG4509))</f>
        <v/>
      </c>
      <c r="AJ4509" s="17" t="str">
        <f t="shared" si="3"/>
        <v/>
      </c>
    </row>
    <row r="4510" spans="31:36">
      <c r="AE4510" s="15" t="str">
        <f t="shared" si="0"/>
        <v/>
      </c>
      <c r="AF4510" s="15" t="str">
        <f t="shared" si="1"/>
        <v/>
      </c>
      <c r="AG4510" s="15" t="str">
        <f>IF(OR(AF4510="",AF4510="ERRO_CHAVE"),"",IFERROR(MATCH(AF4510,'Quitados DUPP'!$U$1:$U$6635,0),""))</f>
        <v/>
      </c>
      <c r="AH4510" s="15" t="str">
        <f t="shared" si="2"/>
        <v/>
      </c>
      <c r="AI4510" s="17" t="str">
        <f>IF(AG4510="","",INDEX('Quitados DUPP'!$G$1:$G$6635,AG4510))</f>
        <v/>
      </c>
      <c r="AJ4510" s="17" t="str">
        <f t="shared" si="3"/>
        <v/>
      </c>
    </row>
    <row r="4511" spans="31:36">
      <c r="AE4511" s="15" t="str">
        <f t="shared" si="0"/>
        <v/>
      </c>
      <c r="AF4511" s="15" t="str">
        <f t="shared" si="1"/>
        <v/>
      </c>
      <c r="AG4511" s="15" t="str">
        <f>IF(OR(AF4511="",AF4511="ERRO_CHAVE"),"",IFERROR(MATCH(AF4511,'Quitados DUPP'!$U$1:$U$6635,0),""))</f>
        <v/>
      </c>
      <c r="AH4511" s="15" t="str">
        <f t="shared" si="2"/>
        <v/>
      </c>
      <c r="AI4511" s="17" t="str">
        <f>IF(AG4511="","",INDEX('Quitados DUPP'!$G$1:$G$6635,AG4511))</f>
        <v/>
      </c>
      <c r="AJ4511" s="17" t="str">
        <f t="shared" si="3"/>
        <v/>
      </c>
    </row>
    <row r="4512" spans="31:36">
      <c r="AE4512" s="15" t="str">
        <f t="shared" si="0"/>
        <v/>
      </c>
      <c r="AF4512" s="15" t="str">
        <f t="shared" si="1"/>
        <v/>
      </c>
      <c r="AG4512" s="15" t="str">
        <f>IF(OR(AF4512="",AF4512="ERRO_CHAVE"),"",IFERROR(MATCH(AF4512,'Quitados DUPP'!$U$1:$U$6635,0),""))</f>
        <v/>
      </c>
      <c r="AH4512" s="15" t="str">
        <f t="shared" si="2"/>
        <v/>
      </c>
      <c r="AI4512" s="17" t="str">
        <f>IF(AG4512="","",INDEX('Quitados DUPP'!$G$1:$G$6635,AG4512))</f>
        <v/>
      </c>
      <c r="AJ4512" s="17" t="str">
        <f t="shared" si="3"/>
        <v/>
      </c>
    </row>
    <row r="4513" spans="31:36">
      <c r="AE4513" s="15" t="str">
        <f t="shared" si="0"/>
        <v/>
      </c>
      <c r="AF4513" s="15" t="str">
        <f t="shared" si="1"/>
        <v/>
      </c>
      <c r="AG4513" s="15" t="str">
        <f>IF(OR(AF4513="",AF4513="ERRO_CHAVE"),"",IFERROR(MATCH(AF4513,'Quitados DUPP'!$U$1:$U$6635,0),""))</f>
        <v/>
      </c>
      <c r="AH4513" s="15" t="str">
        <f t="shared" si="2"/>
        <v/>
      </c>
      <c r="AI4513" s="17" t="str">
        <f>IF(AG4513="","",INDEX('Quitados DUPP'!$G$1:$G$6635,AG4513))</f>
        <v/>
      </c>
      <c r="AJ4513" s="17" t="str">
        <f t="shared" si="3"/>
        <v/>
      </c>
    </row>
    <row r="4514" spans="31:36">
      <c r="AE4514" s="15" t="str">
        <f t="shared" si="0"/>
        <v/>
      </c>
      <c r="AF4514" s="15" t="str">
        <f t="shared" si="1"/>
        <v/>
      </c>
      <c r="AG4514" s="15" t="str">
        <f>IF(OR(AF4514="",AF4514="ERRO_CHAVE"),"",IFERROR(MATCH(AF4514,'Quitados DUPP'!$U$1:$U$6635,0),""))</f>
        <v/>
      </c>
      <c r="AH4514" s="15" t="str">
        <f t="shared" si="2"/>
        <v/>
      </c>
      <c r="AI4514" s="17" t="str">
        <f>IF(AG4514="","",INDEX('Quitados DUPP'!$G$1:$G$6635,AG4514))</f>
        <v/>
      </c>
      <c r="AJ4514" s="17" t="str">
        <f t="shared" si="3"/>
        <v/>
      </c>
    </row>
    <row r="4515" spans="31:36">
      <c r="AE4515" s="15" t="str">
        <f t="shared" si="0"/>
        <v/>
      </c>
      <c r="AF4515" s="15" t="str">
        <f t="shared" si="1"/>
        <v/>
      </c>
      <c r="AG4515" s="15" t="str">
        <f>IF(OR(AF4515="",AF4515="ERRO_CHAVE"),"",IFERROR(MATCH(AF4515,'Quitados DUPP'!$U$1:$U$6635,0),""))</f>
        <v/>
      </c>
      <c r="AH4515" s="15" t="str">
        <f t="shared" si="2"/>
        <v/>
      </c>
      <c r="AI4515" s="17" t="str">
        <f>IF(AG4515="","",INDEX('Quitados DUPP'!$G$1:$G$6635,AG4515))</f>
        <v/>
      </c>
      <c r="AJ4515" s="17" t="str">
        <f t="shared" si="3"/>
        <v/>
      </c>
    </row>
    <row r="4516" spans="31:36">
      <c r="AE4516" s="15" t="str">
        <f t="shared" si="0"/>
        <v/>
      </c>
      <c r="AF4516" s="15" t="str">
        <f t="shared" si="1"/>
        <v/>
      </c>
      <c r="AG4516" s="15" t="str">
        <f>IF(OR(AF4516="",AF4516="ERRO_CHAVE"),"",IFERROR(MATCH(AF4516,'Quitados DUPP'!$U$1:$U$6635,0),""))</f>
        <v/>
      </c>
      <c r="AH4516" s="15" t="str">
        <f t="shared" si="2"/>
        <v/>
      </c>
      <c r="AI4516" s="17" t="str">
        <f>IF(AG4516="","",INDEX('Quitados DUPP'!$G$1:$G$6635,AG4516))</f>
        <v/>
      </c>
      <c r="AJ4516" s="17" t="str">
        <f t="shared" si="3"/>
        <v/>
      </c>
    </row>
    <row r="4517" spans="31:36">
      <c r="AE4517" s="15" t="str">
        <f t="shared" si="0"/>
        <v/>
      </c>
      <c r="AF4517" s="15" t="str">
        <f t="shared" si="1"/>
        <v/>
      </c>
      <c r="AG4517" s="15" t="str">
        <f>IF(OR(AF4517="",AF4517="ERRO_CHAVE"),"",IFERROR(MATCH(AF4517,'Quitados DUPP'!$U$1:$U$6635,0),""))</f>
        <v/>
      </c>
      <c r="AH4517" s="15" t="str">
        <f t="shared" si="2"/>
        <v/>
      </c>
      <c r="AI4517" s="17" t="str">
        <f>IF(AG4517="","",INDEX('Quitados DUPP'!$G$1:$G$6635,AG4517))</f>
        <v/>
      </c>
      <c r="AJ4517" s="17" t="str">
        <f t="shared" si="3"/>
        <v/>
      </c>
    </row>
    <row r="4518" spans="31:36">
      <c r="AE4518" s="15" t="str">
        <f t="shared" si="0"/>
        <v/>
      </c>
      <c r="AF4518" s="15" t="str">
        <f t="shared" si="1"/>
        <v/>
      </c>
      <c r="AG4518" s="15" t="str">
        <f>IF(OR(AF4518="",AF4518="ERRO_CHAVE"),"",IFERROR(MATCH(AF4518,'Quitados DUPP'!$U$1:$U$6635,0),""))</f>
        <v/>
      </c>
      <c r="AH4518" s="15" t="str">
        <f t="shared" si="2"/>
        <v/>
      </c>
      <c r="AI4518" s="17" t="str">
        <f>IF(AG4518="","",INDEX('Quitados DUPP'!$G$1:$G$6635,AG4518))</f>
        <v/>
      </c>
      <c r="AJ4518" s="17" t="str">
        <f t="shared" si="3"/>
        <v/>
      </c>
    </row>
    <row r="4519" spans="31:36">
      <c r="AE4519" s="15" t="str">
        <f t="shared" si="0"/>
        <v/>
      </c>
      <c r="AF4519" s="15" t="str">
        <f t="shared" si="1"/>
        <v/>
      </c>
      <c r="AG4519" s="15" t="str">
        <f>IF(OR(AF4519="",AF4519="ERRO_CHAVE"),"",IFERROR(MATCH(AF4519,'Quitados DUPP'!$U$1:$U$6635,0),""))</f>
        <v/>
      </c>
      <c r="AH4519" s="15" t="str">
        <f t="shared" si="2"/>
        <v/>
      </c>
      <c r="AI4519" s="17" t="str">
        <f>IF(AG4519="","",INDEX('Quitados DUPP'!$G$1:$G$6635,AG4519))</f>
        <v/>
      </c>
      <c r="AJ4519" s="17" t="str">
        <f t="shared" si="3"/>
        <v/>
      </c>
    </row>
    <row r="4520" spans="31:36">
      <c r="AE4520" s="15" t="str">
        <f t="shared" si="0"/>
        <v/>
      </c>
      <c r="AF4520" s="15" t="str">
        <f t="shared" si="1"/>
        <v/>
      </c>
      <c r="AG4520" s="15" t="str">
        <f>IF(OR(AF4520="",AF4520="ERRO_CHAVE"),"",IFERROR(MATCH(AF4520,'Quitados DUPP'!$U$1:$U$6635,0),""))</f>
        <v/>
      </c>
      <c r="AH4520" s="15" t="str">
        <f t="shared" si="2"/>
        <v/>
      </c>
      <c r="AI4520" s="17" t="str">
        <f>IF(AG4520="","",INDEX('Quitados DUPP'!$G$1:$G$6635,AG4520))</f>
        <v/>
      </c>
      <c r="AJ4520" s="17" t="str">
        <f t="shared" si="3"/>
        <v/>
      </c>
    </row>
    <row r="4521" spans="31:36">
      <c r="AE4521" s="15" t="str">
        <f t="shared" si="0"/>
        <v/>
      </c>
      <c r="AF4521" s="15" t="str">
        <f t="shared" si="1"/>
        <v/>
      </c>
      <c r="AG4521" s="15" t="str">
        <f>IF(OR(AF4521="",AF4521="ERRO_CHAVE"),"",IFERROR(MATCH(AF4521,'Quitados DUPP'!$U$1:$U$6635,0),""))</f>
        <v/>
      </c>
      <c r="AH4521" s="15" t="str">
        <f t="shared" si="2"/>
        <v/>
      </c>
      <c r="AI4521" s="17" t="str">
        <f>IF(AG4521="","",INDEX('Quitados DUPP'!$G$1:$G$6635,AG4521))</f>
        <v/>
      </c>
      <c r="AJ4521" s="17" t="str">
        <f t="shared" si="3"/>
        <v/>
      </c>
    </row>
    <row r="4522" spans="31:36">
      <c r="AE4522" s="15" t="str">
        <f t="shared" si="0"/>
        <v/>
      </c>
      <c r="AF4522" s="15" t="str">
        <f t="shared" si="1"/>
        <v/>
      </c>
      <c r="AG4522" s="15" t="str">
        <f>IF(OR(AF4522="",AF4522="ERRO_CHAVE"),"",IFERROR(MATCH(AF4522,'Quitados DUPP'!$U$1:$U$6635,0),""))</f>
        <v/>
      </c>
      <c r="AH4522" s="15" t="str">
        <f t="shared" si="2"/>
        <v/>
      </c>
      <c r="AI4522" s="17" t="str">
        <f>IF(AG4522="","",INDEX('Quitados DUPP'!$G$1:$G$6635,AG4522))</f>
        <v/>
      </c>
      <c r="AJ4522" s="17" t="str">
        <f t="shared" si="3"/>
        <v/>
      </c>
    </row>
    <row r="4523" spans="31:36">
      <c r="AE4523" s="15" t="str">
        <f t="shared" si="0"/>
        <v/>
      </c>
      <c r="AF4523" s="15" t="str">
        <f t="shared" si="1"/>
        <v/>
      </c>
      <c r="AG4523" s="15" t="str">
        <f>IF(OR(AF4523="",AF4523="ERRO_CHAVE"),"",IFERROR(MATCH(AF4523,'Quitados DUPP'!$U$1:$U$6635,0),""))</f>
        <v/>
      </c>
      <c r="AH4523" s="15" t="str">
        <f t="shared" si="2"/>
        <v/>
      </c>
      <c r="AI4523" s="17" t="str">
        <f>IF(AG4523="","",INDEX('Quitados DUPP'!$G$1:$G$6635,AG4523))</f>
        <v/>
      </c>
      <c r="AJ4523" s="17" t="str">
        <f t="shared" si="3"/>
        <v/>
      </c>
    </row>
    <row r="4524" spans="31:36">
      <c r="AE4524" s="15" t="str">
        <f t="shared" si="0"/>
        <v/>
      </c>
      <c r="AF4524" s="15" t="str">
        <f t="shared" si="1"/>
        <v/>
      </c>
      <c r="AG4524" s="15" t="str">
        <f>IF(OR(AF4524="",AF4524="ERRO_CHAVE"),"",IFERROR(MATCH(AF4524,'Quitados DUPP'!$U$1:$U$6635,0),""))</f>
        <v/>
      </c>
      <c r="AH4524" s="15" t="str">
        <f t="shared" si="2"/>
        <v/>
      </c>
      <c r="AI4524" s="17" t="str">
        <f>IF(AG4524="","",INDEX('Quitados DUPP'!$G$1:$G$6635,AG4524))</f>
        <v/>
      </c>
      <c r="AJ4524" s="17" t="str">
        <f t="shared" si="3"/>
        <v/>
      </c>
    </row>
    <row r="4525" spans="31:36">
      <c r="AE4525" s="15" t="str">
        <f t="shared" si="0"/>
        <v/>
      </c>
      <c r="AF4525" s="15" t="str">
        <f t="shared" si="1"/>
        <v/>
      </c>
      <c r="AG4525" s="15" t="str">
        <f>IF(OR(AF4525="",AF4525="ERRO_CHAVE"),"",IFERROR(MATCH(AF4525,'Quitados DUPP'!$U$1:$U$6635,0),""))</f>
        <v/>
      </c>
      <c r="AH4525" s="15" t="str">
        <f t="shared" si="2"/>
        <v/>
      </c>
      <c r="AI4525" s="17" t="str">
        <f>IF(AG4525="","",INDEX('Quitados DUPP'!$G$1:$G$6635,AG4525))</f>
        <v/>
      </c>
      <c r="AJ4525" s="17" t="str">
        <f t="shared" si="3"/>
        <v/>
      </c>
    </row>
    <row r="4526" spans="31:36">
      <c r="AE4526" s="15" t="str">
        <f t="shared" si="0"/>
        <v/>
      </c>
      <c r="AF4526" s="15" t="str">
        <f t="shared" si="1"/>
        <v/>
      </c>
      <c r="AG4526" s="15" t="str">
        <f>IF(OR(AF4526="",AF4526="ERRO_CHAVE"),"",IFERROR(MATCH(AF4526,'Quitados DUPP'!$U$1:$U$6635,0),""))</f>
        <v/>
      </c>
      <c r="AH4526" s="15" t="str">
        <f t="shared" si="2"/>
        <v/>
      </c>
      <c r="AI4526" s="17" t="str">
        <f>IF(AG4526="","",INDEX('Quitados DUPP'!$G$1:$G$6635,AG4526))</f>
        <v/>
      </c>
      <c r="AJ4526" s="17" t="str">
        <f t="shared" si="3"/>
        <v/>
      </c>
    </row>
    <row r="4527" spans="31:36">
      <c r="AE4527" s="15" t="str">
        <f t="shared" si="0"/>
        <v/>
      </c>
      <c r="AF4527" s="15" t="str">
        <f t="shared" si="1"/>
        <v/>
      </c>
      <c r="AG4527" s="15" t="str">
        <f>IF(OR(AF4527="",AF4527="ERRO_CHAVE"),"",IFERROR(MATCH(AF4527,'Quitados DUPP'!$U$1:$U$6635,0),""))</f>
        <v/>
      </c>
      <c r="AH4527" s="15" t="str">
        <f t="shared" si="2"/>
        <v/>
      </c>
      <c r="AI4527" s="17" t="str">
        <f>IF(AG4527="","",INDEX('Quitados DUPP'!$G$1:$G$6635,AG4527))</f>
        <v/>
      </c>
      <c r="AJ4527" s="17" t="str">
        <f t="shared" si="3"/>
        <v/>
      </c>
    </row>
    <row r="4528" spans="31:36">
      <c r="AE4528" s="15" t="str">
        <f t="shared" si="0"/>
        <v/>
      </c>
      <c r="AF4528" s="15" t="str">
        <f t="shared" si="1"/>
        <v/>
      </c>
      <c r="AG4528" s="15" t="str">
        <f>IF(OR(AF4528="",AF4528="ERRO_CHAVE"),"",IFERROR(MATCH(AF4528,'Quitados DUPP'!$U$1:$U$6635,0),""))</f>
        <v/>
      </c>
      <c r="AH4528" s="15" t="str">
        <f t="shared" si="2"/>
        <v/>
      </c>
      <c r="AI4528" s="17" t="str">
        <f>IF(AG4528="","",INDEX('Quitados DUPP'!$G$1:$G$6635,AG4528))</f>
        <v/>
      </c>
      <c r="AJ4528" s="17" t="str">
        <f t="shared" si="3"/>
        <v/>
      </c>
    </row>
    <row r="4529" spans="31:36">
      <c r="AE4529" s="15" t="str">
        <f t="shared" si="0"/>
        <v/>
      </c>
      <c r="AF4529" s="15" t="str">
        <f t="shared" si="1"/>
        <v/>
      </c>
      <c r="AG4529" s="15" t="str">
        <f>IF(OR(AF4529="",AF4529="ERRO_CHAVE"),"",IFERROR(MATCH(AF4529,'Quitados DUPP'!$U$1:$U$6635,0),""))</f>
        <v/>
      </c>
      <c r="AH4529" s="15" t="str">
        <f t="shared" si="2"/>
        <v/>
      </c>
      <c r="AI4529" s="17" t="str">
        <f>IF(AG4529="","",INDEX('Quitados DUPP'!$G$1:$G$6635,AG4529))</f>
        <v/>
      </c>
      <c r="AJ4529" s="17" t="str">
        <f t="shared" si="3"/>
        <v/>
      </c>
    </row>
    <row r="4530" spans="31:36">
      <c r="AE4530" s="15" t="str">
        <f t="shared" si="0"/>
        <v/>
      </c>
      <c r="AF4530" s="15" t="str">
        <f t="shared" si="1"/>
        <v/>
      </c>
      <c r="AG4530" s="15" t="str">
        <f>IF(OR(AF4530="",AF4530="ERRO_CHAVE"),"",IFERROR(MATCH(AF4530,'Quitados DUPP'!$U$1:$U$6635,0),""))</f>
        <v/>
      </c>
      <c r="AH4530" s="15" t="str">
        <f t="shared" si="2"/>
        <v/>
      </c>
      <c r="AI4530" s="17" t="str">
        <f>IF(AG4530="","",INDEX('Quitados DUPP'!$G$1:$G$6635,AG4530))</f>
        <v/>
      </c>
      <c r="AJ4530" s="17" t="str">
        <f t="shared" si="3"/>
        <v/>
      </c>
    </row>
    <row r="4531" spans="31:36">
      <c r="AE4531" s="15" t="str">
        <f t="shared" si="0"/>
        <v/>
      </c>
      <c r="AF4531" s="15" t="str">
        <f t="shared" si="1"/>
        <v/>
      </c>
      <c r="AG4531" s="15" t="str">
        <f>IF(OR(AF4531="",AF4531="ERRO_CHAVE"),"",IFERROR(MATCH(AF4531,'Quitados DUPP'!$U$1:$U$6635,0),""))</f>
        <v/>
      </c>
      <c r="AH4531" s="15" t="str">
        <f t="shared" si="2"/>
        <v/>
      </c>
      <c r="AI4531" s="17" t="str">
        <f>IF(AG4531="","",INDEX('Quitados DUPP'!$G$1:$G$6635,AG4531))</f>
        <v/>
      </c>
      <c r="AJ4531" s="17" t="str">
        <f t="shared" si="3"/>
        <v/>
      </c>
    </row>
    <row r="4532" spans="31:36">
      <c r="AE4532" s="15" t="str">
        <f t="shared" si="0"/>
        <v/>
      </c>
      <c r="AF4532" s="15" t="str">
        <f t="shared" si="1"/>
        <v/>
      </c>
      <c r="AG4532" s="15" t="str">
        <f>IF(OR(AF4532="",AF4532="ERRO_CHAVE"),"",IFERROR(MATCH(AF4532,'Quitados DUPP'!$U$1:$U$6635,0),""))</f>
        <v/>
      </c>
      <c r="AH4532" s="15" t="str">
        <f t="shared" si="2"/>
        <v/>
      </c>
      <c r="AI4532" s="17" t="str">
        <f>IF(AG4532="","",INDEX('Quitados DUPP'!$G$1:$G$6635,AG4532))</f>
        <v/>
      </c>
      <c r="AJ4532" s="17" t="str">
        <f t="shared" si="3"/>
        <v/>
      </c>
    </row>
    <row r="4533" spans="31:36">
      <c r="AE4533" s="15" t="str">
        <f t="shared" si="0"/>
        <v/>
      </c>
      <c r="AF4533" s="15" t="str">
        <f t="shared" si="1"/>
        <v/>
      </c>
      <c r="AG4533" s="15" t="str">
        <f>IF(OR(AF4533="",AF4533="ERRO_CHAVE"),"",IFERROR(MATCH(AF4533,'Quitados DUPP'!$U$1:$U$6635,0),""))</f>
        <v/>
      </c>
      <c r="AH4533" s="15" t="str">
        <f t="shared" si="2"/>
        <v/>
      </c>
      <c r="AI4533" s="17" t="str">
        <f>IF(AG4533="","",INDEX('Quitados DUPP'!$G$1:$G$6635,AG4533))</f>
        <v/>
      </c>
      <c r="AJ4533" s="17" t="str">
        <f t="shared" si="3"/>
        <v/>
      </c>
    </row>
    <row r="4534" spans="31:36">
      <c r="AE4534" s="15" t="str">
        <f t="shared" si="0"/>
        <v/>
      </c>
      <c r="AF4534" s="15" t="str">
        <f t="shared" si="1"/>
        <v/>
      </c>
      <c r="AG4534" s="15" t="str">
        <f>IF(OR(AF4534="",AF4534="ERRO_CHAVE"),"",IFERROR(MATCH(AF4534,'Quitados DUPP'!$U$1:$U$6635,0),""))</f>
        <v/>
      </c>
      <c r="AH4534" s="15" t="str">
        <f t="shared" si="2"/>
        <v/>
      </c>
      <c r="AI4534" s="17" t="str">
        <f>IF(AG4534="","",INDEX('Quitados DUPP'!$G$1:$G$6635,AG4534))</f>
        <v/>
      </c>
      <c r="AJ4534" s="17" t="str">
        <f t="shared" si="3"/>
        <v/>
      </c>
    </row>
    <row r="4535" spans="31:36">
      <c r="AE4535" s="15" t="str">
        <f t="shared" si="0"/>
        <v/>
      </c>
      <c r="AF4535" s="15" t="str">
        <f t="shared" si="1"/>
        <v/>
      </c>
      <c r="AG4535" s="15" t="str">
        <f>IF(OR(AF4535="",AF4535="ERRO_CHAVE"),"",IFERROR(MATCH(AF4535,'Quitados DUPP'!$U$1:$U$6635,0),""))</f>
        <v/>
      </c>
      <c r="AH4535" s="15" t="str">
        <f t="shared" si="2"/>
        <v/>
      </c>
      <c r="AI4535" s="17" t="str">
        <f>IF(AG4535="","",INDEX('Quitados DUPP'!$G$1:$G$6635,AG4535))</f>
        <v/>
      </c>
      <c r="AJ4535" s="17" t="str">
        <f t="shared" si="3"/>
        <v/>
      </c>
    </row>
    <row r="4536" spans="31:36">
      <c r="AE4536" s="15" t="str">
        <f t="shared" si="0"/>
        <v/>
      </c>
      <c r="AF4536" s="15" t="str">
        <f t="shared" si="1"/>
        <v/>
      </c>
      <c r="AG4536" s="15" t="str">
        <f>IF(OR(AF4536="",AF4536="ERRO_CHAVE"),"",IFERROR(MATCH(AF4536,'Quitados DUPP'!$U$1:$U$6635,0),""))</f>
        <v/>
      </c>
      <c r="AH4536" s="15" t="str">
        <f t="shared" si="2"/>
        <v/>
      </c>
      <c r="AI4536" s="17" t="str">
        <f>IF(AG4536="","",INDEX('Quitados DUPP'!$G$1:$G$6635,AG4536))</f>
        <v/>
      </c>
      <c r="AJ4536" s="17" t="str">
        <f t="shared" si="3"/>
        <v/>
      </c>
    </row>
    <row r="4537" spans="31:36">
      <c r="AE4537" s="15" t="str">
        <f t="shared" si="0"/>
        <v/>
      </c>
      <c r="AF4537" s="15" t="str">
        <f t="shared" si="1"/>
        <v/>
      </c>
      <c r="AG4537" s="15" t="str">
        <f>IF(OR(AF4537="",AF4537="ERRO_CHAVE"),"",IFERROR(MATCH(AF4537,'Quitados DUPP'!$U$1:$U$6635,0),""))</f>
        <v/>
      </c>
      <c r="AH4537" s="15" t="str">
        <f t="shared" si="2"/>
        <v/>
      </c>
      <c r="AI4537" s="17" t="str">
        <f>IF(AG4537="","",INDEX('Quitados DUPP'!$G$1:$G$6635,AG4537))</f>
        <v/>
      </c>
      <c r="AJ4537" s="17" t="str">
        <f t="shared" si="3"/>
        <v/>
      </c>
    </row>
    <row r="4538" spans="31:36">
      <c r="AE4538" s="15" t="str">
        <f t="shared" si="0"/>
        <v/>
      </c>
      <c r="AF4538" s="15" t="str">
        <f t="shared" si="1"/>
        <v/>
      </c>
      <c r="AG4538" s="15" t="str">
        <f>IF(OR(AF4538="",AF4538="ERRO_CHAVE"),"",IFERROR(MATCH(AF4538,'Quitados DUPP'!$U$1:$U$6635,0),""))</f>
        <v/>
      </c>
      <c r="AH4538" s="15" t="str">
        <f t="shared" si="2"/>
        <v/>
      </c>
      <c r="AI4538" s="17" t="str">
        <f>IF(AG4538="","",INDEX('Quitados DUPP'!$G$1:$G$6635,AG4538))</f>
        <v/>
      </c>
      <c r="AJ4538" s="17" t="str">
        <f t="shared" si="3"/>
        <v/>
      </c>
    </row>
    <row r="4539" spans="31:36">
      <c r="AE4539" s="15" t="str">
        <f t="shared" si="0"/>
        <v/>
      </c>
      <c r="AF4539" s="15" t="str">
        <f t="shared" si="1"/>
        <v/>
      </c>
      <c r="AG4539" s="15" t="str">
        <f>IF(OR(AF4539="",AF4539="ERRO_CHAVE"),"",IFERROR(MATCH(AF4539,'Quitados DUPP'!$U$1:$U$6635,0),""))</f>
        <v/>
      </c>
      <c r="AH4539" s="15" t="str">
        <f t="shared" si="2"/>
        <v/>
      </c>
      <c r="AI4539" s="17" t="str">
        <f>IF(AG4539="","",INDEX('Quitados DUPP'!$G$1:$G$6635,AG4539))</f>
        <v/>
      </c>
      <c r="AJ4539" s="17" t="str">
        <f t="shared" si="3"/>
        <v/>
      </c>
    </row>
    <row r="4540" spans="31:36">
      <c r="AE4540" s="15" t="str">
        <f t="shared" si="0"/>
        <v/>
      </c>
      <c r="AF4540" s="15" t="str">
        <f t="shared" si="1"/>
        <v/>
      </c>
      <c r="AG4540" s="15" t="str">
        <f>IF(OR(AF4540="",AF4540="ERRO_CHAVE"),"",IFERROR(MATCH(AF4540,'Quitados DUPP'!$U$1:$U$6635,0),""))</f>
        <v/>
      </c>
      <c r="AH4540" s="15" t="str">
        <f t="shared" si="2"/>
        <v/>
      </c>
      <c r="AI4540" s="17" t="str">
        <f>IF(AG4540="","",INDEX('Quitados DUPP'!$G$1:$G$6635,AG4540))</f>
        <v/>
      </c>
      <c r="AJ4540" s="17" t="str">
        <f t="shared" si="3"/>
        <v/>
      </c>
    </row>
    <row r="4541" spans="31:36">
      <c r="AE4541" s="15" t="str">
        <f t="shared" si="0"/>
        <v/>
      </c>
      <c r="AF4541" s="15" t="str">
        <f t="shared" si="1"/>
        <v/>
      </c>
      <c r="AG4541" s="15" t="str">
        <f>IF(OR(AF4541="",AF4541="ERRO_CHAVE"),"",IFERROR(MATCH(AF4541,'Quitados DUPP'!$U$1:$U$6635,0),""))</f>
        <v/>
      </c>
      <c r="AH4541" s="15" t="str">
        <f t="shared" si="2"/>
        <v/>
      </c>
      <c r="AI4541" s="17" t="str">
        <f>IF(AG4541="","",INDEX('Quitados DUPP'!$G$1:$G$6635,AG4541))</f>
        <v/>
      </c>
      <c r="AJ4541" s="17" t="str">
        <f t="shared" si="3"/>
        <v/>
      </c>
    </row>
    <row r="4542" spans="31:36">
      <c r="AE4542" s="15" t="str">
        <f t="shared" si="0"/>
        <v/>
      </c>
      <c r="AF4542" s="15" t="str">
        <f t="shared" si="1"/>
        <v/>
      </c>
      <c r="AG4542" s="15" t="str">
        <f>IF(OR(AF4542="",AF4542="ERRO_CHAVE"),"",IFERROR(MATCH(AF4542,'Quitados DUPP'!$U$1:$U$6635,0),""))</f>
        <v/>
      </c>
      <c r="AH4542" s="15" t="str">
        <f t="shared" si="2"/>
        <v/>
      </c>
      <c r="AI4542" s="17" t="str">
        <f>IF(AG4542="","",INDEX('Quitados DUPP'!$G$1:$G$6635,AG4542))</f>
        <v/>
      </c>
      <c r="AJ4542" s="17" t="str">
        <f t="shared" si="3"/>
        <v/>
      </c>
    </row>
    <row r="4543" spans="31:36">
      <c r="AE4543" s="15" t="str">
        <f t="shared" si="0"/>
        <v/>
      </c>
      <c r="AF4543" s="15" t="str">
        <f t="shared" si="1"/>
        <v/>
      </c>
      <c r="AG4543" s="15" t="str">
        <f>IF(OR(AF4543="",AF4543="ERRO_CHAVE"),"",IFERROR(MATCH(AF4543,'Quitados DUPP'!$U$1:$U$6635,0),""))</f>
        <v/>
      </c>
      <c r="AH4543" s="15" t="str">
        <f t="shared" si="2"/>
        <v/>
      </c>
      <c r="AI4543" s="17" t="str">
        <f>IF(AG4543="","",INDEX('Quitados DUPP'!$G$1:$G$6635,AG4543))</f>
        <v/>
      </c>
      <c r="AJ4543" s="17" t="str">
        <f t="shared" si="3"/>
        <v/>
      </c>
    </row>
    <row r="4544" spans="31:36">
      <c r="AE4544" s="15" t="str">
        <f t="shared" si="0"/>
        <v/>
      </c>
      <c r="AF4544" s="15" t="str">
        <f t="shared" si="1"/>
        <v/>
      </c>
      <c r="AG4544" s="15" t="str">
        <f>IF(OR(AF4544="",AF4544="ERRO_CHAVE"),"",IFERROR(MATCH(AF4544,'Quitados DUPP'!$U$1:$U$6635,0),""))</f>
        <v/>
      </c>
      <c r="AH4544" s="15" t="str">
        <f t="shared" si="2"/>
        <v/>
      </c>
      <c r="AI4544" s="17" t="str">
        <f>IF(AG4544="","",INDEX('Quitados DUPP'!$G$1:$G$6635,AG4544))</f>
        <v/>
      </c>
      <c r="AJ4544" s="17" t="str">
        <f t="shared" si="3"/>
        <v/>
      </c>
    </row>
    <row r="4545" spans="31:36">
      <c r="AE4545" s="15" t="str">
        <f t="shared" si="0"/>
        <v/>
      </c>
      <c r="AF4545" s="15" t="str">
        <f t="shared" si="1"/>
        <v/>
      </c>
      <c r="AG4545" s="15" t="str">
        <f>IF(OR(AF4545="",AF4545="ERRO_CHAVE"),"",IFERROR(MATCH(AF4545,'Quitados DUPP'!$U$1:$U$6635,0),""))</f>
        <v/>
      </c>
      <c r="AH4545" s="15" t="str">
        <f t="shared" si="2"/>
        <v/>
      </c>
      <c r="AI4545" s="17" t="str">
        <f>IF(AG4545="","",INDEX('Quitados DUPP'!$G$1:$G$6635,AG4545))</f>
        <v/>
      </c>
      <c r="AJ4545" s="17" t="str">
        <f t="shared" si="3"/>
        <v/>
      </c>
    </row>
    <row r="4546" spans="31:36">
      <c r="AE4546" s="15" t="str">
        <f t="shared" si="0"/>
        <v/>
      </c>
      <c r="AF4546" s="15" t="str">
        <f t="shared" si="1"/>
        <v/>
      </c>
      <c r="AG4546" s="15" t="str">
        <f>IF(OR(AF4546="",AF4546="ERRO_CHAVE"),"",IFERROR(MATCH(AF4546,'Quitados DUPP'!$U$1:$U$6635,0),""))</f>
        <v/>
      </c>
      <c r="AH4546" s="15" t="str">
        <f t="shared" si="2"/>
        <v/>
      </c>
      <c r="AI4546" s="17" t="str">
        <f>IF(AG4546="","",INDEX('Quitados DUPP'!$G$1:$G$6635,AG4546))</f>
        <v/>
      </c>
      <c r="AJ4546" s="17" t="str">
        <f t="shared" si="3"/>
        <v/>
      </c>
    </row>
    <row r="4547" spans="31:36">
      <c r="AE4547" s="15" t="str">
        <f t="shared" si="0"/>
        <v/>
      </c>
      <c r="AF4547" s="15" t="str">
        <f t="shared" si="1"/>
        <v/>
      </c>
      <c r="AG4547" s="15" t="str">
        <f>IF(OR(AF4547="",AF4547="ERRO_CHAVE"),"",IFERROR(MATCH(AF4547,'Quitados DUPP'!$U$1:$U$6635,0),""))</f>
        <v/>
      </c>
      <c r="AH4547" s="15" t="str">
        <f t="shared" si="2"/>
        <v/>
      </c>
      <c r="AI4547" s="17" t="str">
        <f>IF(AG4547="","",INDEX('Quitados DUPP'!$G$1:$G$6635,AG4547))</f>
        <v/>
      </c>
      <c r="AJ4547" s="17" t="str">
        <f t="shared" si="3"/>
        <v/>
      </c>
    </row>
    <row r="4548" spans="31:36">
      <c r="AE4548" s="15" t="str">
        <f t="shared" si="0"/>
        <v/>
      </c>
      <c r="AF4548" s="15" t="str">
        <f t="shared" si="1"/>
        <v/>
      </c>
      <c r="AG4548" s="15" t="str">
        <f>IF(OR(AF4548="",AF4548="ERRO_CHAVE"),"",IFERROR(MATCH(AF4548,'Quitados DUPP'!$U$1:$U$6635,0),""))</f>
        <v/>
      </c>
      <c r="AH4548" s="15" t="str">
        <f t="shared" si="2"/>
        <v/>
      </c>
      <c r="AI4548" s="17" t="str">
        <f>IF(AG4548="","",INDEX('Quitados DUPP'!$G$1:$G$6635,AG4548))</f>
        <v/>
      </c>
      <c r="AJ4548" s="17" t="str">
        <f t="shared" si="3"/>
        <v/>
      </c>
    </row>
    <row r="4549" spans="31:36">
      <c r="AE4549" s="15" t="str">
        <f t="shared" si="0"/>
        <v/>
      </c>
      <c r="AF4549" s="15" t="str">
        <f t="shared" si="1"/>
        <v/>
      </c>
      <c r="AG4549" s="15" t="str">
        <f>IF(OR(AF4549="",AF4549="ERRO_CHAVE"),"",IFERROR(MATCH(AF4549,'Quitados DUPP'!$U$1:$U$6635,0),""))</f>
        <v/>
      </c>
      <c r="AH4549" s="15" t="str">
        <f t="shared" si="2"/>
        <v/>
      </c>
      <c r="AI4549" s="17" t="str">
        <f>IF(AG4549="","",INDEX('Quitados DUPP'!$G$1:$G$6635,AG4549))</f>
        <v/>
      </c>
      <c r="AJ4549" s="17" t="str">
        <f t="shared" si="3"/>
        <v/>
      </c>
    </row>
    <row r="4550" spans="31:36">
      <c r="AE4550" s="15" t="str">
        <f t="shared" si="0"/>
        <v/>
      </c>
      <c r="AF4550" s="15" t="str">
        <f t="shared" si="1"/>
        <v/>
      </c>
      <c r="AG4550" s="15" t="str">
        <f>IF(OR(AF4550="",AF4550="ERRO_CHAVE"),"",IFERROR(MATCH(AF4550,'Quitados DUPP'!$U$1:$U$6635,0),""))</f>
        <v/>
      </c>
      <c r="AH4550" s="15" t="str">
        <f t="shared" si="2"/>
        <v/>
      </c>
      <c r="AI4550" s="17" t="str">
        <f>IF(AG4550="","",INDEX('Quitados DUPP'!$G$1:$G$6635,AG4550))</f>
        <v/>
      </c>
      <c r="AJ4550" s="17" t="str">
        <f t="shared" si="3"/>
        <v/>
      </c>
    </row>
    <row r="4551" spans="31:36">
      <c r="AE4551" s="15" t="str">
        <f t="shared" si="0"/>
        <v/>
      </c>
      <c r="AF4551" s="15" t="str">
        <f t="shared" si="1"/>
        <v/>
      </c>
      <c r="AG4551" s="15" t="str">
        <f>IF(OR(AF4551="",AF4551="ERRO_CHAVE"),"",IFERROR(MATCH(AF4551,'Quitados DUPP'!$U$1:$U$6635,0),""))</f>
        <v/>
      </c>
      <c r="AH4551" s="15" t="str">
        <f t="shared" si="2"/>
        <v/>
      </c>
      <c r="AI4551" s="17" t="str">
        <f>IF(AG4551="","",INDEX('Quitados DUPP'!$G$1:$G$6635,AG4551))</f>
        <v/>
      </c>
      <c r="AJ4551" s="17" t="str">
        <f t="shared" si="3"/>
        <v/>
      </c>
    </row>
    <row r="4552" spans="31:36">
      <c r="AE4552" s="15" t="str">
        <f t="shared" si="0"/>
        <v/>
      </c>
      <c r="AF4552" s="15" t="str">
        <f t="shared" si="1"/>
        <v/>
      </c>
      <c r="AG4552" s="15" t="str">
        <f>IF(OR(AF4552="",AF4552="ERRO_CHAVE"),"",IFERROR(MATCH(AF4552,'Quitados DUPP'!$U$1:$U$6635,0),""))</f>
        <v/>
      </c>
      <c r="AH4552" s="15" t="str">
        <f t="shared" si="2"/>
        <v/>
      </c>
      <c r="AI4552" s="17" t="str">
        <f>IF(AG4552="","",INDEX('Quitados DUPP'!$G$1:$G$6635,AG4552))</f>
        <v/>
      </c>
      <c r="AJ4552" s="17" t="str">
        <f t="shared" si="3"/>
        <v/>
      </c>
    </row>
    <row r="4553" spans="31:36">
      <c r="AE4553" s="15" t="str">
        <f t="shared" si="0"/>
        <v/>
      </c>
      <c r="AF4553" s="15" t="str">
        <f t="shared" si="1"/>
        <v/>
      </c>
      <c r="AG4553" s="15" t="str">
        <f>IF(OR(AF4553="",AF4553="ERRO_CHAVE"),"",IFERROR(MATCH(AF4553,'Quitados DUPP'!$U$1:$U$6635,0),""))</f>
        <v/>
      </c>
      <c r="AH4553" s="15" t="str">
        <f t="shared" si="2"/>
        <v/>
      </c>
      <c r="AI4553" s="17" t="str">
        <f>IF(AG4553="","",INDEX('Quitados DUPP'!$G$1:$G$6635,AG4553))</f>
        <v/>
      </c>
      <c r="AJ4553" s="17" t="str">
        <f t="shared" si="3"/>
        <v/>
      </c>
    </row>
    <row r="4554" spans="31:36">
      <c r="AE4554" s="15" t="str">
        <f t="shared" si="0"/>
        <v/>
      </c>
      <c r="AF4554" s="15" t="str">
        <f t="shared" si="1"/>
        <v/>
      </c>
      <c r="AG4554" s="15" t="str">
        <f>IF(OR(AF4554="",AF4554="ERRO_CHAVE"),"",IFERROR(MATCH(AF4554,'Quitados DUPP'!$U$1:$U$6635,0),""))</f>
        <v/>
      </c>
      <c r="AH4554" s="15" t="str">
        <f t="shared" si="2"/>
        <v/>
      </c>
      <c r="AI4554" s="17" t="str">
        <f>IF(AG4554="","",INDEX('Quitados DUPP'!$G$1:$G$6635,AG4554))</f>
        <v/>
      </c>
      <c r="AJ4554" s="17" t="str">
        <f t="shared" si="3"/>
        <v/>
      </c>
    </row>
    <row r="4555" spans="31:36">
      <c r="AE4555" s="15" t="str">
        <f t="shared" si="0"/>
        <v/>
      </c>
      <c r="AF4555" s="15" t="str">
        <f t="shared" si="1"/>
        <v/>
      </c>
      <c r="AG4555" s="15" t="str">
        <f>IF(OR(AF4555="",AF4555="ERRO_CHAVE"),"",IFERROR(MATCH(AF4555,'Quitados DUPP'!$U$1:$U$6635,0),""))</f>
        <v/>
      </c>
      <c r="AH4555" s="15" t="str">
        <f t="shared" si="2"/>
        <v/>
      </c>
      <c r="AI4555" s="17" t="str">
        <f>IF(AG4555="","",INDEX('Quitados DUPP'!$G$1:$G$6635,AG4555))</f>
        <v/>
      </c>
      <c r="AJ4555" s="17" t="str">
        <f t="shared" si="3"/>
        <v/>
      </c>
    </row>
    <row r="4556" spans="31:36">
      <c r="AE4556" s="15" t="str">
        <f t="shared" si="0"/>
        <v/>
      </c>
      <c r="AF4556" s="15" t="str">
        <f t="shared" si="1"/>
        <v/>
      </c>
      <c r="AG4556" s="15" t="str">
        <f>IF(OR(AF4556="",AF4556="ERRO_CHAVE"),"",IFERROR(MATCH(AF4556,'Quitados DUPP'!$U$1:$U$6635,0),""))</f>
        <v/>
      </c>
      <c r="AH4556" s="15" t="str">
        <f t="shared" si="2"/>
        <v/>
      </c>
      <c r="AI4556" s="17" t="str">
        <f>IF(AG4556="","",INDEX('Quitados DUPP'!$G$1:$G$6635,AG4556))</f>
        <v/>
      </c>
      <c r="AJ4556" s="17" t="str">
        <f t="shared" si="3"/>
        <v/>
      </c>
    </row>
    <row r="4557" spans="31:36">
      <c r="AE4557" s="15" t="str">
        <f t="shared" si="0"/>
        <v/>
      </c>
      <c r="AF4557" s="15" t="str">
        <f t="shared" si="1"/>
        <v/>
      </c>
      <c r="AG4557" s="15" t="str">
        <f>IF(OR(AF4557="",AF4557="ERRO_CHAVE"),"",IFERROR(MATCH(AF4557,'Quitados DUPP'!$U$1:$U$6635,0),""))</f>
        <v/>
      </c>
      <c r="AH4557" s="15" t="str">
        <f t="shared" si="2"/>
        <v/>
      </c>
      <c r="AI4557" s="17" t="str">
        <f>IF(AG4557="","",INDEX('Quitados DUPP'!$G$1:$G$6635,AG4557))</f>
        <v/>
      </c>
      <c r="AJ4557" s="17" t="str">
        <f t="shared" si="3"/>
        <v/>
      </c>
    </row>
    <row r="4558" spans="31:36">
      <c r="AE4558" s="15" t="str">
        <f t="shared" si="0"/>
        <v/>
      </c>
      <c r="AF4558" s="15" t="str">
        <f t="shared" si="1"/>
        <v/>
      </c>
      <c r="AG4558" s="15" t="str">
        <f>IF(OR(AF4558="",AF4558="ERRO_CHAVE"),"",IFERROR(MATCH(AF4558,'Quitados DUPP'!$U$1:$U$6635,0),""))</f>
        <v/>
      </c>
      <c r="AH4558" s="15" t="str">
        <f t="shared" si="2"/>
        <v/>
      </c>
      <c r="AI4558" s="17" t="str">
        <f>IF(AG4558="","",INDEX('Quitados DUPP'!$G$1:$G$6635,AG4558))</f>
        <v/>
      </c>
      <c r="AJ4558" s="17" t="str">
        <f t="shared" si="3"/>
        <v/>
      </c>
    </row>
    <row r="4559" spans="31:36">
      <c r="AE4559" s="15" t="str">
        <f t="shared" si="0"/>
        <v/>
      </c>
      <c r="AF4559" s="15" t="str">
        <f t="shared" si="1"/>
        <v/>
      </c>
      <c r="AG4559" s="15" t="str">
        <f>IF(OR(AF4559="",AF4559="ERRO_CHAVE"),"",IFERROR(MATCH(AF4559,'Quitados DUPP'!$U$1:$U$6635,0),""))</f>
        <v/>
      </c>
      <c r="AH4559" s="15" t="str">
        <f t="shared" si="2"/>
        <v/>
      </c>
      <c r="AI4559" s="17" t="str">
        <f>IF(AG4559="","",INDEX('Quitados DUPP'!$G$1:$G$6635,AG4559))</f>
        <v/>
      </c>
      <c r="AJ4559" s="17" t="str">
        <f t="shared" si="3"/>
        <v/>
      </c>
    </row>
    <row r="4560" spans="31:36">
      <c r="AE4560" s="15" t="str">
        <f t="shared" si="0"/>
        <v/>
      </c>
      <c r="AF4560" s="15" t="str">
        <f t="shared" si="1"/>
        <v/>
      </c>
      <c r="AG4560" s="15" t="str">
        <f>IF(OR(AF4560="",AF4560="ERRO_CHAVE"),"",IFERROR(MATCH(AF4560,'Quitados DUPP'!$U$1:$U$6635,0),""))</f>
        <v/>
      </c>
      <c r="AH4560" s="15" t="str">
        <f t="shared" si="2"/>
        <v/>
      </c>
      <c r="AI4560" s="17" t="str">
        <f>IF(AG4560="","",INDEX('Quitados DUPP'!$G$1:$G$6635,AG4560))</f>
        <v/>
      </c>
      <c r="AJ4560" s="17" t="str">
        <f t="shared" si="3"/>
        <v/>
      </c>
    </row>
    <row r="4561" spans="31:36">
      <c r="AE4561" s="15" t="str">
        <f t="shared" si="0"/>
        <v/>
      </c>
      <c r="AF4561" s="15" t="str">
        <f t="shared" si="1"/>
        <v/>
      </c>
      <c r="AG4561" s="15" t="str">
        <f>IF(OR(AF4561="",AF4561="ERRO_CHAVE"),"",IFERROR(MATCH(AF4561,'Quitados DUPP'!$U$1:$U$6635,0),""))</f>
        <v/>
      </c>
      <c r="AH4561" s="15" t="str">
        <f t="shared" si="2"/>
        <v/>
      </c>
      <c r="AI4561" s="17" t="str">
        <f>IF(AG4561="","",INDEX('Quitados DUPP'!$G$1:$G$6635,AG4561))</f>
        <v/>
      </c>
      <c r="AJ4561" s="17" t="str">
        <f t="shared" si="3"/>
        <v/>
      </c>
    </row>
    <row r="4562" spans="31:36">
      <c r="AE4562" s="15" t="str">
        <f t="shared" si="0"/>
        <v/>
      </c>
      <c r="AF4562" s="15" t="str">
        <f t="shared" si="1"/>
        <v/>
      </c>
      <c r="AG4562" s="15" t="str">
        <f>IF(OR(AF4562="",AF4562="ERRO_CHAVE"),"",IFERROR(MATCH(AF4562,'Quitados DUPP'!$U$1:$U$6635,0),""))</f>
        <v/>
      </c>
      <c r="AH4562" s="15" t="str">
        <f t="shared" si="2"/>
        <v/>
      </c>
      <c r="AI4562" s="17" t="str">
        <f>IF(AG4562="","",INDEX('Quitados DUPP'!$G$1:$G$6635,AG4562))</f>
        <v/>
      </c>
      <c r="AJ4562" s="17" t="str">
        <f t="shared" si="3"/>
        <v/>
      </c>
    </row>
    <row r="4563" spans="31:36">
      <c r="AE4563" s="15" t="str">
        <f t="shared" si="0"/>
        <v/>
      </c>
      <c r="AF4563" s="15" t="str">
        <f t="shared" si="1"/>
        <v/>
      </c>
      <c r="AG4563" s="15" t="str">
        <f>IF(OR(AF4563="",AF4563="ERRO_CHAVE"),"",IFERROR(MATCH(AF4563,'Quitados DUPP'!$U$1:$U$6635,0),""))</f>
        <v/>
      </c>
      <c r="AH4563" s="15" t="str">
        <f t="shared" si="2"/>
        <v/>
      </c>
      <c r="AI4563" s="17" t="str">
        <f>IF(AG4563="","",INDEX('Quitados DUPP'!$G$1:$G$6635,AG4563))</f>
        <v/>
      </c>
      <c r="AJ4563" s="17" t="str">
        <f t="shared" si="3"/>
        <v/>
      </c>
    </row>
    <row r="4564" spans="31:36">
      <c r="AE4564" s="15" t="str">
        <f t="shared" si="0"/>
        <v/>
      </c>
      <c r="AF4564" s="15" t="str">
        <f t="shared" si="1"/>
        <v/>
      </c>
      <c r="AG4564" s="15" t="str">
        <f>IF(OR(AF4564="",AF4564="ERRO_CHAVE"),"",IFERROR(MATCH(AF4564,'Quitados DUPP'!$U$1:$U$6635,0),""))</f>
        <v/>
      </c>
      <c r="AH4564" s="15" t="str">
        <f t="shared" si="2"/>
        <v/>
      </c>
      <c r="AI4564" s="17" t="str">
        <f>IF(AG4564="","",INDEX('Quitados DUPP'!$G$1:$G$6635,AG4564))</f>
        <v/>
      </c>
      <c r="AJ4564" s="17" t="str">
        <f t="shared" si="3"/>
        <v/>
      </c>
    </row>
    <row r="4565" spans="31:36">
      <c r="AE4565" s="15" t="str">
        <f t="shared" si="0"/>
        <v/>
      </c>
      <c r="AF4565" s="15" t="str">
        <f t="shared" si="1"/>
        <v/>
      </c>
      <c r="AG4565" s="15" t="str">
        <f>IF(OR(AF4565="",AF4565="ERRO_CHAVE"),"",IFERROR(MATCH(AF4565,'Quitados DUPP'!$U$1:$U$6635,0),""))</f>
        <v/>
      </c>
      <c r="AH4565" s="15" t="str">
        <f t="shared" si="2"/>
        <v/>
      </c>
      <c r="AI4565" s="17" t="str">
        <f>IF(AG4565="","",INDEX('Quitados DUPP'!$G$1:$G$6635,AG4565))</f>
        <v/>
      </c>
      <c r="AJ4565" s="17" t="str">
        <f t="shared" si="3"/>
        <v/>
      </c>
    </row>
    <row r="4566" spans="31:36">
      <c r="AE4566" s="15" t="str">
        <f t="shared" si="0"/>
        <v/>
      </c>
      <c r="AF4566" s="15" t="str">
        <f t="shared" si="1"/>
        <v/>
      </c>
      <c r="AG4566" s="15" t="str">
        <f>IF(OR(AF4566="",AF4566="ERRO_CHAVE"),"",IFERROR(MATCH(AF4566,'Quitados DUPP'!$U$1:$U$6635,0),""))</f>
        <v/>
      </c>
      <c r="AH4566" s="15" t="str">
        <f t="shared" si="2"/>
        <v/>
      </c>
      <c r="AI4566" s="17" t="str">
        <f>IF(AG4566="","",INDEX('Quitados DUPP'!$G$1:$G$6635,AG4566))</f>
        <v/>
      </c>
      <c r="AJ4566" s="17" t="str">
        <f t="shared" si="3"/>
        <v/>
      </c>
    </row>
    <row r="4567" spans="31:36">
      <c r="AE4567" s="15" t="str">
        <f t="shared" si="0"/>
        <v/>
      </c>
      <c r="AF4567" s="15" t="str">
        <f t="shared" si="1"/>
        <v/>
      </c>
      <c r="AG4567" s="15" t="str">
        <f>IF(OR(AF4567="",AF4567="ERRO_CHAVE"),"",IFERROR(MATCH(AF4567,'Quitados DUPP'!$U$1:$U$6635,0),""))</f>
        <v/>
      </c>
      <c r="AH4567" s="15" t="str">
        <f t="shared" si="2"/>
        <v/>
      </c>
      <c r="AI4567" s="17" t="str">
        <f>IF(AG4567="","",INDEX('Quitados DUPP'!$G$1:$G$6635,AG4567))</f>
        <v/>
      </c>
      <c r="AJ4567" s="17" t="str">
        <f t="shared" si="3"/>
        <v/>
      </c>
    </row>
    <row r="4568" spans="31:36">
      <c r="AE4568" s="15" t="str">
        <f t="shared" si="0"/>
        <v/>
      </c>
      <c r="AF4568" s="15" t="str">
        <f t="shared" si="1"/>
        <v/>
      </c>
      <c r="AG4568" s="15" t="str">
        <f>IF(OR(AF4568="",AF4568="ERRO_CHAVE"),"",IFERROR(MATCH(AF4568,'Quitados DUPP'!$U$1:$U$6635,0),""))</f>
        <v/>
      </c>
      <c r="AH4568" s="15" t="str">
        <f t="shared" si="2"/>
        <v/>
      </c>
      <c r="AI4568" s="17" t="str">
        <f>IF(AG4568="","",INDEX('Quitados DUPP'!$G$1:$G$6635,AG4568))</f>
        <v/>
      </c>
      <c r="AJ4568" s="17" t="str">
        <f t="shared" si="3"/>
        <v/>
      </c>
    </row>
    <row r="4569" spans="31:36">
      <c r="AE4569" s="15" t="str">
        <f t="shared" si="0"/>
        <v/>
      </c>
      <c r="AF4569" s="15" t="str">
        <f t="shared" si="1"/>
        <v/>
      </c>
      <c r="AG4569" s="15" t="str">
        <f>IF(OR(AF4569="",AF4569="ERRO_CHAVE"),"",IFERROR(MATCH(AF4569,'Quitados DUPP'!$U$1:$U$6635,0),""))</f>
        <v/>
      </c>
      <c r="AH4569" s="15" t="str">
        <f t="shared" si="2"/>
        <v/>
      </c>
      <c r="AI4569" s="17" t="str">
        <f>IF(AG4569="","",INDEX('Quitados DUPP'!$G$1:$G$6635,AG4569))</f>
        <v/>
      </c>
      <c r="AJ4569" s="17" t="str">
        <f t="shared" si="3"/>
        <v/>
      </c>
    </row>
    <row r="4570" spans="31:36">
      <c r="AE4570" s="15" t="str">
        <f t="shared" si="0"/>
        <v/>
      </c>
      <c r="AF4570" s="15" t="str">
        <f t="shared" si="1"/>
        <v/>
      </c>
      <c r="AG4570" s="15" t="str">
        <f>IF(OR(AF4570="",AF4570="ERRO_CHAVE"),"",IFERROR(MATCH(AF4570,'Quitados DUPP'!$U$1:$U$6635,0),""))</f>
        <v/>
      </c>
      <c r="AH4570" s="15" t="str">
        <f t="shared" si="2"/>
        <v/>
      </c>
      <c r="AI4570" s="17" t="str">
        <f>IF(AG4570="","",INDEX('Quitados DUPP'!$G$1:$G$6635,AG4570))</f>
        <v/>
      </c>
      <c r="AJ4570" s="17" t="str">
        <f t="shared" si="3"/>
        <v/>
      </c>
    </row>
    <row r="4571" spans="31:36">
      <c r="AE4571" s="15" t="str">
        <f t="shared" si="0"/>
        <v/>
      </c>
      <c r="AF4571" s="15" t="str">
        <f t="shared" si="1"/>
        <v/>
      </c>
      <c r="AG4571" s="15" t="str">
        <f>IF(OR(AF4571="",AF4571="ERRO_CHAVE"),"",IFERROR(MATCH(AF4571,'Quitados DUPP'!$U$1:$U$6635,0),""))</f>
        <v/>
      </c>
      <c r="AH4571" s="15" t="str">
        <f t="shared" si="2"/>
        <v/>
      </c>
      <c r="AI4571" s="17" t="str">
        <f>IF(AG4571="","",INDEX('Quitados DUPP'!$G$1:$G$6635,AG4571))</f>
        <v/>
      </c>
      <c r="AJ4571" s="17" t="str">
        <f t="shared" si="3"/>
        <v/>
      </c>
    </row>
    <row r="4572" spans="31:36">
      <c r="AE4572" s="15" t="str">
        <f t="shared" si="0"/>
        <v/>
      </c>
      <c r="AF4572" s="15" t="str">
        <f t="shared" si="1"/>
        <v/>
      </c>
      <c r="AG4572" s="15" t="str">
        <f>IF(OR(AF4572="",AF4572="ERRO_CHAVE"),"",IFERROR(MATCH(AF4572,'Quitados DUPP'!$U$1:$U$6635,0),""))</f>
        <v/>
      </c>
      <c r="AH4572" s="15" t="str">
        <f t="shared" si="2"/>
        <v/>
      </c>
      <c r="AI4572" s="17" t="str">
        <f>IF(AG4572="","",INDEX('Quitados DUPP'!$G$1:$G$6635,AG4572))</f>
        <v/>
      </c>
      <c r="AJ4572" s="17" t="str">
        <f t="shared" si="3"/>
        <v/>
      </c>
    </row>
    <row r="4573" spans="31:36">
      <c r="AE4573" s="15" t="str">
        <f t="shared" si="0"/>
        <v/>
      </c>
      <c r="AF4573" s="15" t="str">
        <f t="shared" si="1"/>
        <v/>
      </c>
      <c r="AG4573" s="15" t="str">
        <f>IF(OR(AF4573="",AF4573="ERRO_CHAVE"),"",IFERROR(MATCH(AF4573,'Quitados DUPP'!$U$1:$U$6635,0),""))</f>
        <v/>
      </c>
      <c r="AH4573" s="15" t="str">
        <f t="shared" si="2"/>
        <v/>
      </c>
      <c r="AI4573" s="17" t="str">
        <f>IF(AG4573="","",INDEX('Quitados DUPP'!$G$1:$G$6635,AG4573))</f>
        <v/>
      </c>
      <c r="AJ4573" s="17" t="str">
        <f t="shared" si="3"/>
        <v/>
      </c>
    </row>
    <row r="4574" spans="31:36">
      <c r="AE4574" s="15" t="str">
        <f t="shared" si="0"/>
        <v/>
      </c>
      <c r="AF4574" s="15" t="str">
        <f t="shared" si="1"/>
        <v/>
      </c>
      <c r="AG4574" s="15" t="str">
        <f>IF(OR(AF4574="",AF4574="ERRO_CHAVE"),"",IFERROR(MATCH(AF4574,'Quitados DUPP'!$U$1:$U$6635,0),""))</f>
        <v/>
      </c>
      <c r="AH4574" s="15" t="str">
        <f t="shared" si="2"/>
        <v/>
      </c>
      <c r="AI4574" s="17" t="str">
        <f>IF(AG4574="","",INDEX('Quitados DUPP'!$G$1:$G$6635,AG4574))</f>
        <v/>
      </c>
      <c r="AJ4574" s="17" t="str">
        <f t="shared" si="3"/>
        <v/>
      </c>
    </row>
    <row r="4575" spans="31:36">
      <c r="AE4575" s="15" t="str">
        <f t="shared" si="0"/>
        <v/>
      </c>
      <c r="AF4575" s="15" t="str">
        <f t="shared" si="1"/>
        <v/>
      </c>
      <c r="AG4575" s="15" t="str">
        <f>IF(OR(AF4575="",AF4575="ERRO_CHAVE"),"",IFERROR(MATCH(AF4575,'Quitados DUPP'!$U$1:$U$6635,0),""))</f>
        <v/>
      </c>
      <c r="AH4575" s="15" t="str">
        <f t="shared" si="2"/>
        <v/>
      </c>
      <c r="AI4575" s="17" t="str">
        <f>IF(AG4575="","",INDEX('Quitados DUPP'!$G$1:$G$6635,AG4575))</f>
        <v/>
      </c>
      <c r="AJ4575" s="17" t="str">
        <f t="shared" si="3"/>
        <v/>
      </c>
    </row>
    <row r="4576" spans="31:36">
      <c r="AE4576" s="15" t="str">
        <f t="shared" si="0"/>
        <v/>
      </c>
      <c r="AF4576" s="15" t="str">
        <f t="shared" si="1"/>
        <v/>
      </c>
      <c r="AG4576" s="15" t="str">
        <f>IF(OR(AF4576="",AF4576="ERRO_CHAVE"),"",IFERROR(MATCH(AF4576,'Quitados DUPP'!$U$1:$U$6635,0),""))</f>
        <v/>
      </c>
      <c r="AH4576" s="15" t="str">
        <f t="shared" si="2"/>
        <v/>
      </c>
      <c r="AI4576" s="17" t="str">
        <f>IF(AG4576="","",INDEX('Quitados DUPP'!$G$1:$G$6635,AG4576))</f>
        <v/>
      </c>
      <c r="AJ4576" s="17" t="str">
        <f t="shared" si="3"/>
        <v/>
      </c>
    </row>
    <row r="4577" spans="31:36">
      <c r="AE4577" s="15" t="str">
        <f t="shared" si="0"/>
        <v/>
      </c>
      <c r="AF4577" s="15" t="str">
        <f t="shared" si="1"/>
        <v/>
      </c>
      <c r="AG4577" s="15" t="str">
        <f>IF(OR(AF4577="",AF4577="ERRO_CHAVE"),"",IFERROR(MATCH(AF4577,'Quitados DUPP'!$U$1:$U$6635,0),""))</f>
        <v/>
      </c>
      <c r="AH4577" s="15" t="str">
        <f t="shared" si="2"/>
        <v/>
      </c>
      <c r="AI4577" s="17" t="str">
        <f>IF(AG4577="","",INDEX('Quitados DUPP'!$G$1:$G$6635,AG4577))</f>
        <v/>
      </c>
      <c r="AJ4577" s="17" t="str">
        <f t="shared" si="3"/>
        <v/>
      </c>
    </row>
    <row r="4578" spans="31:36">
      <c r="AE4578" s="15" t="str">
        <f t="shared" si="0"/>
        <v/>
      </c>
      <c r="AF4578" s="15" t="str">
        <f t="shared" si="1"/>
        <v/>
      </c>
      <c r="AG4578" s="15" t="str">
        <f>IF(OR(AF4578="",AF4578="ERRO_CHAVE"),"",IFERROR(MATCH(AF4578,'Quitados DUPP'!$U$1:$U$6635,0),""))</f>
        <v/>
      </c>
      <c r="AH4578" s="15" t="str">
        <f t="shared" si="2"/>
        <v/>
      </c>
      <c r="AI4578" s="17" t="str">
        <f>IF(AG4578="","",INDEX('Quitados DUPP'!$G$1:$G$6635,AG4578))</f>
        <v/>
      </c>
      <c r="AJ4578" s="17" t="str">
        <f t="shared" si="3"/>
        <v/>
      </c>
    </row>
    <row r="4579" spans="31:36">
      <c r="AE4579" s="15" t="str">
        <f t="shared" si="0"/>
        <v/>
      </c>
      <c r="AF4579" s="15" t="str">
        <f t="shared" si="1"/>
        <v/>
      </c>
      <c r="AG4579" s="15" t="str">
        <f>IF(OR(AF4579="",AF4579="ERRO_CHAVE"),"",IFERROR(MATCH(AF4579,'Quitados DUPP'!$U$1:$U$6635,0),""))</f>
        <v/>
      </c>
      <c r="AH4579" s="15" t="str">
        <f t="shared" si="2"/>
        <v/>
      </c>
      <c r="AI4579" s="17" t="str">
        <f>IF(AG4579="","",INDEX('Quitados DUPP'!$G$1:$G$6635,AG4579))</f>
        <v/>
      </c>
      <c r="AJ4579" s="17" t="str">
        <f t="shared" si="3"/>
        <v/>
      </c>
    </row>
    <row r="4580" spans="31:36">
      <c r="AE4580" s="15" t="str">
        <f t="shared" si="0"/>
        <v/>
      </c>
      <c r="AF4580" s="15" t="str">
        <f t="shared" si="1"/>
        <v/>
      </c>
      <c r="AG4580" s="15" t="str">
        <f>IF(OR(AF4580="",AF4580="ERRO_CHAVE"),"",IFERROR(MATCH(AF4580,'Quitados DUPP'!$U$1:$U$6635,0),""))</f>
        <v/>
      </c>
      <c r="AH4580" s="15" t="str">
        <f t="shared" si="2"/>
        <v/>
      </c>
      <c r="AI4580" s="17" t="str">
        <f>IF(AG4580="","",INDEX('Quitados DUPP'!$G$1:$G$6635,AG4580))</f>
        <v/>
      </c>
      <c r="AJ4580" s="17" t="str">
        <f t="shared" si="3"/>
        <v/>
      </c>
    </row>
    <row r="4581" spans="31:36">
      <c r="AE4581" s="15" t="str">
        <f t="shared" si="0"/>
        <v/>
      </c>
      <c r="AF4581" s="15" t="str">
        <f t="shared" si="1"/>
        <v/>
      </c>
      <c r="AG4581" s="15" t="str">
        <f>IF(OR(AF4581="",AF4581="ERRO_CHAVE"),"",IFERROR(MATCH(AF4581,'Quitados DUPP'!$U$1:$U$6635,0),""))</f>
        <v/>
      </c>
      <c r="AH4581" s="15" t="str">
        <f t="shared" si="2"/>
        <v/>
      </c>
      <c r="AI4581" s="17" t="str">
        <f>IF(AG4581="","",INDEX('Quitados DUPP'!$G$1:$G$6635,AG4581))</f>
        <v/>
      </c>
      <c r="AJ4581" s="17" t="str">
        <f t="shared" si="3"/>
        <v/>
      </c>
    </row>
    <row r="4582" spans="31:36">
      <c r="AE4582" s="15" t="str">
        <f t="shared" si="0"/>
        <v/>
      </c>
      <c r="AF4582" s="15" t="str">
        <f t="shared" si="1"/>
        <v/>
      </c>
      <c r="AG4582" s="15" t="str">
        <f>IF(OR(AF4582="",AF4582="ERRO_CHAVE"),"",IFERROR(MATCH(AF4582,'Quitados DUPP'!$U$1:$U$6635,0),""))</f>
        <v/>
      </c>
      <c r="AH4582" s="15" t="str">
        <f t="shared" si="2"/>
        <v/>
      </c>
      <c r="AI4582" s="17" t="str">
        <f>IF(AG4582="","",INDEX('Quitados DUPP'!$G$1:$G$6635,AG4582))</f>
        <v/>
      </c>
      <c r="AJ4582" s="17" t="str">
        <f t="shared" si="3"/>
        <v/>
      </c>
    </row>
    <row r="4583" spans="31:36">
      <c r="AE4583" s="15" t="str">
        <f t="shared" si="0"/>
        <v/>
      </c>
      <c r="AF4583" s="15" t="str">
        <f t="shared" si="1"/>
        <v/>
      </c>
      <c r="AG4583" s="15" t="str">
        <f>IF(OR(AF4583="",AF4583="ERRO_CHAVE"),"",IFERROR(MATCH(AF4583,'Quitados DUPP'!$U$1:$U$6635,0),""))</f>
        <v/>
      </c>
      <c r="AH4583" s="15" t="str">
        <f t="shared" si="2"/>
        <v/>
      </c>
      <c r="AI4583" s="17" t="str">
        <f>IF(AG4583="","",INDEX('Quitados DUPP'!$G$1:$G$6635,AG4583))</f>
        <v/>
      </c>
      <c r="AJ4583" s="17" t="str">
        <f t="shared" si="3"/>
        <v/>
      </c>
    </row>
    <row r="4584" spans="31:36">
      <c r="AE4584" s="15" t="str">
        <f t="shared" si="0"/>
        <v/>
      </c>
      <c r="AF4584" s="15" t="str">
        <f t="shared" si="1"/>
        <v/>
      </c>
      <c r="AG4584" s="15" t="str">
        <f>IF(OR(AF4584="",AF4584="ERRO_CHAVE"),"",IFERROR(MATCH(AF4584,'Quitados DUPP'!$U$1:$U$6635,0),""))</f>
        <v/>
      </c>
      <c r="AH4584" s="15" t="str">
        <f t="shared" si="2"/>
        <v/>
      </c>
      <c r="AI4584" s="17" t="str">
        <f>IF(AG4584="","",INDEX('Quitados DUPP'!$G$1:$G$6635,AG4584))</f>
        <v/>
      </c>
      <c r="AJ4584" s="17" t="str">
        <f t="shared" si="3"/>
        <v/>
      </c>
    </row>
    <row r="4585" spans="31:36">
      <c r="AE4585" s="15" t="str">
        <f t="shared" si="0"/>
        <v/>
      </c>
      <c r="AF4585" s="15" t="str">
        <f t="shared" si="1"/>
        <v/>
      </c>
      <c r="AG4585" s="15" t="str">
        <f>IF(OR(AF4585="",AF4585="ERRO_CHAVE"),"",IFERROR(MATCH(AF4585,'Quitados DUPP'!$U$1:$U$6635,0),""))</f>
        <v/>
      </c>
      <c r="AH4585" s="15" t="str">
        <f t="shared" si="2"/>
        <v/>
      </c>
      <c r="AI4585" s="17" t="str">
        <f>IF(AG4585="","",INDEX('Quitados DUPP'!$G$1:$G$6635,AG4585))</f>
        <v/>
      </c>
      <c r="AJ4585" s="17" t="str">
        <f t="shared" si="3"/>
        <v/>
      </c>
    </row>
    <row r="4586" spans="31:36">
      <c r="AE4586" s="15" t="str">
        <f t="shared" si="0"/>
        <v/>
      </c>
      <c r="AF4586" s="15" t="str">
        <f t="shared" si="1"/>
        <v/>
      </c>
      <c r="AG4586" s="15" t="str">
        <f>IF(OR(AF4586="",AF4586="ERRO_CHAVE"),"",IFERROR(MATCH(AF4586,'Quitados DUPP'!$U$1:$U$6635,0),""))</f>
        <v/>
      </c>
      <c r="AH4586" s="15" t="str">
        <f t="shared" si="2"/>
        <v/>
      </c>
      <c r="AI4586" s="17" t="str">
        <f>IF(AG4586="","",INDEX('Quitados DUPP'!$G$1:$G$6635,AG4586))</f>
        <v/>
      </c>
      <c r="AJ4586" s="17" t="str">
        <f t="shared" si="3"/>
        <v/>
      </c>
    </row>
    <row r="4587" spans="31:36">
      <c r="AE4587" s="15" t="str">
        <f t="shared" si="0"/>
        <v/>
      </c>
      <c r="AF4587" s="15" t="str">
        <f t="shared" si="1"/>
        <v/>
      </c>
      <c r="AG4587" s="15" t="str">
        <f>IF(OR(AF4587="",AF4587="ERRO_CHAVE"),"",IFERROR(MATCH(AF4587,'Quitados DUPP'!$U$1:$U$6635,0),""))</f>
        <v/>
      </c>
      <c r="AH4587" s="15" t="str">
        <f t="shared" si="2"/>
        <v/>
      </c>
      <c r="AI4587" s="17" t="str">
        <f>IF(AG4587="","",INDEX('Quitados DUPP'!$G$1:$G$6635,AG4587))</f>
        <v/>
      </c>
      <c r="AJ4587" s="17" t="str">
        <f t="shared" si="3"/>
        <v/>
      </c>
    </row>
    <row r="4588" spans="31:36">
      <c r="AE4588" s="15" t="str">
        <f t="shared" si="0"/>
        <v/>
      </c>
      <c r="AF4588" s="15" t="str">
        <f t="shared" si="1"/>
        <v/>
      </c>
      <c r="AG4588" s="15" t="str">
        <f>IF(OR(AF4588="",AF4588="ERRO_CHAVE"),"",IFERROR(MATCH(AF4588,'Quitados DUPP'!$U$1:$U$6635,0),""))</f>
        <v/>
      </c>
      <c r="AH4588" s="15" t="str">
        <f t="shared" si="2"/>
        <v/>
      </c>
      <c r="AI4588" s="17" t="str">
        <f>IF(AG4588="","",INDEX('Quitados DUPP'!$G$1:$G$6635,AG4588))</f>
        <v/>
      </c>
      <c r="AJ4588" s="17" t="str">
        <f t="shared" si="3"/>
        <v/>
      </c>
    </row>
    <row r="4589" spans="31:36">
      <c r="AE4589" s="15" t="str">
        <f t="shared" si="0"/>
        <v/>
      </c>
      <c r="AF4589" s="15" t="str">
        <f t="shared" si="1"/>
        <v/>
      </c>
      <c r="AG4589" s="15" t="str">
        <f>IF(OR(AF4589="",AF4589="ERRO_CHAVE"),"",IFERROR(MATCH(AF4589,'Quitados DUPP'!$U$1:$U$6635,0),""))</f>
        <v/>
      </c>
      <c r="AH4589" s="15" t="str">
        <f t="shared" si="2"/>
        <v/>
      </c>
      <c r="AI4589" s="17" t="str">
        <f>IF(AG4589="","",INDEX('Quitados DUPP'!$G$1:$G$6635,AG4589))</f>
        <v/>
      </c>
      <c r="AJ4589" s="17" t="str">
        <f t="shared" si="3"/>
        <v/>
      </c>
    </row>
    <row r="4590" spans="31:36">
      <c r="AE4590" s="15" t="str">
        <f t="shared" si="0"/>
        <v/>
      </c>
      <c r="AF4590" s="15" t="str">
        <f t="shared" si="1"/>
        <v/>
      </c>
      <c r="AG4590" s="15" t="str">
        <f>IF(OR(AF4590="",AF4590="ERRO_CHAVE"),"",IFERROR(MATCH(AF4590,'Quitados DUPP'!$U$1:$U$6635,0),""))</f>
        <v/>
      </c>
      <c r="AH4590" s="15" t="str">
        <f t="shared" si="2"/>
        <v/>
      </c>
      <c r="AI4590" s="17" t="str">
        <f>IF(AG4590="","",INDEX('Quitados DUPP'!$G$1:$G$6635,AG4590))</f>
        <v/>
      </c>
      <c r="AJ4590" s="17" t="str">
        <f t="shared" si="3"/>
        <v/>
      </c>
    </row>
    <row r="4591" spans="31:36">
      <c r="AE4591" s="15" t="str">
        <f t="shared" si="0"/>
        <v/>
      </c>
      <c r="AF4591" s="15" t="str">
        <f t="shared" si="1"/>
        <v/>
      </c>
      <c r="AG4591" s="15" t="str">
        <f>IF(OR(AF4591="",AF4591="ERRO_CHAVE"),"",IFERROR(MATCH(AF4591,'Quitados DUPP'!$U$1:$U$6635,0),""))</f>
        <v/>
      </c>
      <c r="AH4591" s="15" t="str">
        <f t="shared" si="2"/>
        <v/>
      </c>
      <c r="AI4591" s="17" t="str">
        <f>IF(AG4591="","",INDEX('Quitados DUPP'!$G$1:$G$6635,AG4591))</f>
        <v/>
      </c>
      <c r="AJ4591" s="17" t="str">
        <f t="shared" si="3"/>
        <v/>
      </c>
    </row>
    <row r="4592" spans="31:36">
      <c r="AE4592" s="15" t="str">
        <f t="shared" si="0"/>
        <v/>
      </c>
      <c r="AF4592" s="15" t="str">
        <f t="shared" si="1"/>
        <v/>
      </c>
      <c r="AG4592" s="15" t="str">
        <f>IF(OR(AF4592="",AF4592="ERRO_CHAVE"),"",IFERROR(MATCH(AF4592,'Quitados DUPP'!$U$1:$U$6635,0),""))</f>
        <v/>
      </c>
      <c r="AH4592" s="15" t="str">
        <f t="shared" si="2"/>
        <v/>
      </c>
      <c r="AI4592" s="17" t="str">
        <f>IF(AG4592="","",INDEX('Quitados DUPP'!$G$1:$G$6635,AG4592))</f>
        <v/>
      </c>
      <c r="AJ4592" s="17" t="str">
        <f t="shared" si="3"/>
        <v/>
      </c>
    </row>
    <row r="4593" spans="31:36">
      <c r="AE4593" s="15" t="str">
        <f t="shared" si="0"/>
        <v/>
      </c>
      <c r="AF4593" s="15" t="str">
        <f t="shared" si="1"/>
        <v/>
      </c>
      <c r="AG4593" s="15" t="str">
        <f>IF(OR(AF4593="",AF4593="ERRO_CHAVE"),"",IFERROR(MATCH(AF4593,'Quitados DUPP'!$U$1:$U$6635,0),""))</f>
        <v/>
      </c>
      <c r="AH4593" s="15" t="str">
        <f t="shared" si="2"/>
        <v/>
      </c>
      <c r="AI4593" s="17" t="str">
        <f>IF(AG4593="","",INDEX('Quitados DUPP'!$G$1:$G$6635,AG4593))</f>
        <v/>
      </c>
      <c r="AJ4593" s="17" t="str">
        <f t="shared" si="3"/>
        <v/>
      </c>
    </row>
    <row r="4594" spans="31:36">
      <c r="AE4594" s="15" t="str">
        <f t="shared" si="0"/>
        <v/>
      </c>
      <c r="AF4594" s="15" t="str">
        <f t="shared" si="1"/>
        <v/>
      </c>
      <c r="AG4594" s="15" t="str">
        <f>IF(OR(AF4594="",AF4594="ERRO_CHAVE"),"",IFERROR(MATCH(AF4594,'Quitados DUPP'!$U$1:$U$6635,0),""))</f>
        <v/>
      </c>
      <c r="AH4594" s="15" t="str">
        <f t="shared" si="2"/>
        <v/>
      </c>
      <c r="AI4594" s="17" t="str">
        <f>IF(AG4594="","",INDEX('Quitados DUPP'!$G$1:$G$6635,AG4594))</f>
        <v/>
      </c>
      <c r="AJ4594" s="17" t="str">
        <f t="shared" si="3"/>
        <v/>
      </c>
    </row>
    <row r="4595" spans="31:36">
      <c r="AE4595" s="15" t="str">
        <f t="shared" si="0"/>
        <v/>
      </c>
      <c r="AF4595" s="15" t="str">
        <f t="shared" si="1"/>
        <v/>
      </c>
      <c r="AG4595" s="15" t="str">
        <f>IF(OR(AF4595="",AF4595="ERRO_CHAVE"),"",IFERROR(MATCH(AF4595,'Quitados DUPP'!$U$1:$U$6635,0),""))</f>
        <v/>
      </c>
      <c r="AH4595" s="15" t="str">
        <f t="shared" si="2"/>
        <v/>
      </c>
      <c r="AI4595" s="17" t="str">
        <f>IF(AG4595="","",INDEX('Quitados DUPP'!$G$1:$G$6635,AG4595))</f>
        <v/>
      </c>
      <c r="AJ4595" s="17" t="str">
        <f t="shared" si="3"/>
        <v/>
      </c>
    </row>
    <row r="4596" spans="31:36">
      <c r="AE4596" s="15" t="str">
        <f t="shared" si="0"/>
        <v/>
      </c>
      <c r="AF4596" s="15" t="str">
        <f t="shared" si="1"/>
        <v/>
      </c>
      <c r="AG4596" s="15" t="str">
        <f>IF(OR(AF4596="",AF4596="ERRO_CHAVE"),"",IFERROR(MATCH(AF4596,'Quitados DUPP'!$U$1:$U$6635,0),""))</f>
        <v/>
      </c>
      <c r="AH4596" s="15" t="str">
        <f t="shared" si="2"/>
        <v/>
      </c>
      <c r="AI4596" s="17" t="str">
        <f>IF(AG4596="","",INDEX('Quitados DUPP'!$G$1:$G$6635,AG4596))</f>
        <v/>
      </c>
      <c r="AJ4596" s="17" t="str">
        <f t="shared" si="3"/>
        <v/>
      </c>
    </row>
    <row r="4597" spans="31:36">
      <c r="AE4597" s="15" t="str">
        <f t="shared" si="0"/>
        <v/>
      </c>
      <c r="AF4597" s="15" t="str">
        <f t="shared" si="1"/>
        <v/>
      </c>
      <c r="AG4597" s="15" t="str">
        <f>IF(OR(AF4597="",AF4597="ERRO_CHAVE"),"",IFERROR(MATCH(AF4597,'Quitados DUPP'!$U$1:$U$6635,0),""))</f>
        <v/>
      </c>
      <c r="AH4597" s="15" t="str">
        <f t="shared" si="2"/>
        <v/>
      </c>
      <c r="AI4597" s="17" t="str">
        <f>IF(AG4597="","",INDEX('Quitados DUPP'!$G$1:$G$6635,AG4597))</f>
        <v/>
      </c>
      <c r="AJ4597" s="17" t="str">
        <f t="shared" si="3"/>
        <v/>
      </c>
    </row>
    <row r="4598" spans="31:36">
      <c r="AE4598" s="15" t="str">
        <f t="shared" si="0"/>
        <v/>
      </c>
      <c r="AF4598" s="15" t="str">
        <f t="shared" si="1"/>
        <v/>
      </c>
      <c r="AG4598" s="15" t="str">
        <f>IF(OR(AF4598="",AF4598="ERRO_CHAVE"),"",IFERROR(MATCH(AF4598,'Quitados DUPP'!$U$1:$U$6635,0),""))</f>
        <v/>
      </c>
      <c r="AH4598" s="15" t="str">
        <f t="shared" si="2"/>
        <v/>
      </c>
      <c r="AI4598" s="17" t="str">
        <f>IF(AG4598="","",INDEX('Quitados DUPP'!$G$1:$G$6635,AG4598))</f>
        <v/>
      </c>
      <c r="AJ4598" s="17" t="str">
        <f t="shared" si="3"/>
        <v/>
      </c>
    </row>
    <row r="4599" spans="31:36">
      <c r="AE4599" s="15" t="str">
        <f t="shared" si="0"/>
        <v/>
      </c>
      <c r="AF4599" s="15" t="str">
        <f t="shared" si="1"/>
        <v/>
      </c>
      <c r="AG4599" s="15" t="str">
        <f>IF(OR(AF4599="",AF4599="ERRO_CHAVE"),"",IFERROR(MATCH(AF4599,'Quitados DUPP'!$U$1:$U$6635,0),""))</f>
        <v/>
      </c>
      <c r="AH4599" s="15" t="str">
        <f t="shared" si="2"/>
        <v/>
      </c>
      <c r="AI4599" s="17" t="str">
        <f>IF(AG4599="","",INDEX('Quitados DUPP'!$G$1:$G$6635,AG4599))</f>
        <v/>
      </c>
      <c r="AJ4599" s="17" t="str">
        <f t="shared" si="3"/>
        <v/>
      </c>
    </row>
    <row r="4600" spans="31:36">
      <c r="AE4600" s="15" t="str">
        <f t="shared" si="0"/>
        <v/>
      </c>
      <c r="AF4600" s="15" t="str">
        <f t="shared" si="1"/>
        <v/>
      </c>
      <c r="AG4600" s="15" t="str">
        <f>IF(OR(AF4600="",AF4600="ERRO_CHAVE"),"",IFERROR(MATCH(AF4600,'Quitados DUPP'!$U$1:$U$6635,0),""))</f>
        <v/>
      </c>
      <c r="AH4600" s="15" t="str">
        <f t="shared" si="2"/>
        <v/>
      </c>
      <c r="AI4600" s="17" t="str">
        <f>IF(AG4600="","",INDEX('Quitados DUPP'!$G$1:$G$6635,AG4600))</f>
        <v/>
      </c>
      <c r="AJ4600" s="17" t="str">
        <f t="shared" si="3"/>
        <v/>
      </c>
    </row>
    <row r="4601" spans="31:36">
      <c r="AE4601" s="15" t="str">
        <f t="shared" si="0"/>
        <v/>
      </c>
      <c r="AF4601" s="15" t="str">
        <f t="shared" si="1"/>
        <v/>
      </c>
      <c r="AG4601" s="15" t="str">
        <f>IF(OR(AF4601="",AF4601="ERRO_CHAVE"),"",IFERROR(MATCH(AF4601,'Quitados DUPP'!$U$1:$U$6635,0),""))</f>
        <v/>
      </c>
      <c r="AH4601" s="15" t="str">
        <f t="shared" si="2"/>
        <v/>
      </c>
      <c r="AI4601" s="17" t="str">
        <f>IF(AG4601="","",INDEX('Quitados DUPP'!$G$1:$G$6635,AG4601))</f>
        <v/>
      </c>
      <c r="AJ4601" s="17" t="str">
        <f t="shared" si="3"/>
        <v/>
      </c>
    </row>
    <row r="4602" spans="31:36">
      <c r="AE4602" s="15" t="str">
        <f t="shared" si="0"/>
        <v/>
      </c>
      <c r="AF4602" s="15" t="str">
        <f t="shared" si="1"/>
        <v/>
      </c>
      <c r="AG4602" s="15" t="str">
        <f>IF(OR(AF4602="",AF4602="ERRO_CHAVE"),"",IFERROR(MATCH(AF4602,'Quitados DUPP'!$U$1:$U$6635,0),""))</f>
        <v/>
      </c>
      <c r="AH4602" s="15" t="str">
        <f t="shared" si="2"/>
        <v/>
      </c>
      <c r="AI4602" s="17" t="str">
        <f>IF(AG4602="","",INDEX('Quitados DUPP'!$G$1:$G$6635,AG4602))</f>
        <v/>
      </c>
      <c r="AJ4602" s="17" t="str">
        <f t="shared" si="3"/>
        <v/>
      </c>
    </row>
    <row r="4603" spans="31:36">
      <c r="AE4603" s="15" t="str">
        <f t="shared" si="0"/>
        <v/>
      </c>
      <c r="AF4603" s="15" t="str">
        <f t="shared" si="1"/>
        <v/>
      </c>
      <c r="AG4603" s="15" t="str">
        <f>IF(OR(AF4603="",AF4603="ERRO_CHAVE"),"",IFERROR(MATCH(AF4603,'Quitados DUPP'!$U$1:$U$6635,0),""))</f>
        <v/>
      </c>
      <c r="AH4603" s="15" t="str">
        <f t="shared" si="2"/>
        <v/>
      </c>
      <c r="AI4603" s="17" t="str">
        <f>IF(AG4603="","",INDEX('Quitados DUPP'!$G$1:$G$6635,AG4603))</f>
        <v/>
      </c>
      <c r="AJ4603" s="17" t="str">
        <f t="shared" si="3"/>
        <v/>
      </c>
    </row>
    <row r="4604" spans="31:36">
      <c r="AE4604" s="15" t="str">
        <f t="shared" si="0"/>
        <v/>
      </c>
      <c r="AF4604" s="15" t="str">
        <f t="shared" si="1"/>
        <v/>
      </c>
      <c r="AG4604" s="15" t="str">
        <f>IF(OR(AF4604="",AF4604="ERRO_CHAVE"),"",IFERROR(MATCH(AF4604,'Quitados DUPP'!$U$1:$U$6635,0),""))</f>
        <v/>
      </c>
      <c r="AH4604" s="15" t="str">
        <f t="shared" si="2"/>
        <v/>
      </c>
      <c r="AI4604" s="17" t="str">
        <f>IF(AG4604="","",INDEX('Quitados DUPP'!$G$1:$G$6635,AG4604))</f>
        <v/>
      </c>
      <c r="AJ4604" s="17" t="str">
        <f t="shared" si="3"/>
        <v/>
      </c>
    </row>
    <row r="4605" spans="31:36">
      <c r="AE4605" s="15" t="str">
        <f t="shared" si="0"/>
        <v/>
      </c>
      <c r="AF4605" s="15" t="str">
        <f t="shared" si="1"/>
        <v/>
      </c>
      <c r="AG4605" s="15" t="str">
        <f>IF(OR(AF4605="",AF4605="ERRO_CHAVE"),"",IFERROR(MATCH(AF4605,'Quitados DUPP'!$U$1:$U$6635,0),""))</f>
        <v/>
      </c>
      <c r="AH4605" s="15" t="str">
        <f t="shared" si="2"/>
        <v/>
      </c>
      <c r="AI4605" s="17" t="str">
        <f>IF(AG4605="","",INDEX('Quitados DUPP'!$G$1:$G$6635,AG4605))</f>
        <v/>
      </c>
      <c r="AJ4605" s="17" t="str">
        <f t="shared" si="3"/>
        <v/>
      </c>
    </row>
    <row r="4606" spans="31:36">
      <c r="AE4606" s="15" t="str">
        <f t="shared" si="0"/>
        <v/>
      </c>
      <c r="AF4606" s="15" t="str">
        <f t="shared" si="1"/>
        <v/>
      </c>
      <c r="AG4606" s="15" t="str">
        <f>IF(OR(AF4606="",AF4606="ERRO_CHAVE"),"",IFERROR(MATCH(AF4606,'Quitados DUPP'!$U$1:$U$6635,0),""))</f>
        <v/>
      </c>
      <c r="AH4606" s="15" t="str">
        <f t="shared" si="2"/>
        <v/>
      </c>
      <c r="AI4606" s="17" t="str">
        <f>IF(AG4606="","",INDEX('Quitados DUPP'!$G$1:$G$6635,AG4606))</f>
        <v/>
      </c>
      <c r="AJ4606" s="17" t="str">
        <f t="shared" si="3"/>
        <v/>
      </c>
    </row>
    <row r="4607" spans="31:36">
      <c r="AE4607" s="15" t="str">
        <f t="shared" si="0"/>
        <v/>
      </c>
      <c r="AF4607" s="15" t="str">
        <f t="shared" si="1"/>
        <v/>
      </c>
      <c r="AG4607" s="15" t="str">
        <f>IF(OR(AF4607="",AF4607="ERRO_CHAVE"),"",IFERROR(MATCH(AF4607,'Quitados DUPP'!$U$1:$U$6635,0),""))</f>
        <v/>
      </c>
      <c r="AH4607" s="15" t="str">
        <f t="shared" si="2"/>
        <v/>
      </c>
      <c r="AI4607" s="17" t="str">
        <f>IF(AG4607="","",INDEX('Quitados DUPP'!$G$1:$G$6635,AG4607))</f>
        <v/>
      </c>
      <c r="AJ4607" s="17" t="str">
        <f t="shared" si="3"/>
        <v/>
      </c>
    </row>
    <row r="4608" spans="31:36">
      <c r="AE4608" s="15" t="str">
        <f t="shared" si="0"/>
        <v/>
      </c>
      <c r="AF4608" s="15" t="str">
        <f t="shared" si="1"/>
        <v/>
      </c>
      <c r="AG4608" s="15" t="str">
        <f>IF(OR(AF4608="",AF4608="ERRO_CHAVE"),"",IFERROR(MATCH(AF4608,'Quitados DUPP'!$U$1:$U$6635,0),""))</f>
        <v/>
      </c>
      <c r="AH4608" s="15" t="str">
        <f t="shared" si="2"/>
        <v/>
      </c>
      <c r="AI4608" s="17" t="str">
        <f>IF(AG4608="","",INDEX('Quitados DUPP'!$G$1:$G$6635,AG4608))</f>
        <v/>
      </c>
      <c r="AJ4608" s="17" t="str">
        <f t="shared" si="3"/>
        <v/>
      </c>
    </row>
    <row r="4609" spans="31:36">
      <c r="AE4609" s="15" t="str">
        <f t="shared" si="0"/>
        <v/>
      </c>
      <c r="AF4609" s="15" t="str">
        <f t="shared" si="1"/>
        <v/>
      </c>
      <c r="AG4609" s="15" t="str">
        <f>IF(OR(AF4609="",AF4609="ERRO_CHAVE"),"",IFERROR(MATCH(AF4609,'Quitados DUPP'!$U$1:$U$6635,0),""))</f>
        <v/>
      </c>
      <c r="AH4609" s="15" t="str">
        <f t="shared" si="2"/>
        <v/>
      </c>
      <c r="AI4609" s="17" t="str">
        <f>IF(AG4609="","",INDEX('Quitados DUPP'!$G$1:$G$6635,AG4609))</f>
        <v/>
      </c>
      <c r="AJ4609" s="17" t="str">
        <f t="shared" si="3"/>
        <v/>
      </c>
    </row>
    <row r="4610" spans="31:36">
      <c r="AE4610" s="15" t="str">
        <f t="shared" si="0"/>
        <v/>
      </c>
      <c r="AF4610" s="15" t="str">
        <f t="shared" si="1"/>
        <v/>
      </c>
      <c r="AG4610" s="15" t="str">
        <f>IF(OR(AF4610="",AF4610="ERRO_CHAVE"),"",IFERROR(MATCH(AF4610,'Quitados DUPP'!$U$1:$U$6635,0),""))</f>
        <v/>
      </c>
      <c r="AH4610" s="15" t="str">
        <f t="shared" si="2"/>
        <v/>
      </c>
      <c r="AI4610" s="17" t="str">
        <f>IF(AG4610="","",INDEX('Quitados DUPP'!$G$1:$G$6635,AG4610))</f>
        <v/>
      </c>
      <c r="AJ4610" s="17" t="str">
        <f t="shared" si="3"/>
        <v/>
      </c>
    </row>
    <row r="4611" spans="31:36">
      <c r="AE4611" s="15" t="str">
        <f t="shared" si="0"/>
        <v/>
      </c>
      <c r="AF4611" s="15" t="str">
        <f t="shared" si="1"/>
        <v/>
      </c>
      <c r="AG4611" s="15" t="str">
        <f>IF(OR(AF4611="",AF4611="ERRO_CHAVE"),"",IFERROR(MATCH(AF4611,'Quitados DUPP'!$U$1:$U$6635,0),""))</f>
        <v/>
      </c>
      <c r="AH4611" s="15" t="str">
        <f t="shared" si="2"/>
        <v/>
      </c>
      <c r="AI4611" s="17" t="str">
        <f>IF(AG4611="","",INDEX('Quitados DUPP'!$G$1:$G$6635,AG4611))</f>
        <v/>
      </c>
      <c r="AJ4611" s="17" t="str">
        <f t="shared" si="3"/>
        <v/>
      </c>
    </row>
    <row r="4612" spans="31:36">
      <c r="AE4612" s="15" t="str">
        <f t="shared" si="0"/>
        <v/>
      </c>
      <c r="AF4612" s="15" t="str">
        <f t="shared" si="1"/>
        <v/>
      </c>
      <c r="AG4612" s="15" t="str">
        <f>IF(OR(AF4612="",AF4612="ERRO_CHAVE"),"",IFERROR(MATCH(AF4612,'Quitados DUPP'!$U$1:$U$6635,0),""))</f>
        <v/>
      </c>
      <c r="AH4612" s="15" t="str">
        <f t="shared" si="2"/>
        <v/>
      </c>
      <c r="AI4612" s="17" t="str">
        <f>IF(AG4612="","",INDEX('Quitados DUPP'!$G$1:$G$6635,AG4612))</f>
        <v/>
      </c>
      <c r="AJ4612" s="17" t="str">
        <f t="shared" si="3"/>
        <v/>
      </c>
    </row>
    <row r="4613" spans="31:36">
      <c r="AE4613" s="15" t="str">
        <f t="shared" si="0"/>
        <v/>
      </c>
      <c r="AF4613" s="15" t="str">
        <f t="shared" si="1"/>
        <v/>
      </c>
      <c r="AG4613" s="15" t="str">
        <f>IF(OR(AF4613="",AF4613="ERRO_CHAVE"),"",IFERROR(MATCH(AF4613,'Quitados DUPP'!$U$1:$U$6635,0),""))</f>
        <v/>
      </c>
      <c r="AH4613" s="15" t="str">
        <f t="shared" si="2"/>
        <v/>
      </c>
      <c r="AI4613" s="17" t="str">
        <f>IF(AG4613="","",INDEX('Quitados DUPP'!$G$1:$G$6635,AG4613))</f>
        <v/>
      </c>
      <c r="AJ4613" s="17" t="str">
        <f t="shared" si="3"/>
        <v/>
      </c>
    </row>
    <row r="4614" spans="31:36">
      <c r="AE4614" s="15" t="str">
        <f t="shared" si="0"/>
        <v/>
      </c>
      <c r="AF4614" s="15" t="str">
        <f t="shared" si="1"/>
        <v/>
      </c>
      <c r="AG4614" s="15" t="str">
        <f>IF(OR(AF4614="",AF4614="ERRO_CHAVE"),"",IFERROR(MATCH(AF4614,'Quitados DUPP'!$U$1:$U$6635,0),""))</f>
        <v/>
      </c>
      <c r="AH4614" s="15" t="str">
        <f t="shared" si="2"/>
        <v/>
      </c>
      <c r="AI4614" s="17" t="str">
        <f>IF(AG4614="","",INDEX('Quitados DUPP'!$G$1:$G$6635,AG4614))</f>
        <v/>
      </c>
      <c r="AJ4614" s="17" t="str">
        <f t="shared" si="3"/>
        <v/>
      </c>
    </row>
    <row r="4615" spans="31:36">
      <c r="AE4615" s="15" t="str">
        <f t="shared" si="0"/>
        <v/>
      </c>
      <c r="AF4615" s="15" t="str">
        <f t="shared" si="1"/>
        <v/>
      </c>
      <c r="AG4615" s="15" t="str">
        <f>IF(OR(AF4615="",AF4615="ERRO_CHAVE"),"",IFERROR(MATCH(AF4615,'Quitados DUPP'!$U$1:$U$6635,0),""))</f>
        <v/>
      </c>
      <c r="AH4615" s="15" t="str">
        <f t="shared" si="2"/>
        <v/>
      </c>
      <c r="AI4615" s="17" t="str">
        <f>IF(AG4615="","",INDEX('Quitados DUPP'!$G$1:$G$6635,AG4615))</f>
        <v/>
      </c>
      <c r="AJ4615" s="17" t="str">
        <f t="shared" si="3"/>
        <v/>
      </c>
    </row>
    <row r="4616" spans="31:36">
      <c r="AE4616" s="15" t="str">
        <f t="shared" si="0"/>
        <v/>
      </c>
      <c r="AF4616" s="15" t="str">
        <f t="shared" si="1"/>
        <v/>
      </c>
      <c r="AG4616" s="15" t="str">
        <f>IF(OR(AF4616="",AF4616="ERRO_CHAVE"),"",IFERROR(MATCH(AF4616,'Quitados DUPP'!$U$1:$U$6635,0),""))</f>
        <v/>
      </c>
      <c r="AH4616" s="15" t="str">
        <f t="shared" si="2"/>
        <v/>
      </c>
      <c r="AI4616" s="17" t="str">
        <f>IF(AG4616="","",INDEX('Quitados DUPP'!$G$1:$G$6635,AG4616))</f>
        <v/>
      </c>
      <c r="AJ4616" s="17" t="str">
        <f t="shared" si="3"/>
        <v/>
      </c>
    </row>
    <row r="4617" spans="31:36">
      <c r="AE4617" s="15" t="str">
        <f t="shared" si="0"/>
        <v/>
      </c>
      <c r="AF4617" s="15" t="str">
        <f t="shared" si="1"/>
        <v/>
      </c>
      <c r="AG4617" s="15" t="str">
        <f>IF(OR(AF4617="",AF4617="ERRO_CHAVE"),"",IFERROR(MATCH(AF4617,'Quitados DUPP'!$U$1:$U$6635,0),""))</f>
        <v/>
      </c>
      <c r="AH4617" s="15" t="str">
        <f t="shared" si="2"/>
        <v/>
      </c>
      <c r="AI4617" s="17" t="str">
        <f>IF(AG4617="","",INDEX('Quitados DUPP'!$G$1:$G$6635,AG4617))</f>
        <v/>
      </c>
      <c r="AJ4617" s="17" t="str">
        <f t="shared" si="3"/>
        <v/>
      </c>
    </row>
    <row r="4618" spans="31:36">
      <c r="AE4618" s="15" t="str">
        <f t="shared" si="0"/>
        <v/>
      </c>
      <c r="AF4618" s="15" t="str">
        <f t="shared" si="1"/>
        <v/>
      </c>
      <c r="AG4618" s="15" t="str">
        <f>IF(OR(AF4618="",AF4618="ERRO_CHAVE"),"",IFERROR(MATCH(AF4618,'Quitados DUPP'!$U$1:$U$6635,0),""))</f>
        <v/>
      </c>
      <c r="AH4618" s="15" t="str">
        <f t="shared" si="2"/>
        <v/>
      </c>
      <c r="AI4618" s="17" t="str">
        <f>IF(AG4618="","",INDEX('Quitados DUPP'!$G$1:$G$6635,AG4618))</f>
        <v/>
      </c>
      <c r="AJ4618" s="17" t="str">
        <f t="shared" si="3"/>
        <v/>
      </c>
    </row>
    <row r="4619" spans="31:36">
      <c r="AE4619" s="15" t="str">
        <f t="shared" si="0"/>
        <v/>
      </c>
      <c r="AF4619" s="15" t="str">
        <f t="shared" si="1"/>
        <v/>
      </c>
      <c r="AG4619" s="15" t="str">
        <f>IF(OR(AF4619="",AF4619="ERRO_CHAVE"),"",IFERROR(MATCH(AF4619,'Quitados DUPP'!$U$1:$U$6635,0),""))</f>
        <v/>
      </c>
      <c r="AH4619" s="15" t="str">
        <f t="shared" si="2"/>
        <v/>
      </c>
      <c r="AI4619" s="17" t="str">
        <f>IF(AG4619="","",INDEX('Quitados DUPP'!$G$1:$G$6635,AG4619))</f>
        <v/>
      </c>
      <c r="AJ4619" s="17" t="str">
        <f t="shared" si="3"/>
        <v/>
      </c>
    </row>
    <row r="4620" spans="31:36">
      <c r="AE4620" s="15" t="str">
        <f t="shared" si="0"/>
        <v/>
      </c>
      <c r="AF4620" s="15" t="str">
        <f t="shared" si="1"/>
        <v/>
      </c>
      <c r="AG4620" s="15" t="str">
        <f>IF(OR(AF4620="",AF4620="ERRO_CHAVE"),"",IFERROR(MATCH(AF4620,'Quitados DUPP'!$U$1:$U$6635,0),""))</f>
        <v/>
      </c>
      <c r="AH4620" s="15" t="str">
        <f t="shared" si="2"/>
        <v/>
      </c>
      <c r="AI4620" s="17" t="str">
        <f>IF(AG4620="","",INDEX('Quitados DUPP'!$G$1:$G$6635,AG4620))</f>
        <v/>
      </c>
      <c r="AJ4620" s="17" t="str">
        <f t="shared" si="3"/>
        <v/>
      </c>
    </row>
    <row r="4621" spans="31:36">
      <c r="AE4621" s="15" t="str">
        <f t="shared" si="0"/>
        <v/>
      </c>
      <c r="AF4621" s="15" t="str">
        <f t="shared" si="1"/>
        <v/>
      </c>
      <c r="AG4621" s="15" t="str">
        <f>IF(OR(AF4621="",AF4621="ERRO_CHAVE"),"",IFERROR(MATCH(AF4621,'Quitados DUPP'!$U$1:$U$6635,0),""))</f>
        <v/>
      </c>
      <c r="AH4621" s="15" t="str">
        <f t="shared" si="2"/>
        <v/>
      </c>
      <c r="AI4621" s="17" t="str">
        <f>IF(AG4621="","",INDEX('Quitados DUPP'!$G$1:$G$6635,AG4621))</f>
        <v/>
      </c>
      <c r="AJ4621" s="17" t="str">
        <f t="shared" si="3"/>
        <v/>
      </c>
    </row>
    <row r="4622" spans="31:36">
      <c r="AE4622" s="15" t="str">
        <f t="shared" si="0"/>
        <v/>
      </c>
      <c r="AF4622" s="15" t="str">
        <f t="shared" si="1"/>
        <v/>
      </c>
      <c r="AG4622" s="15" t="str">
        <f>IF(OR(AF4622="",AF4622="ERRO_CHAVE"),"",IFERROR(MATCH(AF4622,'Quitados DUPP'!$U$1:$U$6635,0),""))</f>
        <v/>
      </c>
      <c r="AH4622" s="15" t="str">
        <f t="shared" si="2"/>
        <v/>
      </c>
      <c r="AI4622" s="17" t="str">
        <f>IF(AG4622="","",INDEX('Quitados DUPP'!$G$1:$G$6635,AG4622))</f>
        <v/>
      </c>
      <c r="AJ4622" s="17" t="str">
        <f t="shared" si="3"/>
        <v/>
      </c>
    </row>
    <row r="4623" spans="31:36">
      <c r="AE4623" s="15" t="str">
        <f t="shared" si="0"/>
        <v/>
      </c>
      <c r="AF4623" s="15" t="str">
        <f t="shared" si="1"/>
        <v/>
      </c>
      <c r="AG4623" s="15" t="str">
        <f>IF(OR(AF4623="",AF4623="ERRO_CHAVE"),"",IFERROR(MATCH(AF4623,'Quitados DUPP'!$U$1:$U$6635,0),""))</f>
        <v/>
      </c>
      <c r="AH4623" s="15" t="str">
        <f t="shared" si="2"/>
        <v/>
      </c>
      <c r="AI4623" s="17" t="str">
        <f>IF(AG4623="","",INDEX('Quitados DUPP'!$G$1:$G$6635,AG4623))</f>
        <v/>
      </c>
      <c r="AJ4623" s="17" t="str">
        <f t="shared" si="3"/>
        <v/>
      </c>
    </row>
    <row r="4624" spans="31:36">
      <c r="AE4624" s="15" t="str">
        <f t="shared" si="0"/>
        <v/>
      </c>
      <c r="AF4624" s="15" t="str">
        <f t="shared" si="1"/>
        <v/>
      </c>
      <c r="AG4624" s="15" t="str">
        <f>IF(OR(AF4624="",AF4624="ERRO_CHAVE"),"",IFERROR(MATCH(AF4624,'Quitados DUPP'!$U$1:$U$6635,0),""))</f>
        <v/>
      </c>
      <c r="AH4624" s="15" t="str">
        <f t="shared" si="2"/>
        <v/>
      </c>
      <c r="AI4624" s="17" t="str">
        <f>IF(AG4624="","",INDEX('Quitados DUPP'!$G$1:$G$6635,AG4624))</f>
        <v/>
      </c>
      <c r="AJ4624" s="17" t="str">
        <f t="shared" si="3"/>
        <v/>
      </c>
    </row>
    <row r="4625" spans="31:36">
      <c r="AE4625" s="15" t="str">
        <f t="shared" si="0"/>
        <v/>
      </c>
      <c r="AF4625" s="15" t="str">
        <f t="shared" si="1"/>
        <v/>
      </c>
      <c r="AG4625" s="15" t="str">
        <f>IF(OR(AF4625="",AF4625="ERRO_CHAVE"),"",IFERROR(MATCH(AF4625,'Quitados DUPP'!$U$1:$U$6635,0),""))</f>
        <v/>
      </c>
      <c r="AH4625" s="15" t="str">
        <f t="shared" si="2"/>
        <v/>
      </c>
      <c r="AI4625" s="17" t="str">
        <f>IF(AG4625="","",INDEX('Quitados DUPP'!$G$1:$G$6635,AG4625))</f>
        <v/>
      </c>
      <c r="AJ4625" s="17" t="str">
        <f t="shared" si="3"/>
        <v/>
      </c>
    </row>
    <row r="4626" spans="31:36">
      <c r="AE4626" s="15" t="str">
        <f t="shared" si="0"/>
        <v/>
      </c>
      <c r="AF4626" s="15" t="str">
        <f t="shared" si="1"/>
        <v/>
      </c>
      <c r="AG4626" s="15" t="str">
        <f>IF(OR(AF4626="",AF4626="ERRO_CHAVE"),"",IFERROR(MATCH(AF4626,'Quitados DUPP'!$U$1:$U$6635,0),""))</f>
        <v/>
      </c>
      <c r="AH4626" s="15" t="str">
        <f t="shared" si="2"/>
        <v/>
      </c>
      <c r="AI4626" s="17" t="str">
        <f>IF(AG4626="","",INDEX('Quitados DUPP'!$G$1:$G$6635,AG4626))</f>
        <v/>
      </c>
      <c r="AJ4626" s="17" t="str">
        <f t="shared" si="3"/>
        <v/>
      </c>
    </row>
    <row r="4627" spans="31:36">
      <c r="AE4627" s="15" t="str">
        <f t="shared" si="0"/>
        <v/>
      </c>
      <c r="AF4627" s="15" t="str">
        <f t="shared" si="1"/>
        <v/>
      </c>
      <c r="AG4627" s="15" t="str">
        <f>IF(OR(AF4627="",AF4627="ERRO_CHAVE"),"",IFERROR(MATCH(AF4627,'Quitados DUPP'!$U$1:$U$6635,0),""))</f>
        <v/>
      </c>
      <c r="AH4627" s="15" t="str">
        <f t="shared" si="2"/>
        <v/>
      </c>
      <c r="AI4627" s="17" t="str">
        <f>IF(AG4627="","",INDEX('Quitados DUPP'!$G$1:$G$6635,AG4627))</f>
        <v/>
      </c>
      <c r="AJ4627" s="17" t="str">
        <f t="shared" si="3"/>
        <v/>
      </c>
    </row>
    <row r="4628" spans="31:36">
      <c r="AE4628" s="15" t="str">
        <f t="shared" si="0"/>
        <v/>
      </c>
      <c r="AF4628" s="15" t="str">
        <f t="shared" si="1"/>
        <v/>
      </c>
      <c r="AG4628" s="15" t="str">
        <f>IF(OR(AF4628="",AF4628="ERRO_CHAVE"),"",IFERROR(MATCH(AF4628,'Quitados DUPP'!$U$1:$U$6635,0),""))</f>
        <v/>
      </c>
      <c r="AH4628" s="15" t="str">
        <f t="shared" si="2"/>
        <v/>
      </c>
      <c r="AI4628" s="17" t="str">
        <f>IF(AG4628="","",INDEX('Quitados DUPP'!$G$1:$G$6635,AG4628))</f>
        <v/>
      </c>
      <c r="AJ4628" s="17" t="str">
        <f t="shared" si="3"/>
        <v/>
      </c>
    </row>
    <row r="4629" spans="31:36">
      <c r="AE4629" s="15" t="str">
        <f t="shared" si="0"/>
        <v/>
      </c>
      <c r="AF4629" s="15" t="str">
        <f t="shared" si="1"/>
        <v/>
      </c>
      <c r="AG4629" s="15" t="str">
        <f>IF(OR(AF4629="",AF4629="ERRO_CHAVE"),"",IFERROR(MATCH(AF4629,'Quitados DUPP'!$U$1:$U$6635,0),""))</f>
        <v/>
      </c>
      <c r="AH4629" s="15" t="str">
        <f t="shared" si="2"/>
        <v/>
      </c>
      <c r="AI4629" s="17" t="str">
        <f>IF(AG4629="","",INDEX('Quitados DUPP'!$G$1:$G$6635,AG4629))</f>
        <v/>
      </c>
      <c r="AJ4629" s="17" t="str">
        <f t="shared" si="3"/>
        <v/>
      </c>
    </row>
    <row r="4630" spans="31:36">
      <c r="AE4630" s="15" t="str">
        <f t="shared" si="0"/>
        <v/>
      </c>
      <c r="AF4630" s="15" t="str">
        <f t="shared" si="1"/>
        <v/>
      </c>
      <c r="AG4630" s="15" t="str">
        <f>IF(OR(AF4630="",AF4630="ERRO_CHAVE"),"",IFERROR(MATCH(AF4630,'Quitados DUPP'!$U$1:$U$6635,0),""))</f>
        <v/>
      </c>
      <c r="AH4630" s="15" t="str">
        <f t="shared" si="2"/>
        <v/>
      </c>
      <c r="AI4630" s="17" t="str">
        <f>IF(AG4630="","",INDEX('Quitados DUPP'!$G$1:$G$6635,AG4630))</f>
        <v/>
      </c>
      <c r="AJ4630" s="17" t="str">
        <f t="shared" si="3"/>
        <v/>
      </c>
    </row>
    <row r="4631" spans="31:36">
      <c r="AE4631" s="15" t="str">
        <f t="shared" si="0"/>
        <v/>
      </c>
      <c r="AF4631" s="15" t="str">
        <f t="shared" si="1"/>
        <v/>
      </c>
      <c r="AG4631" s="15" t="str">
        <f>IF(OR(AF4631="",AF4631="ERRO_CHAVE"),"",IFERROR(MATCH(AF4631,'Quitados DUPP'!$U$1:$U$6635,0),""))</f>
        <v/>
      </c>
      <c r="AH4631" s="15" t="str">
        <f t="shared" si="2"/>
        <v/>
      </c>
      <c r="AI4631" s="17" t="str">
        <f>IF(AG4631="","",INDEX('Quitados DUPP'!$G$1:$G$6635,AG4631))</f>
        <v/>
      </c>
      <c r="AJ4631" s="17" t="str">
        <f t="shared" si="3"/>
        <v/>
      </c>
    </row>
    <row r="4632" spans="31:36">
      <c r="AE4632" s="15" t="str">
        <f t="shared" si="0"/>
        <v/>
      </c>
      <c r="AF4632" s="15" t="str">
        <f t="shared" si="1"/>
        <v/>
      </c>
      <c r="AG4632" s="15" t="str">
        <f>IF(OR(AF4632="",AF4632="ERRO_CHAVE"),"",IFERROR(MATCH(AF4632,'Quitados DUPP'!$U$1:$U$6635,0),""))</f>
        <v/>
      </c>
      <c r="AH4632" s="15" t="str">
        <f t="shared" si="2"/>
        <v/>
      </c>
      <c r="AI4632" s="17" t="str">
        <f>IF(AG4632="","",INDEX('Quitados DUPP'!$G$1:$G$6635,AG4632))</f>
        <v/>
      </c>
      <c r="AJ4632" s="17" t="str">
        <f t="shared" si="3"/>
        <v/>
      </c>
    </row>
    <row r="4633" spans="31:36">
      <c r="AE4633" s="15" t="str">
        <f t="shared" si="0"/>
        <v/>
      </c>
      <c r="AF4633" s="15" t="str">
        <f t="shared" si="1"/>
        <v/>
      </c>
      <c r="AG4633" s="15" t="str">
        <f>IF(OR(AF4633="",AF4633="ERRO_CHAVE"),"",IFERROR(MATCH(AF4633,'Quitados DUPP'!$U$1:$U$6635,0),""))</f>
        <v/>
      </c>
      <c r="AH4633" s="15" t="str">
        <f t="shared" si="2"/>
        <v/>
      </c>
      <c r="AI4633" s="17" t="str">
        <f>IF(AG4633="","",INDEX('Quitados DUPP'!$G$1:$G$6635,AG4633))</f>
        <v/>
      </c>
      <c r="AJ4633" s="17" t="str">
        <f t="shared" si="3"/>
        <v/>
      </c>
    </row>
    <row r="4634" spans="31:36">
      <c r="AE4634" s="15" t="str">
        <f t="shared" si="0"/>
        <v/>
      </c>
      <c r="AF4634" s="15" t="str">
        <f t="shared" si="1"/>
        <v/>
      </c>
      <c r="AG4634" s="15" t="str">
        <f>IF(OR(AF4634="",AF4634="ERRO_CHAVE"),"",IFERROR(MATCH(AF4634,'Quitados DUPP'!$U$1:$U$6635,0),""))</f>
        <v/>
      </c>
      <c r="AH4634" s="15" t="str">
        <f t="shared" si="2"/>
        <v/>
      </c>
      <c r="AI4634" s="17" t="str">
        <f>IF(AG4634="","",INDEX('Quitados DUPP'!$G$1:$G$6635,AG4634))</f>
        <v/>
      </c>
      <c r="AJ4634" s="17" t="str">
        <f t="shared" si="3"/>
        <v/>
      </c>
    </row>
    <row r="4635" spans="31:36">
      <c r="AE4635" s="15" t="str">
        <f t="shared" si="0"/>
        <v/>
      </c>
      <c r="AF4635" s="15" t="str">
        <f t="shared" si="1"/>
        <v/>
      </c>
      <c r="AG4635" s="15" t="str">
        <f>IF(OR(AF4635="",AF4635="ERRO_CHAVE"),"",IFERROR(MATCH(AF4635,'Quitados DUPP'!$U$1:$U$6635,0),""))</f>
        <v/>
      </c>
      <c r="AH4635" s="15" t="str">
        <f t="shared" si="2"/>
        <v/>
      </c>
      <c r="AI4635" s="17" t="str">
        <f>IF(AG4635="","",INDEX('Quitados DUPP'!$G$1:$G$6635,AG4635))</f>
        <v/>
      </c>
      <c r="AJ4635" s="17" t="str">
        <f t="shared" si="3"/>
        <v/>
      </c>
    </row>
    <row r="4636" spans="31:36">
      <c r="AE4636" s="15" t="str">
        <f t="shared" si="0"/>
        <v/>
      </c>
      <c r="AF4636" s="15" t="str">
        <f t="shared" si="1"/>
        <v/>
      </c>
      <c r="AG4636" s="15" t="str">
        <f>IF(OR(AF4636="",AF4636="ERRO_CHAVE"),"",IFERROR(MATCH(AF4636,'Quitados DUPP'!$U$1:$U$6635,0),""))</f>
        <v/>
      </c>
      <c r="AH4636" s="15" t="str">
        <f t="shared" si="2"/>
        <v/>
      </c>
      <c r="AI4636" s="17" t="str">
        <f>IF(AG4636="","",INDEX('Quitados DUPP'!$G$1:$G$6635,AG4636))</f>
        <v/>
      </c>
      <c r="AJ4636" s="17" t="str">
        <f t="shared" si="3"/>
        <v/>
      </c>
    </row>
    <row r="4637" spans="31:36">
      <c r="AE4637" s="15" t="str">
        <f t="shared" si="0"/>
        <v/>
      </c>
      <c r="AF4637" s="15" t="str">
        <f t="shared" si="1"/>
        <v/>
      </c>
      <c r="AG4637" s="15" t="str">
        <f>IF(OR(AF4637="",AF4637="ERRO_CHAVE"),"",IFERROR(MATCH(AF4637,'Quitados DUPP'!$U$1:$U$6635,0),""))</f>
        <v/>
      </c>
      <c r="AH4637" s="15" t="str">
        <f t="shared" si="2"/>
        <v/>
      </c>
      <c r="AI4637" s="17" t="str">
        <f>IF(AG4637="","",INDEX('Quitados DUPP'!$G$1:$G$6635,AG4637))</f>
        <v/>
      </c>
      <c r="AJ4637" s="17" t="str">
        <f t="shared" si="3"/>
        <v/>
      </c>
    </row>
    <row r="4638" spans="31:36">
      <c r="AE4638" s="15" t="str">
        <f t="shared" si="0"/>
        <v/>
      </c>
      <c r="AF4638" s="15" t="str">
        <f t="shared" si="1"/>
        <v/>
      </c>
      <c r="AG4638" s="15" t="str">
        <f>IF(OR(AF4638="",AF4638="ERRO_CHAVE"),"",IFERROR(MATCH(AF4638,'Quitados DUPP'!$U$1:$U$6635,0),""))</f>
        <v/>
      </c>
      <c r="AH4638" s="15" t="str">
        <f t="shared" si="2"/>
        <v/>
      </c>
      <c r="AI4638" s="17" t="str">
        <f>IF(AG4638="","",INDEX('Quitados DUPP'!$G$1:$G$6635,AG4638))</f>
        <v/>
      </c>
      <c r="AJ4638" s="17" t="str">
        <f t="shared" si="3"/>
        <v/>
      </c>
    </row>
    <row r="4639" spans="31:36">
      <c r="AE4639" s="15" t="str">
        <f t="shared" si="0"/>
        <v/>
      </c>
      <c r="AF4639" s="15" t="str">
        <f t="shared" si="1"/>
        <v/>
      </c>
      <c r="AG4639" s="15" t="str">
        <f>IF(OR(AF4639="",AF4639="ERRO_CHAVE"),"",IFERROR(MATCH(AF4639,'Quitados DUPP'!$U$1:$U$6635,0),""))</f>
        <v/>
      </c>
      <c r="AH4639" s="15" t="str">
        <f t="shared" si="2"/>
        <v/>
      </c>
      <c r="AI4639" s="17" t="str">
        <f>IF(AG4639="","",INDEX('Quitados DUPP'!$G$1:$G$6635,AG4639))</f>
        <v/>
      </c>
      <c r="AJ4639" s="17" t="str">
        <f t="shared" si="3"/>
        <v/>
      </c>
    </row>
    <row r="4640" spans="31:36">
      <c r="AE4640" s="15" t="str">
        <f t="shared" si="0"/>
        <v/>
      </c>
      <c r="AF4640" s="15" t="str">
        <f t="shared" si="1"/>
        <v/>
      </c>
      <c r="AG4640" s="15" t="str">
        <f>IF(OR(AF4640="",AF4640="ERRO_CHAVE"),"",IFERROR(MATCH(AF4640,'Quitados DUPP'!$U$1:$U$6635,0),""))</f>
        <v/>
      </c>
      <c r="AH4640" s="15" t="str">
        <f t="shared" si="2"/>
        <v/>
      </c>
      <c r="AI4640" s="17" t="str">
        <f>IF(AG4640="","",INDEX('Quitados DUPP'!$G$1:$G$6635,AG4640))</f>
        <v/>
      </c>
      <c r="AJ4640" s="17" t="str">
        <f t="shared" si="3"/>
        <v/>
      </c>
    </row>
    <row r="4641" spans="31:36">
      <c r="AE4641" s="15" t="str">
        <f t="shared" si="0"/>
        <v/>
      </c>
      <c r="AF4641" s="15" t="str">
        <f t="shared" si="1"/>
        <v/>
      </c>
      <c r="AG4641" s="15" t="str">
        <f>IF(OR(AF4641="",AF4641="ERRO_CHAVE"),"",IFERROR(MATCH(AF4641,'Quitados DUPP'!$U$1:$U$6635,0),""))</f>
        <v/>
      </c>
      <c r="AH4641" s="15" t="str">
        <f t="shared" si="2"/>
        <v/>
      </c>
      <c r="AI4641" s="17" t="str">
        <f>IF(AG4641="","",INDEX('Quitados DUPP'!$G$1:$G$6635,AG4641))</f>
        <v/>
      </c>
      <c r="AJ4641" s="17" t="str">
        <f t="shared" si="3"/>
        <v/>
      </c>
    </row>
    <row r="4642" spans="31:36">
      <c r="AE4642" s="15" t="str">
        <f t="shared" si="0"/>
        <v/>
      </c>
      <c r="AF4642" s="15" t="str">
        <f t="shared" si="1"/>
        <v/>
      </c>
      <c r="AG4642" s="15" t="str">
        <f>IF(OR(AF4642="",AF4642="ERRO_CHAVE"),"",IFERROR(MATCH(AF4642,'Quitados DUPP'!$U$1:$U$6635,0),""))</f>
        <v/>
      </c>
      <c r="AH4642" s="15" t="str">
        <f t="shared" si="2"/>
        <v/>
      </c>
      <c r="AI4642" s="17" t="str">
        <f>IF(AG4642="","",INDEX('Quitados DUPP'!$G$1:$G$6635,AG4642))</f>
        <v/>
      </c>
      <c r="AJ4642" s="17" t="str">
        <f t="shared" si="3"/>
        <v/>
      </c>
    </row>
    <row r="4643" spans="31:36">
      <c r="AE4643" s="15" t="str">
        <f t="shared" si="0"/>
        <v/>
      </c>
      <c r="AF4643" s="15" t="str">
        <f t="shared" si="1"/>
        <v/>
      </c>
      <c r="AG4643" s="15" t="str">
        <f>IF(OR(AF4643="",AF4643="ERRO_CHAVE"),"",IFERROR(MATCH(AF4643,'Quitados DUPP'!$U$1:$U$6635,0),""))</f>
        <v/>
      </c>
      <c r="AH4643" s="15" t="str">
        <f t="shared" si="2"/>
        <v/>
      </c>
      <c r="AI4643" s="17" t="str">
        <f>IF(AG4643="","",INDEX('Quitados DUPP'!$G$1:$G$6635,AG4643))</f>
        <v/>
      </c>
      <c r="AJ4643" s="17" t="str">
        <f t="shared" si="3"/>
        <v/>
      </c>
    </row>
    <row r="4644" spans="31:36">
      <c r="AE4644" s="15" t="str">
        <f t="shared" si="0"/>
        <v/>
      </c>
      <c r="AF4644" s="15" t="str">
        <f t="shared" si="1"/>
        <v/>
      </c>
      <c r="AG4644" s="15" t="str">
        <f>IF(OR(AF4644="",AF4644="ERRO_CHAVE"),"",IFERROR(MATCH(AF4644,'Quitados DUPP'!$U$1:$U$6635,0),""))</f>
        <v/>
      </c>
      <c r="AH4644" s="15" t="str">
        <f t="shared" si="2"/>
        <v/>
      </c>
      <c r="AI4644" s="17" t="str">
        <f>IF(AG4644="","",INDEX('Quitados DUPP'!$G$1:$G$6635,AG4644))</f>
        <v/>
      </c>
      <c r="AJ4644" s="17" t="str">
        <f t="shared" si="3"/>
        <v/>
      </c>
    </row>
    <row r="4645" spans="31:36">
      <c r="AE4645" s="15" t="str">
        <f t="shared" si="0"/>
        <v/>
      </c>
      <c r="AF4645" s="15" t="str">
        <f t="shared" si="1"/>
        <v/>
      </c>
      <c r="AG4645" s="15" t="str">
        <f>IF(OR(AF4645="",AF4645="ERRO_CHAVE"),"",IFERROR(MATCH(AF4645,'Quitados DUPP'!$U$1:$U$6635,0),""))</f>
        <v/>
      </c>
      <c r="AH4645" s="15" t="str">
        <f t="shared" si="2"/>
        <v/>
      </c>
      <c r="AI4645" s="17" t="str">
        <f>IF(AG4645="","",INDEX('Quitados DUPP'!$G$1:$G$6635,AG4645))</f>
        <v/>
      </c>
      <c r="AJ4645" s="17" t="str">
        <f t="shared" si="3"/>
        <v/>
      </c>
    </row>
    <row r="4646" spans="31:36">
      <c r="AE4646" s="15" t="str">
        <f t="shared" si="0"/>
        <v/>
      </c>
      <c r="AF4646" s="15" t="str">
        <f t="shared" si="1"/>
        <v/>
      </c>
      <c r="AG4646" s="15" t="str">
        <f>IF(OR(AF4646="",AF4646="ERRO_CHAVE"),"",IFERROR(MATCH(AF4646,'Quitados DUPP'!$U$1:$U$6635,0),""))</f>
        <v/>
      </c>
      <c r="AH4646" s="15" t="str">
        <f t="shared" si="2"/>
        <v/>
      </c>
      <c r="AI4646" s="17" t="str">
        <f>IF(AG4646="","",INDEX('Quitados DUPP'!$G$1:$G$6635,AG4646))</f>
        <v/>
      </c>
      <c r="AJ4646" s="17" t="str">
        <f t="shared" si="3"/>
        <v/>
      </c>
    </row>
    <row r="4647" spans="31:36">
      <c r="AE4647" s="15" t="str">
        <f t="shared" si="0"/>
        <v/>
      </c>
      <c r="AF4647" s="15" t="str">
        <f t="shared" si="1"/>
        <v/>
      </c>
      <c r="AG4647" s="15" t="str">
        <f>IF(OR(AF4647="",AF4647="ERRO_CHAVE"),"",IFERROR(MATCH(AF4647,'Quitados DUPP'!$U$1:$U$6635,0),""))</f>
        <v/>
      </c>
      <c r="AH4647" s="15" t="str">
        <f t="shared" si="2"/>
        <v/>
      </c>
      <c r="AI4647" s="17" t="str">
        <f>IF(AG4647="","",INDEX('Quitados DUPP'!$G$1:$G$6635,AG4647))</f>
        <v/>
      </c>
      <c r="AJ4647" s="17" t="str">
        <f t="shared" si="3"/>
        <v/>
      </c>
    </row>
    <row r="4648" spans="31:36">
      <c r="AE4648" s="15" t="str">
        <f t="shared" si="0"/>
        <v/>
      </c>
      <c r="AF4648" s="15" t="str">
        <f t="shared" si="1"/>
        <v/>
      </c>
      <c r="AG4648" s="15" t="str">
        <f>IF(OR(AF4648="",AF4648="ERRO_CHAVE"),"",IFERROR(MATCH(AF4648,'Quitados DUPP'!$U$1:$U$6635,0),""))</f>
        <v/>
      </c>
      <c r="AH4648" s="15" t="str">
        <f t="shared" si="2"/>
        <v/>
      </c>
      <c r="AI4648" s="17" t="str">
        <f>IF(AG4648="","",INDEX('Quitados DUPP'!$G$1:$G$6635,AG4648))</f>
        <v/>
      </c>
      <c r="AJ4648" s="17" t="str">
        <f t="shared" si="3"/>
        <v/>
      </c>
    </row>
    <row r="4649" spans="31:36">
      <c r="AE4649" s="15" t="str">
        <f t="shared" si="0"/>
        <v/>
      </c>
      <c r="AF4649" s="15" t="str">
        <f t="shared" si="1"/>
        <v/>
      </c>
      <c r="AG4649" s="15" t="str">
        <f>IF(OR(AF4649="",AF4649="ERRO_CHAVE"),"",IFERROR(MATCH(AF4649,'Quitados DUPP'!$U$1:$U$6635,0),""))</f>
        <v/>
      </c>
      <c r="AH4649" s="15" t="str">
        <f t="shared" si="2"/>
        <v/>
      </c>
      <c r="AI4649" s="17" t="str">
        <f>IF(AG4649="","",INDEX('Quitados DUPP'!$G$1:$G$6635,AG4649))</f>
        <v/>
      </c>
      <c r="AJ4649" s="17" t="str">
        <f t="shared" si="3"/>
        <v/>
      </c>
    </row>
    <row r="4650" spans="31:36">
      <c r="AE4650" s="15" t="str">
        <f t="shared" si="0"/>
        <v/>
      </c>
      <c r="AF4650" s="15" t="str">
        <f t="shared" si="1"/>
        <v/>
      </c>
      <c r="AG4650" s="15" t="str">
        <f>IF(OR(AF4650="",AF4650="ERRO_CHAVE"),"",IFERROR(MATCH(AF4650,'Quitados DUPP'!$U$1:$U$6635,0),""))</f>
        <v/>
      </c>
      <c r="AH4650" s="15" t="str">
        <f t="shared" si="2"/>
        <v/>
      </c>
      <c r="AI4650" s="17" t="str">
        <f>IF(AG4650="","",INDEX('Quitados DUPP'!$G$1:$G$6635,AG4650))</f>
        <v/>
      </c>
      <c r="AJ4650" s="17" t="str">
        <f t="shared" si="3"/>
        <v/>
      </c>
    </row>
    <row r="4651" spans="31:36">
      <c r="AE4651" s="15" t="str">
        <f t="shared" si="0"/>
        <v/>
      </c>
      <c r="AF4651" s="15" t="str">
        <f t="shared" si="1"/>
        <v/>
      </c>
      <c r="AG4651" s="15" t="str">
        <f>IF(OR(AF4651="",AF4651="ERRO_CHAVE"),"",IFERROR(MATCH(AF4651,'Quitados DUPP'!$U$1:$U$6635,0),""))</f>
        <v/>
      </c>
      <c r="AH4651" s="15" t="str">
        <f t="shared" si="2"/>
        <v/>
      </c>
      <c r="AI4651" s="17" t="str">
        <f>IF(AG4651="","",INDEX('Quitados DUPP'!$G$1:$G$6635,AG4651))</f>
        <v/>
      </c>
      <c r="AJ4651" s="17" t="str">
        <f t="shared" si="3"/>
        <v/>
      </c>
    </row>
    <row r="4652" spans="31:36">
      <c r="AE4652" s="15" t="str">
        <f t="shared" si="0"/>
        <v/>
      </c>
      <c r="AF4652" s="15" t="str">
        <f t="shared" si="1"/>
        <v/>
      </c>
      <c r="AG4652" s="15" t="str">
        <f>IF(OR(AF4652="",AF4652="ERRO_CHAVE"),"",IFERROR(MATCH(AF4652,'Quitados DUPP'!$U$1:$U$6635,0),""))</f>
        <v/>
      </c>
      <c r="AH4652" s="15" t="str">
        <f t="shared" si="2"/>
        <v/>
      </c>
      <c r="AI4652" s="17" t="str">
        <f>IF(AG4652="","",INDEX('Quitados DUPP'!$G$1:$G$6635,AG4652))</f>
        <v/>
      </c>
      <c r="AJ4652" s="17" t="str">
        <f t="shared" si="3"/>
        <v/>
      </c>
    </row>
    <row r="4653" spans="31:36">
      <c r="AE4653" s="15" t="str">
        <f t="shared" si="0"/>
        <v/>
      </c>
      <c r="AF4653" s="15" t="str">
        <f t="shared" si="1"/>
        <v/>
      </c>
      <c r="AG4653" s="15" t="str">
        <f>IF(OR(AF4653="",AF4653="ERRO_CHAVE"),"",IFERROR(MATCH(AF4653,'Quitados DUPP'!$U$1:$U$6635,0),""))</f>
        <v/>
      </c>
      <c r="AH4653" s="15" t="str">
        <f t="shared" si="2"/>
        <v/>
      </c>
      <c r="AI4653" s="17" t="str">
        <f>IF(AG4653="","",INDEX('Quitados DUPP'!$G$1:$G$6635,AG4653))</f>
        <v/>
      </c>
      <c r="AJ4653" s="17" t="str">
        <f t="shared" si="3"/>
        <v/>
      </c>
    </row>
    <row r="4654" spans="31:36">
      <c r="AE4654" s="15" t="str">
        <f t="shared" si="0"/>
        <v/>
      </c>
      <c r="AF4654" s="15" t="str">
        <f t="shared" si="1"/>
        <v/>
      </c>
      <c r="AG4654" s="15" t="str">
        <f>IF(OR(AF4654="",AF4654="ERRO_CHAVE"),"",IFERROR(MATCH(AF4654,'Quitados DUPP'!$U$1:$U$6635,0),""))</f>
        <v/>
      </c>
      <c r="AH4654" s="15" t="str">
        <f t="shared" si="2"/>
        <v/>
      </c>
      <c r="AI4654" s="17" t="str">
        <f>IF(AG4654="","",INDEX('Quitados DUPP'!$G$1:$G$6635,AG4654))</f>
        <v/>
      </c>
      <c r="AJ4654" s="17" t="str">
        <f t="shared" si="3"/>
        <v/>
      </c>
    </row>
    <row r="4655" spans="31:36">
      <c r="AE4655" s="15" t="str">
        <f t="shared" si="0"/>
        <v/>
      </c>
      <c r="AF4655" s="15" t="str">
        <f t="shared" si="1"/>
        <v/>
      </c>
      <c r="AG4655" s="15" t="str">
        <f>IF(OR(AF4655="",AF4655="ERRO_CHAVE"),"",IFERROR(MATCH(AF4655,'Quitados DUPP'!$U$1:$U$6635,0),""))</f>
        <v/>
      </c>
      <c r="AH4655" s="15" t="str">
        <f t="shared" si="2"/>
        <v/>
      </c>
      <c r="AI4655" s="17" t="str">
        <f>IF(AG4655="","",INDEX('Quitados DUPP'!$G$1:$G$6635,AG4655))</f>
        <v/>
      </c>
      <c r="AJ4655" s="17" t="str">
        <f t="shared" si="3"/>
        <v/>
      </c>
    </row>
    <row r="4656" spans="31:36">
      <c r="AE4656" s="15" t="str">
        <f t="shared" si="0"/>
        <v/>
      </c>
      <c r="AF4656" s="15" t="str">
        <f t="shared" si="1"/>
        <v/>
      </c>
      <c r="AG4656" s="15" t="str">
        <f>IF(OR(AF4656="",AF4656="ERRO_CHAVE"),"",IFERROR(MATCH(AF4656,'Quitados DUPP'!$U$1:$U$6635,0),""))</f>
        <v/>
      </c>
      <c r="AH4656" s="15" t="str">
        <f t="shared" si="2"/>
        <v/>
      </c>
      <c r="AI4656" s="17" t="str">
        <f>IF(AG4656="","",INDEX('Quitados DUPP'!$G$1:$G$6635,AG4656))</f>
        <v/>
      </c>
      <c r="AJ4656" s="17" t="str">
        <f t="shared" si="3"/>
        <v/>
      </c>
    </row>
    <row r="4657" spans="31:36">
      <c r="AE4657" s="15" t="str">
        <f t="shared" si="0"/>
        <v/>
      </c>
      <c r="AF4657" s="15" t="str">
        <f t="shared" si="1"/>
        <v/>
      </c>
      <c r="AG4657" s="15" t="str">
        <f>IF(OR(AF4657="",AF4657="ERRO_CHAVE"),"",IFERROR(MATCH(AF4657,'Quitados DUPP'!$U$1:$U$6635,0),""))</f>
        <v/>
      </c>
      <c r="AH4657" s="15" t="str">
        <f t="shared" si="2"/>
        <v/>
      </c>
      <c r="AI4657" s="17" t="str">
        <f>IF(AG4657="","",INDEX('Quitados DUPP'!$G$1:$G$6635,AG4657))</f>
        <v/>
      </c>
      <c r="AJ4657" s="17" t="str">
        <f t="shared" si="3"/>
        <v/>
      </c>
    </row>
    <row r="4658" spans="31:36">
      <c r="AE4658" s="15" t="str">
        <f t="shared" si="0"/>
        <v/>
      </c>
      <c r="AF4658" s="15" t="str">
        <f t="shared" si="1"/>
        <v/>
      </c>
      <c r="AG4658" s="15" t="str">
        <f>IF(OR(AF4658="",AF4658="ERRO_CHAVE"),"",IFERROR(MATCH(AF4658,'Quitados DUPP'!$U$1:$U$6635,0),""))</f>
        <v/>
      </c>
      <c r="AH4658" s="15" t="str">
        <f t="shared" si="2"/>
        <v/>
      </c>
      <c r="AI4658" s="17" t="str">
        <f>IF(AG4658="","",INDEX('Quitados DUPP'!$G$1:$G$6635,AG4658))</f>
        <v/>
      </c>
      <c r="AJ4658" s="17" t="str">
        <f t="shared" si="3"/>
        <v/>
      </c>
    </row>
    <row r="4659" spans="31:36">
      <c r="AE4659" s="15" t="str">
        <f t="shared" si="0"/>
        <v/>
      </c>
      <c r="AF4659" s="15" t="str">
        <f t="shared" si="1"/>
        <v/>
      </c>
      <c r="AG4659" s="15" t="str">
        <f>IF(OR(AF4659="",AF4659="ERRO_CHAVE"),"",IFERROR(MATCH(AF4659,'Quitados DUPP'!$U$1:$U$6635,0),""))</f>
        <v/>
      </c>
      <c r="AH4659" s="15" t="str">
        <f t="shared" si="2"/>
        <v/>
      </c>
      <c r="AI4659" s="17" t="str">
        <f>IF(AG4659="","",INDEX('Quitados DUPP'!$G$1:$G$6635,AG4659))</f>
        <v/>
      </c>
      <c r="AJ4659" s="17" t="str">
        <f t="shared" si="3"/>
        <v/>
      </c>
    </row>
    <row r="4660" spans="31:36">
      <c r="AE4660" s="15" t="str">
        <f t="shared" si="0"/>
        <v/>
      </c>
      <c r="AF4660" s="15" t="str">
        <f t="shared" si="1"/>
        <v/>
      </c>
      <c r="AG4660" s="15" t="str">
        <f>IF(OR(AF4660="",AF4660="ERRO_CHAVE"),"",IFERROR(MATCH(AF4660,'Quitados DUPP'!$U$1:$U$6635,0),""))</f>
        <v/>
      </c>
      <c r="AH4660" s="15" t="str">
        <f t="shared" si="2"/>
        <v/>
      </c>
      <c r="AI4660" s="17" t="str">
        <f>IF(AG4660="","",INDEX('Quitados DUPP'!$G$1:$G$6635,AG4660))</f>
        <v/>
      </c>
      <c r="AJ4660" s="17" t="str">
        <f t="shared" si="3"/>
        <v/>
      </c>
    </row>
    <row r="4661" spans="31:36">
      <c r="AE4661" s="15" t="str">
        <f t="shared" si="0"/>
        <v/>
      </c>
      <c r="AF4661" s="15" t="str">
        <f t="shared" si="1"/>
        <v/>
      </c>
      <c r="AG4661" s="15" t="str">
        <f>IF(OR(AF4661="",AF4661="ERRO_CHAVE"),"",IFERROR(MATCH(AF4661,'Quitados DUPP'!$U$1:$U$6635,0),""))</f>
        <v/>
      </c>
      <c r="AH4661" s="15" t="str">
        <f t="shared" si="2"/>
        <v/>
      </c>
      <c r="AI4661" s="17" t="str">
        <f>IF(AG4661="","",INDEX('Quitados DUPP'!$G$1:$G$6635,AG4661))</f>
        <v/>
      </c>
      <c r="AJ4661" s="17" t="str">
        <f t="shared" si="3"/>
        <v/>
      </c>
    </row>
    <row r="4662" spans="31:36">
      <c r="AE4662" s="15" t="str">
        <f t="shared" si="0"/>
        <v/>
      </c>
      <c r="AF4662" s="15" t="str">
        <f t="shared" si="1"/>
        <v/>
      </c>
      <c r="AG4662" s="15" t="str">
        <f>IF(OR(AF4662="",AF4662="ERRO_CHAVE"),"",IFERROR(MATCH(AF4662,'Quitados DUPP'!$U$1:$U$6635,0),""))</f>
        <v/>
      </c>
      <c r="AH4662" s="15" t="str">
        <f t="shared" si="2"/>
        <v/>
      </c>
      <c r="AI4662" s="17" t="str">
        <f>IF(AG4662="","",INDEX('Quitados DUPP'!$G$1:$G$6635,AG4662))</f>
        <v/>
      </c>
      <c r="AJ4662" s="17" t="str">
        <f t="shared" si="3"/>
        <v/>
      </c>
    </row>
    <row r="4663" spans="31:36">
      <c r="AE4663" s="15" t="str">
        <f t="shared" si="0"/>
        <v/>
      </c>
      <c r="AF4663" s="15" t="str">
        <f t="shared" si="1"/>
        <v/>
      </c>
      <c r="AG4663" s="15" t="str">
        <f>IF(OR(AF4663="",AF4663="ERRO_CHAVE"),"",IFERROR(MATCH(AF4663,'Quitados DUPP'!$U$1:$U$6635,0),""))</f>
        <v/>
      </c>
      <c r="AH4663" s="15" t="str">
        <f t="shared" si="2"/>
        <v/>
      </c>
      <c r="AI4663" s="17" t="str">
        <f>IF(AG4663="","",INDEX('Quitados DUPP'!$G$1:$G$6635,AG4663))</f>
        <v/>
      </c>
      <c r="AJ4663" s="17" t="str">
        <f t="shared" si="3"/>
        <v/>
      </c>
    </row>
    <row r="4664" spans="31:36">
      <c r="AE4664" s="15" t="str">
        <f t="shared" si="0"/>
        <v/>
      </c>
      <c r="AF4664" s="15" t="str">
        <f t="shared" si="1"/>
        <v/>
      </c>
      <c r="AG4664" s="15" t="str">
        <f>IF(OR(AF4664="",AF4664="ERRO_CHAVE"),"",IFERROR(MATCH(AF4664,'Quitados DUPP'!$U$1:$U$6635,0),""))</f>
        <v/>
      </c>
      <c r="AH4664" s="15" t="str">
        <f t="shared" si="2"/>
        <v/>
      </c>
      <c r="AI4664" s="17" t="str">
        <f>IF(AG4664="","",INDEX('Quitados DUPP'!$G$1:$G$6635,AG4664))</f>
        <v/>
      </c>
      <c r="AJ4664" s="17" t="str">
        <f t="shared" si="3"/>
        <v/>
      </c>
    </row>
    <row r="4665" spans="31:36">
      <c r="AE4665" s="15" t="str">
        <f t="shared" si="0"/>
        <v/>
      </c>
      <c r="AF4665" s="15" t="str">
        <f t="shared" si="1"/>
        <v/>
      </c>
      <c r="AG4665" s="15" t="str">
        <f>IF(OR(AF4665="",AF4665="ERRO_CHAVE"),"",IFERROR(MATCH(AF4665,'Quitados DUPP'!$U$1:$U$6635,0),""))</f>
        <v/>
      </c>
      <c r="AH4665" s="15" t="str">
        <f t="shared" si="2"/>
        <v/>
      </c>
      <c r="AI4665" s="17" t="str">
        <f>IF(AG4665="","",INDEX('Quitados DUPP'!$G$1:$G$6635,AG4665))</f>
        <v/>
      </c>
      <c r="AJ4665" s="17" t="str">
        <f t="shared" si="3"/>
        <v/>
      </c>
    </row>
    <row r="4666" spans="31:36">
      <c r="AE4666" s="15" t="str">
        <f t="shared" si="0"/>
        <v/>
      </c>
      <c r="AF4666" s="15" t="str">
        <f t="shared" si="1"/>
        <v/>
      </c>
      <c r="AG4666" s="15" t="str">
        <f>IF(OR(AF4666="",AF4666="ERRO_CHAVE"),"",IFERROR(MATCH(AF4666,'Quitados DUPP'!$U$1:$U$6635,0),""))</f>
        <v/>
      </c>
      <c r="AH4666" s="15" t="str">
        <f t="shared" si="2"/>
        <v/>
      </c>
      <c r="AI4666" s="17" t="str">
        <f>IF(AG4666="","",INDEX('Quitados DUPP'!$G$1:$G$6635,AG4666))</f>
        <v/>
      </c>
      <c r="AJ4666" s="17" t="str">
        <f t="shared" si="3"/>
        <v/>
      </c>
    </row>
    <row r="4667" spans="31:36">
      <c r="AE4667" s="15" t="str">
        <f t="shared" si="0"/>
        <v/>
      </c>
      <c r="AF4667" s="15" t="str">
        <f t="shared" si="1"/>
        <v/>
      </c>
      <c r="AG4667" s="15" t="str">
        <f>IF(OR(AF4667="",AF4667="ERRO_CHAVE"),"",IFERROR(MATCH(AF4667,'Quitados DUPP'!$U$1:$U$6635,0),""))</f>
        <v/>
      </c>
      <c r="AH4667" s="15" t="str">
        <f t="shared" si="2"/>
        <v/>
      </c>
      <c r="AI4667" s="17" t="str">
        <f>IF(AG4667="","",INDEX('Quitados DUPP'!$G$1:$G$6635,AG4667))</f>
        <v/>
      </c>
      <c r="AJ4667" s="17" t="str">
        <f t="shared" si="3"/>
        <v/>
      </c>
    </row>
    <row r="4668" spans="31:36">
      <c r="AE4668" s="15" t="str">
        <f t="shared" si="0"/>
        <v/>
      </c>
      <c r="AF4668" s="15" t="str">
        <f t="shared" si="1"/>
        <v/>
      </c>
      <c r="AG4668" s="15" t="str">
        <f>IF(OR(AF4668="",AF4668="ERRO_CHAVE"),"",IFERROR(MATCH(AF4668,'Quitados DUPP'!$U$1:$U$6635,0),""))</f>
        <v/>
      </c>
      <c r="AH4668" s="15" t="str">
        <f t="shared" si="2"/>
        <v/>
      </c>
      <c r="AI4668" s="17" t="str">
        <f>IF(AG4668="","",INDEX('Quitados DUPP'!$G$1:$G$6635,AG4668))</f>
        <v/>
      </c>
      <c r="AJ4668" s="17" t="str">
        <f t="shared" si="3"/>
        <v/>
      </c>
    </row>
    <row r="4669" spans="31:36">
      <c r="AE4669" s="15" t="str">
        <f t="shared" si="0"/>
        <v/>
      </c>
      <c r="AF4669" s="15" t="str">
        <f t="shared" si="1"/>
        <v/>
      </c>
      <c r="AG4669" s="15" t="str">
        <f>IF(OR(AF4669="",AF4669="ERRO_CHAVE"),"",IFERROR(MATCH(AF4669,'Quitados DUPP'!$U$1:$U$6635,0),""))</f>
        <v/>
      </c>
      <c r="AH4669" s="15" t="str">
        <f t="shared" si="2"/>
        <v/>
      </c>
      <c r="AI4669" s="17" t="str">
        <f>IF(AG4669="","",INDEX('Quitados DUPP'!$G$1:$G$6635,AG4669))</f>
        <v/>
      </c>
      <c r="AJ4669" s="17" t="str">
        <f t="shared" si="3"/>
        <v/>
      </c>
    </row>
    <row r="4670" spans="31:36">
      <c r="AE4670" s="15" t="str">
        <f t="shared" si="0"/>
        <v/>
      </c>
      <c r="AF4670" s="15" t="str">
        <f t="shared" si="1"/>
        <v/>
      </c>
      <c r="AG4670" s="15" t="str">
        <f>IF(OR(AF4670="",AF4670="ERRO_CHAVE"),"",IFERROR(MATCH(AF4670,'Quitados DUPP'!$U$1:$U$6635,0),""))</f>
        <v/>
      </c>
      <c r="AH4670" s="15" t="str">
        <f t="shared" si="2"/>
        <v/>
      </c>
      <c r="AI4670" s="17" t="str">
        <f>IF(AG4670="","",INDEX('Quitados DUPP'!$G$1:$G$6635,AG4670))</f>
        <v/>
      </c>
      <c r="AJ4670" s="17" t="str">
        <f t="shared" si="3"/>
        <v/>
      </c>
    </row>
    <row r="4671" spans="31:36">
      <c r="AE4671" s="15" t="str">
        <f t="shared" si="0"/>
        <v/>
      </c>
      <c r="AF4671" s="15" t="str">
        <f t="shared" si="1"/>
        <v/>
      </c>
      <c r="AG4671" s="15" t="str">
        <f>IF(OR(AF4671="",AF4671="ERRO_CHAVE"),"",IFERROR(MATCH(AF4671,'Quitados DUPP'!$U$1:$U$6635,0),""))</f>
        <v/>
      </c>
      <c r="AH4671" s="15" t="str">
        <f t="shared" si="2"/>
        <v/>
      </c>
      <c r="AI4671" s="17" t="str">
        <f>IF(AG4671="","",INDEX('Quitados DUPP'!$G$1:$G$6635,AG4671))</f>
        <v/>
      </c>
      <c r="AJ4671" s="17" t="str">
        <f t="shared" si="3"/>
        <v/>
      </c>
    </row>
    <row r="4672" spans="31:36">
      <c r="AE4672" s="15" t="str">
        <f t="shared" si="0"/>
        <v/>
      </c>
      <c r="AF4672" s="15" t="str">
        <f t="shared" si="1"/>
        <v/>
      </c>
      <c r="AG4672" s="15" t="str">
        <f>IF(OR(AF4672="",AF4672="ERRO_CHAVE"),"",IFERROR(MATCH(AF4672,'Quitados DUPP'!$U$1:$U$6635,0),""))</f>
        <v/>
      </c>
      <c r="AH4672" s="15" t="str">
        <f t="shared" si="2"/>
        <v/>
      </c>
      <c r="AI4672" s="17" t="str">
        <f>IF(AG4672="","",INDEX('Quitados DUPP'!$G$1:$G$6635,AG4672))</f>
        <v/>
      </c>
      <c r="AJ4672" s="17" t="str">
        <f t="shared" si="3"/>
        <v/>
      </c>
    </row>
    <row r="4673" spans="31:36">
      <c r="AE4673" s="15" t="str">
        <f t="shared" si="0"/>
        <v/>
      </c>
      <c r="AF4673" s="15" t="str">
        <f t="shared" si="1"/>
        <v/>
      </c>
      <c r="AG4673" s="15" t="str">
        <f>IF(OR(AF4673="",AF4673="ERRO_CHAVE"),"",IFERROR(MATCH(AF4673,'Quitados DUPP'!$U$1:$U$6635,0),""))</f>
        <v/>
      </c>
      <c r="AH4673" s="15" t="str">
        <f t="shared" si="2"/>
        <v/>
      </c>
      <c r="AI4673" s="17" t="str">
        <f>IF(AG4673="","",INDEX('Quitados DUPP'!$G$1:$G$6635,AG4673))</f>
        <v/>
      </c>
      <c r="AJ4673" s="17" t="str">
        <f t="shared" si="3"/>
        <v/>
      </c>
    </row>
    <row r="4674" spans="31:36">
      <c r="AE4674" s="15" t="str">
        <f t="shared" si="0"/>
        <v/>
      </c>
      <c r="AF4674" s="15" t="str">
        <f t="shared" si="1"/>
        <v/>
      </c>
      <c r="AG4674" s="15" t="str">
        <f>IF(OR(AF4674="",AF4674="ERRO_CHAVE"),"",IFERROR(MATCH(AF4674,'Quitados DUPP'!$U$1:$U$6635,0),""))</f>
        <v/>
      </c>
      <c r="AH4674" s="15" t="str">
        <f t="shared" si="2"/>
        <v/>
      </c>
      <c r="AI4674" s="17" t="str">
        <f>IF(AG4674="","",INDEX('Quitados DUPP'!$G$1:$G$6635,AG4674))</f>
        <v/>
      </c>
      <c r="AJ4674" s="17" t="str">
        <f t="shared" si="3"/>
        <v/>
      </c>
    </row>
    <row r="4675" spans="31:36">
      <c r="AE4675" s="15" t="str">
        <f t="shared" si="0"/>
        <v/>
      </c>
      <c r="AF4675" s="15" t="str">
        <f t="shared" si="1"/>
        <v/>
      </c>
      <c r="AG4675" s="15" t="str">
        <f>IF(OR(AF4675="",AF4675="ERRO_CHAVE"),"",IFERROR(MATCH(AF4675,'Quitados DUPP'!$U$1:$U$6635,0),""))</f>
        <v/>
      </c>
      <c r="AH4675" s="15" t="str">
        <f t="shared" si="2"/>
        <v/>
      </c>
      <c r="AI4675" s="17" t="str">
        <f>IF(AG4675="","",INDEX('Quitados DUPP'!$G$1:$G$6635,AG4675))</f>
        <v/>
      </c>
      <c r="AJ4675" s="17" t="str">
        <f t="shared" si="3"/>
        <v/>
      </c>
    </row>
    <row r="4676" spans="31:36">
      <c r="AE4676" s="15" t="str">
        <f t="shared" si="0"/>
        <v/>
      </c>
      <c r="AF4676" s="15" t="str">
        <f t="shared" si="1"/>
        <v/>
      </c>
      <c r="AG4676" s="15" t="str">
        <f>IF(OR(AF4676="",AF4676="ERRO_CHAVE"),"",IFERROR(MATCH(AF4676,'Quitados DUPP'!$U$1:$U$6635,0),""))</f>
        <v/>
      </c>
      <c r="AH4676" s="15" t="str">
        <f t="shared" si="2"/>
        <v/>
      </c>
      <c r="AI4676" s="17" t="str">
        <f>IF(AG4676="","",INDEX('Quitados DUPP'!$G$1:$G$6635,AG4676))</f>
        <v/>
      </c>
      <c r="AJ4676" s="17" t="str">
        <f t="shared" si="3"/>
        <v/>
      </c>
    </row>
    <row r="4677" spans="31:36">
      <c r="AE4677" s="15" t="str">
        <f t="shared" si="0"/>
        <v/>
      </c>
      <c r="AF4677" s="15" t="str">
        <f t="shared" si="1"/>
        <v/>
      </c>
      <c r="AG4677" s="15" t="str">
        <f>IF(OR(AF4677="",AF4677="ERRO_CHAVE"),"",IFERROR(MATCH(AF4677,'Quitados DUPP'!$U$1:$U$6635,0),""))</f>
        <v/>
      </c>
      <c r="AH4677" s="15" t="str">
        <f t="shared" si="2"/>
        <v/>
      </c>
      <c r="AI4677" s="17" t="str">
        <f>IF(AG4677="","",INDEX('Quitados DUPP'!$G$1:$G$6635,AG4677))</f>
        <v/>
      </c>
      <c r="AJ4677" s="17" t="str">
        <f t="shared" si="3"/>
        <v/>
      </c>
    </row>
    <row r="4678" spans="31:36">
      <c r="AE4678" s="15" t="str">
        <f t="shared" si="0"/>
        <v/>
      </c>
      <c r="AF4678" s="15" t="str">
        <f t="shared" si="1"/>
        <v/>
      </c>
      <c r="AG4678" s="15" t="str">
        <f>IF(OR(AF4678="",AF4678="ERRO_CHAVE"),"",IFERROR(MATCH(AF4678,'Quitados DUPP'!$U$1:$U$6635,0),""))</f>
        <v/>
      </c>
      <c r="AH4678" s="15" t="str">
        <f t="shared" si="2"/>
        <v/>
      </c>
      <c r="AI4678" s="17" t="str">
        <f>IF(AG4678="","",INDEX('Quitados DUPP'!$G$1:$G$6635,AG4678))</f>
        <v/>
      </c>
      <c r="AJ4678" s="17" t="str">
        <f t="shared" si="3"/>
        <v/>
      </c>
    </row>
    <row r="4679" spans="31:36">
      <c r="AE4679" s="15" t="str">
        <f t="shared" si="0"/>
        <v/>
      </c>
      <c r="AF4679" s="15" t="str">
        <f t="shared" si="1"/>
        <v/>
      </c>
      <c r="AG4679" s="15" t="str">
        <f>IF(OR(AF4679="",AF4679="ERRO_CHAVE"),"",IFERROR(MATCH(AF4679,'Quitados DUPP'!$U$1:$U$6635,0),""))</f>
        <v/>
      </c>
      <c r="AH4679" s="15" t="str">
        <f t="shared" si="2"/>
        <v/>
      </c>
      <c r="AI4679" s="17" t="str">
        <f>IF(AG4679="","",INDEX('Quitados DUPP'!$G$1:$G$6635,AG4679))</f>
        <v/>
      </c>
      <c r="AJ4679" s="17" t="str">
        <f t="shared" si="3"/>
        <v/>
      </c>
    </row>
    <row r="4680" spans="31:36">
      <c r="AE4680" s="15" t="str">
        <f t="shared" si="0"/>
        <v/>
      </c>
      <c r="AF4680" s="15" t="str">
        <f t="shared" si="1"/>
        <v/>
      </c>
      <c r="AG4680" s="15" t="str">
        <f>IF(OR(AF4680="",AF4680="ERRO_CHAVE"),"",IFERROR(MATCH(AF4680,'Quitados DUPP'!$U$1:$U$6635,0),""))</f>
        <v/>
      </c>
      <c r="AH4680" s="15" t="str">
        <f t="shared" si="2"/>
        <v/>
      </c>
      <c r="AI4680" s="17" t="str">
        <f>IF(AG4680="","",INDEX('Quitados DUPP'!$G$1:$G$6635,AG4680))</f>
        <v/>
      </c>
      <c r="AJ4680" s="17" t="str">
        <f t="shared" si="3"/>
        <v/>
      </c>
    </row>
    <row r="4681" spans="31:36">
      <c r="AE4681" s="15" t="str">
        <f t="shared" si="0"/>
        <v/>
      </c>
      <c r="AF4681" s="15" t="str">
        <f t="shared" si="1"/>
        <v/>
      </c>
      <c r="AG4681" s="15" t="str">
        <f>IF(OR(AF4681="",AF4681="ERRO_CHAVE"),"",IFERROR(MATCH(AF4681,'Quitados DUPP'!$U$1:$U$6635,0),""))</f>
        <v/>
      </c>
      <c r="AH4681" s="15" t="str">
        <f t="shared" si="2"/>
        <v/>
      </c>
      <c r="AI4681" s="17" t="str">
        <f>IF(AG4681="","",INDEX('Quitados DUPP'!$G$1:$G$6635,AG4681))</f>
        <v/>
      </c>
      <c r="AJ4681" s="17" t="str">
        <f t="shared" si="3"/>
        <v/>
      </c>
    </row>
    <row r="4682" spans="31:36">
      <c r="AE4682" s="15" t="str">
        <f t="shared" si="0"/>
        <v/>
      </c>
      <c r="AF4682" s="15" t="str">
        <f t="shared" si="1"/>
        <v/>
      </c>
      <c r="AG4682" s="15" t="str">
        <f>IF(OR(AF4682="",AF4682="ERRO_CHAVE"),"",IFERROR(MATCH(AF4682,'Quitados DUPP'!$U$1:$U$6635,0),""))</f>
        <v/>
      </c>
      <c r="AH4682" s="15" t="str">
        <f t="shared" si="2"/>
        <v/>
      </c>
      <c r="AI4682" s="17" t="str">
        <f>IF(AG4682="","",INDEX('Quitados DUPP'!$G$1:$G$6635,AG4682))</f>
        <v/>
      </c>
      <c r="AJ4682" s="17" t="str">
        <f t="shared" si="3"/>
        <v/>
      </c>
    </row>
    <row r="4683" spans="31:36">
      <c r="AE4683" s="15" t="str">
        <f t="shared" si="0"/>
        <v/>
      </c>
      <c r="AF4683" s="15" t="str">
        <f t="shared" si="1"/>
        <v/>
      </c>
      <c r="AG4683" s="15" t="str">
        <f>IF(OR(AF4683="",AF4683="ERRO_CHAVE"),"",IFERROR(MATCH(AF4683,'Quitados DUPP'!$U$1:$U$6635,0),""))</f>
        <v/>
      </c>
      <c r="AH4683" s="15" t="str">
        <f t="shared" si="2"/>
        <v/>
      </c>
      <c r="AI4683" s="17" t="str">
        <f>IF(AG4683="","",INDEX('Quitados DUPP'!$G$1:$G$6635,AG4683))</f>
        <v/>
      </c>
      <c r="AJ4683" s="17" t="str">
        <f t="shared" si="3"/>
        <v/>
      </c>
    </row>
    <row r="4684" spans="31:36">
      <c r="AE4684" s="15" t="str">
        <f t="shared" si="0"/>
        <v/>
      </c>
      <c r="AF4684" s="15" t="str">
        <f t="shared" si="1"/>
        <v/>
      </c>
      <c r="AG4684" s="15" t="str">
        <f>IF(OR(AF4684="",AF4684="ERRO_CHAVE"),"",IFERROR(MATCH(AF4684,'Quitados DUPP'!$U$1:$U$6635,0),""))</f>
        <v/>
      </c>
      <c r="AH4684" s="15" t="str">
        <f t="shared" si="2"/>
        <v/>
      </c>
      <c r="AI4684" s="17" t="str">
        <f>IF(AG4684="","",INDEX('Quitados DUPP'!$G$1:$G$6635,AG4684))</f>
        <v/>
      </c>
      <c r="AJ4684" s="17" t="str">
        <f t="shared" si="3"/>
        <v/>
      </c>
    </row>
    <row r="4685" spans="31:36">
      <c r="AE4685" s="15" t="str">
        <f t="shared" si="0"/>
        <v/>
      </c>
      <c r="AF4685" s="15" t="str">
        <f t="shared" si="1"/>
        <v/>
      </c>
      <c r="AG4685" s="15" t="str">
        <f>IF(OR(AF4685="",AF4685="ERRO_CHAVE"),"",IFERROR(MATCH(AF4685,'Quitados DUPP'!$U$1:$U$6635,0),""))</f>
        <v/>
      </c>
      <c r="AH4685" s="15" t="str">
        <f t="shared" si="2"/>
        <v/>
      </c>
      <c r="AI4685" s="17" t="str">
        <f>IF(AG4685="","",INDEX('Quitados DUPP'!$G$1:$G$6635,AG4685))</f>
        <v/>
      </c>
      <c r="AJ4685" s="17" t="str">
        <f t="shared" si="3"/>
        <v/>
      </c>
    </row>
    <row r="4686" spans="31:36">
      <c r="AE4686" s="15" t="str">
        <f t="shared" si="0"/>
        <v/>
      </c>
      <c r="AF4686" s="15" t="str">
        <f t="shared" si="1"/>
        <v/>
      </c>
      <c r="AG4686" s="15" t="str">
        <f>IF(OR(AF4686="",AF4686="ERRO_CHAVE"),"",IFERROR(MATCH(AF4686,'Quitados DUPP'!$U$1:$U$6635,0),""))</f>
        <v/>
      </c>
      <c r="AH4686" s="15" t="str">
        <f t="shared" si="2"/>
        <v/>
      </c>
      <c r="AI4686" s="17" t="str">
        <f>IF(AG4686="","",INDEX('Quitados DUPP'!$G$1:$G$6635,AG4686))</f>
        <v/>
      </c>
      <c r="AJ4686" s="17" t="str">
        <f t="shared" si="3"/>
        <v/>
      </c>
    </row>
    <row r="4687" spans="31:36">
      <c r="AE4687" s="15" t="str">
        <f t="shared" si="0"/>
        <v/>
      </c>
      <c r="AF4687" s="15" t="str">
        <f t="shared" si="1"/>
        <v/>
      </c>
      <c r="AG4687" s="15" t="str">
        <f>IF(OR(AF4687="",AF4687="ERRO_CHAVE"),"",IFERROR(MATCH(AF4687,'Quitados DUPP'!$U$1:$U$6635,0),""))</f>
        <v/>
      </c>
      <c r="AH4687" s="15" t="str">
        <f t="shared" si="2"/>
        <v/>
      </c>
      <c r="AI4687" s="17" t="str">
        <f>IF(AG4687="","",INDEX('Quitados DUPP'!$G$1:$G$6635,AG4687))</f>
        <v/>
      </c>
      <c r="AJ4687" s="17" t="str">
        <f t="shared" si="3"/>
        <v/>
      </c>
    </row>
    <row r="4688" spans="31:36">
      <c r="AE4688" s="15" t="str">
        <f t="shared" si="0"/>
        <v/>
      </c>
      <c r="AF4688" s="15" t="str">
        <f t="shared" si="1"/>
        <v/>
      </c>
      <c r="AG4688" s="15" t="str">
        <f>IF(OR(AF4688="",AF4688="ERRO_CHAVE"),"",IFERROR(MATCH(AF4688,'Quitados DUPP'!$U$1:$U$6635,0),""))</f>
        <v/>
      </c>
      <c r="AH4688" s="15" t="str">
        <f t="shared" si="2"/>
        <v/>
      </c>
      <c r="AI4688" s="17" t="str">
        <f>IF(AG4688="","",INDEX('Quitados DUPP'!$G$1:$G$6635,AG4688))</f>
        <v/>
      </c>
      <c r="AJ4688" s="17" t="str">
        <f t="shared" si="3"/>
        <v/>
      </c>
    </row>
    <row r="4689" spans="31:36">
      <c r="AE4689" s="15" t="str">
        <f t="shared" si="0"/>
        <v/>
      </c>
      <c r="AF4689" s="15" t="str">
        <f t="shared" si="1"/>
        <v/>
      </c>
      <c r="AG4689" s="15" t="str">
        <f>IF(OR(AF4689="",AF4689="ERRO_CHAVE"),"",IFERROR(MATCH(AF4689,'Quitados DUPP'!$U$1:$U$6635,0),""))</f>
        <v/>
      </c>
      <c r="AH4689" s="15" t="str">
        <f t="shared" si="2"/>
        <v/>
      </c>
      <c r="AI4689" s="17" t="str">
        <f>IF(AG4689="","",INDEX('Quitados DUPP'!$G$1:$G$6635,AG4689))</f>
        <v/>
      </c>
      <c r="AJ4689" s="17" t="str">
        <f t="shared" si="3"/>
        <v/>
      </c>
    </row>
    <row r="4690" spans="31:36">
      <c r="AE4690" s="15" t="str">
        <f t="shared" si="0"/>
        <v/>
      </c>
      <c r="AF4690" s="15" t="str">
        <f t="shared" si="1"/>
        <v/>
      </c>
      <c r="AG4690" s="15" t="str">
        <f>IF(OR(AF4690="",AF4690="ERRO_CHAVE"),"",IFERROR(MATCH(AF4690,'Quitados DUPP'!$U$1:$U$6635,0),""))</f>
        <v/>
      </c>
      <c r="AH4690" s="15" t="str">
        <f t="shared" si="2"/>
        <v/>
      </c>
      <c r="AI4690" s="17" t="str">
        <f>IF(AG4690="","",INDEX('Quitados DUPP'!$G$1:$G$6635,AG4690))</f>
        <v/>
      </c>
      <c r="AJ4690" s="17" t="str">
        <f t="shared" si="3"/>
        <v/>
      </c>
    </row>
    <row r="4691" spans="31:36">
      <c r="AE4691" s="15" t="str">
        <f t="shared" si="0"/>
        <v/>
      </c>
      <c r="AF4691" s="15" t="str">
        <f t="shared" si="1"/>
        <v/>
      </c>
      <c r="AG4691" s="15" t="str">
        <f>IF(OR(AF4691="",AF4691="ERRO_CHAVE"),"",IFERROR(MATCH(AF4691,'Quitados DUPP'!$U$1:$U$6635,0),""))</f>
        <v/>
      </c>
      <c r="AH4691" s="15" t="str">
        <f t="shared" si="2"/>
        <v/>
      </c>
      <c r="AI4691" s="17" t="str">
        <f>IF(AG4691="","",INDEX('Quitados DUPP'!$G$1:$G$6635,AG4691))</f>
        <v/>
      </c>
      <c r="AJ4691" s="17" t="str">
        <f t="shared" si="3"/>
        <v/>
      </c>
    </row>
    <row r="4692" spans="31:36">
      <c r="AE4692" s="15" t="str">
        <f t="shared" si="0"/>
        <v/>
      </c>
      <c r="AF4692" s="15" t="str">
        <f t="shared" si="1"/>
        <v/>
      </c>
      <c r="AG4692" s="15" t="str">
        <f>IF(OR(AF4692="",AF4692="ERRO_CHAVE"),"",IFERROR(MATCH(AF4692,'Quitados DUPP'!$U$1:$U$6635,0),""))</f>
        <v/>
      </c>
      <c r="AH4692" s="15" t="str">
        <f t="shared" si="2"/>
        <v/>
      </c>
      <c r="AI4692" s="17" t="str">
        <f>IF(AG4692="","",INDEX('Quitados DUPP'!$G$1:$G$6635,AG4692))</f>
        <v/>
      </c>
      <c r="AJ4692" s="17" t="str">
        <f t="shared" si="3"/>
        <v/>
      </c>
    </row>
    <row r="4693" spans="31:36">
      <c r="AE4693" s="15" t="str">
        <f t="shared" si="0"/>
        <v/>
      </c>
      <c r="AF4693" s="15" t="str">
        <f t="shared" si="1"/>
        <v/>
      </c>
      <c r="AG4693" s="15" t="str">
        <f>IF(OR(AF4693="",AF4693="ERRO_CHAVE"),"",IFERROR(MATCH(AF4693,'Quitados DUPP'!$U$1:$U$6635,0),""))</f>
        <v/>
      </c>
      <c r="AH4693" s="15" t="str">
        <f t="shared" si="2"/>
        <v/>
      </c>
      <c r="AI4693" s="17" t="str">
        <f>IF(AG4693="","",INDEX('Quitados DUPP'!$G$1:$G$6635,AG4693))</f>
        <v/>
      </c>
      <c r="AJ4693" s="17" t="str">
        <f t="shared" si="3"/>
        <v/>
      </c>
    </row>
    <row r="4694" spans="31:36">
      <c r="AE4694" s="15" t="str">
        <f t="shared" si="0"/>
        <v/>
      </c>
      <c r="AF4694" s="15" t="str">
        <f t="shared" si="1"/>
        <v/>
      </c>
      <c r="AG4694" s="15" t="str">
        <f>IF(OR(AF4694="",AF4694="ERRO_CHAVE"),"",IFERROR(MATCH(AF4694,'Quitados DUPP'!$U$1:$U$6635,0),""))</f>
        <v/>
      </c>
      <c r="AH4694" s="15" t="str">
        <f t="shared" si="2"/>
        <v/>
      </c>
      <c r="AI4694" s="17" t="str">
        <f>IF(AG4694="","",INDEX('Quitados DUPP'!$G$1:$G$6635,AG4694))</f>
        <v/>
      </c>
      <c r="AJ4694" s="17" t="str">
        <f t="shared" si="3"/>
        <v/>
      </c>
    </row>
    <row r="4695" spans="31:36">
      <c r="AE4695" s="15" t="str">
        <f t="shared" si="0"/>
        <v/>
      </c>
      <c r="AF4695" s="15" t="str">
        <f t="shared" si="1"/>
        <v/>
      </c>
      <c r="AG4695" s="15" t="str">
        <f>IF(OR(AF4695="",AF4695="ERRO_CHAVE"),"",IFERROR(MATCH(AF4695,'Quitados DUPP'!$U$1:$U$6635,0),""))</f>
        <v/>
      </c>
      <c r="AH4695" s="15" t="str">
        <f t="shared" si="2"/>
        <v/>
      </c>
      <c r="AI4695" s="17" t="str">
        <f>IF(AG4695="","",INDEX('Quitados DUPP'!$G$1:$G$6635,AG4695))</f>
        <v/>
      </c>
      <c r="AJ4695" s="17" t="str">
        <f t="shared" si="3"/>
        <v/>
      </c>
    </row>
    <row r="4696" spans="31:36">
      <c r="AE4696" s="15" t="str">
        <f t="shared" si="0"/>
        <v/>
      </c>
      <c r="AF4696" s="15" t="str">
        <f t="shared" si="1"/>
        <v/>
      </c>
      <c r="AG4696" s="15" t="str">
        <f>IF(OR(AF4696="",AF4696="ERRO_CHAVE"),"",IFERROR(MATCH(AF4696,'Quitados DUPP'!$U$1:$U$6635,0),""))</f>
        <v/>
      </c>
      <c r="AH4696" s="15" t="str">
        <f t="shared" si="2"/>
        <v/>
      </c>
      <c r="AI4696" s="17" t="str">
        <f>IF(AG4696="","",INDEX('Quitados DUPP'!$G$1:$G$6635,AG4696))</f>
        <v/>
      </c>
      <c r="AJ4696" s="17" t="str">
        <f t="shared" si="3"/>
        <v/>
      </c>
    </row>
    <row r="4697" spans="31:36">
      <c r="AE4697" s="15" t="str">
        <f t="shared" si="0"/>
        <v/>
      </c>
      <c r="AF4697" s="15" t="str">
        <f t="shared" si="1"/>
        <v/>
      </c>
      <c r="AG4697" s="15" t="str">
        <f>IF(OR(AF4697="",AF4697="ERRO_CHAVE"),"",IFERROR(MATCH(AF4697,'Quitados DUPP'!$U$1:$U$6635,0),""))</f>
        <v/>
      </c>
      <c r="AH4697" s="15" t="str">
        <f t="shared" si="2"/>
        <v/>
      </c>
      <c r="AI4697" s="17" t="str">
        <f>IF(AG4697="","",INDEX('Quitados DUPP'!$G$1:$G$6635,AG4697))</f>
        <v/>
      </c>
      <c r="AJ4697" s="17" t="str">
        <f t="shared" si="3"/>
        <v/>
      </c>
    </row>
    <row r="4698" spans="31:36">
      <c r="AE4698" s="15" t="str">
        <f t="shared" si="0"/>
        <v/>
      </c>
      <c r="AF4698" s="15" t="str">
        <f t="shared" si="1"/>
        <v/>
      </c>
      <c r="AG4698" s="15" t="str">
        <f>IF(OR(AF4698="",AF4698="ERRO_CHAVE"),"",IFERROR(MATCH(AF4698,'Quitados DUPP'!$U$1:$U$6635,0),""))</f>
        <v/>
      </c>
      <c r="AH4698" s="15" t="str">
        <f t="shared" si="2"/>
        <v/>
      </c>
      <c r="AI4698" s="17" t="str">
        <f>IF(AG4698="","",INDEX('Quitados DUPP'!$G$1:$G$6635,AG4698))</f>
        <v/>
      </c>
      <c r="AJ4698" s="17" t="str">
        <f t="shared" si="3"/>
        <v/>
      </c>
    </row>
    <row r="4699" spans="31:36">
      <c r="AE4699" s="15" t="str">
        <f t="shared" si="0"/>
        <v/>
      </c>
      <c r="AF4699" s="15" t="str">
        <f t="shared" si="1"/>
        <v/>
      </c>
      <c r="AG4699" s="15" t="str">
        <f>IF(OR(AF4699="",AF4699="ERRO_CHAVE"),"",IFERROR(MATCH(AF4699,'Quitados DUPP'!$U$1:$U$6635,0),""))</f>
        <v/>
      </c>
      <c r="AH4699" s="15" t="str">
        <f t="shared" si="2"/>
        <v/>
      </c>
      <c r="AI4699" s="17" t="str">
        <f>IF(AG4699="","",INDEX('Quitados DUPP'!$G$1:$G$6635,AG4699))</f>
        <v/>
      </c>
      <c r="AJ4699" s="17" t="str">
        <f t="shared" si="3"/>
        <v/>
      </c>
    </row>
    <row r="4700" spans="31:36">
      <c r="AE4700" s="15" t="str">
        <f t="shared" si="0"/>
        <v/>
      </c>
      <c r="AF4700" s="15" t="str">
        <f t="shared" si="1"/>
        <v/>
      </c>
      <c r="AG4700" s="15" t="str">
        <f>IF(OR(AF4700="",AF4700="ERRO_CHAVE"),"",IFERROR(MATCH(AF4700,'Quitados DUPP'!$U$1:$U$6635,0),""))</f>
        <v/>
      </c>
      <c r="AH4700" s="15" t="str">
        <f t="shared" si="2"/>
        <v/>
      </c>
      <c r="AI4700" s="17" t="str">
        <f>IF(AG4700="","",INDEX('Quitados DUPP'!$G$1:$G$6635,AG4700))</f>
        <v/>
      </c>
      <c r="AJ4700" s="17" t="str">
        <f t="shared" si="3"/>
        <v/>
      </c>
    </row>
    <row r="4701" spans="31:36">
      <c r="AE4701" s="15" t="str">
        <f t="shared" si="0"/>
        <v/>
      </c>
      <c r="AF4701" s="15" t="str">
        <f t="shared" si="1"/>
        <v/>
      </c>
      <c r="AG4701" s="15" t="str">
        <f>IF(OR(AF4701="",AF4701="ERRO_CHAVE"),"",IFERROR(MATCH(AF4701,'Quitados DUPP'!$U$1:$U$6635,0),""))</f>
        <v/>
      </c>
      <c r="AH4701" s="15" t="str">
        <f t="shared" si="2"/>
        <v/>
      </c>
      <c r="AI4701" s="17" t="str">
        <f>IF(AG4701="","",INDEX('Quitados DUPP'!$G$1:$G$6635,AG4701))</f>
        <v/>
      </c>
      <c r="AJ4701" s="17" t="str">
        <f t="shared" si="3"/>
        <v/>
      </c>
    </row>
    <row r="4702" spans="31:36">
      <c r="AE4702" s="15" t="str">
        <f t="shared" si="0"/>
        <v/>
      </c>
      <c r="AF4702" s="15" t="str">
        <f t="shared" si="1"/>
        <v/>
      </c>
      <c r="AG4702" s="15" t="str">
        <f>IF(OR(AF4702="",AF4702="ERRO_CHAVE"),"",IFERROR(MATCH(AF4702,'Quitados DUPP'!$U$1:$U$6635,0),""))</f>
        <v/>
      </c>
      <c r="AH4702" s="15" t="str">
        <f t="shared" si="2"/>
        <v/>
      </c>
      <c r="AI4702" s="17" t="str">
        <f>IF(AG4702="","",INDEX('Quitados DUPP'!$G$1:$G$6635,AG4702))</f>
        <v/>
      </c>
      <c r="AJ4702" s="17" t="str">
        <f t="shared" si="3"/>
        <v/>
      </c>
    </row>
    <row r="4703" spans="31:36">
      <c r="AE4703" s="15" t="str">
        <f t="shared" si="0"/>
        <v/>
      </c>
      <c r="AF4703" s="15" t="str">
        <f t="shared" si="1"/>
        <v/>
      </c>
      <c r="AG4703" s="15" t="str">
        <f>IF(OR(AF4703="",AF4703="ERRO_CHAVE"),"",IFERROR(MATCH(AF4703,'Quitados DUPP'!$U$1:$U$6635,0),""))</f>
        <v/>
      </c>
      <c r="AH4703" s="15" t="str">
        <f t="shared" si="2"/>
        <v/>
      </c>
      <c r="AI4703" s="17" t="str">
        <f>IF(AG4703="","",INDEX('Quitados DUPP'!$G$1:$G$6635,AG4703))</f>
        <v/>
      </c>
      <c r="AJ4703" s="17" t="str">
        <f t="shared" si="3"/>
        <v/>
      </c>
    </row>
    <row r="4704" spans="31:36">
      <c r="AE4704" s="15" t="str">
        <f t="shared" si="0"/>
        <v/>
      </c>
      <c r="AF4704" s="15" t="str">
        <f t="shared" si="1"/>
        <v/>
      </c>
      <c r="AG4704" s="15" t="str">
        <f>IF(OR(AF4704="",AF4704="ERRO_CHAVE"),"",IFERROR(MATCH(AF4704,'Quitados DUPP'!$U$1:$U$6635,0),""))</f>
        <v/>
      </c>
      <c r="AH4704" s="15" t="str">
        <f t="shared" si="2"/>
        <v/>
      </c>
      <c r="AI4704" s="17" t="str">
        <f>IF(AG4704="","",INDEX('Quitados DUPP'!$G$1:$G$6635,AG4704))</f>
        <v/>
      </c>
      <c r="AJ4704" s="17" t="str">
        <f t="shared" si="3"/>
        <v/>
      </c>
    </row>
    <row r="4705" spans="31:36">
      <c r="AE4705" s="15" t="str">
        <f t="shared" si="0"/>
        <v/>
      </c>
      <c r="AF4705" s="15" t="str">
        <f t="shared" si="1"/>
        <v/>
      </c>
      <c r="AG4705" s="15" t="str">
        <f>IF(OR(AF4705="",AF4705="ERRO_CHAVE"),"",IFERROR(MATCH(AF4705,'Quitados DUPP'!$U$1:$U$6635,0),""))</f>
        <v/>
      </c>
      <c r="AH4705" s="15" t="str">
        <f t="shared" si="2"/>
        <v/>
      </c>
      <c r="AI4705" s="17" t="str">
        <f>IF(AG4705="","",INDEX('Quitados DUPP'!$G$1:$G$6635,AG4705))</f>
        <v/>
      </c>
      <c r="AJ4705" s="17" t="str">
        <f t="shared" si="3"/>
        <v/>
      </c>
    </row>
    <row r="4706" spans="31:36">
      <c r="AE4706" s="15" t="str">
        <f t="shared" si="0"/>
        <v/>
      </c>
      <c r="AF4706" s="15" t="str">
        <f t="shared" si="1"/>
        <v/>
      </c>
      <c r="AG4706" s="15" t="str">
        <f>IF(OR(AF4706="",AF4706="ERRO_CHAVE"),"",IFERROR(MATCH(AF4706,'Quitados DUPP'!$U$1:$U$6635,0),""))</f>
        <v/>
      </c>
      <c r="AH4706" s="15" t="str">
        <f t="shared" si="2"/>
        <v/>
      </c>
      <c r="AI4706" s="17" t="str">
        <f>IF(AG4706="","",INDEX('Quitados DUPP'!$G$1:$G$6635,AG4706))</f>
        <v/>
      </c>
      <c r="AJ4706" s="17" t="str">
        <f t="shared" si="3"/>
        <v/>
      </c>
    </row>
    <row r="4707" spans="31:36">
      <c r="AE4707" s="15" t="str">
        <f t="shared" si="0"/>
        <v/>
      </c>
      <c r="AF4707" s="15" t="str">
        <f t="shared" si="1"/>
        <v/>
      </c>
      <c r="AG4707" s="15" t="str">
        <f>IF(OR(AF4707="",AF4707="ERRO_CHAVE"),"",IFERROR(MATCH(AF4707,'Quitados DUPP'!$U$1:$U$6635,0),""))</f>
        <v/>
      </c>
      <c r="AH4707" s="15" t="str">
        <f t="shared" si="2"/>
        <v/>
      </c>
      <c r="AI4707" s="17" t="str">
        <f>IF(AG4707="","",INDEX('Quitados DUPP'!$G$1:$G$6635,AG4707))</f>
        <v/>
      </c>
      <c r="AJ4707" s="17" t="str">
        <f t="shared" si="3"/>
        <v/>
      </c>
    </row>
    <row r="4708" spans="31:36">
      <c r="AE4708" s="15" t="str">
        <f t="shared" si="0"/>
        <v/>
      </c>
      <c r="AF4708" s="15" t="str">
        <f t="shared" si="1"/>
        <v/>
      </c>
      <c r="AG4708" s="15" t="str">
        <f>IF(OR(AF4708="",AF4708="ERRO_CHAVE"),"",IFERROR(MATCH(AF4708,'Quitados DUPP'!$U$1:$U$6635,0),""))</f>
        <v/>
      </c>
      <c r="AH4708" s="15" t="str">
        <f t="shared" si="2"/>
        <v/>
      </c>
      <c r="AI4708" s="17" t="str">
        <f>IF(AG4708="","",INDEX('Quitados DUPP'!$G$1:$G$6635,AG4708))</f>
        <v/>
      </c>
      <c r="AJ4708" s="17" t="str">
        <f t="shared" si="3"/>
        <v/>
      </c>
    </row>
    <row r="4709" spans="31:36">
      <c r="AE4709" s="15" t="str">
        <f t="shared" si="0"/>
        <v/>
      </c>
      <c r="AF4709" s="15" t="str">
        <f t="shared" si="1"/>
        <v/>
      </c>
      <c r="AG4709" s="15" t="str">
        <f>IF(OR(AF4709="",AF4709="ERRO_CHAVE"),"",IFERROR(MATCH(AF4709,'Quitados DUPP'!$U$1:$U$6635,0),""))</f>
        <v/>
      </c>
      <c r="AH4709" s="15" t="str">
        <f t="shared" si="2"/>
        <v/>
      </c>
      <c r="AI4709" s="17" t="str">
        <f>IF(AG4709="","",INDEX('Quitados DUPP'!$G$1:$G$6635,AG4709))</f>
        <v/>
      </c>
      <c r="AJ4709" s="17" t="str">
        <f t="shared" si="3"/>
        <v/>
      </c>
    </row>
    <row r="4710" spans="31:36">
      <c r="AE4710" s="15" t="str">
        <f t="shared" si="0"/>
        <v/>
      </c>
      <c r="AF4710" s="15" t="str">
        <f t="shared" si="1"/>
        <v/>
      </c>
      <c r="AG4710" s="15" t="str">
        <f>IF(OR(AF4710="",AF4710="ERRO_CHAVE"),"",IFERROR(MATCH(AF4710,'Quitados DUPP'!$U$1:$U$6635,0),""))</f>
        <v/>
      </c>
      <c r="AH4710" s="15" t="str">
        <f t="shared" si="2"/>
        <v/>
      </c>
      <c r="AI4710" s="17" t="str">
        <f>IF(AG4710="","",INDEX('Quitados DUPP'!$G$1:$G$6635,AG4710))</f>
        <v/>
      </c>
      <c r="AJ4710" s="17" t="str">
        <f t="shared" si="3"/>
        <v/>
      </c>
    </row>
    <row r="4711" spans="31:36">
      <c r="AE4711" s="15" t="str">
        <f t="shared" si="0"/>
        <v/>
      </c>
      <c r="AF4711" s="15" t="str">
        <f t="shared" si="1"/>
        <v/>
      </c>
      <c r="AG4711" s="15" t="str">
        <f>IF(OR(AF4711="",AF4711="ERRO_CHAVE"),"",IFERROR(MATCH(AF4711,'Quitados DUPP'!$U$1:$U$6635,0),""))</f>
        <v/>
      </c>
      <c r="AH4711" s="15" t="str">
        <f t="shared" si="2"/>
        <v/>
      </c>
      <c r="AI4711" s="17" t="str">
        <f>IF(AG4711="","",INDEX('Quitados DUPP'!$G$1:$G$6635,AG4711))</f>
        <v/>
      </c>
      <c r="AJ4711" s="17" t="str">
        <f t="shared" si="3"/>
        <v/>
      </c>
    </row>
    <row r="4712" spans="31:36">
      <c r="AE4712" s="15" t="str">
        <f t="shared" si="0"/>
        <v/>
      </c>
      <c r="AF4712" s="15" t="str">
        <f t="shared" si="1"/>
        <v/>
      </c>
      <c r="AG4712" s="15" t="str">
        <f>IF(OR(AF4712="",AF4712="ERRO_CHAVE"),"",IFERROR(MATCH(AF4712,'Quitados DUPP'!$U$1:$U$6635,0),""))</f>
        <v/>
      </c>
      <c r="AH4712" s="15" t="str">
        <f t="shared" si="2"/>
        <v/>
      </c>
      <c r="AI4712" s="17" t="str">
        <f>IF(AG4712="","",INDEX('Quitados DUPP'!$G$1:$G$6635,AG4712))</f>
        <v/>
      </c>
      <c r="AJ4712" s="17" t="str">
        <f t="shared" si="3"/>
        <v/>
      </c>
    </row>
    <row r="4713" spans="31:36">
      <c r="AE4713" s="15" t="str">
        <f t="shared" si="0"/>
        <v/>
      </c>
      <c r="AF4713" s="15" t="str">
        <f t="shared" si="1"/>
        <v/>
      </c>
      <c r="AG4713" s="15" t="str">
        <f>IF(OR(AF4713="",AF4713="ERRO_CHAVE"),"",IFERROR(MATCH(AF4713,'Quitados DUPP'!$U$1:$U$6635,0),""))</f>
        <v/>
      </c>
      <c r="AH4713" s="15" t="str">
        <f t="shared" si="2"/>
        <v/>
      </c>
      <c r="AI4713" s="17" t="str">
        <f>IF(AG4713="","",INDEX('Quitados DUPP'!$G$1:$G$6635,AG4713))</f>
        <v/>
      </c>
      <c r="AJ4713" s="17" t="str">
        <f t="shared" si="3"/>
        <v/>
      </c>
    </row>
    <row r="4714" spans="31:36">
      <c r="AE4714" s="15" t="str">
        <f t="shared" si="0"/>
        <v/>
      </c>
      <c r="AF4714" s="15" t="str">
        <f t="shared" si="1"/>
        <v/>
      </c>
      <c r="AG4714" s="15" t="str">
        <f>IF(OR(AF4714="",AF4714="ERRO_CHAVE"),"",IFERROR(MATCH(AF4714,'Quitados DUPP'!$U$1:$U$6635,0),""))</f>
        <v/>
      </c>
      <c r="AH4714" s="15" t="str">
        <f t="shared" si="2"/>
        <v/>
      </c>
      <c r="AI4714" s="17" t="str">
        <f>IF(AG4714="","",INDEX('Quitados DUPP'!$G$1:$G$6635,AG4714))</f>
        <v/>
      </c>
      <c r="AJ4714" s="17" t="str">
        <f t="shared" si="3"/>
        <v/>
      </c>
    </row>
    <row r="4715" spans="31:36">
      <c r="AE4715" s="15" t="str">
        <f t="shared" si="0"/>
        <v/>
      </c>
      <c r="AF4715" s="15" t="str">
        <f t="shared" si="1"/>
        <v/>
      </c>
      <c r="AG4715" s="15" t="str">
        <f>IF(OR(AF4715="",AF4715="ERRO_CHAVE"),"",IFERROR(MATCH(AF4715,'Quitados DUPP'!$U$1:$U$6635,0),""))</f>
        <v/>
      </c>
      <c r="AH4715" s="15" t="str">
        <f t="shared" si="2"/>
        <v/>
      </c>
      <c r="AI4715" s="17" t="str">
        <f>IF(AG4715="","",INDEX('Quitados DUPP'!$G$1:$G$6635,AG4715))</f>
        <v/>
      </c>
      <c r="AJ4715" s="17" t="str">
        <f t="shared" si="3"/>
        <v/>
      </c>
    </row>
    <row r="4716" spans="31:36">
      <c r="AE4716" s="15" t="str">
        <f t="shared" si="0"/>
        <v/>
      </c>
      <c r="AF4716" s="15" t="str">
        <f t="shared" si="1"/>
        <v/>
      </c>
      <c r="AG4716" s="15" t="str">
        <f>IF(OR(AF4716="",AF4716="ERRO_CHAVE"),"",IFERROR(MATCH(AF4716,'Quitados DUPP'!$U$1:$U$6635,0),""))</f>
        <v/>
      </c>
      <c r="AH4716" s="15" t="str">
        <f t="shared" si="2"/>
        <v/>
      </c>
      <c r="AI4716" s="17" t="str">
        <f>IF(AG4716="","",INDEX('Quitados DUPP'!$G$1:$G$6635,AG4716))</f>
        <v/>
      </c>
      <c r="AJ4716" s="17" t="str">
        <f t="shared" si="3"/>
        <v/>
      </c>
    </row>
    <row r="4717" spans="31:36">
      <c r="AE4717" s="15" t="str">
        <f t="shared" si="0"/>
        <v/>
      </c>
      <c r="AF4717" s="15" t="str">
        <f t="shared" si="1"/>
        <v/>
      </c>
      <c r="AG4717" s="15" t="str">
        <f>IF(OR(AF4717="",AF4717="ERRO_CHAVE"),"",IFERROR(MATCH(AF4717,'Quitados DUPP'!$U$1:$U$6635,0),""))</f>
        <v/>
      </c>
      <c r="AH4717" s="15" t="str">
        <f t="shared" si="2"/>
        <v/>
      </c>
      <c r="AI4717" s="17" t="str">
        <f>IF(AG4717="","",INDEX('Quitados DUPP'!$G$1:$G$6635,AG4717))</f>
        <v/>
      </c>
      <c r="AJ4717" s="17" t="str">
        <f t="shared" si="3"/>
        <v/>
      </c>
    </row>
    <row r="4718" spans="31:36">
      <c r="AE4718" s="15" t="str">
        <f t="shared" si="0"/>
        <v/>
      </c>
      <c r="AF4718" s="15" t="str">
        <f t="shared" si="1"/>
        <v/>
      </c>
      <c r="AG4718" s="15" t="str">
        <f>IF(OR(AF4718="",AF4718="ERRO_CHAVE"),"",IFERROR(MATCH(AF4718,'Quitados DUPP'!$U$1:$U$6635,0),""))</f>
        <v/>
      </c>
      <c r="AH4718" s="15" t="str">
        <f t="shared" si="2"/>
        <v/>
      </c>
      <c r="AI4718" s="17" t="str">
        <f>IF(AG4718="","",INDEX('Quitados DUPP'!$G$1:$G$6635,AG4718))</f>
        <v/>
      </c>
      <c r="AJ4718" s="17" t="str">
        <f t="shared" si="3"/>
        <v/>
      </c>
    </row>
    <row r="4719" spans="31:36">
      <c r="AE4719" s="15" t="str">
        <f t="shared" si="0"/>
        <v/>
      </c>
      <c r="AF4719" s="15" t="str">
        <f t="shared" si="1"/>
        <v/>
      </c>
      <c r="AG4719" s="15" t="str">
        <f>IF(OR(AF4719="",AF4719="ERRO_CHAVE"),"",IFERROR(MATCH(AF4719,'Quitados DUPP'!$U$1:$U$6635,0),""))</f>
        <v/>
      </c>
      <c r="AH4719" s="15" t="str">
        <f t="shared" si="2"/>
        <v/>
      </c>
      <c r="AI4719" s="17" t="str">
        <f>IF(AG4719="","",INDEX('Quitados DUPP'!$G$1:$G$6635,AG4719))</f>
        <v/>
      </c>
      <c r="AJ4719" s="17" t="str">
        <f t="shared" si="3"/>
        <v/>
      </c>
    </row>
    <row r="4720" spans="31:36">
      <c r="AE4720" s="15" t="str">
        <f t="shared" si="0"/>
        <v/>
      </c>
      <c r="AF4720" s="15" t="str">
        <f t="shared" si="1"/>
        <v/>
      </c>
      <c r="AG4720" s="15" t="str">
        <f>IF(OR(AF4720="",AF4720="ERRO_CHAVE"),"",IFERROR(MATCH(AF4720,'Quitados DUPP'!$U$1:$U$6635,0),""))</f>
        <v/>
      </c>
      <c r="AH4720" s="15" t="str">
        <f t="shared" si="2"/>
        <v/>
      </c>
      <c r="AI4720" s="17" t="str">
        <f>IF(AG4720="","",INDEX('Quitados DUPP'!$G$1:$G$6635,AG4720))</f>
        <v/>
      </c>
      <c r="AJ4720" s="17" t="str">
        <f t="shared" si="3"/>
        <v/>
      </c>
    </row>
    <row r="4721" spans="31:36">
      <c r="AE4721" s="15" t="str">
        <f t="shared" si="0"/>
        <v/>
      </c>
      <c r="AF4721" s="15" t="str">
        <f t="shared" si="1"/>
        <v/>
      </c>
      <c r="AG4721" s="15" t="str">
        <f>IF(OR(AF4721="",AF4721="ERRO_CHAVE"),"",IFERROR(MATCH(AF4721,'Quitados DUPP'!$U$1:$U$6635,0),""))</f>
        <v/>
      </c>
      <c r="AH4721" s="15" t="str">
        <f t="shared" si="2"/>
        <v/>
      </c>
      <c r="AI4721" s="17" t="str">
        <f>IF(AG4721="","",INDEX('Quitados DUPP'!$G$1:$G$6635,AG4721))</f>
        <v/>
      </c>
      <c r="AJ4721" s="17" t="str">
        <f t="shared" si="3"/>
        <v/>
      </c>
    </row>
    <row r="4722" spans="31:36">
      <c r="AE4722" s="15" t="str">
        <f t="shared" si="0"/>
        <v/>
      </c>
      <c r="AF4722" s="15" t="str">
        <f t="shared" si="1"/>
        <v/>
      </c>
      <c r="AG4722" s="15" t="str">
        <f>IF(OR(AF4722="",AF4722="ERRO_CHAVE"),"",IFERROR(MATCH(AF4722,'Quitados DUPP'!$U$1:$U$6635,0),""))</f>
        <v/>
      </c>
      <c r="AH4722" s="15" t="str">
        <f t="shared" si="2"/>
        <v/>
      </c>
      <c r="AI4722" s="17" t="str">
        <f>IF(AG4722="","",INDEX('Quitados DUPP'!$G$1:$G$6635,AG4722))</f>
        <v/>
      </c>
      <c r="AJ4722" s="17" t="str">
        <f t="shared" si="3"/>
        <v/>
      </c>
    </row>
    <row r="4723" spans="31:36">
      <c r="AE4723" s="15" t="str">
        <f t="shared" si="0"/>
        <v/>
      </c>
      <c r="AF4723" s="15" t="str">
        <f t="shared" si="1"/>
        <v/>
      </c>
      <c r="AG4723" s="15" t="str">
        <f>IF(OR(AF4723="",AF4723="ERRO_CHAVE"),"",IFERROR(MATCH(AF4723,'Quitados DUPP'!$U$1:$U$6635,0),""))</f>
        <v/>
      </c>
      <c r="AH4723" s="15" t="str">
        <f t="shared" si="2"/>
        <v/>
      </c>
      <c r="AI4723" s="17" t="str">
        <f>IF(AG4723="","",INDEX('Quitados DUPP'!$G$1:$G$6635,AG4723))</f>
        <v/>
      </c>
      <c r="AJ4723" s="17" t="str">
        <f t="shared" si="3"/>
        <v/>
      </c>
    </row>
    <row r="4724" spans="31:36">
      <c r="AE4724" s="15" t="str">
        <f t="shared" si="0"/>
        <v/>
      </c>
      <c r="AF4724" s="15" t="str">
        <f t="shared" si="1"/>
        <v/>
      </c>
      <c r="AG4724" s="15" t="str">
        <f>IF(OR(AF4724="",AF4724="ERRO_CHAVE"),"",IFERROR(MATCH(AF4724,'Quitados DUPP'!$U$1:$U$6635,0),""))</f>
        <v/>
      </c>
      <c r="AH4724" s="15" t="str">
        <f t="shared" si="2"/>
        <v/>
      </c>
      <c r="AI4724" s="17" t="str">
        <f>IF(AG4724="","",INDEX('Quitados DUPP'!$G$1:$G$6635,AG4724))</f>
        <v/>
      </c>
      <c r="AJ4724" s="17" t="str">
        <f t="shared" si="3"/>
        <v/>
      </c>
    </row>
    <row r="4725" spans="31:36">
      <c r="AE4725" s="15" t="str">
        <f t="shared" si="0"/>
        <v/>
      </c>
      <c r="AF4725" s="15" t="str">
        <f t="shared" si="1"/>
        <v/>
      </c>
      <c r="AG4725" s="15" t="str">
        <f>IF(OR(AF4725="",AF4725="ERRO_CHAVE"),"",IFERROR(MATCH(AF4725,'Quitados DUPP'!$U$1:$U$6635,0),""))</f>
        <v/>
      </c>
      <c r="AH4725" s="15" t="str">
        <f t="shared" si="2"/>
        <v/>
      </c>
      <c r="AI4725" s="17" t="str">
        <f>IF(AG4725="","",INDEX('Quitados DUPP'!$G$1:$G$6635,AG4725))</f>
        <v/>
      </c>
      <c r="AJ4725" s="17" t="str">
        <f t="shared" si="3"/>
        <v/>
      </c>
    </row>
    <row r="4726" spans="31:36">
      <c r="AE4726" s="15" t="str">
        <f t="shared" si="0"/>
        <v/>
      </c>
      <c r="AF4726" s="15" t="str">
        <f t="shared" si="1"/>
        <v/>
      </c>
      <c r="AG4726" s="15" t="str">
        <f>IF(OR(AF4726="",AF4726="ERRO_CHAVE"),"",IFERROR(MATCH(AF4726,'Quitados DUPP'!$U$1:$U$6635,0),""))</f>
        <v/>
      </c>
      <c r="AH4726" s="15" t="str">
        <f t="shared" si="2"/>
        <v/>
      </c>
      <c r="AI4726" s="17" t="str">
        <f>IF(AG4726="","",INDEX('Quitados DUPP'!$G$1:$G$6635,AG4726))</f>
        <v/>
      </c>
      <c r="AJ4726" s="17" t="str">
        <f t="shared" si="3"/>
        <v/>
      </c>
    </row>
    <row r="4727" spans="31:36">
      <c r="AE4727" s="15" t="str">
        <f t="shared" si="0"/>
        <v/>
      </c>
      <c r="AF4727" s="15" t="str">
        <f t="shared" si="1"/>
        <v/>
      </c>
      <c r="AG4727" s="15" t="str">
        <f>IF(OR(AF4727="",AF4727="ERRO_CHAVE"),"",IFERROR(MATCH(AF4727,'Quitados DUPP'!$U$1:$U$6635,0),""))</f>
        <v/>
      </c>
      <c r="AH4727" s="15" t="str">
        <f t="shared" si="2"/>
        <v/>
      </c>
      <c r="AI4727" s="17" t="str">
        <f>IF(AG4727="","",INDEX('Quitados DUPP'!$G$1:$G$6635,AG4727))</f>
        <v/>
      </c>
      <c r="AJ4727" s="17" t="str">
        <f t="shared" si="3"/>
        <v/>
      </c>
    </row>
    <row r="4728" spans="31:36">
      <c r="AE4728" s="15" t="str">
        <f t="shared" si="0"/>
        <v/>
      </c>
      <c r="AF4728" s="15" t="str">
        <f t="shared" si="1"/>
        <v/>
      </c>
      <c r="AG4728" s="15" t="str">
        <f>IF(OR(AF4728="",AF4728="ERRO_CHAVE"),"",IFERROR(MATCH(AF4728,'Quitados DUPP'!$U$1:$U$6635,0),""))</f>
        <v/>
      </c>
      <c r="AH4728" s="15" t="str">
        <f t="shared" si="2"/>
        <v/>
      </c>
      <c r="AI4728" s="17" t="str">
        <f>IF(AG4728="","",INDEX('Quitados DUPP'!$G$1:$G$6635,AG4728))</f>
        <v/>
      </c>
      <c r="AJ4728" s="17" t="str">
        <f t="shared" si="3"/>
        <v/>
      </c>
    </row>
    <row r="4729" spans="31:36">
      <c r="AE4729" s="15" t="str">
        <f t="shared" si="0"/>
        <v/>
      </c>
      <c r="AF4729" s="15" t="str">
        <f t="shared" si="1"/>
        <v/>
      </c>
      <c r="AG4729" s="15" t="str">
        <f>IF(OR(AF4729="",AF4729="ERRO_CHAVE"),"",IFERROR(MATCH(AF4729,'Quitados DUPP'!$U$1:$U$6635,0),""))</f>
        <v/>
      </c>
      <c r="AH4729" s="15" t="str">
        <f t="shared" si="2"/>
        <v/>
      </c>
      <c r="AI4729" s="17" t="str">
        <f>IF(AG4729="","",INDEX('Quitados DUPP'!$G$1:$G$6635,AG4729))</f>
        <v/>
      </c>
      <c r="AJ4729" s="17" t="str">
        <f t="shared" si="3"/>
        <v/>
      </c>
    </row>
    <row r="4730" spans="31:36">
      <c r="AE4730" s="15" t="str">
        <f t="shared" si="0"/>
        <v/>
      </c>
      <c r="AF4730" s="15" t="str">
        <f t="shared" si="1"/>
        <v/>
      </c>
      <c r="AG4730" s="15" t="str">
        <f>IF(OR(AF4730="",AF4730="ERRO_CHAVE"),"",IFERROR(MATCH(AF4730,'Quitados DUPP'!$U$1:$U$6635,0),""))</f>
        <v/>
      </c>
      <c r="AH4730" s="15" t="str">
        <f t="shared" si="2"/>
        <v/>
      </c>
      <c r="AI4730" s="17" t="str">
        <f>IF(AG4730="","",INDEX('Quitados DUPP'!$G$1:$G$6635,AG4730))</f>
        <v/>
      </c>
      <c r="AJ4730" s="17" t="str">
        <f t="shared" si="3"/>
        <v/>
      </c>
    </row>
    <row r="4731" spans="31:36">
      <c r="AE4731" s="15" t="str">
        <f t="shared" si="0"/>
        <v/>
      </c>
      <c r="AF4731" s="15" t="str">
        <f t="shared" si="1"/>
        <v/>
      </c>
      <c r="AG4731" s="15" t="str">
        <f>IF(OR(AF4731="",AF4731="ERRO_CHAVE"),"",IFERROR(MATCH(AF4731,'Quitados DUPP'!$U$1:$U$6635,0),""))</f>
        <v/>
      </c>
      <c r="AH4731" s="15" t="str">
        <f t="shared" si="2"/>
        <v/>
      </c>
      <c r="AI4731" s="17" t="str">
        <f>IF(AG4731="","",INDEX('Quitados DUPP'!$G$1:$G$6635,AG4731))</f>
        <v/>
      </c>
      <c r="AJ4731" s="17" t="str">
        <f t="shared" si="3"/>
        <v/>
      </c>
    </row>
    <row r="4732" spans="31:36">
      <c r="AE4732" s="15" t="str">
        <f t="shared" si="0"/>
        <v/>
      </c>
      <c r="AF4732" s="15" t="str">
        <f t="shared" si="1"/>
        <v/>
      </c>
      <c r="AG4732" s="15" t="str">
        <f>IF(OR(AF4732="",AF4732="ERRO_CHAVE"),"",IFERROR(MATCH(AF4732,'Quitados DUPP'!$U$1:$U$6635,0),""))</f>
        <v/>
      </c>
      <c r="AH4732" s="15" t="str">
        <f t="shared" si="2"/>
        <v/>
      </c>
      <c r="AI4732" s="17" t="str">
        <f>IF(AG4732="","",INDEX('Quitados DUPP'!$G$1:$G$6635,AG4732))</f>
        <v/>
      </c>
      <c r="AJ4732" s="17" t="str">
        <f t="shared" si="3"/>
        <v/>
      </c>
    </row>
    <row r="4733" spans="31:36">
      <c r="AE4733" s="15" t="str">
        <f t="shared" si="0"/>
        <v/>
      </c>
      <c r="AF4733" s="15" t="str">
        <f t="shared" si="1"/>
        <v/>
      </c>
      <c r="AG4733" s="15" t="str">
        <f>IF(OR(AF4733="",AF4733="ERRO_CHAVE"),"",IFERROR(MATCH(AF4733,'Quitados DUPP'!$U$1:$U$6635,0),""))</f>
        <v/>
      </c>
      <c r="AH4733" s="15" t="str">
        <f t="shared" si="2"/>
        <v/>
      </c>
      <c r="AI4733" s="17" t="str">
        <f>IF(AG4733="","",INDEX('Quitados DUPP'!$G$1:$G$6635,AG4733))</f>
        <v/>
      </c>
      <c r="AJ4733" s="17" t="str">
        <f t="shared" si="3"/>
        <v/>
      </c>
    </row>
    <row r="4734" spans="31:36">
      <c r="AE4734" s="15" t="str">
        <f t="shared" si="0"/>
        <v/>
      </c>
      <c r="AF4734" s="15" t="str">
        <f t="shared" si="1"/>
        <v/>
      </c>
      <c r="AG4734" s="15" t="str">
        <f>IF(OR(AF4734="",AF4734="ERRO_CHAVE"),"",IFERROR(MATCH(AF4734,'Quitados DUPP'!$U$1:$U$6635,0),""))</f>
        <v/>
      </c>
      <c r="AH4734" s="15" t="str">
        <f t="shared" si="2"/>
        <v/>
      </c>
      <c r="AI4734" s="17" t="str">
        <f>IF(AG4734="","",INDEX('Quitados DUPP'!$G$1:$G$6635,AG4734))</f>
        <v/>
      </c>
      <c r="AJ4734" s="17" t="str">
        <f t="shared" si="3"/>
        <v/>
      </c>
    </row>
    <row r="4735" spans="31:36">
      <c r="AE4735" s="15" t="str">
        <f t="shared" si="0"/>
        <v/>
      </c>
      <c r="AF4735" s="15" t="str">
        <f t="shared" si="1"/>
        <v/>
      </c>
      <c r="AG4735" s="15" t="str">
        <f>IF(OR(AF4735="",AF4735="ERRO_CHAVE"),"",IFERROR(MATCH(AF4735,'Quitados DUPP'!$U$1:$U$6635,0),""))</f>
        <v/>
      </c>
      <c r="AH4735" s="15" t="str">
        <f t="shared" si="2"/>
        <v/>
      </c>
      <c r="AI4735" s="17" t="str">
        <f>IF(AG4735="","",INDEX('Quitados DUPP'!$G$1:$G$6635,AG4735))</f>
        <v/>
      </c>
      <c r="AJ4735" s="17" t="str">
        <f t="shared" si="3"/>
        <v/>
      </c>
    </row>
    <row r="4736" spans="31:36">
      <c r="AE4736" s="15" t="str">
        <f t="shared" si="0"/>
        <v/>
      </c>
      <c r="AF4736" s="15" t="str">
        <f t="shared" si="1"/>
        <v/>
      </c>
      <c r="AG4736" s="15" t="str">
        <f>IF(OR(AF4736="",AF4736="ERRO_CHAVE"),"",IFERROR(MATCH(AF4736,'Quitados DUPP'!$U$1:$U$6635,0),""))</f>
        <v/>
      </c>
      <c r="AH4736" s="15" t="str">
        <f t="shared" si="2"/>
        <v/>
      </c>
      <c r="AI4736" s="17" t="str">
        <f>IF(AG4736="","",INDEX('Quitados DUPP'!$G$1:$G$6635,AG4736))</f>
        <v/>
      </c>
      <c r="AJ4736" s="17" t="str">
        <f t="shared" si="3"/>
        <v/>
      </c>
    </row>
    <row r="4737" spans="31:36">
      <c r="AE4737" s="15" t="str">
        <f t="shared" si="0"/>
        <v/>
      </c>
      <c r="AF4737" s="15" t="str">
        <f t="shared" si="1"/>
        <v/>
      </c>
      <c r="AG4737" s="15" t="str">
        <f>IF(OR(AF4737="",AF4737="ERRO_CHAVE"),"",IFERROR(MATCH(AF4737,'Quitados DUPP'!$U$1:$U$6635,0),""))</f>
        <v/>
      </c>
      <c r="AH4737" s="15" t="str">
        <f t="shared" si="2"/>
        <v/>
      </c>
      <c r="AI4737" s="17" t="str">
        <f>IF(AG4737="","",INDEX('Quitados DUPP'!$G$1:$G$6635,AG4737))</f>
        <v/>
      </c>
      <c r="AJ4737" s="17" t="str">
        <f t="shared" si="3"/>
        <v/>
      </c>
    </row>
    <row r="4738" spans="31:36">
      <c r="AE4738" s="15" t="str">
        <f t="shared" si="0"/>
        <v/>
      </c>
      <c r="AF4738" s="15" t="str">
        <f t="shared" si="1"/>
        <v/>
      </c>
      <c r="AG4738" s="15" t="str">
        <f>IF(OR(AF4738="",AF4738="ERRO_CHAVE"),"",IFERROR(MATCH(AF4738,'Quitados DUPP'!$U$1:$U$6635,0),""))</f>
        <v/>
      </c>
      <c r="AH4738" s="15" t="str">
        <f t="shared" si="2"/>
        <v/>
      </c>
      <c r="AI4738" s="17" t="str">
        <f>IF(AG4738="","",INDEX('Quitados DUPP'!$G$1:$G$6635,AG4738))</f>
        <v/>
      </c>
      <c r="AJ4738" s="17" t="str">
        <f t="shared" si="3"/>
        <v/>
      </c>
    </row>
    <row r="4739" spans="31:36">
      <c r="AE4739" s="15" t="str">
        <f t="shared" si="0"/>
        <v/>
      </c>
      <c r="AF4739" s="15" t="str">
        <f t="shared" si="1"/>
        <v/>
      </c>
      <c r="AG4739" s="15" t="str">
        <f>IF(OR(AF4739="",AF4739="ERRO_CHAVE"),"",IFERROR(MATCH(AF4739,'Quitados DUPP'!$U$1:$U$6635,0),""))</f>
        <v/>
      </c>
      <c r="AH4739" s="15" t="str">
        <f t="shared" si="2"/>
        <v/>
      </c>
      <c r="AI4739" s="17" t="str">
        <f>IF(AG4739="","",INDEX('Quitados DUPP'!$G$1:$G$6635,AG4739))</f>
        <v/>
      </c>
      <c r="AJ4739" s="17" t="str">
        <f t="shared" si="3"/>
        <v/>
      </c>
    </row>
    <row r="4740" spans="31:36">
      <c r="AE4740" s="15" t="str">
        <f t="shared" si="0"/>
        <v/>
      </c>
      <c r="AF4740" s="15" t="str">
        <f t="shared" si="1"/>
        <v/>
      </c>
      <c r="AG4740" s="15" t="str">
        <f>IF(OR(AF4740="",AF4740="ERRO_CHAVE"),"",IFERROR(MATCH(AF4740,'Quitados DUPP'!$U$1:$U$6635,0),""))</f>
        <v/>
      </c>
      <c r="AH4740" s="15" t="str">
        <f t="shared" si="2"/>
        <v/>
      </c>
      <c r="AI4740" s="17" t="str">
        <f>IF(AG4740="","",INDEX('Quitados DUPP'!$G$1:$G$6635,AG4740))</f>
        <v/>
      </c>
      <c r="AJ4740" s="17" t="str">
        <f t="shared" si="3"/>
        <v/>
      </c>
    </row>
    <row r="4741" spans="31:36">
      <c r="AE4741" s="15" t="str">
        <f t="shared" si="0"/>
        <v/>
      </c>
      <c r="AF4741" s="15" t="str">
        <f t="shared" si="1"/>
        <v/>
      </c>
      <c r="AG4741" s="15" t="str">
        <f>IF(OR(AF4741="",AF4741="ERRO_CHAVE"),"",IFERROR(MATCH(AF4741,'Quitados DUPP'!$U$1:$U$6635,0),""))</f>
        <v/>
      </c>
      <c r="AH4741" s="15" t="str">
        <f t="shared" si="2"/>
        <v/>
      </c>
      <c r="AI4741" s="17" t="str">
        <f>IF(AG4741="","",INDEX('Quitados DUPP'!$G$1:$G$6635,AG4741))</f>
        <v/>
      </c>
      <c r="AJ4741" s="17" t="str">
        <f t="shared" si="3"/>
        <v/>
      </c>
    </row>
    <row r="4742" spans="31:36">
      <c r="AE4742" s="15" t="str">
        <f t="shared" si="0"/>
        <v/>
      </c>
      <c r="AF4742" s="15" t="str">
        <f t="shared" si="1"/>
        <v/>
      </c>
      <c r="AG4742" s="15" t="str">
        <f>IF(OR(AF4742="",AF4742="ERRO_CHAVE"),"",IFERROR(MATCH(AF4742,'Quitados DUPP'!$U$1:$U$6635,0),""))</f>
        <v/>
      </c>
      <c r="AH4742" s="15" t="str">
        <f t="shared" si="2"/>
        <v/>
      </c>
      <c r="AI4742" s="17" t="str">
        <f>IF(AG4742="","",INDEX('Quitados DUPP'!$G$1:$G$6635,AG4742))</f>
        <v/>
      </c>
      <c r="AJ4742" s="17" t="str">
        <f t="shared" si="3"/>
        <v/>
      </c>
    </row>
    <row r="4743" spans="31:36">
      <c r="AE4743" s="15" t="str">
        <f t="shared" si="0"/>
        <v/>
      </c>
      <c r="AF4743" s="15" t="str">
        <f t="shared" si="1"/>
        <v/>
      </c>
      <c r="AG4743" s="15" t="str">
        <f>IF(OR(AF4743="",AF4743="ERRO_CHAVE"),"",IFERROR(MATCH(AF4743,'Quitados DUPP'!$U$1:$U$6635,0),""))</f>
        <v/>
      </c>
      <c r="AH4743" s="15" t="str">
        <f t="shared" si="2"/>
        <v/>
      </c>
      <c r="AI4743" s="17" t="str">
        <f>IF(AG4743="","",INDEX('Quitados DUPP'!$G$1:$G$6635,AG4743))</f>
        <v/>
      </c>
      <c r="AJ4743" s="17" t="str">
        <f t="shared" si="3"/>
        <v/>
      </c>
    </row>
    <row r="4744" spans="31:36">
      <c r="AE4744" s="15" t="str">
        <f t="shared" si="0"/>
        <v/>
      </c>
      <c r="AF4744" s="15" t="str">
        <f t="shared" si="1"/>
        <v/>
      </c>
      <c r="AG4744" s="15" t="str">
        <f>IF(OR(AF4744="",AF4744="ERRO_CHAVE"),"",IFERROR(MATCH(AF4744,'Quitados DUPP'!$U$1:$U$6635,0),""))</f>
        <v/>
      </c>
      <c r="AH4744" s="15" t="str">
        <f t="shared" si="2"/>
        <v/>
      </c>
      <c r="AI4744" s="17" t="str">
        <f>IF(AG4744="","",INDEX('Quitados DUPP'!$G$1:$G$6635,AG4744))</f>
        <v/>
      </c>
      <c r="AJ4744" s="17" t="str">
        <f t="shared" si="3"/>
        <v/>
      </c>
    </row>
    <row r="4745" spans="31:36">
      <c r="AE4745" s="15" t="str">
        <f t="shared" si="0"/>
        <v/>
      </c>
      <c r="AF4745" s="15" t="str">
        <f t="shared" si="1"/>
        <v/>
      </c>
      <c r="AG4745" s="15" t="str">
        <f>IF(OR(AF4745="",AF4745="ERRO_CHAVE"),"",IFERROR(MATCH(AF4745,'Quitados DUPP'!$U$1:$U$6635,0),""))</f>
        <v/>
      </c>
      <c r="AH4745" s="15" t="str">
        <f t="shared" si="2"/>
        <v/>
      </c>
      <c r="AI4745" s="17" t="str">
        <f>IF(AG4745="","",INDEX('Quitados DUPP'!$G$1:$G$6635,AG4745))</f>
        <v/>
      </c>
      <c r="AJ4745" s="17" t="str">
        <f t="shared" si="3"/>
        <v/>
      </c>
    </row>
    <row r="4746" spans="31:36">
      <c r="AE4746" s="15" t="str">
        <f t="shared" si="0"/>
        <v/>
      </c>
      <c r="AF4746" s="15" t="str">
        <f t="shared" si="1"/>
        <v/>
      </c>
      <c r="AG4746" s="15" t="str">
        <f>IF(OR(AF4746="",AF4746="ERRO_CHAVE"),"",IFERROR(MATCH(AF4746,'Quitados DUPP'!$U$1:$U$6635,0),""))</f>
        <v/>
      </c>
      <c r="AH4746" s="15" t="str">
        <f t="shared" si="2"/>
        <v/>
      </c>
      <c r="AI4746" s="17" t="str">
        <f>IF(AG4746="","",INDEX('Quitados DUPP'!$G$1:$G$6635,AG4746))</f>
        <v/>
      </c>
      <c r="AJ4746" s="17" t="str">
        <f t="shared" si="3"/>
        <v/>
      </c>
    </row>
    <row r="4747" spans="31:36">
      <c r="AE4747" s="15" t="str">
        <f t="shared" si="0"/>
        <v/>
      </c>
      <c r="AF4747" s="15" t="str">
        <f t="shared" si="1"/>
        <v/>
      </c>
      <c r="AG4747" s="15" t="str">
        <f>IF(OR(AF4747="",AF4747="ERRO_CHAVE"),"",IFERROR(MATCH(AF4747,'Quitados DUPP'!$U$1:$U$6635,0),""))</f>
        <v/>
      </c>
      <c r="AH4747" s="15" t="str">
        <f t="shared" si="2"/>
        <v/>
      </c>
      <c r="AI4747" s="17" t="str">
        <f>IF(AG4747="","",INDEX('Quitados DUPP'!$G$1:$G$6635,AG4747))</f>
        <v/>
      </c>
      <c r="AJ4747" s="17" t="str">
        <f t="shared" si="3"/>
        <v/>
      </c>
    </row>
    <row r="4748" spans="31:36">
      <c r="AE4748" s="15" t="str">
        <f t="shared" si="0"/>
        <v/>
      </c>
      <c r="AF4748" s="15" t="str">
        <f t="shared" si="1"/>
        <v/>
      </c>
      <c r="AG4748" s="15" t="str">
        <f>IF(OR(AF4748="",AF4748="ERRO_CHAVE"),"",IFERROR(MATCH(AF4748,'Quitados DUPP'!$U$1:$U$6635,0),""))</f>
        <v/>
      </c>
      <c r="AH4748" s="15" t="str">
        <f t="shared" si="2"/>
        <v/>
      </c>
      <c r="AI4748" s="17" t="str">
        <f>IF(AG4748="","",INDEX('Quitados DUPP'!$G$1:$G$6635,AG4748))</f>
        <v/>
      </c>
      <c r="AJ4748" s="17" t="str">
        <f t="shared" si="3"/>
        <v/>
      </c>
    </row>
    <row r="4749" spans="31:36">
      <c r="AE4749" s="15" t="str">
        <f t="shared" si="0"/>
        <v/>
      </c>
      <c r="AF4749" s="15" t="str">
        <f t="shared" si="1"/>
        <v/>
      </c>
      <c r="AG4749" s="15" t="str">
        <f>IF(OR(AF4749="",AF4749="ERRO_CHAVE"),"",IFERROR(MATCH(AF4749,'Quitados DUPP'!$U$1:$U$6635,0),""))</f>
        <v/>
      </c>
      <c r="AH4749" s="15" t="str">
        <f t="shared" si="2"/>
        <v/>
      </c>
      <c r="AI4749" s="17" t="str">
        <f>IF(AG4749="","",INDEX('Quitados DUPP'!$G$1:$G$6635,AG4749))</f>
        <v/>
      </c>
      <c r="AJ4749" s="17" t="str">
        <f t="shared" si="3"/>
        <v/>
      </c>
    </row>
    <row r="4750" spans="31:36">
      <c r="AE4750" s="15" t="str">
        <f t="shared" si="0"/>
        <v/>
      </c>
      <c r="AF4750" s="15" t="str">
        <f t="shared" si="1"/>
        <v/>
      </c>
      <c r="AG4750" s="15" t="str">
        <f>IF(OR(AF4750="",AF4750="ERRO_CHAVE"),"",IFERROR(MATCH(AF4750,'Quitados DUPP'!$U$1:$U$6635,0),""))</f>
        <v/>
      </c>
      <c r="AH4750" s="15" t="str">
        <f t="shared" si="2"/>
        <v/>
      </c>
      <c r="AI4750" s="17" t="str">
        <f>IF(AG4750="","",INDEX('Quitados DUPP'!$G$1:$G$6635,AG4750))</f>
        <v/>
      </c>
      <c r="AJ4750" s="17" t="str">
        <f t="shared" si="3"/>
        <v/>
      </c>
    </row>
    <row r="4751" spans="31:36">
      <c r="AE4751" s="15" t="str">
        <f t="shared" si="0"/>
        <v/>
      </c>
      <c r="AF4751" s="15" t="str">
        <f t="shared" si="1"/>
        <v/>
      </c>
      <c r="AG4751" s="15" t="str">
        <f>IF(OR(AF4751="",AF4751="ERRO_CHAVE"),"",IFERROR(MATCH(AF4751,'Quitados DUPP'!$U$1:$U$6635,0),""))</f>
        <v/>
      </c>
      <c r="AH4751" s="15" t="str">
        <f t="shared" si="2"/>
        <v/>
      </c>
      <c r="AI4751" s="17" t="str">
        <f>IF(AG4751="","",INDEX('Quitados DUPP'!$G$1:$G$6635,AG4751))</f>
        <v/>
      </c>
      <c r="AJ4751" s="17" t="str">
        <f t="shared" si="3"/>
        <v/>
      </c>
    </row>
    <row r="4752" spans="31:36">
      <c r="AE4752" s="15" t="str">
        <f t="shared" si="0"/>
        <v/>
      </c>
      <c r="AF4752" s="15" t="str">
        <f t="shared" si="1"/>
        <v/>
      </c>
      <c r="AG4752" s="15" t="str">
        <f>IF(OR(AF4752="",AF4752="ERRO_CHAVE"),"",IFERROR(MATCH(AF4752,'Quitados DUPP'!$U$1:$U$6635,0),""))</f>
        <v/>
      </c>
      <c r="AH4752" s="15" t="str">
        <f t="shared" si="2"/>
        <v/>
      </c>
      <c r="AI4752" s="17" t="str">
        <f>IF(AG4752="","",INDEX('Quitados DUPP'!$G$1:$G$6635,AG4752))</f>
        <v/>
      </c>
      <c r="AJ4752" s="17" t="str">
        <f t="shared" si="3"/>
        <v/>
      </c>
    </row>
    <row r="4753" spans="31:36">
      <c r="AE4753" s="15" t="str">
        <f t="shared" si="0"/>
        <v/>
      </c>
      <c r="AF4753" s="15" t="str">
        <f t="shared" si="1"/>
        <v/>
      </c>
      <c r="AG4753" s="15" t="str">
        <f>IF(OR(AF4753="",AF4753="ERRO_CHAVE"),"",IFERROR(MATCH(AF4753,'Quitados DUPP'!$U$1:$U$6635,0),""))</f>
        <v/>
      </c>
      <c r="AH4753" s="15" t="str">
        <f t="shared" si="2"/>
        <v/>
      </c>
      <c r="AI4753" s="17" t="str">
        <f>IF(AG4753="","",INDEX('Quitados DUPP'!$G$1:$G$6635,AG4753))</f>
        <v/>
      </c>
      <c r="AJ4753" s="17" t="str">
        <f t="shared" si="3"/>
        <v/>
      </c>
    </row>
    <row r="4754" spans="31:36">
      <c r="AE4754" s="15" t="str">
        <f t="shared" si="0"/>
        <v/>
      </c>
      <c r="AF4754" s="15" t="str">
        <f t="shared" si="1"/>
        <v/>
      </c>
      <c r="AG4754" s="15" t="str">
        <f>IF(OR(AF4754="",AF4754="ERRO_CHAVE"),"",IFERROR(MATCH(AF4754,'Quitados DUPP'!$U$1:$U$6635,0),""))</f>
        <v/>
      </c>
      <c r="AH4754" s="15" t="str">
        <f t="shared" si="2"/>
        <v/>
      </c>
      <c r="AI4754" s="17" t="str">
        <f>IF(AG4754="","",INDEX('Quitados DUPP'!$G$1:$G$6635,AG4754))</f>
        <v/>
      </c>
      <c r="AJ4754" s="17" t="str">
        <f t="shared" si="3"/>
        <v/>
      </c>
    </row>
    <row r="4755" spans="31:36">
      <c r="AE4755" s="15" t="str">
        <f t="shared" si="0"/>
        <v/>
      </c>
      <c r="AF4755" s="15" t="str">
        <f t="shared" si="1"/>
        <v/>
      </c>
      <c r="AG4755" s="15" t="str">
        <f>IF(OR(AF4755="",AF4755="ERRO_CHAVE"),"",IFERROR(MATCH(AF4755,'Quitados DUPP'!$U$1:$U$6635,0),""))</f>
        <v/>
      </c>
      <c r="AH4755" s="15" t="str">
        <f t="shared" si="2"/>
        <v/>
      </c>
      <c r="AI4755" s="17" t="str">
        <f>IF(AG4755="","",INDEX('Quitados DUPP'!$G$1:$G$6635,AG4755))</f>
        <v/>
      </c>
      <c r="AJ4755" s="17" t="str">
        <f t="shared" si="3"/>
        <v/>
      </c>
    </row>
    <row r="4756" spans="31:36">
      <c r="AE4756" s="15" t="str">
        <f t="shared" si="0"/>
        <v/>
      </c>
      <c r="AF4756" s="15" t="str">
        <f t="shared" si="1"/>
        <v/>
      </c>
      <c r="AG4756" s="15" t="str">
        <f>IF(OR(AF4756="",AF4756="ERRO_CHAVE"),"",IFERROR(MATCH(AF4756,'Quitados DUPP'!$U$1:$U$6635,0),""))</f>
        <v/>
      </c>
      <c r="AH4756" s="15" t="str">
        <f t="shared" si="2"/>
        <v/>
      </c>
      <c r="AI4756" s="17" t="str">
        <f>IF(AG4756="","",INDEX('Quitados DUPP'!$G$1:$G$6635,AG4756))</f>
        <v/>
      </c>
      <c r="AJ4756" s="17" t="str">
        <f t="shared" si="3"/>
        <v/>
      </c>
    </row>
    <row r="4757" spans="31:36">
      <c r="AE4757" s="15" t="str">
        <f t="shared" si="0"/>
        <v/>
      </c>
      <c r="AF4757" s="15" t="str">
        <f t="shared" si="1"/>
        <v/>
      </c>
      <c r="AG4757" s="15" t="str">
        <f>IF(OR(AF4757="",AF4757="ERRO_CHAVE"),"",IFERROR(MATCH(AF4757,'Quitados DUPP'!$U$1:$U$6635,0),""))</f>
        <v/>
      </c>
      <c r="AH4757" s="15" t="str">
        <f t="shared" si="2"/>
        <v/>
      </c>
      <c r="AI4757" s="17" t="str">
        <f>IF(AG4757="","",INDEX('Quitados DUPP'!$G$1:$G$6635,AG4757))</f>
        <v/>
      </c>
      <c r="AJ4757" s="17" t="str">
        <f t="shared" si="3"/>
        <v/>
      </c>
    </row>
    <row r="4758" spans="31:36">
      <c r="AE4758" s="15" t="str">
        <f t="shared" si="0"/>
        <v/>
      </c>
      <c r="AF4758" s="15" t="str">
        <f t="shared" si="1"/>
        <v/>
      </c>
      <c r="AG4758" s="15" t="str">
        <f>IF(OR(AF4758="",AF4758="ERRO_CHAVE"),"",IFERROR(MATCH(AF4758,'Quitados DUPP'!$U$1:$U$6635,0),""))</f>
        <v/>
      </c>
      <c r="AH4758" s="15" t="str">
        <f t="shared" si="2"/>
        <v/>
      </c>
      <c r="AI4758" s="17" t="str">
        <f>IF(AG4758="","",INDEX('Quitados DUPP'!$G$1:$G$6635,AG4758))</f>
        <v/>
      </c>
      <c r="AJ4758" s="17" t="str">
        <f t="shared" si="3"/>
        <v/>
      </c>
    </row>
    <row r="4759" spans="31:36">
      <c r="AE4759" s="15" t="str">
        <f t="shared" si="0"/>
        <v/>
      </c>
      <c r="AF4759" s="15" t="str">
        <f t="shared" si="1"/>
        <v/>
      </c>
      <c r="AG4759" s="15" t="str">
        <f>IF(OR(AF4759="",AF4759="ERRO_CHAVE"),"",IFERROR(MATCH(AF4759,'Quitados DUPP'!$U$1:$U$6635,0),""))</f>
        <v/>
      </c>
      <c r="AH4759" s="15" t="str">
        <f t="shared" si="2"/>
        <v/>
      </c>
      <c r="AI4759" s="17" t="str">
        <f>IF(AG4759="","",INDEX('Quitados DUPP'!$G$1:$G$6635,AG4759))</f>
        <v/>
      </c>
      <c r="AJ4759" s="17" t="str">
        <f t="shared" si="3"/>
        <v/>
      </c>
    </row>
    <row r="4760" spans="31:36">
      <c r="AE4760" s="15" t="str">
        <f t="shared" si="0"/>
        <v/>
      </c>
      <c r="AF4760" s="15" t="str">
        <f t="shared" si="1"/>
        <v/>
      </c>
      <c r="AG4760" s="15" t="str">
        <f>IF(OR(AF4760="",AF4760="ERRO_CHAVE"),"",IFERROR(MATCH(AF4760,'Quitados DUPP'!$U$1:$U$6635,0),""))</f>
        <v/>
      </c>
      <c r="AH4760" s="15" t="str">
        <f t="shared" si="2"/>
        <v/>
      </c>
      <c r="AI4760" s="17" t="str">
        <f>IF(AG4760="","",INDEX('Quitados DUPP'!$G$1:$G$6635,AG4760))</f>
        <v/>
      </c>
      <c r="AJ4760" s="17" t="str">
        <f t="shared" si="3"/>
        <v/>
      </c>
    </row>
    <row r="4761" spans="31:36">
      <c r="AE4761" s="15" t="str">
        <f t="shared" si="0"/>
        <v/>
      </c>
      <c r="AF4761" s="15" t="str">
        <f t="shared" si="1"/>
        <v/>
      </c>
      <c r="AG4761" s="15" t="str">
        <f>IF(OR(AF4761="",AF4761="ERRO_CHAVE"),"",IFERROR(MATCH(AF4761,'Quitados DUPP'!$U$1:$U$6635,0),""))</f>
        <v/>
      </c>
      <c r="AH4761" s="15" t="str">
        <f t="shared" si="2"/>
        <v/>
      </c>
      <c r="AI4761" s="17" t="str">
        <f>IF(AG4761="","",INDEX('Quitados DUPP'!$G$1:$G$6635,AG4761))</f>
        <v/>
      </c>
      <c r="AJ4761" s="17" t="str">
        <f t="shared" si="3"/>
        <v/>
      </c>
    </row>
    <row r="4762" spans="31:36">
      <c r="AE4762" s="15" t="str">
        <f t="shared" si="0"/>
        <v/>
      </c>
      <c r="AF4762" s="15" t="str">
        <f t="shared" si="1"/>
        <v/>
      </c>
      <c r="AG4762" s="15" t="str">
        <f>IF(OR(AF4762="",AF4762="ERRO_CHAVE"),"",IFERROR(MATCH(AF4762,'Quitados DUPP'!$U$1:$U$6635,0),""))</f>
        <v/>
      </c>
      <c r="AH4762" s="15" t="str">
        <f t="shared" si="2"/>
        <v/>
      </c>
      <c r="AI4762" s="17" t="str">
        <f>IF(AG4762="","",INDEX('Quitados DUPP'!$G$1:$G$6635,AG4762))</f>
        <v/>
      </c>
      <c r="AJ4762" s="17" t="str">
        <f t="shared" si="3"/>
        <v/>
      </c>
    </row>
    <row r="4763" spans="31:36">
      <c r="AE4763" s="15" t="str">
        <f t="shared" si="0"/>
        <v/>
      </c>
      <c r="AF4763" s="15" t="str">
        <f t="shared" si="1"/>
        <v/>
      </c>
      <c r="AG4763" s="15" t="str">
        <f>IF(OR(AF4763="",AF4763="ERRO_CHAVE"),"",IFERROR(MATCH(AF4763,'Quitados DUPP'!$U$1:$U$6635,0),""))</f>
        <v/>
      </c>
      <c r="AH4763" s="15" t="str">
        <f t="shared" si="2"/>
        <v/>
      </c>
      <c r="AI4763" s="17" t="str">
        <f>IF(AG4763="","",INDEX('Quitados DUPP'!$G$1:$G$6635,AG4763))</f>
        <v/>
      </c>
      <c r="AJ4763" s="17" t="str">
        <f t="shared" si="3"/>
        <v/>
      </c>
    </row>
    <row r="4764" spans="31:36">
      <c r="AE4764" s="15" t="str">
        <f t="shared" si="0"/>
        <v/>
      </c>
      <c r="AF4764" s="15" t="str">
        <f t="shared" si="1"/>
        <v/>
      </c>
      <c r="AG4764" s="15" t="str">
        <f>IF(OR(AF4764="",AF4764="ERRO_CHAVE"),"",IFERROR(MATCH(AF4764,'Quitados DUPP'!$U$1:$U$6635,0),""))</f>
        <v/>
      </c>
      <c r="AH4764" s="15" t="str">
        <f t="shared" si="2"/>
        <v/>
      </c>
      <c r="AI4764" s="17" t="str">
        <f>IF(AG4764="","",INDEX('Quitados DUPP'!$G$1:$G$6635,AG4764))</f>
        <v/>
      </c>
      <c r="AJ4764" s="17" t="str">
        <f t="shared" si="3"/>
        <v/>
      </c>
    </row>
    <row r="4765" spans="31:36">
      <c r="AE4765" s="15" t="str">
        <f t="shared" si="0"/>
        <v/>
      </c>
      <c r="AF4765" s="15" t="str">
        <f t="shared" si="1"/>
        <v/>
      </c>
      <c r="AG4765" s="15" t="str">
        <f>IF(OR(AF4765="",AF4765="ERRO_CHAVE"),"",IFERROR(MATCH(AF4765,'Quitados DUPP'!$U$1:$U$6635,0),""))</f>
        <v/>
      </c>
      <c r="AH4765" s="15" t="str">
        <f t="shared" si="2"/>
        <v/>
      </c>
      <c r="AI4765" s="17" t="str">
        <f>IF(AG4765="","",INDEX('Quitados DUPP'!$G$1:$G$6635,AG4765))</f>
        <v/>
      </c>
      <c r="AJ4765" s="17" t="str">
        <f t="shared" si="3"/>
        <v/>
      </c>
    </row>
    <row r="4766" spans="31:36">
      <c r="AE4766" s="15" t="str">
        <f t="shared" si="0"/>
        <v/>
      </c>
      <c r="AF4766" s="15" t="str">
        <f t="shared" si="1"/>
        <v/>
      </c>
      <c r="AG4766" s="15" t="str">
        <f>IF(OR(AF4766="",AF4766="ERRO_CHAVE"),"",IFERROR(MATCH(AF4766,'Quitados DUPP'!$U$1:$U$6635,0),""))</f>
        <v/>
      </c>
      <c r="AH4766" s="15" t="str">
        <f t="shared" si="2"/>
        <v/>
      </c>
      <c r="AI4766" s="17" t="str">
        <f>IF(AG4766="","",INDEX('Quitados DUPP'!$G$1:$G$6635,AG4766))</f>
        <v/>
      </c>
      <c r="AJ4766" s="17" t="str">
        <f t="shared" si="3"/>
        <v/>
      </c>
    </row>
    <row r="4767" spans="31:36">
      <c r="AE4767" s="15" t="str">
        <f t="shared" si="0"/>
        <v/>
      </c>
      <c r="AF4767" s="15" t="str">
        <f t="shared" si="1"/>
        <v/>
      </c>
      <c r="AG4767" s="15" t="str">
        <f>IF(OR(AF4767="",AF4767="ERRO_CHAVE"),"",IFERROR(MATCH(AF4767,'Quitados DUPP'!$U$1:$U$6635,0),""))</f>
        <v/>
      </c>
      <c r="AH4767" s="15" t="str">
        <f t="shared" si="2"/>
        <v/>
      </c>
      <c r="AI4767" s="17" t="str">
        <f>IF(AG4767="","",INDEX('Quitados DUPP'!$G$1:$G$6635,AG4767))</f>
        <v/>
      </c>
      <c r="AJ4767" s="17" t="str">
        <f t="shared" si="3"/>
        <v/>
      </c>
    </row>
    <row r="4768" spans="31:36">
      <c r="AE4768" s="15" t="str">
        <f t="shared" si="0"/>
        <v/>
      </c>
      <c r="AF4768" s="15" t="str">
        <f t="shared" si="1"/>
        <v/>
      </c>
      <c r="AG4768" s="15" t="str">
        <f>IF(OR(AF4768="",AF4768="ERRO_CHAVE"),"",IFERROR(MATCH(AF4768,'Quitados DUPP'!$U$1:$U$6635,0),""))</f>
        <v/>
      </c>
      <c r="AH4768" s="15" t="str">
        <f t="shared" si="2"/>
        <v/>
      </c>
      <c r="AI4768" s="17" t="str">
        <f>IF(AG4768="","",INDEX('Quitados DUPP'!$G$1:$G$6635,AG4768))</f>
        <v/>
      </c>
      <c r="AJ4768" s="17" t="str">
        <f t="shared" si="3"/>
        <v/>
      </c>
    </row>
    <row r="4769" spans="31:36">
      <c r="AE4769" s="15" t="str">
        <f t="shared" si="0"/>
        <v/>
      </c>
      <c r="AF4769" s="15" t="str">
        <f t="shared" si="1"/>
        <v/>
      </c>
      <c r="AG4769" s="15" t="str">
        <f>IF(OR(AF4769="",AF4769="ERRO_CHAVE"),"",IFERROR(MATCH(AF4769,'Quitados DUPP'!$U$1:$U$6635,0),""))</f>
        <v/>
      </c>
      <c r="AH4769" s="15" t="str">
        <f t="shared" si="2"/>
        <v/>
      </c>
      <c r="AI4769" s="17" t="str">
        <f>IF(AG4769="","",INDEX('Quitados DUPP'!$G$1:$G$6635,AG4769))</f>
        <v/>
      </c>
      <c r="AJ4769" s="17" t="str">
        <f t="shared" si="3"/>
        <v/>
      </c>
    </row>
    <row r="4770" spans="31:36">
      <c r="AE4770" s="15" t="str">
        <f t="shared" si="0"/>
        <v/>
      </c>
      <c r="AF4770" s="15" t="str">
        <f t="shared" si="1"/>
        <v/>
      </c>
      <c r="AG4770" s="15" t="str">
        <f>IF(OR(AF4770="",AF4770="ERRO_CHAVE"),"",IFERROR(MATCH(AF4770,'Quitados DUPP'!$U$1:$U$6635,0),""))</f>
        <v/>
      </c>
      <c r="AH4770" s="15" t="str">
        <f t="shared" si="2"/>
        <v/>
      </c>
      <c r="AI4770" s="17" t="str">
        <f>IF(AG4770="","",INDEX('Quitados DUPP'!$G$1:$G$6635,AG4770))</f>
        <v/>
      </c>
      <c r="AJ4770" s="17" t="str">
        <f t="shared" si="3"/>
        <v/>
      </c>
    </row>
    <row r="4771" spans="31:36">
      <c r="AE4771" s="15" t="str">
        <f t="shared" si="0"/>
        <v/>
      </c>
      <c r="AF4771" s="15" t="str">
        <f t="shared" si="1"/>
        <v/>
      </c>
      <c r="AG4771" s="15" t="str">
        <f>IF(OR(AF4771="",AF4771="ERRO_CHAVE"),"",IFERROR(MATCH(AF4771,'Quitados DUPP'!$U$1:$U$6635,0),""))</f>
        <v/>
      </c>
      <c r="AH4771" s="15" t="str">
        <f t="shared" si="2"/>
        <v/>
      </c>
      <c r="AI4771" s="17" t="str">
        <f>IF(AG4771="","",INDEX('Quitados DUPP'!$G$1:$G$6635,AG4771))</f>
        <v/>
      </c>
      <c r="AJ4771" s="17" t="str">
        <f t="shared" si="3"/>
        <v/>
      </c>
    </row>
    <row r="4772" spans="31:36">
      <c r="AE4772" s="15" t="str">
        <f t="shared" si="0"/>
        <v/>
      </c>
      <c r="AF4772" s="15" t="str">
        <f t="shared" si="1"/>
        <v/>
      </c>
      <c r="AG4772" s="15" t="str">
        <f>IF(OR(AF4772="",AF4772="ERRO_CHAVE"),"",IFERROR(MATCH(AF4772,'Quitados DUPP'!$U$1:$U$6635,0),""))</f>
        <v/>
      </c>
      <c r="AH4772" s="15" t="str">
        <f t="shared" si="2"/>
        <v/>
      </c>
      <c r="AI4772" s="17" t="str">
        <f>IF(AG4772="","",INDEX('Quitados DUPP'!$G$1:$G$6635,AG4772))</f>
        <v/>
      </c>
      <c r="AJ4772" s="17" t="str">
        <f t="shared" si="3"/>
        <v/>
      </c>
    </row>
    <row r="4773" spans="31:36">
      <c r="AE4773" s="15" t="str">
        <f t="shared" si="0"/>
        <v/>
      </c>
      <c r="AF4773" s="15" t="str">
        <f t="shared" si="1"/>
        <v/>
      </c>
      <c r="AG4773" s="15" t="str">
        <f>IF(OR(AF4773="",AF4773="ERRO_CHAVE"),"",IFERROR(MATCH(AF4773,'Quitados DUPP'!$U$1:$U$6635,0),""))</f>
        <v/>
      </c>
      <c r="AH4773" s="15" t="str">
        <f t="shared" si="2"/>
        <v/>
      </c>
      <c r="AI4773" s="17" t="str">
        <f>IF(AG4773="","",INDEX('Quitados DUPP'!$G$1:$G$6635,AG4773))</f>
        <v/>
      </c>
      <c r="AJ4773" s="17" t="str">
        <f t="shared" si="3"/>
        <v/>
      </c>
    </row>
    <row r="4774" spans="31:36">
      <c r="AE4774" s="15" t="str">
        <f t="shared" si="0"/>
        <v/>
      </c>
      <c r="AF4774" s="15" t="str">
        <f t="shared" si="1"/>
        <v/>
      </c>
      <c r="AG4774" s="15" t="str">
        <f>IF(OR(AF4774="",AF4774="ERRO_CHAVE"),"",IFERROR(MATCH(AF4774,'Quitados DUPP'!$U$1:$U$6635,0),""))</f>
        <v/>
      </c>
      <c r="AH4774" s="15" t="str">
        <f t="shared" si="2"/>
        <v/>
      </c>
      <c r="AI4774" s="17" t="str">
        <f>IF(AG4774="","",INDEX('Quitados DUPP'!$G$1:$G$6635,AG4774))</f>
        <v/>
      </c>
      <c r="AJ4774" s="17" t="str">
        <f t="shared" si="3"/>
        <v/>
      </c>
    </row>
    <row r="4775" spans="31:36">
      <c r="AE4775" s="15" t="str">
        <f t="shared" si="0"/>
        <v/>
      </c>
      <c r="AF4775" s="15" t="str">
        <f t="shared" si="1"/>
        <v/>
      </c>
      <c r="AG4775" s="15" t="str">
        <f>IF(OR(AF4775="",AF4775="ERRO_CHAVE"),"",IFERROR(MATCH(AF4775,'Quitados DUPP'!$U$1:$U$6635,0),""))</f>
        <v/>
      </c>
      <c r="AH4775" s="15" t="str">
        <f t="shared" si="2"/>
        <v/>
      </c>
      <c r="AI4775" s="17" t="str">
        <f>IF(AG4775="","",INDEX('Quitados DUPP'!$G$1:$G$6635,AG4775))</f>
        <v/>
      </c>
      <c r="AJ4775" s="17" t="str">
        <f t="shared" si="3"/>
        <v/>
      </c>
    </row>
    <row r="4776" spans="31:36">
      <c r="AE4776" s="15" t="str">
        <f t="shared" si="0"/>
        <v/>
      </c>
      <c r="AF4776" s="15" t="str">
        <f t="shared" si="1"/>
        <v/>
      </c>
      <c r="AG4776" s="15" t="str">
        <f>IF(OR(AF4776="",AF4776="ERRO_CHAVE"),"",IFERROR(MATCH(AF4776,'Quitados DUPP'!$U$1:$U$6635,0),""))</f>
        <v/>
      </c>
      <c r="AH4776" s="15" t="str">
        <f t="shared" si="2"/>
        <v/>
      </c>
      <c r="AI4776" s="17" t="str">
        <f>IF(AG4776="","",INDEX('Quitados DUPP'!$G$1:$G$6635,AG4776))</f>
        <v/>
      </c>
      <c r="AJ4776" s="17" t="str">
        <f t="shared" si="3"/>
        <v/>
      </c>
    </row>
    <row r="4777" spans="31:36">
      <c r="AE4777" s="15" t="str">
        <f t="shared" si="0"/>
        <v/>
      </c>
      <c r="AF4777" s="15" t="str">
        <f t="shared" si="1"/>
        <v/>
      </c>
      <c r="AG4777" s="15" t="str">
        <f>IF(OR(AF4777="",AF4777="ERRO_CHAVE"),"",IFERROR(MATCH(AF4777,'Quitados DUPP'!$U$1:$U$6635,0),""))</f>
        <v/>
      </c>
      <c r="AH4777" s="15" t="str">
        <f t="shared" si="2"/>
        <v/>
      </c>
      <c r="AI4777" s="17" t="str">
        <f>IF(AG4777="","",INDEX('Quitados DUPP'!$G$1:$G$6635,AG4777))</f>
        <v/>
      </c>
      <c r="AJ4777" s="17" t="str">
        <f t="shared" si="3"/>
        <v/>
      </c>
    </row>
    <row r="4778" spans="31:36">
      <c r="AE4778" s="15" t="str">
        <f t="shared" si="0"/>
        <v/>
      </c>
      <c r="AF4778" s="15" t="str">
        <f t="shared" si="1"/>
        <v/>
      </c>
      <c r="AG4778" s="15" t="str">
        <f>IF(OR(AF4778="",AF4778="ERRO_CHAVE"),"",IFERROR(MATCH(AF4778,'Quitados DUPP'!$U$1:$U$6635,0),""))</f>
        <v/>
      </c>
      <c r="AH4778" s="15" t="str">
        <f t="shared" si="2"/>
        <v/>
      </c>
      <c r="AI4778" s="17" t="str">
        <f>IF(AG4778="","",INDEX('Quitados DUPP'!$G$1:$G$6635,AG4778))</f>
        <v/>
      </c>
      <c r="AJ4778" s="17" t="str">
        <f t="shared" si="3"/>
        <v/>
      </c>
    </row>
    <row r="4779" spans="31:36">
      <c r="AE4779" s="15" t="str">
        <f t="shared" si="0"/>
        <v/>
      </c>
      <c r="AF4779" s="15" t="str">
        <f t="shared" si="1"/>
        <v/>
      </c>
      <c r="AG4779" s="15" t="str">
        <f>IF(OR(AF4779="",AF4779="ERRO_CHAVE"),"",IFERROR(MATCH(AF4779,'Quitados DUPP'!$U$1:$U$6635,0),""))</f>
        <v/>
      </c>
      <c r="AH4779" s="15" t="str">
        <f t="shared" si="2"/>
        <v/>
      </c>
      <c r="AI4779" s="17" t="str">
        <f>IF(AG4779="","",INDEX('Quitados DUPP'!$G$1:$G$6635,AG4779))</f>
        <v/>
      </c>
      <c r="AJ4779" s="17" t="str">
        <f t="shared" si="3"/>
        <v/>
      </c>
    </row>
    <row r="4780" spans="31:36">
      <c r="AE4780" s="15" t="str">
        <f t="shared" si="0"/>
        <v/>
      </c>
      <c r="AF4780" s="15" t="str">
        <f t="shared" si="1"/>
        <v/>
      </c>
      <c r="AG4780" s="15" t="str">
        <f>IF(OR(AF4780="",AF4780="ERRO_CHAVE"),"",IFERROR(MATCH(AF4780,'Quitados DUPP'!$U$1:$U$6635,0),""))</f>
        <v/>
      </c>
      <c r="AH4780" s="15" t="str">
        <f t="shared" si="2"/>
        <v/>
      </c>
      <c r="AI4780" s="17" t="str">
        <f>IF(AG4780="","",INDEX('Quitados DUPP'!$G$1:$G$6635,AG4780))</f>
        <v/>
      </c>
      <c r="AJ4780" s="17" t="str">
        <f t="shared" si="3"/>
        <v/>
      </c>
    </row>
    <row r="4781" spans="31:36">
      <c r="AE4781" s="15" t="str">
        <f t="shared" si="0"/>
        <v/>
      </c>
      <c r="AF4781" s="15" t="str">
        <f t="shared" si="1"/>
        <v/>
      </c>
      <c r="AG4781" s="15" t="str">
        <f>IF(OR(AF4781="",AF4781="ERRO_CHAVE"),"",IFERROR(MATCH(AF4781,'Quitados DUPP'!$U$1:$U$6635,0),""))</f>
        <v/>
      </c>
      <c r="AH4781" s="15" t="str">
        <f t="shared" si="2"/>
        <v/>
      </c>
      <c r="AI4781" s="17" t="str">
        <f>IF(AG4781="","",INDEX('Quitados DUPP'!$G$1:$G$6635,AG4781))</f>
        <v/>
      </c>
      <c r="AJ4781" s="17" t="str">
        <f t="shared" si="3"/>
        <v/>
      </c>
    </row>
    <row r="4782" spans="31:36">
      <c r="AE4782" s="15" t="str">
        <f t="shared" si="0"/>
        <v/>
      </c>
      <c r="AF4782" s="15" t="str">
        <f t="shared" si="1"/>
        <v/>
      </c>
      <c r="AG4782" s="15" t="str">
        <f>IF(OR(AF4782="",AF4782="ERRO_CHAVE"),"",IFERROR(MATCH(AF4782,'Quitados DUPP'!$U$1:$U$6635,0),""))</f>
        <v/>
      </c>
      <c r="AH4782" s="15" t="str">
        <f t="shared" si="2"/>
        <v/>
      </c>
      <c r="AI4782" s="17" t="str">
        <f>IF(AG4782="","",INDEX('Quitados DUPP'!$G$1:$G$6635,AG4782))</f>
        <v/>
      </c>
      <c r="AJ4782" s="17" t="str">
        <f t="shared" si="3"/>
        <v/>
      </c>
    </row>
    <row r="4783" spans="31:36">
      <c r="AE4783" s="15" t="str">
        <f t="shared" si="0"/>
        <v/>
      </c>
      <c r="AF4783" s="15" t="str">
        <f t="shared" si="1"/>
        <v/>
      </c>
      <c r="AG4783" s="15" t="str">
        <f>IF(OR(AF4783="",AF4783="ERRO_CHAVE"),"",IFERROR(MATCH(AF4783,'Quitados DUPP'!$U$1:$U$6635,0),""))</f>
        <v/>
      </c>
      <c r="AH4783" s="15" t="str">
        <f t="shared" si="2"/>
        <v/>
      </c>
      <c r="AI4783" s="17" t="str">
        <f>IF(AG4783="","",INDEX('Quitados DUPP'!$G$1:$G$6635,AG4783))</f>
        <v/>
      </c>
      <c r="AJ4783" s="17" t="str">
        <f t="shared" si="3"/>
        <v/>
      </c>
    </row>
    <row r="4784" spans="31:36">
      <c r="AE4784" s="15" t="str">
        <f t="shared" si="0"/>
        <v/>
      </c>
      <c r="AF4784" s="15" t="str">
        <f t="shared" si="1"/>
        <v/>
      </c>
      <c r="AG4784" s="15" t="str">
        <f>IF(OR(AF4784="",AF4784="ERRO_CHAVE"),"",IFERROR(MATCH(AF4784,'Quitados DUPP'!$U$1:$U$6635,0),""))</f>
        <v/>
      </c>
      <c r="AH4784" s="15" t="str">
        <f t="shared" si="2"/>
        <v/>
      </c>
      <c r="AI4784" s="17" t="str">
        <f>IF(AG4784="","",INDEX('Quitados DUPP'!$G$1:$G$6635,AG4784))</f>
        <v/>
      </c>
      <c r="AJ4784" s="17" t="str">
        <f t="shared" si="3"/>
        <v/>
      </c>
    </row>
    <row r="4785" spans="31:36">
      <c r="AE4785" s="15" t="str">
        <f t="shared" si="0"/>
        <v/>
      </c>
      <c r="AF4785" s="15" t="str">
        <f t="shared" si="1"/>
        <v/>
      </c>
      <c r="AG4785" s="15" t="str">
        <f>IF(OR(AF4785="",AF4785="ERRO_CHAVE"),"",IFERROR(MATCH(AF4785,'Quitados DUPP'!$U$1:$U$6635,0),""))</f>
        <v/>
      </c>
      <c r="AH4785" s="15" t="str">
        <f t="shared" si="2"/>
        <v/>
      </c>
      <c r="AI4785" s="17" t="str">
        <f>IF(AG4785="","",INDEX('Quitados DUPP'!$G$1:$G$6635,AG4785))</f>
        <v/>
      </c>
      <c r="AJ4785" s="17" t="str">
        <f t="shared" si="3"/>
        <v/>
      </c>
    </row>
    <row r="4786" spans="31:36">
      <c r="AE4786" s="15" t="str">
        <f t="shared" si="0"/>
        <v/>
      </c>
      <c r="AF4786" s="15" t="str">
        <f t="shared" si="1"/>
        <v/>
      </c>
      <c r="AG4786" s="15" t="str">
        <f>IF(OR(AF4786="",AF4786="ERRO_CHAVE"),"",IFERROR(MATCH(AF4786,'Quitados DUPP'!$U$1:$U$6635,0),""))</f>
        <v/>
      </c>
      <c r="AH4786" s="15" t="str">
        <f t="shared" si="2"/>
        <v/>
      </c>
      <c r="AI4786" s="17" t="str">
        <f>IF(AG4786="","",INDEX('Quitados DUPP'!$G$1:$G$6635,AG4786))</f>
        <v/>
      </c>
      <c r="AJ4786" s="17" t="str">
        <f t="shared" si="3"/>
        <v/>
      </c>
    </row>
    <row r="4787" spans="31:36">
      <c r="AE4787" s="15" t="str">
        <f t="shared" si="0"/>
        <v/>
      </c>
      <c r="AF4787" s="15" t="str">
        <f t="shared" si="1"/>
        <v/>
      </c>
      <c r="AG4787" s="15" t="str">
        <f>IF(OR(AF4787="",AF4787="ERRO_CHAVE"),"",IFERROR(MATCH(AF4787,'Quitados DUPP'!$U$1:$U$6635,0),""))</f>
        <v/>
      </c>
      <c r="AH4787" s="15" t="str">
        <f t="shared" si="2"/>
        <v/>
      </c>
      <c r="AI4787" s="17" t="str">
        <f>IF(AG4787="","",INDEX('Quitados DUPP'!$G$1:$G$6635,AG4787))</f>
        <v/>
      </c>
      <c r="AJ4787" s="17" t="str">
        <f t="shared" si="3"/>
        <v/>
      </c>
    </row>
    <row r="4788" spans="31:36">
      <c r="AE4788" s="15" t="str">
        <f t="shared" si="0"/>
        <v/>
      </c>
      <c r="AF4788" s="15" t="str">
        <f t="shared" si="1"/>
        <v/>
      </c>
      <c r="AG4788" s="15" t="str">
        <f>IF(OR(AF4788="",AF4788="ERRO_CHAVE"),"",IFERROR(MATCH(AF4788,'Quitados DUPP'!$U$1:$U$6635,0),""))</f>
        <v/>
      </c>
      <c r="AH4788" s="15" t="str">
        <f t="shared" si="2"/>
        <v/>
      </c>
      <c r="AI4788" s="17" t="str">
        <f>IF(AG4788="","",INDEX('Quitados DUPP'!$G$1:$G$6635,AG4788))</f>
        <v/>
      </c>
      <c r="AJ4788" s="17" t="str">
        <f t="shared" si="3"/>
        <v/>
      </c>
    </row>
    <row r="4789" spans="31:36">
      <c r="AE4789" s="15" t="str">
        <f t="shared" si="0"/>
        <v/>
      </c>
      <c r="AF4789" s="15" t="str">
        <f t="shared" si="1"/>
        <v/>
      </c>
      <c r="AG4789" s="15" t="str">
        <f>IF(OR(AF4789="",AF4789="ERRO_CHAVE"),"",IFERROR(MATCH(AF4789,'Quitados DUPP'!$U$1:$U$6635,0),""))</f>
        <v/>
      </c>
      <c r="AH4789" s="15" t="str">
        <f t="shared" si="2"/>
        <v/>
      </c>
      <c r="AI4789" s="17" t="str">
        <f>IF(AG4789="","",INDEX('Quitados DUPP'!$G$1:$G$6635,AG4789))</f>
        <v/>
      </c>
      <c r="AJ4789" s="17" t="str">
        <f t="shared" si="3"/>
        <v/>
      </c>
    </row>
    <row r="4790" spans="31:36">
      <c r="AE4790" s="15" t="str">
        <f t="shared" si="0"/>
        <v/>
      </c>
      <c r="AF4790" s="15" t="str">
        <f t="shared" si="1"/>
        <v/>
      </c>
      <c r="AG4790" s="15" t="str">
        <f>IF(OR(AF4790="",AF4790="ERRO_CHAVE"),"",IFERROR(MATCH(AF4790,'Quitados DUPP'!$U$1:$U$6635,0),""))</f>
        <v/>
      </c>
      <c r="AH4790" s="15" t="str">
        <f t="shared" si="2"/>
        <v/>
      </c>
      <c r="AI4790" s="17" t="str">
        <f>IF(AG4790="","",INDEX('Quitados DUPP'!$G$1:$G$6635,AG4790))</f>
        <v/>
      </c>
      <c r="AJ4790" s="17" t="str">
        <f t="shared" si="3"/>
        <v/>
      </c>
    </row>
    <row r="4791" spans="31:36">
      <c r="AE4791" s="15" t="str">
        <f t="shared" si="0"/>
        <v/>
      </c>
      <c r="AF4791" s="15" t="str">
        <f t="shared" si="1"/>
        <v/>
      </c>
      <c r="AG4791" s="15" t="str">
        <f>IF(OR(AF4791="",AF4791="ERRO_CHAVE"),"",IFERROR(MATCH(AF4791,'Quitados DUPP'!$U$1:$U$6635,0),""))</f>
        <v/>
      </c>
      <c r="AH4791" s="15" t="str">
        <f t="shared" si="2"/>
        <v/>
      </c>
      <c r="AI4791" s="17" t="str">
        <f>IF(AG4791="","",INDEX('Quitados DUPP'!$G$1:$G$6635,AG4791))</f>
        <v/>
      </c>
      <c r="AJ4791" s="17" t="str">
        <f t="shared" si="3"/>
        <v/>
      </c>
    </row>
    <row r="4792" spans="31:36">
      <c r="AE4792" s="15" t="str">
        <f t="shared" si="0"/>
        <v/>
      </c>
      <c r="AF4792" s="15" t="str">
        <f t="shared" si="1"/>
        <v/>
      </c>
      <c r="AG4792" s="15" t="str">
        <f>IF(OR(AF4792="",AF4792="ERRO_CHAVE"),"",IFERROR(MATCH(AF4792,'Quitados DUPP'!$U$1:$U$6635,0),""))</f>
        <v/>
      </c>
      <c r="AH4792" s="15" t="str">
        <f t="shared" si="2"/>
        <v/>
      </c>
      <c r="AI4792" s="17" t="str">
        <f>IF(AG4792="","",INDEX('Quitados DUPP'!$G$1:$G$6635,AG4792))</f>
        <v/>
      </c>
      <c r="AJ4792" s="17" t="str">
        <f t="shared" si="3"/>
        <v/>
      </c>
    </row>
    <row r="4793" spans="31:36">
      <c r="AE4793" s="15" t="str">
        <f t="shared" si="0"/>
        <v/>
      </c>
      <c r="AF4793" s="15" t="str">
        <f t="shared" si="1"/>
        <v/>
      </c>
      <c r="AG4793" s="15" t="str">
        <f>IF(OR(AF4793="",AF4793="ERRO_CHAVE"),"",IFERROR(MATCH(AF4793,'Quitados DUPP'!$U$1:$U$6635,0),""))</f>
        <v/>
      </c>
      <c r="AH4793" s="15" t="str">
        <f t="shared" si="2"/>
        <v/>
      </c>
      <c r="AI4793" s="17" t="str">
        <f>IF(AG4793="","",INDEX('Quitados DUPP'!$G$1:$G$6635,AG4793))</f>
        <v/>
      </c>
      <c r="AJ4793" s="17" t="str">
        <f t="shared" si="3"/>
        <v/>
      </c>
    </row>
    <row r="4794" spans="31:36">
      <c r="AE4794" s="15" t="str">
        <f t="shared" si="0"/>
        <v/>
      </c>
      <c r="AF4794" s="15" t="str">
        <f t="shared" si="1"/>
        <v/>
      </c>
      <c r="AG4794" s="15" t="str">
        <f>IF(OR(AF4794="",AF4794="ERRO_CHAVE"),"",IFERROR(MATCH(AF4794,'Quitados DUPP'!$U$1:$U$6635,0),""))</f>
        <v/>
      </c>
      <c r="AH4794" s="15" t="str">
        <f t="shared" si="2"/>
        <v/>
      </c>
      <c r="AI4794" s="17" t="str">
        <f>IF(AG4794="","",INDEX('Quitados DUPP'!$G$1:$G$6635,AG4794))</f>
        <v/>
      </c>
      <c r="AJ4794" s="17" t="str">
        <f t="shared" si="3"/>
        <v/>
      </c>
    </row>
    <row r="4795" spans="31:36">
      <c r="AE4795" s="15" t="str">
        <f t="shared" si="0"/>
        <v/>
      </c>
      <c r="AF4795" s="15" t="str">
        <f t="shared" si="1"/>
        <v/>
      </c>
      <c r="AG4795" s="15" t="str">
        <f>IF(OR(AF4795="",AF4795="ERRO_CHAVE"),"",IFERROR(MATCH(AF4795,'Quitados DUPP'!$U$1:$U$6635,0),""))</f>
        <v/>
      </c>
      <c r="AH4795" s="15" t="str">
        <f t="shared" si="2"/>
        <v/>
      </c>
      <c r="AI4795" s="17" t="str">
        <f>IF(AG4795="","",INDEX('Quitados DUPP'!$G$1:$G$6635,AG4795))</f>
        <v/>
      </c>
      <c r="AJ4795" s="17" t="str">
        <f t="shared" si="3"/>
        <v/>
      </c>
    </row>
    <row r="4796" spans="31:36">
      <c r="AE4796" s="15" t="str">
        <f t="shared" si="0"/>
        <v/>
      </c>
      <c r="AF4796" s="15" t="str">
        <f t="shared" si="1"/>
        <v/>
      </c>
      <c r="AG4796" s="15" t="str">
        <f>IF(OR(AF4796="",AF4796="ERRO_CHAVE"),"",IFERROR(MATCH(AF4796,'Quitados DUPP'!$U$1:$U$6635,0),""))</f>
        <v/>
      </c>
      <c r="AH4796" s="15" t="str">
        <f t="shared" si="2"/>
        <v/>
      </c>
      <c r="AI4796" s="17" t="str">
        <f>IF(AG4796="","",INDEX('Quitados DUPP'!$G$1:$G$6635,AG4796))</f>
        <v/>
      </c>
      <c r="AJ4796" s="17" t="str">
        <f t="shared" si="3"/>
        <v/>
      </c>
    </row>
    <row r="4797" spans="31:36">
      <c r="AE4797" s="15" t="str">
        <f t="shared" si="0"/>
        <v/>
      </c>
      <c r="AF4797" s="15" t="str">
        <f t="shared" si="1"/>
        <v/>
      </c>
      <c r="AG4797" s="15" t="str">
        <f>IF(OR(AF4797="",AF4797="ERRO_CHAVE"),"",IFERROR(MATCH(AF4797,'Quitados DUPP'!$U$1:$U$6635,0),""))</f>
        <v/>
      </c>
      <c r="AH4797" s="15" t="str">
        <f t="shared" si="2"/>
        <v/>
      </c>
      <c r="AI4797" s="17" t="str">
        <f>IF(AG4797="","",INDEX('Quitados DUPP'!$G$1:$G$6635,AG4797))</f>
        <v/>
      </c>
      <c r="AJ4797" s="17" t="str">
        <f t="shared" si="3"/>
        <v/>
      </c>
    </row>
    <row r="4798" spans="31:36">
      <c r="AE4798" s="15" t="str">
        <f t="shared" si="0"/>
        <v/>
      </c>
      <c r="AF4798" s="15" t="str">
        <f t="shared" si="1"/>
        <v/>
      </c>
      <c r="AG4798" s="15" t="str">
        <f>IF(OR(AF4798="",AF4798="ERRO_CHAVE"),"",IFERROR(MATCH(AF4798,'Quitados DUPP'!$U$1:$U$6635,0),""))</f>
        <v/>
      </c>
      <c r="AH4798" s="15" t="str">
        <f t="shared" si="2"/>
        <v/>
      </c>
      <c r="AI4798" s="17" t="str">
        <f>IF(AG4798="","",INDEX('Quitados DUPP'!$G$1:$G$6635,AG4798))</f>
        <v/>
      </c>
      <c r="AJ4798" s="17" t="str">
        <f t="shared" si="3"/>
        <v/>
      </c>
    </row>
    <row r="4799" spans="31:36">
      <c r="AE4799" s="15" t="str">
        <f t="shared" si="0"/>
        <v/>
      </c>
      <c r="AF4799" s="15" t="str">
        <f t="shared" si="1"/>
        <v/>
      </c>
      <c r="AG4799" s="15" t="str">
        <f>IF(OR(AF4799="",AF4799="ERRO_CHAVE"),"",IFERROR(MATCH(AF4799,'Quitados DUPP'!$U$1:$U$6635,0),""))</f>
        <v/>
      </c>
      <c r="AH4799" s="15" t="str">
        <f t="shared" si="2"/>
        <v/>
      </c>
      <c r="AI4799" s="17" t="str">
        <f>IF(AG4799="","",INDEX('Quitados DUPP'!$G$1:$G$6635,AG4799))</f>
        <v/>
      </c>
      <c r="AJ4799" s="17" t="str">
        <f t="shared" si="3"/>
        <v/>
      </c>
    </row>
    <row r="4800" spans="31:36">
      <c r="AE4800" s="15" t="str">
        <f t="shared" si="0"/>
        <v/>
      </c>
      <c r="AF4800" s="15" t="str">
        <f t="shared" si="1"/>
        <v/>
      </c>
      <c r="AG4800" s="15" t="str">
        <f>IF(OR(AF4800="",AF4800="ERRO_CHAVE"),"",IFERROR(MATCH(AF4800,'Quitados DUPP'!$U$1:$U$6635,0),""))</f>
        <v/>
      </c>
      <c r="AH4800" s="15" t="str">
        <f t="shared" si="2"/>
        <v/>
      </c>
      <c r="AI4800" s="17" t="str">
        <f>IF(AG4800="","",INDEX('Quitados DUPP'!$G$1:$G$6635,AG4800))</f>
        <v/>
      </c>
      <c r="AJ4800" s="17" t="str">
        <f t="shared" si="3"/>
        <v/>
      </c>
    </row>
    <row r="4801" spans="31:36">
      <c r="AE4801" s="15" t="str">
        <f t="shared" si="0"/>
        <v/>
      </c>
      <c r="AF4801" s="15" t="str">
        <f t="shared" si="1"/>
        <v/>
      </c>
      <c r="AG4801" s="15" t="str">
        <f>IF(OR(AF4801="",AF4801="ERRO_CHAVE"),"",IFERROR(MATCH(AF4801,'Quitados DUPP'!$U$1:$U$6635,0),""))</f>
        <v/>
      </c>
      <c r="AH4801" s="15" t="str">
        <f t="shared" si="2"/>
        <v/>
      </c>
      <c r="AI4801" s="17" t="str">
        <f>IF(AG4801="","",INDEX('Quitados DUPP'!$G$1:$G$6635,AG4801))</f>
        <v/>
      </c>
      <c r="AJ4801" s="17" t="str">
        <f t="shared" si="3"/>
        <v/>
      </c>
    </row>
    <row r="4802" spans="31:36">
      <c r="AE4802" s="15" t="str">
        <f t="shared" si="0"/>
        <v/>
      </c>
      <c r="AF4802" s="15" t="str">
        <f t="shared" si="1"/>
        <v/>
      </c>
      <c r="AG4802" s="15" t="str">
        <f>IF(OR(AF4802="",AF4802="ERRO_CHAVE"),"",IFERROR(MATCH(AF4802,'Quitados DUPP'!$U$1:$U$6635,0),""))</f>
        <v/>
      </c>
      <c r="AH4802" s="15" t="str">
        <f t="shared" si="2"/>
        <v/>
      </c>
      <c r="AI4802" s="17" t="str">
        <f>IF(AG4802="","",INDEX('Quitados DUPP'!$G$1:$G$6635,AG4802))</f>
        <v/>
      </c>
      <c r="AJ4802" s="17" t="str">
        <f t="shared" si="3"/>
        <v/>
      </c>
    </row>
    <row r="4803" spans="31:36">
      <c r="AE4803" s="15" t="str">
        <f t="shared" si="0"/>
        <v/>
      </c>
      <c r="AF4803" s="15" t="str">
        <f t="shared" si="1"/>
        <v/>
      </c>
      <c r="AG4803" s="15" t="str">
        <f>IF(OR(AF4803="",AF4803="ERRO_CHAVE"),"",IFERROR(MATCH(AF4803,'Quitados DUPP'!$U$1:$U$6635,0),""))</f>
        <v/>
      </c>
      <c r="AH4803" s="15" t="str">
        <f t="shared" si="2"/>
        <v/>
      </c>
      <c r="AI4803" s="17" t="str">
        <f>IF(AG4803="","",INDEX('Quitados DUPP'!$G$1:$G$6635,AG4803))</f>
        <v/>
      </c>
      <c r="AJ4803" s="17" t="str">
        <f t="shared" si="3"/>
        <v/>
      </c>
    </row>
    <row r="4804" spans="31:36">
      <c r="AE4804" s="15" t="str">
        <f t="shared" si="0"/>
        <v/>
      </c>
      <c r="AF4804" s="15" t="str">
        <f t="shared" si="1"/>
        <v/>
      </c>
      <c r="AG4804" s="15" t="str">
        <f>IF(OR(AF4804="",AF4804="ERRO_CHAVE"),"",IFERROR(MATCH(AF4804,'Quitados DUPP'!$U$1:$U$6635,0),""))</f>
        <v/>
      </c>
      <c r="AH4804" s="15" t="str">
        <f t="shared" si="2"/>
        <v/>
      </c>
      <c r="AI4804" s="17" t="str">
        <f>IF(AG4804="","",INDEX('Quitados DUPP'!$G$1:$G$6635,AG4804))</f>
        <v/>
      </c>
      <c r="AJ4804" s="17" t="str">
        <f t="shared" si="3"/>
        <v/>
      </c>
    </row>
    <row r="4805" spans="31:36">
      <c r="AE4805" s="15" t="str">
        <f t="shared" si="0"/>
        <v/>
      </c>
      <c r="AF4805" s="15" t="str">
        <f t="shared" si="1"/>
        <v/>
      </c>
      <c r="AG4805" s="15" t="str">
        <f>IF(OR(AF4805="",AF4805="ERRO_CHAVE"),"",IFERROR(MATCH(AF4805,'Quitados DUPP'!$U$1:$U$6635,0),""))</f>
        <v/>
      </c>
      <c r="AH4805" s="15" t="str">
        <f t="shared" si="2"/>
        <v/>
      </c>
      <c r="AI4805" s="17" t="str">
        <f>IF(AG4805="","",INDEX('Quitados DUPP'!$G$1:$G$6635,AG4805))</f>
        <v/>
      </c>
      <c r="AJ4805" s="17" t="str">
        <f t="shared" si="3"/>
        <v/>
      </c>
    </row>
    <row r="4806" spans="31:36">
      <c r="AE4806" s="15" t="str">
        <f t="shared" si="0"/>
        <v/>
      </c>
      <c r="AF4806" s="15" t="str">
        <f t="shared" si="1"/>
        <v/>
      </c>
      <c r="AG4806" s="15" t="str">
        <f>IF(OR(AF4806="",AF4806="ERRO_CHAVE"),"",IFERROR(MATCH(AF4806,'Quitados DUPP'!$U$1:$U$6635,0),""))</f>
        <v/>
      </c>
      <c r="AH4806" s="15" t="str">
        <f t="shared" si="2"/>
        <v/>
      </c>
      <c r="AI4806" s="17" t="str">
        <f>IF(AG4806="","",INDEX('Quitados DUPP'!$G$1:$G$6635,AG4806))</f>
        <v/>
      </c>
      <c r="AJ4806" s="17" t="str">
        <f t="shared" si="3"/>
        <v/>
      </c>
    </row>
    <row r="4807" spans="31:36">
      <c r="AE4807" s="15" t="str">
        <f t="shared" si="0"/>
        <v/>
      </c>
      <c r="AF4807" s="15" t="str">
        <f t="shared" si="1"/>
        <v/>
      </c>
      <c r="AG4807" s="15" t="str">
        <f>IF(OR(AF4807="",AF4807="ERRO_CHAVE"),"",IFERROR(MATCH(AF4807,'Quitados DUPP'!$U$1:$U$6635,0),""))</f>
        <v/>
      </c>
      <c r="AH4807" s="15" t="str">
        <f t="shared" si="2"/>
        <v/>
      </c>
      <c r="AI4807" s="17" t="str">
        <f>IF(AG4807="","",INDEX('Quitados DUPP'!$G$1:$G$6635,AG4807))</f>
        <v/>
      </c>
      <c r="AJ4807" s="17" t="str">
        <f t="shared" si="3"/>
        <v/>
      </c>
    </row>
    <row r="4808" spans="31:36">
      <c r="AE4808" s="15" t="str">
        <f t="shared" si="0"/>
        <v/>
      </c>
      <c r="AF4808" s="15" t="str">
        <f t="shared" si="1"/>
        <v/>
      </c>
      <c r="AG4808" s="15" t="str">
        <f>IF(OR(AF4808="",AF4808="ERRO_CHAVE"),"",IFERROR(MATCH(AF4808,'Quitados DUPP'!$U$1:$U$6635,0),""))</f>
        <v/>
      </c>
      <c r="AH4808" s="15" t="str">
        <f t="shared" si="2"/>
        <v/>
      </c>
      <c r="AI4808" s="17" t="str">
        <f>IF(AG4808="","",INDEX('Quitados DUPP'!$G$1:$G$6635,AG4808))</f>
        <v/>
      </c>
      <c r="AJ4808" s="17" t="str">
        <f t="shared" si="3"/>
        <v/>
      </c>
    </row>
    <row r="4809" spans="31:36">
      <c r="AE4809" s="15" t="str">
        <f t="shared" si="0"/>
        <v/>
      </c>
      <c r="AF4809" s="15" t="str">
        <f t="shared" si="1"/>
        <v/>
      </c>
      <c r="AG4809" s="15" t="str">
        <f>IF(OR(AF4809="",AF4809="ERRO_CHAVE"),"",IFERROR(MATCH(AF4809,'Quitados DUPP'!$U$1:$U$6635,0),""))</f>
        <v/>
      </c>
      <c r="AH4809" s="15" t="str">
        <f t="shared" si="2"/>
        <v/>
      </c>
      <c r="AI4809" s="17" t="str">
        <f>IF(AG4809="","",INDEX('Quitados DUPP'!$G$1:$G$6635,AG4809))</f>
        <v/>
      </c>
      <c r="AJ4809" s="17" t="str">
        <f t="shared" si="3"/>
        <v/>
      </c>
    </row>
    <row r="4810" spans="31:36">
      <c r="AE4810" s="15" t="str">
        <f t="shared" si="0"/>
        <v/>
      </c>
      <c r="AF4810" s="15" t="str">
        <f t="shared" si="1"/>
        <v/>
      </c>
      <c r="AG4810" s="15" t="str">
        <f>IF(OR(AF4810="",AF4810="ERRO_CHAVE"),"",IFERROR(MATCH(AF4810,'Quitados DUPP'!$U$1:$U$6635,0),""))</f>
        <v/>
      </c>
      <c r="AH4810" s="15" t="str">
        <f t="shared" si="2"/>
        <v/>
      </c>
      <c r="AI4810" s="17" t="str">
        <f>IF(AG4810="","",INDEX('Quitados DUPP'!$G$1:$G$6635,AG4810))</f>
        <v/>
      </c>
      <c r="AJ4810" s="17" t="str">
        <f t="shared" si="3"/>
        <v/>
      </c>
    </row>
    <row r="4811" spans="31:36">
      <c r="AE4811" s="15" t="str">
        <f t="shared" si="0"/>
        <v/>
      </c>
      <c r="AF4811" s="15" t="str">
        <f t="shared" si="1"/>
        <v/>
      </c>
      <c r="AG4811" s="15" t="str">
        <f>IF(OR(AF4811="",AF4811="ERRO_CHAVE"),"",IFERROR(MATCH(AF4811,'Quitados DUPP'!$U$1:$U$6635,0),""))</f>
        <v/>
      </c>
      <c r="AH4811" s="15" t="str">
        <f t="shared" si="2"/>
        <v/>
      </c>
      <c r="AI4811" s="17" t="str">
        <f>IF(AG4811="","",INDEX('Quitados DUPP'!$G$1:$G$6635,AG4811))</f>
        <v/>
      </c>
      <c r="AJ4811" s="17" t="str">
        <f t="shared" si="3"/>
        <v/>
      </c>
    </row>
    <row r="4812" spans="31:36">
      <c r="AE4812" s="15" t="str">
        <f t="shared" si="0"/>
        <v/>
      </c>
      <c r="AF4812" s="15" t="str">
        <f t="shared" si="1"/>
        <v/>
      </c>
      <c r="AG4812" s="15" t="str">
        <f>IF(OR(AF4812="",AF4812="ERRO_CHAVE"),"",IFERROR(MATCH(AF4812,'Quitados DUPP'!$U$1:$U$6635,0),""))</f>
        <v/>
      </c>
      <c r="AH4812" s="15" t="str">
        <f t="shared" si="2"/>
        <v/>
      </c>
      <c r="AI4812" s="17" t="str">
        <f>IF(AG4812="","",INDEX('Quitados DUPP'!$G$1:$G$6635,AG4812))</f>
        <v/>
      </c>
      <c r="AJ4812" s="17" t="str">
        <f t="shared" si="3"/>
        <v/>
      </c>
    </row>
    <row r="4813" spans="31:36">
      <c r="AE4813" s="15" t="str">
        <f t="shared" si="0"/>
        <v/>
      </c>
      <c r="AF4813" s="15" t="str">
        <f t="shared" si="1"/>
        <v/>
      </c>
      <c r="AG4813" s="15" t="str">
        <f>IF(OR(AF4813="",AF4813="ERRO_CHAVE"),"",IFERROR(MATCH(AF4813,'Quitados DUPP'!$U$1:$U$6635,0),""))</f>
        <v/>
      </c>
      <c r="AH4813" s="15" t="str">
        <f t="shared" si="2"/>
        <v/>
      </c>
      <c r="AI4813" s="17" t="str">
        <f>IF(AG4813="","",INDEX('Quitados DUPP'!$G$1:$G$6635,AG4813))</f>
        <v/>
      </c>
      <c r="AJ4813" s="17" t="str">
        <f t="shared" si="3"/>
        <v/>
      </c>
    </row>
    <row r="4814" spans="31:36">
      <c r="AE4814" s="15" t="str">
        <f t="shared" si="0"/>
        <v/>
      </c>
      <c r="AF4814" s="15" t="str">
        <f t="shared" si="1"/>
        <v/>
      </c>
      <c r="AG4814" s="15" t="str">
        <f>IF(OR(AF4814="",AF4814="ERRO_CHAVE"),"",IFERROR(MATCH(AF4814,'Quitados DUPP'!$U$1:$U$6635,0),""))</f>
        <v/>
      </c>
      <c r="AH4814" s="15" t="str">
        <f t="shared" si="2"/>
        <v/>
      </c>
      <c r="AI4814" s="17" t="str">
        <f>IF(AG4814="","",INDEX('Quitados DUPP'!$G$1:$G$6635,AG4814))</f>
        <v/>
      </c>
      <c r="AJ4814" s="17" t="str">
        <f t="shared" si="3"/>
        <v/>
      </c>
    </row>
    <row r="4815" spans="31:36">
      <c r="AE4815" s="15" t="str">
        <f t="shared" si="0"/>
        <v/>
      </c>
      <c r="AF4815" s="15" t="str">
        <f t="shared" si="1"/>
        <v/>
      </c>
      <c r="AG4815" s="15" t="str">
        <f>IF(OR(AF4815="",AF4815="ERRO_CHAVE"),"",IFERROR(MATCH(AF4815,'Quitados DUPP'!$U$1:$U$6635,0),""))</f>
        <v/>
      </c>
      <c r="AH4815" s="15" t="str">
        <f t="shared" si="2"/>
        <v/>
      </c>
      <c r="AI4815" s="17" t="str">
        <f>IF(AG4815="","",INDEX('Quitados DUPP'!$G$1:$G$6635,AG4815))</f>
        <v/>
      </c>
      <c r="AJ4815" s="17" t="str">
        <f t="shared" si="3"/>
        <v/>
      </c>
    </row>
    <row r="4816" spans="31:36">
      <c r="AE4816" s="15" t="str">
        <f t="shared" si="0"/>
        <v/>
      </c>
      <c r="AF4816" s="15" t="str">
        <f t="shared" si="1"/>
        <v/>
      </c>
      <c r="AG4816" s="15" t="str">
        <f>IF(OR(AF4816="",AF4816="ERRO_CHAVE"),"",IFERROR(MATCH(AF4816,'Quitados DUPP'!$U$1:$U$6635,0),""))</f>
        <v/>
      </c>
      <c r="AH4816" s="15" t="str">
        <f t="shared" si="2"/>
        <v/>
      </c>
      <c r="AI4816" s="17" t="str">
        <f>IF(AG4816="","",INDEX('Quitados DUPP'!$G$1:$G$6635,AG4816))</f>
        <v/>
      </c>
      <c r="AJ4816" s="17" t="str">
        <f t="shared" si="3"/>
        <v/>
      </c>
    </row>
    <row r="4817" spans="31:36">
      <c r="AE4817" s="15" t="str">
        <f t="shared" si="0"/>
        <v/>
      </c>
      <c r="AF4817" s="15" t="str">
        <f t="shared" si="1"/>
        <v/>
      </c>
      <c r="AG4817" s="15" t="str">
        <f>IF(OR(AF4817="",AF4817="ERRO_CHAVE"),"",IFERROR(MATCH(AF4817,'Quitados DUPP'!$U$1:$U$6635,0),""))</f>
        <v/>
      </c>
      <c r="AH4817" s="15" t="str">
        <f t="shared" si="2"/>
        <v/>
      </c>
      <c r="AI4817" s="17" t="str">
        <f>IF(AG4817="","",INDEX('Quitados DUPP'!$G$1:$G$6635,AG4817))</f>
        <v/>
      </c>
      <c r="AJ4817" s="17" t="str">
        <f t="shared" si="3"/>
        <v/>
      </c>
    </row>
    <row r="4818" spans="31:36">
      <c r="AE4818" s="15" t="str">
        <f t="shared" si="0"/>
        <v/>
      </c>
      <c r="AF4818" s="15" t="str">
        <f t="shared" si="1"/>
        <v/>
      </c>
      <c r="AG4818" s="15" t="str">
        <f>IF(OR(AF4818="",AF4818="ERRO_CHAVE"),"",IFERROR(MATCH(AF4818,'Quitados DUPP'!$U$1:$U$6635,0),""))</f>
        <v/>
      </c>
      <c r="AH4818" s="15" t="str">
        <f t="shared" si="2"/>
        <v/>
      </c>
      <c r="AI4818" s="17" t="str">
        <f>IF(AG4818="","",INDEX('Quitados DUPP'!$G$1:$G$6635,AG4818))</f>
        <v/>
      </c>
      <c r="AJ4818" s="17" t="str">
        <f t="shared" si="3"/>
        <v/>
      </c>
    </row>
    <row r="4819" spans="31:36">
      <c r="AE4819" s="15" t="str">
        <f t="shared" si="0"/>
        <v/>
      </c>
      <c r="AF4819" s="15" t="str">
        <f t="shared" si="1"/>
        <v/>
      </c>
      <c r="AG4819" s="15" t="str">
        <f>IF(OR(AF4819="",AF4819="ERRO_CHAVE"),"",IFERROR(MATCH(AF4819,'Quitados DUPP'!$U$1:$U$6635,0),""))</f>
        <v/>
      </c>
      <c r="AH4819" s="15" t="str">
        <f t="shared" si="2"/>
        <v/>
      </c>
      <c r="AI4819" s="17" t="str">
        <f>IF(AG4819="","",INDEX('Quitados DUPP'!$G$1:$G$6635,AG4819))</f>
        <v/>
      </c>
      <c r="AJ4819" s="17" t="str">
        <f t="shared" si="3"/>
        <v/>
      </c>
    </row>
    <row r="4820" spans="31:36">
      <c r="AE4820" s="15" t="str">
        <f t="shared" si="0"/>
        <v/>
      </c>
      <c r="AF4820" s="15" t="str">
        <f t="shared" si="1"/>
        <v/>
      </c>
      <c r="AG4820" s="15" t="str">
        <f>IF(OR(AF4820="",AF4820="ERRO_CHAVE"),"",IFERROR(MATCH(AF4820,'Quitados DUPP'!$U$1:$U$6635,0),""))</f>
        <v/>
      </c>
      <c r="AH4820" s="15" t="str">
        <f t="shared" si="2"/>
        <v/>
      </c>
      <c r="AI4820" s="17" t="str">
        <f>IF(AG4820="","",INDEX('Quitados DUPP'!$G$1:$G$6635,AG4820))</f>
        <v/>
      </c>
      <c r="AJ4820" s="17" t="str">
        <f t="shared" si="3"/>
        <v/>
      </c>
    </row>
    <row r="4821" spans="31:36">
      <c r="AE4821" s="15" t="str">
        <f t="shared" si="0"/>
        <v/>
      </c>
      <c r="AF4821" s="15" t="str">
        <f t="shared" si="1"/>
        <v/>
      </c>
      <c r="AG4821" s="15" t="str">
        <f>IF(OR(AF4821="",AF4821="ERRO_CHAVE"),"",IFERROR(MATCH(AF4821,'Quitados DUPP'!$U$1:$U$6635,0),""))</f>
        <v/>
      </c>
      <c r="AH4821" s="15" t="str">
        <f t="shared" si="2"/>
        <v/>
      </c>
      <c r="AI4821" s="17" t="str">
        <f>IF(AG4821="","",INDEX('Quitados DUPP'!$G$1:$G$6635,AG4821))</f>
        <v/>
      </c>
      <c r="AJ4821" s="17" t="str">
        <f t="shared" si="3"/>
        <v/>
      </c>
    </row>
    <row r="4822" spans="31:36">
      <c r="AE4822" s="15" t="str">
        <f t="shared" si="0"/>
        <v/>
      </c>
      <c r="AF4822" s="15" t="str">
        <f t="shared" si="1"/>
        <v/>
      </c>
      <c r="AG4822" s="15" t="str">
        <f>IF(OR(AF4822="",AF4822="ERRO_CHAVE"),"",IFERROR(MATCH(AF4822,'Quitados DUPP'!$U$1:$U$6635,0),""))</f>
        <v/>
      </c>
      <c r="AH4822" s="15" t="str">
        <f t="shared" si="2"/>
        <v/>
      </c>
      <c r="AI4822" s="17" t="str">
        <f>IF(AG4822="","",INDEX('Quitados DUPP'!$G$1:$G$6635,AG4822))</f>
        <v/>
      </c>
      <c r="AJ4822" s="17" t="str">
        <f t="shared" si="3"/>
        <v/>
      </c>
    </row>
    <row r="4823" spans="31:36">
      <c r="AE4823" s="15" t="str">
        <f t="shared" si="0"/>
        <v/>
      </c>
      <c r="AF4823" s="15" t="str">
        <f t="shared" si="1"/>
        <v/>
      </c>
      <c r="AG4823" s="15" t="str">
        <f>IF(OR(AF4823="",AF4823="ERRO_CHAVE"),"",IFERROR(MATCH(AF4823,'Quitados DUPP'!$U$1:$U$6635,0),""))</f>
        <v/>
      </c>
      <c r="AH4823" s="15" t="str">
        <f t="shared" si="2"/>
        <v/>
      </c>
      <c r="AI4823" s="17" t="str">
        <f>IF(AG4823="","",INDEX('Quitados DUPP'!$G$1:$G$6635,AG4823))</f>
        <v/>
      </c>
      <c r="AJ4823" s="17" t="str">
        <f t="shared" si="3"/>
        <v/>
      </c>
    </row>
    <row r="4824" spans="31:36">
      <c r="AE4824" s="15" t="str">
        <f t="shared" si="0"/>
        <v/>
      </c>
      <c r="AF4824" s="15" t="str">
        <f t="shared" si="1"/>
        <v/>
      </c>
      <c r="AG4824" s="15" t="str">
        <f>IF(OR(AF4824="",AF4824="ERRO_CHAVE"),"",IFERROR(MATCH(AF4824,'Quitados DUPP'!$U$1:$U$6635,0),""))</f>
        <v/>
      </c>
      <c r="AH4824" s="15" t="str">
        <f t="shared" si="2"/>
        <v/>
      </c>
      <c r="AI4824" s="17" t="str">
        <f>IF(AG4824="","",INDEX('Quitados DUPP'!$G$1:$G$6635,AG4824))</f>
        <v/>
      </c>
      <c r="AJ4824" s="17" t="str">
        <f t="shared" si="3"/>
        <v/>
      </c>
    </row>
    <row r="4825" spans="31:36">
      <c r="AE4825" s="15" t="str">
        <f t="shared" si="0"/>
        <v/>
      </c>
      <c r="AF4825" s="15" t="str">
        <f t="shared" si="1"/>
        <v/>
      </c>
      <c r="AG4825" s="15" t="str">
        <f>IF(OR(AF4825="",AF4825="ERRO_CHAVE"),"",IFERROR(MATCH(AF4825,'Quitados DUPP'!$U$1:$U$6635,0),""))</f>
        <v/>
      </c>
      <c r="AH4825" s="15" t="str">
        <f t="shared" si="2"/>
        <v/>
      </c>
      <c r="AI4825" s="17" t="str">
        <f>IF(AG4825="","",INDEX('Quitados DUPP'!$G$1:$G$6635,AG4825))</f>
        <v/>
      </c>
      <c r="AJ4825" s="17" t="str">
        <f t="shared" si="3"/>
        <v/>
      </c>
    </row>
    <row r="4826" spans="31:36">
      <c r="AE4826" s="15" t="str">
        <f t="shared" si="0"/>
        <v/>
      </c>
      <c r="AF4826" s="15" t="str">
        <f t="shared" si="1"/>
        <v/>
      </c>
      <c r="AG4826" s="15" t="str">
        <f>IF(OR(AF4826="",AF4826="ERRO_CHAVE"),"",IFERROR(MATCH(AF4826,'Quitados DUPP'!$U$1:$U$6635,0),""))</f>
        <v/>
      </c>
      <c r="AH4826" s="15" t="str">
        <f t="shared" si="2"/>
        <v/>
      </c>
      <c r="AI4826" s="17" t="str">
        <f>IF(AG4826="","",INDEX('Quitados DUPP'!$G$1:$G$6635,AG4826))</f>
        <v/>
      </c>
      <c r="AJ4826" s="17" t="str">
        <f t="shared" si="3"/>
        <v/>
      </c>
    </row>
    <row r="4827" spans="31:36">
      <c r="AE4827" s="15" t="str">
        <f t="shared" si="0"/>
        <v/>
      </c>
      <c r="AF4827" s="15" t="str">
        <f t="shared" si="1"/>
        <v/>
      </c>
      <c r="AG4827" s="15" t="str">
        <f>IF(OR(AF4827="",AF4827="ERRO_CHAVE"),"",IFERROR(MATCH(AF4827,'Quitados DUPP'!$U$1:$U$6635,0),""))</f>
        <v/>
      </c>
      <c r="AH4827" s="15" t="str">
        <f t="shared" si="2"/>
        <v/>
      </c>
      <c r="AI4827" s="17" t="str">
        <f>IF(AG4827="","",INDEX('Quitados DUPP'!$G$1:$G$6635,AG4827))</f>
        <v/>
      </c>
      <c r="AJ4827" s="17" t="str">
        <f t="shared" si="3"/>
        <v/>
      </c>
    </row>
    <row r="4828" spans="31:36">
      <c r="AE4828" s="15" t="str">
        <f t="shared" si="0"/>
        <v/>
      </c>
      <c r="AF4828" s="15" t="str">
        <f t="shared" si="1"/>
        <v/>
      </c>
      <c r="AG4828" s="15" t="str">
        <f>IF(OR(AF4828="",AF4828="ERRO_CHAVE"),"",IFERROR(MATCH(AF4828,'Quitados DUPP'!$U$1:$U$6635,0),""))</f>
        <v/>
      </c>
      <c r="AH4828" s="15" t="str">
        <f t="shared" si="2"/>
        <v/>
      </c>
      <c r="AI4828" s="17" t="str">
        <f>IF(AG4828="","",INDEX('Quitados DUPP'!$G$1:$G$6635,AG4828))</f>
        <v/>
      </c>
      <c r="AJ4828" s="17" t="str">
        <f t="shared" si="3"/>
        <v/>
      </c>
    </row>
    <row r="4829" spans="31:36">
      <c r="AE4829" s="15" t="str">
        <f t="shared" si="0"/>
        <v/>
      </c>
      <c r="AF4829" s="15" t="str">
        <f t="shared" si="1"/>
        <v/>
      </c>
      <c r="AG4829" s="15" t="str">
        <f>IF(OR(AF4829="",AF4829="ERRO_CHAVE"),"",IFERROR(MATCH(AF4829,'Quitados DUPP'!$U$1:$U$6635,0),""))</f>
        <v/>
      </c>
      <c r="AH4829" s="15" t="str">
        <f t="shared" si="2"/>
        <v/>
      </c>
      <c r="AI4829" s="17" t="str">
        <f>IF(AG4829="","",INDEX('Quitados DUPP'!$G$1:$G$6635,AG4829))</f>
        <v/>
      </c>
      <c r="AJ4829" s="17" t="str">
        <f t="shared" si="3"/>
        <v/>
      </c>
    </row>
    <row r="4830" spans="31:36">
      <c r="AE4830" s="15" t="str">
        <f t="shared" si="0"/>
        <v/>
      </c>
      <c r="AF4830" s="15" t="str">
        <f t="shared" si="1"/>
        <v/>
      </c>
      <c r="AG4830" s="15" t="str">
        <f>IF(OR(AF4830="",AF4830="ERRO_CHAVE"),"",IFERROR(MATCH(AF4830,'Quitados DUPP'!$U$1:$U$6635,0),""))</f>
        <v/>
      </c>
      <c r="AH4830" s="15" t="str">
        <f t="shared" si="2"/>
        <v/>
      </c>
      <c r="AI4830" s="17" t="str">
        <f>IF(AG4830="","",INDEX('Quitados DUPP'!$G$1:$G$6635,AG4830))</f>
        <v/>
      </c>
      <c r="AJ4830" s="17" t="str">
        <f t="shared" si="3"/>
        <v/>
      </c>
    </row>
    <row r="4831" spans="31:36">
      <c r="AE4831" s="15" t="str">
        <f t="shared" si="0"/>
        <v/>
      </c>
      <c r="AF4831" s="15" t="str">
        <f t="shared" si="1"/>
        <v/>
      </c>
      <c r="AG4831" s="15" t="str">
        <f>IF(OR(AF4831="",AF4831="ERRO_CHAVE"),"",IFERROR(MATCH(AF4831,'Quitados DUPP'!$U$1:$U$6635,0),""))</f>
        <v/>
      </c>
      <c r="AH4831" s="15" t="str">
        <f t="shared" si="2"/>
        <v/>
      </c>
      <c r="AI4831" s="17" t="str">
        <f>IF(AG4831="","",INDEX('Quitados DUPP'!$G$1:$G$6635,AG4831))</f>
        <v/>
      </c>
      <c r="AJ4831" s="17" t="str">
        <f t="shared" si="3"/>
        <v/>
      </c>
    </row>
    <row r="4832" spans="31:36">
      <c r="AE4832" s="15" t="str">
        <f t="shared" si="0"/>
        <v/>
      </c>
      <c r="AF4832" s="15" t="str">
        <f t="shared" si="1"/>
        <v/>
      </c>
      <c r="AG4832" s="15" t="str">
        <f>IF(OR(AF4832="",AF4832="ERRO_CHAVE"),"",IFERROR(MATCH(AF4832,'Quitados DUPP'!$U$1:$U$6635,0),""))</f>
        <v/>
      </c>
      <c r="AH4832" s="15" t="str">
        <f t="shared" si="2"/>
        <v/>
      </c>
      <c r="AI4832" s="17" t="str">
        <f>IF(AG4832="","",INDEX('Quitados DUPP'!$G$1:$G$6635,AG4832))</f>
        <v/>
      </c>
      <c r="AJ4832" s="17" t="str">
        <f t="shared" si="3"/>
        <v/>
      </c>
    </row>
    <row r="4833" spans="31:36">
      <c r="AE4833" s="15" t="str">
        <f t="shared" si="0"/>
        <v/>
      </c>
      <c r="AF4833" s="15" t="str">
        <f t="shared" si="1"/>
        <v/>
      </c>
      <c r="AG4833" s="15" t="str">
        <f>IF(OR(AF4833="",AF4833="ERRO_CHAVE"),"",IFERROR(MATCH(AF4833,'Quitados DUPP'!$U$1:$U$6635,0),""))</f>
        <v/>
      </c>
      <c r="AH4833" s="15" t="str">
        <f t="shared" si="2"/>
        <v/>
      </c>
      <c r="AI4833" s="17" t="str">
        <f>IF(AG4833="","",INDEX('Quitados DUPP'!$G$1:$G$6635,AG4833))</f>
        <v/>
      </c>
      <c r="AJ4833" s="17" t="str">
        <f t="shared" si="3"/>
        <v/>
      </c>
    </row>
    <row r="4834" spans="31:36">
      <c r="AE4834" s="15" t="str">
        <f t="shared" si="0"/>
        <v/>
      </c>
      <c r="AF4834" s="15" t="str">
        <f t="shared" si="1"/>
        <v/>
      </c>
      <c r="AG4834" s="15" t="str">
        <f>IF(OR(AF4834="",AF4834="ERRO_CHAVE"),"",IFERROR(MATCH(AF4834,'Quitados DUPP'!$U$1:$U$6635,0),""))</f>
        <v/>
      </c>
      <c r="AH4834" s="15" t="str">
        <f t="shared" si="2"/>
        <v/>
      </c>
      <c r="AI4834" s="17" t="str">
        <f>IF(AG4834="","",INDEX('Quitados DUPP'!$G$1:$G$6635,AG4834))</f>
        <v/>
      </c>
      <c r="AJ4834" s="17" t="str">
        <f t="shared" si="3"/>
        <v/>
      </c>
    </row>
    <row r="4835" spans="31:36">
      <c r="AE4835" s="15" t="str">
        <f t="shared" si="0"/>
        <v/>
      </c>
      <c r="AF4835" s="15" t="str">
        <f t="shared" si="1"/>
        <v/>
      </c>
      <c r="AG4835" s="15" t="str">
        <f>IF(OR(AF4835="",AF4835="ERRO_CHAVE"),"",IFERROR(MATCH(AF4835,'Quitados DUPP'!$U$1:$U$6635,0),""))</f>
        <v/>
      </c>
      <c r="AH4835" s="15" t="str">
        <f t="shared" si="2"/>
        <v/>
      </c>
      <c r="AI4835" s="17" t="str">
        <f>IF(AG4835="","",INDEX('Quitados DUPP'!$G$1:$G$6635,AG4835))</f>
        <v/>
      </c>
      <c r="AJ4835" s="17" t="str">
        <f t="shared" si="3"/>
        <v/>
      </c>
    </row>
    <row r="4836" spans="31:36">
      <c r="AE4836" s="15" t="str">
        <f t="shared" si="0"/>
        <v/>
      </c>
      <c r="AF4836" s="15" t="str">
        <f t="shared" si="1"/>
        <v/>
      </c>
      <c r="AG4836" s="15" t="str">
        <f>IF(OR(AF4836="",AF4836="ERRO_CHAVE"),"",IFERROR(MATCH(AF4836,'Quitados DUPP'!$U$1:$U$6635,0),""))</f>
        <v/>
      </c>
      <c r="AH4836" s="15" t="str">
        <f t="shared" si="2"/>
        <v/>
      </c>
      <c r="AI4836" s="17" t="str">
        <f>IF(AG4836="","",INDEX('Quitados DUPP'!$G$1:$G$6635,AG4836))</f>
        <v/>
      </c>
      <c r="AJ4836" s="17" t="str">
        <f t="shared" si="3"/>
        <v/>
      </c>
    </row>
    <row r="4837" spans="31:36">
      <c r="AE4837" s="15" t="str">
        <f t="shared" si="0"/>
        <v/>
      </c>
      <c r="AF4837" s="15" t="str">
        <f t="shared" si="1"/>
        <v/>
      </c>
      <c r="AG4837" s="15" t="str">
        <f>IF(OR(AF4837="",AF4837="ERRO_CHAVE"),"",IFERROR(MATCH(AF4837,'Quitados DUPP'!$U$1:$U$6635,0),""))</f>
        <v/>
      </c>
      <c r="AH4837" s="15" t="str">
        <f t="shared" si="2"/>
        <v/>
      </c>
      <c r="AI4837" s="17" t="str">
        <f>IF(AG4837="","",INDEX('Quitados DUPP'!$G$1:$G$6635,AG4837))</f>
        <v/>
      </c>
      <c r="AJ4837" s="17" t="str">
        <f t="shared" si="3"/>
        <v/>
      </c>
    </row>
    <row r="4838" spans="31:36">
      <c r="AE4838" s="15" t="str">
        <f t="shared" si="0"/>
        <v/>
      </c>
      <c r="AF4838" s="15" t="str">
        <f t="shared" si="1"/>
        <v/>
      </c>
      <c r="AG4838" s="15" t="str">
        <f>IF(OR(AF4838="",AF4838="ERRO_CHAVE"),"",IFERROR(MATCH(AF4838,'Quitados DUPP'!$U$1:$U$6635,0),""))</f>
        <v/>
      </c>
      <c r="AH4838" s="15" t="str">
        <f t="shared" si="2"/>
        <v/>
      </c>
      <c r="AI4838" s="17" t="str">
        <f>IF(AG4838="","",INDEX('Quitados DUPP'!$G$1:$G$6635,AG4838))</f>
        <v/>
      </c>
      <c r="AJ4838" s="17" t="str">
        <f t="shared" si="3"/>
        <v/>
      </c>
    </row>
    <row r="4839" spans="31:36">
      <c r="AE4839" s="15" t="str">
        <f t="shared" si="0"/>
        <v/>
      </c>
      <c r="AF4839" s="15" t="str">
        <f t="shared" si="1"/>
        <v/>
      </c>
      <c r="AG4839" s="15" t="str">
        <f>IF(OR(AF4839="",AF4839="ERRO_CHAVE"),"",IFERROR(MATCH(AF4839,'Quitados DUPP'!$U$1:$U$6635,0),""))</f>
        <v/>
      </c>
      <c r="AH4839" s="15" t="str">
        <f t="shared" si="2"/>
        <v/>
      </c>
      <c r="AI4839" s="17" t="str">
        <f>IF(AG4839="","",INDEX('Quitados DUPP'!$G$1:$G$6635,AG4839))</f>
        <v/>
      </c>
      <c r="AJ4839" s="17" t="str">
        <f t="shared" si="3"/>
        <v/>
      </c>
    </row>
    <row r="4840" spans="31:36">
      <c r="AE4840" s="15" t="str">
        <f t="shared" si="0"/>
        <v/>
      </c>
      <c r="AF4840" s="15" t="str">
        <f t="shared" si="1"/>
        <v/>
      </c>
      <c r="AG4840" s="15" t="str">
        <f>IF(OR(AF4840="",AF4840="ERRO_CHAVE"),"",IFERROR(MATCH(AF4840,'Quitados DUPP'!$U$1:$U$6635,0),""))</f>
        <v/>
      </c>
      <c r="AH4840" s="15" t="str">
        <f t="shared" si="2"/>
        <v/>
      </c>
      <c r="AI4840" s="17" t="str">
        <f>IF(AG4840="","",INDEX('Quitados DUPP'!$G$1:$G$6635,AG4840))</f>
        <v/>
      </c>
      <c r="AJ4840" s="17" t="str">
        <f t="shared" si="3"/>
        <v/>
      </c>
    </row>
    <row r="4841" spans="31:36">
      <c r="AE4841" s="15" t="str">
        <f t="shared" si="0"/>
        <v/>
      </c>
      <c r="AF4841" s="15" t="str">
        <f t="shared" si="1"/>
        <v/>
      </c>
      <c r="AG4841" s="15" t="str">
        <f>IF(OR(AF4841="",AF4841="ERRO_CHAVE"),"",IFERROR(MATCH(AF4841,'Quitados DUPP'!$U$1:$U$6635,0),""))</f>
        <v/>
      </c>
      <c r="AH4841" s="15" t="str">
        <f t="shared" si="2"/>
        <v/>
      </c>
      <c r="AI4841" s="17" t="str">
        <f>IF(AG4841="","",INDEX('Quitados DUPP'!$G$1:$G$6635,AG4841))</f>
        <v/>
      </c>
      <c r="AJ4841" s="17" t="str">
        <f t="shared" si="3"/>
        <v/>
      </c>
    </row>
    <row r="4842" spans="31:36">
      <c r="AE4842" s="15" t="str">
        <f t="shared" si="0"/>
        <v/>
      </c>
      <c r="AF4842" s="15" t="str">
        <f t="shared" si="1"/>
        <v/>
      </c>
      <c r="AG4842" s="15" t="str">
        <f>IF(OR(AF4842="",AF4842="ERRO_CHAVE"),"",IFERROR(MATCH(AF4842,'Quitados DUPP'!$U$1:$U$6635,0),""))</f>
        <v/>
      </c>
      <c r="AH4842" s="15" t="str">
        <f t="shared" si="2"/>
        <v/>
      </c>
      <c r="AI4842" s="17" t="str">
        <f>IF(AG4842="","",INDEX('Quitados DUPP'!$G$1:$G$6635,AG4842))</f>
        <v/>
      </c>
      <c r="AJ4842" s="17" t="str">
        <f t="shared" si="3"/>
        <v/>
      </c>
    </row>
    <row r="4843" spans="31:36">
      <c r="AE4843" s="15" t="str">
        <f t="shared" si="0"/>
        <v/>
      </c>
      <c r="AF4843" s="15" t="str">
        <f t="shared" si="1"/>
        <v/>
      </c>
      <c r="AG4843" s="15" t="str">
        <f>IF(OR(AF4843="",AF4843="ERRO_CHAVE"),"",IFERROR(MATCH(AF4843,'Quitados DUPP'!$U$1:$U$6635,0),""))</f>
        <v/>
      </c>
      <c r="AH4843" s="15" t="str">
        <f t="shared" si="2"/>
        <v/>
      </c>
      <c r="AI4843" s="17" t="str">
        <f>IF(AG4843="","",INDEX('Quitados DUPP'!$G$1:$G$6635,AG4843))</f>
        <v/>
      </c>
      <c r="AJ4843" s="17" t="str">
        <f t="shared" si="3"/>
        <v/>
      </c>
    </row>
    <row r="4844" spans="31:36">
      <c r="AE4844" s="15" t="str">
        <f t="shared" si="0"/>
        <v/>
      </c>
      <c r="AF4844" s="15" t="str">
        <f t="shared" si="1"/>
        <v/>
      </c>
      <c r="AG4844" s="15" t="str">
        <f>IF(OR(AF4844="",AF4844="ERRO_CHAVE"),"",IFERROR(MATCH(AF4844,'Quitados DUPP'!$U$1:$U$6635,0),""))</f>
        <v/>
      </c>
      <c r="AH4844" s="15" t="str">
        <f t="shared" si="2"/>
        <v/>
      </c>
      <c r="AI4844" s="17" t="str">
        <f>IF(AG4844="","",INDEX('Quitados DUPP'!$G$1:$G$6635,AG4844))</f>
        <v/>
      </c>
      <c r="AJ4844" s="17" t="str">
        <f t="shared" si="3"/>
        <v/>
      </c>
    </row>
    <row r="4845" spans="31:36">
      <c r="AE4845" s="15" t="str">
        <f t="shared" si="0"/>
        <v/>
      </c>
      <c r="AF4845" s="15" t="str">
        <f t="shared" si="1"/>
        <v/>
      </c>
      <c r="AG4845" s="15" t="str">
        <f>IF(OR(AF4845="",AF4845="ERRO_CHAVE"),"",IFERROR(MATCH(AF4845,'Quitados DUPP'!$U$1:$U$6635,0),""))</f>
        <v/>
      </c>
      <c r="AH4845" s="15" t="str">
        <f t="shared" si="2"/>
        <v/>
      </c>
      <c r="AI4845" s="17" t="str">
        <f>IF(AG4845="","",INDEX('Quitados DUPP'!$G$1:$G$6635,AG4845))</f>
        <v/>
      </c>
      <c r="AJ4845" s="17" t="str">
        <f t="shared" si="3"/>
        <v/>
      </c>
    </row>
    <row r="4846" spans="31:36">
      <c r="AE4846" s="15" t="str">
        <f t="shared" si="0"/>
        <v/>
      </c>
      <c r="AF4846" s="15" t="str">
        <f t="shared" si="1"/>
        <v/>
      </c>
      <c r="AG4846" s="15" t="str">
        <f>IF(OR(AF4846="",AF4846="ERRO_CHAVE"),"",IFERROR(MATCH(AF4846,'Quitados DUPP'!$U$1:$U$6635,0),""))</f>
        <v/>
      </c>
      <c r="AH4846" s="15" t="str">
        <f t="shared" si="2"/>
        <v/>
      </c>
      <c r="AI4846" s="17" t="str">
        <f>IF(AG4846="","",INDEX('Quitados DUPP'!$G$1:$G$6635,AG4846))</f>
        <v/>
      </c>
      <c r="AJ4846" s="17" t="str">
        <f t="shared" si="3"/>
        <v/>
      </c>
    </row>
    <row r="4847" spans="31:36">
      <c r="AE4847" s="15" t="str">
        <f t="shared" si="0"/>
        <v/>
      </c>
      <c r="AF4847" s="15" t="str">
        <f t="shared" si="1"/>
        <v/>
      </c>
      <c r="AG4847" s="15" t="str">
        <f>IF(OR(AF4847="",AF4847="ERRO_CHAVE"),"",IFERROR(MATCH(AF4847,'Quitados DUPP'!$U$1:$U$6635,0),""))</f>
        <v/>
      </c>
      <c r="AH4847" s="15" t="str">
        <f t="shared" si="2"/>
        <v/>
      </c>
      <c r="AI4847" s="17" t="str">
        <f>IF(AG4847="","",INDEX('Quitados DUPP'!$G$1:$G$6635,AG4847))</f>
        <v/>
      </c>
      <c r="AJ4847" s="17" t="str">
        <f t="shared" si="3"/>
        <v/>
      </c>
    </row>
    <row r="4848" spans="31:36">
      <c r="AE4848" s="15" t="str">
        <f t="shared" si="0"/>
        <v/>
      </c>
      <c r="AF4848" s="15" t="str">
        <f t="shared" si="1"/>
        <v/>
      </c>
      <c r="AG4848" s="15" t="str">
        <f>IF(OR(AF4848="",AF4848="ERRO_CHAVE"),"",IFERROR(MATCH(AF4848,'Quitados DUPP'!$U$1:$U$6635,0),""))</f>
        <v/>
      </c>
      <c r="AH4848" s="15" t="str">
        <f t="shared" si="2"/>
        <v/>
      </c>
      <c r="AI4848" s="17" t="str">
        <f>IF(AG4848="","",INDEX('Quitados DUPP'!$G$1:$G$6635,AG4848))</f>
        <v/>
      </c>
      <c r="AJ4848" s="17" t="str">
        <f t="shared" si="3"/>
        <v/>
      </c>
    </row>
    <row r="4849" spans="31:36">
      <c r="AE4849" s="15" t="str">
        <f t="shared" si="0"/>
        <v/>
      </c>
      <c r="AF4849" s="15" t="str">
        <f t="shared" si="1"/>
        <v/>
      </c>
      <c r="AG4849" s="15" t="str">
        <f>IF(OR(AF4849="",AF4849="ERRO_CHAVE"),"",IFERROR(MATCH(AF4849,'Quitados DUPP'!$U$1:$U$6635,0),""))</f>
        <v/>
      </c>
      <c r="AH4849" s="15" t="str">
        <f t="shared" si="2"/>
        <v/>
      </c>
      <c r="AI4849" s="17" t="str">
        <f>IF(AG4849="","",INDEX('Quitados DUPP'!$G$1:$G$6635,AG4849))</f>
        <v/>
      </c>
      <c r="AJ4849" s="17" t="str">
        <f t="shared" si="3"/>
        <v/>
      </c>
    </row>
    <row r="4850" spans="31:36">
      <c r="AE4850" s="15" t="str">
        <f t="shared" si="0"/>
        <v/>
      </c>
      <c r="AF4850" s="15" t="str">
        <f t="shared" si="1"/>
        <v/>
      </c>
      <c r="AG4850" s="15" t="str">
        <f>IF(OR(AF4850="",AF4850="ERRO_CHAVE"),"",IFERROR(MATCH(AF4850,'Quitados DUPP'!$U$1:$U$6635,0),""))</f>
        <v/>
      </c>
      <c r="AH4850" s="15" t="str">
        <f t="shared" si="2"/>
        <v/>
      </c>
      <c r="AI4850" s="17" t="str">
        <f>IF(AG4850="","",INDEX('Quitados DUPP'!$G$1:$G$6635,AG4850))</f>
        <v/>
      </c>
      <c r="AJ4850" s="17" t="str">
        <f t="shared" si="3"/>
        <v/>
      </c>
    </row>
    <row r="4851" spans="31:36">
      <c r="AE4851" s="15" t="str">
        <f t="shared" si="0"/>
        <v/>
      </c>
      <c r="AF4851" s="15" t="str">
        <f t="shared" si="1"/>
        <v/>
      </c>
      <c r="AG4851" s="15" t="str">
        <f>IF(OR(AF4851="",AF4851="ERRO_CHAVE"),"",IFERROR(MATCH(AF4851,'Quitados DUPP'!$U$1:$U$6635,0),""))</f>
        <v/>
      </c>
      <c r="AH4851" s="15" t="str">
        <f t="shared" si="2"/>
        <v/>
      </c>
      <c r="AI4851" s="17" t="str">
        <f>IF(AG4851="","",INDEX('Quitados DUPP'!$G$1:$G$6635,AG4851))</f>
        <v/>
      </c>
      <c r="AJ4851" s="17" t="str">
        <f t="shared" si="3"/>
        <v/>
      </c>
    </row>
    <row r="4852" spans="31:36">
      <c r="AE4852" s="15" t="str">
        <f t="shared" si="0"/>
        <v/>
      </c>
      <c r="AF4852" s="15" t="str">
        <f t="shared" si="1"/>
        <v/>
      </c>
      <c r="AG4852" s="15" t="str">
        <f>IF(OR(AF4852="",AF4852="ERRO_CHAVE"),"",IFERROR(MATCH(AF4852,'Quitados DUPP'!$U$1:$U$6635,0),""))</f>
        <v/>
      </c>
      <c r="AH4852" s="15" t="str">
        <f t="shared" si="2"/>
        <v/>
      </c>
      <c r="AI4852" s="17" t="str">
        <f>IF(AG4852="","",INDEX('Quitados DUPP'!$G$1:$G$6635,AG4852))</f>
        <v/>
      </c>
      <c r="AJ4852" s="17" t="str">
        <f t="shared" si="3"/>
        <v/>
      </c>
    </row>
    <row r="4853" spans="31:36">
      <c r="AE4853" s="15" t="str">
        <f t="shared" si="0"/>
        <v/>
      </c>
      <c r="AF4853" s="15" t="str">
        <f t="shared" si="1"/>
        <v/>
      </c>
      <c r="AG4853" s="15" t="str">
        <f>IF(OR(AF4853="",AF4853="ERRO_CHAVE"),"",IFERROR(MATCH(AF4853,'Quitados DUPP'!$U$1:$U$6635,0),""))</f>
        <v/>
      </c>
      <c r="AH4853" s="15" t="str">
        <f t="shared" si="2"/>
        <v/>
      </c>
      <c r="AI4853" s="17" t="str">
        <f>IF(AG4853="","",INDEX('Quitados DUPP'!$G$1:$G$6635,AG4853))</f>
        <v/>
      </c>
      <c r="AJ4853" s="17" t="str">
        <f t="shared" si="3"/>
        <v/>
      </c>
    </row>
    <row r="4854" spans="31:36">
      <c r="AE4854" s="15" t="str">
        <f t="shared" si="0"/>
        <v/>
      </c>
      <c r="AF4854" s="15" t="str">
        <f t="shared" si="1"/>
        <v/>
      </c>
      <c r="AG4854" s="15" t="str">
        <f>IF(OR(AF4854="",AF4854="ERRO_CHAVE"),"",IFERROR(MATCH(AF4854,'Quitados DUPP'!$U$1:$U$6635,0),""))</f>
        <v/>
      </c>
      <c r="AH4854" s="15" t="str">
        <f t="shared" si="2"/>
        <v/>
      </c>
      <c r="AI4854" s="17" t="str">
        <f>IF(AG4854="","",INDEX('Quitados DUPP'!$G$1:$G$6635,AG4854))</f>
        <v/>
      </c>
      <c r="AJ4854" s="17" t="str">
        <f t="shared" si="3"/>
        <v/>
      </c>
    </row>
    <row r="4855" spans="31:36">
      <c r="AE4855" s="15" t="str">
        <f t="shared" si="0"/>
        <v/>
      </c>
      <c r="AF4855" s="15" t="str">
        <f t="shared" si="1"/>
        <v/>
      </c>
      <c r="AG4855" s="15" t="str">
        <f>IF(OR(AF4855="",AF4855="ERRO_CHAVE"),"",IFERROR(MATCH(AF4855,'Quitados DUPP'!$U$1:$U$6635,0),""))</f>
        <v/>
      </c>
      <c r="AH4855" s="15" t="str">
        <f t="shared" si="2"/>
        <v/>
      </c>
      <c r="AI4855" s="17" t="str">
        <f>IF(AG4855="","",INDEX('Quitados DUPP'!$G$1:$G$6635,AG4855))</f>
        <v/>
      </c>
      <c r="AJ4855" s="17" t="str">
        <f t="shared" si="3"/>
        <v/>
      </c>
    </row>
    <row r="4856" spans="31:36">
      <c r="AE4856" s="15" t="str">
        <f t="shared" si="0"/>
        <v/>
      </c>
      <c r="AF4856" s="15" t="str">
        <f t="shared" si="1"/>
        <v/>
      </c>
      <c r="AG4856" s="15" t="str">
        <f>IF(OR(AF4856="",AF4856="ERRO_CHAVE"),"",IFERROR(MATCH(AF4856,'Quitados DUPP'!$U$1:$U$6635,0),""))</f>
        <v/>
      </c>
      <c r="AH4856" s="15" t="str">
        <f t="shared" si="2"/>
        <v/>
      </c>
      <c r="AI4856" s="17" t="str">
        <f>IF(AG4856="","",INDEX('Quitados DUPP'!$G$1:$G$6635,AG4856))</f>
        <v/>
      </c>
      <c r="AJ4856" s="17" t="str">
        <f t="shared" si="3"/>
        <v/>
      </c>
    </row>
    <row r="4857" spans="31:36">
      <c r="AE4857" s="15" t="str">
        <f t="shared" si="0"/>
        <v/>
      </c>
      <c r="AF4857" s="15" t="str">
        <f t="shared" si="1"/>
        <v/>
      </c>
      <c r="AG4857" s="15" t="str">
        <f>IF(OR(AF4857="",AF4857="ERRO_CHAVE"),"",IFERROR(MATCH(AF4857,'Quitados DUPP'!$U$1:$U$6635,0),""))</f>
        <v/>
      </c>
      <c r="AH4857" s="15" t="str">
        <f t="shared" si="2"/>
        <v/>
      </c>
      <c r="AI4857" s="17" t="str">
        <f>IF(AG4857="","",INDEX('Quitados DUPP'!$G$1:$G$6635,AG4857))</f>
        <v/>
      </c>
      <c r="AJ4857" s="17" t="str">
        <f t="shared" si="3"/>
        <v/>
      </c>
    </row>
    <row r="4858" spans="31:36">
      <c r="AE4858" s="15" t="str">
        <f t="shared" si="0"/>
        <v/>
      </c>
      <c r="AF4858" s="15" t="str">
        <f t="shared" si="1"/>
        <v/>
      </c>
      <c r="AG4858" s="15" t="str">
        <f>IF(OR(AF4858="",AF4858="ERRO_CHAVE"),"",IFERROR(MATCH(AF4858,'Quitados DUPP'!$U$1:$U$6635,0),""))</f>
        <v/>
      </c>
      <c r="AH4858" s="15" t="str">
        <f t="shared" si="2"/>
        <v/>
      </c>
      <c r="AI4858" s="17" t="str">
        <f>IF(AG4858="","",INDEX('Quitados DUPP'!$G$1:$G$6635,AG4858))</f>
        <v/>
      </c>
      <c r="AJ4858" s="17" t="str">
        <f t="shared" si="3"/>
        <v/>
      </c>
    </row>
    <row r="4859" spans="31:36">
      <c r="AE4859" s="15" t="str">
        <f t="shared" si="0"/>
        <v/>
      </c>
      <c r="AF4859" s="15" t="str">
        <f t="shared" si="1"/>
        <v/>
      </c>
      <c r="AG4859" s="15" t="str">
        <f>IF(OR(AF4859="",AF4859="ERRO_CHAVE"),"",IFERROR(MATCH(AF4859,'Quitados DUPP'!$U$1:$U$6635,0),""))</f>
        <v/>
      </c>
      <c r="AH4859" s="15" t="str">
        <f t="shared" si="2"/>
        <v/>
      </c>
      <c r="AI4859" s="17" t="str">
        <f>IF(AG4859="","",INDEX('Quitados DUPP'!$G$1:$G$6635,AG4859))</f>
        <v/>
      </c>
      <c r="AJ4859" s="17" t="str">
        <f t="shared" si="3"/>
        <v/>
      </c>
    </row>
    <row r="4860" spans="31:36">
      <c r="AE4860" s="15" t="str">
        <f t="shared" si="0"/>
        <v/>
      </c>
      <c r="AF4860" s="15" t="str">
        <f t="shared" si="1"/>
        <v/>
      </c>
      <c r="AG4860" s="15" t="str">
        <f>IF(OR(AF4860="",AF4860="ERRO_CHAVE"),"",IFERROR(MATCH(AF4860,'Quitados DUPP'!$U$1:$U$6635,0),""))</f>
        <v/>
      </c>
      <c r="AH4860" s="15" t="str">
        <f t="shared" si="2"/>
        <v/>
      </c>
      <c r="AI4860" s="17" t="str">
        <f>IF(AG4860="","",INDEX('Quitados DUPP'!$G$1:$G$6635,AG4860))</f>
        <v/>
      </c>
      <c r="AJ4860" s="17" t="str">
        <f t="shared" si="3"/>
        <v/>
      </c>
    </row>
    <row r="4861" spans="31:36">
      <c r="AE4861" s="15" t="str">
        <f t="shared" si="0"/>
        <v/>
      </c>
      <c r="AF4861" s="15" t="str">
        <f t="shared" si="1"/>
        <v/>
      </c>
      <c r="AG4861" s="15" t="str">
        <f>IF(OR(AF4861="",AF4861="ERRO_CHAVE"),"",IFERROR(MATCH(AF4861,'Quitados DUPP'!$U$1:$U$6635,0),""))</f>
        <v/>
      </c>
      <c r="AH4861" s="15" t="str">
        <f t="shared" si="2"/>
        <v/>
      </c>
      <c r="AI4861" s="17" t="str">
        <f>IF(AG4861="","",INDEX('Quitados DUPP'!$G$1:$G$6635,AG4861))</f>
        <v/>
      </c>
      <c r="AJ4861" s="17" t="str">
        <f t="shared" si="3"/>
        <v/>
      </c>
    </row>
    <row r="4862" spans="31:36">
      <c r="AE4862" s="15" t="str">
        <f t="shared" si="0"/>
        <v/>
      </c>
      <c r="AF4862" s="15" t="str">
        <f t="shared" si="1"/>
        <v/>
      </c>
      <c r="AG4862" s="15" t="str">
        <f>IF(OR(AF4862="",AF4862="ERRO_CHAVE"),"",IFERROR(MATCH(AF4862,'Quitados DUPP'!$U$1:$U$6635,0),""))</f>
        <v/>
      </c>
      <c r="AH4862" s="15" t="str">
        <f t="shared" si="2"/>
        <v/>
      </c>
      <c r="AI4862" s="17" t="str">
        <f>IF(AG4862="","",INDEX('Quitados DUPP'!$G$1:$G$6635,AG4862))</f>
        <v/>
      </c>
      <c r="AJ4862" s="17" t="str">
        <f t="shared" si="3"/>
        <v/>
      </c>
    </row>
    <row r="4863" spans="31:36">
      <c r="AE4863" s="15" t="str">
        <f t="shared" si="0"/>
        <v/>
      </c>
      <c r="AF4863" s="15" t="str">
        <f t="shared" si="1"/>
        <v/>
      </c>
      <c r="AG4863" s="15" t="str">
        <f>IF(OR(AF4863="",AF4863="ERRO_CHAVE"),"",IFERROR(MATCH(AF4863,'Quitados DUPP'!$U$1:$U$6635,0),""))</f>
        <v/>
      </c>
      <c r="AH4863" s="15" t="str">
        <f t="shared" si="2"/>
        <v/>
      </c>
      <c r="AI4863" s="17" t="str">
        <f>IF(AG4863="","",INDEX('Quitados DUPP'!$G$1:$G$6635,AG4863))</f>
        <v/>
      </c>
      <c r="AJ4863" s="17" t="str">
        <f t="shared" si="3"/>
        <v/>
      </c>
    </row>
    <row r="4864" spans="31:36">
      <c r="AE4864" s="15" t="str">
        <f t="shared" si="0"/>
        <v/>
      </c>
      <c r="AF4864" s="15" t="str">
        <f t="shared" si="1"/>
        <v/>
      </c>
      <c r="AG4864" s="15" t="str">
        <f>IF(OR(AF4864="",AF4864="ERRO_CHAVE"),"",IFERROR(MATCH(AF4864,'Quitados DUPP'!$U$1:$U$6635,0),""))</f>
        <v/>
      </c>
      <c r="AH4864" s="15" t="str">
        <f t="shared" si="2"/>
        <v/>
      </c>
      <c r="AI4864" s="17" t="str">
        <f>IF(AG4864="","",INDEX('Quitados DUPP'!$G$1:$G$6635,AG4864))</f>
        <v/>
      </c>
      <c r="AJ4864" s="17" t="str">
        <f t="shared" si="3"/>
        <v/>
      </c>
    </row>
    <row r="4865" spans="31:36">
      <c r="AE4865" s="15" t="str">
        <f t="shared" si="0"/>
        <v/>
      </c>
      <c r="AF4865" s="15" t="str">
        <f t="shared" si="1"/>
        <v/>
      </c>
      <c r="AG4865" s="15" t="str">
        <f>IF(OR(AF4865="",AF4865="ERRO_CHAVE"),"",IFERROR(MATCH(AF4865,'Quitados DUPP'!$U$1:$U$6635,0),""))</f>
        <v/>
      </c>
      <c r="AH4865" s="15" t="str">
        <f t="shared" si="2"/>
        <v/>
      </c>
      <c r="AI4865" s="17" t="str">
        <f>IF(AG4865="","",INDEX('Quitados DUPP'!$G$1:$G$6635,AG4865))</f>
        <v/>
      </c>
      <c r="AJ4865" s="17" t="str">
        <f t="shared" si="3"/>
        <v/>
      </c>
    </row>
    <row r="4866" spans="31:36">
      <c r="AE4866" s="15" t="str">
        <f t="shared" si="0"/>
        <v/>
      </c>
      <c r="AF4866" s="15" t="str">
        <f t="shared" si="1"/>
        <v/>
      </c>
      <c r="AG4866" s="15" t="str">
        <f>IF(OR(AF4866="",AF4866="ERRO_CHAVE"),"",IFERROR(MATCH(AF4866,'Quitados DUPP'!$U$1:$U$6635,0),""))</f>
        <v/>
      </c>
      <c r="AH4866" s="15" t="str">
        <f t="shared" si="2"/>
        <v/>
      </c>
      <c r="AI4866" s="17" t="str">
        <f>IF(AG4866="","",INDEX('Quitados DUPP'!$G$1:$G$6635,AG4866))</f>
        <v/>
      </c>
      <c r="AJ4866" s="17" t="str">
        <f t="shared" si="3"/>
        <v/>
      </c>
    </row>
    <row r="4867" spans="31:36">
      <c r="AE4867" s="15" t="str">
        <f t="shared" si="0"/>
        <v/>
      </c>
      <c r="AF4867" s="15" t="str">
        <f t="shared" si="1"/>
        <v/>
      </c>
      <c r="AG4867" s="15" t="str">
        <f>IF(OR(AF4867="",AF4867="ERRO_CHAVE"),"",IFERROR(MATCH(AF4867,'Quitados DUPP'!$U$1:$U$6635,0),""))</f>
        <v/>
      </c>
      <c r="AH4867" s="15" t="str">
        <f t="shared" si="2"/>
        <v/>
      </c>
      <c r="AI4867" s="17" t="str">
        <f>IF(AG4867="","",INDEX('Quitados DUPP'!$G$1:$G$6635,AG4867))</f>
        <v/>
      </c>
      <c r="AJ4867" s="17" t="str">
        <f t="shared" si="3"/>
        <v/>
      </c>
    </row>
    <row r="4868" spans="31:36">
      <c r="AE4868" s="15" t="str">
        <f t="shared" si="0"/>
        <v/>
      </c>
      <c r="AF4868" s="15" t="str">
        <f t="shared" si="1"/>
        <v/>
      </c>
      <c r="AG4868" s="15" t="str">
        <f>IF(OR(AF4868="",AF4868="ERRO_CHAVE"),"",IFERROR(MATCH(AF4868,'Quitados DUPP'!$U$1:$U$6635,0),""))</f>
        <v/>
      </c>
      <c r="AH4868" s="15" t="str">
        <f t="shared" si="2"/>
        <v/>
      </c>
      <c r="AI4868" s="17" t="str">
        <f>IF(AG4868="","",INDEX('Quitados DUPP'!$G$1:$G$6635,AG4868))</f>
        <v/>
      </c>
      <c r="AJ4868" s="17" t="str">
        <f t="shared" si="3"/>
        <v/>
      </c>
    </row>
    <row r="4869" spans="31:36">
      <c r="AE4869" s="15" t="str">
        <f t="shared" si="0"/>
        <v/>
      </c>
      <c r="AF4869" s="15" t="str">
        <f t="shared" si="1"/>
        <v/>
      </c>
      <c r="AG4869" s="15" t="str">
        <f>IF(OR(AF4869="",AF4869="ERRO_CHAVE"),"",IFERROR(MATCH(AF4869,'Quitados DUPP'!$U$1:$U$6635,0),""))</f>
        <v/>
      </c>
      <c r="AH4869" s="15" t="str">
        <f t="shared" si="2"/>
        <v/>
      </c>
      <c r="AI4869" s="17" t="str">
        <f>IF(AG4869="","",INDEX('Quitados DUPP'!$G$1:$G$6635,AG4869))</f>
        <v/>
      </c>
      <c r="AJ4869" s="17" t="str">
        <f t="shared" si="3"/>
        <v/>
      </c>
    </row>
    <row r="4870" spans="31:36">
      <c r="AE4870" s="15" t="str">
        <f t="shared" si="0"/>
        <v/>
      </c>
      <c r="AF4870" s="15" t="str">
        <f t="shared" si="1"/>
        <v/>
      </c>
      <c r="AG4870" s="15" t="str">
        <f>IF(OR(AF4870="",AF4870="ERRO_CHAVE"),"",IFERROR(MATCH(AF4870,'Quitados DUPP'!$U$1:$U$6635,0),""))</f>
        <v/>
      </c>
      <c r="AH4870" s="15" t="str">
        <f t="shared" si="2"/>
        <v/>
      </c>
      <c r="AI4870" s="17" t="str">
        <f>IF(AG4870="","",INDEX('Quitados DUPP'!$G$1:$G$6635,AG4870))</f>
        <v/>
      </c>
      <c r="AJ4870" s="17" t="str">
        <f t="shared" si="3"/>
        <v/>
      </c>
    </row>
    <row r="4871" spans="31:36">
      <c r="AE4871" s="15" t="str">
        <f t="shared" si="0"/>
        <v/>
      </c>
      <c r="AF4871" s="15" t="str">
        <f t="shared" si="1"/>
        <v/>
      </c>
      <c r="AG4871" s="15" t="str">
        <f>IF(OR(AF4871="",AF4871="ERRO_CHAVE"),"",IFERROR(MATCH(AF4871,'Quitados DUPP'!$U$1:$U$6635,0),""))</f>
        <v/>
      </c>
      <c r="AH4871" s="15" t="str">
        <f t="shared" si="2"/>
        <v/>
      </c>
      <c r="AI4871" s="17" t="str">
        <f>IF(AG4871="","",INDEX('Quitados DUPP'!$G$1:$G$6635,AG4871))</f>
        <v/>
      </c>
      <c r="AJ4871" s="17" t="str">
        <f t="shared" si="3"/>
        <v/>
      </c>
    </row>
    <row r="4872" spans="31:36">
      <c r="AE4872" s="15" t="str">
        <f t="shared" si="0"/>
        <v/>
      </c>
      <c r="AF4872" s="15" t="str">
        <f t="shared" si="1"/>
        <v/>
      </c>
      <c r="AG4872" s="15" t="str">
        <f>IF(OR(AF4872="",AF4872="ERRO_CHAVE"),"",IFERROR(MATCH(AF4872,'Quitados DUPP'!$U$1:$U$6635,0),""))</f>
        <v/>
      </c>
      <c r="AH4872" s="15" t="str">
        <f t="shared" si="2"/>
        <v/>
      </c>
      <c r="AI4872" s="17" t="str">
        <f>IF(AG4872="","",INDEX('Quitados DUPP'!$G$1:$G$6635,AG4872))</f>
        <v/>
      </c>
      <c r="AJ4872" s="17" t="str">
        <f t="shared" si="3"/>
        <v/>
      </c>
    </row>
    <row r="4873" spans="31:36">
      <c r="AE4873" s="15" t="str">
        <f t="shared" si="0"/>
        <v/>
      </c>
      <c r="AF4873" s="15" t="str">
        <f t="shared" si="1"/>
        <v/>
      </c>
      <c r="AG4873" s="15" t="str">
        <f>IF(OR(AF4873="",AF4873="ERRO_CHAVE"),"",IFERROR(MATCH(AF4873,'Quitados DUPP'!$U$1:$U$6635,0),""))</f>
        <v/>
      </c>
      <c r="AH4873" s="15" t="str">
        <f t="shared" si="2"/>
        <v/>
      </c>
      <c r="AI4873" s="17" t="str">
        <f>IF(AG4873="","",INDEX('Quitados DUPP'!$G$1:$G$6635,AG4873))</f>
        <v/>
      </c>
      <c r="AJ4873" s="17" t="str">
        <f t="shared" si="3"/>
        <v/>
      </c>
    </row>
    <row r="4874" spans="31:36">
      <c r="AE4874" s="15" t="str">
        <f t="shared" si="0"/>
        <v/>
      </c>
      <c r="AF4874" s="15" t="str">
        <f t="shared" si="1"/>
        <v/>
      </c>
      <c r="AG4874" s="15" t="str">
        <f>IF(OR(AF4874="",AF4874="ERRO_CHAVE"),"",IFERROR(MATCH(AF4874,'Quitados DUPP'!$U$1:$U$6635,0),""))</f>
        <v/>
      </c>
      <c r="AH4874" s="15" t="str">
        <f t="shared" si="2"/>
        <v/>
      </c>
      <c r="AI4874" s="17" t="str">
        <f>IF(AG4874="","",INDEX('Quitados DUPP'!$G$1:$G$6635,AG4874))</f>
        <v/>
      </c>
      <c r="AJ4874" s="17" t="str">
        <f t="shared" si="3"/>
        <v/>
      </c>
    </row>
    <row r="4875" spans="31:36">
      <c r="AE4875" s="15" t="str">
        <f t="shared" si="0"/>
        <v/>
      </c>
      <c r="AF4875" s="15" t="str">
        <f t="shared" si="1"/>
        <v/>
      </c>
      <c r="AG4875" s="15" t="str">
        <f>IF(OR(AF4875="",AF4875="ERRO_CHAVE"),"",IFERROR(MATCH(AF4875,'Quitados DUPP'!$U$1:$U$6635,0),""))</f>
        <v/>
      </c>
      <c r="AH4875" s="15" t="str">
        <f t="shared" si="2"/>
        <v/>
      </c>
      <c r="AI4875" s="17" t="str">
        <f>IF(AG4875="","",INDEX('Quitados DUPP'!$G$1:$G$6635,AG4875))</f>
        <v/>
      </c>
      <c r="AJ4875" s="17" t="str">
        <f t="shared" si="3"/>
        <v/>
      </c>
    </row>
    <row r="4876" spans="31:36">
      <c r="AE4876" s="15" t="str">
        <f t="shared" si="0"/>
        <v/>
      </c>
      <c r="AF4876" s="15" t="str">
        <f t="shared" si="1"/>
        <v/>
      </c>
      <c r="AG4876" s="15" t="str">
        <f>IF(OR(AF4876="",AF4876="ERRO_CHAVE"),"",IFERROR(MATCH(AF4876,'Quitados DUPP'!$U$1:$U$6635,0),""))</f>
        <v/>
      </c>
      <c r="AH4876" s="15" t="str">
        <f t="shared" si="2"/>
        <v/>
      </c>
      <c r="AI4876" s="17" t="str">
        <f>IF(AG4876="","",INDEX('Quitados DUPP'!$G$1:$G$6635,AG4876))</f>
        <v/>
      </c>
      <c r="AJ4876" s="17" t="str">
        <f t="shared" si="3"/>
        <v/>
      </c>
    </row>
    <row r="4877" spans="31:36">
      <c r="AE4877" s="15" t="str">
        <f t="shared" si="0"/>
        <v/>
      </c>
      <c r="AF4877" s="15" t="str">
        <f t="shared" si="1"/>
        <v/>
      </c>
      <c r="AG4877" s="15" t="str">
        <f>IF(OR(AF4877="",AF4877="ERRO_CHAVE"),"",IFERROR(MATCH(AF4877,'Quitados DUPP'!$U$1:$U$6635,0),""))</f>
        <v/>
      </c>
      <c r="AH4877" s="15" t="str">
        <f t="shared" si="2"/>
        <v/>
      </c>
      <c r="AI4877" s="17" t="str">
        <f>IF(AG4877="","",INDEX('Quitados DUPP'!$G$1:$G$6635,AG4877))</f>
        <v/>
      </c>
      <c r="AJ4877" s="17" t="str">
        <f t="shared" si="3"/>
        <v/>
      </c>
    </row>
    <row r="4878" spans="31:36">
      <c r="AE4878" s="15" t="str">
        <f t="shared" si="0"/>
        <v/>
      </c>
      <c r="AF4878" s="15" t="str">
        <f t="shared" si="1"/>
        <v/>
      </c>
      <c r="AG4878" s="15" t="str">
        <f>IF(OR(AF4878="",AF4878="ERRO_CHAVE"),"",IFERROR(MATCH(AF4878,'Quitados DUPP'!$U$1:$U$6635,0),""))</f>
        <v/>
      </c>
      <c r="AH4878" s="15" t="str">
        <f t="shared" si="2"/>
        <v/>
      </c>
      <c r="AI4878" s="17" t="str">
        <f>IF(AG4878="","",INDEX('Quitados DUPP'!$G$1:$G$6635,AG4878))</f>
        <v/>
      </c>
      <c r="AJ4878" s="17" t="str">
        <f t="shared" si="3"/>
        <v/>
      </c>
    </row>
    <row r="4879" spans="31:36">
      <c r="AE4879" s="15" t="str">
        <f t="shared" si="0"/>
        <v/>
      </c>
      <c r="AF4879" s="15" t="str">
        <f t="shared" si="1"/>
        <v/>
      </c>
      <c r="AG4879" s="15" t="str">
        <f>IF(OR(AF4879="",AF4879="ERRO_CHAVE"),"",IFERROR(MATCH(AF4879,'Quitados DUPP'!$U$1:$U$6635,0),""))</f>
        <v/>
      </c>
      <c r="AH4879" s="15" t="str">
        <f t="shared" si="2"/>
        <v/>
      </c>
      <c r="AI4879" s="17" t="str">
        <f>IF(AG4879="","",INDEX('Quitados DUPP'!$G$1:$G$6635,AG4879))</f>
        <v/>
      </c>
      <c r="AJ4879" s="17" t="str">
        <f t="shared" si="3"/>
        <v/>
      </c>
    </row>
    <row r="4880" spans="31:36">
      <c r="AE4880" s="15" t="str">
        <f t="shared" si="0"/>
        <v/>
      </c>
      <c r="AF4880" s="15" t="str">
        <f t="shared" si="1"/>
        <v/>
      </c>
      <c r="AG4880" s="15" t="str">
        <f>IF(OR(AF4880="",AF4880="ERRO_CHAVE"),"",IFERROR(MATCH(AF4880,'Quitados DUPP'!$U$1:$U$6635,0),""))</f>
        <v/>
      </c>
      <c r="AH4880" s="15" t="str">
        <f t="shared" si="2"/>
        <v/>
      </c>
      <c r="AI4880" s="17" t="str">
        <f>IF(AG4880="","",INDEX('Quitados DUPP'!$G$1:$G$6635,AG4880))</f>
        <v/>
      </c>
      <c r="AJ4880" s="17" t="str">
        <f t="shared" si="3"/>
        <v/>
      </c>
    </row>
    <row r="4881" spans="31:36">
      <c r="AE4881" s="15" t="str">
        <f t="shared" si="0"/>
        <v/>
      </c>
      <c r="AF4881" s="15" t="str">
        <f t="shared" si="1"/>
        <v/>
      </c>
      <c r="AG4881" s="15" t="str">
        <f>IF(OR(AF4881="",AF4881="ERRO_CHAVE"),"",IFERROR(MATCH(AF4881,'Quitados DUPP'!$U$1:$U$6635,0),""))</f>
        <v/>
      </c>
      <c r="AH4881" s="15" t="str">
        <f t="shared" si="2"/>
        <v/>
      </c>
      <c r="AI4881" s="17" t="str">
        <f>IF(AG4881="","",INDEX('Quitados DUPP'!$G$1:$G$6635,AG4881))</f>
        <v/>
      </c>
      <c r="AJ4881" s="17" t="str">
        <f t="shared" si="3"/>
        <v/>
      </c>
    </row>
    <row r="4882" spans="31:36">
      <c r="AE4882" s="15" t="str">
        <f t="shared" si="0"/>
        <v/>
      </c>
      <c r="AF4882" s="15" t="str">
        <f t="shared" si="1"/>
        <v/>
      </c>
      <c r="AG4882" s="15" t="str">
        <f>IF(OR(AF4882="",AF4882="ERRO_CHAVE"),"",IFERROR(MATCH(AF4882,'Quitados DUPP'!$U$1:$U$6635,0),""))</f>
        <v/>
      </c>
      <c r="AH4882" s="15" t="str">
        <f t="shared" si="2"/>
        <v/>
      </c>
      <c r="AI4882" s="17" t="str">
        <f>IF(AG4882="","",INDEX('Quitados DUPP'!$G$1:$G$6635,AG4882))</f>
        <v/>
      </c>
      <c r="AJ4882" s="17" t="str">
        <f t="shared" si="3"/>
        <v/>
      </c>
    </row>
    <row r="4883" spans="31:36">
      <c r="AE4883" s="15" t="str">
        <f t="shared" si="0"/>
        <v/>
      </c>
      <c r="AF4883" s="15" t="str">
        <f t="shared" si="1"/>
        <v/>
      </c>
      <c r="AG4883" s="15" t="str">
        <f>IF(OR(AF4883="",AF4883="ERRO_CHAVE"),"",IFERROR(MATCH(AF4883,'Quitados DUPP'!$U$1:$U$6635,0),""))</f>
        <v/>
      </c>
      <c r="AH4883" s="15" t="str">
        <f t="shared" si="2"/>
        <v/>
      </c>
      <c r="AI4883" s="17" t="str">
        <f>IF(AG4883="","",INDEX('Quitados DUPP'!$G$1:$G$6635,AG4883))</f>
        <v/>
      </c>
      <c r="AJ4883" s="17" t="str">
        <f t="shared" si="3"/>
        <v/>
      </c>
    </row>
    <row r="4884" spans="31:36">
      <c r="AE4884" s="15" t="str">
        <f t="shared" si="0"/>
        <v/>
      </c>
      <c r="AF4884" s="15" t="str">
        <f t="shared" si="1"/>
        <v/>
      </c>
      <c r="AG4884" s="15" t="str">
        <f>IF(OR(AF4884="",AF4884="ERRO_CHAVE"),"",IFERROR(MATCH(AF4884,'Quitados DUPP'!$U$1:$U$6635,0),""))</f>
        <v/>
      </c>
      <c r="AH4884" s="15" t="str">
        <f t="shared" si="2"/>
        <v/>
      </c>
      <c r="AI4884" s="17" t="str">
        <f>IF(AG4884="","",INDEX('Quitados DUPP'!$G$1:$G$6635,AG4884))</f>
        <v/>
      </c>
      <c r="AJ4884" s="17" t="str">
        <f t="shared" si="3"/>
        <v/>
      </c>
    </row>
    <row r="4885" spans="31:36">
      <c r="AE4885" s="15" t="str">
        <f t="shared" si="0"/>
        <v/>
      </c>
      <c r="AF4885" s="15" t="str">
        <f t="shared" si="1"/>
        <v/>
      </c>
      <c r="AG4885" s="15" t="str">
        <f>IF(OR(AF4885="",AF4885="ERRO_CHAVE"),"",IFERROR(MATCH(AF4885,'Quitados DUPP'!$U$1:$U$6635,0),""))</f>
        <v/>
      </c>
      <c r="AH4885" s="15" t="str">
        <f t="shared" si="2"/>
        <v/>
      </c>
      <c r="AI4885" s="17" t="str">
        <f>IF(AG4885="","",INDEX('Quitados DUPP'!$G$1:$G$6635,AG4885))</f>
        <v/>
      </c>
      <c r="AJ4885" s="17" t="str">
        <f t="shared" si="3"/>
        <v/>
      </c>
    </row>
    <row r="4886" spans="31:36">
      <c r="AE4886" s="15" t="str">
        <f t="shared" si="0"/>
        <v/>
      </c>
      <c r="AF4886" s="15" t="str">
        <f t="shared" si="1"/>
        <v/>
      </c>
      <c r="AG4886" s="15" t="str">
        <f>IF(OR(AF4886="",AF4886="ERRO_CHAVE"),"",IFERROR(MATCH(AF4886,'Quitados DUPP'!$U$1:$U$6635,0),""))</f>
        <v/>
      </c>
      <c r="AH4886" s="15" t="str">
        <f t="shared" si="2"/>
        <v/>
      </c>
      <c r="AI4886" s="17" t="str">
        <f>IF(AG4886="","",INDEX('Quitados DUPP'!$G$1:$G$6635,AG4886))</f>
        <v/>
      </c>
      <c r="AJ4886" s="17" t="str">
        <f t="shared" si="3"/>
        <v/>
      </c>
    </row>
    <row r="4887" spans="31:36">
      <c r="AE4887" s="15" t="str">
        <f t="shared" si="0"/>
        <v/>
      </c>
      <c r="AF4887" s="15" t="str">
        <f t="shared" si="1"/>
        <v/>
      </c>
      <c r="AG4887" s="15" t="str">
        <f>IF(OR(AF4887="",AF4887="ERRO_CHAVE"),"",IFERROR(MATCH(AF4887,'Quitados DUPP'!$U$1:$U$6635,0),""))</f>
        <v/>
      </c>
      <c r="AH4887" s="15" t="str">
        <f t="shared" si="2"/>
        <v/>
      </c>
      <c r="AI4887" s="17" t="str">
        <f>IF(AG4887="","",INDEX('Quitados DUPP'!$G$1:$G$6635,AG4887))</f>
        <v/>
      </c>
      <c r="AJ4887" s="17" t="str">
        <f t="shared" si="3"/>
        <v/>
      </c>
    </row>
    <row r="4888" spans="31:36">
      <c r="AE4888" s="15" t="str">
        <f t="shared" si="0"/>
        <v/>
      </c>
      <c r="AF4888" s="15" t="str">
        <f t="shared" si="1"/>
        <v/>
      </c>
      <c r="AG4888" s="15" t="str">
        <f>IF(OR(AF4888="",AF4888="ERRO_CHAVE"),"",IFERROR(MATCH(AF4888,'Quitados DUPP'!$U$1:$U$6635,0),""))</f>
        <v/>
      </c>
      <c r="AH4888" s="15" t="str">
        <f t="shared" si="2"/>
        <v/>
      </c>
      <c r="AI4888" s="17" t="str">
        <f>IF(AG4888="","",INDEX('Quitados DUPP'!$G$1:$G$6635,AG4888))</f>
        <v/>
      </c>
      <c r="AJ4888" s="17" t="str">
        <f t="shared" si="3"/>
        <v/>
      </c>
    </row>
    <row r="4889" spans="31:36">
      <c r="AE4889" s="15" t="str">
        <f t="shared" si="0"/>
        <v/>
      </c>
      <c r="AF4889" s="15" t="str">
        <f t="shared" si="1"/>
        <v/>
      </c>
      <c r="AG4889" s="15" t="str">
        <f>IF(OR(AF4889="",AF4889="ERRO_CHAVE"),"",IFERROR(MATCH(AF4889,'Quitados DUPP'!$U$1:$U$6635,0),""))</f>
        <v/>
      </c>
      <c r="AH4889" s="15" t="str">
        <f t="shared" si="2"/>
        <v/>
      </c>
      <c r="AI4889" s="17" t="str">
        <f>IF(AG4889="","",INDEX('Quitados DUPP'!$G$1:$G$6635,AG4889))</f>
        <v/>
      </c>
      <c r="AJ4889" s="17" t="str">
        <f t="shared" si="3"/>
        <v/>
      </c>
    </row>
    <row r="4890" spans="31:36">
      <c r="AE4890" s="15" t="str">
        <f t="shared" si="0"/>
        <v/>
      </c>
      <c r="AF4890" s="15" t="str">
        <f t="shared" si="1"/>
        <v/>
      </c>
      <c r="AG4890" s="15" t="str">
        <f>IF(OR(AF4890="",AF4890="ERRO_CHAVE"),"",IFERROR(MATCH(AF4890,'Quitados DUPP'!$U$1:$U$6635,0),""))</f>
        <v/>
      </c>
      <c r="AH4890" s="15" t="str">
        <f t="shared" si="2"/>
        <v/>
      </c>
      <c r="AI4890" s="17" t="str">
        <f>IF(AG4890="","",INDEX('Quitados DUPP'!$G$1:$G$6635,AG4890))</f>
        <v/>
      </c>
      <c r="AJ4890" s="17" t="str">
        <f t="shared" si="3"/>
        <v/>
      </c>
    </row>
    <row r="4891" spans="31:36">
      <c r="AE4891" s="15" t="str">
        <f t="shared" si="0"/>
        <v/>
      </c>
      <c r="AF4891" s="15" t="str">
        <f t="shared" si="1"/>
        <v/>
      </c>
      <c r="AG4891" s="15" t="str">
        <f>IF(OR(AF4891="",AF4891="ERRO_CHAVE"),"",IFERROR(MATCH(AF4891,'Quitados DUPP'!$U$1:$U$6635,0),""))</f>
        <v/>
      </c>
      <c r="AH4891" s="15" t="str">
        <f t="shared" si="2"/>
        <v/>
      </c>
      <c r="AI4891" s="17" t="str">
        <f>IF(AG4891="","",INDEX('Quitados DUPP'!$G$1:$G$6635,AG4891))</f>
        <v/>
      </c>
      <c r="AJ4891" s="17" t="str">
        <f t="shared" si="3"/>
        <v/>
      </c>
    </row>
    <row r="4892" spans="31:36">
      <c r="AE4892" s="15" t="str">
        <f t="shared" si="0"/>
        <v/>
      </c>
      <c r="AF4892" s="15" t="str">
        <f t="shared" si="1"/>
        <v/>
      </c>
      <c r="AG4892" s="15" t="str">
        <f>IF(OR(AF4892="",AF4892="ERRO_CHAVE"),"",IFERROR(MATCH(AF4892,'Quitados DUPP'!$U$1:$U$6635,0),""))</f>
        <v/>
      </c>
      <c r="AH4892" s="15" t="str">
        <f t="shared" si="2"/>
        <v/>
      </c>
      <c r="AI4892" s="17" t="str">
        <f>IF(AG4892="","",INDEX('Quitados DUPP'!$G$1:$G$6635,AG4892))</f>
        <v/>
      </c>
      <c r="AJ4892" s="17" t="str">
        <f t="shared" si="3"/>
        <v/>
      </c>
    </row>
    <row r="4893" spans="31:36">
      <c r="AE4893" s="15" t="str">
        <f t="shared" si="0"/>
        <v/>
      </c>
      <c r="AF4893" s="15" t="str">
        <f t="shared" si="1"/>
        <v/>
      </c>
      <c r="AG4893" s="15" t="str">
        <f>IF(OR(AF4893="",AF4893="ERRO_CHAVE"),"",IFERROR(MATCH(AF4893,'Quitados DUPP'!$U$1:$U$6635,0),""))</f>
        <v/>
      </c>
      <c r="AH4893" s="15" t="str">
        <f t="shared" si="2"/>
        <v/>
      </c>
      <c r="AI4893" s="17" t="str">
        <f>IF(AG4893="","",INDEX('Quitados DUPP'!$G$1:$G$6635,AG4893))</f>
        <v/>
      </c>
      <c r="AJ4893" s="17" t="str">
        <f t="shared" si="3"/>
        <v/>
      </c>
    </row>
    <row r="4894" spans="31:36">
      <c r="AE4894" s="15" t="str">
        <f t="shared" si="0"/>
        <v/>
      </c>
      <c r="AF4894" s="15" t="str">
        <f t="shared" si="1"/>
        <v/>
      </c>
      <c r="AG4894" s="15" t="str">
        <f>IF(OR(AF4894="",AF4894="ERRO_CHAVE"),"",IFERROR(MATCH(AF4894,'Quitados DUPP'!$U$1:$U$6635,0),""))</f>
        <v/>
      </c>
      <c r="AH4894" s="15" t="str">
        <f t="shared" si="2"/>
        <v/>
      </c>
      <c r="AI4894" s="17" t="str">
        <f>IF(AG4894="","",INDEX('Quitados DUPP'!$G$1:$G$6635,AG4894))</f>
        <v/>
      </c>
      <c r="AJ4894" s="17" t="str">
        <f t="shared" si="3"/>
        <v/>
      </c>
    </row>
    <row r="4895" spans="31:36">
      <c r="AE4895" s="15" t="str">
        <f t="shared" si="0"/>
        <v/>
      </c>
      <c r="AF4895" s="15" t="str">
        <f t="shared" si="1"/>
        <v/>
      </c>
      <c r="AG4895" s="15" t="str">
        <f>IF(OR(AF4895="",AF4895="ERRO_CHAVE"),"",IFERROR(MATCH(AF4895,'Quitados DUPP'!$U$1:$U$6635,0),""))</f>
        <v/>
      </c>
      <c r="AH4895" s="15" t="str">
        <f t="shared" si="2"/>
        <v/>
      </c>
      <c r="AI4895" s="17" t="str">
        <f>IF(AG4895="","",INDEX('Quitados DUPP'!$G$1:$G$6635,AG4895))</f>
        <v/>
      </c>
      <c r="AJ4895" s="17" t="str">
        <f t="shared" si="3"/>
        <v/>
      </c>
    </row>
    <row r="4896" spans="31:36">
      <c r="AE4896" s="15" t="str">
        <f t="shared" si="0"/>
        <v/>
      </c>
      <c r="AF4896" s="15" t="str">
        <f t="shared" si="1"/>
        <v/>
      </c>
      <c r="AG4896" s="15" t="str">
        <f>IF(OR(AF4896="",AF4896="ERRO_CHAVE"),"",IFERROR(MATCH(AF4896,'Quitados DUPP'!$U$1:$U$6635,0),""))</f>
        <v/>
      </c>
      <c r="AH4896" s="15" t="str">
        <f t="shared" si="2"/>
        <v/>
      </c>
      <c r="AI4896" s="17" t="str">
        <f>IF(AG4896="","",INDEX('Quitados DUPP'!$G$1:$G$6635,AG4896))</f>
        <v/>
      </c>
      <c r="AJ4896" s="17" t="str">
        <f t="shared" si="3"/>
        <v/>
      </c>
    </row>
    <row r="4897" spans="31:36">
      <c r="AE4897" s="15" t="str">
        <f t="shared" si="0"/>
        <v/>
      </c>
      <c r="AF4897" s="15" t="str">
        <f t="shared" si="1"/>
        <v/>
      </c>
      <c r="AG4897" s="15" t="str">
        <f>IF(OR(AF4897="",AF4897="ERRO_CHAVE"),"",IFERROR(MATCH(AF4897,'Quitados DUPP'!$U$1:$U$6635,0),""))</f>
        <v/>
      </c>
      <c r="AH4897" s="15" t="str">
        <f t="shared" si="2"/>
        <v/>
      </c>
      <c r="AI4897" s="17" t="str">
        <f>IF(AG4897="","",INDEX('Quitados DUPP'!$G$1:$G$6635,AG4897))</f>
        <v/>
      </c>
      <c r="AJ4897" s="17" t="str">
        <f t="shared" si="3"/>
        <v/>
      </c>
    </row>
    <row r="4898" spans="31:36">
      <c r="AE4898" s="15" t="str">
        <f t="shared" si="0"/>
        <v/>
      </c>
      <c r="AF4898" s="15" t="str">
        <f t="shared" si="1"/>
        <v/>
      </c>
      <c r="AG4898" s="15" t="str">
        <f>IF(OR(AF4898="",AF4898="ERRO_CHAVE"),"",IFERROR(MATCH(AF4898,'Quitados DUPP'!$U$1:$U$6635,0),""))</f>
        <v/>
      </c>
      <c r="AH4898" s="15" t="str">
        <f t="shared" si="2"/>
        <v/>
      </c>
      <c r="AI4898" s="17" t="str">
        <f>IF(AG4898="","",INDEX('Quitados DUPP'!$G$1:$G$6635,AG4898))</f>
        <v/>
      </c>
      <c r="AJ4898" s="17" t="str">
        <f t="shared" si="3"/>
        <v/>
      </c>
    </row>
    <row r="4899" spans="31:36">
      <c r="AE4899" s="15" t="str">
        <f t="shared" si="0"/>
        <v/>
      </c>
      <c r="AF4899" s="15" t="str">
        <f t="shared" si="1"/>
        <v/>
      </c>
      <c r="AG4899" s="15" t="str">
        <f>IF(OR(AF4899="",AF4899="ERRO_CHAVE"),"",IFERROR(MATCH(AF4899,'Quitados DUPP'!$U$1:$U$6635,0),""))</f>
        <v/>
      </c>
      <c r="AH4899" s="15" t="str">
        <f t="shared" si="2"/>
        <v/>
      </c>
      <c r="AI4899" s="17" t="str">
        <f>IF(AG4899="","",INDEX('Quitados DUPP'!$G$1:$G$6635,AG4899))</f>
        <v/>
      </c>
      <c r="AJ4899" s="17" t="str">
        <f t="shared" si="3"/>
        <v/>
      </c>
    </row>
    <row r="4900" spans="31:36">
      <c r="AE4900" s="15" t="str">
        <f t="shared" si="0"/>
        <v/>
      </c>
      <c r="AF4900" s="15" t="str">
        <f t="shared" si="1"/>
        <v/>
      </c>
      <c r="AG4900" s="15" t="str">
        <f>IF(OR(AF4900="",AF4900="ERRO_CHAVE"),"",IFERROR(MATCH(AF4900,'Quitados DUPP'!$U$1:$U$6635,0),""))</f>
        <v/>
      </c>
      <c r="AH4900" s="15" t="str">
        <f t="shared" si="2"/>
        <v/>
      </c>
      <c r="AI4900" s="17" t="str">
        <f>IF(AG4900="","",INDEX('Quitados DUPP'!$G$1:$G$6635,AG4900))</f>
        <v/>
      </c>
      <c r="AJ4900" s="17" t="str">
        <f t="shared" si="3"/>
        <v/>
      </c>
    </row>
    <row r="4901" spans="31:36">
      <c r="AE4901" s="15" t="str">
        <f t="shared" si="0"/>
        <v/>
      </c>
      <c r="AF4901" s="15" t="str">
        <f t="shared" si="1"/>
        <v/>
      </c>
      <c r="AG4901" s="15" t="str">
        <f>IF(OR(AF4901="",AF4901="ERRO_CHAVE"),"",IFERROR(MATCH(AF4901,'Quitados DUPP'!$U$1:$U$6635,0),""))</f>
        <v/>
      </c>
      <c r="AH4901" s="15" t="str">
        <f t="shared" si="2"/>
        <v/>
      </c>
      <c r="AI4901" s="17" t="str">
        <f>IF(AG4901="","",INDEX('Quitados DUPP'!$G$1:$G$6635,AG4901))</f>
        <v/>
      </c>
      <c r="AJ4901" s="17" t="str">
        <f t="shared" si="3"/>
        <v/>
      </c>
    </row>
    <row r="4902" spans="31:36">
      <c r="AE4902" s="15" t="str">
        <f t="shared" si="0"/>
        <v/>
      </c>
      <c r="AF4902" s="15" t="str">
        <f t="shared" si="1"/>
        <v/>
      </c>
      <c r="AG4902" s="15" t="str">
        <f>IF(OR(AF4902="",AF4902="ERRO_CHAVE"),"",IFERROR(MATCH(AF4902,'Quitados DUPP'!$U$1:$U$6635,0),""))</f>
        <v/>
      </c>
      <c r="AH4902" s="15" t="str">
        <f t="shared" si="2"/>
        <v/>
      </c>
      <c r="AI4902" s="17" t="str">
        <f>IF(AG4902="","",INDEX('Quitados DUPP'!$G$1:$G$6635,AG4902))</f>
        <v/>
      </c>
      <c r="AJ4902" s="17" t="str">
        <f t="shared" si="3"/>
        <v/>
      </c>
    </row>
    <row r="4903" spans="31:36">
      <c r="AE4903" s="15" t="str">
        <f t="shared" si="0"/>
        <v/>
      </c>
      <c r="AF4903" s="15" t="str">
        <f t="shared" si="1"/>
        <v/>
      </c>
      <c r="AG4903" s="15" t="str">
        <f>IF(OR(AF4903="",AF4903="ERRO_CHAVE"),"",IFERROR(MATCH(AF4903,'Quitados DUPP'!$U$1:$U$6635,0),""))</f>
        <v/>
      </c>
      <c r="AH4903" s="15" t="str">
        <f t="shared" si="2"/>
        <v/>
      </c>
      <c r="AI4903" s="17" t="str">
        <f>IF(AG4903="","",INDEX('Quitados DUPP'!$G$1:$G$6635,AG4903))</f>
        <v/>
      </c>
      <c r="AJ4903" s="17" t="str">
        <f t="shared" si="3"/>
        <v/>
      </c>
    </row>
    <row r="4904" spans="31:36">
      <c r="AE4904" s="15" t="str">
        <f t="shared" si="0"/>
        <v/>
      </c>
      <c r="AF4904" s="15" t="str">
        <f t="shared" si="1"/>
        <v/>
      </c>
      <c r="AG4904" s="15" t="str">
        <f>IF(OR(AF4904="",AF4904="ERRO_CHAVE"),"",IFERROR(MATCH(AF4904,'Quitados DUPP'!$U$1:$U$6635,0),""))</f>
        <v/>
      </c>
      <c r="AH4904" s="15" t="str">
        <f t="shared" si="2"/>
        <v/>
      </c>
      <c r="AI4904" s="17" t="str">
        <f>IF(AG4904="","",INDEX('Quitados DUPP'!$G$1:$G$6635,AG4904))</f>
        <v/>
      </c>
      <c r="AJ4904" s="17" t="str">
        <f t="shared" si="3"/>
        <v/>
      </c>
    </row>
    <row r="4905" spans="31:36">
      <c r="AE4905" s="15" t="str">
        <f t="shared" si="0"/>
        <v/>
      </c>
      <c r="AF4905" s="15" t="str">
        <f t="shared" si="1"/>
        <v/>
      </c>
      <c r="AG4905" s="15" t="str">
        <f>IF(OR(AF4905="",AF4905="ERRO_CHAVE"),"",IFERROR(MATCH(AF4905,'Quitados DUPP'!$U$1:$U$6635,0),""))</f>
        <v/>
      </c>
      <c r="AH4905" s="15" t="str">
        <f t="shared" si="2"/>
        <v/>
      </c>
      <c r="AI4905" s="17" t="str">
        <f>IF(AG4905="","",INDEX('Quitados DUPP'!$G$1:$G$6635,AG4905))</f>
        <v/>
      </c>
      <c r="AJ4905" s="17" t="str">
        <f t="shared" si="3"/>
        <v/>
      </c>
    </row>
    <row r="4906" spans="31:36">
      <c r="AE4906" s="15" t="str">
        <f t="shared" si="0"/>
        <v/>
      </c>
      <c r="AF4906" s="15" t="str">
        <f t="shared" si="1"/>
        <v/>
      </c>
      <c r="AG4906" s="15" t="str">
        <f>IF(OR(AF4906="",AF4906="ERRO_CHAVE"),"",IFERROR(MATCH(AF4906,'Quitados DUPP'!$U$1:$U$6635,0),""))</f>
        <v/>
      </c>
      <c r="AH4906" s="15" t="str">
        <f t="shared" si="2"/>
        <v/>
      </c>
      <c r="AI4906" s="17" t="str">
        <f>IF(AG4906="","",INDEX('Quitados DUPP'!$G$1:$G$6635,AG4906))</f>
        <v/>
      </c>
      <c r="AJ4906" s="17" t="str">
        <f t="shared" si="3"/>
        <v/>
      </c>
    </row>
    <row r="4907" spans="31:36">
      <c r="AE4907" s="15" t="str">
        <f t="shared" si="0"/>
        <v/>
      </c>
      <c r="AF4907" s="15" t="str">
        <f t="shared" si="1"/>
        <v/>
      </c>
      <c r="AG4907" s="15" t="str">
        <f>IF(OR(AF4907="",AF4907="ERRO_CHAVE"),"",IFERROR(MATCH(AF4907,'Quitados DUPP'!$U$1:$U$6635,0),""))</f>
        <v/>
      </c>
      <c r="AH4907" s="15" t="str">
        <f t="shared" si="2"/>
        <v/>
      </c>
      <c r="AI4907" s="17" t="str">
        <f>IF(AG4907="","",INDEX('Quitados DUPP'!$G$1:$G$6635,AG4907))</f>
        <v/>
      </c>
      <c r="AJ4907" s="17" t="str">
        <f t="shared" si="3"/>
        <v/>
      </c>
    </row>
    <row r="4908" spans="31:36">
      <c r="AE4908" s="15" t="str">
        <f t="shared" si="0"/>
        <v/>
      </c>
      <c r="AF4908" s="15" t="str">
        <f t="shared" si="1"/>
        <v/>
      </c>
      <c r="AG4908" s="15" t="str">
        <f>IF(OR(AF4908="",AF4908="ERRO_CHAVE"),"",IFERROR(MATCH(AF4908,'Quitados DUPP'!$U$1:$U$6635,0),""))</f>
        <v/>
      </c>
      <c r="AH4908" s="15" t="str">
        <f t="shared" si="2"/>
        <v/>
      </c>
      <c r="AI4908" s="17" t="str">
        <f>IF(AG4908="","",INDEX('Quitados DUPP'!$G$1:$G$6635,AG4908))</f>
        <v/>
      </c>
      <c r="AJ4908" s="17" t="str">
        <f t="shared" si="3"/>
        <v/>
      </c>
    </row>
    <row r="4909" spans="31:36">
      <c r="AE4909" s="15" t="str">
        <f t="shared" si="0"/>
        <v/>
      </c>
      <c r="AF4909" s="15" t="str">
        <f t="shared" si="1"/>
        <v/>
      </c>
      <c r="AG4909" s="15" t="str">
        <f>IF(OR(AF4909="",AF4909="ERRO_CHAVE"),"",IFERROR(MATCH(AF4909,'Quitados DUPP'!$U$1:$U$6635,0),""))</f>
        <v/>
      </c>
      <c r="AH4909" s="15" t="str">
        <f t="shared" si="2"/>
        <v/>
      </c>
      <c r="AI4909" s="17" t="str">
        <f>IF(AG4909="","",INDEX('Quitados DUPP'!$G$1:$G$6635,AG4909))</f>
        <v/>
      </c>
      <c r="AJ4909" s="17" t="str">
        <f t="shared" si="3"/>
        <v/>
      </c>
    </row>
    <row r="4910" spans="31:36">
      <c r="AE4910" s="15" t="str">
        <f t="shared" si="0"/>
        <v/>
      </c>
      <c r="AF4910" s="15" t="str">
        <f t="shared" si="1"/>
        <v/>
      </c>
      <c r="AG4910" s="15" t="str">
        <f>IF(OR(AF4910="",AF4910="ERRO_CHAVE"),"",IFERROR(MATCH(AF4910,'Quitados DUPP'!$U$1:$U$6635,0),""))</f>
        <v/>
      </c>
      <c r="AH4910" s="15" t="str">
        <f t="shared" si="2"/>
        <v/>
      </c>
      <c r="AI4910" s="17" t="str">
        <f>IF(AG4910="","",INDEX('Quitados DUPP'!$G$1:$G$6635,AG4910))</f>
        <v/>
      </c>
      <c r="AJ4910" s="17" t="str">
        <f t="shared" si="3"/>
        <v/>
      </c>
    </row>
    <row r="4911" spans="31:36">
      <c r="AE4911" s="15" t="str">
        <f t="shared" si="0"/>
        <v/>
      </c>
      <c r="AF4911" s="15" t="str">
        <f t="shared" si="1"/>
        <v/>
      </c>
      <c r="AG4911" s="15" t="str">
        <f>IF(OR(AF4911="",AF4911="ERRO_CHAVE"),"",IFERROR(MATCH(AF4911,'Quitados DUPP'!$U$1:$U$6635,0),""))</f>
        <v/>
      </c>
      <c r="AH4911" s="15" t="str">
        <f t="shared" si="2"/>
        <v/>
      </c>
      <c r="AI4911" s="17" t="str">
        <f>IF(AG4911="","",INDEX('Quitados DUPP'!$G$1:$G$6635,AG4911))</f>
        <v/>
      </c>
      <c r="AJ4911" s="17" t="str">
        <f t="shared" si="3"/>
        <v/>
      </c>
    </row>
    <row r="4912" spans="31:36">
      <c r="AE4912" s="15" t="str">
        <f t="shared" si="0"/>
        <v/>
      </c>
      <c r="AF4912" s="15" t="str">
        <f t="shared" si="1"/>
        <v/>
      </c>
      <c r="AG4912" s="15" t="str">
        <f>IF(OR(AF4912="",AF4912="ERRO_CHAVE"),"",IFERROR(MATCH(AF4912,'Quitados DUPP'!$U$1:$U$6635,0),""))</f>
        <v/>
      </c>
      <c r="AH4912" s="15" t="str">
        <f t="shared" si="2"/>
        <v/>
      </c>
      <c r="AI4912" s="17" t="str">
        <f>IF(AG4912="","",INDEX('Quitados DUPP'!$G$1:$G$6635,AG4912))</f>
        <v/>
      </c>
      <c r="AJ4912" s="17" t="str">
        <f t="shared" si="3"/>
        <v/>
      </c>
    </row>
    <row r="4913" spans="31:36">
      <c r="AE4913" s="15" t="str">
        <f t="shared" si="0"/>
        <v/>
      </c>
      <c r="AF4913" s="15" t="str">
        <f t="shared" si="1"/>
        <v/>
      </c>
      <c r="AG4913" s="15" t="str">
        <f>IF(OR(AF4913="",AF4913="ERRO_CHAVE"),"",IFERROR(MATCH(AF4913,'Quitados DUPP'!$U$1:$U$6635,0),""))</f>
        <v/>
      </c>
      <c r="AH4913" s="15" t="str">
        <f t="shared" si="2"/>
        <v/>
      </c>
      <c r="AI4913" s="17" t="str">
        <f>IF(AG4913="","",INDEX('Quitados DUPP'!$G$1:$G$6635,AG4913))</f>
        <v/>
      </c>
      <c r="AJ4913" s="17" t="str">
        <f t="shared" si="3"/>
        <v/>
      </c>
    </row>
    <row r="4914" spans="31:36">
      <c r="AE4914" s="15" t="str">
        <f t="shared" si="0"/>
        <v/>
      </c>
      <c r="AF4914" s="15" t="str">
        <f t="shared" si="1"/>
        <v/>
      </c>
      <c r="AG4914" s="15" t="str">
        <f>IF(OR(AF4914="",AF4914="ERRO_CHAVE"),"",IFERROR(MATCH(AF4914,'Quitados DUPP'!$U$1:$U$6635,0),""))</f>
        <v/>
      </c>
      <c r="AH4914" s="15" t="str">
        <f t="shared" si="2"/>
        <v/>
      </c>
      <c r="AI4914" s="17" t="str">
        <f>IF(AG4914="","",INDEX('Quitados DUPP'!$G$1:$G$6635,AG4914))</f>
        <v/>
      </c>
      <c r="AJ4914" s="17" t="str">
        <f t="shared" si="3"/>
        <v/>
      </c>
    </row>
    <row r="4915" spans="31:36">
      <c r="AE4915" s="15" t="str">
        <f t="shared" si="0"/>
        <v/>
      </c>
      <c r="AF4915" s="15" t="str">
        <f t="shared" si="1"/>
        <v/>
      </c>
      <c r="AG4915" s="15" t="str">
        <f>IF(OR(AF4915="",AF4915="ERRO_CHAVE"),"",IFERROR(MATCH(AF4915,'Quitados DUPP'!$U$1:$U$6635,0),""))</f>
        <v/>
      </c>
      <c r="AH4915" s="15" t="str">
        <f t="shared" si="2"/>
        <v/>
      </c>
      <c r="AI4915" s="17" t="str">
        <f>IF(AG4915="","",INDEX('Quitados DUPP'!$G$1:$G$6635,AG4915))</f>
        <v/>
      </c>
      <c r="AJ4915" s="17" t="str">
        <f t="shared" si="3"/>
        <v/>
      </c>
    </row>
    <row r="4916" spans="31:36">
      <c r="AE4916" s="15" t="str">
        <f t="shared" si="0"/>
        <v/>
      </c>
      <c r="AF4916" s="15" t="str">
        <f t="shared" si="1"/>
        <v/>
      </c>
      <c r="AG4916" s="15" t="str">
        <f>IF(OR(AF4916="",AF4916="ERRO_CHAVE"),"",IFERROR(MATCH(AF4916,'Quitados DUPP'!$U$1:$U$6635,0),""))</f>
        <v/>
      </c>
      <c r="AH4916" s="15" t="str">
        <f t="shared" si="2"/>
        <v/>
      </c>
      <c r="AI4916" s="17" t="str">
        <f>IF(AG4916="","",INDEX('Quitados DUPP'!$G$1:$G$6635,AG4916))</f>
        <v/>
      </c>
      <c r="AJ4916" s="17" t="str">
        <f t="shared" si="3"/>
        <v/>
      </c>
    </row>
    <row r="4917" spans="31:36">
      <c r="AE4917" s="15" t="str">
        <f t="shared" si="0"/>
        <v/>
      </c>
      <c r="AF4917" s="15" t="str">
        <f t="shared" si="1"/>
        <v/>
      </c>
      <c r="AG4917" s="15" t="str">
        <f>IF(OR(AF4917="",AF4917="ERRO_CHAVE"),"",IFERROR(MATCH(AF4917,'Quitados DUPP'!$U$1:$U$6635,0),""))</f>
        <v/>
      </c>
      <c r="AH4917" s="15" t="str">
        <f t="shared" si="2"/>
        <v/>
      </c>
      <c r="AI4917" s="17" t="str">
        <f>IF(AG4917="","",INDEX('Quitados DUPP'!$G$1:$G$6635,AG4917))</f>
        <v/>
      </c>
      <c r="AJ4917" s="17" t="str">
        <f t="shared" si="3"/>
        <v/>
      </c>
    </row>
    <row r="4918" spans="31:36">
      <c r="AE4918" s="15" t="str">
        <f t="shared" si="0"/>
        <v/>
      </c>
      <c r="AF4918" s="15" t="str">
        <f t="shared" si="1"/>
        <v/>
      </c>
      <c r="AG4918" s="15" t="str">
        <f>IF(OR(AF4918="",AF4918="ERRO_CHAVE"),"",IFERROR(MATCH(AF4918,'Quitados DUPP'!$U$1:$U$6635,0),""))</f>
        <v/>
      </c>
      <c r="AH4918" s="15" t="str">
        <f t="shared" si="2"/>
        <v/>
      </c>
      <c r="AI4918" s="17" t="str">
        <f>IF(AG4918="","",INDEX('Quitados DUPP'!$G$1:$G$6635,AG4918))</f>
        <v/>
      </c>
      <c r="AJ4918" s="17" t="str">
        <f t="shared" si="3"/>
        <v/>
      </c>
    </row>
    <row r="4919" spans="31:36">
      <c r="AE4919" s="15" t="str">
        <f t="shared" si="0"/>
        <v/>
      </c>
      <c r="AF4919" s="15" t="str">
        <f t="shared" si="1"/>
        <v/>
      </c>
      <c r="AG4919" s="15" t="str">
        <f>IF(OR(AF4919="",AF4919="ERRO_CHAVE"),"",IFERROR(MATCH(AF4919,'Quitados DUPP'!$U$1:$U$6635,0),""))</f>
        <v/>
      </c>
      <c r="AH4919" s="15" t="str">
        <f t="shared" si="2"/>
        <v/>
      </c>
      <c r="AI4919" s="17" t="str">
        <f>IF(AG4919="","",INDEX('Quitados DUPP'!$G$1:$G$6635,AG4919))</f>
        <v/>
      </c>
      <c r="AJ4919" s="17" t="str">
        <f t="shared" si="3"/>
        <v/>
      </c>
    </row>
    <row r="4920" spans="31:36">
      <c r="AE4920" s="15" t="str">
        <f t="shared" si="0"/>
        <v/>
      </c>
      <c r="AF4920" s="15" t="str">
        <f t="shared" si="1"/>
        <v/>
      </c>
      <c r="AG4920" s="15" t="str">
        <f>IF(OR(AF4920="",AF4920="ERRO_CHAVE"),"",IFERROR(MATCH(AF4920,'Quitados DUPP'!$U$1:$U$6635,0),""))</f>
        <v/>
      </c>
      <c r="AH4920" s="15" t="str">
        <f t="shared" si="2"/>
        <v/>
      </c>
      <c r="AI4920" s="17" t="str">
        <f>IF(AG4920="","",INDEX('Quitados DUPP'!$G$1:$G$6635,AG4920))</f>
        <v/>
      </c>
      <c r="AJ4920" s="17" t="str">
        <f t="shared" si="3"/>
        <v/>
      </c>
    </row>
    <row r="4921" spans="31:36">
      <c r="AE4921" s="15" t="str">
        <f t="shared" si="0"/>
        <v/>
      </c>
      <c r="AF4921" s="15" t="str">
        <f t="shared" si="1"/>
        <v/>
      </c>
      <c r="AG4921" s="15" t="str">
        <f>IF(OR(AF4921="",AF4921="ERRO_CHAVE"),"",IFERROR(MATCH(AF4921,'Quitados DUPP'!$U$1:$U$6635,0),""))</f>
        <v/>
      </c>
      <c r="AH4921" s="15" t="str">
        <f t="shared" si="2"/>
        <v/>
      </c>
      <c r="AI4921" s="17" t="str">
        <f>IF(AG4921="","",INDEX('Quitados DUPP'!$G$1:$G$6635,AG4921))</f>
        <v/>
      </c>
      <c r="AJ4921" s="17" t="str">
        <f t="shared" si="3"/>
        <v/>
      </c>
    </row>
    <row r="4922" spans="31:36">
      <c r="AE4922" s="15" t="str">
        <f t="shared" si="0"/>
        <v/>
      </c>
      <c r="AF4922" s="15" t="str">
        <f t="shared" si="1"/>
        <v/>
      </c>
      <c r="AG4922" s="15" t="str">
        <f>IF(OR(AF4922="",AF4922="ERRO_CHAVE"),"",IFERROR(MATCH(AF4922,'Quitados DUPP'!$U$1:$U$6635,0),""))</f>
        <v/>
      </c>
      <c r="AH4922" s="15" t="str">
        <f t="shared" si="2"/>
        <v/>
      </c>
      <c r="AI4922" s="17" t="str">
        <f>IF(AG4922="","",INDEX('Quitados DUPP'!$G$1:$G$6635,AG4922))</f>
        <v/>
      </c>
      <c r="AJ4922" s="17" t="str">
        <f t="shared" si="3"/>
        <v/>
      </c>
    </row>
    <row r="4923" spans="31:36">
      <c r="AE4923" s="15" t="str">
        <f t="shared" si="0"/>
        <v/>
      </c>
      <c r="AF4923" s="15" t="str">
        <f t="shared" si="1"/>
        <v/>
      </c>
      <c r="AG4923" s="15" t="str">
        <f>IF(OR(AF4923="",AF4923="ERRO_CHAVE"),"",IFERROR(MATCH(AF4923,'Quitados DUPP'!$U$1:$U$6635,0),""))</f>
        <v/>
      </c>
      <c r="AH4923" s="15" t="str">
        <f t="shared" si="2"/>
        <v/>
      </c>
      <c r="AI4923" s="17" t="str">
        <f>IF(AG4923="","",INDEX('Quitados DUPP'!$G$1:$G$6635,AG4923))</f>
        <v/>
      </c>
      <c r="AJ4923" s="17" t="str">
        <f t="shared" si="3"/>
        <v/>
      </c>
    </row>
    <row r="4924" spans="31:36">
      <c r="AE4924" s="15" t="str">
        <f t="shared" si="0"/>
        <v/>
      </c>
      <c r="AF4924" s="15" t="str">
        <f t="shared" si="1"/>
        <v/>
      </c>
      <c r="AG4924" s="15" t="str">
        <f>IF(OR(AF4924="",AF4924="ERRO_CHAVE"),"",IFERROR(MATCH(AF4924,'Quitados DUPP'!$U$1:$U$6635,0),""))</f>
        <v/>
      </c>
      <c r="AH4924" s="15" t="str">
        <f t="shared" si="2"/>
        <v/>
      </c>
      <c r="AI4924" s="17" t="str">
        <f>IF(AG4924="","",INDEX('Quitados DUPP'!$G$1:$G$6635,AG4924))</f>
        <v/>
      </c>
      <c r="AJ4924" s="17" t="str">
        <f t="shared" si="3"/>
        <v/>
      </c>
    </row>
    <row r="4925" spans="31:36">
      <c r="AE4925" s="15" t="str">
        <f t="shared" si="0"/>
        <v/>
      </c>
      <c r="AF4925" s="15" t="str">
        <f t="shared" si="1"/>
        <v/>
      </c>
      <c r="AG4925" s="15" t="str">
        <f>IF(OR(AF4925="",AF4925="ERRO_CHAVE"),"",IFERROR(MATCH(AF4925,'Quitados DUPP'!$U$1:$U$6635,0),""))</f>
        <v/>
      </c>
      <c r="AH4925" s="15" t="str">
        <f t="shared" si="2"/>
        <v/>
      </c>
      <c r="AI4925" s="17" t="str">
        <f>IF(AG4925="","",INDEX('Quitados DUPP'!$G$1:$G$6635,AG4925))</f>
        <v/>
      </c>
      <c r="AJ4925" s="17" t="str">
        <f t="shared" si="3"/>
        <v/>
      </c>
    </row>
    <row r="4926" spans="31:36">
      <c r="AE4926" s="15" t="str">
        <f t="shared" si="0"/>
        <v/>
      </c>
      <c r="AF4926" s="15" t="str">
        <f t="shared" si="1"/>
        <v/>
      </c>
      <c r="AG4926" s="15" t="str">
        <f>IF(OR(AF4926="",AF4926="ERRO_CHAVE"),"",IFERROR(MATCH(AF4926,'Quitados DUPP'!$U$1:$U$6635,0),""))</f>
        <v/>
      </c>
      <c r="AH4926" s="15" t="str">
        <f t="shared" si="2"/>
        <v/>
      </c>
      <c r="AI4926" s="17" t="str">
        <f>IF(AG4926="","",INDEX('Quitados DUPP'!$G$1:$G$6635,AG4926))</f>
        <v/>
      </c>
      <c r="AJ4926" s="17" t="str">
        <f t="shared" si="3"/>
        <v/>
      </c>
    </row>
    <row r="4927" spans="31:36">
      <c r="AE4927" s="15" t="str">
        <f t="shared" si="0"/>
        <v/>
      </c>
      <c r="AF4927" s="15" t="str">
        <f t="shared" si="1"/>
        <v/>
      </c>
      <c r="AG4927" s="15" t="str">
        <f>IF(OR(AF4927="",AF4927="ERRO_CHAVE"),"",IFERROR(MATCH(AF4927,'Quitados DUPP'!$U$1:$U$6635,0),""))</f>
        <v/>
      </c>
      <c r="AH4927" s="15" t="str">
        <f t="shared" si="2"/>
        <v/>
      </c>
      <c r="AI4927" s="17" t="str">
        <f>IF(AG4927="","",INDEX('Quitados DUPP'!$G$1:$G$6635,AG4927))</f>
        <v/>
      </c>
      <c r="AJ4927" s="17" t="str">
        <f t="shared" si="3"/>
        <v/>
      </c>
    </row>
    <row r="4928" spans="31:36">
      <c r="AE4928" s="15" t="str">
        <f t="shared" si="0"/>
        <v/>
      </c>
      <c r="AF4928" s="15" t="str">
        <f t="shared" si="1"/>
        <v/>
      </c>
      <c r="AG4928" s="15" t="str">
        <f>IF(OR(AF4928="",AF4928="ERRO_CHAVE"),"",IFERROR(MATCH(AF4928,'Quitados DUPP'!$U$1:$U$6635,0),""))</f>
        <v/>
      </c>
      <c r="AH4928" s="15" t="str">
        <f t="shared" si="2"/>
        <v/>
      </c>
      <c r="AI4928" s="17" t="str">
        <f>IF(AG4928="","",INDEX('Quitados DUPP'!$G$1:$G$6635,AG4928))</f>
        <v/>
      </c>
      <c r="AJ4928" s="17" t="str">
        <f t="shared" si="3"/>
        <v/>
      </c>
    </row>
    <row r="4929" spans="31:36">
      <c r="AE4929" s="15" t="str">
        <f t="shared" si="0"/>
        <v/>
      </c>
      <c r="AF4929" s="15" t="str">
        <f t="shared" si="1"/>
        <v/>
      </c>
      <c r="AG4929" s="15" t="str">
        <f>IF(OR(AF4929="",AF4929="ERRO_CHAVE"),"",IFERROR(MATCH(AF4929,'Quitados DUPP'!$U$1:$U$6635,0),""))</f>
        <v/>
      </c>
      <c r="AH4929" s="15" t="str">
        <f t="shared" si="2"/>
        <v/>
      </c>
      <c r="AI4929" s="17" t="str">
        <f>IF(AG4929="","",INDEX('Quitados DUPP'!$G$1:$G$6635,AG4929))</f>
        <v/>
      </c>
      <c r="AJ4929" s="17" t="str">
        <f t="shared" si="3"/>
        <v/>
      </c>
    </row>
    <row r="4930" spans="31:36">
      <c r="AE4930" s="15" t="str">
        <f t="shared" si="0"/>
        <v/>
      </c>
      <c r="AF4930" s="15" t="str">
        <f t="shared" si="1"/>
        <v/>
      </c>
      <c r="AG4930" s="15" t="str">
        <f>IF(OR(AF4930="",AF4930="ERRO_CHAVE"),"",IFERROR(MATCH(AF4930,'Quitados DUPP'!$U$1:$U$6635,0),""))</f>
        <v/>
      </c>
      <c r="AH4930" s="15" t="str">
        <f t="shared" si="2"/>
        <v/>
      </c>
      <c r="AI4930" s="17" t="str">
        <f>IF(AG4930="","",INDEX('Quitados DUPP'!$G$1:$G$6635,AG4930))</f>
        <v/>
      </c>
      <c r="AJ4930" s="17" t="str">
        <f t="shared" si="3"/>
        <v/>
      </c>
    </row>
    <row r="4931" spans="31:36">
      <c r="AE4931" s="15" t="str">
        <f t="shared" si="0"/>
        <v/>
      </c>
      <c r="AF4931" s="15" t="str">
        <f t="shared" si="1"/>
        <v/>
      </c>
      <c r="AG4931" s="15" t="str">
        <f>IF(OR(AF4931="",AF4931="ERRO_CHAVE"),"",IFERROR(MATCH(AF4931,'Quitados DUPP'!$U$1:$U$6635,0),""))</f>
        <v/>
      </c>
      <c r="AH4931" s="15" t="str">
        <f t="shared" si="2"/>
        <v/>
      </c>
      <c r="AI4931" s="17" t="str">
        <f>IF(AG4931="","",INDEX('Quitados DUPP'!$G$1:$G$6635,AG4931))</f>
        <v/>
      </c>
      <c r="AJ4931" s="17" t="str">
        <f t="shared" si="3"/>
        <v/>
      </c>
    </row>
    <row r="4932" spans="31:36">
      <c r="AE4932" s="15" t="str">
        <f t="shared" si="0"/>
        <v/>
      </c>
      <c r="AF4932" s="15" t="str">
        <f t="shared" si="1"/>
        <v/>
      </c>
      <c r="AG4932" s="15" t="str">
        <f>IF(OR(AF4932="",AF4932="ERRO_CHAVE"),"",IFERROR(MATCH(AF4932,'Quitados DUPP'!$U$1:$U$6635,0),""))</f>
        <v/>
      </c>
      <c r="AH4932" s="15" t="str">
        <f t="shared" si="2"/>
        <v/>
      </c>
      <c r="AI4932" s="17" t="str">
        <f>IF(AG4932="","",INDEX('Quitados DUPP'!$G$1:$G$6635,AG4932))</f>
        <v/>
      </c>
      <c r="AJ4932" s="17" t="str">
        <f t="shared" si="3"/>
        <v/>
      </c>
    </row>
    <row r="4933" spans="31:36">
      <c r="AE4933" s="15" t="str">
        <f t="shared" si="0"/>
        <v/>
      </c>
      <c r="AF4933" s="15" t="str">
        <f t="shared" si="1"/>
        <v/>
      </c>
      <c r="AG4933" s="15" t="str">
        <f>IF(OR(AF4933="",AF4933="ERRO_CHAVE"),"",IFERROR(MATCH(AF4933,'Quitados DUPP'!$U$1:$U$6635,0),""))</f>
        <v/>
      </c>
      <c r="AH4933" s="15" t="str">
        <f t="shared" si="2"/>
        <v/>
      </c>
      <c r="AI4933" s="17" t="str">
        <f>IF(AG4933="","",INDEX('Quitados DUPP'!$G$1:$G$6635,AG4933))</f>
        <v/>
      </c>
      <c r="AJ4933" s="17" t="str">
        <f t="shared" si="3"/>
        <v/>
      </c>
    </row>
    <row r="4934" spans="31:36">
      <c r="AE4934" s="15" t="str">
        <f t="shared" si="0"/>
        <v/>
      </c>
      <c r="AF4934" s="15" t="str">
        <f t="shared" si="1"/>
        <v/>
      </c>
      <c r="AG4934" s="15" t="str">
        <f>IF(OR(AF4934="",AF4934="ERRO_CHAVE"),"",IFERROR(MATCH(AF4934,'Quitados DUPP'!$U$1:$U$6635,0),""))</f>
        <v/>
      </c>
      <c r="AH4934" s="15" t="str">
        <f t="shared" si="2"/>
        <v/>
      </c>
      <c r="AI4934" s="17" t="str">
        <f>IF(AG4934="","",INDEX('Quitados DUPP'!$G$1:$G$6635,AG4934))</f>
        <v/>
      </c>
      <c r="AJ4934" s="17" t="str">
        <f t="shared" si="3"/>
        <v/>
      </c>
    </row>
    <row r="4935" spans="31:36">
      <c r="AE4935" s="15" t="str">
        <f t="shared" si="0"/>
        <v/>
      </c>
      <c r="AF4935" s="15" t="str">
        <f t="shared" si="1"/>
        <v/>
      </c>
      <c r="AG4935" s="15" t="str">
        <f>IF(OR(AF4935="",AF4935="ERRO_CHAVE"),"",IFERROR(MATCH(AF4935,'Quitados DUPP'!$U$1:$U$6635,0),""))</f>
        <v/>
      </c>
      <c r="AH4935" s="15" t="str">
        <f t="shared" si="2"/>
        <v/>
      </c>
      <c r="AI4935" s="17" t="str">
        <f>IF(AG4935="","",INDEX('Quitados DUPP'!$G$1:$G$6635,AG4935))</f>
        <v/>
      </c>
      <c r="AJ4935" s="17" t="str">
        <f t="shared" si="3"/>
        <v/>
      </c>
    </row>
    <row r="4936" spans="31:36">
      <c r="AE4936" s="15" t="str">
        <f t="shared" si="0"/>
        <v/>
      </c>
      <c r="AF4936" s="15" t="str">
        <f t="shared" si="1"/>
        <v/>
      </c>
      <c r="AG4936" s="15" t="str">
        <f>IF(OR(AF4936="",AF4936="ERRO_CHAVE"),"",IFERROR(MATCH(AF4936,'Quitados DUPP'!$U$1:$U$6635,0),""))</f>
        <v/>
      </c>
      <c r="AH4936" s="15" t="str">
        <f t="shared" si="2"/>
        <v/>
      </c>
      <c r="AI4936" s="17" t="str">
        <f>IF(AG4936="","",INDEX('Quitados DUPP'!$G$1:$G$6635,AG4936))</f>
        <v/>
      </c>
      <c r="AJ4936" s="17" t="str">
        <f t="shared" si="3"/>
        <v/>
      </c>
    </row>
    <row r="4937" spans="31:36">
      <c r="AE4937" s="15" t="str">
        <f t="shared" si="0"/>
        <v/>
      </c>
      <c r="AF4937" s="15" t="str">
        <f t="shared" si="1"/>
        <v/>
      </c>
      <c r="AG4937" s="15" t="str">
        <f>IF(OR(AF4937="",AF4937="ERRO_CHAVE"),"",IFERROR(MATCH(AF4937,'Quitados DUPP'!$U$1:$U$6635,0),""))</f>
        <v/>
      </c>
      <c r="AH4937" s="15" t="str">
        <f t="shared" si="2"/>
        <v/>
      </c>
      <c r="AI4937" s="17" t="str">
        <f>IF(AG4937="","",INDEX('Quitados DUPP'!$G$1:$G$6635,AG4937))</f>
        <v/>
      </c>
      <c r="AJ4937" s="17" t="str">
        <f t="shared" si="3"/>
        <v/>
      </c>
    </row>
    <row r="4938" spans="31:36">
      <c r="AE4938" s="15" t="str">
        <f t="shared" si="0"/>
        <v/>
      </c>
      <c r="AF4938" s="15" t="str">
        <f t="shared" si="1"/>
        <v/>
      </c>
      <c r="AG4938" s="15" t="str">
        <f>IF(OR(AF4938="",AF4938="ERRO_CHAVE"),"",IFERROR(MATCH(AF4938,'Quitados DUPP'!$U$1:$U$6635,0),""))</f>
        <v/>
      </c>
      <c r="AH4938" s="15" t="str">
        <f t="shared" si="2"/>
        <v/>
      </c>
      <c r="AI4938" s="17" t="str">
        <f>IF(AG4938="","",INDEX('Quitados DUPP'!$G$1:$G$6635,AG4938))</f>
        <v/>
      </c>
      <c r="AJ4938" s="17" t="str">
        <f t="shared" si="3"/>
        <v/>
      </c>
    </row>
    <row r="4939" spans="31:36">
      <c r="AE4939" s="15" t="str">
        <f t="shared" si="0"/>
        <v/>
      </c>
      <c r="AF4939" s="15" t="str">
        <f t="shared" si="1"/>
        <v/>
      </c>
      <c r="AG4939" s="15" t="str">
        <f>IF(OR(AF4939="",AF4939="ERRO_CHAVE"),"",IFERROR(MATCH(AF4939,'Quitados DUPP'!$U$1:$U$6635,0),""))</f>
        <v/>
      </c>
      <c r="AH4939" s="15" t="str">
        <f t="shared" si="2"/>
        <v/>
      </c>
      <c r="AI4939" s="17" t="str">
        <f>IF(AG4939="","",INDEX('Quitados DUPP'!$G$1:$G$6635,AG4939))</f>
        <v/>
      </c>
      <c r="AJ4939" s="17" t="str">
        <f t="shared" si="3"/>
        <v/>
      </c>
    </row>
    <row r="4940" spans="31:36">
      <c r="AE4940" s="15" t="str">
        <f t="shared" si="0"/>
        <v/>
      </c>
      <c r="AF4940" s="15" t="str">
        <f t="shared" si="1"/>
        <v/>
      </c>
      <c r="AG4940" s="15" t="str">
        <f>IF(OR(AF4940="",AF4940="ERRO_CHAVE"),"",IFERROR(MATCH(AF4940,'Quitados DUPP'!$U$1:$U$6635,0),""))</f>
        <v/>
      </c>
      <c r="AH4940" s="15" t="str">
        <f t="shared" si="2"/>
        <v/>
      </c>
      <c r="AI4940" s="17" t="str">
        <f>IF(AG4940="","",INDEX('Quitados DUPP'!$G$1:$G$6635,AG4940))</f>
        <v/>
      </c>
      <c r="AJ4940" s="17" t="str">
        <f t="shared" si="3"/>
        <v/>
      </c>
    </row>
    <row r="4941" spans="31:36">
      <c r="AE4941" s="15" t="str">
        <f t="shared" si="0"/>
        <v/>
      </c>
      <c r="AF4941" s="15" t="str">
        <f t="shared" si="1"/>
        <v/>
      </c>
      <c r="AG4941" s="15" t="str">
        <f>IF(OR(AF4941="",AF4941="ERRO_CHAVE"),"",IFERROR(MATCH(AF4941,'Quitados DUPP'!$U$1:$U$6635,0),""))</f>
        <v/>
      </c>
      <c r="AH4941" s="15" t="str">
        <f t="shared" si="2"/>
        <v/>
      </c>
      <c r="AI4941" s="17" t="str">
        <f>IF(AG4941="","",INDEX('Quitados DUPP'!$G$1:$G$6635,AG4941))</f>
        <v/>
      </c>
      <c r="AJ4941" s="17" t="str">
        <f t="shared" si="3"/>
        <v/>
      </c>
    </row>
    <row r="4942" spans="31:36">
      <c r="AE4942" s="15" t="str">
        <f t="shared" si="0"/>
        <v/>
      </c>
      <c r="AF4942" s="15" t="str">
        <f t="shared" si="1"/>
        <v/>
      </c>
      <c r="AG4942" s="15" t="str">
        <f>IF(OR(AF4942="",AF4942="ERRO_CHAVE"),"",IFERROR(MATCH(AF4942,'Quitados DUPP'!$U$1:$U$6635,0),""))</f>
        <v/>
      </c>
      <c r="AH4942" s="15" t="str">
        <f t="shared" si="2"/>
        <v/>
      </c>
      <c r="AI4942" s="17" t="str">
        <f>IF(AG4942="","",INDEX('Quitados DUPP'!$G$1:$G$6635,AG4942))</f>
        <v/>
      </c>
      <c r="AJ4942" s="17" t="str">
        <f t="shared" si="3"/>
        <v/>
      </c>
    </row>
    <row r="4943" spans="31:36">
      <c r="AE4943" s="15" t="str">
        <f t="shared" si="0"/>
        <v/>
      </c>
      <c r="AF4943" s="15" t="str">
        <f t="shared" si="1"/>
        <v/>
      </c>
      <c r="AG4943" s="15" t="str">
        <f>IF(OR(AF4943="",AF4943="ERRO_CHAVE"),"",IFERROR(MATCH(AF4943,'Quitados DUPP'!$U$1:$U$6635,0),""))</f>
        <v/>
      </c>
      <c r="AH4943" s="15" t="str">
        <f t="shared" si="2"/>
        <v/>
      </c>
      <c r="AI4943" s="17" t="str">
        <f>IF(AG4943="","",INDEX('Quitados DUPP'!$G$1:$G$6635,AG4943))</f>
        <v/>
      </c>
      <c r="AJ4943" s="17" t="str">
        <f t="shared" si="3"/>
        <v/>
      </c>
    </row>
    <row r="4944" spans="31:36">
      <c r="AE4944" s="15" t="str">
        <f t="shared" si="0"/>
        <v/>
      </c>
      <c r="AF4944" s="15" t="str">
        <f t="shared" si="1"/>
        <v/>
      </c>
      <c r="AG4944" s="15" t="str">
        <f>IF(OR(AF4944="",AF4944="ERRO_CHAVE"),"",IFERROR(MATCH(AF4944,'Quitados DUPP'!$U$1:$U$6635,0),""))</f>
        <v/>
      </c>
      <c r="AH4944" s="15" t="str">
        <f t="shared" si="2"/>
        <v/>
      </c>
      <c r="AI4944" s="17" t="str">
        <f>IF(AG4944="","",INDEX('Quitados DUPP'!$G$1:$G$6635,AG4944))</f>
        <v/>
      </c>
      <c r="AJ4944" s="17" t="str">
        <f t="shared" si="3"/>
        <v/>
      </c>
    </row>
    <row r="4945" spans="31:36">
      <c r="AE4945" s="15" t="str">
        <f t="shared" si="0"/>
        <v/>
      </c>
      <c r="AF4945" s="15" t="str">
        <f t="shared" si="1"/>
        <v/>
      </c>
      <c r="AG4945" s="15" t="str">
        <f>IF(OR(AF4945="",AF4945="ERRO_CHAVE"),"",IFERROR(MATCH(AF4945,'Quitados DUPP'!$U$1:$U$6635,0),""))</f>
        <v/>
      </c>
      <c r="AH4945" s="15" t="str">
        <f t="shared" si="2"/>
        <v/>
      </c>
      <c r="AI4945" s="17" t="str">
        <f>IF(AG4945="","",INDEX('Quitados DUPP'!$G$1:$G$6635,AG4945))</f>
        <v/>
      </c>
      <c r="AJ4945" s="17" t="str">
        <f t="shared" si="3"/>
        <v/>
      </c>
    </row>
    <row r="4946" spans="31:36">
      <c r="AE4946" s="15" t="str">
        <f t="shared" si="0"/>
        <v/>
      </c>
      <c r="AF4946" s="15" t="str">
        <f t="shared" si="1"/>
        <v/>
      </c>
      <c r="AG4946" s="15" t="str">
        <f>IF(OR(AF4946="",AF4946="ERRO_CHAVE"),"",IFERROR(MATCH(AF4946,'Quitados DUPP'!$U$1:$U$6635,0),""))</f>
        <v/>
      </c>
      <c r="AH4946" s="15" t="str">
        <f t="shared" si="2"/>
        <v/>
      </c>
      <c r="AI4946" s="17" t="str">
        <f>IF(AG4946="","",INDEX('Quitados DUPP'!$G$1:$G$6635,AG4946))</f>
        <v/>
      </c>
      <c r="AJ4946" s="17" t="str">
        <f t="shared" si="3"/>
        <v/>
      </c>
    </row>
    <row r="4947" spans="31:36">
      <c r="AE4947" s="15" t="str">
        <f t="shared" si="0"/>
        <v/>
      </c>
      <c r="AF4947" s="15" t="str">
        <f t="shared" si="1"/>
        <v/>
      </c>
      <c r="AG4947" s="15" t="str">
        <f>IF(OR(AF4947="",AF4947="ERRO_CHAVE"),"",IFERROR(MATCH(AF4947,'Quitados DUPP'!$U$1:$U$6635,0),""))</f>
        <v/>
      </c>
      <c r="AH4947" s="15" t="str">
        <f t="shared" si="2"/>
        <v/>
      </c>
      <c r="AI4947" s="17" t="str">
        <f>IF(AG4947="","",INDEX('Quitados DUPP'!$G$1:$G$6635,AG4947))</f>
        <v/>
      </c>
      <c r="AJ4947" s="17" t="str">
        <f t="shared" si="3"/>
        <v/>
      </c>
    </row>
    <row r="4948" spans="31:36">
      <c r="AE4948" s="15" t="str">
        <f t="shared" si="0"/>
        <v/>
      </c>
      <c r="AF4948" s="15" t="str">
        <f t="shared" si="1"/>
        <v/>
      </c>
      <c r="AG4948" s="15" t="str">
        <f>IF(OR(AF4948="",AF4948="ERRO_CHAVE"),"",IFERROR(MATCH(AF4948,'Quitados DUPP'!$U$1:$U$6635,0),""))</f>
        <v/>
      </c>
      <c r="AH4948" s="15" t="str">
        <f t="shared" si="2"/>
        <v/>
      </c>
      <c r="AI4948" s="17" t="str">
        <f>IF(AG4948="","",INDEX('Quitados DUPP'!$G$1:$G$6635,AG4948))</f>
        <v/>
      </c>
      <c r="AJ4948" s="17" t="str">
        <f t="shared" si="3"/>
        <v/>
      </c>
    </row>
    <row r="4949" spans="31:36">
      <c r="AE4949" s="15" t="str">
        <f t="shared" si="0"/>
        <v/>
      </c>
      <c r="AF4949" s="15" t="str">
        <f t="shared" si="1"/>
        <v/>
      </c>
      <c r="AG4949" s="15" t="str">
        <f>IF(OR(AF4949="",AF4949="ERRO_CHAVE"),"",IFERROR(MATCH(AF4949,'Quitados DUPP'!$U$1:$U$6635,0),""))</f>
        <v/>
      </c>
      <c r="AH4949" s="15" t="str">
        <f t="shared" si="2"/>
        <v/>
      </c>
      <c r="AI4949" s="17" t="str">
        <f>IF(AG4949="","",INDEX('Quitados DUPP'!$G$1:$G$6635,AG4949))</f>
        <v/>
      </c>
      <c r="AJ4949" s="17" t="str">
        <f t="shared" si="3"/>
        <v/>
      </c>
    </row>
    <row r="4950" spans="31:36">
      <c r="AE4950" s="15" t="str">
        <f t="shared" si="0"/>
        <v/>
      </c>
      <c r="AF4950" s="15" t="str">
        <f t="shared" si="1"/>
        <v/>
      </c>
      <c r="AG4950" s="15" t="str">
        <f>IF(OR(AF4950="",AF4950="ERRO_CHAVE"),"",IFERROR(MATCH(AF4950,'Quitados DUPP'!$U$1:$U$6635,0),""))</f>
        <v/>
      </c>
      <c r="AH4950" s="15" t="str">
        <f t="shared" si="2"/>
        <v/>
      </c>
      <c r="AI4950" s="17" t="str">
        <f>IF(AG4950="","",INDEX('Quitados DUPP'!$G$1:$G$6635,AG4950))</f>
        <v/>
      </c>
      <c r="AJ4950" s="17" t="str">
        <f t="shared" si="3"/>
        <v/>
      </c>
    </row>
    <row r="4951" spans="31:36">
      <c r="AE4951" s="15" t="str">
        <f t="shared" si="0"/>
        <v/>
      </c>
      <c r="AF4951" s="15" t="str">
        <f t="shared" si="1"/>
        <v/>
      </c>
      <c r="AG4951" s="15" t="str">
        <f>IF(OR(AF4951="",AF4951="ERRO_CHAVE"),"",IFERROR(MATCH(AF4951,'Quitados DUPP'!$U$1:$U$6635,0),""))</f>
        <v/>
      </c>
      <c r="AH4951" s="15" t="str">
        <f t="shared" si="2"/>
        <v/>
      </c>
      <c r="AI4951" s="17" t="str">
        <f>IF(AG4951="","",INDEX('Quitados DUPP'!$G$1:$G$6635,AG4951))</f>
        <v/>
      </c>
      <c r="AJ4951" s="17" t="str">
        <f t="shared" si="3"/>
        <v/>
      </c>
    </row>
    <row r="4952" spans="31:36">
      <c r="AE4952" s="15" t="str">
        <f t="shared" si="0"/>
        <v/>
      </c>
      <c r="AF4952" s="15" t="str">
        <f t="shared" si="1"/>
        <v/>
      </c>
      <c r="AG4952" s="15" t="str">
        <f>IF(OR(AF4952="",AF4952="ERRO_CHAVE"),"",IFERROR(MATCH(AF4952,'Quitados DUPP'!$U$1:$U$6635,0),""))</f>
        <v/>
      </c>
      <c r="AH4952" s="15" t="str">
        <f t="shared" si="2"/>
        <v/>
      </c>
      <c r="AI4952" s="17" t="str">
        <f>IF(AG4952="","",INDEX('Quitados DUPP'!$G$1:$G$6635,AG4952))</f>
        <v/>
      </c>
      <c r="AJ4952" s="17" t="str">
        <f t="shared" si="3"/>
        <v/>
      </c>
    </row>
    <row r="4953" spans="31:36">
      <c r="AE4953" s="15" t="str">
        <f t="shared" si="0"/>
        <v/>
      </c>
      <c r="AF4953" s="15" t="str">
        <f t="shared" si="1"/>
        <v/>
      </c>
      <c r="AG4953" s="15" t="str">
        <f>IF(OR(AF4953="",AF4953="ERRO_CHAVE"),"",IFERROR(MATCH(AF4953,'Quitados DUPP'!$U$1:$U$6635,0),""))</f>
        <v/>
      </c>
      <c r="AH4953" s="15" t="str">
        <f t="shared" si="2"/>
        <v/>
      </c>
      <c r="AI4953" s="17" t="str">
        <f>IF(AG4953="","",INDEX('Quitados DUPP'!$G$1:$G$6635,AG4953))</f>
        <v/>
      </c>
      <c r="AJ4953" s="17" t="str">
        <f t="shared" si="3"/>
        <v/>
      </c>
    </row>
    <row r="4954" spans="31:36">
      <c r="AE4954" s="15" t="str">
        <f t="shared" si="0"/>
        <v/>
      </c>
      <c r="AF4954" s="15" t="str">
        <f t="shared" si="1"/>
        <v/>
      </c>
      <c r="AG4954" s="15" t="str">
        <f>IF(OR(AF4954="",AF4954="ERRO_CHAVE"),"",IFERROR(MATCH(AF4954,'Quitados DUPP'!$U$1:$U$6635,0),""))</f>
        <v/>
      </c>
      <c r="AH4954" s="15" t="str">
        <f t="shared" si="2"/>
        <v/>
      </c>
      <c r="AI4954" s="17" t="str">
        <f>IF(AG4954="","",INDEX('Quitados DUPP'!$G$1:$G$6635,AG4954))</f>
        <v/>
      </c>
      <c r="AJ4954" s="17" t="str">
        <f t="shared" si="3"/>
        <v/>
      </c>
    </row>
    <row r="4955" spans="31:36">
      <c r="AE4955" s="15" t="str">
        <f t="shared" si="0"/>
        <v/>
      </c>
      <c r="AF4955" s="15" t="str">
        <f t="shared" si="1"/>
        <v/>
      </c>
      <c r="AG4955" s="15" t="str">
        <f>IF(OR(AF4955="",AF4955="ERRO_CHAVE"),"",IFERROR(MATCH(AF4955,'Quitados DUPP'!$U$1:$U$6635,0),""))</f>
        <v/>
      </c>
      <c r="AH4955" s="15" t="str">
        <f t="shared" si="2"/>
        <v/>
      </c>
      <c r="AI4955" s="17" t="str">
        <f>IF(AG4955="","",INDEX('Quitados DUPP'!$G$1:$G$6635,AG4955))</f>
        <v/>
      </c>
      <c r="AJ4955" s="17" t="str">
        <f t="shared" si="3"/>
        <v/>
      </c>
    </row>
    <row r="4956" spans="31:36">
      <c r="AE4956" s="15" t="str">
        <f t="shared" si="0"/>
        <v/>
      </c>
      <c r="AF4956" s="15" t="str">
        <f t="shared" si="1"/>
        <v/>
      </c>
      <c r="AG4956" s="15" t="str">
        <f>IF(OR(AF4956="",AF4956="ERRO_CHAVE"),"",IFERROR(MATCH(AF4956,'Quitados DUPP'!$U$1:$U$6635,0),""))</f>
        <v/>
      </c>
      <c r="AH4956" s="15" t="str">
        <f t="shared" si="2"/>
        <v/>
      </c>
      <c r="AI4956" s="17" t="str">
        <f>IF(AG4956="","",INDEX('Quitados DUPP'!$G$1:$G$6635,AG4956))</f>
        <v/>
      </c>
      <c r="AJ4956" s="17" t="str">
        <f t="shared" si="3"/>
        <v/>
      </c>
    </row>
    <row r="4957" spans="31:36">
      <c r="AE4957" s="15" t="str">
        <f t="shared" si="0"/>
        <v/>
      </c>
      <c r="AF4957" s="15" t="str">
        <f t="shared" si="1"/>
        <v/>
      </c>
      <c r="AG4957" s="15" t="str">
        <f>IF(OR(AF4957="",AF4957="ERRO_CHAVE"),"",IFERROR(MATCH(AF4957,'Quitados DUPP'!$U$1:$U$6635,0),""))</f>
        <v/>
      </c>
      <c r="AH4957" s="15" t="str">
        <f t="shared" si="2"/>
        <v/>
      </c>
      <c r="AI4957" s="17" t="str">
        <f>IF(AG4957="","",INDEX('Quitados DUPP'!$G$1:$G$6635,AG4957))</f>
        <v/>
      </c>
      <c r="AJ4957" s="17" t="str">
        <f t="shared" si="3"/>
        <v/>
      </c>
    </row>
    <row r="4958" spans="31:36">
      <c r="AE4958" s="15" t="str">
        <f t="shared" si="0"/>
        <v/>
      </c>
      <c r="AF4958" s="15" t="str">
        <f t="shared" si="1"/>
        <v/>
      </c>
      <c r="AG4958" s="15" t="str">
        <f>IF(OR(AF4958="",AF4958="ERRO_CHAVE"),"",IFERROR(MATCH(AF4958,'Quitados DUPP'!$U$1:$U$6635,0),""))</f>
        <v/>
      </c>
      <c r="AH4958" s="15" t="str">
        <f t="shared" si="2"/>
        <v/>
      </c>
      <c r="AI4958" s="17" t="str">
        <f>IF(AG4958="","",INDEX('Quitados DUPP'!$G$1:$G$6635,AG4958))</f>
        <v/>
      </c>
      <c r="AJ4958" s="17" t="str">
        <f t="shared" si="3"/>
        <v/>
      </c>
    </row>
    <row r="4959" spans="31:36">
      <c r="AE4959" s="15" t="str">
        <f t="shared" si="0"/>
        <v/>
      </c>
      <c r="AF4959" s="15" t="str">
        <f t="shared" si="1"/>
        <v/>
      </c>
      <c r="AG4959" s="15" t="str">
        <f>IF(OR(AF4959="",AF4959="ERRO_CHAVE"),"",IFERROR(MATCH(AF4959,'Quitados DUPP'!$U$1:$U$6635,0),""))</f>
        <v/>
      </c>
      <c r="AH4959" s="15" t="str">
        <f t="shared" si="2"/>
        <v/>
      </c>
      <c r="AI4959" s="17" t="str">
        <f>IF(AG4959="","",INDEX('Quitados DUPP'!$G$1:$G$6635,AG4959))</f>
        <v/>
      </c>
      <c r="AJ4959" s="17" t="str">
        <f t="shared" si="3"/>
        <v/>
      </c>
    </row>
    <row r="4960" spans="31:36">
      <c r="AE4960" s="15" t="str">
        <f t="shared" si="0"/>
        <v/>
      </c>
      <c r="AF4960" s="15" t="str">
        <f t="shared" si="1"/>
        <v/>
      </c>
      <c r="AG4960" s="15" t="str">
        <f>IF(OR(AF4960="",AF4960="ERRO_CHAVE"),"",IFERROR(MATCH(AF4960,'Quitados DUPP'!$U$1:$U$6635,0),""))</f>
        <v/>
      </c>
      <c r="AH4960" s="15" t="str">
        <f t="shared" si="2"/>
        <v/>
      </c>
      <c r="AI4960" s="17" t="str">
        <f>IF(AG4960="","",INDEX('Quitados DUPP'!$G$1:$G$6635,AG4960))</f>
        <v/>
      </c>
      <c r="AJ4960" s="17" t="str">
        <f t="shared" si="3"/>
        <v/>
      </c>
    </row>
    <row r="4961" spans="31:36">
      <c r="AE4961" s="15" t="str">
        <f t="shared" si="0"/>
        <v/>
      </c>
      <c r="AF4961" s="15" t="str">
        <f t="shared" si="1"/>
        <v/>
      </c>
      <c r="AG4961" s="15" t="str">
        <f>IF(OR(AF4961="",AF4961="ERRO_CHAVE"),"",IFERROR(MATCH(AF4961,'Quitados DUPP'!$U$1:$U$6635,0),""))</f>
        <v/>
      </c>
      <c r="AH4961" s="15" t="str">
        <f t="shared" si="2"/>
        <v/>
      </c>
      <c r="AI4961" s="17" t="str">
        <f>IF(AG4961="","",INDEX('Quitados DUPP'!$G$1:$G$6635,AG4961))</f>
        <v/>
      </c>
      <c r="AJ4961" s="17" t="str">
        <f t="shared" si="3"/>
        <v/>
      </c>
    </row>
    <row r="4962" spans="31:36">
      <c r="AE4962" s="15" t="str">
        <f t="shared" si="0"/>
        <v/>
      </c>
      <c r="AF4962" s="15" t="str">
        <f t="shared" si="1"/>
        <v/>
      </c>
      <c r="AG4962" s="15" t="str">
        <f>IF(OR(AF4962="",AF4962="ERRO_CHAVE"),"",IFERROR(MATCH(AF4962,'Quitados DUPP'!$U$1:$U$6635,0),""))</f>
        <v/>
      </c>
      <c r="AH4962" s="15" t="str">
        <f t="shared" si="2"/>
        <v/>
      </c>
      <c r="AI4962" s="17" t="str">
        <f>IF(AG4962="","",INDEX('Quitados DUPP'!$G$1:$G$6635,AG4962))</f>
        <v/>
      </c>
      <c r="AJ4962" s="17" t="str">
        <f t="shared" si="3"/>
        <v/>
      </c>
    </row>
    <row r="4963" spans="31:36">
      <c r="AE4963" s="15" t="str">
        <f t="shared" si="0"/>
        <v/>
      </c>
      <c r="AF4963" s="15" t="str">
        <f t="shared" si="1"/>
        <v/>
      </c>
      <c r="AG4963" s="15" t="str">
        <f>IF(OR(AF4963="",AF4963="ERRO_CHAVE"),"",IFERROR(MATCH(AF4963,'Quitados DUPP'!$U$1:$U$6635,0),""))</f>
        <v/>
      </c>
      <c r="AH4963" s="15" t="str">
        <f t="shared" si="2"/>
        <v/>
      </c>
      <c r="AI4963" s="17" t="str">
        <f>IF(AG4963="","",INDEX('Quitados DUPP'!$G$1:$G$6635,AG4963))</f>
        <v/>
      </c>
      <c r="AJ4963" s="17" t="str">
        <f t="shared" si="3"/>
        <v/>
      </c>
    </row>
    <row r="4964" spans="31:36">
      <c r="AE4964" s="15" t="str">
        <f t="shared" si="0"/>
        <v/>
      </c>
      <c r="AF4964" s="15" t="str">
        <f t="shared" si="1"/>
        <v/>
      </c>
      <c r="AG4964" s="15" t="str">
        <f>IF(OR(AF4964="",AF4964="ERRO_CHAVE"),"",IFERROR(MATCH(AF4964,'Quitados DUPP'!$U$1:$U$6635,0),""))</f>
        <v/>
      </c>
      <c r="AH4964" s="15" t="str">
        <f t="shared" si="2"/>
        <v/>
      </c>
      <c r="AI4964" s="17" t="str">
        <f>IF(AG4964="","",INDEX('Quitados DUPP'!$G$1:$G$6635,AG4964))</f>
        <v/>
      </c>
      <c r="AJ4964" s="17" t="str">
        <f t="shared" si="3"/>
        <v/>
      </c>
    </row>
    <row r="4965" spans="31:36">
      <c r="AE4965" s="15" t="str">
        <f t="shared" si="0"/>
        <v/>
      </c>
      <c r="AF4965" s="15" t="str">
        <f t="shared" si="1"/>
        <v/>
      </c>
      <c r="AG4965" s="15" t="str">
        <f>IF(OR(AF4965="",AF4965="ERRO_CHAVE"),"",IFERROR(MATCH(AF4965,'Quitados DUPP'!$U$1:$U$6635,0),""))</f>
        <v/>
      </c>
      <c r="AH4965" s="15" t="str">
        <f t="shared" si="2"/>
        <v/>
      </c>
      <c r="AI4965" s="17" t="str">
        <f>IF(AG4965="","",INDEX('Quitados DUPP'!$G$1:$G$6635,AG4965))</f>
        <v/>
      </c>
      <c r="AJ4965" s="17" t="str">
        <f t="shared" si="3"/>
        <v/>
      </c>
    </row>
    <row r="4966" spans="31:36">
      <c r="AE4966" s="15" t="str">
        <f t="shared" si="0"/>
        <v/>
      </c>
      <c r="AF4966" s="15" t="str">
        <f t="shared" si="1"/>
        <v/>
      </c>
      <c r="AG4966" s="15" t="str">
        <f>IF(OR(AF4966="",AF4966="ERRO_CHAVE"),"",IFERROR(MATCH(AF4966,'Quitados DUPP'!$U$1:$U$6635,0),""))</f>
        <v/>
      </c>
      <c r="AH4966" s="15" t="str">
        <f t="shared" si="2"/>
        <v/>
      </c>
      <c r="AI4966" s="17" t="str">
        <f>IF(AG4966="","",INDEX('Quitados DUPP'!$G$1:$G$6635,AG4966))</f>
        <v/>
      </c>
      <c r="AJ4966" s="17" t="str">
        <f t="shared" si="3"/>
        <v/>
      </c>
    </row>
    <row r="4967" spans="31:36">
      <c r="AE4967" s="15" t="str">
        <f t="shared" si="0"/>
        <v/>
      </c>
      <c r="AF4967" s="15" t="str">
        <f t="shared" si="1"/>
        <v/>
      </c>
      <c r="AG4967" s="15" t="str">
        <f>IF(OR(AF4967="",AF4967="ERRO_CHAVE"),"",IFERROR(MATCH(AF4967,'Quitados DUPP'!$U$1:$U$6635,0),""))</f>
        <v/>
      </c>
      <c r="AH4967" s="15" t="str">
        <f t="shared" si="2"/>
        <v/>
      </c>
      <c r="AI4967" s="17" t="str">
        <f>IF(AG4967="","",INDEX('Quitados DUPP'!$G$1:$G$6635,AG4967))</f>
        <v/>
      </c>
      <c r="AJ4967" s="17" t="str">
        <f t="shared" si="3"/>
        <v/>
      </c>
    </row>
    <row r="4968" spans="31:36">
      <c r="AE4968" s="15" t="str">
        <f t="shared" si="0"/>
        <v/>
      </c>
      <c r="AF4968" s="15" t="str">
        <f t="shared" si="1"/>
        <v/>
      </c>
      <c r="AG4968" s="15" t="str">
        <f>IF(OR(AF4968="",AF4968="ERRO_CHAVE"),"",IFERROR(MATCH(AF4968,'Quitados DUPP'!$U$1:$U$6635,0),""))</f>
        <v/>
      </c>
      <c r="AH4968" s="15" t="str">
        <f t="shared" si="2"/>
        <v/>
      </c>
      <c r="AI4968" s="17" t="str">
        <f>IF(AG4968="","",INDEX('Quitados DUPP'!$G$1:$G$6635,AG4968))</f>
        <v/>
      </c>
      <c r="AJ4968" s="17" t="str">
        <f t="shared" si="3"/>
        <v/>
      </c>
    </row>
    <row r="4969" spans="31:36">
      <c r="AE4969" s="15" t="str">
        <f t="shared" si="0"/>
        <v/>
      </c>
      <c r="AF4969" s="15" t="str">
        <f t="shared" si="1"/>
        <v/>
      </c>
      <c r="AG4969" s="15" t="str">
        <f>IF(OR(AF4969="",AF4969="ERRO_CHAVE"),"",IFERROR(MATCH(AF4969,'Quitados DUPP'!$U$1:$U$6635,0),""))</f>
        <v/>
      </c>
      <c r="AH4969" s="15" t="str">
        <f t="shared" si="2"/>
        <v/>
      </c>
      <c r="AI4969" s="17" t="str">
        <f>IF(AG4969="","",INDEX('Quitados DUPP'!$G$1:$G$6635,AG4969))</f>
        <v/>
      </c>
      <c r="AJ4969" s="17" t="str">
        <f t="shared" si="3"/>
        <v/>
      </c>
    </row>
    <row r="4970" spans="31:36">
      <c r="AE4970" s="15" t="str">
        <f t="shared" si="0"/>
        <v/>
      </c>
      <c r="AF4970" s="15" t="str">
        <f t="shared" si="1"/>
        <v/>
      </c>
      <c r="AG4970" s="15" t="str">
        <f>IF(OR(AF4970="",AF4970="ERRO_CHAVE"),"",IFERROR(MATCH(AF4970,'Quitados DUPP'!$U$1:$U$6635,0),""))</f>
        <v/>
      </c>
      <c r="AH4970" s="15" t="str">
        <f t="shared" si="2"/>
        <v/>
      </c>
      <c r="AI4970" s="17" t="str">
        <f>IF(AG4970="","",INDEX('Quitados DUPP'!$G$1:$G$6635,AG4970))</f>
        <v/>
      </c>
      <c r="AJ4970" s="17" t="str">
        <f t="shared" si="3"/>
        <v/>
      </c>
    </row>
    <row r="4971" spans="31:36">
      <c r="AE4971" s="15" t="str">
        <f t="shared" si="0"/>
        <v/>
      </c>
      <c r="AF4971" s="15" t="str">
        <f t="shared" si="1"/>
        <v/>
      </c>
      <c r="AG4971" s="15" t="str">
        <f>IF(OR(AF4971="",AF4971="ERRO_CHAVE"),"",IFERROR(MATCH(AF4971,'Quitados DUPP'!$U$1:$U$6635,0),""))</f>
        <v/>
      </c>
      <c r="AH4971" s="15" t="str">
        <f t="shared" si="2"/>
        <v/>
      </c>
      <c r="AI4971" s="17" t="str">
        <f>IF(AG4971="","",INDEX('Quitados DUPP'!$G$1:$G$6635,AG4971))</f>
        <v/>
      </c>
      <c r="AJ4971" s="17" t="str">
        <f t="shared" si="3"/>
        <v/>
      </c>
    </row>
    <row r="4972" spans="31:36">
      <c r="AE4972" s="15" t="str">
        <f t="shared" si="0"/>
        <v/>
      </c>
      <c r="AF4972" s="15" t="str">
        <f t="shared" si="1"/>
        <v/>
      </c>
      <c r="AG4972" s="15" t="str">
        <f>IF(OR(AF4972="",AF4972="ERRO_CHAVE"),"",IFERROR(MATCH(AF4972,'Quitados DUPP'!$U$1:$U$6635,0),""))</f>
        <v/>
      </c>
      <c r="AH4972" s="15" t="str">
        <f t="shared" si="2"/>
        <v/>
      </c>
      <c r="AI4972" s="17" t="str">
        <f>IF(AG4972="","",INDEX('Quitados DUPP'!$G$1:$G$6635,AG4972))</f>
        <v/>
      </c>
      <c r="AJ4972" s="17" t="str">
        <f t="shared" si="3"/>
        <v/>
      </c>
    </row>
    <row r="4973" spans="31:36">
      <c r="AE4973" s="15" t="str">
        <f t="shared" si="0"/>
        <v/>
      </c>
      <c r="AF4973" s="15" t="str">
        <f t="shared" si="1"/>
        <v/>
      </c>
      <c r="AG4973" s="15" t="str">
        <f>IF(OR(AF4973="",AF4973="ERRO_CHAVE"),"",IFERROR(MATCH(AF4973,'Quitados DUPP'!$U$1:$U$6635,0),""))</f>
        <v/>
      </c>
      <c r="AH4973" s="15" t="str">
        <f t="shared" si="2"/>
        <v/>
      </c>
      <c r="AI4973" s="17" t="str">
        <f>IF(AG4973="","",INDEX('Quitados DUPP'!$G$1:$G$6635,AG4973))</f>
        <v/>
      </c>
      <c r="AJ4973" s="17" t="str">
        <f t="shared" si="3"/>
        <v/>
      </c>
    </row>
    <row r="4974" spans="31:36">
      <c r="AE4974" s="15" t="str">
        <f t="shared" si="0"/>
        <v/>
      </c>
      <c r="AF4974" s="15" t="str">
        <f t="shared" si="1"/>
        <v/>
      </c>
      <c r="AG4974" s="15" t="str">
        <f>IF(OR(AF4974="",AF4974="ERRO_CHAVE"),"",IFERROR(MATCH(AF4974,'Quitados DUPP'!$U$1:$U$6635,0),""))</f>
        <v/>
      </c>
      <c r="AH4974" s="15" t="str">
        <f t="shared" si="2"/>
        <v/>
      </c>
      <c r="AI4974" s="17" t="str">
        <f>IF(AG4974="","",INDEX('Quitados DUPP'!$G$1:$G$6635,AG4974))</f>
        <v/>
      </c>
      <c r="AJ4974" s="17" t="str">
        <f t="shared" si="3"/>
        <v/>
      </c>
    </row>
    <row r="4975" spans="31:36">
      <c r="AE4975" s="15" t="str">
        <f t="shared" si="0"/>
        <v/>
      </c>
      <c r="AF4975" s="15" t="str">
        <f t="shared" si="1"/>
        <v/>
      </c>
      <c r="AG4975" s="15" t="str">
        <f>IF(OR(AF4975="",AF4975="ERRO_CHAVE"),"",IFERROR(MATCH(AF4975,'Quitados DUPP'!$U$1:$U$6635,0),""))</f>
        <v/>
      </c>
      <c r="AH4975" s="15" t="str">
        <f t="shared" si="2"/>
        <v/>
      </c>
      <c r="AI4975" s="17" t="str">
        <f>IF(AG4975="","",INDEX('Quitados DUPP'!$G$1:$G$6635,AG4975))</f>
        <v/>
      </c>
      <c r="AJ4975" s="17" t="str">
        <f t="shared" si="3"/>
        <v/>
      </c>
    </row>
    <row r="4976" spans="31:36">
      <c r="AE4976" s="15" t="str">
        <f t="shared" si="0"/>
        <v/>
      </c>
      <c r="AF4976" s="15" t="str">
        <f t="shared" si="1"/>
        <v/>
      </c>
      <c r="AG4976" s="15" t="str">
        <f>IF(OR(AF4976="",AF4976="ERRO_CHAVE"),"",IFERROR(MATCH(AF4976,'Quitados DUPP'!$U$1:$U$6635,0),""))</f>
        <v/>
      </c>
      <c r="AH4976" s="15" t="str">
        <f t="shared" si="2"/>
        <v/>
      </c>
      <c r="AI4976" s="17" t="str">
        <f>IF(AG4976="","",INDEX('Quitados DUPP'!$G$1:$G$6635,AG4976))</f>
        <v/>
      </c>
      <c r="AJ4976" s="17" t="str">
        <f t="shared" si="3"/>
        <v/>
      </c>
    </row>
    <row r="4977" spans="31:36">
      <c r="AE4977" s="15" t="str">
        <f t="shared" si="0"/>
        <v/>
      </c>
      <c r="AF4977" s="15" t="str">
        <f t="shared" si="1"/>
        <v/>
      </c>
      <c r="AG4977" s="15" t="str">
        <f>IF(OR(AF4977="",AF4977="ERRO_CHAVE"),"",IFERROR(MATCH(AF4977,'Quitados DUPP'!$U$1:$U$6635,0),""))</f>
        <v/>
      </c>
      <c r="AH4977" s="15" t="str">
        <f t="shared" si="2"/>
        <v/>
      </c>
      <c r="AI4977" s="17" t="str">
        <f>IF(AG4977="","",INDEX('Quitados DUPP'!$G$1:$G$6635,AG4977))</f>
        <v/>
      </c>
      <c r="AJ4977" s="17" t="str">
        <f t="shared" si="3"/>
        <v/>
      </c>
    </row>
    <row r="4978" spans="31:36">
      <c r="AE4978" s="15" t="str">
        <f t="shared" si="0"/>
        <v/>
      </c>
      <c r="AF4978" s="15" t="str">
        <f t="shared" si="1"/>
        <v/>
      </c>
      <c r="AG4978" s="15" t="str">
        <f>IF(OR(AF4978="",AF4978="ERRO_CHAVE"),"",IFERROR(MATCH(AF4978,'Quitados DUPP'!$U$1:$U$6635,0),""))</f>
        <v/>
      </c>
      <c r="AH4978" s="15" t="str">
        <f t="shared" si="2"/>
        <v/>
      </c>
      <c r="AI4978" s="17" t="str">
        <f>IF(AG4978="","",INDEX('Quitados DUPP'!$G$1:$G$6635,AG4978))</f>
        <v/>
      </c>
      <c r="AJ4978" s="17" t="str">
        <f t="shared" si="3"/>
        <v/>
      </c>
    </row>
    <row r="4979" spans="31:36">
      <c r="AE4979" s="15" t="str">
        <f t="shared" si="0"/>
        <v/>
      </c>
      <c r="AF4979" s="15" t="str">
        <f t="shared" si="1"/>
        <v/>
      </c>
      <c r="AG4979" s="15" t="str">
        <f>IF(OR(AF4979="",AF4979="ERRO_CHAVE"),"",IFERROR(MATCH(AF4979,'Quitados DUPP'!$U$1:$U$6635,0),""))</f>
        <v/>
      </c>
      <c r="AH4979" s="15" t="str">
        <f t="shared" si="2"/>
        <v/>
      </c>
      <c r="AI4979" s="17" t="str">
        <f>IF(AG4979="","",INDEX('Quitados DUPP'!$G$1:$G$6635,AG4979))</f>
        <v/>
      </c>
      <c r="AJ4979" s="17" t="str">
        <f t="shared" si="3"/>
        <v/>
      </c>
    </row>
    <row r="4980" spans="31:36">
      <c r="AE4980" s="15" t="str">
        <f t="shared" si="0"/>
        <v/>
      </c>
      <c r="AF4980" s="15" t="str">
        <f t="shared" si="1"/>
        <v/>
      </c>
      <c r="AG4980" s="15" t="str">
        <f>IF(OR(AF4980="",AF4980="ERRO_CHAVE"),"",IFERROR(MATCH(AF4980,'Quitados DUPP'!$U$1:$U$6635,0),""))</f>
        <v/>
      </c>
      <c r="AH4980" s="15" t="str">
        <f t="shared" si="2"/>
        <v/>
      </c>
      <c r="AI4980" s="17" t="str">
        <f>IF(AG4980="","",INDEX('Quitados DUPP'!$G$1:$G$6635,AG4980))</f>
        <v/>
      </c>
      <c r="AJ4980" s="17" t="str">
        <f t="shared" si="3"/>
        <v/>
      </c>
    </row>
    <row r="4981" spans="31:36">
      <c r="AE4981" s="15" t="str">
        <f t="shared" si="0"/>
        <v/>
      </c>
      <c r="AF4981" s="15" t="str">
        <f t="shared" si="1"/>
        <v/>
      </c>
      <c r="AG4981" s="15" t="str">
        <f>IF(OR(AF4981="",AF4981="ERRO_CHAVE"),"",IFERROR(MATCH(AF4981,'Quitados DUPP'!$U$1:$U$6635,0),""))</f>
        <v/>
      </c>
      <c r="AH4981" s="15" t="str">
        <f t="shared" si="2"/>
        <v/>
      </c>
      <c r="AI4981" s="17" t="str">
        <f>IF(AG4981="","",INDEX('Quitados DUPP'!$G$1:$G$6635,AG4981))</f>
        <v/>
      </c>
      <c r="AJ4981" s="17" t="str">
        <f t="shared" si="3"/>
        <v/>
      </c>
    </row>
    <row r="4982" spans="31:36">
      <c r="AE4982" s="15" t="str">
        <f t="shared" si="0"/>
        <v/>
      </c>
      <c r="AF4982" s="15" t="str">
        <f t="shared" si="1"/>
        <v/>
      </c>
      <c r="AG4982" s="15" t="str">
        <f>IF(OR(AF4982="",AF4982="ERRO_CHAVE"),"",IFERROR(MATCH(AF4982,'Quitados DUPP'!$U$1:$U$6635,0),""))</f>
        <v/>
      </c>
      <c r="AH4982" s="15" t="str">
        <f t="shared" si="2"/>
        <v/>
      </c>
      <c r="AI4982" s="17" t="str">
        <f>IF(AG4982="","",INDEX('Quitados DUPP'!$G$1:$G$6635,AG4982))</f>
        <v/>
      </c>
      <c r="AJ4982" s="17" t="str">
        <f t="shared" si="3"/>
        <v/>
      </c>
    </row>
    <row r="4983" spans="31:36">
      <c r="AE4983" s="15" t="str">
        <f t="shared" si="0"/>
        <v/>
      </c>
      <c r="AF4983" s="15" t="str">
        <f t="shared" si="1"/>
        <v/>
      </c>
      <c r="AG4983" s="15" t="str">
        <f>IF(OR(AF4983="",AF4983="ERRO_CHAVE"),"",IFERROR(MATCH(AF4983,'Quitados DUPP'!$U$1:$U$6635,0),""))</f>
        <v/>
      </c>
      <c r="AH4983" s="15" t="str">
        <f t="shared" si="2"/>
        <v/>
      </c>
      <c r="AI4983" s="17" t="str">
        <f>IF(AG4983="","",INDEX('Quitados DUPP'!$G$1:$G$6635,AG4983))</f>
        <v/>
      </c>
      <c r="AJ4983" s="17" t="str">
        <f t="shared" si="3"/>
        <v/>
      </c>
    </row>
    <row r="4984" spans="31:36">
      <c r="AE4984" s="15" t="str">
        <f t="shared" si="0"/>
        <v/>
      </c>
      <c r="AF4984" s="15" t="str">
        <f t="shared" si="1"/>
        <v/>
      </c>
      <c r="AG4984" s="15" t="str">
        <f>IF(OR(AF4984="",AF4984="ERRO_CHAVE"),"",IFERROR(MATCH(AF4984,'Quitados DUPP'!$U$1:$U$6635,0),""))</f>
        <v/>
      </c>
      <c r="AH4984" s="15" t="str">
        <f t="shared" si="2"/>
        <v/>
      </c>
      <c r="AI4984" s="17" t="str">
        <f>IF(AG4984="","",INDEX('Quitados DUPP'!$G$1:$G$6635,AG4984))</f>
        <v/>
      </c>
      <c r="AJ4984" s="17" t="str">
        <f t="shared" si="3"/>
        <v/>
      </c>
    </row>
    <row r="4985" spans="31:36">
      <c r="AE4985" s="15" t="str">
        <f t="shared" si="0"/>
        <v/>
      </c>
      <c r="AF4985" s="15" t="str">
        <f t="shared" si="1"/>
        <v/>
      </c>
      <c r="AG4985" s="15" t="str">
        <f>IF(OR(AF4985="",AF4985="ERRO_CHAVE"),"",IFERROR(MATCH(AF4985,'Quitados DUPP'!$U$1:$U$6635,0),""))</f>
        <v/>
      </c>
      <c r="AH4985" s="15" t="str">
        <f t="shared" si="2"/>
        <v/>
      </c>
      <c r="AI4985" s="17" t="str">
        <f>IF(AG4985="","",INDEX('Quitados DUPP'!$G$1:$G$6635,AG4985))</f>
        <v/>
      </c>
      <c r="AJ4985" s="17" t="str">
        <f t="shared" si="3"/>
        <v/>
      </c>
    </row>
    <row r="4986" spans="31:36">
      <c r="AE4986" s="15" t="str">
        <f t="shared" si="0"/>
        <v/>
      </c>
      <c r="AF4986" s="15" t="str">
        <f t="shared" si="1"/>
        <v/>
      </c>
      <c r="AG4986" s="15" t="str">
        <f>IF(OR(AF4986="",AF4986="ERRO_CHAVE"),"",IFERROR(MATCH(AF4986,'Quitados DUPP'!$U$1:$U$6635,0),""))</f>
        <v/>
      </c>
      <c r="AH4986" s="15" t="str">
        <f t="shared" si="2"/>
        <v/>
      </c>
      <c r="AI4986" s="17" t="str">
        <f>IF(AG4986="","",INDEX('Quitados DUPP'!$G$1:$G$6635,AG4986))</f>
        <v/>
      </c>
      <c r="AJ4986" s="17" t="str">
        <f t="shared" si="3"/>
        <v/>
      </c>
    </row>
    <row r="4987" spans="31:36">
      <c r="AE4987" s="15" t="str">
        <f t="shared" si="0"/>
        <v/>
      </c>
      <c r="AF4987" s="15" t="str">
        <f t="shared" si="1"/>
        <v/>
      </c>
      <c r="AG4987" s="15" t="str">
        <f>IF(OR(AF4987="",AF4987="ERRO_CHAVE"),"",IFERROR(MATCH(AF4987,'Quitados DUPP'!$U$1:$U$6635,0),""))</f>
        <v/>
      </c>
      <c r="AH4987" s="15" t="str">
        <f t="shared" si="2"/>
        <v/>
      </c>
      <c r="AI4987" s="17" t="str">
        <f>IF(AG4987="","",INDEX('Quitados DUPP'!$G$1:$G$6635,AG4987))</f>
        <v/>
      </c>
      <c r="AJ4987" s="17" t="str">
        <f t="shared" si="3"/>
        <v/>
      </c>
    </row>
    <row r="4988" spans="31:36">
      <c r="AE4988" s="15" t="str">
        <f t="shared" si="0"/>
        <v/>
      </c>
      <c r="AF4988" s="15" t="str">
        <f t="shared" si="1"/>
        <v/>
      </c>
      <c r="AG4988" s="15" t="str">
        <f>IF(OR(AF4988="",AF4988="ERRO_CHAVE"),"",IFERROR(MATCH(AF4988,'Quitados DUPP'!$U$1:$U$6635,0),""))</f>
        <v/>
      </c>
      <c r="AH4988" s="15" t="str">
        <f t="shared" si="2"/>
        <v/>
      </c>
      <c r="AI4988" s="17" t="str">
        <f>IF(AG4988="","",INDEX('Quitados DUPP'!$G$1:$G$6635,AG4988))</f>
        <v/>
      </c>
      <c r="AJ4988" s="17" t="str">
        <f t="shared" si="3"/>
        <v/>
      </c>
    </row>
    <row r="4989" spans="31:36">
      <c r="AE4989" s="15" t="str">
        <f t="shared" si="0"/>
        <v/>
      </c>
      <c r="AF4989" s="15" t="str">
        <f t="shared" si="1"/>
        <v/>
      </c>
      <c r="AG4989" s="15" t="str">
        <f>IF(OR(AF4989="",AF4989="ERRO_CHAVE"),"",IFERROR(MATCH(AF4989,'Quitados DUPP'!$U$1:$U$6635,0),""))</f>
        <v/>
      </c>
      <c r="AH4989" s="15" t="str">
        <f t="shared" si="2"/>
        <v/>
      </c>
      <c r="AI4989" s="17" t="str">
        <f>IF(AG4989="","",INDEX('Quitados DUPP'!$G$1:$G$6635,AG4989))</f>
        <v/>
      </c>
      <c r="AJ4989" s="17" t="str">
        <f t="shared" si="3"/>
        <v/>
      </c>
    </row>
    <row r="4990" spans="31:36">
      <c r="AE4990" s="15" t="str">
        <f t="shared" si="0"/>
        <v/>
      </c>
      <c r="AF4990" s="15" t="str">
        <f t="shared" si="1"/>
        <v/>
      </c>
      <c r="AG4990" s="15" t="str">
        <f>IF(OR(AF4990="",AF4990="ERRO_CHAVE"),"",IFERROR(MATCH(AF4990,'Quitados DUPP'!$U$1:$U$6635,0),""))</f>
        <v/>
      </c>
      <c r="AH4990" s="15" t="str">
        <f t="shared" si="2"/>
        <v/>
      </c>
      <c r="AI4990" s="17" t="str">
        <f>IF(AG4990="","",INDEX('Quitados DUPP'!$G$1:$G$6635,AG4990))</f>
        <v/>
      </c>
      <c r="AJ4990" s="17" t="str">
        <f t="shared" si="3"/>
        <v/>
      </c>
    </row>
    <row r="4991" spans="31:36">
      <c r="AE4991" s="15" t="str">
        <f t="shared" si="0"/>
        <v/>
      </c>
      <c r="AF4991" s="15" t="str">
        <f t="shared" si="1"/>
        <v/>
      </c>
      <c r="AG4991" s="15" t="str">
        <f>IF(OR(AF4991="",AF4991="ERRO_CHAVE"),"",IFERROR(MATCH(AF4991,'Quitados DUPP'!$U$1:$U$6635,0),""))</f>
        <v/>
      </c>
      <c r="AH4991" s="15" t="str">
        <f t="shared" si="2"/>
        <v/>
      </c>
      <c r="AI4991" s="17" t="str">
        <f>IF(AG4991="","",INDEX('Quitados DUPP'!$G$1:$G$6635,AG4991))</f>
        <v/>
      </c>
      <c r="AJ4991" s="17" t="str">
        <f t="shared" si="3"/>
        <v/>
      </c>
    </row>
    <row r="4992" spans="31:36">
      <c r="AE4992" s="15" t="str">
        <f t="shared" si="0"/>
        <v/>
      </c>
      <c r="AF4992" s="15" t="str">
        <f t="shared" si="1"/>
        <v/>
      </c>
      <c r="AG4992" s="15" t="str">
        <f>IF(OR(AF4992="",AF4992="ERRO_CHAVE"),"",IFERROR(MATCH(AF4992,'Quitados DUPP'!$U$1:$U$6635,0),""))</f>
        <v/>
      </c>
      <c r="AH4992" s="15" t="str">
        <f t="shared" si="2"/>
        <v/>
      </c>
      <c r="AI4992" s="17" t="str">
        <f>IF(AG4992="","",INDEX('Quitados DUPP'!$G$1:$G$6635,AG4992))</f>
        <v/>
      </c>
      <c r="AJ4992" s="17" t="str">
        <f t="shared" si="3"/>
        <v/>
      </c>
    </row>
    <row r="4993" spans="31:36">
      <c r="AE4993" s="15" t="str">
        <f t="shared" si="0"/>
        <v/>
      </c>
      <c r="AF4993" s="15" t="str">
        <f t="shared" si="1"/>
        <v/>
      </c>
      <c r="AG4993" s="15" t="str">
        <f>IF(OR(AF4993="",AF4993="ERRO_CHAVE"),"",IFERROR(MATCH(AF4993,'Quitados DUPP'!$U$1:$U$6635,0),""))</f>
        <v/>
      </c>
      <c r="AH4993" s="15" t="str">
        <f t="shared" si="2"/>
        <v/>
      </c>
      <c r="AI4993" s="17" t="str">
        <f>IF(AG4993="","",INDEX('Quitados DUPP'!$G$1:$G$6635,AG4993))</f>
        <v/>
      </c>
      <c r="AJ4993" s="17" t="str">
        <f t="shared" si="3"/>
        <v/>
      </c>
    </row>
    <row r="4994" spans="31:36">
      <c r="AE4994" s="15" t="str">
        <f t="shared" si="0"/>
        <v/>
      </c>
      <c r="AF4994" s="15" t="str">
        <f t="shared" si="1"/>
        <v/>
      </c>
      <c r="AG4994" s="15" t="str">
        <f>IF(OR(AF4994="",AF4994="ERRO_CHAVE"),"",IFERROR(MATCH(AF4994,'Quitados DUPP'!$U$1:$U$6635,0),""))</f>
        <v/>
      </c>
      <c r="AH4994" s="15" t="str">
        <f t="shared" si="2"/>
        <v/>
      </c>
      <c r="AI4994" s="17" t="str">
        <f>IF(AG4994="","",INDEX('Quitados DUPP'!$G$1:$G$6635,AG4994))</f>
        <v/>
      </c>
      <c r="AJ4994" s="17" t="str">
        <f t="shared" si="3"/>
        <v/>
      </c>
    </row>
    <row r="4995" spans="31:36">
      <c r="AE4995" s="15" t="str">
        <f t="shared" si="0"/>
        <v/>
      </c>
      <c r="AF4995" s="15" t="str">
        <f t="shared" si="1"/>
        <v/>
      </c>
      <c r="AG4995" s="15" t="str">
        <f>IF(OR(AF4995="",AF4995="ERRO_CHAVE"),"",IFERROR(MATCH(AF4995,'Quitados DUPP'!$U$1:$U$6635,0),""))</f>
        <v/>
      </c>
      <c r="AH4995" s="15" t="str">
        <f t="shared" si="2"/>
        <v/>
      </c>
      <c r="AI4995" s="17" t="str">
        <f>IF(AG4995="","",INDEX('Quitados DUPP'!$G$1:$G$6635,AG4995))</f>
        <v/>
      </c>
      <c r="AJ4995" s="17" t="str">
        <f t="shared" si="3"/>
        <v/>
      </c>
    </row>
    <row r="4996" spans="31:36">
      <c r="AE4996" s="15" t="str">
        <f t="shared" si="0"/>
        <v/>
      </c>
      <c r="AF4996" s="15" t="str">
        <f t="shared" si="1"/>
        <v/>
      </c>
      <c r="AG4996" s="15" t="str">
        <f>IF(OR(AF4996="",AF4996="ERRO_CHAVE"),"",IFERROR(MATCH(AF4996,'Quitados DUPP'!$U$1:$U$6635,0),""))</f>
        <v/>
      </c>
      <c r="AH4996" s="15" t="str">
        <f t="shared" si="2"/>
        <v/>
      </c>
      <c r="AI4996" s="17" t="str">
        <f>IF(AG4996="","",INDEX('Quitados DUPP'!$G$1:$G$6635,AG4996))</f>
        <v/>
      </c>
      <c r="AJ4996" s="17" t="str">
        <f t="shared" si="3"/>
        <v/>
      </c>
    </row>
    <row r="4997" spans="31:36">
      <c r="AE4997" s="15" t="str">
        <f t="shared" si="0"/>
        <v/>
      </c>
      <c r="AF4997" s="15" t="str">
        <f t="shared" si="1"/>
        <v/>
      </c>
      <c r="AG4997" s="15" t="str">
        <f>IF(OR(AF4997="",AF4997="ERRO_CHAVE"),"",IFERROR(MATCH(AF4997,'Quitados DUPP'!$U$1:$U$6635,0),""))</f>
        <v/>
      </c>
      <c r="AH4997" s="15" t="str">
        <f t="shared" si="2"/>
        <v/>
      </c>
      <c r="AI4997" s="17" t="str">
        <f>IF(AG4997="","",INDEX('Quitados DUPP'!$G$1:$G$6635,AG4997))</f>
        <v/>
      </c>
      <c r="AJ4997" s="17" t="str">
        <f t="shared" si="3"/>
        <v/>
      </c>
    </row>
    <row r="4998" spans="31:36">
      <c r="AE4998" s="15" t="str">
        <f t="shared" si="0"/>
        <v/>
      </c>
      <c r="AF4998" s="15" t="str">
        <f t="shared" si="1"/>
        <v/>
      </c>
      <c r="AG4998" s="15" t="str">
        <f>IF(OR(AF4998="",AF4998="ERRO_CHAVE"),"",IFERROR(MATCH(AF4998,'Quitados DUPP'!$U$1:$U$6635,0),""))</f>
        <v/>
      </c>
      <c r="AH4998" s="15" t="str">
        <f t="shared" si="2"/>
        <v/>
      </c>
      <c r="AI4998" s="17" t="str">
        <f>IF(AG4998="","",INDEX('Quitados DUPP'!$G$1:$G$6635,AG4998))</f>
        <v/>
      </c>
      <c r="AJ4998" s="17" t="str">
        <f t="shared" si="3"/>
        <v/>
      </c>
    </row>
    <row r="4999" spans="31:36">
      <c r="AE4999" s="15" t="str">
        <f t="shared" si="0"/>
        <v/>
      </c>
      <c r="AF4999" s="15" t="str">
        <f t="shared" si="1"/>
        <v/>
      </c>
      <c r="AG4999" s="15" t="str">
        <f>IF(OR(AF4999="",AF4999="ERRO_CHAVE"),"",IFERROR(MATCH(AF4999,'Quitados DUPP'!$U$1:$U$6635,0),""))</f>
        <v/>
      </c>
      <c r="AH4999" s="15" t="str">
        <f t="shared" si="2"/>
        <v/>
      </c>
      <c r="AI4999" s="17" t="str">
        <f>IF(AG4999="","",INDEX('Quitados DUPP'!$G$1:$G$6635,AG4999))</f>
        <v/>
      </c>
      <c r="AJ4999" s="17" t="str">
        <f t="shared" si="3"/>
        <v/>
      </c>
    </row>
    <row r="5000" spans="31:36">
      <c r="AE5000" s="15" t="str">
        <f t="shared" si="0"/>
        <v/>
      </c>
      <c r="AF5000" s="15" t="str">
        <f t="shared" si="1"/>
        <v/>
      </c>
      <c r="AG5000" s="15" t="str">
        <f>IF(OR(AF5000="",AF5000="ERRO_CHAVE"),"",IFERROR(MATCH(AF5000,'Quitados DUPP'!$U$1:$U$6635,0),""))</f>
        <v/>
      </c>
      <c r="AH5000" s="15" t="str">
        <f t="shared" si="2"/>
        <v/>
      </c>
      <c r="AI5000" s="17" t="str">
        <f>IF(AG5000="","",INDEX('Quitados DUPP'!$G$1:$G$6635,AG5000))</f>
        <v/>
      </c>
      <c r="AJ5000" s="17" t="str">
        <f t="shared" si="3"/>
        <v/>
      </c>
    </row>
    <row r="5001" spans="31:36">
      <c r="AE5001" s="15" t="str">
        <f t="shared" si="0"/>
        <v/>
      </c>
      <c r="AF5001" s="15" t="str">
        <f t="shared" si="1"/>
        <v/>
      </c>
      <c r="AG5001" s="15" t="str">
        <f>IF(OR(AF5001="",AF5001="ERRO_CHAVE"),"",IFERROR(MATCH(AF5001,'Quitados DUPP'!$U$1:$U$6635,0),""))</f>
        <v/>
      </c>
      <c r="AH5001" s="15" t="str">
        <f t="shared" si="2"/>
        <v/>
      </c>
      <c r="AI5001" s="17" t="str">
        <f>IF(AG5001="","",INDEX('Quitados DUPP'!$G$1:$G$6635,AG5001))</f>
        <v/>
      </c>
      <c r="AJ5001" s="17" t="str">
        <f t="shared" si="3"/>
        <v/>
      </c>
    </row>
    <row r="5002" spans="31:36">
      <c r="AE5002" s="15" t="str">
        <f t="shared" si="0"/>
        <v/>
      </c>
      <c r="AF5002" s="15" t="str">
        <f t="shared" si="1"/>
        <v/>
      </c>
      <c r="AG5002" s="15" t="str">
        <f>IF(OR(AF5002="",AF5002="ERRO_CHAVE"),"",IFERROR(MATCH(AF5002,'Quitados DUPP'!$U$1:$U$6635,0),""))</f>
        <v/>
      </c>
      <c r="AH5002" s="15" t="str">
        <f t="shared" si="2"/>
        <v/>
      </c>
      <c r="AI5002" s="17" t="str">
        <f>IF(AG5002="","",INDEX('Quitados DUPP'!$G$1:$G$6635,AG5002))</f>
        <v/>
      </c>
      <c r="AJ5002" s="17" t="str">
        <f t="shared" si="3"/>
        <v/>
      </c>
    </row>
    <row r="5003" spans="31:36">
      <c r="AE5003" s="15" t="str">
        <f t="shared" si="0"/>
        <v/>
      </c>
      <c r="AF5003" s="15" t="str">
        <f t="shared" si="1"/>
        <v/>
      </c>
      <c r="AG5003" s="15" t="str">
        <f>IF(OR(AF5003="",AF5003="ERRO_CHAVE"),"",IFERROR(MATCH(AF5003,'Quitados DUPP'!$U$1:$U$6635,0),""))</f>
        <v/>
      </c>
      <c r="AH5003" s="15" t="str">
        <f t="shared" si="2"/>
        <v/>
      </c>
      <c r="AI5003" s="17" t="str">
        <f>IF(AG5003="","",INDEX('Quitados DUPP'!$G$1:$G$6635,AG5003))</f>
        <v/>
      </c>
      <c r="AJ5003" s="17" t="str">
        <f t="shared" si="3"/>
        <v/>
      </c>
    </row>
    <row r="5004" spans="31:36">
      <c r="AE5004" s="15" t="str">
        <f t="shared" si="0"/>
        <v/>
      </c>
      <c r="AF5004" s="15" t="str">
        <f t="shared" si="1"/>
        <v/>
      </c>
      <c r="AG5004" s="15" t="str">
        <f>IF(OR(AF5004="",AF5004="ERRO_CHAVE"),"",IFERROR(MATCH(AF5004,'Quitados DUPP'!$U$1:$U$6635,0),""))</f>
        <v/>
      </c>
      <c r="AH5004" s="15" t="str">
        <f t="shared" si="2"/>
        <v/>
      </c>
      <c r="AI5004" s="17" t="str">
        <f>IF(AG5004="","",INDEX('Quitados DUPP'!$G$1:$G$6635,AG5004))</f>
        <v/>
      </c>
      <c r="AJ5004" s="17" t="str">
        <f t="shared" si="3"/>
        <v/>
      </c>
    </row>
    <row r="5005" spans="31:36">
      <c r="AE5005" s="15" t="str">
        <f t="shared" si="0"/>
        <v/>
      </c>
      <c r="AF5005" s="15" t="str">
        <f t="shared" si="1"/>
        <v/>
      </c>
      <c r="AG5005" s="15" t="str">
        <f>IF(OR(AF5005="",AF5005="ERRO_CHAVE"),"",IFERROR(MATCH(AF5005,'Quitados DUPP'!$U$1:$U$6635,0),""))</f>
        <v/>
      </c>
      <c r="AH5005" s="15" t="str">
        <f t="shared" si="2"/>
        <v/>
      </c>
      <c r="AI5005" s="17" t="str">
        <f>IF(AG5005="","",INDEX('Quitados DUPP'!$G$1:$G$6635,AG5005))</f>
        <v/>
      </c>
      <c r="AJ5005" s="17" t="str">
        <f t="shared" si="3"/>
        <v/>
      </c>
    </row>
    <row r="5006" spans="31:36">
      <c r="AE5006" s="15" t="str">
        <f t="shared" si="0"/>
        <v/>
      </c>
      <c r="AF5006" s="15" t="str">
        <f t="shared" si="1"/>
        <v/>
      </c>
      <c r="AG5006" s="15" t="str">
        <f>IF(OR(AF5006="",AF5006="ERRO_CHAVE"),"",IFERROR(MATCH(AF5006,'Quitados DUPP'!$U$1:$U$6635,0),""))</f>
        <v/>
      </c>
      <c r="AH5006" s="15" t="str">
        <f t="shared" si="2"/>
        <v/>
      </c>
      <c r="AI5006" s="17" t="str">
        <f>IF(AG5006="","",INDEX('Quitados DUPP'!$G$1:$G$6635,AG5006))</f>
        <v/>
      </c>
      <c r="AJ5006" s="17" t="str">
        <f t="shared" si="3"/>
        <v/>
      </c>
    </row>
    <row r="5007" spans="31:36">
      <c r="AE5007" s="15" t="str">
        <f t="shared" si="0"/>
        <v/>
      </c>
      <c r="AF5007" s="15" t="str">
        <f t="shared" si="1"/>
        <v/>
      </c>
      <c r="AG5007" s="15" t="str">
        <f>IF(OR(AF5007="",AF5007="ERRO_CHAVE"),"",IFERROR(MATCH(AF5007,'Quitados DUPP'!$U$1:$U$6635,0),""))</f>
        <v/>
      </c>
      <c r="AH5007" s="15" t="str">
        <f t="shared" si="2"/>
        <v/>
      </c>
      <c r="AI5007" s="17" t="str">
        <f>IF(AG5007="","",INDEX('Quitados DUPP'!$G$1:$G$6635,AG5007))</f>
        <v/>
      </c>
      <c r="AJ5007" s="17" t="str">
        <f t="shared" si="3"/>
        <v/>
      </c>
    </row>
    <row r="5008" spans="31:36">
      <c r="AE5008" s="15" t="str">
        <f t="shared" si="0"/>
        <v/>
      </c>
      <c r="AF5008" s="15" t="str">
        <f t="shared" si="1"/>
        <v/>
      </c>
      <c r="AG5008" s="15" t="str">
        <f>IF(OR(AF5008="",AF5008="ERRO_CHAVE"),"",IFERROR(MATCH(AF5008,'Quitados DUPP'!$U$1:$U$6635,0),""))</f>
        <v/>
      </c>
      <c r="AH5008" s="15" t="str">
        <f t="shared" si="2"/>
        <v/>
      </c>
      <c r="AI5008" s="17" t="str">
        <f>IF(AG5008="","",INDEX('Quitados DUPP'!$G$1:$G$6635,AG5008))</f>
        <v/>
      </c>
      <c r="AJ5008" s="17" t="str">
        <f t="shared" si="3"/>
        <v/>
      </c>
    </row>
    <row r="5009" spans="31:36">
      <c r="AE5009" s="15" t="str">
        <f t="shared" si="0"/>
        <v/>
      </c>
      <c r="AF5009" s="15" t="str">
        <f t="shared" si="1"/>
        <v/>
      </c>
      <c r="AG5009" s="15" t="str">
        <f>IF(OR(AF5009="",AF5009="ERRO_CHAVE"),"",IFERROR(MATCH(AF5009,'Quitados DUPP'!$U$1:$U$6635,0),""))</f>
        <v/>
      </c>
      <c r="AH5009" s="15" t="str">
        <f t="shared" si="2"/>
        <v/>
      </c>
      <c r="AI5009" s="17" t="str">
        <f>IF(AG5009="","",INDEX('Quitados DUPP'!$G$1:$G$6635,AG5009))</f>
        <v/>
      </c>
      <c r="AJ5009" s="17" t="str">
        <f t="shared" si="3"/>
        <v/>
      </c>
    </row>
    <row r="5010" spans="31:36">
      <c r="AE5010" s="15" t="str">
        <f t="shared" si="0"/>
        <v/>
      </c>
      <c r="AF5010" s="15" t="str">
        <f t="shared" si="1"/>
        <v/>
      </c>
      <c r="AG5010" s="15" t="str">
        <f>IF(OR(AF5010="",AF5010="ERRO_CHAVE"),"",IFERROR(MATCH(AF5010,'Quitados DUPP'!$U$1:$U$6635,0),""))</f>
        <v/>
      </c>
      <c r="AH5010" s="15" t="str">
        <f t="shared" si="2"/>
        <v/>
      </c>
      <c r="AI5010" s="17" t="str">
        <f>IF(AG5010="","",INDEX('Quitados DUPP'!$G$1:$G$6635,AG5010))</f>
        <v/>
      </c>
      <c r="AJ5010" s="17" t="str">
        <f t="shared" si="3"/>
        <v/>
      </c>
    </row>
    <row r="5011" spans="31:36">
      <c r="AE5011" s="15" t="str">
        <f t="shared" si="0"/>
        <v/>
      </c>
      <c r="AF5011" s="15" t="str">
        <f t="shared" si="1"/>
        <v/>
      </c>
      <c r="AG5011" s="15" t="str">
        <f>IF(OR(AF5011="",AF5011="ERRO_CHAVE"),"",IFERROR(MATCH(AF5011,'Quitados DUPP'!$U$1:$U$6635,0),""))</f>
        <v/>
      </c>
      <c r="AH5011" s="15" t="str">
        <f t="shared" si="2"/>
        <v/>
      </c>
      <c r="AI5011" s="17" t="str">
        <f>IF(AG5011="","",INDEX('Quitados DUPP'!$G$1:$G$6635,AG5011))</f>
        <v/>
      </c>
      <c r="AJ5011" s="17" t="str">
        <f t="shared" si="3"/>
        <v/>
      </c>
    </row>
    <row r="5012" spans="31:36">
      <c r="AE5012" s="15" t="str">
        <f t="shared" si="0"/>
        <v/>
      </c>
      <c r="AF5012" s="15" t="str">
        <f t="shared" si="1"/>
        <v/>
      </c>
      <c r="AG5012" s="15" t="str">
        <f>IF(OR(AF5012="",AF5012="ERRO_CHAVE"),"",IFERROR(MATCH(AF5012,'Quitados DUPP'!$U$1:$U$6635,0),""))</f>
        <v/>
      </c>
      <c r="AH5012" s="15" t="str">
        <f t="shared" si="2"/>
        <v/>
      </c>
      <c r="AI5012" s="17" t="str">
        <f>IF(AG5012="","",INDEX('Quitados DUPP'!$G$1:$G$6635,AG5012))</f>
        <v/>
      </c>
      <c r="AJ5012" s="17" t="str">
        <f t="shared" si="3"/>
        <v/>
      </c>
    </row>
    <row r="5013" spans="31:36">
      <c r="AE5013" s="15" t="str">
        <f t="shared" si="0"/>
        <v/>
      </c>
      <c r="AF5013" s="15" t="str">
        <f t="shared" si="1"/>
        <v/>
      </c>
      <c r="AG5013" s="15" t="str">
        <f>IF(OR(AF5013="",AF5013="ERRO_CHAVE"),"",IFERROR(MATCH(AF5013,'Quitados DUPP'!$U$1:$U$6635,0),""))</f>
        <v/>
      </c>
      <c r="AH5013" s="15" t="str">
        <f t="shared" si="2"/>
        <v/>
      </c>
      <c r="AI5013" s="17" t="str">
        <f>IF(AG5013="","",INDEX('Quitados DUPP'!$G$1:$G$6635,AG5013))</f>
        <v/>
      </c>
      <c r="AJ5013" s="17" t="str">
        <f t="shared" si="3"/>
        <v/>
      </c>
    </row>
    <row r="5014" spans="31:36">
      <c r="AE5014" s="15" t="str">
        <f t="shared" si="0"/>
        <v/>
      </c>
      <c r="AF5014" s="15" t="str">
        <f t="shared" si="1"/>
        <v/>
      </c>
      <c r="AG5014" s="15" t="str">
        <f>IF(OR(AF5014="",AF5014="ERRO_CHAVE"),"",IFERROR(MATCH(AF5014,'Quitados DUPP'!$U$1:$U$6635,0),""))</f>
        <v/>
      </c>
      <c r="AH5014" s="15" t="str">
        <f t="shared" si="2"/>
        <v/>
      </c>
      <c r="AI5014" s="17" t="str">
        <f>IF(AG5014="","",INDEX('Quitados DUPP'!$G$1:$G$6635,AG5014))</f>
        <v/>
      </c>
      <c r="AJ5014" s="17" t="str">
        <f t="shared" si="3"/>
        <v/>
      </c>
    </row>
    <row r="5015" spans="31:36">
      <c r="AE5015" s="15" t="str">
        <f t="shared" si="0"/>
        <v/>
      </c>
      <c r="AF5015" s="15" t="str">
        <f t="shared" si="1"/>
        <v/>
      </c>
      <c r="AG5015" s="15" t="str">
        <f>IF(OR(AF5015="",AF5015="ERRO_CHAVE"),"",IFERROR(MATCH(AF5015,'Quitados DUPP'!$U$1:$U$6635,0),""))</f>
        <v/>
      </c>
      <c r="AH5015" s="15" t="str">
        <f t="shared" si="2"/>
        <v/>
      </c>
      <c r="AI5015" s="17" t="str">
        <f>IF(AG5015="","",INDEX('Quitados DUPP'!$G$1:$G$6635,AG5015))</f>
        <v/>
      </c>
      <c r="AJ5015" s="17" t="str">
        <f t="shared" si="3"/>
        <v/>
      </c>
    </row>
    <row r="5016" spans="31:36">
      <c r="AE5016" s="15" t="str">
        <f t="shared" si="0"/>
        <v/>
      </c>
      <c r="AF5016" s="15" t="str">
        <f t="shared" si="1"/>
        <v/>
      </c>
      <c r="AG5016" s="15" t="str">
        <f>IF(OR(AF5016="",AF5016="ERRO_CHAVE"),"",IFERROR(MATCH(AF5016,'Quitados DUPP'!$U$1:$U$6635,0),""))</f>
        <v/>
      </c>
      <c r="AH5016" s="15" t="str">
        <f t="shared" si="2"/>
        <v/>
      </c>
      <c r="AI5016" s="17" t="str">
        <f>IF(AG5016="","",INDEX('Quitados DUPP'!$G$1:$G$6635,AG5016))</f>
        <v/>
      </c>
      <c r="AJ5016" s="17" t="str">
        <f t="shared" si="3"/>
        <v/>
      </c>
    </row>
    <row r="5017" spans="31:36">
      <c r="AE5017" s="15" t="str">
        <f t="shared" si="0"/>
        <v/>
      </c>
      <c r="AF5017" s="15" t="str">
        <f t="shared" si="1"/>
        <v/>
      </c>
      <c r="AG5017" s="15" t="str">
        <f>IF(OR(AF5017="",AF5017="ERRO_CHAVE"),"",IFERROR(MATCH(AF5017,'Quitados DUPP'!$U$1:$U$6635,0),""))</f>
        <v/>
      </c>
      <c r="AH5017" s="15" t="str">
        <f t="shared" si="2"/>
        <v/>
      </c>
      <c r="AI5017" s="17" t="str">
        <f>IF(AG5017="","",INDEX('Quitados DUPP'!$G$1:$G$6635,AG5017))</f>
        <v/>
      </c>
      <c r="AJ5017" s="17" t="str">
        <f t="shared" si="3"/>
        <v/>
      </c>
    </row>
    <row r="5018" spans="31:36">
      <c r="AE5018" s="15" t="str">
        <f t="shared" si="0"/>
        <v/>
      </c>
      <c r="AF5018" s="15" t="str">
        <f t="shared" si="1"/>
        <v/>
      </c>
      <c r="AG5018" s="15" t="str">
        <f>IF(OR(AF5018="",AF5018="ERRO_CHAVE"),"",IFERROR(MATCH(AF5018,'Quitados DUPP'!$U$1:$U$6635,0),""))</f>
        <v/>
      </c>
      <c r="AH5018" s="15" t="str">
        <f t="shared" si="2"/>
        <v/>
      </c>
      <c r="AI5018" s="17" t="str">
        <f>IF(AG5018="","",INDEX('Quitados DUPP'!$G$1:$G$6635,AG5018))</f>
        <v/>
      </c>
      <c r="AJ5018" s="17" t="str">
        <f t="shared" si="3"/>
        <v/>
      </c>
    </row>
    <row r="5019" spans="31:36">
      <c r="AE5019" s="15" t="str">
        <f t="shared" si="0"/>
        <v/>
      </c>
      <c r="AF5019" s="15" t="str">
        <f t="shared" si="1"/>
        <v/>
      </c>
      <c r="AG5019" s="15" t="str">
        <f>IF(OR(AF5019="",AF5019="ERRO_CHAVE"),"",IFERROR(MATCH(AF5019,'Quitados DUPP'!$U$1:$U$6635,0),""))</f>
        <v/>
      </c>
      <c r="AH5019" s="15" t="str">
        <f t="shared" si="2"/>
        <v/>
      </c>
      <c r="AI5019" s="17" t="str">
        <f>IF(AG5019="","",INDEX('Quitados DUPP'!$G$1:$G$6635,AG5019))</f>
        <v/>
      </c>
      <c r="AJ5019" s="17" t="str">
        <f t="shared" si="3"/>
        <v/>
      </c>
    </row>
    <row r="5020" spans="31:36">
      <c r="AE5020" s="15" t="str">
        <f t="shared" si="0"/>
        <v/>
      </c>
      <c r="AF5020" s="15" t="str">
        <f t="shared" si="1"/>
        <v/>
      </c>
      <c r="AG5020" s="15" t="str">
        <f>IF(OR(AF5020="",AF5020="ERRO_CHAVE"),"",IFERROR(MATCH(AF5020,'Quitados DUPP'!$U$1:$U$6635,0),""))</f>
        <v/>
      </c>
      <c r="AH5020" s="15" t="str">
        <f t="shared" si="2"/>
        <v/>
      </c>
      <c r="AI5020" s="17" t="str">
        <f>IF(AG5020="","",INDEX('Quitados DUPP'!$G$1:$G$6635,AG5020))</f>
        <v/>
      </c>
      <c r="AJ5020" s="17" t="str">
        <f t="shared" si="3"/>
        <v/>
      </c>
    </row>
    <row r="5021" spans="31:36">
      <c r="AE5021" s="15" t="str">
        <f t="shared" si="0"/>
        <v/>
      </c>
      <c r="AF5021" s="15" t="str">
        <f t="shared" si="1"/>
        <v/>
      </c>
      <c r="AG5021" s="15" t="str">
        <f>IF(OR(AF5021="",AF5021="ERRO_CHAVE"),"",IFERROR(MATCH(AF5021,'Quitados DUPP'!$U$1:$U$6635,0),""))</f>
        <v/>
      </c>
      <c r="AH5021" s="15" t="str">
        <f t="shared" si="2"/>
        <v/>
      </c>
      <c r="AI5021" s="17" t="str">
        <f>IF(AG5021="","",INDEX('Quitados DUPP'!$G$1:$G$6635,AG5021))</f>
        <v/>
      </c>
      <c r="AJ5021" s="17" t="str">
        <f t="shared" si="3"/>
        <v/>
      </c>
    </row>
    <row r="5022" spans="31:36">
      <c r="AE5022" s="15" t="str">
        <f t="shared" si="0"/>
        <v/>
      </c>
      <c r="AF5022" s="15" t="str">
        <f t="shared" si="1"/>
        <v/>
      </c>
      <c r="AG5022" s="15" t="str">
        <f>IF(OR(AF5022="",AF5022="ERRO_CHAVE"),"",IFERROR(MATCH(AF5022,'Quitados DUPP'!$U$1:$U$6635,0),""))</f>
        <v/>
      </c>
      <c r="AH5022" s="15" t="str">
        <f t="shared" si="2"/>
        <v/>
      </c>
      <c r="AI5022" s="17" t="str">
        <f>IF(AG5022="","",INDEX('Quitados DUPP'!$G$1:$G$6635,AG5022))</f>
        <v/>
      </c>
      <c r="AJ5022" s="17" t="str">
        <f t="shared" si="3"/>
        <v/>
      </c>
    </row>
    <row r="5023" spans="31:36">
      <c r="AE5023" s="15" t="str">
        <f t="shared" si="0"/>
        <v/>
      </c>
      <c r="AF5023" s="15" t="str">
        <f t="shared" si="1"/>
        <v/>
      </c>
      <c r="AG5023" s="15" t="str">
        <f>IF(OR(AF5023="",AF5023="ERRO_CHAVE"),"",IFERROR(MATCH(AF5023,'Quitados DUPP'!$U$1:$U$6635,0),""))</f>
        <v/>
      </c>
      <c r="AH5023" s="15" t="str">
        <f t="shared" si="2"/>
        <v/>
      </c>
      <c r="AI5023" s="17" t="str">
        <f>IF(AG5023="","",INDEX('Quitados DUPP'!$G$1:$G$6635,AG5023))</f>
        <v/>
      </c>
      <c r="AJ5023" s="17" t="str">
        <f t="shared" si="3"/>
        <v/>
      </c>
    </row>
    <row r="5024" spans="31:36">
      <c r="AE5024" s="15" t="str">
        <f t="shared" si="0"/>
        <v/>
      </c>
      <c r="AF5024" s="15" t="str">
        <f t="shared" si="1"/>
        <v/>
      </c>
      <c r="AG5024" s="15" t="str">
        <f>IF(OR(AF5024="",AF5024="ERRO_CHAVE"),"",IFERROR(MATCH(AF5024,'Quitados DUPP'!$U$1:$U$6635,0),""))</f>
        <v/>
      </c>
      <c r="AH5024" s="15" t="str">
        <f t="shared" si="2"/>
        <v/>
      </c>
      <c r="AI5024" s="17" t="str">
        <f>IF(AG5024="","",INDEX('Quitados DUPP'!$G$1:$G$6635,AG5024))</f>
        <v/>
      </c>
      <c r="AJ5024" s="17" t="str">
        <f t="shared" si="3"/>
        <v/>
      </c>
    </row>
    <row r="5025" spans="31:36">
      <c r="AE5025" s="15" t="str">
        <f t="shared" si="0"/>
        <v/>
      </c>
      <c r="AF5025" s="15" t="str">
        <f t="shared" si="1"/>
        <v/>
      </c>
      <c r="AG5025" s="15" t="str">
        <f>IF(OR(AF5025="",AF5025="ERRO_CHAVE"),"",IFERROR(MATCH(AF5025,'Quitados DUPP'!$U$1:$U$6635,0),""))</f>
        <v/>
      </c>
      <c r="AH5025" s="15" t="str">
        <f t="shared" si="2"/>
        <v/>
      </c>
      <c r="AI5025" s="17" t="str">
        <f>IF(AG5025="","",INDEX('Quitados DUPP'!$G$1:$G$6635,AG5025))</f>
        <v/>
      </c>
      <c r="AJ5025" s="17" t="str">
        <f t="shared" si="3"/>
        <v/>
      </c>
    </row>
    <row r="5026" spans="31:36">
      <c r="AE5026" s="15" t="str">
        <f t="shared" si="0"/>
        <v/>
      </c>
      <c r="AF5026" s="15" t="str">
        <f t="shared" si="1"/>
        <v/>
      </c>
      <c r="AG5026" s="15" t="str">
        <f>IF(OR(AF5026="",AF5026="ERRO_CHAVE"),"",IFERROR(MATCH(AF5026,'Quitados DUPP'!$U$1:$U$6635,0),""))</f>
        <v/>
      </c>
      <c r="AH5026" s="15" t="str">
        <f t="shared" si="2"/>
        <v/>
      </c>
      <c r="AI5026" s="17" t="str">
        <f>IF(AG5026="","",INDEX('Quitados DUPP'!$G$1:$G$6635,AG5026))</f>
        <v/>
      </c>
      <c r="AJ5026" s="17" t="str">
        <f t="shared" si="3"/>
        <v/>
      </c>
    </row>
    <row r="5027" spans="31:36">
      <c r="AE5027" s="15" t="str">
        <f t="shared" si="0"/>
        <v/>
      </c>
      <c r="AF5027" s="15" t="str">
        <f t="shared" si="1"/>
        <v/>
      </c>
      <c r="AG5027" s="15" t="str">
        <f>IF(OR(AF5027="",AF5027="ERRO_CHAVE"),"",IFERROR(MATCH(AF5027,'Quitados DUPP'!$U$1:$U$6635,0),""))</f>
        <v/>
      </c>
      <c r="AH5027" s="15" t="str">
        <f t="shared" si="2"/>
        <v/>
      </c>
      <c r="AI5027" s="17" t="str">
        <f>IF(AG5027="","",INDEX('Quitados DUPP'!$G$1:$G$6635,AG5027))</f>
        <v/>
      </c>
      <c r="AJ5027" s="17" t="str">
        <f t="shared" si="3"/>
        <v/>
      </c>
    </row>
    <row r="5028" spans="31:36">
      <c r="AE5028" s="15" t="str">
        <f t="shared" si="0"/>
        <v/>
      </c>
      <c r="AF5028" s="15" t="str">
        <f t="shared" si="1"/>
        <v/>
      </c>
      <c r="AG5028" s="15" t="str">
        <f>IF(OR(AF5028="",AF5028="ERRO_CHAVE"),"",IFERROR(MATCH(AF5028,'Quitados DUPP'!$U$1:$U$6635,0),""))</f>
        <v/>
      </c>
      <c r="AH5028" s="15" t="str">
        <f t="shared" si="2"/>
        <v/>
      </c>
      <c r="AI5028" s="17" t="str">
        <f>IF(AG5028="","",INDEX('Quitados DUPP'!$G$1:$G$6635,AG5028))</f>
        <v/>
      </c>
      <c r="AJ5028" s="17" t="str">
        <f t="shared" si="3"/>
        <v/>
      </c>
    </row>
    <row r="5029" spans="31:36">
      <c r="AE5029" s="15" t="str">
        <f t="shared" si="0"/>
        <v/>
      </c>
      <c r="AF5029" s="15" t="str">
        <f t="shared" si="1"/>
        <v/>
      </c>
      <c r="AG5029" s="15" t="str">
        <f>IF(OR(AF5029="",AF5029="ERRO_CHAVE"),"",IFERROR(MATCH(AF5029,'Quitados DUPP'!$U$1:$U$6635,0),""))</f>
        <v/>
      </c>
      <c r="AH5029" s="15" t="str">
        <f t="shared" si="2"/>
        <v/>
      </c>
      <c r="AI5029" s="17" t="str">
        <f>IF(AG5029="","",INDEX('Quitados DUPP'!$G$1:$G$6635,AG5029))</f>
        <v/>
      </c>
      <c r="AJ5029" s="17" t="str">
        <f t="shared" si="3"/>
        <v/>
      </c>
    </row>
    <row r="5030" spans="31:36">
      <c r="AE5030" s="15" t="str">
        <f t="shared" si="0"/>
        <v/>
      </c>
      <c r="AF5030" s="15" t="str">
        <f t="shared" si="1"/>
        <v/>
      </c>
      <c r="AG5030" s="15" t="str">
        <f>IF(OR(AF5030="",AF5030="ERRO_CHAVE"),"",IFERROR(MATCH(AF5030,'Quitados DUPP'!$U$1:$U$6635,0),""))</f>
        <v/>
      </c>
      <c r="AH5030" s="15" t="str">
        <f t="shared" si="2"/>
        <v/>
      </c>
      <c r="AI5030" s="17" t="str">
        <f>IF(AG5030="","",INDEX('Quitados DUPP'!$G$1:$G$6635,AG5030))</f>
        <v/>
      </c>
      <c r="AJ5030" s="17" t="str">
        <f t="shared" si="3"/>
        <v/>
      </c>
    </row>
    <row r="5031" spans="31:36">
      <c r="AE5031" s="15" t="str">
        <f t="shared" si="0"/>
        <v/>
      </c>
      <c r="AF5031" s="15" t="str">
        <f t="shared" si="1"/>
        <v/>
      </c>
      <c r="AG5031" s="15" t="str">
        <f>IF(OR(AF5031="",AF5031="ERRO_CHAVE"),"",IFERROR(MATCH(AF5031,'Quitados DUPP'!$U$1:$U$6635,0),""))</f>
        <v/>
      </c>
      <c r="AH5031" s="15" t="str">
        <f t="shared" si="2"/>
        <v/>
      </c>
      <c r="AI5031" s="17" t="str">
        <f>IF(AG5031="","",INDEX('Quitados DUPP'!$G$1:$G$6635,AG5031))</f>
        <v/>
      </c>
      <c r="AJ5031" s="17" t="str">
        <f t="shared" si="3"/>
        <v/>
      </c>
    </row>
    <row r="5032" spans="31:36">
      <c r="AE5032" s="15" t="str">
        <f t="shared" si="0"/>
        <v/>
      </c>
      <c r="AF5032" s="15" t="str">
        <f t="shared" si="1"/>
        <v/>
      </c>
      <c r="AG5032" s="15" t="str">
        <f>IF(OR(AF5032="",AF5032="ERRO_CHAVE"),"",IFERROR(MATCH(AF5032,'Quitados DUPP'!$U$1:$U$6635,0),""))</f>
        <v/>
      </c>
      <c r="AH5032" s="15" t="str">
        <f t="shared" si="2"/>
        <v/>
      </c>
      <c r="AI5032" s="17" t="str">
        <f>IF(AG5032="","",INDEX('Quitados DUPP'!$G$1:$G$6635,AG5032))</f>
        <v/>
      </c>
      <c r="AJ5032" s="17" t="str">
        <f t="shared" si="3"/>
        <v/>
      </c>
    </row>
    <row r="5033" spans="31:36">
      <c r="AE5033" s="15" t="str">
        <f t="shared" si="0"/>
        <v/>
      </c>
      <c r="AF5033" s="15" t="str">
        <f t="shared" si="1"/>
        <v/>
      </c>
      <c r="AG5033" s="15" t="str">
        <f>IF(OR(AF5033="",AF5033="ERRO_CHAVE"),"",IFERROR(MATCH(AF5033,'Quitados DUPP'!$U$1:$U$6635,0),""))</f>
        <v/>
      </c>
      <c r="AH5033" s="15" t="str">
        <f t="shared" si="2"/>
        <v/>
      </c>
      <c r="AI5033" s="17" t="str">
        <f>IF(AG5033="","",INDEX('Quitados DUPP'!$G$1:$G$6635,AG5033))</f>
        <v/>
      </c>
      <c r="AJ5033" s="17" t="str">
        <f t="shared" si="3"/>
        <v/>
      </c>
    </row>
    <row r="5034" spans="31:36">
      <c r="AE5034" s="15" t="str">
        <f t="shared" si="0"/>
        <v/>
      </c>
      <c r="AF5034" s="15" t="str">
        <f t="shared" si="1"/>
        <v/>
      </c>
      <c r="AG5034" s="15" t="str">
        <f>IF(OR(AF5034="",AF5034="ERRO_CHAVE"),"",IFERROR(MATCH(AF5034,'Quitados DUPP'!$U$1:$U$6635,0),""))</f>
        <v/>
      </c>
      <c r="AH5034" s="15" t="str">
        <f t="shared" si="2"/>
        <v/>
      </c>
      <c r="AI5034" s="17" t="str">
        <f>IF(AG5034="","",INDEX('Quitados DUPP'!$G$1:$G$6635,AG5034))</f>
        <v/>
      </c>
      <c r="AJ5034" s="17" t="str">
        <f t="shared" si="3"/>
        <v/>
      </c>
    </row>
    <row r="5035" spans="31:36">
      <c r="AE5035" s="15" t="str">
        <f t="shared" si="0"/>
        <v/>
      </c>
      <c r="AF5035" s="15" t="str">
        <f t="shared" si="1"/>
        <v/>
      </c>
      <c r="AG5035" s="15" t="str">
        <f>IF(OR(AF5035="",AF5035="ERRO_CHAVE"),"",IFERROR(MATCH(AF5035,'Quitados DUPP'!$U$1:$U$6635,0),""))</f>
        <v/>
      </c>
      <c r="AH5035" s="15" t="str">
        <f t="shared" si="2"/>
        <v/>
      </c>
      <c r="AI5035" s="17" t="str">
        <f>IF(AG5035="","",INDEX('Quitados DUPP'!$G$1:$G$6635,AG5035))</f>
        <v/>
      </c>
      <c r="AJ5035" s="17" t="str">
        <f t="shared" si="3"/>
        <v/>
      </c>
    </row>
    <row r="5036" spans="31:36">
      <c r="AE5036" s="15" t="str">
        <f t="shared" si="0"/>
        <v/>
      </c>
      <c r="AF5036" s="15" t="str">
        <f t="shared" si="1"/>
        <v/>
      </c>
      <c r="AG5036" s="15" t="str">
        <f>IF(OR(AF5036="",AF5036="ERRO_CHAVE"),"",IFERROR(MATCH(AF5036,'Quitados DUPP'!$U$1:$U$6635,0),""))</f>
        <v/>
      </c>
      <c r="AH5036" s="15" t="str">
        <f t="shared" si="2"/>
        <v/>
      </c>
      <c r="AI5036" s="17" t="str">
        <f>IF(AG5036="","",INDEX('Quitados DUPP'!$G$1:$G$6635,AG5036))</f>
        <v/>
      </c>
      <c r="AJ5036" s="17" t="str">
        <f t="shared" si="3"/>
        <v/>
      </c>
    </row>
    <row r="5037" spans="31:36">
      <c r="AE5037" s="15" t="str">
        <f t="shared" si="0"/>
        <v/>
      </c>
      <c r="AF5037" s="15" t="str">
        <f t="shared" si="1"/>
        <v/>
      </c>
      <c r="AG5037" s="15" t="str">
        <f>IF(OR(AF5037="",AF5037="ERRO_CHAVE"),"",IFERROR(MATCH(AF5037,'Quitados DUPP'!$U$1:$U$6635,0),""))</f>
        <v/>
      </c>
      <c r="AH5037" s="15" t="str">
        <f t="shared" si="2"/>
        <v/>
      </c>
      <c r="AI5037" s="17" t="str">
        <f>IF(AG5037="","",INDEX('Quitados DUPP'!$G$1:$G$6635,AG5037))</f>
        <v/>
      </c>
      <c r="AJ5037" s="17" t="str">
        <f t="shared" si="3"/>
        <v/>
      </c>
    </row>
    <row r="5038" spans="31:36">
      <c r="AE5038" s="15" t="str">
        <f t="shared" si="0"/>
        <v/>
      </c>
      <c r="AF5038" s="15" t="str">
        <f t="shared" si="1"/>
        <v/>
      </c>
      <c r="AG5038" s="15" t="str">
        <f>IF(OR(AF5038="",AF5038="ERRO_CHAVE"),"",IFERROR(MATCH(AF5038,'Quitados DUPP'!$U$1:$U$6635,0),""))</f>
        <v/>
      </c>
      <c r="AH5038" s="15" t="str">
        <f t="shared" si="2"/>
        <v/>
      </c>
      <c r="AI5038" s="17" t="str">
        <f>IF(AG5038="","",INDEX('Quitados DUPP'!$G$1:$G$6635,AG5038))</f>
        <v/>
      </c>
      <c r="AJ5038" s="17" t="str">
        <f t="shared" si="3"/>
        <v/>
      </c>
    </row>
    <row r="5039" spans="31:36">
      <c r="AE5039" s="15" t="str">
        <f t="shared" si="0"/>
        <v/>
      </c>
      <c r="AF5039" s="15" t="str">
        <f t="shared" si="1"/>
        <v/>
      </c>
      <c r="AG5039" s="15" t="str">
        <f>IF(OR(AF5039="",AF5039="ERRO_CHAVE"),"",IFERROR(MATCH(AF5039,'Quitados DUPP'!$U$1:$U$6635,0),""))</f>
        <v/>
      </c>
      <c r="AH5039" s="15" t="str">
        <f t="shared" si="2"/>
        <v/>
      </c>
      <c r="AI5039" s="17" t="str">
        <f>IF(AG5039="","",INDEX('Quitados DUPP'!$G$1:$G$6635,AG5039))</f>
        <v/>
      </c>
      <c r="AJ5039" s="17" t="str">
        <f t="shared" si="3"/>
        <v/>
      </c>
    </row>
    <row r="5040" spans="31:36">
      <c r="AE5040" s="15" t="str">
        <f t="shared" si="0"/>
        <v/>
      </c>
      <c r="AF5040" s="15" t="str">
        <f t="shared" si="1"/>
        <v/>
      </c>
      <c r="AG5040" s="15" t="str">
        <f>IF(OR(AF5040="",AF5040="ERRO_CHAVE"),"",IFERROR(MATCH(AF5040,'Quitados DUPP'!$U$1:$U$6635,0),""))</f>
        <v/>
      </c>
      <c r="AH5040" s="15" t="str">
        <f t="shared" si="2"/>
        <v/>
      </c>
      <c r="AI5040" s="17" t="str">
        <f>IF(AG5040="","",INDEX('Quitados DUPP'!$G$1:$G$6635,AG5040))</f>
        <v/>
      </c>
      <c r="AJ5040" s="17" t="str">
        <f t="shared" si="3"/>
        <v/>
      </c>
    </row>
    <row r="5041" spans="31:36">
      <c r="AE5041" s="15" t="str">
        <f t="shared" si="0"/>
        <v/>
      </c>
      <c r="AF5041" s="15" t="str">
        <f t="shared" si="1"/>
        <v/>
      </c>
      <c r="AG5041" s="15" t="str">
        <f>IF(OR(AF5041="",AF5041="ERRO_CHAVE"),"",IFERROR(MATCH(AF5041,'Quitados DUPP'!$U$1:$U$6635,0),""))</f>
        <v/>
      </c>
      <c r="AH5041" s="15" t="str">
        <f t="shared" si="2"/>
        <v/>
      </c>
      <c r="AI5041" s="17" t="str">
        <f>IF(AG5041="","",INDEX('Quitados DUPP'!$G$1:$G$6635,AG5041))</f>
        <v/>
      </c>
      <c r="AJ5041" s="17" t="str">
        <f t="shared" si="3"/>
        <v/>
      </c>
    </row>
    <row r="5042" spans="31:36">
      <c r="AE5042" s="15" t="str">
        <f t="shared" si="0"/>
        <v/>
      </c>
      <c r="AF5042" s="15" t="str">
        <f t="shared" si="1"/>
        <v/>
      </c>
      <c r="AG5042" s="15" t="str">
        <f>IF(OR(AF5042="",AF5042="ERRO_CHAVE"),"",IFERROR(MATCH(AF5042,'Quitados DUPP'!$U$1:$U$6635,0),""))</f>
        <v/>
      </c>
      <c r="AH5042" s="15" t="str">
        <f t="shared" si="2"/>
        <v/>
      </c>
      <c r="AI5042" s="17" t="str">
        <f>IF(AG5042="","",INDEX('Quitados DUPP'!$G$1:$G$6635,AG5042))</f>
        <v/>
      </c>
      <c r="AJ5042" s="17" t="str">
        <f t="shared" si="3"/>
        <v/>
      </c>
    </row>
    <row r="5043" spans="31:36">
      <c r="AE5043" s="15" t="str">
        <f t="shared" si="0"/>
        <v/>
      </c>
      <c r="AF5043" s="15" t="str">
        <f t="shared" si="1"/>
        <v/>
      </c>
      <c r="AG5043" s="15" t="str">
        <f>IF(OR(AF5043="",AF5043="ERRO_CHAVE"),"",IFERROR(MATCH(AF5043,'Quitados DUPP'!$U$1:$U$6635,0),""))</f>
        <v/>
      </c>
      <c r="AH5043" s="15" t="str">
        <f t="shared" si="2"/>
        <v/>
      </c>
      <c r="AI5043" s="17" t="str">
        <f>IF(AG5043="","",INDEX('Quitados DUPP'!$G$1:$G$6635,AG5043))</f>
        <v/>
      </c>
      <c r="AJ5043" s="17" t="str">
        <f t="shared" si="3"/>
        <v/>
      </c>
    </row>
    <row r="5044" spans="31:36">
      <c r="AE5044" s="15" t="str">
        <f t="shared" si="0"/>
        <v/>
      </c>
      <c r="AF5044" s="15" t="str">
        <f t="shared" si="1"/>
        <v/>
      </c>
      <c r="AG5044" s="15" t="str">
        <f>IF(OR(AF5044="",AF5044="ERRO_CHAVE"),"",IFERROR(MATCH(AF5044,'Quitados DUPP'!$U$1:$U$6635,0),""))</f>
        <v/>
      </c>
      <c r="AH5044" s="15" t="str">
        <f t="shared" si="2"/>
        <v/>
      </c>
      <c r="AI5044" s="17" t="str">
        <f>IF(AG5044="","",INDEX('Quitados DUPP'!$G$1:$G$6635,AG5044))</f>
        <v/>
      </c>
      <c r="AJ5044" s="17" t="str">
        <f t="shared" si="3"/>
        <v/>
      </c>
    </row>
    <row r="5045" spans="31:36">
      <c r="AE5045" s="15" t="str">
        <f t="shared" si="0"/>
        <v/>
      </c>
      <c r="AF5045" s="15" t="str">
        <f t="shared" si="1"/>
        <v/>
      </c>
      <c r="AG5045" s="15" t="str">
        <f>IF(OR(AF5045="",AF5045="ERRO_CHAVE"),"",IFERROR(MATCH(AF5045,'Quitados DUPP'!$U$1:$U$6635,0),""))</f>
        <v/>
      </c>
      <c r="AH5045" s="15" t="str">
        <f t="shared" si="2"/>
        <v/>
      </c>
      <c r="AI5045" s="17" t="str">
        <f>IF(AG5045="","",INDEX('Quitados DUPP'!$G$1:$G$6635,AG5045))</f>
        <v/>
      </c>
      <c r="AJ5045" s="17" t="str">
        <f t="shared" si="3"/>
        <v/>
      </c>
    </row>
    <row r="5046" spans="31:36">
      <c r="AE5046" s="15" t="str">
        <f t="shared" si="0"/>
        <v/>
      </c>
      <c r="AF5046" s="15" t="str">
        <f t="shared" si="1"/>
        <v/>
      </c>
      <c r="AG5046" s="15" t="str">
        <f>IF(OR(AF5046="",AF5046="ERRO_CHAVE"),"",IFERROR(MATCH(AF5046,'Quitados DUPP'!$U$1:$U$6635,0),""))</f>
        <v/>
      </c>
      <c r="AH5046" s="15" t="str">
        <f t="shared" si="2"/>
        <v/>
      </c>
      <c r="AI5046" s="17" t="str">
        <f>IF(AG5046="","",INDEX('Quitados DUPP'!$G$1:$G$6635,AG5046))</f>
        <v/>
      </c>
      <c r="AJ5046" s="17" t="str">
        <f t="shared" si="3"/>
        <v/>
      </c>
    </row>
    <row r="5047" spans="31:36">
      <c r="AE5047" s="15" t="str">
        <f t="shared" si="0"/>
        <v/>
      </c>
      <c r="AF5047" s="15" t="str">
        <f t="shared" si="1"/>
        <v/>
      </c>
      <c r="AG5047" s="15" t="str">
        <f>IF(OR(AF5047="",AF5047="ERRO_CHAVE"),"",IFERROR(MATCH(AF5047,'Quitados DUPP'!$U$1:$U$6635,0),""))</f>
        <v/>
      </c>
      <c r="AH5047" s="15" t="str">
        <f t="shared" si="2"/>
        <v/>
      </c>
      <c r="AI5047" s="17" t="str">
        <f>IF(AG5047="","",INDEX('Quitados DUPP'!$G$1:$G$6635,AG5047))</f>
        <v/>
      </c>
      <c r="AJ5047" s="17" t="str">
        <f t="shared" si="3"/>
        <v/>
      </c>
    </row>
    <row r="5048" spans="31:36">
      <c r="AE5048" s="15" t="str">
        <f t="shared" si="0"/>
        <v/>
      </c>
      <c r="AF5048" s="15" t="str">
        <f t="shared" si="1"/>
        <v/>
      </c>
      <c r="AG5048" s="15" t="str">
        <f>IF(OR(AF5048="",AF5048="ERRO_CHAVE"),"",IFERROR(MATCH(AF5048,'Quitados DUPP'!$U$1:$U$6635,0),""))</f>
        <v/>
      </c>
      <c r="AH5048" s="15" t="str">
        <f t="shared" si="2"/>
        <v/>
      </c>
      <c r="AI5048" s="17" t="str">
        <f>IF(AG5048="","",INDEX('Quitados DUPP'!$G$1:$G$6635,AG5048))</f>
        <v/>
      </c>
      <c r="AJ5048" s="17" t="str">
        <f t="shared" si="3"/>
        <v/>
      </c>
    </row>
    <row r="5049" spans="31:36">
      <c r="AE5049" s="15" t="str">
        <f t="shared" si="0"/>
        <v/>
      </c>
      <c r="AF5049" s="15" t="str">
        <f t="shared" si="1"/>
        <v/>
      </c>
      <c r="AG5049" s="15" t="str">
        <f>IF(OR(AF5049="",AF5049="ERRO_CHAVE"),"",IFERROR(MATCH(AF5049,'Quitados DUPP'!$U$1:$U$6635,0),""))</f>
        <v/>
      </c>
      <c r="AH5049" s="15" t="str">
        <f t="shared" si="2"/>
        <v/>
      </c>
      <c r="AI5049" s="17" t="str">
        <f>IF(AG5049="","",INDEX('Quitados DUPP'!$G$1:$G$6635,AG5049))</f>
        <v/>
      </c>
      <c r="AJ5049" s="17" t="str">
        <f t="shared" si="3"/>
        <v/>
      </c>
    </row>
    <row r="5050" spans="31:36">
      <c r="AE5050" s="15" t="str">
        <f t="shared" si="0"/>
        <v/>
      </c>
      <c r="AF5050" s="15" t="str">
        <f t="shared" si="1"/>
        <v/>
      </c>
      <c r="AG5050" s="15" t="str">
        <f>IF(OR(AF5050="",AF5050="ERRO_CHAVE"),"",IFERROR(MATCH(AF5050,'Quitados DUPP'!$U$1:$U$6635,0),""))</f>
        <v/>
      </c>
      <c r="AH5050" s="15" t="str">
        <f t="shared" si="2"/>
        <v/>
      </c>
      <c r="AI5050" s="17" t="str">
        <f>IF(AG5050="","",INDEX('Quitados DUPP'!$G$1:$G$6635,AG5050))</f>
        <v/>
      </c>
      <c r="AJ5050" s="17" t="str">
        <f t="shared" si="3"/>
        <v/>
      </c>
    </row>
    <row r="5051" spans="31:36">
      <c r="AE5051" s="15" t="str">
        <f t="shared" si="0"/>
        <v/>
      </c>
      <c r="AF5051" s="15" t="str">
        <f t="shared" si="1"/>
        <v/>
      </c>
      <c r="AG5051" s="15" t="str">
        <f>IF(OR(AF5051="",AF5051="ERRO_CHAVE"),"",IFERROR(MATCH(AF5051,'Quitados DUPP'!$U$1:$U$6635,0),""))</f>
        <v/>
      </c>
      <c r="AH5051" s="15" t="str">
        <f t="shared" si="2"/>
        <v/>
      </c>
      <c r="AI5051" s="17" t="str">
        <f>IF(AG5051="","",INDEX('Quitados DUPP'!$G$1:$G$6635,AG5051))</f>
        <v/>
      </c>
      <c r="AJ5051" s="17" t="str">
        <f t="shared" si="3"/>
        <v/>
      </c>
    </row>
    <row r="5052" spans="31:36">
      <c r="AE5052" s="15" t="str">
        <f t="shared" si="0"/>
        <v/>
      </c>
      <c r="AF5052" s="15" t="str">
        <f t="shared" si="1"/>
        <v/>
      </c>
      <c r="AG5052" s="15" t="str">
        <f>IF(OR(AF5052="",AF5052="ERRO_CHAVE"),"",IFERROR(MATCH(AF5052,'Quitados DUPP'!$U$1:$U$6635,0),""))</f>
        <v/>
      </c>
      <c r="AH5052" s="15" t="str">
        <f t="shared" si="2"/>
        <v/>
      </c>
      <c r="AI5052" s="17" t="str">
        <f>IF(AG5052="","",INDEX('Quitados DUPP'!$G$1:$G$6635,AG5052))</f>
        <v/>
      </c>
      <c r="AJ5052" s="17" t="str">
        <f t="shared" si="3"/>
        <v/>
      </c>
    </row>
    <row r="5053" spans="31:36">
      <c r="AE5053" s="15" t="str">
        <f t="shared" si="0"/>
        <v/>
      </c>
      <c r="AF5053" s="15" t="str">
        <f t="shared" si="1"/>
        <v/>
      </c>
      <c r="AG5053" s="15" t="str">
        <f>IF(OR(AF5053="",AF5053="ERRO_CHAVE"),"",IFERROR(MATCH(AF5053,'Quitados DUPP'!$U$1:$U$6635,0),""))</f>
        <v/>
      </c>
      <c r="AH5053" s="15" t="str">
        <f t="shared" si="2"/>
        <v/>
      </c>
      <c r="AI5053" s="17" t="str">
        <f>IF(AG5053="","",INDEX('Quitados DUPP'!$G$1:$G$6635,AG5053))</f>
        <v/>
      </c>
      <c r="AJ5053" s="17" t="str">
        <f t="shared" si="3"/>
        <v/>
      </c>
    </row>
    <row r="5054" spans="31:36">
      <c r="AE5054" s="15" t="str">
        <f t="shared" si="0"/>
        <v/>
      </c>
      <c r="AF5054" s="15" t="str">
        <f t="shared" si="1"/>
        <v/>
      </c>
      <c r="AG5054" s="15" t="str">
        <f>IF(OR(AF5054="",AF5054="ERRO_CHAVE"),"",IFERROR(MATCH(AF5054,'Quitados DUPP'!$U$1:$U$6635,0),""))</f>
        <v/>
      </c>
      <c r="AH5054" s="15" t="str">
        <f t="shared" si="2"/>
        <v/>
      </c>
      <c r="AI5054" s="17" t="str">
        <f>IF(AG5054="","",INDEX('Quitados DUPP'!$G$1:$G$6635,AG5054))</f>
        <v/>
      </c>
      <c r="AJ5054" s="17" t="str">
        <f t="shared" si="3"/>
        <v/>
      </c>
    </row>
    <row r="5055" spans="31:36">
      <c r="AE5055" s="15" t="str">
        <f t="shared" si="0"/>
        <v/>
      </c>
      <c r="AF5055" s="15" t="str">
        <f t="shared" si="1"/>
        <v/>
      </c>
      <c r="AG5055" s="15" t="str">
        <f>IF(OR(AF5055="",AF5055="ERRO_CHAVE"),"",IFERROR(MATCH(AF5055,'Quitados DUPP'!$U$1:$U$6635,0),""))</f>
        <v/>
      </c>
      <c r="AH5055" s="15" t="str">
        <f t="shared" si="2"/>
        <v/>
      </c>
      <c r="AI5055" s="17" t="str">
        <f>IF(AG5055="","",INDEX('Quitados DUPP'!$G$1:$G$6635,AG5055))</f>
        <v/>
      </c>
      <c r="AJ5055" s="17" t="str">
        <f t="shared" si="3"/>
        <v/>
      </c>
    </row>
    <row r="5056" spans="31:36">
      <c r="AE5056" s="15" t="str">
        <f t="shared" si="0"/>
        <v/>
      </c>
      <c r="AF5056" s="15" t="str">
        <f t="shared" si="1"/>
        <v/>
      </c>
      <c r="AG5056" s="15" t="str">
        <f>IF(OR(AF5056="",AF5056="ERRO_CHAVE"),"",IFERROR(MATCH(AF5056,'Quitados DUPP'!$U$1:$U$6635,0),""))</f>
        <v/>
      </c>
      <c r="AH5056" s="15" t="str">
        <f t="shared" si="2"/>
        <v/>
      </c>
      <c r="AI5056" s="17" t="str">
        <f>IF(AG5056="","",INDEX('Quitados DUPP'!$G$1:$G$6635,AG5056))</f>
        <v/>
      </c>
      <c r="AJ5056" s="17" t="str">
        <f t="shared" si="3"/>
        <v/>
      </c>
    </row>
    <row r="5057" spans="31:36">
      <c r="AE5057" s="15" t="str">
        <f t="shared" si="0"/>
        <v/>
      </c>
      <c r="AF5057" s="15" t="str">
        <f t="shared" si="1"/>
        <v/>
      </c>
      <c r="AG5057" s="15" t="str">
        <f>IF(OR(AF5057="",AF5057="ERRO_CHAVE"),"",IFERROR(MATCH(AF5057,'Quitados DUPP'!$U$1:$U$6635,0),""))</f>
        <v/>
      </c>
      <c r="AH5057" s="15" t="str">
        <f t="shared" si="2"/>
        <v/>
      </c>
      <c r="AI5057" s="17" t="str">
        <f>IF(AG5057="","",INDEX('Quitados DUPP'!$G$1:$G$6635,AG5057))</f>
        <v/>
      </c>
      <c r="AJ5057" s="17" t="str">
        <f t="shared" si="3"/>
        <v/>
      </c>
    </row>
    <row r="5058" spans="31:36">
      <c r="AE5058" s="15" t="str">
        <f t="shared" si="0"/>
        <v/>
      </c>
      <c r="AF5058" s="15" t="str">
        <f t="shared" si="1"/>
        <v/>
      </c>
      <c r="AG5058" s="15" t="str">
        <f>IF(OR(AF5058="",AF5058="ERRO_CHAVE"),"",IFERROR(MATCH(AF5058,'Quitados DUPP'!$U$1:$U$6635,0),""))</f>
        <v/>
      </c>
      <c r="AH5058" s="15" t="str">
        <f t="shared" si="2"/>
        <v/>
      </c>
      <c r="AI5058" s="17" t="str">
        <f>IF(AG5058="","",INDEX('Quitados DUPP'!$G$1:$G$6635,AG5058))</f>
        <v/>
      </c>
      <c r="AJ5058" s="17" t="str">
        <f t="shared" si="3"/>
        <v/>
      </c>
    </row>
    <row r="5059" spans="31:36">
      <c r="AE5059" s="15" t="str">
        <f t="shared" si="0"/>
        <v/>
      </c>
      <c r="AF5059" s="15" t="str">
        <f t="shared" si="1"/>
        <v/>
      </c>
      <c r="AG5059" s="15" t="str">
        <f>IF(OR(AF5059="",AF5059="ERRO_CHAVE"),"",IFERROR(MATCH(AF5059,'Quitados DUPP'!$U$1:$U$6635,0),""))</f>
        <v/>
      </c>
      <c r="AH5059" s="15" t="str">
        <f t="shared" si="2"/>
        <v/>
      </c>
      <c r="AI5059" s="17" t="str">
        <f>IF(AG5059="","",INDEX('Quitados DUPP'!$G$1:$G$6635,AG5059))</f>
        <v/>
      </c>
      <c r="AJ5059" s="17" t="str">
        <f t="shared" si="3"/>
        <v/>
      </c>
    </row>
    <row r="5060" spans="31:36">
      <c r="AE5060" s="15" t="str">
        <f t="shared" si="0"/>
        <v/>
      </c>
      <c r="AF5060" s="15" t="str">
        <f t="shared" si="1"/>
        <v/>
      </c>
      <c r="AG5060" s="15" t="str">
        <f>IF(OR(AF5060="",AF5060="ERRO_CHAVE"),"",IFERROR(MATCH(AF5060,'Quitados DUPP'!$U$1:$U$6635,0),""))</f>
        <v/>
      </c>
      <c r="AH5060" s="15" t="str">
        <f t="shared" si="2"/>
        <v/>
      </c>
      <c r="AI5060" s="17" t="str">
        <f>IF(AG5060="","",INDEX('Quitados DUPP'!$G$1:$G$6635,AG5060))</f>
        <v/>
      </c>
      <c r="AJ5060" s="17" t="str">
        <f t="shared" si="3"/>
        <v/>
      </c>
    </row>
    <row r="5061" spans="31:36">
      <c r="AE5061" s="15" t="str">
        <f t="shared" si="0"/>
        <v/>
      </c>
      <c r="AF5061" s="15" t="str">
        <f t="shared" si="1"/>
        <v/>
      </c>
      <c r="AG5061" s="15" t="str">
        <f>IF(OR(AF5061="",AF5061="ERRO_CHAVE"),"",IFERROR(MATCH(AF5061,'Quitados DUPP'!$U$1:$U$6635,0),""))</f>
        <v/>
      </c>
      <c r="AH5061" s="15" t="str">
        <f t="shared" si="2"/>
        <v/>
      </c>
      <c r="AI5061" s="17" t="str">
        <f>IF(AG5061="","",INDEX('Quitados DUPP'!$G$1:$G$6635,AG5061))</f>
        <v/>
      </c>
      <c r="AJ5061" s="17" t="str">
        <f t="shared" si="3"/>
        <v/>
      </c>
    </row>
    <row r="5062" spans="31:36">
      <c r="AE5062" s="15" t="str">
        <f t="shared" si="0"/>
        <v/>
      </c>
      <c r="AF5062" s="15" t="str">
        <f t="shared" si="1"/>
        <v/>
      </c>
      <c r="AG5062" s="15" t="str">
        <f>IF(OR(AF5062="",AF5062="ERRO_CHAVE"),"",IFERROR(MATCH(AF5062,'Quitados DUPP'!$U$1:$U$6635,0),""))</f>
        <v/>
      </c>
      <c r="AH5062" s="15" t="str">
        <f t="shared" si="2"/>
        <v/>
      </c>
      <c r="AI5062" s="17" t="str">
        <f>IF(AG5062="","",INDEX('Quitados DUPP'!$G$1:$G$6635,AG5062))</f>
        <v/>
      </c>
      <c r="AJ5062" s="17" t="str">
        <f t="shared" si="3"/>
        <v/>
      </c>
    </row>
    <row r="5063" spans="31:36">
      <c r="AE5063" s="15" t="str">
        <f t="shared" si="0"/>
        <v/>
      </c>
      <c r="AF5063" s="15" t="str">
        <f t="shared" si="1"/>
        <v/>
      </c>
      <c r="AG5063" s="15" t="str">
        <f>IF(OR(AF5063="",AF5063="ERRO_CHAVE"),"",IFERROR(MATCH(AF5063,'Quitados DUPP'!$U$1:$U$6635,0),""))</f>
        <v/>
      </c>
      <c r="AH5063" s="15" t="str">
        <f t="shared" si="2"/>
        <v/>
      </c>
      <c r="AI5063" s="17" t="str">
        <f>IF(AG5063="","",INDEX('Quitados DUPP'!$G$1:$G$6635,AG5063))</f>
        <v/>
      </c>
      <c r="AJ5063" s="17" t="str">
        <f t="shared" si="3"/>
        <v/>
      </c>
    </row>
    <row r="5064" spans="31:36">
      <c r="AE5064" s="15" t="str">
        <f t="shared" si="0"/>
        <v/>
      </c>
      <c r="AF5064" s="15" t="str">
        <f t="shared" si="1"/>
        <v/>
      </c>
      <c r="AG5064" s="15" t="str">
        <f>IF(OR(AF5064="",AF5064="ERRO_CHAVE"),"",IFERROR(MATCH(AF5064,'Quitados DUPP'!$U$1:$U$6635,0),""))</f>
        <v/>
      </c>
      <c r="AH5064" s="15" t="str">
        <f t="shared" si="2"/>
        <v/>
      </c>
      <c r="AI5064" s="17" t="str">
        <f>IF(AG5064="","",INDEX('Quitados DUPP'!$G$1:$G$6635,AG5064))</f>
        <v/>
      </c>
      <c r="AJ5064" s="17" t="str">
        <f t="shared" si="3"/>
        <v/>
      </c>
    </row>
    <row r="5065" spans="31:36">
      <c r="AE5065" s="15" t="str">
        <f t="shared" si="0"/>
        <v/>
      </c>
      <c r="AF5065" s="15" t="str">
        <f t="shared" si="1"/>
        <v/>
      </c>
      <c r="AG5065" s="15" t="str">
        <f>IF(OR(AF5065="",AF5065="ERRO_CHAVE"),"",IFERROR(MATCH(AF5065,'Quitados DUPP'!$U$1:$U$6635,0),""))</f>
        <v/>
      </c>
      <c r="AH5065" s="15" t="str">
        <f t="shared" si="2"/>
        <v/>
      </c>
      <c r="AI5065" s="17" t="str">
        <f>IF(AG5065="","",INDEX('Quitados DUPP'!$G$1:$G$6635,AG5065))</f>
        <v/>
      </c>
      <c r="AJ5065" s="17" t="str">
        <f t="shared" si="3"/>
        <v/>
      </c>
    </row>
    <row r="5066" spans="31:36">
      <c r="AE5066" s="15" t="str">
        <f t="shared" si="0"/>
        <v/>
      </c>
      <c r="AF5066" s="15" t="str">
        <f t="shared" si="1"/>
        <v/>
      </c>
      <c r="AG5066" s="15" t="str">
        <f>IF(OR(AF5066="",AF5066="ERRO_CHAVE"),"",IFERROR(MATCH(AF5066,'Quitados DUPP'!$U$1:$U$6635,0),""))</f>
        <v/>
      </c>
      <c r="AH5066" s="15" t="str">
        <f t="shared" si="2"/>
        <v/>
      </c>
      <c r="AI5066" s="17" t="str">
        <f>IF(AG5066="","",INDEX('Quitados DUPP'!$G$1:$G$6635,AG5066))</f>
        <v/>
      </c>
      <c r="AJ5066" s="17" t="str">
        <f t="shared" si="3"/>
        <v/>
      </c>
    </row>
    <row r="5067" spans="31:36">
      <c r="AE5067" s="15" t="str">
        <f t="shared" si="0"/>
        <v/>
      </c>
      <c r="AF5067" s="15" t="str">
        <f t="shared" si="1"/>
        <v/>
      </c>
      <c r="AG5067" s="15" t="str">
        <f>IF(OR(AF5067="",AF5067="ERRO_CHAVE"),"",IFERROR(MATCH(AF5067,'Quitados DUPP'!$U$1:$U$6635,0),""))</f>
        <v/>
      </c>
      <c r="AH5067" s="15" t="str">
        <f t="shared" si="2"/>
        <v/>
      </c>
      <c r="AI5067" s="17" t="str">
        <f>IF(AG5067="","",INDEX('Quitados DUPP'!$G$1:$G$6635,AG5067))</f>
        <v/>
      </c>
      <c r="AJ5067" s="17" t="str">
        <f t="shared" si="3"/>
        <v/>
      </c>
    </row>
    <row r="5068" spans="31:36">
      <c r="AE5068" s="15" t="str">
        <f t="shared" si="0"/>
        <v/>
      </c>
      <c r="AF5068" s="15" t="str">
        <f t="shared" si="1"/>
        <v/>
      </c>
      <c r="AG5068" s="15" t="str">
        <f>IF(OR(AF5068="",AF5068="ERRO_CHAVE"),"",IFERROR(MATCH(AF5068,'Quitados DUPP'!$U$1:$U$6635,0),""))</f>
        <v/>
      </c>
      <c r="AH5068" s="15" t="str">
        <f t="shared" si="2"/>
        <v/>
      </c>
      <c r="AI5068" s="17" t="str">
        <f>IF(AG5068="","",INDEX('Quitados DUPP'!$G$1:$G$6635,AG5068))</f>
        <v/>
      </c>
      <c r="AJ5068" s="17" t="str">
        <f t="shared" si="3"/>
        <v/>
      </c>
    </row>
    <row r="5069" spans="31:36">
      <c r="AE5069" s="15" t="str">
        <f t="shared" si="0"/>
        <v/>
      </c>
      <c r="AF5069" s="15" t="str">
        <f t="shared" si="1"/>
        <v/>
      </c>
      <c r="AG5069" s="15" t="str">
        <f>IF(OR(AF5069="",AF5069="ERRO_CHAVE"),"",IFERROR(MATCH(AF5069,'Quitados DUPP'!$U$1:$U$6635,0),""))</f>
        <v/>
      </c>
      <c r="AH5069" s="15" t="str">
        <f t="shared" si="2"/>
        <v/>
      </c>
      <c r="AI5069" s="17" t="str">
        <f>IF(AG5069="","",INDEX('Quitados DUPP'!$G$1:$G$6635,AG5069))</f>
        <v/>
      </c>
      <c r="AJ5069" s="17" t="str">
        <f t="shared" si="3"/>
        <v/>
      </c>
    </row>
    <row r="5070" spans="31:36">
      <c r="AE5070" s="15" t="str">
        <f t="shared" si="0"/>
        <v/>
      </c>
      <c r="AF5070" s="15" t="str">
        <f t="shared" si="1"/>
        <v/>
      </c>
      <c r="AG5070" s="15" t="str">
        <f>IF(OR(AF5070="",AF5070="ERRO_CHAVE"),"",IFERROR(MATCH(AF5070,'Quitados DUPP'!$U$1:$U$6635,0),""))</f>
        <v/>
      </c>
      <c r="AH5070" s="15" t="str">
        <f t="shared" si="2"/>
        <v/>
      </c>
      <c r="AI5070" s="17" t="str">
        <f>IF(AG5070="","",INDEX('Quitados DUPP'!$G$1:$G$6635,AG5070))</f>
        <v/>
      </c>
      <c r="AJ5070" s="17" t="str">
        <f t="shared" si="3"/>
        <v/>
      </c>
    </row>
    <row r="5071" spans="31:36">
      <c r="AE5071" s="15" t="str">
        <f t="shared" si="0"/>
        <v/>
      </c>
      <c r="AF5071" s="15" t="str">
        <f t="shared" si="1"/>
        <v/>
      </c>
      <c r="AG5071" s="15" t="str">
        <f>IF(OR(AF5071="",AF5071="ERRO_CHAVE"),"",IFERROR(MATCH(AF5071,'Quitados DUPP'!$U$1:$U$6635,0),""))</f>
        <v/>
      </c>
      <c r="AH5071" s="15" t="str">
        <f t="shared" si="2"/>
        <v/>
      </c>
      <c r="AI5071" s="17" t="str">
        <f>IF(AG5071="","",INDEX('Quitados DUPP'!$G$1:$G$6635,AG5071))</f>
        <v/>
      </c>
      <c r="AJ5071" s="17" t="str">
        <f t="shared" si="3"/>
        <v/>
      </c>
    </row>
    <row r="5072" spans="31:36">
      <c r="AE5072" s="15" t="str">
        <f t="shared" si="0"/>
        <v/>
      </c>
      <c r="AF5072" s="15" t="str">
        <f t="shared" si="1"/>
        <v/>
      </c>
      <c r="AG5072" s="15" t="str">
        <f>IF(OR(AF5072="",AF5072="ERRO_CHAVE"),"",IFERROR(MATCH(AF5072,'Quitados DUPP'!$U$1:$U$6635,0),""))</f>
        <v/>
      </c>
      <c r="AH5072" s="15" t="str">
        <f t="shared" si="2"/>
        <v/>
      </c>
      <c r="AI5072" s="17" t="str">
        <f>IF(AG5072="","",INDEX('Quitados DUPP'!$G$1:$G$6635,AG5072))</f>
        <v/>
      </c>
      <c r="AJ5072" s="17" t="str">
        <f t="shared" si="3"/>
        <v/>
      </c>
    </row>
    <row r="5073" spans="31:36">
      <c r="AE5073" s="15" t="str">
        <f t="shared" si="0"/>
        <v/>
      </c>
      <c r="AF5073" s="15" t="str">
        <f t="shared" si="1"/>
        <v/>
      </c>
      <c r="AG5073" s="15" t="str">
        <f>IF(OR(AF5073="",AF5073="ERRO_CHAVE"),"",IFERROR(MATCH(AF5073,'Quitados DUPP'!$U$1:$U$6635,0),""))</f>
        <v/>
      </c>
      <c r="AH5073" s="15" t="str">
        <f t="shared" si="2"/>
        <v/>
      </c>
      <c r="AI5073" s="17" t="str">
        <f>IF(AG5073="","",INDEX('Quitados DUPP'!$G$1:$G$6635,AG5073))</f>
        <v/>
      </c>
      <c r="AJ5073" s="17" t="str">
        <f t="shared" si="3"/>
        <v/>
      </c>
    </row>
    <row r="5074" spans="31:36">
      <c r="AE5074" s="15" t="str">
        <f t="shared" si="0"/>
        <v/>
      </c>
      <c r="AF5074" s="15" t="str">
        <f t="shared" si="1"/>
        <v/>
      </c>
      <c r="AG5074" s="15" t="str">
        <f>IF(OR(AF5074="",AF5074="ERRO_CHAVE"),"",IFERROR(MATCH(AF5074,'Quitados DUPP'!$U$1:$U$6635,0),""))</f>
        <v/>
      </c>
      <c r="AH5074" s="15" t="str">
        <f t="shared" si="2"/>
        <v/>
      </c>
      <c r="AI5074" s="17" t="str">
        <f>IF(AG5074="","",INDEX('Quitados DUPP'!$G$1:$G$6635,AG5074))</f>
        <v/>
      </c>
      <c r="AJ5074" s="17" t="str">
        <f t="shared" si="3"/>
        <v/>
      </c>
    </row>
    <row r="5075" spans="31:36">
      <c r="AE5075" s="15" t="str">
        <f t="shared" si="0"/>
        <v/>
      </c>
      <c r="AF5075" s="15" t="str">
        <f t="shared" si="1"/>
        <v/>
      </c>
      <c r="AG5075" s="15" t="str">
        <f>IF(OR(AF5075="",AF5075="ERRO_CHAVE"),"",IFERROR(MATCH(AF5075,'Quitados DUPP'!$U$1:$U$6635,0),""))</f>
        <v/>
      </c>
      <c r="AH5075" s="15" t="str">
        <f t="shared" si="2"/>
        <v/>
      </c>
      <c r="AI5075" s="17" t="str">
        <f>IF(AG5075="","",INDEX('Quitados DUPP'!$G$1:$G$6635,AG5075))</f>
        <v/>
      </c>
      <c r="AJ5075" s="17" t="str">
        <f t="shared" si="3"/>
        <v/>
      </c>
    </row>
    <row r="5076" spans="31:36">
      <c r="AE5076" s="15" t="str">
        <f t="shared" si="0"/>
        <v/>
      </c>
      <c r="AF5076" s="15" t="str">
        <f t="shared" si="1"/>
        <v/>
      </c>
      <c r="AG5076" s="15" t="str">
        <f>IF(OR(AF5076="",AF5076="ERRO_CHAVE"),"",IFERROR(MATCH(AF5076,'Quitados DUPP'!$U$1:$U$6635,0),""))</f>
        <v/>
      </c>
      <c r="AH5076" s="15" t="str">
        <f t="shared" si="2"/>
        <v/>
      </c>
      <c r="AI5076" s="17" t="str">
        <f>IF(AG5076="","",INDEX('Quitados DUPP'!$G$1:$G$6635,AG5076))</f>
        <v/>
      </c>
      <c r="AJ5076" s="17" t="str">
        <f t="shared" si="3"/>
        <v/>
      </c>
    </row>
    <row r="5077" spans="31:36">
      <c r="AE5077" s="15" t="str">
        <f t="shared" si="0"/>
        <v/>
      </c>
      <c r="AF5077" s="15" t="str">
        <f t="shared" si="1"/>
        <v/>
      </c>
      <c r="AG5077" s="15" t="str">
        <f>IF(OR(AF5077="",AF5077="ERRO_CHAVE"),"",IFERROR(MATCH(AF5077,'Quitados DUPP'!$U$1:$U$6635,0),""))</f>
        <v/>
      </c>
      <c r="AH5077" s="15" t="str">
        <f t="shared" si="2"/>
        <v/>
      </c>
      <c r="AI5077" s="17" t="str">
        <f>IF(AG5077="","",INDEX('Quitados DUPP'!$G$1:$G$6635,AG5077))</f>
        <v/>
      </c>
      <c r="AJ5077" s="17" t="str">
        <f t="shared" si="3"/>
        <v/>
      </c>
    </row>
    <row r="5078" spans="31:36">
      <c r="AE5078" s="15" t="str">
        <f t="shared" si="0"/>
        <v/>
      </c>
      <c r="AF5078" s="15" t="str">
        <f t="shared" si="1"/>
        <v/>
      </c>
      <c r="AG5078" s="15" t="str">
        <f>IF(OR(AF5078="",AF5078="ERRO_CHAVE"),"",IFERROR(MATCH(AF5078,'Quitados DUPP'!$U$1:$U$6635,0),""))</f>
        <v/>
      </c>
      <c r="AH5078" s="15" t="str">
        <f t="shared" si="2"/>
        <v/>
      </c>
      <c r="AI5078" s="17" t="str">
        <f>IF(AG5078="","",INDEX('Quitados DUPP'!$G$1:$G$6635,AG5078))</f>
        <v/>
      </c>
      <c r="AJ5078" s="17" t="str">
        <f t="shared" si="3"/>
        <v/>
      </c>
    </row>
    <row r="5079" spans="31:36">
      <c r="AE5079" s="15" t="str">
        <f t="shared" si="0"/>
        <v/>
      </c>
      <c r="AF5079" s="15" t="str">
        <f t="shared" si="1"/>
        <v/>
      </c>
      <c r="AG5079" s="15" t="str">
        <f>IF(OR(AF5079="",AF5079="ERRO_CHAVE"),"",IFERROR(MATCH(AF5079,'Quitados DUPP'!$U$1:$U$6635,0),""))</f>
        <v/>
      </c>
      <c r="AH5079" s="15" t="str">
        <f t="shared" si="2"/>
        <v/>
      </c>
      <c r="AI5079" s="17" t="str">
        <f>IF(AG5079="","",INDEX('Quitados DUPP'!$G$1:$G$6635,AG5079))</f>
        <v/>
      </c>
      <c r="AJ5079" s="17" t="str">
        <f t="shared" si="3"/>
        <v/>
      </c>
    </row>
    <row r="5080" spans="31:36">
      <c r="AE5080" s="15" t="str">
        <f t="shared" si="0"/>
        <v/>
      </c>
      <c r="AF5080" s="15" t="str">
        <f t="shared" si="1"/>
        <v/>
      </c>
      <c r="AG5080" s="15" t="str">
        <f>IF(OR(AF5080="",AF5080="ERRO_CHAVE"),"",IFERROR(MATCH(AF5080,'Quitados DUPP'!$U$1:$U$6635,0),""))</f>
        <v/>
      </c>
      <c r="AH5080" s="15" t="str">
        <f t="shared" si="2"/>
        <v/>
      </c>
      <c r="AI5080" s="17" t="str">
        <f>IF(AG5080="","",INDEX('Quitados DUPP'!$G$1:$G$6635,AG5080))</f>
        <v/>
      </c>
      <c r="AJ5080" s="17" t="str">
        <f t="shared" si="3"/>
        <v/>
      </c>
    </row>
    <row r="5081" spans="31:36">
      <c r="AE5081" s="15" t="str">
        <f t="shared" si="0"/>
        <v/>
      </c>
      <c r="AF5081" s="15" t="str">
        <f t="shared" si="1"/>
        <v/>
      </c>
      <c r="AG5081" s="15" t="str">
        <f>IF(OR(AF5081="",AF5081="ERRO_CHAVE"),"",IFERROR(MATCH(AF5081,'Quitados DUPP'!$U$1:$U$6635,0),""))</f>
        <v/>
      </c>
      <c r="AH5081" s="15" t="str">
        <f t="shared" si="2"/>
        <v/>
      </c>
      <c r="AI5081" s="17" t="str">
        <f>IF(AG5081="","",INDEX('Quitados DUPP'!$G$1:$G$6635,AG5081))</f>
        <v/>
      </c>
      <c r="AJ5081" s="17" t="str">
        <f t="shared" si="3"/>
        <v/>
      </c>
    </row>
    <row r="5082" spans="31:36">
      <c r="AE5082" s="15" t="str">
        <f t="shared" si="0"/>
        <v/>
      </c>
      <c r="AF5082" s="15" t="str">
        <f t="shared" si="1"/>
        <v/>
      </c>
      <c r="AG5082" s="15" t="str">
        <f>IF(OR(AF5082="",AF5082="ERRO_CHAVE"),"",IFERROR(MATCH(AF5082,'Quitados DUPP'!$U$1:$U$6635,0),""))</f>
        <v/>
      </c>
      <c r="AH5082" s="15" t="str">
        <f t="shared" si="2"/>
        <v/>
      </c>
      <c r="AI5082" s="17" t="str">
        <f>IF(AG5082="","",INDEX('Quitados DUPP'!$G$1:$G$6635,AG5082))</f>
        <v/>
      </c>
      <c r="AJ5082" s="17" t="str">
        <f t="shared" si="3"/>
        <v/>
      </c>
    </row>
    <row r="5083" spans="31:36">
      <c r="AE5083" s="15" t="str">
        <f t="shared" si="0"/>
        <v/>
      </c>
      <c r="AF5083" s="15" t="str">
        <f t="shared" si="1"/>
        <v/>
      </c>
      <c r="AG5083" s="15" t="str">
        <f>IF(OR(AF5083="",AF5083="ERRO_CHAVE"),"",IFERROR(MATCH(AF5083,'Quitados DUPP'!$U$1:$U$6635,0),""))</f>
        <v/>
      </c>
      <c r="AH5083" s="15" t="str">
        <f t="shared" si="2"/>
        <v/>
      </c>
      <c r="AI5083" s="17" t="str">
        <f>IF(AG5083="","",INDEX('Quitados DUPP'!$G$1:$G$6635,AG5083))</f>
        <v/>
      </c>
      <c r="AJ5083" s="17" t="str">
        <f t="shared" si="3"/>
        <v/>
      </c>
    </row>
    <row r="5084" spans="31:36">
      <c r="AE5084" s="15" t="str">
        <f t="shared" si="0"/>
        <v/>
      </c>
      <c r="AF5084" s="15" t="str">
        <f t="shared" si="1"/>
        <v/>
      </c>
      <c r="AG5084" s="15" t="str">
        <f>IF(OR(AF5084="",AF5084="ERRO_CHAVE"),"",IFERROR(MATCH(AF5084,'Quitados DUPP'!$U$1:$U$6635,0),""))</f>
        <v/>
      </c>
      <c r="AH5084" s="15" t="str">
        <f t="shared" si="2"/>
        <v/>
      </c>
      <c r="AI5084" s="17" t="str">
        <f>IF(AG5084="","",INDEX('Quitados DUPP'!$G$1:$G$6635,AG5084))</f>
        <v/>
      </c>
      <c r="AJ5084" s="17" t="str">
        <f t="shared" si="3"/>
        <v/>
      </c>
    </row>
    <row r="5085" spans="31:36">
      <c r="AE5085" s="15" t="str">
        <f t="shared" si="0"/>
        <v/>
      </c>
      <c r="AF5085" s="15" t="str">
        <f t="shared" si="1"/>
        <v/>
      </c>
      <c r="AG5085" s="15" t="str">
        <f>IF(OR(AF5085="",AF5085="ERRO_CHAVE"),"",IFERROR(MATCH(AF5085,'Quitados DUPP'!$U$1:$U$6635,0),""))</f>
        <v/>
      </c>
      <c r="AH5085" s="15" t="str">
        <f t="shared" si="2"/>
        <v/>
      </c>
      <c r="AI5085" s="17" t="str">
        <f>IF(AG5085="","",INDEX('Quitados DUPP'!$G$1:$G$6635,AG5085))</f>
        <v/>
      </c>
      <c r="AJ5085" s="17" t="str">
        <f t="shared" si="3"/>
        <v/>
      </c>
    </row>
    <row r="5086" spans="31:36">
      <c r="AE5086" s="15" t="str">
        <f t="shared" si="0"/>
        <v/>
      </c>
      <c r="AF5086" s="15" t="str">
        <f t="shared" si="1"/>
        <v/>
      </c>
      <c r="AG5086" s="15" t="str">
        <f>IF(OR(AF5086="",AF5086="ERRO_CHAVE"),"",IFERROR(MATCH(AF5086,'Quitados DUPP'!$U$1:$U$6635,0),""))</f>
        <v/>
      </c>
      <c r="AH5086" s="15" t="str">
        <f t="shared" si="2"/>
        <v/>
      </c>
      <c r="AI5086" s="17" t="str">
        <f>IF(AG5086="","",INDEX('Quitados DUPP'!$G$1:$G$6635,AG5086))</f>
        <v/>
      </c>
      <c r="AJ5086" s="17" t="str">
        <f t="shared" si="3"/>
        <v/>
      </c>
    </row>
    <row r="5087" spans="31:36">
      <c r="AE5087" s="15" t="str">
        <f t="shared" si="0"/>
        <v/>
      </c>
      <c r="AF5087" s="15" t="str">
        <f t="shared" si="1"/>
        <v/>
      </c>
      <c r="AG5087" s="15" t="str">
        <f>IF(OR(AF5087="",AF5087="ERRO_CHAVE"),"",IFERROR(MATCH(AF5087,'Quitados DUPP'!$U$1:$U$6635,0),""))</f>
        <v/>
      </c>
      <c r="AH5087" s="15" t="str">
        <f t="shared" si="2"/>
        <v/>
      </c>
      <c r="AI5087" s="17" t="str">
        <f>IF(AG5087="","",INDEX('Quitados DUPP'!$G$1:$G$6635,AG5087))</f>
        <v/>
      </c>
      <c r="AJ5087" s="17" t="str">
        <f t="shared" si="3"/>
        <v/>
      </c>
    </row>
    <row r="5088" spans="31:36">
      <c r="AE5088" s="15" t="str">
        <f t="shared" si="0"/>
        <v/>
      </c>
      <c r="AF5088" s="15" t="str">
        <f t="shared" si="1"/>
        <v/>
      </c>
      <c r="AG5088" s="15" t="str">
        <f>IF(OR(AF5088="",AF5088="ERRO_CHAVE"),"",IFERROR(MATCH(AF5088,'Quitados DUPP'!$U$1:$U$6635,0),""))</f>
        <v/>
      </c>
      <c r="AH5088" s="15" t="str">
        <f t="shared" si="2"/>
        <v/>
      </c>
      <c r="AI5088" s="17" t="str">
        <f>IF(AG5088="","",INDEX('Quitados DUPP'!$G$1:$G$6635,AG5088))</f>
        <v/>
      </c>
      <c r="AJ5088" s="17" t="str">
        <f t="shared" si="3"/>
        <v/>
      </c>
    </row>
    <row r="5089" spans="31:36">
      <c r="AE5089" s="15" t="str">
        <f t="shared" si="0"/>
        <v/>
      </c>
      <c r="AF5089" s="15" t="str">
        <f t="shared" si="1"/>
        <v/>
      </c>
      <c r="AG5089" s="15" t="str">
        <f>IF(OR(AF5089="",AF5089="ERRO_CHAVE"),"",IFERROR(MATCH(AF5089,'Quitados DUPP'!$U$1:$U$6635,0),""))</f>
        <v/>
      </c>
      <c r="AH5089" s="15" t="str">
        <f t="shared" si="2"/>
        <v/>
      </c>
      <c r="AI5089" s="17" t="str">
        <f>IF(AG5089="","",INDEX('Quitados DUPP'!$G$1:$G$6635,AG5089))</f>
        <v/>
      </c>
      <c r="AJ5089" s="17" t="str">
        <f t="shared" si="3"/>
        <v/>
      </c>
    </row>
    <row r="5090" spans="31:36">
      <c r="AE5090" s="15" t="str">
        <f t="shared" si="0"/>
        <v/>
      </c>
      <c r="AF5090" s="15" t="str">
        <f t="shared" si="1"/>
        <v/>
      </c>
      <c r="AG5090" s="15" t="str">
        <f>IF(OR(AF5090="",AF5090="ERRO_CHAVE"),"",IFERROR(MATCH(AF5090,'Quitados DUPP'!$U$1:$U$6635,0),""))</f>
        <v/>
      </c>
      <c r="AH5090" s="15" t="str">
        <f t="shared" si="2"/>
        <v/>
      </c>
      <c r="AI5090" s="17" t="str">
        <f>IF(AG5090="","",INDEX('Quitados DUPP'!$G$1:$G$6635,AG5090))</f>
        <v/>
      </c>
      <c r="AJ5090" s="17" t="str">
        <f t="shared" si="3"/>
        <v/>
      </c>
    </row>
    <row r="5091" spans="31:36">
      <c r="AE5091" s="15" t="str">
        <f t="shared" si="0"/>
        <v/>
      </c>
      <c r="AF5091" s="15" t="str">
        <f t="shared" si="1"/>
        <v/>
      </c>
      <c r="AG5091" s="15" t="str">
        <f>IF(OR(AF5091="",AF5091="ERRO_CHAVE"),"",IFERROR(MATCH(AF5091,'Quitados DUPP'!$U$1:$U$6635,0),""))</f>
        <v/>
      </c>
      <c r="AH5091" s="15" t="str">
        <f t="shared" si="2"/>
        <v/>
      </c>
      <c r="AI5091" s="17" t="str">
        <f>IF(AG5091="","",INDEX('Quitados DUPP'!$G$1:$G$6635,AG5091))</f>
        <v/>
      </c>
      <c r="AJ5091" s="17" t="str">
        <f t="shared" si="3"/>
        <v/>
      </c>
    </row>
    <row r="5092" spans="31:36">
      <c r="AE5092" s="15" t="str">
        <f t="shared" si="0"/>
        <v/>
      </c>
      <c r="AF5092" s="15" t="str">
        <f t="shared" si="1"/>
        <v/>
      </c>
      <c r="AG5092" s="15" t="str">
        <f>IF(OR(AF5092="",AF5092="ERRO_CHAVE"),"",IFERROR(MATCH(AF5092,'Quitados DUPP'!$U$1:$U$6635,0),""))</f>
        <v/>
      </c>
      <c r="AH5092" s="15" t="str">
        <f t="shared" si="2"/>
        <v/>
      </c>
      <c r="AI5092" s="17" t="str">
        <f>IF(AG5092="","",INDEX('Quitados DUPP'!$G$1:$G$6635,AG5092))</f>
        <v/>
      </c>
      <c r="AJ5092" s="17" t="str">
        <f t="shared" si="3"/>
        <v/>
      </c>
    </row>
    <row r="5093" spans="31:36">
      <c r="AE5093" s="15" t="str">
        <f t="shared" si="0"/>
        <v/>
      </c>
      <c r="AF5093" s="15" t="str">
        <f t="shared" si="1"/>
        <v/>
      </c>
      <c r="AG5093" s="15" t="str">
        <f>IF(OR(AF5093="",AF5093="ERRO_CHAVE"),"",IFERROR(MATCH(AF5093,'Quitados DUPP'!$U$1:$U$6635,0),""))</f>
        <v/>
      </c>
      <c r="AH5093" s="15" t="str">
        <f t="shared" si="2"/>
        <v/>
      </c>
      <c r="AI5093" s="17" t="str">
        <f>IF(AG5093="","",INDEX('Quitados DUPP'!$G$1:$G$6635,AG5093))</f>
        <v/>
      </c>
      <c r="AJ5093" s="17" t="str">
        <f t="shared" si="3"/>
        <v/>
      </c>
    </row>
    <row r="5094" spans="31:36">
      <c r="AE5094" s="15" t="str">
        <f t="shared" si="0"/>
        <v/>
      </c>
      <c r="AF5094" s="15" t="str">
        <f t="shared" si="1"/>
        <v/>
      </c>
      <c r="AG5094" s="15" t="str">
        <f>IF(OR(AF5094="",AF5094="ERRO_CHAVE"),"",IFERROR(MATCH(AF5094,'Quitados DUPP'!$U$1:$U$6635,0),""))</f>
        <v/>
      </c>
      <c r="AH5094" s="15" t="str">
        <f t="shared" si="2"/>
        <v/>
      </c>
      <c r="AI5094" s="17" t="str">
        <f>IF(AG5094="","",INDEX('Quitados DUPP'!$G$1:$G$6635,AG5094))</f>
        <v/>
      </c>
      <c r="AJ5094" s="17" t="str">
        <f t="shared" si="3"/>
        <v/>
      </c>
    </row>
    <row r="5095" spans="31:36">
      <c r="AE5095" s="15" t="str">
        <f t="shared" si="0"/>
        <v/>
      </c>
      <c r="AF5095" s="15" t="str">
        <f t="shared" si="1"/>
        <v/>
      </c>
      <c r="AG5095" s="15" t="str">
        <f>IF(OR(AF5095="",AF5095="ERRO_CHAVE"),"",IFERROR(MATCH(AF5095,'Quitados DUPP'!$U$1:$U$6635,0),""))</f>
        <v/>
      </c>
      <c r="AH5095" s="15" t="str">
        <f t="shared" si="2"/>
        <v/>
      </c>
      <c r="AI5095" s="17" t="str">
        <f>IF(AG5095="","",INDEX('Quitados DUPP'!$G$1:$G$6635,AG5095))</f>
        <v/>
      </c>
      <c r="AJ5095" s="17" t="str">
        <f t="shared" si="3"/>
        <v/>
      </c>
    </row>
    <row r="5096" spans="31:36">
      <c r="AE5096" s="15" t="str">
        <f t="shared" si="0"/>
        <v/>
      </c>
      <c r="AF5096" s="15" t="str">
        <f t="shared" si="1"/>
        <v/>
      </c>
      <c r="AG5096" s="15" t="str">
        <f>IF(OR(AF5096="",AF5096="ERRO_CHAVE"),"",IFERROR(MATCH(AF5096,'Quitados DUPP'!$U$1:$U$6635,0),""))</f>
        <v/>
      </c>
      <c r="AH5096" s="15" t="str">
        <f t="shared" si="2"/>
        <v/>
      </c>
      <c r="AI5096" s="17" t="str">
        <f>IF(AG5096="","",INDEX('Quitados DUPP'!$G$1:$G$6635,AG5096))</f>
        <v/>
      </c>
      <c r="AJ5096" s="17" t="str">
        <f t="shared" si="3"/>
        <v/>
      </c>
    </row>
    <row r="5097" spans="31:36">
      <c r="AE5097" s="15" t="str">
        <f t="shared" si="0"/>
        <v/>
      </c>
      <c r="AF5097" s="15" t="str">
        <f t="shared" si="1"/>
        <v/>
      </c>
      <c r="AG5097" s="15" t="str">
        <f>IF(OR(AF5097="",AF5097="ERRO_CHAVE"),"",IFERROR(MATCH(AF5097,'Quitados DUPP'!$U$1:$U$6635,0),""))</f>
        <v/>
      </c>
      <c r="AH5097" s="15" t="str">
        <f t="shared" si="2"/>
        <v/>
      </c>
      <c r="AI5097" s="17" t="str">
        <f>IF(AG5097="","",INDEX('Quitados DUPP'!$G$1:$G$6635,AG5097))</f>
        <v/>
      </c>
      <c r="AJ5097" s="17" t="str">
        <f t="shared" si="3"/>
        <v/>
      </c>
    </row>
    <row r="5098" spans="31:36">
      <c r="AE5098" s="15" t="str">
        <f t="shared" si="0"/>
        <v/>
      </c>
      <c r="AF5098" s="15" t="str">
        <f t="shared" si="1"/>
        <v/>
      </c>
      <c r="AG5098" s="15" t="str">
        <f>IF(OR(AF5098="",AF5098="ERRO_CHAVE"),"",IFERROR(MATCH(AF5098,'Quitados DUPP'!$U$1:$U$6635,0),""))</f>
        <v/>
      </c>
      <c r="AH5098" s="15" t="str">
        <f t="shared" si="2"/>
        <v/>
      </c>
      <c r="AI5098" s="17" t="str">
        <f>IF(AG5098="","",INDEX('Quitados DUPP'!$G$1:$G$6635,AG5098))</f>
        <v/>
      </c>
      <c r="AJ5098" s="17" t="str">
        <f t="shared" si="3"/>
        <v/>
      </c>
    </row>
    <row r="5099" spans="31:36">
      <c r="AE5099" s="15" t="str">
        <f t="shared" si="0"/>
        <v/>
      </c>
      <c r="AF5099" s="15" t="str">
        <f t="shared" si="1"/>
        <v/>
      </c>
      <c r="AG5099" s="15" t="str">
        <f>IF(OR(AF5099="",AF5099="ERRO_CHAVE"),"",IFERROR(MATCH(AF5099,'Quitados DUPP'!$U$1:$U$6635,0),""))</f>
        <v/>
      </c>
      <c r="AH5099" s="15" t="str">
        <f t="shared" si="2"/>
        <v/>
      </c>
      <c r="AI5099" s="17" t="str">
        <f>IF(AG5099="","",INDEX('Quitados DUPP'!$G$1:$G$6635,AG5099))</f>
        <v/>
      </c>
      <c r="AJ5099" s="17" t="str">
        <f t="shared" si="3"/>
        <v/>
      </c>
    </row>
    <row r="5100" spans="31:36">
      <c r="AE5100" s="15" t="str">
        <f t="shared" si="0"/>
        <v/>
      </c>
      <c r="AF5100" s="15" t="str">
        <f t="shared" si="1"/>
        <v/>
      </c>
      <c r="AG5100" s="15" t="str">
        <f>IF(OR(AF5100="",AF5100="ERRO_CHAVE"),"",IFERROR(MATCH(AF5100,'Quitados DUPP'!$U$1:$U$6635,0),""))</f>
        <v/>
      </c>
      <c r="AH5100" s="15" t="str">
        <f t="shared" si="2"/>
        <v/>
      </c>
      <c r="AI5100" s="17" t="str">
        <f>IF(AG5100="","",INDEX('Quitados DUPP'!$G$1:$G$6635,AG5100))</f>
        <v/>
      </c>
      <c r="AJ5100" s="17" t="str">
        <f t="shared" si="3"/>
        <v/>
      </c>
    </row>
    <row r="5101" spans="31:36">
      <c r="AE5101" s="15" t="str">
        <f t="shared" si="0"/>
        <v/>
      </c>
      <c r="AF5101" s="15" t="str">
        <f t="shared" si="1"/>
        <v/>
      </c>
      <c r="AG5101" s="15" t="str">
        <f>IF(OR(AF5101="",AF5101="ERRO_CHAVE"),"",IFERROR(MATCH(AF5101,'Quitados DUPP'!$U$1:$U$6635,0),""))</f>
        <v/>
      </c>
      <c r="AH5101" s="15" t="str">
        <f t="shared" si="2"/>
        <v/>
      </c>
      <c r="AI5101" s="17" t="str">
        <f>IF(AG5101="","",INDEX('Quitados DUPP'!$G$1:$G$6635,AG5101))</f>
        <v/>
      </c>
      <c r="AJ5101" s="17" t="str">
        <f t="shared" si="3"/>
        <v/>
      </c>
    </row>
    <row r="5102" spans="31:36">
      <c r="AE5102" s="15" t="str">
        <f t="shared" si="0"/>
        <v/>
      </c>
      <c r="AF5102" s="15" t="str">
        <f t="shared" si="1"/>
        <v/>
      </c>
      <c r="AG5102" s="15" t="str">
        <f>IF(OR(AF5102="",AF5102="ERRO_CHAVE"),"",IFERROR(MATCH(AF5102,'Quitados DUPP'!$U$1:$U$6635,0),""))</f>
        <v/>
      </c>
      <c r="AH5102" s="15" t="str">
        <f t="shared" si="2"/>
        <v/>
      </c>
      <c r="AI5102" s="17" t="str">
        <f>IF(AG5102="","",INDEX('Quitados DUPP'!$G$1:$G$6635,AG5102))</f>
        <v/>
      </c>
      <c r="AJ5102" s="17" t="str">
        <f t="shared" si="3"/>
        <v/>
      </c>
    </row>
    <row r="5103" spans="31:36">
      <c r="AE5103" s="15" t="str">
        <f t="shared" si="0"/>
        <v/>
      </c>
      <c r="AF5103" s="15" t="str">
        <f t="shared" si="1"/>
        <v/>
      </c>
      <c r="AG5103" s="15" t="str">
        <f>IF(OR(AF5103="",AF5103="ERRO_CHAVE"),"",IFERROR(MATCH(AF5103,'Quitados DUPP'!$U$1:$U$6635,0),""))</f>
        <v/>
      </c>
      <c r="AH5103" s="15" t="str">
        <f t="shared" si="2"/>
        <v/>
      </c>
      <c r="AI5103" s="17" t="str">
        <f>IF(AG5103="","",INDEX('Quitados DUPP'!$G$1:$G$6635,AG5103))</f>
        <v/>
      </c>
      <c r="AJ5103" s="17" t="str">
        <f t="shared" si="3"/>
        <v/>
      </c>
    </row>
    <row r="5104" spans="31:36">
      <c r="AE5104" s="15" t="str">
        <f t="shared" si="0"/>
        <v/>
      </c>
      <c r="AF5104" s="15" t="str">
        <f t="shared" si="1"/>
        <v/>
      </c>
      <c r="AG5104" s="15" t="str">
        <f>IF(OR(AF5104="",AF5104="ERRO_CHAVE"),"",IFERROR(MATCH(AF5104,'Quitados DUPP'!$U$1:$U$6635,0),""))</f>
        <v/>
      </c>
      <c r="AH5104" s="15" t="str">
        <f t="shared" si="2"/>
        <v/>
      </c>
      <c r="AI5104" s="17" t="str">
        <f>IF(AG5104="","",INDEX('Quitados DUPP'!$G$1:$G$6635,AG5104))</f>
        <v/>
      </c>
      <c r="AJ5104" s="17" t="str">
        <f t="shared" si="3"/>
        <v/>
      </c>
    </row>
    <row r="5105" spans="31:36">
      <c r="AE5105" s="15" t="str">
        <f t="shared" si="0"/>
        <v/>
      </c>
      <c r="AF5105" s="15" t="str">
        <f t="shared" si="1"/>
        <v/>
      </c>
      <c r="AG5105" s="15" t="str">
        <f>IF(OR(AF5105="",AF5105="ERRO_CHAVE"),"",IFERROR(MATCH(AF5105,'Quitados DUPP'!$U$1:$U$6635,0),""))</f>
        <v/>
      </c>
      <c r="AH5105" s="15" t="str">
        <f t="shared" si="2"/>
        <v/>
      </c>
      <c r="AI5105" s="17" t="str">
        <f>IF(AG5105="","",INDEX('Quitados DUPP'!$G$1:$G$6635,AG5105))</f>
        <v/>
      </c>
      <c r="AJ5105" s="17" t="str">
        <f t="shared" si="3"/>
        <v/>
      </c>
    </row>
    <row r="5106" spans="31:36">
      <c r="AE5106" s="15" t="str">
        <f t="shared" si="0"/>
        <v/>
      </c>
      <c r="AF5106" s="15" t="str">
        <f t="shared" si="1"/>
        <v/>
      </c>
      <c r="AG5106" s="15" t="str">
        <f>IF(OR(AF5106="",AF5106="ERRO_CHAVE"),"",IFERROR(MATCH(AF5106,'Quitados DUPP'!$U$1:$U$6635,0),""))</f>
        <v/>
      </c>
      <c r="AH5106" s="15" t="str">
        <f t="shared" si="2"/>
        <v/>
      </c>
      <c r="AI5106" s="17" t="str">
        <f>IF(AG5106="","",INDEX('Quitados DUPP'!$G$1:$G$6635,AG5106))</f>
        <v/>
      </c>
      <c r="AJ5106" s="17" t="str">
        <f t="shared" si="3"/>
        <v/>
      </c>
    </row>
    <row r="5107" spans="31:36">
      <c r="AE5107" s="15" t="str">
        <f t="shared" si="0"/>
        <v/>
      </c>
      <c r="AF5107" s="15" t="str">
        <f t="shared" si="1"/>
        <v/>
      </c>
      <c r="AG5107" s="15" t="str">
        <f>IF(OR(AF5107="",AF5107="ERRO_CHAVE"),"",IFERROR(MATCH(AF5107,'Quitados DUPP'!$U$1:$U$6635,0),""))</f>
        <v/>
      </c>
      <c r="AH5107" s="15" t="str">
        <f t="shared" si="2"/>
        <v/>
      </c>
      <c r="AI5107" s="17" t="str">
        <f>IF(AG5107="","",INDEX('Quitados DUPP'!$G$1:$G$6635,AG5107))</f>
        <v/>
      </c>
      <c r="AJ5107" s="17" t="str">
        <f t="shared" si="3"/>
        <v/>
      </c>
    </row>
    <row r="5108" spans="31:36">
      <c r="AE5108" s="15" t="str">
        <f t="shared" si="0"/>
        <v/>
      </c>
      <c r="AF5108" s="15" t="str">
        <f t="shared" si="1"/>
        <v/>
      </c>
      <c r="AG5108" s="15" t="str">
        <f>IF(OR(AF5108="",AF5108="ERRO_CHAVE"),"",IFERROR(MATCH(AF5108,'Quitados DUPP'!$U$1:$U$6635,0),""))</f>
        <v/>
      </c>
      <c r="AH5108" s="15" t="str">
        <f t="shared" si="2"/>
        <v/>
      </c>
      <c r="AI5108" s="17" t="str">
        <f>IF(AG5108="","",INDEX('Quitados DUPP'!$G$1:$G$6635,AG5108))</f>
        <v/>
      </c>
      <c r="AJ5108" s="17" t="str">
        <f t="shared" si="3"/>
        <v/>
      </c>
    </row>
    <row r="5109" spans="31:36">
      <c r="AE5109" s="15" t="str">
        <f t="shared" si="0"/>
        <v/>
      </c>
      <c r="AF5109" s="15" t="str">
        <f t="shared" si="1"/>
        <v/>
      </c>
      <c r="AG5109" s="15" t="str">
        <f>IF(OR(AF5109="",AF5109="ERRO_CHAVE"),"",IFERROR(MATCH(AF5109,'Quitados DUPP'!$U$1:$U$6635,0),""))</f>
        <v/>
      </c>
      <c r="AH5109" s="15" t="str">
        <f t="shared" si="2"/>
        <v/>
      </c>
      <c r="AI5109" s="17" t="str">
        <f>IF(AG5109="","",INDEX('Quitados DUPP'!$G$1:$G$6635,AG5109))</f>
        <v/>
      </c>
      <c r="AJ5109" s="17" t="str">
        <f t="shared" si="3"/>
        <v/>
      </c>
    </row>
    <row r="5110" spans="31:36">
      <c r="AE5110" s="15" t="str">
        <f t="shared" si="0"/>
        <v/>
      </c>
      <c r="AF5110" s="15" t="str">
        <f t="shared" si="1"/>
        <v/>
      </c>
      <c r="AG5110" s="15" t="str">
        <f>IF(OR(AF5110="",AF5110="ERRO_CHAVE"),"",IFERROR(MATCH(AF5110,'Quitados DUPP'!$U$1:$U$6635,0),""))</f>
        <v/>
      </c>
      <c r="AH5110" s="15" t="str">
        <f t="shared" si="2"/>
        <v/>
      </c>
      <c r="AI5110" s="17" t="str">
        <f>IF(AG5110="","",INDEX('Quitados DUPP'!$G$1:$G$6635,AG5110))</f>
        <v/>
      </c>
      <c r="AJ5110" s="17" t="str">
        <f t="shared" si="3"/>
        <v/>
      </c>
    </row>
    <row r="5111" spans="31:36">
      <c r="AE5111" s="15" t="str">
        <f t="shared" si="0"/>
        <v/>
      </c>
      <c r="AF5111" s="15" t="str">
        <f t="shared" si="1"/>
        <v/>
      </c>
      <c r="AG5111" s="15" t="str">
        <f>IF(OR(AF5111="",AF5111="ERRO_CHAVE"),"",IFERROR(MATCH(AF5111,'Quitados DUPP'!$U$1:$U$6635,0),""))</f>
        <v/>
      </c>
      <c r="AH5111" s="15" t="str">
        <f t="shared" si="2"/>
        <v/>
      </c>
      <c r="AI5111" s="17" t="str">
        <f>IF(AG5111="","",INDEX('Quitados DUPP'!$G$1:$G$6635,AG5111))</f>
        <v/>
      </c>
      <c r="AJ5111" s="17" t="str">
        <f t="shared" si="3"/>
        <v/>
      </c>
    </row>
    <row r="5112" spans="31:36">
      <c r="AE5112" s="15" t="str">
        <f t="shared" si="0"/>
        <v/>
      </c>
      <c r="AF5112" s="15" t="str">
        <f t="shared" si="1"/>
        <v/>
      </c>
      <c r="AG5112" s="15" t="str">
        <f>IF(OR(AF5112="",AF5112="ERRO_CHAVE"),"",IFERROR(MATCH(AF5112,'Quitados DUPP'!$U$1:$U$6635,0),""))</f>
        <v/>
      </c>
      <c r="AH5112" s="15" t="str">
        <f t="shared" si="2"/>
        <v/>
      </c>
      <c r="AI5112" s="17" t="str">
        <f>IF(AG5112="","",INDEX('Quitados DUPP'!$G$1:$G$6635,AG5112))</f>
        <v/>
      </c>
      <c r="AJ5112" s="17" t="str">
        <f t="shared" si="3"/>
        <v/>
      </c>
    </row>
    <row r="5113" spans="31:36">
      <c r="AE5113" s="15" t="str">
        <f t="shared" si="0"/>
        <v/>
      </c>
      <c r="AF5113" s="15" t="str">
        <f t="shared" si="1"/>
        <v/>
      </c>
      <c r="AG5113" s="15" t="str">
        <f>IF(OR(AF5113="",AF5113="ERRO_CHAVE"),"",IFERROR(MATCH(AF5113,'Quitados DUPP'!$U$1:$U$6635,0),""))</f>
        <v/>
      </c>
      <c r="AH5113" s="15" t="str">
        <f t="shared" si="2"/>
        <v/>
      </c>
      <c r="AI5113" s="17" t="str">
        <f>IF(AG5113="","",INDEX('Quitados DUPP'!$G$1:$G$6635,AG5113))</f>
        <v/>
      </c>
      <c r="AJ5113" s="17" t="str">
        <f t="shared" si="3"/>
        <v/>
      </c>
    </row>
    <row r="5114" spans="31:36">
      <c r="AE5114" s="15" t="str">
        <f t="shared" si="0"/>
        <v/>
      </c>
      <c r="AF5114" s="15" t="str">
        <f t="shared" si="1"/>
        <v/>
      </c>
      <c r="AG5114" s="15" t="str">
        <f>IF(OR(AF5114="",AF5114="ERRO_CHAVE"),"",IFERROR(MATCH(AF5114,'Quitados DUPP'!$U$1:$U$6635,0),""))</f>
        <v/>
      </c>
      <c r="AH5114" s="15" t="str">
        <f t="shared" si="2"/>
        <v/>
      </c>
      <c r="AI5114" s="17" t="str">
        <f>IF(AG5114="","",INDEX('Quitados DUPP'!$G$1:$G$6635,AG5114))</f>
        <v/>
      </c>
      <c r="AJ5114" s="17" t="str">
        <f t="shared" si="3"/>
        <v/>
      </c>
    </row>
    <row r="5115" spans="31:36">
      <c r="AE5115" s="15" t="str">
        <f t="shared" si="0"/>
        <v/>
      </c>
      <c r="AF5115" s="15" t="str">
        <f t="shared" si="1"/>
        <v/>
      </c>
      <c r="AG5115" s="15" t="str">
        <f>IF(OR(AF5115="",AF5115="ERRO_CHAVE"),"",IFERROR(MATCH(AF5115,'Quitados DUPP'!$U$1:$U$6635,0),""))</f>
        <v/>
      </c>
      <c r="AH5115" s="15" t="str">
        <f t="shared" si="2"/>
        <v/>
      </c>
      <c r="AI5115" s="17" t="str">
        <f>IF(AG5115="","",INDEX('Quitados DUPP'!$G$1:$G$6635,AG5115))</f>
        <v/>
      </c>
      <c r="AJ5115" s="17" t="str">
        <f t="shared" si="3"/>
        <v/>
      </c>
    </row>
    <row r="5116" spans="31:36">
      <c r="AE5116" s="15" t="str">
        <f t="shared" si="0"/>
        <v/>
      </c>
      <c r="AF5116" s="15" t="str">
        <f t="shared" si="1"/>
        <v/>
      </c>
      <c r="AG5116" s="15" t="str">
        <f>IF(OR(AF5116="",AF5116="ERRO_CHAVE"),"",IFERROR(MATCH(AF5116,'Quitados DUPP'!$U$1:$U$6635,0),""))</f>
        <v/>
      </c>
      <c r="AH5116" s="15" t="str">
        <f t="shared" si="2"/>
        <v/>
      </c>
      <c r="AI5116" s="17" t="str">
        <f>IF(AG5116="","",INDEX('Quitados DUPP'!$G$1:$G$6635,AG5116))</f>
        <v/>
      </c>
      <c r="AJ5116" s="17" t="str">
        <f t="shared" si="3"/>
        <v/>
      </c>
    </row>
    <row r="5117" spans="31:36">
      <c r="AE5117" s="15" t="str">
        <f t="shared" si="0"/>
        <v/>
      </c>
      <c r="AF5117" s="15" t="str">
        <f t="shared" si="1"/>
        <v/>
      </c>
      <c r="AG5117" s="15" t="str">
        <f>IF(OR(AF5117="",AF5117="ERRO_CHAVE"),"",IFERROR(MATCH(AF5117,'Quitados DUPP'!$U$1:$U$6635,0),""))</f>
        <v/>
      </c>
      <c r="AH5117" s="15" t="str">
        <f t="shared" si="2"/>
        <v/>
      </c>
      <c r="AI5117" s="17" t="str">
        <f>IF(AG5117="","",INDEX('Quitados DUPP'!$G$1:$G$6635,AG5117))</f>
        <v/>
      </c>
      <c r="AJ5117" s="17" t="str">
        <f t="shared" si="3"/>
        <v/>
      </c>
    </row>
    <row r="5118" spans="31:36">
      <c r="AE5118" s="15" t="str">
        <f t="shared" si="0"/>
        <v/>
      </c>
      <c r="AF5118" s="15" t="str">
        <f t="shared" si="1"/>
        <v/>
      </c>
      <c r="AG5118" s="15" t="str">
        <f>IF(OR(AF5118="",AF5118="ERRO_CHAVE"),"",IFERROR(MATCH(AF5118,'Quitados DUPP'!$U$1:$U$6635,0),""))</f>
        <v/>
      </c>
      <c r="AH5118" s="15" t="str">
        <f t="shared" si="2"/>
        <v/>
      </c>
      <c r="AI5118" s="17" t="str">
        <f>IF(AG5118="","",INDEX('Quitados DUPP'!$G$1:$G$6635,AG5118))</f>
        <v/>
      </c>
      <c r="AJ5118" s="17" t="str">
        <f t="shared" si="3"/>
        <v/>
      </c>
    </row>
    <row r="5119" spans="31:36">
      <c r="AE5119" s="15" t="str">
        <f t="shared" si="0"/>
        <v/>
      </c>
      <c r="AF5119" s="15" t="str">
        <f t="shared" si="1"/>
        <v/>
      </c>
      <c r="AG5119" s="15" t="str">
        <f>IF(OR(AF5119="",AF5119="ERRO_CHAVE"),"",IFERROR(MATCH(AF5119,'Quitados DUPP'!$U$1:$U$6635,0),""))</f>
        <v/>
      </c>
      <c r="AH5119" s="15" t="str">
        <f t="shared" si="2"/>
        <v/>
      </c>
      <c r="AI5119" s="17" t="str">
        <f>IF(AG5119="","",INDEX('Quitados DUPP'!$G$1:$G$6635,AG5119))</f>
        <v/>
      </c>
      <c r="AJ5119" s="17" t="str">
        <f t="shared" si="3"/>
        <v/>
      </c>
    </row>
    <row r="5120" spans="31:36">
      <c r="AE5120" s="15" t="str">
        <f t="shared" si="0"/>
        <v/>
      </c>
      <c r="AF5120" s="15" t="str">
        <f t="shared" si="1"/>
        <v/>
      </c>
      <c r="AG5120" s="15" t="str">
        <f>IF(OR(AF5120="",AF5120="ERRO_CHAVE"),"",IFERROR(MATCH(AF5120,'Quitados DUPP'!$U$1:$U$6635,0),""))</f>
        <v/>
      </c>
      <c r="AH5120" s="15" t="str">
        <f t="shared" si="2"/>
        <v/>
      </c>
      <c r="AI5120" s="17" t="str">
        <f>IF(AG5120="","",INDEX('Quitados DUPP'!$G$1:$G$6635,AG5120))</f>
        <v/>
      </c>
      <c r="AJ5120" s="17" t="str">
        <f t="shared" si="3"/>
        <v/>
      </c>
    </row>
    <row r="5121" spans="31:36">
      <c r="AE5121" s="15" t="str">
        <f t="shared" si="0"/>
        <v/>
      </c>
      <c r="AF5121" s="15" t="str">
        <f t="shared" si="1"/>
        <v/>
      </c>
      <c r="AG5121" s="15" t="str">
        <f>IF(OR(AF5121="",AF5121="ERRO_CHAVE"),"",IFERROR(MATCH(AF5121,'Quitados DUPP'!$U$1:$U$6635,0),""))</f>
        <v/>
      </c>
      <c r="AH5121" s="15" t="str">
        <f t="shared" si="2"/>
        <v/>
      </c>
      <c r="AI5121" s="17" t="str">
        <f>IF(AG5121="","",INDEX('Quitados DUPP'!$G$1:$G$6635,AG5121))</f>
        <v/>
      </c>
      <c r="AJ5121" s="17" t="str">
        <f t="shared" si="3"/>
        <v/>
      </c>
    </row>
    <row r="5122" spans="31:36">
      <c r="AE5122" s="15" t="str">
        <f t="shared" si="0"/>
        <v/>
      </c>
      <c r="AF5122" s="15" t="str">
        <f t="shared" si="1"/>
        <v/>
      </c>
      <c r="AG5122" s="15" t="str">
        <f>IF(OR(AF5122="",AF5122="ERRO_CHAVE"),"",IFERROR(MATCH(AF5122,'Quitados DUPP'!$U$1:$U$6635,0),""))</f>
        <v/>
      </c>
      <c r="AH5122" s="15" t="str">
        <f t="shared" si="2"/>
        <v/>
      </c>
      <c r="AI5122" s="17" t="str">
        <f>IF(AG5122="","",INDEX('Quitados DUPP'!$G$1:$G$6635,AG5122))</f>
        <v/>
      </c>
      <c r="AJ5122" s="17" t="str">
        <f t="shared" si="3"/>
        <v/>
      </c>
    </row>
    <row r="5123" spans="31:36">
      <c r="AE5123" s="15" t="str">
        <f t="shared" si="0"/>
        <v/>
      </c>
      <c r="AF5123" s="15" t="str">
        <f t="shared" si="1"/>
        <v/>
      </c>
      <c r="AG5123" s="15" t="str">
        <f>IF(OR(AF5123="",AF5123="ERRO_CHAVE"),"",IFERROR(MATCH(AF5123,'Quitados DUPP'!$U$1:$U$6635,0),""))</f>
        <v/>
      </c>
      <c r="AH5123" s="15" t="str">
        <f t="shared" si="2"/>
        <v/>
      </c>
      <c r="AI5123" s="17" t="str">
        <f>IF(AG5123="","",INDEX('Quitados DUPP'!$G$1:$G$6635,AG5123))</f>
        <v/>
      </c>
      <c r="AJ5123" s="17" t="str">
        <f t="shared" si="3"/>
        <v/>
      </c>
    </row>
    <row r="5124" spans="31:36">
      <c r="AE5124" s="15" t="str">
        <f t="shared" si="0"/>
        <v/>
      </c>
      <c r="AF5124" s="15" t="str">
        <f t="shared" si="1"/>
        <v/>
      </c>
      <c r="AG5124" s="15" t="str">
        <f>IF(OR(AF5124="",AF5124="ERRO_CHAVE"),"",IFERROR(MATCH(AF5124,'Quitados DUPP'!$U$1:$U$6635,0),""))</f>
        <v/>
      </c>
      <c r="AH5124" s="15" t="str">
        <f t="shared" si="2"/>
        <v/>
      </c>
      <c r="AI5124" s="17" t="str">
        <f>IF(AG5124="","",INDEX('Quitados DUPP'!$G$1:$G$6635,AG5124))</f>
        <v/>
      </c>
      <c r="AJ5124" s="17" t="str">
        <f t="shared" si="3"/>
        <v/>
      </c>
    </row>
    <row r="5125" spans="31:36">
      <c r="AE5125" s="15" t="str">
        <f t="shared" si="0"/>
        <v/>
      </c>
      <c r="AF5125" s="15" t="str">
        <f t="shared" si="1"/>
        <v/>
      </c>
      <c r="AG5125" s="15" t="str">
        <f>IF(OR(AF5125="",AF5125="ERRO_CHAVE"),"",IFERROR(MATCH(AF5125,'Quitados DUPP'!$U$1:$U$6635,0),""))</f>
        <v/>
      </c>
      <c r="AH5125" s="15" t="str">
        <f t="shared" si="2"/>
        <v/>
      </c>
      <c r="AI5125" s="17" t="str">
        <f>IF(AG5125="","",INDEX('Quitados DUPP'!$G$1:$G$6635,AG5125))</f>
        <v/>
      </c>
      <c r="AJ5125" s="17" t="str">
        <f t="shared" si="3"/>
        <v/>
      </c>
    </row>
    <row r="5126" spans="31:36">
      <c r="AE5126" s="15" t="str">
        <f t="shared" si="0"/>
        <v/>
      </c>
      <c r="AF5126" s="15" t="str">
        <f t="shared" si="1"/>
        <v/>
      </c>
      <c r="AG5126" s="15" t="str">
        <f>IF(OR(AF5126="",AF5126="ERRO_CHAVE"),"",IFERROR(MATCH(AF5126,'Quitados DUPP'!$U$1:$U$6635,0),""))</f>
        <v/>
      </c>
      <c r="AH5126" s="15" t="str">
        <f t="shared" si="2"/>
        <v/>
      </c>
      <c r="AI5126" s="17" t="str">
        <f>IF(AG5126="","",INDEX('Quitados DUPP'!$G$1:$G$6635,AG5126))</f>
        <v/>
      </c>
      <c r="AJ5126" s="17" t="str">
        <f t="shared" si="3"/>
        <v/>
      </c>
    </row>
    <row r="5127" spans="31:36">
      <c r="AE5127" s="15" t="str">
        <f t="shared" si="0"/>
        <v/>
      </c>
      <c r="AF5127" s="15" t="str">
        <f t="shared" si="1"/>
        <v/>
      </c>
      <c r="AG5127" s="15" t="str">
        <f>IF(OR(AF5127="",AF5127="ERRO_CHAVE"),"",IFERROR(MATCH(AF5127,'Quitados DUPP'!$U$1:$U$6635,0),""))</f>
        <v/>
      </c>
      <c r="AH5127" s="15" t="str">
        <f t="shared" si="2"/>
        <v/>
      </c>
      <c r="AI5127" s="17" t="str">
        <f>IF(AG5127="","",INDEX('Quitados DUPP'!$G$1:$G$6635,AG5127))</f>
        <v/>
      </c>
      <c r="AJ5127" s="17" t="str">
        <f t="shared" si="3"/>
        <v/>
      </c>
    </row>
    <row r="5128" spans="31:36">
      <c r="AE5128" s="15" t="str">
        <f t="shared" si="0"/>
        <v/>
      </c>
      <c r="AF5128" s="15" t="str">
        <f t="shared" si="1"/>
        <v/>
      </c>
      <c r="AG5128" s="15" t="str">
        <f>IF(OR(AF5128="",AF5128="ERRO_CHAVE"),"",IFERROR(MATCH(AF5128,'Quitados DUPP'!$U$1:$U$6635,0),""))</f>
        <v/>
      </c>
      <c r="AH5128" s="15" t="str">
        <f t="shared" si="2"/>
        <v/>
      </c>
      <c r="AI5128" s="17" t="str">
        <f>IF(AG5128="","",INDEX('Quitados DUPP'!$G$1:$G$6635,AG5128))</f>
        <v/>
      </c>
      <c r="AJ5128" s="17" t="str">
        <f t="shared" si="3"/>
        <v/>
      </c>
    </row>
    <row r="5129" spans="31:36">
      <c r="AE5129" s="15" t="str">
        <f t="shared" si="0"/>
        <v/>
      </c>
      <c r="AF5129" s="15" t="str">
        <f t="shared" si="1"/>
        <v/>
      </c>
      <c r="AG5129" s="15" t="str">
        <f>IF(OR(AF5129="",AF5129="ERRO_CHAVE"),"",IFERROR(MATCH(AF5129,'Quitados DUPP'!$U$1:$U$6635,0),""))</f>
        <v/>
      </c>
      <c r="AH5129" s="15" t="str">
        <f t="shared" si="2"/>
        <v/>
      </c>
      <c r="AI5129" s="17" t="str">
        <f>IF(AG5129="","",INDEX('Quitados DUPP'!$G$1:$G$6635,AG5129))</f>
        <v/>
      </c>
      <c r="AJ5129" s="17" t="str">
        <f t="shared" si="3"/>
        <v/>
      </c>
    </row>
    <row r="5130" spans="31:36">
      <c r="AE5130" s="15" t="str">
        <f t="shared" si="0"/>
        <v/>
      </c>
      <c r="AF5130" s="15" t="str">
        <f t="shared" si="1"/>
        <v/>
      </c>
      <c r="AG5130" s="15" t="str">
        <f>IF(OR(AF5130="",AF5130="ERRO_CHAVE"),"",IFERROR(MATCH(AF5130,'Quitados DUPP'!$U$1:$U$6635,0),""))</f>
        <v/>
      </c>
      <c r="AH5130" s="15" t="str">
        <f t="shared" si="2"/>
        <v/>
      </c>
      <c r="AI5130" s="17" t="str">
        <f>IF(AG5130="","",INDEX('Quitados DUPP'!$G$1:$G$6635,AG5130))</f>
        <v/>
      </c>
      <c r="AJ5130" s="17" t="str">
        <f t="shared" si="3"/>
        <v/>
      </c>
    </row>
    <row r="5131" spans="31:36">
      <c r="AE5131" s="15" t="str">
        <f t="shared" si="0"/>
        <v/>
      </c>
      <c r="AF5131" s="15" t="str">
        <f t="shared" si="1"/>
        <v/>
      </c>
      <c r="AG5131" s="15" t="str">
        <f>IF(OR(AF5131="",AF5131="ERRO_CHAVE"),"",IFERROR(MATCH(AF5131,'Quitados DUPP'!$U$1:$U$6635,0),""))</f>
        <v/>
      </c>
      <c r="AH5131" s="15" t="str">
        <f t="shared" si="2"/>
        <v/>
      </c>
      <c r="AI5131" s="17" t="str">
        <f>IF(AG5131="","",INDEX('Quitados DUPP'!$G$1:$G$6635,AG5131))</f>
        <v/>
      </c>
      <c r="AJ5131" s="17" t="str">
        <f t="shared" si="3"/>
        <v/>
      </c>
    </row>
    <row r="5132" spans="31:36">
      <c r="AE5132" s="15" t="str">
        <f t="shared" si="0"/>
        <v/>
      </c>
      <c r="AF5132" s="15" t="str">
        <f t="shared" si="1"/>
        <v/>
      </c>
      <c r="AG5132" s="15" t="str">
        <f>IF(OR(AF5132="",AF5132="ERRO_CHAVE"),"",IFERROR(MATCH(AF5132,'Quitados DUPP'!$U$1:$U$6635,0),""))</f>
        <v/>
      </c>
      <c r="AH5132" s="15" t="str">
        <f t="shared" si="2"/>
        <v/>
      </c>
      <c r="AI5132" s="17" t="str">
        <f>IF(AG5132="","",INDEX('Quitados DUPP'!$G$1:$G$6635,AG5132))</f>
        <v/>
      </c>
      <c r="AJ5132" s="17" t="str">
        <f t="shared" si="3"/>
        <v/>
      </c>
    </row>
    <row r="5133" spans="31:36">
      <c r="AE5133" s="15" t="str">
        <f t="shared" si="0"/>
        <v/>
      </c>
      <c r="AF5133" s="15" t="str">
        <f t="shared" si="1"/>
        <v/>
      </c>
      <c r="AG5133" s="15" t="str">
        <f>IF(OR(AF5133="",AF5133="ERRO_CHAVE"),"",IFERROR(MATCH(AF5133,'Quitados DUPP'!$U$1:$U$6635,0),""))</f>
        <v/>
      </c>
      <c r="AH5133" s="15" t="str">
        <f t="shared" si="2"/>
        <v/>
      </c>
      <c r="AI5133" s="17" t="str">
        <f>IF(AG5133="","",INDEX('Quitados DUPP'!$G$1:$G$6635,AG5133))</f>
        <v/>
      </c>
      <c r="AJ5133" s="17" t="str">
        <f t="shared" si="3"/>
        <v/>
      </c>
    </row>
    <row r="5134" spans="31:36">
      <c r="AE5134" s="15" t="str">
        <f t="shared" si="0"/>
        <v/>
      </c>
      <c r="AF5134" s="15" t="str">
        <f t="shared" si="1"/>
        <v/>
      </c>
      <c r="AG5134" s="15" t="str">
        <f>IF(OR(AF5134="",AF5134="ERRO_CHAVE"),"",IFERROR(MATCH(AF5134,'Quitados DUPP'!$U$1:$U$6635,0),""))</f>
        <v/>
      </c>
      <c r="AH5134" s="15" t="str">
        <f t="shared" si="2"/>
        <v/>
      </c>
      <c r="AI5134" s="17" t="str">
        <f>IF(AG5134="","",INDEX('Quitados DUPP'!$G$1:$G$6635,AG5134))</f>
        <v/>
      </c>
      <c r="AJ5134" s="17" t="str">
        <f t="shared" si="3"/>
        <v/>
      </c>
    </row>
    <row r="5135" spans="31:36">
      <c r="AE5135" s="15" t="str">
        <f t="shared" si="0"/>
        <v/>
      </c>
      <c r="AF5135" s="15" t="str">
        <f t="shared" si="1"/>
        <v/>
      </c>
      <c r="AG5135" s="15" t="str">
        <f>IF(OR(AF5135="",AF5135="ERRO_CHAVE"),"",IFERROR(MATCH(AF5135,'Quitados DUPP'!$U$1:$U$6635,0),""))</f>
        <v/>
      </c>
      <c r="AH5135" s="15" t="str">
        <f t="shared" si="2"/>
        <v/>
      </c>
      <c r="AI5135" s="17" t="str">
        <f>IF(AG5135="","",INDEX('Quitados DUPP'!$G$1:$G$6635,AG5135))</f>
        <v/>
      </c>
      <c r="AJ5135" s="17" t="str">
        <f t="shared" si="3"/>
        <v/>
      </c>
    </row>
    <row r="5136" spans="31:36">
      <c r="AE5136" s="15" t="str">
        <f t="shared" si="0"/>
        <v/>
      </c>
      <c r="AF5136" s="15" t="str">
        <f t="shared" si="1"/>
        <v/>
      </c>
      <c r="AG5136" s="15" t="str">
        <f>IF(OR(AF5136="",AF5136="ERRO_CHAVE"),"",IFERROR(MATCH(AF5136,'Quitados DUPP'!$U$1:$U$6635,0),""))</f>
        <v/>
      </c>
      <c r="AH5136" s="15" t="str">
        <f t="shared" si="2"/>
        <v/>
      </c>
      <c r="AI5136" s="17" t="str">
        <f>IF(AG5136="","",INDEX('Quitados DUPP'!$G$1:$G$6635,AG5136))</f>
        <v/>
      </c>
      <c r="AJ5136" s="17" t="str">
        <f t="shared" si="3"/>
        <v/>
      </c>
    </row>
    <row r="5137" spans="31:36">
      <c r="AE5137" s="15" t="str">
        <f t="shared" si="0"/>
        <v/>
      </c>
      <c r="AF5137" s="15" t="str">
        <f t="shared" si="1"/>
        <v/>
      </c>
      <c r="AG5137" s="15" t="str">
        <f>IF(OR(AF5137="",AF5137="ERRO_CHAVE"),"",IFERROR(MATCH(AF5137,'Quitados DUPP'!$U$1:$U$6635,0),""))</f>
        <v/>
      </c>
      <c r="AH5137" s="15" t="str">
        <f t="shared" si="2"/>
        <v/>
      </c>
      <c r="AI5137" s="17" t="str">
        <f>IF(AG5137="","",INDEX('Quitados DUPP'!$G$1:$G$6635,AG5137))</f>
        <v/>
      </c>
      <c r="AJ5137" s="17" t="str">
        <f t="shared" si="3"/>
        <v/>
      </c>
    </row>
    <row r="5138" spans="31:36">
      <c r="AE5138" s="15" t="str">
        <f t="shared" si="0"/>
        <v/>
      </c>
      <c r="AF5138" s="15" t="str">
        <f t="shared" si="1"/>
        <v/>
      </c>
      <c r="AG5138" s="15" t="str">
        <f>IF(OR(AF5138="",AF5138="ERRO_CHAVE"),"",IFERROR(MATCH(AF5138,'Quitados DUPP'!$U$1:$U$6635,0),""))</f>
        <v/>
      </c>
      <c r="AH5138" s="15" t="str">
        <f t="shared" si="2"/>
        <v/>
      </c>
      <c r="AI5138" s="17" t="str">
        <f>IF(AG5138="","",INDEX('Quitados DUPP'!$G$1:$G$6635,AG5138))</f>
        <v/>
      </c>
      <c r="AJ5138" s="17" t="str">
        <f t="shared" si="3"/>
        <v/>
      </c>
    </row>
    <row r="5139" spans="31:36">
      <c r="AE5139" s="15" t="str">
        <f t="shared" si="0"/>
        <v/>
      </c>
      <c r="AF5139" s="15" t="str">
        <f t="shared" si="1"/>
        <v/>
      </c>
      <c r="AG5139" s="15" t="str">
        <f>IF(OR(AF5139="",AF5139="ERRO_CHAVE"),"",IFERROR(MATCH(AF5139,'Quitados DUPP'!$U$1:$U$6635,0),""))</f>
        <v/>
      </c>
      <c r="AH5139" s="15" t="str">
        <f t="shared" si="2"/>
        <v/>
      </c>
      <c r="AI5139" s="17" t="str">
        <f>IF(AG5139="","",INDEX('Quitados DUPP'!$G$1:$G$6635,AG5139))</f>
        <v/>
      </c>
      <c r="AJ5139" s="17" t="str">
        <f t="shared" si="3"/>
        <v/>
      </c>
    </row>
    <row r="5140" spans="31:36">
      <c r="AE5140" s="15" t="str">
        <f t="shared" si="0"/>
        <v/>
      </c>
      <c r="AF5140" s="15" t="str">
        <f t="shared" si="1"/>
        <v/>
      </c>
      <c r="AG5140" s="15" t="str">
        <f>IF(OR(AF5140="",AF5140="ERRO_CHAVE"),"",IFERROR(MATCH(AF5140,'Quitados DUPP'!$U$1:$U$6635,0),""))</f>
        <v/>
      </c>
      <c r="AH5140" s="15" t="str">
        <f t="shared" si="2"/>
        <v/>
      </c>
      <c r="AI5140" s="17" t="str">
        <f>IF(AG5140="","",INDEX('Quitados DUPP'!$G$1:$G$6635,AG5140))</f>
        <v/>
      </c>
      <c r="AJ5140" s="17" t="str">
        <f t="shared" si="3"/>
        <v/>
      </c>
    </row>
    <row r="5141" spans="31:36">
      <c r="AE5141" s="15" t="str">
        <f t="shared" si="0"/>
        <v/>
      </c>
      <c r="AF5141" s="15" t="str">
        <f t="shared" si="1"/>
        <v/>
      </c>
      <c r="AG5141" s="15" t="str">
        <f>IF(OR(AF5141="",AF5141="ERRO_CHAVE"),"",IFERROR(MATCH(AF5141,'Quitados DUPP'!$U$1:$U$6635,0),""))</f>
        <v/>
      </c>
      <c r="AH5141" s="15" t="str">
        <f t="shared" si="2"/>
        <v/>
      </c>
      <c r="AI5141" s="17" t="str">
        <f>IF(AG5141="","",INDEX('Quitados DUPP'!$G$1:$G$6635,AG5141))</f>
        <v/>
      </c>
      <c r="AJ5141" s="17" t="str">
        <f t="shared" si="3"/>
        <v/>
      </c>
    </row>
    <row r="5142" spans="31:36">
      <c r="AE5142" s="15" t="str">
        <f t="shared" si="0"/>
        <v/>
      </c>
      <c r="AF5142" s="15" t="str">
        <f t="shared" si="1"/>
        <v/>
      </c>
      <c r="AG5142" s="15" t="str">
        <f>IF(OR(AF5142="",AF5142="ERRO_CHAVE"),"",IFERROR(MATCH(AF5142,'Quitados DUPP'!$U$1:$U$6635,0),""))</f>
        <v/>
      </c>
      <c r="AH5142" s="15" t="str">
        <f t="shared" si="2"/>
        <v/>
      </c>
      <c r="AI5142" s="17" t="str">
        <f>IF(AG5142="","",INDEX('Quitados DUPP'!$G$1:$G$6635,AG5142))</f>
        <v/>
      </c>
      <c r="AJ5142" s="17" t="str">
        <f t="shared" si="3"/>
        <v/>
      </c>
    </row>
    <row r="5143" spans="31:36">
      <c r="AE5143" s="15" t="str">
        <f t="shared" si="0"/>
        <v/>
      </c>
      <c r="AF5143" s="15" t="str">
        <f t="shared" si="1"/>
        <v/>
      </c>
      <c r="AG5143" s="15" t="str">
        <f>IF(OR(AF5143="",AF5143="ERRO_CHAVE"),"",IFERROR(MATCH(AF5143,'Quitados DUPP'!$U$1:$U$6635,0),""))</f>
        <v/>
      </c>
      <c r="AH5143" s="15" t="str">
        <f t="shared" si="2"/>
        <v/>
      </c>
      <c r="AI5143" s="17" t="str">
        <f>IF(AG5143="","",INDEX('Quitados DUPP'!$G$1:$G$6635,AG5143))</f>
        <v/>
      </c>
      <c r="AJ5143" s="17" t="str">
        <f t="shared" si="3"/>
        <v/>
      </c>
    </row>
    <row r="5144" spans="31:36">
      <c r="AE5144" s="15" t="str">
        <f t="shared" si="0"/>
        <v/>
      </c>
      <c r="AF5144" s="15" t="str">
        <f t="shared" si="1"/>
        <v/>
      </c>
      <c r="AG5144" s="15" t="str">
        <f>IF(OR(AF5144="",AF5144="ERRO_CHAVE"),"",IFERROR(MATCH(AF5144,'Quitados DUPP'!$U$1:$U$6635,0),""))</f>
        <v/>
      </c>
      <c r="AH5144" s="15" t="str">
        <f t="shared" si="2"/>
        <v/>
      </c>
      <c r="AI5144" s="17" t="str">
        <f>IF(AG5144="","",INDEX('Quitados DUPP'!$G$1:$G$6635,AG5144))</f>
        <v/>
      </c>
      <c r="AJ5144" s="17" t="str">
        <f t="shared" si="3"/>
        <v/>
      </c>
    </row>
    <row r="5145" spans="31:36">
      <c r="AE5145" s="15" t="str">
        <f t="shared" si="0"/>
        <v/>
      </c>
      <c r="AF5145" s="15" t="str">
        <f t="shared" si="1"/>
        <v/>
      </c>
      <c r="AG5145" s="15" t="str">
        <f>IF(OR(AF5145="",AF5145="ERRO_CHAVE"),"",IFERROR(MATCH(AF5145,'Quitados DUPP'!$U$1:$U$6635,0),""))</f>
        <v/>
      </c>
      <c r="AH5145" s="15" t="str">
        <f t="shared" si="2"/>
        <v/>
      </c>
      <c r="AI5145" s="17" t="str">
        <f>IF(AG5145="","",INDEX('Quitados DUPP'!$G$1:$G$6635,AG5145))</f>
        <v/>
      </c>
      <c r="AJ5145" s="17" t="str">
        <f t="shared" si="3"/>
        <v/>
      </c>
    </row>
    <row r="5146" spans="31:36">
      <c r="AE5146" s="15" t="str">
        <f t="shared" si="0"/>
        <v/>
      </c>
      <c r="AF5146" s="15" t="str">
        <f t="shared" si="1"/>
        <v/>
      </c>
      <c r="AG5146" s="15" t="str">
        <f>IF(OR(AF5146="",AF5146="ERRO_CHAVE"),"",IFERROR(MATCH(AF5146,'Quitados DUPP'!$U$1:$U$6635,0),""))</f>
        <v/>
      </c>
      <c r="AH5146" s="15" t="str">
        <f t="shared" si="2"/>
        <v/>
      </c>
      <c r="AI5146" s="17" t="str">
        <f>IF(AG5146="","",INDEX('Quitados DUPP'!$G$1:$G$6635,AG5146))</f>
        <v/>
      </c>
      <c r="AJ5146" s="17" t="str">
        <f t="shared" si="3"/>
        <v/>
      </c>
    </row>
    <row r="5147" spans="31:36">
      <c r="AE5147" s="15" t="str">
        <f t="shared" si="0"/>
        <v/>
      </c>
      <c r="AF5147" s="15" t="str">
        <f t="shared" si="1"/>
        <v/>
      </c>
      <c r="AG5147" s="15" t="str">
        <f>IF(OR(AF5147="",AF5147="ERRO_CHAVE"),"",IFERROR(MATCH(AF5147,'Quitados DUPP'!$U$1:$U$6635,0),""))</f>
        <v/>
      </c>
      <c r="AH5147" s="15" t="str">
        <f t="shared" si="2"/>
        <v/>
      </c>
      <c r="AI5147" s="17" t="str">
        <f>IF(AG5147="","",INDEX('Quitados DUPP'!$G$1:$G$6635,AG5147))</f>
        <v/>
      </c>
      <c r="AJ5147" s="17" t="str">
        <f t="shared" si="3"/>
        <v/>
      </c>
    </row>
    <row r="5148" spans="31:36">
      <c r="AE5148" s="15" t="str">
        <f t="shared" si="0"/>
        <v/>
      </c>
      <c r="AF5148" s="15" t="str">
        <f t="shared" si="1"/>
        <v/>
      </c>
      <c r="AG5148" s="15" t="str">
        <f>IF(OR(AF5148="",AF5148="ERRO_CHAVE"),"",IFERROR(MATCH(AF5148,'Quitados DUPP'!$U$1:$U$6635,0),""))</f>
        <v/>
      </c>
      <c r="AH5148" s="15" t="str">
        <f t="shared" si="2"/>
        <v/>
      </c>
      <c r="AI5148" s="17" t="str">
        <f>IF(AG5148="","",INDEX('Quitados DUPP'!$G$1:$G$6635,AG5148))</f>
        <v/>
      </c>
      <c r="AJ5148" s="17" t="str">
        <f t="shared" si="3"/>
        <v/>
      </c>
    </row>
    <row r="5149" spans="31:36">
      <c r="AE5149" s="15" t="str">
        <f t="shared" si="0"/>
        <v/>
      </c>
      <c r="AF5149" s="15" t="str">
        <f t="shared" si="1"/>
        <v/>
      </c>
      <c r="AG5149" s="15" t="str">
        <f>IF(OR(AF5149="",AF5149="ERRO_CHAVE"),"",IFERROR(MATCH(AF5149,'Quitados DUPP'!$U$1:$U$6635,0),""))</f>
        <v/>
      </c>
      <c r="AH5149" s="15" t="str">
        <f t="shared" si="2"/>
        <v/>
      </c>
      <c r="AI5149" s="17" t="str">
        <f>IF(AG5149="","",INDEX('Quitados DUPP'!$G$1:$G$6635,AG5149))</f>
        <v/>
      </c>
      <c r="AJ5149" s="17" t="str">
        <f t="shared" si="3"/>
        <v/>
      </c>
    </row>
    <row r="5150" spans="31:36">
      <c r="AE5150" s="15" t="str">
        <f t="shared" si="0"/>
        <v/>
      </c>
      <c r="AF5150" s="15" t="str">
        <f t="shared" si="1"/>
        <v/>
      </c>
      <c r="AG5150" s="15" t="str">
        <f>IF(OR(AF5150="",AF5150="ERRO_CHAVE"),"",IFERROR(MATCH(AF5150,'Quitados DUPP'!$U$1:$U$6635,0),""))</f>
        <v/>
      </c>
      <c r="AH5150" s="15" t="str">
        <f t="shared" si="2"/>
        <v/>
      </c>
      <c r="AI5150" s="17" t="str">
        <f>IF(AG5150="","",INDEX('Quitados DUPP'!$G$1:$G$6635,AG5150))</f>
        <v/>
      </c>
      <c r="AJ5150" s="17" t="str">
        <f t="shared" si="3"/>
        <v/>
      </c>
    </row>
    <row r="5151" spans="31:36">
      <c r="AE5151" s="15" t="str">
        <f t="shared" si="0"/>
        <v/>
      </c>
      <c r="AF5151" s="15" t="str">
        <f t="shared" si="1"/>
        <v/>
      </c>
      <c r="AG5151" s="15" t="str">
        <f>IF(OR(AF5151="",AF5151="ERRO_CHAVE"),"",IFERROR(MATCH(AF5151,'Quitados DUPP'!$U$1:$U$6635,0),""))</f>
        <v/>
      </c>
      <c r="AH5151" s="15" t="str">
        <f t="shared" si="2"/>
        <v/>
      </c>
      <c r="AI5151" s="17" t="str">
        <f>IF(AG5151="","",INDEX('Quitados DUPP'!$G$1:$G$6635,AG5151))</f>
        <v/>
      </c>
      <c r="AJ5151" s="17" t="str">
        <f t="shared" si="3"/>
        <v/>
      </c>
    </row>
    <row r="5152" spans="31:36">
      <c r="AE5152" s="15" t="str">
        <f t="shared" si="0"/>
        <v/>
      </c>
      <c r="AF5152" s="15" t="str">
        <f t="shared" si="1"/>
        <v/>
      </c>
      <c r="AG5152" s="15" t="str">
        <f>IF(OR(AF5152="",AF5152="ERRO_CHAVE"),"",IFERROR(MATCH(AF5152,'Quitados DUPP'!$U$1:$U$6635,0),""))</f>
        <v/>
      </c>
      <c r="AH5152" s="15" t="str">
        <f t="shared" si="2"/>
        <v/>
      </c>
      <c r="AI5152" s="17" t="str">
        <f>IF(AG5152="","",INDEX('Quitados DUPP'!$G$1:$G$6635,AG5152))</f>
        <v/>
      </c>
      <c r="AJ5152" s="17" t="str">
        <f t="shared" si="3"/>
        <v/>
      </c>
    </row>
    <row r="5153" spans="31:36">
      <c r="AE5153" s="15" t="str">
        <f t="shared" si="0"/>
        <v/>
      </c>
      <c r="AF5153" s="15" t="str">
        <f t="shared" si="1"/>
        <v/>
      </c>
      <c r="AG5153" s="15" t="str">
        <f>IF(OR(AF5153="",AF5153="ERRO_CHAVE"),"",IFERROR(MATCH(AF5153,'Quitados DUPP'!$U$1:$U$6635,0),""))</f>
        <v/>
      </c>
      <c r="AH5153" s="15" t="str">
        <f t="shared" si="2"/>
        <v/>
      </c>
      <c r="AI5153" s="17" t="str">
        <f>IF(AG5153="","",INDEX('Quitados DUPP'!$G$1:$G$6635,AG5153))</f>
        <v/>
      </c>
      <c r="AJ5153" s="17" t="str">
        <f t="shared" si="3"/>
        <v/>
      </c>
    </row>
    <row r="5154" spans="31:36">
      <c r="AE5154" s="15" t="str">
        <f t="shared" si="0"/>
        <v/>
      </c>
      <c r="AF5154" s="15" t="str">
        <f t="shared" si="1"/>
        <v/>
      </c>
      <c r="AG5154" s="15" t="str">
        <f>IF(OR(AF5154="",AF5154="ERRO_CHAVE"),"",IFERROR(MATCH(AF5154,'Quitados DUPP'!$U$1:$U$6635,0),""))</f>
        <v/>
      </c>
      <c r="AH5154" s="15" t="str">
        <f t="shared" si="2"/>
        <v/>
      </c>
      <c r="AI5154" s="17" t="str">
        <f>IF(AG5154="","",INDEX('Quitados DUPP'!$G$1:$G$6635,AG5154))</f>
        <v/>
      </c>
      <c r="AJ5154" s="17" t="str">
        <f t="shared" si="3"/>
        <v/>
      </c>
    </row>
    <row r="5155" spans="31:36">
      <c r="AE5155" s="15" t="str">
        <f t="shared" si="0"/>
        <v/>
      </c>
      <c r="AF5155" s="15" t="str">
        <f t="shared" si="1"/>
        <v/>
      </c>
      <c r="AG5155" s="15" t="str">
        <f>IF(OR(AF5155="",AF5155="ERRO_CHAVE"),"",IFERROR(MATCH(AF5155,'Quitados DUPP'!$U$1:$U$6635,0),""))</f>
        <v/>
      </c>
      <c r="AH5155" s="15" t="str">
        <f t="shared" si="2"/>
        <v/>
      </c>
      <c r="AI5155" s="17" t="str">
        <f>IF(AG5155="","",INDEX('Quitados DUPP'!$G$1:$G$6635,AG5155))</f>
        <v/>
      </c>
      <c r="AJ5155" s="17" t="str">
        <f t="shared" si="3"/>
        <v/>
      </c>
    </row>
    <row r="5156" spans="31:36">
      <c r="AE5156" s="15" t="str">
        <f t="shared" si="0"/>
        <v/>
      </c>
      <c r="AF5156" s="15" t="str">
        <f t="shared" si="1"/>
        <v/>
      </c>
      <c r="AG5156" s="15" t="str">
        <f>IF(OR(AF5156="",AF5156="ERRO_CHAVE"),"",IFERROR(MATCH(AF5156,'Quitados DUPP'!$U$1:$U$6635,0),""))</f>
        <v/>
      </c>
      <c r="AH5156" s="15" t="str">
        <f t="shared" si="2"/>
        <v/>
      </c>
      <c r="AI5156" s="17" t="str">
        <f>IF(AG5156="","",INDEX('Quitados DUPP'!$G$1:$G$6635,AG5156))</f>
        <v/>
      </c>
      <c r="AJ5156" s="17" t="str">
        <f t="shared" si="3"/>
        <v/>
      </c>
    </row>
    <row r="5157" spans="31:36">
      <c r="AE5157" s="15" t="str">
        <f t="shared" si="0"/>
        <v/>
      </c>
      <c r="AF5157" s="15" t="str">
        <f t="shared" si="1"/>
        <v/>
      </c>
      <c r="AG5157" s="15" t="str">
        <f>IF(OR(AF5157="",AF5157="ERRO_CHAVE"),"",IFERROR(MATCH(AF5157,'Quitados DUPP'!$U$1:$U$6635,0),""))</f>
        <v/>
      </c>
      <c r="AH5157" s="15" t="str">
        <f t="shared" si="2"/>
        <v/>
      </c>
      <c r="AI5157" s="17" t="str">
        <f>IF(AG5157="","",INDEX('Quitados DUPP'!$G$1:$G$6635,AG5157))</f>
        <v/>
      </c>
      <c r="AJ5157" s="17" t="str">
        <f t="shared" si="3"/>
        <v/>
      </c>
    </row>
    <row r="5158" spans="31:36">
      <c r="AE5158" s="15" t="str">
        <f t="shared" si="0"/>
        <v/>
      </c>
      <c r="AF5158" s="15" t="str">
        <f t="shared" si="1"/>
        <v/>
      </c>
      <c r="AG5158" s="15" t="str">
        <f>IF(OR(AF5158="",AF5158="ERRO_CHAVE"),"",IFERROR(MATCH(AF5158,'Quitados DUPP'!$U$1:$U$6635,0),""))</f>
        <v/>
      </c>
      <c r="AH5158" s="15" t="str">
        <f t="shared" si="2"/>
        <v/>
      </c>
      <c r="AI5158" s="17" t="str">
        <f>IF(AG5158="","",INDEX('Quitados DUPP'!$G$1:$G$6635,AG5158))</f>
        <v/>
      </c>
      <c r="AJ5158" s="17" t="str">
        <f t="shared" si="3"/>
        <v/>
      </c>
    </row>
    <row r="5159" spans="31:36">
      <c r="AE5159" s="15" t="str">
        <f t="shared" si="0"/>
        <v/>
      </c>
      <c r="AF5159" s="15" t="str">
        <f t="shared" si="1"/>
        <v/>
      </c>
      <c r="AG5159" s="15" t="str">
        <f>IF(OR(AF5159="",AF5159="ERRO_CHAVE"),"",IFERROR(MATCH(AF5159,'Quitados DUPP'!$U$1:$U$6635,0),""))</f>
        <v/>
      </c>
      <c r="AH5159" s="15" t="str">
        <f t="shared" si="2"/>
        <v/>
      </c>
      <c r="AI5159" s="17" t="str">
        <f>IF(AG5159="","",INDEX('Quitados DUPP'!$G$1:$G$6635,AG5159))</f>
        <v/>
      </c>
      <c r="AJ5159" s="17" t="str">
        <f t="shared" si="3"/>
        <v/>
      </c>
    </row>
    <row r="5160" spans="31:36">
      <c r="AE5160" s="15" t="str">
        <f t="shared" si="0"/>
        <v/>
      </c>
      <c r="AF5160" s="15" t="str">
        <f t="shared" si="1"/>
        <v/>
      </c>
      <c r="AG5160" s="15" t="str">
        <f>IF(OR(AF5160="",AF5160="ERRO_CHAVE"),"",IFERROR(MATCH(AF5160,'Quitados DUPP'!$U$1:$U$6635,0),""))</f>
        <v/>
      </c>
      <c r="AH5160" s="15" t="str">
        <f t="shared" si="2"/>
        <v/>
      </c>
      <c r="AI5160" s="17" t="str">
        <f>IF(AG5160="","",INDEX('Quitados DUPP'!$G$1:$G$6635,AG5160))</f>
        <v/>
      </c>
      <c r="AJ5160" s="17" t="str">
        <f t="shared" si="3"/>
        <v/>
      </c>
    </row>
    <row r="5161" spans="31:36">
      <c r="AE5161" s="15" t="str">
        <f t="shared" si="0"/>
        <v/>
      </c>
      <c r="AF5161" s="15" t="str">
        <f t="shared" si="1"/>
        <v/>
      </c>
      <c r="AG5161" s="15" t="str">
        <f>IF(OR(AF5161="",AF5161="ERRO_CHAVE"),"",IFERROR(MATCH(AF5161,'Quitados DUPP'!$U$1:$U$6635,0),""))</f>
        <v/>
      </c>
      <c r="AH5161" s="15" t="str">
        <f t="shared" si="2"/>
        <v/>
      </c>
      <c r="AI5161" s="17" t="str">
        <f>IF(AG5161="","",INDEX('Quitados DUPP'!$G$1:$G$6635,AG5161))</f>
        <v/>
      </c>
      <c r="AJ5161" s="17" t="str">
        <f t="shared" si="3"/>
        <v/>
      </c>
    </row>
    <row r="5162" spans="31:36">
      <c r="AE5162" s="15" t="str">
        <f t="shared" si="0"/>
        <v/>
      </c>
      <c r="AF5162" s="15" t="str">
        <f t="shared" si="1"/>
        <v/>
      </c>
      <c r="AG5162" s="15" t="str">
        <f>IF(OR(AF5162="",AF5162="ERRO_CHAVE"),"",IFERROR(MATCH(AF5162,'Quitados DUPP'!$U$1:$U$6635,0),""))</f>
        <v/>
      </c>
      <c r="AH5162" s="15" t="str">
        <f t="shared" si="2"/>
        <v/>
      </c>
      <c r="AI5162" s="17" t="str">
        <f>IF(AG5162="","",INDEX('Quitados DUPP'!$G$1:$G$6635,AG5162))</f>
        <v/>
      </c>
      <c r="AJ5162" s="17" t="str">
        <f t="shared" si="3"/>
        <v/>
      </c>
    </row>
    <row r="5163" spans="31:36">
      <c r="AE5163" s="15" t="str">
        <f t="shared" si="0"/>
        <v/>
      </c>
      <c r="AF5163" s="15" t="str">
        <f t="shared" si="1"/>
        <v/>
      </c>
      <c r="AG5163" s="15" t="str">
        <f>IF(OR(AF5163="",AF5163="ERRO_CHAVE"),"",IFERROR(MATCH(AF5163,'Quitados DUPP'!$U$1:$U$6635,0),""))</f>
        <v/>
      </c>
      <c r="AH5163" s="15" t="str">
        <f t="shared" si="2"/>
        <v/>
      </c>
      <c r="AI5163" s="17" t="str">
        <f>IF(AG5163="","",INDEX('Quitados DUPP'!$G$1:$G$6635,AG5163))</f>
        <v/>
      </c>
      <c r="AJ5163" s="17" t="str">
        <f t="shared" si="3"/>
        <v/>
      </c>
    </row>
    <row r="5164" spans="31:36">
      <c r="AE5164" s="15" t="str">
        <f t="shared" si="0"/>
        <v/>
      </c>
      <c r="AF5164" s="15" t="str">
        <f t="shared" si="1"/>
        <v/>
      </c>
      <c r="AG5164" s="15" t="str">
        <f>IF(OR(AF5164="",AF5164="ERRO_CHAVE"),"",IFERROR(MATCH(AF5164,'Quitados DUPP'!$U$1:$U$6635,0),""))</f>
        <v/>
      </c>
      <c r="AH5164" s="15" t="str">
        <f t="shared" si="2"/>
        <v/>
      </c>
      <c r="AI5164" s="17" t="str">
        <f>IF(AG5164="","",INDEX('Quitados DUPP'!$G$1:$G$6635,AG5164))</f>
        <v/>
      </c>
      <c r="AJ5164" s="17" t="str">
        <f t="shared" si="3"/>
        <v/>
      </c>
    </row>
    <row r="5165" spans="31:36">
      <c r="AE5165" s="15" t="str">
        <f t="shared" si="0"/>
        <v/>
      </c>
      <c r="AF5165" s="15" t="str">
        <f t="shared" si="1"/>
        <v/>
      </c>
      <c r="AG5165" s="15" t="str">
        <f>IF(OR(AF5165="",AF5165="ERRO_CHAVE"),"",IFERROR(MATCH(AF5165,'Quitados DUPP'!$U$1:$U$6635,0),""))</f>
        <v/>
      </c>
      <c r="AH5165" s="15" t="str">
        <f t="shared" si="2"/>
        <v/>
      </c>
      <c r="AI5165" s="17" t="str">
        <f>IF(AG5165="","",INDEX('Quitados DUPP'!$G$1:$G$6635,AG5165))</f>
        <v/>
      </c>
      <c r="AJ5165" s="17" t="str">
        <f t="shared" si="3"/>
        <v/>
      </c>
    </row>
    <row r="5166" spans="31:36">
      <c r="AE5166" s="15" t="str">
        <f t="shared" si="0"/>
        <v/>
      </c>
      <c r="AF5166" s="15" t="str">
        <f t="shared" si="1"/>
        <v/>
      </c>
      <c r="AG5166" s="15" t="str">
        <f>IF(OR(AF5166="",AF5166="ERRO_CHAVE"),"",IFERROR(MATCH(AF5166,'Quitados DUPP'!$U$1:$U$6635,0),""))</f>
        <v/>
      </c>
      <c r="AH5166" s="15" t="str">
        <f t="shared" si="2"/>
        <v/>
      </c>
      <c r="AI5166" s="17" t="str">
        <f>IF(AG5166="","",INDEX('Quitados DUPP'!$G$1:$G$6635,AG5166))</f>
        <v/>
      </c>
      <c r="AJ5166" s="17" t="str">
        <f t="shared" si="3"/>
        <v/>
      </c>
    </row>
    <row r="5167" spans="31:36">
      <c r="AE5167" s="15" t="str">
        <f t="shared" si="0"/>
        <v/>
      </c>
      <c r="AF5167" s="15" t="str">
        <f t="shared" si="1"/>
        <v/>
      </c>
      <c r="AG5167" s="15" t="str">
        <f>IF(OR(AF5167="",AF5167="ERRO_CHAVE"),"",IFERROR(MATCH(AF5167,'Quitados DUPP'!$U$1:$U$6635,0),""))</f>
        <v/>
      </c>
      <c r="AH5167" s="15" t="str">
        <f t="shared" si="2"/>
        <v/>
      </c>
      <c r="AI5167" s="17" t="str">
        <f>IF(AG5167="","",INDEX('Quitados DUPP'!$G$1:$G$6635,AG5167))</f>
        <v/>
      </c>
      <c r="AJ5167" s="17" t="str">
        <f t="shared" si="3"/>
        <v/>
      </c>
    </row>
    <row r="5168" spans="31:36">
      <c r="AE5168" s="15" t="str">
        <f t="shared" si="0"/>
        <v/>
      </c>
      <c r="AF5168" s="15" t="str">
        <f t="shared" si="1"/>
        <v/>
      </c>
      <c r="AG5168" s="15" t="str">
        <f>IF(OR(AF5168="",AF5168="ERRO_CHAVE"),"",IFERROR(MATCH(AF5168,'Quitados DUPP'!$U$1:$U$6635,0),""))</f>
        <v/>
      </c>
      <c r="AH5168" s="15" t="str">
        <f t="shared" si="2"/>
        <v/>
      </c>
      <c r="AI5168" s="17" t="str">
        <f>IF(AG5168="","",INDEX('Quitados DUPP'!$G$1:$G$6635,AG5168))</f>
        <v/>
      </c>
      <c r="AJ5168" s="17" t="str">
        <f t="shared" si="3"/>
        <v/>
      </c>
    </row>
    <row r="5169" spans="31:36">
      <c r="AE5169" s="15" t="str">
        <f t="shared" si="0"/>
        <v/>
      </c>
      <c r="AF5169" s="15" t="str">
        <f t="shared" si="1"/>
        <v/>
      </c>
      <c r="AG5169" s="15" t="str">
        <f>IF(OR(AF5169="",AF5169="ERRO_CHAVE"),"",IFERROR(MATCH(AF5169,'Quitados DUPP'!$U$1:$U$6635,0),""))</f>
        <v/>
      </c>
      <c r="AH5169" s="15" t="str">
        <f t="shared" si="2"/>
        <v/>
      </c>
      <c r="AI5169" s="17" t="str">
        <f>IF(AG5169="","",INDEX('Quitados DUPP'!$G$1:$G$6635,AG5169))</f>
        <v/>
      </c>
      <c r="AJ5169" s="17" t="str">
        <f t="shared" si="3"/>
        <v/>
      </c>
    </row>
    <row r="5170" spans="31:36">
      <c r="AE5170" s="15" t="str">
        <f t="shared" si="0"/>
        <v/>
      </c>
      <c r="AF5170" s="15" t="str">
        <f t="shared" si="1"/>
        <v/>
      </c>
      <c r="AG5170" s="15" t="str">
        <f>IF(OR(AF5170="",AF5170="ERRO_CHAVE"),"",IFERROR(MATCH(AF5170,'Quitados DUPP'!$U$1:$U$6635,0),""))</f>
        <v/>
      </c>
      <c r="AH5170" s="15" t="str">
        <f t="shared" si="2"/>
        <v/>
      </c>
      <c r="AI5170" s="17" t="str">
        <f>IF(AG5170="","",INDEX('Quitados DUPP'!$G$1:$G$6635,AG5170))</f>
        <v/>
      </c>
      <c r="AJ5170" s="17" t="str">
        <f t="shared" si="3"/>
        <v/>
      </c>
    </row>
    <row r="5171" spans="31:36">
      <c r="AE5171" s="15" t="str">
        <f t="shared" si="0"/>
        <v/>
      </c>
      <c r="AF5171" s="15" t="str">
        <f t="shared" si="1"/>
        <v/>
      </c>
      <c r="AG5171" s="15" t="str">
        <f>IF(OR(AF5171="",AF5171="ERRO_CHAVE"),"",IFERROR(MATCH(AF5171,'Quitados DUPP'!$U$1:$U$6635,0),""))</f>
        <v/>
      </c>
      <c r="AH5171" s="15" t="str">
        <f t="shared" si="2"/>
        <v/>
      </c>
      <c r="AI5171" s="17" t="str">
        <f>IF(AG5171="","",INDEX('Quitados DUPP'!$G$1:$G$6635,AG5171))</f>
        <v/>
      </c>
      <c r="AJ5171" s="17" t="str">
        <f t="shared" si="3"/>
        <v/>
      </c>
    </row>
    <row r="5172" spans="31:36">
      <c r="AE5172" s="15" t="str">
        <f t="shared" si="0"/>
        <v/>
      </c>
      <c r="AF5172" s="15" t="str">
        <f t="shared" si="1"/>
        <v/>
      </c>
      <c r="AG5172" s="15" t="str">
        <f>IF(OR(AF5172="",AF5172="ERRO_CHAVE"),"",IFERROR(MATCH(AF5172,'Quitados DUPP'!$U$1:$U$6635,0),""))</f>
        <v/>
      </c>
      <c r="AH5172" s="15" t="str">
        <f t="shared" si="2"/>
        <v/>
      </c>
      <c r="AI5172" s="17" t="str">
        <f>IF(AG5172="","",INDEX('Quitados DUPP'!$G$1:$G$6635,AG5172))</f>
        <v/>
      </c>
      <c r="AJ5172" s="17" t="str">
        <f t="shared" si="3"/>
        <v/>
      </c>
    </row>
    <row r="5173" spans="31:36">
      <c r="AE5173" s="15" t="str">
        <f t="shared" si="0"/>
        <v/>
      </c>
      <c r="AF5173" s="15" t="str">
        <f t="shared" si="1"/>
        <v/>
      </c>
      <c r="AG5173" s="15" t="str">
        <f>IF(OR(AF5173="",AF5173="ERRO_CHAVE"),"",IFERROR(MATCH(AF5173,'Quitados DUPP'!$U$1:$U$6635,0),""))</f>
        <v/>
      </c>
      <c r="AH5173" s="15" t="str">
        <f t="shared" si="2"/>
        <v/>
      </c>
      <c r="AI5173" s="17" t="str">
        <f>IF(AG5173="","",INDEX('Quitados DUPP'!$G$1:$G$6635,AG5173))</f>
        <v/>
      </c>
      <c r="AJ5173" s="17" t="str">
        <f t="shared" si="3"/>
        <v/>
      </c>
    </row>
    <row r="5174" spans="31:36">
      <c r="AE5174" s="15" t="str">
        <f t="shared" si="0"/>
        <v/>
      </c>
      <c r="AF5174" s="15" t="str">
        <f t="shared" si="1"/>
        <v/>
      </c>
      <c r="AG5174" s="15" t="str">
        <f>IF(OR(AF5174="",AF5174="ERRO_CHAVE"),"",IFERROR(MATCH(AF5174,'Quitados DUPP'!$U$1:$U$6635,0),""))</f>
        <v/>
      </c>
      <c r="AH5174" s="15" t="str">
        <f t="shared" si="2"/>
        <v/>
      </c>
      <c r="AI5174" s="17" t="str">
        <f>IF(AG5174="","",INDEX('Quitados DUPP'!$G$1:$G$6635,AG5174))</f>
        <v/>
      </c>
      <c r="AJ5174" s="17" t="str">
        <f t="shared" si="3"/>
        <v/>
      </c>
    </row>
    <row r="5175" spans="31:36">
      <c r="AE5175" s="15" t="str">
        <f t="shared" si="0"/>
        <v/>
      </c>
      <c r="AF5175" s="15" t="str">
        <f t="shared" si="1"/>
        <v/>
      </c>
      <c r="AG5175" s="15" t="str">
        <f>IF(OR(AF5175="",AF5175="ERRO_CHAVE"),"",IFERROR(MATCH(AF5175,'Quitados DUPP'!$U$1:$U$6635,0),""))</f>
        <v/>
      </c>
      <c r="AH5175" s="15" t="str">
        <f t="shared" si="2"/>
        <v/>
      </c>
      <c r="AI5175" s="17" t="str">
        <f>IF(AG5175="","",INDEX('Quitados DUPP'!$G$1:$G$6635,AG5175))</f>
        <v/>
      </c>
      <c r="AJ5175" s="17" t="str">
        <f t="shared" si="3"/>
        <v/>
      </c>
    </row>
    <row r="5176" spans="31:36">
      <c r="AE5176" s="15" t="str">
        <f t="shared" si="0"/>
        <v/>
      </c>
      <c r="AF5176" s="15" t="str">
        <f t="shared" si="1"/>
        <v/>
      </c>
      <c r="AG5176" s="15" t="str">
        <f>IF(OR(AF5176="",AF5176="ERRO_CHAVE"),"",IFERROR(MATCH(AF5176,'Quitados DUPP'!$U$1:$U$6635,0),""))</f>
        <v/>
      </c>
      <c r="AH5176" s="15" t="str">
        <f t="shared" si="2"/>
        <v/>
      </c>
      <c r="AI5176" s="17" t="str">
        <f>IF(AG5176="","",INDEX('Quitados DUPP'!$G$1:$G$6635,AG5176))</f>
        <v/>
      </c>
      <c r="AJ5176" s="17" t="str">
        <f t="shared" si="3"/>
        <v/>
      </c>
    </row>
    <row r="5177" spans="31:36">
      <c r="AE5177" s="15" t="str">
        <f t="shared" si="0"/>
        <v/>
      </c>
      <c r="AF5177" s="15" t="str">
        <f t="shared" si="1"/>
        <v/>
      </c>
      <c r="AG5177" s="15" t="str">
        <f>IF(OR(AF5177="",AF5177="ERRO_CHAVE"),"",IFERROR(MATCH(AF5177,'Quitados DUPP'!$U$1:$U$6635,0),""))</f>
        <v/>
      </c>
      <c r="AH5177" s="15" t="str">
        <f t="shared" si="2"/>
        <v/>
      </c>
      <c r="AI5177" s="17" t="str">
        <f>IF(AG5177="","",INDEX('Quitados DUPP'!$G$1:$G$6635,AG5177))</f>
        <v/>
      </c>
      <c r="AJ5177" s="17" t="str">
        <f t="shared" si="3"/>
        <v/>
      </c>
    </row>
    <row r="5178" spans="31:36">
      <c r="AE5178" s="15" t="str">
        <f t="shared" si="0"/>
        <v/>
      </c>
      <c r="AF5178" s="15" t="str">
        <f t="shared" si="1"/>
        <v/>
      </c>
      <c r="AG5178" s="15" t="str">
        <f>IF(OR(AF5178="",AF5178="ERRO_CHAVE"),"",IFERROR(MATCH(AF5178,'Quitados DUPP'!$U$1:$U$6635,0),""))</f>
        <v/>
      </c>
      <c r="AH5178" s="15" t="str">
        <f t="shared" si="2"/>
        <v/>
      </c>
      <c r="AI5178" s="17" t="str">
        <f>IF(AG5178="","",INDEX('Quitados DUPP'!$G$1:$G$6635,AG5178))</f>
        <v/>
      </c>
      <c r="AJ5178" s="17" t="str">
        <f t="shared" si="3"/>
        <v/>
      </c>
    </row>
    <row r="5179" spans="31:36">
      <c r="AE5179" s="15" t="str">
        <f t="shared" si="0"/>
        <v/>
      </c>
      <c r="AF5179" s="15" t="str">
        <f t="shared" si="1"/>
        <v/>
      </c>
      <c r="AG5179" s="15" t="str">
        <f>IF(OR(AF5179="",AF5179="ERRO_CHAVE"),"",IFERROR(MATCH(AF5179,'Quitados DUPP'!$U$1:$U$6635,0),""))</f>
        <v/>
      </c>
      <c r="AH5179" s="15" t="str">
        <f t="shared" si="2"/>
        <v/>
      </c>
      <c r="AI5179" s="17" t="str">
        <f>IF(AG5179="","",INDEX('Quitados DUPP'!$G$1:$G$6635,AG5179))</f>
        <v/>
      </c>
      <c r="AJ5179" s="17" t="str">
        <f t="shared" si="3"/>
        <v/>
      </c>
    </row>
    <row r="5180" spans="31:36">
      <c r="AE5180" s="15" t="str">
        <f t="shared" si="0"/>
        <v/>
      </c>
      <c r="AF5180" s="15" t="str">
        <f t="shared" si="1"/>
        <v/>
      </c>
      <c r="AG5180" s="15" t="str">
        <f>IF(OR(AF5180="",AF5180="ERRO_CHAVE"),"",IFERROR(MATCH(AF5180,'Quitados DUPP'!$U$1:$U$6635,0),""))</f>
        <v/>
      </c>
      <c r="AH5180" s="15" t="str">
        <f t="shared" si="2"/>
        <v/>
      </c>
      <c r="AI5180" s="17" t="str">
        <f>IF(AG5180="","",INDEX('Quitados DUPP'!$G$1:$G$6635,AG5180))</f>
        <v/>
      </c>
      <c r="AJ5180" s="17" t="str">
        <f t="shared" si="3"/>
        <v/>
      </c>
    </row>
    <row r="5181" spans="31:36">
      <c r="AE5181" s="15" t="str">
        <f t="shared" si="0"/>
        <v/>
      </c>
      <c r="AF5181" s="15" t="str">
        <f t="shared" si="1"/>
        <v/>
      </c>
      <c r="AG5181" s="15" t="str">
        <f>IF(OR(AF5181="",AF5181="ERRO_CHAVE"),"",IFERROR(MATCH(AF5181,'Quitados DUPP'!$U$1:$U$6635,0),""))</f>
        <v/>
      </c>
      <c r="AH5181" s="15" t="str">
        <f t="shared" si="2"/>
        <v/>
      </c>
      <c r="AI5181" s="17" t="str">
        <f>IF(AG5181="","",INDEX('Quitados DUPP'!$G$1:$G$6635,AG5181))</f>
        <v/>
      </c>
      <c r="AJ5181" s="17" t="str">
        <f t="shared" si="3"/>
        <v/>
      </c>
    </row>
    <row r="5182" spans="31:36">
      <c r="AE5182" s="15" t="str">
        <f t="shared" si="0"/>
        <v/>
      </c>
      <c r="AF5182" s="15" t="str">
        <f t="shared" si="1"/>
        <v/>
      </c>
      <c r="AG5182" s="15" t="str">
        <f>IF(OR(AF5182="",AF5182="ERRO_CHAVE"),"",IFERROR(MATCH(AF5182,'Quitados DUPP'!$U$1:$U$6635,0),""))</f>
        <v/>
      </c>
      <c r="AH5182" s="15" t="str">
        <f t="shared" si="2"/>
        <v/>
      </c>
      <c r="AI5182" s="17" t="str">
        <f>IF(AG5182="","",INDEX('Quitados DUPP'!$G$1:$G$6635,AG5182))</f>
        <v/>
      </c>
      <c r="AJ5182" s="17" t="str">
        <f t="shared" si="3"/>
        <v/>
      </c>
    </row>
    <row r="5183" spans="31:36">
      <c r="AE5183" s="15" t="str">
        <f t="shared" si="0"/>
        <v/>
      </c>
      <c r="AF5183" s="15" t="str">
        <f t="shared" si="1"/>
        <v/>
      </c>
      <c r="AG5183" s="15" t="str">
        <f>IF(OR(AF5183="",AF5183="ERRO_CHAVE"),"",IFERROR(MATCH(AF5183,'Quitados DUPP'!$U$1:$U$6635,0),""))</f>
        <v/>
      </c>
      <c r="AH5183" s="15" t="str">
        <f t="shared" si="2"/>
        <v/>
      </c>
      <c r="AI5183" s="17" t="str">
        <f>IF(AG5183="","",INDEX('Quitados DUPP'!$G$1:$G$6635,AG5183))</f>
        <v/>
      </c>
      <c r="AJ5183" s="17" t="str">
        <f t="shared" si="3"/>
        <v/>
      </c>
    </row>
    <row r="5184" spans="31:36">
      <c r="AE5184" s="15" t="str">
        <f t="shared" si="0"/>
        <v/>
      </c>
      <c r="AF5184" s="15" t="str">
        <f t="shared" si="1"/>
        <v/>
      </c>
      <c r="AG5184" s="15" t="str">
        <f>IF(OR(AF5184="",AF5184="ERRO_CHAVE"),"",IFERROR(MATCH(AF5184,'Quitados DUPP'!$U$1:$U$6635,0),""))</f>
        <v/>
      </c>
      <c r="AH5184" s="15" t="str">
        <f t="shared" si="2"/>
        <v/>
      </c>
      <c r="AI5184" s="17" t="str">
        <f>IF(AG5184="","",INDEX('Quitados DUPP'!$G$1:$G$6635,AG5184))</f>
        <v/>
      </c>
      <c r="AJ5184" s="17" t="str">
        <f t="shared" si="3"/>
        <v/>
      </c>
    </row>
    <row r="5185" spans="31:36">
      <c r="AE5185" s="15" t="str">
        <f t="shared" si="0"/>
        <v/>
      </c>
      <c r="AF5185" s="15" t="str">
        <f t="shared" si="1"/>
        <v/>
      </c>
      <c r="AG5185" s="15" t="str">
        <f>IF(OR(AF5185="",AF5185="ERRO_CHAVE"),"",IFERROR(MATCH(AF5185,'Quitados DUPP'!$U$1:$U$6635,0),""))</f>
        <v/>
      </c>
      <c r="AH5185" s="15" t="str">
        <f t="shared" si="2"/>
        <v/>
      </c>
      <c r="AI5185" s="17" t="str">
        <f>IF(AG5185="","",INDEX('Quitados DUPP'!$G$1:$G$6635,AG5185))</f>
        <v/>
      </c>
      <c r="AJ5185" s="17" t="str">
        <f t="shared" si="3"/>
        <v/>
      </c>
    </row>
    <row r="5186" spans="31:36">
      <c r="AE5186" s="15" t="str">
        <f t="shared" si="0"/>
        <v/>
      </c>
      <c r="AF5186" s="15" t="str">
        <f t="shared" si="1"/>
        <v/>
      </c>
      <c r="AG5186" s="15" t="str">
        <f>IF(OR(AF5186="",AF5186="ERRO_CHAVE"),"",IFERROR(MATCH(AF5186,'Quitados DUPP'!$U$1:$U$6635,0),""))</f>
        <v/>
      </c>
      <c r="AH5186" s="15" t="str">
        <f t="shared" si="2"/>
        <v/>
      </c>
      <c r="AI5186" s="17" t="str">
        <f>IF(AG5186="","",INDEX('Quitados DUPP'!$G$1:$G$6635,AG5186))</f>
        <v/>
      </c>
      <c r="AJ5186" s="17" t="str">
        <f t="shared" si="3"/>
        <v/>
      </c>
    </row>
    <row r="5187" spans="31:36">
      <c r="AE5187" s="15" t="str">
        <f t="shared" si="0"/>
        <v/>
      </c>
      <c r="AF5187" s="15" t="str">
        <f t="shared" si="1"/>
        <v/>
      </c>
      <c r="AG5187" s="15" t="str">
        <f>IF(OR(AF5187="",AF5187="ERRO_CHAVE"),"",IFERROR(MATCH(AF5187,'Quitados DUPP'!$U$1:$U$6635,0),""))</f>
        <v/>
      </c>
      <c r="AH5187" s="15" t="str">
        <f t="shared" si="2"/>
        <v/>
      </c>
      <c r="AI5187" s="17" t="str">
        <f>IF(AG5187="","",INDEX('Quitados DUPP'!$G$1:$G$6635,AG5187))</f>
        <v/>
      </c>
      <c r="AJ5187" s="17" t="str">
        <f t="shared" si="3"/>
        <v/>
      </c>
    </row>
    <row r="5188" spans="31:36">
      <c r="AE5188" s="15" t="str">
        <f t="shared" si="0"/>
        <v/>
      </c>
      <c r="AF5188" s="15" t="str">
        <f t="shared" si="1"/>
        <v/>
      </c>
      <c r="AG5188" s="15" t="str">
        <f>IF(OR(AF5188="",AF5188="ERRO_CHAVE"),"",IFERROR(MATCH(AF5188,'Quitados DUPP'!$U$1:$U$6635,0),""))</f>
        <v/>
      </c>
      <c r="AH5188" s="15" t="str">
        <f t="shared" si="2"/>
        <v/>
      </c>
      <c r="AI5188" s="17" t="str">
        <f>IF(AG5188="","",INDEX('Quitados DUPP'!$G$1:$G$6635,AG5188))</f>
        <v/>
      </c>
      <c r="AJ5188" s="17" t="str">
        <f t="shared" si="3"/>
        <v/>
      </c>
    </row>
    <row r="5189" spans="31:36">
      <c r="AE5189" s="15" t="str">
        <f t="shared" si="0"/>
        <v/>
      </c>
      <c r="AF5189" s="15" t="str">
        <f t="shared" si="1"/>
        <v/>
      </c>
      <c r="AG5189" s="15" t="str">
        <f>IF(OR(AF5189="",AF5189="ERRO_CHAVE"),"",IFERROR(MATCH(AF5189,'Quitados DUPP'!$U$1:$U$6635,0),""))</f>
        <v/>
      </c>
      <c r="AH5189" s="15" t="str">
        <f t="shared" si="2"/>
        <v/>
      </c>
      <c r="AI5189" s="17" t="str">
        <f>IF(AG5189="","",INDEX('Quitados DUPP'!$G$1:$G$6635,AG5189))</f>
        <v/>
      </c>
      <c r="AJ5189" s="17" t="str">
        <f t="shared" si="3"/>
        <v/>
      </c>
    </row>
    <row r="5190" spans="31:36">
      <c r="AE5190" s="15" t="str">
        <f t="shared" si="0"/>
        <v/>
      </c>
      <c r="AF5190" s="15" t="str">
        <f t="shared" si="1"/>
        <v/>
      </c>
      <c r="AG5190" s="15" t="str">
        <f>IF(OR(AF5190="",AF5190="ERRO_CHAVE"),"",IFERROR(MATCH(AF5190,'Quitados DUPP'!$U$1:$U$6635,0),""))</f>
        <v/>
      </c>
      <c r="AH5190" s="15" t="str">
        <f t="shared" si="2"/>
        <v/>
      </c>
      <c r="AI5190" s="17" t="str">
        <f>IF(AG5190="","",INDEX('Quitados DUPP'!$G$1:$G$6635,AG5190))</f>
        <v/>
      </c>
      <c r="AJ5190" s="17" t="str">
        <f t="shared" si="3"/>
        <v/>
      </c>
    </row>
    <row r="5191" spans="31:36">
      <c r="AE5191" s="15" t="str">
        <f t="shared" si="0"/>
        <v/>
      </c>
      <c r="AF5191" s="15" t="str">
        <f t="shared" si="1"/>
        <v/>
      </c>
      <c r="AG5191" s="15" t="str">
        <f>IF(OR(AF5191="",AF5191="ERRO_CHAVE"),"",IFERROR(MATCH(AF5191,'Quitados DUPP'!$U$1:$U$6635,0),""))</f>
        <v/>
      </c>
      <c r="AH5191" s="15" t="str">
        <f t="shared" si="2"/>
        <v/>
      </c>
      <c r="AI5191" s="17" t="str">
        <f>IF(AG5191="","",INDEX('Quitados DUPP'!$G$1:$G$6635,AG5191))</f>
        <v/>
      </c>
      <c r="AJ5191" s="17" t="str">
        <f t="shared" si="3"/>
        <v/>
      </c>
    </row>
    <row r="5192" spans="31:36">
      <c r="AE5192" s="15" t="str">
        <f t="shared" si="0"/>
        <v/>
      </c>
      <c r="AF5192" s="15" t="str">
        <f t="shared" si="1"/>
        <v/>
      </c>
      <c r="AG5192" s="15" t="str">
        <f>IF(OR(AF5192="",AF5192="ERRO_CHAVE"),"",IFERROR(MATCH(AF5192,'Quitados DUPP'!$U$1:$U$6635,0),""))</f>
        <v/>
      </c>
      <c r="AH5192" s="15" t="str">
        <f t="shared" si="2"/>
        <v/>
      </c>
      <c r="AI5192" s="17" t="str">
        <f>IF(AG5192="","",INDEX('Quitados DUPP'!$G$1:$G$6635,AG5192))</f>
        <v/>
      </c>
      <c r="AJ5192" s="17" t="str">
        <f t="shared" si="3"/>
        <v/>
      </c>
    </row>
    <row r="5193" spans="31:36">
      <c r="AE5193" s="15" t="str">
        <f t="shared" si="0"/>
        <v/>
      </c>
      <c r="AF5193" s="15" t="str">
        <f t="shared" si="1"/>
        <v/>
      </c>
      <c r="AG5193" s="15" t="str">
        <f>IF(OR(AF5193="",AF5193="ERRO_CHAVE"),"",IFERROR(MATCH(AF5193,'Quitados DUPP'!$U$1:$U$6635,0),""))</f>
        <v/>
      </c>
      <c r="AH5193" s="15" t="str">
        <f t="shared" si="2"/>
        <v/>
      </c>
      <c r="AI5193" s="17" t="str">
        <f>IF(AG5193="","",INDEX('Quitados DUPP'!$G$1:$G$6635,AG5193))</f>
        <v/>
      </c>
      <c r="AJ5193" s="17" t="str">
        <f t="shared" si="3"/>
        <v/>
      </c>
    </row>
    <row r="5194" spans="31:36">
      <c r="AE5194" s="15" t="str">
        <f t="shared" si="0"/>
        <v/>
      </c>
      <c r="AF5194" s="15" t="str">
        <f t="shared" si="1"/>
        <v/>
      </c>
      <c r="AG5194" s="15" t="str">
        <f>IF(OR(AF5194="",AF5194="ERRO_CHAVE"),"",IFERROR(MATCH(AF5194,'Quitados DUPP'!$U$1:$U$6635,0),""))</f>
        <v/>
      </c>
      <c r="AH5194" s="15" t="str">
        <f t="shared" si="2"/>
        <v/>
      </c>
      <c r="AI5194" s="17" t="str">
        <f>IF(AG5194="","",INDEX('Quitados DUPP'!$G$1:$G$6635,AG5194))</f>
        <v/>
      </c>
      <c r="AJ5194" s="17" t="str">
        <f t="shared" si="3"/>
        <v/>
      </c>
    </row>
    <row r="5195" spans="31:36">
      <c r="AE5195" s="15" t="str">
        <f t="shared" si="0"/>
        <v/>
      </c>
      <c r="AF5195" s="15" t="str">
        <f t="shared" si="1"/>
        <v/>
      </c>
      <c r="AG5195" s="15" t="str">
        <f>IF(OR(AF5195="",AF5195="ERRO_CHAVE"),"",IFERROR(MATCH(AF5195,'Quitados DUPP'!$U$1:$U$6635,0),""))</f>
        <v/>
      </c>
      <c r="AH5195" s="15" t="str">
        <f t="shared" si="2"/>
        <v/>
      </c>
      <c r="AI5195" s="17" t="str">
        <f>IF(AG5195="","",INDEX('Quitados DUPP'!$G$1:$G$6635,AG5195))</f>
        <v/>
      </c>
      <c r="AJ5195" s="17" t="str">
        <f t="shared" si="3"/>
        <v/>
      </c>
    </row>
    <row r="5196" spans="31:36">
      <c r="AE5196" s="15" t="str">
        <f t="shared" si="0"/>
        <v/>
      </c>
      <c r="AF5196" s="15" t="str">
        <f t="shared" si="1"/>
        <v/>
      </c>
      <c r="AG5196" s="15" t="str">
        <f>IF(OR(AF5196="",AF5196="ERRO_CHAVE"),"",IFERROR(MATCH(AF5196,'Quitados DUPP'!$U$1:$U$6635,0),""))</f>
        <v/>
      </c>
      <c r="AH5196" s="15" t="str">
        <f t="shared" si="2"/>
        <v/>
      </c>
      <c r="AI5196" s="17" t="str">
        <f>IF(AG5196="","",INDEX('Quitados DUPP'!$G$1:$G$6635,AG5196))</f>
        <v/>
      </c>
      <c r="AJ5196" s="17" t="str">
        <f t="shared" si="3"/>
        <v/>
      </c>
    </row>
    <row r="5197" spans="31:36">
      <c r="AE5197" s="15" t="str">
        <f t="shared" si="0"/>
        <v/>
      </c>
      <c r="AF5197" s="15" t="str">
        <f t="shared" si="1"/>
        <v/>
      </c>
      <c r="AG5197" s="15" t="str">
        <f>IF(OR(AF5197="",AF5197="ERRO_CHAVE"),"",IFERROR(MATCH(AF5197,'Quitados DUPP'!$U$1:$U$6635,0),""))</f>
        <v/>
      </c>
      <c r="AH5197" s="15" t="str">
        <f t="shared" si="2"/>
        <v/>
      </c>
      <c r="AI5197" s="17" t="str">
        <f>IF(AG5197="","",INDEX('Quitados DUPP'!$G$1:$G$6635,AG5197))</f>
        <v/>
      </c>
      <c r="AJ5197" s="17" t="str">
        <f t="shared" si="3"/>
        <v/>
      </c>
    </row>
    <row r="5198" spans="31:36">
      <c r="AE5198" s="15" t="str">
        <f t="shared" si="0"/>
        <v/>
      </c>
      <c r="AF5198" s="15" t="str">
        <f t="shared" si="1"/>
        <v/>
      </c>
      <c r="AG5198" s="15" t="str">
        <f>IF(OR(AF5198="",AF5198="ERRO_CHAVE"),"",IFERROR(MATCH(AF5198,'Quitados DUPP'!$U$1:$U$6635,0),""))</f>
        <v/>
      </c>
      <c r="AH5198" s="15" t="str">
        <f t="shared" si="2"/>
        <v/>
      </c>
      <c r="AI5198" s="17" t="str">
        <f>IF(AG5198="","",INDEX('Quitados DUPP'!$G$1:$G$6635,AG5198))</f>
        <v/>
      </c>
      <c r="AJ5198" s="17" t="str">
        <f t="shared" si="3"/>
        <v/>
      </c>
    </row>
    <row r="5199" spans="31:36">
      <c r="AE5199" s="15" t="str">
        <f t="shared" si="0"/>
        <v/>
      </c>
      <c r="AF5199" s="15" t="str">
        <f t="shared" si="1"/>
        <v/>
      </c>
      <c r="AG5199" s="15" t="str">
        <f>IF(OR(AF5199="",AF5199="ERRO_CHAVE"),"",IFERROR(MATCH(AF5199,'Quitados DUPP'!$U$1:$U$6635,0),""))</f>
        <v/>
      </c>
      <c r="AH5199" s="15" t="str">
        <f t="shared" si="2"/>
        <v/>
      </c>
      <c r="AI5199" s="17" t="str">
        <f>IF(AG5199="","",INDEX('Quitados DUPP'!$G$1:$G$6635,AG5199))</f>
        <v/>
      </c>
      <c r="AJ5199" s="17" t="str">
        <f t="shared" si="3"/>
        <v/>
      </c>
    </row>
    <row r="5200" spans="31:36">
      <c r="AE5200" s="15" t="str">
        <f t="shared" si="0"/>
        <v/>
      </c>
      <c r="AF5200" s="15" t="str">
        <f t="shared" si="1"/>
        <v/>
      </c>
      <c r="AG5200" s="15" t="str">
        <f>IF(OR(AF5200="",AF5200="ERRO_CHAVE"),"",IFERROR(MATCH(AF5200,'Quitados DUPP'!$U$1:$U$6635,0),""))</f>
        <v/>
      </c>
      <c r="AH5200" s="15" t="str">
        <f t="shared" si="2"/>
        <v/>
      </c>
      <c r="AI5200" s="17" t="str">
        <f>IF(AG5200="","",INDEX('Quitados DUPP'!$G$1:$G$6635,AG5200))</f>
        <v/>
      </c>
      <c r="AJ5200" s="17" t="str">
        <f t="shared" si="3"/>
        <v/>
      </c>
    </row>
    <row r="5201" spans="31:36">
      <c r="AE5201" s="15" t="str">
        <f t="shared" si="0"/>
        <v/>
      </c>
      <c r="AF5201" s="15" t="str">
        <f t="shared" si="1"/>
        <v/>
      </c>
      <c r="AG5201" s="15" t="str">
        <f>IF(OR(AF5201="",AF5201="ERRO_CHAVE"),"",IFERROR(MATCH(AF5201,'Quitados DUPP'!$U$1:$U$6635,0),""))</f>
        <v/>
      </c>
      <c r="AH5201" s="15" t="str">
        <f t="shared" si="2"/>
        <v/>
      </c>
      <c r="AI5201" s="17" t="str">
        <f>IF(AG5201="","",INDEX('Quitados DUPP'!$G$1:$G$6635,AG5201))</f>
        <v/>
      </c>
      <c r="AJ5201" s="17" t="str">
        <f t="shared" si="3"/>
        <v/>
      </c>
    </row>
    <row r="5202" spans="31:36">
      <c r="AE5202" s="15" t="str">
        <f t="shared" si="0"/>
        <v/>
      </c>
      <c r="AF5202" s="15" t="str">
        <f t="shared" si="1"/>
        <v/>
      </c>
      <c r="AG5202" s="15" t="str">
        <f>IF(OR(AF5202="",AF5202="ERRO_CHAVE"),"",IFERROR(MATCH(AF5202,'Quitados DUPP'!$U$1:$U$6635,0),""))</f>
        <v/>
      </c>
      <c r="AH5202" s="15" t="str">
        <f t="shared" si="2"/>
        <v/>
      </c>
      <c r="AI5202" s="17" t="str">
        <f>IF(AG5202="","",INDEX('Quitados DUPP'!$G$1:$G$6635,AG5202))</f>
        <v/>
      </c>
      <c r="AJ5202" s="17" t="str">
        <f t="shared" si="3"/>
        <v/>
      </c>
    </row>
    <row r="5203" spans="31:36">
      <c r="AE5203" s="15" t="str">
        <f t="shared" si="0"/>
        <v/>
      </c>
      <c r="AF5203" s="15" t="str">
        <f t="shared" si="1"/>
        <v/>
      </c>
      <c r="AG5203" s="15" t="str">
        <f>IF(OR(AF5203="",AF5203="ERRO_CHAVE"),"",IFERROR(MATCH(AF5203,'Quitados DUPP'!$U$1:$U$6635,0),""))</f>
        <v/>
      </c>
      <c r="AH5203" s="15" t="str">
        <f t="shared" si="2"/>
        <v/>
      </c>
      <c r="AI5203" s="17" t="str">
        <f>IF(AG5203="","",INDEX('Quitados DUPP'!$G$1:$G$6635,AG5203))</f>
        <v/>
      </c>
      <c r="AJ5203" s="17" t="str">
        <f t="shared" si="3"/>
        <v/>
      </c>
    </row>
    <row r="5204" spans="31:36">
      <c r="AE5204" s="15" t="str">
        <f t="shared" si="0"/>
        <v/>
      </c>
      <c r="AF5204" s="15" t="str">
        <f t="shared" si="1"/>
        <v/>
      </c>
      <c r="AG5204" s="15" t="str">
        <f>IF(OR(AF5204="",AF5204="ERRO_CHAVE"),"",IFERROR(MATCH(AF5204,'Quitados DUPP'!$U$1:$U$6635,0),""))</f>
        <v/>
      </c>
      <c r="AH5204" s="15" t="str">
        <f t="shared" si="2"/>
        <v/>
      </c>
      <c r="AI5204" s="17" t="str">
        <f>IF(AG5204="","",INDEX('Quitados DUPP'!$G$1:$G$6635,AG5204))</f>
        <v/>
      </c>
      <c r="AJ5204" s="17" t="str">
        <f t="shared" si="3"/>
        <v/>
      </c>
    </row>
    <row r="5205" spans="31:36">
      <c r="AE5205" s="15" t="str">
        <f t="shared" si="0"/>
        <v/>
      </c>
      <c r="AF5205" s="15" t="str">
        <f t="shared" si="1"/>
        <v/>
      </c>
      <c r="AG5205" s="15" t="str">
        <f>IF(OR(AF5205="",AF5205="ERRO_CHAVE"),"",IFERROR(MATCH(AF5205,'Quitados DUPP'!$U$1:$U$6635,0),""))</f>
        <v/>
      </c>
      <c r="AH5205" s="15" t="str">
        <f t="shared" si="2"/>
        <v/>
      </c>
      <c r="AI5205" s="17" t="str">
        <f>IF(AG5205="","",INDEX('Quitados DUPP'!$G$1:$G$6635,AG5205))</f>
        <v/>
      </c>
      <c r="AJ5205" s="17" t="str">
        <f t="shared" si="3"/>
        <v/>
      </c>
    </row>
    <row r="5206" spans="31:36">
      <c r="AE5206" s="15" t="str">
        <f t="shared" si="0"/>
        <v/>
      </c>
      <c r="AF5206" s="15" t="str">
        <f t="shared" si="1"/>
        <v/>
      </c>
      <c r="AG5206" s="15" t="str">
        <f>IF(OR(AF5206="",AF5206="ERRO_CHAVE"),"",IFERROR(MATCH(AF5206,'Quitados DUPP'!$U$1:$U$6635,0),""))</f>
        <v/>
      </c>
      <c r="AH5206" s="15" t="str">
        <f t="shared" si="2"/>
        <v/>
      </c>
      <c r="AI5206" s="17" t="str">
        <f>IF(AG5206="","",INDEX('Quitados DUPP'!$G$1:$G$6635,AG5206))</f>
        <v/>
      </c>
      <c r="AJ5206" s="17" t="str">
        <f t="shared" si="3"/>
        <v/>
      </c>
    </row>
    <row r="5207" spans="31:36">
      <c r="AE5207" s="15" t="str">
        <f t="shared" si="0"/>
        <v/>
      </c>
      <c r="AF5207" s="15" t="str">
        <f t="shared" si="1"/>
        <v/>
      </c>
      <c r="AG5207" s="15" t="str">
        <f>IF(OR(AF5207="",AF5207="ERRO_CHAVE"),"",IFERROR(MATCH(AF5207,'Quitados DUPP'!$U$1:$U$6635,0),""))</f>
        <v/>
      </c>
      <c r="AH5207" s="15" t="str">
        <f t="shared" si="2"/>
        <v/>
      </c>
      <c r="AI5207" s="17" t="str">
        <f>IF(AG5207="","",INDEX('Quitados DUPP'!$G$1:$G$6635,AG5207))</f>
        <v/>
      </c>
      <c r="AJ5207" s="17" t="str">
        <f t="shared" si="3"/>
        <v/>
      </c>
    </row>
    <row r="5208" spans="31:36">
      <c r="AE5208" s="15" t="str">
        <f t="shared" si="0"/>
        <v/>
      </c>
      <c r="AF5208" s="15" t="str">
        <f t="shared" si="1"/>
        <v/>
      </c>
      <c r="AG5208" s="15" t="str">
        <f>IF(OR(AF5208="",AF5208="ERRO_CHAVE"),"",IFERROR(MATCH(AF5208,'Quitados DUPP'!$U$1:$U$6635,0),""))</f>
        <v/>
      </c>
      <c r="AH5208" s="15" t="str">
        <f t="shared" si="2"/>
        <v/>
      </c>
      <c r="AI5208" s="17" t="str">
        <f>IF(AG5208="","",INDEX('Quitados DUPP'!$G$1:$G$6635,AG5208))</f>
        <v/>
      </c>
      <c r="AJ5208" s="17" t="str">
        <f t="shared" si="3"/>
        <v/>
      </c>
    </row>
    <row r="5209" spans="31:36">
      <c r="AE5209" s="15" t="str">
        <f t="shared" si="0"/>
        <v/>
      </c>
      <c r="AF5209" s="15" t="str">
        <f t="shared" si="1"/>
        <v/>
      </c>
      <c r="AG5209" s="15" t="str">
        <f>IF(OR(AF5209="",AF5209="ERRO_CHAVE"),"",IFERROR(MATCH(AF5209,'Quitados DUPP'!$U$1:$U$6635,0),""))</f>
        <v/>
      </c>
      <c r="AH5209" s="15" t="str">
        <f t="shared" si="2"/>
        <v/>
      </c>
      <c r="AI5209" s="17" t="str">
        <f>IF(AG5209="","",INDEX('Quitados DUPP'!$G$1:$G$6635,AG5209))</f>
        <v/>
      </c>
      <c r="AJ5209" s="17" t="str">
        <f t="shared" si="3"/>
        <v/>
      </c>
    </row>
    <row r="5210" spans="31:36">
      <c r="AE5210" s="15" t="str">
        <f t="shared" si="0"/>
        <v/>
      </c>
      <c r="AF5210" s="15" t="str">
        <f t="shared" si="1"/>
        <v/>
      </c>
      <c r="AG5210" s="15" t="str">
        <f>IF(OR(AF5210="",AF5210="ERRO_CHAVE"),"",IFERROR(MATCH(AF5210,'Quitados DUPP'!$U$1:$U$6635,0),""))</f>
        <v/>
      </c>
      <c r="AH5210" s="15" t="str">
        <f t="shared" si="2"/>
        <v/>
      </c>
      <c r="AI5210" s="17" t="str">
        <f>IF(AG5210="","",INDEX('Quitados DUPP'!$G$1:$G$6635,AG5210))</f>
        <v/>
      </c>
      <c r="AJ5210" s="17" t="str">
        <f t="shared" si="3"/>
        <v/>
      </c>
    </row>
    <row r="5211" spans="31:36">
      <c r="AE5211" s="15" t="str">
        <f t="shared" si="0"/>
        <v/>
      </c>
      <c r="AF5211" s="15" t="str">
        <f t="shared" si="1"/>
        <v/>
      </c>
      <c r="AG5211" s="15" t="str">
        <f>IF(OR(AF5211="",AF5211="ERRO_CHAVE"),"",IFERROR(MATCH(AF5211,'Quitados DUPP'!$U$1:$U$6635,0),""))</f>
        <v/>
      </c>
      <c r="AH5211" s="15" t="str">
        <f t="shared" si="2"/>
        <v/>
      </c>
      <c r="AI5211" s="17" t="str">
        <f>IF(AG5211="","",INDEX('Quitados DUPP'!$G$1:$G$6635,AG5211))</f>
        <v/>
      </c>
      <c r="AJ5211" s="17" t="str">
        <f t="shared" si="3"/>
        <v/>
      </c>
    </row>
    <row r="5212" spans="31:36">
      <c r="AE5212" s="15" t="str">
        <f t="shared" si="0"/>
        <v/>
      </c>
      <c r="AF5212" s="15" t="str">
        <f t="shared" si="1"/>
        <v/>
      </c>
      <c r="AG5212" s="15" t="str">
        <f>IF(OR(AF5212="",AF5212="ERRO_CHAVE"),"",IFERROR(MATCH(AF5212,'Quitados DUPP'!$U$1:$U$6635,0),""))</f>
        <v/>
      </c>
      <c r="AH5212" s="15" t="str">
        <f t="shared" si="2"/>
        <v/>
      </c>
      <c r="AI5212" s="17" t="str">
        <f>IF(AG5212="","",INDEX('Quitados DUPP'!$G$1:$G$6635,AG5212))</f>
        <v/>
      </c>
      <c r="AJ5212" s="17" t="str">
        <f t="shared" si="3"/>
        <v/>
      </c>
    </row>
    <row r="5213" spans="31:36">
      <c r="AE5213" s="15" t="str">
        <f t="shared" si="0"/>
        <v/>
      </c>
      <c r="AF5213" s="15" t="str">
        <f t="shared" si="1"/>
        <v/>
      </c>
      <c r="AG5213" s="15" t="str">
        <f>IF(OR(AF5213="",AF5213="ERRO_CHAVE"),"",IFERROR(MATCH(AF5213,'Quitados DUPP'!$U$1:$U$6635,0),""))</f>
        <v/>
      </c>
      <c r="AH5213" s="15" t="str">
        <f t="shared" si="2"/>
        <v/>
      </c>
      <c r="AI5213" s="17" t="str">
        <f>IF(AG5213="","",INDEX('Quitados DUPP'!$G$1:$G$6635,AG5213))</f>
        <v/>
      </c>
      <c r="AJ5213" s="17" t="str">
        <f t="shared" si="3"/>
        <v/>
      </c>
    </row>
    <row r="5214" spans="31:36">
      <c r="AE5214" s="15" t="str">
        <f t="shared" si="0"/>
        <v/>
      </c>
      <c r="AF5214" s="15" t="str">
        <f t="shared" si="1"/>
        <v/>
      </c>
      <c r="AG5214" s="15" t="str">
        <f>IF(OR(AF5214="",AF5214="ERRO_CHAVE"),"",IFERROR(MATCH(AF5214,'Quitados DUPP'!$U$1:$U$6635,0),""))</f>
        <v/>
      </c>
      <c r="AH5214" s="15" t="str">
        <f t="shared" si="2"/>
        <v/>
      </c>
      <c r="AI5214" s="17" t="str">
        <f>IF(AG5214="","",INDEX('Quitados DUPP'!$G$1:$G$6635,AG5214))</f>
        <v/>
      </c>
      <c r="AJ5214" s="17" t="str">
        <f t="shared" si="3"/>
        <v/>
      </c>
    </row>
    <row r="5215" spans="31:36">
      <c r="AE5215" s="15" t="str">
        <f t="shared" si="0"/>
        <v/>
      </c>
      <c r="AF5215" s="15" t="str">
        <f t="shared" si="1"/>
        <v/>
      </c>
      <c r="AG5215" s="15" t="str">
        <f>IF(OR(AF5215="",AF5215="ERRO_CHAVE"),"",IFERROR(MATCH(AF5215,'Quitados DUPP'!$U$1:$U$6635,0),""))</f>
        <v/>
      </c>
      <c r="AH5215" s="15" t="str">
        <f t="shared" si="2"/>
        <v/>
      </c>
      <c r="AI5215" s="17" t="str">
        <f>IF(AG5215="","",INDEX('Quitados DUPP'!$G$1:$G$6635,AG5215))</f>
        <v/>
      </c>
      <c r="AJ5215" s="17" t="str">
        <f t="shared" si="3"/>
        <v/>
      </c>
    </row>
    <row r="5216" spans="31:36">
      <c r="AE5216" s="15" t="str">
        <f t="shared" si="0"/>
        <v/>
      </c>
      <c r="AF5216" s="15" t="str">
        <f t="shared" si="1"/>
        <v/>
      </c>
      <c r="AG5216" s="15" t="str">
        <f>IF(OR(AF5216="",AF5216="ERRO_CHAVE"),"",IFERROR(MATCH(AF5216,'Quitados DUPP'!$U$1:$U$6635,0),""))</f>
        <v/>
      </c>
      <c r="AH5216" s="15" t="str">
        <f t="shared" si="2"/>
        <v/>
      </c>
      <c r="AI5216" s="17" t="str">
        <f>IF(AG5216="","",INDEX('Quitados DUPP'!$G$1:$G$6635,AG5216))</f>
        <v/>
      </c>
      <c r="AJ5216" s="17" t="str">
        <f t="shared" si="3"/>
        <v/>
      </c>
    </row>
    <row r="5217" spans="31:36">
      <c r="AE5217" s="15" t="str">
        <f t="shared" si="0"/>
        <v/>
      </c>
      <c r="AF5217" s="15" t="str">
        <f t="shared" si="1"/>
        <v/>
      </c>
      <c r="AG5217" s="15" t="str">
        <f>IF(OR(AF5217="",AF5217="ERRO_CHAVE"),"",IFERROR(MATCH(AF5217,'Quitados DUPP'!$U$1:$U$6635,0),""))</f>
        <v/>
      </c>
      <c r="AH5217" s="15" t="str">
        <f t="shared" si="2"/>
        <v/>
      </c>
      <c r="AI5217" s="17" t="str">
        <f>IF(AG5217="","",INDEX('Quitados DUPP'!$G$1:$G$6635,AG5217))</f>
        <v/>
      </c>
      <c r="AJ5217" s="17" t="str">
        <f t="shared" si="3"/>
        <v/>
      </c>
    </row>
    <row r="5218" spans="31:36">
      <c r="AE5218" s="15" t="str">
        <f t="shared" si="0"/>
        <v/>
      </c>
      <c r="AF5218" s="15" t="str">
        <f t="shared" si="1"/>
        <v/>
      </c>
      <c r="AG5218" s="15" t="str">
        <f>IF(OR(AF5218="",AF5218="ERRO_CHAVE"),"",IFERROR(MATCH(AF5218,'Quitados DUPP'!$U$1:$U$6635,0),""))</f>
        <v/>
      </c>
      <c r="AH5218" s="15" t="str">
        <f t="shared" si="2"/>
        <v/>
      </c>
      <c r="AI5218" s="17" t="str">
        <f>IF(AG5218="","",INDEX('Quitados DUPP'!$G$1:$G$6635,AG5218))</f>
        <v/>
      </c>
      <c r="AJ5218" s="17" t="str">
        <f t="shared" si="3"/>
        <v/>
      </c>
    </row>
    <row r="5219" spans="31:36">
      <c r="AE5219" s="15" t="str">
        <f t="shared" si="0"/>
        <v/>
      </c>
      <c r="AF5219" s="15" t="str">
        <f t="shared" si="1"/>
        <v/>
      </c>
      <c r="AG5219" s="15" t="str">
        <f>IF(OR(AF5219="",AF5219="ERRO_CHAVE"),"",IFERROR(MATCH(AF5219,'Quitados DUPP'!$U$1:$U$6635,0),""))</f>
        <v/>
      </c>
      <c r="AH5219" s="15" t="str">
        <f t="shared" si="2"/>
        <v/>
      </c>
      <c r="AI5219" s="17" t="str">
        <f>IF(AG5219="","",INDEX('Quitados DUPP'!$G$1:$G$6635,AG5219))</f>
        <v/>
      </c>
      <c r="AJ5219" s="17" t="str">
        <f t="shared" si="3"/>
        <v/>
      </c>
    </row>
    <row r="5220" spans="31:36">
      <c r="AE5220" s="15" t="str">
        <f t="shared" si="0"/>
        <v/>
      </c>
      <c r="AF5220" s="15" t="str">
        <f t="shared" si="1"/>
        <v/>
      </c>
      <c r="AG5220" s="15" t="str">
        <f>IF(OR(AF5220="",AF5220="ERRO_CHAVE"),"",IFERROR(MATCH(AF5220,'Quitados DUPP'!$U$1:$U$6635,0),""))</f>
        <v/>
      </c>
      <c r="AH5220" s="15" t="str">
        <f t="shared" si="2"/>
        <v/>
      </c>
      <c r="AI5220" s="17" t="str">
        <f>IF(AG5220="","",INDEX('Quitados DUPP'!$G$1:$G$6635,AG5220))</f>
        <v/>
      </c>
      <c r="AJ5220" s="17" t="str">
        <f t="shared" si="3"/>
        <v/>
      </c>
    </row>
    <row r="5221" spans="31:36">
      <c r="AE5221" s="15" t="str">
        <f t="shared" si="0"/>
        <v/>
      </c>
      <c r="AF5221" s="15" t="str">
        <f t="shared" si="1"/>
        <v/>
      </c>
      <c r="AG5221" s="15" t="str">
        <f>IF(OR(AF5221="",AF5221="ERRO_CHAVE"),"",IFERROR(MATCH(AF5221,'Quitados DUPP'!$U$1:$U$6635,0),""))</f>
        <v/>
      </c>
      <c r="AH5221" s="15" t="str">
        <f t="shared" si="2"/>
        <v/>
      </c>
      <c r="AI5221" s="17" t="str">
        <f>IF(AG5221="","",INDEX('Quitados DUPP'!$G$1:$G$6635,AG5221))</f>
        <v/>
      </c>
      <c r="AJ5221" s="17" t="str">
        <f t="shared" si="3"/>
        <v/>
      </c>
    </row>
    <row r="5222" spans="31:36">
      <c r="AE5222" s="15" t="str">
        <f t="shared" si="0"/>
        <v/>
      </c>
      <c r="AF5222" s="15" t="str">
        <f t="shared" si="1"/>
        <v/>
      </c>
      <c r="AG5222" s="15" t="str">
        <f>IF(OR(AF5222="",AF5222="ERRO_CHAVE"),"",IFERROR(MATCH(AF5222,'Quitados DUPP'!$U$1:$U$6635,0),""))</f>
        <v/>
      </c>
      <c r="AH5222" s="15" t="str">
        <f t="shared" si="2"/>
        <v/>
      </c>
      <c r="AI5222" s="17" t="str">
        <f>IF(AG5222="","",INDEX('Quitados DUPP'!$G$1:$G$6635,AG5222))</f>
        <v/>
      </c>
      <c r="AJ5222" s="17" t="str">
        <f t="shared" si="3"/>
        <v/>
      </c>
    </row>
    <row r="5223" spans="31:36">
      <c r="AE5223" s="15" t="str">
        <f t="shared" si="0"/>
        <v/>
      </c>
      <c r="AF5223" s="15" t="str">
        <f t="shared" si="1"/>
        <v/>
      </c>
      <c r="AG5223" s="15" t="str">
        <f>IF(OR(AF5223="",AF5223="ERRO_CHAVE"),"",IFERROR(MATCH(AF5223,'Quitados DUPP'!$U$1:$U$6635,0),""))</f>
        <v/>
      </c>
      <c r="AH5223" s="15" t="str">
        <f t="shared" si="2"/>
        <v/>
      </c>
      <c r="AI5223" s="17" t="str">
        <f>IF(AG5223="","",INDEX('Quitados DUPP'!$G$1:$G$6635,AG5223))</f>
        <v/>
      </c>
      <c r="AJ5223" s="17" t="str">
        <f t="shared" si="3"/>
        <v/>
      </c>
    </row>
    <row r="5224" spans="31:36">
      <c r="AE5224" s="15" t="str">
        <f t="shared" si="0"/>
        <v/>
      </c>
      <c r="AF5224" s="15" t="str">
        <f t="shared" si="1"/>
        <v/>
      </c>
      <c r="AG5224" s="15" t="str">
        <f>IF(OR(AF5224="",AF5224="ERRO_CHAVE"),"",IFERROR(MATCH(AF5224,'Quitados DUPP'!$U$1:$U$6635,0),""))</f>
        <v/>
      </c>
      <c r="AH5224" s="15" t="str">
        <f t="shared" si="2"/>
        <v/>
      </c>
      <c r="AI5224" s="17" t="str">
        <f>IF(AG5224="","",INDEX('Quitados DUPP'!$G$1:$G$6635,AG5224))</f>
        <v/>
      </c>
      <c r="AJ5224" s="17" t="str">
        <f t="shared" si="3"/>
        <v/>
      </c>
    </row>
    <row r="5225" spans="31:36">
      <c r="AE5225" s="15" t="str">
        <f t="shared" si="0"/>
        <v/>
      </c>
      <c r="AF5225" s="15" t="str">
        <f t="shared" si="1"/>
        <v/>
      </c>
      <c r="AG5225" s="15" t="str">
        <f>IF(OR(AF5225="",AF5225="ERRO_CHAVE"),"",IFERROR(MATCH(AF5225,'Quitados DUPP'!$U$1:$U$6635,0),""))</f>
        <v/>
      </c>
      <c r="AH5225" s="15" t="str">
        <f t="shared" si="2"/>
        <v/>
      </c>
      <c r="AI5225" s="17" t="str">
        <f>IF(AG5225="","",INDEX('Quitados DUPP'!$G$1:$G$6635,AG5225))</f>
        <v/>
      </c>
      <c r="AJ5225" s="17" t="str">
        <f t="shared" si="3"/>
        <v/>
      </c>
    </row>
    <row r="5226" spans="31:36">
      <c r="AE5226" s="15" t="str">
        <f t="shared" si="0"/>
        <v/>
      </c>
      <c r="AF5226" s="15" t="str">
        <f t="shared" si="1"/>
        <v/>
      </c>
      <c r="AG5226" s="15" t="str">
        <f>IF(OR(AF5226="",AF5226="ERRO_CHAVE"),"",IFERROR(MATCH(AF5226,'Quitados DUPP'!$U$1:$U$6635,0),""))</f>
        <v/>
      </c>
      <c r="AH5226" s="15" t="str">
        <f t="shared" si="2"/>
        <v/>
      </c>
      <c r="AI5226" s="17" t="str">
        <f>IF(AG5226="","",INDEX('Quitados DUPP'!$G$1:$G$6635,AG5226))</f>
        <v/>
      </c>
      <c r="AJ5226" s="17" t="str">
        <f t="shared" si="3"/>
        <v/>
      </c>
    </row>
    <row r="5227" spans="31:36">
      <c r="AE5227" s="15" t="str">
        <f t="shared" si="0"/>
        <v/>
      </c>
      <c r="AF5227" s="15" t="str">
        <f t="shared" si="1"/>
        <v/>
      </c>
      <c r="AG5227" s="15" t="str">
        <f>IF(OR(AF5227="",AF5227="ERRO_CHAVE"),"",IFERROR(MATCH(AF5227,'Quitados DUPP'!$U$1:$U$6635,0),""))</f>
        <v/>
      </c>
      <c r="AH5227" s="15" t="str">
        <f t="shared" si="2"/>
        <v/>
      </c>
      <c r="AI5227" s="17" t="str">
        <f>IF(AG5227="","",INDEX('Quitados DUPP'!$G$1:$G$6635,AG5227))</f>
        <v/>
      </c>
      <c r="AJ5227" s="17" t="str">
        <f t="shared" si="3"/>
        <v/>
      </c>
    </row>
    <row r="5228" spans="31:36">
      <c r="AE5228" s="15" t="str">
        <f t="shared" si="0"/>
        <v/>
      </c>
      <c r="AF5228" s="15" t="str">
        <f t="shared" si="1"/>
        <v/>
      </c>
      <c r="AG5228" s="15" t="str">
        <f>IF(OR(AF5228="",AF5228="ERRO_CHAVE"),"",IFERROR(MATCH(AF5228,'Quitados DUPP'!$U$1:$U$6635,0),""))</f>
        <v/>
      </c>
      <c r="AH5228" s="15" t="str">
        <f t="shared" si="2"/>
        <v/>
      </c>
      <c r="AI5228" s="17" t="str">
        <f>IF(AG5228="","",INDEX('Quitados DUPP'!$G$1:$G$6635,AG5228))</f>
        <v/>
      </c>
      <c r="AJ5228" s="17" t="str">
        <f t="shared" si="3"/>
        <v/>
      </c>
    </row>
    <row r="5229" spans="31:36">
      <c r="AE5229" s="15" t="str">
        <f t="shared" si="0"/>
        <v/>
      </c>
      <c r="AF5229" s="15" t="str">
        <f t="shared" si="1"/>
        <v/>
      </c>
      <c r="AG5229" s="15" t="str">
        <f>IF(OR(AF5229="",AF5229="ERRO_CHAVE"),"",IFERROR(MATCH(AF5229,'Quitados DUPP'!$U$1:$U$6635,0),""))</f>
        <v/>
      </c>
      <c r="AH5229" s="15" t="str">
        <f t="shared" si="2"/>
        <v/>
      </c>
      <c r="AI5229" s="17" t="str">
        <f>IF(AG5229="","",INDEX('Quitados DUPP'!$G$1:$G$6635,AG5229))</f>
        <v/>
      </c>
      <c r="AJ5229" s="17" t="str">
        <f t="shared" si="3"/>
        <v/>
      </c>
    </row>
    <row r="5230" spans="31:36">
      <c r="AE5230" s="15" t="str">
        <f t="shared" si="0"/>
        <v/>
      </c>
      <c r="AF5230" s="15" t="str">
        <f t="shared" si="1"/>
        <v/>
      </c>
      <c r="AG5230" s="15" t="str">
        <f>IF(OR(AF5230="",AF5230="ERRO_CHAVE"),"",IFERROR(MATCH(AF5230,'Quitados DUPP'!$U$1:$U$6635,0),""))</f>
        <v/>
      </c>
      <c r="AH5230" s="15" t="str">
        <f t="shared" si="2"/>
        <v/>
      </c>
      <c r="AI5230" s="17" t="str">
        <f>IF(AG5230="","",INDEX('Quitados DUPP'!$G$1:$G$6635,AG5230))</f>
        <v/>
      </c>
      <c r="AJ5230" s="17" t="str">
        <f t="shared" si="3"/>
        <v/>
      </c>
    </row>
    <row r="5231" spans="31:36">
      <c r="AE5231" s="15" t="str">
        <f t="shared" si="0"/>
        <v/>
      </c>
      <c r="AF5231" s="15" t="str">
        <f t="shared" si="1"/>
        <v/>
      </c>
      <c r="AG5231" s="15" t="str">
        <f>IF(OR(AF5231="",AF5231="ERRO_CHAVE"),"",IFERROR(MATCH(AF5231,'Quitados DUPP'!$U$1:$U$6635,0),""))</f>
        <v/>
      </c>
      <c r="AH5231" s="15" t="str">
        <f t="shared" si="2"/>
        <v/>
      </c>
      <c r="AI5231" s="17" t="str">
        <f>IF(AG5231="","",INDEX('Quitados DUPP'!$G$1:$G$6635,AG5231))</f>
        <v/>
      </c>
      <c r="AJ5231" s="17" t="str">
        <f t="shared" si="3"/>
        <v/>
      </c>
    </row>
    <row r="5232" spans="31:36">
      <c r="AE5232" s="15" t="str">
        <f t="shared" si="0"/>
        <v/>
      </c>
      <c r="AF5232" s="15" t="str">
        <f t="shared" si="1"/>
        <v/>
      </c>
      <c r="AG5232" s="15" t="str">
        <f>IF(OR(AF5232="",AF5232="ERRO_CHAVE"),"",IFERROR(MATCH(AF5232,'Quitados DUPP'!$U$1:$U$6635,0),""))</f>
        <v/>
      </c>
      <c r="AH5232" s="15" t="str">
        <f t="shared" si="2"/>
        <v/>
      </c>
      <c r="AI5232" s="17" t="str">
        <f>IF(AG5232="","",INDEX('Quitados DUPP'!$G$1:$G$6635,AG5232))</f>
        <v/>
      </c>
      <c r="AJ5232" s="17" t="str">
        <f t="shared" si="3"/>
        <v/>
      </c>
    </row>
    <row r="5233" spans="31:36">
      <c r="AE5233" s="15" t="str">
        <f t="shared" si="0"/>
        <v/>
      </c>
      <c r="AF5233" s="15" t="str">
        <f t="shared" si="1"/>
        <v/>
      </c>
      <c r="AG5233" s="15" t="str">
        <f>IF(OR(AF5233="",AF5233="ERRO_CHAVE"),"",IFERROR(MATCH(AF5233,'Quitados DUPP'!$U$1:$U$6635,0),""))</f>
        <v/>
      </c>
      <c r="AH5233" s="15" t="str">
        <f t="shared" si="2"/>
        <v/>
      </c>
      <c r="AI5233" s="17" t="str">
        <f>IF(AG5233="","",INDEX('Quitados DUPP'!$G$1:$G$6635,AG5233))</f>
        <v/>
      </c>
      <c r="AJ5233" s="17" t="str">
        <f t="shared" si="3"/>
        <v/>
      </c>
    </row>
    <row r="5234" spans="31:36">
      <c r="AE5234" s="15" t="str">
        <f t="shared" si="0"/>
        <v/>
      </c>
      <c r="AF5234" s="15" t="str">
        <f t="shared" si="1"/>
        <v/>
      </c>
      <c r="AG5234" s="15" t="str">
        <f>IF(OR(AF5234="",AF5234="ERRO_CHAVE"),"",IFERROR(MATCH(AF5234,'Quitados DUPP'!$U$1:$U$6635,0),""))</f>
        <v/>
      </c>
      <c r="AH5234" s="15" t="str">
        <f t="shared" si="2"/>
        <v/>
      </c>
      <c r="AI5234" s="17" t="str">
        <f>IF(AG5234="","",INDEX('Quitados DUPP'!$G$1:$G$6635,AG5234))</f>
        <v/>
      </c>
      <c r="AJ5234" s="17" t="str">
        <f t="shared" si="3"/>
        <v/>
      </c>
    </row>
    <row r="5235" spans="31:36">
      <c r="AE5235" s="15" t="str">
        <f t="shared" si="0"/>
        <v/>
      </c>
      <c r="AF5235" s="15" t="str">
        <f t="shared" si="1"/>
        <v/>
      </c>
      <c r="AG5235" s="15" t="str">
        <f>IF(OR(AF5235="",AF5235="ERRO_CHAVE"),"",IFERROR(MATCH(AF5235,'Quitados DUPP'!$U$1:$U$6635,0),""))</f>
        <v/>
      </c>
      <c r="AH5235" s="15" t="str">
        <f t="shared" si="2"/>
        <v/>
      </c>
      <c r="AI5235" s="17" t="str">
        <f>IF(AG5235="","",INDEX('Quitados DUPP'!$G$1:$G$6635,AG5235))</f>
        <v/>
      </c>
      <c r="AJ5235" s="17" t="str">
        <f t="shared" si="3"/>
        <v/>
      </c>
    </row>
    <row r="5236" spans="31:36">
      <c r="AE5236" s="15" t="str">
        <f t="shared" si="0"/>
        <v/>
      </c>
      <c r="AF5236" s="15" t="str">
        <f t="shared" si="1"/>
        <v/>
      </c>
      <c r="AG5236" s="15" t="str">
        <f>IF(OR(AF5236="",AF5236="ERRO_CHAVE"),"",IFERROR(MATCH(AF5236,'Quitados DUPP'!$U$1:$U$6635,0),""))</f>
        <v/>
      </c>
      <c r="AH5236" s="15" t="str">
        <f t="shared" si="2"/>
        <v/>
      </c>
      <c r="AI5236" s="17" t="str">
        <f>IF(AG5236="","",INDEX('Quitados DUPP'!$G$1:$G$6635,AG5236))</f>
        <v/>
      </c>
      <c r="AJ5236" s="17" t="str">
        <f t="shared" si="3"/>
        <v/>
      </c>
    </row>
    <row r="5237" spans="31:36">
      <c r="AE5237" s="15" t="str">
        <f t="shared" si="0"/>
        <v/>
      </c>
      <c r="AF5237" s="15" t="str">
        <f t="shared" si="1"/>
        <v/>
      </c>
      <c r="AG5237" s="15" t="str">
        <f>IF(OR(AF5237="",AF5237="ERRO_CHAVE"),"",IFERROR(MATCH(AF5237,'Quitados DUPP'!$U$1:$U$6635,0),""))</f>
        <v/>
      </c>
      <c r="AH5237" s="15" t="str">
        <f t="shared" si="2"/>
        <v/>
      </c>
      <c r="AI5237" s="17" t="str">
        <f>IF(AG5237="","",INDEX('Quitados DUPP'!$G$1:$G$6635,AG5237))</f>
        <v/>
      </c>
      <c r="AJ5237" s="17" t="str">
        <f t="shared" si="3"/>
        <v/>
      </c>
    </row>
    <row r="5238" spans="31:36">
      <c r="AE5238" s="15" t="str">
        <f t="shared" si="0"/>
        <v/>
      </c>
      <c r="AF5238" s="15" t="str">
        <f t="shared" si="1"/>
        <v/>
      </c>
      <c r="AG5238" s="15" t="str">
        <f>IF(OR(AF5238="",AF5238="ERRO_CHAVE"),"",IFERROR(MATCH(AF5238,'Quitados DUPP'!$U$1:$U$6635,0),""))</f>
        <v/>
      </c>
      <c r="AH5238" s="15" t="str">
        <f t="shared" si="2"/>
        <v/>
      </c>
      <c r="AI5238" s="17" t="str">
        <f>IF(AG5238="","",INDEX('Quitados DUPP'!$G$1:$G$6635,AG5238))</f>
        <v/>
      </c>
      <c r="AJ5238" s="17" t="str">
        <f t="shared" si="3"/>
        <v/>
      </c>
    </row>
    <row r="5239" spans="31:36">
      <c r="AE5239" s="15" t="str">
        <f t="shared" si="0"/>
        <v/>
      </c>
      <c r="AF5239" s="15" t="str">
        <f t="shared" si="1"/>
        <v/>
      </c>
      <c r="AG5239" s="15" t="str">
        <f>IF(OR(AF5239="",AF5239="ERRO_CHAVE"),"",IFERROR(MATCH(AF5239,'Quitados DUPP'!$U$1:$U$6635,0),""))</f>
        <v/>
      </c>
      <c r="AH5239" s="15" t="str">
        <f t="shared" si="2"/>
        <v/>
      </c>
      <c r="AI5239" s="17" t="str">
        <f>IF(AG5239="","",INDEX('Quitados DUPP'!$G$1:$G$6635,AG5239))</f>
        <v/>
      </c>
      <c r="AJ5239" s="17" t="str">
        <f t="shared" si="3"/>
        <v/>
      </c>
    </row>
    <row r="5240" spans="31:36">
      <c r="AE5240" s="15" t="str">
        <f t="shared" si="0"/>
        <v/>
      </c>
      <c r="AF5240" s="15" t="str">
        <f t="shared" si="1"/>
        <v/>
      </c>
      <c r="AG5240" s="15" t="str">
        <f>IF(OR(AF5240="",AF5240="ERRO_CHAVE"),"",IFERROR(MATCH(AF5240,'Quitados DUPP'!$U$1:$U$6635,0),""))</f>
        <v/>
      </c>
      <c r="AH5240" s="15" t="str">
        <f t="shared" si="2"/>
        <v/>
      </c>
      <c r="AI5240" s="17" t="str">
        <f>IF(AG5240="","",INDEX('Quitados DUPP'!$G$1:$G$6635,AG5240))</f>
        <v/>
      </c>
      <c r="AJ5240" s="17" t="str">
        <f t="shared" si="3"/>
        <v/>
      </c>
    </row>
    <row r="5241" spans="31:36">
      <c r="AE5241" s="15" t="str">
        <f t="shared" si="0"/>
        <v/>
      </c>
      <c r="AF5241" s="15" t="str">
        <f t="shared" si="1"/>
        <v/>
      </c>
      <c r="AG5241" s="15" t="str">
        <f>IF(OR(AF5241="",AF5241="ERRO_CHAVE"),"",IFERROR(MATCH(AF5241,'Quitados DUPP'!$U$1:$U$6635,0),""))</f>
        <v/>
      </c>
      <c r="AH5241" s="15" t="str">
        <f t="shared" si="2"/>
        <v/>
      </c>
      <c r="AI5241" s="17" t="str">
        <f>IF(AG5241="","",INDEX('Quitados DUPP'!$G$1:$G$6635,AG5241))</f>
        <v/>
      </c>
      <c r="AJ5241" s="17" t="str">
        <f t="shared" si="3"/>
        <v/>
      </c>
    </row>
    <row r="5242" spans="31:36">
      <c r="AE5242" s="15" t="str">
        <f t="shared" si="0"/>
        <v/>
      </c>
      <c r="AF5242" s="15" t="str">
        <f t="shared" si="1"/>
        <v/>
      </c>
      <c r="AG5242" s="15" t="str">
        <f>IF(OR(AF5242="",AF5242="ERRO_CHAVE"),"",IFERROR(MATCH(AF5242,'Quitados DUPP'!$U$1:$U$6635,0),""))</f>
        <v/>
      </c>
      <c r="AH5242" s="15" t="str">
        <f t="shared" si="2"/>
        <v/>
      </c>
      <c r="AI5242" s="17" t="str">
        <f>IF(AG5242="","",INDEX('Quitados DUPP'!$G$1:$G$6635,AG5242))</f>
        <v/>
      </c>
      <c r="AJ5242" s="17" t="str">
        <f t="shared" si="3"/>
        <v/>
      </c>
    </row>
    <row r="5243" spans="31:36">
      <c r="AE5243" s="15" t="str">
        <f t="shared" si="0"/>
        <v/>
      </c>
      <c r="AF5243" s="15" t="str">
        <f t="shared" si="1"/>
        <v/>
      </c>
      <c r="AG5243" s="15" t="str">
        <f>IF(OR(AF5243="",AF5243="ERRO_CHAVE"),"",IFERROR(MATCH(AF5243,'Quitados DUPP'!$U$1:$U$6635,0),""))</f>
        <v/>
      </c>
      <c r="AH5243" s="15" t="str">
        <f t="shared" si="2"/>
        <v/>
      </c>
      <c r="AI5243" s="17" t="str">
        <f>IF(AG5243="","",INDEX('Quitados DUPP'!$G$1:$G$6635,AG5243))</f>
        <v/>
      </c>
      <c r="AJ5243" s="17" t="str">
        <f t="shared" si="3"/>
        <v/>
      </c>
    </row>
    <row r="5244" spans="31:36">
      <c r="AE5244" s="15" t="str">
        <f t="shared" si="0"/>
        <v/>
      </c>
      <c r="AF5244" s="15" t="str">
        <f t="shared" si="1"/>
        <v/>
      </c>
      <c r="AG5244" s="15" t="str">
        <f>IF(OR(AF5244="",AF5244="ERRO_CHAVE"),"",IFERROR(MATCH(AF5244,'Quitados DUPP'!$U$1:$U$6635,0),""))</f>
        <v/>
      </c>
      <c r="AH5244" s="15" t="str">
        <f t="shared" si="2"/>
        <v/>
      </c>
      <c r="AI5244" s="17" t="str">
        <f>IF(AG5244="","",INDEX('Quitados DUPP'!$G$1:$G$6635,AG5244))</f>
        <v/>
      </c>
      <c r="AJ5244" s="17" t="str">
        <f t="shared" si="3"/>
        <v/>
      </c>
    </row>
    <row r="5245" spans="31:36">
      <c r="AE5245" s="15" t="str">
        <f t="shared" si="0"/>
        <v/>
      </c>
      <c r="AF5245" s="15" t="str">
        <f t="shared" si="1"/>
        <v/>
      </c>
      <c r="AG5245" s="15" t="str">
        <f>IF(OR(AF5245="",AF5245="ERRO_CHAVE"),"",IFERROR(MATCH(AF5245,'Quitados DUPP'!$U$1:$U$6635,0),""))</f>
        <v/>
      </c>
      <c r="AH5245" s="15" t="str">
        <f t="shared" si="2"/>
        <v/>
      </c>
      <c r="AI5245" s="17" t="str">
        <f>IF(AG5245="","",INDEX('Quitados DUPP'!$G$1:$G$6635,AG5245))</f>
        <v/>
      </c>
      <c r="AJ5245" s="17" t="str">
        <f t="shared" si="3"/>
        <v/>
      </c>
    </row>
    <row r="5246" spans="31:36">
      <c r="AE5246" s="15" t="str">
        <f t="shared" si="0"/>
        <v/>
      </c>
      <c r="AF5246" s="15" t="str">
        <f t="shared" si="1"/>
        <v/>
      </c>
      <c r="AG5246" s="15" t="str">
        <f>IF(OR(AF5246="",AF5246="ERRO_CHAVE"),"",IFERROR(MATCH(AF5246,'Quitados DUPP'!$U$1:$U$6635,0),""))</f>
        <v/>
      </c>
      <c r="AH5246" s="15" t="str">
        <f t="shared" si="2"/>
        <v/>
      </c>
      <c r="AI5246" s="17" t="str">
        <f>IF(AG5246="","",INDEX('Quitados DUPP'!$G$1:$G$6635,AG5246))</f>
        <v/>
      </c>
      <c r="AJ5246" s="17" t="str">
        <f t="shared" si="3"/>
        <v/>
      </c>
    </row>
    <row r="5247" spans="31:36">
      <c r="AE5247" s="15" t="str">
        <f t="shared" si="0"/>
        <v/>
      </c>
      <c r="AF5247" s="15" t="str">
        <f t="shared" si="1"/>
        <v/>
      </c>
      <c r="AG5247" s="15" t="str">
        <f>IF(OR(AF5247="",AF5247="ERRO_CHAVE"),"",IFERROR(MATCH(AF5247,'Quitados DUPP'!$U$1:$U$6635,0),""))</f>
        <v/>
      </c>
      <c r="AH5247" s="15" t="str">
        <f t="shared" si="2"/>
        <v/>
      </c>
      <c r="AI5247" s="17" t="str">
        <f>IF(AG5247="","",INDEX('Quitados DUPP'!$G$1:$G$6635,AG5247))</f>
        <v/>
      </c>
      <c r="AJ5247" s="17" t="str">
        <f t="shared" si="3"/>
        <v/>
      </c>
    </row>
    <row r="5248" spans="31:36">
      <c r="AE5248" s="15" t="str">
        <f t="shared" si="0"/>
        <v/>
      </c>
      <c r="AF5248" s="15" t="str">
        <f t="shared" si="1"/>
        <v/>
      </c>
      <c r="AG5248" s="15" t="str">
        <f>IF(OR(AF5248="",AF5248="ERRO_CHAVE"),"",IFERROR(MATCH(AF5248,'Quitados DUPP'!$U$1:$U$6635,0),""))</f>
        <v/>
      </c>
      <c r="AH5248" s="15" t="str">
        <f t="shared" si="2"/>
        <v/>
      </c>
      <c r="AI5248" s="17" t="str">
        <f>IF(AG5248="","",INDEX('Quitados DUPP'!$G$1:$G$6635,AG5248))</f>
        <v/>
      </c>
      <c r="AJ5248" s="17" t="str">
        <f t="shared" si="3"/>
        <v/>
      </c>
    </row>
    <row r="5249" spans="31:36">
      <c r="AE5249" s="15" t="str">
        <f t="shared" si="0"/>
        <v/>
      </c>
      <c r="AF5249" s="15" t="str">
        <f t="shared" si="1"/>
        <v/>
      </c>
      <c r="AG5249" s="15" t="str">
        <f>IF(OR(AF5249="",AF5249="ERRO_CHAVE"),"",IFERROR(MATCH(AF5249,'Quitados DUPP'!$U$1:$U$6635,0),""))</f>
        <v/>
      </c>
      <c r="AH5249" s="15" t="str">
        <f t="shared" si="2"/>
        <v/>
      </c>
      <c r="AI5249" s="17" t="str">
        <f>IF(AG5249="","",INDEX('Quitados DUPP'!$G$1:$G$6635,AG5249))</f>
        <v/>
      </c>
      <c r="AJ5249" s="17" t="str">
        <f t="shared" si="3"/>
        <v/>
      </c>
    </row>
    <row r="5250" spans="31:36">
      <c r="AE5250" s="15" t="str">
        <f t="shared" si="0"/>
        <v/>
      </c>
      <c r="AF5250" s="15" t="str">
        <f t="shared" si="1"/>
        <v/>
      </c>
      <c r="AG5250" s="15" t="str">
        <f>IF(OR(AF5250="",AF5250="ERRO_CHAVE"),"",IFERROR(MATCH(AF5250,'Quitados DUPP'!$U$1:$U$6635,0),""))</f>
        <v/>
      </c>
      <c r="AH5250" s="15" t="str">
        <f t="shared" si="2"/>
        <v/>
      </c>
      <c r="AI5250" s="17" t="str">
        <f>IF(AG5250="","",INDEX('Quitados DUPP'!$G$1:$G$6635,AG5250))</f>
        <v/>
      </c>
      <c r="AJ5250" s="17" t="str">
        <f t="shared" si="3"/>
        <v/>
      </c>
    </row>
    <row r="5251" spans="31:36">
      <c r="AE5251" s="15" t="str">
        <f t="shared" si="0"/>
        <v/>
      </c>
      <c r="AF5251" s="15" t="str">
        <f t="shared" si="1"/>
        <v/>
      </c>
      <c r="AG5251" s="15" t="str">
        <f>IF(OR(AF5251="",AF5251="ERRO_CHAVE"),"",IFERROR(MATCH(AF5251,'Quitados DUPP'!$U$1:$U$6635,0),""))</f>
        <v/>
      </c>
      <c r="AH5251" s="15" t="str">
        <f t="shared" si="2"/>
        <v/>
      </c>
      <c r="AI5251" s="17" t="str">
        <f>IF(AG5251="","",INDEX('Quitados DUPP'!$G$1:$G$6635,AG5251))</f>
        <v/>
      </c>
      <c r="AJ5251" s="17" t="str">
        <f t="shared" si="3"/>
        <v/>
      </c>
    </row>
    <row r="5252" spans="31:36">
      <c r="AE5252" s="15" t="str">
        <f t="shared" si="0"/>
        <v/>
      </c>
      <c r="AF5252" s="15" t="str">
        <f t="shared" si="1"/>
        <v/>
      </c>
      <c r="AG5252" s="15" t="str">
        <f>IF(OR(AF5252="",AF5252="ERRO_CHAVE"),"",IFERROR(MATCH(AF5252,'Quitados DUPP'!$U$1:$U$6635,0),""))</f>
        <v/>
      </c>
      <c r="AH5252" s="15" t="str">
        <f t="shared" si="2"/>
        <v/>
      </c>
      <c r="AI5252" s="17" t="str">
        <f>IF(AG5252="","",INDEX('Quitados DUPP'!$G$1:$G$6635,AG5252))</f>
        <v/>
      </c>
      <c r="AJ5252" s="17" t="str">
        <f t="shared" si="3"/>
        <v/>
      </c>
    </row>
    <row r="5253" spans="31:36">
      <c r="AE5253" s="15" t="str">
        <f t="shared" si="0"/>
        <v/>
      </c>
      <c r="AF5253" s="15" t="str">
        <f t="shared" si="1"/>
        <v/>
      </c>
      <c r="AG5253" s="15" t="str">
        <f>IF(OR(AF5253="",AF5253="ERRO_CHAVE"),"",IFERROR(MATCH(AF5253,'Quitados DUPP'!$U$1:$U$6635,0),""))</f>
        <v/>
      </c>
      <c r="AH5253" s="15" t="str">
        <f t="shared" si="2"/>
        <v/>
      </c>
      <c r="AI5253" s="17" t="str">
        <f>IF(AG5253="","",INDEX('Quitados DUPP'!$G$1:$G$6635,AG5253))</f>
        <v/>
      </c>
      <c r="AJ5253" s="17" t="str">
        <f t="shared" si="3"/>
        <v/>
      </c>
    </row>
    <row r="5254" spans="31:36">
      <c r="AE5254" s="15" t="str">
        <f t="shared" si="0"/>
        <v/>
      </c>
      <c r="AF5254" s="15" t="str">
        <f t="shared" si="1"/>
        <v/>
      </c>
      <c r="AG5254" s="15" t="str">
        <f>IF(OR(AF5254="",AF5254="ERRO_CHAVE"),"",IFERROR(MATCH(AF5254,'Quitados DUPP'!$U$1:$U$6635,0),""))</f>
        <v/>
      </c>
      <c r="AH5254" s="15" t="str">
        <f t="shared" si="2"/>
        <v/>
      </c>
      <c r="AI5254" s="17" t="str">
        <f>IF(AG5254="","",INDEX('Quitados DUPP'!$G$1:$G$6635,AG5254))</f>
        <v/>
      </c>
      <c r="AJ5254" s="17" t="str">
        <f t="shared" si="3"/>
        <v/>
      </c>
    </row>
    <row r="5255" spans="31:36">
      <c r="AE5255" s="15" t="str">
        <f t="shared" si="0"/>
        <v/>
      </c>
      <c r="AF5255" s="15" t="str">
        <f t="shared" si="1"/>
        <v/>
      </c>
      <c r="AG5255" s="15" t="str">
        <f>IF(OR(AF5255="",AF5255="ERRO_CHAVE"),"",IFERROR(MATCH(AF5255,'Quitados DUPP'!$U$1:$U$6635,0),""))</f>
        <v/>
      </c>
      <c r="AH5255" s="15" t="str">
        <f t="shared" si="2"/>
        <v/>
      </c>
      <c r="AI5255" s="17" t="str">
        <f>IF(AG5255="","",INDEX('Quitados DUPP'!$G$1:$G$6635,AG5255))</f>
        <v/>
      </c>
      <c r="AJ5255" s="17" t="str">
        <f t="shared" si="3"/>
        <v/>
      </c>
    </row>
    <row r="5256" spans="31:36">
      <c r="AE5256" s="15" t="str">
        <f t="shared" si="0"/>
        <v/>
      </c>
      <c r="AF5256" s="15" t="str">
        <f t="shared" si="1"/>
        <v/>
      </c>
      <c r="AG5256" s="15" t="str">
        <f>IF(OR(AF5256="",AF5256="ERRO_CHAVE"),"",IFERROR(MATCH(AF5256,'Quitados DUPP'!$U$1:$U$6635,0),""))</f>
        <v/>
      </c>
      <c r="AH5256" s="15" t="str">
        <f t="shared" si="2"/>
        <v/>
      </c>
      <c r="AI5256" s="17" t="str">
        <f>IF(AG5256="","",INDEX('Quitados DUPP'!$G$1:$G$6635,AG5256))</f>
        <v/>
      </c>
      <c r="AJ5256" s="17" t="str">
        <f t="shared" si="3"/>
        <v/>
      </c>
    </row>
    <row r="5257" spans="31:36">
      <c r="AE5257" s="15" t="str">
        <f t="shared" si="0"/>
        <v/>
      </c>
      <c r="AF5257" s="15" t="str">
        <f t="shared" si="1"/>
        <v/>
      </c>
      <c r="AG5257" s="15" t="str">
        <f>IF(OR(AF5257="",AF5257="ERRO_CHAVE"),"",IFERROR(MATCH(AF5257,'Quitados DUPP'!$U$1:$U$6635,0),""))</f>
        <v/>
      </c>
      <c r="AH5257" s="15" t="str">
        <f t="shared" si="2"/>
        <v/>
      </c>
      <c r="AI5257" s="17" t="str">
        <f>IF(AG5257="","",INDEX('Quitados DUPP'!$G$1:$G$6635,AG5257))</f>
        <v/>
      </c>
      <c r="AJ5257" s="17" t="str">
        <f t="shared" si="3"/>
        <v/>
      </c>
    </row>
    <row r="5258" spans="31:36">
      <c r="AE5258" s="15" t="str">
        <f t="shared" si="0"/>
        <v/>
      </c>
      <c r="AF5258" s="15" t="str">
        <f t="shared" si="1"/>
        <v/>
      </c>
      <c r="AG5258" s="15" t="str">
        <f>IF(OR(AF5258="",AF5258="ERRO_CHAVE"),"",IFERROR(MATCH(AF5258,'Quitados DUPP'!$U$1:$U$6635,0),""))</f>
        <v/>
      </c>
      <c r="AH5258" s="15" t="str">
        <f t="shared" si="2"/>
        <v/>
      </c>
      <c r="AI5258" s="17" t="str">
        <f>IF(AG5258="","",INDEX('Quitados DUPP'!$G$1:$G$6635,AG5258))</f>
        <v/>
      </c>
      <c r="AJ5258" s="17" t="str">
        <f t="shared" si="3"/>
        <v/>
      </c>
    </row>
    <row r="5259" spans="31:36">
      <c r="AE5259" s="15" t="str">
        <f t="shared" si="0"/>
        <v/>
      </c>
      <c r="AF5259" s="15" t="str">
        <f t="shared" si="1"/>
        <v/>
      </c>
      <c r="AG5259" s="15" t="str">
        <f>IF(OR(AF5259="",AF5259="ERRO_CHAVE"),"",IFERROR(MATCH(AF5259,'Quitados DUPP'!$U$1:$U$6635,0),""))</f>
        <v/>
      </c>
      <c r="AH5259" s="15" t="str">
        <f t="shared" si="2"/>
        <v/>
      </c>
      <c r="AI5259" s="17" t="str">
        <f>IF(AG5259="","",INDEX('Quitados DUPP'!$G$1:$G$6635,AG5259))</f>
        <v/>
      </c>
      <c r="AJ5259" s="17" t="str">
        <f t="shared" si="3"/>
        <v/>
      </c>
    </row>
    <row r="5260" spans="31:36">
      <c r="AE5260" s="15" t="str">
        <f t="shared" si="0"/>
        <v/>
      </c>
      <c r="AF5260" s="15" t="str">
        <f t="shared" si="1"/>
        <v/>
      </c>
      <c r="AG5260" s="15" t="str">
        <f>IF(OR(AF5260="",AF5260="ERRO_CHAVE"),"",IFERROR(MATCH(AF5260,'Quitados DUPP'!$U$1:$U$6635,0),""))</f>
        <v/>
      </c>
      <c r="AH5260" s="15" t="str">
        <f t="shared" si="2"/>
        <v/>
      </c>
      <c r="AI5260" s="17" t="str">
        <f>IF(AG5260="","",INDEX('Quitados DUPP'!$G$1:$G$6635,AG5260))</f>
        <v/>
      </c>
      <c r="AJ5260" s="17" t="str">
        <f t="shared" si="3"/>
        <v/>
      </c>
    </row>
    <row r="5261" spans="31:36">
      <c r="AE5261" s="15" t="str">
        <f t="shared" si="0"/>
        <v/>
      </c>
      <c r="AF5261" s="15" t="str">
        <f t="shared" si="1"/>
        <v/>
      </c>
      <c r="AG5261" s="15" t="str">
        <f>IF(OR(AF5261="",AF5261="ERRO_CHAVE"),"",IFERROR(MATCH(AF5261,'Quitados DUPP'!$U$1:$U$6635,0),""))</f>
        <v/>
      </c>
      <c r="AH5261" s="15" t="str">
        <f t="shared" si="2"/>
        <v/>
      </c>
      <c r="AI5261" s="17" t="str">
        <f>IF(AG5261="","",INDEX('Quitados DUPP'!$G$1:$G$6635,AG5261))</f>
        <v/>
      </c>
      <c r="AJ5261" s="17" t="str">
        <f t="shared" si="3"/>
        <v/>
      </c>
    </row>
    <row r="5262" spans="31:36">
      <c r="AE5262" s="15" t="str">
        <f t="shared" si="0"/>
        <v/>
      </c>
      <c r="AF5262" s="15" t="str">
        <f t="shared" si="1"/>
        <v/>
      </c>
      <c r="AG5262" s="15" t="str">
        <f>IF(OR(AF5262="",AF5262="ERRO_CHAVE"),"",IFERROR(MATCH(AF5262,'Quitados DUPP'!$U$1:$U$6635,0),""))</f>
        <v/>
      </c>
      <c r="AH5262" s="15" t="str">
        <f t="shared" si="2"/>
        <v/>
      </c>
      <c r="AI5262" s="17" t="str">
        <f>IF(AG5262="","",INDEX('Quitados DUPP'!$G$1:$G$6635,AG5262))</f>
        <v/>
      </c>
      <c r="AJ5262" s="17" t="str">
        <f t="shared" si="3"/>
        <v/>
      </c>
    </row>
    <row r="5263" spans="31:36">
      <c r="AE5263" s="15" t="str">
        <f t="shared" si="0"/>
        <v/>
      </c>
      <c r="AF5263" s="15" t="str">
        <f t="shared" si="1"/>
        <v/>
      </c>
      <c r="AG5263" s="15" t="str">
        <f>IF(OR(AF5263="",AF5263="ERRO_CHAVE"),"",IFERROR(MATCH(AF5263,'Quitados DUPP'!$U$1:$U$6635,0),""))</f>
        <v/>
      </c>
      <c r="AH5263" s="15" t="str">
        <f t="shared" si="2"/>
        <v/>
      </c>
      <c r="AI5263" s="17" t="str">
        <f>IF(AG5263="","",INDEX('Quitados DUPP'!$G$1:$G$6635,AG5263))</f>
        <v/>
      </c>
      <c r="AJ5263" s="17" t="str">
        <f t="shared" si="3"/>
        <v/>
      </c>
    </row>
    <row r="5264" spans="31:36">
      <c r="AE5264" s="15" t="str">
        <f t="shared" si="0"/>
        <v/>
      </c>
      <c r="AF5264" s="15" t="str">
        <f t="shared" si="1"/>
        <v/>
      </c>
      <c r="AG5264" s="15" t="str">
        <f>IF(OR(AF5264="",AF5264="ERRO_CHAVE"),"",IFERROR(MATCH(AF5264,'Quitados DUPP'!$U$1:$U$6635,0),""))</f>
        <v/>
      </c>
      <c r="AH5264" s="15" t="str">
        <f t="shared" si="2"/>
        <v/>
      </c>
      <c r="AI5264" s="17" t="str">
        <f>IF(AG5264="","",INDEX('Quitados DUPP'!$G$1:$G$6635,AG5264))</f>
        <v/>
      </c>
      <c r="AJ5264" s="17" t="str">
        <f t="shared" si="3"/>
        <v/>
      </c>
    </row>
    <row r="5265" spans="31:36">
      <c r="AE5265" s="15" t="str">
        <f t="shared" si="0"/>
        <v/>
      </c>
      <c r="AF5265" s="15" t="str">
        <f t="shared" si="1"/>
        <v/>
      </c>
      <c r="AG5265" s="15" t="str">
        <f>IF(OR(AF5265="",AF5265="ERRO_CHAVE"),"",IFERROR(MATCH(AF5265,'Quitados DUPP'!$U$1:$U$6635,0),""))</f>
        <v/>
      </c>
      <c r="AH5265" s="15" t="str">
        <f t="shared" si="2"/>
        <v/>
      </c>
      <c r="AI5265" s="17" t="str">
        <f>IF(AG5265="","",INDEX('Quitados DUPP'!$G$1:$G$6635,AG5265))</f>
        <v/>
      </c>
      <c r="AJ5265" s="17" t="str">
        <f t="shared" si="3"/>
        <v/>
      </c>
    </row>
    <row r="5266" spans="31:36">
      <c r="AE5266" s="15" t="str">
        <f t="shared" si="0"/>
        <v/>
      </c>
      <c r="AF5266" s="15" t="str">
        <f t="shared" si="1"/>
        <v/>
      </c>
      <c r="AG5266" s="15" t="str">
        <f>IF(OR(AF5266="",AF5266="ERRO_CHAVE"),"",IFERROR(MATCH(AF5266,'Quitados DUPP'!$U$1:$U$6635,0),""))</f>
        <v/>
      </c>
      <c r="AH5266" s="15" t="str">
        <f t="shared" si="2"/>
        <v/>
      </c>
      <c r="AI5266" s="17" t="str">
        <f>IF(AG5266="","",INDEX('Quitados DUPP'!$G$1:$G$6635,AG5266))</f>
        <v/>
      </c>
      <c r="AJ5266" s="17" t="str">
        <f t="shared" si="3"/>
        <v/>
      </c>
    </row>
    <row r="5267" spans="31:36">
      <c r="AE5267" s="15" t="str">
        <f t="shared" si="0"/>
        <v/>
      </c>
      <c r="AF5267" s="15" t="str">
        <f t="shared" si="1"/>
        <v/>
      </c>
      <c r="AG5267" s="15" t="str">
        <f>IF(OR(AF5267="",AF5267="ERRO_CHAVE"),"",IFERROR(MATCH(AF5267,'Quitados DUPP'!$U$1:$U$6635,0),""))</f>
        <v/>
      </c>
      <c r="AH5267" s="15" t="str">
        <f t="shared" si="2"/>
        <v/>
      </c>
      <c r="AI5267" s="17" t="str">
        <f>IF(AG5267="","",INDEX('Quitados DUPP'!$G$1:$G$6635,AG5267))</f>
        <v/>
      </c>
      <c r="AJ5267" s="17" t="str">
        <f t="shared" si="3"/>
        <v/>
      </c>
    </row>
    <row r="5268" spans="31:36">
      <c r="AE5268" s="15" t="str">
        <f t="shared" si="0"/>
        <v/>
      </c>
      <c r="AF5268" s="15" t="str">
        <f t="shared" si="1"/>
        <v/>
      </c>
      <c r="AG5268" s="15" t="str">
        <f>IF(OR(AF5268="",AF5268="ERRO_CHAVE"),"",IFERROR(MATCH(AF5268,'Quitados DUPP'!$U$1:$U$6635,0),""))</f>
        <v/>
      </c>
      <c r="AH5268" s="15" t="str">
        <f t="shared" si="2"/>
        <v/>
      </c>
      <c r="AI5268" s="17" t="str">
        <f>IF(AG5268="","",INDEX('Quitados DUPP'!$G$1:$G$6635,AG5268))</f>
        <v/>
      </c>
      <c r="AJ5268" s="17" t="str">
        <f t="shared" si="3"/>
        <v/>
      </c>
    </row>
    <row r="5269" spans="31:36">
      <c r="AE5269" s="15" t="str">
        <f t="shared" si="0"/>
        <v/>
      </c>
      <c r="AF5269" s="15" t="str">
        <f t="shared" si="1"/>
        <v/>
      </c>
      <c r="AG5269" s="15" t="str">
        <f>IF(OR(AF5269="",AF5269="ERRO_CHAVE"),"",IFERROR(MATCH(AF5269,'Quitados DUPP'!$U$1:$U$6635,0),""))</f>
        <v/>
      </c>
      <c r="AH5269" s="15" t="str">
        <f t="shared" si="2"/>
        <v/>
      </c>
      <c r="AI5269" s="17" t="str">
        <f>IF(AG5269="","",INDEX('Quitados DUPP'!$G$1:$G$6635,AG5269))</f>
        <v/>
      </c>
      <c r="AJ5269" s="17" t="str">
        <f t="shared" si="3"/>
        <v/>
      </c>
    </row>
    <row r="5270" spans="31:36">
      <c r="AE5270" s="15" t="str">
        <f t="shared" si="0"/>
        <v/>
      </c>
      <c r="AF5270" s="15" t="str">
        <f t="shared" si="1"/>
        <v/>
      </c>
      <c r="AG5270" s="15" t="str">
        <f>IF(OR(AF5270="",AF5270="ERRO_CHAVE"),"",IFERROR(MATCH(AF5270,'Quitados DUPP'!$U$1:$U$6635,0),""))</f>
        <v/>
      </c>
      <c r="AH5270" s="15" t="str">
        <f t="shared" si="2"/>
        <v/>
      </c>
      <c r="AI5270" s="17" t="str">
        <f>IF(AG5270="","",INDEX('Quitados DUPP'!$G$1:$G$6635,AG5270))</f>
        <v/>
      </c>
      <c r="AJ5270" s="17" t="str">
        <f t="shared" si="3"/>
        <v/>
      </c>
    </row>
    <row r="5271" spans="31:36">
      <c r="AE5271" s="15" t="str">
        <f t="shared" si="0"/>
        <v/>
      </c>
      <c r="AF5271" s="15" t="str">
        <f t="shared" si="1"/>
        <v/>
      </c>
      <c r="AG5271" s="15" t="str">
        <f>IF(OR(AF5271="",AF5271="ERRO_CHAVE"),"",IFERROR(MATCH(AF5271,'Quitados DUPP'!$U$1:$U$6635,0),""))</f>
        <v/>
      </c>
      <c r="AH5271" s="15" t="str">
        <f t="shared" si="2"/>
        <v/>
      </c>
      <c r="AI5271" s="17" t="str">
        <f>IF(AG5271="","",INDEX('Quitados DUPP'!$G$1:$G$6635,AG5271))</f>
        <v/>
      </c>
      <c r="AJ5271" s="17" t="str">
        <f t="shared" si="3"/>
        <v/>
      </c>
    </row>
    <row r="5272" spans="31:36">
      <c r="AE5272" s="15" t="str">
        <f t="shared" si="0"/>
        <v/>
      </c>
      <c r="AF5272" s="15" t="str">
        <f t="shared" si="1"/>
        <v/>
      </c>
      <c r="AG5272" s="15" t="str">
        <f>IF(OR(AF5272="",AF5272="ERRO_CHAVE"),"",IFERROR(MATCH(AF5272,'Quitados DUPP'!$U$1:$U$6635,0),""))</f>
        <v/>
      </c>
      <c r="AH5272" s="15" t="str">
        <f t="shared" si="2"/>
        <v/>
      </c>
      <c r="AI5272" s="17" t="str">
        <f>IF(AG5272="","",INDEX('Quitados DUPP'!$G$1:$G$6635,AG5272))</f>
        <v/>
      </c>
      <c r="AJ5272" s="17" t="str">
        <f t="shared" si="3"/>
        <v/>
      </c>
    </row>
    <row r="5273" spans="31:36">
      <c r="AE5273" s="15" t="str">
        <f t="shared" si="0"/>
        <v/>
      </c>
      <c r="AF5273" s="15" t="str">
        <f t="shared" si="1"/>
        <v/>
      </c>
      <c r="AG5273" s="15" t="str">
        <f>IF(OR(AF5273="",AF5273="ERRO_CHAVE"),"",IFERROR(MATCH(AF5273,'Quitados DUPP'!$U$1:$U$6635,0),""))</f>
        <v/>
      </c>
      <c r="AH5273" s="15" t="str">
        <f t="shared" si="2"/>
        <v/>
      </c>
      <c r="AI5273" s="17" t="str">
        <f>IF(AG5273="","",INDEX('Quitados DUPP'!$G$1:$G$6635,AG5273))</f>
        <v/>
      </c>
      <c r="AJ5273" s="17" t="str">
        <f t="shared" si="3"/>
        <v/>
      </c>
    </row>
    <row r="5274" spans="31:36">
      <c r="AE5274" s="15" t="str">
        <f t="shared" si="0"/>
        <v/>
      </c>
      <c r="AF5274" s="15" t="str">
        <f t="shared" si="1"/>
        <v/>
      </c>
      <c r="AG5274" s="15" t="str">
        <f>IF(OR(AF5274="",AF5274="ERRO_CHAVE"),"",IFERROR(MATCH(AF5274,'Quitados DUPP'!$U$1:$U$6635,0),""))</f>
        <v/>
      </c>
      <c r="AH5274" s="15" t="str">
        <f t="shared" si="2"/>
        <v/>
      </c>
      <c r="AI5274" s="17" t="str">
        <f>IF(AG5274="","",INDEX('Quitados DUPP'!$G$1:$G$6635,AG5274))</f>
        <v/>
      </c>
      <c r="AJ5274" s="17" t="str">
        <f t="shared" si="3"/>
        <v/>
      </c>
    </row>
    <row r="5275" spans="31:36">
      <c r="AE5275" s="15" t="str">
        <f t="shared" si="0"/>
        <v/>
      </c>
      <c r="AF5275" s="15" t="str">
        <f t="shared" si="1"/>
        <v/>
      </c>
      <c r="AG5275" s="15" t="str">
        <f>IF(OR(AF5275="",AF5275="ERRO_CHAVE"),"",IFERROR(MATCH(AF5275,'Quitados DUPP'!$U$1:$U$6635,0),""))</f>
        <v/>
      </c>
      <c r="AH5275" s="15" t="str">
        <f t="shared" si="2"/>
        <v/>
      </c>
      <c r="AI5275" s="17" t="str">
        <f>IF(AG5275="","",INDEX('Quitados DUPP'!$G$1:$G$6635,AG5275))</f>
        <v/>
      </c>
      <c r="AJ5275" s="17" t="str">
        <f t="shared" si="3"/>
        <v/>
      </c>
    </row>
    <row r="5276" spans="31:36">
      <c r="AE5276" s="15" t="str">
        <f t="shared" si="0"/>
        <v/>
      </c>
      <c r="AF5276" s="15" t="str">
        <f t="shared" si="1"/>
        <v/>
      </c>
      <c r="AG5276" s="15" t="str">
        <f>IF(OR(AF5276="",AF5276="ERRO_CHAVE"),"",IFERROR(MATCH(AF5276,'Quitados DUPP'!$U$1:$U$6635,0),""))</f>
        <v/>
      </c>
      <c r="AH5276" s="15" t="str">
        <f t="shared" si="2"/>
        <v/>
      </c>
      <c r="AI5276" s="17" t="str">
        <f>IF(AG5276="","",INDEX('Quitados DUPP'!$G$1:$G$6635,AG5276))</f>
        <v/>
      </c>
      <c r="AJ5276" s="17" t="str">
        <f t="shared" si="3"/>
        <v/>
      </c>
    </row>
    <row r="5277" spans="31:36">
      <c r="AE5277" s="15" t="str">
        <f t="shared" si="0"/>
        <v/>
      </c>
      <c r="AF5277" s="15" t="str">
        <f t="shared" si="1"/>
        <v/>
      </c>
      <c r="AG5277" s="15" t="str">
        <f>IF(OR(AF5277="",AF5277="ERRO_CHAVE"),"",IFERROR(MATCH(AF5277,'Quitados DUPP'!$U$1:$U$6635,0),""))</f>
        <v/>
      </c>
      <c r="AH5277" s="15" t="str">
        <f t="shared" si="2"/>
        <v/>
      </c>
      <c r="AI5277" s="17" t="str">
        <f>IF(AG5277="","",INDEX('Quitados DUPP'!$G$1:$G$6635,AG5277))</f>
        <v/>
      </c>
      <c r="AJ5277" s="17" t="str">
        <f t="shared" si="3"/>
        <v/>
      </c>
    </row>
    <row r="5278" spans="31:36">
      <c r="AE5278" s="15" t="str">
        <f t="shared" si="0"/>
        <v/>
      </c>
      <c r="AF5278" s="15" t="str">
        <f t="shared" si="1"/>
        <v/>
      </c>
      <c r="AG5278" s="15" t="str">
        <f>IF(OR(AF5278="",AF5278="ERRO_CHAVE"),"",IFERROR(MATCH(AF5278,'Quitados DUPP'!$U$1:$U$6635,0),""))</f>
        <v/>
      </c>
      <c r="AH5278" s="15" t="str">
        <f t="shared" si="2"/>
        <v/>
      </c>
      <c r="AI5278" s="17" t="str">
        <f>IF(AG5278="","",INDEX('Quitados DUPP'!$G$1:$G$6635,AG5278))</f>
        <v/>
      </c>
      <c r="AJ5278" s="17" t="str">
        <f t="shared" si="3"/>
        <v/>
      </c>
    </row>
    <row r="5279" spans="31:36">
      <c r="AE5279" s="15" t="str">
        <f t="shared" si="0"/>
        <v/>
      </c>
      <c r="AF5279" s="15" t="str">
        <f t="shared" si="1"/>
        <v/>
      </c>
      <c r="AG5279" s="15" t="str">
        <f>IF(OR(AF5279="",AF5279="ERRO_CHAVE"),"",IFERROR(MATCH(AF5279,'Quitados DUPP'!$U$1:$U$6635,0),""))</f>
        <v/>
      </c>
      <c r="AH5279" s="15" t="str">
        <f t="shared" si="2"/>
        <v/>
      </c>
      <c r="AI5279" s="17" t="str">
        <f>IF(AG5279="","",INDEX('Quitados DUPP'!$G$1:$G$6635,AG5279))</f>
        <v/>
      </c>
      <c r="AJ5279" s="17" t="str">
        <f t="shared" si="3"/>
        <v/>
      </c>
    </row>
    <row r="5280" spans="31:36">
      <c r="AE5280" s="15" t="str">
        <f t="shared" si="0"/>
        <v/>
      </c>
      <c r="AF5280" s="15" t="str">
        <f t="shared" si="1"/>
        <v/>
      </c>
      <c r="AG5280" s="15" t="str">
        <f>IF(OR(AF5280="",AF5280="ERRO_CHAVE"),"",IFERROR(MATCH(AF5280,'Quitados DUPP'!$U$1:$U$6635,0),""))</f>
        <v/>
      </c>
      <c r="AH5280" s="15" t="str">
        <f t="shared" si="2"/>
        <v/>
      </c>
      <c r="AI5280" s="17" t="str">
        <f>IF(AG5280="","",INDEX('Quitados DUPP'!$G$1:$G$6635,AG5280))</f>
        <v/>
      </c>
      <c r="AJ5280" s="17" t="str">
        <f t="shared" si="3"/>
        <v/>
      </c>
    </row>
    <row r="5281" spans="31:36">
      <c r="AE5281" s="15" t="str">
        <f t="shared" si="0"/>
        <v/>
      </c>
      <c r="AF5281" s="15" t="str">
        <f t="shared" si="1"/>
        <v/>
      </c>
      <c r="AG5281" s="15" t="str">
        <f>IF(OR(AF5281="",AF5281="ERRO_CHAVE"),"",IFERROR(MATCH(AF5281,'Quitados DUPP'!$U$1:$U$6635,0),""))</f>
        <v/>
      </c>
      <c r="AH5281" s="15" t="str">
        <f t="shared" si="2"/>
        <v/>
      </c>
      <c r="AI5281" s="17" t="str">
        <f>IF(AG5281="","",INDEX('Quitados DUPP'!$G$1:$G$6635,AG5281))</f>
        <v/>
      </c>
      <c r="AJ5281" s="17" t="str">
        <f t="shared" si="3"/>
        <v/>
      </c>
    </row>
    <row r="5282" spans="31:36">
      <c r="AE5282" s="15" t="str">
        <f t="shared" si="0"/>
        <v/>
      </c>
      <c r="AF5282" s="15" t="str">
        <f t="shared" si="1"/>
        <v/>
      </c>
      <c r="AG5282" s="15" t="str">
        <f>IF(OR(AF5282="",AF5282="ERRO_CHAVE"),"",IFERROR(MATCH(AF5282,'Quitados DUPP'!$U$1:$U$6635,0),""))</f>
        <v/>
      </c>
      <c r="AH5282" s="15" t="str">
        <f t="shared" si="2"/>
        <v/>
      </c>
      <c r="AI5282" s="17" t="str">
        <f>IF(AG5282="","",INDEX('Quitados DUPP'!$G$1:$G$6635,AG5282))</f>
        <v/>
      </c>
      <c r="AJ5282" s="17" t="str">
        <f t="shared" si="3"/>
        <v/>
      </c>
    </row>
    <row r="5283" spans="31:36">
      <c r="AE5283" s="15" t="str">
        <f t="shared" si="0"/>
        <v/>
      </c>
      <c r="AF5283" s="15" t="str">
        <f t="shared" si="1"/>
        <v/>
      </c>
      <c r="AG5283" s="15" t="str">
        <f>IF(OR(AF5283="",AF5283="ERRO_CHAVE"),"",IFERROR(MATCH(AF5283,'Quitados DUPP'!$U$1:$U$6635,0),""))</f>
        <v/>
      </c>
      <c r="AH5283" s="15" t="str">
        <f t="shared" si="2"/>
        <v/>
      </c>
      <c r="AI5283" s="17" t="str">
        <f>IF(AG5283="","",INDEX('Quitados DUPP'!$G$1:$G$6635,AG5283))</f>
        <v/>
      </c>
      <c r="AJ5283" s="17" t="str">
        <f t="shared" si="3"/>
        <v/>
      </c>
    </row>
    <row r="5284" spans="31:36">
      <c r="AE5284" s="15" t="str">
        <f t="shared" si="0"/>
        <v/>
      </c>
      <c r="AF5284" s="15" t="str">
        <f t="shared" si="1"/>
        <v/>
      </c>
      <c r="AG5284" s="15" t="str">
        <f>IF(OR(AF5284="",AF5284="ERRO_CHAVE"),"",IFERROR(MATCH(AF5284,'Quitados DUPP'!$U$1:$U$6635,0),""))</f>
        <v/>
      </c>
      <c r="AH5284" s="15" t="str">
        <f t="shared" si="2"/>
        <v/>
      </c>
      <c r="AI5284" s="17" t="str">
        <f>IF(AG5284="","",INDEX('Quitados DUPP'!$G$1:$G$6635,AG5284))</f>
        <v/>
      </c>
      <c r="AJ5284" s="17" t="str">
        <f t="shared" si="3"/>
        <v/>
      </c>
    </row>
    <row r="5285" spans="31:36">
      <c r="AE5285" s="15" t="str">
        <f t="shared" si="0"/>
        <v/>
      </c>
      <c r="AF5285" s="15" t="str">
        <f t="shared" si="1"/>
        <v/>
      </c>
      <c r="AG5285" s="15" t="str">
        <f>IF(OR(AF5285="",AF5285="ERRO_CHAVE"),"",IFERROR(MATCH(AF5285,'Quitados DUPP'!$U$1:$U$6635,0),""))</f>
        <v/>
      </c>
      <c r="AH5285" s="15" t="str">
        <f t="shared" si="2"/>
        <v/>
      </c>
      <c r="AI5285" s="17" t="str">
        <f>IF(AG5285="","",INDEX('Quitados DUPP'!$G$1:$G$6635,AG5285))</f>
        <v/>
      </c>
      <c r="AJ5285" s="17" t="str">
        <f t="shared" si="3"/>
        <v/>
      </c>
    </row>
    <row r="5286" spans="31:36">
      <c r="AE5286" s="15" t="str">
        <f t="shared" si="0"/>
        <v/>
      </c>
      <c r="AF5286" s="15" t="str">
        <f t="shared" si="1"/>
        <v/>
      </c>
      <c r="AG5286" s="15" t="str">
        <f>IF(OR(AF5286="",AF5286="ERRO_CHAVE"),"",IFERROR(MATCH(AF5286,'Quitados DUPP'!$U$1:$U$6635,0),""))</f>
        <v/>
      </c>
      <c r="AH5286" s="15" t="str">
        <f t="shared" si="2"/>
        <v/>
      </c>
      <c r="AI5286" s="17" t="str">
        <f>IF(AG5286="","",INDEX('Quitados DUPP'!$G$1:$G$6635,AG5286))</f>
        <v/>
      </c>
      <c r="AJ5286" s="17" t="str">
        <f t="shared" si="3"/>
        <v/>
      </c>
    </row>
    <row r="5287" spans="31:36">
      <c r="AE5287" s="15" t="str">
        <f t="shared" si="0"/>
        <v/>
      </c>
      <c r="AF5287" s="15" t="str">
        <f t="shared" si="1"/>
        <v/>
      </c>
      <c r="AG5287" s="15" t="str">
        <f>IF(OR(AF5287="",AF5287="ERRO_CHAVE"),"",IFERROR(MATCH(AF5287,'Quitados DUPP'!$U$1:$U$6635,0),""))</f>
        <v/>
      </c>
      <c r="AH5287" s="15" t="str">
        <f t="shared" si="2"/>
        <v/>
      </c>
      <c r="AI5287" s="17" t="str">
        <f>IF(AG5287="","",INDEX('Quitados DUPP'!$G$1:$G$6635,AG5287))</f>
        <v/>
      </c>
      <c r="AJ5287" s="17" t="str">
        <f t="shared" si="3"/>
        <v/>
      </c>
    </row>
    <row r="5288" spans="31:36">
      <c r="AE5288" s="15" t="str">
        <f t="shared" si="0"/>
        <v/>
      </c>
      <c r="AF5288" s="15" t="str">
        <f t="shared" si="1"/>
        <v/>
      </c>
      <c r="AG5288" s="15" t="str">
        <f>IF(OR(AF5288="",AF5288="ERRO_CHAVE"),"",IFERROR(MATCH(AF5288,'Quitados DUPP'!$U$1:$U$6635,0),""))</f>
        <v/>
      </c>
      <c r="AH5288" s="15" t="str">
        <f t="shared" si="2"/>
        <v/>
      </c>
      <c r="AI5288" s="17" t="str">
        <f>IF(AG5288="","",INDEX('Quitados DUPP'!$G$1:$G$6635,AG5288))</f>
        <v/>
      </c>
      <c r="AJ5288" s="17" t="str">
        <f t="shared" si="3"/>
        <v/>
      </c>
    </row>
    <row r="5289" spans="31:36">
      <c r="AE5289" s="15" t="str">
        <f t="shared" si="0"/>
        <v/>
      </c>
      <c r="AF5289" s="15" t="str">
        <f t="shared" si="1"/>
        <v/>
      </c>
      <c r="AG5289" s="15" t="str">
        <f>IF(OR(AF5289="",AF5289="ERRO_CHAVE"),"",IFERROR(MATCH(AF5289,'Quitados DUPP'!$U$1:$U$6635,0),""))</f>
        <v/>
      </c>
      <c r="AH5289" s="15" t="str">
        <f t="shared" si="2"/>
        <v/>
      </c>
      <c r="AI5289" s="17" t="str">
        <f>IF(AG5289="","",INDEX('Quitados DUPP'!$G$1:$G$6635,AG5289))</f>
        <v/>
      </c>
      <c r="AJ5289" s="17" t="str">
        <f t="shared" si="3"/>
        <v/>
      </c>
    </row>
    <row r="5290" spans="31:36">
      <c r="AE5290" s="15" t="str">
        <f t="shared" si="0"/>
        <v/>
      </c>
      <c r="AF5290" s="15" t="str">
        <f t="shared" si="1"/>
        <v/>
      </c>
      <c r="AG5290" s="15" t="str">
        <f>IF(OR(AF5290="",AF5290="ERRO_CHAVE"),"",IFERROR(MATCH(AF5290,'Quitados DUPP'!$U$1:$U$6635,0),""))</f>
        <v/>
      </c>
      <c r="AH5290" s="15" t="str">
        <f t="shared" si="2"/>
        <v/>
      </c>
      <c r="AI5290" s="17" t="str">
        <f>IF(AG5290="","",INDEX('Quitados DUPP'!$G$1:$G$6635,AG5290))</f>
        <v/>
      </c>
      <c r="AJ5290" s="17" t="str">
        <f t="shared" si="3"/>
        <v/>
      </c>
    </row>
    <row r="5291" spans="31:36">
      <c r="AE5291" s="15" t="str">
        <f t="shared" si="0"/>
        <v/>
      </c>
      <c r="AF5291" s="15" t="str">
        <f t="shared" si="1"/>
        <v/>
      </c>
      <c r="AG5291" s="15" t="str">
        <f>IF(OR(AF5291="",AF5291="ERRO_CHAVE"),"",IFERROR(MATCH(AF5291,'Quitados DUPP'!$U$1:$U$6635,0),""))</f>
        <v/>
      </c>
      <c r="AH5291" s="15" t="str">
        <f t="shared" si="2"/>
        <v/>
      </c>
      <c r="AI5291" s="17" t="str">
        <f>IF(AG5291="","",INDEX('Quitados DUPP'!$G$1:$G$6635,AG5291))</f>
        <v/>
      </c>
      <c r="AJ5291" s="17" t="str">
        <f t="shared" si="3"/>
        <v/>
      </c>
    </row>
    <row r="5292" spans="31:36">
      <c r="AE5292" s="15" t="str">
        <f t="shared" si="0"/>
        <v/>
      </c>
      <c r="AF5292" s="15" t="str">
        <f t="shared" si="1"/>
        <v/>
      </c>
      <c r="AG5292" s="15" t="str">
        <f>IF(OR(AF5292="",AF5292="ERRO_CHAVE"),"",IFERROR(MATCH(AF5292,'Quitados DUPP'!$U$1:$U$6635,0),""))</f>
        <v/>
      </c>
      <c r="AH5292" s="15" t="str">
        <f t="shared" si="2"/>
        <v/>
      </c>
      <c r="AI5292" s="17" t="str">
        <f>IF(AG5292="","",INDEX('Quitados DUPP'!$G$1:$G$6635,AG5292))</f>
        <v/>
      </c>
      <c r="AJ5292" s="17" t="str">
        <f t="shared" si="3"/>
        <v/>
      </c>
    </row>
    <row r="5293" spans="31:36">
      <c r="AE5293" s="15" t="str">
        <f t="shared" si="0"/>
        <v/>
      </c>
      <c r="AF5293" s="15" t="str">
        <f t="shared" si="1"/>
        <v/>
      </c>
      <c r="AG5293" s="15" t="str">
        <f>IF(OR(AF5293="",AF5293="ERRO_CHAVE"),"",IFERROR(MATCH(AF5293,'Quitados DUPP'!$U$1:$U$6635,0),""))</f>
        <v/>
      </c>
      <c r="AH5293" s="15" t="str">
        <f t="shared" si="2"/>
        <v/>
      </c>
      <c r="AI5293" s="17" t="str">
        <f>IF(AG5293="","",INDEX('Quitados DUPP'!$G$1:$G$6635,AG5293))</f>
        <v/>
      </c>
      <c r="AJ5293" s="17" t="str">
        <f t="shared" si="3"/>
        <v/>
      </c>
    </row>
    <row r="5294" spans="31:36">
      <c r="AE5294" s="15" t="str">
        <f t="shared" si="0"/>
        <v/>
      </c>
      <c r="AF5294" s="15" t="str">
        <f t="shared" si="1"/>
        <v/>
      </c>
      <c r="AG5294" s="15" t="str">
        <f>IF(OR(AF5294="",AF5294="ERRO_CHAVE"),"",IFERROR(MATCH(AF5294,'Quitados DUPP'!$U$1:$U$6635,0),""))</f>
        <v/>
      </c>
      <c r="AH5294" s="15" t="str">
        <f t="shared" si="2"/>
        <v/>
      </c>
      <c r="AI5294" s="17" t="str">
        <f>IF(AG5294="","",INDEX('Quitados DUPP'!$G$1:$G$6635,AG5294))</f>
        <v/>
      </c>
      <c r="AJ5294" s="17" t="str">
        <f t="shared" si="3"/>
        <v/>
      </c>
    </row>
    <row r="5295" spans="31:36">
      <c r="AE5295" s="15" t="str">
        <f t="shared" si="0"/>
        <v/>
      </c>
      <c r="AF5295" s="15" t="str">
        <f t="shared" si="1"/>
        <v/>
      </c>
      <c r="AG5295" s="15" t="str">
        <f>IF(OR(AF5295="",AF5295="ERRO_CHAVE"),"",IFERROR(MATCH(AF5295,'Quitados DUPP'!$U$1:$U$6635,0),""))</f>
        <v/>
      </c>
      <c r="AH5295" s="15" t="str">
        <f t="shared" si="2"/>
        <v/>
      </c>
      <c r="AI5295" s="17" t="str">
        <f>IF(AG5295="","",INDEX('Quitados DUPP'!$G$1:$G$6635,AG5295))</f>
        <v/>
      </c>
      <c r="AJ5295" s="17" t="str">
        <f t="shared" si="3"/>
        <v/>
      </c>
    </row>
    <row r="5296" spans="31:36">
      <c r="AE5296" s="15" t="str">
        <f t="shared" si="0"/>
        <v/>
      </c>
      <c r="AF5296" s="15" t="str">
        <f t="shared" si="1"/>
        <v/>
      </c>
      <c r="AG5296" s="15" t="str">
        <f>IF(OR(AF5296="",AF5296="ERRO_CHAVE"),"",IFERROR(MATCH(AF5296,'Quitados DUPP'!$U$1:$U$6635,0),""))</f>
        <v/>
      </c>
      <c r="AH5296" s="15" t="str">
        <f t="shared" si="2"/>
        <v/>
      </c>
      <c r="AI5296" s="17" t="str">
        <f>IF(AG5296="","",INDEX('Quitados DUPP'!$G$1:$G$6635,AG5296))</f>
        <v/>
      </c>
      <c r="AJ5296" s="17" t="str">
        <f t="shared" si="3"/>
        <v/>
      </c>
    </row>
    <row r="5297" spans="31:36">
      <c r="AE5297" s="15" t="str">
        <f t="shared" si="0"/>
        <v/>
      </c>
      <c r="AF5297" s="15" t="str">
        <f t="shared" si="1"/>
        <v/>
      </c>
      <c r="AG5297" s="15" t="str">
        <f>IF(OR(AF5297="",AF5297="ERRO_CHAVE"),"",IFERROR(MATCH(AF5297,'Quitados DUPP'!$U$1:$U$6635,0),""))</f>
        <v/>
      </c>
      <c r="AH5297" s="15" t="str">
        <f t="shared" si="2"/>
        <v/>
      </c>
      <c r="AI5297" s="17" t="str">
        <f>IF(AG5297="","",INDEX('Quitados DUPP'!$G$1:$G$6635,AG5297))</f>
        <v/>
      </c>
      <c r="AJ5297" s="17" t="str">
        <f t="shared" si="3"/>
        <v/>
      </c>
    </row>
    <row r="5298" spans="31:36">
      <c r="AE5298" s="15" t="str">
        <f t="shared" si="0"/>
        <v/>
      </c>
      <c r="AF5298" s="15" t="str">
        <f t="shared" si="1"/>
        <v/>
      </c>
      <c r="AG5298" s="15" t="str">
        <f>IF(OR(AF5298="",AF5298="ERRO_CHAVE"),"",IFERROR(MATCH(AF5298,'Quitados DUPP'!$U$1:$U$6635,0),""))</f>
        <v/>
      </c>
      <c r="AH5298" s="15" t="str">
        <f t="shared" si="2"/>
        <v/>
      </c>
      <c r="AI5298" s="17" t="str">
        <f>IF(AG5298="","",INDEX('Quitados DUPP'!$G$1:$G$6635,AG5298))</f>
        <v/>
      </c>
      <c r="AJ5298" s="17" t="str">
        <f t="shared" si="3"/>
        <v/>
      </c>
    </row>
    <row r="5299" spans="31:36">
      <c r="AE5299" s="15" t="str">
        <f t="shared" si="0"/>
        <v/>
      </c>
      <c r="AF5299" s="15" t="str">
        <f t="shared" si="1"/>
        <v/>
      </c>
      <c r="AG5299" s="15" t="str">
        <f>IF(OR(AF5299="",AF5299="ERRO_CHAVE"),"",IFERROR(MATCH(AF5299,'Quitados DUPP'!$U$1:$U$6635,0),""))</f>
        <v/>
      </c>
      <c r="AH5299" s="15" t="str">
        <f t="shared" si="2"/>
        <v/>
      </c>
      <c r="AI5299" s="17" t="str">
        <f>IF(AG5299="","",INDEX('Quitados DUPP'!$G$1:$G$6635,AG5299))</f>
        <v/>
      </c>
      <c r="AJ5299" s="17" t="str">
        <f t="shared" si="3"/>
        <v/>
      </c>
    </row>
    <row r="5300" spans="31:36">
      <c r="AE5300" s="15" t="str">
        <f t="shared" si="0"/>
        <v/>
      </c>
      <c r="AF5300" s="15" t="str">
        <f t="shared" si="1"/>
        <v/>
      </c>
      <c r="AG5300" s="15" t="str">
        <f>IF(OR(AF5300="",AF5300="ERRO_CHAVE"),"",IFERROR(MATCH(AF5300,'Quitados DUPP'!$U$1:$U$6635,0),""))</f>
        <v/>
      </c>
      <c r="AH5300" s="15" t="str">
        <f t="shared" si="2"/>
        <v/>
      </c>
      <c r="AI5300" s="17" t="str">
        <f>IF(AG5300="","",INDEX('Quitados DUPP'!$G$1:$G$6635,AG5300))</f>
        <v/>
      </c>
      <c r="AJ5300" s="17" t="str">
        <f t="shared" si="3"/>
        <v/>
      </c>
    </row>
    <row r="5301" spans="31:36">
      <c r="AE5301" s="15" t="str">
        <f t="shared" si="0"/>
        <v/>
      </c>
      <c r="AF5301" s="15" t="str">
        <f t="shared" si="1"/>
        <v/>
      </c>
      <c r="AG5301" s="15" t="str">
        <f>IF(OR(AF5301="",AF5301="ERRO_CHAVE"),"",IFERROR(MATCH(AF5301,'Quitados DUPP'!$U$1:$U$6635,0),""))</f>
        <v/>
      </c>
      <c r="AH5301" s="15" t="str">
        <f t="shared" si="2"/>
        <v/>
      </c>
      <c r="AI5301" s="17" t="str">
        <f>IF(AG5301="","",INDEX('Quitados DUPP'!$G$1:$G$6635,AG5301))</f>
        <v/>
      </c>
      <c r="AJ5301" s="17" t="str">
        <f t="shared" si="3"/>
        <v/>
      </c>
    </row>
    <row r="5302" spans="31:36">
      <c r="AE5302" s="15" t="str">
        <f t="shared" si="0"/>
        <v/>
      </c>
      <c r="AF5302" s="15" t="str">
        <f t="shared" si="1"/>
        <v/>
      </c>
      <c r="AG5302" s="15" t="str">
        <f>IF(OR(AF5302="",AF5302="ERRO_CHAVE"),"",IFERROR(MATCH(AF5302,'Quitados DUPP'!$U$1:$U$6635,0),""))</f>
        <v/>
      </c>
      <c r="AH5302" s="15" t="str">
        <f t="shared" si="2"/>
        <v/>
      </c>
      <c r="AI5302" s="17" t="str">
        <f>IF(AG5302="","",INDEX('Quitados DUPP'!$G$1:$G$6635,AG5302))</f>
        <v/>
      </c>
      <c r="AJ5302" s="17" t="str">
        <f t="shared" si="3"/>
        <v/>
      </c>
    </row>
    <row r="5303" spans="31:36">
      <c r="AE5303" s="15" t="str">
        <f t="shared" si="0"/>
        <v/>
      </c>
      <c r="AF5303" s="15" t="str">
        <f t="shared" si="1"/>
        <v/>
      </c>
      <c r="AG5303" s="15" t="str">
        <f>IF(OR(AF5303="",AF5303="ERRO_CHAVE"),"",IFERROR(MATCH(AF5303,'Quitados DUPP'!$U$1:$U$6635,0),""))</f>
        <v/>
      </c>
      <c r="AH5303" s="15" t="str">
        <f t="shared" si="2"/>
        <v/>
      </c>
      <c r="AI5303" s="17" t="str">
        <f>IF(AG5303="","",INDEX('Quitados DUPP'!$G$1:$G$6635,AG5303))</f>
        <v/>
      </c>
      <c r="AJ5303" s="17" t="str">
        <f t="shared" si="3"/>
        <v/>
      </c>
    </row>
    <row r="5304" spans="31:36">
      <c r="AE5304" s="15" t="str">
        <f t="shared" si="0"/>
        <v/>
      </c>
      <c r="AF5304" s="15" t="str">
        <f t="shared" si="1"/>
        <v/>
      </c>
      <c r="AG5304" s="15" t="str">
        <f>IF(OR(AF5304="",AF5304="ERRO_CHAVE"),"",IFERROR(MATCH(AF5304,'Quitados DUPP'!$U$1:$U$6635,0),""))</f>
        <v/>
      </c>
      <c r="AH5304" s="15" t="str">
        <f t="shared" si="2"/>
        <v/>
      </c>
      <c r="AI5304" s="17" t="str">
        <f>IF(AG5304="","",INDEX('Quitados DUPP'!$G$1:$G$6635,AG5304))</f>
        <v/>
      </c>
      <c r="AJ5304" s="17" t="str">
        <f t="shared" si="3"/>
        <v/>
      </c>
    </row>
    <row r="5305" spans="31:36">
      <c r="AE5305" s="15" t="str">
        <f t="shared" si="0"/>
        <v/>
      </c>
      <c r="AF5305" s="15" t="str">
        <f t="shared" si="1"/>
        <v/>
      </c>
      <c r="AG5305" s="15" t="str">
        <f>IF(OR(AF5305="",AF5305="ERRO_CHAVE"),"",IFERROR(MATCH(AF5305,'Quitados DUPP'!$U$1:$U$6635,0),""))</f>
        <v/>
      </c>
      <c r="AH5305" s="15" t="str">
        <f t="shared" si="2"/>
        <v/>
      </c>
      <c r="AI5305" s="17" t="str">
        <f>IF(AG5305="","",INDEX('Quitados DUPP'!$G$1:$G$6635,AG5305))</f>
        <v/>
      </c>
      <c r="AJ5305" s="17" t="str">
        <f t="shared" si="3"/>
        <v/>
      </c>
    </row>
    <row r="5306" spans="31:36">
      <c r="AE5306" s="15" t="str">
        <f t="shared" si="0"/>
        <v/>
      </c>
      <c r="AF5306" s="15" t="str">
        <f t="shared" si="1"/>
        <v/>
      </c>
      <c r="AG5306" s="15" t="str">
        <f>IF(OR(AF5306="",AF5306="ERRO_CHAVE"),"",IFERROR(MATCH(AF5306,'Quitados DUPP'!$U$1:$U$6635,0),""))</f>
        <v/>
      </c>
      <c r="AH5306" s="15" t="str">
        <f t="shared" si="2"/>
        <v/>
      </c>
      <c r="AI5306" s="17" t="str">
        <f>IF(AG5306="","",INDEX('Quitados DUPP'!$G$1:$G$6635,AG5306))</f>
        <v/>
      </c>
      <c r="AJ5306" s="17" t="str">
        <f t="shared" si="3"/>
        <v/>
      </c>
    </row>
    <row r="5307" spans="31:36">
      <c r="AE5307" s="15" t="str">
        <f t="shared" si="0"/>
        <v/>
      </c>
      <c r="AF5307" s="15" t="str">
        <f t="shared" si="1"/>
        <v/>
      </c>
      <c r="AG5307" s="15" t="str">
        <f>IF(OR(AF5307="",AF5307="ERRO_CHAVE"),"",IFERROR(MATCH(AF5307,'Quitados DUPP'!$U$1:$U$6635,0),""))</f>
        <v/>
      </c>
      <c r="AH5307" s="15" t="str">
        <f t="shared" si="2"/>
        <v/>
      </c>
      <c r="AI5307" s="17" t="str">
        <f>IF(AG5307="","",INDEX('Quitados DUPP'!$G$1:$G$6635,AG5307))</f>
        <v/>
      </c>
      <c r="AJ5307" s="17" t="str">
        <f t="shared" si="3"/>
        <v/>
      </c>
    </row>
    <row r="5308" spans="31:36">
      <c r="AE5308" s="15" t="str">
        <f t="shared" si="0"/>
        <v/>
      </c>
      <c r="AF5308" s="15" t="str">
        <f t="shared" si="1"/>
        <v/>
      </c>
      <c r="AG5308" s="15" t="str">
        <f>IF(OR(AF5308="",AF5308="ERRO_CHAVE"),"",IFERROR(MATCH(AF5308,'Quitados DUPP'!$U$1:$U$6635,0),""))</f>
        <v/>
      </c>
      <c r="AH5308" s="15" t="str">
        <f t="shared" si="2"/>
        <v/>
      </c>
      <c r="AI5308" s="17" t="str">
        <f>IF(AG5308="","",INDEX('Quitados DUPP'!$G$1:$G$6635,AG5308))</f>
        <v/>
      </c>
      <c r="AJ5308" s="17" t="str">
        <f t="shared" si="3"/>
        <v/>
      </c>
    </row>
    <row r="5309" spans="31:36">
      <c r="AE5309" s="15" t="str">
        <f t="shared" si="0"/>
        <v/>
      </c>
      <c r="AF5309" s="15" t="str">
        <f t="shared" si="1"/>
        <v/>
      </c>
      <c r="AG5309" s="15" t="str">
        <f>IF(OR(AF5309="",AF5309="ERRO_CHAVE"),"",IFERROR(MATCH(AF5309,'Quitados DUPP'!$U$1:$U$6635,0),""))</f>
        <v/>
      </c>
      <c r="AH5309" s="15" t="str">
        <f t="shared" si="2"/>
        <v/>
      </c>
      <c r="AI5309" s="17" t="str">
        <f>IF(AG5309="","",INDEX('Quitados DUPP'!$G$1:$G$6635,AG5309))</f>
        <v/>
      </c>
      <c r="AJ5309" s="17" t="str">
        <f t="shared" si="3"/>
        <v/>
      </c>
    </row>
    <row r="5310" spans="31:36">
      <c r="AE5310" s="15" t="str">
        <f t="shared" si="0"/>
        <v/>
      </c>
      <c r="AF5310" s="15" t="str">
        <f t="shared" si="1"/>
        <v/>
      </c>
      <c r="AG5310" s="15" t="str">
        <f>IF(OR(AF5310="",AF5310="ERRO_CHAVE"),"",IFERROR(MATCH(AF5310,'Quitados DUPP'!$U$1:$U$6635,0),""))</f>
        <v/>
      </c>
      <c r="AH5310" s="15" t="str">
        <f t="shared" si="2"/>
        <v/>
      </c>
      <c r="AI5310" s="17" t="str">
        <f>IF(AG5310="","",INDEX('Quitados DUPP'!$G$1:$G$6635,AG5310))</f>
        <v/>
      </c>
      <c r="AJ5310" s="17" t="str">
        <f t="shared" si="3"/>
        <v/>
      </c>
    </row>
    <row r="5311" spans="31:36">
      <c r="AE5311" s="15" t="str">
        <f t="shared" si="0"/>
        <v/>
      </c>
      <c r="AF5311" s="15" t="str">
        <f t="shared" si="1"/>
        <v/>
      </c>
      <c r="AG5311" s="15" t="str">
        <f>IF(OR(AF5311="",AF5311="ERRO_CHAVE"),"",IFERROR(MATCH(AF5311,'Quitados DUPP'!$U$1:$U$6635,0),""))</f>
        <v/>
      </c>
      <c r="AH5311" s="15" t="str">
        <f t="shared" si="2"/>
        <v/>
      </c>
      <c r="AI5311" s="17" t="str">
        <f>IF(AG5311="","",INDEX('Quitados DUPP'!$G$1:$G$6635,AG5311))</f>
        <v/>
      </c>
      <c r="AJ5311" s="17" t="str">
        <f t="shared" si="3"/>
        <v/>
      </c>
    </row>
    <row r="5312" spans="31:36">
      <c r="AE5312" s="15" t="str">
        <f t="shared" si="0"/>
        <v/>
      </c>
      <c r="AF5312" s="15" t="str">
        <f t="shared" si="1"/>
        <v/>
      </c>
      <c r="AG5312" s="15" t="str">
        <f>IF(OR(AF5312="",AF5312="ERRO_CHAVE"),"",IFERROR(MATCH(AF5312,'Quitados DUPP'!$U$1:$U$6635,0),""))</f>
        <v/>
      </c>
      <c r="AH5312" s="15" t="str">
        <f t="shared" si="2"/>
        <v/>
      </c>
      <c r="AI5312" s="17" t="str">
        <f>IF(AG5312="","",INDEX('Quitados DUPP'!$G$1:$G$6635,AG5312))</f>
        <v/>
      </c>
      <c r="AJ5312" s="17" t="str">
        <f t="shared" si="3"/>
        <v/>
      </c>
    </row>
    <row r="5313" spans="31:36">
      <c r="AE5313" s="15" t="str">
        <f t="shared" si="0"/>
        <v/>
      </c>
      <c r="AF5313" s="15" t="str">
        <f t="shared" si="1"/>
        <v/>
      </c>
      <c r="AG5313" s="15" t="str">
        <f>IF(OR(AF5313="",AF5313="ERRO_CHAVE"),"",IFERROR(MATCH(AF5313,'Quitados DUPP'!$U$1:$U$6635,0),""))</f>
        <v/>
      </c>
      <c r="AH5313" s="15" t="str">
        <f t="shared" si="2"/>
        <v/>
      </c>
      <c r="AI5313" s="17" t="str">
        <f>IF(AG5313="","",INDEX('Quitados DUPP'!$G$1:$G$6635,AG5313))</f>
        <v/>
      </c>
      <c r="AJ5313" s="17" t="str">
        <f t="shared" si="3"/>
        <v/>
      </c>
    </row>
    <row r="5314" spans="31:36">
      <c r="AE5314" s="15" t="str">
        <f t="shared" si="0"/>
        <v/>
      </c>
      <c r="AF5314" s="15" t="str">
        <f t="shared" si="1"/>
        <v/>
      </c>
      <c r="AG5314" s="15" t="str">
        <f>IF(OR(AF5314="",AF5314="ERRO_CHAVE"),"",IFERROR(MATCH(AF5314,'Quitados DUPP'!$U$1:$U$6635,0),""))</f>
        <v/>
      </c>
      <c r="AH5314" s="15" t="str">
        <f t="shared" si="2"/>
        <v/>
      </c>
      <c r="AI5314" s="17" t="str">
        <f>IF(AG5314="","",INDEX('Quitados DUPP'!$G$1:$G$6635,AG5314))</f>
        <v/>
      </c>
      <c r="AJ5314" s="17" t="str">
        <f t="shared" si="3"/>
        <v/>
      </c>
    </row>
    <row r="5315" spans="31:36">
      <c r="AE5315" s="15" t="str">
        <f t="shared" si="0"/>
        <v/>
      </c>
      <c r="AF5315" s="15" t="str">
        <f t="shared" si="1"/>
        <v/>
      </c>
      <c r="AG5315" s="15" t="str">
        <f>IF(OR(AF5315="",AF5315="ERRO_CHAVE"),"",IFERROR(MATCH(AF5315,'Quitados DUPP'!$U$1:$U$6635,0),""))</f>
        <v/>
      </c>
      <c r="AH5315" s="15" t="str">
        <f t="shared" si="2"/>
        <v/>
      </c>
      <c r="AI5315" s="17" t="str">
        <f>IF(AG5315="","",INDEX('Quitados DUPP'!$G$1:$G$6635,AG5315))</f>
        <v/>
      </c>
      <c r="AJ5315" s="17" t="str">
        <f t="shared" si="3"/>
        <v/>
      </c>
    </row>
    <row r="5316" spans="31:36">
      <c r="AE5316" s="15" t="str">
        <f t="shared" si="0"/>
        <v/>
      </c>
      <c r="AF5316" s="15" t="str">
        <f t="shared" si="1"/>
        <v/>
      </c>
      <c r="AG5316" s="15" t="str">
        <f>IF(OR(AF5316="",AF5316="ERRO_CHAVE"),"",IFERROR(MATCH(AF5316,'Quitados DUPP'!$U$1:$U$6635,0),""))</f>
        <v/>
      </c>
      <c r="AH5316" s="15" t="str">
        <f t="shared" si="2"/>
        <v/>
      </c>
      <c r="AI5316" s="17" t="str">
        <f>IF(AG5316="","",INDEX('Quitados DUPP'!$G$1:$G$6635,AG5316))</f>
        <v/>
      </c>
      <c r="AJ5316" s="17" t="str">
        <f t="shared" si="3"/>
        <v/>
      </c>
    </row>
    <row r="5317" spans="31:36">
      <c r="AE5317" s="15" t="str">
        <f t="shared" si="0"/>
        <v/>
      </c>
      <c r="AF5317" s="15" t="str">
        <f t="shared" si="1"/>
        <v/>
      </c>
      <c r="AG5317" s="15" t="str">
        <f>IF(OR(AF5317="",AF5317="ERRO_CHAVE"),"",IFERROR(MATCH(AF5317,'Quitados DUPP'!$U$1:$U$6635,0),""))</f>
        <v/>
      </c>
      <c r="AH5317" s="15" t="str">
        <f t="shared" si="2"/>
        <v/>
      </c>
      <c r="AI5317" s="17" t="str">
        <f>IF(AG5317="","",INDEX('Quitados DUPP'!$G$1:$G$6635,AG5317))</f>
        <v/>
      </c>
      <c r="AJ5317" s="17" t="str">
        <f t="shared" si="3"/>
        <v/>
      </c>
    </row>
    <row r="5318" spans="31:36">
      <c r="AE5318" s="15" t="str">
        <f t="shared" si="0"/>
        <v/>
      </c>
      <c r="AF5318" s="15" t="str">
        <f t="shared" si="1"/>
        <v/>
      </c>
      <c r="AG5318" s="15" t="str">
        <f>IF(OR(AF5318="",AF5318="ERRO_CHAVE"),"",IFERROR(MATCH(AF5318,'Quitados DUPP'!$U$1:$U$6635,0),""))</f>
        <v/>
      </c>
      <c r="AH5318" s="15" t="str">
        <f t="shared" si="2"/>
        <v/>
      </c>
      <c r="AI5318" s="17" t="str">
        <f>IF(AG5318="","",INDEX('Quitados DUPP'!$G$1:$G$6635,AG5318))</f>
        <v/>
      </c>
      <c r="AJ5318" s="17" t="str">
        <f t="shared" si="3"/>
        <v/>
      </c>
    </row>
    <row r="5319" spans="31:36">
      <c r="AE5319" s="15" t="str">
        <f t="shared" si="0"/>
        <v/>
      </c>
      <c r="AF5319" s="15" t="str">
        <f t="shared" si="1"/>
        <v/>
      </c>
      <c r="AG5319" s="15" t="str">
        <f>IF(OR(AF5319="",AF5319="ERRO_CHAVE"),"",IFERROR(MATCH(AF5319,'Quitados DUPP'!$U$1:$U$6635,0),""))</f>
        <v/>
      </c>
      <c r="AH5319" s="15" t="str">
        <f t="shared" si="2"/>
        <v/>
      </c>
      <c r="AI5319" s="17" t="str">
        <f>IF(AG5319="","",INDEX('Quitados DUPP'!$G$1:$G$6635,AG5319))</f>
        <v/>
      </c>
      <c r="AJ5319" s="17" t="str">
        <f t="shared" si="3"/>
        <v/>
      </c>
    </row>
    <row r="5320" spans="31:36">
      <c r="AE5320" s="15" t="str">
        <f t="shared" si="0"/>
        <v/>
      </c>
      <c r="AF5320" s="15" t="str">
        <f t="shared" si="1"/>
        <v/>
      </c>
      <c r="AG5320" s="15" t="str">
        <f>IF(OR(AF5320="",AF5320="ERRO_CHAVE"),"",IFERROR(MATCH(AF5320,'Quitados DUPP'!$U$1:$U$6635,0),""))</f>
        <v/>
      </c>
      <c r="AH5320" s="15" t="str">
        <f t="shared" si="2"/>
        <v/>
      </c>
      <c r="AI5320" s="17" t="str">
        <f>IF(AG5320="","",INDEX('Quitados DUPP'!$G$1:$G$6635,AG5320))</f>
        <v/>
      </c>
      <c r="AJ5320" s="17" t="str">
        <f t="shared" si="3"/>
        <v/>
      </c>
    </row>
    <row r="5321" spans="31:36">
      <c r="AE5321" s="15" t="str">
        <f t="shared" si="0"/>
        <v/>
      </c>
      <c r="AF5321" s="15" t="str">
        <f t="shared" si="1"/>
        <v/>
      </c>
      <c r="AG5321" s="15" t="str">
        <f>IF(OR(AF5321="",AF5321="ERRO_CHAVE"),"",IFERROR(MATCH(AF5321,'Quitados DUPP'!$U$1:$U$6635,0),""))</f>
        <v/>
      </c>
      <c r="AH5321" s="15" t="str">
        <f t="shared" si="2"/>
        <v/>
      </c>
      <c r="AI5321" s="17" t="str">
        <f>IF(AG5321="","",INDEX('Quitados DUPP'!$G$1:$G$6635,AG5321))</f>
        <v/>
      </c>
      <c r="AJ5321" s="17" t="str">
        <f t="shared" si="3"/>
        <v/>
      </c>
    </row>
    <row r="5322" spans="31:36">
      <c r="AE5322" s="15" t="str">
        <f t="shared" si="0"/>
        <v/>
      </c>
      <c r="AF5322" s="15" t="str">
        <f t="shared" si="1"/>
        <v/>
      </c>
      <c r="AG5322" s="15" t="str">
        <f>IF(OR(AF5322="",AF5322="ERRO_CHAVE"),"",IFERROR(MATCH(AF5322,'Quitados DUPP'!$U$1:$U$6635,0),""))</f>
        <v/>
      </c>
      <c r="AH5322" s="15" t="str">
        <f t="shared" si="2"/>
        <v/>
      </c>
      <c r="AI5322" s="17" t="str">
        <f>IF(AG5322="","",INDEX('Quitados DUPP'!$G$1:$G$6635,AG5322))</f>
        <v/>
      </c>
      <c r="AJ5322" s="17" t="str">
        <f t="shared" si="3"/>
        <v/>
      </c>
    </row>
    <row r="5323" spans="31:36">
      <c r="AE5323" s="15" t="str">
        <f t="shared" si="0"/>
        <v/>
      </c>
      <c r="AF5323" s="15" t="str">
        <f t="shared" si="1"/>
        <v/>
      </c>
      <c r="AG5323" s="15" t="str">
        <f>IF(OR(AF5323="",AF5323="ERRO_CHAVE"),"",IFERROR(MATCH(AF5323,'Quitados DUPP'!$U$1:$U$6635,0),""))</f>
        <v/>
      </c>
      <c r="AH5323" s="15" t="str">
        <f t="shared" si="2"/>
        <v/>
      </c>
      <c r="AI5323" s="17" t="str">
        <f>IF(AG5323="","",INDEX('Quitados DUPP'!$G$1:$G$6635,AG5323))</f>
        <v/>
      </c>
      <c r="AJ5323" s="17" t="str">
        <f t="shared" si="3"/>
        <v/>
      </c>
    </row>
    <row r="5324" spans="31:36">
      <c r="AE5324" s="15" t="str">
        <f t="shared" si="0"/>
        <v/>
      </c>
      <c r="AF5324" s="15" t="str">
        <f t="shared" si="1"/>
        <v/>
      </c>
      <c r="AG5324" s="15" t="str">
        <f>IF(OR(AF5324="",AF5324="ERRO_CHAVE"),"",IFERROR(MATCH(AF5324,'Quitados DUPP'!$U$1:$U$6635,0),""))</f>
        <v/>
      </c>
      <c r="AH5324" s="15" t="str">
        <f t="shared" si="2"/>
        <v/>
      </c>
      <c r="AI5324" s="17" t="str">
        <f>IF(AG5324="","",INDEX('Quitados DUPP'!$G$1:$G$6635,AG5324))</f>
        <v/>
      </c>
      <c r="AJ5324" s="17" t="str">
        <f t="shared" si="3"/>
        <v/>
      </c>
    </row>
    <row r="5325" spans="31:36">
      <c r="AE5325" s="15" t="str">
        <f t="shared" si="0"/>
        <v/>
      </c>
      <c r="AF5325" s="15" t="str">
        <f t="shared" si="1"/>
        <v/>
      </c>
      <c r="AG5325" s="15" t="str">
        <f>IF(OR(AF5325="",AF5325="ERRO_CHAVE"),"",IFERROR(MATCH(AF5325,'Quitados DUPP'!$U$1:$U$6635,0),""))</f>
        <v/>
      </c>
      <c r="AH5325" s="15" t="str">
        <f t="shared" si="2"/>
        <v/>
      </c>
      <c r="AI5325" s="17" t="str">
        <f>IF(AG5325="","",INDEX('Quitados DUPP'!$G$1:$G$6635,AG5325))</f>
        <v/>
      </c>
      <c r="AJ5325" s="17" t="str">
        <f t="shared" si="3"/>
        <v/>
      </c>
    </row>
    <row r="5326" spans="31:36">
      <c r="AE5326" s="15" t="str">
        <f t="shared" si="0"/>
        <v/>
      </c>
      <c r="AF5326" s="15" t="str">
        <f t="shared" si="1"/>
        <v/>
      </c>
      <c r="AG5326" s="15" t="str">
        <f>IF(OR(AF5326="",AF5326="ERRO_CHAVE"),"",IFERROR(MATCH(AF5326,'Quitados DUPP'!$U$1:$U$6635,0),""))</f>
        <v/>
      </c>
      <c r="AH5326" s="15" t="str">
        <f t="shared" si="2"/>
        <v/>
      </c>
      <c r="AI5326" s="17" t="str">
        <f>IF(AG5326="","",INDEX('Quitados DUPP'!$G$1:$G$6635,AG5326))</f>
        <v/>
      </c>
      <c r="AJ5326" s="17" t="str">
        <f t="shared" si="3"/>
        <v/>
      </c>
    </row>
    <row r="5327" spans="31:36">
      <c r="AE5327" s="15" t="str">
        <f t="shared" si="0"/>
        <v/>
      </c>
      <c r="AF5327" s="15" t="str">
        <f t="shared" si="1"/>
        <v/>
      </c>
      <c r="AG5327" s="15" t="str">
        <f>IF(OR(AF5327="",AF5327="ERRO_CHAVE"),"",IFERROR(MATCH(AF5327,'Quitados DUPP'!$U$1:$U$6635,0),""))</f>
        <v/>
      </c>
      <c r="AH5327" s="15" t="str">
        <f t="shared" si="2"/>
        <v/>
      </c>
      <c r="AI5327" s="17" t="str">
        <f>IF(AG5327="","",INDEX('Quitados DUPP'!$G$1:$G$6635,AG5327))</f>
        <v/>
      </c>
      <c r="AJ5327" s="17" t="str">
        <f t="shared" si="3"/>
        <v/>
      </c>
    </row>
    <row r="5328" spans="31:36">
      <c r="AE5328" s="15" t="str">
        <f t="shared" si="0"/>
        <v/>
      </c>
      <c r="AF5328" s="15" t="str">
        <f t="shared" si="1"/>
        <v/>
      </c>
      <c r="AG5328" s="15" t="str">
        <f>IF(OR(AF5328="",AF5328="ERRO_CHAVE"),"",IFERROR(MATCH(AF5328,'Quitados DUPP'!$U$1:$U$6635,0),""))</f>
        <v/>
      </c>
      <c r="AH5328" s="15" t="str">
        <f t="shared" si="2"/>
        <v/>
      </c>
      <c r="AI5328" s="17" t="str">
        <f>IF(AG5328="","",INDEX('Quitados DUPP'!$G$1:$G$6635,AG5328))</f>
        <v/>
      </c>
      <c r="AJ5328" s="17" t="str">
        <f t="shared" si="3"/>
        <v/>
      </c>
    </row>
    <row r="5329" spans="31:36">
      <c r="AE5329" s="15" t="str">
        <f t="shared" si="0"/>
        <v/>
      </c>
      <c r="AF5329" s="15" t="str">
        <f t="shared" si="1"/>
        <v/>
      </c>
      <c r="AG5329" s="15" t="str">
        <f>IF(OR(AF5329="",AF5329="ERRO_CHAVE"),"",IFERROR(MATCH(AF5329,'Quitados DUPP'!$U$1:$U$6635,0),""))</f>
        <v/>
      </c>
      <c r="AH5329" s="15" t="str">
        <f t="shared" si="2"/>
        <v/>
      </c>
      <c r="AI5329" s="17" t="str">
        <f>IF(AG5329="","",INDEX('Quitados DUPP'!$G$1:$G$6635,AG5329))</f>
        <v/>
      </c>
      <c r="AJ5329" s="17" t="str">
        <f t="shared" si="3"/>
        <v/>
      </c>
    </row>
    <row r="5330" spans="31:36">
      <c r="AE5330" s="15" t="str">
        <f t="shared" si="0"/>
        <v/>
      </c>
      <c r="AF5330" s="15" t="str">
        <f t="shared" si="1"/>
        <v/>
      </c>
      <c r="AG5330" s="15" t="str">
        <f>IF(OR(AF5330="",AF5330="ERRO_CHAVE"),"",IFERROR(MATCH(AF5330,'Quitados DUPP'!$U$1:$U$6635,0),""))</f>
        <v/>
      </c>
      <c r="AH5330" s="15" t="str">
        <f t="shared" si="2"/>
        <v/>
      </c>
      <c r="AI5330" s="17" t="str">
        <f>IF(AG5330="","",INDEX('Quitados DUPP'!$G$1:$G$6635,AG5330))</f>
        <v/>
      </c>
      <c r="AJ5330" s="17" t="str">
        <f t="shared" si="3"/>
        <v/>
      </c>
    </row>
    <row r="5331" spans="31:36">
      <c r="AE5331" s="15" t="str">
        <f t="shared" si="0"/>
        <v/>
      </c>
      <c r="AF5331" s="15" t="str">
        <f t="shared" si="1"/>
        <v/>
      </c>
      <c r="AG5331" s="15" t="str">
        <f>IF(OR(AF5331="",AF5331="ERRO_CHAVE"),"",IFERROR(MATCH(AF5331,'Quitados DUPP'!$U$1:$U$6635,0),""))</f>
        <v/>
      </c>
      <c r="AH5331" s="15" t="str">
        <f t="shared" si="2"/>
        <v/>
      </c>
      <c r="AI5331" s="17" t="str">
        <f>IF(AG5331="","",INDEX('Quitados DUPP'!$G$1:$G$6635,AG5331))</f>
        <v/>
      </c>
      <c r="AJ5331" s="17" t="str">
        <f t="shared" si="3"/>
        <v/>
      </c>
    </row>
    <row r="5332" spans="31:36">
      <c r="AE5332" s="15" t="str">
        <f t="shared" si="0"/>
        <v/>
      </c>
      <c r="AF5332" s="15" t="str">
        <f t="shared" si="1"/>
        <v/>
      </c>
      <c r="AG5332" s="15" t="str">
        <f>IF(OR(AF5332="",AF5332="ERRO_CHAVE"),"",IFERROR(MATCH(AF5332,'Quitados DUPP'!$U$1:$U$6635,0),""))</f>
        <v/>
      </c>
      <c r="AH5332" s="15" t="str">
        <f t="shared" si="2"/>
        <v/>
      </c>
      <c r="AI5332" s="17" t="str">
        <f>IF(AG5332="","",INDEX('Quitados DUPP'!$G$1:$G$6635,AG5332))</f>
        <v/>
      </c>
      <c r="AJ5332" s="17" t="str">
        <f t="shared" si="3"/>
        <v/>
      </c>
    </row>
    <row r="5333" spans="31:36">
      <c r="AE5333" s="15" t="str">
        <f t="shared" si="0"/>
        <v/>
      </c>
      <c r="AF5333" s="15" t="str">
        <f t="shared" si="1"/>
        <v/>
      </c>
      <c r="AG5333" s="15" t="str">
        <f>IF(OR(AF5333="",AF5333="ERRO_CHAVE"),"",IFERROR(MATCH(AF5333,'Quitados DUPP'!$U$1:$U$6635,0),""))</f>
        <v/>
      </c>
      <c r="AH5333" s="15" t="str">
        <f t="shared" si="2"/>
        <v/>
      </c>
      <c r="AI5333" s="17" t="str">
        <f>IF(AG5333="","",INDEX('Quitados DUPP'!$G$1:$G$6635,AG5333))</f>
        <v/>
      </c>
      <c r="AJ5333" s="17" t="str">
        <f t="shared" si="3"/>
        <v/>
      </c>
    </row>
    <row r="5334" spans="31:36">
      <c r="AE5334" s="15" t="str">
        <f t="shared" si="0"/>
        <v/>
      </c>
      <c r="AF5334" s="15" t="str">
        <f t="shared" si="1"/>
        <v/>
      </c>
      <c r="AG5334" s="15" t="str">
        <f>IF(OR(AF5334="",AF5334="ERRO_CHAVE"),"",IFERROR(MATCH(AF5334,'Quitados DUPP'!$U$1:$U$6635,0),""))</f>
        <v/>
      </c>
      <c r="AH5334" s="15" t="str">
        <f t="shared" si="2"/>
        <v/>
      </c>
      <c r="AI5334" s="17" t="str">
        <f>IF(AG5334="","",INDEX('Quitados DUPP'!$G$1:$G$6635,AG5334))</f>
        <v/>
      </c>
      <c r="AJ5334" s="17" t="str">
        <f t="shared" si="3"/>
        <v/>
      </c>
    </row>
    <row r="5335" spans="31:36">
      <c r="AE5335" s="15" t="str">
        <f t="shared" si="0"/>
        <v/>
      </c>
      <c r="AF5335" s="15" t="str">
        <f t="shared" si="1"/>
        <v/>
      </c>
      <c r="AG5335" s="15" t="str">
        <f>IF(OR(AF5335="",AF5335="ERRO_CHAVE"),"",IFERROR(MATCH(AF5335,'Quitados DUPP'!$U$1:$U$6635,0),""))</f>
        <v/>
      </c>
      <c r="AH5335" s="15" t="str">
        <f t="shared" si="2"/>
        <v/>
      </c>
      <c r="AI5335" s="17" t="str">
        <f>IF(AG5335="","",INDEX('Quitados DUPP'!$G$1:$G$6635,AG5335))</f>
        <v/>
      </c>
      <c r="AJ5335" s="17" t="str">
        <f t="shared" si="3"/>
        <v/>
      </c>
    </row>
    <row r="5336" spans="31:36">
      <c r="AE5336" s="15" t="str">
        <f t="shared" si="0"/>
        <v/>
      </c>
      <c r="AF5336" s="15" t="str">
        <f t="shared" si="1"/>
        <v/>
      </c>
      <c r="AG5336" s="15" t="str">
        <f>IF(OR(AF5336="",AF5336="ERRO_CHAVE"),"",IFERROR(MATCH(AF5336,'Quitados DUPP'!$U$1:$U$6635,0),""))</f>
        <v/>
      </c>
      <c r="AH5336" s="15" t="str">
        <f t="shared" si="2"/>
        <v/>
      </c>
      <c r="AI5336" s="17" t="str">
        <f>IF(AG5336="","",INDEX('Quitados DUPP'!$G$1:$G$6635,AG5336))</f>
        <v/>
      </c>
      <c r="AJ5336" s="17" t="str">
        <f t="shared" si="3"/>
        <v/>
      </c>
    </row>
    <row r="5337" spans="31:36">
      <c r="AE5337" s="15" t="str">
        <f t="shared" si="0"/>
        <v/>
      </c>
      <c r="AF5337" s="15" t="str">
        <f t="shared" si="1"/>
        <v/>
      </c>
      <c r="AG5337" s="15" t="str">
        <f>IF(OR(AF5337="",AF5337="ERRO_CHAVE"),"",IFERROR(MATCH(AF5337,'Quitados DUPP'!$U$1:$U$6635,0),""))</f>
        <v/>
      </c>
      <c r="AH5337" s="15" t="str">
        <f t="shared" si="2"/>
        <v/>
      </c>
      <c r="AI5337" s="17" t="str">
        <f>IF(AG5337="","",INDEX('Quitados DUPP'!$G$1:$G$6635,AG5337))</f>
        <v/>
      </c>
      <c r="AJ5337" s="17" t="str">
        <f t="shared" si="3"/>
        <v/>
      </c>
    </row>
    <row r="5338" spans="31:36">
      <c r="AE5338" s="15" t="str">
        <f t="shared" si="0"/>
        <v/>
      </c>
      <c r="AF5338" s="15" t="str">
        <f t="shared" si="1"/>
        <v/>
      </c>
      <c r="AG5338" s="15" t="str">
        <f>IF(OR(AF5338="",AF5338="ERRO_CHAVE"),"",IFERROR(MATCH(AF5338,'Quitados DUPP'!$U$1:$U$6635,0),""))</f>
        <v/>
      </c>
      <c r="AH5338" s="15" t="str">
        <f t="shared" si="2"/>
        <v/>
      </c>
      <c r="AI5338" s="17" t="str">
        <f>IF(AG5338="","",INDEX('Quitados DUPP'!$G$1:$G$6635,AG5338))</f>
        <v/>
      </c>
      <c r="AJ5338" s="17" t="str">
        <f t="shared" si="3"/>
        <v/>
      </c>
    </row>
    <row r="5339" spans="31:36">
      <c r="AE5339" s="15" t="str">
        <f t="shared" si="0"/>
        <v/>
      </c>
      <c r="AF5339" s="15" t="str">
        <f t="shared" si="1"/>
        <v/>
      </c>
      <c r="AG5339" s="15" t="str">
        <f>IF(OR(AF5339="",AF5339="ERRO_CHAVE"),"",IFERROR(MATCH(AF5339,'Quitados DUPP'!$U$1:$U$6635,0),""))</f>
        <v/>
      </c>
      <c r="AH5339" s="15" t="str">
        <f t="shared" si="2"/>
        <v/>
      </c>
      <c r="AI5339" s="17" t="str">
        <f>IF(AG5339="","",INDEX('Quitados DUPP'!$G$1:$G$6635,AG5339))</f>
        <v/>
      </c>
      <c r="AJ5339" s="17" t="str">
        <f t="shared" si="3"/>
        <v/>
      </c>
    </row>
    <row r="5340" spans="31:36">
      <c r="AE5340" s="15" t="str">
        <f t="shared" si="0"/>
        <v/>
      </c>
      <c r="AF5340" s="15" t="str">
        <f t="shared" si="1"/>
        <v/>
      </c>
      <c r="AG5340" s="15" t="str">
        <f>IF(OR(AF5340="",AF5340="ERRO_CHAVE"),"",IFERROR(MATCH(AF5340,'Quitados DUPP'!$U$1:$U$6635,0),""))</f>
        <v/>
      </c>
      <c r="AH5340" s="15" t="str">
        <f t="shared" si="2"/>
        <v/>
      </c>
      <c r="AI5340" s="17" t="str">
        <f>IF(AG5340="","",INDEX('Quitados DUPP'!$G$1:$G$6635,AG5340))</f>
        <v/>
      </c>
      <c r="AJ5340" s="17" t="str">
        <f t="shared" si="3"/>
        <v/>
      </c>
    </row>
    <row r="5341" spans="31:36">
      <c r="AE5341" s="15" t="str">
        <f t="shared" si="0"/>
        <v/>
      </c>
      <c r="AF5341" s="15" t="str">
        <f t="shared" si="1"/>
        <v/>
      </c>
      <c r="AG5341" s="15" t="str">
        <f>IF(OR(AF5341="",AF5341="ERRO_CHAVE"),"",IFERROR(MATCH(AF5341,'Quitados DUPP'!$U$1:$U$6635,0),""))</f>
        <v/>
      </c>
      <c r="AH5341" s="15" t="str">
        <f t="shared" si="2"/>
        <v/>
      </c>
      <c r="AI5341" s="17" t="str">
        <f>IF(AG5341="","",INDEX('Quitados DUPP'!$G$1:$G$6635,AG5341))</f>
        <v/>
      </c>
      <c r="AJ5341" s="17" t="str">
        <f t="shared" si="3"/>
        <v/>
      </c>
    </row>
    <row r="5342" spans="31:36">
      <c r="AE5342" s="15" t="str">
        <f t="shared" si="0"/>
        <v/>
      </c>
      <c r="AF5342" s="15" t="str">
        <f t="shared" si="1"/>
        <v/>
      </c>
      <c r="AG5342" s="15" t="str">
        <f>IF(OR(AF5342="",AF5342="ERRO_CHAVE"),"",IFERROR(MATCH(AF5342,'Quitados DUPP'!$U$1:$U$6635,0),""))</f>
        <v/>
      </c>
      <c r="AH5342" s="15" t="str">
        <f t="shared" si="2"/>
        <v/>
      </c>
      <c r="AI5342" s="17" t="str">
        <f>IF(AG5342="","",INDEX('Quitados DUPP'!$G$1:$G$6635,AG5342))</f>
        <v/>
      </c>
      <c r="AJ5342" s="17" t="str">
        <f t="shared" si="3"/>
        <v/>
      </c>
    </row>
    <row r="5343" spans="31:36">
      <c r="AE5343" s="15" t="str">
        <f t="shared" si="0"/>
        <v/>
      </c>
      <c r="AF5343" s="15" t="str">
        <f t="shared" si="1"/>
        <v/>
      </c>
      <c r="AG5343" s="15" t="str">
        <f>IF(OR(AF5343="",AF5343="ERRO_CHAVE"),"",IFERROR(MATCH(AF5343,'Quitados DUPP'!$U$1:$U$6635,0),""))</f>
        <v/>
      </c>
      <c r="AH5343" s="15" t="str">
        <f t="shared" si="2"/>
        <v/>
      </c>
      <c r="AI5343" s="17" t="str">
        <f>IF(AG5343="","",INDEX('Quitados DUPP'!$G$1:$G$6635,AG5343))</f>
        <v/>
      </c>
      <c r="AJ5343" s="17" t="str">
        <f t="shared" si="3"/>
        <v/>
      </c>
    </row>
    <row r="5344" spans="31:36">
      <c r="AE5344" s="15" t="str">
        <f t="shared" si="0"/>
        <v/>
      </c>
      <c r="AF5344" s="15" t="str">
        <f t="shared" si="1"/>
        <v/>
      </c>
      <c r="AG5344" s="15" t="str">
        <f>IF(OR(AF5344="",AF5344="ERRO_CHAVE"),"",IFERROR(MATCH(AF5344,'Quitados DUPP'!$U$1:$U$6635,0),""))</f>
        <v/>
      </c>
      <c r="AH5344" s="15" t="str">
        <f t="shared" si="2"/>
        <v/>
      </c>
      <c r="AI5344" s="17" t="str">
        <f>IF(AG5344="","",INDEX('Quitados DUPP'!$G$1:$G$6635,AG5344))</f>
        <v/>
      </c>
      <c r="AJ5344" s="17" t="str">
        <f t="shared" si="3"/>
        <v/>
      </c>
    </row>
    <row r="5345" spans="31:36">
      <c r="AE5345" s="15" t="str">
        <f t="shared" si="0"/>
        <v/>
      </c>
      <c r="AF5345" s="15" t="str">
        <f t="shared" si="1"/>
        <v/>
      </c>
      <c r="AG5345" s="15" t="str">
        <f>IF(OR(AF5345="",AF5345="ERRO_CHAVE"),"",IFERROR(MATCH(AF5345,'Quitados DUPP'!$U$1:$U$6635,0),""))</f>
        <v/>
      </c>
      <c r="AH5345" s="15" t="str">
        <f t="shared" si="2"/>
        <v/>
      </c>
      <c r="AI5345" s="17" t="str">
        <f>IF(AG5345="","",INDEX('Quitados DUPP'!$G$1:$G$6635,AG5345))</f>
        <v/>
      </c>
      <c r="AJ5345" s="17" t="str">
        <f t="shared" si="3"/>
        <v/>
      </c>
    </row>
    <row r="5346" spans="31:36">
      <c r="AE5346" s="15" t="str">
        <f t="shared" si="0"/>
        <v/>
      </c>
      <c r="AF5346" s="15" t="str">
        <f t="shared" si="1"/>
        <v/>
      </c>
      <c r="AG5346" s="15" t="str">
        <f>IF(OR(AF5346="",AF5346="ERRO_CHAVE"),"",IFERROR(MATCH(AF5346,'Quitados DUPP'!$U$1:$U$6635,0),""))</f>
        <v/>
      </c>
      <c r="AH5346" s="15" t="str">
        <f t="shared" si="2"/>
        <v/>
      </c>
      <c r="AI5346" s="17" t="str">
        <f>IF(AG5346="","",INDEX('Quitados DUPP'!$G$1:$G$6635,AG5346))</f>
        <v/>
      </c>
      <c r="AJ5346" s="17" t="str">
        <f t="shared" si="3"/>
        <v/>
      </c>
    </row>
    <row r="5347" spans="31:36">
      <c r="AE5347" s="15" t="str">
        <f t="shared" si="0"/>
        <v/>
      </c>
      <c r="AF5347" s="15" t="str">
        <f t="shared" si="1"/>
        <v/>
      </c>
      <c r="AG5347" s="15" t="str">
        <f>IF(OR(AF5347="",AF5347="ERRO_CHAVE"),"",IFERROR(MATCH(AF5347,'Quitados DUPP'!$U$1:$U$6635,0),""))</f>
        <v/>
      </c>
      <c r="AH5347" s="15" t="str">
        <f t="shared" si="2"/>
        <v/>
      </c>
      <c r="AI5347" s="17" t="str">
        <f>IF(AG5347="","",INDEX('Quitados DUPP'!$G$1:$G$6635,AG5347))</f>
        <v/>
      </c>
      <c r="AJ5347" s="17" t="str">
        <f t="shared" si="3"/>
        <v/>
      </c>
    </row>
    <row r="5348" spans="31:36">
      <c r="AE5348" s="15" t="str">
        <f t="shared" si="0"/>
        <v/>
      </c>
      <c r="AF5348" s="15" t="str">
        <f t="shared" si="1"/>
        <v/>
      </c>
      <c r="AG5348" s="15" t="str">
        <f>IF(OR(AF5348="",AF5348="ERRO_CHAVE"),"",IFERROR(MATCH(AF5348,'Quitados DUPP'!$U$1:$U$6635,0),""))</f>
        <v/>
      </c>
      <c r="AH5348" s="15" t="str">
        <f t="shared" si="2"/>
        <v/>
      </c>
      <c r="AI5348" s="17" t="str">
        <f>IF(AG5348="","",INDEX('Quitados DUPP'!$G$1:$G$6635,AG5348))</f>
        <v/>
      </c>
      <c r="AJ5348" s="17" t="str">
        <f t="shared" si="3"/>
        <v/>
      </c>
    </row>
    <row r="5349" spans="31:36">
      <c r="AE5349" s="15" t="str">
        <f t="shared" si="0"/>
        <v/>
      </c>
      <c r="AF5349" s="15" t="str">
        <f t="shared" si="1"/>
        <v/>
      </c>
      <c r="AG5349" s="15" t="str">
        <f>IF(OR(AF5349="",AF5349="ERRO_CHAVE"),"",IFERROR(MATCH(AF5349,'Quitados DUPP'!$U$1:$U$6635,0),""))</f>
        <v/>
      </c>
      <c r="AH5349" s="15" t="str">
        <f t="shared" si="2"/>
        <v/>
      </c>
      <c r="AI5349" s="17" t="str">
        <f>IF(AG5349="","",INDEX('Quitados DUPP'!$G$1:$G$6635,AG5349))</f>
        <v/>
      </c>
      <c r="AJ5349" s="17" t="str">
        <f t="shared" si="3"/>
        <v/>
      </c>
    </row>
    <row r="5350" spans="31:36">
      <c r="AE5350" s="15" t="str">
        <f t="shared" si="0"/>
        <v/>
      </c>
      <c r="AF5350" s="15" t="str">
        <f t="shared" si="1"/>
        <v/>
      </c>
      <c r="AG5350" s="15" t="str">
        <f>IF(OR(AF5350="",AF5350="ERRO_CHAVE"),"",IFERROR(MATCH(AF5350,'Quitados DUPP'!$U$1:$U$6635,0),""))</f>
        <v/>
      </c>
      <c r="AH5350" s="15" t="str">
        <f t="shared" si="2"/>
        <v/>
      </c>
      <c r="AI5350" s="17" t="str">
        <f>IF(AG5350="","",INDEX('Quitados DUPP'!$G$1:$G$6635,AG5350))</f>
        <v/>
      </c>
      <c r="AJ5350" s="17" t="str">
        <f t="shared" si="3"/>
        <v/>
      </c>
    </row>
    <row r="5351" spans="31:36">
      <c r="AE5351" s="15" t="str">
        <f t="shared" si="0"/>
        <v/>
      </c>
      <c r="AF5351" s="15" t="str">
        <f t="shared" si="1"/>
        <v/>
      </c>
      <c r="AG5351" s="15" t="str">
        <f>IF(OR(AF5351="",AF5351="ERRO_CHAVE"),"",IFERROR(MATCH(AF5351,'Quitados DUPP'!$U$1:$U$6635,0),""))</f>
        <v/>
      </c>
      <c r="AH5351" s="15" t="str">
        <f t="shared" si="2"/>
        <v/>
      </c>
      <c r="AI5351" s="17" t="str">
        <f>IF(AG5351="","",INDEX('Quitados DUPP'!$G$1:$G$6635,AG5351))</f>
        <v/>
      </c>
      <c r="AJ5351" s="17" t="str">
        <f t="shared" si="3"/>
        <v/>
      </c>
    </row>
    <row r="5352" spans="31:36">
      <c r="AE5352" s="15" t="str">
        <f t="shared" si="0"/>
        <v/>
      </c>
      <c r="AF5352" s="15" t="str">
        <f t="shared" si="1"/>
        <v/>
      </c>
      <c r="AG5352" s="15" t="str">
        <f>IF(OR(AF5352="",AF5352="ERRO_CHAVE"),"",IFERROR(MATCH(AF5352,'Quitados DUPP'!$U$1:$U$6635,0),""))</f>
        <v/>
      </c>
      <c r="AH5352" s="15" t="str">
        <f t="shared" si="2"/>
        <v/>
      </c>
      <c r="AI5352" s="17" t="str">
        <f>IF(AG5352="","",INDEX('Quitados DUPP'!$G$1:$G$6635,AG5352))</f>
        <v/>
      </c>
      <c r="AJ5352" s="17" t="str">
        <f t="shared" si="3"/>
        <v/>
      </c>
    </row>
    <row r="5353" spans="31:36">
      <c r="AE5353" s="15" t="str">
        <f t="shared" si="0"/>
        <v/>
      </c>
      <c r="AF5353" s="15" t="str">
        <f t="shared" si="1"/>
        <v/>
      </c>
      <c r="AG5353" s="15" t="str">
        <f>IF(OR(AF5353="",AF5353="ERRO_CHAVE"),"",IFERROR(MATCH(AF5353,'Quitados DUPP'!$U$1:$U$6635,0),""))</f>
        <v/>
      </c>
      <c r="AH5353" s="15" t="str">
        <f t="shared" si="2"/>
        <v/>
      </c>
      <c r="AI5353" s="17" t="str">
        <f>IF(AG5353="","",INDEX('Quitados DUPP'!$G$1:$G$6635,AG5353))</f>
        <v/>
      </c>
      <c r="AJ5353" s="17" t="str">
        <f t="shared" si="3"/>
        <v/>
      </c>
    </row>
    <row r="5354" spans="31:36">
      <c r="AE5354" s="15" t="str">
        <f t="shared" si="0"/>
        <v/>
      </c>
      <c r="AF5354" s="15" t="str">
        <f t="shared" si="1"/>
        <v/>
      </c>
      <c r="AG5354" s="15" t="str">
        <f>IF(OR(AF5354="",AF5354="ERRO_CHAVE"),"",IFERROR(MATCH(AF5354,'Quitados DUPP'!$U$1:$U$6635,0),""))</f>
        <v/>
      </c>
      <c r="AH5354" s="15" t="str">
        <f t="shared" si="2"/>
        <v/>
      </c>
      <c r="AI5354" s="17" t="str">
        <f>IF(AG5354="","",INDEX('Quitados DUPP'!$G$1:$G$6635,AG5354))</f>
        <v/>
      </c>
      <c r="AJ5354" s="17" t="str">
        <f t="shared" si="3"/>
        <v/>
      </c>
    </row>
    <row r="5355" spans="31:36">
      <c r="AE5355" s="15" t="str">
        <f t="shared" si="0"/>
        <v/>
      </c>
      <c r="AF5355" s="15" t="str">
        <f t="shared" si="1"/>
        <v/>
      </c>
      <c r="AG5355" s="15" t="str">
        <f>IF(OR(AF5355="",AF5355="ERRO_CHAVE"),"",IFERROR(MATCH(AF5355,'Quitados DUPP'!$U$1:$U$6635,0),""))</f>
        <v/>
      </c>
      <c r="AH5355" s="15" t="str">
        <f t="shared" si="2"/>
        <v/>
      </c>
      <c r="AI5355" s="17" t="str">
        <f>IF(AG5355="","",INDEX('Quitados DUPP'!$G$1:$G$6635,AG5355))</f>
        <v/>
      </c>
      <c r="AJ5355" s="17" t="str">
        <f t="shared" si="3"/>
        <v/>
      </c>
    </row>
    <row r="5356" spans="31:36">
      <c r="AE5356" s="15" t="str">
        <f t="shared" si="0"/>
        <v/>
      </c>
      <c r="AF5356" s="15" t="str">
        <f t="shared" si="1"/>
        <v/>
      </c>
      <c r="AG5356" s="15" t="str">
        <f>IF(OR(AF5356="",AF5356="ERRO_CHAVE"),"",IFERROR(MATCH(AF5356,'Quitados DUPP'!$U$1:$U$6635,0),""))</f>
        <v/>
      </c>
      <c r="AH5356" s="15" t="str">
        <f t="shared" si="2"/>
        <v/>
      </c>
      <c r="AI5356" s="17" t="str">
        <f>IF(AG5356="","",INDEX('Quitados DUPP'!$G$1:$G$6635,AG5356))</f>
        <v/>
      </c>
      <c r="AJ5356" s="17" t="str">
        <f t="shared" si="3"/>
        <v/>
      </c>
    </row>
    <row r="5357" spans="31:36">
      <c r="AE5357" s="15" t="str">
        <f t="shared" si="0"/>
        <v/>
      </c>
      <c r="AF5357" s="15" t="str">
        <f t="shared" si="1"/>
        <v/>
      </c>
      <c r="AG5357" s="15" t="str">
        <f>IF(OR(AF5357="",AF5357="ERRO_CHAVE"),"",IFERROR(MATCH(AF5357,'Quitados DUPP'!$U$1:$U$6635,0),""))</f>
        <v/>
      </c>
      <c r="AH5357" s="15" t="str">
        <f t="shared" si="2"/>
        <v/>
      </c>
      <c r="AI5357" s="17" t="str">
        <f>IF(AG5357="","",INDEX('Quitados DUPP'!$G$1:$G$6635,AG5357))</f>
        <v/>
      </c>
      <c r="AJ5357" s="17" t="str">
        <f t="shared" si="3"/>
        <v/>
      </c>
    </row>
    <row r="5358" spans="31:36">
      <c r="AE5358" s="15" t="str">
        <f t="shared" si="0"/>
        <v/>
      </c>
      <c r="AF5358" s="15" t="str">
        <f t="shared" si="1"/>
        <v/>
      </c>
      <c r="AG5358" s="15" t="str">
        <f>IF(OR(AF5358="",AF5358="ERRO_CHAVE"),"",IFERROR(MATCH(AF5358,'Quitados DUPP'!$U$1:$U$6635,0),""))</f>
        <v/>
      </c>
      <c r="AH5358" s="15" t="str">
        <f t="shared" si="2"/>
        <v/>
      </c>
      <c r="AI5358" s="17" t="str">
        <f>IF(AG5358="","",INDEX('Quitados DUPP'!$G$1:$G$6635,AG5358))</f>
        <v/>
      </c>
      <c r="AJ5358" s="17" t="str">
        <f t="shared" si="3"/>
        <v/>
      </c>
    </row>
    <row r="5359" spans="31:36">
      <c r="AE5359" s="15" t="str">
        <f t="shared" si="0"/>
        <v/>
      </c>
      <c r="AF5359" s="15" t="str">
        <f t="shared" si="1"/>
        <v/>
      </c>
      <c r="AG5359" s="15" t="str">
        <f>IF(OR(AF5359="",AF5359="ERRO_CHAVE"),"",IFERROR(MATCH(AF5359,'Quitados DUPP'!$U$1:$U$6635,0),""))</f>
        <v/>
      </c>
      <c r="AH5359" s="15" t="str">
        <f t="shared" si="2"/>
        <v/>
      </c>
      <c r="AI5359" s="17" t="str">
        <f>IF(AG5359="","",INDEX('Quitados DUPP'!$G$1:$G$6635,AG5359))</f>
        <v/>
      </c>
      <c r="AJ5359" s="17" t="str">
        <f t="shared" si="3"/>
        <v/>
      </c>
    </row>
    <row r="5360" spans="31:36">
      <c r="AE5360" s="15" t="str">
        <f t="shared" si="0"/>
        <v/>
      </c>
      <c r="AF5360" s="15" t="str">
        <f t="shared" si="1"/>
        <v/>
      </c>
      <c r="AG5360" s="15" t="str">
        <f>IF(OR(AF5360="",AF5360="ERRO_CHAVE"),"",IFERROR(MATCH(AF5360,'Quitados DUPP'!$U$1:$U$6635,0),""))</f>
        <v/>
      </c>
      <c r="AH5360" s="15" t="str">
        <f t="shared" si="2"/>
        <v/>
      </c>
      <c r="AI5360" s="17" t="str">
        <f>IF(AG5360="","",INDEX('Quitados DUPP'!$G$1:$G$6635,AG5360))</f>
        <v/>
      </c>
      <c r="AJ5360" s="17" t="str">
        <f t="shared" si="3"/>
        <v/>
      </c>
    </row>
    <row r="5361" spans="31:36">
      <c r="AE5361" s="15" t="str">
        <f t="shared" si="0"/>
        <v/>
      </c>
      <c r="AF5361" s="15" t="str">
        <f t="shared" si="1"/>
        <v/>
      </c>
      <c r="AG5361" s="15" t="str">
        <f>IF(OR(AF5361="",AF5361="ERRO_CHAVE"),"",IFERROR(MATCH(AF5361,'Quitados DUPP'!$U$1:$U$6635,0),""))</f>
        <v/>
      </c>
      <c r="AH5361" s="15" t="str">
        <f t="shared" si="2"/>
        <v/>
      </c>
      <c r="AI5361" s="17" t="str">
        <f>IF(AG5361="","",INDEX('Quitados DUPP'!$G$1:$G$6635,AG5361))</f>
        <v/>
      </c>
      <c r="AJ5361" s="17" t="str">
        <f t="shared" si="3"/>
        <v/>
      </c>
    </row>
    <row r="5362" spans="31:36">
      <c r="AE5362" s="15" t="str">
        <f t="shared" si="0"/>
        <v/>
      </c>
      <c r="AF5362" s="15" t="str">
        <f t="shared" si="1"/>
        <v/>
      </c>
      <c r="AG5362" s="15" t="str">
        <f>IF(OR(AF5362="",AF5362="ERRO_CHAVE"),"",IFERROR(MATCH(AF5362,'Quitados DUPP'!$U$1:$U$6635,0),""))</f>
        <v/>
      </c>
      <c r="AH5362" s="15" t="str">
        <f t="shared" si="2"/>
        <v/>
      </c>
      <c r="AI5362" s="17" t="str">
        <f>IF(AG5362="","",INDEX('Quitados DUPP'!$G$1:$G$6635,AG5362))</f>
        <v/>
      </c>
      <c r="AJ5362" s="17" t="str">
        <f t="shared" si="3"/>
        <v/>
      </c>
    </row>
    <row r="5363" spans="31:36">
      <c r="AE5363" s="15" t="str">
        <f t="shared" si="0"/>
        <v/>
      </c>
      <c r="AF5363" s="15" t="str">
        <f t="shared" si="1"/>
        <v/>
      </c>
      <c r="AG5363" s="15" t="str">
        <f>IF(OR(AF5363="",AF5363="ERRO_CHAVE"),"",IFERROR(MATCH(AF5363,'Quitados DUPP'!$U$1:$U$6635,0),""))</f>
        <v/>
      </c>
      <c r="AH5363" s="15" t="str">
        <f t="shared" si="2"/>
        <v/>
      </c>
      <c r="AI5363" s="17" t="str">
        <f>IF(AG5363="","",INDEX('Quitados DUPP'!$G$1:$G$6635,AG5363))</f>
        <v/>
      </c>
      <c r="AJ5363" s="17" t="str">
        <f t="shared" si="3"/>
        <v/>
      </c>
    </row>
    <row r="5364" spans="31:36">
      <c r="AE5364" s="15" t="str">
        <f t="shared" si="0"/>
        <v/>
      </c>
      <c r="AF5364" s="15" t="str">
        <f t="shared" si="1"/>
        <v/>
      </c>
      <c r="AG5364" s="15" t="str">
        <f>IF(OR(AF5364="",AF5364="ERRO_CHAVE"),"",IFERROR(MATCH(AF5364,'Quitados DUPP'!$U$1:$U$6635,0),""))</f>
        <v/>
      </c>
      <c r="AH5364" s="15" t="str">
        <f t="shared" si="2"/>
        <v/>
      </c>
      <c r="AI5364" s="17" t="str">
        <f>IF(AG5364="","",INDEX('Quitados DUPP'!$G$1:$G$6635,AG5364))</f>
        <v/>
      </c>
      <c r="AJ5364" s="17" t="str">
        <f t="shared" si="3"/>
        <v/>
      </c>
    </row>
    <row r="5365" spans="31:36">
      <c r="AE5365" s="15" t="str">
        <f t="shared" si="0"/>
        <v/>
      </c>
      <c r="AF5365" s="15" t="str">
        <f t="shared" si="1"/>
        <v/>
      </c>
      <c r="AG5365" s="15" t="str">
        <f>IF(OR(AF5365="",AF5365="ERRO_CHAVE"),"",IFERROR(MATCH(AF5365,'Quitados DUPP'!$U$1:$U$6635,0),""))</f>
        <v/>
      </c>
      <c r="AH5365" s="15" t="str">
        <f t="shared" si="2"/>
        <v/>
      </c>
      <c r="AI5365" s="17" t="str">
        <f>IF(AG5365="","",INDEX('Quitados DUPP'!$G$1:$G$6635,AG5365))</f>
        <v/>
      </c>
      <c r="AJ5365" s="17" t="str">
        <f t="shared" si="3"/>
        <v/>
      </c>
    </row>
    <row r="5366" spans="31:36">
      <c r="AE5366" s="15" t="str">
        <f t="shared" si="0"/>
        <v/>
      </c>
      <c r="AF5366" s="15" t="str">
        <f t="shared" si="1"/>
        <v/>
      </c>
      <c r="AG5366" s="15" t="str">
        <f>IF(OR(AF5366="",AF5366="ERRO_CHAVE"),"",IFERROR(MATCH(AF5366,'Quitados DUPP'!$U$1:$U$6635,0),""))</f>
        <v/>
      </c>
      <c r="AH5366" s="15" t="str">
        <f t="shared" si="2"/>
        <v/>
      </c>
      <c r="AI5366" s="17" t="str">
        <f>IF(AG5366="","",INDEX('Quitados DUPP'!$G$1:$G$6635,AG5366))</f>
        <v/>
      </c>
      <c r="AJ5366" s="17" t="str">
        <f t="shared" si="3"/>
        <v/>
      </c>
    </row>
    <row r="5367" spans="31:36">
      <c r="AE5367" s="15" t="str">
        <f t="shared" si="0"/>
        <v/>
      </c>
      <c r="AF5367" s="15" t="str">
        <f t="shared" si="1"/>
        <v/>
      </c>
      <c r="AG5367" s="15" t="str">
        <f>IF(OR(AF5367="",AF5367="ERRO_CHAVE"),"",IFERROR(MATCH(AF5367,'Quitados DUPP'!$U$1:$U$6635,0),""))</f>
        <v/>
      </c>
      <c r="AH5367" s="15" t="str">
        <f t="shared" si="2"/>
        <v/>
      </c>
      <c r="AI5367" s="17" t="str">
        <f>IF(AG5367="","",INDEX('Quitados DUPP'!$G$1:$G$6635,AG5367))</f>
        <v/>
      </c>
      <c r="AJ5367" s="17" t="str">
        <f t="shared" si="3"/>
        <v/>
      </c>
    </row>
    <row r="5368" spans="31:36">
      <c r="AE5368" s="15" t="str">
        <f t="shared" si="0"/>
        <v/>
      </c>
      <c r="AF5368" s="15" t="str">
        <f t="shared" si="1"/>
        <v/>
      </c>
      <c r="AG5368" s="15" t="str">
        <f>IF(OR(AF5368="",AF5368="ERRO_CHAVE"),"",IFERROR(MATCH(AF5368,'Quitados DUPP'!$U$1:$U$6635,0),""))</f>
        <v/>
      </c>
      <c r="AH5368" s="15" t="str">
        <f t="shared" si="2"/>
        <v/>
      </c>
      <c r="AI5368" s="17" t="str">
        <f>IF(AG5368="","",INDEX('Quitados DUPP'!$G$1:$G$6635,AG5368))</f>
        <v/>
      </c>
      <c r="AJ5368" s="17" t="str">
        <f t="shared" si="3"/>
        <v/>
      </c>
    </row>
    <row r="5369" spans="31:36">
      <c r="AE5369" s="15" t="str">
        <f t="shared" si="0"/>
        <v/>
      </c>
      <c r="AF5369" s="15" t="str">
        <f t="shared" si="1"/>
        <v/>
      </c>
      <c r="AG5369" s="15" t="str">
        <f>IF(OR(AF5369="",AF5369="ERRO_CHAVE"),"",IFERROR(MATCH(AF5369,'Quitados DUPP'!$U$1:$U$6635,0),""))</f>
        <v/>
      </c>
      <c r="AH5369" s="15" t="str">
        <f t="shared" si="2"/>
        <v/>
      </c>
      <c r="AI5369" s="17" t="str">
        <f>IF(AG5369="","",INDEX('Quitados DUPP'!$G$1:$G$6635,AG5369))</f>
        <v/>
      </c>
      <c r="AJ5369" s="17" t="str">
        <f t="shared" si="3"/>
        <v/>
      </c>
    </row>
    <row r="5370" spans="31:36">
      <c r="AE5370" s="15" t="str">
        <f t="shared" si="0"/>
        <v/>
      </c>
      <c r="AF5370" s="15" t="str">
        <f t="shared" si="1"/>
        <v/>
      </c>
      <c r="AG5370" s="15" t="str">
        <f>IF(OR(AF5370="",AF5370="ERRO_CHAVE"),"",IFERROR(MATCH(AF5370,'Quitados DUPP'!$U$1:$U$6635,0),""))</f>
        <v/>
      </c>
      <c r="AH5370" s="15" t="str">
        <f t="shared" si="2"/>
        <v/>
      </c>
      <c r="AI5370" s="17" t="str">
        <f>IF(AG5370="","",INDEX('Quitados DUPP'!$G$1:$G$6635,AG5370))</f>
        <v/>
      </c>
      <c r="AJ5370" s="17" t="str">
        <f t="shared" si="3"/>
        <v/>
      </c>
    </row>
    <row r="5371" spans="31:36">
      <c r="AE5371" s="15" t="str">
        <f t="shared" si="0"/>
        <v/>
      </c>
      <c r="AF5371" s="15" t="str">
        <f t="shared" si="1"/>
        <v/>
      </c>
      <c r="AG5371" s="15" t="str">
        <f>IF(OR(AF5371="",AF5371="ERRO_CHAVE"),"",IFERROR(MATCH(AF5371,'Quitados DUPP'!$U$1:$U$6635,0),""))</f>
        <v/>
      </c>
      <c r="AH5371" s="15" t="str">
        <f t="shared" si="2"/>
        <v/>
      </c>
      <c r="AI5371" s="17" t="str">
        <f>IF(AG5371="","",INDEX('Quitados DUPP'!$G$1:$G$6635,AG5371))</f>
        <v/>
      </c>
      <c r="AJ5371" s="17" t="str">
        <f t="shared" si="3"/>
        <v/>
      </c>
    </row>
    <row r="5372" spans="31:36">
      <c r="AE5372" s="15" t="str">
        <f t="shared" si="0"/>
        <v/>
      </c>
      <c r="AF5372" s="15" t="str">
        <f t="shared" si="1"/>
        <v/>
      </c>
      <c r="AG5372" s="15" t="str">
        <f>IF(OR(AF5372="",AF5372="ERRO_CHAVE"),"",IFERROR(MATCH(AF5372,'Quitados DUPP'!$U$1:$U$6635,0),""))</f>
        <v/>
      </c>
      <c r="AH5372" s="15" t="str">
        <f t="shared" si="2"/>
        <v/>
      </c>
      <c r="AI5372" s="17" t="str">
        <f>IF(AG5372="","",INDEX('Quitados DUPP'!$G$1:$G$6635,AG5372))</f>
        <v/>
      </c>
      <c r="AJ5372" s="17" t="str">
        <f t="shared" si="3"/>
        <v/>
      </c>
    </row>
    <row r="5373" spans="31:36">
      <c r="AE5373" s="15" t="str">
        <f t="shared" si="0"/>
        <v/>
      </c>
      <c r="AF5373" s="15" t="str">
        <f t="shared" si="1"/>
        <v/>
      </c>
      <c r="AG5373" s="15" t="str">
        <f>IF(OR(AF5373="",AF5373="ERRO_CHAVE"),"",IFERROR(MATCH(AF5373,'Quitados DUPP'!$U$1:$U$6635,0),""))</f>
        <v/>
      </c>
      <c r="AH5373" s="15" t="str">
        <f t="shared" si="2"/>
        <v/>
      </c>
      <c r="AI5373" s="17" t="str">
        <f>IF(AG5373="","",INDEX('Quitados DUPP'!$G$1:$G$6635,AG5373))</f>
        <v/>
      </c>
      <c r="AJ5373" s="17" t="str">
        <f t="shared" si="3"/>
        <v/>
      </c>
    </row>
    <row r="5374" spans="31:36">
      <c r="AE5374" s="15" t="str">
        <f t="shared" si="0"/>
        <v/>
      </c>
      <c r="AF5374" s="15" t="str">
        <f t="shared" si="1"/>
        <v/>
      </c>
      <c r="AG5374" s="15" t="str">
        <f>IF(OR(AF5374="",AF5374="ERRO_CHAVE"),"",IFERROR(MATCH(AF5374,'Quitados DUPP'!$U$1:$U$6635,0),""))</f>
        <v/>
      </c>
      <c r="AH5374" s="15" t="str">
        <f t="shared" si="2"/>
        <v/>
      </c>
      <c r="AI5374" s="17" t="str">
        <f>IF(AG5374="","",INDEX('Quitados DUPP'!$G$1:$G$6635,AG5374))</f>
        <v/>
      </c>
      <c r="AJ5374" s="17" t="str">
        <f t="shared" si="3"/>
        <v/>
      </c>
    </row>
    <row r="5375" spans="31:36">
      <c r="AE5375" s="15" t="str">
        <f t="shared" si="0"/>
        <v/>
      </c>
      <c r="AF5375" s="15" t="str">
        <f t="shared" si="1"/>
        <v/>
      </c>
      <c r="AG5375" s="15" t="str">
        <f>IF(OR(AF5375="",AF5375="ERRO_CHAVE"),"",IFERROR(MATCH(AF5375,'Quitados DUPP'!$U$1:$U$6635,0),""))</f>
        <v/>
      </c>
      <c r="AH5375" s="15" t="str">
        <f t="shared" si="2"/>
        <v/>
      </c>
      <c r="AI5375" s="17" t="str">
        <f>IF(AG5375="","",INDEX('Quitados DUPP'!$G$1:$G$6635,AG5375))</f>
        <v/>
      </c>
      <c r="AJ5375" s="17" t="str">
        <f t="shared" si="3"/>
        <v/>
      </c>
    </row>
    <row r="5376" spans="31:36">
      <c r="AE5376" s="15" t="str">
        <f t="shared" si="0"/>
        <v/>
      </c>
      <c r="AF5376" s="15" t="str">
        <f t="shared" si="1"/>
        <v/>
      </c>
      <c r="AG5376" s="15" t="str">
        <f>IF(OR(AF5376="",AF5376="ERRO_CHAVE"),"",IFERROR(MATCH(AF5376,'Quitados DUPP'!$U$1:$U$6635,0),""))</f>
        <v/>
      </c>
      <c r="AH5376" s="15" t="str">
        <f t="shared" si="2"/>
        <v/>
      </c>
      <c r="AI5376" s="17" t="str">
        <f>IF(AG5376="","",INDEX('Quitados DUPP'!$G$1:$G$6635,AG5376))</f>
        <v/>
      </c>
      <c r="AJ5376" s="17" t="str">
        <f t="shared" si="3"/>
        <v/>
      </c>
    </row>
    <row r="5377" spans="31:36">
      <c r="AE5377" s="15" t="str">
        <f t="shared" si="0"/>
        <v/>
      </c>
      <c r="AF5377" s="15" t="str">
        <f t="shared" si="1"/>
        <v/>
      </c>
      <c r="AG5377" s="15" t="str">
        <f>IF(OR(AF5377="",AF5377="ERRO_CHAVE"),"",IFERROR(MATCH(AF5377,'Quitados DUPP'!$U$1:$U$6635,0),""))</f>
        <v/>
      </c>
      <c r="AH5377" s="15" t="str">
        <f t="shared" si="2"/>
        <v/>
      </c>
      <c r="AI5377" s="17" t="str">
        <f>IF(AG5377="","",INDEX('Quitados DUPP'!$G$1:$G$6635,AG5377))</f>
        <v/>
      </c>
      <c r="AJ5377" s="17" t="str">
        <f t="shared" si="3"/>
        <v/>
      </c>
    </row>
    <row r="5378" spans="31:36">
      <c r="AE5378" s="15" t="str">
        <f t="shared" si="0"/>
        <v/>
      </c>
      <c r="AF5378" s="15" t="str">
        <f t="shared" si="1"/>
        <v/>
      </c>
      <c r="AG5378" s="15" t="str">
        <f>IF(OR(AF5378="",AF5378="ERRO_CHAVE"),"",IFERROR(MATCH(AF5378,'Quitados DUPP'!$U$1:$U$6635,0),""))</f>
        <v/>
      </c>
      <c r="AH5378" s="15" t="str">
        <f t="shared" si="2"/>
        <v/>
      </c>
      <c r="AI5378" s="17" t="str">
        <f>IF(AG5378="","",INDEX('Quitados DUPP'!$G$1:$G$6635,AG5378))</f>
        <v/>
      </c>
      <c r="AJ5378" s="17" t="str">
        <f t="shared" si="3"/>
        <v/>
      </c>
    </row>
    <row r="5379" spans="31:36">
      <c r="AE5379" s="15" t="str">
        <f t="shared" si="0"/>
        <v/>
      </c>
      <c r="AF5379" s="15" t="str">
        <f t="shared" si="1"/>
        <v/>
      </c>
      <c r="AG5379" s="15" t="str">
        <f>IF(OR(AF5379="",AF5379="ERRO_CHAVE"),"",IFERROR(MATCH(AF5379,'Quitados DUPP'!$U$1:$U$6635,0),""))</f>
        <v/>
      </c>
      <c r="AH5379" s="15" t="str">
        <f t="shared" si="2"/>
        <v/>
      </c>
      <c r="AI5379" s="17" t="str">
        <f>IF(AG5379="","",INDEX('Quitados DUPP'!$G$1:$G$6635,AG5379))</f>
        <v/>
      </c>
      <c r="AJ5379" s="17" t="str">
        <f t="shared" si="3"/>
        <v/>
      </c>
    </row>
    <row r="5380" spans="31:36">
      <c r="AE5380" s="15" t="str">
        <f t="shared" si="0"/>
        <v/>
      </c>
      <c r="AF5380" s="15" t="str">
        <f t="shared" si="1"/>
        <v/>
      </c>
      <c r="AG5380" s="15" t="str">
        <f>IF(OR(AF5380="",AF5380="ERRO_CHAVE"),"",IFERROR(MATCH(AF5380,'Quitados DUPP'!$U$1:$U$6635,0),""))</f>
        <v/>
      </c>
      <c r="AH5380" s="15" t="str">
        <f t="shared" si="2"/>
        <v/>
      </c>
      <c r="AI5380" s="17" t="str">
        <f>IF(AG5380="","",INDEX('Quitados DUPP'!$G$1:$G$6635,AG5380))</f>
        <v/>
      </c>
      <c r="AJ5380" s="17" t="str">
        <f t="shared" si="3"/>
        <v/>
      </c>
    </row>
    <row r="5381" spans="31:36">
      <c r="AE5381" s="15" t="str">
        <f t="shared" si="0"/>
        <v/>
      </c>
      <c r="AF5381" s="15" t="str">
        <f t="shared" si="1"/>
        <v/>
      </c>
      <c r="AG5381" s="15" t="str">
        <f>IF(OR(AF5381="",AF5381="ERRO_CHAVE"),"",IFERROR(MATCH(AF5381,'Quitados DUPP'!$U$1:$U$6635,0),""))</f>
        <v/>
      </c>
      <c r="AH5381" s="15" t="str">
        <f t="shared" si="2"/>
        <v/>
      </c>
      <c r="AI5381" s="17" t="str">
        <f>IF(AG5381="","",INDEX('Quitados DUPP'!$G$1:$G$6635,AG5381))</f>
        <v/>
      </c>
      <c r="AJ5381" s="17" t="str">
        <f t="shared" si="3"/>
        <v/>
      </c>
    </row>
    <row r="5382" spans="31:36">
      <c r="AE5382" s="15" t="str">
        <f t="shared" si="0"/>
        <v/>
      </c>
      <c r="AF5382" s="15" t="str">
        <f t="shared" si="1"/>
        <v/>
      </c>
      <c r="AG5382" s="15" t="str">
        <f>IF(OR(AF5382="",AF5382="ERRO_CHAVE"),"",IFERROR(MATCH(AF5382,'Quitados DUPP'!$U$1:$U$6635,0),""))</f>
        <v/>
      </c>
      <c r="AH5382" s="15" t="str">
        <f t="shared" si="2"/>
        <v/>
      </c>
      <c r="AI5382" s="17" t="str">
        <f>IF(AG5382="","",INDEX('Quitados DUPP'!$G$1:$G$6635,AG5382))</f>
        <v/>
      </c>
      <c r="AJ5382" s="17" t="str">
        <f t="shared" si="3"/>
        <v/>
      </c>
    </row>
    <row r="5383" spans="31:36">
      <c r="AE5383" s="15" t="str">
        <f t="shared" si="0"/>
        <v/>
      </c>
      <c r="AF5383" s="15" t="str">
        <f t="shared" si="1"/>
        <v/>
      </c>
      <c r="AG5383" s="15" t="str">
        <f>IF(OR(AF5383="",AF5383="ERRO_CHAVE"),"",IFERROR(MATCH(AF5383,'Quitados DUPP'!$U$1:$U$6635,0),""))</f>
        <v/>
      </c>
      <c r="AH5383" s="15" t="str">
        <f t="shared" si="2"/>
        <v/>
      </c>
      <c r="AI5383" s="17" t="str">
        <f>IF(AG5383="","",INDEX('Quitados DUPP'!$G$1:$G$6635,AG5383))</f>
        <v/>
      </c>
      <c r="AJ5383" s="17" t="str">
        <f t="shared" si="3"/>
        <v/>
      </c>
    </row>
    <row r="5384" spans="31:36">
      <c r="AE5384" s="15" t="str">
        <f t="shared" si="0"/>
        <v/>
      </c>
      <c r="AF5384" s="15" t="str">
        <f t="shared" si="1"/>
        <v/>
      </c>
      <c r="AG5384" s="15" t="str">
        <f>IF(OR(AF5384="",AF5384="ERRO_CHAVE"),"",IFERROR(MATCH(AF5384,'Quitados DUPP'!$U$1:$U$6635,0),""))</f>
        <v/>
      </c>
      <c r="AH5384" s="15" t="str">
        <f t="shared" si="2"/>
        <v/>
      </c>
      <c r="AI5384" s="17" t="str">
        <f>IF(AG5384="","",INDEX('Quitados DUPP'!$G$1:$G$6635,AG5384))</f>
        <v/>
      </c>
      <c r="AJ5384" s="17" t="str">
        <f t="shared" si="3"/>
        <v/>
      </c>
    </row>
    <row r="5385" spans="31:36">
      <c r="AE5385" s="15" t="str">
        <f t="shared" si="0"/>
        <v/>
      </c>
      <c r="AF5385" s="15" t="str">
        <f t="shared" si="1"/>
        <v/>
      </c>
      <c r="AG5385" s="15" t="str">
        <f>IF(OR(AF5385="",AF5385="ERRO_CHAVE"),"",IFERROR(MATCH(AF5385,'Quitados DUPP'!$U$1:$U$6635,0),""))</f>
        <v/>
      </c>
      <c r="AH5385" s="15" t="str">
        <f t="shared" si="2"/>
        <v/>
      </c>
      <c r="AI5385" s="17" t="str">
        <f>IF(AG5385="","",INDEX('Quitados DUPP'!$G$1:$G$6635,AG5385))</f>
        <v/>
      </c>
      <c r="AJ5385" s="17" t="str">
        <f t="shared" si="3"/>
        <v/>
      </c>
    </row>
    <row r="5386" spans="31:36">
      <c r="AE5386" s="15" t="str">
        <f t="shared" si="0"/>
        <v/>
      </c>
      <c r="AF5386" s="15" t="str">
        <f t="shared" si="1"/>
        <v/>
      </c>
      <c r="AG5386" s="15" t="str">
        <f>IF(OR(AF5386="",AF5386="ERRO_CHAVE"),"",IFERROR(MATCH(AF5386,'Quitados DUPP'!$U$1:$U$6635,0),""))</f>
        <v/>
      </c>
      <c r="AH5386" s="15" t="str">
        <f t="shared" si="2"/>
        <v/>
      </c>
      <c r="AI5386" s="17" t="str">
        <f>IF(AG5386="","",INDEX('Quitados DUPP'!$G$1:$G$6635,AG5386))</f>
        <v/>
      </c>
      <c r="AJ5386" s="17" t="str">
        <f t="shared" si="3"/>
        <v/>
      </c>
    </row>
    <row r="5387" spans="31:36">
      <c r="AE5387" s="15" t="str">
        <f t="shared" si="0"/>
        <v/>
      </c>
      <c r="AF5387" s="15" t="str">
        <f t="shared" si="1"/>
        <v/>
      </c>
      <c r="AG5387" s="15" t="str">
        <f>IF(OR(AF5387="",AF5387="ERRO_CHAVE"),"",IFERROR(MATCH(AF5387,'Quitados DUPP'!$U$1:$U$6635,0),""))</f>
        <v/>
      </c>
      <c r="AH5387" s="15" t="str">
        <f t="shared" si="2"/>
        <v/>
      </c>
      <c r="AI5387" s="17" t="str">
        <f>IF(AG5387="","",INDEX('Quitados DUPP'!$G$1:$G$6635,AG5387))</f>
        <v/>
      </c>
      <c r="AJ5387" s="17" t="str">
        <f t="shared" si="3"/>
        <v/>
      </c>
    </row>
    <row r="5388" spans="31:36">
      <c r="AE5388" s="15" t="str">
        <f t="shared" si="0"/>
        <v/>
      </c>
      <c r="AF5388" s="15" t="str">
        <f t="shared" si="1"/>
        <v/>
      </c>
      <c r="AG5388" s="15" t="str">
        <f>IF(OR(AF5388="",AF5388="ERRO_CHAVE"),"",IFERROR(MATCH(AF5388,'Quitados DUPP'!$U$1:$U$6635,0),""))</f>
        <v/>
      </c>
      <c r="AH5388" s="15" t="str">
        <f t="shared" si="2"/>
        <v/>
      </c>
      <c r="AI5388" s="17" t="str">
        <f>IF(AG5388="","",INDEX('Quitados DUPP'!$G$1:$G$6635,AG5388))</f>
        <v/>
      </c>
      <c r="AJ5388" s="17" t="str">
        <f t="shared" si="3"/>
        <v/>
      </c>
    </row>
    <row r="5389" spans="31:36">
      <c r="AE5389" s="15" t="str">
        <f t="shared" si="0"/>
        <v/>
      </c>
      <c r="AF5389" s="15" t="str">
        <f t="shared" si="1"/>
        <v/>
      </c>
      <c r="AG5389" s="15" t="str">
        <f>IF(OR(AF5389="",AF5389="ERRO_CHAVE"),"",IFERROR(MATCH(AF5389,'Quitados DUPP'!$U$1:$U$6635,0),""))</f>
        <v/>
      </c>
      <c r="AH5389" s="15" t="str">
        <f t="shared" si="2"/>
        <v/>
      </c>
      <c r="AI5389" s="17" t="str">
        <f>IF(AG5389="","",INDEX('Quitados DUPP'!$G$1:$G$6635,AG5389))</f>
        <v/>
      </c>
      <c r="AJ5389" s="17" t="str">
        <f t="shared" si="3"/>
        <v/>
      </c>
    </row>
    <row r="5390" spans="31:36">
      <c r="AE5390" s="15" t="str">
        <f t="shared" si="0"/>
        <v/>
      </c>
      <c r="AF5390" s="15" t="str">
        <f t="shared" si="1"/>
        <v/>
      </c>
      <c r="AG5390" s="15" t="str">
        <f>IF(OR(AF5390="",AF5390="ERRO_CHAVE"),"",IFERROR(MATCH(AF5390,'Quitados DUPP'!$U$1:$U$6635,0),""))</f>
        <v/>
      </c>
      <c r="AH5390" s="15" t="str">
        <f t="shared" si="2"/>
        <v/>
      </c>
      <c r="AI5390" s="17" t="str">
        <f>IF(AG5390="","",INDEX('Quitados DUPP'!$G$1:$G$6635,AG5390))</f>
        <v/>
      </c>
      <c r="AJ5390" s="17" t="str">
        <f t="shared" si="3"/>
        <v/>
      </c>
    </row>
    <row r="5391" spans="31:36">
      <c r="AE5391" s="15" t="str">
        <f t="shared" si="0"/>
        <v/>
      </c>
      <c r="AF5391" s="15" t="str">
        <f t="shared" si="1"/>
        <v/>
      </c>
      <c r="AG5391" s="15" t="str">
        <f>IF(OR(AF5391="",AF5391="ERRO_CHAVE"),"",IFERROR(MATCH(AF5391,'Quitados DUPP'!$U$1:$U$6635,0),""))</f>
        <v/>
      </c>
      <c r="AH5391" s="15" t="str">
        <f t="shared" si="2"/>
        <v/>
      </c>
      <c r="AI5391" s="17" t="str">
        <f>IF(AG5391="","",INDEX('Quitados DUPP'!$G$1:$G$6635,AG5391))</f>
        <v/>
      </c>
      <c r="AJ5391" s="17" t="str">
        <f t="shared" si="3"/>
        <v/>
      </c>
    </row>
    <row r="5392" spans="31:36">
      <c r="AE5392" s="15" t="str">
        <f t="shared" si="0"/>
        <v/>
      </c>
      <c r="AF5392" s="15" t="str">
        <f t="shared" si="1"/>
        <v/>
      </c>
      <c r="AG5392" s="15" t="str">
        <f>IF(OR(AF5392="",AF5392="ERRO_CHAVE"),"",IFERROR(MATCH(AF5392,'Quitados DUPP'!$U$1:$U$6635,0),""))</f>
        <v/>
      </c>
      <c r="AH5392" s="15" t="str">
        <f t="shared" si="2"/>
        <v/>
      </c>
      <c r="AI5392" s="17" t="str">
        <f>IF(AG5392="","",INDEX('Quitados DUPP'!$G$1:$G$6635,AG5392))</f>
        <v/>
      </c>
      <c r="AJ5392" s="17" t="str">
        <f t="shared" si="3"/>
        <v/>
      </c>
    </row>
    <row r="5393" spans="31:36">
      <c r="AE5393" s="15" t="str">
        <f t="shared" si="0"/>
        <v/>
      </c>
      <c r="AF5393" s="15" t="str">
        <f t="shared" si="1"/>
        <v/>
      </c>
      <c r="AG5393" s="15" t="str">
        <f>IF(OR(AF5393="",AF5393="ERRO_CHAVE"),"",IFERROR(MATCH(AF5393,'Quitados DUPP'!$U$1:$U$6635,0),""))</f>
        <v/>
      </c>
      <c r="AH5393" s="15" t="str">
        <f t="shared" si="2"/>
        <v/>
      </c>
      <c r="AI5393" s="17" t="str">
        <f>IF(AG5393="","",INDEX('Quitados DUPP'!$G$1:$G$6635,AG5393))</f>
        <v/>
      </c>
      <c r="AJ5393" s="17" t="str">
        <f t="shared" si="3"/>
        <v/>
      </c>
    </row>
    <row r="5394" spans="31:36">
      <c r="AE5394" s="15" t="str">
        <f t="shared" si="0"/>
        <v/>
      </c>
      <c r="AF5394" s="15" t="str">
        <f t="shared" si="1"/>
        <v/>
      </c>
      <c r="AG5394" s="15" t="str">
        <f>IF(OR(AF5394="",AF5394="ERRO_CHAVE"),"",IFERROR(MATCH(AF5394,'Quitados DUPP'!$U$1:$U$6635,0),""))</f>
        <v/>
      </c>
      <c r="AH5394" s="15" t="str">
        <f t="shared" si="2"/>
        <v/>
      </c>
      <c r="AI5394" s="17" t="str">
        <f>IF(AG5394="","",INDEX('Quitados DUPP'!$G$1:$G$6635,AG5394))</f>
        <v/>
      </c>
      <c r="AJ5394" s="17" t="str">
        <f t="shared" si="3"/>
        <v/>
      </c>
    </row>
    <row r="5395" spans="31:36">
      <c r="AE5395" s="15" t="str">
        <f t="shared" si="0"/>
        <v/>
      </c>
      <c r="AF5395" s="15" t="str">
        <f t="shared" si="1"/>
        <v/>
      </c>
      <c r="AG5395" s="15" t="str">
        <f>IF(OR(AF5395="",AF5395="ERRO_CHAVE"),"",IFERROR(MATCH(AF5395,'Quitados DUPP'!$U$1:$U$6635,0),""))</f>
        <v/>
      </c>
      <c r="AH5395" s="15" t="str">
        <f t="shared" si="2"/>
        <v/>
      </c>
      <c r="AI5395" s="17" t="str">
        <f>IF(AG5395="","",INDEX('Quitados DUPP'!$G$1:$G$6635,AG5395))</f>
        <v/>
      </c>
      <c r="AJ5395" s="17" t="str">
        <f t="shared" si="3"/>
        <v/>
      </c>
    </row>
    <row r="5396" spans="31:36">
      <c r="AE5396" s="15" t="str">
        <f t="shared" si="0"/>
        <v/>
      </c>
      <c r="AF5396" s="15" t="str">
        <f t="shared" si="1"/>
        <v/>
      </c>
      <c r="AG5396" s="15" t="str">
        <f>IF(OR(AF5396="",AF5396="ERRO_CHAVE"),"",IFERROR(MATCH(AF5396,'Quitados DUPP'!$U$1:$U$6635,0),""))</f>
        <v/>
      </c>
      <c r="AH5396" s="15" t="str">
        <f t="shared" si="2"/>
        <v/>
      </c>
      <c r="AI5396" s="17" t="str">
        <f>IF(AG5396="","",INDEX('Quitados DUPP'!$G$1:$G$6635,AG5396))</f>
        <v/>
      </c>
      <c r="AJ5396" s="17" t="str">
        <f t="shared" si="3"/>
        <v/>
      </c>
    </row>
    <row r="5397" spans="31:36">
      <c r="AE5397" s="15" t="str">
        <f t="shared" si="0"/>
        <v/>
      </c>
      <c r="AF5397" s="15" t="str">
        <f t="shared" si="1"/>
        <v/>
      </c>
      <c r="AG5397" s="15" t="str">
        <f>IF(OR(AF5397="",AF5397="ERRO_CHAVE"),"",IFERROR(MATCH(AF5397,'Quitados DUPP'!$U$1:$U$6635,0),""))</f>
        <v/>
      </c>
      <c r="AH5397" s="15" t="str">
        <f t="shared" si="2"/>
        <v/>
      </c>
      <c r="AI5397" s="17" t="str">
        <f>IF(AG5397="","",INDEX('Quitados DUPP'!$G$1:$G$6635,AG5397))</f>
        <v/>
      </c>
      <c r="AJ5397" s="17" t="str">
        <f t="shared" si="3"/>
        <v/>
      </c>
    </row>
    <row r="5398" spans="31:36">
      <c r="AE5398" s="15" t="str">
        <f t="shared" si="0"/>
        <v/>
      </c>
      <c r="AF5398" s="15" t="str">
        <f t="shared" si="1"/>
        <v/>
      </c>
      <c r="AG5398" s="15" t="str">
        <f>IF(OR(AF5398="",AF5398="ERRO_CHAVE"),"",IFERROR(MATCH(AF5398,'Quitados DUPP'!$U$1:$U$6635,0),""))</f>
        <v/>
      </c>
      <c r="AH5398" s="15" t="str">
        <f t="shared" si="2"/>
        <v/>
      </c>
      <c r="AI5398" s="17" t="str">
        <f>IF(AG5398="","",INDEX('Quitados DUPP'!$G$1:$G$6635,AG5398))</f>
        <v/>
      </c>
      <c r="AJ5398" s="17" t="str">
        <f t="shared" si="3"/>
        <v/>
      </c>
    </row>
    <row r="5399" spans="31:36">
      <c r="AE5399" s="15" t="str">
        <f t="shared" si="0"/>
        <v/>
      </c>
      <c r="AF5399" s="15" t="str">
        <f t="shared" si="1"/>
        <v/>
      </c>
      <c r="AG5399" s="15" t="str">
        <f>IF(OR(AF5399="",AF5399="ERRO_CHAVE"),"",IFERROR(MATCH(AF5399,'Quitados DUPP'!$U$1:$U$6635,0),""))</f>
        <v/>
      </c>
      <c r="AH5399" s="15" t="str">
        <f t="shared" si="2"/>
        <v/>
      </c>
      <c r="AI5399" s="17" t="str">
        <f>IF(AG5399="","",INDEX('Quitados DUPP'!$G$1:$G$6635,AG5399))</f>
        <v/>
      </c>
      <c r="AJ5399" s="17" t="str">
        <f t="shared" si="3"/>
        <v/>
      </c>
    </row>
    <row r="5400" spans="31:36">
      <c r="AE5400" s="15" t="str">
        <f t="shared" si="0"/>
        <v/>
      </c>
      <c r="AF5400" s="15" t="str">
        <f t="shared" si="1"/>
        <v/>
      </c>
      <c r="AG5400" s="15" t="str">
        <f>IF(OR(AF5400="",AF5400="ERRO_CHAVE"),"",IFERROR(MATCH(AF5400,'Quitados DUPP'!$U$1:$U$6635,0),""))</f>
        <v/>
      </c>
      <c r="AH5400" s="15" t="str">
        <f t="shared" si="2"/>
        <v/>
      </c>
      <c r="AI5400" s="17" t="str">
        <f>IF(AG5400="","",INDEX('Quitados DUPP'!$G$1:$G$6635,AG5400))</f>
        <v/>
      </c>
      <c r="AJ5400" s="17" t="str">
        <f t="shared" si="3"/>
        <v/>
      </c>
    </row>
    <row r="5401" spans="31:36">
      <c r="AE5401" s="15" t="str">
        <f t="shared" si="0"/>
        <v/>
      </c>
      <c r="AF5401" s="15" t="str">
        <f t="shared" si="1"/>
        <v/>
      </c>
      <c r="AG5401" s="15" t="str">
        <f>IF(OR(AF5401="",AF5401="ERRO_CHAVE"),"",IFERROR(MATCH(AF5401,'Quitados DUPP'!$U$1:$U$6635,0),""))</f>
        <v/>
      </c>
      <c r="AH5401" s="15" t="str">
        <f t="shared" si="2"/>
        <v/>
      </c>
      <c r="AI5401" s="17" t="str">
        <f>IF(AG5401="","",INDEX('Quitados DUPP'!$G$1:$G$6635,AG5401))</f>
        <v/>
      </c>
      <c r="AJ5401" s="17" t="str">
        <f t="shared" si="3"/>
        <v/>
      </c>
    </row>
    <row r="5402" spans="31:36">
      <c r="AE5402" s="15" t="str">
        <f t="shared" si="0"/>
        <v/>
      </c>
      <c r="AF5402" s="15" t="str">
        <f t="shared" si="1"/>
        <v/>
      </c>
      <c r="AG5402" s="15" t="str">
        <f>IF(OR(AF5402="",AF5402="ERRO_CHAVE"),"",IFERROR(MATCH(AF5402,'Quitados DUPP'!$U$1:$U$6635,0),""))</f>
        <v/>
      </c>
      <c r="AH5402" s="15" t="str">
        <f t="shared" si="2"/>
        <v/>
      </c>
      <c r="AI5402" s="17" t="str">
        <f>IF(AG5402="","",INDEX('Quitados DUPP'!$G$1:$G$6635,AG5402))</f>
        <v/>
      </c>
      <c r="AJ5402" s="17" t="str">
        <f t="shared" si="3"/>
        <v/>
      </c>
    </row>
    <row r="5403" spans="31:36">
      <c r="AE5403" s="15" t="str">
        <f t="shared" si="0"/>
        <v/>
      </c>
      <c r="AF5403" s="15" t="str">
        <f t="shared" si="1"/>
        <v/>
      </c>
      <c r="AG5403" s="15" t="str">
        <f>IF(OR(AF5403="",AF5403="ERRO_CHAVE"),"",IFERROR(MATCH(AF5403,'Quitados DUPP'!$U$1:$U$6635,0),""))</f>
        <v/>
      </c>
      <c r="AH5403" s="15" t="str">
        <f t="shared" si="2"/>
        <v/>
      </c>
      <c r="AI5403" s="17" t="str">
        <f>IF(AG5403="","",INDEX('Quitados DUPP'!$G$1:$G$6635,AG5403))</f>
        <v/>
      </c>
      <c r="AJ5403" s="17" t="str">
        <f t="shared" si="3"/>
        <v/>
      </c>
    </row>
    <row r="5404" spans="31:36">
      <c r="AE5404" s="15" t="str">
        <f t="shared" si="0"/>
        <v/>
      </c>
      <c r="AF5404" s="15" t="str">
        <f t="shared" si="1"/>
        <v/>
      </c>
      <c r="AG5404" s="15" t="str">
        <f>IF(OR(AF5404="",AF5404="ERRO_CHAVE"),"",IFERROR(MATCH(AF5404,'Quitados DUPP'!$U$1:$U$6635,0),""))</f>
        <v/>
      </c>
      <c r="AH5404" s="15" t="str">
        <f t="shared" si="2"/>
        <v/>
      </c>
      <c r="AI5404" s="17" t="str">
        <f>IF(AG5404="","",INDEX('Quitados DUPP'!$G$1:$G$6635,AG5404))</f>
        <v/>
      </c>
      <c r="AJ5404" s="17" t="str">
        <f t="shared" si="3"/>
        <v/>
      </c>
    </row>
    <row r="5405" spans="31:36">
      <c r="AE5405" s="15" t="str">
        <f t="shared" si="0"/>
        <v/>
      </c>
      <c r="AF5405" s="15" t="str">
        <f t="shared" si="1"/>
        <v/>
      </c>
      <c r="AG5405" s="15" t="str">
        <f>IF(OR(AF5405="",AF5405="ERRO_CHAVE"),"",IFERROR(MATCH(AF5405,'Quitados DUPP'!$U$1:$U$6635,0),""))</f>
        <v/>
      </c>
      <c r="AH5405" s="15" t="str">
        <f t="shared" si="2"/>
        <v/>
      </c>
      <c r="AI5405" s="17" t="str">
        <f>IF(AG5405="","",INDEX('Quitados DUPP'!$G$1:$G$6635,AG5405))</f>
        <v/>
      </c>
      <c r="AJ5405" s="17" t="str">
        <f t="shared" si="3"/>
        <v/>
      </c>
    </row>
    <row r="5406" spans="31:36">
      <c r="AE5406" s="15" t="str">
        <f t="shared" si="0"/>
        <v/>
      </c>
      <c r="AF5406" s="15" t="str">
        <f t="shared" si="1"/>
        <v/>
      </c>
      <c r="AG5406" s="15" t="str">
        <f>IF(OR(AF5406="",AF5406="ERRO_CHAVE"),"",IFERROR(MATCH(AF5406,'Quitados DUPP'!$U$1:$U$6635,0),""))</f>
        <v/>
      </c>
      <c r="AH5406" s="15" t="str">
        <f t="shared" si="2"/>
        <v/>
      </c>
      <c r="AI5406" s="17" t="str">
        <f>IF(AG5406="","",INDEX('Quitados DUPP'!$G$1:$G$6635,AG5406))</f>
        <v/>
      </c>
      <c r="AJ5406" s="17" t="str">
        <f t="shared" si="3"/>
        <v/>
      </c>
    </row>
    <row r="5407" spans="31:36">
      <c r="AE5407" s="15" t="str">
        <f t="shared" si="0"/>
        <v/>
      </c>
      <c r="AF5407" s="15" t="str">
        <f t="shared" si="1"/>
        <v/>
      </c>
      <c r="AG5407" s="15" t="str">
        <f>IF(OR(AF5407="",AF5407="ERRO_CHAVE"),"",IFERROR(MATCH(AF5407,'Quitados DUPP'!$U$1:$U$6635,0),""))</f>
        <v/>
      </c>
      <c r="AH5407" s="15" t="str">
        <f t="shared" si="2"/>
        <v/>
      </c>
      <c r="AI5407" s="17" t="str">
        <f>IF(AG5407="","",INDEX('Quitados DUPP'!$G$1:$G$6635,AG5407))</f>
        <v/>
      </c>
      <c r="AJ5407" s="17" t="str">
        <f t="shared" si="3"/>
        <v/>
      </c>
    </row>
    <row r="5408" spans="31:36">
      <c r="AE5408" s="15" t="str">
        <f t="shared" si="0"/>
        <v/>
      </c>
      <c r="AF5408" s="15" t="str">
        <f t="shared" si="1"/>
        <v/>
      </c>
      <c r="AG5408" s="15" t="str">
        <f>IF(OR(AF5408="",AF5408="ERRO_CHAVE"),"",IFERROR(MATCH(AF5408,'Quitados DUPP'!$U$1:$U$6635,0),""))</f>
        <v/>
      </c>
      <c r="AH5408" s="15" t="str">
        <f t="shared" si="2"/>
        <v/>
      </c>
      <c r="AI5408" s="17" t="str">
        <f>IF(AG5408="","",INDEX('Quitados DUPP'!$G$1:$G$6635,AG5408))</f>
        <v/>
      </c>
      <c r="AJ5408" s="17" t="str">
        <f t="shared" si="3"/>
        <v/>
      </c>
    </row>
    <row r="5409" spans="31:36">
      <c r="AE5409" s="15" t="str">
        <f t="shared" si="0"/>
        <v/>
      </c>
      <c r="AF5409" s="15" t="str">
        <f t="shared" si="1"/>
        <v/>
      </c>
      <c r="AG5409" s="15" t="str">
        <f>IF(OR(AF5409="",AF5409="ERRO_CHAVE"),"",IFERROR(MATCH(AF5409,'Quitados DUPP'!$U$1:$U$6635,0),""))</f>
        <v/>
      </c>
      <c r="AH5409" s="15" t="str">
        <f t="shared" si="2"/>
        <v/>
      </c>
      <c r="AI5409" s="17" t="str">
        <f>IF(AG5409="","",INDEX('Quitados DUPP'!$G$1:$G$6635,AG5409))</f>
        <v/>
      </c>
      <c r="AJ5409" s="17" t="str">
        <f t="shared" si="3"/>
        <v/>
      </c>
    </row>
    <row r="5410" spans="31:36">
      <c r="AE5410" s="15" t="str">
        <f t="shared" si="0"/>
        <v/>
      </c>
      <c r="AF5410" s="15" t="str">
        <f t="shared" si="1"/>
        <v/>
      </c>
      <c r="AG5410" s="15" t="str">
        <f>IF(OR(AF5410="",AF5410="ERRO_CHAVE"),"",IFERROR(MATCH(AF5410,'Quitados DUPP'!$U$1:$U$6635,0),""))</f>
        <v/>
      </c>
      <c r="AH5410" s="15" t="str">
        <f t="shared" si="2"/>
        <v/>
      </c>
      <c r="AI5410" s="17" t="str">
        <f>IF(AG5410="","",INDEX('Quitados DUPP'!$G$1:$G$6635,AG5410))</f>
        <v/>
      </c>
      <c r="AJ5410" s="17" t="str">
        <f t="shared" si="3"/>
        <v/>
      </c>
    </row>
    <row r="5411" spans="31:36">
      <c r="AE5411" s="15" t="str">
        <f t="shared" si="0"/>
        <v/>
      </c>
      <c r="AF5411" s="15" t="str">
        <f t="shared" si="1"/>
        <v/>
      </c>
      <c r="AG5411" s="15" t="str">
        <f>IF(OR(AF5411="",AF5411="ERRO_CHAVE"),"",IFERROR(MATCH(AF5411,'Quitados DUPP'!$U$1:$U$6635,0),""))</f>
        <v/>
      </c>
      <c r="AH5411" s="15" t="str">
        <f t="shared" si="2"/>
        <v/>
      </c>
      <c r="AI5411" s="17" t="str">
        <f>IF(AG5411="","",INDEX('Quitados DUPP'!$G$1:$G$6635,AG5411))</f>
        <v/>
      </c>
      <c r="AJ5411" s="17" t="str">
        <f t="shared" si="3"/>
        <v/>
      </c>
    </row>
    <row r="5412" spans="31:36">
      <c r="AE5412" s="15" t="str">
        <f t="shared" si="0"/>
        <v/>
      </c>
      <c r="AF5412" s="15" t="str">
        <f t="shared" si="1"/>
        <v/>
      </c>
      <c r="AG5412" s="15" t="str">
        <f>IF(OR(AF5412="",AF5412="ERRO_CHAVE"),"",IFERROR(MATCH(AF5412,'Quitados DUPP'!$U$1:$U$6635,0),""))</f>
        <v/>
      </c>
      <c r="AH5412" s="15" t="str">
        <f t="shared" si="2"/>
        <v/>
      </c>
      <c r="AI5412" s="17" t="str">
        <f>IF(AG5412="","",INDEX('Quitados DUPP'!$G$1:$G$6635,AG5412))</f>
        <v/>
      </c>
      <c r="AJ5412" s="17" t="str">
        <f t="shared" si="3"/>
        <v/>
      </c>
    </row>
    <row r="5413" spans="31:36">
      <c r="AE5413" s="15" t="str">
        <f t="shared" si="0"/>
        <v/>
      </c>
      <c r="AF5413" s="15" t="str">
        <f t="shared" si="1"/>
        <v/>
      </c>
      <c r="AG5413" s="15" t="str">
        <f>IF(OR(AF5413="",AF5413="ERRO_CHAVE"),"",IFERROR(MATCH(AF5413,'Quitados DUPP'!$U$1:$U$6635,0),""))</f>
        <v/>
      </c>
      <c r="AH5413" s="15" t="str">
        <f t="shared" si="2"/>
        <v/>
      </c>
      <c r="AI5413" s="17" t="str">
        <f>IF(AG5413="","",INDEX('Quitados DUPP'!$G$1:$G$6635,AG5413))</f>
        <v/>
      </c>
      <c r="AJ5413" s="17" t="str">
        <f t="shared" si="3"/>
        <v/>
      </c>
    </row>
    <row r="5414" spans="31:36">
      <c r="AE5414" s="15" t="str">
        <f t="shared" si="0"/>
        <v/>
      </c>
      <c r="AF5414" s="15" t="str">
        <f t="shared" si="1"/>
        <v/>
      </c>
      <c r="AG5414" s="15" t="str">
        <f>IF(OR(AF5414="",AF5414="ERRO_CHAVE"),"",IFERROR(MATCH(AF5414,'Quitados DUPP'!$U$1:$U$6635,0),""))</f>
        <v/>
      </c>
      <c r="AH5414" s="15" t="str">
        <f t="shared" si="2"/>
        <v/>
      </c>
      <c r="AI5414" s="17" t="str">
        <f>IF(AG5414="","",INDEX('Quitados DUPP'!$G$1:$G$6635,AG5414))</f>
        <v/>
      </c>
      <c r="AJ5414" s="17" t="str">
        <f t="shared" si="3"/>
        <v/>
      </c>
    </row>
    <row r="5415" spans="31:36">
      <c r="AE5415" s="15" t="str">
        <f t="shared" si="0"/>
        <v/>
      </c>
      <c r="AF5415" s="15" t="str">
        <f t="shared" si="1"/>
        <v/>
      </c>
      <c r="AG5415" s="15" t="str">
        <f>IF(OR(AF5415="",AF5415="ERRO_CHAVE"),"",IFERROR(MATCH(AF5415,'Quitados DUPP'!$U$1:$U$6635,0),""))</f>
        <v/>
      </c>
      <c r="AH5415" s="15" t="str">
        <f t="shared" si="2"/>
        <v/>
      </c>
      <c r="AI5415" s="17" t="str">
        <f>IF(AG5415="","",INDEX('Quitados DUPP'!$G$1:$G$6635,AG5415))</f>
        <v/>
      </c>
      <c r="AJ5415" s="17" t="str">
        <f t="shared" si="3"/>
        <v/>
      </c>
    </row>
    <row r="5416" spans="31:36">
      <c r="AE5416" s="15" t="str">
        <f t="shared" si="0"/>
        <v/>
      </c>
      <c r="AF5416" s="15" t="str">
        <f t="shared" si="1"/>
        <v/>
      </c>
      <c r="AG5416" s="15" t="str">
        <f>IF(OR(AF5416="",AF5416="ERRO_CHAVE"),"",IFERROR(MATCH(AF5416,'Quitados DUPP'!$U$1:$U$6635,0),""))</f>
        <v/>
      </c>
      <c r="AH5416" s="15" t="str">
        <f t="shared" si="2"/>
        <v/>
      </c>
      <c r="AI5416" s="17" t="str">
        <f>IF(AG5416="","",INDEX('Quitados DUPP'!$G$1:$G$6635,AG5416))</f>
        <v/>
      </c>
      <c r="AJ5416" s="17" t="str">
        <f t="shared" si="3"/>
        <v/>
      </c>
    </row>
    <row r="5417" spans="31:36">
      <c r="AE5417" s="15" t="str">
        <f t="shared" si="0"/>
        <v/>
      </c>
      <c r="AF5417" s="15" t="str">
        <f t="shared" si="1"/>
        <v/>
      </c>
      <c r="AG5417" s="15" t="str">
        <f>IF(OR(AF5417="",AF5417="ERRO_CHAVE"),"",IFERROR(MATCH(AF5417,'Quitados DUPP'!$U$1:$U$6635,0),""))</f>
        <v/>
      </c>
      <c r="AH5417" s="15" t="str">
        <f t="shared" si="2"/>
        <v/>
      </c>
      <c r="AI5417" s="17" t="str">
        <f>IF(AG5417="","",INDEX('Quitados DUPP'!$G$1:$G$6635,AG5417))</f>
        <v/>
      </c>
      <c r="AJ5417" s="17" t="str">
        <f t="shared" si="3"/>
        <v/>
      </c>
    </row>
    <row r="5418" spans="31:36">
      <c r="AE5418" s="15" t="str">
        <f t="shared" si="0"/>
        <v/>
      </c>
      <c r="AF5418" s="15" t="str">
        <f t="shared" si="1"/>
        <v/>
      </c>
      <c r="AG5418" s="15" t="str">
        <f>IF(OR(AF5418="",AF5418="ERRO_CHAVE"),"",IFERROR(MATCH(AF5418,'Quitados DUPP'!$U$1:$U$6635,0),""))</f>
        <v/>
      </c>
      <c r="AH5418" s="15" t="str">
        <f t="shared" si="2"/>
        <v/>
      </c>
      <c r="AI5418" s="17" t="str">
        <f>IF(AG5418="","",INDEX('Quitados DUPP'!$G$1:$G$6635,AG5418))</f>
        <v/>
      </c>
      <c r="AJ5418" s="17" t="str">
        <f t="shared" si="3"/>
        <v/>
      </c>
    </row>
    <row r="5419" spans="31:36">
      <c r="AE5419" s="15" t="str">
        <f t="shared" si="0"/>
        <v/>
      </c>
      <c r="AF5419" s="15" t="str">
        <f t="shared" si="1"/>
        <v/>
      </c>
      <c r="AG5419" s="15" t="str">
        <f>IF(OR(AF5419="",AF5419="ERRO_CHAVE"),"",IFERROR(MATCH(AF5419,'Quitados DUPP'!$U$1:$U$6635,0),""))</f>
        <v/>
      </c>
      <c r="AH5419" s="15" t="str">
        <f t="shared" si="2"/>
        <v/>
      </c>
      <c r="AI5419" s="17" t="str">
        <f>IF(AG5419="","",INDEX('Quitados DUPP'!$G$1:$G$6635,AG5419))</f>
        <v/>
      </c>
      <c r="AJ5419" s="17" t="str">
        <f t="shared" si="3"/>
        <v/>
      </c>
    </row>
    <row r="5420" spans="31:36">
      <c r="AE5420" s="15" t="str">
        <f t="shared" si="0"/>
        <v/>
      </c>
      <c r="AF5420" s="15" t="str">
        <f t="shared" si="1"/>
        <v/>
      </c>
      <c r="AG5420" s="15" t="str">
        <f>IF(OR(AF5420="",AF5420="ERRO_CHAVE"),"",IFERROR(MATCH(AF5420,'Quitados DUPP'!$U$1:$U$6635,0),""))</f>
        <v/>
      </c>
      <c r="AH5420" s="15" t="str">
        <f t="shared" si="2"/>
        <v/>
      </c>
      <c r="AI5420" s="17" t="str">
        <f>IF(AG5420="","",INDEX('Quitados DUPP'!$G$1:$G$6635,AG5420))</f>
        <v/>
      </c>
      <c r="AJ5420" s="17" t="str">
        <f t="shared" si="3"/>
        <v/>
      </c>
    </row>
    <row r="5421" spans="31:36">
      <c r="AE5421" s="15" t="str">
        <f t="shared" si="0"/>
        <v/>
      </c>
      <c r="AF5421" s="15" t="str">
        <f t="shared" si="1"/>
        <v/>
      </c>
      <c r="AG5421" s="15" t="str">
        <f>IF(OR(AF5421="",AF5421="ERRO_CHAVE"),"",IFERROR(MATCH(AF5421,'Quitados DUPP'!$U$1:$U$6635,0),""))</f>
        <v/>
      </c>
      <c r="AH5421" s="15" t="str">
        <f t="shared" si="2"/>
        <v/>
      </c>
      <c r="AI5421" s="17" t="str">
        <f>IF(AG5421="","",INDEX('Quitados DUPP'!$G$1:$G$6635,AG5421))</f>
        <v/>
      </c>
      <c r="AJ5421" s="17" t="str">
        <f t="shared" si="3"/>
        <v/>
      </c>
    </row>
    <row r="5422" spans="31:36">
      <c r="AE5422" s="15" t="str">
        <f t="shared" si="0"/>
        <v/>
      </c>
      <c r="AF5422" s="15" t="str">
        <f t="shared" si="1"/>
        <v/>
      </c>
      <c r="AG5422" s="15" t="str">
        <f>IF(OR(AF5422="",AF5422="ERRO_CHAVE"),"",IFERROR(MATCH(AF5422,'Quitados DUPP'!$U$1:$U$6635,0),""))</f>
        <v/>
      </c>
      <c r="AH5422" s="15" t="str">
        <f t="shared" si="2"/>
        <v/>
      </c>
      <c r="AI5422" s="17" t="str">
        <f>IF(AG5422="","",INDEX('Quitados DUPP'!$G$1:$G$6635,AG5422))</f>
        <v/>
      </c>
      <c r="AJ5422" s="17" t="str">
        <f t="shared" si="3"/>
        <v/>
      </c>
    </row>
    <row r="5423" spans="31:36">
      <c r="AE5423" s="15" t="str">
        <f t="shared" si="0"/>
        <v/>
      </c>
      <c r="AF5423" s="15" t="str">
        <f t="shared" si="1"/>
        <v/>
      </c>
      <c r="AG5423" s="15" t="str">
        <f>IF(OR(AF5423="",AF5423="ERRO_CHAVE"),"",IFERROR(MATCH(AF5423,'Quitados DUPP'!$U$1:$U$6635,0),""))</f>
        <v/>
      </c>
      <c r="AH5423" s="15" t="str">
        <f t="shared" si="2"/>
        <v/>
      </c>
      <c r="AI5423" s="17" t="str">
        <f>IF(AG5423="","",INDEX('Quitados DUPP'!$G$1:$G$6635,AG5423))</f>
        <v/>
      </c>
      <c r="AJ5423" s="17" t="str">
        <f t="shared" si="3"/>
        <v/>
      </c>
    </row>
    <row r="5424" spans="31:36">
      <c r="AE5424" s="15" t="str">
        <f t="shared" si="0"/>
        <v/>
      </c>
      <c r="AF5424" s="15" t="str">
        <f t="shared" si="1"/>
        <v/>
      </c>
      <c r="AG5424" s="15" t="str">
        <f>IF(OR(AF5424="",AF5424="ERRO_CHAVE"),"",IFERROR(MATCH(AF5424,'Quitados DUPP'!$U$1:$U$6635,0),""))</f>
        <v/>
      </c>
      <c r="AH5424" s="15" t="str">
        <f t="shared" si="2"/>
        <v/>
      </c>
      <c r="AI5424" s="17" t="str">
        <f>IF(AG5424="","",INDEX('Quitados DUPP'!$G$1:$G$6635,AG5424))</f>
        <v/>
      </c>
      <c r="AJ5424" s="17" t="str">
        <f t="shared" si="3"/>
        <v/>
      </c>
    </row>
    <row r="5425" spans="31:36">
      <c r="AE5425" s="15" t="str">
        <f t="shared" si="0"/>
        <v/>
      </c>
      <c r="AF5425" s="15" t="str">
        <f t="shared" si="1"/>
        <v/>
      </c>
      <c r="AG5425" s="15" t="str">
        <f>IF(OR(AF5425="",AF5425="ERRO_CHAVE"),"",IFERROR(MATCH(AF5425,'Quitados DUPP'!$U$1:$U$6635,0),""))</f>
        <v/>
      </c>
      <c r="AH5425" s="15" t="str">
        <f t="shared" si="2"/>
        <v/>
      </c>
      <c r="AI5425" s="17" t="str">
        <f>IF(AG5425="","",INDEX('Quitados DUPP'!$G$1:$G$6635,AG5425))</f>
        <v/>
      </c>
      <c r="AJ5425" s="17" t="str">
        <f t="shared" si="3"/>
        <v/>
      </c>
    </row>
    <row r="5426" spans="31:36">
      <c r="AE5426" s="15" t="str">
        <f t="shared" si="0"/>
        <v/>
      </c>
      <c r="AF5426" s="15" t="str">
        <f t="shared" si="1"/>
        <v/>
      </c>
      <c r="AG5426" s="15" t="str">
        <f>IF(OR(AF5426="",AF5426="ERRO_CHAVE"),"",IFERROR(MATCH(AF5426,'Quitados DUPP'!$U$1:$U$6635,0),""))</f>
        <v/>
      </c>
      <c r="AH5426" s="15" t="str">
        <f t="shared" si="2"/>
        <v/>
      </c>
      <c r="AI5426" s="17" t="str">
        <f>IF(AG5426="","",INDEX('Quitados DUPP'!$G$1:$G$6635,AG5426))</f>
        <v/>
      </c>
      <c r="AJ5426" s="17" t="str">
        <f t="shared" si="3"/>
        <v/>
      </c>
    </row>
    <row r="5427" spans="31:36">
      <c r="AE5427" s="15" t="str">
        <f t="shared" si="0"/>
        <v/>
      </c>
      <c r="AF5427" s="15" t="str">
        <f t="shared" si="1"/>
        <v/>
      </c>
      <c r="AG5427" s="15" t="str">
        <f>IF(OR(AF5427="",AF5427="ERRO_CHAVE"),"",IFERROR(MATCH(AF5427,'Quitados DUPP'!$U$1:$U$6635,0),""))</f>
        <v/>
      </c>
      <c r="AH5427" s="15" t="str">
        <f t="shared" si="2"/>
        <v/>
      </c>
      <c r="AI5427" s="17" t="str">
        <f>IF(AG5427="","",INDEX('Quitados DUPP'!$G$1:$G$6635,AG5427))</f>
        <v/>
      </c>
      <c r="AJ5427" s="17" t="str">
        <f t="shared" si="3"/>
        <v/>
      </c>
    </row>
    <row r="5428" spans="31:36">
      <c r="AE5428" s="15" t="str">
        <f t="shared" si="0"/>
        <v/>
      </c>
      <c r="AF5428" s="15" t="str">
        <f t="shared" si="1"/>
        <v/>
      </c>
      <c r="AG5428" s="15" t="str">
        <f>IF(OR(AF5428="",AF5428="ERRO_CHAVE"),"",IFERROR(MATCH(AF5428,'Quitados DUPP'!$U$1:$U$6635,0),""))</f>
        <v/>
      </c>
      <c r="AH5428" s="15" t="str">
        <f t="shared" si="2"/>
        <v/>
      </c>
      <c r="AI5428" s="17" t="str">
        <f>IF(AG5428="","",INDEX('Quitados DUPP'!$G$1:$G$6635,AG5428))</f>
        <v/>
      </c>
      <c r="AJ5428" s="17" t="str">
        <f t="shared" si="3"/>
        <v/>
      </c>
    </row>
    <row r="5429" spans="31:36">
      <c r="AE5429" s="15" t="str">
        <f t="shared" si="0"/>
        <v/>
      </c>
      <c r="AF5429" s="15" t="str">
        <f t="shared" si="1"/>
        <v/>
      </c>
      <c r="AG5429" s="15" t="str">
        <f>IF(OR(AF5429="",AF5429="ERRO_CHAVE"),"",IFERROR(MATCH(AF5429,'Quitados DUPP'!$U$1:$U$6635,0),""))</f>
        <v/>
      </c>
      <c r="AH5429" s="15" t="str">
        <f t="shared" si="2"/>
        <v/>
      </c>
      <c r="AI5429" s="17" t="str">
        <f>IF(AG5429="","",INDEX('Quitados DUPP'!$G$1:$G$6635,AG5429))</f>
        <v/>
      </c>
      <c r="AJ5429" s="17" t="str">
        <f t="shared" si="3"/>
        <v/>
      </c>
    </row>
    <row r="5430" spans="31:36">
      <c r="AE5430" s="15" t="str">
        <f t="shared" si="0"/>
        <v/>
      </c>
      <c r="AF5430" s="15" t="str">
        <f t="shared" si="1"/>
        <v/>
      </c>
      <c r="AG5430" s="15" t="str">
        <f>IF(OR(AF5430="",AF5430="ERRO_CHAVE"),"",IFERROR(MATCH(AF5430,'Quitados DUPP'!$U$1:$U$6635,0),""))</f>
        <v/>
      </c>
      <c r="AH5430" s="15" t="str">
        <f t="shared" si="2"/>
        <v/>
      </c>
      <c r="AI5430" s="17" t="str">
        <f>IF(AG5430="","",INDEX('Quitados DUPP'!$G$1:$G$6635,AG5430))</f>
        <v/>
      </c>
      <c r="AJ5430" s="17" t="str">
        <f t="shared" si="3"/>
        <v/>
      </c>
    </row>
    <row r="5431" spans="31:36">
      <c r="AE5431" s="15" t="str">
        <f t="shared" si="0"/>
        <v/>
      </c>
      <c r="AF5431" s="15" t="str">
        <f t="shared" si="1"/>
        <v/>
      </c>
      <c r="AG5431" s="15" t="str">
        <f>IF(OR(AF5431="",AF5431="ERRO_CHAVE"),"",IFERROR(MATCH(AF5431,'Quitados DUPP'!$U$1:$U$6635,0),""))</f>
        <v/>
      </c>
      <c r="AH5431" s="15" t="str">
        <f t="shared" si="2"/>
        <v/>
      </c>
      <c r="AI5431" s="17" t="str">
        <f>IF(AG5431="","",INDEX('Quitados DUPP'!$G$1:$G$6635,AG5431))</f>
        <v/>
      </c>
      <c r="AJ5431" s="17" t="str">
        <f t="shared" si="3"/>
        <v/>
      </c>
    </row>
    <row r="5432" spans="31:36">
      <c r="AE5432" s="15" t="str">
        <f t="shared" si="0"/>
        <v/>
      </c>
      <c r="AF5432" s="15" t="str">
        <f t="shared" si="1"/>
        <v/>
      </c>
      <c r="AG5432" s="15" t="str">
        <f>IF(OR(AF5432="",AF5432="ERRO_CHAVE"),"",IFERROR(MATCH(AF5432,'Quitados DUPP'!$U$1:$U$6635,0),""))</f>
        <v/>
      </c>
      <c r="AH5432" s="15" t="str">
        <f t="shared" si="2"/>
        <v/>
      </c>
      <c r="AI5432" s="17" t="str">
        <f>IF(AG5432="","",INDEX('Quitados DUPP'!$G$1:$G$6635,AG5432))</f>
        <v/>
      </c>
      <c r="AJ5432" s="17" t="str">
        <f t="shared" si="3"/>
        <v/>
      </c>
    </row>
    <row r="5433" spans="31:36">
      <c r="AE5433" s="15" t="str">
        <f t="shared" si="0"/>
        <v/>
      </c>
      <c r="AF5433" s="15" t="str">
        <f t="shared" si="1"/>
        <v/>
      </c>
      <c r="AG5433" s="15" t="str">
        <f>IF(OR(AF5433="",AF5433="ERRO_CHAVE"),"",IFERROR(MATCH(AF5433,'Quitados DUPP'!$U$1:$U$6635,0),""))</f>
        <v/>
      </c>
      <c r="AH5433" s="15" t="str">
        <f t="shared" si="2"/>
        <v/>
      </c>
      <c r="AI5433" s="17" t="str">
        <f>IF(AG5433="","",INDEX('Quitados DUPP'!$G$1:$G$6635,AG5433))</f>
        <v/>
      </c>
      <c r="AJ5433" s="17" t="str">
        <f t="shared" si="3"/>
        <v/>
      </c>
    </row>
    <row r="5434" spans="31:36">
      <c r="AE5434" s="15" t="str">
        <f t="shared" si="0"/>
        <v/>
      </c>
      <c r="AF5434" s="15" t="str">
        <f t="shared" si="1"/>
        <v/>
      </c>
      <c r="AG5434" s="15" t="str">
        <f>IF(OR(AF5434="",AF5434="ERRO_CHAVE"),"",IFERROR(MATCH(AF5434,'Quitados DUPP'!$U$1:$U$6635,0),""))</f>
        <v/>
      </c>
      <c r="AH5434" s="15" t="str">
        <f t="shared" si="2"/>
        <v/>
      </c>
      <c r="AI5434" s="17" t="str">
        <f>IF(AG5434="","",INDEX('Quitados DUPP'!$G$1:$G$6635,AG5434))</f>
        <v/>
      </c>
      <c r="AJ5434" s="17" t="str">
        <f t="shared" si="3"/>
        <v/>
      </c>
    </row>
    <row r="5435" spans="31:36">
      <c r="AE5435" s="15" t="str">
        <f t="shared" si="0"/>
        <v/>
      </c>
      <c r="AF5435" s="15" t="str">
        <f t="shared" si="1"/>
        <v/>
      </c>
      <c r="AG5435" s="15" t="str">
        <f>IF(OR(AF5435="",AF5435="ERRO_CHAVE"),"",IFERROR(MATCH(AF5435,'Quitados DUPP'!$U$1:$U$6635,0),""))</f>
        <v/>
      </c>
      <c r="AH5435" s="15" t="str">
        <f t="shared" si="2"/>
        <v/>
      </c>
      <c r="AI5435" s="17" t="str">
        <f>IF(AG5435="","",INDEX('Quitados DUPP'!$G$1:$G$6635,AG5435))</f>
        <v/>
      </c>
      <c r="AJ5435" s="17" t="str">
        <f t="shared" si="3"/>
        <v/>
      </c>
    </row>
    <row r="5436" spans="31:36">
      <c r="AE5436" s="15" t="str">
        <f t="shared" si="0"/>
        <v/>
      </c>
      <c r="AF5436" s="15" t="str">
        <f t="shared" si="1"/>
        <v/>
      </c>
      <c r="AG5436" s="15" t="str">
        <f>IF(OR(AF5436="",AF5436="ERRO_CHAVE"),"",IFERROR(MATCH(AF5436,'Quitados DUPP'!$U$1:$U$6635,0),""))</f>
        <v/>
      </c>
      <c r="AH5436" s="15" t="str">
        <f t="shared" si="2"/>
        <v/>
      </c>
      <c r="AI5436" s="17" t="str">
        <f>IF(AG5436="","",INDEX('Quitados DUPP'!$G$1:$G$6635,AG5436))</f>
        <v/>
      </c>
      <c r="AJ5436" s="17" t="str">
        <f t="shared" si="3"/>
        <v/>
      </c>
    </row>
    <row r="5437" spans="31:36">
      <c r="AE5437" s="15" t="str">
        <f t="shared" si="0"/>
        <v/>
      </c>
      <c r="AF5437" s="15" t="str">
        <f t="shared" si="1"/>
        <v/>
      </c>
      <c r="AG5437" s="15" t="str">
        <f>IF(OR(AF5437="",AF5437="ERRO_CHAVE"),"",IFERROR(MATCH(AF5437,'Quitados DUPP'!$U$1:$U$6635,0),""))</f>
        <v/>
      </c>
      <c r="AH5437" s="15" t="str">
        <f t="shared" si="2"/>
        <v/>
      </c>
      <c r="AI5437" s="17" t="str">
        <f>IF(AG5437="","",INDEX('Quitados DUPP'!$G$1:$G$6635,AG5437))</f>
        <v/>
      </c>
      <c r="AJ5437" s="17" t="str">
        <f t="shared" si="3"/>
        <v/>
      </c>
    </row>
    <row r="5438" spans="31:36">
      <c r="AE5438" s="15" t="str">
        <f t="shared" si="0"/>
        <v/>
      </c>
      <c r="AF5438" s="15" t="str">
        <f t="shared" si="1"/>
        <v/>
      </c>
      <c r="AG5438" s="15" t="str">
        <f>IF(OR(AF5438="",AF5438="ERRO_CHAVE"),"",IFERROR(MATCH(AF5438,'Quitados DUPP'!$U$1:$U$6635,0),""))</f>
        <v/>
      </c>
      <c r="AH5438" s="15" t="str">
        <f t="shared" si="2"/>
        <v/>
      </c>
      <c r="AI5438" s="17" t="str">
        <f>IF(AG5438="","",INDEX('Quitados DUPP'!$G$1:$G$6635,AG5438))</f>
        <v/>
      </c>
      <c r="AJ5438" s="17" t="str">
        <f t="shared" si="3"/>
        <v/>
      </c>
    </row>
    <row r="5439" spans="31:36">
      <c r="AE5439" s="15" t="str">
        <f t="shared" si="0"/>
        <v/>
      </c>
      <c r="AF5439" s="15" t="str">
        <f t="shared" si="1"/>
        <v/>
      </c>
      <c r="AG5439" s="15" t="str">
        <f>IF(OR(AF5439="",AF5439="ERRO_CHAVE"),"",IFERROR(MATCH(AF5439,'Quitados DUPP'!$U$1:$U$6635,0),""))</f>
        <v/>
      </c>
      <c r="AH5439" s="15" t="str">
        <f t="shared" si="2"/>
        <v/>
      </c>
      <c r="AI5439" s="17" t="str">
        <f>IF(AG5439="","",INDEX('Quitados DUPP'!$G$1:$G$6635,AG5439))</f>
        <v/>
      </c>
      <c r="AJ5439" s="17" t="str">
        <f t="shared" si="3"/>
        <v/>
      </c>
    </row>
    <row r="5440" spans="31:36">
      <c r="AE5440" s="15" t="str">
        <f t="shared" si="0"/>
        <v/>
      </c>
      <c r="AF5440" s="15" t="str">
        <f t="shared" si="1"/>
        <v/>
      </c>
      <c r="AG5440" s="15" t="str">
        <f>IF(OR(AF5440="",AF5440="ERRO_CHAVE"),"",IFERROR(MATCH(AF5440,'Quitados DUPP'!$U$1:$U$6635,0),""))</f>
        <v/>
      </c>
      <c r="AH5440" s="15" t="str">
        <f t="shared" si="2"/>
        <v/>
      </c>
      <c r="AI5440" s="17" t="str">
        <f>IF(AG5440="","",INDEX('Quitados DUPP'!$G$1:$G$6635,AG5440))</f>
        <v/>
      </c>
      <c r="AJ5440" s="17" t="str">
        <f t="shared" si="3"/>
        <v/>
      </c>
    </row>
    <row r="5441" spans="31:36">
      <c r="AE5441" s="15" t="str">
        <f t="shared" si="0"/>
        <v/>
      </c>
      <c r="AF5441" s="15" t="str">
        <f t="shared" si="1"/>
        <v/>
      </c>
      <c r="AG5441" s="15" t="str">
        <f>IF(OR(AF5441="",AF5441="ERRO_CHAVE"),"",IFERROR(MATCH(AF5441,'Quitados DUPP'!$U$1:$U$6635,0),""))</f>
        <v/>
      </c>
      <c r="AH5441" s="15" t="str">
        <f t="shared" si="2"/>
        <v/>
      </c>
      <c r="AI5441" s="17" t="str">
        <f>IF(AG5441="","",INDEX('Quitados DUPP'!$G$1:$G$6635,AG5441))</f>
        <v/>
      </c>
      <c r="AJ5441" s="17" t="str">
        <f t="shared" si="3"/>
        <v/>
      </c>
    </row>
    <row r="5442" spans="31:36">
      <c r="AE5442" s="15" t="str">
        <f t="shared" si="0"/>
        <v/>
      </c>
      <c r="AF5442" s="15" t="str">
        <f t="shared" si="1"/>
        <v/>
      </c>
      <c r="AG5442" s="15" t="str">
        <f>IF(OR(AF5442="",AF5442="ERRO_CHAVE"),"",IFERROR(MATCH(AF5442,'Quitados DUPP'!$U$1:$U$6635,0),""))</f>
        <v/>
      </c>
      <c r="AH5442" s="15" t="str">
        <f t="shared" si="2"/>
        <v/>
      </c>
      <c r="AI5442" s="17" t="str">
        <f>IF(AG5442="","",INDEX('Quitados DUPP'!$G$1:$G$6635,AG5442))</f>
        <v/>
      </c>
      <c r="AJ5442" s="17" t="str">
        <f t="shared" si="3"/>
        <v/>
      </c>
    </row>
    <row r="5443" spans="31:36">
      <c r="AE5443" s="15" t="str">
        <f t="shared" si="0"/>
        <v/>
      </c>
      <c r="AF5443" s="15" t="str">
        <f t="shared" si="1"/>
        <v/>
      </c>
      <c r="AG5443" s="15" t="str">
        <f>IF(OR(AF5443="",AF5443="ERRO_CHAVE"),"",IFERROR(MATCH(AF5443,'Quitados DUPP'!$U$1:$U$6635,0),""))</f>
        <v/>
      </c>
      <c r="AH5443" s="15" t="str">
        <f t="shared" si="2"/>
        <v/>
      </c>
      <c r="AI5443" s="17" t="str">
        <f>IF(AG5443="","",INDEX('Quitados DUPP'!$G$1:$G$6635,AG5443))</f>
        <v/>
      </c>
      <c r="AJ5443" s="17" t="str">
        <f t="shared" si="3"/>
        <v/>
      </c>
    </row>
    <row r="5444" spans="31:36">
      <c r="AE5444" s="15" t="str">
        <f t="shared" si="0"/>
        <v/>
      </c>
      <c r="AF5444" s="15" t="str">
        <f t="shared" si="1"/>
        <v/>
      </c>
      <c r="AG5444" s="15" t="str">
        <f>IF(OR(AF5444="",AF5444="ERRO_CHAVE"),"",IFERROR(MATCH(AF5444,'Quitados DUPP'!$U$1:$U$6635,0),""))</f>
        <v/>
      </c>
      <c r="AH5444" s="15" t="str">
        <f t="shared" si="2"/>
        <v/>
      </c>
      <c r="AI5444" s="17" t="str">
        <f>IF(AG5444="","",INDEX('Quitados DUPP'!$G$1:$G$6635,AG5444))</f>
        <v/>
      </c>
      <c r="AJ5444" s="17" t="str">
        <f t="shared" si="3"/>
        <v/>
      </c>
    </row>
    <row r="5445" spans="31:36">
      <c r="AE5445" s="15" t="str">
        <f t="shared" si="0"/>
        <v/>
      </c>
      <c r="AF5445" s="15" t="str">
        <f t="shared" si="1"/>
        <v/>
      </c>
      <c r="AG5445" s="15" t="str">
        <f>IF(OR(AF5445="",AF5445="ERRO_CHAVE"),"",IFERROR(MATCH(AF5445,'Quitados DUPP'!$U$1:$U$6635,0),""))</f>
        <v/>
      </c>
      <c r="AH5445" s="15" t="str">
        <f t="shared" si="2"/>
        <v/>
      </c>
      <c r="AI5445" s="17" t="str">
        <f>IF(AG5445="","",INDEX('Quitados DUPP'!$G$1:$G$6635,AG5445))</f>
        <v/>
      </c>
      <c r="AJ5445" s="17" t="str">
        <f t="shared" si="3"/>
        <v/>
      </c>
    </row>
    <row r="5446" spans="31:36">
      <c r="AE5446" s="15" t="str">
        <f t="shared" si="0"/>
        <v/>
      </c>
      <c r="AF5446" s="15" t="str">
        <f t="shared" si="1"/>
        <v/>
      </c>
      <c r="AG5446" s="15" t="str">
        <f>IF(OR(AF5446="",AF5446="ERRO_CHAVE"),"",IFERROR(MATCH(AF5446,'Quitados DUPP'!$U$1:$U$6635,0),""))</f>
        <v/>
      </c>
      <c r="AH5446" s="15" t="str">
        <f t="shared" si="2"/>
        <v/>
      </c>
      <c r="AI5446" s="17" t="str">
        <f>IF(AG5446="","",INDEX('Quitados DUPP'!$G$1:$G$6635,AG5446))</f>
        <v/>
      </c>
      <c r="AJ5446" s="17" t="str">
        <f t="shared" si="3"/>
        <v/>
      </c>
    </row>
    <row r="5447" spans="31:36">
      <c r="AE5447" s="15" t="str">
        <f t="shared" si="0"/>
        <v/>
      </c>
      <c r="AF5447" s="15" t="str">
        <f t="shared" si="1"/>
        <v/>
      </c>
      <c r="AG5447" s="15" t="str">
        <f>IF(OR(AF5447="",AF5447="ERRO_CHAVE"),"",IFERROR(MATCH(AF5447,'Quitados DUPP'!$U$1:$U$6635,0),""))</f>
        <v/>
      </c>
      <c r="AH5447" s="15" t="str">
        <f t="shared" si="2"/>
        <v/>
      </c>
      <c r="AI5447" s="17" t="str">
        <f>IF(AG5447="","",INDEX('Quitados DUPP'!$G$1:$G$6635,AG5447))</f>
        <v/>
      </c>
      <c r="AJ5447" s="17" t="str">
        <f t="shared" si="3"/>
        <v/>
      </c>
    </row>
    <row r="5448" spans="31:36">
      <c r="AE5448" s="15" t="str">
        <f t="shared" si="0"/>
        <v/>
      </c>
      <c r="AF5448" s="15" t="str">
        <f t="shared" si="1"/>
        <v/>
      </c>
      <c r="AG5448" s="15" t="str">
        <f>IF(OR(AF5448="",AF5448="ERRO_CHAVE"),"",IFERROR(MATCH(AF5448,'Quitados DUPP'!$U$1:$U$6635,0),""))</f>
        <v/>
      </c>
      <c r="AH5448" s="15" t="str">
        <f t="shared" si="2"/>
        <v/>
      </c>
      <c r="AI5448" s="17" t="str">
        <f>IF(AG5448="","",INDEX('Quitados DUPP'!$G$1:$G$6635,AG5448))</f>
        <v/>
      </c>
      <c r="AJ5448" s="17" t="str">
        <f t="shared" si="3"/>
        <v/>
      </c>
    </row>
    <row r="5449" spans="31:36">
      <c r="AE5449" s="15" t="str">
        <f t="shared" si="0"/>
        <v/>
      </c>
      <c r="AF5449" s="15" t="str">
        <f t="shared" si="1"/>
        <v/>
      </c>
      <c r="AG5449" s="15" t="str">
        <f>IF(OR(AF5449="",AF5449="ERRO_CHAVE"),"",IFERROR(MATCH(AF5449,'Quitados DUPP'!$U$1:$U$6635,0),""))</f>
        <v/>
      </c>
      <c r="AH5449" s="15" t="str">
        <f t="shared" si="2"/>
        <v/>
      </c>
      <c r="AI5449" s="17" t="str">
        <f>IF(AG5449="","",INDEX('Quitados DUPP'!$G$1:$G$6635,AG5449))</f>
        <v/>
      </c>
      <c r="AJ5449" s="17" t="str">
        <f t="shared" si="3"/>
        <v/>
      </c>
    </row>
    <row r="5450" spans="31:36">
      <c r="AE5450" s="15" t="str">
        <f t="shared" si="0"/>
        <v/>
      </c>
      <c r="AF5450" s="15" t="str">
        <f t="shared" si="1"/>
        <v/>
      </c>
      <c r="AG5450" s="15" t="str">
        <f>IF(OR(AF5450="",AF5450="ERRO_CHAVE"),"",IFERROR(MATCH(AF5450,'Quitados DUPP'!$U$1:$U$6635,0),""))</f>
        <v/>
      </c>
      <c r="AH5450" s="15" t="str">
        <f t="shared" si="2"/>
        <v/>
      </c>
      <c r="AI5450" s="17" t="str">
        <f>IF(AG5450="","",INDEX('Quitados DUPP'!$G$1:$G$6635,AG5450))</f>
        <v/>
      </c>
      <c r="AJ5450" s="17" t="str">
        <f t="shared" si="3"/>
        <v/>
      </c>
    </row>
    <row r="5451" spans="31:36">
      <c r="AE5451" s="15" t="str">
        <f t="shared" si="0"/>
        <v/>
      </c>
      <c r="AF5451" s="15" t="str">
        <f t="shared" si="1"/>
        <v/>
      </c>
      <c r="AG5451" s="15" t="str">
        <f>IF(OR(AF5451="",AF5451="ERRO_CHAVE"),"",IFERROR(MATCH(AF5451,'Quitados DUPP'!$U$1:$U$6635,0),""))</f>
        <v/>
      </c>
      <c r="AH5451" s="15" t="str">
        <f t="shared" si="2"/>
        <v/>
      </c>
      <c r="AI5451" s="17" t="str">
        <f>IF(AG5451="","",INDEX('Quitados DUPP'!$G$1:$G$6635,AG5451))</f>
        <v/>
      </c>
      <c r="AJ5451" s="17" t="str">
        <f t="shared" si="3"/>
        <v/>
      </c>
    </row>
    <row r="5452" spans="31:36">
      <c r="AE5452" s="15" t="str">
        <f t="shared" si="0"/>
        <v/>
      </c>
      <c r="AF5452" s="15" t="str">
        <f t="shared" si="1"/>
        <v/>
      </c>
      <c r="AG5452" s="15" t="str">
        <f>IF(OR(AF5452="",AF5452="ERRO_CHAVE"),"",IFERROR(MATCH(AF5452,'Quitados DUPP'!$U$1:$U$6635,0),""))</f>
        <v/>
      </c>
      <c r="AH5452" s="15" t="str">
        <f t="shared" si="2"/>
        <v/>
      </c>
      <c r="AI5452" s="17" t="str">
        <f>IF(AG5452="","",INDEX('Quitados DUPP'!$G$1:$G$6635,AG5452))</f>
        <v/>
      </c>
      <c r="AJ5452" s="17" t="str">
        <f t="shared" si="3"/>
        <v/>
      </c>
    </row>
    <row r="5453" spans="31:36">
      <c r="AE5453" s="15" t="str">
        <f t="shared" si="0"/>
        <v/>
      </c>
      <c r="AF5453" s="15" t="str">
        <f t="shared" si="1"/>
        <v/>
      </c>
      <c r="AG5453" s="15" t="str">
        <f>IF(OR(AF5453="",AF5453="ERRO_CHAVE"),"",IFERROR(MATCH(AF5453,'Quitados DUPP'!$U$1:$U$6635,0),""))</f>
        <v/>
      </c>
      <c r="AH5453" s="15" t="str">
        <f t="shared" si="2"/>
        <v/>
      </c>
      <c r="AI5453" s="17" t="str">
        <f>IF(AG5453="","",INDEX('Quitados DUPP'!$G$1:$G$6635,AG5453))</f>
        <v/>
      </c>
      <c r="AJ5453" s="17" t="str">
        <f t="shared" si="3"/>
        <v/>
      </c>
    </row>
    <row r="5454" spans="31:36">
      <c r="AE5454" s="15" t="str">
        <f t="shared" si="0"/>
        <v/>
      </c>
      <c r="AF5454" s="15" t="str">
        <f t="shared" si="1"/>
        <v/>
      </c>
      <c r="AG5454" s="15" t="str">
        <f>IF(OR(AF5454="",AF5454="ERRO_CHAVE"),"",IFERROR(MATCH(AF5454,'Quitados DUPP'!$U$1:$U$6635,0),""))</f>
        <v/>
      </c>
      <c r="AH5454" s="15" t="str">
        <f t="shared" si="2"/>
        <v/>
      </c>
      <c r="AI5454" s="17" t="str">
        <f>IF(AG5454="","",INDEX('Quitados DUPP'!$G$1:$G$6635,AG5454))</f>
        <v/>
      </c>
      <c r="AJ5454" s="17" t="str">
        <f t="shared" si="3"/>
        <v/>
      </c>
    </row>
    <row r="5455" spans="31:36">
      <c r="AE5455" s="15" t="str">
        <f t="shared" si="0"/>
        <v/>
      </c>
      <c r="AF5455" s="15" t="str">
        <f t="shared" si="1"/>
        <v/>
      </c>
      <c r="AG5455" s="15" t="str">
        <f>IF(OR(AF5455="",AF5455="ERRO_CHAVE"),"",IFERROR(MATCH(AF5455,'Quitados DUPP'!$U$1:$U$6635,0),""))</f>
        <v/>
      </c>
      <c r="AH5455" s="15" t="str">
        <f t="shared" si="2"/>
        <v/>
      </c>
      <c r="AI5455" s="17" t="str">
        <f>IF(AG5455="","",INDEX('Quitados DUPP'!$G$1:$G$6635,AG5455))</f>
        <v/>
      </c>
      <c r="AJ5455" s="17" t="str">
        <f t="shared" si="3"/>
        <v/>
      </c>
    </row>
    <row r="5456" spans="31:36">
      <c r="AE5456" s="15" t="str">
        <f t="shared" si="0"/>
        <v/>
      </c>
      <c r="AF5456" s="15" t="str">
        <f t="shared" si="1"/>
        <v/>
      </c>
      <c r="AG5456" s="15" t="str">
        <f>IF(OR(AF5456="",AF5456="ERRO_CHAVE"),"",IFERROR(MATCH(AF5456,'Quitados DUPP'!$U$1:$U$6635,0),""))</f>
        <v/>
      </c>
      <c r="AH5456" s="15" t="str">
        <f t="shared" si="2"/>
        <v/>
      </c>
      <c r="AI5456" s="17" t="str">
        <f>IF(AG5456="","",INDEX('Quitados DUPP'!$G$1:$G$6635,AG5456))</f>
        <v/>
      </c>
      <c r="AJ5456" s="17" t="str">
        <f t="shared" si="3"/>
        <v/>
      </c>
    </row>
    <row r="5457" spans="31:36">
      <c r="AE5457" s="15" t="str">
        <f t="shared" si="0"/>
        <v/>
      </c>
      <c r="AF5457" s="15" t="str">
        <f t="shared" si="1"/>
        <v/>
      </c>
      <c r="AG5457" s="15" t="str">
        <f>IF(OR(AF5457="",AF5457="ERRO_CHAVE"),"",IFERROR(MATCH(AF5457,'Quitados DUPP'!$U$1:$U$6635,0),""))</f>
        <v/>
      </c>
      <c r="AH5457" s="15" t="str">
        <f t="shared" si="2"/>
        <v/>
      </c>
      <c r="AI5457" s="17" t="str">
        <f>IF(AG5457="","",INDEX('Quitados DUPP'!$G$1:$G$6635,AG5457))</f>
        <v/>
      </c>
      <c r="AJ5457" s="17" t="str">
        <f t="shared" si="3"/>
        <v/>
      </c>
    </row>
    <row r="5458" spans="31:36">
      <c r="AE5458" s="15" t="str">
        <f t="shared" si="0"/>
        <v/>
      </c>
      <c r="AF5458" s="15" t="str">
        <f t="shared" si="1"/>
        <v/>
      </c>
      <c r="AG5458" s="15" t="str">
        <f>IF(OR(AF5458="",AF5458="ERRO_CHAVE"),"",IFERROR(MATCH(AF5458,'Quitados DUPP'!$U$1:$U$6635,0),""))</f>
        <v/>
      </c>
      <c r="AH5458" s="15" t="str">
        <f t="shared" si="2"/>
        <v/>
      </c>
      <c r="AI5458" s="17" t="str">
        <f>IF(AG5458="","",INDEX('Quitados DUPP'!$G$1:$G$6635,AG5458))</f>
        <v/>
      </c>
      <c r="AJ5458" s="17" t="str">
        <f t="shared" si="3"/>
        <v/>
      </c>
    </row>
    <row r="5459" spans="31:36">
      <c r="AE5459" s="15" t="str">
        <f t="shared" si="0"/>
        <v/>
      </c>
      <c r="AF5459" s="15" t="str">
        <f t="shared" si="1"/>
        <v/>
      </c>
      <c r="AG5459" s="15" t="str">
        <f>IF(OR(AF5459="",AF5459="ERRO_CHAVE"),"",IFERROR(MATCH(AF5459,'Quitados DUPP'!$U$1:$U$6635,0),""))</f>
        <v/>
      </c>
      <c r="AH5459" s="15" t="str">
        <f t="shared" si="2"/>
        <v/>
      </c>
      <c r="AI5459" s="17" t="str">
        <f>IF(AG5459="","",INDEX('Quitados DUPP'!$G$1:$G$6635,AG5459))</f>
        <v/>
      </c>
      <c r="AJ5459" s="17" t="str">
        <f t="shared" si="3"/>
        <v/>
      </c>
    </row>
    <row r="5460" spans="31:36">
      <c r="AE5460" s="15" t="str">
        <f t="shared" si="0"/>
        <v/>
      </c>
      <c r="AF5460" s="15" t="str">
        <f t="shared" si="1"/>
        <v/>
      </c>
      <c r="AG5460" s="15" t="str">
        <f>IF(OR(AF5460="",AF5460="ERRO_CHAVE"),"",IFERROR(MATCH(AF5460,'Quitados DUPP'!$U$1:$U$6635,0),""))</f>
        <v/>
      </c>
      <c r="AH5460" s="15" t="str">
        <f t="shared" si="2"/>
        <v/>
      </c>
      <c r="AI5460" s="17" t="str">
        <f>IF(AG5460="","",INDEX('Quitados DUPP'!$G$1:$G$6635,AG5460))</f>
        <v/>
      </c>
      <c r="AJ5460" s="17" t="str">
        <f t="shared" si="3"/>
        <v/>
      </c>
    </row>
    <row r="5461" spans="31:36">
      <c r="AE5461" s="15" t="str">
        <f t="shared" si="0"/>
        <v/>
      </c>
      <c r="AF5461" s="15" t="str">
        <f t="shared" si="1"/>
        <v/>
      </c>
      <c r="AG5461" s="15" t="str">
        <f>IF(OR(AF5461="",AF5461="ERRO_CHAVE"),"",IFERROR(MATCH(AF5461,'Quitados DUPP'!$U$1:$U$6635,0),""))</f>
        <v/>
      </c>
      <c r="AH5461" s="15" t="str">
        <f t="shared" si="2"/>
        <v/>
      </c>
      <c r="AI5461" s="17" t="str">
        <f>IF(AG5461="","",INDEX('Quitados DUPP'!$G$1:$G$6635,AG5461))</f>
        <v/>
      </c>
      <c r="AJ5461" s="17" t="str">
        <f t="shared" si="3"/>
        <v/>
      </c>
    </row>
    <row r="5462" spans="31:36">
      <c r="AE5462" s="15" t="str">
        <f t="shared" si="0"/>
        <v/>
      </c>
      <c r="AF5462" s="15" t="str">
        <f t="shared" si="1"/>
        <v/>
      </c>
      <c r="AG5462" s="15" t="str">
        <f>IF(OR(AF5462="",AF5462="ERRO_CHAVE"),"",IFERROR(MATCH(AF5462,'Quitados DUPP'!$U$1:$U$6635,0),""))</f>
        <v/>
      </c>
      <c r="AH5462" s="15" t="str">
        <f t="shared" si="2"/>
        <v/>
      </c>
      <c r="AI5462" s="17" t="str">
        <f>IF(AG5462="","",INDEX('Quitados DUPP'!$G$1:$G$6635,AG5462))</f>
        <v/>
      </c>
      <c r="AJ5462" s="17" t="str">
        <f t="shared" si="3"/>
        <v/>
      </c>
    </row>
    <row r="5463" spans="31:36">
      <c r="AE5463" s="15" t="str">
        <f t="shared" si="0"/>
        <v/>
      </c>
      <c r="AF5463" s="15" t="str">
        <f t="shared" si="1"/>
        <v/>
      </c>
      <c r="AG5463" s="15" t="str">
        <f>IF(OR(AF5463="",AF5463="ERRO_CHAVE"),"",IFERROR(MATCH(AF5463,'Quitados DUPP'!$U$1:$U$6635,0),""))</f>
        <v/>
      </c>
      <c r="AH5463" s="15" t="str">
        <f t="shared" si="2"/>
        <v/>
      </c>
      <c r="AI5463" s="17" t="str">
        <f>IF(AG5463="","",INDEX('Quitados DUPP'!$G$1:$G$6635,AG5463))</f>
        <v/>
      </c>
      <c r="AJ5463" s="17" t="str">
        <f t="shared" si="3"/>
        <v/>
      </c>
    </row>
    <row r="5464" spans="31:36">
      <c r="AE5464" s="15" t="str">
        <f t="shared" si="0"/>
        <v/>
      </c>
      <c r="AF5464" s="15" t="str">
        <f t="shared" si="1"/>
        <v/>
      </c>
      <c r="AG5464" s="15" t="str">
        <f>IF(OR(AF5464="",AF5464="ERRO_CHAVE"),"",IFERROR(MATCH(AF5464,'Quitados DUPP'!$U$1:$U$6635,0),""))</f>
        <v/>
      </c>
      <c r="AH5464" s="15" t="str">
        <f t="shared" si="2"/>
        <v/>
      </c>
      <c r="AI5464" s="17" t="str">
        <f>IF(AG5464="","",INDEX('Quitados DUPP'!$G$1:$G$6635,AG5464))</f>
        <v/>
      </c>
      <c r="AJ5464" s="17" t="str">
        <f t="shared" si="3"/>
        <v/>
      </c>
    </row>
    <row r="5465" spans="31:36">
      <c r="AE5465" s="15" t="str">
        <f t="shared" si="0"/>
        <v/>
      </c>
      <c r="AF5465" s="15" t="str">
        <f t="shared" si="1"/>
        <v/>
      </c>
      <c r="AG5465" s="15" t="str">
        <f>IF(OR(AF5465="",AF5465="ERRO_CHAVE"),"",IFERROR(MATCH(AF5465,'Quitados DUPP'!$U$1:$U$6635,0),""))</f>
        <v/>
      </c>
      <c r="AH5465" s="15" t="str">
        <f t="shared" si="2"/>
        <v/>
      </c>
      <c r="AI5465" s="17" t="str">
        <f>IF(AG5465="","",INDEX('Quitados DUPP'!$G$1:$G$6635,AG5465))</f>
        <v/>
      </c>
      <c r="AJ5465" s="17" t="str">
        <f t="shared" si="3"/>
        <v/>
      </c>
    </row>
    <row r="5466" spans="31:36">
      <c r="AE5466" s="15" t="str">
        <f t="shared" si="0"/>
        <v/>
      </c>
      <c r="AF5466" s="15" t="str">
        <f t="shared" si="1"/>
        <v/>
      </c>
      <c r="AG5466" s="15" t="str">
        <f>IF(OR(AF5466="",AF5466="ERRO_CHAVE"),"",IFERROR(MATCH(AF5466,'Quitados DUPP'!$U$1:$U$6635,0),""))</f>
        <v/>
      </c>
      <c r="AH5466" s="15" t="str">
        <f t="shared" si="2"/>
        <v/>
      </c>
      <c r="AI5466" s="17" t="str">
        <f>IF(AG5466="","",INDEX('Quitados DUPP'!$G$1:$G$6635,AG5466))</f>
        <v/>
      </c>
      <c r="AJ5466" s="17" t="str">
        <f t="shared" si="3"/>
        <v/>
      </c>
    </row>
    <row r="5467" spans="31:36">
      <c r="AE5467" s="15" t="str">
        <f t="shared" si="0"/>
        <v/>
      </c>
      <c r="AF5467" s="15" t="str">
        <f t="shared" si="1"/>
        <v/>
      </c>
      <c r="AG5467" s="15" t="str">
        <f>IF(OR(AF5467="",AF5467="ERRO_CHAVE"),"",IFERROR(MATCH(AF5467,'Quitados DUPP'!$U$1:$U$6635,0),""))</f>
        <v/>
      </c>
      <c r="AH5467" s="15" t="str">
        <f t="shared" si="2"/>
        <v/>
      </c>
      <c r="AI5467" s="17" t="str">
        <f>IF(AG5467="","",INDEX('Quitados DUPP'!$G$1:$G$6635,AG5467))</f>
        <v/>
      </c>
      <c r="AJ5467" s="17" t="str">
        <f t="shared" si="3"/>
        <v/>
      </c>
    </row>
    <row r="5468" spans="31:36">
      <c r="AE5468" s="15" t="str">
        <f t="shared" si="0"/>
        <v/>
      </c>
      <c r="AF5468" s="15" t="str">
        <f t="shared" si="1"/>
        <v/>
      </c>
      <c r="AG5468" s="15" t="str">
        <f>IF(OR(AF5468="",AF5468="ERRO_CHAVE"),"",IFERROR(MATCH(AF5468,'Quitados DUPP'!$U$1:$U$6635,0),""))</f>
        <v/>
      </c>
      <c r="AH5468" s="15" t="str">
        <f t="shared" si="2"/>
        <v/>
      </c>
      <c r="AI5468" s="17" t="str">
        <f>IF(AG5468="","",INDEX('Quitados DUPP'!$G$1:$G$6635,AG5468))</f>
        <v/>
      </c>
      <c r="AJ5468" s="17" t="str">
        <f t="shared" si="3"/>
        <v/>
      </c>
    </row>
    <row r="5469" spans="31:36">
      <c r="AE5469" s="15" t="str">
        <f t="shared" si="0"/>
        <v/>
      </c>
      <c r="AF5469" s="15" t="str">
        <f t="shared" si="1"/>
        <v/>
      </c>
      <c r="AG5469" s="15" t="str">
        <f>IF(OR(AF5469="",AF5469="ERRO_CHAVE"),"",IFERROR(MATCH(AF5469,'Quitados DUPP'!$U$1:$U$6635,0),""))</f>
        <v/>
      </c>
      <c r="AH5469" s="15" t="str">
        <f t="shared" si="2"/>
        <v/>
      </c>
      <c r="AI5469" s="17" t="str">
        <f>IF(AG5469="","",INDEX('Quitados DUPP'!$G$1:$G$6635,AG5469))</f>
        <v/>
      </c>
      <c r="AJ5469" s="17" t="str">
        <f t="shared" si="3"/>
        <v/>
      </c>
    </row>
    <row r="5470" spans="31:36">
      <c r="AE5470" s="15" t="str">
        <f t="shared" si="0"/>
        <v/>
      </c>
      <c r="AF5470" s="15" t="str">
        <f t="shared" si="1"/>
        <v/>
      </c>
      <c r="AG5470" s="15" t="str">
        <f>IF(OR(AF5470="",AF5470="ERRO_CHAVE"),"",IFERROR(MATCH(AF5470,'Quitados DUPP'!$U$1:$U$6635,0),""))</f>
        <v/>
      </c>
      <c r="AH5470" s="15" t="str">
        <f t="shared" si="2"/>
        <v/>
      </c>
      <c r="AI5470" s="17" t="str">
        <f>IF(AG5470="","",INDEX('Quitados DUPP'!$G$1:$G$6635,AG5470))</f>
        <v/>
      </c>
      <c r="AJ5470" s="17" t="str">
        <f t="shared" si="3"/>
        <v/>
      </c>
    </row>
    <row r="5471" spans="31:36">
      <c r="AE5471" s="15" t="str">
        <f t="shared" si="0"/>
        <v/>
      </c>
      <c r="AF5471" s="15" t="str">
        <f t="shared" si="1"/>
        <v/>
      </c>
      <c r="AG5471" s="15" t="str">
        <f>IF(OR(AF5471="",AF5471="ERRO_CHAVE"),"",IFERROR(MATCH(AF5471,'Quitados DUPP'!$U$1:$U$6635,0),""))</f>
        <v/>
      </c>
      <c r="AH5471" s="15" t="str">
        <f t="shared" si="2"/>
        <v/>
      </c>
      <c r="AI5471" s="17" t="str">
        <f>IF(AG5471="","",INDEX('Quitados DUPP'!$G$1:$G$6635,AG5471))</f>
        <v/>
      </c>
      <c r="AJ5471" s="17" t="str">
        <f t="shared" si="3"/>
        <v/>
      </c>
    </row>
    <row r="5472" spans="31:36">
      <c r="AE5472" s="15" t="str">
        <f t="shared" si="0"/>
        <v/>
      </c>
      <c r="AF5472" s="15" t="str">
        <f t="shared" si="1"/>
        <v/>
      </c>
      <c r="AG5472" s="15" t="str">
        <f>IF(OR(AF5472="",AF5472="ERRO_CHAVE"),"",IFERROR(MATCH(AF5472,'Quitados DUPP'!$U$1:$U$6635,0),""))</f>
        <v/>
      </c>
      <c r="AH5472" s="15" t="str">
        <f t="shared" si="2"/>
        <v/>
      </c>
      <c r="AI5472" s="17" t="str">
        <f>IF(AG5472="","",INDEX('Quitados DUPP'!$G$1:$G$6635,AG5472))</f>
        <v/>
      </c>
      <c r="AJ5472" s="17" t="str">
        <f t="shared" si="3"/>
        <v/>
      </c>
    </row>
    <row r="5473" spans="31:36">
      <c r="AE5473" s="15" t="str">
        <f t="shared" si="0"/>
        <v/>
      </c>
      <c r="AF5473" s="15" t="str">
        <f t="shared" si="1"/>
        <v/>
      </c>
      <c r="AG5473" s="15" t="str">
        <f>IF(OR(AF5473="",AF5473="ERRO_CHAVE"),"",IFERROR(MATCH(AF5473,'Quitados DUPP'!$U$1:$U$6635,0),""))</f>
        <v/>
      </c>
      <c r="AH5473" s="15" t="str">
        <f t="shared" si="2"/>
        <v/>
      </c>
      <c r="AI5473" s="17" t="str">
        <f>IF(AG5473="","",INDEX('Quitados DUPP'!$G$1:$G$6635,AG5473))</f>
        <v/>
      </c>
      <c r="AJ5473" s="17" t="str">
        <f t="shared" si="3"/>
        <v/>
      </c>
    </row>
    <row r="5474" spans="31:36">
      <c r="AE5474" s="15" t="str">
        <f t="shared" si="0"/>
        <v/>
      </c>
      <c r="AF5474" s="15" t="str">
        <f t="shared" si="1"/>
        <v/>
      </c>
      <c r="AG5474" s="15" t="str">
        <f>IF(OR(AF5474="",AF5474="ERRO_CHAVE"),"",IFERROR(MATCH(AF5474,'Quitados DUPP'!$U$1:$U$6635,0),""))</f>
        <v/>
      </c>
      <c r="AH5474" s="15" t="str">
        <f t="shared" si="2"/>
        <v/>
      </c>
      <c r="AI5474" s="17" t="str">
        <f>IF(AG5474="","",INDEX('Quitados DUPP'!$G$1:$G$6635,AG5474))</f>
        <v/>
      </c>
      <c r="AJ5474" s="17" t="str">
        <f t="shared" si="3"/>
        <v/>
      </c>
    </row>
    <row r="5475" spans="31:36">
      <c r="AE5475" s="15" t="str">
        <f t="shared" si="0"/>
        <v/>
      </c>
      <c r="AF5475" s="15" t="str">
        <f t="shared" si="1"/>
        <v/>
      </c>
      <c r="AG5475" s="15" t="str">
        <f>IF(OR(AF5475="",AF5475="ERRO_CHAVE"),"",IFERROR(MATCH(AF5475,'Quitados DUPP'!$U$1:$U$6635,0),""))</f>
        <v/>
      </c>
      <c r="AH5475" s="15" t="str">
        <f t="shared" si="2"/>
        <v/>
      </c>
      <c r="AI5475" s="17" t="str">
        <f>IF(AG5475="","",INDEX('Quitados DUPP'!$G$1:$G$6635,AG5475))</f>
        <v/>
      </c>
      <c r="AJ5475" s="17" t="str">
        <f t="shared" si="3"/>
        <v/>
      </c>
    </row>
    <row r="5476" spans="31:36">
      <c r="AE5476" s="15" t="str">
        <f t="shared" si="0"/>
        <v/>
      </c>
      <c r="AF5476" s="15" t="str">
        <f t="shared" si="1"/>
        <v/>
      </c>
      <c r="AG5476" s="15" t="str">
        <f>IF(OR(AF5476="",AF5476="ERRO_CHAVE"),"",IFERROR(MATCH(AF5476,'Quitados DUPP'!$U$1:$U$6635,0),""))</f>
        <v/>
      </c>
      <c r="AH5476" s="15" t="str">
        <f t="shared" si="2"/>
        <v/>
      </c>
      <c r="AI5476" s="17" t="str">
        <f>IF(AG5476="","",INDEX('Quitados DUPP'!$G$1:$G$6635,AG5476))</f>
        <v/>
      </c>
      <c r="AJ5476" s="17" t="str">
        <f t="shared" si="3"/>
        <v/>
      </c>
    </row>
    <row r="5477" spans="31:36">
      <c r="AE5477" s="15" t="str">
        <f t="shared" si="0"/>
        <v/>
      </c>
      <c r="AF5477" s="15" t="str">
        <f t="shared" si="1"/>
        <v/>
      </c>
      <c r="AG5477" s="15" t="str">
        <f>IF(OR(AF5477="",AF5477="ERRO_CHAVE"),"",IFERROR(MATCH(AF5477,'Quitados DUPP'!$U$1:$U$6635,0),""))</f>
        <v/>
      </c>
      <c r="AH5477" s="15" t="str">
        <f t="shared" si="2"/>
        <v/>
      </c>
      <c r="AI5477" s="17" t="str">
        <f>IF(AG5477="","",INDEX('Quitados DUPP'!$G$1:$G$6635,AG5477))</f>
        <v/>
      </c>
      <c r="AJ5477" s="17" t="str">
        <f t="shared" si="3"/>
        <v/>
      </c>
    </row>
    <row r="5478" spans="31:36">
      <c r="AE5478" s="15" t="str">
        <f t="shared" si="0"/>
        <v/>
      </c>
      <c r="AF5478" s="15" t="str">
        <f t="shared" si="1"/>
        <v/>
      </c>
      <c r="AG5478" s="15" t="str">
        <f>IF(OR(AF5478="",AF5478="ERRO_CHAVE"),"",IFERROR(MATCH(AF5478,'Quitados DUPP'!$U$1:$U$6635,0),""))</f>
        <v/>
      </c>
      <c r="AH5478" s="15" t="str">
        <f t="shared" si="2"/>
        <v/>
      </c>
      <c r="AI5478" s="17" t="str">
        <f>IF(AG5478="","",INDEX('Quitados DUPP'!$G$1:$G$6635,AG5478))</f>
        <v/>
      </c>
      <c r="AJ5478" s="17" t="str">
        <f t="shared" si="3"/>
        <v/>
      </c>
    </row>
    <row r="5479" spans="31:36">
      <c r="AE5479" s="15" t="str">
        <f t="shared" si="0"/>
        <v/>
      </c>
      <c r="AF5479" s="15" t="str">
        <f t="shared" si="1"/>
        <v/>
      </c>
      <c r="AG5479" s="15" t="str">
        <f>IF(OR(AF5479="",AF5479="ERRO_CHAVE"),"",IFERROR(MATCH(AF5479,'Quitados DUPP'!$U$1:$U$6635,0),""))</f>
        <v/>
      </c>
      <c r="AH5479" s="15" t="str">
        <f t="shared" si="2"/>
        <v/>
      </c>
      <c r="AI5479" s="17" t="str">
        <f>IF(AG5479="","",INDEX('Quitados DUPP'!$G$1:$G$6635,AG5479))</f>
        <v/>
      </c>
      <c r="AJ5479" s="17" t="str">
        <f t="shared" si="3"/>
        <v/>
      </c>
    </row>
    <row r="5480" spans="31:36">
      <c r="AE5480" s="15" t="str">
        <f t="shared" si="0"/>
        <v/>
      </c>
      <c r="AF5480" s="15" t="str">
        <f t="shared" si="1"/>
        <v/>
      </c>
      <c r="AG5480" s="15" t="str">
        <f>IF(OR(AF5480="",AF5480="ERRO_CHAVE"),"",IFERROR(MATCH(AF5480,'Quitados DUPP'!$U$1:$U$6635,0),""))</f>
        <v/>
      </c>
      <c r="AH5480" s="15" t="str">
        <f t="shared" si="2"/>
        <v/>
      </c>
      <c r="AI5480" s="17" t="str">
        <f>IF(AG5480="","",INDEX('Quitados DUPP'!$G$1:$G$6635,AG5480))</f>
        <v/>
      </c>
      <c r="AJ5480" s="17" t="str">
        <f t="shared" si="3"/>
        <v/>
      </c>
    </row>
    <row r="5481" spans="31:36">
      <c r="AE5481" s="15" t="str">
        <f t="shared" si="0"/>
        <v/>
      </c>
      <c r="AF5481" s="15" t="str">
        <f t="shared" si="1"/>
        <v/>
      </c>
      <c r="AG5481" s="15" t="str">
        <f>IF(OR(AF5481="",AF5481="ERRO_CHAVE"),"",IFERROR(MATCH(AF5481,'Quitados DUPP'!$U$1:$U$6635,0),""))</f>
        <v/>
      </c>
      <c r="AH5481" s="15" t="str">
        <f t="shared" si="2"/>
        <v/>
      </c>
      <c r="AI5481" s="17" t="str">
        <f>IF(AG5481="","",INDEX('Quitados DUPP'!$G$1:$G$6635,AG5481))</f>
        <v/>
      </c>
      <c r="AJ5481" s="17" t="str">
        <f t="shared" si="3"/>
        <v/>
      </c>
    </row>
    <row r="5482" spans="31:36">
      <c r="AE5482" s="15" t="str">
        <f t="shared" si="0"/>
        <v/>
      </c>
      <c r="AF5482" s="15" t="str">
        <f t="shared" si="1"/>
        <v/>
      </c>
      <c r="AG5482" s="15" t="str">
        <f>IF(OR(AF5482="",AF5482="ERRO_CHAVE"),"",IFERROR(MATCH(AF5482,'Quitados DUPP'!$U$1:$U$6635,0),""))</f>
        <v/>
      </c>
      <c r="AH5482" s="15" t="str">
        <f t="shared" si="2"/>
        <v/>
      </c>
      <c r="AI5482" s="17" t="str">
        <f>IF(AG5482="","",INDEX('Quitados DUPP'!$G$1:$G$6635,AG5482))</f>
        <v/>
      </c>
      <c r="AJ5482" s="17" t="str">
        <f t="shared" si="3"/>
        <v/>
      </c>
    </row>
    <row r="5483" spans="31:36">
      <c r="AE5483" s="15" t="str">
        <f t="shared" si="0"/>
        <v/>
      </c>
      <c r="AF5483" s="15" t="str">
        <f t="shared" si="1"/>
        <v/>
      </c>
      <c r="AG5483" s="15" t="str">
        <f>IF(OR(AF5483="",AF5483="ERRO_CHAVE"),"",IFERROR(MATCH(AF5483,'Quitados DUPP'!$U$1:$U$6635,0),""))</f>
        <v/>
      </c>
      <c r="AH5483" s="15" t="str">
        <f t="shared" si="2"/>
        <v/>
      </c>
      <c r="AI5483" s="17" t="str">
        <f>IF(AG5483="","",INDEX('Quitados DUPP'!$G$1:$G$6635,AG5483))</f>
        <v/>
      </c>
      <c r="AJ5483" s="17" t="str">
        <f t="shared" si="3"/>
        <v/>
      </c>
    </row>
    <row r="5484" spans="31:36">
      <c r="AE5484" s="15" t="str">
        <f t="shared" si="0"/>
        <v/>
      </c>
      <c r="AF5484" s="15" t="str">
        <f t="shared" si="1"/>
        <v/>
      </c>
      <c r="AG5484" s="15" t="str">
        <f>IF(OR(AF5484="",AF5484="ERRO_CHAVE"),"",IFERROR(MATCH(AF5484,'Quitados DUPP'!$U$1:$U$6635,0),""))</f>
        <v/>
      </c>
      <c r="AH5484" s="15" t="str">
        <f t="shared" si="2"/>
        <v/>
      </c>
      <c r="AI5484" s="17" t="str">
        <f>IF(AG5484="","",INDEX('Quitados DUPP'!$G$1:$G$6635,AG5484))</f>
        <v/>
      </c>
      <c r="AJ5484" s="17" t="str">
        <f t="shared" si="3"/>
        <v/>
      </c>
    </row>
    <row r="5485" spans="31:36">
      <c r="AE5485" s="15" t="str">
        <f t="shared" si="0"/>
        <v/>
      </c>
      <c r="AF5485" s="15" t="str">
        <f t="shared" si="1"/>
        <v/>
      </c>
      <c r="AG5485" s="15" t="str">
        <f>IF(OR(AF5485="",AF5485="ERRO_CHAVE"),"",IFERROR(MATCH(AF5485,'Quitados DUPP'!$U$1:$U$6635,0),""))</f>
        <v/>
      </c>
      <c r="AH5485" s="15" t="str">
        <f t="shared" si="2"/>
        <v/>
      </c>
      <c r="AI5485" s="17" t="str">
        <f>IF(AG5485="","",INDEX('Quitados DUPP'!$G$1:$G$6635,AG5485))</f>
        <v/>
      </c>
      <c r="AJ5485" s="17" t="str">
        <f t="shared" si="3"/>
        <v/>
      </c>
    </row>
    <row r="5486" spans="31:36">
      <c r="AE5486" s="15" t="str">
        <f t="shared" si="0"/>
        <v/>
      </c>
      <c r="AF5486" s="15" t="str">
        <f t="shared" si="1"/>
        <v/>
      </c>
      <c r="AG5486" s="15" t="str">
        <f>IF(OR(AF5486="",AF5486="ERRO_CHAVE"),"",IFERROR(MATCH(AF5486,'Quitados DUPP'!$U$1:$U$6635,0),""))</f>
        <v/>
      </c>
      <c r="AH5486" s="15" t="str">
        <f t="shared" si="2"/>
        <v/>
      </c>
      <c r="AI5486" s="17" t="str">
        <f>IF(AG5486="","",INDEX('Quitados DUPP'!$G$1:$G$6635,AG5486))</f>
        <v/>
      </c>
      <c r="AJ5486" s="17" t="str">
        <f t="shared" si="3"/>
        <v/>
      </c>
    </row>
    <row r="5487" spans="31:36">
      <c r="AE5487" s="15" t="str">
        <f t="shared" si="0"/>
        <v/>
      </c>
      <c r="AF5487" s="15" t="str">
        <f t="shared" si="1"/>
        <v/>
      </c>
      <c r="AG5487" s="15" t="str">
        <f>IF(OR(AF5487="",AF5487="ERRO_CHAVE"),"",IFERROR(MATCH(AF5487,'Quitados DUPP'!$U$1:$U$6635,0),""))</f>
        <v/>
      </c>
      <c r="AH5487" s="15" t="str">
        <f t="shared" si="2"/>
        <v/>
      </c>
      <c r="AI5487" s="17" t="str">
        <f>IF(AG5487="","",INDEX('Quitados DUPP'!$G$1:$G$6635,AG5487))</f>
        <v/>
      </c>
      <c r="AJ5487" s="17" t="str">
        <f t="shared" si="3"/>
        <v/>
      </c>
    </row>
    <row r="5488" spans="31:36">
      <c r="AE5488" s="15" t="str">
        <f t="shared" si="0"/>
        <v/>
      </c>
      <c r="AF5488" s="15" t="str">
        <f t="shared" si="1"/>
        <v/>
      </c>
      <c r="AG5488" s="15" t="str">
        <f>IF(OR(AF5488="",AF5488="ERRO_CHAVE"),"",IFERROR(MATCH(AF5488,'Quitados DUPP'!$U$1:$U$6635,0),""))</f>
        <v/>
      </c>
      <c r="AH5488" s="15" t="str">
        <f t="shared" si="2"/>
        <v/>
      </c>
      <c r="AI5488" s="17" t="str">
        <f>IF(AG5488="","",INDEX('Quitados DUPP'!$G$1:$G$6635,AG5488))</f>
        <v/>
      </c>
      <c r="AJ5488" s="17" t="str">
        <f t="shared" si="3"/>
        <v/>
      </c>
    </row>
    <row r="5489" spans="31:36">
      <c r="AE5489" s="15" t="str">
        <f t="shared" si="0"/>
        <v/>
      </c>
      <c r="AF5489" s="15" t="str">
        <f t="shared" si="1"/>
        <v/>
      </c>
      <c r="AG5489" s="15" t="str">
        <f>IF(OR(AF5489="",AF5489="ERRO_CHAVE"),"",IFERROR(MATCH(AF5489,'Quitados DUPP'!$U$1:$U$6635,0),""))</f>
        <v/>
      </c>
      <c r="AH5489" s="15" t="str">
        <f t="shared" si="2"/>
        <v/>
      </c>
      <c r="AI5489" s="17" t="str">
        <f>IF(AG5489="","",INDEX('Quitados DUPP'!$G$1:$G$6635,AG5489))</f>
        <v/>
      </c>
      <c r="AJ5489" s="17" t="str">
        <f t="shared" si="3"/>
        <v/>
      </c>
    </row>
    <row r="5490" spans="31:36">
      <c r="AE5490" s="15" t="str">
        <f t="shared" si="0"/>
        <v/>
      </c>
      <c r="AF5490" s="15" t="str">
        <f t="shared" si="1"/>
        <v/>
      </c>
      <c r="AG5490" s="15" t="str">
        <f>IF(OR(AF5490="",AF5490="ERRO_CHAVE"),"",IFERROR(MATCH(AF5490,'Quitados DUPP'!$U$1:$U$6635,0),""))</f>
        <v/>
      </c>
      <c r="AH5490" s="15" t="str">
        <f t="shared" si="2"/>
        <v/>
      </c>
      <c r="AI5490" s="17" t="str">
        <f>IF(AG5490="","",INDEX('Quitados DUPP'!$G$1:$G$6635,AG5490))</f>
        <v/>
      </c>
      <c r="AJ5490" s="17" t="str">
        <f t="shared" si="3"/>
        <v/>
      </c>
    </row>
    <row r="5491" spans="31:36">
      <c r="AE5491" s="15" t="str">
        <f t="shared" si="0"/>
        <v/>
      </c>
      <c r="AF5491" s="15" t="str">
        <f t="shared" si="1"/>
        <v/>
      </c>
      <c r="AG5491" s="15" t="str">
        <f>IF(OR(AF5491="",AF5491="ERRO_CHAVE"),"",IFERROR(MATCH(AF5491,'Quitados DUPP'!$U$1:$U$6635,0),""))</f>
        <v/>
      </c>
      <c r="AH5491" s="15" t="str">
        <f t="shared" si="2"/>
        <v/>
      </c>
      <c r="AI5491" s="17" t="str">
        <f>IF(AG5491="","",INDEX('Quitados DUPP'!$G$1:$G$6635,AG5491))</f>
        <v/>
      </c>
      <c r="AJ5491" s="17" t="str">
        <f t="shared" si="3"/>
        <v/>
      </c>
    </row>
    <row r="5492" spans="31:36">
      <c r="AE5492" s="15" t="str">
        <f t="shared" si="0"/>
        <v/>
      </c>
      <c r="AF5492" s="15" t="str">
        <f t="shared" si="1"/>
        <v/>
      </c>
      <c r="AG5492" s="15" t="str">
        <f>IF(OR(AF5492="",AF5492="ERRO_CHAVE"),"",IFERROR(MATCH(AF5492,'Quitados DUPP'!$U$1:$U$6635,0),""))</f>
        <v/>
      </c>
      <c r="AH5492" s="15" t="str">
        <f t="shared" si="2"/>
        <v/>
      </c>
      <c r="AI5492" s="17" t="str">
        <f>IF(AG5492="","",INDEX('Quitados DUPP'!$G$1:$G$6635,AG5492))</f>
        <v/>
      </c>
      <c r="AJ5492" s="17" t="str">
        <f t="shared" si="3"/>
        <v/>
      </c>
    </row>
    <row r="5493" spans="31:36">
      <c r="AE5493" s="15" t="str">
        <f t="shared" si="0"/>
        <v/>
      </c>
      <c r="AF5493" s="15" t="str">
        <f t="shared" si="1"/>
        <v/>
      </c>
      <c r="AG5493" s="15" t="str">
        <f>IF(OR(AF5493="",AF5493="ERRO_CHAVE"),"",IFERROR(MATCH(AF5493,'Quitados DUPP'!$U$1:$U$6635,0),""))</f>
        <v/>
      </c>
      <c r="AH5493" s="15" t="str">
        <f t="shared" si="2"/>
        <v/>
      </c>
      <c r="AI5493" s="17" t="str">
        <f>IF(AG5493="","",INDEX('Quitados DUPP'!$G$1:$G$6635,AG5493))</f>
        <v/>
      </c>
      <c r="AJ5493" s="17" t="str">
        <f t="shared" si="3"/>
        <v/>
      </c>
    </row>
    <row r="5494" spans="31:36">
      <c r="AE5494" s="15" t="str">
        <f t="shared" si="0"/>
        <v/>
      </c>
      <c r="AF5494" s="15" t="str">
        <f t="shared" si="1"/>
        <v/>
      </c>
      <c r="AG5494" s="15" t="str">
        <f>IF(OR(AF5494="",AF5494="ERRO_CHAVE"),"",IFERROR(MATCH(AF5494,'Quitados DUPP'!$U$1:$U$6635,0),""))</f>
        <v/>
      </c>
      <c r="AH5494" s="15" t="str">
        <f t="shared" si="2"/>
        <v/>
      </c>
      <c r="AI5494" s="17" t="str">
        <f>IF(AG5494="","",INDEX('Quitados DUPP'!$G$1:$G$6635,AG5494))</f>
        <v/>
      </c>
      <c r="AJ5494" s="17" t="str">
        <f t="shared" si="3"/>
        <v/>
      </c>
    </row>
    <row r="5495" spans="31:36">
      <c r="AE5495" s="15" t="str">
        <f t="shared" si="0"/>
        <v/>
      </c>
      <c r="AF5495" s="15" t="str">
        <f t="shared" si="1"/>
        <v/>
      </c>
      <c r="AG5495" s="15" t="str">
        <f>IF(OR(AF5495="",AF5495="ERRO_CHAVE"),"",IFERROR(MATCH(AF5495,'Quitados DUPP'!$U$1:$U$6635,0),""))</f>
        <v/>
      </c>
      <c r="AH5495" s="15" t="str">
        <f t="shared" si="2"/>
        <v/>
      </c>
      <c r="AI5495" s="17" t="str">
        <f>IF(AG5495="","",INDEX('Quitados DUPP'!$G$1:$G$6635,AG5495))</f>
        <v/>
      </c>
      <c r="AJ5495" s="17" t="str">
        <f t="shared" si="3"/>
        <v/>
      </c>
    </row>
    <row r="5496" spans="31:36">
      <c r="AE5496" s="15" t="str">
        <f t="shared" si="0"/>
        <v/>
      </c>
      <c r="AF5496" s="15" t="str">
        <f t="shared" si="1"/>
        <v/>
      </c>
      <c r="AG5496" s="15" t="str">
        <f>IF(OR(AF5496="",AF5496="ERRO_CHAVE"),"",IFERROR(MATCH(AF5496,'Quitados DUPP'!$U$1:$U$6635,0),""))</f>
        <v/>
      </c>
      <c r="AH5496" s="15" t="str">
        <f t="shared" si="2"/>
        <v/>
      </c>
      <c r="AI5496" s="17" t="str">
        <f>IF(AG5496="","",INDEX('Quitados DUPP'!$G$1:$G$6635,AG5496))</f>
        <v/>
      </c>
      <c r="AJ5496" s="17" t="str">
        <f t="shared" si="3"/>
        <v/>
      </c>
    </row>
    <row r="5497" spans="31:36">
      <c r="AE5497" s="15" t="str">
        <f t="shared" si="0"/>
        <v/>
      </c>
      <c r="AF5497" s="15" t="str">
        <f t="shared" si="1"/>
        <v/>
      </c>
      <c r="AG5497" s="15" t="str">
        <f>IF(OR(AF5497="",AF5497="ERRO_CHAVE"),"",IFERROR(MATCH(AF5497,'Quitados DUPP'!$U$1:$U$6635,0),""))</f>
        <v/>
      </c>
      <c r="AH5497" s="15" t="str">
        <f t="shared" si="2"/>
        <v/>
      </c>
      <c r="AI5497" s="17" t="str">
        <f>IF(AG5497="","",INDEX('Quitados DUPP'!$G$1:$G$6635,AG5497))</f>
        <v/>
      </c>
      <c r="AJ5497" s="17" t="str">
        <f t="shared" si="3"/>
        <v/>
      </c>
    </row>
    <row r="5498" spans="31:36">
      <c r="AE5498" s="15" t="str">
        <f t="shared" si="0"/>
        <v/>
      </c>
      <c r="AF5498" s="15" t="str">
        <f t="shared" si="1"/>
        <v/>
      </c>
      <c r="AG5498" s="15" t="str">
        <f>IF(OR(AF5498="",AF5498="ERRO_CHAVE"),"",IFERROR(MATCH(AF5498,'Quitados DUPP'!$U$1:$U$6635,0),""))</f>
        <v/>
      </c>
      <c r="AH5498" s="15" t="str">
        <f t="shared" si="2"/>
        <v/>
      </c>
      <c r="AI5498" s="17" t="str">
        <f>IF(AG5498="","",INDEX('Quitados DUPP'!$G$1:$G$6635,AG5498))</f>
        <v/>
      </c>
      <c r="AJ5498" s="17" t="str">
        <f t="shared" si="3"/>
        <v/>
      </c>
    </row>
    <row r="5499" spans="31:36">
      <c r="AE5499" s="15" t="str">
        <f t="shared" si="0"/>
        <v/>
      </c>
      <c r="AF5499" s="15" t="str">
        <f t="shared" si="1"/>
        <v/>
      </c>
      <c r="AG5499" s="15" t="str">
        <f>IF(OR(AF5499="",AF5499="ERRO_CHAVE"),"",IFERROR(MATCH(AF5499,'Quitados DUPP'!$U$1:$U$6635,0),""))</f>
        <v/>
      </c>
      <c r="AH5499" s="15" t="str">
        <f t="shared" si="2"/>
        <v/>
      </c>
      <c r="AI5499" s="17" t="str">
        <f>IF(AG5499="","",INDEX('Quitados DUPP'!$G$1:$G$6635,AG5499))</f>
        <v/>
      </c>
      <c r="AJ5499" s="17" t="str">
        <f t="shared" si="3"/>
        <v/>
      </c>
    </row>
    <row r="5500" spans="31:36">
      <c r="AE5500" s="15" t="str">
        <f t="shared" si="0"/>
        <v/>
      </c>
      <c r="AF5500" s="15" t="str">
        <f t="shared" si="1"/>
        <v/>
      </c>
      <c r="AG5500" s="15" t="str">
        <f>IF(OR(AF5500="",AF5500="ERRO_CHAVE"),"",IFERROR(MATCH(AF5500,'Quitados DUPP'!$U$1:$U$6635,0),""))</f>
        <v/>
      </c>
      <c r="AH5500" s="15" t="str">
        <f t="shared" si="2"/>
        <v/>
      </c>
      <c r="AI5500" s="17" t="str">
        <f>IF(AG5500="","",INDEX('Quitados DUPP'!$G$1:$G$6635,AG5500))</f>
        <v/>
      </c>
      <c r="AJ5500" s="17" t="str">
        <f t="shared" si="3"/>
        <v/>
      </c>
    </row>
    <row r="5501" spans="31:36">
      <c r="AE5501" s="15" t="str">
        <f t="shared" si="0"/>
        <v/>
      </c>
      <c r="AF5501" s="15" t="str">
        <f t="shared" si="1"/>
        <v/>
      </c>
      <c r="AG5501" s="15" t="str">
        <f>IF(OR(AF5501="",AF5501="ERRO_CHAVE"),"",IFERROR(MATCH(AF5501,'Quitados DUPP'!$U$1:$U$6635,0),""))</f>
        <v/>
      </c>
      <c r="AH5501" s="15" t="str">
        <f t="shared" si="2"/>
        <v/>
      </c>
      <c r="AI5501" s="17" t="str">
        <f>IF(AG5501="","",INDEX('Quitados DUPP'!$G$1:$G$6635,AG5501))</f>
        <v/>
      </c>
      <c r="AJ5501" s="17" t="str">
        <f t="shared" si="3"/>
        <v/>
      </c>
    </row>
    <row r="5502" spans="31:36">
      <c r="AE5502" s="15" t="str">
        <f t="shared" si="0"/>
        <v/>
      </c>
      <c r="AF5502" s="15" t="str">
        <f t="shared" si="1"/>
        <v/>
      </c>
      <c r="AG5502" s="15" t="str">
        <f>IF(OR(AF5502="",AF5502="ERRO_CHAVE"),"",IFERROR(MATCH(AF5502,'Quitados DUPP'!$U$1:$U$6635,0),""))</f>
        <v/>
      </c>
      <c r="AH5502" s="15" t="str">
        <f t="shared" si="2"/>
        <v/>
      </c>
      <c r="AI5502" s="17" t="str">
        <f>IF(AG5502="","",INDEX('Quitados DUPP'!$G$1:$G$6635,AG5502))</f>
        <v/>
      </c>
      <c r="AJ5502" s="17" t="str">
        <f t="shared" si="3"/>
        <v/>
      </c>
    </row>
    <row r="5503" spans="31:36">
      <c r="AE5503" s="15" t="str">
        <f t="shared" si="0"/>
        <v/>
      </c>
      <c r="AF5503" s="15" t="str">
        <f t="shared" si="1"/>
        <v/>
      </c>
      <c r="AG5503" s="15" t="str">
        <f>IF(OR(AF5503="",AF5503="ERRO_CHAVE"),"",IFERROR(MATCH(AF5503,'Quitados DUPP'!$U$1:$U$6635,0),""))</f>
        <v/>
      </c>
      <c r="AH5503" s="15" t="str">
        <f t="shared" si="2"/>
        <v/>
      </c>
      <c r="AI5503" s="17" t="str">
        <f>IF(AG5503="","",INDEX('Quitados DUPP'!$G$1:$G$6635,AG5503))</f>
        <v/>
      </c>
      <c r="AJ5503" s="17" t="str">
        <f t="shared" si="3"/>
        <v/>
      </c>
    </row>
    <row r="5504" spans="31:36">
      <c r="AE5504" s="15" t="str">
        <f t="shared" si="0"/>
        <v/>
      </c>
      <c r="AF5504" s="15" t="str">
        <f t="shared" si="1"/>
        <v/>
      </c>
      <c r="AG5504" s="15" t="str">
        <f>IF(OR(AF5504="",AF5504="ERRO_CHAVE"),"",IFERROR(MATCH(AF5504,'Quitados DUPP'!$U$1:$U$6635,0),""))</f>
        <v/>
      </c>
      <c r="AH5504" s="15" t="str">
        <f t="shared" si="2"/>
        <v/>
      </c>
      <c r="AI5504" s="17" t="str">
        <f>IF(AG5504="","",INDEX('Quitados DUPP'!$G$1:$G$6635,AG5504))</f>
        <v/>
      </c>
      <c r="AJ5504" s="17" t="str">
        <f t="shared" si="3"/>
        <v/>
      </c>
    </row>
    <row r="5505" spans="31:36">
      <c r="AE5505" s="15" t="str">
        <f t="shared" si="0"/>
        <v/>
      </c>
      <c r="AF5505" s="15" t="str">
        <f t="shared" si="1"/>
        <v/>
      </c>
      <c r="AG5505" s="15" t="str">
        <f>IF(OR(AF5505="",AF5505="ERRO_CHAVE"),"",IFERROR(MATCH(AF5505,'Quitados DUPP'!$U$1:$U$6635,0),""))</f>
        <v/>
      </c>
      <c r="AH5505" s="15" t="str">
        <f t="shared" si="2"/>
        <v/>
      </c>
      <c r="AI5505" s="17" t="str">
        <f>IF(AG5505="","",INDEX('Quitados DUPP'!$G$1:$G$6635,AG5505))</f>
        <v/>
      </c>
      <c r="AJ5505" s="17" t="str">
        <f t="shared" si="3"/>
        <v/>
      </c>
    </row>
    <row r="5506" spans="31:36">
      <c r="AE5506" s="15" t="str">
        <f t="shared" si="0"/>
        <v/>
      </c>
      <c r="AF5506" s="15" t="str">
        <f t="shared" si="1"/>
        <v/>
      </c>
      <c r="AG5506" s="15" t="str">
        <f>IF(OR(AF5506="",AF5506="ERRO_CHAVE"),"",IFERROR(MATCH(AF5506,'Quitados DUPP'!$U$1:$U$6635,0),""))</f>
        <v/>
      </c>
      <c r="AH5506" s="15" t="str">
        <f t="shared" si="2"/>
        <v/>
      </c>
      <c r="AI5506" s="17" t="str">
        <f>IF(AG5506="","",INDEX('Quitados DUPP'!$G$1:$G$6635,AG5506))</f>
        <v/>
      </c>
      <c r="AJ5506" s="17" t="str">
        <f t="shared" si="3"/>
        <v/>
      </c>
    </row>
    <row r="5507" spans="31:36">
      <c r="AE5507" s="15" t="str">
        <f t="shared" si="0"/>
        <v/>
      </c>
      <c r="AF5507" s="15" t="str">
        <f t="shared" si="1"/>
        <v/>
      </c>
      <c r="AG5507" s="15" t="str">
        <f>IF(OR(AF5507="",AF5507="ERRO_CHAVE"),"",IFERROR(MATCH(AF5507,'Quitados DUPP'!$U$1:$U$6635,0),""))</f>
        <v/>
      </c>
      <c r="AH5507" s="15" t="str">
        <f t="shared" si="2"/>
        <v/>
      </c>
      <c r="AI5507" s="17" t="str">
        <f>IF(AG5507="","",INDEX('Quitados DUPP'!$G$1:$G$6635,AG5507))</f>
        <v/>
      </c>
      <c r="AJ5507" s="17" t="str">
        <f t="shared" si="3"/>
        <v/>
      </c>
    </row>
    <row r="5508" spans="31:36">
      <c r="AE5508" s="15" t="str">
        <f t="shared" si="0"/>
        <v/>
      </c>
      <c r="AF5508" s="15" t="str">
        <f t="shared" si="1"/>
        <v/>
      </c>
      <c r="AG5508" s="15" t="str">
        <f>IF(OR(AF5508="",AF5508="ERRO_CHAVE"),"",IFERROR(MATCH(AF5508,'Quitados DUPP'!$U$1:$U$6635,0),""))</f>
        <v/>
      </c>
      <c r="AH5508" s="15" t="str">
        <f t="shared" si="2"/>
        <v/>
      </c>
      <c r="AI5508" s="17" t="str">
        <f>IF(AG5508="","",INDEX('Quitados DUPP'!$G$1:$G$6635,AG5508))</f>
        <v/>
      </c>
      <c r="AJ5508" s="17" t="str">
        <f t="shared" si="3"/>
        <v/>
      </c>
    </row>
    <row r="5509" spans="31:36">
      <c r="AE5509" s="15" t="str">
        <f t="shared" si="0"/>
        <v/>
      </c>
      <c r="AF5509" s="15" t="str">
        <f t="shared" si="1"/>
        <v/>
      </c>
      <c r="AG5509" s="15" t="str">
        <f>IF(OR(AF5509="",AF5509="ERRO_CHAVE"),"",IFERROR(MATCH(AF5509,'Quitados DUPP'!$U$1:$U$6635,0),""))</f>
        <v/>
      </c>
      <c r="AH5509" s="15" t="str">
        <f t="shared" si="2"/>
        <v/>
      </c>
      <c r="AI5509" s="17" t="str">
        <f>IF(AG5509="","",INDEX('Quitados DUPP'!$G$1:$G$6635,AG5509))</f>
        <v/>
      </c>
      <c r="AJ5509" s="17" t="str">
        <f t="shared" si="3"/>
        <v/>
      </c>
    </row>
    <row r="5510" spans="31:36">
      <c r="AE5510" s="15" t="str">
        <f t="shared" si="0"/>
        <v/>
      </c>
      <c r="AF5510" s="15" t="str">
        <f t="shared" si="1"/>
        <v/>
      </c>
      <c r="AG5510" s="15" t="str">
        <f>IF(OR(AF5510="",AF5510="ERRO_CHAVE"),"",IFERROR(MATCH(AF5510,'Quitados DUPP'!$U$1:$U$6635,0),""))</f>
        <v/>
      </c>
      <c r="AH5510" s="15" t="str">
        <f t="shared" si="2"/>
        <v/>
      </c>
      <c r="AI5510" s="17" t="str">
        <f>IF(AG5510="","",INDEX('Quitados DUPP'!$G$1:$G$6635,AG5510))</f>
        <v/>
      </c>
      <c r="AJ5510" s="17" t="str">
        <f t="shared" si="3"/>
        <v/>
      </c>
    </row>
    <row r="5511" spans="31:36">
      <c r="AE5511" s="15" t="str">
        <f t="shared" si="0"/>
        <v/>
      </c>
      <c r="AF5511" s="15" t="str">
        <f t="shared" si="1"/>
        <v/>
      </c>
      <c r="AG5511" s="15" t="str">
        <f>IF(OR(AF5511="",AF5511="ERRO_CHAVE"),"",IFERROR(MATCH(AF5511,'Quitados DUPP'!$U$1:$U$6635,0),""))</f>
        <v/>
      </c>
      <c r="AH5511" s="15" t="str">
        <f t="shared" si="2"/>
        <v/>
      </c>
      <c r="AI5511" s="17" t="str">
        <f>IF(AG5511="","",INDEX('Quitados DUPP'!$G$1:$G$6635,AG5511))</f>
        <v/>
      </c>
      <c r="AJ5511" s="17" t="str">
        <f t="shared" si="3"/>
        <v/>
      </c>
    </row>
    <row r="5512" spans="31:36">
      <c r="AE5512" s="15" t="str">
        <f t="shared" si="0"/>
        <v/>
      </c>
      <c r="AF5512" s="15" t="str">
        <f t="shared" si="1"/>
        <v/>
      </c>
      <c r="AG5512" s="15" t="str">
        <f>IF(OR(AF5512="",AF5512="ERRO_CHAVE"),"",IFERROR(MATCH(AF5512,'Quitados DUPP'!$U$1:$U$6635,0),""))</f>
        <v/>
      </c>
      <c r="AH5512" s="15" t="str">
        <f t="shared" si="2"/>
        <v/>
      </c>
      <c r="AI5512" s="17" t="str">
        <f>IF(AG5512="","",INDEX('Quitados DUPP'!$G$1:$G$6635,AG5512))</f>
        <v/>
      </c>
      <c r="AJ5512" s="17" t="str">
        <f t="shared" si="3"/>
        <v/>
      </c>
    </row>
    <row r="5513" spans="31:36">
      <c r="AE5513" s="15" t="str">
        <f t="shared" si="0"/>
        <v/>
      </c>
      <c r="AF5513" s="15" t="str">
        <f t="shared" si="1"/>
        <v/>
      </c>
      <c r="AG5513" s="15" t="str">
        <f>IF(OR(AF5513="",AF5513="ERRO_CHAVE"),"",IFERROR(MATCH(AF5513,'Quitados DUPP'!$U$1:$U$6635,0),""))</f>
        <v/>
      </c>
      <c r="AH5513" s="15" t="str">
        <f t="shared" si="2"/>
        <v/>
      </c>
      <c r="AI5513" s="17" t="str">
        <f>IF(AG5513="","",INDEX('Quitados DUPP'!$G$1:$G$6635,AG5513))</f>
        <v/>
      </c>
      <c r="AJ5513" s="17" t="str">
        <f t="shared" si="3"/>
        <v/>
      </c>
    </row>
    <row r="5514" spans="31:36">
      <c r="AE5514" s="15" t="str">
        <f t="shared" si="0"/>
        <v/>
      </c>
      <c r="AF5514" s="15" t="str">
        <f t="shared" si="1"/>
        <v/>
      </c>
      <c r="AG5514" s="15" t="str">
        <f>IF(OR(AF5514="",AF5514="ERRO_CHAVE"),"",IFERROR(MATCH(AF5514,'Quitados DUPP'!$U$1:$U$6635,0),""))</f>
        <v/>
      </c>
      <c r="AH5514" s="15" t="str">
        <f t="shared" si="2"/>
        <v/>
      </c>
      <c r="AI5514" s="17" t="str">
        <f>IF(AG5514="","",INDEX('Quitados DUPP'!$G$1:$G$6635,AG5514))</f>
        <v/>
      </c>
      <c r="AJ5514" s="17" t="str">
        <f t="shared" si="3"/>
        <v/>
      </c>
    </row>
    <row r="5515" spans="31:36">
      <c r="AE5515" s="15" t="str">
        <f t="shared" si="0"/>
        <v/>
      </c>
      <c r="AF5515" s="15" t="str">
        <f t="shared" si="1"/>
        <v/>
      </c>
      <c r="AG5515" s="15" t="str">
        <f>IF(OR(AF5515="",AF5515="ERRO_CHAVE"),"",IFERROR(MATCH(AF5515,'Quitados DUPP'!$U$1:$U$6635,0),""))</f>
        <v/>
      </c>
      <c r="AH5515" s="15" t="str">
        <f t="shared" si="2"/>
        <v/>
      </c>
      <c r="AI5515" s="17" t="str">
        <f>IF(AG5515="","",INDEX('Quitados DUPP'!$G$1:$G$6635,AG5515))</f>
        <v/>
      </c>
      <c r="AJ5515" s="17" t="str">
        <f t="shared" si="3"/>
        <v/>
      </c>
    </row>
    <row r="5516" spans="31:36">
      <c r="AE5516" s="15" t="str">
        <f t="shared" si="0"/>
        <v/>
      </c>
      <c r="AF5516" s="15" t="str">
        <f t="shared" si="1"/>
        <v/>
      </c>
      <c r="AG5516" s="15" t="str">
        <f>IF(OR(AF5516="",AF5516="ERRO_CHAVE"),"",IFERROR(MATCH(AF5516,'Quitados DUPP'!$U$1:$U$6635,0),""))</f>
        <v/>
      </c>
      <c r="AH5516" s="15" t="str">
        <f t="shared" si="2"/>
        <v/>
      </c>
      <c r="AI5516" s="17" t="str">
        <f>IF(AG5516="","",INDEX('Quitados DUPP'!$G$1:$G$6635,AG5516))</f>
        <v/>
      </c>
      <c r="AJ5516" s="17" t="str">
        <f t="shared" si="3"/>
        <v/>
      </c>
    </row>
    <row r="5517" spans="31:36">
      <c r="AE5517" s="15" t="str">
        <f t="shared" si="0"/>
        <v/>
      </c>
      <c r="AF5517" s="15" t="str">
        <f t="shared" si="1"/>
        <v/>
      </c>
      <c r="AG5517" s="15" t="str">
        <f>IF(OR(AF5517="",AF5517="ERRO_CHAVE"),"",IFERROR(MATCH(AF5517,'Quitados DUPP'!$U$1:$U$6635,0),""))</f>
        <v/>
      </c>
      <c r="AH5517" s="15" t="str">
        <f t="shared" si="2"/>
        <v/>
      </c>
      <c r="AI5517" s="17" t="str">
        <f>IF(AG5517="","",INDEX('Quitados DUPP'!$G$1:$G$6635,AG5517))</f>
        <v/>
      </c>
      <c r="AJ5517" s="17" t="str">
        <f t="shared" si="3"/>
        <v/>
      </c>
    </row>
    <row r="5518" spans="31:36">
      <c r="AE5518" s="15" t="str">
        <f t="shared" si="0"/>
        <v/>
      </c>
      <c r="AF5518" s="15" t="str">
        <f t="shared" si="1"/>
        <v/>
      </c>
      <c r="AG5518" s="15" t="str">
        <f>IF(OR(AF5518="",AF5518="ERRO_CHAVE"),"",IFERROR(MATCH(AF5518,'Quitados DUPP'!$U$1:$U$6635,0),""))</f>
        <v/>
      </c>
      <c r="AH5518" s="15" t="str">
        <f t="shared" si="2"/>
        <v/>
      </c>
      <c r="AI5518" s="17" t="str">
        <f>IF(AG5518="","",INDEX('Quitados DUPP'!$G$1:$G$6635,AG5518))</f>
        <v/>
      </c>
      <c r="AJ5518" s="17" t="str">
        <f t="shared" si="3"/>
        <v/>
      </c>
    </row>
    <row r="5519" spans="31:36">
      <c r="AE5519" s="15" t="str">
        <f t="shared" si="0"/>
        <v/>
      </c>
      <c r="AF5519" s="15" t="str">
        <f t="shared" si="1"/>
        <v/>
      </c>
      <c r="AG5519" s="15" t="str">
        <f>IF(OR(AF5519="",AF5519="ERRO_CHAVE"),"",IFERROR(MATCH(AF5519,'Quitados DUPP'!$U$1:$U$6635,0),""))</f>
        <v/>
      </c>
      <c r="AH5519" s="15" t="str">
        <f t="shared" si="2"/>
        <v/>
      </c>
      <c r="AI5519" s="17" t="str">
        <f>IF(AG5519="","",INDEX('Quitados DUPP'!$G$1:$G$6635,AG5519))</f>
        <v/>
      </c>
      <c r="AJ5519" s="17" t="str">
        <f t="shared" si="3"/>
        <v/>
      </c>
    </row>
    <row r="5520" spans="31:36">
      <c r="AE5520" s="15" t="str">
        <f t="shared" si="0"/>
        <v/>
      </c>
      <c r="AF5520" s="15" t="str">
        <f t="shared" si="1"/>
        <v/>
      </c>
      <c r="AG5520" s="15" t="str">
        <f>IF(OR(AF5520="",AF5520="ERRO_CHAVE"),"",IFERROR(MATCH(AF5520,'Quitados DUPP'!$U$1:$U$6635,0),""))</f>
        <v/>
      </c>
      <c r="AH5520" s="15" t="str">
        <f t="shared" si="2"/>
        <v/>
      </c>
      <c r="AI5520" s="17" t="str">
        <f>IF(AG5520="","",INDEX('Quitados DUPP'!$G$1:$G$6635,AG5520))</f>
        <v/>
      </c>
      <c r="AJ5520" s="17" t="str">
        <f t="shared" si="3"/>
        <v/>
      </c>
    </row>
    <row r="5521" spans="31:36">
      <c r="AE5521" s="15" t="str">
        <f t="shared" si="0"/>
        <v/>
      </c>
      <c r="AF5521" s="15" t="str">
        <f t="shared" si="1"/>
        <v/>
      </c>
      <c r="AG5521" s="15" t="str">
        <f>IF(OR(AF5521="",AF5521="ERRO_CHAVE"),"",IFERROR(MATCH(AF5521,'Quitados DUPP'!$U$1:$U$6635,0),""))</f>
        <v/>
      </c>
      <c r="AH5521" s="15" t="str">
        <f t="shared" si="2"/>
        <v/>
      </c>
      <c r="AI5521" s="17" t="str">
        <f>IF(AG5521="","",INDEX('Quitados DUPP'!$G$1:$G$6635,AG5521))</f>
        <v/>
      </c>
      <c r="AJ5521" s="17" t="str">
        <f t="shared" si="3"/>
        <v/>
      </c>
    </row>
    <row r="5522" spans="31:36">
      <c r="AE5522" s="15" t="str">
        <f t="shared" si="0"/>
        <v/>
      </c>
      <c r="AF5522" s="15" t="str">
        <f t="shared" si="1"/>
        <v/>
      </c>
      <c r="AG5522" s="15" t="str">
        <f>IF(OR(AF5522="",AF5522="ERRO_CHAVE"),"",IFERROR(MATCH(AF5522,'Quitados DUPP'!$U$1:$U$6635,0),""))</f>
        <v/>
      </c>
      <c r="AH5522" s="15" t="str">
        <f t="shared" si="2"/>
        <v/>
      </c>
      <c r="AI5522" s="17" t="str">
        <f>IF(AG5522="","",INDEX('Quitados DUPP'!$G$1:$G$6635,AG5522))</f>
        <v/>
      </c>
      <c r="AJ5522" s="17" t="str">
        <f t="shared" si="3"/>
        <v/>
      </c>
    </row>
    <row r="5523" spans="31:36">
      <c r="AE5523" s="15" t="str">
        <f t="shared" si="0"/>
        <v/>
      </c>
      <c r="AF5523" s="15" t="str">
        <f t="shared" si="1"/>
        <v/>
      </c>
      <c r="AG5523" s="15" t="str">
        <f>IF(OR(AF5523="",AF5523="ERRO_CHAVE"),"",IFERROR(MATCH(AF5523,'Quitados DUPP'!$U$1:$U$6635,0),""))</f>
        <v/>
      </c>
      <c r="AH5523" s="15" t="str">
        <f t="shared" si="2"/>
        <v/>
      </c>
      <c r="AI5523" s="17" t="str">
        <f>IF(AG5523="","",INDEX('Quitados DUPP'!$G$1:$G$6635,AG5523))</f>
        <v/>
      </c>
      <c r="AJ5523" s="17" t="str">
        <f t="shared" si="3"/>
        <v/>
      </c>
    </row>
    <row r="5524" spans="31:36">
      <c r="AE5524" s="15" t="str">
        <f t="shared" si="0"/>
        <v/>
      </c>
      <c r="AF5524" s="15" t="str">
        <f t="shared" si="1"/>
        <v/>
      </c>
      <c r="AG5524" s="15" t="str">
        <f>IF(OR(AF5524="",AF5524="ERRO_CHAVE"),"",IFERROR(MATCH(AF5524,'Quitados DUPP'!$U$1:$U$6635,0),""))</f>
        <v/>
      </c>
      <c r="AH5524" s="15" t="str">
        <f t="shared" si="2"/>
        <v/>
      </c>
      <c r="AI5524" s="17" t="str">
        <f>IF(AG5524="","",INDEX('Quitados DUPP'!$G$1:$G$6635,AG5524))</f>
        <v/>
      </c>
      <c r="AJ5524" s="17" t="str">
        <f t="shared" si="3"/>
        <v/>
      </c>
    </row>
    <row r="5525" spans="31:36">
      <c r="AE5525" s="15" t="str">
        <f t="shared" si="0"/>
        <v/>
      </c>
      <c r="AF5525" s="15" t="str">
        <f t="shared" si="1"/>
        <v/>
      </c>
      <c r="AG5525" s="15" t="str">
        <f>IF(OR(AF5525="",AF5525="ERRO_CHAVE"),"",IFERROR(MATCH(AF5525,'Quitados DUPP'!$U$1:$U$6635,0),""))</f>
        <v/>
      </c>
      <c r="AH5525" s="15" t="str">
        <f t="shared" si="2"/>
        <v/>
      </c>
      <c r="AI5525" s="17" t="str">
        <f>IF(AG5525="","",INDEX('Quitados DUPP'!$G$1:$G$6635,AG5525))</f>
        <v/>
      </c>
      <c r="AJ5525" s="17" t="str">
        <f t="shared" si="3"/>
        <v/>
      </c>
    </row>
    <row r="5526" spans="31:36">
      <c r="AE5526" s="15" t="str">
        <f t="shared" si="0"/>
        <v/>
      </c>
      <c r="AF5526" s="15" t="str">
        <f t="shared" si="1"/>
        <v/>
      </c>
      <c r="AG5526" s="15" t="str">
        <f>IF(OR(AF5526="",AF5526="ERRO_CHAVE"),"",IFERROR(MATCH(AF5526,'Quitados DUPP'!$U$1:$U$6635,0),""))</f>
        <v/>
      </c>
      <c r="AH5526" s="15" t="str">
        <f t="shared" si="2"/>
        <v/>
      </c>
      <c r="AI5526" s="17" t="str">
        <f>IF(AG5526="","",INDEX('Quitados DUPP'!$G$1:$G$6635,AG5526))</f>
        <v/>
      </c>
      <c r="AJ5526" s="17" t="str">
        <f t="shared" si="3"/>
        <v/>
      </c>
    </row>
    <row r="5527" spans="31:36">
      <c r="AE5527" s="15" t="str">
        <f t="shared" si="0"/>
        <v/>
      </c>
      <c r="AF5527" s="15" t="str">
        <f t="shared" si="1"/>
        <v/>
      </c>
      <c r="AG5527" s="15" t="str">
        <f>IF(OR(AF5527="",AF5527="ERRO_CHAVE"),"",IFERROR(MATCH(AF5527,'Quitados DUPP'!$U$1:$U$6635,0),""))</f>
        <v/>
      </c>
      <c r="AH5527" s="15" t="str">
        <f t="shared" si="2"/>
        <v/>
      </c>
      <c r="AI5527" s="17" t="str">
        <f>IF(AG5527="","",INDEX('Quitados DUPP'!$G$1:$G$6635,AG5527))</f>
        <v/>
      </c>
      <c r="AJ5527" s="17" t="str">
        <f t="shared" si="3"/>
        <v/>
      </c>
    </row>
    <row r="5528" spans="31:36">
      <c r="AE5528" s="15" t="str">
        <f t="shared" si="0"/>
        <v/>
      </c>
      <c r="AF5528" s="15" t="str">
        <f t="shared" si="1"/>
        <v/>
      </c>
      <c r="AG5528" s="15" t="str">
        <f>IF(OR(AF5528="",AF5528="ERRO_CHAVE"),"",IFERROR(MATCH(AF5528,'Quitados DUPP'!$U$1:$U$6635,0),""))</f>
        <v/>
      </c>
      <c r="AH5528" s="15" t="str">
        <f t="shared" si="2"/>
        <v/>
      </c>
      <c r="AI5528" s="17" t="str">
        <f>IF(AG5528="","",INDEX('Quitados DUPP'!$G$1:$G$6635,AG5528))</f>
        <v/>
      </c>
      <c r="AJ5528" s="17" t="str">
        <f t="shared" si="3"/>
        <v/>
      </c>
    </row>
    <row r="5529" spans="31:36">
      <c r="AE5529" s="15" t="str">
        <f t="shared" si="0"/>
        <v/>
      </c>
      <c r="AF5529" s="15" t="str">
        <f t="shared" si="1"/>
        <v/>
      </c>
      <c r="AG5529" s="15" t="str">
        <f>IF(OR(AF5529="",AF5529="ERRO_CHAVE"),"",IFERROR(MATCH(AF5529,'Quitados DUPP'!$U$1:$U$6635,0),""))</f>
        <v/>
      </c>
      <c r="AH5529" s="15" t="str">
        <f t="shared" si="2"/>
        <v/>
      </c>
      <c r="AI5529" s="17" t="str">
        <f>IF(AG5529="","",INDEX('Quitados DUPP'!$G$1:$G$6635,AG5529))</f>
        <v/>
      </c>
      <c r="AJ5529" s="17" t="str">
        <f t="shared" si="3"/>
        <v/>
      </c>
    </row>
    <row r="5530" spans="31:36">
      <c r="AE5530" s="15" t="str">
        <f t="shared" si="0"/>
        <v/>
      </c>
      <c r="AF5530" s="15" t="str">
        <f t="shared" si="1"/>
        <v/>
      </c>
      <c r="AG5530" s="15" t="str">
        <f>IF(OR(AF5530="",AF5530="ERRO_CHAVE"),"",IFERROR(MATCH(AF5530,'Quitados DUPP'!$U$1:$U$6635,0),""))</f>
        <v/>
      </c>
      <c r="AH5530" s="15" t="str">
        <f t="shared" si="2"/>
        <v/>
      </c>
      <c r="AI5530" s="17" t="str">
        <f>IF(AG5530="","",INDEX('Quitados DUPP'!$G$1:$G$6635,AG5530))</f>
        <v/>
      </c>
      <c r="AJ5530" s="17" t="str">
        <f t="shared" si="3"/>
        <v/>
      </c>
    </row>
    <row r="5531" spans="31:36">
      <c r="AE5531" s="15" t="str">
        <f t="shared" si="0"/>
        <v/>
      </c>
      <c r="AF5531" s="15" t="str">
        <f t="shared" si="1"/>
        <v/>
      </c>
      <c r="AG5531" s="15" t="str">
        <f>IF(OR(AF5531="",AF5531="ERRO_CHAVE"),"",IFERROR(MATCH(AF5531,'Quitados DUPP'!$U$1:$U$6635,0),""))</f>
        <v/>
      </c>
      <c r="AH5531" s="15" t="str">
        <f t="shared" si="2"/>
        <v/>
      </c>
      <c r="AI5531" s="17" t="str">
        <f>IF(AG5531="","",INDEX('Quitados DUPP'!$G$1:$G$6635,AG5531))</f>
        <v/>
      </c>
      <c r="AJ5531" s="17" t="str">
        <f t="shared" si="3"/>
        <v/>
      </c>
    </row>
    <row r="5532" spans="31:36">
      <c r="AE5532" s="15" t="str">
        <f t="shared" si="0"/>
        <v/>
      </c>
      <c r="AF5532" s="15" t="str">
        <f t="shared" si="1"/>
        <v/>
      </c>
      <c r="AG5532" s="15" t="str">
        <f>IF(OR(AF5532="",AF5532="ERRO_CHAVE"),"",IFERROR(MATCH(AF5532,'Quitados DUPP'!$U$1:$U$6635,0),""))</f>
        <v/>
      </c>
      <c r="AH5532" s="15" t="str">
        <f t="shared" si="2"/>
        <v/>
      </c>
      <c r="AI5532" s="17" t="str">
        <f>IF(AG5532="","",INDEX('Quitados DUPP'!$G$1:$G$6635,AG5532))</f>
        <v/>
      </c>
      <c r="AJ5532" s="17" t="str">
        <f t="shared" si="3"/>
        <v/>
      </c>
    </row>
    <row r="5533" spans="31:36">
      <c r="AE5533" s="15" t="str">
        <f t="shared" si="0"/>
        <v/>
      </c>
      <c r="AF5533" s="15" t="str">
        <f t="shared" si="1"/>
        <v/>
      </c>
      <c r="AG5533" s="15" t="str">
        <f>IF(OR(AF5533="",AF5533="ERRO_CHAVE"),"",IFERROR(MATCH(AF5533,'Quitados DUPP'!$U$1:$U$6635,0),""))</f>
        <v/>
      </c>
      <c r="AH5533" s="15" t="str">
        <f t="shared" si="2"/>
        <v/>
      </c>
      <c r="AI5533" s="17" t="str">
        <f>IF(AG5533="","",INDEX('Quitados DUPP'!$G$1:$G$6635,AG5533))</f>
        <v/>
      </c>
      <c r="AJ5533" s="17" t="str">
        <f t="shared" si="3"/>
        <v/>
      </c>
    </row>
    <row r="5534" spans="31:36">
      <c r="AE5534" s="15" t="str">
        <f t="shared" si="0"/>
        <v/>
      </c>
      <c r="AF5534" s="15" t="str">
        <f t="shared" si="1"/>
        <v/>
      </c>
      <c r="AG5534" s="15" t="str">
        <f>IF(OR(AF5534="",AF5534="ERRO_CHAVE"),"",IFERROR(MATCH(AF5534,'Quitados DUPP'!$U$1:$U$6635,0),""))</f>
        <v/>
      </c>
      <c r="AH5534" s="15" t="str">
        <f t="shared" si="2"/>
        <v/>
      </c>
      <c r="AI5534" s="17" t="str">
        <f>IF(AG5534="","",INDEX('Quitados DUPP'!$G$1:$G$6635,AG5534))</f>
        <v/>
      </c>
      <c r="AJ5534" s="17" t="str">
        <f t="shared" si="3"/>
        <v/>
      </c>
    </row>
    <row r="5535" spans="31:36">
      <c r="AE5535" s="15" t="str">
        <f t="shared" si="0"/>
        <v/>
      </c>
      <c r="AF5535" s="15" t="str">
        <f t="shared" si="1"/>
        <v/>
      </c>
      <c r="AG5535" s="15" t="str">
        <f>IF(OR(AF5535="",AF5535="ERRO_CHAVE"),"",IFERROR(MATCH(AF5535,'Quitados DUPP'!$U$1:$U$6635,0),""))</f>
        <v/>
      </c>
      <c r="AH5535" s="15" t="str">
        <f t="shared" si="2"/>
        <v/>
      </c>
      <c r="AI5535" s="17" t="str">
        <f>IF(AG5535="","",INDEX('Quitados DUPP'!$G$1:$G$6635,AG5535))</f>
        <v/>
      </c>
      <c r="AJ5535" s="17" t="str">
        <f t="shared" si="3"/>
        <v/>
      </c>
    </row>
    <row r="5536" spans="31:36">
      <c r="AE5536" s="15" t="str">
        <f t="shared" si="0"/>
        <v/>
      </c>
      <c r="AF5536" s="15" t="str">
        <f t="shared" si="1"/>
        <v/>
      </c>
      <c r="AG5536" s="15" t="str">
        <f>IF(OR(AF5536="",AF5536="ERRO_CHAVE"),"",IFERROR(MATCH(AF5536,'Quitados DUPP'!$U$1:$U$6635,0),""))</f>
        <v/>
      </c>
      <c r="AH5536" s="15" t="str">
        <f t="shared" si="2"/>
        <v/>
      </c>
      <c r="AI5536" s="17" t="str">
        <f>IF(AG5536="","",INDEX('Quitados DUPP'!$G$1:$G$6635,AG5536))</f>
        <v/>
      </c>
      <c r="AJ5536" s="17" t="str">
        <f t="shared" si="3"/>
        <v/>
      </c>
    </row>
    <row r="5537" spans="31:36">
      <c r="AE5537" s="15" t="str">
        <f t="shared" si="0"/>
        <v/>
      </c>
      <c r="AF5537" s="15" t="str">
        <f t="shared" si="1"/>
        <v/>
      </c>
      <c r="AG5537" s="15" t="str">
        <f>IF(OR(AF5537="",AF5537="ERRO_CHAVE"),"",IFERROR(MATCH(AF5537,'Quitados DUPP'!$U$1:$U$6635,0),""))</f>
        <v/>
      </c>
      <c r="AH5537" s="15" t="str">
        <f t="shared" si="2"/>
        <v/>
      </c>
      <c r="AI5537" s="17" t="str">
        <f>IF(AG5537="","",INDEX('Quitados DUPP'!$G$1:$G$6635,AG5537))</f>
        <v/>
      </c>
      <c r="AJ5537" s="17" t="str">
        <f t="shared" si="3"/>
        <v/>
      </c>
    </row>
    <row r="5538" spans="31:36">
      <c r="AE5538" s="15" t="str">
        <f t="shared" si="0"/>
        <v/>
      </c>
      <c r="AF5538" s="15" t="str">
        <f t="shared" si="1"/>
        <v/>
      </c>
      <c r="AG5538" s="15" t="str">
        <f>IF(OR(AF5538="",AF5538="ERRO_CHAVE"),"",IFERROR(MATCH(AF5538,'Quitados DUPP'!$U$1:$U$6635,0),""))</f>
        <v/>
      </c>
      <c r="AH5538" s="15" t="str">
        <f t="shared" si="2"/>
        <v/>
      </c>
      <c r="AI5538" s="17" t="str">
        <f>IF(AG5538="","",INDEX('Quitados DUPP'!$G$1:$G$6635,AG5538))</f>
        <v/>
      </c>
      <c r="AJ5538" s="17" t="str">
        <f t="shared" si="3"/>
        <v/>
      </c>
    </row>
    <row r="5539" spans="31:36">
      <c r="AE5539" s="15" t="str">
        <f t="shared" si="0"/>
        <v/>
      </c>
      <c r="AF5539" s="15" t="str">
        <f t="shared" si="1"/>
        <v/>
      </c>
      <c r="AG5539" s="15" t="str">
        <f>IF(OR(AF5539="",AF5539="ERRO_CHAVE"),"",IFERROR(MATCH(AF5539,'Quitados DUPP'!$U$1:$U$6635,0),""))</f>
        <v/>
      </c>
      <c r="AH5539" s="15" t="str">
        <f t="shared" si="2"/>
        <v/>
      </c>
      <c r="AI5539" s="17" t="str">
        <f>IF(AG5539="","",INDEX('Quitados DUPP'!$G$1:$G$6635,AG5539))</f>
        <v/>
      </c>
      <c r="AJ5539" s="17" t="str">
        <f t="shared" si="3"/>
        <v/>
      </c>
    </row>
    <row r="5540" spans="31:36">
      <c r="AE5540" s="15" t="str">
        <f t="shared" si="0"/>
        <v/>
      </c>
      <c r="AF5540" s="15" t="str">
        <f t="shared" si="1"/>
        <v/>
      </c>
      <c r="AG5540" s="15" t="str">
        <f>IF(OR(AF5540="",AF5540="ERRO_CHAVE"),"",IFERROR(MATCH(AF5540,'Quitados DUPP'!$U$1:$U$6635,0),""))</f>
        <v/>
      </c>
      <c r="AH5540" s="15" t="str">
        <f t="shared" si="2"/>
        <v/>
      </c>
      <c r="AI5540" s="17" t="str">
        <f>IF(AG5540="","",INDEX('Quitados DUPP'!$G$1:$G$6635,AG5540))</f>
        <v/>
      </c>
      <c r="AJ5540" s="17" t="str">
        <f t="shared" si="3"/>
        <v/>
      </c>
    </row>
    <row r="5541" spans="31:36">
      <c r="AE5541" s="15" t="str">
        <f t="shared" si="0"/>
        <v/>
      </c>
      <c r="AF5541" s="15" t="str">
        <f t="shared" si="1"/>
        <v/>
      </c>
      <c r="AG5541" s="15" t="str">
        <f>IF(OR(AF5541="",AF5541="ERRO_CHAVE"),"",IFERROR(MATCH(AF5541,'Quitados DUPP'!$U$1:$U$6635,0),""))</f>
        <v/>
      </c>
      <c r="AH5541" s="15" t="str">
        <f t="shared" si="2"/>
        <v/>
      </c>
      <c r="AI5541" s="17" t="str">
        <f>IF(AG5541="","",INDEX('Quitados DUPP'!$G$1:$G$6635,AG5541))</f>
        <v/>
      </c>
      <c r="AJ5541" s="17" t="str">
        <f t="shared" si="3"/>
        <v/>
      </c>
    </row>
    <row r="5542" spans="31:36">
      <c r="AE5542" s="15" t="str">
        <f t="shared" si="0"/>
        <v/>
      </c>
      <c r="AF5542" s="15" t="str">
        <f t="shared" si="1"/>
        <v/>
      </c>
      <c r="AG5542" s="15" t="str">
        <f>IF(OR(AF5542="",AF5542="ERRO_CHAVE"),"",IFERROR(MATCH(AF5542,'Quitados DUPP'!$U$1:$U$6635,0),""))</f>
        <v/>
      </c>
      <c r="AH5542" s="15" t="str">
        <f t="shared" si="2"/>
        <v/>
      </c>
      <c r="AI5542" s="17" t="str">
        <f>IF(AG5542="","",INDEX('Quitados DUPP'!$G$1:$G$6635,AG5542))</f>
        <v/>
      </c>
      <c r="AJ5542" s="17" t="str">
        <f t="shared" si="3"/>
        <v/>
      </c>
    </row>
    <row r="5543" spans="31:36">
      <c r="AE5543" s="15" t="str">
        <f t="shared" si="0"/>
        <v/>
      </c>
      <c r="AF5543" s="15" t="str">
        <f t="shared" si="1"/>
        <v/>
      </c>
      <c r="AG5543" s="15" t="str">
        <f>IF(OR(AF5543="",AF5543="ERRO_CHAVE"),"",IFERROR(MATCH(AF5543,'Quitados DUPP'!$U$1:$U$6635,0),""))</f>
        <v/>
      </c>
      <c r="AH5543" s="15" t="str">
        <f t="shared" si="2"/>
        <v/>
      </c>
      <c r="AI5543" s="17" t="str">
        <f>IF(AG5543="","",INDEX('Quitados DUPP'!$G$1:$G$6635,AG5543))</f>
        <v/>
      </c>
      <c r="AJ5543" s="17" t="str">
        <f t="shared" si="3"/>
        <v/>
      </c>
    </row>
    <row r="5544" spans="31:36">
      <c r="AE5544" s="15" t="str">
        <f t="shared" si="0"/>
        <v/>
      </c>
      <c r="AF5544" s="15" t="str">
        <f t="shared" si="1"/>
        <v/>
      </c>
      <c r="AG5544" s="15" t="str">
        <f>IF(OR(AF5544="",AF5544="ERRO_CHAVE"),"",IFERROR(MATCH(AF5544,'Quitados DUPP'!$U$1:$U$6635,0),""))</f>
        <v/>
      </c>
      <c r="AH5544" s="15" t="str">
        <f t="shared" si="2"/>
        <v/>
      </c>
      <c r="AI5544" s="17" t="str">
        <f>IF(AG5544="","",INDEX('Quitados DUPP'!$G$1:$G$6635,AG5544))</f>
        <v/>
      </c>
      <c r="AJ5544" s="17" t="str">
        <f t="shared" si="3"/>
        <v/>
      </c>
    </row>
    <row r="5545" spans="31:36">
      <c r="AE5545" s="15" t="str">
        <f t="shared" si="0"/>
        <v/>
      </c>
      <c r="AF5545" s="15" t="str">
        <f t="shared" si="1"/>
        <v/>
      </c>
      <c r="AG5545" s="15" t="str">
        <f>IF(OR(AF5545="",AF5545="ERRO_CHAVE"),"",IFERROR(MATCH(AF5545,'Quitados DUPP'!$U$1:$U$6635,0),""))</f>
        <v/>
      </c>
      <c r="AH5545" s="15" t="str">
        <f t="shared" si="2"/>
        <v/>
      </c>
      <c r="AI5545" s="17" t="str">
        <f>IF(AG5545="","",INDEX('Quitados DUPP'!$G$1:$G$6635,AG5545))</f>
        <v/>
      </c>
      <c r="AJ5545" s="17" t="str">
        <f t="shared" si="3"/>
        <v/>
      </c>
    </row>
    <row r="5546" spans="31:36">
      <c r="AE5546" s="15" t="str">
        <f t="shared" si="0"/>
        <v/>
      </c>
      <c r="AF5546" s="15" t="str">
        <f t="shared" si="1"/>
        <v/>
      </c>
      <c r="AG5546" s="15" t="str">
        <f>IF(OR(AF5546="",AF5546="ERRO_CHAVE"),"",IFERROR(MATCH(AF5546,'Quitados DUPP'!$U$1:$U$6635,0),""))</f>
        <v/>
      </c>
      <c r="AH5546" s="15" t="str">
        <f t="shared" si="2"/>
        <v/>
      </c>
      <c r="AI5546" s="17" t="str">
        <f>IF(AG5546="","",INDEX('Quitados DUPP'!$G$1:$G$6635,AG5546))</f>
        <v/>
      </c>
      <c r="AJ5546" s="17" t="str">
        <f t="shared" si="3"/>
        <v/>
      </c>
    </row>
    <row r="5547" spans="31:36">
      <c r="AE5547" s="15" t="str">
        <f t="shared" si="0"/>
        <v/>
      </c>
      <c r="AF5547" s="15" t="str">
        <f t="shared" si="1"/>
        <v/>
      </c>
      <c r="AG5547" s="15" t="str">
        <f>IF(OR(AF5547="",AF5547="ERRO_CHAVE"),"",IFERROR(MATCH(AF5547,'Quitados DUPP'!$U$1:$U$6635,0),""))</f>
        <v/>
      </c>
      <c r="AH5547" s="15" t="str">
        <f t="shared" si="2"/>
        <v/>
      </c>
      <c r="AI5547" s="17" t="str">
        <f>IF(AG5547="","",INDEX('Quitados DUPP'!$G$1:$G$6635,AG5547))</f>
        <v/>
      </c>
      <c r="AJ5547" s="17" t="str">
        <f t="shared" si="3"/>
        <v/>
      </c>
    </row>
    <row r="5548" spans="31:36">
      <c r="AE5548" s="15" t="str">
        <f t="shared" si="0"/>
        <v/>
      </c>
      <c r="AF5548" s="15" t="str">
        <f t="shared" si="1"/>
        <v/>
      </c>
      <c r="AG5548" s="15" t="str">
        <f>IF(OR(AF5548="",AF5548="ERRO_CHAVE"),"",IFERROR(MATCH(AF5548,'Quitados DUPP'!$U$1:$U$6635,0),""))</f>
        <v/>
      </c>
      <c r="AH5548" s="15" t="str">
        <f t="shared" si="2"/>
        <v/>
      </c>
      <c r="AI5548" s="17" t="str">
        <f>IF(AG5548="","",INDEX('Quitados DUPP'!$G$1:$G$6635,AG5548))</f>
        <v/>
      </c>
      <c r="AJ5548" s="17" t="str">
        <f t="shared" si="3"/>
        <v/>
      </c>
    </row>
    <row r="5549" spans="31:36">
      <c r="AE5549" s="15" t="str">
        <f t="shared" si="0"/>
        <v/>
      </c>
      <c r="AF5549" s="15" t="str">
        <f t="shared" si="1"/>
        <v/>
      </c>
      <c r="AG5549" s="15" t="str">
        <f>IF(OR(AF5549="",AF5549="ERRO_CHAVE"),"",IFERROR(MATCH(AF5549,'Quitados DUPP'!$U$1:$U$6635,0),""))</f>
        <v/>
      </c>
      <c r="AH5549" s="15" t="str">
        <f t="shared" si="2"/>
        <v/>
      </c>
      <c r="AI5549" s="17" t="str">
        <f>IF(AG5549="","",INDEX('Quitados DUPP'!$G$1:$G$6635,AG5549))</f>
        <v/>
      </c>
      <c r="AJ5549" s="17" t="str">
        <f t="shared" si="3"/>
        <v/>
      </c>
    </row>
    <row r="5550" spans="31:36">
      <c r="AE5550" s="15" t="str">
        <f t="shared" si="0"/>
        <v/>
      </c>
      <c r="AF5550" s="15" t="str">
        <f t="shared" si="1"/>
        <v/>
      </c>
      <c r="AG5550" s="15" t="str">
        <f>IF(OR(AF5550="",AF5550="ERRO_CHAVE"),"",IFERROR(MATCH(AF5550,'Quitados DUPP'!$U$1:$U$6635,0),""))</f>
        <v/>
      </c>
      <c r="AH5550" s="15" t="str">
        <f t="shared" si="2"/>
        <v/>
      </c>
      <c r="AI5550" s="17" t="str">
        <f>IF(AG5550="","",INDEX('Quitados DUPP'!$G$1:$G$6635,AG5550))</f>
        <v/>
      </c>
      <c r="AJ5550" s="17" t="str">
        <f t="shared" si="3"/>
        <v/>
      </c>
    </row>
    <row r="5551" spans="31:36">
      <c r="AE5551" s="15" t="str">
        <f t="shared" si="0"/>
        <v/>
      </c>
      <c r="AF5551" s="15" t="str">
        <f t="shared" si="1"/>
        <v/>
      </c>
      <c r="AG5551" s="15" t="str">
        <f>IF(OR(AF5551="",AF5551="ERRO_CHAVE"),"",IFERROR(MATCH(AF5551,'Quitados DUPP'!$U$1:$U$6635,0),""))</f>
        <v/>
      </c>
      <c r="AH5551" s="15" t="str">
        <f t="shared" si="2"/>
        <v/>
      </c>
      <c r="AI5551" s="17" t="str">
        <f>IF(AG5551="","",INDEX('Quitados DUPP'!$G$1:$G$6635,AG5551))</f>
        <v/>
      </c>
      <c r="AJ5551" s="17" t="str">
        <f t="shared" si="3"/>
        <v/>
      </c>
    </row>
    <row r="5552" spans="31:36">
      <c r="AE5552" s="15" t="str">
        <f t="shared" si="0"/>
        <v/>
      </c>
      <c r="AF5552" s="15" t="str">
        <f t="shared" si="1"/>
        <v/>
      </c>
      <c r="AG5552" s="15" t="str">
        <f>IF(OR(AF5552="",AF5552="ERRO_CHAVE"),"",IFERROR(MATCH(AF5552,'Quitados DUPP'!$U$1:$U$6635,0),""))</f>
        <v/>
      </c>
      <c r="AH5552" s="15" t="str">
        <f t="shared" si="2"/>
        <v/>
      </c>
      <c r="AI5552" s="17" t="str">
        <f>IF(AG5552="","",INDEX('Quitados DUPP'!$G$1:$G$6635,AG5552))</f>
        <v/>
      </c>
      <c r="AJ5552" s="17" t="str">
        <f t="shared" si="3"/>
        <v/>
      </c>
    </row>
    <row r="5553" spans="31:36">
      <c r="AE5553" s="15" t="str">
        <f t="shared" si="0"/>
        <v/>
      </c>
      <c r="AF5553" s="15" t="str">
        <f t="shared" si="1"/>
        <v/>
      </c>
      <c r="AG5553" s="15" t="str">
        <f>IF(OR(AF5553="",AF5553="ERRO_CHAVE"),"",IFERROR(MATCH(AF5553,'Quitados DUPP'!$U$1:$U$6635,0),""))</f>
        <v/>
      </c>
      <c r="AH5553" s="15" t="str">
        <f t="shared" si="2"/>
        <v/>
      </c>
      <c r="AI5553" s="17" t="str">
        <f>IF(AG5553="","",INDEX('Quitados DUPP'!$G$1:$G$6635,AG5553))</f>
        <v/>
      </c>
      <c r="AJ5553" s="17" t="str">
        <f t="shared" si="3"/>
        <v/>
      </c>
    </row>
    <row r="5554" spans="31:36">
      <c r="AE5554" s="15" t="str">
        <f t="shared" si="0"/>
        <v/>
      </c>
      <c r="AF5554" s="15" t="str">
        <f t="shared" si="1"/>
        <v/>
      </c>
      <c r="AG5554" s="15" t="str">
        <f>IF(OR(AF5554="",AF5554="ERRO_CHAVE"),"",IFERROR(MATCH(AF5554,'Quitados DUPP'!$U$1:$U$6635,0),""))</f>
        <v/>
      </c>
      <c r="AH5554" s="15" t="str">
        <f t="shared" si="2"/>
        <v/>
      </c>
      <c r="AI5554" s="17" t="str">
        <f>IF(AG5554="","",INDEX('Quitados DUPP'!$G$1:$G$6635,AG5554))</f>
        <v/>
      </c>
      <c r="AJ5554" s="17" t="str">
        <f t="shared" si="3"/>
        <v/>
      </c>
    </row>
    <row r="5555" spans="31:36">
      <c r="AE5555" s="15" t="str">
        <f t="shared" si="0"/>
        <v/>
      </c>
      <c r="AF5555" s="15" t="str">
        <f t="shared" si="1"/>
        <v/>
      </c>
      <c r="AG5555" s="15" t="str">
        <f>IF(OR(AF5555="",AF5555="ERRO_CHAVE"),"",IFERROR(MATCH(AF5555,'Quitados DUPP'!$U$1:$U$6635,0),""))</f>
        <v/>
      </c>
      <c r="AH5555" s="15" t="str">
        <f t="shared" si="2"/>
        <v/>
      </c>
      <c r="AI5555" s="17" t="str">
        <f>IF(AG5555="","",INDEX('Quitados DUPP'!$G$1:$G$6635,AG5555))</f>
        <v/>
      </c>
      <c r="AJ5555" s="17" t="str">
        <f t="shared" si="3"/>
        <v/>
      </c>
    </row>
    <row r="5556" spans="31:36">
      <c r="AE5556" s="15" t="str">
        <f t="shared" si="0"/>
        <v/>
      </c>
      <c r="AF5556" s="15" t="str">
        <f t="shared" si="1"/>
        <v/>
      </c>
      <c r="AG5556" s="15" t="str">
        <f>IF(OR(AF5556="",AF5556="ERRO_CHAVE"),"",IFERROR(MATCH(AF5556,'Quitados DUPP'!$U$1:$U$6635,0),""))</f>
        <v/>
      </c>
      <c r="AH5556" s="15" t="str">
        <f t="shared" si="2"/>
        <v/>
      </c>
      <c r="AI5556" s="17" t="str">
        <f>IF(AG5556="","",INDEX('Quitados DUPP'!$G$1:$G$6635,AG5556))</f>
        <v/>
      </c>
      <c r="AJ5556" s="17" t="str">
        <f t="shared" si="3"/>
        <v/>
      </c>
    </row>
    <row r="5557" spans="31:36">
      <c r="AE5557" s="15" t="str">
        <f t="shared" si="0"/>
        <v/>
      </c>
      <c r="AF5557" s="15" t="str">
        <f t="shared" si="1"/>
        <v/>
      </c>
      <c r="AG5557" s="15" t="str">
        <f>IF(OR(AF5557="",AF5557="ERRO_CHAVE"),"",IFERROR(MATCH(AF5557,'Quitados DUPP'!$U$1:$U$6635,0),""))</f>
        <v/>
      </c>
      <c r="AH5557" s="15" t="str">
        <f t="shared" si="2"/>
        <v/>
      </c>
      <c r="AI5557" s="17" t="str">
        <f>IF(AG5557="","",INDEX('Quitados DUPP'!$G$1:$G$6635,AG5557))</f>
        <v/>
      </c>
      <c r="AJ5557" s="17" t="str">
        <f t="shared" si="3"/>
        <v/>
      </c>
    </row>
    <row r="5558" spans="31:36">
      <c r="AE5558" s="15" t="str">
        <f t="shared" si="0"/>
        <v/>
      </c>
      <c r="AF5558" s="15" t="str">
        <f t="shared" si="1"/>
        <v/>
      </c>
      <c r="AG5558" s="15" t="str">
        <f>IF(OR(AF5558="",AF5558="ERRO_CHAVE"),"",IFERROR(MATCH(AF5558,'Quitados DUPP'!$U$1:$U$6635,0),""))</f>
        <v/>
      </c>
      <c r="AH5558" s="15" t="str">
        <f t="shared" si="2"/>
        <v/>
      </c>
      <c r="AI5558" s="17" t="str">
        <f>IF(AG5558="","",INDEX('Quitados DUPP'!$G$1:$G$6635,AG5558))</f>
        <v/>
      </c>
      <c r="AJ5558" s="17" t="str">
        <f t="shared" si="3"/>
        <v/>
      </c>
    </row>
    <row r="5559" spans="31:36">
      <c r="AE5559" s="15" t="str">
        <f t="shared" si="0"/>
        <v/>
      </c>
      <c r="AF5559" s="15" t="str">
        <f t="shared" si="1"/>
        <v/>
      </c>
      <c r="AG5559" s="15" t="str">
        <f>IF(OR(AF5559="",AF5559="ERRO_CHAVE"),"",IFERROR(MATCH(AF5559,'Quitados DUPP'!$U$1:$U$6635,0),""))</f>
        <v/>
      </c>
      <c r="AH5559" s="15" t="str">
        <f t="shared" si="2"/>
        <v/>
      </c>
      <c r="AI5559" s="17" t="str">
        <f>IF(AG5559="","",INDEX('Quitados DUPP'!$G$1:$G$6635,AG5559))</f>
        <v/>
      </c>
      <c r="AJ5559" s="17" t="str">
        <f t="shared" si="3"/>
        <v/>
      </c>
    </row>
    <row r="5560" spans="31:36">
      <c r="AE5560" s="15" t="str">
        <f t="shared" si="0"/>
        <v/>
      </c>
      <c r="AF5560" s="15" t="str">
        <f t="shared" si="1"/>
        <v/>
      </c>
      <c r="AG5560" s="15" t="str">
        <f>IF(OR(AF5560="",AF5560="ERRO_CHAVE"),"",IFERROR(MATCH(AF5560,'Quitados DUPP'!$U$1:$U$6635,0),""))</f>
        <v/>
      </c>
      <c r="AH5560" s="15" t="str">
        <f t="shared" si="2"/>
        <v/>
      </c>
      <c r="AI5560" s="17" t="str">
        <f>IF(AG5560="","",INDEX('Quitados DUPP'!$G$1:$G$6635,AG5560))</f>
        <v/>
      </c>
      <c r="AJ5560" s="17" t="str">
        <f t="shared" si="3"/>
        <v/>
      </c>
    </row>
    <row r="5561" spans="31:36">
      <c r="AE5561" s="15" t="str">
        <f t="shared" si="0"/>
        <v/>
      </c>
      <c r="AF5561" s="15" t="str">
        <f t="shared" si="1"/>
        <v/>
      </c>
      <c r="AG5561" s="15" t="str">
        <f>IF(OR(AF5561="",AF5561="ERRO_CHAVE"),"",IFERROR(MATCH(AF5561,'Quitados DUPP'!$U$1:$U$6635,0),""))</f>
        <v/>
      </c>
      <c r="AH5561" s="15" t="str">
        <f t="shared" si="2"/>
        <v/>
      </c>
      <c r="AI5561" s="17" t="str">
        <f>IF(AG5561="","",INDEX('Quitados DUPP'!$G$1:$G$6635,AG5561))</f>
        <v/>
      </c>
      <c r="AJ5561" s="17" t="str">
        <f t="shared" si="3"/>
        <v/>
      </c>
    </row>
    <row r="5562" spans="31:36">
      <c r="AE5562" s="15" t="str">
        <f t="shared" si="0"/>
        <v/>
      </c>
      <c r="AF5562" s="15" t="str">
        <f t="shared" si="1"/>
        <v/>
      </c>
      <c r="AG5562" s="15" t="str">
        <f>IF(OR(AF5562="",AF5562="ERRO_CHAVE"),"",IFERROR(MATCH(AF5562,'Quitados DUPP'!$U$1:$U$6635,0),""))</f>
        <v/>
      </c>
      <c r="AH5562" s="15" t="str">
        <f t="shared" si="2"/>
        <v/>
      </c>
      <c r="AI5562" s="17" t="str">
        <f>IF(AG5562="","",INDEX('Quitados DUPP'!$G$1:$G$6635,AG5562))</f>
        <v/>
      </c>
      <c r="AJ5562" s="17" t="str">
        <f t="shared" si="3"/>
        <v/>
      </c>
    </row>
    <row r="5563" spans="31:36">
      <c r="AE5563" s="15" t="str">
        <f t="shared" si="0"/>
        <v/>
      </c>
      <c r="AF5563" s="15" t="str">
        <f t="shared" si="1"/>
        <v/>
      </c>
      <c r="AG5563" s="15" t="str">
        <f>IF(OR(AF5563="",AF5563="ERRO_CHAVE"),"",IFERROR(MATCH(AF5563,'Quitados DUPP'!$U$1:$U$6635,0),""))</f>
        <v/>
      </c>
      <c r="AH5563" s="15" t="str">
        <f t="shared" si="2"/>
        <v/>
      </c>
      <c r="AI5563" s="17" t="str">
        <f>IF(AG5563="","",INDEX('Quitados DUPP'!$G$1:$G$6635,AG5563))</f>
        <v/>
      </c>
      <c r="AJ5563" s="17" t="str">
        <f t="shared" si="3"/>
        <v/>
      </c>
    </row>
    <row r="5564" spans="31:36">
      <c r="AE5564" s="15" t="str">
        <f t="shared" si="0"/>
        <v/>
      </c>
      <c r="AF5564" s="15" t="str">
        <f t="shared" si="1"/>
        <v/>
      </c>
      <c r="AG5564" s="15" t="str">
        <f>IF(OR(AF5564="",AF5564="ERRO_CHAVE"),"",IFERROR(MATCH(AF5564,'Quitados DUPP'!$U$1:$U$6635,0),""))</f>
        <v/>
      </c>
      <c r="AH5564" s="15" t="str">
        <f t="shared" si="2"/>
        <v/>
      </c>
      <c r="AI5564" s="17" t="str">
        <f>IF(AG5564="","",INDEX('Quitados DUPP'!$G$1:$G$6635,AG5564))</f>
        <v/>
      </c>
      <c r="AJ5564" s="17" t="str">
        <f t="shared" si="3"/>
        <v/>
      </c>
    </row>
    <row r="5565" spans="31:36">
      <c r="AE5565" s="15" t="str">
        <f t="shared" si="0"/>
        <v/>
      </c>
      <c r="AF5565" s="15" t="str">
        <f t="shared" si="1"/>
        <v/>
      </c>
      <c r="AG5565" s="15" t="str">
        <f>IF(OR(AF5565="",AF5565="ERRO_CHAVE"),"",IFERROR(MATCH(AF5565,'Quitados DUPP'!$U$1:$U$6635,0),""))</f>
        <v/>
      </c>
      <c r="AH5565" s="15" t="str">
        <f t="shared" si="2"/>
        <v/>
      </c>
      <c r="AI5565" s="17" t="str">
        <f>IF(AG5565="","",INDEX('Quitados DUPP'!$G$1:$G$6635,AG5565))</f>
        <v/>
      </c>
      <c r="AJ5565" s="17" t="str">
        <f t="shared" si="3"/>
        <v/>
      </c>
    </row>
    <row r="5566" spans="31:36">
      <c r="AE5566" s="15" t="str">
        <f t="shared" si="0"/>
        <v/>
      </c>
      <c r="AF5566" s="15" t="str">
        <f t="shared" si="1"/>
        <v/>
      </c>
      <c r="AG5566" s="15" t="str">
        <f>IF(OR(AF5566="",AF5566="ERRO_CHAVE"),"",IFERROR(MATCH(AF5566,'Quitados DUPP'!$U$1:$U$6635,0),""))</f>
        <v/>
      </c>
      <c r="AH5566" s="15" t="str">
        <f t="shared" si="2"/>
        <v/>
      </c>
      <c r="AI5566" s="17" t="str">
        <f>IF(AG5566="","",INDEX('Quitados DUPP'!$G$1:$G$6635,AG5566))</f>
        <v/>
      </c>
      <c r="AJ5566" s="17" t="str">
        <f t="shared" si="3"/>
        <v/>
      </c>
    </row>
    <row r="5567" spans="31:36">
      <c r="AE5567" s="15" t="str">
        <f t="shared" si="0"/>
        <v/>
      </c>
      <c r="AF5567" s="15" t="str">
        <f t="shared" si="1"/>
        <v/>
      </c>
      <c r="AG5567" s="15" t="str">
        <f>IF(OR(AF5567="",AF5567="ERRO_CHAVE"),"",IFERROR(MATCH(AF5567,'Quitados DUPP'!$U$1:$U$6635,0),""))</f>
        <v/>
      </c>
      <c r="AH5567" s="15" t="str">
        <f t="shared" si="2"/>
        <v/>
      </c>
      <c r="AI5567" s="17" t="str">
        <f>IF(AG5567="","",INDEX('Quitados DUPP'!$G$1:$G$6635,AG5567))</f>
        <v/>
      </c>
      <c r="AJ5567" s="17" t="str">
        <f t="shared" si="3"/>
        <v/>
      </c>
    </row>
    <row r="5568" spans="31:36">
      <c r="AE5568" s="15" t="str">
        <f t="shared" si="0"/>
        <v/>
      </c>
      <c r="AF5568" s="15" t="str">
        <f t="shared" si="1"/>
        <v/>
      </c>
      <c r="AG5568" s="15" t="str">
        <f>IF(OR(AF5568="",AF5568="ERRO_CHAVE"),"",IFERROR(MATCH(AF5568,'Quitados DUPP'!$U$1:$U$6635,0),""))</f>
        <v/>
      </c>
      <c r="AH5568" s="15" t="str">
        <f t="shared" si="2"/>
        <v/>
      </c>
      <c r="AI5568" s="17" t="str">
        <f>IF(AG5568="","",INDEX('Quitados DUPP'!$G$1:$G$6635,AG5568))</f>
        <v/>
      </c>
      <c r="AJ5568" s="17" t="str">
        <f t="shared" si="3"/>
        <v/>
      </c>
    </row>
    <row r="5569" spans="31:36">
      <c r="AE5569" s="15" t="str">
        <f t="shared" si="0"/>
        <v/>
      </c>
      <c r="AF5569" s="15" t="str">
        <f t="shared" si="1"/>
        <v/>
      </c>
      <c r="AG5569" s="15" t="str">
        <f>IF(OR(AF5569="",AF5569="ERRO_CHAVE"),"",IFERROR(MATCH(AF5569,'Quitados DUPP'!$U$1:$U$6635,0),""))</f>
        <v/>
      </c>
      <c r="AH5569" s="15" t="str">
        <f t="shared" si="2"/>
        <v/>
      </c>
      <c r="AI5569" s="17" t="str">
        <f>IF(AG5569="","",INDEX('Quitados DUPP'!$G$1:$G$6635,AG5569))</f>
        <v/>
      </c>
      <c r="AJ5569" s="17" t="str">
        <f t="shared" si="3"/>
        <v/>
      </c>
    </row>
    <row r="5570" spans="31:36">
      <c r="AE5570" s="15" t="str">
        <f t="shared" si="0"/>
        <v/>
      </c>
      <c r="AF5570" s="15" t="str">
        <f t="shared" si="1"/>
        <v/>
      </c>
      <c r="AG5570" s="15" t="str">
        <f>IF(OR(AF5570="",AF5570="ERRO_CHAVE"),"",IFERROR(MATCH(AF5570,'Quitados DUPP'!$U$1:$U$6635,0),""))</f>
        <v/>
      </c>
      <c r="AH5570" s="15" t="str">
        <f t="shared" si="2"/>
        <v/>
      </c>
      <c r="AI5570" s="17" t="str">
        <f>IF(AG5570="","",INDEX('Quitados DUPP'!$G$1:$G$6635,AG5570))</f>
        <v/>
      </c>
      <c r="AJ5570" s="17" t="str">
        <f t="shared" si="3"/>
        <v/>
      </c>
    </row>
    <row r="5571" spans="31:36">
      <c r="AE5571" s="15" t="str">
        <f t="shared" si="0"/>
        <v/>
      </c>
      <c r="AF5571" s="15" t="str">
        <f t="shared" si="1"/>
        <v/>
      </c>
      <c r="AG5571" s="15" t="str">
        <f>IF(OR(AF5571="",AF5571="ERRO_CHAVE"),"",IFERROR(MATCH(AF5571,'Quitados DUPP'!$U$1:$U$6635,0),""))</f>
        <v/>
      </c>
      <c r="AH5571" s="15" t="str">
        <f t="shared" si="2"/>
        <v/>
      </c>
      <c r="AI5571" s="17" t="str">
        <f>IF(AG5571="","",INDEX('Quitados DUPP'!$G$1:$G$6635,AG5571))</f>
        <v/>
      </c>
      <c r="AJ5571" s="17" t="str">
        <f t="shared" si="3"/>
        <v/>
      </c>
    </row>
    <row r="5572" spans="31:36">
      <c r="AE5572" s="15" t="str">
        <f t="shared" si="0"/>
        <v/>
      </c>
      <c r="AF5572" s="15" t="str">
        <f t="shared" si="1"/>
        <v/>
      </c>
      <c r="AG5572" s="15" t="str">
        <f>IF(OR(AF5572="",AF5572="ERRO_CHAVE"),"",IFERROR(MATCH(AF5572,'Quitados DUPP'!$U$1:$U$6635,0),""))</f>
        <v/>
      </c>
      <c r="AH5572" s="15" t="str">
        <f t="shared" si="2"/>
        <v/>
      </c>
      <c r="AI5572" s="17" t="str">
        <f>IF(AG5572="","",INDEX('Quitados DUPP'!$G$1:$G$6635,AG5572))</f>
        <v/>
      </c>
      <c r="AJ5572" s="17" t="str">
        <f t="shared" si="3"/>
        <v/>
      </c>
    </row>
    <row r="5573" spans="31:36">
      <c r="AE5573" s="15" t="str">
        <f t="shared" si="0"/>
        <v/>
      </c>
      <c r="AF5573" s="15" t="str">
        <f t="shared" si="1"/>
        <v/>
      </c>
      <c r="AG5573" s="15" t="str">
        <f>IF(OR(AF5573="",AF5573="ERRO_CHAVE"),"",IFERROR(MATCH(AF5573,'Quitados DUPP'!$U$1:$U$6635,0),""))</f>
        <v/>
      </c>
      <c r="AH5573" s="15" t="str">
        <f t="shared" si="2"/>
        <v/>
      </c>
      <c r="AI5573" s="17" t="str">
        <f>IF(AG5573="","",INDEX('Quitados DUPP'!$G$1:$G$6635,AG5573))</f>
        <v/>
      </c>
      <c r="AJ5573" s="17" t="str">
        <f t="shared" si="3"/>
        <v/>
      </c>
    </row>
    <row r="5574" spans="31:36">
      <c r="AE5574" s="15" t="str">
        <f t="shared" si="0"/>
        <v/>
      </c>
      <c r="AF5574" s="15" t="str">
        <f t="shared" si="1"/>
        <v/>
      </c>
      <c r="AG5574" s="15" t="str">
        <f>IF(OR(AF5574="",AF5574="ERRO_CHAVE"),"",IFERROR(MATCH(AF5574,'Quitados DUPP'!$U$1:$U$6635,0),""))</f>
        <v/>
      </c>
      <c r="AH5574" s="15" t="str">
        <f t="shared" si="2"/>
        <v/>
      </c>
      <c r="AI5574" s="17" t="str">
        <f>IF(AG5574="","",INDEX('Quitados DUPP'!$G$1:$G$6635,AG5574))</f>
        <v/>
      </c>
      <c r="AJ5574" s="17" t="str">
        <f t="shared" si="3"/>
        <v/>
      </c>
    </row>
    <row r="5575" spans="31:36">
      <c r="AE5575" s="15" t="str">
        <f t="shared" si="0"/>
        <v/>
      </c>
      <c r="AF5575" s="15" t="str">
        <f t="shared" si="1"/>
        <v/>
      </c>
      <c r="AG5575" s="15" t="str">
        <f>IF(OR(AF5575="",AF5575="ERRO_CHAVE"),"",IFERROR(MATCH(AF5575,'Quitados DUPP'!$U$1:$U$6635,0),""))</f>
        <v/>
      </c>
      <c r="AH5575" s="15" t="str">
        <f t="shared" si="2"/>
        <v/>
      </c>
      <c r="AI5575" s="17" t="str">
        <f>IF(AG5575="","",INDEX('Quitados DUPP'!$G$1:$G$6635,AG5575))</f>
        <v/>
      </c>
      <c r="AJ5575" s="17" t="str">
        <f t="shared" si="3"/>
        <v/>
      </c>
    </row>
    <row r="5576" spans="31:36">
      <c r="AE5576" s="15" t="str">
        <f t="shared" si="0"/>
        <v/>
      </c>
      <c r="AF5576" s="15" t="str">
        <f t="shared" si="1"/>
        <v/>
      </c>
      <c r="AG5576" s="15" t="str">
        <f>IF(OR(AF5576="",AF5576="ERRO_CHAVE"),"",IFERROR(MATCH(AF5576,'Quitados DUPP'!$U$1:$U$6635,0),""))</f>
        <v/>
      </c>
      <c r="AH5576" s="15" t="str">
        <f t="shared" si="2"/>
        <v/>
      </c>
      <c r="AI5576" s="17" t="str">
        <f>IF(AG5576="","",INDEX('Quitados DUPP'!$G$1:$G$6635,AG5576))</f>
        <v/>
      </c>
      <c r="AJ5576" s="17" t="str">
        <f t="shared" si="3"/>
        <v/>
      </c>
    </row>
    <row r="5577" spans="31:36">
      <c r="AE5577" s="15" t="str">
        <f t="shared" si="0"/>
        <v/>
      </c>
      <c r="AF5577" s="15" t="str">
        <f t="shared" si="1"/>
        <v/>
      </c>
      <c r="AG5577" s="15" t="str">
        <f>IF(OR(AF5577="",AF5577="ERRO_CHAVE"),"",IFERROR(MATCH(AF5577,'Quitados DUPP'!$U$1:$U$6635,0),""))</f>
        <v/>
      </c>
      <c r="AH5577" s="15" t="str">
        <f t="shared" si="2"/>
        <v/>
      </c>
      <c r="AI5577" s="17" t="str">
        <f>IF(AG5577="","",INDEX('Quitados DUPP'!$G$1:$G$6635,AG5577))</f>
        <v/>
      </c>
      <c r="AJ5577" s="17" t="str">
        <f t="shared" si="3"/>
        <v/>
      </c>
    </row>
    <row r="5578" spans="31:36">
      <c r="AE5578" s="15" t="str">
        <f t="shared" si="0"/>
        <v/>
      </c>
      <c r="AF5578" s="15" t="str">
        <f t="shared" si="1"/>
        <v/>
      </c>
      <c r="AG5578" s="15" t="str">
        <f>IF(OR(AF5578="",AF5578="ERRO_CHAVE"),"",IFERROR(MATCH(AF5578,'Quitados DUPP'!$U$1:$U$6635,0),""))</f>
        <v/>
      </c>
      <c r="AH5578" s="15" t="str">
        <f t="shared" si="2"/>
        <v/>
      </c>
      <c r="AI5578" s="17" t="str">
        <f>IF(AG5578="","",INDEX('Quitados DUPP'!$G$1:$G$6635,AG5578))</f>
        <v/>
      </c>
      <c r="AJ5578" s="17" t="str">
        <f t="shared" si="3"/>
        <v/>
      </c>
    </row>
    <row r="5579" spans="31:36">
      <c r="AE5579" s="15" t="str">
        <f t="shared" si="0"/>
        <v/>
      </c>
      <c r="AF5579" s="15" t="str">
        <f t="shared" si="1"/>
        <v/>
      </c>
      <c r="AG5579" s="15" t="str">
        <f>IF(OR(AF5579="",AF5579="ERRO_CHAVE"),"",IFERROR(MATCH(AF5579,'Quitados DUPP'!$U$1:$U$6635,0),""))</f>
        <v/>
      </c>
      <c r="AH5579" s="15" t="str">
        <f t="shared" si="2"/>
        <v/>
      </c>
      <c r="AI5579" s="17" t="str">
        <f>IF(AG5579="","",INDEX('Quitados DUPP'!$G$1:$G$6635,AG5579))</f>
        <v/>
      </c>
      <c r="AJ5579" s="17" t="str">
        <f t="shared" si="3"/>
        <v/>
      </c>
    </row>
    <row r="5580" spans="31:36">
      <c r="AE5580" s="15" t="str">
        <f t="shared" si="0"/>
        <v/>
      </c>
      <c r="AF5580" s="15" t="str">
        <f t="shared" si="1"/>
        <v/>
      </c>
      <c r="AG5580" s="15" t="str">
        <f>IF(OR(AF5580="",AF5580="ERRO_CHAVE"),"",IFERROR(MATCH(AF5580,'Quitados DUPP'!$U$1:$U$6635,0),""))</f>
        <v/>
      </c>
      <c r="AH5580" s="15" t="str">
        <f t="shared" si="2"/>
        <v/>
      </c>
      <c r="AI5580" s="17" t="str">
        <f>IF(AG5580="","",INDEX('Quitados DUPP'!$G$1:$G$6635,AG5580))</f>
        <v/>
      </c>
      <c r="AJ5580" s="17" t="str">
        <f t="shared" si="3"/>
        <v/>
      </c>
    </row>
    <row r="5581" spans="31:36">
      <c r="AE5581" s="15" t="str">
        <f t="shared" si="0"/>
        <v/>
      </c>
      <c r="AF5581" s="15" t="str">
        <f t="shared" si="1"/>
        <v/>
      </c>
      <c r="AG5581" s="15" t="str">
        <f>IF(OR(AF5581="",AF5581="ERRO_CHAVE"),"",IFERROR(MATCH(AF5581,'Quitados DUPP'!$U$1:$U$6635,0),""))</f>
        <v/>
      </c>
      <c r="AH5581" s="15" t="str">
        <f t="shared" si="2"/>
        <v/>
      </c>
      <c r="AI5581" s="17" t="str">
        <f>IF(AG5581="","",INDEX('Quitados DUPP'!$G$1:$G$6635,AG5581))</f>
        <v/>
      </c>
      <c r="AJ5581" s="17" t="str">
        <f t="shared" si="3"/>
        <v/>
      </c>
    </row>
    <row r="5582" spans="31:36">
      <c r="AE5582" s="15" t="str">
        <f t="shared" si="0"/>
        <v/>
      </c>
      <c r="AF5582" s="15" t="str">
        <f t="shared" si="1"/>
        <v/>
      </c>
      <c r="AG5582" s="15" t="str">
        <f>IF(OR(AF5582="",AF5582="ERRO_CHAVE"),"",IFERROR(MATCH(AF5582,'Quitados DUPP'!$U$1:$U$6635,0),""))</f>
        <v/>
      </c>
      <c r="AH5582" s="15" t="str">
        <f t="shared" si="2"/>
        <v/>
      </c>
      <c r="AI5582" s="17" t="str">
        <f>IF(AG5582="","",INDEX('Quitados DUPP'!$G$1:$G$6635,AG5582))</f>
        <v/>
      </c>
      <c r="AJ5582" s="17" t="str">
        <f t="shared" si="3"/>
        <v/>
      </c>
    </row>
    <row r="5583" spans="31:36">
      <c r="AE5583" s="15" t="str">
        <f t="shared" si="0"/>
        <v/>
      </c>
      <c r="AF5583" s="15" t="str">
        <f t="shared" si="1"/>
        <v/>
      </c>
      <c r="AG5583" s="15" t="str">
        <f>IF(OR(AF5583="",AF5583="ERRO_CHAVE"),"",IFERROR(MATCH(AF5583,'Quitados DUPP'!$U$1:$U$6635,0),""))</f>
        <v/>
      </c>
      <c r="AH5583" s="15" t="str">
        <f t="shared" si="2"/>
        <v/>
      </c>
      <c r="AI5583" s="17" t="str">
        <f>IF(AG5583="","",INDEX('Quitados DUPP'!$G$1:$G$6635,AG5583))</f>
        <v/>
      </c>
      <c r="AJ5583" s="17" t="str">
        <f t="shared" si="3"/>
        <v/>
      </c>
    </row>
    <row r="5584" spans="31:36">
      <c r="AE5584" s="15" t="str">
        <f t="shared" si="0"/>
        <v/>
      </c>
      <c r="AF5584" s="15" t="str">
        <f t="shared" si="1"/>
        <v/>
      </c>
      <c r="AG5584" s="15" t="str">
        <f>IF(OR(AF5584="",AF5584="ERRO_CHAVE"),"",IFERROR(MATCH(AF5584,'Quitados DUPP'!$U$1:$U$6635,0),""))</f>
        <v/>
      </c>
      <c r="AH5584" s="15" t="str">
        <f t="shared" si="2"/>
        <v/>
      </c>
      <c r="AI5584" s="17" t="str">
        <f>IF(AG5584="","",INDEX('Quitados DUPP'!$G$1:$G$6635,AG5584))</f>
        <v/>
      </c>
      <c r="AJ5584" s="17" t="str">
        <f t="shared" si="3"/>
        <v/>
      </c>
    </row>
    <row r="5585" spans="31:36">
      <c r="AE5585" s="15" t="str">
        <f t="shared" si="0"/>
        <v/>
      </c>
      <c r="AF5585" s="15" t="str">
        <f t="shared" si="1"/>
        <v/>
      </c>
      <c r="AG5585" s="15" t="str">
        <f>IF(OR(AF5585="",AF5585="ERRO_CHAVE"),"",IFERROR(MATCH(AF5585,'Quitados DUPP'!$U$1:$U$6635,0),""))</f>
        <v/>
      </c>
      <c r="AH5585" s="15" t="str">
        <f t="shared" si="2"/>
        <v/>
      </c>
      <c r="AI5585" s="17" t="str">
        <f>IF(AG5585="","",INDEX('Quitados DUPP'!$G$1:$G$6635,AG5585))</f>
        <v/>
      </c>
      <c r="AJ5585" s="17" t="str">
        <f t="shared" si="3"/>
        <v/>
      </c>
    </row>
    <row r="5586" spans="31:36">
      <c r="AE5586" s="15" t="str">
        <f t="shared" si="0"/>
        <v/>
      </c>
      <c r="AF5586" s="15" t="str">
        <f t="shared" si="1"/>
        <v/>
      </c>
      <c r="AG5586" s="15" t="str">
        <f>IF(OR(AF5586="",AF5586="ERRO_CHAVE"),"",IFERROR(MATCH(AF5586,'Quitados DUPP'!$U$1:$U$6635,0),""))</f>
        <v/>
      </c>
      <c r="AH5586" s="15" t="str">
        <f t="shared" si="2"/>
        <v/>
      </c>
      <c r="AI5586" s="17" t="str">
        <f>IF(AG5586="","",INDEX('Quitados DUPP'!$G$1:$G$6635,AG5586))</f>
        <v/>
      </c>
      <c r="AJ5586" s="17" t="str">
        <f t="shared" si="3"/>
        <v/>
      </c>
    </row>
    <row r="5587" spans="31:36">
      <c r="AE5587" s="15" t="str">
        <f t="shared" si="0"/>
        <v/>
      </c>
      <c r="AF5587" s="15" t="str">
        <f t="shared" si="1"/>
        <v/>
      </c>
      <c r="AG5587" s="15" t="str">
        <f>IF(OR(AF5587="",AF5587="ERRO_CHAVE"),"",IFERROR(MATCH(AF5587,'Quitados DUPP'!$U$1:$U$6635,0),""))</f>
        <v/>
      </c>
      <c r="AH5587" s="15" t="str">
        <f t="shared" si="2"/>
        <v/>
      </c>
      <c r="AI5587" s="17" t="str">
        <f>IF(AG5587="","",INDEX('Quitados DUPP'!$G$1:$G$6635,AG5587))</f>
        <v/>
      </c>
      <c r="AJ5587" s="17" t="str">
        <f t="shared" si="3"/>
        <v/>
      </c>
    </row>
    <row r="5588" spans="31:36">
      <c r="AE5588" s="15" t="str">
        <f t="shared" si="0"/>
        <v/>
      </c>
      <c r="AF5588" s="15" t="str">
        <f t="shared" si="1"/>
        <v/>
      </c>
      <c r="AG5588" s="15" t="str">
        <f>IF(OR(AF5588="",AF5588="ERRO_CHAVE"),"",IFERROR(MATCH(AF5588,'Quitados DUPP'!$U$1:$U$6635,0),""))</f>
        <v/>
      </c>
      <c r="AH5588" s="15" t="str">
        <f t="shared" si="2"/>
        <v/>
      </c>
      <c r="AI5588" s="17" t="str">
        <f>IF(AG5588="","",INDEX('Quitados DUPP'!$G$1:$G$6635,AG5588))</f>
        <v/>
      </c>
      <c r="AJ5588" s="17" t="str">
        <f t="shared" si="3"/>
        <v/>
      </c>
    </row>
    <row r="5589" spans="31:36">
      <c r="AE5589" s="15" t="str">
        <f t="shared" si="0"/>
        <v/>
      </c>
      <c r="AF5589" s="15" t="str">
        <f t="shared" si="1"/>
        <v/>
      </c>
      <c r="AG5589" s="15" t="str">
        <f>IF(OR(AF5589="",AF5589="ERRO_CHAVE"),"",IFERROR(MATCH(AF5589,'Quitados DUPP'!$U$1:$U$6635,0),""))</f>
        <v/>
      </c>
      <c r="AH5589" s="15" t="str">
        <f t="shared" si="2"/>
        <v/>
      </c>
      <c r="AI5589" s="17" t="str">
        <f>IF(AG5589="","",INDEX('Quitados DUPP'!$G$1:$G$6635,AG5589))</f>
        <v/>
      </c>
      <c r="AJ5589" s="17" t="str">
        <f t="shared" si="3"/>
        <v/>
      </c>
    </row>
    <row r="5590" spans="31:36">
      <c r="AE5590" s="15" t="str">
        <f t="shared" si="0"/>
        <v/>
      </c>
      <c r="AF5590" s="15" t="str">
        <f t="shared" si="1"/>
        <v/>
      </c>
      <c r="AG5590" s="15" t="str">
        <f>IF(OR(AF5590="",AF5590="ERRO_CHAVE"),"",IFERROR(MATCH(AF5590,'Quitados DUPP'!$U$1:$U$6635,0),""))</f>
        <v/>
      </c>
      <c r="AH5590" s="15" t="str">
        <f t="shared" si="2"/>
        <v/>
      </c>
      <c r="AI5590" s="17" t="str">
        <f>IF(AG5590="","",INDEX('Quitados DUPP'!$G$1:$G$6635,AG5590))</f>
        <v/>
      </c>
      <c r="AJ5590" s="17" t="str">
        <f t="shared" si="3"/>
        <v/>
      </c>
    </row>
    <row r="5591" spans="31:36">
      <c r="AE5591" s="15" t="str">
        <f t="shared" si="0"/>
        <v/>
      </c>
      <c r="AF5591" s="15" t="str">
        <f t="shared" si="1"/>
        <v/>
      </c>
      <c r="AG5591" s="15" t="str">
        <f>IF(OR(AF5591="",AF5591="ERRO_CHAVE"),"",IFERROR(MATCH(AF5591,'Quitados DUPP'!$U$1:$U$6635,0),""))</f>
        <v/>
      </c>
      <c r="AH5591" s="15" t="str">
        <f t="shared" si="2"/>
        <v/>
      </c>
      <c r="AI5591" s="17" t="str">
        <f>IF(AG5591="","",INDEX('Quitados DUPP'!$G$1:$G$6635,AG5591))</f>
        <v/>
      </c>
      <c r="AJ5591" s="17" t="str">
        <f t="shared" si="3"/>
        <v/>
      </c>
    </row>
    <row r="5592" spans="31:36">
      <c r="AE5592" s="15" t="str">
        <f t="shared" si="0"/>
        <v/>
      </c>
      <c r="AF5592" s="15" t="str">
        <f t="shared" si="1"/>
        <v/>
      </c>
      <c r="AG5592" s="15" t="str">
        <f>IF(OR(AF5592="",AF5592="ERRO_CHAVE"),"",IFERROR(MATCH(AF5592,'Quitados DUPP'!$U$1:$U$6635,0),""))</f>
        <v/>
      </c>
      <c r="AH5592" s="15" t="str">
        <f t="shared" si="2"/>
        <v/>
      </c>
      <c r="AI5592" s="17" t="str">
        <f>IF(AG5592="","",INDEX('Quitados DUPP'!$G$1:$G$6635,AG5592))</f>
        <v/>
      </c>
      <c r="AJ5592" s="17" t="str">
        <f t="shared" si="3"/>
        <v/>
      </c>
    </row>
    <row r="5593" spans="31:36">
      <c r="AE5593" s="15" t="str">
        <f t="shared" si="0"/>
        <v/>
      </c>
      <c r="AF5593" s="15" t="str">
        <f t="shared" si="1"/>
        <v/>
      </c>
      <c r="AG5593" s="15" t="str">
        <f>IF(OR(AF5593="",AF5593="ERRO_CHAVE"),"",IFERROR(MATCH(AF5593,'Quitados DUPP'!$U$1:$U$6635,0),""))</f>
        <v/>
      </c>
      <c r="AH5593" s="15" t="str">
        <f t="shared" si="2"/>
        <v/>
      </c>
      <c r="AI5593" s="17" t="str">
        <f>IF(AG5593="","",INDEX('Quitados DUPP'!$G$1:$G$6635,AG5593))</f>
        <v/>
      </c>
      <c r="AJ5593" s="17" t="str">
        <f t="shared" si="3"/>
        <v/>
      </c>
    </row>
    <row r="5594" spans="31:36">
      <c r="AE5594" s="15" t="str">
        <f t="shared" si="0"/>
        <v/>
      </c>
      <c r="AF5594" s="15" t="str">
        <f t="shared" si="1"/>
        <v/>
      </c>
      <c r="AG5594" s="15" t="str">
        <f>IF(OR(AF5594="",AF5594="ERRO_CHAVE"),"",IFERROR(MATCH(AF5594,'Quitados DUPP'!$U$1:$U$6635,0),""))</f>
        <v/>
      </c>
      <c r="AH5594" s="15" t="str">
        <f t="shared" si="2"/>
        <v/>
      </c>
      <c r="AI5594" s="17" t="str">
        <f>IF(AG5594="","",INDEX('Quitados DUPP'!$G$1:$G$6635,AG5594))</f>
        <v/>
      </c>
      <c r="AJ5594" s="17" t="str">
        <f t="shared" si="3"/>
        <v/>
      </c>
    </row>
    <row r="5595" spans="31:36">
      <c r="AE5595" s="15" t="str">
        <f t="shared" si="0"/>
        <v/>
      </c>
      <c r="AF5595" s="15" t="str">
        <f t="shared" si="1"/>
        <v/>
      </c>
      <c r="AG5595" s="15" t="str">
        <f>IF(OR(AF5595="",AF5595="ERRO_CHAVE"),"",IFERROR(MATCH(AF5595,'Quitados DUPP'!$U$1:$U$6635,0),""))</f>
        <v/>
      </c>
      <c r="AH5595" s="15" t="str">
        <f t="shared" si="2"/>
        <v/>
      </c>
      <c r="AI5595" s="17" t="str">
        <f>IF(AG5595="","",INDEX('Quitados DUPP'!$G$1:$G$6635,AG5595))</f>
        <v/>
      </c>
      <c r="AJ5595" s="17" t="str">
        <f t="shared" si="3"/>
        <v/>
      </c>
    </row>
    <row r="5596" spans="31:36">
      <c r="AE5596" s="15" t="str">
        <f t="shared" si="0"/>
        <v/>
      </c>
      <c r="AF5596" s="15" t="str">
        <f t="shared" si="1"/>
        <v/>
      </c>
      <c r="AG5596" s="15" t="str">
        <f>IF(OR(AF5596="",AF5596="ERRO_CHAVE"),"",IFERROR(MATCH(AF5596,'Quitados DUPP'!$U$1:$U$6635,0),""))</f>
        <v/>
      </c>
      <c r="AH5596" s="15" t="str">
        <f t="shared" si="2"/>
        <v/>
      </c>
      <c r="AI5596" s="17" t="str">
        <f>IF(AG5596="","",INDEX('Quitados DUPP'!$G$1:$G$6635,AG5596))</f>
        <v/>
      </c>
      <c r="AJ5596" s="17" t="str">
        <f t="shared" si="3"/>
        <v/>
      </c>
    </row>
    <row r="5597" spans="31:36">
      <c r="AE5597" s="15" t="str">
        <f t="shared" si="0"/>
        <v/>
      </c>
      <c r="AF5597" s="15" t="str">
        <f t="shared" si="1"/>
        <v/>
      </c>
      <c r="AG5597" s="15" t="str">
        <f>IF(OR(AF5597="",AF5597="ERRO_CHAVE"),"",IFERROR(MATCH(AF5597,'Quitados DUPP'!$U$1:$U$6635,0),""))</f>
        <v/>
      </c>
      <c r="AH5597" s="15" t="str">
        <f t="shared" si="2"/>
        <v/>
      </c>
      <c r="AI5597" s="17" t="str">
        <f>IF(AG5597="","",INDEX('Quitados DUPP'!$G$1:$G$6635,AG5597))</f>
        <v/>
      </c>
      <c r="AJ5597" s="17" t="str">
        <f t="shared" si="3"/>
        <v/>
      </c>
    </row>
    <row r="5598" spans="31:36">
      <c r="AE5598" s="15" t="str">
        <f t="shared" si="0"/>
        <v/>
      </c>
      <c r="AF5598" s="15" t="str">
        <f t="shared" si="1"/>
        <v/>
      </c>
      <c r="AG5598" s="15" t="str">
        <f>IF(OR(AF5598="",AF5598="ERRO_CHAVE"),"",IFERROR(MATCH(AF5598,'Quitados DUPP'!$U$1:$U$6635,0),""))</f>
        <v/>
      </c>
      <c r="AH5598" s="15" t="str">
        <f t="shared" si="2"/>
        <v/>
      </c>
      <c r="AI5598" s="17" t="str">
        <f>IF(AG5598="","",INDEX('Quitados DUPP'!$G$1:$G$6635,AG5598))</f>
        <v/>
      </c>
      <c r="AJ5598" s="17" t="str">
        <f t="shared" si="3"/>
        <v/>
      </c>
    </row>
    <row r="5599" spans="31:36">
      <c r="AE5599" s="15" t="str">
        <f t="shared" si="0"/>
        <v/>
      </c>
      <c r="AF5599" s="15" t="str">
        <f t="shared" si="1"/>
        <v/>
      </c>
      <c r="AG5599" s="15" t="str">
        <f>IF(OR(AF5599="",AF5599="ERRO_CHAVE"),"",IFERROR(MATCH(AF5599,'Quitados DUPP'!$U$1:$U$6635,0),""))</f>
        <v/>
      </c>
      <c r="AH5599" s="15" t="str">
        <f t="shared" si="2"/>
        <v/>
      </c>
      <c r="AI5599" s="17" t="str">
        <f>IF(AG5599="","",INDEX('Quitados DUPP'!$G$1:$G$6635,AG5599))</f>
        <v/>
      </c>
      <c r="AJ5599" s="17" t="str">
        <f t="shared" si="3"/>
        <v/>
      </c>
    </row>
    <row r="5600" spans="31:36">
      <c r="AE5600" s="15" t="str">
        <f t="shared" si="0"/>
        <v/>
      </c>
      <c r="AF5600" s="15" t="str">
        <f t="shared" si="1"/>
        <v/>
      </c>
      <c r="AG5600" s="15" t="str">
        <f>IF(OR(AF5600="",AF5600="ERRO_CHAVE"),"",IFERROR(MATCH(AF5600,'Quitados DUPP'!$U$1:$U$6635,0),""))</f>
        <v/>
      </c>
      <c r="AH5600" s="15" t="str">
        <f t="shared" si="2"/>
        <v/>
      </c>
      <c r="AI5600" s="17" t="str">
        <f>IF(AG5600="","",INDEX('Quitados DUPP'!$G$1:$G$6635,AG5600))</f>
        <v/>
      </c>
      <c r="AJ5600" s="17" t="str">
        <f t="shared" si="3"/>
        <v/>
      </c>
    </row>
    <row r="5601" spans="31:36">
      <c r="AE5601" s="15" t="str">
        <f t="shared" si="0"/>
        <v/>
      </c>
      <c r="AF5601" s="15" t="str">
        <f t="shared" si="1"/>
        <v/>
      </c>
      <c r="AG5601" s="15" t="str">
        <f>IF(OR(AF5601="",AF5601="ERRO_CHAVE"),"",IFERROR(MATCH(AF5601,'Quitados DUPP'!$U$1:$U$6635,0),""))</f>
        <v/>
      </c>
      <c r="AH5601" s="15" t="str">
        <f t="shared" si="2"/>
        <v/>
      </c>
      <c r="AI5601" s="17" t="str">
        <f>IF(AG5601="","",INDEX('Quitados DUPP'!$G$1:$G$6635,AG5601))</f>
        <v/>
      </c>
      <c r="AJ5601" s="17" t="str">
        <f t="shared" si="3"/>
        <v/>
      </c>
    </row>
    <row r="5602" spans="31:36">
      <c r="AE5602" s="15" t="str">
        <f t="shared" si="0"/>
        <v/>
      </c>
      <c r="AF5602" s="15" t="str">
        <f t="shared" si="1"/>
        <v/>
      </c>
      <c r="AG5602" s="15" t="str">
        <f>IF(OR(AF5602="",AF5602="ERRO_CHAVE"),"",IFERROR(MATCH(AF5602,'Quitados DUPP'!$U$1:$U$6635,0),""))</f>
        <v/>
      </c>
      <c r="AH5602" s="15" t="str">
        <f t="shared" si="2"/>
        <v/>
      </c>
      <c r="AI5602" s="17" t="str">
        <f>IF(AG5602="","",INDEX('Quitados DUPP'!$G$1:$G$6635,AG5602))</f>
        <v/>
      </c>
      <c r="AJ5602" s="17" t="str">
        <f t="shared" si="3"/>
        <v/>
      </c>
    </row>
    <row r="5603" spans="31:36">
      <c r="AE5603" s="15" t="str">
        <f t="shared" si="0"/>
        <v/>
      </c>
      <c r="AF5603" s="15" t="str">
        <f t="shared" si="1"/>
        <v/>
      </c>
      <c r="AG5603" s="15" t="str">
        <f>IF(OR(AF5603="",AF5603="ERRO_CHAVE"),"",IFERROR(MATCH(AF5603,'Quitados DUPP'!$U$1:$U$6635,0),""))</f>
        <v/>
      </c>
      <c r="AH5603" s="15" t="str">
        <f t="shared" si="2"/>
        <v/>
      </c>
      <c r="AI5603" s="17" t="str">
        <f>IF(AG5603="","",INDEX('Quitados DUPP'!$G$1:$G$6635,AG5603))</f>
        <v/>
      </c>
      <c r="AJ5603" s="17" t="str">
        <f t="shared" si="3"/>
        <v/>
      </c>
    </row>
    <row r="5604" spans="31:36">
      <c r="AE5604" s="15" t="str">
        <f t="shared" si="0"/>
        <v/>
      </c>
      <c r="AF5604" s="15" t="str">
        <f t="shared" si="1"/>
        <v/>
      </c>
      <c r="AG5604" s="15" t="str">
        <f>IF(OR(AF5604="",AF5604="ERRO_CHAVE"),"",IFERROR(MATCH(AF5604,'Quitados DUPP'!$U$1:$U$6635,0),""))</f>
        <v/>
      </c>
      <c r="AH5604" s="15" t="str">
        <f t="shared" si="2"/>
        <v/>
      </c>
      <c r="AI5604" s="17" t="str">
        <f>IF(AG5604="","",INDEX('Quitados DUPP'!$G$1:$G$6635,AG5604))</f>
        <v/>
      </c>
      <c r="AJ5604" s="17" t="str">
        <f t="shared" si="3"/>
        <v/>
      </c>
    </row>
    <row r="5605" spans="31:36">
      <c r="AE5605" s="15" t="str">
        <f t="shared" si="0"/>
        <v/>
      </c>
      <c r="AF5605" s="15" t="str">
        <f t="shared" si="1"/>
        <v/>
      </c>
      <c r="AG5605" s="15" t="str">
        <f>IF(OR(AF5605="",AF5605="ERRO_CHAVE"),"",IFERROR(MATCH(AF5605,'Quitados DUPP'!$U$1:$U$6635,0),""))</f>
        <v/>
      </c>
      <c r="AH5605" s="15" t="str">
        <f t="shared" si="2"/>
        <v/>
      </c>
      <c r="AI5605" s="17" t="str">
        <f>IF(AG5605="","",INDEX('Quitados DUPP'!$G$1:$G$6635,AG5605))</f>
        <v/>
      </c>
      <c r="AJ5605" s="17" t="str">
        <f t="shared" si="3"/>
        <v/>
      </c>
    </row>
    <row r="5606" spans="31:36">
      <c r="AE5606" s="15" t="str">
        <f t="shared" si="0"/>
        <v/>
      </c>
      <c r="AF5606" s="15" t="str">
        <f t="shared" si="1"/>
        <v/>
      </c>
      <c r="AG5606" s="15" t="str">
        <f>IF(OR(AF5606="",AF5606="ERRO_CHAVE"),"",IFERROR(MATCH(AF5606,'Quitados DUPP'!$U$1:$U$6635,0),""))</f>
        <v/>
      </c>
      <c r="AH5606" s="15" t="str">
        <f t="shared" si="2"/>
        <v/>
      </c>
      <c r="AI5606" s="17" t="str">
        <f>IF(AG5606="","",INDEX('Quitados DUPP'!$G$1:$G$6635,AG5606))</f>
        <v/>
      </c>
      <c r="AJ5606" s="17" t="str">
        <f t="shared" si="3"/>
        <v/>
      </c>
    </row>
    <row r="5607" spans="31:36">
      <c r="AE5607" s="15" t="str">
        <f t="shared" si="0"/>
        <v/>
      </c>
      <c r="AF5607" s="15" t="str">
        <f t="shared" si="1"/>
        <v/>
      </c>
      <c r="AG5607" s="15" t="str">
        <f>IF(OR(AF5607="",AF5607="ERRO_CHAVE"),"",IFERROR(MATCH(AF5607,'Quitados DUPP'!$U$1:$U$6635,0),""))</f>
        <v/>
      </c>
      <c r="AH5607" s="15" t="str">
        <f t="shared" si="2"/>
        <v/>
      </c>
      <c r="AI5607" s="17" t="str">
        <f>IF(AG5607="","",INDEX('Quitados DUPP'!$G$1:$G$6635,AG5607))</f>
        <v/>
      </c>
      <c r="AJ5607" s="17" t="str">
        <f t="shared" si="3"/>
        <v/>
      </c>
    </row>
    <row r="5608" spans="31:36">
      <c r="AE5608" s="15" t="str">
        <f t="shared" si="0"/>
        <v/>
      </c>
      <c r="AF5608" s="15" t="str">
        <f t="shared" si="1"/>
        <v/>
      </c>
      <c r="AG5608" s="15" t="str">
        <f>IF(OR(AF5608="",AF5608="ERRO_CHAVE"),"",IFERROR(MATCH(AF5608,'Quitados DUPP'!$U$1:$U$6635,0),""))</f>
        <v/>
      </c>
      <c r="AH5608" s="15" t="str">
        <f t="shared" si="2"/>
        <v/>
      </c>
      <c r="AI5608" s="17" t="str">
        <f>IF(AG5608="","",INDEX('Quitados DUPP'!$G$1:$G$6635,AG5608))</f>
        <v/>
      </c>
      <c r="AJ5608" s="17" t="str">
        <f t="shared" si="3"/>
        <v/>
      </c>
    </row>
    <row r="5609" spans="31:36">
      <c r="AE5609" s="15" t="str">
        <f t="shared" si="0"/>
        <v/>
      </c>
      <c r="AF5609" s="15" t="str">
        <f t="shared" si="1"/>
        <v/>
      </c>
      <c r="AG5609" s="15" t="str">
        <f>IF(OR(AF5609="",AF5609="ERRO_CHAVE"),"",IFERROR(MATCH(AF5609,'Quitados DUPP'!$U$1:$U$6635,0),""))</f>
        <v/>
      </c>
      <c r="AH5609" s="15" t="str">
        <f t="shared" si="2"/>
        <v/>
      </c>
      <c r="AI5609" s="17" t="str">
        <f>IF(AG5609="","",INDEX('Quitados DUPP'!$G$1:$G$6635,AG5609))</f>
        <v/>
      </c>
      <c r="AJ5609" s="17" t="str">
        <f t="shared" si="3"/>
        <v/>
      </c>
    </row>
    <row r="5610" spans="31:36">
      <c r="AE5610" s="15" t="str">
        <f t="shared" si="0"/>
        <v/>
      </c>
      <c r="AF5610" s="15" t="str">
        <f t="shared" si="1"/>
        <v/>
      </c>
      <c r="AG5610" s="15" t="str">
        <f>IF(OR(AF5610="",AF5610="ERRO_CHAVE"),"",IFERROR(MATCH(AF5610,'Quitados DUPP'!$U$1:$U$6635,0),""))</f>
        <v/>
      </c>
      <c r="AH5610" s="15" t="str">
        <f t="shared" si="2"/>
        <v/>
      </c>
      <c r="AI5610" s="17" t="str">
        <f>IF(AG5610="","",INDEX('Quitados DUPP'!$G$1:$G$6635,AG5610))</f>
        <v/>
      </c>
      <c r="AJ5610" s="17" t="str">
        <f t="shared" si="3"/>
        <v/>
      </c>
    </row>
    <row r="5611" spans="31:36">
      <c r="AE5611" s="15" t="str">
        <f t="shared" si="0"/>
        <v/>
      </c>
      <c r="AF5611" s="15" t="str">
        <f t="shared" si="1"/>
        <v/>
      </c>
      <c r="AG5611" s="15" t="str">
        <f>IF(OR(AF5611="",AF5611="ERRO_CHAVE"),"",IFERROR(MATCH(AF5611,'Quitados DUPP'!$U$1:$U$6635,0),""))</f>
        <v/>
      </c>
      <c r="AH5611" s="15" t="str">
        <f t="shared" si="2"/>
        <v/>
      </c>
      <c r="AI5611" s="17" t="str">
        <f>IF(AG5611="","",INDEX('Quitados DUPP'!$G$1:$G$6635,AG5611))</f>
        <v/>
      </c>
      <c r="AJ5611" s="17" t="str">
        <f t="shared" si="3"/>
        <v/>
      </c>
    </row>
    <row r="5612" spans="31:36">
      <c r="AE5612" s="15" t="str">
        <f t="shared" si="0"/>
        <v/>
      </c>
      <c r="AF5612" s="15" t="str">
        <f t="shared" si="1"/>
        <v/>
      </c>
      <c r="AG5612" s="15" t="str">
        <f>IF(OR(AF5612="",AF5612="ERRO_CHAVE"),"",IFERROR(MATCH(AF5612,'Quitados DUPP'!$U$1:$U$6635,0),""))</f>
        <v/>
      </c>
      <c r="AH5612" s="15" t="str">
        <f t="shared" si="2"/>
        <v/>
      </c>
      <c r="AI5612" s="17" t="str">
        <f>IF(AG5612="","",INDEX('Quitados DUPP'!$G$1:$G$6635,AG5612))</f>
        <v/>
      </c>
      <c r="AJ5612" s="17" t="str">
        <f t="shared" si="3"/>
        <v/>
      </c>
    </row>
    <row r="5613" spans="31:36">
      <c r="AE5613" s="15" t="str">
        <f t="shared" si="0"/>
        <v/>
      </c>
      <c r="AF5613" s="15" t="str">
        <f t="shared" si="1"/>
        <v/>
      </c>
      <c r="AG5613" s="15" t="str">
        <f>IF(OR(AF5613="",AF5613="ERRO_CHAVE"),"",IFERROR(MATCH(AF5613,'Quitados DUPP'!$U$1:$U$6635,0),""))</f>
        <v/>
      </c>
      <c r="AH5613" s="15" t="str">
        <f t="shared" si="2"/>
        <v/>
      </c>
      <c r="AI5613" s="17" t="str">
        <f>IF(AG5613="","",INDEX('Quitados DUPP'!$G$1:$G$6635,AG5613))</f>
        <v/>
      </c>
      <c r="AJ5613" s="17" t="str">
        <f t="shared" si="3"/>
        <v/>
      </c>
    </row>
    <row r="5614" spans="31:36">
      <c r="AE5614" s="15" t="str">
        <f t="shared" si="0"/>
        <v/>
      </c>
      <c r="AF5614" s="15" t="str">
        <f t="shared" si="1"/>
        <v/>
      </c>
      <c r="AG5614" s="15" t="str">
        <f>IF(OR(AF5614="",AF5614="ERRO_CHAVE"),"",IFERROR(MATCH(AF5614,'Quitados DUPP'!$U$1:$U$6635,0),""))</f>
        <v/>
      </c>
      <c r="AH5614" s="15" t="str">
        <f t="shared" si="2"/>
        <v/>
      </c>
      <c r="AI5614" s="17" t="str">
        <f>IF(AG5614="","",INDEX('Quitados DUPP'!$G$1:$G$6635,AG5614))</f>
        <v/>
      </c>
      <c r="AJ5614" s="17" t="str">
        <f t="shared" si="3"/>
        <v/>
      </c>
    </row>
    <row r="5615" spans="31:36">
      <c r="AE5615" s="15" t="str">
        <f t="shared" si="0"/>
        <v/>
      </c>
      <c r="AF5615" s="15" t="str">
        <f t="shared" si="1"/>
        <v/>
      </c>
      <c r="AG5615" s="15" t="str">
        <f>IF(OR(AF5615="",AF5615="ERRO_CHAVE"),"",IFERROR(MATCH(AF5615,'Quitados DUPP'!$U$1:$U$6635,0),""))</f>
        <v/>
      </c>
      <c r="AH5615" s="15" t="str">
        <f t="shared" si="2"/>
        <v/>
      </c>
      <c r="AI5615" s="17" t="str">
        <f>IF(AG5615="","",INDEX('Quitados DUPP'!$G$1:$G$6635,AG5615))</f>
        <v/>
      </c>
      <c r="AJ5615" s="17" t="str">
        <f t="shared" si="3"/>
        <v/>
      </c>
    </row>
    <row r="5616" spans="31:36">
      <c r="AE5616" s="15" t="str">
        <f t="shared" si="0"/>
        <v/>
      </c>
      <c r="AF5616" s="15" t="str">
        <f t="shared" si="1"/>
        <v/>
      </c>
      <c r="AG5616" s="15" t="str">
        <f>IF(OR(AF5616="",AF5616="ERRO_CHAVE"),"",IFERROR(MATCH(AF5616,'Quitados DUPP'!$U$1:$U$6635,0),""))</f>
        <v/>
      </c>
      <c r="AH5616" s="15" t="str">
        <f t="shared" si="2"/>
        <v/>
      </c>
      <c r="AI5616" s="17" t="str">
        <f>IF(AG5616="","",INDEX('Quitados DUPP'!$G$1:$G$6635,AG5616))</f>
        <v/>
      </c>
      <c r="AJ5616" s="17" t="str">
        <f t="shared" si="3"/>
        <v/>
      </c>
    </row>
    <row r="5617" spans="31:36">
      <c r="AE5617" s="15" t="str">
        <f t="shared" si="0"/>
        <v/>
      </c>
      <c r="AF5617" s="15" t="str">
        <f t="shared" si="1"/>
        <v/>
      </c>
      <c r="AG5617" s="15" t="str">
        <f>IF(OR(AF5617="",AF5617="ERRO_CHAVE"),"",IFERROR(MATCH(AF5617,'Quitados DUPP'!$U$1:$U$6635,0),""))</f>
        <v/>
      </c>
      <c r="AH5617" s="15" t="str">
        <f t="shared" si="2"/>
        <v/>
      </c>
      <c r="AI5617" s="17" t="str">
        <f>IF(AG5617="","",INDEX('Quitados DUPP'!$G$1:$G$6635,AG5617))</f>
        <v/>
      </c>
      <c r="AJ5617" s="17" t="str">
        <f t="shared" si="3"/>
        <v/>
      </c>
    </row>
    <row r="5618" spans="31:36">
      <c r="AE5618" s="15" t="str">
        <f t="shared" si="0"/>
        <v/>
      </c>
      <c r="AF5618" s="15" t="str">
        <f t="shared" si="1"/>
        <v/>
      </c>
      <c r="AG5618" s="15" t="str">
        <f>IF(OR(AF5618="",AF5618="ERRO_CHAVE"),"",IFERROR(MATCH(AF5618,'Quitados DUPP'!$U$1:$U$6635,0),""))</f>
        <v/>
      </c>
      <c r="AH5618" s="15" t="str">
        <f t="shared" si="2"/>
        <v/>
      </c>
      <c r="AI5618" s="17" t="str">
        <f>IF(AG5618="","",INDEX('Quitados DUPP'!$G$1:$G$6635,AG5618))</f>
        <v/>
      </c>
      <c r="AJ5618" s="17" t="str">
        <f t="shared" si="3"/>
        <v/>
      </c>
    </row>
    <row r="5619" spans="31:36">
      <c r="AE5619" s="15" t="str">
        <f t="shared" si="0"/>
        <v/>
      </c>
      <c r="AF5619" s="15" t="str">
        <f t="shared" si="1"/>
        <v/>
      </c>
      <c r="AG5619" s="15" t="str">
        <f>IF(OR(AF5619="",AF5619="ERRO_CHAVE"),"",IFERROR(MATCH(AF5619,'Quitados DUPP'!$U$1:$U$6635,0),""))</f>
        <v/>
      </c>
      <c r="AH5619" s="15" t="str">
        <f t="shared" si="2"/>
        <v/>
      </c>
      <c r="AI5619" s="17" t="str">
        <f>IF(AG5619="","",INDEX('Quitados DUPP'!$G$1:$G$6635,AG5619))</f>
        <v/>
      </c>
      <c r="AJ5619" s="17" t="str">
        <f t="shared" si="3"/>
        <v/>
      </c>
    </row>
    <row r="5620" spans="31:36">
      <c r="AE5620" s="15" t="str">
        <f t="shared" si="0"/>
        <v/>
      </c>
      <c r="AF5620" s="15" t="str">
        <f t="shared" si="1"/>
        <v/>
      </c>
      <c r="AG5620" s="15" t="str">
        <f>IF(OR(AF5620="",AF5620="ERRO_CHAVE"),"",IFERROR(MATCH(AF5620,'Quitados DUPP'!$U$1:$U$6635,0),""))</f>
        <v/>
      </c>
      <c r="AH5620" s="15" t="str">
        <f t="shared" si="2"/>
        <v/>
      </c>
      <c r="AI5620" s="17" t="str">
        <f>IF(AG5620="","",INDEX('Quitados DUPP'!$G$1:$G$6635,AG5620))</f>
        <v/>
      </c>
      <c r="AJ5620" s="17" t="str">
        <f t="shared" si="3"/>
        <v/>
      </c>
    </row>
    <row r="5621" spans="31:36">
      <c r="AE5621" s="15" t="str">
        <f t="shared" si="0"/>
        <v/>
      </c>
      <c r="AF5621" s="15" t="str">
        <f t="shared" si="1"/>
        <v/>
      </c>
      <c r="AG5621" s="15" t="str">
        <f>IF(OR(AF5621="",AF5621="ERRO_CHAVE"),"",IFERROR(MATCH(AF5621,'Quitados DUPP'!$U$1:$U$6635,0),""))</f>
        <v/>
      </c>
      <c r="AH5621" s="15" t="str">
        <f t="shared" si="2"/>
        <v/>
      </c>
      <c r="AI5621" s="17" t="str">
        <f>IF(AG5621="","",INDEX('Quitados DUPP'!$G$1:$G$6635,AG5621))</f>
        <v/>
      </c>
      <c r="AJ5621" s="17" t="str">
        <f t="shared" si="3"/>
        <v/>
      </c>
    </row>
    <row r="5622" spans="31:36">
      <c r="AE5622" s="15" t="str">
        <f t="shared" si="0"/>
        <v/>
      </c>
      <c r="AF5622" s="15" t="str">
        <f t="shared" si="1"/>
        <v/>
      </c>
      <c r="AG5622" s="15" t="str">
        <f>IF(OR(AF5622="",AF5622="ERRO_CHAVE"),"",IFERROR(MATCH(AF5622,'Quitados DUPP'!$U$1:$U$6635,0),""))</f>
        <v/>
      </c>
      <c r="AH5622" s="15" t="str">
        <f t="shared" si="2"/>
        <v/>
      </c>
      <c r="AI5622" s="17" t="str">
        <f>IF(AG5622="","",INDEX('Quitados DUPP'!$G$1:$G$6635,AG5622))</f>
        <v/>
      </c>
      <c r="AJ5622" s="17" t="str">
        <f t="shared" si="3"/>
        <v/>
      </c>
    </row>
    <row r="5623" spans="31:36">
      <c r="AE5623" s="15" t="str">
        <f t="shared" si="0"/>
        <v/>
      </c>
      <c r="AF5623" s="15" t="str">
        <f t="shared" si="1"/>
        <v/>
      </c>
      <c r="AG5623" s="15" t="str">
        <f>IF(OR(AF5623="",AF5623="ERRO_CHAVE"),"",IFERROR(MATCH(AF5623,'Quitados DUPP'!$U$1:$U$6635,0),""))</f>
        <v/>
      </c>
      <c r="AH5623" s="15" t="str">
        <f t="shared" si="2"/>
        <v/>
      </c>
      <c r="AI5623" s="17" t="str">
        <f>IF(AG5623="","",INDEX('Quitados DUPP'!$G$1:$G$6635,AG5623))</f>
        <v/>
      </c>
      <c r="AJ5623" s="17" t="str">
        <f t="shared" si="3"/>
        <v/>
      </c>
    </row>
    <row r="5624" spans="31:36">
      <c r="AE5624" s="15" t="str">
        <f t="shared" si="0"/>
        <v/>
      </c>
      <c r="AF5624" s="15" t="str">
        <f t="shared" si="1"/>
        <v/>
      </c>
      <c r="AG5624" s="15" t="str">
        <f>IF(OR(AF5624="",AF5624="ERRO_CHAVE"),"",IFERROR(MATCH(AF5624,'Quitados DUPP'!$U$1:$U$6635,0),""))</f>
        <v/>
      </c>
      <c r="AH5624" s="15" t="str">
        <f t="shared" si="2"/>
        <v/>
      </c>
      <c r="AI5624" s="17" t="str">
        <f>IF(AG5624="","",INDEX('Quitados DUPP'!$G$1:$G$6635,AG5624))</f>
        <v/>
      </c>
      <c r="AJ5624" s="17" t="str">
        <f t="shared" si="3"/>
        <v/>
      </c>
    </row>
    <row r="5625" spans="31:36">
      <c r="AE5625" s="15" t="str">
        <f t="shared" si="0"/>
        <v/>
      </c>
      <c r="AF5625" s="15" t="str">
        <f t="shared" si="1"/>
        <v/>
      </c>
      <c r="AG5625" s="15" t="str">
        <f>IF(OR(AF5625="",AF5625="ERRO_CHAVE"),"",IFERROR(MATCH(AF5625,'Quitados DUPP'!$U$1:$U$6635,0),""))</f>
        <v/>
      </c>
      <c r="AH5625" s="15" t="str">
        <f t="shared" si="2"/>
        <v/>
      </c>
      <c r="AI5625" s="17" t="str">
        <f>IF(AG5625="","",INDEX('Quitados DUPP'!$G$1:$G$6635,AG5625))</f>
        <v/>
      </c>
      <c r="AJ5625" s="17" t="str">
        <f t="shared" si="3"/>
        <v/>
      </c>
    </row>
    <row r="5626" spans="31:36">
      <c r="AE5626" s="15" t="str">
        <f t="shared" si="0"/>
        <v/>
      </c>
      <c r="AF5626" s="15" t="str">
        <f t="shared" si="1"/>
        <v/>
      </c>
      <c r="AG5626" s="15" t="str">
        <f>IF(OR(AF5626="",AF5626="ERRO_CHAVE"),"",IFERROR(MATCH(AF5626,'Quitados DUPP'!$U$1:$U$6635,0),""))</f>
        <v/>
      </c>
      <c r="AH5626" s="15" t="str">
        <f t="shared" si="2"/>
        <v/>
      </c>
      <c r="AI5626" s="17" t="str">
        <f>IF(AG5626="","",INDEX('Quitados DUPP'!$G$1:$G$6635,AG5626))</f>
        <v/>
      </c>
      <c r="AJ5626" s="17" t="str">
        <f t="shared" si="3"/>
        <v/>
      </c>
    </row>
    <row r="5627" spans="31:36">
      <c r="AE5627" s="15" t="str">
        <f t="shared" si="0"/>
        <v/>
      </c>
      <c r="AF5627" s="15" t="str">
        <f t="shared" si="1"/>
        <v/>
      </c>
      <c r="AG5627" s="15" t="str">
        <f>IF(OR(AF5627="",AF5627="ERRO_CHAVE"),"",IFERROR(MATCH(AF5627,'Quitados DUPP'!$U$1:$U$6635,0),""))</f>
        <v/>
      </c>
      <c r="AH5627" s="15" t="str">
        <f t="shared" si="2"/>
        <v/>
      </c>
      <c r="AI5627" s="17" t="str">
        <f>IF(AG5627="","",INDEX('Quitados DUPP'!$G$1:$G$6635,AG5627))</f>
        <v/>
      </c>
      <c r="AJ5627" s="17" t="str">
        <f t="shared" si="3"/>
        <v/>
      </c>
    </row>
    <row r="5628" spans="31:36">
      <c r="AE5628" s="15" t="str">
        <f t="shared" si="0"/>
        <v/>
      </c>
      <c r="AF5628" s="15" t="str">
        <f t="shared" si="1"/>
        <v/>
      </c>
      <c r="AG5628" s="15" t="str">
        <f>IF(OR(AF5628="",AF5628="ERRO_CHAVE"),"",IFERROR(MATCH(AF5628,'Quitados DUPP'!$U$1:$U$6635,0),""))</f>
        <v/>
      </c>
      <c r="AH5628" s="15" t="str">
        <f t="shared" si="2"/>
        <v/>
      </c>
      <c r="AI5628" s="17" t="str">
        <f>IF(AG5628="","",INDEX('Quitados DUPP'!$G$1:$G$6635,AG5628))</f>
        <v/>
      </c>
      <c r="AJ5628" s="17" t="str">
        <f t="shared" si="3"/>
        <v/>
      </c>
    </row>
    <row r="5629" spans="31:36">
      <c r="AE5629" s="15" t="str">
        <f t="shared" si="0"/>
        <v/>
      </c>
      <c r="AF5629" s="15" t="str">
        <f t="shared" si="1"/>
        <v/>
      </c>
      <c r="AG5629" s="15" t="str">
        <f>IF(OR(AF5629="",AF5629="ERRO_CHAVE"),"",IFERROR(MATCH(AF5629,'Quitados DUPP'!$U$1:$U$6635,0),""))</f>
        <v/>
      </c>
      <c r="AH5629" s="15" t="str">
        <f t="shared" si="2"/>
        <v/>
      </c>
      <c r="AI5629" s="17" t="str">
        <f>IF(AG5629="","",INDEX('Quitados DUPP'!$G$1:$G$6635,AG5629))</f>
        <v/>
      </c>
      <c r="AJ5629" s="17" t="str">
        <f t="shared" si="3"/>
        <v/>
      </c>
    </row>
    <row r="5630" spans="31:36">
      <c r="AE5630" s="15" t="str">
        <f t="shared" si="0"/>
        <v/>
      </c>
      <c r="AF5630" s="15" t="str">
        <f t="shared" si="1"/>
        <v/>
      </c>
      <c r="AG5630" s="15" t="str">
        <f>IF(OR(AF5630="",AF5630="ERRO_CHAVE"),"",IFERROR(MATCH(AF5630,'Quitados DUPP'!$U$1:$U$6635,0),""))</f>
        <v/>
      </c>
      <c r="AH5630" s="15" t="str">
        <f t="shared" si="2"/>
        <v/>
      </c>
      <c r="AI5630" s="17" t="str">
        <f>IF(AG5630="","",INDEX('Quitados DUPP'!$G$1:$G$6635,AG5630))</f>
        <v/>
      </c>
      <c r="AJ5630" s="17" t="str">
        <f t="shared" si="3"/>
        <v/>
      </c>
    </row>
    <row r="5631" spans="31:36">
      <c r="AE5631" s="15" t="str">
        <f t="shared" si="0"/>
        <v/>
      </c>
      <c r="AF5631" s="15" t="str">
        <f t="shared" si="1"/>
        <v/>
      </c>
      <c r="AG5631" s="15" t="str">
        <f>IF(OR(AF5631="",AF5631="ERRO_CHAVE"),"",IFERROR(MATCH(AF5631,'Quitados DUPP'!$U$1:$U$6635,0),""))</f>
        <v/>
      </c>
      <c r="AH5631" s="15" t="str">
        <f t="shared" si="2"/>
        <v/>
      </c>
      <c r="AI5631" s="17" t="str">
        <f>IF(AG5631="","",INDEX('Quitados DUPP'!$G$1:$G$6635,AG5631))</f>
        <v/>
      </c>
      <c r="AJ5631" s="17" t="str">
        <f t="shared" si="3"/>
        <v/>
      </c>
    </row>
    <row r="5632" spans="31:36">
      <c r="AE5632" s="15" t="str">
        <f t="shared" si="0"/>
        <v/>
      </c>
      <c r="AF5632" s="15" t="str">
        <f t="shared" si="1"/>
        <v/>
      </c>
      <c r="AG5632" s="15" t="str">
        <f>IF(OR(AF5632="",AF5632="ERRO_CHAVE"),"",IFERROR(MATCH(AF5632,'Quitados DUPP'!$U$1:$U$6635,0),""))</f>
        <v/>
      </c>
      <c r="AH5632" s="15" t="str">
        <f t="shared" si="2"/>
        <v/>
      </c>
      <c r="AI5632" s="17" t="str">
        <f>IF(AG5632="","",INDEX('Quitados DUPP'!$G$1:$G$6635,AG5632))</f>
        <v/>
      </c>
      <c r="AJ5632" s="17" t="str">
        <f t="shared" si="3"/>
        <v/>
      </c>
    </row>
    <row r="5633" spans="31:36">
      <c r="AE5633" s="15" t="str">
        <f t="shared" si="0"/>
        <v/>
      </c>
      <c r="AF5633" s="15" t="str">
        <f t="shared" si="1"/>
        <v/>
      </c>
      <c r="AG5633" s="15" t="str">
        <f>IF(OR(AF5633="",AF5633="ERRO_CHAVE"),"",IFERROR(MATCH(AF5633,'Quitados DUPP'!$U$1:$U$6635,0),""))</f>
        <v/>
      </c>
      <c r="AH5633" s="15" t="str">
        <f t="shared" si="2"/>
        <v/>
      </c>
      <c r="AI5633" s="17" t="str">
        <f>IF(AG5633="","",INDEX('Quitados DUPP'!$G$1:$G$6635,AG5633))</f>
        <v/>
      </c>
      <c r="AJ5633" s="17" t="str">
        <f t="shared" si="3"/>
        <v/>
      </c>
    </row>
    <row r="5634" spans="31:36">
      <c r="AE5634" s="15" t="str">
        <f t="shared" si="0"/>
        <v/>
      </c>
      <c r="AF5634" s="15" t="str">
        <f t="shared" si="1"/>
        <v/>
      </c>
      <c r="AG5634" s="15" t="str">
        <f>IF(OR(AF5634="",AF5634="ERRO_CHAVE"),"",IFERROR(MATCH(AF5634,'Quitados DUPP'!$U$1:$U$6635,0),""))</f>
        <v/>
      </c>
      <c r="AH5634" s="15" t="str">
        <f t="shared" si="2"/>
        <v/>
      </c>
      <c r="AI5634" s="17" t="str">
        <f>IF(AG5634="","",INDEX('Quitados DUPP'!$G$1:$G$6635,AG5634))</f>
        <v/>
      </c>
      <c r="AJ5634" s="17" t="str">
        <f t="shared" si="3"/>
        <v/>
      </c>
    </row>
    <row r="5635" spans="31:36">
      <c r="AE5635" s="15" t="str">
        <f t="shared" si="0"/>
        <v/>
      </c>
      <c r="AF5635" s="15" t="str">
        <f t="shared" si="1"/>
        <v/>
      </c>
      <c r="AG5635" s="15" t="str">
        <f>IF(OR(AF5635="",AF5635="ERRO_CHAVE"),"",IFERROR(MATCH(AF5635,'Quitados DUPP'!$U$1:$U$6635,0),""))</f>
        <v/>
      </c>
      <c r="AH5635" s="15" t="str">
        <f t="shared" si="2"/>
        <v/>
      </c>
      <c r="AI5635" s="17" t="str">
        <f>IF(AG5635="","",INDEX('Quitados DUPP'!$G$1:$G$6635,AG5635))</f>
        <v/>
      </c>
      <c r="AJ5635" s="17" t="str">
        <f t="shared" si="3"/>
        <v/>
      </c>
    </row>
    <row r="5636" spans="31:36">
      <c r="AE5636" s="15" t="str">
        <f t="shared" si="0"/>
        <v/>
      </c>
      <c r="AF5636" s="15" t="str">
        <f t="shared" si="1"/>
        <v/>
      </c>
      <c r="AG5636" s="15" t="str">
        <f>IF(OR(AF5636="",AF5636="ERRO_CHAVE"),"",IFERROR(MATCH(AF5636,'Quitados DUPP'!$U$1:$U$6635,0),""))</f>
        <v/>
      </c>
      <c r="AH5636" s="15" t="str">
        <f t="shared" si="2"/>
        <v/>
      </c>
      <c r="AI5636" s="17" t="str">
        <f>IF(AG5636="","",INDEX('Quitados DUPP'!$G$1:$G$6635,AG5636))</f>
        <v/>
      </c>
      <c r="AJ5636" s="17" t="str">
        <f t="shared" si="3"/>
        <v/>
      </c>
    </row>
    <row r="5637" spans="31:36">
      <c r="AE5637" s="15" t="str">
        <f t="shared" si="0"/>
        <v/>
      </c>
      <c r="AF5637" s="15" t="str">
        <f t="shared" si="1"/>
        <v/>
      </c>
      <c r="AG5637" s="15" t="str">
        <f>IF(OR(AF5637="",AF5637="ERRO_CHAVE"),"",IFERROR(MATCH(AF5637,'Quitados DUPP'!$U$1:$U$6635,0),""))</f>
        <v/>
      </c>
      <c r="AH5637" s="15" t="str">
        <f t="shared" si="2"/>
        <v/>
      </c>
      <c r="AI5637" s="17" t="str">
        <f>IF(AG5637="","",INDEX('Quitados DUPP'!$G$1:$G$6635,AG5637))</f>
        <v/>
      </c>
      <c r="AJ5637" s="17" t="str">
        <f t="shared" si="3"/>
        <v/>
      </c>
    </row>
    <row r="5638" spans="31:36">
      <c r="AE5638" s="15" t="str">
        <f t="shared" si="0"/>
        <v/>
      </c>
      <c r="AF5638" s="15" t="str">
        <f t="shared" si="1"/>
        <v/>
      </c>
      <c r="AG5638" s="15" t="str">
        <f>IF(OR(AF5638="",AF5638="ERRO_CHAVE"),"",IFERROR(MATCH(AF5638,'Quitados DUPP'!$U$1:$U$6635,0),""))</f>
        <v/>
      </c>
      <c r="AH5638" s="15" t="str">
        <f t="shared" si="2"/>
        <v/>
      </c>
      <c r="AI5638" s="17" t="str">
        <f>IF(AG5638="","",INDEX('Quitados DUPP'!$G$1:$G$6635,AG5638))</f>
        <v/>
      </c>
      <c r="AJ5638" s="17" t="str">
        <f t="shared" si="3"/>
        <v/>
      </c>
    </row>
    <row r="5639" spans="31:36">
      <c r="AE5639" s="15" t="str">
        <f t="shared" si="0"/>
        <v/>
      </c>
      <c r="AF5639" s="15" t="str">
        <f t="shared" si="1"/>
        <v/>
      </c>
      <c r="AG5639" s="15" t="str">
        <f>IF(OR(AF5639="",AF5639="ERRO_CHAVE"),"",IFERROR(MATCH(AF5639,'Quitados DUPP'!$U$1:$U$6635,0),""))</f>
        <v/>
      </c>
      <c r="AH5639" s="15" t="str">
        <f t="shared" si="2"/>
        <v/>
      </c>
      <c r="AI5639" s="17" t="str">
        <f>IF(AG5639="","",INDEX('Quitados DUPP'!$G$1:$G$6635,AG5639))</f>
        <v/>
      </c>
      <c r="AJ5639" s="17" t="str">
        <f t="shared" si="3"/>
        <v/>
      </c>
    </row>
    <row r="5640" spans="31:36">
      <c r="AE5640" s="15" t="str">
        <f t="shared" si="0"/>
        <v/>
      </c>
      <c r="AF5640" s="15" t="str">
        <f t="shared" si="1"/>
        <v/>
      </c>
      <c r="AG5640" s="15" t="str">
        <f>IF(OR(AF5640="",AF5640="ERRO_CHAVE"),"",IFERROR(MATCH(AF5640,'Quitados DUPP'!$U$1:$U$6635,0),""))</f>
        <v/>
      </c>
      <c r="AH5640" s="15" t="str">
        <f t="shared" si="2"/>
        <v/>
      </c>
      <c r="AI5640" s="17" t="str">
        <f>IF(AG5640="","",INDEX('Quitados DUPP'!$G$1:$G$6635,AG5640))</f>
        <v/>
      </c>
      <c r="AJ5640" s="17" t="str">
        <f t="shared" si="3"/>
        <v/>
      </c>
    </row>
    <row r="5641" spans="31:36">
      <c r="AE5641" s="15" t="str">
        <f t="shared" si="0"/>
        <v/>
      </c>
      <c r="AF5641" s="15" t="str">
        <f t="shared" si="1"/>
        <v/>
      </c>
      <c r="AG5641" s="15" t="str">
        <f>IF(OR(AF5641="",AF5641="ERRO_CHAVE"),"",IFERROR(MATCH(AF5641,'Quitados DUPP'!$U$1:$U$6635,0),""))</f>
        <v/>
      </c>
      <c r="AH5641" s="15" t="str">
        <f t="shared" si="2"/>
        <v/>
      </c>
      <c r="AI5641" s="17" t="str">
        <f>IF(AG5641="","",INDEX('Quitados DUPP'!$G$1:$G$6635,AG5641))</f>
        <v/>
      </c>
      <c r="AJ5641" s="17" t="str">
        <f t="shared" si="3"/>
        <v/>
      </c>
    </row>
    <row r="5642" spans="31:36">
      <c r="AE5642" s="15" t="str">
        <f t="shared" si="0"/>
        <v/>
      </c>
      <c r="AF5642" s="15" t="str">
        <f t="shared" si="1"/>
        <v/>
      </c>
      <c r="AG5642" s="15" t="str">
        <f>IF(OR(AF5642="",AF5642="ERRO_CHAVE"),"",IFERROR(MATCH(AF5642,'Quitados DUPP'!$U$1:$U$6635,0),""))</f>
        <v/>
      </c>
      <c r="AH5642" s="15" t="str">
        <f t="shared" si="2"/>
        <v/>
      </c>
      <c r="AI5642" s="17" t="str">
        <f>IF(AG5642="","",INDEX('Quitados DUPP'!$G$1:$G$6635,AG5642))</f>
        <v/>
      </c>
      <c r="AJ5642" s="17" t="str">
        <f t="shared" si="3"/>
        <v/>
      </c>
    </row>
    <row r="5643" spans="31:36">
      <c r="AE5643" s="15" t="str">
        <f t="shared" si="0"/>
        <v/>
      </c>
      <c r="AF5643" s="15" t="str">
        <f t="shared" si="1"/>
        <v/>
      </c>
      <c r="AG5643" s="15" t="str">
        <f>IF(OR(AF5643="",AF5643="ERRO_CHAVE"),"",IFERROR(MATCH(AF5643,'Quitados DUPP'!$U$1:$U$6635,0),""))</f>
        <v/>
      </c>
      <c r="AH5643" s="15" t="str">
        <f t="shared" si="2"/>
        <v/>
      </c>
      <c r="AI5643" s="17" t="str">
        <f>IF(AG5643="","",INDEX('Quitados DUPP'!$G$1:$G$6635,AG5643))</f>
        <v/>
      </c>
      <c r="AJ5643" s="17" t="str">
        <f t="shared" si="3"/>
        <v/>
      </c>
    </row>
    <row r="5644" spans="31:36">
      <c r="AE5644" s="15" t="str">
        <f t="shared" si="0"/>
        <v/>
      </c>
      <c r="AF5644" s="15" t="str">
        <f t="shared" si="1"/>
        <v/>
      </c>
      <c r="AG5644" s="15" t="str">
        <f>IF(OR(AF5644="",AF5644="ERRO_CHAVE"),"",IFERROR(MATCH(AF5644,'Quitados DUPP'!$U$1:$U$6635,0),""))</f>
        <v/>
      </c>
      <c r="AH5644" s="15" t="str">
        <f t="shared" si="2"/>
        <v/>
      </c>
      <c r="AI5644" s="17" t="str">
        <f>IF(AG5644="","",INDEX('Quitados DUPP'!$G$1:$G$6635,AG5644))</f>
        <v/>
      </c>
      <c r="AJ5644" s="17" t="str">
        <f t="shared" si="3"/>
        <v/>
      </c>
    </row>
    <row r="5645" spans="31:36">
      <c r="AE5645" s="15" t="str">
        <f t="shared" si="0"/>
        <v/>
      </c>
      <c r="AF5645" s="15" t="str">
        <f t="shared" si="1"/>
        <v/>
      </c>
      <c r="AG5645" s="15" t="str">
        <f>IF(OR(AF5645="",AF5645="ERRO_CHAVE"),"",IFERROR(MATCH(AF5645,'Quitados DUPP'!$U$1:$U$6635,0),""))</f>
        <v/>
      </c>
      <c r="AH5645" s="15" t="str">
        <f t="shared" si="2"/>
        <v/>
      </c>
      <c r="AI5645" s="17" t="str">
        <f>IF(AG5645="","",INDEX('Quitados DUPP'!$G$1:$G$6635,AG5645))</f>
        <v/>
      </c>
      <c r="AJ5645" s="17" t="str">
        <f t="shared" si="3"/>
        <v/>
      </c>
    </row>
    <row r="5646" spans="31:36">
      <c r="AE5646" s="15" t="str">
        <f t="shared" si="0"/>
        <v/>
      </c>
      <c r="AF5646" s="15" t="str">
        <f t="shared" si="1"/>
        <v/>
      </c>
      <c r="AG5646" s="15" t="str">
        <f>IF(OR(AF5646="",AF5646="ERRO_CHAVE"),"",IFERROR(MATCH(AF5646,'Quitados DUPP'!$U$1:$U$6635,0),""))</f>
        <v/>
      </c>
      <c r="AH5646" s="15" t="str">
        <f t="shared" si="2"/>
        <v/>
      </c>
      <c r="AI5646" s="17" t="str">
        <f>IF(AG5646="","",INDEX('Quitados DUPP'!$G$1:$G$6635,AG5646))</f>
        <v/>
      </c>
      <c r="AJ5646" s="17" t="str">
        <f t="shared" si="3"/>
        <v/>
      </c>
    </row>
    <row r="5647" spans="31:36">
      <c r="AE5647" s="15" t="str">
        <f t="shared" si="0"/>
        <v/>
      </c>
      <c r="AF5647" s="15" t="str">
        <f t="shared" si="1"/>
        <v/>
      </c>
      <c r="AG5647" s="15" t="str">
        <f>IF(OR(AF5647="",AF5647="ERRO_CHAVE"),"",IFERROR(MATCH(AF5647,'Quitados DUPP'!$U$1:$U$6635,0),""))</f>
        <v/>
      </c>
      <c r="AH5647" s="15" t="str">
        <f t="shared" si="2"/>
        <v/>
      </c>
      <c r="AI5647" s="17" t="str">
        <f>IF(AG5647="","",INDEX('Quitados DUPP'!$G$1:$G$6635,AG5647))</f>
        <v/>
      </c>
      <c r="AJ5647" s="17" t="str">
        <f t="shared" si="3"/>
        <v/>
      </c>
    </row>
    <row r="5648" spans="31:36">
      <c r="AE5648" s="15" t="str">
        <f t="shared" si="0"/>
        <v/>
      </c>
      <c r="AF5648" s="15" t="str">
        <f t="shared" si="1"/>
        <v/>
      </c>
      <c r="AG5648" s="15" t="str">
        <f>IF(OR(AF5648="",AF5648="ERRO_CHAVE"),"",IFERROR(MATCH(AF5648,'Quitados DUPP'!$U$1:$U$6635,0),""))</f>
        <v/>
      </c>
      <c r="AH5648" s="15" t="str">
        <f t="shared" si="2"/>
        <v/>
      </c>
      <c r="AI5648" s="17" t="str">
        <f>IF(AG5648="","",INDEX('Quitados DUPP'!$G$1:$G$6635,AG5648))</f>
        <v/>
      </c>
      <c r="AJ5648" s="17" t="str">
        <f t="shared" si="3"/>
        <v/>
      </c>
    </row>
    <row r="5649" spans="31:36">
      <c r="AE5649" s="15" t="str">
        <f t="shared" si="0"/>
        <v/>
      </c>
      <c r="AF5649" s="15" t="str">
        <f t="shared" si="1"/>
        <v/>
      </c>
      <c r="AG5649" s="15" t="str">
        <f>IF(OR(AF5649="",AF5649="ERRO_CHAVE"),"",IFERROR(MATCH(AF5649,'Quitados DUPP'!$U$1:$U$6635,0),""))</f>
        <v/>
      </c>
      <c r="AH5649" s="15" t="str">
        <f t="shared" si="2"/>
        <v/>
      </c>
      <c r="AI5649" s="17" t="str">
        <f>IF(AG5649="","",INDEX('Quitados DUPP'!$G$1:$G$6635,AG5649))</f>
        <v/>
      </c>
      <c r="AJ5649" s="17" t="str">
        <f t="shared" si="3"/>
        <v/>
      </c>
    </row>
    <row r="5650" spans="31:36">
      <c r="AE5650" s="15" t="str">
        <f t="shared" si="0"/>
        <v/>
      </c>
      <c r="AF5650" s="15" t="str">
        <f t="shared" si="1"/>
        <v/>
      </c>
      <c r="AG5650" s="15" t="str">
        <f>IF(OR(AF5650="",AF5650="ERRO_CHAVE"),"",IFERROR(MATCH(AF5650,'Quitados DUPP'!$U$1:$U$6635,0),""))</f>
        <v/>
      </c>
      <c r="AH5650" s="15" t="str">
        <f t="shared" si="2"/>
        <v/>
      </c>
      <c r="AI5650" s="17" t="str">
        <f>IF(AG5650="","",INDEX('Quitados DUPP'!$G$1:$G$6635,AG5650))</f>
        <v/>
      </c>
      <c r="AJ5650" s="17" t="str">
        <f t="shared" si="3"/>
        <v/>
      </c>
    </row>
    <row r="5651" spans="31:36">
      <c r="AE5651" s="15" t="str">
        <f t="shared" si="0"/>
        <v/>
      </c>
      <c r="AF5651" s="15" t="str">
        <f t="shared" si="1"/>
        <v/>
      </c>
      <c r="AG5651" s="15" t="str">
        <f>IF(OR(AF5651="",AF5651="ERRO_CHAVE"),"",IFERROR(MATCH(AF5651,'Quitados DUPP'!$U$1:$U$6635,0),""))</f>
        <v/>
      </c>
      <c r="AH5651" s="15" t="str">
        <f t="shared" si="2"/>
        <v/>
      </c>
      <c r="AI5651" s="17" t="str">
        <f>IF(AG5651="","",INDEX('Quitados DUPP'!$G$1:$G$6635,AG5651))</f>
        <v/>
      </c>
      <c r="AJ5651" s="17" t="str">
        <f t="shared" si="3"/>
        <v/>
      </c>
    </row>
    <row r="5652" spans="31:36">
      <c r="AE5652" s="15" t="str">
        <f t="shared" si="0"/>
        <v/>
      </c>
      <c r="AF5652" s="15" t="str">
        <f t="shared" si="1"/>
        <v/>
      </c>
      <c r="AG5652" s="15" t="str">
        <f>IF(OR(AF5652="",AF5652="ERRO_CHAVE"),"",IFERROR(MATCH(AF5652,'Quitados DUPP'!$U$1:$U$6635,0),""))</f>
        <v/>
      </c>
      <c r="AH5652" s="15" t="str">
        <f t="shared" si="2"/>
        <v/>
      </c>
      <c r="AI5652" s="17" t="str">
        <f>IF(AG5652="","",INDEX('Quitados DUPP'!$G$1:$G$6635,AG5652))</f>
        <v/>
      </c>
      <c r="AJ5652" s="17" t="str">
        <f t="shared" si="3"/>
        <v/>
      </c>
    </row>
    <row r="5653" spans="31:36">
      <c r="AE5653" s="15" t="str">
        <f t="shared" si="0"/>
        <v/>
      </c>
      <c r="AF5653" s="15" t="str">
        <f t="shared" si="1"/>
        <v/>
      </c>
      <c r="AG5653" s="15" t="str">
        <f>IF(OR(AF5653="",AF5653="ERRO_CHAVE"),"",IFERROR(MATCH(AF5653,'Quitados DUPP'!$U$1:$U$6635,0),""))</f>
        <v/>
      </c>
      <c r="AH5653" s="15" t="str">
        <f t="shared" si="2"/>
        <v/>
      </c>
      <c r="AI5653" s="17" t="str">
        <f>IF(AG5653="","",INDEX('Quitados DUPP'!$G$1:$G$6635,AG5653))</f>
        <v/>
      </c>
      <c r="AJ5653" s="17" t="str">
        <f t="shared" si="3"/>
        <v/>
      </c>
    </row>
    <row r="5654" spans="31:36">
      <c r="AE5654" s="15" t="str">
        <f t="shared" si="0"/>
        <v/>
      </c>
      <c r="AF5654" s="15" t="str">
        <f t="shared" si="1"/>
        <v/>
      </c>
      <c r="AG5654" s="15" t="str">
        <f>IF(OR(AF5654="",AF5654="ERRO_CHAVE"),"",IFERROR(MATCH(AF5654,'Quitados DUPP'!$U$1:$U$6635,0),""))</f>
        <v/>
      </c>
      <c r="AH5654" s="15" t="str">
        <f t="shared" si="2"/>
        <v/>
      </c>
      <c r="AI5654" s="17" t="str">
        <f>IF(AG5654="","",INDEX('Quitados DUPP'!$G$1:$G$6635,AG5654))</f>
        <v/>
      </c>
      <c r="AJ5654" s="17" t="str">
        <f t="shared" si="3"/>
        <v/>
      </c>
    </row>
    <row r="5655" spans="31:36">
      <c r="AE5655" s="15" t="str">
        <f t="shared" si="0"/>
        <v/>
      </c>
      <c r="AF5655" s="15" t="str">
        <f t="shared" si="1"/>
        <v/>
      </c>
      <c r="AG5655" s="15" t="str">
        <f>IF(OR(AF5655="",AF5655="ERRO_CHAVE"),"",IFERROR(MATCH(AF5655,'Quitados DUPP'!$U$1:$U$6635,0),""))</f>
        <v/>
      </c>
      <c r="AH5655" s="15" t="str">
        <f t="shared" si="2"/>
        <v/>
      </c>
      <c r="AI5655" s="17" t="str">
        <f>IF(AG5655="","",INDEX('Quitados DUPP'!$G$1:$G$6635,AG5655))</f>
        <v/>
      </c>
      <c r="AJ5655" s="17" t="str">
        <f t="shared" si="3"/>
        <v/>
      </c>
    </row>
    <row r="5656" spans="31:36">
      <c r="AE5656" s="15" t="str">
        <f t="shared" si="0"/>
        <v/>
      </c>
      <c r="AF5656" s="15" t="str">
        <f t="shared" si="1"/>
        <v/>
      </c>
      <c r="AG5656" s="15" t="str">
        <f>IF(OR(AF5656="",AF5656="ERRO_CHAVE"),"",IFERROR(MATCH(AF5656,'Quitados DUPP'!$U$1:$U$6635,0),""))</f>
        <v/>
      </c>
      <c r="AH5656" s="15" t="str">
        <f t="shared" si="2"/>
        <v/>
      </c>
      <c r="AI5656" s="17" t="str">
        <f>IF(AG5656="","",INDEX('Quitados DUPP'!$G$1:$G$6635,AG5656))</f>
        <v/>
      </c>
      <c r="AJ5656" s="17" t="str">
        <f t="shared" si="3"/>
        <v/>
      </c>
    </row>
    <row r="5657" spans="31:36">
      <c r="AE5657" s="15" t="str">
        <f t="shared" si="0"/>
        <v/>
      </c>
      <c r="AF5657" s="15" t="str">
        <f t="shared" si="1"/>
        <v/>
      </c>
      <c r="AG5657" s="15" t="str">
        <f>IF(OR(AF5657="",AF5657="ERRO_CHAVE"),"",IFERROR(MATCH(AF5657,'Quitados DUPP'!$U$1:$U$6635,0),""))</f>
        <v/>
      </c>
      <c r="AH5657" s="15" t="str">
        <f t="shared" si="2"/>
        <v/>
      </c>
      <c r="AI5657" s="17" t="str">
        <f>IF(AG5657="","",INDEX('Quitados DUPP'!$G$1:$G$6635,AG5657))</f>
        <v/>
      </c>
      <c r="AJ5657" s="17" t="str">
        <f t="shared" si="3"/>
        <v/>
      </c>
    </row>
    <row r="5658" spans="31:36">
      <c r="AE5658" s="15" t="str">
        <f t="shared" si="0"/>
        <v/>
      </c>
      <c r="AF5658" s="15" t="str">
        <f t="shared" si="1"/>
        <v/>
      </c>
      <c r="AG5658" s="15" t="str">
        <f>IF(OR(AF5658="",AF5658="ERRO_CHAVE"),"",IFERROR(MATCH(AF5658,'Quitados DUPP'!$U$1:$U$6635,0),""))</f>
        <v/>
      </c>
      <c r="AH5658" s="15" t="str">
        <f t="shared" si="2"/>
        <v/>
      </c>
      <c r="AI5658" s="17" t="str">
        <f>IF(AG5658="","",INDEX('Quitados DUPP'!$G$1:$G$6635,AG5658))</f>
        <v/>
      </c>
      <c r="AJ5658" s="17" t="str">
        <f t="shared" si="3"/>
        <v/>
      </c>
    </row>
    <row r="5659" spans="31:36">
      <c r="AE5659" s="15" t="str">
        <f t="shared" si="0"/>
        <v/>
      </c>
      <c r="AF5659" s="15" t="str">
        <f t="shared" si="1"/>
        <v/>
      </c>
      <c r="AG5659" s="15" t="str">
        <f>IF(OR(AF5659="",AF5659="ERRO_CHAVE"),"",IFERROR(MATCH(AF5659,'Quitados DUPP'!$U$1:$U$6635,0),""))</f>
        <v/>
      </c>
      <c r="AH5659" s="15" t="str">
        <f t="shared" si="2"/>
        <v/>
      </c>
      <c r="AI5659" s="17" t="str">
        <f>IF(AG5659="","",INDEX('Quitados DUPP'!$G$1:$G$6635,AG5659))</f>
        <v/>
      </c>
      <c r="AJ5659" s="17" t="str">
        <f t="shared" si="3"/>
        <v/>
      </c>
    </row>
    <row r="5660" spans="31:36">
      <c r="AE5660" s="15" t="str">
        <f t="shared" si="0"/>
        <v/>
      </c>
      <c r="AF5660" s="15" t="str">
        <f t="shared" si="1"/>
        <v/>
      </c>
      <c r="AG5660" s="15" t="str">
        <f>IF(OR(AF5660="",AF5660="ERRO_CHAVE"),"",IFERROR(MATCH(AF5660,'Quitados DUPP'!$U$1:$U$6635,0),""))</f>
        <v/>
      </c>
      <c r="AH5660" s="15" t="str">
        <f t="shared" si="2"/>
        <v/>
      </c>
      <c r="AI5660" s="17" t="str">
        <f>IF(AG5660="","",INDEX('Quitados DUPP'!$G$1:$G$6635,AG5660))</f>
        <v/>
      </c>
      <c r="AJ5660" s="17" t="str">
        <f t="shared" si="3"/>
        <v/>
      </c>
    </row>
    <row r="5661" spans="31:36">
      <c r="AE5661" s="15" t="str">
        <f t="shared" si="0"/>
        <v/>
      </c>
      <c r="AF5661" s="15" t="str">
        <f t="shared" si="1"/>
        <v/>
      </c>
      <c r="AG5661" s="15" t="str">
        <f>IF(OR(AF5661="",AF5661="ERRO_CHAVE"),"",IFERROR(MATCH(AF5661,'Quitados DUPP'!$U$1:$U$6635,0),""))</f>
        <v/>
      </c>
      <c r="AH5661" s="15" t="str">
        <f t="shared" si="2"/>
        <v/>
      </c>
      <c r="AI5661" s="17" t="str">
        <f>IF(AG5661="","",INDEX('Quitados DUPP'!$G$1:$G$6635,AG5661))</f>
        <v/>
      </c>
      <c r="AJ5661" s="17" t="str">
        <f t="shared" si="3"/>
        <v/>
      </c>
    </row>
    <row r="5662" spans="31:36">
      <c r="AE5662" s="15" t="str">
        <f t="shared" si="0"/>
        <v/>
      </c>
      <c r="AF5662" s="15" t="str">
        <f t="shared" si="1"/>
        <v/>
      </c>
      <c r="AG5662" s="15" t="str">
        <f>IF(OR(AF5662="",AF5662="ERRO_CHAVE"),"",IFERROR(MATCH(AF5662,'Quitados DUPP'!$U$1:$U$6635,0),""))</f>
        <v/>
      </c>
      <c r="AH5662" s="15" t="str">
        <f t="shared" si="2"/>
        <v/>
      </c>
      <c r="AI5662" s="17" t="str">
        <f>IF(AG5662="","",INDEX('Quitados DUPP'!$G$1:$G$6635,AG5662))</f>
        <v/>
      </c>
      <c r="AJ5662" s="17" t="str">
        <f t="shared" si="3"/>
        <v/>
      </c>
    </row>
    <row r="5663" spans="31:36">
      <c r="AE5663" s="15" t="str">
        <f t="shared" si="0"/>
        <v/>
      </c>
      <c r="AF5663" s="15" t="str">
        <f t="shared" si="1"/>
        <v/>
      </c>
      <c r="AG5663" s="15" t="str">
        <f>IF(OR(AF5663="",AF5663="ERRO_CHAVE"),"",IFERROR(MATCH(AF5663,'Quitados DUPP'!$U$1:$U$6635,0),""))</f>
        <v/>
      </c>
      <c r="AH5663" s="15" t="str">
        <f t="shared" si="2"/>
        <v/>
      </c>
      <c r="AI5663" s="17" t="str">
        <f>IF(AG5663="","",INDEX('Quitados DUPP'!$G$1:$G$6635,AG5663))</f>
        <v/>
      </c>
      <c r="AJ5663" s="17" t="str">
        <f t="shared" si="3"/>
        <v/>
      </c>
    </row>
    <row r="5664" spans="31:36">
      <c r="AE5664" s="15" t="str">
        <f t="shared" si="0"/>
        <v/>
      </c>
      <c r="AF5664" s="15" t="str">
        <f t="shared" si="1"/>
        <v/>
      </c>
      <c r="AG5664" s="15" t="str">
        <f>IF(OR(AF5664="",AF5664="ERRO_CHAVE"),"",IFERROR(MATCH(AF5664,'Quitados DUPP'!$U$1:$U$6635,0),""))</f>
        <v/>
      </c>
      <c r="AH5664" s="15" t="str">
        <f t="shared" si="2"/>
        <v/>
      </c>
      <c r="AI5664" s="17" t="str">
        <f>IF(AG5664="","",INDEX('Quitados DUPP'!$G$1:$G$6635,AG5664))</f>
        <v/>
      </c>
      <c r="AJ5664" s="17" t="str">
        <f t="shared" si="3"/>
        <v/>
      </c>
    </row>
    <row r="5665" spans="31:36">
      <c r="AE5665" s="15" t="str">
        <f t="shared" si="0"/>
        <v/>
      </c>
      <c r="AF5665" s="15" t="str">
        <f t="shared" si="1"/>
        <v/>
      </c>
      <c r="AG5665" s="15" t="str">
        <f>IF(OR(AF5665="",AF5665="ERRO_CHAVE"),"",IFERROR(MATCH(AF5665,'Quitados DUPP'!$U$1:$U$6635,0),""))</f>
        <v/>
      </c>
      <c r="AH5665" s="15" t="str">
        <f t="shared" si="2"/>
        <v/>
      </c>
      <c r="AI5665" s="17" t="str">
        <f>IF(AG5665="","",INDEX('Quitados DUPP'!$G$1:$G$6635,AG5665))</f>
        <v/>
      </c>
      <c r="AJ5665" s="17" t="str">
        <f t="shared" si="3"/>
        <v/>
      </c>
    </row>
    <row r="5666" spans="31:36">
      <c r="AE5666" s="15" t="str">
        <f t="shared" si="0"/>
        <v/>
      </c>
      <c r="AF5666" s="15" t="str">
        <f t="shared" si="1"/>
        <v/>
      </c>
      <c r="AG5666" s="15" t="str">
        <f>IF(OR(AF5666="",AF5666="ERRO_CHAVE"),"",IFERROR(MATCH(AF5666,'Quitados DUPP'!$U$1:$U$6635,0),""))</f>
        <v/>
      </c>
      <c r="AH5666" s="15" t="str">
        <f t="shared" si="2"/>
        <v/>
      </c>
      <c r="AI5666" s="17" t="str">
        <f>IF(AG5666="","",INDEX('Quitados DUPP'!$G$1:$G$6635,AG5666))</f>
        <v/>
      </c>
      <c r="AJ5666" s="17" t="str">
        <f t="shared" si="3"/>
        <v/>
      </c>
    </row>
    <row r="5667" spans="31:36">
      <c r="AE5667" s="15" t="str">
        <f t="shared" si="0"/>
        <v/>
      </c>
      <c r="AF5667" s="15" t="str">
        <f t="shared" si="1"/>
        <v/>
      </c>
      <c r="AG5667" s="15" t="str">
        <f>IF(OR(AF5667="",AF5667="ERRO_CHAVE"),"",IFERROR(MATCH(AF5667,'Quitados DUPP'!$U$1:$U$6635,0),""))</f>
        <v/>
      </c>
      <c r="AH5667" s="15" t="str">
        <f t="shared" si="2"/>
        <v/>
      </c>
      <c r="AI5667" s="17" t="str">
        <f>IF(AG5667="","",INDEX('Quitados DUPP'!$G$1:$G$6635,AG5667))</f>
        <v/>
      </c>
      <c r="AJ5667" s="17" t="str">
        <f t="shared" si="3"/>
        <v/>
      </c>
    </row>
    <row r="5668" spans="31:36">
      <c r="AE5668" s="15" t="str">
        <f t="shared" si="0"/>
        <v/>
      </c>
      <c r="AF5668" s="15" t="str">
        <f t="shared" si="1"/>
        <v/>
      </c>
      <c r="AG5668" s="15" t="str">
        <f>IF(OR(AF5668="",AF5668="ERRO_CHAVE"),"",IFERROR(MATCH(AF5668,'Quitados DUPP'!$U$1:$U$6635,0),""))</f>
        <v/>
      </c>
      <c r="AH5668" s="15" t="str">
        <f t="shared" si="2"/>
        <v/>
      </c>
      <c r="AI5668" s="17" t="str">
        <f>IF(AG5668="","",INDEX('Quitados DUPP'!$G$1:$G$6635,AG5668))</f>
        <v/>
      </c>
      <c r="AJ5668" s="17" t="str">
        <f t="shared" si="3"/>
        <v/>
      </c>
    </row>
    <row r="5669" spans="31:36">
      <c r="AE5669" s="15" t="str">
        <f t="shared" si="0"/>
        <v/>
      </c>
      <c r="AF5669" s="15" t="str">
        <f t="shared" si="1"/>
        <v/>
      </c>
      <c r="AG5669" s="15" t="str">
        <f>IF(OR(AF5669="",AF5669="ERRO_CHAVE"),"",IFERROR(MATCH(AF5669,'Quitados DUPP'!$U$1:$U$6635,0),""))</f>
        <v/>
      </c>
      <c r="AH5669" s="15" t="str">
        <f t="shared" si="2"/>
        <v/>
      </c>
      <c r="AI5669" s="17" t="str">
        <f>IF(AG5669="","",INDEX('Quitados DUPP'!$G$1:$G$6635,AG5669))</f>
        <v/>
      </c>
      <c r="AJ5669" s="17" t="str">
        <f t="shared" si="3"/>
        <v/>
      </c>
    </row>
    <row r="5670" spans="31:36">
      <c r="AE5670" s="15" t="str">
        <f t="shared" si="0"/>
        <v/>
      </c>
      <c r="AF5670" s="15" t="str">
        <f t="shared" si="1"/>
        <v/>
      </c>
      <c r="AG5670" s="15" t="str">
        <f>IF(OR(AF5670="",AF5670="ERRO_CHAVE"),"",IFERROR(MATCH(AF5670,'Quitados DUPP'!$U$1:$U$6635,0),""))</f>
        <v/>
      </c>
      <c r="AH5670" s="15" t="str">
        <f t="shared" si="2"/>
        <v/>
      </c>
      <c r="AI5670" s="17" t="str">
        <f>IF(AG5670="","",INDEX('Quitados DUPP'!$G$1:$G$6635,AG5670))</f>
        <v/>
      </c>
      <c r="AJ5670" s="17" t="str">
        <f t="shared" si="3"/>
        <v/>
      </c>
    </row>
    <row r="5671" spans="31:36">
      <c r="AE5671" s="15" t="str">
        <f t="shared" si="0"/>
        <v/>
      </c>
      <c r="AF5671" s="15" t="str">
        <f t="shared" si="1"/>
        <v/>
      </c>
      <c r="AG5671" s="15" t="str">
        <f>IF(OR(AF5671="",AF5671="ERRO_CHAVE"),"",IFERROR(MATCH(AF5671,'Quitados DUPP'!$U$1:$U$6635,0),""))</f>
        <v/>
      </c>
      <c r="AH5671" s="15" t="str">
        <f t="shared" si="2"/>
        <v/>
      </c>
      <c r="AI5671" s="17" t="str">
        <f>IF(AG5671="","",INDEX('Quitados DUPP'!$G$1:$G$6635,AG5671))</f>
        <v/>
      </c>
      <c r="AJ5671" s="17" t="str">
        <f t="shared" si="3"/>
        <v/>
      </c>
    </row>
    <row r="5672" spans="31:36">
      <c r="AE5672" s="15" t="str">
        <f t="shared" si="0"/>
        <v/>
      </c>
      <c r="AF5672" s="15" t="str">
        <f t="shared" si="1"/>
        <v/>
      </c>
      <c r="AG5672" s="15" t="str">
        <f>IF(OR(AF5672="",AF5672="ERRO_CHAVE"),"",IFERROR(MATCH(AF5672,'Quitados DUPP'!$U$1:$U$6635,0),""))</f>
        <v/>
      </c>
      <c r="AH5672" s="15" t="str">
        <f t="shared" si="2"/>
        <v/>
      </c>
      <c r="AI5672" s="17" t="str">
        <f>IF(AG5672="","",INDEX('Quitados DUPP'!$G$1:$G$6635,AG5672))</f>
        <v/>
      </c>
      <c r="AJ5672" s="17" t="str">
        <f t="shared" si="3"/>
        <v/>
      </c>
    </row>
    <row r="5673" spans="31:36">
      <c r="AE5673" s="15" t="str">
        <f t="shared" si="0"/>
        <v/>
      </c>
      <c r="AF5673" s="15" t="str">
        <f t="shared" si="1"/>
        <v/>
      </c>
      <c r="AG5673" s="15" t="str">
        <f>IF(OR(AF5673="",AF5673="ERRO_CHAVE"),"",IFERROR(MATCH(AF5673,'Quitados DUPP'!$U$1:$U$6635,0),""))</f>
        <v/>
      </c>
      <c r="AH5673" s="15" t="str">
        <f t="shared" si="2"/>
        <v/>
      </c>
      <c r="AI5673" s="17" t="str">
        <f>IF(AG5673="","",INDEX('Quitados DUPP'!$G$1:$G$6635,AG5673))</f>
        <v/>
      </c>
      <c r="AJ5673" s="17" t="str">
        <f t="shared" si="3"/>
        <v/>
      </c>
    </row>
    <row r="5674" spans="31:36">
      <c r="AE5674" s="15" t="str">
        <f t="shared" si="0"/>
        <v/>
      </c>
      <c r="AF5674" s="15" t="str">
        <f t="shared" si="1"/>
        <v/>
      </c>
      <c r="AG5674" s="15" t="str">
        <f>IF(OR(AF5674="",AF5674="ERRO_CHAVE"),"",IFERROR(MATCH(AF5674,'Quitados DUPP'!$U$1:$U$6635,0),""))</f>
        <v/>
      </c>
      <c r="AH5674" s="15" t="str">
        <f t="shared" si="2"/>
        <v/>
      </c>
      <c r="AI5674" s="17" t="str">
        <f>IF(AG5674="","",INDEX('Quitados DUPP'!$G$1:$G$6635,AG5674))</f>
        <v/>
      </c>
      <c r="AJ5674" s="17" t="str">
        <f t="shared" si="3"/>
        <v/>
      </c>
    </row>
    <row r="5675" spans="31:36">
      <c r="AE5675" s="15" t="str">
        <f t="shared" si="0"/>
        <v/>
      </c>
      <c r="AF5675" s="15" t="str">
        <f t="shared" si="1"/>
        <v/>
      </c>
      <c r="AG5675" s="15" t="str">
        <f>IF(OR(AF5675="",AF5675="ERRO_CHAVE"),"",IFERROR(MATCH(AF5675,'Quitados DUPP'!$U$1:$U$6635,0),""))</f>
        <v/>
      </c>
      <c r="AH5675" s="15" t="str">
        <f t="shared" si="2"/>
        <v/>
      </c>
      <c r="AI5675" s="17" t="str">
        <f>IF(AG5675="","",INDEX('Quitados DUPP'!$G$1:$G$6635,AG5675))</f>
        <v/>
      </c>
      <c r="AJ5675" s="17" t="str">
        <f t="shared" si="3"/>
        <v/>
      </c>
    </row>
    <row r="5676" spans="31:36">
      <c r="AE5676" s="15" t="str">
        <f t="shared" si="0"/>
        <v/>
      </c>
      <c r="AF5676" s="15" t="str">
        <f t="shared" si="1"/>
        <v/>
      </c>
      <c r="AG5676" s="15" t="str">
        <f>IF(OR(AF5676="",AF5676="ERRO_CHAVE"),"",IFERROR(MATCH(AF5676,'Quitados DUPP'!$U$1:$U$6635,0),""))</f>
        <v/>
      </c>
      <c r="AH5676" s="15" t="str">
        <f t="shared" si="2"/>
        <v/>
      </c>
      <c r="AI5676" s="17" t="str">
        <f>IF(AG5676="","",INDEX('Quitados DUPP'!$G$1:$G$6635,AG5676))</f>
        <v/>
      </c>
      <c r="AJ5676" s="17" t="str">
        <f t="shared" si="3"/>
        <v/>
      </c>
    </row>
    <row r="5677" spans="31:36">
      <c r="AE5677" s="15" t="str">
        <f t="shared" si="0"/>
        <v/>
      </c>
      <c r="AF5677" s="15" t="str">
        <f t="shared" si="1"/>
        <v/>
      </c>
      <c r="AG5677" s="15" t="str">
        <f>IF(OR(AF5677="",AF5677="ERRO_CHAVE"),"",IFERROR(MATCH(AF5677,'Quitados DUPP'!$U$1:$U$6635,0),""))</f>
        <v/>
      </c>
      <c r="AH5677" s="15" t="str">
        <f t="shared" si="2"/>
        <v/>
      </c>
      <c r="AI5677" s="17" t="str">
        <f>IF(AG5677="","",INDEX('Quitados DUPP'!$G$1:$G$6635,AG5677))</f>
        <v/>
      </c>
      <c r="AJ5677" s="17" t="str">
        <f t="shared" si="3"/>
        <v/>
      </c>
    </row>
    <row r="5678" spans="31:36">
      <c r="AE5678" s="15" t="str">
        <f t="shared" si="0"/>
        <v/>
      </c>
      <c r="AF5678" s="15" t="str">
        <f t="shared" si="1"/>
        <v/>
      </c>
      <c r="AG5678" s="15" t="str">
        <f>IF(OR(AF5678="",AF5678="ERRO_CHAVE"),"",IFERROR(MATCH(AF5678,'Quitados DUPP'!$U$1:$U$6635,0),""))</f>
        <v/>
      </c>
      <c r="AH5678" s="15" t="str">
        <f t="shared" si="2"/>
        <v/>
      </c>
      <c r="AI5678" s="17" t="str">
        <f>IF(AG5678="","",INDEX('Quitados DUPP'!$G$1:$G$6635,AG5678))</f>
        <v/>
      </c>
      <c r="AJ5678" s="17" t="str">
        <f t="shared" si="3"/>
        <v/>
      </c>
    </row>
    <row r="5679" spans="31:36">
      <c r="AE5679" s="15" t="str">
        <f t="shared" si="0"/>
        <v/>
      </c>
      <c r="AF5679" s="15" t="str">
        <f t="shared" si="1"/>
        <v/>
      </c>
      <c r="AG5679" s="15" t="str">
        <f>IF(OR(AF5679="",AF5679="ERRO_CHAVE"),"",IFERROR(MATCH(AF5679,'Quitados DUPP'!$U$1:$U$6635,0),""))</f>
        <v/>
      </c>
      <c r="AH5679" s="15" t="str">
        <f t="shared" si="2"/>
        <v/>
      </c>
      <c r="AI5679" s="17" t="str">
        <f>IF(AG5679="","",INDEX('Quitados DUPP'!$G$1:$G$6635,AG5679))</f>
        <v/>
      </c>
      <c r="AJ5679" s="17" t="str">
        <f t="shared" si="3"/>
        <v/>
      </c>
    </row>
    <row r="5680" spans="31:36">
      <c r="AE5680" s="15" t="str">
        <f t="shared" si="0"/>
        <v/>
      </c>
      <c r="AF5680" s="15" t="str">
        <f t="shared" si="1"/>
        <v/>
      </c>
      <c r="AG5680" s="15" t="str">
        <f>IF(OR(AF5680="",AF5680="ERRO_CHAVE"),"",IFERROR(MATCH(AF5680,'Quitados DUPP'!$U$1:$U$6635,0),""))</f>
        <v/>
      </c>
      <c r="AH5680" s="15" t="str">
        <f t="shared" si="2"/>
        <v/>
      </c>
      <c r="AI5680" s="17" t="str">
        <f>IF(AG5680="","",INDEX('Quitados DUPP'!$G$1:$G$6635,AG5680))</f>
        <v/>
      </c>
      <c r="AJ5680" s="17" t="str">
        <f t="shared" si="3"/>
        <v/>
      </c>
    </row>
    <row r="5681" spans="31:36">
      <c r="AE5681" s="15" t="str">
        <f t="shared" si="0"/>
        <v/>
      </c>
      <c r="AF5681" s="15" t="str">
        <f t="shared" si="1"/>
        <v/>
      </c>
      <c r="AG5681" s="15" t="str">
        <f>IF(OR(AF5681="",AF5681="ERRO_CHAVE"),"",IFERROR(MATCH(AF5681,'Quitados DUPP'!$U$1:$U$6635,0),""))</f>
        <v/>
      </c>
      <c r="AH5681" s="15" t="str">
        <f t="shared" si="2"/>
        <v/>
      </c>
      <c r="AI5681" s="17" t="str">
        <f>IF(AG5681="","",INDEX('Quitados DUPP'!$G$1:$G$6635,AG5681))</f>
        <v/>
      </c>
      <c r="AJ5681" s="17" t="str">
        <f t="shared" si="3"/>
        <v/>
      </c>
    </row>
    <row r="5682" spans="31:36">
      <c r="AE5682" s="15" t="str">
        <f t="shared" si="0"/>
        <v/>
      </c>
      <c r="AF5682" s="15" t="str">
        <f t="shared" si="1"/>
        <v/>
      </c>
      <c r="AG5682" s="15" t="str">
        <f>IF(OR(AF5682="",AF5682="ERRO_CHAVE"),"",IFERROR(MATCH(AF5682,'Quitados DUPP'!$U$1:$U$6635,0),""))</f>
        <v/>
      </c>
      <c r="AH5682" s="15" t="str">
        <f t="shared" si="2"/>
        <v/>
      </c>
      <c r="AI5682" s="17" t="str">
        <f>IF(AG5682="","",INDEX('Quitados DUPP'!$G$1:$G$6635,AG5682))</f>
        <v/>
      </c>
      <c r="AJ5682" s="17" t="str">
        <f t="shared" si="3"/>
        <v/>
      </c>
    </row>
    <row r="5683" spans="31:36">
      <c r="AE5683" s="15" t="str">
        <f t="shared" si="0"/>
        <v/>
      </c>
      <c r="AF5683" s="15" t="str">
        <f t="shared" si="1"/>
        <v/>
      </c>
      <c r="AG5683" s="15" t="str">
        <f>IF(OR(AF5683="",AF5683="ERRO_CHAVE"),"",IFERROR(MATCH(AF5683,'Quitados DUPP'!$U$1:$U$6635,0),""))</f>
        <v/>
      </c>
      <c r="AH5683" s="15" t="str">
        <f t="shared" si="2"/>
        <v/>
      </c>
      <c r="AI5683" s="17" t="str">
        <f>IF(AG5683="","",INDEX('Quitados DUPP'!$G$1:$G$6635,AG5683))</f>
        <v/>
      </c>
      <c r="AJ5683" s="17" t="str">
        <f t="shared" si="3"/>
        <v/>
      </c>
    </row>
    <row r="5684" spans="31:36">
      <c r="AE5684" s="15" t="str">
        <f t="shared" si="0"/>
        <v/>
      </c>
      <c r="AF5684" s="15" t="str">
        <f t="shared" si="1"/>
        <v/>
      </c>
      <c r="AG5684" s="15" t="str">
        <f>IF(OR(AF5684="",AF5684="ERRO_CHAVE"),"",IFERROR(MATCH(AF5684,'Quitados DUPP'!$U$1:$U$6635,0),""))</f>
        <v/>
      </c>
      <c r="AH5684" s="15" t="str">
        <f t="shared" si="2"/>
        <v/>
      </c>
      <c r="AI5684" s="17" t="str">
        <f>IF(AG5684="","",INDEX('Quitados DUPP'!$G$1:$G$6635,AG5684))</f>
        <v/>
      </c>
      <c r="AJ5684" s="17" t="str">
        <f t="shared" si="3"/>
        <v/>
      </c>
    </row>
    <row r="5685" spans="31:36">
      <c r="AE5685" s="15" t="str">
        <f t="shared" si="0"/>
        <v/>
      </c>
      <c r="AF5685" s="15" t="str">
        <f t="shared" si="1"/>
        <v/>
      </c>
      <c r="AG5685" s="15" t="str">
        <f>IF(OR(AF5685="",AF5685="ERRO_CHAVE"),"",IFERROR(MATCH(AF5685,'Quitados DUPP'!$U$1:$U$6635,0),""))</f>
        <v/>
      </c>
      <c r="AH5685" s="15" t="str">
        <f t="shared" si="2"/>
        <v/>
      </c>
      <c r="AI5685" s="17" t="str">
        <f>IF(AG5685="","",INDEX('Quitados DUPP'!$G$1:$G$6635,AG5685))</f>
        <v/>
      </c>
      <c r="AJ5685" s="17" t="str">
        <f t="shared" si="3"/>
        <v/>
      </c>
    </row>
    <row r="5686" spans="31:36">
      <c r="AE5686" s="15" t="str">
        <f t="shared" si="0"/>
        <v/>
      </c>
      <c r="AF5686" s="15" t="str">
        <f t="shared" si="1"/>
        <v/>
      </c>
      <c r="AG5686" s="15" t="str">
        <f>IF(OR(AF5686="",AF5686="ERRO_CHAVE"),"",IFERROR(MATCH(AF5686,'Quitados DUPP'!$U$1:$U$6635,0),""))</f>
        <v/>
      </c>
      <c r="AH5686" s="15" t="str">
        <f t="shared" si="2"/>
        <v/>
      </c>
      <c r="AI5686" s="17" t="str">
        <f>IF(AG5686="","",INDEX('Quitados DUPP'!$G$1:$G$6635,AG5686))</f>
        <v/>
      </c>
      <c r="AJ5686" s="17" t="str">
        <f t="shared" si="3"/>
        <v/>
      </c>
    </row>
    <row r="5687" spans="31:36">
      <c r="AE5687" s="15" t="str">
        <f t="shared" si="0"/>
        <v/>
      </c>
      <c r="AF5687" s="15" t="str">
        <f t="shared" si="1"/>
        <v/>
      </c>
      <c r="AG5687" s="15" t="str">
        <f>IF(OR(AF5687="",AF5687="ERRO_CHAVE"),"",IFERROR(MATCH(AF5687,'Quitados DUPP'!$U$1:$U$6635,0),""))</f>
        <v/>
      </c>
      <c r="AH5687" s="15" t="str">
        <f t="shared" si="2"/>
        <v/>
      </c>
      <c r="AI5687" s="17" t="str">
        <f>IF(AG5687="","",INDEX('Quitados DUPP'!$G$1:$G$6635,AG5687))</f>
        <v/>
      </c>
      <c r="AJ5687" s="17" t="str">
        <f t="shared" si="3"/>
        <v/>
      </c>
    </row>
    <row r="5688" spans="31:36">
      <c r="AE5688" s="15" t="str">
        <f t="shared" si="0"/>
        <v/>
      </c>
      <c r="AF5688" s="15" t="str">
        <f t="shared" si="1"/>
        <v/>
      </c>
      <c r="AG5688" s="15" t="str">
        <f>IF(OR(AF5688="",AF5688="ERRO_CHAVE"),"",IFERROR(MATCH(AF5688,'Quitados DUPP'!$U$1:$U$6635,0),""))</f>
        <v/>
      </c>
      <c r="AH5688" s="15" t="str">
        <f t="shared" si="2"/>
        <v/>
      </c>
      <c r="AI5688" s="17" t="str">
        <f>IF(AG5688="","",INDEX('Quitados DUPP'!$G$1:$G$6635,AG5688))</f>
        <v/>
      </c>
      <c r="AJ5688" s="17" t="str">
        <f t="shared" si="3"/>
        <v/>
      </c>
    </row>
    <row r="5689" spans="31:36">
      <c r="AE5689" s="15" t="str">
        <f t="shared" si="0"/>
        <v/>
      </c>
      <c r="AF5689" s="15" t="str">
        <f t="shared" si="1"/>
        <v/>
      </c>
      <c r="AG5689" s="15" t="str">
        <f>IF(OR(AF5689="",AF5689="ERRO_CHAVE"),"",IFERROR(MATCH(AF5689,'Quitados DUPP'!$U$1:$U$6635,0),""))</f>
        <v/>
      </c>
      <c r="AH5689" s="15" t="str">
        <f t="shared" si="2"/>
        <v/>
      </c>
      <c r="AI5689" s="17" t="str">
        <f>IF(AG5689="","",INDEX('Quitados DUPP'!$G$1:$G$6635,AG5689))</f>
        <v/>
      </c>
      <c r="AJ5689" s="17" t="str">
        <f t="shared" si="3"/>
        <v/>
      </c>
    </row>
    <row r="5690" spans="31:36">
      <c r="AE5690" s="15" t="str">
        <f t="shared" si="0"/>
        <v/>
      </c>
      <c r="AF5690" s="15" t="str">
        <f t="shared" si="1"/>
        <v/>
      </c>
      <c r="AG5690" s="15" t="str">
        <f>IF(OR(AF5690="",AF5690="ERRO_CHAVE"),"",IFERROR(MATCH(AF5690,'Quitados DUPP'!$U$1:$U$6635,0),""))</f>
        <v/>
      </c>
      <c r="AH5690" s="15" t="str">
        <f t="shared" si="2"/>
        <v/>
      </c>
      <c r="AI5690" s="17" t="str">
        <f>IF(AG5690="","",INDEX('Quitados DUPP'!$G$1:$G$6635,AG5690))</f>
        <v/>
      </c>
      <c r="AJ5690" s="17" t="str">
        <f t="shared" si="3"/>
        <v/>
      </c>
    </row>
    <row r="5691" spans="31:36">
      <c r="AE5691" s="15" t="str">
        <f t="shared" si="0"/>
        <v/>
      </c>
      <c r="AF5691" s="15" t="str">
        <f t="shared" si="1"/>
        <v/>
      </c>
      <c r="AG5691" s="15" t="str">
        <f>IF(OR(AF5691="",AF5691="ERRO_CHAVE"),"",IFERROR(MATCH(AF5691,'Quitados DUPP'!$U$1:$U$6635,0),""))</f>
        <v/>
      </c>
      <c r="AH5691" s="15" t="str">
        <f t="shared" si="2"/>
        <v/>
      </c>
      <c r="AI5691" s="17" t="str">
        <f>IF(AG5691="","",INDEX('Quitados DUPP'!$G$1:$G$6635,AG5691))</f>
        <v/>
      </c>
      <c r="AJ5691" s="17" t="str">
        <f t="shared" si="3"/>
        <v/>
      </c>
    </row>
    <row r="5692" spans="31:36">
      <c r="AE5692" s="15" t="str">
        <f t="shared" si="0"/>
        <v/>
      </c>
      <c r="AF5692" s="15" t="str">
        <f t="shared" si="1"/>
        <v/>
      </c>
      <c r="AG5692" s="15" t="str">
        <f>IF(OR(AF5692="",AF5692="ERRO_CHAVE"),"",IFERROR(MATCH(AF5692,'Quitados DUPP'!$U$1:$U$6635,0),""))</f>
        <v/>
      </c>
      <c r="AH5692" s="15" t="str">
        <f t="shared" si="2"/>
        <v/>
      </c>
      <c r="AI5692" s="17" t="str">
        <f>IF(AG5692="","",INDEX('Quitados DUPP'!$G$1:$G$6635,AG5692))</f>
        <v/>
      </c>
      <c r="AJ5692" s="17" t="str">
        <f t="shared" si="3"/>
        <v/>
      </c>
    </row>
    <row r="5693" spans="31:36">
      <c r="AE5693" s="15" t="str">
        <f t="shared" si="0"/>
        <v/>
      </c>
      <c r="AF5693" s="15" t="str">
        <f t="shared" si="1"/>
        <v/>
      </c>
      <c r="AG5693" s="15" t="str">
        <f>IF(OR(AF5693="",AF5693="ERRO_CHAVE"),"",IFERROR(MATCH(AF5693,'Quitados DUPP'!$U$1:$U$6635,0),""))</f>
        <v/>
      </c>
      <c r="AH5693" s="15" t="str">
        <f t="shared" si="2"/>
        <v/>
      </c>
      <c r="AI5693" s="17" t="str">
        <f>IF(AG5693="","",INDEX('Quitados DUPP'!$G$1:$G$6635,AG5693))</f>
        <v/>
      </c>
      <c r="AJ5693" s="17" t="str">
        <f t="shared" si="3"/>
        <v/>
      </c>
    </row>
    <row r="5694" spans="31:36">
      <c r="AE5694" s="15" t="str">
        <f t="shared" si="0"/>
        <v/>
      </c>
      <c r="AF5694" s="15" t="str">
        <f t="shared" si="1"/>
        <v/>
      </c>
      <c r="AG5694" s="15" t="str">
        <f>IF(OR(AF5694="",AF5694="ERRO_CHAVE"),"",IFERROR(MATCH(AF5694,'Quitados DUPP'!$U$1:$U$6635,0),""))</f>
        <v/>
      </c>
      <c r="AH5694" s="15" t="str">
        <f t="shared" si="2"/>
        <v/>
      </c>
      <c r="AI5694" s="17" t="str">
        <f>IF(AG5694="","",INDEX('Quitados DUPP'!$G$1:$G$6635,AG5694))</f>
        <v/>
      </c>
      <c r="AJ5694" s="17" t="str">
        <f t="shared" si="3"/>
        <v/>
      </c>
    </row>
    <row r="5695" spans="31:36">
      <c r="AE5695" s="15" t="str">
        <f t="shared" si="0"/>
        <v/>
      </c>
      <c r="AF5695" s="15" t="str">
        <f t="shared" si="1"/>
        <v/>
      </c>
      <c r="AG5695" s="15" t="str">
        <f>IF(OR(AF5695="",AF5695="ERRO_CHAVE"),"",IFERROR(MATCH(AF5695,'Quitados DUPP'!$U$1:$U$6635,0),""))</f>
        <v/>
      </c>
      <c r="AH5695" s="15" t="str">
        <f t="shared" si="2"/>
        <v/>
      </c>
      <c r="AI5695" s="17" t="str">
        <f>IF(AG5695="","",INDEX('Quitados DUPP'!$G$1:$G$6635,AG5695))</f>
        <v/>
      </c>
      <c r="AJ5695" s="17" t="str">
        <f t="shared" si="3"/>
        <v/>
      </c>
    </row>
    <row r="5696" spans="31:36">
      <c r="AE5696" s="15" t="str">
        <f t="shared" si="0"/>
        <v/>
      </c>
      <c r="AF5696" s="15" t="str">
        <f t="shared" si="1"/>
        <v/>
      </c>
      <c r="AG5696" s="15" t="str">
        <f>IF(OR(AF5696="",AF5696="ERRO_CHAVE"),"",IFERROR(MATCH(AF5696,'Quitados DUPP'!$U$1:$U$6635,0),""))</f>
        <v/>
      </c>
      <c r="AH5696" s="15" t="str">
        <f t="shared" si="2"/>
        <v/>
      </c>
      <c r="AI5696" s="17" t="str">
        <f>IF(AG5696="","",INDEX('Quitados DUPP'!$G$1:$G$6635,AG5696))</f>
        <v/>
      </c>
      <c r="AJ5696" s="17" t="str">
        <f t="shared" si="3"/>
        <v/>
      </c>
    </row>
    <row r="5697" spans="31:36">
      <c r="AE5697" s="15" t="str">
        <f t="shared" si="0"/>
        <v/>
      </c>
      <c r="AF5697" s="15" t="str">
        <f t="shared" si="1"/>
        <v/>
      </c>
      <c r="AG5697" s="15" t="str">
        <f>IF(OR(AF5697="",AF5697="ERRO_CHAVE"),"",IFERROR(MATCH(AF5697,'Quitados DUPP'!$U$1:$U$6635,0),""))</f>
        <v/>
      </c>
      <c r="AH5697" s="15" t="str">
        <f t="shared" si="2"/>
        <v/>
      </c>
      <c r="AI5697" s="17" t="str">
        <f>IF(AG5697="","",INDEX('Quitados DUPP'!$G$1:$G$6635,AG5697))</f>
        <v/>
      </c>
      <c r="AJ5697" s="17" t="str">
        <f t="shared" si="3"/>
        <v/>
      </c>
    </row>
    <row r="5698" spans="31:36">
      <c r="AE5698" s="15" t="str">
        <f t="shared" si="0"/>
        <v/>
      </c>
      <c r="AF5698" s="15" t="str">
        <f t="shared" si="1"/>
        <v/>
      </c>
      <c r="AG5698" s="15" t="str">
        <f>IF(OR(AF5698="",AF5698="ERRO_CHAVE"),"",IFERROR(MATCH(AF5698,'Quitados DUPP'!$U$1:$U$6635,0),""))</f>
        <v/>
      </c>
      <c r="AH5698" s="15" t="str">
        <f t="shared" si="2"/>
        <v/>
      </c>
      <c r="AI5698" s="17" t="str">
        <f>IF(AG5698="","",INDEX('Quitados DUPP'!$G$1:$G$6635,AG5698))</f>
        <v/>
      </c>
      <c r="AJ5698" s="17" t="str">
        <f t="shared" si="3"/>
        <v/>
      </c>
    </row>
    <row r="5699" spans="31:36">
      <c r="AE5699" s="15" t="str">
        <f t="shared" si="0"/>
        <v/>
      </c>
      <c r="AF5699" s="15" t="str">
        <f t="shared" si="1"/>
        <v/>
      </c>
      <c r="AG5699" s="15" t="str">
        <f>IF(OR(AF5699="",AF5699="ERRO_CHAVE"),"",IFERROR(MATCH(AF5699,'Quitados DUPP'!$U$1:$U$6635,0),""))</f>
        <v/>
      </c>
      <c r="AH5699" s="15" t="str">
        <f t="shared" si="2"/>
        <v/>
      </c>
      <c r="AI5699" s="17" t="str">
        <f>IF(AG5699="","",INDEX('Quitados DUPP'!$G$1:$G$6635,AG5699))</f>
        <v/>
      </c>
      <c r="AJ5699" s="17" t="str">
        <f t="shared" si="3"/>
        <v/>
      </c>
    </row>
    <row r="5700" spans="31:36">
      <c r="AE5700" s="15" t="str">
        <f t="shared" si="0"/>
        <v/>
      </c>
      <c r="AF5700" s="15" t="str">
        <f t="shared" si="1"/>
        <v/>
      </c>
      <c r="AG5700" s="15" t="str">
        <f>IF(OR(AF5700="",AF5700="ERRO_CHAVE"),"",IFERROR(MATCH(AF5700,'Quitados DUPP'!$U$1:$U$6635,0),""))</f>
        <v/>
      </c>
      <c r="AH5700" s="15" t="str">
        <f t="shared" si="2"/>
        <v/>
      </c>
      <c r="AI5700" s="17" t="str">
        <f>IF(AG5700="","",INDEX('Quitados DUPP'!$G$1:$G$6635,AG5700))</f>
        <v/>
      </c>
      <c r="AJ5700" s="17" t="str">
        <f t="shared" si="3"/>
        <v/>
      </c>
    </row>
    <row r="5701" spans="31:36">
      <c r="AE5701" s="15" t="str">
        <f t="shared" si="0"/>
        <v/>
      </c>
      <c r="AF5701" s="15" t="str">
        <f t="shared" si="1"/>
        <v/>
      </c>
      <c r="AG5701" s="15" t="str">
        <f>IF(OR(AF5701="",AF5701="ERRO_CHAVE"),"",IFERROR(MATCH(AF5701,'Quitados DUPP'!$U$1:$U$6635,0),""))</f>
        <v/>
      </c>
      <c r="AH5701" s="15" t="str">
        <f t="shared" si="2"/>
        <v/>
      </c>
      <c r="AI5701" s="17" t="str">
        <f>IF(AG5701="","",INDEX('Quitados DUPP'!$G$1:$G$6635,AG5701))</f>
        <v/>
      </c>
      <c r="AJ5701" s="17" t="str">
        <f t="shared" si="3"/>
        <v/>
      </c>
    </row>
    <row r="5702" spans="31:36">
      <c r="AE5702" s="15" t="str">
        <f t="shared" si="0"/>
        <v/>
      </c>
      <c r="AF5702" s="15" t="str">
        <f t="shared" si="1"/>
        <v/>
      </c>
      <c r="AG5702" s="15" t="str">
        <f>IF(OR(AF5702="",AF5702="ERRO_CHAVE"),"",IFERROR(MATCH(AF5702,'Quitados DUPP'!$U$1:$U$6635,0),""))</f>
        <v/>
      </c>
      <c r="AH5702" s="15" t="str">
        <f t="shared" si="2"/>
        <v/>
      </c>
      <c r="AI5702" s="17" t="str">
        <f>IF(AG5702="","",INDEX('Quitados DUPP'!$G$1:$G$6635,AG5702))</f>
        <v/>
      </c>
      <c r="AJ5702" s="17" t="str">
        <f t="shared" si="3"/>
        <v/>
      </c>
    </row>
    <row r="5703" spans="31:36">
      <c r="AE5703" s="15" t="str">
        <f t="shared" si="0"/>
        <v/>
      </c>
      <c r="AF5703" s="15" t="str">
        <f t="shared" si="1"/>
        <v/>
      </c>
      <c r="AG5703" s="15" t="str">
        <f>IF(OR(AF5703="",AF5703="ERRO_CHAVE"),"",IFERROR(MATCH(AF5703,'Quitados DUPP'!$U$1:$U$6635,0),""))</f>
        <v/>
      </c>
      <c r="AH5703" s="15" t="str">
        <f t="shared" si="2"/>
        <v/>
      </c>
      <c r="AI5703" s="17" t="str">
        <f>IF(AG5703="","",INDEX('Quitados DUPP'!$G$1:$G$6635,AG5703))</f>
        <v/>
      </c>
      <c r="AJ5703" s="17" t="str">
        <f t="shared" si="3"/>
        <v/>
      </c>
    </row>
    <row r="5704" spans="31:36">
      <c r="AE5704" s="15" t="str">
        <f t="shared" si="0"/>
        <v/>
      </c>
      <c r="AF5704" s="15" t="str">
        <f t="shared" si="1"/>
        <v/>
      </c>
      <c r="AG5704" s="15" t="str">
        <f>IF(OR(AF5704="",AF5704="ERRO_CHAVE"),"",IFERROR(MATCH(AF5704,'Quitados DUPP'!$U$1:$U$6635,0),""))</f>
        <v/>
      </c>
      <c r="AH5704" s="15" t="str">
        <f t="shared" si="2"/>
        <v/>
      </c>
      <c r="AI5704" s="17" t="str">
        <f>IF(AG5704="","",INDEX('Quitados DUPP'!$G$1:$G$6635,AG5704))</f>
        <v/>
      </c>
      <c r="AJ5704" s="17" t="str">
        <f t="shared" si="3"/>
        <v/>
      </c>
    </row>
    <row r="5705" spans="31:36">
      <c r="AE5705" s="15" t="str">
        <f t="shared" si="0"/>
        <v/>
      </c>
      <c r="AF5705" s="15" t="str">
        <f t="shared" si="1"/>
        <v/>
      </c>
      <c r="AG5705" s="15" t="str">
        <f>IF(OR(AF5705="",AF5705="ERRO_CHAVE"),"",IFERROR(MATCH(AF5705,'Quitados DUPP'!$U$1:$U$6635,0),""))</f>
        <v/>
      </c>
      <c r="AH5705" s="15" t="str">
        <f t="shared" si="2"/>
        <v/>
      </c>
      <c r="AI5705" s="17" t="str">
        <f>IF(AG5705="","",INDEX('Quitados DUPP'!$G$1:$G$6635,AG5705))</f>
        <v/>
      </c>
      <c r="AJ5705" s="17" t="str">
        <f t="shared" si="3"/>
        <v/>
      </c>
    </row>
    <row r="5706" spans="31:36">
      <c r="AE5706" s="15" t="str">
        <f t="shared" si="0"/>
        <v/>
      </c>
      <c r="AF5706" s="15" t="str">
        <f t="shared" si="1"/>
        <v/>
      </c>
      <c r="AG5706" s="15" t="str">
        <f>IF(OR(AF5706="",AF5706="ERRO_CHAVE"),"",IFERROR(MATCH(AF5706,'Quitados DUPP'!$U$1:$U$6635,0),""))</f>
        <v/>
      </c>
      <c r="AH5706" s="15" t="str">
        <f t="shared" si="2"/>
        <v/>
      </c>
      <c r="AI5706" s="17" t="str">
        <f>IF(AG5706="","",INDEX('Quitados DUPP'!$G$1:$G$6635,AG5706))</f>
        <v/>
      </c>
      <c r="AJ5706" s="17" t="str">
        <f t="shared" si="3"/>
        <v/>
      </c>
    </row>
    <row r="5707" spans="31:36">
      <c r="AE5707" s="15" t="str">
        <f t="shared" si="0"/>
        <v/>
      </c>
      <c r="AF5707" s="15" t="str">
        <f t="shared" si="1"/>
        <v/>
      </c>
      <c r="AG5707" s="15" t="str">
        <f>IF(OR(AF5707="",AF5707="ERRO_CHAVE"),"",IFERROR(MATCH(AF5707,'Quitados DUPP'!$U$1:$U$6635,0),""))</f>
        <v/>
      </c>
      <c r="AH5707" s="15" t="str">
        <f t="shared" si="2"/>
        <v/>
      </c>
      <c r="AI5707" s="17" t="str">
        <f>IF(AG5707="","",INDEX('Quitados DUPP'!$G$1:$G$6635,AG5707))</f>
        <v/>
      </c>
      <c r="AJ5707" s="17" t="str">
        <f t="shared" si="3"/>
        <v/>
      </c>
    </row>
    <row r="5708" spans="31:36">
      <c r="AE5708" s="15" t="str">
        <f t="shared" si="0"/>
        <v/>
      </c>
      <c r="AF5708" s="15" t="str">
        <f t="shared" si="1"/>
        <v/>
      </c>
      <c r="AG5708" s="15" t="str">
        <f>IF(OR(AF5708="",AF5708="ERRO_CHAVE"),"",IFERROR(MATCH(AF5708,'Quitados DUPP'!$U$1:$U$6635,0),""))</f>
        <v/>
      </c>
      <c r="AH5708" s="15" t="str">
        <f t="shared" si="2"/>
        <v/>
      </c>
      <c r="AI5708" s="17" t="str">
        <f>IF(AG5708="","",INDEX('Quitados DUPP'!$G$1:$G$6635,AG5708))</f>
        <v/>
      </c>
      <c r="AJ5708" s="17" t="str">
        <f t="shared" si="3"/>
        <v/>
      </c>
    </row>
    <row r="5709" spans="31:36">
      <c r="AE5709" s="15" t="str">
        <f t="shared" si="0"/>
        <v/>
      </c>
      <c r="AF5709" s="15" t="str">
        <f t="shared" si="1"/>
        <v/>
      </c>
      <c r="AG5709" s="15" t="str">
        <f>IF(OR(AF5709="",AF5709="ERRO_CHAVE"),"",IFERROR(MATCH(AF5709,'Quitados DUPP'!$U$1:$U$6635,0),""))</f>
        <v/>
      </c>
      <c r="AH5709" s="15" t="str">
        <f t="shared" si="2"/>
        <v/>
      </c>
      <c r="AI5709" s="17" t="str">
        <f>IF(AG5709="","",INDEX('Quitados DUPP'!$G$1:$G$6635,AG5709))</f>
        <v/>
      </c>
      <c r="AJ5709" s="17" t="str">
        <f t="shared" si="3"/>
        <v/>
      </c>
    </row>
    <row r="5710" spans="31:36">
      <c r="AE5710" s="15" t="str">
        <f t="shared" si="0"/>
        <v/>
      </c>
      <c r="AF5710" s="15" t="str">
        <f t="shared" si="1"/>
        <v/>
      </c>
      <c r="AG5710" s="15" t="str">
        <f>IF(OR(AF5710="",AF5710="ERRO_CHAVE"),"",IFERROR(MATCH(AF5710,'Quitados DUPP'!$U$1:$U$6635,0),""))</f>
        <v/>
      </c>
      <c r="AH5710" s="15" t="str">
        <f t="shared" si="2"/>
        <v/>
      </c>
      <c r="AI5710" s="17" t="str">
        <f>IF(AG5710="","",INDEX('Quitados DUPP'!$G$1:$G$6635,AG5710))</f>
        <v/>
      </c>
      <c r="AJ5710" s="17" t="str">
        <f t="shared" si="3"/>
        <v/>
      </c>
    </row>
    <row r="5711" spans="31:36">
      <c r="AE5711" s="15" t="str">
        <f t="shared" si="0"/>
        <v/>
      </c>
      <c r="AF5711" s="15" t="str">
        <f t="shared" si="1"/>
        <v/>
      </c>
      <c r="AG5711" s="15" t="str">
        <f>IF(OR(AF5711="",AF5711="ERRO_CHAVE"),"",IFERROR(MATCH(AF5711,'Quitados DUPP'!$U$1:$U$6635,0),""))</f>
        <v/>
      </c>
      <c r="AH5711" s="15" t="str">
        <f t="shared" si="2"/>
        <v/>
      </c>
      <c r="AI5711" s="17" t="str">
        <f>IF(AG5711="","",INDEX('Quitados DUPP'!$G$1:$G$6635,AG5711))</f>
        <v/>
      </c>
      <c r="AJ5711" s="17" t="str">
        <f t="shared" si="3"/>
        <v/>
      </c>
    </row>
    <row r="5712" spans="31:36">
      <c r="AE5712" s="15" t="str">
        <f t="shared" si="0"/>
        <v/>
      </c>
      <c r="AF5712" s="15" t="str">
        <f t="shared" si="1"/>
        <v/>
      </c>
      <c r="AG5712" s="15" t="str">
        <f>IF(OR(AF5712="",AF5712="ERRO_CHAVE"),"",IFERROR(MATCH(AF5712,'Quitados DUPP'!$U$1:$U$6635,0),""))</f>
        <v/>
      </c>
      <c r="AH5712" s="15" t="str">
        <f t="shared" si="2"/>
        <v/>
      </c>
      <c r="AI5712" s="17" t="str">
        <f>IF(AG5712="","",INDEX('Quitados DUPP'!$G$1:$G$6635,AG5712))</f>
        <v/>
      </c>
      <c r="AJ5712" s="17" t="str">
        <f t="shared" si="3"/>
        <v/>
      </c>
    </row>
    <row r="5713" spans="31:36">
      <c r="AE5713" s="15" t="str">
        <f t="shared" si="0"/>
        <v/>
      </c>
      <c r="AF5713" s="15" t="str">
        <f t="shared" si="1"/>
        <v/>
      </c>
      <c r="AG5713" s="15" t="str">
        <f>IF(OR(AF5713="",AF5713="ERRO_CHAVE"),"",IFERROR(MATCH(AF5713,'Quitados DUPP'!$U$1:$U$6635,0),""))</f>
        <v/>
      </c>
      <c r="AH5713" s="15" t="str">
        <f t="shared" si="2"/>
        <v/>
      </c>
      <c r="AI5713" s="17" t="str">
        <f>IF(AG5713="","",INDEX('Quitados DUPP'!$G$1:$G$6635,AG5713))</f>
        <v/>
      </c>
      <c r="AJ5713" s="17" t="str">
        <f t="shared" si="3"/>
        <v/>
      </c>
    </row>
    <row r="5714" spans="31:36">
      <c r="AE5714" s="15" t="str">
        <f t="shared" si="0"/>
        <v/>
      </c>
      <c r="AF5714" s="15" t="str">
        <f t="shared" si="1"/>
        <v/>
      </c>
      <c r="AG5714" s="15" t="str">
        <f>IF(OR(AF5714="",AF5714="ERRO_CHAVE"),"",IFERROR(MATCH(AF5714,'Quitados DUPP'!$U$1:$U$6635,0),""))</f>
        <v/>
      </c>
      <c r="AH5714" s="15" t="str">
        <f t="shared" si="2"/>
        <v/>
      </c>
      <c r="AI5714" s="17" t="str">
        <f>IF(AG5714="","",INDEX('Quitados DUPP'!$G$1:$G$6635,AG5714))</f>
        <v/>
      </c>
      <c r="AJ5714" s="17" t="str">
        <f t="shared" si="3"/>
        <v/>
      </c>
    </row>
    <row r="5715" spans="31:36">
      <c r="AE5715" s="15" t="str">
        <f t="shared" si="0"/>
        <v/>
      </c>
      <c r="AF5715" s="15" t="str">
        <f t="shared" si="1"/>
        <v/>
      </c>
      <c r="AG5715" s="15" t="str">
        <f>IF(OR(AF5715="",AF5715="ERRO_CHAVE"),"",IFERROR(MATCH(AF5715,'Quitados DUPP'!$U$1:$U$6635,0),""))</f>
        <v/>
      </c>
      <c r="AH5715" s="15" t="str">
        <f t="shared" si="2"/>
        <v/>
      </c>
      <c r="AI5715" s="17" t="str">
        <f>IF(AG5715="","",INDEX('Quitados DUPP'!$G$1:$G$6635,AG5715))</f>
        <v/>
      </c>
      <c r="AJ5715" s="17" t="str">
        <f t="shared" si="3"/>
        <v/>
      </c>
    </row>
    <row r="5716" spans="31:36">
      <c r="AE5716" s="15" t="str">
        <f t="shared" si="0"/>
        <v/>
      </c>
      <c r="AF5716" s="15" t="str">
        <f t="shared" si="1"/>
        <v/>
      </c>
      <c r="AG5716" s="15" t="str">
        <f>IF(OR(AF5716="",AF5716="ERRO_CHAVE"),"",IFERROR(MATCH(AF5716,'Quitados DUPP'!$U$1:$U$6635,0),""))</f>
        <v/>
      </c>
      <c r="AH5716" s="15" t="str">
        <f t="shared" si="2"/>
        <v/>
      </c>
      <c r="AI5716" s="17" t="str">
        <f>IF(AG5716="","",INDEX('Quitados DUPP'!$G$1:$G$6635,AG5716))</f>
        <v/>
      </c>
      <c r="AJ5716" s="17" t="str">
        <f t="shared" si="3"/>
        <v/>
      </c>
    </row>
    <row r="5717" spans="31:36">
      <c r="AE5717" s="15" t="str">
        <f t="shared" si="0"/>
        <v/>
      </c>
      <c r="AF5717" s="15" t="str">
        <f t="shared" si="1"/>
        <v/>
      </c>
      <c r="AG5717" s="15" t="str">
        <f>IF(OR(AF5717="",AF5717="ERRO_CHAVE"),"",IFERROR(MATCH(AF5717,'Quitados DUPP'!$U$1:$U$6635,0),""))</f>
        <v/>
      </c>
      <c r="AH5717" s="15" t="str">
        <f t="shared" si="2"/>
        <v/>
      </c>
      <c r="AI5717" s="17" t="str">
        <f>IF(AG5717="","",INDEX('Quitados DUPP'!$G$1:$G$6635,AG5717))</f>
        <v/>
      </c>
      <c r="AJ5717" s="17" t="str">
        <f t="shared" si="3"/>
        <v/>
      </c>
    </row>
    <row r="5718" spans="31:36">
      <c r="AE5718" s="15" t="str">
        <f t="shared" si="0"/>
        <v/>
      </c>
      <c r="AF5718" s="15" t="str">
        <f t="shared" si="1"/>
        <v/>
      </c>
      <c r="AG5718" s="15" t="str">
        <f>IF(OR(AF5718="",AF5718="ERRO_CHAVE"),"",IFERROR(MATCH(AF5718,'Quitados DUPP'!$U$1:$U$6635,0),""))</f>
        <v/>
      </c>
      <c r="AH5718" s="15" t="str">
        <f t="shared" si="2"/>
        <v/>
      </c>
      <c r="AI5718" s="17" t="str">
        <f>IF(AG5718="","",INDEX('Quitados DUPP'!$G$1:$G$6635,AG5718))</f>
        <v/>
      </c>
      <c r="AJ5718" s="17" t="str">
        <f t="shared" si="3"/>
        <v/>
      </c>
    </row>
    <row r="5719" spans="31:36">
      <c r="AE5719" s="15" t="str">
        <f t="shared" si="0"/>
        <v/>
      </c>
      <c r="AF5719" s="15" t="str">
        <f t="shared" si="1"/>
        <v/>
      </c>
      <c r="AG5719" s="15" t="str">
        <f>IF(OR(AF5719="",AF5719="ERRO_CHAVE"),"",IFERROR(MATCH(AF5719,'Quitados DUPP'!$U$1:$U$6635,0),""))</f>
        <v/>
      </c>
      <c r="AH5719" s="15" t="str">
        <f t="shared" si="2"/>
        <v/>
      </c>
      <c r="AI5719" s="17" t="str">
        <f>IF(AG5719="","",INDEX('Quitados DUPP'!$G$1:$G$6635,AG5719))</f>
        <v/>
      </c>
      <c r="AJ5719" s="17" t="str">
        <f t="shared" si="3"/>
        <v/>
      </c>
    </row>
    <row r="5720" spans="31:36">
      <c r="AE5720" s="15" t="str">
        <f t="shared" si="0"/>
        <v/>
      </c>
      <c r="AF5720" s="15" t="str">
        <f t="shared" si="1"/>
        <v/>
      </c>
      <c r="AG5720" s="15" t="str">
        <f>IF(OR(AF5720="",AF5720="ERRO_CHAVE"),"",IFERROR(MATCH(AF5720,'Quitados DUPP'!$U$1:$U$6635,0),""))</f>
        <v/>
      </c>
      <c r="AH5720" s="15" t="str">
        <f t="shared" si="2"/>
        <v/>
      </c>
      <c r="AI5720" s="17" t="str">
        <f>IF(AG5720="","",INDEX('Quitados DUPP'!$G$1:$G$6635,AG5720))</f>
        <v/>
      </c>
      <c r="AJ5720" s="17" t="str">
        <f t="shared" si="3"/>
        <v/>
      </c>
    </row>
    <row r="5721" spans="31:36">
      <c r="AE5721" s="15" t="str">
        <f t="shared" si="0"/>
        <v/>
      </c>
      <c r="AF5721" s="15" t="str">
        <f t="shared" si="1"/>
        <v/>
      </c>
      <c r="AG5721" s="15" t="str">
        <f>IF(OR(AF5721="",AF5721="ERRO_CHAVE"),"",IFERROR(MATCH(AF5721,'Quitados DUPP'!$U$1:$U$6635,0),""))</f>
        <v/>
      </c>
      <c r="AH5721" s="15" t="str">
        <f t="shared" si="2"/>
        <v/>
      </c>
      <c r="AI5721" s="17" t="str">
        <f>IF(AG5721="","",INDEX('Quitados DUPP'!$G$1:$G$6635,AG5721))</f>
        <v/>
      </c>
      <c r="AJ5721" s="17" t="str">
        <f t="shared" si="3"/>
        <v/>
      </c>
    </row>
    <row r="5722" spans="31:36">
      <c r="AE5722" s="15" t="str">
        <f t="shared" si="0"/>
        <v/>
      </c>
      <c r="AF5722" s="15" t="str">
        <f t="shared" si="1"/>
        <v/>
      </c>
      <c r="AG5722" s="15" t="str">
        <f>IF(OR(AF5722="",AF5722="ERRO_CHAVE"),"",IFERROR(MATCH(AF5722,'Quitados DUPP'!$U$1:$U$6635,0),""))</f>
        <v/>
      </c>
      <c r="AH5722" s="15" t="str">
        <f t="shared" si="2"/>
        <v/>
      </c>
      <c r="AI5722" s="17" t="str">
        <f>IF(AG5722="","",INDEX('Quitados DUPP'!$G$1:$G$6635,AG5722))</f>
        <v/>
      </c>
      <c r="AJ5722" s="17" t="str">
        <f t="shared" si="3"/>
        <v/>
      </c>
    </row>
    <row r="5723" spans="31:36">
      <c r="AE5723" s="15" t="str">
        <f t="shared" si="0"/>
        <v/>
      </c>
      <c r="AF5723" s="15" t="str">
        <f t="shared" si="1"/>
        <v/>
      </c>
      <c r="AG5723" s="15" t="str">
        <f>IF(OR(AF5723="",AF5723="ERRO_CHAVE"),"",IFERROR(MATCH(AF5723,'Quitados DUPP'!$U$1:$U$6635,0),""))</f>
        <v/>
      </c>
      <c r="AH5723" s="15" t="str">
        <f t="shared" si="2"/>
        <v/>
      </c>
      <c r="AI5723" s="17" t="str">
        <f>IF(AG5723="","",INDEX('Quitados DUPP'!$G$1:$G$6635,AG5723))</f>
        <v/>
      </c>
      <c r="AJ5723" s="17" t="str">
        <f t="shared" si="3"/>
        <v/>
      </c>
    </row>
    <row r="5724" spans="31:36">
      <c r="AE5724" s="15" t="str">
        <f t="shared" si="0"/>
        <v/>
      </c>
      <c r="AF5724" s="15" t="str">
        <f t="shared" si="1"/>
        <v/>
      </c>
      <c r="AG5724" s="15" t="str">
        <f>IF(OR(AF5724="",AF5724="ERRO_CHAVE"),"",IFERROR(MATCH(AF5724,'Quitados DUPP'!$U$1:$U$6635,0),""))</f>
        <v/>
      </c>
      <c r="AH5724" s="15" t="str">
        <f t="shared" si="2"/>
        <v/>
      </c>
      <c r="AI5724" s="17" t="str">
        <f>IF(AG5724="","",INDEX('Quitados DUPP'!$G$1:$G$6635,AG5724))</f>
        <v/>
      </c>
      <c r="AJ5724" s="17" t="str">
        <f t="shared" si="3"/>
        <v/>
      </c>
    </row>
    <row r="5725" spans="31:36">
      <c r="AE5725" s="15" t="str">
        <f t="shared" si="0"/>
        <v/>
      </c>
      <c r="AF5725" s="15" t="str">
        <f t="shared" si="1"/>
        <v/>
      </c>
      <c r="AG5725" s="15" t="str">
        <f>IF(OR(AF5725="",AF5725="ERRO_CHAVE"),"",IFERROR(MATCH(AF5725,'Quitados DUPP'!$U$1:$U$6635,0),""))</f>
        <v/>
      </c>
      <c r="AH5725" s="15" t="str">
        <f t="shared" si="2"/>
        <v/>
      </c>
      <c r="AI5725" s="17" t="str">
        <f>IF(AG5725="","",INDEX('Quitados DUPP'!$G$1:$G$6635,AG5725))</f>
        <v/>
      </c>
      <c r="AJ5725" s="17" t="str">
        <f t="shared" si="3"/>
        <v/>
      </c>
    </row>
    <row r="5726" spans="31:36">
      <c r="AE5726" s="15" t="str">
        <f t="shared" si="0"/>
        <v/>
      </c>
      <c r="AF5726" s="15" t="str">
        <f t="shared" si="1"/>
        <v/>
      </c>
      <c r="AG5726" s="15" t="str">
        <f>IF(OR(AF5726="",AF5726="ERRO_CHAVE"),"",IFERROR(MATCH(AF5726,'Quitados DUPP'!$U$1:$U$6635,0),""))</f>
        <v/>
      </c>
      <c r="AH5726" s="15" t="str">
        <f t="shared" si="2"/>
        <v/>
      </c>
      <c r="AI5726" s="17" t="str">
        <f>IF(AG5726="","",INDEX('Quitados DUPP'!$G$1:$G$6635,AG5726))</f>
        <v/>
      </c>
      <c r="AJ5726" s="17" t="str">
        <f t="shared" si="3"/>
        <v/>
      </c>
    </row>
    <row r="5727" spans="31:36">
      <c r="AE5727" s="15" t="str">
        <f t="shared" si="0"/>
        <v/>
      </c>
      <c r="AF5727" s="15" t="str">
        <f t="shared" si="1"/>
        <v/>
      </c>
      <c r="AG5727" s="15" t="str">
        <f>IF(OR(AF5727="",AF5727="ERRO_CHAVE"),"",IFERROR(MATCH(AF5727,'Quitados DUPP'!$U$1:$U$6635,0),""))</f>
        <v/>
      </c>
      <c r="AH5727" s="15" t="str">
        <f t="shared" si="2"/>
        <v/>
      </c>
      <c r="AI5727" s="17" t="str">
        <f>IF(AG5727="","",INDEX('Quitados DUPP'!$G$1:$G$6635,AG5727))</f>
        <v/>
      </c>
      <c r="AJ5727" s="17" t="str">
        <f t="shared" si="3"/>
        <v/>
      </c>
    </row>
    <row r="5728" spans="31:36">
      <c r="AE5728" s="15" t="str">
        <f t="shared" si="0"/>
        <v/>
      </c>
      <c r="AF5728" s="15" t="str">
        <f t="shared" si="1"/>
        <v/>
      </c>
      <c r="AG5728" s="15" t="str">
        <f>IF(OR(AF5728="",AF5728="ERRO_CHAVE"),"",IFERROR(MATCH(AF5728,'Quitados DUPP'!$U$1:$U$6635,0),""))</f>
        <v/>
      </c>
      <c r="AH5728" s="15" t="str">
        <f t="shared" si="2"/>
        <v/>
      </c>
      <c r="AI5728" s="17" t="str">
        <f>IF(AG5728="","",INDEX('Quitados DUPP'!$G$1:$G$6635,AG5728))</f>
        <v/>
      </c>
      <c r="AJ5728" s="17" t="str">
        <f t="shared" si="3"/>
        <v/>
      </c>
    </row>
    <row r="5729" spans="31:36">
      <c r="AE5729" s="15" t="str">
        <f t="shared" si="0"/>
        <v/>
      </c>
      <c r="AF5729" s="15" t="str">
        <f t="shared" si="1"/>
        <v/>
      </c>
      <c r="AG5729" s="15" t="str">
        <f>IF(OR(AF5729="",AF5729="ERRO_CHAVE"),"",IFERROR(MATCH(AF5729,'Quitados DUPP'!$U$1:$U$6635,0),""))</f>
        <v/>
      </c>
      <c r="AH5729" s="15" t="str">
        <f t="shared" si="2"/>
        <v/>
      </c>
      <c r="AI5729" s="17" t="str">
        <f>IF(AG5729="","",INDEX('Quitados DUPP'!$G$1:$G$6635,AG5729))</f>
        <v/>
      </c>
      <c r="AJ5729" s="17" t="str">
        <f t="shared" si="3"/>
        <v/>
      </c>
    </row>
    <row r="5730" spans="31:36">
      <c r="AE5730" s="15" t="str">
        <f t="shared" si="0"/>
        <v/>
      </c>
      <c r="AF5730" s="15" t="str">
        <f t="shared" si="1"/>
        <v/>
      </c>
      <c r="AG5730" s="15" t="str">
        <f>IF(OR(AF5730="",AF5730="ERRO_CHAVE"),"",IFERROR(MATCH(AF5730,'Quitados DUPP'!$U$1:$U$6635,0),""))</f>
        <v/>
      </c>
      <c r="AH5730" s="15" t="str">
        <f t="shared" si="2"/>
        <v/>
      </c>
      <c r="AI5730" s="17" t="str">
        <f>IF(AG5730="","",INDEX('Quitados DUPP'!$G$1:$G$6635,AG5730))</f>
        <v/>
      </c>
      <c r="AJ5730" s="17" t="str">
        <f t="shared" si="3"/>
        <v/>
      </c>
    </row>
    <row r="5731" spans="31:36">
      <c r="AE5731" s="15" t="str">
        <f t="shared" si="0"/>
        <v/>
      </c>
      <c r="AF5731" s="15" t="str">
        <f t="shared" si="1"/>
        <v/>
      </c>
      <c r="AG5731" s="15" t="str">
        <f>IF(OR(AF5731="",AF5731="ERRO_CHAVE"),"",IFERROR(MATCH(AF5731,'Quitados DUPP'!$U$1:$U$6635,0),""))</f>
        <v/>
      </c>
      <c r="AH5731" s="15" t="str">
        <f t="shared" si="2"/>
        <v/>
      </c>
      <c r="AI5731" s="17" t="str">
        <f>IF(AG5731="","",INDEX('Quitados DUPP'!$G$1:$G$6635,AG5731))</f>
        <v/>
      </c>
      <c r="AJ5731" s="17" t="str">
        <f t="shared" si="3"/>
        <v/>
      </c>
    </row>
    <row r="5732" spans="31:36">
      <c r="AE5732" s="15" t="str">
        <f t="shared" si="0"/>
        <v/>
      </c>
      <c r="AF5732" s="15" t="str">
        <f t="shared" si="1"/>
        <v/>
      </c>
      <c r="AG5732" s="15" t="str">
        <f>IF(OR(AF5732="",AF5732="ERRO_CHAVE"),"",IFERROR(MATCH(AF5732,'Quitados DUPP'!$U$1:$U$6635,0),""))</f>
        <v/>
      </c>
      <c r="AH5732" s="15" t="str">
        <f t="shared" si="2"/>
        <v/>
      </c>
      <c r="AI5732" s="17" t="str">
        <f>IF(AG5732="","",INDEX('Quitados DUPP'!$G$1:$G$6635,AG5732))</f>
        <v/>
      </c>
      <c r="AJ5732" s="17" t="str">
        <f t="shared" si="3"/>
        <v/>
      </c>
    </row>
    <row r="5733" spans="31:36">
      <c r="AE5733" s="15" t="str">
        <f t="shared" si="0"/>
        <v/>
      </c>
      <c r="AF5733" s="15" t="str">
        <f t="shared" si="1"/>
        <v/>
      </c>
      <c r="AG5733" s="15" t="str">
        <f>IF(OR(AF5733="",AF5733="ERRO_CHAVE"),"",IFERROR(MATCH(AF5733,'Quitados DUPP'!$U$1:$U$6635,0),""))</f>
        <v/>
      </c>
      <c r="AH5733" s="15" t="str">
        <f t="shared" si="2"/>
        <v/>
      </c>
      <c r="AI5733" s="17" t="str">
        <f>IF(AG5733="","",INDEX('Quitados DUPP'!$G$1:$G$6635,AG5733))</f>
        <v/>
      </c>
      <c r="AJ5733" s="17" t="str">
        <f t="shared" si="3"/>
        <v/>
      </c>
    </row>
    <row r="5734" spans="31:36">
      <c r="AE5734" s="15" t="str">
        <f t="shared" si="0"/>
        <v/>
      </c>
      <c r="AF5734" s="15" t="str">
        <f t="shared" si="1"/>
        <v/>
      </c>
      <c r="AG5734" s="15" t="str">
        <f>IF(OR(AF5734="",AF5734="ERRO_CHAVE"),"",IFERROR(MATCH(AF5734,'Quitados DUPP'!$U$1:$U$6635,0),""))</f>
        <v/>
      </c>
      <c r="AH5734" s="15" t="str">
        <f t="shared" si="2"/>
        <v/>
      </c>
      <c r="AI5734" s="17" t="str">
        <f>IF(AG5734="","",INDEX('Quitados DUPP'!$G$1:$G$6635,AG5734))</f>
        <v/>
      </c>
      <c r="AJ5734" s="17" t="str">
        <f t="shared" si="3"/>
        <v/>
      </c>
    </row>
    <row r="5735" spans="31:36">
      <c r="AE5735" s="15" t="str">
        <f t="shared" si="0"/>
        <v/>
      </c>
      <c r="AF5735" s="15" t="str">
        <f t="shared" si="1"/>
        <v/>
      </c>
      <c r="AG5735" s="15" t="str">
        <f>IF(OR(AF5735="",AF5735="ERRO_CHAVE"),"",IFERROR(MATCH(AF5735,'Quitados DUPP'!$U$1:$U$6635,0),""))</f>
        <v/>
      </c>
      <c r="AH5735" s="15" t="str">
        <f t="shared" si="2"/>
        <v/>
      </c>
      <c r="AI5735" s="17" t="str">
        <f>IF(AG5735="","",INDEX('Quitados DUPP'!$G$1:$G$6635,AG5735))</f>
        <v/>
      </c>
      <c r="AJ5735" s="17" t="str">
        <f t="shared" si="3"/>
        <v/>
      </c>
    </row>
    <row r="5736" spans="31:36">
      <c r="AE5736" s="15" t="str">
        <f t="shared" si="0"/>
        <v/>
      </c>
      <c r="AF5736" s="15" t="str">
        <f t="shared" si="1"/>
        <v/>
      </c>
      <c r="AG5736" s="15" t="str">
        <f>IF(OR(AF5736="",AF5736="ERRO_CHAVE"),"",IFERROR(MATCH(AF5736,'Quitados DUPP'!$U$1:$U$6635,0),""))</f>
        <v/>
      </c>
      <c r="AH5736" s="15" t="str">
        <f t="shared" si="2"/>
        <v/>
      </c>
      <c r="AI5736" s="17" t="str">
        <f>IF(AG5736="","",INDEX('Quitados DUPP'!$G$1:$G$6635,AG5736))</f>
        <v/>
      </c>
      <c r="AJ5736" s="17" t="str">
        <f t="shared" si="3"/>
        <v/>
      </c>
    </row>
    <row r="5737" spans="31:36">
      <c r="AE5737" s="15" t="str">
        <f t="shared" si="0"/>
        <v/>
      </c>
      <c r="AF5737" s="15" t="str">
        <f t="shared" si="1"/>
        <v/>
      </c>
      <c r="AG5737" s="15" t="str">
        <f>IF(OR(AF5737="",AF5737="ERRO_CHAVE"),"",IFERROR(MATCH(AF5737,'Quitados DUPP'!$U$1:$U$6635,0),""))</f>
        <v/>
      </c>
      <c r="AH5737" s="15" t="str">
        <f t="shared" si="2"/>
        <v/>
      </c>
      <c r="AI5737" s="17" t="str">
        <f>IF(AG5737="","",INDEX('Quitados DUPP'!$G$1:$G$6635,AG5737))</f>
        <v/>
      </c>
      <c r="AJ5737" s="17" t="str">
        <f t="shared" si="3"/>
        <v/>
      </c>
    </row>
    <row r="5738" spans="31:36">
      <c r="AE5738" s="15" t="str">
        <f t="shared" si="0"/>
        <v/>
      </c>
      <c r="AF5738" s="15" t="str">
        <f t="shared" si="1"/>
        <v/>
      </c>
      <c r="AG5738" s="15" t="str">
        <f>IF(OR(AF5738="",AF5738="ERRO_CHAVE"),"",IFERROR(MATCH(AF5738,'Quitados DUPP'!$U$1:$U$6635,0),""))</f>
        <v/>
      </c>
      <c r="AH5738" s="15" t="str">
        <f t="shared" si="2"/>
        <v/>
      </c>
      <c r="AI5738" s="17" t="str">
        <f>IF(AG5738="","",INDEX('Quitados DUPP'!$G$1:$G$6635,AG5738))</f>
        <v/>
      </c>
      <c r="AJ5738" s="17" t="str">
        <f t="shared" si="3"/>
        <v/>
      </c>
    </row>
    <row r="5739" spans="31:36">
      <c r="AE5739" s="15" t="str">
        <f t="shared" si="0"/>
        <v/>
      </c>
      <c r="AF5739" s="15" t="str">
        <f t="shared" si="1"/>
        <v/>
      </c>
      <c r="AG5739" s="15" t="str">
        <f>IF(OR(AF5739="",AF5739="ERRO_CHAVE"),"",IFERROR(MATCH(AF5739,'Quitados DUPP'!$U$1:$U$6635,0),""))</f>
        <v/>
      </c>
      <c r="AH5739" s="15" t="str">
        <f t="shared" si="2"/>
        <v/>
      </c>
      <c r="AI5739" s="17" t="str">
        <f>IF(AG5739="","",INDEX('Quitados DUPP'!$G$1:$G$6635,AG5739))</f>
        <v/>
      </c>
      <c r="AJ5739" s="17" t="str">
        <f t="shared" si="3"/>
        <v/>
      </c>
    </row>
    <row r="5740" spans="31:36">
      <c r="AE5740" s="15" t="str">
        <f t="shared" si="0"/>
        <v/>
      </c>
      <c r="AF5740" s="15" t="str">
        <f t="shared" si="1"/>
        <v/>
      </c>
      <c r="AG5740" s="15" t="str">
        <f>IF(OR(AF5740="",AF5740="ERRO_CHAVE"),"",IFERROR(MATCH(AF5740,'Quitados DUPP'!$U$1:$U$6635,0),""))</f>
        <v/>
      </c>
      <c r="AH5740" s="15" t="str">
        <f t="shared" si="2"/>
        <v/>
      </c>
      <c r="AI5740" s="17" t="str">
        <f>IF(AG5740="","",INDEX('Quitados DUPP'!$G$1:$G$6635,AG5740))</f>
        <v/>
      </c>
      <c r="AJ5740" s="17" t="str">
        <f t="shared" si="3"/>
        <v/>
      </c>
    </row>
    <row r="5741" spans="31:36">
      <c r="AE5741" s="15" t="str">
        <f t="shared" si="0"/>
        <v/>
      </c>
      <c r="AF5741" s="15" t="str">
        <f t="shared" si="1"/>
        <v/>
      </c>
      <c r="AG5741" s="15" t="str">
        <f>IF(OR(AF5741="",AF5741="ERRO_CHAVE"),"",IFERROR(MATCH(AF5741,'Quitados DUPP'!$U$1:$U$6635,0),""))</f>
        <v/>
      </c>
      <c r="AH5741" s="15" t="str">
        <f t="shared" si="2"/>
        <v/>
      </c>
      <c r="AI5741" s="17" t="str">
        <f>IF(AG5741="","",INDEX('Quitados DUPP'!$G$1:$G$6635,AG5741))</f>
        <v/>
      </c>
      <c r="AJ5741" s="17" t="str">
        <f t="shared" si="3"/>
        <v/>
      </c>
    </row>
    <row r="5742" spans="31:36">
      <c r="AE5742" s="15" t="str">
        <f t="shared" si="0"/>
        <v/>
      </c>
      <c r="AF5742" s="15" t="str">
        <f t="shared" si="1"/>
        <v/>
      </c>
      <c r="AG5742" s="15" t="str">
        <f>IF(OR(AF5742="",AF5742="ERRO_CHAVE"),"",IFERROR(MATCH(AF5742,'Quitados DUPP'!$U$1:$U$6635,0),""))</f>
        <v/>
      </c>
      <c r="AH5742" s="15" t="str">
        <f t="shared" si="2"/>
        <v/>
      </c>
      <c r="AI5742" s="17" t="str">
        <f>IF(AG5742="","",INDEX('Quitados DUPP'!$G$1:$G$6635,AG5742))</f>
        <v/>
      </c>
      <c r="AJ5742" s="17" t="str">
        <f t="shared" si="3"/>
        <v/>
      </c>
    </row>
    <row r="5743" spans="31:36">
      <c r="AE5743" s="15" t="str">
        <f t="shared" si="0"/>
        <v/>
      </c>
      <c r="AF5743" s="15" t="str">
        <f t="shared" si="1"/>
        <v/>
      </c>
      <c r="AG5743" s="15" t="str">
        <f>IF(OR(AF5743="",AF5743="ERRO_CHAVE"),"",IFERROR(MATCH(AF5743,'Quitados DUPP'!$U$1:$U$6635,0),""))</f>
        <v/>
      </c>
      <c r="AH5743" s="15" t="str">
        <f t="shared" si="2"/>
        <v/>
      </c>
      <c r="AI5743" s="17" t="str">
        <f>IF(AG5743="","",INDEX('Quitados DUPP'!$G$1:$G$6635,AG5743))</f>
        <v/>
      </c>
      <c r="AJ5743" s="17" t="str">
        <f t="shared" si="3"/>
        <v/>
      </c>
    </row>
    <row r="5744" spans="31:36">
      <c r="AE5744" s="15" t="str">
        <f t="shared" si="0"/>
        <v/>
      </c>
      <c r="AF5744" s="15" t="str">
        <f t="shared" si="1"/>
        <v/>
      </c>
      <c r="AG5744" s="15" t="str">
        <f>IF(OR(AF5744="",AF5744="ERRO_CHAVE"),"",IFERROR(MATCH(AF5744,'Quitados DUPP'!$U$1:$U$6635,0),""))</f>
        <v/>
      </c>
      <c r="AH5744" s="15" t="str">
        <f t="shared" si="2"/>
        <v/>
      </c>
      <c r="AI5744" s="17" t="str">
        <f>IF(AG5744="","",INDEX('Quitados DUPP'!$G$1:$G$6635,AG5744))</f>
        <v/>
      </c>
      <c r="AJ5744" s="17" t="str">
        <f t="shared" si="3"/>
        <v/>
      </c>
    </row>
    <row r="5745" spans="31:36">
      <c r="AE5745" s="15" t="str">
        <f t="shared" si="0"/>
        <v/>
      </c>
      <c r="AF5745" s="15" t="str">
        <f t="shared" si="1"/>
        <v/>
      </c>
      <c r="AG5745" s="15" t="str">
        <f>IF(OR(AF5745="",AF5745="ERRO_CHAVE"),"",IFERROR(MATCH(AF5745,'Quitados DUPP'!$U$1:$U$6635,0),""))</f>
        <v/>
      </c>
      <c r="AH5745" s="15" t="str">
        <f t="shared" si="2"/>
        <v/>
      </c>
      <c r="AI5745" s="17" t="str">
        <f>IF(AG5745="","",INDEX('Quitados DUPP'!$G$1:$G$6635,AG5745))</f>
        <v/>
      </c>
      <c r="AJ5745" s="17" t="str">
        <f t="shared" si="3"/>
        <v/>
      </c>
    </row>
    <row r="5746" spans="31:36">
      <c r="AE5746" s="15" t="str">
        <f t="shared" si="0"/>
        <v/>
      </c>
      <c r="AF5746" s="15" t="str">
        <f t="shared" si="1"/>
        <v/>
      </c>
      <c r="AG5746" s="15" t="str">
        <f>IF(OR(AF5746="",AF5746="ERRO_CHAVE"),"",IFERROR(MATCH(AF5746,'Quitados DUPP'!$U$1:$U$6635,0),""))</f>
        <v/>
      </c>
      <c r="AH5746" s="15" t="str">
        <f t="shared" si="2"/>
        <v/>
      </c>
      <c r="AI5746" s="17" t="str">
        <f>IF(AG5746="","",INDEX('Quitados DUPP'!$G$1:$G$6635,AG5746))</f>
        <v/>
      </c>
      <c r="AJ5746" s="17" t="str">
        <f t="shared" si="3"/>
        <v/>
      </c>
    </row>
    <row r="5747" spans="31:36">
      <c r="AE5747" s="15" t="str">
        <f t="shared" si="0"/>
        <v/>
      </c>
      <c r="AF5747" s="15" t="str">
        <f t="shared" si="1"/>
        <v/>
      </c>
      <c r="AG5747" s="15" t="str">
        <f>IF(OR(AF5747="",AF5747="ERRO_CHAVE"),"",IFERROR(MATCH(AF5747,'Quitados DUPP'!$U$1:$U$6635,0),""))</f>
        <v/>
      </c>
      <c r="AH5747" s="15" t="str">
        <f t="shared" si="2"/>
        <v/>
      </c>
      <c r="AI5747" s="17" t="str">
        <f>IF(AG5747="","",INDEX('Quitados DUPP'!$G$1:$G$6635,AG5747))</f>
        <v/>
      </c>
      <c r="AJ5747" s="17" t="str">
        <f t="shared" si="3"/>
        <v/>
      </c>
    </row>
    <row r="5748" spans="31:36">
      <c r="AE5748" s="15" t="str">
        <f t="shared" si="0"/>
        <v/>
      </c>
      <c r="AF5748" s="15" t="str">
        <f t="shared" si="1"/>
        <v/>
      </c>
      <c r="AG5748" s="15" t="str">
        <f>IF(OR(AF5748="",AF5748="ERRO_CHAVE"),"",IFERROR(MATCH(AF5748,'Quitados DUPP'!$U$1:$U$6635,0),""))</f>
        <v/>
      </c>
      <c r="AH5748" s="15" t="str">
        <f t="shared" si="2"/>
        <v/>
      </c>
      <c r="AI5748" s="17" t="str">
        <f>IF(AG5748="","",INDEX('Quitados DUPP'!$G$1:$G$6635,AG5748))</f>
        <v/>
      </c>
      <c r="AJ5748" s="17" t="str">
        <f t="shared" si="3"/>
        <v/>
      </c>
    </row>
    <row r="5749" spans="31:36">
      <c r="AE5749" s="15" t="str">
        <f t="shared" si="0"/>
        <v/>
      </c>
      <c r="AF5749" s="15" t="str">
        <f t="shared" si="1"/>
        <v/>
      </c>
      <c r="AG5749" s="15" t="str">
        <f>IF(OR(AF5749="",AF5749="ERRO_CHAVE"),"",IFERROR(MATCH(AF5749,'Quitados DUPP'!$U$1:$U$6635,0),""))</f>
        <v/>
      </c>
      <c r="AH5749" s="15" t="str">
        <f t="shared" si="2"/>
        <v/>
      </c>
      <c r="AI5749" s="17" t="str">
        <f>IF(AG5749="","",INDEX('Quitados DUPP'!$G$1:$G$6635,AG5749))</f>
        <v/>
      </c>
      <c r="AJ5749" s="17" t="str">
        <f t="shared" si="3"/>
        <v/>
      </c>
    </row>
    <row r="5750" spans="31:36">
      <c r="AE5750" s="15" t="str">
        <f t="shared" si="0"/>
        <v/>
      </c>
      <c r="AF5750" s="15" t="str">
        <f t="shared" si="1"/>
        <v/>
      </c>
      <c r="AG5750" s="15" t="str">
        <f>IF(OR(AF5750="",AF5750="ERRO_CHAVE"),"",IFERROR(MATCH(AF5750,'Quitados DUPP'!$U$1:$U$6635,0),""))</f>
        <v/>
      </c>
      <c r="AH5750" s="15" t="str">
        <f t="shared" si="2"/>
        <v/>
      </c>
      <c r="AI5750" s="17" t="str">
        <f>IF(AG5750="","",INDEX('Quitados DUPP'!$G$1:$G$6635,AG5750))</f>
        <v/>
      </c>
      <c r="AJ5750" s="17" t="str">
        <f t="shared" si="3"/>
        <v/>
      </c>
    </row>
    <row r="5751" spans="31:36">
      <c r="AE5751" s="15" t="str">
        <f t="shared" si="0"/>
        <v/>
      </c>
      <c r="AF5751" s="15" t="str">
        <f t="shared" si="1"/>
        <v/>
      </c>
      <c r="AG5751" s="15" t="str">
        <f>IF(OR(AF5751="",AF5751="ERRO_CHAVE"),"",IFERROR(MATCH(AF5751,'Quitados DUPP'!$U$1:$U$6635,0),""))</f>
        <v/>
      </c>
      <c r="AH5751" s="15" t="str">
        <f t="shared" si="2"/>
        <v/>
      </c>
      <c r="AI5751" s="17" t="str">
        <f>IF(AG5751="","",INDEX('Quitados DUPP'!$G$1:$G$6635,AG5751))</f>
        <v/>
      </c>
      <c r="AJ5751" s="17" t="str">
        <f t="shared" si="3"/>
        <v/>
      </c>
    </row>
    <row r="5752" spans="31:36">
      <c r="AE5752" s="15" t="str">
        <f t="shared" si="0"/>
        <v/>
      </c>
      <c r="AF5752" s="15" t="str">
        <f t="shared" si="1"/>
        <v/>
      </c>
      <c r="AG5752" s="15" t="str">
        <f>IF(OR(AF5752="",AF5752="ERRO_CHAVE"),"",IFERROR(MATCH(AF5752,'Quitados DUPP'!$U$1:$U$6635,0),""))</f>
        <v/>
      </c>
      <c r="AH5752" s="15" t="str">
        <f t="shared" si="2"/>
        <v/>
      </c>
      <c r="AI5752" s="17" t="str">
        <f>IF(AG5752="","",INDEX('Quitados DUPP'!$G$1:$G$6635,AG5752))</f>
        <v/>
      </c>
      <c r="AJ5752" s="17" t="str">
        <f t="shared" si="3"/>
        <v/>
      </c>
    </row>
    <row r="5753" spans="31:36">
      <c r="AE5753" s="15" t="str">
        <f t="shared" si="0"/>
        <v/>
      </c>
      <c r="AF5753" s="15" t="str">
        <f t="shared" si="1"/>
        <v/>
      </c>
      <c r="AG5753" s="15" t="str">
        <f>IF(OR(AF5753="",AF5753="ERRO_CHAVE"),"",IFERROR(MATCH(AF5753,'Quitados DUPP'!$U$1:$U$6635,0),""))</f>
        <v/>
      </c>
      <c r="AH5753" s="15" t="str">
        <f t="shared" si="2"/>
        <v/>
      </c>
      <c r="AI5753" s="17" t="str">
        <f>IF(AG5753="","",INDEX('Quitados DUPP'!$G$1:$G$6635,AG5753))</f>
        <v/>
      </c>
      <c r="AJ5753" s="17" t="str">
        <f t="shared" si="3"/>
        <v/>
      </c>
    </row>
    <row r="5754" spans="31:36">
      <c r="AE5754" s="15" t="str">
        <f t="shared" si="0"/>
        <v/>
      </c>
      <c r="AF5754" s="15" t="str">
        <f t="shared" si="1"/>
        <v/>
      </c>
      <c r="AG5754" s="15" t="str">
        <f>IF(OR(AF5754="",AF5754="ERRO_CHAVE"),"",IFERROR(MATCH(AF5754,'Quitados DUPP'!$U$1:$U$6635,0),""))</f>
        <v/>
      </c>
      <c r="AH5754" s="15" t="str">
        <f t="shared" si="2"/>
        <v/>
      </c>
      <c r="AI5754" s="17" t="str">
        <f>IF(AG5754="","",INDEX('Quitados DUPP'!$G$1:$G$6635,AG5754))</f>
        <v/>
      </c>
      <c r="AJ5754" s="17" t="str">
        <f t="shared" si="3"/>
        <v/>
      </c>
    </row>
    <row r="5755" spans="31:36">
      <c r="AE5755" s="15" t="str">
        <f t="shared" si="0"/>
        <v/>
      </c>
      <c r="AF5755" s="15" t="str">
        <f t="shared" si="1"/>
        <v/>
      </c>
      <c r="AG5755" s="15" t="str">
        <f>IF(OR(AF5755="",AF5755="ERRO_CHAVE"),"",IFERROR(MATCH(AF5755,'Quitados DUPP'!$U$1:$U$6635,0),""))</f>
        <v/>
      </c>
      <c r="AH5755" s="15" t="str">
        <f t="shared" si="2"/>
        <v/>
      </c>
      <c r="AI5755" s="17" t="str">
        <f>IF(AG5755="","",INDEX('Quitados DUPP'!$G$1:$G$6635,AG5755))</f>
        <v/>
      </c>
      <c r="AJ5755" s="17" t="str">
        <f t="shared" si="3"/>
        <v/>
      </c>
    </row>
    <row r="5756" spans="31:36">
      <c r="AE5756" s="15" t="str">
        <f t="shared" si="0"/>
        <v/>
      </c>
      <c r="AF5756" s="15" t="str">
        <f t="shared" si="1"/>
        <v/>
      </c>
      <c r="AG5756" s="15" t="str">
        <f>IF(OR(AF5756="",AF5756="ERRO_CHAVE"),"",IFERROR(MATCH(AF5756,'Quitados DUPP'!$U$1:$U$6635,0),""))</f>
        <v/>
      </c>
      <c r="AH5756" s="15" t="str">
        <f t="shared" si="2"/>
        <v/>
      </c>
      <c r="AI5756" s="17" t="str">
        <f>IF(AG5756="","",INDEX('Quitados DUPP'!$G$1:$G$6635,AG5756))</f>
        <v/>
      </c>
      <c r="AJ5756" s="17" t="str">
        <f t="shared" si="3"/>
        <v/>
      </c>
    </row>
    <row r="5757" spans="31:36">
      <c r="AE5757" s="15" t="str">
        <f t="shared" si="0"/>
        <v/>
      </c>
      <c r="AF5757" s="15" t="str">
        <f t="shared" si="1"/>
        <v/>
      </c>
      <c r="AG5757" s="15" t="str">
        <f>IF(OR(AF5757="",AF5757="ERRO_CHAVE"),"",IFERROR(MATCH(AF5757,'Quitados DUPP'!$U$1:$U$6635,0),""))</f>
        <v/>
      </c>
      <c r="AH5757" s="15" t="str">
        <f t="shared" si="2"/>
        <v/>
      </c>
      <c r="AI5757" s="17" t="str">
        <f>IF(AG5757="","",INDEX('Quitados DUPP'!$G$1:$G$6635,AG5757))</f>
        <v/>
      </c>
      <c r="AJ5757" s="17" t="str">
        <f t="shared" si="3"/>
        <v/>
      </c>
    </row>
    <row r="5758" spans="31:36">
      <c r="AE5758" s="15" t="str">
        <f t="shared" si="0"/>
        <v/>
      </c>
      <c r="AF5758" s="15" t="str">
        <f t="shared" si="1"/>
        <v/>
      </c>
      <c r="AG5758" s="15" t="str">
        <f>IF(OR(AF5758="",AF5758="ERRO_CHAVE"),"",IFERROR(MATCH(AF5758,'Quitados DUPP'!$U$1:$U$6635,0),""))</f>
        <v/>
      </c>
      <c r="AH5758" s="15" t="str">
        <f t="shared" si="2"/>
        <v/>
      </c>
      <c r="AI5758" s="17" t="str">
        <f>IF(AG5758="","",INDEX('Quitados DUPP'!$G$1:$G$6635,AG5758))</f>
        <v/>
      </c>
      <c r="AJ5758" s="17" t="str">
        <f t="shared" si="3"/>
        <v/>
      </c>
    </row>
    <row r="5759" spans="31:36">
      <c r="AE5759" s="15" t="str">
        <f t="shared" si="0"/>
        <v/>
      </c>
      <c r="AF5759" s="15" t="str">
        <f t="shared" si="1"/>
        <v/>
      </c>
      <c r="AG5759" s="15" t="str">
        <f>IF(OR(AF5759="",AF5759="ERRO_CHAVE"),"",IFERROR(MATCH(AF5759,'Quitados DUPP'!$U$1:$U$6635,0),""))</f>
        <v/>
      </c>
      <c r="AH5759" s="15" t="str">
        <f t="shared" si="2"/>
        <v/>
      </c>
      <c r="AI5759" s="17" t="str">
        <f>IF(AG5759="","",INDEX('Quitados DUPP'!$G$1:$G$6635,AG5759))</f>
        <v/>
      </c>
      <c r="AJ5759" s="17" t="str">
        <f t="shared" si="3"/>
        <v/>
      </c>
    </row>
    <row r="5760" spans="31:36">
      <c r="AE5760" s="15" t="str">
        <f t="shared" si="0"/>
        <v/>
      </c>
      <c r="AF5760" s="15" t="str">
        <f t="shared" si="1"/>
        <v/>
      </c>
      <c r="AG5760" s="15" t="str">
        <f>IF(OR(AF5760="",AF5760="ERRO_CHAVE"),"",IFERROR(MATCH(AF5760,'Quitados DUPP'!$U$1:$U$6635,0),""))</f>
        <v/>
      </c>
      <c r="AH5760" s="15" t="str">
        <f t="shared" si="2"/>
        <v/>
      </c>
      <c r="AI5760" s="17" t="str">
        <f>IF(AG5760="","",INDEX('Quitados DUPP'!$G$1:$G$6635,AG5760))</f>
        <v/>
      </c>
      <c r="AJ5760" s="17" t="str">
        <f t="shared" si="3"/>
        <v/>
      </c>
    </row>
    <row r="5761" spans="31:36">
      <c r="AE5761" s="15" t="str">
        <f t="shared" si="0"/>
        <v/>
      </c>
      <c r="AF5761" s="15" t="str">
        <f t="shared" si="1"/>
        <v/>
      </c>
      <c r="AG5761" s="15" t="str">
        <f>IF(OR(AF5761="",AF5761="ERRO_CHAVE"),"",IFERROR(MATCH(AF5761,'Quitados DUPP'!$U$1:$U$6635,0),""))</f>
        <v/>
      </c>
      <c r="AH5761" s="15" t="str">
        <f t="shared" si="2"/>
        <v/>
      </c>
      <c r="AI5761" s="17" t="str">
        <f>IF(AG5761="","",INDEX('Quitados DUPP'!$G$1:$G$6635,AG5761))</f>
        <v/>
      </c>
      <c r="AJ5761" s="17" t="str">
        <f t="shared" si="3"/>
        <v/>
      </c>
    </row>
    <row r="5762" spans="31:36">
      <c r="AE5762" s="15" t="str">
        <f t="shared" si="0"/>
        <v/>
      </c>
      <c r="AF5762" s="15" t="str">
        <f t="shared" si="1"/>
        <v/>
      </c>
      <c r="AG5762" s="15" t="str">
        <f>IF(OR(AF5762="",AF5762="ERRO_CHAVE"),"",IFERROR(MATCH(AF5762,'Quitados DUPP'!$U$1:$U$6635,0),""))</f>
        <v/>
      </c>
      <c r="AH5762" s="15" t="str">
        <f t="shared" si="2"/>
        <v/>
      </c>
      <c r="AI5762" s="17" t="str">
        <f>IF(AG5762="","",INDEX('Quitados DUPP'!$G$1:$G$6635,AG5762))</f>
        <v/>
      </c>
      <c r="AJ5762" s="17" t="str">
        <f t="shared" si="3"/>
        <v/>
      </c>
    </row>
    <row r="5763" spans="31:36">
      <c r="AE5763" s="15" t="str">
        <f t="shared" si="0"/>
        <v/>
      </c>
      <c r="AF5763" s="15" t="str">
        <f t="shared" si="1"/>
        <v/>
      </c>
      <c r="AG5763" s="15" t="str">
        <f>IF(OR(AF5763="",AF5763="ERRO_CHAVE"),"",IFERROR(MATCH(AF5763,'Quitados DUPP'!$U$1:$U$6635,0),""))</f>
        <v/>
      </c>
      <c r="AH5763" s="15" t="str">
        <f t="shared" si="2"/>
        <v/>
      </c>
      <c r="AI5763" s="17" t="str">
        <f>IF(AG5763="","",INDEX('Quitados DUPP'!$G$1:$G$6635,AG5763))</f>
        <v/>
      </c>
      <c r="AJ5763" s="17" t="str">
        <f t="shared" si="3"/>
        <v/>
      </c>
    </row>
    <row r="5764" spans="31:36">
      <c r="AE5764" s="15" t="str">
        <f t="shared" si="0"/>
        <v/>
      </c>
      <c r="AF5764" s="15" t="str">
        <f t="shared" si="1"/>
        <v/>
      </c>
      <c r="AG5764" s="15" t="str">
        <f>IF(OR(AF5764="",AF5764="ERRO_CHAVE"),"",IFERROR(MATCH(AF5764,'Quitados DUPP'!$U$1:$U$6635,0),""))</f>
        <v/>
      </c>
      <c r="AH5764" s="15" t="str">
        <f t="shared" si="2"/>
        <v/>
      </c>
      <c r="AI5764" s="17" t="str">
        <f>IF(AG5764="","",INDEX('Quitados DUPP'!$G$1:$G$6635,AG5764))</f>
        <v/>
      </c>
      <c r="AJ5764" s="17" t="str">
        <f t="shared" si="3"/>
        <v/>
      </c>
    </row>
    <row r="5765" spans="31:36">
      <c r="AE5765" s="15" t="str">
        <f t="shared" si="0"/>
        <v/>
      </c>
      <c r="AF5765" s="15" t="str">
        <f t="shared" si="1"/>
        <v/>
      </c>
      <c r="AG5765" s="15" t="str">
        <f>IF(OR(AF5765="",AF5765="ERRO_CHAVE"),"",IFERROR(MATCH(AF5765,'Quitados DUPP'!$U$1:$U$6635,0),""))</f>
        <v/>
      </c>
      <c r="AH5765" s="15" t="str">
        <f t="shared" si="2"/>
        <v/>
      </c>
      <c r="AI5765" s="17" t="str">
        <f>IF(AG5765="","",INDEX('Quitados DUPP'!$G$1:$G$6635,AG5765))</f>
        <v/>
      </c>
      <c r="AJ5765" s="17" t="str">
        <f t="shared" si="3"/>
        <v/>
      </c>
    </row>
    <row r="5766" spans="31:36">
      <c r="AE5766" s="15" t="str">
        <f t="shared" si="0"/>
        <v/>
      </c>
      <c r="AF5766" s="15" t="str">
        <f t="shared" si="1"/>
        <v/>
      </c>
      <c r="AG5766" s="15" t="str">
        <f>IF(OR(AF5766="",AF5766="ERRO_CHAVE"),"",IFERROR(MATCH(AF5766,'Quitados DUPP'!$U$1:$U$6635,0),""))</f>
        <v/>
      </c>
      <c r="AH5766" s="15" t="str">
        <f t="shared" si="2"/>
        <v/>
      </c>
      <c r="AI5766" s="17" t="str">
        <f>IF(AG5766="","",INDEX('Quitados DUPP'!$G$1:$G$6635,AG5766))</f>
        <v/>
      </c>
      <c r="AJ5766" s="17" t="str">
        <f t="shared" si="3"/>
        <v/>
      </c>
    </row>
    <row r="5767" spans="31:36">
      <c r="AE5767" s="15" t="str">
        <f t="shared" si="0"/>
        <v/>
      </c>
      <c r="AF5767" s="15" t="str">
        <f t="shared" si="1"/>
        <v/>
      </c>
      <c r="AG5767" s="15" t="str">
        <f>IF(OR(AF5767="",AF5767="ERRO_CHAVE"),"",IFERROR(MATCH(AF5767,'Quitados DUPP'!$U$1:$U$6635,0),""))</f>
        <v/>
      </c>
      <c r="AH5767" s="15" t="str">
        <f t="shared" si="2"/>
        <v/>
      </c>
      <c r="AI5767" s="17" t="str">
        <f>IF(AG5767="","",INDEX('Quitados DUPP'!$G$1:$G$6635,AG5767))</f>
        <v/>
      </c>
      <c r="AJ5767" s="17" t="str">
        <f t="shared" si="3"/>
        <v/>
      </c>
    </row>
    <row r="5768" spans="31:36">
      <c r="AE5768" s="15" t="str">
        <f t="shared" si="0"/>
        <v/>
      </c>
      <c r="AF5768" s="15" t="str">
        <f t="shared" si="1"/>
        <v/>
      </c>
      <c r="AG5768" s="15" t="str">
        <f>IF(OR(AF5768="",AF5768="ERRO_CHAVE"),"",IFERROR(MATCH(AF5768,'Quitados DUPP'!$U$1:$U$6635,0),""))</f>
        <v/>
      </c>
      <c r="AH5768" s="15" t="str">
        <f t="shared" si="2"/>
        <v/>
      </c>
      <c r="AI5768" s="17" t="str">
        <f>IF(AG5768="","",INDEX('Quitados DUPP'!$G$1:$G$6635,AG5768))</f>
        <v/>
      </c>
      <c r="AJ5768" s="17" t="str">
        <f t="shared" si="3"/>
        <v/>
      </c>
    </row>
    <row r="5769" spans="31:36">
      <c r="AE5769" s="15" t="str">
        <f t="shared" si="0"/>
        <v/>
      </c>
      <c r="AF5769" s="15" t="str">
        <f t="shared" si="1"/>
        <v/>
      </c>
      <c r="AG5769" s="15" t="str">
        <f>IF(OR(AF5769="",AF5769="ERRO_CHAVE"),"",IFERROR(MATCH(AF5769,'Quitados DUPP'!$U$1:$U$6635,0),""))</f>
        <v/>
      </c>
      <c r="AH5769" s="15" t="str">
        <f t="shared" si="2"/>
        <v/>
      </c>
      <c r="AI5769" s="17" t="str">
        <f>IF(AG5769="","",INDEX('Quitados DUPP'!$G$1:$G$6635,AG5769))</f>
        <v/>
      </c>
      <c r="AJ5769" s="17" t="str">
        <f t="shared" si="3"/>
        <v/>
      </c>
    </row>
    <row r="5770" spans="31:36">
      <c r="AE5770" s="15" t="str">
        <f t="shared" si="0"/>
        <v/>
      </c>
      <c r="AF5770" s="15" t="str">
        <f t="shared" si="1"/>
        <v/>
      </c>
      <c r="AG5770" s="15" t="str">
        <f>IF(OR(AF5770="",AF5770="ERRO_CHAVE"),"",IFERROR(MATCH(AF5770,'Quitados DUPP'!$U$1:$U$6635,0),""))</f>
        <v/>
      </c>
      <c r="AH5770" s="15" t="str">
        <f t="shared" si="2"/>
        <v/>
      </c>
      <c r="AI5770" s="17" t="str">
        <f>IF(AG5770="","",INDEX('Quitados DUPP'!$G$1:$G$6635,AG5770))</f>
        <v/>
      </c>
      <c r="AJ5770" s="17" t="str">
        <f t="shared" si="3"/>
        <v/>
      </c>
    </row>
    <row r="5771" spans="31:36">
      <c r="AE5771" s="15" t="str">
        <f t="shared" si="0"/>
        <v/>
      </c>
      <c r="AF5771" s="15" t="str">
        <f t="shared" si="1"/>
        <v/>
      </c>
      <c r="AG5771" s="15" t="str">
        <f>IF(OR(AF5771="",AF5771="ERRO_CHAVE"),"",IFERROR(MATCH(AF5771,'Quitados DUPP'!$U$1:$U$6635,0),""))</f>
        <v/>
      </c>
      <c r="AH5771" s="15" t="str">
        <f t="shared" si="2"/>
        <v/>
      </c>
      <c r="AI5771" s="17" t="str">
        <f>IF(AG5771="","",INDEX('Quitados DUPP'!$G$1:$G$6635,AG5771))</f>
        <v/>
      </c>
      <c r="AJ5771" s="17" t="str">
        <f t="shared" si="3"/>
        <v/>
      </c>
    </row>
    <row r="5772" spans="31:36">
      <c r="AE5772" s="15" t="str">
        <f t="shared" si="0"/>
        <v/>
      </c>
      <c r="AF5772" s="15" t="str">
        <f t="shared" si="1"/>
        <v/>
      </c>
      <c r="AG5772" s="15" t="str">
        <f>IF(OR(AF5772="",AF5772="ERRO_CHAVE"),"",IFERROR(MATCH(AF5772,'Quitados DUPP'!$U$1:$U$6635,0),""))</f>
        <v/>
      </c>
      <c r="AH5772" s="15" t="str">
        <f t="shared" si="2"/>
        <v/>
      </c>
      <c r="AI5772" s="17" t="str">
        <f>IF(AG5772="","",INDEX('Quitados DUPP'!$G$1:$G$6635,AG5772))</f>
        <v/>
      </c>
      <c r="AJ5772" s="17" t="str">
        <f t="shared" si="3"/>
        <v/>
      </c>
    </row>
    <row r="5773" spans="31:36">
      <c r="AE5773" s="15" t="str">
        <f t="shared" si="0"/>
        <v/>
      </c>
      <c r="AF5773" s="15" t="str">
        <f t="shared" si="1"/>
        <v/>
      </c>
      <c r="AG5773" s="15" t="str">
        <f>IF(OR(AF5773="",AF5773="ERRO_CHAVE"),"",IFERROR(MATCH(AF5773,'Quitados DUPP'!$U$1:$U$6635,0),""))</f>
        <v/>
      </c>
      <c r="AH5773" s="15" t="str">
        <f t="shared" si="2"/>
        <v/>
      </c>
      <c r="AI5773" s="17" t="str">
        <f>IF(AG5773="","",INDEX('Quitados DUPP'!$G$1:$G$6635,AG5773))</f>
        <v/>
      </c>
      <c r="AJ5773" s="17" t="str">
        <f t="shared" si="3"/>
        <v/>
      </c>
    </row>
    <row r="5774" spans="31:36">
      <c r="AE5774" s="15" t="str">
        <f t="shared" si="0"/>
        <v/>
      </c>
      <c r="AF5774" s="15" t="str">
        <f t="shared" si="1"/>
        <v/>
      </c>
      <c r="AG5774" s="15" t="str">
        <f>IF(OR(AF5774="",AF5774="ERRO_CHAVE"),"",IFERROR(MATCH(AF5774,'Quitados DUPP'!$U$1:$U$6635,0),""))</f>
        <v/>
      </c>
      <c r="AH5774" s="15" t="str">
        <f t="shared" si="2"/>
        <v/>
      </c>
      <c r="AI5774" s="17" t="str">
        <f>IF(AG5774="","",INDEX('Quitados DUPP'!$G$1:$G$6635,AG5774))</f>
        <v/>
      </c>
      <c r="AJ5774" s="17" t="str">
        <f t="shared" si="3"/>
        <v/>
      </c>
    </row>
    <row r="5775" spans="31:36">
      <c r="AE5775" s="15" t="str">
        <f t="shared" si="0"/>
        <v/>
      </c>
      <c r="AF5775" s="15" t="str">
        <f t="shared" si="1"/>
        <v/>
      </c>
      <c r="AG5775" s="15" t="str">
        <f>IF(OR(AF5775="",AF5775="ERRO_CHAVE"),"",IFERROR(MATCH(AF5775,'Quitados DUPP'!$U$1:$U$6635,0),""))</f>
        <v/>
      </c>
      <c r="AH5775" s="15" t="str">
        <f t="shared" si="2"/>
        <v/>
      </c>
      <c r="AI5775" s="17" t="str">
        <f>IF(AG5775="","",INDEX('Quitados DUPP'!$G$1:$G$6635,AG5775))</f>
        <v/>
      </c>
      <c r="AJ5775" s="17" t="str">
        <f t="shared" si="3"/>
        <v/>
      </c>
    </row>
    <row r="5776" spans="31:36">
      <c r="AE5776" s="15" t="str">
        <f t="shared" si="0"/>
        <v/>
      </c>
      <c r="AF5776" s="15" t="str">
        <f t="shared" si="1"/>
        <v/>
      </c>
      <c r="AG5776" s="15" t="str">
        <f>IF(OR(AF5776="",AF5776="ERRO_CHAVE"),"",IFERROR(MATCH(AF5776,'Quitados DUPP'!$U$1:$U$6635,0),""))</f>
        <v/>
      </c>
      <c r="AH5776" s="15" t="str">
        <f t="shared" si="2"/>
        <v/>
      </c>
      <c r="AI5776" s="17" t="str">
        <f>IF(AG5776="","",INDEX('Quitados DUPP'!$G$1:$G$6635,AG5776))</f>
        <v/>
      </c>
      <c r="AJ5776" s="17" t="str">
        <f t="shared" si="3"/>
        <v/>
      </c>
    </row>
    <row r="5777" spans="31:36">
      <c r="AE5777" s="15" t="str">
        <f t="shared" si="0"/>
        <v/>
      </c>
      <c r="AF5777" s="15" t="str">
        <f t="shared" si="1"/>
        <v/>
      </c>
      <c r="AG5777" s="15" t="str">
        <f>IF(OR(AF5777="",AF5777="ERRO_CHAVE"),"",IFERROR(MATCH(AF5777,'Quitados DUPP'!$U$1:$U$6635,0),""))</f>
        <v/>
      </c>
      <c r="AH5777" s="15" t="str">
        <f t="shared" si="2"/>
        <v/>
      </c>
      <c r="AI5777" s="17" t="str">
        <f>IF(AG5777="","",INDEX('Quitados DUPP'!$G$1:$G$6635,AG5777))</f>
        <v/>
      </c>
      <c r="AJ5777" s="17" t="str">
        <f t="shared" si="3"/>
        <v/>
      </c>
    </row>
    <row r="5778" spans="31:36">
      <c r="AE5778" s="15" t="str">
        <f t="shared" si="0"/>
        <v/>
      </c>
      <c r="AF5778" s="15" t="str">
        <f t="shared" si="1"/>
        <v/>
      </c>
      <c r="AG5778" s="15" t="str">
        <f>IF(OR(AF5778="",AF5778="ERRO_CHAVE"),"",IFERROR(MATCH(AF5778,'Quitados DUPP'!$U$1:$U$6635,0),""))</f>
        <v/>
      </c>
      <c r="AH5778" s="15" t="str">
        <f t="shared" si="2"/>
        <v/>
      </c>
      <c r="AI5778" s="17" t="str">
        <f>IF(AG5778="","",INDEX('Quitados DUPP'!$G$1:$G$6635,AG5778))</f>
        <v/>
      </c>
      <c r="AJ5778" s="17" t="str">
        <f t="shared" si="3"/>
        <v/>
      </c>
    </row>
    <row r="5779" spans="31:36">
      <c r="AE5779" s="15" t="str">
        <f t="shared" si="0"/>
        <v/>
      </c>
      <c r="AF5779" s="15" t="str">
        <f t="shared" si="1"/>
        <v/>
      </c>
      <c r="AG5779" s="15" t="str">
        <f>IF(OR(AF5779="",AF5779="ERRO_CHAVE"),"",IFERROR(MATCH(AF5779,'Quitados DUPP'!$U$1:$U$6635,0),""))</f>
        <v/>
      </c>
      <c r="AH5779" s="15" t="str">
        <f t="shared" si="2"/>
        <v/>
      </c>
      <c r="AI5779" s="17" t="str">
        <f>IF(AG5779="","",INDEX('Quitados DUPP'!$G$1:$G$6635,AG5779))</f>
        <v/>
      </c>
      <c r="AJ5779" s="17" t="str">
        <f t="shared" si="3"/>
        <v/>
      </c>
    </row>
    <row r="5780" spans="31:36">
      <c r="AE5780" s="15" t="str">
        <f t="shared" si="0"/>
        <v/>
      </c>
      <c r="AF5780" s="15" t="str">
        <f t="shared" si="1"/>
        <v/>
      </c>
      <c r="AG5780" s="15" t="str">
        <f>IF(OR(AF5780="",AF5780="ERRO_CHAVE"),"",IFERROR(MATCH(AF5780,'Quitados DUPP'!$U$1:$U$6635,0),""))</f>
        <v/>
      </c>
      <c r="AH5780" s="15" t="str">
        <f t="shared" si="2"/>
        <v/>
      </c>
      <c r="AI5780" s="17" t="str">
        <f>IF(AG5780="","",INDEX('Quitados DUPP'!$G$1:$G$6635,AG5780))</f>
        <v/>
      </c>
      <c r="AJ5780" s="17" t="str">
        <f t="shared" si="3"/>
        <v/>
      </c>
    </row>
    <row r="5781" spans="31:36">
      <c r="AE5781" s="15" t="str">
        <f t="shared" si="0"/>
        <v/>
      </c>
      <c r="AF5781" s="15" t="str">
        <f t="shared" si="1"/>
        <v/>
      </c>
      <c r="AG5781" s="15" t="str">
        <f>IF(OR(AF5781="",AF5781="ERRO_CHAVE"),"",IFERROR(MATCH(AF5781,'Quitados DUPP'!$U$1:$U$6635,0),""))</f>
        <v/>
      </c>
      <c r="AH5781" s="15" t="str">
        <f t="shared" si="2"/>
        <v/>
      </c>
      <c r="AI5781" s="17" t="str">
        <f>IF(AG5781="","",INDEX('Quitados DUPP'!$G$1:$G$6635,AG5781))</f>
        <v/>
      </c>
      <c r="AJ5781" s="17" t="str">
        <f t="shared" si="3"/>
        <v/>
      </c>
    </row>
    <row r="5782" spans="31:36">
      <c r="AE5782" s="15" t="str">
        <f t="shared" si="0"/>
        <v/>
      </c>
      <c r="AF5782" s="15" t="str">
        <f t="shared" si="1"/>
        <v/>
      </c>
      <c r="AG5782" s="15" t="str">
        <f>IF(OR(AF5782="",AF5782="ERRO_CHAVE"),"",IFERROR(MATCH(AF5782,'Quitados DUPP'!$U$1:$U$6635,0),""))</f>
        <v/>
      </c>
      <c r="AH5782" s="15" t="str">
        <f t="shared" si="2"/>
        <v/>
      </c>
      <c r="AI5782" s="17" t="str">
        <f>IF(AG5782="","",INDEX('Quitados DUPP'!$G$1:$G$6635,AG5782))</f>
        <v/>
      </c>
      <c r="AJ5782" s="17" t="str">
        <f t="shared" si="3"/>
        <v/>
      </c>
    </row>
    <row r="5783" spans="31:36">
      <c r="AE5783" s="15" t="str">
        <f t="shared" si="0"/>
        <v/>
      </c>
      <c r="AF5783" s="15" t="str">
        <f t="shared" si="1"/>
        <v/>
      </c>
      <c r="AG5783" s="15" t="str">
        <f>IF(OR(AF5783="",AF5783="ERRO_CHAVE"),"",IFERROR(MATCH(AF5783,'Quitados DUPP'!$U$1:$U$6635,0),""))</f>
        <v/>
      </c>
      <c r="AH5783" s="15" t="str">
        <f t="shared" si="2"/>
        <v/>
      </c>
      <c r="AI5783" s="17" t="str">
        <f>IF(AG5783="","",INDEX('Quitados DUPP'!$G$1:$G$6635,AG5783))</f>
        <v/>
      </c>
      <c r="AJ5783" s="17" t="str">
        <f t="shared" si="3"/>
        <v/>
      </c>
    </row>
    <row r="5784" spans="31:36">
      <c r="AE5784" s="15" t="str">
        <f t="shared" si="0"/>
        <v/>
      </c>
      <c r="AF5784" s="15" t="str">
        <f t="shared" si="1"/>
        <v/>
      </c>
      <c r="AG5784" s="15" t="str">
        <f>IF(OR(AF5784="",AF5784="ERRO_CHAVE"),"",IFERROR(MATCH(AF5784,'Quitados DUPP'!$U$1:$U$6635,0),""))</f>
        <v/>
      </c>
      <c r="AH5784" s="15" t="str">
        <f t="shared" si="2"/>
        <v/>
      </c>
      <c r="AI5784" s="17" t="str">
        <f>IF(AG5784="","",INDEX('Quitados DUPP'!$G$1:$G$6635,AG5784))</f>
        <v/>
      </c>
      <c r="AJ5784" s="17" t="str">
        <f t="shared" si="3"/>
        <v/>
      </c>
    </row>
    <row r="5785" spans="31:36">
      <c r="AE5785" s="15" t="str">
        <f t="shared" si="0"/>
        <v/>
      </c>
      <c r="AF5785" s="15" t="str">
        <f t="shared" si="1"/>
        <v/>
      </c>
      <c r="AG5785" s="15" t="str">
        <f>IF(OR(AF5785="",AF5785="ERRO_CHAVE"),"",IFERROR(MATCH(AF5785,'Quitados DUPP'!$U$1:$U$6635,0),""))</f>
        <v/>
      </c>
      <c r="AH5785" s="15" t="str">
        <f t="shared" si="2"/>
        <v/>
      </c>
      <c r="AI5785" s="17" t="str">
        <f>IF(AG5785="","",INDEX('Quitados DUPP'!$G$1:$G$6635,AG5785))</f>
        <v/>
      </c>
      <c r="AJ5785" s="17" t="str">
        <f t="shared" si="3"/>
        <v/>
      </c>
    </row>
    <row r="5786" spans="31:36">
      <c r="AE5786" s="15" t="str">
        <f t="shared" si="0"/>
        <v/>
      </c>
      <c r="AF5786" s="15" t="str">
        <f t="shared" si="1"/>
        <v/>
      </c>
      <c r="AG5786" s="15" t="str">
        <f>IF(OR(AF5786="",AF5786="ERRO_CHAVE"),"",IFERROR(MATCH(AF5786,'Quitados DUPP'!$U$1:$U$6635,0),""))</f>
        <v/>
      </c>
      <c r="AH5786" s="15" t="str">
        <f t="shared" si="2"/>
        <v/>
      </c>
      <c r="AI5786" s="17" t="str">
        <f>IF(AG5786="","",INDEX('Quitados DUPP'!$G$1:$G$6635,AG5786))</f>
        <v/>
      </c>
      <c r="AJ5786" s="17" t="str">
        <f t="shared" si="3"/>
        <v/>
      </c>
    </row>
    <row r="5787" spans="31:36">
      <c r="AE5787" s="15" t="str">
        <f t="shared" si="0"/>
        <v/>
      </c>
      <c r="AF5787" s="15" t="str">
        <f t="shared" si="1"/>
        <v/>
      </c>
      <c r="AG5787" s="15" t="str">
        <f>IF(OR(AF5787="",AF5787="ERRO_CHAVE"),"",IFERROR(MATCH(AF5787,'Quitados DUPP'!$U$1:$U$6635,0),""))</f>
        <v/>
      </c>
      <c r="AH5787" s="15" t="str">
        <f t="shared" si="2"/>
        <v/>
      </c>
      <c r="AI5787" s="17" t="str">
        <f>IF(AG5787="","",INDEX('Quitados DUPP'!$G$1:$G$6635,AG5787))</f>
        <v/>
      </c>
      <c r="AJ5787" s="17" t="str">
        <f t="shared" si="3"/>
        <v/>
      </c>
    </row>
    <row r="5788" spans="31:36">
      <c r="AE5788" s="15" t="str">
        <f t="shared" si="0"/>
        <v/>
      </c>
      <c r="AF5788" s="15" t="str">
        <f t="shared" si="1"/>
        <v/>
      </c>
      <c r="AG5788" s="15" t="str">
        <f>IF(OR(AF5788="",AF5788="ERRO_CHAVE"),"",IFERROR(MATCH(AF5788,'Quitados DUPP'!$U$1:$U$6635,0),""))</f>
        <v/>
      </c>
      <c r="AH5788" s="15" t="str">
        <f t="shared" si="2"/>
        <v/>
      </c>
      <c r="AI5788" s="17" t="str">
        <f>IF(AG5788="","",INDEX('Quitados DUPP'!$G$1:$G$6635,AG5788))</f>
        <v/>
      </c>
      <c r="AJ5788" s="17" t="str">
        <f t="shared" si="3"/>
        <v/>
      </c>
    </row>
    <row r="5789" spans="31:36">
      <c r="AE5789" s="15" t="str">
        <f t="shared" si="0"/>
        <v/>
      </c>
      <c r="AF5789" s="15" t="str">
        <f t="shared" si="1"/>
        <v/>
      </c>
      <c r="AG5789" s="15" t="str">
        <f>IF(OR(AF5789="",AF5789="ERRO_CHAVE"),"",IFERROR(MATCH(AF5789,'Quitados DUPP'!$U$1:$U$6635,0),""))</f>
        <v/>
      </c>
      <c r="AH5789" s="15" t="str">
        <f t="shared" si="2"/>
        <v/>
      </c>
      <c r="AI5789" s="17" t="str">
        <f>IF(AG5789="","",INDEX('Quitados DUPP'!$G$1:$G$6635,AG5789))</f>
        <v/>
      </c>
      <c r="AJ5789" s="17" t="str">
        <f t="shared" si="3"/>
        <v/>
      </c>
    </row>
    <row r="5790" spans="31:36">
      <c r="AE5790" s="15" t="str">
        <f t="shared" si="0"/>
        <v/>
      </c>
      <c r="AF5790" s="15" t="str">
        <f t="shared" si="1"/>
        <v/>
      </c>
      <c r="AG5790" s="15" t="str">
        <f>IF(OR(AF5790="",AF5790="ERRO_CHAVE"),"",IFERROR(MATCH(AF5790,'Quitados DUPP'!$U$1:$U$6635,0),""))</f>
        <v/>
      </c>
      <c r="AH5790" s="15" t="str">
        <f t="shared" si="2"/>
        <v/>
      </c>
      <c r="AI5790" s="17" t="str">
        <f>IF(AG5790="","",INDEX('Quitados DUPP'!$G$1:$G$6635,AG5790))</f>
        <v/>
      </c>
      <c r="AJ5790" s="17" t="str">
        <f t="shared" si="3"/>
        <v/>
      </c>
    </row>
    <row r="5791" spans="31:36">
      <c r="AE5791" s="15" t="str">
        <f t="shared" si="0"/>
        <v/>
      </c>
      <c r="AF5791" s="15" t="str">
        <f t="shared" si="1"/>
        <v/>
      </c>
      <c r="AG5791" s="15" t="str">
        <f>IF(OR(AF5791="",AF5791="ERRO_CHAVE"),"",IFERROR(MATCH(AF5791,'Quitados DUPP'!$U$1:$U$6635,0),""))</f>
        <v/>
      </c>
      <c r="AH5791" s="15" t="str">
        <f t="shared" si="2"/>
        <v/>
      </c>
      <c r="AI5791" s="17" t="str">
        <f>IF(AG5791="","",INDEX('Quitados DUPP'!$G$1:$G$6635,AG5791))</f>
        <v/>
      </c>
      <c r="AJ5791" s="17" t="str">
        <f t="shared" si="3"/>
        <v/>
      </c>
    </row>
    <row r="5792" spans="31:36">
      <c r="AE5792" s="15" t="str">
        <f t="shared" si="0"/>
        <v/>
      </c>
      <c r="AF5792" s="15" t="str">
        <f t="shared" si="1"/>
        <v/>
      </c>
      <c r="AG5792" s="15" t="str">
        <f>IF(OR(AF5792="",AF5792="ERRO_CHAVE"),"",IFERROR(MATCH(AF5792,'Quitados DUPP'!$U$1:$U$6635,0),""))</f>
        <v/>
      </c>
      <c r="AH5792" s="15" t="str">
        <f t="shared" si="2"/>
        <v/>
      </c>
      <c r="AI5792" s="17" t="str">
        <f>IF(AG5792="","",INDEX('Quitados DUPP'!$G$1:$G$6635,AG5792))</f>
        <v/>
      </c>
      <c r="AJ5792" s="17" t="str">
        <f t="shared" si="3"/>
        <v/>
      </c>
    </row>
    <row r="5793" spans="31:36">
      <c r="AE5793" s="15" t="str">
        <f t="shared" si="0"/>
        <v/>
      </c>
      <c r="AF5793" s="15" t="str">
        <f t="shared" si="1"/>
        <v/>
      </c>
      <c r="AG5793" s="15" t="str">
        <f>IF(OR(AF5793="",AF5793="ERRO_CHAVE"),"",IFERROR(MATCH(AF5793,'Quitados DUPP'!$U$1:$U$6635,0),""))</f>
        <v/>
      </c>
      <c r="AH5793" s="15" t="str">
        <f t="shared" si="2"/>
        <v/>
      </c>
      <c r="AI5793" s="17" t="str">
        <f>IF(AG5793="","",INDEX('Quitados DUPP'!$G$1:$G$6635,AG5793))</f>
        <v/>
      </c>
      <c r="AJ5793" s="17" t="str">
        <f t="shared" si="3"/>
        <v/>
      </c>
    </row>
    <row r="5794" spans="31:36">
      <c r="AE5794" s="15" t="str">
        <f t="shared" si="0"/>
        <v/>
      </c>
      <c r="AF5794" s="15" t="str">
        <f t="shared" si="1"/>
        <v/>
      </c>
      <c r="AG5794" s="15" t="str">
        <f>IF(OR(AF5794="",AF5794="ERRO_CHAVE"),"",IFERROR(MATCH(AF5794,'Quitados DUPP'!$U$1:$U$6635,0),""))</f>
        <v/>
      </c>
      <c r="AH5794" s="15" t="str">
        <f t="shared" si="2"/>
        <v/>
      </c>
      <c r="AI5794" s="17" t="str">
        <f>IF(AG5794="","",INDEX('Quitados DUPP'!$G$1:$G$6635,AG5794))</f>
        <v/>
      </c>
      <c r="AJ5794" s="17" t="str">
        <f t="shared" si="3"/>
        <v/>
      </c>
    </row>
    <row r="5795" spans="31:36">
      <c r="AE5795" s="15" t="str">
        <f t="shared" si="0"/>
        <v/>
      </c>
      <c r="AF5795" s="15" t="str">
        <f t="shared" si="1"/>
        <v/>
      </c>
      <c r="AG5795" s="15" t="str">
        <f>IF(OR(AF5795="",AF5795="ERRO_CHAVE"),"",IFERROR(MATCH(AF5795,'Quitados DUPP'!$U$1:$U$6635,0),""))</f>
        <v/>
      </c>
      <c r="AH5795" s="15" t="str">
        <f t="shared" si="2"/>
        <v/>
      </c>
      <c r="AI5795" s="17" t="str">
        <f>IF(AG5795="","",INDEX('Quitados DUPP'!$G$1:$G$6635,AG5795))</f>
        <v/>
      </c>
      <c r="AJ5795" s="17" t="str">
        <f t="shared" si="3"/>
        <v/>
      </c>
    </row>
    <row r="5796" spans="31:36">
      <c r="AE5796" s="15" t="str">
        <f t="shared" si="0"/>
        <v/>
      </c>
      <c r="AF5796" s="15" t="str">
        <f t="shared" si="1"/>
        <v/>
      </c>
      <c r="AG5796" s="15" t="str">
        <f>IF(OR(AF5796="",AF5796="ERRO_CHAVE"),"",IFERROR(MATCH(AF5796,'Quitados DUPP'!$U$1:$U$6635,0),""))</f>
        <v/>
      </c>
      <c r="AH5796" s="15" t="str">
        <f t="shared" si="2"/>
        <v/>
      </c>
      <c r="AI5796" s="17" t="str">
        <f>IF(AG5796="","",INDEX('Quitados DUPP'!$G$1:$G$6635,AG5796))</f>
        <v/>
      </c>
      <c r="AJ5796" s="17" t="str">
        <f t="shared" si="3"/>
        <v/>
      </c>
    </row>
    <row r="5797" spans="31:36">
      <c r="AE5797" s="15" t="str">
        <f t="shared" si="0"/>
        <v/>
      </c>
      <c r="AF5797" s="15" t="str">
        <f t="shared" si="1"/>
        <v/>
      </c>
      <c r="AG5797" s="15" t="str">
        <f>IF(OR(AF5797="",AF5797="ERRO_CHAVE"),"",IFERROR(MATCH(AF5797,'Quitados DUPP'!$U$1:$U$6635,0),""))</f>
        <v/>
      </c>
      <c r="AH5797" s="15" t="str">
        <f t="shared" si="2"/>
        <v/>
      </c>
      <c r="AI5797" s="17" t="str">
        <f>IF(AG5797="","",INDEX('Quitados DUPP'!$G$1:$G$6635,AG5797))</f>
        <v/>
      </c>
      <c r="AJ5797" s="17" t="str">
        <f t="shared" si="3"/>
        <v/>
      </c>
    </row>
    <row r="5798" spans="31:36">
      <c r="AE5798" s="15" t="str">
        <f t="shared" si="0"/>
        <v/>
      </c>
      <c r="AF5798" s="15" t="str">
        <f t="shared" si="1"/>
        <v/>
      </c>
      <c r="AG5798" s="15" t="str">
        <f>IF(OR(AF5798="",AF5798="ERRO_CHAVE"),"",IFERROR(MATCH(AF5798,'Quitados DUPP'!$U$1:$U$6635,0),""))</f>
        <v/>
      </c>
      <c r="AH5798" s="15" t="str">
        <f t="shared" si="2"/>
        <v/>
      </c>
      <c r="AI5798" s="17" t="str">
        <f>IF(AG5798="","",INDEX('Quitados DUPP'!$G$1:$G$6635,AG5798))</f>
        <v/>
      </c>
      <c r="AJ5798" s="17" t="str">
        <f t="shared" si="3"/>
        <v/>
      </c>
    </row>
    <row r="5799" spans="31:36">
      <c r="AE5799" s="15" t="str">
        <f t="shared" si="0"/>
        <v/>
      </c>
      <c r="AF5799" s="15" t="str">
        <f t="shared" si="1"/>
        <v/>
      </c>
      <c r="AG5799" s="15" t="str">
        <f>IF(OR(AF5799="",AF5799="ERRO_CHAVE"),"",IFERROR(MATCH(AF5799,'Quitados DUPP'!$U$1:$U$6635,0),""))</f>
        <v/>
      </c>
      <c r="AH5799" s="15" t="str">
        <f t="shared" si="2"/>
        <v/>
      </c>
      <c r="AI5799" s="17" t="str">
        <f>IF(AG5799="","",INDEX('Quitados DUPP'!$G$1:$G$6635,AG5799))</f>
        <v/>
      </c>
      <c r="AJ5799" s="17" t="str">
        <f t="shared" si="3"/>
        <v/>
      </c>
    </row>
    <row r="5800" spans="31:36">
      <c r="AE5800" s="15" t="str">
        <f t="shared" si="0"/>
        <v/>
      </c>
      <c r="AF5800" s="15" t="str">
        <f t="shared" si="1"/>
        <v/>
      </c>
      <c r="AG5800" s="15" t="str">
        <f>IF(OR(AF5800="",AF5800="ERRO_CHAVE"),"",IFERROR(MATCH(AF5800,'Quitados DUPP'!$U$1:$U$6635,0),""))</f>
        <v/>
      </c>
      <c r="AH5800" s="15" t="str">
        <f t="shared" si="2"/>
        <v/>
      </c>
      <c r="AI5800" s="17" t="str">
        <f>IF(AG5800="","",INDEX('Quitados DUPP'!$G$1:$G$6635,AG5800))</f>
        <v/>
      </c>
      <c r="AJ5800" s="17" t="str">
        <f t="shared" si="3"/>
        <v/>
      </c>
    </row>
    <row r="5801" spans="31:36">
      <c r="AE5801" s="15" t="str">
        <f t="shared" si="0"/>
        <v/>
      </c>
      <c r="AF5801" s="15" t="str">
        <f t="shared" si="1"/>
        <v/>
      </c>
      <c r="AG5801" s="15" t="str">
        <f>IF(OR(AF5801="",AF5801="ERRO_CHAVE"),"",IFERROR(MATCH(AF5801,'Quitados DUPP'!$U$1:$U$6635,0),""))</f>
        <v/>
      </c>
      <c r="AH5801" s="15" t="str">
        <f t="shared" si="2"/>
        <v/>
      </c>
      <c r="AI5801" s="17" t="str">
        <f>IF(AG5801="","",INDEX('Quitados DUPP'!$G$1:$G$6635,AG5801))</f>
        <v/>
      </c>
      <c r="AJ5801" s="17" t="str">
        <f t="shared" si="3"/>
        <v/>
      </c>
    </row>
    <row r="5802" spans="31:36">
      <c r="AE5802" s="15" t="str">
        <f t="shared" si="0"/>
        <v/>
      </c>
      <c r="AF5802" s="15" t="str">
        <f t="shared" si="1"/>
        <v/>
      </c>
      <c r="AG5802" s="15" t="str">
        <f>IF(OR(AF5802="",AF5802="ERRO_CHAVE"),"",IFERROR(MATCH(AF5802,'Quitados DUPP'!$U$1:$U$6635,0),""))</f>
        <v/>
      </c>
      <c r="AH5802" s="15" t="str">
        <f t="shared" si="2"/>
        <v/>
      </c>
      <c r="AI5802" s="17" t="str">
        <f>IF(AG5802="","",INDEX('Quitados DUPP'!$G$1:$G$6635,AG5802))</f>
        <v/>
      </c>
      <c r="AJ5802" s="17" t="str">
        <f t="shared" si="3"/>
        <v/>
      </c>
    </row>
    <row r="5803" spans="31:36">
      <c r="AE5803" s="15" t="str">
        <f t="shared" si="0"/>
        <v/>
      </c>
      <c r="AF5803" s="15" t="str">
        <f t="shared" si="1"/>
        <v/>
      </c>
      <c r="AG5803" s="15" t="str">
        <f>IF(OR(AF5803="",AF5803="ERRO_CHAVE"),"",IFERROR(MATCH(AF5803,'Quitados DUPP'!$U$1:$U$6635,0),""))</f>
        <v/>
      </c>
      <c r="AH5803" s="15" t="str">
        <f t="shared" si="2"/>
        <v/>
      </c>
      <c r="AI5803" s="17" t="str">
        <f>IF(AG5803="","",INDEX('Quitados DUPP'!$G$1:$G$6635,AG5803))</f>
        <v/>
      </c>
      <c r="AJ5803" s="17" t="str">
        <f t="shared" si="3"/>
        <v/>
      </c>
    </row>
    <row r="5804" spans="31:36">
      <c r="AE5804" s="15" t="str">
        <f t="shared" si="0"/>
        <v/>
      </c>
      <c r="AF5804" s="15" t="str">
        <f t="shared" si="1"/>
        <v/>
      </c>
      <c r="AG5804" s="15" t="str">
        <f>IF(OR(AF5804="",AF5804="ERRO_CHAVE"),"",IFERROR(MATCH(AF5804,'Quitados DUPP'!$U$1:$U$6635,0),""))</f>
        <v/>
      </c>
      <c r="AH5804" s="15" t="str">
        <f t="shared" si="2"/>
        <v/>
      </c>
      <c r="AI5804" s="17" t="str">
        <f>IF(AG5804="","",INDEX('Quitados DUPP'!$G$1:$G$6635,AG5804))</f>
        <v/>
      </c>
      <c r="AJ5804" s="17" t="str">
        <f t="shared" si="3"/>
        <v/>
      </c>
    </row>
    <row r="5805" spans="31:36">
      <c r="AE5805" s="15" t="str">
        <f t="shared" si="0"/>
        <v/>
      </c>
      <c r="AF5805" s="15" t="str">
        <f t="shared" si="1"/>
        <v/>
      </c>
      <c r="AG5805" s="15" t="str">
        <f>IF(OR(AF5805="",AF5805="ERRO_CHAVE"),"",IFERROR(MATCH(AF5805,'Quitados DUPP'!$U$1:$U$6635,0),""))</f>
        <v/>
      </c>
      <c r="AH5805" s="15" t="str">
        <f t="shared" si="2"/>
        <v/>
      </c>
      <c r="AI5805" s="17" t="str">
        <f>IF(AG5805="","",INDEX('Quitados DUPP'!$G$1:$G$6635,AG5805))</f>
        <v/>
      </c>
      <c r="AJ5805" s="17" t="str">
        <f t="shared" si="3"/>
        <v/>
      </c>
    </row>
    <row r="5806" spans="31:36">
      <c r="AE5806" s="15" t="str">
        <f t="shared" si="0"/>
        <v/>
      </c>
      <c r="AF5806" s="15" t="str">
        <f t="shared" si="1"/>
        <v/>
      </c>
      <c r="AG5806" s="15" t="str">
        <f>IF(OR(AF5806="",AF5806="ERRO_CHAVE"),"",IFERROR(MATCH(AF5806,'Quitados DUPP'!$U$1:$U$6635,0),""))</f>
        <v/>
      </c>
      <c r="AH5806" s="15" t="str">
        <f t="shared" si="2"/>
        <v/>
      </c>
      <c r="AI5806" s="17" t="str">
        <f>IF(AG5806="","",INDEX('Quitados DUPP'!$G$1:$G$6635,AG5806))</f>
        <v/>
      </c>
      <c r="AJ5806" s="17" t="str">
        <f t="shared" si="3"/>
        <v/>
      </c>
    </row>
    <row r="5807" spans="31:36">
      <c r="AE5807" s="15" t="str">
        <f t="shared" si="0"/>
        <v/>
      </c>
      <c r="AF5807" s="15" t="str">
        <f t="shared" si="1"/>
        <v/>
      </c>
      <c r="AG5807" s="15" t="str">
        <f>IF(OR(AF5807="",AF5807="ERRO_CHAVE"),"",IFERROR(MATCH(AF5807,'Quitados DUPP'!$U$1:$U$6635,0),""))</f>
        <v/>
      </c>
      <c r="AH5807" s="15" t="str">
        <f t="shared" si="2"/>
        <v/>
      </c>
      <c r="AI5807" s="17" t="str">
        <f>IF(AG5807="","",INDEX('Quitados DUPP'!$G$1:$G$6635,AG5807))</f>
        <v/>
      </c>
      <c r="AJ5807" s="17" t="str">
        <f t="shared" si="3"/>
        <v/>
      </c>
    </row>
    <row r="5808" spans="31:36">
      <c r="AE5808" s="15" t="str">
        <f t="shared" si="0"/>
        <v/>
      </c>
      <c r="AF5808" s="15" t="str">
        <f t="shared" si="1"/>
        <v/>
      </c>
      <c r="AG5808" s="15" t="str">
        <f>IF(OR(AF5808="",AF5808="ERRO_CHAVE"),"",IFERROR(MATCH(AF5808,'Quitados DUPP'!$U$1:$U$6635,0),""))</f>
        <v/>
      </c>
      <c r="AH5808" s="15" t="str">
        <f t="shared" si="2"/>
        <v/>
      </c>
      <c r="AI5808" s="17" t="str">
        <f>IF(AG5808="","",INDEX('Quitados DUPP'!$G$1:$G$6635,AG5808))</f>
        <v/>
      </c>
      <c r="AJ5808" s="17" t="str">
        <f t="shared" si="3"/>
        <v/>
      </c>
    </row>
    <row r="5809" spans="31:36">
      <c r="AE5809" s="15" t="str">
        <f t="shared" si="0"/>
        <v/>
      </c>
      <c r="AF5809" s="15" t="str">
        <f t="shared" si="1"/>
        <v/>
      </c>
      <c r="AG5809" s="15" t="str">
        <f>IF(OR(AF5809="",AF5809="ERRO_CHAVE"),"",IFERROR(MATCH(AF5809,'Quitados DUPP'!$U$1:$U$6635,0),""))</f>
        <v/>
      </c>
      <c r="AH5809" s="15" t="str">
        <f t="shared" si="2"/>
        <v/>
      </c>
      <c r="AI5809" s="17" t="str">
        <f>IF(AG5809="","",INDEX('Quitados DUPP'!$G$1:$G$6635,AG5809))</f>
        <v/>
      </c>
      <c r="AJ5809" s="17" t="str">
        <f t="shared" si="3"/>
        <v/>
      </c>
    </row>
    <row r="5810" spans="31:36">
      <c r="AE5810" s="15" t="str">
        <f t="shared" si="0"/>
        <v/>
      </c>
      <c r="AF5810" s="15" t="str">
        <f t="shared" si="1"/>
        <v/>
      </c>
      <c r="AG5810" s="15" t="str">
        <f>IF(OR(AF5810="",AF5810="ERRO_CHAVE"),"",IFERROR(MATCH(AF5810,'Quitados DUPP'!$U$1:$U$6635,0),""))</f>
        <v/>
      </c>
      <c r="AH5810" s="15" t="str">
        <f t="shared" si="2"/>
        <v/>
      </c>
      <c r="AI5810" s="17" t="str">
        <f>IF(AG5810="","",INDEX('Quitados DUPP'!$G$1:$G$6635,AG5810))</f>
        <v/>
      </c>
      <c r="AJ5810" s="17" t="str">
        <f t="shared" si="3"/>
        <v/>
      </c>
    </row>
    <row r="5811" spans="31:36">
      <c r="AE5811" s="15" t="str">
        <f t="shared" si="0"/>
        <v/>
      </c>
      <c r="AF5811" s="15" t="str">
        <f t="shared" si="1"/>
        <v/>
      </c>
      <c r="AG5811" s="15" t="str">
        <f>IF(OR(AF5811="",AF5811="ERRO_CHAVE"),"",IFERROR(MATCH(AF5811,'Quitados DUPP'!$U$1:$U$6635,0),""))</f>
        <v/>
      </c>
      <c r="AH5811" s="15" t="str">
        <f t="shared" si="2"/>
        <v/>
      </c>
      <c r="AI5811" s="17" t="str">
        <f>IF(AG5811="","",INDEX('Quitados DUPP'!$G$1:$G$6635,AG5811))</f>
        <v/>
      </c>
      <c r="AJ5811" s="17" t="str">
        <f t="shared" si="3"/>
        <v/>
      </c>
    </row>
    <row r="5812" spans="31:36">
      <c r="AE5812" s="15" t="str">
        <f t="shared" si="0"/>
        <v/>
      </c>
      <c r="AF5812" s="15" t="str">
        <f t="shared" si="1"/>
        <v/>
      </c>
      <c r="AG5812" s="15" t="str">
        <f>IF(OR(AF5812="",AF5812="ERRO_CHAVE"),"",IFERROR(MATCH(AF5812,'Quitados DUPP'!$U$1:$U$6635,0),""))</f>
        <v/>
      </c>
      <c r="AH5812" s="15" t="str">
        <f t="shared" si="2"/>
        <v/>
      </c>
      <c r="AI5812" s="17" t="str">
        <f>IF(AG5812="","",INDEX('Quitados DUPP'!$G$1:$G$6635,AG5812))</f>
        <v/>
      </c>
      <c r="AJ5812" s="17" t="str">
        <f t="shared" si="3"/>
        <v/>
      </c>
    </row>
    <row r="5813" spans="31:36">
      <c r="AE5813" s="15" t="str">
        <f t="shared" si="0"/>
        <v/>
      </c>
      <c r="AF5813" s="15" t="str">
        <f t="shared" si="1"/>
        <v/>
      </c>
      <c r="AG5813" s="15" t="str">
        <f>IF(OR(AF5813="",AF5813="ERRO_CHAVE"),"",IFERROR(MATCH(AF5813,'Quitados DUPP'!$U$1:$U$6635,0),""))</f>
        <v/>
      </c>
      <c r="AH5813" s="15" t="str">
        <f t="shared" si="2"/>
        <v/>
      </c>
      <c r="AI5813" s="17" t="str">
        <f>IF(AG5813="","",INDEX('Quitados DUPP'!$G$1:$G$6635,AG5813))</f>
        <v/>
      </c>
      <c r="AJ5813" s="17" t="str">
        <f t="shared" si="3"/>
        <v/>
      </c>
    </row>
    <row r="5814" spans="31:36">
      <c r="AE5814" s="15" t="str">
        <f t="shared" si="0"/>
        <v/>
      </c>
      <c r="AF5814" s="15" t="str">
        <f t="shared" si="1"/>
        <v/>
      </c>
      <c r="AG5814" s="15" t="str">
        <f>IF(OR(AF5814="",AF5814="ERRO_CHAVE"),"",IFERROR(MATCH(AF5814,'Quitados DUPP'!$U$1:$U$6635,0),""))</f>
        <v/>
      </c>
      <c r="AH5814" s="15" t="str">
        <f t="shared" si="2"/>
        <v/>
      </c>
      <c r="AI5814" s="17" t="str">
        <f>IF(AG5814="","",INDEX('Quitados DUPP'!$G$1:$G$6635,AG5814))</f>
        <v/>
      </c>
      <c r="AJ5814" s="17" t="str">
        <f t="shared" si="3"/>
        <v/>
      </c>
    </row>
    <row r="5815" spans="31:36">
      <c r="AE5815" s="15" t="str">
        <f t="shared" si="0"/>
        <v/>
      </c>
      <c r="AF5815" s="15" t="str">
        <f t="shared" si="1"/>
        <v/>
      </c>
      <c r="AG5815" s="15" t="str">
        <f>IF(OR(AF5815="",AF5815="ERRO_CHAVE"),"",IFERROR(MATCH(AF5815,'Quitados DUPP'!$U$1:$U$6635,0),""))</f>
        <v/>
      </c>
      <c r="AH5815" s="15" t="str">
        <f t="shared" si="2"/>
        <v/>
      </c>
      <c r="AI5815" s="17" t="str">
        <f>IF(AG5815="","",INDEX('Quitados DUPP'!$G$1:$G$6635,AG5815))</f>
        <v/>
      </c>
      <c r="AJ5815" s="17" t="str">
        <f t="shared" si="3"/>
        <v/>
      </c>
    </row>
    <row r="5816" spans="31:36">
      <c r="AE5816" s="15" t="str">
        <f t="shared" si="0"/>
        <v/>
      </c>
      <c r="AF5816" s="15" t="str">
        <f t="shared" si="1"/>
        <v/>
      </c>
      <c r="AG5816" s="15" t="str">
        <f>IF(OR(AF5816="",AF5816="ERRO_CHAVE"),"",IFERROR(MATCH(AF5816,'Quitados DUPP'!$U$1:$U$6635,0),""))</f>
        <v/>
      </c>
      <c r="AH5816" s="15" t="str">
        <f t="shared" si="2"/>
        <v/>
      </c>
      <c r="AI5816" s="17" t="str">
        <f>IF(AG5816="","",INDEX('Quitados DUPP'!$G$1:$G$6635,AG5816))</f>
        <v/>
      </c>
      <c r="AJ5816" s="17" t="str">
        <f t="shared" si="3"/>
        <v/>
      </c>
    </row>
    <row r="5817" spans="31:36">
      <c r="AE5817" s="15" t="str">
        <f t="shared" si="0"/>
        <v/>
      </c>
      <c r="AF5817" s="15" t="str">
        <f t="shared" si="1"/>
        <v/>
      </c>
      <c r="AG5817" s="15" t="str">
        <f>IF(OR(AF5817="",AF5817="ERRO_CHAVE"),"",IFERROR(MATCH(AF5817,'Quitados DUPP'!$U$1:$U$6635,0),""))</f>
        <v/>
      </c>
      <c r="AH5817" s="15" t="str">
        <f t="shared" si="2"/>
        <v/>
      </c>
      <c r="AI5817" s="17" t="str">
        <f>IF(AG5817="","",INDEX('Quitados DUPP'!$G$1:$G$6635,AG5817))</f>
        <v/>
      </c>
      <c r="AJ5817" s="17" t="str">
        <f t="shared" si="3"/>
        <v/>
      </c>
    </row>
    <row r="5818" spans="31:36">
      <c r="AE5818" s="15" t="str">
        <f t="shared" si="0"/>
        <v/>
      </c>
      <c r="AF5818" s="15" t="str">
        <f t="shared" si="1"/>
        <v/>
      </c>
      <c r="AG5818" s="15" t="str">
        <f>IF(OR(AF5818="",AF5818="ERRO_CHAVE"),"",IFERROR(MATCH(AF5818,'Quitados DUPP'!$U$1:$U$6635,0),""))</f>
        <v/>
      </c>
      <c r="AH5818" s="15" t="str">
        <f t="shared" si="2"/>
        <v/>
      </c>
      <c r="AI5818" s="17" t="str">
        <f>IF(AG5818="","",INDEX('Quitados DUPP'!$G$1:$G$6635,AG5818))</f>
        <v/>
      </c>
      <c r="AJ5818" s="17" t="str">
        <f t="shared" si="3"/>
        <v/>
      </c>
    </row>
    <row r="5819" spans="31:36">
      <c r="AE5819" s="15" t="str">
        <f t="shared" si="0"/>
        <v/>
      </c>
      <c r="AF5819" s="15" t="str">
        <f t="shared" si="1"/>
        <v/>
      </c>
      <c r="AG5819" s="15" t="str">
        <f>IF(OR(AF5819="",AF5819="ERRO_CHAVE"),"",IFERROR(MATCH(AF5819,'Quitados DUPP'!$U$1:$U$6635,0),""))</f>
        <v/>
      </c>
      <c r="AH5819" s="15" t="str">
        <f t="shared" si="2"/>
        <v/>
      </c>
      <c r="AI5819" s="17" t="str">
        <f>IF(AG5819="","",INDEX('Quitados DUPP'!$G$1:$G$6635,AG5819))</f>
        <v/>
      </c>
      <c r="AJ5819" s="17" t="str">
        <f t="shared" si="3"/>
        <v/>
      </c>
    </row>
    <row r="5820" spans="31:36">
      <c r="AE5820" s="15" t="str">
        <f t="shared" si="0"/>
        <v/>
      </c>
      <c r="AF5820" s="15" t="str">
        <f t="shared" si="1"/>
        <v/>
      </c>
      <c r="AG5820" s="15" t="str">
        <f>IF(OR(AF5820="",AF5820="ERRO_CHAVE"),"",IFERROR(MATCH(AF5820,'Quitados DUPP'!$U$1:$U$6635,0),""))</f>
        <v/>
      </c>
      <c r="AH5820" s="15" t="str">
        <f t="shared" si="2"/>
        <v/>
      </c>
      <c r="AI5820" s="17" t="str">
        <f>IF(AG5820="","",INDEX('Quitados DUPP'!$G$1:$G$6635,AG5820))</f>
        <v/>
      </c>
      <c r="AJ5820" s="17" t="str">
        <f t="shared" si="3"/>
        <v/>
      </c>
    </row>
    <row r="5821" spans="31:36">
      <c r="AE5821" s="15" t="str">
        <f t="shared" si="0"/>
        <v/>
      </c>
      <c r="AF5821" s="15" t="str">
        <f t="shared" si="1"/>
        <v/>
      </c>
      <c r="AG5821" s="15" t="str">
        <f>IF(OR(AF5821="",AF5821="ERRO_CHAVE"),"",IFERROR(MATCH(AF5821,'Quitados DUPP'!$U$1:$U$6635,0),""))</f>
        <v/>
      </c>
      <c r="AH5821" s="15" t="str">
        <f t="shared" si="2"/>
        <v/>
      </c>
      <c r="AI5821" s="17" t="str">
        <f>IF(AG5821="","",INDEX('Quitados DUPP'!$G$1:$G$6635,AG5821))</f>
        <v/>
      </c>
      <c r="AJ5821" s="17" t="str">
        <f t="shared" si="3"/>
        <v/>
      </c>
    </row>
    <row r="5822" spans="31:36">
      <c r="AE5822" s="15" t="str">
        <f t="shared" si="0"/>
        <v/>
      </c>
      <c r="AF5822" s="15" t="str">
        <f t="shared" si="1"/>
        <v/>
      </c>
      <c r="AG5822" s="15" t="str">
        <f>IF(OR(AF5822="",AF5822="ERRO_CHAVE"),"",IFERROR(MATCH(AF5822,'Quitados DUPP'!$U$1:$U$6635,0),""))</f>
        <v/>
      </c>
      <c r="AH5822" s="15" t="str">
        <f t="shared" si="2"/>
        <v/>
      </c>
      <c r="AI5822" s="17" t="str">
        <f>IF(AG5822="","",INDEX('Quitados DUPP'!$G$1:$G$6635,AG5822))</f>
        <v/>
      </c>
      <c r="AJ5822" s="17" t="str">
        <f t="shared" si="3"/>
        <v/>
      </c>
    </row>
    <row r="5823" spans="31:36">
      <c r="AE5823" s="15" t="str">
        <f t="shared" si="0"/>
        <v/>
      </c>
      <c r="AF5823" s="15" t="str">
        <f t="shared" si="1"/>
        <v/>
      </c>
      <c r="AG5823" s="15" t="str">
        <f>IF(OR(AF5823="",AF5823="ERRO_CHAVE"),"",IFERROR(MATCH(AF5823,'Quitados DUPP'!$U$1:$U$6635,0),""))</f>
        <v/>
      </c>
      <c r="AH5823" s="15" t="str">
        <f t="shared" si="2"/>
        <v/>
      </c>
      <c r="AI5823" s="17" t="str">
        <f>IF(AG5823="","",INDEX('Quitados DUPP'!$G$1:$G$6635,AG5823))</f>
        <v/>
      </c>
      <c r="AJ5823" s="17" t="str">
        <f t="shared" si="3"/>
        <v/>
      </c>
    </row>
    <row r="5824" spans="31:36">
      <c r="AE5824" s="15" t="str">
        <f t="shared" si="0"/>
        <v/>
      </c>
      <c r="AF5824" s="15" t="str">
        <f t="shared" si="1"/>
        <v/>
      </c>
      <c r="AG5824" s="15" t="str">
        <f>IF(OR(AF5824="",AF5824="ERRO_CHAVE"),"",IFERROR(MATCH(AF5824,'Quitados DUPP'!$U$1:$U$6635,0),""))</f>
        <v/>
      </c>
      <c r="AH5824" s="15" t="str">
        <f t="shared" si="2"/>
        <v/>
      </c>
      <c r="AI5824" s="17" t="str">
        <f>IF(AG5824="","",INDEX('Quitados DUPP'!$G$1:$G$6635,AG5824))</f>
        <v/>
      </c>
      <c r="AJ5824" s="17" t="str">
        <f t="shared" si="3"/>
        <v/>
      </c>
    </row>
    <row r="5825" spans="31:36">
      <c r="AE5825" s="15" t="str">
        <f t="shared" si="0"/>
        <v/>
      </c>
      <c r="AF5825" s="15" t="str">
        <f t="shared" si="1"/>
        <v/>
      </c>
      <c r="AG5825" s="15" t="str">
        <f>IF(OR(AF5825="",AF5825="ERRO_CHAVE"),"",IFERROR(MATCH(AF5825,'Quitados DUPP'!$U$1:$U$6635,0),""))</f>
        <v/>
      </c>
      <c r="AH5825" s="15" t="str">
        <f t="shared" si="2"/>
        <v/>
      </c>
      <c r="AI5825" s="17" t="str">
        <f>IF(AG5825="","",INDEX('Quitados DUPP'!$G$1:$G$6635,AG5825))</f>
        <v/>
      </c>
      <c r="AJ5825" s="17" t="str">
        <f t="shared" si="3"/>
        <v/>
      </c>
    </row>
    <row r="5826" spans="31:36">
      <c r="AE5826" s="15" t="str">
        <f t="shared" si="0"/>
        <v/>
      </c>
      <c r="AF5826" s="15" t="str">
        <f t="shared" si="1"/>
        <v/>
      </c>
      <c r="AG5826" s="15" t="str">
        <f>IF(OR(AF5826="",AF5826="ERRO_CHAVE"),"",IFERROR(MATCH(AF5826,'Quitados DUPP'!$U$1:$U$6635,0),""))</f>
        <v/>
      </c>
      <c r="AH5826" s="15" t="str">
        <f t="shared" si="2"/>
        <v/>
      </c>
      <c r="AI5826" s="17" t="str">
        <f>IF(AG5826="","",INDEX('Quitados DUPP'!$G$1:$G$6635,AG5826))</f>
        <v/>
      </c>
      <c r="AJ5826" s="17" t="str">
        <f t="shared" si="3"/>
        <v/>
      </c>
    </row>
    <row r="5827" spans="31:36">
      <c r="AE5827" s="15" t="str">
        <f t="shared" si="0"/>
        <v/>
      </c>
      <c r="AF5827" s="15" t="str">
        <f t="shared" si="1"/>
        <v/>
      </c>
      <c r="AG5827" s="15" t="str">
        <f>IF(OR(AF5827="",AF5827="ERRO_CHAVE"),"",IFERROR(MATCH(AF5827,'Quitados DUPP'!$U$1:$U$6635,0),""))</f>
        <v/>
      </c>
      <c r="AH5827" s="15" t="str">
        <f t="shared" si="2"/>
        <v/>
      </c>
      <c r="AI5827" s="17" t="str">
        <f>IF(AG5827="","",INDEX('Quitados DUPP'!$G$1:$G$6635,AG5827))</f>
        <v/>
      </c>
      <c r="AJ5827" s="17" t="str">
        <f t="shared" si="3"/>
        <v/>
      </c>
    </row>
    <row r="5828" spans="31:36">
      <c r="AE5828" s="15" t="str">
        <f t="shared" si="0"/>
        <v/>
      </c>
      <c r="AF5828" s="15" t="str">
        <f t="shared" si="1"/>
        <v/>
      </c>
      <c r="AG5828" s="15" t="str">
        <f>IF(OR(AF5828="",AF5828="ERRO_CHAVE"),"",IFERROR(MATCH(AF5828,'Quitados DUPP'!$U$1:$U$6635,0),""))</f>
        <v/>
      </c>
      <c r="AH5828" s="15" t="str">
        <f t="shared" si="2"/>
        <v/>
      </c>
      <c r="AI5828" s="17" t="str">
        <f>IF(AG5828="","",INDEX('Quitados DUPP'!$G$1:$G$6635,AG5828))</f>
        <v/>
      </c>
      <c r="AJ5828" s="17" t="str">
        <f t="shared" si="3"/>
        <v/>
      </c>
    </row>
    <row r="5829" spans="31:36">
      <c r="AE5829" s="15" t="str">
        <f t="shared" si="0"/>
        <v/>
      </c>
      <c r="AF5829" s="15" t="str">
        <f t="shared" si="1"/>
        <v/>
      </c>
      <c r="AG5829" s="15" t="str">
        <f>IF(OR(AF5829="",AF5829="ERRO_CHAVE"),"",IFERROR(MATCH(AF5829,'Quitados DUPP'!$U$1:$U$6635,0),""))</f>
        <v/>
      </c>
      <c r="AH5829" s="15" t="str">
        <f t="shared" si="2"/>
        <v/>
      </c>
      <c r="AI5829" s="17" t="str">
        <f>IF(AG5829="","",INDEX('Quitados DUPP'!$G$1:$G$6635,AG5829))</f>
        <v/>
      </c>
      <c r="AJ5829" s="17" t="str">
        <f t="shared" si="3"/>
        <v/>
      </c>
    </row>
    <row r="5830" spans="31:36">
      <c r="AE5830" s="15" t="str">
        <f t="shared" si="0"/>
        <v/>
      </c>
      <c r="AF5830" s="15" t="str">
        <f t="shared" si="1"/>
        <v/>
      </c>
      <c r="AG5830" s="15" t="str">
        <f>IF(OR(AF5830="",AF5830="ERRO_CHAVE"),"",IFERROR(MATCH(AF5830,'Quitados DUPP'!$U$1:$U$6635,0),""))</f>
        <v/>
      </c>
      <c r="AH5830" s="15" t="str">
        <f t="shared" si="2"/>
        <v/>
      </c>
      <c r="AI5830" s="17" t="str">
        <f>IF(AG5830="","",INDEX('Quitados DUPP'!$G$1:$G$6635,AG5830))</f>
        <v/>
      </c>
      <c r="AJ5830" s="17" t="str">
        <f t="shared" si="3"/>
        <v/>
      </c>
    </row>
    <row r="5831" spans="31:36">
      <c r="AE5831" s="15" t="str">
        <f t="shared" si="0"/>
        <v/>
      </c>
      <c r="AF5831" s="15" t="str">
        <f t="shared" si="1"/>
        <v/>
      </c>
      <c r="AG5831" s="15" t="str">
        <f>IF(OR(AF5831="",AF5831="ERRO_CHAVE"),"",IFERROR(MATCH(AF5831,'Quitados DUPP'!$U$1:$U$6635,0),""))</f>
        <v/>
      </c>
      <c r="AH5831" s="15" t="str">
        <f t="shared" si="2"/>
        <v/>
      </c>
      <c r="AI5831" s="17" t="str">
        <f>IF(AG5831="","",INDEX('Quitados DUPP'!$G$1:$G$6635,AG5831))</f>
        <v/>
      </c>
      <c r="AJ5831" s="17" t="str">
        <f t="shared" si="3"/>
        <v/>
      </c>
    </row>
    <row r="5832" spans="31:36">
      <c r="AE5832" s="15" t="str">
        <f t="shared" si="0"/>
        <v/>
      </c>
      <c r="AF5832" s="15" t="str">
        <f t="shared" si="1"/>
        <v/>
      </c>
      <c r="AG5832" s="15" t="str">
        <f>IF(OR(AF5832="",AF5832="ERRO_CHAVE"),"",IFERROR(MATCH(AF5832,'Quitados DUPP'!$U$1:$U$6635,0),""))</f>
        <v/>
      </c>
      <c r="AH5832" s="15" t="str">
        <f t="shared" si="2"/>
        <v/>
      </c>
      <c r="AI5832" s="17" t="str">
        <f>IF(AG5832="","",INDEX('Quitados DUPP'!$G$1:$G$6635,AG5832))</f>
        <v/>
      </c>
      <c r="AJ5832" s="17" t="str">
        <f t="shared" si="3"/>
        <v/>
      </c>
    </row>
    <row r="5833" spans="31:36">
      <c r="AE5833" s="15" t="str">
        <f t="shared" si="0"/>
        <v/>
      </c>
      <c r="AF5833" s="15" t="str">
        <f t="shared" si="1"/>
        <v/>
      </c>
      <c r="AG5833" s="15" t="str">
        <f>IF(OR(AF5833="",AF5833="ERRO_CHAVE"),"",IFERROR(MATCH(AF5833,'Quitados DUPP'!$U$1:$U$6635,0),""))</f>
        <v/>
      </c>
      <c r="AH5833" s="15" t="str">
        <f t="shared" si="2"/>
        <v/>
      </c>
      <c r="AI5833" s="17" t="str">
        <f>IF(AG5833="","",INDEX('Quitados DUPP'!$G$1:$G$6635,AG5833))</f>
        <v/>
      </c>
      <c r="AJ5833" s="17" t="str">
        <f t="shared" si="3"/>
        <v/>
      </c>
    </row>
    <row r="5834" spans="31:36">
      <c r="AE5834" s="15" t="str">
        <f t="shared" si="0"/>
        <v/>
      </c>
      <c r="AF5834" s="15" t="str">
        <f t="shared" si="1"/>
        <v/>
      </c>
      <c r="AG5834" s="15" t="str">
        <f>IF(OR(AF5834="",AF5834="ERRO_CHAVE"),"",IFERROR(MATCH(AF5834,'Quitados DUPP'!$U$1:$U$6635,0),""))</f>
        <v/>
      </c>
      <c r="AH5834" s="15" t="str">
        <f t="shared" si="2"/>
        <v/>
      </c>
      <c r="AI5834" s="17" t="str">
        <f>IF(AG5834="","",INDEX('Quitados DUPP'!$G$1:$G$6635,AG5834))</f>
        <v/>
      </c>
      <c r="AJ5834" s="17" t="str">
        <f t="shared" si="3"/>
        <v/>
      </c>
    </row>
    <row r="5835" spans="31:36">
      <c r="AE5835" s="15" t="str">
        <f t="shared" si="0"/>
        <v/>
      </c>
      <c r="AF5835" s="15" t="str">
        <f t="shared" si="1"/>
        <v/>
      </c>
      <c r="AG5835" s="15" t="str">
        <f>IF(OR(AF5835="",AF5835="ERRO_CHAVE"),"",IFERROR(MATCH(AF5835,'Quitados DUPP'!$U$1:$U$6635,0),""))</f>
        <v/>
      </c>
      <c r="AH5835" s="15" t="str">
        <f t="shared" si="2"/>
        <v/>
      </c>
      <c r="AI5835" s="17" t="str">
        <f>IF(AG5835="","",INDEX('Quitados DUPP'!$G$1:$G$6635,AG5835))</f>
        <v/>
      </c>
      <c r="AJ5835" s="17" t="str">
        <f t="shared" si="3"/>
        <v/>
      </c>
    </row>
    <row r="5836" spans="31:36">
      <c r="AE5836" s="15" t="str">
        <f t="shared" si="0"/>
        <v/>
      </c>
      <c r="AF5836" s="15" t="str">
        <f t="shared" si="1"/>
        <v/>
      </c>
      <c r="AG5836" s="15" t="str">
        <f>IF(OR(AF5836="",AF5836="ERRO_CHAVE"),"",IFERROR(MATCH(AF5836,'Quitados DUPP'!$U$1:$U$6635,0),""))</f>
        <v/>
      </c>
      <c r="AH5836" s="15" t="str">
        <f t="shared" si="2"/>
        <v/>
      </c>
      <c r="AI5836" s="17" t="str">
        <f>IF(AG5836="","",INDEX('Quitados DUPP'!$G$1:$G$6635,AG5836))</f>
        <v/>
      </c>
      <c r="AJ5836" s="17" t="str">
        <f t="shared" si="3"/>
        <v/>
      </c>
    </row>
    <row r="5837" spans="31:36">
      <c r="AE5837" s="15" t="str">
        <f t="shared" si="0"/>
        <v/>
      </c>
      <c r="AF5837" s="15" t="str">
        <f t="shared" si="1"/>
        <v/>
      </c>
      <c r="AG5837" s="15" t="str">
        <f>IF(OR(AF5837="",AF5837="ERRO_CHAVE"),"",IFERROR(MATCH(AF5837,'Quitados DUPP'!$U$1:$U$6635,0),""))</f>
        <v/>
      </c>
      <c r="AH5837" s="15" t="str">
        <f t="shared" si="2"/>
        <v/>
      </c>
      <c r="AI5837" s="17" t="str">
        <f>IF(AG5837="","",INDEX('Quitados DUPP'!$G$1:$G$6635,AG5837))</f>
        <v/>
      </c>
      <c r="AJ5837" s="17" t="str">
        <f t="shared" si="3"/>
        <v/>
      </c>
    </row>
    <row r="5838" spans="31:36">
      <c r="AE5838" s="15" t="str">
        <f t="shared" si="0"/>
        <v/>
      </c>
      <c r="AF5838" s="15" t="str">
        <f t="shared" si="1"/>
        <v/>
      </c>
      <c r="AG5838" s="15" t="str">
        <f>IF(OR(AF5838="",AF5838="ERRO_CHAVE"),"",IFERROR(MATCH(AF5838,'Quitados DUPP'!$U$1:$U$6635,0),""))</f>
        <v/>
      </c>
      <c r="AH5838" s="15" t="str">
        <f t="shared" si="2"/>
        <v/>
      </c>
      <c r="AI5838" s="17" t="str">
        <f>IF(AG5838="","",INDEX('Quitados DUPP'!$G$1:$G$6635,AG5838))</f>
        <v/>
      </c>
      <c r="AJ5838" s="17" t="str">
        <f t="shared" si="3"/>
        <v/>
      </c>
    </row>
    <row r="5839" spans="31:36">
      <c r="AE5839" s="15" t="str">
        <f t="shared" si="0"/>
        <v/>
      </c>
      <c r="AF5839" s="15" t="str">
        <f t="shared" si="1"/>
        <v/>
      </c>
      <c r="AG5839" s="15" t="str">
        <f>IF(OR(AF5839="",AF5839="ERRO_CHAVE"),"",IFERROR(MATCH(AF5839,'Quitados DUPP'!$U$1:$U$6635,0),""))</f>
        <v/>
      </c>
      <c r="AH5839" s="15" t="str">
        <f t="shared" si="2"/>
        <v/>
      </c>
      <c r="AI5839" s="17" t="str">
        <f>IF(AG5839="","",INDEX('Quitados DUPP'!$G$1:$G$6635,AG5839))</f>
        <v/>
      </c>
      <c r="AJ5839" s="17" t="str">
        <f t="shared" si="3"/>
        <v/>
      </c>
    </row>
    <row r="5840" spans="31:36">
      <c r="AE5840" s="15" t="str">
        <f t="shared" si="0"/>
        <v/>
      </c>
      <c r="AF5840" s="15" t="str">
        <f t="shared" si="1"/>
        <v/>
      </c>
      <c r="AG5840" s="15" t="str">
        <f>IF(OR(AF5840="",AF5840="ERRO_CHAVE"),"",IFERROR(MATCH(AF5840,'Quitados DUPP'!$U$1:$U$6635,0),""))</f>
        <v/>
      </c>
      <c r="AH5840" s="15" t="str">
        <f t="shared" si="2"/>
        <v/>
      </c>
      <c r="AI5840" s="17" t="str">
        <f>IF(AG5840="","",INDEX('Quitados DUPP'!$G$1:$G$6635,AG5840))</f>
        <v/>
      </c>
      <c r="AJ5840" s="17" t="str">
        <f t="shared" si="3"/>
        <v/>
      </c>
    </row>
    <row r="5841" spans="31:36">
      <c r="AE5841" s="15" t="str">
        <f t="shared" si="0"/>
        <v/>
      </c>
      <c r="AF5841" s="15" t="str">
        <f t="shared" si="1"/>
        <v/>
      </c>
      <c r="AG5841" s="15" t="str">
        <f>IF(OR(AF5841="",AF5841="ERRO_CHAVE"),"",IFERROR(MATCH(AF5841,'Quitados DUPP'!$U$1:$U$6635,0),""))</f>
        <v/>
      </c>
      <c r="AH5841" s="15" t="str">
        <f t="shared" si="2"/>
        <v/>
      </c>
      <c r="AI5841" s="17" t="str">
        <f>IF(AG5841="","",INDEX('Quitados DUPP'!$G$1:$G$6635,AG5841))</f>
        <v/>
      </c>
      <c r="AJ5841" s="17" t="str">
        <f t="shared" si="3"/>
        <v/>
      </c>
    </row>
    <row r="5842" spans="31:36">
      <c r="AE5842" s="15" t="str">
        <f t="shared" si="0"/>
        <v/>
      </c>
      <c r="AF5842" s="15" t="str">
        <f t="shared" si="1"/>
        <v/>
      </c>
      <c r="AG5842" s="15" t="str">
        <f>IF(OR(AF5842="",AF5842="ERRO_CHAVE"),"",IFERROR(MATCH(AF5842,'Quitados DUPP'!$U$1:$U$6635,0),""))</f>
        <v/>
      </c>
      <c r="AH5842" s="15" t="str">
        <f t="shared" si="2"/>
        <v/>
      </c>
      <c r="AI5842" s="17" t="str">
        <f>IF(AG5842="","",INDEX('Quitados DUPP'!$G$1:$G$6635,AG5842))</f>
        <v/>
      </c>
      <c r="AJ5842" s="17" t="str">
        <f t="shared" si="3"/>
        <v/>
      </c>
    </row>
    <row r="5843" spans="31:36">
      <c r="AE5843" s="15" t="str">
        <f t="shared" si="0"/>
        <v/>
      </c>
      <c r="AF5843" s="15" t="str">
        <f t="shared" si="1"/>
        <v/>
      </c>
      <c r="AG5843" s="15" t="str">
        <f>IF(OR(AF5843="",AF5843="ERRO_CHAVE"),"",IFERROR(MATCH(AF5843,'Quitados DUPP'!$U$1:$U$6635,0),""))</f>
        <v/>
      </c>
      <c r="AH5843" s="15" t="str">
        <f t="shared" si="2"/>
        <v/>
      </c>
      <c r="AI5843" s="17" t="str">
        <f>IF(AG5843="","",INDEX('Quitados DUPP'!$G$1:$G$6635,AG5843))</f>
        <v/>
      </c>
      <c r="AJ5843" s="17" t="str">
        <f t="shared" si="3"/>
        <v/>
      </c>
    </row>
    <row r="5844" spans="31:36">
      <c r="AE5844" s="15" t="str">
        <f t="shared" si="0"/>
        <v/>
      </c>
      <c r="AF5844" s="15" t="str">
        <f t="shared" si="1"/>
        <v/>
      </c>
      <c r="AG5844" s="15" t="str">
        <f>IF(OR(AF5844="",AF5844="ERRO_CHAVE"),"",IFERROR(MATCH(AF5844,'Quitados DUPP'!$U$1:$U$6635,0),""))</f>
        <v/>
      </c>
      <c r="AH5844" s="15" t="str">
        <f t="shared" si="2"/>
        <v/>
      </c>
      <c r="AI5844" s="17" t="str">
        <f>IF(AG5844="","",INDEX('Quitados DUPP'!$G$1:$G$6635,AG5844))</f>
        <v/>
      </c>
      <c r="AJ5844" s="17" t="str">
        <f t="shared" si="3"/>
        <v/>
      </c>
    </row>
    <row r="5845" spans="31:36">
      <c r="AE5845" s="15" t="str">
        <f t="shared" si="0"/>
        <v/>
      </c>
      <c r="AF5845" s="15" t="str">
        <f t="shared" si="1"/>
        <v/>
      </c>
      <c r="AG5845" s="15" t="str">
        <f>IF(OR(AF5845="",AF5845="ERRO_CHAVE"),"",IFERROR(MATCH(AF5845,'Quitados DUPP'!$U$1:$U$6635,0),""))</f>
        <v/>
      </c>
      <c r="AH5845" s="15" t="str">
        <f t="shared" si="2"/>
        <v/>
      </c>
      <c r="AI5845" s="17" t="str">
        <f>IF(AG5845="","",INDEX('Quitados DUPP'!$G$1:$G$6635,AG5845))</f>
        <v/>
      </c>
      <c r="AJ5845" s="17" t="str">
        <f t="shared" si="3"/>
        <v/>
      </c>
    </row>
    <row r="5846" spans="31:36">
      <c r="AE5846" s="15" t="str">
        <f t="shared" si="0"/>
        <v/>
      </c>
      <c r="AF5846" s="15" t="str">
        <f t="shared" si="1"/>
        <v/>
      </c>
      <c r="AG5846" s="15" t="str">
        <f>IF(OR(AF5846="",AF5846="ERRO_CHAVE"),"",IFERROR(MATCH(AF5846,'Quitados DUPP'!$U$1:$U$6635,0),""))</f>
        <v/>
      </c>
      <c r="AH5846" s="15" t="str">
        <f t="shared" si="2"/>
        <v/>
      </c>
      <c r="AI5846" s="17" t="str">
        <f>IF(AG5846="","",INDEX('Quitados DUPP'!$G$1:$G$6635,AG5846))</f>
        <v/>
      </c>
      <c r="AJ5846" s="17" t="str">
        <f t="shared" si="3"/>
        <v/>
      </c>
    </row>
    <row r="5847" spans="31:36">
      <c r="AE5847" s="15" t="str">
        <f t="shared" si="0"/>
        <v/>
      </c>
      <c r="AF5847" s="15" t="str">
        <f t="shared" si="1"/>
        <v/>
      </c>
      <c r="AG5847" s="15" t="str">
        <f>IF(OR(AF5847="",AF5847="ERRO_CHAVE"),"",IFERROR(MATCH(AF5847,'Quitados DUPP'!$U$1:$U$6635,0),""))</f>
        <v/>
      </c>
      <c r="AH5847" s="15" t="str">
        <f t="shared" si="2"/>
        <v/>
      </c>
      <c r="AI5847" s="17" t="str">
        <f>IF(AG5847="","",INDEX('Quitados DUPP'!$G$1:$G$6635,AG5847))</f>
        <v/>
      </c>
      <c r="AJ5847" s="17" t="str">
        <f t="shared" si="3"/>
        <v/>
      </c>
    </row>
    <row r="5848" spans="31:36">
      <c r="AE5848" s="15" t="str">
        <f t="shared" si="0"/>
        <v/>
      </c>
      <c r="AF5848" s="15" t="str">
        <f t="shared" si="1"/>
        <v/>
      </c>
      <c r="AG5848" s="15" t="str">
        <f>IF(OR(AF5848="",AF5848="ERRO_CHAVE"),"",IFERROR(MATCH(AF5848,'Quitados DUPP'!$U$1:$U$6635,0),""))</f>
        <v/>
      </c>
      <c r="AH5848" s="15" t="str">
        <f t="shared" si="2"/>
        <v/>
      </c>
      <c r="AI5848" s="17" t="str">
        <f>IF(AG5848="","",INDEX('Quitados DUPP'!$G$1:$G$6635,AG5848))</f>
        <v/>
      </c>
      <c r="AJ5848" s="17" t="str">
        <f t="shared" si="3"/>
        <v/>
      </c>
    </row>
    <row r="5849" spans="31:36">
      <c r="AE5849" s="15" t="str">
        <f t="shared" si="0"/>
        <v/>
      </c>
      <c r="AF5849" s="15" t="str">
        <f t="shared" si="1"/>
        <v/>
      </c>
      <c r="AG5849" s="15" t="str">
        <f>IF(OR(AF5849="",AF5849="ERRO_CHAVE"),"",IFERROR(MATCH(AF5849,'Quitados DUPP'!$U$1:$U$6635,0),""))</f>
        <v/>
      </c>
      <c r="AH5849" s="15" t="str">
        <f t="shared" si="2"/>
        <v/>
      </c>
      <c r="AI5849" s="17" t="str">
        <f>IF(AG5849="","",INDEX('Quitados DUPP'!$G$1:$G$6635,AG5849))</f>
        <v/>
      </c>
      <c r="AJ5849" s="17" t="str">
        <f t="shared" si="3"/>
        <v/>
      </c>
    </row>
    <row r="5850" spans="31:36">
      <c r="AE5850" s="15" t="str">
        <f t="shared" si="0"/>
        <v/>
      </c>
      <c r="AF5850" s="15" t="str">
        <f t="shared" si="1"/>
        <v/>
      </c>
      <c r="AG5850" s="15" t="str">
        <f>IF(OR(AF5850="",AF5850="ERRO_CHAVE"),"",IFERROR(MATCH(AF5850,'Quitados DUPP'!$U$1:$U$6635,0),""))</f>
        <v/>
      </c>
      <c r="AH5850" s="15" t="str">
        <f t="shared" si="2"/>
        <v/>
      </c>
      <c r="AI5850" s="17" t="str">
        <f>IF(AG5850="","",INDEX('Quitados DUPP'!$G$1:$G$6635,AG5850))</f>
        <v/>
      </c>
      <c r="AJ5850" s="17" t="str">
        <f t="shared" si="3"/>
        <v/>
      </c>
    </row>
    <row r="5851" spans="31:36">
      <c r="AE5851" s="15" t="str">
        <f t="shared" si="0"/>
        <v/>
      </c>
      <c r="AF5851" s="15" t="str">
        <f t="shared" si="1"/>
        <v/>
      </c>
      <c r="AG5851" s="15" t="str">
        <f>IF(OR(AF5851="",AF5851="ERRO_CHAVE"),"",IFERROR(MATCH(AF5851,'Quitados DUPP'!$U$1:$U$6635,0),""))</f>
        <v/>
      </c>
      <c r="AH5851" s="15" t="str">
        <f t="shared" si="2"/>
        <v/>
      </c>
      <c r="AI5851" s="17" t="str">
        <f>IF(AG5851="","",INDEX('Quitados DUPP'!$G$1:$G$6635,AG5851))</f>
        <v/>
      </c>
      <c r="AJ5851" s="17" t="str">
        <f t="shared" si="3"/>
        <v/>
      </c>
    </row>
    <row r="5852" spans="31:36">
      <c r="AE5852" s="15" t="str">
        <f t="shared" si="0"/>
        <v/>
      </c>
      <c r="AF5852" s="15" t="str">
        <f t="shared" si="1"/>
        <v/>
      </c>
      <c r="AG5852" s="15" t="str">
        <f>IF(OR(AF5852="",AF5852="ERRO_CHAVE"),"",IFERROR(MATCH(AF5852,'Quitados DUPP'!$U$1:$U$6635,0),""))</f>
        <v/>
      </c>
      <c r="AH5852" s="15" t="str">
        <f t="shared" si="2"/>
        <v/>
      </c>
      <c r="AI5852" s="17" t="str">
        <f>IF(AG5852="","",INDEX('Quitados DUPP'!$G$1:$G$6635,AG5852))</f>
        <v/>
      </c>
      <c r="AJ5852" s="17" t="str">
        <f t="shared" si="3"/>
        <v/>
      </c>
    </row>
    <row r="5853" spans="31:36">
      <c r="AE5853" s="15" t="str">
        <f t="shared" si="0"/>
        <v/>
      </c>
      <c r="AF5853" s="15" t="str">
        <f t="shared" si="1"/>
        <v/>
      </c>
      <c r="AG5853" s="15" t="str">
        <f>IF(OR(AF5853="",AF5853="ERRO_CHAVE"),"",IFERROR(MATCH(AF5853,'Quitados DUPP'!$U$1:$U$6635,0),""))</f>
        <v/>
      </c>
      <c r="AH5853" s="15" t="str">
        <f t="shared" si="2"/>
        <v/>
      </c>
      <c r="AI5853" s="17" t="str">
        <f>IF(AG5853="","",INDEX('Quitados DUPP'!$G$1:$G$6635,AG5853))</f>
        <v/>
      </c>
      <c r="AJ5853" s="17" t="str">
        <f t="shared" si="3"/>
        <v/>
      </c>
    </row>
    <row r="5854" spans="31:36">
      <c r="AE5854" s="15" t="str">
        <f t="shared" si="0"/>
        <v/>
      </c>
      <c r="AF5854" s="15" t="str">
        <f t="shared" si="1"/>
        <v/>
      </c>
      <c r="AG5854" s="15" t="str">
        <f>IF(OR(AF5854="",AF5854="ERRO_CHAVE"),"",IFERROR(MATCH(AF5854,'Quitados DUPP'!$U$1:$U$6635,0),""))</f>
        <v/>
      </c>
      <c r="AH5854" s="15" t="str">
        <f t="shared" si="2"/>
        <v/>
      </c>
      <c r="AI5854" s="17" t="str">
        <f>IF(AG5854="","",INDEX('Quitados DUPP'!$G$1:$G$6635,AG5854))</f>
        <v/>
      </c>
      <c r="AJ5854" s="17" t="str">
        <f t="shared" si="3"/>
        <v/>
      </c>
    </row>
    <row r="5855" spans="31:36">
      <c r="AE5855" s="15" t="str">
        <f t="shared" si="0"/>
        <v/>
      </c>
      <c r="AF5855" s="15" t="str">
        <f t="shared" si="1"/>
        <v/>
      </c>
      <c r="AG5855" s="15" t="str">
        <f>IF(OR(AF5855="",AF5855="ERRO_CHAVE"),"",IFERROR(MATCH(AF5855,'Quitados DUPP'!$U$1:$U$6635,0),""))</f>
        <v/>
      </c>
      <c r="AH5855" s="15" t="str">
        <f t="shared" si="2"/>
        <v/>
      </c>
      <c r="AI5855" s="17" t="str">
        <f>IF(AG5855="","",INDEX('Quitados DUPP'!$G$1:$G$6635,AG5855))</f>
        <v/>
      </c>
      <c r="AJ5855" s="17" t="str">
        <f t="shared" si="3"/>
        <v/>
      </c>
    </row>
    <row r="5856" spans="31:36">
      <c r="AE5856" s="15" t="str">
        <f t="shared" si="0"/>
        <v/>
      </c>
      <c r="AF5856" s="15" t="str">
        <f t="shared" si="1"/>
        <v/>
      </c>
      <c r="AG5856" s="15" t="str">
        <f>IF(OR(AF5856="",AF5856="ERRO_CHAVE"),"",IFERROR(MATCH(AF5856,'Quitados DUPP'!$U$1:$U$6635,0),""))</f>
        <v/>
      </c>
      <c r="AH5856" s="15" t="str">
        <f t="shared" si="2"/>
        <v/>
      </c>
      <c r="AI5856" s="17" t="str">
        <f>IF(AG5856="","",INDEX('Quitados DUPP'!$G$1:$G$6635,AG5856))</f>
        <v/>
      </c>
      <c r="AJ5856" s="17" t="str">
        <f t="shared" si="3"/>
        <v/>
      </c>
    </row>
    <row r="5857" spans="31:36">
      <c r="AE5857" s="15" t="str">
        <f t="shared" si="0"/>
        <v/>
      </c>
      <c r="AF5857" s="15" t="str">
        <f t="shared" si="1"/>
        <v/>
      </c>
      <c r="AG5857" s="15" t="str">
        <f>IF(OR(AF5857="",AF5857="ERRO_CHAVE"),"",IFERROR(MATCH(AF5857,'Quitados DUPP'!$U$1:$U$6635,0),""))</f>
        <v/>
      </c>
      <c r="AH5857" s="15" t="str">
        <f t="shared" si="2"/>
        <v/>
      </c>
      <c r="AI5857" s="17" t="str">
        <f>IF(AG5857="","",INDEX('Quitados DUPP'!$G$1:$G$6635,AG5857))</f>
        <v/>
      </c>
      <c r="AJ5857" s="17" t="str">
        <f t="shared" si="3"/>
        <v/>
      </c>
    </row>
    <row r="5858" spans="31:36">
      <c r="AE5858" s="15" t="str">
        <f t="shared" si="0"/>
        <v/>
      </c>
      <c r="AF5858" s="15" t="str">
        <f t="shared" si="1"/>
        <v/>
      </c>
      <c r="AG5858" s="15" t="str">
        <f>IF(OR(AF5858="",AF5858="ERRO_CHAVE"),"",IFERROR(MATCH(AF5858,'Quitados DUPP'!$U$1:$U$6635,0),""))</f>
        <v/>
      </c>
      <c r="AH5858" s="15" t="str">
        <f t="shared" si="2"/>
        <v/>
      </c>
      <c r="AI5858" s="17" t="str">
        <f>IF(AG5858="","",INDEX('Quitados DUPP'!$G$1:$G$6635,AG5858))</f>
        <v/>
      </c>
      <c r="AJ5858" s="17" t="str">
        <f t="shared" si="3"/>
        <v/>
      </c>
    </row>
    <row r="5859" spans="31:36">
      <c r="AE5859" s="15" t="str">
        <f t="shared" si="0"/>
        <v/>
      </c>
      <c r="AF5859" s="15" t="str">
        <f t="shared" si="1"/>
        <v/>
      </c>
      <c r="AG5859" s="15" t="str">
        <f>IF(OR(AF5859="",AF5859="ERRO_CHAVE"),"",IFERROR(MATCH(AF5859,'Quitados DUPP'!$U$1:$U$6635,0),""))</f>
        <v/>
      </c>
      <c r="AH5859" s="15" t="str">
        <f t="shared" si="2"/>
        <v/>
      </c>
      <c r="AI5859" s="17" t="str">
        <f>IF(AG5859="","",INDEX('Quitados DUPP'!$G$1:$G$6635,AG5859))</f>
        <v/>
      </c>
      <c r="AJ5859" s="17" t="str">
        <f t="shared" si="3"/>
        <v/>
      </c>
    </row>
    <row r="5860" spans="31:36">
      <c r="AE5860" s="15" t="str">
        <f t="shared" si="0"/>
        <v/>
      </c>
      <c r="AF5860" s="15" t="str">
        <f t="shared" si="1"/>
        <v/>
      </c>
      <c r="AG5860" s="15" t="str">
        <f>IF(OR(AF5860="",AF5860="ERRO_CHAVE"),"",IFERROR(MATCH(AF5860,'Quitados DUPP'!$U$1:$U$6635,0),""))</f>
        <v/>
      </c>
      <c r="AH5860" s="15" t="str">
        <f t="shared" si="2"/>
        <v/>
      </c>
      <c r="AI5860" s="17" t="str">
        <f>IF(AG5860="","",INDEX('Quitados DUPP'!$G$1:$G$6635,AG5860))</f>
        <v/>
      </c>
      <c r="AJ5860" s="17" t="str">
        <f t="shared" si="3"/>
        <v/>
      </c>
    </row>
    <row r="5861" spans="31:36">
      <c r="AE5861" s="15" t="str">
        <f t="shared" si="0"/>
        <v/>
      </c>
      <c r="AF5861" s="15" t="str">
        <f t="shared" si="1"/>
        <v/>
      </c>
      <c r="AG5861" s="15" t="str">
        <f>IF(OR(AF5861="",AF5861="ERRO_CHAVE"),"",IFERROR(MATCH(AF5861,'Quitados DUPP'!$U$1:$U$6635,0),""))</f>
        <v/>
      </c>
      <c r="AH5861" s="15" t="str">
        <f t="shared" si="2"/>
        <v/>
      </c>
      <c r="AI5861" s="17" t="str">
        <f>IF(AG5861="","",INDEX('Quitados DUPP'!$G$1:$G$6635,AG5861))</f>
        <v/>
      </c>
      <c r="AJ5861" s="17" t="str">
        <f t="shared" si="3"/>
        <v/>
      </c>
    </row>
    <row r="5862" spans="31:36">
      <c r="AE5862" s="15" t="str">
        <f t="shared" si="0"/>
        <v/>
      </c>
      <c r="AF5862" s="15" t="str">
        <f t="shared" si="1"/>
        <v/>
      </c>
      <c r="AG5862" s="15" t="str">
        <f>IF(OR(AF5862="",AF5862="ERRO_CHAVE"),"",IFERROR(MATCH(AF5862,'Quitados DUPP'!$U$1:$U$6635,0),""))</f>
        <v/>
      </c>
      <c r="AH5862" s="15" t="str">
        <f t="shared" si="2"/>
        <v/>
      </c>
      <c r="AI5862" s="17" t="str">
        <f>IF(AG5862="","",INDEX('Quitados DUPP'!$G$1:$G$6635,AG5862))</f>
        <v/>
      </c>
      <c r="AJ5862" s="17" t="str">
        <f t="shared" si="3"/>
        <v/>
      </c>
    </row>
    <row r="5863" spans="31:36">
      <c r="AE5863" s="15" t="str">
        <f t="shared" si="0"/>
        <v/>
      </c>
      <c r="AF5863" s="15" t="str">
        <f t="shared" si="1"/>
        <v/>
      </c>
      <c r="AG5863" s="15" t="str">
        <f>IF(OR(AF5863="",AF5863="ERRO_CHAVE"),"",IFERROR(MATCH(AF5863,'Quitados DUPP'!$U$1:$U$6635,0),""))</f>
        <v/>
      </c>
      <c r="AH5863" s="15" t="str">
        <f t="shared" si="2"/>
        <v/>
      </c>
      <c r="AI5863" s="17" t="str">
        <f>IF(AG5863="","",INDEX('Quitados DUPP'!$G$1:$G$6635,AG5863))</f>
        <v/>
      </c>
      <c r="AJ5863" s="17" t="str">
        <f t="shared" si="3"/>
        <v/>
      </c>
    </row>
    <row r="5864" spans="31:36">
      <c r="AE5864" s="15" t="str">
        <f t="shared" si="0"/>
        <v/>
      </c>
      <c r="AF5864" s="15" t="str">
        <f t="shared" si="1"/>
        <v/>
      </c>
      <c r="AG5864" s="15" t="str">
        <f>IF(OR(AF5864="",AF5864="ERRO_CHAVE"),"",IFERROR(MATCH(AF5864,'Quitados DUPP'!$U$1:$U$6635,0),""))</f>
        <v/>
      </c>
      <c r="AH5864" s="15" t="str">
        <f t="shared" si="2"/>
        <v/>
      </c>
      <c r="AI5864" s="17" t="str">
        <f>IF(AG5864="","",INDEX('Quitados DUPP'!$G$1:$G$6635,AG5864))</f>
        <v/>
      </c>
      <c r="AJ5864" s="17" t="str">
        <f t="shared" si="3"/>
        <v/>
      </c>
    </row>
    <row r="5865" spans="31:36">
      <c r="AE5865" s="15" t="str">
        <f t="shared" si="0"/>
        <v/>
      </c>
      <c r="AF5865" s="15" t="str">
        <f t="shared" si="1"/>
        <v/>
      </c>
      <c r="AG5865" s="15" t="str">
        <f>IF(OR(AF5865="",AF5865="ERRO_CHAVE"),"",IFERROR(MATCH(AF5865,'Quitados DUPP'!$U$1:$U$6635,0),""))</f>
        <v/>
      </c>
      <c r="AH5865" s="15" t="str">
        <f t="shared" si="2"/>
        <v/>
      </c>
      <c r="AI5865" s="17" t="str">
        <f>IF(AG5865="","",INDEX('Quitados DUPP'!$G$1:$G$6635,AG5865))</f>
        <v/>
      </c>
      <c r="AJ5865" s="17" t="str">
        <f t="shared" si="3"/>
        <v/>
      </c>
    </row>
    <row r="5866" spans="31:36">
      <c r="AE5866" s="15" t="str">
        <f t="shared" si="0"/>
        <v/>
      </c>
      <c r="AF5866" s="15" t="str">
        <f t="shared" si="1"/>
        <v/>
      </c>
      <c r="AG5866" s="15" t="str">
        <f>IF(OR(AF5866="",AF5866="ERRO_CHAVE"),"",IFERROR(MATCH(AF5866,'Quitados DUPP'!$U$1:$U$6635,0),""))</f>
        <v/>
      </c>
      <c r="AH5866" s="15" t="str">
        <f t="shared" si="2"/>
        <v/>
      </c>
      <c r="AI5866" s="17" t="str">
        <f>IF(AG5866="","",INDEX('Quitados DUPP'!$G$1:$G$6635,AG5866))</f>
        <v/>
      </c>
      <c r="AJ5866" s="17" t="str">
        <f t="shared" si="3"/>
        <v/>
      </c>
    </row>
    <row r="5867" spans="31:36">
      <c r="AE5867" s="15" t="str">
        <f t="shared" si="0"/>
        <v/>
      </c>
      <c r="AF5867" s="15" t="str">
        <f t="shared" si="1"/>
        <v/>
      </c>
      <c r="AG5867" s="15" t="str">
        <f>IF(OR(AF5867="",AF5867="ERRO_CHAVE"),"",IFERROR(MATCH(AF5867,'Quitados DUPP'!$U$1:$U$6635,0),""))</f>
        <v/>
      </c>
      <c r="AH5867" s="15" t="str">
        <f t="shared" si="2"/>
        <v/>
      </c>
      <c r="AI5867" s="17" t="str">
        <f>IF(AG5867="","",INDEX('Quitados DUPP'!$G$1:$G$6635,AG5867))</f>
        <v/>
      </c>
      <c r="AJ5867" s="17" t="str">
        <f t="shared" si="3"/>
        <v/>
      </c>
    </row>
    <row r="5868" spans="31:36">
      <c r="AE5868" s="15" t="str">
        <f t="shared" si="0"/>
        <v/>
      </c>
      <c r="AF5868" s="15" t="str">
        <f t="shared" si="1"/>
        <v/>
      </c>
      <c r="AG5868" s="15" t="str">
        <f>IF(OR(AF5868="",AF5868="ERRO_CHAVE"),"",IFERROR(MATCH(AF5868,'Quitados DUPP'!$U$1:$U$6635,0),""))</f>
        <v/>
      </c>
      <c r="AH5868" s="15" t="str">
        <f t="shared" si="2"/>
        <v/>
      </c>
      <c r="AI5868" s="17" t="str">
        <f>IF(AG5868="","",INDEX('Quitados DUPP'!$G$1:$G$6635,AG5868))</f>
        <v/>
      </c>
      <c r="AJ5868" s="17" t="str">
        <f t="shared" si="3"/>
        <v/>
      </c>
    </row>
    <row r="5869" spans="31:36">
      <c r="AE5869" s="15" t="str">
        <f t="shared" si="0"/>
        <v/>
      </c>
      <c r="AF5869" s="15" t="str">
        <f t="shared" si="1"/>
        <v/>
      </c>
      <c r="AG5869" s="15" t="str">
        <f>IF(OR(AF5869="",AF5869="ERRO_CHAVE"),"",IFERROR(MATCH(AF5869,'Quitados DUPP'!$U$1:$U$6635,0),""))</f>
        <v/>
      </c>
      <c r="AH5869" s="15" t="str">
        <f t="shared" si="2"/>
        <v/>
      </c>
      <c r="AI5869" s="17" t="str">
        <f>IF(AG5869="","",INDEX('Quitados DUPP'!$G$1:$G$6635,AG5869))</f>
        <v/>
      </c>
      <c r="AJ5869" s="17" t="str">
        <f t="shared" si="3"/>
        <v/>
      </c>
    </row>
    <row r="5870" spans="31:36">
      <c r="AE5870" s="15" t="str">
        <f t="shared" si="0"/>
        <v/>
      </c>
      <c r="AF5870" s="15" t="str">
        <f t="shared" si="1"/>
        <v/>
      </c>
      <c r="AG5870" s="15" t="str">
        <f>IF(OR(AF5870="",AF5870="ERRO_CHAVE"),"",IFERROR(MATCH(AF5870,'Quitados DUPP'!$U$1:$U$6635,0),""))</f>
        <v/>
      </c>
      <c r="AH5870" s="15" t="str">
        <f t="shared" si="2"/>
        <v/>
      </c>
      <c r="AI5870" s="17" t="str">
        <f>IF(AG5870="","",INDEX('Quitados DUPP'!$G$1:$G$6635,AG5870))</f>
        <v/>
      </c>
      <c r="AJ5870" s="17" t="str">
        <f t="shared" si="3"/>
        <v/>
      </c>
    </row>
    <row r="5871" spans="31:36">
      <c r="AE5871" s="15" t="str">
        <f t="shared" si="0"/>
        <v/>
      </c>
      <c r="AF5871" s="15" t="str">
        <f t="shared" si="1"/>
        <v/>
      </c>
      <c r="AG5871" s="15" t="str">
        <f>IF(OR(AF5871="",AF5871="ERRO_CHAVE"),"",IFERROR(MATCH(AF5871,'Quitados DUPP'!$U$1:$U$6635,0),""))</f>
        <v/>
      </c>
      <c r="AH5871" s="15" t="str">
        <f t="shared" si="2"/>
        <v/>
      </c>
      <c r="AI5871" s="17" t="str">
        <f>IF(AG5871="","",INDEX('Quitados DUPP'!$G$1:$G$6635,AG5871))</f>
        <v/>
      </c>
      <c r="AJ5871" s="17" t="str">
        <f t="shared" si="3"/>
        <v/>
      </c>
    </row>
    <row r="5872" spans="31:36">
      <c r="AE5872" s="15" t="str">
        <f t="shared" si="0"/>
        <v/>
      </c>
      <c r="AF5872" s="15" t="str">
        <f t="shared" si="1"/>
        <v/>
      </c>
      <c r="AG5872" s="15" t="str">
        <f>IF(OR(AF5872="",AF5872="ERRO_CHAVE"),"",IFERROR(MATCH(AF5872,'Quitados DUPP'!$U$1:$U$6635,0),""))</f>
        <v/>
      </c>
      <c r="AH5872" s="15" t="str">
        <f t="shared" si="2"/>
        <v/>
      </c>
      <c r="AI5872" s="17" t="str">
        <f>IF(AG5872="","",INDEX('Quitados DUPP'!$G$1:$G$6635,AG5872))</f>
        <v/>
      </c>
      <c r="AJ5872" s="17" t="str">
        <f t="shared" si="3"/>
        <v/>
      </c>
    </row>
    <row r="5873" spans="31:36">
      <c r="AE5873" s="15" t="str">
        <f t="shared" si="0"/>
        <v/>
      </c>
      <c r="AF5873" s="15" t="str">
        <f t="shared" si="1"/>
        <v/>
      </c>
      <c r="AG5873" s="15" t="str">
        <f>IF(OR(AF5873="",AF5873="ERRO_CHAVE"),"",IFERROR(MATCH(AF5873,'Quitados DUPP'!$U$1:$U$6635,0),""))</f>
        <v/>
      </c>
      <c r="AH5873" s="15" t="str">
        <f t="shared" si="2"/>
        <v/>
      </c>
      <c r="AI5873" s="17" t="str">
        <f>IF(AG5873="","",INDEX('Quitados DUPP'!$G$1:$G$6635,AG5873))</f>
        <v/>
      </c>
      <c r="AJ5873" s="17" t="str">
        <f t="shared" si="3"/>
        <v/>
      </c>
    </row>
    <row r="5874" spans="31:36">
      <c r="AE5874" s="15" t="str">
        <f t="shared" si="0"/>
        <v/>
      </c>
      <c r="AF5874" s="15" t="str">
        <f t="shared" si="1"/>
        <v/>
      </c>
      <c r="AG5874" s="15" t="str">
        <f>IF(OR(AF5874="",AF5874="ERRO_CHAVE"),"",IFERROR(MATCH(AF5874,'Quitados DUPP'!$U$1:$U$6635,0),""))</f>
        <v/>
      </c>
      <c r="AH5874" s="15" t="str">
        <f t="shared" si="2"/>
        <v/>
      </c>
      <c r="AI5874" s="17" t="str">
        <f>IF(AG5874="","",INDEX('Quitados DUPP'!$G$1:$G$6635,AG5874))</f>
        <v/>
      </c>
      <c r="AJ5874" s="17" t="str">
        <f t="shared" si="3"/>
        <v/>
      </c>
    </row>
    <row r="5875" spans="31:36">
      <c r="AE5875" s="15" t="str">
        <f t="shared" si="0"/>
        <v/>
      </c>
      <c r="AF5875" s="15" t="str">
        <f t="shared" si="1"/>
        <v/>
      </c>
      <c r="AG5875" s="15" t="str">
        <f>IF(OR(AF5875="",AF5875="ERRO_CHAVE"),"",IFERROR(MATCH(AF5875,'Quitados DUPP'!$U$1:$U$6635,0),""))</f>
        <v/>
      </c>
      <c r="AH5875" s="15" t="str">
        <f t="shared" si="2"/>
        <v/>
      </c>
      <c r="AI5875" s="17" t="str">
        <f>IF(AG5875="","",INDEX('Quitados DUPP'!$G$1:$G$6635,AG5875))</f>
        <v/>
      </c>
      <c r="AJ5875" s="17" t="str">
        <f t="shared" si="3"/>
        <v/>
      </c>
    </row>
    <row r="5876" spans="31:36">
      <c r="AE5876" s="15" t="str">
        <f t="shared" si="0"/>
        <v/>
      </c>
      <c r="AF5876" s="15" t="str">
        <f t="shared" si="1"/>
        <v/>
      </c>
      <c r="AG5876" s="15" t="str">
        <f>IF(OR(AF5876="",AF5876="ERRO_CHAVE"),"",IFERROR(MATCH(AF5876,'Quitados DUPP'!$U$1:$U$6635,0),""))</f>
        <v/>
      </c>
      <c r="AH5876" s="15" t="str">
        <f t="shared" si="2"/>
        <v/>
      </c>
      <c r="AI5876" s="17" t="str">
        <f>IF(AG5876="","",INDEX('Quitados DUPP'!$G$1:$G$6635,AG5876))</f>
        <v/>
      </c>
      <c r="AJ5876" s="17" t="str">
        <f t="shared" si="3"/>
        <v/>
      </c>
    </row>
    <row r="5877" spans="31:36">
      <c r="AE5877" s="15" t="str">
        <f t="shared" si="0"/>
        <v/>
      </c>
      <c r="AF5877" s="15" t="str">
        <f t="shared" si="1"/>
        <v/>
      </c>
      <c r="AG5877" s="15" t="str">
        <f>IF(OR(AF5877="",AF5877="ERRO_CHAVE"),"",IFERROR(MATCH(AF5877,'Quitados DUPP'!$U$1:$U$6635,0),""))</f>
        <v/>
      </c>
      <c r="AH5877" s="15" t="str">
        <f t="shared" si="2"/>
        <v/>
      </c>
      <c r="AI5877" s="17" t="str">
        <f>IF(AG5877="","",INDEX('Quitados DUPP'!$G$1:$G$6635,AG5877))</f>
        <v/>
      </c>
      <c r="AJ5877" s="17" t="str">
        <f t="shared" si="3"/>
        <v/>
      </c>
    </row>
    <row r="5878" spans="31:36">
      <c r="AE5878" s="15" t="str">
        <f t="shared" si="0"/>
        <v/>
      </c>
      <c r="AF5878" s="15" t="str">
        <f t="shared" si="1"/>
        <v/>
      </c>
      <c r="AG5878" s="15" t="str">
        <f>IF(OR(AF5878="",AF5878="ERRO_CHAVE"),"",IFERROR(MATCH(AF5878,'Quitados DUPP'!$U$1:$U$6635,0),""))</f>
        <v/>
      </c>
      <c r="AH5878" s="15" t="str">
        <f t="shared" si="2"/>
        <v/>
      </c>
      <c r="AI5878" s="17" t="str">
        <f>IF(AG5878="","",INDEX('Quitados DUPP'!$G$1:$G$6635,AG5878))</f>
        <v/>
      </c>
      <c r="AJ5878" s="17" t="str">
        <f t="shared" si="3"/>
        <v/>
      </c>
    </row>
    <row r="5879" spans="31:36">
      <c r="AE5879" s="15" t="str">
        <f t="shared" si="0"/>
        <v/>
      </c>
      <c r="AF5879" s="15" t="str">
        <f t="shared" si="1"/>
        <v/>
      </c>
      <c r="AG5879" s="15" t="str">
        <f>IF(OR(AF5879="",AF5879="ERRO_CHAVE"),"",IFERROR(MATCH(AF5879,'Quitados DUPP'!$U$1:$U$6635,0),""))</f>
        <v/>
      </c>
      <c r="AH5879" s="15" t="str">
        <f t="shared" si="2"/>
        <v/>
      </c>
      <c r="AI5879" s="17" t="str">
        <f>IF(AG5879="","",INDEX('Quitados DUPP'!$G$1:$G$6635,AG5879))</f>
        <v/>
      </c>
      <c r="AJ5879" s="17" t="str">
        <f t="shared" si="3"/>
        <v/>
      </c>
    </row>
    <row r="5880" spans="31:36">
      <c r="AE5880" s="15" t="str">
        <f t="shared" si="0"/>
        <v/>
      </c>
      <c r="AF5880" s="15" t="str">
        <f t="shared" si="1"/>
        <v/>
      </c>
      <c r="AG5880" s="15" t="str">
        <f>IF(OR(AF5880="",AF5880="ERRO_CHAVE"),"",IFERROR(MATCH(AF5880,'Quitados DUPP'!$U$1:$U$6635,0),""))</f>
        <v/>
      </c>
      <c r="AH5880" s="15" t="str">
        <f t="shared" si="2"/>
        <v/>
      </c>
      <c r="AI5880" s="17" t="str">
        <f>IF(AG5880="","",INDEX('Quitados DUPP'!$G$1:$G$6635,AG5880))</f>
        <v/>
      </c>
      <c r="AJ5880" s="17" t="str">
        <f t="shared" si="3"/>
        <v/>
      </c>
    </row>
    <row r="5881" spans="31:36">
      <c r="AE5881" s="15" t="str">
        <f t="shared" si="0"/>
        <v/>
      </c>
      <c r="AF5881" s="15" t="str">
        <f t="shared" si="1"/>
        <v/>
      </c>
      <c r="AG5881" s="15" t="str">
        <f>IF(OR(AF5881="",AF5881="ERRO_CHAVE"),"",IFERROR(MATCH(AF5881,'Quitados DUPP'!$U$1:$U$6635,0),""))</f>
        <v/>
      </c>
      <c r="AH5881" s="15" t="str">
        <f t="shared" si="2"/>
        <v/>
      </c>
      <c r="AI5881" s="17" t="str">
        <f>IF(AG5881="","",INDEX('Quitados DUPP'!$G$1:$G$6635,AG5881))</f>
        <v/>
      </c>
      <c r="AJ5881" s="17" t="str">
        <f t="shared" si="3"/>
        <v/>
      </c>
    </row>
    <row r="5882" spans="31:36">
      <c r="AE5882" s="15" t="str">
        <f t="shared" si="0"/>
        <v/>
      </c>
      <c r="AF5882" s="15" t="str">
        <f t="shared" si="1"/>
        <v/>
      </c>
      <c r="AG5882" s="15" t="str">
        <f>IF(OR(AF5882="",AF5882="ERRO_CHAVE"),"",IFERROR(MATCH(AF5882,'Quitados DUPP'!$U$1:$U$6635,0),""))</f>
        <v/>
      </c>
      <c r="AH5882" s="15" t="str">
        <f t="shared" si="2"/>
        <v/>
      </c>
      <c r="AI5882" s="17" t="str">
        <f>IF(AG5882="","",INDEX('Quitados DUPP'!$G$1:$G$6635,AG5882))</f>
        <v/>
      </c>
      <c r="AJ5882" s="17" t="str">
        <f t="shared" si="3"/>
        <v/>
      </c>
    </row>
    <row r="5883" spans="31:36">
      <c r="AE5883" s="15" t="str">
        <f t="shared" si="0"/>
        <v/>
      </c>
      <c r="AF5883" s="15" t="str">
        <f t="shared" si="1"/>
        <v/>
      </c>
      <c r="AG5883" s="15" t="str">
        <f>IF(OR(AF5883="",AF5883="ERRO_CHAVE"),"",IFERROR(MATCH(AF5883,'Quitados DUPP'!$U$1:$U$6635,0),""))</f>
        <v/>
      </c>
      <c r="AH5883" s="15" t="str">
        <f t="shared" si="2"/>
        <v/>
      </c>
      <c r="AI5883" s="17" t="str">
        <f>IF(AG5883="","",INDEX('Quitados DUPP'!$G$1:$G$6635,AG5883))</f>
        <v/>
      </c>
      <c r="AJ5883" s="17" t="str">
        <f t="shared" si="3"/>
        <v/>
      </c>
    </row>
    <row r="5884" spans="31:36">
      <c r="AE5884" s="15" t="str">
        <f t="shared" si="0"/>
        <v/>
      </c>
      <c r="AF5884" s="15" t="str">
        <f t="shared" si="1"/>
        <v/>
      </c>
      <c r="AG5884" s="15" t="str">
        <f>IF(OR(AF5884="",AF5884="ERRO_CHAVE"),"",IFERROR(MATCH(AF5884,'Quitados DUPP'!$U$1:$U$6635,0),""))</f>
        <v/>
      </c>
      <c r="AH5884" s="15" t="str">
        <f t="shared" si="2"/>
        <v/>
      </c>
      <c r="AI5884" s="17" t="str">
        <f>IF(AG5884="","",INDEX('Quitados DUPP'!$G$1:$G$6635,AG5884))</f>
        <v/>
      </c>
      <c r="AJ5884" s="17" t="str">
        <f t="shared" si="3"/>
        <v/>
      </c>
    </row>
    <row r="5885" spans="31:36">
      <c r="AE5885" s="15" t="str">
        <f t="shared" si="0"/>
        <v/>
      </c>
      <c r="AF5885" s="15" t="str">
        <f t="shared" si="1"/>
        <v/>
      </c>
      <c r="AG5885" s="15" t="str">
        <f>IF(OR(AF5885="",AF5885="ERRO_CHAVE"),"",IFERROR(MATCH(AF5885,'Quitados DUPP'!$U$1:$U$6635,0),""))</f>
        <v/>
      </c>
      <c r="AH5885" s="15" t="str">
        <f t="shared" si="2"/>
        <v/>
      </c>
      <c r="AI5885" s="17" t="str">
        <f>IF(AG5885="","",INDEX('Quitados DUPP'!$G$1:$G$6635,AG5885))</f>
        <v/>
      </c>
      <c r="AJ5885" s="17" t="str">
        <f t="shared" si="3"/>
        <v/>
      </c>
    </row>
    <row r="5886" spans="31:36">
      <c r="AE5886" s="15" t="str">
        <f t="shared" si="0"/>
        <v/>
      </c>
      <c r="AF5886" s="15" t="str">
        <f t="shared" si="1"/>
        <v/>
      </c>
      <c r="AG5886" s="15" t="str">
        <f>IF(OR(AF5886="",AF5886="ERRO_CHAVE"),"",IFERROR(MATCH(AF5886,'Quitados DUPP'!$U$1:$U$6635,0),""))</f>
        <v/>
      </c>
      <c r="AH5886" s="15" t="str">
        <f t="shared" si="2"/>
        <v/>
      </c>
      <c r="AI5886" s="17" t="str">
        <f>IF(AG5886="","",INDEX('Quitados DUPP'!$G$1:$G$6635,AG5886))</f>
        <v/>
      </c>
      <c r="AJ5886" s="17" t="str">
        <f t="shared" si="3"/>
        <v/>
      </c>
    </row>
    <row r="5887" spans="31:36">
      <c r="AE5887" s="15" t="str">
        <f t="shared" si="0"/>
        <v/>
      </c>
      <c r="AF5887" s="15" t="str">
        <f t="shared" si="1"/>
        <v/>
      </c>
      <c r="AG5887" s="15" t="str">
        <f>IF(OR(AF5887="",AF5887="ERRO_CHAVE"),"",IFERROR(MATCH(AF5887,'Quitados DUPP'!$U$1:$U$6635,0),""))</f>
        <v/>
      </c>
      <c r="AH5887" s="15" t="str">
        <f t="shared" si="2"/>
        <v/>
      </c>
      <c r="AI5887" s="17" t="str">
        <f>IF(AG5887="","",INDEX('Quitados DUPP'!$G$1:$G$6635,AG5887))</f>
        <v/>
      </c>
      <c r="AJ5887" s="17" t="str">
        <f t="shared" si="3"/>
        <v/>
      </c>
    </row>
    <row r="5888" spans="31:36">
      <c r="AE5888" s="15" t="str">
        <f t="shared" si="0"/>
        <v/>
      </c>
      <c r="AF5888" s="15" t="str">
        <f t="shared" si="1"/>
        <v/>
      </c>
      <c r="AG5888" s="15" t="str">
        <f>IF(OR(AF5888="",AF5888="ERRO_CHAVE"),"",IFERROR(MATCH(AF5888,'Quitados DUPP'!$U$1:$U$6635,0),""))</f>
        <v/>
      </c>
      <c r="AH5888" s="15" t="str">
        <f t="shared" si="2"/>
        <v/>
      </c>
      <c r="AI5888" s="17" t="str">
        <f>IF(AG5888="","",INDEX('Quitados DUPP'!$G$1:$G$6635,AG5888))</f>
        <v/>
      </c>
      <c r="AJ5888" s="17" t="str">
        <f t="shared" si="3"/>
        <v/>
      </c>
    </row>
    <row r="5889" spans="31:36">
      <c r="AE5889" s="15" t="str">
        <f t="shared" si="0"/>
        <v/>
      </c>
      <c r="AF5889" s="15" t="str">
        <f t="shared" si="1"/>
        <v/>
      </c>
      <c r="AG5889" s="15" t="str">
        <f>IF(OR(AF5889="",AF5889="ERRO_CHAVE"),"",IFERROR(MATCH(AF5889,'Quitados DUPP'!$U$1:$U$6635,0),""))</f>
        <v/>
      </c>
      <c r="AH5889" s="15" t="str">
        <f t="shared" si="2"/>
        <v/>
      </c>
      <c r="AI5889" s="17" t="str">
        <f>IF(AG5889="","",INDEX('Quitados DUPP'!$G$1:$G$6635,AG5889))</f>
        <v/>
      </c>
      <c r="AJ5889" s="17" t="str">
        <f t="shared" si="3"/>
        <v/>
      </c>
    </row>
    <row r="5890" spans="31:36">
      <c r="AE5890" s="15" t="str">
        <f t="shared" si="0"/>
        <v/>
      </c>
      <c r="AF5890" s="15" t="str">
        <f t="shared" si="1"/>
        <v/>
      </c>
      <c r="AG5890" s="15" t="str">
        <f>IF(OR(AF5890="",AF5890="ERRO_CHAVE"),"",IFERROR(MATCH(AF5890,'Quitados DUPP'!$U$1:$U$6635,0),""))</f>
        <v/>
      </c>
      <c r="AH5890" s="15" t="str">
        <f t="shared" si="2"/>
        <v/>
      </c>
      <c r="AI5890" s="17" t="str">
        <f>IF(AG5890="","",INDEX('Quitados DUPP'!$G$1:$G$6635,AG5890))</f>
        <v/>
      </c>
      <c r="AJ5890" s="17" t="str">
        <f t="shared" si="3"/>
        <v/>
      </c>
    </row>
    <row r="5891" spans="31:36">
      <c r="AE5891" s="15" t="str">
        <f t="shared" si="0"/>
        <v/>
      </c>
      <c r="AF5891" s="15" t="str">
        <f t="shared" si="1"/>
        <v/>
      </c>
      <c r="AG5891" s="15" t="str">
        <f>IF(OR(AF5891="",AF5891="ERRO_CHAVE"),"",IFERROR(MATCH(AF5891,'Quitados DUPP'!$U$1:$U$6635,0),""))</f>
        <v/>
      </c>
      <c r="AH5891" s="15" t="str">
        <f t="shared" si="2"/>
        <v/>
      </c>
      <c r="AI5891" s="17" t="str">
        <f>IF(AG5891="","",INDEX('Quitados DUPP'!$G$1:$G$6635,AG5891))</f>
        <v/>
      </c>
      <c r="AJ5891" s="17" t="str">
        <f t="shared" si="3"/>
        <v/>
      </c>
    </row>
    <row r="5892" spans="31:36">
      <c r="AE5892" s="15" t="str">
        <f t="shared" si="0"/>
        <v/>
      </c>
      <c r="AF5892" s="15" t="str">
        <f t="shared" si="1"/>
        <v/>
      </c>
      <c r="AG5892" s="15" t="str">
        <f>IF(OR(AF5892="",AF5892="ERRO_CHAVE"),"",IFERROR(MATCH(AF5892,'Quitados DUPP'!$U$1:$U$6635,0),""))</f>
        <v/>
      </c>
      <c r="AH5892" s="15" t="str">
        <f t="shared" si="2"/>
        <v/>
      </c>
      <c r="AI5892" s="17" t="str">
        <f>IF(AG5892="","",INDEX('Quitados DUPP'!$G$1:$G$6635,AG5892))</f>
        <v/>
      </c>
      <c r="AJ5892" s="17" t="str">
        <f t="shared" si="3"/>
        <v/>
      </c>
    </row>
    <row r="5893" spans="31:36">
      <c r="AE5893" s="15" t="str">
        <f t="shared" si="0"/>
        <v/>
      </c>
      <c r="AF5893" s="15" t="str">
        <f t="shared" si="1"/>
        <v/>
      </c>
      <c r="AG5893" s="15" t="str">
        <f>IF(OR(AF5893="",AF5893="ERRO_CHAVE"),"",IFERROR(MATCH(AF5893,'Quitados DUPP'!$U$1:$U$6635,0),""))</f>
        <v/>
      </c>
      <c r="AH5893" s="15" t="str">
        <f t="shared" si="2"/>
        <v/>
      </c>
      <c r="AI5893" s="17" t="str">
        <f>IF(AG5893="","",INDEX('Quitados DUPP'!$G$1:$G$6635,AG5893))</f>
        <v/>
      </c>
      <c r="AJ5893" s="17" t="str">
        <f t="shared" si="3"/>
        <v/>
      </c>
    </row>
    <row r="5894" spans="31:36">
      <c r="AE5894" s="15" t="str">
        <f t="shared" si="0"/>
        <v/>
      </c>
      <c r="AF5894" s="15" t="str">
        <f t="shared" si="1"/>
        <v/>
      </c>
      <c r="AG5894" s="15" t="str">
        <f>IF(OR(AF5894="",AF5894="ERRO_CHAVE"),"",IFERROR(MATCH(AF5894,'Quitados DUPP'!$U$1:$U$6635,0),""))</f>
        <v/>
      </c>
      <c r="AH5894" s="15" t="str">
        <f t="shared" si="2"/>
        <v/>
      </c>
      <c r="AI5894" s="17" t="str">
        <f>IF(AG5894="","",INDEX('Quitados DUPP'!$G$1:$G$6635,AG5894))</f>
        <v/>
      </c>
      <c r="AJ5894" s="17" t="str">
        <f t="shared" si="3"/>
        <v/>
      </c>
    </row>
    <row r="5895" spans="31:36">
      <c r="AE5895" s="15" t="str">
        <f t="shared" si="0"/>
        <v/>
      </c>
      <c r="AF5895" s="15" t="str">
        <f t="shared" si="1"/>
        <v/>
      </c>
      <c r="AG5895" s="15" t="str">
        <f>IF(OR(AF5895="",AF5895="ERRO_CHAVE"),"",IFERROR(MATCH(AF5895,'Quitados DUPP'!$U$1:$U$6635,0),""))</f>
        <v/>
      </c>
      <c r="AH5895" s="15" t="str">
        <f t="shared" si="2"/>
        <v/>
      </c>
      <c r="AI5895" s="17" t="str">
        <f>IF(AG5895="","",INDEX('Quitados DUPP'!$G$1:$G$6635,AG5895))</f>
        <v/>
      </c>
      <c r="AJ5895" s="17" t="str">
        <f t="shared" si="3"/>
        <v/>
      </c>
    </row>
    <row r="5896" spans="31:36">
      <c r="AE5896" s="15" t="str">
        <f t="shared" si="0"/>
        <v/>
      </c>
      <c r="AF5896" s="15" t="str">
        <f t="shared" si="1"/>
        <v/>
      </c>
      <c r="AG5896" s="15" t="str">
        <f>IF(OR(AF5896="",AF5896="ERRO_CHAVE"),"",IFERROR(MATCH(AF5896,'Quitados DUPP'!$U$1:$U$6635,0),""))</f>
        <v/>
      </c>
      <c r="AH5896" s="15" t="str">
        <f t="shared" si="2"/>
        <v/>
      </c>
      <c r="AI5896" s="17" t="str">
        <f>IF(AG5896="","",INDEX('Quitados DUPP'!$G$1:$G$6635,AG5896))</f>
        <v/>
      </c>
      <c r="AJ5896" s="17" t="str">
        <f t="shared" si="3"/>
        <v/>
      </c>
    </row>
    <row r="5897" spans="31:36">
      <c r="AE5897" s="15" t="str">
        <f t="shared" si="0"/>
        <v/>
      </c>
      <c r="AF5897" s="15" t="str">
        <f t="shared" si="1"/>
        <v/>
      </c>
      <c r="AG5897" s="15" t="str">
        <f>IF(OR(AF5897="",AF5897="ERRO_CHAVE"),"",IFERROR(MATCH(AF5897,'Quitados DUPP'!$U$1:$U$6635,0),""))</f>
        <v/>
      </c>
      <c r="AH5897" s="15" t="str">
        <f t="shared" si="2"/>
        <v/>
      </c>
      <c r="AI5897" s="17" t="str">
        <f>IF(AG5897="","",INDEX('Quitados DUPP'!$G$1:$G$6635,AG5897))</f>
        <v/>
      </c>
      <c r="AJ5897" s="17" t="str">
        <f t="shared" si="3"/>
        <v/>
      </c>
    </row>
    <row r="5898" spans="31:36">
      <c r="AE5898" s="15" t="str">
        <f t="shared" si="0"/>
        <v/>
      </c>
      <c r="AF5898" s="15" t="str">
        <f t="shared" si="1"/>
        <v/>
      </c>
      <c r="AG5898" s="15" t="str">
        <f>IF(OR(AF5898="",AF5898="ERRO_CHAVE"),"",IFERROR(MATCH(AF5898,'Quitados DUPP'!$U$1:$U$6635,0),""))</f>
        <v/>
      </c>
      <c r="AH5898" s="15" t="str">
        <f t="shared" si="2"/>
        <v/>
      </c>
      <c r="AI5898" s="17" t="str">
        <f>IF(AG5898="","",INDEX('Quitados DUPP'!$G$1:$G$6635,AG5898))</f>
        <v/>
      </c>
      <c r="AJ5898" s="17" t="str">
        <f t="shared" si="3"/>
        <v/>
      </c>
    </row>
    <row r="5899" spans="31:36">
      <c r="AE5899" s="15" t="str">
        <f t="shared" si="0"/>
        <v/>
      </c>
      <c r="AF5899" s="15" t="str">
        <f t="shared" si="1"/>
        <v/>
      </c>
      <c r="AG5899" s="15" t="str">
        <f>IF(OR(AF5899="",AF5899="ERRO_CHAVE"),"",IFERROR(MATCH(AF5899,'Quitados DUPP'!$U$1:$U$6635,0),""))</f>
        <v/>
      </c>
      <c r="AH5899" s="15" t="str">
        <f t="shared" si="2"/>
        <v/>
      </c>
      <c r="AI5899" s="17" t="str">
        <f>IF(AG5899="","",INDEX('Quitados DUPP'!$G$1:$G$6635,AG5899))</f>
        <v/>
      </c>
      <c r="AJ5899" s="17" t="str">
        <f t="shared" si="3"/>
        <v/>
      </c>
    </row>
    <row r="5900" spans="31:36">
      <c r="AE5900" s="15" t="str">
        <f t="shared" si="0"/>
        <v/>
      </c>
      <c r="AF5900" s="15" t="str">
        <f t="shared" si="1"/>
        <v/>
      </c>
      <c r="AG5900" s="15" t="str">
        <f>IF(OR(AF5900="",AF5900="ERRO_CHAVE"),"",IFERROR(MATCH(AF5900,'Quitados DUPP'!$U$1:$U$6635,0),""))</f>
        <v/>
      </c>
      <c r="AH5900" s="15" t="str">
        <f t="shared" si="2"/>
        <v/>
      </c>
      <c r="AI5900" s="17" t="str">
        <f>IF(AG5900="","",INDEX('Quitados DUPP'!$G$1:$G$6635,AG5900))</f>
        <v/>
      </c>
      <c r="AJ5900" s="17" t="str">
        <f t="shared" si="3"/>
        <v/>
      </c>
    </row>
    <row r="5901" spans="31:36">
      <c r="AE5901" s="15" t="str">
        <f t="shared" si="0"/>
        <v/>
      </c>
      <c r="AF5901" s="15" t="str">
        <f t="shared" si="1"/>
        <v/>
      </c>
      <c r="AG5901" s="15" t="str">
        <f>IF(OR(AF5901="",AF5901="ERRO_CHAVE"),"",IFERROR(MATCH(AF5901,'Quitados DUPP'!$U$1:$U$6635,0),""))</f>
        <v/>
      </c>
      <c r="AH5901" s="15" t="str">
        <f t="shared" si="2"/>
        <v/>
      </c>
      <c r="AI5901" s="17" t="str">
        <f>IF(AG5901="","",INDEX('Quitados DUPP'!$G$1:$G$6635,AG5901))</f>
        <v/>
      </c>
      <c r="AJ5901" s="17" t="str">
        <f t="shared" si="3"/>
        <v/>
      </c>
    </row>
    <row r="5902" spans="31:36">
      <c r="AE5902" s="15" t="str">
        <f t="shared" si="0"/>
        <v/>
      </c>
      <c r="AF5902" s="15" t="str">
        <f t="shared" si="1"/>
        <v/>
      </c>
      <c r="AG5902" s="15" t="str">
        <f>IF(OR(AF5902="",AF5902="ERRO_CHAVE"),"",IFERROR(MATCH(AF5902,'Quitados DUPP'!$U$1:$U$6635,0),""))</f>
        <v/>
      </c>
      <c r="AH5902" s="15" t="str">
        <f t="shared" si="2"/>
        <v/>
      </c>
      <c r="AI5902" s="17" t="str">
        <f>IF(AG5902="","",INDEX('Quitados DUPP'!$G$1:$G$6635,AG5902))</f>
        <v/>
      </c>
      <c r="AJ5902" s="17" t="str">
        <f t="shared" si="3"/>
        <v/>
      </c>
    </row>
    <row r="5903" spans="31:36">
      <c r="AE5903" s="15" t="str">
        <f t="shared" si="0"/>
        <v/>
      </c>
      <c r="AF5903" s="15" t="str">
        <f t="shared" si="1"/>
        <v/>
      </c>
      <c r="AG5903" s="15" t="str">
        <f>IF(OR(AF5903="",AF5903="ERRO_CHAVE"),"",IFERROR(MATCH(AF5903,'Quitados DUPP'!$U$1:$U$6635,0),""))</f>
        <v/>
      </c>
      <c r="AH5903" s="15" t="str">
        <f t="shared" si="2"/>
        <v/>
      </c>
      <c r="AI5903" s="17" t="str">
        <f>IF(AG5903="","",INDEX('Quitados DUPP'!$G$1:$G$6635,AG5903))</f>
        <v/>
      </c>
      <c r="AJ5903" s="17" t="str">
        <f t="shared" si="3"/>
        <v/>
      </c>
    </row>
    <row r="5904" spans="31:36">
      <c r="AE5904" s="15" t="str">
        <f t="shared" si="0"/>
        <v/>
      </c>
      <c r="AF5904" s="15" t="str">
        <f t="shared" si="1"/>
        <v/>
      </c>
      <c r="AG5904" s="15" t="str">
        <f>IF(OR(AF5904="",AF5904="ERRO_CHAVE"),"",IFERROR(MATCH(AF5904,'Quitados DUPP'!$U$1:$U$6635,0),""))</f>
        <v/>
      </c>
      <c r="AH5904" s="15" t="str">
        <f t="shared" si="2"/>
        <v/>
      </c>
      <c r="AI5904" s="17" t="str">
        <f>IF(AG5904="","",INDEX('Quitados DUPP'!$G$1:$G$6635,AG5904))</f>
        <v/>
      </c>
      <c r="AJ5904" s="17" t="str">
        <f t="shared" si="3"/>
        <v/>
      </c>
    </row>
    <row r="5905" spans="31:36">
      <c r="AE5905" s="15" t="str">
        <f t="shared" si="0"/>
        <v/>
      </c>
      <c r="AF5905" s="15" t="str">
        <f t="shared" si="1"/>
        <v/>
      </c>
      <c r="AG5905" s="15" t="str">
        <f>IF(OR(AF5905="",AF5905="ERRO_CHAVE"),"",IFERROR(MATCH(AF5905,'Quitados DUPP'!$U$1:$U$6635,0),""))</f>
        <v/>
      </c>
      <c r="AH5905" s="15" t="str">
        <f t="shared" si="2"/>
        <v/>
      </c>
      <c r="AI5905" s="17" t="str">
        <f>IF(AG5905="","",INDEX('Quitados DUPP'!$G$1:$G$6635,AG5905))</f>
        <v/>
      </c>
      <c r="AJ5905" s="17" t="str">
        <f t="shared" si="3"/>
        <v/>
      </c>
    </row>
    <row r="5906" spans="31:36">
      <c r="AE5906" s="15" t="str">
        <f t="shared" si="0"/>
        <v/>
      </c>
      <c r="AF5906" s="15" t="str">
        <f t="shared" si="1"/>
        <v/>
      </c>
      <c r="AG5906" s="15" t="str">
        <f>IF(OR(AF5906="",AF5906="ERRO_CHAVE"),"",IFERROR(MATCH(AF5906,'Quitados DUPP'!$U$1:$U$6635,0),""))</f>
        <v/>
      </c>
      <c r="AH5906" s="15" t="str">
        <f t="shared" si="2"/>
        <v/>
      </c>
      <c r="AI5906" s="17" t="str">
        <f>IF(AG5906="","",INDEX('Quitados DUPP'!$G$1:$G$6635,AG5906))</f>
        <v/>
      </c>
      <c r="AJ5906" s="17" t="str">
        <f t="shared" si="3"/>
        <v/>
      </c>
    </row>
    <row r="5907" spans="31:36">
      <c r="AE5907" s="15" t="str">
        <f t="shared" si="0"/>
        <v/>
      </c>
      <c r="AF5907" s="15" t="str">
        <f t="shared" si="1"/>
        <v/>
      </c>
      <c r="AG5907" s="15" t="str">
        <f>IF(OR(AF5907="",AF5907="ERRO_CHAVE"),"",IFERROR(MATCH(AF5907,'Quitados DUPP'!$U$1:$U$6635,0),""))</f>
        <v/>
      </c>
      <c r="AH5907" s="15" t="str">
        <f t="shared" si="2"/>
        <v/>
      </c>
      <c r="AI5907" s="17" t="str">
        <f>IF(AG5907="","",INDEX('Quitados DUPP'!$G$1:$G$6635,AG5907))</f>
        <v/>
      </c>
      <c r="AJ5907" s="17" t="str">
        <f t="shared" si="3"/>
        <v/>
      </c>
    </row>
    <row r="5908" spans="31:36">
      <c r="AE5908" s="15" t="str">
        <f t="shared" si="0"/>
        <v/>
      </c>
      <c r="AF5908" s="15" t="str">
        <f t="shared" si="1"/>
        <v/>
      </c>
      <c r="AG5908" s="15" t="str">
        <f>IF(OR(AF5908="",AF5908="ERRO_CHAVE"),"",IFERROR(MATCH(AF5908,'Quitados DUPP'!$U$1:$U$6635,0),""))</f>
        <v/>
      </c>
      <c r="AH5908" s="15" t="str">
        <f t="shared" si="2"/>
        <v/>
      </c>
      <c r="AI5908" s="17" t="str">
        <f>IF(AG5908="","",INDEX('Quitados DUPP'!$G$1:$G$6635,AG5908))</f>
        <v/>
      </c>
      <c r="AJ5908" s="17" t="str">
        <f t="shared" si="3"/>
        <v/>
      </c>
    </row>
    <row r="5909" spans="31:36">
      <c r="AE5909" s="15" t="str">
        <f t="shared" si="0"/>
        <v/>
      </c>
      <c r="AF5909" s="15" t="str">
        <f t="shared" si="1"/>
        <v/>
      </c>
      <c r="AG5909" s="15" t="str">
        <f>IF(OR(AF5909="",AF5909="ERRO_CHAVE"),"",IFERROR(MATCH(AF5909,'Quitados DUPP'!$U$1:$U$6635,0),""))</f>
        <v/>
      </c>
      <c r="AH5909" s="15" t="str">
        <f t="shared" si="2"/>
        <v/>
      </c>
      <c r="AI5909" s="17" t="str">
        <f>IF(AG5909="","",INDEX('Quitados DUPP'!$G$1:$G$6635,AG5909))</f>
        <v/>
      </c>
      <c r="AJ5909" s="17" t="str">
        <f t="shared" si="3"/>
        <v/>
      </c>
    </row>
    <row r="5910" spans="31:36">
      <c r="AE5910" s="15" t="str">
        <f t="shared" si="0"/>
        <v/>
      </c>
      <c r="AF5910" s="15" t="str">
        <f t="shared" si="1"/>
        <v/>
      </c>
      <c r="AG5910" s="15" t="str">
        <f>IF(OR(AF5910="",AF5910="ERRO_CHAVE"),"",IFERROR(MATCH(AF5910,'Quitados DUPP'!$U$1:$U$6635,0),""))</f>
        <v/>
      </c>
      <c r="AH5910" s="15" t="str">
        <f t="shared" si="2"/>
        <v/>
      </c>
      <c r="AI5910" s="17" t="str">
        <f>IF(AG5910="","",INDEX('Quitados DUPP'!$G$1:$G$6635,AG5910))</f>
        <v/>
      </c>
      <c r="AJ5910" s="17" t="str">
        <f t="shared" si="3"/>
        <v/>
      </c>
    </row>
    <row r="5911" spans="31:36">
      <c r="AE5911" s="15" t="str">
        <f t="shared" si="0"/>
        <v/>
      </c>
      <c r="AF5911" s="15" t="str">
        <f t="shared" si="1"/>
        <v/>
      </c>
      <c r="AG5911" s="15" t="str">
        <f>IF(OR(AF5911="",AF5911="ERRO_CHAVE"),"",IFERROR(MATCH(AF5911,'Quitados DUPP'!$U$1:$U$6635,0),""))</f>
        <v/>
      </c>
      <c r="AH5911" s="15" t="str">
        <f t="shared" si="2"/>
        <v/>
      </c>
      <c r="AI5911" s="17" t="str">
        <f>IF(AG5911="","",INDEX('Quitados DUPP'!$G$1:$G$6635,AG5911))</f>
        <v/>
      </c>
      <c r="AJ5911" s="17" t="str">
        <f t="shared" si="3"/>
        <v/>
      </c>
    </row>
    <row r="5912" spans="31:36">
      <c r="AE5912" s="15" t="str">
        <f t="shared" si="0"/>
        <v/>
      </c>
      <c r="AF5912" s="15" t="str">
        <f t="shared" si="1"/>
        <v/>
      </c>
      <c r="AG5912" s="15" t="str">
        <f>IF(OR(AF5912="",AF5912="ERRO_CHAVE"),"",IFERROR(MATCH(AF5912,'Quitados DUPP'!$U$1:$U$6635,0),""))</f>
        <v/>
      </c>
      <c r="AH5912" s="15" t="str">
        <f t="shared" si="2"/>
        <v/>
      </c>
      <c r="AI5912" s="17" t="str">
        <f>IF(AG5912="","",INDEX('Quitados DUPP'!$G$1:$G$6635,AG5912))</f>
        <v/>
      </c>
      <c r="AJ5912" s="17" t="str">
        <f t="shared" si="3"/>
        <v/>
      </c>
    </row>
    <row r="5913" spans="31:36">
      <c r="AE5913" s="15" t="str">
        <f t="shared" si="0"/>
        <v/>
      </c>
      <c r="AF5913" s="15" t="str">
        <f t="shared" si="1"/>
        <v/>
      </c>
      <c r="AG5913" s="15" t="str">
        <f>IF(OR(AF5913="",AF5913="ERRO_CHAVE"),"",IFERROR(MATCH(AF5913,'Quitados DUPP'!$U$1:$U$6635,0),""))</f>
        <v/>
      </c>
      <c r="AH5913" s="15" t="str">
        <f t="shared" si="2"/>
        <v/>
      </c>
      <c r="AI5913" s="17" t="str">
        <f>IF(AG5913="","",INDEX('Quitados DUPP'!$G$1:$G$6635,AG5913))</f>
        <v/>
      </c>
      <c r="AJ5913" s="17" t="str">
        <f t="shared" si="3"/>
        <v/>
      </c>
    </row>
    <row r="5914" spans="31:36">
      <c r="AE5914" s="15" t="str">
        <f t="shared" si="0"/>
        <v/>
      </c>
      <c r="AF5914" s="15" t="str">
        <f t="shared" si="1"/>
        <v/>
      </c>
      <c r="AG5914" s="15" t="str">
        <f>IF(OR(AF5914="",AF5914="ERRO_CHAVE"),"",IFERROR(MATCH(AF5914,'Quitados DUPP'!$U$1:$U$6635,0),""))</f>
        <v/>
      </c>
      <c r="AH5914" s="15" t="str">
        <f t="shared" si="2"/>
        <v/>
      </c>
      <c r="AI5914" s="17" t="str">
        <f>IF(AG5914="","",INDEX('Quitados DUPP'!$G$1:$G$6635,AG5914))</f>
        <v/>
      </c>
      <c r="AJ5914" s="17" t="str">
        <f t="shared" si="3"/>
        <v/>
      </c>
    </row>
    <row r="5915" spans="31:36">
      <c r="AE5915" s="15" t="str">
        <f t="shared" si="0"/>
        <v/>
      </c>
      <c r="AF5915" s="15" t="str">
        <f t="shared" si="1"/>
        <v/>
      </c>
      <c r="AG5915" s="15" t="str">
        <f>IF(OR(AF5915="",AF5915="ERRO_CHAVE"),"",IFERROR(MATCH(AF5915,'Quitados DUPP'!$U$1:$U$6635,0),""))</f>
        <v/>
      </c>
      <c r="AH5915" s="15" t="str">
        <f t="shared" si="2"/>
        <v/>
      </c>
      <c r="AI5915" s="17" t="str">
        <f>IF(AG5915="","",INDEX('Quitados DUPP'!$G$1:$G$6635,AG5915))</f>
        <v/>
      </c>
      <c r="AJ5915" s="17" t="str">
        <f t="shared" si="3"/>
        <v/>
      </c>
    </row>
    <row r="5916" spans="31:36">
      <c r="AE5916" s="15" t="str">
        <f t="shared" si="0"/>
        <v/>
      </c>
      <c r="AF5916" s="15" t="str">
        <f t="shared" si="1"/>
        <v/>
      </c>
      <c r="AG5916" s="15" t="str">
        <f>IF(OR(AF5916="",AF5916="ERRO_CHAVE"),"",IFERROR(MATCH(AF5916,'Quitados DUPP'!$U$1:$U$6635,0),""))</f>
        <v/>
      </c>
      <c r="AH5916" s="15" t="str">
        <f t="shared" si="2"/>
        <v/>
      </c>
      <c r="AI5916" s="17" t="str">
        <f>IF(AG5916="","",INDEX('Quitados DUPP'!$G$1:$G$6635,AG5916))</f>
        <v/>
      </c>
      <c r="AJ5916" s="17" t="str">
        <f t="shared" si="3"/>
        <v/>
      </c>
    </row>
    <row r="5917" spans="31:36">
      <c r="AE5917" s="15" t="str">
        <f t="shared" si="0"/>
        <v/>
      </c>
      <c r="AF5917" s="15" t="str">
        <f t="shared" si="1"/>
        <v/>
      </c>
      <c r="AG5917" s="15" t="str">
        <f>IF(OR(AF5917="",AF5917="ERRO_CHAVE"),"",IFERROR(MATCH(AF5917,'Quitados DUPP'!$U$1:$U$6635,0),""))</f>
        <v/>
      </c>
      <c r="AH5917" s="15" t="str">
        <f t="shared" si="2"/>
        <v/>
      </c>
      <c r="AI5917" s="17" t="str">
        <f>IF(AG5917="","",INDEX('Quitados DUPP'!$G$1:$G$6635,AG5917))</f>
        <v/>
      </c>
      <c r="AJ5917" s="17" t="str">
        <f t="shared" si="3"/>
        <v/>
      </c>
    </row>
    <row r="5918" spans="31:36">
      <c r="AE5918" s="15" t="str">
        <f t="shared" si="0"/>
        <v/>
      </c>
      <c r="AF5918" s="15" t="str">
        <f t="shared" si="1"/>
        <v/>
      </c>
      <c r="AG5918" s="15" t="str">
        <f>IF(OR(AF5918="",AF5918="ERRO_CHAVE"),"",IFERROR(MATCH(AF5918,'Quitados DUPP'!$U$1:$U$6635,0),""))</f>
        <v/>
      </c>
      <c r="AH5918" s="15" t="str">
        <f t="shared" si="2"/>
        <v/>
      </c>
      <c r="AI5918" s="17" t="str">
        <f>IF(AG5918="","",INDEX('Quitados DUPP'!$G$1:$G$6635,AG5918))</f>
        <v/>
      </c>
      <c r="AJ5918" s="17" t="str">
        <f t="shared" si="3"/>
        <v/>
      </c>
    </row>
    <row r="5919" spans="31:36">
      <c r="AE5919" s="15" t="str">
        <f t="shared" si="0"/>
        <v/>
      </c>
      <c r="AF5919" s="15" t="str">
        <f t="shared" si="1"/>
        <v/>
      </c>
      <c r="AG5919" s="15" t="str">
        <f>IF(OR(AF5919="",AF5919="ERRO_CHAVE"),"",IFERROR(MATCH(AF5919,'Quitados DUPP'!$U$1:$U$6635,0),""))</f>
        <v/>
      </c>
      <c r="AH5919" s="15" t="str">
        <f t="shared" si="2"/>
        <v/>
      </c>
      <c r="AI5919" s="17" t="str">
        <f>IF(AG5919="","",INDEX('Quitados DUPP'!$G$1:$G$6635,AG5919))</f>
        <v/>
      </c>
      <c r="AJ5919" s="17" t="str">
        <f t="shared" si="3"/>
        <v/>
      </c>
    </row>
    <row r="5920" spans="31:36">
      <c r="AE5920" s="15" t="str">
        <f t="shared" si="0"/>
        <v/>
      </c>
      <c r="AF5920" s="15" t="str">
        <f t="shared" si="1"/>
        <v/>
      </c>
      <c r="AG5920" s="15" t="str">
        <f>IF(OR(AF5920="",AF5920="ERRO_CHAVE"),"",IFERROR(MATCH(AF5920,'Quitados DUPP'!$U$1:$U$6635,0),""))</f>
        <v/>
      </c>
      <c r="AH5920" s="15" t="str">
        <f t="shared" si="2"/>
        <v/>
      </c>
      <c r="AI5920" s="17" t="str">
        <f>IF(AG5920="","",INDEX('Quitados DUPP'!$G$1:$G$6635,AG5920))</f>
        <v/>
      </c>
      <c r="AJ5920" s="17" t="str">
        <f t="shared" si="3"/>
        <v/>
      </c>
    </row>
    <row r="5921" spans="31:36">
      <c r="AE5921" s="15" t="str">
        <f t="shared" si="0"/>
        <v/>
      </c>
      <c r="AF5921" s="15" t="str">
        <f t="shared" si="1"/>
        <v/>
      </c>
      <c r="AG5921" s="15" t="str">
        <f>IF(OR(AF5921="",AF5921="ERRO_CHAVE"),"",IFERROR(MATCH(AF5921,'Quitados DUPP'!$U$1:$U$6635,0),""))</f>
        <v/>
      </c>
      <c r="AH5921" s="15" t="str">
        <f t="shared" si="2"/>
        <v/>
      </c>
      <c r="AI5921" s="17" t="str">
        <f>IF(AG5921="","",INDEX('Quitados DUPP'!$G$1:$G$6635,AG5921))</f>
        <v/>
      </c>
      <c r="AJ5921" s="17" t="str">
        <f t="shared" si="3"/>
        <v/>
      </c>
    </row>
    <row r="5922" spans="31:36">
      <c r="AE5922" s="15" t="str">
        <f t="shared" si="0"/>
        <v/>
      </c>
      <c r="AF5922" s="15" t="str">
        <f t="shared" si="1"/>
        <v/>
      </c>
      <c r="AG5922" s="15" t="str">
        <f>IF(OR(AF5922="",AF5922="ERRO_CHAVE"),"",IFERROR(MATCH(AF5922,'Quitados DUPP'!$U$1:$U$6635,0),""))</f>
        <v/>
      </c>
      <c r="AH5922" s="15" t="str">
        <f t="shared" si="2"/>
        <v/>
      </c>
      <c r="AI5922" s="17" t="str">
        <f>IF(AG5922="","",INDEX('Quitados DUPP'!$G$1:$G$6635,AG5922))</f>
        <v/>
      </c>
      <c r="AJ5922" s="17" t="str">
        <f t="shared" si="3"/>
        <v/>
      </c>
    </row>
    <row r="5923" spans="31:36">
      <c r="AE5923" s="15" t="str">
        <f t="shared" si="0"/>
        <v/>
      </c>
      <c r="AF5923" s="15" t="str">
        <f t="shared" si="1"/>
        <v/>
      </c>
      <c r="AG5923" s="15" t="str">
        <f>IF(OR(AF5923="",AF5923="ERRO_CHAVE"),"",IFERROR(MATCH(AF5923,'Quitados DUPP'!$U$1:$U$6635,0),""))</f>
        <v/>
      </c>
      <c r="AH5923" s="15" t="str">
        <f t="shared" si="2"/>
        <v/>
      </c>
      <c r="AI5923" s="17" t="str">
        <f>IF(AG5923="","",INDEX('Quitados DUPP'!$G$1:$G$6635,AG5923))</f>
        <v/>
      </c>
      <c r="AJ5923" s="17" t="str">
        <f t="shared" si="3"/>
        <v/>
      </c>
    </row>
    <row r="5924" spans="31:36">
      <c r="AE5924" s="15" t="str">
        <f t="shared" si="0"/>
        <v/>
      </c>
      <c r="AF5924" s="15" t="str">
        <f t="shared" si="1"/>
        <v/>
      </c>
      <c r="AG5924" s="15" t="str">
        <f>IF(OR(AF5924="",AF5924="ERRO_CHAVE"),"",IFERROR(MATCH(AF5924,'Quitados DUPP'!$U$1:$U$6635,0),""))</f>
        <v/>
      </c>
      <c r="AH5924" s="15" t="str">
        <f t="shared" si="2"/>
        <v/>
      </c>
      <c r="AI5924" s="17" t="str">
        <f>IF(AG5924="","",INDEX('Quitados DUPP'!$G$1:$G$6635,AG5924))</f>
        <v/>
      </c>
      <c r="AJ5924" s="17" t="str">
        <f t="shared" si="3"/>
        <v/>
      </c>
    </row>
    <row r="5925" spans="31:36">
      <c r="AE5925" s="15" t="str">
        <f t="shared" si="0"/>
        <v/>
      </c>
      <c r="AF5925" s="15" t="str">
        <f t="shared" si="1"/>
        <v/>
      </c>
      <c r="AG5925" s="15" t="str">
        <f>IF(OR(AF5925="",AF5925="ERRO_CHAVE"),"",IFERROR(MATCH(AF5925,'Quitados DUPP'!$U$1:$U$6635,0),""))</f>
        <v/>
      </c>
      <c r="AH5925" s="15" t="str">
        <f t="shared" si="2"/>
        <v/>
      </c>
      <c r="AI5925" s="17" t="str">
        <f>IF(AG5925="","",INDEX('Quitados DUPP'!$G$1:$G$6635,AG5925))</f>
        <v/>
      </c>
      <c r="AJ5925" s="17" t="str">
        <f t="shared" si="3"/>
        <v/>
      </c>
    </row>
    <row r="5926" spans="31:36">
      <c r="AE5926" s="15" t="str">
        <f t="shared" si="0"/>
        <v/>
      </c>
      <c r="AF5926" s="15" t="str">
        <f t="shared" si="1"/>
        <v/>
      </c>
      <c r="AG5926" s="15" t="str">
        <f>IF(OR(AF5926="",AF5926="ERRO_CHAVE"),"",IFERROR(MATCH(AF5926,'Quitados DUPP'!$U$1:$U$6635,0),""))</f>
        <v/>
      </c>
      <c r="AH5926" s="15" t="str">
        <f t="shared" si="2"/>
        <v/>
      </c>
      <c r="AI5926" s="17" t="str">
        <f>IF(AG5926="","",INDEX('Quitados DUPP'!$G$1:$G$6635,AG5926))</f>
        <v/>
      </c>
      <c r="AJ5926" s="17" t="str">
        <f t="shared" si="3"/>
        <v/>
      </c>
    </row>
    <row r="5927" spans="31:36">
      <c r="AE5927" s="15" t="str">
        <f t="shared" si="0"/>
        <v/>
      </c>
      <c r="AF5927" s="15" t="str">
        <f t="shared" si="1"/>
        <v/>
      </c>
      <c r="AG5927" s="15" t="str">
        <f>IF(OR(AF5927="",AF5927="ERRO_CHAVE"),"",IFERROR(MATCH(AF5927,'Quitados DUPP'!$U$1:$U$6635,0),""))</f>
        <v/>
      </c>
      <c r="AH5927" s="15" t="str">
        <f t="shared" si="2"/>
        <v/>
      </c>
      <c r="AI5927" s="17" t="str">
        <f>IF(AG5927="","",INDEX('Quitados DUPP'!$G$1:$G$6635,AG5927))</f>
        <v/>
      </c>
      <c r="AJ5927" s="17" t="str">
        <f t="shared" si="3"/>
        <v/>
      </c>
    </row>
    <row r="5928" spans="31:36">
      <c r="AE5928" s="15" t="str">
        <f t="shared" si="0"/>
        <v/>
      </c>
      <c r="AF5928" s="15" t="str">
        <f t="shared" si="1"/>
        <v/>
      </c>
      <c r="AG5928" s="15" t="str">
        <f>IF(OR(AF5928="",AF5928="ERRO_CHAVE"),"",IFERROR(MATCH(AF5928,'Quitados DUPP'!$U$1:$U$6635,0),""))</f>
        <v/>
      </c>
      <c r="AH5928" s="15" t="str">
        <f t="shared" si="2"/>
        <v/>
      </c>
      <c r="AI5928" s="17" t="str">
        <f>IF(AG5928="","",INDEX('Quitados DUPP'!$G$1:$G$6635,AG5928))</f>
        <v/>
      </c>
      <c r="AJ5928" s="17" t="str">
        <f t="shared" si="3"/>
        <v/>
      </c>
    </row>
    <row r="5929" spans="31:36">
      <c r="AE5929" s="15" t="str">
        <f t="shared" si="0"/>
        <v/>
      </c>
      <c r="AF5929" s="15" t="str">
        <f t="shared" si="1"/>
        <v/>
      </c>
      <c r="AG5929" s="15" t="str">
        <f>IF(OR(AF5929="",AF5929="ERRO_CHAVE"),"",IFERROR(MATCH(AF5929,'Quitados DUPP'!$U$1:$U$6635,0),""))</f>
        <v/>
      </c>
      <c r="AH5929" s="15" t="str">
        <f t="shared" si="2"/>
        <v/>
      </c>
      <c r="AI5929" s="17" t="str">
        <f>IF(AG5929="","",INDEX('Quitados DUPP'!$G$1:$G$6635,AG5929))</f>
        <v/>
      </c>
      <c r="AJ5929" s="17" t="str">
        <f t="shared" si="3"/>
        <v/>
      </c>
    </row>
    <row r="5930" spans="31:36">
      <c r="AE5930" s="15" t="str">
        <f t="shared" si="0"/>
        <v/>
      </c>
      <c r="AF5930" s="15" t="str">
        <f t="shared" si="1"/>
        <v/>
      </c>
      <c r="AG5930" s="15" t="str">
        <f>IF(OR(AF5930="",AF5930="ERRO_CHAVE"),"",IFERROR(MATCH(AF5930,'Quitados DUPP'!$U$1:$U$6635,0),""))</f>
        <v/>
      </c>
      <c r="AH5930" s="15" t="str">
        <f t="shared" si="2"/>
        <v/>
      </c>
      <c r="AI5930" s="17" t="str">
        <f>IF(AG5930="","",INDEX('Quitados DUPP'!$G$1:$G$6635,AG5930))</f>
        <v/>
      </c>
      <c r="AJ5930" s="17" t="str">
        <f t="shared" si="3"/>
        <v/>
      </c>
    </row>
    <row r="5931" spans="31:36">
      <c r="AE5931" s="15" t="str">
        <f t="shared" si="0"/>
        <v/>
      </c>
      <c r="AF5931" s="15" t="str">
        <f t="shared" si="1"/>
        <v/>
      </c>
      <c r="AG5931" s="15" t="str">
        <f>IF(OR(AF5931="",AF5931="ERRO_CHAVE"),"",IFERROR(MATCH(AF5931,'Quitados DUPP'!$U$1:$U$6635,0),""))</f>
        <v/>
      </c>
      <c r="AH5931" s="15" t="str">
        <f t="shared" si="2"/>
        <v/>
      </c>
      <c r="AI5931" s="17" t="str">
        <f>IF(AG5931="","",INDEX('Quitados DUPP'!$G$1:$G$6635,AG5931))</f>
        <v/>
      </c>
      <c r="AJ5931" s="17" t="str">
        <f t="shared" si="3"/>
        <v/>
      </c>
    </row>
    <row r="5932" spans="31:36">
      <c r="AE5932" s="15" t="str">
        <f t="shared" si="0"/>
        <v/>
      </c>
      <c r="AF5932" s="15" t="str">
        <f t="shared" si="1"/>
        <v/>
      </c>
      <c r="AG5932" s="15" t="str">
        <f>IF(OR(AF5932="",AF5932="ERRO_CHAVE"),"",IFERROR(MATCH(AF5932,'Quitados DUPP'!$U$1:$U$6635,0),""))</f>
        <v/>
      </c>
      <c r="AH5932" s="15" t="str">
        <f t="shared" si="2"/>
        <v/>
      </c>
      <c r="AI5932" s="17" t="str">
        <f>IF(AG5932="","",INDEX('Quitados DUPP'!$G$1:$G$6635,AG5932))</f>
        <v/>
      </c>
      <c r="AJ5932" s="17" t="str">
        <f t="shared" si="3"/>
        <v/>
      </c>
    </row>
    <row r="5933" spans="31:36">
      <c r="AE5933" s="15" t="str">
        <f t="shared" si="0"/>
        <v/>
      </c>
      <c r="AF5933" s="15" t="str">
        <f t="shared" si="1"/>
        <v/>
      </c>
      <c r="AG5933" s="15" t="str">
        <f>IF(OR(AF5933="",AF5933="ERRO_CHAVE"),"",IFERROR(MATCH(AF5933,'Quitados DUPP'!$U$1:$U$6635,0),""))</f>
        <v/>
      </c>
      <c r="AH5933" s="15" t="str">
        <f t="shared" si="2"/>
        <v/>
      </c>
      <c r="AI5933" s="17" t="str">
        <f>IF(AG5933="","",INDEX('Quitados DUPP'!$G$1:$G$6635,AG5933))</f>
        <v/>
      </c>
      <c r="AJ5933" s="17" t="str">
        <f t="shared" si="3"/>
        <v/>
      </c>
    </row>
    <row r="5934" spans="31:36">
      <c r="AE5934" s="15" t="str">
        <f t="shared" si="0"/>
        <v/>
      </c>
      <c r="AF5934" s="15" t="str">
        <f t="shared" si="1"/>
        <v/>
      </c>
      <c r="AG5934" s="15" t="str">
        <f>IF(OR(AF5934="",AF5934="ERRO_CHAVE"),"",IFERROR(MATCH(AF5934,'Quitados DUPP'!$U$1:$U$6635,0),""))</f>
        <v/>
      </c>
      <c r="AH5934" s="15" t="str">
        <f t="shared" si="2"/>
        <v/>
      </c>
      <c r="AI5934" s="17" t="str">
        <f>IF(AG5934="","",INDEX('Quitados DUPP'!$G$1:$G$6635,AG5934))</f>
        <v/>
      </c>
      <c r="AJ5934" s="17" t="str">
        <f t="shared" si="3"/>
        <v/>
      </c>
    </row>
    <row r="5935" spans="31:36">
      <c r="AE5935" s="15" t="str">
        <f t="shared" si="0"/>
        <v/>
      </c>
      <c r="AF5935" s="15" t="str">
        <f t="shared" si="1"/>
        <v/>
      </c>
      <c r="AG5935" s="15" t="str">
        <f>IF(OR(AF5935="",AF5935="ERRO_CHAVE"),"",IFERROR(MATCH(AF5935,'Quitados DUPP'!$U$1:$U$6635,0),""))</f>
        <v/>
      </c>
      <c r="AH5935" s="15" t="str">
        <f t="shared" si="2"/>
        <v/>
      </c>
      <c r="AI5935" s="17" t="str">
        <f>IF(AG5935="","",INDEX('Quitados DUPP'!$G$1:$G$6635,AG5935))</f>
        <v/>
      </c>
      <c r="AJ5935" s="17" t="str">
        <f t="shared" si="3"/>
        <v/>
      </c>
    </row>
    <row r="5936" spans="31:36">
      <c r="AE5936" s="15" t="str">
        <f t="shared" si="0"/>
        <v/>
      </c>
      <c r="AF5936" s="15" t="str">
        <f t="shared" si="1"/>
        <v/>
      </c>
      <c r="AG5936" s="15" t="str">
        <f>IF(OR(AF5936="",AF5936="ERRO_CHAVE"),"",IFERROR(MATCH(AF5936,'Quitados DUPP'!$U$1:$U$6635,0),""))</f>
        <v/>
      </c>
      <c r="AH5936" s="15" t="str">
        <f t="shared" si="2"/>
        <v/>
      </c>
      <c r="AI5936" s="17" t="str">
        <f>IF(AG5936="","",INDEX('Quitados DUPP'!$G$1:$G$6635,AG5936))</f>
        <v/>
      </c>
      <c r="AJ5936" s="17" t="str">
        <f t="shared" si="3"/>
        <v/>
      </c>
    </row>
    <row r="5937" spans="31:36">
      <c r="AE5937" s="15" t="str">
        <f t="shared" si="0"/>
        <v/>
      </c>
      <c r="AF5937" s="15" t="str">
        <f t="shared" si="1"/>
        <v/>
      </c>
      <c r="AG5937" s="15" t="str">
        <f>IF(OR(AF5937="",AF5937="ERRO_CHAVE"),"",IFERROR(MATCH(AF5937,'Quitados DUPP'!$U$1:$U$6635,0),""))</f>
        <v/>
      </c>
      <c r="AH5937" s="15" t="str">
        <f t="shared" si="2"/>
        <v/>
      </c>
      <c r="AI5937" s="17" t="str">
        <f>IF(AG5937="","",INDEX('Quitados DUPP'!$G$1:$G$6635,AG5937))</f>
        <v/>
      </c>
      <c r="AJ5937" s="17" t="str">
        <f t="shared" si="3"/>
        <v/>
      </c>
    </row>
    <row r="5938" spans="31:36">
      <c r="AE5938" s="15" t="str">
        <f t="shared" si="0"/>
        <v/>
      </c>
      <c r="AF5938" s="15" t="str">
        <f t="shared" si="1"/>
        <v/>
      </c>
      <c r="AG5938" s="15" t="str">
        <f>IF(OR(AF5938="",AF5938="ERRO_CHAVE"),"",IFERROR(MATCH(AF5938,'Quitados DUPP'!$U$1:$U$6635,0),""))</f>
        <v/>
      </c>
      <c r="AH5938" s="15" t="str">
        <f t="shared" si="2"/>
        <v/>
      </c>
      <c r="AI5938" s="17" t="str">
        <f>IF(AG5938="","",INDEX('Quitados DUPP'!$G$1:$G$6635,AG5938))</f>
        <v/>
      </c>
      <c r="AJ5938" s="17" t="str">
        <f t="shared" si="3"/>
        <v/>
      </c>
    </row>
    <row r="5939" spans="31:36">
      <c r="AE5939" s="15" t="str">
        <f t="shared" si="0"/>
        <v/>
      </c>
      <c r="AF5939" s="15" t="str">
        <f t="shared" si="1"/>
        <v/>
      </c>
      <c r="AG5939" s="15" t="str">
        <f>IF(OR(AF5939="",AF5939="ERRO_CHAVE"),"",IFERROR(MATCH(AF5939,'Quitados DUPP'!$U$1:$U$6635,0),""))</f>
        <v/>
      </c>
      <c r="AH5939" s="15" t="str">
        <f t="shared" si="2"/>
        <v/>
      </c>
      <c r="AI5939" s="17" t="str">
        <f>IF(AG5939="","",INDEX('Quitados DUPP'!$G$1:$G$6635,AG5939))</f>
        <v/>
      </c>
      <c r="AJ5939" s="17" t="str">
        <f t="shared" si="3"/>
        <v/>
      </c>
    </row>
    <row r="5940" spans="31:36">
      <c r="AE5940" s="15" t="str">
        <f t="shared" si="0"/>
        <v/>
      </c>
      <c r="AF5940" s="15" t="str">
        <f t="shared" si="1"/>
        <v/>
      </c>
      <c r="AG5940" s="15" t="str">
        <f>IF(OR(AF5940="",AF5940="ERRO_CHAVE"),"",IFERROR(MATCH(AF5940,'Quitados DUPP'!$U$1:$U$6635,0),""))</f>
        <v/>
      </c>
      <c r="AH5940" s="15" t="str">
        <f t="shared" si="2"/>
        <v/>
      </c>
      <c r="AI5940" s="17" t="str">
        <f>IF(AG5940="","",INDEX('Quitados DUPP'!$G$1:$G$6635,AG5940))</f>
        <v/>
      </c>
      <c r="AJ5940" s="17" t="str">
        <f t="shared" si="3"/>
        <v/>
      </c>
    </row>
    <row r="5941" spans="31:36">
      <c r="AE5941" s="15" t="str">
        <f t="shared" si="0"/>
        <v/>
      </c>
      <c r="AF5941" s="15" t="str">
        <f t="shared" si="1"/>
        <v/>
      </c>
      <c r="AG5941" s="15" t="str">
        <f>IF(OR(AF5941="",AF5941="ERRO_CHAVE"),"",IFERROR(MATCH(AF5941,'Quitados DUPP'!$U$1:$U$6635,0),""))</f>
        <v/>
      </c>
      <c r="AH5941" s="15" t="str">
        <f t="shared" si="2"/>
        <v/>
      </c>
      <c r="AI5941" s="17" t="str">
        <f>IF(AG5941="","",INDEX('Quitados DUPP'!$G$1:$G$6635,AG5941))</f>
        <v/>
      </c>
      <c r="AJ5941" s="17" t="str">
        <f t="shared" si="3"/>
        <v/>
      </c>
    </row>
    <row r="5942" spans="31:36">
      <c r="AE5942" s="15" t="str">
        <f t="shared" si="0"/>
        <v/>
      </c>
      <c r="AF5942" s="15" t="str">
        <f t="shared" si="1"/>
        <v/>
      </c>
      <c r="AG5942" s="15" t="str">
        <f>IF(OR(AF5942="",AF5942="ERRO_CHAVE"),"",IFERROR(MATCH(AF5942,'Quitados DUPP'!$U$1:$U$6635,0),""))</f>
        <v/>
      </c>
      <c r="AH5942" s="15" t="str">
        <f t="shared" si="2"/>
        <v/>
      </c>
      <c r="AI5942" s="17" t="str">
        <f>IF(AG5942="","",INDEX('Quitados DUPP'!$G$1:$G$6635,AG5942))</f>
        <v/>
      </c>
      <c r="AJ5942" s="17" t="str">
        <f t="shared" si="3"/>
        <v/>
      </c>
    </row>
    <row r="5943" spans="31:36">
      <c r="AE5943" s="15" t="str">
        <f t="shared" si="0"/>
        <v/>
      </c>
      <c r="AF5943" s="15" t="str">
        <f t="shared" si="1"/>
        <v/>
      </c>
      <c r="AG5943" s="15" t="str">
        <f>IF(OR(AF5943="",AF5943="ERRO_CHAVE"),"",IFERROR(MATCH(AF5943,'Quitados DUPP'!$U$1:$U$6635,0),""))</f>
        <v/>
      </c>
      <c r="AH5943" s="15" t="str">
        <f t="shared" si="2"/>
        <v/>
      </c>
      <c r="AI5943" s="17" t="str">
        <f>IF(AG5943="","",INDEX('Quitados DUPP'!$G$1:$G$6635,AG5943))</f>
        <v/>
      </c>
      <c r="AJ5943" s="17" t="str">
        <f t="shared" si="3"/>
        <v/>
      </c>
    </row>
    <row r="5944" spans="31:36">
      <c r="AE5944" s="15" t="str">
        <f t="shared" si="0"/>
        <v/>
      </c>
      <c r="AF5944" s="15" t="str">
        <f t="shared" si="1"/>
        <v/>
      </c>
      <c r="AG5944" s="15" t="str">
        <f>IF(OR(AF5944="",AF5944="ERRO_CHAVE"),"",IFERROR(MATCH(AF5944,'Quitados DUPP'!$U$1:$U$6635,0),""))</f>
        <v/>
      </c>
      <c r="AH5944" s="15" t="str">
        <f t="shared" si="2"/>
        <v/>
      </c>
      <c r="AI5944" s="17" t="str">
        <f>IF(AG5944="","",INDEX('Quitados DUPP'!$G$1:$G$6635,AG5944))</f>
        <v/>
      </c>
      <c r="AJ5944" s="17" t="str">
        <f t="shared" si="3"/>
        <v/>
      </c>
    </row>
    <row r="5945" spans="31:36">
      <c r="AE5945" s="15" t="str">
        <f t="shared" si="0"/>
        <v/>
      </c>
      <c r="AF5945" s="15" t="str">
        <f t="shared" si="1"/>
        <v/>
      </c>
      <c r="AG5945" s="15" t="str">
        <f>IF(OR(AF5945="",AF5945="ERRO_CHAVE"),"",IFERROR(MATCH(AF5945,'Quitados DUPP'!$U$1:$U$6635,0),""))</f>
        <v/>
      </c>
      <c r="AH5945" s="15" t="str">
        <f t="shared" si="2"/>
        <v/>
      </c>
      <c r="AI5945" s="17" t="str">
        <f>IF(AG5945="","",INDEX('Quitados DUPP'!$G$1:$G$6635,AG5945))</f>
        <v/>
      </c>
      <c r="AJ5945" s="17" t="str">
        <f t="shared" si="3"/>
        <v/>
      </c>
    </row>
    <row r="5946" spans="31:36">
      <c r="AE5946" s="15" t="str">
        <f t="shared" si="0"/>
        <v/>
      </c>
      <c r="AF5946" s="15" t="str">
        <f t="shared" si="1"/>
        <v/>
      </c>
      <c r="AG5946" s="15" t="str">
        <f>IF(OR(AF5946="",AF5946="ERRO_CHAVE"),"",IFERROR(MATCH(AF5946,'Quitados DUPP'!$U$1:$U$6635,0),""))</f>
        <v/>
      </c>
      <c r="AH5946" s="15" t="str">
        <f t="shared" si="2"/>
        <v/>
      </c>
      <c r="AI5946" s="17" t="str">
        <f>IF(AG5946="","",INDEX('Quitados DUPP'!$G$1:$G$6635,AG5946))</f>
        <v/>
      </c>
      <c r="AJ5946" s="17" t="str">
        <f t="shared" si="3"/>
        <v/>
      </c>
    </row>
    <row r="5947" spans="31:36">
      <c r="AE5947" s="15" t="str">
        <f t="shared" si="0"/>
        <v/>
      </c>
      <c r="AF5947" s="15" t="str">
        <f t="shared" si="1"/>
        <v/>
      </c>
      <c r="AG5947" s="15" t="str">
        <f>IF(OR(AF5947="",AF5947="ERRO_CHAVE"),"",IFERROR(MATCH(AF5947,'Quitados DUPP'!$U$1:$U$6635,0),""))</f>
        <v/>
      </c>
      <c r="AH5947" s="15" t="str">
        <f t="shared" si="2"/>
        <v/>
      </c>
      <c r="AI5947" s="17" t="str">
        <f>IF(AG5947="","",INDEX('Quitados DUPP'!$G$1:$G$6635,AG5947))</f>
        <v/>
      </c>
      <c r="AJ5947" s="17" t="str">
        <f t="shared" si="3"/>
        <v/>
      </c>
    </row>
    <row r="5948" spans="31:36">
      <c r="AE5948" s="15" t="str">
        <f t="shared" si="0"/>
        <v/>
      </c>
      <c r="AF5948" s="15" t="str">
        <f t="shared" si="1"/>
        <v/>
      </c>
      <c r="AG5948" s="15" t="str">
        <f>IF(OR(AF5948="",AF5948="ERRO_CHAVE"),"",IFERROR(MATCH(AF5948,'Quitados DUPP'!$U$1:$U$6635,0),""))</f>
        <v/>
      </c>
      <c r="AH5948" s="15" t="str">
        <f t="shared" si="2"/>
        <v/>
      </c>
      <c r="AI5948" s="17" t="str">
        <f>IF(AG5948="","",INDEX('Quitados DUPP'!$G$1:$G$6635,AG5948))</f>
        <v/>
      </c>
      <c r="AJ5948" s="17" t="str">
        <f t="shared" si="3"/>
        <v/>
      </c>
    </row>
    <row r="5949" spans="31:36">
      <c r="AE5949" s="15" t="str">
        <f t="shared" si="0"/>
        <v/>
      </c>
      <c r="AF5949" s="15" t="str">
        <f t="shared" si="1"/>
        <v/>
      </c>
      <c r="AG5949" s="15" t="str">
        <f>IF(OR(AF5949="",AF5949="ERRO_CHAVE"),"",IFERROR(MATCH(AF5949,'Quitados DUPP'!$U$1:$U$6635,0),""))</f>
        <v/>
      </c>
      <c r="AH5949" s="15" t="str">
        <f t="shared" si="2"/>
        <v/>
      </c>
      <c r="AI5949" s="17" t="str">
        <f>IF(AG5949="","",INDEX('Quitados DUPP'!$G$1:$G$6635,AG5949))</f>
        <v/>
      </c>
      <c r="AJ5949" s="17" t="str">
        <f t="shared" si="3"/>
        <v/>
      </c>
    </row>
    <row r="5950" spans="31:36">
      <c r="AE5950" s="15" t="str">
        <f t="shared" si="0"/>
        <v/>
      </c>
      <c r="AF5950" s="15" t="str">
        <f t="shared" si="1"/>
        <v/>
      </c>
      <c r="AG5950" s="15" t="str">
        <f>IF(OR(AF5950="",AF5950="ERRO_CHAVE"),"",IFERROR(MATCH(AF5950,'Quitados DUPP'!$U$1:$U$6635,0),""))</f>
        <v/>
      </c>
      <c r="AH5950" s="15" t="str">
        <f t="shared" si="2"/>
        <v/>
      </c>
      <c r="AI5950" s="17" t="str">
        <f>IF(AG5950="","",INDEX('Quitados DUPP'!$G$1:$G$6635,AG5950))</f>
        <v/>
      </c>
      <c r="AJ5950" s="17" t="str">
        <f t="shared" si="3"/>
        <v/>
      </c>
    </row>
    <row r="5951" spans="31:36">
      <c r="AE5951" s="15" t="str">
        <f t="shared" si="0"/>
        <v/>
      </c>
      <c r="AF5951" s="15" t="str">
        <f t="shared" si="1"/>
        <v/>
      </c>
      <c r="AG5951" s="15" t="str">
        <f>IF(OR(AF5951="",AF5951="ERRO_CHAVE"),"",IFERROR(MATCH(AF5951,'Quitados DUPP'!$U$1:$U$6635,0),""))</f>
        <v/>
      </c>
      <c r="AH5951" s="15" t="str">
        <f t="shared" si="2"/>
        <v/>
      </c>
      <c r="AI5951" s="17" t="str">
        <f>IF(AG5951="","",INDEX('Quitados DUPP'!$G$1:$G$6635,AG5951))</f>
        <v/>
      </c>
      <c r="AJ5951" s="17" t="str">
        <f t="shared" si="3"/>
        <v/>
      </c>
    </row>
    <row r="5952" spans="31:36">
      <c r="AE5952" s="15" t="str">
        <f t="shared" si="0"/>
        <v/>
      </c>
      <c r="AF5952" s="15" t="str">
        <f t="shared" si="1"/>
        <v/>
      </c>
      <c r="AG5952" s="15" t="str">
        <f>IF(OR(AF5952="",AF5952="ERRO_CHAVE"),"",IFERROR(MATCH(AF5952,'Quitados DUPP'!$U$1:$U$6635,0),""))</f>
        <v/>
      </c>
      <c r="AH5952" s="15" t="str">
        <f t="shared" si="2"/>
        <v/>
      </c>
      <c r="AI5952" s="17" t="str">
        <f>IF(AG5952="","",INDEX('Quitados DUPP'!$G$1:$G$6635,AG5952))</f>
        <v/>
      </c>
      <c r="AJ5952" s="17" t="str">
        <f t="shared" si="3"/>
        <v/>
      </c>
    </row>
    <row r="5953" spans="31:36">
      <c r="AE5953" s="15" t="str">
        <f t="shared" si="0"/>
        <v/>
      </c>
      <c r="AF5953" s="15" t="str">
        <f t="shared" si="1"/>
        <v/>
      </c>
      <c r="AG5953" s="15" t="str">
        <f>IF(OR(AF5953="",AF5953="ERRO_CHAVE"),"",IFERROR(MATCH(AF5953,'Quitados DUPP'!$U$1:$U$6635,0),""))</f>
        <v/>
      </c>
      <c r="AH5953" s="15" t="str">
        <f t="shared" si="2"/>
        <v/>
      </c>
      <c r="AI5953" s="17" t="str">
        <f>IF(AG5953="","",INDEX('Quitados DUPP'!$G$1:$G$6635,AG5953))</f>
        <v/>
      </c>
      <c r="AJ5953" s="17" t="str">
        <f t="shared" si="3"/>
        <v/>
      </c>
    </row>
    <row r="5954" spans="31:36">
      <c r="AE5954" s="15" t="str">
        <f t="shared" si="0"/>
        <v/>
      </c>
      <c r="AF5954" s="15" t="str">
        <f t="shared" si="1"/>
        <v/>
      </c>
      <c r="AG5954" s="15" t="str">
        <f>IF(OR(AF5954="",AF5954="ERRO_CHAVE"),"",IFERROR(MATCH(AF5954,'Quitados DUPP'!$U$1:$U$6635,0),""))</f>
        <v/>
      </c>
      <c r="AH5954" s="15" t="str">
        <f t="shared" si="2"/>
        <v/>
      </c>
      <c r="AI5954" s="17" t="str">
        <f>IF(AG5954="","",INDEX('Quitados DUPP'!$G$1:$G$6635,AG5954))</f>
        <v/>
      </c>
      <c r="AJ5954" s="17" t="str">
        <f t="shared" si="3"/>
        <v/>
      </c>
    </row>
    <row r="5955" spans="31:36">
      <c r="AE5955" s="15" t="str">
        <f t="shared" si="0"/>
        <v/>
      </c>
      <c r="AF5955" s="15" t="str">
        <f t="shared" si="1"/>
        <v/>
      </c>
      <c r="AG5955" s="15" t="str">
        <f>IF(OR(AF5955="",AF5955="ERRO_CHAVE"),"",IFERROR(MATCH(AF5955,'Quitados DUPP'!$U$1:$U$6635,0),""))</f>
        <v/>
      </c>
      <c r="AH5955" s="15" t="str">
        <f t="shared" si="2"/>
        <v/>
      </c>
      <c r="AI5955" s="17" t="str">
        <f>IF(AG5955="","",INDEX('Quitados DUPP'!$G$1:$G$6635,AG5955))</f>
        <v/>
      </c>
      <c r="AJ5955" s="17" t="str">
        <f t="shared" si="3"/>
        <v/>
      </c>
    </row>
    <row r="5956" spans="31:36">
      <c r="AE5956" s="15" t="str">
        <f t="shared" si="0"/>
        <v/>
      </c>
      <c r="AF5956" s="15" t="str">
        <f t="shared" si="1"/>
        <v/>
      </c>
      <c r="AG5956" s="15" t="str">
        <f>IF(OR(AF5956="",AF5956="ERRO_CHAVE"),"",IFERROR(MATCH(AF5956,'Quitados DUPP'!$U$1:$U$6635,0),""))</f>
        <v/>
      </c>
      <c r="AH5956" s="15" t="str">
        <f t="shared" si="2"/>
        <v/>
      </c>
      <c r="AI5956" s="17" t="str">
        <f>IF(AG5956="","",INDEX('Quitados DUPP'!$G$1:$G$6635,AG5956))</f>
        <v/>
      </c>
      <c r="AJ5956" s="17" t="str">
        <f t="shared" si="3"/>
        <v/>
      </c>
    </row>
    <row r="5957" spans="31:36">
      <c r="AE5957" s="15" t="str">
        <f t="shared" si="0"/>
        <v/>
      </c>
      <c r="AF5957" s="15" t="str">
        <f t="shared" si="1"/>
        <v/>
      </c>
      <c r="AG5957" s="15" t="str">
        <f>IF(OR(AF5957="",AF5957="ERRO_CHAVE"),"",IFERROR(MATCH(AF5957,'Quitados DUPP'!$U$1:$U$6635,0),""))</f>
        <v/>
      </c>
      <c r="AH5957" s="15" t="str">
        <f t="shared" si="2"/>
        <v/>
      </c>
      <c r="AI5957" s="17" t="str">
        <f>IF(AG5957="","",INDEX('Quitados DUPP'!$G$1:$G$6635,AG5957))</f>
        <v/>
      </c>
      <c r="AJ5957" s="17" t="str">
        <f t="shared" si="3"/>
        <v/>
      </c>
    </row>
    <row r="5958" spans="31:36">
      <c r="AE5958" s="15" t="str">
        <f t="shared" si="0"/>
        <v/>
      </c>
      <c r="AF5958" s="15" t="str">
        <f t="shared" si="1"/>
        <v/>
      </c>
      <c r="AG5958" s="15" t="str">
        <f>IF(OR(AF5958="",AF5958="ERRO_CHAVE"),"",IFERROR(MATCH(AF5958,'Quitados DUPP'!$U$1:$U$6635,0),""))</f>
        <v/>
      </c>
      <c r="AH5958" s="15" t="str">
        <f t="shared" si="2"/>
        <v/>
      </c>
      <c r="AI5958" s="17" t="str">
        <f>IF(AG5958="","",INDEX('Quitados DUPP'!$G$1:$G$6635,AG5958))</f>
        <v/>
      </c>
      <c r="AJ5958" s="17" t="str">
        <f t="shared" si="3"/>
        <v/>
      </c>
    </row>
    <row r="5959" spans="31:36">
      <c r="AE5959" s="15" t="str">
        <f t="shared" si="0"/>
        <v/>
      </c>
      <c r="AF5959" s="15" t="str">
        <f t="shared" si="1"/>
        <v/>
      </c>
      <c r="AG5959" s="15" t="str">
        <f>IF(OR(AF5959="",AF5959="ERRO_CHAVE"),"",IFERROR(MATCH(AF5959,'Quitados DUPP'!$U$1:$U$6635,0),""))</f>
        <v/>
      </c>
      <c r="AH5959" s="15" t="str">
        <f t="shared" si="2"/>
        <v/>
      </c>
      <c r="AI5959" s="17" t="str">
        <f>IF(AG5959="","",INDEX('Quitados DUPP'!$G$1:$G$6635,AG5959))</f>
        <v/>
      </c>
      <c r="AJ5959" s="17" t="str">
        <f t="shared" si="3"/>
        <v/>
      </c>
    </row>
    <row r="5960" spans="31:36">
      <c r="AE5960" s="15" t="str">
        <f t="shared" si="0"/>
        <v/>
      </c>
      <c r="AF5960" s="15" t="str">
        <f t="shared" si="1"/>
        <v/>
      </c>
      <c r="AG5960" s="15" t="str">
        <f>IF(OR(AF5960="",AF5960="ERRO_CHAVE"),"",IFERROR(MATCH(AF5960,'Quitados DUPP'!$U$1:$U$6635,0),""))</f>
        <v/>
      </c>
      <c r="AH5960" s="15" t="str">
        <f t="shared" si="2"/>
        <v/>
      </c>
      <c r="AI5960" s="17" t="str">
        <f>IF(AG5960="","",INDEX('Quitados DUPP'!$G$1:$G$6635,AG5960))</f>
        <v/>
      </c>
      <c r="AJ5960" s="17" t="str">
        <f t="shared" si="3"/>
        <v/>
      </c>
    </row>
    <row r="5961" spans="31:36">
      <c r="AE5961" s="15" t="str">
        <f t="shared" si="0"/>
        <v/>
      </c>
      <c r="AF5961" s="15" t="str">
        <f t="shared" si="1"/>
        <v/>
      </c>
      <c r="AG5961" s="15" t="str">
        <f>IF(OR(AF5961="",AF5961="ERRO_CHAVE"),"",IFERROR(MATCH(AF5961,'Quitados DUPP'!$U$1:$U$6635,0),""))</f>
        <v/>
      </c>
      <c r="AH5961" s="15" t="str">
        <f t="shared" si="2"/>
        <v/>
      </c>
      <c r="AI5961" s="17" t="str">
        <f>IF(AG5961="","",INDEX('Quitados DUPP'!$G$1:$G$6635,AG5961))</f>
        <v/>
      </c>
      <c r="AJ5961" s="17" t="str">
        <f t="shared" si="3"/>
        <v/>
      </c>
    </row>
    <row r="5962" spans="31:36">
      <c r="AE5962" s="15" t="str">
        <f t="shared" si="0"/>
        <v/>
      </c>
      <c r="AF5962" s="15" t="str">
        <f t="shared" si="1"/>
        <v/>
      </c>
      <c r="AG5962" s="15" t="str">
        <f>IF(OR(AF5962="",AF5962="ERRO_CHAVE"),"",IFERROR(MATCH(AF5962,'Quitados DUPP'!$U$1:$U$6635,0),""))</f>
        <v/>
      </c>
      <c r="AH5962" s="15" t="str">
        <f t="shared" si="2"/>
        <v/>
      </c>
      <c r="AI5962" s="17" t="str">
        <f>IF(AG5962="","",INDEX('Quitados DUPP'!$G$1:$G$6635,AG5962))</f>
        <v/>
      </c>
      <c r="AJ5962" s="17" t="str">
        <f t="shared" si="3"/>
        <v/>
      </c>
    </row>
    <row r="5963" spans="31:36">
      <c r="AE5963" s="15" t="str">
        <f t="shared" si="0"/>
        <v/>
      </c>
      <c r="AF5963" s="15" t="str">
        <f t="shared" si="1"/>
        <v/>
      </c>
      <c r="AG5963" s="15" t="str">
        <f>IF(OR(AF5963="",AF5963="ERRO_CHAVE"),"",IFERROR(MATCH(AF5963,'Quitados DUPP'!$U$1:$U$6635,0),""))</f>
        <v/>
      </c>
      <c r="AH5963" s="15" t="str">
        <f t="shared" si="2"/>
        <v/>
      </c>
      <c r="AI5963" s="17" t="str">
        <f>IF(AG5963="","",INDEX('Quitados DUPP'!$G$1:$G$6635,AG5963))</f>
        <v/>
      </c>
      <c r="AJ5963" s="17" t="str">
        <f t="shared" si="3"/>
        <v/>
      </c>
    </row>
    <row r="5964" spans="31:36">
      <c r="AE5964" s="15" t="str">
        <f t="shared" si="0"/>
        <v/>
      </c>
      <c r="AF5964" s="15" t="str">
        <f t="shared" si="1"/>
        <v/>
      </c>
      <c r="AG5964" s="15" t="str">
        <f>IF(OR(AF5964="",AF5964="ERRO_CHAVE"),"",IFERROR(MATCH(AF5964,'Quitados DUPP'!$U$1:$U$6635,0),""))</f>
        <v/>
      </c>
      <c r="AH5964" s="15" t="str">
        <f t="shared" si="2"/>
        <v/>
      </c>
      <c r="AI5964" s="17" t="str">
        <f>IF(AG5964="","",INDEX('Quitados DUPP'!$G$1:$G$6635,AG5964))</f>
        <v/>
      </c>
      <c r="AJ5964" s="17" t="str">
        <f t="shared" si="3"/>
        <v/>
      </c>
    </row>
    <row r="5965" spans="31:36">
      <c r="AE5965" s="15" t="str">
        <f t="shared" si="0"/>
        <v/>
      </c>
      <c r="AF5965" s="15" t="str">
        <f t="shared" si="1"/>
        <v/>
      </c>
      <c r="AG5965" s="15" t="str">
        <f>IF(OR(AF5965="",AF5965="ERRO_CHAVE"),"",IFERROR(MATCH(AF5965,'Quitados DUPP'!$U$1:$U$6635,0),""))</f>
        <v/>
      </c>
      <c r="AH5965" s="15" t="str">
        <f t="shared" si="2"/>
        <v/>
      </c>
      <c r="AI5965" s="17" t="str">
        <f>IF(AG5965="","",INDEX('Quitados DUPP'!$G$1:$G$6635,AG5965))</f>
        <v/>
      </c>
      <c r="AJ5965" s="17" t="str">
        <f t="shared" si="3"/>
        <v/>
      </c>
    </row>
    <row r="5966" spans="31:36">
      <c r="AE5966" s="15" t="str">
        <f t="shared" si="0"/>
        <v/>
      </c>
      <c r="AF5966" s="15" t="str">
        <f t="shared" si="1"/>
        <v/>
      </c>
      <c r="AG5966" s="15" t="str">
        <f>IF(OR(AF5966="",AF5966="ERRO_CHAVE"),"",IFERROR(MATCH(AF5966,'Quitados DUPP'!$U$1:$U$6635,0),""))</f>
        <v/>
      </c>
      <c r="AH5966" s="15" t="str">
        <f t="shared" si="2"/>
        <v/>
      </c>
      <c r="AI5966" s="17" t="str">
        <f>IF(AG5966="","",INDEX('Quitados DUPP'!$G$1:$G$6635,AG5966))</f>
        <v/>
      </c>
      <c r="AJ5966" s="17" t="str">
        <f t="shared" si="3"/>
        <v/>
      </c>
    </row>
    <row r="5967" spans="31:36">
      <c r="AE5967" s="15" t="str">
        <f t="shared" si="0"/>
        <v/>
      </c>
      <c r="AF5967" s="15" t="str">
        <f t="shared" si="1"/>
        <v/>
      </c>
      <c r="AG5967" s="15" t="str">
        <f>IF(OR(AF5967="",AF5967="ERRO_CHAVE"),"",IFERROR(MATCH(AF5967,'Quitados DUPP'!$U$1:$U$6635,0),""))</f>
        <v/>
      </c>
      <c r="AH5967" s="15" t="str">
        <f t="shared" si="2"/>
        <v/>
      </c>
      <c r="AI5967" s="17" t="str">
        <f>IF(AG5967="","",INDEX('Quitados DUPP'!$G$1:$G$6635,AG5967))</f>
        <v/>
      </c>
      <c r="AJ5967" s="17" t="str">
        <f t="shared" si="3"/>
        <v/>
      </c>
    </row>
    <row r="5968" spans="31:36">
      <c r="AE5968" s="15" t="str">
        <f t="shared" si="0"/>
        <v/>
      </c>
      <c r="AF5968" s="15" t="str">
        <f t="shared" si="1"/>
        <v/>
      </c>
      <c r="AG5968" s="15" t="str">
        <f>IF(OR(AF5968="",AF5968="ERRO_CHAVE"),"",IFERROR(MATCH(AF5968,'Quitados DUPP'!$U$1:$U$6635,0),""))</f>
        <v/>
      </c>
      <c r="AH5968" s="15" t="str">
        <f t="shared" si="2"/>
        <v/>
      </c>
      <c r="AI5968" s="17" t="str">
        <f>IF(AG5968="","",INDEX('Quitados DUPP'!$G$1:$G$6635,AG5968))</f>
        <v/>
      </c>
      <c r="AJ5968" s="17" t="str">
        <f t="shared" si="3"/>
        <v/>
      </c>
    </row>
    <row r="5969" spans="31:36">
      <c r="AE5969" s="15" t="str">
        <f t="shared" si="0"/>
        <v/>
      </c>
      <c r="AF5969" s="15" t="str">
        <f t="shared" si="1"/>
        <v/>
      </c>
      <c r="AG5969" s="15" t="str">
        <f>IF(OR(AF5969="",AF5969="ERRO_CHAVE"),"",IFERROR(MATCH(AF5969,'Quitados DUPP'!$U$1:$U$6635,0),""))</f>
        <v/>
      </c>
      <c r="AH5969" s="15" t="str">
        <f t="shared" si="2"/>
        <v/>
      </c>
      <c r="AI5969" s="17" t="str">
        <f>IF(AG5969="","",INDEX('Quitados DUPP'!$G$1:$G$6635,AG5969))</f>
        <v/>
      </c>
      <c r="AJ5969" s="17" t="str">
        <f t="shared" si="3"/>
        <v/>
      </c>
    </row>
    <row r="5970" spans="31:36">
      <c r="AE5970" s="15" t="str">
        <f t="shared" si="0"/>
        <v/>
      </c>
      <c r="AF5970" s="15" t="str">
        <f t="shared" si="1"/>
        <v/>
      </c>
      <c r="AG5970" s="15" t="str">
        <f>IF(OR(AF5970="",AF5970="ERRO_CHAVE"),"",IFERROR(MATCH(AF5970,'Quitados DUPP'!$U$1:$U$6635,0),""))</f>
        <v/>
      </c>
      <c r="AH5970" s="15" t="str">
        <f t="shared" si="2"/>
        <v/>
      </c>
      <c r="AI5970" s="17" t="str">
        <f>IF(AG5970="","",INDEX('Quitados DUPP'!$G$1:$G$6635,AG5970))</f>
        <v/>
      </c>
      <c r="AJ5970" s="17" t="str">
        <f t="shared" si="3"/>
        <v/>
      </c>
    </row>
    <row r="5971" spans="31:36">
      <c r="AE5971" s="15" t="str">
        <f t="shared" si="0"/>
        <v/>
      </c>
      <c r="AF5971" s="15" t="str">
        <f t="shared" si="1"/>
        <v/>
      </c>
      <c r="AG5971" s="15" t="str">
        <f>IF(OR(AF5971="",AF5971="ERRO_CHAVE"),"",IFERROR(MATCH(AF5971,'Quitados DUPP'!$U$1:$U$6635,0),""))</f>
        <v/>
      </c>
      <c r="AH5971" s="15" t="str">
        <f t="shared" si="2"/>
        <v/>
      </c>
      <c r="AI5971" s="17" t="str">
        <f>IF(AG5971="","",INDEX('Quitados DUPP'!$G$1:$G$6635,AG5971))</f>
        <v/>
      </c>
      <c r="AJ5971" s="17" t="str">
        <f t="shared" si="3"/>
        <v/>
      </c>
    </row>
    <row r="5972" spans="31:36">
      <c r="AE5972" s="15" t="str">
        <f t="shared" si="0"/>
        <v/>
      </c>
      <c r="AF5972" s="15" t="str">
        <f t="shared" si="1"/>
        <v/>
      </c>
      <c r="AG5972" s="15" t="str">
        <f>IF(OR(AF5972="",AF5972="ERRO_CHAVE"),"",IFERROR(MATCH(AF5972,'Quitados DUPP'!$U$1:$U$6635,0),""))</f>
        <v/>
      </c>
      <c r="AH5972" s="15" t="str">
        <f t="shared" si="2"/>
        <v/>
      </c>
      <c r="AI5972" s="17" t="str">
        <f>IF(AG5972="","",INDEX('Quitados DUPP'!$G$1:$G$6635,AG5972))</f>
        <v/>
      </c>
      <c r="AJ5972" s="17" t="str">
        <f t="shared" si="3"/>
        <v/>
      </c>
    </row>
    <row r="5973" spans="31:36">
      <c r="AE5973" s="15" t="str">
        <f t="shared" si="0"/>
        <v/>
      </c>
      <c r="AF5973" s="15" t="str">
        <f t="shared" si="1"/>
        <v/>
      </c>
      <c r="AG5973" s="15" t="str">
        <f>IF(OR(AF5973="",AF5973="ERRO_CHAVE"),"",IFERROR(MATCH(AF5973,'Quitados DUPP'!$U$1:$U$6635,0),""))</f>
        <v/>
      </c>
      <c r="AH5973" s="15" t="str">
        <f t="shared" si="2"/>
        <v/>
      </c>
      <c r="AI5973" s="17" t="str">
        <f>IF(AG5973="","",INDEX('Quitados DUPP'!$G$1:$G$6635,AG5973))</f>
        <v/>
      </c>
      <c r="AJ5973" s="17" t="str">
        <f t="shared" si="3"/>
        <v/>
      </c>
    </row>
    <row r="5974" spans="31:36">
      <c r="AE5974" s="15" t="str">
        <f t="shared" si="0"/>
        <v/>
      </c>
      <c r="AF5974" s="15" t="str">
        <f t="shared" si="1"/>
        <v/>
      </c>
      <c r="AG5974" s="15" t="str">
        <f>IF(OR(AF5974="",AF5974="ERRO_CHAVE"),"",IFERROR(MATCH(AF5974,'Quitados DUPP'!$U$1:$U$6635,0),""))</f>
        <v/>
      </c>
      <c r="AH5974" s="15" t="str">
        <f t="shared" si="2"/>
        <v/>
      </c>
      <c r="AI5974" s="17" t="str">
        <f>IF(AG5974="","",INDEX('Quitados DUPP'!$G$1:$G$6635,AG5974))</f>
        <v/>
      </c>
      <c r="AJ5974" s="17" t="str">
        <f t="shared" si="3"/>
        <v/>
      </c>
    </row>
    <row r="5975" spans="31:36">
      <c r="AE5975" s="15" t="str">
        <f t="shared" si="0"/>
        <v/>
      </c>
      <c r="AF5975" s="15" t="str">
        <f t="shared" si="1"/>
        <v/>
      </c>
      <c r="AG5975" s="15" t="str">
        <f>IF(OR(AF5975="",AF5975="ERRO_CHAVE"),"",IFERROR(MATCH(AF5975,'Quitados DUPP'!$U$1:$U$6635,0),""))</f>
        <v/>
      </c>
      <c r="AH5975" s="15" t="str">
        <f t="shared" si="2"/>
        <v/>
      </c>
      <c r="AI5975" s="17" t="str">
        <f>IF(AG5975="","",INDEX('Quitados DUPP'!$G$1:$G$6635,AG5975))</f>
        <v/>
      </c>
      <c r="AJ5975" s="17" t="str">
        <f t="shared" si="3"/>
        <v/>
      </c>
    </row>
    <row r="5976" spans="31:36">
      <c r="AE5976" s="15" t="str">
        <f t="shared" si="0"/>
        <v/>
      </c>
      <c r="AF5976" s="15" t="str">
        <f t="shared" si="1"/>
        <v/>
      </c>
      <c r="AG5976" s="15" t="str">
        <f>IF(OR(AF5976="",AF5976="ERRO_CHAVE"),"",IFERROR(MATCH(AF5976,'Quitados DUPP'!$U$1:$U$6635,0),""))</f>
        <v/>
      </c>
      <c r="AH5976" s="15" t="str">
        <f t="shared" si="2"/>
        <v/>
      </c>
      <c r="AI5976" s="17" t="str">
        <f>IF(AG5976="","",INDEX('Quitados DUPP'!$G$1:$G$6635,AG5976))</f>
        <v/>
      </c>
      <c r="AJ5976" s="17" t="str">
        <f t="shared" si="3"/>
        <v/>
      </c>
    </row>
    <row r="5977" spans="31:36">
      <c r="AE5977" s="15" t="str">
        <f t="shared" si="0"/>
        <v/>
      </c>
      <c r="AF5977" s="15" t="str">
        <f t="shared" si="1"/>
        <v/>
      </c>
      <c r="AG5977" s="15" t="str">
        <f>IF(OR(AF5977="",AF5977="ERRO_CHAVE"),"",IFERROR(MATCH(AF5977,'Quitados DUPP'!$U$1:$U$6635,0),""))</f>
        <v/>
      </c>
      <c r="AH5977" s="15" t="str">
        <f t="shared" si="2"/>
        <v/>
      </c>
      <c r="AI5977" s="17" t="str">
        <f>IF(AG5977="","",INDEX('Quitados DUPP'!$G$1:$G$6635,AG5977))</f>
        <v/>
      </c>
      <c r="AJ5977" s="17" t="str">
        <f t="shared" si="3"/>
        <v/>
      </c>
    </row>
    <row r="5978" spans="31:36">
      <c r="AE5978" s="15" t="str">
        <f t="shared" si="0"/>
        <v/>
      </c>
      <c r="AF5978" s="15" t="str">
        <f t="shared" si="1"/>
        <v/>
      </c>
      <c r="AG5978" s="15" t="str">
        <f>IF(OR(AF5978="",AF5978="ERRO_CHAVE"),"",IFERROR(MATCH(AF5978,'Quitados DUPP'!$U$1:$U$6635,0),""))</f>
        <v/>
      </c>
      <c r="AH5978" s="15" t="str">
        <f t="shared" si="2"/>
        <v/>
      </c>
      <c r="AI5978" s="17" t="str">
        <f>IF(AG5978="","",INDEX('Quitados DUPP'!$G$1:$G$6635,AG5978))</f>
        <v/>
      </c>
      <c r="AJ5978" s="17" t="str">
        <f t="shared" si="3"/>
        <v/>
      </c>
    </row>
    <row r="5979" spans="31:36">
      <c r="AE5979" s="15" t="str">
        <f t="shared" si="0"/>
        <v/>
      </c>
      <c r="AF5979" s="15" t="str">
        <f t="shared" si="1"/>
        <v/>
      </c>
      <c r="AG5979" s="15" t="str">
        <f>IF(OR(AF5979="",AF5979="ERRO_CHAVE"),"",IFERROR(MATCH(AF5979,'Quitados DUPP'!$U$1:$U$6635,0),""))</f>
        <v/>
      </c>
      <c r="AH5979" s="15" t="str">
        <f t="shared" si="2"/>
        <v/>
      </c>
      <c r="AI5979" s="17" t="str">
        <f>IF(AG5979="","",INDEX('Quitados DUPP'!$G$1:$G$6635,AG5979))</f>
        <v/>
      </c>
      <c r="AJ5979" s="17" t="str">
        <f t="shared" si="3"/>
        <v/>
      </c>
    </row>
    <row r="5980" spans="31:36">
      <c r="AE5980" s="15" t="str">
        <f t="shared" si="0"/>
        <v/>
      </c>
      <c r="AF5980" s="15" t="str">
        <f t="shared" si="1"/>
        <v/>
      </c>
      <c r="AG5980" s="15" t="str">
        <f>IF(OR(AF5980="",AF5980="ERRO_CHAVE"),"",IFERROR(MATCH(AF5980,'Quitados DUPP'!$U$1:$U$6635,0),""))</f>
        <v/>
      </c>
      <c r="AH5980" s="15" t="str">
        <f t="shared" si="2"/>
        <v/>
      </c>
      <c r="AI5980" s="17" t="str">
        <f>IF(AG5980="","",INDEX('Quitados DUPP'!$G$1:$G$6635,AG5980))</f>
        <v/>
      </c>
      <c r="AJ5980" s="17" t="str">
        <f t="shared" si="3"/>
        <v/>
      </c>
    </row>
    <row r="5981" spans="31:36">
      <c r="AE5981" s="15" t="str">
        <f t="shared" si="0"/>
        <v/>
      </c>
      <c r="AF5981" s="15" t="str">
        <f t="shared" si="1"/>
        <v/>
      </c>
      <c r="AG5981" s="15" t="str">
        <f>IF(OR(AF5981="",AF5981="ERRO_CHAVE"),"",IFERROR(MATCH(AF5981,'Quitados DUPP'!$U$1:$U$6635,0),""))</f>
        <v/>
      </c>
      <c r="AH5981" s="15" t="str">
        <f t="shared" si="2"/>
        <v/>
      </c>
      <c r="AI5981" s="17" t="str">
        <f>IF(AG5981="","",INDEX('Quitados DUPP'!$G$1:$G$6635,AG5981))</f>
        <v/>
      </c>
      <c r="AJ5981" s="17" t="str">
        <f t="shared" si="3"/>
        <v/>
      </c>
    </row>
    <row r="5982" spans="31:36">
      <c r="AE5982" s="15" t="str">
        <f t="shared" si="0"/>
        <v/>
      </c>
      <c r="AF5982" s="15" t="str">
        <f t="shared" si="1"/>
        <v/>
      </c>
      <c r="AG5982" s="15" t="str">
        <f>IF(OR(AF5982="",AF5982="ERRO_CHAVE"),"",IFERROR(MATCH(AF5982,'Quitados DUPP'!$U$1:$U$6635,0),""))</f>
        <v/>
      </c>
      <c r="AH5982" s="15" t="str">
        <f t="shared" si="2"/>
        <v/>
      </c>
      <c r="AI5982" s="17" t="str">
        <f>IF(AG5982="","",INDEX('Quitados DUPP'!$G$1:$G$6635,AG5982))</f>
        <v/>
      </c>
      <c r="AJ5982" s="17" t="str">
        <f t="shared" si="3"/>
        <v/>
      </c>
    </row>
    <row r="5983" spans="31:36">
      <c r="AE5983" s="15" t="str">
        <f t="shared" si="0"/>
        <v/>
      </c>
      <c r="AF5983" s="15" t="str">
        <f t="shared" si="1"/>
        <v/>
      </c>
      <c r="AG5983" s="15" t="str">
        <f>IF(OR(AF5983="",AF5983="ERRO_CHAVE"),"",IFERROR(MATCH(AF5983,'Quitados DUPP'!$U$1:$U$6635,0),""))</f>
        <v/>
      </c>
      <c r="AH5983" s="15" t="str">
        <f t="shared" si="2"/>
        <v/>
      </c>
      <c r="AI5983" s="17" t="str">
        <f>IF(AG5983="","",INDEX('Quitados DUPP'!$G$1:$G$6635,AG5983))</f>
        <v/>
      </c>
      <c r="AJ5983" s="17" t="str">
        <f t="shared" si="3"/>
        <v/>
      </c>
    </row>
    <row r="5984" spans="31:36">
      <c r="AE5984" s="15" t="str">
        <f t="shared" si="0"/>
        <v/>
      </c>
      <c r="AF5984" s="15" t="str">
        <f t="shared" si="1"/>
        <v/>
      </c>
      <c r="AG5984" s="15" t="str">
        <f>IF(OR(AF5984="",AF5984="ERRO_CHAVE"),"",IFERROR(MATCH(AF5984,'Quitados DUPP'!$U$1:$U$6635,0),""))</f>
        <v/>
      </c>
      <c r="AH5984" s="15" t="str">
        <f t="shared" si="2"/>
        <v/>
      </c>
      <c r="AI5984" s="17" t="str">
        <f>IF(AG5984="","",INDEX('Quitados DUPP'!$G$1:$G$6635,AG5984))</f>
        <v/>
      </c>
      <c r="AJ5984" s="17" t="str">
        <f t="shared" si="3"/>
        <v/>
      </c>
    </row>
    <row r="5985" spans="31:36">
      <c r="AE5985" s="15" t="str">
        <f t="shared" si="0"/>
        <v/>
      </c>
      <c r="AF5985" s="15" t="str">
        <f t="shared" si="1"/>
        <v/>
      </c>
      <c r="AG5985" s="15" t="str">
        <f>IF(OR(AF5985="",AF5985="ERRO_CHAVE"),"",IFERROR(MATCH(AF5985,'Quitados DUPP'!$U$1:$U$6635,0),""))</f>
        <v/>
      </c>
      <c r="AH5985" s="15" t="str">
        <f t="shared" si="2"/>
        <v/>
      </c>
      <c r="AI5985" s="17" t="str">
        <f>IF(AG5985="","",INDEX('Quitados DUPP'!$G$1:$G$6635,AG5985))</f>
        <v/>
      </c>
      <c r="AJ5985" s="17" t="str">
        <f t="shared" si="3"/>
        <v/>
      </c>
    </row>
    <row r="5986" spans="31:36">
      <c r="AE5986" s="15" t="str">
        <f t="shared" si="0"/>
        <v/>
      </c>
      <c r="AF5986" s="15" t="str">
        <f t="shared" si="1"/>
        <v/>
      </c>
      <c r="AG5986" s="15" t="str">
        <f>IF(OR(AF5986="",AF5986="ERRO_CHAVE"),"",IFERROR(MATCH(AF5986,'Quitados DUPP'!$U$1:$U$6635,0),""))</f>
        <v/>
      </c>
      <c r="AH5986" s="15" t="str">
        <f t="shared" si="2"/>
        <v/>
      </c>
      <c r="AI5986" s="17" t="str">
        <f>IF(AG5986="","",INDEX('Quitados DUPP'!$G$1:$G$6635,AG5986))</f>
        <v/>
      </c>
      <c r="AJ5986" s="17" t="str">
        <f t="shared" si="3"/>
        <v/>
      </c>
    </row>
    <row r="5987" spans="31:36">
      <c r="AE5987" s="15" t="str">
        <f t="shared" si="0"/>
        <v/>
      </c>
      <c r="AF5987" s="15" t="str">
        <f t="shared" si="1"/>
        <v/>
      </c>
      <c r="AG5987" s="15" t="str">
        <f>IF(OR(AF5987="",AF5987="ERRO_CHAVE"),"",IFERROR(MATCH(AF5987,'Quitados DUPP'!$U$1:$U$6635,0),""))</f>
        <v/>
      </c>
      <c r="AH5987" s="15" t="str">
        <f t="shared" si="2"/>
        <v/>
      </c>
      <c r="AI5987" s="17" t="str">
        <f>IF(AG5987="","",INDEX('Quitados DUPP'!$G$1:$G$6635,AG5987))</f>
        <v/>
      </c>
      <c r="AJ5987" s="17" t="str">
        <f t="shared" si="3"/>
        <v/>
      </c>
    </row>
    <row r="5988" spans="31:36">
      <c r="AE5988" s="15" t="str">
        <f t="shared" si="0"/>
        <v/>
      </c>
      <c r="AF5988" s="15" t="str">
        <f t="shared" si="1"/>
        <v/>
      </c>
      <c r="AG5988" s="15" t="str">
        <f>IF(OR(AF5988="",AF5988="ERRO_CHAVE"),"",IFERROR(MATCH(AF5988,'Quitados DUPP'!$U$1:$U$6635,0),""))</f>
        <v/>
      </c>
      <c r="AH5988" s="15" t="str">
        <f t="shared" si="2"/>
        <v/>
      </c>
      <c r="AI5988" s="17" t="str">
        <f>IF(AG5988="","",INDEX('Quitados DUPP'!$G$1:$G$6635,AG5988))</f>
        <v/>
      </c>
      <c r="AJ5988" s="17" t="str">
        <f t="shared" si="3"/>
        <v/>
      </c>
    </row>
    <row r="5989" spans="31:36">
      <c r="AE5989" s="15" t="str">
        <f t="shared" si="0"/>
        <v/>
      </c>
      <c r="AF5989" s="15" t="str">
        <f t="shared" si="1"/>
        <v/>
      </c>
      <c r="AG5989" s="15" t="str">
        <f>IF(OR(AF5989="",AF5989="ERRO_CHAVE"),"",IFERROR(MATCH(AF5989,'Quitados DUPP'!$U$1:$U$6635,0),""))</f>
        <v/>
      </c>
      <c r="AH5989" s="15" t="str">
        <f t="shared" si="2"/>
        <v/>
      </c>
      <c r="AI5989" s="17" t="str">
        <f>IF(AG5989="","",INDEX('Quitados DUPP'!$G$1:$G$6635,AG5989))</f>
        <v/>
      </c>
      <c r="AJ5989" s="17" t="str">
        <f t="shared" si="3"/>
        <v/>
      </c>
    </row>
    <row r="5990" spans="31:36">
      <c r="AE5990" s="15" t="str">
        <f t="shared" si="0"/>
        <v/>
      </c>
      <c r="AF5990" s="15" t="str">
        <f t="shared" si="1"/>
        <v/>
      </c>
      <c r="AG5990" s="15" t="str">
        <f>IF(OR(AF5990="",AF5990="ERRO_CHAVE"),"",IFERROR(MATCH(AF5990,'Quitados DUPP'!$U$1:$U$6635,0),""))</f>
        <v/>
      </c>
      <c r="AH5990" s="15" t="str">
        <f t="shared" si="2"/>
        <v/>
      </c>
      <c r="AI5990" s="17" t="str">
        <f>IF(AG5990="","",INDEX('Quitados DUPP'!$G$1:$G$6635,AG5990))</f>
        <v/>
      </c>
      <c r="AJ5990" s="17" t="str">
        <f t="shared" si="3"/>
        <v/>
      </c>
    </row>
    <row r="5991" spans="31:36">
      <c r="AE5991" s="15" t="str">
        <f t="shared" si="0"/>
        <v/>
      </c>
      <c r="AF5991" s="15" t="str">
        <f t="shared" si="1"/>
        <v/>
      </c>
      <c r="AG5991" s="15" t="str">
        <f>IF(OR(AF5991="",AF5991="ERRO_CHAVE"),"",IFERROR(MATCH(AF5991,'Quitados DUPP'!$U$1:$U$6635,0),""))</f>
        <v/>
      </c>
      <c r="AH5991" s="15" t="str">
        <f t="shared" si="2"/>
        <v/>
      </c>
      <c r="AI5991" s="17" t="str">
        <f>IF(AG5991="","",INDEX('Quitados DUPP'!$G$1:$G$6635,AG5991))</f>
        <v/>
      </c>
      <c r="AJ5991" s="17" t="str">
        <f t="shared" si="3"/>
        <v/>
      </c>
    </row>
    <row r="5992" spans="31:36">
      <c r="AE5992" s="15" t="str">
        <f t="shared" si="0"/>
        <v/>
      </c>
      <c r="AF5992" s="15" t="str">
        <f t="shared" si="1"/>
        <v/>
      </c>
      <c r="AG5992" s="15" t="str">
        <f>IF(OR(AF5992="",AF5992="ERRO_CHAVE"),"",IFERROR(MATCH(AF5992,'Quitados DUPP'!$U$1:$U$6635,0),""))</f>
        <v/>
      </c>
      <c r="AH5992" s="15" t="str">
        <f t="shared" si="2"/>
        <v/>
      </c>
      <c r="AI5992" s="17" t="str">
        <f>IF(AG5992="","",INDEX('Quitados DUPP'!$G$1:$G$6635,AG5992))</f>
        <v/>
      </c>
      <c r="AJ5992" s="17" t="str">
        <f t="shared" si="3"/>
        <v/>
      </c>
    </row>
    <row r="5993" spans="31:36">
      <c r="AE5993" s="15" t="str">
        <f t="shared" si="0"/>
        <v/>
      </c>
      <c r="AF5993" s="15" t="str">
        <f t="shared" si="1"/>
        <v/>
      </c>
      <c r="AG5993" s="15" t="str">
        <f>IF(OR(AF5993="",AF5993="ERRO_CHAVE"),"",IFERROR(MATCH(AF5993,'Quitados DUPP'!$U$1:$U$6635,0),""))</f>
        <v/>
      </c>
      <c r="AH5993" s="15" t="str">
        <f t="shared" si="2"/>
        <v/>
      </c>
      <c r="AI5993" s="17" t="str">
        <f>IF(AG5993="","",INDEX('Quitados DUPP'!$G$1:$G$6635,AG5993))</f>
        <v/>
      </c>
      <c r="AJ5993" s="17" t="str">
        <f t="shared" si="3"/>
        <v/>
      </c>
    </row>
    <row r="5994" spans="31:36">
      <c r="AE5994" s="15" t="str">
        <f t="shared" si="0"/>
        <v/>
      </c>
      <c r="AF5994" s="15" t="str">
        <f t="shared" si="1"/>
        <v/>
      </c>
      <c r="AG5994" s="15" t="str">
        <f>IF(OR(AF5994="",AF5994="ERRO_CHAVE"),"",IFERROR(MATCH(AF5994,'Quitados DUPP'!$U$1:$U$6635,0),""))</f>
        <v/>
      </c>
      <c r="AH5994" s="15" t="str">
        <f t="shared" si="2"/>
        <v/>
      </c>
      <c r="AI5994" s="17" t="str">
        <f>IF(AG5994="","",INDEX('Quitados DUPP'!$G$1:$G$6635,AG5994))</f>
        <v/>
      </c>
      <c r="AJ5994" s="17" t="str">
        <f t="shared" si="3"/>
        <v/>
      </c>
    </row>
    <row r="5995" spans="31:36">
      <c r="AE5995" s="15" t="str">
        <f t="shared" si="0"/>
        <v/>
      </c>
      <c r="AF5995" s="15" t="str">
        <f t="shared" si="1"/>
        <v/>
      </c>
      <c r="AG5995" s="15" t="str">
        <f>IF(OR(AF5995="",AF5995="ERRO_CHAVE"),"",IFERROR(MATCH(AF5995,'Quitados DUPP'!$U$1:$U$6635,0),""))</f>
        <v/>
      </c>
      <c r="AH5995" s="15" t="str">
        <f t="shared" si="2"/>
        <v/>
      </c>
      <c r="AI5995" s="17" t="str">
        <f>IF(AG5995="","",INDEX('Quitados DUPP'!$G$1:$G$6635,AG5995))</f>
        <v/>
      </c>
      <c r="AJ5995" s="17" t="str">
        <f t="shared" si="3"/>
        <v/>
      </c>
    </row>
    <row r="5996" spans="31:36">
      <c r="AE5996" s="15" t="str">
        <f t="shared" si="0"/>
        <v/>
      </c>
      <c r="AF5996" s="15" t="str">
        <f t="shared" si="1"/>
        <v/>
      </c>
      <c r="AG5996" s="15" t="str">
        <f>IF(OR(AF5996="",AF5996="ERRO_CHAVE"),"",IFERROR(MATCH(AF5996,'Quitados DUPP'!$U$1:$U$6635,0),""))</f>
        <v/>
      </c>
      <c r="AH5996" s="15" t="str">
        <f t="shared" si="2"/>
        <v/>
      </c>
      <c r="AI5996" s="17" t="str">
        <f>IF(AG5996="","",INDEX('Quitados DUPP'!$G$1:$G$6635,AG5996))</f>
        <v/>
      </c>
      <c r="AJ5996" s="17" t="str">
        <f t="shared" si="3"/>
        <v/>
      </c>
    </row>
    <row r="5997" spans="31:36">
      <c r="AE5997" s="15" t="str">
        <f t="shared" si="0"/>
        <v/>
      </c>
      <c r="AF5997" s="15" t="str">
        <f t="shared" si="1"/>
        <v/>
      </c>
      <c r="AG5997" s="15" t="str">
        <f>IF(OR(AF5997="",AF5997="ERRO_CHAVE"),"",IFERROR(MATCH(AF5997,'Quitados DUPP'!$U$1:$U$6635,0),""))</f>
        <v/>
      </c>
      <c r="AH5997" s="15" t="str">
        <f t="shared" si="2"/>
        <v/>
      </c>
      <c r="AI5997" s="17" t="str">
        <f>IF(AG5997="","",INDEX('Quitados DUPP'!$G$1:$G$6635,AG5997))</f>
        <v/>
      </c>
      <c r="AJ5997" s="17" t="str">
        <f t="shared" si="3"/>
        <v/>
      </c>
    </row>
    <row r="5998" spans="31:36">
      <c r="AE5998" s="15" t="str">
        <f t="shared" si="0"/>
        <v/>
      </c>
      <c r="AF5998" s="15" t="str">
        <f t="shared" si="1"/>
        <v/>
      </c>
      <c r="AG5998" s="15" t="str">
        <f>IF(OR(AF5998="",AF5998="ERRO_CHAVE"),"",IFERROR(MATCH(AF5998,'Quitados DUPP'!$U$1:$U$6635,0),""))</f>
        <v/>
      </c>
      <c r="AH5998" s="15" t="str">
        <f t="shared" si="2"/>
        <v/>
      </c>
      <c r="AI5998" s="17" t="str">
        <f>IF(AG5998="","",INDEX('Quitados DUPP'!$G$1:$G$6635,AG5998))</f>
        <v/>
      </c>
      <c r="AJ5998" s="17" t="str">
        <f t="shared" si="3"/>
        <v/>
      </c>
    </row>
    <row r="5999" spans="31:36">
      <c r="AE5999" s="15" t="str">
        <f t="shared" si="0"/>
        <v/>
      </c>
      <c r="AF5999" s="15" t="str">
        <f t="shared" si="1"/>
        <v/>
      </c>
      <c r="AG5999" s="15" t="str">
        <f>IF(OR(AF5999="",AF5999="ERRO_CHAVE"),"",IFERROR(MATCH(AF5999,'Quitados DUPP'!$U$1:$U$6635,0),""))</f>
        <v/>
      </c>
      <c r="AH5999" s="15" t="str">
        <f t="shared" si="2"/>
        <v/>
      </c>
      <c r="AI5999" s="17" t="str">
        <f>IF(AG5999="","",INDEX('Quitados DUPP'!$G$1:$G$6635,AG5999))</f>
        <v/>
      </c>
      <c r="AJ5999" s="17" t="str">
        <f t="shared" si="3"/>
        <v/>
      </c>
    </row>
    <row r="6000" spans="31:36">
      <c r="AE6000" s="15" t="str">
        <f t="shared" si="0"/>
        <v/>
      </c>
      <c r="AF6000" s="15" t="str">
        <f t="shared" si="1"/>
        <v/>
      </c>
      <c r="AG6000" s="15" t="str">
        <f>IF(OR(AF6000="",AF6000="ERRO_CHAVE"),"",IFERROR(MATCH(AF6000,'Quitados DUPP'!$U$1:$U$6635,0),""))</f>
        <v/>
      </c>
      <c r="AH6000" s="15" t="str">
        <f t="shared" si="2"/>
        <v/>
      </c>
      <c r="AI6000" s="17" t="str">
        <f>IF(AG6000="","",INDEX('Quitados DUPP'!$G$1:$G$6635,AG6000))</f>
        <v/>
      </c>
      <c r="AJ6000" s="17" t="str">
        <f t="shared" si="3"/>
        <v/>
      </c>
    </row>
    <row r="6001" spans="31:36">
      <c r="AE6001" s="15" t="str">
        <f t="shared" si="0"/>
        <v/>
      </c>
      <c r="AF6001" s="15" t="str">
        <f t="shared" si="1"/>
        <v/>
      </c>
      <c r="AG6001" s="15" t="str">
        <f>IF(OR(AF6001="",AF6001="ERRO_CHAVE"),"",IFERROR(MATCH(AF6001,'Quitados DUPP'!$U$1:$U$6635,0),""))</f>
        <v/>
      </c>
      <c r="AH6001" s="15" t="str">
        <f t="shared" si="2"/>
        <v/>
      </c>
      <c r="AI6001" s="17" t="str">
        <f>IF(AG6001="","",INDEX('Quitados DUPP'!$G$1:$G$6635,AG6001))</f>
        <v/>
      </c>
      <c r="AJ6001" s="17" t="str">
        <f t="shared" si="3"/>
        <v/>
      </c>
    </row>
    <row r="6002" spans="31:36">
      <c r="AE6002" s="15" t="str">
        <f t="shared" si="0"/>
        <v/>
      </c>
      <c r="AF6002" s="15" t="str">
        <f t="shared" si="1"/>
        <v/>
      </c>
      <c r="AG6002" s="15" t="str">
        <f>IF(OR(AF6002="",AF6002="ERRO_CHAVE"),"",IFERROR(MATCH(AF6002,'Quitados DUPP'!$U$1:$U$6635,0),""))</f>
        <v/>
      </c>
      <c r="AH6002" s="15" t="str">
        <f t="shared" si="2"/>
        <v/>
      </c>
      <c r="AI6002" s="17" t="str">
        <f>IF(AG6002="","",INDEX('Quitados DUPP'!$G$1:$G$6635,AG6002))</f>
        <v/>
      </c>
      <c r="AJ6002" s="17" t="str">
        <f t="shared" si="3"/>
        <v/>
      </c>
    </row>
    <row r="6003" spans="31:36">
      <c r="AE6003" s="15" t="str">
        <f t="shared" si="0"/>
        <v/>
      </c>
      <c r="AF6003" s="15" t="str">
        <f t="shared" si="1"/>
        <v/>
      </c>
      <c r="AG6003" s="15" t="str">
        <f>IF(OR(AF6003="",AF6003="ERRO_CHAVE"),"",IFERROR(MATCH(AF6003,'Quitados DUPP'!$U$1:$U$6635,0),""))</f>
        <v/>
      </c>
      <c r="AH6003" s="15" t="str">
        <f t="shared" si="2"/>
        <v/>
      </c>
      <c r="AI6003" s="17" t="str">
        <f>IF(AG6003="","",INDEX('Quitados DUPP'!$G$1:$G$6635,AG6003))</f>
        <v/>
      </c>
      <c r="AJ6003" s="17" t="str">
        <f t="shared" si="3"/>
        <v/>
      </c>
    </row>
    <row r="6004" spans="31:36">
      <c r="AE6004" s="15" t="str">
        <f t="shared" si="0"/>
        <v/>
      </c>
      <c r="AF6004" s="15" t="str">
        <f t="shared" si="1"/>
        <v/>
      </c>
      <c r="AG6004" s="15" t="str">
        <f>IF(OR(AF6004="",AF6004="ERRO_CHAVE"),"",IFERROR(MATCH(AF6004,'Quitados DUPP'!$U$1:$U$6635,0),""))</f>
        <v/>
      </c>
      <c r="AH6004" s="15" t="str">
        <f t="shared" si="2"/>
        <v/>
      </c>
      <c r="AI6004" s="17" t="str">
        <f>IF(AG6004="","",INDEX('Quitados DUPP'!$G$1:$G$6635,AG6004))</f>
        <v/>
      </c>
      <c r="AJ6004" s="17" t="str">
        <f t="shared" si="3"/>
        <v/>
      </c>
    </row>
    <row r="6005" spans="31:36">
      <c r="AE6005" s="15" t="str">
        <f t="shared" si="0"/>
        <v/>
      </c>
      <c r="AF6005" s="15" t="str">
        <f t="shared" si="1"/>
        <v/>
      </c>
      <c r="AG6005" s="15" t="str">
        <f>IF(OR(AF6005="",AF6005="ERRO_CHAVE"),"",IFERROR(MATCH(AF6005,'Quitados DUPP'!$U$1:$U$6635,0),""))</f>
        <v/>
      </c>
      <c r="AH6005" s="15" t="str">
        <f t="shared" si="2"/>
        <v/>
      </c>
      <c r="AI6005" s="17" t="str">
        <f>IF(AG6005="","",INDEX('Quitados DUPP'!$G$1:$G$6635,AG6005))</f>
        <v/>
      </c>
      <c r="AJ6005" s="17" t="str">
        <f t="shared" si="3"/>
        <v/>
      </c>
    </row>
    <row r="6006" spans="31:36">
      <c r="AE6006" s="15" t="str">
        <f t="shared" si="0"/>
        <v/>
      </c>
      <c r="AF6006" s="15" t="str">
        <f t="shared" si="1"/>
        <v/>
      </c>
      <c r="AG6006" s="15" t="str">
        <f>IF(OR(AF6006="",AF6006="ERRO_CHAVE"),"",IFERROR(MATCH(AF6006,'Quitados DUPP'!$U$1:$U$6635,0),""))</f>
        <v/>
      </c>
      <c r="AH6006" s="15" t="str">
        <f t="shared" si="2"/>
        <v/>
      </c>
      <c r="AI6006" s="17" t="str">
        <f>IF(AG6006="","",INDEX('Quitados DUPP'!$G$1:$G$6635,AG6006))</f>
        <v/>
      </c>
      <c r="AJ6006" s="17" t="str">
        <f t="shared" si="3"/>
        <v/>
      </c>
    </row>
    <row r="6007" spans="31:36">
      <c r="AE6007" s="15" t="str">
        <f t="shared" si="0"/>
        <v/>
      </c>
      <c r="AF6007" s="15" t="str">
        <f t="shared" si="1"/>
        <v/>
      </c>
      <c r="AG6007" s="15" t="str">
        <f>IF(OR(AF6007="",AF6007="ERRO_CHAVE"),"",IFERROR(MATCH(AF6007,'Quitados DUPP'!$U$1:$U$6635,0),""))</f>
        <v/>
      </c>
      <c r="AH6007" s="15" t="str">
        <f t="shared" si="2"/>
        <v/>
      </c>
      <c r="AI6007" s="17" t="str">
        <f>IF(AG6007="","",INDEX('Quitados DUPP'!$G$1:$G$6635,AG6007))</f>
        <v/>
      </c>
      <c r="AJ6007" s="17" t="str">
        <f t="shared" si="3"/>
        <v/>
      </c>
    </row>
    <row r="6008" spans="31:36">
      <c r="AE6008" s="15" t="str">
        <f t="shared" si="0"/>
        <v/>
      </c>
      <c r="AF6008" s="15" t="str">
        <f t="shared" si="1"/>
        <v/>
      </c>
      <c r="AG6008" s="15" t="str">
        <f>IF(OR(AF6008="",AF6008="ERRO_CHAVE"),"",IFERROR(MATCH(AF6008,'Quitados DUPP'!$U$1:$U$6635,0),""))</f>
        <v/>
      </c>
      <c r="AH6008" s="15" t="str">
        <f t="shared" si="2"/>
        <v/>
      </c>
      <c r="AI6008" s="17" t="str">
        <f>IF(AG6008="","",INDEX('Quitados DUPP'!$G$1:$G$6635,AG6008))</f>
        <v/>
      </c>
      <c r="AJ6008" s="17" t="str">
        <f t="shared" si="3"/>
        <v/>
      </c>
    </row>
    <row r="6009" spans="31:36">
      <c r="AE6009" s="15" t="str">
        <f t="shared" si="0"/>
        <v/>
      </c>
      <c r="AF6009" s="15" t="str">
        <f t="shared" si="1"/>
        <v/>
      </c>
      <c r="AG6009" s="15" t="str">
        <f>IF(OR(AF6009="",AF6009="ERRO_CHAVE"),"",IFERROR(MATCH(AF6009,'Quitados DUPP'!$U$1:$U$6635,0),""))</f>
        <v/>
      </c>
      <c r="AH6009" s="15" t="str">
        <f t="shared" si="2"/>
        <v/>
      </c>
      <c r="AI6009" s="17" t="str">
        <f>IF(AG6009="","",INDEX('Quitados DUPP'!$G$1:$G$6635,AG6009))</f>
        <v/>
      </c>
      <c r="AJ6009" s="17" t="str">
        <f t="shared" si="3"/>
        <v/>
      </c>
    </row>
    <row r="6010" spans="31:36">
      <c r="AE6010" s="15" t="str">
        <f t="shared" si="0"/>
        <v/>
      </c>
      <c r="AF6010" s="15" t="str">
        <f t="shared" si="1"/>
        <v/>
      </c>
      <c r="AG6010" s="15" t="str">
        <f>IF(OR(AF6010="",AF6010="ERRO_CHAVE"),"",IFERROR(MATCH(AF6010,'Quitados DUPP'!$U$1:$U$6635,0),""))</f>
        <v/>
      </c>
      <c r="AH6010" s="15" t="str">
        <f t="shared" si="2"/>
        <v/>
      </c>
      <c r="AI6010" s="17" t="str">
        <f>IF(AG6010="","",INDEX('Quitados DUPP'!$G$1:$G$6635,AG6010))</f>
        <v/>
      </c>
      <c r="AJ6010" s="17" t="str">
        <f t="shared" si="3"/>
        <v/>
      </c>
    </row>
    <row r="6011" spans="31:36">
      <c r="AE6011" s="15" t="str">
        <f t="shared" si="0"/>
        <v/>
      </c>
      <c r="AF6011" s="15" t="str">
        <f t="shared" si="1"/>
        <v/>
      </c>
      <c r="AG6011" s="15" t="str">
        <f>IF(OR(AF6011="",AF6011="ERRO_CHAVE"),"",IFERROR(MATCH(AF6011,'Quitados DUPP'!$U$1:$U$6635,0),""))</f>
        <v/>
      </c>
      <c r="AH6011" s="15" t="str">
        <f t="shared" si="2"/>
        <v/>
      </c>
      <c r="AI6011" s="17" t="str">
        <f>IF(AG6011="","",INDEX('Quitados DUPP'!$G$1:$G$6635,AG6011))</f>
        <v/>
      </c>
      <c r="AJ6011" s="17" t="str">
        <f t="shared" si="3"/>
        <v/>
      </c>
    </row>
    <row r="6012" spans="31:36">
      <c r="AE6012" s="15" t="str">
        <f t="shared" si="0"/>
        <v/>
      </c>
      <c r="AF6012" s="15" t="str">
        <f t="shared" si="1"/>
        <v/>
      </c>
      <c r="AG6012" s="15" t="str">
        <f>IF(OR(AF6012="",AF6012="ERRO_CHAVE"),"",IFERROR(MATCH(AF6012,'Quitados DUPP'!$U$1:$U$6635,0),""))</f>
        <v/>
      </c>
      <c r="AH6012" s="15" t="str">
        <f t="shared" si="2"/>
        <v/>
      </c>
      <c r="AI6012" s="17" t="str">
        <f>IF(AG6012="","",INDEX('Quitados DUPP'!$G$1:$G$6635,AG6012))</f>
        <v/>
      </c>
      <c r="AJ6012" s="17" t="str">
        <f t="shared" si="3"/>
        <v/>
      </c>
    </row>
    <row r="6013" spans="31:36">
      <c r="AE6013" s="15" t="str">
        <f t="shared" si="0"/>
        <v/>
      </c>
      <c r="AF6013" s="15" t="str">
        <f t="shared" si="1"/>
        <v/>
      </c>
      <c r="AG6013" s="15" t="str">
        <f>IF(OR(AF6013="",AF6013="ERRO_CHAVE"),"",IFERROR(MATCH(AF6013,'Quitados DUPP'!$U$1:$U$6635,0),""))</f>
        <v/>
      </c>
      <c r="AH6013" s="15" t="str">
        <f t="shared" si="2"/>
        <v/>
      </c>
      <c r="AI6013" s="17" t="str">
        <f>IF(AG6013="","",INDEX('Quitados DUPP'!$G$1:$G$6635,AG6013))</f>
        <v/>
      </c>
      <c r="AJ6013" s="17" t="str">
        <f t="shared" si="3"/>
        <v/>
      </c>
    </row>
    <row r="6014" spans="31:36">
      <c r="AE6014" s="15" t="str">
        <f t="shared" si="0"/>
        <v/>
      </c>
      <c r="AF6014" s="15" t="str">
        <f t="shared" si="1"/>
        <v/>
      </c>
      <c r="AG6014" s="15" t="str">
        <f>IF(OR(AF6014="",AF6014="ERRO_CHAVE"),"",IFERROR(MATCH(AF6014,'Quitados DUPP'!$U$1:$U$6635,0),""))</f>
        <v/>
      </c>
      <c r="AH6014" s="15" t="str">
        <f t="shared" si="2"/>
        <v/>
      </c>
      <c r="AI6014" s="17" t="str">
        <f>IF(AG6014="","",INDEX('Quitados DUPP'!$G$1:$G$6635,AG6014))</f>
        <v/>
      </c>
      <c r="AJ6014" s="17" t="str">
        <f t="shared" si="3"/>
        <v/>
      </c>
    </row>
    <row r="6015" spans="31:36">
      <c r="AE6015" s="15" t="str">
        <f t="shared" si="0"/>
        <v/>
      </c>
      <c r="AF6015" s="15" t="str">
        <f t="shared" si="1"/>
        <v/>
      </c>
      <c r="AG6015" s="15" t="str">
        <f>IF(OR(AF6015="",AF6015="ERRO_CHAVE"),"",IFERROR(MATCH(AF6015,'Quitados DUPP'!$U$1:$U$6635,0),""))</f>
        <v/>
      </c>
      <c r="AH6015" s="15" t="str">
        <f t="shared" si="2"/>
        <v/>
      </c>
      <c r="AI6015" s="17" t="str">
        <f>IF(AG6015="","",INDEX('Quitados DUPP'!$G$1:$G$6635,AG6015))</f>
        <v/>
      </c>
      <c r="AJ6015" s="17" t="str">
        <f t="shared" si="3"/>
        <v/>
      </c>
    </row>
    <row r="6016" spans="31:36">
      <c r="AE6016" s="15" t="str">
        <f t="shared" si="0"/>
        <v/>
      </c>
      <c r="AF6016" s="15" t="str">
        <f t="shared" si="1"/>
        <v/>
      </c>
      <c r="AG6016" s="15" t="str">
        <f>IF(OR(AF6016="",AF6016="ERRO_CHAVE"),"",IFERROR(MATCH(AF6016,'Quitados DUPP'!$U$1:$U$6635,0),""))</f>
        <v/>
      </c>
      <c r="AH6016" s="15" t="str">
        <f t="shared" si="2"/>
        <v/>
      </c>
      <c r="AI6016" s="17" t="str">
        <f>IF(AG6016="","",INDEX('Quitados DUPP'!$G$1:$G$6635,AG6016))</f>
        <v/>
      </c>
      <c r="AJ6016" s="17" t="str">
        <f t="shared" si="3"/>
        <v/>
      </c>
    </row>
    <row r="6017" spans="31:36">
      <c r="AE6017" s="15" t="str">
        <f t="shared" si="0"/>
        <v/>
      </c>
      <c r="AF6017" s="15" t="str">
        <f t="shared" si="1"/>
        <v/>
      </c>
      <c r="AG6017" s="15" t="str">
        <f>IF(OR(AF6017="",AF6017="ERRO_CHAVE"),"",IFERROR(MATCH(AF6017,'Quitados DUPP'!$U$1:$U$6635,0),""))</f>
        <v/>
      </c>
      <c r="AH6017" s="15" t="str">
        <f t="shared" si="2"/>
        <v/>
      </c>
      <c r="AI6017" s="17" t="str">
        <f>IF(AG6017="","",INDEX('Quitados DUPP'!$G$1:$G$6635,AG6017))</f>
        <v/>
      </c>
      <c r="AJ6017" s="17" t="str">
        <f t="shared" si="3"/>
        <v/>
      </c>
    </row>
    <row r="6018" spans="31:36">
      <c r="AE6018" s="15" t="str">
        <f t="shared" si="0"/>
        <v/>
      </c>
      <c r="AF6018" s="15" t="str">
        <f t="shared" si="1"/>
        <v/>
      </c>
      <c r="AG6018" s="15" t="str">
        <f>IF(OR(AF6018="",AF6018="ERRO_CHAVE"),"",IFERROR(MATCH(AF6018,'Quitados DUPP'!$U$1:$U$6635,0),""))</f>
        <v/>
      </c>
      <c r="AH6018" s="15" t="str">
        <f t="shared" si="2"/>
        <v/>
      </c>
      <c r="AI6018" s="17" t="str">
        <f>IF(AG6018="","",INDEX('Quitados DUPP'!$G$1:$G$6635,AG6018))</f>
        <v/>
      </c>
      <c r="AJ6018" s="17" t="str">
        <f t="shared" si="3"/>
        <v/>
      </c>
    </row>
    <row r="6019" spans="31:36">
      <c r="AE6019" s="15" t="str">
        <f t="shared" si="0"/>
        <v/>
      </c>
      <c r="AF6019" s="15" t="str">
        <f t="shared" si="1"/>
        <v/>
      </c>
      <c r="AG6019" s="15" t="str">
        <f>IF(OR(AF6019="",AF6019="ERRO_CHAVE"),"",IFERROR(MATCH(AF6019,'Quitados DUPP'!$U$1:$U$6635,0),""))</f>
        <v/>
      </c>
      <c r="AH6019" s="15" t="str">
        <f t="shared" si="2"/>
        <v/>
      </c>
      <c r="AI6019" s="17" t="str">
        <f>IF(AG6019="","",INDEX('Quitados DUPP'!$G$1:$G$6635,AG6019))</f>
        <v/>
      </c>
      <c r="AJ6019" s="17" t="str">
        <f t="shared" si="3"/>
        <v/>
      </c>
    </row>
    <row r="6020" spans="31:36">
      <c r="AE6020" s="15" t="str">
        <f t="shared" si="0"/>
        <v/>
      </c>
      <c r="AF6020" s="15" t="str">
        <f t="shared" si="1"/>
        <v/>
      </c>
      <c r="AG6020" s="15" t="str">
        <f>IF(OR(AF6020="",AF6020="ERRO_CHAVE"),"",IFERROR(MATCH(AF6020,'Quitados DUPP'!$U$1:$U$6635,0),""))</f>
        <v/>
      </c>
      <c r="AH6020" s="15" t="str">
        <f t="shared" si="2"/>
        <v/>
      </c>
      <c r="AI6020" s="17" t="str">
        <f>IF(AG6020="","",INDEX('Quitados DUPP'!$G$1:$G$6635,AG6020))</f>
        <v/>
      </c>
      <c r="AJ6020" s="17" t="str">
        <f t="shared" si="3"/>
        <v/>
      </c>
    </row>
    <row r="6021" spans="31:36">
      <c r="AE6021" s="15" t="str">
        <f t="shared" si="0"/>
        <v/>
      </c>
      <c r="AF6021" s="15" t="str">
        <f t="shared" si="1"/>
        <v/>
      </c>
      <c r="AG6021" s="15" t="str">
        <f>IF(OR(AF6021="",AF6021="ERRO_CHAVE"),"",IFERROR(MATCH(AF6021,'Quitados DUPP'!$U$1:$U$6635,0),""))</f>
        <v/>
      </c>
      <c r="AH6021" s="15" t="str">
        <f t="shared" si="2"/>
        <v/>
      </c>
      <c r="AI6021" s="17" t="str">
        <f>IF(AG6021="","",INDEX('Quitados DUPP'!$G$1:$G$6635,AG6021))</f>
        <v/>
      </c>
      <c r="AJ6021" s="17" t="str">
        <f t="shared" si="3"/>
        <v/>
      </c>
    </row>
    <row r="6022" spans="31:36">
      <c r="AE6022" s="15" t="str">
        <f t="shared" si="0"/>
        <v/>
      </c>
      <c r="AF6022" s="15" t="str">
        <f t="shared" si="1"/>
        <v/>
      </c>
      <c r="AG6022" s="15" t="str">
        <f>IF(OR(AF6022="",AF6022="ERRO_CHAVE"),"",IFERROR(MATCH(AF6022,'Quitados DUPP'!$U$1:$U$6635,0),""))</f>
        <v/>
      </c>
      <c r="AH6022" s="15" t="str">
        <f t="shared" si="2"/>
        <v/>
      </c>
      <c r="AI6022" s="17" t="str">
        <f>IF(AG6022="","",INDEX('Quitados DUPP'!$G$1:$G$6635,AG6022))</f>
        <v/>
      </c>
      <c r="AJ6022" s="17" t="str">
        <f t="shared" si="3"/>
        <v/>
      </c>
    </row>
    <row r="6023" spans="31:36">
      <c r="AE6023" s="15" t="str">
        <f t="shared" si="0"/>
        <v/>
      </c>
      <c r="AF6023" s="15" t="str">
        <f t="shared" si="1"/>
        <v/>
      </c>
      <c r="AG6023" s="15" t="str">
        <f>IF(OR(AF6023="",AF6023="ERRO_CHAVE"),"",IFERROR(MATCH(AF6023,'Quitados DUPP'!$U$1:$U$6635,0),""))</f>
        <v/>
      </c>
      <c r="AH6023" s="15" t="str">
        <f t="shared" si="2"/>
        <v/>
      </c>
      <c r="AI6023" s="17" t="str">
        <f>IF(AG6023="","",INDEX('Quitados DUPP'!$G$1:$G$6635,AG6023))</f>
        <v/>
      </c>
      <c r="AJ6023" s="17" t="str">
        <f t="shared" si="3"/>
        <v/>
      </c>
    </row>
    <row r="6024" spans="31:36">
      <c r="AE6024" s="15" t="str">
        <f t="shared" si="0"/>
        <v/>
      </c>
      <c r="AF6024" s="15" t="str">
        <f t="shared" si="1"/>
        <v/>
      </c>
      <c r="AG6024" s="15" t="str">
        <f>IF(OR(AF6024="",AF6024="ERRO_CHAVE"),"",IFERROR(MATCH(AF6024,'Quitados DUPP'!$U$1:$U$6635,0),""))</f>
        <v/>
      </c>
      <c r="AH6024" s="15" t="str">
        <f t="shared" si="2"/>
        <v/>
      </c>
      <c r="AI6024" s="17" t="str">
        <f>IF(AG6024="","",INDEX('Quitados DUPP'!$G$1:$G$6635,AG6024))</f>
        <v/>
      </c>
      <c r="AJ6024" s="17" t="str">
        <f t="shared" si="3"/>
        <v/>
      </c>
    </row>
    <row r="6025" spans="31:36">
      <c r="AE6025" s="15" t="str">
        <f t="shared" si="0"/>
        <v/>
      </c>
      <c r="AF6025" s="15" t="str">
        <f t="shared" si="1"/>
        <v/>
      </c>
      <c r="AG6025" s="15" t="str">
        <f>IF(OR(AF6025="",AF6025="ERRO_CHAVE"),"",IFERROR(MATCH(AF6025,'Quitados DUPP'!$U$1:$U$6635,0),""))</f>
        <v/>
      </c>
      <c r="AH6025" s="15" t="str">
        <f t="shared" si="2"/>
        <v/>
      </c>
      <c r="AI6025" s="17" t="str">
        <f>IF(AG6025="","",INDEX('Quitados DUPP'!$G$1:$G$6635,AG6025))</f>
        <v/>
      </c>
      <c r="AJ6025" s="17" t="str">
        <f t="shared" si="3"/>
        <v/>
      </c>
    </row>
    <row r="6026" spans="31:36">
      <c r="AE6026" s="15" t="str">
        <f t="shared" si="0"/>
        <v/>
      </c>
      <c r="AF6026" s="15" t="str">
        <f t="shared" si="1"/>
        <v/>
      </c>
      <c r="AG6026" s="15" t="str">
        <f>IF(OR(AF6026="",AF6026="ERRO_CHAVE"),"",IFERROR(MATCH(AF6026,'Quitados DUPP'!$U$1:$U$6635,0),""))</f>
        <v/>
      </c>
      <c r="AH6026" s="15" t="str">
        <f t="shared" si="2"/>
        <v/>
      </c>
      <c r="AI6026" s="17" t="str">
        <f>IF(AG6026="","",INDEX('Quitados DUPP'!$G$1:$G$6635,AG6026))</f>
        <v/>
      </c>
      <c r="AJ6026" s="17" t="str">
        <f t="shared" si="3"/>
        <v/>
      </c>
    </row>
    <row r="6027" spans="31:36">
      <c r="AE6027" s="15" t="str">
        <f t="shared" si="0"/>
        <v/>
      </c>
      <c r="AF6027" s="15" t="str">
        <f t="shared" si="1"/>
        <v/>
      </c>
      <c r="AG6027" s="15" t="str">
        <f>IF(OR(AF6027="",AF6027="ERRO_CHAVE"),"",IFERROR(MATCH(AF6027,'Quitados DUPP'!$U$1:$U$6635,0),""))</f>
        <v/>
      </c>
      <c r="AH6027" s="15" t="str">
        <f t="shared" si="2"/>
        <v/>
      </c>
      <c r="AI6027" s="17" t="str">
        <f>IF(AG6027="","",INDEX('Quitados DUPP'!$G$1:$G$6635,AG6027))</f>
        <v/>
      </c>
      <c r="AJ6027" s="17" t="str">
        <f t="shared" si="3"/>
        <v/>
      </c>
    </row>
    <row r="6028" spans="31:36">
      <c r="AE6028" s="15" t="str">
        <f t="shared" si="0"/>
        <v/>
      </c>
      <c r="AF6028" s="15" t="str">
        <f t="shared" si="1"/>
        <v/>
      </c>
      <c r="AG6028" s="15" t="str">
        <f>IF(OR(AF6028="",AF6028="ERRO_CHAVE"),"",IFERROR(MATCH(AF6028,'Quitados DUPP'!$U$1:$U$6635,0),""))</f>
        <v/>
      </c>
      <c r="AH6028" s="15" t="str">
        <f t="shared" si="2"/>
        <v/>
      </c>
      <c r="AI6028" s="17" t="str">
        <f>IF(AG6028="","",INDEX('Quitados DUPP'!$G$1:$G$6635,AG6028))</f>
        <v/>
      </c>
      <c r="AJ6028" s="17" t="str">
        <f t="shared" si="3"/>
        <v/>
      </c>
    </row>
    <row r="6029" spans="31:36">
      <c r="AE6029" s="15" t="str">
        <f t="shared" si="0"/>
        <v/>
      </c>
      <c r="AF6029" s="15" t="str">
        <f t="shared" si="1"/>
        <v/>
      </c>
      <c r="AG6029" s="15" t="str">
        <f>IF(OR(AF6029="",AF6029="ERRO_CHAVE"),"",IFERROR(MATCH(AF6029,'Quitados DUPP'!$U$1:$U$6635,0),""))</f>
        <v/>
      </c>
      <c r="AH6029" s="15" t="str">
        <f t="shared" si="2"/>
        <v/>
      </c>
      <c r="AI6029" s="17" t="str">
        <f>IF(AG6029="","",INDEX('Quitados DUPP'!$G$1:$G$6635,AG6029))</f>
        <v/>
      </c>
      <c r="AJ6029" s="17" t="str">
        <f t="shared" si="3"/>
        <v/>
      </c>
    </row>
    <row r="6030" spans="31:36">
      <c r="AE6030" s="15" t="str">
        <f t="shared" si="0"/>
        <v/>
      </c>
      <c r="AF6030" s="15" t="str">
        <f t="shared" si="1"/>
        <v/>
      </c>
      <c r="AG6030" s="15" t="str">
        <f>IF(OR(AF6030="",AF6030="ERRO_CHAVE"),"",IFERROR(MATCH(AF6030,'Quitados DUPP'!$U$1:$U$6635,0),""))</f>
        <v/>
      </c>
      <c r="AH6030" s="15" t="str">
        <f t="shared" si="2"/>
        <v/>
      </c>
      <c r="AI6030" s="17" t="str">
        <f>IF(AG6030="","",INDEX('Quitados DUPP'!$G$1:$G$6635,AG6030))</f>
        <v/>
      </c>
      <c r="AJ6030" s="17" t="str">
        <f t="shared" si="3"/>
        <v/>
      </c>
    </row>
    <row r="6031" spans="31:36">
      <c r="AE6031" s="15" t="str">
        <f t="shared" si="0"/>
        <v/>
      </c>
      <c r="AF6031" s="15" t="str">
        <f t="shared" si="1"/>
        <v/>
      </c>
      <c r="AG6031" s="15" t="str">
        <f>IF(OR(AF6031="",AF6031="ERRO_CHAVE"),"",IFERROR(MATCH(AF6031,'Quitados DUPP'!$U$1:$U$6635,0),""))</f>
        <v/>
      </c>
      <c r="AH6031" s="15" t="str">
        <f t="shared" si="2"/>
        <v/>
      </c>
      <c r="AI6031" s="17" t="str">
        <f>IF(AG6031="","",INDEX('Quitados DUPP'!$G$1:$G$6635,AG6031))</f>
        <v/>
      </c>
      <c r="AJ6031" s="17" t="str">
        <f t="shared" si="3"/>
        <v/>
      </c>
    </row>
    <row r="6032" spans="31:36">
      <c r="AE6032" s="15" t="str">
        <f t="shared" si="0"/>
        <v/>
      </c>
      <c r="AF6032" s="15" t="str">
        <f t="shared" si="1"/>
        <v/>
      </c>
      <c r="AG6032" s="15" t="str">
        <f>IF(OR(AF6032="",AF6032="ERRO_CHAVE"),"",IFERROR(MATCH(AF6032,'Quitados DUPP'!$U$1:$U$6635,0),""))</f>
        <v/>
      </c>
      <c r="AH6032" s="15" t="str">
        <f t="shared" si="2"/>
        <v/>
      </c>
      <c r="AI6032" s="17" t="str">
        <f>IF(AG6032="","",INDEX('Quitados DUPP'!$G$1:$G$6635,AG6032))</f>
        <v/>
      </c>
      <c r="AJ6032" s="17" t="str">
        <f t="shared" si="3"/>
        <v/>
      </c>
    </row>
    <row r="6033" spans="31:36">
      <c r="AE6033" s="15" t="str">
        <f t="shared" si="0"/>
        <v/>
      </c>
      <c r="AF6033" s="15" t="str">
        <f t="shared" si="1"/>
        <v/>
      </c>
      <c r="AG6033" s="15" t="str">
        <f>IF(OR(AF6033="",AF6033="ERRO_CHAVE"),"",IFERROR(MATCH(AF6033,'Quitados DUPP'!$U$1:$U$6635,0),""))</f>
        <v/>
      </c>
      <c r="AH6033" s="15" t="str">
        <f t="shared" si="2"/>
        <v/>
      </c>
      <c r="AI6033" s="17" t="str">
        <f>IF(AG6033="","",INDEX('Quitados DUPP'!$G$1:$G$6635,AG6033))</f>
        <v/>
      </c>
      <c r="AJ6033" s="17" t="str">
        <f t="shared" si="3"/>
        <v/>
      </c>
    </row>
    <row r="6034" spans="31:36">
      <c r="AE6034" s="15" t="str">
        <f t="shared" si="0"/>
        <v/>
      </c>
      <c r="AF6034" s="15" t="str">
        <f t="shared" si="1"/>
        <v/>
      </c>
      <c r="AG6034" s="15" t="str">
        <f>IF(OR(AF6034="",AF6034="ERRO_CHAVE"),"",IFERROR(MATCH(AF6034,'Quitados DUPP'!$U$1:$U$6635,0),""))</f>
        <v/>
      </c>
      <c r="AH6034" s="15" t="str">
        <f t="shared" si="2"/>
        <v/>
      </c>
      <c r="AI6034" s="17" t="str">
        <f>IF(AG6034="","",INDEX('Quitados DUPP'!$G$1:$G$6635,AG6034))</f>
        <v/>
      </c>
      <c r="AJ6034" s="17" t="str">
        <f t="shared" si="3"/>
        <v/>
      </c>
    </row>
    <row r="6035" spans="31:36">
      <c r="AE6035" s="15" t="str">
        <f t="shared" si="0"/>
        <v/>
      </c>
      <c r="AF6035" s="15" t="str">
        <f t="shared" si="1"/>
        <v/>
      </c>
      <c r="AG6035" s="15" t="str">
        <f>IF(OR(AF6035="",AF6035="ERRO_CHAVE"),"",IFERROR(MATCH(AF6035,'Quitados DUPP'!$U$1:$U$6635,0),""))</f>
        <v/>
      </c>
      <c r="AH6035" s="15" t="str">
        <f t="shared" si="2"/>
        <v/>
      </c>
      <c r="AI6035" s="17" t="str">
        <f>IF(AG6035="","",INDEX('Quitados DUPP'!$G$1:$G$6635,AG6035))</f>
        <v/>
      </c>
      <c r="AJ6035" s="17" t="str">
        <f t="shared" si="3"/>
        <v/>
      </c>
    </row>
    <row r="6036" spans="31:36">
      <c r="AE6036" s="15" t="str">
        <f t="shared" si="0"/>
        <v/>
      </c>
      <c r="AF6036" s="15" t="str">
        <f t="shared" si="1"/>
        <v/>
      </c>
      <c r="AG6036" s="15" t="str">
        <f>IF(OR(AF6036="",AF6036="ERRO_CHAVE"),"",IFERROR(MATCH(AF6036,'Quitados DUPP'!$U$1:$U$6635,0),""))</f>
        <v/>
      </c>
      <c r="AH6036" s="15" t="str">
        <f t="shared" si="2"/>
        <v/>
      </c>
      <c r="AI6036" s="17" t="str">
        <f>IF(AG6036="","",INDEX('Quitados DUPP'!$G$1:$G$6635,AG6036))</f>
        <v/>
      </c>
      <c r="AJ6036" s="17" t="str">
        <f t="shared" si="3"/>
        <v/>
      </c>
    </row>
    <row r="6037" spans="31:36">
      <c r="AE6037" s="15" t="str">
        <f t="shared" si="0"/>
        <v/>
      </c>
      <c r="AF6037" s="15" t="str">
        <f t="shared" si="1"/>
        <v/>
      </c>
      <c r="AG6037" s="15" t="str">
        <f>IF(OR(AF6037="",AF6037="ERRO_CHAVE"),"",IFERROR(MATCH(AF6037,'Quitados DUPP'!$U$1:$U$6635,0),""))</f>
        <v/>
      </c>
      <c r="AH6037" s="15" t="str">
        <f t="shared" si="2"/>
        <v/>
      </c>
      <c r="AI6037" s="17" t="str">
        <f>IF(AG6037="","",INDEX('Quitados DUPP'!$G$1:$G$6635,AG6037))</f>
        <v/>
      </c>
      <c r="AJ6037" s="17" t="str">
        <f t="shared" si="3"/>
        <v/>
      </c>
    </row>
    <row r="6038" spans="31:36">
      <c r="AE6038" s="15" t="str">
        <f t="shared" si="0"/>
        <v/>
      </c>
      <c r="AF6038" s="15" t="str">
        <f t="shared" si="1"/>
        <v/>
      </c>
      <c r="AG6038" s="15" t="str">
        <f>IF(OR(AF6038="",AF6038="ERRO_CHAVE"),"",IFERROR(MATCH(AF6038,'Quitados DUPP'!$U$1:$U$6635,0),""))</f>
        <v/>
      </c>
      <c r="AH6038" s="15" t="str">
        <f t="shared" si="2"/>
        <v/>
      </c>
      <c r="AI6038" s="17" t="str">
        <f>IF(AG6038="","",INDEX('Quitados DUPP'!$G$1:$G$6635,AG6038))</f>
        <v/>
      </c>
      <c r="AJ6038" s="17" t="str">
        <f t="shared" si="3"/>
        <v/>
      </c>
    </row>
    <row r="6039" spans="31:36">
      <c r="AE6039" s="15" t="str">
        <f t="shared" si="0"/>
        <v/>
      </c>
      <c r="AF6039" s="15" t="str">
        <f t="shared" si="1"/>
        <v/>
      </c>
      <c r="AG6039" s="15" t="str">
        <f>IF(OR(AF6039="",AF6039="ERRO_CHAVE"),"",IFERROR(MATCH(AF6039,'Quitados DUPP'!$U$1:$U$6635,0),""))</f>
        <v/>
      </c>
      <c r="AH6039" s="15" t="str">
        <f t="shared" si="2"/>
        <v/>
      </c>
      <c r="AI6039" s="17" t="str">
        <f>IF(AG6039="","",INDEX('Quitados DUPP'!$G$1:$G$6635,AG6039))</f>
        <v/>
      </c>
      <c r="AJ6039" s="17" t="str">
        <f t="shared" si="3"/>
        <v/>
      </c>
    </row>
    <row r="6040" spans="31:36">
      <c r="AE6040" s="15" t="str">
        <f t="shared" si="0"/>
        <v/>
      </c>
      <c r="AF6040" s="15" t="str">
        <f t="shared" si="1"/>
        <v/>
      </c>
      <c r="AG6040" s="15" t="str">
        <f>IF(OR(AF6040="",AF6040="ERRO_CHAVE"),"",IFERROR(MATCH(AF6040,'Quitados DUPP'!$U$1:$U$6635,0),""))</f>
        <v/>
      </c>
      <c r="AH6040" s="15" t="str">
        <f t="shared" si="2"/>
        <v/>
      </c>
      <c r="AI6040" s="17" t="str">
        <f>IF(AG6040="","",INDEX('Quitados DUPP'!$G$1:$G$6635,AG6040))</f>
        <v/>
      </c>
      <c r="AJ6040" s="17" t="str">
        <f t="shared" si="3"/>
        <v/>
      </c>
    </row>
    <row r="6041" spans="31:36">
      <c r="AE6041" s="15" t="str">
        <f t="shared" si="0"/>
        <v/>
      </c>
      <c r="AF6041" s="15" t="str">
        <f t="shared" si="1"/>
        <v/>
      </c>
      <c r="AG6041" s="15" t="str">
        <f>IF(OR(AF6041="",AF6041="ERRO_CHAVE"),"",IFERROR(MATCH(AF6041,'Quitados DUPP'!$U$1:$U$6635,0),""))</f>
        <v/>
      </c>
      <c r="AH6041" s="15" t="str">
        <f t="shared" si="2"/>
        <v/>
      </c>
      <c r="AI6041" s="17" t="str">
        <f>IF(AG6041="","",INDEX('Quitados DUPP'!$G$1:$G$6635,AG6041))</f>
        <v/>
      </c>
      <c r="AJ6041" s="17" t="str">
        <f t="shared" si="3"/>
        <v/>
      </c>
    </row>
    <row r="6042" spans="31:36">
      <c r="AE6042" s="15" t="str">
        <f t="shared" si="0"/>
        <v/>
      </c>
      <c r="AF6042" s="15" t="str">
        <f t="shared" si="1"/>
        <v/>
      </c>
      <c r="AG6042" s="15" t="str">
        <f>IF(OR(AF6042="",AF6042="ERRO_CHAVE"),"",IFERROR(MATCH(AF6042,'Quitados DUPP'!$U$1:$U$6635,0),""))</f>
        <v/>
      </c>
      <c r="AH6042" s="15" t="str">
        <f t="shared" si="2"/>
        <v/>
      </c>
      <c r="AI6042" s="17" t="str">
        <f>IF(AG6042="","",INDEX('Quitados DUPP'!$G$1:$G$6635,AG6042))</f>
        <v/>
      </c>
      <c r="AJ6042" s="17" t="str">
        <f t="shared" si="3"/>
        <v/>
      </c>
    </row>
    <row r="6043" spans="31:36">
      <c r="AE6043" s="15" t="str">
        <f t="shared" si="0"/>
        <v/>
      </c>
      <c r="AF6043" s="15" t="str">
        <f t="shared" si="1"/>
        <v/>
      </c>
      <c r="AG6043" s="15" t="str">
        <f>IF(OR(AF6043="",AF6043="ERRO_CHAVE"),"",IFERROR(MATCH(AF6043,'Quitados DUPP'!$U$1:$U$6635,0),""))</f>
        <v/>
      </c>
      <c r="AH6043" s="15" t="str">
        <f t="shared" si="2"/>
        <v/>
      </c>
      <c r="AI6043" s="17" t="str">
        <f>IF(AG6043="","",INDEX('Quitados DUPP'!$G$1:$G$6635,AG6043))</f>
        <v/>
      </c>
      <c r="AJ6043" s="17" t="str">
        <f t="shared" si="3"/>
        <v/>
      </c>
    </row>
    <row r="6044" spans="31:36">
      <c r="AE6044" s="15" t="str">
        <f t="shared" si="0"/>
        <v/>
      </c>
      <c r="AF6044" s="15" t="str">
        <f t="shared" si="1"/>
        <v/>
      </c>
      <c r="AG6044" s="15" t="str">
        <f>IF(OR(AF6044="",AF6044="ERRO_CHAVE"),"",IFERROR(MATCH(AF6044,'Quitados DUPP'!$U$1:$U$6635,0),""))</f>
        <v/>
      </c>
      <c r="AH6044" s="15" t="str">
        <f t="shared" si="2"/>
        <v/>
      </c>
      <c r="AI6044" s="17" t="str">
        <f>IF(AG6044="","",INDEX('Quitados DUPP'!$G$1:$G$6635,AG6044))</f>
        <v/>
      </c>
      <c r="AJ6044" s="17" t="str">
        <f t="shared" si="3"/>
        <v/>
      </c>
    </row>
    <row r="6045" spans="31:36">
      <c r="AE6045" s="15" t="str">
        <f t="shared" si="0"/>
        <v/>
      </c>
      <c r="AF6045" s="15" t="str">
        <f t="shared" si="1"/>
        <v/>
      </c>
      <c r="AG6045" s="15" t="str">
        <f>IF(OR(AF6045="",AF6045="ERRO_CHAVE"),"",IFERROR(MATCH(AF6045,'Quitados DUPP'!$U$1:$U$6635,0),""))</f>
        <v/>
      </c>
      <c r="AH6045" s="15" t="str">
        <f t="shared" si="2"/>
        <v/>
      </c>
      <c r="AI6045" s="17" t="str">
        <f>IF(AG6045="","",INDEX('Quitados DUPP'!$G$1:$G$6635,AG6045))</f>
        <v/>
      </c>
      <c r="AJ6045" s="17" t="str">
        <f t="shared" si="3"/>
        <v/>
      </c>
    </row>
    <row r="6046" spans="31:36">
      <c r="AE6046" s="15" t="str">
        <f t="shared" si="0"/>
        <v/>
      </c>
      <c r="AF6046" s="15" t="str">
        <f t="shared" si="1"/>
        <v/>
      </c>
      <c r="AG6046" s="15" t="str">
        <f>IF(OR(AF6046="",AF6046="ERRO_CHAVE"),"",IFERROR(MATCH(AF6046,'Quitados DUPP'!$U$1:$U$6635,0),""))</f>
        <v/>
      </c>
      <c r="AH6046" s="15" t="str">
        <f t="shared" si="2"/>
        <v/>
      </c>
      <c r="AI6046" s="17" t="str">
        <f>IF(AG6046="","",INDEX('Quitados DUPP'!$G$1:$G$6635,AG6046))</f>
        <v/>
      </c>
      <c r="AJ6046" s="17" t="str">
        <f t="shared" si="3"/>
        <v/>
      </c>
    </row>
    <row r="6047" spans="31:36">
      <c r="AE6047" s="15" t="str">
        <f t="shared" si="0"/>
        <v/>
      </c>
      <c r="AF6047" s="15" t="str">
        <f t="shared" si="1"/>
        <v/>
      </c>
      <c r="AG6047" s="15" t="str">
        <f>IF(OR(AF6047="",AF6047="ERRO_CHAVE"),"",IFERROR(MATCH(AF6047,'Quitados DUPP'!$U$1:$U$6635,0),""))</f>
        <v/>
      </c>
      <c r="AH6047" s="15" t="str">
        <f t="shared" si="2"/>
        <v/>
      </c>
      <c r="AI6047" s="17" t="str">
        <f>IF(AG6047="","",INDEX('Quitados DUPP'!$G$1:$G$6635,AG6047))</f>
        <v/>
      </c>
      <c r="AJ6047" s="17" t="str">
        <f t="shared" si="3"/>
        <v/>
      </c>
    </row>
    <row r="6048" spans="31:36">
      <c r="AE6048" s="15" t="str">
        <f t="shared" si="0"/>
        <v/>
      </c>
      <c r="AF6048" s="15" t="str">
        <f t="shared" si="1"/>
        <v/>
      </c>
      <c r="AG6048" s="15" t="str">
        <f>IF(OR(AF6048="",AF6048="ERRO_CHAVE"),"",IFERROR(MATCH(AF6048,'Quitados DUPP'!$U$1:$U$6635,0),""))</f>
        <v/>
      </c>
      <c r="AH6048" s="15" t="str">
        <f t="shared" si="2"/>
        <v/>
      </c>
      <c r="AI6048" s="17" t="str">
        <f>IF(AG6048="","",INDEX('Quitados DUPP'!$G$1:$G$6635,AG6048))</f>
        <v/>
      </c>
      <c r="AJ6048" s="17" t="str">
        <f t="shared" si="3"/>
        <v/>
      </c>
    </row>
    <row r="6049" spans="31:36">
      <c r="AE6049" s="15" t="str">
        <f t="shared" si="0"/>
        <v/>
      </c>
      <c r="AF6049" s="15" t="str">
        <f t="shared" si="1"/>
        <v/>
      </c>
      <c r="AG6049" s="15" t="str">
        <f>IF(OR(AF6049="",AF6049="ERRO_CHAVE"),"",IFERROR(MATCH(AF6049,'Quitados DUPP'!$U$1:$U$6635,0),""))</f>
        <v/>
      </c>
      <c r="AH6049" s="15" t="str">
        <f t="shared" si="2"/>
        <v/>
      </c>
      <c r="AI6049" s="17" t="str">
        <f>IF(AG6049="","",INDEX('Quitados DUPP'!$G$1:$G$6635,AG6049))</f>
        <v/>
      </c>
      <c r="AJ6049" s="17" t="str">
        <f t="shared" si="3"/>
        <v/>
      </c>
    </row>
    <row r="6050" spans="31:36">
      <c r="AE6050" s="15" t="str">
        <f t="shared" si="0"/>
        <v/>
      </c>
      <c r="AF6050" s="15" t="str">
        <f t="shared" si="1"/>
        <v/>
      </c>
      <c r="AG6050" s="15" t="str">
        <f>IF(OR(AF6050="",AF6050="ERRO_CHAVE"),"",IFERROR(MATCH(AF6050,'Quitados DUPP'!$U$1:$U$6635,0),""))</f>
        <v/>
      </c>
      <c r="AH6050" s="15" t="str">
        <f t="shared" si="2"/>
        <v/>
      </c>
      <c r="AI6050" s="17" t="str">
        <f>IF(AG6050="","",INDEX('Quitados DUPP'!$G$1:$G$6635,AG6050))</f>
        <v/>
      </c>
      <c r="AJ6050" s="17" t="str">
        <f t="shared" si="3"/>
        <v/>
      </c>
    </row>
    <row r="6051" spans="31:36">
      <c r="AE6051" s="15" t="str">
        <f t="shared" si="0"/>
        <v/>
      </c>
      <c r="AF6051" s="15" t="str">
        <f t="shared" si="1"/>
        <v/>
      </c>
      <c r="AG6051" s="15" t="str">
        <f>IF(OR(AF6051="",AF6051="ERRO_CHAVE"),"",IFERROR(MATCH(AF6051,'Quitados DUPP'!$U$1:$U$6635,0),""))</f>
        <v/>
      </c>
      <c r="AH6051" s="15" t="str">
        <f t="shared" si="2"/>
        <v/>
      </c>
      <c r="AI6051" s="17" t="str">
        <f>IF(AG6051="","",INDEX('Quitados DUPP'!$G$1:$G$6635,AG6051))</f>
        <v/>
      </c>
      <c r="AJ6051" s="17" t="str">
        <f t="shared" si="3"/>
        <v/>
      </c>
    </row>
    <row r="6052" spans="31:36">
      <c r="AE6052" s="15" t="str">
        <f t="shared" si="0"/>
        <v/>
      </c>
      <c r="AF6052" s="15" t="str">
        <f t="shared" si="1"/>
        <v/>
      </c>
      <c r="AG6052" s="15" t="str">
        <f>IF(OR(AF6052="",AF6052="ERRO_CHAVE"),"",IFERROR(MATCH(AF6052,'Quitados DUPP'!$U$1:$U$6635,0),""))</f>
        <v/>
      </c>
      <c r="AH6052" s="15" t="str">
        <f t="shared" si="2"/>
        <v/>
      </c>
      <c r="AI6052" s="17" t="str">
        <f>IF(AG6052="","",INDEX('Quitados DUPP'!$G$1:$G$6635,AG6052))</f>
        <v/>
      </c>
      <c r="AJ6052" s="17" t="str">
        <f t="shared" si="3"/>
        <v/>
      </c>
    </row>
    <row r="6053" spans="31:36">
      <c r="AE6053" s="15" t="str">
        <f t="shared" si="0"/>
        <v/>
      </c>
      <c r="AF6053" s="15" t="str">
        <f t="shared" si="1"/>
        <v/>
      </c>
      <c r="AG6053" s="15" t="str">
        <f>IF(OR(AF6053="",AF6053="ERRO_CHAVE"),"",IFERROR(MATCH(AF6053,'Quitados DUPP'!$U$1:$U$6635,0),""))</f>
        <v/>
      </c>
      <c r="AH6053" s="15" t="str">
        <f t="shared" si="2"/>
        <v/>
      </c>
      <c r="AI6053" s="17" t="str">
        <f>IF(AG6053="","",INDEX('Quitados DUPP'!$G$1:$G$6635,AG6053))</f>
        <v/>
      </c>
      <c r="AJ6053" s="17" t="str">
        <f t="shared" si="3"/>
        <v/>
      </c>
    </row>
    <row r="6054" spans="31:36">
      <c r="AE6054" s="15" t="str">
        <f t="shared" si="0"/>
        <v/>
      </c>
      <c r="AF6054" s="15" t="str">
        <f t="shared" si="1"/>
        <v/>
      </c>
      <c r="AG6054" s="15" t="str">
        <f>IF(OR(AF6054="",AF6054="ERRO_CHAVE"),"",IFERROR(MATCH(AF6054,'Quitados DUPP'!$U$1:$U$6635,0),""))</f>
        <v/>
      </c>
      <c r="AH6054" s="15" t="str">
        <f t="shared" si="2"/>
        <v/>
      </c>
      <c r="AI6054" s="17" t="str">
        <f>IF(AG6054="","",INDEX('Quitados DUPP'!$G$1:$G$6635,AG6054))</f>
        <v/>
      </c>
      <c r="AJ6054" s="17" t="str">
        <f t="shared" si="3"/>
        <v/>
      </c>
    </row>
    <row r="6055" spans="31:36">
      <c r="AE6055" s="15" t="str">
        <f t="shared" si="0"/>
        <v/>
      </c>
      <c r="AF6055" s="15" t="str">
        <f t="shared" si="1"/>
        <v/>
      </c>
      <c r="AG6055" s="15" t="str">
        <f>IF(OR(AF6055="",AF6055="ERRO_CHAVE"),"",IFERROR(MATCH(AF6055,'Quitados DUPP'!$U$1:$U$6635,0),""))</f>
        <v/>
      </c>
      <c r="AH6055" s="15" t="str">
        <f t="shared" si="2"/>
        <v/>
      </c>
      <c r="AI6055" s="17" t="str">
        <f>IF(AG6055="","",INDEX('Quitados DUPP'!$G$1:$G$6635,AG6055))</f>
        <v/>
      </c>
      <c r="AJ6055" s="17" t="str">
        <f t="shared" si="3"/>
        <v/>
      </c>
    </row>
    <row r="6056" spans="31:36">
      <c r="AE6056" s="15" t="str">
        <f t="shared" si="0"/>
        <v/>
      </c>
      <c r="AF6056" s="15" t="str">
        <f t="shared" si="1"/>
        <v/>
      </c>
      <c r="AG6056" s="15" t="str">
        <f>IF(OR(AF6056="",AF6056="ERRO_CHAVE"),"",IFERROR(MATCH(AF6056,'Quitados DUPP'!$U$1:$U$6635,0),""))</f>
        <v/>
      </c>
      <c r="AH6056" s="15" t="str">
        <f t="shared" si="2"/>
        <v/>
      </c>
      <c r="AI6056" s="17" t="str">
        <f>IF(AG6056="","",INDEX('Quitados DUPP'!$G$1:$G$6635,AG6056))</f>
        <v/>
      </c>
      <c r="AJ6056" s="17" t="str">
        <f t="shared" si="3"/>
        <v/>
      </c>
    </row>
    <row r="6057" spans="31:36">
      <c r="AE6057" s="15" t="str">
        <f t="shared" si="0"/>
        <v/>
      </c>
      <c r="AF6057" s="15" t="str">
        <f t="shared" si="1"/>
        <v/>
      </c>
      <c r="AG6057" s="15" t="str">
        <f>IF(OR(AF6057="",AF6057="ERRO_CHAVE"),"",IFERROR(MATCH(AF6057,'Quitados DUPP'!$U$1:$U$6635,0),""))</f>
        <v/>
      </c>
      <c r="AH6057" s="15" t="str">
        <f t="shared" si="2"/>
        <v/>
      </c>
      <c r="AI6057" s="17" t="str">
        <f>IF(AG6057="","",INDEX('Quitados DUPP'!$G$1:$G$6635,AG6057))</f>
        <v/>
      </c>
      <c r="AJ6057" s="17" t="str">
        <f t="shared" si="3"/>
        <v/>
      </c>
    </row>
    <row r="6058" spans="31:36">
      <c r="AE6058" s="15" t="str">
        <f t="shared" si="0"/>
        <v/>
      </c>
      <c r="AF6058" s="15" t="str">
        <f t="shared" si="1"/>
        <v/>
      </c>
      <c r="AG6058" s="15" t="str">
        <f>IF(OR(AF6058="",AF6058="ERRO_CHAVE"),"",IFERROR(MATCH(AF6058,'Quitados DUPP'!$U$1:$U$6635,0),""))</f>
        <v/>
      </c>
      <c r="AH6058" s="15" t="str">
        <f t="shared" si="2"/>
        <v/>
      </c>
      <c r="AI6058" s="17" t="str">
        <f>IF(AG6058="","",INDEX('Quitados DUPP'!$G$1:$G$6635,AG6058))</f>
        <v/>
      </c>
      <c r="AJ6058" s="17" t="str">
        <f t="shared" si="3"/>
        <v/>
      </c>
    </row>
    <row r="6059" spans="31:36">
      <c r="AE6059" s="15" t="str">
        <f t="shared" si="0"/>
        <v/>
      </c>
      <c r="AF6059" s="15" t="str">
        <f t="shared" si="1"/>
        <v/>
      </c>
      <c r="AG6059" s="15" t="str">
        <f>IF(OR(AF6059="",AF6059="ERRO_CHAVE"),"",IFERROR(MATCH(AF6059,'Quitados DUPP'!$U$1:$U$6635,0),""))</f>
        <v/>
      </c>
      <c r="AH6059" s="15" t="str">
        <f t="shared" si="2"/>
        <v/>
      </c>
      <c r="AI6059" s="17" t="str">
        <f>IF(AG6059="","",INDEX('Quitados DUPP'!$G$1:$G$6635,AG6059))</f>
        <v/>
      </c>
      <c r="AJ6059" s="17" t="str">
        <f t="shared" si="3"/>
        <v/>
      </c>
    </row>
    <row r="6060" spans="31:36">
      <c r="AE6060" s="15" t="str">
        <f t="shared" si="0"/>
        <v/>
      </c>
      <c r="AF6060" s="15" t="str">
        <f t="shared" si="1"/>
        <v/>
      </c>
      <c r="AG6060" s="15" t="str">
        <f>IF(OR(AF6060="",AF6060="ERRO_CHAVE"),"",IFERROR(MATCH(AF6060,'Quitados DUPP'!$U$1:$U$6635,0),""))</f>
        <v/>
      </c>
      <c r="AH6060" s="15" t="str">
        <f t="shared" si="2"/>
        <v/>
      </c>
      <c r="AI6060" s="17" t="str">
        <f>IF(AG6060="","",INDEX('Quitados DUPP'!$G$1:$G$6635,AG6060))</f>
        <v/>
      </c>
      <c r="AJ6060" s="17" t="str">
        <f t="shared" si="3"/>
        <v/>
      </c>
    </row>
    <row r="6061" spans="31:36">
      <c r="AE6061" s="15" t="str">
        <f t="shared" si="0"/>
        <v/>
      </c>
      <c r="AF6061" s="15" t="str">
        <f t="shared" si="1"/>
        <v/>
      </c>
      <c r="AG6061" s="15" t="str">
        <f>IF(OR(AF6061="",AF6061="ERRO_CHAVE"),"",IFERROR(MATCH(AF6061,'Quitados DUPP'!$U$1:$U$6635,0),""))</f>
        <v/>
      </c>
      <c r="AH6061" s="15" t="str">
        <f t="shared" si="2"/>
        <v/>
      </c>
      <c r="AI6061" s="17" t="str">
        <f>IF(AG6061="","",INDEX('Quitados DUPP'!$G$1:$G$6635,AG6061))</f>
        <v/>
      </c>
      <c r="AJ6061" s="17" t="str">
        <f t="shared" si="3"/>
        <v/>
      </c>
    </row>
    <row r="6062" spans="31:36">
      <c r="AE6062" s="15" t="str">
        <f t="shared" si="0"/>
        <v/>
      </c>
      <c r="AF6062" s="15" t="str">
        <f t="shared" si="1"/>
        <v/>
      </c>
      <c r="AG6062" s="15" t="str">
        <f>IF(OR(AF6062="",AF6062="ERRO_CHAVE"),"",IFERROR(MATCH(AF6062,'Quitados DUPP'!$U$1:$U$6635,0),""))</f>
        <v/>
      </c>
      <c r="AH6062" s="15" t="str">
        <f t="shared" si="2"/>
        <v/>
      </c>
      <c r="AI6062" s="17" t="str">
        <f>IF(AG6062="","",INDEX('Quitados DUPP'!$G$1:$G$6635,AG6062))</f>
        <v/>
      </c>
      <c r="AJ6062" s="17" t="str">
        <f t="shared" si="3"/>
        <v/>
      </c>
    </row>
    <row r="6063" spans="31:36">
      <c r="AE6063" s="15" t="str">
        <f t="shared" si="0"/>
        <v/>
      </c>
      <c r="AF6063" s="15" t="str">
        <f t="shared" si="1"/>
        <v/>
      </c>
      <c r="AG6063" s="15" t="str">
        <f>IF(OR(AF6063="",AF6063="ERRO_CHAVE"),"",IFERROR(MATCH(AF6063,'Quitados DUPP'!$U$1:$U$6635,0),""))</f>
        <v/>
      </c>
      <c r="AH6063" s="15" t="str">
        <f t="shared" si="2"/>
        <v/>
      </c>
      <c r="AI6063" s="17" t="str">
        <f>IF(AG6063="","",INDEX('Quitados DUPP'!$G$1:$G$6635,AG6063))</f>
        <v/>
      </c>
      <c r="AJ6063" s="17" t="str">
        <f t="shared" si="3"/>
        <v/>
      </c>
    </row>
    <row r="6064" spans="31:36">
      <c r="AE6064" s="15" t="str">
        <f t="shared" si="0"/>
        <v/>
      </c>
      <c r="AF6064" s="15" t="str">
        <f t="shared" si="1"/>
        <v/>
      </c>
      <c r="AG6064" s="15" t="str">
        <f>IF(OR(AF6064="",AF6064="ERRO_CHAVE"),"",IFERROR(MATCH(AF6064,'Quitados DUPP'!$U$1:$U$6635,0),""))</f>
        <v/>
      </c>
      <c r="AH6064" s="15" t="str">
        <f t="shared" si="2"/>
        <v/>
      </c>
      <c r="AI6064" s="17" t="str">
        <f>IF(AG6064="","",INDEX('Quitados DUPP'!$G$1:$G$6635,AG6064))</f>
        <v/>
      </c>
      <c r="AJ6064" s="17" t="str">
        <f t="shared" si="3"/>
        <v/>
      </c>
    </row>
    <row r="6065" spans="31:36">
      <c r="AE6065" s="15" t="str">
        <f t="shared" si="0"/>
        <v/>
      </c>
      <c r="AF6065" s="15" t="str">
        <f t="shared" si="1"/>
        <v/>
      </c>
      <c r="AG6065" s="15" t="str">
        <f>IF(OR(AF6065="",AF6065="ERRO_CHAVE"),"",IFERROR(MATCH(AF6065,'Quitados DUPP'!$U$1:$U$6635,0),""))</f>
        <v/>
      </c>
      <c r="AH6065" s="15" t="str">
        <f t="shared" si="2"/>
        <v/>
      </c>
      <c r="AI6065" s="17" t="str">
        <f>IF(AG6065="","",INDEX('Quitados DUPP'!$G$1:$G$6635,AG6065))</f>
        <v/>
      </c>
      <c r="AJ6065" s="17" t="str">
        <f t="shared" si="3"/>
        <v/>
      </c>
    </row>
    <row r="6066" spans="31:36">
      <c r="AE6066" s="15" t="str">
        <f t="shared" si="0"/>
        <v/>
      </c>
      <c r="AF6066" s="15" t="str">
        <f t="shared" si="1"/>
        <v/>
      </c>
      <c r="AG6066" s="15" t="str">
        <f>IF(OR(AF6066="",AF6066="ERRO_CHAVE"),"",IFERROR(MATCH(AF6066,'Quitados DUPP'!$U$1:$U$6635,0),""))</f>
        <v/>
      </c>
      <c r="AH6066" s="15" t="str">
        <f t="shared" si="2"/>
        <v/>
      </c>
      <c r="AI6066" s="17" t="str">
        <f>IF(AG6066="","",INDEX('Quitados DUPP'!$G$1:$G$6635,AG6066))</f>
        <v/>
      </c>
      <c r="AJ6066" s="17" t="str">
        <f t="shared" si="3"/>
        <v/>
      </c>
    </row>
    <row r="6067" spans="31:36">
      <c r="AE6067" s="15" t="str">
        <f t="shared" si="0"/>
        <v/>
      </c>
      <c r="AF6067" s="15" t="str">
        <f t="shared" si="1"/>
        <v/>
      </c>
      <c r="AG6067" s="15" t="str">
        <f>IF(OR(AF6067="",AF6067="ERRO_CHAVE"),"",IFERROR(MATCH(AF6067,'Quitados DUPP'!$U$1:$U$6635,0),""))</f>
        <v/>
      </c>
      <c r="AH6067" s="15" t="str">
        <f t="shared" si="2"/>
        <v/>
      </c>
      <c r="AI6067" s="17" t="str">
        <f>IF(AG6067="","",INDEX('Quitados DUPP'!$G$1:$G$6635,AG6067))</f>
        <v/>
      </c>
      <c r="AJ6067" s="17" t="str">
        <f t="shared" si="3"/>
        <v/>
      </c>
    </row>
    <row r="6068" spans="31:36">
      <c r="AE6068" s="15" t="str">
        <f t="shared" si="0"/>
        <v/>
      </c>
      <c r="AF6068" s="15" t="str">
        <f t="shared" si="1"/>
        <v/>
      </c>
      <c r="AG6068" s="15" t="str">
        <f>IF(OR(AF6068="",AF6068="ERRO_CHAVE"),"",IFERROR(MATCH(AF6068,'Quitados DUPP'!$U$1:$U$6635,0),""))</f>
        <v/>
      </c>
      <c r="AH6068" s="15" t="str">
        <f t="shared" si="2"/>
        <v/>
      </c>
      <c r="AI6068" s="17" t="str">
        <f>IF(AG6068="","",INDEX('Quitados DUPP'!$G$1:$G$6635,AG6068))</f>
        <v/>
      </c>
      <c r="AJ6068" s="17" t="str">
        <f t="shared" si="3"/>
        <v/>
      </c>
    </row>
    <row r="6069" spans="31:36">
      <c r="AE6069" s="15" t="str">
        <f t="shared" si="0"/>
        <v/>
      </c>
      <c r="AF6069" s="15" t="str">
        <f t="shared" si="1"/>
        <v/>
      </c>
      <c r="AG6069" s="15" t="str">
        <f>IF(OR(AF6069="",AF6069="ERRO_CHAVE"),"",IFERROR(MATCH(AF6069,'Quitados DUPP'!$U$1:$U$6635,0),""))</f>
        <v/>
      </c>
      <c r="AH6069" s="15" t="str">
        <f t="shared" si="2"/>
        <v/>
      </c>
      <c r="AI6069" s="17" t="str">
        <f>IF(AG6069="","",INDEX('Quitados DUPP'!$G$1:$G$6635,AG6069))</f>
        <v/>
      </c>
      <c r="AJ6069" s="17" t="str">
        <f t="shared" si="3"/>
        <v/>
      </c>
    </row>
    <row r="6070" spans="31:36">
      <c r="AE6070" s="15" t="str">
        <f t="shared" si="0"/>
        <v/>
      </c>
      <c r="AF6070" s="15" t="str">
        <f t="shared" si="1"/>
        <v/>
      </c>
      <c r="AG6070" s="15" t="str">
        <f>IF(OR(AF6070="",AF6070="ERRO_CHAVE"),"",IFERROR(MATCH(AF6070,'Quitados DUPP'!$U$1:$U$6635,0),""))</f>
        <v/>
      </c>
      <c r="AH6070" s="15" t="str">
        <f t="shared" si="2"/>
        <v/>
      </c>
      <c r="AI6070" s="17" t="str">
        <f>IF(AG6070="","",INDEX('Quitados DUPP'!$G$1:$G$6635,AG6070))</f>
        <v/>
      </c>
      <c r="AJ6070" s="17" t="str">
        <f t="shared" si="3"/>
        <v/>
      </c>
    </row>
    <row r="6071" spans="31:36">
      <c r="AE6071" s="15" t="str">
        <f t="shared" si="0"/>
        <v/>
      </c>
      <c r="AF6071" s="15" t="str">
        <f t="shared" si="1"/>
        <v/>
      </c>
      <c r="AG6071" s="15" t="str">
        <f>IF(OR(AF6071="",AF6071="ERRO_CHAVE"),"",IFERROR(MATCH(AF6071,'Quitados DUPP'!$U$1:$U$6635,0),""))</f>
        <v/>
      </c>
      <c r="AH6071" s="15" t="str">
        <f t="shared" si="2"/>
        <v/>
      </c>
      <c r="AI6071" s="17" t="str">
        <f>IF(AG6071="","",INDEX('Quitados DUPP'!$G$1:$G$6635,AG6071))</f>
        <v/>
      </c>
      <c r="AJ6071" s="17" t="str">
        <f t="shared" si="3"/>
        <v/>
      </c>
    </row>
    <row r="6072" spans="31:36">
      <c r="AE6072" s="15" t="str">
        <f t="shared" si="0"/>
        <v/>
      </c>
      <c r="AF6072" s="15" t="str">
        <f t="shared" si="1"/>
        <v/>
      </c>
      <c r="AG6072" s="15" t="str">
        <f>IF(OR(AF6072="",AF6072="ERRO_CHAVE"),"",IFERROR(MATCH(AF6072,'Quitados DUPP'!$U$1:$U$6635,0),""))</f>
        <v/>
      </c>
      <c r="AH6072" s="15" t="str">
        <f t="shared" si="2"/>
        <v/>
      </c>
      <c r="AI6072" s="17" t="str">
        <f>IF(AG6072="","",INDEX('Quitados DUPP'!$G$1:$G$6635,AG6072))</f>
        <v/>
      </c>
      <c r="AJ6072" s="17" t="str">
        <f t="shared" si="3"/>
        <v/>
      </c>
    </row>
    <row r="6073" spans="31:36">
      <c r="AE6073" s="15" t="str">
        <f t="shared" si="0"/>
        <v/>
      </c>
      <c r="AF6073" s="15" t="str">
        <f t="shared" si="1"/>
        <v/>
      </c>
      <c r="AG6073" s="15" t="str">
        <f>IF(OR(AF6073="",AF6073="ERRO_CHAVE"),"",IFERROR(MATCH(AF6073,'Quitados DUPP'!$U$1:$U$6635,0),""))</f>
        <v/>
      </c>
      <c r="AH6073" s="15" t="str">
        <f t="shared" si="2"/>
        <v/>
      </c>
      <c r="AI6073" s="17" t="str">
        <f>IF(AG6073="","",INDEX('Quitados DUPP'!$G$1:$G$6635,AG6073))</f>
        <v/>
      </c>
      <c r="AJ6073" s="17" t="str">
        <f t="shared" si="3"/>
        <v/>
      </c>
    </row>
    <row r="6074" spans="31:36">
      <c r="AE6074" s="15" t="str">
        <f t="shared" si="0"/>
        <v/>
      </c>
      <c r="AF6074" s="15" t="str">
        <f t="shared" si="1"/>
        <v/>
      </c>
      <c r="AG6074" s="15" t="str">
        <f>IF(OR(AF6074="",AF6074="ERRO_CHAVE"),"",IFERROR(MATCH(AF6074,'Quitados DUPP'!$U$1:$U$6635,0),""))</f>
        <v/>
      </c>
      <c r="AH6074" s="15" t="str">
        <f t="shared" si="2"/>
        <v/>
      </c>
      <c r="AI6074" s="17" t="str">
        <f>IF(AG6074="","",INDEX('Quitados DUPP'!$G$1:$G$6635,AG6074))</f>
        <v/>
      </c>
      <c r="AJ6074" s="17" t="str">
        <f t="shared" si="3"/>
        <v/>
      </c>
    </row>
    <row r="6075" spans="31:36">
      <c r="AE6075" s="15" t="str">
        <f t="shared" si="0"/>
        <v/>
      </c>
      <c r="AF6075" s="15" t="str">
        <f t="shared" si="1"/>
        <v/>
      </c>
      <c r="AG6075" s="15" t="str">
        <f>IF(OR(AF6075="",AF6075="ERRO_CHAVE"),"",IFERROR(MATCH(AF6075,'Quitados DUPP'!$U$1:$U$6635,0),""))</f>
        <v/>
      </c>
      <c r="AH6075" s="15" t="str">
        <f t="shared" si="2"/>
        <v/>
      </c>
      <c r="AI6075" s="17" t="str">
        <f>IF(AG6075="","",INDEX('Quitados DUPP'!$G$1:$G$6635,AG6075))</f>
        <v/>
      </c>
      <c r="AJ6075" s="17" t="str">
        <f t="shared" si="3"/>
        <v/>
      </c>
    </row>
    <row r="6076" spans="31:36">
      <c r="AE6076" s="15" t="str">
        <f t="shared" si="0"/>
        <v/>
      </c>
      <c r="AF6076" s="15" t="str">
        <f t="shared" si="1"/>
        <v/>
      </c>
      <c r="AG6076" s="15" t="str">
        <f>IF(OR(AF6076="",AF6076="ERRO_CHAVE"),"",IFERROR(MATCH(AF6076,'Quitados DUPP'!$U$1:$U$6635,0),""))</f>
        <v/>
      </c>
      <c r="AH6076" s="15" t="str">
        <f t="shared" si="2"/>
        <v/>
      </c>
      <c r="AI6076" s="17" t="str">
        <f>IF(AG6076="","",INDEX('Quitados DUPP'!$G$1:$G$6635,AG6076))</f>
        <v/>
      </c>
      <c r="AJ6076" s="17" t="str">
        <f t="shared" si="3"/>
        <v/>
      </c>
    </row>
    <row r="6077" spans="31:36">
      <c r="AE6077" s="15" t="str">
        <f t="shared" si="0"/>
        <v/>
      </c>
      <c r="AF6077" s="15" t="str">
        <f t="shared" si="1"/>
        <v/>
      </c>
      <c r="AG6077" s="15" t="str">
        <f>IF(OR(AF6077="",AF6077="ERRO_CHAVE"),"",IFERROR(MATCH(AF6077,'Quitados DUPP'!$U$1:$U$6635,0),""))</f>
        <v/>
      </c>
      <c r="AH6077" s="15" t="str">
        <f t="shared" si="2"/>
        <v/>
      </c>
      <c r="AI6077" s="17" t="str">
        <f>IF(AG6077="","",INDEX('Quitados DUPP'!$G$1:$G$6635,AG6077))</f>
        <v/>
      </c>
      <c r="AJ6077" s="17" t="str">
        <f t="shared" si="3"/>
        <v/>
      </c>
    </row>
    <row r="6078" spans="31:36">
      <c r="AE6078" s="15" t="str">
        <f t="shared" si="0"/>
        <v/>
      </c>
      <c r="AF6078" s="15" t="str">
        <f t="shared" si="1"/>
        <v/>
      </c>
      <c r="AG6078" s="15" t="str">
        <f>IF(OR(AF6078="",AF6078="ERRO_CHAVE"),"",IFERROR(MATCH(AF6078,'Quitados DUPP'!$U$1:$U$6635,0),""))</f>
        <v/>
      </c>
      <c r="AH6078" s="15" t="str">
        <f t="shared" si="2"/>
        <v/>
      </c>
      <c r="AI6078" s="17" t="str">
        <f>IF(AG6078="","",INDEX('Quitados DUPP'!$G$1:$G$6635,AG6078))</f>
        <v/>
      </c>
      <c r="AJ6078" s="17" t="str">
        <f t="shared" si="3"/>
        <v/>
      </c>
    </row>
    <row r="6079" spans="31:36">
      <c r="AE6079" s="15" t="str">
        <f t="shared" si="0"/>
        <v/>
      </c>
      <c r="AF6079" s="15" t="str">
        <f t="shared" si="1"/>
        <v/>
      </c>
      <c r="AG6079" s="15" t="str">
        <f>IF(OR(AF6079="",AF6079="ERRO_CHAVE"),"",IFERROR(MATCH(AF6079,'Quitados DUPP'!$U$1:$U$6635,0),""))</f>
        <v/>
      </c>
      <c r="AH6079" s="15" t="str">
        <f t="shared" si="2"/>
        <v/>
      </c>
      <c r="AI6079" s="17" t="str">
        <f>IF(AG6079="","",INDEX('Quitados DUPP'!$G$1:$G$6635,AG6079))</f>
        <v/>
      </c>
      <c r="AJ6079" s="17" t="str">
        <f t="shared" si="3"/>
        <v/>
      </c>
    </row>
    <row r="6080" spans="31:36">
      <c r="AE6080" s="15" t="str">
        <f t="shared" si="0"/>
        <v/>
      </c>
      <c r="AF6080" s="15" t="str">
        <f t="shared" si="1"/>
        <v/>
      </c>
      <c r="AG6080" s="15" t="str">
        <f>IF(OR(AF6080="",AF6080="ERRO_CHAVE"),"",IFERROR(MATCH(AF6080,'Quitados DUPP'!$U$1:$U$6635,0),""))</f>
        <v/>
      </c>
      <c r="AH6080" s="15" t="str">
        <f t="shared" si="2"/>
        <v/>
      </c>
      <c r="AI6080" s="17" t="str">
        <f>IF(AG6080="","",INDEX('Quitados DUPP'!$G$1:$G$6635,AG6080))</f>
        <v/>
      </c>
      <c r="AJ6080" s="17" t="str">
        <f t="shared" si="3"/>
        <v/>
      </c>
    </row>
    <row r="6081" spans="31:36">
      <c r="AE6081" s="15" t="str">
        <f t="shared" si="0"/>
        <v/>
      </c>
      <c r="AF6081" s="15" t="str">
        <f t="shared" si="1"/>
        <v/>
      </c>
      <c r="AG6081" s="15" t="str">
        <f>IF(OR(AF6081="",AF6081="ERRO_CHAVE"),"",IFERROR(MATCH(AF6081,'Quitados DUPP'!$U$1:$U$6635,0),""))</f>
        <v/>
      </c>
      <c r="AH6081" s="15" t="str">
        <f t="shared" si="2"/>
        <v/>
      </c>
      <c r="AI6081" s="17" t="str">
        <f>IF(AG6081="","",INDEX('Quitados DUPP'!$G$1:$G$6635,AG6081))</f>
        <v/>
      </c>
      <c r="AJ6081" s="17" t="str">
        <f t="shared" si="3"/>
        <v/>
      </c>
    </row>
    <row r="6082" spans="31:36">
      <c r="AE6082" s="15" t="str">
        <f t="shared" si="0"/>
        <v/>
      </c>
      <c r="AF6082" s="15" t="str">
        <f t="shared" si="1"/>
        <v/>
      </c>
      <c r="AG6082" s="15" t="str">
        <f>IF(OR(AF6082="",AF6082="ERRO_CHAVE"),"",IFERROR(MATCH(AF6082,'Quitados DUPP'!$U$1:$U$6635,0),""))</f>
        <v/>
      </c>
      <c r="AH6082" s="15" t="str">
        <f t="shared" si="2"/>
        <v/>
      </c>
      <c r="AI6082" s="17" t="str">
        <f>IF(AG6082="","",INDEX('Quitados DUPP'!$G$1:$G$6635,AG6082))</f>
        <v/>
      </c>
      <c r="AJ6082" s="17" t="str">
        <f t="shared" si="3"/>
        <v/>
      </c>
    </row>
    <row r="6083" spans="31:36">
      <c r="AE6083" s="15" t="str">
        <f t="shared" si="0"/>
        <v/>
      </c>
      <c r="AF6083" s="15" t="str">
        <f t="shared" si="1"/>
        <v/>
      </c>
      <c r="AG6083" s="15" t="str">
        <f>IF(OR(AF6083="",AF6083="ERRO_CHAVE"),"",IFERROR(MATCH(AF6083,'Quitados DUPP'!$U$1:$U$6635,0),""))</f>
        <v/>
      </c>
      <c r="AH6083" s="15" t="str">
        <f t="shared" si="2"/>
        <v/>
      </c>
      <c r="AI6083" s="17" t="str">
        <f>IF(AG6083="","",INDEX('Quitados DUPP'!$G$1:$G$6635,AG6083))</f>
        <v/>
      </c>
      <c r="AJ6083" s="17" t="str">
        <f t="shared" si="3"/>
        <v/>
      </c>
    </row>
    <row r="6084" spans="31:36">
      <c r="AE6084" s="15" t="str">
        <f t="shared" si="0"/>
        <v/>
      </c>
      <c r="AF6084" s="15" t="str">
        <f t="shared" si="1"/>
        <v/>
      </c>
      <c r="AG6084" s="15" t="str">
        <f>IF(OR(AF6084="",AF6084="ERRO_CHAVE"),"",IFERROR(MATCH(AF6084,'Quitados DUPP'!$U$1:$U$6635,0),""))</f>
        <v/>
      </c>
      <c r="AH6084" s="15" t="str">
        <f t="shared" si="2"/>
        <v/>
      </c>
      <c r="AI6084" s="17" t="str">
        <f>IF(AG6084="","",INDEX('Quitados DUPP'!$G$1:$G$6635,AG6084))</f>
        <v/>
      </c>
      <c r="AJ6084" s="17" t="str">
        <f t="shared" si="3"/>
        <v/>
      </c>
    </row>
    <row r="6085" spans="31:36">
      <c r="AE6085" s="15" t="str">
        <f t="shared" si="0"/>
        <v/>
      </c>
      <c r="AF6085" s="15" t="str">
        <f t="shared" si="1"/>
        <v/>
      </c>
      <c r="AG6085" s="15" t="str">
        <f>IF(OR(AF6085="",AF6085="ERRO_CHAVE"),"",IFERROR(MATCH(AF6085,'Quitados DUPP'!$U$1:$U$6635,0),""))</f>
        <v/>
      </c>
      <c r="AH6085" s="15" t="str">
        <f t="shared" si="2"/>
        <v/>
      </c>
      <c r="AI6085" s="17" t="str">
        <f>IF(AG6085="","",INDEX('Quitados DUPP'!$G$1:$G$6635,AG6085))</f>
        <v/>
      </c>
      <c r="AJ6085" s="17" t="str">
        <f t="shared" si="3"/>
        <v/>
      </c>
    </row>
    <row r="6086" spans="31:36">
      <c r="AE6086" s="15" t="str">
        <f t="shared" si="0"/>
        <v/>
      </c>
      <c r="AF6086" s="15" t="str">
        <f t="shared" si="1"/>
        <v/>
      </c>
      <c r="AG6086" s="15" t="str">
        <f>IF(OR(AF6086="",AF6086="ERRO_CHAVE"),"",IFERROR(MATCH(AF6086,'Quitados DUPP'!$U$1:$U$6635,0),""))</f>
        <v/>
      </c>
      <c r="AH6086" s="15" t="str">
        <f t="shared" si="2"/>
        <v/>
      </c>
      <c r="AI6086" s="17" t="str">
        <f>IF(AG6086="","",INDEX('Quitados DUPP'!$G$1:$G$6635,AG6086))</f>
        <v/>
      </c>
      <c r="AJ6086" s="17" t="str">
        <f t="shared" si="3"/>
        <v/>
      </c>
    </row>
    <row r="6087" spans="31:36">
      <c r="AE6087" s="15" t="str">
        <f t="shared" si="0"/>
        <v/>
      </c>
      <c r="AF6087" s="15" t="str">
        <f t="shared" si="1"/>
        <v/>
      </c>
      <c r="AG6087" s="15" t="str">
        <f>IF(OR(AF6087="",AF6087="ERRO_CHAVE"),"",IFERROR(MATCH(AF6087,'Quitados DUPP'!$U$1:$U$6635,0),""))</f>
        <v/>
      </c>
      <c r="AH6087" s="15" t="str">
        <f t="shared" si="2"/>
        <v/>
      </c>
      <c r="AI6087" s="17" t="str">
        <f>IF(AG6087="","",INDEX('Quitados DUPP'!$G$1:$G$6635,AG6087))</f>
        <v/>
      </c>
      <c r="AJ6087" s="17" t="str">
        <f t="shared" si="3"/>
        <v/>
      </c>
    </row>
    <row r="6088" spans="31:36">
      <c r="AE6088" s="15" t="str">
        <f t="shared" si="0"/>
        <v/>
      </c>
      <c r="AF6088" s="15" t="str">
        <f t="shared" si="1"/>
        <v/>
      </c>
      <c r="AG6088" s="15" t="str">
        <f>IF(OR(AF6088="",AF6088="ERRO_CHAVE"),"",IFERROR(MATCH(AF6088,'Quitados DUPP'!$U$1:$U$6635,0),""))</f>
        <v/>
      </c>
      <c r="AH6088" s="15" t="str">
        <f t="shared" si="2"/>
        <v/>
      </c>
      <c r="AI6088" s="17" t="str">
        <f>IF(AG6088="","",INDEX('Quitados DUPP'!$G$1:$G$6635,AG6088))</f>
        <v/>
      </c>
      <c r="AJ6088" s="17" t="str">
        <f t="shared" si="3"/>
        <v/>
      </c>
    </row>
    <row r="6089" spans="31:36">
      <c r="AE6089" s="15" t="str">
        <f t="shared" si="0"/>
        <v/>
      </c>
      <c r="AF6089" s="15" t="str">
        <f t="shared" si="1"/>
        <v/>
      </c>
      <c r="AG6089" s="15" t="str">
        <f>IF(OR(AF6089="",AF6089="ERRO_CHAVE"),"",IFERROR(MATCH(AF6089,'Quitados DUPP'!$U$1:$U$6635,0),""))</f>
        <v/>
      </c>
      <c r="AH6089" s="15" t="str">
        <f t="shared" si="2"/>
        <v/>
      </c>
      <c r="AI6089" s="17" t="str">
        <f>IF(AG6089="","",INDEX('Quitados DUPP'!$G$1:$G$6635,AG6089))</f>
        <v/>
      </c>
      <c r="AJ6089" s="17" t="str">
        <f t="shared" si="3"/>
        <v/>
      </c>
    </row>
    <row r="6090" spans="31:36">
      <c r="AE6090" s="15" t="str">
        <f t="shared" si="0"/>
        <v/>
      </c>
      <c r="AF6090" s="15" t="str">
        <f t="shared" si="1"/>
        <v/>
      </c>
      <c r="AG6090" s="15" t="str">
        <f>IF(OR(AF6090="",AF6090="ERRO_CHAVE"),"",IFERROR(MATCH(AF6090,'Quitados DUPP'!$U$1:$U$6635,0),""))</f>
        <v/>
      </c>
      <c r="AH6090" s="15" t="str">
        <f t="shared" si="2"/>
        <v/>
      </c>
      <c r="AI6090" s="17" t="str">
        <f>IF(AG6090="","",INDEX('Quitados DUPP'!$G$1:$G$6635,AG6090))</f>
        <v/>
      </c>
      <c r="AJ6090" s="17" t="str">
        <f t="shared" si="3"/>
        <v/>
      </c>
    </row>
    <row r="6091" spans="31:36">
      <c r="AE6091" s="15" t="str">
        <f t="shared" si="0"/>
        <v/>
      </c>
      <c r="AF6091" s="15" t="str">
        <f t="shared" si="1"/>
        <v/>
      </c>
      <c r="AG6091" s="15" t="str">
        <f>IF(OR(AF6091="",AF6091="ERRO_CHAVE"),"",IFERROR(MATCH(AF6091,'Quitados DUPP'!$U$1:$U$6635,0),""))</f>
        <v/>
      </c>
      <c r="AH6091" s="15" t="str">
        <f t="shared" si="2"/>
        <v/>
      </c>
      <c r="AI6091" s="17" t="str">
        <f>IF(AG6091="","",INDEX('Quitados DUPP'!$G$1:$G$6635,AG6091))</f>
        <v/>
      </c>
      <c r="AJ6091" s="17" t="str">
        <f t="shared" si="3"/>
        <v/>
      </c>
    </row>
    <row r="6092" spans="31:36">
      <c r="AE6092" s="15" t="str">
        <f t="shared" si="0"/>
        <v/>
      </c>
      <c r="AF6092" s="15" t="str">
        <f t="shared" si="1"/>
        <v/>
      </c>
      <c r="AG6092" s="15" t="str">
        <f>IF(OR(AF6092="",AF6092="ERRO_CHAVE"),"",IFERROR(MATCH(AF6092,'Quitados DUPP'!$U$1:$U$6635,0),""))</f>
        <v/>
      </c>
      <c r="AH6092" s="15" t="str">
        <f t="shared" si="2"/>
        <v/>
      </c>
      <c r="AI6092" s="17" t="str">
        <f>IF(AG6092="","",INDEX('Quitados DUPP'!$G$1:$G$6635,AG6092))</f>
        <v/>
      </c>
      <c r="AJ6092" s="17" t="str">
        <f t="shared" si="3"/>
        <v/>
      </c>
    </row>
    <row r="6093" spans="31:36">
      <c r="AE6093" s="15" t="str">
        <f t="shared" si="0"/>
        <v/>
      </c>
      <c r="AF6093" s="15" t="str">
        <f t="shared" si="1"/>
        <v/>
      </c>
      <c r="AG6093" s="15" t="str">
        <f>IF(OR(AF6093="",AF6093="ERRO_CHAVE"),"",IFERROR(MATCH(AF6093,'Quitados DUPP'!$U$1:$U$6635,0),""))</f>
        <v/>
      </c>
      <c r="AH6093" s="15" t="str">
        <f t="shared" si="2"/>
        <v/>
      </c>
      <c r="AI6093" s="17" t="str">
        <f>IF(AG6093="","",INDEX('Quitados DUPP'!$G$1:$G$6635,AG6093))</f>
        <v/>
      </c>
      <c r="AJ6093" s="17" t="str">
        <f t="shared" si="3"/>
        <v/>
      </c>
    </row>
    <row r="6094" spans="31:36">
      <c r="AE6094" s="15" t="str">
        <f t="shared" si="0"/>
        <v/>
      </c>
      <c r="AF6094" s="15" t="str">
        <f t="shared" si="1"/>
        <v/>
      </c>
      <c r="AG6094" s="15" t="str">
        <f>IF(OR(AF6094="",AF6094="ERRO_CHAVE"),"",IFERROR(MATCH(AF6094,'Quitados DUPP'!$U$1:$U$6635,0),""))</f>
        <v/>
      </c>
      <c r="AH6094" s="15" t="str">
        <f t="shared" si="2"/>
        <v/>
      </c>
      <c r="AI6094" s="17" t="str">
        <f>IF(AG6094="","",INDEX('Quitados DUPP'!$G$1:$G$6635,AG6094))</f>
        <v/>
      </c>
      <c r="AJ6094" s="17" t="str">
        <f t="shared" si="3"/>
        <v/>
      </c>
    </row>
    <row r="6095" spans="31:36">
      <c r="AE6095" s="15" t="str">
        <f t="shared" si="0"/>
        <v/>
      </c>
      <c r="AF6095" s="15" t="str">
        <f t="shared" si="1"/>
        <v/>
      </c>
      <c r="AG6095" s="15" t="str">
        <f>IF(OR(AF6095="",AF6095="ERRO_CHAVE"),"",IFERROR(MATCH(AF6095,'Quitados DUPP'!$U$1:$U$6635,0),""))</f>
        <v/>
      </c>
      <c r="AH6095" s="15" t="str">
        <f t="shared" si="2"/>
        <v/>
      </c>
      <c r="AI6095" s="17" t="str">
        <f>IF(AG6095="","",INDEX('Quitados DUPP'!$G$1:$G$6635,AG6095))</f>
        <v/>
      </c>
      <c r="AJ6095" s="17" t="str">
        <f t="shared" si="3"/>
        <v/>
      </c>
    </row>
    <row r="6096" spans="31:36">
      <c r="AE6096" s="15" t="str">
        <f t="shared" si="0"/>
        <v/>
      </c>
      <c r="AF6096" s="15" t="str">
        <f t="shared" si="1"/>
        <v/>
      </c>
      <c r="AG6096" s="15" t="str">
        <f>IF(OR(AF6096="",AF6096="ERRO_CHAVE"),"",IFERROR(MATCH(AF6096,'Quitados DUPP'!$U$1:$U$6635,0),""))</f>
        <v/>
      </c>
      <c r="AH6096" s="15" t="str">
        <f t="shared" si="2"/>
        <v/>
      </c>
      <c r="AI6096" s="17" t="str">
        <f>IF(AG6096="","",INDEX('Quitados DUPP'!$G$1:$G$6635,AG6096))</f>
        <v/>
      </c>
      <c r="AJ6096" s="17" t="str">
        <f t="shared" si="3"/>
        <v/>
      </c>
    </row>
    <row r="6097" spans="31:36">
      <c r="AE6097" s="15" t="str">
        <f t="shared" si="0"/>
        <v/>
      </c>
      <c r="AF6097" s="15" t="str">
        <f t="shared" si="1"/>
        <v/>
      </c>
      <c r="AG6097" s="15" t="str">
        <f>IF(OR(AF6097="",AF6097="ERRO_CHAVE"),"",IFERROR(MATCH(AF6097,'Quitados DUPP'!$U$1:$U$6635,0),""))</f>
        <v/>
      </c>
      <c r="AH6097" s="15" t="str">
        <f t="shared" si="2"/>
        <v/>
      </c>
      <c r="AI6097" s="17" t="str">
        <f>IF(AG6097="","",INDEX('Quitados DUPP'!$G$1:$G$6635,AG6097))</f>
        <v/>
      </c>
      <c r="AJ6097" s="17" t="str">
        <f t="shared" si="3"/>
        <v/>
      </c>
    </row>
    <row r="6098" spans="31:36">
      <c r="AE6098" s="15" t="str">
        <f t="shared" si="0"/>
        <v/>
      </c>
      <c r="AF6098" s="15" t="str">
        <f t="shared" si="1"/>
        <v/>
      </c>
      <c r="AG6098" s="15" t="str">
        <f>IF(OR(AF6098="",AF6098="ERRO_CHAVE"),"",IFERROR(MATCH(AF6098,'Quitados DUPP'!$U$1:$U$6635,0),""))</f>
        <v/>
      </c>
      <c r="AH6098" s="15" t="str">
        <f t="shared" si="2"/>
        <v/>
      </c>
      <c r="AI6098" s="17" t="str">
        <f>IF(AG6098="","",INDEX('Quitados DUPP'!$G$1:$G$6635,AG6098))</f>
        <v/>
      </c>
      <c r="AJ6098" s="17" t="str">
        <f t="shared" si="3"/>
        <v/>
      </c>
    </row>
    <row r="6099" spans="31:36">
      <c r="AE6099" s="15" t="str">
        <f t="shared" si="0"/>
        <v/>
      </c>
      <c r="AF6099" s="15" t="str">
        <f t="shared" si="1"/>
        <v/>
      </c>
      <c r="AG6099" s="15" t="str">
        <f>IF(OR(AF6099="",AF6099="ERRO_CHAVE"),"",IFERROR(MATCH(AF6099,'Quitados DUPP'!$U$1:$U$6635,0),""))</f>
        <v/>
      </c>
      <c r="AH6099" s="15" t="str">
        <f t="shared" si="2"/>
        <v/>
      </c>
      <c r="AI6099" s="17" t="str">
        <f>IF(AG6099="","",INDEX('Quitados DUPP'!$G$1:$G$6635,AG6099))</f>
        <v/>
      </c>
      <c r="AJ6099" s="17" t="str">
        <f t="shared" si="3"/>
        <v/>
      </c>
    </row>
    <row r="6100" spans="31:36">
      <c r="AE6100" s="15" t="str">
        <f t="shared" si="0"/>
        <v/>
      </c>
      <c r="AF6100" s="15" t="str">
        <f t="shared" si="1"/>
        <v/>
      </c>
      <c r="AG6100" s="15" t="str">
        <f>IF(OR(AF6100="",AF6100="ERRO_CHAVE"),"",IFERROR(MATCH(AF6100,'Quitados DUPP'!$U$1:$U$6635,0),""))</f>
        <v/>
      </c>
      <c r="AH6100" s="15" t="str">
        <f t="shared" si="2"/>
        <v/>
      </c>
      <c r="AI6100" s="17" t="str">
        <f>IF(AG6100="","",INDEX('Quitados DUPP'!$G$1:$G$6635,AG6100))</f>
        <v/>
      </c>
      <c r="AJ6100" s="17" t="str">
        <f t="shared" si="3"/>
        <v/>
      </c>
    </row>
    <row r="6101" spans="31:36">
      <c r="AE6101" s="15" t="str">
        <f t="shared" si="0"/>
        <v/>
      </c>
      <c r="AF6101" s="15" t="str">
        <f t="shared" si="1"/>
        <v/>
      </c>
      <c r="AG6101" s="15" t="str">
        <f>IF(OR(AF6101="",AF6101="ERRO_CHAVE"),"",IFERROR(MATCH(AF6101,'Quitados DUPP'!$U$1:$U$6635,0),""))</f>
        <v/>
      </c>
      <c r="AH6101" s="15" t="str">
        <f t="shared" si="2"/>
        <v/>
      </c>
      <c r="AI6101" s="17" t="str">
        <f>IF(AG6101="","",INDEX('Quitados DUPP'!$G$1:$G$6635,AG6101))</f>
        <v/>
      </c>
      <c r="AJ6101" s="17" t="str">
        <f t="shared" si="3"/>
        <v/>
      </c>
    </row>
    <row r="6102" spans="31:36">
      <c r="AE6102" s="15" t="str">
        <f t="shared" si="0"/>
        <v/>
      </c>
      <c r="AF6102" s="15" t="str">
        <f t="shared" si="1"/>
        <v/>
      </c>
      <c r="AG6102" s="15" t="str">
        <f>IF(OR(AF6102="",AF6102="ERRO_CHAVE"),"",IFERROR(MATCH(AF6102,'Quitados DUPP'!$U$1:$U$6635,0),""))</f>
        <v/>
      </c>
      <c r="AH6102" s="15" t="str">
        <f t="shared" si="2"/>
        <v/>
      </c>
      <c r="AI6102" s="17" t="str">
        <f>IF(AG6102="","",INDEX('Quitados DUPP'!$G$1:$G$6635,AG6102))</f>
        <v/>
      </c>
      <c r="AJ6102" s="17" t="str">
        <f t="shared" si="3"/>
        <v/>
      </c>
    </row>
    <row r="6103" spans="31:36">
      <c r="AE6103" s="15" t="str">
        <f t="shared" si="0"/>
        <v/>
      </c>
      <c r="AF6103" s="15" t="str">
        <f t="shared" si="1"/>
        <v/>
      </c>
      <c r="AG6103" s="15" t="str">
        <f>IF(OR(AF6103="",AF6103="ERRO_CHAVE"),"",IFERROR(MATCH(AF6103,'Quitados DUPP'!$U$1:$U$6635,0),""))</f>
        <v/>
      </c>
      <c r="AH6103" s="15" t="str">
        <f t="shared" si="2"/>
        <v/>
      </c>
      <c r="AI6103" s="17" t="str">
        <f>IF(AG6103="","",INDEX('Quitados DUPP'!$G$1:$G$6635,AG6103))</f>
        <v/>
      </c>
      <c r="AJ6103" s="17" t="str">
        <f t="shared" si="3"/>
        <v/>
      </c>
    </row>
    <row r="6104" spans="31:36">
      <c r="AE6104" s="15" t="str">
        <f t="shared" si="0"/>
        <v/>
      </c>
      <c r="AF6104" s="15" t="str">
        <f t="shared" si="1"/>
        <v/>
      </c>
      <c r="AG6104" s="15" t="str">
        <f>IF(OR(AF6104="",AF6104="ERRO_CHAVE"),"",IFERROR(MATCH(AF6104,'Quitados DUPP'!$U$1:$U$6635,0),""))</f>
        <v/>
      </c>
      <c r="AH6104" s="15" t="str">
        <f t="shared" si="2"/>
        <v/>
      </c>
      <c r="AI6104" s="17" t="str">
        <f>IF(AG6104="","",INDEX('Quitados DUPP'!$G$1:$G$6635,AG6104))</f>
        <v/>
      </c>
      <c r="AJ6104" s="17" t="str">
        <f t="shared" si="3"/>
        <v/>
      </c>
    </row>
    <row r="6105" spans="31:36">
      <c r="AE6105" s="15" t="str">
        <f t="shared" si="0"/>
        <v/>
      </c>
      <c r="AF6105" s="15" t="str">
        <f t="shared" si="1"/>
        <v/>
      </c>
      <c r="AG6105" s="15" t="str">
        <f>IF(OR(AF6105="",AF6105="ERRO_CHAVE"),"",IFERROR(MATCH(AF6105,'Quitados DUPP'!$U$1:$U$6635,0),""))</f>
        <v/>
      </c>
      <c r="AH6105" s="15" t="str">
        <f t="shared" si="2"/>
        <v/>
      </c>
      <c r="AI6105" s="17" t="str">
        <f>IF(AG6105="","",INDEX('Quitados DUPP'!$G$1:$G$6635,AG6105))</f>
        <v/>
      </c>
      <c r="AJ6105" s="17" t="str">
        <f t="shared" si="3"/>
        <v/>
      </c>
    </row>
    <row r="6106" spans="31:36">
      <c r="AE6106" s="15" t="str">
        <f t="shared" si="0"/>
        <v/>
      </c>
      <c r="AF6106" s="15" t="str">
        <f t="shared" si="1"/>
        <v/>
      </c>
      <c r="AG6106" s="15" t="str">
        <f>IF(OR(AF6106="",AF6106="ERRO_CHAVE"),"",IFERROR(MATCH(AF6106,'Quitados DUPP'!$U$1:$U$6635,0),""))</f>
        <v/>
      </c>
      <c r="AH6106" s="15" t="str">
        <f t="shared" si="2"/>
        <v/>
      </c>
      <c r="AI6106" s="17" t="str">
        <f>IF(AG6106="","",INDEX('Quitados DUPP'!$G$1:$G$6635,AG6106))</f>
        <v/>
      </c>
      <c r="AJ6106" s="17" t="str">
        <f t="shared" si="3"/>
        <v/>
      </c>
    </row>
    <row r="6107" spans="31:36">
      <c r="AE6107" s="15" t="str">
        <f t="shared" si="0"/>
        <v/>
      </c>
      <c r="AF6107" s="15" t="str">
        <f t="shared" si="1"/>
        <v/>
      </c>
      <c r="AG6107" s="15" t="str">
        <f>IF(OR(AF6107="",AF6107="ERRO_CHAVE"),"",IFERROR(MATCH(AF6107,'Quitados DUPP'!$U$1:$U$6635,0),""))</f>
        <v/>
      </c>
      <c r="AH6107" s="15" t="str">
        <f t="shared" si="2"/>
        <v/>
      </c>
      <c r="AI6107" s="17" t="str">
        <f>IF(AG6107="","",INDEX('Quitados DUPP'!$G$1:$G$6635,AG6107))</f>
        <v/>
      </c>
      <c r="AJ6107" s="17" t="str">
        <f t="shared" si="3"/>
        <v/>
      </c>
    </row>
    <row r="6108" spans="31:36">
      <c r="AE6108" s="15" t="str">
        <f t="shared" si="0"/>
        <v/>
      </c>
      <c r="AF6108" s="15" t="str">
        <f t="shared" si="1"/>
        <v/>
      </c>
      <c r="AG6108" s="15" t="str">
        <f>IF(OR(AF6108="",AF6108="ERRO_CHAVE"),"",IFERROR(MATCH(AF6108,'Quitados DUPP'!$U$1:$U$6635,0),""))</f>
        <v/>
      </c>
      <c r="AH6108" s="15" t="str">
        <f t="shared" si="2"/>
        <v/>
      </c>
      <c r="AI6108" s="17" t="str">
        <f>IF(AG6108="","",INDEX('Quitados DUPP'!$G$1:$G$6635,AG6108))</f>
        <v/>
      </c>
      <c r="AJ6108" s="17" t="str">
        <f t="shared" si="3"/>
        <v/>
      </c>
    </row>
    <row r="6109" spans="31:36">
      <c r="AE6109" s="15" t="str">
        <f t="shared" si="0"/>
        <v/>
      </c>
      <c r="AF6109" s="15" t="str">
        <f t="shared" si="1"/>
        <v/>
      </c>
      <c r="AG6109" s="15" t="str">
        <f>IF(OR(AF6109="",AF6109="ERRO_CHAVE"),"",IFERROR(MATCH(AF6109,'Quitados DUPP'!$U$1:$U$6635,0),""))</f>
        <v/>
      </c>
      <c r="AH6109" s="15" t="str">
        <f t="shared" si="2"/>
        <v/>
      </c>
      <c r="AI6109" s="17" t="str">
        <f>IF(AG6109="","",INDEX('Quitados DUPP'!$G$1:$G$6635,AG6109))</f>
        <v/>
      </c>
      <c r="AJ6109" s="17" t="str">
        <f t="shared" si="3"/>
        <v/>
      </c>
    </row>
    <row r="6110" spans="31:36">
      <c r="AE6110" s="15" t="str">
        <f t="shared" si="0"/>
        <v/>
      </c>
      <c r="AF6110" s="15" t="str">
        <f t="shared" si="1"/>
        <v/>
      </c>
      <c r="AG6110" s="15" t="str">
        <f>IF(OR(AF6110="",AF6110="ERRO_CHAVE"),"",IFERROR(MATCH(AF6110,'Quitados DUPP'!$U$1:$U$6635,0),""))</f>
        <v/>
      </c>
      <c r="AH6110" s="15" t="str">
        <f t="shared" si="2"/>
        <v/>
      </c>
      <c r="AI6110" s="17" t="str">
        <f>IF(AG6110="","",INDEX('Quitados DUPP'!$G$1:$G$6635,AG6110))</f>
        <v/>
      </c>
      <c r="AJ6110" s="17" t="str">
        <f t="shared" si="3"/>
        <v/>
      </c>
    </row>
    <row r="6111" spans="31:36">
      <c r="AE6111" s="15" t="str">
        <f t="shared" si="0"/>
        <v/>
      </c>
      <c r="AF6111" s="15" t="str">
        <f t="shared" si="1"/>
        <v/>
      </c>
      <c r="AG6111" s="15" t="str">
        <f>IF(OR(AF6111="",AF6111="ERRO_CHAVE"),"",IFERROR(MATCH(AF6111,'Quitados DUPP'!$U$1:$U$6635,0),""))</f>
        <v/>
      </c>
      <c r="AH6111" s="15" t="str">
        <f t="shared" si="2"/>
        <v/>
      </c>
      <c r="AI6111" s="17" t="str">
        <f>IF(AG6111="","",INDEX('Quitados DUPP'!$G$1:$G$6635,AG6111))</f>
        <v/>
      </c>
      <c r="AJ6111" s="17" t="str">
        <f t="shared" si="3"/>
        <v/>
      </c>
    </row>
    <row r="6112" spans="31:36">
      <c r="AE6112" s="15" t="str">
        <f t="shared" si="0"/>
        <v/>
      </c>
      <c r="AF6112" s="15" t="str">
        <f t="shared" si="1"/>
        <v/>
      </c>
      <c r="AG6112" s="15" t="str">
        <f>IF(OR(AF6112="",AF6112="ERRO_CHAVE"),"",IFERROR(MATCH(AF6112,'Quitados DUPP'!$U$1:$U$6635,0),""))</f>
        <v/>
      </c>
      <c r="AH6112" s="15" t="str">
        <f t="shared" si="2"/>
        <v/>
      </c>
      <c r="AI6112" s="17" t="str">
        <f>IF(AG6112="","",INDEX('Quitados DUPP'!$G$1:$G$6635,AG6112))</f>
        <v/>
      </c>
      <c r="AJ6112" s="17" t="str">
        <f t="shared" si="3"/>
        <v/>
      </c>
    </row>
    <row r="6113" spans="31:36">
      <c r="AE6113" s="15" t="str">
        <f t="shared" si="0"/>
        <v/>
      </c>
      <c r="AF6113" s="15" t="str">
        <f t="shared" si="1"/>
        <v/>
      </c>
      <c r="AG6113" s="15" t="str">
        <f>IF(OR(AF6113="",AF6113="ERRO_CHAVE"),"",IFERROR(MATCH(AF6113,'Quitados DUPP'!$U$1:$U$6635,0),""))</f>
        <v/>
      </c>
      <c r="AH6113" s="15" t="str">
        <f t="shared" si="2"/>
        <v/>
      </c>
      <c r="AI6113" s="17" t="str">
        <f>IF(AG6113="","",INDEX('Quitados DUPP'!$G$1:$G$6635,AG6113))</f>
        <v/>
      </c>
      <c r="AJ6113" s="17" t="str">
        <f t="shared" si="3"/>
        <v/>
      </c>
    </row>
    <row r="6114" spans="31:36">
      <c r="AE6114" s="15" t="str">
        <f t="shared" si="0"/>
        <v/>
      </c>
      <c r="AF6114" s="15" t="str">
        <f t="shared" si="1"/>
        <v/>
      </c>
      <c r="AG6114" s="15" t="str">
        <f>IF(OR(AF6114="",AF6114="ERRO_CHAVE"),"",IFERROR(MATCH(AF6114,'Quitados DUPP'!$U$1:$U$6635,0),""))</f>
        <v/>
      </c>
      <c r="AH6114" s="15" t="str">
        <f t="shared" si="2"/>
        <v/>
      </c>
      <c r="AI6114" s="17" t="str">
        <f>IF(AG6114="","",INDEX('Quitados DUPP'!$G$1:$G$6635,AG6114))</f>
        <v/>
      </c>
      <c r="AJ6114" s="17" t="str">
        <f t="shared" si="3"/>
        <v/>
      </c>
    </row>
    <row r="6115" spans="31:36">
      <c r="AE6115" s="15" t="str">
        <f t="shared" si="0"/>
        <v/>
      </c>
      <c r="AF6115" s="15" t="str">
        <f t="shared" si="1"/>
        <v/>
      </c>
      <c r="AG6115" s="15" t="str">
        <f>IF(OR(AF6115="",AF6115="ERRO_CHAVE"),"",IFERROR(MATCH(AF6115,'Quitados DUPP'!$U$1:$U$6635,0),""))</f>
        <v/>
      </c>
      <c r="AH6115" s="15" t="str">
        <f t="shared" si="2"/>
        <v/>
      </c>
      <c r="AI6115" s="17" t="str">
        <f>IF(AG6115="","",INDEX('Quitados DUPP'!$G$1:$G$6635,AG6115))</f>
        <v/>
      </c>
      <c r="AJ6115" s="17" t="str">
        <f t="shared" si="3"/>
        <v/>
      </c>
    </row>
    <row r="6116" spans="31:36">
      <c r="AE6116" s="15" t="str">
        <f t="shared" si="0"/>
        <v/>
      </c>
      <c r="AF6116" s="15" t="str">
        <f t="shared" si="1"/>
        <v/>
      </c>
      <c r="AG6116" s="15" t="str">
        <f>IF(OR(AF6116="",AF6116="ERRO_CHAVE"),"",IFERROR(MATCH(AF6116,'Quitados DUPP'!$U$1:$U$6635,0),""))</f>
        <v/>
      </c>
      <c r="AH6116" s="15" t="str">
        <f t="shared" si="2"/>
        <v/>
      </c>
      <c r="AI6116" s="17" t="str">
        <f>IF(AG6116="","",INDEX('Quitados DUPP'!$G$1:$G$6635,AG6116))</f>
        <v/>
      </c>
      <c r="AJ6116" s="17" t="str">
        <f t="shared" si="3"/>
        <v/>
      </c>
    </row>
    <row r="6117" spans="31:36">
      <c r="AE6117" s="15" t="str">
        <f t="shared" si="0"/>
        <v/>
      </c>
      <c r="AF6117" s="15" t="str">
        <f t="shared" si="1"/>
        <v/>
      </c>
      <c r="AG6117" s="15" t="str">
        <f>IF(OR(AF6117="",AF6117="ERRO_CHAVE"),"",IFERROR(MATCH(AF6117,'Quitados DUPP'!$U$1:$U$6635,0),""))</f>
        <v/>
      </c>
      <c r="AH6117" s="15" t="str">
        <f t="shared" si="2"/>
        <v/>
      </c>
      <c r="AI6117" s="17" t="str">
        <f>IF(AG6117="","",INDEX('Quitados DUPP'!$G$1:$G$6635,AG6117))</f>
        <v/>
      </c>
      <c r="AJ6117" s="17" t="str">
        <f t="shared" si="3"/>
        <v/>
      </c>
    </row>
    <row r="6118" spans="31:36">
      <c r="AE6118" s="15" t="str">
        <f t="shared" si="0"/>
        <v/>
      </c>
      <c r="AF6118" s="15" t="str">
        <f t="shared" si="1"/>
        <v/>
      </c>
      <c r="AG6118" s="15" t="str">
        <f>IF(OR(AF6118="",AF6118="ERRO_CHAVE"),"",IFERROR(MATCH(AF6118,'Quitados DUPP'!$U$1:$U$6635,0),""))</f>
        <v/>
      </c>
      <c r="AH6118" s="15" t="str">
        <f t="shared" si="2"/>
        <v/>
      </c>
      <c r="AI6118" s="17" t="str">
        <f>IF(AG6118="","",INDEX('Quitados DUPP'!$G$1:$G$6635,AG6118))</f>
        <v/>
      </c>
      <c r="AJ6118" s="17" t="str">
        <f t="shared" si="3"/>
        <v/>
      </c>
    </row>
    <row r="6119" spans="31:36">
      <c r="AE6119" s="15" t="str">
        <f t="shared" si="0"/>
        <v/>
      </c>
      <c r="AF6119" s="15" t="str">
        <f t="shared" si="1"/>
        <v/>
      </c>
      <c r="AG6119" s="15" t="str">
        <f>IF(OR(AF6119="",AF6119="ERRO_CHAVE"),"",IFERROR(MATCH(AF6119,'Quitados DUPP'!$U$1:$U$6635,0),""))</f>
        <v/>
      </c>
      <c r="AH6119" s="15" t="str">
        <f t="shared" si="2"/>
        <v/>
      </c>
      <c r="AI6119" s="17" t="str">
        <f>IF(AG6119="","",INDEX('Quitados DUPP'!$G$1:$G$6635,AG6119))</f>
        <v/>
      </c>
      <c r="AJ6119" s="17" t="str">
        <f t="shared" si="3"/>
        <v/>
      </c>
    </row>
    <row r="6120" spans="31:36">
      <c r="AE6120" s="15" t="str">
        <f t="shared" si="0"/>
        <v/>
      </c>
      <c r="AF6120" s="15" t="str">
        <f t="shared" si="1"/>
        <v/>
      </c>
      <c r="AG6120" s="15" t="str">
        <f>IF(OR(AF6120="",AF6120="ERRO_CHAVE"),"",IFERROR(MATCH(AF6120,'Quitados DUPP'!$U$1:$U$6635,0),""))</f>
        <v/>
      </c>
      <c r="AH6120" s="15" t="str">
        <f t="shared" si="2"/>
        <v/>
      </c>
      <c r="AI6120" s="17" t="str">
        <f>IF(AG6120="","",INDEX('Quitados DUPP'!$G$1:$G$6635,AG6120))</f>
        <v/>
      </c>
      <c r="AJ6120" s="17" t="str">
        <f t="shared" si="3"/>
        <v/>
      </c>
    </row>
    <row r="6121" spans="31:36">
      <c r="AE6121" s="15" t="str">
        <f t="shared" si="0"/>
        <v/>
      </c>
      <c r="AF6121" s="15" t="str">
        <f t="shared" si="1"/>
        <v/>
      </c>
      <c r="AG6121" s="15" t="str">
        <f>IF(OR(AF6121="",AF6121="ERRO_CHAVE"),"",IFERROR(MATCH(AF6121,'Quitados DUPP'!$U$1:$U$6635,0),""))</f>
        <v/>
      </c>
      <c r="AH6121" s="15" t="str">
        <f t="shared" si="2"/>
        <v/>
      </c>
      <c r="AI6121" s="17" t="str">
        <f>IF(AG6121="","",INDEX('Quitados DUPP'!$G$1:$G$6635,AG6121))</f>
        <v/>
      </c>
      <c r="AJ6121" s="17" t="str">
        <f t="shared" si="3"/>
        <v/>
      </c>
    </row>
    <row r="6122" spans="31:36">
      <c r="AE6122" s="15" t="str">
        <f t="shared" si="0"/>
        <v/>
      </c>
      <c r="AF6122" s="15" t="str">
        <f t="shared" si="1"/>
        <v/>
      </c>
      <c r="AG6122" s="15" t="str">
        <f>IF(OR(AF6122="",AF6122="ERRO_CHAVE"),"",IFERROR(MATCH(AF6122,'Quitados DUPP'!$U$1:$U$6635,0),""))</f>
        <v/>
      </c>
      <c r="AH6122" s="15" t="str">
        <f t="shared" si="2"/>
        <v/>
      </c>
      <c r="AI6122" s="17" t="str">
        <f>IF(AG6122="","",INDEX('Quitados DUPP'!$G$1:$G$6635,AG6122))</f>
        <v/>
      </c>
      <c r="AJ6122" s="17" t="str">
        <f t="shared" si="3"/>
        <v/>
      </c>
    </row>
    <row r="6123" spans="31:36">
      <c r="AE6123" s="15" t="str">
        <f t="shared" si="0"/>
        <v/>
      </c>
      <c r="AF6123" s="15" t="str">
        <f t="shared" si="1"/>
        <v/>
      </c>
      <c r="AG6123" s="15" t="str">
        <f>IF(OR(AF6123="",AF6123="ERRO_CHAVE"),"",IFERROR(MATCH(AF6123,'Quitados DUPP'!$U$1:$U$6635,0),""))</f>
        <v/>
      </c>
      <c r="AH6123" s="15" t="str">
        <f t="shared" si="2"/>
        <v/>
      </c>
      <c r="AI6123" s="17" t="str">
        <f>IF(AG6123="","",INDEX('Quitados DUPP'!$G$1:$G$6635,AG6123))</f>
        <v/>
      </c>
      <c r="AJ6123" s="17" t="str">
        <f t="shared" si="3"/>
        <v/>
      </c>
    </row>
    <row r="6124" spans="31:36">
      <c r="AE6124" s="15" t="str">
        <f t="shared" si="0"/>
        <v/>
      </c>
      <c r="AF6124" s="15" t="str">
        <f t="shared" si="1"/>
        <v/>
      </c>
      <c r="AG6124" s="15" t="str">
        <f>IF(OR(AF6124="",AF6124="ERRO_CHAVE"),"",IFERROR(MATCH(AF6124,'Quitados DUPP'!$U$1:$U$6635,0),""))</f>
        <v/>
      </c>
      <c r="AH6124" s="15" t="str">
        <f t="shared" si="2"/>
        <v/>
      </c>
      <c r="AI6124" s="17" t="str">
        <f>IF(AG6124="","",INDEX('Quitados DUPP'!$G$1:$G$6635,AG6124))</f>
        <v/>
      </c>
      <c r="AJ6124" s="17" t="str">
        <f t="shared" si="3"/>
        <v/>
      </c>
    </row>
    <row r="6125" spans="31:36">
      <c r="AE6125" s="15" t="str">
        <f t="shared" si="0"/>
        <v/>
      </c>
      <c r="AF6125" s="15" t="str">
        <f t="shared" si="1"/>
        <v/>
      </c>
      <c r="AG6125" s="15" t="str">
        <f>IF(OR(AF6125="",AF6125="ERRO_CHAVE"),"",IFERROR(MATCH(AF6125,'Quitados DUPP'!$U$1:$U$6635,0),""))</f>
        <v/>
      </c>
      <c r="AH6125" s="15" t="str">
        <f t="shared" si="2"/>
        <v/>
      </c>
      <c r="AI6125" s="17" t="str">
        <f>IF(AG6125="","",INDEX('Quitados DUPP'!$G$1:$G$6635,AG6125))</f>
        <v/>
      </c>
      <c r="AJ6125" s="17" t="str">
        <f t="shared" si="3"/>
        <v/>
      </c>
    </row>
    <row r="6126" spans="31:36">
      <c r="AE6126" s="15" t="str">
        <f t="shared" si="0"/>
        <v/>
      </c>
      <c r="AF6126" s="15" t="str">
        <f t="shared" si="1"/>
        <v/>
      </c>
      <c r="AG6126" s="15" t="str">
        <f>IF(OR(AF6126="",AF6126="ERRO_CHAVE"),"",IFERROR(MATCH(AF6126,'Quitados DUPP'!$U$1:$U$6635,0),""))</f>
        <v/>
      </c>
      <c r="AH6126" s="15" t="str">
        <f t="shared" si="2"/>
        <v/>
      </c>
      <c r="AI6126" s="17" t="str">
        <f>IF(AG6126="","",INDEX('Quitados DUPP'!$G$1:$G$6635,AG6126))</f>
        <v/>
      </c>
      <c r="AJ6126" s="17" t="str">
        <f t="shared" si="3"/>
        <v/>
      </c>
    </row>
    <row r="6127" spans="31:36">
      <c r="AE6127" s="15" t="str">
        <f t="shared" si="0"/>
        <v/>
      </c>
      <c r="AF6127" s="15" t="str">
        <f t="shared" si="1"/>
        <v/>
      </c>
      <c r="AG6127" s="15" t="str">
        <f>IF(OR(AF6127="",AF6127="ERRO_CHAVE"),"",IFERROR(MATCH(AF6127,'Quitados DUPP'!$U$1:$U$6635,0),""))</f>
        <v/>
      </c>
      <c r="AH6127" s="15" t="str">
        <f t="shared" si="2"/>
        <v/>
      </c>
      <c r="AI6127" s="17" t="str">
        <f>IF(AG6127="","",INDEX('Quitados DUPP'!$G$1:$G$6635,AG6127))</f>
        <v/>
      </c>
      <c r="AJ6127" s="17" t="str">
        <f t="shared" si="3"/>
        <v/>
      </c>
    </row>
    <row r="6128" spans="31:36">
      <c r="AE6128" s="15" t="str">
        <f t="shared" si="0"/>
        <v/>
      </c>
      <c r="AF6128" s="15" t="str">
        <f t="shared" si="1"/>
        <v/>
      </c>
      <c r="AG6128" s="15" t="str">
        <f>IF(OR(AF6128="",AF6128="ERRO_CHAVE"),"",IFERROR(MATCH(AF6128,'Quitados DUPP'!$U$1:$U$6635,0),""))</f>
        <v/>
      </c>
      <c r="AH6128" s="15" t="str">
        <f t="shared" si="2"/>
        <v/>
      </c>
      <c r="AI6128" s="17" t="str">
        <f>IF(AG6128="","",INDEX('Quitados DUPP'!$G$1:$G$6635,AG6128))</f>
        <v/>
      </c>
      <c r="AJ6128" s="17" t="str">
        <f t="shared" si="3"/>
        <v/>
      </c>
    </row>
    <row r="6129" spans="31:36">
      <c r="AE6129" s="15" t="str">
        <f t="shared" si="0"/>
        <v/>
      </c>
      <c r="AF6129" s="15" t="str">
        <f t="shared" si="1"/>
        <v/>
      </c>
      <c r="AG6129" s="15" t="str">
        <f>IF(OR(AF6129="",AF6129="ERRO_CHAVE"),"",IFERROR(MATCH(AF6129,'Quitados DUPP'!$U$1:$U$6635,0),""))</f>
        <v/>
      </c>
      <c r="AH6129" s="15" t="str">
        <f t="shared" si="2"/>
        <v/>
      </c>
      <c r="AI6129" s="17" t="str">
        <f>IF(AG6129="","",INDEX('Quitados DUPP'!$G$1:$G$6635,AG6129))</f>
        <v/>
      </c>
      <c r="AJ6129" s="17" t="str">
        <f t="shared" si="3"/>
        <v/>
      </c>
    </row>
    <row r="6130" spans="31:36">
      <c r="AE6130" s="15" t="str">
        <f t="shared" si="0"/>
        <v/>
      </c>
      <c r="AF6130" s="15" t="str">
        <f t="shared" si="1"/>
        <v/>
      </c>
      <c r="AG6130" s="15" t="str">
        <f>IF(OR(AF6130="",AF6130="ERRO_CHAVE"),"",IFERROR(MATCH(AF6130,'Quitados DUPP'!$U$1:$U$6635,0),""))</f>
        <v/>
      </c>
      <c r="AH6130" s="15" t="str">
        <f t="shared" si="2"/>
        <v/>
      </c>
      <c r="AI6130" s="17" t="str">
        <f>IF(AG6130="","",INDEX('Quitados DUPP'!$G$1:$G$6635,AG6130))</f>
        <v/>
      </c>
      <c r="AJ6130" s="17" t="str">
        <f t="shared" si="3"/>
        <v/>
      </c>
    </row>
    <row r="6131" spans="31:36">
      <c r="AE6131" s="15" t="str">
        <f t="shared" si="0"/>
        <v/>
      </c>
      <c r="AF6131" s="15" t="str">
        <f t="shared" si="1"/>
        <v/>
      </c>
      <c r="AG6131" s="15" t="str">
        <f>IF(OR(AF6131="",AF6131="ERRO_CHAVE"),"",IFERROR(MATCH(AF6131,'Quitados DUPP'!$U$1:$U$6635,0),""))</f>
        <v/>
      </c>
      <c r="AH6131" s="15" t="str">
        <f t="shared" si="2"/>
        <v/>
      </c>
      <c r="AI6131" s="17" t="str">
        <f>IF(AG6131="","",INDEX('Quitados DUPP'!$G$1:$G$6635,AG6131))</f>
        <v/>
      </c>
      <c r="AJ6131" s="17" t="str">
        <f t="shared" si="3"/>
        <v/>
      </c>
    </row>
    <row r="6132" spans="31:36">
      <c r="AE6132" s="15" t="str">
        <f t="shared" si="0"/>
        <v/>
      </c>
      <c r="AF6132" s="15" t="str">
        <f t="shared" si="1"/>
        <v/>
      </c>
      <c r="AG6132" s="15" t="str">
        <f>IF(OR(AF6132="",AF6132="ERRO_CHAVE"),"",IFERROR(MATCH(AF6132,'Quitados DUPP'!$U$1:$U$6635,0),""))</f>
        <v/>
      </c>
      <c r="AH6132" s="15" t="str">
        <f t="shared" si="2"/>
        <v/>
      </c>
      <c r="AI6132" s="17" t="str">
        <f>IF(AG6132="","",INDEX('Quitados DUPP'!$G$1:$G$6635,AG6132))</f>
        <v/>
      </c>
      <c r="AJ6132" s="17" t="str">
        <f t="shared" si="3"/>
        <v/>
      </c>
    </row>
    <row r="6133" spans="31:36">
      <c r="AE6133" s="15" t="str">
        <f t="shared" si="0"/>
        <v/>
      </c>
      <c r="AF6133" s="15" t="str">
        <f t="shared" si="1"/>
        <v/>
      </c>
      <c r="AG6133" s="15" t="str">
        <f>IF(OR(AF6133="",AF6133="ERRO_CHAVE"),"",IFERROR(MATCH(AF6133,'Quitados DUPP'!$U$1:$U$6635,0),""))</f>
        <v/>
      </c>
      <c r="AH6133" s="15" t="str">
        <f t="shared" si="2"/>
        <v/>
      </c>
      <c r="AI6133" s="17" t="str">
        <f>IF(AG6133="","",INDEX('Quitados DUPP'!$G$1:$G$6635,AG6133))</f>
        <v/>
      </c>
      <c r="AJ6133" s="17" t="str">
        <f t="shared" si="3"/>
        <v/>
      </c>
    </row>
    <row r="6134" spans="31:36">
      <c r="AE6134" s="15" t="str">
        <f t="shared" si="0"/>
        <v/>
      </c>
      <c r="AF6134" s="15" t="str">
        <f t="shared" si="1"/>
        <v/>
      </c>
      <c r="AG6134" s="15" t="str">
        <f>IF(OR(AF6134="",AF6134="ERRO_CHAVE"),"",IFERROR(MATCH(AF6134,'Quitados DUPP'!$U$1:$U$6635,0),""))</f>
        <v/>
      </c>
      <c r="AH6134" s="15" t="str">
        <f t="shared" si="2"/>
        <v/>
      </c>
      <c r="AI6134" s="17" t="str">
        <f>IF(AG6134="","",INDEX('Quitados DUPP'!$G$1:$G$6635,AG6134))</f>
        <v/>
      </c>
      <c r="AJ6134" s="17" t="str">
        <f t="shared" si="3"/>
        <v/>
      </c>
    </row>
    <row r="6135" spans="31:36">
      <c r="AE6135" s="15" t="str">
        <f t="shared" si="0"/>
        <v/>
      </c>
      <c r="AF6135" s="15" t="str">
        <f t="shared" si="1"/>
        <v/>
      </c>
      <c r="AG6135" s="15" t="str">
        <f>IF(OR(AF6135="",AF6135="ERRO_CHAVE"),"",IFERROR(MATCH(AF6135,'Quitados DUPP'!$U$1:$U$6635,0),""))</f>
        <v/>
      </c>
      <c r="AH6135" s="15" t="str">
        <f t="shared" si="2"/>
        <v/>
      </c>
      <c r="AI6135" s="17" t="str">
        <f>IF(AG6135="","",INDEX('Quitados DUPP'!$G$1:$G$6635,AG6135))</f>
        <v/>
      </c>
      <c r="AJ6135" s="17" t="str">
        <f t="shared" si="3"/>
        <v/>
      </c>
    </row>
    <row r="6136" spans="31:36">
      <c r="AE6136" s="15" t="str">
        <f t="shared" si="0"/>
        <v/>
      </c>
      <c r="AF6136" s="15" t="str">
        <f t="shared" si="1"/>
        <v/>
      </c>
      <c r="AG6136" s="15" t="str">
        <f>IF(OR(AF6136="",AF6136="ERRO_CHAVE"),"",IFERROR(MATCH(AF6136,'Quitados DUPP'!$U$1:$U$6635,0),""))</f>
        <v/>
      </c>
      <c r="AH6136" s="15" t="str">
        <f t="shared" si="2"/>
        <v/>
      </c>
      <c r="AI6136" s="17" t="str">
        <f>IF(AG6136="","",INDEX('Quitados DUPP'!$G$1:$G$6635,AG6136))</f>
        <v/>
      </c>
      <c r="AJ6136" s="17" t="str">
        <f t="shared" si="3"/>
        <v/>
      </c>
    </row>
    <row r="6137" spans="31:36">
      <c r="AE6137" s="15" t="str">
        <f t="shared" si="0"/>
        <v/>
      </c>
      <c r="AF6137" s="15" t="str">
        <f t="shared" si="1"/>
        <v/>
      </c>
      <c r="AG6137" s="15" t="str">
        <f>IF(OR(AF6137="",AF6137="ERRO_CHAVE"),"",IFERROR(MATCH(AF6137,'Quitados DUPP'!$U$1:$U$6635,0),""))</f>
        <v/>
      </c>
      <c r="AH6137" s="15" t="str">
        <f t="shared" si="2"/>
        <v/>
      </c>
      <c r="AI6137" s="17" t="str">
        <f>IF(AG6137="","",INDEX('Quitados DUPP'!$G$1:$G$6635,AG6137))</f>
        <v/>
      </c>
      <c r="AJ6137" s="17" t="str">
        <f t="shared" si="3"/>
        <v/>
      </c>
    </row>
    <row r="6138" spans="31:36">
      <c r="AE6138" s="15" t="str">
        <f t="shared" si="0"/>
        <v/>
      </c>
      <c r="AF6138" s="15" t="str">
        <f t="shared" si="1"/>
        <v/>
      </c>
      <c r="AG6138" s="15" t="str">
        <f>IF(OR(AF6138="",AF6138="ERRO_CHAVE"),"",IFERROR(MATCH(AF6138,'Quitados DUPP'!$U$1:$U$6635,0),""))</f>
        <v/>
      </c>
      <c r="AH6138" s="15" t="str">
        <f t="shared" si="2"/>
        <v/>
      </c>
      <c r="AI6138" s="17" t="str">
        <f>IF(AG6138="","",INDEX('Quitados DUPP'!$G$1:$G$6635,AG6138))</f>
        <v/>
      </c>
      <c r="AJ6138" s="17" t="str">
        <f t="shared" si="3"/>
        <v/>
      </c>
    </row>
    <row r="6139" spans="31:36">
      <c r="AE6139" s="15" t="str">
        <f t="shared" si="0"/>
        <v/>
      </c>
      <c r="AF6139" s="15" t="str">
        <f t="shared" si="1"/>
        <v/>
      </c>
      <c r="AG6139" s="15" t="str">
        <f>IF(OR(AF6139="",AF6139="ERRO_CHAVE"),"",IFERROR(MATCH(AF6139,'Quitados DUPP'!$U$1:$U$6635,0),""))</f>
        <v/>
      </c>
      <c r="AH6139" s="15" t="str">
        <f t="shared" si="2"/>
        <v/>
      </c>
      <c r="AI6139" s="17" t="str">
        <f>IF(AG6139="","",INDEX('Quitados DUPP'!$G$1:$G$6635,AG6139))</f>
        <v/>
      </c>
      <c r="AJ6139" s="17" t="str">
        <f t="shared" si="3"/>
        <v/>
      </c>
    </row>
    <row r="6140" spans="31:36">
      <c r="AE6140" s="15" t="str">
        <f t="shared" si="0"/>
        <v/>
      </c>
      <c r="AF6140" s="15" t="str">
        <f t="shared" si="1"/>
        <v/>
      </c>
      <c r="AG6140" s="15" t="str">
        <f>IF(OR(AF6140="",AF6140="ERRO_CHAVE"),"",IFERROR(MATCH(AF6140,'Quitados DUPP'!$U$1:$U$6635,0),""))</f>
        <v/>
      </c>
      <c r="AH6140" s="15" t="str">
        <f t="shared" si="2"/>
        <v/>
      </c>
      <c r="AI6140" s="17" t="str">
        <f>IF(AG6140="","",INDEX('Quitados DUPP'!$G$1:$G$6635,AG6140))</f>
        <v/>
      </c>
      <c r="AJ6140" s="17" t="str">
        <f t="shared" si="3"/>
        <v/>
      </c>
    </row>
    <row r="6141" spans="31:36">
      <c r="AE6141" s="15" t="str">
        <f t="shared" si="0"/>
        <v/>
      </c>
      <c r="AF6141" s="15" t="str">
        <f t="shared" si="1"/>
        <v/>
      </c>
      <c r="AG6141" s="15" t="str">
        <f>IF(OR(AF6141="",AF6141="ERRO_CHAVE"),"",IFERROR(MATCH(AF6141,'Quitados DUPP'!$U$1:$U$6635,0),""))</f>
        <v/>
      </c>
      <c r="AH6141" s="15" t="str">
        <f t="shared" si="2"/>
        <v/>
      </c>
      <c r="AI6141" s="17" t="str">
        <f>IF(AG6141="","",INDEX('Quitados DUPP'!$G$1:$G$6635,AG6141))</f>
        <v/>
      </c>
      <c r="AJ6141" s="17" t="str">
        <f t="shared" si="3"/>
        <v/>
      </c>
    </row>
    <row r="6142" spans="31:36">
      <c r="AE6142" s="15" t="str">
        <f t="shared" si="0"/>
        <v/>
      </c>
      <c r="AF6142" s="15" t="str">
        <f t="shared" si="1"/>
        <v/>
      </c>
      <c r="AG6142" s="15" t="str">
        <f>IF(OR(AF6142="",AF6142="ERRO_CHAVE"),"",IFERROR(MATCH(AF6142,'Quitados DUPP'!$U$1:$U$6635,0),""))</f>
        <v/>
      </c>
      <c r="AH6142" s="15" t="str">
        <f t="shared" si="2"/>
        <v/>
      </c>
      <c r="AI6142" s="17" t="str">
        <f>IF(AG6142="","",INDEX('Quitados DUPP'!$G$1:$G$6635,AG6142))</f>
        <v/>
      </c>
      <c r="AJ6142" s="17" t="str">
        <f t="shared" si="3"/>
        <v/>
      </c>
    </row>
    <row r="6143" spans="31:36">
      <c r="AE6143" s="15" t="str">
        <f t="shared" si="0"/>
        <v/>
      </c>
      <c r="AF6143" s="15" t="str">
        <f t="shared" si="1"/>
        <v/>
      </c>
      <c r="AG6143" s="15" t="str">
        <f>IF(OR(AF6143="",AF6143="ERRO_CHAVE"),"",IFERROR(MATCH(AF6143,'Quitados DUPP'!$U$1:$U$6635,0),""))</f>
        <v/>
      </c>
      <c r="AH6143" s="15" t="str">
        <f t="shared" si="2"/>
        <v/>
      </c>
      <c r="AI6143" s="17" t="str">
        <f>IF(AG6143="","",INDEX('Quitados DUPP'!$G$1:$G$6635,AG6143))</f>
        <v/>
      </c>
      <c r="AJ6143" s="17" t="str">
        <f t="shared" si="3"/>
        <v/>
      </c>
    </row>
    <row r="6144" spans="31:36">
      <c r="AE6144" s="15" t="str">
        <f t="shared" si="0"/>
        <v/>
      </c>
      <c r="AF6144" s="15" t="str">
        <f t="shared" si="1"/>
        <v/>
      </c>
      <c r="AG6144" s="15" t="str">
        <f>IF(OR(AF6144="",AF6144="ERRO_CHAVE"),"",IFERROR(MATCH(AF6144,'Quitados DUPP'!$U$1:$U$6635,0),""))</f>
        <v/>
      </c>
      <c r="AH6144" s="15" t="str">
        <f t="shared" si="2"/>
        <v/>
      </c>
      <c r="AI6144" s="17" t="str">
        <f>IF(AG6144="","",INDEX('Quitados DUPP'!$G$1:$G$6635,AG6144))</f>
        <v/>
      </c>
      <c r="AJ6144" s="17" t="str">
        <f t="shared" si="3"/>
        <v/>
      </c>
    </row>
    <row r="6145" spans="31:36">
      <c r="AE6145" s="15" t="str">
        <f t="shared" si="0"/>
        <v/>
      </c>
      <c r="AF6145" s="15" t="str">
        <f t="shared" si="1"/>
        <v/>
      </c>
      <c r="AG6145" s="15" t="str">
        <f>IF(OR(AF6145="",AF6145="ERRO_CHAVE"),"",IFERROR(MATCH(AF6145,'Quitados DUPP'!$U$1:$U$6635,0),""))</f>
        <v/>
      </c>
      <c r="AH6145" s="15" t="str">
        <f t="shared" si="2"/>
        <v/>
      </c>
      <c r="AI6145" s="17" t="str">
        <f>IF(AG6145="","",INDEX('Quitados DUPP'!$G$1:$G$6635,AG6145))</f>
        <v/>
      </c>
      <c r="AJ6145" s="17" t="str">
        <f t="shared" si="3"/>
        <v/>
      </c>
    </row>
    <row r="6146" spans="31:36">
      <c r="AE6146" s="15" t="str">
        <f t="shared" si="0"/>
        <v/>
      </c>
      <c r="AF6146" s="15" t="str">
        <f t="shared" si="1"/>
        <v/>
      </c>
      <c r="AG6146" s="15" t="str">
        <f>IF(OR(AF6146="",AF6146="ERRO_CHAVE"),"",IFERROR(MATCH(AF6146,'Quitados DUPP'!$U$1:$U$6635,0),""))</f>
        <v/>
      </c>
      <c r="AH6146" s="15" t="str">
        <f t="shared" si="2"/>
        <v/>
      </c>
      <c r="AI6146" s="17" t="str">
        <f>IF(AG6146="","",INDEX('Quitados DUPP'!$G$1:$G$6635,AG6146))</f>
        <v/>
      </c>
      <c r="AJ6146" s="17" t="str">
        <f t="shared" si="3"/>
        <v/>
      </c>
    </row>
    <row r="6147" spans="31:36">
      <c r="AE6147" s="15" t="str">
        <f t="shared" si="0"/>
        <v/>
      </c>
      <c r="AF6147" s="15" t="str">
        <f t="shared" si="1"/>
        <v/>
      </c>
      <c r="AG6147" s="15" t="str">
        <f>IF(OR(AF6147="",AF6147="ERRO_CHAVE"),"",IFERROR(MATCH(AF6147,'Quitados DUPP'!$U$1:$U$6635,0),""))</f>
        <v/>
      </c>
      <c r="AH6147" s="15" t="str">
        <f t="shared" si="2"/>
        <v/>
      </c>
      <c r="AI6147" s="17" t="str">
        <f>IF(AG6147="","",INDEX('Quitados DUPP'!$G$1:$G$6635,AG6147))</f>
        <v/>
      </c>
      <c r="AJ6147" s="17" t="str">
        <f t="shared" si="3"/>
        <v/>
      </c>
    </row>
    <row r="6148" spans="31:36">
      <c r="AE6148" s="15" t="str">
        <f t="shared" si="0"/>
        <v/>
      </c>
      <c r="AF6148" s="15" t="str">
        <f t="shared" si="1"/>
        <v/>
      </c>
      <c r="AG6148" s="15" t="str">
        <f>IF(OR(AF6148="",AF6148="ERRO_CHAVE"),"",IFERROR(MATCH(AF6148,'Quitados DUPP'!$U$1:$U$6635,0),""))</f>
        <v/>
      </c>
      <c r="AH6148" s="15" t="str">
        <f t="shared" si="2"/>
        <v/>
      </c>
      <c r="AI6148" s="17" t="str">
        <f>IF(AG6148="","",INDEX('Quitados DUPP'!$G$1:$G$6635,AG6148))</f>
        <v/>
      </c>
      <c r="AJ6148" s="17" t="str">
        <f t="shared" si="3"/>
        <v/>
      </c>
    </row>
    <row r="6149" spans="31:36">
      <c r="AE6149" s="15" t="str">
        <f t="shared" si="0"/>
        <v/>
      </c>
      <c r="AF6149" s="15" t="str">
        <f t="shared" si="1"/>
        <v/>
      </c>
      <c r="AG6149" s="15" t="str">
        <f>IF(OR(AF6149="",AF6149="ERRO_CHAVE"),"",IFERROR(MATCH(AF6149,'Quitados DUPP'!$U$1:$U$6635,0),""))</f>
        <v/>
      </c>
      <c r="AH6149" s="15" t="str">
        <f t="shared" si="2"/>
        <v/>
      </c>
      <c r="AI6149" s="17" t="str">
        <f>IF(AG6149="","",INDEX('Quitados DUPP'!$G$1:$G$6635,AG6149))</f>
        <v/>
      </c>
      <c r="AJ6149" s="17" t="str">
        <f t="shared" si="3"/>
        <v/>
      </c>
    </row>
    <row r="6150" spans="31:36">
      <c r="AE6150" s="15" t="str">
        <f t="shared" si="0"/>
        <v/>
      </c>
      <c r="AF6150" s="15" t="str">
        <f t="shared" si="1"/>
        <v/>
      </c>
      <c r="AG6150" s="15" t="str">
        <f>IF(OR(AF6150="",AF6150="ERRO_CHAVE"),"",IFERROR(MATCH(AF6150,'Quitados DUPP'!$U$1:$U$6635,0),""))</f>
        <v/>
      </c>
      <c r="AH6150" s="15" t="str">
        <f t="shared" si="2"/>
        <v/>
      </c>
      <c r="AI6150" s="17" t="str">
        <f>IF(AG6150="","",INDEX('Quitados DUPP'!$G$1:$G$6635,AG6150))</f>
        <v/>
      </c>
      <c r="AJ6150" s="17" t="str">
        <f t="shared" si="3"/>
        <v/>
      </c>
    </row>
    <row r="6151" spans="31:36">
      <c r="AE6151" s="15" t="str">
        <f t="shared" si="0"/>
        <v/>
      </c>
      <c r="AF6151" s="15" t="str">
        <f t="shared" si="1"/>
        <v/>
      </c>
      <c r="AG6151" s="15" t="str">
        <f>IF(OR(AF6151="",AF6151="ERRO_CHAVE"),"",IFERROR(MATCH(AF6151,'Quitados DUPP'!$U$1:$U$6635,0),""))</f>
        <v/>
      </c>
      <c r="AH6151" s="15" t="str">
        <f t="shared" si="2"/>
        <v/>
      </c>
      <c r="AI6151" s="17" t="str">
        <f>IF(AG6151="","",INDEX('Quitados DUPP'!$G$1:$G$6635,AG6151))</f>
        <v/>
      </c>
      <c r="AJ6151" s="17" t="str">
        <f t="shared" si="3"/>
        <v/>
      </c>
    </row>
    <row r="6152" spans="31:36">
      <c r="AE6152" s="15" t="str">
        <f t="shared" si="0"/>
        <v/>
      </c>
      <c r="AF6152" s="15" t="str">
        <f t="shared" si="1"/>
        <v/>
      </c>
      <c r="AG6152" s="15" t="str">
        <f>IF(OR(AF6152="",AF6152="ERRO_CHAVE"),"",IFERROR(MATCH(AF6152,'Quitados DUPP'!$U$1:$U$6635,0),""))</f>
        <v/>
      </c>
      <c r="AH6152" s="15" t="str">
        <f t="shared" si="2"/>
        <v/>
      </c>
      <c r="AI6152" s="17" t="str">
        <f>IF(AG6152="","",INDEX('Quitados DUPP'!$G$1:$G$6635,AG6152))</f>
        <v/>
      </c>
      <c r="AJ6152" s="17" t="str">
        <f t="shared" si="3"/>
        <v/>
      </c>
    </row>
    <row r="6153" spans="31:36">
      <c r="AE6153" s="15" t="str">
        <f t="shared" si="0"/>
        <v/>
      </c>
      <c r="AF6153" s="15" t="str">
        <f t="shared" si="1"/>
        <v/>
      </c>
      <c r="AG6153" s="15" t="str">
        <f>IF(OR(AF6153="",AF6153="ERRO_CHAVE"),"",IFERROR(MATCH(AF6153,'Quitados DUPP'!$U$1:$U$6635,0),""))</f>
        <v/>
      </c>
      <c r="AH6153" s="15" t="str">
        <f t="shared" si="2"/>
        <v/>
      </c>
      <c r="AI6153" s="17" t="str">
        <f>IF(AG6153="","",INDEX('Quitados DUPP'!$G$1:$G$6635,AG6153))</f>
        <v/>
      </c>
      <c r="AJ6153" s="17" t="str">
        <f t="shared" si="3"/>
        <v/>
      </c>
    </row>
    <row r="6154" spans="31:36">
      <c r="AE6154" s="15" t="str">
        <f t="shared" si="0"/>
        <v/>
      </c>
      <c r="AF6154" s="15" t="str">
        <f t="shared" si="1"/>
        <v/>
      </c>
      <c r="AG6154" s="15" t="str">
        <f>IF(OR(AF6154="",AF6154="ERRO_CHAVE"),"",IFERROR(MATCH(AF6154,'Quitados DUPP'!$U$1:$U$6635,0),""))</f>
        <v/>
      </c>
      <c r="AH6154" s="15" t="str">
        <f t="shared" si="2"/>
        <v/>
      </c>
      <c r="AI6154" s="17" t="str">
        <f>IF(AG6154="","",INDEX('Quitados DUPP'!$G$1:$G$6635,AG6154))</f>
        <v/>
      </c>
      <c r="AJ6154" s="17" t="str">
        <f t="shared" si="3"/>
        <v/>
      </c>
    </row>
    <row r="6155" spans="31:36">
      <c r="AE6155" s="15" t="str">
        <f t="shared" si="0"/>
        <v/>
      </c>
      <c r="AF6155" s="15" t="str">
        <f t="shared" si="1"/>
        <v/>
      </c>
      <c r="AG6155" s="15" t="str">
        <f>IF(OR(AF6155="",AF6155="ERRO_CHAVE"),"",IFERROR(MATCH(AF6155,'Quitados DUPP'!$U$1:$U$6635,0),""))</f>
        <v/>
      </c>
      <c r="AH6155" s="15" t="str">
        <f t="shared" si="2"/>
        <v/>
      </c>
      <c r="AI6155" s="17" t="str">
        <f>IF(AG6155="","",INDEX('Quitados DUPP'!$G$1:$G$6635,AG6155))</f>
        <v/>
      </c>
      <c r="AJ6155" s="17" t="str">
        <f t="shared" si="3"/>
        <v/>
      </c>
    </row>
    <row r="6156" spans="31:36">
      <c r="AE6156" s="15" t="str">
        <f t="shared" si="0"/>
        <v/>
      </c>
      <c r="AF6156" s="15" t="str">
        <f t="shared" si="1"/>
        <v/>
      </c>
      <c r="AG6156" s="15" t="str">
        <f>IF(OR(AF6156="",AF6156="ERRO_CHAVE"),"",IFERROR(MATCH(AF6156,'Quitados DUPP'!$U$1:$U$6635,0),""))</f>
        <v/>
      </c>
      <c r="AH6156" s="15" t="str">
        <f t="shared" si="2"/>
        <v/>
      </c>
      <c r="AI6156" s="17" t="str">
        <f>IF(AG6156="","",INDEX('Quitados DUPP'!$G$1:$G$6635,AG6156))</f>
        <v/>
      </c>
      <c r="AJ6156" s="17" t="str">
        <f t="shared" si="3"/>
        <v/>
      </c>
    </row>
    <row r="6157" spans="31:36">
      <c r="AE6157" s="15" t="str">
        <f t="shared" si="0"/>
        <v/>
      </c>
      <c r="AF6157" s="15" t="str">
        <f t="shared" si="1"/>
        <v/>
      </c>
      <c r="AG6157" s="15" t="str">
        <f>IF(OR(AF6157="",AF6157="ERRO_CHAVE"),"",IFERROR(MATCH(AF6157,'Quitados DUPP'!$U$1:$U$6635,0),""))</f>
        <v/>
      </c>
      <c r="AH6157" s="15" t="str">
        <f t="shared" si="2"/>
        <v/>
      </c>
      <c r="AI6157" s="17" t="str">
        <f>IF(AG6157="","",INDEX('Quitados DUPP'!$G$1:$G$6635,AG6157))</f>
        <v/>
      </c>
      <c r="AJ6157" s="17" t="str">
        <f t="shared" si="3"/>
        <v/>
      </c>
    </row>
    <row r="6158" spans="31:36">
      <c r="AE6158" s="15" t="str">
        <f t="shared" si="0"/>
        <v/>
      </c>
      <c r="AF6158" s="15" t="str">
        <f t="shared" si="1"/>
        <v/>
      </c>
      <c r="AG6158" s="15" t="str">
        <f>IF(OR(AF6158="",AF6158="ERRO_CHAVE"),"",IFERROR(MATCH(AF6158,'Quitados DUPP'!$U$1:$U$6635,0),""))</f>
        <v/>
      </c>
      <c r="AH6158" s="15" t="str">
        <f t="shared" si="2"/>
        <v/>
      </c>
      <c r="AI6158" s="17" t="str">
        <f>IF(AG6158="","",INDEX('Quitados DUPP'!$G$1:$G$6635,AG6158))</f>
        <v/>
      </c>
      <c r="AJ6158" s="17" t="str">
        <f t="shared" si="3"/>
        <v/>
      </c>
    </row>
    <row r="6159" spans="31:36">
      <c r="AE6159" s="15" t="str">
        <f t="shared" si="0"/>
        <v/>
      </c>
      <c r="AF6159" s="15" t="str">
        <f t="shared" si="1"/>
        <v/>
      </c>
      <c r="AG6159" s="15" t="str">
        <f>IF(OR(AF6159="",AF6159="ERRO_CHAVE"),"",IFERROR(MATCH(AF6159,'Quitados DUPP'!$U$1:$U$6635,0),""))</f>
        <v/>
      </c>
      <c r="AH6159" s="15" t="str">
        <f t="shared" si="2"/>
        <v/>
      </c>
      <c r="AI6159" s="17" t="str">
        <f>IF(AG6159="","",INDEX('Quitados DUPP'!$G$1:$G$6635,AG6159))</f>
        <v/>
      </c>
      <c r="AJ6159" s="17" t="str">
        <f t="shared" si="3"/>
        <v/>
      </c>
    </row>
    <row r="6160" spans="31:36">
      <c r="AE6160" s="15" t="str">
        <f t="shared" si="0"/>
        <v/>
      </c>
      <c r="AF6160" s="15" t="str">
        <f t="shared" si="1"/>
        <v/>
      </c>
      <c r="AG6160" s="15" t="str">
        <f>IF(OR(AF6160="",AF6160="ERRO_CHAVE"),"",IFERROR(MATCH(AF6160,'Quitados DUPP'!$U$1:$U$6635,0),""))</f>
        <v/>
      </c>
      <c r="AH6160" s="15" t="str">
        <f t="shared" si="2"/>
        <v/>
      </c>
      <c r="AI6160" s="17" t="str">
        <f>IF(AG6160="","",INDEX('Quitados DUPP'!$G$1:$G$6635,AG6160))</f>
        <v/>
      </c>
      <c r="AJ6160" s="17" t="str">
        <f t="shared" si="3"/>
        <v/>
      </c>
    </row>
    <row r="6161" spans="31:36">
      <c r="AE6161" s="15" t="str">
        <f t="shared" si="0"/>
        <v/>
      </c>
      <c r="AF6161" s="15" t="str">
        <f t="shared" si="1"/>
        <v/>
      </c>
      <c r="AG6161" s="15" t="str">
        <f>IF(OR(AF6161="",AF6161="ERRO_CHAVE"),"",IFERROR(MATCH(AF6161,'Quitados DUPP'!$U$1:$U$6635,0),""))</f>
        <v/>
      </c>
      <c r="AH6161" s="15" t="str">
        <f t="shared" si="2"/>
        <v/>
      </c>
      <c r="AI6161" s="17" t="str">
        <f>IF(AG6161="","",INDEX('Quitados DUPP'!$G$1:$G$6635,AG6161))</f>
        <v/>
      </c>
      <c r="AJ6161" s="17" t="str">
        <f t="shared" si="3"/>
        <v/>
      </c>
    </row>
    <row r="6162" spans="31:36">
      <c r="AE6162" s="15" t="str">
        <f t="shared" si="0"/>
        <v/>
      </c>
      <c r="AF6162" s="15" t="str">
        <f t="shared" si="1"/>
        <v/>
      </c>
      <c r="AG6162" s="15" t="str">
        <f>IF(OR(AF6162="",AF6162="ERRO_CHAVE"),"",IFERROR(MATCH(AF6162,'Quitados DUPP'!$U$1:$U$6635,0),""))</f>
        <v/>
      </c>
      <c r="AH6162" s="15" t="str">
        <f t="shared" si="2"/>
        <v/>
      </c>
      <c r="AI6162" s="17" t="str">
        <f>IF(AG6162="","",INDEX('Quitados DUPP'!$G$1:$G$6635,AG6162))</f>
        <v/>
      </c>
      <c r="AJ6162" s="17" t="str">
        <f t="shared" si="3"/>
        <v/>
      </c>
    </row>
    <row r="6163" spans="31:36">
      <c r="AE6163" s="15" t="str">
        <f t="shared" si="0"/>
        <v/>
      </c>
      <c r="AF6163" s="15" t="str">
        <f t="shared" si="1"/>
        <v/>
      </c>
      <c r="AG6163" s="15" t="str">
        <f>IF(OR(AF6163="",AF6163="ERRO_CHAVE"),"",IFERROR(MATCH(AF6163,'Quitados DUPP'!$U$1:$U$6635,0),""))</f>
        <v/>
      </c>
      <c r="AH6163" s="15" t="str">
        <f t="shared" si="2"/>
        <v/>
      </c>
      <c r="AI6163" s="17" t="str">
        <f>IF(AG6163="","",INDEX('Quitados DUPP'!$G$1:$G$6635,AG6163))</f>
        <v/>
      </c>
      <c r="AJ6163" s="17" t="str">
        <f t="shared" si="3"/>
        <v/>
      </c>
    </row>
    <row r="6164" spans="31:36">
      <c r="AE6164" s="15" t="str">
        <f t="shared" si="0"/>
        <v/>
      </c>
      <c r="AF6164" s="15" t="str">
        <f t="shared" si="1"/>
        <v/>
      </c>
      <c r="AG6164" s="15" t="str">
        <f>IF(OR(AF6164="",AF6164="ERRO_CHAVE"),"",IFERROR(MATCH(AF6164,'Quitados DUPP'!$U$1:$U$6635,0),""))</f>
        <v/>
      </c>
      <c r="AH6164" s="15" t="str">
        <f t="shared" si="2"/>
        <v/>
      </c>
      <c r="AI6164" s="17" t="str">
        <f>IF(AG6164="","",INDEX('Quitados DUPP'!$G$1:$G$6635,AG6164))</f>
        <v/>
      </c>
      <c r="AJ6164" s="17" t="str">
        <f t="shared" si="3"/>
        <v/>
      </c>
    </row>
    <row r="6165" spans="31:36">
      <c r="AE6165" s="15" t="str">
        <f t="shared" si="0"/>
        <v/>
      </c>
      <c r="AF6165" s="15" t="str">
        <f t="shared" si="1"/>
        <v/>
      </c>
      <c r="AG6165" s="15" t="str">
        <f>IF(OR(AF6165="",AF6165="ERRO_CHAVE"),"",IFERROR(MATCH(AF6165,'Quitados DUPP'!$U$1:$U$6635,0),""))</f>
        <v/>
      </c>
      <c r="AH6165" s="15" t="str">
        <f t="shared" si="2"/>
        <v/>
      </c>
      <c r="AI6165" s="17" t="str">
        <f>IF(AG6165="","",INDEX('Quitados DUPP'!$G$1:$G$6635,AG6165))</f>
        <v/>
      </c>
      <c r="AJ6165" s="17" t="str">
        <f t="shared" si="3"/>
        <v/>
      </c>
    </row>
    <row r="6166" spans="31:36">
      <c r="AE6166" s="15" t="str">
        <f t="shared" si="0"/>
        <v/>
      </c>
      <c r="AF6166" s="15" t="str">
        <f t="shared" si="1"/>
        <v/>
      </c>
      <c r="AG6166" s="15" t="str">
        <f>IF(OR(AF6166="",AF6166="ERRO_CHAVE"),"",IFERROR(MATCH(AF6166,'Quitados DUPP'!$U$1:$U$6635,0),""))</f>
        <v/>
      </c>
      <c r="AH6166" s="15" t="str">
        <f t="shared" si="2"/>
        <v/>
      </c>
      <c r="AI6166" s="17" t="str">
        <f>IF(AG6166="","",INDEX('Quitados DUPP'!$G$1:$G$6635,AG6166))</f>
        <v/>
      </c>
      <c r="AJ6166" s="17" t="str">
        <f t="shared" si="3"/>
        <v/>
      </c>
    </row>
    <row r="6167" spans="31:36">
      <c r="AE6167" s="15" t="str">
        <f t="shared" si="0"/>
        <v/>
      </c>
      <c r="AF6167" s="15" t="str">
        <f t="shared" si="1"/>
        <v/>
      </c>
      <c r="AG6167" s="15" t="str">
        <f>IF(OR(AF6167="",AF6167="ERRO_CHAVE"),"",IFERROR(MATCH(AF6167,'Quitados DUPP'!$U$1:$U$6635,0),""))</f>
        <v/>
      </c>
      <c r="AH6167" s="15" t="str">
        <f t="shared" si="2"/>
        <v/>
      </c>
      <c r="AI6167" s="17" t="str">
        <f>IF(AG6167="","",INDEX('Quitados DUPP'!$G$1:$G$6635,AG6167))</f>
        <v/>
      </c>
      <c r="AJ6167" s="17" t="str">
        <f t="shared" si="3"/>
        <v/>
      </c>
    </row>
    <row r="6168" spans="31:36">
      <c r="AE6168" s="15" t="str">
        <f t="shared" si="0"/>
        <v/>
      </c>
      <c r="AF6168" s="15" t="str">
        <f t="shared" si="1"/>
        <v/>
      </c>
      <c r="AG6168" s="15" t="str">
        <f>IF(OR(AF6168="",AF6168="ERRO_CHAVE"),"",IFERROR(MATCH(AF6168,'Quitados DUPP'!$U$1:$U$6635,0),""))</f>
        <v/>
      </c>
      <c r="AH6168" s="15" t="str">
        <f t="shared" si="2"/>
        <v/>
      </c>
      <c r="AI6168" s="17" t="str">
        <f>IF(AG6168="","",INDEX('Quitados DUPP'!$G$1:$G$6635,AG6168))</f>
        <v/>
      </c>
      <c r="AJ6168" s="17" t="str">
        <f t="shared" si="3"/>
        <v/>
      </c>
    </row>
    <row r="6169" spans="31:36">
      <c r="AE6169" s="15" t="str">
        <f t="shared" si="0"/>
        <v/>
      </c>
      <c r="AF6169" s="15" t="str">
        <f t="shared" si="1"/>
        <v/>
      </c>
      <c r="AG6169" s="15" t="str">
        <f>IF(OR(AF6169="",AF6169="ERRO_CHAVE"),"",IFERROR(MATCH(AF6169,'Quitados DUPP'!$U$1:$U$6635,0),""))</f>
        <v/>
      </c>
      <c r="AH6169" s="15" t="str">
        <f t="shared" si="2"/>
        <v/>
      </c>
      <c r="AI6169" s="17" t="str">
        <f>IF(AG6169="","",INDEX('Quitados DUPP'!$G$1:$G$6635,AG6169))</f>
        <v/>
      </c>
      <c r="AJ6169" s="17" t="str">
        <f t="shared" si="3"/>
        <v/>
      </c>
    </row>
    <row r="6170" spans="31:36">
      <c r="AE6170" s="15" t="str">
        <f t="shared" si="0"/>
        <v/>
      </c>
      <c r="AF6170" s="15" t="str">
        <f t="shared" si="1"/>
        <v/>
      </c>
      <c r="AG6170" s="15" t="str">
        <f>IF(OR(AF6170="",AF6170="ERRO_CHAVE"),"",IFERROR(MATCH(AF6170,'Quitados DUPP'!$U$1:$U$6635,0),""))</f>
        <v/>
      </c>
      <c r="AH6170" s="15" t="str">
        <f t="shared" si="2"/>
        <v/>
      </c>
      <c r="AI6170" s="17" t="str">
        <f>IF(AG6170="","",INDEX('Quitados DUPP'!$G$1:$G$6635,AG6170))</f>
        <v/>
      </c>
      <c r="AJ6170" s="17" t="str">
        <f t="shared" si="3"/>
        <v/>
      </c>
    </row>
    <row r="6171" spans="31:36">
      <c r="AE6171" s="15" t="str">
        <f t="shared" si="0"/>
        <v/>
      </c>
      <c r="AF6171" s="15" t="str">
        <f t="shared" si="1"/>
        <v/>
      </c>
      <c r="AG6171" s="15" t="str">
        <f>IF(OR(AF6171="",AF6171="ERRO_CHAVE"),"",IFERROR(MATCH(AF6171,'Quitados DUPP'!$U$1:$U$6635,0),""))</f>
        <v/>
      </c>
      <c r="AH6171" s="15" t="str">
        <f t="shared" si="2"/>
        <v/>
      </c>
      <c r="AI6171" s="17" t="str">
        <f>IF(AG6171="","",INDEX('Quitados DUPP'!$G$1:$G$6635,AG6171))</f>
        <v/>
      </c>
      <c r="AJ6171" s="17" t="str">
        <f t="shared" si="3"/>
        <v/>
      </c>
    </row>
    <row r="6172" spans="31:36">
      <c r="AE6172" s="15" t="str">
        <f t="shared" si="0"/>
        <v/>
      </c>
      <c r="AF6172" s="15" t="str">
        <f t="shared" si="1"/>
        <v/>
      </c>
      <c r="AG6172" s="15" t="str">
        <f>IF(OR(AF6172="",AF6172="ERRO_CHAVE"),"",IFERROR(MATCH(AF6172,'Quitados DUPP'!$U$1:$U$6635,0),""))</f>
        <v/>
      </c>
      <c r="AH6172" s="15" t="str">
        <f t="shared" si="2"/>
        <v/>
      </c>
      <c r="AI6172" s="17" t="str">
        <f>IF(AG6172="","",INDEX('Quitados DUPP'!$G$1:$G$6635,AG6172))</f>
        <v/>
      </c>
      <c r="AJ6172" s="17" t="str">
        <f t="shared" si="3"/>
        <v/>
      </c>
    </row>
    <row r="6173" spans="31:36">
      <c r="AE6173" s="15" t="str">
        <f t="shared" si="0"/>
        <v/>
      </c>
      <c r="AF6173" s="15" t="str">
        <f t="shared" si="1"/>
        <v/>
      </c>
      <c r="AG6173" s="15" t="str">
        <f>IF(OR(AF6173="",AF6173="ERRO_CHAVE"),"",IFERROR(MATCH(AF6173,'Quitados DUPP'!$U$1:$U$6635,0),""))</f>
        <v/>
      </c>
      <c r="AH6173" s="15" t="str">
        <f t="shared" si="2"/>
        <v/>
      </c>
      <c r="AI6173" s="17" t="str">
        <f>IF(AG6173="","",INDEX('Quitados DUPP'!$G$1:$G$6635,AG6173))</f>
        <v/>
      </c>
      <c r="AJ6173" s="17" t="str">
        <f t="shared" si="3"/>
        <v/>
      </c>
    </row>
    <row r="6174" spans="31:36">
      <c r="AE6174" s="15" t="str">
        <f t="shared" si="0"/>
        <v/>
      </c>
      <c r="AF6174" s="15" t="str">
        <f t="shared" si="1"/>
        <v/>
      </c>
      <c r="AG6174" s="15" t="str">
        <f>IF(OR(AF6174="",AF6174="ERRO_CHAVE"),"",IFERROR(MATCH(AF6174,'Quitados DUPP'!$U$1:$U$6635,0),""))</f>
        <v/>
      </c>
      <c r="AH6174" s="15" t="str">
        <f t="shared" si="2"/>
        <v/>
      </c>
      <c r="AI6174" s="17" t="str">
        <f>IF(AG6174="","",INDEX('Quitados DUPP'!$G$1:$G$6635,AG6174))</f>
        <v/>
      </c>
      <c r="AJ6174" s="17" t="str">
        <f t="shared" si="3"/>
        <v/>
      </c>
    </row>
    <row r="6175" spans="31:36">
      <c r="AE6175" s="15" t="str">
        <f t="shared" si="0"/>
        <v/>
      </c>
      <c r="AF6175" s="15" t="str">
        <f t="shared" si="1"/>
        <v/>
      </c>
      <c r="AG6175" s="15" t="str">
        <f>IF(OR(AF6175="",AF6175="ERRO_CHAVE"),"",IFERROR(MATCH(AF6175,'Quitados DUPP'!$U$1:$U$6635,0),""))</f>
        <v/>
      </c>
      <c r="AH6175" s="15" t="str">
        <f t="shared" si="2"/>
        <v/>
      </c>
      <c r="AI6175" s="17" t="str">
        <f>IF(AG6175="","",INDEX('Quitados DUPP'!$G$1:$G$6635,AG6175))</f>
        <v/>
      </c>
      <c r="AJ6175" s="17" t="str">
        <f t="shared" si="3"/>
        <v/>
      </c>
    </row>
    <row r="6176" spans="31:36">
      <c r="AE6176" s="15" t="str">
        <f t="shared" si="0"/>
        <v/>
      </c>
      <c r="AF6176" s="15" t="str">
        <f t="shared" si="1"/>
        <v/>
      </c>
      <c r="AG6176" s="15" t="str">
        <f>IF(OR(AF6176="",AF6176="ERRO_CHAVE"),"",IFERROR(MATCH(AF6176,'Quitados DUPP'!$U$1:$U$6635,0),""))</f>
        <v/>
      </c>
      <c r="AH6176" s="15" t="str">
        <f t="shared" si="2"/>
        <v/>
      </c>
      <c r="AI6176" s="17" t="str">
        <f>IF(AG6176="","",INDEX('Quitados DUPP'!$G$1:$G$6635,AG6176))</f>
        <v/>
      </c>
      <c r="AJ6176" s="17" t="str">
        <f t="shared" si="3"/>
        <v/>
      </c>
    </row>
    <row r="6177" spans="31:36">
      <c r="AE6177" s="15" t="str">
        <f t="shared" si="0"/>
        <v/>
      </c>
      <c r="AF6177" s="15" t="str">
        <f t="shared" si="1"/>
        <v/>
      </c>
      <c r="AG6177" s="15" t="str">
        <f>IF(OR(AF6177="",AF6177="ERRO_CHAVE"),"",IFERROR(MATCH(AF6177,'Quitados DUPP'!$U$1:$U$6635,0),""))</f>
        <v/>
      </c>
      <c r="AH6177" s="15" t="str">
        <f t="shared" si="2"/>
        <v/>
      </c>
      <c r="AI6177" s="17" t="str">
        <f>IF(AG6177="","",INDEX('Quitados DUPP'!$G$1:$G$6635,AG6177))</f>
        <v/>
      </c>
      <c r="AJ6177" s="17" t="str">
        <f t="shared" si="3"/>
        <v/>
      </c>
    </row>
    <row r="6178" spans="31:36">
      <c r="AE6178" s="15" t="str">
        <f t="shared" si="0"/>
        <v/>
      </c>
      <c r="AF6178" s="15" t="str">
        <f t="shared" si="1"/>
        <v/>
      </c>
      <c r="AG6178" s="15" t="str">
        <f>IF(OR(AF6178="",AF6178="ERRO_CHAVE"),"",IFERROR(MATCH(AF6178,'Quitados DUPP'!$U$1:$U$6635,0),""))</f>
        <v/>
      </c>
      <c r="AH6178" s="15" t="str">
        <f t="shared" si="2"/>
        <v/>
      </c>
      <c r="AI6178" s="17" t="str">
        <f>IF(AG6178="","",INDEX('Quitados DUPP'!$G$1:$G$6635,AG6178))</f>
        <v/>
      </c>
      <c r="AJ6178" s="17" t="str">
        <f t="shared" si="3"/>
        <v/>
      </c>
    </row>
    <row r="6179" spans="31:36">
      <c r="AE6179" s="15" t="str">
        <f t="shared" si="0"/>
        <v/>
      </c>
      <c r="AF6179" s="15" t="str">
        <f t="shared" si="1"/>
        <v/>
      </c>
      <c r="AG6179" s="15" t="str">
        <f>IF(OR(AF6179="",AF6179="ERRO_CHAVE"),"",IFERROR(MATCH(AF6179,'Quitados DUPP'!$U$1:$U$6635,0),""))</f>
        <v/>
      </c>
      <c r="AH6179" s="15" t="str">
        <f t="shared" si="2"/>
        <v/>
      </c>
      <c r="AI6179" s="17" t="str">
        <f>IF(AG6179="","",INDEX('Quitados DUPP'!$G$1:$G$6635,AG6179))</f>
        <v/>
      </c>
      <c r="AJ6179" s="17" t="str">
        <f t="shared" si="3"/>
        <v/>
      </c>
    </row>
    <row r="6180" spans="31:36">
      <c r="AE6180" s="15" t="str">
        <f t="shared" si="0"/>
        <v/>
      </c>
      <c r="AF6180" s="15" t="str">
        <f t="shared" si="1"/>
        <v/>
      </c>
      <c r="AG6180" s="15" t="str">
        <f>IF(OR(AF6180="",AF6180="ERRO_CHAVE"),"",IFERROR(MATCH(AF6180,'Quitados DUPP'!$U$1:$U$6635,0),""))</f>
        <v/>
      </c>
      <c r="AH6180" s="15" t="str">
        <f t="shared" si="2"/>
        <v/>
      </c>
      <c r="AI6180" s="17" t="str">
        <f>IF(AG6180="","",INDEX('Quitados DUPP'!$G$1:$G$6635,AG6180))</f>
        <v/>
      </c>
      <c r="AJ6180" s="17" t="str">
        <f t="shared" si="3"/>
        <v/>
      </c>
    </row>
    <row r="6181" spans="31:36">
      <c r="AE6181" s="15" t="str">
        <f t="shared" si="0"/>
        <v/>
      </c>
      <c r="AF6181" s="15" t="str">
        <f t="shared" si="1"/>
        <v/>
      </c>
      <c r="AG6181" s="15" t="str">
        <f>IF(OR(AF6181="",AF6181="ERRO_CHAVE"),"",IFERROR(MATCH(AF6181,'Quitados DUPP'!$U$1:$U$6635,0),""))</f>
        <v/>
      </c>
      <c r="AH6181" s="15" t="str">
        <f t="shared" si="2"/>
        <v/>
      </c>
      <c r="AI6181" s="17" t="str">
        <f>IF(AG6181="","",INDEX('Quitados DUPP'!$G$1:$G$6635,AG6181))</f>
        <v/>
      </c>
      <c r="AJ6181" s="17" t="str">
        <f t="shared" si="3"/>
        <v/>
      </c>
    </row>
    <row r="6182" spans="31:36">
      <c r="AE6182" s="15" t="str">
        <f t="shared" si="0"/>
        <v/>
      </c>
      <c r="AF6182" s="15" t="str">
        <f t="shared" si="1"/>
        <v/>
      </c>
      <c r="AG6182" s="15" t="str">
        <f>IF(OR(AF6182="",AF6182="ERRO_CHAVE"),"",IFERROR(MATCH(AF6182,'Quitados DUPP'!$U$1:$U$6635,0),""))</f>
        <v/>
      </c>
      <c r="AH6182" s="15" t="str">
        <f t="shared" si="2"/>
        <v/>
      </c>
      <c r="AI6182" s="17" t="str">
        <f>IF(AG6182="","",INDEX('Quitados DUPP'!$G$1:$G$6635,AG6182))</f>
        <v/>
      </c>
      <c r="AJ6182" s="17" t="str">
        <f t="shared" si="3"/>
        <v/>
      </c>
    </row>
    <row r="6183" spans="31:36">
      <c r="AE6183" s="15" t="str">
        <f t="shared" si="0"/>
        <v/>
      </c>
      <c r="AF6183" s="15" t="str">
        <f t="shared" si="1"/>
        <v/>
      </c>
      <c r="AG6183" s="15" t="str">
        <f>IF(OR(AF6183="",AF6183="ERRO_CHAVE"),"",IFERROR(MATCH(AF6183,'Quitados DUPP'!$U$1:$U$6635,0),""))</f>
        <v/>
      </c>
      <c r="AH6183" s="15" t="str">
        <f t="shared" si="2"/>
        <v/>
      </c>
      <c r="AI6183" s="17" t="str">
        <f>IF(AG6183="","",INDEX('Quitados DUPP'!$G$1:$G$6635,AG6183))</f>
        <v/>
      </c>
      <c r="AJ6183" s="17" t="str">
        <f t="shared" si="3"/>
        <v/>
      </c>
    </row>
    <row r="6184" spans="31:36">
      <c r="AE6184" s="15" t="str">
        <f t="shared" si="0"/>
        <v/>
      </c>
      <c r="AF6184" s="15" t="str">
        <f t="shared" si="1"/>
        <v/>
      </c>
      <c r="AG6184" s="15" t="str">
        <f>IF(OR(AF6184="",AF6184="ERRO_CHAVE"),"",IFERROR(MATCH(AF6184,'Quitados DUPP'!$U$1:$U$6635,0),""))</f>
        <v/>
      </c>
      <c r="AH6184" s="15" t="str">
        <f t="shared" si="2"/>
        <v/>
      </c>
      <c r="AI6184" s="17" t="str">
        <f>IF(AG6184="","",INDEX('Quitados DUPP'!$G$1:$G$6635,AG6184))</f>
        <v/>
      </c>
      <c r="AJ6184" s="17" t="str">
        <f t="shared" si="3"/>
        <v/>
      </c>
    </row>
    <row r="6185" spans="31:36">
      <c r="AE6185" s="15" t="str">
        <f t="shared" si="0"/>
        <v/>
      </c>
      <c r="AF6185" s="15" t="str">
        <f t="shared" si="1"/>
        <v/>
      </c>
      <c r="AG6185" s="15" t="str">
        <f>IF(OR(AF6185="",AF6185="ERRO_CHAVE"),"",IFERROR(MATCH(AF6185,'Quitados DUPP'!$U$1:$U$6635,0),""))</f>
        <v/>
      </c>
      <c r="AH6185" s="15" t="str">
        <f t="shared" si="2"/>
        <v/>
      </c>
      <c r="AI6185" s="17" t="str">
        <f>IF(AG6185="","",INDEX('Quitados DUPP'!$G$1:$G$6635,AG6185))</f>
        <v/>
      </c>
      <c r="AJ6185" s="17" t="str">
        <f t="shared" si="3"/>
        <v/>
      </c>
    </row>
    <row r="6186" spans="31:36">
      <c r="AE6186" s="15" t="str">
        <f t="shared" si="0"/>
        <v/>
      </c>
      <c r="AF6186" s="15" t="str">
        <f t="shared" si="1"/>
        <v/>
      </c>
      <c r="AG6186" s="15" t="str">
        <f>IF(OR(AF6186="",AF6186="ERRO_CHAVE"),"",IFERROR(MATCH(AF6186,'Quitados DUPP'!$U$1:$U$6635,0),""))</f>
        <v/>
      </c>
      <c r="AH6186" s="15" t="str">
        <f t="shared" si="2"/>
        <v/>
      </c>
      <c r="AI6186" s="17" t="str">
        <f>IF(AG6186="","",INDEX('Quitados DUPP'!$G$1:$G$6635,AG6186))</f>
        <v/>
      </c>
      <c r="AJ6186" s="17" t="str">
        <f t="shared" si="3"/>
        <v/>
      </c>
    </row>
    <row r="6187" spans="31:36">
      <c r="AE6187" s="15" t="str">
        <f t="shared" si="0"/>
        <v/>
      </c>
      <c r="AF6187" s="15" t="str">
        <f t="shared" si="1"/>
        <v/>
      </c>
      <c r="AG6187" s="15" t="str">
        <f>IF(OR(AF6187="",AF6187="ERRO_CHAVE"),"",IFERROR(MATCH(AF6187,'Quitados DUPP'!$U$1:$U$6635,0),""))</f>
        <v/>
      </c>
      <c r="AH6187" s="15" t="str">
        <f t="shared" si="2"/>
        <v/>
      </c>
      <c r="AI6187" s="17" t="str">
        <f>IF(AG6187="","",INDEX('Quitados DUPP'!$G$1:$G$6635,AG6187))</f>
        <v/>
      </c>
      <c r="AJ6187" s="17" t="str">
        <f t="shared" si="3"/>
        <v/>
      </c>
    </row>
    <row r="6188" spans="31:36">
      <c r="AE6188" s="15" t="str">
        <f t="shared" si="0"/>
        <v/>
      </c>
      <c r="AF6188" s="15" t="str">
        <f t="shared" si="1"/>
        <v/>
      </c>
      <c r="AG6188" s="15" t="str">
        <f>IF(OR(AF6188="",AF6188="ERRO_CHAVE"),"",IFERROR(MATCH(AF6188,'Quitados DUPP'!$U$1:$U$6635,0),""))</f>
        <v/>
      </c>
      <c r="AH6188" s="15" t="str">
        <f t="shared" si="2"/>
        <v/>
      </c>
      <c r="AI6188" s="17" t="str">
        <f>IF(AG6188="","",INDEX('Quitados DUPP'!$G$1:$G$6635,AG6188))</f>
        <v/>
      </c>
      <c r="AJ6188" s="17" t="str">
        <f t="shared" si="3"/>
        <v/>
      </c>
    </row>
    <row r="6189" spans="31:36">
      <c r="AE6189" s="15" t="str">
        <f t="shared" si="0"/>
        <v/>
      </c>
      <c r="AF6189" s="15" t="str">
        <f t="shared" si="1"/>
        <v/>
      </c>
      <c r="AG6189" s="15" t="str">
        <f>IF(OR(AF6189="",AF6189="ERRO_CHAVE"),"",IFERROR(MATCH(AF6189,'Quitados DUPP'!$U$1:$U$6635,0),""))</f>
        <v/>
      </c>
      <c r="AH6189" s="15" t="str">
        <f t="shared" si="2"/>
        <v/>
      </c>
      <c r="AI6189" s="17" t="str">
        <f>IF(AG6189="","",INDEX('Quitados DUPP'!$G$1:$G$6635,AG6189))</f>
        <v/>
      </c>
      <c r="AJ6189" s="17" t="str">
        <f t="shared" si="3"/>
        <v/>
      </c>
    </row>
    <row r="6190" spans="31:36">
      <c r="AE6190" s="15" t="str">
        <f t="shared" si="0"/>
        <v/>
      </c>
      <c r="AF6190" s="15" t="str">
        <f t="shared" si="1"/>
        <v/>
      </c>
      <c r="AG6190" s="15" t="str">
        <f>IF(OR(AF6190="",AF6190="ERRO_CHAVE"),"",IFERROR(MATCH(AF6190,'Quitados DUPP'!$U$1:$U$6635,0),""))</f>
        <v/>
      </c>
      <c r="AH6190" s="15" t="str">
        <f t="shared" si="2"/>
        <v/>
      </c>
      <c r="AI6190" s="17" t="str">
        <f>IF(AG6190="","",INDEX('Quitados DUPP'!$G$1:$G$6635,AG6190))</f>
        <v/>
      </c>
      <c r="AJ6190" s="17" t="str">
        <f t="shared" si="3"/>
        <v/>
      </c>
    </row>
    <row r="6191" spans="31:36">
      <c r="AE6191" s="15" t="str">
        <f t="shared" si="0"/>
        <v/>
      </c>
      <c r="AF6191" s="15" t="str">
        <f t="shared" si="1"/>
        <v/>
      </c>
      <c r="AG6191" s="15" t="str">
        <f>IF(OR(AF6191="",AF6191="ERRO_CHAVE"),"",IFERROR(MATCH(AF6191,'Quitados DUPP'!$U$1:$U$6635,0),""))</f>
        <v/>
      </c>
      <c r="AH6191" s="15" t="str">
        <f t="shared" si="2"/>
        <v/>
      </c>
      <c r="AI6191" s="17" t="str">
        <f>IF(AG6191="","",INDEX('Quitados DUPP'!$G$1:$G$6635,AG6191))</f>
        <v/>
      </c>
      <c r="AJ6191" s="17" t="str">
        <f t="shared" si="3"/>
        <v/>
      </c>
    </row>
    <row r="6192" spans="31:36">
      <c r="AE6192" s="15" t="str">
        <f t="shared" si="0"/>
        <v/>
      </c>
      <c r="AF6192" s="15" t="str">
        <f t="shared" si="1"/>
        <v/>
      </c>
      <c r="AG6192" s="15" t="str">
        <f>IF(OR(AF6192="",AF6192="ERRO_CHAVE"),"",IFERROR(MATCH(AF6192,'Quitados DUPP'!$U$1:$U$6635,0),""))</f>
        <v/>
      </c>
      <c r="AH6192" s="15" t="str">
        <f t="shared" si="2"/>
        <v/>
      </c>
      <c r="AI6192" s="17" t="str">
        <f>IF(AG6192="","",INDEX('Quitados DUPP'!$G$1:$G$6635,AG6192))</f>
        <v/>
      </c>
      <c r="AJ6192" s="17" t="str">
        <f t="shared" si="3"/>
        <v/>
      </c>
    </row>
    <row r="6193" spans="31:36">
      <c r="AE6193" s="15" t="str">
        <f t="shared" si="0"/>
        <v/>
      </c>
      <c r="AF6193" s="15" t="str">
        <f t="shared" si="1"/>
        <v/>
      </c>
      <c r="AG6193" s="15" t="str">
        <f>IF(OR(AF6193="",AF6193="ERRO_CHAVE"),"",IFERROR(MATCH(AF6193,'Quitados DUPP'!$U$1:$U$6635,0),""))</f>
        <v/>
      </c>
      <c r="AH6193" s="15" t="str">
        <f t="shared" si="2"/>
        <v/>
      </c>
      <c r="AI6193" s="17" t="str">
        <f>IF(AG6193="","",INDEX('Quitados DUPP'!$G$1:$G$6635,AG6193))</f>
        <v/>
      </c>
      <c r="AJ6193" s="17" t="str">
        <f t="shared" si="3"/>
        <v/>
      </c>
    </row>
    <row r="6194" spans="31:36">
      <c r="AE6194" s="15" t="str">
        <f t="shared" si="0"/>
        <v/>
      </c>
      <c r="AF6194" s="15" t="str">
        <f t="shared" si="1"/>
        <v/>
      </c>
      <c r="AG6194" s="15" t="str">
        <f>IF(OR(AF6194="",AF6194="ERRO_CHAVE"),"",IFERROR(MATCH(AF6194,'Quitados DUPP'!$U$1:$U$6635,0),""))</f>
        <v/>
      </c>
      <c r="AH6194" s="15" t="str">
        <f t="shared" si="2"/>
        <v/>
      </c>
      <c r="AI6194" s="17" t="str">
        <f>IF(AG6194="","",INDEX('Quitados DUPP'!$G$1:$G$6635,AG6194))</f>
        <v/>
      </c>
      <c r="AJ6194" s="17" t="str">
        <f t="shared" si="3"/>
        <v/>
      </c>
    </row>
    <row r="6195" spans="31:36">
      <c r="AE6195" s="15" t="str">
        <f t="shared" si="0"/>
        <v/>
      </c>
      <c r="AF6195" s="15" t="str">
        <f t="shared" si="1"/>
        <v/>
      </c>
      <c r="AG6195" s="15" t="str">
        <f>IF(OR(AF6195="",AF6195="ERRO_CHAVE"),"",IFERROR(MATCH(AF6195,'Quitados DUPP'!$U$1:$U$6635,0),""))</f>
        <v/>
      </c>
      <c r="AH6195" s="15" t="str">
        <f t="shared" si="2"/>
        <v/>
      </c>
      <c r="AI6195" s="17" t="str">
        <f>IF(AG6195="","",INDEX('Quitados DUPP'!$G$1:$G$6635,AG6195))</f>
        <v/>
      </c>
      <c r="AJ6195" s="17" t="str">
        <f t="shared" si="3"/>
        <v/>
      </c>
    </row>
    <row r="6196" spans="31:36">
      <c r="AE6196" s="15" t="str">
        <f t="shared" si="0"/>
        <v/>
      </c>
      <c r="AF6196" s="15" t="str">
        <f t="shared" si="1"/>
        <v/>
      </c>
      <c r="AG6196" s="15" t="str">
        <f>IF(OR(AF6196="",AF6196="ERRO_CHAVE"),"",IFERROR(MATCH(AF6196,'Quitados DUPP'!$U$1:$U$6635,0),""))</f>
        <v/>
      </c>
      <c r="AH6196" s="15" t="str">
        <f t="shared" si="2"/>
        <v/>
      </c>
      <c r="AI6196" s="17" t="str">
        <f>IF(AG6196="","",INDEX('Quitados DUPP'!$G$1:$G$6635,AG6196))</f>
        <v/>
      </c>
      <c r="AJ6196" s="17" t="str">
        <f t="shared" si="3"/>
        <v/>
      </c>
    </row>
    <row r="6197" spans="31:36">
      <c r="AE6197" s="15" t="str">
        <f t="shared" si="0"/>
        <v/>
      </c>
      <c r="AF6197" s="15" t="str">
        <f t="shared" si="1"/>
        <v/>
      </c>
      <c r="AG6197" s="15" t="str">
        <f>IF(OR(AF6197="",AF6197="ERRO_CHAVE"),"",IFERROR(MATCH(AF6197,'Quitados DUPP'!$U$1:$U$6635,0),""))</f>
        <v/>
      </c>
      <c r="AH6197" s="15" t="str">
        <f t="shared" si="2"/>
        <v/>
      </c>
      <c r="AI6197" s="17" t="str">
        <f>IF(AG6197="","",INDEX('Quitados DUPP'!$G$1:$G$6635,AG6197))</f>
        <v/>
      </c>
      <c r="AJ6197" s="17" t="str">
        <f t="shared" si="3"/>
        <v/>
      </c>
    </row>
    <row r="6198" spans="31:36">
      <c r="AE6198" s="15" t="str">
        <f t="shared" si="0"/>
        <v/>
      </c>
      <c r="AF6198" s="15" t="str">
        <f t="shared" si="1"/>
        <v/>
      </c>
      <c r="AG6198" s="15" t="str">
        <f>IF(OR(AF6198="",AF6198="ERRO_CHAVE"),"",IFERROR(MATCH(AF6198,'Quitados DUPP'!$U$1:$U$6635,0),""))</f>
        <v/>
      </c>
      <c r="AH6198" s="15" t="str">
        <f t="shared" si="2"/>
        <v/>
      </c>
      <c r="AI6198" s="17" t="str">
        <f>IF(AG6198="","",INDEX('Quitados DUPP'!$G$1:$G$6635,AG6198))</f>
        <v/>
      </c>
      <c r="AJ6198" s="17" t="str">
        <f t="shared" si="3"/>
        <v/>
      </c>
    </row>
    <row r="6199" spans="31:36">
      <c r="AE6199" s="15" t="str">
        <f t="shared" si="0"/>
        <v/>
      </c>
      <c r="AF6199" s="15" t="str">
        <f t="shared" si="1"/>
        <v/>
      </c>
      <c r="AG6199" s="15" t="str">
        <f>IF(OR(AF6199="",AF6199="ERRO_CHAVE"),"",IFERROR(MATCH(AF6199,'Quitados DUPP'!$U$1:$U$6635,0),""))</f>
        <v/>
      </c>
      <c r="AH6199" s="15" t="str">
        <f t="shared" si="2"/>
        <v/>
      </c>
      <c r="AI6199" s="17" t="str">
        <f>IF(AG6199="","",INDEX('Quitados DUPP'!$G$1:$G$6635,AG6199))</f>
        <v/>
      </c>
      <c r="AJ6199" s="17" t="str">
        <f t="shared" si="3"/>
        <v/>
      </c>
    </row>
    <row r="6200" spans="31:36">
      <c r="AE6200" s="15" t="str">
        <f t="shared" si="0"/>
        <v/>
      </c>
      <c r="AF6200" s="15" t="str">
        <f t="shared" si="1"/>
        <v/>
      </c>
      <c r="AG6200" s="15" t="str">
        <f>IF(OR(AF6200="",AF6200="ERRO_CHAVE"),"",IFERROR(MATCH(AF6200,'Quitados DUPP'!$U$1:$U$6635,0),""))</f>
        <v/>
      </c>
      <c r="AH6200" s="15" t="str">
        <f t="shared" si="2"/>
        <v/>
      </c>
      <c r="AI6200" s="17" t="str">
        <f>IF(AG6200="","",INDEX('Quitados DUPP'!$G$1:$G$6635,AG6200))</f>
        <v/>
      </c>
      <c r="AJ6200" s="17" t="str">
        <f t="shared" si="3"/>
        <v/>
      </c>
    </row>
    <row r="6201" spans="31:36">
      <c r="AE6201" s="15" t="str">
        <f t="shared" si="0"/>
        <v/>
      </c>
      <c r="AF6201" s="15" t="str">
        <f t="shared" si="1"/>
        <v/>
      </c>
      <c r="AG6201" s="15" t="str">
        <f>IF(OR(AF6201="",AF6201="ERRO_CHAVE"),"",IFERROR(MATCH(AF6201,'Quitados DUPP'!$U$1:$U$6635,0),""))</f>
        <v/>
      </c>
      <c r="AH6201" s="15" t="str">
        <f t="shared" si="2"/>
        <v/>
      </c>
      <c r="AI6201" s="17" t="str">
        <f>IF(AG6201="","",INDEX('Quitados DUPP'!$G$1:$G$6635,AG6201))</f>
        <v/>
      </c>
      <c r="AJ6201" s="17" t="str">
        <f t="shared" si="3"/>
        <v/>
      </c>
    </row>
    <row r="6202" spans="31:36">
      <c r="AE6202" s="15" t="str">
        <f t="shared" si="0"/>
        <v/>
      </c>
      <c r="AF6202" s="15" t="str">
        <f t="shared" si="1"/>
        <v/>
      </c>
      <c r="AG6202" s="15" t="str">
        <f>IF(OR(AF6202="",AF6202="ERRO_CHAVE"),"",IFERROR(MATCH(AF6202,'Quitados DUPP'!$U$1:$U$6635,0),""))</f>
        <v/>
      </c>
      <c r="AH6202" s="15" t="str">
        <f t="shared" si="2"/>
        <v/>
      </c>
      <c r="AI6202" s="17" t="str">
        <f>IF(AG6202="","",INDEX('Quitados DUPP'!$G$1:$G$6635,AG6202))</f>
        <v/>
      </c>
      <c r="AJ6202" s="17" t="str">
        <f t="shared" si="3"/>
        <v/>
      </c>
    </row>
    <row r="6203" spans="31:36">
      <c r="AE6203" s="15" t="str">
        <f t="shared" si="0"/>
        <v/>
      </c>
      <c r="AF6203" s="15" t="str">
        <f t="shared" si="1"/>
        <v/>
      </c>
      <c r="AG6203" s="15" t="str">
        <f>IF(OR(AF6203="",AF6203="ERRO_CHAVE"),"",IFERROR(MATCH(AF6203,'Quitados DUPP'!$U$1:$U$6635,0),""))</f>
        <v/>
      </c>
      <c r="AH6203" s="15" t="str">
        <f t="shared" si="2"/>
        <v/>
      </c>
      <c r="AI6203" s="17" t="str">
        <f>IF(AG6203="","",INDEX('Quitados DUPP'!$G$1:$G$6635,AG6203))</f>
        <v/>
      </c>
      <c r="AJ6203" s="17" t="str">
        <f t="shared" si="3"/>
        <v/>
      </c>
    </row>
    <row r="6204" spans="31:36">
      <c r="AE6204" s="15" t="str">
        <f t="shared" si="0"/>
        <v/>
      </c>
      <c r="AF6204" s="15" t="str">
        <f t="shared" si="1"/>
        <v/>
      </c>
      <c r="AG6204" s="15" t="str">
        <f>IF(OR(AF6204="",AF6204="ERRO_CHAVE"),"",IFERROR(MATCH(AF6204,'Quitados DUPP'!$U$1:$U$6635,0),""))</f>
        <v/>
      </c>
      <c r="AH6204" s="15" t="str">
        <f t="shared" si="2"/>
        <v/>
      </c>
      <c r="AI6204" s="17" t="str">
        <f>IF(AG6204="","",INDEX('Quitados DUPP'!$G$1:$G$6635,AG6204))</f>
        <v/>
      </c>
      <c r="AJ6204" s="17" t="str">
        <f t="shared" si="3"/>
        <v/>
      </c>
    </row>
    <row r="6205" spans="31:36">
      <c r="AE6205" s="15" t="str">
        <f t="shared" si="0"/>
        <v/>
      </c>
      <c r="AF6205" s="15" t="str">
        <f t="shared" si="1"/>
        <v/>
      </c>
      <c r="AG6205" s="15" t="str">
        <f>IF(OR(AF6205="",AF6205="ERRO_CHAVE"),"",IFERROR(MATCH(AF6205,'Quitados DUPP'!$U$1:$U$6635,0),""))</f>
        <v/>
      </c>
      <c r="AH6205" s="15" t="str">
        <f t="shared" si="2"/>
        <v/>
      </c>
      <c r="AI6205" s="17" t="str">
        <f>IF(AG6205="","",INDEX('Quitados DUPP'!$G$1:$G$6635,AG6205))</f>
        <v/>
      </c>
      <c r="AJ6205" s="17" t="str">
        <f t="shared" si="3"/>
        <v/>
      </c>
    </row>
    <row r="6206" spans="31:36">
      <c r="AE6206" s="15" t="str">
        <f t="shared" si="0"/>
        <v/>
      </c>
      <c r="AF6206" s="15" t="str">
        <f t="shared" si="1"/>
        <v/>
      </c>
      <c r="AG6206" s="15" t="str">
        <f>IF(OR(AF6206="",AF6206="ERRO_CHAVE"),"",IFERROR(MATCH(AF6206,'Quitados DUPP'!$U$1:$U$6635,0),""))</f>
        <v/>
      </c>
      <c r="AH6206" s="15" t="str">
        <f t="shared" si="2"/>
        <v/>
      </c>
      <c r="AI6206" s="17" t="str">
        <f>IF(AG6206="","",INDEX('Quitados DUPP'!$G$1:$G$6635,AG6206))</f>
        <v/>
      </c>
      <c r="AJ6206" s="17" t="str">
        <f t="shared" si="3"/>
        <v/>
      </c>
    </row>
    <row r="6207" spans="31:36">
      <c r="AE6207" s="15" t="str">
        <f t="shared" si="0"/>
        <v/>
      </c>
      <c r="AF6207" s="15" t="str">
        <f t="shared" si="1"/>
        <v/>
      </c>
      <c r="AG6207" s="15" t="str">
        <f>IF(OR(AF6207="",AF6207="ERRO_CHAVE"),"",IFERROR(MATCH(AF6207,'Quitados DUPP'!$U$1:$U$6635,0),""))</f>
        <v/>
      </c>
      <c r="AH6207" s="15" t="str">
        <f t="shared" si="2"/>
        <v/>
      </c>
      <c r="AI6207" s="17" t="str">
        <f>IF(AG6207="","",INDEX('Quitados DUPP'!$G$1:$G$6635,AG6207))</f>
        <v/>
      </c>
      <c r="AJ6207" s="17" t="str">
        <f t="shared" si="3"/>
        <v/>
      </c>
    </row>
    <row r="6208" spans="31:36">
      <c r="AE6208" s="15" t="str">
        <f t="shared" si="0"/>
        <v/>
      </c>
      <c r="AF6208" s="15" t="str">
        <f t="shared" si="1"/>
        <v/>
      </c>
      <c r="AG6208" s="15" t="str">
        <f>IF(OR(AF6208="",AF6208="ERRO_CHAVE"),"",IFERROR(MATCH(AF6208,'Quitados DUPP'!$U$1:$U$6635,0),""))</f>
        <v/>
      </c>
      <c r="AH6208" s="15" t="str">
        <f t="shared" si="2"/>
        <v/>
      </c>
      <c r="AI6208" s="17" t="str">
        <f>IF(AG6208="","",INDEX('Quitados DUPP'!$G$1:$G$6635,AG6208))</f>
        <v/>
      </c>
      <c r="AJ6208" s="17" t="str">
        <f t="shared" si="3"/>
        <v/>
      </c>
    </row>
    <row r="6209" spans="31:36">
      <c r="AE6209" s="15" t="str">
        <f t="shared" si="0"/>
        <v/>
      </c>
      <c r="AF6209" s="15" t="str">
        <f t="shared" si="1"/>
        <v/>
      </c>
      <c r="AG6209" s="15" t="str">
        <f>IF(OR(AF6209="",AF6209="ERRO_CHAVE"),"",IFERROR(MATCH(AF6209,'Quitados DUPP'!$U$1:$U$6635,0),""))</f>
        <v/>
      </c>
      <c r="AH6209" s="15" t="str">
        <f t="shared" si="2"/>
        <v/>
      </c>
      <c r="AI6209" s="17" t="str">
        <f>IF(AG6209="","",INDEX('Quitados DUPP'!$G$1:$G$6635,AG6209))</f>
        <v/>
      </c>
      <c r="AJ6209" s="17" t="str">
        <f t="shared" si="3"/>
        <v/>
      </c>
    </row>
    <row r="6210" spans="31:36">
      <c r="AE6210" s="15" t="str">
        <f t="shared" si="0"/>
        <v/>
      </c>
      <c r="AF6210" s="15" t="str">
        <f t="shared" si="1"/>
        <v/>
      </c>
      <c r="AG6210" s="15" t="str">
        <f>IF(OR(AF6210="",AF6210="ERRO_CHAVE"),"",IFERROR(MATCH(AF6210,'Quitados DUPP'!$U$1:$U$6635,0),""))</f>
        <v/>
      </c>
      <c r="AH6210" s="15" t="str">
        <f t="shared" si="2"/>
        <v/>
      </c>
      <c r="AI6210" s="17" t="str">
        <f>IF(AG6210="","",INDEX('Quitados DUPP'!$G$1:$G$6635,AG6210))</f>
        <v/>
      </c>
      <c r="AJ6210" s="17" t="str">
        <f t="shared" si="3"/>
        <v/>
      </c>
    </row>
    <row r="6211" spans="31:36">
      <c r="AE6211" s="15" t="str">
        <f t="shared" si="0"/>
        <v/>
      </c>
      <c r="AF6211" s="15" t="str">
        <f t="shared" si="1"/>
        <v/>
      </c>
      <c r="AG6211" s="15" t="str">
        <f>IF(OR(AF6211="",AF6211="ERRO_CHAVE"),"",IFERROR(MATCH(AF6211,'Quitados DUPP'!$U$1:$U$6635,0),""))</f>
        <v/>
      </c>
      <c r="AH6211" s="15" t="str">
        <f t="shared" si="2"/>
        <v/>
      </c>
      <c r="AI6211" s="17" t="str">
        <f>IF(AG6211="","",INDEX('Quitados DUPP'!$G$1:$G$6635,AG6211))</f>
        <v/>
      </c>
      <c r="AJ6211" s="17" t="str">
        <f t="shared" si="3"/>
        <v/>
      </c>
    </row>
    <row r="6212" spans="31:36">
      <c r="AE6212" s="15" t="str">
        <f t="shared" si="0"/>
        <v/>
      </c>
      <c r="AF6212" s="15" t="str">
        <f t="shared" si="1"/>
        <v/>
      </c>
      <c r="AG6212" s="15" t="str">
        <f>IF(OR(AF6212="",AF6212="ERRO_CHAVE"),"",IFERROR(MATCH(AF6212,'Quitados DUPP'!$U$1:$U$6635,0),""))</f>
        <v/>
      </c>
      <c r="AH6212" s="15" t="str">
        <f t="shared" si="2"/>
        <v/>
      </c>
      <c r="AI6212" s="17" t="str">
        <f>IF(AG6212="","",INDEX('Quitados DUPP'!$G$1:$G$6635,AG6212))</f>
        <v/>
      </c>
      <c r="AJ6212" s="17" t="str">
        <f t="shared" si="3"/>
        <v/>
      </c>
    </row>
    <row r="6213" spans="31:36">
      <c r="AE6213" s="15" t="str">
        <f t="shared" si="0"/>
        <v/>
      </c>
      <c r="AF6213" s="15" t="str">
        <f t="shared" si="1"/>
        <v/>
      </c>
      <c r="AG6213" s="15" t="str">
        <f>IF(OR(AF6213="",AF6213="ERRO_CHAVE"),"",IFERROR(MATCH(AF6213,'Quitados DUPP'!$U$1:$U$6635,0),""))</f>
        <v/>
      </c>
      <c r="AH6213" s="15" t="str">
        <f t="shared" si="2"/>
        <v/>
      </c>
      <c r="AI6213" s="17" t="str">
        <f>IF(AG6213="","",INDEX('Quitados DUPP'!$G$1:$G$6635,AG6213))</f>
        <v/>
      </c>
      <c r="AJ6213" s="17" t="str">
        <f t="shared" si="3"/>
        <v/>
      </c>
    </row>
    <row r="6214" spans="31:36">
      <c r="AE6214" s="15" t="str">
        <f t="shared" si="0"/>
        <v/>
      </c>
      <c r="AF6214" s="15" t="str">
        <f t="shared" si="1"/>
        <v/>
      </c>
      <c r="AG6214" s="15" t="str">
        <f>IF(OR(AF6214="",AF6214="ERRO_CHAVE"),"",IFERROR(MATCH(AF6214,'Quitados DUPP'!$U$1:$U$6635,0),""))</f>
        <v/>
      </c>
      <c r="AH6214" s="15" t="str">
        <f t="shared" si="2"/>
        <v/>
      </c>
      <c r="AI6214" s="17" t="str">
        <f>IF(AG6214="","",INDEX('Quitados DUPP'!$G$1:$G$6635,AG6214))</f>
        <v/>
      </c>
      <c r="AJ6214" s="17" t="str">
        <f t="shared" si="3"/>
        <v/>
      </c>
    </row>
    <row r="6215" spans="31:36">
      <c r="AE6215" s="15" t="str">
        <f t="shared" si="0"/>
        <v/>
      </c>
      <c r="AF6215" s="15" t="str">
        <f t="shared" si="1"/>
        <v/>
      </c>
      <c r="AG6215" s="15" t="str">
        <f>IF(OR(AF6215="",AF6215="ERRO_CHAVE"),"",IFERROR(MATCH(AF6215,'Quitados DUPP'!$U$1:$U$6635,0),""))</f>
        <v/>
      </c>
      <c r="AH6215" s="15" t="str">
        <f t="shared" si="2"/>
        <v/>
      </c>
      <c r="AI6215" s="17" t="str">
        <f>IF(AG6215="","",INDEX('Quitados DUPP'!$G$1:$G$6635,AG6215))</f>
        <v/>
      </c>
      <c r="AJ6215" s="17" t="str">
        <f t="shared" si="3"/>
        <v/>
      </c>
    </row>
    <row r="6216" spans="31:36">
      <c r="AE6216" s="15" t="str">
        <f t="shared" si="0"/>
        <v/>
      </c>
      <c r="AF6216" s="15" t="str">
        <f t="shared" si="1"/>
        <v/>
      </c>
      <c r="AG6216" s="15" t="str">
        <f>IF(OR(AF6216="",AF6216="ERRO_CHAVE"),"",IFERROR(MATCH(AF6216,'Quitados DUPP'!$U$1:$U$6635,0),""))</f>
        <v/>
      </c>
      <c r="AH6216" s="15" t="str">
        <f t="shared" si="2"/>
        <v/>
      </c>
      <c r="AI6216" s="17" t="str">
        <f>IF(AG6216="","",INDEX('Quitados DUPP'!$G$1:$G$6635,AG6216))</f>
        <v/>
      </c>
      <c r="AJ6216" s="17" t="str">
        <f t="shared" si="3"/>
        <v/>
      </c>
    </row>
    <row r="6217" spans="31:36">
      <c r="AE6217" s="15" t="str">
        <f t="shared" si="0"/>
        <v/>
      </c>
      <c r="AF6217" s="15" t="str">
        <f t="shared" si="1"/>
        <v/>
      </c>
      <c r="AG6217" s="15" t="str">
        <f>IF(OR(AF6217="",AF6217="ERRO_CHAVE"),"",IFERROR(MATCH(AF6217,'Quitados DUPP'!$U$1:$U$6635,0),""))</f>
        <v/>
      </c>
      <c r="AH6217" s="15" t="str">
        <f t="shared" si="2"/>
        <v/>
      </c>
      <c r="AI6217" s="17" t="str">
        <f>IF(AG6217="","",INDEX('Quitados DUPP'!$G$1:$G$6635,AG6217))</f>
        <v/>
      </c>
      <c r="AJ6217" s="17" t="str">
        <f t="shared" si="3"/>
        <v/>
      </c>
    </row>
    <row r="6218" spans="31:36">
      <c r="AE6218" s="15" t="str">
        <f t="shared" si="0"/>
        <v/>
      </c>
      <c r="AF6218" s="15" t="str">
        <f t="shared" si="1"/>
        <v/>
      </c>
      <c r="AG6218" s="15" t="str">
        <f>IF(OR(AF6218="",AF6218="ERRO_CHAVE"),"",IFERROR(MATCH(AF6218,'Quitados DUPP'!$U$1:$U$6635,0),""))</f>
        <v/>
      </c>
      <c r="AH6218" s="15" t="str">
        <f t="shared" si="2"/>
        <v/>
      </c>
      <c r="AI6218" s="17" t="str">
        <f>IF(AG6218="","",INDEX('Quitados DUPP'!$G$1:$G$6635,AG6218))</f>
        <v/>
      </c>
      <c r="AJ6218" s="17" t="str">
        <f t="shared" si="3"/>
        <v/>
      </c>
    </row>
    <row r="6219" spans="31:36">
      <c r="AE6219" s="15" t="str">
        <f t="shared" si="0"/>
        <v/>
      </c>
      <c r="AF6219" s="15" t="str">
        <f t="shared" si="1"/>
        <v/>
      </c>
      <c r="AG6219" s="15" t="str">
        <f>IF(OR(AF6219="",AF6219="ERRO_CHAVE"),"",IFERROR(MATCH(AF6219,'Quitados DUPP'!$U$1:$U$6635,0),""))</f>
        <v/>
      </c>
      <c r="AH6219" s="15" t="str">
        <f t="shared" si="2"/>
        <v/>
      </c>
      <c r="AI6219" s="17" t="str">
        <f>IF(AG6219="","",INDEX('Quitados DUPP'!$G$1:$G$6635,AG6219))</f>
        <v/>
      </c>
      <c r="AJ6219" s="17" t="str">
        <f t="shared" si="3"/>
        <v/>
      </c>
    </row>
    <row r="6220" spans="31:36">
      <c r="AE6220" s="15" t="str">
        <f t="shared" si="0"/>
        <v/>
      </c>
      <c r="AF6220" s="15" t="str">
        <f t="shared" si="1"/>
        <v/>
      </c>
      <c r="AG6220" s="15" t="str">
        <f>IF(OR(AF6220="",AF6220="ERRO_CHAVE"),"",IFERROR(MATCH(AF6220,'Quitados DUPP'!$U$1:$U$6635,0),""))</f>
        <v/>
      </c>
      <c r="AH6220" s="15" t="str">
        <f t="shared" si="2"/>
        <v/>
      </c>
      <c r="AI6220" s="17" t="str">
        <f>IF(AG6220="","",INDEX('Quitados DUPP'!$G$1:$G$6635,AG6220))</f>
        <v/>
      </c>
      <c r="AJ6220" s="17" t="str">
        <f t="shared" si="3"/>
        <v/>
      </c>
    </row>
    <row r="6221" spans="31:36">
      <c r="AE6221" s="15" t="str">
        <f t="shared" si="0"/>
        <v/>
      </c>
      <c r="AF6221" s="15" t="str">
        <f t="shared" si="1"/>
        <v/>
      </c>
      <c r="AG6221" s="15" t="str">
        <f>IF(OR(AF6221="",AF6221="ERRO_CHAVE"),"",IFERROR(MATCH(AF6221,'Quitados DUPP'!$U$1:$U$6635,0),""))</f>
        <v/>
      </c>
      <c r="AH6221" s="15" t="str">
        <f t="shared" si="2"/>
        <v/>
      </c>
      <c r="AI6221" s="17" t="str">
        <f>IF(AG6221="","",INDEX('Quitados DUPP'!$G$1:$G$6635,AG6221))</f>
        <v/>
      </c>
      <c r="AJ6221" s="17" t="str">
        <f t="shared" si="3"/>
        <v/>
      </c>
    </row>
    <row r="6222" spans="31:36">
      <c r="AE6222" s="15" t="str">
        <f t="shared" si="0"/>
        <v/>
      </c>
      <c r="AF6222" s="15" t="str">
        <f t="shared" si="1"/>
        <v/>
      </c>
      <c r="AG6222" s="15" t="str">
        <f>IF(OR(AF6222="",AF6222="ERRO_CHAVE"),"",IFERROR(MATCH(AF6222,'Quitados DUPP'!$U$1:$U$6635,0),""))</f>
        <v/>
      </c>
      <c r="AH6222" s="15" t="str">
        <f t="shared" si="2"/>
        <v/>
      </c>
      <c r="AI6222" s="17" t="str">
        <f>IF(AG6222="","",INDEX('Quitados DUPP'!$G$1:$G$6635,AG6222))</f>
        <v/>
      </c>
      <c r="AJ6222" s="17" t="str">
        <f t="shared" si="3"/>
        <v/>
      </c>
    </row>
    <row r="6223" spans="31:36">
      <c r="AE6223" s="15" t="str">
        <f t="shared" si="0"/>
        <v/>
      </c>
      <c r="AF6223" s="15" t="str">
        <f t="shared" si="1"/>
        <v/>
      </c>
      <c r="AG6223" s="15" t="str">
        <f>IF(OR(AF6223="",AF6223="ERRO_CHAVE"),"",IFERROR(MATCH(AF6223,'Quitados DUPP'!$U$1:$U$6635,0),""))</f>
        <v/>
      </c>
      <c r="AH6223" s="15" t="str">
        <f t="shared" si="2"/>
        <v/>
      </c>
      <c r="AI6223" s="17" t="str">
        <f>IF(AG6223="","",INDEX('Quitados DUPP'!$G$1:$G$6635,AG6223))</f>
        <v/>
      </c>
      <c r="AJ6223" s="17" t="str">
        <f t="shared" si="3"/>
        <v/>
      </c>
    </row>
    <row r="6224" spans="31:36">
      <c r="AE6224" s="15" t="str">
        <f t="shared" si="0"/>
        <v/>
      </c>
      <c r="AF6224" s="15" t="str">
        <f t="shared" si="1"/>
        <v/>
      </c>
      <c r="AG6224" s="15" t="str">
        <f>IF(OR(AF6224="",AF6224="ERRO_CHAVE"),"",IFERROR(MATCH(AF6224,'Quitados DUPP'!$U$1:$U$6635,0),""))</f>
        <v/>
      </c>
      <c r="AH6224" s="15" t="str">
        <f t="shared" si="2"/>
        <v/>
      </c>
      <c r="AI6224" s="17" t="str">
        <f>IF(AG6224="","",INDEX('Quitados DUPP'!$G$1:$G$6635,AG6224))</f>
        <v/>
      </c>
      <c r="AJ6224" s="17" t="str">
        <f t="shared" si="3"/>
        <v/>
      </c>
    </row>
    <row r="6225" spans="31:36">
      <c r="AE6225" s="15" t="str">
        <f t="shared" si="0"/>
        <v/>
      </c>
      <c r="AF6225" s="15" t="str">
        <f t="shared" si="1"/>
        <v/>
      </c>
      <c r="AG6225" s="15" t="str">
        <f>IF(OR(AF6225="",AF6225="ERRO_CHAVE"),"",IFERROR(MATCH(AF6225,'Quitados DUPP'!$U$1:$U$6635,0),""))</f>
        <v/>
      </c>
      <c r="AH6225" s="15" t="str">
        <f t="shared" si="2"/>
        <v/>
      </c>
      <c r="AI6225" s="17" t="str">
        <f>IF(AG6225="","",INDEX('Quitados DUPP'!$G$1:$G$6635,AG6225))</f>
        <v/>
      </c>
      <c r="AJ6225" s="17" t="str">
        <f t="shared" si="3"/>
        <v/>
      </c>
    </row>
    <row r="6226" spans="31:36">
      <c r="AE6226" s="15" t="str">
        <f t="shared" si="0"/>
        <v/>
      </c>
      <c r="AF6226" s="15" t="str">
        <f t="shared" si="1"/>
        <v/>
      </c>
      <c r="AG6226" s="15" t="str">
        <f>IF(OR(AF6226="",AF6226="ERRO_CHAVE"),"",IFERROR(MATCH(AF6226,'Quitados DUPP'!$U$1:$U$6635,0),""))</f>
        <v/>
      </c>
      <c r="AH6226" s="15" t="str">
        <f t="shared" si="2"/>
        <v/>
      </c>
      <c r="AI6226" s="17" t="str">
        <f>IF(AG6226="","",INDEX('Quitados DUPP'!$G$1:$G$6635,AG6226))</f>
        <v/>
      </c>
      <c r="AJ6226" s="17" t="str">
        <f t="shared" si="3"/>
        <v/>
      </c>
    </row>
    <row r="6227" spans="31:36">
      <c r="AE6227" s="15" t="str">
        <f t="shared" si="0"/>
        <v/>
      </c>
      <c r="AF6227" s="15" t="str">
        <f t="shared" si="1"/>
        <v/>
      </c>
      <c r="AG6227" s="15" t="str">
        <f>IF(OR(AF6227="",AF6227="ERRO_CHAVE"),"",IFERROR(MATCH(AF6227,'Quitados DUPP'!$U$1:$U$6635,0),""))</f>
        <v/>
      </c>
      <c r="AH6227" s="15" t="str">
        <f t="shared" si="2"/>
        <v/>
      </c>
      <c r="AI6227" s="17" t="str">
        <f>IF(AG6227="","",INDEX('Quitados DUPP'!$G$1:$G$6635,AG6227))</f>
        <v/>
      </c>
      <c r="AJ6227" s="17" t="str">
        <f t="shared" si="3"/>
        <v/>
      </c>
    </row>
    <row r="6228" spans="31:36">
      <c r="AE6228" s="15" t="str">
        <f t="shared" si="0"/>
        <v/>
      </c>
      <c r="AF6228" s="15" t="str">
        <f t="shared" si="1"/>
        <v/>
      </c>
      <c r="AG6228" s="15" t="str">
        <f>IF(OR(AF6228="",AF6228="ERRO_CHAVE"),"",IFERROR(MATCH(AF6228,'Quitados DUPP'!$U$1:$U$6635,0),""))</f>
        <v/>
      </c>
      <c r="AH6228" s="15" t="str">
        <f t="shared" si="2"/>
        <v/>
      </c>
      <c r="AI6228" s="17" t="str">
        <f>IF(AG6228="","",INDEX('Quitados DUPP'!$G$1:$G$6635,AG6228))</f>
        <v/>
      </c>
      <c r="AJ6228" s="17" t="str">
        <f t="shared" si="3"/>
        <v/>
      </c>
    </row>
    <row r="6229" spans="31:36">
      <c r="AE6229" s="15" t="str">
        <f t="shared" si="0"/>
        <v/>
      </c>
      <c r="AF6229" s="15" t="str">
        <f t="shared" si="1"/>
        <v/>
      </c>
      <c r="AG6229" s="15" t="str">
        <f>IF(OR(AF6229="",AF6229="ERRO_CHAVE"),"",IFERROR(MATCH(AF6229,'Quitados DUPP'!$U$1:$U$6635,0),""))</f>
        <v/>
      </c>
      <c r="AH6229" s="15" t="str">
        <f t="shared" si="2"/>
        <v/>
      </c>
      <c r="AI6229" s="17" t="str">
        <f>IF(AG6229="","",INDEX('Quitados DUPP'!$G$1:$G$6635,AG6229))</f>
        <v/>
      </c>
      <c r="AJ6229" s="17" t="str">
        <f t="shared" si="3"/>
        <v/>
      </c>
    </row>
    <row r="6230" spans="31:36">
      <c r="AE6230" s="15" t="str">
        <f t="shared" si="0"/>
        <v/>
      </c>
      <c r="AF6230" s="15" t="str">
        <f t="shared" si="1"/>
        <v/>
      </c>
      <c r="AG6230" s="15" t="str">
        <f>IF(OR(AF6230="",AF6230="ERRO_CHAVE"),"",IFERROR(MATCH(AF6230,'Quitados DUPP'!$U$1:$U$6635,0),""))</f>
        <v/>
      </c>
      <c r="AH6230" s="15" t="str">
        <f t="shared" si="2"/>
        <v/>
      </c>
      <c r="AI6230" s="17" t="str">
        <f>IF(AG6230="","",INDEX('Quitados DUPP'!$G$1:$G$6635,AG6230))</f>
        <v/>
      </c>
      <c r="AJ6230" s="17" t="str">
        <f t="shared" si="3"/>
        <v/>
      </c>
    </row>
    <row r="6231" spans="31:36">
      <c r="AE6231" s="15" t="str">
        <f t="shared" si="0"/>
        <v/>
      </c>
      <c r="AF6231" s="15" t="str">
        <f t="shared" si="1"/>
        <v/>
      </c>
      <c r="AG6231" s="15" t="str">
        <f>IF(OR(AF6231="",AF6231="ERRO_CHAVE"),"",IFERROR(MATCH(AF6231,'Quitados DUPP'!$U$1:$U$6635,0),""))</f>
        <v/>
      </c>
      <c r="AH6231" s="15" t="str">
        <f t="shared" si="2"/>
        <v/>
      </c>
      <c r="AI6231" s="17" t="str">
        <f>IF(AG6231="","",INDEX('Quitados DUPP'!$G$1:$G$6635,AG6231))</f>
        <v/>
      </c>
      <c r="AJ6231" s="17" t="str">
        <f t="shared" si="3"/>
        <v/>
      </c>
    </row>
    <row r="6232" spans="31:36">
      <c r="AE6232" s="15" t="str">
        <f t="shared" si="0"/>
        <v/>
      </c>
      <c r="AF6232" s="15" t="str">
        <f t="shared" si="1"/>
        <v/>
      </c>
      <c r="AG6232" s="15" t="str">
        <f>IF(OR(AF6232="",AF6232="ERRO_CHAVE"),"",IFERROR(MATCH(AF6232,'Quitados DUPP'!$U$1:$U$6635,0),""))</f>
        <v/>
      </c>
      <c r="AH6232" s="15" t="str">
        <f t="shared" si="2"/>
        <v/>
      </c>
      <c r="AI6232" s="17" t="str">
        <f>IF(AG6232="","",INDEX('Quitados DUPP'!$G$1:$G$6635,AG6232))</f>
        <v/>
      </c>
      <c r="AJ6232" s="17" t="str">
        <f t="shared" si="3"/>
        <v/>
      </c>
    </row>
    <row r="6233" spans="31:36">
      <c r="AE6233" s="15" t="str">
        <f t="shared" si="0"/>
        <v/>
      </c>
      <c r="AF6233" s="15" t="str">
        <f t="shared" si="1"/>
        <v/>
      </c>
      <c r="AG6233" s="15" t="str">
        <f>IF(OR(AF6233="",AF6233="ERRO_CHAVE"),"",IFERROR(MATCH(AF6233,'Quitados DUPP'!$U$1:$U$6635,0),""))</f>
        <v/>
      </c>
      <c r="AH6233" s="15" t="str">
        <f t="shared" si="2"/>
        <v/>
      </c>
      <c r="AI6233" s="17" t="str">
        <f>IF(AG6233="","",INDEX('Quitados DUPP'!$G$1:$G$6635,AG6233))</f>
        <v/>
      </c>
      <c r="AJ6233" s="17" t="str">
        <f t="shared" si="3"/>
        <v/>
      </c>
    </row>
    <row r="6234" spans="31:36">
      <c r="AE6234" s="15" t="str">
        <f t="shared" si="0"/>
        <v/>
      </c>
      <c r="AF6234" s="15" t="str">
        <f t="shared" si="1"/>
        <v/>
      </c>
      <c r="AG6234" s="15" t="str">
        <f>IF(OR(AF6234="",AF6234="ERRO_CHAVE"),"",IFERROR(MATCH(AF6234,'Quitados DUPP'!$U$1:$U$6635,0),""))</f>
        <v/>
      </c>
      <c r="AH6234" s="15" t="str">
        <f t="shared" si="2"/>
        <v/>
      </c>
      <c r="AI6234" s="17" t="str">
        <f>IF(AG6234="","",INDEX('Quitados DUPP'!$G$1:$G$6635,AG6234))</f>
        <v/>
      </c>
      <c r="AJ6234" s="17" t="str">
        <f t="shared" si="3"/>
        <v/>
      </c>
    </row>
    <row r="6235" spans="31:36">
      <c r="AE6235" s="15" t="str">
        <f t="shared" si="0"/>
        <v/>
      </c>
      <c r="AF6235" s="15" t="str">
        <f t="shared" si="1"/>
        <v/>
      </c>
      <c r="AG6235" s="15" t="str">
        <f>IF(OR(AF6235="",AF6235="ERRO_CHAVE"),"",IFERROR(MATCH(AF6235,'Quitados DUPP'!$U$1:$U$6635,0),""))</f>
        <v/>
      </c>
      <c r="AH6235" s="15" t="str">
        <f t="shared" si="2"/>
        <v/>
      </c>
      <c r="AI6235" s="17" t="str">
        <f>IF(AG6235="","",INDEX('Quitados DUPP'!$G$1:$G$6635,AG6235))</f>
        <v/>
      </c>
      <c r="AJ6235" s="17" t="str">
        <f t="shared" si="3"/>
        <v/>
      </c>
    </row>
    <row r="6236" spans="31:36">
      <c r="AE6236" s="15" t="str">
        <f t="shared" si="0"/>
        <v/>
      </c>
      <c r="AF6236" s="15" t="str">
        <f t="shared" si="1"/>
        <v/>
      </c>
      <c r="AG6236" s="15" t="str">
        <f>IF(OR(AF6236="",AF6236="ERRO_CHAVE"),"",IFERROR(MATCH(AF6236,'Quitados DUPP'!$U$1:$U$6635,0),""))</f>
        <v/>
      </c>
      <c r="AH6236" s="15" t="str">
        <f t="shared" si="2"/>
        <v/>
      </c>
      <c r="AI6236" s="17" t="str">
        <f>IF(AG6236="","",INDEX('Quitados DUPP'!$G$1:$G$6635,AG6236))</f>
        <v/>
      </c>
      <c r="AJ6236" s="17" t="str">
        <f t="shared" si="3"/>
        <v/>
      </c>
    </row>
    <row r="6237" spans="31:36">
      <c r="AE6237" s="15" t="str">
        <f t="shared" si="0"/>
        <v/>
      </c>
      <c r="AF6237" s="15" t="str">
        <f t="shared" si="1"/>
        <v/>
      </c>
      <c r="AG6237" s="15" t="str">
        <f>IF(OR(AF6237="",AF6237="ERRO_CHAVE"),"",IFERROR(MATCH(AF6237,'Quitados DUPP'!$U$1:$U$6635,0),""))</f>
        <v/>
      </c>
      <c r="AH6237" s="15" t="str">
        <f t="shared" si="2"/>
        <v/>
      </c>
      <c r="AI6237" s="17" t="str">
        <f>IF(AG6237="","",INDEX('Quitados DUPP'!$G$1:$G$6635,AG6237))</f>
        <v/>
      </c>
      <c r="AJ6237" s="17" t="str">
        <f t="shared" si="3"/>
        <v/>
      </c>
    </row>
    <row r="6238" spans="31:36">
      <c r="AE6238" s="15" t="str">
        <f t="shared" si="0"/>
        <v/>
      </c>
      <c r="AF6238" s="15" t="str">
        <f t="shared" si="1"/>
        <v/>
      </c>
      <c r="AG6238" s="15" t="str">
        <f>IF(OR(AF6238="",AF6238="ERRO_CHAVE"),"",IFERROR(MATCH(AF6238,'Quitados DUPP'!$U$1:$U$6635,0),""))</f>
        <v/>
      </c>
      <c r="AH6238" s="15" t="str">
        <f t="shared" si="2"/>
        <v/>
      </c>
      <c r="AI6238" s="17" t="str">
        <f>IF(AG6238="","",INDEX('Quitados DUPP'!$G$1:$G$6635,AG6238))</f>
        <v/>
      </c>
      <c r="AJ6238" s="17" t="str">
        <f t="shared" si="3"/>
        <v/>
      </c>
    </row>
    <row r="6239" spans="31:36">
      <c r="AE6239" s="15" t="str">
        <f t="shared" si="0"/>
        <v/>
      </c>
      <c r="AF6239" s="15" t="str">
        <f t="shared" si="1"/>
        <v/>
      </c>
      <c r="AG6239" s="15" t="str">
        <f>IF(OR(AF6239="",AF6239="ERRO_CHAVE"),"",IFERROR(MATCH(AF6239,'Quitados DUPP'!$U$1:$U$6635,0),""))</f>
        <v/>
      </c>
      <c r="AH6239" s="15" t="str">
        <f t="shared" si="2"/>
        <v/>
      </c>
      <c r="AI6239" s="17" t="str">
        <f>IF(AG6239="","",INDEX('Quitados DUPP'!$G$1:$G$6635,AG6239))</f>
        <v/>
      </c>
      <c r="AJ6239" s="17" t="str">
        <f t="shared" si="3"/>
        <v/>
      </c>
    </row>
    <row r="6240" spans="31:36">
      <c r="AE6240" s="15" t="str">
        <f t="shared" si="0"/>
        <v/>
      </c>
      <c r="AF6240" s="15" t="str">
        <f t="shared" si="1"/>
        <v/>
      </c>
      <c r="AG6240" s="15" t="str">
        <f>IF(OR(AF6240="",AF6240="ERRO_CHAVE"),"",IFERROR(MATCH(AF6240,'Quitados DUPP'!$U$1:$U$6635,0),""))</f>
        <v/>
      </c>
      <c r="AH6240" s="15" t="str">
        <f t="shared" si="2"/>
        <v/>
      </c>
      <c r="AI6240" s="17" t="str">
        <f>IF(AG6240="","",INDEX('Quitados DUPP'!$G$1:$G$6635,AG6240))</f>
        <v/>
      </c>
      <c r="AJ6240" s="17" t="str">
        <f t="shared" si="3"/>
        <v/>
      </c>
    </row>
    <row r="6241" spans="31:36">
      <c r="AE6241" s="15" t="str">
        <f t="shared" si="0"/>
        <v/>
      </c>
      <c r="AF6241" s="15" t="str">
        <f t="shared" si="1"/>
        <v/>
      </c>
      <c r="AG6241" s="15" t="str">
        <f>IF(OR(AF6241="",AF6241="ERRO_CHAVE"),"",IFERROR(MATCH(AF6241,'Quitados DUPP'!$U$1:$U$6635,0),""))</f>
        <v/>
      </c>
      <c r="AH6241" s="15" t="str">
        <f t="shared" si="2"/>
        <v/>
      </c>
      <c r="AI6241" s="17" t="str">
        <f>IF(AG6241="","",INDEX('Quitados DUPP'!$G$1:$G$6635,AG6241))</f>
        <v/>
      </c>
      <c r="AJ6241" s="17" t="str">
        <f t="shared" si="3"/>
        <v/>
      </c>
    </row>
    <row r="6242" spans="31:36">
      <c r="AE6242" s="15" t="str">
        <f t="shared" si="0"/>
        <v/>
      </c>
      <c r="AF6242" s="15" t="str">
        <f t="shared" si="1"/>
        <v/>
      </c>
      <c r="AG6242" s="15" t="str">
        <f>IF(OR(AF6242="",AF6242="ERRO_CHAVE"),"",IFERROR(MATCH(AF6242,'Quitados DUPP'!$U$1:$U$6635,0),""))</f>
        <v/>
      </c>
      <c r="AH6242" s="15" t="str">
        <f t="shared" si="2"/>
        <v/>
      </c>
      <c r="AI6242" s="17" t="str">
        <f>IF(AG6242="","",INDEX('Quitados DUPP'!$G$1:$G$6635,AG6242))</f>
        <v/>
      </c>
      <c r="AJ6242" s="17" t="str">
        <f t="shared" si="3"/>
        <v/>
      </c>
    </row>
    <row r="6243" spans="31:36">
      <c r="AE6243" s="15" t="str">
        <f t="shared" si="0"/>
        <v/>
      </c>
      <c r="AF6243" s="15" t="str">
        <f t="shared" si="1"/>
        <v/>
      </c>
      <c r="AG6243" s="15" t="str">
        <f>IF(OR(AF6243="",AF6243="ERRO_CHAVE"),"",IFERROR(MATCH(AF6243,'Quitados DUPP'!$U$1:$U$6635,0),""))</f>
        <v/>
      </c>
      <c r="AH6243" s="15" t="str">
        <f t="shared" si="2"/>
        <v/>
      </c>
      <c r="AI6243" s="17" t="str">
        <f>IF(AG6243="","",INDEX('Quitados DUPP'!$G$1:$G$6635,AG6243))</f>
        <v/>
      </c>
      <c r="AJ6243" s="17" t="str">
        <f t="shared" si="3"/>
        <v/>
      </c>
    </row>
    <row r="6244" spans="31:36">
      <c r="AE6244" s="15" t="str">
        <f t="shared" si="0"/>
        <v/>
      </c>
      <c r="AF6244" s="15" t="str">
        <f t="shared" si="1"/>
        <v/>
      </c>
      <c r="AG6244" s="15" t="str">
        <f>IF(OR(AF6244="",AF6244="ERRO_CHAVE"),"",IFERROR(MATCH(AF6244,'Quitados DUPP'!$U$1:$U$6635,0),""))</f>
        <v/>
      </c>
      <c r="AH6244" s="15" t="str">
        <f t="shared" si="2"/>
        <v/>
      </c>
      <c r="AI6244" s="17" t="str">
        <f>IF(AG6244="","",INDEX('Quitados DUPP'!$G$1:$G$6635,AG6244))</f>
        <v/>
      </c>
      <c r="AJ6244" s="17" t="str">
        <f t="shared" si="3"/>
        <v/>
      </c>
    </row>
    <row r="6245" spans="31:36">
      <c r="AE6245" s="15" t="str">
        <f t="shared" si="0"/>
        <v/>
      </c>
      <c r="AF6245" s="15" t="str">
        <f t="shared" si="1"/>
        <v/>
      </c>
      <c r="AG6245" s="15" t="str">
        <f>IF(OR(AF6245="",AF6245="ERRO_CHAVE"),"",IFERROR(MATCH(AF6245,'Quitados DUPP'!$U$1:$U$6635,0),""))</f>
        <v/>
      </c>
      <c r="AH6245" s="15" t="str">
        <f t="shared" si="2"/>
        <v/>
      </c>
      <c r="AI6245" s="17" t="str">
        <f>IF(AG6245="","",INDEX('Quitados DUPP'!$G$1:$G$6635,AG6245))</f>
        <v/>
      </c>
      <c r="AJ6245" s="17" t="str">
        <f t="shared" si="3"/>
        <v/>
      </c>
    </row>
    <row r="6246" spans="31:36">
      <c r="AE6246" s="15" t="str">
        <f t="shared" si="0"/>
        <v/>
      </c>
      <c r="AF6246" s="15" t="str">
        <f t="shared" si="1"/>
        <v/>
      </c>
      <c r="AG6246" s="15" t="str">
        <f>IF(OR(AF6246="",AF6246="ERRO_CHAVE"),"",IFERROR(MATCH(AF6246,'Quitados DUPP'!$U$1:$U$6635,0),""))</f>
        <v/>
      </c>
      <c r="AH6246" s="15" t="str">
        <f t="shared" si="2"/>
        <v/>
      </c>
      <c r="AI6246" s="17" t="str">
        <f>IF(AG6246="","",INDEX('Quitados DUPP'!$G$1:$G$6635,AG6246))</f>
        <v/>
      </c>
      <c r="AJ6246" s="17" t="str">
        <f t="shared" si="3"/>
        <v/>
      </c>
    </row>
    <row r="6247" spans="31:36">
      <c r="AE6247" s="15" t="str">
        <f t="shared" si="0"/>
        <v/>
      </c>
      <c r="AF6247" s="15" t="str">
        <f t="shared" si="1"/>
        <v/>
      </c>
      <c r="AG6247" s="15" t="str">
        <f>IF(OR(AF6247="",AF6247="ERRO_CHAVE"),"",IFERROR(MATCH(AF6247,'Quitados DUPP'!$U$1:$U$6635,0),""))</f>
        <v/>
      </c>
      <c r="AH6247" s="15" t="str">
        <f t="shared" si="2"/>
        <v/>
      </c>
      <c r="AI6247" s="17" t="str">
        <f>IF(AG6247="","",INDEX('Quitados DUPP'!$G$1:$G$6635,AG6247))</f>
        <v/>
      </c>
      <c r="AJ6247" s="17" t="str">
        <f t="shared" si="3"/>
        <v/>
      </c>
    </row>
    <row r="6248" spans="31:36">
      <c r="AE6248" s="15" t="str">
        <f t="shared" si="0"/>
        <v/>
      </c>
      <c r="AF6248" s="15" t="str">
        <f t="shared" si="1"/>
        <v/>
      </c>
      <c r="AG6248" s="15" t="str">
        <f>IF(OR(AF6248="",AF6248="ERRO_CHAVE"),"",IFERROR(MATCH(AF6248,'Quitados DUPP'!$U$1:$U$6635,0),""))</f>
        <v/>
      </c>
      <c r="AH6248" s="15" t="str">
        <f t="shared" si="2"/>
        <v/>
      </c>
      <c r="AI6248" s="17" t="str">
        <f>IF(AG6248="","",INDEX('Quitados DUPP'!$G$1:$G$6635,AG6248))</f>
        <v/>
      </c>
      <c r="AJ6248" s="17" t="str">
        <f t="shared" si="3"/>
        <v/>
      </c>
    </row>
    <row r="6249" spans="31:36">
      <c r="AE6249" s="15" t="str">
        <f t="shared" si="0"/>
        <v/>
      </c>
      <c r="AF6249" s="15" t="str">
        <f t="shared" si="1"/>
        <v/>
      </c>
      <c r="AG6249" s="15" t="str">
        <f>IF(OR(AF6249="",AF6249="ERRO_CHAVE"),"",IFERROR(MATCH(AF6249,'Quitados DUPP'!$U$1:$U$6635,0),""))</f>
        <v/>
      </c>
      <c r="AH6249" s="15" t="str">
        <f t="shared" si="2"/>
        <v/>
      </c>
      <c r="AI6249" s="17" t="str">
        <f>IF(AG6249="","",INDEX('Quitados DUPP'!$G$1:$G$6635,AG6249))</f>
        <v/>
      </c>
      <c r="AJ6249" s="17" t="str">
        <f t="shared" si="3"/>
        <v/>
      </c>
    </row>
    <row r="6250" spans="31:36">
      <c r="AE6250" s="15" t="str">
        <f t="shared" si="0"/>
        <v/>
      </c>
      <c r="AF6250" s="15" t="str">
        <f t="shared" si="1"/>
        <v/>
      </c>
      <c r="AG6250" s="15" t="str">
        <f>IF(OR(AF6250="",AF6250="ERRO_CHAVE"),"",IFERROR(MATCH(AF6250,'Quitados DUPP'!$U$1:$U$6635,0),""))</f>
        <v/>
      </c>
      <c r="AH6250" s="15" t="str">
        <f t="shared" si="2"/>
        <v/>
      </c>
      <c r="AI6250" s="17" t="str">
        <f>IF(AG6250="","",INDEX('Quitados DUPP'!$G$1:$G$6635,AG6250))</f>
        <v/>
      </c>
      <c r="AJ6250" s="17" t="str">
        <f t="shared" si="3"/>
        <v/>
      </c>
    </row>
    <row r="6251" spans="31:36">
      <c r="AE6251" s="15" t="str">
        <f t="shared" si="0"/>
        <v/>
      </c>
      <c r="AF6251" s="15" t="str">
        <f t="shared" si="1"/>
        <v/>
      </c>
      <c r="AG6251" s="15" t="str">
        <f>IF(OR(AF6251="",AF6251="ERRO_CHAVE"),"",IFERROR(MATCH(AF6251,'Quitados DUPP'!$U$1:$U$6635,0),""))</f>
        <v/>
      </c>
      <c r="AH6251" s="15" t="str">
        <f t="shared" si="2"/>
        <v/>
      </c>
      <c r="AI6251" s="17" t="str">
        <f>IF(AG6251="","",INDEX('Quitados DUPP'!$G$1:$G$6635,AG6251))</f>
        <v/>
      </c>
      <c r="AJ6251" s="17" t="str">
        <f t="shared" si="3"/>
        <v/>
      </c>
    </row>
    <row r="6252" spans="31:36">
      <c r="AE6252" s="15" t="str">
        <f t="shared" si="0"/>
        <v/>
      </c>
      <c r="AF6252" s="15" t="str">
        <f t="shared" si="1"/>
        <v/>
      </c>
      <c r="AG6252" s="15" t="str">
        <f>IF(OR(AF6252="",AF6252="ERRO_CHAVE"),"",IFERROR(MATCH(AF6252,'Quitados DUPP'!$U$1:$U$6635,0),""))</f>
        <v/>
      </c>
      <c r="AH6252" s="15" t="str">
        <f t="shared" si="2"/>
        <v/>
      </c>
      <c r="AI6252" s="17" t="str">
        <f>IF(AG6252="","",INDEX('Quitados DUPP'!$G$1:$G$6635,AG6252))</f>
        <v/>
      </c>
      <c r="AJ6252" s="17" t="str">
        <f t="shared" si="3"/>
        <v/>
      </c>
    </row>
    <row r="6253" spans="31:36">
      <c r="AE6253" s="15" t="str">
        <f t="shared" si="0"/>
        <v/>
      </c>
      <c r="AF6253" s="15" t="str">
        <f t="shared" si="1"/>
        <v/>
      </c>
      <c r="AG6253" s="15" t="str">
        <f>IF(OR(AF6253="",AF6253="ERRO_CHAVE"),"",IFERROR(MATCH(AF6253,'Quitados DUPP'!$U$1:$U$6635,0),""))</f>
        <v/>
      </c>
      <c r="AH6253" s="15" t="str">
        <f t="shared" si="2"/>
        <v/>
      </c>
      <c r="AI6253" s="17" t="str">
        <f>IF(AG6253="","",INDEX('Quitados DUPP'!$G$1:$G$6635,AG6253))</f>
        <v/>
      </c>
      <c r="AJ6253" s="17" t="str">
        <f t="shared" si="3"/>
        <v/>
      </c>
    </row>
    <row r="6254" spans="31:36">
      <c r="AE6254" s="15" t="str">
        <f t="shared" si="0"/>
        <v/>
      </c>
      <c r="AF6254" s="15" t="str">
        <f t="shared" si="1"/>
        <v/>
      </c>
      <c r="AG6254" s="15" t="str">
        <f>IF(OR(AF6254="",AF6254="ERRO_CHAVE"),"",IFERROR(MATCH(AF6254,'Quitados DUPP'!$U$1:$U$6635,0),""))</f>
        <v/>
      </c>
      <c r="AH6254" s="15" t="str">
        <f t="shared" si="2"/>
        <v/>
      </c>
      <c r="AI6254" s="17" t="str">
        <f>IF(AG6254="","",INDEX('Quitados DUPP'!$G$1:$G$6635,AG6254))</f>
        <v/>
      </c>
      <c r="AJ6254" s="17" t="str">
        <f t="shared" si="3"/>
        <v/>
      </c>
    </row>
    <row r="6255" spans="31:36">
      <c r="AE6255" s="15" t="str">
        <f t="shared" si="0"/>
        <v/>
      </c>
      <c r="AF6255" s="15" t="str">
        <f t="shared" si="1"/>
        <v/>
      </c>
      <c r="AG6255" s="15" t="str">
        <f>IF(OR(AF6255="",AF6255="ERRO_CHAVE"),"",IFERROR(MATCH(AF6255,'Quitados DUPP'!$U$1:$U$6635,0),""))</f>
        <v/>
      </c>
      <c r="AH6255" s="15" t="str">
        <f t="shared" si="2"/>
        <v/>
      </c>
      <c r="AI6255" s="17" t="str">
        <f>IF(AG6255="","",INDEX('Quitados DUPP'!$G$1:$G$6635,AG6255))</f>
        <v/>
      </c>
      <c r="AJ6255" s="17" t="str">
        <f t="shared" si="3"/>
        <v/>
      </c>
    </row>
    <row r="6256" spans="31:36">
      <c r="AE6256" s="15" t="str">
        <f t="shared" si="0"/>
        <v/>
      </c>
      <c r="AF6256" s="15" t="str">
        <f t="shared" si="1"/>
        <v/>
      </c>
      <c r="AG6256" s="15" t="str">
        <f>IF(OR(AF6256="",AF6256="ERRO_CHAVE"),"",IFERROR(MATCH(AF6256,'Quitados DUPP'!$U$1:$U$6635,0),""))</f>
        <v/>
      </c>
      <c r="AH6256" s="15" t="str">
        <f t="shared" si="2"/>
        <v/>
      </c>
      <c r="AI6256" s="17" t="str">
        <f>IF(AG6256="","",INDEX('Quitados DUPP'!$G$1:$G$6635,AG6256))</f>
        <v/>
      </c>
      <c r="AJ6256" s="17" t="str">
        <f t="shared" si="3"/>
        <v/>
      </c>
    </row>
    <row r="6257" spans="31:36">
      <c r="AE6257" s="15" t="str">
        <f t="shared" si="0"/>
        <v/>
      </c>
      <c r="AF6257" s="15" t="str">
        <f t="shared" si="1"/>
        <v/>
      </c>
      <c r="AG6257" s="15" t="str">
        <f>IF(OR(AF6257="",AF6257="ERRO_CHAVE"),"",IFERROR(MATCH(AF6257,'Quitados DUPP'!$U$1:$U$6635,0),""))</f>
        <v/>
      </c>
      <c r="AH6257" s="15" t="str">
        <f t="shared" si="2"/>
        <v/>
      </c>
      <c r="AI6257" s="17" t="str">
        <f>IF(AG6257="","",INDEX('Quitados DUPP'!$G$1:$G$6635,AG6257))</f>
        <v/>
      </c>
      <c r="AJ6257" s="17" t="str">
        <f t="shared" si="3"/>
        <v/>
      </c>
    </row>
    <row r="6258" spans="31:36">
      <c r="AE6258" s="15" t="str">
        <f t="shared" si="0"/>
        <v/>
      </c>
      <c r="AF6258" s="15" t="str">
        <f t="shared" si="1"/>
        <v/>
      </c>
      <c r="AG6258" s="15" t="str">
        <f>IF(OR(AF6258="",AF6258="ERRO_CHAVE"),"",IFERROR(MATCH(AF6258,'Quitados DUPP'!$U$1:$U$6635,0),""))</f>
        <v/>
      </c>
      <c r="AH6258" s="15" t="str">
        <f t="shared" si="2"/>
        <v/>
      </c>
      <c r="AI6258" s="17" t="str">
        <f>IF(AG6258="","",INDEX('Quitados DUPP'!$G$1:$G$6635,AG6258))</f>
        <v/>
      </c>
      <c r="AJ6258" s="17" t="str">
        <f t="shared" si="3"/>
        <v/>
      </c>
    </row>
    <row r="6259" spans="31:36">
      <c r="AE6259" s="15" t="str">
        <f t="shared" si="0"/>
        <v/>
      </c>
      <c r="AF6259" s="15" t="str">
        <f t="shared" si="1"/>
        <v/>
      </c>
      <c r="AG6259" s="15" t="str">
        <f>IF(OR(AF6259="",AF6259="ERRO_CHAVE"),"",IFERROR(MATCH(AF6259,'Quitados DUPP'!$U$1:$U$6635,0),""))</f>
        <v/>
      </c>
      <c r="AH6259" s="15" t="str">
        <f t="shared" si="2"/>
        <v/>
      </c>
      <c r="AI6259" s="17" t="str">
        <f>IF(AG6259="","",INDEX('Quitados DUPP'!$G$1:$G$6635,AG6259))</f>
        <v/>
      </c>
      <c r="AJ6259" s="17" t="str">
        <f t="shared" si="3"/>
        <v/>
      </c>
    </row>
    <row r="6260" spans="31:36">
      <c r="AE6260" s="15" t="str">
        <f t="shared" si="0"/>
        <v/>
      </c>
      <c r="AF6260" s="15" t="str">
        <f t="shared" si="1"/>
        <v/>
      </c>
      <c r="AG6260" s="15" t="str">
        <f>IF(OR(AF6260="",AF6260="ERRO_CHAVE"),"",IFERROR(MATCH(AF6260,'Quitados DUPP'!$U$1:$U$6635,0),""))</f>
        <v/>
      </c>
      <c r="AH6260" s="15" t="str">
        <f t="shared" si="2"/>
        <v/>
      </c>
      <c r="AI6260" s="17" t="str">
        <f>IF(AG6260="","",INDEX('Quitados DUPP'!$G$1:$G$6635,AG6260))</f>
        <v/>
      </c>
      <c r="AJ6260" s="17" t="str">
        <f t="shared" si="3"/>
        <v/>
      </c>
    </row>
    <row r="6261" spans="31:36">
      <c r="AE6261" s="15" t="str">
        <f t="shared" si="0"/>
        <v/>
      </c>
      <c r="AF6261" s="15" t="str">
        <f t="shared" si="1"/>
        <v/>
      </c>
      <c r="AG6261" s="15" t="str">
        <f>IF(OR(AF6261="",AF6261="ERRO_CHAVE"),"",IFERROR(MATCH(AF6261,'Quitados DUPP'!$U$1:$U$6635,0),""))</f>
        <v/>
      </c>
      <c r="AH6261" s="15" t="str">
        <f t="shared" si="2"/>
        <v/>
      </c>
      <c r="AI6261" s="17" t="str">
        <f>IF(AG6261="","",INDEX('Quitados DUPP'!$G$1:$G$6635,AG6261))</f>
        <v/>
      </c>
      <c r="AJ6261" s="17" t="str">
        <f t="shared" si="3"/>
        <v/>
      </c>
    </row>
    <row r="6262" spans="31:36">
      <c r="AE6262" s="15" t="str">
        <f t="shared" si="0"/>
        <v/>
      </c>
      <c r="AF6262" s="15" t="str">
        <f t="shared" si="1"/>
        <v/>
      </c>
      <c r="AG6262" s="15" t="str">
        <f>IF(OR(AF6262="",AF6262="ERRO_CHAVE"),"",IFERROR(MATCH(AF6262,'Quitados DUPP'!$U$1:$U$6635,0),""))</f>
        <v/>
      </c>
      <c r="AH6262" s="15" t="str">
        <f t="shared" si="2"/>
        <v/>
      </c>
      <c r="AI6262" s="17" t="str">
        <f>IF(AG6262="","",INDEX('Quitados DUPP'!$G$1:$G$6635,AG6262))</f>
        <v/>
      </c>
      <c r="AJ6262" s="17" t="str">
        <f t="shared" si="3"/>
        <v/>
      </c>
    </row>
    <row r="6263" spans="31:36">
      <c r="AE6263" s="15" t="str">
        <f t="shared" si="0"/>
        <v/>
      </c>
      <c r="AF6263" s="15" t="str">
        <f t="shared" si="1"/>
        <v/>
      </c>
      <c r="AG6263" s="15" t="str">
        <f>IF(OR(AF6263="",AF6263="ERRO_CHAVE"),"",IFERROR(MATCH(AF6263,'Quitados DUPP'!$U$1:$U$6635,0),""))</f>
        <v/>
      </c>
      <c r="AH6263" s="15" t="str">
        <f t="shared" si="2"/>
        <v/>
      </c>
      <c r="AI6263" s="17" t="str">
        <f>IF(AG6263="","",INDEX('Quitados DUPP'!$G$1:$G$6635,AG6263))</f>
        <v/>
      </c>
      <c r="AJ6263" s="17" t="str">
        <f t="shared" si="3"/>
        <v/>
      </c>
    </row>
    <row r="6264" spans="31:36">
      <c r="AE6264" s="15" t="str">
        <f t="shared" si="0"/>
        <v/>
      </c>
      <c r="AF6264" s="15" t="str">
        <f t="shared" si="1"/>
        <v/>
      </c>
      <c r="AG6264" s="15" t="str">
        <f>IF(OR(AF6264="",AF6264="ERRO_CHAVE"),"",IFERROR(MATCH(AF6264,'Quitados DUPP'!$U$1:$U$6635,0),""))</f>
        <v/>
      </c>
      <c r="AH6264" s="15" t="str">
        <f t="shared" si="2"/>
        <v/>
      </c>
      <c r="AI6264" s="17" t="str">
        <f>IF(AG6264="","",INDEX('Quitados DUPP'!$G$1:$G$6635,AG6264))</f>
        <v/>
      </c>
      <c r="AJ6264" s="17" t="str">
        <f t="shared" si="3"/>
        <v/>
      </c>
    </row>
    <row r="6265" spans="31:36">
      <c r="AE6265" s="15" t="str">
        <f t="shared" si="0"/>
        <v/>
      </c>
      <c r="AF6265" s="15" t="str">
        <f t="shared" si="1"/>
        <v/>
      </c>
      <c r="AG6265" s="15" t="str">
        <f>IF(OR(AF6265="",AF6265="ERRO_CHAVE"),"",IFERROR(MATCH(AF6265,'Quitados DUPP'!$U$1:$U$6635,0),""))</f>
        <v/>
      </c>
      <c r="AH6265" s="15" t="str">
        <f t="shared" si="2"/>
        <v/>
      </c>
      <c r="AI6265" s="17" t="str">
        <f>IF(AG6265="","",INDEX('Quitados DUPP'!$G$1:$G$6635,AG6265))</f>
        <v/>
      </c>
      <c r="AJ6265" s="17" t="str">
        <f t="shared" si="3"/>
        <v/>
      </c>
    </row>
    <row r="6266" spans="31:36">
      <c r="AE6266" s="15" t="str">
        <f t="shared" si="0"/>
        <v/>
      </c>
      <c r="AF6266" s="15" t="str">
        <f t="shared" si="1"/>
        <v/>
      </c>
      <c r="AG6266" s="15" t="str">
        <f>IF(OR(AF6266="",AF6266="ERRO_CHAVE"),"",IFERROR(MATCH(AF6266,'Quitados DUPP'!$U$1:$U$6635,0),""))</f>
        <v/>
      </c>
      <c r="AH6266" s="15" t="str">
        <f t="shared" si="2"/>
        <v/>
      </c>
      <c r="AI6266" s="17" t="str">
        <f>IF(AG6266="","",INDEX('Quitados DUPP'!$G$1:$G$6635,AG6266))</f>
        <v/>
      </c>
      <c r="AJ6266" s="17" t="str">
        <f t="shared" si="3"/>
        <v/>
      </c>
    </row>
    <row r="6267" spans="31:36">
      <c r="AE6267" s="15" t="str">
        <f t="shared" si="0"/>
        <v/>
      </c>
      <c r="AF6267" s="15" t="str">
        <f t="shared" si="1"/>
        <v/>
      </c>
      <c r="AG6267" s="15" t="str">
        <f>IF(OR(AF6267="",AF6267="ERRO_CHAVE"),"",IFERROR(MATCH(AF6267,'Quitados DUPP'!$U$1:$U$6635,0),""))</f>
        <v/>
      </c>
      <c r="AH6267" s="15" t="str">
        <f t="shared" si="2"/>
        <v/>
      </c>
      <c r="AI6267" s="17" t="str">
        <f>IF(AG6267="","",INDEX('Quitados DUPP'!$G$1:$G$6635,AG6267))</f>
        <v/>
      </c>
      <c r="AJ6267" s="17" t="str">
        <f t="shared" si="3"/>
        <v/>
      </c>
    </row>
    <row r="6268" spans="31:36">
      <c r="AE6268" s="15" t="str">
        <f t="shared" si="0"/>
        <v/>
      </c>
      <c r="AF6268" s="15" t="str">
        <f t="shared" si="1"/>
        <v/>
      </c>
      <c r="AG6268" s="15" t="str">
        <f>IF(OR(AF6268="",AF6268="ERRO_CHAVE"),"",IFERROR(MATCH(AF6268,'Quitados DUPP'!$U$1:$U$6635,0),""))</f>
        <v/>
      </c>
      <c r="AH6268" s="15" t="str">
        <f t="shared" si="2"/>
        <v/>
      </c>
      <c r="AI6268" s="17" t="str">
        <f>IF(AG6268="","",INDEX('Quitados DUPP'!$G$1:$G$6635,AG6268))</f>
        <v/>
      </c>
      <c r="AJ6268" s="17" t="str">
        <f t="shared" si="3"/>
        <v/>
      </c>
    </row>
    <row r="6269" spans="31:36">
      <c r="AE6269" s="15" t="str">
        <f t="shared" si="0"/>
        <v/>
      </c>
      <c r="AF6269" s="15" t="str">
        <f t="shared" si="1"/>
        <v/>
      </c>
      <c r="AG6269" s="15" t="str">
        <f>IF(OR(AF6269="",AF6269="ERRO_CHAVE"),"",IFERROR(MATCH(AF6269,'Quitados DUPP'!$U$1:$U$6635,0),""))</f>
        <v/>
      </c>
      <c r="AH6269" s="15" t="str">
        <f t="shared" si="2"/>
        <v/>
      </c>
      <c r="AI6269" s="17" t="str">
        <f>IF(AG6269="","",INDEX('Quitados DUPP'!$G$1:$G$6635,AG6269))</f>
        <v/>
      </c>
      <c r="AJ6269" s="17" t="str">
        <f t="shared" si="3"/>
        <v/>
      </c>
    </row>
    <row r="6270" spans="31:36">
      <c r="AE6270" s="15" t="str">
        <f t="shared" si="0"/>
        <v/>
      </c>
      <c r="AF6270" s="15" t="str">
        <f t="shared" si="1"/>
        <v/>
      </c>
      <c r="AG6270" s="15" t="str">
        <f>IF(OR(AF6270="",AF6270="ERRO_CHAVE"),"",IFERROR(MATCH(AF6270,'Quitados DUPP'!$U$1:$U$6635,0),""))</f>
        <v/>
      </c>
      <c r="AH6270" s="15" t="str">
        <f t="shared" si="2"/>
        <v/>
      </c>
      <c r="AI6270" s="17" t="str">
        <f>IF(AG6270="","",INDEX('Quitados DUPP'!$G$1:$G$6635,AG6270))</f>
        <v/>
      </c>
      <c r="AJ6270" s="17" t="str">
        <f t="shared" si="3"/>
        <v/>
      </c>
    </row>
    <row r="6271" spans="31:36">
      <c r="AE6271" s="15" t="str">
        <f t="shared" si="0"/>
        <v/>
      </c>
      <c r="AF6271" s="15" t="str">
        <f t="shared" si="1"/>
        <v/>
      </c>
      <c r="AG6271" s="15" t="str">
        <f>IF(OR(AF6271="",AF6271="ERRO_CHAVE"),"",IFERROR(MATCH(AF6271,'Quitados DUPP'!$U$1:$U$6635,0),""))</f>
        <v/>
      </c>
      <c r="AH6271" s="15" t="str">
        <f t="shared" si="2"/>
        <v/>
      </c>
      <c r="AI6271" s="17" t="str">
        <f>IF(AG6271="","",INDEX('Quitados DUPP'!$G$1:$G$6635,AG6271))</f>
        <v/>
      </c>
      <c r="AJ6271" s="17" t="str">
        <f t="shared" si="3"/>
        <v/>
      </c>
    </row>
    <row r="6272" spans="31:36">
      <c r="AE6272" s="15" t="str">
        <f t="shared" si="0"/>
        <v/>
      </c>
      <c r="AF6272" s="15" t="str">
        <f t="shared" si="1"/>
        <v/>
      </c>
      <c r="AG6272" s="15" t="str">
        <f>IF(OR(AF6272="",AF6272="ERRO_CHAVE"),"",IFERROR(MATCH(AF6272,'Quitados DUPP'!$U$1:$U$6635,0),""))</f>
        <v/>
      </c>
      <c r="AH6272" s="15" t="str">
        <f t="shared" si="2"/>
        <v/>
      </c>
      <c r="AI6272" s="17" t="str">
        <f>IF(AG6272="","",INDEX('Quitados DUPP'!$G$1:$G$6635,AG6272))</f>
        <v/>
      </c>
      <c r="AJ6272" s="17" t="str">
        <f t="shared" si="3"/>
        <v/>
      </c>
    </row>
    <row r="6273" spans="31:36">
      <c r="AE6273" s="15" t="str">
        <f t="shared" si="0"/>
        <v/>
      </c>
      <c r="AF6273" s="15" t="str">
        <f t="shared" si="1"/>
        <v/>
      </c>
      <c r="AG6273" s="15" t="str">
        <f>IF(OR(AF6273="",AF6273="ERRO_CHAVE"),"",IFERROR(MATCH(AF6273,'Quitados DUPP'!$U$1:$U$6635,0),""))</f>
        <v/>
      </c>
      <c r="AH6273" s="15" t="str">
        <f t="shared" si="2"/>
        <v/>
      </c>
      <c r="AI6273" s="17" t="str">
        <f>IF(AG6273="","",INDEX('Quitados DUPP'!$G$1:$G$6635,AG6273))</f>
        <v/>
      </c>
      <c r="AJ6273" s="17" t="str">
        <f t="shared" si="3"/>
        <v/>
      </c>
    </row>
    <row r="6274" spans="31:36">
      <c r="AE6274" s="15" t="str">
        <f t="shared" si="0"/>
        <v/>
      </c>
      <c r="AF6274" s="15" t="str">
        <f t="shared" si="1"/>
        <v/>
      </c>
      <c r="AG6274" s="15" t="str">
        <f>IF(OR(AF6274="",AF6274="ERRO_CHAVE"),"",IFERROR(MATCH(AF6274,'Quitados DUPP'!$U$1:$U$6635,0),""))</f>
        <v/>
      </c>
      <c r="AH6274" s="15" t="str">
        <f t="shared" si="2"/>
        <v/>
      </c>
      <c r="AI6274" s="17" t="str">
        <f>IF(AG6274="","",INDEX('Quitados DUPP'!$G$1:$G$6635,AG6274))</f>
        <v/>
      </c>
      <c r="AJ6274" s="17" t="str">
        <f t="shared" si="3"/>
        <v/>
      </c>
    </row>
    <row r="6275" spans="31:36">
      <c r="AE6275" s="15" t="str">
        <f t="shared" si="0"/>
        <v/>
      </c>
      <c r="AF6275" s="15" t="str">
        <f t="shared" si="1"/>
        <v/>
      </c>
      <c r="AG6275" s="15" t="str">
        <f>IF(OR(AF6275="",AF6275="ERRO_CHAVE"),"",IFERROR(MATCH(AF6275,'Quitados DUPP'!$U$1:$U$6635,0),""))</f>
        <v/>
      </c>
      <c r="AH6275" s="15" t="str">
        <f t="shared" si="2"/>
        <v/>
      </c>
      <c r="AI6275" s="17" t="str">
        <f>IF(AG6275="","",INDEX('Quitados DUPP'!$G$1:$G$6635,AG6275))</f>
        <v/>
      </c>
      <c r="AJ6275" s="17" t="str">
        <f t="shared" si="3"/>
        <v/>
      </c>
    </row>
    <row r="6276" spans="31:36">
      <c r="AE6276" s="15" t="str">
        <f t="shared" si="0"/>
        <v/>
      </c>
      <c r="AF6276" s="15" t="str">
        <f t="shared" si="1"/>
        <v/>
      </c>
      <c r="AG6276" s="15" t="str">
        <f>IF(OR(AF6276="",AF6276="ERRO_CHAVE"),"",IFERROR(MATCH(AF6276,'Quitados DUPP'!$U$1:$U$6635,0),""))</f>
        <v/>
      </c>
      <c r="AH6276" s="15" t="str">
        <f t="shared" si="2"/>
        <v/>
      </c>
      <c r="AI6276" s="17" t="str">
        <f>IF(AG6276="","",INDEX('Quitados DUPP'!$G$1:$G$6635,AG6276))</f>
        <v/>
      </c>
      <c r="AJ6276" s="17" t="str">
        <f t="shared" si="3"/>
        <v/>
      </c>
    </row>
    <row r="6277" spans="31:36">
      <c r="AE6277" s="15" t="str">
        <f t="shared" si="0"/>
        <v/>
      </c>
      <c r="AF6277" s="15" t="str">
        <f t="shared" si="1"/>
        <v/>
      </c>
      <c r="AG6277" s="15" t="str">
        <f>IF(OR(AF6277="",AF6277="ERRO_CHAVE"),"",IFERROR(MATCH(AF6277,'Quitados DUPP'!$U$1:$U$6635,0),""))</f>
        <v/>
      </c>
      <c r="AH6277" s="15" t="str">
        <f t="shared" si="2"/>
        <v/>
      </c>
      <c r="AI6277" s="17" t="str">
        <f>IF(AG6277="","",INDEX('Quitados DUPP'!$G$1:$G$6635,AG6277))</f>
        <v/>
      </c>
      <c r="AJ6277" s="17" t="str">
        <f t="shared" si="3"/>
        <v/>
      </c>
    </row>
    <row r="6278" spans="31:36">
      <c r="AE6278" s="15" t="str">
        <f t="shared" si="0"/>
        <v/>
      </c>
      <c r="AF6278" s="15" t="str">
        <f t="shared" si="1"/>
        <v/>
      </c>
      <c r="AG6278" s="15" t="str">
        <f>IF(OR(AF6278="",AF6278="ERRO_CHAVE"),"",IFERROR(MATCH(AF6278,'Quitados DUPP'!$U$1:$U$6635,0),""))</f>
        <v/>
      </c>
      <c r="AH6278" s="15" t="str">
        <f t="shared" si="2"/>
        <v/>
      </c>
      <c r="AI6278" s="17" t="str">
        <f>IF(AG6278="","",INDEX('Quitados DUPP'!$G$1:$G$6635,AG6278))</f>
        <v/>
      </c>
      <c r="AJ6278" s="17" t="str">
        <f t="shared" si="3"/>
        <v/>
      </c>
    </row>
    <row r="6279" spans="31:36">
      <c r="AE6279" s="15" t="str">
        <f t="shared" si="0"/>
        <v/>
      </c>
      <c r="AF6279" s="15" t="str">
        <f t="shared" si="1"/>
        <v/>
      </c>
      <c r="AG6279" s="15" t="str">
        <f>IF(OR(AF6279="",AF6279="ERRO_CHAVE"),"",IFERROR(MATCH(AF6279,'Quitados DUPP'!$U$1:$U$6635,0),""))</f>
        <v/>
      </c>
      <c r="AH6279" s="15" t="str">
        <f t="shared" si="2"/>
        <v/>
      </c>
      <c r="AI6279" s="17" t="str">
        <f>IF(AG6279="","",INDEX('Quitados DUPP'!$G$1:$G$6635,AG6279))</f>
        <v/>
      </c>
      <c r="AJ6279" s="17" t="str">
        <f t="shared" si="3"/>
        <v/>
      </c>
    </row>
    <row r="6280" spans="31:36">
      <c r="AE6280" s="15" t="str">
        <f t="shared" si="0"/>
        <v/>
      </c>
      <c r="AF6280" s="15" t="str">
        <f t="shared" si="1"/>
        <v/>
      </c>
      <c r="AG6280" s="15" t="str">
        <f>IF(OR(AF6280="",AF6280="ERRO_CHAVE"),"",IFERROR(MATCH(AF6280,'Quitados DUPP'!$U$1:$U$6635,0),""))</f>
        <v/>
      </c>
      <c r="AH6280" s="15" t="str">
        <f t="shared" si="2"/>
        <v/>
      </c>
      <c r="AI6280" s="17" t="str">
        <f>IF(AG6280="","",INDEX('Quitados DUPP'!$G$1:$G$6635,AG6280))</f>
        <v/>
      </c>
      <c r="AJ6280" s="17" t="str">
        <f t="shared" si="3"/>
        <v/>
      </c>
    </row>
    <row r="6281" spans="31:36">
      <c r="AE6281" s="15" t="str">
        <f t="shared" si="0"/>
        <v/>
      </c>
      <c r="AF6281" s="15" t="str">
        <f t="shared" si="1"/>
        <v/>
      </c>
      <c r="AG6281" s="15" t="str">
        <f>IF(OR(AF6281="",AF6281="ERRO_CHAVE"),"",IFERROR(MATCH(AF6281,'Quitados DUPP'!$U$1:$U$6635,0),""))</f>
        <v/>
      </c>
      <c r="AH6281" s="15" t="str">
        <f t="shared" si="2"/>
        <v/>
      </c>
      <c r="AI6281" s="17" t="str">
        <f>IF(AG6281="","",INDEX('Quitados DUPP'!$G$1:$G$6635,AG6281))</f>
        <v/>
      </c>
      <c r="AJ6281" s="17" t="str">
        <f t="shared" si="3"/>
        <v/>
      </c>
    </row>
    <row r="6282" spans="31:36">
      <c r="AE6282" s="15" t="str">
        <f t="shared" si="0"/>
        <v/>
      </c>
      <c r="AF6282" s="15" t="str">
        <f t="shared" si="1"/>
        <v/>
      </c>
      <c r="AG6282" s="15" t="str">
        <f>IF(OR(AF6282="",AF6282="ERRO_CHAVE"),"",IFERROR(MATCH(AF6282,'Quitados DUPP'!$U$1:$U$6635,0),""))</f>
        <v/>
      </c>
      <c r="AH6282" s="15" t="str">
        <f t="shared" si="2"/>
        <v/>
      </c>
      <c r="AI6282" s="17" t="str">
        <f>IF(AG6282="","",INDEX('Quitados DUPP'!$G$1:$G$6635,AG6282))</f>
        <v/>
      </c>
      <c r="AJ6282" s="17" t="str">
        <f t="shared" si="3"/>
        <v/>
      </c>
    </row>
    <row r="6283" spans="31:36">
      <c r="AE6283" s="15" t="str">
        <f t="shared" si="0"/>
        <v/>
      </c>
      <c r="AF6283" s="15" t="str">
        <f t="shared" si="1"/>
        <v/>
      </c>
      <c r="AG6283" s="15" t="str">
        <f>IF(OR(AF6283="",AF6283="ERRO_CHAVE"),"",IFERROR(MATCH(AF6283,'Quitados DUPP'!$U$1:$U$6635,0),""))</f>
        <v/>
      </c>
      <c r="AH6283" s="15" t="str">
        <f t="shared" si="2"/>
        <v/>
      </c>
      <c r="AI6283" s="17" t="str">
        <f>IF(AG6283="","",INDEX('Quitados DUPP'!$G$1:$G$6635,AG6283))</f>
        <v/>
      </c>
      <c r="AJ6283" s="17" t="str">
        <f t="shared" si="3"/>
        <v/>
      </c>
    </row>
    <row r="6284" spans="31:36">
      <c r="AE6284" s="15" t="str">
        <f t="shared" si="0"/>
        <v/>
      </c>
      <c r="AF6284" s="15" t="str">
        <f t="shared" si="1"/>
        <v/>
      </c>
      <c r="AG6284" s="15" t="str">
        <f>IF(OR(AF6284="",AF6284="ERRO_CHAVE"),"",IFERROR(MATCH(AF6284,'Quitados DUPP'!$U$1:$U$6635,0),""))</f>
        <v/>
      </c>
      <c r="AH6284" s="15" t="str">
        <f t="shared" si="2"/>
        <v/>
      </c>
      <c r="AI6284" s="17" t="str">
        <f>IF(AG6284="","",INDEX('Quitados DUPP'!$G$1:$G$6635,AG6284))</f>
        <v/>
      </c>
      <c r="AJ6284" s="17" t="str">
        <f t="shared" si="3"/>
        <v/>
      </c>
    </row>
    <row r="6285" spans="31:36">
      <c r="AE6285" s="15" t="str">
        <f t="shared" si="0"/>
        <v/>
      </c>
      <c r="AF6285" s="15" t="str">
        <f t="shared" si="1"/>
        <v/>
      </c>
      <c r="AG6285" s="15" t="str">
        <f>IF(OR(AF6285="",AF6285="ERRO_CHAVE"),"",IFERROR(MATCH(AF6285,'Quitados DUPP'!$U$1:$U$6635,0),""))</f>
        <v/>
      </c>
      <c r="AH6285" s="15" t="str">
        <f t="shared" si="2"/>
        <v/>
      </c>
      <c r="AI6285" s="17" t="str">
        <f>IF(AG6285="","",INDEX('Quitados DUPP'!$G$1:$G$6635,AG6285))</f>
        <v/>
      </c>
      <c r="AJ6285" s="17" t="str">
        <f t="shared" si="3"/>
        <v/>
      </c>
    </row>
    <row r="6286" spans="31:36">
      <c r="AE6286" s="15" t="str">
        <f t="shared" si="0"/>
        <v/>
      </c>
      <c r="AF6286" s="15" t="str">
        <f t="shared" si="1"/>
        <v/>
      </c>
      <c r="AG6286" s="15" t="str">
        <f>IF(OR(AF6286="",AF6286="ERRO_CHAVE"),"",IFERROR(MATCH(AF6286,'Quitados DUPP'!$U$1:$U$6635,0),""))</f>
        <v/>
      </c>
      <c r="AH6286" s="15" t="str">
        <f t="shared" si="2"/>
        <v/>
      </c>
      <c r="AI6286" s="17" t="str">
        <f>IF(AG6286="","",INDEX('Quitados DUPP'!$G$1:$G$6635,AG6286))</f>
        <v/>
      </c>
      <c r="AJ6286" s="17" t="str">
        <f t="shared" si="3"/>
        <v/>
      </c>
    </row>
    <row r="6287" spans="31:36">
      <c r="AE6287" s="15" t="str">
        <f t="shared" si="0"/>
        <v/>
      </c>
      <c r="AF6287" s="15" t="str">
        <f t="shared" si="1"/>
        <v/>
      </c>
      <c r="AG6287" s="15" t="str">
        <f>IF(OR(AF6287="",AF6287="ERRO_CHAVE"),"",IFERROR(MATCH(AF6287,'Quitados DUPP'!$U$1:$U$6635,0),""))</f>
        <v/>
      </c>
      <c r="AH6287" s="15" t="str">
        <f t="shared" si="2"/>
        <v/>
      </c>
      <c r="AI6287" s="17" t="str">
        <f>IF(AG6287="","",INDEX('Quitados DUPP'!$G$1:$G$6635,AG6287))</f>
        <v/>
      </c>
      <c r="AJ6287" s="17" t="str">
        <f t="shared" si="3"/>
        <v/>
      </c>
    </row>
    <row r="6288" spans="31:36">
      <c r="AE6288" s="15" t="str">
        <f t="shared" si="0"/>
        <v/>
      </c>
      <c r="AF6288" s="15" t="str">
        <f t="shared" si="1"/>
        <v/>
      </c>
      <c r="AG6288" s="15" t="str">
        <f>IF(OR(AF6288="",AF6288="ERRO_CHAVE"),"",IFERROR(MATCH(AF6288,'Quitados DUPP'!$U$1:$U$6635,0),""))</f>
        <v/>
      </c>
      <c r="AH6288" s="15" t="str">
        <f t="shared" si="2"/>
        <v/>
      </c>
      <c r="AI6288" s="17" t="str">
        <f>IF(AG6288="","",INDEX('Quitados DUPP'!$G$1:$G$6635,AG6288))</f>
        <v/>
      </c>
      <c r="AJ6288" s="17" t="str">
        <f t="shared" si="3"/>
        <v/>
      </c>
    </row>
    <row r="6289" spans="31:36">
      <c r="AE6289" s="15" t="str">
        <f t="shared" si="0"/>
        <v/>
      </c>
      <c r="AF6289" s="15" t="str">
        <f t="shared" si="1"/>
        <v/>
      </c>
      <c r="AG6289" s="15" t="str">
        <f>IF(OR(AF6289="",AF6289="ERRO_CHAVE"),"",IFERROR(MATCH(AF6289,'Quitados DUPP'!$U$1:$U$6635,0),""))</f>
        <v/>
      </c>
      <c r="AH6289" s="15" t="str">
        <f t="shared" si="2"/>
        <v/>
      </c>
      <c r="AI6289" s="17" t="str">
        <f>IF(AG6289="","",INDEX('Quitados DUPP'!$G$1:$G$6635,AG6289))</f>
        <v/>
      </c>
      <c r="AJ6289" s="17" t="str">
        <f t="shared" si="3"/>
        <v/>
      </c>
    </row>
    <row r="6290" spans="31:36">
      <c r="AE6290" s="15" t="str">
        <f t="shared" si="0"/>
        <v/>
      </c>
      <c r="AF6290" s="15" t="str">
        <f t="shared" si="1"/>
        <v/>
      </c>
      <c r="AG6290" s="15" t="str">
        <f>IF(OR(AF6290="",AF6290="ERRO_CHAVE"),"",IFERROR(MATCH(AF6290,'Quitados DUPP'!$U$1:$U$6635,0),""))</f>
        <v/>
      </c>
      <c r="AH6290" s="15" t="str">
        <f t="shared" si="2"/>
        <v/>
      </c>
      <c r="AI6290" s="17" t="str">
        <f>IF(AG6290="","",INDEX('Quitados DUPP'!$G$1:$G$6635,AG6290))</f>
        <v/>
      </c>
      <c r="AJ6290" s="17" t="str">
        <f t="shared" si="3"/>
        <v/>
      </c>
    </row>
    <row r="6291" spans="31:36">
      <c r="AE6291" s="15" t="str">
        <f t="shared" si="0"/>
        <v/>
      </c>
      <c r="AF6291" s="15" t="str">
        <f t="shared" si="1"/>
        <v/>
      </c>
      <c r="AG6291" s="15" t="str">
        <f>IF(OR(AF6291="",AF6291="ERRO_CHAVE"),"",IFERROR(MATCH(AF6291,'Quitados DUPP'!$U$1:$U$6635,0),""))</f>
        <v/>
      </c>
      <c r="AH6291" s="15" t="str">
        <f t="shared" si="2"/>
        <v/>
      </c>
      <c r="AI6291" s="17" t="str">
        <f>IF(AG6291="","",INDEX('Quitados DUPP'!$G$1:$G$6635,AG6291))</f>
        <v/>
      </c>
      <c r="AJ6291" s="17" t="str">
        <f t="shared" si="3"/>
        <v/>
      </c>
    </row>
    <row r="6292" spans="31:36">
      <c r="AE6292" s="15" t="str">
        <f t="shared" si="0"/>
        <v/>
      </c>
      <c r="AF6292" s="15" t="str">
        <f t="shared" si="1"/>
        <v/>
      </c>
      <c r="AG6292" s="15" t="str">
        <f>IF(OR(AF6292="",AF6292="ERRO_CHAVE"),"",IFERROR(MATCH(AF6292,'Quitados DUPP'!$U$1:$U$6635,0),""))</f>
        <v/>
      </c>
      <c r="AH6292" s="15" t="str">
        <f t="shared" si="2"/>
        <v/>
      </c>
      <c r="AI6292" s="17" t="str">
        <f>IF(AG6292="","",INDEX('Quitados DUPP'!$G$1:$G$6635,AG6292))</f>
        <v/>
      </c>
      <c r="AJ6292" s="17" t="str">
        <f t="shared" si="3"/>
        <v/>
      </c>
    </row>
    <row r="6293" spans="31:36">
      <c r="AE6293" s="15" t="str">
        <f t="shared" si="0"/>
        <v/>
      </c>
      <c r="AF6293" s="15" t="str">
        <f t="shared" si="1"/>
        <v/>
      </c>
      <c r="AG6293" s="15" t="str">
        <f>IF(OR(AF6293="",AF6293="ERRO_CHAVE"),"",IFERROR(MATCH(AF6293,'Quitados DUPP'!$U$1:$U$6635,0),""))</f>
        <v/>
      </c>
      <c r="AH6293" s="15" t="str">
        <f t="shared" si="2"/>
        <v/>
      </c>
      <c r="AI6293" s="17" t="str">
        <f>IF(AG6293="","",INDEX('Quitados DUPP'!$G$1:$G$6635,AG6293))</f>
        <v/>
      </c>
      <c r="AJ6293" s="17" t="str">
        <f t="shared" si="3"/>
        <v/>
      </c>
    </row>
    <row r="6294" spans="31:36">
      <c r="AE6294" s="15" t="str">
        <f t="shared" si="0"/>
        <v/>
      </c>
      <c r="AF6294" s="15" t="str">
        <f t="shared" si="1"/>
        <v/>
      </c>
      <c r="AG6294" s="15" t="str">
        <f>IF(OR(AF6294="",AF6294="ERRO_CHAVE"),"",IFERROR(MATCH(AF6294,'Quitados DUPP'!$U$1:$U$6635,0),""))</f>
        <v/>
      </c>
      <c r="AH6294" s="15" t="str">
        <f t="shared" si="2"/>
        <v/>
      </c>
      <c r="AI6294" s="17" t="str">
        <f>IF(AG6294="","",INDEX('Quitados DUPP'!$G$1:$G$6635,AG6294))</f>
        <v/>
      </c>
      <c r="AJ6294" s="17" t="str">
        <f t="shared" si="3"/>
        <v/>
      </c>
    </row>
    <row r="6295" spans="31:36">
      <c r="AE6295" s="15" t="str">
        <f t="shared" si="0"/>
        <v/>
      </c>
      <c r="AF6295" s="15" t="str">
        <f t="shared" si="1"/>
        <v/>
      </c>
      <c r="AG6295" s="15" t="str">
        <f>IF(OR(AF6295="",AF6295="ERRO_CHAVE"),"",IFERROR(MATCH(AF6295,'Quitados DUPP'!$U$1:$U$6635,0),""))</f>
        <v/>
      </c>
      <c r="AH6295" s="15" t="str">
        <f t="shared" si="2"/>
        <v/>
      </c>
      <c r="AI6295" s="17" t="str">
        <f>IF(AG6295="","",INDEX('Quitados DUPP'!$G$1:$G$6635,AG6295))</f>
        <v/>
      </c>
      <c r="AJ6295" s="17" t="str">
        <f t="shared" si="3"/>
        <v/>
      </c>
    </row>
    <row r="6296" spans="31:36">
      <c r="AE6296" s="15" t="str">
        <f t="shared" si="0"/>
        <v/>
      </c>
      <c r="AF6296" s="15" t="str">
        <f t="shared" si="1"/>
        <v/>
      </c>
      <c r="AG6296" s="15" t="str">
        <f>IF(OR(AF6296="",AF6296="ERRO_CHAVE"),"",IFERROR(MATCH(AF6296,'Quitados DUPP'!$U$1:$U$6635,0),""))</f>
        <v/>
      </c>
      <c r="AH6296" s="15" t="str">
        <f t="shared" si="2"/>
        <v/>
      </c>
      <c r="AI6296" s="17" t="str">
        <f>IF(AG6296="","",INDEX('Quitados DUPP'!$G$1:$G$6635,AG6296))</f>
        <v/>
      </c>
      <c r="AJ6296" s="17" t="str">
        <f t="shared" si="3"/>
        <v/>
      </c>
    </row>
    <row r="6297" spans="31:36">
      <c r="AE6297" s="15" t="str">
        <f t="shared" si="0"/>
        <v/>
      </c>
      <c r="AF6297" s="15" t="str">
        <f t="shared" si="1"/>
        <v/>
      </c>
      <c r="AG6297" s="15" t="str">
        <f>IF(OR(AF6297="",AF6297="ERRO_CHAVE"),"",IFERROR(MATCH(AF6297,'Quitados DUPP'!$U$1:$U$6635,0),""))</f>
        <v/>
      </c>
      <c r="AH6297" s="15" t="str">
        <f t="shared" si="2"/>
        <v/>
      </c>
      <c r="AI6297" s="17" t="str">
        <f>IF(AG6297="","",INDEX('Quitados DUPP'!$G$1:$G$6635,AG6297))</f>
        <v/>
      </c>
      <c r="AJ6297" s="17" t="str">
        <f t="shared" si="3"/>
        <v/>
      </c>
    </row>
    <row r="6298" spans="31:36">
      <c r="AE6298" s="15" t="str">
        <f t="shared" si="0"/>
        <v/>
      </c>
      <c r="AF6298" s="15" t="str">
        <f t="shared" si="1"/>
        <v/>
      </c>
      <c r="AG6298" s="15" t="str">
        <f>IF(OR(AF6298="",AF6298="ERRO_CHAVE"),"",IFERROR(MATCH(AF6298,'Quitados DUPP'!$U$1:$U$6635,0),""))</f>
        <v/>
      </c>
      <c r="AH6298" s="15" t="str">
        <f t="shared" si="2"/>
        <v/>
      </c>
      <c r="AI6298" s="17" t="str">
        <f>IF(AG6298="","",INDEX('Quitados DUPP'!$G$1:$G$6635,AG6298))</f>
        <v/>
      </c>
      <c r="AJ6298" s="17" t="str">
        <f t="shared" si="3"/>
        <v/>
      </c>
    </row>
    <row r="6299" spans="31:36">
      <c r="AE6299" s="15" t="str">
        <f t="shared" si="0"/>
        <v/>
      </c>
      <c r="AF6299" s="15" t="str">
        <f t="shared" si="1"/>
        <v/>
      </c>
      <c r="AG6299" s="15" t="str">
        <f>IF(OR(AF6299="",AF6299="ERRO_CHAVE"),"",IFERROR(MATCH(AF6299,'Quitados DUPP'!$U$1:$U$6635,0),""))</f>
        <v/>
      </c>
      <c r="AH6299" s="15" t="str">
        <f t="shared" si="2"/>
        <v/>
      </c>
      <c r="AI6299" s="17" t="str">
        <f>IF(AG6299="","",INDEX('Quitados DUPP'!$G$1:$G$6635,AG6299))</f>
        <v/>
      </c>
      <c r="AJ6299" s="17" t="str">
        <f t="shared" si="3"/>
        <v/>
      </c>
    </row>
    <row r="6300" spans="31:36">
      <c r="AE6300" s="15" t="str">
        <f t="shared" si="0"/>
        <v/>
      </c>
      <c r="AF6300" s="15" t="str">
        <f t="shared" si="1"/>
        <v/>
      </c>
      <c r="AG6300" s="15" t="str">
        <f>IF(OR(AF6300="",AF6300="ERRO_CHAVE"),"",IFERROR(MATCH(AF6300,'Quitados DUPP'!$U$1:$U$6635,0),""))</f>
        <v/>
      </c>
      <c r="AH6300" s="15" t="str">
        <f t="shared" si="2"/>
        <v/>
      </c>
      <c r="AI6300" s="17" t="str">
        <f>IF(AG6300="","",INDEX('Quitados DUPP'!$G$1:$G$6635,AG6300))</f>
        <v/>
      </c>
      <c r="AJ6300" s="17" t="str">
        <f t="shared" si="3"/>
        <v/>
      </c>
    </row>
    <row r="6301" spans="31:36">
      <c r="AE6301" s="15" t="str">
        <f t="shared" si="0"/>
        <v/>
      </c>
      <c r="AF6301" s="15" t="str">
        <f t="shared" si="1"/>
        <v/>
      </c>
      <c r="AG6301" s="15" t="str">
        <f>IF(OR(AF6301="",AF6301="ERRO_CHAVE"),"",IFERROR(MATCH(AF6301,'Quitados DUPP'!$U$1:$U$6635,0),""))</f>
        <v/>
      </c>
      <c r="AH6301" s="15" t="str">
        <f t="shared" si="2"/>
        <v/>
      </c>
      <c r="AI6301" s="17" t="str">
        <f>IF(AG6301="","",INDEX('Quitados DUPP'!$G$1:$G$6635,AG6301))</f>
        <v/>
      </c>
      <c r="AJ6301" s="17" t="str">
        <f t="shared" si="3"/>
        <v/>
      </c>
    </row>
    <row r="6302" spans="31:36">
      <c r="AE6302" s="15" t="str">
        <f t="shared" si="0"/>
        <v/>
      </c>
      <c r="AF6302" s="15" t="str">
        <f t="shared" si="1"/>
        <v/>
      </c>
      <c r="AG6302" s="15" t="str">
        <f>IF(OR(AF6302="",AF6302="ERRO_CHAVE"),"",IFERROR(MATCH(AF6302,'Quitados DUPP'!$U$1:$U$6635,0),""))</f>
        <v/>
      </c>
      <c r="AH6302" s="15" t="str">
        <f t="shared" si="2"/>
        <v/>
      </c>
      <c r="AI6302" s="17" t="str">
        <f>IF(AG6302="","",INDEX('Quitados DUPP'!$G$1:$G$6635,AG6302))</f>
        <v/>
      </c>
      <c r="AJ6302" s="17" t="str">
        <f t="shared" si="3"/>
        <v/>
      </c>
    </row>
    <row r="6303" spans="31:36">
      <c r="AE6303" s="15" t="str">
        <f t="shared" si="0"/>
        <v/>
      </c>
      <c r="AF6303" s="15" t="str">
        <f t="shared" si="1"/>
        <v/>
      </c>
      <c r="AG6303" s="15" t="str">
        <f>IF(OR(AF6303="",AF6303="ERRO_CHAVE"),"",IFERROR(MATCH(AF6303,'Quitados DUPP'!$U$1:$U$6635,0),""))</f>
        <v/>
      </c>
      <c r="AH6303" s="15" t="str">
        <f t="shared" si="2"/>
        <v/>
      </c>
      <c r="AI6303" s="17" t="str">
        <f>IF(AG6303="","",INDEX('Quitados DUPP'!$G$1:$G$6635,AG6303))</f>
        <v/>
      </c>
      <c r="AJ6303" s="17" t="str">
        <f t="shared" si="3"/>
        <v/>
      </c>
    </row>
    <row r="6304" spans="31:36">
      <c r="AE6304" s="15" t="str">
        <f t="shared" si="0"/>
        <v/>
      </c>
      <c r="AF6304" s="15" t="str">
        <f t="shared" si="1"/>
        <v/>
      </c>
      <c r="AG6304" s="15" t="str">
        <f>IF(OR(AF6304="",AF6304="ERRO_CHAVE"),"",IFERROR(MATCH(AF6304,'Quitados DUPP'!$U$1:$U$6635,0),""))</f>
        <v/>
      </c>
      <c r="AH6304" s="15" t="str">
        <f t="shared" si="2"/>
        <v/>
      </c>
      <c r="AI6304" s="17" t="str">
        <f>IF(AG6304="","",INDEX('Quitados DUPP'!$G$1:$G$6635,AG6304))</f>
        <v/>
      </c>
      <c r="AJ6304" s="17" t="str">
        <f t="shared" si="3"/>
        <v/>
      </c>
    </row>
    <row r="6305" spans="31:36">
      <c r="AE6305" s="15" t="str">
        <f t="shared" si="0"/>
        <v/>
      </c>
      <c r="AF6305" s="15" t="str">
        <f t="shared" si="1"/>
        <v/>
      </c>
      <c r="AG6305" s="15" t="str">
        <f>IF(OR(AF6305="",AF6305="ERRO_CHAVE"),"",IFERROR(MATCH(AF6305,'Quitados DUPP'!$U$1:$U$6635,0),""))</f>
        <v/>
      </c>
      <c r="AH6305" s="15" t="str">
        <f t="shared" si="2"/>
        <v/>
      </c>
      <c r="AI6305" s="17" t="str">
        <f>IF(AG6305="","",INDEX('Quitados DUPP'!$G$1:$G$6635,AG6305))</f>
        <v/>
      </c>
      <c r="AJ6305" s="17" t="str">
        <f t="shared" si="3"/>
        <v/>
      </c>
    </row>
    <row r="6306" spans="31:36">
      <c r="AE6306" s="15" t="str">
        <f t="shared" si="0"/>
        <v/>
      </c>
      <c r="AF6306" s="15" t="str">
        <f t="shared" si="1"/>
        <v/>
      </c>
      <c r="AG6306" s="15" t="str">
        <f>IF(OR(AF6306="",AF6306="ERRO_CHAVE"),"",IFERROR(MATCH(AF6306,'Quitados DUPP'!$U$1:$U$6635,0),""))</f>
        <v/>
      </c>
      <c r="AH6306" s="15" t="str">
        <f t="shared" si="2"/>
        <v/>
      </c>
      <c r="AI6306" s="17" t="str">
        <f>IF(AG6306="","",INDEX('Quitados DUPP'!$G$1:$G$6635,AG6306))</f>
        <v/>
      </c>
      <c r="AJ6306" s="17" t="str">
        <f t="shared" si="3"/>
        <v/>
      </c>
    </row>
    <row r="6307" spans="31:36">
      <c r="AE6307" s="15" t="str">
        <f t="shared" si="0"/>
        <v/>
      </c>
      <c r="AF6307" s="15" t="str">
        <f t="shared" si="1"/>
        <v/>
      </c>
      <c r="AG6307" s="15" t="str">
        <f>IF(OR(AF6307="",AF6307="ERRO_CHAVE"),"",IFERROR(MATCH(AF6307,'Quitados DUPP'!$U$1:$U$6635,0),""))</f>
        <v/>
      </c>
      <c r="AH6307" s="15" t="str">
        <f t="shared" si="2"/>
        <v/>
      </c>
      <c r="AI6307" s="17" t="str">
        <f>IF(AG6307="","",INDEX('Quitados DUPP'!$G$1:$G$6635,AG6307))</f>
        <v/>
      </c>
      <c r="AJ6307" s="17" t="str">
        <f t="shared" si="3"/>
        <v/>
      </c>
    </row>
    <row r="6308" spans="31:36">
      <c r="AE6308" s="15" t="str">
        <f t="shared" si="0"/>
        <v/>
      </c>
      <c r="AF6308" s="15" t="str">
        <f t="shared" si="1"/>
        <v/>
      </c>
      <c r="AG6308" s="15" t="str">
        <f>IF(OR(AF6308="",AF6308="ERRO_CHAVE"),"",IFERROR(MATCH(AF6308,'Quitados DUPP'!$U$1:$U$6635,0),""))</f>
        <v/>
      </c>
      <c r="AH6308" s="15" t="str">
        <f t="shared" si="2"/>
        <v/>
      </c>
      <c r="AI6308" s="17" t="str">
        <f>IF(AG6308="","",INDEX('Quitados DUPP'!$G$1:$G$6635,AG6308))</f>
        <v/>
      </c>
      <c r="AJ6308" s="17" t="str">
        <f t="shared" si="3"/>
        <v/>
      </c>
    </row>
    <row r="6309" spans="31:36">
      <c r="AE6309" s="15" t="str">
        <f t="shared" si="0"/>
        <v/>
      </c>
      <c r="AF6309" s="15" t="str">
        <f t="shared" si="1"/>
        <v/>
      </c>
      <c r="AG6309" s="15" t="str">
        <f>IF(OR(AF6309="",AF6309="ERRO_CHAVE"),"",IFERROR(MATCH(AF6309,'Quitados DUPP'!$U$1:$U$6635,0),""))</f>
        <v/>
      </c>
      <c r="AH6309" s="15" t="str">
        <f t="shared" si="2"/>
        <v/>
      </c>
      <c r="AI6309" s="17" t="str">
        <f>IF(AG6309="","",INDEX('Quitados DUPP'!$G$1:$G$6635,AG6309))</f>
        <v/>
      </c>
      <c r="AJ6309" s="17" t="str">
        <f t="shared" si="3"/>
        <v/>
      </c>
    </row>
    <row r="6310" spans="31:36">
      <c r="AE6310" s="15" t="str">
        <f t="shared" si="0"/>
        <v/>
      </c>
      <c r="AF6310" s="15" t="str">
        <f t="shared" si="1"/>
        <v/>
      </c>
      <c r="AG6310" s="15" t="str">
        <f>IF(OR(AF6310="",AF6310="ERRO_CHAVE"),"",IFERROR(MATCH(AF6310,'Quitados DUPP'!$U$1:$U$6635,0),""))</f>
        <v/>
      </c>
      <c r="AH6310" s="15" t="str">
        <f t="shared" si="2"/>
        <v/>
      </c>
      <c r="AI6310" s="17" t="str">
        <f>IF(AG6310="","",INDEX('Quitados DUPP'!$G$1:$G$6635,AG6310))</f>
        <v/>
      </c>
      <c r="AJ6310" s="17" t="str">
        <f t="shared" si="3"/>
        <v/>
      </c>
    </row>
    <row r="6311" spans="31:36">
      <c r="AE6311" s="15" t="str">
        <f t="shared" si="0"/>
        <v/>
      </c>
      <c r="AF6311" s="15" t="str">
        <f t="shared" si="1"/>
        <v/>
      </c>
      <c r="AG6311" s="15" t="str">
        <f>IF(OR(AF6311="",AF6311="ERRO_CHAVE"),"",IFERROR(MATCH(AF6311,'Quitados DUPP'!$U$1:$U$6635,0),""))</f>
        <v/>
      </c>
      <c r="AH6311" s="15" t="str">
        <f t="shared" si="2"/>
        <v/>
      </c>
      <c r="AI6311" s="17" t="str">
        <f>IF(AG6311="","",INDEX('Quitados DUPP'!$G$1:$G$6635,AG6311))</f>
        <v/>
      </c>
      <c r="AJ6311" s="17" t="str">
        <f t="shared" si="3"/>
        <v/>
      </c>
    </row>
    <row r="6312" spans="31:36">
      <c r="AE6312" s="15" t="str">
        <f t="shared" si="0"/>
        <v/>
      </c>
      <c r="AF6312" s="15" t="str">
        <f t="shared" si="1"/>
        <v/>
      </c>
      <c r="AG6312" s="15" t="str">
        <f>IF(OR(AF6312="",AF6312="ERRO_CHAVE"),"",IFERROR(MATCH(AF6312,'Quitados DUPP'!$U$1:$U$6635,0),""))</f>
        <v/>
      </c>
      <c r="AH6312" s="15" t="str">
        <f t="shared" si="2"/>
        <v/>
      </c>
      <c r="AI6312" s="17" t="str">
        <f>IF(AG6312="","",INDEX('Quitados DUPP'!$G$1:$G$6635,AG6312))</f>
        <v/>
      </c>
      <c r="AJ6312" s="17" t="str">
        <f t="shared" si="3"/>
        <v/>
      </c>
    </row>
    <row r="6313" spans="31:36">
      <c r="AE6313" s="15" t="str">
        <f t="shared" si="0"/>
        <v/>
      </c>
      <c r="AF6313" s="15" t="str">
        <f t="shared" si="1"/>
        <v/>
      </c>
      <c r="AG6313" s="15" t="str">
        <f>IF(OR(AF6313="",AF6313="ERRO_CHAVE"),"",IFERROR(MATCH(AF6313,'Quitados DUPP'!$U$1:$U$6635,0),""))</f>
        <v/>
      </c>
      <c r="AH6313" s="15" t="str">
        <f t="shared" si="2"/>
        <v/>
      </c>
      <c r="AI6313" s="17" t="str">
        <f>IF(AG6313="","",INDEX('Quitados DUPP'!$G$1:$G$6635,AG6313))</f>
        <v/>
      </c>
      <c r="AJ6313" s="17" t="str">
        <f t="shared" si="3"/>
        <v/>
      </c>
    </row>
    <row r="6314" spans="31:36">
      <c r="AE6314" s="15" t="str">
        <f t="shared" si="0"/>
        <v/>
      </c>
      <c r="AF6314" s="15" t="str">
        <f t="shared" si="1"/>
        <v/>
      </c>
      <c r="AG6314" s="15" t="str">
        <f>IF(OR(AF6314="",AF6314="ERRO_CHAVE"),"",IFERROR(MATCH(AF6314,'Quitados DUPP'!$U$1:$U$6635,0),""))</f>
        <v/>
      </c>
      <c r="AH6314" s="15" t="str">
        <f t="shared" si="2"/>
        <v/>
      </c>
      <c r="AI6314" s="17" t="str">
        <f>IF(AG6314="","",INDEX('Quitados DUPP'!$G$1:$G$6635,AG6314))</f>
        <v/>
      </c>
      <c r="AJ6314" s="17" t="str">
        <f t="shared" si="3"/>
        <v/>
      </c>
    </row>
    <row r="6315" spans="31:36">
      <c r="AE6315" s="15" t="str">
        <f t="shared" si="0"/>
        <v/>
      </c>
      <c r="AF6315" s="15" t="str">
        <f t="shared" si="1"/>
        <v/>
      </c>
      <c r="AG6315" s="15" t="str">
        <f>IF(OR(AF6315="",AF6315="ERRO_CHAVE"),"",IFERROR(MATCH(AF6315,'Quitados DUPP'!$U$1:$U$6635,0),""))</f>
        <v/>
      </c>
      <c r="AH6315" s="15" t="str">
        <f t="shared" si="2"/>
        <v/>
      </c>
      <c r="AI6315" s="17" t="str">
        <f>IF(AG6315="","",INDEX('Quitados DUPP'!$G$1:$G$6635,AG6315))</f>
        <v/>
      </c>
      <c r="AJ6315" s="17" t="str">
        <f t="shared" si="3"/>
        <v/>
      </c>
    </row>
    <row r="6316" spans="31:36">
      <c r="AE6316" s="15" t="str">
        <f t="shared" si="0"/>
        <v/>
      </c>
      <c r="AF6316" s="15" t="str">
        <f t="shared" si="1"/>
        <v/>
      </c>
      <c r="AG6316" s="15" t="str">
        <f>IF(OR(AF6316="",AF6316="ERRO_CHAVE"),"",IFERROR(MATCH(AF6316,'Quitados DUPP'!$U$1:$U$6635,0),""))</f>
        <v/>
      </c>
      <c r="AH6316" s="15" t="str">
        <f t="shared" si="2"/>
        <v/>
      </c>
      <c r="AI6316" s="17" t="str">
        <f>IF(AG6316="","",INDEX('Quitados DUPP'!$G$1:$G$6635,AG6316))</f>
        <v/>
      </c>
      <c r="AJ6316" s="17" t="str">
        <f t="shared" si="3"/>
        <v/>
      </c>
    </row>
    <row r="6317" spans="31:36">
      <c r="AE6317" s="15" t="str">
        <f t="shared" si="0"/>
        <v/>
      </c>
      <c r="AF6317" s="15" t="str">
        <f t="shared" si="1"/>
        <v/>
      </c>
      <c r="AG6317" s="15" t="str">
        <f>IF(OR(AF6317="",AF6317="ERRO_CHAVE"),"",IFERROR(MATCH(AF6317,'Quitados DUPP'!$U$1:$U$6635,0),""))</f>
        <v/>
      </c>
      <c r="AH6317" s="15" t="str">
        <f t="shared" si="2"/>
        <v/>
      </c>
      <c r="AI6317" s="17" t="str">
        <f>IF(AG6317="","",INDEX('Quitados DUPP'!$G$1:$G$6635,AG6317))</f>
        <v/>
      </c>
      <c r="AJ6317" s="17" t="str">
        <f t="shared" si="3"/>
        <v/>
      </c>
    </row>
    <row r="6318" spans="31:36">
      <c r="AE6318" s="15" t="str">
        <f t="shared" si="0"/>
        <v/>
      </c>
      <c r="AF6318" s="15" t="str">
        <f t="shared" si="1"/>
        <v/>
      </c>
      <c r="AG6318" s="15" t="str">
        <f>IF(OR(AF6318="",AF6318="ERRO_CHAVE"),"",IFERROR(MATCH(AF6318,'Quitados DUPP'!$U$1:$U$6635,0),""))</f>
        <v/>
      </c>
      <c r="AH6318" s="15" t="str">
        <f t="shared" si="2"/>
        <v/>
      </c>
      <c r="AI6318" s="17" t="str">
        <f>IF(AG6318="","",INDEX('Quitados DUPP'!$G$1:$G$6635,AG6318))</f>
        <v/>
      </c>
      <c r="AJ6318" s="17" t="str">
        <f t="shared" si="3"/>
        <v/>
      </c>
    </row>
    <row r="6319" spans="31:36">
      <c r="AE6319" s="15" t="str">
        <f t="shared" si="0"/>
        <v/>
      </c>
      <c r="AF6319" s="15" t="str">
        <f t="shared" si="1"/>
        <v/>
      </c>
      <c r="AG6319" s="15" t="str">
        <f>IF(OR(AF6319="",AF6319="ERRO_CHAVE"),"",IFERROR(MATCH(AF6319,'Quitados DUPP'!$U$1:$U$6635,0),""))</f>
        <v/>
      </c>
      <c r="AH6319" s="15" t="str">
        <f t="shared" si="2"/>
        <v/>
      </c>
      <c r="AI6319" s="17" t="str">
        <f>IF(AG6319="","",INDEX('Quitados DUPP'!$G$1:$G$6635,AG6319))</f>
        <v/>
      </c>
      <c r="AJ6319" s="17" t="str">
        <f t="shared" si="3"/>
        <v/>
      </c>
    </row>
    <row r="6320" spans="31:36">
      <c r="AE6320" s="15" t="str">
        <f t="shared" si="0"/>
        <v/>
      </c>
      <c r="AF6320" s="15" t="str">
        <f t="shared" si="1"/>
        <v/>
      </c>
      <c r="AG6320" s="15" t="str">
        <f>IF(OR(AF6320="",AF6320="ERRO_CHAVE"),"",IFERROR(MATCH(AF6320,'Quitados DUPP'!$U$1:$U$6635,0),""))</f>
        <v/>
      </c>
      <c r="AH6320" s="15" t="str">
        <f t="shared" si="2"/>
        <v/>
      </c>
      <c r="AI6320" s="17" t="str">
        <f>IF(AG6320="","",INDEX('Quitados DUPP'!$G$1:$G$6635,AG6320))</f>
        <v/>
      </c>
      <c r="AJ6320" s="17" t="str">
        <f t="shared" si="3"/>
        <v/>
      </c>
    </row>
    <row r="6321" spans="31:36">
      <c r="AE6321" s="15" t="str">
        <f t="shared" si="0"/>
        <v/>
      </c>
      <c r="AF6321" s="15" t="str">
        <f t="shared" si="1"/>
        <v/>
      </c>
      <c r="AG6321" s="15" t="str">
        <f>IF(OR(AF6321="",AF6321="ERRO_CHAVE"),"",IFERROR(MATCH(AF6321,'Quitados DUPP'!$U$1:$U$6635,0),""))</f>
        <v/>
      </c>
      <c r="AH6321" s="15" t="str">
        <f t="shared" si="2"/>
        <v/>
      </c>
      <c r="AI6321" s="17" t="str">
        <f>IF(AG6321="","",INDEX('Quitados DUPP'!$G$1:$G$6635,AG6321))</f>
        <v/>
      </c>
      <c r="AJ6321" s="17" t="str">
        <f t="shared" si="3"/>
        <v/>
      </c>
    </row>
    <row r="6322" spans="31:36">
      <c r="AE6322" s="15" t="str">
        <f t="shared" si="0"/>
        <v/>
      </c>
      <c r="AF6322" s="15" t="str">
        <f t="shared" si="1"/>
        <v/>
      </c>
      <c r="AG6322" s="15" t="str">
        <f>IF(OR(AF6322="",AF6322="ERRO_CHAVE"),"",IFERROR(MATCH(AF6322,'Quitados DUPP'!$U$1:$U$6635,0),""))</f>
        <v/>
      </c>
      <c r="AH6322" s="15" t="str">
        <f t="shared" si="2"/>
        <v/>
      </c>
      <c r="AI6322" s="17" t="str">
        <f>IF(AG6322="","",INDEX('Quitados DUPP'!$G$1:$G$6635,AG6322))</f>
        <v/>
      </c>
      <c r="AJ6322" s="17" t="str">
        <f t="shared" si="3"/>
        <v/>
      </c>
    </row>
    <row r="6323" spans="31:36">
      <c r="AE6323" s="15" t="str">
        <f t="shared" si="0"/>
        <v/>
      </c>
      <c r="AF6323" s="15" t="str">
        <f t="shared" si="1"/>
        <v/>
      </c>
      <c r="AG6323" s="15" t="str">
        <f>IF(OR(AF6323="",AF6323="ERRO_CHAVE"),"",IFERROR(MATCH(AF6323,'Quitados DUPP'!$U$1:$U$6635,0),""))</f>
        <v/>
      </c>
      <c r="AH6323" s="15" t="str">
        <f t="shared" si="2"/>
        <v/>
      </c>
      <c r="AI6323" s="17" t="str">
        <f>IF(AG6323="","",INDEX('Quitados DUPP'!$G$1:$G$6635,AG6323))</f>
        <v/>
      </c>
      <c r="AJ6323" s="17" t="str">
        <f t="shared" si="3"/>
        <v/>
      </c>
    </row>
    <row r="6324" spans="31:36">
      <c r="AE6324" s="15" t="str">
        <f t="shared" si="0"/>
        <v/>
      </c>
      <c r="AF6324" s="15" t="str">
        <f t="shared" si="1"/>
        <v/>
      </c>
      <c r="AG6324" s="15" t="str">
        <f>IF(OR(AF6324="",AF6324="ERRO_CHAVE"),"",IFERROR(MATCH(AF6324,'Quitados DUPP'!$U$1:$U$6635,0),""))</f>
        <v/>
      </c>
      <c r="AH6324" s="15" t="str">
        <f t="shared" si="2"/>
        <v/>
      </c>
      <c r="AI6324" s="17" t="str">
        <f>IF(AG6324="","",INDEX('Quitados DUPP'!$G$1:$G$6635,AG6324))</f>
        <v/>
      </c>
      <c r="AJ6324" s="17" t="str">
        <f t="shared" si="3"/>
        <v/>
      </c>
    </row>
    <row r="6325" spans="31:36">
      <c r="AE6325" s="15" t="str">
        <f t="shared" si="0"/>
        <v/>
      </c>
      <c r="AF6325" s="15" t="str">
        <f t="shared" si="1"/>
        <v/>
      </c>
      <c r="AG6325" s="15" t="str">
        <f>IF(OR(AF6325="",AF6325="ERRO_CHAVE"),"",IFERROR(MATCH(AF6325,'Quitados DUPP'!$U$1:$U$6635,0),""))</f>
        <v/>
      </c>
      <c r="AH6325" s="15" t="str">
        <f t="shared" si="2"/>
        <v/>
      </c>
      <c r="AI6325" s="17" t="str">
        <f>IF(AG6325="","",INDEX('Quitados DUPP'!$G$1:$G$6635,AG6325))</f>
        <v/>
      </c>
      <c r="AJ6325" s="17" t="str">
        <f t="shared" si="3"/>
        <v/>
      </c>
    </row>
    <row r="6326" spans="31:36">
      <c r="AE6326" s="15" t="str">
        <f t="shared" si="0"/>
        <v/>
      </c>
      <c r="AF6326" s="15" t="str">
        <f t="shared" si="1"/>
        <v/>
      </c>
      <c r="AG6326" s="15" t="str">
        <f>IF(OR(AF6326="",AF6326="ERRO_CHAVE"),"",IFERROR(MATCH(AF6326,'Quitados DUPP'!$U$1:$U$6635,0),""))</f>
        <v/>
      </c>
      <c r="AH6326" s="15" t="str">
        <f t="shared" si="2"/>
        <v/>
      </c>
      <c r="AI6326" s="17" t="str">
        <f>IF(AG6326="","",INDEX('Quitados DUPP'!$G$1:$G$6635,AG6326))</f>
        <v/>
      </c>
      <c r="AJ6326" s="17" t="str">
        <f t="shared" si="3"/>
        <v/>
      </c>
    </row>
    <row r="6327" spans="31:36">
      <c r="AE6327" s="15" t="str">
        <f t="shared" si="0"/>
        <v/>
      </c>
      <c r="AF6327" s="15" t="str">
        <f t="shared" si="1"/>
        <v/>
      </c>
      <c r="AG6327" s="15" t="str">
        <f>IF(OR(AF6327="",AF6327="ERRO_CHAVE"),"",IFERROR(MATCH(AF6327,'Quitados DUPP'!$U$1:$U$6635,0),""))</f>
        <v/>
      </c>
      <c r="AH6327" s="15" t="str">
        <f t="shared" si="2"/>
        <v/>
      </c>
      <c r="AI6327" s="17" t="str">
        <f>IF(AG6327="","",INDEX('Quitados DUPP'!$G$1:$G$6635,AG6327))</f>
        <v/>
      </c>
      <c r="AJ6327" s="17" t="str">
        <f t="shared" si="3"/>
        <v/>
      </c>
    </row>
    <row r="6328" spans="31:36">
      <c r="AE6328" s="15" t="str">
        <f t="shared" si="0"/>
        <v/>
      </c>
      <c r="AF6328" s="15" t="str">
        <f t="shared" si="1"/>
        <v/>
      </c>
      <c r="AG6328" s="15" t="str">
        <f>IF(OR(AF6328="",AF6328="ERRO_CHAVE"),"",IFERROR(MATCH(AF6328,'Quitados DUPP'!$U$1:$U$6635,0),""))</f>
        <v/>
      </c>
      <c r="AH6328" s="15" t="str">
        <f t="shared" si="2"/>
        <v/>
      </c>
      <c r="AI6328" s="17" t="str">
        <f>IF(AG6328="","",INDEX('Quitados DUPP'!$G$1:$G$6635,AG6328))</f>
        <v/>
      </c>
      <c r="AJ6328" s="17" t="str">
        <f t="shared" si="3"/>
        <v/>
      </c>
    </row>
    <row r="6329" spans="31:36">
      <c r="AE6329" s="15" t="str">
        <f t="shared" si="0"/>
        <v/>
      </c>
      <c r="AF6329" s="15" t="str">
        <f t="shared" si="1"/>
        <v/>
      </c>
      <c r="AG6329" s="15" t="str">
        <f>IF(OR(AF6329="",AF6329="ERRO_CHAVE"),"",IFERROR(MATCH(AF6329,'Quitados DUPP'!$U$1:$U$6635,0),""))</f>
        <v/>
      </c>
      <c r="AH6329" s="15" t="str">
        <f t="shared" si="2"/>
        <v/>
      </c>
      <c r="AI6329" s="17" t="str">
        <f>IF(AG6329="","",INDEX('Quitados DUPP'!$G$1:$G$6635,AG6329))</f>
        <v/>
      </c>
      <c r="AJ6329" s="17" t="str">
        <f t="shared" si="3"/>
        <v/>
      </c>
    </row>
    <row r="6330" spans="31:36">
      <c r="AE6330" s="15" t="str">
        <f t="shared" si="0"/>
        <v/>
      </c>
      <c r="AF6330" s="15" t="str">
        <f t="shared" si="1"/>
        <v/>
      </c>
      <c r="AG6330" s="15" t="str">
        <f>IF(OR(AF6330="",AF6330="ERRO_CHAVE"),"",IFERROR(MATCH(AF6330,'Quitados DUPP'!$U$1:$U$6635,0),""))</f>
        <v/>
      </c>
      <c r="AH6330" s="15" t="str">
        <f t="shared" si="2"/>
        <v/>
      </c>
      <c r="AI6330" s="17" t="str">
        <f>IF(AG6330="","",INDEX('Quitados DUPP'!$G$1:$G$6635,AG6330))</f>
        <v/>
      </c>
      <c r="AJ6330" s="17" t="str">
        <f t="shared" si="3"/>
        <v/>
      </c>
    </row>
    <row r="6331" spans="31:36">
      <c r="AE6331" s="15" t="str">
        <f t="shared" si="0"/>
        <v/>
      </c>
      <c r="AF6331" s="15" t="str">
        <f t="shared" si="1"/>
        <v/>
      </c>
      <c r="AG6331" s="15" t="str">
        <f>IF(OR(AF6331="",AF6331="ERRO_CHAVE"),"",IFERROR(MATCH(AF6331,'Quitados DUPP'!$U$1:$U$6635,0),""))</f>
        <v/>
      </c>
      <c r="AH6331" s="15" t="str">
        <f t="shared" si="2"/>
        <v/>
      </c>
      <c r="AI6331" s="17" t="str">
        <f>IF(AG6331="","",INDEX('Quitados DUPP'!$G$1:$G$6635,AG6331))</f>
        <v/>
      </c>
      <c r="AJ6331" s="17" t="str">
        <f t="shared" si="3"/>
        <v/>
      </c>
    </row>
    <row r="6332" spans="31:36">
      <c r="AE6332" s="15" t="str">
        <f t="shared" si="0"/>
        <v/>
      </c>
      <c r="AF6332" s="15" t="str">
        <f t="shared" si="1"/>
        <v/>
      </c>
      <c r="AG6332" s="15" t="str">
        <f>IF(OR(AF6332="",AF6332="ERRO_CHAVE"),"",IFERROR(MATCH(AF6332,'Quitados DUPP'!$U$1:$U$6635,0),""))</f>
        <v/>
      </c>
      <c r="AH6332" s="15" t="str">
        <f t="shared" si="2"/>
        <v/>
      </c>
      <c r="AI6332" s="17" t="str">
        <f>IF(AG6332="","",INDEX('Quitados DUPP'!$G$1:$G$6635,AG6332))</f>
        <v/>
      </c>
      <c r="AJ6332" s="17" t="str">
        <f t="shared" si="3"/>
        <v/>
      </c>
    </row>
    <row r="6333" spans="31:36">
      <c r="AE6333" s="15" t="str">
        <f t="shared" si="0"/>
        <v/>
      </c>
      <c r="AF6333" s="15" t="str">
        <f t="shared" si="1"/>
        <v/>
      </c>
      <c r="AG6333" s="15" t="str">
        <f>IF(OR(AF6333="",AF6333="ERRO_CHAVE"),"",IFERROR(MATCH(AF6333,'Quitados DUPP'!$U$1:$U$6635,0),""))</f>
        <v/>
      </c>
      <c r="AH6333" s="15" t="str">
        <f t="shared" si="2"/>
        <v/>
      </c>
      <c r="AI6333" s="17" t="str">
        <f>IF(AG6333="","",INDEX('Quitados DUPP'!$G$1:$G$6635,AG6333))</f>
        <v/>
      </c>
      <c r="AJ6333" s="17" t="str">
        <f t="shared" si="3"/>
        <v/>
      </c>
    </row>
    <row r="6334" spans="31:36">
      <c r="AE6334" s="15" t="str">
        <f t="shared" si="0"/>
        <v/>
      </c>
      <c r="AF6334" s="15" t="str">
        <f t="shared" si="1"/>
        <v/>
      </c>
      <c r="AG6334" s="15" t="str">
        <f>IF(OR(AF6334="",AF6334="ERRO_CHAVE"),"",IFERROR(MATCH(AF6334,'Quitados DUPP'!$U$1:$U$6635,0),""))</f>
        <v/>
      </c>
      <c r="AH6334" s="15" t="str">
        <f t="shared" si="2"/>
        <v/>
      </c>
      <c r="AI6334" s="17" t="str">
        <f>IF(AG6334="","",INDEX('Quitados DUPP'!$G$1:$G$6635,AG6334))</f>
        <v/>
      </c>
      <c r="AJ6334" s="17" t="str">
        <f t="shared" si="3"/>
        <v/>
      </c>
    </row>
    <row r="6335" spans="31:36">
      <c r="AE6335" s="15" t="str">
        <f t="shared" si="0"/>
        <v/>
      </c>
      <c r="AF6335" s="15" t="str">
        <f t="shared" si="1"/>
        <v/>
      </c>
      <c r="AG6335" s="15" t="str">
        <f>IF(OR(AF6335="",AF6335="ERRO_CHAVE"),"",IFERROR(MATCH(AF6335,'Quitados DUPP'!$U$1:$U$6635,0),""))</f>
        <v/>
      </c>
      <c r="AH6335" s="15" t="str">
        <f t="shared" si="2"/>
        <v/>
      </c>
      <c r="AI6335" s="17" t="str">
        <f>IF(AG6335="","",INDEX('Quitados DUPP'!$G$1:$G$6635,AG6335))</f>
        <v/>
      </c>
      <c r="AJ6335" s="17" t="str">
        <f t="shared" si="3"/>
        <v/>
      </c>
    </row>
    <row r="6336" spans="31:36">
      <c r="AE6336" s="15" t="str">
        <f t="shared" si="0"/>
        <v/>
      </c>
      <c r="AF6336" s="15" t="str">
        <f t="shared" si="1"/>
        <v/>
      </c>
      <c r="AG6336" s="15" t="str">
        <f>IF(OR(AF6336="",AF6336="ERRO_CHAVE"),"",IFERROR(MATCH(AF6336,'Quitados DUPP'!$U$1:$U$6635,0),""))</f>
        <v/>
      </c>
      <c r="AH6336" s="15" t="str">
        <f t="shared" si="2"/>
        <v/>
      </c>
      <c r="AI6336" s="17" t="str">
        <f>IF(AG6336="","",INDEX('Quitados DUPP'!$G$1:$G$6635,AG6336))</f>
        <v/>
      </c>
      <c r="AJ6336" s="17" t="str">
        <f t="shared" si="3"/>
        <v/>
      </c>
    </row>
    <row r="6337" spans="31:36">
      <c r="AE6337" s="15" t="str">
        <f t="shared" si="0"/>
        <v/>
      </c>
      <c r="AF6337" s="15" t="str">
        <f t="shared" si="1"/>
        <v/>
      </c>
      <c r="AG6337" s="15" t="str">
        <f>IF(OR(AF6337="",AF6337="ERRO_CHAVE"),"",IFERROR(MATCH(AF6337,'Quitados DUPP'!$U$1:$U$6635,0),""))</f>
        <v/>
      </c>
      <c r="AH6337" s="15" t="str">
        <f t="shared" si="2"/>
        <v/>
      </c>
      <c r="AI6337" s="17" t="str">
        <f>IF(AG6337="","",INDEX('Quitados DUPP'!$G$1:$G$6635,AG6337))</f>
        <v/>
      </c>
      <c r="AJ6337" s="17" t="str">
        <f t="shared" si="3"/>
        <v/>
      </c>
    </row>
    <row r="6338" spans="31:36">
      <c r="AE6338" s="15" t="str">
        <f t="shared" si="0"/>
        <v/>
      </c>
      <c r="AF6338" s="15" t="str">
        <f t="shared" si="1"/>
        <v/>
      </c>
      <c r="AG6338" s="15" t="str">
        <f>IF(OR(AF6338="",AF6338="ERRO_CHAVE"),"",IFERROR(MATCH(AF6338,'Quitados DUPP'!$U$1:$U$6635,0),""))</f>
        <v/>
      </c>
      <c r="AH6338" s="15" t="str">
        <f t="shared" si="2"/>
        <v/>
      </c>
      <c r="AI6338" s="17" t="str">
        <f>IF(AG6338="","",INDEX('Quitados DUPP'!$G$1:$G$6635,AG6338))</f>
        <v/>
      </c>
      <c r="AJ6338" s="17" t="str">
        <f t="shared" si="3"/>
        <v/>
      </c>
    </row>
    <row r="6339" spans="31:36">
      <c r="AE6339" s="15" t="str">
        <f t="shared" si="0"/>
        <v/>
      </c>
      <c r="AF6339" s="15" t="str">
        <f t="shared" si="1"/>
        <v/>
      </c>
      <c r="AG6339" s="15" t="str">
        <f>IF(OR(AF6339="",AF6339="ERRO_CHAVE"),"",IFERROR(MATCH(AF6339,'Quitados DUPP'!$U$1:$U$6635,0),""))</f>
        <v/>
      </c>
      <c r="AH6339" s="15" t="str">
        <f t="shared" si="2"/>
        <v/>
      </c>
      <c r="AI6339" s="17" t="str">
        <f>IF(AG6339="","",INDEX('Quitados DUPP'!$G$1:$G$6635,AG6339))</f>
        <v/>
      </c>
      <c r="AJ6339" s="17" t="str">
        <f t="shared" si="3"/>
        <v/>
      </c>
    </row>
    <row r="6340" spans="31:36">
      <c r="AE6340" s="15" t="str">
        <f t="shared" si="0"/>
        <v/>
      </c>
      <c r="AF6340" s="15" t="str">
        <f t="shared" si="1"/>
        <v/>
      </c>
      <c r="AG6340" s="15" t="str">
        <f>IF(OR(AF6340="",AF6340="ERRO_CHAVE"),"",IFERROR(MATCH(AF6340,'Quitados DUPP'!$U$1:$U$6635,0),""))</f>
        <v/>
      </c>
      <c r="AH6340" s="15" t="str">
        <f t="shared" si="2"/>
        <v/>
      </c>
      <c r="AI6340" s="17" t="str">
        <f>IF(AG6340="","",INDEX('Quitados DUPP'!$G$1:$G$6635,AG6340))</f>
        <v/>
      </c>
      <c r="AJ6340" s="17" t="str">
        <f t="shared" si="3"/>
        <v/>
      </c>
    </row>
    <row r="6341" spans="31:36">
      <c r="AE6341" s="15" t="str">
        <f t="shared" si="0"/>
        <v/>
      </c>
      <c r="AF6341" s="15" t="str">
        <f t="shared" si="1"/>
        <v/>
      </c>
      <c r="AG6341" s="15" t="str">
        <f>IF(OR(AF6341="",AF6341="ERRO_CHAVE"),"",IFERROR(MATCH(AF6341,'Quitados DUPP'!$U$1:$U$6635,0),""))</f>
        <v/>
      </c>
      <c r="AH6341" s="15" t="str">
        <f t="shared" si="2"/>
        <v/>
      </c>
      <c r="AI6341" s="17" t="str">
        <f>IF(AG6341="","",INDEX('Quitados DUPP'!$G$1:$G$6635,AG6341))</f>
        <v/>
      </c>
      <c r="AJ6341" s="17" t="str">
        <f t="shared" si="3"/>
        <v/>
      </c>
    </row>
    <row r="6342" spans="31:36">
      <c r="AE6342" s="15" t="str">
        <f t="shared" si="0"/>
        <v/>
      </c>
      <c r="AF6342" s="15" t="str">
        <f t="shared" si="1"/>
        <v/>
      </c>
      <c r="AG6342" s="15" t="str">
        <f>IF(OR(AF6342="",AF6342="ERRO_CHAVE"),"",IFERROR(MATCH(AF6342,'Quitados DUPP'!$U$1:$U$6635,0),""))</f>
        <v/>
      </c>
      <c r="AH6342" s="15" t="str">
        <f t="shared" si="2"/>
        <v/>
      </c>
      <c r="AI6342" s="17" t="str">
        <f>IF(AG6342="","",INDEX('Quitados DUPP'!$G$1:$G$6635,AG6342))</f>
        <v/>
      </c>
      <c r="AJ6342" s="17" t="str">
        <f t="shared" si="3"/>
        <v/>
      </c>
    </row>
    <row r="6343" spans="31:36">
      <c r="AE6343" s="15" t="str">
        <f t="shared" si="0"/>
        <v/>
      </c>
      <c r="AF6343" s="15" t="str">
        <f t="shared" si="1"/>
        <v/>
      </c>
      <c r="AG6343" s="15" t="str">
        <f>IF(OR(AF6343="",AF6343="ERRO_CHAVE"),"",IFERROR(MATCH(AF6343,'Quitados DUPP'!$U$1:$U$6635,0),""))</f>
        <v/>
      </c>
      <c r="AH6343" s="15" t="str">
        <f t="shared" si="2"/>
        <v/>
      </c>
      <c r="AI6343" s="17" t="str">
        <f>IF(AG6343="","",INDEX('Quitados DUPP'!$G$1:$G$6635,AG6343))</f>
        <v/>
      </c>
      <c r="AJ6343" s="17" t="str">
        <f t="shared" si="3"/>
        <v/>
      </c>
    </row>
    <row r="6344" spans="31:36">
      <c r="AE6344" s="15" t="str">
        <f t="shared" si="0"/>
        <v/>
      </c>
      <c r="AF6344" s="15" t="str">
        <f t="shared" si="1"/>
        <v/>
      </c>
      <c r="AG6344" s="15" t="str">
        <f>IF(OR(AF6344="",AF6344="ERRO_CHAVE"),"",IFERROR(MATCH(AF6344,'Quitados DUPP'!$U$1:$U$6635,0),""))</f>
        <v/>
      </c>
      <c r="AH6344" s="15" t="str">
        <f t="shared" si="2"/>
        <v/>
      </c>
      <c r="AI6344" s="17" t="str">
        <f>IF(AG6344="","",INDEX('Quitados DUPP'!$G$1:$G$6635,AG6344))</f>
        <v/>
      </c>
      <c r="AJ6344" s="17" t="str">
        <f t="shared" si="3"/>
        <v/>
      </c>
    </row>
    <row r="6345" spans="31:36">
      <c r="AE6345" s="15" t="str">
        <f t="shared" si="0"/>
        <v/>
      </c>
      <c r="AF6345" s="15" t="str">
        <f t="shared" si="1"/>
        <v/>
      </c>
      <c r="AG6345" s="15" t="str">
        <f>IF(OR(AF6345="",AF6345="ERRO_CHAVE"),"",IFERROR(MATCH(AF6345,'Quitados DUPP'!$U$1:$U$6635,0),""))</f>
        <v/>
      </c>
      <c r="AH6345" s="15" t="str">
        <f t="shared" si="2"/>
        <v/>
      </c>
      <c r="AI6345" s="17" t="str">
        <f>IF(AG6345="","",INDEX('Quitados DUPP'!$G$1:$G$6635,AG6345))</f>
        <v/>
      </c>
      <c r="AJ6345" s="17" t="str">
        <f t="shared" si="3"/>
        <v/>
      </c>
    </row>
    <row r="6346" spans="31:36">
      <c r="AE6346" s="15" t="str">
        <f t="shared" si="0"/>
        <v/>
      </c>
      <c r="AF6346" s="15" t="str">
        <f t="shared" si="1"/>
        <v/>
      </c>
      <c r="AG6346" s="15" t="str">
        <f>IF(OR(AF6346="",AF6346="ERRO_CHAVE"),"",IFERROR(MATCH(AF6346,'Quitados DUPP'!$U$1:$U$6635,0),""))</f>
        <v/>
      </c>
      <c r="AH6346" s="15" t="str">
        <f t="shared" si="2"/>
        <v/>
      </c>
      <c r="AI6346" s="17" t="str">
        <f>IF(AG6346="","",INDEX('Quitados DUPP'!$G$1:$G$6635,AG6346))</f>
        <v/>
      </c>
      <c r="AJ6346" s="17" t="str">
        <f t="shared" si="3"/>
        <v/>
      </c>
    </row>
    <row r="6347" spans="31:36">
      <c r="AE6347" s="15" t="str">
        <f t="shared" si="0"/>
        <v/>
      </c>
      <c r="AF6347" s="15" t="str">
        <f t="shared" si="1"/>
        <v/>
      </c>
      <c r="AG6347" s="15" t="str">
        <f>IF(OR(AF6347="",AF6347="ERRO_CHAVE"),"",IFERROR(MATCH(AF6347,'Quitados DUPP'!$U$1:$U$6635,0),""))</f>
        <v/>
      </c>
      <c r="AH6347" s="15" t="str">
        <f t="shared" si="2"/>
        <v/>
      </c>
      <c r="AI6347" s="17" t="str">
        <f>IF(AG6347="","",INDEX('Quitados DUPP'!$G$1:$G$6635,AG6347))</f>
        <v/>
      </c>
      <c r="AJ6347" s="17" t="str">
        <f t="shared" si="3"/>
        <v/>
      </c>
    </row>
    <row r="6348" spans="31:36">
      <c r="AE6348" s="15" t="str">
        <f t="shared" si="0"/>
        <v/>
      </c>
      <c r="AF6348" s="15" t="str">
        <f t="shared" si="1"/>
        <v/>
      </c>
      <c r="AG6348" s="15" t="str">
        <f>IF(OR(AF6348="",AF6348="ERRO_CHAVE"),"",IFERROR(MATCH(AF6348,'Quitados DUPP'!$U$1:$U$6635,0),""))</f>
        <v/>
      </c>
      <c r="AH6348" s="15" t="str">
        <f t="shared" si="2"/>
        <v/>
      </c>
      <c r="AI6348" s="17" t="str">
        <f>IF(AG6348="","",INDEX('Quitados DUPP'!$G$1:$G$6635,AG6348))</f>
        <v/>
      </c>
      <c r="AJ6348" s="17" t="str">
        <f t="shared" si="3"/>
        <v/>
      </c>
    </row>
    <row r="6349" spans="31:36">
      <c r="AE6349" s="15" t="str">
        <f t="shared" si="0"/>
        <v/>
      </c>
      <c r="AF6349" s="15" t="str">
        <f t="shared" si="1"/>
        <v/>
      </c>
      <c r="AG6349" s="15" t="str">
        <f>IF(OR(AF6349="",AF6349="ERRO_CHAVE"),"",IFERROR(MATCH(AF6349,'Quitados DUPP'!$U$1:$U$6635,0),""))</f>
        <v/>
      </c>
      <c r="AH6349" s="15" t="str">
        <f t="shared" si="2"/>
        <v/>
      </c>
      <c r="AI6349" s="17" t="str">
        <f>IF(AG6349="","",INDEX('Quitados DUPP'!$G$1:$G$6635,AG6349))</f>
        <v/>
      </c>
      <c r="AJ6349" s="17" t="str">
        <f t="shared" si="3"/>
        <v/>
      </c>
    </row>
    <row r="6350" spans="31:36">
      <c r="AE6350" s="15" t="str">
        <f t="shared" si="0"/>
        <v/>
      </c>
      <c r="AF6350" s="15" t="str">
        <f t="shared" si="1"/>
        <v/>
      </c>
      <c r="AG6350" s="15" t="str">
        <f>IF(OR(AF6350="",AF6350="ERRO_CHAVE"),"",IFERROR(MATCH(AF6350,'Quitados DUPP'!$U$1:$U$6635,0),""))</f>
        <v/>
      </c>
      <c r="AH6350" s="15" t="str">
        <f t="shared" si="2"/>
        <v/>
      </c>
      <c r="AI6350" s="17" t="str">
        <f>IF(AG6350="","",INDEX('Quitados DUPP'!$G$1:$G$6635,AG6350))</f>
        <v/>
      </c>
      <c r="AJ6350" s="17" t="str">
        <f t="shared" si="3"/>
        <v/>
      </c>
    </row>
    <row r="6351" spans="31:36">
      <c r="AE6351" s="15" t="str">
        <f t="shared" si="0"/>
        <v/>
      </c>
      <c r="AF6351" s="15" t="str">
        <f t="shared" si="1"/>
        <v/>
      </c>
      <c r="AG6351" s="15" t="str">
        <f>IF(OR(AF6351="",AF6351="ERRO_CHAVE"),"",IFERROR(MATCH(AF6351,'Quitados DUPP'!$U$1:$U$6635,0),""))</f>
        <v/>
      </c>
      <c r="AH6351" s="15" t="str">
        <f t="shared" si="2"/>
        <v/>
      </c>
      <c r="AI6351" s="17" t="str">
        <f>IF(AG6351="","",INDEX('Quitados DUPP'!$G$1:$G$6635,AG6351))</f>
        <v/>
      </c>
      <c r="AJ6351" s="17" t="str">
        <f t="shared" si="3"/>
        <v/>
      </c>
    </row>
    <row r="6352" spans="31:36">
      <c r="AE6352" s="15" t="str">
        <f t="shared" si="0"/>
        <v/>
      </c>
      <c r="AF6352" s="15" t="str">
        <f t="shared" si="1"/>
        <v/>
      </c>
      <c r="AG6352" s="15" t="str">
        <f>IF(OR(AF6352="",AF6352="ERRO_CHAVE"),"",IFERROR(MATCH(AF6352,'Quitados DUPP'!$U$1:$U$6635,0),""))</f>
        <v/>
      </c>
      <c r="AH6352" s="15" t="str">
        <f t="shared" si="2"/>
        <v/>
      </c>
      <c r="AI6352" s="17" t="str">
        <f>IF(AG6352="","",INDEX('Quitados DUPP'!$G$1:$G$6635,AG6352))</f>
        <v/>
      </c>
      <c r="AJ6352" s="17" t="str">
        <f t="shared" si="3"/>
        <v/>
      </c>
    </row>
    <row r="6353" spans="31:36">
      <c r="AE6353" s="15" t="str">
        <f t="shared" si="0"/>
        <v/>
      </c>
      <c r="AF6353" s="15" t="str">
        <f t="shared" si="1"/>
        <v/>
      </c>
      <c r="AG6353" s="15" t="str">
        <f>IF(OR(AF6353="",AF6353="ERRO_CHAVE"),"",IFERROR(MATCH(AF6353,'Quitados DUPP'!$U$1:$U$6635,0),""))</f>
        <v/>
      </c>
      <c r="AH6353" s="15" t="str">
        <f t="shared" si="2"/>
        <v/>
      </c>
      <c r="AI6353" s="17" t="str">
        <f>IF(AG6353="","",INDEX('Quitados DUPP'!$G$1:$G$6635,AG6353))</f>
        <v/>
      </c>
      <c r="AJ6353" s="17" t="str">
        <f t="shared" si="3"/>
        <v/>
      </c>
    </row>
    <row r="6354" spans="31:36">
      <c r="AE6354" s="15" t="str">
        <f t="shared" si="0"/>
        <v/>
      </c>
      <c r="AF6354" s="15" t="str">
        <f t="shared" si="1"/>
        <v/>
      </c>
      <c r="AG6354" s="15" t="str">
        <f>IF(OR(AF6354="",AF6354="ERRO_CHAVE"),"",IFERROR(MATCH(AF6354,'Quitados DUPP'!$U$1:$U$6635,0),""))</f>
        <v/>
      </c>
      <c r="AH6354" s="15" t="str">
        <f t="shared" si="2"/>
        <v/>
      </c>
      <c r="AI6354" s="17" t="str">
        <f>IF(AG6354="","",INDEX('Quitados DUPP'!$G$1:$G$6635,AG6354))</f>
        <v/>
      </c>
      <c r="AJ6354" s="17" t="str">
        <f t="shared" si="3"/>
        <v/>
      </c>
    </row>
    <row r="6355" spans="31:36">
      <c r="AE6355" s="15" t="str">
        <f t="shared" si="0"/>
        <v/>
      </c>
      <c r="AF6355" s="15" t="str">
        <f t="shared" si="1"/>
        <v/>
      </c>
      <c r="AG6355" s="15" t="str">
        <f>IF(OR(AF6355="",AF6355="ERRO_CHAVE"),"",IFERROR(MATCH(AF6355,'Quitados DUPP'!$U$1:$U$6635,0),""))</f>
        <v/>
      </c>
      <c r="AH6355" s="15" t="str">
        <f t="shared" si="2"/>
        <v/>
      </c>
      <c r="AI6355" s="17" t="str">
        <f>IF(AG6355="","",INDEX('Quitados DUPP'!$G$1:$G$6635,AG6355))</f>
        <v/>
      </c>
      <c r="AJ6355" s="17" t="str">
        <f t="shared" si="3"/>
        <v/>
      </c>
    </row>
    <row r="6356" spans="31:36">
      <c r="AE6356" s="15" t="str">
        <f t="shared" si="0"/>
        <v/>
      </c>
      <c r="AF6356" s="15" t="str">
        <f t="shared" si="1"/>
        <v/>
      </c>
      <c r="AG6356" s="15" t="str">
        <f>IF(OR(AF6356="",AF6356="ERRO_CHAVE"),"",IFERROR(MATCH(AF6356,'Quitados DUPP'!$U$1:$U$6635,0),""))</f>
        <v/>
      </c>
      <c r="AH6356" s="15" t="str">
        <f t="shared" si="2"/>
        <v/>
      </c>
      <c r="AI6356" s="17" t="str">
        <f>IF(AG6356="","",INDEX('Quitados DUPP'!$G$1:$G$6635,AG6356))</f>
        <v/>
      </c>
      <c r="AJ6356" s="17" t="str">
        <f t="shared" si="3"/>
        <v/>
      </c>
    </row>
    <row r="6357" spans="31:36">
      <c r="AE6357" s="15" t="str">
        <f t="shared" si="0"/>
        <v/>
      </c>
      <c r="AF6357" s="15" t="str">
        <f t="shared" si="1"/>
        <v/>
      </c>
      <c r="AG6357" s="15" t="str">
        <f>IF(OR(AF6357="",AF6357="ERRO_CHAVE"),"",IFERROR(MATCH(AF6357,'Quitados DUPP'!$U$1:$U$6635,0),""))</f>
        <v/>
      </c>
      <c r="AH6357" s="15" t="str">
        <f t="shared" si="2"/>
        <v/>
      </c>
      <c r="AI6357" s="17" t="str">
        <f>IF(AG6357="","",INDEX('Quitados DUPP'!$G$1:$G$6635,AG6357))</f>
        <v/>
      </c>
      <c r="AJ6357" s="17" t="str">
        <f t="shared" si="3"/>
        <v/>
      </c>
    </row>
    <row r="6358" spans="31:36">
      <c r="AE6358" s="15" t="str">
        <f t="shared" si="0"/>
        <v/>
      </c>
      <c r="AF6358" s="15" t="str">
        <f t="shared" si="1"/>
        <v/>
      </c>
      <c r="AG6358" s="15" t="str">
        <f>IF(OR(AF6358="",AF6358="ERRO_CHAVE"),"",IFERROR(MATCH(AF6358,'Quitados DUPP'!$U$1:$U$6635,0),""))</f>
        <v/>
      </c>
      <c r="AH6358" s="15" t="str">
        <f t="shared" si="2"/>
        <v/>
      </c>
      <c r="AI6358" s="17" t="str">
        <f>IF(AG6358="","",INDEX('Quitados DUPP'!$G$1:$G$6635,AG6358))</f>
        <v/>
      </c>
      <c r="AJ6358" s="17" t="str">
        <f t="shared" si="3"/>
        <v/>
      </c>
    </row>
    <row r="6359" spans="31:36">
      <c r="AE6359" s="15" t="str">
        <f t="shared" si="0"/>
        <v/>
      </c>
      <c r="AF6359" s="15" t="str">
        <f t="shared" si="1"/>
        <v/>
      </c>
      <c r="AG6359" s="15" t="str">
        <f>IF(OR(AF6359="",AF6359="ERRO_CHAVE"),"",IFERROR(MATCH(AF6359,'Quitados DUPP'!$U$1:$U$6635,0),""))</f>
        <v/>
      </c>
      <c r="AH6359" s="15" t="str">
        <f t="shared" si="2"/>
        <v/>
      </c>
      <c r="AI6359" s="17" t="str">
        <f>IF(AG6359="","",INDEX('Quitados DUPP'!$G$1:$G$6635,AG6359))</f>
        <v/>
      </c>
      <c r="AJ6359" s="17" t="str">
        <f t="shared" si="3"/>
        <v/>
      </c>
    </row>
    <row r="6360" spans="31:36">
      <c r="AE6360" s="15" t="str">
        <f t="shared" si="0"/>
        <v/>
      </c>
      <c r="AF6360" s="15" t="str">
        <f t="shared" si="1"/>
        <v/>
      </c>
      <c r="AG6360" s="15" t="str">
        <f>IF(OR(AF6360="",AF6360="ERRO_CHAVE"),"",IFERROR(MATCH(AF6360,'Quitados DUPP'!$U$1:$U$6635,0),""))</f>
        <v/>
      </c>
      <c r="AH6360" s="15" t="str">
        <f t="shared" si="2"/>
        <v/>
      </c>
      <c r="AI6360" s="17" t="str">
        <f>IF(AG6360="","",INDEX('Quitados DUPP'!$G$1:$G$6635,AG6360))</f>
        <v/>
      </c>
      <c r="AJ6360" s="17" t="str">
        <f t="shared" si="3"/>
        <v/>
      </c>
    </row>
    <row r="6361" spans="31:36">
      <c r="AE6361" s="15" t="str">
        <f t="shared" si="0"/>
        <v/>
      </c>
      <c r="AF6361" s="15" t="str">
        <f t="shared" si="1"/>
        <v/>
      </c>
      <c r="AG6361" s="15" t="str">
        <f>IF(OR(AF6361="",AF6361="ERRO_CHAVE"),"",IFERROR(MATCH(AF6361,'Quitados DUPP'!$U$1:$U$6635,0),""))</f>
        <v/>
      </c>
      <c r="AH6361" s="15" t="str">
        <f t="shared" si="2"/>
        <v/>
      </c>
      <c r="AI6361" s="17" t="str">
        <f>IF(AG6361="","",INDEX('Quitados DUPP'!$G$1:$G$6635,AG6361))</f>
        <v/>
      </c>
      <c r="AJ6361" s="17" t="str">
        <f t="shared" si="3"/>
        <v/>
      </c>
    </row>
    <row r="6362" spans="31:36">
      <c r="AE6362" s="15" t="str">
        <f t="shared" si="0"/>
        <v/>
      </c>
      <c r="AF6362" s="15" t="str">
        <f t="shared" si="1"/>
        <v/>
      </c>
      <c r="AG6362" s="15" t="str">
        <f>IF(OR(AF6362="",AF6362="ERRO_CHAVE"),"",IFERROR(MATCH(AF6362,'Quitados DUPP'!$U$1:$U$6635,0),""))</f>
        <v/>
      </c>
      <c r="AH6362" s="15" t="str">
        <f t="shared" si="2"/>
        <v/>
      </c>
      <c r="AI6362" s="17" t="str">
        <f>IF(AG6362="","",INDEX('Quitados DUPP'!$G$1:$G$6635,AG6362))</f>
        <v/>
      </c>
      <c r="AJ6362" s="17" t="str">
        <f t="shared" si="3"/>
        <v/>
      </c>
    </row>
    <row r="6363" spans="31:36">
      <c r="AE6363" s="15" t="str">
        <f t="shared" si="0"/>
        <v/>
      </c>
      <c r="AF6363" s="15" t="str">
        <f t="shared" si="1"/>
        <v/>
      </c>
      <c r="AG6363" s="15" t="str">
        <f>IF(OR(AF6363="",AF6363="ERRO_CHAVE"),"",IFERROR(MATCH(AF6363,'Quitados DUPP'!$U$1:$U$6635,0),""))</f>
        <v/>
      </c>
      <c r="AH6363" s="15" t="str">
        <f t="shared" si="2"/>
        <v/>
      </c>
      <c r="AI6363" s="17" t="str">
        <f>IF(AG6363="","",INDEX('Quitados DUPP'!$G$1:$G$6635,AG6363))</f>
        <v/>
      </c>
      <c r="AJ6363" s="17" t="str">
        <f t="shared" si="3"/>
        <v/>
      </c>
    </row>
    <row r="6364" spans="31:36">
      <c r="AE6364" s="15" t="str">
        <f t="shared" si="0"/>
        <v/>
      </c>
      <c r="AF6364" s="15" t="str">
        <f t="shared" si="1"/>
        <v/>
      </c>
      <c r="AG6364" s="15" t="str">
        <f>IF(OR(AF6364="",AF6364="ERRO_CHAVE"),"",IFERROR(MATCH(AF6364,'Quitados DUPP'!$U$1:$U$6635,0),""))</f>
        <v/>
      </c>
      <c r="AH6364" s="15" t="str">
        <f t="shared" si="2"/>
        <v/>
      </c>
      <c r="AI6364" s="17" t="str">
        <f>IF(AG6364="","",INDEX('Quitados DUPP'!$G$1:$G$6635,AG6364))</f>
        <v/>
      </c>
      <c r="AJ6364" s="17" t="str">
        <f t="shared" si="3"/>
        <v/>
      </c>
    </row>
    <row r="6365" spans="31:36">
      <c r="AE6365" s="15" t="str">
        <f t="shared" si="0"/>
        <v/>
      </c>
      <c r="AF6365" s="15" t="str">
        <f t="shared" si="1"/>
        <v/>
      </c>
      <c r="AG6365" s="15" t="str">
        <f>IF(OR(AF6365="",AF6365="ERRO_CHAVE"),"",IFERROR(MATCH(AF6365,'Quitados DUPP'!$U$1:$U$6635,0),""))</f>
        <v/>
      </c>
      <c r="AH6365" s="15" t="str">
        <f t="shared" si="2"/>
        <v/>
      </c>
      <c r="AI6365" s="17" t="str">
        <f>IF(AG6365="","",INDEX('Quitados DUPP'!$G$1:$G$6635,AG6365))</f>
        <v/>
      </c>
      <c r="AJ6365" s="17" t="str">
        <f t="shared" si="3"/>
        <v/>
      </c>
    </row>
    <row r="6366" spans="31:36">
      <c r="AE6366" s="15" t="str">
        <f t="shared" si="0"/>
        <v/>
      </c>
      <c r="AF6366" s="15" t="str">
        <f t="shared" si="1"/>
        <v/>
      </c>
      <c r="AG6366" s="15" t="str">
        <f>IF(OR(AF6366="",AF6366="ERRO_CHAVE"),"",IFERROR(MATCH(AF6366,'Quitados DUPP'!$U$1:$U$6635,0),""))</f>
        <v/>
      </c>
      <c r="AH6366" s="15" t="str">
        <f t="shared" si="2"/>
        <v/>
      </c>
      <c r="AI6366" s="17" t="str">
        <f>IF(AG6366="","",INDEX('Quitados DUPP'!$G$1:$G$6635,AG6366))</f>
        <v/>
      </c>
      <c r="AJ6366" s="17" t="str">
        <f t="shared" si="3"/>
        <v/>
      </c>
    </row>
    <row r="6367" spans="31:36">
      <c r="AE6367" s="15" t="str">
        <f t="shared" si="0"/>
        <v/>
      </c>
      <c r="AF6367" s="15" t="str">
        <f t="shared" si="1"/>
        <v/>
      </c>
      <c r="AG6367" s="15" t="str">
        <f>IF(OR(AF6367="",AF6367="ERRO_CHAVE"),"",IFERROR(MATCH(AF6367,'Quitados DUPP'!$U$1:$U$6635,0),""))</f>
        <v/>
      </c>
      <c r="AH6367" s="15" t="str">
        <f t="shared" si="2"/>
        <v/>
      </c>
      <c r="AI6367" s="17" t="str">
        <f>IF(AG6367="","",INDEX('Quitados DUPP'!$G$1:$G$6635,AG6367))</f>
        <v/>
      </c>
      <c r="AJ6367" s="17" t="str">
        <f t="shared" si="3"/>
        <v/>
      </c>
    </row>
    <row r="6368" spans="31:36">
      <c r="AE6368" s="15" t="str">
        <f t="shared" si="0"/>
        <v/>
      </c>
      <c r="AF6368" s="15" t="str">
        <f t="shared" si="1"/>
        <v/>
      </c>
      <c r="AG6368" s="15" t="str">
        <f>IF(OR(AF6368="",AF6368="ERRO_CHAVE"),"",IFERROR(MATCH(AF6368,'Quitados DUPP'!$U$1:$U$6635,0),""))</f>
        <v/>
      </c>
      <c r="AH6368" s="15" t="str">
        <f t="shared" si="2"/>
        <v/>
      </c>
      <c r="AI6368" s="17" t="str">
        <f>IF(AG6368="","",INDEX('Quitados DUPP'!$G$1:$G$6635,AG6368))</f>
        <v/>
      </c>
      <c r="AJ6368" s="17" t="str">
        <f t="shared" si="3"/>
        <v/>
      </c>
    </row>
    <row r="6369" spans="31:36">
      <c r="AE6369" s="15" t="str">
        <f t="shared" si="0"/>
        <v/>
      </c>
      <c r="AF6369" s="15" t="str">
        <f t="shared" si="1"/>
        <v/>
      </c>
      <c r="AG6369" s="15" t="str">
        <f>IF(OR(AF6369="",AF6369="ERRO_CHAVE"),"",IFERROR(MATCH(AF6369,'Quitados DUPP'!$U$1:$U$6635,0),""))</f>
        <v/>
      </c>
      <c r="AH6369" s="15" t="str">
        <f t="shared" si="2"/>
        <v/>
      </c>
      <c r="AI6369" s="17" t="str">
        <f>IF(AG6369="","",INDEX('Quitados DUPP'!$G$1:$G$6635,AG6369))</f>
        <v/>
      </c>
      <c r="AJ6369" s="17" t="str">
        <f t="shared" si="3"/>
        <v/>
      </c>
    </row>
    <row r="6370" spans="31:36">
      <c r="AE6370" s="15" t="str">
        <f t="shared" si="0"/>
        <v/>
      </c>
      <c r="AF6370" s="15" t="str">
        <f t="shared" si="1"/>
        <v/>
      </c>
      <c r="AG6370" s="15" t="str">
        <f>IF(OR(AF6370="",AF6370="ERRO_CHAVE"),"",IFERROR(MATCH(AF6370,'Quitados DUPP'!$U$1:$U$6635,0),""))</f>
        <v/>
      </c>
      <c r="AH6370" s="15" t="str">
        <f t="shared" si="2"/>
        <v/>
      </c>
      <c r="AI6370" s="17" t="str">
        <f>IF(AG6370="","",INDEX('Quitados DUPP'!$G$1:$G$6635,AG6370))</f>
        <v/>
      </c>
      <c r="AJ6370" s="17" t="str">
        <f t="shared" si="3"/>
        <v/>
      </c>
    </row>
    <row r="6371" spans="31:36">
      <c r="AE6371" s="15" t="str">
        <f t="shared" si="0"/>
        <v/>
      </c>
      <c r="AF6371" s="15" t="str">
        <f t="shared" si="1"/>
        <v/>
      </c>
      <c r="AG6371" s="15" t="str">
        <f>IF(OR(AF6371="",AF6371="ERRO_CHAVE"),"",IFERROR(MATCH(AF6371,'Quitados DUPP'!$U$1:$U$6635,0),""))</f>
        <v/>
      </c>
      <c r="AH6371" s="15" t="str">
        <f t="shared" si="2"/>
        <v/>
      </c>
      <c r="AI6371" s="17" t="str">
        <f>IF(AG6371="","",INDEX('Quitados DUPP'!$G$1:$G$6635,AG6371))</f>
        <v/>
      </c>
      <c r="AJ6371" s="17" t="str">
        <f t="shared" si="3"/>
        <v/>
      </c>
    </row>
    <row r="6372" spans="31:36">
      <c r="AE6372" s="15" t="str">
        <f t="shared" si="0"/>
        <v/>
      </c>
      <c r="AF6372" s="15" t="str">
        <f t="shared" si="1"/>
        <v/>
      </c>
      <c r="AG6372" s="15" t="str">
        <f>IF(OR(AF6372="",AF6372="ERRO_CHAVE"),"",IFERROR(MATCH(AF6372,'Quitados DUPP'!$U$1:$U$6635,0),""))</f>
        <v/>
      </c>
      <c r="AH6372" s="15" t="str">
        <f t="shared" si="2"/>
        <v/>
      </c>
      <c r="AI6372" s="17" t="str">
        <f>IF(AG6372="","",INDEX('Quitados DUPP'!$G$1:$G$6635,AG6372))</f>
        <v/>
      </c>
      <c r="AJ6372" s="17" t="str">
        <f t="shared" si="3"/>
        <v/>
      </c>
    </row>
    <row r="6373" spans="31:36">
      <c r="AE6373" s="15" t="str">
        <f t="shared" si="0"/>
        <v/>
      </c>
      <c r="AF6373" s="15" t="str">
        <f t="shared" si="1"/>
        <v/>
      </c>
      <c r="AG6373" s="15" t="str">
        <f>IF(OR(AF6373="",AF6373="ERRO_CHAVE"),"",IFERROR(MATCH(AF6373,'Quitados DUPP'!$U$1:$U$6635,0),""))</f>
        <v/>
      </c>
      <c r="AH6373" s="15" t="str">
        <f t="shared" si="2"/>
        <v/>
      </c>
      <c r="AI6373" s="17" t="str">
        <f>IF(AG6373="","",INDEX('Quitados DUPP'!$G$1:$G$6635,AG6373))</f>
        <v/>
      </c>
      <c r="AJ6373" s="17" t="str">
        <f t="shared" si="3"/>
        <v/>
      </c>
    </row>
    <row r="6374" spans="31:36">
      <c r="AE6374" s="15" t="str">
        <f t="shared" si="0"/>
        <v/>
      </c>
      <c r="AF6374" s="15" t="str">
        <f t="shared" si="1"/>
        <v/>
      </c>
      <c r="AG6374" s="15" t="str">
        <f>IF(OR(AF6374="",AF6374="ERRO_CHAVE"),"",IFERROR(MATCH(AF6374,'Quitados DUPP'!$U$1:$U$6635,0),""))</f>
        <v/>
      </c>
      <c r="AH6374" s="15" t="str">
        <f t="shared" si="2"/>
        <v/>
      </c>
      <c r="AI6374" s="17" t="str">
        <f>IF(AG6374="","",INDEX('Quitados DUPP'!$G$1:$G$6635,AG6374))</f>
        <v/>
      </c>
      <c r="AJ6374" s="17" t="str">
        <f t="shared" si="3"/>
        <v/>
      </c>
    </row>
    <row r="6375" spans="31:36">
      <c r="AE6375" s="15" t="str">
        <f t="shared" si="0"/>
        <v/>
      </c>
      <c r="AF6375" s="15" t="str">
        <f t="shared" si="1"/>
        <v/>
      </c>
      <c r="AG6375" s="15" t="str">
        <f>IF(OR(AF6375="",AF6375="ERRO_CHAVE"),"",IFERROR(MATCH(AF6375,'Quitados DUPP'!$U$1:$U$6635,0),""))</f>
        <v/>
      </c>
      <c r="AH6375" s="15" t="str">
        <f t="shared" si="2"/>
        <v/>
      </c>
      <c r="AI6375" s="17" t="str">
        <f>IF(AG6375="","",INDEX('Quitados DUPP'!$G$1:$G$6635,AG6375))</f>
        <v/>
      </c>
      <c r="AJ6375" s="17" t="str">
        <f t="shared" si="3"/>
        <v/>
      </c>
    </row>
    <row r="6376" spans="31:36">
      <c r="AE6376" s="15" t="str">
        <f t="shared" si="0"/>
        <v/>
      </c>
      <c r="AF6376" s="15" t="str">
        <f t="shared" si="1"/>
        <v/>
      </c>
      <c r="AG6376" s="15" t="str">
        <f>IF(OR(AF6376="",AF6376="ERRO_CHAVE"),"",IFERROR(MATCH(AF6376,'Quitados DUPP'!$U$1:$U$6635,0),""))</f>
        <v/>
      </c>
      <c r="AH6376" s="15" t="str">
        <f t="shared" si="2"/>
        <v/>
      </c>
      <c r="AI6376" s="17" t="str">
        <f>IF(AG6376="","",INDEX('Quitados DUPP'!$G$1:$G$6635,AG6376))</f>
        <v/>
      </c>
      <c r="AJ6376" s="17" t="str">
        <f t="shared" si="3"/>
        <v/>
      </c>
    </row>
    <row r="6377" spans="31:36">
      <c r="AE6377" s="15" t="str">
        <f t="shared" si="0"/>
        <v/>
      </c>
      <c r="AF6377" s="15" t="str">
        <f t="shared" si="1"/>
        <v/>
      </c>
      <c r="AG6377" s="15" t="str">
        <f>IF(OR(AF6377="",AF6377="ERRO_CHAVE"),"",IFERROR(MATCH(AF6377,'Quitados DUPP'!$U$1:$U$6635,0),""))</f>
        <v/>
      </c>
      <c r="AH6377" s="15" t="str">
        <f t="shared" si="2"/>
        <v/>
      </c>
      <c r="AI6377" s="17" t="str">
        <f>IF(AG6377="","",INDEX('Quitados DUPP'!$G$1:$G$6635,AG6377))</f>
        <v/>
      </c>
      <c r="AJ6377" s="17" t="str">
        <f t="shared" si="3"/>
        <v/>
      </c>
    </row>
    <row r="6378" spans="31:36">
      <c r="AE6378" s="15" t="str">
        <f t="shared" si="0"/>
        <v/>
      </c>
      <c r="AF6378" s="15" t="str">
        <f t="shared" si="1"/>
        <v/>
      </c>
      <c r="AG6378" s="15" t="str">
        <f>IF(OR(AF6378="",AF6378="ERRO_CHAVE"),"",IFERROR(MATCH(AF6378,'Quitados DUPP'!$U$1:$U$6635,0),""))</f>
        <v/>
      </c>
      <c r="AH6378" s="15" t="str">
        <f t="shared" si="2"/>
        <v/>
      </c>
      <c r="AI6378" s="17" t="str">
        <f>IF(AG6378="","",INDEX('Quitados DUPP'!$G$1:$G$6635,AG6378))</f>
        <v/>
      </c>
      <c r="AJ6378" s="17" t="str">
        <f t="shared" si="3"/>
        <v/>
      </c>
    </row>
    <row r="6379" spans="31:36">
      <c r="AE6379" s="15" t="str">
        <f t="shared" si="0"/>
        <v/>
      </c>
      <c r="AF6379" s="15" t="str">
        <f t="shared" si="1"/>
        <v/>
      </c>
      <c r="AG6379" s="15" t="str">
        <f>IF(OR(AF6379="",AF6379="ERRO_CHAVE"),"",IFERROR(MATCH(AF6379,'Quitados DUPP'!$U$1:$U$6635,0),""))</f>
        <v/>
      </c>
      <c r="AH6379" s="15" t="str">
        <f t="shared" si="2"/>
        <v/>
      </c>
      <c r="AI6379" s="17" t="str">
        <f>IF(AG6379="","",INDEX('Quitados DUPP'!$G$1:$G$6635,AG6379))</f>
        <v/>
      </c>
      <c r="AJ6379" s="17" t="str">
        <f t="shared" si="3"/>
        <v/>
      </c>
    </row>
    <row r="6380" spans="31:36">
      <c r="AE6380" s="15" t="str">
        <f t="shared" si="0"/>
        <v/>
      </c>
      <c r="AF6380" s="15" t="str">
        <f t="shared" si="1"/>
        <v/>
      </c>
      <c r="AG6380" s="15" t="str">
        <f>IF(OR(AF6380="",AF6380="ERRO_CHAVE"),"",IFERROR(MATCH(AF6380,'Quitados DUPP'!$U$1:$U$6635,0),""))</f>
        <v/>
      </c>
      <c r="AH6380" s="15" t="str">
        <f t="shared" si="2"/>
        <v/>
      </c>
      <c r="AI6380" s="17" t="str">
        <f>IF(AG6380="","",INDEX('Quitados DUPP'!$G$1:$G$6635,AG6380))</f>
        <v/>
      </c>
      <c r="AJ6380" s="17" t="str">
        <f t="shared" si="3"/>
        <v/>
      </c>
    </row>
    <row r="6381" spans="31:36">
      <c r="AE6381" s="15" t="str">
        <f t="shared" si="0"/>
        <v/>
      </c>
      <c r="AF6381" s="15" t="str">
        <f t="shared" si="1"/>
        <v/>
      </c>
      <c r="AG6381" s="15" t="str">
        <f>IF(OR(AF6381="",AF6381="ERRO_CHAVE"),"",IFERROR(MATCH(AF6381,'Quitados DUPP'!$U$1:$U$6635,0),""))</f>
        <v/>
      </c>
      <c r="AH6381" s="15" t="str">
        <f t="shared" si="2"/>
        <v/>
      </c>
      <c r="AI6381" s="17" t="str">
        <f>IF(AG6381="","",INDEX('Quitados DUPP'!$G$1:$G$6635,AG6381))</f>
        <v/>
      </c>
      <c r="AJ6381" s="17" t="str">
        <f t="shared" si="3"/>
        <v/>
      </c>
    </row>
    <row r="6382" spans="31:36">
      <c r="AE6382" s="15" t="str">
        <f t="shared" si="0"/>
        <v/>
      </c>
      <c r="AF6382" s="15" t="str">
        <f t="shared" si="1"/>
        <v/>
      </c>
      <c r="AG6382" s="15" t="str">
        <f>IF(OR(AF6382="",AF6382="ERRO_CHAVE"),"",IFERROR(MATCH(AF6382,'Quitados DUPP'!$U$1:$U$6635,0),""))</f>
        <v/>
      </c>
      <c r="AH6382" s="15" t="str">
        <f t="shared" si="2"/>
        <v/>
      </c>
      <c r="AI6382" s="17" t="str">
        <f>IF(AG6382="","",INDEX('Quitados DUPP'!$G$1:$G$6635,AG6382))</f>
        <v/>
      </c>
      <c r="AJ6382" s="17" t="str">
        <f t="shared" si="3"/>
        <v/>
      </c>
    </row>
    <row r="6383" spans="31:36">
      <c r="AE6383" s="15" t="str">
        <f t="shared" si="0"/>
        <v/>
      </c>
      <c r="AF6383" s="15" t="str">
        <f t="shared" si="1"/>
        <v/>
      </c>
      <c r="AG6383" s="15" t="str">
        <f>IF(OR(AF6383="",AF6383="ERRO_CHAVE"),"",IFERROR(MATCH(AF6383,'Quitados DUPP'!$U$1:$U$6635,0),""))</f>
        <v/>
      </c>
      <c r="AH6383" s="15" t="str">
        <f t="shared" si="2"/>
        <v/>
      </c>
      <c r="AI6383" s="17" t="str">
        <f>IF(AG6383="","",INDEX('Quitados DUPP'!$G$1:$G$6635,AG6383))</f>
        <v/>
      </c>
      <c r="AJ6383" s="17" t="str">
        <f t="shared" si="3"/>
        <v/>
      </c>
    </row>
    <row r="6384" spans="31:36">
      <c r="AE6384" s="15" t="str">
        <f t="shared" si="0"/>
        <v/>
      </c>
      <c r="AF6384" s="15" t="str">
        <f t="shared" si="1"/>
        <v/>
      </c>
      <c r="AG6384" s="15" t="str">
        <f>IF(OR(AF6384="",AF6384="ERRO_CHAVE"),"",IFERROR(MATCH(AF6384,'Quitados DUPP'!$U$1:$U$6635,0),""))</f>
        <v/>
      </c>
      <c r="AH6384" s="15" t="str">
        <f t="shared" si="2"/>
        <v/>
      </c>
      <c r="AI6384" s="17" t="str">
        <f>IF(AG6384="","",INDEX('Quitados DUPP'!$G$1:$G$6635,AG6384))</f>
        <v/>
      </c>
      <c r="AJ6384" s="17" t="str">
        <f t="shared" si="3"/>
        <v/>
      </c>
    </row>
    <row r="6385" spans="31:36">
      <c r="AE6385" s="15" t="str">
        <f t="shared" si="0"/>
        <v/>
      </c>
      <c r="AF6385" s="15" t="str">
        <f t="shared" si="1"/>
        <v/>
      </c>
      <c r="AG6385" s="15" t="str">
        <f>IF(OR(AF6385="",AF6385="ERRO_CHAVE"),"",IFERROR(MATCH(AF6385,'Quitados DUPP'!$U$1:$U$6635,0),""))</f>
        <v/>
      </c>
      <c r="AH6385" s="15" t="str">
        <f t="shared" si="2"/>
        <v/>
      </c>
      <c r="AI6385" s="17" t="str">
        <f>IF(AG6385="","",INDEX('Quitados DUPP'!$G$1:$G$6635,AG6385))</f>
        <v/>
      </c>
      <c r="AJ6385" s="17" t="str">
        <f t="shared" si="3"/>
        <v/>
      </c>
    </row>
    <row r="6386" spans="31:36">
      <c r="AE6386" s="15" t="str">
        <f t="shared" si="0"/>
        <v/>
      </c>
      <c r="AF6386" s="15" t="str">
        <f t="shared" si="1"/>
        <v/>
      </c>
      <c r="AG6386" s="15" t="str">
        <f>IF(OR(AF6386="",AF6386="ERRO_CHAVE"),"",IFERROR(MATCH(AF6386,'Quitados DUPP'!$U$1:$U$6635,0),""))</f>
        <v/>
      </c>
      <c r="AH6386" s="15" t="str">
        <f t="shared" si="2"/>
        <v/>
      </c>
      <c r="AI6386" s="17" t="str">
        <f>IF(AG6386="","",INDEX('Quitados DUPP'!$G$1:$G$6635,AG6386))</f>
        <v/>
      </c>
      <c r="AJ6386" s="17" t="str">
        <f t="shared" si="3"/>
        <v/>
      </c>
    </row>
    <row r="6387" spans="31:36">
      <c r="AE6387" s="15" t="str">
        <f t="shared" si="0"/>
        <v/>
      </c>
      <c r="AF6387" s="15" t="str">
        <f t="shared" si="1"/>
        <v/>
      </c>
      <c r="AG6387" s="15" t="str">
        <f>IF(OR(AF6387="",AF6387="ERRO_CHAVE"),"",IFERROR(MATCH(AF6387,'Quitados DUPP'!$U$1:$U$6635,0),""))</f>
        <v/>
      </c>
      <c r="AH6387" s="15" t="str">
        <f t="shared" si="2"/>
        <v/>
      </c>
      <c r="AI6387" s="17" t="str">
        <f>IF(AG6387="","",INDEX('Quitados DUPP'!$G$1:$G$6635,AG6387))</f>
        <v/>
      </c>
      <c r="AJ6387" s="17" t="str">
        <f t="shared" si="3"/>
        <v/>
      </c>
    </row>
    <row r="6388" spans="31:36">
      <c r="AE6388" s="15" t="str">
        <f t="shared" si="0"/>
        <v/>
      </c>
      <c r="AF6388" s="15" t="str">
        <f t="shared" si="1"/>
        <v/>
      </c>
      <c r="AG6388" s="15" t="str">
        <f>IF(OR(AF6388="",AF6388="ERRO_CHAVE"),"",IFERROR(MATCH(AF6388,'Quitados DUPP'!$U$1:$U$6635,0),""))</f>
        <v/>
      </c>
      <c r="AH6388" s="15" t="str">
        <f t="shared" si="2"/>
        <v/>
      </c>
      <c r="AI6388" s="17" t="str">
        <f>IF(AG6388="","",INDEX('Quitados DUPP'!$G$1:$G$6635,AG6388))</f>
        <v/>
      </c>
      <c r="AJ6388" s="17" t="str">
        <f t="shared" si="3"/>
        <v/>
      </c>
    </row>
    <row r="6389" spans="31:36">
      <c r="AE6389" s="15" t="str">
        <f t="shared" si="0"/>
        <v/>
      </c>
      <c r="AF6389" s="15" t="str">
        <f t="shared" si="1"/>
        <v/>
      </c>
      <c r="AG6389" s="15" t="str">
        <f>IF(OR(AF6389="",AF6389="ERRO_CHAVE"),"",IFERROR(MATCH(AF6389,'Quitados DUPP'!$U$1:$U$6635,0),""))</f>
        <v/>
      </c>
      <c r="AH6389" s="15" t="str">
        <f t="shared" si="2"/>
        <v/>
      </c>
      <c r="AI6389" s="17" t="str">
        <f>IF(AG6389="","",INDEX('Quitados DUPP'!$G$1:$G$6635,AG6389))</f>
        <v/>
      </c>
      <c r="AJ6389" s="17" t="str">
        <f t="shared" si="3"/>
        <v/>
      </c>
    </row>
    <row r="6390" spans="31:36">
      <c r="AE6390" s="15" t="str">
        <f t="shared" si="0"/>
        <v/>
      </c>
      <c r="AF6390" s="15" t="str">
        <f t="shared" si="1"/>
        <v/>
      </c>
      <c r="AG6390" s="15" t="str">
        <f>IF(OR(AF6390="",AF6390="ERRO_CHAVE"),"",IFERROR(MATCH(AF6390,'Quitados DUPP'!$U$1:$U$6635,0),""))</f>
        <v/>
      </c>
      <c r="AH6390" s="15" t="str">
        <f t="shared" si="2"/>
        <v/>
      </c>
      <c r="AI6390" s="17" t="str">
        <f>IF(AG6390="","",INDEX('Quitados DUPP'!$G$1:$G$6635,AG6390))</f>
        <v/>
      </c>
      <c r="AJ6390" s="17" t="str">
        <f t="shared" si="3"/>
        <v/>
      </c>
    </row>
    <row r="6391" spans="31:36">
      <c r="AE6391" s="15" t="str">
        <f t="shared" si="0"/>
        <v/>
      </c>
      <c r="AF6391" s="15" t="str">
        <f t="shared" si="1"/>
        <v/>
      </c>
      <c r="AG6391" s="15" t="str">
        <f>IF(OR(AF6391="",AF6391="ERRO_CHAVE"),"",IFERROR(MATCH(AF6391,'Quitados DUPP'!$U$1:$U$6635,0),""))</f>
        <v/>
      </c>
      <c r="AH6391" s="15" t="str">
        <f t="shared" si="2"/>
        <v/>
      </c>
      <c r="AI6391" s="17" t="str">
        <f>IF(AG6391="","",INDEX('Quitados DUPP'!$G$1:$G$6635,AG6391))</f>
        <v/>
      </c>
      <c r="AJ6391" s="17" t="str">
        <f t="shared" si="3"/>
        <v/>
      </c>
    </row>
    <row r="6392" spans="31:36">
      <c r="AE6392" s="15" t="str">
        <f t="shared" si="0"/>
        <v/>
      </c>
      <c r="AF6392" s="15" t="str">
        <f t="shared" si="1"/>
        <v/>
      </c>
      <c r="AG6392" s="15" t="str">
        <f>IF(OR(AF6392="",AF6392="ERRO_CHAVE"),"",IFERROR(MATCH(AF6392,'Quitados DUPP'!$U$1:$U$6635,0),""))</f>
        <v/>
      </c>
      <c r="AH6392" s="15" t="str">
        <f t="shared" si="2"/>
        <v/>
      </c>
      <c r="AI6392" s="17" t="str">
        <f>IF(AG6392="","",INDEX('Quitados DUPP'!$G$1:$G$6635,AG6392))</f>
        <v/>
      </c>
      <c r="AJ6392" s="17" t="str">
        <f t="shared" si="3"/>
        <v/>
      </c>
    </row>
    <row r="6393" spans="31:36">
      <c r="AE6393" s="15" t="str">
        <f t="shared" si="0"/>
        <v/>
      </c>
      <c r="AF6393" s="15" t="str">
        <f t="shared" si="1"/>
        <v/>
      </c>
      <c r="AG6393" s="15" t="str">
        <f>IF(OR(AF6393="",AF6393="ERRO_CHAVE"),"",IFERROR(MATCH(AF6393,'Quitados DUPP'!$U$1:$U$6635,0),""))</f>
        <v/>
      </c>
      <c r="AH6393" s="15" t="str">
        <f t="shared" si="2"/>
        <v/>
      </c>
      <c r="AI6393" s="17" t="str">
        <f>IF(AG6393="","",INDEX('Quitados DUPP'!$G$1:$G$6635,AG6393))</f>
        <v/>
      </c>
      <c r="AJ6393" s="17" t="str">
        <f t="shared" si="3"/>
        <v/>
      </c>
    </row>
    <row r="6394" spans="31:36">
      <c r="AE6394" s="15" t="str">
        <f t="shared" si="0"/>
        <v/>
      </c>
      <c r="AF6394" s="15" t="str">
        <f t="shared" si="1"/>
        <v/>
      </c>
      <c r="AG6394" s="15" t="str">
        <f>IF(OR(AF6394="",AF6394="ERRO_CHAVE"),"",IFERROR(MATCH(AF6394,'Quitados DUPP'!$U$1:$U$6635,0),""))</f>
        <v/>
      </c>
      <c r="AH6394" s="15" t="str">
        <f t="shared" si="2"/>
        <v/>
      </c>
      <c r="AI6394" s="17" t="str">
        <f>IF(AG6394="","",INDEX('Quitados DUPP'!$G$1:$G$6635,AG6394))</f>
        <v/>
      </c>
      <c r="AJ6394" s="17" t="str">
        <f t="shared" si="3"/>
        <v/>
      </c>
    </row>
    <row r="6395" spans="31:36">
      <c r="AE6395" s="15" t="str">
        <f t="shared" si="0"/>
        <v/>
      </c>
      <c r="AF6395" s="15" t="str">
        <f t="shared" si="1"/>
        <v/>
      </c>
      <c r="AG6395" s="15" t="str">
        <f>IF(OR(AF6395="",AF6395="ERRO_CHAVE"),"",IFERROR(MATCH(AF6395,'Quitados DUPP'!$U$1:$U$6635,0),""))</f>
        <v/>
      </c>
      <c r="AH6395" s="15" t="str">
        <f t="shared" si="2"/>
        <v/>
      </c>
      <c r="AI6395" s="17" t="str">
        <f>IF(AG6395="","",INDEX('Quitados DUPP'!$G$1:$G$6635,AG6395))</f>
        <v/>
      </c>
      <c r="AJ6395" s="17" t="str">
        <f t="shared" si="3"/>
        <v/>
      </c>
    </row>
    <row r="6396" spans="31:36">
      <c r="AE6396" s="15" t="str">
        <f t="shared" si="0"/>
        <v/>
      </c>
      <c r="AF6396" s="15" t="str">
        <f t="shared" si="1"/>
        <v/>
      </c>
      <c r="AG6396" s="15" t="str">
        <f>IF(OR(AF6396="",AF6396="ERRO_CHAVE"),"",IFERROR(MATCH(AF6396,'Quitados DUPP'!$U$1:$U$6635,0),""))</f>
        <v/>
      </c>
      <c r="AH6396" s="15" t="str">
        <f t="shared" si="2"/>
        <v/>
      </c>
      <c r="AI6396" s="17" t="str">
        <f>IF(AG6396="","",INDEX('Quitados DUPP'!$G$1:$G$6635,AG6396))</f>
        <v/>
      </c>
      <c r="AJ6396" s="17" t="str">
        <f t="shared" si="3"/>
        <v/>
      </c>
    </row>
    <row r="6397" spans="31:36">
      <c r="AE6397" s="15" t="str">
        <f t="shared" si="0"/>
        <v/>
      </c>
      <c r="AF6397" s="15" t="str">
        <f t="shared" si="1"/>
        <v/>
      </c>
      <c r="AG6397" s="15" t="str">
        <f>IF(OR(AF6397="",AF6397="ERRO_CHAVE"),"",IFERROR(MATCH(AF6397,'Quitados DUPP'!$U$1:$U$6635,0),""))</f>
        <v/>
      </c>
      <c r="AH6397" s="15" t="str">
        <f t="shared" si="2"/>
        <v/>
      </c>
      <c r="AI6397" s="17" t="str">
        <f>IF(AG6397="","",INDEX('Quitados DUPP'!$G$1:$G$6635,AG6397))</f>
        <v/>
      </c>
      <c r="AJ6397" s="17" t="str">
        <f t="shared" si="3"/>
        <v/>
      </c>
    </row>
    <row r="6398" spans="31:36">
      <c r="AE6398" s="15" t="str">
        <f t="shared" si="0"/>
        <v/>
      </c>
      <c r="AF6398" s="15" t="str">
        <f t="shared" si="1"/>
        <v/>
      </c>
      <c r="AG6398" s="15" t="str">
        <f>IF(OR(AF6398="",AF6398="ERRO_CHAVE"),"",IFERROR(MATCH(AF6398,'Quitados DUPP'!$U$1:$U$6635,0),""))</f>
        <v/>
      </c>
      <c r="AH6398" s="15" t="str">
        <f t="shared" si="2"/>
        <v/>
      </c>
      <c r="AI6398" s="17" t="str">
        <f>IF(AG6398="","",INDEX('Quitados DUPP'!$G$1:$G$6635,AG6398))</f>
        <v/>
      </c>
      <c r="AJ6398" s="17" t="str">
        <f t="shared" si="3"/>
        <v/>
      </c>
    </row>
    <row r="6399" spans="31:36">
      <c r="AE6399" s="15" t="str">
        <f t="shared" si="0"/>
        <v/>
      </c>
      <c r="AF6399" s="15" t="str">
        <f t="shared" si="1"/>
        <v/>
      </c>
      <c r="AG6399" s="15" t="str">
        <f>IF(OR(AF6399="",AF6399="ERRO_CHAVE"),"",IFERROR(MATCH(AF6399,'Quitados DUPP'!$U$1:$U$6635,0),""))</f>
        <v/>
      </c>
      <c r="AH6399" s="15" t="str">
        <f t="shared" si="2"/>
        <v/>
      </c>
      <c r="AI6399" s="17" t="str">
        <f>IF(AG6399="","",INDEX('Quitados DUPP'!$G$1:$G$6635,AG6399))</f>
        <v/>
      </c>
      <c r="AJ6399" s="17" t="str">
        <f t="shared" si="3"/>
        <v/>
      </c>
    </row>
    <row r="6400" spans="31:36">
      <c r="AE6400" s="15" t="str">
        <f t="shared" si="0"/>
        <v/>
      </c>
      <c r="AF6400" s="15" t="str">
        <f t="shared" si="1"/>
        <v/>
      </c>
      <c r="AG6400" s="15" t="str">
        <f>IF(OR(AF6400="",AF6400="ERRO_CHAVE"),"",IFERROR(MATCH(AF6400,'Quitados DUPP'!$U$1:$U$6635,0),""))</f>
        <v/>
      </c>
      <c r="AH6400" s="15" t="str">
        <f t="shared" si="2"/>
        <v/>
      </c>
      <c r="AI6400" s="17" t="str">
        <f>IF(AG6400="","",INDEX('Quitados DUPP'!$G$1:$G$6635,AG6400))</f>
        <v/>
      </c>
      <c r="AJ6400" s="17" t="str">
        <f t="shared" si="3"/>
        <v/>
      </c>
    </row>
    <row r="6401" spans="31:36">
      <c r="AE6401" s="15" t="str">
        <f t="shared" si="0"/>
        <v/>
      </c>
      <c r="AF6401" s="15" t="str">
        <f t="shared" si="1"/>
        <v/>
      </c>
      <c r="AG6401" s="15" t="str">
        <f>IF(OR(AF6401="",AF6401="ERRO_CHAVE"),"",IFERROR(MATCH(AF6401,'Quitados DUPP'!$U$1:$U$6635,0),""))</f>
        <v/>
      </c>
      <c r="AH6401" s="15" t="str">
        <f t="shared" si="2"/>
        <v/>
      </c>
      <c r="AI6401" s="17" t="str">
        <f>IF(AG6401="","",INDEX('Quitados DUPP'!$G$1:$G$6635,AG6401))</f>
        <v/>
      </c>
      <c r="AJ6401" s="17" t="str">
        <f t="shared" si="3"/>
        <v/>
      </c>
    </row>
    <row r="6402" spans="31:36">
      <c r="AE6402" s="15" t="str">
        <f t="shared" si="0"/>
        <v/>
      </c>
      <c r="AF6402" s="15" t="str">
        <f t="shared" si="1"/>
        <v/>
      </c>
      <c r="AG6402" s="15" t="str">
        <f>IF(OR(AF6402="",AF6402="ERRO_CHAVE"),"",IFERROR(MATCH(AF6402,'Quitados DUPP'!$U$1:$U$6635,0),""))</f>
        <v/>
      </c>
      <c r="AH6402" s="15" t="str">
        <f t="shared" si="2"/>
        <v/>
      </c>
      <c r="AI6402" s="17" t="str">
        <f>IF(AG6402="","",INDEX('Quitados DUPP'!$G$1:$G$6635,AG6402))</f>
        <v/>
      </c>
      <c r="AJ6402" s="17" t="str">
        <f t="shared" si="3"/>
        <v/>
      </c>
    </row>
    <row r="6403" spans="31:36">
      <c r="AE6403" s="15" t="str">
        <f t="shared" si="0"/>
        <v/>
      </c>
      <c r="AF6403" s="15" t="str">
        <f t="shared" si="1"/>
        <v/>
      </c>
      <c r="AG6403" s="15" t="str">
        <f>IF(OR(AF6403="",AF6403="ERRO_CHAVE"),"",IFERROR(MATCH(AF6403,'Quitados DUPP'!$U$1:$U$6635,0),""))</f>
        <v/>
      </c>
      <c r="AH6403" s="15" t="str">
        <f t="shared" si="2"/>
        <v/>
      </c>
      <c r="AI6403" s="17" t="str">
        <f>IF(AG6403="","",INDEX('Quitados DUPP'!$G$1:$G$6635,AG6403))</f>
        <v/>
      </c>
      <c r="AJ6403" s="17" t="str">
        <f t="shared" si="3"/>
        <v/>
      </c>
    </row>
    <row r="6404" spans="31:36">
      <c r="AE6404" s="15" t="str">
        <f t="shared" si="0"/>
        <v/>
      </c>
      <c r="AF6404" s="15" t="str">
        <f t="shared" si="1"/>
        <v/>
      </c>
      <c r="AG6404" s="15" t="str">
        <f>IF(OR(AF6404="",AF6404="ERRO_CHAVE"),"",IFERROR(MATCH(AF6404,'Quitados DUPP'!$U$1:$U$6635,0),""))</f>
        <v/>
      </c>
      <c r="AH6404" s="15" t="str">
        <f t="shared" si="2"/>
        <v/>
      </c>
      <c r="AI6404" s="17" t="str">
        <f>IF(AG6404="","",INDEX('Quitados DUPP'!$G$1:$G$6635,AG6404))</f>
        <v/>
      </c>
      <c r="AJ6404" s="17" t="str">
        <f t="shared" si="3"/>
        <v/>
      </c>
    </row>
    <row r="6405" spans="31:36">
      <c r="AE6405" s="15" t="str">
        <f t="shared" si="0"/>
        <v/>
      </c>
      <c r="AF6405" s="15" t="str">
        <f t="shared" si="1"/>
        <v/>
      </c>
      <c r="AG6405" s="15" t="str">
        <f>IF(OR(AF6405="",AF6405="ERRO_CHAVE"),"",IFERROR(MATCH(AF6405,'Quitados DUPP'!$U$1:$U$6635,0),""))</f>
        <v/>
      </c>
      <c r="AH6405" s="15" t="str">
        <f t="shared" si="2"/>
        <v/>
      </c>
      <c r="AI6405" s="17" t="str">
        <f>IF(AG6405="","",INDEX('Quitados DUPP'!$G$1:$G$6635,AG6405))</f>
        <v/>
      </c>
      <c r="AJ6405" s="17" t="str">
        <f t="shared" si="3"/>
        <v/>
      </c>
    </row>
    <row r="6406" spans="31:36">
      <c r="AE6406" s="15" t="str">
        <f t="shared" si="0"/>
        <v/>
      </c>
      <c r="AF6406" s="15" t="str">
        <f t="shared" si="1"/>
        <v/>
      </c>
      <c r="AG6406" s="15" t="str">
        <f>IF(OR(AF6406="",AF6406="ERRO_CHAVE"),"",IFERROR(MATCH(AF6406,'Quitados DUPP'!$U$1:$U$6635,0),""))</f>
        <v/>
      </c>
      <c r="AH6406" s="15" t="str">
        <f t="shared" si="2"/>
        <v/>
      </c>
      <c r="AI6406" s="17" t="str">
        <f>IF(AG6406="","",INDEX('Quitados DUPP'!$G$1:$G$6635,AG6406))</f>
        <v/>
      </c>
      <c r="AJ6406" s="17" t="str">
        <f t="shared" si="3"/>
        <v/>
      </c>
    </row>
    <row r="6407" spans="31:36">
      <c r="AE6407" s="15" t="str">
        <f t="shared" si="0"/>
        <v/>
      </c>
      <c r="AF6407" s="15" t="str">
        <f t="shared" si="1"/>
        <v/>
      </c>
      <c r="AG6407" s="15" t="str">
        <f>IF(OR(AF6407="",AF6407="ERRO_CHAVE"),"",IFERROR(MATCH(AF6407,'Quitados DUPP'!$U$1:$U$6635,0),""))</f>
        <v/>
      </c>
      <c r="AH6407" s="15" t="str">
        <f t="shared" si="2"/>
        <v/>
      </c>
      <c r="AI6407" s="17" t="str">
        <f>IF(AG6407="","",INDEX('Quitados DUPP'!$G$1:$G$6635,AG6407))</f>
        <v/>
      </c>
      <c r="AJ6407" s="17" t="str">
        <f t="shared" si="3"/>
        <v/>
      </c>
    </row>
    <row r="6408" spans="31:36">
      <c r="AE6408" s="15" t="str">
        <f t="shared" si="0"/>
        <v/>
      </c>
      <c r="AF6408" s="15" t="str">
        <f t="shared" si="1"/>
        <v/>
      </c>
      <c r="AG6408" s="15" t="str">
        <f>IF(OR(AF6408="",AF6408="ERRO_CHAVE"),"",IFERROR(MATCH(AF6408,'Quitados DUPP'!$U$1:$U$6635,0),""))</f>
        <v/>
      </c>
      <c r="AH6408" s="15" t="str">
        <f t="shared" si="2"/>
        <v/>
      </c>
      <c r="AI6408" s="17" t="str">
        <f>IF(AG6408="","",INDEX('Quitados DUPP'!$G$1:$G$6635,AG6408))</f>
        <v/>
      </c>
      <c r="AJ6408" s="17" t="str">
        <f t="shared" si="3"/>
        <v/>
      </c>
    </row>
    <row r="6409" spans="31:36">
      <c r="AE6409" s="15" t="str">
        <f t="shared" si="0"/>
        <v/>
      </c>
      <c r="AF6409" s="15" t="str">
        <f t="shared" si="1"/>
        <v/>
      </c>
      <c r="AG6409" s="15" t="str">
        <f>IF(OR(AF6409="",AF6409="ERRO_CHAVE"),"",IFERROR(MATCH(AF6409,'Quitados DUPP'!$U$1:$U$6635,0),""))</f>
        <v/>
      </c>
      <c r="AH6409" s="15" t="str">
        <f t="shared" si="2"/>
        <v/>
      </c>
      <c r="AI6409" s="17" t="str">
        <f>IF(AG6409="","",INDEX('Quitados DUPP'!$G$1:$G$6635,AG6409))</f>
        <v/>
      </c>
      <c r="AJ6409" s="17" t="str">
        <f t="shared" si="3"/>
        <v/>
      </c>
    </row>
    <row r="6410" spans="31:36">
      <c r="AE6410" s="15" t="str">
        <f t="shared" si="0"/>
        <v/>
      </c>
      <c r="AF6410" s="15" t="str">
        <f t="shared" si="1"/>
        <v/>
      </c>
      <c r="AG6410" s="15" t="str">
        <f>IF(OR(AF6410="",AF6410="ERRO_CHAVE"),"",IFERROR(MATCH(AF6410,'Quitados DUPP'!$U$1:$U$6635,0),""))</f>
        <v/>
      </c>
      <c r="AH6410" s="15" t="str">
        <f t="shared" si="2"/>
        <v/>
      </c>
      <c r="AI6410" s="17" t="str">
        <f>IF(AG6410="","",INDEX('Quitados DUPP'!$G$1:$G$6635,AG6410))</f>
        <v/>
      </c>
      <c r="AJ6410" s="17" t="str">
        <f t="shared" si="3"/>
        <v/>
      </c>
    </row>
    <row r="6411" spans="31:36">
      <c r="AE6411" s="15" t="str">
        <f t="shared" si="0"/>
        <v/>
      </c>
      <c r="AF6411" s="15" t="str">
        <f t="shared" si="1"/>
        <v/>
      </c>
      <c r="AG6411" s="15" t="str">
        <f>IF(OR(AF6411="",AF6411="ERRO_CHAVE"),"",IFERROR(MATCH(AF6411,'Quitados DUPP'!$U$1:$U$6635,0),""))</f>
        <v/>
      </c>
      <c r="AH6411" s="15" t="str">
        <f t="shared" si="2"/>
        <v/>
      </c>
      <c r="AI6411" s="17" t="str">
        <f>IF(AG6411="","",INDEX('Quitados DUPP'!$G$1:$G$6635,AG6411))</f>
        <v/>
      </c>
      <c r="AJ6411" s="17" t="str">
        <f t="shared" si="3"/>
        <v/>
      </c>
    </row>
    <row r="6412" spans="31:36">
      <c r="AE6412" s="15" t="str">
        <f t="shared" si="0"/>
        <v/>
      </c>
      <c r="AF6412" s="15" t="str">
        <f t="shared" si="1"/>
        <v/>
      </c>
      <c r="AG6412" s="15" t="str">
        <f>IF(OR(AF6412="",AF6412="ERRO_CHAVE"),"",IFERROR(MATCH(AF6412,'Quitados DUPP'!$U$1:$U$6635,0),""))</f>
        <v/>
      </c>
      <c r="AH6412" s="15" t="str">
        <f t="shared" si="2"/>
        <v/>
      </c>
      <c r="AI6412" s="17" t="str">
        <f>IF(AG6412="","",INDEX('Quitados DUPP'!$G$1:$G$6635,AG6412))</f>
        <v/>
      </c>
      <c r="AJ6412" s="17" t="str">
        <f t="shared" si="3"/>
        <v/>
      </c>
    </row>
    <row r="6413" spans="31:36">
      <c r="AE6413" s="15" t="str">
        <f t="shared" si="0"/>
        <v/>
      </c>
      <c r="AF6413" s="15" t="str">
        <f t="shared" si="1"/>
        <v/>
      </c>
      <c r="AG6413" s="15" t="str">
        <f>IF(OR(AF6413="",AF6413="ERRO_CHAVE"),"",IFERROR(MATCH(AF6413,'Quitados DUPP'!$U$1:$U$6635,0),""))</f>
        <v/>
      </c>
      <c r="AH6413" s="15" t="str">
        <f t="shared" si="2"/>
        <v/>
      </c>
      <c r="AI6413" s="17" t="str">
        <f>IF(AG6413="","",INDEX('Quitados DUPP'!$G$1:$G$6635,AG6413))</f>
        <v/>
      </c>
      <c r="AJ6413" s="17" t="str">
        <f t="shared" si="3"/>
        <v/>
      </c>
    </row>
    <row r="6414" spans="31:36">
      <c r="AE6414" s="15" t="str">
        <f t="shared" si="0"/>
        <v/>
      </c>
      <c r="AF6414" s="15" t="str">
        <f t="shared" si="1"/>
        <v/>
      </c>
      <c r="AG6414" s="15" t="str">
        <f>IF(OR(AF6414="",AF6414="ERRO_CHAVE"),"",IFERROR(MATCH(AF6414,'Quitados DUPP'!$U$1:$U$6635,0),""))</f>
        <v/>
      </c>
      <c r="AH6414" s="15" t="str">
        <f t="shared" si="2"/>
        <v/>
      </c>
      <c r="AI6414" s="17" t="str">
        <f>IF(AG6414="","",INDEX('Quitados DUPP'!$G$1:$G$6635,AG6414))</f>
        <v/>
      </c>
      <c r="AJ6414" s="17" t="str">
        <f t="shared" si="3"/>
        <v/>
      </c>
    </row>
    <row r="6415" spans="31:36">
      <c r="AE6415" s="15" t="str">
        <f t="shared" si="0"/>
        <v/>
      </c>
      <c r="AF6415" s="15" t="str">
        <f t="shared" si="1"/>
        <v/>
      </c>
      <c r="AG6415" s="15" t="str">
        <f>IF(OR(AF6415="",AF6415="ERRO_CHAVE"),"",IFERROR(MATCH(AF6415,'Quitados DUPP'!$U$1:$U$6635,0),""))</f>
        <v/>
      </c>
      <c r="AH6415" s="15" t="str">
        <f t="shared" si="2"/>
        <v/>
      </c>
      <c r="AI6415" s="17" t="str">
        <f>IF(AG6415="","",INDEX('Quitados DUPP'!$G$1:$G$6635,AG6415))</f>
        <v/>
      </c>
      <c r="AJ6415" s="17" t="str">
        <f t="shared" si="3"/>
        <v/>
      </c>
    </row>
    <row r="6416" spans="31:36">
      <c r="AE6416" s="15" t="str">
        <f t="shared" si="0"/>
        <v/>
      </c>
      <c r="AF6416" s="15" t="str">
        <f t="shared" si="1"/>
        <v/>
      </c>
      <c r="AG6416" s="15" t="str">
        <f>IF(OR(AF6416="",AF6416="ERRO_CHAVE"),"",IFERROR(MATCH(AF6416,'Quitados DUPP'!$U$1:$U$6635,0),""))</f>
        <v/>
      </c>
      <c r="AH6416" s="15" t="str">
        <f t="shared" si="2"/>
        <v/>
      </c>
      <c r="AI6416" s="17" t="str">
        <f>IF(AG6416="","",INDEX('Quitados DUPP'!$G$1:$G$6635,AG6416))</f>
        <v/>
      </c>
      <c r="AJ6416" s="17" t="str">
        <f t="shared" si="3"/>
        <v/>
      </c>
    </row>
    <row r="6417" spans="31:36">
      <c r="AE6417" s="15" t="str">
        <f t="shared" si="0"/>
        <v/>
      </c>
      <c r="AF6417" s="15" t="str">
        <f t="shared" si="1"/>
        <v/>
      </c>
      <c r="AG6417" s="15" t="str">
        <f>IF(OR(AF6417="",AF6417="ERRO_CHAVE"),"",IFERROR(MATCH(AF6417,'Quitados DUPP'!$U$1:$U$6635,0),""))</f>
        <v/>
      </c>
      <c r="AH6417" s="15" t="str">
        <f t="shared" si="2"/>
        <v/>
      </c>
      <c r="AI6417" s="17" t="str">
        <f>IF(AG6417="","",INDEX('Quitados DUPP'!$G$1:$G$6635,AG6417))</f>
        <v/>
      </c>
      <c r="AJ6417" s="17" t="str">
        <f t="shared" si="3"/>
        <v/>
      </c>
    </row>
    <row r="6418" spans="31:36">
      <c r="AE6418" s="15" t="str">
        <f t="shared" si="0"/>
        <v/>
      </c>
      <c r="AF6418" s="15" t="str">
        <f t="shared" si="1"/>
        <v/>
      </c>
      <c r="AG6418" s="15" t="str">
        <f>IF(OR(AF6418="",AF6418="ERRO_CHAVE"),"",IFERROR(MATCH(AF6418,'Quitados DUPP'!$U$1:$U$6635,0),""))</f>
        <v/>
      </c>
      <c r="AH6418" s="15" t="str">
        <f t="shared" si="2"/>
        <v/>
      </c>
      <c r="AI6418" s="17" t="str">
        <f>IF(AG6418="","",INDEX('Quitados DUPP'!$G$1:$G$6635,AG6418))</f>
        <v/>
      </c>
      <c r="AJ6418" s="17" t="str">
        <f t="shared" si="3"/>
        <v/>
      </c>
    </row>
    <row r="6419" spans="31:36">
      <c r="AE6419" s="15" t="str">
        <f t="shared" si="0"/>
        <v/>
      </c>
      <c r="AF6419" s="15" t="str">
        <f t="shared" si="1"/>
        <v/>
      </c>
      <c r="AG6419" s="15" t="str">
        <f>IF(OR(AF6419="",AF6419="ERRO_CHAVE"),"",IFERROR(MATCH(AF6419,'Quitados DUPP'!$U$1:$U$6635,0),""))</f>
        <v/>
      </c>
      <c r="AH6419" s="15" t="str">
        <f t="shared" si="2"/>
        <v/>
      </c>
      <c r="AI6419" s="17" t="str">
        <f>IF(AG6419="","",INDEX('Quitados DUPP'!$G$1:$G$6635,AG6419))</f>
        <v/>
      </c>
      <c r="AJ6419" s="17" t="str">
        <f t="shared" si="3"/>
        <v/>
      </c>
    </row>
    <row r="6420" spans="31:36">
      <c r="AE6420" s="15" t="str">
        <f t="shared" si="0"/>
        <v/>
      </c>
      <c r="AF6420" s="15" t="str">
        <f t="shared" si="1"/>
        <v/>
      </c>
      <c r="AG6420" s="15" t="str">
        <f>IF(OR(AF6420="",AF6420="ERRO_CHAVE"),"",IFERROR(MATCH(AF6420,'Quitados DUPP'!$U$1:$U$6635,0),""))</f>
        <v/>
      </c>
      <c r="AH6420" s="15" t="str">
        <f t="shared" si="2"/>
        <v/>
      </c>
      <c r="AI6420" s="17" t="str">
        <f>IF(AG6420="","",INDEX('Quitados DUPP'!$G$1:$G$6635,AG6420))</f>
        <v/>
      </c>
      <c r="AJ6420" s="17" t="str">
        <f t="shared" si="3"/>
        <v/>
      </c>
    </row>
    <row r="6421" spans="31:36">
      <c r="AE6421" s="15" t="str">
        <f t="shared" si="0"/>
        <v/>
      </c>
      <c r="AF6421" s="15" t="str">
        <f t="shared" si="1"/>
        <v/>
      </c>
      <c r="AG6421" s="15" t="str">
        <f>IF(OR(AF6421="",AF6421="ERRO_CHAVE"),"",IFERROR(MATCH(AF6421,'Quitados DUPP'!$U$1:$U$6635,0),""))</f>
        <v/>
      </c>
      <c r="AH6421" s="15" t="str">
        <f t="shared" si="2"/>
        <v/>
      </c>
      <c r="AI6421" s="17" t="str">
        <f>IF(AG6421="","",INDEX('Quitados DUPP'!$G$1:$G$6635,AG6421))</f>
        <v/>
      </c>
      <c r="AJ6421" s="17" t="str">
        <f t="shared" si="3"/>
        <v/>
      </c>
    </row>
    <row r="6422" spans="31:36">
      <c r="AE6422" s="15" t="str">
        <f t="shared" si="0"/>
        <v/>
      </c>
      <c r="AF6422" s="15" t="str">
        <f t="shared" si="1"/>
        <v/>
      </c>
      <c r="AG6422" s="15" t="str">
        <f>IF(OR(AF6422="",AF6422="ERRO_CHAVE"),"",IFERROR(MATCH(AF6422,'Quitados DUPP'!$U$1:$U$6635,0),""))</f>
        <v/>
      </c>
      <c r="AH6422" s="15" t="str">
        <f t="shared" si="2"/>
        <v/>
      </c>
      <c r="AI6422" s="17" t="str">
        <f>IF(AG6422="","",INDEX('Quitados DUPP'!$G$1:$G$6635,AG6422))</f>
        <v/>
      </c>
      <c r="AJ6422" s="17" t="str">
        <f t="shared" si="3"/>
        <v/>
      </c>
    </row>
    <row r="6423" spans="31:36">
      <c r="AE6423" s="15" t="str">
        <f t="shared" si="0"/>
        <v/>
      </c>
      <c r="AF6423" s="15" t="str">
        <f t="shared" si="1"/>
        <v/>
      </c>
      <c r="AG6423" s="15" t="str">
        <f>IF(OR(AF6423="",AF6423="ERRO_CHAVE"),"",IFERROR(MATCH(AF6423,'Quitados DUPP'!$U$1:$U$6635,0),""))</f>
        <v/>
      </c>
      <c r="AH6423" s="15" t="str">
        <f t="shared" si="2"/>
        <v/>
      </c>
      <c r="AI6423" s="17" t="str">
        <f>IF(AG6423="","",INDEX('Quitados DUPP'!$G$1:$G$6635,AG6423))</f>
        <v/>
      </c>
      <c r="AJ6423" s="17" t="str">
        <f t="shared" si="3"/>
        <v/>
      </c>
    </row>
    <row r="6424" spans="31:36">
      <c r="AE6424" s="15" t="str">
        <f t="shared" si="0"/>
        <v/>
      </c>
      <c r="AF6424" s="15" t="str">
        <f t="shared" si="1"/>
        <v/>
      </c>
      <c r="AG6424" s="15" t="str">
        <f>IF(OR(AF6424="",AF6424="ERRO_CHAVE"),"",IFERROR(MATCH(AF6424,'Quitados DUPP'!$U$1:$U$6635,0),""))</f>
        <v/>
      </c>
      <c r="AH6424" s="15" t="str">
        <f t="shared" si="2"/>
        <v/>
      </c>
      <c r="AI6424" s="17" t="str">
        <f>IF(AG6424="","",INDEX('Quitados DUPP'!$G$1:$G$6635,AG6424))</f>
        <v/>
      </c>
      <c r="AJ6424" s="17" t="str">
        <f t="shared" si="3"/>
        <v/>
      </c>
    </row>
    <row r="6425" spans="31:36">
      <c r="AE6425" s="15" t="str">
        <f t="shared" si="0"/>
        <v/>
      </c>
      <c r="AF6425" s="15" t="str">
        <f t="shared" si="1"/>
        <v/>
      </c>
      <c r="AG6425" s="15" t="str">
        <f>IF(OR(AF6425="",AF6425="ERRO_CHAVE"),"",IFERROR(MATCH(AF6425,'Quitados DUPP'!$U$1:$U$6635,0),""))</f>
        <v/>
      </c>
      <c r="AH6425" s="15" t="str">
        <f t="shared" si="2"/>
        <v/>
      </c>
      <c r="AI6425" s="17" t="str">
        <f>IF(AG6425="","",INDEX('Quitados DUPP'!$G$1:$G$6635,AG6425))</f>
        <v/>
      </c>
      <c r="AJ6425" s="17" t="str">
        <f t="shared" si="3"/>
        <v/>
      </c>
    </row>
    <row r="6426" spans="31:36">
      <c r="AE6426" s="15" t="str">
        <f t="shared" si="0"/>
        <v/>
      </c>
      <c r="AF6426" s="15" t="str">
        <f t="shared" si="1"/>
        <v/>
      </c>
      <c r="AG6426" s="15" t="str">
        <f>IF(OR(AF6426="",AF6426="ERRO_CHAVE"),"",IFERROR(MATCH(AF6426,'Quitados DUPP'!$U$1:$U$6635,0),""))</f>
        <v/>
      </c>
      <c r="AH6426" s="15" t="str">
        <f t="shared" si="2"/>
        <v/>
      </c>
      <c r="AI6426" s="17" t="str">
        <f>IF(AG6426="","",INDEX('Quitados DUPP'!$G$1:$G$6635,AG6426))</f>
        <v/>
      </c>
      <c r="AJ6426" s="17" t="str">
        <f t="shared" si="3"/>
        <v/>
      </c>
    </row>
    <row r="6427" spans="31:36">
      <c r="AE6427" s="15" t="str">
        <f t="shared" si="0"/>
        <v/>
      </c>
      <c r="AF6427" s="15" t="str">
        <f t="shared" si="1"/>
        <v/>
      </c>
      <c r="AG6427" s="15" t="str">
        <f>IF(OR(AF6427="",AF6427="ERRO_CHAVE"),"",IFERROR(MATCH(AF6427,'Quitados DUPP'!$U$1:$U$6635,0),""))</f>
        <v/>
      </c>
      <c r="AH6427" s="15" t="str">
        <f t="shared" si="2"/>
        <v/>
      </c>
      <c r="AI6427" s="17" t="str">
        <f>IF(AG6427="","",INDEX('Quitados DUPP'!$G$1:$G$6635,AG6427))</f>
        <v/>
      </c>
      <c r="AJ6427" s="17" t="str">
        <f t="shared" si="3"/>
        <v/>
      </c>
    </row>
    <row r="6428" spans="31:36">
      <c r="AE6428" s="15" t="str">
        <f t="shared" si="0"/>
        <v/>
      </c>
      <c r="AF6428" s="15" t="str">
        <f t="shared" si="1"/>
        <v/>
      </c>
      <c r="AG6428" s="15" t="str">
        <f>IF(OR(AF6428="",AF6428="ERRO_CHAVE"),"",IFERROR(MATCH(AF6428,'Quitados DUPP'!$U$1:$U$6635,0),""))</f>
        <v/>
      </c>
      <c r="AH6428" s="15" t="str">
        <f t="shared" si="2"/>
        <v/>
      </c>
      <c r="AI6428" s="17" t="str">
        <f>IF(AG6428="","",INDEX('Quitados DUPP'!$G$1:$G$6635,AG6428))</f>
        <v/>
      </c>
      <c r="AJ6428" s="17" t="str">
        <f t="shared" si="3"/>
        <v/>
      </c>
    </row>
    <row r="6429" spans="31:36">
      <c r="AE6429" s="15" t="str">
        <f t="shared" si="0"/>
        <v/>
      </c>
      <c r="AF6429" s="15" t="str">
        <f t="shared" si="1"/>
        <v/>
      </c>
      <c r="AG6429" s="15" t="str">
        <f>IF(OR(AF6429="",AF6429="ERRO_CHAVE"),"",IFERROR(MATCH(AF6429,'Quitados DUPP'!$U$1:$U$6635,0),""))</f>
        <v/>
      </c>
      <c r="AH6429" s="15" t="str">
        <f t="shared" si="2"/>
        <v/>
      </c>
      <c r="AI6429" s="17" t="str">
        <f>IF(AG6429="","",INDEX('Quitados DUPP'!$G$1:$G$6635,AG6429))</f>
        <v/>
      </c>
      <c r="AJ6429" s="17" t="str">
        <f t="shared" si="3"/>
        <v/>
      </c>
    </row>
    <row r="6430" spans="31:36">
      <c r="AE6430" s="15" t="str">
        <f t="shared" si="0"/>
        <v/>
      </c>
      <c r="AF6430" s="15" t="str">
        <f t="shared" si="1"/>
        <v/>
      </c>
      <c r="AG6430" s="15" t="str">
        <f>IF(OR(AF6430="",AF6430="ERRO_CHAVE"),"",IFERROR(MATCH(AF6430,'Quitados DUPP'!$U$1:$U$6635,0),""))</f>
        <v/>
      </c>
      <c r="AH6430" s="15" t="str">
        <f t="shared" si="2"/>
        <v/>
      </c>
      <c r="AI6430" s="17" t="str">
        <f>IF(AG6430="","",INDEX('Quitados DUPP'!$G$1:$G$6635,AG6430))</f>
        <v/>
      </c>
      <c r="AJ6430" s="17" t="str">
        <f t="shared" si="3"/>
        <v/>
      </c>
    </row>
    <row r="6431" spans="31:36">
      <c r="AE6431" s="15" t="str">
        <f t="shared" si="0"/>
        <v/>
      </c>
      <c r="AF6431" s="15" t="str">
        <f t="shared" si="1"/>
        <v/>
      </c>
      <c r="AG6431" s="15" t="str">
        <f>IF(OR(AF6431="",AF6431="ERRO_CHAVE"),"",IFERROR(MATCH(AF6431,'Quitados DUPP'!$U$1:$U$6635,0),""))</f>
        <v/>
      </c>
      <c r="AH6431" s="15" t="str">
        <f t="shared" si="2"/>
        <v/>
      </c>
      <c r="AI6431" s="17" t="str">
        <f>IF(AG6431="","",INDEX('Quitados DUPP'!$G$1:$G$6635,AG6431))</f>
        <v/>
      </c>
      <c r="AJ6431" s="17" t="str">
        <f t="shared" si="3"/>
        <v/>
      </c>
    </row>
    <row r="6432" spans="31:36">
      <c r="AE6432" s="15" t="str">
        <f t="shared" si="0"/>
        <v/>
      </c>
      <c r="AF6432" s="15" t="str">
        <f t="shared" si="1"/>
        <v/>
      </c>
      <c r="AG6432" s="15" t="str">
        <f>IF(OR(AF6432="",AF6432="ERRO_CHAVE"),"",IFERROR(MATCH(AF6432,'Quitados DUPP'!$U$1:$U$6635,0),""))</f>
        <v/>
      </c>
      <c r="AH6432" s="15" t="str">
        <f t="shared" si="2"/>
        <v/>
      </c>
      <c r="AI6432" s="17" t="str">
        <f>IF(AG6432="","",INDEX('Quitados DUPP'!$G$1:$G$6635,AG6432))</f>
        <v/>
      </c>
      <c r="AJ6432" s="17" t="str">
        <f t="shared" si="3"/>
        <v/>
      </c>
    </row>
    <row r="6433" spans="31:36">
      <c r="AE6433" s="15" t="str">
        <f t="shared" si="0"/>
        <v/>
      </c>
      <c r="AF6433" s="15" t="str">
        <f t="shared" si="1"/>
        <v/>
      </c>
      <c r="AG6433" s="15" t="str">
        <f>IF(OR(AF6433="",AF6433="ERRO_CHAVE"),"",IFERROR(MATCH(AF6433,'Quitados DUPP'!$U$1:$U$6635,0),""))</f>
        <v/>
      </c>
      <c r="AH6433" s="15" t="str">
        <f t="shared" si="2"/>
        <v/>
      </c>
      <c r="AI6433" s="17" t="str">
        <f>IF(AG6433="","",INDEX('Quitados DUPP'!$G$1:$G$6635,AG6433))</f>
        <v/>
      </c>
      <c r="AJ6433" s="17" t="str">
        <f t="shared" si="3"/>
        <v/>
      </c>
    </row>
    <row r="6434" spans="31:36">
      <c r="AE6434" s="15" t="str">
        <f t="shared" si="0"/>
        <v/>
      </c>
      <c r="AF6434" s="15" t="str">
        <f t="shared" si="1"/>
        <v/>
      </c>
      <c r="AG6434" s="15" t="str">
        <f>IF(OR(AF6434="",AF6434="ERRO_CHAVE"),"",IFERROR(MATCH(AF6434,'Quitados DUPP'!$U$1:$U$6635,0),""))</f>
        <v/>
      </c>
      <c r="AH6434" s="15" t="str">
        <f t="shared" si="2"/>
        <v/>
      </c>
      <c r="AI6434" s="17" t="str">
        <f>IF(AG6434="","",INDEX('Quitados DUPP'!$G$1:$G$6635,AG6434))</f>
        <v/>
      </c>
      <c r="AJ6434" s="17" t="str">
        <f t="shared" si="3"/>
        <v/>
      </c>
    </row>
    <row r="6435" spans="31:36">
      <c r="AE6435" s="15" t="str">
        <f t="shared" si="0"/>
        <v/>
      </c>
      <c r="AF6435" s="15" t="str">
        <f t="shared" si="1"/>
        <v/>
      </c>
      <c r="AG6435" s="15" t="str">
        <f>IF(OR(AF6435="",AF6435="ERRO_CHAVE"),"",IFERROR(MATCH(AF6435,'Quitados DUPP'!$U$1:$U$6635,0),""))</f>
        <v/>
      </c>
      <c r="AH6435" s="15" t="str">
        <f t="shared" si="2"/>
        <v/>
      </c>
      <c r="AI6435" s="17" t="str">
        <f>IF(AG6435="","",INDEX('Quitados DUPP'!$G$1:$G$6635,AG6435))</f>
        <v/>
      </c>
      <c r="AJ6435" s="17" t="str">
        <f t="shared" si="3"/>
        <v/>
      </c>
    </row>
    <row r="6436" spans="31:36">
      <c r="AE6436" s="15" t="str">
        <f t="shared" si="0"/>
        <v/>
      </c>
      <c r="AF6436" s="15" t="str">
        <f t="shared" si="1"/>
        <v/>
      </c>
      <c r="AG6436" s="15" t="str">
        <f>IF(OR(AF6436="",AF6436="ERRO_CHAVE"),"",IFERROR(MATCH(AF6436,'Quitados DUPP'!$U$1:$U$6635,0),""))</f>
        <v/>
      </c>
      <c r="AH6436" s="15" t="str">
        <f t="shared" si="2"/>
        <v/>
      </c>
      <c r="AI6436" s="17" t="str">
        <f>IF(AG6436="","",INDEX('Quitados DUPP'!$G$1:$G$6635,AG6436))</f>
        <v/>
      </c>
      <c r="AJ6436" s="17" t="str">
        <f t="shared" si="3"/>
        <v/>
      </c>
    </row>
    <row r="6437" spans="31:36">
      <c r="AE6437" s="15" t="str">
        <f t="shared" si="0"/>
        <v/>
      </c>
      <c r="AF6437" s="15" t="str">
        <f t="shared" si="1"/>
        <v/>
      </c>
      <c r="AG6437" s="15" t="str">
        <f>IF(OR(AF6437="",AF6437="ERRO_CHAVE"),"",IFERROR(MATCH(AF6437,'Quitados DUPP'!$U$1:$U$6635,0),""))</f>
        <v/>
      </c>
      <c r="AH6437" s="15" t="str">
        <f t="shared" si="2"/>
        <v/>
      </c>
      <c r="AI6437" s="17" t="str">
        <f>IF(AG6437="","",INDEX('Quitados DUPP'!$G$1:$G$6635,AG6437))</f>
        <v/>
      </c>
      <c r="AJ6437" s="17" t="str">
        <f t="shared" si="3"/>
        <v/>
      </c>
    </row>
    <row r="6438" spans="31:36">
      <c r="AE6438" s="15" t="str">
        <f t="shared" si="0"/>
        <v/>
      </c>
      <c r="AF6438" s="15" t="str">
        <f t="shared" si="1"/>
        <v/>
      </c>
      <c r="AG6438" s="15" t="str">
        <f>IF(OR(AF6438="",AF6438="ERRO_CHAVE"),"",IFERROR(MATCH(AF6438,'Quitados DUPP'!$U$1:$U$6635,0),""))</f>
        <v/>
      </c>
      <c r="AH6438" s="15" t="str">
        <f t="shared" si="2"/>
        <v/>
      </c>
      <c r="AI6438" s="17" t="str">
        <f>IF(AG6438="","",INDEX('Quitados DUPP'!$G$1:$G$6635,AG6438))</f>
        <v/>
      </c>
      <c r="AJ6438" s="17" t="str">
        <f t="shared" si="3"/>
        <v/>
      </c>
    </row>
    <row r="6439" spans="31:36">
      <c r="AE6439" s="15" t="str">
        <f t="shared" si="0"/>
        <v/>
      </c>
      <c r="AF6439" s="15" t="str">
        <f t="shared" si="1"/>
        <v/>
      </c>
      <c r="AG6439" s="15" t="str">
        <f>IF(OR(AF6439="",AF6439="ERRO_CHAVE"),"",IFERROR(MATCH(AF6439,'Quitados DUPP'!$U$1:$U$6635,0),""))</f>
        <v/>
      </c>
      <c r="AH6439" s="15" t="str">
        <f t="shared" si="2"/>
        <v/>
      </c>
      <c r="AI6439" s="17" t="str">
        <f>IF(AG6439="","",INDEX('Quitados DUPP'!$G$1:$G$6635,AG6439))</f>
        <v/>
      </c>
      <c r="AJ6439" s="17" t="str">
        <f t="shared" si="3"/>
        <v/>
      </c>
    </row>
    <row r="6440" spans="31:36">
      <c r="AE6440" s="15" t="str">
        <f t="shared" si="0"/>
        <v/>
      </c>
      <c r="AF6440" s="15" t="str">
        <f t="shared" si="1"/>
        <v/>
      </c>
      <c r="AG6440" s="15" t="str">
        <f>IF(OR(AF6440="",AF6440="ERRO_CHAVE"),"",IFERROR(MATCH(AF6440,'Quitados DUPP'!$U$1:$U$6635,0),""))</f>
        <v/>
      </c>
      <c r="AH6440" s="15" t="str">
        <f t="shared" si="2"/>
        <v/>
      </c>
      <c r="AI6440" s="17" t="str">
        <f>IF(AG6440="","",INDEX('Quitados DUPP'!$G$1:$G$6635,AG6440))</f>
        <v/>
      </c>
      <c r="AJ6440" s="17" t="str">
        <f t="shared" si="3"/>
        <v/>
      </c>
    </row>
    <row r="6441" spans="31:36">
      <c r="AE6441" s="15" t="str">
        <f t="shared" si="0"/>
        <v/>
      </c>
      <c r="AF6441" s="15" t="str">
        <f t="shared" si="1"/>
        <v/>
      </c>
      <c r="AG6441" s="15" t="str">
        <f>IF(OR(AF6441="",AF6441="ERRO_CHAVE"),"",IFERROR(MATCH(AF6441,'Quitados DUPP'!$U$1:$U$6635,0),""))</f>
        <v/>
      </c>
      <c r="AH6441" s="15" t="str">
        <f t="shared" si="2"/>
        <v/>
      </c>
      <c r="AI6441" s="17" t="str">
        <f>IF(AG6441="","",INDEX('Quitados DUPP'!$G$1:$G$6635,AG6441))</f>
        <v/>
      </c>
      <c r="AJ6441" s="17" t="str">
        <f t="shared" si="3"/>
        <v/>
      </c>
    </row>
    <row r="6442" spans="31:36">
      <c r="AE6442" s="15" t="str">
        <f t="shared" si="0"/>
        <v/>
      </c>
      <c r="AF6442" s="15" t="str">
        <f t="shared" si="1"/>
        <v/>
      </c>
      <c r="AG6442" s="15" t="str">
        <f>IF(OR(AF6442="",AF6442="ERRO_CHAVE"),"",IFERROR(MATCH(AF6442,'Quitados DUPP'!$U$1:$U$6635,0),""))</f>
        <v/>
      </c>
      <c r="AH6442" s="15" t="str">
        <f t="shared" si="2"/>
        <v/>
      </c>
      <c r="AI6442" s="17" t="str">
        <f>IF(AG6442="","",INDEX('Quitados DUPP'!$G$1:$G$6635,AG6442))</f>
        <v/>
      </c>
      <c r="AJ6442" s="17" t="str">
        <f t="shared" si="3"/>
        <v/>
      </c>
    </row>
    <row r="6443" spans="31:36">
      <c r="AE6443" s="15" t="str">
        <f t="shared" si="0"/>
        <v/>
      </c>
      <c r="AF6443" s="15" t="str">
        <f t="shared" si="1"/>
        <v/>
      </c>
      <c r="AG6443" s="15" t="str">
        <f>IF(OR(AF6443="",AF6443="ERRO_CHAVE"),"",IFERROR(MATCH(AF6443,'Quitados DUPP'!$U$1:$U$6635,0),""))</f>
        <v/>
      </c>
      <c r="AH6443" s="15" t="str">
        <f t="shared" si="2"/>
        <v/>
      </c>
      <c r="AI6443" s="17" t="str">
        <f>IF(AG6443="","",INDEX('Quitados DUPP'!$G$1:$G$6635,AG6443))</f>
        <v/>
      </c>
      <c r="AJ6443" s="17" t="str">
        <f t="shared" si="3"/>
        <v/>
      </c>
    </row>
    <row r="6444" spans="31:36">
      <c r="AE6444" s="15" t="str">
        <f t="shared" si="0"/>
        <v/>
      </c>
      <c r="AF6444" s="15" t="str">
        <f t="shared" si="1"/>
        <v/>
      </c>
      <c r="AG6444" s="15" t="str">
        <f>IF(OR(AF6444="",AF6444="ERRO_CHAVE"),"",IFERROR(MATCH(AF6444,'Quitados DUPP'!$U$1:$U$6635,0),""))</f>
        <v/>
      </c>
      <c r="AH6444" s="15" t="str">
        <f t="shared" si="2"/>
        <v/>
      </c>
      <c r="AI6444" s="17" t="str">
        <f>IF(AG6444="","",INDEX('Quitados DUPP'!$G$1:$G$6635,AG6444))</f>
        <v/>
      </c>
      <c r="AJ6444" s="17" t="str">
        <f t="shared" si="3"/>
        <v/>
      </c>
    </row>
    <row r="6445" spans="31:36">
      <c r="AE6445" s="15" t="str">
        <f t="shared" si="0"/>
        <v/>
      </c>
      <c r="AF6445" s="15" t="str">
        <f t="shared" si="1"/>
        <v/>
      </c>
      <c r="AG6445" s="15" t="str">
        <f>IF(OR(AF6445="",AF6445="ERRO_CHAVE"),"",IFERROR(MATCH(AF6445,'Quitados DUPP'!$U$1:$U$6635,0),""))</f>
        <v/>
      </c>
      <c r="AH6445" s="15" t="str">
        <f t="shared" si="2"/>
        <v/>
      </c>
      <c r="AI6445" s="17" t="str">
        <f>IF(AG6445="","",INDEX('Quitados DUPP'!$G$1:$G$6635,AG6445))</f>
        <v/>
      </c>
      <c r="AJ6445" s="17" t="str">
        <f t="shared" si="3"/>
        <v/>
      </c>
    </row>
    <row r="6446" spans="31:36">
      <c r="AE6446" s="15" t="str">
        <f t="shared" si="0"/>
        <v/>
      </c>
      <c r="AF6446" s="15" t="str">
        <f t="shared" si="1"/>
        <v/>
      </c>
      <c r="AG6446" s="15" t="str">
        <f>IF(OR(AF6446="",AF6446="ERRO_CHAVE"),"",IFERROR(MATCH(AF6446,'Quitados DUPP'!$U$1:$U$6635,0),""))</f>
        <v/>
      </c>
      <c r="AH6446" s="15" t="str">
        <f t="shared" si="2"/>
        <v/>
      </c>
      <c r="AI6446" s="17" t="str">
        <f>IF(AG6446="","",INDEX('Quitados DUPP'!$G$1:$G$6635,AG6446))</f>
        <v/>
      </c>
      <c r="AJ6446" s="17" t="str">
        <f t="shared" si="3"/>
        <v/>
      </c>
    </row>
    <row r="6447" spans="31:36">
      <c r="AE6447" s="15" t="str">
        <f t="shared" si="0"/>
        <v/>
      </c>
      <c r="AF6447" s="15" t="str">
        <f t="shared" si="1"/>
        <v/>
      </c>
      <c r="AG6447" s="15" t="str">
        <f>IF(OR(AF6447="",AF6447="ERRO_CHAVE"),"",IFERROR(MATCH(AF6447,'Quitados DUPP'!$U$1:$U$6635,0),""))</f>
        <v/>
      </c>
      <c r="AH6447" s="15" t="str">
        <f t="shared" si="2"/>
        <v/>
      </c>
      <c r="AI6447" s="17" t="str">
        <f>IF(AG6447="","",INDEX('Quitados DUPP'!$G$1:$G$6635,AG6447))</f>
        <v/>
      </c>
      <c r="AJ6447" s="17" t="str">
        <f t="shared" si="3"/>
        <v/>
      </c>
    </row>
    <row r="6448" spans="31:36">
      <c r="AE6448" s="15" t="str">
        <f t="shared" si="0"/>
        <v/>
      </c>
      <c r="AF6448" s="15" t="str">
        <f t="shared" si="1"/>
        <v/>
      </c>
      <c r="AG6448" s="15" t="str">
        <f>IF(OR(AF6448="",AF6448="ERRO_CHAVE"),"",IFERROR(MATCH(AF6448,'Quitados DUPP'!$U$1:$U$6635,0),""))</f>
        <v/>
      </c>
      <c r="AH6448" s="15" t="str">
        <f t="shared" si="2"/>
        <v/>
      </c>
      <c r="AI6448" s="17" t="str">
        <f>IF(AG6448="","",INDEX('Quitados DUPP'!$G$1:$G$6635,AG6448))</f>
        <v/>
      </c>
      <c r="AJ6448" s="17" t="str">
        <f t="shared" si="3"/>
        <v/>
      </c>
    </row>
    <row r="6449" spans="31:36">
      <c r="AE6449" s="15" t="str">
        <f t="shared" si="0"/>
        <v/>
      </c>
      <c r="AF6449" s="15" t="str">
        <f t="shared" si="1"/>
        <v/>
      </c>
      <c r="AG6449" s="15" t="str">
        <f>IF(OR(AF6449="",AF6449="ERRO_CHAVE"),"",IFERROR(MATCH(AF6449,'Quitados DUPP'!$U$1:$U$6635,0),""))</f>
        <v/>
      </c>
      <c r="AH6449" s="15" t="str">
        <f t="shared" si="2"/>
        <v/>
      </c>
      <c r="AI6449" s="17" t="str">
        <f>IF(AG6449="","",INDEX('Quitados DUPP'!$G$1:$G$6635,AG6449))</f>
        <v/>
      </c>
      <c r="AJ6449" s="17" t="str">
        <f t="shared" si="3"/>
        <v/>
      </c>
    </row>
    <row r="6450" spans="31:36">
      <c r="AE6450" s="15" t="str">
        <f t="shared" si="0"/>
        <v/>
      </c>
      <c r="AF6450" s="15" t="str">
        <f t="shared" si="1"/>
        <v/>
      </c>
      <c r="AG6450" s="15" t="str">
        <f>IF(OR(AF6450="",AF6450="ERRO_CHAVE"),"",IFERROR(MATCH(AF6450,'Quitados DUPP'!$U$1:$U$6635,0),""))</f>
        <v/>
      </c>
      <c r="AH6450" s="15" t="str">
        <f t="shared" si="2"/>
        <v/>
      </c>
      <c r="AI6450" s="17" t="str">
        <f>IF(AG6450="","",INDEX('Quitados DUPP'!$G$1:$G$6635,AG6450))</f>
        <v/>
      </c>
      <c r="AJ6450" s="17" t="str">
        <f t="shared" si="3"/>
        <v/>
      </c>
    </row>
    <row r="6451" spans="31:36">
      <c r="AE6451" s="15" t="str">
        <f t="shared" si="0"/>
        <v/>
      </c>
      <c r="AF6451" s="15" t="str">
        <f t="shared" si="1"/>
        <v/>
      </c>
      <c r="AG6451" s="15" t="str">
        <f>IF(OR(AF6451="",AF6451="ERRO_CHAVE"),"",IFERROR(MATCH(AF6451,'Quitados DUPP'!$U$1:$U$6635,0),""))</f>
        <v/>
      </c>
      <c r="AH6451" s="15" t="str">
        <f t="shared" si="2"/>
        <v/>
      </c>
      <c r="AI6451" s="17" t="str">
        <f>IF(AG6451="","",INDEX('Quitados DUPP'!$G$1:$G$6635,AG6451))</f>
        <v/>
      </c>
      <c r="AJ6451" s="17" t="str">
        <f t="shared" si="3"/>
        <v/>
      </c>
    </row>
    <row r="6452" spans="31:36">
      <c r="AE6452" s="15" t="str">
        <f t="shared" si="0"/>
        <v/>
      </c>
      <c r="AF6452" s="15" t="str">
        <f t="shared" si="1"/>
        <v/>
      </c>
      <c r="AG6452" s="15" t="str">
        <f>IF(OR(AF6452="",AF6452="ERRO_CHAVE"),"",IFERROR(MATCH(AF6452,'Quitados DUPP'!$U$1:$U$6635,0),""))</f>
        <v/>
      </c>
      <c r="AH6452" s="15" t="str">
        <f t="shared" si="2"/>
        <v/>
      </c>
      <c r="AI6452" s="17" t="str">
        <f>IF(AG6452="","",INDEX('Quitados DUPP'!$G$1:$G$6635,AG6452))</f>
        <v/>
      </c>
      <c r="AJ6452" s="17" t="str">
        <f t="shared" si="3"/>
        <v/>
      </c>
    </row>
    <row r="6453" spans="31:36">
      <c r="AE6453" s="15" t="str">
        <f t="shared" si="0"/>
        <v/>
      </c>
      <c r="AF6453" s="15" t="str">
        <f t="shared" si="1"/>
        <v/>
      </c>
      <c r="AG6453" s="15" t="str">
        <f>IF(OR(AF6453="",AF6453="ERRO_CHAVE"),"",IFERROR(MATCH(AF6453,'Quitados DUPP'!$U$1:$U$6635,0),""))</f>
        <v/>
      </c>
      <c r="AH6453" s="15" t="str">
        <f t="shared" si="2"/>
        <v/>
      </c>
      <c r="AI6453" s="17" t="str">
        <f>IF(AG6453="","",INDEX('Quitados DUPP'!$G$1:$G$6635,AG6453))</f>
        <v/>
      </c>
      <c r="AJ6453" s="17" t="str">
        <f t="shared" si="3"/>
        <v/>
      </c>
    </row>
    <row r="6454" spans="31:36">
      <c r="AE6454" s="15" t="str">
        <f t="shared" si="0"/>
        <v/>
      </c>
      <c r="AF6454" s="15" t="str">
        <f t="shared" si="1"/>
        <v/>
      </c>
      <c r="AG6454" s="15" t="str">
        <f>IF(OR(AF6454="",AF6454="ERRO_CHAVE"),"",IFERROR(MATCH(AF6454,'Quitados DUPP'!$U$1:$U$6635,0),""))</f>
        <v/>
      </c>
      <c r="AH6454" s="15" t="str">
        <f t="shared" si="2"/>
        <v/>
      </c>
      <c r="AI6454" s="17" t="str">
        <f>IF(AG6454="","",INDEX('Quitados DUPP'!$G$1:$G$6635,AG6454))</f>
        <v/>
      </c>
      <c r="AJ6454" s="17" t="str">
        <f t="shared" si="3"/>
        <v/>
      </c>
    </row>
    <row r="6455" spans="31:36">
      <c r="AE6455" s="15" t="str">
        <f t="shared" si="0"/>
        <v/>
      </c>
      <c r="AF6455" s="15" t="str">
        <f t="shared" si="1"/>
        <v/>
      </c>
      <c r="AG6455" s="15" t="str">
        <f>IF(OR(AF6455="",AF6455="ERRO_CHAVE"),"",IFERROR(MATCH(AF6455,'Quitados DUPP'!$U$1:$U$6635,0),""))</f>
        <v/>
      </c>
      <c r="AH6455" s="15" t="str">
        <f t="shared" si="2"/>
        <v/>
      </c>
      <c r="AI6455" s="17" t="str">
        <f>IF(AG6455="","",INDEX('Quitados DUPP'!$G$1:$G$6635,AG6455))</f>
        <v/>
      </c>
      <c r="AJ6455" s="17" t="str">
        <f t="shared" si="3"/>
        <v/>
      </c>
    </row>
    <row r="6456" spans="31:36">
      <c r="AE6456" s="15" t="str">
        <f t="shared" si="0"/>
        <v/>
      </c>
      <c r="AF6456" s="15" t="str">
        <f t="shared" si="1"/>
        <v/>
      </c>
      <c r="AG6456" s="15" t="str">
        <f>IF(OR(AF6456="",AF6456="ERRO_CHAVE"),"",IFERROR(MATCH(AF6456,'Quitados DUPP'!$U$1:$U$6635,0),""))</f>
        <v/>
      </c>
      <c r="AH6456" s="15" t="str">
        <f t="shared" si="2"/>
        <v/>
      </c>
      <c r="AI6456" s="17" t="str">
        <f>IF(AG6456="","",INDEX('Quitados DUPP'!$G$1:$G$6635,AG6456))</f>
        <v/>
      </c>
      <c r="AJ6456" s="17" t="str">
        <f t="shared" si="3"/>
        <v/>
      </c>
    </row>
    <row r="6457" spans="31:36">
      <c r="AE6457" s="15" t="str">
        <f t="shared" si="0"/>
        <v/>
      </c>
      <c r="AF6457" s="15" t="str">
        <f t="shared" si="1"/>
        <v/>
      </c>
      <c r="AG6457" s="15" t="str">
        <f>IF(OR(AF6457="",AF6457="ERRO_CHAVE"),"",IFERROR(MATCH(AF6457,'Quitados DUPP'!$U$1:$U$6635,0),""))</f>
        <v/>
      </c>
      <c r="AH6457" s="15" t="str">
        <f t="shared" si="2"/>
        <v/>
      </c>
      <c r="AI6457" s="17" t="str">
        <f>IF(AG6457="","",INDEX('Quitados DUPP'!$G$1:$G$6635,AG6457))</f>
        <v/>
      </c>
      <c r="AJ6457" s="17" t="str">
        <f t="shared" si="3"/>
        <v/>
      </c>
    </row>
    <row r="6458" spans="31:36">
      <c r="AE6458" s="15" t="str">
        <f t="shared" si="0"/>
        <v/>
      </c>
      <c r="AF6458" s="15" t="str">
        <f t="shared" si="1"/>
        <v/>
      </c>
      <c r="AG6458" s="15" t="str">
        <f>IF(OR(AF6458="",AF6458="ERRO_CHAVE"),"",IFERROR(MATCH(AF6458,'Quitados DUPP'!$U$1:$U$6635,0),""))</f>
        <v/>
      </c>
      <c r="AH6458" s="15" t="str">
        <f t="shared" si="2"/>
        <v/>
      </c>
      <c r="AI6458" s="17" t="str">
        <f>IF(AG6458="","",INDEX('Quitados DUPP'!$G$1:$G$6635,AG6458))</f>
        <v/>
      </c>
      <c r="AJ6458" s="17" t="str">
        <f t="shared" si="3"/>
        <v/>
      </c>
    </row>
    <row r="6459" spans="31:36">
      <c r="AE6459" s="15" t="str">
        <f t="shared" si="0"/>
        <v/>
      </c>
      <c r="AF6459" s="15" t="str">
        <f t="shared" si="1"/>
        <v/>
      </c>
      <c r="AG6459" s="15" t="str">
        <f>IF(OR(AF6459="",AF6459="ERRO_CHAVE"),"",IFERROR(MATCH(AF6459,'Quitados DUPP'!$U$1:$U$6635,0),""))</f>
        <v/>
      </c>
      <c r="AH6459" s="15" t="str">
        <f t="shared" si="2"/>
        <v/>
      </c>
      <c r="AI6459" s="17" t="str">
        <f>IF(AG6459="","",INDEX('Quitados DUPP'!$G$1:$G$6635,AG6459))</f>
        <v/>
      </c>
      <c r="AJ6459" s="17" t="str">
        <f t="shared" si="3"/>
        <v/>
      </c>
    </row>
    <row r="6460" spans="31:36">
      <c r="AE6460" s="15" t="str">
        <f t="shared" si="0"/>
        <v/>
      </c>
      <c r="AF6460" s="15" t="str">
        <f t="shared" si="1"/>
        <v/>
      </c>
      <c r="AG6460" s="15" t="str">
        <f>IF(OR(AF6460="",AF6460="ERRO_CHAVE"),"",IFERROR(MATCH(AF6460,'Quitados DUPP'!$U$1:$U$6635,0),""))</f>
        <v/>
      </c>
      <c r="AH6460" s="15" t="str">
        <f t="shared" si="2"/>
        <v/>
      </c>
      <c r="AI6460" s="17" t="str">
        <f>IF(AG6460="","",INDEX('Quitados DUPP'!$G$1:$G$6635,AG6460))</f>
        <v/>
      </c>
      <c r="AJ6460" s="17" t="str">
        <f t="shared" si="3"/>
        <v/>
      </c>
    </row>
    <row r="6461" spans="31:36">
      <c r="AE6461" s="15" t="str">
        <f t="shared" si="0"/>
        <v/>
      </c>
      <c r="AF6461" s="15" t="str">
        <f t="shared" si="1"/>
        <v/>
      </c>
      <c r="AG6461" s="15" t="str">
        <f>IF(OR(AF6461="",AF6461="ERRO_CHAVE"),"",IFERROR(MATCH(AF6461,'Quitados DUPP'!$U$1:$U$6635,0),""))</f>
        <v/>
      </c>
      <c r="AH6461" s="15" t="str">
        <f t="shared" si="2"/>
        <v/>
      </c>
      <c r="AI6461" s="17" t="str">
        <f>IF(AG6461="","",INDEX('Quitados DUPP'!$G$1:$G$6635,AG6461))</f>
        <v/>
      </c>
      <c r="AJ6461" s="17" t="str">
        <f t="shared" si="3"/>
        <v/>
      </c>
    </row>
    <row r="6462" spans="31:36">
      <c r="AE6462" s="15" t="str">
        <f t="shared" si="0"/>
        <v/>
      </c>
      <c r="AF6462" s="15" t="str">
        <f t="shared" si="1"/>
        <v/>
      </c>
      <c r="AG6462" s="15" t="str">
        <f>IF(OR(AF6462="",AF6462="ERRO_CHAVE"),"",IFERROR(MATCH(AF6462,'Quitados DUPP'!$U$1:$U$6635,0),""))</f>
        <v/>
      </c>
      <c r="AH6462" s="15" t="str">
        <f t="shared" si="2"/>
        <v/>
      </c>
      <c r="AI6462" s="17" t="str">
        <f>IF(AG6462="","",INDEX('Quitados DUPP'!$G$1:$G$6635,AG6462))</f>
        <v/>
      </c>
      <c r="AJ6462" s="17" t="str">
        <f t="shared" si="3"/>
        <v/>
      </c>
    </row>
    <row r="6463" spans="31:36">
      <c r="AE6463" s="15" t="str">
        <f t="shared" si="0"/>
        <v/>
      </c>
      <c r="AF6463" s="15" t="str">
        <f t="shared" si="1"/>
        <v/>
      </c>
      <c r="AG6463" s="15" t="str">
        <f>IF(OR(AF6463="",AF6463="ERRO_CHAVE"),"",IFERROR(MATCH(AF6463,'Quitados DUPP'!$U$1:$U$6635,0),""))</f>
        <v/>
      </c>
      <c r="AH6463" s="15" t="str">
        <f t="shared" si="2"/>
        <v/>
      </c>
      <c r="AI6463" s="17" t="str">
        <f>IF(AG6463="","",INDEX('Quitados DUPP'!$G$1:$G$6635,AG6463))</f>
        <v/>
      </c>
      <c r="AJ6463" s="17" t="str">
        <f t="shared" si="3"/>
        <v/>
      </c>
    </row>
    <row r="6464" spans="31:36">
      <c r="AE6464" s="15" t="str">
        <f t="shared" si="0"/>
        <v/>
      </c>
      <c r="AF6464" s="15" t="str">
        <f t="shared" si="1"/>
        <v/>
      </c>
      <c r="AG6464" s="15" t="str">
        <f>IF(OR(AF6464="",AF6464="ERRO_CHAVE"),"",IFERROR(MATCH(AF6464,'Quitados DUPP'!$U$1:$U$6635,0),""))</f>
        <v/>
      </c>
      <c r="AH6464" s="15" t="str">
        <f t="shared" si="2"/>
        <v/>
      </c>
      <c r="AI6464" s="17" t="str">
        <f>IF(AG6464="","",INDEX('Quitados DUPP'!$G$1:$G$6635,AG6464))</f>
        <v/>
      </c>
      <c r="AJ6464" s="17" t="str">
        <f t="shared" si="3"/>
        <v/>
      </c>
    </row>
    <row r="6465" spans="31:36">
      <c r="AE6465" s="15" t="str">
        <f t="shared" si="0"/>
        <v/>
      </c>
      <c r="AF6465" s="15" t="str">
        <f t="shared" si="1"/>
        <v/>
      </c>
      <c r="AG6465" s="15" t="str">
        <f>IF(OR(AF6465="",AF6465="ERRO_CHAVE"),"",IFERROR(MATCH(AF6465,'Quitados DUPP'!$U$1:$U$6635,0),""))</f>
        <v/>
      </c>
      <c r="AH6465" s="15" t="str">
        <f t="shared" si="2"/>
        <v/>
      </c>
      <c r="AI6465" s="17" t="str">
        <f>IF(AG6465="","",INDEX('Quitados DUPP'!$G$1:$G$6635,AG6465))</f>
        <v/>
      </c>
      <c r="AJ6465" s="17" t="str">
        <f t="shared" si="3"/>
        <v/>
      </c>
    </row>
    <row r="6466" spans="31:36">
      <c r="AE6466" s="15" t="str">
        <f t="shared" si="0"/>
        <v/>
      </c>
      <c r="AF6466" s="15" t="str">
        <f t="shared" si="1"/>
        <v/>
      </c>
      <c r="AG6466" s="15" t="str">
        <f>IF(OR(AF6466="",AF6466="ERRO_CHAVE"),"",IFERROR(MATCH(AF6466,'Quitados DUPP'!$U$1:$U$6635,0),""))</f>
        <v/>
      </c>
      <c r="AH6466" s="15" t="str">
        <f t="shared" si="2"/>
        <v/>
      </c>
      <c r="AI6466" s="17" t="str">
        <f>IF(AG6466="","",INDEX('Quitados DUPP'!$G$1:$G$6635,AG6466))</f>
        <v/>
      </c>
      <c r="AJ6466" s="17" t="str">
        <f t="shared" si="3"/>
        <v/>
      </c>
    </row>
    <row r="6467" spans="31:36">
      <c r="AE6467" s="15" t="str">
        <f t="shared" si="0"/>
        <v/>
      </c>
      <c r="AF6467" s="15" t="str">
        <f t="shared" si="1"/>
        <v/>
      </c>
      <c r="AG6467" s="15" t="str">
        <f>IF(OR(AF6467="",AF6467="ERRO_CHAVE"),"",IFERROR(MATCH(AF6467,'Quitados DUPP'!$U$1:$U$6635,0),""))</f>
        <v/>
      </c>
      <c r="AH6467" s="15" t="str">
        <f t="shared" si="2"/>
        <v/>
      </c>
      <c r="AI6467" s="17" t="str">
        <f>IF(AG6467="","",INDEX('Quitados DUPP'!$G$1:$G$6635,AG6467))</f>
        <v/>
      </c>
      <c r="AJ6467" s="17" t="str">
        <f t="shared" si="3"/>
        <v/>
      </c>
    </row>
    <row r="6468" spans="31:36">
      <c r="AE6468" s="15" t="str">
        <f t="shared" si="0"/>
        <v/>
      </c>
      <c r="AF6468" s="15" t="str">
        <f t="shared" si="1"/>
        <v/>
      </c>
      <c r="AG6468" s="15" t="str">
        <f>IF(OR(AF6468="",AF6468="ERRO_CHAVE"),"",IFERROR(MATCH(AF6468,'Quitados DUPP'!$U$1:$U$6635,0),""))</f>
        <v/>
      </c>
      <c r="AH6468" s="15" t="str">
        <f t="shared" si="2"/>
        <v/>
      </c>
      <c r="AI6468" s="17" t="str">
        <f>IF(AG6468="","",INDEX('Quitados DUPP'!$G$1:$G$6635,AG6468))</f>
        <v/>
      </c>
      <c r="AJ6468" s="17" t="str">
        <f t="shared" si="3"/>
        <v/>
      </c>
    </row>
    <row r="6469" spans="31:36">
      <c r="AE6469" s="15" t="str">
        <f t="shared" si="0"/>
        <v/>
      </c>
      <c r="AF6469" s="15" t="str">
        <f t="shared" si="1"/>
        <v/>
      </c>
      <c r="AG6469" s="15" t="str">
        <f>IF(OR(AF6469="",AF6469="ERRO_CHAVE"),"",IFERROR(MATCH(AF6469,'Quitados DUPP'!$U$1:$U$6635,0),""))</f>
        <v/>
      </c>
      <c r="AH6469" s="15" t="str">
        <f t="shared" si="2"/>
        <v/>
      </c>
      <c r="AI6469" s="17" t="str">
        <f>IF(AG6469="","",INDEX('Quitados DUPP'!$G$1:$G$6635,AG6469))</f>
        <v/>
      </c>
      <c r="AJ6469" s="17" t="str">
        <f t="shared" si="3"/>
        <v/>
      </c>
    </row>
    <row r="6470" spans="31:36">
      <c r="AE6470" s="15" t="str">
        <f t="shared" si="0"/>
        <v/>
      </c>
      <c r="AF6470" s="15" t="str">
        <f t="shared" si="1"/>
        <v/>
      </c>
      <c r="AG6470" s="15" t="str">
        <f>IF(OR(AF6470="",AF6470="ERRO_CHAVE"),"",IFERROR(MATCH(AF6470,'Quitados DUPP'!$U$1:$U$6635,0),""))</f>
        <v/>
      </c>
      <c r="AH6470" s="15" t="str">
        <f t="shared" si="2"/>
        <v/>
      </c>
      <c r="AI6470" s="17" t="str">
        <f>IF(AG6470="","",INDEX('Quitados DUPP'!$G$1:$G$6635,AG6470))</f>
        <v/>
      </c>
      <c r="AJ6470" s="17" t="str">
        <f t="shared" si="3"/>
        <v/>
      </c>
    </row>
    <row r="6471" spans="31:36">
      <c r="AE6471" s="15" t="str">
        <f t="shared" si="0"/>
        <v/>
      </c>
      <c r="AF6471" s="15" t="str">
        <f t="shared" si="1"/>
        <v/>
      </c>
      <c r="AG6471" s="15" t="str">
        <f>IF(OR(AF6471="",AF6471="ERRO_CHAVE"),"",IFERROR(MATCH(AF6471,'Quitados DUPP'!$U$1:$U$6635,0),""))</f>
        <v/>
      </c>
      <c r="AH6471" s="15" t="str">
        <f t="shared" si="2"/>
        <v/>
      </c>
      <c r="AI6471" s="17" t="str">
        <f>IF(AG6471="","",INDEX('Quitados DUPP'!$G$1:$G$6635,AG6471))</f>
        <v/>
      </c>
      <c r="AJ6471" s="17" t="str">
        <f t="shared" si="3"/>
        <v/>
      </c>
    </row>
    <row r="6472" spans="31:36">
      <c r="AE6472" s="15" t="str">
        <f t="shared" si="0"/>
        <v/>
      </c>
      <c r="AF6472" s="15" t="str">
        <f t="shared" si="1"/>
        <v/>
      </c>
      <c r="AG6472" s="15" t="str">
        <f>IF(OR(AF6472="",AF6472="ERRO_CHAVE"),"",IFERROR(MATCH(AF6472,'Quitados DUPP'!$U$1:$U$6635,0),""))</f>
        <v/>
      </c>
      <c r="AH6472" s="15" t="str">
        <f t="shared" si="2"/>
        <v/>
      </c>
      <c r="AI6472" s="17" t="str">
        <f>IF(AG6472="","",INDEX('Quitados DUPP'!$G$1:$G$6635,AG6472))</f>
        <v/>
      </c>
      <c r="AJ6472" s="17" t="str">
        <f t="shared" si="3"/>
        <v/>
      </c>
    </row>
    <row r="6473" spans="31:36">
      <c r="AE6473" s="15" t="str">
        <f t="shared" si="0"/>
        <v/>
      </c>
      <c r="AF6473" s="15" t="str">
        <f t="shared" si="1"/>
        <v/>
      </c>
      <c r="AG6473" s="15" t="str">
        <f>IF(OR(AF6473="",AF6473="ERRO_CHAVE"),"",IFERROR(MATCH(AF6473,'Quitados DUPP'!$U$1:$U$6635,0),""))</f>
        <v/>
      </c>
      <c r="AH6473" s="15" t="str">
        <f t="shared" si="2"/>
        <v/>
      </c>
      <c r="AI6473" s="17" t="str">
        <f>IF(AG6473="","",INDEX('Quitados DUPP'!$G$1:$G$6635,AG6473))</f>
        <v/>
      </c>
      <c r="AJ6473" s="17" t="str">
        <f t="shared" si="3"/>
        <v/>
      </c>
    </row>
    <row r="6474" spans="31:36">
      <c r="AE6474" s="15" t="str">
        <f t="shared" si="0"/>
        <v/>
      </c>
      <c r="AF6474" s="15" t="str">
        <f t="shared" si="1"/>
        <v/>
      </c>
      <c r="AG6474" s="15" t="str">
        <f>IF(OR(AF6474="",AF6474="ERRO_CHAVE"),"",IFERROR(MATCH(AF6474,'Quitados DUPP'!$U$1:$U$6635,0),""))</f>
        <v/>
      </c>
      <c r="AH6474" s="15" t="str">
        <f t="shared" si="2"/>
        <v/>
      </c>
      <c r="AI6474" s="17" t="str">
        <f>IF(AG6474="","",INDEX('Quitados DUPP'!$G$1:$G$6635,AG6474))</f>
        <v/>
      </c>
      <c r="AJ6474" s="17" t="str">
        <f t="shared" si="3"/>
        <v/>
      </c>
    </row>
    <row r="6475" spans="31:36">
      <c r="AE6475" s="15" t="str">
        <f t="shared" si="0"/>
        <v/>
      </c>
      <c r="AF6475" s="15" t="str">
        <f t="shared" si="1"/>
        <v/>
      </c>
      <c r="AG6475" s="15" t="str">
        <f>IF(OR(AF6475="",AF6475="ERRO_CHAVE"),"",IFERROR(MATCH(AF6475,'Quitados DUPP'!$U$1:$U$6635,0),""))</f>
        <v/>
      </c>
      <c r="AH6475" s="15" t="str">
        <f t="shared" si="2"/>
        <v/>
      </c>
      <c r="AI6475" s="17" t="str">
        <f>IF(AG6475="","",INDEX('Quitados DUPP'!$G$1:$G$6635,AG6475))</f>
        <v/>
      </c>
      <c r="AJ6475" s="17" t="str">
        <f t="shared" si="3"/>
        <v/>
      </c>
    </row>
    <row r="6476" spans="31:36">
      <c r="AE6476" s="15" t="str">
        <f t="shared" si="0"/>
        <v/>
      </c>
      <c r="AF6476" s="15" t="str">
        <f t="shared" si="1"/>
        <v/>
      </c>
      <c r="AG6476" s="15" t="str">
        <f>IF(OR(AF6476="",AF6476="ERRO_CHAVE"),"",IFERROR(MATCH(AF6476,'Quitados DUPP'!$U$1:$U$6635,0),""))</f>
        <v/>
      </c>
      <c r="AH6476" s="15" t="str">
        <f t="shared" si="2"/>
        <v/>
      </c>
      <c r="AI6476" s="17" t="str">
        <f>IF(AG6476="","",INDEX('Quitados DUPP'!$G$1:$G$6635,AG6476))</f>
        <v/>
      </c>
      <c r="AJ6476" s="17" t="str">
        <f t="shared" si="3"/>
        <v/>
      </c>
    </row>
    <row r="6477" spans="31:36">
      <c r="AE6477" s="15" t="str">
        <f t="shared" si="0"/>
        <v/>
      </c>
      <c r="AF6477" s="15" t="str">
        <f t="shared" si="1"/>
        <v/>
      </c>
      <c r="AG6477" s="15" t="str">
        <f>IF(OR(AF6477="",AF6477="ERRO_CHAVE"),"",IFERROR(MATCH(AF6477,'Quitados DUPP'!$U$1:$U$6635,0),""))</f>
        <v/>
      </c>
      <c r="AH6477" s="15" t="str">
        <f t="shared" si="2"/>
        <v/>
      </c>
      <c r="AI6477" s="17" t="str">
        <f>IF(AG6477="","",INDEX('Quitados DUPP'!$G$1:$G$6635,AG6477))</f>
        <v/>
      </c>
      <c r="AJ6477" s="17" t="str">
        <f t="shared" si="3"/>
        <v/>
      </c>
    </row>
    <row r="6478" spans="31:36">
      <c r="AE6478" s="15" t="str">
        <f t="shared" si="0"/>
        <v/>
      </c>
      <c r="AF6478" s="15" t="str">
        <f t="shared" si="1"/>
        <v/>
      </c>
      <c r="AG6478" s="15" t="str">
        <f>IF(OR(AF6478="",AF6478="ERRO_CHAVE"),"",IFERROR(MATCH(AF6478,'Quitados DUPP'!$U$1:$U$6635,0),""))</f>
        <v/>
      </c>
      <c r="AH6478" s="15" t="str">
        <f t="shared" si="2"/>
        <v/>
      </c>
      <c r="AI6478" s="17" t="str">
        <f>IF(AG6478="","",INDEX('Quitados DUPP'!$G$1:$G$6635,AG6478))</f>
        <v/>
      </c>
      <c r="AJ6478" s="17" t="str">
        <f t="shared" si="3"/>
        <v/>
      </c>
    </row>
    <row r="6479" spans="31:36">
      <c r="AE6479" s="15" t="str">
        <f t="shared" si="0"/>
        <v/>
      </c>
      <c r="AF6479" s="15" t="str">
        <f t="shared" si="1"/>
        <v/>
      </c>
      <c r="AG6479" s="15" t="str">
        <f>IF(OR(AF6479="",AF6479="ERRO_CHAVE"),"",IFERROR(MATCH(AF6479,'Quitados DUPP'!$U$1:$U$6635,0),""))</f>
        <v/>
      </c>
      <c r="AH6479" s="15" t="str">
        <f t="shared" si="2"/>
        <v/>
      </c>
      <c r="AI6479" s="17" t="str">
        <f>IF(AG6479="","",INDEX('Quitados DUPP'!$G$1:$G$6635,AG6479))</f>
        <v/>
      </c>
      <c r="AJ6479" s="17" t="str">
        <f t="shared" si="3"/>
        <v/>
      </c>
    </row>
    <row r="6480" spans="31:36">
      <c r="AE6480" s="15" t="str">
        <f t="shared" si="0"/>
        <v/>
      </c>
      <c r="AF6480" s="15" t="str">
        <f t="shared" si="1"/>
        <v/>
      </c>
      <c r="AG6480" s="15" t="str">
        <f>IF(OR(AF6480="",AF6480="ERRO_CHAVE"),"",IFERROR(MATCH(AF6480,'Quitados DUPP'!$U$1:$U$6635,0),""))</f>
        <v/>
      </c>
      <c r="AH6480" s="15" t="str">
        <f t="shared" si="2"/>
        <v/>
      </c>
      <c r="AI6480" s="17" t="str">
        <f>IF(AG6480="","",INDEX('Quitados DUPP'!$G$1:$G$6635,AG6480))</f>
        <v/>
      </c>
      <c r="AJ6480" s="17" t="str">
        <f t="shared" si="3"/>
        <v/>
      </c>
    </row>
    <row r="6481" spans="31:36">
      <c r="AE6481" s="15" t="str">
        <f t="shared" si="0"/>
        <v/>
      </c>
      <c r="AF6481" s="15" t="str">
        <f t="shared" si="1"/>
        <v/>
      </c>
      <c r="AG6481" s="15" t="str">
        <f>IF(OR(AF6481="",AF6481="ERRO_CHAVE"),"",IFERROR(MATCH(AF6481,'Quitados DUPP'!$U$1:$U$6635,0),""))</f>
        <v/>
      </c>
      <c r="AH6481" s="15" t="str">
        <f t="shared" si="2"/>
        <v/>
      </c>
      <c r="AI6481" s="17" t="str">
        <f>IF(AG6481="","",INDEX('Quitados DUPP'!$G$1:$G$6635,AG6481))</f>
        <v/>
      </c>
      <c r="AJ6481" s="17" t="str">
        <f t="shared" si="3"/>
        <v/>
      </c>
    </row>
    <row r="6482" spans="31:36">
      <c r="AE6482" s="15" t="str">
        <f t="shared" si="0"/>
        <v/>
      </c>
      <c r="AF6482" s="15" t="str">
        <f t="shared" si="1"/>
        <v/>
      </c>
      <c r="AG6482" s="15" t="str">
        <f>IF(OR(AF6482="",AF6482="ERRO_CHAVE"),"",IFERROR(MATCH(AF6482,'Quitados DUPP'!$U$1:$U$6635,0),""))</f>
        <v/>
      </c>
      <c r="AH6482" s="15" t="str">
        <f t="shared" si="2"/>
        <v/>
      </c>
      <c r="AI6482" s="17" t="str">
        <f>IF(AG6482="","",INDEX('Quitados DUPP'!$G$1:$G$6635,AG6482))</f>
        <v/>
      </c>
      <c r="AJ6482" s="17" t="str">
        <f t="shared" si="3"/>
        <v/>
      </c>
    </row>
    <row r="6483" spans="31:36">
      <c r="AE6483" s="15" t="str">
        <f t="shared" si="0"/>
        <v/>
      </c>
      <c r="AF6483" s="15" t="str">
        <f t="shared" si="1"/>
        <v/>
      </c>
      <c r="AG6483" s="15" t="str">
        <f>IF(OR(AF6483="",AF6483="ERRO_CHAVE"),"",IFERROR(MATCH(AF6483,'Quitados DUPP'!$U$1:$U$6635,0),""))</f>
        <v/>
      </c>
      <c r="AH6483" s="15" t="str">
        <f t="shared" si="2"/>
        <v/>
      </c>
      <c r="AI6483" s="17" t="str">
        <f>IF(AG6483="","",INDEX('Quitados DUPP'!$G$1:$G$6635,AG6483))</f>
        <v/>
      </c>
      <c r="AJ6483" s="17" t="str">
        <f t="shared" si="3"/>
        <v/>
      </c>
    </row>
    <row r="6484" spans="31:36">
      <c r="AE6484" s="15" t="str">
        <f t="shared" si="0"/>
        <v/>
      </c>
      <c r="AF6484" s="15" t="str">
        <f t="shared" si="1"/>
        <v/>
      </c>
      <c r="AG6484" s="15" t="str">
        <f>IF(OR(AF6484="",AF6484="ERRO_CHAVE"),"",IFERROR(MATCH(AF6484,'Quitados DUPP'!$U$1:$U$6635,0),""))</f>
        <v/>
      </c>
      <c r="AH6484" s="15" t="str">
        <f t="shared" si="2"/>
        <v/>
      </c>
      <c r="AI6484" s="17" t="str">
        <f>IF(AG6484="","",INDEX('Quitados DUPP'!$G$1:$G$6635,AG6484))</f>
        <v/>
      </c>
      <c r="AJ6484" s="17" t="str">
        <f t="shared" si="3"/>
        <v/>
      </c>
    </row>
    <row r="6485" spans="31:36">
      <c r="AE6485" s="15" t="str">
        <f t="shared" si="0"/>
        <v/>
      </c>
      <c r="AF6485" s="15" t="str">
        <f t="shared" si="1"/>
        <v/>
      </c>
      <c r="AG6485" s="15" t="str">
        <f>IF(OR(AF6485="",AF6485="ERRO_CHAVE"),"",IFERROR(MATCH(AF6485,'Quitados DUPP'!$U$1:$U$6635,0),""))</f>
        <v/>
      </c>
      <c r="AH6485" s="15" t="str">
        <f t="shared" si="2"/>
        <v/>
      </c>
      <c r="AI6485" s="17" t="str">
        <f>IF(AG6485="","",INDEX('Quitados DUPP'!$G$1:$G$6635,AG6485))</f>
        <v/>
      </c>
      <c r="AJ6485" s="17" t="str">
        <f t="shared" si="3"/>
        <v/>
      </c>
    </row>
    <row r="6486" spans="31:36">
      <c r="AE6486" s="15" t="str">
        <f t="shared" si="0"/>
        <v/>
      </c>
      <c r="AF6486" s="15" t="str">
        <f t="shared" si="1"/>
        <v/>
      </c>
      <c r="AG6486" s="15" t="str">
        <f>IF(OR(AF6486="",AF6486="ERRO_CHAVE"),"",IFERROR(MATCH(AF6486,'Quitados DUPP'!$U$1:$U$6635,0),""))</f>
        <v/>
      </c>
      <c r="AH6486" s="15" t="str">
        <f t="shared" si="2"/>
        <v/>
      </c>
      <c r="AI6486" s="17" t="str">
        <f>IF(AG6486="","",INDEX('Quitados DUPP'!$G$1:$G$6635,AG6486))</f>
        <v/>
      </c>
      <c r="AJ6486" s="17" t="str">
        <f t="shared" si="3"/>
        <v/>
      </c>
    </row>
    <row r="6487" spans="31:36">
      <c r="AE6487" s="15" t="str">
        <f t="shared" si="0"/>
        <v/>
      </c>
      <c r="AF6487" s="15" t="str">
        <f t="shared" si="1"/>
        <v/>
      </c>
      <c r="AG6487" s="15" t="str">
        <f>IF(OR(AF6487="",AF6487="ERRO_CHAVE"),"",IFERROR(MATCH(AF6487,'Quitados DUPP'!$U$1:$U$6635,0),""))</f>
        <v/>
      </c>
      <c r="AH6487" s="15" t="str">
        <f t="shared" si="2"/>
        <v/>
      </c>
      <c r="AI6487" s="17" t="str">
        <f>IF(AG6487="","",INDEX('Quitados DUPP'!$G$1:$G$6635,AG6487))</f>
        <v/>
      </c>
      <c r="AJ6487" s="17" t="str">
        <f t="shared" si="3"/>
        <v/>
      </c>
    </row>
    <row r="6488" spans="31:36">
      <c r="AE6488" s="15" t="str">
        <f t="shared" si="0"/>
        <v/>
      </c>
      <c r="AF6488" s="15" t="str">
        <f t="shared" si="1"/>
        <v/>
      </c>
      <c r="AG6488" s="15" t="str">
        <f>IF(OR(AF6488="",AF6488="ERRO_CHAVE"),"",IFERROR(MATCH(AF6488,'Quitados DUPP'!$U$1:$U$6635,0),""))</f>
        <v/>
      </c>
      <c r="AH6488" s="15" t="str">
        <f t="shared" si="2"/>
        <v/>
      </c>
      <c r="AI6488" s="17" t="str">
        <f>IF(AG6488="","",INDEX('Quitados DUPP'!$G$1:$G$6635,AG6488))</f>
        <v/>
      </c>
      <c r="AJ6488" s="17" t="str">
        <f t="shared" si="3"/>
        <v/>
      </c>
    </row>
    <row r="6489" spans="31:36">
      <c r="AE6489" s="15" t="str">
        <f t="shared" si="0"/>
        <v/>
      </c>
      <c r="AF6489" s="15" t="str">
        <f t="shared" si="1"/>
        <v/>
      </c>
      <c r="AG6489" s="15" t="str">
        <f>IF(OR(AF6489="",AF6489="ERRO_CHAVE"),"",IFERROR(MATCH(AF6489,'Quitados DUPP'!$U$1:$U$6635,0),""))</f>
        <v/>
      </c>
      <c r="AH6489" s="15" t="str">
        <f t="shared" si="2"/>
        <v/>
      </c>
      <c r="AI6489" s="17" t="str">
        <f>IF(AG6489="","",INDEX('Quitados DUPP'!$G$1:$G$6635,AG6489))</f>
        <v/>
      </c>
      <c r="AJ6489" s="17" t="str">
        <f t="shared" si="3"/>
        <v/>
      </c>
    </row>
    <row r="6490" spans="31:36">
      <c r="AE6490" s="15" t="str">
        <f t="shared" si="0"/>
        <v/>
      </c>
      <c r="AF6490" s="15" t="str">
        <f t="shared" si="1"/>
        <v/>
      </c>
      <c r="AG6490" s="15" t="str">
        <f>IF(OR(AF6490="",AF6490="ERRO_CHAVE"),"",IFERROR(MATCH(AF6490,'Quitados DUPP'!$U$1:$U$6635,0),""))</f>
        <v/>
      </c>
      <c r="AH6490" s="15" t="str">
        <f t="shared" si="2"/>
        <v/>
      </c>
      <c r="AI6490" s="17" t="str">
        <f>IF(AG6490="","",INDEX('Quitados DUPP'!$G$1:$G$6635,AG6490))</f>
        <v/>
      </c>
      <c r="AJ6490" s="17" t="str">
        <f t="shared" si="3"/>
        <v/>
      </c>
    </row>
    <row r="6491" spans="31:36">
      <c r="AE6491" s="15" t="str">
        <f t="shared" si="0"/>
        <v/>
      </c>
      <c r="AF6491" s="15" t="str">
        <f t="shared" si="1"/>
        <v/>
      </c>
      <c r="AG6491" s="15" t="str">
        <f>IF(OR(AF6491="",AF6491="ERRO_CHAVE"),"",IFERROR(MATCH(AF6491,'Quitados DUPP'!$U$1:$U$6635,0),""))</f>
        <v/>
      </c>
      <c r="AH6491" s="15" t="str">
        <f t="shared" si="2"/>
        <v/>
      </c>
      <c r="AI6491" s="17" t="str">
        <f>IF(AG6491="","",INDEX('Quitados DUPP'!$G$1:$G$6635,AG6491))</f>
        <v/>
      </c>
      <c r="AJ6491" s="17" t="str">
        <f t="shared" si="3"/>
        <v/>
      </c>
    </row>
    <row r="6492" spans="31:36">
      <c r="AE6492" s="15" t="str">
        <f t="shared" si="0"/>
        <v/>
      </c>
      <c r="AF6492" s="15" t="str">
        <f t="shared" si="1"/>
        <v/>
      </c>
      <c r="AG6492" s="15" t="str">
        <f>IF(OR(AF6492="",AF6492="ERRO_CHAVE"),"",IFERROR(MATCH(AF6492,'Quitados DUPP'!$U$1:$U$6635,0),""))</f>
        <v/>
      </c>
      <c r="AH6492" s="15" t="str">
        <f t="shared" si="2"/>
        <v/>
      </c>
      <c r="AI6492" s="17" t="str">
        <f>IF(AG6492="","",INDEX('Quitados DUPP'!$G$1:$G$6635,AG6492))</f>
        <v/>
      </c>
      <c r="AJ6492" s="17" t="str">
        <f t="shared" si="3"/>
        <v/>
      </c>
    </row>
    <row r="6493" spans="31:36">
      <c r="AE6493" s="15" t="str">
        <f t="shared" si="0"/>
        <v/>
      </c>
      <c r="AF6493" s="15" t="str">
        <f t="shared" si="1"/>
        <v/>
      </c>
      <c r="AG6493" s="15" t="str">
        <f>IF(OR(AF6493="",AF6493="ERRO_CHAVE"),"",IFERROR(MATCH(AF6493,'Quitados DUPP'!$U$1:$U$6635,0),""))</f>
        <v/>
      </c>
      <c r="AH6493" s="15" t="str">
        <f t="shared" si="2"/>
        <v/>
      </c>
      <c r="AI6493" s="17" t="str">
        <f>IF(AG6493="","",INDEX('Quitados DUPP'!$G$1:$G$6635,AG6493))</f>
        <v/>
      </c>
      <c r="AJ6493" s="17" t="str">
        <f t="shared" si="3"/>
        <v/>
      </c>
    </row>
    <row r="6494" spans="31:36">
      <c r="AE6494" s="15" t="str">
        <f t="shared" si="0"/>
        <v/>
      </c>
      <c r="AF6494" s="15" t="str">
        <f t="shared" si="1"/>
        <v/>
      </c>
      <c r="AG6494" s="15" t="str">
        <f>IF(OR(AF6494="",AF6494="ERRO_CHAVE"),"",IFERROR(MATCH(AF6494,'Quitados DUPP'!$U$1:$U$6635,0),""))</f>
        <v/>
      </c>
      <c r="AH6494" s="15" t="str">
        <f t="shared" si="2"/>
        <v/>
      </c>
      <c r="AI6494" s="17" t="str">
        <f>IF(AG6494="","",INDEX('Quitados DUPP'!$G$1:$G$6635,AG6494))</f>
        <v/>
      </c>
      <c r="AJ6494" s="17" t="str">
        <f t="shared" si="3"/>
        <v/>
      </c>
    </row>
    <row r="6495" spans="31:36">
      <c r="AE6495" s="15" t="str">
        <f t="shared" si="0"/>
        <v/>
      </c>
      <c r="AF6495" s="15" t="str">
        <f t="shared" si="1"/>
        <v/>
      </c>
      <c r="AG6495" s="15" t="str">
        <f>IF(OR(AF6495="",AF6495="ERRO_CHAVE"),"",IFERROR(MATCH(AF6495,'Quitados DUPP'!$U$1:$U$6635,0),""))</f>
        <v/>
      </c>
      <c r="AH6495" s="15" t="str">
        <f t="shared" si="2"/>
        <v/>
      </c>
      <c r="AI6495" s="17" t="str">
        <f>IF(AG6495="","",INDEX('Quitados DUPP'!$G$1:$G$6635,AG6495))</f>
        <v/>
      </c>
      <c r="AJ6495" s="17" t="str">
        <f t="shared" si="3"/>
        <v/>
      </c>
    </row>
    <row r="6496" spans="31:36">
      <c r="AE6496" s="15" t="str">
        <f t="shared" si="0"/>
        <v/>
      </c>
      <c r="AF6496" s="15" t="str">
        <f t="shared" si="1"/>
        <v/>
      </c>
      <c r="AG6496" s="15" t="str">
        <f>IF(OR(AF6496="",AF6496="ERRO_CHAVE"),"",IFERROR(MATCH(AF6496,'Quitados DUPP'!$U$1:$U$6635,0),""))</f>
        <v/>
      </c>
      <c r="AH6496" s="15" t="str">
        <f t="shared" si="2"/>
        <v/>
      </c>
      <c r="AI6496" s="17" t="str">
        <f>IF(AG6496="","",INDEX('Quitados DUPP'!$G$1:$G$6635,AG6496))</f>
        <v/>
      </c>
      <c r="AJ6496" s="17" t="str">
        <f t="shared" si="3"/>
        <v/>
      </c>
    </row>
    <row r="6497" spans="31:36">
      <c r="AE6497" s="15" t="str">
        <f t="shared" si="0"/>
        <v/>
      </c>
      <c r="AF6497" s="15" t="str">
        <f t="shared" si="1"/>
        <v/>
      </c>
      <c r="AG6497" s="15" t="str">
        <f>IF(OR(AF6497="",AF6497="ERRO_CHAVE"),"",IFERROR(MATCH(AF6497,'Quitados DUPP'!$U$1:$U$6635,0),""))</f>
        <v/>
      </c>
      <c r="AH6497" s="15" t="str">
        <f t="shared" si="2"/>
        <v/>
      </c>
      <c r="AI6497" s="17" t="str">
        <f>IF(AG6497="","",INDEX('Quitados DUPP'!$G$1:$G$6635,AG6497))</f>
        <v/>
      </c>
      <c r="AJ6497" s="17" t="str">
        <f t="shared" si="3"/>
        <v/>
      </c>
    </row>
    <row r="6498" spans="31:36">
      <c r="AE6498" s="15" t="str">
        <f t="shared" si="0"/>
        <v/>
      </c>
      <c r="AF6498" s="15" t="str">
        <f t="shared" si="1"/>
        <v/>
      </c>
      <c r="AG6498" s="15" t="str">
        <f>IF(OR(AF6498="",AF6498="ERRO_CHAVE"),"",IFERROR(MATCH(AF6498,'Quitados DUPP'!$U$1:$U$6635,0),""))</f>
        <v/>
      </c>
      <c r="AH6498" s="15" t="str">
        <f t="shared" si="2"/>
        <v/>
      </c>
      <c r="AI6498" s="17" t="str">
        <f>IF(AG6498="","",INDEX('Quitados DUPP'!$G$1:$G$6635,AG6498))</f>
        <v/>
      </c>
      <c r="AJ6498" s="17" t="str">
        <f t="shared" si="3"/>
        <v/>
      </c>
    </row>
    <row r="6499" spans="31:36">
      <c r="AE6499" s="15" t="str">
        <f t="shared" si="0"/>
        <v/>
      </c>
      <c r="AF6499" s="15" t="str">
        <f t="shared" si="1"/>
        <v/>
      </c>
      <c r="AG6499" s="15" t="str">
        <f>IF(OR(AF6499="",AF6499="ERRO_CHAVE"),"",IFERROR(MATCH(AF6499,'Quitados DUPP'!$U$1:$U$6635,0),""))</f>
        <v/>
      </c>
      <c r="AH6499" s="15" t="str">
        <f t="shared" si="2"/>
        <v/>
      </c>
      <c r="AI6499" s="17" t="str">
        <f>IF(AG6499="","",INDEX('Quitados DUPP'!$G$1:$G$6635,AG6499))</f>
        <v/>
      </c>
      <c r="AJ6499" s="17" t="str">
        <f t="shared" si="3"/>
        <v/>
      </c>
    </row>
    <row r="6500" spans="31:36">
      <c r="AE6500" s="15" t="str">
        <f t="shared" si="0"/>
        <v/>
      </c>
      <c r="AF6500" s="15" t="str">
        <f t="shared" si="1"/>
        <v/>
      </c>
      <c r="AG6500" s="15" t="str">
        <f>IF(OR(AF6500="",AF6500="ERRO_CHAVE"),"",IFERROR(MATCH(AF6500,'Quitados DUPP'!$U$1:$U$6635,0),""))</f>
        <v/>
      </c>
      <c r="AH6500" s="15" t="str">
        <f t="shared" si="2"/>
        <v/>
      </c>
      <c r="AI6500" s="17" t="str">
        <f>IF(AG6500="","",INDEX('Quitados DUPP'!$G$1:$G$6635,AG6500))</f>
        <v/>
      </c>
      <c r="AJ6500" s="17" t="str">
        <f t="shared" si="3"/>
        <v/>
      </c>
    </row>
    <row r="6501" spans="31:36">
      <c r="AE6501" s="15" t="str">
        <f t="shared" si="0"/>
        <v/>
      </c>
      <c r="AF6501" s="15" t="str">
        <f t="shared" si="1"/>
        <v/>
      </c>
      <c r="AG6501" s="15" t="str">
        <f>IF(OR(AF6501="",AF6501="ERRO_CHAVE"),"",IFERROR(MATCH(AF6501,'Quitados DUPP'!$U$1:$U$6635,0),""))</f>
        <v/>
      </c>
      <c r="AH6501" s="15" t="str">
        <f t="shared" si="2"/>
        <v/>
      </c>
      <c r="AI6501" s="17" t="str">
        <f>IF(AG6501="","",INDEX('Quitados DUPP'!$G$1:$G$6635,AG6501))</f>
        <v/>
      </c>
      <c r="AJ6501" s="17" t="str">
        <f t="shared" si="3"/>
        <v/>
      </c>
    </row>
    <row r="6502" spans="31:36">
      <c r="AE6502" s="15" t="str">
        <f t="shared" si="0"/>
        <v/>
      </c>
      <c r="AF6502" s="15" t="str">
        <f t="shared" si="1"/>
        <v/>
      </c>
      <c r="AG6502" s="15" t="str">
        <f>IF(OR(AF6502="",AF6502="ERRO_CHAVE"),"",IFERROR(MATCH(AF6502,'Quitados DUPP'!$U$1:$U$6635,0),""))</f>
        <v/>
      </c>
      <c r="AH6502" s="15" t="str">
        <f t="shared" si="2"/>
        <v/>
      </c>
      <c r="AI6502" s="17" t="str">
        <f>IF(AG6502="","",INDEX('Quitados DUPP'!$G$1:$G$6635,AG6502))</f>
        <v/>
      </c>
      <c r="AJ6502" s="17" t="str">
        <f t="shared" si="3"/>
        <v/>
      </c>
    </row>
    <row r="6503" spans="31:36">
      <c r="AE6503" s="15" t="str">
        <f t="shared" si="0"/>
        <v/>
      </c>
      <c r="AF6503" s="15" t="str">
        <f t="shared" si="1"/>
        <v/>
      </c>
      <c r="AG6503" s="15" t="str">
        <f>IF(OR(AF6503="",AF6503="ERRO_CHAVE"),"",IFERROR(MATCH(AF6503,'Quitados DUPP'!$U$1:$U$6635,0),""))</f>
        <v/>
      </c>
      <c r="AH6503" s="15" t="str">
        <f t="shared" si="2"/>
        <v/>
      </c>
      <c r="AI6503" s="17" t="str">
        <f>IF(AG6503="","",INDEX('Quitados DUPP'!$G$1:$G$6635,AG6503))</f>
        <v/>
      </c>
      <c r="AJ6503" s="17" t="str">
        <f t="shared" si="3"/>
        <v/>
      </c>
    </row>
    <row r="6504" spans="31:36">
      <c r="AE6504" s="15" t="str">
        <f t="shared" si="0"/>
        <v/>
      </c>
      <c r="AF6504" s="15" t="str">
        <f t="shared" si="1"/>
        <v/>
      </c>
      <c r="AG6504" s="15" t="str">
        <f>IF(OR(AF6504="",AF6504="ERRO_CHAVE"),"",IFERROR(MATCH(AF6504,'Quitados DUPP'!$U$1:$U$6635,0),""))</f>
        <v/>
      </c>
      <c r="AH6504" s="15" t="str">
        <f t="shared" si="2"/>
        <v/>
      </c>
      <c r="AI6504" s="17" t="str">
        <f>IF(AG6504="","",INDEX('Quitados DUPP'!$G$1:$G$6635,AG6504))</f>
        <v/>
      </c>
      <c r="AJ6504" s="17" t="str">
        <f t="shared" si="3"/>
        <v/>
      </c>
    </row>
    <row r="6505" spans="31:36">
      <c r="AE6505" s="15" t="str">
        <f t="shared" si="0"/>
        <v/>
      </c>
      <c r="AF6505" s="15" t="str">
        <f t="shared" si="1"/>
        <v/>
      </c>
      <c r="AG6505" s="15" t="str">
        <f>IF(OR(AF6505="",AF6505="ERRO_CHAVE"),"",IFERROR(MATCH(AF6505,'Quitados DUPP'!$U$1:$U$6635,0),""))</f>
        <v/>
      </c>
      <c r="AH6505" s="15" t="str">
        <f t="shared" si="2"/>
        <v/>
      </c>
      <c r="AI6505" s="17" t="str">
        <f>IF(AG6505="","",INDEX('Quitados DUPP'!$G$1:$G$6635,AG6505))</f>
        <v/>
      </c>
      <c r="AJ6505" s="17" t="str">
        <f t="shared" si="3"/>
        <v/>
      </c>
    </row>
    <row r="6506" spans="31:36">
      <c r="AE6506" s="15" t="str">
        <f t="shared" si="0"/>
        <v/>
      </c>
      <c r="AF6506" s="15" t="str">
        <f t="shared" si="1"/>
        <v/>
      </c>
      <c r="AG6506" s="15" t="str">
        <f>IF(OR(AF6506="",AF6506="ERRO_CHAVE"),"",IFERROR(MATCH(AF6506,'Quitados DUPP'!$U$1:$U$6635,0),""))</f>
        <v/>
      </c>
      <c r="AH6506" s="15" t="str">
        <f t="shared" si="2"/>
        <v/>
      </c>
      <c r="AI6506" s="17" t="str">
        <f>IF(AG6506="","",INDEX('Quitados DUPP'!$G$1:$G$6635,AG6506))</f>
        <v/>
      </c>
      <c r="AJ6506" s="17" t="str">
        <f t="shared" si="3"/>
        <v/>
      </c>
    </row>
    <row r="6507" spans="31:36">
      <c r="AE6507" s="15" t="str">
        <f t="shared" si="0"/>
        <v/>
      </c>
      <c r="AF6507" s="15" t="str">
        <f t="shared" si="1"/>
        <v/>
      </c>
      <c r="AG6507" s="15" t="str">
        <f>IF(OR(AF6507="",AF6507="ERRO_CHAVE"),"",IFERROR(MATCH(AF6507,'Quitados DUPP'!$U$1:$U$6635,0),""))</f>
        <v/>
      </c>
      <c r="AH6507" s="15" t="str">
        <f t="shared" si="2"/>
        <v/>
      </c>
      <c r="AI6507" s="17" t="str">
        <f>IF(AG6507="","",INDEX('Quitados DUPP'!$G$1:$G$6635,AG6507))</f>
        <v/>
      </c>
      <c r="AJ6507" s="17" t="str">
        <f t="shared" si="3"/>
        <v/>
      </c>
    </row>
    <row r="6508" spans="31:36">
      <c r="AE6508" s="15" t="str">
        <f t="shared" si="0"/>
        <v/>
      </c>
      <c r="AF6508" s="15" t="str">
        <f t="shared" si="1"/>
        <v/>
      </c>
      <c r="AG6508" s="15" t="str">
        <f>IF(OR(AF6508="",AF6508="ERRO_CHAVE"),"",IFERROR(MATCH(AF6508,'Quitados DUPP'!$U$1:$U$6635,0),""))</f>
        <v/>
      </c>
      <c r="AH6508" s="15" t="str">
        <f t="shared" si="2"/>
        <v/>
      </c>
      <c r="AI6508" s="17" t="str">
        <f>IF(AG6508="","",INDEX('Quitados DUPP'!$G$1:$G$6635,AG6508))</f>
        <v/>
      </c>
      <c r="AJ6508" s="17" t="str">
        <f t="shared" si="3"/>
        <v/>
      </c>
    </row>
    <row r="6509" spans="31:36">
      <c r="AE6509" s="15" t="str">
        <f t="shared" si="0"/>
        <v/>
      </c>
      <c r="AF6509" s="15" t="str">
        <f t="shared" si="1"/>
        <v/>
      </c>
      <c r="AG6509" s="15" t="str">
        <f>IF(OR(AF6509="",AF6509="ERRO_CHAVE"),"",IFERROR(MATCH(AF6509,'Quitados DUPP'!$U$1:$U$6635,0),""))</f>
        <v/>
      </c>
      <c r="AH6509" s="15" t="str">
        <f t="shared" si="2"/>
        <v/>
      </c>
      <c r="AI6509" s="17" t="str">
        <f>IF(AG6509="","",INDEX('Quitados DUPP'!$G$1:$G$6635,AG6509))</f>
        <v/>
      </c>
      <c r="AJ6509" s="17" t="str">
        <f t="shared" si="3"/>
        <v/>
      </c>
    </row>
    <row r="6510" spans="31:36">
      <c r="AE6510" s="15" t="str">
        <f t="shared" si="0"/>
        <v/>
      </c>
      <c r="AF6510" s="15" t="str">
        <f t="shared" si="1"/>
        <v/>
      </c>
      <c r="AG6510" s="15" t="str">
        <f>IF(OR(AF6510="",AF6510="ERRO_CHAVE"),"",IFERROR(MATCH(AF6510,'Quitados DUPP'!$U$1:$U$6635,0),""))</f>
        <v/>
      </c>
      <c r="AH6510" s="15" t="str">
        <f t="shared" si="2"/>
        <v/>
      </c>
      <c r="AI6510" s="17" t="str">
        <f>IF(AG6510="","",INDEX('Quitados DUPP'!$G$1:$G$6635,AG6510))</f>
        <v/>
      </c>
      <c r="AJ6510" s="17" t="str">
        <f t="shared" si="3"/>
        <v/>
      </c>
    </row>
    <row r="6511" spans="31:36">
      <c r="AE6511" s="15" t="str">
        <f t="shared" si="0"/>
        <v/>
      </c>
      <c r="AF6511" s="15" t="str">
        <f t="shared" si="1"/>
        <v/>
      </c>
      <c r="AG6511" s="15" t="str">
        <f>IF(OR(AF6511="",AF6511="ERRO_CHAVE"),"",IFERROR(MATCH(AF6511,'Quitados DUPP'!$U$1:$U$6635,0),""))</f>
        <v/>
      </c>
      <c r="AH6511" s="15" t="str">
        <f t="shared" si="2"/>
        <v/>
      </c>
      <c r="AI6511" s="17" t="str">
        <f>IF(AG6511="","",INDEX('Quitados DUPP'!$G$1:$G$6635,AG6511))</f>
        <v/>
      </c>
      <c r="AJ6511" s="17" t="str">
        <f t="shared" si="3"/>
        <v/>
      </c>
    </row>
    <row r="6512" spans="31:36">
      <c r="AE6512" s="15" t="str">
        <f t="shared" si="0"/>
        <v/>
      </c>
      <c r="AF6512" s="15" t="str">
        <f t="shared" si="1"/>
        <v/>
      </c>
      <c r="AG6512" s="15" t="str">
        <f>IF(OR(AF6512="",AF6512="ERRO_CHAVE"),"",IFERROR(MATCH(AF6512,'Quitados DUPP'!$U$1:$U$6635,0),""))</f>
        <v/>
      </c>
      <c r="AH6512" s="15" t="str">
        <f t="shared" si="2"/>
        <v/>
      </c>
      <c r="AI6512" s="17" t="str">
        <f>IF(AG6512="","",INDEX('Quitados DUPP'!$G$1:$G$6635,AG6512))</f>
        <v/>
      </c>
      <c r="AJ6512" s="17" t="str">
        <f t="shared" si="3"/>
        <v/>
      </c>
    </row>
    <row r="6513" spans="31:36">
      <c r="AE6513" s="15" t="str">
        <f t="shared" si="0"/>
        <v/>
      </c>
      <c r="AF6513" s="15" t="str">
        <f t="shared" si="1"/>
        <v/>
      </c>
      <c r="AG6513" s="15" t="str">
        <f>IF(OR(AF6513="",AF6513="ERRO_CHAVE"),"",IFERROR(MATCH(AF6513,'Quitados DUPP'!$U$1:$U$6635,0),""))</f>
        <v/>
      </c>
      <c r="AH6513" s="15" t="str">
        <f t="shared" si="2"/>
        <v/>
      </c>
      <c r="AI6513" s="17" t="str">
        <f>IF(AG6513="","",INDEX('Quitados DUPP'!$G$1:$G$6635,AG6513))</f>
        <v/>
      </c>
      <c r="AJ6513" s="17" t="str">
        <f t="shared" si="3"/>
        <v/>
      </c>
    </row>
    <row r="6514" spans="31:36">
      <c r="AE6514" s="15" t="str">
        <f t="shared" si="0"/>
        <v/>
      </c>
      <c r="AF6514" s="15" t="str">
        <f t="shared" si="1"/>
        <v/>
      </c>
      <c r="AG6514" s="15" t="str">
        <f>IF(OR(AF6514="",AF6514="ERRO_CHAVE"),"",IFERROR(MATCH(AF6514,'Quitados DUPP'!$U$1:$U$6635,0),""))</f>
        <v/>
      </c>
      <c r="AH6514" s="15" t="str">
        <f t="shared" si="2"/>
        <v/>
      </c>
      <c r="AI6514" s="17" t="str">
        <f>IF(AG6514="","",INDEX('Quitados DUPP'!$G$1:$G$6635,AG6514))</f>
        <v/>
      </c>
      <c r="AJ6514" s="17" t="str">
        <f t="shared" si="3"/>
        <v/>
      </c>
    </row>
    <row r="6515" spans="31:36">
      <c r="AE6515" s="15" t="str">
        <f t="shared" si="0"/>
        <v/>
      </c>
      <c r="AF6515" s="15" t="str">
        <f t="shared" si="1"/>
        <v/>
      </c>
      <c r="AG6515" s="15" t="str">
        <f>IF(OR(AF6515="",AF6515="ERRO_CHAVE"),"",IFERROR(MATCH(AF6515,'Quitados DUPP'!$U$1:$U$6635,0),""))</f>
        <v/>
      </c>
      <c r="AH6515" s="15" t="str">
        <f t="shared" si="2"/>
        <v/>
      </c>
      <c r="AI6515" s="17" t="str">
        <f>IF(AG6515="","",INDEX('Quitados DUPP'!$G$1:$G$6635,AG6515))</f>
        <v/>
      </c>
      <c r="AJ6515" s="17" t="str">
        <f t="shared" si="3"/>
        <v/>
      </c>
    </row>
    <row r="6516" spans="31:36">
      <c r="AE6516" s="15" t="str">
        <f t="shared" si="0"/>
        <v/>
      </c>
      <c r="AF6516" s="15" t="str">
        <f t="shared" si="1"/>
        <v/>
      </c>
      <c r="AG6516" s="15" t="str">
        <f>IF(OR(AF6516="",AF6516="ERRO_CHAVE"),"",IFERROR(MATCH(AF6516,'Quitados DUPP'!$U$1:$U$6635,0),""))</f>
        <v/>
      </c>
      <c r="AH6516" s="15" t="str">
        <f t="shared" si="2"/>
        <v/>
      </c>
      <c r="AI6516" s="17" t="str">
        <f>IF(AG6516="","",INDEX('Quitados DUPP'!$G$1:$G$6635,AG6516))</f>
        <v/>
      </c>
      <c r="AJ6516" s="17" t="str">
        <f t="shared" si="3"/>
        <v/>
      </c>
    </row>
    <row r="6517" spans="31:36">
      <c r="AE6517" s="15" t="str">
        <f t="shared" si="0"/>
        <v/>
      </c>
      <c r="AF6517" s="15" t="str">
        <f t="shared" si="1"/>
        <v/>
      </c>
      <c r="AG6517" s="15" t="str">
        <f>IF(OR(AF6517="",AF6517="ERRO_CHAVE"),"",IFERROR(MATCH(AF6517,'Quitados DUPP'!$U$1:$U$6635,0),""))</f>
        <v/>
      </c>
      <c r="AH6517" s="15" t="str">
        <f t="shared" si="2"/>
        <v/>
      </c>
      <c r="AI6517" s="17" t="str">
        <f>IF(AG6517="","",INDEX('Quitados DUPP'!$G$1:$G$6635,AG6517))</f>
        <v/>
      </c>
      <c r="AJ6517" s="17" t="str">
        <f t="shared" si="3"/>
        <v/>
      </c>
    </row>
    <row r="6518" spans="31:36">
      <c r="AE6518" s="15" t="str">
        <f t="shared" si="0"/>
        <v/>
      </c>
      <c r="AF6518" s="15" t="str">
        <f t="shared" si="1"/>
        <v/>
      </c>
      <c r="AG6518" s="15" t="str">
        <f>IF(OR(AF6518="",AF6518="ERRO_CHAVE"),"",IFERROR(MATCH(AF6518,'Quitados DUPP'!$U$1:$U$6635,0),""))</f>
        <v/>
      </c>
      <c r="AH6518" s="15" t="str">
        <f t="shared" si="2"/>
        <v/>
      </c>
      <c r="AI6518" s="17" t="str">
        <f>IF(AG6518="","",INDEX('Quitados DUPP'!$G$1:$G$6635,AG6518))</f>
        <v/>
      </c>
      <c r="AJ6518" s="17" t="str">
        <f t="shared" si="3"/>
        <v/>
      </c>
    </row>
    <row r="6519" spans="31:36">
      <c r="AE6519" s="15" t="str">
        <f t="shared" si="0"/>
        <v/>
      </c>
      <c r="AF6519" s="15" t="str">
        <f t="shared" si="1"/>
        <v/>
      </c>
      <c r="AG6519" s="15" t="str">
        <f>IF(OR(AF6519="",AF6519="ERRO_CHAVE"),"",IFERROR(MATCH(AF6519,'Quitados DUPP'!$U$1:$U$6635,0),""))</f>
        <v/>
      </c>
      <c r="AH6519" s="15" t="str">
        <f t="shared" si="2"/>
        <v/>
      </c>
      <c r="AI6519" s="17" t="str">
        <f>IF(AG6519="","",INDEX('Quitados DUPP'!$G$1:$G$6635,AG6519))</f>
        <v/>
      </c>
      <c r="AJ6519" s="17" t="str">
        <f t="shared" si="3"/>
        <v/>
      </c>
    </row>
    <row r="6520" spans="31:36">
      <c r="AE6520" s="15" t="str">
        <f t="shared" si="0"/>
        <v/>
      </c>
      <c r="AF6520" s="15" t="str">
        <f t="shared" si="1"/>
        <v/>
      </c>
      <c r="AG6520" s="15" t="str">
        <f>IF(OR(AF6520="",AF6520="ERRO_CHAVE"),"",IFERROR(MATCH(AF6520,'Quitados DUPP'!$U$1:$U$6635,0),""))</f>
        <v/>
      </c>
      <c r="AH6520" s="15" t="str">
        <f t="shared" si="2"/>
        <v/>
      </c>
      <c r="AI6520" s="17" t="str">
        <f>IF(AG6520="","",INDEX('Quitados DUPP'!$G$1:$G$6635,AG6520))</f>
        <v/>
      </c>
      <c r="AJ6520" s="17" t="str">
        <f t="shared" si="3"/>
        <v/>
      </c>
    </row>
    <row r="6521" spans="31:36">
      <c r="AE6521" s="15" t="str">
        <f t="shared" si="0"/>
        <v/>
      </c>
      <c r="AF6521" s="15" t="str">
        <f t="shared" si="1"/>
        <v/>
      </c>
      <c r="AG6521" s="15" t="str">
        <f>IF(OR(AF6521="",AF6521="ERRO_CHAVE"),"",IFERROR(MATCH(AF6521,'Quitados DUPP'!$U$1:$U$6635,0),""))</f>
        <v/>
      </c>
      <c r="AH6521" s="15" t="str">
        <f t="shared" si="2"/>
        <v/>
      </c>
      <c r="AI6521" s="17" t="str">
        <f>IF(AG6521="","",INDEX('Quitados DUPP'!$G$1:$G$6635,AG6521))</f>
        <v/>
      </c>
      <c r="AJ6521" s="17" t="str">
        <f t="shared" si="3"/>
        <v/>
      </c>
    </row>
    <row r="6522" spans="31:36">
      <c r="AE6522" s="15" t="str">
        <f t="shared" si="0"/>
        <v/>
      </c>
      <c r="AF6522" s="15" t="str">
        <f t="shared" si="1"/>
        <v/>
      </c>
      <c r="AG6522" s="15" t="str">
        <f>IF(OR(AF6522="",AF6522="ERRO_CHAVE"),"",IFERROR(MATCH(AF6522,'Quitados DUPP'!$U$1:$U$6635,0),""))</f>
        <v/>
      </c>
      <c r="AH6522" s="15" t="str">
        <f t="shared" si="2"/>
        <v/>
      </c>
      <c r="AI6522" s="17" t="str">
        <f>IF(AG6522="","",INDEX('Quitados DUPP'!$G$1:$G$6635,AG6522))</f>
        <v/>
      </c>
      <c r="AJ6522" s="17" t="str">
        <f t="shared" si="3"/>
        <v/>
      </c>
    </row>
    <row r="6523" spans="31:36">
      <c r="AE6523" s="15" t="str">
        <f t="shared" si="0"/>
        <v/>
      </c>
      <c r="AF6523" s="15" t="str">
        <f t="shared" si="1"/>
        <v/>
      </c>
      <c r="AG6523" s="15" t="str">
        <f>IF(OR(AF6523="",AF6523="ERRO_CHAVE"),"",IFERROR(MATCH(AF6523,'Quitados DUPP'!$U$1:$U$6635,0),""))</f>
        <v/>
      </c>
      <c r="AH6523" s="15" t="str">
        <f t="shared" si="2"/>
        <v/>
      </c>
      <c r="AI6523" s="17" t="str">
        <f>IF(AG6523="","",INDEX('Quitados DUPP'!$G$1:$G$6635,AG6523))</f>
        <v/>
      </c>
      <c r="AJ6523" s="17" t="str">
        <f t="shared" si="3"/>
        <v/>
      </c>
    </row>
    <row r="6524" spans="31:36">
      <c r="AE6524" s="15" t="str">
        <f t="shared" si="0"/>
        <v/>
      </c>
      <c r="AF6524" s="15" t="str">
        <f t="shared" si="1"/>
        <v/>
      </c>
      <c r="AG6524" s="15" t="str">
        <f>IF(OR(AF6524="",AF6524="ERRO_CHAVE"),"",IFERROR(MATCH(AF6524,'Quitados DUPP'!$U$1:$U$6635,0),""))</f>
        <v/>
      </c>
      <c r="AH6524" s="15" t="str">
        <f t="shared" si="2"/>
        <v/>
      </c>
      <c r="AI6524" s="17" t="str">
        <f>IF(AG6524="","",INDEX('Quitados DUPP'!$G$1:$G$6635,AG6524))</f>
        <v/>
      </c>
      <c r="AJ6524" s="17" t="str">
        <f t="shared" si="3"/>
        <v/>
      </c>
    </row>
    <row r="6525" spans="31:36">
      <c r="AE6525" s="15" t="str">
        <f t="shared" si="0"/>
        <v/>
      </c>
      <c r="AF6525" s="15" t="str">
        <f t="shared" si="1"/>
        <v/>
      </c>
      <c r="AG6525" s="15" t="str">
        <f>IF(OR(AF6525="",AF6525="ERRO_CHAVE"),"",IFERROR(MATCH(AF6525,'Quitados DUPP'!$U$1:$U$6635,0),""))</f>
        <v/>
      </c>
      <c r="AH6525" s="15" t="str">
        <f t="shared" si="2"/>
        <v/>
      </c>
      <c r="AI6525" s="17" t="str">
        <f>IF(AG6525="","",INDEX('Quitados DUPP'!$G$1:$G$6635,AG6525))</f>
        <v/>
      </c>
      <c r="AJ6525" s="17" t="str">
        <f t="shared" si="3"/>
        <v/>
      </c>
    </row>
    <row r="6526" spans="31:36">
      <c r="AE6526" s="15" t="str">
        <f t="shared" si="0"/>
        <v/>
      </c>
      <c r="AF6526" s="15" t="str">
        <f t="shared" si="1"/>
        <v/>
      </c>
      <c r="AG6526" s="15" t="str">
        <f>IF(OR(AF6526="",AF6526="ERRO_CHAVE"),"",IFERROR(MATCH(AF6526,'Quitados DUPP'!$U$1:$U$6635,0),""))</f>
        <v/>
      </c>
      <c r="AH6526" s="15" t="str">
        <f t="shared" si="2"/>
        <v/>
      </c>
      <c r="AI6526" s="17" t="str">
        <f>IF(AG6526="","",INDEX('Quitados DUPP'!$G$1:$G$6635,AG6526))</f>
        <v/>
      </c>
      <c r="AJ6526" s="17" t="str">
        <f t="shared" si="3"/>
        <v/>
      </c>
    </row>
    <row r="6527" spans="31:36">
      <c r="AE6527" s="15" t="str">
        <f t="shared" si="0"/>
        <v/>
      </c>
      <c r="AF6527" s="15" t="str">
        <f t="shared" si="1"/>
        <v/>
      </c>
      <c r="AG6527" s="15" t="str">
        <f>IF(OR(AF6527="",AF6527="ERRO_CHAVE"),"",IFERROR(MATCH(AF6527,'Quitados DUPP'!$U$1:$U$6635,0),""))</f>
        <v/>
      </c>
      <c r="AH6527" s="15" t="str">
        <f t="shared" si="2"/>
        <v/>
      </c>
      <c r="AI6527" s="17" t="str">
        <f>IF(AG6527="","",INDEX('Quitados DUPP'!$G$1:$G$6635,AG6527))</f>
        <v/>
      </c>
      <c r="AJ6527" s="17" t="str">
        <f t="shared" si="3"/>
        <v/>
      </c>
    </row>
    <row r="6528" spans="31:36">
      <c r="AE6528" s="15" t="str">
        <f t="shared" si="0"/>
        <v/>
      </c>
      <c r="AF6528" s="15" t="str">
        <f t="shared" si="1"/>
        <v/>
      </c>
      <c r="AG6528" s="15" t="str">
        <f>IF(OR(AF6528="",AF6528="ERRO_CHAVE"),"",IFERROR(MATCH(AF6528,'Quitados DUPP'!$U$1:$U$6635,0),""))</f>
        <v/>
      </c>
      <c r="AH6528" s="15" t="str">
        <f t="shared" si="2"/>
        <v/>
      </c>
      <c r="AI6528" s="17" t="str">
        <f>IF(AG6528="","",INDEX('Quitados DUPP'!$G$1:$G$6635,AG6528))</f>
        <v/>
      </c>
      <c r="AJ6528" s="17" t="str">
        <f t="shared" si="3"/>
        <v/>
      </c>
    </row>
    <row r="6529" spans="31:36">
      <c r="AE6529" s="15" t="str">
        <f t="shared" si="0"/>
        <v/>
      </c>
      <c r="AF6529" s="15" t="str">
        <f t="shared" si="1"/>
        <v/>
      </c>
      <c r="AG6529" s="15" t="str">
        <f>IF(OR(AF6529="",AF6529="ERRO_CHAVE"),"",IFERROR(MATCH(AF6529,'Quitados DUPP'!$U$1:$U$6635,0),""))</f>
        <v/>
      </c>
      <c r="AH6529" s="15" t="str">
        <f t="shared" si="2"/>
        <v/>
      </c>
      <c r="AI6529" s="17" t="str">
        <f>IF(AG6529="","",INDEX('Quitados DUPP'!$G$1:$G$6635,AG6529))</f>
        <v/>
      </c>
      <c r="AJ6529" s="17" t="str">
        <f t="shared" si="3"/>
        <v/>
      </c>
    </row>
    <row r="6530" spans="31:36">
      <c r="AE6530" s="15" t="str">
        <f t="shared" si="0"/>
        <v/>
      </c>
      <c r="AF6530" s="15" t="str">
        <f t="shared" si="1"/>
        <v/>
      </c>
      <c r="AG6530" s="15" t="str">
        <f>IF(OR(AF6530="",AF6530="ERRO_CHAVE"),"",IFERROR(MATCH(AF6530,'Quitados DUPP'!$U$1:$U$6635,0),""))</f>
        <v/>
      </c>
      <c r="AH6530" s="15" t="str">
        <f t="shared" si="2"/>
        <v/>
      </c>
      <c r="AI6530" s="17" t="str">
        <f>IF(AG6530="","",INDEX('Quitados DUPP'!$G$1:$G$6635,AG6530))</f>
        <v/>
      </c>
      <c r="AJ6530" s="17" t="str">
        <f t="shared" si="3"/>
        <v/>
      </c>
    </row>
    <row r="6531" spans="31:36">
      <c r="AE6531" s="15" t="str">
        <f t="shared" si="0"/>
        <v/>
      </c>
      <c r="AF6531" s="15" t="str">
        <f t="shared" si="1"/>
        <v/>
      </c>
      <c r="AG6531" s="15" t="str">
        <f>IF(OR(AF6531="",AF6531="ERRO_CHAVE"),"",IFERROR(MATCH(AF6531,'Quitados DUPP'!$U$1:$U$6635,0),""))</f>
        <v/>
      </c>
      <c r="AH6531" s="15" t="str">
        <f t="shared" si="2"/>
        <v/>
      </c>
      <c r="AI6531" s="17" t="str">
        <f>IF(AG6531="","",INDEX('Quitados DUPP'!$G$1:$G$6635,AG6531))</f>
        <v/>
      </c>
      <c r="AJ6531" s="17" t="str">
        <f t="shared" si="3"/>
        <v/>
      </c>
    </row>
    <row r="6532" spans="31:36">
      <c r="AE6532" s="15" t="str">
        <f t="shared" si="0"/>
        <v/>
      </c>
      <c r="AF6532" s="15" t="str">
        <f t="shared" si="1"/>
        <v/>
      </c>
      <c r="AG6532" s="15" t="str">
        <f>IF(OR(AF6532="",AF6532="ERRO_CHAVE"),"",IFERROR(MATCH(AF6532,'Quitados DUPP'!$U$1:$U$6635,0),""))</f>
        <v/>
      </c>
      <c r="AH6532" s="15" t="str">
        <f t="shared" si="2"/>
        <v/>
      </c>
      <c r="AI6532" s="17" t="str">
        <f>IF(AG6532="","",INDEX('Quitados DUPP'!$G$1:$G$6635,AG6532))</f>
        <v/>
      </c>
      <c r="AJ6532" s="17" t="str">
        <f t="shared" si="3"/>
        <v/>
      </c>
    </row>
    <row r="6533" spans="31:36">
      <c r="AE6533" s="15" t="str">
        <f t="shared" si="0"/>
        <v/>
      </c>
      <c r="AF6533" s="15" t="str">
        <f t="shared" si="1"/>
        <v/>
      </c>
      <c r="AG6533" s="15" t="str">
        <f>IF(OR(AF6533="",AF6533="ERRO_CHAVE"),"",IFERROR(MATCH(AF6533,'Quitados DUPP'!$U$1:$U$6635,0),""))</f>
        <v/>
      </c>
      <c r="AH6533" s="15" t="str">
        <f t="shared" si="2"/>
        <v/>
      </c>
      <c r="AI6533" s="17" t="str">
        <f>IF(AG6533="","",INDEX('Quitados DUPP'!$G$1:$G$6635,AG6533))</f>
        <v/>
      </c>
      <c r="AJ6533" s="17" t="str">
        <f t="shared" si="3"/>
        <v/>
      </c>
    </row>
    <row r="6534" spans="31:36">
      <c r="AE6534" s="15" t="str">
        <f t="shared" si="0"/>
        <v/>
      </c>
      <c r="AF6534" s="15" t="str">
        <f t="shared" si="1"/>
        <v/>
      </c>
      <c r="AG6534" s="15" t="str">
        <f>IF(OR(AF6534="",AF6534="ERRO_CHAVE"),"",IFERROR(MATCH(AF6534,'Quitados DUPP'!$U$1:$U$6635,0),""))</f>
        <v/>
      </c>
      <c r="AH6534" s="15" t="str">
        <f t="shared" si="2"/>
        <v/>
      </c>
      <c r="AI6534" s="17" t="str">
        <f>IF(AG6534="","",INDEX('Quitados DUPP'!$G$1:$G$6635,AG6534))</f>
        <v/>
      </c>
      <c r="AJ6534" s="17" t="str">
        <f t="shared" si="3"/>
        <v/>
      </c>
    </row>
    <row r="6535" spans="31:36">
      <c r="AE6535" s="15" t="str">
        <f t="shared" si="0"/>
        <v/>
      </c>
      <c r="AF6535" s="15" t="str">
        <f t="shared" si="1"/>
        <v/>
      </c>
      <c r="AG6535" s="15" t="str">
        <f>IF(OR(AF6535="",AF6535="ERRO_CHAVE"),"",IFERROR(MATCH(AF6535,'Quitados DUPP'!$U$1:$U$6635,0),""))</f>
        <v/>
      </c>
      <c r="AH6535" s="15" t="str">
        <f t="shared" si="2"/>
        <v/>
      </c>
      <c r="AI6535" s="17" t="str">
        <f>IF(AG6535="","",INDEX('Quitados DUPP'!$G$1:$G$6635,AG6535))</f>
        <v/>
      </c>
      <c r="AJ6535" s="17" t="str">
        <f t="shared" si="3"/>
        <v/>
      </c>
    </row>
    <row r="6536" spans="31:36">
      <c r="AE6536" s="15" t="str">
        <f t="shared" si="0"/>
        <v/>
      </c>
      <c r="AF6536" s="15" t="str">
        <f t="shared" si="1"/>
        <v/>
      </c>
      <c r="AG6536" s="15" t="str">
        <f>IF(OR(AF6536="",AF6536="ERRO_CHAVE"),"",IFERROR(MATCH(AF6536,'Quitados DUPP'!$U$1:$U$6635,0),""))</f>
        <v/>
      </c>
      <c r="AH6536" s="15" t="str">
        <f t="shared" si="2"/>
        <v/>
      </c>
      <c r="AI6536" s="17" t="str">
        <f>IF(AG6536="","",INDEX('Quitados DUPP'!$G$1:$G$6635,AG6536))</f>
        <v/>
      </c>
      <c r="AJ6536" s="17" t="str">
        <f t="shared" si="3"/>
        <v/>
      </c>
    </row>
    <row r="6537" spans="31:36">
      <c r="AE6537" s="15" t="str">
        <f t="shared" si="0"/>
        <v/>
      </c>
      <c r="AF6537" s="15" t="str">
        <f t="shared" si="1"/>
        <v/>
      </c>
      <c r="AG6537" s="15" t="str">
        <f>IF(OR(AF6537="",AF6537="ERRO_CHAVE"),"",IFERROR(MATCH(AF6537,'Quitados DUPP'!$U$1:$U$6635,0),""))</f>
        <v/>
      </c>
      <c r="AH6537" s="15" t="str">
        <f t="shared" si="2"/>
        <v/>
      </c>
      <c r="AI6537" s="17" t="str">
        <f>IF(AG6537="","",INDEX('Quitados DUPP'!$G$1:$G$6635,AG6537))</f>
        <v/>
      </c>
      <c r="AJ6537" s="17" t="str">
        <f t="shared" si="3"/>
        <v/>
      </c>
    </row>
    <row r="6538" spans="31:36">
      <c r="AE6538" s="15" t="str">
        <f t="shared" si="0"/>
        <v/>
      </c>
      <c r="AF6538" s="15" t="str">
        <f t="shared" si="1"/>
        <v/>
      </c>
      <c r="AG6538" s="15" t="str">
        <f>IF(OR(AF6538="",AF6538="ERRO_CHAVE"),"",IFERROR(MATCH(AF6538,'Quitados DUPP'!$U$1:$U$6635,0),""))</f>
        <v/>
      </c>
      <c r="AH6538" s="15" t="str">
        <f t="shared" si="2"/>
        <v/>
      </c>
      <c r="AI6538" s="17" t="str">
        <f>IF(AG6538="","",INDEX('Quitados DUPP'!$G$1:$G$6635,AG6538))</f>
        <v/>
      </c>
      <c r="AJ6538" s="17" t="str">
        <f t="shared" si="3"/>
        <v/>
      </c>
    </row>
    <row r="6539" spans="31:36">
      <c r="AE6539" s="15" t="str">
        <f t="shared" si="0"/>
        <v/>
      </c>
      <c r="AF6539" s="15" t="str">
        <f t="shared" si="1"/>
        <v/>
      </c>
      <c r="AG6539" s="15" t="str">
        <f>IF(OR(AF6539="",AF6539="ERRO_CHAVE"),"",IFERROR(MATCH(AF6539,'Quitados DUPP'!$U$1:$U$6635,0),""))</f>
        <v/>
      </c>
      <c r="AH6539" s="15" t="str">
        <f t="shared" si="2"/>
        <v/>
      </c>
      <c r="AI6539" s="17" t="str">
        <f>IF(AG6539="","",INDEX('Quitados DUPP'!$G$1:$G$6635,AG6539))</f>
        <v/>
      </c>
      <c r="AJ6539" s="17" t="str">
        <f t="shared" si="3"/>
        <v/>
      </c>
    </row>
    <row r="6540" spans="31:36">
      <c r="AE6540" s="15" t="str">
        <f t="shared" si="0"/>
        <v/>
      </c>
      <c r="AF6540" s="15" t="str">
        <f t="shared" si="1"/>
        <v/>
      </c>
      <c r="AG6540" s="15" t="str">
        <f>IF(OR(AF6540="",AF6540="ERRO_CHAVE"),"",IFERROR(MATCH(AF6540,'Quitados DUPP'!$U$1:$U$6635,0),""))</f>
        <v/>
      </c>
      <c r="AH6540" s="15" t="str">
        <f t="shared" si="2"/>
        <v/>
      </c>
      <c r="AI6540" s="17" t="str">
        <f>IF(AG6540="","",INDEX('Quitados DUPP'!$G$1:$G$6635,AG6540))</f>
        <v/>
      </c>
      <c r="AJ6540" s="17" t="str">
        <f t="shared" si="3"/>
        <v/>
      </c>
    </row>
    <row r="6541" spans="31:36">
      <c r="AE6541" s="15" t="str">
        <f t="shared" si="0"/>
        <v/>
      </c>
      <c r="AF6541" s="15" t="str">
        <f t="shared" si="1"/>
        <v/>
      </c>
      <c r="AG6541" s="15" t="str">
        <f>IF(OR(AF6541="",AF6541="ERRO_CHAVE"),"",IFERROR(MATCH(AF6541,'Quitados DUPP'!$U$1:$U$6635,0),""))</f>
        <v/>
      </c>
      <c r="AH6541" s="15" t="str">
        <f t="shared" si="2"/>
        <v/>
      </c>
      <c r="AI6541" s="17" t="str">
        <f>IF(AG6541="","",INDEX('Quitados DUPP'!$G$1:$G$6635,AG6541))</f>
        <v/>
      </c>
      <c r="AJ6541" s="17" t="str">
        <f t="shared" si="3"/>
        <v/>
      </c>
    </row>
    <row r="6542" spans="31:36">
      <c r="AE6542" s="15" t="str">
        <f t="shared" si="0"/>
        <v/>
      </c>
      <c r="AF6542" s="15" t="str">
        <f t="shared" si="1"/>
        <v/>
      </c>
      <c r="AG6542" s="15" t="str">
        <f>IF(OR(AF6542="",AF6542="ERRO_CHAVE"),"",IFERROR(MATCH(AF6542,'Quitados DUPP'!$U$1:$U$6635,0),""))</f>
        <v/>
      </c>
      <c r="AH6542" s="15" t="str">
        <f t="shared" si="2"/>
        <v/>
      </c>
      <c r="AI6542" s="17" t="str">
        <f>IF(AG6542="","",INDEX('Quitados DUPP'!$G$1:$G$6635,AG6542))</f>
        <v/>
      </c>
      <c r="AJ6542" s="17" t="str">
        <f t="shared" si="3"/>
        <v/>
      </c>
    </row>
    <row r="6543" spans="31:36">
      <c r="AE6543" s="15" t="str">
        <f t="shared" si="0"/>
        <v/>
      </c>
      <c r="AF6543" s="15" t="str">
        <f t="shared" si="1"/>
        <v/>
      </c>
      <c r="AG6543" s="15" t="str">
        <f>IF(OR(AF6543="",AF6543="ERRO_CHAVE"),"",IFERROR(MATCH(AF6543,'Quitados DUPP'!$U$1:$U$6635,0),""))</f>
        <v/>
      </c>
      <c r="AH6543" s="15" t="str">
        <f t="shared" si="2"/>
        <v/>
      </c>
      <c r="AI6543" s="17" t="str">
        <f>IF(AG6543="","",INDEX('Quitados DUPP'!$G$1:$G$6635,AG6543))</f>
        <v/>
      </c>
      <c r="AJ6543" s="17" t="str">
        <f t="shared" si="3"/>
        <v/>
      </c>
    </row>
    <row r="6544" spans="31:36">
      <c r="AE6544" s="15" t="str">
        <f t="shared" si="0"/>
        <v/>
      </c>
      <c r="AF6544" s="15" t="str">
        <f t="shared" si="1"/>
        <v/>
      </c>
      <c r="AG6544" s="15" t="str">
        <f>IF(OR(AF6544="",AF6544="ERRO_CHAVE"),"",IFERROR(MATCH(AF6544,'Quitados DUPP'!$U$1:$U$6635,0),""))</f>
        <v/>
      </c>
      <c r="AH6544" s="15" t="str">
        <f t="shared" si="2"/>
        <v/>
      </c>
      <c r="AI6544" s="17" t="str">
        <f>IF(AG6544="","",INDEX('Quitados DUPP'!$G$1:$G$6635,AG6544))</f>
        <v/>
      </c>
      <c r="AJ6544" s="17" t="str">
        <f t="shared" si="3"/>
        <v/>
      </c>
    </row>
    <row r="6545" spans="31:36">
      <c r="AE6545" s="15" t="str">
        <f t="shared" si="0"/>
        <v/>
      </c>
      <c r="AF6545" s="15" t="str">
        <f t="shared" si="1"/>
        <v/>
      </c>
      <c r="AG6545" s="15" t="str">
        <f>IF(OR(AF6545="",AF6545="ERRO_CHAVE"),"",IFERROR(MATCH(AF6545,'Quitados DUPP'!$U$1:$U$6635,0),""))</f>
        <v/>
      </c>
      <c r="AH6545" s="15" t="str">
        <f t="shared" si="2"/>
        <v/>
      </c>
      <c r="AI6545" s="17" t="str">
        <f>IF(AG6545="","",INDEX('Quitados DUPP'!$G$1:$G$6635,AG6545))</f>
        <v/>
      </c>
      <c r="AJ6545" s="17" t="str">
        <f t="shared" si="3"/>
        <v/>
      </c>
    </row>
    <row r="6546" spans="31:36">
      <c r="AE6546" s="15" t="str">
        <f t="shared" si="0"/>
        <v/>
      </c>
      <c r="AF6546" s="15" t="str">
        <f t="shared" si="1"/>
        <v/>
      </c>
      <c r="AG6546" s="15" t="str">
        <f>IF(OR(AF6546="",AF6546="ERRO_CHAVE"),"",IFERROR(MATCH(AF6546,'Quitados DUPP'!$U$1:$U$6635,0),""))</f>
        <v/>
      </c>
      <c r="AH6546" s="15" t="str">
        <f t="shared" si="2"/>
        <v/>
      </c>
      <c r="AI6546" s="17" t="str">
        <f>IF(AG6546="","",INDEX('Quitados DUPP'!$G$1:$G$6635,AG6546))</f>
        <v/>
      </c>
      <c r="AJ6546" s="17" t="str">
        <f t="shared" si="3"/>
        <v/>
      </c>
    </row>
    <row r="6547" spans="31:36">
      <c r="AE6547" s="15" t="str">
        <f t="shared" si="0"/>
        <v/>
      </c>
      <c r="AF6547" s="15" t="str">
        <f t="shared" si="1"/>
        <v/>
      </c>
      <c r="AG6547" s="15" t="str">
        <f>IF(OR(AF6547="",AF6547="ERRO_CHAVE"),"",IFERROR(MATCH(AF6547,'Quitados DUPP'!$U$1:$U$6635,0),""))</f>
        <v/>
      </c>
      <c r="AH6547" s="15" t="str">
        <f t="shared" si="2"/>
        <v/>
      </c>
      <c r="AI6547" s="17" t="str">
        <f>IF(AG6547="","",INDEX('Quitados DUPP'!$G$1:$G$6635,AG6547))</f>
        <v/>
      </c>
      <c r="AJ6547" s="17" t="str">
        <f t="shared" si="3"/>
        <v/>
      </c>
    </row>
    <row r="6548" spans="31:36">
      <c r="AE6548" s="15" t="str">
        <f t="shared" si="0"/>
        <v/>
      </c>
      <c r="AF6548" s="15" t="str">
        <f t="shared" si="1"/>
        <v/>
      </c>
      <c r="AG6548" s="15" t="str">
        <f>IF(OR(AF6548="",AF6548="ERRO_CHAVE"),"",IFERROR(MATCH(AF6548,'Quitados DUPP'!$U$1:$U$6635,0),""))</f>
        <v/>
      </c>
      <c r="AH6548" s="15" t="str">
        <f t="shared" si="2"/>
        <v/>
      </c>
      <c r="AI6548" s="17" t="str">
        <f>IF(AG6548="","",INDEX('Quitados DUPP'!$G$1:$G$6635,AG6548))</f>
        <v/>
      </c>
      <c r="AJ6548" s="17" t="str">
        <f t="shared" si="3"/>
        <v/>
      </c>
    </row>
    <row r="6549" spans="31:36">
      <c r="AE6549" s="15" t="str">
        <f t="shared" si="0"/>
        <v/>
      </c>
      <c r="AF6549" s="15" t="str">
        <f t="shared" si="1"/>
        <v/>
      </c>
      <c r="AG6549" s="15" t="str">
        <f>IF(OR(AF6549="",AF6549="ERRO_CHAVE"),"",IFERROR(MATCH(AF6549,'Quitados DUPP'!$U$1:$U$6635,0),""))</f>
        <v/>
      </c>
      <c r="AH6549" s="15" t="str">
        <f t="shared" si="2"/>
        <v/>
      </c>
      <c r="AI6549" s="17" t="str">
        <f>IF(AG6549="","",INDEX('Quitados DUPP'!$G$1:$G$6635,AG6549))</f>
        <v/>
      </c>
      <c r="AJ6549" s="17" t="str">
        <f t="shared" si="3"/>
        <v/>
      </c>
    </row>
    <row r="6550" spans="31:36">
      <c r="AE6550" s="15" t="str">
        <f t="shared" si="0"/>
        <v/>
      </c>
      <c r="AF6550" s="15" t="str">
        <f t="shared" si="1"/>
        <v/>
      </c>
      <c r="AG6550" s="15" t="str">
        <f>IF(OR(AF6550="",AF6550="ERRO_CHAVE"),"",IFERROR(MATCH(AF6550,'Quitados DUPP'!$U$1:$U$6635,0),""))</f>
        <v/>
      </c>
      <c r="AH6550" s="15" t="str">
        <f t="shared" si="2"/>
        <v/>
      </c>
      <c r="AI6550" s="17" t="str">
        <f>IF(AG6550="","",INDEX('Quitados DUPP'!$G$1:$G$6635,AG6550))</f>
        <v/>
      </c>
      <c r="AJ6550" s="17" t="str">
        <f t="shared" si="3"/>
        <v/>
      </c>
    </row>
    <row r="6551" spans="31:36">
      <c r="AE6551" s="15" t="str">
        <f t="shared" si="0"/>
        <v/>
      </c>
      <c r="AF6551" s="15" t="str">
        <f t="shared" si="1"/>
        <v/>
      </c>
      <c r="AG6551" s="15" t="str">
        <f>IF(OR(AF6551="",AF6551="ERRO_CHAVE"),"",IFERROR(MATCH(AF6551,'Quitados DUPP'!$U$1:$U$6635,0),""))</f>
        <v/>
      </c>
      <c r="AH6551" s="15" t="str">
        <f t="shared" si="2"/>
        <v/>
      </c>
      <c r="AI6551" s="17" t="str">
        <f>IF(AG6551="","",INDEX('Quitados DUPP'!$G$1:$G$6635,AG6551))</f>
        <v/>
      </c>
      <c r="AJ6551" s="17" t="str">
        <f t="shared" si="3"/>
        <v/>
      </c>
    </row>
    <row r="6552" spans="31:36">
      <c r="AE6552" s="15" t="str">
        <f t="shared" si="0"/>
        <v/>
      </c>
      <c r="AF6552" s="15" t="str">
        <f t="shared" si="1"/>
        <v/>
      </c>
      <c r="AG6552" s="15" t="str">
        <f>IF(OR(AF6552="",AF6552="ERRO_CHAVE"),"",IFERROR(MATCH(AF6552,'Quitados DUPP'!$U$1:$U$6635,0),""))</f>
        <v/>
      </c>
      <c r="AH6552" s="15" t="str">
        <f t="shared" si="2"/>
        <v/>
      </c>
      <c r="AI6552" s="17" t="str">
        <f>IF(AG6552="","",INDEX('Quitados DUPP'!$G$1:$G$6635,AG6552))</f>
        <v/>
      </c>
      <c r="AJ6552" s="17" t="str">
        <f t="shared" si="3"/>
        <v/>
      </c>
    </row>
    <row r="6553" spans="31:36">
      <c r="AE6553" s="15" t="str">
        <f t="shared" si="0"/>
        <v/>
      </c>
      <c r="AF6553" s="15" t="str">
        <f t="shared" si="1"/>
        <v/>
      </c>
      <c r="AG6553" s="15" t="str">
        <f>IF(OR(AF6553="",AF6553="ERRO_CHAVE"),"",IFERROR(MATCH(AF6553,'Quitados DUPP'!$U$1:$U$6635,0),""))</f>
        <v/>
      </c>
      <c r="AH6553" s="15" t="str">
        <f t="shared" si="2"/>
        <v/>
      </c>
      <c r="AI6553" s="17" t="str">
        <f>IF(AG6553="","",INDEX('Quitados DUPP'!$G$1:$G$6635,AG6553))</f>
        <v/>
      </c>
      <c r="AJ6553" s="17" t="str">
        <f t="shared" si="3"/>
        <v/>
      </c>
    </row>
    <row r="6554" spans="31:36">
      <c r="AE6554" s="15" t="str">
        <f t="shared" si="0"/>
        <v/>
      </c>
      <c r="AF6554" s="15" t="str">
        <f t="shared" si="1"/>
        <v/>
      </c>
      <c r="AG6554" s="15" t="str">
        <f>IF(OR(AF6554="",AF6554="ERRO_CHAVE"),"",IFERROR(MATCH(AF6554,'Quitados DUPP'!$U$1:$U$6635,0),""))</f>
        <v/>
      </c>
      <c r="AH6554" s="15" t="str">
        <f t="shared" si="2"/>
        <v/>
      </c>
      <c r="AI6554" s="17" t="str">
        <f>IF(AG6554="","",INDEX('Quitados DUPP'!$G$1:$G$6635,AG6554))</f>
        <v/>
      </c>
      <c r="AJ6554" s="17" t="str">
        <f t="shared" si="3"/>
        <v/>
      </c>
    </row>
    <row r="6555" spans="31:36">
      <c r="AE6555" s="15" t="str">
        <f t="shared" si="0"/>
        <v/>
      </c>
      <c r="AF6555" s="15" t="str">
        <f t="shared" si="1"/>
        <v/>
      </c>
      <c r="AG6555" s="15" t="str">
        <f>IF(OR(AF6555="",AF6555="ERRO_CHAVE"),"",IFERROR(MATCH(AF6555,'Quitados DUPP'!$U$1:$U$6635,0),""))</f>
        <v/>
      </c>
      <c r="AH6555" s="15" t="str">
        <f t="shared" si="2"/>
        <v/>
      </c>
      <c r="AI6555" s="17" t="str">
        <f>IF(AG6555="","",INDEX('Quitados DUPP'!$G$1:$G$6635,AG6555))</f>
        <v/>
      </c>
      <c r="AJ6555" s="17" t="str">
        <f t="shared" si="3"/>
        <v/>
      </c>
    </row>
    <row r="6556" spans="31:36">
      <c r="AE6556" s="15" t="str">
        <f t="shared" si="0"/>
        <v/>
      </c>
      <c r="AF6556" s="15" t="str">
        <f t="shared" si="1"/>
        <v/>
      </c>
      <c r="AG6556" s="15" t="str">
        <f>IF(OR(AF6556="",AF6556="ERRO_CHAVE"),"",IFERROR(MATCH(AF6556,'Quitados DUPP'!$U$1:$U$6635,0),""))</f>
        <v/>
      </c>
      <c r="AH6556" s="15" t="str">
        <f t="shared" si="2"/>
        <v/>
      </c>
      <c r="AI6556" s="17" t="str">
        <f>IF(AG6556="","",INDEX('Quitados DUPP'!$G$1:$G$6635,AG6556))</f>
        <v/>
      </c>
      <c r="AJ6556" s="17" t="str">
        <f t="shared" si="3"/>
        <v/>
      </c>
    </row>
    <row r="6557" spans="31:36">
      <c r="AE6557" s="15" t="str">
        <f t="shared" si="0"/>
        <v/>
      </c>
      <c r="AF6557" s="15" t="str">
        <f t="shared" si="1"/>
        <v/>
      </c>
      <c r="AG6557" s="15" t="str">
        <f>IF(OR(AF6557="",AF6557="ERRO_CHAVE"),"",IFERROR(MATCH(AF6557,'Quitados DUPP'!$U$1:$U$6635,0),""))</f>
        <v/>
      </c>
      <c r="AH6557" s="15" t="str">
        <f t="shared" si="2"/>
        <v/>
      </c>
      <c r="AI6557" s="17" t="str">
        <f>IF(AG6557="","",INDEX('Quitados DUPP'!$G$1:$G$6635,AG6557))</f>
        <v/>
      </c>
      <c r="AJ6557" s="17" t="str">
        <f t="shared" si="3"/>
        <v/>
      </c>
    </row>
    <row r="6558" spans="31:36">
      <c r="AE6558" s="15" t="str">
        <f t="shared" si="0"/>
        <v/>
      </c>
      <c r="AF6558" s="15" t="str">
        <f t="shared" si="1"/>
        <v/>
      </c>
      <c r="AG6558" s="15" t="str">
        <f>IF(OR(AF6558="",AF6558="ERRO_CHAVE"),"",IFERROR(MATCH(AF6558,'Quitados DUPP'!$U$1:$U$6635,0),""))</f>
        <v/>
      </c>
      <c r="AH6558" s="15" t="str">
        <f t="shared" si="2"/>
        <v/>
      </c>
      <c r="AI6558" s="17" t="str">
        <f>IF(AG6558="","",INDEX('Quitados DUPP'!$G$1:$G$6635,AG6558))</f>
        <v/>
      </c>
      <c r="AJ6558" s="17" t="str">
        <f t="shared" si="3"/>
        <v/>
      </c>
    </row>
    <row r="6559" spans="31:36">
      <c r="AE6559" s="15" t="str">
        <f t="shared" si="0"/>
        <v/>
      </c>
      <c r="AF6559" s="15" t="str">
        <f t="shared" si="1"/>
        <v/>
      </c>
      <c r="AG6559" s="15" t="str">
        <f>IF(OR(AF6559="",AF6559="ERRO_CHAVE"),"",IFERROR(MATCH(AF6559,'Quitados DUPP'!$U$1:$U$6635,0),""))</f>
        <v/>
      </c>
      <c r="AH6559" s="15" t="str">
        <f t="shared" si="2"/>
        <v/>
      </c>
      <c r="AI6559" s="17" t="str">
        <f>IF(AG6559="","",INDEX('Quitados DUPP'!$G$1:$G$6635,AG6559))</f>
        <v/>
      </c>
      <c r="AJ6559" s="17" t="str">
        <f t="shared" si="3"/>
        <v/>
      </c>
    </row>
    <row r="6560" spans="31:36">
      <c r="AE6560" s="15" t="str">
        <f t="shared" si="0"/>
        <v/>
      </c>
      <c r="AF6560" s="15" t="str">
        <f t="shared" si="1"/>
        <v/>
      </c>
      <c r="AG6560" s="15" t="str">
        <f>IF(OR(AF6560="",AF6560="ERRO_CHAVE"),"",IFERROR(MATCH(AF6560,'Quitados DUPP'!$U$1:$U$6635,0),""))</f>
        <v/>
      </c>
      <c r="AH6560" s="15" t="str">
        <f t="shared" si="2"/>
        <v/>
      </c>
      <c r="AI6560" s="17" t="str">
        <f>IF(AG6560="","",INDEX('Quitados DUPP'!$G$1:$G$6635,AG6560))</f>
        <v/>
      </c>
      <c r="AJ6560" s="17" t="str">
        <f t="shared" si="3"/>
        <v/>
      </c>
    </row>
    <row r="6561" spans="31:36">
      <c r="AE6561" s="15" t="str">
        <f t="shared" si="0"/>
        <v/>
      </c>
      <c r="AF6561" s="15" t="str">
        <f t="shared" si="1"/>
        <v/>
      </c>
      <c r="AG6561" s="15" t="str">
        <f>IF(OR(AF6561="",AF6561="ERRO_CHAVE"),"",IFERROR(MATCH(AF6561,'Quitados DUPP'!$U$1:$U$6635,0),""))</f>
        <v/>
      </c>
      <c r="AH6561" s="15" t="str">
        <f t="shared" si="2"/>
        <v/>
      </c>
      <c r="AI6561" s="17" t="str">
        <f>IF(AG6561="","",INDEX('Quitados DUPP'!$G$1:$G$6635,AG6561))</f>
        <v/>
      </c>
      <c r="AJ6561" s="17" t="str">
        <f t="shared" si="3"/>
        <v/>
      </c>
    </row>
    <row r="6562" spans="31:36">
      <c r="AE6562" s="15" t="str">
        <f t="shared" si="0"/>
        <v/>
      </c>
      <c r="AF6562" s="15" t="str">
        <f t="shared" si="1"/>
        <v/>
      </c>
      <c r="AG6562" s="15" t="str">
        <f>IF(OR(AF6562="",AF6562="ERRO_CHAVE"),"",IFERROR(MATCH(AF6562,'Quitados DUPP'!$U$1:$U$6635,0),""))</f>
        <v/>
      </c>
      <c r="AH6562" s="15" t="str">
        <f t="shared" si="2"/>
        <v/>
      </c>
      <c r="AI6562" s="17" t="str">
        <f>IF(AG6562="","",INDEX('Quitados DUPP'!$G$1:$G$6635,AG6562))</f>
        <v/>
      </c>
      <c r="AJ6562" s="17" t="str">
        <f t="shared" si="3"/>
        <v/>
      </c>
    </row>
    <row r="6563" spans="31:36">
      <c r="AE6563" s="15" t="str">
        <f t="shared" si="0"/>
        <v/>
      </c>
      <c r="AF6563" s="15" t="str">
        <f t="shared" si="1"/>
        <v/>
      </c>
      <c r="AG6563" s="15" t="str">
        <f>IF(OR(AF6563="",AF6563="ERRO_CHAVE"),"",IFERROR(MATCH(AF6563,'Quitados DUPP'!$U$1:$U$6635,0),""))</f>
        <v/>
      </c>
      <c r="AH6563" s="15" t="str">
        <f t="shared" si="2"/>
        <v/>
      </c>
      <c r="AI6563" s="17" t="str">
        <f>IF(AG6563="","",INDEX('Quitados DUPP'!$G$1:$G$6635,AG6563))</f>
        <v/>
      </c>
      <c r="AJ6563" s="17" t="str">
        <f t="shared" si="3"/>
        <v/>
      </c>
    </row>
    <row r="6564" spans="31:36">
      <c r="AE6564" s="15" t="str">
        <f t="shared" si="0"/>
        <v/>
      </c>
      <c r="AF6564" s="15" t="str">
        <f t="shared" si="1"/>
        <v/>
      </c>
      <c r="AG6564" s="15" t="str">
        <f>IF(OR(AF6564="",AF6564="ERRO_CHAVE"),"",IFERROR(MATCH(AF6564,'Quitados DUPP'!$U$1:$U$6635,0),""))</f>
        <v/>
      </c>
      <c r="AH6564" s="15" t="str">
        <f t="shared" si="2"/>
        <v/>
      </c>
      <c r="AI6564" s="17" t="str">
        <f>IF(AG6564="","",INDEX('Quitados DUPP'!$G$1:$G$6635,AG6564))</f>
        <v/>
      </c>
      <c r="AJ6564" s="17" t="str">
        <f t="shared" si="3"/>
        <v/>
      </c>
    </row>
    <row r="6565" spans="31:36">
      <c r="AE6565" s="15" t="str">
        <f t="shared" si="0"/>
        <v/>
      </c>
      <c r="AF6565" s="15" t="str">
        <f t="shared" si="1"/>
        <v/>
      </c>
      <c r="AG6565" s="15" t="str">
        <f>IF(OR(AF6565="",AF6565="ERRO_CHAVE"),"",IFERROR(MATCH(AF6565,'Quitados DUPP'!$U$1:$U$6635,0),""))</f>
        <v/>
      </c>
      <c r="AH6565" s="15" t="str">
        <f t="shared" si="2"/>
        <v/>
      </c>
      <c r="AI6565" s="17" t="str">
        <f>IF(AG6565="","",INDEX('Quitados DUPP'!$G$1:$G$6635,AG6565))</f>
        <v/>
      </c>
      <c r="AJ6565" s="17" t="str">
        <f t="shared" si="3"/>
        <v/>
      </c>
    </row>
    <row r="6566" spans="31:36">
      <c r="AE6566" s="15" t="str">
        <f t="shared" si="0"/>
        <v/>
      </c>
      <c r="AF6566" s="15" t="str">
        <f t="shared" si="1"/>
        <v/>
      </c>
      <c r="AG6566" s="15" t="str">
        <f>IF(OR(AF6566="",AF6566="ERRO_CHAVE"),"",IFERROR(MATCH(AF6566,'Quitados DUPP'!$U$1:$U$6635,0),""))</f>
        <v/>
      </c>
      <c r="AH6566" s="15" t="str">
        <f t="shared" si="2"/>
        <v/>
      </c>
      <c r="AI6566" s="17" t="str">
        <f>IF(AG6566="","",INDEX('Quitados DUPP'!$G$1:$G$6635,AG6566))</f>
        <v/>
      </c>
      <c r="AJ6566" s="17" t="str">
        <f t="shared" si="3"/>
        <v/>
      </c>
    </row>
    <row r="6567" spans="31:36">
      <c r="AE6567" s="15" t="str">
        <f t="shared" si="0"/>
        <v/>
      </c>
      <c r="AF6567" s="15" t="str">
        <f t="shared" si="1"/>
        <v/>
      </c>
      <c r="AG6567" s="15" t="str">
        <f>IF(OR(AF6567="",AF6567="ERRO_CHAVE"),"",IFERROR(MATCH(AF6567,'Quitados DUPP'!$U$1:$U$6635,0),""))</f>
        <v/>
      </c>
      <c r="AH6567" s="15" t="str">
        <f t="shared" si="2"/>
        <v/>
      </c>
      <c r="AI6567" s="17" t="str">
        <f>IF(AG6567="","",INDEX('Quitados DUPP'!$G$1:$G$6635,AG6567))</f>
        <v/>
      </c>
      <c r="AJ6567" s="17" t="str">
        <f t="shared" si="3"/>
        <v/>
      </c>
    </row>
    <row r="6568" spans="31:36">
      <c r="AE6568" s="15" t="str">
        <f t="shared" si="0"/>
        <v/>
      </c>
      <c r="AF6568" s="15" t="str">
        <f t="shared" si="1"/>
        <v/>
      </c>
      <c r="AG6568" s="15" t="str">
        <f>IF(OR(AF6568="",AF6568="ERRO_CHAVE"),"",IFERROR(MATCH(AF6568,'Quitados DUPP'!$U$1:$U$6635,0),""))</f>
        <v/>
      </c>
      <c r="AH6568" s="15" t="str">
        <f t="shared" si="2"/>
        <v/>
      </c>
      <c r="AI6568" s="17" t="str">
        <f>IF(AG6568="","",INDEX('Quitados DUPP'!$G$1:$G$6635,AG6568))</f>
        <v/>
      </c>
      <c r="AJ6568" s="17" t="str">
        <f t="shared" si="3"/>
        <v/>
      </c>
    </row>
    <row r="6569" spans="31:36">
      <c r="AE6569" s="15" t="str">
        <f t="shared" si="0"/>
        <v/>
      </c>
      <c r="AF6569" s="15" t="str">
        <f t="shared" si="1"/>
        <v/>
      </c>
      <c r="AG6569" s="15" t="str">
        <f>IF(OR(AF6569="",AF6569="ERRO_CHAVE"),"",IFERROR(MATCH(AF6569,'Quitados DUPP'!$U$1:$U$6635,0),""))</f>
        <v/>
      </c>
      <c r="AH6569" s="15" t="str">
        <f t="shared" si="2"/>
        <v/>
      </c>
      <c r="AI6569" s="17" t="str">
        <f>IF(AG6569="","",INDEX('Quitados DUPP'!$G$1:$G$6635,AG6569))</f>
        <v/>
      </c>
      <c r="AJ6569" s="17" t="str">
        <f t="shared" si="3"/>
        <v/>
      </c>
    </row>
    <row r="6570" spans="31:36">
      <c r="AE6570" s="15" t="str">
        <f t="shared" si="0"/>
        <v/>
      </c>
      <c r="AF6570" s="15" t="str">
        <f t="shared" si="1"/>
        <v/>
      </c>
      <c r="AG6570" s="15" t="str">
        <f>IF(OR(AF6570="",AF6570="ERRO_CHAVE"),"",IFERROR(MATCH(AF6570,'Quitados DUPP'!$U$1:$U$6635,0),""))</f>
        <v/>
      </c>
      <c r="AH6570" s="15" t="str">
        <f t="shared" si="2"/>
        <v/>
      </c>
      <c r="AI6570" s="17" t="str">
        <f>IF(AG6570="","",INDEX('Quitados DUPP'!$G$1:$G$6635,AG6570))</f>
        <v/>
      </c>
      <c r="AJ6570" s="17" t="str">
        <f t="shared" si="3"/>
        <v/>
      </c>
    </row>
    <row r="6571" spans="31:36">
      <c r="AE6571" s="15" t="str">
        <f t="shared" si="0"/>
        <v/>
      </c>
      <c r="AF6571" s="15" t="str">
        <f t="shared" si="1"/>
        <v/>
      </c>
      <c r="AG6571" s="15" t="str">
        <f>IF(OR(AF6571="",AF6571="ERRO_CHAVE"),"",IFERROR(MATCH(AF6571,'Quitados DUPP'!$U$1:$U$6635,0),""))</f>
        <v/>
      </c>
      <c r="AH6571" s="15" t="str">
        <f t="shared" si="2"/>
        <v/>
      </c>
      <c r="AI6571" s="17" t="str">
        <f>IF(AG6571="","",INDEX('Quitados DUPP'!$G$1:$G$6635,AG6571))</f>
        <v/>
      </c>
      <c r="AJ6571" s="17" t="str">
        <f t="shared" si="3"/>
        <v/>
      </c>
    </row>
    <row r="6572" spans="31:36">
      <c r="AE6572" s="15" t="str">
        <f t="shared" si="0"/>
        <v/>
      </c>
      <c r="AF6572" s="15" t="str">
        <f t="shared" si="1"/>
        <v/>
      </c>
      <c r="AG6572" s="15" t="str">
        <f>IF(OR(AF6572="",AF6572="ERRO_CHAVE"),"",IFERROR(MATCH(AF6572,'Quitados DUPP'!$U$1:$U$6635,0),""))</f>
        <v/>
      </c>
      <c r="AH6572" s="15" t="str">
        <f t="shared" si="2"/>
        <v/>
      </c>
      <c r="AI6572" s="17" t="str">
        <f>IF(AG6572="","",INDEX('Quitados DUPP'!$G$1:$G$6635,AG6572))</f>
        <v/>
      </c>
      <c r="AJ6572" s="17" t="str">
        <f t="shared" si="3"/>
        <v/>
      </c>
    </row>
    <row r="6573" spans="31:36">
      <c r="AE6573" s="15" t="str">
        <f t="shared" si="0"/>
        <v/>
      </c>
      <c r="AF6573" s="15" t="str">
        <f t="shared" si="1"/>
        <v/>
      </c>
      <c r="AG6573" s="15" t="str">
        <f>IF(OR(AF6573="",AF6573="ERRO_CHAVE"),"",IFERROR(MATCH(AF6573,'Quitados DUPP'!$U$1:$U$6635,0),""))</f>
        <v/>
      </c>
      <c r="AH6573" s="15" t="str">
        <f t="shared" si="2"/>
        <v/>
      </c>
      <c r="AI6573" s="17" t="str">
        <f>IF(AG6573="","",INDEX('Quitados DUPP'!$G$1:$G$6635,AG6573))</f>
        <v/>
      </c>
      <c r="AJ6573" s="17" t="str">
        <f t="shared" si="3"/>
        <v/>
      </c>
    </row>
    <row r="6574" spans="31:36">
      <c r="AE6574" s="15" t="str">
        <f t="shared" si="0"/>
        <v/>
      </c>
      <c r="AF6574" s="15" t="str">
        <f t="shared" si="1"/>
        <v/>
      </c>
      <c r="AG6574" s="15" t="str">
        <f>IF(OR(AF6574="",AF6574="ERRO_CHAVE"),"",IFERROR(MATCH(AF6574,'Quitados DUPP'!$U$1:$U$6635,0),""))</f>
        <v/>
      </c>
      <c r="AH6574" s="15" t="str">
        <f t="shared" si="2"/>
        <v/>
      </c>
      <c r="AI6574" s="17" t="str">
        <f>IF(AG6574="","",INDEX('Quitados DUPP'!$G$1:$G$6635,AG6574))</f>
        <v/>
      </c>
      <c r="AJ6574" s="17" t="str">
        <f t="shared" si="3"/>
        <v/>
      </c>
    </row>
    <row r="6575" spans="31:36">
      <c r="AE6575" s="15" t="str">
        <f t="shared" si="0"/>
        <v/>
      </c>
      <c r="AF6575" s="15" t="str">
        <f t="shared" si="1"/>
        <v/>
      </c>
      <c r="AG6575" s="15" t="str">
        <f>IF(OR(AF6575="",AF6575="ERRO_CHAVE"),"",IFERROR(MATCH(AF6575,'Quitados DUPP'!$U$1:$U$6635,0),""))</f>
        <v/>
      </c>
      <c r="AH6575" s="15" t="str">
        <f t="shared" si="2"/>
        <v/>
      </c>
      <c r="AI6575" s="17" t="str">
        <f>IF(AG6575="","",INDEX('Quitados DUPP'!$G$1:$G$6635,AG6575))</f>
        <v/>
      </c>
      <c r="AJ6575" s="17" t="str">
        <f t="shared" si="3"/>
        <v/>
      </c>
    </row>
    <row r="6576" spans="31:36">
      <c r="AE6576" s="15" t="str">
        <f t="shared" si="0"/>
        <v/>
      </c>
      <c r="AF6576" s="15" t="str">
        <f t="shared" si="1"/>
        <v/>
      </c>
      <c r="AG6576" s="15" t="str">
        <f>IF(OR(AF6576="",AF6576="ERRO_CHAVE"),"",IFERROR(MATCH(AF6576,'Quitados DUPP'!$U$1:$U$6635,0),""))</f>
        <v/>
      </c>
      <c r="AH6576" s="15" t="str">
        <f t="shared" si="2"/>
        <v/>
      </c>
      <c r="AI6576" s="17" t="str">
        <f>IF(AG6576="","",INDEX('Quitados DUPP'!$G$1:$G$6635,AG6576))</f>
        <v/>
      </c>
      <c r="AJ6576" s="17" t="str">
        <f t="shared" si="3"/>
        <v/>
      </c>
    </row>
    <row r="6577" spans="31:36">
      <c r="AE6577" s="15" t="str">
        <f t="shared" si="0"/>
        <v/>
      </c>
      <c r="AF6577" s="15" t="str">
        <f t="shared" si="1"/>
        <v/>
      </c>
      <c r="AG6577" s="15" t="str">
        <f>IF(OR(AF6577="",AF6577="ERRO_CHAVE"),"",IFERROR(MATCH(AF6577,'Quitados DUPP'!$U$1:$U$6635,0),""))</f>
        <v/>
      </c>
      <c r="AH6577" s="15" t="str">
        <f t="shared" si="2"/>
        <v/>
      </c>
      <c r="AI6577" s="17" t="str">
        <f>IF(AG6577="","",INDEX('Quitados DUPP'!$G$1:$G$6635,AG6577))</f>
        <v/>
      </c>
      <c r="AJ6577" s="17" t="str">
        <f t="shared" si="3"/>
        <v/>
      </c>
    </row>
    <row r="6578" spans="31:36">
      <c r="AE6578" s="15" t="str">
        <f t="shared" si="0"/>
        <v/>
      </c>
      <c r="AF6578" s="15" t="str">
        <f t="shared" si="1"/>
        <v/>
      </c>
      <c r="AG6578" s="15" t="str">
        <f>IF(OR(AF6578="",AF6578="ERRO_CHAVE"),"",IFERROR(MATCH(AF6578,'Quitados DUPP'!$U$1:$U$6635,0),""))</f>
        <v/>
      </c>
      <c r="AH6578" s="15" t="str">
        <f t="shared" si="2"/>
        <v/>
      </c>
      <c r="AI6578" s="17" t="str">
        <f>IF(AG6578="","",INDEX('Quitados DUPP'!$G$1:$G$6635,AG6578))</f>
        <v/>
      </c>
      <c r="AJ6578" s="17" t="str">
        <f t="shared" si="3"/>
        <v/>
      </c>
    </row>
    <row r="6579" spans="31:36">
      <c r="AE6579" s="15" t="str">
        <f t="shared" si="0"/>
        <v/>
      </c>
      <c r="AF6579" s="15" t="str">
        <f t="shared" si="1"/>
        <v/>
      </c>
      <c r="AG6579" s="15" t="str">
        <f>IF(OR(AF6579="",AF6579="ERRO_CHAVE"),"",IFERROR(MATCH(AF6579,'Quitados DUPP'!$U$1:$U$6635,0),""))</f>
        <v/>
      </c>
      <c r="AH6579" s="15" t="str">
        <f t="shared" si="2"/>
        <v/>
      </c>
      <c r="AI6579" s="17" t="str">
        <f>IF(AG6579="","",INDEX('Quitados DUPP'!$G$1:$G$6635,AG6579))</f>
        <v/>
      </c>
      <c r="AJ6579" s="17" t="str">
        <f t="shared" si="3"/>
        <v/>
      </c>
    </row>
    <row r="6580" spans="31:36">
      <c r="AE6580" s="15" t="str">
        <f t="shared" si="0"/>
        <v/>
      </c>
      <c r="AF6580" s="15" t="str">
        <f t="shared" si="1"/>
        <v/>
      </c>
      <c r="AG6580" s="15" t="str">
        <f>IF(OR(AF6580="",AF6580="ERRO_CHAVE"),"",IFERROR(MATCH(AF6580,'Quitados DUPP'!$U$1:$U$6635,0),""))</f>
        <v/>
      </c>
      <c r="AH6580" s="15" t="str">
        <f t="shared" si="2"/>
        <v/>
      </c>
      <c r="AI6580" s="17" t="str">
        <f>IF(AG6580="","",INDEX('Quitados DUPP'!$G$1:$G$6635,AG6580))</f>
        <v/>
      </c>
      <c r="AJ6580" s="17" t="str">
        <f t="shared" si="3"/>
        <v/>
      </c>
    </row>
    <row r="6581" spans="31:36">
      <c r="AE6581" s="15" t="str">
        <f t="shared" si="0"/>
        <v/>
      </c>
      <c r="AF6581" s="15" t="str">
        <f t="shared" si="1"/>
        <v/>
      </c>
      <c r="AG6581" s="15" t="str">
        <f>IF(OR(AF6581="",AF6581="ERRO_CHAVE"),"",IFERROR(MATCH(AF6581,'Quitados DUPP'!$U$1:$U$6635,0),""))</f>
        <v/>
      </c>
      <c r="AH6581" s="15" t="str">
        <f t="shared" si="2"/>
        <v/>
      </c>
      <c r="AI6581" s="17" t="str">
        <f>IF(AG6581="","",INDEX('Quitados DUPP'!$G$1:$G$6635,AG6581))</f>
        <v/>
      </c>
      <c r="AJ6581" s="17" t="str">
        <f t="shared" si="3"/>
        <v/>
      </c>
    </row>
    <row r="6582" spans="31:36">
      <c r="AE6582" s="15" t="str">
        <f t="shared" si="0"/>
        <v/>
      </c>
      <c r="AF6582" s="15" t="str">
        <f t="shared" si="1"/>
        <v/>
      </c>
      <c r="AG6582" s="15" t="str">
        <f>IF(OR(AF6582="",AF6582="ERRO_CHAVE"),"",IFERROR(MATCH(AF6582,'Quitados DUPP'!$U$1:$U$6635,0),""))</f>
        <v/>
      </c>
      <c r="AH6582" s="15" t="str">
        <f t="shared" si="2"/>
        <v/>
      </c>
      <c r="AI6582" s="17" t="str">
        <f>IF(AG6582="","",INDEX('Quitados DUPP'!$G$1:$G$6635,AG6582))</f>
        <v/>
      </c>
      <c r="AJ6582" s="17" t="str">
        <f t="shared" si="3"/>
        <v/>
      </c>
    </row>
    <row r="6583" spans="31:36">
      <c r="AE6583" s="15" t="str">
        <f t="shared" si="0"/>
        <v/>
      </c>
      <c r="AF6583" s="15" t="str">
        <f t="shared" si="1"/>
        <v/>
      </c>
      <c r="AG6583" s="15" t="str">
        <f>IF(OR(AF6583="",AF6583="ERRO_CHAVE"),"",IFERROR(MATCH(AF6583,'Quitados DUPP'!$U$1:$U$6635,0),""))</f>
        <v/>
      </c>
      <c r="AH6583" s="15" t="str">
        <f t="shared" si="2"/>
        <v/>
      </c>
      <c r="AI6583" s="17" t="str">
        <f>IF(AG6583="","",INDEX('Quitados DUPP'!$G$1:$G$6635,AG6583))</f>
        <v/>
      </c>
      <c r="AJ6583" s="17" t="str">
        <f t="shared" si="3"/>
        <v/>
      </c>
    </row>
    <row r="6584" spans="31:36">
      <c r="AE6584" s="15" t="str">
        <f t="shared" si="0"/>
        <v/>
      </c>
      <c r="AF6584" s="15" t="str">
        <f t="shared" si="1"/>
        <v/>
      </c>
      <c r="AG6584" s="15" t="str">
        <f>IF(OR(AF6584="",AF6584="ERRO_CHAVE"),"",IFERROR(MATCH(AF6584,'Quitados DUPP'!$U$1:$U$6635,0),""))</f>
        <v/>
      </c>
      <c r="AH6584" s="15" t="str">
        <f t="shared" si="2"/>
        <v/>
      </c>
      <c r="AI6584" s="17" t="str">
        <f>IF(AG6584="","",INDEX('Quitados DUPP'!$G$1:$G$6635,AG6584))</f>
        <v/>
      </c>
      <c r="AJ6584" s="17" t="str">
        <f t="shared" si="3"/>
        <v/>
      </c>
    </row>
    <row r="6585" spans="31:36">
      <c r="AE6585" s="15" t="str">
        <f t="shared" si="0"/>
        <v/>
      </c>
      <c r="AF6585" s="15" t="str">
        <f t="shared" si="1"/>
        <v/>
      </c>
      <c r="AG6585" s="15" t="str">
        <f>IF(OR(AF6585="",AF6585="ERRO_CHAVE"),"",IFERROR(MATCH(AF6585,'Quitados DUPP'!$U$1:$U$6635,0),""))</f>
        <v/>
      </c>
      <c r="AH6585" s="15" t="str">
        <f t="shared" si="2"/>
        <v/>
      </c>
      <c r="AI6585" s="17" t="str">
        <f>IF(AG6585="","",INDEX('Quitados DUPP'!$G$1:$G$6635,AG6585))</f>
        <v/>
      </c>
      <c r="AJ6585" s="17" t="str">
        <f t="shared" si="3"/>
        <v/>
      </c>
    </row>
    <row r="6586" spans="31:36">
      <c r="AE6586" s="15" t="str">
        <f t="shared" si="0"/>
        <v/>
      </c>
      <c r="AF6586" s="15" t="str">
        <f t="shared" si="1"/>
        <v/>
      </c>
      <c r="AG6586" s="15" t="str">
        <f>IF(OR(AF6586="",AF6586="ERRO_CHAVE"),"",IFERROR(MATCH(AF6586,'Quitados DUPP'!$U$1:$U$6635,0),""))</f>
        <v/>
      </c>
      <c r="AH6586" s="15" t="str">
        <f t="shared" si="2"/>
        <v/>
      </c>
      <c r="AI6586" s="17" t="str">
        <f>IF(AG6586="","",INDEX('Quitados DUPP'!$G$1:$G$6635,AG6586))</f>
        <v/>
      </c>
      <c r="AJ6586" s="17" t="str">
        <f t="shared" si="3"/>
        <v/>
      </c>
    </row>
    <row r="6587" spans="31:36">
      <c r="AE6587" s="15" t="str">
        <f t="shared" si="0"/>
        <v/>
      </c>
      <c r="AF6587" s="15" t="str">
        <f t="shared" si="1"/>
        <v/>
      </c>
      <c r="AG6587" s="15" t="str">
        <f>IF(OR(AF6587="",AF6587="ERRO_CHAVE"),"",IFERROR(MATCH(AF6587,'Quitados DUPP'!$U$1:$U$6635,0),""))</f>
        <v/>
      </c>
      <c r="AH6587" s="15" t="str">
        <f t="shared" si="2"/>
        <v/>
      </c>
      <c r="AI6587" s="17" t="str">
        <f>IF(AG6587="","",INDEX('Quitados DUPP'!$G$1:$G$6635,AG6587))</f>
        <v/>
      </c>
      <c r="AJ6587" s="17" t="str">
        <f t="shared" si="3"/>
        <v/>
      </c>
    </row>
    <row r="6588" spans="31:36">
      <c r="AE6588" s="15" t="str">
        <f t="shared" si="0"/>
        <v/>
      </c>
      <c r="AF6588" s="15" t="str">
        <f t="shared" si="1"/>
        <v/>
      </c>
      <c r="AG6588" s="15" t="str">
        <f>IF(OR(AF6588="",AF6588="ERRO_CHAVE"),"",IFERROR(MATCH(AF6588,'Quitados DUPP'!$U$1:$U$6635,0),""))</f>
        <v/>
      </c>
      <c r="AH6588" s="15" t="str">
        <f t="shared" si="2"/>
        <v/>
      </c>
      <c r="AI6588" s="17" t="str">
        <f>IF(AG6588="","",INDEX('Quitados DUPP'!$G$1:$G$6635,AG6588))</f>
        <v/>
      </c>
      <c r="AJ6588" s="17" t="str">
        <f t="shared" si="3"/>
        <v/>
      </c>
    </row>
    <row r="6589" spans="31:36">
      <c r="AE6589" s="15" t="str">
        <f t="shared" si="0"/>
        <v/>
      </c>
      <c r="AF6589" s="15" t="str">
        <f t="shared" si="1"/>
        <v/>
      </c>
      <c r="AG6589" s="15" t="str">
        <f>IF(OR(AF6589="",AF6589="ERRO_CHAVE"),"",IFERROR(MATCH(AF6589,'Quitados DUPP'!$U$1:$U$6635,0),""))</f>
        <v/>
      </c>
      <c r="AH6589" s="15" t="str">
        <f t="shared" si="2"/>
        <v/>
      </c>
      <c r="AI6589" s="17" t="str">
        <f>IF(AG6589="","",INDEX('Quitados DUPP'!$G$1:$G$6635,AG6589))</f>
        <v/>
      </c>
      <c r="AJ6589" s="17" t="str">
        <f t="shared" si="3"/>
        <v/>
      </c>
    </row>
    <row r="6590" spans="31:36">
      <c r="AE6590" s="15" t="str">
        <f t="shared" si="0"/>
        <v/>
      </c>
      <c r="AF6590" s="15" t="str">
        <f t="shared" si="1"/>
        <v/>
      </c>
      <c r="AG6590" s="15" t="str">
        <f>IF(OR(AF6590="",AF6590="ERRO_CHAVE"),"",IFERROR(MATCH(AF6590,'Quitados DUPP'!$U$1:$U$6635,0),""))</f>
        <v/>
      </c>
      <c r="AH6590" s="15" t="str">
        <f t="shared" si="2"/>
        <v/>
      </c>
      <c r="AI6590" s="17" t="str">
        <f>IF(AG6590="","",INDEX('Quitados DUPP'!$G$1:$G$6635,AG6590))</f>
        <v/>
      </c>
      <c r="AJ6590" s="17" t="str">
        <f t="shared" si="3"/>
        <v/>
      </c>
    </row>
    <row r="6591" spans="31:36">
      <c r="AE6591" s="15" t="str">
        <f t="shared" si="0"/>
        <v/>
      </c>
      <c r="AF6591" s="15" t="str">
        <f t="shared" si="1"/>
        <v/>
      </c>
      <c r="AG6591" s="15" t="str">
        <f>IF(OR(AF6591="",AF6591="ERRO_CHAVE"),"",IFERROR(MATCH(AF6591,'Quitados DUPP'!$U$1:$U$6635,0),""))</f>
        <v/>
      </c>
      <c r="AH6591" s="15" t="str">
        <f t="shared" si="2"/>
        <v/>
      </c>
      <c r="AI6591" s="17" t="str">
        <f>IF(AG6591="","",INDEX('Quitados DUPP'!$G$1:$G$6635,AG6591))</f>
        <v/>
      </c>
      <c r="AJ6591" s="17" t="str">
        <f t="shared" si="3"/>
        <v/>
      </c>
    </row>
    <row r="6592" spans="31:36">
      <c r="AE6592" s="15" t="str">
        <f t="shared" si="0"/>
        <v/>
      </c>
      <c r="AF6592" s="15" t="str">
        <f t="shared" si="1"/>
        <v/>
      </c>
      <c r="AG6592" s="15" t="str">
        <f>IF(OR(AF6592="",AF6592="ERRO_CHAVE"),"",IFERROR(MATCH(AF6592,'Quitados DUPP'!$U$1:$U$6635,0),""))</f>
        <v/>
      </c>
      <c r="AH6592" s="15" t="str">
        <f t="shared" si="2"/>
        <v/>
      </c>
      <c r="AI6592" s="17" t="str">
        <f>IF(AG6592="","",INDEX('Quitados DUPP'!$G$1:$G$6635,AG6592))</f>
        <v/>
      </c>
      <c r="AJ6592" s="17" t="str">
        <f t="shared" si="3"/>
        <v/>
      </c>
    </row>
    <row r="6593" spans="31:36">
      <c r="AE6593" s="15" t="str">
        <f t="shared" si="0"/>
        <v/>
      </c>
      <c r="AF6593" s="15" t="str">
        <f t="shared" si="1"/>
        <v/>
      </c>
      <c r="AG6593" s="15" t="str">
        <f>IF(OR(AF6593="",AF6593="ERRO_CHAVE"),"",IFERROR(MATCH(AF6593,'Quitados DUPP'!$U$1:$U$6635,0),""))</f>
        <v/>
      </c>
      <c r="AH6593" s="15" t="str">
        <f t="shared" si="2"/>
        <v/>
      </c>
      <c r="AI6593" s="17" t="str">
        <f>IF(AG6593="","",INDEX('Quitados DUPP'!$G$1:$G$6635,AG6593))</f>
        <v/>
      </c>
      <c r="AJ6593" s="17" t="str">
        <f t="shared" si="3"/>
        <v/>
      </c>
    </row>
    <row r="6594" spans="31:36">
      <c r="AE6594" s="15" t="str">
        <f t="shared" si="0"/>
        <v/>
      </c>
      <c r="AF6594" s="15" t="str">
        <f t="shared" si="1"/>
        <v/>
      </c>
      <c r="AG6594" s="15" t="str">
        <f>IF(OR(AF6594="",AF6594="ERRO_CHAVE"),"",IFERROR(MATCH(AF6594,'Quitados DUPP'!$U$1:$U$6635,0),""))</f>
        <v/>
      </c>
      <c r="AH6594" s="15" t="str">
        <f t="shared" si="2"/>
        <v/>
      </c>
      <c r="AI6594" s="17" t="str">
        <f>IF(AG6594="","",INDEX('Quitados DUPP'!$G$1:$G$6635,AG6594))</f>
        <v/>
      </c>
      <c r="AJ6594" s="17" t="str">
        <f t="shared" si="3"/>
        <v/>
      </c>
    </row>
    <row r="6595" spans="31:36">
      <c r="AE6595" s="15" t="str">
        <f t="shared" si="0"/>
        <v/>
      </c>
      <c r="AF6595" s="15" t="str">
        <f t="shared" si="1"/>
        <v/>
      </c>
      <c r="AG6595" s="15" t="str">
        <f>IF(OR(AF6595="",AF6595="ERRO_CHAVE"),"",IFERROR(MATCH(AF6595,'Quitados DUPP'!$U$1:$U$6635,0),""))</f>
        <v/>
      </c>
      <c r="AH6595" s="15" t="str">
        <f t="shared" si="2"/>
        <v/>
      </c>
      <c r="AI6595" s="17" t="str">
        <f>IF(AG6595="","",INDEX('Quitados DUPP'!$G$1:$G$6635,AG6595))</f>
        <v/>
      </c>
      <c r="AJ6595" s="17" t="str">
        <f t="shared" si="3"/>
        <v/>
      </c>
    </row>
    <row r="6596" spans="31:36">
      <c r="AE6596" s="15" t="str">
        <f t="shared" si="0"/>
        <v/>
      </c>
      <c r="AF6596" s="15" t="str">
        <f t="shared" si="1"/>
        <v/>
      </c>
      <c r="AG6596" s="15" t="str">
        <f>IF(OR(AF6596="",AF6596="ERRO_CHAVE"),"",IFERROR(MATCH(AF6596,'Quitados DUPP'!$U$1:$U$6635,0),""))</f>
        <v/>
      </c>
      <c r="AH6596" s="15" t="str">
        <f t="shared" si="2"/>
        <v/>
      </c>
      <c r="AI6596" s="17" t="str">
        <f>IF(AG6596="","",INDEX('Quitados DUPP'!$G$1:$G$6635,AG6596))</f>
        <v/>
      </c>
      <c r="AJ6596" s="17" t="str">
        <f t="shared" si="3"/>
        <v/>
      </c>
    </row>
    <row r="6597" spans="31:36">
      <c r="AE6597" s="15" t="str">
        <f t="shared" si="0"/>
        <v/>
      </c>
      <c r="AF6597" s="15" t="str">
        <f t="shared" si="1"/>
        <v/>
      </c>
      <c r="AG6597" s="15" t="str">
        <f>IF(OR(AF6597="",AF6597="ERRO_CHAVE"),"",IFERROR(MATCH(AF6597,'Quitados DUPP'!$U$1:$U$6635,0),""))</f>
        <v/>
      </c>
      <c r="AH6597" s="15" t="str">
        <f t="shared" si="2"/>
        <v/>
      </c>
      <c r="AI6597" s="17" t="str">
        <f>IF(AG6597="","",INDEX('Quitados DUPP'!$G$1:$G$6635,AG6597))</f>
        <v/>
      </c>
      <c r="AJ6597" s="17" t="str">
        <f t="shared" si="3"/>
        <v/>
      </c>
    </row>
    <row r="6598" spans="31:36">
      <c r="AE6598" s="15" t="str">
        <f t="shared" si="0"/>
        <v/>
      </c>
      <c r="AF6598" s="15" t="str">
        <f t="shared" si="1"/>
        <v/>
      </c>
      <c r="AG6598" s="15" t="str">
        <f>IF(OR(AF6598="",AF6598="ERRO_CHAVE"),"",IFERROR(MATCH(AF6598,'Quitados DUPP'!$U$1:$U$6635,0),""))</f>
        <v/>
      </c>
      <c r="AH6598" s="15" t="str">
        <f t="shared" si="2"/>
        <v/>
      </c>
      <c r="AI6598" s="17" t="str">
        <f>IF(AG6598="","",INDEX('Quitados DUPP'!$G$1:$G$6635,AG6598))</f>
        <v/>
      </c>
      <c r="AJ6598" s="17" t="str">
        <f t="shared" si="3"/>
        <v/>
      </c>
    </row>
    <row r="6599" spans="31:36">
      <c r="AE6599" s="15" t="str">
        <f t="shared" si="0"/>
        <v/>
      </c>
      <c r="AF6599" s="15" t="str">
        <f t="shared" si="1"/>
        <v/>
      </c>
      <c r="AG6599" s="15" t="str">
        <f>IF(OR(AF6599="",AF6599="ERRO_CHAVE"),"",IFERROR(MATCH(AF6599,'Quitados DUPP'!$U$1:$U$6635,0),""))</f>
        <v/>
      </c>
      <c r="AH6599" s="15" t="str">
        <f t="shared" si="2"/>
        <v/>
      </c>
      <c r="AI6599" s="17" t="str">
        <f>IF(AG6599="","",INDEX('Quitados DUPP'!$G$1:$G$6635,AG6599))</f>
        <v/>
      </c>
      <c r="AJ6599" s="17" t="str">
        <f t="shared" si="3"/>
        <v/>
      </c>
    </row>
    <row r="6600" spans="31:36">
      <c r="AE6600" s="15" t="str">
        <f t="shared" si="0"/>
        <v/>
      </c>
      <c r="AF6600" s="15" t="str">
        <f t="shared" si="1"/>
        <v/>
      </c>
      <c r="AG6600" s="15" t="str">
        <f>IF(OR(AF6600="",AF6600="ERRO_CHAVE"),"",IFERROR(MATCH(AF6600,'Quitados DUPP'!$U$1:$U$6635,0),""))</f>
        <v/>
      </c>
      <c r="AH6600" s="15" t="str">
        <f t="shared" si="2"/>
        <v/>
      </c>
      <c r="AI6600" s="17" t="str">
        <f>IF(AG6600="","",INDEX('Quitados DUPP'!$G$1:$G$6635,AG6600))</f>
        <v/>
      </c>
      <c r="AJ6600" s="17" t="str">
        <f t="shared" si="3"/>
        <v/>
      </c>
    </row>
    <row r="6601" spans="31:36">
      <c r="AE6601" s="15" t="str">
        <f t="shared" si="0"/>
        <v/>
      </c>
      <c r="AF6601" s="15" t="str">
        <f t="shared" si="1"/>
        <v/>
      </c>
      <c r="AG6601" s="15" t="str">
        <f>IF(OR(AF6601="",AF6601="ERRO_CHAVE"),"",IFERROR(MATCH(AF6601,'Quitados DUPP'!$U$1:$U$6635,0),""))</f>
        <v/>
      </c>
      <c r="AH6601" s="15" t="str">
        <f t="shared" si="2"/>
        <v/>
      </c>
      <c r="AI6601" s="17" t="str">
        <f>IF(AG6601="","",INDEX('Quitados DUPP'!$G$1:$G$6635,AG6601))</f>
        <v/>
      </c>
      <c r="AJ6601" s="17" t="str">
        <f t="shared" si="3"/>
        <v/>
      </c>
    </row>
    <row r="6602" spans="31:36">
      <c r="AE6602" s="15" t="str">
        <f t="shared" si="0"/>
        <v/>
      </c>
      <c r="AF6602" s="15" t="str">
        <f t="shared" si="1"/>
        <v/>
      </c>
      <c r="AG6602" s="15" t="str">
        <f>IF(OR(AF6602="",AF6602="ERRO_CHAVE"),"",IFERROR(MATCH(AF6602,'Quitados DUPP'!$U$1:$U$6635,0),""))</f>
        <v/>
      </c>
      <c r="AH6602" s="15" t="str">
        <f t="shared" si="2"/>
        <v/>
      </c>
      <c r="AI6602" s="17" t="str">
        <f>IF(AG6602="","",INDEX('Quitados DUPP'!$G$1:$G$6635,AG6602))</f>
        <v/>
      </c>
      <c r="AJ6602" s="17" t="str">
        <f t="shared" si="3"/>
        <v/>
      </c>
    </row>
    <row r="6603" spans="31:36">
      <c r="AE6603" s="15" t="str">
        <f t="shared" si="0"/>
        <v/>
      </c>
      <c r="AF6603" s="15" t="str">
        <f t="shared" si="1"/>
        <v/>
      </c>
      <c r="AG6603" s="15" t="str">
        <f>IF(OR(AF6603="",AF6603="ERRO_CHAVE"),"",IFERROR(MATCH(AF6603,'Quitados DUPP'!$U$1:$U$6635,0),""))</f>
        <v/>
      </c>
      <c r="AH6603" s="15" t="str">
        <f t="shared" si="2"/>
        <v/>
      </c>
      <c r="AI6603" s="17" t="str">
        <f>IF(AG6603="","",INDEX('Quitados DUPP'!$G$1:$G$6635,AG6603))</f>
        <v/>
      </c>
      <c r="AJ6603" s="17" t="str">
        <f t="shared" si="3"/>
        <v/>
      </c>
    </row>
    <row r="6604" spans="31:36">
      <c r="AE6604" s="15" t="str">
        <f t="shared" si="0"/>
        <v/>
      </c>
      <c r="AF6604" s="15" t="str">
        <f t="shared" si="1"/>
        <v/>
      </c>
      <c r="AG6604" s="15" t="str">
        <f>IF(OR(AF6604="",AF6604="ERRO_CHAVE"),"",IFERROR(MATCH(AF6604,'Quitados DUPP'!$U$1:$U$6635,0),""))</f>
        <v/>
      </c>
      <c r="AH6604" s="15" t="str">
        <f t="shared" si="2"/>
        <v/>
      </c>
      <c r="AI6604" s="17" t="str">
        <f>IF(AG6604="","",INDEX('Quitados DUPP'!$G$1:$G$6635,AG6604))</f>
        <v/>
      </c>
      <c r="AJ6604" s="17" t="str">
        <f t="shared" si="3"/>
        <v/>
      </c>
    </row>
    <row r="6605" spans="31:36">
      <c r="AE6605" s="15" t="str">
        <f t="shared" si="0"/>
        <v/>
      </c>
      <c r="AF6605" s="15" t="str">
        <f t="shared" si="1"/>
        <v/>
      </c>
      <c r="AG6605" s="15" t="str">
        <f>IF(OR(AF6605="",AF6605="ERRO_CHAVE"),"",IFERROR(MATCH(AF6605,'Quitados DUPP'!$U$1:$U$6635,0),""))</f>
        <v/>
      </c>
      <c r="AH6605" s="15" t="str">
        <f t="shared" si="2"/>
        <v/>
      </c>
      <c r="AI6605" s="17" t="str">
        <f>IF(AG6605="","",INDEX('Quitados DUPP'!$G$1:$G$6635,AG6605))</f>
        <v/>
      </c>
      <c r="AJ6605" s="17" t="str">
        <f t="shared" si="3"/>
        <v/>
      </c>
    </row>
    <row r="6606" spans="31:36">
      <c r="AE6606" s="15" t="str">
        <f t="shared" si="0"/>
        <v/>
      </c>
      <c r="AF6606" s="15" t="str">
        <f t="shared" si="1"/>
        <v/>
      </c>
      <c r="AG6606" s="15" t="str">
        <f>IF(OR(AF6606="",AF6606="ERRO_CHAVE"),"",IFERROR(MATCH(AF6606,'Quitados DUPP'!$U$1:$U$6635,0),""))</f>
        <v/>
      </c>
      <c r="AH6606" s="15" t="str">
        <f t="shared" si="2"/>
        <v/>
      </c>
      <c r="AI6606" s="17" t="str">
        <f>IF(AG6606="","",INDEX('Quitados DUPP'!$G$1:$G$6635,AG6606))</f>
        <v/>
      </c>
      <c r="AJ6606" s="17" t="str">
        <f t="shared" si="3"/>
        <v/>
      </c>
    </row>
    <row r="6607" spans="31:36">
      <c r="AE6607" s="15" t="str">
        <f t="shared" si="0"/>
        <v/>
      </c>
      <c r="AF6607" s="15" t="str">
        <f t="shared" si="1"/>
        <v/>
      </c>
      <c r="AG6607" s="15" t="str">
        <f>IF(OR(AF6607="",AF6607="ERRO_CHAVE"),"",IFERROR(MATCH(AF6607,'Quitados DUPP'!$U$1:$U$6635,0),""))</f>
        <v/>
      </c>
      <c r="AH6607" s="15" t="str">
        <f t="shared" si="2"/>
        <v/>
      </c>
      <c r="AI6607" s="17" t="str">
        <f>IF(AG6607="","",INDEX('Quitados DUPP'!$G$1:$G$6635,AG6607))</f>
        <v/>
      </c>
      <c r="AJ6607" s="17" t="str">
        <f t="shared" si="3"/>
        <v/>
      </c>
    </row>
    <row r="6608" spans="31:36">
      <c r="AE6608" s="15" t="str">
        <f t="shared" si="0"/>
        <v/>
      </c>
      <c r="AF6608" s="15" t="str">
        <f t="shared" si="1"/>
        <v/>
      </c>
      <c r="AG6608" s="15" t="str">
        <f>IF(OR(AF6608="",AF6608="ERRO_CHAVE"),"",IFERROR(MATCH(AF6608,'Quitados DUPP'!$U$1:$U$6635,0),""))</f>
        <v/>
      </c>
      <c r="AH6608" s="15" t="str">
        <f t="shared" si="2"/>
        <v/>
      </c>
      <c r="AI6608" s="17" t="str">
        <f>IF(AG6608="","",INDEX('Quitados DUPP'!$G$1:$G$6635,AG6608))</f>
        <v/>
      </c>
      <c r="AJ6608" s="17" t="str">
        <f t="shared" si="3"/>
        <v/>
      </c>
    </row>
    <row r="6609" spans="31:36">
      <c r="AE6609" s="15" t="str">
        <f t="shared" si="0"/>
        <v/>
      </c>
      <c r="AF6609" s="15" t="str">
        <f t="shared" si="1"/>
        <v/>
      </c>
      <c r="AG6609" s="15" t="str">
        <f>IF(OR(AF6609="",AF6609="ERRO_CHAVE"),"",IFERROR(MATCH(AF6609,'Quitados DUPP'!$U$1:$U$6635,0),""))</f>
        <v/>
      </c>
      <c r="AH6609" s="15" t="str">
        <f t="shared" si="2"/>
        <v/>
      </c>
      <c r="AI6609" s="17" t="str">
        <f>IF(AG6609="","",INDEX('Quitados DUPP'!$G$1:$G$6635,AG6609))</f>
        <v/>
      </c>
      <c r="AJ6609" s="17" t="str">
        <f t="shared" si="3"/>
        <v/>
      </c>
    </row>
    <row r="6610" spans="31:36">
      <c r="AE6610" s="15" t="str">
        <f t="shared" si="0"/>
        <v/>
      </c>
      <c r="AF6610" s="15" t="str">
        <f t="shared" si="1"/>
        <v/>
      </c>
      <c r="AG6610" s="15" t="str">
        <f>IF(OR(AF6610="",AF6610="ERRO_CHAVE"),"",IFERROR(MATCH(AF6610,'Quitados DUPP'!$U$1:$U$6635,0),""))</f>
        <v/>
      </c>
      <c r="AH6610" s="15" t="str">
        <f t="shared" si="2"/>
        <v/>
      </c>
      <c r="AI6610" s="17" t="str">
        <f>IF(AG6610="","",INDEX('Quitados DUPP'!$G$1:$G$6635,AG6610))</f>
        <v/>
      </c>
      <c r="AJ6610" s="17" t="str">
        <f t="shared" si="3"/>
        <v/>
      </c>
    </row>
    <row r="6611" spans="31:36">
      <c r="AE6611" s="15" t="str">
        <f t="shared" si="0"/>
        <v/>
      </c>
      <c r="AF6611" s="15" t="str">
        <f t="shared" si="1"/>
        <v/>
      </c>
      <c r="AG6611" s="15" t="str">
        <f>IF(OR(AF6611="",AF6611="ERRO_CHAVE"),"",IFERROR(MATCH(AF6611,'Quitados DUPP'!$U$1:$U$6635,0),""))</f>
        <v/>
      </c>
      <c r="AH6611" s="15" t="str">
        <f t="shared" si="2"/>
        <v/>
      </c>
      <c r="AI6611" s="17" t="str">
        <f>IF(AG6611="","",INDEX('Quitados DUPP'!$G$1:$G$6635,AG6611))</f>
        <v/>
      </c>
      <c r="AJ6611" s="17" t="str">
        <f t="shared" si="3"/>
        <v/>
      </c>
    </row>
    <row r="6612" spans="31:36">
      <c r="AE6612" s="15" t="str">
        <f t="shared" si="0"/>
        <v/>
      </c>
      <c r="AF6612" s="15" t="str">
        <f t="shared" si="1"/>
        <v/>
      </c>
      <c r="AG6612" s="15" t="str">
        <f>IF(OR(AF6612="",AF6612="ERRO_CHAVE"),"",IFERROR(MATCH(AF6612,'Quitados DUPP'!$U$1:$U$6635,0),""))</f>
        <v/>
      </c>
      <c r="AH6612" s="15" t="str">
        <f t="shared" si="2"/>
        <v/>
      </c>
      <c r="AI6612" s="17" t="str">
        <f>IF(AG6612="","",INDEX('Quitados DUPP'!$G$1:$G$6635,AG6612))</f>
        <v/>
      </c>
      <c r="AJ6612" s="17" t="str">
        <f t="shared" si="3"/>
        <v/>
      </c>
    </row>
    <row r="6613" spans="31:36">
      <c r="AE6613" s="15" t="str">
        <f t="shared" si="0"/>
        <v/>
      </c>
      <c r="AF6613" s="15" t="str">
        <f t="shared" si="1"/>
        <v/>
      </c>
      <c r="AG6613" s="15" t="str">
        <f>IF(OR(AF6613="",AF6613="ERRO_CHAVE"),"",IFERROR(MATCH(AF6613,'Quitados DUPP'!$U$1:$U$6635,0),""))</f>
        <v/>
      </c>
      <c r="AH6613" s="15" t="str">
        <f t="shared" si="2"/>
        <v/>
      </c>
      <c r="AI6613" s="17" t="str">
        <f>IF(AG6613="","",INDEX('Quitados DUPP'!$G$1:$G$6635,AG6613))</f>
        <v/>
      </c>
      <c r="AJ6613" s="17" t="str">
        <f t="shared" si="3"/>
        <v/>
      </c>
    </row>
    <row r="6614" spans="31:36">
      <c r="AE6614" s="15" t="str">
        <f t="shared" si="0"/>
        <v/>
      </c>
      <c r="AF6614" s="15" t="str">
        <f t="shared" si="1"/>
        <v/>
      </c>
      <c r="AG6614" s="15" t="str">
        <f>IF(OR(AF6614="",AF6614="ERRO_CHAVE"),"",IFERROR(MATCH(AF6614,'Quitados DUPP'!$U$1:$U$6635,0),""))</f>
        <v/>
      </c>
      <c r="AH6614" s="15" t="str">
        <f t="shared" si="2"/>
        <v/>
      </c>
      <c r="AI6614" s="17" t="str">
        <f>IF(AG6614="","",INDEX('Quitados DUPP'!$G$1:$G$6635,AG6614))</f>
        <v/>
      </c>
      <c r="AJ6614" s="17" t="str">
        <f t="shared" si="3"/>
        <v/>
      </c>
    </row>
    <row r="6615" spans="31:36">
      <c r="AE6615" s="15" t="str">
        <f t="shared" si="0"/>
        <v/>
      </c>
      <c r="AF6615" s="15" t="str">
        <f t="shared" si="1"/>
        <v/>
      </c>
      <c r="AG6615" s="15" t="str">
        <f>IF(OR(AF6615="",AF6615="ERRO_CHAVE"),"",IFERROR(MATCH(AF6615,'Quitados DUPP'!$U$1:$U$6635,0),""))</f>
        <v/>
      </c>
      <c r="AH6615" s="15" t="str">
        <f t="shared" si="2"/>
        <v/>
      </c>
      <c r="AI6615" s="17" t="str">
        <f>IF(AG6615="","",INDEX('Quitados DUPP'!$G$1:$G$6635,AG6615))</f>
        <v/>
      </c>
      <c r="AJ6615" s="17" t="str">
        <f t="shared" si="3"/>
        <v/>
      </c>
    </row>
    <row r="6616" spans="31:36">
      <c r="AE6616" s="15" t="str">
        <f t="shared" si="0"/>
        <v/>
      </c>
      <c r="AF6616" s="15" t="str">
        <f t="shared" si="1"/>
        <v/>
      </c>
      <c r="AG6616" s="15" t="str">
        <f>IF(OR(AF6616="",AF6616="ERRO_CHAVE"),"",IFERROR(MATCH(AF6616,'Quitados DUPP'!$U$1:$U$6635,0),""))</f>
        <v/>
      </c>
      <c r="AH6616" s="15" t="str">
        <f t="shared" si="2"/>
        <v/>
      </c>
      <c r="AI6616" s="17" t="str">
        <f>IF(AG6616="","",INDEX('Quitados DUPP'!$G$1:$G$6635,AG6616))</f>
        <v/>
      </c>
      <c r="AJ6616" s="17" t="str">
        <f t="shared" si="3"/>
        <v/>
      </c>
    </row>
    <row r="6617" spans="31:36">
      <c r="AE6617" s="15" t="str">
        <f t="shared" si="0"/>
        <v/>
      </c>
      <c r="AF6617" s="15" t="str">
        <f t="shared" si="1"/>
        <v/>
      </c>
      <c r="AG6617" s="15" t="str">
        <f>IF(OR(AF6617="",AF6617="ERRO_CHAVE"),"",IFERROR(MATCH(AF6617,'Quitados DUPP'!$U$1:$U$6635,0),""))</f>
        <v/>
      </c>
      <c r="AH6617" s="15" t="str">
        <f t="shared" si="2"/>
        <v/>
      </c>
      <c r="AI6617" s="17" t="str">
        <f>IF(AG6617="","",INDEX('Quitados DUPP'!$G$1:$G$6635,AG6617))</f>
        <v/>
      </c>
      <c r="AJ6617" s="17" t="str">
        <f t="shared" si="3"/>
        <v/>
      </c>
    </row>
    <row r="6618" spans="31:36">
      <c r="AE6618" s="15" t="str">
        <f t="shared" si="0"/>
        <v/>
      </c>
      <c r="AF6618" s="15" t="str">
        <f t="shared" si="1"/>
        <v/>
      </c>
      <c r="AG6618" s="15" t="str">
        <f>IF(OR(AF6618="",AF6618="ERRO_CHAVE"),"",IFERROR(MATCH(AF6618,'Quitados DUPP'!$U$1:$U$6635,0),""))</f>
        <v/>
      </c>
      <c r="AH6618" s="15" t="str">
        <f t="shared" si="2"/>
        <v/>
      </c>
      <c r="AI6618" s="17" t="str">
        <f>IF(AG6618="","",INDEX('Quitados DUPP'!$G$1:$G$6635,AG6618))</f>
        <v/>
      </c>
      <c r="AJ6618" s="17" t="str">
        <f t="shared" si="3"/>
        <v/>
      </c>
    </row>
    <row r="6619" spans="31:36">
      <c r="AE6619" s="15" t="str">
        <f t="shared" si="0"/>
        <v/>
      </c>
      <c r="AF6619" s="15" t="str">
        <f t="shared" si="1"/>
        <v/>
      </c>
      <c r="AG6619" s="15" t="str">
        <f>IF(OR(AF6619="",AF6619="ERRO_CHAVE"),"",IFERROR(MATCH(AF6619,'Quitados DUPP'!$U$1:$U$6635,0),""))</f>
        <v/>
      </c>
      <c r="AH6619" s="15" t="str">
        <f t="shared" si="2"/>
        <v/>
      </c>
      <c r="AI6619" s="17" t="str">
        <f>IF(AG6619="","",INDEX('Quitados DUPP'!$G$1:$G$6635,AG6619))</f>
        <v/>
      </c>
      <c r="AJ6619" s="17" t="str">
        <f t="shared" si="3"/>
        <v/>
      </c>
    </row>
    <row r="6620" spans="31:36">
      <c r="AE6620" s="15" t="str">
        <f t="shared" si="0"/>
        <v/>
      </c>
      <c r="AF6620" s="15" t="str">
        <f t="shared" si="1"/>
        <v/>
      </c>
      <c r="AG6620" s="15" t="str">
        <f>IF(OR(AF6620="",AF6620="ERRO_CHAVE"),"",IFERROR(MATCH(AF6620,'Quitados DUPP'!$U$1:$U$6635,0),""))</f>
        <v/>
      </c>
      <c r="AH6620" s="15" t="str">
        <f t="shared" si="2"/>
        <v/>
      </c>
      <c r="AI6620" s="17" t="str">
        <f>IF(AG6620="","",INDEX('Quitados DUPP'!$G$1:$G$6635,AG6620))</f>
        <v/>
      </c>
      <c r="AJ6620" s="17" t="str">
        <f t="shared" si="3"/>
        <v/>
      </c>
    </row>
    <row r="6621" spans="31:36">
      <c r="AE6621" s="15" t="str">
        <f t="shared" si="0"/>
        <v/>
      </c>
      <c r="AF6621" s="15" t="str">
        <f t="shared" si="1"/>
        <v/>
      </c>
      <c r="AG6621" s="15" t="str">
        <f>IF(OR(AF6621="",AF6621="ERRO_CHAVE"),"",IFERROR(MATCH(AF6621,'Quitados DUPP'!$U$1:$U$6635,0),""))</f>
        <v/>
      </c>
      <c r="AH6621" s="15" t="str">
        <f t="shared" si="2"/>
        <v/>
      </c>
      <c r="AI6621" s="17" t="str">
        <f>IF(AG6621="","",INDEX('Quitados DUPP'!$G$1:$G$6635,AG6621))</f>
        <v/>
      </c>
      <c r="AJ6621" s="17" t="str">
        <f t="shared" si="3"/>
        <v/>
      </c>
    </row>
    <row r="6622" spans="31:36">
      <c r="AE6622" s="15" t="str">
        <f t="shared" si="0"/>
        <v/>
      </c>
      <c r="AF6622" s="15" t="str">
        <f t="shared" si="1"/>
        <v/>
      </c>
      <c r="AG6622" s="15" t="str">
        <f>IF(OR(AF6622="",AF6622="ERRO_CHAVE"),"",IFERROR(MATCH(AF6622,'Quitados DUPP'!$U$1:$U$6635,0),""))</f>
        <v/>
      </c>
      <c r="AH6622" s="15" t="str">
        <f t="shared" si="2"/>
        <v/>
      </c>
      <c r="AI6622" s="17" t="str">
        <f>IF(AG6622="","",INDEX('Quitados DUPP'!$G$1:$G$6635,AG6622))</f>
        <v/>
      </c>
      <c r="AJ6622" s="17" t="str">
        <f t="shared" si="3"/>
        <v/>
      </c>
    </row>
    <row r="6623" spans="31:36">
      <c r="AE6623" s="15" t="str">
        <f t="shared" si="0"/>
        <v/>
      </c>
      <c r="AF6623" s="15" t="str">
        <f t="shared" si="1"/>
        <v/>
      </c>
      <c r="AG6623" s="15" t="str">
        <f>IF(OR(AF6623="",AF6623="ERRO_CHAVE"),"",IFERROR(MATCH(AF6623,'Quitados DUPP'!$U$1:$U$6635,0),""))</f>
        <v/>
      </c>
      <c r="AH6623" s="15" t="str">
        <f t="shared" si="2"/>
        <v/>
      </c>
      <c r="AI6623" s="17" t="str">
        <f>IF(AG6623="","",INDEX('Quitados DUPP'!$G$1:$G$6635,AG6623))</f>
        <v/>
      </c>
      <c r="AJ6623" s="17" t="str">
        <f t="shared" si="3"/>
        <v/>
      </c>
    </row>
    <row r="6624" spans="31:36">
      <c r="AE6624" s="15" t="str">
        <f t="shared" si="0"/>
        <v/>
      </c>
      <c r="AF6624" s="15" t="str">
        <f t="shared" si="1"/>
        <v/>
      </c>
      <c r="AG6624" s="15" t="str">
        <f>IF(OR(AF6624="",AF6624="ERRO_CHAVE"),"",IFERROR(MATCH(AF6624,'Quitados DUPP'!$U$1:$U$6635,0),""))</f>
        <v/>
      </c>
      <c r="AH6624" s="15" t="str">
        <f t="shared" si="2"/>
        <v/>
      </c>
      <c r="AI6624" s="17" t="str">
        <f>IF(AG6624="","",INDEX('Quitados DUPP'!$G$1:$G$6635,AG6624))</f>
        <v/>
      </c>
      <c r="AJ6624" s="17" t="str">
        <f t="shared" si="3"/>
        <v/>
      </c>
    </row>
    <row r="6625" spans="31:36">
      <c r="AE6625" s="15" t="str">
        <f t="shared" si="0"/>
        <v/>
      </c>
      <c r="AF6625" s="15" t="str">
        <f t="shared" si="1"/>
        <v/>
      </c>
      <c r="AG6625" s="15" t="str">
        <f>IF(OR(AF6625="",AF6625="ERRO_CHAVE"),"",IFERROR(MATCH(AF6625,'Quitados DUPP'!$U$1:$U$6635,0),""))</f>
        <v/>
      </c>
      <c r="AH6625" s="15" t="str">
        <f t="shared" si="2"/>
        <v/>
      </c>
      <c r="AI6625" s="17" t="str">
        <f>IF(AG6625="","",INDEX('Quitados DUPP'!$G$1:$G$6635,AG6625))</f>
        <v/>
      </c>
      <c r="AJ6625" s="17" t="str">
        <f t="shared" si="3"/>
        <v/>
      </c>
    </row>
    <row r="6626" spans="31:36">
      <c r="AE6626" s="15" t="str">
        <f t="shared" si="0"/>
        <v/>
      </c>
      <c r="AF6626" s="15" t="str">
        <f t="shared" si="1"/>
        <v/>
      </c>
      <c r="AG6626" s="15" t="str">
        <f>IF(OR(AF6626="",AF6626="ERRO_CHAVE"),"",IFERROR(MATCH(AF6626,'Quitados DUPP'!$U$1:$U$6635,0),""))</f>
        <v/>
      </c>
      <c r="AH6626" s="15" t="str">
        <f t="shared" si="2"/>
        <v/>
      </c>
      <c r="AI6626" s="17" t="str">
        <f>IF(AG6626="","",INDEX('Quitados DUPP'!$G$1:$G$6635,AG6626))</f>
        <v/>
      </c>
      <c r="AJ6626" s="17" t="str">
        <f t="shared" si="3"/>
        <v/>
      </c>
    </row>
    <row r="6627" spans="31:36">
      <c r="AE6627" s="15" t="str">
        <f t="shared" si="0"/>
        <v/>
      </c>
      <c r="AF6627" s="15" t="str">
        <f t="shared" si="1"/>
        <v/>
      </c>
      <c r="AG6627" s="15" t="str">
        <f>IF(OR(AF6627="",AF6627="ERRO_CHAVE"),"",IFERROR(MATCH(AF6627,'Quitados DUPP'!$U$1:$U$6635,0),""))</f>
        <v/>
      </c>
      <c r="AH6627" s="15" t="str">
        <f t="shared" si="2"/>
        <v/>
      </c>
      <c r="AI6627" s="17" t="str">
        <f>IF(AG6627="","",INDEX('Quitados DUPP'!$G$1:$G$6635,AG6627))</f>
        <v/>
      </c>
      <c r="AJ6627" s="17" t="str">
        <f t="shared" si="3"/>
        <v/>
      </c>
    </row>
    <row r="6628" spans="31:36">
      <c r="AE6628" s="15" t="str">
        <f t="shared" si="0"/>
        <v/>
      </c>
      <c r="AF6628" s="15" t="str">
        <f t="shared" si="1"/>
        <v/>
      </c>
      <c r="AG6628" s="15" t="str">
        <f>IF(OR(AF6628="",AF6628="ERRO_CHAVE"),"",IFERROR(MATCH(AF6628,'Quitados DUPP'!$U$1:$U$6635,0),""))</f>
        <v/>
      </c>
      <c r="AH6628" s="15" t="str">
        <f t="shared" si="2"/>
        <v/>
      </c>
      <c r="AI6628" s="17" t="str">
        <f>IF(AG6628="","",INDEX('Quitados DUPP'!$G$1:$G$6635,AG6628))</f>
        <v/>
      </c>
      <c r="AJ6628" s="17" t="str">
        <f t="shared" si="3"/>
        <v/>
      </c>
    </row>
    <row r="6629" spans="31:36">
      <c r="AE6629" s="15" t="str">
        <f t="shared" si="0"/>
        <v/>
      </c>
      <c r="AF6629" s="15" t="str">
        <f t="shared" si="1"/>
        <v/>
      </c>
      <c r="AG6629" s="15" t="str">
        <f>IF(OR(AF6629="",AF6629="ERRO_CHAVE"),"",IFERROR(MATCH(AF6629,'Quitados DUPP'!$U$1:$U$6635,0),""))</f>
        <v/>
      </c>
      <c r="AH6629" s="15" t="str">
        <f t="shared" si="2"/>
        <v/>
      </c>
      <c r="AI6629" s="17" t="str">
        <f>IF(AG6629="","",INDEX('Quitados DUPP'!$G$1:$G$6635,AG6629))</f>
        <v/>
      </c>
      <c r="AJ6629" s="17" t="str">
        <f t="shared" si="3"/>
        <v/>
      </c>
    </row>
    <row r="6630" spans="31:36">
      <c r="AE6630" s="15" t="str">
        <f t="shared" si="0"/>
        <v/>
      </c>
      <c r="AF6630" s="15" t="str">
        <f t="shared" si="1"/>
        <v/>
      </c>
      <c r="AG6630" s="15" t="str">
        <f>IF(OR(AF6630="",AF6630="ERRO_CHAVE"),"",IFERROR(MATCH(AF6630,'Quitados DUPP'!$U$1:$U$6635,0),""))</f>
        <v/>
      </c>
      <c r="AH6630" s="15" t="str">
        <f t="shared" si="2"/>
        <v/>
      </c>
      <c r="AI6630" s="17" t="str">
        <f>IF(AG6630="","",INDEX('Quitados DUPP'!$G$1:$G$6635,AG6630))</f>
        <v/>
      </c>
      <c r="AJ6630" s="17" t="str">
        <f t="shared" si="3"/>
        <v/>
      </c>
    </row>
    <row r="6631" spans="31:36">
      <c r="AE6631" s="15" t="str">
        <f t="shared" si="0"/>
        <v/>
      </c>
      <c r="AF6631" s="15" t="str">
        <f t="shared" si="1"/>
        <v/>
      </c>
      <c r="AG6631" s="15" t="str">
        <f>IF(OR(AF6631="",AF6631="ERRO_CHAVE"),"",IFERROR(MATCH(AF6631,'Quitados DUPP'!$U$1:$U$6635,0),""))</f>
        <v/>
      </c>
      <c r="AH6631" s="15" t="str">
        <f t="shared" si="2"/>
        <v/>
      </c>
      <c r="AI6631" s="17" t="str">
        <f>IF(AG6631="","",INDEX('Quitados DUPP'!$G$1:$G$6635,AG6631))</f>
        <v/>
      </c>
      <c r="AJ6631" s="17" t="str">
        <f t="shared" si="3"/>
        <v/>
      </c>
    </row>
  </sheetData>
  <conditionalFormatting sqref="AE2:AE6631">
    <cfRule type="expression" dxfId="30" priority="1">
      <formula>AE2="PAGO"</formula>
    </cfRule>
    <cfRule type="expression" dxfId="31" priority="2">
      <formula>AE2="NÃO PAGO"</formula>
    </cfRule>
    <cfRule type="expression" dxfId="32" priority="3">
      <formula>AE2="FORA DA PREVISÃO"</formula>
    </cfRule>
    <cfRule type="expression" dxfId="33" priority="4">
      <formula>AE2="VERIFICAR"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635"/>
  <sheetViews>
    <sheetView workbookViewId="0">
      <pane ySplit="1" topLeftCell="A2" activePane="bottomLeft" state="frozen"/>
      <selection/>
      <selection pane="bottomLeft" activeCell="Y3" sqref="Y3"/>
    </sheetView>
  </sheetViews>
  <sheetFormatPr defaultColWidth="9" defaultRowHeight="14"/>
  <cols>
    <col min="1" max="1" width="81.7083333333333" customWidth="1"/>
    <col min="2" max="2" width="16.1333333333333" customWidth="1"/>
    <col min="3" max="3" width="13.425" customWidth="1"/>
    <col min="4" max="4" width="15.1333333333333" customWidth="1"/>
    <col min="5" max="5" width="19.1333333333333" customWidth="1"/>
    <col min="6" max="6" width="16.1333333333333" customWidth="1"/>
    <col min="7" max="7" width="15.2833333333333" customWidth="1"/>
    <col min="8" max="8" width="12" customWidth="1"/>
    <col min="9" max="9" width="30.425" customWidth="1"/>
    <col min="10" max="10" width="16.8583333333333" customWidth="1"/>
    <col min="11" max="11" width="19" customWidth="1"/>
    <col min="12" max="12" width="17.2833333333333" customWidth="1"/>
    <col min="13" max="13" width="78.425" customWidth="1"/>
    <col min="14" max="14" width="16.8583333333333" style="2" customWidth="1"/>
    <col min="15" max="15" width="21.2833333333333" customWidth="1"/>
    <col min="16" max="16" width="13.2833333333333" customWidth="1"/>
    <col min="17" max="17" width="20.2833333333333" customWidth="1"/>
    <col min="18" max="18" width="20.1333333333333" customWidth="1"/>
    <col min="19" max="19" width="23" customWidth="1"/>
    <col min="20" max="20" width="22" customWidth="1"/>
    <col min="21" max="21" width="60" customWidth="1"/>
    <col min="22" max="22" width="22" customWidth="1"/>
    <col min="23" max="23" width="16" customWidth="1"/>
    <col min="24" max="24" width="24" customWidth="1"/>
    <col min="25" max="25" width="30" customWidth="1"/>
  </cols>
  <sheetData>
    <row r="1" spans="1: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s="2" t="s">
        <v>61</v>
      </c>
      <c r="O1" t="s">
        <v>63</v>
      </c>
      <c r="P1" t="s">
        <v>64</v>
      </c>
      <c r="Q1" t="s">
        <v>65</v>
      </c>
      <c r="R1" t="s">
        <v>66</v>
      </c>
      <c r="S1" t="s">
        <v>30</v>
      </c>
      <c r="T1" t="s">
        <v>67</v>
      </c>
      <c r="U1" t="s">
        <v>31</v>
      </c>
      <c r="V1" t="s">
        <v>113</v>
      </c>
      <c r="W1" t="s">
        <v>33</v>
      </c>
      <c r="X1" t="s">
        <v>69</v>
      </c>
      <c r="Y1" t="s">
        <v>70</v>
      </c>
    </row>
    <row r="2" spans="1:25">
      <c r="A2" t="s">
        <v>114</v>
      </c>
      <c r="B2">
        <v>19</v>
      </c>
      <c r="C2" t="s">
        <v>115</v>
      </c>
      <c r="D2" t="s">
        <v>110</v>
      </c>
      <c r="E2" s="3">
        <v>46302</v>
      </c>
      <c r="F2" s="3">
        <v>46302</v>
      </c>
      <c r="G2">
        <v>850.8</v>
      </c>
      <c r="H2">
        <v>850.8</v>
      </c>
      <c r="I2" t="s">
        <v>74</v>
      </c>
      <c r="J2" s="3">
        <v>46302</v>
      </c>
      <c r="K2" s="3">
        <v>46302</v>
      </c>
      <c r="L2" s="3">
        <v>46303</v>
      </c>
      <c r="M2" t="s">
        <v>116</v>
      </c>
      <c r="N2" s="2">
        <v>803.78</v>
      </c>
      <c r="R2" s="3">
        <v>46302</v>
      </c>
      <c r="S2" s="6" t="str">
        <f>IF(U2="","",IF(U2="ERRO_CHAVE","VERIFICAR",IF(V2="","FORA DA PREVISÃO","PAGO")))</f>
        <v>FORA DA PREVISÃO</v>
      </c>
      <c r="T2" s="6" t="str">
        <f>IF(C2="","",IFERROR(SUBSTITUTE(IF(ISNUMBER(C2),LEFT(TRIM(MID(M2,SEARCH("tulo:",M2)+5,200)),FIND(" ",TRIM(MID(M2,SEARCH("tulo:",M2)+5,200))&amp;" ")-1),C2),"-","/"),"ERRO_TITULO"))</f>
        <v>297581/1/1</v>
      </c>
      <c r="U2" s="6" t="str">
        <f>IF(C2="","",IF(T2="ERRO_TITULO","ERRO_CHAVE",IFERROR(TRIM(RIGHT(SUBSTITUTE(A2," - ",REPT(" ",200)),200))&amp;"|"&amp;IFERROR(TEXT(VALUE(B2&amp;""),"0"),UPPER(TRIM(B2&amp;"")))&amp;"|"&amp;UPPER(TRIM(D2))&amp;"|"&amp;IFERROR(TEXT(VALUE(TRIM(MID(SUBSTITUTE(T2,"/",REPT(" ",100)),1,100))&amp;""),"0"),UPPER(TRIM(TRIM(MID(SUBSTITUTE(T2,"/",REPT(" ",100)),1,100))&amp;"")))&amp;"|"&amp;IFERROR(TEXT(VALUE(TRIM(MID(SUBSTITUTE(T2,"/",REPT(" ",100)),101,100))&amp;""),"0"),UPPER(TRIM(TRIM(MID(SUBSTITUTE(T2,"/",REPT(" ",100)),101,100))&amp;"")))&amp;"|"&amp;IFERROR(TEXT(VALUE(TRIM(MID(SUBSTITUTE(T2,"/",REPT(" ",100)),201,100))&amp;""),"0"),UPPER(TRIM(TRIM(MID(SUBSTITUTE(T2,"/",REPT(" ",100)),201,100))&amp;""))),"ERRO_CHAVE")))</f>
        <v>55614|19|DUPP|297581|1|1</v>
      </c>
      <c r="V2" s="6" t="str">
        <f>IF(OR(U2="",U2="ERRO_CHAVE"),"",IFERROR(MATCH(U2,Fornecedores!$AF$1:$AF$6631,0),""))</f>
        <v/>
      </c>
      <c r="W2" s="6">
        <f>IF(OR(U2="",U2="ERRO_CHAVE"),"",COUNTIF($U$2:$U$6635,U2))</f>
        <v>1</v>
      </c>
      <c r="X2" s="7" t="str">
        <f>IF(V2="","",INDEX(Fornecedores!$X$1:$X$6631,V2))</f>
        <v/>
      </c>
      <c r="Y2" s="7" t="str">
        <f>IF(V2="","",ROUND(G2-X2,2))</f>
        <v/>
      </c>
    </row>
    <row r="3" spans="1:25">
      <c r="A3" t="s">
        <v>114</v>
      </c>
      <c r="B3">
        <v>16</v>
      </c>
      <c r="C3" t="s">
        <v>117</v>
      </c>
      <c r="D3" t="s">
        <v>110</v>
      </c>
      <c r="E3" s="3">
        <v>46303</v>
      </c>
      <c r="F3" s="3">
        <v>46303</v>
      </c>
      <c r="G3">
        <v>584</v>
      </c>
      <c r="H3">
        <v>584</v>
      </c>
      <c r="I3" t="s">
        <v>74</v>
      </c>
      <c r="J3" s="3">
        <v>46303</v>
      </c>
      <c r="K3" s="3">
        <v>46303</v>
      </c>
      <c r="L3" s="3">
        <v>46303</v>
      </c>
      <c r="M3" t="s">
        <v>118</v>
      </c>
      <c r="N3" s="2">
        <v>392.52</v>
      </c>
      <c r="R3" s="3">
        <v>46303</v>
      </c>
      <c r="S3" s="6" t="str">
        <f>IF(U3="","",IF(U3="ERRO_CHAVE","VERIFICAR",IF(V3="","FORA DA PREVISÃO","PAGO")))</f>
        <v>FORA DA PREVISÃO</v>
      </c>
      <c r="T3" s="6" t="str">
        <f>IF(C3="","",IFERROR(SUBSTITUTE(IF(ISNUMBER(C3),LEFT(TRIM(MID(M3,SEARCH("tulo:",M3)+5,200)),FIND(" ",TRIM(MID(M3,SEARCH("tulo:",M3)+5,200))&amp;" ")-1),C3),"-","/"),"ERRO_TITULO"))</f>
        <v>297735/1/1</v>
      </c>
      <c r="U3" s="6" t="str">
        <f>IF(C3="","",IF(T3="ERRO_TITULO","ERRO_CHAVE",IFERROR(TRIM(RIGHT(SUBSTITUTE(A3," - ",REPT(" ",200)),200))&amp;"|"&amp;IFERROR(TEXT(VALUE(B3&amp;""),"0"),UPPER(TRIM(B3&amp;"")))&amp;"|"&amp;UPPER(TRIM(D3))&amp;"|"&amp;IFERROR(TEXT(VALUE(TRIM(MID(SUBSTITUTE(T3,"/",REPT(" ",100)),1,100))&amp;""),"0"),UPPER(TRIM(TRIM(MID(SUBSTITUTE(T3,"/",REPT(" ",100)),1,100))&amp;"")))&amp;"|"&amp;IFERROR(TEXT(VALUE(TRIM(MID(SUBSTITUTE(T3,"/",REPT(" ",100)),101,100))&amp;""),"0"),UPPER(TRIM(TRIM(MID(SUBSTITUTE(T3,"/",REPT(" ",100)),101,100))&amp;"")))&amp;"|"&amp;IFERROR(TEXT(VALUE(TRIM(MID(SUBSTITUTE(T3,"/",REPT(" ",100)),201,100))&amp;""),"0"),UPPER(TRIM(TRIM(MID(SUBSTITUTE(T3,"/",REPT(" ",100)),201,100))&amp;""))),"ERRO_CHAVE")))</f>
        <v>55614|16|DUPP|297735|1|1</v>
      </c>
      <c r="V3" s="6" t="str">
        <f>IF(OR(U3="",U3="ERRO_CHAVE"),"",IFERROR(MATCH(U3,Fornecedores!$AF$1:$AF$6631,0),""))</f>
        <v/>
      </c>
      <c r="W3" s="6">
        <f>IF(OR(U3="",U3="ERRO_CHAVE"),"",COUNTIF($U$2:$U$6635,U3))</f>
        <v>1</v>
      </c>
      <c r="X3" s="7" t="str">
        <f>IF(V3="","",INDEX(Fornecedores!$X$1:$X$6631,V3))</f>
        <v/>
      </c>
      <c r="Y3" s="7" t="str">
        <f>IF(V3="","",ROUND(G3-X3,2))</f>
        <v/>
      </c>
    </row>
    <row r="4" spans="1:25">
      <c r="A4" t="s">
        <v>114</v>
      </c>
      <c r="B4">
        <v>7</v>
      </c>
      <c r="C4" s="3" t="s">
        <v>119</v>
      </c>
      <c r="D4" t="s">
        <v>110</v>
      </c>
      <c r="E4" s="3">
        <v>46303</v>
      </c>
      <c r="F4" s="3">
        <v>46303</v>
      </c>
      <c r="G4">
        <v>758</v>
      </c>
      <c r="H4">
        <v>758</v>
      </c>
      <c r="I4" t="s">
        <v>74</v>
      </c>
      <c r="J4" s="3">
        <v>46303</v>
      </c>
      <c r="K4" s="3">
        <v>46303</v>
      </c>
      <c r="L4" s="3">
        <v>46304</v>
      </c>
      <c r="M4" t="s">
        <v>120</v>
      </c>
      <c r="N4" s="2">
        <v>742.84</v>
      </c>
      <c r="R4" s="3">
        <v>46303</v>
      </c>
      <c r="S4" s="6" t="str">
        <f>IF(U4="","",IF(U4="ERRO_CHAVE","VERIFICAR",IF(V4="","FORA DA PREVISÃO","PAGO")))</f>
        <v>FORA DA PREVISÃO</v>
      </c>
      <c r="T4" s="6" t="str">
        <f>IF(C4="","",IFERROR(SUBSTITUTE(IF(ISNUMBER(C4),LEFT(TRIM(MID(M4,SEARCH("tulo:",M4)+5,200)),FIND(" ",TRIM(MID(M4,SEARCH("tulo:",M4)+5,200))&amp;" ")-1),C4),"-","/"),"ERRO_TITULO"))</f>
        <v>297733/1/1</v>
      </c>
      <c r="U4" s="6" t="str">
        <f>IF(C4="","",IF(T4="ERRO_TITULO","ERRO_CHAVE",IFERROR(TRIM(RIGHT(SUBSTITUTE(A4," - ",REPT(" ",200)),200))&amp;"|"&amp;IFERROR(TEXT(VALUE(B4&amp;""),"0"),UPPER(TRIM(B4&amp;"")))&amp;"|"&amp;UPPER(TRIM(D4))&amp;"|"&amp;IFERROR(TEXT(VALUE(TRIM(MID(SUBSTITUTE(T4,"/",REPT(" ",100)),1,100))&amp;""),"0"),UPPER(TRIM(TRIM(MID(SUBSTITUTE(T4,"/",REPT(" ",100)),1,100))&amp;"")))&amp;"|"&amp;IFERROR(TEXT(VALUE(TRIM(MID(SUBSTITUTE(T4,"/",REPT(" ",100)),101,100))&amp;""),"0"),UPPER(TRIM(TRIM(MID(SUBSTITUTE(T4,"/",REPT(" ",100)),101,100))&amp;"")))&amp;"|"&amp;IFERROR(TEXT(VALUE(TRIM(MID(SUBSTITUTE(T4,"/",REPT(" ",100)),201,100))&amp;""),"0"),UPPER(TRIM(TRIM(MID(SUBSTITUTE(T4,"/",REPT(" ",100)),201,100))&amp;""))),"ERRO_CHAVE")))</f>
        <v>55614|7|DUPP|297733|1|1</v>
      </c>
      <c r="V4" s="6" t="str">
        <f>IF(OR(U4="",U4="ERRO_CHAVE"),"",IFERROR(MATCH(U4,Fornecedores!$AF$1:$AF$6631,0),""))</f>
        <v/>
      </c>
      <c r="W4" s="6">
        <f>IF(OR(U4="",U4="ERRO_CHAVE"),"",COUNTIF($U$2:$U$6635,U4))</f>
        <v>1</v>
      </c>
      <c r="X4" s="7" t="str">
        <f>IF(V4="","",INDEX(Fornecedores!$X$1:$X$6631,V4))</f>
        <v/>
      </c>
      <c r="Y4" s="7" t="str">
        <f>IF(V4="","",ROUND(G4-X4,2))</f>
        <v/>
      </c>
    </row>
    <row r="5" spans="1:25">
      <c r="A5" t="s">
        <v>114</v>
      </c>
      <c r="B5">
        <v>4</v>
      </c>
      <c r="C5" t="s">
        <v>121</v>
      </c>
      <c r="D5" t="s">
        <v>110</v>
      </c>
      <c r="E5" s="3">
        <v>46303</v>
      </c>
      <c r="F5" s="3">
        <v>46303</v>
      </c>
      <c r="G5">
        <v>758</v>
      </c>
      <c r="H5">
        <v>758</v>
      </c>
      <c r="I5" t="s">
        <v>74</v>
      </c>
      <c r="J5" s="3">
        <v>46303</v>
      </c>
      <c r="K5" s="3">
        <v>46303</v>
      </c>
      <c r="L5" s="3">
        <v>46304</v>
      </c>
      <c r="M5" t="s">
        <v>122</v>
      </c>
      <c r="N5" s="2">
        <v>742.84</v>
      </c>
      <c r="R5" s="3">
        <v>46303</v>
      </c>
      <c r="S5" s="6" t="str">
        <f>IF(U5="","",IF(U5="ERRO_CHAVE","VERIFICAR",IF(V5="","FORA DA PREVISÃO","PAGO")))</f>
        <v>FORA DA PREVISÃO</v>
      </c>
      <c r="T5" s="6" t="str">
        <f>IF(C5="","",IFERROR(SUBSTITUTE(IF(ISNUMBER(C5),LEFT(TRIM(MID(M5,SEARCH("tulo:",M5)+5,200)),FIND(" ",TRIM(MID(M5,SEARCH("tulo:",M5)+5,200))&amp;" ")-1),C5),"-","/"),"ERRO_TITULO"))</f>
        <v>297730/1/1</v>
      </c>
      <c r="U5" s="6" t="str">
        <f>IF(C5="","",IF(T5="ERRO_TITULO","ERRO_CHAVE",IFERROR(TRIM(RIGHT(SUBSTITUTE(A5," - ",REPT(" ",200)),200))&amp;"|"&amp;IFERROR(TEXT(VALUE(B5&amp;""),"0"),UPPER(TRIM(B5&amp;"")))&amp;"|"&amp;UPPER(TRIM(D5))&amp;"|"&amp;IFERROR(TEXT(VALUE(TRIM(MID(SUBSTITUTE(T5,"/",REPT(" ",100)),1,100))&amp;""),"0"),UPPER(TRIM(TRIM(MID(SUBSTITUTE(T5,"/",REPT(" ",100)),1,100))&amp;"")))&amp;"|"&amp;IFERROR(TEXT(VALUE(TRIM(MID(SUBSTITUTE(T5,"/",REPT(" ",100)),101,100))&amp;""),"0"),UPPER(TRIM(TRIM(MID(SUBSTITUTE(T5,"/",REPT(" ",100)),101,100))&amp;"")))&amp;"|"&amp;IFERROR(TEXT(VALUE(TRIM(MID(SUBSTITUTE(T5,"/",REPT(" ",100)),201,100))&amp;""),"0"),UPPER(TRIM(TRIM(MID(SUBSTITUTE(T5,"/",REPT(" ",100)),201,100))&amp;""))),"ERRO_CHAVE")))</f>
        <v>55614|4|DUPP|297730|1|1</v>
      </c>
      <c r="V5" s="6" t="str">
        <f>IF(OR(U5="",U5="ERRO_CHAVE"),"",IFERROR(MATCH(U5,Fornecedores!$AF$1:$AF$6631,0),""))</f>
        <v/>
      </c>
      <c r="W5" s="6">
        <f>IF(OR(U5="",U5="ERRO_CHAVE"),"",COUNTIF($U$2:$U$6635,U5))</f>
        <v>1</v>
      </c>
      <c r="X5" s="7" t="str">
        <f>IF(V5="","",INDEX(Fornecedores!$X$1:$X$6631,V5))</f>
        <v/>
      </c>
      <c r="Y5" s="7" t="str">
        <f>IF(V5="","",ROUND(G5-X5,2))</f>
        <v/>
      </c>
    </row>
    <row r="6" spans="1:25">
      <c r="A6" t="s">
        <v>114</v>
      </c>
      <c r="B6">
        <v>21</v>
      </c>
      <c r="C6" t="s">
        <v>123</v>
      </c>
      <c r="D6" t="s">
        <v>110</v>
      </c>
      <c r="E6" s="3">
        <v>46303</v>
      </c>
      <c r="F6" s="3">
        <v>46303</v>
      </c>
      <c r="G6">
        <v>874</v>
      </c>
      <c r="H6">
        <v>874</v>
      </c>
      <c r="I6" t="s">
        <v>74</v>
      </c>
      <c r="J6" s="3">
        <v>46303</v>
      </c>
      <c r="K6" s="3">
        <v>46303</v>
      </c>
      <c r="L6" s="3">
        <v>46304</v>
      </c>
      <c r="M6" t="s">
        <v>124</v>
      </c>
      <c r="N6" s="2">
        <v>856.52</v>
      </c>
      <c r="R6" s="3">
        <v>46303</v>
      </c>
      <c r="S6" s="6" t="str">
        <f>IF(U6="","",IF(U6="ERRO_CHAVE","VERIFICAR",IF(V6="","FORA DA PREVISÃO","PAGO")))</f>
        <v>FORA DA PREVISÃO</v>
      </c>
      <c r="T6" s="6" t="str">
        <f>IF(C6="","",IFERROR(SUBSTITUTE(IF(ISNUMBER(C6),LEFT(TRIM(MID(M6,SEARCH("tulo:",M6)+5,200)),FIND(" ",TRIM(MID(M6,SEARCH("tulo:",M6)+5,200))&amp;" ")-1),C6),"-","/"),"ERRO_TITULO"))</f>
        <v>297737/1/1</v>
      </c>
      <c r="U6" s="6" t="str">
        <f>IF(C6="","",IF(T6="ERRO_TITULO","ERRO_CHAVE",IFERROR(TRIM(RIGHT(SUBSTITUTE(A6," - ",REPT(" ",200)),200))&amp;"|"&amp;IFERROR(TEXT(VALUE(B6&amp;""),"0"),UPPER(TRIM(B6&amp;"")))&amp;"|"&amp;UPPER(TRIM(D6))&amp;"|"&amp;IFERROR(TEXT(VALUE(TRIM(MID(SUBSTITUTE(T6,"/",REPT(" ",100)),1,100))&amp;""),"0"),UPPER(TRIM(TRIM(MID(SUBSTITUTE(T6,"/",REPT(" ",100)),1,100))&amp;"")))&amp;"|"&amp;IFERROR(TEXT(VALUE(TRIM(MID(SUBSTITUTE(T6,"/",REPT(" ",100)),101,100))&amp;""),"0"),UPPER(TRIM(TRIM(MID(SUBSTITUTE(T6,"/",REPT(" ",100)),101,100))&amp;"")))&amp;"|"&amp;IFERROR(TEXT(VALUE(TRIM(MID(SUBSTITUTE(T6,"/",REPT(" ",100)),201,100))&amp;""),"0"),UPPER(TRIM(TRIM(MID(SUBSTITUTE(T6,"/",REPT(" ",100)),201,100))&amp;""))),"ERRO_CHAVE")))</f>
        <v>55614|21|DUPP|297737|1|1</v>
      </c>
      <c r="V6" s="6" t="str">
        <f>IF(OR(U6="",U6="ERRO_CHAVE"),"",IFERROR(MATCH(U6,Fornecedores!$AF$1:$AF$6631,0),""))</f>
        <v/>
      </c>
      <c r="W6" s="6">
        <f>IF(OR(U6="",U6="ERRO_CHAVE"),"",COUNTIF($U$2:$U$6635,U6))</f>
        <v>1</v>
      </c>
      <c r="X6" s="7" t="str">
        <f>IF(V6="","",INDEX(Fornecedores!$X$1:$X$6631,V6))</f>
        <v/>
      </c>
      <c r="Y6" s="7" t="str">
        <f>IF(V6="","",ROUND(G6-X6,2))</f>
        <v/>
      </c>
    </row>
    <row r="7" spans="1:25">
      <c r="A7" t="s">
        <v>114</v>
      </c>
      <c r="B7">
        <v>19</v>
      </c>
      <c r="C7" t="s">
        <v>125</v>
      </c>
      <c r="D7" t="s">
        <v>110</v>
      </c>
      <c r="E7" s="3">
        <v>46304</v>
      </c>
      <c r="F7" s="3">
        <v>46304</v>
      </c>
      <c r="G7">
        <v>584</v>
      </c>
      <c r="H7">
        <v>584</v>
      </c>
      <c r="I7" t="s">
        <v>74</v>
      </c>
      <c r="J7" s="3">
        <v>46304</v>
      </c>
      <c r="K7" s="3">
        <v>46304</v>
      </c>
      <c r="L7" s="3">
        <v>46308</v>
      </c>
      <c r="M7" t="s">
        <v>126</v>
      </c>
      <c r="N7" s="2">
        <v>572.32</v>
      </c>
      <c r="R7" s="3">
        <v>46304</v>
      </c>
      <c r="S7" s="6" t="str">
        <f>IF(U7="","",IF(U7="ERRO_CHAVE","VERIFICAR",IF(V7="","FORA DA PREVISÃO","PAGO")))</f>
        <v>FORA DA PREVISÃO</v>
      </c>
      <c r="T7" s="6" t="str">
        <f>IF(C7="","",IFERROR(SUBSTITUTE(IF(ISNUMBER(C7),LEFT(TRIM(MID(M7,SEARCH("tulo:",M7)+5,200)),FIND(" ",TRIM(MID(M7,SEARCH("tulo:",M7)+5,200))&amp;" ")-1),C7),"-","/"),"ERRO_TITULO"))</f>
        <v>297852/1/1</v>
      </c>
      <c r="U7" s="6" t="str">
        <f>IF(C7="","",IF(T7="ERRO_TITULO","ERRO_CHAVE",IFERROR(TRIM(RIGHT(SUBSTITUTE(A7," - ",REPT(" ",200)),200))&amp;"|"&amp;IFERROR(TEXT(VALUE(B7&amp;""),"0"),UPPER(TRIM(B7&amp;"")))&amp;"|"&amp;UPPER(TRIM(D7))&amp;"|"&amp;IFERROR(TEXT(VALUE(TRIM(MID(SUBSTITUTE(T7,"/",REPT(" ",100)),1,100))&amp;""),"0"),UPPER(TRIM(TRIM(MID(SUBSTITUTE(T7,"/",REPT(" ",100)),1,100))&amp;"")))&amp;"|"&amp;IFERROR(TEXT(VALUE(TRIM(MID(SUBSTITUTE(T7,"/",REPT(" ",100)),101,100))&amp;""),"0"),UPPER(TRIM(TRIM(MID(SUBSTITUTE(T7,"/",REPT(" ",100)),101,100))&amp;"")))&amp;"|"&amp;IFERROR(TEXT(VALUE(TRIM(MID(SUBSTITUTE(T7,"/",REPT(" ",100)),201,100))&amp;""),"0"),UPPER(TRIM(TRIM(MID(SUBSTITUTE(T7,"/",REPT(" ",100)),201,100))&amp;""))),"ERRO_CHAVE")))</f>
        <v>55614|19|DUPP|297852|1|1</v>
      </c>
      <c r="V7" s="6" t="str">
        <f>IF(OR(U7="",U7="ERRO_CHAVE"),"",IFERROR(MATCH(U7,Fornecedores!$AF$1:$AF$6631,0),""))</f>
        <v/>
      </c>
      <c r="W7" s="6">
        <f>IF(OR(U7="",U7="ERRO_CHAVE"),"",COUNTIF($U$2:$U$6635,U7))</f>
        <v>1</v>
      </c>
      <c r="X7" s="7" t="str">
        <f>IF(V7="","",INDEX(Fornecedores!$X$1:$X$6631,V7))</f>
        <v/>
      </c>
      <c r="Y7" s="7" t="str">
        <f>IF(V7="","",ROUND(G7-X7,2))</f>
        <v/>
      </c>
    </row>
    <row r="8" spans="1:25">
      <c r="A8" t="s">
        <v>114</v>
      </c>
      <c r="B8">
        <v>24</v>
      </c>
      <c r="C8" t="s">
        <v>127</v>
      </c>
      <c r="D8" t="s">
        <v>110</v>
      </c>
      <c r="E8" s="3">
        <v>46304</v>
      </c>
      <c r="F8" s="3">
        <v>46304</v>
      </c>
      <c r="G8" s="4">
        <v>406</v>
      </c>
      <c r="H8" s="4">
        <v>406</v>
      </c>
      <c r="I8" t="s">
        <v>74</v>
      </c>
      <c r="J8" s="3">
        <v>46304</v>
      </c>
      <c r="K8" s="3">
        <v>46304</v>
      </c>
      <c r="L8" s="3">
        <v>46308</v>
      </c>
      <c r="M8" t="s">
        <v>128</v>
      </c>
      <c r="N8" s="5">
        <v>397.88</v>
      </c>
      <c r="R8" s="3">
        <v>46304</v>
      </c>
      <c r="S8" s="6" t="str">
        <f>IF(U8="","",IF(U8="ERRO_CHAVE","VERIFICAR",IF(V8="","FORA DA PREVISÃO","PAGO")))</f>
        <v>FORA DA PREVISÃO</v>
      </c>
      <c r="T8" s="6" t="str">
        <f>IF(C8="","",IFERROR(SUBSTITUTE(IF(ISNUMBER(C8),LEFT(TRIM(MID(M8,SEARCH("tulo:",M8)+5,200)),FIND(" ",TRIM(MID(M8,SEARCH("tulo:",M8)+5,200))&amp;" ")-1),C8),"-","/"),"ERRO_TITULO"))</f>
        <v>297853/1/1</v>
      </c>
      <c r="U8" s="6" t="str">
        <f>IF(C8="","",IF(T8="ERRO_TITULO","ERRO_CHAVE",IFERROR(TRIM(RIGHT(SUBSTITUTE(A8," - ",REPT(" ",200)),200))&amp;"|"&amp;IFERROR(TEXT(VALUE(B8&amp;""),"0"),UPPER(TRIM(B8&amp;"")))&amp;"|"&amp;UPPER(TRIM(D8))&amp;"|"&amp;IFERROR(TEXT(VALUE(TRIM(MID(SUBSTITUTE(T8,"/",REPT(" ",100)),1,100))&amp;""),"0"),UPPER(TRIM(TRIM(MID(SUBSTITUTE(T8,"/",REPT(" ",100)),1,100))&amp;"")))&amp;"|"&amp;IFERROR(TEXT(VALUE(TRIM(MID(SUBSTITUTE(T8,"/",REPT(" ",100)),101,100))&amp;""),"0"),UPPER(TRIM(TRIM(MID(SUBSTITUTE(T8,"/",REPT(" ",100)),101,100))&amp;"")))&amp;"|"&amp;IFERROR(TEXT(VALUE(TRIM(MID(SUBSTITUTE(T8,"/",REPT(" ",100)),201,100))&amp;""),"0"),UPPER(TRIM(TRIM(MID(SUBSTITUTE(T8,"/",REPT(" ",100)),201,100))&amp;""))),"ERRO_CHAVE")))</f>
        <v>55614|24|DUPP|297853|1|1</v>
      </c>
      <c r="V8" s="6" t="str">
        <f>IF(OR(U8="",U8="ERRO_CHAVE"),"",IFERROR(MATCH(U8,Fornecedores!$AF$1:$AF$6631,0),""))</f>
        <v/>
      </c>
      <c r="W8" s="6">
        <f>IF(OR(U8="",U8="ERRO_CHAVE"),"",COUNTIF($U$2:$U$6635,U8))</f>
        <v>1</v>
      </c>
      <c r="X8" s="7" t="str">
        <f>IF(V8="","",INDEX(Fornecedores!$X$1:$X$6631,V8))</f>
        <v/>
      </c>
      <c r="Y8" s="7" t="str">
        <f>IF(V8="","",ROUND(G8-X8,2))</f>
        <v/>
      </c>
    </row>
    <row r="9" spans="1:25">
      <c r="A9" t="s">
        <v>114</v>
      </c>
      <c r="B9">
        <v>28</v>
      </c>
      <c r="C9" t="s">
        <v>129</v>
      </c>
      <c r="D9" t="s">
        <v>110</v>
      </c>
      <c r="E9" s="3">
        <v>46304</v>
      </c>
      <c r="F9" s="3">
        <v>46304</v>
      </c>
      <c r="G9" s="4">
        <v>870</v>
      </c>
      <c r="H9" s="4">
        <v>870</v>
      </c>
      <c r="I9" t="s">
        <v>74</v>
      </c>
      <c r="J9" s="3">
        <v>46304</v>
      </c>
      <c r="K9" s="3">
        <v>46304</v>
      </c>
      <c r="L9" s="3">
        <v>46308</v>
      </c>
      <c r="M9" t="s">
        <v>130</v>
      </c>
      <c r="N9" s="5">
        <v>701.8</v>
      </c>
      <c r="R9" s="3">
        <v>46304</v>
      </c>
      <c r="S9" s="6" t="str">
        <f>IF(U9="","",IF(U9="ERRO_CHAVE","VERIFICAR",IF(V9="","FORA DA PREVISÃO","PAGO")))</f>
        <v>FORA DA PREVISÃO</v>
      </c>
      <c r="T9" s="6" t="str">
        <f>IF(C9="","",IFERROR(SUBSTITUTE(IF(ISNUMBER(C9),LEFT(TRIM(MID(M9,SEARCH("tulo:",M9)+5,200)),FIND(" ",TRIM(MID(M9,SEARCH("tulo:",M9)+5,200))&amp;" ")-1),C9),"-","/"),"ERRO_TITULO"))</f>
        <v>297854/1/1</v>
      </c>
      <c r="U9" s="6" t="str">
        <f>IF(C9="","",IF(T9="ERRO_TITULO","ERRO_CHAVE",IFERROR(TRIM(RIGHT(SUBSTITUTE(A9," - ",REPT(" ",200)),200))&amp;"|"&amp;IFERROR(TEXT(VALUE(B9&amp;""),"0"),UPPER(TRIM(B9&amp;"")))&amp;"|"&amp;UPPER(TRIM(D9))&amp;"|"&amp;IFERROR(TEXT(VALUE(TRIM(MID(SUBSTITUTE(T9,"/",REPT(" ",100)),1,100))&amp;""),"0"),UPPER(TRIM(TRIM(MID(SUBSTITUTE(T9,"/",REPT(" ",100)),1,100))&amp;"")))&amp;"|"&amp;IFERROR(TEXT(VALUE(TRIM(MID(SUBSTITUTE(T9,"/",REPT(" ",100)),101,100))&amp;""),"0"),UPPER(TRIM(TRIM(MID(SUBSTITUTE(T9,"/",REPT(" ",100)),101,100))&amp;"")))&amp;"|"&amp;IFERROR(TEXT(VALUE(TRIM(MID(SUBSTITUTE(T9,"/",REPT(" ",100)),201,100))&amp;""),"0"),UPPER(TRIM(TRIM(MID(SUBSTITUTE(T9,"/",REPT(" ",100)),201,100))&amp;""))),"ERRO_CHAVE")))</f>
        <v>55614|28|DUPP|297854|1|1</v>
      </c>
      <c r="V9" s="6" t="str">
        <f>IF(OR(U9="",U9="ERRO_CHAVE"),"",IFERROR(MATCH(U9,Fornecedores!$AF$1:$AF$6631,0),""))</f>
        <v/>
      </c>
      <c r="W9" s="6">
        <f>IF(OR(U9="",U9="ERRO_CHAVE"),"",COUNTIF($U$2:$U$6635,U9))</f>
        <v>1</v>
      </c>
      <c r="X9" s="7" t="str">
        <f>IF(V9="","",INDEX(Fornecedores!$X$1:$X$6631,V9))</f>
        <v/>
      </c>
      <c r="Y9" s="7" t="str">
        <f>IF(V9="","",ROUND(G9-X9,2))</f>
        <v/>
      </c>
    </row>
    <row r="10" spans="1:25">
      <c r="A10" t="s">
        <v>131</v>
      </c>
      <c r="B10">
        <v>987</v>
      </c>
      <c r="C10" t="s">
        <v>132</v>
      </c>
      <c r="D10" t="s">
        <v>110</v>
      </c>
      <c r="E10" s="3">
        <v>46300</v>
      </c>
      <c r="F10" s="3">
        <v>46300</v>
      </c>
      <c r="G10" s="4">
        <v>950.39</v>
      </c>
      <c r="H10" s="4">
        <v>950.39</v>
      </c>
      <c r="I10" t="s">
        <v>74</v>
      </c>
      <c r="J10" s="3">
        <v>46300</v>
      </c>
      <c r="K10" s="3">
        <v>46300</v>
      </c>
      <c r="L10" s="3">
        <v>46300</v>
      </c>
      <c r="M10" t="s">
        <v>133</v>
      </c>
      <c r="N10" s="5">
        <v>950.39</v>
      </c>
      <c r="R10" s="3">
        <v>46300</v>
      </c>
      <c r="S10" s="6" t="str">
        <f>IF(U10="","",IF(U10="ERRO_CHAVE","VERIFICAR",IF(V10="","FORA DA PREVISÃO","PAGO")))</f>
        <v>FORA DA PREVISÃO</v>
      </c>
      <c r="T10" s="6" t="str">
        <f>IF(C10="","",IFERROR(SUBSTITUTE(IF(ISNUMBER(C10),LEFT(TRIM(MID(M10,SEARCH("tulo:",M10)+5,200)),FIND(" ",TRIM(MID(M10,SEARCH("tulo:",M10)+5,200))&amp;" ")-1),C10),"-","/"),"ERRO_TITULO"))</f>
        <v>104885/27/1</v>
      </c>
      <c r="U10" s="6" t="str">
        <f>IF(C10="","",IF(T10="ERRO_TITULO","ERRO_CHAVE",IFERROR(TRIM(RIGHT(SUBSTITUTE(A10," - ",REPT(" ",200)),200))&amp;"|"&amp;IFERROR(TEXT(VALUE(B10&amp;""),"0"),UPPER(TRIM(B10&amp;"")))&amp;"|"&amp;UPPER(TRIM(D10))&amp;"|"&amp;IFERROR(TEXT(VALUE(TRIM(MID(SUBSTITUTE(T10,"/",REPT(" ",100)),1,100))&amp;""),"0"),UPPER(TRIM(TRIM(MID(SUBSTITUTE(T10,"/",REPT(" ",100)),1,100))&amp;"")))&amp;"|"&amp;IFERROR(TEXT(VALUE(TRIM(MID(SUBSTITUTE(T10,"/",REPT(" ",100)),101,100))&amp;""),"0"),UPPER(TRIM(TRIM(MID(SUBSTITUTE(T10,"/",REPT(" ",100)),101,100))&amp;"")))&amp;"|"&amp;IFERROR(TEXT(VALUE(TRIM(MID(SUBSTITUTE(T10,"/",REPT(" ",100)),201,100))&amp;""),"0"),UPPER(TRIM(TRIM(MID(SUBSTITUTE(T10,"/",REPT(" ",100)),201,100))&amp;""))),"ERRO_CHAVE")))</f>
        <v>68527|987|DUPP|104885|27|1</v>
      </c>
      <c r="V10" s="6" t="str">
        <f>IF(OR(U10="",U10="ERRO_CHAVE"),"",IFERROR(MATCH(U10,Fornecedores!$AF$1:$AF$6631,0),""))</f>
        <v/>
      </c>
      <c r="W10" s="6">
        <f>IF(OR(U10="",U10="ERRO_CHAVE"),"",COUNTIF($U$2:$U$6635,U10))</f>
        <v>1</v>
      </c>
      <c r="X10" s="7" t="str">
        <f>IF(V10="","",INDEX(Fornecedores!$X$1:$X$6631,V10))</f>
        <v/>
      </c>
      <c r="Y10" s="7" t="str">
        <f>IF(V10="","",ROUND(G10-X10,2))</f>
        <v/>
      </c>
    </row>
    <row r="11" spans="1:25">
      <c r="A11" t="s">
        <v>131</v>
      </c>
      <c r="B11">
        <v>27</v>
      </c>
      <c r="C11" t="s">
        <v>134</v>
      </c>
      <c r="D11" t="s">
        <v>110</v>
      </c>
      <c r="E11" s="3">
        <v>46300</v>
      </c>
      <c r="F11" s="3">
        <v>46300</v>
      </c>
      <c r="G11" s="4">
        <v>789.35</v>
      </c>
      <c r="H11" s="4">
        <v>789.35</v>
      </c>
      <c r="I11" t="s">
        <v>74</v>
      </c>
      <c r="J11" s="3">
        <v>46300</v>
      </c>
      <c r="K11" s="3">
        <v>46300</v>
      </c>
      <c r="L11" s="3">
        <v>46301</v>
      </c>
      <c r="M11" t="s">
        <v>135</v>
      </c>
      <c r="N11" s="5">
        <v>789.35</v>
      </c>
      <c r="R11" s="3">
        <v>46300</v>
      </c>
      <c r="S11" s="6" t="str">
        <f>IF(U11="","",IF(U11="ERRO_CHAVE","VERIFICAR",IF(V11="","FORA DA PREVISÃO","PAGO")))</f>
        <v>FORA DA PREVISÃO</v>
      </c>
      <c r="T11" s="6" t="str">
        <f>IF(C11="","",IFERROR(SUBSTITUTE(IF(ISNUMBER(C11),LEFT(TRIM(MID(M11,SEARCH("tulo:",M11)+5,200)),FIND(" ",TRIM(MID(M11,SEARCH("tulo:",M11)+5,200))&amp;" ")-1),C11),"-","/"),"ERRO_TITULO"))</f>
        <v>106041/27/1</v>
      </c>
      <c r="U11" s="6" t="str">
        <f>IF(C11="","",IF(T11="ERRO_TITULO","ERRO_CHAVE",IFERROR(TRIM(RIGHT(SUBSTITUTE(A11," - ",REPT(" ",200)),200))&amp;"|"&amp;IFERROR(TEXT(VALUE(B11&amp;""),"0"),UPPER(TRIM(B11&amp;"")))&amp;"|"&amp;UPPER(TRIM(D11))&amp;"|"&amp;IFERROR(TEXT(VALUE(TRIM(MID(SUBSTITUTE(T11,"/",REPT(" ",100)),1,100))&amp;""),"0"),UPPER(TRIM(TRIM(MID(SUBSTITUTE(T11,"/",REPT(" ",100)),1,100))&amp;"")))&amp;"|"&amp;IFERROR(TEXT(VALUE(TRIM(MID(SUBSTITUTE(T11,"/",REPT(" ",100)),101,100))&amp;""),"0"),UPPER(TRIM(TRIM(MID(SUBSTITUTE(T11,"/",REPT(" ",100)),101,100))&amp;"")))&amp;"|"&amp;IFERROR(TEXT(VALUE(TRIM(MID(SUBSTITUTE(T11,"/",REPT(" ",100)),201,100))&amp;""),"0"),UPPER(TRIM(TRIM(MID(SUBSTITUTE(T11,"/",REPT(" ",100)),201,100))&amp;""))),"ERRO_CHAVE")))</f>
        <v>68527|27|DUPP|106041|27|1</v>
      </c>
      <c r="V11" s="6" t="str">
        <f>IF(OR(U11="",U11="ERRO_CHAVE"),"",IFERROR(MATCH(U11,Fornecedores!$AF$1:$AF$6631,0),""))</f>
        <v/>
      </c>
      <c r="W11" s="6">
        <f>IF(OR(U11="",U11="ERRO_CHAVE"),"",COUNTIF($U$2:$U$6635,U11))</f>
        <v>1</v>
      </c>
      <c r="X11" s="7" t="str">
        <f>IF(V11="","",INDEX(Fornecedores!$X$1:$X$6631,V11))</f>
        <v/>
      </c>
      <c r="Y11" s="7" t="str">
        <f>IF(V11="","",ROUND(G11-X11,2))</f>
        <v/>
      </c>
    </row>
    <row r="12" spans="1:25">
      <c r="A12" t="s">
        <v>131</v>
      </c>
      <c r="B12">
        <v>27</v>
      </c>
      <c r="C12" t="s">
        <v>136</v>
      </c>
      <c r="D12" t="s">
        <v>110</v>
      </c>
      <c r="E12" s="3">
        <v>46300</v>
      </c>
      <c r="F12" s="3">
        <v>46300</v>
      </c>
      <c r="G12" s="4">
        <v>1532.8</v>
      </c>
      <c r="H12" s="4">
        <v>1532.8</v>
      </c>
      <c r="I12" t="s">
        <v>74</v>
      </c>
      <c r="J12" s="3">
        <v>46300</v>
      </c>
      <c r="K12" s="3">
        <v>46300</v>
      </c>
      <c r="L12" s="3">
        <v>46301</v>
      </c>
      <c r="M12" t="s">
        <v>137</v>
      </c>
      <c r="N12" s="5">
        <v>1532.8</v>
      </c>
      <c r="R12" s="3">
        <v>46300</v>
      </c>
      <c r="S12" s="6" t="str">
        <f>IF(U12="","",IF(U12="ERRO_CHAVE","VERIFICAR",IF(V12="","FORA DA PREVISÃO","PAGO")))</f>
        <v>FORA DA PREVISÃO</v>
      </c>
      <c r="T12" s="6" t="str">
        <f>IF(C12="","",IFERROR(SUBSTITUTE(IF(ISNUMBER(C12),LEFT(TRIM(MID(M12,SEARCH("tulo:",M12)+5,200)),FIND(" ",TRIM(MID(M12,SEARCH("tulo:",M12)+5,200))&amp;" ")-1),C12),"-","/"),"ERRO_TITULO"))</f>
        <v>106042/27/1</v>
      </c>
      <c r="U12" s="6" t="str">
        <f>IF(C12="","",IF(T12="ERRO_TITULO","ERRO_CHAVE",IFERROR(TRIM(RIGHT(SUBSTITUTE(A12," - ",REPT(" ",200)),200))&amp;"|"&amp;IFERROR(TEXT(VALUE(B12&amp;""),"0"),UPPER(TRIM(B12&amp;"")))&amp;"|"&amp;UPPER(TRIM(D12))&amp;"|"&amp;IFERROR(TEXT(VALUE(TRIM(MID(SUBSTITUTE(T12,"/",REPT(" ",100)),1,100))&amp;""),"0"),UPPER(TRIM(TRIM(MID(SUBSTITUTE(T12,"/",REPT(" ",100)),1,100))&amp;"")))&amp;"|"&amp;IFERROR(TEXT(VALUE(TRIM(MID(SUBSTITUTE(T12,"/",REPT(" ",100)),101,100))&amp;""),"0"),UPPER(TRIM(TRIM(MID(SUBSTITUTE(T12,"/",REPT(" ",100)),101,100))&amp;"")))&amp;"|"&amp;IFERROR(TEXT(VALUE(TRIM(MID(SUBSTITUTE(T12,"/",REPT(" ",100)),201,100))&amp;""),"0"),UPPER(TRIM(TRIM(MID(SUBSTITUTE(T12,"/",REPT(" ",100)),201,100))&amp;""))),"ERRO_CHAVE")))</f>
        <v>68527|27|DUPP|106042|27|1</v>
      </c>
      <c r="V12" s="6" t="str">
        <f>IF(OR(U12="",U12="ERRO_CHAVE"),"",IFERROR(MATCH(U12,Fornecedores!$AF$1:$AF$6631,0),""))</f>
        <v/>
      </c>
      <c r="W12" s="6">
        <f>IF(OR(U12="",U12="ERRO_CHAVE"),"",COUNTIF($U$2:$U$6635,U12))</f>
        <v>1</v>
      </c>
      <c r="X12" s="7" t="str">
        <f>IF(V12="","",INDEX(Fornecedores!$X$1:$X$6631,V12))</f>
        <v/>
      </c>
      <c r="Y12" s="7" t="str">
        <f>IF(V12="","",ROUND(G12-X12,2))</f>
        <v/>
      </c>
    </row>
    <row r="13" spans="1:25">
      <c r="A13" t="s">
        <v>131</v>
      </c>
      <c r="B13">
        <v>27</v>
      </c>
      <c r="C13" t="s">
        <v>138</v>
      </c>
      <c r="D13" t="s">
        <v>110</v>
      </c>
      <c r="E13" s="3">
        <v>46300</v>
      </c>
      <c r="F13" s="3">
        <v>46300</v>
      </c>
      <c r="G13" s="4">
        <v>11041.92</v>
      </c>
      <c r="H13" s="4">
        <v>11041.92</v>
      </c>
      <c r="I13" t="s">
        <v>74</v>
      </c>
      <c r="J13" s="3">
        <v>46300</v>
      </c>
      <c r="K13" s="3">
        <v>46300</v>
      </c>
      <c r="L13" s="3">
        <v>46301</v>
      </c>
      <c r="M13" t="s">
        <v>139</v>
      </c>
      <c r="N13" s="5">
        <v>11041.92</v>
      </c>
      <c r="R13" s="3">
        <v>46300</v>
      </c>
      <c r="S13" s="6" t="str">
        <f>IF(U13="","",IF(U13="ERRO_CHAVE","VERIFICAR",IF(V13="","FORA DA PREVISÃO","PAGO")))</f>
        <v>FORA DA PREVISÃO</v>
      </c>
      <c r="T13" s="6" t="str">
        <f>IF(C13="","",IFERROR(SUBSTITUTE(IF(ISNUMBER(C13),LEFT(TRIM(MID(M13,SEARCH("tulo:",M13)+5,200)),FIND(" ",TRIM(MID(M13,SEARCH("tulo:",M13)+5,200))&amp;" ")-1),C13),"-","/"),"ERRO_TITULO"))</f>
        <v>106043/27/1</v>
      </c>
      <c r="U13" s="6" t="str">
        <f>IF(C13="","",IF(T13="ERRO_TITULO","ERRO_CHAVE",IFERROR(TRIM(RIGHT(SUBSTITUTE(A13," - ",REPT(" ",200)),200))&amp;"|"&amp;IFERROR(TEXT(VALUE(B13&amp;""),"0"),UPPER(TRIM(B13&amp;"")))&amp;"|"&amp;UPPER(TRIM(D13))&amp;"|"&amp;IFERROR(TEXT(VALUE(TRIM(MID(SUBSTITUTE(T13,"/",REPT(" ",100)),1,100))&amp;""),"0"),UPPER(TRIM(TRIM(MID(SUBSTITUTE(T13,"/",REPT(" ",100)),1,100))&amp;"")))&amp;"|"&amp;IFERROR(TEXT(VALUE(TRIM(MID(SUBSTITUTE(T13,"/",REPT(" ",100)),101,100))&amp;""),"0"),UPPER(TRIM(TRIM(MID(SUBSTITUTE(T13,"/",REPT(" ",100)),101,100))&amp;"")))&amp;"|"&amp;IFERROR(TEXT(VALUE(TRIM(MID(SUBSTITUTE(T13,"/",REPT(" ",100)),201,100))&amp;""),"0"),UPPER(TRIM(TRIM(MID(SUBSTITUTE(T13,"/",REPT(" ",100)),201,100))&amp;""))),"ERRO_CHAVE")))</f>
        <v>68527|27|DUPP|106043|27|1</v>
      </c>
      <c r="V13" s="6" t="str">
        <f>IF(OR(U13="",U13="ERRO_CHAVE"),"",IFERROR(MATCH(U13,Fornecedores!$AF$1:$AF$6631,0),""))</f>
        <v/>
      </c>
      <c r="W13" s="6">
        <f>IF(OR(U13="",U13="ERRO_CHAVE"),"",COUNTIF($U$2:$U$6635,U13))</f>
        <v>1</v>
      </c>
      <c r="X13" s="7" t="str">
        <f>IF(V13="","",INDEX(Fornecedores!$X$1:$X$6631,V13))</f>
        <v/>
      </c>
      <c r="Y13" s="7" t="str">
        <f>IF(V13="","",ROUND(G13-X13,2))</f>
        <v/>
      </c>
    </row>
    <row r="14" spans="1:25">
      <c r="A14" t="s">
        <v>131</v>
      </c>
      <c r="B14">
        <v>27</v>
      </c>
      <c r="C14" t="s">
        <v>140</v>
      </c>
      <c r="D14" t="s">
        <v>110</v>
      </c>
      <c r="E14" s="3">
        <v>46300</v>
      </c>
      <c r="F14" s="3">
        <v>46300</v>
      </c>
      <c r="G14" s="4">
        <v>10019.52</v>
      </c>
      <c r="H14" s="4">
        <v>10019.52</v>
      </c>
      <c r="I14" t="s">
        <v>74</v>
      </c>
      <c r="J14" s="3">
        <v>46300</v>
      </c>
      <c r="K14" s="3">
        <v>46300</v>
      </c>
      <c r="L14" s="3">
        <v>46301</v>
      </c>
      <c r="M14" t="s">
        <v>141</v>
      </c>
      <c r="N14" s="5">
        <v>10019.52</v>
      </c>
      <c r="R14" s="3">
        <v>46300</v>
      </c>
      <c r="S14" s="6" t="str">
        <f>IF(U14="","",IF(U14="ERRO_CHAVE","VERIFICAR",IF(V14="","FORA DA PREVISÃO","PAGO")))</f>
        <v>FORA DA PREVISÃO</v>
      </c>
      <c r="T14" s="6" t="str">
        <f>IF(C14="","",IFERROR(SUBSTITUTE(IF(ISNUMBER(C14),LEFT(TRIM(MID(M14,SEARCH("tulo:",M14)+5,200)),FIND(" ",TRIM(MID(M14,SEARCH("tulo:",M14)+5,200))&amp;" ")-1),C14),"-","/"),"ERRO_TITULO"))</f>
        <v>106044/27/1</v>
      </c>
      <c r="U14" s="6" t="str">
        <f>IF(C14="","",IF(T14="ERRO_TITULO","ERRO_CHAVE",IFERROR(TRIM(RIGHT(SUBSTITUTE(A14," - ",REPT(" ",200)),200))&amp;"|"&amp;IFERROR(TEXT(VALUE(B14&amp;""),"0"),UPPER(TRIM(B14&amp;"")))&amp;"|"&amp;UPPER(TRIM(D14))&amp;"|"&amp;IFERROR(TEXT(VALUE(TRIM(MID(SUBSTITUTE(T14,"/",REPT(" ",100)),1,100))&amp;""),"0"),UPPER(TRIM(TRIM(MID(SUBSTITUTE(T14,"/",REPT(" ",100)),1,100))&amp;"")))&amp;"|"&amp;IFERROR(TEXT(VALUE(TRIM(MID(SUBSTITUTE(T14,"/",REPT(" ",100)),101,100))&amp;""),"0"),UPPER(TRIM(TRIM(MID(SUBSTITUTE(T14,"/",REPT(" ",100)),101,100))&amp;"")))&amp;"|"&amp;IFERROR(TEXT(VALUE(TRIM(MID(SUBSTITUTE(T14,"/",REPT(" ",100)),201,100))&amp;""),"0"),UPPER(TRIM(TRIM(MID(SUBSTITUTE(T14,"/",REPT(" ",100)),201,100))&amp;""))),"ERRO_CHAVE")))</f>
        <v>68527|27|DUPP|106044|27|1</v>
      </c>
      <c r="V14" s="6" t="str">
        <f>IF(OR(U14="",U14="ERRO_CHAVE"),"",IFERROR(MATCH(U14,Fornecedores!$AF$1:$AF$6631,0),""))</f>
        <v/>
      </c>
      <c r="W14" s="6">
        <f>IF(OR(U14="",U14="ERRO_CHAVE"),"",COUNTIF($U$2:$U$6635,U14))</f>
        <v>1</v>
      </c>
      <c r="X14" s="7" t="str">
        <f>IF(V14="","",INDEX(Fornecedores!$X$1:$X$6631,V14))</f>
        <v/>
      </c>
      <c r="Y14" s="7" t="str">
        <f>IF(V14="","",ROUND(G14-X14,2))</f>
        <v/>
      </c>
    </row>
    <row r="15" spans="1:25">
      <c r="A15" t="s">
        <v>131</v>
      </c>
      <c r="B15">
        <v>27</v>
      </c>
      <c r="C15" s="3" t="s">
        <v>142</v>
      </c>
      <c r="D15" t="s">
        <v>110</v>
      </c>
      <c r="E15" s="3">
        <v>46300</v>
      </c>
      <c r="F15" s="3">
        <v>46300</v>
      </c>
      <c r="G15" s="4">
        <v>9345.6</v>
      </c>
      <c r="H15" s="4">
        <v>9345.6</v>
      </c>
      <c r="I15" t="s">
        <v>74</v>
      </c>
      <c r="J15" s="3">
        <v>46300</v>
      </c>
      <c r="K15" s="3">
        <v>46300</v>
      </c>
      <c r="L15" s="3">
        <v>46301</v>
      </c>
      <c r="M15" t="s">
        <v>143</v>
      </c>
      <c r="N15" s="5">
        <v>9345.6</v>
      </c>
      <c r="R15" s="3">
        <v>46300</v>
      </c>
      <c r="S15" s="6" t="str">
        <f>IF(U15="","",IF(U15="ERRO_CHAVE","VERIFICAR",IF(V15="","FORA DA PREVISÃO","PAGO")))</f>
        <v>FORA DA PREVISÃO</v>
      </c>
      <c r="T15" s="6" t="str">
        <f>IF(C15="","",IFERROR(SUBSTITUTE(IF(ISNUMBER(C15),LEFT(TRIM(MID(M15,SEARCH("tulo:",M15)+5,200)),FIND(" ",TRIM(MID(M15,SEARCH("tulo:",M15)+5,200))&amp;" ")-1),C15),"-","/"),"ERRO_TITULO"))</f>
        <v>106045/27/1</v>
      </c>
      <c r="U15" s="6" t="str">
        <f>IF(C15="","",IF(T15="ERRO_TITULO","ERRO_CHAVE",IFERROR(TRIM(RIGHT(SUBSTITUTE(A15," - ",REPT(" ",200)),200))&amp;"|"&amp;IFERROR(TEXT(VALUE(B15&amp;""),"0"),UPPER(TRIM(B15&amp;"")))&amp;"|"&amp;UPPER(TRIM(D15))&amp;"|"&amp;IFERROR(TEXT(VALUE(TRIM(MID(SUBSTITUTE(T15,"/",REPT(" ",100)),1,100))&amp;""),"0"),UPPER(TRIM(TRIM(MID(SUBSTITUTE(T15,"/",REPT(" ",100)),1,100))&amp;"")))&amp;"|"&amp;IFERROR(TEXT(VALUE(TRIM(MID(SUBSTITUTE(T15,"/",REPT(" ",100)),101,100))&amp;""),"0"),UPPER(TRIM(TRIM(MID(SUBSTITUTE(T15,"/",REPT(" ",100)),101,100))&amp;"")))&amp;"|"&amp;IFERROR(TEXT(VALUE(TRIM(MID(SUBSTITUTE(T15,"/",REPT(" ",100)),201,100))&amp;""),"0"),UPPER(TRIM(TRIM(MID(SUBSTITUTE(T15,"/",REPT(" ",100)),201,100))&amp;""))),"ERRO_CHAVE")))</f>
        <v>68527|27|DUPP|106045|27|1</v>
      </c>
      <c r="V15" s="6" t="str">
        <f>IF(OR(U15="",U15="ERRO_CHAVE"),"",IFERROR(MATCH(U15,Fornecedores!$AF$1:$AF$6631,0),""))</f>
        <v/>
      </c>
      <c r="W15" s="6">
        <f>IF(OR(U15="",U15="ERRO_CHAVE"),"",COUNTIF($U$2:$U$6635,U15))</f>
        <v>1</v>
      </c>
      <c r="X15" s="7" t="str">
        <f>IF(V15="","",INDEX(Fornecedores!$X$1:$X$6631,V15))</f>
        <v/>
      </c>
      <c r="Y15" s="7" t="str">
        <f>IF(V15="","",ROUND(G15-X15,2))</f>
        <v/>
      </c>
    </row>
    <row r="16" spans="1:25">
      <c r="A16" t="s">
        <v>131</v>
      </c>
      <c r="B16">
        <v>27</v>
      </c>
      <c r="C16" s="3" t="s">
        <v>144</v>
      </c>
      <c r="D16" t="s">
        <v>110</v>
      </c>
      <c r="E16" s="3">
        <v>46301</v>
      </c>
      <c r="F16" s="3">
        <v>46301</v>
      </c>
      <c r="G16" s="4">
        <v>7048.82</v>
      </c>
      <c r="H16" s="4">
        <v>7048.82</v>
      </c>
      <c r="I16" t="s">
        <v>74</v>
      </c>
      <c r="J16" s="3">
        <v>46301</v>
      </c>
      <c r="K16" s="3">
        <v>46301</v>
      </c>
      <c r="L16" s="3">
        <v>46302</v>
      </c>
      <c r="M16" t="s">
        <v>145</v>
      </c>
      <c r="N16" s="5">
        <v>7048.82</v>
      </c>
      <c r="R16" s="3">
        <v>46301</v>
      </c>
      <c r="S16" s="6" t="str">
        <f>IF(U16="","",IF(U16="ERRO_CHAVE","VERIFICAR",IF(V16="","FORA DA PREVISÃO","PAGO")))</f>
        <v>FORA DA PREVISÃO</v>
      </c>
      <c r="T16" s="6" t="str">
        <f>IF(C16="","",IFERROR(SUBSTITUTE(IF(ISNUMBER(C16),LEFT(TRIM(MID(M16,SEARCH("tulo:",M16)+5,200)),FIND(" ",TRIM(MID(M16,SEARCH("tulo:",M16)+5,200))&amp;" ")-1),C16),"-","/"),"ERRO_TITULO"))</f>
        <v>106056/27/1</v>
      </c>
      <c r="U16" s="6" t="str">
        <f>IF(C16="","",IF(T16="ERRO_TITULO","ERRO_CHAVE",IFERROR(TRIM(RIGHT(SUBSTITUTE(A16," - ",REPT(" ",200)),200))&amp;"|"&amp;IFERROR(TEXT(VALUE(B16&amp;""),"0"),UPPER(TRIM(B16&amp;"")))&amp;"|"&amp;UPPER(TRIM(D16))&amp;"|"&amp;IFERROR(TEXT(VALUE(TRIM(MID(SUBSTITUTE(T16,"/",REPT(" ",100)),1,100))&amp;""),"0"),UPPER(TRIM(TRIM(MID(SUBSTITUTE(T16,"/",REPT(" ",100)),1,100))&amp;"")))&amp;"|"&amp;IFERROR(TEXT(VALUE(TRIM(MID(SUBSTITUTE(T16,"/",REPT(" ",100)),101,100))&amp;""),"0"),UPPER(TRIM(TRIM(MID(SUBSTITUTE(T16,"/",REPT(" ",100)),101,100))&amp;"")))&amp;"|"&amp;IFERROR(TEXT(VALUE(TRIM(MID(SUBSTITUTE(T16,"/",REPT(" ",100)),201,100))&amp;""),"0"),UPPER(TRIM(TRIM(MID(SUBSTITUTE(T16,"/",REPT(" ",100)),201,100))&amp;""))),"ERRO_CHAVE")))</f>
        <v>68527|27|DUPP|106056|27|1</v>
      </c>
      <c r="V16" s="6" t="str">
        <f>IF(OR(U16="",U16="ERRO_CHAVE"),"",IFERROR(MATCH(U16,Fornecedores!$AF$1:$AF$6631,0),""))</f>
        <v/>
      </c>
      <c r="W16" s="6">
        <f>IF(OR(U16="",U16="ERRO_CHAVE"),"",COUNTIF($U$2:$U$6635,U16))</f>
        <v>1</v>
      </c>
      <c r="X16" s="7" t="str">
        <f>IF(V16="","",INDEX(Fornecedores!$X$1:$X$6631,V16))</f>
        <v/>
      </c>
      <c r="Y16" s="7" t="str">
        <f>IF(V16="","",ROUND(G16-X16,2))</f>
        <v/>
      </c>
    </row>
    <row r="17" spans="1:25">
      <c r="A17" t="s">
        <v>131</v>
      </c>
      <c r="B17">
        <v>27</v>
      </c>
      <c r="C17" t="s">
        <v>146</v>
      </c>
      <c r="D17" t="s">
        <v>110</v>
      </c>
      <c r="E17" s="3">
        <v>46301</v>
      </c>
      <c r="F17" s="3">
        <v>46301</v>
      </c>
      <c r="G17" s="4">
        <v>7842.22</v>
      </c>
      <c r="H17" s="4">
        <v>7842.22</v>
      </c>
      <c r="I17" t="s">
        <v>74</v>
      </c>
      <c r="J17" s="3">
        <v>46301</v>
      </c>
      <c r="K17" s="3">
        <v>46301</v>
      </c>
      <c r="L17" s="3">
        <v>46302</v>
      </c>
      <c r="M17" t="s">
        <v>147</v>
      </c>
      <c r="N17" s="5">
        <v>7842.22</v>
      </c>
      <c r="R17" s="3">
        <v>46301</v>
      </c>
      <c r="S17" s="6" t="str">
        <f>IF(U17="","",IF(U17="ERRO_CHAVE","VERIFICAR",IF(V17="","FORA DA PREVISÃO","PAGO")))</f>
        <v>FORA DA PREVISÃO</v>
      </c>
      <c r="T17" s="6" t="str">
        <f>IF(C17="","",IFERROR(SUBSTITUTE(IF(ISNUMBER(C17),LEFT(TRIM(MID(M17,SEARCH("tulo:",M17)+5,200)),FIND(" ",TRIM(MID(M17,SEARCH("tulo:",M17)+5,200))&amp;" ")-1),C17),"-","/"),"ERRO_TITULO"))</f>
        <v>106057/27/1</v>
      </c>
      <c r="U17" s="6" t="str">
        <f>IF(C17="","",IF(T17="ERRO_TITULO","ERRO_CHAVE",IFERROR(TRIM(RIGHT(SUBSTITUTE(A17," - ",REPT(" ",200)),200))&amp;"|"&amp;IFERROR(TEXT(VALUE(B17&amp;""),"0"),UPPER(TRIM(B17&amp;"")))&amp;"|"&amp;UPPER(TRIM(D17))&amp;"|"&amp;IFERROR(TEXT(VALUE(TRIM(MID(SUBSTITUTE(T17,"/",REPT(" ",100)),1,100))&amp;""),"0"),UPPER(TRIM(TRIM(MID(SUBSTITUTE(T17,"/",REPT(" ",100)),1,100))&amp;"")))&amp;"|"&amp;IFERROR(TEXT(VALUE(TRIM(MID(SUBSTITUTE(T17,"/",REPT(" ",100)),101,100))&amp;""),"0"),UPPER(TRIM(TRIM(MID(SUBSTITUTE(T17,"/",REPT(" ",100)),101,100))&amp;"")))&amp;"|"&amp;IFERROR(TEXT(VALUE(TRIM(MID(SUBSTITUTE(T17,"/",REPT(" ",100)),201,100))&amp;""),"0"),UPPER(TRIM(TRIM(MID(SUBSTITUTE(T17,"/",REPT(" ",100)),201,100))&amp;""))),"ERRO_CHAVE")))</f>
        <v>68527|27|DUPP|106057|27|1</v>
      </c>
      <c r="V17" s="6" t="str">
        <f>IF(OR(U17="",U17="ERRO_CHAVE"),"",IFERROR(MATCH(U17,Fornecedores!$AF$1:$AF$6631,0),""))</f>
        <v/>
      </c>
      <c r="W17" s="6">
        <f>IF(OR(U17="",U17="ERRO_CHAVE"),"",COUNTIF($U$2:$U$6635,U17))</f>
        <v>1</v>
      </c>
      <c r="X17" s="7" t="str">
        <f>IF(V17="","",INDEX(Fornecedores!$X$1:$X$6631,V17))</f>
        <v/>
      </c>
      <c r="Y17" s="7" t="str">
        <f>IF(V17="","",ROUND(G17-X17,2))</f>
        <v/>
      </c>
    </row>
    <row r="18" spans="1:25">
      <c r="A18" t="s">
        <v>131</v>
      </c>
      <c r="B18">
        <v>27</v>
      </c>
      <c r="C18" t="s">
        <v>148</v>
      </c>
      <c r="D18" t="s">
        <v>110</v>
      </c>
      <c r="E18" s="3">
        <v>46301</v>
      </c>
      <c r="F18" s="3">
        <v>46301</v>
      </c>
      <c r="G18" s="4">
        <v>704.88</v>
      </c>
      <c r="H18" s="4">
        <v>704.88</v>
      </c>
      <c r="I18" t="s">
        <v>74</v>
      </c>
      <c r="J18" s="3">
        <v>46301</v>
      </c>
      <c r="K18" s="3">
        <v>46301</v>
      </c>
      <c r="L18" s="3">
        <v>46302</v>
      </c>
      <c r="M18" t="s">
        <v>149</v>
      </c>
      <c r="N18" s="5">
        <v>704.88</v>
      </c>
      <c r="R18" s="3">
        <v>46301</v>
      </c>
      <c r="S18" s="6" t="str">
        <f>IF(U18="","",IF(U18="ERRO_CHAVE","VERIFICAR",IF(V18="","FORA DA PREVISÃO","PAGO")))</f>
        <v>FORA DA PREVISÃO</v>
      </c>
      <c r="T18" s="6" t="str">
        <f>IF(C18="","",IFERROR(SUBSTITUTE(IF(ISNUMBER(C18),LEFT(TRIM(MID(M18,SEARCH("tulo:",M18)+5,200)),FIND(" ",TRIM(MID(M18,SEARCH("tulo:",M18)+5,200))&amp;" ")-1),C18),"-","/"),"ERRO_TITULO"))</f>
        <v>106058/27/1</v>
      </c>
      <c r="U18" s="6" t="str">
        <f>IF(C18="","",IF(T18="ERRO_TITULO","ERRO_CHAVE",IFERROR(TRIM(RIGHT(SUBSTITUTE(A18," - ",REPT(" ",200)),200))&amp;"|"&amp;IFERROR(TEXT(VALUE(B18&amp;""),"0"),UPPER(TRIM(B18&amp;"")))&amp;"|"&amp;UPPER(TRIM(D18))&amp;"|"&amp;IFERROR(TEXT(VALUE(TRIM(MID(SUBSTITUTE(T18,"/",REPT(" ",100)),1,100))&amp;""),"0"),UPPER(TRIM(TRIM(MID(SUBSTITUTE(T18,"/",REPT(" ",100)),1,100))&amp;"")))&amp;"|"&amp;IFERROR(TEXT(VALUE(TRIM(MID(SUBSTITUTE(T18,"/",REPT(" ",100)),101,100))&amp;""),"0"),UPPER(TRIM(TRIM(MID(SUBSTITUTE(T18,"/",REPT(" ",100)),101,100))&amp;"")))&amp;"|"&amp;IFERROR(TEXT(VALUE(TRIM(MID(SUBSTITUTE(T18,"/",REPT(" ",100)),201,100))&amp;""),"0"),UPPER(TRIM(TRIM(MID(SUBSTITUTE(T18,"/",REPT(" ",100)),201,100))&amp;""))),"ERRO_CHAVE")))</f>
        <v>68527|27|DUPP|106058|27|1</v>
      </c>
      <c r="V18" s="6" t="str">
        <f>IF(OR(U18="",U18="ERRO_CHAVE"),"",IFERROR(MATCH(U18,Fornecedores!$AF$1:$AF$6631,0),""))</f>
        <v/>
      </c>
      <c r="W18" s="6">
        <f>IF(OR(U18="",U18="ERRO_CHAVE"),"",COUNTIF($U$2:$U$6635,U18))</f>
        <v>1</v>
      </c>
      <c r="X18" s="7" t="str">
        <f>IF(V18="","",INDEX(Fornecedores!$X$1:$X$6631,V18))</f>
        <v/>
      </c>
      <c r="Y18" s="7" t="str">
        <f>IF(V18="","",ROUND(G18-X18,2))</f>
        <v/>
      </c>
    </row>
    <row r="19" spans="1:25">
      <c r="A19" t="s">
        <v>131</v>
      </c>
      <c r="B19">
        <v>27</v>
      </c>
      <c r="C19" t="s">
        <v>150</v>
      </c>
      <c r="D19" t="s">
        <v>110</v>
      </c>
      <c r="E19" s="3">
        <v>46301</v>
      </c>
      <c r="F19" s="3">
        <v>46301</v>
      </c>
      <c r="G19" s="4">
        <v>373.44</v>
      </c>
      <c r="H19" s="4">
        <v>373.44</v>
      </c>
      <c r="I19" t="s">
        <v>74</v>
      </c>
      <c r="J19" s="3">
        <v>46301</v>
      </c>
      <c r="K19" s="3">
        <v>46301</v>
      </c>
      <c r="L19" s="3">
        <v>46302</v>
      </c>
      <c r="M19" t="s">
        <v>151</v>
      </c>
      <c r="N19" s="5">
        <v>373.44</v>
      </c>
      <c r="R19" s="3">
        <v>46301</v>
      </c>
      <c r="S19" s="6" t="str">
        <f>IF(U19="","",IF(U19="ERRO_CHAVE","VERIFICAR",IF(V19="","FORA DA PREVISÃO","PAGO")))</f>
        <v>FORA DA PREVISÃO</v>
      </c>
      <c r="T19" s="6" t="str">
        <f>IF(C19="","",IFERROR(SUBSTITUTE(IF(ISNUMBER(C19),LEFT(TRIM(MID(M19,SEARCH("tulo:",M19)+5,200)),FIND(" ",TRIM(MID(M19,SEARCH("tulo:",M19)+5,200))&amp;" ")-1),C19),"-","/"),"ERRO_TITULO"))</f>
        <v>106059/27/1</v>
      </c>
      <c r="U19" s="6" t="str">
        <f>IF(C19="","",IF(T19="ERRO_TITULO","ERRO_CHAVE",IFERROR(TRIM(RIGHT(SUBSTITUTE(A19," - ",REPT(" ",200)),200))&amp;"|"&amp;IFERROR(TEXT(VALUE(B19&amp;""),"0"),UPPER(TRIM(B19&amp;"")))&amp;"|"&amp;UPPER(TRIM(D19))&amp;"|"&amp;IFERROR(TEXT(VALUE(TRIM(MID(SUBSTITUTE(T19,"/",REPT(" ",100)),1,100))&amp;""),"0"),UPPER(TRIM(TRIM(MID(SUBSTITUTE(T19,"/",REPT(" ",100)),1,100))&amp;"")))&amp;"|"&amp;IFERROR(TEXT(VALUE(TRIM(MID(SUBSTITUTE(T19,"/",REPT(" ",100)),101,100))&amp;""),"0"),UPPER(TRIM(TRIM(MID(SUBSTITUTE(T19,"/",REPT(" ",100)),101,100))&amp;"")))&amp;"|"&amp;IFERROR(TEXT(VALUE(TRIM(MID(SUBSTITUTE(T19,"/",REPT(" ",100)),201,100))&amp;""),"0"),UPPER(TRIM(TRIM(MID(SUBSTITUTE(T19,"/",REPT(" ",100)),201,100))&amp;""))),"ERRO_CHAVE")))</f>
        <v>68527|27|DUPP|106059|27|1</v>
      </c>
      <c r="V19" s="6" t="str">
        <f>IF(OR(U19="",U19="ERRO_CHAVE"),"",IFERROR(MATCH(U19,Fornecedores!$AF$1:$AF$6631,0),""))</f>
        <v/>
      </c>
      <c r="W19" s="6">
        <f>IF(OR(U19="",U19="ERRO_CHAVE"),"",COUNTIF($U$2:$U$6635,U19))</f>
        <v>1</v>
      </c>
      <c r="X19" s="7" t="str">
        <f>IF(V19="","",INDEX(Fornecedores!$X$1:$X$6631,V19))</f>
        <v/>
      </c>
      <c r="Y19" s="7" t="str">
        <f>IF(V19="","",ROUND(G19-X19,2))</f>
        <v/>
      </c>
    </row>
    <row r="20" spans="1:25">
      <c r="A20" t="s">
        <v>131</v>
      </c>
      <c r="B20">
        <v>27</v>
      </c>
      <c r="C20" t="s">
        <v>152</v>
      </c>
      <c r="D20" t="s">
        <v>110</v>
      </c>
      <c r="E20" s="3">
        <v>46300</v>
      </c>
      <c r="F20" s="3">
        <v>46300</v>
      </c>
      <c r="G20" s="4">
        <v>12645.6</v>
      </c>
      <c r="H20" s="4">
        <v>12645.6</v>
      </c>
      <c r="I20" t="s">
        <v>74</v>
      </c>
      <c r="J20" s="3">
        <v>46300</v>
      </c>
      <c r="K20" s="3">
        <v>46300</v>
      </c>
      <c r="L20" s="3">
        <v>46301</v>
      </c>
      <c r="M20" t="s">
        <v>153</v>
      </c>
      <c r="N20" s="5">
        <v>12645.6</v>
      </c>
      <c r="R20" s="3">
        <v>46300</v>
      </c>
      <c r="S20" s="6" t="str">
        <f>IF(U20="","",IF(U20="ERRO_CHAVE","VERIFICAR",IF(V20="","FORA DA PREVISÃO","PAGO")))</f>
        <v>FORA DA PREVISÃO</v>
      </c>
      <c r="T20" s="6" t="str">
        <f>IF(C20="","",IFERROR(SUBSTITUTE(IF(ISNUMBER(C20),LEFT(TRIM(MID(M20,SEARCH("tulo:",M20)+5,200)),FIND(" ",TRIM(MID(M20,SEARCH("tulo:",M20)+5,200))&amp;" ")-1),C20),"-","/"),"ERRO_TITULO"))</f>
        <v>106046/27/1</v>
      </c>
      <c r="U20" s="6" t="str">
        <f>IF(C20="","",IF(T20="ERRO_TITULO","ERRO_CHAVE",IFERROR(TRIM(RIGHT(SUBSTITUTE(A20," - ",REPT(" ",200)),200))&amp;"|"&amp;IFERROR(TEXT(VALUE(B20&amp;""),"0"),UPPER(TRIM(B20&amp;"")))&amp;"|"&amp;UPPER(TRIM(D20))&amp;"|"&amp;IFERROR(TEXT(VALUE(TRIM(MID(SUBSTITUTE(T20,"/",REPT(" ",100)),1,100))&amp;""),"0"),UPPER(TRIM(TRIM(MID(SUBSTITUTE(T20,"/",REPT(" ",100)),1,100))&amp;"")))&amp;"|"&amp;IFERROR(TEXT(VALUE(TRIM(MID(SUBSTITUTE(T20,"/",REPT(" ",100)),101,100))&amp;""),"0"),UPPER(TRIM(TRIM(MID(SUBSTITUTE(T20,"/",REPT(" ",100)),101,100))&amp;"")))&amp;"|"&amp;IFERROR(TEXT(VALUE(TRIM(MID(SUBSTITUTE(T20,"/",REPT(" ",100)),201,100))&amp;""),"0"),UPPER(TRIM(TRIM(MID(SUBSTITUTE(T20,"/",REPT(" ",100)),201,100))&amp;""))),"ERRO_CHAVE")))</f>
        <v>68527|27|DUPP|106046|27|1</v>
      </c>
      <c r="V20" s="6" t="str">
        <f>IF(OR(U20="",U20="ERRO_CHAVE"),"",IFERROR(MATCH(U20,Fornecedores!$AF$1:$AF$6631,0),""))</f>
        <v/>
      </c>
      <c r="W20" s="6">
        <f>IF(OR(U20="",U20="ERRO_CHAVE"),"",COUNTIF($U$2:$U$6635,U20))</f>
        <v>1</v>
      </c>
      <c r="X20" s="7" t="str">
        <f>IF(V20="","",INDEX(Fornecedores!$X$1:$X$6631,V20))</f>
        <v/>
      </c>
      <c r="Y20" s="7" t="str">
        <f>IF(V20="","",ROUND(G20-X20,2))</f>
        <v/>
      </c>
    </row>
    <row r="21" spans="1:25">
      <c r="A21" t="s">
        <v>131</v>
      </c>
      <c r="B21">
        <v>27</v>
      </c>
      <c r="C21" t="s">
        <v>154</v>
      </c>
      <c r="D21" t="s">
        <v>110</v>
      </c>
      <c r="E21" s="3">
        <v>46300</v>
      </c>
      <c r="F21" s="3">
        <v>46300</v>
      </c>
      <c r="G21" s="4">
        <v>2044.79</v>
      </c>
      <c r="H21" s="4">
        <v>2044.79</v>
      </c>
      <c r="I21" t="s">
        <v>74</v>
      </c>
      <c r="J21" s="3">
        <v>46300</v>
      </c>
      <c r="K21" s="3">
        <v>46300</v>
      </c>
      <c r="L21" s="3">
        <v>46301</v>
      </c>
      <c r="M21" t="s">
        <v>155</v>
      </c>
      <c r="N21" s="5">
        <v>2044.79</v>
      </c>
      <c r="R21" s="3">
        <v>46300</v>
      </c>
      <c r="S21" s="6" t="str">
        <f>IF(U21="","",IF(U21="ERRO_CHAVE","VERIFICAR",IF(V21="","FORA DA PREVISÃO","PAGO")))</f>
        <v>FORA DA PREVISÃO</v>
      </c>
      <c r="T21" s="6" t="str">
        <f>IF(C21="","",IFERROR(SUBSTITUTE(IF(ISNUMBER(C21),LEFT(TRIM(MID(M21,SEARCH("tulo:",M21)+5,200)),FIND(" ",TRIM(MID(M21,SEARCH("tulo:",M21)+5,200))&amp;" ")-1),C21),"-","/"),"ERRO_TITULO"))</f>
        <v>106047/27/1</v>
      </c>
      <c r="U21" s="6" t="str">
        <f>IF(C21="","",IF(T21="ERRO_TITULO","ERRO_CHAVE",IFERROR(TRIM(RIGHT(SUBSTITUTE(A21," - ",REPT(" ",200)),200))&amp;"|"&amp;IFERROR(TEXT(VALUE(B21&amp;""),"0"),UPPER(TRIM(B21&amp;"")))&amp;"|"&amp;UPPER(TRIM(D21))&amp;"|"&amp;IFERROR(TEXT(VALUE(TRIM(MID(SUBSTITUTE(T21,"/",REPT(" ",100)),1,100))&amp;""),"0"),UPPER(TRIM(TRIM(MID(SUBSTITUTE(T21,"/",REPT(" ",100)),1,100))&amp;"")))&amp;"|"&amp;IFERROR(TEXT(VALUE(TRIM(MID(SUBSTITUTE(T21,"/",REPT(" ",100)),101,100))&amp;""),"0"),UPPER(TRIM(TRIM(MID(SUBSTITUTE(T21,"/",REPT(" ",100)),101,100))&amp;"")))&amp;"|"&amp;IFERROR(TEXT(VALUE(TRIM(MID(SUBSTITUTE(T21,"/",REPT(" ",100)),201,100))&amp;""),"0"),UPPER(TRIM(TRIM(MID(SUBSTITUTE(T21,"/",REPT(" ",100)),201,100))&amp;""))),"ERRO_CHAVE")))</f>
        <v>68527|27|DUPP|106047|27|1</v>
      </c>
      <c r="V21" s="6" t="str">
        <f>IF(OR(U21="",U21="ERRO_CHAVE"),"",IFERROR(MATCH(U21,Fornecedores!$AF$1:$AF$6631,0),""))</f>
        <v/>
      </c>
      <c r="W21" s="6">
        <f>IF(OR(U21="",U21="ERRO_CHAVE"),"",COUNTIF($U$2:$U$6635,U21))</f>
        <v>1</v>
      </c>
      <c r="X21" s="7" t="str">
        <f>IF(V21="","",INDEX(Fornecedores!$X$1:$X$6631,V21))</f>
        <v/>
      </c>
      <c r="Y21" s="7" t="str">
        <f>IF(V21="","",ROUND(G21-X21,2))</f>
        <v/>
      </c>
    </row>
    <row r="22" spans="1:25">
      <c r="A22" t="s">
        <v>131</v>
      </c>
      <c r="B22">
        <v>27</v>
      </c>
      <c r="C22" t="s">
        <v>156</v>
      </c>
      <c r="D22" t="s">
        <v>110</v>
      </c>
      <c r="E22" s="3">
        <v>46301</v>
      </c>
      <c r="F22" s="3">
        <v>46301</v>
      </c>
      <c r="G22" s="4">
        <v>713.99</v>
      </c>
      <c r="H22" s="4">
        <v>713.99</v>
      </c>
      <c r="I22" t="s">
        <v>74</v>
      </c>
      <c r="J22" s="3">
        <v>46301</v>
      </c>
      <c r="K22" s="3">
        <v>46301</v>
      </c>
      <c r="L22" s="3">
        <v>46302</v>
      </c>
      <c r="M22" t="s">
        <v>157</v>
      </c>
      <c r="N22" s="5">
        <v>713.99</v>
      </c>
      <c r="R22" s="3">
        <v>46301</v>
      </c>
      <c r="S22" s="6" t="str">
        <f>IF(U22="","",IF(U22="ERRO_CHAVE","VERIFICAR",IF(V22="","FORA DA PREVISÃO","PAGO")))</f>
        <v>FORA DA PREVISÃO</v>
      </c>
      <c r="T22" s="6" t="str">
        <f>IF(C22="","",IFERROR(SUBSTITUTE(IF(ISNUMBER(C22),LEFT(TRIM(MID(M22,SEARCH("tulo:",M22)+5,200)),FIND(" ",TRIM(MID(M22,SEARCH("tulo:",M22)+5,200))&amp;" ")-1),C22),"-","/"),"ERRO_TITULO"))</f>
        <v>106048/27/1</v>
      </c>
      <c r="U22" s="6" t="str">
        <f>IF(C22="","",IF(T22="ERRO_TITULO","ERRO_CHAVE",IFERROR(TRIM(RIGHT(SUBSTITUTE(A22," - ",REPT(" ",200)),200))&amp;"|"&amp;IFERROR(TEXT(VALUE(B22&amp;""),"0"),UPPER(TRIM(B22&amp;"")))&amp;"|"&amp;UPPER(TRIM(D22))&amp;"|"&amp;IFERROR(TEXT(VALUE(TRIM(MID(SUBSTITUTE(T22,"/",REPT(" ",100)),1,100))&amp;""),"0"),UPPER(TRIM(TRIM(MID(SUBSTITUTE(T22,"/",REPT(" ",100)),1,100))&amp;"")))&amp;"|"&amp;IFERROR(TEXT(VALUE(TRIM(MID(SUBSTITUTE(T22,"/",REPT(" ",100)),101,100))&amp;""),"0"),UPPER(TRIM(TRIM(MID(SUBSTITUTE(T22,"/",REPT(" ",100)),101,100))&amp;"")))&amp;"|"&amp;IFERROR(TEXT(VALUE(TRIM(MID(SUBSTITUTE(T22,"/",REPT(" ",100)),201,100))&amp;""),"0"),UPPER(TRIM(TRIM(MID(SUBSTITUTE(T22,"/",REPT(" ",100)),201,100))&amp;""))),"ERRO_CHAVE")))</f>
        <v>68527|27|DUPP|106048|27|1</v>
      </c>
      <c r="V22" s="6" t="str">
        <f>IF(OR(U22="",U22="ERRO_CHAVE"),"",IFERROR(MATCH(U22,Fornecedores!$AF$1:$AF$6631,0),""))</f>
        <v/>
      </c>
      <c r="W22" s="6">
        <f>IF(OR(U22="",U22="ERRO_CHAVE"),"",COUNTIF($U$2:$U$6635,U22))</f>
        <v>1</v>
      </c>
      <c r="X22" s="7" t="str">
        <f>IF(V22="","",INDEX(Fornecedores!$X$1:$X$6631,V22))</f>
        <v/>
      </c>
      <c r="Y22" s="7" t="str">
        <f>IF(V22="","",ROUND(G22-X22,2))</f>
        <v/>
      </c>
    </row>
    <row r="23" spans="1:25">
      <c r="A23" t="s">
        <v>131</v>
      </c>
      <c r="B23">
        <v>27</v>
      </c>
      <c r="C23" t="s">
        <v>158</v>
      </c>
      <c r="D23" t="s">
        <v>110</v>
      </c>
      <c r="E23" s="3">
        <v>46301</v>
      </c>
      <c r="F23" s="3">
        <v>46301</v>
      </c>
      <c r="G23" s="4">
        <v>1555.21</v>
      </c>
      <c r="H23" s="4">
        <v>1555.21</v>
      </c>
      <c r="I23" t="s">
        <v>74</v>
      </c>
      <c r="J23" s="3">
        <v>46301</v>
      </c>
      <c r="K23" s="3">
        <v>46301</v>
      </c>
      <c r="L23" s="3">
        <v>46302</v>
      </c>
      <c r="M23" t="s">
        <v>159</v>
      </c>
      <c r="N23" s="5">
        <v>1555.21</v>
      </c>
      <c r="R23" s="3">
        <v>46301</v>
      </c>
      <c r="S23" s="6" t="str">
        <f>IF(U23="","",IF(U23="ERRO_CHAVE","VERIFICAR",IF(V23="","FORA DA PREVISÃO","PAGO")))</f>
        <v>FORA DA PREVISÃO</v>
      </c>
      <c r="T23" s="6" t="str">
        <f>IF(C23="","",IFERROR(SUBSTITUTE(IF(ISNUMBER(C23),LEFT(TRIM(MID(M23,SEARCH("tulo:",M23)+5,200)),FIND(" ",TRIM(MID(M23,SEARCH("tulo:",M23)+5,200))&amp;" ")-1),C23),"-","/"),"ERRO_TITULO"))</f>
        <v>106049/27/1</v>
      </c>
      <c r="U23" s="6" t="str">
        <f>IF(C23="","",IF(T23="ERRO_TITULO","ERRO_CHAVE",IFERROR(TRIM(RIGHT(SUBSTITUTE(A23," - ",REPT(" ",200)),200))&amp;"|"&amp;IFERROR(TEXT(VALUE(B23&amp;""),"0"),UPPER(TRIM(B23&amp;"")))&amp;"|"&amp;UPPER(TRIM(D23))&amp;"|"&amp;IFERROR(TEXT(VALUE(TRIM(MID(SUBSTITUTE(T23,"/",REPT(" ",100)),1,100))&amp;""),"0"),UPPER(TRIM(TRIM(MID(SUBSTITUTE(T23,"/",REPT(" ",100)),1,100))&amp;"")))&amp;"|"&amp;IFERROR(TEXT(VALUE(TRIM(MID(SUBSTITUTE(T23,"/",REPT(" ",100)),101,100))&amp;""),"0"),UPPER(TRIM(TRIM(MID(SUBSTITUTE(T23,"/",REPT(" ",100)),101,100))&amp;"")))&amp;"|"&amp;IFERROR(TEXT(VALUE(TRIM(MID(SUBSTITUTE(T23,"/",REPT(" ",100)),201,100))&amp;""),"0"),UPPER(TRIM(TRIM(MID(SUBSTITUTE(T23,"/",REPT(" ",100)),201,100))&amp;""))),"ERRO_CHAVE")))</f>
        <v>68527|27|DUPP|106049|27|1</v>
      </c>
      <c r="V23" s="6" t="str">
        <f>IF(OR(U23="",U23="ERRO_CHAVE"),"",IFERROR(MATCH(U23,Fornecedores!$AF$1:$AF$6631,0),""))</f>
        <v/>
      </c>
      <c r="W23" s="6">
        <f>IF(OR(U23="",U23="ERRO_CHAVE"),"",COUNTIF($U$2:$U$6635,U23))</f>
        <v>1</v>
      </c>
      <c r="X23" s="7" t="str">
        <f>IF(V23="","",INDEX(Fornecedores!$X$1:$X$6631,V23))</f>
        <v/>
      </c>
      <c r="Y23" s="7" t="str">
        <f>IF(V23="","",ROUND(G23-X23,2))</f>
        <v/>
      </c>
    </row>
    <row r="24" spans="19:25">
      <c r="S24" t="str">
        <f t="shared" ref="S24:S6635" si="0">IF(U24="","",IF(U24="ERRO_CHAVE","VERIFICAR",IF(V24="","FORA DA PREVISÃO","PAGO")))</f>
        <v/>
      </c>
      <c r="T24" t="str">
        <f t="shared" ref="T24:T6635" si="1">IF(C24="","",IFERROR(SUBSTITUTE(IF(ISNUMBER(C24),LEFT(TRIM(MID(M24,SEARCH("tulo:",M24)+5,200)),FIND(" ",TRIM(MID(M24,SEARCH("tulo:",M24)+5,200))&amp;" ")-1),C24),"-","/"),"ERRO_TITULO"))</f>
        <v/>
      </c>
      <c r="U24" t="str">
        <f t="shared" ref="U24:U6635" si="2">IF(C24="","",IF(T24="ERRO_TITULO","ERRO_CHAVE",IFERROR(TRIM(RIGHT(SUBSTITUTE(A24," - ",REPT(" ",200)),200))&amp;"|"&amp;IFERROR(TEXT(VALUE(B24&amp;""),"0"),UPPER(TRIM(B24&amp;"")))&amp;"|"&amp;UPPER(TRIM(D24))&amp;"|"&amp;IFERROR(TEXT(VALUE(TRIM(MID(SUBSTITUTE(T24,"/",REPT(" ",100)),1,100))&amp;""),"0"),UPPER(TRIM(TRIM(MID(SUBSTITUTE(T24,"/",REPT(" ",100)),1,100))&amp;"")))&amp;"|"&amp;IFERROR(TEXT(VALUE(TRIM(MID(SUBSTITUTE(T24,"/",REPT(" ",100)),101,100))&amp;""),"0"),UPPER(TRIM(TRIM(MID(SUBSTITUTE(T24,"/",REPT(" ",100)),101,100))&amp;"")))&amp;"|"&amp;IFERROR(TEXT(VALUE(TRIM(MID(SUBSTITUTE(T24,"/",REPT(" ",100)),201,100))&amp;""),"0"),UPPER(TRIM(TRIM(MID(SUBSTITUTE(T24,"/",REPT(" ",100)),201,100))&amp;""))),"ERRO_CHAVE")))</f>
        <v/>
      </c>
      <c r="V24" t="str">
        <f>IF(OR(U24="",U24="ERRO_CHAVE"),"",IFERROR(MATCH(U24,Fornecedores!$AF$1:$AF$6631,0),""))</f>
        <v/>
      </c>
      <c r="W24" t="str">
        <f t="shared" ref="W24:W6635" si="3">IF(OR(U24="",U24="ERRO_CHAVE"),"",COUNTIF($U$2:$U$6635,U24))</f>
        <v/>
      </c>
      <c r="X24" s="4" t="str">
        <f>IF(V24="","",INDEX(Fornecedores!$X$1:$X$6631,V24))</f>
        <v/>
      </c>
      <c r="Y24" s="4" t="str">
        <f t="shared" ref="Y24:Y6635" si="4">IF(V24="","",ROUND(G24-X24,2))</f>
        <v/>
      </c>
    </row>
    <row r="25" spans="19:25">
      <c r="S25" t="s">
        <v>47</v>
      </c>
      <c r="T25" t="str">
        <f t="shared" si="1"/>
        <v/>
      </c>
      <c r="U25" t="str">
        <f t="shared" si="2"/>
        <v/>
      </c>
      <c r="V25" t="str">
        <f>IF(OR(U25="",U25="ERRO_CHAVE"),"",IFERROR(MATCH(U25,Fornecedores!$AF$1:$AF$6631,0),""))</f>
        <v/>
      </c>
      <c r="W25" t="str">
        <f t="shared" si="3"/>
        <v/>
      </c>
      <c r="X25" s="4" t="str">
        <f>IF(V25="","",INDEX(Fornecedores!$X$1:$X$6631,V25))</f>
        <v/>
      </c>
      <c r="Y25" s="4" t="str">
        <f t="shared" si="4"/>
        <v/>
      </c>
    </row>
    <row r="26" spans="19:25">
      <c r="S26" t="str">
        <f t="shared" si="0"/>
        <v/>
      </c>
      <c r="T26" t="str">
        <f t="shared" si="1"/>
        <v/>
      </c>
      <c r="U26" t="str">
        <f t="shared" si="2"/>
        <v/>
      </c>
      <c r="V26" t="str">
        <f>IF(OR(U26="",U26="ERRO_CHAVE"),"",IFERROR(MATCH(U26,Fornecedores!$AF$1:$AF$6631,0),""))</f>
        <v/>
      </c>
      <c r="W26" t="str">
        <f t="shared" si="3"/>
        <v/>
      </c>
      <c r="X26" s="4" t="str">
        <f>IF(V26="","",INDEX(Fornecedores!$X$1:$X$6631,V26))</f>
        <v/>
      </c>
      <c r="Y26" s="4" t="str">
        <f t="shared" si="4"/>
        <v/>
      </c>
    </row>
    <row r="27" spans="19:25">
      <c r="S27" t="str">
        <f t="shared" si="0"/>
        <v/>
      </c>
      <c r="T27" t="str">
        <f t="shared" si="1"/>
        <v/>
      </c>
      <c r="U27" t="str">
        <f t="shared" si="2"/>
        <v/>
      </c>
      <c r="V27" t="str">
        <f>IF(OR(U27="",U27="ERRO_CHAVE"),"",IFERROR(MATCH(U27,Fornecedores!$AF$1:$AF$6631,0),""))</f>
        <v/>
      </c>
      <c r="W27" t="str">
        <f t="shared" si="3"/>
        <v/>
      </c>
      <c r="X27" s="4" t="str">
        <f>IF(V27="","",INDEX(Fornecedores!$X$1:$X$6631,V27))</f>
        <v/>
      </c>
      <c r="Y27" s="4" t="str">
        <f t="shared" si="4"/>
        <v/>
      </c>
    </row>
    <row r="28" spans="19:25">
      <c r="S28" t="str">
        <f t="shared" si="0"/>
        <v/>
      </c>
      <c r="T28" t="str">
        <f t="shared" si="1"/>
        <v/>
      </c>
      <c r="U28" t="str">
        <f t="shared" si="2"/>
        <v/>
      </c>
      <c r="V28" t="str">
        <f>IF(OR(U28="",U28="ERRO_CHAVE"),"",IFERROR(MATCH(U28,Fornecedores!$AF$1:$AF$6631,0),""))</f>
        <v/>
      </c>
      <c r="W28" t="str">
        <f t="shared" si="3"/>
        <v/>
      </c>
      <c r="X28" s="4" t="str">
        <f>IF(V28="","",INDEX(Fornecedores!$X$1:$X$6631,V28))</f>
        <v/>
      </c>
      <c r="Y28" s="4" t="str">
        <f t="shared" si="4"/>
        <v/>
      </c>
    </row>
    <row r="29" spans="19:25">
      <c r="S29" t="str">
        <f t="shared" si="0"/>
        <v/>
      </c>
      <c r="T29" t="str">
        <f t="shared" si="1"/>
        <v/>
      </c>
      <c r="U29" t="str">
        <f t="shared" si="2"/>
        <v/>
      </c>
      <c r="V29" t="str">
        <f>IF(OR(U29="",U29="ERRO_CHAVE"),"",IFERROR(MATCH(U29,Fornecedores!$AF$1:$AF$6631,0),""))</f>
        <v/>
      </c>
      <c r="W29" t="str">
        <f t="shared" si="3"/>
        <v/>
      </c>
      <c r="X29" s="4" t="str">
        <f>IF(V29="","",INDEX(Fornecedores!$X$1:$X$6631,V29))</f>
        <v/>
      </c>
      <c r="Y29" s="4" t="str">
        <f t="shared" si="4"/>
        <v/>
      </c>
    </row>
    <row r="30" spans="19:25">
      <c r="S30" t="str">
        <f t="shared" si="0"/>
        <v/>
      </c>
      <c r="T30" t="str">
        <f t="shared" si="1"/>
        <v/>
      </c>
      <c r="U30" t="str">
        <f t="shared" si="2"/>
        <v/>
      </c>
      <c r="V30" t="str">
        <f>IF(OR(U30="",U30="ERRO_CHAVE"),"",IFERROR(MATCH(U30,Fornecedores!$AF$1:$AF$6631,0),""))</f>
        <v/>
      </c>
      <c r="W30" t="str">
        <f t="shared" si="3"/>
        <v/>
      </c>
      <c r="X30" s="4" t="str">
        <f>IF(V30="","",INDEX(Fornecedores!$X$1:$X$6631,V30))</f>
        <v/>
      </c>
      <c r="Y30" s="4" t="str">
        <f t="shared" si="4"/>
        <v/>
      </c>
    </row>
    <row r="31" spans="19:25">
      <c r="S31" t="str">
        <f t="shared" si="0"/>
        <v/>
      </c>
      <c r="T31" t="str">
        <f t="shared" si="1"/>
        <v/>
      </c>
      <c r="U31" t="str">
        <f t="shared" si="2"/>
        <v/>
      </c>
      <c r="V31" t="str">
        <f>IF(OR(U31="",U31="ERRO_CHAVE"),"",IFERROR(MATCH(U31,Fornecedores!$AF$1:$AF$6631,0),""))</f>
        <v/>
      </c>
      <c r="W31" t="str">
        <f t="shared" si="3"/>
        <v/>
      </c>
      <c r="X31" s="4" t="str">
        <f>IF(V31="","",INDEX(Fornecedores!$X$1:$X$6631,V31))</f>
        <v/>
      </c>
      <c r="Y31" s="4" t="str">
        <f t="shared" si="4"/>
        <v/>
      </c>
    </row>
    <row r="32" spans="19:25">
      <c r="S32" t="str">
        <f t="shared" si="0"/>
        <v/>
      </c>
      <c r="T32" t="str">
        <f t="shared" si="1"/>
        <v/>
      </c>
      <c r="U32" t="str">
        <f t="shared" si="2"/>
        <v/>
      </c>
      <c r="V32" t="str">
        <f>IF(OR(U32="",U32="ERRO_CHAVE"),"",IFERROR(MATCH(U32,Fornecedores!$AF$1:$AF$6631,0),""))</f>
        <v/>
      </c>
      <c r="W32" t="str">
        <f t="shared" si="3"/>
        <v/>
      </c>
      <c r="X32" s="4" t="str">
        <f>IF(V32="","",INDEX(Fornecedores!$X$1:$X$6631,V32))</f>
        <v/>
      </c>
      <c r="Y32" s="4" t="str">
        <f t="shared" si="4"/>
        <v/>
      </c>
    </row>
    <row r="33" spans="19:25">
      <c r="S33" t="str">
        <f t="shared" si="0"/>
        <v/>
      </c>
      <c r="T33" t="str">
        <f t="shared" si="1"/>
        <v/>
      </c>
      <c r="U33" t="str">
        <f t="shared" si="2"/>
        <v/>
      </c>
      <c r="V33" t="str">
        <f>IF(OR(U33="",U33="ERRO_CHAVE"),"",IFERROR(MATCH(U33,Fornecedores!$AF$1:$AF$6631,0),""))</f>
        <v/>
      </c>
      <c r="W33" t="str">
        <f t="shared" si="3"/>
        <v/>
      </c>
      <c r="X33" s="4" t="str">
        <f>IF(V33="","",INDEX(Fornecedores!$X$1:$X$6631,V33))</f>
        <v/>
      </c>
      <c r="Y33" s="4" t="str">
        <f t="shared" si="4"/>
        <v/>
      </c>
    </row>
    <row r="34" spans="19:25">
      <c r="S34" t="str">
        <f t="shared" si="0"/>
        <v/>
      </c>
      <c r="T34" t="str">
        <f t="shared" si="1"/>
        <v/>
      </c>
      <c r="U34" t="str">
        <f t="shared" si="2"/>
        <v/>
      </c>
      <c r="V34" t="str">
        <f>IF(OR(U34="",U34="ERRO_CHAVE"),"",IFERROR(MATCH(U34,Fornecedores!$AF$1:$AF$6631,0),""))</f>
        <v/>
      </c>
      <c r="W34" t="str">
        <f t="shared" si="3"/>
        <v/>
      </c>
      <c r="X34" s="4" t="str">
        <f>IF(V34="","",INDEX(Fornecedores!$X$1:$X$6631,V34))</f>
        <v/>
      </c>
      <c r="Y34" s="4" t="str">
        <f t="shared" si="4"/>
        <v/>
      </c>
    </row>
    <row r="35" spans="19:25">
      <c r="S35" t="str">
        <f t="shared" si="0"/>
        <v/>
      </c>
      <c r="T35" t="str">
        <f t="shared" si="1"/>
        <v/>
      </c>
      <c r="U35" t="str">
        <f t="shared" si="2"/>
        <v/>
      </c>
      <c r="V35" t="str">
        <f>IF(OR(U35="",U35="ERRO_CHAVE"),"",IFERROR(MATCH(U35,Fornecedores!$AF$1:$AF$6631,0),""))</f>
        <v/>
      </c>
      <c r="W35" t="str">
        <f t="shared" si="3"/>
        <v/>
      </c>
      <c r="X35" s="4" t="str">
        <f>IF(V35="","",INDEX(Fornecedores!$X$1:$X$6631,V35))</f>
        <v/>
      </c>
      <c r="Y35" s="4" t="str">
        <f t="shared" si="4"/>
        <v/>
      </c>
    </row>
    <row r="36" spans="19:25">
      <c r="S36" t="str">
        <f t="shared" si="0"/>
        <v/>
      </c>
      <c r="T36" t="str">
        <f t="shared" si="1"/>
        <v/>
      </c>
      <c r="U36" t="str">
        <f t="shared" si="2"/>
        <v/>
      </c>
      <c r="V36" t="str">
        <f>IF(OR(U36="",U36="ERRO_CHAVE"),"",IFERROR(MATCH(U36,Fornecedores!$AF$1:$AF$6631,0),""))</f>
        <v/>
      </c>
      <c r="W36" t="str">
        <f t="shared" si="3"/>
        <v/>
      </c>
      <c r="X36" s="4" t="str">
        <f>IF(V36="","",INDEX(Fornecedores!$X$1:$X$6631,V36))</f>
        <v/>
      </c>
      <c r="Y36" s="4" t="str">
        <f t="shared" si="4"/>
        <v/>
      </c>
    </row>
    <row r="37" spans="19:25">
      <c r="S37" t="str">
        <f t="shared" si="0"/>
        <v/>
      </c>
      <c r="T37" t="str">
        <f t="shared" si="1"/>
        <v/>
      </c>
      <c r="U37" t="str">
        <f t="shared" si="2"/>
        <v/>
      </c>
      <c r="V37" t="str">
        <f>IF(OR(U37="",U37="ERRO_CHAVE"),"",IFERROR(MATCH(U37,Fornecedores!$AF$1:$AF$6631,0),""))</f>
        <v/>
      </c>
      <c r="W37" t="str">
        <f t="shared" si="3"/>
        <v/>
      </c>
      <c r="X37" s="4" t="str">
        <f>IF(V37="","",INDEX(Fornecedores!$X$1:$X$6631,V37))</f>
        <v/>
      </c>
      <c r="Y37" s="4" t="str">
        <f t="shared" si="4"/>
        <v/>
      </c>
    </row>
    <row r="38" spans="19:25">
      <c r="S38" t="str">
        <f t="shared" si="0"/>
        <v/>
      </c>
      <c r="T38" t="str">
        <f t="shared" si="1"/>
        <v/>
      </c>
      <c r="U38" t="str">
        <f t="shared" si="2"/>
        <v/>
      </c>
      <c r="V38" t="str">
        <f>IF(OR(U38="",U38="ERRO_CHAVE"),"",IFERROR(MATCH(U38,Fornecedores!$AF$1:$AF$6631,0),""))</f>
        <v/>
      </c>
      <c r="W38" t="str">
        <f t="shared" si="3"/>
        <v/>
      </c>
      <c r="X38" s="4" t="str">
        <f>IF(V38="","",INDEX(Fornecedores!$X$1:$X$6631,V38))</f>
        <v/>
      </c>
      <c r="Y38" s="4" t="str">
        <f t="shared" si="4"/>
        <v/>
      </c>
    </row>
    <row r="39" spans="19:25">
      <c r="S39" t="str">
        <f t="shared" si="0"/>
        <v/>
      </c>
      <c r="T39" t="str">
        <f t="shared" si="1"/>
        <v/>
      </c>
      <c r="U39" t="str">
        <f t="shared" si="2"/>
        <v/>
      </c>
      <c r="V39" t="str">
        <f>IF(OR(U39="",U39="ERRO_CHAVE"),"",IFERROR(MATCH(U39,Fornecedores!$AF$1:$AF$6631,0),""))</f>
        <v/>
      </c>
      <c r="W39" t="str">
        <f t="shared" si="3"/>
        <v/>
      </c>
      <c r="X39" s="4" t="str">
        <f>IF(V39="","",INDEX(Fornecedores!$X$1:$X$6631,V39))</f>
        <v/>
      </c>
      <c r="Y39" s="4" t="str">
        <f t="shared" si="4"/>
        <v/>
      </c>
    </row>
    <row r="40" spans="19:25">
      <c r="S40" t="str">
        <f t="shared" si="0"/>
        <v/>
      </c>
      <c r="T40" t="str">
        <f t="shared" si="1"/>
        <v/>
      </c>
      <c r="U40" t="str">
        <f t="shared" si="2"/>
        <v/>
      </c>
      <c r="V40" t="str">
        <f>IF(OR(U40="",U40="ERRO_CHAVE"),"",IFERROR(MATCH(U40,Fornecedores!$AF$1:$AF$6631,0),""))</f>
        <v/>
      </c>
      <c r="W40" t="str">
        <f t="shared" si="3"/>
        <v/>
      </c>
      <c r="X40" s="4" t="str">
        <f>IF(V40="","",INDEX(Fornecedores!$X$1:$X$6631,V40))</f>
        <v/>
      </c>
      <c r="Y40" s="4" t="str">
        <f t="shared" si="4"/>
        <v/>
      </c>
    </row>
    <row r="41" spans="19:25">
      <c r="S41" t="str">
        <f t="shared" si="0"/>
        <v/>
      </c>
      <c r="T41" t="str">
        <f t="shared" si="1"/>
        <v/>
      </c>
      <c r="U41" t="str">
        <f t="shared" si="2"/>
        <v/>
      </c>
      <c r="V41" t="str">
        <f>IF(OR(U41="",U41="ERRO_CHAVE"),"",IFERROR(MATCH(U41,Fornecedores!$AF$1:$AF$6631,0),""))</f>
        <v/>
      </c>
      <c r="W41" t="str">
        <f t="shared" si="3"/>
        <v/>
      </c>
      <c r="X41" s="4" t="str">
        <f>IF(V41="","",INDEX(Fornecedores!$X$1:$X$6631,V41))</f>
        <v/>
      </c>
      <c r="Y41" s="4" t="str">
        <f t="shared" si="4"/>
        <v/>
      </c>
    </row>
    <row r="42" spans="19:25">
      <c r="S42" t="str">
        <f t="shared" si="0"/>
        <v/>
      </c>
      <c r="T42" t="str">
        <f t="shared" si="1"/>
        <v/>
      </c>
      <c r="U42" t="str">
        <f t="shared" si="2"/>
        <v/>
      </c>
      <c r="V42" t="str">
        <f>IF(OR(U42="",U42="ERRO_CHAVE"),"",IFERROR(MATCH(U42,Fornecedores!$AF$1:$AF$6631,0),""))</f>
        <v/>
      </c>
      <c r="W42" t="str">
        <f t="shared" si="3"/>
        <v/>
      </c>
      <c r="X42" s="4" t="str">
        <f>IF(V42="","",INDEX(Fornecedores!$X$1:$X$6631,V42))</f>
        <v/>
      </c>
      <c r="Y42" s="4" t="str">
        <f t="shared" si="4"/>
        <v/>
      </c>
    </row>
    <row r="43" spans="19:25">
      <c r="S43" t="str">
        <f t="shared" si="0"/>
        <v/>
      </c>
      <c r="T43" t="str">
        <f t="shared" si="1"/>
        <v/>
      </c>
      <c r="U43" t="str">
        <f t="shared" si="2"/>
        <v/>
      </c>
      <c r="V43" t="str">
        <f>IF(OR(U43="",U43="ERRO_CHAVE"),"",IFERROR(MATCH(U43,Fornecedores!$AF$1:$AF$6631,0),""))</f>
        <v/>
      </c>
      <c r="W43" t="str">
        <f t="shared" si="3"/>
        <v/>
      </c>
      <c r="X43" s="4" t="str">
        <f>IF(V43="","",INDEX(Fornecedores!$X$1:$X$6631,V43))</f>
        <v/>
      </c>
      <c r="Y43" s="4" t="str">
        <f t="shared" si="4"/>
        <v/>
      </c>
    </row>
    <row r="44" spans="19:25">
      <c r="S44" t="str">
        <f t="shared" si="0"/>
        <v/>
      </c>
      <c r="T44" t="str">
        <f t="shared" si="1"/>
        <v/>
      </c>
      <c r="U44" t="str">
        <f t="shared" si="2"/>
        <v/>
      </c>
      <c r="V44" t="str">
        <f>IF(OR(U44="",U44="ERRO_CHAVE"),"",IFERROR(MATCH(U44,Fornecedores!$AF$1:$AF$6631,0),""))</f>
        <v/>
      </c>
      <c r="W44" t="str">
        <f t="shared" si="3"/>
        <v/>
      </c>
      <c r="X44" s="4" t="str">
        <f>IF(V44="","",INDEX(Fornecedores!$X$1:$X$6631,V44))</f>
        <v/>
      </c>
      <c r="Y44" s="4" t="str">
        <f t="shared" si="4"/>
        <v/>
      </c>
    </row>
    <row r="45" spans="19:25">
      <c r="S45" t="str">
        <f t="shared" si="0"/>
        <v/>
      </c>
      <c r="T45" t="str">
        <f t="shared" si="1"/>
        <v/>
      </c>
      <c r="U45" t="str">
        <f t="shared" si="2"/>
        <v/>
      </c>
      <c r="V45" t="str">
        <f>IF(OR(U45="",U45="ERRO_CHAVE"),"",IFERROR(MATCH(U45,Fornecedores!$AF$1:$AF$6631,0),""))</f>
        <v/>
      </c>
      <c r="W45" t="str">
        <f t="shared" si="3"/>
        <v/>
      </c>
      <c r="X45" s="4" t="str">
        <f>IF(V45="","",INDEX(Fornecedores!$X$1:$X$6631,V45))</f>
        <v/>
      </c>
      <c r="Y45" s="4" t="str">
        <f t="shared" si="4"/>
        <v/>
      </c>
    </row>
    <row r="46" spans="19:25">
      <c r="S46" t="str">
        <f t="shared" si="0"/>
        <v/>
      </c>
      <c r="T46" t="str">
        <f t="shared" si="1"/>
        <v/>
      </c>
      <c r="U46" t="str">
        <f t="shared" si="2"/>
        <v/>
      </c>
      <c r="V46" t="str">
        <f>IF(OR(U46="",U46="ERRO_CHAVE"),"",IFERROR(MATCH(U46,Fornecedores!$AF$1:$AF$6631,0),""))</f>
        <v/>
      </c>
      <c r="W46" t="str">
        <f t="shared" si="3"/>
        <v/>
      </c>
      <c r="X46" s="4" t="str">
        <f>IF(V46="","",INDEX(Fornecedores!$X$1:$X$6631,V46))</f>
        <v/>
      </c>
      <c r="Y46" s="4" t="str">
        <f t="shared" si="4"/>
        <v/>
      </c>
    </row>
    <row r="47" spans="19:25">
      <c r="S47" t="str">
        <f t="shared" si="0"/>
        <v/>
      </c>
      <c r="T47" t="str">
        <f t="shared" si="1"/>
        <v/>
      </c>
      <c r="U47" t="str">
        <f t="shared" si="2"/>
        <v/>
      </c>
      <c r="V47" t="str">
        <f>IF(OR(U47="",U47="ERRO_CHAVE"),"",IFERROR(MATCH(U47,Fornecedores!$AF$1:$AF$6631,0),""))</f>
        <v/>
      </c>
      <c r="W47" t="str">
        <f t="shared" si="3"/>
        <v/>
      </c>
      <c r="X47" s="4" t="str">
        <f>IF(V47="","",INDEX(Fornecedores!$X$1:$X$6631,V47))</f>
        <v/>
      </c>
      <c r="Y47" s="4" t="str">
        <f t="shared" si="4"/>
        <v/>
      </c>
    </row>
    <row r="48" spans="19:25">
      <c r="S48" t="str">
        <f t="shared" si="0"/>
        <v/>
      </c>
      <c r="T48" t="str">
        <f t="shared" si="1"/>
        <v/>
      </c>
      <c r="U48" t="str">
        <f t="shared" si="2"/>
        <v/>
      </c>
      <c r="V48" t="str">
        <f>IF(OR(U48="",U48="ERRO_CHAVE"),"",IFERROR(MATCH(U48,Fornecedores!$AF$1:$AF$6631,0),""))</f>
        <v/>
      </c>
      <c r="W48" t="str">
        <f t="shared" si="3"/>
        <v/>
      </c>
      <c r="X48" s="4" t="str">
        <f>IF(V48="","",INDEX(Fornecedores!$X$1:$X$6631,V48))</f>
        <v/>
      </c>
      <c r="Y48" s="4" t="str">
        <f t="shared" si="4"/>
        <v/>
      </c>
    </row>
    <row r="49" spans="19:25">
      <c r="S49" t="str">
        <f t="shared" si="0"/>
        <v/>
      </c>
      <c r="T49" t="str">
        <f t="shared" si="1"/>
        <v/>
      </c>
      <c r="U49" t="str">
        <f t="shared" si="2"/>
        <v/>
      </c>
      <c r="V49" t="str">
        <f>IF(OR(U49="",U49="ERRO_CHAVE"),"",IFERROR(MATCH(U49,Fornecedores!$AF$1:$AF$6631,0),""))</f>
        <v/>
      </c>
      <c r="W49" t="str">
        <f t="shared" si="3"/>
        <v/>
      </c>
      <c r="X49" s="4" t="str">
        <f>IF(V49="","",INDEX(Fornecedores!$X$1:$X$6631,V49))</f>
        <v/>
      </c>
      <c r="Y49" s="4" t="str">
        <f t="shared" si="4"/>
        <v/>
      </c>
    </row>
    <row r="50" spans="19:25">
      <c r="S50" t="str">
        <f t="shared" si="0"/>
        <v/>
      </c>
      <c r="T50" t="str">
        <f t="shared" si="1"/>
        <v/>
      </c>
      <c r="U50" t="str">
        <f t="shared" si="2"/>
        <v/>
      </c>
      <c r="V50" t="str">
        <f>IF(OR(U50="",U50="ERRO_CHAVE"),"",IFERROR(MATCH(U50,Fornecedores!$AF$1:$AF$6631,0),""))</f>
        <v/>
      </c>
      <c r="W50" t="str">
        <f t="shared" si="3"/>
        <v/>
      </c>
      <c r="X50" s="4" t="str">
        <f>IF(V50="","",INDEX(Fornecedores!$X$1:$X$6631,V50))</f>
        <v/>
      </c>
      <c r="Y50" s="4" t="str">
        <f t="shared" si="4"/>
        <v/>
      </c>
    </row>
    <row r="51" spans="19:25">
      <c r="S51" t="str">
        <f t="shared" si="0"/>
        <v/>
      </c>
      <c r="T51" t="str">
        <f t="shared" si="1"/>
        <v/>
      </c>
      <c r="U51" t="str">
        <f t="shared" si="2"/>
        <v/>
      </c>
      <c r="V51" t="str">
        <f>IF(OR(U51="",U51="ERRO_CHAVE"),"",IFERROR(MATCH(U51,Fornecedores!$AF$1:$AF$6631,0),""))</f>
        <v/>
      </c>
      <c r="W51" t="str">
        <f t="shared" si="3"/>
        <v/>
      </c>
      <c r="X51" s="4" t="str">
        <f>IF(V51="","",INDEX(Fornecedores!$X$1:$X$6631,V51))</f>
        <v/>
      </c>
      <c r="Y51" s="4" t="str">
        <f t="shared" si="4"/>
        <v/>
      </c>
    </row>
    <row r="52" spans="19:25">
      <c r="S52" t="str">
        <f t="shared" si="0"/>
        <v/>
      </c>
      <c r="T52" t="str">
        <f t="shared" si="1"/>
        <v/>
      </c>
      <c r="U52" t="str">
        <f t="shared" si="2"/>
        <v/>
      </c>
      <c r="V52" t="str">
        <f>IF(OR(U52="",U52="ERRO_CHAVE"),"",IFERROR(MATCH(U52,Fornecedores!$AF$1:$AF$6631,0),""))</f>
        <v/>
      </c>
      <c r="W52" t="str">
        <f t="shared" si="3"/>
        <v/>
      </c>
      <c r="X52" s="4" t="str">
        <f>IF(V52="","",INDEX(Fornecedores!$X$1:$X$6631,V52))</f>
        <v/>
      </c>
      <c r="Y52" s="4" t="str">
        <f t="shared" si="4"/>
        <v/>
      </c>
    </row>
    <row r="53" spans="19:25">
      <c r="S53" t="str">
        <f t="shared" si="0"/>
        <v/>
      </c>
      <c r="T53" t="str">
        <f t="shared" si="1"/>
        <v/>
      </c>
      <c r="U53" t="str">
        <f t="shared" si="2"/>
        <v/>
      </c>
      <c r="V53" t="str">
        <f>IF(OR(U53="",U53="ERRO_CHAVE"),"",IFERROR(MATCH(U53,Fornecedores!$AF$1:$AF$6631,0),""))</f>
        <v/>
      </c>
      <c r="W53" t="str">
        <f t="shared" si="3"/>
        <v/>
      </c>
      <c r="X53" s="4" t="str">
        <f>IF(V53="","",INDEX(Fornecedores!$X$1:$X$6631,V53))</f>
        <v/>
      </c>
      <c r="Y53" s="4" t="str">
        <f t="shared" si="4"/>
        <v/>
      </c>
    </row>
    <row r="54" spans="19:25">
      <c r="S54" t="str">
        <f t="shared" si="0"/>
        <v/>
      </c>
      <c r="T54" t="str">
        <f t="shared" si="1"/>
        <v/>
      </c>
      <c r="U54" t="str">
        <f t="shared" si="2"/>
        <v/>
      </c>
      <c r="V54" t="str">
        <f>IF(OR(U54="",U54="ERRO_CHAVE"),"",IFERROR(MATCH(U54,Fornecedores!$AF$1:$AF$6631,0),""))</f>
        <v/>
      </c>
      <c r="W54" t="str">
        <f t="shared" si="3"/>
        <v/>
      </c>
      <c r="X54" s="4" t="str">
        <f>IF(V54="","",INDEX(Fornecedores!$X$1:$X$6631,V54))</f>
        <v/>
      </c>
      <c r="Y54" s="4" t="str">
        <f t="shared" si="4"/>
        <v/>
      </c>
    </row>
    <row r="55" spans="19:25">
      <c r="S55" t="str">
        <f t="shared" si="0"/>
        <v/>
      </c>
      <c r="T55" t="str">
        <f t="shared" si="1"/>
        <v/>
      </c>
      <c r="U55" t="str">
        <f t="shared" si="2"/>
        <v/>
      </c>
      <c r="V55" t="str">
        <f>IF(OR(U55="",U55="ERRO_CHAVE"),"",IFERROR(MATCH(U55,Fornecedores!$AF$1:$AF$6631,0),""))</f>
        <v/>
      </c>
      <c r="W55" t="str">
        <f t="shared" si="3"/>
        <v/>
      </c>
      <c r="X55" s="4" t="str">
        <f>IF(V55="","",INDEX(Fornecedores!$X$1:$X$6631,V55))</f>
        <v/>
      </c>
      <c r="Y55" s="4" t="str">
        <f t="shared" si="4"/>
        <v/>
      </c>
    </row>
    <row r="56" spans="19:25">
      <c r="S56" t="str">
        <f t="shared" si="0"/>
        <v/>
      </c>
      <c r="T56" t="str">
        <f t="shared" si="1"/>
        <v/>
      </c>
      <c r="U56" t="str">
        <f t="shared" si="2"/>
        <v/>
      </c>
      <c r="V56" t="str">
        <f>IF(OR(U56="",U56="ERRO_CHAVE"),"",IFERROR(MATCH(U56,Fornecedores!$AF$1:$AF$6631,0),""))</f>
        <v/>
      </c>
      <c r="W56" t="str">
        <f t="shared" si="3"/>
        <v/>
      </c>
      <c r="X56" s="4" t="str">
        <f>IF(V56="","",INDEX(Fornecedores!$X$1:$X$6631,V56))</f>
        <v/>
      </c>
      <c r="Y56" s="4" t="str">
        <f t="shared" si="4"/>
        <v/>
      </c>
    </row>
    <row r="57" spans="19:25">
      <c r="S57" t="str">
        <f t="shared" si="0"/>
        <v/>
      </c>
      <c r="T57" t="str">
        <f t="shared" si="1"/>
        <v/>
      </c>
      <c r="U57" t="str">
        <f t="shared" si="2"/>
        <v/>
      </c>
      <c r="V57" t="str">
        <f>IF(OR(U57="",U57="ERRO_CHAVE"),"",IFERROR(MATCH(U57,Fornecedores!$AF$1:$AF$6631,0),""))</f>
        <v/>
      </c>
      <c r="W57" t="str">
        <f t="shared" si="3"/>
        <v/>
      </c>
      <c r="X57" s="4" t="str">
        <f>IF(V57="","",INDEX(Fornecedores!$X$1:$X$6631,V57))</f>
        <v/>
      </c>
      <c r="Y57" s="4" t="str">
        <f t="shared" si="4"/>
        <v/>
      </c>
    </row>
    <row r="58" spans="19:25">
      <c r="S58" t="str">
        <f t="shared" si="0"/>
        <v/>
      </c>
      <c r="T58" t="str">
        <f t="shared" si="1"/>
        <v/>
      </c>
      <c r="U58" t="str">
        <f t="shared" si="2"/>
        <v/>
      </c>
      <c r="V58" t="str">
        <f>IF(OR(U58="",U58="ERRO_CHAVE"),"",IFERROR(MATCH(U58,Fornecedores!$AF$1:$AF$6631,0),""))</f>
        <v/>
      </c>
      <c r="W58" t="str">
        <f t="shared" si="3"/>
        <v/>
      </c>
      <c r="X58" s="4" t="str">
        <f>IF(V58="","",INDEX(Fornecedores!$X$1:$X$6631,V58))</f>
        <v/>
      </c>
      <c r="Y58" s="4" t="str">
        <f t="shared" si="4"/>
        <v/>
      </c>
    </row>
    <row r="59" spans="19:25">
      <c r="S59" t="str">
        <f t="shared" si="0"/>
        <v/>
      </c>
      <c r="T59" t="str">
        <f t="shared" si="1"/>
        <v/>
      </c>
      <c r="U59" t="str">
        <f t="shared" si="2"/>
        <v/>
      </c>
      <c r="V59" t="str">
        <f>IF(OR(U59="",U59="ERRO_CHAVE"),"",IFERROR(MATCH(U59,Fornecedores!$AF$1:$AF$6631,0),""))</f>
        <v/>
      </c>
      <c r="W59" t="str">
        <f t="shared" si="3"/>
        <v/>
      </c>
      <c r="X59" s="4" t="str">
        <f>IF(V59="","",INDEX(Fornecedores!$X$1:$X$6631,V59))</f>
        <v/>
      </c>
      <c r="Y59" s="4" t="str">
        <f t="shared" si="4"/>
        <v/>
      </c>
    </row>
    <row r="60" spans="19:25">
      <c r="S60" t="str">
        <f t="shared" si="0"/>
        <v/>
      </c>
      <c r="T60" t="str">
        <f t="shared" si="1"/>
        <v/>
      </c>
      <c r="U60" t="str">
        <f t="shared" si="2"/>
        <v/>
      </c>
      <c r="V60" t="str">
        <f>IF(OR(U60="",U60="ERRO_CHAVE"),"",IFERROR(MATCH(U60,Fornecedores!$AF$1:$AF$6631,0),""))</f>
        <v/>
      </c>
      <c r="W60" t="str">
        <f t="shared" si="3"/>
        <v/>
      </c>
      <c r="X60" s="4" t="str">
        <f>IF(V60="","",INDEX(Fornecedores!$X$1:$X$6631,V60))</f>
        <v/>
      </c>
      <c r="Y60" s="4" t="str">
        <f t="shared" si="4"/>
        <v/>
      </c>
    </row>
    <row r="61" spans="19:25">
      <c r="S61" t="str">
        <f t="shared" si="0"/>
        <v/>
      </c>
      <c r="T61" t="str">
        <f t="shared" si="1"/>
        <v/>
      </c>
      <c r="U61" t="str">
        <f t="shared" si="2"/>
        <v/>
      </c>
      <c r="V61" t="str">
        <f>IF(OR(U61="",U61="ERRO_CHAVE"),"",IFERROR(MATCH(U61,Fornecedores!$AF$1:$AF$6631,0),""))</f>
        <v/>
      </c>
      <c r="W61" t="str">
        <f t="shared" si="3"/>
        <v/>
      </c>
      <c r="X61" s="4" t="str">
        <f>IF(V61="","",INDEX(Fornecedores!$X$1:$X$6631,V61))</f>
        <v/>
      </c>
      <c r="Y61" s="4" t="str">
        <f t="shared" si="4"/>
        <v/>
      </c>
    </row>
    <row r="62" spans="19:25">
      <c r="S62" t="str">
        <f t="shared" si="0"/>
        <v/>
      </c>
      <c r="T62" t="str">
        <f t="shared" si="1"/>
        <v/>
      </c>
      <c r="U62" t="str">
        <f t="shared" si="2"/>
        <v/>
      </c>
      <c r="V62" t="str">
        <f>IF(OR(U62="",U62="ERRO_CHAVE"),"",IFERROR(MATCH(U62,Fornecedores!$AF$1:$AF$6631,0),""))</f>
        <v/>
      </c>
      <c r="W62" t="str">
        <f t="shared" si="3"/>
        <v/>
      </c>
      <c r="X62" s="4" t="str">
        <f>IF(V62="","",INDEX(Fornecedores!$X$1:$X$6631,V62))</f>
        <v/>
      </c>
      <c r="Y62" s="4" t="str">
        <f t="shared" si="4"/>
        <v/>
      </c>
    </row>
    <row r="63" spans="19:25">
      <c r="S63" t="str">
        <f t="shared" si="0"/>
        <v/>
      </c>
      <c r="T63" t="str">
        <f t="shared" si="1"/>
        <v/>
      </c>
      <c r="U63" t="str">
        <f t="shared" si="2"/>
        <v/>
      </c>
      <c r="V63" t="str">
        <f>IF(OR(U63="",U63="ERRO_CHAVE"),"",IFERROR(MATCH(U63,Fornecedores!$AF$1:$AF$6631,0),""))</f>
        <v/>
      </c>
      <c r="W63" t="str">
        <f t="shared" si="3"/>
        <v/>
      </c>
      <c r="X63" s="4" t="str">
        <f>IF(V63="","",INDEX(Fornecedores!$X$1:$X$6631,V63))</f>
        <v/>
      </c>
      <c r="Y63" s="4" t="str">
        <f t="shared" si="4"/>
        <v/>
      </c>
    </row>
    <row r="64" spans="19:25">
      <c r="S64" t="str">
        <f t="shared" si="0"/>
        <v/>
      </c>
      <c r="T64" t="str">
        <f t="shared" si="1"/>
        <v/>
      </c>
      <c r="U64" t="str">
        <f t="shared" si="2"/>
        <v/>
      </c>
      <c r="V64" t="str">
        <f>IF(OR(U64="",U64="ERRO_CHAVE"),"",IFERROR(MATCH(U64,Fornecedores!$AF$1:$AF$6631,0),""))</f>
        <v/>
      </c>
      <c r="W64" t="str">
        <f t="shared" si="3"/>
        <v/>
      </c>
      <c r="X64" s="4" t="str">
        <f>IF(V64="","",INDEX(Fornecedores!$X$1:$X$6631,V64))</f>
        <v/>
      </c>
      <c r="Y64" s="4" t="str">
        <f t="shared" si="4"/>
        <v/>
      </c>
    </row>
    <row r="65" spans="19:25">
      <c r="S65" t="str">
        <f t="shared" si="0"/>
        <v/>
      </c>
      <c r="T65" t="str">
        <f t="shared" si="1"/>
        <v/>
      </c>
      <c r="U65" t="str">
        <f t="shared" si="2"/>
        <v/>
      </c>
      <c r="V65" t="str">
        <f>IF(OR(U65="",U65="ERRO_CHAVE"),"",IFERROR(MATCH(U65,Fornecedores!$AF$1:$AF$6631,0),""))</f>
        <v/>
      </c>
      <c r="W65" t="str">
        <f t="shared" si="3"/>
        <v/>
      </c>
      <c r="X65" s="4" t="str">
        <f>IF(V65="","",INDEX(Fornecedores!$X$1:$X$6631,V65))</f>
        <v/>
      </c>
      <c r="Y65" s="4" t="str">
        <f t="shared" si="4"/>
        <v/>
      </c>
    </row>
    <row r="66" spans="19:25">
      <c r="S66" t="str">
        <f t="shared" si="0"/>
        <v/>
      </c>
      <c r="T66" t="str">
        <f t="shared" si="1"/>
        <v/>
      </c>
      <c r="U66" t="str">
        <f t="shared" si="2"/>
        <v/>
      </c>
      <c r="V66" t="str">
        <f>IF(OR(U66="",U66="ERRO_CHAVE"),"",IFERROR(MATCH(U66,Fornecedores!$AF$1:$AF$6631,0),""))</f>
        <v/>
      </c>
      <c r="W66" t="str">
        <f t="shared" si="3"/>
        <v/>
      </c>
      <c r="X66" s="4" t="str">
        <f>IF(V66="","",INDEX(Fornecedores!$X$1:$X$6631,V66))</f>
        <v/>
      </c>
      <c r="Y66" s="4" t="str">
        <f t="shared" si="4"/>
        <v/>
      </c>
    </row>
    <row r="67" spans="19:25">
      <c r="S67" t="str">
        <f t="shared" si="0"/>
        <v/>
      </c>
      <c r="T67" t="str">
        <f t="shared" si="1"/>
        <v/>
      </c>
      <c r="U67" t="str">
        <f t="shared" si="2"/>
        <v/>
      </c>
      <c r="V67" t="str">
        <f>IF(OR(U67="",U67="ERRO_CHAVE"),"",IFERROR(MATCH(U67,Fornecedores!$AF$1:$AF$6631,0),""))</f>
        <v/>
      </c>
      <c r="W67" t="str">
        <f t="shared" si="3"/>
        <v/>
      </c>
      <c r="X67" s="4" t="str">
        <f>IF(V67="","",INDEX(Fornecedores!$X$1:$X$6631,V67))</f>
        <v/>
      </c>
      <c r="Y67" s="4" t="str">
        <f t="shared" si="4"/>
        <v/>
      </c>
    </row>
    <row r="68" spans="19:25">
      <c r="S68" t="str">
        <f t="shared" si="0"/>
        <v/>
      </c>
      <c r="T68" t="str">
        <f t="shared" si="1"/>
        <v/>
      </c>
      <c r="U68" t="str">
        <f t="shared" si="2"/>
        <v/>
      </c>
      <c r="V68" t="str">
        <f>IF(OR(U68="",U68="ERRO_CHAVE"),"",IFERROR(MATCH(U68,Fornecedores!$AF$1:$AF$6631,0),""))</f>
        <v/>
      </c>
      <c r="W68" t="str">
        <f t="shared" si="3"/>
        <v/>
      </c>
      <c r="X68" s="4" t="str">
        <f>IF(V68="","",INDEX(Fornecedores!$X$1:$X$6631,V68))</f>
        <v/>
      </c>
      <c r="Y68" s="4" t="str">
        <f t="shared" si="4"/>
        <v/>
      </c>
    </row>
    <row r="69" spans="19:25">
      <c r="S69" t="str">
        <f t="shared" si="0"/>
        <v/>
      </c>
      <c r="T69" t="str">
        <f t="shared" si="1"/>
        <v/>
      </c>
      <c r="U69" t="str">
        <f t="shared" si="2"/>
        <v/>
      </c>
      <c r="V69" t="str">
        <f>IF(OR(U69="",U69="ERRO_CHAVE"),"",IFERROR(MATCH(U69,Fornecedores!$AF$1:$AF$6631,0),""))</f>
        <v/>
      </c>
      <c r="W69" t="str">
        <f t="shared" si="3"/>
        <v/>
      </c>
      <c r="X69" s="4" t="str">
        <f>IF(V69="","",INDEX(Fornecedores!$X$1:$X$6631,V69))</f>
        <v/>
      </c>
      <c r="Y69" s="4" t="str">
        <f t="shared" si="4"/>
        <v/>
      </c>
    </row>
    <row r="70" spans="19:25">
      <c r="S70" t="str">
        <f t="shared" si="0"/>
        <v/>
      </c>
      <c r="T70" t="str">
        <f t="shared" si="1"/>
        <v/>
      </c>
      <c r="U70" t="str">
        <f t="shared" si="2"/>
        <v/>
      </c>
      <c r="V70" t="str">
        <f>IF(OR(U70="",U70="ERRO_CHAVE"),"",IFERROR(MATCH(U70,Fornecedores!$AF$1:$AF$6631,0),""))</f>
        <v/>
      </c>
      <c r="W70" t="str">
        <f t="shared" si="3"/>
        <v/>
      </c>
      <c r="X70" s="4" t="str">
        <f>IF(V70="","",INDEX(Fornecedores!$X$1:$X$6631,V70))</f>
        <v/>
      </c>
      <c r="Y70" s="4" t="str">
        <f t="shared" si="4"/>
        <v/>
      </c>
    </row>
    <row r="71" spans="19:25">
      <c r="S71" t="str">
        <f t="shared" si="0"/>
        <v/>
      </c>
      <c r="T71" t="str">
        <f t="shared" si="1"/>
        <v/>
      </c>
      <c r="U71" t="str">
        <f t="shared" si="2"/>
        <v/>
      </c>
      <c r="V71" t="str">
        <f>IF(OR(U71="",U71="ERRO_CHAVE"),"",IFERROR(MATCH(U71,Fornecedores!$AF$1:$AF$6631,0),""))</f>
        <v/>
      </c>
      <c r="W71" t="str">
        <f t="shared" si="3"/>
        <v/>
      </c>
      <c r="X71" s="4" t="str">
        <f>IF(V71="","",INDEX(Fornecedores!$X$1:$X$6631,V71))</f>
        <v/>
      </c>
      <c r="Y71" s="4" t="str">
        <f t="shared" si="4"/>
        <v/>
      </c>
    </row>
    <row r="72" spans="19:25">
      <c r="S72" t="str">
        <f t="shared" si="0"/>
        <v/>
      </c>
      <c r="T72" t="str">
        <f t="shared" si="1"/>
        <v/>
      </c>
      <c r="U72" t="str">
        <f t="shared" si="2"/>
        <v/>
      </c>
      <c r="V72" t="str">
        <f>IF(OR(U72="",U72="ERRO_CHAVE"),"",IFERROR(MATCH(U72,Fornecedores!$AF$1:$AF$6631,0),""))</f>
        <v/>
      </c>
      <c r="W72" t="str">
        <f t="shared" si="3"/>
        <v/>
      </c>
      <c r="X72" s="4" t="str">
        <f>IF(V72="","",INDEX(Fornecedores!$X$1:$X$6631,V72))</f>
        <v/>
      </c>
      <c r="Y72" s="4" t="str">
        <f t="shared" si="4"/>
        <v/>
      </c>
    </row>
    <row r="73" spans="19:25">
      <c r="S73" t="str">
        <f t="shared" si="0"/>
        <v/>
      </c>
      <c r="T73" t="str">
        <f t="shared" si="1"/>
        <v/>
      </c>
      <c r="U73" t="str">
        <f t="shared" si="2"/>
        <v/>
      </c>
      <c r="V73" t="str">
        <f>IF(OR(U73="",U73="ERRO_CHAVE"),"",IFERROR(MATCH(U73,Fornecedores!$AF$1:$AF$6631,0),""))</f>
        <v/>
      </c>
      <c r="W73" t="str">
        <f t="shared" si="3"/>
        <v/>
      </c>
      <c r="X73" s="4" t="str">
        <f>IF(V73="","",INDEX(Fornecedores!$X$1:$X$6631,V73))</f>
        <v/>
      </c>
      <c r="Y73" s="4" t="str">
        <f t="shared" si="4"/>
        <v/>
      </c>
    </row>
    <row r="74" spans="19:25">
      <c r="S74" t="str">
        <f t="shared" si="0"/>
        <v/>
      </c>
      <c r="T74" t="str">
        <f t="shared" si="1"/>
        <v/>
      </c>
      <c r="U74" t="str">
        <f t="shared" si="2"/>
        <v/>
      </c>
      <c r="V74" t="str">
        <f>IF(OR(U74="",U74="ERRO_CHAVE"),"",IFERROR(MATCH(U74,Fornecedores!$AF$1:$AF$6631,0),""))</f>
        <v/>
      </c>
      <c r="W74" t="str">
        <f t="shared" si="3"/>
        <v/>
      </c>
      <c r="X74" s="4" t="str">
        <f>IF(V74="","",INDEX(Fornecedores!$X$1:$X$6631,V74))</f>
        <v/>
      </c>
      <c r="Y74" s="4" t="str">
        <f t="shared" si="4"/>
        <v/>
      </c>
    </row>
    <row r="75" spans="19:25">
      <c r="S75" t="str">
        <f t="shared" si="0"/>
        <v/>
      </c>
      <c r="T75" t="str">
        <f t="shared" si="1"/>
        <v/>
      </c>
      <c r="U75" t="str">
        <f t="shared" si="2"/>
        <v/>
      </c>
      <c r="V75" t="str">
        <f>IF(OR(U75="",U75="ERRO_CHAVE"),"",IFERROR(MATCH(U75,Fornecedores!$AF$1:$AF$6631,0),""))</f>
        <v/>
      </c>
      <c r="W75" t="str">
        <f t="shared" si="3"/>
        <v/>
      </c>
      <c r="X75" s="4" t="str">
        <f>IF(V75="","",INDEX(Fornecedores!$X$1:$X$6631,V75))</f>
        <v/>
      </c>
      <c r="Y75" s="4" t="str">
        <f t="shared" si="4"/>
        <v/>
      </c>
    </row>
    <row r="76" spans="19:25">
      <c r="S76" t="str">
        <f t="shared" si="0"/>
        <v/>
      </c>
      <c r="T76" t="str">
        <f t="shared" si="1"/>
        <v/>
      </c>
      <c r="U76" t="str">
        <f t="shared" si="2"/>
        <v/>
      </c>
      <c r="V76" t="str">
        <f>IF(OR(U76="",U76="ERRO_CHAVE"),"",IFERROR(MATCH(U76,Fornecedores!$AF$1:$AF$6631,0),""))</f>
        <v/>
      </c>
      <c r="W76" t="str">
        <f t="shared" si="3"/>
        <v/>
      </c>
      <c r="X76" s="4" t="str">
        <f>IF(V76="","",INDEX(Fornecedores!$X$1:$X$6631,V76))</f>
        <v/>
      </c>
      <c r="Y76" s="4" t="str">
        <f t="shared" si="4"/>
        <v/>
      </c>
    </row>
    <row r="77" spans="19:25">
      <c r="S77" t="str">
        <f t="shared" si="0"/>
        <v/>
      </c>
      <c r="T77" t="str">
        <f t="shared" si="1"/>
        <v/>
      </c>
      <c r="U77" t="str">
        <f t="shared" si="2"/>
        <v/>
      </c>
      <c r="V77" t="str">
        <f>IF(OR(U77="",U77="ERRO_CHAVE"),"",IFERROR(MATCH(U77,Fornecedores!$AF$1:$AF$6631,0),""))</f>
        <v/>
      </c>
      <c r="W77" t="str">
        <f t="shared" si="3"/>
        <v/>
      </c>
      <c r="X77" s="4" t="str">
        <f>IF(V77="","",INDEX(Fornecedores!$X$1:$X$6631,V77))</f>
        <v/>
      </c>
      <c r="Y77" s="4" t="str">
        <f t="shared" si="4"/>
        <v/>
      </c>
    </row>
    <row r="78" spans="19:25">
      <c r="S78" t="str">
        <f t="shared" si="0"/>
        <v/>
      </c>
      <c r="T78" t="str">
        <f t="shared" si="1"/>
        <v/>
      </c>
      <c r="U78" t="str">
        <f t="shared" si="2"/>
        <v/>
      </c>
      <c r="V78" t="str">
        <f>IF(OR(U78="",U78="ERRO_CHAVE"),"",IFERROR(MATCH(U78,Fornecedores!$AF$1:$AF$6631,0),""))</f>
        <v/>
      </c>
      <c r="W78" t="str">
        <f t="shared" si="3"/>
        <v/>
      </c>
      <c r="X78" s="4" t="str">
        <f>IF(V78="","",INDEX(Fornecedores!$X$1:$X$6631,V78))</f>
        <v/>
      </c>
      <c r="Y78" s="4" t="str">
        <f t="shared" si="4"/>
        <v/>
      </c>
    </row>
    <row r="79" spans="19:25">
      <c r="S79" t="str">
        <f t="shared" si="0"/>
        <v/>
      </c>
      <c r="T79" t="str">
        <f t="shared" si="1"/>
        <v/>
      </c>
      <c r="U79" t="str">
        <f t="shared" si="2"/>
        <v/>
      </c>
      <c r="V79" t="str">
        <f>IF(OR(U79="",U79="ERRO_CHAVE"),"",IFERROR(MATCH(U79,Fornecedores!$AF$1:$AF$6631,0),""))</f>
        <v/>
      </c>
      <c r="W79" t="str">
        <f t="shared" si="3"/>
        <v/>
      </c>
      <c r="X79" s="4" t="str">
        <f>IF(V79="","",INDEX(Fornecedores!$X$1:$X$6631,V79))</f>
        <v/>
      </c>
      <c r="Y79" s="4" t="str">
        <f t="shared" si="4"/>
        <v/>
      </c>
    </row>
    <row r="80" spans="19:25">
      <c r="S80" t="str">
        <f t="shared" si="0"/>
        <v/>
      </c>
      <c r="T80" t="str">
        <f t="shared" si="1"/>
        <v/>
      </c>
      <c r="U80" t="str">
        <f t="shared" si="2"/>
        <v/>
      </c>
      <c r="V80" t="str">
        <f>IF(OR(U80="",U80="ERRO_CHAVE"),"",IFERROR(MATCH(U80,Fornecedores!$AF$1:$AF$6631,0),""))</f>
        <v/>
      </c>
      <c r="W80" t="str">
        <f t="shared" si="3"/>
        <v/>
      </c>
      <c r="X80" s="4" t="str">
        <f>IF(V80="","",INDEX(Fornecedores!$X$1:$X$6631,V80))</f>
        <v/>
      </c>
      <c r="Y80" s="4" t="str">
        <f t="shared" si="4"/>
        <v/>
      </c>
    </row>
    <row r="81" spans="19:25">
      <c r="S81" t="str">
        <f t="shared" si="0"/>
        <v/>
      </c>
      <c r="T81" t="str">
        <f t="shared" si="1"/>
        <v/>
      </c>
      <c r="U81" t="str">
        <f t="shared" si="2"/>
        <v/>
      </c>
      <c r="V81" t="str">
        <f>IF(OR(U81="",U81="ERRO_CHAVE"),"",IFERROR(MATCH(U81,Fornecedores!$AF$1:$AF$6631,0),""))</f>
        <v/>
      </c>
      <c r="W81" t="str">
        <f t="shared" si="3"/>
        <v/>
      </c>
      <c r="X81" s="4" t="str">
        <f>IF(V81="","",INDEX(Fornecedores!$X$1:$X$6631,V81))</f>
        <v/>
      </c>
      <c r="Y81" s="4" t="str">
        <f t="shared" si="4"/>
        <v/>
      </c>
    </row>
    <row r="82" spans="19:25">
      <c r="S82" t="str">
        <f t="shared" si="0"/>
        <v/>
      </c>
      <c r="T82" t="str">
        <f t="shared" si="1"/>
        <v/>
      </c>
      <c r="U82" t="str">
        <f t="shared" si="2"/>
        <v/>
      </c>
      <c r="V82" t="str">
        <f>IF(OR(U82="",U82="ERRO_CHAVE"),"",IFERROR(MATCH(U82,Fornecedores!$AF$1:$AF$6631,0),""))</f>
        <v/>
      </c>
      <c r="W82" t="str">
        <f t="shared" si="3"/>
        <v/>
      </c>
      <c r="X82" s="4" t="str">
        <f>IF(V82="","",INDEX(Fornecedores!$X$1:$X$6631,V82))</f>
        <v/>
      </c>
      <c r="Y82" s="4" t="str">
        <f t="shared" si="4"/>
        <v/>
      </c>
    </row>
    <row r="83" spans="19:25">
      <c r="S83" t="str">
        <f t="shared" si="0"/>
        <v/>
      </c>
      <c r="T83" t="str">
        <f t="shared" si="1"/>
        <v/>
      </c>
      <c r="U83" t="str">
        <f t="shared" si="2"/>
        <v/>
      </c>
      <c r="V83" t="str">
        <f>IF(OR(U83="",U83="ERRO_CHAVE"),"",IFERROR(MATCH(U83,Fornecedores!$AF$1:$AF$6631,0),""))</f>
        <v/>
      </c>
      <c r="W83" t="str">
        <f t="shared" si="3"/>
        <v/>
      </c>
      <c r="X83" s="4" t="str">
        <f>IF(V83="","",INDEX(Fornecedores!$X$1:$X$6631,V83))</f>
        <v/>
      </c>
      <c r="Y83" s="4" t="str">
        <f t="shared" si="4"/>
        <v/>
      </c>
    </row>
    <row r="84" spans="19:25">
      <c r="S84" t="str">
        <f t="shared" si="0"/>
        <v/>
      </c>
      <c r="T84" t="str">
        <f t="shared" si="1"/>
        <v/>
      </c>
      <c r="U84" t="str">
        <f t="shared" si="2"/>
        <v/>
      </c>
      <c r="V84" t="str">
        <f>IF(OR(U84="",U84="ERRO_CHAVE"),"",IFERROR(MATCH(U84,Fornecedores!$AF$1:$AF$6631,0),""))</f>
        <v/>
      </c>
      <c r="W84" t="str">
        <f t="shared" si="3"/>
        <v/>
      </c>
      <c r="X84" s="4" t="str">
        <f>IF(V84="","",INDEX(Fornecedores!$X$1:$X$6631,V84))</f>
        <v/>
      </c>
      <c r="Y84" s="4" t="str">
        <f t="shared" si="4"/>
        <v/>
      </c>
    </row>
    <row r="85" spans="19:25">
      <c r="S85" t="str">
        <f t="shared" si="0"/>
        <v/>
      </c>
      <c r="T85" t="str">
        <f t="shared" si="1"/>
        <v/>
      </c>
      <c r="U85" t="str">
        <f t="shared" si="2"/>
        <v/>
      </c>
      <c r="V85" t="str">
        <f>IF(OR(U85="",U85="ERRO_CHAVE"),"",IFERROR(MATCH(U85,Fornecedores!$AF$1:$AF$6631,0),""))</f>
        <v/>
      </c>
      <c r="W85" t="str">
        <f t="shared" si="3"/>
        <v/>
      </c>
      <c r="X85" s="4" t="str">
        <f>IF(V85="","",INDEX(Fornecedores!$X$1:$X$6631,V85))</f>
        <v/>
      </c>
      <c r="Y85" s="4" t="str">
        <f t="shared" si="4"/>
        <v/>
      </c>
    </row>
    <row r="86" spans="19:25">
      <c r="S86" t="str">
        <f t="shared" si="0"/>
        <v/>
      </c>
      <c r="T86" t="str">
        <f t="shared" si="1"/>
        <v/>
      </c>
      <c r="U86" t="str">
        <f t="shared" si="2"/>
        <v/>
      </c>
      <c r="V86" t="str">
        <f>IF(OR(U86="",U86="ERRO_CHAVE"),"",IFERROR(MATCH(U86,Fornecedores!$AF$1:$AF$6631,0),""))</f>
        <v/>
      </c>
      <c r="W86" t="str">
        <f t="shared" si="3"/>
        <v/>
      </c>
      <c r="X86" s="4" t="str">
        <f>IF(V86="","",INDEX(Fornecedores!$X$1:$X$6631,V86))</f>
        <v/>
      </c>
      <c r="Y86" s="4" t="str">
        <f t="shared" si="4"/>
        <v/>
      </c>
    </row>
    <row r="87" spans="19:25">
      <c r="S87" t="str">
        <f t="shared" si="0"/>
        <v/>
      </c>
      <c r="T87" t="str">
        <f t="shared" si="1"/>
        <v/>
      </c>
      <c r="U87" t="str">
        <f t="shared" si="2"/>
        <v/>
      </c>
      <c r="V87" t="str">
        <f>IF(OR(U87="",U87="ERRO_CHAVE"),"",IFERROR(MATCH(U87,Fornecedores!$AF$1:$AF$6631,0),""))</f>
        <v/>
      </c>
      <c r="W87" t="str">
        <f t="shared" si="3"/>
        <v/>
      </c>
      <c r="X87" s="4" t="str">
        <f>IF(V87="","",INDEX(Fornecedores!$X$1:$X$6631,V87))</f>
        <v/>
      </c>
      <c r="Y87" s="4" t="str">
        <f t="shared" si="4"/>
        <v/>
      </c>
    </row>
    <row r="88" spans="19:25">
      <c r="S88" t="str">
        <f t="shared" si="0"/>
        <v/>
      </c>
      <c r="T88" t="str">
        <f t="shared" si="1"/>
        <v/>
      </c>
      <c r="U88" t="str">
        <f t="shared" si="2"/>
        <v/>
      </c>
      <c r="V88" t="str">
        <f>IF(OR(U88="",U88="ERRO_CHAVE"),"",IFERROR(MATCH(U88,Fornecedores!$AF$1:$AF$6631,0),""))</f>
        <v/>
      </c>
      <c r="W88" t="str">
        <f t="shared" si="3"/>
        <v/>
      </c>
      <c r="X88" s="4" t="str">
        <f>IF(V88="","",INDEX(Fornecedores!$X$1:$X$6631,V88))</f>
        <v/>
      </c>
      <c r="Y88" s="4" t="str">
        <f t="shared" si="4"/>
        <v/>
      </c>
    </row>
    <row r="89" spans="19:25">
      <c r="S89" t="str">
        <f t="shared" si="0"/>
        <v/>
      </c>
      <c r="T89" t="str">
        <f t="shared" si="1"/>
        <v/>
      </c>
      <c r="U89" t="str">
        <f t="shared" si="2"/>
        <v/>
      </c>
      <c r="V89" t="str">
        <f>IF(OR(U89="",U89="ERRO_CHAVE"),"",IFERROR(MATCH(U89,Fornecedores!$AF$1:$AF$6631,0),""))</f>
        <v/>
      </c>
      <c r="W89" t="str">
        <f t="shared" si="3"/>
        <v/>
      </c>
      <c r="X89" s="4" t="str">
        <f>IF(V89="","",INDEX(Fornecedores!$X$1:$X$6631,V89))</f>
        <v/>
      </c>
      <c r="Y89" s="4" t="str">
        <f t="shared" si="4"/>
        <v/>
      </c>
    </row>
    <row r="90" spans="19:25">
      <c r="S90" t="str">
        <f t="shared" si="0"/>
        <v/>
      </c>
      <c r="T90" t="str">
        <f t="shared" si="1"/>
        <v/>
      </c>
      <c r="U90" t="str">
        <f t="shared" si="2"/>
        <v/>
      </c>
      <c r="V90" t="str">
        <f>IF(OR(U90="",U90="ERRO_CHAVE"),"",IFERROR(MATCH(U90,Fornecedores!$AF$1:$AF$6631,0),""))</f>
        <v/>
      </c>
      <c r="W90" t="str">
        <f t="shared" si="3"/>
        <v/>
      </c>
      <c r="X90" s="4" t="str">
        <f>IF(V90="","",INDEX(Fornecedores!$X$1:$X$6631,V90))</f>
        <v/>
      </c>
      <c r="Y90" s="4" t="str">
        <f t="shared" si="4"/>
        <v/>
      </c>
    </row>
    <row r="91" spans="19:25">
      <c r="S91" t="str">
        <f t="shared" si="0"/>
        <v/>
      </c>
      <c r="T91" t="str">
        <f t="shared" si="1"/>
        <v/>
      </c>
      <c r="U91" t="str">
        <f t="shared" si="2"/>
        <v/>
      </c>
      <c r="V91" t="str">
        <f>IF(OR(U91="",U91="ERRO_CHAVE"),"",IFERROR(MATCH(U91,Fornecedores!$AF$1:$AF$6631,0),""))</f>
        <v/>
      </c>
      <c r="W91" t="str">
        <f t="shared" si="3"/>
        <v/>
      </c>
      <c r="X91" s="4" t="str">
        <f>IF(V91="","",INDEX(Fornecedores!$X$1:$X$6631,V91))</f>
        <v/>
      </c>
      <c r="Y91" s="4" t="str">
        <f t="shared" si="4"/>
        <v/>
      </c>
    </row>
    <row r="92" spans="19:25">
      <c r="S92" t="str">
        <f t="shared" si="0"/>
        <v/>
      </c>
      <c r="T92" t="str">
        <f t="shared" si="1"/>
        <v/>
      </c>
      <c r="U92" t="str">
        <f t="shared" si="2"/>
        <v/>
      </c>
      <c r="V92" t="str">
        <f>IF(OR(U92="",U92="ERRO_CHAVE"),"",IFERROR(MATCH(U92,Fornecedores!$AF$1:$AF$6631,0),""))</f>
        <v/>
      </c>
      <c r="W92" t="str">
        <f t="shared" si="3"/>
        <v/>
      </c>
      <c r="X92" s="4" t="str">
        <f>IF(V92="","",INDEX(Fornecedores!$X$1:$X$6631,V92))</f>
        <v/>
      </c>
      <c r="Y92" s="4" t="str">
        <f t="shared" si="4"/>
        <v/>
      </c>
    </row>
    <row r="93" spans="19:25">
      <c r="S93" t="str">
        <f t="shared" si="0"/>
        <v/>
      </c>
      <c r="T93" t="str">
        <f t="shared" si="1"/>
        <v/>
      </c>
      <c r="U93" t="str">
        <f t="shared" si="2"/>
        <v/>
      </c>
      <c r="V93" t="str">
        <f>IF(OR(U93="",U93="ERRO_CHAVE"),"",IFERROR(MATCH(U93,Fornecedores!$AF$1:$AF$6631,0),""))</f>
        <v/>
      </c>
      <c r="W93" t="str">
        <f t="shared" si="3"/>
        <v/>
      </c>
      <c r="X93" s="4" t="str">
        <f>IF(V93="","",INDEX(Fornecedores!$X$1:$X$6631,V93))</f>
        <v/>
      </c>
      <c r="Y93" s="4" t="str">
        <f t="shared" si="4"/>
        <v/>
      </c>
    </row>
    <row r="94" spans="19:25">
      <c r="S94" t="str">
        <f t="shared" si="0"/>
        <v/>
      </c>
      <c r="T94" t="str">
        <f t="shared" si="1"/>
        <v/>
      </c>
      <c r="U94" t="str">
        <f t="shared" si="2"/>
        <v/>
      </c>
      <c r="V94" t="str">
        <f>IF(OR(U94="",U94="ERRO_CHAVE"),"",IFERROR(MATCH(U94,Fornecedores!$AF$1:$AF$6631,0),""))</f>
        <v/>
      </c>
      <c r="W94" t="str">
        <f t="shared" si="3"/>
        <v/>
      </c>
      <c r="X94" s="4" t="str">
        <f>IF(V94="","",INDEX(Fornecedores!$X$1:$X$6631,V94))</f>
        <v/>
      </c>
      <c r="Y94" s="4" t="str">
        <f t="shared" si="4"/>
        <v/>
      </c>
    </row>
    <row r="95" spans="19:25">
      <c r="S95" t="str">
        <f t="shared" si="0"/>
        <v/>
      </c>
      <c r="T95" t="str">
        <f t="shared" si="1"/>
        <v/>
      </c>
      <c r="U95" t="str">
        <f t="shared" si="2"/>
        <v/>
      </c>
      <c r="V95" t="str">
        <f>IF(OR(U95="",U95="ERRO_CHAVE"),"",IFERROR(MATCH(U95,Fornecedores!$AF$1:$AF$6631,0),""))</f>
        <v/>
      </c>
      <c r="W95" t="str">
        <f t="shared" si="3"/>
        <v/>
      </c>
      <c r="X95" s="4" t="str">
        <f>IF(V95="","",INDEX(Fornecedores!$X$1:$X$6631,V95))</f>
        <v/>
      </c>
      <c r="Y95" s="4" t="str">
        <f t="shared" si="4"/>
        <v/>
      </c>
    </row>
    <row r="96" spans="19:25">
      <c r="S96" t="str">
        <f t="shared" si="0"/>
        <v/>
      </c>
      <c r="T96" t="str">
        <f t="shared" si="1"/>
        <v/>
      </c>
      <c r="U96" t="str">
        <f t="shared" si="2"/>
        <v/>
      </c>
      <c r="V96" t="str">
        <f>IF(OR(U96="",U96="ERRO_CHAVE"),"",IFERROR(MATCH(U96,Fornecedores!$AF$1:$AF$6631,0),""))</f>
        <v/>
      </c>
      <c r="W96" t="str">
        <f t="shared" si="3"/>
        <v/>
      </c>
      <c r="X96" s="4" t="str">
        <f>IF(V96="","",INDEX(Fornecedores!$X$1:$X$6631,V96))</f>
        <v/>
      </c>
      <c r="Y96" s="4" t="str">
        <f t="shared" si="4"/>
        <v/>
      </c>
    </row>
    <row r="97" spans="19:25">
      <c r="S97" t="str">
        <f t="shared" si="0"/>
        <v/>
      </c>
      <c r="T97" t="str">
        <f t="shared" si="1"/>
        <v/>
      </c>
      <c r="U97" t="str">
        <f t="shared" si="2"/>
        <v/>
      </c>
      <c r="V97" t="str">
        <f>IF(OR(U97="",U97="ERRO_CHAVE"),"",IFERROR(MATCH(U97,Fornecedores!$AF$1:$AF$6631,0),""))</f>
        <v/>
      </c>
      <c r="W97" t="str">
        <f t="shared" si="3"/>
        <v/>
      </c>
      <c r="X97" s="4" t="str">
        <f>IF(V97="","",INDEX(Fornecedores!$X$1:$X$6631,V97))</f>
        <v/>
      </c>
      <c r="Y97" s="4" t="str">
        <f t="shared" si="4"/>
        <v/>
      </c>
    </row>
    <row r="98" spans="19:25">
      <c r="S98" t="str">
        <f t="shared" si="0"/>
        <v/>
      </c>
      <c r="T98" t="str">
        <f t="shared" si="1"/>
        <v/>
      </c>
      <c r="U98" t="str">
        <f t="shared" si="2"/>
        <v/>
      </c>
      <c r="V98" t="str">
        <f>IF(OR(U98="",U98="ERRO_CHAVE"),"",IFERROR(MATCH(U98,Fornecedores!$AF$1:$AF$6631,0),""))</f>
        <v/>
      </c>
      <c r="W98" t="str">
        <f t="shared" si="3"/>
        <v/>
      </c>
      <c r="X98" s="4" t="str">
        <f>IF(V98="","",INDEX(Fornecedores!$X$1:$X$6631,V98))</f>
        <v/>
      </c>
      <c r="Y98" s="4" t="str">
        <f t="shared" si="4"/>
        <v/>
      </c>
    </row>
    <row r="99" spans="19:25">
      <c r="S99" t="str">
        <f t="shared" si="0"/>
        <v/>
      </c>
      <c r="T99" t="str">
        <f t="shared" si="1"/>
        <v/>
      </c>
      <c r="U99" t="str">
        <f t="shared" si="2"/>
        <v/>
      </c>
      <c r="V99" t="str">
        <f>IF(OR(U99="",U99="ERRO_CHAVE"),"",IFERROR(MATCH(U99,Fornecedores!$AF$1:$AF$6631,0),""))</f>
        <v/>
      </c>
      <c r="W99" t="str">
        <f t="shared" si="3"/>
        <v/>
      </c>
      <c r="X99" s="4" t="str">
        <f>IF(V99="","",INDEX(Fornecedores!$X$1:$X$6631,V99))</f>
        <v/>
      </c>
      <c r="Y99" s="4" t="str">
        <f t="shared" si="4"/>
        <v/>
      </c>
    </row>
    <row r="100" spans="19:25">
      <c r="S100" t="str">
        <f t="shared" si="0"/>
        <v/>
      </c>
      <c r="T100" t="str">
        <f t="shared" si="1"/>
        <v/>
      </c>
      <c r="U100" t="str">
        <f t="shared" si="2"/>
        <v/>
      </c>
      <c r="V100" t="str">
        <f>IF(OR(U100="",U100="ERRO_CHAVE"),"",IFERROR(MATCH(U100,Fornecedores!$AF$1:$AF$6631,0),""))</f>
        <v/>
      </c>
      <c r="W100" t="str">
        <f t="shared" si="3"/>
        <v/>
      </c>
      <c r="X100" s="4" t="str">
        <f>IF(V100="","",INDEX(Fornecedores!$X$1:$X$6631,V100))</f>
        <v/>
      </c>
      <c r="Y100" s="4" t="str">
        <f t="shared" si="4"/>
        <v/>
      </c>
    </row>
    <row r="101" spans="19:25">
      <c r="S101" t="str">
        <f t="shared" si="0"/>
        <v/>
      </c>
      <c r="T101" t="str">
        <f t="shared" si="1"/>
        <v/>
      </c>
      <c r="U101" t="str">
        <f t="shared" si="2"/>
        <v/>
      </c>
      <c r="V101" t="str">
        <f>IF(OR(U101="",U101="ERRO_CHAVE"),"",IFERROR(MATCH(U101,Fornecedores!$AF$1:$AF$6631,0),""))</f>
        <v/>
      </c>
      <c r="W101" t="str">
        <f t="shared" si="3"/>
        <v/>
      </c>
      <c r="X101" s="4" t="str">
        <f>IF(V101="","",INDEX(Fornecedores!$X$1:$X$6631,V101))</f>
        <v/>
      </c>
      <c r="Y101" s="4" t="str">
        <f t="shared" si="4"/>
        <v/>
      </c>
    </row>
    <row r="102" spans="19:25">
      <c r="S102" t="str">
        <f t="shared" si="0"/>
        <v/>
      </c>
      <c r="T102" t="str">
        <f t="shared" si="1"/>
        <v/>
      </c>
      <c r="U102" t="str">
        <f t="shared" si="2"/>
        <v/>
      </c>
      <c r="V102" t="str">
        <f>IF(OR(U102="",U102="ERRO_CHAVE"),"",IFERROR(MATCH(U102,Fornecedores!$AF$1:$AF$6631,0),""))</f>
        <v/>
      </c>
      <c r="W102" t="str">
        <f t="shared" si="3"/>
        <v/>
      </c>
      <c r="X102" s="4" t="str">
        <f>IF(V102="","",INDEX(Fornecedores!$X$1:$X$6631,V102))</f>
        <v/>
      </c>
      <c r="Y102" s="4" t="str">
        <f t="shared" si="4"/>
        <v/>
      </c>
    </row>
    <row r="103" spans="19:25">
      <c r="S103" t="str">
        <f t="shared" si="0"/>
        <v/>
      </c>
      <c r="T103" t="str">
        <f t="shared" si="1"/>
        <v/>
      </c>
      <c r="U103" t="str">
        <f t="shared" si="2"/>
        <v/>
      </c>
      <c r="V103" t="str">
        <f>IF(OR(U103="",U103="ERRO_CHAVE"),"",IFERROR(MATCH(U103,Fornecedores!$AF$1:$AF$6631,0),""))</f>
        <v/>
      </c>
      <c r="W103" t="str">
        <f t="shared" si="3"/>
        <v/>
      </c>
      <c r="X103" s="4" t="str">
        <f>IF(V103="","",INDEX(Fornecedores!$X$1:$X$6631,V103))</f>
        <v/>
      </c>
      <c r="Y103" s="4" t="str">
        <f t="shared" si="4"/>
        <v/>
      </c>
    </row>
    <row r="104" spans="19:25">
      <c r="S104" t="str">
        <f t="shared" si="0"/>
        <v/>
      </c>
      <c r="T104" t="str">
        <f t="shared" si="1"/>
        <v/>
      </c>
      <c r="U104" t="str">
        <f t="shared" si="2"/>
        <v/>
      </c>
      <c r="V104" t="str">
        <f>IF(OR(U104="",U104="ERRO_CHAVE"),"",IFERROR(MATCH(U104,Fornecedores!$AF$1:$AF$6631,0),""))</f>
        <v/>
      </c>
      <c r="W104" t="str">
        <f t="shared" si="3"/>
        <v/>
      </c>
      <c r="X104" s="4" t="str">
        <f>IF(V104="","",INDEX(Fornecedores!$X$1:$X$6631,V104))</f>
        <v/>
      </c>
      <c r="Y104" s="4" t="str">
        <f t="shared" si="4"/>
        <v/>
      </c>
    </row>
    <row r="105" spans="19:25">
      <c r="S105" t="str">
        <f t="shared" si="0"/>
        <v/>
      </c>
      <c r="T105" t="str">
        <f t="shared" si="1"/>
        <v/>
      </c>
      <c r="U105" t="str">
        <f t="shared" si="2"/>
        <v/>
      </c>
      <c r="V105" t="str">
        <f>IF(OR(U105="",U105="ERRO_CHAVE"),"",IFERROR(MATCH(U105,Fornecedores!$AF$1:$AF$6631,0),""))</f>
        <v/>
      </c>
      <c r="W105" t="str">
        <f t="shared" si="3"/>
        <v/>
      </c>
      <c r="X105" s="4" t="str">
        <f>IF(V105="","",INDEX(Fornecedores!$X$1:$X$6631,V105))</f>
        <v/>
      </c>
      <c r="Y105" s="4" t="str">
        <f t="shared" si="4"/>
        <v/>
      </c>
    </row>
    <row r="106" spans="19:25">
      <c r="S106" t="str">
        <f t="shared" si="0"/>
        <v/>
      </c>
      <c r="T106" t="str">
        <f t="shared" si="1"/>
        <v/>
      </c>
      <c r="U106" t="str">
        <f t="shared" si="2"/>
        <v/>
      </c>
      <c r="V106" t="str">
        <f>IF(OR(U106="",U106="ERRO_CHAVE"),"",IFERROR(MATCH(U106,Fornecedores!$AF$1:$AF$6631,0),""))</f>
        <v/>
      </c>
      <c r="W106" t="str">
        <f t="shared" si="3"/>
        <v/>
      </c>
      <c r="X106" s="4" t="str">
        <f>IF(V106="","",INDEX(Fornecedores!$X$1:$X$6631,V106))</f>
        <v/>
      </c>
      <c r="Y106" s="4" t="str">
        <f t="shared" si="4"/>
        <v/>
      </c>
    </row>
    <row r="107" spans="19:25">
      <c r="S107" t="str">
        <f t="shared" si="0"/>
        <v/>
      </c>
      <c r="T107" t="str">
        <f t="shared" si="1"/>
        <v/>
      </c>
      <c r="U107" t="str">
        <f t="shared" si="2"/>
        <v/>
      </c>
      <c r="V107" t="str">
        <f>IF(OR(U107="",U107="ERRO_CHAVE"),"",IFERROR(MATCH(U107,Fornecedores!$AF$1:$AF$6631,0),""))</f>
        <v/>
      </c>
      <c r="W107" t="str">
        <f t="shared" si="3"/>
        <v/>
      </c>
      <c r="X107" s="4" t="str">
        <f>IF(V107="","",INDEX(Fornecedores!$X$1:$X$6631,V107))</f>
        <v/>
      </c>
      <c r="Y107" s="4" t="str">
        <f t="shared" si="4"/>
        <v/>
      </c>
    </row>
    <row r="108" spans="19:25">
      <c r="S108" t="str">
        <f t="shared" si="0"/>
        <v/>
      </c>
      <c r="T108" t="str">
        <f t="shared" si="1"/>
        <v/>
      </c>
      <c r="U108" t="str">
        <f t="shared" si="2"/>
        <v/>
      </c>
      <c r="V108" t="str">
        <f>IF(OR(U108="",U108="ERRO_CHAVE"),"",IFERROR(MATCH(U108,Fornecedores!$AF$1:$AF$6631,0),""))</f>
        <v/>
      </c>
      <c r="W108" t="str">
        <f t="shared" si="3"/>
        <v/>
      </c>
      <c r="X108" s="4" t="str">
        <f>IF(V108="","",INDEX(Fornecedores!$X$1:$X$6631,V108))</f>
        <v/>
      </c>
      <c r="Y108" s="4" t="str">
        <f t="shared" si="4"/>
        <v/>
      </c>
    </row>
    <row r="109" spans="19:25">
      <c r="S109" t="str">
        <f t="shared" si="0"/>
        <v/>
      </c>
      <c r="T109" t="str">
        <f t="shared" si="1"/>
        <v/>
      </c>
      <c r="U109" t="str">
        <f t="shared" si="2"/>
        <v/>
      </c>
      <c r="V109" t="str">
        <f>IF(OR(U109="",U109="ERRO_CHAVE"),"",IFERROR(MATCH(U109,Fornecedores!$AF$1:$AF$6631,0),""))</f>
        <v/>
      </c>
      <c r="W109" t="str">
        <f t="shared" si="3"/>
        <v/>
      </c>
      <c r="X109" s="4" t="str">
        <f>IF(V109="","",INDEX(Fornecedores!$X$1:$X$6631,V109))</f>
        <v/>
      </c>
      <c r="Y109" s="4" t="str">
        <f t="shared" si="4"/>
        <v/>
      </c>
    </row>
    <row r="110" spans="19:25">
      <c r="S110" t="str">
        <f t="shared" si="0"/>
        <v/>
      </c>
      <c r="T110" t="str">
        <f t="shared" si="1"/>
        <v/>
      </c>
      <c r="U110" t="str">
        <f t="shared" si="2"/>
        <v/>
      </c>
      <c r="V110" t="str">
        <f>IF(OR(U110="",U110="ERRO_CHAVE"),"",IFERROR(MATCH(U110,Fornecedores!$AF$1:$AF$6631,0),""))</f>
        <v/>
      </c>
      <c r="W110" t="str">
        <f t="shared" si="3"/>
        <v/>
      </c>
      <c r="X110" s="4" t="str">
        <f>IF(V110="","",INDEX(Fornecedores!$X$1:$X$6631,V110))</f>
        <v/>
      </c>
      <c r="Y110" s="4" t="str">
        <f t="shared" si="4"/>
        <v/>
      </c>
    </row>
    <row r="111" spans="19:25">
      <c r="S111" t="str">
        <f t="shared" si="0"/>
        <v/>
      </c>
      <c r="T111" t="str">
        <f t="shared" si="1"/>
        <v/>
      </c>
      <c r="U111" t="str">
        <f t="shared" si="2"/>
        <v/>
      </c>
      <c r="V111" t="str">
        <f>IF(OR(U111="",U111="ERRO_CHAVE"),"",IFERROR(MATCH(U111,Fornecedores!$AF$1:$AF$6631,0),""))</f>
        <v/>
      </c>
      <c r="W111" t="str">
        <f t="shared" si="3"/>
        <v/>
      </c>
      <c r="X111" s="4" t="str">
        <f>IF(V111="","",INDEX(Fornecedores!$X$1:$X$6631,V111))</f>
        <v/>
      </c>
      <c r="Y111" s="4" t="str">
        <f t="shared" si="4"/>
        <v/>
      </c>
    </row>
    <row r="112" spans="19:25">
      <c r="S112" t="str">
        <f t="shared" si="0"/>
        <v/>
      </c>
      <c r="T112" t="str">
        <f t="shared" si="1"/>
        <v/>
      </c>
      <c r="U112" t="str">
        <f t="shared" si="2"/>
        <v/>
      </c>
      <c r="V112" t="str">
        <f>IF(OR(U112="",U112="ERRO_CHAVE"),"",IFERROR(MATCH(U112,Fornecedores!$AF$1:$AF$6631,0),""))</f>
        <v/>
      </c>
      <c r="W112" t="str">
        <f t="shared" si="3"/>
        <v/>
      </c>
      <c r="X112" s="4" t="str">
        <f>IF(V112="","",INDEX(Fornecedores!$X$1:$X$6631,V112))</f>
        <v/>
      </c>
      <c r="Y112" s="4" t="str">
        <f t="shared" si="4"/>
        <v/>
      </c>
    </row>
    <row r="113" spans="19:25">
      <c r="S113" t="str">
        <f t="shared" si="0"/>
        <v/>
      </c>
      <c r="T113" t="str">
        <f t="shared" si="1"/>
        <v/>
      </c>
      <c r="U113" t="str">
        <f t="shared" si="2"/>
        <v/>
      </c>
      <c r="V113" t="str">
        <f>IF(OR(U113="",U113="ERRO_CHAVE"),"",IFERROR(MATCH(U113,Fornecedores!$AF$1:$AF$6631,0),""))</f>
        <v/>
      </c>
      <c r="W113" t="str">
        <f t="shared" si="3"/>
        <v/>
      </c>
      <c r="X113" s="4" t="str">
        <f>IF(V113="","",INDEX(Fornecedores!$X$1:$X$6631,V113))</f>
        <v/>
      </c>
      <c r="Y113" s="4" t="str">
        <f t="shared" si="4"/>
        <v/>
      </c>
    </row>
    <row r="114" spans="19:25">
      <c r="S114" t="str">
        <f t="shared" si="0"/>
        <v/>
      </c>
      <c r="T114" t="str">
        <f t="shared" si="1"/>
        <v/>
      </c>
      <c r="U114" t="str">
        <f t="shared" si="2"/>
        <v/>
      </c>
      <c r="V114" t="str">
        <f>IF(OR(U114="",U114="ERRO_CHAVE"),"",IFERROR(MATCH(U114,Fornecedores!$AF$1:$AF$6631,0),""))</f>
        <v/>
      </c>
      <c r="W114" t="str">
        <f t="shared" si="3"/>
        <v/>
      </c>
      <c r="X114" s="4" t="str">
        <f>IF(V114="","",INDEX(Fornecedores!$X$1:$X$6631,V114))</f>
        <v/>
      </c>
      <c r="Y114" s="4" t="str">
        <f t="shared" si="4"/>
        <v/>
      </c>
    </row>
    <row r="115" spans="19:25">
      <c r="S115" t="str">
        <f t="shared" si="0"/>
        <v/>
      </c>
      <c r="T115" t="str">
        <f t="shared" si="1"/>
        <v/>
      </c>
      <c r="U115" t="str">
        <f t="shared" si="2"/>
        <v/>
      </c>
      <c r="V115" t="str">
        <f>IF(OR(U115="",U115="ERRO_CHAVE"),"",IFERROR(MATCH(U115,Fornecedores!$AF$1:$AF$6631,0),""))</f>
        <v/>
      </c>
      <c r="W115" t="str">
        <f t="shared" si="3"/>
        <v/>
      </c>
      <c r="X115" s="4" t="str">
        <f>IF(V115="","",INDEX(Fornecedores!$X$1:$X$6631,V115))</f>
        <v/>
      </c>
      <c r="Y115" s="4" t="str">
        <f t="shared" si="4"/>
        <v/>
      </c>
    </row>
    <row r="116" spans="19:25">
      <c r="S116" t="str">
        <f t="shared" si="0"/>
        <v/>
      </c>
      <c r="T116" t="str">
        <f t="shared" si="1"/>
        <v/>
      </c>
      <c r="U116" t="str">
        <f t="shared" si="2"/>
        <v/>
      </c>
      <c r="V116" t="str">
        <f>IF(OR(U116="",U116="ERRO_CHAVE"),"",IFERROR(MATCH(U116,Fornecedores!$AF$1:$AF$6631,0),""))</f>
        <v/>
      </c>
      <c r="W116" t="str">
        <f t="shared" si="3"/>
        <v/>
      </c>
      <c r="X116" s="4" t="str">
        <f>IF(V116="","",INDEX(Fornecedores!$X$1:$X$6631,V116))</f>
        <v/>
      </c>
      <c r="Y116" s="4" t="str">
        <f t="shared" si="4"/>
        <v/>
      </c>
    </row>
    <row r="117" spans="19:25">
      <c r="S117" t="str">
        <f t="shared" si="0"/>
        <v/>
      </c>
      <c r="T117" t="str">
        <f t="shared" si="1"/>
        <v/>
      </c>
      <c r="U117" t="str">
        <f t="shared" si="2"/>
        <v/>
      </c>
      <c r="V117" t="str">
        <f>IF(OR(U117="",U117="ERRO_CHAVE"),"",IFERROR(MATCH(U117,Fornecedores!$AF$1:$AF$6631,0),""))</f>
        <v/>
      </c>
      <c r="W117" t="str">
        <f t="shared" si="3"/>
        <v/>
      </c>
      <c r="X117" s="4" t="str">
        <f>IF(V117="","",INDEX(Fornecedores!$X$1:$X$6631,V117))</f>
        <v/>
      </c>
      <c r="Y117" s="4" t="str">
        <f t="shared" si="4"/>
        <v/>
      </c>
    </row>
    <row r="118" spans="19:25">
      <c r="S118" t="str">
        <f t="shared" si="0"/>
        <v/>
      </c>
      <c r="T118" t="str">
        <f t="shared" si="1"/>
        <v/>
      </c>
      <c r="U118" t="str">
        <f t="shared" si="2"/>
        <v/>
      </c>
      <c r="V118" t="str">
        <f>IF(OR(U118="",U118="ERRO_CHAVE"),"",IFERROR(MATCH(U118,Fornecedores!$AF$1:$AF$6631,0),""))</f>
        <v/>
      </c>
      <c r="W118" t="str">
        <f t="shared" si="3"/>
        <v/>
      </c>
      <c r="X118" s="4" t="str">
        <f>IF(V118="","",INDEX(Fornecedores!$X$1:$X$6631,V118))</f>
        <v/>
      </c>
      <c r="Y118" s="4" t="str">
        <f t="shared" si="4"/>
        <v/>
      </c>
    </row>
    <row r="119" spans="19:25">
      <c r="S119" t="str">
        <f t="shared" si="0"/>
        <v/>
      </c>
      <c r="T119" t="str">
        <f t="shared" si="1"/>
        <v/>
      </c>
      <c r="U119" t="str">
        <f t="shared" si="2"/>
        <v/>
      </c>
      <c r="V119" t="str">
        <f>IF(OR(U119="",U119="ERRO_CHAVE"),"",IFERROR(MATCH(U119,Fornecedores!$AF$1:$AF$6631,0),""))</f>
        <v/>
      </c>
      <c r="W119" t="str">
        <f t="shared" si="3"/>
        <v/>
      </c>
      <c r="X119" s="4" t="str">
        <f>IF(V119="","",INDEX(Fornecedores!$X$1:$X$6631,V119))</f>
        <v/>
      </c>
      <c r="Y119" s="4" t="str">
        <f t="shared" si="4"/>
        <v/>
      </c>
    </row>
    <row r="120" spans="19:25">
      <c r="S120" t="str">
        <f t="shared" si="0"/>
        <v/>
      </c>
      <c r="T120" t="str">
        <f t="shared" si="1"/>
        <v/>
      </c>
      <c r="U120" t="str">
        <f t="shared" si="2"/>
        <v/>
      </c>
      <c r="V120" t="str">
        <f>IF(OR(U120="",U120="ERRO_CHAVE"),"",IFERROR(MATCH(U120,Fornecedores!$AF$1:$AF$6631,0),""))</f>
        <v/>
      </c>
      <c r="W120" t="str">
        <f t="shared" si="3"/>
        <v/>
      </c>
      <c r="X120" s="4" t="str">
        <f>IF(V120="","",INDEX(Fornecedores!$X$1:$X$6631,V120))</f>
        <v/>
      </c>
      <c r="Y120" s="4" t="str">
        <f t="shared" si="4"/>
        <v/>
      </c>
    </row>
    <row r="121" spans="19:25">
      <c r="S121" t="str">
        <f t="shared" si="0"/>
        <v/>
      </c>
      <c r="T121" t="str">
        <f t="shared" si="1"/>
        <v/>
      </c>
      <c r="U121" t="str">
        <f t="shared" si="2"/>
        <v/>
      </c>
      <c r="V121" t="str">
        <f>IF(OR(U121="",U121="ERRO_CHAVE"),"",IFERROR(MATCH(U121,Fornecedores!$AF$1:$AF$6631,0),""))</f>
        <v/>
      </c>
      <c r="W121" t="str">
        <f t="shared" si="3"/>
        <v/>
      </c>
      <c r="X121" s="4" t="str">
        <f>IF(V121="","",INDEX(Fornecedores!$X$1:$X$6631,V121))</f>
        <v/>
      </c>
      <c r="Y121" s="4" t="str">
        <f t="shared" si="4"/>
        <v/>
      </c>
    </row>
    <row r="122" spans="19:25">
      <c r="S122" t="str">
        <f t="shared" si="0"/>
        <v/>
      </c>
      <c r="T122" t="str">
        <f t="shared" si="1"/>
        <v/>
      </c>
      <c r="U122" t="str">
        <f t="shared" si="2"/>
        <v/>
      </c>
      <c r="V122" t="str">
        <f>IF(OR(U122="",U122="ERRO_CHAVE"),"",IFERROR(MATCH(U122,Fornecedores!$AF$1:$AF$6631,0),""))</f>
        <v/>
      </c>
      <c r="W122" t="str">
        <f t="shared" si="3"/>
        <v/>
      </c>
      <c r="X122" s="4" t="str">
        <f>IF(V122="","",INDEX(Fornecedores!$X$1:$X$6631,V122))</f>
        <v/>
      </c>
      <c r="Y122" s="4" t="str">
        <f t="shared" si="4"/>
        <v/>
      </c>
    </row>
    <row r="123" spans="19:25">
      <c r="S123" t="str">
        <f t="shared" si="0"/>
        <v/>
      </c>
      <c r="T123" t="str">
        <f t="shared" si="1"/>
        <v/>
      </c>
      <c r="U123" t="str">
        <f t="shared" si="2"/>
        <v/>
      </c>
      <c r="V123" t="str">
        <f>IF(OR(U123="",U123="ERRO_CHAVE"),"",IFERROR(MATCH(U123,Fornecedores!$AF$1:$AF$6631,0),""))</f>
        <v/>
      </c>
      <c r="W123" t="str">
        <f t="shared" si="3"/>
        <v/>
      </c>
      <c r="X123" s="4" t="str">
        <f>IF(V123="","",INDEX(Fornecedores!$X$1:$X$6631,V123))</f>
        <v/>
      </c>
      <c r="Y123" s="4" t="str">
        <f t="shared" si="4"/>
        <v/>
      </c>
    </row>
    <row r="124" spans="19:25">
      <c r="S124" t="str">
        <f t="shared" si="0"/>
        <v/>
      </c>
      <c r="T124" t="str">
        <f t="shared" si="1"/>
        <v/>
      </c>
      <c r="U124" t="str">
        <f t="shared" si="2"/>
        <v/>
      </c>
      <c r="V124" t="str">
        <f>IF(OR(U124="",U124="ERRO_CHAVE"),"",IFERROR(MATCH(U124,Fornecedores!$AF$1:$AF$6631,0),""))</f>
        <v/>
      </c>
      <c r="W124" t="str">
        <f t="shared" si="3"/>
        <v/>
      </c>
      <c r="X124" s="4" t="str">
        <f>IF(V124="","",INDEX(Fornecedores!$X$1:$X$6631,V124))</f>
        <v/>
      </c>
      <c r="Y124" s="4" t="str">
        <f t="shared" si="4"/>
        <v/>
      </c>
    </row>
    <row r="125" spans="19:25">
      <c r="S125" t="str">
        <f t="shared" si="0"/>
        <v/>
      </c>
      <c r="T125" t="str">
        <f t="shared" si="1"/>
        <v/>
      </c>
      <c r="U125" t="str">
        <f t="shared" si="2"/>
        <v/>
      </c>
      <c r="V125" t="str">
        <f>IF(OR(U125="",U125="ERRO_CHAVE"),"",IFERROR(MATCH(U125,Fornecedores!$AF$1:$AF$6631,0),""))</f>
        <v/>
      </c>
      <c r="W125" t="str">
        <f t="shared" si="3"/>
        <v/>
      </c>
      <c r="X125" s="4" t="str">
        <f>IF(V125="","",INDEX(Fornecedores!$X$1:$X$6631,V125))</f>
        <v/>
      </c>
      <c r="Y125" s="4" t="str">
        <f t="shared" si="4"/>
        <v/>
      </c>
    </row>
    <row r="126" spans="19:25">
      <c r="S126" t="str">
        <f t="shared" si="0"/>
        <v/>
      </c>
      <c r="T126" t="str">
        <f t="shared" si="1"/>
        <v/>
      </c>
      <c r="U126" t="str">
        <f t="shared" si="2"/>
        <v/>
      </c>
      <c r="V126" t="str">
        <f>IF(OR(U126="",U126="ERRO_CHAVE"),"",IFERROR(MATCH(U126,Fornecedores!$AF$1:$AF$6631,0),""))</f>
        <v/>
      </c>
      <c r="W126" t="str">
        <f t="shared" si="3"/>
        <v/>
      </c>
      <c r="X126" s="4" t="str">
        <f>IF(V126="","",INDEX(Fornecedores!$X$1:$X$6631,V126))</f>
        <v/>
      </c>
      <c r="Y126" s="4" t="str">
        <f t="shared" si="4"/>
        <v/>
      </c>
    </row>
    <row r="127" spans="19:25">
      <c r="S127" t="str">
        <f t="shared" si="0"/>
        <v/>
      </c>
      <c r="T127" t="str">
        <f t="shared" si="1"/>
        <v/>
      </c>
      <c r="U127" t="str">
        <f t="shared" si="2"/>
        <v/>
      </c>
      <c r="V127" t="str">
        <f>IF(OR(U127="",U127="ERRO_CHAVE"),"",IFERROR(MATCH(U127,Fornecedores!$AF$1:$AF$6631,0),""))</f>
        <v/>
      </c>
      <c r="W127" t="str">
        <f t="shared" si="3"/>
        <v/>
      </c>
      <c r="X127" s="4" t="str">
        <f>IF(V127="","",INDEX(Fornecedores!$X$1:$X$6631,V127))</f>
        <v/>
      </c>
      <c r="Y127" s="4" t="str">
        <f t="shared" si="4"/>
        <v/>
      </c>
    </row>
    <row r="128" spans="19:25">
      <c r="S128" t="str">
        <f t="shared" si="0"/>
        <v/>
      </c>
      <c r="T128" t="str">
        <f t="shared" si="1"/>
        <v/>
      </c>
      <c r="U128" t="str">
        <f t="shared" si="2"/>
        <v/>
      </c>
      <c r="V128" t="str">
        <f>IF(OR(U128="",U128="ERRO_CHAVE"),"",IFERROR(MATCH(U128,Fornecedores!$AF$1:$AF$6631,0),""))</f>
        <v/>
      </c>
      <c r="W128" t="str">
        <f t="shared" si="3"/>
        <v/>
      </c>
      <c r="X128" s="4" t="str">
        <f>IF(V128="","",INDEX(Fornecedores!$X$1:$X$6631,V128))</f>
        <v/>
      </c>
      <c r="Y128" s="4" t="str">
        <f t="shared" si="4"/>
        <v/>
      </c>
    </row>
    <row r="129" spans="19:25">
      <c r="S129" t="str">
        <f t="shared" si="0"/>
        <v/>
      </c>
      <c r="T129" t="str">
        <f t="shared" si="1"/>
        <v/>
      </c>
      <c r="U129" t="str">
        <f t="shared" si="2"/>
        <v/>
      </c>
      <c r="V129" t="str">
        <f>IF(OR(U129="",U129="ERRO_CHAVE"),"",IFERROR(MATCH(U129,Fornecedores!$AF$1:$AF$6631,0),""))</f>
        <v/>
      </c>
      <c r="W129" t="str">
        <f t="shared" si="3"/>
        <v/>
      </c>
      <c r="X129" s="4" t="str">
        <f>IF(V129="","",INDEX(Fornecedores!$X$1:$X$6631,V129))</f>
        <v/>
      </c>
      <c r="Y129" s="4" t="str">
        <f t="shared" si="4"/>
        <v/>
      </c>
    </row>
    <row r="130" spans="19:25">
      <c r="S130" t="str">
        <f t="shared" si="0"/>
        <v/>
      </c>
      <c r="T130" t="str">
        <f t="shared" si="1"/>
        <v/>
      </c>
      <c r="U130" t="str">
        <f t="shared" si="2"/>
        <v/>
      </c>
      <c r="V130" t="str">
        <f>IF(OR(U130="",U130="ERRO_CHAVE"),"",IFERROR(MATCH(U130,Fornecedores!$AF$1:$AF$6631,0),""))</f>
        <v/>
      </c>
      <c r="W130" t="str">
        <f t="shared" si="3"/>
        <v/>
      </c>
      <c r="X130" s="4" t="str">
        <f>IF(V130="","",INDEX(Fornecedores!$X$1:$X$6631,V130))</f>
        <v/>
      </c>
      <c r="Y130" s="4" t="str">
        <f t="shared" si="4"/>
        <v/>
      </c>
    </row>
    <row r="131" spans="19:25">
      <c r="S131" t="str">
        <f t="shared" si="0"/>
        <v/>
      </c>
      <c r="T131" t="str">
        <f t="shared" si="1"/>
        <v/>
      </c>
      <c r="U131" t="str">
        <f t="shared" si="2"/>
        <v/>
      </c>
      <c r="V131" t="str">
        <f>IF(OR(U131="",U131="ERRO_CHAVE"),"",IFERROR(MATCH(U131,Fornecedores!$AF$1:$AF$6631,0),""))</f>
        <v/>
      </c>
      <c r="W131" t="str">
        <f t="shared" si="3"/>
        <v/>
      </c>
      <c r="X131" s="4" t="str">
        <f>IF(V131="","",INDEX(Fornecedores!$X$1:$X$6631,V131))</f>
        <v/>
      </c>
      <c r="Y131" s="4" t="str">
        <f t="shared" si="4"/>
        <v/>
      </c>
    </row>
    <row r="132" spans="19:25">
      <c r="S132" t="str">
        <f t="shared" si="0"/>
        <v/>
      </c>
      <c r="T132" t="str">
        <f t="shared" si="1"/>
        <v/>
      </c>
      <c r="U132" t="str">
        <f t="shared" si="2"/>
        <v/>
      </c>
      <c r="V132" t="str">
        <f>IF(OR(U132="",U132="ERRO_CHAVE"),"",IFERROR(MATCH(U132,Fornecedores!$AF$1:$AF$6631,0),""))</f>
        <v/>
      </c>
      <c r="W132" t="str">
        <f t="shared" si="3"/>
        <v/>
      </c>
      <c r="X132" s="4" t="str">
        <f>IF(V132="","",INDEX(Fornecedores!$X$1:$X$6631,V132))</f>
        <v/>
      </c>
      <c r="Y132" s="4" t="str">
        <f t="shared" si="4"/>
        <v/>
      </c>
    </row>
    <row r="133" spans="19:25">
      <c r="S133" t="str">
        <f t="shared" si="0"/>
        <v/>
      </c>
      <c r="T133" t="str">
        <f t="shared" si="1"/>
        <v/>
      </c>
      <c r="U133" t="str">
        <f t="shared" si="2"/>
        <v/>
      </c>
      <c r="V133" t="str">
        <f>IF(OR(U133="",U133="ERRO_CHAVE"),"",IFERROR(MATCH(U133,Fornecedores!$AF$1:$AF$6631,0),""))</f>
        <v/>
      </c>
      <c r="W133" t="str">
        <f t="shared" si="3"/>
        <v/>
      </c>
      <c r="X133" s="4" t="str">
        <f>IF(V133="","",INDEX(Fornecedores!$X$1:$X$6631,V133))</f>
        <v/>
      </c>
      <c r="Y133" s="4" t="str">
        <f t="shared" si="4"/>
        <v/>
      </c>
    </row>
    <row r="134" spans="19:25">
      <c r="S134" t="str">
        <f t="shared" si="0"/>
        <v/>
      </c>
      <c r="T134" t="str">
        <f t="shared" si="1"/>
        <v/>
      </c>
      <c r="U134" t="str">
        <f t="shared" si="2"/>
        <v/>
      </c>
      <c r="V134" t="str">
        <f>IF(OR(U134="",U134="ERRO_CHAVE"),"",IFERROR(MATCH(U134,Fornecedores!$AF$1:$AF$6631,0),""))</f>
        <v/>
      </c>
      <c r="W134" t="str">
        <f t="shared" si="3"/>
        <v/>
      </c>
      <c r="X134" s="4" t="str">
        <f>IF(V134="","",INDEX(Fornecedores!$X$1:$X$6631,V134))</f>
        <v/>
      </c>
      <c r="Y134" s="4" t="str">
        <f t="shared" si="4"/>
        <v/>
      </c>
    </row>
    <row r="135" spans="19:25">
      <c r="S135" t="str">
        <f t="shared" si="0"/>
        <v/>
      </c>
      <c r="T135" t="str">
        <f t="shared" si="1"/>
        <v/>
      </c>
      <c r="U135" t="str">
        <f t="shared" si="2"/>
        <v/>
      </c>
      <c r="V135" t="str">
        <f>IF(OR(U135="",U135="ERRO_CHAVE"),"",IFERROR(MATCH(U135,Fornecedores!$AF$1:$AF$6631,0),""))</f>
        <v/>
      </c>
      <c r="W135" t="str">
        <f t="shared" si="3"/>
        <v/>
      </c>
      <c r="X135" s="4" t="str">
        <f>IF(V135="","",INDEX(Fornecedores!$X$1:$X$6631,V135))</f>
        <v/>
      </c>
      <c r="Y135" s="4" t="str">
        <f t="shared" si="4"/>
        <v/>
      </c>
    </row>
    <row r="136" spans="19:25">
      <c r="S136" t="str">
        <f t="shared" si="0"/>
        <v/>
      </c>
      <c r="T136" t="str">
        <f t="shared" si="1"/>
        <v/>
      </c>
      <c r="U136" t="str">
        <f t="shared" si="2"/>
        <v/>
      </c>
      <c r="V136" t="str">
        <f>IF(OR(U136="",U136="ERRO_CHAVE"),"",IFERROR(MATCH(U136,Fornecedores!$AF$1:$AF$6631,0),""))</f>
        <v/>
      </c>
      <c r="W136" t="str">
        <f t="shared" si="3"/>
        <v/>
      </c>
      <c r="X136" s="4" t="str">
        <f>IF(V136="","",INDEX(Fornecedores!$X$1:$X$6631,V136))</f>
        <v/>
      </c>
      <c r="Y136" s="4" t="str">
        <f t="shared" si="4"/>
        <v/>
      </c>
    </row>
    <row r="137" spans="19:25">
      <c r="S137" t="str">
        <f t="shared" si="0"/>
        <v/>
      </c>
      <c r="T137" t="str">
        <f t="shared" si="1"/>
        <v/>
      </c>
      <c r="U137" t="str">
        <f t="shared" si="2"/>
        <v/>
      </c>
      <c r="V137" t="str">
        <f>IF(OR(U137="",U137="ERRO_CHAVE"),"",IFERROR(MATCH(U137,Fornecedores!$AF$1:$AF$6631,0),""))</f>
        <v/>
      </c>
      <c r="W137" t="str">
        <f t="shared" si="3"/>
        <v/>
      </c>
      <c r="X137" s="4" t="str">
        <f>IF(V137="","",INDEX(Fornecedores!$X$1:$X$6631,V137))</f>
        <v/>
      </c>
      <c r="Y137" s="4" t="str">
        <f t="shared" si="4"/>
        <v/>
      </c>
    </row>
    <row r="138" spans="19:25">
      <c r="S138" t="str">
        <f t="shared" si="0"/>
        <v/>
      </c>
      <c r="T138" t="str">
        <f t="shared" si="1"/>
        <v/>
      </c>
      <c r="U138" t="str">
        <f t="shared" si="2"/>
        <v/>
      </c>
      <c r="V138" t="str">
        <f>IF(OR(U138="",U138="ERRO_CHAVE"),"",IFERROR(MATCH(U138,Fornecedores!$AF$1:$AF$6631,0),""))</f>
        <v/>
      </c>
      <c r="W138" t="str">
        <f t="shared" si="3"/>
        <v/>
      </c>
      <c r="X138" s="4" t="str">
        <f>IF(V138="","",INDEX(Fornecedores!$X$1:$X$6631,V138))</f>
        <v/>
      </c>
      <c r="Y138" s="4" t="str">
        <f t="shared" si="4"/>
        <v/>
      </c>
    </row>
    <row r="139" spans="19:25">
      <c r="S139" t="str">
        <f t="shared" si="0"/>
        <v/>
      </c>
      <c r="T139" t="str">
        <f t="shared" si="1"/>
        <v/>
      </c>
      <c r="U139" t="str">
        <f t="shared" si="2"/>
        <v/>
      </c>
      <c r="V139" t="str">
        <f>IF(OR(U139="",U139="ERRO_CHAVE"),"",IFERROR(MATCH(U139,Fornecedores!$AF$1:$AF$6631,0),""))</f>
        <v/>
      </c>
      <c r="W139" t="str">
        <f t="shared" si="3"/>
        <v/>
      </c>
      <c r="X139" s="4" t="str">
        <f>IF(V139="","",INDEX(Fornecedores!$X$1:$X$6631,V139))</f>
        <v/>
      </c>
      <c r="Y139" s="4" t="str">
        <f t="shared" si="4"/>
        <v/>
      </c>
    </row>
    <row r="140" spans="19:25">
      <c r="S140" t="str">
        <f t="shared" si="0"/>
        <v/>
      </c>
      <c r="T140" t="str">
        <f t="shared" si="1"/>
        <v/>
      </c>
      <c r="U140" t="str">
        <f t="shared" si="2"/>
        <v/>
      </c>
      <c r="V140" t="str">
        <f>IF(OR(U140="",U140="ERRO_CHAVE"),"",IFERROR(MATCH(U140,Fornecedores!$AF$1:$AF$6631,0),""))</f>
        <v/>
      </c>
      <c r="W140" t="str">
        <f t="shared" si="3"/>
        <v/>
      </c>
      <c r="X140" s="4" t="str">
        <f>IF(V140="","",INDEX(Fornecedores!$X$1:$X$6631,V140))</f>
        <v/>
      </c>
      <c r="Y140" s="4" t="str">
        <f t="shared" si="4"/>
        <v/>
      </c>
    </row>
    <row r="141" spans="19:25">
      <c r="S141" t="str">
        <f t="shared" si="0"/>
        <v/>
      </c>
      <c r="T141" t="str">
        <f t="shared" si="1"/>
        <v/>
      </c>
      <c r="U141" t="str">
        <f t="shared" si="2"/>
        <v/>
      </c>
      <c r="V141" t="str">
        <f>IF(OR(U141="",U141="ERRO_CHAVE"),"",IFERROR(MATCH(U141,Fornecedores!$AF$1:$AF$6631,0),""))</f>
        <v/>
      </c>
      <c r="W141" t="str">
        <f t="shared" si="3"/>
        <v/>
      </c>
      <c r="X141" s="4" t="str">
        <f>IF(V141="","",INDEX(Fornecedores!$X$1:$X$6631,V141))</f>
        <v/>
      </c>
      <c r="Y141" s="4" t="str">
        <f t="shared" si="4"/>
        <v/>
      </c>
    </row>
    <row r="142" spans="19:25">
      <c r="S142" t="str">
        <f t="shared" si="0"/>
        <v/>
      </c>
      <c r="T142" t="str">
        <f t="shared" si="1"/>
        <v/>
      </c>
      <c r="U142" t="str">
        <f t="shared" si="2"/>
        <v/>
      </c>
      <c r="V142" t="str">
        <f>IF(OR(U142="",U142="ERRO_CHAVE"),"",IFERROR(MATCH(U142,Fornecedores!$AF$1:$AF$6631,0),""))</f>
        <v/>
      </c>
      <c r="W142" t="str">
        <f t="shared" si="3"/>
        <v/>
      </c>
      <c r="X142" s="4" t="str">
        <f>IF(V142="","",INDEX(Fornecedores!$X$1:$X$6631,V142))</f>
        <v/>
      </c>
      <c r="Y142" s="4" t="str">
        <f t="shared" si="4"/>
        <v/>
      </c>
    </row>
    <row r="143" spans="19:25">
      <c r="S143" t="str">
        <f t="shared" si="0"/>
        <v/>
      </c>
      <c r="T143" t="str">
        <f t="shared" si="1"/>
        <v/>
      </c>
      <c r="U143" t="str">
        <f t="shared" si="2"/>
        <v/>
      </c>
      <c r="V143" t="str">
        <f>IF(OR(U143="",U143="ERRO_CHAVE"),"",IFERROR(MATCH(U143,Fornecedores!$AF$1:$AF$6631,0),""))</f>
        <v/>
      </c>
      <c r="W143" t="str">
        <f t="shared" si="3"/>
        <v/>
      </c>
      <c r="X143" s="4" t="str">
        <f>IF(V143="","",INDEX(Fornecedores!$X$1:$X$6631,V143))</f>
        <v/>
      </c>
      <c r="Y143" s="4" t="str">
        <f t="shared" si="4"/>
        <v/>
      </c>
    </row>
    <row r="144" spans="19:25">
      <c r="S144" t="str">
        <f t="shared" si="0"/>
        <v/>
      </c>
      <c r="T144" t="str">
        <f t="shared" si="1"/>
        <v/>
      </c>
      <c r="U144" t="str">
        <f t="shared" si="2"/>
        <v/>
      </c>
      <c r="V144" t="str">
        <f>IF(OR(U144="",U144="ERRO_CHAVE"),"",IFERROR(MATCH(U144,Fornecedores!$AF$1:$AF$6631,0),""))</f>
        <v/>
      </c>
      <c r="W144" t="str">
        <f t="shared" si="3"/>
        <v/>
      </c>
      <c r="X144" s="4" t="str">
        <f>IF(V144="","",INDEX(Fornecedores!$X$1:$X$6631,V144))</f>
        <v/>
      </c>
      <c r="Y144" s="4" t="str">
        <f t="shared" si="4"/>
        <v/>
      </c>
    </row>
    <row r="145" spans="19:25">
      <c r="S145" t="str">
        <f t="shared" si="0"/>
        <v/>
      </c>
      <c r="T145" t="str">
        <f t="shared" si="1"/>
        <v/>
      </c>
      <c r="U145" t="str">
        <f t="shared" si="2"/>
        <v/>
      </c>
      <c r="V145" t="str">
        <f>IF(OR(U145="",U145="ERRO_CHAVE"),"",IFERROR(MATCH(U145,Fornecedores!$AF$1:$AF$6631,0),""))</f>
        <v/>
      </c>
      <c r="W145" t="str">
        <f t="shared" si="3"/>
        <v/>
      </c>
      <c r="X145" s="4" t="str">
        <f>IF(V145="","",INDEX(Fornecedores!$X$1:$X$6631,V145))</f>
        <v/>
      </c>
      <c r="Y145" s="4" t="str">
        <f t="shared" si="4"/>
        <v/>
      </c>
    </row>
    <row r="146" spans="19:25">
      <c r="S146" t="str">
        <f t="shared" si="0"/>
        <v/>
      </c>
      <c r="T146" t="str">
        <f t="shared" si="1"/>
        <v/>
      </c>
      <c r="U146" t="str">
        <f t="shared" si="2"/>
        <v/>
      </c>
      <c r="V146" t="str">
        <f>IF(OR(U146="",U146="ERRO_CHAVE"),"",IFERROR(MATCH(U146,Fornecedores!$AF$1:$AF$6631,0),""))</f>
        <v/>
      </c>
      <c r="W146" t="str">
        <f t="shared" si="3"/>
        <v/>
      </c>
      <c r="X146" s="4" t="str">
        <f>IF(V146="","",INDEX(Fornecedores!$X$1:$X$6631,V146))</f>
        <v/>
      </c>
      <c r="Y146" s="4" t="str">
        <f t="shared" si="4"/>
        <v/>
      </c>
    </row>
    <row r="147" spans="19:25">
      <c r="S147" t="str">
        <f t="shared" si="0"/>
        <v/>
      </c>
      <c r="T147" t="str">
        <f t="shared" si="1"/>
        <v/>
      </c>
      <c r="U147" t="str">
        <f t="shared" si="2"/>
        <v/>
      </c>
      <c r="V147" t="str">
        <f>IF(OR(U147="",U147="ERRO_CHAVE"),"",IFERROR(MATCH(U147,Fornecedores!$AF$1:$AF$6631,0),""))</f>
        <v/>
      </c>
      <c r="W147" t="str">
        <f t="shared" si="3"/>
        <v/>
      </c>
      <c r="X147" s="4" t="str">
        <f>IF(V147="","",INDEX(Fornecedores!$X$1:$X$6631,V147))</f>
        <v/>
      </c>
      <c r="Y147" s="4" t="str">
        <f t="shared" si="4"/>
        <v/>
      </c>
    </row>
    <row r="148" spans="19:25">
      <c r="S148" t="str">
        <f t="shared" si="0"/>
        <v/>
      </c>
      <c r="T148" t="str">
        <f t="shared" si="1"/>
        <v/>
      </c>
      <c r="U148" t="str">
        <f t="shared" si="2"/>
        <v/>
      </c>
      <c r="V148" t="str">
        <f>IF(OR(U148="",U148="ERRO_CHAVE"),"",IFERROR(MATCH(U148,Fornecedores!$AF$1:$AF$6631,0),""))</f>
        <v/>
      </c>
      <c r="W148" t="str">
        <f t="shared" si="3"/>
        <v/>
      </c>
      <c r="X148" s="4" t="str">
        <f>IF(V148="","",INDEX(Fornecedores!$X$1:$X$6631,V148))</f>
        <v/>
      </c>
      <c r="Y148" s="4" t="str">
        <f t="shared" si="4"/>
        <v/>
      </c>
    </row>
    <row r="149" spans="19:25">
      <c r="S149" t="str">
        <f t="shared" si="0"/>
        <v/>
      </c>
      <c r="T149" t="str">
        <f t="shared" si="1"/>
        <v/>
      </c>
      <c r="U149" t="str">
        <f t="shared" si="2"/>
        <v/>
      </c>
      <c r="V149" t="str">
        <f>IF(OR(U149="",U149="ERRO_CHAVE"),"",IFERROR(MATCH(U149,Fornecedores!$AF$1:$AF$6631,0),""))</f>
        <v/>
      </c>
      <c r="W149" t="str">
        <f t="shared" si="3"/>
        <v/>
      </c>
      <c r="X149" s="4" t="str">
        <f>IF(V149="","",INDEX(Fornecedores!$X$1:$X$6631,V149))</f>
        <v/>
      </c>
      <c r="Y149" s="4" t="str">
        <f t="shared" si="4"/>
        <v/>
      </c>
    </row>
    <row r="150" spans="19:25">
      <c r="S150" t="str">
        <f t="shared" si="0"/>
        <v/>
      </c>
      <c r="T150" t="str">
        <f t="shared" si="1"/>
        <v/>
      </c>
      <c r="U150" t="str">
        <f t="shared" si="2"/>
        <v/>
      </c>
      <c r="V150" t="str">
        <f>IF(OR(U150="",U150="ERRO_CHAVE"),"",IFERROR(MATCH(U150,Fornecedores!$AF$1:$AF$6631,0),""))</f>
        <v/>
      </c>
      <c r="W150" t="str">
        <f t="shared" si="3"/>
        <v/>
      </c>
      <c r="X150" s="4" t="str">
        <f>IF(V150="","",INDEX(Fornecedores!$X$1:$X$6631,V150))</f>
        <v/>
      </c>
      <c r="Y150" s="4" t="str">
        <f t="shared" si="4"/>
        <v/>
      </c>
    </row>
    <row r="151" spans="19:25">
      <c r="S151" t="str">
        <f t="shared" si="0"/>
        <v/>
      </c>
      <c r="T151" t="str">
        <f t="shared" si="1"/>
        <v/>
      </c>
      <c r="U151" t="str">
        <f t="shared" si="2"/>
        <v/>
      </c>
      <c r="V151" t="str">
        <f>IF(OR(U151="",U151="ERRO_CHAVE"),"",IFERROR(MATCH(U151,Fornecedores!$AF$1:$AF$6631,0),""))</f>
        <v/>
      </c>
      <c r="W151" t="str">
        <f t="shared" si="3"/>
        <v/>
      </c>
      <c r="X151" s="4" t="str">
        <f>IF(V151="","",INDEX(Fornecedores!$X$1:$X$6631,V151))</f>
        <v/>
      </c>
      <c r="Y151" s="4" t="str">
        <f t="shared" si="4"/>
        <v/>
      </c>
    </row>
    <row r="152" spans="19:25">
      <c r="S152" t="str">
        <f t="shared" si="0"/>
        <v/>
      </c>
      <c r="T152" t="str">
        <f t="shared" si="1"/>
        <v/>
      </c>
      <c r="U152" t="str">
        <f t="shared" si="2"/>
        <v/>
      </c>
      <c r="V152" t="str">
        <f>IF(OR(U152="",U152="ERRO_CHAVE"),"",IFERROR(MATCH(U152,Fornecedores!$AF$1:$AF$6631,0),""))</f>
        <v/>
      </c>
      <c r="W152" t="str">
        <f t="shared" si="3"/>
        <v/>
      </c>
      <c r="X152" s="4" t="str">
        <f>IF(V152="","",INDEX(Fornecedores!$X$1:$X$6631,V152))</f>
        <v/>
      </c>
      <c r="Y152" s="4" t="str">
        <f t="shared" si="4"/>
        <v/>
      </c>
    </row>
    <row r="153" spans="19:25">
      <c r="S153" t="str">
        <f t="shared" si="0"/>
        <v/>
      </c>
      <c r="T153" t="str">
        <f t="shared" si="1"/>
        <v/>
      </c>
      <c r="U153" t="str">
        <f t="shared" si="2"/>
        <v/>
      </c>
      <c r="V153" t="str">
        <f>IF(OR(U153="",U153="ERRO_CHAVE"),"",IFERROR(MATCH(U153,Fornecedores!$AF$1:$AF$6631,0),""))</f>
        <v/>
      </c>
      <c r="W153" t="str">
        <f t="shared" si="3"/>
        <v/>
      </c>
      <c r="X153" s="4" t="str">
        <f>IF(V153="","",INDEX(Fornecedores!$X$1:$X$6631,V153))</f>
        <v/>
      </c>
      <c r="Y153" s="4" t="str">
        <f t="shared" si="4"/>
        <v/>
      </c>
    </row>
    <row r="154" spans="19:25">
      <c r="S154" t="str">
        <f t="shared" si="0"/>
        <v/>
      </c>
      <c r="T154" t="str">
        <f t="shared" si="1"/>
        <v/>
      </c>
      <c r="U154" t="str">
        <f t="shared" si="2"/>
        <v/>
      </c>
      <c r="V154" t="str">
        <f>IF(OR(U154="",U154="ERRO_CHAVE"),"",IFERROR(MATCH(U154,Fornecedores!$AF$1:$AF$6631,0),""))</f>
        <v/>
      </c>
      <c r="W154" t="str">
        <f t="shared" si="3"/>
        <v/>
      </c>
      <c r="X154" s="4" t="str">
        <f>IF(V154="","",INDEX(Fornecedores!$X$1:$X$6631,V154))</f>
        <v/>
      </c>
      <c r="Y154" s="4" t="str">
        <f t="shared" si="4"/>
        <v/>
      </c>
    </row>
    <row r="155" spans="19:25">
      <c r="S155" t="str">
        <f t="shared" si="0"/>
        <v/>
      </c>
      <c r="T155" t="str">
        <f t="shared" si="1"/>
        <v/>
      </c>
      <c r="U155" t="str">
        <f t="shared" si="2"/>
        <v/>
      </c>
      <c r="V155" t="str">
        <f>IF(OR(U155="",U155="ERRO_CHAVE"),"",IFERROR(MATCH(U155,Fornecedores!$AF$1:$AF$6631,0),""))</f>
        <v/>
      </c>
      <c r="W155" t="str">
        <f t="shared" si="3"/>
        <v/>
      </c>
      <c r="X155" s="4" t="str">
        <f>IF(V155="","",INDEX(Fornecedores!$X$1:$X$6631,V155))</f>
        <v/>
      </c>
      <c r="Y155" s="4" t="str">
        <f t="shared" si="4"/>
        <v/>
      </c>
    </row>
    <row r="156" spans="19:25">
      <c r="S156" t="str">
        <f t="shared" si="0"/>
        <v/>
      </c>
      <c r="T156" t="str">
        <f t="shared" si="1"/>
        <v/>
      </c>
      <c r="U156" t="str">
        <f t="shared" si="2"/>
        <v/>
      </c>
      <c r="V156" t="str">
        <f>IF(OR(U156="",U156="ERRO_CHAVE"),"",IFERROR(MATCH(U156,Fornecedores!$AF$1:$AF$6631,0),""))</f>
        <v/>
      </c>
      <c r="W156" t="str">
        <f t="shared" si="3"/>
        <v/>
      </c>
      <c r="X156" s="4" t="str">
        <f>IF(V156="","",INDEX(Fornecedores!$X$1:$X$6631,V156))</f>
        <v/>
      </c>
      <c r="Y156" s="4" t="str">
        <f t="shared" si="4"/>
        <v/>
      </c>
    </row>
    <row r="157" spans="19:25">
      <c r="S157" t="str">
        <f t="shared" si="0"/>
        <v/>
      </c>
      <c r="T157" t="str">
        <f t="shared" si="1"/>
        <v/>
      </c>
      <c r="U157" t="str">
        <f t="shared" si="2"/>
        <v/>
      </c>
      <c r="V157" t="str">
        <f>IF(OR(U157="",U157="ERRO_CHAVE"),"",IFERROR(MATCH(U157,Fornecedores!$AF$1:$AF$6631,0),""))</f>
        <v/>
      </c>
      <c r="W157" t="str">
        <f t="shared" si="3"/>
        <v/>
      </c>
      <c r="X157" s="4" t="str">
        <f>IF(V157="","",INDEX(Fornecedores!$X$1:$X$6631,V157))</f>
        <v/>
      </c>
      <c r="Y157" s="4" t="str">
        <f t="shared" si="4"/>
        <v/>
      </c>
    </row>
    <row r="158" spans="19:25">
      <c r="S158" t="str">
        <f t="shared" si="0"/>
        <v/>
      </c>
      <c r="T158" t="str">
        <f t="shared" si="1"/>
        <v/>
      </c>
      <c r="U158" t="str">
        <f t="shared" si="2"/>
        <v/>
      </c>
      <c r="V158" t="str">
        <f>IF(OR(U158="",U158="ERRO_CHAVE"),"",IFERROR(MATCH(U158,Fornecedores!$AF$1:$AF$6631,0),""))</f>
        <v/>
      </c>
      <c r="W158" t="str">
        <f t="shared" si="3"/>
        <v/>
      </c>
      <c r="X158" s="4" t="str">
        <f>IF(V158="","",INDEX(Fornecedores!$X$1:$X$6631,V158))</f>
        <v/>
      </c>
      <c r="Y158" s="4" t="str">
        <f t="shared" si="4"/>
        <v/>
      </c>
    </row>
    <row r="159" spans="19:25">
      <c r="S159" t="str">
        <f t="shared" si="0"/>
        <v/>
      </c>
      <c r="T159" t="str">
        <f t="shared" si="1"/>
        <v/>
      </c>
      <c r="U159" t="str">
        <f t="shared" si="2"/>
        <v/>
      </c>
      <c r="V159" t="str">
        <f>IF(OR(U159="",U159="ERRO_CHAVE"),"",IFERROR(MATCH(U159,Fornecedores!$AF$1:$AF$6631,0),""))</f>
        <v/>
      </c>
      <c r="W159" t="str">
        <f t="shared" si="3"/>
        <v/>
      </c>
      <c r="X159" s="4" t="str">
        <f>IF(V159="","",INDEX(Fornecedores!$X$1:$X$6631,V159))</f>
        <v/>
      </c>
      <c r="Y159" s="4" t="str">
        <f t="shared" si="4"/>
        <v/>
      </c>
    </row>
    <row r="160" spans="19:25">
      <c r="S160" t="str">
        <f t="shared" si="0"/>
        <v/>
      </c>
      <c r="T160" t="str">
        <f t="shared" si="1"/>
        <v/>
      </c>
      <c r="U160" t="str">
        <f t="shared" si="2"/>
        <v/>
      </c>
      <c r="V160" t="str">
        <f>IF(OR(U160="",U160="ERRO_CHAVE"),"",IFERROR(MATCH(U160,Fornecedores!$AF$1:$AF$6631,0),""))</f>
        <v/>
      </c>
      <c r="W160" t="str">
        <f t="shared" si="3"/>
        <v/>
      </c>
      <c r="X160" s="4" t="str">
        <f>IF(V160="","",INDEX(Fornecedores!$X$1:$X$6631,V160))</f>
        <v/>
      </c>
      <c r="Y160" s="4" t="str">
        <f t="shared" si="4"/>
        <v/>
      </c>
    </row>
    <row r="161" spans="19:25">
      <c r="S161" t="str">
        <f t="shared" si="0"/>
        <v/>
      </c>
      <c r="T161" t="str">
        <f t="shared" si="1"/>
        <v/>
      </c>
      <c r="U161" t="str">
        <f t="shared" si="2"/>
        <v/>
      </c>
      <c r="V161" t="str">
        <f>IF(OR(U161="",U161="ERRO_CHAVE"),"",IFERROR(MATCH(U161,Fornecedores!$AF$1:$AF$6631,0),""))</f>
        <v/>
      </c>
      <c r="W161" t="str">
        <f t="shared" si="3"/>
        <v/>
      </c>
      <c r="X161" s="4" t="str">
        <f>IF(V161="","",INDEX(Fornecedores!$X$1:$X$6631,V161))</f>
        <v/>
      </c>
      <c r="Y161" s="4" t="str">
        <f t="shared" si="4"/>
        <v/>
      </c>
    </row>
    <row r="162" spans="19:25">
      <c r="S162" t="str">
        <f t="shared" si="0"/>
        <v/>
      </c>
      <c r="T162" t="str">
        <f t="shared" si="1"/>
        <v/>
      </c>
      <c r="U162" t="str">
        <f t="shared" si="2"/>
        <v/>
      </c>
      <c r="V162" t="str">
        <f>IF(OR(U162="",U162="ERRO_CHAVE"),"",IFERROR(MATCH(U162,Fornecedores!$AF$1:$AF$6631,0),""))</f>
        <v/>
      </c>
      <c r="W162" t="str">
        <f t="shared" si="3"/>
        <v/>
      </c>
      <c r="X162" s="4" t="str">
        <f>IF(V162="","",INDEX(Fornecedores!$X$1:$X$6631,V162))</f>
        <v/>
      </c>
      <c r="Y162" s="4" t="str">
        <f t="shared" si="4"/>
        <v/>
      </c>
    </row>
    <row r="163" spans="19:25">
      <c r="S163" t="str">
        <f t="shared" si="0"/>
        <v/>
      </c>
      <c r="T163" t="str">
        <f t="shared" si="1"/>
        <v/>
      </c>
      <c r="U163" t="str">
        <f t="shared" si="2"/>
        <v/>
      </c>
      <c r="V163" t="str">
        <f>IF(OR(U163="",U163="ERRO_CHAVE"),"",IFERROR(MATCH(U163,Fornecedores!$AF$1:$AF$6631,0),""))</f>
        <v/>
      </c>
      <c r="W163" t="str">
        <f t="shared" si="3"/>
        <v/>
      </c>
      <c r="X163" s="4" t="str">
        <f>IF(V163="","",INDEX(Fornecedores!$X$1:$X$6631,V163))</f>
        <v/>
      </c>
      <c r="Y163" s="4" t="str">
        <f t="shared" si="4"/>
        <v/>
      </c>
    </row>
    <row r="164" spans="19:25">
      <c r="S164" t="str">
        <f t="shared" si="0"/>
        <v/>
      </c>
      <c r="T164" t="str">
        <f t="shared" si="1"/>
        <v/>
      </c>
      <c r="U164" t="str">
        <f t="shared" si="2"/>
        <v/>
      </c>
      <c r="V164" t="str">
        <f>IF(OR(U164="",U164="ERRO_CHAVE"),"",IFERROR(MATCH(U164,Fornecedores!$AF$1:$AF$6631,0),""))</f>
        <v/>
      </c>
      <c r="W164" t="str">
        <f t="shared" si="3"/>
        <v/>
      </c>
      <c r="X164" s="4" t="str">
        <f>IF(V164="","",INDEX(Fornecedores!$X$1:$X$6631,V164))</f>
        <v/>
      </c>
      <c r="Y164" s="4" t="str">
        <f t="shared" si="4"/>
        <v/>
      </c>
    </row>
    <row r="165" spans="19:25">
      <c r="S165" t="str">
        <f t="shared" si="0"/>
        <v/>
      </c>
      <c r="T165" t="str">
        <f t="shared" si="1"/>
        <v/>
      </c>
      <c r="U165" t="str">
        <f t="shared" si="2"/>
        <v/>
      </c>
      <c r="V165" t="str">
        <f>IF(OR(U165="",U165="ERRO_CHAVE"),"",IFERROR(MATCH(U165,Fornecedores!$AF$1:$AF$6631,0),""))</f>
        <v/>
      </c>
      <c r="W165" t="str">
        <f t="shared" si="3"/>
        <v/>
      </c>
      <c r="X165" s="4" t="str">
        <f>IF(V165="","",INDEX(Fornecedores!$X$1:$X$6631,V165))</f>
        <v/>
      </c>
      <c r="Y165" s="4" t="str">
        <f t="shared" si="4"/>
        <v/>
      </c>
    </row>
    <row r="166" spans="19:25">
      <c r="S166" t="str">
        <f t="shared" si="0"/>
        <v/>
      </c>
      <c r="T166" t="str">
        <f t="shared" si="1"/>
        <v/>
      </c>
      <c r="U166" t="str">
        <f t="shared" si="2"/>
        <v/>
      </c>
      <c r="V166" t="str">
        <f>IF(OR(U166="",U166="ERRO_CHAVE"),"",IFERROR(MATCH(U166,Fornecedores!$AF$1:$AF$6631,0),""))</f>
        <v/>
      </c>
      <c r="W166" t="str">
        <f t="shared" si="3"/>
        <v/>
      </c>
      <c r="X166" s="4" t="str">
        <f>IF(V166="","",INDEX(Fornecedores!$X$1:$X$6631,V166))</f>
        <v/>
      </c>
      <c r="Y166" s="4" t="str">
        <f t="shared" si="4"/>
        <v/>
      </c>
    </row>
    <row r="167" spans="19:25">
      <c r="S167" t="str">
        <f t="shared" si="0"/>
        <v/>
      </c>
      <c r="T167" t="str">
        <f t="shared" si="1"/>
        <v/>
      </c>
      <c r="U167" t="str">
        <f t="shared" si="2"/>
        <v/>
      </c>
      <c r="V167" t="str">
        <f>IF(OR(U167="",U167="ERRO_CHAVE"),"",IFERROR(MATCH(U167,Fornecedores!$AF$1:$AF$6631,0),""))</f>
        <v/>
      </c>
      <c r="W167" t="str">
        <f t="shared" si="3"/>
        <v/>
      </c>
      <c r="X167" s="4" t="str">
        <f>IF(V167="","",INDEX(Fornecedores!$X$1:$X$6631,V167))</f>
        <v/>
      </c>
      <c r="Y167" s="4" t="str">
        <f t="shared" si="4"/>
        <v/>
      </c>
    </row>
    <row r="168" spans="19:25">
      <c r="S168" t="str">
        <f t="shared" si="0"/>
        <v/>
      </c>
      <c r="T168" t="str">
        <f t="shared" si="1"/>
        <v/>
      </c>
      <c r="U168" t="str">
        <f t="shared" si="2"/>
        <v/>
      </c>
      <c r="V168" t="str">
        <f>IF(OR(U168="",U168="ERRO_CHAVE"),"",IFERROR(MATCH(U168,Fornecedores!$AF$1:$AF$6631,0),""))</f>
        <v/>
      </c>
      <c r="W168" t="str">
        <f t="shared" si="3"/>
        <v/>
      </c>
      <c r="X168" s="4" t="str">
        <f>IF(V168="","",INDEX(Fornecedores!$X$1:$X$6631,V168))</f>
        <v/>
      </c>
      <c r="Y168" s="4" t="str">
        <f t="shared" si="4"/>
        <v/>
      </c>
    </row>
    <row r="169" spans="19:25">
      <c r="S169" t="str">
        <f t="shared" si="0"/>
        <v/>
      </c>
      <c r="T169" t="str">
        <f t="shared" si="1"/>
        <v/>
      </c>
      <c r="U169" t="str">
        <f t="shared" si="2"/>
        <v/>
      </c>
      <c r="V169" t="str">
        <f>IF(OR(U169="",U169="ERRO_CHAVE"),"",IFERROR(MATCH(U169,Fornecedores!$AF$1:$AF$6631,0),""))</f>
        <v/>
      </c>
      <c r="W169" t="str">
        <f t="shared" si="3"/>
        <v/>
      </c>
      <c r="X169" s="4" t="str">
        <f>IF(V169="","",INDEX(Fornecedores!$X$1:$X$6631,V169))</f>
        <v/>
      </c>
      <c r="Y169" s="4" t="str">
        <f t="shared" si="4"/>
        <v/>
      </c>
    </row>
    <row r="170" spans="19:25">
      <c r="S170" t="str">
        <f t="shared" si="0"/>
        <v/>
      </c>
      <c r="T170" t="str">
        <f t="shared" si="1"/>
        <v/>
      </c>
      <c r="U170" t="str">
        <f t="shared" si="2"/>
        <v/>
      </c>
      <c r="V170" t="str">
        <f>IF(OR(U170="",U170="ERRO_CHAVE"),"",IFERROR(MATCH(U170,Fornecedores!$AF$1:$AF$6631,0),""))</f>
        <v/>
      </c>
      <c r="W170" t="str">
        <f t="shared" si="3"/>
        <v/>
      </c>
      <c r="X170" s="4" t="str">
        <f>IF(V170="","",INDEX(Fornecedores!$X$1:$X$6631,V170))</f>
        <v/>
      </c>
      <c r="Y170" s="4" t="str">
        <f t="shared" si="4"/>
        <v/>
      </c>
    </row>
    <row r="171" spans="19:25">
      <c r="S171" t="str">
        <f t="shared" si="0"/>
        <v/>
      </c>
      <c r="T171" t="str">
        <f t="shared" si="1"/>
        <v/>
      </c>
      <c r="U171" t="str">
        <f t="shared" si="2"/>
        <v/>
      </c>
      <c r="V171" t="str">
        <f>IF(OR(U171="",U171="ERRO_CHAVE"),"",IFERROR(MATCH(U171,Fornecedores!$AF$1:$AF$6631,0),""))</f>
        <v/>
      </c>
      <c r="W171" t="str">
        <f t="shared" si="3"/>
        <v/>
      </c>
      <c r="X171" s="4" t="str">
        <f>IF(V171="","",INDEX(Fornecedores!$X$1:$X$6631,V171))</f>
        <v/>
      </c>
      <c r="Y171" s="4" t="str">
        <f t="shared" si="4"/>
        <v/>
      </c>
    </row>
    <row r="172" spans="19:25">
      <c r="S172" t="str">
        <f t="shared" si="0"/>
        <v/>
      </c>
      <c r="T172" t="str">
        <f t="shared" si="1"/>
        <v/>
      </c>
      <c r="U172" t="str">
        <f t="shared" si="2"/>
        <v/>
      </c>
      <c r="V172" t="str">
        <f>IF(OR(U172="",U172="ERRO_CHAVE"),"",IFERROR(MATCH(U172,Fornecedores!$AF$1:$AF$6631,0),""))</f>
        <v/>
      </c>
      <c r="W172" t="str">
        <f t="shared" si="3"/>
        <v/>
      </c>
      <c r="X172" s="4" t="str">
        <f>IF(V172="","",INDEX(Fornecedores!$X$1:$X$6631,V172))</f>
        <v/>
      </c>
      <c r="Y172" s="4" t="str">
        <f t="shared" si="4"/>
        <v/>
      </c>
    </row>
    <row r="173" spans="19:25">
      <c r="S173" t="str">
        <f t="shared" si="0"/>
        <v/>
      </c>
      <c r="T173" t="str">
        <f t="shared" si="1"/>
        <v/>
      </c>
      <c r="U173" t="str">
        <f t="shared" si="2"/>
        <v/>
      </c>
      <c r="V173" t="str">
        <f>IF(OR(U173="",U173="ERRO_CHAVE"),"",IFERROR(MATCH(U173,Fornecedores!$AF$1:$AF$6631,0),""))</f>
        <v/>
      </c>
      <c r="W173" t="str">
        <f t="shared" si="3"/>
        <v/>
      </c>
      <c r="X173" s="4" t="str">
        <f>IF(V173="","",INDEX(Fornecedores!$X$1:$X$6631,V173))</f>
        <v/>
      </c>
      <c r="Y173" s="4" t="str">
        <f t="shared" si="4"/>
        <v/>
      </c>
    </row>
    <row r="174" spans="19:25">
      <c r="S174" t="str">
        <f t="shared" si="0"/>
        <v/>
      </c>
      <c r="T174" t="str">
        <f t="shared" si="1"/>
        <v/>
      </c>
      <c r="U174" t="str">
        <f t="shared" si="2"/>
        <v/>
      </c>
      <c r="V174" t="str">
        <f>IF(OR(U174="",U174="ERRO_CHAVE"),"",IFERROR(MATCH(U174,Fornecedores!$AF$1:$AF$6631,0),""))</f>
        <v/>
      </c>
      <c r="W174" t="str">
        <f t="shared" si="3"/>
        <v/>
      </c>
      <c r="X174" s="4" t="str">
        <f>IF(V174="","",INDEX(Fornecedores!$X$1:$X$6631,V174))</f>
        <v/>
      </c>
      <c r="Y174" s="4" t="str">
        <f t="shared" si="4"/>
        <v/>
      </c>
    </row>
    <row r="175" spans="19:25">
      <c r="S175" t="str">
        <f t="shared" si="0"/>
        <v/>
      </c>
      <c r="T175" t="str">
        <f t="shared" si="1"/>
        <v/>
      </c>
      <c r="U175" t="str">
        <f t="shared" si="2"/>
        <v/>
      </c>
      <c r="V175" t="str">
        <f>IF(OR(U175="",U175="ERRO_CHAVE"),"",IFERROR(MATCH(U175,Fornecedores!$AF$1:$AF$6631,0),""))</f>
        <v/>
      </c>
      <c r="W175" t="str">
        <f t="shared" si="3"/>
        <v/>
      </c>
      <c r="X175" s="4" t="str">
        <f>IF(V175="","",INDEX(Fornecedores!$X$1:$X$6631,V175))</f>
        <v/>
      </c>
      <c r="Y175" s="4" t="str">
        <f t="shared" si="4"/>
        <v/>
      </c>
    </row>
    <row r="176" spans="19:25">
      <c r="S176" t="str">
        <f t="shared" si="0"/>
        <v/>
      </c>
      <c r="T176" t="str">
        <f t="shared" si="1"/>
        <v/>
      </c>
      <c r="U176" t="str">
        <f t="shared" si="2"/>
        <v/>
      </c>
      <c r="V176" t="str">
        <f>IF(OR(U176="",U176="ERRO_CHAVE"),"",IFERROR(MATCH(U176,Fornecedores!$AF$1:$AF$6631,0),""))</f>
        <v/>
      </c>
      <c r="W176" t="str">
        <f t="shared" si="3"/>
        <v/>
      </c>
      <c r="X176" s="4" t="str">
        <f>IF(V176="","",INDEX(Fornecedores!$X$1:$X$6631,V176))</f>
        <v/>
      </c>
      <c r="Y176" s="4" t="str">
        <f t="shared" si="4"/>
        <v/>
      </c>
    </row>
    <row r="177" spans="19:25">
      <c r="S177" t="str">
        <f t="shared" si="0"/>
        <v/>
      </c>
      <c r="T177" t="str">
        <f t="shared" si="1"/>
        <v/>
      </c>
      <c r="U177" t="str">
        <f t="shared" si="2"/>
        <v/>
      </c>
      <c r="V177" t="str">
        <f>IF(OR(U177="",U177="ERRO_CHAVE"),"",IFERROR(MATCH(U177,Fornecedores!$AF$1:$AF$6631,0),""))</f>
        <v/>
      </c>
      <c r="W177" t="str">
        <f t="shared" si="3"/>
        <v/>
      </c>
      <c r="X177" s="4" t="str">
        <f>IF(V177="","",INDEX(Fornecedores!$X$1:$X$6631,V177))</f>
        <v/>
      </c>
      <c r="Y177" s="4" t="str">
        <f t="shared" si="4"/>
        <v/>
      </c>
    </row>
    <row r="178" spans="19:25">
      <c r="S178" t="str">
        <f t="shared" si="0"/>
        <v/>
      </c>
      <c r="T178" t="str">
        <f t="shared" si="1"/>
        <v/>
      </c>
      <c r="U178" t="str">
        <f t="shared" si="2"/>
        <v/>
      </c>
      <c r="V178" t="str">
        <f>IF(OR(U178="",U178="ERRO_CHAVE"),"",IFERROR(MATCH(U178,Fornecedores!$AF$1:$AF$6631,0),""))</f>
        <v/>
      </c>
      <c r="W178" t="str">
        <f t="shared" si="3"/>
        <v/>
      </c>
      <c r="X178" s="4" t="str">
        <f>IF(V178="","",INDEX(Fornecedores!$X$1:$X$6631,V178))</f>
        <v/>
      </c>
      <c r="Y178" s="4" t="str">
        <f t="shared" si="4"/>
        <v/>
      </c>
    </row>
    <row r="179" spans="19:25">
      <c r="S179" t="str">
        <f t="shared" si="0"/>
        <v/>
      </c>
      <c r="T179" t="str">
        <f t="shared" si="1"/>
        <v/>
      </c>
      <c r="U179" t="str">
        <f t="shared" si="2"/>
        <v/>
      </c>
      <c r="V179" t="str">
        <f>IF(OR(U179="",U179="ERRO_CHAVE"),"",IFERROR(MATCH(U179,Fornecedores!$AF$1:$AF$6631,0),""))</f>
        <v/>
      </c>
      <c r="W179" t="str">
        <f t="shared" si="3"/>
        <v/>
      </c>
      <c r="X179" s="4" t="str">
        <f>IF(V179="","",INDEX(Fornecedores!$X$1:$X$6631,V179))</f>
        <v/>
      </c>
      <c r="Y179" s="4" t="str">
        <f t="shared" si="4"/>
        <v/>
      </c>
    </row>
    <row r="180" spans="19:25">
      <c r="S180" t="str">
        <f t="shared" si="0"/>
        <v/>
      </c>
      <c r="T180" t="str">
        <f t="shared" si="1"/>
        <v/>
      </c>
      <c r="U180" t="str">
        <f t="shared" si="2"/>
        <v/>
      </c>
      <c r="V180" t="str">
        <f>IF(OR(U180="",U180="ERRO_CHAVE"),"",IFERROR(MATCH(U180,Fornecedores!$AF$1:$AF$6631,0),""))</f>
        <v/>
      </c>
      <c r="W180" t="str">
        <f t="shared" si="3"/>
        <v/>
      </c>
      <c r="X180" s="4" t="str">
        <f>IF(V180="","",INDEX(Fornecedores!$X$1:$X$6631,V180))</f>
        <v/>
      </c>
      <c r="Y180" s="4" t="str">
        <f t="shared" si="4"/>
        <v/>
      </c>
    </row>
    <row r="181" spans="19:25">
      <c r="S181" t="str">
        <f t="shared" si="0"/>
        <v/>
      </c>
      <c r="T181" t="str">
        <f t="shared" si="1"/>
        <v/>
      </c>
      <c r="U181" t="str">
        <f t="shared" si="2"/>
        <v/>
      </c>
      <c r="V181" t="str">
        <f>IF(OR(U181="",U181="ERRO_CHAVE"),"",IFERROR(MATCH(U181,Fornecedores!$AF$1:$AF$6631,0),""))</f>
        <v/>
      </c>
      <c r="W181" t="str">
        <f t="shared" si="3"/>
        <v/>
      </c>
      <c r="X181" s="4" t="str">
        <f>IF(V181="","",INDEX(Fornecedores!$X$1:$X$6631,V181))</f>
        <v/>
      </c>
      <c r="Y181" s="4" t="str">
        <f t="shared" si="4"/>
        <v/>
      </c>
    </row>
    <row r="182" spans="19:25">
      <c r="S182" t="str">
        <f t="shared" si="0"/>
        <v/>
      </c>
      <c r="T182" t="str">
        <f t="shared" si="1"/>
        <v/>
      </c>
      <c r="U182" t="str">
        <f t="shared" si="2"/>
        <v/>
      </c>
      <c r="V182" t="str">
        <f>IF(OR(U182="",U182="ERRO_CHAVE"),"",IFERROR(MATCH(U182,Fornecedores!$AF$1:$AF$6631,0),""))</f>
        <v/>
      </c>
      <c r="W182" t="str">
        <f t="shared" si="3"/>
        <v/>
      </c>
      <c r="X182" s="4" t="str">
        <f>IF(V182="","",INDEX(Fornecedores!$X$1:$X$6631,V182))</f>
        <v/>
      </c>
      <c r="Y182" s="4" t="str">
        <f t="shared" si="4"/>
        <v/>
      </c>
    </row>
    <row r="183" spans="19:25">
      <c r="S183" t="str">
        <f t="shared" si="0"/>
        <v/>
      </c>
      <c r="T183" t="str">
        <f t="shared" si="1"/>
        <v/>
      </c>
      <c r="U183" t="str">
        <f t="shared" si="2"/>
        <v/>
      </c>
      <c r="V183" t="str">
        <f>IF(OR(U183="",U183="ERRO_CHAVE"),"",IFERROR(MATCH(U183,Fornecedores!$AF$1:$AF$6631,0),""))</f>
        <v/>
      </c>
      <c r="W183" t="str">
        <f t="shared" si="3"/>
        <v/>
      </c>
      <c r="X183" s="4" t="str">
        <f>IF(V183="","",INDEX(Fornecedores!$X$1:$X$6631,V183))</f>
        <v/>
      </c>
      <c r="Y183" s="4" t="str">
        <f t="shared" si="4"/>
        <v/>
      </c>
    </row>
    <row r="184" spans="19:25">
      <c r="S184" t="str">
        <f t="shared" si="0"/>
        <v/>
      </c>
      <c r="T184" t="str">
        <f t="shared" si="1"/>
        <v/>
      </c>
      <c r="U184" t="str">
        <f t="shared" si="2"/>
        <v/>
      </c>
      <c r="V184" t="str">
        <f>IF(OR(U184="",U184="ERRO_CHAVE"),"",IFERROR(MATCH(U184,Fornecedores!$AF$1:$AF$6631,0),""))</f>
        <v/>
      </c>
      <c r="W184" t="str">
        <f t="shared" si="3"/>
        <v/>
      </c>
      <c r="X184" s="4" t="str">
        <f>IF(V184="","",INDEX(Fornecedores!$X$1:$X$6631,V184))</f>
        <v/>
      </c>
      <c r="Y184" s="4" t="str">
        <f t="shared" si="4"/>
        <v/>
      </c>
    </row>
    <row r="185" spans="19:25">
      <c r="S185" t="str">
        <f t="shared" si="0"/>
        <v/>
      </c>
      <c r="T185" t="str">
        <f t="shared" si="1"/>
        <v/>
      </c>
      <c r="U185" t="str">
        <f t="shared" si="2"/>
        <v/>
      </c>
      <c r="V185" t="str">
        <f>IF(OR(U185="",U185="ERRO_CHAVE"),"",IFERROR(MATCH(U185,Fornecedores!$AF$1:$AF$6631,0),""))</f>
        <v/>
      </c>
      <c r="W185" t="str">
        <f t="shared" si="3"/>
        <v/>
      </c>
      <c r="X185" s="4" t="str">
        <f>IF(V185="","",INDEX(Fornecedores!$X$1:$X$6631,V185))</f>
        <v/>
      </c>
      <c r="Y185" s="4" t="str">
        <f t="shared" si="4"/>
        <v/>
      </c>
    </row>
    <row r="186" spans="19:25">
      <c r="S186" t="str">
        <f t="shared" si="0"/>
        <v/>
      </c>
      <c r="T186" t="str">
        <f t="shared" si="1"/>
        <v/>
      </c>
      <c r="U186" t="str">
        <f t="shared" si="2"/>
        <v/>
      </c>
      <c r="V186" t="str">
        <f>IF(OR(U186="",U186="ERRO_CHAVE"),"",IFERROR(MATCH(U186,Fornecedores!$AF$1:$AF$6631,0),""))</f>
        <v/>
      </c>
      <c r="W186" t="str">
        <f t="shared" si="3"/>
        <v/>
      </c>
      <c r="X186" s="4" t="str">
        <f>IF(V186="","",INDEX(Fornecedores!$X$1:$X$6631,V186))</f>
        <v/>
      </c>
      <c r="Y186" s="4" t="str">
        <f t="shared" si="4"/>
        <v/>
      </c>
    </row>
    <row r="187" spans="19:25">
      <c r="S187" t="str">
        <f t="shared" si="0"/>
        <v/>
      </c>
      <c r="T187" t="str">
        <f t="shared" si="1"/>
        <v/>
      </c>
      <c r="U187" t="str">
        <f t="shared" si="2"/>
        <v/>
      </c>
      <c r="V187" t="str">
        <f>IF(OR(U187="",U187="ERRO_CHAVE"),"",IFERROR(MATCH(U187,Fornecedores!$AF$1:$AF$6631,0),""))</f>
        <v/>
      </c>
      <c r="W187" t="str">
        <f t="shared" si="3"/>
        <v/>
      </c>
      <c r="X187" s="4" t="str">
        <f>IF(V187="","",INDEX(Fornecedores!$X$1:$X$6631,V187))</f>
        <v/>
      </c>
      <c r="Y187" s="4" t="str">
        <f t="shared" si="4"/>
        <v/>
      </c>
    </row>
    <row r="188" spans="19:25">
      <c r="S188" t="str">
        <f t="shared" si="0"/>
        <v/>
      </c>
      <c r="T188" t="str">
        <f t="shared" si="1"/>
        <v/>
      </c>
      <c r="U188" t="str">
        <f t="shared" si="2"/>
        <v/>
      </c>
      <c r="V188" t="str">
        <f>IF(OR(U188="",U188="ERRO_CHAVE"),"",IFERROR(MATCH(U188,Fornecedores!$AF$1:$AF$6631,0),""))</f>
        <v/>
      </c>
      <c r="W188" t="str">
        <f t="shared" si="3"/>
        <v/>
      </c>
      <c r="X188" s="4" t="str">
        <f>IF(V188="","",INDEX(Fornecedores!$X$1:$X$6631,V188))</f>
        <v/>
      </c>
      <c r="Y188" s="4" t="str">
        <f t="shared" si="4"/>
        <v/>
      </c>
    </row>
    <row r="189" spans="19:25">
      <c r="S189" t="str">
        <f t="shared" si="0"/>
        <v/>
      </c>
      <c r="T189" t="str">
        <f t="shared" si="1"/>
        <v/>
      </c>
      <c r="U189" t="str">
        <f t="shared" si="2"/>
        <v/>
      </c>
      <c r="V189" t="str">
        <f>IF(OR(U189="",U189="ERRO_CHAVE"),"",IFERROR(MATCH(U189,Fornecedores!$AF$1:$AF$6631,0),""))</f>
        <v/>
      </c>
      <c r="W189" t="str">
        <f t="shared" si="3"/>
        <v/>
      </c>
      <c r="X189" s="4" t="str">
        <f>IF(V189="","",INDEX(Fornecedores!$X$1:$X$6631,V189))</f>
        <v/>
      </c>
      <c r="Y189" s="4" t="str">
        <f t="shared" si="4"/>
        <v/>
      </c>
    </row>
    <row r="190" spans="19:25">
      <c r="S190" t="str">
        <f t="shared" si="0"/>
        <v/>
      </c>
      <c r="T190" t="str">
        <f t="shared" si="1"/>
        <v/>
      </c>
      <c r="U190" t="str">
        <f t="shared" si="2"/>
        <v/>
      </c>
      <c r="V190" t="str">
        <f>IF(OR(U190="",U190="ERRO_CHAVE"),"",IFERROR(MATCH(U190,Fornecedores!$AF$1:$AF$6631,0),""))</f>
        <v/>
      </c>
      <c r="W190" t="str">
        <f t="shared" si="3"/>
        <v/>
      </c>
      <c r="X190" s="4" t="str">
        <f>IF(V190="","",INDEX(Fornecedores!$X$1:$X$6631,V190))</f>
        <v/>
      </c>
      <c r="Y190" s="4" t="str">
        <f t="shared" si="4"/>
        <v/>
      </c>
    </row>
    <row r="191" spans="19:25">
      <c r="S191" t="str">
        <f t="shared" si="0"/>
        <v/>
      </c>
      <c r="T191" t="str">
        <f t="shared" si="1"/>
        <v/>
      </c>
      <c r="U191" t="str">
        <f t="shared" si="2"/>
        <v/>
      </c>
      <c r="V191" t="str">
        <f>IF(OR(U191="",U191="ERRO_CHAVE"),"",IFERROR(MATCH(U191,Fornecedores!$AF$1:$AF$6631,0),""))</f>
        <v/>
      </c>
      <c r="W191" t="str">
        <f t="shared" si="3"/>
        <v/>
      </c>
      <c r="X191" s="4" t="str">
        <f>IF(V191="","",INDEX(Fornecedores!$X$1:$X$6631,V191))</f>
        <v/>
      </c>
      <c r="Y191" s="4" t="str">
        <f t="shared" si="4"/>
        <v/>
      </c>
    </row>
    <row r="192" spans="19:25">
      <c r="S192" t="str">
        <f t="shared" si="0"/>
        <v/>
      </c>
      <c r="T192" t="str">
        <f t="shared" si="1"/>
        <v/>
      </c>
      <c r="U192" t="str">
        <f t="shared" si="2"/>
        <v/>
      </c>
      <c r="V192" t="str">
        <f>IF(OR(U192="",U192="ERRO_CHAVE"),"",IFERROR(MATCH(U192,Fornecedores!$AF$1:$AF$6631,0),""))</f>
        <v/>
      </c>
      <c r="W192" t="str">
        <f t="shared" si="3"/>
        <v/>
      </c>
      <c r="X192" s="4" t="str">
        <f>IF(V192="","",INDEX(Fornecedores!$X$1:$X$6631,V192))</f>
        <v/>
      </c>
      <c r="Y192" s="4" t="str">
        <f t="shared" si="4"/>
        <v/>
      </c>
    </row>
    <row r="193" spans="19:25">
      <c r="S193" t="str">
        <f t="shared" si="0"/>
        <v/>
      </c>
      <c r="T193" t="str">
        <f t="shared" si="1"/>
        <v/>
      </c>
      <c r="U193" t="str">
        <f t="shared" si="2"/>
        <v/>
      </c>
      <c r="V193" t="str">
        <f>IF(OR(U193="",U193="ERRO_CHAVE"),"",IFERROR(MATCH(U193,Fornecedores!$AF$1:$AF$6631,0),""))</f>
        <v/>
      </c>
      <c r="W193" t="str">
        <f t="shared" si="3"/>
        <v/>
      </c>
      <c r="X193" s="4" t="str">
        <f>IF(V193="","",INDEX(Fornecedores!$X$1:$X$6631,V193))</f>
        <v/>
      </c>
      <c r="Y193" s="4" t="str">
        <f t="shared" si="4"/>
        <v/>
      </c>
    </row>
    <row r="194" spans="19:25">
      <c r="S194" t="str">
        <f t="shared" si="0"/>
        <v/>
      </c>
      <c r="T194" t="str">
        <f t="shared" si="1"/>
        <v/>
      </c>
      <c r="U194" t="str">
        <f t="shared" si="2"/>
        <v/>
      </c>
      <c r="V194" t="str">
        <f>IF(OR(U194="",U194="ERRO_CHAVE"),"",IFERROR(MATCH(U194,Fornecedores!$AF$1:$AF$6631,0),""))</f>
        <v/>
      </c>
      <c r="W194" t="str">
        <f t="shared" si="3"/>
        <v/>
      </c>
      <c r="X194" s="4" t="str">
        <f>IF(V194="","",INDEX(Fornecedores!$X$1:$X$6631,V194))</f>
        <v/>
      </c>
      <c r="Y194" s="4" t="str">
        <f t="shared" si="4"/>
        <v/>
      </c>
    </row>
    <row r="195" spans="19:25">
      <c r="S195" t="str">
        <f t="shared" si="0"/>
        <v/>
      </c>
      <c r="T195" t="str">
        <f t="shared" si="1"/>
        <v/>
      </c>
      <c r="U195" t="str">
        <f t="shared" si="2"/>
        <v/>
      </c>
      <c r="V195" t="str">
        <f>IF(OR(U195="",U195="ERRO_CHAVE"),"",IFERROR(MATCH(U195,Fornecedores!$AF$1:$AF$6631,0),""))</f>
        <v/>
      </c>
      <c r="W195" t="str">
        <f t="shared" si="3"/>
        <v/>
      </c>
      <c r="X195" s="4" t="str">
        <f>IF(V195="","",INDEX(Fornecedores!$X$1:$X$6631,V195))</f>
        <v/>
      </c>
      <c r="Y195" s="4" t="str">
        <f t="shared" si="4"/>
        <v/>
      </c>
    </row>
    <row r="196" spans="19:25">
      <c r="S196" t="str">
        <f t="shared" si="0"/>
        <v/>
      </c>
      <c r="T196" t="str">
        <f t="shared" si="1"/>
        <v/>
      </c>
      <c r="U196" t="str">
        <f t="shared" si="2"/>
        <v/>
      </c>
      <c r="V196" t="str">
        <f>IF(OR(U196="",U196="ERRO_CHAVE"),"",IFERROR(MATCH(U196,Fornecedores!$AF$1:$AF$6631,0),""))</f>
        <v/>
      </c>
      <c r="W196" t="str">
        <f t="shared" si="3"/>
        <v/>
      </c>
      <c r="X196" s="4" t="str">
        <f>IF(V196="","",INDEX(Fornecedores!$X$1:$X$6631,V196))</f>
        <v/>
      </c>
      <c r="Y196" s="4" t="str">
        <f t="shared" si="4"/>
        <v/>
      </c>
    </row>
    <row r="197" spans="19:25">
      <c r="S197" t="str">
        <f t="shared" si="0"/>
        <v/>
      </c>
      <c r="T197" t="str">
        <f t="shared" si="1"/>
        <v/>
      </c>
      <c r="U197" t="str">
        <f t="shared" si="2"/>
        <v/>
      </c>
      <c r="V197" t="str">
        <f>IF(OR(U197="",U197="ERRO_CHAVE"),"",IFERROR(MATCH(U197,Fornecedores!$AF$1:$AF$6631,0),""))</f>
        <v/>
      </c>
      <c r="W197" t="str">
        <f t="shared" si="3"/>
        <v/>
      </c>
      <c r="X197" s="4" t="str">
        <f>IF(V197="","",INDEX(Fornecedores!$X$1:$X$6631,V197))</f>
        <v/>
      </c>
      <c r="Y197" s="4" t="str">
        <f t="shared" si="4"/>
        <v/>
      </c>
    </row>
    <row r="198" spans="19:25">
      <c r="S198" t="str">
        <f t="shared" si="0"/>
        <v/>
      </c>
      <c r="T198" t="str">
        <f t="shared" si="1"/>
        <v/>
      </c>
      <c r="U198" t="str">
        <f t="shared" si="2"/>
        <v/>
      </c>
      <c r="V198" t="str">
        <f>IF(OR(U198="",U198="ERRO_CHAVE"),"",IFERROR(MATCH(U198,Fornecedores!$AF$1:$AF$6631,0),""))</f>
        <v/>
      </c>
      <c r="W198" t="str">
        <f t="shared" si="3"/>
        <v/>
      </c>
      <c r="X198" s="4" t="str">
        <f>IF(V198="","",INDEX(Fornecedores!$X$1:$X$6631,V198))</f>
        <v/>
      </c>
      <c r="Y198" s="4" t="str">
        <f t="shared" si="4"/>
        <v/>
      </c>
    </row>
    <row r="199" spans="19:25">
      <c r="S199" t="str">
        <f t="shared" si="0"/>
        <v/>
      </c>
      <c r="T199" t="str">
        <f t="shared" si="1"/>
        <v/>
      </c>
      <c r="U199" t="str">
        <f t="shared" si="2"/>
        <v/>
      </c>
      <c r="V199" t="str">
        <f>IF(OR(U199="",U199="ERRO_CHAVE"),"",IFERROR(MATCH(U199,Fornecedores!$AF$1:$AF$6631,0),""))</f>
        <v/>
      </c>
      <c r="W199" t="str">
        <f t="shared" si="3"/>
        <v/>
      </c>
      <c r="X199" s="4" t="str">
        <f>IF(V199="","",INDEX(Fornecedores!$X$1:$X$6631,V199))</f>
        <v/>
      </c>
      <c r="Y199" s="4" t="str">
        <f t="shared" si="4"/>
        <v/>
      </c>
    </row>
    <row r="200" spans="19:25">
      <c r="S200" t="str">
        <f t="shared" si="0"/>
        <v/>
      </c>
      <c r="T200" t="str">
        <f t="shared" si="1"/>
        <v/>
      </c>
      <c r="U200" t="str">
        <f t="shared" si="2"/>
        <v/>
      </c>
      <c r="V200" t="str">
        <f>IF(OR(U200="",U200="ERRO_CHAVE"),"",IFERROR(MATCH(U200,Fornecedores!$AF$1:$AF$6631,0),""))</f>
        <v/>
      </c>
      <c r="W200" t="str">
        <f t="shared" si="3"/>
        <v/>
      </c>
      <c r="X200" s="4" t="str">
        <f>IF(V200="","",INDEX(Fornecedores!$X$1:$X$6631,V200))</f>
        <v/>
      </c>
      <c r="Y200" s="4" t="str">
        <f t="shared" si="4"/>
        <v/>
      </c>
    </row>
    <row r="201" spans="19:25">
      <c r="S201" t="str">
        <f t="shared" si="0"/>
        <v/>
      </c>
      <c r="T201" t="str">
        <f t="shared" si="1"/>
        <v/>
      </c>
      <c r="U201" t="str">
        <f t="shared" si="2"/>
        <v/>
      </c>
      <c r="V201" t="str">
        <f>IF(OR(U201="",U201="ERRO_CHAVE"),"",IFERROR(MATCH(U201,Fornecedores!$AF$1:$AF$6631,0),""))</f>
        <v/>
      </c>
      <c r="W201" t="str">
        <f t="shared" si="3"/>
        <v/>
      </c>
      <c r="X201" s="4" t="str">
        <f>IF(V201="","",INDEX(Fornecedores!$X$1:$X$6631,V201))</f>
        <v/>
      </c>
      <c r="Y201" s="4" t="str">
        <f t="shared" si="4"/>
        <v/>
      </c>
    </row>
    <row r="202" spans="19:25">
      <c r="S202" t="str">
        <f t="shared" si="0"/>
        <v/>
      </c>
      <c r="T202" t="str">
        <f t="shared" si="1"/>
        <v/>
      </c>
      <c r="U202" t="str">
        <f t="shared" si="2"/>
        <v/>
      </c>
      <c r="V202" t="str">
        <f>IF(OR(U202="",U202="ERRO_CHAVE"),"",IFERROR(MATCH(U202,Fornecedores!$AF$1:$AF$6631,0),""))</f>
        <v/>
      </c>
      <c r="W202" t="str">
        <f t="shared" si="3"/>
        <v/>
      </c>
      <c r="X202" s="4" t="str">
        <f>IF(V202="","",INDEX(Fornecedores!$X$1:$X$6631,V202))</f>
        <v/>
      </c>
      <c r="Y202" s="4" t="str">
        <f t="shared" si="4"/>
        <v/>
      </c>
    </row>
    <row r="203" spans="19:25">
      <c r="S203" t="str">
        <f t="shared" si="0"/>
        <v/>
      </c>
      <c r="T203" t="str">
        <f t="shared" si="1"/>
        <v/>
      </c>
      <c r="U203" t="str">
        <f t="shared" si="2"/>
        <v/>
      </c>
      <c r="V203" t="str">
        <f>IF(OR(U203="",U203="ERRO_CHAVE"),"",IFERROR(MATCH(U203,Fornecedores!$AF$1:$AF$6631,0),""))</f>
        <v/>
      </c>
      <c r="W203" t="str">
        <f t="shared" si="3"/>
        <v/>
      </c>
      <c r="X203" s="4" t="str">
        <f>IF(V203="","",INDEX(Fornecedores!$X$1:$X$6631,V203))</f>
        <v/>
      </c>
      <c r="Y203" s="4" t="str">
        <f t="shared" si="4"/>
        <v/>
      </c>
    </row>
    <row r="204" spans="19:25">
      <c r="S204" t="str">
        <f t="shared" si="0"/>
        <v/>
      </c>
      <c r="T204" t="str">
        <f t="shared" si="1"/>
        <v/>
      </c>
      <c r="U204" t="str">
        <f t="shared" si="2"/>
        <v/>
      </c>
      <c r="V204" t="str">
        <f>IF(OR(U204="",U204="ERRO_CHAVE"),"",IFERROR(MATCH(U204,Fornecedores!$AF$1:$AF$6631,0),""))</f>
        <v/>
      </c>
      <c r="W204" t="str">
        <f t="shared" si="3"/>
        <v/>
      </c>
      <c r="X204" s="4" t="str">
        <f>IF(V204="","",INDEX(Fornecedores!$X$1:$X$6631,V204))</f>
        <v/>
      </c>
      <c r="Y204" s="4" t="str">
        <f t="shared" si="4"/>
        <v/>
      </c>
    </row>
    <row r="205" spans="19:25">
      <c r="S205" t="str">
        <f t="shared" si="0"/>
        <v/>
      </c>
      <c r="T205" t="str">
        <f t="shared" si="1"/>
        <v/>
      </c>
      <c r="U205" t="str">
        <f t="shared" si="2"/>
        <v/>
      </c>
      <c r="V205" t="str">
        <f>IF(OR(U205="",U205="ERRO_CHAVE"),"",IFERROR(MATCH(U205,Fornecedores!$AF$1:$AF$6631,0),""))</f>
        <v/>
      </c>
      <c r="W205" t="str">
        <f t="shared" si="3"/>
        <v/>
      </c>
      <c r="X205" s="4" t="str">
        <f>IF(V205="","",INDEX(Fornecedores!$X$1:$X$6631,V205))</f>
        <v/>
      </c>
      <c r="Y205" s="4" t="str">
        <f t="shared" si="4"/>
        <v/>
      </c>
    </row>
    <row r="206" spans="19:25">
      <c r="S206" t="str">
        <f t="shared" si="0"/>
        <v/>
      </c>
      <c r="T206" t="str">
        <f t="shared" si="1"/>
        <v/>
      </c>
      <c r="U206" t="str">
        <f t="shared" si="2"/>
        <v/>
      </c>
      <c r="V206" t="str">
        <f>IF(OR(U206="",U206="ERRO_CHAVE"),"",IFERROR(MATCH(U206,Fornecedores!$AF$1:$AF$6631,0),""))</f>
        <v/>
      </c>
      <c r="W206" t="str">
        <f t="shared" si="3"/>
        <v/>
      </c>
      <c r="X206" s="4" t="str">
        <f>IF(V206="","",INDEX(Fornecedores!$X$1:$X$6631,V206))</f>
        <v/>
      </c>
      <c r="Y206" s="4" t="str">
        <f t="shared" si="4"/>
        <v/>
      </c>
    </row>
    <row r="207" spans="19:25">
      <c r="S207" t="str">
        <f t="shared" si="0"/>
        <v/>
      </c>
      <c r="T207" t="str">
        <f t="shared" si="1"/>
        <v/>
      </c>
      <c r="U207" t="str">
        <f t="shared" si="2"/>
        <v/>
      </c>
      <c r="V207" t="str">
        <f>IF(OR(U207="",U207="ERRO_CHAVE"),"",IFERROR(MATCH(U207,Fornecedores!$AF$1:$AF$6631,0),""))</f>
        <v/>
      </c>
      <c r="W207" t="str">
        <f t="shared" si="3"/>
        <v/>
      </c>
      <c r="X207" s="4" t="str">
        <f>IF(V207="","",INDEX(Fornecedores!$X$1:$X$6631,V207))</f>
        <v/>
      </c>
      <c r="Y207" s="4" t="str">
        <f t="shared" si="4"/>
        <v/>
      </c>
    </row>
    <row r="208" spans="19:25">
      <c r="S208" t="str">
        <f t="shared" si="0"/>
        <v/>
      </c>
      <c r="T208" t="str">
        <f t="shared" si="1"/>
        <v/>
      </c>
      <c r="U208" t="str">
        <f t="shared" si="2"/>
        <v/>
      </c>
      <c r="V208" t="str">
        <f>IF(OR(U208="",U208="ERRO_CHAVE"),"",IFERROR(MATCH(U208,Fornecedores!$AF$1:$AF$6631,0),""))</f>
        <v/>
      </c>
      <c r="W208" t="str">
        <f t="shared" si="3"/>
        <v/>
      </c>
      <c r="X208" s="4" t="str">
        <f>IF(V208="","",INDEX(Fornecedores!$X$1:$X$6631,V208))</f>
        <v/>
      </c>
      <c r="Y208" s="4" t="str">
        <f t="shared" si="4"/>
        <v/>
      </c>
    </row>
    <row r="209" spans="19:25">
      <c r="S209" t="str">
        <f t="shared" si="0"/>
        <v/>
      </c>
      <c r="T209" t="str">
        <f t="shared" si="1"/>
        <v/>
      </c>
      <c r="U209" t="str">
        <f t="shared" si="2"/>
        <v/>
      </c>
      <c r="V209" t="str">
        <f>IF(OR(U209="",U209="ERRO_CHAVE"),"",IFERROR(MATCH(U209,Fornecedores!$AF$1:$AF$6631,0),""))</f>
        <v/>
      </c>
      <c r="W209" t="str">
        <f t="shared" si="3"/>
        <v/>
      </c>
      <c r="X209" s="4" t="str">
        <f>IF(V209="","",INDEX(Fornecedores!$X$1:$X$6631,V209))</f>
        <v/>
      </c>
      <c r="Y209" s="4" t="str">
        <f t="shared" si="4"/>
        <v/>
      </c>
    </row>
    <row r="210" spans="19:25">
      <c r="S210" t="str">
        <f t="shared" si="0"/>
        <v/>
      </c>
      <c r="T210" t="str">
        <f t="shared" si="1"/>
        <v/>
      </c>
      <c r="U210" t="str">
        <f t="shared" si="2"/>
        <v/>
      </c>
      <c r="V210" t="str">
        <f>IF(OR(U210="",U210="ERRO_CHAVE"),"",IFERROR(MATCH(U210,Fornecedores!$AF$1:$AF$6631,0),""))</f>
        <v/>
      </c>
      <c r="W210" t="str">
        <f t="shared" si="3"/>
        <v/>
      </c>
      <c r="X210" s="4" t="str">
        <f>IF(V210="","",INDEX(Fornecedores!$X$1:$X$6631,V210))</f>
        <v/>
      </c>
      <c r="Y210" s="4" t="str">
        <f t="shared" si="4"/>
        <v/>
      </c>
    </row>
    <row r="211" spans="19:25">
      <c r="S211" t="str">
        <f t="shared" si="0"/>
        <v/>
      </c>
      <c r="T211" t="str">
        <f t="shared" si="1"/>
        <v/>
      </c>
      <c r="U211" t="str">
        <f t="shared" si="2"/>
        <v/>
      </c>
      <c r="V211" t="str">
        <f>IF(OR(U211="",U211="ERRO_CHAVE"),"",IFERROR(MATCH(U211,Fornecedores!$AF$1:$AF$6631,0),""))</f>
        <v/>
      </c>
      <c r="W211" t="str">
        <f t="shared" si="3"/>
        <v/>
      </c>
      <c r="X211" s="4" t="str">
        <f>IF(V211="","",INDEX(Fornecedores!$X$1:$X$6631,V211))</f>
        <v/>
      </c>
      <c r="Y211" s="4" t="str">
        <f t="shared" si="4"/>
        <v/>
      </c>
    </row>
    <row r="212" spans="19:25">
      <c r="S212" t="str">
        <f t="shared" si="0"/>
        <v/>
      </c>
      <c r="T212" t="str">
        <f t="shared" si="1"/>
        <v/>
      </c>
      <c r="U212" t="str">
        <f t="shared" si="2"/>
        <v/>
      </c>
      <c r="V212" t="str">
        <f>IF(OR(U212="",U212="ERRO_CHAVE"),"",IFERROR(MATCH(U212,Fornecedores!$AF$1:$AF$6631,0),""))</f>
        <v/>
      </c>
      <c r="W212" t="str">
        <f t="shared" si="3"/>
        <v/>
      </c>
      <c r="X212" s="4" t="str">
        <f>IF(V212="","",INDEX(Fornecedores!$X$1:$X$6631,V212))</f>
        <v/>
      </c>
      <c r="Y212" s="4" t="str">
        <f t="shared" si="4"/>
        <v/>
      </c>
    </row>
    <row r="213" spans="19:25">
      <c r="S213" t="str">
        <f t="shared" si="0"/>
        <v/>
      </c>
      <c r="T213" t="str">
        <f t="shared" si="1"/>
        <v/>
      </c>
      <c r="U213" t="str">
        <f t="shared" si="2"/>
        <v/>
      </c>
      <c r="V213" t="str">
        <f>IF(OR(U213="",U213="ERRO_CHAVE"),"",IFERROR(MATCH(U213,Fornecedores!$AF$1:$AF$6631,0),""))</f>
        <v/>
      </c>
      <c r="W213" t="str">
        <f t="shared" si="3"/>
        <v/>
      </c>
      <c r="X213" s="4" t="str">
        <f>IF(V213="","",INDEX(Fornecedores!$X$1:$X$6631,V213))</f>
        <v/>
      </c>
      <c r="Y213" s="4" t="str">
        <f t="shared" si="4"/>
        <v/>
      </c>
    </row>
    <row r="214" spans="19:25">
      <c r="S214" t="str">
        <f t="shared" si="0"/>
        <v/>
      </c>
      <c r="T214" t="str">
        <f t="shared" si="1"/>
        <v/>
      </c>
      <c r="U214" t="str">
        <f t="shared" si="2"/>
        <v/>
      </c>
      <c r="V214" t="str">
        <f>IF(OR(U214="",U214="ERRO_CHAVE"),"",IFERROR(MATCH(U214,Fornecedores!$AF$1:$AF$6631,0),""))</f>
        <v/>
      </c>
      <c r="W214" t="str">
        <f t="shared" si="3"/>
        <v/>
      </c>
      <c r="X214" s="4" t="str">
        <f>IF(V214="","",INDEX(Fornecedores!$X$1:$X$6631,V214))</f>
        <v/>
      </c>
      <c r="Y214" s="4" t="str">
        <f t="shared" si="4"/>
        <v/>
      </c>
    </row>
    <row r="215" spans="19:25">
      <c r="S215" t="str">
        <f t="shared" si="0"/>
        <v/>
      </c>
      <c r="T215" t="str">
        <f t="shared" si="1"/>
        <v/>
      </c>
      <c r="U215" t="str">
        <f t="shared" si="2"/>
        <v/>
      </c>
      <c r="V215" t="str">
        <f>IF(OR(U215="",U215="ERRO_CHAVE"),"",IFERROR(MATCH(U215,Fornecedores!$AF$1:$AF$6631,0),""))</f>
        <v/>
      </c>
      <c r="W215" t="str">
        <f t="shared" si="3"/>
        <v/>
      </c>
      <c r="X215" s="4" t="str">
        <f>IF(V215="","",INDEX(Fornecedores!$X$1:$X$6631,V215))</f>
        <v/>
      </c>
      <c r="Y215" s="4" t="str">
        <f t="shared" si="4"/>
        <v/>
      </c>
    </row>
    <row r="216" spans="19:25">
      <c r="S216" t="str">
        <f t="shared" si="0"/>
        <v/>
      </c>
      <c r="T216" t="str">
        <f t="shared" si="1"/>
        <v/>
      </c>
      <c r="U216" t="str">
        <f t="shared" si="2"/>
        <v/>
      </c>
      <c r="V216" t="str">
        <f>IF(OR(U216="",U216="ERRO_CHAVE"),"",IFERROR(MATCH(U216,Fornecedores!$AF$1:$AF$6631,0),""))</f>
        <v/>
      </c>
      <c r="W216" t="str">
        <f t="shared" si="3"/>
        <v/>
      </c>
      <c r="X216" s="4" t="str">
        <f>IF(V216="","",INDEX(Fornecedores!$X$1:$X$6631,V216))</f>
        <v/>
      </c>
      <c r="Y216" s="4" t="str">
        <f t="shared" si="4"/>
        <v/>
      </c>
    </row>
    <row r="217" spans="19:25">
      <c r="S217" t="str">
        <f t="shared" si="0"/>
        <v/>
      </c>
      <c r="T217" t="str">
        <f t="shared" si="1"/>
        <v/>
      </c>
      <c r="U217" t="str">
        <f t="shared" si="2"/>
        <v/>
      </c>
      <c r="V217" t="str">
        <f>IF(OR(U217="",U217="ERRO_CHAVE"),"",IFERROR(MATCH(U217,Fornecedores!$AF$1:$AF$6631,0),""))</f>
        <v/>
      </c>
      <c r="W217" t="str">
        <f t="shared" si="3"/>
        <v/>
      </c>
      <c r="X217" s="4" t="str">
        <f>IF(V217="","",INDEX(Fornecedores!$X$1:$X$6631,V217))</f>
        <v/>
      </c>
      <c r="Y217" s="4" t="str">
        <f t="shared" si="4"/>
        <v/>
      </c>
    </row>
    <row r="218" spans="19:25">
      <c r="S218" t="str">
        <f t="shared" si="0"/>
        <v/>
      </c>
      <c r="T218" t="str">
        <f t="shared" si="1"/>
        <v/>
      </c>
      <c r="U218" t="str">
        <f t="shared" si="2"/>
        <v/>
      </c>
      <c r="V218" t="str">
        <f>IF(OR(U218="",U218="ERRO_CHAVE"),"",IFERROR(MATCH(U218,Fornecedores!$AF$1:$AF$6631,0),""))</f>
        <v/>
      </c>
      <c r="W218" t="str">
        <f t="shared" si="3"/>
        <v/>
      </c>
      <c r="X218" s="4" t="str">
        <f>IF(V218="","",INDEX(Fornecedores!$X$1:$X$6631,V218))</f>
        <v/>
      </c>
      <c r="Y218" s="4" t="str">
        <f t="shared" si="4"/>
        <v/>
      </c>
    </row>
    <row r="219" spans="19:25">
      <c r="S219" t="str">
        <f t="shared" si="0"/>
        <v/>
      </c>
      <c r="T219" t="str">
        <f t="shared" si="1"/>
        <v/>
      </c>
      <c r="U219" t="str">
        <f t="shared" si="2"/>
        <v/>
      </c>
      <c r="V219" t="str">
        <f>IF(OR(U219="",U219="ERRO_CHAVE"),"",IFERROR(MATCH(U219,Fornecedores!$AF$1:$AF$6631,0),""))</f>
        <v/>
      </c>
      <c r="W219" t="str">
        <f t="shared" si="3"/>
        <v/>
      </c>
      <c r="X219" s="4" t="str">
        <f>IF(V219="","",INDEX(Fornecedores!$X$1:$X$6631,V219))</f>
        <v/>
      </c>
      <c r="Y219" s="4" t="str">
        <f t="shared" si="4"/>
        <v/>
      </c>
    </row>
    <row r="220" spans="19:25">
      <c r="S220" t="str">
        <f t="shared" si="0"/>
        <v/>
      </c>
      <c r="T220" t="str">
        <f t="shared" si="1"/>
        <v/>
      </c>
      <c r="U220" t="str">
        <f t="shared" si="2"/>
        <v/>
      </c>
      <c r="V220" t="str">
        <f>IF(OR(U220="",U220="ERRO_CHAVE"),"",IFERROR(MATCH(U220,Fornecedores!$AF$1:$AF$6631,0),""))</f>
        <v/>
      </c>
      <c r="W220" t="str">
        <f t="shared" si="3"/>
        <v/>
      </c>
      <c r="X220" s="4" t="str">
        <f>IF(V220="","",INDEX(Fornecedores!$X$1:$X$6631,V220))</f>
        <v/>
      </c>
      <c r="Y220" s="4" t="str">
        <f t="shared" si="4"/>
        <v/>
      </c>
    </row>
    <row r="221" spans="19:25">
      <c r="S221" t="str">
        <f t="shared" si="0"/>
        <v/>
      </c>
      <c r="T221" t="str">
        <f t="shared" si="1"/>
        <v/>
      </c>
      <c r="U221" t="str">
        <f t="shared" si="2"/>
        <v/>
      </c>
      <c r="V221" t="str">
        <f>IF(OR(U221="",U221="ERRO_CHAVE"),"",IFERROR(MATCH(U221,Fornecedores!$AF$1:$AF$6631,0),""))</f>
        <v/>
      </c>
      <c r="W221" t="str">
        <f t="shared" si="3"/>
        <v/>
      </c>
      <c r="X221" s="4" t="str">
        <f>IF(V221="","",INDEX(Fornecedores!$X$1:$X$6631,V221))</f>
        <v/>
      </c>
      <c r="Y221" s="4" t="str">
        <f t="shared" si="4"/>
        <v/>
      </c>
    </row>
    <row r="222" spans="19:25">
      <c r="S222" t="str">
        <f t="shared" si="0"/>
        <v/>
      </c>
      <c r="T222" t="str">
        <f t="shared" si="1"/>
        <v/>
      </c>
      <c r="U222" t="str">
        <f t="shared" si="2"/>
        <v/>
      </c>
      <c r="V222" t="str">
        <f>IF(OR(U222="",U222="ERRO_CHAVE"),"",IFERROR(MATCH(U222,Fornecedores!$AF$1:$AF$6631,0),""))</f>
        <v/>
      </c>
      <c r="W222" t="str">
        <f t="shared" si="3"/>
        <v/>
      </c>
      <c r="X222" s="4" t="str">
        <f>IF(V222="","",INDEX(Fornecedores!$X$1:$X$6631,V222))</f>
        <v/>
      </c>
      <c r="Y222" s="4" t="str">
        <f t="shared" si="4"/>
        <v/>
      </c>
    </row>
    <row r="223" spans="19:25">
      <c r="S223" t="str">
        <f t="shared" si="0"/>
        <v/>
      </c>
      <c r="T223" t="str">
        <f t="shared" si="1"/>
        <v/>
      </c>
      <c r="U223" t="str">
        <f t="shared" si="2"/>
        <v/>
      </c>
      <c r="V223" t="str">
        <f>IF(OR(U223="",U223="ERRO_CHAVE"),"",IFERROR(MATCH(U223,Fornecedores!$AF$1:$AF$6631,0),""))</f>
        <v/>
      </c>
      <c r="W223" t="str">
        <f t="shared" si="3"/>
        <v/>
      </c>
      <c r="X223" s="4" t="str">
        <f>IF(V223="","",INDEX(Fornecedores!$X$1:$X$6631,V223))</f>
        <v/>
      </c>
      <c r="Y223" s="4" t="str">
        <f t="shared" si="4"/>
        <v/>
      </c>
    </row>
    <row r="224" spans="19:25">
      <c r="S224" t="str">
        <f t="shared" si="0"/>
        <v/>
      </c>
      <c r="T224" t="str">
        <f t="shared" si="1"/>
        <v/>
      </c>
      <c r="U224" t="str">
        <f t="shared" si="2"/>
        <v/>
      </c>
      <c r="V224" t="str">
        <f>IF(OR(U224="",U224="ERRO_CHAVE"),"",IFERROR(MATCH(U224,Fornecedores!$AF$1:$AF$6631,0),""))</f>
        <v/>
      </c>
      <c r="W224" t="str">
        <f t="shared" si="3"/>
        <v/>
      </c>
      <c r="X224" s="4" t="str">
        <f>IF(V224="","",INDEX(Fornecedores!$X$1:$X$6631,V224))</f>
        <v/>
      </c>
      <c r="Y224" s="4" t="str">
        <f t="shared" si="4"/>
        <v/>
      </c>
    </row>
    <row r="225" spans="19:25">
      <c r="S225" t="str">
        <f t="shared" si="0"/>
        <v/>
      </c>
      <c r="T225" t="str">
        <f t="shared" si="1"/>
        <v/>
      </c>
      <c r="U225" t="str">
        <f t="shared" si="2"/>
        <v/>
      </c>
      <c r="V225" t="str">
        <f>IF(OR(U225="",U225="ERRO_CHAVE"),"",IFERROR(MATCH(U225,Fornecedores!$AF$1:$AF$6631,0),""))</f>
        <v/>
      </c>
      <c r="W225" t="str">
        <f t="shared" si="3"/>
        <v/>
      </c>
      <c r="X225" s="4" t="str">
        <f>IF(V225="","",INDEX(Fornecedores!$X$1:$X$6631,V225))</f>
        <v/>
      </c>
      <c r="Y225" s="4" t="str">
        <f t="shared" si="4"/>
        <v/>
      </c>
    </row>
    <row r="226" spans="19:25">
      <c r="S226" t="str">
        <f t="shared" si="0"/>
        <v/>
      </c>
      <c r="T226" t="str">
        <f t="shared" si="1"/>
        <v/>
      </c>
      <c r="U226" t="str">
        <f t="shared" si="2"/>
        <v/>
      </c>
      <c r="V226" t="str">
        <f>IF(OR(U226="",U226="ERRO_CHAVE"),"",IFERROR(MATCH(U226,Fornecedores!$AF$1:$AF$6631,0),""))</f>
        <v/>
      </c>
      <c r="W226" t="str">
        <f t="shared" si="3"/>
        <v/>
      </c>
      <c r="X226" s="4" t="str">
        <f>IF(V226="","",INDEX(Fornecedores!$X$1:$X$6631,V226))</f>
        <v/>
      </c>
      <c r="Y226" s="4" t="str">
        <f t="shared" si="4"/>
        <v/>
      </c>
    </row>
    <row r="227" spans="19:25">
      <c r="S227" t="str">
        <f t="shared" si="0"/>
        <v/>
      </c>
      <c r="T227" t="str">
        <f t="shared" si="1"/>
        <v/>
      </c>
      <c r="U227" t="str">
        <f t="shared" si="2"/>
        <v/>
      </c>
      <c r="V227" t="str">
        <f>IF(OR(U227="",U227="ERRO_CHAVE"),"",IFERROR(MATCH(U227,Fornecedores!$AF$1:$AF$6631,0),""))</f>
        <v/>
      </c>
      <c r="W227" t="str">
        <f t="shared" si="3"/>
        <v/>
      </c>
      <c r="X227" s="4" t="str">
        <f>IF(V227="","",INDEX(Fornecedores!$X$1:$X$6631,V227))</f>
        <v/>
      </c>
      <c r="Y227" s="4" t="str">
        <f t="shared" si="4"/>
        <v/>
      </c>
    </row>
    <row r="228" spans="19:25">
      <c r="S228" t="str">
        <f t="shared" si="0"/>
        <v/>
      </c>
      <c r="T228" t="str">
        <f t="shared" si="1"/>
        <v/>
      </c>
      <c r="U228" t="str">
        <f t="shared" si="2"/>
        <v/>
      </c>
      <c r="V228" t="str">
        <f>IF(OR(U228="",U228="ERRO_CHAVE"),"",IFERROR(MATCH(U228,Fornecedores!$AF$1:$AF$6631,0),""))</f>
        <v/>
      </c>
      <c r="W228" t="str">
        <f t="shared" si="3"/>
        <v/>
      </c>
      <c r="X228" s="4" t="str">
        <f>IF(V228="","",INDEX(Fornecedores!$X$1:$X$6631,V228))</f>
        <v/>
      </c>
      <c r="Y228" s="4" t="str">
        <f t="shared" si="4"/>
        <v/>
      </c>
    </row>
    <row r="229" spans="19:25">
      <c r="S229" t="str">
        <f t="shared" si="0"/>
        <v/>
      </c>
      <c r="T229" t="str">
        <f t="shared" si="1"/>
        <v/>
      </c>
      <c r="U229" t="str">
        <f t="shared" si="2"/>
        <v/>
      </c>
      <c r="V229" t="str">
        <f>IF(OR(U229="",U229="ERRO_CHAVE"),"",IFERROR(MATCH(U229,Fornecedores!$AF$1:$AF$6631,0),""))</f>
        <v/>
      </c>
      <c r="W229" t="str">
        <f t="shared" si="3"/>
        <v/>
      </c>
      <c r="X229" s="4" t="str">
        <f>IF(V229="","",INDEX(Fornecedores!$X$1:$X$6631,V229))</f>
        <v/>
      </c>
      <c r="Y229" s="4" t="str">
        <f t="shared" si="4"/>
        <v/>
      </c>
    </row>
    <row r="230" spans="19:25">
      <c r="S230" t="str">
        <f t="shared" si="0"/>
        <v/>
      </c>
      <c r="T230" t="str">
        <f t="shared" si="1"/>
        <v/>
      </c>
      <c r="U230" t="str">
        <f t="shared" si="2"/>
        <v/>
      </c>
      <c r="V230" t="str">
        <f>IF(OR(U230="",U230="ERRO_CHAVE"),"",IFERROR(MATCH(U230,Fornecedores!$AF$1:$AF$6631,0),""))</f>
        <v/>
      </c>
      <c r="W230" t="str">
        <f t="shared" si="3"/>
        <v/>
      </c>
      <c r="X230" s="4" t="str">
        <f>IF(V230="","",INDEX(Fornecedores!$X$1:$X$6631,V230))</f>
        <v/>
      </c>
      <c r="Y230" s="4" t="str">
        <f t="shared" si="4"/>
        <v/>
      </c>
    </row>
    <row r="231" spans="19:25">
      <c r="S231" t="str">
        <f t="shared" si="0"/>
        <v/>
      </c>
      <c r="T231" t="str">
        <f t="shared" si="1"/>
        <v/>
      </c>
      <c r="U231" t="str">
        <f t="shared" si="2"/>
        <v/>
      </c>
      <c r="V231" t="str">
        <f>IF(OR(U231="",U231="ERRO_CHAVE"),"",IFERROR(MATCH(U231,Fornecedores!$AF$1:$AF$6631,0),""))</f>
        <v/>
      </c>
      <c r="W231" t="str">
        <f t="shared" si="3"/>
        <v/>
      </c>
      <c r="X231" s="4" t="str">
        <f>IF(V231="","",INDEX(Fornecedores!$X$1:$X$6631,V231))</f>
        <v/>
      </c>
      <c r="Y231" s="4" t="str">
        <f t="shared" si="4"/>
        <v/>
      </c>
    </row>
    <row r="232" spans="19:25">
      <c r="S232" t="str">
        <f t="shared" si="0"/>
        <v/>
      </c>
      <c r="T232" t="str">
        <f t="shared" si="1"/>
        <v/>
      </c>
      <c r="U232" t="str">
        <f t="shared" si="2"/>
        <v/>
      </c>
      <c r="V232" t="str">
        <f>IF(OR(U232="",U232="ERRO_CHAVE"),"",IFERROR(MATCH(U232,Fornecedores!$AF$1:$AF$6631,0),""))</f>
        <v/>
      </c>
      <c r="W232" t="str">
        <f t="shared" si="3"/>
        <v/>
      </c>
      <c r="X232" s="4" t="str">
        <f>IF(V232="","",INDEX(Fornecedores!$X$1:$X$6631,V232))</f>
        <v/>
      </c>
      <c r="Y232" s="4" t="str">
        <f t="shared" si="4"/>
        <v/>
      </c>
    </row>
    <row r="233" spans="19:25">
      <c r="S233" t="str">
        <f t="shared" si="0"/>
        <v/>
      </c>
      <c r="T233" t="str">
        <f t="shared" si="1"/>
        <v/>
      </c>
      <c r="U233" t="str">
        <f t="shared" si="2"/>
        <v/>
      </c>
      <c r="V233" t="str">
        <f>IF(OR(U233="",U233="ERRO_CHAVE"),"",IFERROR(MATCH(U233,Fornecedores!$AF$1:$AF$6631,0),""))</f>
        <v/>
      </c>
      <c r="W233" t="str">
        <f t="shared" si="3"/>
        <v/>
      </c>
      <c r="X233" s="4" t="str">
        <f>IF(V233="","",INDEX(Fornecedores!$X$1:$X$6631,V233))</f>
        <v/>
      </c>
      <c r="Y233" s="4" t="str">
        <f t="shared" si="4"/>
        <v/>
      </c>
    </row>
    <row r="234" spans="19:25">
      <c r="S234" t="str">
        <f t="shared" si="0"/>
        <v/>
      </c>
      <c r="T234" t="str">
        <f t="shared" si="1"/>
        <v/>
      </c>
      <c r="U234" t="str">
        <f t="shared" si="2"/>
        <v/>
      </c>
      <c r="V234" t="str">
        <f>IF(OR(U234="",U234="ERRO_CHAVE"),"",IFERROR(MATCH(U234,Fornecedores!$AF$1:$AF$6631,0),""))</f>
        <v/>
      </c>
      <c r="W234" t="str">
        <f t="shared" si="3"/>
        <v/>
      </c>
      <c r="X234" s="4" t="str">
        <f>IF(V234="","",INDEX(Fornecedores!$X$1:$X$6631,V234))</f>
        <v/>
      </c>
      <c r="Y234" s="4" t="str">
        <f t="shared" si="4"/>
        <v/>
      </c>
    </row>
    <row r="235" spans="19:25">
      <c r="S235" t="str">
        <f t="shared" si="0"/>
        <v/>
      </c>
      <c r="T235" t="str">
        <f t="shared" si="1"/>
        <v/>
      </c>
      <c r="U235" t="str">
        <f t="shared" si="2"/>
        <v/>
      </c>
      <c r="V235" t="str">
        <f>IF(OR(U235="",U235="ERRO_CHAVE"),"",IFERROR(MATCH(U235,Fornecedores!$AF$1:$AF$6631,0),""))</f>
        <v/>
      </c>
      <c r="W235" t="str">
        <f t="shared" si="3"/>
        <v/>
      </c>
      <c r="X235" s="4" t="str">
        <f>IF(V235="","",INDEX(Fornecedores!$X$1:$X$6631,V235))</f>
        <v/>
      </c>
      <c r="Y235" s="4" t="str">
        <f t="shared" si="4"/>
        <v/>
      </c>
    </row>
    <row r="236" spans="19:25">
      <c r="S236" t="str">
        <f t="shared" si="0"/>
        <v/>
      </c>
      <c r="T236" t="str">
        <f t="shared" si="1"/>
        <v/>
      </c>
      <c r="U236" t="str">
        <f t="shared" si="2"/>
        <v/>
      </c>
      <c r="V236" t="str">
        <f>IF(OR(U236="",U236="ERRO_CHAVE"),"",IFERROR(MATCH(U236,Fornecedores!$AF$1:$AF$6631,0),""))</f>
        <v/>
      </c>
      <c r="W236" t="str">
        <f t="shared" si="3"/>
        <v/>
      </c>
      <c r="X236" s="4" t="str">
        <f>IF(V236="","",INDEX(Fornecedores!$X$1:$X$6631,V236))</f>
        <v/>
      </c>
      <c r="Y236" s="4" t="str">
        <f t="shared" si="4"/>
        <v/>
      </c>
    </row>
    <row r="237" spans="19:25">
      <c r="S237" t="str">
        <f t="shared" si="0"/>
        <v/>
      </c>
      <c r="T237" t="str">
        <f t="shared" si="1"/>
        <v/>
      </c>
      <c r="U237" t="str">
        <f t="shared" si="2"/>
        <v/>
      </c>
      <c r="V237" t="str">
        <f>IF(OR(U237="",U237="ERRO_CHAVE"),"",IFERROR(MATCH(U237,Fornecedores!$AF$1:$AF$6631,0),""))</f>
        <v/>
      </c>
      <c r="W237" t="str">
        <f t="shared" si="3"/>
        <v/>
      </c>
      <c r="X237" s="4" t="str">
        <f>IF(V237="","",INDEX(Fornecedores!$X$1:$X$6631,V237))</f>
        <v/>
      </c>
      <c r="Y237" s="4" t="str">
        <f t="shared" si="4"/>
        <v/>
      </c>
    </row>
    <row r="238" spans="19:25">
      <c r="S238" t="str">
        <f t="shared" si="0"/>
        <v/>
      </c>
      <c r="T238" t="str">
        <f t="shared" si="1"/>
        <v/>
      </c>
      <c r="U238" t="str">
        <f t="shared" si="2"/>
        <v/>
      </c>
      <c r="V238" t="str">
        <f>IF(OR(U238="",U238="ERRO_CHAVE"),"",IFERROR(MATCH(U238,Fornecedores!$AF$1:$AF$6631,0),""))</f>
        <v/>
      </c>
      <c r="W238" t="str">
        <f t="shared" si="3"/>
        <v/>
      </c>
      <c r="X238" s="4" t="str">
        <f>IF(V238="","",INDEX(Fornecedores!$X$1:$X$6631,V238))</f>
        <v/>
      </c>
      <c r="Y238" s="4" t="str">
        <f t="shared" si="4"/>
        <v/>
      </c>
    </row>
    <row r="239" spans="19:25">
      <c r="S239" t="str">
        <f t="shared" si="0"/>
        <v/>
      </c>
      <c r="T239" t="str">
        <f t="shared" si="1"/>
        <v/>
      </c>
      <c r="U239" t="str">
        <f t="shared" si="2"/>
        <v/>
      </c>
      <c r="V239" t="str">
        <f>IF(OR(U239="",U239="ERRO_CHAVE"),"",IFERROR(MATCH(U239,Fornecedores!$AF$1:$AF$6631,0),""))</f>
        <v/>
      </c>
      <c r="W239" t="str">
        <f t="shared" si="3"/>
        <v/>
      </c>
      <c r="X239" s="4" t="str">
        <f>IF(V239="","",INDEX(Fornecedores!$X$1:$X$6631,V239))</f>
        <v/>
      </c>
      <c r="Y239" s="4" t="str">
        <f t="shared" si="4"/>
        <v/>
      </c>
    </row>
    <row r="240" spans="19:25">
      <c r="S240" t="str">
        <f t="shared" si="0"/>
        <v/>
      </c>
      <c r="T240" t="str">
        <f t="shared" si="1"/>
        <v/>
      </c>
      <c r="U240" t="str">
        <f t="shared" si="2"/>
        <v/>
      </c>
      <c r="V240" t="str">
        <f>IF(OR(U240="",U240="ERRO_CHAVE"),"",IFERROR(MATCH(U240,Fornecedores!$AF$1:$AF$6631,0),""))</f>
        <v/>
      </c>
      <c r="W240" t="str">
        <f t="shared" si="3"/>
        <v/>
      </c>
      <c r="X240" s="4" t="str">
        <f>IF(V240="","",INDEX(Fornecedores!$X$1:$X$6631,V240))</f>
        <v/>
      </c>
      <c r="Y240" s="4" t="str">
        <f t="shared" si="4"/>
        <v/>
      </c>
    </row>
    <row r="241" spans="19:25">
      <c r="S241" t="str">
        <f t="shared" si="0"/>
        <v/>
      </c>
      <c r="T241" t="str">
        <f t="shared" si="1"/>
        <v/>
      </c>
      <c r="U241" t="str">
        <f t="shared" si="2"/>
        <v/>
      </c>
      <c r="V241" t="str">
        <f>IF(OR(U241="",U241="ERRO_CHAVE"),"",IFERROR(MATCH(U241,Fornecedores!$AF$1:$AF$6631,0),""))</f>
        <v/>
      </c>
      <c r="W241" t="str">
        <f t="shared" si="3"/>
        <v/>
      </c>
      <c r="X241" s="4" t="str">
        <f>IF(V241="","",INDEX(Fornecedores!$X$1:$X$6631,V241))</f>
        <v/>
      </c>
      <c r="Y241" s="4" t="str">
        <f t="shared" si="4"/>
        <v/>
      </c>
    </row>
    <row r="242" spans="19:25">
      <c r="S242" t="str">
        <f t="shared" si="0"/>
        <v/>
      </c>
      <c r="T242" t="str">
        <f t="shared" si="1"/>
        <v/>
      </c>
      <c r="U242" t="str">
        <f t="shared" si="2"/>
        <v/>
      </c>
      <c r="V242" t="str">
        <f>IF(OR(U242="",U242="ERRO_CHAVE"),"",IFERROR(MATCH(U242,Fornecedores!$AF$1:$AF$6631,0),""))</f>
        <v/>
      </c>
      <c r="W242" t="str">
        <f t="shared" si="3"/>
        <v/>
      </c>
      <c r="X242" s="4" t="str">
        <f>IF(V242="","",INDEX(Fornecedores!$X$1:$X$6631,V242))</f>
        <v/>
      </c>
      <c r="Y242" s="4" t="str">
        <f t="shared" si="4"/>
        <v/>
      </c>
    </row>
    <row r="243" spans="19:25">
      <c r="S243" t="str">
        <f t="shared" si="0"/>
        <v/>
      </c>
      <c r="T243" t="str">
        <f t="shared" si="1"/>
        <v/>
      </c>
      <c r="U243" t="str">
        <f t="shared" si="2"/>
        <v/>
      </c>
      <c r="V243" t="str">
        <f>IF(OR(U243="",U243="ERRO_CHAVE"),"",IFERROR(MATCH(U243,Fornecedores!$AF$1:$AF$6631,0),""))</f>
        <v/>
      </c>
      <c r="W243" t="str">
        <f t="shared" si="3"/>
        <v/>
      </c>
      <c r="X243" s="4" t="str">
        <f>IF(V243="","",INDEX(Fornecedores!$X$1:$X$6631,V243))</f>
        <v/>
      </c>
      <c r="Y243" s="4" t="str">
        <f t="shared" si="4"/>
        <v/>
      </c>
    </row>
    <row r="244" spans="19:25">
      <c r="S244" t="str">
        <f t="shared" si="0"/>
        <v/>
      </c>
      <c r="T244" t="str">
        <f t="shared" si="1"/>
        <v/>
      </c>
      <c r="U244" t="str">
        <f t="shared" si="2"/>
        <v/>
      </c>
      <c r="V244" t="str">
        <f>IF(OR(U244="",U244="ERRO_CHAVE"),"",IFERROR(MATCH(U244,Fornecedores!$AF$1:$AF$6631,0),""))</f>
        <v/>
      </c>
      <c r="W244" t="str">
        <f t="shared" si="3"/>
        <v/>
      </c>
      <c r="X244" s="4" t="str">
        <f>IF(V244="","",INDEX(Fornecedores!$X$1:$X$6631,V244))</f>
        <v/>
      </c>
      <c r="Y244" s="4" t="str">
        <f t="shared" si="4"/>
        <v/>
      </c>
    </row>
    <row r="245" spans="19:25">
      <c r="S245" t="str">
        <f t="shared" si="0"/>
        <v/>
      </c>
      <c r="T245" t="str">
        <f t="shared" si="1"/>
        <v/>
      </c>
      <c r="U245" t="str">
        <f t="shared" si="2"/>
        <v/>
      </c>
      <c r="V245" t="str">
        <f>IF(OR(U245="",U245="ERRO_CHAVE"),"",IFERROR(MATCH(U245,Fornecedores!$AF$1:$AF$6631,0),""))</f>
        <v/>
      </c>
      <c r="W245" t="str">
        <f t="shared" si="3"/>
        <v/>
      </c>
      <c r="X245" s="4" t="str">
        <f>IF(V245="","",INDEX(Fornecedores!$X$1:$X$6631,V245))</f>
        <v/>
      </c>
      <c r="Y245" s="4" t="str">
        <f t="shared" si="4"/>
        <v/>
      </c>
    </row>
    <row r="246" spans="19:25">
      <c r="S246" t="str">
        <f t="shared" si="0"/>
        <v/>
      </c>
      <c r="T246" t="str">
        <f t="shared" si="1"/>
        <v/>
      </c>
      <c r="U246" t="str">
        <f t="shared" si="2"/>
        <v/>
      </c>
      <c r="V246" t="str">
        <f>IF(OR(U246="",U246="ERRO_CHAVE"),"",IFERROR(MATCH(U246,Fornecedores!$AF$1:$AF$6631,0),""))</f>
        <v/>
      </c>
      <c r="W246" t="str">
        <f t="shared" si="3"/>
        <v/>
      </c>
      <c r="X246" s="4" t="str">
        <f>IF(V246="","",INDEX(Fornecedores!$X$1:$X$6631,V246))</f>
        <v/>
      </c>
      <c r="Y246" s="4" t="str">
        <f t="shared" si="4"/>
        <v/>
      </c>
    </row>
    <row r="247" spans="19:25">
      <c r="S247" t="str">
        <f t="shared" si="0"/>
        <v/>
      </c>
      <c r="T247" t="str">
        <f t="shared" si="1"/>
        <v/>
      </c>
      <c r="U247" t="str">
        <f t="shared" si="2"/>
        <v/>
      </c>
      <c r="V247" t="str">
        <f>IF(OR(U247="",U247="ERRO_CHAVE"),"",IFERROR(MATCH(U247,Fornecedores!$AF$1:$AF$6631,0),""))</f>
        <v/>
      </c>
      <c r="W247" t="str">
        <f t="shared" si="3"/>
        <v/>
      </c>
      <c r="X247" s="4" t="str">
        <f>IF(V247="","",INDEX(Fornecedores!$X$1:$X$6631,V247))</f>
        <v/>
      </c>
      <c r="Y247" s="4" t="str">
        <f t="shared" si="4"/>
        <v/>
      </c>
    </row>
    <row r="248" spans="19:25">
      <c r="S248" t="str">
        <f t="shared" si="0"/>
        <v/>
      </c>
      <c r="T248" t="str">
        <f t="shared" si="1"/>
        <v/>
      </c>
      <c r="U248" t="str">
        <f t="shared" si="2"/>
        <v/>
      </c>
      <c r="V248" t="str">
        <f>IF(OR(U248="",U248="ERRO_CHAVE"),"",IFERROR(MATCH(U248,Fornecedores!$AF$1:$AF$6631,0),""))</f>
        <v/>
      </c>
      <c r="W248" t="str">
        <f t="shared" si="3"/>
        <v/>
      </c>
      <c r="X248" s="4" t="str">
        <f>IF(V248="","",INDEX(Fornecedores!$X$1:$X$6631,V248))</f>
        <v/>
      </c>
      <c r="Y248" s="4" t="str">
        <f t="shared" si="4"/>
        <v/>
      </c>
    </row>
    <row r="249" spans="19:25">
      <c r="S249" t="str">
        <f t="shared" si="0"/>
        <v/>
      </c>
      <c r="T249" t="str">
        <f t="shared" si="1"/>
        <v/>
      </c>
      <c r="U249" t="str">
        <f t="shared" si="2"/>
        <v/>
      </c>
      <c r="V249" t="str">
        <f>IF(OR(U249="",U249="ERRO_CHAVE"),"",IFERROR(MATCH(U249,Fornecedores!$AF$1:$AF$6631,0),""))</f>
        <v/>
      </c>
      <c r="W249" t="str">
        <f t="shared" si="3"/>
        <v/>
      </c>
      <c r="X249" s="4" t="str">
        <f>IF(V249="","",INDEX(Fornecedores!$X$1:$X$6631,V249))</f>
        <v/>
      </c>
      <c r="Y249" s="4" t="str">
        <f t="shared" si="4"/>
        <v/>
      </c>
    </row>
    <row r="250" spans="19:25">
      <c r="S250" t="str">
        <f t="shared" si="0"/>
        <v/>
      </c>
      <c r="T250" t="str">
        <f t="shared" si="1"/>
        <v/>
      </c>
      <c r="U250" t="str">
        <f t="shared" si="2"/>
        <v/>
      </c>
      <c r="V250" t="str">
        <f>IF(OR(U250="",U250="ERRO_CHAVE"),"",IFERROR(MATCH(U250,Fornecedores!$AF$1:$AF$6631,0),""))</f>
        <v/>
      </c>
      <c r="W250" t="str">
        <f t="shared" si="3"/>
        <v/>
      </c>
      <c r="X250" s="4" t="str">
        <f>IF(V250="","",INDEX(Fornecedores!$X$1:$X$6631,V250))</f>
        <v/>
      </c>
      <c r="Y250" s="4" t="str">
        <f t="shared" si="4"/>
        <v/>
      </c>
    </row>
    <row r="251" spans="19:25">
      <c r="S251" t="str">
        <f t="shared" si="0"/>
        <v/>
      </c>
      <c r="T251" t="str">
        <f t="shared" si="1"/>
        <v/>
      </c>
      <c r="U251" t="str">
        <f t="shared" si="2"/>
        <v/>
      </c>
      <c r="V251" t="str">
        <f>IF(OR(U251="",U251="ERRO_CHAVE"),"",IFERROR(MATCH(U251,Fornecedores!$AF$1:$AF$6631,0),""))</f>
        <v/>
      </c>
      <c r="W251" t="str">
        <f t="shared" si="3"/>
        <v/>
      </c>
      <c r="X251" s="4" t="str">
        <f>IF(V251="","",INDEX(Fornecedores!$X$1:$X$6631,V251))</f>
        <v/>
      </c>
      <c r="Y251" s="4" t="str">
        <f t="shared" si="4"/>
        <v/>
      </c>
    </row>
    <row r="252" spans="19:25">
      <c r="S252" t="str">
        <f t="shared" si="0"/>
        <v/>
      </c>
      <c r="T252" t="str">
        <f t="shared" si="1"/>
        <v/>
      </c>
      <c r="U252" t="str">
        <f t="shared" si="2"/>
        <v/>
      </c>
      <c r="V252" t="str">
        <f>IF(OR(U252="",U252="ERRO_CHAVE"),"",IFERROR(MATCH(U252,Fornecedores!$AF$1:$AF$6631,0),""))</f>
        <v/>
      </c>
      <c r="W252" t="str">
        <f t="shared" si="3"/>
        <v/>
      </c>
      <c r="X252" s="4" t="str">
        <f>IF(V252="","",INDEX(Fornecedores!$X$1:$X$6631,V252))</f>
        <v/>
      </c>
      <c r="Y252" s="4" t="str">
        <f t="shared" si="4"/>
        <v/>
      </c>
    </row>
    <row r="253" spans="19:25">
      <c r="S253" t="str">
        <f t="shared" si="0"/>
        <v/>
      </c>
      <c r="T253" t="str">
        <f t="shared" si="1"/>
        <v/>
      </c>
      <c r="U253" t="str">
        <f t="shared" si="2"/>
        <v/>
      </c>
      <c r="V253" t="str">
        <f>IF(OR(U253="",U253="ERRO_CHAVE"),"",IFERROR(MATCH(U253,Fornecedores!$AF$1:$AF$6631,0),""))</f>
        <v/>
      </c>
      <c r="W253" t="str">
        <f t="shared" si="3"/>
        <v/>
      </c>
      <c r="X253" s="4" t="str">
        <f>IF(V253="","",INDEX(Fornecedores!$X$1:$X$6631,V253))</f>
        <v/>
      </c>
      <c r="Y253" s="4" t="str">
        <f t="shared" si="4"/>
        <v/>
      </c>
    </row>
    <row r="254" spans="19:25">
      <c r="S254" t="str">
        <f t="shared" si="0"/>
        <v/>
      </c>
      <c r="T254" t="str">
        <f t="shared" si="1"/>
        <v/>
      </c>
      <c r="U254" t="str">
        <f t="shared" si="2"/>
        <v/>
      </c>
      <c r="V254" t="str">
        <f>IF(OR(U254="",U254="ERRO_CHAVE"),"",IFERROR(MATCH(U254,Fornecedores!$AF$1:$AF$6631,0),""))</f>
        <v/>
      </c>
      <c r="W254" t="str">
        <f t="shared" si="3"/>
        <v/>
      </c>
      <c r="X254" s="4" t="str">
        <f>IF(V254="","",INDEX(Fornecedores!$X$1:$X$6631,V254))</f>
        <v/>
      </c>
      <c r="Y254" s="4" t="str">
        <f t="shared" si="4"/>
        <v/>
      </c>
    </row>
    <row r="255" spans="19:25">
      <c r="S255" t="str">
        <f t="shared" si="0"/>
        <v/>
      </c>
      <c r="T255" t="str">
        <f t="shared" si="1"/>
        <v/>
      </c>
      <c r="U255" t="str">
        <f t="shared" si="2"/>
        <v/>
      </c>
      <c r="V255" t="str">
        <f>IF(OR(U255="",U255="ERRO_CHAVE"),"",IFERROR(MATCH(U255,Fornecedores!$AF$1:$AF$6631,0),""))</f>
        <v/>
      </c>
      <c r="W255" t="str">
        <f t="shared" si="3"/>
        <v/>
      </c>
      <c r="X255" s="4" t="str">
        <f>IF(V255="","",INDEX(Fornecedores!$X$1:$X$6631,V255))</f>
        <v/>
      </c>
      <c r="Y255" s="4" t="str">
        <f t="shared" si="4"/>
        <v/>
      </c>
    </row>
    <row r="256" spans="19:25">
      <c r="S256" t="str">
        <f t="shared" si="0"/>
        <v/>
      </c>
      <c r="T256" t="str">
        <f t="shared" si="1"/>
        <v/>
      </c>
      <c r="U256" t="str">
        <f t="shared" si="2"/>
        <v/>
      </c>
      <c r="V256" t="str">
        <f>IF(OR(U256="",U256="ERRO_CHAVE"),"",IFERROR(MATCH(U256,Fornecedores!$AF$1:$AF$6631,0),""))</f>
        <v/>
      </c>
      <c r="W256" t="str">
        <f t="shared" si="3"/>
        <v/>
      </c>
      <c r="X256" s="4" t="str">
        <f>IF(V256="","",INDEX(Fornecedores!$X$1:$X$6631,V256))</f>
        <v/>
      </c>
      <c r="Y256" s="4" t="str">
        <f t="shared" si="4"/>
        <v/>
      </c>
    </row>
    <row r="257" spans="19:25">
      <c r="S257" t="str">
        <f t="shared" si="0"/>
        <v/>
      </c>
      <c r="T257" t="str">
        <f t="shared" si="1"/>
        <v/>
      </c>
      <c r="U257" t="str">
        <f t="shared" si="2"/>
        <v/>
      </c>
      <c r="V257" t="str">
        <f>IF(OR(U257="",U257="ERRO_CHAVE"),"",IFERROR(MATCH(U257,Fornecedores!$AF$1:$AF$6631,0),""))</f>
        <v/>
      </c>
      <c r="W257" t="str">
        <f t="shared" si="3"/>
        <v/>
      </c>
      <c r="X257" s="4" t="str">
        <f>IF(V257="","",INDEX(Fornecedores!$X$1:$X$6631,V257))</f>
        <v/>
      </c>
      <c r="Y257" s="4" t="str">
        <f t="shared" si="4"/>
        <v/>
      </c>
    </row>
    <row r="258" spans="19:25">
      <c r="S258" t="str">
        <f t="shared" si="0"/>
        <v/>
      </c>
      <c r="T258" t="str">
        <f t="shared" si="1"/>
        <v/>
      </c>
      <c r="U258" t="str">
        <f t="shared" si="2"/>
        <v/>
      </c>
      <c r="V258" t="str">
        <f>IF(OR(U258="",U258="ERRO_CHAVE"),"",IFERROR(MATCH(U258,Fornecedores!$AF$1:$AF$6631,0),""))</f>
        <v/>
      </c>
      <c r="W258" t="str">
        <f t="shared" si="3"/>
        <v/>
      </c>
      <c r="X258" s="4" t="str">
        <f>IF(V258="","",INDEX(Fornecedores!$X$1:$X$6631,V258))</f>
        <v/>
      </c>
      <c r="Y258" s="4" t="str">
        <f t="shared" si="4"/>
        <v/>
      </c>
    </row>
    <row r="259" spans="19:25">
      <c r="S259" t="str">
        <f t="shared" si="0"/>
        <v/>
      </c>
      <c r="T259" t="str">
        <f t="shared" si="1"/>
        <v/>
      </c>
      <c r="U259" t="str">
        <f t="shared" si="2"/>
        <v/>
      </c>
      <c r="V259" t="str">
        <f>IF(OR(U259="",U259="ERRO_CHAVE"),"",IFERROR(MATCH(U259,Fornecedores!$AF$1:$AF$6631,0),""))</f>
        <v/>
      </c>
      <c r="W259" t="str">
        <f t="shared" si="3"/>
        <v/>
      </c>
      <c r="X259" s="4" t="str">
        <f>IF(V259="","",INDEX(Fornecedores!$X$1:$X$6631,V259))</f>
        <v/>
      </c>
      <c r="Y259" s="4" t="str">
        <f t="shared" si="4"/>
        <v/>
      </c>
    </row>
    <row r="260" spans="19:25">
      <c r="S260" t="str">
        <f t="shared" si="0"/>
        <v/>
      </c>
      <c r="T260" t="str">
        <f t="shared" si="1"/>
        <v/>
      </c>
      <c r="U260" t="str">
        <f t="shared" si="2"/>
        <v/>
      </c>
      <c r="V260" t="str">
        <f>IF(OR(U260="",U260="ERRO_CHAVE"),"",IFERROR(MATCH(U260,Fornecedores!$AF$1:$AF$6631,0),""))</f>
        <v/>
      </c>
      <c r="W260" t="str">
        <f t="shared" si="3"/>
        <v/>
      </c>
      <c r="X260" s="4" t="str">
        <f>IF(V260="","",INDEX(Fornecedores!$X$1:$X$6631,V260))</f>
        <v/>
      </c>
      <c r="Y260" s="4" t="str">
        <f t="shared" si="4"/>
        <v/>
      </c>
    </row>
    <row r="261" spans="19:25">
      <c r="S261" t="str">
        <f t="shared" si="0"/>
        <v/>
      </c>
      <c r="T261" t="str">
        <f t="shared" si="1"/>
        <v/>
      </c>
      <c r="U261" t="str">
        <f t="shared" si="2"/>
        <v/>
      </c>
      <c r="V261" t="str">
        <f>IF(OR(U261="",U261="ERRO_CHAVE"),"",IFERROR(MATCH(U261,Fornecedores!$AF$1:$AF$6631,0),""))</f>
        <v/>
      </c>
      <c r="W261" t="str">
        <f t="shared" si="3"/>
        <v/>
      </c>
      <c r="X261" s="4" t="str">
        <f>IF(V261="","",INDEX(Fornecedores!$X$1:$X$6631,V261))</f>
        <v/>
      </c>
      <c r="Y261" s="4" t="str">
        <f t="shared" si="4"/>
        <v/>
      </c>
    </row>
    <row r="262" spans="19:25">
      <c r="S262" t="str">
        <f t="shared" si="0"/>
        <v/>
      </c>
      <c r="T262" t="str">
        <f t="shared" si="1"/>
        <v/>
      </c>
      <c r="U262" t="str">
        <f t="shared" si="2"/>
        <v/>
      </c>
      <c r="V262" t="str">
        <f>IF(OR(U262="",U262="ERRO_CHAVE"),"",IFERROR(MATCH(U262,Fornecedores!$AF$1:$AF$6631,0),""))</f>
        <v/>
      </c>
      <c r="W262" t="str">
        <f t="shared" si="3"/>
        <v/>
      </c>
      <c r="X262" s="4" t="str">
        <f>IF(V262="","",INDEX(Fornecedores!$X$1:$X$6631,V262))</f>
        <v/>
      </c>
      <c r="Y262" s="4" t="str">
        <f t="shared" si="4"/>
        <v/>
      </c>
    </row>
    <row r="263" spans="19:25">
      <c r="S263" t="str">
        <f t="shared" si="0"/>
        <v/>
      </c>
      <c r="T263" t="str">
        <f t="shared" si="1"/>
        <v/>
      </c>
      <c r="U263" t="str">
        <f t="shared" si="2"/>
        <v/>
      </c>
      <c r="V263" t="str">
        <f>IF(OR(U263="",U263="ERRO_CHAVE"),"",IFERROR(MATCH(U263,Fornecedores!$AF$1:$AF$6631,0),""))</f>
        <v/>
      </c>
      <c r="W263" t="str">
        <f t="shared" si="3"/>
        <v/>
      </c>
      <c r="X263" s="4" t="str">
        <f>IF(V263="","",INDEX(Fornecedores!$X$1:$X$6631,V263))</f>
        <v/>
      </c>
      <c r="Y263" s="4" t="str">
        <f t="shared" si="4"/>
        <v/>
      </c>
    </row>
    <row r="264" spans="19:25">
      <c r="S264" t="str">
        <f t="shared" si="0"/>
        <v/>
      </c>
      <c r="T264" t="str">
        <f t="shared" si="1"/>
        <v/>
      </c>
      <c r="U264" t="str">
        <f t="shared" si="2"/>
        <v/>
      </c>
      <c r="V264" t="str">
        <f>IF(OR(U264="",U264="ERRO_CHAVE"),"",IFERROR(MATCH(U264,Fornecedores!$AF$1:$AF$6631,0),""))</f>
        <v/>
      </c>
      <c r="W264" t="str">
        <f t="shared" si="3"/>
        <v/>
      </c>
      <c r="X264" s="4" t="str">
        <f>IF(V264="","",INDEX(Fornecedores!$X$1:$X$6631,V264))</f>
        <v/>
      </c>
      <c r="Y264" s="4" t="str">
        <f t="shared" si="4"/>
        <v/>
      </c>
    </row>
    <row r="265" spans="19:25">
      <c r="S265" t="str">
        <f t="shared" si="0"/>
        <v/>
      </c>
      <c r="T265" t="str">
        <f t="shared" si="1"/>
        <v/>
      </c>
      <c r="U265" t="str">
        <f t="shared" si="2"/>
        <v/>
      </c>
      <c r="V265" t="str">
        <f>IF(OR(U265="",U265="ERRO_CHAVE"),"",IFERROR(MATCH(U265,Fornecedores!$AF$1:$AF$6631,0),""))</f>
        <v/>
      </c>
      <c r="W265" t="str">
        <f t="shared" si="3"/>
        <v/>
      </c>
      <c r="X265" s="4" t="str">
        <f>IF(V265="","",INDEX(Fornecedores!$X$1:$X$6631,V265))</f>
        <v/>
      </c>
      <c r="Y265" s="4" t="str">
        <f t="shared" si="4"/>
        <v/>
      </c>
    </row>
    <row r="266" spans="19:25">
      <c r="S266" t="str">
        <f t="shared" si="0"/>
        <v/>
      </c>
      <c r="T266" t="str">
        <f t="shared" si="1"/>
        <v/>
      </c>
      <c r="U266" t="str">
        <f t="shared" si="2"/>
        <v/>
      </c>
      <c r="V266" t="str">
        <f>IF(OR(U266="",U266="ERRO_CHAVE"),"",IFERROR(MATCH(U266,Fornecedores!$AF$1:$AF$6631,0),""))</f>
        <v/>
      </c>
      <c r="W266" t="str">
        <f t="shared" si="3"/>
        <v/>
      </c>
      <c r="X266" s="4" t="str">
        <f>IF(V266="","",INDEX(Fornecedores!$X$1:$X$6631,V266))</f>
        <v/>
      </c>
      <c r="Y266" s="4" t="str">
        <f t="shared" si="4"/>
        <v/>
      </c>
    </row>
    <row r="267" spans="19:25">
      <c r="S267" t="str">
        <f t="shared" si="0"/>
        <v/>
      </c>
      <c r="T267" t="str">
        <f t="shared" si="1"/>
        <v/>
      </c>
      <c r="U267" t="str">
        <f t="shared" si="2"/>
        <v/>
      </c>
      <c r="V267" t="str">
        <f>IF(OR(U267="",U267="ERRO_CHAVE"),"",IFERROR(MATCH(U267,Fornecedores!$AF$1:$AF$6631,0),""))</f>
        <v/>
      </c>
      <c r="W267" t="str">
        <f t="shared" si="3"/>
        <v/>
      </c>
      <c r="X267" s="4" t="str">
        <f>IF(V267="","",INDEX(Fornecedores!$X$1:$X$6631,V267))</f>
        <v/>
      </c>
      <c r="Y267" s="4" t="str">
        <f t="shared" si="4"/>
        <v/>
      </c>
    </row>
    <row r="268" spans="19:25">
      <c r="S268" t="str">
        <f t="shared" si="0"/>
        <v/>
      </c>
      <c r="T268" t="str">
        <f t="shared" si="1"/>
        <v/>
      </c>
      <c r="U268" t="str">
        <f t="shared" si="2"/>
        <v/>
      </c>
      <c r="V268" t="str">
        <f>IF(OR(U268="",U268="ERRO_CHAVE"),"",IFERROR(MATCH(U268,Fornecedores!$AF$1:$AF$6631,0),""))</f>
        <v/>
      </c>
      <c r="W268" t="str">
        <f t="shared" si="3"/>
        <v/>
      </c>
      <c r="X268" s="4" t="str">
        <f>IF(V268="","",INDEX(Fornecedores!$X$1:$X$6631,V268))</f>
        <v/>
      </c>
      <c r="Y268" s="4" t="str">
        <f t="shared" si="4"/>
        <v/>
      </c>
    </row>
    <row r="269" spans="19:25">
      <c r="S269" t="str">
        <f t="shared" si="0"/>
        <v/>
      </c>
      <c r="T269" t="str">
        <f t="shared" si="1"/>
        <v/>
      </c>
      <c r="U269" t="str">
        <f t="shared" si="2"/>
        <v/>
      </c>
      <c r="V269" t="str">
        <f>IF(OR(U269="",U269="ERRO_CHAVE"),"",IFERROR(MATCH(U269,Fornecedores!$AF$1:$AF$6631,0),""))</f>
        <v/>
      </c>
      <c r="W269" t="str">
        <f t="shared" si="3"/>
        <v/>
      </c>
      <c r="X269" s="4" t="str">
        <f>IF(V269="","",INDEX(Fornecedores!$X$1:$X$6631,V269))</f>
        <v/>
      </c>
      <c r="Y269" s="4" t="str">
        <f t="shared" si="4"/>
        <v/>
      </c>
    </row>
    <row r="270" spans="19:25">
      <c r="S270" t="str">
        <f t="shared" si="0"/>
        <v/>
      </c>
      <c r="T270" t="str">
        <f t="shared" si="1"/>
        <v/>
      </c>
      <c r="U270" t="str">
        <f t="shared" si="2"/>
        <v/>
      </c>
      <c r="V270" t="str">
        <f>IF(OR(U270="",U270="ERRO_CHAVE"),"",IFERROR(MATCH(U270,Fornecedores!$AF$1:$AF$6631,0),""))</f>
        <v/>
      </c>
      <c r="W270" t="str">
        <f t="shared" si="3"/>
        <v/>
      </c>
      <c r="X270" s="4" t="str">
        <f>IF(V270="","",INDEX(Fornecedores!$X$1:$X$6631,V270))</f>
        <v/>
      </c>
      <c r="Y270" s="4" t="str">
        <f t="shared" si="4"/>
        <v/>
      </c>
    </row>
    <row r="271" spans="19:25">
      <c r="S271" t="str">
        <f t="shared" si="0"/>
        <v/>
      </c>
      <c r="T271" t="str">
        <f t="shared" si="1"/>
        <v/>
      </c>
      <c r="U271" t="str">
        <f t="shared" si="2"/>
        <v/>
      </c>
      <c r="V271" t="str">
        <f>IF(OR(U271="",U271="ERRO_CHAVE"),"",IFERROR(MATCH(U271,Fornecedores!$AF$1:$AF$6631,0),""))</f>
        <v/>
      </c>
      <c r="W271" t="str">
        <f t="shared" si="3"/>
        <v/>
      </c>
      <c r="X271" s="4" t="str">
        <f>IF(V271="","",INDEX(Fornecedores!$X$1:$X$6631,V271))</f>
        <v/>
      </c>
      <c r="Y271" s="4" t="str">
        <f t="shared" si="4"/>
        <v/>
      </c>
    </row>
    <row r="272" spans="19:25">
      <c r="S272" t="str">
        <f t="shared" si="0"/>
        <v/>
      </c>
      <c r="T272" t="str">
        <f t="shared" si="1"/>
        <v/>
      </c>
      <c r="U272" t="str">
        <f t="shared" si="2"/>
        <v/>
      </c>
      <c r="V272" t="str">
        <f>IF(OR(U272="",U272="ERRO_CHAVE"),"",IFERROR(MATCH(U272,Fornecedores!$AF$1:$AF$6631,0),""))</f>
        <v/>
      </c>
      <c r="W272" t="str">
        <f t="shared" si="3"/>
        <v/>
      </c>
      <c r="X272" s="4" t="str">
        <f>IF(V272="","",INDEX(Fornecedores!$X$1:$X$6631,V272))</f>
        <v/>
      </c>
      <c r="Y272" s="4" t="str">
        <f t="shared" si="4"/>
        <v/>
      </c>
    </row>
    <row r="273" spans="19:25">
      <c r="S273" t="str">
        <f t="shared" si="0"/>
        <v/>
      </c>
      <c r="T273" t="str">
        <f t="shared" si="1"/>
        <v/>
      </c>
      <c r="U273" t="str">
        <f t="shared" si="2"/>
        <v/>
      </c>
      <c r="V273" t="str">
        <f>IF(OR(U273="",U273="ERRO_CHAVE"),"",IFERROR(MATCH(U273,Fornecedores!$AF$1:$AF$6631,0),""))</f>
        <v/>
      </c>
      <c r="W273" t="str">
        <f t="shared" si="3"/>
        <v/>
      </c>
      <c r="X273" s="4" t="str">
        <f>IF(V273="","",INDEX(Fornecedores!$X$1:$X$6631,V273))</f>
        <v/>
      </c>
      <c r="Y273" s="4" t="str">
        <f t="shared" si="4"/>
        <v/>
      </c>
    </row>
    <row r="274" spans="19:25">
      <c r="S274" t="str">
        <f t="shared" si="0"/>
        <v/>
      </c>
      <c r="T274" t="str">
        <f t="shared" si="1"/>
        <v/>
      </c>
      <c r="U274" t="str">
        <f t="shared" si="2"/>
        <v/>
      </c>
      <c r="V274" t="str">
        <f>IF(OR(U274="",U274="ERRO_CHAVE"),"",IFERROR(MATCH(U274,Fornecedores!$AF$1:$AF$6631,0),""))</f>
        <v/>
      </c>
      <c r="W274" t="str">
        <f t="shared" si="3"/>
        <v/>
      </c>
      <c r="X274" s="4" t="str">
        <f>IF(V274="","",INDEX(Fornecedores!$X$1:$X$6631,V274))</f>
        <v/>
      </c>
      <c r="Y274" s="4" t="str">
        <f t="shared" si="4"/>
        <v/>
      </c>
    </row>
    <row r="275" spans="19:25">
      <c r="S275" t="str">
        <f t="shared" si="0"/>
        <v/>
      </c>
      <c r="T275" t="str">
        <f t="shared" si="1"/>
        <v/>
      </c>
      <c r="U275" t="str">
        <f t="shared" si="2"/>
        <v/>
      </c>
      <c r="V275" t="str">
        <f>IF(OR(U275="",U275="ERRO_CHAVE"),"",IFERROR(MATCH(U275,Fornecedores!$AF$1:$AF$6631,0),""))</f>
        <v/>
      </c>
      <c r="W275" t="str">
        <f t="shared" si="3"/>
        <v/>
      </c>
      <c r="X275" s="4" t="str">
        <f>IF(V275="","",INDEX(Fornecedores!$X$1:$X$6631,V275))</f>
        <v/>
      </c>
      <c r="Y275" s="4" t="str">
        <f t="shared" si="4"/>
        <v/>
      </c>
    </row>
    <row r="276" spans="19:25">
      <c r="S276" t="str">
        <f t="shared" si="0"/>
        <v/>
      </c>
      <c r="T276" t="str">
        <f t="shared" si="1"/>
        <v/>
      </c>
      <c r="U276" t="str">
        <f t="shared" si="2"/>
        <v/>
      </c>
      <c r="V276" t="str">
        <f>IF(OR(U276="",U276="ERRO_CHAVE"),"",IFERROR(MATCH(U276,Fornecedores!$AF$1:$AF$6631,0),""))</f>
        <v/>
      </c>
      <c r="W276" t="str">
        <f t="shared" si="3"/>
        <v/>
      </c>
      <c r="X276" s="4" t="str">
        <f>IF(V276="","",INDEX(Fornecedores!$X$1:$X$6631,V276))</f>
        <v/>
      </c>
      <c r="Y276" s="4" t="str">
        <f t="shared" si="4"/>
        <v/>
      </c>
    </row>
    <row r="277" spans="19:25">
      <c r="S277" t="str">
        <f t="shared" si="0"/>
        <v/>
      </c>
      <c r="T277" t="str">
        <f t="shared" si="1"/>
        <v/>
      </c>
      <c r="U277" t="str">
        <f t="shared" si="2"/>
        <v/>
      </c>
      <c r="V277" t="str">
        <f>IF(OR(U277="",U277="ERRO_CHAVE"),"",IFERROR(MATCH(U277,Fornecedores!$AF$1:$AF$6631,0),""))</f>
        <v/>
      </c>
      <c r="W277" t="str">
        <f t="shared" si="3"/>
        <v/>
      </c>
      <c r="X277" s="4" t="str">
        <f>IF(V277="","",INDEX(Fornecedores!$X$1:$X$6631,V277))</f>
        <v/>
      </c>
      <c r="Y277" s="4" t="str">
        <f t="shared" si="4"/>
        <v/>
      </c>
    </row>
    <row r="278" spans="19:25">
      <c r="S278" t="str">
        <f t="shared" si="0"/>
        <v/>
      </c>
      <c r="T278" t="str">
        <f t="shared" si="1"/>
        <v/>
      </c>
      <c r="U278" t="str">
        <f t="shared" si="2"/>
        <v/>
      </c>
      <c r="V278" t="str">
        <f>IF(OR(U278="",U278="ERRO_CHAVE"),"",IFERROR(MATCH(U278,Fornecedores!$AF$1:$AF$6631,0),""))</f>
        <v/>
      </c>
      <c r="W278" t="str">
        <f t="shared" si="3"/>
        <v/>
      </c>
      <c r="X278" s="4" t="str">
        <f>IF(V278="","",INDEX(Fornecedores!$X$1:$X$6631,V278))</f>
        <v/>
      </c>
      <c r="Y278" s="4" t="str">
        <f t="shared" si="4"/>
        <v/>
      </c>
    </row>
    <row r="279" spans="19:25">
      <c r="S279" t="str">
        <f t="shared" si="0"/>
        <v/>
      </c>
      <c r="T279" t="str">
        <f t="shared" si="1"/>
        <v/>
      </c>
      <c r="U279" t="str">
        <f t="shared" si="2"/>
        <v/>
      </c>
      <c r="V279" t="str">
        <f>IF(OR(U279="",U279="ERRO_CHAVE"),"",IFERROR(MATCH(U279,Fornecedores!$AF$1:$AF$6631,0),""))</f>
        <v/>
      </c>
      <c r="W279" t="str">
        <f t="shared" si="3"/>
        <v/>
      </c>
      <c r="X279" s="4" t="str">
        <f>IF(V279="","",INDEX(Fornecedores!$X$1:$X$6631,V279))</f>
        <v/>
      </c>
      <c r="Y279" s="4" t="str">
        <f t="shared" si="4"/>
        <v/>
      </c>
    </row>
    <row r="280" spans="19:25">
      <c r="S280" t="str">
        <f t="shared" si="0"/>
        <v/>
      </c>
      <c r="T280" t="str">
        <f t="shared" si="1"/>
        <v/>
      </c>
      <c r="U280" t="str">
        <f t="shared" si="2"/>
        <v/>
      </c>
      <c r="V280" t="str">
        <f>IF(OR(U280="",U280="ERRO_CHAVE"),"",IFERROR(MATCH(U280,Fornecedores!$AF$1:$AF$6631,0),""))</f>
        <v/>
      </c>
      <c r="W280" t="str">
        <f t="shared" si="3"/>
        <v/>
      </c>
      <c r="X280" s="4" t="str">
        <f>IF(V280="","",INDEX(Fornecedores!$X$1:$X$6631,V280))</f>
        <v/>
      </c>
      <c r="Y280" s="4" t="str">
        <f t="shared" si="4"/>
        <v/>
      </c>
    </row>
    <row r="281" spans="19:25">
      <c r="S281" t="str">
        <f t="shared" si="0"/>
        <v/>
      </c>
      <c r="T281" t="str">
        <f t="shared" si="1"/>
        <v/>
      </c>
      <c r="U281" t="str">
        <f t="shared" si="2"/>
        <v/>
      </c>
      <c r="V281" t="str">
        <f>IF(OR(U281="",U281="ERRO_CHAVE"),"",IFERROR(MATCH(U281,Fornecedores!$AF$1:$AF$6631,0),""))</f>
        <v/>
      </c>
      <c r="W281" t="str">
        <f t="shared" si="3"/>
        <v/>
      </c>
      <c r="X281" s="4" t="str">
        <f>IF(V281="","",INDEX(Fornecedores!$X$1:$X$6631,V281))</f>
        <v/>
      </c>
      <c r="Y281" s="4" t="str">
        <f t="shared" si="4"/>
        <v/>
      </c>
    </row>
    <row r="282" spans="19:25">
      <c r="S282" t="str">
        <f t="shared" si="0"/>
        <v/>
      </c>
      <c r="T282" t="str">
        <f t="shared" si="1"/>
        <v/>
      </c>
      <c r="U282" t="str">
        <f t="shared" si="2"/>
        <v/>
      </c>
      <c r="V282" t="str">
        <f>IF(OR(U282="",U282="ERRO_CHAVE"),"",IFERROR(MATCH(U282,Fornecedores!$AF$1:$AF$6631,0),""))</f>
        <v/>
      </c>
      <c r="W282" t="str">
        <f t="shared" si="3"/>
        <v/>
      </c>
      <c r="X282" s="4" t="str">
        <f>IF(V282="","",INDEX(Fornecedores!$X$1:$X$6631,V282))</f>
        <v/>
      </c>
      <c r="Y282" s="4" t="str">
        <f t="shared" si="4"/>
        <v/>
      </c>
    </row>
    <row r="283" spans="19:25">
      <c r="S283" t="str">
        <f t="shared" si="0"/>
        <v/>
      </c>
      <c r="T283" t="str">
        <f t="shared" si="1"/>
        <v/>
      </c>
      <c r="U283" t="str">
        <f t="shared" si="2"/>
        <v/>
      </c>
      <c r="V283" t="str">
        <f>IF(OR(U283="",U283="ERRO_CHAVE"),"",IFERROR(MATCH(U283,Fornecedores!$AF$1:$AF$6631,0),""))</f>
        <v/>
      </c>
      <c r="W283" t="str">
        <f t="shared" si="3"/>
        <v/>
      </c>
      <c r="X283" s="4" t="str">
        <f>IF(V283="","",INDEX(Fornecedores!$X$1:$X$6631,V283))</f>
        <v/>
      </c>
      <c r="Y283" s="4" t="str">
        <f t="shared" si="4"/>
        <v/>
      </c>
    </row>
    <row r="284" spans="19:25">
      <c r="S284" t="str">
        <f t="shared" si="0"/>
        <v/>
      </c>
      <c r="T284" t="str">
        <f t="shared" si="1"/>
        <v/>
      </c>
      <c r="U284" t="str">
        <f t="shared" si="2"/>
        <v/>
      </c>
      <c r="V284" t="str">
        <f>IF(OR(U284="",U284="ERRO_CHAVE"),"",IFERROR(MATCH(U284,Fornecedores!$AF$1:$AF$6631,0),""))</f>
        <v/>
      </c>
      <c r="W284" t="str">
        <f t="shared" si="3"/>
        <v/>
      </c>
      <c r="X284" s="4" t="str">
        <f>IF(V284="","",INDEX(Fornecedores!$X$1:$X$6631,V284))</f>
        <v/>
      </c>
      <c r="Y284" s="4" t="str">
        <f t="shared" si="4"/>
        <v/>
      </c>
    </row>
    <row r="285" spans="19:25">
      <c r="S285" t="str">
        <f t="shared" si="0"/>
        <v/>
      </c>
      <c r="T285" t="str">
        <f t="shared" si="1"/>
        <v/>
      </c>
      <c r="U285" t="str">
        <f t="shared" si="2"/>
        <v/>
      </c>
      <c r="V285" t="str">
        <f>IF(OR(U285="",U285="ERRO_CHAVE"),"",IFERROR(MATCH(U285,Fornecedores!$AF$1:$AF$6631,0),""))</f>
        <v/>
      </c>
      <c r="W285" t="str">
        <f t="shared" si="3"/>
        <v/>
      </c>
      <c r="X285" s="4" t="str">
        <f>IF(V285="","",INDEX(Fornecedores!$X$1:$X$6631,V285))</f>
        <v/>
      </c>
      <c r="Y285" s="4" t="str">
        <f t="shared" si="4"/>
        <v/>
      </c>
    </row>
    <row r="286" spans="19:25">
      <c r="S286" t="str">
        <f t="shared" si="0"/>
        <v/>
      </c>
      <c r="T286" t="str">
        <f t="shared" si="1"/>
        <v/>
      </c>
      <c r="U286" t="str">
        <f t="shared" si="2"/>
        <v/>
      </c>
      <c r="V286" t="str">
        <f>IF(OR(U286="",U286="ERRO_CHAVE"),"",IFERROR(MATCH(U286,Fornecedores!$AF$1:$AF$6631,0),""))</f>
        <v/>
      </c>
      <c r="W286" t="str">
        <f t="shared" si="3"/>
        <v/>
      </c>
      <c r="X286" s="4" t="str">
        <f>IF(V286="","",INDEX(Fornecedores!$X$1:$X$6631,V286))</f>
        <v/>
      </c>
      <c r="Y286" s="4" t="str">
        <f t="shared" si="4"/>
        <v/>
      </c>
    </row>
    <row r="287" spans="19:25">
      <c r="S287" t="str">
        <f t="shared" si="0"/>
        <v/>
      </c>
      <c r="T287" t="str">
        <f t="shared" si="1"/>
        <v/>
      </c>
      <c r="U287" t="str">
        <f t="shared" si="2"/>
        <v/>
      </c>
      <c r="V287" t="str">
        <f>IF(OR(U287="",U287="ERRO_CHAVE"),"",IFERROR(MATCH(U287,Fornecedores!$AF$1:$AF$6631,0),""))</f>
        <v/>
      </c>
      <c r="W287" t="str">
        <f t="shared" si="3"/>
        <v/>
      </c>
      <c r="X287" s="4" t="str">
        <f>IF(V287="","",INDEX(Fornecedores!$X$1:$X$6631,V287))</f>
        <v/>
      </c>
      <c r="Y287" s="4" t="str">
        <f t="shared" si="4"/>
        <v/>
      </c>
    </row>
    <row r="288" spans="19:25">
      <c r="S288" t="str">
        <f t="shared" si="0"/>
        <v/>
      </c>
      <c r="T288" t="str">
        <f t="shared" si="1"/>
        <v/>
      </c>
      <c r="U288" t="str">
        <f t="shared" si="2"/>
        <v/>
      </c>
      <c r="V288" t="str">
        <f>IF(OR(U288="",U288="ERRO_CHAVE"),"",IFERROR(MATCH(U288,Fornecedores!$AF$1:$AF$6631,0),""))</f>
        <v/>
      </c>
      <c r="W288" t="str">
        <f t="shared" si="3"/>
        <v/>
      </c>
      <c r="X288" s="4" t="str">
        <f>IF(V288="","",INDEX(Fornecedores!$X$1:$X$6631,V288))</f>
        <v/>
      </c>
      <c r="Y288" s="4" t="str">
        <f t="shared" si="4"/>
        <v/>
      </c>
    </row>
    <row r="289" spans="19:25">
      <c r="S289" t="str">
        <f t="shared" si="0"/>
        <v/>
      </c>
      <c r="T289" t="str">
        <f t="shared" si="1"/>
        <v/>
      </c>
      <c r="U289" t="str">
        <f t="shared" si="2"/>
        <v/>
      </c>
      <c r="V289" t="str">
        <f>IF(OR(U289="",U289="ERRO_CHAVE"),"",IFERROR(MATCH(U289,Fornecedores!$AF$1:$AF$6631,0),""))</f>
        <v/>
      </c>
      <c r="W289" t="str">
        <f t="shared" si="3"/>
        <v/>
      </c>
      <c r="X289" s="4" t="str">
        <f>IF(V289="","",INDEX(Fornecedores!$X$1:$X$6631,V289))</f>
        <v/>
      </c>
      <c r="Y289" s="4" t="str">
        <f t="shared" si="4"/>
        <v/>
      </c>
    </row>
    <row r="290" spans="19:25">
      <c r="S290" t="str">
        <f t="shared" si="0"/>
        <v/>
      </c>
      <c r="T290" t="str">
        <f t="shared" si="1"/>
        <v/>
      </c>
      <c r="U290" t="str">
        <f t="shared" si="2"/>
        <v/>
      </c>
      <c r="V290" t="str">
        <f>IF(OR(U290="",U290="ERRO_CHAVE"),"",IFERROR(MATCH(U290,Fornecedores!$AF$1:$AF$6631,0),""))</f>
        <v/>
      </c>
      <c r="W290" t="str">
        <f t="shared" si="3"/>
        <v/>
      </c>
      <c r="X290" s="4" t="str">
        <f>IF(V290="","",INDEX(Fornecedores!$X$1:$X$6631,V290))</f>
        <v/>
      </c>
      <c r="Y290" s="4" t="str">
        <f t="shared" si="4"/>
        <v/>
      </c>
    </row>
    <row r="291" spans="19:25">
      <c r="S291" t="str">
        <f t="shared" si="0"/>
        <v/>
      </c>
      <c r="T291" t="str">
        <f t="shared" si="1"/>
        <v/>
      </c>
      <c r="U291" t="str">
        <f t="shared" si="2"/>
        <v/>
      </c>
      <c r="V291" t="str">
        <f>IF(OR(U291="",U291="ERRO_CHAVE"),"",IFERROR(MATCH(U291,Fornecedores!$AF$1:$AF$6631,0),""))</f>
        <v/>
      </c>
      <c r="W291" t="str">
        <f t="shared" si="3"/>
        <v/>
      </c>
      <c r="X291" s="4" t="str">
        <f>IF(V291="","",INDEX(Fornecedores!$X$1:$X$6631,V291))</f>
        <v/>
      </c>
      <c r="Y291" s="4" t="str">
        <f t="shared" si="4"/>
        <v/>
      </c>
    </row>
    <row r="292" spans="19:25">
      <c r="S292" t="str">
        <f t="shared" si="0"/>
        <v/>
      </c>
      <c r="T292" t="str">
        <f t="shared" si="1"/>
        <v/>
      </c>
      <c r="U292" t="str">
        <f t="shared" si="2"/>
        <v/>
      </c>
      <c r="V292" t="str">
        <f>IF(OR(U292="",U292="ERRO_CHAVE"),"",IFERROR(MATCH(U292,Fornecedores!$AF$1:$AF$6631,0),""))</f>
        <v/>
      </c>
      <c r="W292" t="str">
        <f t="shared" si="3"/>
        <v/>
      </c>
      <c r="X292" s="4" t="str">
        <f>IF(V292="","",INDEX(Fornecedores!$X$1:$X$6631,V292))</f>
        <v/>
      </c>
      <c r="Y292" s="4" t="str">
        <f t="shared" si="4"/>
        <v/>
      </c>
    </row>
    <row r="293" spans="19:25">
      <c r="S293" t="str">
        <f t="shared" si="0"/>
        <v/>
      </c>
      <c r="T293" t="str">
        <f t="shared" si="1"/>
        <v/>
      </c>
      <c r="U293" t="str">
        <f t="shared" si="2"/>
        <v/>
      </c>
      <c r="V293" t="str">
        <f>IF(OR(U293="",U293="ERRO_CHAVE"),"",IFERROR(MATCH(U293,Fornecedores!$AF$1:$AF$6631,0),""))</f>
        <v/>
      </c>
      <c r="W293" t="str">
        <f t="shared" si="3"/>
        <v/>
      </c>
      <c r="X293" s="4" t="str">
        <f>IF(V293="","",INDEX(Fornecedores!$X$1:$X$6631,V293))</f>
        <v/>
      </c>
      <c r="Y293" s="4" t="str">
        <f t="shared" si="4"/>
        <v/>
      </c>
    </row>
    <row r="294" spans="19:25">
      <c r="S294" t="str">
        <f t="shared" si="0"/>
        <v/>
      </c>
      <c r="T294" t="str">
        <f t="shared" si="1"/>
        <v/>
      </c>
      <c r="U294" t="str">
        <f t="shared" si="2"/>
        <v/>
      </c>
      <c r="V294" t="str">
        <f>IF(OR(U294="",U294="ERRO_CHAVE"),"",IFERROR(MATCH(U294,Fornecedores!$AF$1:$AF$6631,0),""))</f>
        <v/>
      </c>
      <c r="W294" t="str">
        <f t="shared" si="3"/>
        <v/>
      </c>
      <c r="X294" s="4" t="str">
        <f>IF(V294="","",INDEX(Fornecedores!$X$1:$X$6631,V294))</f>
        <v/>
      </c>
      <c r="Y294" s="4" t="str">
        <f t="shared" si="4"/>
        <v/>
      </c>
    </row>
    <row r="295" spans="19:25">
      <c r="S295" t="str">
        <f t="shared" si="0"/>
        <v/>
      </c>
      <c r="T295" t="str">
        <f t="shared" si="1"/>
        <v/>
      </c>
      <c r="U295" t="str">
        <f t="shared" si="2"/>
        <v/>
      </c>
      <c r="V295" t="str">
        <f>IF(OR(U295="",U295="ERRO_CHAVE"),"",IFERROR(MATCH(U295,Fornecedores!$AF$1:$AF$6631,0),""))</f>
        <v/>
      </c>
      <c r="W295" t="str">
        <f t="shared" si="3"/>
        <v/>
      </c>
      <c r="X295" s="4" t="str">
        <f>IF(V295="","",INDEX(Fornecedores!$X$1:$X$6631,V295))</f>
        <v/>
      </c>
      <c r="Y295" s="4" t="str">
        <f t="shared" si="4"/>
        <v/>
      </c>
    </row>
    <row r="296" spans="19:25">
      <c r="S296" t="str">
        <f t="shared" si="0"/>
        <v/>
      </c>
      <c r="T296" t="str">
        <f t="shared" si="1"/>
        <v/>
      </c>
      <c r="U296" t="str">
        <f t="shared" si="2"/>
        <v/>
      </c>
      <c r="V296" t="str">
        <f>IF(OR(U296="",U296="ERRO_CHAVE"),"",IFERROR(MATCH(U296,Fornecedores!$AF$1:$AF$6631,0),""))</f>
        <v/>
      </c>
      <c r="W296" t="str">
        <f t="shared" si="3"/>
        <v/>
      </c>
      <c r="X296" s="4" t="str">
        <f>IF(V296="","",INDEX(Fornecedores!$X$1:$X$6631,V296))</f>
        <v/>
      </c>
      <c r="Y296" s="4" t="str">
        <f t="shared" si="4"/>
        <v/>
      </c>
    </row>
    <row r="297" spans="19:25">
      <c r="S297" t="str">
        <f t="shared" si="0"/>
        <v/>
      </c>
      <c r="T297" t="str">
        <f t="shared" si="1"/>
        <v/>
      </c>
      <c r="U297" t="str">
        <f t="shared" si="2"/>
        <v/>
      </c>
      <c r="V297" t="str">
        <f>IF(OR(U297="",U297="ERRO_CHAVE"),"",IFERROR(MATCH(U297,Fornecedores!$AF$1:$AF$6631,0),""))</f>
        <v/>
      </c>
      <c r="W297" t="str">
        <f t="shared" si="3"/>
        <v/>
      </c>
      <c r="X297" s="4" t="str">
        <f>IF(V297="","",INDEX(Fornecedores!$X$1:$X$6631,V297))</f>
        <v/>
      </c>
      <c r="Y297" s="4" t="str">
        <f t="shared" si="4"/>
        <v/>
      </c>
    </row>
    <row r="298" spans="19:25">
      <c r="S298" t="str">
        <f t="shared" si="0"/>
        <v/>
      </c>
      <c r="T298" t="str">
        <f t="shared" si="1"/>
        <v/>
      </c>
      <c r="U298" t="str">
        <f t="shared" si="2"/>
        <v/>
      </c>
      <c r="V298" t="str">
        <f>IF(OR(U298="",U298="ERRO_CHAVE"),"",IFERROR(MATCH(U298,Fornecedores!$AF$1:$AF$6631,0),""))</f>
        <v/>
      </c>
      <c r="W298" t="str">
        <f t="shared" si="3"/>
        <v/>
      </c>
      <c r="X298" s="4" t="str">
        <f>IF(V298="","",INDEX(Fornecedores!$X$1:$X$6631,V298))</f>
        <v/>
      </c>
      <c r="Y298" s="4" t="str">
        <f t="shared" si="4"/>
        <v/>
      </c>
    </row>
    <row r="299" spans="19:25">
      <c r="S299" t="str">
        <f t="shared" si="0"/>
        <v/>
      </c>
      <c r="T299" t="str">
        <f t="shared" si="1"/>
        <v/>
      </c>
      <c r="U299" t="str">
        <f t="shared" si="2"/>
        <v/>
      </c>
      <c r="V299" t="str">
        <f>IF(OR(U299="",U299="ERRO_CHAVE"),"",IFERROR(MATCH(U299,Fornecedores!$AF$1:$AF$6631,0),""))</f>
        <v/>
      </c>
      <c r="W299" t="str">
        <f t="shared" si="3"/>
        <v/>
      </c>
      <c r="X299" s="4" t="str">
        <f>IF(V299="","",INDEX(Fornecedores!$X$1:$X$6631,V299))</f>
        <v/>
      </c>
      <c r="Y299" s="4" t="str">
        <f t="shared" si="4"/>
        <v/>
      </c>
    </row>
    <row r="300" spans="19:25">
      <c r="S300" t="str">
        <f t="shared" si="0"/>
        <v/>
      </c>
      <c r="T300" t="str">
        <f t="shared" si="1"/>
        <v/>
      </c>
      <c r="U300" t="str">
        <f t="shared" si="2"/>
        <v/>
      </c>
      <c r="V300" t="str">
        <f>IF(OR(U300="",U300="ERRO_CHAVE"),"",IFERROR(MATCH(U300,Fornecedores!$AF$1:$AF$6631,0),""))</f>
        <v/>
      </c>
      <c r="W300" t="str">
        <f t="shared" si="3"/>
        <v/>
      </c>
      <c r="X300" s="4" t="str">
        <f>IF(V300="","",INDEX(Fornecedores!$X$1:$X$6631,V300))</f>
        <v/>
      </c>
      <c r="Y300" s="4" t="str">
        <f t="shared" si="4"/>
        <v/>
      </c>
    </row>
    <row r="301" spans="19:25">
      <c r="S301" t="str">
        <f t="shared" si="0"/>
        <v/>
      </c>
      <c r="T301" t="str">
        <f t="shared" si="1"/>
        <v/>
      </c>
      <c r="U301" t="str">
        <f t="shared" si="2"/>
        <v/>
      </c>
      <c r="V301" t="str">
        <f>IF(OR(U301="",U301="ERRO_CHAVE"),"",IFERROR(MATCH(U301,Fornecedores!$AF$1:$AF$6631,0),""))</f>
        <v/>
      </c>
      <c r="W301" t="str">
        <f t="shared" si="3"/>
        <v/>
      </c>
      <c r="X301" s="4" t="str">
        <f>IF(V301="","",INDEX(Fornecedores!$X$1:$X$6631,V301))</f>
        <v/>
      </c>
      <c r="Y301" s="4" t="str">
        <f t="shared" si="4"/>
        <v/>
      </c>
    </row>
    <row r="302" spans="19:25">
      <c r="S302" t="str">
        <f t="shared" si="0"/>
        <v/>
      </c>
      <c r="T302" t="str">
        <f t="shared" si="1"/>
        <v/>
      </c>
      <c r="U302" t="str">
        <f t="shared" si="2"/>
        <v/>
      </c>
      <c r="V302" t="str">
        <f>IF(OR(U302="",U302="ERRO_CHAVE"),"",IFERROR(MATCH(U302,Fornecedores!$AF$1:$AF$6631,0),""))</f>
        <v/>
      </c>
      <c r="W302" t="str">
        <f t="shared" si="3"/>
        <v/>
      </c>
      <c r="X302" s="4" t="str">
        <f>IF(V302="","",INDEX(Fornecedores!$X$1:$X$6631,V302))</f>
        <v/>
      </c>
      <c r="Y302" s="4" t="str">
        <f t="shared" si="4"/>
        <v/>
      </c>
    </row>
    <row r="303" spans="19:25">
      <c r="S303" t="str">
        <f t="shared" si="0"/>
        <v/>
      </c>
      <c r="T303" t="str">
        <f t="shared" si="1"/>
        <v/>
      </c>
      <c r="U303" t="str">
        <f t="shared" si="2"/>
        <v/>
      </c>
      <c r="V303" t="str">
        <f>IF(OR(U303="",U303="ERRO_CHAVE"),"",IFERROR(MATCH(U303,Fornecedores!$AF$1:$AF$6631,0),""))</f>
        <v/>
      </c>
      <c r="W303" t="str">
        <f t="shared" si="3"/>
        <v/>
      </c>
      <c r="X303" s="4" t="str">
        <f>IF(V303="","",INDEX(Fornecedores!$X$1:$X$6631,V303))</f>
        <v/>
      </c>
      <c r="Y303" s="4" t="str">
        <f t="shared" si="4"/>
        <v/>
      </c>
    </row>
    <row r="304" spans="19:25">
      <c r="S304" t="str">
        <f t="shared" si="0"/>
        <v/>
      </c>
      <c r="T304" t="str">
        <f t="shared" si="1"/>
        <v/>
      </c>
      <c r="U304" t="str">
        <f t="shared" si="2"/>
        <v/>
      </c>
      <c r="V304" t="str">
        <f>IF(OR(U304="",U304="ERRO_CHAVE"),"",IFERROR(MATCH(U304,Fornecedores!$AF$1:$AF$6631,0),""))</f>
        <v/>
      </c>
      <c r="W304" t="str">
        <f t="shared" si="3"/>
        <v/>
      </c>
      <c r="X304" s="4" t="str">
        <f>IF(V304="","",INDEX(Fornecedores!$X$1:$X$6631,V304))</f>
        <v/>
      </c>
      <c r="Y304" s="4" t="str">
        <f t="shared" si="4"/>
        <v/>
      </c>
    </row>
    <row r="305" spans="19:25">
      <c r="S305" t="str">
        <f t="shared" si="0"/>
        <v/>
      </c>
      <c r="T305" t="str">
        <f t="shared" si="1"/>
        <v/>
      </c>
      <c r="U305" t="str">
        <f t="shared" si="2"/>
        <v/>
      </c>
      <c r="V305" t="str">
        <f>IF(OR(U305="",U305="ERRO_CHAVE"),"",IFERROR(MATCH(U305,Fornecedores!$AF$1:$AF$6631,0),""))</f>
        <v/>
      </c>
      <c r="W305" t="str">
        <f t="shared" si="3"/>
        <v/>
      </c>
      <c r="X305" s="4" t="str">
        <f>IF(V305="","",INDEX(Fornecedores!$X$1:$X$6631,V305))</f>
        <v/>
      </c>
      <c r="Y305" s="4" t="str">
        <f t="shared" si="4"/>
        <v/>
      </c>
    </row>
    <row r="306" spans="19:25">
      <c r="S306" t="str">
        <f t="shared" si="0"/>
        <v/>
      </c>
      <c r="T306" t="str">
        <f t="shared" si="1"/>
        <v/>
      </c>
      <c r="U306" t="str">
        <f t="shared" si="2"/>
        <v/>
      </c>
      <c r="V306" t="str">
        <f>IF(OR(U306="",U306="ERRO_CHAVE"),"",IFERROR(MATCH(U306,Fornecedores!$AF$1:$AF$6631,0),""))</f>
        <v/>
      </c>
      <c r="W306" t="str">
        <f t="shared" si="3"/>
        <v/>
      </c>
      <c r="X306" s="4" t="str">
        <f>IF(V306="","",INDEX(Fornecedores!$X$1:$X$6631,V306))</f>
        <v/>
      </c>
      <c r="Y306" s="4" t="str">
        <f t="shared" si="4"/>
        <v/>
      </c>
    </row>
    <row r="307" spans="19:25">
      <c r="S307" t="str">
        <f t="shared" si="0"/>
        <v/>
      </c>
      <c r="T307" t="str">
        <f t="shared" si="1"/>
        <v/>
      </c>
      <c r="U307" t="str">
        <f t="shared" si="2"/>
        <v/>
      </c>
      <c r="V307" t="str">
        <f>IF(OR(U307="",U307="ERRO_CHAVE"),"",IFERROR(MATCH(U307,Fornecedores!$AF$1:$AF$6631,0),""))</f>
        <v/>
      </c>
      <c r="W307" t="str">
        <f t="shared" si="3"/>
        <v/>
      </c>
      <c r="X307" s="4" t="str">
        <f>IF(V307="","",INDEX(Fornecedores!$X$1:$X$6631,V307))</f>
        <v/>
      </c>
      <c r="Y307" s="4" t="str">
        <f t="shared" si="4"/>
        <v/>
      </c>
    </row>
    <row r="308" spans="19:25">
      <c r="S308" t="str">
        <f t="shared" si="0"/>
        <v/>
      </c>
      <c r="T308" t="str">
        <f t="shared" si="1"/>
        <v/>
      </c>
      <c r="U308" t="str">
        <f t="shared" si="2"/>
        <v/>
      </c>
      <c r="V308" t="str">
        <f>IF(OR(U308="",U308="ERRO_CHAVE"),"",IFERROR(MATCH(U308,Fornecedores!$AF$1:$AF$6631,0),""))</f>
        <v/>
      </c>
      <c r="W308" t="str">
        <f t="shared" si="3"/>
        <v/>
      </c>
      <c r="X308" s="4" t="str">
        <f>IF(V308="","",INDEX(Fornecedores!$X$1:$X$6631,V308))</f>
        <v/>
      </c>
      <c r="Y308" s="4" t="str">
        <f t="shared" si="4"/>
        <v/>
      </c>
    </row>
    <row r="309" spans="19:25">
      <c r="S309" t="str">
        <f t="shared" si="0"/>
        <v/>
      </c>
      <c r="T309" t="str">
        <f t="shared" si="1"/>
        <v/>
      </c>
      <c r="U309" t="str">
        <f t="shared" si="2"/>
        <v/>
      </c>
      <c r="V309" t="str">
        <f>IF(OR(U309="",U309="ERRO_CHAVE"),"",IFERROR(MATCH(U309,Fornecedores!$AF$1:$AF$6631,0),""))</f>
        <v/>
      </c>
      <c r="W309" t="str">
        <f t="shared" si="3"/>
        <v/>
      </c>
      <c r="X309" s="4" t="str">
        <f>IF(V309="","",INDEX(Fornecedores!$X$1:$X$6631,V309))</f>
        <v/>
      </c>
      <c r="Y309" s="4" t="str">
        <f t="shared" si="4"/>
        <v/>
      </c>
    </row>
    <row r="310" spans="19:25">
      <c r="S310" t="str">
        <f t="shared" si="0"/>
        <v/>
      </c>
      <c r="T310" t="str">
        <f t="shared" si="1"/>
        <v/>
      </c>
      <c r="U310" t="str">
        <f t="shared" si="2"/>
        <v/>
      </c>
      <c r="V310" t="str">
        <f>IF(OR(U310="",U310="ERRO_CHAVE"),"",IFERROR(MATCH(U310,Fornecedores!$AF$1:$AF$6631,0),""))</f>
        <v/>
      </c>
      <c r="W310" t="str">
        <f t="shared" si="3"/>
        <v/>
      </c>
      <c r="X310" s="4" t="str">
        <f>IF(V310="","",INDEX(Fornecedores!$X$1:$X$6631,V310))</f>
        <v/>
      </c>
      <c r="Y310" s="4" t="str">
        <f t="shared" si="4"/>
        <v/>
      </c>
    </row>
    <row r="311" spans="19:25">
      <c r="S311" t="str">
        <f t="shared" si="0"/>
        <v/>
      </c>
      <c r="T311" t="str">
        <f t="shared" si="1"/>
        <v/>
      </c>
      <c r="U311" t="str">
        <f t="shared" si="2"/>
        <v/>
      </c>
      <c r="V311" t="str">
        <f>IF(OR(U311="",U311="ERRO_CHAVE"),"",IFERROR(MATCH(U311,Fornecedores!$AF$1:$AF$6631,0),""))</f>
        <v/>
      </c>
      <c r="W311" t="str">
        <f t="shared" si="3"/>
        <v/>
      </c>
      <c r="X311" s="4" t="str">
        <f>IF(V311="","",INDEX(Fornecedores!$X$1:$X$6631,V311))</f>
        <v/>
      </c>
      <c r="Y311" s="4" t="str">
        <f t="shared" si="4"/>
        <v/>
      </c>
    </row>
    <row r="312" spans="19:25">
      <c r="S312" t="str">
        <f t="shared" si="0"/>
        <v/>
      </c>
      <c r="T312" t="str">
        <f t="shared" si="1"/>
        <v/>
      </c>
      <c r="U312" t="str">
        <f t="shared" si="2"/>
        <v/>
      </c>
      <c r="V312" t="str">
        <f>IF(OR(U312="",U312="ERRO_CHAVE"),"",IFERROR(MATCH(U312,Fornecedores!$AF$1:$AF$6631,0),""))</f>
        <v/>
      </c>
      <c r="W312" t="str">
        <f t="shared" si="3"/>
        <v/>
      </c>
      <c r="X312" s="4" t="str">
        <f>IF(V312="","",INDEX(Fornecedores!$X$1:$X$6631,V312))</f>
        <v/>
      </c>
      <c r="Y312" s="4" t="str">
        <f t="shared" si="4"/>
        <v/>
      </c>
    </row>
    <row r="313" spans="19:25">
      <c r="S313" t="str">
        <f t="shared" si="0"/>
        <v/>
      </c>
      <c r="T313" t="str">
        <f t="shared" si="1"/>
        <v/>
      </c>
      <c r="U313" t="str">
        <f t="shared" si="2"/>
        <v/>
      </c>
      <c r="V313" t="str">
        <f>IF(OR(U313="",U313="ERRO_CHAVE"),"",IFERROR(MATCH(U313,Fornecedores!$AF$1:$AF$6631,0),""))</f>
        <v/>
      </c>
      <c r="W313" t="str">
        <f t="shared" si="3"/>
        <v/>
      </c>
      <c r="X313" s="4" t="str">
        <f>IF(V313="","",INDEX(Fornecedores!$X$1:$X$6631,V313))</f>
        <v/>
      </c>
      <c r="Y313" s="4" t="str">
        <f t="shared" si="4"/>
        <v/>
      </c>
    </row>
    <row r="314" spans="19:25">
      <c r="S314" t="str">
        <f t="shared" si="0"/>
        <v/>
      </c>
      <c r="T314" t="str">
        <f t="shared" si="1"/>
        <v/>
      </c>
      <c r="U314" t="str">
        <f t="shared" si="2"/>
        <v/>
      </c>
      <c r="V314" t="str">
        <f>IF(OR(U314="",U314="ERRO_CHAVE"),"",IFERROR(MATCH(U314,Fornecedores!$AF$1:$AF$6631,0),""))</f>
        <v/>
      </c>
      <c r="W314" t="str">
        <f t="shared" si="3"/>
        <v/>
      </c>
      <c r="X314" s="4" t="str">
        <f>IF(V314="","",INDEX(Fornecedores!$X$1:$X$6631,V314))</f>
        <v/>
      </c>
      <c r="Y314" s="4" t="str">
        <f t="shared" si="4"/>
        <v/>
      </c>
    </row>
    <row r="315" spans="19:25">
      <c r="S315" t="str">
        <f t="shared" si="0"/>
        <v/>
      </c>
      <c r="T315" t="str">
        <f t="shared" si="1"/>
        <v/>
      </c>
      <c r="U315" t="str">
        <f t="shared" si="2"/>
        <v/>
      </c>
      <c r="V315" t="str">
        <f>IF(OR(U315="",U315="ERRO_CHAVE"),"",IFERROR(MATCH(U315,Fornecedores!$AF$1:$AF$6631,0),""))</f>
        <v/>
      </c>
      <c r="W315" t="str">
        <f t="shared" si="3"/>
        <v/>
      </c>
      <c r="X315" s="4" t="str">
        <f>IF(V315="","",INDEX(Fornecedores!$X$1:$X$6631,V315))</f>
        <v/>
      </c>
      <c r="Y315" s="4" t="str">
        <f t="shared" si="4"/>
        <v/>
      </c>
    </row>
    <row r="316" spans="19:25">
      <c r="S316" t="str">
        <f t="shared" si="0"/>
        <v/>
      </c>
      <c r="T316" t="str">
        <f t="shared" si="1"/>
        <v/>
      </c>
      <c r="U316" t="str">
        <f t="shared" si="2"/>
        <v/>
      </c>
      <c r="V316" t="str">
        <f>IF(OR(U316="",U316="ERRO_CHAVE"),"",IFERROR(MATCH(U316,Fornecedores!$AF$1:$AF$6631,0),""))</f>
        <v/>
      </c>
      <c r="W316" t="str">
        <f t="shared" si="3"/>
        <v/>
      </c>
      <c r="X316" s="4" t="str">
        <f>IF(V316="","",INDEX(Fornecedores!$X$1:$X$6631,V316))</f>
        <v/>
      </c>
      <c r="Y316" s="4" t="str">
        <f t="shared" si="4"/>
        <v/>
      </c>
    </row>
    <row r="317" spans="19:25">
      <c r="S317" t="str">
        <f t="shared" si="0"/>
        <v/>
      </c>
      <c r="T317" t="str">
        <f t="shared" si="1"/>
        <v/>
      </c>
      <c r="U317" t="str">
        <f t="shared" si="2"/>
        <v/>
      </c>
      <c r="V317" t="str">
        <f>IF(OR(U317="",U317="ERRO_CHAVE"),"",IFERROR(MATCH(U317,Fornecedores!$AF$1:$AF$6631,0),""))</f>
        <v/>
      </c>
      <c r="W317" t="str">
        <f t="shared" si="3"/>
        <v/>
      </c>
      <c r="X317" s="4" t="str">
        <f>IF(V317="","",INDEX(Fornecedores!$X$1:$X$6631,V317))</f>
        <v/>
      </c>
      <c r="Y317" s="4" t="str">
        <f t="shared" si="4"/>
        <v/>
      </c>
    </row>
    <row r="318" spans="19:25">
      <c r="S318" t="str">
        <f t="shared" si="0"/>
        <v/>
      </c>
      <c r="T318" t="str">
        <f t="shared" si="1"/>
        <v/>
      </c>
      <c r="U318" t="str">
        <f t="shared" si="2"/>
        <v/>
      </c>
      <c r="V318" t="str">
        <f>IF(OR(U318="",U318="ERRO_CHAVE"),"",IFERROR(MATCH(U318,Fornecedores!$AF$1:$AF$6631,0),""))</f>
        <v/>
      </c>
      <c r="W318" t="str">
        <f t="shared" si="3"/>
        <v/>
      </c>
      <c r="X318" s="4" t="str">
        <f>IF(V318="","",INDEX(Fornecedores!$X$1:$X$6631,V318))</f>
        <v/>
      </c>
      <c r="Y318" s="4" t="str">
        <f t="shared" si="4"/>
        <v/>
      </c>
    </row>
    <row r="319" spans="19:25">
      <c r="S319" t="str">
        <f t="shared" si="0"/>
        <v/>
      </c>
      <c r="T319" t="str">
        <f t="shared" si="1"/>
        <v/>
      </c>
      <c r="U319" t="str">
        <f t="shared" si="2"/>
        <v/>
      </c>
      <c r="V319" t="str">
        <f>IF(OR(U319="",U319="ERRO_CHAVE"),"",IFERROR(MATCH(U319,Fornecedores!$AF$1:$AF$6631,0),""))</f>
        <v/>
      </c>
      <c r="W319" t="str">
        <f t="shared" si="3"/>
        <v/>
      </c>
      <c r="X319" s="4" t="str">
        <f>IF(V319="","",INDEX(Fornecedores!$X$1:$X$6631,V319))</f>
        <v/>
      </c>
      <c r="Y319" s="4" t="str">
        <f t="shared" si="4"/>
        <v/>
      </c>
    </row>
    <row r="320" spans="19:25">
      <c r="S320" t="str">
        <f t="shared" si="0"/>
        <v/>
      </c>
      <c r="T320" t="str">
        <f t="shared" si="1"/>
        <v/>
      </c>
      <c r="U320" t="str">
        <f t="shared" si="2"/>
        <v/>
      </c>
      <c r="V320" t="str">
        <f>IF(OR(U320="",U320="ERRO_CHAVE"),"",IFERROR(MATCH(U320,Fornecedores!$AF$1:$AF$6631,0),""))</f>
        <v/>
      </c>
      <c r="W320" t="str">
        <f t="shared" si="3"/>
        <v/>
      </c>
      <c r="X320" s="4" t="str">
        <f>IF(V320="","",INDEX(Fornecedores!$X$1:$X$6631,V320))</f>
        <v/>
      </c>
      <c r="Y320" s="4" t="str">
        <f t="shared" si="4"/>
        <v/>
      </c>
    </row>
    <row r="321" spans="19:25">
      <c r="S321" t="str">
        <f t="shared" si="0"/>
        <v/>
      </c>
      <c r="T321" t="str">
        <f t="shared" si="1"/>
        <v/>
      </c>
      <c r="U321" t="str">
        <f t="shared" si="2"/>
        <v/>
      </c>
      <c r="V321" t="str">
        <f>IF(OR(U321="",U321="ERRO_CHAVE"),"",IFERROR(MATCH(U321,Fornecedores!$AF$1:$AF$6631,0),""))</f>
        <v/>
      </c>
      <c r="W321" t="str">
        <f t="shared" si="3"/>
        <v/>
      </c>
      <c r="X321" s="4" t="str">
        <f>IF(V321="","",INDEX(Fornecedores!$X$1:$X$6631,V321))</f>
        <v/>
      </c>
      <c r="Y321" s="4" t="str">
        <f t="shared" si="4"/>
        <v/>
      </c>
    </row>
    <row r="322" spans="19:25">
      <c r="S322" t="str">
        <f t="shared" si="0"/>
        <v/>
      </c>
      <c r="T322" t="str">
        <f t="shared" si="1"/>
        <v/>
      </c>
      <c r="U322" t="str">
        <f t="shared" si="2"/>
        <v/>
      </c>
      <c r="V322" t="str">
        <f>IF(OR(U322="",U322="ERRO_CHAVE"),"",IFERROR(MATCH(U322,Fornecedores!$AF$1:$AF$6631,0),""))</f>
        <v/>
      </c>
      <c r="W322" t="str">
        <f t="shared" si="3"/>
        <v/>
      </c>
      <c r="X322" s="4" t="str">
        <f>IF(V322="","",INDEX(Fornecedores!$X$1:$X$6631,V322))</f>
        <v/>
      </c>
      <c r="Y322" s="4" t="str">
        <f t="shared" si="4"/>
        <v/>
      </c>
    </row>
    <row r="323" spans="19:25">
      <c r="S323" t="str">
        <f t="shared" si="0"/>
        <v/>
      </c>
      <c r="T323" t="str">
        <f t="shared" si="1"/>
        <v/>
      </c>
      <c r="U323" t="str">
        <f t="shared" si="2"/>
        <v/>
      </c>
      <c r="V323" t="str">
        <f>IF(OR(U323="",U323="ERRO_CHAVE"),"",IFERROR(MATCH(U323,Fornecedores!$AF$1:$AF$6631,0),""))</f>
        <v/>
      </c>
      <c r="W323" t="str">
        <f t="shared" si="3"/>
        <v/>
      </c>
      <c r="X323" s="4" t="str">
        <f>IF(V323="","",INDEX(Fornecedores!$X$1:$X$6631,V323))</f>
        <v/>
      </c>
      <c r="Y323" s="4" t="str">
        <f t="shared" si="4"/>
        <v/>
      </c>
    </row>
    <row r="324" spans="19:25">
      <c r="S324" t="str">
        <f t="shared" si="0"/>
        <v/>
      </c>
      <c r="T324" t="str">
        <f t="shared" si="1"/>
        <v/>
      </c>
      <c r="U324" t="str">
        <f t="shared" si="2"/>
        <v/>
      </c>
      <c r="V324" t="str">
        <f>IF(OR(U324="",U324="ERRO_CHAVE"),"",IFERROR(MATCH(U324,Fornecedores!$AF$1:$AF$6631,0),""))</f>
        <v/>
      </c>
      <c r="W324" t="str">
        <f t="shared" si="3"/>
        <v/>
      </c>
      <c r="X324" s="4" t="str">
        <f>IF(V324="","",INDEX(Fornecedores!$X$1:$X$6631,V324))</f>
        <v/>
      </c>
      <c r="Y324" s="4" t="str">
        <f t="shared" si="4"/>
        <v/>
      </c>
    </row>
    <row r="325" spans="19:25">
      <c r="S325" t="str">
        <f t="shared" si="0"/>
        <v/>
      </c>
      <c r="T325" t="str">
        <f t="shared" si="1"/>
        <v/>
      </c>
      <c r="U325" t="str">
        <f t="shared" si="2"/>
        <v/>
      </c>
      <c r="V325" t="str">
        <f>IF(OR(U325="",U325="ERRO_CHAVE"),"",IFERROR(MATCH(U325,Fornecedores!$AF$1:$AF$6631,0),""))</f>
        <v/>
      </c>
      <c r="W325" t="str">
        <f t="shared" si="3"/>
        <v/>
      </c>
      <c r="X325" s="4" t="str">
        <f>IF(V325="","",INDEX(Fornecedores!$X$1:$X$6631,V325))</f>
        <v/>
      </c>
      <c r="Y325" s="4" t="str">
        <f t="shared" si="4"/>
        <v/>
      </c>
    </row>
    <row r="326" spans="19:25">
      <c r="S326" t="str">
        <f t="shared" si="0"/>
        <v/>
      </c>
      <c r="T326" t="str">
        <f t="shared" si="1"/>
        <v/>
      </c>
      <c r="U326" t="str">
        <f t="shared" si="2"/>
        <v/>
      </c>
      <c r="V326" t="str">
        <f>IF(OR(U326="",U326="ERRO_CHAVE"),"",IFERROR(MATCH(U326,Fornecedores!$AF$1:$AF$6631,0),""))</f>
        <v/>
      </c>
      <c r="W326" t="str">
        <f t="shared" si="3"/>
        <v/>
      </c>
      <c r="X326" s="4" t="str">
        <f>IF(V326="","",INDEX(Fornecedores!$X$1:$X$6631,V326))</f>
        <v/>
      </c>
      <c r="Y326" s="4" t="str">
        <f t="shared" si="4"/>
        <v/>
      </c>
    </row>
    <row r="327" spans="19:25">
      <c r="S327" t="str">
        <f t="shared" si="0"/>
        <v/>
      </c>
      <c r="T327" t="str">
        <f t="shared" si="1"/>
        <v/>
      </c>
      <c r="U327" t="str">
        <f t="shared" si="2"/>
        <v/>
      </c>
      <c r="V327" t="str">
        <f>IF(OR(U327="",U327="ERRO_CHAVE"),"",IFERROR(MATCH(U327,Fornecedores!$AF$1:$AF$6631,0),""))</f>
        <v/>
      </c>
      <c r="W327" t="str">
        <f t="shared" si="3"/>
        <v/>
      </c>
      <c r="X327" s="4" t="str">
        <f>IF(V327="","",INDEX(Fornecedores!$X$1:$X$6631,V327))</f>
        <v/>
      </c>
      <c r="Y327" s="4" t="str">
        <f t="shared" si="4"/>
        <v/>
      </c>
    </row>
    <row r="328" spans="19:25">
      <c r="S328" t="str">
        <f t="shared" si="0"/>
        <v/>
      </c>
      <c r="T328" t="str">
        <f t="shared" si="1"/>
        <v/>
      </c>
      <c r="U328" t="str">
        <f t="shared" si="2"/>
        <v/>
      </c>
      <c r="V328" t="str">
        <f>IF(OR(U328="",U328="ERRO_CHAVE"),"",IFERROR(MATCH(U328,Fornecedores!$AF$1:$AF$6631,0),""))</f>
        <v/>
      </c>
      <c r="W328" t="str">
        <f t="shared" si="3"/>
        <v/>
      </c>
      <c r="X328" s="4" t="str">
        <f>IF(V328="","",INDEX(Fornecedores!$X$1:$X$6631,V328))</f>
        <v/>
      </c>
      <c r="Y328" s="4" t="str">
        <f t="shared" si="4"/>
        <v/>
      </c>
    </row>
    <row r="329" spans="19:25">
      <c r="S329" t="str">
        <f t="shared" si="0"/>
        <v/>
      </c>
      <c r="T329" t="str">
        <f t="shared" si="1"/>
        <v/>
      </c>
      <c r="U329" t="str">
        <f t="shared" si="2"/>
        <v/>
      </c>
      <c r="V329" t="str">
        <f>IF(OR(U329="",U329="ERRO_CHAVE"),"",IFERROR(MATCH(U329,Fornecedores!$AF$1:$AF$6631,0),""))</f>
        <v/>
      </c>
      <c r="W329" t="str">
        <f t="shared" si="3"/>
        <v/>
      </c>
      <c r="X329" s="4" t="str">
        <f>IF(V329="","",INDEX(Fornecedores!$X$1:$X$6631,V329))</f>
        <v/>
      </c>
      <c r="Y329" s="4" t="str">
        <f t="shared" si="4"/>
        <v/>
      </c>
    </row>
    <row r="330" spans="19:25">
      <c r="S330" t="str">
        <f t="shared" si="0"/>
        <v/>
      </c>
      <c r="T330" t="str">
        <f t="shared" si="1"/>
        <v/>
      </c>
      <c r="U330" t="str">
        <f t="shared" si="2"/>
        <v/>
      </c>
      <c r="V330" t="str">
        <f>IF(OR(U330="",U330="ERRO_CHAVE"),"",IFERROR(MATCH(U330,Fornecedores!$AF$1:$AF$6631,0),""))</f>
        <v/>
      </c>
      <c r="W330" t="str">
        <f t="shared" si="3"/>
        <v/>
      </c>
      <c r="X330" s="4" t="str">
        <f>IF(V330="","",INDEX(Fornecedores!$X$1:$X$6631,V330))</f>
        <v/>
      </c>
      <c r="Y330" s="4" t="str">
        <f t="shared" si="4"/>
        <v/>
      </c>
    </row>
    <row r="331" spans="19:25">
      <c r="S331" t="str">
        <f t="shared" si="0"/>
        <v/>
      </c>
      <c r="T331" t="str">
        <f t="shared" si="1"/>
        <v/>
      </c>
      <c r="U331" t="str">
        <f t="shared" si="2"/>
        <v/>
      </c>
      <c r="V331" t="str">
        <f>IF(OR(U331="",U331="ERRO_CHAVE"),"",IFERROR(MATCH(U331,Fornecedores!$AF$1:$AF$6631,0),""))</f>
        <v/>
      </c>
      <c r="W331" t="str">
        <f t="shared" si="3"/>
        <v/>
      </c>
      <c r="X331" s="4" t="str">
        <f>IF(V331="","",INDEX(Fornecedores!$X$1:$X$6631,V331))</f>
        <v/>
      </c>
      <c r="Y331" s="4" t="str">
        <f t="shared" si="4"/>
        <v/>
      </c>
    </row>
    <row r="332" spans="19:25">
      <c r="S332" t="str">
        <f t="shared" si="0"/>
        <v/>
      </c>
      <c r="T332" t="str">
        <f t="shared" si="1"/>
        <v/>
      </c>
      <c r="U332" t="str">
        <f t="shared" si="2"/>
        <v/>
      </c>
      <c r="V332" t="str">
        <f>IF(OR(U332="",U332="ERRO_CHAVE"),"",IFERROR(MATCH(U332,Fornecedores!$AF$1:$AF$6631,0),""))</f>
        <v/>
      </c>
      <c r="W332" t="str">
        <f t="shared" si="3"/>
        <v/>
      </c>
      <c r="X332" s="4" t="str">
        <f>IF(V332="","",INDEX(Fornecedores!$X$1:$X$6631,V332))</f>
        <v/>
      </c>
      <c r="Y332" s="4" t="str">
        <f t="shared" si="4"/>
        <v/>
      </c>
    </row>
    <row r="333" spans="19:25">
      <c r="S333" t="str">
        <f t="shared" si="0"/>
        <v/>
      </c>
      <c r="T333" t="str">
        <f t="shared" si="1"/>
        <v/>
      </c>
      <c r="U333" t="str">
        <f t="shared" si="2"/>
        <v/>
      </c>
      <c r="V333" t="str">
        <f>IF(OR(U333="",U333="ERRO_CHAVE"),"",IFERROR(MATCH(U333,Fornecedores!$AF$1:$AF$6631,0),""))</f>
        <v/>
      </c>
      <c r="W333" t="str">
        <f t="shared" si="3"/>
        <v/>
      </c>
      <c r="X333" s="4" t="str">
        <f>IF(V333="","",INDEX(Fornecedores!$X$1:$X$6631,V333))</f>
        <v/>
      </c>
      <c r="Y333" s="4" t="str">
        <f t="shared" si="4"/>
        <v/>
      </c>
    </row>
    <row r="334" spans="19:25">
      <c r="S334" t="str">
        <f t="shared" si="0"/>
        <v/>
      </c>
      <c r="T334" t="str">
        <f t="shared" si="1"/>
        <v/>
      </c>
      <c r="U334" t="str">
        <f t="shared" si="2"/>
        <v/>
      </c>
      <c r="V334" t="str">
        <f>IF(OR(U334="",U334="ERRO_CHAVE"),"",IFERROR(MATCH(U334,Fornecedores!$AF$1:$AF$6631,0),""))</f>
        <v/>
      </c>
      <c r="W334" t="str">
        <f t="shared" si="3"/>
        <v/>
      </c>
      <c r="X334" s="4" t="str">
        <f>IF(V334="","",INDEX(Fornecedores!$X$1:$X$6631,V334))</f>
        <v/>
      </c>
      <c r="Y334" s="4" t="str">
        <f t="shared" si="4"/>
        <v/>
      </c>
    </row>
    <row r="335" spans="19:25">
      <c r="S335" t="str">
        <f t="shared" si="0"/>
        <v/>
      </c>
      <c r="T335" t="str">
        <f t="shared" si="1"/>
        <v/>
      </c>
      <c r="U335" t="str">
        <f t="shared" si="2"/>
        <v/>
      </c>
      <c r="V335" t="str">
        <f>IF(OR(U335="",U335="ERRO_CHAVE"),"",IFERROR(MATCH(U335,Fornecedores!$AF$1:$AF$6631,0),""))</f>
        <v/>
      </c>
      <c r="W335" t="str">
        <f t="shared" si="3"/>
        <v/>
      </c>
      <c r="X335" s="4" t="str">
        <f>IF(V335="","",INDEX(Fornecedores!$X$1:$X$6631,V335))</f>
        <v/>
      </c>
      <c r="Y335" s="4" t="str">
        <f t="shared" si="4"/>
        <v/>
      </c>
    </row>
    <row r="336" spans="19:25">
      <c r="S336" t="str">
        <f t="shared" si="0"/>
        <v/>
      </c>
      <c r="T336" t="str">
        <f t="shared" si="1"/>
        <v/>
      </c>
      <c r="U336" t="str">
        <f t="shared" si="2"/>
        <v/>
      </c>
      <c r="V336" t="str">
        <f>IF(OR(U336="",U336="ERRO_CHAVE"),"",IFERROR(MATCH(U336,Fornecedores!$AF$1:$AF$6631,0),""))</f>
        <v/>
      </c>
      <c r="W336" t="str">
        <f t="shared" si="3"/>
        <v/>
      </c>
      <c r="X336" s="4" t="str">
        <f>IF(V336="","",INDEX(Fornecedores!$X$1:$X$6631,V336))</f>
        <v/>
      </c>
      <c r="Y336" s="4" t="str">
        <f t="shared" si="4"/>
        <v/>
      </c>
    </row>
    <row r="337" spans="19:25">
      <c r="S337" t="str">
        <f t="shared" si="0"/>
        <v/>
      </c>
      <c r="T337" t="str">
        <f t="shared" si="1"/>
        <v/>
      </c>
      <c r="U337" t="str">
        <f t="shared" si="2"/>
        <v/>
      </c>
      <c r="V337" t="str">
        <f>IF(OR(U337="",U337="ERRO_CHAVE"),"",IFERROR(MATCH(U337,Fornecedores!$AF$1:$AF$6631,0),""))</f>
        <v/>
      </c>
      <c r="W337" t="str">
        <f t="shared" si="3"/>
        <v/>
      </c>
      <c r="X337" s="4" t="str">
        <f>IF(V337="","",INDEX(Fornecedores!$X$1:$X$6631,V337))</f>
        <v/>
      </c>
      <c r="Y337" s="4" t="str">
        <f t="shared" si="4"/>
        <v/>
      </c>
    </row>
    <row r="338" spans="19:25">
      <c r="S338" t="str">
        <f t="shared" si="0"/>
        <v/>
      </c>
      <c r="T338" t="str">
        <f t="shared" si="1"/>
        <v/>
      </c>
      <c r="U338" t="str">
        <f t="shared" si="2"/>
        <v/>
      </c>
      <c r="V338" t="str">
        <f>IF(OR(U338="",U338="ERRO_CHAVE"),"",IFERROR(MATCH(U338,Fornecedores!$AF$1:$AF$6631,0),""))</f>
        <v/>
      </c>
      <c r="W338" t="str">
        <f t="shared" si="3"/>
        <v/>
      </c>
      <c r="X338" s="4" t="str">
        <f>IF(V338="","",INDEX(Fornecedores!$X$1:$X$6631,V338))</f>
        <v/>
      </c>
      <c r="Y338" s="4" t="str">
        <f t="shared" si="4"/>
        <v/>
      </c>
    </row>
    <row r="339" spans="19:25">
      <c r="S339" t="str">
        <f t="shared" si="0"/>
        <v/>
      </c>
      <c r="T339" t="str">
        <f t="shared" si="1"/>
        <v/>
      </c>
      <c r="U339" t="str">
        <f t="shared" si="2"/>
        <v/>
      </c>
      <c r="V339" t="str">
        <f>IF(OR(U339="",U339="ERRO_CHAVE"),"",IFERROR(MATCH(U339,Fornecedores!$AF$1:$AF$6631,0),""))</f>
        <v/>
      </c>
      <c r="W339" t="str">
        <f t="shared" si="3"/>
        <v/>
      </c>
      <c r="X339" s="4" t="str">
        <f>IF(V339="","",INDEX(Fornecedores!$X$1:$X$6631,V339))</f>
        <v/>
      </c>
      <c r="Y339" s="4" t="str">
        <f t="shared" si="4"/>
        <v/>
      </c>
    </row>
    <row r="340" spans="19:25">
      <c r="S340" t="str">
        <f t="shared" si="0"/>
        <v/>
      </c>
      <c r="T340" t="str">
        <f t="shared" si="1"/>
        <v/>
      </c>
      <c r="U340" t="str">
        <f t="shared" si="2"/>
        <v/>
      </c>
      <c r="V340" t="str">
        <f>IF(OR(U340="",U340="ERRO_CHAVE"),"",IFERROR(MATCH(U340,Fornecedores!$AF$1:$AF$6631,0),""))</f>
        <v/>
      </c>
      <c r="W340" t="str">
        <f t="shared" si="3"/>
        <v/>
      </c>
      <c r="X340" s="4" t="str">
        <f>IF(V340="","",INDEX(Fornecedores!$X$1:$X$6631,V340))</f>
        <v/>
      </c>
      <c r="Y340" s="4" t="str">
        <f t="shared" si="4"/>
        <v/>
      </c>
    </row>
    <row r="341" spans="19:25">
      <c r="S341" t="str">
        <f t="shared" si="0"/>
        <v/>
      </c>
      <c r="T341" t="str">
        <f t="shared" si="1"/>
        <v/>
      </c>
      <c r="U341" t="str">
        <f t="shared" si="2"/>
        <v/>
      </c>
      <c r="V341" t="str">
        <f>IF(OR(U341="",U341="ERRO_CHAVE"),"",IFERROR(MATCH(U341,Fornecedores!$AF$1:$AF$6631,0),""))</f>
        <v/>
      </c>
      <c r="W341" t="str">
        <f t="shared" si="3"/>
        <v/>
      </c>
      <c r="X341" s="4" t="str">
        <f>IF(V341="","",INDEX(Fornecedores!$X$1:$X$6631,V341))</f>
        <v/>
      </c>
      <c r="Y341" s="4" t="str">
        <f t="shared" si="4"/>
        <v/>
      </c>
    </row>
    <row r="342" spans="19:25">
      <c r="S342" t="str">
        <f t="shared" si="0"/>
        <v/>
      </c>
      <c r="T342" t="str">
        <f t="shared" si="1"/>
        <v/>
      </c>
      <c r="U342" t="str">
        <f t="shared" si="2"/>
        <v/>
      </c>
      <c r="V342" t="str">
        <f>IF(OR(U342="",U342="ERRO_CHAVE"),"",IFERROR(MATCH(U342,Fornecedores!$AF$1:$AF$6631,0),""))</f>
        <v/>
      </c>
      <c r="W342" t="str">
        <f t="shared" si="3"/>
        <v/>
      </c>
      <c r="X342" s="4" t="str">
        <f>IF(V342="","",INDEX(Fornecedores!$X$1:$X$6631,V342))</f>
        <v/>
      </c>
      <c r="Y342" s="4" t="str">
        <f t="shared" si="4"/>
        <v/>
      </c>
    </row>
    <row r="343" spans="19:25">
      <c r="S343" t="str">
        <f t="shared" si="0"/>
        <v/>
      </c>
      <c r="T343" t="str">
        <f t="shared" si="1"/>
        <v/>
      </c>
      <c r="U343" t="str">
        <f t="shared" si="2"/>
        <v/>
      </c>
      <c r="V343" t="str">
        <f>IF(OR(U343="",U343="ERRO_CHAVE"),"",IFERROR(MATCH(U343,Fornecedores!$AF$1:$AF$6631,0),""))</f>
        <v/>
      </c>
      <c r="W343" t="str">
        <f t="shared" si="3"/>
        <v/>
      </c>
      <c r="X343" s="4" t="str">
        <f>IF(V343="","",INDEX(Fornecedores!$X$1:$X$6631,V343))</f>
        <v/>
      </c>
      <c r="Y343" s="4" t="str">
        <f t="shared" si="4"/>
        <v/>
      </c>
    </row>
    <row r="344" spans="19:25">
      <c r="S344" t="str">
        <f t="shared" si="0"/>
        <v/>
      </c>
      <c r="T344" t="str">
        <f t="shared" si="1"/>
        <v/>
      </c>
      <c r="U344" t="str">
        <f t="shared" si="2"/>
        <v/>
      </c>
      <c r="V344" t="str">
        <f>IF(OR(U344="",U344="ERRO_CHAVE"),"",IFERROR(MATCH(U344,Fornecedores!$AF$1:$AF$6631,0),""))</f>
        <v/>
      </c>
      <c r="W344" t="str">
        <f t="shared" si="3"/>
        <v/>
      </c>
      <c r="X344" s="4" t="str">
        <f>IF(V344="","",INDEX(Fornecedores!$X$1:$X$6631,V344))</f>
        <v/>
      </c>
      <c r="Y344" s="4" t="str">
        <f t="shared" si="4"/>
        <v/>
      </c>
    </row>
    <row r="345" spans="19:25">
      <c r="S345" t="str">
        <f t="shared" si="0"/>
        <v/>
      </c>
      <c r="T345" t="str">
        <f t="shared" si="1"/>
        <v/>
      </c>
      <c r="U345" t="str">
        <f t="shared" si="2"/>
        <v/>
      </c>
      <c r="V345" t="str">
        <f>IF(OR(U345="",U345="ERRO_CHAVE"),"",IFERROR(MATCH(U345,Fornecedores!$AF$1:$AF$6631,0),""))</f>
        <v/>
      </c>
      <c r="W345" t="str">
        <f t="shared" si="3"/>
        <v/>
      </c>
      <c r="X345" s="4" t="str">
        <f>IF(V345="","",INDEX(Fornecedores!$X$1:$X$6631,V345))</f>
        <v/>
      </c>
      <c r="Y345" s="4" t="str">
        <f t="shared" si="4"/>
        <v/>
      </c>
    </row>
    <row r="346" spans="19:25">
      <c r="S346" t="str">
        <f t="shared" si="0"/>
        <v/>
      </c>
      <c r="T346" t="str">
        <f t="shared" si="1"/>
        <v/>
      </c>
      <c r="U346" t="str">
        <f t="shared" si="2"/>
        <v/>
      </c>
      <c r="V346" t="str">
        <f>IF(OR(U346="",U346="ERRO_CHAVE"),"",IFERROR(MATCH(U346,Fornecedores!$AF$1:$AF$6631,0),""))</f>
        <v/>
      </c>
      <c r="W346" t="str">
        <f t="shared" si="3"/>
        <v/>
      </c>
      <c r="X346" s="4" t="str">
        <f>IF(V346="","",INDEX(Fornecedores!$X$1:$X$6631,V346))</f>
        <v/>
      </c>
      <c r="Y346" s="4" t="str">
        <f t="shared" si="4"/>
        <v/>
      </c>
    </row>
    <row r="347" spans="19:25">
      <c r="S347" t="str">
        <f t="shared" si="0"/>
        <v/>
      </c>
      <c r="T347" t="str">
        <f t="shared" si="1"/>
        <v/>
      </c>
      <c r="U347" t="str">
        <f t="shared" si="2"/>
        <v/>
      </c>
      <c r="V347" t="str">
        <f>IF(OR(U347="",U347="ERRO_CHAVE"),"",IFERROR(MATCH(U347,Fornecedores!$AF$1:$AF$6631,0),""))</f>
        <v/>
      </c>
      <c r="W347" t="str">
        <f t="shared" si="3"/>
        <v/>
      </c>
      <c r="X347" s="4" t="str">
        <f>IF(V347="","",INDEX(Fornecedores!$X$1:$X$6631,V347))</f>
        <v/>
      </c>
      <c r="Y347" s="4" t="str">
        <f t="shared" si="4"/>
        <v/>
      </c>
    </row>
    <row r="348" spans="19:25">
      <c r="S348" t="str">
        <f t="shared" si="0"/>
        <v/>
      </c>
      <c r="T348" t="str">
        <f t="shared" si="1"/>
        <v/>
      </c>
      <c r="U348" t="str">
        <f t="shared" si="2"/>
        <v/>
      </c>
      <c r="V348" t="str">
        <f>IF(OR(U348="",U348="ERRO_CHAVE"),"",IFERROR(MATCH(U348,Fornecedores!$AF$1:$AF$6631,0),""))</f>
        <v/>
      </c>
      <c r="W348" t="str">
        <f t="shared" si="3"/>
        <v/>
      </c>
      <c r="X348" s="4" t="str">
        <f>IF(V348="","",INDEX(Fornecedores!$X$1:$X$6631,V348))</f>
        <v/>
      </c>
      <c r="Y348" s="4" t="str">
        <f t="shared" si="4"/>
        <v/>
      </c>
    </row>
    <row r="349" spans="19:25">
      <c r="S349" t="str">
        <f t="shared" si="0"/>
        <v/>
      </c>
      <c r="T349" t="str">
        <f t="shared" si="1"/>
        <v/>
      </c>
      <c r="U349" t="str">
        <f t="shared" si="2"/>
        <v/>
      </c>
      <c r="V349" t="str">
        <f>IF(OR(U349="",U349="ERRO_CHAVE"),"",IFERROR(MATCH(U349,Fornecedores!$AF$1:$AF$6631,0),""))</f>
        <v/>
      </c>
      <c r="W349" t="str">
        <f t="shared" si="3"/>
        <v/>
      </c>
      <c r="X349" s="4" t="str">
        <f>IF(V349="","",INDEX(Fornecedores!$X$1:$X$6631,V349))</f>
        <v/>
      </c>
      <c r="Y349" s="4" t="str">
        <f t="shared" si="4"/>
        <v/>
      </c>
    </row>
    <row r="350" spans="19:25">
      <c r="S350" t="str">
        <f t="shared" si="0"/>
        <v/>
      </c>
      <c r="T350" t="str">
        <f t="shared" si="1"/>
        <v/>
      </c>
      <c r="U350" t="str">
        <f t="shared" si="2"/>
        <v/>
      </c>
      <c r="V350" t="str">
        <f>IF(OR(U350="",U350="ERRO_CHAVE"),"",IFERROR(MATCH(U350,Fornecedores!$AF$1:$AF$6631,0),""))</f>
        <v/>
      </c>
      <c r="W350" t="str">
        <f t="shared" si="3"/>
        <v/>
      </c>
      <c r="X350" s="4" t="str">
        <f>IF(V350="","",INDEX(Fornecedores!$X$1:$X$6631,V350))</f>
        <v/>
      </c>
      <c r="Y350" s="4" t="str">
        <f t="shared" si="4"/>
        <v/>
      </c>
    </row>
    <row r="351" spans="19:25">
      <c r="S351" t="str">
        <f t="shared" si="0"/>
        <v/>
      </c>
      <c r="T351" t="str">
        <f t="shared" si="1"/>
        <v/>
      </c>
      <c r="U351" t="str">
        <f t="shared" si="2"/>
        <v/>
      </c>
      <c r="V351" t="str">
        <f>IF(OR(U351="",U351="ERRO_CHAVE"),"",IFERROR(MATCH(U351,Fornecedores!$AF$1:$AF$6631,0),""))</f>
        <v/>
      </c>
      <c r="W351" t="str">
        <f t="shared" si="3"/>
        <v/>
      </c>
      <c r="X351" s="4" t="str">
        <f>IF(V351="","",INDEX(Fornecedores!$X$1:$X$6631,V351))</f>
        <v/>
      </c>
      <c r="Y351" s="4" t="str">
        <f t="shared" si="4"/>
        <v/>
      </c>
    </row>
    <row r="352" spans="19:25">
      <c r="S352" t="str">
        <f t="shared" si="0"/>
        <v/>
      </c>
      <c r="T352" t="str">
        <f t="shared" si="1"/>
        <v/>
      </c>
      <c r="U352" t="str">
        <f t="shared" si="2"/>
        <v/>
      </c>
      <c r="V352" t="str">
        <f>IF(OR(U352="",U352="ERRO_CHAVE"),"",IFERROR(MATCH(U352,Fornecedores!$AF$1:$AF$6631,0),""))</f>
        <v/>
      </c>
      <c r="W352" t="str">
        <f t="shared" si="3"/>
        <v/>
      </c>
      <c r="X352" s="4" t="str">
        <f>IF(V352="","",INDEX(Fornecedores!$X$1:$X$6631,V352))</f>
        <v/>
      </c>
      <c r="Y352" s="4" t="str">
        <f t="shared" si="4"/>
        <v/>
      </c>
    </row>
    <row r="353" spans="19:25">
      <c r="S353" t="str">
        <f t="shared" si="0"/>
        <v/>
      </c>
      <c r="T353" t="str">
        <f t="shared" si="1"/>
        <v/>
      </c>
      <c r="U353" t="str">
        <f t="shared" si="2"/>
        <v/>
      </c>
      <c r="V353" t="str">
        <f>IF(OR(U353="",U353="ERRO_CHAVE"),"",IFERROR(MATCH(U353,Fornecedores!$AF$1:$AF$6631,0),""))</f>
        <v/>
      </c>
      <c r="W353" t="str">
        <f t="shared" si="3"/>
        <v/>
      </c>
      <c r="X353" s="4" t="str">
        <f>IF(V353="","",INDEX(Fornecedores!$X$1:$X$6631,V353))</f>
        <v/>
      </c>
      <c r="Y353" s="4" t="str">
        <f t="shared" si="4"/>
        <v/>
      </c>
    </row>
    <row r="354" spans="19:25">
      <c r="S354" t="str">
        <f t="shared" si="0"/>
        <v/>
      </c>
      <c r="T354" t="str">
        <f t="shared" si="1"/>
        <v/>
      </c>
      <c r="U354" t="str">
        <f t="shared" si="2"/>
        <v/>
      </c>
      <c r="V354" t="str">
        <f>IF(OR(U354="",U354="ERRO_CHAVE"),"",IFERROR(MATCH(U354,Fornecedores!$AF$1:$AF$6631,0),""))</f>
        <v/>
      </c>
      <c r="W354" t="str">
        <f t="shared" si="3"/>
        <v/>
      </c>
      <c r="X354" s="4" t="str">
        <f>IF(V354="","",INDEX(Fornecedores!$X$1:$X$6631,V354))</f>
        <v/>
      </c>
      <c r="Y354" s="4" t="str">
        <f t="shared" si="4"/>
        <v/>
      </c>
    </row>
    <row r="355" spans="19:25">
      <c r="S355" t="str">
        <f t="shared" si="0"/>
        <v/>
      </c>
      <c r="T355" t="str">
        <f t="shared" si="1"/>
        <v/>
      </c>
      <c r="U355" t="str">
        <f t="shared" si="2"/>
        <v/>
      </c>
      <c r="V355" t="str">
        <f>IF(OR(U355="",U355="ERRO_CHAVE"),"",IFERROR(MATCH(U355,Fornecedores!$AF$1:$AF$6631,0),""))</f>
        <v/>
      </c>
      <c r="W355" t="str">
        <f t="shared" si="3"/>
        <v/>
      </c>
      <c r="X355" s="4" t="str">
        <f>IF(V355="","",INDEX(Fornecedores!$X$1:$X$6631,V355))</f>
        <v/>
      </c>
      <c r="Y355" s="4" t="str">
        <f t="shared" si="4"/>
        <v/>
      </c>
    </row>
    <row r="356" spans="19:25">
      <c r="S356" t="str">
        <f t="shared" si="0"/>
        <v/>
      </c>
      <c r="T356" t="str">
        <f t="shared" si="1"/>
        <v/>
      </c>
      <c r="U356" t="str">
        <f t="shared" si="2"/>
        <v/>
      </c>
      <c r="V356" t="str">
        <f>IF(OR(U356="",U356="ERRO_CHAVE"),"",IFERROR(MATCH(U356,Fornecedores!$AF$1:$AF$6631,0),""))</f>
        <v/>
      </c>
      <c r="W356" t="str">
        <f t="shared" si="3"/>
        <v/>
      </c>
      <c r="X356" s="4" t="str">
        <f>IF(V356="","",INDEX(Fornecedores!$X$1:$X$6631,V356))</f>
        <v/>
      </c>
      <c r="Y356" s="4" t="str">
        <f t="shared" si="4"/>
        <v/>
      </c>
    </row>
    <row r="357" spans="19:25">
      <c r="S357" t="str">
        <f t="shared" si="0"/>
        <v/>
      </c>
      <c r="T357" t="str">
        <f t="shared" si="1"/>
        <v/>
      </c>
      <c r="U357" t="str">
        <f t="shared" si="2"/>
        <v/>
      </c>
      <c r="V357" t="str">
        <f>IF(OR(U357="",U357="ERRO_CHAVE"),"",IFERROR(MATCH(U357,Fornecedores!$AF$1:$AF$6631,0),""))</f>
        <v/>
      </c>
      <c r="W357" t="str">
        <f t="shared" si="3"/>
        <v/>
      </c>
      <c r="X357" s="4" t="str">
        <f>IF(V357="","",INDEX(Fornecedores!$X$1:$X$6631,V357))</f>
        <v/>
      </c>
      <c r="Y357" s="4" t="str">
        <f t="shared" si="4"/>
        <v/>
      </c>
    </row>
    <row r="358" spans="19:25">
      <c r="S358" t="str">
        <f t="shared" si="0"/>
        <v/>
      </c>
      <c r="T358" t="str">
        <f t="shared" si="1"/>
        <v/>
      </c>
      <c r="U358" t="str">
        <f t="shared" si="2"/>
        <v/>
      </c>
      <c r="V358" t="str">
        <f>IF(OR(U358="",U358="ERRO_CHAVE"),"",IFERROR(MATCH(U358,Fornecedores!$AF$1:$AF$6631,0),""))</f>
        <v/>
      </c>
      <c r="W358" t="str">
        <f t="shared" si="3"/>
        <v/>
      </c>
      <c r="X358" s="4" t="str">
        <f>IF(V358="","",INDEX(Fornecedores!$X$1:$X$6631,V358))</f>
        <v/>
      </c>
      <c r="Y358" s="4" t="str">
        <f t="shared" si="4"/>
        <v/>
      </c>
    </row>
    <row r="359" spans="19:25">
      <c r="S359" t="str">
        <f t="shared" si="0"/>
        <v/>
      </c>
      <c r="T359" t="str">
        <f t="shared" si="1"/>
        <v/>
      </c>
      <c r="U359" t="str">
        <f t="shared" si="2"/>
        <v/>
      </c>
      <c r="V359" t="str">
        <f>IF(OR(U359="",U359="ERRO_CHAVE"),"",IFERROR(MATCH(U359,Fornecedores!$AF$1:$AF$6631,0),""))</f>
        <v/>
      </c>
      <c r="W359" t="str">
        <f t="shared" si="3"/>
        <v/>
      </c>
      <c r="X359" s="4" t="str">
        <f>IF(V359="","",INDEX(Fornecedores!$X$1:$X$6631,V359))</f>
        <v/>
      </c>
      <c r="Y359" s="4" t="str">
        <f t="shared" si="4"/>
        <v/>
      </c>
    </row>
    <row r="360" spans="19:25">
      <c r="S360" t="str">
        <f t="shared" si="0"/>
        <v/>
      </c>
      <c r="T360" t="str">
        <f t="shared" si="1"/>
        <v/>
      </c>
      <c r="U360" t="str">
        <f t="shared" si="2"/>
        <v/>
      </c>
      <c r="V360" t="str">
        <f>IF(OR(U360="",U360="ERRO_CHAVE"),"",IFERROR(MATCH(U360,Fornecedores!$AF$1:$AF$6631,0),""))</f>
        <v/>
      </c>
      <c r="W360" t="str">
        <f t="shared" si="3"/>
        <v/>
      </c>
      <c r="X360" s="4" t="str">
        <f>IF(V360="","",INDEX(Fornecedores!$X$1:$X$6631,V360))</f>
        <v/>
      </c>
      <c r="Y360" s="4" t="str">
        <f t="shared" si="4"/>
        <v/>
      </c>
    </row>
    <row r="361" spans="19:25">
      <c r="S361" t="str">
        <f t="shared" si="0"/>
        <v/>
      </c>
      <c r="T361" t="str">
        <f t="shared" si="1"/>
        <v/>
      </c>
      <c r="U361" t="str">
        <f t="shared" si="2"/>
        <v/>
      </c>
      <c r="V361" t="str">
        <f>IF(OR(U361="",U361="ERRO_CHAVE"),"",IFERROR(MATCH(U361,Fornecedores!$AF$1:$AF$6631,0),""))</f>
        <v/>
      </c>
      <c r="W361" t="str">
        <f t="shared" si="3"/>
        <v/>
      </c>
      <c r="X361" s="4" t="str">
        <f>IF(V361="","",INDEX(Fornecedores!$X$1:$X$6631,V361))</f>
        <v/>
      </c>
      <c r="Y361" s="4" t="str">
        <f t="shared" si="4"/>
        <v/>
      </c>
    </row>
    <row r="362" spans="19:25">
      <c r="S362" t="str">
        <f t="shared" si="0"/>
        <v/>
      </c>
      <c r="T362" t="str">
        <f t="shared" si="1"/>
        <v/>
      </c>
      <c r="U362" t="str">
        <f t="shared" si="2"/>
        <v/>
      </c>
      <c r="V362" t="str">
        <f>IF(OR(U362="",U362="ERRO_CHAVE"),"",IFERROR(MATCH(U362,Fornecedores!$AF$1:$AF$6631,0),""))</f>
        <v/>
      </c>
      <c r="W362" t="str">
        <f t="shared" si="3"/>
        <v/>
      </c>
      <c r="X362" s="4" t="str">
        <f>IF(V362="","",INDEX(Fornecedores!$X$1:$X$6631,V362))</f>
        <v/>
      </c>
      <c r="Y362" s="4" t="str">
        <f t="shared" si="4"/>
        <v/>
      </c>
    </row>
    <row r="363" spans="19:25">
      <c r="S363" t="str">
        <f t="shared" si="0"/>
        <v/>
      </c>
      <c r="T363" t="str">
        <f t="shared" si="1"/>
        <v/>
      </c>
      <c r="U363" t="str">
        <f t="shared" si="2"/>
        <v/>
      </c>
      <c r="V363" t="str">
        <f>IF(OR(U363="",U363="ERRO_CHAVE"),"",IFERROR(MATCH(U363,Fornecedores!$AF$1:$AF$6631,0),""))</f>
        <v/>
      </c>
      <c r="W363" t="str">
        <f t="shared" si="3"/>
        <v/>
      </c>
      <c r="X363" s="4" t="str">
        <f>IF(V363="","",INDEX(Fornecedores!$X$1:$X$6631,V363))</f>
        <v/>
      </c>
      <c r="Y363" s="4" t="str">
        <f t="shared" si="4"/>
        <v/>
      </c>
    </row>
    <row r="364" spans="19:25">
      <c r="S364" t="str">
        <f t="shared" si="0"/>
        <v/>
      </c>
      <c r="T364" t="str">
        <f t="shared" si="1"/>
        <v/>
      </c>
      <c r="U364" t="str">
        <f t="shared" si="2"/>
        <v/>
      </c>
      <c r="V364" t="str">
        <f>IF(OR(U364="",U364="ERRO_CHAVE"),"",IFERROR(MATCH(U364,Fornecedores!$AF$1:$AF$6631,0),""))</f>
        <v/>
      </c>
      <c r="W364" t="str">
        <f t="shared" si="3"/>
        <v/>
      </c>
      <c r="X364" s="4" t="str">
        <f>IF(V364="","",INDEX(Fornecedores!$X$1:$X$6631,V364))</f>
        <v/>
      </c>
      <c r="Y364" s="4" t="str">
        <f t="shared" si="4"/>
        <v/>
      </c>
    </row>
    <row r="365" spans="19:25">
      <c r="S365" t="str">
        <f t="shared" si="0"/>
        <v/>
      </c>
      <c r="T365" t="str">
        <f t="shared" si="1"/>
        <v/>
      </c>
      <c r="U365" t="str">
        <f t="shared" si="2"/>
        <v/>
      </c>
      <c r="V365" t="str">
        <f>IF(OR(U365="",U365="ERRO_CHAVE"),"",IFERROR(MATCH(U365,Fornecedores!$AF$1:$AF$6631,0),""))</f>
        <v/>
      </c>
      <c r="W365" t="str">
        <f t="shared" si="3"/>
        <v/>
      </c>
      <c r="X365" s="4" t="str">
        <f>IF(V365="","",INDEX(Fornecedores!$X$1:$X$6631,V365))</f>
        <v/>
      </c>
      <c r="Y365" s="4" t="str">
        <f t="shared" si="4"/>
        <v/>
      </c>
    </row>
    <row r="366" spans="19:25">
      <c r="S366" t="str">
        <f t="shared" si="0"/>
        <v/>
      </c>
      <c r="T366" t="str">
        <f t="shared" si="1"/>
        <v/>
      </c>
      <c r="U366" t="str">
        <f t="shared" si="2"/>
        <v/>
      </c>
      <c r="V366" t="str">
        <f>IF(OR(U366="",U366="ERRO_CHAVE"),"",IFERROR(MATCH(U366,Fornecedores!$AF$1:$AF$6631,0),""))</f>
        <v/>
      </c>
      <c r="W366" t="str">
        <f t="shared" si="3"/>
        <v/>
      </c>
      <c r="X366" s="4" t="str">
        <f>IF(V366="","",INDEX(Fornecedores!$X$1:$X$6631,V366))</f>
        <v/>
      </c>
      <c r="Y366" s="4" t="str">
        <f t="shared" si="4"/>
        <v/>
      </c>
    </row>
    <row r="367" spans="19:25">
      <c r="S367" t="str">
        <f t="shared" si="0"/>
        <v/>
      </c>
      <c r="T367" t="str">
        <f t="shared" si="1"/>
        <v/>
      </c>
      <c r="U367" t="str">
        <f t="shared" si="2"/>
        <v/>
      </c>
      <c r="V367" t="str">
        <f>IF(OR(U367="",U367="ERRO_CHAVE"),"",IFERROR(MATCH(U367,Fornecedores!$AF$1:$AF$6631,0),""))</f>
        <v/>
      </c>
      <c r="W367" t="str">
        <f t="shared" si="3"/>
        <v/>
      </c>
      <c r="X367" s="4" t="str">
        <f>IF(V367="","",INDEX(Fornecedores!$X$1:$X$6631,V367))</f>
        <v/>
      </c>
      <c r="Y367" s="4" t="str">
        <f t="shared" si="4"/>
        <v/>
      </c>
    </row>
    <row r="368" spans="19:25">
      <c r="S368" t="str">
        <f t="shared" si="0"/>
        <v/>
      </c>
      <c r="T368" t="str">
        <f t="shared" si="1"/>
        <v/>
      </c>
      <c r="U368" t="str">
        <f t="shared" si="2"/>
        <v/>
      </c>
      <c r="V368" t="str">
        <f>IF(OR(U368="",U368="ERRO_CHAVE"),"",IFERROR(MATCH(U368,Fornecedores!$AF$1:$AF$6631,0),""))</f>
        <v/>
      </c>
      <c r="W368" t="str">
        <f t="shared" si="3"/>
        <v/>
      </c>
      <c r="X368" s="4" t="str">
        <f>IF(V368="","",INDEX(Fornecedores!$X$1:$X$6631,V368))</f>
        <v/>
      </c>
      <c r="Y368" s="4" t="str">
        <f t="shared" si="4"/>
        <v/>
      </c>
    </row>
    <row r="369" spans="19:25">
      <c r="S369" t="str">
        <f t="shared" si="0"/>
        <v/>
      </c>
      <c r="T369" t="str">
        <f t="shared" si="1"/>
        <v/>
      </c>
      <c r="U369" t="str">
        <f t="shared" si="2"/>
        <v/>
      </c>
      <c r="V369" t="str">
        <f>IF(OR(U369="",U369="ERRO_CHAVE"),"",IFERROR(MATCH(U369,Fornecedores!$AF$1:$AF$6631,0),""))</f>
        <v/>
      </c>
      <c r="W369" t="str">
        <f t="shared" si="3"/>
        <v/>
      </c>
      <c r="X369" s="4" t="str">
        <f>IF(V369="","",INDEX(Fornecedores!$X$1:$X$6631,V369))</f>
        <v/>
      </c>
      <c r="Y369" s="4" t="str">
        <f t="shared" si="4"/>
        <v/>
      </c>
    </row>
    <row r="370" spans="19:25">
      <c r="S370" t="str">
        <f t="shared" si="0"/>
        <v/>
      </c>
      <c r="T370" t="str">
        <f t="shared" si="1"/>
        <v/>
      </c>
      <c r="U370" t="str">
        <f t="shared" si="2"/>
        <v/>
      </c>
      <c r="V370" t="str">
        <f>IF(OR(U370="",U370="ERRO_CHAVE"),"",IFERROR(MATCH(U370,Fornecedores!$AF$1:$AF$6631,0),""))</f>
        <v/>
      </c>
      <c r="W370" t="str">
        <f t="shared" si="3"/>
        <v/>
      </c>
      <c r="X370" s="4" t="str">
        <f>IF(V370="","",INDEX(Fornecedores!$X$1:$X$6631,V370))</f>
        <v/>
      </c>
      <c r="Y370" s="4" t="str">
        <f t="shared" si="4"/>
        <v/>
      </c>
    </row>
    <row r="371" spans="19:25">
      <c r="S371" t="str">
        <f t="shared" si="0"/>
        <v/>
      </c>
      <c r="T371" t="str">
        <f t="shared" si="1"/>
        <v/>
      </c>
      <c r="U371" t="str">
        <f t="shared" si="2"/>
        <v/>
      </c>
      <c r="V371" t="str">
        <f>IF(OR(U371="",U371="ERRO_CHAVE"),"",IFERROR(MATCH(U371,Fornecedores!$AF$1:$AF$6631,0),""))</f>
        <v/>
      </c>
      <c r="W371" t="str">
        <f t="shared" si="3"/>
        <v/>
      </c>
      <c r="X371" s="4" t="str">
        <f>IF(V371="","",INDEX(Fornecedores!$X$1:$X$6631,V371))</f>
        <v/>
      </c>
      <c r="Y371" s="4" t="str">
        <f t="shared" si="4"/>
        <v/>
      </c>
    </row>
    <row r="372" spans="19:25">
      <c r="S372" t="str">
        <f t="shared" si="0"/>
        <v/>
      </c>
      <c r="T372" t="str">
        <f t="shared" si="1"/>
        <v/>
      </c>
      <c r="U372" t="str">
        <f t="shared" si="2"/>
        <v/>
      </c>
      <c r="V372" t="str">
        <f>IF(OR(U372="",U372="ERRO_CHAVE"),"",IFERROR(MATCH(U372,Fornecedores!$AF$1:$AF$6631,0),""))</f>
        <v/>
      </c>
      <c r="W372" t="str">
        <f t="shared" si="3"/>
        <v/>
      </c>
      <c r="X372" s="4" t="str">
        <f>IF(V372="","",INDEX(Fornecedores!$X$1:$X$6631,V372))</f>
        <v/>
      </c>
      <c r="Y372" s="4" t="str">
        <f t="shared" si="4"/>
        <v/>
      </c>
    </row>
    <row r="373" spans="19:25">
      <c r="S373" t="str">
        <f t="shared" si="0"/>
        <v/>
      </c>
      <c r="T373" t="str">
        <f t="shared" si="1"/>
        <v/>
      </c>
      <c r="U373" t="str">
        <f t="shared" si="2"/>
        <v/>
      </c>
      <c r="V373" t="str">
        <f>IF(OR(U373="",U373="ERRO_CHAVE"),"",IFERROR(MATCH(U373,Fornecedores!$AF$1:$AF$6631,0),""))</f>
        <v/>
      </c>
      <c r="W373" t="str">
        <f t="shared" si="3"/>
        <v/>
      </c>
      <c r="X373" s="4" t="str">
        <f>IF(V373="","",INDEX(Fornecedores!$X$1:$X$6631,V373))</f>
        <v/>
      </c>
      <c r="Y373" s="4" t="str">
        <f t="shared" si="4"/>
        <v/>
      </c>
    </row>
    <row r="374" spans="19:25">
      <c r="S374" t="str">
        <f t="shared" si="0"/>
        <v/>
      </c>
      <c r="T374" t="str">
        <f t="shared" si="1"/>
        <v/>
      </c>
      <c r="U374" t="str">
        <f t="shared" si="2"/>
        <v/>
      </c>
      <c r="V374" t="str">
        <f>IF(OR(U374="",U374="ERRO_CHAVE"),"",IFERROR(MATCH(U374,Fornecedores!$AF$1:$AF$6631,0),""))</f>
        <v/>
      </c>
      <c r="W374" t="str">
        <f t="shared" si="3"/>
        <v/>
      </c>
      <c r="X374" s="4" t="str">
        <f>IF(V374="","",INDEX(Fornecedores!$X$1:$X$6631,V374))</f>
        <v/>
      </c>
      <c r="Y374" s="4" t="str">
        <f t="shared" si="4"/>
        <v/>
      </c>
    </row>
    <row r="375" spans="19:25">
      <c r="S375" t="str">
        <f t="shared" si="0"/>
        <v/>
      </c>
      <c r="T375" t="str">
        <f t="shared" si="1"/>
        <v/>
      </c>
      <c r="U375" t="str">
        <f t="shared" si="2"/>
        <v/>
      </c>
      <c r="V375" t="str">
        <f>IF(OR(U375="",U375="ERRO_CHAVE"),"",IFERROR(MATCH(U375,Fornecedores!$AF$1:$AF$6631,0),""))</f>
        <v/>
      </c>
      <c r="W375" t="str">
        <f t="shared" si="3"/>
        <v/>
      </c>
      <c r="X375" s="4" t="str">
        <f>IF(V375="","",INDEX(Fornecedores!$X$1:$X$6631,V375))</f>
        <v/>
      </c>
      <c r="Y375" s="4" t="str">
        <f t="shared" si="4"/>
        <v/>
      </c>
    </row>
    <row r="376" spans="19:25">
      <c r="S376" t="str">
        <f t="shared" si="0"/>
        <v/>
      </c>
      <c r="T376" t="str">
        <f t="shared" si="1"/>
        <v/>
      </c>
      <c r="U376" t="str">
        <f t="shared" si="2"/>
        <v/>
      </c>
      <c r="V376" t="str">
        <f>IF(OR(U376="",U376="ERRO_CHAVE"),"",IFERROR(MATCH(U376,Fornecedores!$AF$1:$AF$6631,0),""))</f>
        <v/>
      </c>
      <c r="W376" t="str">
        <f t="shared" si="3"/>
        <v/>
      </c>
      <c r="X376" s="4" t="str">
        <f>IF(V376="","",INDEX(Fornecedores!$X$1:$X$6631,V376))</f>
        <v/>
      </c>
      <c r="Y376" s="4" t="str">
        <f t="shared" si="4"/>
        <v/>
      </c>
    </row>
    <row r="377" spans="19:25">
      <c r="S377" t="str">
        <f t="shared" si="0"/>
        <v/>
      </c>
      <c r="T377" t="str">
        <f t="shared" si="1"/>
        <v/>
      </c>
      <c r="U377" t="str">
        <f t="shared" si="2"/>
        <v/>
      </c>
      <c r="V377" t="str">
        <f>IF(OR(U377="",U377="ERRO_CHAVE"),"",IFERROR(MATCH(U377,Fornecedores!$AF$1:$AF$6631,0),""))</f>
        <v/>
      </c>
      <c r="W377" t="str">
        <f t="shared" si="3"/>
        <v/>
      </c>
      <c r="X377" s="4" t="str">
        <f>IF(V377="","",INDEX(Fornecedores!$X$1:$X$6631,V377))</f>
        <v/>
      </c>
      <c r="Y377" s="4" t="str">
        <f t="shared" si="4"/>
        <v/>
      </c>
    </row>
    <row r="378" spans="19:25">
      <c r="S378" t="str">
        <f t="shared" si="0"/>
        <v/>
      </c>
      <c r="T378" t="str">
        <f t="shared" si="1"/>
        <v/>
      </c>
      <c r="U378" t="str">
        <f t="shared" si="2"/>
        <v/>
      </c>
      <c r="V378" t="str">
        <f>IF(OR(U378="",U378="ERRO_CHAVE"),"",IFERROR(MATCH(U378,Fornecedores!$AF$1:$AF$6631,0),""))</f>
        <v/>
      </c>
      <c r="W378" t="str">
        <f t="shared" si="3"/>
        <v/>
      </c>
      <c r="X378" s="4" t="str">
        <f>IF(V378="","",INDEX(Fornecedores!$X$1:$X$6631,V378))</f>
        <v/>
      </c>
      <c r="Y378" s="4" t="str">
        <f t="shared" si="4"/>
        <v/>
      </c>
    </row>
    <row r="379" spans="19:25">
      <c r="S379" t="str">
        <f t="shared" si="0"/>
        <v/>
      </c>
      <c r="T379" t="str">
        <f t="shared" si="1"/>
        <v/>
      </c>
      <c r="U379" t="str">
        <f t="shared" si="2"/>
        <v/>
      </c>
      <c r="V379" t="str">
        <f>IF(OR(U379="",U379="ERRO_CHAVE"),"",IFERROR(MATCH(U379,Fornecedores!$AF$1:$AF$6631,0),""))</f>
        <v/>
      </c>
      <c r="W379" t="str">
        <f t="shared" si="3"/>
        <v/>
      </c>
      <c r="X379" s="4" t="str">
        <f>IF(V379="","",INDEX(Fornecedores!$X$1:$X$6631,V379))</f>
        <v/>
      </c>
      <c r="Y379" s="4" t="str">
        <f t="shared" si="4"/>
        <v/>
      </c>
    </row>
    <row r="380" spans="19:25">
      <c r="S380" t="str">
        <f t="shared" si="0"/>
        <v/>
      </c>
      <c r="T380" t="str">
        <f t="shared" si="1"/>
        <v/>
      </c>
      <c r="U380" t="str">
        <f t="shared" si="2"/>
        <v/>
      </c>
      <c r="V380" t="str">
        <f>IF(OR(U380="",U380="ERRO_CHAVE"),"",IFERROR(MATCH(U380,Fornecedores!$AF$1:$AF$6631,0),""))</f>
        <v/>
      </c>
      <c r="W380" t="str">
        <f t="shared" si="3"/>
        <v/>
      </c>
      <c r="X380" s="4" t="str">
        <f>IF(V380="","",INDEX(Fornecedores!$X$1:$X$6631,V380))</f>
        <v/>
      </c>
      <c r="Y380" s="4" t="str">
        <f t="shared" si="4"/>
        <v/>
      </c>
    </row>
    <row r="381" spans="19:25">
      <c r="S381" t="str">
        <f t="shared" si="0"/>
        <v/>
      </c>
      <c r="T381" t="str">
        <f t="shared" si="1"/>
        <v/>
      </c>
      <c r="U381" t="str">
        <f t="shared" si="2"/>
        <v/>
      </c>
      <c r="V381" t="str">
        <f>IF(OR(U381="",U381="ERRO_CHAVE"),"",IFERROR(MATCH(U381,Fornecedores!$AF$1:$AF$6631,0),""))</f>
        <v/>
      </c>
      <c r="W381" t="str">
        <f t="shared" si="3"/>
        <v/>
      </c>
      <c r="X381" s="4" t="str">
        <f>IF(V381="","",INDEX(Fornecedores!$X$1:$X$6631,V381))</f>
        <v/>
      </c>
      <c r="Y381" s="4" t="str">
        <f t="shared" si="4"/>
        <v/>
      </c>
    </row>
    <row r="382" spans="19:25">
      <c r="S382" t="str">
        <f t="shared" si="0"/>
        <v/>
      </c>
      <c r="T382" t="str">
        <f t="shared" si="1"/>
        <v/>
      </c>
      <c r="U382" t="str">
        <f t="shared" si="2"/>
        <v/>
      </c>
      <c r="V382" t="str">
        <f>IF(OR(U382="",U382="ERRO_CHAVE"),"",IFERROR(MATCH(U382,Fornecedores!$AF$1:$AF$6631,0),""))</f>
        <v/>
      </c>
      <c r="W382" t="str">
        <f t="shared" si="3"/>
        <v/>
      </c>
      <c r="X382" s="4" t="str">
        <f>IF(V382="","",INDEX(Fornecedores!$X$1:$X$6631,V382))</f>
        <v/>
      </c>
      <c r="Y382" s="4" t="str">
        <f t="shared" si="4"/>
        <v/>
      </c>
    </row>
    <row r="383" spans="19:25">
      <c r="S383" t="str">
        <f t="shared" si="0"/>
        <v/>
      </c>
      <c r="T383" t="str">
        <f t="shared" si="1"/>
        <v/>
      </c>
      <c r="U383" t="str">
        <f t="shared" si="2"/>
        <v/>
      </c>
      <c r="V383" t="str">
        <f>IF(OR(U383="",U383="ERRO_CHAVE"),"",IFERROR(MATCH(U383,Fornecedores!$AF$1:$AF$6631,0),""))</f>
        <v/>
      </c>
      <c r="W383" t="str">
        <f t="shared" si="3"/>
        <v/>
      </c>
      <c r="X383" s="4" t="str">
        <f>IF(V383="","",INDEX(Fornecedores!$X$1:$X$6631,V383))</f>
        <v/>
      </c>
      <c r="Y383" s="4" t="str">
        <f t="shared" si="4"/>
        <v/>
      </c>
    </row>
    <row r="384" spans="19:25">
      <c r="S384" t="str">
        <f t="shared" si="0"/>
        <v/>
      </c>
      <c r="T384" t="str">
        <f t="shared" si="1"/>
        <v/>
      </c>
      <c r="U384" t="str">
        <f t="shared" si="2"/>
        <v/>
      </c>
      <c r="V384" t="str">
        <f>IF(OR(U384="",U384="ERRO_CHAVE"),"",IFERROR(MATCH(U384,Fornecedores!$AF$1:$AF$6631,0),""))</f>
        <v/>
      </c>
      <c r="W384" t="str">
        <f t="shared" si="3"/>
        <v/>
      </c>
      <c r="X384" s="4" t="str">
        <f>IF(V384="","",INDEX(Fornecedores!$X$1:$X$6631,V384))</f>
        <v/>
      </c>
      <c r="Y384" s="4" t="str">
        <f t="shared" si="4"/>
        <v/>
      </c>
    </row>
    <row r="385" spans="19:25">
      <c r="S385" t="str">
        <f t="shared" si="0"/>
        <v/>
      </c>
      <c r="T385" t="str">
        <f t="shared" si="1"/>
        <v/>
      </c>
      <c r="U385" t="str">
        <f t="shared" si="2"/>
        <v/>
      </c>
      <c r="V385" t="str">
        <f>IF(OR(U385="",U385="ERRO_CHAVE"),"",IFERROR(MATCH(U385,Fornecedores!$AF$1:$AF$6631,0),""))</f>
        <v/>
      </c>
      <c r="W385" t="str">
        <f t="shared" si="3"/>
        <v/>
      </c>
      <c r="X385" s="4" t="str">
        <f>IF(V385="","",INDEX(Fornecedores!$X$1:$X$6631,V385))</f>
        <v/>
      </c>
      <c r="Y385" s="4" t="str">
        <f t="shared" si="4"/>
        <v/>
      </c>
    </row>
    <row r="386" spans="19:25">
      <c r="S386" t="str">
        <f t="shared" si="0"/>
        <v/>
      </c>
      <c r="T386" t="str">
        <f t="shared" si="1"/>
        <v/>
      </c>
      <c r="U386" t="str">
        <f t="shared" si="2"/>
        <v/>
      </c>
      <c r="V386" t="str">
        <f>IF(OR(U386="",U386="ERRO_CHAVE"),"",IFERROR(MATCH(U386,Fornecedores!$AF$1:$AF$6631,0),""))</f>
        <v/>
      </c>
      <c r="W386" t="str">
        <f t="shared" si="3"/>
        <v/>
      </c>
      <c r="X386" s="4" t="str">
        <f>IF(V386="","",INDEX(Fornecedores!$X$1:$X$6631,V386))</f>
        <v/>
      </c>
      <c r="Y386" s="4" t="str">
        <f t="shared" si="4"/>
        <v/>
      </c>
    </row>
    <row r="387" spans="19:25">
      <c r="S387" t="str">
        <f t="shared" si="0"/>
        <v/>
      </c>
      <c r="T387" t="str">
        <f t="shared" si="1"/>
        <v/>
      </c>
      <c r="U387" t="str">
        <f t="shared" si="2"/>
        <v/>
      </c>
      <c r="V387" t="str">
        <f>IF(OR(U387="",U387="ERRO_CHAVE"),"",IFERROR(MATCH(U387,Fornecedores!$AF$1:$AF$6631,0),""))</f>
        <v/>
      </c>
      <c r="W387" t="str">
        <f t="shared" si="3"/>
        <v/>
      </c>
      <c r="X387" s="4" t="str">
        <f>IF(V387="","",INDEX(Fornecedores!$X$1:$X$6631,V387))</f>
        <v/>
      </c>
      <c r="Y387" s="4" t="str">
        <f t="shared" si="4"/>
        <v/>
      </c>
    </row>
    <row r="388" spans="19:25">
      <c r="S388" t="str">
        <f t="shared" si="0"/>
        <v/>
      </c>
      <c r="T388" t="str">
        <f t="shared" si="1"/>
        <v/>
      </c>
      <c r="U388" t="str">
        <f t="shared" si="2"/>
        <v/>
      </c>
      <c r="V388" t="str">
        <f>IF(OR(U388="",U388="ERRO_CHAVE"),"",IFERROR(MATCH(U388,Fornecedores!$AF$1:$AF$6631,0),""))</f>
        <v/>
      </c>
      <c r="W388" t="str">
        <f t="shared" si="3"/>
        <v/>
      </c>
      <c r="X388" s="4" t="str">
        <f>IF(V388="","",INDEX(Fornecedores!$X$1:$X$6631,V388))</f>
        <v/>
      </c>
      <c r="Y388" s="4" t="str">
        <f t="shared" si="4"/>
        <v/>
      </c>
    </row>
    <row r="389" spans="19:25">
      <c r="S389" t="str">
        <f t="shared" si="0"/>
        <v/>
      </c>
      <c r="T389" t="str">
        <f t="shared" si="1"/>
        <v/>
      </c>
      <c r="U389" t="str">
        <f t="shared" si="2"/>
        <v/>
      </c>
      <c r="V389" t="str">
        <f>IF(OR(U389="",U389="ERRO_CHAVE"),"",IFERROR(MATCH(U389,Fornecedores!$AF$1:$AF$6631,0),""))</f>
        <v/>
      </c>
      <c r="W389" t="str">
        <f t="shared" si="3"/>
        <v/>
      </c>
      <c r="X389" s="4" t="str">
        <f>IF(V389="","",INDEX(Fornecedores!$X$1:$X$6631,V389))</f>
        <v/>
      </c>
      <c r="Y389" s="4" t="str">
        <f t="shared" si="4"/>
        <v/>
      </c>
    </row>
    <row r="390" spans="19:25">
      <c r="S390" t="str">
        <f t="shared" si="0"/>
        <v/>
      </c>
      <c r="T390" t="str">
        <f t="shared" si="1"/>
        <v/>
      </c>
      <c r="U390" t="str">
        <f t="shared" si="2"/>
        <v/>
      </c>
      <c r="V390" t="str">
        <f>IF(OR(U390="",U390="ERRO_CHAVE"),"",IFERROR(MATCH(U390,Fornecedores!$AF$1:$AF$6631,0),""))</f>
        <v/>
      </c>
      <c r="W390" t="str">
        <f t="shared" si="3"/>
        <v/>
      </c>
      <c r="X390" s="4" t="str">
        <f>IF(V390="","",INDEX(Fornecedores!$X$1:$X$6631,V390))</f>
        <v/>
      </c>
      <c r="Y390" s="4" t="str">
        <f t="shared" si="4"/>
        <v/>
      </c>
    </row>
    <row r="391" spans="19:25">
      <c r="S391" t="str">
        <f t="shared" si="0"/>
        <v/>
      </c>
      <c r="T391" t="str">
        <f t="shared" si="1"/>
        <v/>
      </c>
      <c r="U391" t="str">
        <f t="shared" si="2"/>
        <v/>
      </c>
      <c r="V391" t="str">
        <f>IF(OR(U391="",U391="ERRO_CHAVE"),"",IFERROR(MATCH(U391,Fornecedores!$AF$1:$AF$6631,0),""))</f>
        <v/>
      </c>
      <c r="W391" t="str">
        <f t="shared" si="3"/>
        <v/>
      </c>
      <c r="X391" s="4" t="str">
        <f>IF(V391="","",INDEX(Fornecedores!$X$1:$X$6631,V391))</f>
        <v/>
      </c>
      <c r="Y391" s="4" t="str">
        <f t="shared" si="4"/>
        <v/>
      </c>
    </row>
    <row r="392" spans="19:25">
      <c r="S392" t="str">
        <f t="shared" si="0"/>
        <v/>
      </c>
      <c r="T392" t="str">
        <f t="shared" si="1"/>
        <v/>
      </c>
      <c r="U392" t="str">
        <f t="shared" si="2"/>
        <v/>
      </c>
      <c r="V392" t="str">
        <f>IF(OR(U392="",U392="ERRO_CHAVE"),"",IFERROR(MATCH(U392,Fornecedores!$AF$1:$AF$6631,0),""))</f>
        <v/>
      </c>
      <c r="W392" t="str">
        <f t="shared" si="3"/>
        <v/>
      </c>
      <c r="X392" s="4" t="str">
        <f>IF(V392="","",INDEX(Fornecedores!$X$1:$X$6631,V392))</f>
        <v/>
      </c>
      <c r="Y392" s="4" t="str">
        <f t="shared" si="4"/>
        <v/>
      </c>
    </row>
    <row r="393" spans="19:25">
      <c r="S393" t="str">
        <f t="shared" si="0"/>
        <v/>
      </c>
      <c r="T393" t="str">
        <f t="shared" si="1"/>
        <v/>
      </c>
      <c r="U393" t="str">
        <f t="shared" si="2"/>
        <v/>
      </c>
      <c r="V393" t="str">
        <f>IF(OR(U393="",U393="ERRO_CHAVE"),"",IFERROR(MATCH(U393,Fornecedores!$AF$1:$AF$6631,0),""))</f>
        <v/>
      </c>
      <c r="W393" t="str">
        <f t="shared" si="3"/>
        <v/>
      </c>
      <c r="X393" s="4" t="str">
        <f>IF(V393="","",INDEX(Fornecedores!$X$1:$X$6631,V393))</f>
        <v/>
      </c>
      <c r="Y393" s="4" t="str">
        <f t="shared" si="4"/>
        <v/>
      </c>
    </row>
    <row r="394" spans="19:25">
      <c r="S394" t="str">
        <f t="shared" si="0"/>
        <v/>
      </c>
      <c r="T394" t="str">
        <f t="shared" si="1"/>
        <v/>
      </c>
      <c r="U394" t="str">
        <f t="shared" si="2"/>
        <v/>
      </c>
      <c r="V394" t="str">
        <f>IF(OR(U394="",U394="ERRO_CHAVE"),"",IFERROR(MATCH(U394,Fornecedores!$AF$1:$AF$6631,0),""))</f>
        <v/>
      </c>
      <c r="W394" t="str">
        <f t="shared" si="3"/>
        <v/>
      </c>
      <c r="X394" s="4" t="str">
        <f>IF(V394="","",INDEX(Fornecedores!$X$1:$X$6631,V394))</f>
        <v/>
      </c>
      <c r="Y394" s="4" t="str">
        <f t="shared" si="4"/>
        <v/>
      </c>
    </row>
    <row r="395" spans="19:25">
      <c r="S395" t="str">
        <f t="shared" si="0"/>
        <v/>
      </c>
      <c r="T395" t="str">
        <f t="shared" si="1"/>
        <v/>
      </c>
      <c r="U395" t="str">
        <f t="shared" si="2"/>
        <v/>
      </c>
      <c r="V395" t="str">
        <f>IF(OR(U395="",U395="ERRO_CHAVE"),"",IFERROR(MATCH(U395,Fornecedores!$AF$1:$AF$6631,0),""))</f>
        <v/>
      </c>
      <c r="W395" t="str">
        <f t="shared" si="3"/>
        <v/>
      </c>
      <c r="X395" s="4" t="str">
        <f>IF(V395="","",INDEX(Fornecedores!$X$1:$X$6631,V395))</f>
        <v/>
      </c>
      <c r="Y395" s="4" t="str">
        <f t="shared" si="4"/>
        <v/>
      </c>
    </row>
    <row r="396" spans="19:25">
      <c r="S396" t="str">
        <f t="shared" si="0"/>
        <v/>
      </c>
      <c r="T396" t="str">
        <f t="shared" si="1"/>
        <v/>
      </c>
      <c r="U396" t="str">
        <f t="shared" si="2"/>
        <v/>
      </c>
      <c r="V396" t="str">
        <f>IF(OR(U396="",U396="ERRO_CHAVE"),"",IFERROR(MATCH(U396,Fornecedores!$AF$1:$AF$6631,0),""))</f>
        <v/>
      </c>
      <c r="W396" t="str">
        <f t="shared" si="3"/>
        <v/>
      </c>
      <c r="X396" s="4" t="str">
        <f>IF(V396="","",INDEX(Fornecedores!$X$1:$X$6631,V396))</f>
        <v/>
      </c>
      <c r="Y396" s="4" t="str">
        <f t="shared" si="4"/>
        <v/>
      </c>
    </row>
    <row r="397" spans="19:25">
      <c r="S397" t="str">
        <f t="shared" si="0"/>
        <v/>
      </c>
      <c r="T397" t="str">
        <f t="shared" si="1"/>
        <v/>
      </c>
      <c r="U397" t="str">
        <f t="shared" si="2"/>
        <v/>
      </c>
      <c r="V397" t="str">
        <f>IF(OR(U397="",U397="ERRO_CHAVE"),"",IFERROR(MATCH(U397,Fornecedores!$AF$1:$AF$6631,0),""))</f>
        <v/>
      </c>
      <c r="W397" t="str">
        <f t="shared" si="3"/>
        <v/>
      </c>
      <c r="X397" s="4" t="str">
        <f>IF(V397="","",INDEX(Fornecedores!$X$1:$X$6631,V397))</f>
        <v/>
      </c>
      <c r="Y397" s="4" t="str">
        <f t="shared" si="4"/>
        <v/>
      </c>
    </row>
    <row r="398" spans="19:25">
      <c r="S398" t="str">
        <f t="shared" si="0"/>
        <v/>
      </c>
      <c r="T398" t="str">
        <f t="shared" si="1"/>
        <v/>
      </c>
      <c r="U398" t="str">
        <f t="shared" si="2"/>
        <v/>
      </c>
      <c r="V398" t="str">
        <f>IF(OR(U398="",U398="ERRO_CHAVE"),"",IFERROR(MATCH(U398,Fornecedores!$AF$1:$AF$6631,0),""))</f>
        <v/>
      </c>
      <c r="W398" t="str">
        <f t="shared" si="3"/>
        <v/>
      </c>
      <c r="X398" s="4" t="str">
        <f>IF(V398="","",INDEX(Fornecedores!$X$1:$X$6631,V398))</f>
        <v/>
      </c>
      <c r="Y398" s="4" t="str">
        <f t="shared" si="4"/>
        <v/>
      </c>
    </row>
    <row r="399" spans="19:25">
      <c r="S399" t="str">
        <f t="shared" si="0"/>
        <v/>
      </c>
      <c r="T399" t="str">
        <f t="shared" si="1"/>
        <v/>
      </c>
      <c r="U399" t="str">
        <f t="shared" si="2"/>
        <v/>
      </c>
      <c r="V399" t="str">
        <f>IF(OR(U399="",U399="ERRO_CHAVE"),"",IFERROR(MATCH(U399,Fornecedores!$AF$1:$AF$6631,0),""))</f>
        <v/>
      </c>
      <c r="W399" t="str">
        <f t="shared" si="3"/>
        <v/>
      </c>
      <c r="X399" s="4" t="str">
        <f>IF(V399="","",INDEX(Fornecedores!$X$1:$X$6631,V399))</f>
        <v/>
      </c>
      <c r="Y399" s="4" t="str">
        <f t="shared" si="4"/>
        <v/>
      </c>
    </row>
    <row r="400" spans="19:25">
      <c r="S400" t="str">
        <f t="shared" si="0"/>
        <v/>
      </c>
      <c r="T400" t="str">
        <f t="shared" si="1"/>
        <v/>
      </c>
      <c r="U400" t="str">
        <f t="shared" si="2"/>
        <v/>
      </c>
      <c r="V400" t="str">
        <f>IF(OR(U400="",U400="ERRO_CHAVE"),"",IFERROR(MATCH(U400,Fornecedores!$AF$1:$AF$6631,0),""))</f>
        <v/>
      </c>
      <c r="W400" t="str">
        <f t="shared" si="3"/>
        <v/>
      </c>
      <c r="X400" s="4" t="str">
        <f>IF(V400="","",INDEX(Fornecedores!$X$1:$X$6631,V400))</f>
        <v/>
      </c>
      <c r="Y400" s="4" t="str">
        <f t="shared" si="4"/>
        <v/>
      </c>
    </row>
    <row r="401" spans="19:25">
      <c r="S401" t="str">
        <f t="shared" si="0"/>
        <v/>
      </c>
      <c r="T401" t="str">
        <f t="shared" si="1"/>
        <v/>
      </c>
      <c r="U401" t="str">
        <f t="shared" si="2"/>
        <v/>
      </c>
      <c r="V401" t="str">
        <f>IF(OR(U401="",U401="ERRO_CHAVE"),"",IFERROR(MATCH(U401,Fornecedores!$AF$1:$AF$6631,0),""))</f>
        <v/>
      </c>
      <c r="W401" t="str">
        <f t="shared" si="3"/>
        <v/>
      </c>
      <c r="X401" s="4" t="str">
        <f>IF(V401="","",INDEX(Fornecedores!$X$1:$X$6631,V401))</f>
        <v/>
      </c>
      <c r="Y401" s="4" t="str">
        <f t="shared" si="4"/>
        <v/>
      </c>
    </row>
    <row r="402" spans="19:25">
      <c r="S402" t="str">
        <f t="shared" si="0"/>
        <v/>
      </c>
      <c r="T402" t="str">
        <f t="shared" si="1"/>
        <v/>
      </c>
      <c r="U402" t="str">
        <f t="shared" si="2"/>
        <v/>
      </c>
      <c r="V402" t="str">
        <f>IF(OR(U402="",U402="ERRO_CHAVE"),"",IFERROR(MATCH(U402,Fornecedores!$AF$1:$AF$6631,0),""))</f>
        <v/>
      </c>
      <c r="W402" t="str">
        <f t="shared" si="3"/>
        <v/>
      </c>
      <c r="X402" s="4" t="str">
        <f>IF(V402="","",INDEX(Fornecedores!$X$1:$X$6631,V402))</f>
        <v/>
      </c>
      <c r="Y402" s="4" t="str">
        <f t="shared" si="4"/>
        <v/>
      </c>
    </row>
    <row r="403" spans="19:25">
      <c r="S403" t="str">
        <f t="shared" si="0"/>
        <v/>
      </c>
      <c r="T403" t="str">
        <f t="shared" si="1"/>
        <v/>
      </c>
      <c r="U403" t="str">
        <f t="shared" si="2"/>
        <v/>
      </c>
      <c r="V403" t="str">
        <f>IF(OR(U403="",U403="ERRO_CHAVE"),"",IFERROR(MATCH(U403,Fornecedores!$AF$1:$AF$6631,0),""))</f>
        <v/>
      </c>
      <c r="W403" t="str">
        <f t="shared" si="3"/>
        <v/>
      </c>
      <c r="X403" s="4" t="str">
        <f>IF(V403="","",INDEX(Fornecedores!$X$1:$X$6631,V403))</f>
        <v/>
      </c>
      <c r="Y403" s="4" t="str">
        <f t="shared" si="4"/>
        <v/>
      </c>
    </row>
    <row r="404" spans="19:25">
      <c r="S404" t="str">
        <f t="shared" si="0"/>
        <v/>
      </c>
      <c r="T404" t="str">
        <f t="shared" si="1"/>
        <v/>
      </c>
      <c r="U404" t="str">
        <f t="shared" si="2"/>
        <v/>
      </c>
      <c r="V404" t="str">
        <f>IF(OR(U404="",U404="ERRO_CHAVE"),"",IFERROR(MATCH(U404,Fornecedores!$AF$1:$AF$6631,0),""))</f>
        <v/>
      </c>
      <c r="W404" t="str">
        <f t="shared" si="3"/>
        <v/>
      </c>
      <c r="X404" s="4" t="str">
        <f>IF(V404="","",INDEX(Fornecedores!$X$1:$X$6631,V404))</f>
        <v/>
      </c>
      <c r="Y404" s="4" t="str">
        <f t="shared" si="4"/>
        <v/>
      </c>
    </row>
    <row r="405" spans="19:25">
      <c r="S405" t="str">
        <f t="shared" si="0"/>
        <v/>
      </c>
      <c r="T405" t="str">
        <f t="shared" si="1"/>
        <v/>
      </c>
      <c r="U405" t="str">
        <f t="shared" si="2"/>
        <v/>
      </c>
      <c r="V405" t="str">
        <f>IF(OR(U405="",U405="ERRO_CHAVE"),"",IFERROR(MATCH(U405,Fornecedores!$AF$1:$AF$6631,0),""))</f>
        <v/>
      </c>
      <c r="W405" t="str">
        <f t="shared" si="3"/>
        <v/>
      </c>
      <c r="X405" s="4" t="str">
        <f>IF(V405="","",INDEX(Fornecedores!$X$1:$X$6631,V405))</f>
        <v/>
      </c>
      <c r="Y405" s="4" t="str">
        <f t="shared" si="4"/>
        <v/>
      </c>
    </row>
    <row r="406" spans="19:25">
      <c r="S406" t="str">
        <f t="shared" si="0"/>
        <v/>
      </c>
      <c r="T406" t="str">
        <f t="shared" si="1"/>
        <v/>
      </c>
      <c r="U406" t="str">
        <f t="shared" si="2"/>
        <v/>
      </c>
      <c r="V406" t="str">
        <f>IF(OR(U406="",U406="ERRO_CHAVE"),"",IFERROR(MATCH(U406,Fornecedores!$AF$1:$AF$6631,0),""))</f>
        <v/>
      </c>
      <c r="W406" t="str">
        <f t="shared" si="3"/>
        <v/>
      </c>
      <c r="X406" s="4" t="str">
        <f>IF(V406="","",INDEX(Fornecedores!$X$1:$X$6631,V406))</f>
        <v/>
      </c>
      <c r="Y406" s="4" t="str">
        <f t="shared" si="4"/>
        <v/>
      </c>
    </row>
    <row r="407" spans="19:25">
      <c r="S407" t="str">
        <f t="shared" si="0"/>
        <v/>
      </c>
      <c r="T407" t="str">
        <f t="shared" si="1"/>
        <v/>
      </c>
      <c r="U407" t="str">
        <f t="shared" si="2"/>
        <v/>
      </c>
      <c r="V407" t="str">
        <f>IF(OR(U407="",U407="ERRO_CHAVE"),"",IFERROR(MATCH(U407,Fornecedores!$AF$1:$AF$6631,0),""))</f>
        <v/>
      </c>
      <c r="W407" t="str">
        <f t="shared" si="3"/>
        <v/>
      </c>
      <c r="X407" s="4" t="str">
        <f>IF(V407="","",INDEX(Fornecedores!$X$1:$X$6631,V407))</f>
        <v/>
      </c>
      <c r="Y407" s="4" t="str">
        <f t="shared" si="4"/>
        <v/>
      </c>
    </row>
    <row r="408" spans="19:25">
      <c r="S408" t="str">
        <f t="shared" si="0"/>
        <v/>
      </c>
      <c r="T408" t="str">
        <f t="shared" si="1"/>
        <v/>
      </c>
      <c r="U408" t="str">
        <f t="shared" si="2"/>
        <v/>
      </c>
      <c r="V408" t="str">
        <f>IF(OR(U408="",U408="ERRO_CHAVE"),"",IFERROR(MATCH(U408,Fornecedores!$AF$1:$AF$6631,0),""))</f>
        <v/>
      </c>
      <c r="W408" t="str">
        <f t="shared" si="3"/>
        <v/>
      </c>
      <c r="X408" s="4" t="str">
        <f>IF(V408="","",INDEX(Fornecedores!$X$1:$X$6631,V408))</f>
        <v/>
      </c>
      <c r="Y408" s="4" t="str">
        <f t="shared" si="4"/>
        <v/>
      </c>
    </row>
    <row r="409" spans="19:25">
      <c r="S409" t="str">
        <f t="shared" si="0"/>
        <v/>
      </c>
      <c r="T409" t="str">
        <f t="shared" si="1"/>
        <v/>
      </c>
      <c r="U409" t="str">
        <f t="shared" si="2"/>
        <v/>
      </c>
      <c r="V409" t="str">
        <f>IF(OR(U409="",U409="ERRO_CHAVE"),"",IFERROR(MATCH(U409,Fornecedores!$AF$1:$AF$6631,0),""))</f>
        <v/>
      </c>
      <c r="W409" t="str">
        <f t="shared" si="3"/>
        <v/>
      </c>
      <c r="X409" s="4" t="str">
        <f>IF(V409="","",INDEX(Fornecedores!$X$1:$X$6631,V409))</f>
        <v/>
      </c>
      <c r="Y409" s="4" t="str">
        <f t="shared" si="4"/>
        <v/>
      </c>
    </row>
    <row r="410" spans="19:25">
      <c r="S410" t="str">
        <f t="shared" si="0"/>
        <v/>
      </c>
      <c r="T410" t="str">
        <f t="shared" si="1"/>
        <v/>
      </c>
      <c r="U410" t="str">
        <f t="shared" si="2"/>
        <v/>
      </c>
      <c r="V410" t="str">
        <f>IF(OR(U410="",U410="ERRO_CHAVE"),"",IFERROR(MATCH(U410,Fornecedores!$AF$1:$AF$6631,0),""))</f>
        <v/>
      </c>
      <c r="W410" t="str">
        <f t="shared" si="3"/>
        <v/>
      </c>
      <c r="X410" s="4" t="str">
        <f>IF(V410="","",INDEX(Fornecedores!$X$1:$X$6631,V410))</f>
        <v/>
      </c>
      <c r="Y410" s="4" t="str">
        <f t="shared" si="4"/>
        <v/>
      </c>
    </row>
    <row r="411" spans="19:25">
      <c r="S411" t="str">
        <f t="shared" si="0"/>
        <v/>
      </c>
      <c r="T411" t="str">
        <f t="shared" si="1"/>
        <v/>
      </c>
      <c r="U411" t="str">
        <f t="shared" si="2"/>
        <v/>
      </c>
      <c r="V411" t="str">
        <f>IF(OR(U411="",U411="ERRO_CHAVE"),"",IFERROR(MATCH(U411,Fornecedores!$AF$1:$AF$6631,0),""))</f>
        <v/>
      </c>
      <c r="W411" t="str">
        <f t="shared" si="3"/>
        <v/>
      </c>
      <c r="X411" s="4" t="str">
        <f>IF(V411="","",INDEX(Fornecedores!$X$1:$X$6631,V411))</f>
        <v/>
      </c>
      <c r="Y411" s="4" t="str">
        <f t="shared" si="4"/>
        <v/>
      </c>
    </row>
    <row r="412" spans="19:25">
      <c r="S412" t="str">
        <f t="shared" si="0"/>
        <v/>
      </c>
      <c r="T412" t="str">
        <f t="shared" si="1"/>
        <v/>
      </c>
      <c r="U412" t="str">
        <f t="shared" si="2"/>
        <v/>
      </c>
      <c r="V412" t="str">
        <f>IF(OR(U412="",U412="ERRO_CHAVE"),"",IFERROR(MATCH(U412,Fornecedores!$AF$1:$AF$6631,0),""))</f>
        <v/>
      </c>
      <c r="W412" t="str">
        <f t="shared" si="3"/>
        <v/>
      </c>
      <c r="X412" s="4" t="str">
        <f>IF(V412="","",INDEX(Fornecedores!$X$1:$X$6631,V412))</f>
        <v/>
      </c>
      <c r="Y412" s="4" t="str">
        <f t="shared" si="4"/>
        <v/>
      </c>
    </row>
    <row r="413" spans="19:25">
      <c r="S413" t="str">
        <f t="shared" si="0"/>
        <v/>
      </c>
      <c r="T413" t="str">
        <f t="shared" si="1"/>
        <v/>
      </c>
      <c r="U413" t="str">
        <f t="shared" si="2"/>
        <v/>
      </c>
      <c r="V413" t="str">
        <f>IF(OR(U413="",U413="ERRO_CHAVE"),"",IFERROR(MATCH(U413,Fornecedores!$AF$1:$AF$6631,0),""))</f>
        <v/>
      </c>
      <c r="W413" t="str">
        <f t="shared" si="3"/>
        <v/>
      </c>
      <c r="X413" s="4" t="str">
        <f>IF(V413="","",INDEX(Fornecedores!$X$1:$X$6631,V413))</f>
        <v/>
      </c>
      <c r="Y413" s="4" t="str">
        <f t="shared" si="4"/>
        <v/>
      </c>
    </row>
    <row r="414" spans="19:25">
      <c r="S414" t="str">
        <f t="shared" si="0"/>
        <v/>
      </c>
      <c r="T414" t="str">
        <f t="shared" si="1"/>
        <v/>
      </c>
      <c r="U414" t="str">
        <f t="shared" si="2"/>
        <v/>
      </c>
      <c r="V414" t="str">
        <f>IF(OR(U414="",U414="ERRO_CHAVE"),"",IFERROR(MATCH(U414,Fornecedores!$AF$1:$AF$6631,0),""))</f>
        <v/>
      </c>
      <c r="W414" t="str">
        <f t="shared" si="3"/>
        <v/>
      </c>
      <c r="X414" s="4" t="str">
        <f>IF(V414="","",INDEX(Fornecedores!$X$1:$X$6631,V414))</f>
        <v/>
      </c>
      <c r="Y414" s="4" t="str">
        <f t="shared" si="4"/>
        <v/>
      </c>
    </row>
    <row r="415" spans="19:25">
      <c r="S415" t="str">
        <f t="shared" si="0"/>
        <v/>
      </c>
      <c r="T415" t="str">
        <f t="shared" si="1"/>
        <v/>
      </c>
      <c r="U415" t="str">
        <f t="shared" si="2"/>
        <v/>
      </c>
      <c r="V415" t="str">
        <f>IF(OR(U415="",U415="ERRO_CHAVE"),"",IFERROR(MATCH(U415,Fornecedores!$AF$1:$AF$6631,0),""))</f>
        <v/>
      </c>
      <c r="W415" t="str">
        <f t="shared" si="3"/>
        <v/>
      </c>
      <c r="X415" s="4" t="str">
        <f>IF(V415="","",INDEX(Fornecedores!$X$1:$X$6631,V415))</f>
        <v/>
      </c>
      <c r="Y415" s="4" t="str">
        <f t="shared" si="4"/>
        <v/>
      </c>
    </row>
    <row r="416" spans="19:25">
      <c r="S416" t="str">
        <f t="shared" si="0"/>
        <v/>
      </c>
      <c r="T416" t="str">
        <f t="shared" si="1"/>
        <v/>
      </c>
      <c r="U416" t="str">
        <f t="shared" si="2"/>
        <v/>
      </c>
      <c r="V416" t="str">
        <f>IF(OR(U416="",U416="ERRO_CHAVE"),"",IFERROR(MATCH(U416,Fornecedores!$AF$1:$AF$6631,0),""))</f>
        <v/>
      </c>
      <c r="W416" t="str">
        <f t="shared" si="3"/>
        <v/>
      </c>
      <c r="X416" s="4" t="str">
        <f>IF(V416="","",INDEX(Fornecedores!$X$1:$X$6631,V416))</f>
        <v/>
      </c>
      <c r="Y416" s="4" t="str">
        <f t="shared" si="4"/>
        <v/>
      </c>
    </row>
    <row r="417" spans="19:25">
      <c r="S417" t="str">
        <f t="shared" si="0"/>
        <v/>
      </c>
      <c r="T417" t="str">
        <f t="shared" si="1"/>
        <v/>
      </c>
      <c r="U417" t="str">
        <f t="shared" si="2"/>
        <v/>
      </c>
      <c r="V417" t="str">
        <f>IF(OR(U417="",U417="ERRO_CHAVE"),"",IFERROR(MATCH(U417,Fornecedores!$AF$1:$AF$6631,0),""))</f>
        <v/>
      </c>
      <c r="W417" t="str">
        <f t="shared" si="3"/>
        <v/>
      </c>
      <c r="X417" s="4" t="str">
        <f>IF(V417="","",INDEX(Fornecedores!$X$1:$X$6631,V417))</f>
        <v/>
      </c>
      <c r="Y417" s="4" t="str">
        <f t="shared" si="4"/>
        <v/>
      </c>
    </row>
    <row r="418" spans="19:25">
      <c r="S418" t="str">
        <f t="shared" si="0"/>
        <v/>
      </c>
      <c r="T418" t="str">
        <f t="shared" si="1"/>
        <v/>
      </c>
      <c r="U418" t="str">
        <f t="shared" si="2"/>
        <v/>
      </c>
      <c r="V418" t="str">
        <f>IF(OR(U418="",U418="ERRO_CHAVE"),"",IFERROR(MATCH(U418,Fornecedores!$AF$1:$AF$6631,0),""))</f>
        <v/>
      </c>
      <c r="W418" t="str">
        <f t="shared" si="3"/>
        <v/>
      </c>
      <c r="X418" s="4" t="str">
        <f>IF(V418="","",INDEX(Fornecedores!$X$1:$X$6631,V418))</f>
        <v/>
      </c>
      <c r="Y418" s="4" t="str">
        <f t="shared" si="4"/>
        <v/>
      </c>
    </row>
    <row r="419" spans="19:25">
      <c r="S419" t="str">
        <f t="shared" si="0"/>
        <v/>
      </c>
      <c r="T419" t="str">
        <f t="shared" si="1"/>
        <v/>
      </c>
      <c r="U419" t="str">
        <f t="shared" si="2"/>
        <v/>
      </c>
      <c r="V419" t="str">
        <f>IF(OR(U419="",U419="ERRO_CHAVE"),"",IFERROR(MATCH(U419,Fornecedores!$AF$1:$AF$6631,0),""))</f>
        <v/>
      </c>
      <c r="W419" t="str">
        <f t="shared" si="3"/>
        <v/>
      </c>
      <c r="X419" s="4" t="str">
        <f>IF(V419="","",INDEX(Fornecedores!$X$1:$X$6631,V419))</f>
        <v/>
      </c>
      <c r="Y419" s="4" t="str">
        <f t="shared" si="4"/>
        <v/>
      </c>
    </row>
    <row r="420" spans="19:25">
      <c r="S420" t="str">
        <f t="shared" si="0"/>
        <v/>
      </c>
      <c r="T420" t="str">
        <f t="shared" si="1"/>
        <v/>
      </c>
      <c r="U420" t="str">
        <f t="shared" si="2"/>
        <v/>
      </c>
      <c r="V420" t="str">
        <f>IF(OR(U420="",U420="ERRO_CHAVE"),"",IFERROR(MATCH(U420,Fornecedores!$AF$1:$AF$6631,0),""))</f>
        <v/>
      </c>
      <c r="W420" t="str">
        <f t="shared" si="3"/>
        <v/>
      </c>
      <c r="X420" s="4" t="str">
        <f>IF(V420="","",INDEX(Fornecedores!$X$1:$X$6631,V420))</f>
        <v/>
      </c>
      <c r="Y420" s="4" t="str">
        <f t="shared" si="4"/>
        <v/>
      </c>
    </row>
    <row r="421" spans="19:25">
      <c r="S421" t="str">
        <f t="shared" si="0"/>
        <v/>
      </c>
      <c r="T421" t="str">
        <f t="shared" si="1"/>
        <v/>
      </c>
      <c r="U421" t="str">
        <f t="shared" si="2"/>
        <v/>
      </c>
      <c r="V421" t="str">
        <f>IF(OR(U421="",U421="ERRO_CHAVE"),"",IFERROR(MATCH(U421,Fornecedores!$AF$1:$AF$6631,0),""))</f>
        <v/>
      </c>
      <c r="W421" t="str">
        <f t="shared" si="3"/>
        <v/>
      </c>
      <c r="X421" s="4" t="str">
        <f>IF(V421="","",INDEX(Fornecedores!$X$1:$X$6631,V421))</f>
        <v/>
      </c>
      <c r="Y421" s="4" t="str">
        <f t="shared" si="4"/>
        <v/>
      </c>
    </row>
    <row r="422" spans="19:25">
      <c r="S422" t="str">
        <f t="shared" si="0"/>
        <v/>
      </c>
      <c r="T422" t="str">
        <f t="shared" si="1"/>
        <v/>
      </c>
      <c r="U422" t="str">
        <f t="shared" si="2"/>
        <v/>
      </c>
      <c r="V422" t="str">
        <f>IF(OR(U422="",U422="ERRO_CHAVE"),"",IFERROR(MATCH(U422,Fornecedores!$AF$1:$AF$6631,0),""))</f>
        <v/>
      </c>
      <c r="W422" t="str">
        <f t="shared" si="3"/>
        <v/>
      </c>
      <c r="X422" s="4" t="str">
        <f>IF(V422="","",INDEX(Fornecedores!$X$1:$X$6631,V422))</f>
        <v/>
      </c>
      <c r="Y422" s="4" t="str">
        <f t="shared" si="4"/>
        <v/>
      </c>
    </row>
    <row r="423" spans="19:25">
      <c r="S423" t="str">
        <f t="shared" si="0"/>
        <v/>
      </c>
      <c r="T423" t="str">
        <f t="shared" si="1"/>
        <v/>
      </c>
      <c r="U423" t="str">
        <f t="shared" si="2"/>
        <v/>
      </c>
      <c r="V423" t="str">
        <f>IF(OR(U423="",U423="ERRO_CHAVE"),"",IFERROR(MATCH(U423,Fornecedores!$AF$1:$AF$6631,0),""))</f>
        <v/>
      </c>
      <c r="W423" t="str">
        <f t="shared" si="3"/>
        <v/>
      </c>
      <c r="X423" s="4" t="str">
        <f>IF(V423="","",INDEX(Fornecedores!$X$1:$X$6631,V423))</f>
        <v/>
      </c>
      <c r="Y423" s="4" t="str">
        <f t="shared" si="4"/>
        <v/>
      </c>
    </row>
    <row r="424" spans="19:25">
      <c r="S424" t="str">
        <f t="shared" si="0"/>
        <v/>
      </c>
      <c r="T424" t="str">
        <f t="shared" si="1"/>
        <v/>
      </c>
      <c r="U424" t="str">
        <f t="shared" si="2"/>
        <v/>
      </c>
      <c r="V424" t="str">
        <f>IF(OR(U424="",U424="ERRO_CHAVE"),"",IFERROR(MATCH(U424,Fornecedores!$AF$1:$AF$6631,0),""))</f>
        <v/>
      </c>
      <c r="W424" t="str">
        <f t="shared" si="3"/>
        <v/>
      </c>
      <c r="X424" s="4" t="str">
        <f>IF(V424="","",INDEX(Fornecedores!$X$1:$X$6631,V424))</f>
        <v/>
      </c>
      <c r="Y424" s="4" t="str">
        <f t="shared" si="4"/>
        <v/>
      </c>
    </row>
    <row r="425" spans="19:25">
      <c r="S425" t="str">
        <f t="shared" si="0"/>
        <v/>
      </c>
      <c r="T425" t="str">
        <f t="shared" si="1"/>
        <v/>
      </c>
      <c r="U425" t="str">
        <f t="shared" si="2"/>
        <v/>
      </c>
      <c r="V425" t="str">
        <f>IF(OR(U425="",U425="ERRO_CHAVE"),"",IFERROR(MATCH(U425,Fornecedores!$AF$1:$AF$6631,0),""))</f>
        <v/>
      </c>
      <c r="W425" t="str">
        <f t="shared" si="3"/>
        <v/>
      </c>
      <c r="X425" s="4" t="str">
        <f>IF(V425="","",INDEX(Fornecedores!$X$1:$X$6631,V425))</f>
        <v/>
      </c>
      <c r="Y425" s="4" t="str">
        <f t="shared" si="4"/>
        <v/>
      </c>
    </row>
    <row r="426" spans="19:25">
      <c r="S426" t="str">
        <f t="shared" si="0"/>
        <v/>
      </c>
      <c r="T426" t="str">
        <f t="shared" si="1"/>
        <v/>
      </c>
      <c r="U426" t="str">
        <f t="shared" si="2"/>
        <v/>
      </c>
      <c r="V426" t="str">
        <f>IF(OR(U426="",U426="ERRO_CHAVE"),"",IFERROR(MATCH(U426,Fornecedores!$AF$1:$AF$6631,0),""))</f>
        <v/>
      </c>
      <c r="W426" t="str">
        <f t="shared" si="3"/>
        <v/>
      </c>
      <c r="X426" s="4" t="str">
        <f>IF(V426="","",INDEX(Fornecedores!$X$1:$X$6631,V426))</f>
        <v/>
      </c>
      <c r="Y426" s="4" t="str">
        <f t="shared" si="4"/>
        <v/>
      </c>
    </row>
    <row r="427" spans="19:25">
      <c r="S427" t="str">
        <f t="shared" si="0"/>
        <v/>
      </c>
      <c r="T427" t="str">
        <f t="shared" si="1"/>
        <v/>
      </c>
      <c r="U427" t="str">
        <f t="shared" si="2"/>
        <v/>
      </c>
      <c r="V427" t="str">
        <f>IF(OR(U427="",U427="ERRO_CHAVE"),"",IFERROR(MATCH(U427,Fornecedores!$AF$1:$AF$6631,0),""))</f>
        <v/>
      </c>
      <c r="W427" t="str">
        <f t="shared" si="3"/>
        <v/>
      </c>
      <c r="X427" s="4" t="str">
        <f>IF(V427="","",INDEX(Fornecedores!$X$1:$X$6631,V427))</f>
        <v/>
      </c>
      <c r="Y427" s="4" t="str">
        <f t="shared" si="4"/>
        <v/>
      </c>
    </row>
    <row r="428" spans="19:25">
      <c r="S428" t="str">
        <f t="shared" si="0"/>
        <v/>
      </c>
      <c r="T428" t="str">
        <f t="shared" si="1"/>
        <v/>
      </c>
      <c r="U428" t="str">
        <f t="shared" si="2"/>
        <v/>
      </c>
      <c r="V428" t="str">
        <f>IF(OR(U428="",U428="ERRO_CHAVE"),"",IFERROR(MATCH(U428,Fornecedores!$AF$1:$AF$6631,0),""))</f>
        <v/>
      </c>
      <c r="W428" t="str">
        <f t="shared" si="3"/>
        <v/>
      </c>
      <c r="X428" s="4" t="str">
        <f>IF(V428="","",INDEX(Fornecedores!$X$1:$X$6631,V428))</f>
        <v/>
      </c>
      <c r="Y428" s="4" t="str">
        <f t="shared" si="4"/>
        <v/>
      </c>
    </row>
    <row r="429" spans="19:25">
      <c r="S429" t="str">
        <f t="shared" si="0"/>
        <v/>
      </c>
      <c r="T429" t="str">
        <f t="shared" si="1"/>
        <v/>
      </c>
      <c r="U429" t="str">
        <f t="shared" si="2"/>
        <v/>
      </c>
      <c r="V429" t="str">
        <f>IF(OR(U429="",U429="ERRO_CHAVE"),"",IFERROR(MATCH(U429,Fornecedores!$AF$1:$AF$6631,0),""))</f>
        <v/>
      </c>
      <c r="W429" t="str">
        <f t="shared" si="3"/>
        <v/>
      </c>
      <c r="X429" s="4" t="str">
        <f>IF(V429="","",INDEX(Fornecedores!$X$1:$X$6631,V429))</f>
        <v/>
      </c>
      <c r="Y429" s="4" t="str">
        <f t="shared" si="4"/>
        <v/>
      </c>
    </row>
    <row r="430" spans="19:25">
      <c r="S430" t="str">
        <f t="shared" si="0"/>
        <v/>
      </c>
      <c r="T430" t="str">
        <f t="shared" si="1"/>
        <v/>
      </c>
      <c r="U430" t="str">
        <f t="shared" si="2"/>
        <v/>
      </c>
      <c r="V430" t="str">
        <f>IF(OR(U430="",U430="ERRO_CHAVE"),"",IFERROR(MATCH(U430,Fornecedores!$AF$1:$AF$6631,0),""))</f>
        <v/>
      </c>
      <c r="W430" t="str">
        <f t="shared" si="3"/>
        <v/>
      </c>
      <c r="X430" s="4" t="str">
        <f>IF(V430="","",INDEX(Fornecedores!$X$1:$X$6631,V430))</f>
        <v/>
      </c>
      <c r="Y430" s="4" t="str">
        <f t="shared" si="4"/>
        <v/>
      </c>
    </row>
    <row r="431" spans="19:25">
      <c r="S431" t="str">
        <f t="shared" si="0"/>
        <v/>
      </c>
      <c r="T431" t="str">
        <f t="shared" si="1"/>
        <v/>
      </c>
      <c r="U431" t="str">
        <f t="shared" si="2"/>
        <v/>
      </c>
      <c r="V431" t="str">
        <f>IF(OR(U431="",U431="ERRO_CHAVE"),"",IFERROR(MATCH(U431,Fornecedores!$AF$1:$AF$6631,0),""))</f>
        <v/>
      </c>
      <c r="W431" t="str">
        <f t="shared" si="3"/>
        <v/>
      </c>
      <c r="X431" s="4" t="str">
        <f>IF(V431="","",INDEX(Fornecedores!$X$1:$X$6631,V431))</f>
        <v/>
      </c>
      <c r="Y431" s="4" t="str">
        <f t="shared" si="4"/>
        <v/>
      </c>
    </row>
    <row r="432" spans="19:25">
      <c r="S432" t="str">
        <f t="shared" si="0"/>
        <v/>
      </c>
      <c r="T432" t="str">
        <f t="shared" si="1"/>
        <v/>
      </c>
      <c r="U432" t="str">
        <f t="shared" si="2"/>
        <v/>
      </c>
      <c r="V432" t="str">
        <f>IF(OR(U432="",U432="ERRO_CHAVE"),"",IFERROR(MATCH(U432,Fornecedores!$AF$1:$AF$6631,0),""))</f>
        <v/>
      </c>
      <c r="W432" t="str">
        <f t="shared" si="3"/>
        <v/>
      </c>
      <c r="X432" s="4" t="str">
        <f>IF(V432="","",INDEX(Fornecedores!$X$1:$X$6631,V432))</f>
        <v/>
      </c>
      <c r="Y432" s="4" t="str">
        <f t="shared" si="4"/>
        <v/>
      </c>
    </row>
    <row r="433" spans="19:25">
      <c r="S433" t="str">
        <f t="shared" si="0"/>
        <v/>
      </c>
      <c r="T433" t="str">
        <f t="shared" si="1"/>
        <v/>
      </c>
      <c r="U433" t="str">
        <f t="shared" si="2"/>
        <v/>
      </c>
      <c r="V433" t="str">
        <f>IF(OR(U433="",U433="ERRO_CHAVE"),"",IFERROR(MATCH(U433,Fornecedores!$AF$1:$AF$6631,0),""))</f>
        <v/>
      </c>
      <c r="W433" t="str">
        <f t="shared" si="3"/>
        <v/>
      </c>
      <c r="X433" s="4" t="str">
        <f>IF(V433="","",INDEX(Fornecedores!$X$1:$X$6631,V433))</f>
        <v/>
      </c>
      <c r="Y433" s="4" t="str">
        <f t="shared" si="4"/>
        <v/>
      </c>
    </row>
    <row r="434" spans="19:25">
      <c r="S434" t="str">
        <f t="shared" si="0"/>
        <v/>
      </c>
      <c r="T434" t="str">
        <f t="shared" si="1"/>
        <v/>
      </c>
      <c r="U434" t="str">
        <f t="shared" si="2"/>
        <v/>
      </c>
      <c r="V434" t="str">
        <f>IF(OR(U434="",U434="ERRO_CHAVE"),"",IFERROR(MATCH(U434,Fornecedores!$AF$1:$AF$6631,0),""))</f>
        <v/>
      </c>
      <c r="W434" t="str">
        <f t="shared" si="3"/>
        <v/>
      </c>
      <c r="X434" s="4" t="str">
        <f>IF(V434="","",INDEX(Fornecedores!$X$1:$X$6631,V434))</f>
        <v/>
      </c>
      <c r="Y434" s="4" t="str">
        <f t="shared" si="4"/>
        <v/>
      </c>
    </row>
    <row r="435" spans="19:25">
      <c r="S435" t="str">
        <f t="shared" si="0"/>
        <v/>
      </c>
      <c r="T435" t="str">
        <f t="shared" si="1"/>
        <v/>
      </c>
      <c r="U435" t="str">
        <f t="shared" si="2"/>
        <v/>
      </c>
      <c r="V435" t="str">
        <f>IF(OR(U435="",U435="ERRO_CHAVE"),"",IFERROR(MATCH(U435,Fornecedores!$AF$1:$AF$6631,0),""))</f>
        <v/>
      </c>
      <c r="W435" t="str">
        <f t="shared" si="3"/>
        <v/>
      </c>
      <c r="X435" s="4" t="str">
        <f>IF(V435="","",INDEX(Fornecedores!$X$1:$X$6631,V435))</f>
        <v/>
      </c>
      <c r="Y435" s="4" t="str">
        <f t="shared" si="4"/>
        <v/>
      </c>
    </row>
    <row r="436" spans="19:25">
      <c r="S436" t="str">
        <f t="shared" si="0"/>
        <v/>
      </c>
      <c r="T436" t="str">
        <f t="shared" si="1"/>
        <v/>
      </c>
      <c r="U436" t="str">
        <f t="shared" si="2"/>
        <v/>
      </c>
      <c r="V436" t="str">
        <f>IF(OR(U436="",U436="ERRO_CHAVE"),"",IFERROR(MATCH(U436,Fornecedores!$AF$1:$AF$6631,0),""))</f>
        <v/>
      </c>
      <c r="W436" t="str">
        <f t="shared" si="3"/>
        <v/>
      </c>
      <c r="X436" s="4" t="str">
        <f>IF(V436="","",INDEX(Fornecedores!$X$1:$X$6631,V436))</f>
        <v/>
      </c>
      <c r="Y436" s="4" t="str">
        <f t="shared" si="4"/>
        <v/>
      </c>
    </row>
    <row r="437" spans="19:25">
      <c r="S437" t="str">
        <f t="shared" si="0"/>
        <v/>
      </c>
      <c r="T437" t="str">
        <f t="shared" si="1"/>
        <v/>
      </c>
      <c r="U437" t="str">
        <f t="shared" si="2"/>
        <v/>
      </c>
      <c r="V437" t="str">
        <f>IF(OR(U437="",U437="ERRO_CHAVE"),"",IFERROR(MATCH(U437,Fornecedores!$AF$1:$AF$6631,0),""))</f>
        <v/>
      </c>
      <c r="W437" t="str">
        <f t="shared" si="3"/>
        <v/>
      </c>
      <c r="X437" s="4" t="str">
        <f>IF(V437="","",INDEX(Fornecedores!$X$1:$X$6631,V437))</f>
        <v/>
      </c>
      <c r="Y437" s="4" t="str">
        <f t="shared" si="4"/>
        <v/>
      </c>
    </row>
    <row r="438" spans="19:25">
      <c r="S438" t="str">
        <f t="shared" si="0"/>
        <v/>
      </c>
      <c r="T438" t="str">
        <f t="shared" si="1"/>
        <v/>
      </c>
      <c r="U438" t="str">
        <f t="shared" si="2"/>
        <v/>
      </c>
      <c r="V438" t="str">
        <f>IF(OR(U438="",U438="ERRO_CHAVE"),"",IFERROR(MATCH(U438,Fornecedores!$AF$1:$AF$6631,0),""))</f>
        <v/>
      </c>
      <c r="W438" t="str">
        <f t="shared" si="3"/>
        <v/>
      </c>
      <c r="X438" s="4" t="str">
        <f>IF(V438="","",INDEX(Fornecedores!$X$1:$X$6631,V438))</f>
        <v/>
      </c>
      <c r="Y438" s="4" t="str">
        <f t="shared" si="4"/>
        <v/>
      </c>
    </row>
    <row r="439" spans="19:25">
      <c r="S439" t="str">
        <f t="shared" si="0"/>
        <v/>
      </c>
      <c r="T439" t="str">
        <f t="shared" si="1"/>
        <v/>
      </c>
      <c r="U439" t="str">
        <f t="shared" si="2"/>
        <v/>
      </c>
      <c r="V439" t="str">
        <f>IF(OR(U439="",U439="ERRO_CHAVE"),"",IFERROR(MATCH(U439,Fornecedores!$AF$1:$AF$6631,0),""))</f>
        <v/>
      </c>
      <c r="W439" t="str">
        <f t="shared" si="3"/>
        <v/>
      </c>
      <c r="X439" s="4" t="str">
        <f>IF(V439="","",INDEX(Fornecedores!$X$1:$X$6631,V439))</f>
        <v/>
      </c>
      <c r="Y439" s="4" t="str">
        <f t="shared" si="4"/>
        <v/>
      </c>
    </row>
    <row r="440" spans="19:25">
      <c r="S440" t="str">
        <f t="shared" si="0"/>
        <v/>
      </c>
      <c r="T440" t="str">
        <f t="shared" si="1"/>
        <v/>
      </c>
      <c r="U440" t="str">
        <f t="shared" si="2"/>
        <v/>
      </c>
      <c r="V440" t="str">
        <f>IF(OR(U440="",U440="ERRO_CHAVE"),"",IFERROR(MATCH(U440,Fornecedores!$AF$1:$AF$6631,0),""))</f>
        <v/>
      </c>
      <c r="W440" t="str">
        <f t="shared" si="3"/>
        <v/>
      </c>
      <c r="X440" s="4" t="str">
        <f>IF(V440="","",INDEX(Fornecedores!$X$1:$X$6631,V440))</f>
        <v/>
      </c>
      <c r="Y440" s="4" t="str">
        <f t="shared" si="4"/>
        <v/>
      </c>
    </row>
    <row r="441" spans="19:25">
      <c r="S441" t="str">
        <f t="shared" si="0"/>
        <v/>
      </c>
      <c r="T441" t="str">
        <f t="shared" si="1"/>
        <v/>
      </c>
      <c r="U441" t="str">
        <f t="shared" si="2"/>
        <v/>
      </c>
      <c r="V441" t="str">
        <f>IF(OR(U441="",U441="ERRO_CHAVE"),"",IFERROR(MATCH(U441,Fornecedores!$AF$1:$AF$6631,0),""))</f>
        <v/>
      </c>
      <c r="W441" t="str">
        <f t="shared" si="3"/>
        <v/>
      </c>
      <c r="X441" s="4" t="str">
        <f>IF(V441="","",INDEX(Fornecedores!$X$1:$X$6631,V441))</f>
        <v/>
      </c>
      <c r="Y441" s="4" t="str">
        <f t="shared" si="4"/>
        <v/>
      </c>
    </row>
    <row r="442" spans="19:25">
      <c r="S442" t="str">
        <f t="shared" si="0"/>
        <v/>
      </c>
      <c r="T442" t="str">
        <f t="shared" si="1"/>
        <v/>
      </c>
      <c r="U442" t="str">
        <f t="shared" si="2"/>
        <v/>
      </c>
      <c r="V442" t="str">
        <f>IF(OR(U442="",U442="ERRO_CHAVE"),"",IFERROR(MATCH(U442,Fornecedores!$AF$1:$AF$6631,0),""))</f>
        <v/>
      </c>
      <c r="W442" t="str">
        <f t="shared" si="3"/>
        <v/>
      </c>
      <c r="X442" s="4" t="str">
        <f>IF(V442="","",INDEX(Fornecedores!$X$1:$X$6631,V442))</f>
        <v/>
      </c>
      <c r="Y442" s="4" t="str">
        <f t="shared" si="4"/>
        <v/>
      </c>
    </row>
    <row r="443" spans="19:25">
      <c r="S443" t="str">
        <f t="shared" si="0"/>
        <v/>
      </c>
      <c r="T443" t="str">
        <f t="shared" si="1"/>
        <v/>
      </c>
      <c r="U443" t="str">
        <f t="shared" si="2"/>
        <v/>
      </c>
      <c r="V443" t="str">
        <f>IF(OR(U443="",U443="ERRO_CHAVE"),"",IFERROR(MATCH(U443,Fornecedores!$AF$1:$AF$6631,0),""))</f>
        <v/>
      </c>
      <c r="W443" t="str">
        <f t="shared" si="3"/>
        <v/>
      </c>
      <c r="X443" s="4" t="str">
        <f>IF(V443="","",INDEX(Fornecedores!$X$1:$X$6631,V443))</f>
        <v/>
      </c>
      <c r="Y443" s="4" t="str">
        <f t="shared" si="4"/>
        <v/>
      </c>
    </row>
    <row r="444" spans="19:25">
      <c r="S444" t="str">
        <f t="shared" si="0"/>
        <v/>
      </c>
      <c r="T444" t="str">
        <f t="shared" si="1"/>
        <v/>
      </c>
      <c r="U444" t="str">
        <f t="shared" si="2"/>
        <v/>
      </c>
      <c r="V444" t="str">
        <f>IF(OR(U444="",U444="ERRO_CHAVE"),"",IFERROR(MATCH(U444,Fornecedores!$AF$1:$AF$6631,0),""))</f>
        <v/>
      </c>
      <c r="W444" t="str">
        <f t="shared" si="3"/>
        <v/>
      </c>
      <c r="X444" s="4" t="str">
        <f>IF(V444="","",INDEX(Fornecedores!$X$1:$X$6631,V444))</f>
        <v/>
      </c>
      <c r="Y444" s="4" t="str">
        <f t="shared" si="4"/>
        <v/>
      </c>
    </row>
    <row r="445" spans="19:25">
      <c r="S445" t="str">
        <f t="shared" si="0"/>
        <v/>
      </c>
      <c r="T445" t="str">
        <f t="shared" si="1"/>
        <v/>
      </c>
      <c r="U445" t="str">
        <f t="shared" si="2"/>
        <v/>
      </c>
      <c r="V445" t="str">
        <f>IF(OR(U445="",U445="ERRO_CHAVE"),"",IFERROR(MATCH(U445,Fornecedores!$AF$1:$AF$6631,0),""))</f>
        <v/>
      </c>
      <c r="W445" t="str">
        <f t="shared" si="3"/>
        <v/>
      </c>
      <c r="X445" s="4" t="str">
        <f>IF(V445="","",INDEX(Fornecedores!$X$1:$X$6631,V445))</f>
        <v/>
      </c>
      <c r="Y445" s="4" t="str">
        <f t="shared" si="4"/>
        <v/>
      </c>
    </row>
    <row r="446" spans="19:25">
      <c r="S446" t="str">
        <f t="shared" si="0"/>
        <v/>
      </c>
      <c r="T446" t="str">
        <f t="shared" si="1"/>
        <v/>
      </c>
      <c r="U446" t="str">
        <f t="shared" si="2"/>
        <v/>
      </c>
      <c r="V446" t="str">
        <f>IF(OR(U446="",U446="ERRO_CHAVE"),"",IFERROR(MATCH(U446,Fornecedores!$AF$1:$AF$6631,0),""))</f>
        <v/>
      </c>
      <c r="W446" t="str">
        <f t="shared" si="3"/>
        <v/>
      </c>
      <c r="X446" s="4" t="str">
        <f>IF(V446="","",INDEX(Fornecedores!$X$1:$X$6631,V446))</f>
        <v/>
      </c>
      <c r="Y446" s="4" t="str">
        <f t="shared" si="4"/>
        <v/>
      </c>
    </row>
    <row r="447" spans="19:25">
      <c r="S447" t="str">
        <f t="shared" si="0"/>
        <v/>
      </c>
      <c r="T447" t="str">
        <f t="shared" si="1"/>
        <v/>
      </c>
      <c r="U447" t="str">
        <f t="shared" si="2"/>
        <v/>
      </c>
      <c r="V447" t="str">
        <f>IF(OR(U447="",U447="ERRO_CHAVE"),"",IFERROR(MATCH(U447,Fornecedores!$AF$1:$AF$6631,0),""))</f>
        <v/>
      </c>
      <c r="W447" t="str">
        <f t="shared" si="3"/>
        <v/>
      </c>
      <c r="X447" s="4" t="str">
        <f>IF(V447="","",INDEX(Fornecedores!$X$1:$X$6631,V447))</f>
        <v/>
      </c>
      <c r="Y447" s="4" t="str">
        <f t="shared" si="4"/>
        <v/>
      </c>
    </row>
    <row r="448" spans="19:25">
      <c r="S448" t="str">
        <f t="shared" si="0"/>
        <v/>
      </c>
      <c r="T448" t="str">
        <f t="shared" si="1"/>
        <v/>
      </c>
      <c r="U448" t="str">
        <f t="shared" si="2"/>
        <v/>
      </c>
      <c r="V448" t="str">
        <f>IF(OR(U448="",U448="ERRO_CHAVE"),"",IFERROR(MATCH(U448,Fornecedores!$AF$1:$AF$6631,0),""))</f>
        <v/>
      </c>
      <c r="W448" t="str">
        <f t="shared" si="3"/>
        <v/>
      </c>
      <c r="X448" s="4" t="str">
        <f>IF(V448="","",INDEX(Fornecedores!$X$1:$X$6631,V448))</f>
        <v/>
      </c>
      <c r="Y448" s="4" t="str">
        <f t="shared" si="4"/>
        <v/>
      </c>
    </row>
    <row r="449" spans="19:25">
      <c r="S449" t="str">
        <f t="shared" si="0"/>
        <v/>
      </c>
      <c r="T449" t="str">
        <f t="shared" si="1"/>
        <v/>
      </c>
      <c r="U449" t="str">
        <f t="shared" si="2"/>
        <v/>
      </c>
      <c r="V449" t="str">
        <f>IF(OR(U449="",U449="ERRO_CHAVE"),"",IFERROR(MATCH(U449,Fornecedores!$AF$1:$AF$6631,0),""))</f>
        <v/>
      </c>
      <c r="W449" t="str">
        <f t="shared" si="3"/>
        <v/>
      </c>
      <c r="X449" s="4" t="str">
        <f>IF(V449="","",INDEX(Fornecedores!$X$1:$X$6631,V449))</f>
        <v/>
      </c>
      <c r="Y449" s="4" t="str">
        <f t="shared" si="4"/>
        <v/>
      </c>
    </row>
    <row r="450" spans="19:25">
      <c r="S450" t="str">
        <f t="shared" si="0"/>
        <v/>
      </c>
      <c r="T450" t="str">
        <f t="shared" si="1"/>
        <v/>
      </c>
      <c r="U450" t="str">
        <f t="shared" si="2"/>
        <v/>
      </c>
      <c r="V450" t="str">
        <f>IF(OR(U450="",U450="ERRO_CHAVE"),"",IFERROR(MATCH(U450,Fornecedores!$AF$1:$AF$6631,0),""))</f>
        <v/>
      </c>
      <c r="W450" t="str">
        <f t="shared" si="3"/>
        <v/>
      </c>
      <c r="X450" s="4" t="str">
        <f>IF(V450="","",INDEX(Fornecedores!$X$1:$X$6631,V450))</f>
        <v/>
      </c>
      <c r="Y450" s="4" t="str">
        <f t="shared" si="4"/>
        <v/>
      </c>
    </row>
    <row r="451" spans="19:25">
      <c r="S451" t="str">
        <f t="shared" si="0"/>
        <v/>
      </c>
      <c r="T451" t="str">
        <f t="shared" si="1"/>
        <v/>
      </c>
      <c r="U451" t="str">
        <f t="shared" si="2"/>
        <v/>
      </c>
      <c r="V451" t="str">
        <f>IF(OR(U451="",U451="ERRO_CHAVE"),"",IFERROR(MATCH(U451,Fornecedores!$AF$1:$AF$6631,0),""))</f>
        <v/>
      </c>
      <c r="W451" t="str">
        <f t="shared" si="3"/>
        <v/>
      </c>
      <c r="X451" s="4" t="str">
        <f>IF(V451="","",INDEX(Fornecedores!$X$1:$X$6631,V451))</f>
        <v/>
      </c>
      <c r="Y451" s="4" t="str">
        <f t="shared" si="4"/>
        <v/>
      </c>
    </row>
    <row r="452" spans="19:25">
      <c r="S452" t="str">
        <f t="shared" si="0"/>
        <v/>
      </c>
      <c r="T452" t="str">
        <f t="shared" si="1"/>
        <v/>
      </c>
      <c r="U452" t="str">
        <f t="shared" si="2"/>
        <v/>
      </c>
      <c r="V452" t="str">
        <f>IF(OR(U452="",U452="ERRO_CHAVE"),"",IFERROR(MATCH(U452,Fornecedores!$AF$1:$AF$6631,0),""))</f>
        <v/>
      </c>
      <c r="W452" t="str">
        <f t="shared" si="3"/>
        <v/>
      </c>
      <c r="X452" s="4" t="str">
        <f>IF(V452="","",INDEX(Fornecedores!$X$1:$X$6631,V452))</f>
        <v/>
      </c>
      <c r="Y452" s="4" t="str">
        <f t="shared" si="4"/>
        <v/>
      </c>
    </row>
    <row r="453" spans="19:25">
      <c r="S453" t="str">
        <f t="shared" si="0"/>
        <v/>
      </c>
      <c r="T453" t="str">
        <f t="shared" si="1"/>
        <v/>
      </c>
      <c r="U453" t="str">
        <f t="shared" si="2"/>
        <v/>
      </c>
      <c r="V453" t="str">
        <f>IF(OR(U453="",U453="ERRO_CHAVE"),"",IFERROR(MATCH(U453,Fornecedores!$AF$1:$AF$6631,0),""))</f>
        <v/>
      </c>
      <c r="W453" t="str">
        <f t="shared" si="3"/>
        <v/>
      </c>
      <c r="X453" s="4" t="str">
        <f>IF(V453="","",INDEX(Fornecedores!$X$1:$X$6631,V453))</f>
        <v/>
      </c>
      <c r="Y453" s="4" t="str">
        <f t="shared" si="4"/>
        <v/>
      </c>
    </row>
    <row r="454" spans="19:25">
      <c r="S454" t="str">
        <f t="shared" si="0"/>
        <v/>
      </c>
      <c r="T454" t="str">
        <f t="shared" si="1"/>
        <v/>
      </c>
      <c r="U454" t="str">
        <f t="shared" si="2"/>
        <v/>
      </c>
      <c r="V454" t="str">
        <f>IF(OR(U454="",U454="ERRO_CHAVE"),"",IFERROR(MATCH(U454,Fornecedores!$AF$1:$AF$6631,0),""))</f>
        <v/>
      </c>
      <c r="W454" t="str">
        <f t="shared" si="3"/>
        <v/>
      </c>
      <c r="X454" s="4" t="str">
        <f>IF(V454="","",INDEX(Fornecedores!$X$1:$X$6631,V454))</f>
        <v/>
      </c>
      <c r="Y454" s="4" t="str">
        <f t="shared" si="4"/>
        <v/>
      </c>
    </row>
    <row r="455" spans="19:25">
      <c r="S455" t="str">
        <f t="shared" si="0"/>
        <v/>
      </c>
      <c r="T455" t="str">
        <f t="shared" si="1"/>
        <v/>
      </c>
      <c r="U455" t="str">
        <f t="shared" si="2"/>
        <v/>
      </c>
      <c r="V455" t="str">
        <f>IF(OR(U455="",U455="ERRO_CHAVE"),"",IFERROR(MATCH(U455,Fornecedores!$AF$1:$AF$6631,0),""))</f>
        <v/>
      </c>
      <c r="W455" t="str">
        <f t="shared" si="3"/>
        <v/>
      </c>
      <c r="X455" s="4" t="str">
        <f>IF(V455="","",INDEX(Fornecedores!$X$1:$X$6631,V455))</f>
        <v/>
      </c>
      <c r="Y455" s="4" t="str">
        <f t="shared" si="4"/>
        <v/>
      </c>
    </row>
    <row r="456" spans="19:25">
      <c r="S456" t="str">
        <f t="shared" si="0"/>
        <v/>
      </c>
      <c r="T456" t="str">
        <f t="shared" si="1"/>
        <v/>
      </c>
      <c r="U456" t="str">
        <f t="shared" si="2"/>
        <v/>
      </c>
      <c r="V456" t="str">
        <f>IF(OR(U456="",U456="ERRO_CHAVE"),"",IFERROR(MATCH(U456,Fornecedores!$AF$1:$AF$6631,0),""))</f>
        <v/>
      </c>
      <c r="W456" t="str">
        <f t="shared" si="3"/>
        <v/>
      </c>
      <c r="X456" s="4" t="str">
        <f>IF(V456="","",INDEX(Fornecedores!$X$1:$X$6631,V456))</f>
        <v/>
      </c>
      <c r="Y456" s="4" t="str">
        <f t="shared" si="4"/>
        <v/>
      </c>
    </row>
    <row r="457" spans="19:25">
      <c r="S457" t="str">
        <f t="shared" si="0"/>
        <v/>
      </c>
      <c r="T457" t="str">
        <f t="shared" si="1"/>
        <v/>
      </c>
      <c r="U457" t="str">
        <f t="shared" si="2"/>
        <v/>
      </c>
      <c r="V457" t="str">
        <f>IF(OR(U457="",U457="ERRO_CHAVE"),"",IFERROR(MATCH(U457,Fornecedores!$AF$1:$AF$6631,0),""))</f>
        <v/>
      </c>
      <c r="W457" t="str">
        <f t="shared" si="3"/>
        <v/>
      </c>
      <c r="X457" s="4" t="str">
        <f>IF(V457="","",INDEX(Fornecedores!$X$1:$X$6631,V457))</f>
        <v/>
      </c>
      <c r="Y457" s="4" t="str">
        <f t="shared" si="4"/>
        <v/>
      </c>
    </row>
    <row r="458" spans="19:25">
      <c r="S458" t="str">
        <f t="shared" si="0"/>
        <v/>
      </c>
      <c r="T458" t="str">
        <f t="shared" si="1"/>
        <v/>
      </c>
      <c r="U458" t="str">
        <f t="shared" si="2"/>
        <v/>
      </c>
      <c r="V458" t="str">
        <f>IF(OR(U458="",U458="ERRO_CHAVE"),"",IFERROR(MATCH(U458,Fornecedores!$AF$1:$AF$6631,0),""))</f>
        <v/>
      </c>
      <c r="W458" t="str">
        <f t="shared" si="3"/>
        <v/>
      </c>
      <c r="X458" s="4" t="str">
        <f>IF(V458="","",INDEX(Fornecedores!$X$1:$X$6631,V458))</f>
        <v/>
      </c>
      <c r="Y458" s="4" t="str">
        <f t="shared" si="4"/>
        <v/>
      </c>
    </row>
    <row r="459" spans="19:25">
      <c r="S459" t="str">
        <f t="shared" si="0"/>
        <v/>
      </c>
      <c r="T459" t="str">
        <f t="shared" si="1"/>
        <v/>
      </c>
      <c r="U459" t="str">
        <f t="shared" si="2"/>
        <v/>
      </c>
      <c r="V459" t="str">
        <f>IF(OR(U459="",U459="ERRO_CHAVE"),"",IFERROR(MATCH(U459,Fornecedores!$AF$1:$AF$6631,0),""))</f>
        <v/>
      </c>
      <c r="W459" t="str">
        <f t="shared" si="3"/>
        <v/>
      </c>
      <c r="X459" s="4" t="str">
        <f>IF(V459="","",INDEX(Fornecedores!$X$1:$X$6631,V459))</f>
        <v/>
      </c>
      <c r="Y459" s="4" t="str">
        <f t="shared" si="4"/>
        <v/>
      </c>
    </row>
    <row r="460" spans="19:25">
      <c r="S460" t="str">
        <f t="shared" si="0"/>
        <v/>
      </c>
      <c r="T460" t="str">
        <f t="shared" si="1"/>
        <v/>
      </c>
      <c r="U460" t="str">
        <f t="shared" si="2"/>
        <v/>
      </c>
      <c r="V460" t="str">
        <f>IF(OR(U460="",U460="ERRO_CHAVE"),"",IFERROR(MATCH(U460,Fornecedores!$AF$1:$AF$6631,0),""))</f>
        <v/>
      </c>
      <c r="W460" t="str">
        <f t="shared" si="3"/>
        <v/>
      </c>
      <c r="X460" s="4" t="str">
        <f>IF(V460="","",INDEX(Fornecedores!$X$1:$X$6631,V460))</f>
        <v/>
      </c>
      <c r="Y460" s="4" t="str">
        <f t="shared" si="4"/>
        <v/>
      </c>
    </row>
    <row r="461" spans="19:25">
      <c r="S461" t="str">
        <f t="shared" si="0"/>
        <v/>
      </c>
      <c r="T461" t="str">
        <f t="shared" si="1"/>
        <v/>
      </c>
      <c r="U461" t="str">
        <f t="shared" si="2"/>
        <v/>
      </c>
      <c r="V461" t="str">
        <f>IF(OR(U461="",U461="ERRO_CHAVE"),"",IFERROR(MATCH(U461,Fornecedores!$AF$1:$AF$6631,0),""))</f>
        <v/>
      </c>
      <c r="W461" t="str">
        <f t="shared" si="3"/>
        <v/>
      </c>
      <c r="X461" s="4" t="str">
        <f>IF(V461="","",INDEX(Fornecedores!$X$1:$X$6631,V461))</f>
        <v/>
      </c>
      <c r="Y461" s="4" t="str">
        <f t="shared" si="4"/>
        <v/>
      </c>
    </row>
    <row r="462" spans="19:25">
      <c r="S462" t="str">
        <f t="shared" si="0"/>
        <v/>
      </c>
      <c r="T462" t="str">
        <f t="shared" si="1"/>
        <v/>
      </c>
      <c r="U462" t="str">
        <f t="shared" si="2"/>
        <v/>
      </c>
      <c r="V462" t="str">
        <f>IF(OR(U462="",U462="ERRO_CHAVE"),"",IFERROR(MATCH(U462,Fornecedores!$AF$1:$AF$6631,0),""))</f>
        <v/>
      </c>
      <c r="W462" t="str">
        <f t="shared" si="3"/>
        <v/>
      </c>
      <c r="X462" s="4" t="str">
        <f>IF(V462="","",INDEX(Fornecedores!$X$1:$X$6631,V462))</f>
        <v/>
      </c>
      <c r="Y462" s="4" t="str">
        <f t="shared" si="4"/>
        <v/>
      </c>
    </row>
    <row r="463" spans="19:25">
      <c r="S463" t="str">
        <f t="shared" si="0"/>
        <v/>
      </c>
      <c r="T463" t="str">
        <f t="shared" si="1"/>
        <v/>
      </c>
      <c r="U463" t="str">
        <f t="shared" si="2"/>
        <v/>
      </c>
      <c r="V463" t="str">
        <f>IF(OR(U463="",U463="ERRO_CHAVE"),"",IFERROR(MATCH(U463,Fornecedores!$AF$1:$AF$6631,0),""))</f>
        <v/>
      </c>
      <c r="W463" t="str">
        <f t="shared" si="3"/>
        <v/>
      </c>
      <c r="X463" s="4" t="str">
        <f>IF(V463="","",INDEX(Fornecedores!$X$1:$X$6631,V463))</f>
        <v/>
      </c>
      <c r="Y463" s="4" t="str">
        <f t="shared" si="4"/>
        <v/>
      </c>
    </row>
    <row r="464" spans="19:25">
      <c r="S464" t="str">
        <f t="shared" si="0"/>
        <v/>
      </c>
      <c r="T464" t="str">
        <f t="shared" si="1"/>
        <v/>
      </c>
      <c r="U464" t="str">
        <f t="shared" si="2"/>
        <v/>
      </c>
      <c r="V464" t="str">
        <f>IF(OR(U464="",U464="ERRO_CHAVE"),"",IFERROR(MATCH(U464,Fornecedores!$AF$1:$AF$6631,0),""))</f>
        <v/>
      </c>
      <c r="W464" t="str">
        <f t="shared" si="3"/>
        <v/>
      </c>
      <c r="X464" s="4" t="str">
        <f>IF(V464="","",INDEX(Fornecedores!$X$1:$X$6631,V464))</f>
        <v/>
      </c>
      <c r="Y464" s="4" t="str">
        <f t="shared" si="4"/>
        <v/>
      </c>
    </row>
    <row r="465" spans="19:25">
      <c r="S465" t="str">
        <f t="shared" si="0"/>
        <v/>
      </c>
      <c r="T465" t="str">
        <f t="shared" si="1"/>
        <v/>
      </c>
      <c r="U465" t="str">
        <f t="shared" si="2"/>
        <v/>
      </c>
      <c r="V465" t="str">
        <f>IF(OR(U465="",U465="ERRO_CHAVE"),"",IFERROR(MATCH(U465,Fornecedores!$AF$1:$AF$6631,0),""))</f>
        <v/>
      </c>
      <c r="W465" t="str">
        <f t="shared" si="3"/>
        <v/>
      </c>
      <c r="X465" s="4" t="str">
        <f>IF(V465="","",INDEX(Fornecedores!$X$1:$X$6631,V465))</f>
        <v/>
      </c>
      <c r="Y465" s="4" t="str">
        <f t="shared" si="4"/>
        <v/>
      </c>
    </row>
    <row r="466" spans="19:25">
      <c r="S466" t="str">
        <f t="shared" si="0"/>
        <v/>
      </c>
      <c r="T466" t="str">
        <f t="shared" si="1"/>
        <v/>
      </c>
      <c r="U466" t="str">
        <f t="shared" si="2"/>
        <v/>
      </c>
      <c r="V466" t="str">
        <f>IF(OR(U466="",U466="ERRO_CHAVE"),"",IFERROR(MATCH(U466,Fornecedores!$AF$1:$AF$6631,0),""))</f>
        <v/>
      </c>
      <c r="W466" t="str">
        <f t="shared" si="3"/>
        <v/>
      </c>
      <c r="X466" s="4" t="str">
        <f>IF(V466="","",INDEX(Fornecedores!$X$1:$X$6631,V466))</f>
        <v/>
      </c>
      <c r="Y466" s="4" t="str">
        <f t="shared" si="4"/>
        <v/>
      </c>
    </row>
    <row r="467" spans="19:25">
      <c r="S467" t="str">
        <f t="shared" si="0"/>
        <v/>
      </c>
      <c r="T467" t="str">
        <f t="shared" si="1"/>
        <v/>
      </c>
      <c r="U467" t="str">
        <f t="shared" si="2"/>
        <v/>
      </c>
      <c r="V467" t="str">
        <f>IF(OR(U467="",U467="ERRO_CHAVE"),"",IFERROR(MATCH(U467,Fornecedores!$AF$1:$AF$6631,0),""))</f>
        <v/>
      </c>
      <c r="W467" t="str">
        <f t="shared" si="3"/>
        <v/>
      </c>
      <c r="X467" s="4" t="str">
        <f>IF(V467="","",INDEX(Fornecedores!$X$1:$X$6631,V467))</f>
        <v/>
      </c>
      <c r="Y467" s="4" t="str">
        <f t="shared" si="4"/>
        <v/>
      </c>
    </row>
    <row r="468" spans="19:25">
      <c r="S468" t="str">
        <f t="shared" si="0"/>
        <v/>
      </c>
      <c r="T468" t="str">
        <f t="shared" si="1"/>
        <v/>
      </c>
      <c r="U468" t="str">
        <f t="shared" si="2"/>
        <v/>
      </c>
      <c r="V468" t="str">
        <f>IF(OR(U468="",U468="ERRO_CHAVE"),"",IFERROR(MATCH(U468,Fornecedores!$AF$1:$AF$6631,0),""))</f>
        <v/>
      </c>
      <c r="W468" t="str">
        <f t="shared" si="3"/>
        <v/>
      </c>
      <c r="X468" s="4" t="str">
        <f>IF(V468="","",INDEX(Fornecedores!$X$1:$X$6631,V468))</f>
        <v/>
      </c>
      <c r="Y468" s="4" t="str">
        <f t="shared" si="4"/>
        <v/>
      </c>
    </row>
    <row r="469" spans="19:25">
      <c r="S469" t="str">
        <f t="shared" si="0"/>
        <v/>
      </c>
      <c r="T469" t="str">
        <f t="shared" si="1"/>
        <v/>
      </c>
      <c r="U469" t="str">
        <f t="shared" si="2"/>
        <v/>
      </c>
      <c r="V469" t="str">
        <f>IF(OR(U469="",U469="ERRO_CHAVE"),"",IFERROR(MATCH(U469,Fornecedores!$AF$1:$AF$6631,0),""))</f>
        <v/>
      </c>
      <c r="W469" t="str">
        <f t="shared" si="3"/>
        <v/>
      </c>
      <c r="X469" s="4" t="str">
        <f>IF(V469="","",INDEX(Fornecedores!$X$1:$X$6631,V469))</f>
        <v/>
      </c>
      <c r="Y469" s="4" t="str">
        <f t="shared" si="4"/>
        <v/>
      </c>
    </row>
    <row r="470" spans="19:25">
      <c r="S470" t="str">
        <f t="shared" si="0"/>
        <v/>
      </c>
      <c r="T470" t="str">
        <f t="shared" si="1"/>
        <v/>
      </c>
      <c r="U470" t="str">
        <f t="shared" si="2"/>
        <v/>
      </c>
      <c r="V470" t="str">
        <f>IF(OR(U470="",U470="ERRO_CHAVE"),"",IFERROR(MATCH(U470,Fornecedores!$AF$1:$AF$6631,0),""))</f>
        <v/>
      </c>
      <c r="W470" t="str">
        <f t="shared" si="3"/>
        <v/>
      </c>
      <c r="X470" s="4" t="str">
        <f>IF(V470="","",INDEX(Fornecedores!$X$1:$X$6631,V470))</f>
        <v/>
      </c>
      <c r="Y470" s="4" t="str">
        <f t="shared" si="4"/>
        <v/>
      </c>
    </row>
    <row r="471" spans="19:25">
      <c r="S471" t="str">
        <f t="shared" si="0"/>
        <v/>
      </c>
      <c r="T471" t="str">
        <f t="shared" si="1"/>
        <v/>
      </c>
      <c r="U471" t="str">
        <f t="shared" si="2"/>
        <v/>
      </c>
      <c r="V471" t="str">
        <f>IF(OR(U471="",U471="ERRO_CHAVE"),"",IFERROR(MATCH(U471,Fornecedores!$AF$1:$AF$6631,0),""))</f>
        <v/>
      </c>
      <c r="W471" t="str">
        <f t="shared" si="3"/>
        <v/>
      </c>
      <c r="X471" s="4" t="str">
        <f>IF(V471="","",INDEX(Fornecedores!$X$1:$X$6631,V471))</f>
        <v/>
      </c>
      <c r="Y471" s="4" t="str">
        <f t="shared" si="4"/>
        <v/>
      </c>
    </row>
    <row r="472" spans="19:25">
      <c r="S472" t="str">
        <f t="shared" si="0"/>
        <v/>
      </c>
      <c r="T472" t="str">
        <f t="shared" si="1"/>
        <v/>
      </c>
      <c r="U472" t="str">
        <f t="shared" si="2"/>
        <v/>
      </c>
      <c r="V472" t="str">
        <f>IF(OR(U472="",U472="ERRO_CHAVE"),"",IFERROR(MATCH(U472,Fornecedores!$AF$1:$AF$6631,0),""))</f>
        <v/>
      </c>
      <c r="W472" t="str">
        <f t="shared" si="3"/>
        <v/>
      </c>
      <c r="X472" s="4" t="str">
        <f>IF(V472="","",INDEX(Fornecedores!$X$1:$X$6631,V472))</f>
        <v/>
      </c>
      <c r="Y472" s="4" t="str">
        <f t="shared" si="4"/>
        <v/>
      </c>
    </row>
    <row r="473" spans="19:25">
      <c r="S473" t="str">
        <f t="shared" si="0"/>
        <v/>
      </c>
      <c r="T473" t="str">
        <f t="shared" si="1"/>
        <v/>
      </c>
      <c r="U473" t="str">
        <f t="shared" si="2"/>
        <v/>
      </c>
      <c r="V473" t="str">
        <f>IF(OR(U473="",U473="ERRO_CHAVE"),"",IFERROR(MATCH(U473,Fornecedores!$AF$1:$AF$6631,0),""))</f>
        <v/>
      </c>
      <c r="W473" t="str">
        <f t="shared" si="3"/>
        <v/>
      </c>
      <c r="X473" s="4" t="str">
        <f>IF(V473="","",INDEX(Fornecedores!$X$1:$X$6631,V473))</f>
        <v/>
      </c>
      <c r="Y473" s="4" t="str">
        <f t="shared" si="4"/>
        <v/>
      </c>
    </row>
    <row r="474" spans="19:25">
      <c r="S474" t="str">
        <f t="shared" si="0"/>
        <v/>
      </c>
      <c r="T474" t="str">
        <f t="shared" si="1"/>
        <v/>
      </c>
      <c r="U474" t="str">
        <f t="shared" si="2"/>
        <v/>
      </c>
      <c r="V474" t="str">
        <f>IF(OR(U474="",U474="ERRO_CHAVE"),"",IFERROR(MATCH(U474,Fornecedores!$AF$1:$AF$6631,0),""))</f>
        <v/>
      </c>
      <c r="W474" t="str">
        <f t="shared" si="3"/>
        <v/>
      </c>
      <c r="X474" s="4" t="str">
        <f>IF(V474="","",INDEX(Fornecedores!$X$1:$X$6631,V474))</f>
        <v/>
      </c>
      <c r="Y474" s="4" t="str">
        <f t="shared" si="4"/>
        <v/>
      </c>
    </row>
    <row r="475" spans="19:25">
      <c r="S475" t="str">
        <f t="shared" si="0"/>
        <v/>
      </c>
      <c r="T475" t="str">
        <f t="shared" si="1"/>
        <v/>
      </c>
      <c r="U475" t="str">
        <f t="shared" si="2"/>
        <v/>
      </c>
      <c r="V475" t="str">
        <f>IF(OR(U475="",U475="ERRO_CHAVE"),"",IFERROR(MATCH(U475,Fornecedores!$AF$1:$AF$6631,0),""))</f>
        <v/>
      </c>
      <c r="W475" t="str">
        <f t="shared" si="3"/>
        <v/>
      </c>
      <c r="X475" s="4" t="str">
        <f>IF(V475="","",INDEX(Fornecedores!$X$1:$X$6631,V475))</f>
        <v/>
      </c>
      <c r="Y475" s="4" t="str">
        <f t="shared" si="4"/>
        <v/>
      </c>
    </row>
    <row r="476" spans="19:25">
      <c r="S476" t="str">
        <f t="shared" si="0"/>
        <v/>
      </c>
      <c r="T476" t="str">
        <f t="shared" si="1"/>
        <v/>
      </c>
      <c r="U476" t="str">
        <f t="shared" si="2"/>
        <v/>
      </c>
      <c r="V476" t="str">
        <f>IF(OR(U476="",U476="ERRO_CHAVE"),"",IFERROR(MATCH(U476,Fornecedores!$AF$1:$AF$6631,0),""))</f>
        <v/>
      </c>
      <c r="W476" t="str">
        <f t="shared" si="3"/>
        <v/>
      </c>
      <c r="X476" s="4" t="str">
        <f>IF(V476="","",INDEX(Fornecedores!$X$1:$X$6631,V476))</f>
        <v/>
      </c>
      <c r="Y476" s="4" t="str">
        <f t="shared" si="4"/>
        <v/>
      </c>
    </row>
    <row r="477" spans="19:25">
      <c r="S477" t="str">
        <f t="shared" si="0"/>
        <v/>
      </c>
      <c r="T477" t="str">
        <f t="shared" si="1"/>
        <v/>
      </c>
      <c r="U477" t="str">
        <f t="shared" si="2"/>
        <v/>
      </c>
      <c r="V477" t="str">
        <f>IF(OR(U477="",U477="ERRO_CHAVE"),"",IFERROR(MATCH(U477,Fornecedores!$AF$1:$AF$6631,0),""))</f>
        <v/>
      </c>
      <c r="W477" t="str">
        <f t="shared" si="3"/>
        <v/>
      </c>
      <c r="X477" s="4" t="str">
        <f>IF(V477="","",INDEX(Fornecedores!$X$1:$X$6631,V477))</f>
        <v/>
      </c>
      <c r="Y477" s="4" t="str">
        <f t="shared" si="4"/>
        <v/>
      </c>
    </row>
    <row r="478" spans="19:25">
      <c r="S478" t="str">
        <f t="shared" si="0"/>
        <v/>
      </c>
      <c r="T478" t="str">
        <f t="shared" si="1"/>
        <v/>
      </c>
      <c r="U478" t="str">
        <f t="shared" si="2"/>
        <v/>
      </c>
      <c r="V478" t="str">
        <f>IF(OR(U478="",U478="ERRO_CHAVE"),"",IFERROR(MATCH(U478,Fornecedores!$AF$1:$AF$6631,0),""))</f>
        <v/>
      </c>
      <c r="W478" t="str">
        <f t="shared" si="3"/>
        <v/>
      </c>
      <c r="X478" s="4" t="str">
        <f>IF(V478="","",INDEX(Fornecedores!$X$1:$X$6631,V478))</f>
        <v/>
      </c>
      <c r="Y478" s="4" t="str">
        <f t="shared" si="4"/>
        <v/>
      </c>
    </row>
    <row r="479" spans="19:25">
      <c r="S479" t="str">
        <f t="shared" si="0"/>
        <v/>
      </c>
      <c r="T479" t="str">
        <f t="shared" si="1"/>
        <v/>
      </c>
      <c r="U479" t="str">
        <f t="shared" si="2"/>
        <v/>
      </c>
      <c r="V479" t="str">
        <f>IF(OR(U479="",U479="ERRO_CHAVE"),"",IFERROR(MATCH(U479,Fornecedores!$AF$1:$AF$6631,0),""))</f>
        <v/>
      </c>
      <c r="W479" t="str">
        <f t="shared" si="3"/>
        <v/>
      </c>
      <c r="X479" s="4" t="str">
        <f>IF(V479="","",INDEX(Fornecedores!$X$1:$X$6631,V479))</f>
        <v/>
      </c>
      <c r="Y479" s="4" t="str">
        <f t="shared" si="4"/>
        <v/>
      </c>
    </row>
    <row r="480" spans="19:25">
      <c r="S480" t="str">
        <f t="shared" si="0"/>
        <v/>
      </c>
      <c r="T480" t="str">
        <f t="shared" si="1"/>
        <v/>
      </c>
      <c r="U480" t="str">
        <f t="shared" si="2"/>
        <v/>
      </c>
      <c r="V480" t="str">
        <f>IF(OR(U480="",U480="ERRO_CHAVE"),"",IFERROR(MATCH(U480,Fornecedores!$AF$1:$AF$6631,0),""))</f>
        <v/>
      </c>
      <c r="W480" t="str">
        <f t="shared" si="3"/>
        <v/>
      </c>
      <c r="X480" s="4" t="str">
        <f>IF(V480="","",INDEX(Fornecedores!$X$1:$X$6631,V480))</f>
        <v/>
      </c>
      <c r="Y480" s="4" t="str">
        <f t="shared" si="4"/>
        <v/>
      </c>
    </row>
    <row r="481" spans="19:25">
      <c r="S481" t="str">
        <f t="shared" si="0"/>
        <v/>
      </c>
      <c r="T481" t="str">
        <f t="shared" si="1"/>
        <v/>
      </c>
      <c r="U481" t="str">
        <f t="shared" si="2"/>
        <v/>
      </c>
      <c r="V481" t="str">
        <f>IF(OR(U481="",U481="ERRO_CHAVE"),"",IFERROR(MATCH(U481,Fornecedores!$AF$1:$AF$6631,0),""))</f>
        <v/>
      </c>
      <c r="W481" t="str">
        <f t="shared" si="3"/>
        <v/>
      </c>
      <c r="X481" s="4" t="str">
        <f>IF(V481="","",INDEX(Fornecedores!$X$1:$X$6631,V481))</f>
        <v/>
      </c>
      <c r="Y481" s="4" t="str">
        <f t="shared" si="4"/>
        <v/>
      </c>
    </row>
    <row r="482" spans="19:25">
      <c r="S482" t="str">
        <f t="shared" si="0"/>
        <v/>
      </c>
      <c r="T482" t="str">
        <f t="shared" si="1"/>
        <v/>
      </c>
      <c r="U482" t="str">
        <f t="shared" si="2"/>
        <v/>
      </c>
      <c r="V482" t="str">
        <f>IF(OR(U482="",U482="ERRO_CHAVE"),"",IFERROR(MATCH(U482,Fornecedores!$AF$1:$AF$6631,0),""))</f>
        <v/>
      </c>
      <c r="W482" t="str">
        <f t="shared" si="3"/>
        <v/>
      </c>
      <c r="X482" s="4" t="str">
        <f>IF(V482="","",INDEX(Fornecedores!$X$1:$X$6631,V482))</f>
        <v/>
      </c>
      <c r="Y482" s="4" t="str">
        <f t="shared" si="4"/>
        <v/>
      </c>
    </row>
    <row r="483" spans="19:25">
      <c r="S483" t="str">
        <f t="shared" si="0"/>
        <v/>
      </c>
      <c r="T483" t="str">
        <f t="shared" si="1"/>
        <v/>
      </c>
      <c r="U483" t="str">
        <f t="shared" si="2"/>
        <v/>
      </c>
      <c r="V483" t="str">
        <f>IF(OR(U483="",U483="ERRO_CHAVE"),"",IFERROR(MATCH(U483,Fornecedores!$AF$1:$AF$6631,0),""))</f>
        <v/>
      </c>
      <c r="W483" t="str">
        <f t="shared" si="3"/>
        <v/>
      </c>
      <c r="X483" s="4" t="str">
        <f>IF(V483="","",INDEX(Fornecedores!$X$1:$X$6631,V483))</f>
        <v/>
      </c>
      <c r="Y483" s="4" t="str">
        <f t="shared" si="4"/>
        <v/>
      </c>
    </row>
    <row r="484" spans="19:25">
      <c r="S484" t="str">
        <f t="shared" si="0"/>
        <v/>
      </c>
      <c r="T484" t="str">
        <f t="shared" si="1"/>
        <v/>
      </c>
      <c r="U484" t="str">
        <f t="shared" si="2"/>
        <v/>
      </c>
      <c r="V484" t="str">
        <f>IF(OR(U484="",U484="ERRO_CHAVE"),"",IFERROR(MATCH(U484,Fornecedores!$AF$1:$AF$6631,0),""))</f>
        <v/>
      </c>
      <c r="W484" t="str">
        <f t="shared" si="3"/>
        <v/>
      </c>
      <c r="X484" s="4" t="str">
        <f>IF(V484="","",INDEX(Fornecedores!$X$1:$X$6631,V484))</f>
        <v/>
      </c>
      <c r="Y484" s="4" t="str">
        <f t="shared" si="4"/>
        <v/>
      </c>
    </row>
    <row r="485" spans="19:25">
      <c r="S485" t="str">
        <f t="shared" si="0"/>
        <v/>
      </c>
      <c r="T485" t="str">
        <f t="shared" si="1"/>
        <v/>
      </c>
      <c r="U485" t="str">
        <f t="shared" si="2"/>
        <v/>
      </c>
      <c r="V485" t="str">
        <f>IF(OR(U485="",U485="ERRO_CHAVE"),"",IFERROR(MATCH(U485,Fornecedores!$AF$1:$AF$6631,0),""))</f>
        <v/>
      </c>
      <c r="W485" t="str">
        <f t="shared" si="3"/>
        <v/>
      </c>
      <c r="X485" s="4" t="str">
        <f>IF(V485="","",INDEX(Fornecedores!$X$1:$X$6631,V485))</f>
        <v/>
      </c>
      <c r="Y485" s="4" t="str">
        <f t="shared" si="4"/>
        <v/>
      </c>
    </row>
    <row r="486" spans="19:25">
      <c r="S486" t="str">
        <f t="shared" si="0"/>
        <v/>
      </c>
      <c r="T486" t="str">
        <f t="shared" si="1"/>
        <v/>
      </c>
      <c r="U486" t="str">
        <f t="shared" si="2"/>
        <v/>
      </c>
      <c r="V486" t="str">
        <f>IF(OR(U486="",U486="ERRO_CHAVE"),"",IFERROR(MATCH(U486,Fornecedores!$AF$1:$AF$6631,0),""))</f>
        <v/>
      </c>
      <c r="W486" t="str">
        <f t="shared" si="3"/>
        <v/>
      </c>
      <c r="X486" s="4" t="str">
        <f>IF(V486="","",INDEX(Fornecedores!$X$1:$X$6631,V486))</f>
        <v/>
      </c>
      <c r="Y486" s="4" t="str">
        <f t="shared" si="4"/>
        <v/>
      </c>
    </row>
    <row r="487" spans="19:25">
      <c r="S487" t="str">
        <f t="shared" si="0"/>
        <v/>
      </c>
      <c r="T487" t="str">
        <f t="shared" si="1"/>
        <v/>
      </c>
      <c r="U487" t="str">
        <f t="shared" si="2"/>
        <v/>
      </c>
      <c r="V487" t="str">
        <f>IF(OR(U487="",U487="ERRO_CHAVE"),"",IFERROR(MATCH(U487,Fornecedores!$AF$1:$AF$6631,0),""))</f>
        <v/>
      </c>
      <c r="W487" t="str">
        <f t="shared" si="3"/>
        <v/>
      </c>
      <c r="X487" s="4" t="str">
        <f>IF(V487="","",INDEX(Fornecedores!$X$1:$X$6631,V487))</f>
        <v/>
      </c>
      <c r="Y487" s="4" t="str">
        <f t="shared" si="4"/>
        <v/>
      </c>
    </row>
    <row r="488" spans="19:25">
      <c r="S488" t="str">
        <f t="shared" si="0"/>
        <v/>
      </c>
      <c r="T488" t="str">
        <f t="shared" si="1"/>
        <v/>
      </c>
      <c r="U488" t="str">
        <f t="shared" si="2"/>
        <v/>
      </c>
      <c r="V488" t="str">
        <f>IF(OR(U488="",U488="ERRO_CHAVE"),"",IFERROR(MATCH(U488,Fornecedores!$AF$1:$AF$6631,0),""))</f>
        <v/>
      </c>
      <c r="W488" t="str">
        <f t="shared" si="3"/>
        <v/>
      </c>
      <c r="X488" s="4" t="str">
        <f>IF(V488="","",INDEX(Fornecedores!$X$1:$X$6631,V488))</f>
        <v/>
      </c>
      <c r="Y488" s="4" t="str">
        <f t="shared" si="4"/>
        <v/>
      </c>
    </row>
    <row r="489" spans="19:25">
      <c r="S489" t="str">
        <f t="shared" si="0"/>
        <v/>
      </c>
      <c r="T489" t="str">
        <f t="shared" si="1"/>
        <v/>
      </c>
      <c r="U489" t="str">
        <f t="shared" si="2"/>
        <v/>
      </c>
      <c r="V489" t="str">
        <f>IF(OR(U489="",U489="ERRO_CHAVE"),"",IFERROR(MATCH(U489,Fornecedores!$AF$1:$AF$6631,0),""))</f>
        <v/>
      </c>
      <c r="W489" t="str">
        <f t="shared" si="3"/>
        <v/>
      </c>
      <c r="X489" s="4" t="str">
        <f>IF(V489="","",INDEX(Fornecedores!$X$1:$X$6631,V489))</f>
        <v/>
      </c>
      <c r="Y489" s="4" t="str">
        <f t="shared" si="4"/>
        <v/>
      </c>
    </row>
    <row r="490" spans="19:25">
      <c r="S490" t="str">
        <f t="shared" si="0"/>
        <v/>
      </c>
      <c r="T490" t="str">
        <f t="shared" si="1"/>
        <v/>
      </c>
      <c r="U490" t="str">
        <f t="shared" si="2"/>
        <v/>
      </c>
      <c r="V490" t="str">
        <f>IF(OR(U490="",U490="ERRO_CHAVE"),"",IFERROR(MATCH(U490,Fornecedores!$AF$1:$AF$6631,0),""))</f>
        <v/>
      </c>
      <c r="W490" t="str">
        <f t="shared" si="3"/>
        <v/>
      </c>
      <c r="X490" s="4" t="str">
        <f>IF(V490="","",INDEX(Fornecedores!$X$1:$X$6631,V490))</f>
        <v/>
      </c>
      <c r="Y490" s="4" t="str">
        <f t="shared" si="4"/>
        <v/>
      </c>
    </row>
    <row r="491" spans="19:25">
      <c r="S491" t="str">
        <f t="shared" si="0"/>
        <v/>
      </c>
      <c r="T491" t="str">
        <f t="shared" si="1"/>
        <v/>
      </c>
      <c r="U491" t="str">
        <f t="shared" si="2"/>
        <v/>
      </c>
      <c r="V491" t="str">
        <f>IF(OR(U491="",U491="ERRO_CHAVE"),"",IFERROR(MATCH(U491,Fornecedores!$AF$1:$AF$6631,0),""))</f>
        <v/>
      </c>
      <c r="W491" t="str">
        <f t="shared" si="3"/>
        <v/>
      </c>
      <c r="X491" s="4" t="str">
        <f>IF(V491="","",INDEX(Fornecedores!$X$1:$X$6631,V491))</f>
        <v/>
      </c>
      <c r="Y491" s="4" t="str">
        <f t="shared" si="4"/>
        <v/>
      </c>
    </row>
    <row r="492" spans="19:25">
      <c r="S492" t="str">
        <f t="shared" si="0"/>
        <v/>
      </c>
      <c r="T492" t="str">
        <f t="shared" si="1"/>
        <v/>
      </c>
      <c r="U492" t="str">
        <f t="shared" si="2"/>
        <v/>
      </c>
      <c r="V492" t="str">
        <f>IF(OR(U492="",U492="ERRO_CHAVE"),"",IFERROR(MATCH(U492,Fornecedores!$AF$1:$AF$6631,0),""))</f>
        <v/>
      </c>
      <c r="W492" t="str">
        <f t="shared" si="3"/>
        <v/>
      </c>
      <c r="X492" s="4" t="str">
        <f>IF(V492="","",INDEX(Fornecedores!$X$1:$X$6631,V492))</f>
        <v/>
      </c>
      <c r="Y492" s="4" t="str">
        <f t="shared" si="4"/>
        <v/>
      </c>
    </row>
    <row r="493" spans="19:25">
      <c r="S493" t="str">
        <f t="shared" si="0"/>
        <v/>
      </c>
      <c r="T493" t="str">
        <f t="shared" si="1"/>
        <v/>
      </c>
      <c r="U493" t="str">
        <f t="shared" si="2"/>
        <v/>
      </c>
      <c r="V493" t="str">
        <f>IF(OR(U493="",U493="ERRO_CHAVE"),"",IFERROR(MATCH(U493,Fornecedores!$AF$1:$AF$6631,0),""))</f>
        <v/>
      </c>
      <c r="W493" t="str">
        <f t="shared" si="3"/>
        <v/>
      </c>
      <c r="X493" s="4" t="str">
        <f>IF(V493="","",INDEX(Fornecedores!$X$1:$X$6631,V493))</f>
        <v/>
      </c>
      <c r="Y493" s="4" t="str">
        <f t="shared" si="4"/>
        <v/>
      </c>
    </row>
    <row r="494" spans="19:25">
      <c r="S494" t="str">
        <f t="shared" si="0"/>
        <v/>
      </c>
      <c r="T494" t="str">
        <f t="shared" si="1"/>
        <v/>
      </c>
      <c r="U494" t="str">
        <f t="shared" si="2"/>
        <v/>
      </c>
      <c r="V494" t="str">
        <f>IF(OR(U494="",U494="ERRO_CHAVE"),"",IFERROR(MATCH(U494,Fornecedores!$AF$1:$AF$6631,0),""))</f>
        <v/>
      </c>
      <c r="W494" t="str">
        <f t="shared" si="3"/>
        <v/>
      </c>
      <c r="X494" s="4" t="str">
        <f>IF(V494="","",INDEX(Fornecedores!$X$1:$X$6631,V494))</f>
        <v/>
      </c>
      <c r="Y494" s="4" t="str">
        <f t="shared" si="4"/>
        <v/>
      </c>
    </row>
    <row r="495" spans="19:25">
      <c r="S495" t="str">
        <f t="shared" si="0"/>
        <v/>
      </c>
      <c r="T495" t="str">
        <f t="shared" si="1"/>
        <v/>
      </c>
      <c r="U495" t="str">
        <f t="shared" si="2"/>
        <v/>
      </c>
      <c r="V495" t="str">
        <f>IF(OR(U495="",U495="ERRO_CHAVE"),"",IFERROR(MATCH(U495,Fornecedores!$AF$1:$AF$6631,0),""))</f>
        <v/>
      </c>
      <c r="W495" t="str">
        <f t="shared" si="3"/>
        <v/>
      </c>
      <c r="X495" s="4" t="str">
        <f>IF(V495="","",INDEX(Fornecedores!$X$1:$X$6631,V495))</f>
        <v/>
      </c>
      <c r="Y495" s="4" t="str">
        <f t="shared" si="4"/>
        <v/>
      </c>
    </row>
    <row r="496" spans="19:25">
      <c r="S496" t="str">
        <f t="shared" si="0"/>
        <v/>
      </c>
      <c r="T496" t="str">
        <f t="shared" si="1"/>
        <v/>
      </c>
      <c r="U496" t="str">
        <f t="shared" si="2"/>
        <v/>
      </c>
      <c r="V496" t="str">
        <f>IF(OR(U496="",U496="ERRO_CHAVE"),"",IFERROR(MATCH(U496,Fornecedores!$AF$1:$AF$6631,0),""))</f>
        <v/>
      </c>
      <c r="W496" t="str">
        <f t="shared" si="3"/>
        <v/>
      </c>
      <c r="X496" s="4" t="str">
        <f>IF(V496="","",INDEX(Fornecedores!$X$1:$X$6631,V496))</f>
        <v/>
      </c>
      <c r="Y496" s="4" t="str">
        <f t="shared" si="4"/>
        <v/>
      </c>
    </row>
    <row r="497" spans="19:25">
      <c r="S497" t="str">
        <f t="shared" si="0"/>
        <v/>
      </c>
      <c r="T497" t="str">
        <f t="shared" si="1"/>
        <v/>
      </c>
      <c r="U497" t="str">
        <f t="shared" si="2"/>
        <v/>
      </c>
      <c r="V497" t="str">
        <f>IF(OR(U497="",U497="ERRO_CHAVE"),"",IFERROR(MATCH(U497,Fornecedores!$AF$1:$AF$6631,0),""))</f>
        <v/>
      </c>
      <c r="W497" t="str">
        <f t="shared" si="3"/>
        <v/>
      </c>
      <c r="X497" s="4" t="str">
        <f>IF(V497="","",INDEX(Fornecedores!$X$1:$X$6631,V497))</f>
        <v/>
      </c>
      <c r="Y497" s="4" t="str">
        <f t="shared" si="4"/>
        <v/>
      </c>
    </row>
    <row r="498" spans="19:25">
      <c r="S498" t="str">
        <f t="shared" si="0"/>
        <v/>
      </c>
      <c r="T498" t="str">
        <f t="shared" si="1"/>
        <v/>
      </c>
      <c r="U498" t="str">
        <f t="shared" si="2"/>
        <v/>
      </c>
      <c r="V498" t="str">
        <f>IF(OR(U498="",U498="ERRO_CHAVE"),"",IFERROR(MATCH(U498,Fornecedores!$AF$1:$AF$6631,0),""))</f>
        <v/>
      </c>
      <c r="W498" t="str">
        <f t="shared" si="3"/>
        <v/>
      </c>
      <c r="X498" s="4" t="str">
        <f>IF(V498="","",INDEX(Fornecedores!$X$1:$X$6631,V498))</f>
        <v/>
      </c>
      <c r="Y498" s="4" t="str">
        <f t="shared" si="4"/>
        <v/>
      </c>
    </row>
    <row r="499" spans="19:25">
      <c r="S499" t="str">
        <f t="shared" si="0"/>
        <v/>
      </c>
      <c r="T499" t="str">
        <f t="shared" si="1"/>
        <v/>
      </c>
      <c r="U499" t="str">
        <f t="shared" si="2"/>
        <v/>
      </c>
      <c r="V499" t="str">
        <f>IF(OR(U499="",U499="ERRO_CHAVE"),"",IFERROR(MATCH(U499,Fornecedores!$AF$1:$AF$6631,0),""))</f>
        <v/>
      </c>
      <c r="W499" t="str">
        <f t="shared" si="3"/>
        <v/>
      </c>
      <c r="X499" s="4" t="str">
        <f>IF(V499="","",INDEX(Fornecedores!$X$1:$X$6631,V499))</f>
        <v/>
      </c>
      <c r="Y499" s="4" t="str">
        <f t="shared" si="4"/>
        <v/>
      </c>
    </row>
    <row r="500" spans="19:25">
      <c r="S500" t="str">
        <f t="shared" si="0"/>
        <v/>
      </c>
      <c r="T500" t="str">
        <f t="shared" si="1"/>
        <v/>
      </c>
      <c r="U500" t="str">
        <f t="shared" si="2"/>
        <v/>
      </c>
      <c r="V500" t="str">
        <f>IF(OR(U500="",U500="ERRO_CHAVE"),"",IFERROR(MATCH(U500,Fornecedores!$AF$1:$AF$6631,0),""))</f>
        <v/>
      </c>
      <c r="W500" t="str">
        <f t="shared" si="3"/>
        <v/>
      </c>
      <c r="X500" s="4" t="str">
        <f>IF(V500="","",INDEX(Fornecedores!$X$1:$X$6631,V500))</f>
        <v/>
      </c>
      <c r="Y500" s="4" t="str">
        <f t="shared" si="4"/>
        <v/>
      </c>
    </row>
    <row r="501" spans="19:25">
      <c r="S501" t="str">
        <f t="shared" si="0"/>
        <v/>
      </c>
      <c r="T501" t="str">
        <f t="shared" si="1"/>
        <v/>
      </c>
      <c r="U501" t="str">
        <f t="shared" si="2"/>
        <v/>
      </c>
      <c r="V501" t="str">
        <f>IF(OR(U501="",U501="ERRO_CHAVE"),"",IFERROR(MATCH(U501,Fornecedores!$AF$1:$AF$6631,0),""))</f>
        <v/>
      </c>
      <c r="W501" t="str">
        <f t="shared" si="3"/>
        <v/>
      </c>
      <c r="X501" s="4" t="str">
        <f>IF(V501="","",INDEX(Fornecedores!$X$1:$X$6631,V501))</f>
        <v/>
      </c>
      <c r="Y501" s="4" t="str">
        <f t="shared" si="4"/>
        <v/>
      </c>
    </row>
    <row r="502" spans="19:25">
      <c r="S502" t="str">
        <f t="shared" si="0"/>
        <v/>
      </c>
      <c r="T502" t="str">
        <f t="shared" si="1"/>
        <v/>
      </c>
      <c r="U502" t="str">
        <f t="shared" si="2"/>
        <v/>
      </c>
      <c r="V502" t="str">
        <f>IF(OR(U502="",U502="ERRO_CHAVE"),"",IFERROR(MATCH(U502,Fornecedores!$AF$1:$AF$6631,0),""))</f>
        <v/>
      </c>
      <c r="W502" t="str">
        <f t="shared" si="3"/>
        <v/>
      </c>
      <c r="X502" s="4" t="str">
        <f>IF(V502="","",INDEX(Fornecedores!$X$1:$X$6631,V502))</f>
        <v/>
      </c>
      <c r="Y502" s="4" t="str">
        <f t="shared" si="4"/>
        <v/>
      </c>
    </row>
    <row r="503" spans="19:25">
      <c r="S503" t="str">
        <f t="shared" si="0"/>
        <v/>
      </c>
      <c r="T503" t="str">
        <f t="shared" si="1"/>
        <v/>
      </c>
      <c r="U503" t="str">
        <f t="shared" si="2"/>
        <v/>
      </c>
      <c r="V503" t="str">
        <f>IF(OR(U503="",U503="ERRO_CHAVE"),"",IFERROR(MATCH(U503,Fornecedores!$AF$1:$AF$6631,0),""))</f>
        <v/>
      </c>
      <c r="W503" t="str">
        <f t="shared" si="3"/>
        <v/>
      </c>
      <c r="X503" s="4" t="str">
        <f>IF(V503="","",INDEX(Fornecedores!$X$1:$X$6631,V503))</f>
        <v/>
      </c>
      <c r="Y503" s="4" t="str">
        <f t="shared" si="4"/>
        <v/>
      </c>
    </row>
    <row r="504" spans="19:25">
      <c r="S504" t="str">
        <f t="shared" si="0"/>
        <v/>
      </c>
      <c r="T504" t="str">
        <f t="shared" si="1"/>
        <v/>
      </c>
      <c r="U504" t="str">
        <f t="shared" si="2"/>
        <v/>
      </c>
      <c r="V504" t="str">
        <f>IF(OR(U504="",U504="ERRO_CHAVE"),"",IFERROR(MATCH(U504,Fornecedores!$AF$1:$AF$6631,0),""))</f>
        <v/>
      </c>
      <c r="W504" t="str">
        <f t="shared" si="3"/>
        <v/>
      </c>
      <c r="X504" s="4" t="str">
        <f>IF(V504="","",INDEX(Fornecedores!$X$1:$X$6631,V504))</f>
        <v/>
      </c>
      <c r="Y504" s="4" t="str">
        <f t="shared" si="4"/>
        <v/>
      </c>
    </row>
    <row r="505" spans="19:25">
      <c r="S505" t="str">
        <f t="shared" si="0"/>
        <v/>
      </c>
      <c r="T505" t="str">
        <f t="shared" si="1"/>
        <v/>
      </c>
      <c r="U505" t="str">
        <f t="shared" si="2"/>
        <v/>
      </c>
      <c r="V505" t="str">
        <f>IF(OR(U505="",U505="ERRO_CHAVE"),"",IFERROR(MATCH(U505,Fornecedores!$AF$1:$AF$6631,0),""))</f>
        <v/>
      </c>
      <c r="W505" t="str">
        <f t="shared" si="3"/>
        <v/>
      </c>
      <c r="X505" s="4" t="str">
        <f>IF(V505="","",INDEX(Fornecedores!$X$1:$X$6631,V505))</f>
        <v/>
      </c>
      <c r="Y505" s="4" t="str">
        <f t="shared" si="4"/>
        <v/>
      </c>
    </row>
    <row r="506" spans="19:25">
      <c r="S506" t="str">
        <f t="shared" si="0"/>
        <v/>
      </c>
      <c r="T506" t="str">
        <f t="shared" si="1"/>
        <v/>
      </c>
      <c r="U506" t="str">
        <f t="shared" si="2"/>
        <v/>
      </c>
      <c r="V506" t="str">
        <f>IF(OR(U506="",U506="ERRO_CHAVE"),"",IFERROR(MATCH(U506,Fornecedores!$AF$1:$AF$6631,0),""))</f>
        <v/>
      </c>
      <c r="W506" t="str">
        <f t="shared" si="3"/>
        <v/>
      </c>
      <c r="X506" s="4" t="str">
        <f>IF(V506="","",INDEX(Fornecedores!$X$1:$X$6631,V506))</f>
        <v/>
      </c>
      <c r="Y506" s="4" t="str">
        <f t="shared" si="4"/>
        <v/>
      </c>
    </row>
    <row r="507" spans="19:25">
      <c r="S507" t="str">
        <f t="shared" si="0"/>
        <v/>
      </c>
      <c r="T507" t="str">
        <f t="shared" si="1"/>
        <v/>
      </c>
      <c r="U507" t="str">
        <f t="shared" si="2"/>
        <v/>
      </c>
      <c r="V507" t="str">
        <f>IF(OR(U507="",U507="ERRO_CHAVE"),"",IFERROR(MATCH(U507,Fornecedores!$AF$1:$AF$6631,0),""))</f>
        <v/>
      </c>
      <c r="W507" t="str">
        <f t="shared" si="3"/>
        <v/>
      </c>
      <c r="X507" s="4" t="str">
        <f>IF(V507="","",INDEX(Fornecedores!$X$1:$X$6631,V507))</f>
        <v/>
      </c>
      <c r="Y507" s="4" t="str">
        <f t="shared" si="4"/>
        <v/>
      </c>
    </row>
    <row r="508" spans="19:25">
      <c r="S508" t="str">
        <f t="shared" si="0"/>
        <v/>
      </c>
      <c r="T508" t="str">
        <f t="shared" si="1"/>
        <v/>
      </c>
      <c r="U508" t="str">
        <f t="shared" si="2"/>
        <v/>
      </c>
      <c r="V508" t="str">
        <f>IF(OR(U508="",U508="ERRO_CHAVE"),"",IFERROR(MATCH(U508,Fornecedores!$AF$1:$AF$6631,0),""))</f>
        <v/>
      </c>
      <c r="W508" t="str">
        <f t="shared" si="3"/>
        <v/>
      </c>
      <c r="X508" s="4" t="str">
        <f>IF(V508="","",INDEX(Fornecedores!$X$1:$X$6631,V508))</f>
        <v/>
      </c>
      <c r="Y508" s="4" t="str">
        <f t="shared" si="4"/>
        <v/>
      </c>
    </row>
    <row r="509" spans="19:25">
      <c r="S509" t="str">
        <f t="shared" si="0"/>
        <v/>
      </c>
      <c r="T509" t="str">
        <f t="shared" si="1"/>
        <v/>
      </c>
      <c r="U509" t="str">
        <f t="shared" si="2"/>
        <v/>
      </c>
      <c r="V509" t="str">
        <f>IF(OR(U509="",U509="ERRO_CHAVE"),"",IFERROR(MATCH(U509,Fornecedores!$AF$1:$AF$6631,0),""))</f>
        <v/>
      </c>
      <c r="W509" t="str">
        <f t="shared" si="3"/>
        <v/>
      </c>
      <c r="X509" s="4" t="str">
        <f>IF(V509="","",INDEX(Fornecedores!$X$1:$X$6631,V509))</f>
        <v/>
      </c>
      <c r="Y509" s="4" t="str">
        <f t="shared" si="4"/>
        <v/>
      </c>
    </row>
    <row r="510" spans="19:25">
      <c r="S510" t="str">
        <f t="shared" si="0"/>
        <v/>
      </c>
      <c r="T510" t="str">
        <f t="shared" si="1"/>
        <v/>
      </c>
      <c r="U510" t="str">
        <f t="shared" si="2"/>
        <v/>
      </c>
      <c r="V510" t="str">
        <f>IF(OR(U510="",U510="ERRO_CHAVE"),"",IFERROR(MATCH(U510,Fornecedores!$AF$1:$AF$6631,0),""))</f>
        <v/>
      </c>
      <c r="W510" t="str">
        <f t="shared" si="3"/>
        <v/>
      </c>
      <c r="X510" s="4" t="str">
        <f>IF(V510="","",INDEX(Fornecedores!$X$1:$X$6631,V510))</f>
        <v/>
      </c>
      <c r="Y510" s="4" t="str">
        <f t="shared" si="4"/>
        <v/>
      </c>
    </row>
    <row r="511" spans="19:25">
      <c r="S511" t="str">
        <f t="shared" si="0"/>
        <v/>
      </c>
      <c r="T511" t="str">
        <f t="shared" si="1"/>
        <v/>
      </c>
      <c r="U511" t="str">
        <f t="shared" si="2"/>
        <v/>
      </c>
      <c r="V511" t="str">
        <f>IF(OR(U511="",U511="ERRO_CHAVE"),"",IFERROR(MATCH(U511,Fornecedores!$AF$1:$AF$6631,0),""))</f>
        <v/>
      </c>
      <c r="W511" t="str">
        <f t="shared" si="3"/>
        <v/>
      </c>
      <c r="X511" s="4" t="str">
        <f>IF(V511="","",INDEX(Fornecedores!$X$1:$X$6631,V511))</f>
        <v/>
      </c>
      <c r="Y511" s="4" t="str">
        <f t="shared" si="4"/>
        <v/>
      </c>
    </row>
    <row r="512" spans="19:25">
      <c r="S512" t="str">
        <f t="shared" si="0"/>
        <v/>
      </c>
      <c r="T512" t="str">
        <f t="shared" si="1"/>
        <v/>
      </c>
      <c r="U512" t="str">
        <f t="shared" si="2"/>
        <v/>
      </c>
      <c r="V512" t="str">
        <f>IF(OR(U512="",U512="ERRO_CHAVE"),"",IFERROR(MATCH(U512,Fornecedores!$AF$1:$AF$6631,0),""))</f>
        <v/>
      </c>
      <c r="W512" t="str">
        <f t="shared" si="3"/>
        <v/>
      </c>
      <c r="X512" s="4" t="str">
        <f>IF(V512="","",INDEX(Fornecedores!$X$1:$X$6631,V512))</f>
        <v/>
      </c>
      <c r="Y512" s="4" t="str">
        <f t="shared" si="4"/>
        <v/>
      </c>
    </row>
    <row r="513" spans="19:25">
      <c r="S513" t="str">
        <f t="shared" si="0"/>
        <v/>
      </c>
      <c r="T513" t="str">
        <f t="shared" si="1"/>
        <v/>
      </c>
      <c r="U513" t="str">
        <f t="shared" si="2"/>
        <v/>
      </c>
      <c r="V513" t="str">
        <f>IF(OR(U513="",U513="ERRO_CHAVE"),"",IFERROR(MATCH(U513,Fornecedores!$AF$1:$AF$6631,0),""))</f>
        <v/>
      </c>
      <c r="W513" t="str">
        <f t="shared" si="3"/>
        <v/>
      </c>
      <c r="X513" s="4" t="str">
        <f>IF(V513="","",INDEX(Fornecedores!$X$1:$X$6631,V513))</f>
        <v/>
      </c>
      <c r="Y513" s="4" t="str">
        <f t="shared" si="4"/>
        <v/>
      </c>
    </row>
    <row r="514" spans="19:25">
      <c r="S514" t="str">
        <f t="shared" si="0"/>
        <v/>
      </c>
      <c r="T514" t="str">
        <f t="shared" si="1"/>
        <v/>
      </c>
      <c r="U514" t="str">
        <f t="shared" si="2"/>
        <v/>
      </c>
      <c r="V514" t="str">
        <f>IF(OR(U514="",U514="ERRO_CHAVE"),"",IFERROR(MATCH(U514,Fornecedores!$AF$1:$AF$6631,0),""))</f>
        <v/>
      </c>
      <c r="W514" t="str">
        <f t="shared" si="3"/>
        <v/>
      </c>
      <c r="X514" s="4" t="str">
        <f>IF(V514="","",INDEX(Fornecedores!$X$1:$X$6631,V514))</f>
        <v/>
      </c>
      <c r="Y514" s="4" t="str">
        <f t="shared" si="4"/>
        <v/>
      </c>
    </row>
    <row r="515" spans="19:25">
      <c r="S515" t="str">
        <f t="shared" si="0"/>
        <v/>
      </c>
      <c r="T515" t="str">
        <f t="shared" si="1"/>
        <v/>
      </c>
      <c r="U515" t="str">
        <f t="shared" si="2"/>
        <v/>
      </c>
      <c r="V515" t="str">
        <f>IF(OR(U515="",U515="ERRO_CHAVE"),"",IFERROR(MATCH(U515,Fornecedores!$AF$1:$AF$6631,0),""))</f>
        <v/>
      </c>
      <c r="W515" t="str">
        <f t="shared" si="3"/>
        <v/>
      </c>
      <c r="X515" s="4" t="str">
        <f>IF(V515="","",INDEX(Fornecedores!$X$1:$X$6631,V515))</f>
        <v/>
      </c>
      <c r="Y515" s="4" t="str">
        <f t="shared" si="4"/>
        <v/>
      </c>
    </row>
    <row r="516" spans="19:25">
      <c r="S516" t="str">
        <f t="shared" si="0"/>
        <v/>
      </c>
      <c r="T516" t="str">
        <f t="shared" si="1"/>
        <v/>
      </c>
      <c r="U516" t="str">
        <f t="shared" si="2"/>
        <v/>
      </c>
      <c r="V516" t="str">
        <f>IF(OR(U516="",U516="ERRO_CHAVE"),"",IFERROR(MATCH(U516,Fornecedores!$AF$1:$AF$6631,0),""))</f>
        <v/>
      </c>
      <c r="W516" t="str">
        <f t="shared" si="3"/>
        <v/>
      </c>
      <c r="X516" s="4" t="str">
        <f>IF(V516="","",INDEX(Fornecedores!$X$1:$X$6631,V516))</f>
        <v/>
      </c>
      <c r="Y516" s="4" t="str">
        <f t="shared" si="4"/>
        <v/>
      </c>
    </row>
    <row r="517" spans="19:25">
      <c r="S517" t="str">
        <f t="shared" si="0"/>
        <v/>
      </c>
      <c r="T517" t="str">
        <f t="shared" si="1"/>
        <v/>
      </c>
      <c r="U517" t="str">
        <f t="shared" si="2"/>
        <v/>
      </c>
      <c r="V517" t="str">
        <f>IF(OR(U517="",U517="ERRO_CHAVE"),"",IFERROR(MATCH(U517,Fornecedores!$AF$1:$AF$6631,0),""))</f>
        <v/>
      </c>
      <c r="W517" t="str">
        <f t="shared" si="3"/>
        <v/>
      </c>
      <c r="X517" s="4" t="str">
        <f>IF(V517="","",INDEX(Fornecedores!$X$1:$X$6631,V517))</f>
        <v/>
      </c>
      <c r="Y517" s="4" t="str">
        <f t="shared" si="4"/>
        <v/>
      </c>
    </row>
    <row r="518" spans="19:25">
      <c r="S518" t="str">
        <f t="shared" si="0"/>
        <v/>
      </c>
      <c r="T518" t="str">
        <f t="shared" si="1"/>
        <v/>
      </c>
      <c r="U518" t="str">
        <f t="shared" si="2"/>
        <v/>
      </c>
      <c r="V518" t="str">
        <f>IF(OR(U518="",U518="ERRO_CHAVE"),"",IFERROR(MATCH(U518,Fornecedores!$AF$1:$AF$6631,0),""))</f>
        <v/>
      </c>
      <c r="W518" t="str">
        <f t="shared" si="3"/>
        <v/>
      </c>
      <c r="X518" s="4" t="str">
        <f>IF(V518="","",INDEX(Fornecedores!$X$1:$X$6631,V518))</f>
        <v/>
      </c>
      <c r="Y518" s="4" t="str">
        <f t="shared" si="4"/>
        <v/>
      </c>
    </row>
    <row r="519" spans="19:25">
      <c r="S519" t="str">
        <f t="shared" si="0"/>
        <v/>
      </c>
      <c r="T519" t="str">
        <f t="shared" si="1"/>
        <v/>
      </c>
      <c r="U519" t="str">
        <f t="shared" si="2"/>
        <v/>
      </c>
      <c r="V519" t="str">
        <f>IF(OR(U519="",U519="ERRO_CHAVE"),"",IFERROR(MATCH(U519,Fornecedores!$AF$1:$AF$6631,0),""))</f>
        <v/>
      </c>
      <c r="W519" t="str">
        <f t="shared" si="3"/>
        <v/>
      </c>
      <c r="X519" s="4" t="str">
        <f>IF(V519="","",INDEX(Fornecedores!$X$1:$X$6631,V519))</f>
        <v/>
      </c>
      <c r="Y519" s="4" t="str">
        <f t="shared" si="4"/>
        <v/>
      </c>
    </row>
    <row r="520" spans="19:25">
      <c r="S520" t="str">
        <f t="shared" si="0"/>
        <v/>
      </c>
      <c r="T520" t="str">
        <f t="shared" si="1"/>
        <v/>
      </c>
      <c r="U520" t="str">
        <f t="shared" si="2"/>
        <v/>
      </c>
      <c r="V520" t="str">
        <f>IF(OR(U520="",U520="ERRO_CHAVE"),"",IFERROR(MATCH(U520,Fornecedores!$AF$1:$AF$6631,0),""))</f>
        <v/>
      </c>
      <c r="W520" t="str">
        <f t="shared" si="3"/>
        <v/>
      </c>
      <c r="X520" s="4" t="str">
        <f>IF(V520="","",INDEX(Fornecedores!$X$1:$X$6631,V520))</f>
        <v/>
      </c>
      <c r="Y520" s="4" t="str">
        <f t="shared" si="4"/>
        <v/>
      </c>
    </row>
    <row r="521" spans="19:25">
      <c r="S521" t="str">
        <f t="shared" si="0"/>
        <v/>
      </c>
      <c r="T521" t="str">
        <f t="shared" si="1"/>
        <v/>
      </c>
      <c r="U521" t="str">
        <f t="shared" si="2"/>
        <v/>
      </c>
      <c r="V521" t="str">
        <f>IF(OR(U521="",U521="ERRO_CHAVE"),"",IFERROR(MATCH(U521,Fornecedores!$AF$1:$AF$6631,0),""))</f>
        <v/>
      </c>
      <c r="W521" t="str">
        <f t="shared" si="3"/>
        <v/>
      </c>
      <c r="X521" s="4" t="str">
        <f>IF(V521="","",INDEX(Fornecedores!$X$1:$X$6631,V521))</f>
        <v/>
      </c>
      <c r="Y521" s="4" t="str">
        <f t="shared" si="4"/>
        <v/>
      </c>
    </row>
    <row r="522" spans="19:25">
      <c r="S522" t="str">
        <f t="shared" si="0"/>
        <v/>
      </c>
      <c r="T522" t="str">
        <f t="shared" si="1"/>
        <v/>
      </c>
      <c r="U522" t="str">
        <f t="shared" si="2"/>
        <v/>
      </c>
      <c r="V522" t="str">
        <f>IF(OR(U522="",U522="ERRO_CHAVE"),"",IFERROR(MATCH(U522,Fornecedores!$AF$1:$AF$6631,0),""))</f>
        <v/>
      </c>
      <c r="W522" t="str">
        <f t="shared" si="3"/>
        <v/>
      </c>
      <c r="X522" s="4" t="str">
        <f>IF(V522="","",INDEX(Fornecedores!$X$1:$X$6631,V522))</f>
        <v/>
      </c>
      <c r="Y522" s="4" t="str">
        <f t="shared" si="4"/>
        <v/>
      </c>
    </row>
    <row r="523" spans="19:25">
      <c r="S523" t="str">
        <f t="shared" si="0"/>
        <v/>
      </c>
      <c r="T523" t="str">
        <f t="shared" si="1"/>
        <v/>
      </c>
      <c r="U523" t="str">
        <f t="shared" si="2"/>
        <v/>
      </c>
      <c r="V523" t="str">
        <f>IF(OR(U523="",U523="ERRO_CHAVE"),"",IFERROR(MATCH(U523,Fornecedores!$AF$1:$AF$6631,0),""))</f>
        <v/>
      </c>
      <c r="W523" t="str">
        <f t="shared" si="3"/>
        <v/>
      </c>
      <c r="X523" s="4" t="str">
        <f>IF(V523="","",INDEX(Fornecedores!$X$1:$X$6631,V523))</f>
        <v/>
      </c>
      <c r="Y523" s="4" t="str">
        <f t="shared" si="4"/>
        <v/>
      </c>
    </row>
    <row r="524" spans="19:25">
      <c r="S524" t="str">
        <f t="shared" si="0"/>
        <v/>
      </c>
      <c r="T524" t="str">
        <f t="shared" si="1"/>
        <v/>
      </c>
      <c r="U524" t="str">
        <f t="shared" si="2"/>
        <v/>
      </c>
      <c r="V524" t="str">
        <f>IF(OR(U524="",U524="ERRO_CHAVE"),"",IFERROR(MATCH(U524,Fornecedores!$AF$1:$AF$6631,0),""))</f>
        <v/>
      </c>
      <c r="W524" t="str">
        <f t="shared" si="3"/>
        <v/>
      </c>
      <c r="X524" s="4" t="str">
        <f>IF(V524="","",INDEX(Fornecedores!$X$1:$X$6631,V524))</f>
        <v/>
      </c>
      <c r="Y524" s="4" t="str">
        <f t="shared" si="4"/>
        <v/>
      </c>
    </row>
    <row r="525" spans="19:25">
      <c r="S525" t="str">
        <f t="shared" si="0"/>
        <v/>
      </c>
      <c r="T525" t="str">
        <f t="shared" si="1"/>
        <v/>
      </c>
      <c r="U525" t="str">
        <f t="shared" si="2"/>
        <v/>
      </c>
      <c r="V525" t="str">
        <f>IF(OR(U525="",U525="ERRO_CHAVE"),"",IFERROR(MATCH(U525,Fornecedores!$AF$1:$AF$6631,0),""))</f>
        <v/>
      </c>
      <c r="W525" t="str">
        <f t="shared" si="3"/>
        <v/>
      </c>
      <c r="X525" s="4" t="str">
        <f>IF(V525="","",INDEX(Fornecedores!$X$1:$X$6631,V525))</f>
        <v/>
      </c>
      <c r="Y525" s="4" t="str">
        <f t="shared" si="4"/>
        <v/>
      </c>
    </row>
    <row r="526" spans="19:25">
      <c r="S526" t="str">
        <f t="shared" si="0"/>
        <v/>
      </c>
      <c r="T526" t="str">
        <f t="shared" si="1"/>
        <v/>
      </c>
      <c r="U526" t="str">
        <f t="shared" si="2"/>
        <v/>
      </c>
      <c r="V526" t="str">
        <f>IF(OR(U526="",U526="ERRO_CHAVE"),"",IFERROR(MATCH(U526,Fornecedores!$AF$1:$AF$6631,0),""))</f>
        <v/>
      </c>
      <c r="W526" t="str">
        <f t="shared" si="3"/>
        <v/>
      </c>
      <c r="X526" s="4" t="str">
        <f>IF(V526="","",INDEX(Fornecedores!$X$1:$X$6631,V526))</f>
        <v/>
      </c>
      <c r="Y526" s="4" t="str">
        <f t="shared" si="4"/>
        <v/>
      </c>
    </row>
    <row r="527" spans="19:25">
      <c r="S527" t="str">
        <f t="shared" si="0"/>
        <v/>
      </c>
      <c r="T527" t="str">
        <f t="shared" si="1"/>
        <v/>
      </c>
      <c r="U527" t="str">
        <f t="shared" si="2"/>
        <v/>
      </c>
      <c r="V527" t="str">
        <f>IF(OR(U527="",U527="ERRO_CHAVE"),"",IFERROR(MATCH(U527,Fornecedores!$AF$1:$AF$6631,0),""))</f>
        <v/>
      </c>
      <c r="W527" t="str">
        <f t="shared" si="3"/>
        <v/>
      </c>
      <c r="X527" s="4" t="str">
        <f>IF(V527="","",INDEX(Fornecedores!$X$1:$X$6631,V527))</f>
        <v/>
      </c>
      <c r="Y527" s="4" t="str">
        <f t="shared" si="4"/>
        <v/>
      </c>
    </row>
    <row r="528" spans="19:25">
      <c r="S528" t="str">
        <f t="shared" si="0"/>
        <v/>
      </c>
      <c r="T528" t="str">
        <f t="shared" si="1"/>
        <v/>
      </c>
      <c r="U528" t="str">
        <f t="shared" si="2"/>
        <v/>
      </c>
      <c r="V528" t="str">
        <f>IF(OR(U528="",U528="ERRO_CHAVE"),"",IFERROR(MATCH(U528,Fornecedores!$AF$1:$AF$6631,0),""))</f>
        <v/>
      </c>
      <c r="W528" t="str">
        <f t="shared" si="3"/>
        <v/>
      </c>
      <c r="X528" s="4" t="str">
        <f>IF(V528="","",INDEX(Fornecedores!$X$1:$X$6631,V528))</f>
        <v/>
      </c>
      <c r="Y528" s="4" t="str">
        <f t="shared" si="4"/>
        <v/>
      </c>
    </row>
    <row r="529" spans="19:25">
      <c r="S529" t="str">
        <f t="shared" si="0"/>
        <v/>
      </c>
      <c r="T529" t="str">
        <f t="shared" si="1"/>
        <v/>
      </c>
      <c r="U529" t="str">
        <f t="shared" si="2"/>
        <v/>
      </c>
      <c r="V529" t="str">
        <f>IF(OR(U529="",U529="ERRO_CHAVE"),"",IFERROR(MATCH(U529,Fornecedores!$AF$1:$AF$6631,0),""))</f>
        <v/>
      </c>
      <c r="W529" t="str">
        <f t="shared" si="3"/>
        <v/>
      </c>
      <c r="X529" s="4" t="str">
        <f>IF(V529="","",INDEX(Fornecedores!$X$1:$X$6631,V529))</f>
        <v/>
      </c>
      <c r="Y529" s="4" t="str">
        <f t="shared" si="4"/>
        <v/>
      </c>
    </row>
    <row r="530" spans="19:25">
      <c r="S530" t="str">
        <f t="shared" si="0"/>
        <v/>
      </c>
      <c r="T530" t="str">
        <f t="shared" si="1"/>
        <v/>
      </c>
      <c r="U530" t="str">
        <f t="shared" si="2"/>
        <v/>
      </c>
      <c r="V530" t="str">
        <f>IF(OR(U530="",U530="ERRO_CHAVE"),"",IFERROR(MATCH(U530,Fornecedores!$AF$1:$AF$6631,0),""))</f>
        <v/>
      </c>
      <c r="W530" t="str">
        <f t="shared" si="3"/>
        <v/>
      </c>
      <c r="X530" s="4" t="str">
        <f>IF(V530="","",INDEX(Fornecedores!$X$1:$X$6631,V530))</f>
        <v/>
      </c>
      <c r="Y530" s="4" t="str">
        <f t="shared" si="4"/>
        <v/>
      </c>
    </row>
    <row r="531" spans="19:25">
      <c r="S531" t="str">
        <f t="shared" si="0"/>
        <v/>
      </c>
      <c r="T531" t="str">
        <f t="shared" si="1"/>
        <v/>
      </c>
      <c r="U531" t="str">
        <f t="shared" si="2"/>
        <v/>
      </c>
      <c r="V531" t="str">
        <f>IF(OR(U531="",U531="ERRO_CHAVE"),"",IFERROR(MATCH(U531,Fornecedores!$AF$1:$AF$6631,0),""))</f>
        <v/>
      </c>
      <c r="W531" t="str">
        <f t="shared" si="3"/>
        <v/>
      </c>
      <c r="X531" s="4" t="str">
        <f>IF(V531="","",INDEX(Fornecedores!$X$1:$X$6631,V531))</f>
        <v/>
      </c>
      <c r="Y531" s="4" t="str">
        <f t="shared" si="4"/>
        <v/>
      </c>
    </row>
    <row r="532" spans="19:25">
      <c r="S532" t="str">
        <f t="shared" si="0"/>
        <v/>
      </c>
      <c r="T532" t="str">
        <f t="shared" si="1"/>
        <v/>
      </c>
      <c r="U532" t="str">
        <f t="shared" si="2"/>
        <v/>
      </c>
      <c r="V532" t="str">
        <f>IF(OR(U532="",U532="ERRO_CHAVE"),"",IFERROR(MATCH(U532,Fornecedores!$AF$1:$AF$6631,0),""))</f>
        <v/>
      </c>
      <c r="W532" t="str">
        <f t="shared" si="3"/>
        <v/>
      </c>
      <c r="X532" s="4" t="str">
        <f>IF(V532="","",INDEX(Fornecedores!$X$1:$X$6631,V532))</f>
        <v/>
      </c>
      <c r="Y532" s="4" t="str">
        <f t="shared" si="4"/>
        <v/>
      </c>
    </row>
    <row r="533" spans="19:25">
      <c r="S533" t="str">
        <f t="shared" si="0"/>
        <v/>
      </c>
      <c r="T533" t="str">
        <f t="shared" si="1"/>
        <v/>
      </c>
      <c r="U533" t="str">
        <f t="shared" si="2"/>
        <v/>
      </c>
      <c r="V533" t="str">
        <f>IF(OR(U533="",U533="ERRO_CHAVE"),"",IFERROR(MATCH(U533,Fornecedores!$AF$1:$AF$6631,0),""))</f>
        <v/>
      </c>
      <c r="W533" t="str">
        <f t="shared" si="3"/>
        <v/>
      </c>
      <c r="X533" s="4" t="str">
        <f>IF(V533="","",INDEX(Fornecedores!$X$1:$X$6631,V533))</f>
        <v/>
      </c>
      <c r="Y533" s="4" t="str">
        <f t="shared" si="4"/>
        <v/>
      </c>
    </row>
    <row r="534" spans="19:25">
      <c r="S534" t="str">
        <f t="shared" si="0"/>
        <v/>
      </c>
      <c r="T534" t="str">
        <f t="shared" si="1"/>
        <v/>
      </c>
      <c r="U534" t="str">
        <f t="shared" si="2"/>
        <v/>
      </c>
      <c r="V534" t="str">
        <f>IF(OR(U534="",U534="ERRO_CHAVE"),"",IFERROR(MATCH(U534,Fornecedores!$AF$1:$AF$6631,0),""))</f>
        <v/>
      </c>
      <c r="W534" t="str">
        <f t="shared" si="3"/>
        <v/>
      </c>
      <c r="X534" s="4" t="str">
        <f>IF(V534="","",INDEX(Fornecedores!$X$1:$X$6631,V534))</f>
        <v/>
      </c>
      <c r="Y534" s="4" t="str">
        <f t="shared" si="4"/>
        <v/>
      </c>
    </row>
    <row r="535" spans="19:25">
      <c r="S535" t="str">
        <f t="shared" si="0"/>
        <v/>
      </c>
      <c r="T535" t="str">
        <f t="shared" si="1"/>
        <v/>
      </c>
      <c r="U535" t="str">
        <f t="shared" si="2"/>
        <v/>
      </c>
      <c r="V535" t="str">
        <f>IF(OR(U535="",U535="ERRO_CHAVE"),"",IFERROR(MATCH(U535,Fornecedores!$AF$1:$AF$6631,0),""))</f>
        <v/>
      </c>
      <c r="W535" t="str">
        <f t="shared" si="3"/>
        <v/>
      </c>
      <c r="X535" s="4" t="str">
        <f>IF(V535="","",INDEX(Fornecedores!$X$1:$X$6631,V535))</f>
        <v/>
      </c>
      <c r="Y535" s="4" t="str">
        <f t="shared" si="4"/>
        <v/>
      </c>
    </row>
    <row r="536" spans="19:25">
      <c r="S536" t="str">
        <f t="shared" si="0"/>
        <v/>
      </c>
      <c r="T536" t="str">
        <f t="shared" si="1"/>
        <v/>
      </c>
      <c r="U536" t="str">
        <f t="shared" si="2"/>
        <v/>
      </c>
      <c r="V536" t="str">
        <f>IF(OR(U536="",U536="ERRO_CHAVE"),"",IFERROR(MATCH(U536,Fornecedores!$AF$1:$AF$6631,0),""))</f>
        <v/>
      </c>
      <c r="W536" t="str">
        <f t="shared" si="3"/>
        <v/>
      </c>
      <c r="X536" s="4" t="str">
        <f>IF(V536="","",INDEX(Fornecedores!$X$1:$X$6631,V536))</f>
        <v/>
      </c>
      <c r="Y536" s="4" t="str">
        <f t="shared" si="4"/>
        <v/>
      </c>
    </row>
    <row r="537" spans="19:25">
      <c r="S537" t="str">
        <f t="shared" si="0"/>
        <v/>
      </c>
      <c r="T537" t="str">
        <f t="shared" si="1"/>
        <v/>
      </c>
      <c r="U537" t="str">
        <f t="shared" si="2"/>
        <v/>
      </c>
      <c r="V537" t="str">
        <f>IF(OR(U537="",U537="ERRO_CHAVE"),"",IFERROR(MATCH(U537,Fornecedores!$AF$1:$AF$6631,0),""))</f>
        <v/>
      </c>
      <c r="W537" t="str">
        <f t="shared" si="3"/>
        <v/>
      </c>
      <c r="X537" s="4" t="str">
        <f>IF(V537="","",INDEX(Fornecedores!$X$1:$X$6631,V537))</f>
        <v/>
      </c>
      <c r="Y537" s="4" t="str">
        <f t="shared" si="4"/>
        <v/>
      </c>
    </row>
    <row r="538" spans="19:25">
      <c r="S538" t="str">
        <f t="shared" si="0"/>
        <v/>
      </c>
      <c r="T538" t="str">
        <f t="shared" si="1"/>
        <v/>
      </c>
      <c r="U538" t="str">
        <f t="shared" si="2"/>
        <v/>
      </c>
      <c r="V538" t="str">
        <f>IF(OR(U538="",U538="ERRO_CHAVE"),"",IFERROR(MATCH(U538,Fornecedores!$AF$1:$AF$6631,0),""))</f>
        <v/>
      </c>
      <c r="W538" t="str">
        <f t="shared" si="3"/>
        <v/>
      </c>
      <c r="X538" s="4" t="str">
        <f>IF(V538="","",INDEX(Fornecedores!$X$1:$X$6631,V538))</f>
        <v/>
      </c>
      <c r="Y538" s="4" t="str">
        <f t="shared" si="4"/>
        <v/>
      </c>
    </row>
    <row r="539" spans="19:25">
      <c r="S539" t="str">
        <f t="shared" si="0"/>
        <v/>
      </c>
      <c r="T539" t="str">
        <f t="shared" si="1"/>
        <v/>
      </c>
      <c r="U539" t="str">
        <f t="shared" si="2"/>
        <v/>
      </c>
      <c r="V539" t="str">
        <f>IF(OR(U539="",U539="ERRO_CHAVE"),"",IFERROR(MATCH(U539,Fornecedores!$AF$1:$AF$6631,0),""))</f>
        <v/>
      </c>
      <c r="W539" t="str">
        <f t="shared" si="3"/>
        <v/>
      </c>
      <c r="X539" s="4" t="str">
        <f>IF(V539="","",INDEX(Fornecedores!$X$1:$X$6631,V539))</f>
        <v/>
      </c>
      <c r="Y539" s="4" t="str">
        <f t="shared" si="4"/>
        <v/>
      </c>
    </row>
    <row r="540" spans="19:25">
      <c r="S540" t="str">
        <f t="shared" si="0"/>
        <v/>
      </c>
      <c r="T540" t="str">
        <f t="shared" si="1"/>
        <v/>
      </c>
      <c r="U540" t="str">
        <f t="shared" si="2"/>
        <v/>
      </c>
      <c r="V540" t="str">
        <f>IF(OR(U540="",U540="ERRO_CHAVE"),"",IFERROR(MATCH(U540,Fornecedores!$AF$1:$AF$6631,0),""))</f>
        <v/>
      </c>
      <c r="W540" t="str">
        <f t="shared" si="3"/>
        <v/>
      </c>
      <c r="X540" s="4" t="str">
        <f>IF(V540="","",INDEX(Fornecedores!$X$1:$X$6631,V540))</f>
        <v/>
      </c>
      <c r="Y540" s="4" t="str">
        <f t="shared" si="4"/>
        <v/>
      </c>
    </row>
    <row r="541" spans="19:25">
      <c r="S541" t="str">
        <f t="shared" si="0"/>
        <v/>
      </c>
      <c r="T541" t="str">
        <f t="shared" si="1"/>
        <v/>
      </c>
      <c r="U541" t="str">
        <f t="shared" si="2"/>
        <v/>
      </c>
      <c r="V541" t="str">
        <f>IF(OR(U541="",U541="ERRO_CHAVE"),"",IFERROR(MATCH(U541,Fornecedores!$AF$1:$AF$6631,0),""))</f>
        <v/>
      </c>
      <c r="W541" t="str">
        <f t="shared" si="3"/>
        <v/>
      </c>
      <c r="X541" s="4" t="str">
        <f>IF(V541="","",INDEX(Fornecedores!$X$1:$X$6631,V541))</f>
        <v/>
      </c>
      <c r="Y541" s="4" t="str">
        <f t="shared" si="4"/>
        <v/>
      </c>
    </row>
    <row r="542" spans="19:25">
      <c r="S542" t="str">
        <f t="shared" si="0"/>
        <v/>
      </c>
      <c r="T542" t="str">
        <f t="shared" si="1"/>
        <v/>
      </c>
      <c r="U542" t="str">
        <f t="shared" si="2"/>
        <v/>
      </c>
      <c r="V542" t="str">
        <f>IF(OR(U542="",U542="ERRO_CHAVE"),"",IFERROR(MATCH(U542,Fornecedores!$AF$1:$AF$6631,0),""))</f>
        <v/>
      </c>
      <c r="W542" t="str">
        <f t="shared" si="3"/>
        <v/>
      </c>
      <c r="X542" s="4" t="str">
        <f>IF(V542="","",INDEX(Fornecedores!$X$1:$X$6631,V542))</f>
        <v/>
      </c>
      <c r="Y542" s="4" t="str">
        <f t="shared" si="4"/>
        <v/>
      </c>
    </row>
    <row r="543" spans="19:25">
      <c r="S543" t="str">
        <f t="shared" si="0"/>
        <v/>
      </c>
      <c r="T543" t="str">
        <f t="shared" si="1"/>
        <v/>
      </c>
      <c r="U543" t="str">
        <f t="shared" si="2"/>
        <v/>
      </c>
      <c r="V543" t="str">
        <f>IF(OR(U543="",U543="ERRO_CHAVE"),"",IFERROR(MATCH(U543,Fornecedores!$AF$1:$AF$6631,0),""))</f>
        <v/>
      </c>
      <c r="W543" t="str">
        <f t="shared" si="3"/>
        <v/>
      </c>
      <c r="X543" s="4" t="str">
        <f>IF(V543="","",INDEX(Fornecedores!$X$1:$X$6631,V543))</f>
        <v/>
      </c>
      <c r="Y543" s="4" t="str">
        <f t="shared" si="4"/>
        <v/>
      </c>
    </row>
    <row r="544" spans="19:25">
      <c r="S544" t="str">
        <f t="shared" si="0"/>
        <v/>
      </c>
      <c r="T544" t="str">
        <f t="shared" si="1"/>
        <v/>
      </c>
      <c r="U544" t="str">
        <f t="shared" si="2"/>
        <v/>
      </c>
      <c r="V544" t="str">
        <f>IF(OR(U544="",U544="ERRO_CHAVE"),"",IFERROR(MATCH(U544,Fornecedores!$AF$1:$AF$6631,0),""))</f>
        <v/>
      </c>
      <c r="W544" t="str">
        <f t="shared" si="3"/>
        <v/>
      </c>
      <c r="X544" s="4" t="str">
        <f>IF(V544="","",INDEX(Fornecedores!$X$1:$X$6631,V544))</f>
        <v/>
      </c>
      <c r="Y544" s="4" t="str">
        <f t="shared" si="4"/>
        <v/>
      </c>
    </row>
    <row r="545" spans="19:25">
      <c r="S545" t="str">
        <f t="shared" si="0"/>
        <v/>
      </c>
      <c r="T545" t="str">
        <f t="shared" si="1"/>
        <v/>
      </c>
      <c r="U545" t="str">
        <f t="shared" si="2"/>
        <v/>
      </c>
      <c r="V545" t="str">
        <f>IF(OR(U545="",U545="ERRO_CHAVE"),"",IFERROR(MATCH(U545,Fornecedores!$AF$1:$AF$6631,0),""))</f>
        <v/>
      </c>
      <c r="W545" t="str">
        <f t="shared" si="3"/>
        <v/>
      </c>
      <c r="X545" s="4" t="str">
        <f>IF(V545="","",INDEX(Fornecedores!$X$1:$X$6631,V545))</f>
        <v/>
      </c>
      <c r="Y545" s="4" t="str">
        <f t="shared" si="4"/>
        <v/>
      </c>
    </row>
    <row r="546" spans="19:25">
      <c r="S546" t="str">
        <f t="shared" si="0"/>
        <v/>
      </c>
      <c r="T546" t="str">
        <f t="shared" si="1"/>
        <v/>
      </c>
      <c r="U546" t="str">
        <f t="shared" si="2"/>
        <v/>
      </c>
      <c r="V546" t="str">
        <f>IF(OR(U546="",U546="ERRO_CHAVE"),"",IFERROR(MATCH(U546,Fornecedores!$AF$1:$AF$6631,0),""))</f>
        <v/>
      </c>
      <c r="W546" t="str">
        <f t="shared" si="3"/>
        <v/>
      </c>
      <c r="X546" s="4" t="str">
        <f>IF(V546="","",INDEX(Fornecedores!$X$1:$X$6631,V546))</f>
        <v/>
      </c>
      <c r="Y546" s="4" t="str">
        <f t="shared" si="4"/>
        <v/>
      </c>
    </row>
    <row r="547" spans="19:25">
      <c r="S547" t="str">
        <f t="shared" si="0"/>
        <v/>
      </c>
      <c r="T547" t="str">
        <f t="shared" si="1"/>
        <v/>
      </c>
      <c r="U547" t="str">
        <f t="shared" si="2"/>
        <v/>
      </c>
      <c r="V547" t="str">
        <f>IF(OR(U547="",U547="ERRO_CHAVE"),"",IFERROR(MATCH(U547,Fornecedores!$AF$1:$AF$6631,0),""))</f>
        <v/>
      </c>
      <c r="W547" t="str">
        <f t="shared" si="3"/>
        <v/>
      </c>
      <c r="X547" s="4" t="str">
        <f>IF(V547="","",INDEX(Fornecedores!$X$1:$X$6631,V547))</f>
        <v/>
      </c>
      <c r="Y547" s="4" t="str">
        <f t="shared" si="4"/>
        <v/>
      </c>
    </row>
    <row r="548" spans="19:25">
      <c r="S548" t="str">
        <f t="shared" si="0"/>
        <v/>
      </c>
      <c r="T548" t="str">
        <f t="shared" si="1"/>
        <v/>
      </c>
      <c r="U548" t="str">
        <f t="shared" si="2"/>
        <v/>
      </c>
      <c r="V548" t="str">
        <f>IF(OR(U548="",U548="ERRO_CHAVE"),"",IFERROR(MATCH(U548,Fornecedores!$AF$1:$AF$6631,0),""))</f>
        <v/>
      </c>
      <c r="W548" t="str">
        <f t="shared" si="3"/>
        <v/>
      </c>
      <c r="X548" s="4" t="str">
        <f>IF(V548="","",INDEX(Fornecedores!$X$1:$X$6631,V548))</f>
        <v/>
      </c>
      <c r="Y548" s="4" t="str">
        <f t="shared" si="4"/>
        <v/>
      </c>
    </row>
    <row r="549" spans="19:25">
      <c r="S549" t="str">
        <f t="shared" si="0"/>
        <v/>
      </c>
      <c r="T549" t="str">
        <f t="shared" si="1"/>
        <v/>
      </c>
      <c r="U549" t="str">
        <f t="shared" si="2"/>
        <v/>
      </c>
      <c r="V549" t="str">
        <f>IF(OR(U549="",U549="ERRO_CHAVE"),"",IFERROR(MATCH(U549,Fornecedores!$AF$1:$AF$6631,0),""))</f>
        <v/>
      </c>
      <c r="W549" t="str">
        <f t="shared" si="3"/>
        <v/>
      </c>
      <c r="X549" s="4" t="str">
        <f>IF(V549="","",INDEX(Fornecedores!$X$1:$X$6631,V549))</f>
        <v/>
      </c>
      <c r="Y549" s="4" t="str">
        <f t="shared" si="4"/>
        <v/>
      </c>
    </row>
    <row r="550" spans="19:25">
      <c r="S550" t="str">
        <f t="shared" si="0"/>
        <v/>
      </c>
      <c r="T550" t="str">
        <f t="shared" si="1"/>
        <v/>
      </c>
      <c r="U550" t="str">
        <f t="shared" si="2"/>
        <v/>
      </c>
      <c r="V550" t="str">
        <f>IF(OR(U550="",U550="ERRO_CHAVE"),"",IFERROR(MATCH(U550,Fornecedores!$AF$1:$AF$6631,0),""))</f>
        <v/>
      </c>
      <c r="W550" t="str">
        <f t="shared" si="3"/>
        <v/>
      </c>
      <c r="X550" s="4" t="str">
        <f>IF(V550="","",INDEX(Fornecedores!$X$1:$X$6631,V550))</f>
        <v/>
      </c>
      <c r="Y550" s="4" t="str">
        <f t="shared" si="4"/>
        <v/>
      </c>
    </row>
    <row r="551" spans="19:25">
      <c r="S551" t="str">
        <f t="shared" si="0"/>
        <v/>
      </c>
      <c r="T551" t="str">
        <f t="shared" si="1"/>
        <v/>
      </c>
      <c r="U551" t="str">
        <f t="shared" si="2"/>
        <v/>
      </c>
      <c r="V551" t="str">
        <f>IF(OR(U551="",U551="ERRO_CHAVE"),"",IFERROR(MATCH(U551,Fornecedores!$AF$1:$AF$6631,0),""))</f>
        <v/>
      </c>
      <c r="W551" t="str">
        <f t="shared" si="3"/>
        <v/>
      </c>
      <c r="X551" s="4" t="str">
        <f>IF(V551="","",INDEX(Fornecedores!$X$1:$X$6631,V551))</f>
        <v/>
      </c>
      <c r="Y551" s="4" t="str">
        <f t="shared" si="4"/>
        <v/>
      </c>
    </row>
    <row r="552" spans="19:25">
      <c r="S552" t="str">
        <f t="shared" si="0"/>
        <v/>
      </c>
      <c r="T552" t="str">
        <f t="shared" si="1"/>
        <v/>
      </c>
      <c r="U552" t="str">
        <f t="shared" si="2"/>
        <v/>
      </c>
      <c r="V552" t="str">
        <f>IF(OR(U552="",U552="ERRO_CHAVE"),"",IFERROR(MATCH(U552,Fornecedores!$AF$1:$AF$6631,0),""))</f>
        <v/>
      </c>
      <c r="W552" t="str">
        <f t="shared" si="3"/>
        <v/>
      </c>
      <c r="X552" s="4" t="str">
        <f>IF(V552="","",INDEX(Fornecedores!$X$1:$X$6631,V552))</f>
        <v/>
      </c>
      <c r="Y552" s="4" t="str">
        <f t="shared" si="4"/>
        <v/>
      </c>
    </row>
    <row r="553" spans="19:25">
      <c r="S553" t="str">
        <f t="shared" si="0"/>
        <v/>
      </c>
      <c r="T553" t="str">
        <f t="shared" si="1"/>
        <v/>
      </c>
      <c r="U553" t="str">
        <f t="shared" si="2"/>
        <v/>
      </c>
      <c r="V553" t="str">
        <f>IF(OR(U553="",U553="ERRO_CHAVE"),"",IFERROR(MATCH(U553,Fornecedores!$AF$1:$AF$6631,0),""))</f>
        <v/>
      </c>
      <c r="W553" t="str">
        <f t="shared" si="3"/>
        <v/>
      </c>
      <c r="X553" s="4" t="str">
        <f>IF(V553="","",INDEX(Fornecedores!$X$1:$X$6631,V553))</f>
        <v/>
      </c>
      <c r="Y553" s="4" t="str">
        <f t="shared" si="4"/>
        <v/>
      </c>
    </row>
    <row r="554" spans="19:25">
      <c r="S554" t="str">
        <f t="shared" si="0"/>
        <v/>
      </c>
      <c r="T554" t="str">
        <f t="shared" si="1"/>
        <v/>
      </c>
      <c r="U554" t="str">
        <f t="shared" si="2"/>
        <v/>
      </c>
      <c r="V554" t="str">
        <f>IF(OR(U554="",U554="ERRO_CHAVE"),"",IFERROR(MATCH(U554,Fornecedores!$AF$1:$AF$6631,0),""))</f>
        <v/>
      </c>
      <c r="W554" t="str">
        <f t="shared" si="3"/>
        <v/>
      </c>
      <c r="X554" s="4" t="str">
        <f>IF(V554="","",INDEX(Fornecedores!$X$1:$X$6631,V554))</f>
        <v/>
      </c>
      <c r="Y554" s="4" t="str">
        <f t="shared" si="4"/>
        <v/>
      </c>
    </row>
    <row r="555" spans="19:25">
      <c r="S555" t="str">
        <f t="shared" si="0"/>
        <v/>
      </c>
      <c r="T555" t="str">
        <f t="shared" si="1"/>
        <v/>
      </c>
      <c r="U555" t="str">
        <f t="shared" si="2"/>
        <v/>
      </c>
      <c r="V555" t="str">
        <f>IF(OR(U555="",U555="ERRO_CHAVE"),"",IFERROR(MATCH(U555,Fornecedores!$AF$1:$AF$6631,0),""))</f>
        <v/>
      </c>
      <c r="W555" t="str">
        <f t="shared" si="3"/>
        <v/>
      </c>
      <c r="X555" s="4" t="str">
        <f>IF(V555="","",INDEX(Fornecedores!$X$1:$X$6631,V555))</f>
        <v/>
      </c>
      <c r="Y555" s="4" t="str">
        <f t="shared" si="4"/>
        <v/>
      </c>
    </row>
    <row r="556" spans="19:25">
      <c r="S556" t="str">
        <f t="shared" si="0"/>
        <v/>
      </c>
      <c r="T556" t="str">
        <f t="shared" si="1"/>
        <v/>
      </c>
      <c r="U556" t="str">
        <f t="shared" si="2"/>
        <v/>
      </c>
      <c r="V556" t="str">
        <f>IF(OR(U556="",U556="ERRO_CHAVE"),"",IFERROR(MATCH(U556,Fornecedores!$AF$1:$AF$6631,0),""))</f>
        <v/>
      </c>
      <c r="W556" t="str">
        <f t="shared" si="3"/>
        <v/>
      </c>
      <c r="X556" s="4" t="str">
        <f>IF(V556="","",INDEX(Fornecedores!$X$1:$X$6631,V556))</f>
        <v/>
      </c>
      <c r="Y556" s="4" t="str">
        <f t="shared" si="4"/>
        <v/>
      </c>
    </row>
    <row r="557" spans="19:25">
      <c r="S557" t="str">
        <f t="shared" si="0"/>
        <v/>
      </c>
      <c r="T557" t="str">
        <f t="shared" si="1"/>
        <v/>
      </c>
      <c r="U557" t="str">
        <f t="shared" si="2"/>
        <v/>
      </c>
      <c r="V557" t="str">
        <f>IF(OR(U557="",U557="ERRO_CHAVE"),"",IFERROR(MATCH(U557,Fornecedores!$AF$1:$AF$6631,0),""))</f>
        <v/>
      </c>
      <c r="W557" t="str">
        <f t="shared" si="3"/>
        <v/>
      </c>
      <c r="X557" s="4" t="str">
        <f>IF(V557="","",INDEX(Fornecedores!$X$1:$X$6631,V557))</f>
        <v/>
      </c>
      <c r="Y557" s="4" t="str">
        <f t="shared" si="4"/>
        <v/>
      </c>
    </row>
    <row r="558" spans="19:25">
      <c r="S558" t="str">
        <f t="shared" si="0"/>
        <v/>
      </c>
      <c r="T558" t="str">
        <f t="shared" si="1"/>
        <v/>
      </c>
      <c r="U558" t="str">
        <f t="shared" si="2"/>
        <v/>
      </c>
      <c r="V558" t="str">
        <f>IF(OR(U558="",U558="ERRO_CHAVE"),"",IFERROR(MATCH(U558,Fornecedores!$AF$1:$AF$6631,0),""))</f>
        <v/>
      </c>
      <c r="W558" t="str">
        <f t="shared" si="3"/>
        <v/>
      </c>
      <c r="X558" s="4" t="str">
        <f>IF(V558="","",INDEX(Fornecedores!$X$1:$X$6631,V558))</f>
        <v/>
      </c>
      <c r="Y558" s="4" t="str">
        <f t="shared" si="4"/>
        <v/>
      </c>
    </row>
    <row r="559" spans="19:25">
      <c r="S559" t="str">
        <f t="shared" si="0"/>
        <v/>
      </c>
      <c r="T559" t="str">
        <f t="shared" si="1"/>
        <v/>
      </c>
      <c r="U559" t="str">
        <f t="shared" si="2"/>
        <v/>
      </c>
      <c r="V559" t="str">
        <f>IF(OR(U559="",U559="ERRO_CHAVE"),"",IFERROR(MATCH(U559,Fornecedores!$AF$1:$AF$6631,0),""))</f>
        <v/>
      </c>
      <c r="W559" t="str">
        <f t="shared" si="3"/>
        <v/>
      </c>
      <c r="X559" s="4" t="str">
        <f>IF(V559="","",INDEX(Fornecedores!$X$1:$X$6631,V559))</f>
        <v/>
      </c>
      <c r="Y559" s="4" t="str">
        <f t="shared" si="4"/>
        <v/>
      </c>
    </row>
    <row r="560" spans="19:25">
      <c r="S560" t="str">
        <f t="shared" si="0"/>
        <v/>
      </c>
      <c r="T560" t="str">
        <f t="shared" si="1"/>
        <v/>
      </c>
      <c r="U560" t="str">
        <f t="shared" si="2"/>
        <v/>
      </c>
      <c r="V560" t="str">
        <f>IF(OR(U560="",U560="ERRO_CHAVE"),"",IFERROR(MATCH(U560,Fornecedores!$AF$1:$AF$6631,0),""))</f>
        <v/>
      </c>
      <c r="W560" t="str">
        <f t="shared" si="3"/>
        <v/>
      </c>
      <c r="X560" s="4" t="str">
        <f>IF(V560="","",INDEX(Fornecedores!$X$1:$X$6631,V560))</f>
        <v/>
      </c>
      <c r="Y560" s="4" t="str">
        <f t="shared" si="4"/>
        <v/>
      </c>
    </row>
    <row r="561" spans="19:25">
      <c r="S561" t="str">
        <f t="shared" si="0"/>
        <v/>
      </c>
      <c r="T561" t="str">
        <f t="shared" si="1"/>
        <v/>
      </c>
      <c r="U561" t="str">
        <f t="shared" si="2"/>
        <v/>
      </c>
      <c r="V561" t="str">
        <f>IF(OR(U561="",U561="ERRO_CHAVE"),"",IFERROR(MATCH(U561,Fornecedores!$AF$1:$AF$6631,0),""))</f>
        <v/>
      </c>
      <c r="W561" t="str">
        <f t="shared" si="3"/>
        <v/>
      </c>
      <c r="X561" s="4" t="str">
        <f>IF(V561="","",INDEX(Fornecedores!$X$1:$X$6631,V561))</f>
        <v/>
      </c>
      <c r="Y561" s="4" t="str">
        <f t="shared" si="4"/>
        <v/>
      </c>
    </row>
    <row r="562" spans="19:25">
      <c r="S562" t="str">
        <f t="shared" si="0"/>
        <v/>
      </c>
      <c r="T562" t="str">
        <f t="shared" si="1"/>
        <v/>
      </c>
      <c r="U562" t="str">
        <f t="shared" si="2"/>
        <v/>
      </c>
      <c r="V562" t="str">
        <f>IF(OR(U562="",U562="ERRO_CHAVE"),"",IFERROR(MATCH(U562,Fornecedores!$AF$1:$AF$6631,0),""))</f>
        <v/>
      </c>
      <c r="W562" t="str">
        <f t="shared" si="3"/>
        <v/>
      </c>
      <c r="X562" s="4" t="str">
        <f>IF(V562="","",INDEX(Fornecedores!$X$1:$X$6631,V562))</f>
        <v/>
      </c>
      <c r="Y562" s="4" t="str">
        <f t="shared" si="4"/>
        <v/>
      </c>
    </row>
    <row r="563" spans="19:25">
      <c r="S563" t="str">
        <f t="shared" si="0"/>
        <v/>
      </c>
      <c r="T563" t="str">
        <f t="shared" si="1"/>
        <v/>
      </c>
      <c r="U563" t="str">
        <f t="shared" si="2"/>
        <v/>
      </c>
      <c r="V563" t="str">
        <f>IF(OR(U563="",U563="ERRO_CHAVE"),"",IFERROR(MATCH(U563,Fornecedores!$AF$1:$AF$6631,0),""))</f>
        <v/>
      </c>
      <c r="W563" t="str">
        <f t="shared" si="3"/>
        <v/>
      </c>
      <c r="X563" s="4" t="str">
        <f>IF(V563="","",INDEX(Fornecedores!$X$1:$X$6631,V563))</f>
        <v/>
      </c>
      <c r="Y563" s="4" t="str">
        <f t="shared" si="4"/>
        <v/>
      </c>
    </row>
    <row r="564" spans="19:25">
      <c r="S564" t="str">
        <f t="shared" si="0"/>
        <v/>
      </c>
      <c r="T564" t="str">
        <f t="shared" si="1"/>
        <v/>
      </c>
      <c r="U564" t="str">
        <f t="shared" si="2"/>
        <v/>
      </c>
      <c r="V564" t="str">
        <f>IF(OR(U564="",U564="ERRO_CHAVE"),"",IFERROR(MATCH(U564,Fornecedores!$AF$1:$AF$6631,0),""))</f>
        <v/>
      </c>
      <c r="W564" t="str">
        <f t="shared" si="3"/>
        <v/>
      </c>
      <c r="X564" s="4" t="str">
        <f>IF(V564="","",INDEX(Fornecedores!$X$1:$X$6631,V564))</f>
        <v/>
      </c>
      <c r="Y564" s="4" t="str">
        <f t="shared" si="4"/>
        <v/>
      </c>
    </row>
    <row r="565" spans="19:25">
      <c r="S565" t="str">
        <f t="shared" si="0"/>
        <v/>
      </c>
      <c r="T565" t="str">
        <f t="shared" si="1"/>
        <v/>
      </c>
      <c r="U565" t="str">
        <f t="shared" si="2"/>
        <v/>
      </c>
      <c r="V565" t="str">
        <f>IF(OR(U565="",U565="ERRO_CHAVE"),"",IFERROR(MATCH(U565,Fornecedores!$AF$1:$AF$6631,0),""))</f>
        <v/>
      </c>
      <c r="W565" t="str">
        <f t="shared" si="3"/>
        <v/>
      </c>
      <c r="X565" s="4" t="str">
        <f>IF(V565="","",INDEX(Fornecedores!$X$1:$X$6631,V565))</f>
        <v/>
      </c>
      <c r="Y565" s="4" t="str">
        <f t="shared" si="4"/>
        <v/>
      </c>
    </row>
    <row r="566" spans="19:25">
      <c r="S566" t="str">
        <f t="shared" si="0"/>
        <v/>
      </c>
      <c r="T566" t="str">
        <f t="shared" si="1"/>
        <v/>
      </c>
      <c r="U566" t="str">
        <f t="shared" si="2"/>
        <v/>
      </c>
      <c r="V566" t="str">
        <f>IF(OR(U566="",U566="ERRO_CHAVE"),"",IFERROR(MATCH(U566,Fornecedores!$AF$1:$AF$6631,0),""))</f>
        <v/>
      </c>
      <c r="W566" t="str">
        <f t="shared" si="3"/>
        <v/>
      </c>
      <c r="X566" s="4" t="str">
        <f>IF(V566="","",INDEX(Fornecedores!$X$1:$X$6631,V566))</f>
        <v/>
      </c>
      <c r="Y566" s="4" t="str">
        <f t="shared" si="4"/>
        <v/>
      </c>
    </row>
    <row r="567" spans="19:25">
      <c r="S567" t="str">
        <f t="shared" si="0"/>
        <v/>
      </c>
      <c r="T567" t="str">
        <f t="shared" si="1"/>
        <v/>
      </c>
      <c r="U567" t="str">
        <f t="shared" si="2"/>
        <v/>
      </c>
      <c r="V567" t="str">
        <f>IF(OR(U567="",U567="ERRO_CHAVE"),"",IFERROR(MATCH(U567,Fornecedores!$AF$1:$AF$6631,0),""))</f>
        <v/>
      </c>
      <c r="W567" t="str">
        <f t="shared" si="3"/>
        <v/>
      </c>
      <c r="X567" s="4" t="str">
        <f>IF(V567="","",INDEX(Fornecedores!$X$1:$X$6631,V567))</f>
        <v/>
      </c>
      <c r="Y567" s="4" t="str">
        <f t="shared" si="4"/>
        <v/>
      </c>
    </row>
    <row r="568" spans="19:25">
      <c r="S568" t="str">
        <f t="shared" si="0"/>
        <v/>
      </c>
      <c r="T568" t="str">
        <f t="shared" si="1"/>
        <v/>
      </c>
      <c r="U568" t="str">
        <f t="shared" si="2"/>
        <v/>
      </c>
      <c r="V568" t="str">
        <f>IF(OR(U568="",U568="ERRO_CHAVE"),"",IFERROR(MATCH(U568,Fornecedores!$AF$1:$AF$6631,0),""))</f>
        <v/>
      </c>
      <c r="W568" t="str">
        <f t="shared" si="3"/>
        <v/>
      </c>
      <c r="X568" s="4" t="str">
        <f>IF(V568="","",INDEX(Fornecedores!$X$1:$X$6631,V568))</f>
        <v/>
      </c>
      <c r="Y568" s="4" t="str">
        <f t="shared" si="4"/>
        <v/>
      </c>
    </row>
    <row r="569" spans="19:25">
      <c r="S569" t="str">
        <f t="shared" si="0"/>
        <v/>
      </c>
      <c r="T569" t="str">
        <f t="shared" si="1"/>
        <v/>
      </c>
      <c r="U569" t="str">
        <f t="shared" si="2"/>
        <v/>
      </c>
      <c r="V569" t="str">
        <f>IF(OR(U569="",U569="ERRO_CHAVE"),"",IFERROR(MATCH(U569,Fornecedores!$AF$1:$AF$6631,0),""))</f>
        <v/>
      </c>
      <c r="W569" t="str">
        <f t="shared" si="3"/>
        <v/>
      </c>
      <c r="X569" s="4" t="str">
        <f>IF(V569="","",INDEX(Fornecedores!$X$1:$X$6631,V569))</f>
        <v/>
      </c>
      <c r="Y569" s="4" t="str">
        <f t="shared" si="4"/>
        <v/>
      </c>
    </row>
    <row r="570" spans="19:25">
      <c r="S570" t="str">
        <f t="shared" si="0"/>
        <v/>
      </c>
      <c r="T570" t="str">
        <f t="shared" si="1"/>
        <v/>
      </c>
      <c r="U570" t="str">
        <f t="shared" si="2"/>
        <v/>
      </c>
      <c r="V570" t="str">
        <f>IF(OR(U570="",U570="ERRO_CHAVE"),"",IFERROR(MATCH(U570,Fornecedores!$AF$1:$AF$6631,0),""))</f>
        <v/>
      </c>
      <c r="W570" t="str">
        <f t="shared" si="3"/>
        <v/>
      </c>
      <c r="X570" s="4" t="str">
        <f>IF(V570="","",INDEX(Fornecedores!$X$1:$X$6631,V570))</f>
        <v/>
      </c>
      <c r="Y570" s="4" t="str">
        <f t="shared" si="4"/>
        <v/>
      </c>
    </row>
    <row r="571" spans="19:25">
      <c r="S571" t="str">
        <f t="shared" si="0"/>
        <v/>
      </c>
      <c r="T571" t="str">
        <f t="shared" si="1"/>
        <v/>
      </c>
      <c r="U571" t="str">
        <f t="shared" si="2"/>
        <v/>
      </c>
      <c r="V571" t="str">
        <f>IF(OR(U571="",U571="ERRO_CHAVE"),"",IFERROR(MATCH(U571,Fornecedores!$AF$1:$AF$6631,0),""))</f>
        <v/>
      </c>
      <c r="W571" t="str">
        <f t="shared" si="3"/>
        <v/>
      </c>
      <c r="X571" s="4" t="str">
        <f>IF(V571="","",INDEX(Fornecedores!$X$1:$X$6631,V571))</f>
        <v/>
      </c>
      <c r="Y571" s="4" t="str">
        <f t="shared" si="4"/>
        <v/>
      </c>
    </row>
    <row r="572" spans="19:25">
      <c r="S572" t="str">
        <f t="shared" si="0"/>
        <v/>
      </c>
      <c r="T572" t="str">
        <f t="shared" si="1"/>
        <v/>
      </c>
      <c r="U572" t="str">
        <f t="shared" si="2"/>
        <v/>
      </c>
      <c r="V572" t="str">
        <f>IF(OR(U572="",U572="ERRO_CHAVE"),"",IFERROR(MATCH(U572,Fornecedores!$AF$1:$AF$6631,0),""))</f>
        <v/>
      </c>
      <c r="W572" t="str">
        <f t="shared" si="3"/>
        <v/>
      </c>
      <c r="X572" s="4" t="str">
        <f>IF(V572="","",INDEX(Fornecedores!$X$1:$X$6631,V572))</f>
        <v/>
      </c>
      <c r="Y572" s="4" t="str">
        <f t="shared" si="4"/>
        <v/>
      </c>
    </row>
    <row r="573" spans="19:25">
      <c r="S573" t="str">
        <f t="shared" si="0"/>
        <v/>
      </c>
      <c r="T573" t="str">
        <f t="shared" si="1"/>
        <v/>
      </c>
      <c r="U573" t="str">
        <f t="shared" si="2"/>
        <v/>
      </c>
      <c r="V573" t="str">
        <f>IF(OR(U573="",U573="ERRO_CHAVE"),"",IFERROR(MATCH(U573,Fornecedores!$AF$1:$AF$6631,0),""))</f>
        <v/>
      </c>
      <c r="W573" t="str">
        <f t="shared" si="3"/>
        <v/>
      </c>
      <c r="X573" s="4" t="str">
        <f>IF(V573="","",INDEX(Fornecedores!$X$1:$X$6631,V573))</f>
        <v/>
      </c>
      <c r="Y573" s="4" t="str">
        <f t="shared" si="4"/>
        <v/>
      </c>
    </row>
    <row r="574" spans="19:25">
      <c r="S574" t="str">
        <f t="shared" si="0"/>
        <v/>
      </c>
      <c r="T574" t="str">
        <f t="shared" si="1"/>
        <v/>
      </c>
      <c r="U574" t="str">
        <f t="shared" si="2"/>
        <v/>
      </c>
      <c r="V574" t="str">
        <f>IF(OR(U574="",U574="ERRO_CHAVE"),"",IFERROR(MATCH(U574,Fornecedores!$AF$1:$AF$6631,0),""))</f>
        <v/>
      </c>
      <c r="W574" t="str">
        <f t="shared" si="3"/>
        <v/>
      </c>
      <c r="X574" s="4" t="str">
        <f>IF(V574="","",INDEX(Fornecedores!$X$1:$X$6631,V574))</f>
        <v/>
      </c>
      <c r="Y574" s="4" t="str">
        <f t="shared" si="4"/>
        <v/>
      </c>
    </row>
    <row r="575" spans="19:25">
      <c r="S575" t="str">
        <f t="shared" si="0"/>
        <v/>
      </c>
      <c r="T575" t="str">
        <f t="shared" si="1"/>
        <v/>
      </c>
      <c r="U575" t="str">
        <f t="shared" si="2"/>
        <v/>
      </c>
      <c r="V575" t="str">
        <f>IF(OR(U575="",U575="ERRO_CHAVE"),"",IFERROR(MATCH(U575,Fornecedores!$AF$1:$AF$6631,0),""))</f>
        <v/>
      </c>
      <c r="W575" t="str">
        <f t="shared" si="3"/>
        <v/>
      </c>
      <c r="X575" s="4" t="str">
        <f>IF(V575="","",INDEX(Fornecedores!$X$1:$X$6631,V575))</f>
        <v/>
      </c>
      <c r="Y575" s="4" t="str">
        <f t="shared" si="4"/>
        <v/>
      </c>
    </row>
    <row r="576" spans="19:25">
      <c r="S576" t="str">
        <f t="shared" si="0"/>
        <v/>
      </c>
      <c r="T576" t="str">
        <f t="shared" si="1"/>
        <v/>
      </c>
      <c r="U576" t="str">
        <f t="shared" si="2"/>
        <v/>
      </c>
      <c r="V576" t="str">
        <f>IF(OR(U576="",U576="ERRO_CHAVE"),"",IFERROR(MATCH(U576,Fornecedores!$AF$1:$AF$6631,0),""))</f>
        <v/>
      </c>
      <c r="W576" t="str">
        <f t="shared" si="3"/>
        <v/>
      </c>
      <c r="X576" s="4" t="str">
        <f>IF(V576="","",INDEX(Fornecedores!$X$1:$X$6631,V576))</f>
        <v/>
      </c>
      <c r="Y576" s="4" t="str">
        <f t="shared" si="4"/>
        <v/>
      </c>
    </row>
    <row r="577" spans="19:25">
      <c r="S577" t="str">
        <f t="shared" si="0"/>
        <v/>
      </c>
      <c r="T577" t="str">
        <f t="shared" si="1"/>
        <v/>
      </c>
      <c r="U577" t="str">
        <f t="shared" si="2"/>
        <v/>
      </c>
      <c r="V577" t="str">
        <f>IF(OR(U577="",U577="ERRO_CHAVE"),"",IFERROR(MATCH(U577,Fornecedores!$AF$1:$AF$6631,0),""))</f>
        <v/>
      </c>
      <c r="W577" t="str">
        <f t="shared" si="3"/>
        <v/>
      </c>
      <c r="X577" s="4" t="str">
        <f>IF(V577="","",INDEX(Fornecedores!$X$1:$X$6631,V577))</f>
        <v/>
      </c>
      <c r="Y577" s="4" t="str">
        <f t="shared" si="4"/>
        <v/>
      </c>
    </row>
    <row r="578" spans="19:25">
      <c r="S578" t="str">
        <f t="shared" si="0"/>
        <v/>
      </c>
      <c r="T578" t="str">
        <f t="shared" si="1"/>
        <v/>
      </c>
      <c r="U578" t="str">
        <f t="shared" si="2"/>
        <v/>
      </c>
      <c r="V578" t="str">
        <f>IF(OR(U578="",U578="ERRO_CHAVE"),"",IFERROR(MATCH(U578,Fornecedores!$AF$1:$AF$6631,0),""))</f>
        <v/>
      </c>
      <c r="W578" t="str">
        <f t="shared" si="3"/>
        <v/>
      </c>
      <c r="X578" s="4" t="str">
        <f>IF(V578="","",INDEX(Fornecedores!$X$1:$X$6631,V578))</f>
        <v/>
      </c>
      <c r="Y578" s="4" t="str">
        <f t="shared" si="4"/>
        <v/>
      </c>
    </row>
    <row r="579" spans="19:25">
      <c r="S579" t="str">
        <f t="shared" si="0"/>
        <v/>
      </c>
      <c r="T579" t="str">
        <f t="shared" si="1"/>
        <v/>
      </c>
      <c r="U579" t="str">
        <f t="shared" si="2"/>
        <v/>
      </c>
      <c r="V579" t="str">
        <f>IF(OR(U579="",U579="ERRO_CHAVE"),"",IFERROR(MATCH(U579,Fornecedores!$AF$1:$AF$6631,0),""))</f>
        <v/>
      </c>
      <c r="W579" t="str">
        <f t="shared" si="3"/>
        <v/>
      </c>
      <c r="X579" s="4" t="str">
        <f>IF(V579="","",INDEX(Fornecedores!$X$1:$X$6631,V579))</f>
        <v/>
      </c>
      <c r="Y579" s="4" t="str">
        <f t="shared" si="4"/>
        <v/>
      </c>
    </row>
    <row r="580" spans="19:25">
      <c r="S580" t="str">
        <f t="shared" si="0"/>
        <v/>
      </c>
      <c r="T580" t="str">
        <f t="shared" si="1"/>
        <v/>
      </c>
      <c r="U580" t="str">
        <f t="shared" si="2"/>
        <v/>
      </c>
      <c r="V580" t="str">
        <f>IF(OR(U580="",U580="ERRO_CHAVE"),"",IFERROR(MATCH(U580,Fornecedores!$AF$1:$AF$6631,0),""))</f>
        <v/>
      </c>
      <c r="W580" t="str">
        <f t="shared" si="3"/>
        <v/>
      </c>
      <c r="X580" s="4" t="str">
        <f>IF(V580="","",INDEX(Fornecedores!$X$1:$X$6631,V580))</f>
        <v/>
      </c>
      <c r="Y580" s="4" t="str">
        <f t="shared" si="4"/>
        <v/>
      </c>
    </row>
    <row r="581" spans="19:25">
      <c r="S581" t="str">
        <f t="shared" si="0"/>
        <v/>
      </c>
      <c r="T581" t="str">
        <f t="shared" si="1"/>
        <v/>
      </c>
      <c r="U581" t="str">
        <f t="shared" si="2"/>
        <v/>
      </c>
      <c r="V581" t="str">
        <f>IF(OR(U581="",U581="ERRO_CHAVE"),"",IFERROR(MATCH(U581,Fornecedores!$AF$1:$AF$6631,0),""))</f>
        <v/>
      </c>
      <c r="W581" t="str">
        <f t="shared" si="3"/>
        <v/>
      </c>
      <c r="X581" s="4" t="str">
        <f>IF(V581="","",INDEX(Fornecedores!$X$1:$X$6631,V581))</f>
        <v/>
      </c>
      <c r="Y581" s="4" t="str">
        <f t="shared" si="4"/>
        <v/>
      </c>
    </row>
    <row r="582" spans="19:25">
      <c r="S582" t="str">
        <f t="shared" si="0"/>
        <v/>
      </c>
      <c r="T582" t="str">
        <f t="shared" si="1"/>
        <v/>
      </c>
      <c r="U582" t="str">
        <f t="shared" si="2"/>
        <v/>
      </c>
      <c r="V582" t="str">
        <f>IF(OR(U582="",U582="ERRO_CHAVE"),"",IFERROR(MATCH(U582,Fornecedores!$AF$1:$AF$6631,0),""))</f>
        <v/>
      </c>
      <c r="W582" t="str">
        <f t="shared" si="3"/>
        <v/>
      </c>
      <c r="X582" s="4" t="str">
        <f>IF(V582="","",INDEX(Fornecedores!$X$1:$X$6631,V582))</f>
        <v/>
      </c>
      <c r="Y582" s="4" t="str">
        <f t="shared" si="4"/>
        <v/>
      </c>
    </row>
    <row r="583" spans="19:25">
      <c r="S583" t="str">
        <f t="shared" si="0"/>
        <v/>
      </c>
      <c r="T583" t="str">
        <f t="shared" si="1"/>
        <v/>
      </c>
      <c r="U583" t="str">
        <f t="shared" si="2"/>
        <v/>
      </c>
      <c r="V583" t="str">
        <f>IF(OR(U583="",U583="ERRO_CHAVE"),"",IFERROR(MATCH(U583,Fornecedores!$AF$1:$AF$6631,0),""))</f>
        <v/>
      </c>
      <c r="W583" t="str">
        <f t="shared" si="3"/>
        <v/>
      </c>
      <c r="X583" s="4" t="str">
        <f>IF(V583="","",INDEX(Fornecedores!$X$1:$X$6631,V583))</f>
        <v/>
      </c>
      <c r="Y583" s="4" t="str">
        <f t="shared" si="4"/>
        <v/>
      </c>
    </row>
    <row r="584" spans="19:25">
      <c r="S584" t="str">
        <f t="shared" si="0"/>
        <v/>
      </c>
      <c r="T584" t="str">
        <f t="shared" si="1"/>
        <v/>
      </c>
      <c r="U584" t="str">
        <f t="shared" si="2"/>
        <v/>
      </c>
      <c r="V584" t="str">
        <f>IF(OR(U584="",U584="ERRO_CHAVE"),"",IFERROR(MATCH(U584,Fornecedores!$AF$1:$AF$6631,0),""))</f>
        <v/>
      </c>
      <c r="W584" t="str">
        <f t="shared" si="3"/>
        <v/>
      </c>
      <c r="X584" s="4" t="str">
        <f>IF(V584="","",INDEX(Fornecedores!$X$1:$X$6631,V584))</f>
        <v/>
      </c>
      <c r="Y584" s="4" t="str">
        <f t="shared" si="4"/>
        <v/>
      </c>
    </row>
    <row r="585" spans="19:25">
      <c r="S585" t="str">
        <f t="shared" si="0"/>
        <v/>
      </c>
      <c r="T585" t="str">
        <f t="shared" si="1"/>
        <v/>
      </c>
      <c r="U585" t="str">
        <f t="shared" si="2"/>
        <v/>
      </c>
      <c r="V585" t="str">
        <f>IF(OR(U585="",U585="ERRO_CHAVE"),"",IFERROR(MATCH(U585,Fornecedores!$AF$1:$AF$6631,0),""))</f>
        <v/>
      </c>
      <c r="W585" t="str">
        <f t="shared" si="3"/>
        <v/>
      </c>
      <c r="X585" s="4" t="str">
        <f>IF(V585="","",INDEX(Fornecedores!$X$1:$X$6631,V585))</f>
        <v/>
      </c>
      <c r="Y585" s="4" t="str">
        <f t="shared" si="4"/>
        <v/>
      </c>
    </row>
    <row r="586" spans="19:25">
      <c r="S586" t="str">
        <f t="shared" si="0"/>
        <v/>
      </c>
      <c r="T586" t="str">
        <f t="shared" si="1"/>
        <v/>
      </c>
      <c r="U586" t="str">
        <f t="shared" si="2"/>
        <v/>
      </c>
      <c r="V586" t="str">
        <f>IF(OR(U586="",U586="ERRO_CHAVE"),"",IFERROR(MATCH(U586,Fornecedores!$AF$1:$AF$6631,0),""))</f>
        <v/>
      </c>
      <c r="W586" t="str">
        <f t="shared" si="3"/>
        <v/>
      </c>
      <c r="X586" s="4" t="str">
        <f>IF(V586="","",INDEX(Fornecedores!$X$1:$X$6631,V586))</f>
        <v/>
      </c>
      <c r="Y586" s="4" t="str">
        <f t="shared" si="4"/>
        <v/>
      </c>
    </row>
    <row r="587" spans="19:25">
      <c r="S587" t="str">
        <f t="shared" si="0"/>
        <v/>
      </c>
      <c r="T587" t="str">
        <f t="shared" si="1"/>
        <v/>
      </c>
      <c r="U587" t="str">
        <f t="shared" si="2"/>
        <v/>
      </c>
      <c r="V587" t="str">
        <f>IF(OR(U587="",U587="ERRO_CHAVE"),"",IFERROR(MATCH(U587,Fornecedores!$AF$1:$AF$6631,0),""))</f>
        <v/>
      </c>
      <c r="W587" t="str">
        <f t="shared" si="3"/>
        <v/>
      </c>
      <c r="X587" s="4" t="str">
        <f>IF(V587="","",INDEX(Fornecedores!$X$1:$X$6631,V587))</f>
        <v/>
      </c>
      <c r="Y587" s="4" t="str">
        <f t="shared" si="4"/>
        <v/>
      </c>
    </row>
    <row r="588" spans="19:25">
      <c r="S588" t="str">
        <f t="shared" si="0"/>
        <v/>
      </c>
      <c r="T588" t="str">
        <f t="shared" si="1"/>
        <v/>
      </c>
      <c r="U588" t="str">
        <f t="shared" si="2"/>
        <v/>
      </c>
      <c r="V588" t="str">
        <f>IF(OR(U588="",U588="ERRO_CHAVE"),"",IFERROR(MATCH(U588,Fornecedores!$AF$1:$AF$6631,0),""))</f>
        <v/>
      </c>
      <c r="W588" t="str">
        <f t="shared" si="3"/>
        <v/>
      </c>
      <c r="X588" s="4" t="str">
        <f>IF(V588="","",INDEX(Fornecedores!$X$1:$X$6631,V588))</f>
        <v/>
      </c>
      <c r="Y588" s="4" t="str">
        <f t="shared" si="4"/>
        <v/>
      </c>
    </row>
    <row r="589" spans="19:25">
      <c r="S589" t="str">
        <f t="shared" si="0"/>
        <v/>
      </c>
      <c r="T589" t="str">
        <f t="shared" si="1"/>
        <v/>
      </c>
      <c r="U589" t="str">
        <f t="shared" si="2"/>
        <v/>
      </c>
      <c r="V589" t="str">
        <f>IF(OR(U589="",U589="ERRO_CHAVE"),"",IFERROR(MATCH(U589,Fornecedores!$AF$1:$AF$6631,0),""))</f>
        <v/>
      </c>
      <c r="W589" t="str">
        <f t="shared" si="3"/>
        <v/>
      </c>
      <c r="X589" s="4" t="str">
        <f>IF(V589="","",INDEX(Fornecedores!$X$1:$X$6631,V589))</f>
        <v/>
      </c>
      <c r="Y589" s="4" t="str">
        <f t="shared" si="4"/>
        <v/>
      </c>
    </row>
    <row r="590" spans="19:25">
      <c r="S590" t="str">
        <f t="shared" si="0"/>
        <v/>
      </c>
      <c r="T590" t="str">
        <f t="shared" si="1"/>
        <v/>
      </c>
      <c r="U590" t="str">
        <f t="shared" si="2"/>
        <v/>
      </c>
      <c r="V590" t="str">
        <f>IF(OR(U590="",U590="ERRO_CHAVE"),"",IFERROR(MATCH(U590,Fornecedores!$AF$1:$AF$6631,0),""))</f>
        <v/>
      </c>
      <c r="W590" t="str">
        <f t="shared" si="3"/>
        <v/>
      </c>
      <c r="X590" s="4" t="str">
        <f>IF(V590="","",INDEX(Fornecedores!$X$1:$X$6631,V590))</f>
        <v/>
      </c>
      <c r="Y590" s="4" t="str">
        <f t="shared" si="4"/>
        <v/>
      </c>
    </row>
    <row r="591" spans="19:25">
      <c r="S591" t="str">
        <f t="shared" si="0"/>
        <v/>
      </c>
      <c r="T591" t="str">
        <f t="shared" si="1"/>
        <v/>
      </c>
      <c r="U591" t="str">
        <f t="shared" si="2"/>
        <v/>
      </c>
      <c r="V591" t="str">
        <f>IF(OR(U591="",U591="ERRO_CHAVE"),"",IFERROR(MATCH(U591,Fornecedores!$AF$1:$AF$6631,0),""))</f>
        <v/>
      </c>
      <c r="W591" t="str">
        <f t="shared" si="3"/>
        <v/>
      </c>
      <c r="X591" s="4" t="str">
        <f>IF(V591="","",INDEX(Fornecedores!$X$1:$X$6631,V591))</f>
        <v/>
      </c>
      <c r="Y591" s="4" t="str">
        <f t="shared" si="4"/>
        <v/>
      </c>
    </row>
    <row r="592" spans="19:25">
      <c r="S592" t="str">
        <f t="shared" si="0"/>
        <v/>
      </c>
      <c r="T592" t="str">
        <f t="shared" si="1"/>
        <v/>
      </c>
      <c r="U592" t="str">
        <f t="shared" si="2"/>
        <v/>
      </c>
      <c r="V592" t="str">
        <f>IF(OR(U592="",U592="ERRO_CHAVE"),"",IFERROR(MATCH(U592,Fornecedores!$AF$1:$AF$6631,0),""))</f>
        <v/>
      </c>
      <c r="W592" t="str">
        <f t="shared" si="3"/>
        <v/>
      </c>
      <c r="X592" s="4" t="str">
        <f>IF(V592="","",INDEX(Fornecedores!$X$1:$X$6631,V592))</f>
        <v/>
      </c>
      <c r="Y592" s="4" t="str">
        <f t="shared" si="4"/>
        <v/>
      </c>
    </row>
    <row r="593" spans="19:25">
      <c r="S593" t="str">
        <f t="shared" si="0"/>
        <v/>
      </c>
      <c r="T593" t="str">
        <f t="shared" si="1"/>
        <v/>
      </c>
      <c r="U593" t="str">
        <f t="shared" si="2"/>
        <v/>
      </c>
      <c r="V593" t="str">
        <f>IF(OR(U593="",U593="ERRO_CHAVE"),"",IFERROR(MATCH(U593,Fornecedores!$AF$1:$AF$6631,0),""))</f>
        <v/>
      </c>
      <c r="W593" t="str">
        <f t="shared" si="3"/>
        <v/>
      </c>
      <c r="X593" s="4" t="str">
        <f>IF(V593="","",INDEX(Fornecedores!$X$1:$X$6631,V593))</f>
        <v/>
      </c>
      <c r="Y593" s="4" t="str">
        <f t="shared" si="4"/>
        <v/>
      </c>
    </row>
    <row r="594" spans="19:25">
      <c r="S594" t="str">
        <f t="shared" si="0"/>
        <v/>
      </c>
      <c r="T594" t="str">
        <f t="shared" si="1"/>
        <v/>
      </c>
      <c r="U594" t="str">
        <f t="shared" si="2"/>
        <v/>
      </c>
      <c r="V594" t="str">
        <f>IF(OR(U594="",U594="ERRO_CHAVE"),"",IFERROR(MATCH(U594,Fornecedores!$AF$1:$AF$6631,0),""))</f>
        <v/>
      </c>
      <c r="W594" t="str">
        <f t="shared" si="3"/>
        <v/>
      </c>
      <c r="X594" s="4" t="str">
        <f>IF(V594="","",INDEX(Fornecedores!$X$1:$X$6631,V594))</f>
        <v/>
      </c>
      <c r="Y594" s="4" t="str">
        <f t="shared" si="4"/>
        <v/>
      </c>
    </row>
    <row r="595" spans="19:25">
      <c r="S595" t="str">
        <f t="shared" si="0"/>
        <v/>
      </c>
      <c r="T595" t="str">
        <f t="shared" si="1"/>
        <v/>
      </c>
      <c r="U595" t="str">
        <f t="shared" si="2"/>
        <v/>
      </c>
      <c r="V595" t="str">
        <f>IF(OR(U595="",U595="ERRO_CHAVE"),"",IFERROR(MATCH(U595,Fornecedores!$AF$1:$AF$6631,0),""))</f>
        <v/>
      </c>
      <c r="W595" t="str">
        <f t="shared" si="3"/>
        <v/>
      </c>
      <c r="X595" s="4" t="str">
        <f>IF(V595="","",INDEX(Fornecedores!$X$1:$X$6631,V595))</f>
        <v/>
      </c>
      <c r="Y595" s="4" t="str">
        <f t="shared" si="4"/>
        <v/>
      </c>
    </row>
    <row r="596" spans="19:25">
      <c r="S596" t="str">
        <f t="shared" si="0"/>
        <v/>
      </c>
      <c r="T596" t="str">
        <f t="shared" si="1"/>
        <v/>
      </c>
      <c r="U596" t="str">
        <f t="shared" si="2"/>
        <v/>
      </c>
      <c r="V596" t="str">
        <f>IF(OR(U596="",U596="ERRO_CHAVE"),"",IFERROR(MATCH(U596,Fornecedores!$AF$1:$AF$6631,0),""))</f>
        <v/>
      </c>
      <c r="W596" t="str">
        <f t="shared" si="3"/>
        <v/>
      </c>
      <c r="X596" s="4" t="str">
        <f>IF(V596="","",INDEX(Fornecedores!$X$1:$X$6631,V596))</f>
        <v/>
      </c>
      <c r="Y596" s="4" t="str">
        <f t="shared" si="4"/>
        <v/>
      </c>
    </row>
    <row r="597" spans="19:25">
      <c r="S597" t="str">
        <f t="shared" si="0"/>
        <v/>
      </c>
      <c r="T597" t="str">
        <f t="shared" si="1"/>
        <v/>
      </c>
      <c r="U597" t="str">
        <f t="shared" si="2"/>
        <v/>
      </c>
      <c r="V597" t="str">
        <f>IF(OR(U597="",U597="ERRO_CHAVE"),"",IFERROR(MATCH(U597,Fornecedores!$AF$1:$AF$6631,0),""))</f>
        <v/>
      </c>
      <c r="W597" t="str">
        <f t="shared" si="3"/>
        <v/>
      </c>
      <c r="X597" s="4" t="str">
        <f>IF(V597="","",INDEX(Fornecedores!$X$1:$X$6631,V597))</f>
        <v/>
      </c>
      <c r="Y597" s="4" t="str">
        <f t="shared" si="4"/>
        <v/>
      </c>
    </row>
    <row r="598" spans="19:25">
      <c r="S598" t="str">
        <f t="shared" si="0"/>
        <v/>
      </c>
      <c r="T598" t="str">
        <f t="shared" si="1"/>
        <v/>
      </c>
      <c r="U598" t="str">
        <f t="shared" si="2"/>
        <v/>
      </c>
      <c r="V598" t="str">
        <f>IF(OR(U598="",U598="ERRO_CHAVE"),"",IFERROR(MATCH(U598,Fornecedores!$AF$1:$AF$6631,0),""))</f>
        <v/>
      </c>
      <c r="W598" t="str">
        <f t="shared" si="3"/>
        <v/>
      </c>
      <c r="X598" s="4" t="str">
        <f>IF(V598="","",INDEX(Fornecedores!$X$1:$X$6631,V598))</f>
        <v/>
      </c>
      <c r="Y598" s="4" t="str">
        <f t="shared" si="4"/>
        <v/>
      </c>
    </row>
    <row r="599" spans="19:25">
      <c r="S599" t="str">
        <f t="shared" si="0"/>
        <v/>
      </c>
      <c r="T599" t="str">
        <f t="shared" si="1"/>
        <v/>
      </c>
      <c r="U599" t="str">
        <f t="shared" si="2"/>
        <v/>
      </c>
      <c r="V599" t="str">
        <f>IF(OR(U599="",U599="ERRO_CHAVE"),"",IFERROR(MATCH(U599,Fornecedores!$AF$1:$AF$6631,0),""))</f>
        <v/>
      </c>
      <c r="W599" t="str">
        <f t="shared" si="3"/>
        <v/>
      </c>
      <c r="X599" s="4" t="str">
        <f>IF(V599="","",INDEX(Fornecedores!$X$1:$X$6631,V599))</f>
        <v/>
      </c>
      <c r="Y599" s="4" t="str">
        <f t="shared" si="4"/>
        <v/>
      </c>
    </row>
    <row r="600" spans="19:25">
      <c r="S600" t="str">
        <f t="shared" si="0"/>
        <v/>
      </c>
      <c r="T600" t="str">
        <f t="shared" si="1"/>
        <v/>
      </c>
      <c r="U600" t="str">
        <f t="shared" si="2"/>
        <v/>
      </c>
      <c r="V600" t="str">
        <f>IF(OR(U600="",U600="ERRO_CHAVE"),"",IFERROR(MATCH(U600,Fornecedores!$AF$1:$AF$6631,0),""))</f>
        <v/>
      </c>
      <c r="W600" t="str">
        <f t="shared" si="3"/>
        <v/>
      </c>
      <c r="X600" s="4" t="str">
        <f>IF(V600="","",INDEX(Fornecedores!$X$1:$X$6631,V600))</f>
        <v/>
      </c>
      <c r="Y600" s="4" t="str">
        <f t="shared" si="4"/>
        <v/>
      </c>
    </row>
    <row r="601" spans="19:25">
      <c r="S601" t="str">
        <f t="shared" si="0"/>
        <v/>
      </c>
      <c r="T601" t="str">
        <f t="shared" si="1"/>
        <v/>
      </c>
      <c r="U601" t="str">
        <f t="shared" si="2"/>
        <v/>
      </c>
      <c r="V601" t="str">
        <f>IF(OR(U601="",U601="ERRO_CHAVE"),"",IFERROR(MATCH(U601,Fornecedores!$AF$1:$AF$6631,0),""))</f>
        <v/>
      </c>
      <c r="W601" t="str">
        <f t="shared" si="3"/>
        <v/>
      </c>
      <c r="X601" s="4" t="str">
        <f>IF(V601="","",INDEX(Fornecedores!$X$1:$X$6631,V601))</f>
        <v/>
      </c>
      <c r="Y601" s="4" t="str">
        <f t="shared" si="4"/>
        <v/>
      </c>
    </row>
    <row r="602" spans="19:25">
      <c r="S602" t="str">
        <f t="shared" si="0"/>
        <v/>
      </c>
      <c r="T602" t="str">
        <f t="shared" si="1"/>
        <v/>
      </c>
      <c r="U602" t="str">
        <f t="shared" si="2"/>
        <v/>
      </c>
      <c r="V602" t="str">
        <f>IF(OR(U602="",U602="ERRO_CHAVE"),"",IFERROR(MATCH(U602,Fornecedores!$AF$1:$AF$6631,0),""))</f>
        <v/>
      </c>
      <c r="W602" t="str">
        <f t="shared" si="3"/>
        <v/>
      </c>
      <c r="X602" s="4" t="str">
        <f>IF(V602="","",INDEX(Fornecedores!$X$1:$X$6631,V602))</f>
        <v/>
      </c>
      <c r="Y602" s="4" t="str">
        <f t="shared" si="4"/>
        <v/>
      </c>
    </row>
    <row r="603" spans="19:25">
      <c r="S603" t="str">
        <f t="shared" si="0"/>
        <v/>
      </c>
      <c r="T603" t="str">
        <f t="shared" si="1"/>
        <v/>
      </c>
      <c r="U603" t="str">
        <f t="shared" si="2"/>
        <v/>
      </c>
      <c r="V603" t="str">
        <f>IF(OR(U603="",U603="ERRO_CHAVE"),"",IFERROR(MATCH(U603,Fornecedores!$AF$1:$AF$6631,0),""))</f>
        <v/>
      </c>
      <c r="W603" t="str">
        <f t="shared" si="3"/>
        <v/>
      </c>
      <c r="X603" s="4" t="str">
        <f>IF(V603="","",INDEX(Fornecedores!$X$1:$X$6631,V603))</f>
        <v/>
      </c>
      <c r="Y603" s="4" t="str">
        <f t="shared" si="4"/>
        <v/>
      </c>
    </row>
    <row r="604" spans="19:25">
      <c r="S604" t="str">
        <f t="shared" si="0"/>
        <v/>
      </c>
      <c r="T604" t="str">
        <f t="shared" si="1"/>
        <v/>
      </c>
      <c r="U604" t="str">
        <f t="shared" si="2"/>
        <v/>
      </c>
      <c r="V604" t="str">
        <f>IF(OR(U604="",U604="ERRO_CHAVE"),"",IFERROR(MATCH(U604,Fornecedores!$AF$1:$AF$6631,0),""))</f>
        <v/>
      </c>
      <c r="W604" t="str">
        <f t="shared" si="3"/>
        <v/>
      </c>
      <c r="X604" s="4" t="str">
        <f>IF(V604="","",INDEX(Fornecedores!$X$1:$X$6631,V604))</f>
        <v/>
      </c>
      <c r="Y604" s="4" t="str">
        <f t="shared" si="4"/>
        <v/>
      </c>
    </row>
    <row r="605" spans="19:25">
      <c r="S605" t="str">
        <f t="shared" si="0"/>
        <v/>
      </c>
      <c r="T605" t="str">
        <f t="shared" si="1"/>
        <v/>
      </c>
      <c r="U605" t="str">
        <f t="shared" si="2"/>
        <v/>
      </c>
      <c r="V605" t="str">
        <f>IF(OR(U605="",U605="ERRO_CHAVE"),"",IFERROR(MATCH(U605,Fornecedores!$AF$1:$AF$6631,0),""))</f>
        <v/>
      </c>
      <c r="W605" t="str">
        <f t="shared" si="3"/>
        <v/>
      </c>
      <c r="X605" s="4" t="str">
        <f>IF(V605="","",INDEX(Fornecedores!$X$1:$X$6631,V605))</f>
        <v/>
      </c>
      <c r="Y605" s="4" t="str">
        <f t="shared" si="4"/>
        <v/>
      </c>
    </row>
    <row r="606" spans="19:25">
      <c r="S606" t="str">
        <f t="shared" si="0"/>
        <v/>
      </c>
      <c r="T606" t="str">
        <f t="shared" si="1"/>
        <v/>
      </c>
      <c r="U606" t="str">
        <f t="shared" si="2"/>
        <v/>
      </c>
      <c r="V606" t="str">
        <f>IF(OR(U606="",U606="ERRO_CHAVE"),"",IFERROR(MATCH(U606,Fornecedores!$AF$1:$AF$6631,0),""))</f>
        <v/>
      </c>
      <c r="W606" t="str">
        <f t="shared" si="3"/>
        <v/>
      </c>
      <c r="X606" s="4" t="str">
        <f>IF(V606="","",INDEX(Fornecedores!$X$1:$X$6631,V606))</f>
        <v/>
      </c>
      <c r="Y606" s="4" t="str">
        <f t="shared" si="4"/>
        <v/>
      </c>
    </row>
    <row r="607" spans="19:25">
      <c r="S607" t="str">
        <f t="shared" si="0"/>
        <v/>
      </c>
      <c r="T607" t="str">
        <f t="shared" si="1"/>
        <v/>
      </c>
      <c r="U607" t="str">
        <f t="shared" si="2"/>
        <v/>
      </c>
      <c r="V607" t="str">
        <f>IF(OR(U607="",U607="ERRO_CHAVE"),"",IFERROR(MATCH(U607,Fornecedores!$AF$1:$AF$6631,0),""))</f>
        <v/>
      </c>
      <c r="W607" t="str">
        <f t="shared" si="3"/>
        <v/>
      </c>
      <c r="X607" s="4" t="str">
        <f>IF(V607="","",INDEX(Fornecedores!$X$1:$X$6631,V607))</f>
        <v/>
      </c>
      <c r="Y607" s="4" t="str">
        <f t="shared" si="4"/>
        <v/>
      </c>
    </row>
    <row r="608" spans="19:25">
      <c r="S608" t="str">
        <f t="shared" si="0"/>
        <v/>
      </c>
      <c r="T608" t="str">
        <f t="shared" si="1"/>
        <v/>
      </c>
      <c r="U608" t="str">
        <f t="shared" si="2"/>
        <v/>
      </c>
      <c r="V608" t="str">
        <f>IF(OR(U608="",U608="ERRO_CHAVE"),"",IFERROR(MATCH(U608,Fornecedores!$AF$1:$AF$6631,0),""))</f>
        <v/>
      </c>
      <c r="W608" t="str">
        <f t="shared" si="3"/>
        <v/>
      </c>
      <c r="X608" s="4" t="str">
        <f>IF(V608="","",INDEX(Fornecedores!$X$1:$X$6631,V608))</f>
        <v/>
      </c>
      <c r="Y608" s="4" t="str">
        <f t="shared" si="4"/>
        <v/>
      </c>
    </row>
    <row r="609" spans="19:25">
      <c r="S609" t="str">
        <f t="shared" si="0"/>
        <v/>
      </c>
      <c r="T609" t="str">
        <f t="shared" si="1"/>
        <v/>
      </c>
      <c r="U609" t="str">
        <f t="shared" si="2"/>
        <v/>
      </c>
      <c r="V609" t="str">
        <f>IF(OR(U609="",U609="ERRO_CHAVE"),"",IFERROR(MATCH(U609,Fornecedores!$AF$1:$AF$6631,0),""))</f>
        <v/>
      </c>
      <c r="W609" t="str">
        <f t="shared" si="3"/>
        <v/>
      </c>
      <c r="X609" s="4" t="str">
        <f>IF(V609="","",INDEX(Fornecedores!$X$1:$X$6631,V609))</f>
        <v/>
      </c>
      <c r="Y609" s="4" t="str">
        <f t="shared" si="4"/>
        <v/>
      </c>
    </row>
    <row r="610" spans="19:25">
      <c r="S610" t="str">
        <f t="shared" si="0"/>
        <v/>
      </c>
      <c r="T610" t="str">
        <f t="shared" si="1"/>
        <v/>
      </c>
      <c r="U610" t="str">
        <f t="shared" si="2"/>
        <v/>
      </c>
      <c r="V610" t="str">
        <f>IF(OR(U610="",U610="ERRO_CHAVE"),"",IFERROR(MATCH(U610,Fornecedores!$AF$1:$AF$6631,0),""))</f>
        <v/>
      </c>
      <c r="W610" t="str">
        <f t="shared" si="3"/>
        <v/>
      </c>
      <c r="X610" s="4" t="str">
        <f>IF(V610="","",INDEX(Fornecedores!$X$1:$X$6631,V610))</f>
        <v/>
      </c>
      <c r="Y610" s="4" t="str">
        <f t="shared" si="4"/>
        <v/>
      </c>
    </row>
    <row r="611" spans="19:25">
      <c r="S611" t="str">
        <f t="shared" si="0"/>
        <v/>
      </c>
      <c r="T611" t="str">
        <f t="shared" si="1"/>
        <v/>
      </c>
      <c r="U611" t="str">
        <f t="shared" si="2"/>
        <v/>
      </c>
      <c r="V611" t="str">
        <f>IF(OR(U611="",U611="ERRO_CHAVE"),"",IFERROR(MATCH(U611,Fornecedores!$AF$1:$AF$6631,0),""))</f>
        <v/>
      </c>
      <c r="W611" t="str">
        <f t="shared" si="3"/>
        <v/>
      </c>
      <c r="X611" s="4" t="str">
        <f>IF(V611="","",INDEX(Fornecedores!$X$1:$X$6631,V611))</f>
        <v/>
      </c>
      <c r="Y611" s="4" t="str">
        <f t="shared" si="4"/>
        <v/>
      </c>
    </row>
    <row r="612" spans="19:25">
      <c r="S612" t="str">
        <f t="shared" si="0"/>
        <v/>
      </c>
      <c r="T612" t="str">
        <f t="shared" si="1"/>
        <v/>
      </c>
      <c r="U612" t="str">
        <f t="shared" si="2"/>
        <v/>
      </c>
      <c r="V612" t="str">
        <f>IF(OR(U612="",U612="ERRO_CHAVE"),"",IFERROR(MATCH(U612,Fornecedores!$AF$1:$AF$6631,0),""))</f>
        <v/>
      </c>
      <c r="W612" t="str">
        <f t="shared" si="3"/>
        <v/>
      </c>
      <c r="X612" s="4" t="str">
        <f>IF(V612="","",INDEX(Fornecedores!$X$1:$X$6631,V612))</f>
        <v/>
      </c>
      <c r="Y612" s="4" t="str">
        <f t="shared" si="4"/>
        <v/>
      </c>
    </row>
    <row r="613" spans="19:25">
      <c r="S613" t="str">
        <f t="shared" si="0"/>
        <v/>
      </c>
      <c r="T613" t="str">
        <f t="shared" si="1"/>
        <v/>
      </c>
      <c r="U613" t="str">
        <f t="shared" si="2"/>
        <v/>
      </c>
      <c r="V613" t="str">
        <f>IF(OR(U613="",U613="ERRO_CHAVE"),"",IFERROR(MATCH(U613,Fornecedores!$AF$1:$AF$6631,0),""))</f>
        <v/>
      </c>
      <c r="W613" t="str">
        <f t="shared" si="3"/>
        <v/>
      </c>
      <c r="X613" s="4" t="str">
        <f>IF(V613="","",INDEX(Fornecedores!$X$1:$X$6631,V613))</f>
        <v/>
      </c>
      <c r="Y613" s="4" t="str">
        <f t="shared" si="4"/>
        <v/>
      </c>
    </row>
    <row r="614" spans="19:25">
      <c r="S614" t="str">
        <f t="shared" si="0"/>
        <v/>
      </c>
      <c r="T614" t="str">
        <f t="shared" si="1"/>
        <v/>
      </c>
      <c r="U614" t="str">
        <f t="shared" si="2"/>
        <v/>
      </c>
      <c r="V614" t="str">
        <f>IF(OR(U614="",U614="ERRO_CHAVE"),"",IFERROR(MATCH(U614,Fornecedores!$AF$1:$AF$6631,0),""))</f>
        <v/>
      </c>
      <c r="W614" t="str">
        <f t="shared" si="3"/>
        <v/>
      </c>
      <c r="X614" s="4" t="str">
        <f>IF(V614="","",INDEX(Fornecedores!$X$1:$X$6631,V614))</f>
        <v/>
      </c>
      <c r="Y614" s="4" t="str">
        <f t="shared" si="4"/>
        <v/>
      </c>
    </row>
    <row r="615" spans="19:25">
      <c r="S615" t="str">
        <f t="shared" si="0"/>
        <v/>
      </c>
      <c r="T615" t="str">
        <f t="shared" si="1"/>
        <v/>
      </c>
      <c r="U615" t="str">
        <f t="shared" si="2"/>
        <v/>
      </c>
      <c r="V615" t="str">
        <f>IF(OR(U615="",U615="ERRO_CHAVE"),"",IFERROR(MATCH(U615,Fornecedores!$AF$1:$AF$6631,0),""))</f>
        <v/>
      </c>
      <c r="W615" t="str">
        <f t="shared" si="3"/>
        <v/>
      </c>
      <c r="X615" s="4" t="str">
        <f>IF(V615="","",INDEX(Fornecedores!$X$1:$X$6631,V615))</f>
        <v/>
      </c>
      <c r="Y615" s="4" t="str">
        <f t="shared" si="4"/>
        <v/>
      </c>
    </row>
    <row r="616" spans="19:25">
      <c r="S616" t="str">
        <f t="shared" si="0"/>
        <v/>
      </c>
      <c r="T616" t="str">
        <f t="shared" si="1"/>
        <v/>
      </c>
      <c r="U616" t="str">
        <f t="shared" si="2"/>
        <v/>
      </c>
      <c r="V616" t="str">
        <f>IF(OR(U616="",U616="ERRO_CHAVE"),"",IFERROR(MATCH(U616,Fornecedores!$AF$1:$AF$6631,0),""))</f>
        <v/>
      </c>
      <c r="W616" t="str">
        <f t="shared" si="3"/>
        <v/>
      </c>
      <c r="X616" s="4" t="str">
        <f>IF(V616="","",INDEX(Fornecedores!$X$1:$X$6631,V616))</f>
        <v/>
      </c>
      <c r="Y616" s="4" t="str">
        <f t="shared" si="4"/>
        <v/>
      </c>
    </row>
    <row r="617" spans="19:25">
      <c r="S617" t="str">
        <f t="shared" si="0"/>
        <v/>
      </c>
      <c r="T617" t="str">
        <f t="shared" si="1"/>
        <v/>
      </c>
      <c r="U617" t="str">
        <f t="shared" si="2"/>
        <v/>
      </c>
      <c r="V617" t="str">
        <f>IF(OR(U617="",U617="ERRO_CHAVE"),"",IFERROR(MATCH(U617,Fornecedores!$AF$1:$AF$6631,0),""))</f>
        <v/>
      </c>
      <c r="W617" t="str">
        <f t="shared" si="3"/>
        <v/>
      </c>
      <c r="X617" s="4" t="str">
        <f>IF(V617="","",INDEX(Fornecedores!$X$1:$X$6631,V617))</f>
        <v/>
      </c>
      <c r="Y617" s="4" t="str">
        <f t="shared" si="4"/>
        <v/>
      </c>
    </row>
    <row r="618" spans="19:25">
      <c r="S618" t="str">
        <f t="shared" si="0"/>
        <v/>
      </c>
      <c r="T618" t="str">
        <f t="shared" si="1"/>
        <v/>
      </c>
      <c r="U618" t="str">
        <f t="shared" si="2"/>
        <v/>
      </c>
      <c r="V618" t="str">
        <f>IF(OR(U618="",U618="ERRO_CHAVE"),"",IFERROR(MATCH(U618,Fornecedores!$AF$1:$AF$6631,0),""))</f>
        <v/>
      </c>
      <c r="W618" t="str">
        <f t="shared" si="3"/>
        <v/>
      </c>
      <c r="X618" s="4" t="str">
        <f>IF(V618="","",INDEX(Fornecedores!$X$1:$X$6631,V618))</f>
        <v/>
      </c>
      <c r="Y618" s="4" t="str">
        <f t="shared" si="4"/>
        <v/>
      </c>
    </row>
    <row r="619" spans="19:25">
      <c r="S619" t="str">
        <f t="shared" si="0"/>
        <v/>
      </c>
      <c r="T619" t="str">
        <f t="shared" si="1"/>
        <v/>
      </c>
      <c r="U619" t="str">
        <f t="shared" si="2"/>
        <v/>
      </c>
      <c r="V619" t="str">
        <f>IF(OR(U619="",U619="ERRO_CHAVE"),"",IFERROR(MATCH(U619,Fornecedores!$AF$1:$AF$6631,0),""))</f>
        <v/>
      </c>
      <c r="W619" t="str">
        <f t="shared" si="3"/>
        <v/>
      </c>
      <c r="X619" s="4" t="str">
        <f>IF(V619="","",INDEX(Fornecedores!$X$1:$X$6631,V619))</f>
        <v/>
      </c>
      <c r="Y619" s="4" t="str">
        <f t="shared" si="4"/>
        <v/>
      </c>
    </row>
    <row r="620" spans="19:25">
      <c r="S620" t="str">
        <f t="shared" si="0"/>
        <v/>
      </c>
      <c r="T620" t="str">
        <f t="shared" si="1"/>
        <v/>
      </c>
      <c r="U620" t="str">
        <f t="shared" si="2"/>
        <v/>
      </c>
      <c r="V620" t="str">
        <f>IF(OR(U620="",U620="ERRO_CHAVE"),"",IFERROR(MATCH(U620,Fornecedores!$AF$1:$AF$6631,0),""))</f>
        <v/>
      </c>
      <c r="W620" t="str">
        <f t="shared" si="3"/>
        <v/>
      </c>
      <c r="X620" s="4" t="str">
        <f>IF(V620="","",INDEX(Fornecedores!$X$1:$X$6631,V620))</f>
        <v/>
      </c>
      <c r="Y620" s="4" t="str">
        <f t="shared" si="4"/>
        <v/>
      </c>
    </row>
    <row r="621" spans="19:25">
      <c r="S621" t="str">
        <f t="shared" si="0"/>
        <v/>
      </c>
      <c r="T621" t="str">
        <f t="shared" si="1"/>
        <v/>
      </c>
      <c r="U621" t="str">
        <f t="shared" si="2"/>
        <v/>
      </c>
      <c r="V621" t="str">
        <f>IF(OR(U621="",U621="ERRO_CHAVE"),"",IFERROR(MATCH(U621,Fornecedores!$AF$1:$AF$6631,0),""))</f>
        <v/>
      </c>
      <c r="W621" t="str">
        <f t="shared" si="3"/>
        <v/>
      </c>
      <c r="X621" s="4" t="str">
        <f>IF(V621="","",INDEX(Fornecedores!$X$1:$X$6631,V621))</f>
        <v/>
      </c>
      <c r="Y621" s="4" t="str">
        <f t="shared" si="4"/>
        <v/>
      </c>
    </row>
    <row r="622" spans="19:25">
      <c r="S622" t="str">
        <f t="shared" si="0"/>
        <v/>
      </c>
      <c r="T622" t="str">
        <f t="shared" si="1"/>
        <v/>
      </c>
      <c r="U622" t="str">
        <f t="shared" si="2"/>
        <v/>
      </c>
      <c r="V622" t="str">
        <f>IF(OR(U622="",U622="ERRO_CHAVE"),"",IFERROR(MATCH(U622,Fornecedores!$AF$1:$AF$6631,0),""))</f>
        <v/>
      </c>
      <c r="W622" t="str">
        <f t="shared" si="3"/>
        <v/>
      </c>
      <c r="X622" s="4" t="str">
        <f>IF(V622="","",INDEX(Fornecedores!$X$1:$X$6631,V622))</f>
        <v/>
      </c>
      <c r="Y622" s="4" t="str">
        <f t="shared" si="4"/>
        <v/>
      </c>
    </row>
    <row r="623" spans="19:25">
      <c r="S623" t="str">
        <f t="shared" si="0"/>
        <v/>
      </c>
      <c r="T623" t="str">
        <f t="shared" si="1"/>
        <v/>
      </c>
      <c r="U623" t="str">
        <f t="shared" si="2"/>
        <v/>
      </c>
      <c r="V623" t="str">
        <f>IF(OR(U623="",U623="ERRO_CHAVE"),"",IFERROR(MATCH(U623,Fornecedores!$AF$1:$AF$6631,0),""))</f>
        <v/>
      </c>
      <c r="W623" t="str">
        <f t="shared" si="3"/>
        <v/>
      </c>
      <c r="X623" s="4" t="str">
        <f>IF(V623="","",INDEX(Fornecedores!$X$1:$X$6631,V623))</f>
        <v/>
      </c>
      <c r="Y623" s="4" t="str">
        <f t="shared" si="4"/>
        <v/>
      </c>
    </row>
    <row r="624" spans="19:25">
      <c r="S624" t="str">
        <f t="shared" si="0"/>
        <v/>
      </c>
      <c r="T624" t="str">
        <f t="shared" si="1"/>
        <v/>
      </c>
      <c r="U624" t="str">
        <f t="shared" si="2"/>
        <v/>
      </c>
      <c r="V624" t="str">
        <f>IF(OR(U624="",U624="ERRO_CHAVE"),"",IFERROR(MATCH(U624,Fornecedores!$AF$1:$AF$6631,0),""))</f>
        <v/>
      </c>
      <c r="W624" t="str">
        <f t="shared" si="3"/>
        <v/>
      </c>
      <c r="X624" s="4" t="str">
        <f>IF(V624="","",INDEX(Fornecedores!$X$1:$X$6631,V624))</f>
        <v/>
      </c>
      <c r="Y624" s="4" t="str">
        <f t="shared" si="4"/>
        <v/>
      </c>
    </row>
    <row r="625" spans="19:25">
      <c r="S625" t="str">
        <f t="shared" si="0"/>
        <v/>
      </c>
      <c r="T625" t="str">
        <f t="shared" si="1"/>
        <v/>
      </c>
      <c r="U625" t="str">
        <f t="shared" si="2"/>
        <v/>
      </c>
      <c r="V625" t="str">
        <f>IF(OR(U625="",U625="ERRO_CHAVE"),"",IFERROR(MATCH(U625,Fornecedores!$AF$1:$AF$6631,0),""))</f>
        <v/>
      </c>
      <c r="W625" t="str">
        <f t="shared" si="3"/>
        <v/>
      </c>
      <c r="X625" s="4" t="str">
        <f>IF(V625="","",INDEX(Fornecedores!$X$1:$X$6631,V625))</f>
        <v/>
      </c>
      <c r="Y625" s="4" t="str">
        <f t="shared" si="4"/>
        <v/>
      </c>
    </row>
    <row r="626" spans="19:25">
      <c r="S626" t="str">
        <f t="shared" si="0"/>
        <v/>
      </c>
      <c r="T626" t="str">
        <f t="shared" si="1"/>
        <v/>
      </c>
      <c r="U626" t="str">
        <f t="shared" si="2"/>
        <v/>
      </c>
      <c r="V626" t="str">
        <f>IF(OR(U626="",U626="ERRO_CHAVE"),"",IFERROR(MATCH(U626,Fornecedores!$AF$1:$AF$6631,0),""))</f>
        <v/>
      </c>
      <c r="W626" t="str">
        <f t="shared" si="3"/>
        <v/>
      </c>
      <c r="X626" s="4" t="str">
        <f>IF(V626="","",INDEX(Fornecedores!$X$1:$X$6631,V626))</f>
        <v/>
      </c>
      <c r="Y626" s="4" t="str">
        <f t="shared" si="4"/>
        <v/>
      </c>
    </row>
    <row r="627" spans="19:25">
      <c r="S627" t="str">
        <f t="shared" si="0"/>
        <v/>
      </c>
      <c r="T627" t="str">
        <f t="shared" si="1"/>
        <v/>
      </c>
      <c r="U627" t="str">
        <f t="shared" si="2"/>
        <v/>
      </c>
      <c r="V627" t="str">
        <f>IF(OR(U627="",U627="ERRO_CHAVE"),"",IFERROR(MATCH(U627,Fornecedores!$AF$1:$AF$6631,0),""))</f>
        <v/>
      </c>
      <c r="W627" t="str">
        <f t="shared" si="3"/>
        <v/>
      </c>
      <c r="X627" s="4" t="str">
        <f>IF(V627="","",INDEX(Fornecedores!$X$1:$X$6631,V627))</f>
        <v/>
      </c>
      <c r="Y627" s="4" t="str">
        <f t="shared" si="4"/>
        <v/>
      </c>
    </row>
    <row r="628" spans="19:25">
      <c r="S628" t="str">
        <f t="shared" si="0"/>
        <v/>
      </c>
      <c r="T628" t="str">
        <f t="shared" si="1"/>
        <v/>
      </c>
      <c r="U628" t="str">
        <f t="shared" si="2"/>
        <v/>
      </c>
      <c r="V628" t="str">
        <f>IF(OR(U628="",U628="ERRO_CHAVE"),"",IFERROR(MATCH(U628,Fornecedores!$AF$1:$AF$6631,0),""))</f>
        <v/>
      </c>
      <c r="W628" t="str">
        <f t="shared" si="3"/>
        <v/>
      </c>
      <c r="X628" s="4" t="str">
        <f>IF(V628="","",INDEX(Fornecedores!$X$1:$X$6631,V628))</f>
        <v/>
      </c>
      <c r="Y628" s="4" t="str">
        <f t="shared" si="4"/>
        <v/>
      </c>
    </row>
    <row r="629" spans="19:25">
      <c r="S629" t="str">
        <f t="shared" si="0"/>
        <v/>
      </c>
      <c r="T629" t="str">
        <f t="shared" si="1"/>
        <v/>
      </c>
      <c r="U629" t="str">
        <f t="shared" si="2"/>
        <v/>
      </c>
      <c r="V629" t="str">
        <f>IF(OR(U629="",U629="ERRO_CHAVE"),"",IFERROR(MATCH(U629,Fornecedores!$AF$1:$AF$6631,0),""))</f>
        <v/>
      </c>
      <c r="W629" t="str">
        <f t="shared" si="3"/>
        <v/>
      </c>
      <c r="X629" s="4" t="str">
        <f>IF(V629="","",INDEX(Fornecedores!$X$1:$X$6631,V629))</f>
        <v/>
      </c>
      <c r="Y629" s="4" t="str">
        <f t="shared" si="4"/>
        <v/>
      </c>
    </row>
    <row r="630" spans="19:25">
      <c r="S630" t="str">
        <f t="shared" si="0"/>
        <v/>
      </c>
      <c r="T630" t="str">
        <f t="shared" si="1"/>
        <v/>
      </c>
      <c r="U630" t="str">
        <f t="shared" si="2"/>
        <v/>
      </c>
      <c r="V630" t="str">
        <f>IF(OR(U630="",U630="ERRO_CHAVE"),"",IFERROR(MATCH(U630,Fornecedores!$AF$1:$AF$6631,0),""))</f>
        <v/>
      </c>
      <c r="W630" t="str">
        <f t="shared" si="3"/>
        <v/>
      </c>
      <c r="X630" s="4" t="str">
        <f>IF(V630="","",INDEX(Fornecedores!$X$1:$X$6631,V630))</f>
        <v/>
      </c>
      <c r="Y630" s="4" t="str">
        <f t="shared" si="4"/>
        <v/>
      </c>
    </row>
    <row r="631" spans="19:25">
      <c r="S631" t="str">
        <f t="shared" si="0"/>
        <v/>
      </c>
      <c r="T631" t="str">
        <f t="shared" si="1"/>
        <v/>
      </c>
      <c r="U631" t="str">
        <f t="shared" si="2"/>
        <v/>
      </c>
      <c r="V631" t="str">
        <f>IF(OR(U631="",U631="ERRO_CHAVE"),"",IFERROR(MATCH(U631,Fornecedores!$AF$1:$AF$6631,0),""))</f>
        <v/>
      </c>
      <c r="W631" t="str">
        <f t="shared" si="3"/>
        <v/>
      </c>
      <c r="X631" s="4" t="str">
        <f>IF(V631="","",INDEX(Fornecedores!$X$1:$X$6631,V631))</f>
        <v/>
      </c>
      <c r="Y631" s="4" t="str">
        <f t="shared" si="4"/>
        <v/>
      </c>
    </row>
    <row r="632" spans="19:25">
      <c r="S632" t="str">
        <f t="shared" si="0"/>
        <v/>
      </c>
      <c r="T632" t="str">
        <f t="shared" si="1"/>
        <v/>
      </c>
      <c r="U632" t="str">
        <f t="shared" si="2"/>
        <v/>
      </c>
      <c r="V632" t="str">
        <f>IF(OR(U632="",U632="ERRO_CHAVE"),"",IFERROR(MATCH(U632,Fornecedores!$AF$1:$AF$6631,0),""))</f>
        <v/>
      </c>
      <c r="W632" t="str">
        <f t="shared" si="3"/>
        <v/>
      </c>
      <c r="X632" s="4" t="str">
        <f>IF(V632="","",INDEX(Fornecedores!$X$1:$X$6631,V632))</f>
        <v/>
      </c>
      <c r="Y632" s="4" t="str">
        <f t="shared" si="4"/>
        <v/>
      </c>
    </row>
    <row r="633" spans="19:25">
      <c r="S633" t="str">
        <f t="shared" si="0"/>
        <v/>
      </c>
      <c r="T633" t="str">
        <f t="shared" si="1"/>
        <v/>
      </c>
      <c r="U633" t="str">
        <f t="shared" si="2"/>
        <v/>
      </c>
      <c r="V633" t="str">
        <f>IF(OR(U633="",U633="ERRO_CHAVE"),"",IFERROR(MATCH(U633,Fornecedores!$AF$1:$AF$6631,0),""))</f>
        <v/>
      </c>
      <c r="W633" t="str">
        <f t="shared" si="3"/>
        <v/>
      </c>
      <c r="X633" s="4" t="str">
        <f>IF(V633="","",INDEX(Fornecedores!$X$1:$X$6631,V633))</f>
        <v/>
      </c>
      <c r="Y633" s="4" t="str">
        <f t="shared" si="4"/>
        <v/>
      </c>
    </row>
    <row r="634" spans="19:25">
      <c r="S634" t="str">
        <f t="shared" si="0"/>
        <v/>
      </c>
      <c r="T634" t="str">
        <f t="shared" si="1"/>
        <v/>
      </c>
      <c r="U634" t="str">
        <f t="shared" si="2"/>
        <v/>
      </c>
      <c r="V634" t="str">
        <f>IF(OR(U634="",U634="ERRO_CHAVE"),"",IFERROR(MATCH(U634,Fornecedores!$AF$1:$AF$6631,0),""))</f>
        <v/>
      </c>
      <c r="W634" t="str">
        <f t="shared" si="3"/>
        <v/>
      </c>
      <c r="X634" s="4" t="str">
        <f>IF(V634="","",INDEX(Fornecedores!$X$1:$X$6631,V634))</f>
        <v/>
      </c>
      <c r="Y634" s="4" t="str">
        <f t="shared" si="4"/>
        <v/>
      </c>
    </row>
    <row r="635" spans="19:25">
      <c r="S635" t="str">
        <f t="shared" si="0"/>
        <v/>
      </c>
      <c r="T635" t="str">
        <f t="shared" si="1"/>
        <v/>
      </c>
      <c r="U635" t="str">
        <f t="shared" si="2"/>
        <v/>
      </c>
      <c r="V635" t="str">
        <f>IF(OR(U635="",U635="ERRO_CHAVE"),"",IFERROR(MATCH(U635,Fornecedores!$AF$1:$AF$6631,0),""))</f>
        <v/>
      </c>
      <c r="W635" t="str">
        <f t="shared" si="3"/>
        <v/>
      </c>
      <c r="X635" s="4" t="str">
        <f>IF(V635="","",INDEX(Fornecedores!$X$1:$X$6631,V635))</f>
        <v/>
      </c>
      <c r="Y635" s="4" t="str">
        <f t="shared" si="4"/>
        <v/>
      </c>
    </row>
    <row r="636" spans="19:25">
      <c r="S636" t="str">
        <f t="shared" si="0"/>
        <v/>
      </c>
      <c r="T636" t="str">
        <f t="shared" si="1"/>
        <v/>
      </c>
      <c r="U636" t="str">
        <f t="shared" si="2"/>
        <v/>
      </c>
      <c r="V636" t="str">
        <f>IF(OR(U636="",U636="ERRO_CHAVE"),"",IFERROR(MATCH(U636,Fornecedores!$AF$1:$AF$6631,0),""))</f>
        <v/>
      </c>
      <c r="W636" t="str">
        <f t="shared" si="3"/>
        <v/>
      </c>
      <c r="X636" s="4" t="str">
        <f>IF(V636="","",INDEX(Fornecedores!$X$1:$X$6631,V636))</f>
        <v/>
      </c>
      <c r="Y636" s="4" t="str">
        <f t="shared" si="4"/>
        <v/>
      </c>
    </row>
    <row r="637" spans="19:25">
      <c r="S637" t="str">
        <f t="shared" si="0"/>
        <v/>
      </c>
      <c r="T637" t="str">
        <f t="shared" si="1"/>
        <v/>
      </c>
      <c r="U637" t="str">
        <f t="shared" si="2"/>
        <v/>
      </c>
      <c r="V637" t="str">
        <f>IF(OR(U637="",U637="ERRO_CHAVE"),"",IFERROR(MATCH(U637,Fornecedores!$AF$1:$AF$6631,0),""))</f>
        <v/>
      </c>
      <c r="W637" t="str">
        <f t="shared" si="3"/>
        <v/>
      </c>
      <c r="X637" s="4" t="str">
        <f>IF(V637="","",INDEX(Fornecedores!$X$1:$X$6631,V637))</f>
        <v/>
      </c>
      <c r="Y637" s="4" t="str">
        <f t="shared" si="4"/>
        <v/>
      </c>
    </row>
    <row r="638" spans="19:25">
      <c r="S638" t="str">
        <f t="shared" si="0"/>
        <v/>
      </c>
      <c r="T638" t="str">
        <f t="shared" si="1"/>
        <v/>
      </c>
      <c r="U638" t="str">
        <f t="shared" si="2"/>
        <v/>
      </c>
      <c r="V638" t="str">
        <f>IF(OR(U638="",U638="ERRO_CHAVE"),"",IFERROR(MATCH(U638,Fornecedores!$AF$1:$AF$6631,0),""))</f>
        <v/>
      </c>
      <c r="W638" t="str">
        <f t="shared" si="3"/>
        <v/>
      </c>
      <c r="X638" s="4" t="str">
        <f>IF(V638="","",INDEX(Fornecedores!$X$1:$X$6631,V638))</f>
        <v/>
      </c>
      <c r="Y638" s="4" t="str">
        <f t="shared" si="4"/>
        <v/>
      </c>
    </row>
    <row r="639" spans="19:25">
      <c r="S639" t="str">
        <f t="shared" si="0"/>
        <v/>
      </c>
      <c r="T639" t="str">
        <f t="shared" si="1"/>
        <v/>
      </c>
      <c r="U639" t="str">
        <f t="shared" si="2"/>
        <v/>
      </c>
      <c r="V639" t="str">
        <f>IF(OR(U639="",U639="ERRO_CHAVE"),"",IFERROR(MATCH(U639,Fornecedores!$AF$1:$AF$6631,0),""))</f>
        <v/>
      </c>
      <c r="W639" t="str">
        <f t="shared" si="3"/>
        <v/>
      </c>
      <c r="X639" s="4" t="str">
        <f>IF(V639="","",INDEX(Fornecedores!$X$1:$X$6631,V639))</f>
        <v/>
      </c>
      <c r="Y639" s="4" t="str">
        <f t="shared" si="4"/>
        <v/>
      </c>
    </row>
    <row r="640" spans="19:25">
      <c r="S640" t="str">
        <f t="shared" si="0"/>
        <v/>
      </c>
      <c r="T640" t="str">
        <f t="shared" si="1"/>
        <v/>
      </c>
      <c r="U640" t="str">
        <f t="shared" si="2"/>
        <v/>
      </c>
      <c r="V640" t="str">
        <f>IF(OR(U640="",U640="ERRO_CHAVE"),"",IFERROR(MATCH(U640,Fornecedores!$AF$1:$AF$6631,0),""))</f>
        <v/>
      </c>
      <c r="W640" t="str">
        <f t="shared" si="3"/>
        <v/>
      </c>
      <c r="X640" s="4" t="str">
        <f>IF(V640="","",INDEX(Fornecedores!$X$1:$X$6631,V640))</f>
        <v/>
      </c>
      <c r="Y640" s="4" t="str">
        <f t="shared" si="4"/>
        <v/>
      </c>
    </row>
    <row r="641" spans="19:25">
      <c r="S641" t="str">
        <f t="shared" si="0"/>
        <v/>
      </c>
      <c r="T641" t="str">
        <f t="shared" si="1"/>
        <v/>
      </c>
      <c r="U641" t="str">
        <f t="shared" si="2"/>
        <v/>
      </c>
      <c r="V641" t="str">
        <f>IF(OR(U641="",U641="ERRO_CHAVE"),"",IFERROR(MATCH(U641,Fornecedores!$AF$1:$AF$6631,0),""))</f>
        <v/>
      </c>
      <c r="W641" t="str">
        <f t="shared" si="3"/>
        <v/>
      </c>
      <c r="X641" s="4" t="str">
        <f>IF(V641="","",INDEX(Fornecedores!$X$1:$X$6631,V641))</f>
        <v/>
      </c>
      <c r="Y641" s="4" t="str">
        <f t="shared" si="4"/>
        <v/>
      </c>
    </row>
    <row r="642" spans="19:25">
      <c r="S642" t="str">
        <f t="shared" si="0"/>
        <v/>
      </c>
      <c r="T642" t="str">
        <f t="shared" si="1"/>
        <v/>
      </c>
      <c r="U642" t="str">
        <f t="shared" si="2"/>
        <v/>
      </c>
      <c r="V642" t="str">
        <f>IF(OR(U642="",U642="ERRO_CHAVE"),"",IFERROR(MATCH(U642,Fornecedores!$AF$1:$AF$6631,0),""))</f>
        <v/>
      </c>
      <c r="W642" t="str">
        <f t="shared" si="3"/>
        <v/>
      </c>
      <c r="X642" s="4" t="str">
        <f>IF(V642="","",INDEX(Fornecedores!$X$1:$X$6631,V642))</f>
        <v/>
      </c>
      <c r="Y642" s="4" t="str">
        <f t="shared" si="4"/>
        <v/>
      </c>
    </row>
    <row r="643" spans="19:25">
      <c r="S643" t="str">
        <f t="shared" si="0"/>
        <v/>
      </c>
      <c r="T643" t="str">
        <f t="shared" si="1"/>
        <v/>
      </c>
      <c r="U643" t="str">
        <f t="shared" si="2"/>
        <v/>
      </c>
      <c r="V643" t="str">
        <f>IF(OR(U643="",U643="ERRO_CHAVE"),"",IFERROR(MATCH(U643,Fornecedores!$AF$1:$AF$6631,0),""))</f>
        <v/>
      </c>
      <c r="W643" t="str">
        <f t="shared" si="3"/>
        <v/>
      </c>
      <c r="X643" s="4" t="str">
        <f>IF(V643="","",INDEX(Fornecedores!$X$1:$X$6631,V643))</f>
        <v/>
      </c>
      <c r="Y643" s="4" t="str">
        <f t="shared" si="4"/>
        <v/>
      </c>
    </row>
    <row r="644" spans="19:25">
      <c r="S644" t="str">
        <f t="shared" si="0"/>
        <v/>
      </c>
      <c r="T644" t="str">
        <f t="shared" si="1"/>
        <v/>
      </c>
      <c r="U644" t="str">
        <f t="shared" si="2"/>
        <v/>
      </c>
      <c r="V644" t="str">
        <f>IF(OR(U644="",U644="ERRO_CHAVE"),"",IFERROR(MATCH(U644,Fornecedores!$AF$1:$AF$6631,0),""))</f>
        <v/>
      </c>
      <c r="W644" t="str">
        <f t="shared" si="3"/>
        <v/>
      </c>
      <c r="X644" s="4" t="str">
        <f>IF(V644="","",INDEX(Fornecedores!$X$1:$X$6631,V644))</f>
        <v/>
      </c>
      <c r="Y644" s="4" t="str">
        <f t="shared" si="4"/>
        <v/>
      </c>
    </row>
    <row r="645" spans="19:25">
      <c r="S645" t="str">
        <f t="shared" si="0"/>
        <v/>
      </c>
      <c r="T645" t="str">
        <f t="shared" si="1"/>
        <v/>
      </c>
      <c r="U645" t="str">
        <f t="shared" si="2"/>
        <v/>
      </c>
      <c r="V645" t="str">
        <f>IF(OR(U645="",U645="ERRO_CHAVE"),"",IFERROR(MATCH(U645,Fornecedores!$AF$1:$AF$6631,0),""))</f>
        <v/>
      </c>
      <c r="W645" t="str">
        <f t="shared" si="3"/>
        <v/>
      </c>
      <c r="X645" s="4" t="str">
        <f>IF(V645="","",INDEX(Fornecedores!$X$1:$X$6631,V645))</f>
        <v/>
      </c>
      <c r="Y645" s="4" t="str">
        <f t="shared" si="4"/>
        <v/>
      </c>
    </row>
    <row r="646" spans="19:25">
      <c r="S646" t="str">
        <f t="shared" si="0"/>
        <v/>
      </c>
      <c r="T646" t="str">
        <f t="shared" si="1"/>
        <v/>
      </c>
      <c r="U646" t="str">
        <f t="shared" si="2"/>
        <v/>
      </c>
      <c r="V646" t="str">
        <f>IF(OR(U646="",U646="ERRO_CHAVE"),"",IFERROR(MATCH(U646,Fornecedores!$AF$1:$AF$6631,0),""))</f>
        <v/>
      </c>
      <c r="W646" t="str">
        <f t="shared" si="3"/>
        <v/>
      </c>
      <c r="X646" s="4" t="str">
        <f>IF(V646="","",INDEX(Fornecedores!$X$1:$X$6631,V646))</f>
        <v/>
      </c>
      <c r="Y646" s="4" t="str">
        <f t="shared" si="4"/>
        <v/>
      </c>
    </row>
    <row r="647" spans="19:25">
      <c r="S647" t="str">
        <f t="shared" si="0"/>
        <v/>
      </c>
      <c r="T647" t="str">
        <f t="shared" si="1"/>
        <v/>
      </c>
      <c r="U647" t="str">
        <f t="shared" si="2"/>
        <v/>
      </c>
      <c r="V647" t="str">
        <f>IF(OR(U647="",U647="ERRO_CHAVE"),"",IFERROR(MATCH(U647,Fornecedores!$AF$1:$AF$6631,0),""))</f>
        <v/>
      </c>
      <c r="W647" t="str">
        <f t="shared" si="3"/>
        <v/>
      </c>
      <c r="X647" s="4" t="str">
        <f>IF(V647="","",INDEX(Fornecedores!$X$1:$X$6631,V647))</f>
        <v/>
      </c>
      <c r="Y647" s="4" t="str">
        <f t="shared" si="4"/>
        <v/>
      </c>
    </row>
    <row r="648" spans="19:25">
      <c r="S648" t="str">
        <f t="shared" si="0"/>
        <v/>
      </c>
      <c r="T648" t="str">
        <f t="shared" si="1"/>
        <v/>
      </c>
      <c r="U648" t="str">
        <f t="shared" si="2"/>
        <v/>
      </c>
      <c r="V648" t="str">
        <f>IF(OR(U648="",U648="ERRO_CHAVE"),"",IFERROR(MATCH(U648,Fornecedores!$AF$1:$AF$6631,0),""))</f>
        <v/>
      </c>
      <c r="W648" t="str">
        <f t="shared" si="3"/>
        <v/>
      </c>
      <c r="X648" s="4" t="str">
        <f>IF(V648="","",INDEX(Fornecedores!$X$1:$X$6631,V648))</f>
        <v/>
      </c>
      <c r="Y648" s="4" t="str">
        <f t="shared" si="4"/>
        <v/>
      </c>
    </row>
    <row r="649" spans="19:25">
      <c r="S649" t="str">
        <f t="shared" si="0"/>
        <v/>
      </c>
      <c r="T649" t="str">
        <f t="shared" si="1"/>
        <v/>
      </c>
      <c r="U649" t="str">
        <f t="shared" si="2"/>
        <v/>
      </c>
      <c r="V649" t="str">
        <f>IF(OR(U649="",U649="ERRO_CHAVE"),"",IFERROR(MATCH(U649,Fornecedores!$AF$1:$AF$6631,0),""))</f>
        <v/>
      </c>
      <c r="W649" t="str">
        <f t="shared" si="3"/>
        <v/>
      </c>
      <c r="X649" s="4" t="str">
        <f>IF(V649="","",INDEX(Fornecedores!$X$1:$X$6631,V649))</f>
        <v/>
      </c>
      <c r="Y649" s="4" t="str">
        <f t="shared" si="4"/>
        <v/>
      </c>
    </row>
    <row r="650" spans="19:25">
      <c r="S650" t="str">
        <f t="shared" si="0"/>
        <v/>
      </c>
      <c r="T650" t="str">
        <f t="shared" si="1"/>
        <v/>
      </c>
      <c r="U650" t="str">
        <f t="shared" si="2"/>
        <v/>
      </c>
      <c r="V650" t="str">
        <f>IF(OR(U650="",U650="ERRO_CHAVE"),"",IFERROR(MATCH(U650,Fornecedores!$AF$1:$AF$6631,0),""))</f>
        <v/>
      </c>
      <c r="W650" t="str">
        <f t="shared" si="3"/>
        <v/>
      </c>
      <c r="X650" s="4" t="str">
        <f>IF(V650="","",INDEX(Fornecedores!$X$1:$X$6631,V650))</f>
        <v/>
      </c>
      <c r="Y650" s="4" t="str">
        <f t="shared" si="4"/>
        <v/>
      </c>
    </row>
    <row r="651" spans="19:25">
      <c r="S651" t="str">
        <f t="shared" si="0"/>
        <v/>
      </c>
      <c r="T651" t="str">
        <f t="shared" si="1"/>
        <v/>
      </c>
      <c r="U651" t="str">
        <f t="shared" si="2"/>
        <v/>
      </c>
      <c r="V651" t="str">
        <f>IF(OR(U651="",U651="ERRO_CHAVE"),"",IFERROR(MATCH(U651,Fornecedores!$AF$1:$AF$6631,0),""))</f>
        <v/>
      </c>
      <c r="W651" t="str">
        <f t="shared" si="3"/>
        <v/>
      </c>
      <c r="X651" s="4" t="str">
        <f>IF(V651="","",INDEX(Fornecedores!$X$1:$X$6631,V651))</f>
        <v/>
      </c>
      <c r="Y651" s="4" t="str">
        <f t="shared" si="4"/>
        <v/>
      </c>
    </row>
    <row r="652" spans="19:25">
      <c r="S652" t="str">
        <f t="shared" si="0"/>
        <v/>
      </c>
      <c r="T652" t="str">
        <f t="shared" si="1"/>
        <v/>
      </c>
      <c r="U652" t="str">
        <f t="shared" si="2"/>
        <v/>
      </c>
      <c r="V652" t="str">
        <f>IF(OR(U652="",U652="ERRO_CHAVE"),"",IFERROR(MATCH(U652,Fornecedores!$AF$1:$AF$6631,0),""))</f>
        <v/>
      </c>
      <c r="W652" t="str">
        <f t="shared" si="3"/>
        <v/>
      </c>
      <c r="X652" s="4" t="str">
        <f>IF(V652="","",INDEX(Fornecedores!$X$1:$X$6631,V652))</f>
        <v/>
      </c>
      <c r="Y652" s="4" t="str">
        <f t="shared" si="4"/>
        <v/>
      </c>
    </row>
    <row r="653" spans="19:25">
      <c r="S653" t="str">
        <f t="shared" si="0"/>
        <v/>
      </c>
      <c r="T653" t="str">
        <f t="shared" si="1"/>
        <v/>
      </c>
      <c r="U653" t="str">
        <f t="shared" si="2"/>
        <v/>
      </c>
      <c r="V653" t="str">
        <f>IF(OR(U653="",U653="ERRO_CHAVE"),"",IFERROR(MATCH(U653,Fornecedores!$AF$1:$AF$6631,0),""))</f>
        <v/>
      </c>
      <c r="W653" t="str">
        <f t="shared" si="3"/>
        <v/>
      </c>
      <c r="X653" s="4" t="str">
        <f>IF(V653="","",INDEX(Fornecedores!$X$1:$X$6631,V653))</f>
        <v/>
      </c>
      <c r="Y653" s="4" t="str">
        <f t="shared" si="4"/>
        <v/>
      </c>
    </row>
    <row r="654" spans="19:25">
      <c r="S654" t="str">
        <f t="shared" si="0"/>
        <v/>
      </c>
      <c r="T654" t="str">
        <f t="shared" si="1"/>
        <v/>
      </c>
      <c r="U654" t="str">
        <f t="shared" si="2"/>
        <v/>
      </c>
      <c r="V654" t="str">
        <f>IF(OR(U654="",U654="ERRO_CHAVE"),"",IFERROR(MATCH(U654,Fornecedores!$AF$1:$AF$6631,0),""))</f>
        <v/>
      </c>
      <c r="W654" t="str">
        <f t="shared" si="3"/>
        <v/>
      </c>
      <c r="X654" s="4" t="str">
        <f>IF(V654="","",INDEX(Fornecedores!$X$1:$X$6631,V654))</f>
        <v/>
      </c>
      <c r="Y654" s="4" t="str">
        <f t="shared" si="4"/>
        <v/>
      </c>
    </row>
    <row r="655" spans="19:25">
      <c r="S655" t="str">
        <f t="shared" si="0"/>
        <v/>
      </c>
      <c r="T655" t="str">
        <f t="shared" si="1"/>
        <v/>
      </c>
      <c r="U655" t="str">
        <f t="shared" si="2"/>
        <v/>
      </c>
      <c r="V655" t="str">
        <f>IF(OR(U655="",U655="ERRO_CHAVE"),"",IFERROR(MATCH(U655,Fornecedores!$AF$1:$AF$6631,0),""))</f>
        <v/>
      </c>
      <c r="W655" t="str">
        <f t="shared" si="3"/>
        <v/>
      </c>
      <c r="X655" s="4" t="str">
        <f>IF(V655="","",INDEX(Fornecedores!$X$1:$X$6631,V655))</f>
        <v/>
      </c>
      <c r="Y655" s="4" t="str">
        <f t="shared" si="4"/>
        <v/>
      </c>
    </row>
    <row r="656" spans="19:25">
      <c r="S656" t="str">
        <f t="shared" si="0"/>
        <v/>
      </c>
      <c r="T656" t="str">
        <f t="shared" si="1"/>
        <v/>
      </c>
      <c r="U656" t="str">
        <f t="shared" si="2"/>
        <v/>
      </c>
      <c r="V656" t="str">
        <f>IF(OR(U656="",U656="ERRO_CHAVE"),"",IFERROR(MATCH(U656,Fornecedores!$AF$1:$AF$6631,0),""))</f>
        <v/>
      </c>
      <c r="W656" t="str">
        <f t="shared" si="3"/>
        <v/>
      </c>
      <c r="X656" s="4" t="str">
        <f>IF(V656="","",INDEX(Fornecedores!$X$1:$X$6631,V656))</f>
        <v/>
      </c>
      <c r="Y656" s="4" t="str">
        <f t="shared" si="4"/>
        <v/>
      </c>
    </row>
    <row r="657" spans="19:25">
      <c r="S657" t="str">
        <f t="shared" si="0"/>
        <v/>
      </c>
      <c r="T657" t="str">
        <f t="shared" si="1"/>
        <v/>
      </c>
      <c r="U657" t="str">
        <f t="shared" si="2"/>
        <v/>
      </c>
      <c r="V657" t="str">
        <f>IF(OR(U657="",U657="ERRO_CHAVE"),"",IFERROR(MATCH(U657,Fornecedores!$AF$1:$AF$6631,0),""))</f>
        <v/>
      </c>
      <c r="W657" t="str">
        <f t="shared" si="3"/>
        <v/>
      </c>
      <c r="X657" s="4" t="str">
        <f>IF(V657="","",INDEX(Fornecedores!$X$1:$X$6631,V657))</f>
        <v/>
      </c>
      <c r="Y657" s="4" t="str">
        <f t="shared" si="4"/>
        <v/>
      </c>
    </row>
    <row r="658" spans="19:25">
      <c r="S658" t="str">
        <f t="shared" si="0"/>
        <v/>
      </c>
      <c r="T658" t="str">
        <f t="shared" si="1"/>
        <v/>
      </c>
      <c r="U658" t="str">
        <f t="shared" si="2"/>
        <v/>
      </c>
      <c r="V658" t="str">
        <f>IF(OR(U658="",U658="ERRO_CHAVE"),"",IFERROR(MATCH(U658,Fornecedores!$AF$1:$AF$6631,0),""))</f>
        <v/>
      </c>
      <c r="W658" t="str">
        <f t="shared" si="3"/>
        <v/>
      </c>
      <c r="X658" s="4" t="str">
        <f>IF(V658="","",INDEX(Fornecedores!$X$1:$X$6631,V658))</f>
        <v/>
      </c>
      <c r="Y658" s="4" t="str">
        <f t="shared" si="4"/>
        <v/>
      </c>
    </row>
    <row r="659" spans="19:25">
      <c r="S659" t="str">
        <f t="shared" si="0"/>
        <v/>
      </c>
      <c r="T659" t="str">
        <f t="shared" si="1"/>
        <v/>
      </c>
      <c r="U659" t="str">
        <f t="shared" si="2"/>
        <v/>
      </c>
      <c r="V659" t="str">
        <f>IF(OR(U659="",U659="ERRO_CHAVE"),"",IFERROR(MATCH(U659,Fornecedores!$AF$1:$AF$6631,0),""))</f>
        <v/>
      </c>
      <c r="W659" t="str">
        <f t="shared" si="3"/>
        <v/>
      </c>
      <c r="X659" s="4" t="str">
        <f>IF(V659="","",INDEX(Fornecedores!$X$1:$X$6631,V659))</f>
        <v/>
      </c>
      <c r="Y659" s="4" t="str">
        <f t="shared" si="4"/>
        <v/>
      </c>
    </row>
    <row r="660" spans="19:25">
      <c r="S660" t="str">
        <f t="shared" si="0"/>
        <v/>
      </c>
      <c r="T660" t="str">
        <f t="shared" si="1"/>
        <v/>
      </c>
      <c r="U660" t="str">
        <f t="shared" si="2"/>
        <v/>
      </c>
      <c r="V660" t="str">
        <f>IF(OR(U660="",U660="ERRO_CHAVE"),"",IFERROR(MATCH(U660,Fornecedores!$AF$1:$AF$6631,0),""))</f>
        <v/>
      </c>
      <c r="W660" t="str">
        <f t="shared" si="3"/>
        <v/>
      </c>
      <c r="X660" s="4" t="str">
        <f>IF(V660="","",INDEX(Fornecedores!$X$1:$X$6631,V660))</f>
        <v/>
      </c>
      <c r="Y660" s="4" t="str">
        <f t="shared" si="4"/>
        <v/>
      </c>
    </row>
    <row r="661" spans="19:25">
      <c r="S661" t="str">
        <f t="shared" si="0"/>
        <v/>
      </c>
      <c r="T661" t="str">
        <f t="shared" si="1"/>
        <v/>
      </c>
      <c r="U661" t="str">
        <f t="shared" si="2"/>
        <v/>
      </c>
      <c r="V661" t="str">
        <f>IF(OR(U661="",U661="ERRO_CHAVE"),"",IFERROR(MATCH(U661,Fornecedores!$AF$1:$AF$6631,0),""))</f>
        <v/>
      </c>
      <c r="W661" t="str">
        <f t="shared" si="3"/>
        <v/>
      </c>
      <c r="X661" s="4" t="str">
        <f>IF(V661="","",INDEX(Fornecedores!$X$1:$X$6631,V661))</f>
        <v/>
      </c>
      <c r="Y661" s="4" t="str">
        <f t="shared" si="4"/>
        <v/>
      </c>
    </row>
    <row r="662" spans="19:25">
      <c r="S662" t="str">
        <f t="shared" si="0"/>
        <v/>
      </c>
      <c r="T662" t="str">
        <f t="shared" si="1"/>
        <v/>
      </c>
      <c r="U662" t="str">
        <f t="shared" si="2"/>
        <v/>
      </c>
      <c r="V662" t="str">
        <f>IF(OR(U662="",U662="ERRO_CHAVE"),"",IFERROR(MATCH(U662,Fornecedores!$AF$1:$AF$6631,0),""))</f>
        <v/>
      </c>
      <c r="W662" t="str">
        <f t="shared" si="3"/>
        <v/>
      </c>
      <c r="X662" s="4" t="str">
        <f>IF(V662="","",INDEX(Fornecedores!$X$1:$X$6631,V662))</f>
        <v/>
      </c>
      <c r="Y662" s="4" t="str">
        <f t="shared" si="4"/>
        <v/>
      </c>
    </row>
    <row r="663" spans="19:25">
      <c r="S663" t="str">
        <f t="shared" si="0"/>
        <v/>
      </c>
      <c r="T663" t="str">
        <f t="shared" si="1"/>
        <v/>
      </c>
      <c r="U663" t="str">
        <f t="shared" si="2"/>
        <v/>
      </c>
      <c r="V663" t="str">
        <f>IF(OR(U663="",U663="ERRO_CHAVE"),"",IFERROR(MATCH(U663,Fornecedores!$AF$1:$AF$6631,0),""))</f>
        <v/>
      </c>
      <c r="W663" t="str">
        <f t="shared" si="3"/>
        <v/>
      </c>
      <c r="X663" s="4" t="str">
        <f>IF(V663="","",INDEX(Fornecedores!$X$1:$X$6631,V663))</f>
        <v/>
      </c>
      <c r="Y663" s="4" t="str">
        <f t="shared" si="4"/>
        <v/>
      </c>
    </row>
    <row r="664" spans="19:25">
      <c r="S664" t="str">
        <f t="shared" si="0"/>
        <v/>
      </c>
      <c r="T664" t="str">
        <f t="shared" si="1"/>
        <v/>
      </c>
      <c r="U664" t="str">
        <f t="shared" si="2"/>
        <v/>
      </c>
      <c r="V664" t="str">
        <f>IF(OR(U664="",U664="ERRO_CHAVE"),"",IFERROR(MATCH(U664,Fornecedores!$AF$1:$AF$6631,0),""))</f>
        <v/>
      </c>
      <c r="W664" t="str">
        <f t="shared" si="3"/>
        <v/>
      </c>
      <c r="X664" s="4" t="str">
        <f>IF(V664="","",INDEX(Fornecedores!$X$1:$X$6631,V664))</f>
        <v/>
      </c>
      <c r="Y664" s="4" t="str">
        <f t="shared" si="4"/>
        <v/>
      </c>
    </row>
    <row r="665" spans="19:25">
      <c r="S665" t="str">
        <f t="shared" si="0"/>
        <v/>
      </c>
      <c r="T665" t="str">
        <f t="shared" si="1"/>
        <v/>
      </c>
      <c r="U665" t="str">
        <f t="shared" si="2"/>
        <v/>
      </c>
      <c r="V665" t="str">
        <f>IF(OR(U665="",U665="ERRO_CHAVE"),"",IFERROR(MATCH(U665,Fornecedores!$AF$1:$AF$6631,0),""))</f>
        <v/>
      </c>
      <c r="W665" t="str">
        <f t="shared" si="3"/>
        <v/>
      </c>
      <c r="X665" s="4" t="str">
        <f>IF(V665="","",INDEX(Fornecedores!$X$1:$X$6631,V665))</f>
        <v/>
      </c>
      <c r="Y665" s="4" t="str">
        <f t="shared" si="4"/>
        <v/>
      </c>
    </row>
    <row r="666" spans="19:25">
      <c r="S666" t="str">
        <f t="shared" si="0"/>
        <v/>
      </c>
      <c r="T666" t="str">
        <f t="shared" si="1"/>
        <v/>
      </c>
      <c r="U666" t="str">
        <f t="shared" si="2"/>
        <v/>
      </c>
      <c r="V666" t="str">
        <f>IF(OR(U666="",U666="ERRO_CHAVE"),"",IFERROR(MATCH(U666,Fornecedores!$AF$1:$AF$6631,0),""))</f>
        <v/>
      </c>
      <c r="W666" t="str">
        <f t="shared" si="3"/>
        <v/>
      </c>
      <c r="X666" s="4" t="str">
        <f>IF(V666="","",INDEX(Fornecedores!$X$1:$X$6631,V666))</f>
        <v/>
      </c>
      <c r="Y666" s="4" t="str">
        <f t="shared" si="4"/>
        <v/>
      </c>
    </row>
    <row r="667" spans="19:25">
      <c r="S667" t="str">
        <f t="shared" si="0"/>
        <v/>
      </c>
      <c r="T667" t="str">
        <f t="shared" si="1"/>
        <v/>
      </c>
      <c r="U667" t="str">
        <f t="shared" si="2"/>
        <v/>
      </c>
      <c r="V667" t="str">
        <f>IF(OR(U667="",U667="ERRO_CHAVE"),"",IFERROR(MATCH(U667,Fornecedores!$AF$1:$AF$6631,0),""))</f>
        <v/>
      </c>
      <c r="W667" t="str">
        <f t="shared" si="3"/>
        <v/>
      </c>
      <c r="X667" s="4" t="str">
        <f>IF(V667="","",INDEX(Fornecedores!$X$1:$X$6631,V667))</f>
        <v/>
      </c>
      <c r="Y667" s="4" t="str">
        <f t="shared" si="4"/>
        <v/>
      </c>
    </row>
    <row r="668" spans="19:25">
      <c r="S668" t="str">
        <f t="shared" si="0"/>
        <v/>
      </c>
      <c r="T668" t="str">
        <f t="shared" si="1"/>
        <v/>
      </c>
      <c r="U668" t="str">
        <f t="shared" si="2"/>
        <v/>
      </c>
      <c r="V668" t="str">
        <f>IF(OR(U668="",U668="ERRO_CHAVE"),"",IFERROR(MATCH(U668,Fornecedores!$AF$1:$AF$6631,0),""))</f>
        <v/>
      </c>
      <c r="W668" t="str">
        <f t="shared" si="3"/>
        <v/>
      </c>
      <c r="X668" s="4" t="str">
        <f>IF(V668="","",INDEX(Fornecedores!$X$1:$X$6631,V668))</f>
        <v/>
      </c>
      <c r="Y668" s="4" t="str">
        <f t="shared" si="4"/>
        <v/>
      </c>
    </row>
    <row r="669" spans="19:25">
      <c r="S669" t="str">
        <f t="shared" si="0"/>
        <v/>
      </c>
      <c r="T669" t="str">
        <f t="shared" si="1"/>
        <v/>
      </c>
      <c r="U669" t="str">
        <f t="shared" si="2"/>
        <v/>
      </c>
      <c r="V669" t="str">
        <f>IF(OR(U669="",U669="ERRO_CHAVE"),"",IFERROR(MATCH(U669,Fornecedores!$AF$1:$AF$6631,0),""))</f>
        <v/>
      </c>
      <c r="W669" t="str">
        <f t="shared" si="3"/>
        <v/>
      </c>
      <c r="X669" s="4" t="str">
        <f>IF(V669="","",INDEX(Fornecedores!$X$1:$X$6631,V669))</f>
        <v/>
      </c>
      <c r="Y669" s="4" t="str">
        <f t="shared" si="4"/>
        <v/>
      </c>
    </row>
    <row r="670" spans="19:25">
      <c r="S670" t="str">
        <f t="shared" si="0"/>
        <v/>
      </c>
      <c r="T670" t="str">
        <f t="shared" si="1"/>
        <v/>
      </c>
      <c r="U670" t="str">
        <f t="shared" si="2"/>
        <v/>
      </c>
      <c r="V670" t="str">
        <f>IF(OR(U670="",U670="ERRO_CHAVE"),"",IFERROR(MATCH(U670,Fornecedores!$AF$1:$AF$6631,0),""))</f>
        <v/>
      </c>
      <c r="W670" t="str">
        <f t="shared" si="3"/>
        <v/>
      </c>
      <c r="X670" s="4" t="str">
        <f>IF(V670="","",INDEX(Fornecedores!$X$1:$X$6631,V670))</f>
        <v/>
      </c>
      <c r="Y670" s="4" t="str">
        <f t="shared" si="4"/>
        <v/>
      </c>
    </row>
    <row r="671" spans="19:25">
      <c r="S671" t="str">
        <f t="shared" si="0"/>
        <v/>
      </c>
      <c r="T671" t="str">
        <f t="shared" si="1"/>
        <v/>
      </c>
      <c r="U671" t="str">
        <f t="shared" si="2"/>
        <v/>
      </c>
      <c r="V671" t="str">
        <f>IF(OR(U671="",U671="ERRO_CHAVE"),"",IFERROR(MATCH(U671,Fornecedores!$AF$1:$AF$6631,0),""))</f>
        <v/>
      </c>
      <c r="W671" t="str">
        <f t="shared" si="3"/>
        <v/>
      </c>
      <c r="X671" s="4" t="str">
        <f>IF(V671="","",INDEX(Fornecedores!$X$1:$X$6631,V671))</f>
        <v/>
      </c>
      <c r="Y671" s="4" t="str">
        <f t="shared" si="4"/>
        <v/>
      </c>
    </row>
    <row r="672" spans="19:25">
      <c r="S672" t="str">
        <f t="shared" si="0"/>
        <v/>
      </c>
      <c r="T672" t="str">
        <f t="shared" si="1"/>
        <v/>
      </c>
      <c r="U672" t="str">
        <f t="shared" si="2"/>
        <v/>
      </c>
      <c r="V672" t="str">
        <f>IF(OR(U672="",U672="ERRO_CHAVE"),"",IFERROR(MATCH(U672,Fornecedores!$AF$1:$AF$6631,0),""))</f>
        <v/>
      </c>
      <c r="W672" t="str">
        <f t="shared" si="3"/>
        <v/>
      </c>
      <c r="X672" s="4" t="str">
        <f>IF(V672="","",INDEX(Fornecedores!$X$1:$X$6631,V672))</f>
        <v/>
      </c>
      <c r="Y672" s="4" t="str">
        <f t="shared" si="4"/>
        <v/>
      </c>
    </row>
    <row r="673" spans="19:25">
      <c r="S673" t="str">
        <f t="shared" si="0"/>
        <v/>
      </c>
      <c r="T673" t="str">
        <f t="shared" si="1"/>
        <v/>
      </c>
      <c r="U673" t="str">
        <f t="shared" si="2"/>
        <v/>
      </c>
      <c r="V673" t="str">
        <f>IF(OR(U673="",U673="ERRO_CHAVE"),"",IFERROR(MATCH(U673,Fornecedores!$AF$1:$AF$6631,0),""))</f>
        <v/>
      </c>
      <c r="W673" t="str">
        <f t="shared" si="3"/>
        <v/>
      </c>
      <c r="X673" s="4" t="str">
        <f>IF(V673="","",INDEX(Fornecedores!$X$1:$X$6631,V673))</f>
        <v/>
      </c>
      <c r="Y673" s="4" t="str">
        <f t="shared" si="4"/>
        <v/>
      </c>
    </row>
    <row r="674" spans="19:25">
      <c r="S674" t="str">
        <f t="shared" si="0"/>
        <v/>
      </c>
      <c r="T674" t="str">
        <f t="shared" si="1"/>
        <v/>
      </c>
      <c r="U674" t="str">
        <f t="shared" si="2"/>
        <v/>
      </c>
      <c r="V674" t="str">
        <f>IF(OR(U674="",U674="ERRO_CHAVE"),"",IFERROR(MATCH(U674,Fornecedores!$AF$1:$AF$6631,0),""))</f>
        <v/>
      </c>
      <c r="W674" t="str">
        <f t="shared" si="3"/>
        <v/>
      </c>
      <c r="X674" s="4" t="str">
        <f>IF(V674="","",INDEX(Fornecedores!$X$1:$X$6631,V674))</f>
        <v/>
      </c>
      <c r="Y674" s="4" t="str">
        <f t="shared" si="4"/>
        <v/>
      </c>
    </row>
    <row r="675" spans="19:25">
      <c r="S675" t="str">
        <f t="shared" si="0"/>
        <v/>
      </c>
      <c r="T675" t="str">
        <f t="shared" si="1"/>
        <v/>
      </c>
      <c r="U675" t="str">
        <f t="shared" si="2"/>
        <v/>
      </c>
      <c r="V675" t="str">
        <f>IF(OR(U675="",U675="ERRO_CHAVE"),"",IFERROR(MATCH(U675,Fornecedores!$AF$1:$AF$6631,0),""))</f>
        <v/>
      </c>
      <c r="W675" t="str">
        <f t="shared" si="3"/>
        <v/>
      </c>
      <c r="X675" s="4" t="str">
        <f>IF(V675="","",INDEX(Fornecedores!$X$1:$X$6631,V675))</f>
        <v/>
      </c>
      <c r="Y675" s="4" t="str">
        <f t="shared" si="4"/>
        <v/>
      </c>
    </row>
    <row r="676" spans="19:25">
      <c r="S676" t="str">
        <f t="shared" si="0"/>
        <v/>
      </c>
      <c r="T676" t="str">
        <f t="shared" si="1"/>
        <v/>
      </c>
      <c r="U676" t="str">
        <f t="shared" si="2"/>
        <v/>
      </c>
      <c r="V676" t="str">
        <f>IF(OR(U676="",U676="ERRO_CHAVE"),"",IFERROR(MATCH(U676,Fornecedores!$AF$1:$AF$6631,0),""))</f>
        <v/>
      </c>
      <c r="W676" t="str">
        <f t="shared" si="3"/>
        <v/>
      </c>
      <c r="X676" s="4" t="str">
        <f>IF(V676="","",INDEX(Fornecedores!$X$1:$X$6631,V676))</f>
        <v/>
      </c>
      <c r="Y676" s="4" t="str">
        <f t="shared" si="4"/>
        <v/>
      </c>
    </row>
    <row r="677" spans="19:25">
      <c r="S677" t="str">
        <f t="shared" si="0"/>
        <v/>
      </c>
      <c r="T677" t="str">
        <f t="shared" si="1"/>
        <v/>
      </c>
      <c r="U677" t="str">
        <f t="shared" si="2"/>
        <v/>
      </c>
      <c r="V677" t="str">
        <f>IF(OR(U677="",U677="ERRO_CHAVE"),"",IFERROR(MATCH(U677,Fornecedores!$AF$1:$AF$6631,0),""))</f>
        <v/>
      </c>
      <c r="W677" t="str">
        <f t="shared" si="3"/>
        <v/>
      </c>
      <c r="X677" s="4" t="str">
        <f>IF(V677="","",INDEX(Fornecedores!$X$1:$X$6631,V677))</f>
        <v/>
      </c>
      <c r="Y677" s="4" t="str">
        <f t="shared" si="4"/>
        <v/>
      </c>
    </row>
    <row r="678" spans="19:25">
      <c r="S678" t="str">
        <f t="shared" si="0"/>
        <v/>
      </c>
      <c r="T678" t="str">
        <f t="shared" si="1"/>
        <v/>
      </c>
      <c r="U678" t="str">
        <f t="shared" si="2"/>
        <v/>
      </c>
      <c r="V678" t="str">
        <f>IF(OR(U678="",U678="ERRO_CHAVE"),"",IFERROR(MATCH(U678,Fornecedores!$AF$1:$AF$6631,0),""))</f>
        <v/>
      </c>
      <c r="W678" t="str">
        <f t="shared" si="3"/>
        <v/>
      </c>
      <c r="X678" s="4" t="str">
        <f>IF(V678="","",INDEX(Fornecedores!$X$1:$X$6631,V678))</f>
        <v/>
      </c>
      <c r="Y678" s="4" t="str">
        <f t="shared" si="4"/>
        <v/>
      </c>
    </row>
    <row r="679" spans="19:25">
      <c r="S679" t="str">
        <f t="shared" si="0"/>
        <v/>
      </c>
      <c r="T679" t="str">
        <f t="shared" si="1"/>
        <v/>
      </c>
      <c r="U679" t="str">
        <f t="shared" si="2"/>
        <v/>
      </c>
      <c r="V679" t="str">
        <f>IF(OR(U679="",U679="ERRO_CHAVE"),"",IFERROR(MATCH(U679,Fornecedores!$AF$1:$AF$6631,0),""))</f>
        <v/>
      </c>
      <c r="W679" t="str">
        <f t="shared" si="3"/>
        <v/>
      </c>
      <c r="X679" s="4" t="str">
        <f>IF(V679="","",INDEX(Fornecedores!$X$1:$X$6631,V679))</f>
        <v/>
      </c>
      <c r="Y679" s="4" t="str">
        <f t="shared" si="4"/>
        <v/>
      </c>
    </row>
    <row r="680" spans="19:25">
      <c r="S680" t="str">
        <f t="shared" si="0"/>
        <v/>
      </c>
      <c r="T680" t="str">
        <f t="shared" si="1"/>
        <v/>
      </c>
      <c r="U680" t="str">
        <f t="shared" si="2"/>
        <v/>
      </c>
      <c r="V680" t="str">
        <f>IF(OR(U680="",U680="ERRO_CHAVE"),"",IFERROR(MATCH(U680,Fornecedores!$AF$1:$AF$6631,0),""))</f>
        <v/>
      </c>
      <c r="W680" t="str">
        <f t="shared" si="3"/>
        <v/>
      </c>
      <c r="X680" s="4" t="str">
        <f>IF(V680="","",INDEX(Fornecedores!$X$1:$X$6631,V680))</f>
        <v/>
      </c>
      <c r="Y680" s="4" t="str">
        <f t="shared" si="4"/>
        <v/>
      </c>
    </row>
    <row r="681" spans="19:25">
      <c r="S681" t="str">
        <f t="shared" si="0"/>
        <v/>
      </c>
      <c r="T681" t="str">
        <f t="shared" si="1"/>
        <v/>
      </c>
      <c r="U681" t="str">
        <f t="shared" si="2"/>
        <v/>
      </c>
      <c r="V681" t="str">
        <f>IF(OR(U681="",U681="ERRO_CHAVE"),"",IFERROR(MATCH(U681,Fornecedores!$AF$1:$AF$6631,0),""))</f>
        <v/>
      </c>
      <c r="W681" t="str">
        <f t="shared" si="3"/>
        <v/>
      </c>
      <c r="X681" s="4" t="str">
        <f>IF(V681="","",INDEX(Fornecedores!$X$1:$X$6631,V681))</f>
        <v/>
      </c>
      <c r="Y681" s="4" t="str">
        <f t="shared" si="4"/>
        <v/>
      </c>
    </row>
    <row r="682" spans="19:25">
      <c r="S682" t="str">
        <f t="shared" si="0"/>
        <v/>
      </c>
      <c r="T682" t="str">
        <f t="shared" si="1"/>
        <v/>
      </c>
      <c r="U682" t="str">
        <f t="shared" si="2"/>
        <v/>
      </c>
      <c r="V682" t="str">
        <f>IF(OR(U682="",U682="ERRO_CHAVE"),"",IFERROR(MATCH(U682,Fornecedores!$AF$1:$AF$6631,0),""))</f>
        <v/>
      </c>
      <c r="W682" t="str">
        <f t="shared" si="3"/>
        <v/>
      </c>
      <c r="X682" s="4" t="str">
        <f>IF(V682="","",INDEX(Fornecedores!$X$1:$X$6631,V682))</f>
        <v/>
      </c>
      <c r="Y682" s="4" t="str">
        <f t="shared" si="4"/>
        <v/>
      </c>
    </row>
    <row r="683" spans="19:25">
      <c r="S683" t="str">
        <f t="shared" si="0"/>
        <v/>
      </c>
      <c r="T683" t="str">
        <f t="shared" si="1"/>
        <v/>
      </c>
      <c r="U683" t="str">
        <f t="shared" si="2"/>
        <v/>
      </c>
      <c r="V683" t="str">
        <f>IF(OR(U683="",U683="ERRO_CHAVE"),"",IFERROR(MATCH(U683,Fornecedores!$AF$1:$AF$6631,0),""))</f>
        <v/>
      </c>
      <c r="W683" t="str">
        <f t="shared" si="3"/>
        <v/>
      </c>
      <c r="X683" s="4" t="str">
        <f>IF(V683="","",INDEX(Fornecedores!$X$1:$X$6631,V683))</f>
        <v/>
      </c>
      <c r="Y683" s="4" t="str">
        <f t="shared" si="4"/>
        <v/>
      </c>
    </row>
    <row r="684" spans="19:25">
      <c r="S684" t="str">
        <f t="shared" si="0"/>
        <v/>
      </c>
      <c r="T684" t="str">
        <f t="shared" si="1"/>
        <v/>
      </c>
      <c r="U684" t="str">
        <f t="shared" si="2"/>
        <v/>
      </c>
      <c r="V684" t="str">
        <f>IF(OR(U684="",U684="ERRO_CHAVE"),"",IFERROR(MATCH(U684,Fornecedores!$AF$1:$AF$6631,0),""))</f>
        <v/>
      </c>
      <c r="W684" t="str">
        <f t="shared" si="3"/>
        <v/>
      </c>
      <c r="X684" s="4" t="str">
        <f>IF(V684="","",INDEX(Fornecedores!$X$1:$X$6631,V684))</f>
        <v/>
      </c>
      <c r="Y684" s="4" t="str">
        <f t="shared" si="4"/>
        <v/>
      </c>
    </row>
    <row r="685" spans="19:25">
      <c r="S685" t="str">
        <f t="shared" si="0"/>
        <v/>
      </c>
      <c r="T685" t="str">
        <f t="shared" si="1"/>
        <v/>
      </c>
      <c r="U685" t="str">
        <f t="shared" si="2"/>
        <v/>
      </c>
      <c r="V685" t="str">
        <f>IF(OR(U685="",U685="ERRO_CHAVE"),"",IFERROR(MATCH(U685,Fornecedores!$AF$1:$AF$6631,0),""))</f>
        <v/>
      </c>
      <c r="W685" t="str">
        <f t="shared" si="3"/>
        <v/>
      </c>
      <c r="X685" s="4" t="str">
        <f>IF(V685="","",INDEX(Fornecedores!$X$1:$X$6631,V685))</f>
        <v/>
      </c>
      <c r="Y685" s="4" t="str">
        <f t="shared" si="4"/>
        <v/>
      </c>
    </row>
    <row r="686" spans="19:25">
      <c r="S686" t="str">
        <f t="shared" si="0"/>
        <v/>
      </c>
      <c r="T686" t="str">
        <f t="shared" si="1"/>
        <v/>
      </c>
      <c r="U686" t="str">
        <f t="shared" si="2"/>
        <v/>
      </c>
      <c r="V686" t="str">
        <f>IF(OR(U686="",U686="ERRO_CHAVE"),"",IFERROR(MATCH(U686,Fornecedores!$AF$1:$AF$6631,0),""))</f>
        <v/>
      </c>
      <c r="W686" t="str">
        <f t="shared" si="3"/>
        <v/>
      </c>
      <c r="X686" s="4" t="str">
        <f>IF(V686="","",INDEX(Fornecedores!$X$1:$X$6631,V686))</f>
        <v/>
      </c>
      <c r="Y686" s="4" t="str">
        <f t="shared" si="4"/>
        <v/>
      </c>
    </row>
    <row r="687" spans="19:25">
      <c r="S687" t="str">
        <f t="shared" si="0"/>
        <v/>
      </c>
      <c r="T687" t="str">
        <f t="shared" si="1"/>
        <v/>
      </c>
      <c r="U687" t="str">
        <f t="shared" si="2"/>
        <v/>
      </c>
      <c r="V687" t="str">
        <f>IF(OR(U687="",U687="ERRO_CHAVE"),"",IFERROR(MATCH(U687,Fornecedores!$AF$1:$AF$6631,0),""))</f>
        <v/>
      </c>
      <c r="W687" t="str">
        <f t="shared" si="3"/>
        <v/>
      </c>
      <c r="X687" s="4" t="str">
        <f>IF(V687="","",INDEX(Fornecedores!$X$1:$X$6631,V687))</f>
        <v/>
      </c>
      <c r="Y687" s="4" t="str">
        <f t="shared" si="4"/>
        <v/>
      </c>
    </row>
    <row r="688" spans="19:25">
      <c r="S688" t="str">
        <f t="shared" si="0"/>
        <v/>
      </c>
      <c r="T688" t="str">
        <f t="shared" si="1"/>
        <v/>
      </c>
      <c r="U688" t="str">
        <f t="shared" si="2"/>
        <v/>
      </c>
      <c r="V688" t="str">
        <f>IF(OR(U688="",U688="ERRO_CHAVE"),"",IFERROR(MATCH(U688,Fornecedores!$AF$1:$AF$6631,0),""))</f>
        <v/>
      </c>
      <c r="W688" t="str">
        <f t="shared" si="3"/>
        <v/>
      </c>
      <c r="X688" s="4" t="str">
        <f>IF(V688="","",INDEX(Fornecedores!$X$1:$X$6631,V688))</f>
        <v/>
      </c>
      <c r="Y688" s="4" t="str">
        <f t="shared" si="4"/>
        <v/>
      </c>
    </row>
    <row r="689" spans="19:25">
      <c r="S689" t="str">
        <f t="shared" si="0"/>
        <v/>
      </c>
      <c r="T689" t="str">
        <f t="shared" si="1"/>
        <v/>
      </c>
      <c r="U689" t="str">
        <f t="shared" si="2"/>
        <v/>
      </c>
      <c r="V689" t="str">
        <f>IF(OR(U689="",U689="ERRO_CHAVE"),"",IFERROR(MATCH(U689,Fornecedores!$AF$1:$AF$6631,0),""))</f>
        <v/>
      </c>
      <c r="W689" t="str">
        <f t="shared" si="3"/>
        <v/>
      </c>
      <c r="X689" s="4" t="str">
        <f>IF(V689="","",INDEX(Fornecedores!$X$1:$X$6631,V689))</f>
        <v/>
      </c>
      <c r="Y689" s="4" t="str">
        <f t="shared" si="4"/>
        <v/>
      </c>
    </row>
    <row r="690" spans="19:25">
      <c r="S690" t="str">
        <f t="shared" si="0"/>
        <v/>
      </c>
      <c r="T690" t="str">
        <f t="shared" si="1"/>
        <v/>
      </c>
      <c r="U690" t="str">
        <f t="shared" si="2"/>
        <v/>
      </c>
      <c r="V690" t="str">
        <f>IF(OR(U690="",U690="ERRO_CHAVE"),"",IFERROR(MATCH(U690,Fornecedores!$AF$1:$AF$6631,0),""))</f>
        <v/>
      </c>
      <c r="W690" t="str">
        <f t="shared" si="3"/>
        <v/>
      </c>
      <c r="X690" s="4" t="str">
        <f>IF(V690="","",INDEX(Fornecedores!$X$1:$X$6631,V690))</f>
        <v/>
      </c>
      <c r="Y690" s="4" t="str">
        <f t="shared" si="4"/>
        <v/>
      </c>
    </row>
    <row r="691" spans="19:25">
      <c r="S691" t="str">
        <f t="shared" si="0"/>
        <v/>
      </c>
      <c r="T691" t="str">
        <f t="shared" si="1"/>
        <v/>
      </c>
      <c r="U691" t="str">
        <f t="shared" si="2"/>
        <v/>
      </c>
      <c r="V691" t="str">
        <f>IF(OR(U691="",U691="ERRO_CHAVE"),"",IFERROR(MATCH(U691,Fornecedores!$AF$1:$AF$6631,0),""))</f>
        <v/>
      </c>
      <c r="W691" t="str">
        <f t="shared" si="3"/>
        <v/>
      </c>
      <c r="X691" s="4" t="str">
        <f>IF(V691="","",INDEX(Fornecedores!$X$1:$X$6631,V691))</f>
        <v/>
      </c>
      <c r="Y691" s="4" t="str">
        <f t="shared" si="4"/>
        <v/>
      </c>
    </row>
    <row r="692" spans="19:25">
      <c r="S692" t="str">
        <f t="shared" si="0"/>
        <v/>
      </c>
      <c r="T692" t="str">
        <f t="shared" si="1"/>
        <v/>
      </c>
      <c r="U692" t="str">
        <f t="shared" si="2"/>
        <v/>
      </c>
      <c r="V692" t="str">
        <f>IF(OR(U692="",U692="ERRO_CHAVE"),"",IFERROR(MATCH(U692,Fornecedores!$AF$1:$AF$6631,0),""))</f>
        <v/>
      </c>
      <c r="W692" t="str">
        <f t="shared" si="3"/>
        <v/>
      </c>
      <c r="X692" s="4" t="str">
        <f>IF(V692="","",INDEX(Fornecedores!$X$1:$X$6631,V692))</f>
        <v/>
      </c>
      <c r="Y692" s="4" t="str">
        <f t="shared" si="4"/>
        <v/>
      </c>
    </row>
    <row r="693" spans="19:25">
      <c r="S693" t="str">
        <f t="shared" si="0"/>
        <v/>
      </c>
      <c r="T693" t="str">
        <f t="shared" si="1"/>
        <v/>
      </c>
      <c r="U693" t="str">
        <f t="shared" si="2"/>
        <v/>
      </c>
      <c r="V693" t="str">
        <f>IF(OR(U693="",U693="ERRO_CHAVE"),"",IFERROR(MATCH(U693,Fornecedores!$AF$1:$AF$6631,0),""))</f>
        <v/>
      </c>
      <c r="W693" t="str">
        <f t="shared" si="3"/>
        <v/>
      </c>
      <c r="X693" s="4" t="str">
        <f>IF(V693="","",INDEX(Fornecedores!$X$1:$X$6631,V693))</f>
        <v/>
      </c>
      <c r="Y693" s="4" t="str">
        <f t="shared" si="4"/>
        <v/>
      </c>
    </row>
    <row r="694" spans="19:25">
      <c r="S694" t="str">
        <f t="shared" si="0"/>
        <v/>
      </c>
      <c r="T694" t="str">
        <f t="shared" si="1"/>
        <v/>
      </c>
      <c r="U694" t="str">
        <f t="shared" si="2"/>
        <v/>
      </c>
      <c r="V694" t="str">
        <f>IF(OR(U694="",U694="ERRO_CHAVE"),"",IFERROR(MATCH(U694,Fornecedores!$AF$1:$AF$6631,0),""))</f>
        <v/>
      </c>
      <c r="W694" t="str">
        <f t="shared" si="3"/>
        <v/>
      </c>
      <c r="X694" s="4" t="str">
        <f>IF(V694="","",INDEX(Fornecedores!$X$1:$X$6631,V694))</f>
        <v/>
      </c>
      <c r="Y694" s="4" t="str">
        <f t="shared" si="4"/>
        <v/>
      </c>
    </row>
    <row r="695" spans="19:25">
      <c r="S695" t="str">
        <f t="shared" si="0"/>
        <v/>
      </c>
      <c r="T695" t="str">
        <f t="shared" si="1"/>
        <v/>
      </c>
      <c r="U695" t="str">
        <f t="shared" si="2"/>
        <v/>
      </c>
      <c r="V695" t="str">
        <f>IF(OR(U695="",U695="ERRO_CHAVE"),"",IFERROR(MATCH(U695,Fornecedores!$AF$1:$AF$6631,0),""))</f>
        <v/>
      </c>
      <c r="W695" t="str">
        <f t="shared" si="3"/>
        <v/>
      </c>
      <c r="X695" s="4" t="str">
        <f>IF(V695="","",INDEX(Fornecedores!$X$1:$X$6631,V695))</f>
        <v/>
      </c>
      <c r="Y695" s="4" t="str">
        <f t="shared" si="4"/>
        <v/>
      </c>
    </row>
    <row r="696" spans="19:25">
      <c r="S696" t="str">
        <f t="shared" si="0"/>
        <v/>
      </c>
      <c r="T696" t="str">
        <f t="shared" si="1"/>
        <v/>
      </c>
      <c r="U696" t="str">
        <f t="shared" si="2"/>
        <v/>
      </c>
      <c r="V696" t="str">
        <f>IF(OR(U696="",U696="ERRO_CHAVE"),"",IFERROR(MATCH(U696,Fornecedores!$AF$1:$AF$6631,0),""))</f>
        <v/>
      </c>
      <c r="W696" t="str">
        <f t="shared" si="3"/>
        <v/>
      </c>
      <c r="X696" s="4" t="str">
        <f>IF(V696="","",INDEX(Fornecedores!$X$1:$X$6631,V696))</f>
        <v/>
      </c>
      <c r="Y696" s="4" t="str">
        <f t="shared" si="4"/>
        <v/>
      </c>
    </row>
    <row r="697" spans="19:25">
      <c r="S697" t="str">
        <f t="shared" si="0"/>
        <v/>
      </c>
      <c r="T697" t="str">
        <f t="shared" si="1"/>
        <v/>
      </c>
      <c r="U697" t="str">
        <f t="shared" si="2"/>
        <v/>
      </c>
      <c r="V697" t="str">
        <f>IF(OR(U697="",U697="ERRO_CHAVE"),"",IFERROR(MATCH(U697,Fornecedores!$AF$1:$AF$6631,0),""))</f>
        <v/>
      </c>
      <c r="W697" t="str">
        <f t="shared" si="3"/>
        <v/>
      </c>
      <c r="X697" s="4" t="str">
        <f>IF(V697="","",INDEX(Fornecedores!$X$1:$X$6631,V697))</f>
        <v/>
      </c>
      <c r="Y697" s="4" t="str">
        <f t="shared" si="4"/>
        <v/>
      </c>
    </row>
    <row r="698" spans="19:25">
      <c r="S698" t="str">
        <f t="shared" si="0"/>
        <v/>
      </c>
      <c r="T698" t="str">
        <f t="shared" si="1"/>
        <v/>
      </c>
      <c r="U698" t="str">
        <f t="shared" si="2"/>
        <v/>
      </c>
      <c r="V698" t="str">
        <f>IF(OR(U698="",U698="ERRO_CHAVE"),"",IFERROR(MATCH(U698,Fornecedores!$AF$1:$AF$6631,0),""))</f>
        <v/>
      </c>
      <c r="W698" t="str">
        <f t="shared" si="3"/>
        <v/>
      </c>
      <c r="X698" s="4" t="str">
        <f>IF(V698="","",INDEX(Fornecedores!$X$1:$X$6631,V698))</f>
        <v/>
      </c>
      <c r="Y698" s="4" t="str">
        <f t="shared" si="4"/>
        <v/>
      </c>
    </row>
    <row r="699" spans="19:25">
      <c r="S699" t="str">
        <f t="shared" si="0"/>
        <v/>
      </c>
      <c r="T699" t="str">
        <f t="shared" si="1"/>
        <v/>
      </c>
      <c r="U699" t="str">
        <f t="shared" si="2"/>
        <v/>
      </c>
      <c r="V699" t="str">
        <f>IF(OR(U699="",U699="ERRO_CHAVE"),"",IFERROR(MATCH(U699,Fornecedores!$AF$1:$AF$6631,0),""))</f>
        <v/>
      </c>
      <c r="W699" t="str">
        <f t="shared" si="3"/>
        <v/>
      </c>
      <c r="X699" s="4" t="str">
        <f>IF(V699="","",INDEX(Fornecedores!$X$1:$X$6631,V699))</f>
        <v/>
      </c>
      <c r="Y699" s="4" t="str">
        <f t="shared" si="4"/>
        <v/>
      </c>
    </row>
    <row r="700" spans="19:25">
      <c r="S700" t="str">
        <f t="shared" si="0"/>
        <v/>
      </c>
      <c r="T700" t="str">
        <f t="shared" si="1"/>
        <v/>
      </c>
      <c r="U700" t="str">
        <f t="shared" si="2"/>
        <v/>
      </c>
      <c r="V700" t="str">
        <f>IF(OR(U700="",U700="ERRO_CHAVE"),"",IFERROR(MATCH(U700,Fornecedores!$AF$1:$AF$6631,0),""))</f>
        <v/>
      </c>
      <c r="W700" t="str">
        <f t="shared" si="3"/>
        <v/>
      </c>
      <c r="X700" s="4" t="str">
        <f>IF(V700="","",INDEX(Fornecedores!$X$1:$X$6631,V700))</f>
        <v/>
      </c>
      <c r="Y700" s="4" t="str">
        <f t="shared" si="4"/>
        <v/>
      </c>
    </row>
    <row r="701" spans="19:25">
      <c r="S701" t="str">
        <f t="shared" si="0"/>
        <v/>
      </c>
      <c r="T701" t="str">
        <f t="shared" si="1"/>
        <v/>
      </c>
      <c r="U701" t="str">
        <f t="shared" si="2"/>
        <v/>
      </c>
      <c r="V701" t="str">
        <f>IF(OR(U701="",U701="ERRO_CHAVE"),"",IFERROR(MATCH(U701,Fornecedores!$AF$1:$AF$6631,0),""))</f>
        <v/>
      </c>
      <c r="W701" t="str">
        <f t="shared" si="3"/>
        <v/>
      </c>
      <c r="X701" s="4" t="str">
        <f>IF(V701="","",INDEX(Fornecedores!$X$1:$X$6631,V701))</f>
        <v/>
      </c>
      <c r="Y701" s="4" t="str">
        <f t="shared" si="4"/>
        <v/>
      </c>
    </row>
    <row r="702" spans="19:25">
      <c r="S702" t="str">
        <f t="shared" si="0"/>
        <v/>
      </c>
      <c r="T702" t="str">
        <f t="shared" si="1"/>
        <v/>
      </c>
      <c r="U702" t="str">
        <f t="shared" si="2"/>
        <v/>
      </c>
      <c r="V702" t="str">
        <f>IF(OR(U702="",U702="ERRO_CHAVE"),"",IFERROR(MATCH(U702,Fornecedores!$AF$1:$AF$6631,0),""))</f>
        <v/>
      </c>
      <c r="W702" t="str">
        <f t="shared" si="3"/>
        <v/>
      </c>
      <c r="X702" s="4" t="str">
        <f>IF(V702="","",INDEX(Fornecedores!$X$1:$X$6631,V702))</f>
        <v/>
      </c>
      <c r="Y702" s="4" t="str">
        <f t="shared" si="4"/>
        <v/>
      </c>
    </row>
    <row r="703" spans="19:25">
      <c r="S703" t="str">
        <f t="shared" si="0"/>
        <v/>
      </c>
      <c r="T703" t="str">
        <f t="shared" si="1"/>
        <v/>
      </c>
      <c r="U703" t="str">
        <f t="shared" si="2"/>
        <v/>
      </c>
      <c r="V703" t="str">
        <f>IF(OR(U703="",U703="ERRO_CHAVE"),"",IFERROR(MATCH(U703,Fornecedores!$AF$1:$AF$6631,0),""))</f>
        <v/>
      </c>
      <c r="W703" t="str">
        <f t="shared" si="3"/>
        <v/>
      </c>
      <c r="X703" s="4" t="str">
        <f>IF(V703="","",INDEX(Fornecedores!$X$1:$X$6631,V703))</f>
        <v/>
      </c>
      <c r="Y703" s="4" t="str">
        <f t="shared" si="4"/>
        <v/>
      </c>
    </row>
    <row r="704" spans="19:25">
      <c r="S704" t="str">
        <f t="shared" si="0"/>
        <v/>
      </c>
      <c r="T704" t="str">
        <f t="shared" si="1"/>
        <v/>
      </c>
      <c r="U704" t="str">
        <f t="shared" si="2"/>
        <v/>
      </c>
      <c r="V704" t="str">
        <f>IF(OR(U704="",U704="ERRO_CHAVE"),"",IFERROR(MATCH(U704,Fornecedores!$AF$1:$AF$6631,0),""))</f>
        <v/>
      </c>
      <c r="W704" t="str">
        <f t="shared" si="3"/>
        <v/>
      </c>
      <c r="X704" s="4" t="str">
        <f>IF(V704="","",INDEX(Fornecedores!$X$1:$X$6631,V704))</f>
        <v/>
      </c>
      <c r="Y704" s="4" t="str">
        <f t="shared" si="4"/>
        <v/>
      </c>
    </row>
    <row r="705" spans="19:25">
      <c r="S705" t="str">
        <f t="shared" si="0"/>
        <v/>
      </c>
      <c r="T705" t="str">
        <f t="shared" si="1"/>
        <v/>
      </c>
      <c r="U705" t="str">
        <f t="shared" si="2"/>
        <v/>
      </c>
      <c r="V705" t="str">
        <f>IF(OR(U705="",U705="ERRO_CHAVE"),"",IFERROR(MATCH(U705,Fornecedores!$AF$1:$AF$6631,0),""))</f>
        <v/>
      </c>
      <c r="W705" t="str">
        <f t="shared" si="3"/>
        <v/>
      </c>
      <c r="X705" s="4" t="str">
        <f>IF(V705="","",INDEX(Fornecedores!$X$1:$X$6631,V705))</f>
        <v/>
      </c>
      <c r="Y705" s="4" t="str">
        <f t="shared" si="4"/>
        <v/>
      </c>
    </row>
    <row r="706" spans="19:25">
      <c r="S706" t="str">
        <f t="shared" si="0"/>
        <v/>
      </c>
      <c r="T706" t="str">
        <f t="shared" si="1"/>
        <v/>
      </c>
      <c r="U706" t="str">
        <f t="shared" si="2"/>
        <v/>
      </c>
      <c r="V706" t="str">
        <f>IF(OR(U706="",U706="ERRO_CHAVE"),"",IFERROR(MATCH(U706,Fornecedores!$AF$1:$AF$6631,0),""))</f>
        <v/>
      </c>
      <c r="W706" t="str">
        <f t="shared" si="3"/>
        <v/>
      </c>
      <c r="X706" s="4" t="str">
        <f>IF(V706="","",INDEX(Fornecedores!$X$1:$X$6631,V706))</f>
        <v/>
      </c>
      <c r="Y706" s="4" t="str">
        <f t="shared" si="4"/>
        <v/>
      </c>
    </row>
    <row r="707" spans="19:25">
      <c r="S707" t="str">
        <f t="shared" si="0"/>
        <v/>
      </c>
      <c r="T707" t="str">
        <f t="shared" si="1"/>
        <v/>
      </c>
      <c r="U707" t="str">
        <f t="shared" si="2"/>
        <v/>
      </c>
      <c r="V707" t="str">
        <f>IF(OR(U707="",U707="ERRO_CHAVE"),"",IFERROR(MATCH(U707,Fornecedores!$AF$1:$AF$6631,0),""))</f>
        <v/>
      </c>
      <c r="W707" t="str">
        <f t="shared" si="3"/>
        <v/>
      </c>
      <c r="X707" s="4" t="str">
        <f>IF(V707="","",INDEX(Fornecedores!$X$1:$X$6631,V707))</f>
        <v/>
      </c>
      <c r="Y707" s="4" t="str">
        <f t="shared" si="4"/>
        <v/>
      </c>
    </row>
    <row r="708" spans="19:25">
      <c r="S708" t="str">
        <f t="shared" si="0"/>
        <v/>
      </c>
      <c r="T708" t="str">
        <f t="shared" si="1"/>
        <v/>
      </c>
      <c r="U708" t="str">
        <f t="shared" si="2"/>
        <v/>
      </c>
      <c r="V708" t="str">
        <f>IF(OR(U708="",U708="ERRO_CHAVE"),"",IFERROR(MATCH(U708,Fornecedores!$AF$1:$AF$6631,0),""))</f>
        <v/>
      </c>
      <c r="W708" t="str">
        <f t="shared" si="3"/>
        <v/>
      </c>
      <c r="X708" s="4" t="str">
        <f>IF(V708="","",INDEX(Fornecedores!$X$1:$X$6631,V708))</f>
        <v/>
      </c>
      <c r="Y708" s="4" t="str">
        <f t="shared" si="4"/>
        <v/>
      </c>
    </row>
    <row r="709" spans="19:25">
      <c r="S709" t="str">
        <f t="shared" si="0"/>
        <v/>
      </c>
      <c r="T709" t="str">
        <f t="shared" si="1"/>
        <v/>
      </c>
      <c r="U709" t="str">
        <f t="shared" si="2"/>
        <v/>
      </c>
      <c r="V709" t="str">
        <f>IF(OR(U709="",U709="ERRO_CHAVE"),"",IFERROR(MATCH(U709,Fornecedores!$AF$1:$AF$6631,0),""))</f>
        <v/>
      </c>
      <c r="W709" t="str">
        <f t="shared" si="3"/>
        <v/>
      </c>
      <c r="X709" s="4" t="str">
        <f>IF(V709="","",INDEX(Fornecedores!$X$1:$X$6631,V709))</f>
        <v/>
      </c>
      <c r="Y709" s="4" t="str">
        <f t="shared" si="4"/>
        <v/>
      </c>
    </row>
    <row r="710" spans="19:25">
      <c r="S710" t="str">
        <f t="shared" si="0"/>
        <v/>
      </c>
      <c r="T710" t="str">
        <f t="shared" si="1"/>
        <v/>
      </c>
      <c r="U710" t="str">
        <f t="shared" si="2"/>
        <v/>
      </c>
      <c r="V710" t="str">
        <f>IF(OR(U710="",U710="ERRO_CHAVE"),"",IFERROR(MATCH(U710,Fornecedores!$AF$1:$AF$6631,0),""))</f>
        <v/>
      </c>
      <c r="W710" t="str">
        <f t="shared" si="3"/>
        <v/>
      </c>
      <c r="X710" s="4" t="str">
        <f>IF(V710="","",INDEX(Fornecedores!$X$1:$X$6631,V710))</f>
        <v/>
      </c>
      <c r="Y710" s="4" t="str">
        <f t="shared" si="4"/>
        <v/>
      </c>
    </row>
    <row r="711" spans="19:25">
      <c r="S711" t="str">
        <f t="shared" si="0"/>
        <v/>
      </c>
      <c r="T711" t="str">
        <f t="shared" si="1"/>
        <v/>
      </c>
      <c r="U711" t="str">
        <f t="shared" si="2"/>
        <v/>
      </c>
      <c r="V711" t="str">
        <f>IF(OR(U711="",U711="ERRO_CHAVE"),"",IFERROR(MATCH(U711,Fornecedores!$AF$1:$AF$6631,0),""))</f>
        <v/>
      </c>
      <c r="W711" t="str">
        <f t="shared" si="3"/>
        <v/>
      </c>
      <c r="X711" s="4" t="str">
        <f>IF(V711="","",INDEX(Fornecedores!$X$1:$X$6631,V711))</f>
        <v/>
      </c>
      <c r="Y711" s="4" t="str">
        <f t="shared" si="4"/>
        <v/>
      </c>
    </row>
    <row r="712" spans="19:25">
      <c r="S712" t="str">
        <f t="shared" si="0"/>
        <v/>
      </c>
      <c r="T712" t="str">
        <f t="shared" si="1"/>
        <v/>
      </c>
      <c r="U712" t="str">
        <f t="shared" si="2"/>
        <v/>
      </c>
      <c r="V712" t="str">
        <f>IF(OR(U712="",U712="ERRO_CHAVE"),"",IFERROR(MATCH(U712,Fornecedores!$AF$1:$AF$6631,0),""))</f>
        <v/>
      </c>
      <c r="W712" t="str">
        <f t="shared" si="3"/>
        <v/>
      </c>
      <c r="X712" s="4" t="str">
        <f>IF(V712="","",INDEX(Fornecedores!$X$1:$X$6631,V712))</f>
        <v/>
      </c>
      <c r="Y712" s="4" t="str">
        <f t="shared" si="4"/>
        <v/>
      </c>
    </row>
    <row r="713" spans="19:25">
      <c r="S713" t="str">
        <f t="shared" si="0"/>
        <v/>
      </c>
      <c r="T713" t="str">
        <f t="shared" si="1"/>
        <v/>
      </c>
      <c r="U713" t="str">
        <f t="shared" si="2"/>
        <v/>
      </c>
      <c r="V713" t="str">
        <f>IF(OR(U713="",U713="ERRO_CHAVE"),"",IFERROR(MATCH(U713,Fornecedores!$AF$1:$AF$6631,0),""))</f>
        <v/>
      </c>
      <c r="W713" t="str">
        <f t="shared" si="3"/>
        <v/>
      </c>
      <c r="X713" s="4" t="str">
        <f>IF(V713="","",INDEX(Fornecedores!$X$1:$X$6631,V713))</f>
        <v/>
      </c>
      <c r="Y713" s="4" t="str">
        <f t="shared" si="4"/>
        <v/>
      </c>
    </row>
    <row r="714" spans="19:25">
      <c r="S714" t="str">
        <f t="shared" si="0"/>
        <v/>
      </c>
      <c r="T714" t="str">
        <f t="shared" si="1"/>
        <v/>
      </c>
      <c r="U714" t="str">
        <f t="shared" si="2"/>
        <v/>
      </c>
      <c r="V714" t="str">
        <f>IF(OR(U714="",U714="ERRO_CHAVE"),"",IFERROR(MATCH(U714,Fornecedores!$AF$1:$AF$6631,0),""))</f>
        <v/>
      </c>
      <c r="W714" t="str">
        <f t="shared" si="3"/>
        <v/>
      </c>
      <c r="X714" s="4" t="str">
        <f>IF(V714="","",INDEX(Fornecedores!$X$1:$X$6631,V714))</f>
        <v/>
      </c>
      <c r="Y714" s="4" t="str">
        <f t="shared" si="4"/>
        <v/>
      </c>
    </row>
    <row r="715" spans="19:25">
      <c r="S715" t="str">
        <f t="shared" si="0"/>
        <v/>
      </c>
      <c r="T715" t="str">
        <f t="shared" si="1"/>
        <v/>
      </c>
      <c r="U715" t="str">
        <f t="shared" si="2"/>
        <v/>
      </c>
      <c r="V715" t="str">
        <f>IF(OR(U715="",U715="ERRO_CHAVE"),"",IFERROR(MATCH(U715,Fornecedores!$AF$1:$AF$6631,0),""))</f>
        <v/>
      </c>
      <c r="W715" t="str">
        <f t="shared" si="3"/>
        <v/>
      </c>
      <c r="X715" s="4" t="str">
        <f>IF(V715="","",INDEX(Fornecedores!$X$1:$X$6631,V715))</f>
        <v/>
      </c>
      <c r="Y715" s="4" t="str">
        <f t="shared" si="4"/>
        <v/>
      </c>
    </row>
    <row r="716" spans="19:25">
      <c r="S716" t="str">
        <f t="shared" si="0"/>
        <v/>
      </c>
      <c r="T716" t="str">
        <f t="shared" si="1"/>
        <v/>
      </c>
      <c r="U716" t="str">
        <f t="shared" si="2"/>
        <v/>
      </c>
      <c r="V716" t="str">
        <f>IF(OR(U716="",U716="ERRO_CHAVE"),"",IFERROR(MATCH(U716,Fornecedores!$AF$1:$AF$6631,0),""))</f>
        <v/>
      </c>
      <c r="W716" t="str">
        <f t="shared" si="3"/>
        <v/>
      </c>
      <c r="X716" s="4" t="str">
        <f>IF(V716="","",INDEX(Fornecedores!$X$1:$X$6631,V716))</f>
        <v/>
      </c>
      <c r="Y716" s="4" t="str">
        <f t="shared" si="4"/>
        <v/>
      </c>
    </row>
    <row r="717" spans="19:25">
      <c r="S717" t="str">
        <f t="shared" si="0"/>
        <v/>
      </c>
      <c r="T717" t="str">
        <f t="shared" si="1"/>
        <v/>
      </c>
      <c r="U717" t="str">
        <f t="shared" si="2"/>
        <v/>
      </c>
      <c r="V717" t="str">
        <f>IF(OR(U717="",U717="ERRO_CHAVE"),"",IFERROR(MATCH(U717,Fornecedores!$AF$1:$AF$6631,0),""))</f>
        <v/>
      </c>
      <c r="W717" t="str">
        <f t="shared" si="3"/>
        <v/>
      </c>
      <c r="X717" s="4" t="str">
        <f>IF(V717="","",INDEX(Fornecedores!$X$1:$X$6631,V717))</f>
        <v/>
      </c>
      <c r="Y717" s="4" t="str">
        <f t="shared" si="4"/>
        <v/>
      </c>
    </row>
    <row r="718" spans="19:25">
      <c r="S718" t="str">
        <f t="shared" si="0"/>
        <v/>
      </c>
      <c r="T718" t="str">
        <f t="shared" si="1"/>
        <v/>
      </c>
      <c r="U718" t="str">
        <f t="shared" si="2"/>
        <v/>
      </c>
      <c r="V718" t="str">
        <f>IF(OR(U718="",U718="ERRO_CHAVE"),"",IFERROR(MATCH(U718,Fornecedores!$AF$1:$AF$6631,0),""))</f>
        <v/>
      </c>
      <c r="W718" t="str">
        <f t="shared" si="3"/>
        <v/>
      </c>
      <c r="X718" s="4" t="str">
        <f>IF(V718="","",INDEX(Fornecedores!$X$1:$X$6631,V718))</f>
        <v/>
      </c>
      <c r="Y718" s="4" t="str">
        <f t="shared" si="4"/>
        <v/>
      </c>
    </row>
    <row r="719" spans="19:25">
      <c r="S719" t="str">
        <f t="shared" si="0"/>
        <v/>
      </c>
      <c r="T719" t="str">
        <f t="shared" si="1"/>
        <v/>
      </c>
      <c r="U719" t="str">
        <f t="shared" si="2"/>
        <v/>
      </c>
      <c r="V719" t="str">
        <f>IF(OR(U719="",U719="ERRO_CHAVE"),"",IFERROR(MATCH(U719,Fornecedores!$AF$1:$AF$6631,0),""))</f>
        <v/>
      </c>
      <c r="W719" t="str">
        <f t="shared" si="3"/>
        <v/>
      </c>
      <c r="X719" s="4" t="str">
        <f>IF(V719="","",INDEX(Fornecedores!$X$1:$X$6631,V719))</f>
        <v/>
      </c>
      <c r="Y719" s="4" t="str">
        <f t="shared" si="4"/>
        <v/>
      </c>
    </row>
    <row r="720" spans="19:25">
      <c r="S720" t="str">
        <f t="shared" si="0"/>
        <v/>
      </c>
      <c r="T720" t="str">
        <f t="shared" si="1"/>
        <v/>
      </c>
      <c r="U720" t="str">
        <f t="shared" si="2"/>
        <v/>
      </c>
      <c r="V720" t="str">
        <f>IF(OR(U720="",U720="ERRO_CHAVE"),"",IFERROR(MATCH(U720,Fornecedores!$AF$1:$AF$6631,0),""))</f>
        <v/>
      </c>
      <c r="W720" t="str">
        <f t="shared" si="3"/>
        <v/>
      </c>
      <c r="X720" s="4" t="str">
        <f>IF(V720="","",INDEX(Fornecedores!$X$1:$X$6631,V720))</f>
        <v/>
      </c>
      <c r="Y720" s="4" t="str">
        <f t="shared" si="4"/>
        <v/>
      </c>
    </row>
    <row r="721" spans="19:25">
      <c r="S721" t="str">
        <f t="shared" si="0"/>
        <v/>
      </c>
      <c r="T721" t="str">
        <f t="shared" si="1"/>
        <v/>
      </c>
      <c r="U721" t="str">
        <f t="shared" si="2"/>
        <v/>
      </c>
      <c r="V721" t="str">
        <f>IF(OR(U721="",U721="ERRO_CHAVE"),"",IFERROR(MATCH(U721,Fornecedores!$AF$1:$AF$6631,0),""))</f>
        <v/>
      </c>
      <c r="W721" t="str">
        <f t="shared" si="3"/>
        <v/>
      </c>
      <c r="X721" s="4" t="str">
        <f>IF(V721="","",INDEX(Fornecedores!$X$1:$X$6631,V721))</f>
        <v/>
      </c>
      <c r="Y721" s="4" t="str">
        <f t="shared" si="4"/>
        <v/>
      </c>
    </row>
    <row r="722" spans="19:25">
      <c r="S722" t="str">
        <f t="shared" si="0"/>
        <v/>
      </c>
      <c r="T722" t="str">
        <f t="shared" si="1"/>
        <v/>
      </c>
      <c r="U722" t="str">
        <f t="shared" si="2"/>
        <v/>
      </c>
      <c r="V722" t="str">
        <f>IF(OR(U722="",U722="ERRO_CHAVE"),"",IFERROR(MATCH(U722,Fornecedores!$AF$1:$AF$6631,0),""))</f>
        <v/>
      </c>
      <c r="W722" t="str">
        <f t="shared" si="3"/>
        <v/>
      </c>
      <c r="X722" s="4" t="str">
        <f>IF(V722="","",INDEX(Fornecedores!$X$1:$X$6631,V722))</f>
        <v/>
      </c>
      <c r="Y722" s="4" t="str">
        <f t="shared" si="4"/>
        <v/>
      </c>
    </row>
    <row r="723" spans="19:25">
      <c r="S723" t="str">
        <f t="shared" si="0"/>
        <v/>
      </c>
      <c r="T723" t="str">
        <f t="shared" si="1"/>
        <v/>
      </c>
      <c r="U723" t="str">
        <f t="shared" si="2"/>
        <v/>
      </c>
      <c r="V723" t="str">
        <f>IF(OR(U723="",U723="ERRO_CHAVE"),"",IFERROR(MATCH(U723,Fornecedores!$AF$1:$AF$6631,0),""))</f>
        <v/>
      </c>
      <c r="W723" t="str">
        <f t="shared" si="3"/>
        <v/>
      </c>
      <c r="X723" s="4" t="str">
        <f>IF(V723="","",INDEX(Fornecedores!$X$1:$X$6631,V723))</f>
        <v/>
      </c>
      <c r="Y723" s="4" t="str">
        <f t="shared" si="4"/>
        <v/>
      </c>
    </row>
    <row r="724" spans="19:25">
      <c r="S724" t="str">
        <f t="shared" si="0"/>
        <v/>
      </c>
      <c r="T724" t="str">
        <f t="shared" si="1"/>
        <v/>
      </c>
      <c r="U724" t="str">
        <f t="shared" si="2"/>
        <v/>
      </c>
      <c r="V724" t="str">
        <f>IF(OR(U724="",U724="ERRO_CHAVE"),"",IFERROR(MATCH(U724,Fornecedores!$AF$1:$AF$6631,0),""))</f>
        <v/>
      </c>
      <c r="W724" t="str">
        <f t="shared" si="3"/>
        <v/>
      </c>
      <c r="X724" s="4" t="str">
        <f>IF(V724="","",INDEX(Fornecedores!$X$1:$X$6631,V724))</f>
        <v/>
      </c>
      <c r="Y724" s="4" t="str">
        <f t="shared" si="4"/>
        <v/>
      </c>
    </row>
    <row r="725" spans="19:25">
      <c r="S725" t="str">
        <f t="shared" si="0"/>
        <v/>
      </c>
      <c r="T725" t="str">
        <f t="shared" si="1"/>
        <v/>
      </c>
      <c r="U725" t="str">
        <f t="shared" si="2"/>
        <v/>
      </c>
      <c r="V725" t="str">
        <f>IF(OR(U725="",U725="ERRO_CHAVE"),"",IFERROR(MATCH(U725,Fornecedores!$AF$1:$AF$6631,0),""))</f>
        <v/>
      </c>
      <c r="W725" t="str">
        <f t="shared" si="3"/>
        <v/>
      </c>
      <c r="X725" s="4" t="str">
        <f>IF(V725="","",INDEX(Fornecedores!$X$1:$X$6631,V725))</f>
        <v/>
      </c>
      <c r="Y725" s="4" t="str">
        <f t="shared" si="4"/>
        <v/>
      </c>
    </row>
    <row r="726" spans="19:25">
      <c r="S726" t="str">
        <f t="shared" si="0"/>
        <v/>
      </c>
      <c r="T726" t="str">
        <f t="shared" si="1"/>
        <v/>
      </c>
      <c r="U726" t="str">
        <f t="shared" si="2"/>
        <v/>
      </c>
      <c r="V726" t="str">
        <f>IF(OR(U726="",U726="ERRO_CHAVE"),"",IFERROR(MATCH(U726,Fornecedores!$AF$1:$AF$6631,0),""))</f>
        <v/>
      </c>
      <c r="W726" t="str">
        <f t="shared" si="3"/>
        <v/>
      </c>
      <c r="X726" s="4" t="str">
        <f>IF(V726="","",INDEX(Fornecedores!$X$1:$X$6631,V726))</f>
        <v/>
      </c>
      <c r="Y726" s="4" t="str">
        <f t="shared" si="4"/>
        <v/>
      </c>
    </row>
    <row r="727" spans="19:25">
      <c r="S727" t="str">
        <f t="shared" si="0"/>
        <v/>
      </c>
      <c r="T727" t="str">
        <f t="shared" si="1"/>
        <v/>
      </c>
      <c r="U727" t="str">
        <f t="shared" si="2"/>
        <v/>
      </c>
      <c r="V727" t="str">
        <f>IF(OR(U727="",U727="ERRO_CHAVE"),"",IFERROR(MATCH(U727,Fornecedores!$AF$1:$AF$6631,0),""))</f>
        <v/>
      </c>
      <c r="W727" t="str">
        <f t="shared" si="3"/>
        <v/>
      </c>
      <c r="X727" s="4" t="str">
        <f>IF(V727="","",INDEX(Fornecedores!$X$1:$X$6631,V727))</f>
        <v/>
      </c>
      <c r="Y727" s="4" t="str">
        <f t="shared" si="4"/>
        <v/>
      </c>
    </row>
    <row r="728" spans="19:25">
      <c r="S728" t="str">
        <f t="shared" si="0"/>
        <v/>
      </c>
      <c r="T728" t="str">
        <f t="shared" si="1"/>
        <v/>
      </c>
      <c r="U728" t="str">
        <f t="shared" si="2"/>
        <v/>
      </c>
      <c r="V728" t="str">
        <f>IF(OR(U728="",U728="ERRO_CHAVE"),"",IFERROR(MATCH(U728,Fornecedores!$AF$1:$AF$6631,0),""))</f>
        <v/>
      </c>
      <c r="W728" t="str">
        <f t="shared" si="3"/>
        <v/>
      </c>
      <c r="X728" s="4" t="str">
        <f>IF(V728="","",INDEX(Fornecedores!$X$1:$X$6631,V728))</f>
        <v/>
      </c>
      <c r="Y728" s="4" t="str">
        <f t="shared" si="4"/>
        <v/>
      </c>
    </row>
    <row r="729" spans="19:25">
      <c r="S729" t="str">
        <f t="shared" si="0"/>
        <v/>
      </c>
      <c r="T729" t="str">
        <f t="shared" si="1"/>
        <v/>
      </c>
      <c r="U729" t="str">
        <f t="shared" si="2"/>
        <v/>
      </c>
      <c r="V729" t="str">
        <f>IF(OR(U729="",U729="ERRO_CHAVE"),"",IFERROR(MATCH(U729,Fornecedores!$AF$1:$AF$6631,0),""))</f>
        <v/>
      </c>
      <c r="W729" t="str">
        <f t="shared" si="3"/>
        <v/>
      </c>
      <c r="X729" s="4" t="str">
        <f>IF(V729="","",INDEX(Fornecedores!$X$1:$X$6631,V729))</f>
        <v/>
      </c>
      <c r="Y729" s="4" t="str">
        <f t="shared" si="4"/>
        <v/>
      </c>
    </row>
    <row r="730" spans="19:25">
      <c r="S730" t="str">
        <f t="shared" si="0"/>
        <v/>
      </c>
      <c r="T730" t="str">
        <f t="shared" si="1"/>
        <v/>
      </c>
      <c r="U730" t="str">
        <f t="shared" si="2"/>
        <v/>
      </c>
      <c r="V730" t="str">
        <f>IF(OR(U730="",U730="ERRO_CHAVE"),"",IFERROR(MATCH(U730,Fornecedores!$AF$1:$AF$6631,0),""))</f>
        <v/>
      </c>
      <c r="W730" t="str">
        <f t="shared" si="3"/>
        <v/>
      </c>
      <c r="X730" s="4" t="str">
        <f>IF(V730="","",INDEX(Fornecedores!$X$1:$X$6631,V730))</f>
        <v/>
      </c>
      <c r="Y730" s="4" t="str">
        <f t="shared" si="4"/>
        <v/>
      </c>
    </row>
    <row r="731" spans="19:25">
      <c r="S731" t="str">
        <f t="shared" si="0"/>
        <v/>
      </c>
      <c r="T731" t="str">
        <f t="shared" si="1"/>
        <v/>
      </c>
      <c r="U731" t="str">
        <f t="shared" si="2"/>
        <v/>
      </c>
      <c r="V731" t="str">
        <f>IF(OR(U731="",U731="ERRO_CHAVE"),"",IFERROR(MATCH(U731,Fornecedores!$AF$1:$AF$6631,0),""))</f>
        <v/>
      </c>
      <c r="W731" t="str">
        <f t="shared" si="3"/>
        <v/>
      </c>
      <c r="X731" s="4" t="str">
        <f>IF(V731="","",INDEX(Fornecedores!$X$1:$X$6631,V731))</f>
        <v/>
      </c>
      <c r="Y731" s="4" t="str">
        <f t="shared" si="4"/>
        <v/>
      </c>
    </row>
    <row r="732" spans="19:25">
      <c r="S732" t="str">
        <f t="shared" si="0"/>
        <v/>
      </c>
      <c r="T732" t="str">
        <f t="shared" si="1"/>
        <v/>
      </c>
      <c r="U732" t="str">
        <f t="shared" si="2"/>
        <v/>
      </c>
      <c r="V732" t="str">
        <f>IF(OR(U732="",U732="ERRO_CHAVE"),"",IFERROR(MATCH(U732,Fornecedores!$AF$1:$AF$6631,0),""))</f>
        <v/>
      </c>
      <c r="W732" t="str">
        <f t="shared" si="3"/>
        <v/>
      </c>
      <c r="X732" s="4" t="str">
        <f>IF(V732="","",INDEX(Fornecedores!$X$1:$X$6631,V732))</f>
        <v/>
      </c>
      <c r="Y732" s="4" t="str">
        <f t="shared" si="4"/>
        <v/>
      </c>
    </row>
    <row r="733" spans="19:25">
      <c r="S733" t="str">
        <f t="shared" si="0"/>
        <v/>
      </c>
      <c r="T733" t="str">
        <f t="shared" si="1"/>
        <v/>
      </c>
      <c r="U733" t="str">
        <f t="shared" si="2"/>
        <v/>
      </c>
      <c r="V733" t="str">
        <f>IF(OR(U733="",U733="ERRO_CHAVE"),"",IFERROR(MATCH(U733,Fornecedores!$AF$1:$AF$6631,0),""))</f>
        <v/>
      </c>
      <c r="W733" t="str">
        <f t="shared" si="3"/>
        <v/>
      </c>
      <c r="X733" s="4" t="str">
        <f>IF(V733="","",INDEX(Fornecedores!$X$1:$X$6631,V733))</f>
        <v/>
      </c>
      <c r="Y733" s="4" t="str">
        <f t="shared" si="4"/>
        <v/>
      </c>
    </row>
    <row r="734" spans="19:25">
      <c r="S734" t="str">
        <f t="shared" si="0"/>
        <v/>
      </c>
      <c r="T734" t="str">
        <f t="shared" si="1"/>
        <v/>
      </c>
      <c r="U734" t="str">
        <f t="shared" si="2"/>
        <v/>
      </c>
      <c r="V734" t="str">
        <f>IF(OR(U734="",U734="ERRO_CHAVE"),"",IFERROR(MATCH(U734,Fornecedores!$AF$1:$AF$6631,0),""))</f>
        <v/>
      </c>
      <c r="W734" t="str">
        <f t="shared" si="3"/>
        <v/>
      </c>
      <c r="X734" s="4" t="str">
        <f>IF(V734="","",INDEX(Fornecedores!$X$1:$X$6631,V734))</f>
        <v/>
      </c>
      <c r="Y734" s="4" t="str">
        <f t="shared" si="4"/>
        <v/>
      </c>
    </row>
    <row r="735" spans="19:25">
      <c r="S735" t="str">
        <f t="shared" si="0"/>
        <v/>
      </c>
      <c r="T735" t="str">
        <f t="shared" si="1"/>
        <v/>
      </c>
      <c r="U735" t="str">
        <f t="shared" si="2"/>
        <v/>
      </c>
      <c r="V735" t="str">
        <f>IF(OR(U735="",U735="ERRO_CHAVE"),"",IFERROR(MATCH(U735,Fornecedores!$AF$1:$AF$6631,0),""))</f>
        <v/>
      </c>
      <c r="W735" t="str">
        <f t="shared" si="3"/>
        <v/>
      </c>
      <c r="X735" s="4" t="str">
        <f>IF(V735="","",INDEX(Fornecedores!$X$1:$X$6631,V735))</f>
        <v/>
      </c>
      <c r="Y735" s="4" t="str">
        <f t="shared" si="4"/>
        <v/>
      </c>
    </row>
    <row r="736" spans="19:25">
      <c r="S736" t="str">
        <f t="shared" si="0"/>
        <v/>
      </c>
      <c r="T736" t="str">
        <f t="shared" si="1"/>
        <v/>
      </c>
      <c r="U736" t="str">
        <f t="shared" si="2"/>
        <v/>
      </c>
      <c r="V736" t="str">
        <f>IF(OR(U736="",U736="ERRO_CHAVE"),"",IFERROR(MATCH(U736,Fornecedores!$AF$1:$AF$6631,0),""))</f>
        <v/>
      </c>
      <c r="W736" t="str">
        <f t="shared" si="3"/>
        <v/>
      </c>
      <c r="X736" s="4" t="str">
        <f>IF(V736="","",INDEX(Fornecedores!$X$1:$X$6631,V736))</f>
        <v/>
      </c>
      <c r="Y736" s="4" t="str">
        <f t="shared" si="4"/>
        <v/>
      </c>
    </row>
    <row r="737" spans="19:25">
      <c r="S737" t="str">
        <f t="shared" si="0"/>
        <v/>
      </c>
      <c r="T737" t="str">
        <f t="shared" si="1"/>
        <v/>
      </c>
      <c r="U737" t="str">
        <f t="shared" si="2"/>
        <v/>
      </c>
      <c r="V737" t="str">
        <f>IF(OR(U737="",U737="ERRO_CHAVE"),"",IFERROR(MATCH(U737,Fornecedores!$AF$1:$AF$6631,0),""))</f>
        <v/>
      </c>
      <c r="W737" t="str">
        <f t="shared" si="3"/>
        <v/>
      </c>
      <c r="X737" s="4" t="str">
        <f>IF(V737="","",INDEX(Fornecedores!$X$1:$X$6631,V737))</f>
        <v/>
      </c>
      <c r="Y737" s="4" t="str">
        <f t="shared" si="4"/>
        <v/>
      </c>
    </row>
    <row r="738" spans="19:25">
      <c r="S738" t="str">
        <f t="shared" si="0"/>
        <v/>
      </c>
      <c r="T738" t="str">
        <f t="shared" si="1"/>
        <v/>
      </c>
      <c r="U738" t="str">
        <f t="shared" si="2"/>
        <v/>
      </c>
      <c r="V738" t="str">
        <f>IF(OR(U738="",U738="ERRO_CHAVE"),"",IFERROR(MATCH(U738,Fornecedores!$AF$1:$AF$6631,0),""))</f>
        <v/>
      </c>
      <c r="W738" t="str">
        <f t="shared" si="3"/>
        <v/>
      </c>
      <c r="X738" s="4" t="str">
        <f>IF(V738="","",INDEX(Fornecedores!$X$1:$X$6631,V738))</f>
        <v/>
      </c>
      <c r="Y738" s="4" t="str">
        <f t="shared" si="4"/>
        <v/>
      </c>
    </row>
    <row r="739" spans="19:25">
      <c r="S739" t="str">
        <f t="shared" si="0"/>
        <v/>
      </c>
      <c r="T739" t="str">
        <f t="shared" si="1"/>
        <v/>
      </c>
      <c r="U739" t="str">
        <f t="shared" si="2"/>
        <v/>
      </c>
      <c r="V739" t="str">
        <f>IF(OR(U739="",U739="ERRO_CHAVE"),"",IFERROR(MATCH(U739,Fornecedores!$AF$1:$AF$6631,0),""))</f>
        <v/>
      </c>
      <c r="W739" t="str">
        <f t="shared" si="3"/>
        <v/>
      </c>
      <c r="X739" s="4" t="str">
        <f>IF(V739="","",INDEX(Fornecedores!$X$1:$X$6631,V739))</f>
        <v/>
      </c>
      <c r="Y739" s="4" t="str">
        <f t="shared" si="4"/>
        <v/>
      </c>
    </row>
    <row r="740" spans="19:25">
      <c r="S740" t="str">
        <f t="shared" si="0"/>
        <v/>
      </c>
      <c r="T740" t="str">
        <f t="shared" si="1"/>
        <v/>
      </c>
      <c r="U740" t="str">
        <f t="shared" si="2"/>
        <v/>
      </c>
      <c r="V740" t="str">
        <f>IF(OR(U740="",U740="ERRO_CHAVE"),"",IFERROR(MATCH(U740,Fornecedores!$AF$1:$AF$6631,0),""))</f>
        <v/>
      </c>
      <c r="W740" t="str">
        <f t="shared" si="3"/>
        <v/>
      </c>
      <c r="X740" s="4" t="str">
        <f>IF(V740="","",INDEX(Fornecedores!$X$1:$X$6631,V740))</f>
        <v/>
      </c>
      <c r="Y740" s="4" t="str">
        <f t="shared" si="4"/>
        <v/>
      </c>
    </row>
    <row r="741" spans="19:25">
      <c r="S741" t="str">
        <f t="shared" si="0"/>
        <v/>
      </c>
      <c r="T741" t="str">
        <f t="shared" si="1"/>
        <v/>
      </c>
      <c r="U741" t="str">
        <f t="shared" si="2"/>
        <v/>
      </c>
      <c r="V741" t="str">
        <f>IF(OR(U741="",U741="ERRO_CHAVE"),"",IFERROR(MATCH(U741,Fornecedores!$AF$1:$AF$6631,0),""))</f>
        <v/>
      </c>
      <c r="W741" t="str">
        <f t="shared" si="3"/>
        <v/>
      </c>
      <c r="X741" s="4" t="str">
        <f>IF(V741="","",INDEX(Fornecedores!$X$1:$X$6631,V741))</f>
        <v/>
      </c>
      <c r="Y741" s="4" t="str">
        <f t="shared" si="4"/>
        <v/>
      </c>
    </row>
    <row r="742" spans="19:25">
      <c r="S742" t="str">
        <f t="shared" si="0"/>
        <v/>
      </c>
      <c r="T742" t="str">
        <f t="shared" si="1"/>
        <v/>
      </c>
      <c r="U742" t="str">
        <f t="shared" si="2"/>
        <v/>
      </c>
      <c r="V742" t="str">
        <f>IF(OR(U742="",U742="ERRO_CHAVE"),"",IFERROR(MATCH(U742,Fornecedores!$AF$1:$AF$6631,0),""))</f>
        <v/>
      </c>
      <c r="W742" t="str">
        <f t="shared" si="3"/>
        <v/>
      </c>
      <c r="X742" s="4" t="str">
        <f>IF(V742="","",INDEX(Fornecedores!$X$1:$X$6631,V742))</f>
        <v/>
      </c>
      <c r="Y742" s="4" t="str">
        <f t="shared" si="4"/>
        <v/>
      </c>
    </row>
    <row r="743" spans="19:25">
      <c r="S743" t="str">
        <f t="shared" si="0"/>
        <v/>
      </c>
      <c r="T743" t="str">
        <f t="shared" si="1"/>
        <v/>
      </c>
      <c r="U743" t="str">
        <f t="shared" si="2"/>
        <v/>
      </c>
      <c r="V743" t="str">
        <f>IF(OR(U743="",U743="ERRO_CHAVE"),"",IFERROR(MATCH(U743,Fornecedores!$AF$1:$AF$6631,0),""))</f>
        <v/>
      </c>
      <c r="W743" t="str">
        <f t="shared" si="3"/>
        <v/>
      </c>
      <c r="X743" s="4" t="str">
        <f>IF(V743="","",INDEX(Fornecedores!$X$1:$X$6631,V743))</f>
        <v/>
      </c>
      <c r="Y743" s="4" t="str">
        <f t="shared" si="4"/>
        <v/>
      </c>
    </row>
    <row r="744" spans="19:25">
      <c r="S744" t="str">
        <f t="shared" si="0"/>
        <v/>
      </c>
      <c r="T744" t="str">
        <f t="shared" si="1"/>
        <v/>
      </c>
      <c r="U744" t="str">
        <f t="shared" si="2"/>
        <v/>
      </c>
      <c r="V744" t="str">
        <f>IF(OR(U744="",U744="ERRO_CHAVE"),"",IFERROR(MATCH(U744,Fornecedores!$AF$1:$AF$6631,0),""))</f>
        <v/>
      </c>
      <c r="W744" t="str">
        <f t="shared" si="3"/>
        <v/>
      </c>
      <c r="X744" s="4" t="str">
        <f>IF(V744="","",INDEX(Fornecedores!$X$1:$X$6631,V744))</f>
        <v/>
      </c>
      <c r="Y744" s="4" t="str">
        <f t="shared" si="4"/>
        <v/>
      </c>
    </row>
    <row r="745" spans="19:25">
      <c r="S745" t="str">
        <f t="shared" si="0"/>
        <v/>
      </c>
      <c r="T745" t="str">
        <f t="shared" si="1"/>
        <v/>
      </c>
      <c r="U745" t="str">
        <f t="shared" si="2"/>
        <v/>
      </c>
      <c r="V745" t="str">
        <f>IF(OR(U745="",U745="ERRO_CHAVE"),"",IFERROR(MATCH(U745,Fornecedores!$AF$1:$AF$6631,0),""))</f>
        <v/>
      </c>
      <c r="W745" t="str">
        <f t="shared" si="3"/>
        <v/>
      </c>
      <c r="X745" s="4" t="str">
        <f>IF(V745="","",INDEX(Fornecedores!$X$1:$X$6631,V745))</f>
        <v/>
      </c>
      <c r="Y745" s="4" t="str">
        <f t="shared" si="4"/>
        <v/>
      </c>
    </row>
    <row r="746" spans="19:25">
      <c r="S746" t="str">
        <f t="shared" si="0"/>
        <v/>
      </c>
      <c r="T746" t="str">
        <f t="shared" si="1"/>
        <v/>
      </c>
      <c r="U746" t="str">
        <f t="shared" si="2"/>
        <v/>
      </c>
      <c r="V746" t="str">
        <f>IF(OR(U746="",U746="ERRO_CHAVE"),"",IFERROR(MATCH(U746,Fornecedores!$AF$1:$AF$6631,0),""))</f>
        <v/>
      </c>
      <c r="W746" t="str">
        <f t="shared" si="3"/>
        <v/>
      </c>
      <c r="X746" s="4" t="str">
        <f>IF(V746="","",INDEX(Fornecedores!$X$1:$X$6631,V746))</f>
        <v/>
      </c>
      <c r="Y746" s="4" t="str">
        <f t="shared" si="4"/>
        <v/>
      </c>
    </row>
    <row r="747" spans="19:25">
      <c r="S747" t="str">
        <f t="shared" si="0"/>
        <v/>
      </c>
      <c r="T747" t="str">
        <f t="shared" si="1"/>
        <v/>
      </c>
      <c r="U747" t="str">
        <f t="shared" si="2"/>
        <v/>
      </c>
      <c r="V747" t="str">
        <f>IF(OR(U747="",U747="ERRO_CHAVE"),"",IFERROR(MATCH(U747,Fornecedores!$AF$1:$AF$6631,0),""))</f>
        <v/>
      </c>
      <c r="W747" t="str">
        <f t="shared" si="3"/>
        <v/>
      </c>
      <c r="X747" s="4" t="str">
        <f>IF(V747="","",INDEX(Fornecedores!$X$1:$X$6631,V747))</f>
        <v/>
      </c>
      <c r="Y747" s="4" t="str">
        <f t="shared" si="4"/>
        <v/>
      </c>
    </row>
    <row r="748" spans="19:25">
      <c r="S748" t="str">
        <f t="shared" si="0"/>
        <v/>
      </c>
      <c r="T748" t="str">
        <f t="shared" si="1"/>
        <v/>
      </c>
      <c r="U748" t="str">
        <f t="shared" si="2"/>
        <v/>
      </c>
      <c r="V748" t="str">
        <f>IF(OR(U748="",U748="ERRO_CHAVE"),"",IFERROR(MATCH(U748,Fornecedores!$AF$1:$AF$6631,0),""))</f>
        <v/>
      </c>
      <c r="W748" t="str">
        <f t="shared" si="3"/>
        <v/>
      </c>
      <c r="X748" s="4" t="str">
        <f>IF(V748="","",INDEX(Fornecedores!$X$1:$X$6631,V748))</f>
        <v/>
      </c>
      <c r="Y748" s="4" t="str">
        <f t="shared" si="4"/>
        <v/>
      </c>
    </row>
    <row r="749" spans="19:25">
      <c r="S749" t="str">
        <f t="shared" si="0"/>
        <v/>
      </c>
      <c r="T749" t="str">
        <f t="shared" si="1"/>
        <v/>
      </c>
      <c r="U749" t="str">
        <f t="shared" si="2"/>
        <v/>
      </c>
      <c r="V749" t="str">
        <f>IF(OR(U749="",U749="ERRO_CHAVE"),"",IFERROR(MATCH(U749,Fornecedores!$AF$1:$AF$6631,0),""))</f>
        <v/>
      </c>
      <c r="W749" t="str">
        <f t="shared" si="3"/>
        <v/>
      </c>
      <c r="X749" s="4" t="str">
        <f>IF(V749="","",INDEX(Fornecedores!$X$1:$X$6631,V749))</f>
        <v/>
      </c>
      <c r="Y749" s="4" t="str">
        <f t="shared" si="4"/>
        <v/>
      </c>
    </row>
    <row r="750" spans="19:25">
      <c r="S750" t="str">
        <f t="shared" si="0"/>
        <v/>
      </c>
      <c r="T750" t="str">
        <f t="shared" si="1"/>
        <v/>
      </c>
      <c r="U750" t="str">
        <f t="shared" si="2"/>
        <v/>
      </c>
      <c r="V750" t="str">
        <f>IF(OR(U750="",U750="ERRO_CHAVE"),"",IFERROR(MATCH(U750,Fornecedores!$AF$1:$AF$6631,0),""))</f>
        <v/>
      </c>
      <c r="W750" t="str">
        <f t="shared" si="3"/>
        <v/>
      </c>
      <c r="X750" s="4" t="str">
        <f>IF(V750="","",INDEX(Fornecedores!$X$1:$X$6631,V750))</f>
        <v/>
      </c>
      <c r="Y750" s="4" t="str">
        <f t="shared" si="4"/>
        <v/>
      </c>
    </row>
    <row r="751" spans="19:25">
      <c r="S751" t="str">
        <f t="shared" si="0"/>
        <v/>
      </c>
      <c r="T751" t="str">
        <f t="shared" si="1"/>
        <v/>
      </c>
      <c r="U751" t="str">
        <f t="shared" si="2"/>
        <v/>
      </c>
      <c r="V751" t="str">
        <f>IF(OR(U751="",U751="ERRO_CHAVE"),"",IFERROR(MATCH(U751,Fornecedores!$AF$1:$AF$6631,0),""))</f>
        <v/>
      </c>
      <c r="W751" t="str">
        <f t="shared" si="3"/>
        <v/>
      </c>
      <c r="X751" s="4" t="str">
        <f>IF(V751="","",INDEX(Fornecedores!$X$1:$X$6631,V751))</f>
        <v/>
      </c>
      <c r="Y751" s="4" t="str">
        <f t="shared" si="4"/>
        <v/>
      </c>
    </row>
    <row r="752" spans="19:25">
      <c r="S752" t="str">
        <f t="shared" si="0"/>
        <v/>
      </c>
      <c r="T752" t="str">
        <f t="shared" si="1"/>
        <v/>
      </c>
      <c r="U752" t="str">
        <f t="shared" si="2"/>
        <v/>
      </c>
      <c r="V752" t="str">
        <f>IF(OR(U752="",U752="ERRO_CHAVE"),"",IFERROR(MATCH(U752,Fornecedores!$AF$1:$AF$6631,0),""))</f>
        <v/>
      </c>
      <c r="W752" t="str">
        <f t="shared" si="3"/>
        <v/>
      </c>
      <c r="X752" s="4" t="str">
        <f>IF(V752="","",INDEX(Fornecedores!$X$1:$X$6631,V752))</f>
        <v/>
      </c>
      <c r="Y752" s="4" t="str">
        <f t="shared" si="4"/>
        <v/>
      </c>
    </row>
    <row r="753" spans="19:25">
      <c r="S753" t="str">
        <f t="shared" si="0"/>
        <v/>
      </c>
      <c r="T753" t="str">
        <f t="shared" si="1"/>
        <v/>
      </c>
      <c r="U753" t="str">
        <f t="shared" si="2"/>
        <v/>
      </c>
      <c r="V753" t="str">
        <f>IF(OR(U753="",U753="ERRO_CHAVE"),"",IFERROR(MATCH(U753,Fornecedores!$AF$1:$AF$6631,0),""))</f>
        <v/>
      </c>
      <c r="W753" t="str">
        <f t="shared" si="3"/>
        <v/>
      </c>
      <c r="X753" s="4" t="str">
        <f>IF(V753="","",INDEX(Fornecedores!$X$1:$X$6631,V753))</f>
        <v/>
      </c>
      <c r="Y753" s="4" t="str">
        <f t="shared" si="4"/>
        <v/>
      </c>
    </row>
    <row r="754" spans="19:25">
      <c r="S754" t="str">
        <f t="shared" si="0"/>
        <v/>
      </c>
      <c r="T754" t="str">
        <f t="shared" si="1"/>
        <v/>
      </c>
      <c r="U754" t="str">
        <f t="shared" si="2"/>
        <v/>
      </c>
      <c r="V754" t="str">
        <f>IF(OR(U754="",U754="ERRO_CHAVE"),"",IFERROR(MATCH(U754,Fornecedores!$AF$1:$AF$6631,0),""))</f>
        <v/>
      </c>
      <c r="W754" t="str">
        <f t="shared" si="3"/>
        <v/>
      </c>
      <c r="X754" s="4" t="str">
        <f>IF(V754="","",INDEX(Fornecedores!$X$1:$X$6631,V754))</f>
        <v/>
      </c>
      <c r="Y754" s="4" t="str">
        <f t="shared" si="4"/>
        <v/>
      </c>
    </row>
    <row r="755" spans="19:25">
      <c r="S755" t="str">
        <f t="shared" si="0"/>
        <v/>
      </c>
      <c r="T755" t="str">
        <f t="shared" si="1"/>
        <v/>
      </c>
      <c r="U755" t="str">
        <f t="shared" si="2"/>
        <v/>
      </c>
      <c r="V755" t="str">
        <f>IF(OR(U755="",U755="ERRO_CHAVE"),"",IFERROR(MATCH(U755,Fornecedores!$AF$1:$AF$6631,0),""))</f>
        <v/>
      </c>
      <c r="W755" t="str">
        <f t="shared" si="3"/>
        <v/>
      </c>
      <c r="X755" s="4" t="str">
        <f>IF(V755="","",INDEX(Fornecedores!$X$1:$X$6631,V755))</f>
        <v/>
      </c>
      <c r="Y755" s="4" t="str">
        <f t="shared" si="4"/>
        <v/>
      </c>
    </row>
    <row r="756" spans="19:25">
      <c r="S756" t="str">
        <f t="shared" si="0"/>
        <v/>
      </c>
      <c r="T756" t="str">
        <f t="shared" si="1"/>
        <v/>
      </c>
      <c r="U756" t="str">
        <f t="shared" si="2"/>
        <v/>
      </c>
      <c r="V756" t="str">
        <f>IF(OR(U756="",U756="ERRO_CHAVE"),"",IFERROR(MATCH(U756,Fornecedores!$AF$1:$AF$6631,0),""))</f>
        <v/>
      </c>
      <c r="W756" t="str">
        <f t="shared" si="3"/>
        <v/>
      </c>
      <c r="X756" s="4" t="str">
        <f>IF(V756="","",INDEX(Fornecedores!$X$1:$X$6631,V756))</f>
        <v/>
      </c>
      <c r="Y756" s="4" t="str">
        <f t="shared" si="4"/>
        <v/>
      </c>
    </row>
    <row r="757" spans="19:25">
      <c r="S757" t="str">
        <f t="shared" si="0"/>
        <v/>
      </c>
      <c r="T757" t="str">
        <f t="shared" si="1"/>
        <v/>
      </c>
      <c r="U757" t="str">
        <f t="shared" si="2"/>
        <v/>
      </c>
      <c r="V757" t="str">
        <f>IF(OR(U757="",U757="ERRO_CHAVE"),"",IFERROR(MATCH(U757,Fornecedores!$AF$1:$AF$6631,0),""))</f>
        <v/>
      </c>
      <c r="W757" t="str">
        <f t="shared" si="3"/>
        <v/>
      </c>
      <c r="X757" s="4" t="str">
        <f>IF(V757="","",INDEX(Fornecedores!$X$1:$X$6631,V757))</f>
        <v/>
      </c>
      <c r="Y757" s="4" t="str">
        <f t="shared" si="4"/>
        <v/>
      </c>
    </row>
    <row r="758" spans="19:25">
      <c r="S758" t="str">
        <f t="shared" si="0"/>
        <v/>
      </c>
      <c r="T758" t="str">
        <f t="shared" si="1"/>
        <v/>
      </c>
      <c r="U758" t="str">
        <f t="shared" si="2"/>
        <v/>
      </c>
      <c r="V758" t="str">
        <f>IF(OR(U758="",U758="ERRO_CHAVE"),"",IFERROR(MATCH(U758,Fornecedores!$AF$1:$AF$6631,0),""))</f>
        <v/>
      </c>
      <c r="W758" t="str">
        <f t="shared" si="3"/>
        <v/>
      </c>
      <c r="X758" s="4" t="str">
        <f>IF(V758="","",INDEX(Fornecedores!$X$1:$X$6631,V758))</f>
        <v/>
      </c>
      <c r="Y758" s="4" t="str">
        <f t="shared" si="4"/>
        <v/>
      </c>
    </row>
    <row r="759" spans="19:25">
      <c r="S759" t="str">
        <f t="shared" si="0"/>
        <v/>
      </c>
      <c r="T759" t="str">
        <f t="shared" si="1"/>
        <v/>
      </c>
      <c r="U759" t="str">
        <f t="shared" si="2"/>
        <v/>
      </c>
      <c r="V759" t="str">
        <f>IF(OR(U759="",U759="ERRO_CHAVE"),"",IFERROR(MATCH(U759,Fornecedores!$AF$1:$AF$6631,0),""))</f>
        <v/>
      </c>
      <c r="W759" t="str">
        <f t="shared" si="3"/>
        <v/>
      </c>
      <c r="X759" s="4" t="str">
        <f>IF(V759="","",INDEX(Fornecedores!$X$1:$X$6631,V759))</f>
        <v/>
      </c>
      <c r="Y759" s="4" t="str">
        <f t="shared" si="4"/>
        <v/>
      </c>
    </row>
    <row r="760" spans="19:25">
      <c r="S760" t="str">
        <f t="shared" si="0"/>
        <v/>
      </c>
      <c r="T760" t="str">
        <f t="shared" si="1"/>
        <v/>
      </c>
      <c r="U760" t="str">
        <f t="shared" si="2"/>
        <v/>
      </c>
      <c r="V760" t="str">
        <f>IF(OR(U760="",U760="ERRO_CHAVE"),"",IFERROR(MATCH(U760,Fornecedores!$AF$1:$AF$6631,0),""))</f>
        <v/>
      </c>
      <c r="W760" t="str">
        <f t="shared" si="3"/>
        <v/>
      </c>
      <c r="X760" s="4" t="str">
        <f>IF(V760="","",INDEX(Fornecedores!$X$1:$X$6631,V760))</f>
        <v/>
      </c>
      <c r="Y760" s="4" t="str">
        <f t="shared" si="4"/>
        <v/>
      </c>
    </row>
    <row r="761" spans="19:25">
      <c r="S761" t="str">
        <f t="shared" si="0"/>
        <v/>
      </c>
      <c r="T761" t="str">
        <f t="shared" si="1"/>
        <v/>
      </c>
      <c r="U761" t="str">
        <f t="shared" si="2"/>
        <v/>
      </c>
      <c r="V761" t="str">
        <f>IF(OR(U761="",U761="ERRO_CHAVE"),"",IFERROR(MATCH(U761,Fornecedores!$AF$1:$AF$6631,0),""))</f>
        <v/>
      </c>
      <c r="W761" t="str">
        <f t="shared" si="3"/>
        <v/>
      </c>
      <c r="X761" s="4" t="str">
        <f>IF(V761="","",INDEX(Fornecedores!$X$1:$X$6631,V761))</f>
        <v/>
      </c>
      <c r="Y761" s="4" t="str">
        <f t="shared" si="4"/>
        <v/>
      </c>
    </row>
    <row r="762" spans="19:25">
      <c r="S762" t="str">
        <f t="shared" si="0"/>
        <v/>
      </c>
      <c r="T762" t="str">
        <f t="shared" si="1"/>
        <v/>
      </c>
      <c r="U762" t="str">
        <f t="shared" si="2"/>
        <v/>
      </c>
      <c r="V762" t="str">
        <f>IF(OR(U762="",U762="ERRO_CHAVE"),"",IFERROR(MATCH(U762,Fornecedores!$AF$1:$AF$6631,0),""))</f>
        <v/>
      </c>
      <c r="W762" t="str">
        <f t="shared" si="3"/>
        <v/>
      </c>
      <c r="X762" s="4" t="str">
        <f>IF(V762="","",INDEX(Fornecedores!$X$1:$X$6631,V762))</f>
        <v/>
      </c>
      <c r="Y762" s="4" t="str">
        <f t="shared" si="4"/>
        <v/>
      </c>
    </row>
    <row r="763" spans="19:25">
      <c r="S763" t="str">
        <f t="shared" si="0"/>
        <v/>
      </c>
      <c r="T763" t="str">
        <f t="shared" si="1"/>
        <v/>
      </c>
      <c r="U763" t="str">
        <f t="shared" si="2"/>
        <v/>
      </c>
      <c r="V763" t="str">
        <f>IF(OR(U763="",U763="ERRO_CHAVE"),"",IFERROR(MATCH(U763,Fornecedores!$AF$1:$AF$6631,0),""))</f>
        <v/>
      </c>
      <c r="W763" t="str">
        <f t="shared" si="3"/>
        <v/>
      </c>
      <c r="X763" s="4" t="str">
        <f>IF(V763="","",INDEX(Fornecedores!$X$1:$X$6631,V763))</f>
        <v/>
      </c>
      <c r="Y763" s="4" t="str">
        <f t="shared" si="4"/>
        <v/>
      </c>
    </row>
    <row r="764" spans="19:25">
      <c r="S764" t="str">
        <f t="shared" si="0"/>
        <v/>
      </c>
      <c r="T764" t="str">
        <f t="shared" si="1"/>
        <v/>
      </c>
      <c r="U764" t="str">
        <f t="shared" si="2"/>
        <v/>
      </c>
      <c r="V764" t="str">
        <f>IF(OR(U764="",U764="ERRO_CHAVE"),"",IFERROR(MATCH(U764,Fornecedores!$AF$1:$AF$6631,0),""))</f>
        <v/>
      </c>
      <c r="W764" t="str">
        <f t="shared" si="3"/>
        <v/>
      </c>
      <c r="X764" s="4" t="str">
        <f>IF(V764="","",INDEX(Fornecedores!$X$1:$X$6631,V764))</f>
        <v/>
      </c>
      <c r="Y764" s="4" t="str">
        <f t="shared" si="4"/>
        <v/>
      </c>
    </row>
    <row r="765" spans="19:25">
      <c r="S765" t="str">
        <f t="shared" si="0"/>
        <v/>
      </c>
      <c r="T765" t="str">
        <f t="shared" si="1"/>
        <v/>
      </c>
      <c r="U765" t="str">
        <f t="shared" si="2"/>
        <v/>
      </c>
      <c r="V765" t="str">
        <f>IF(OR(U765="",U765="ERRO_CHAVE"),"",IFERROR(MATCH(U765,Fornecedores!$AF$1:$AF$6631,0),""))</f>
        <v/>
      </c>
      <c r="W765" t="str">
        <f t="shared" si="3"/>
        <v/>
      </c>
      <c r="X765" s="4" t="str">
        <f>IF(V765="","",INDEX(Fornecedores!$X$1:$X$6631,V765))</f>
        <v/>
      </c>
      <c r="Y765" s="4" t="str">
        <f t="shared" si="4"/>
        <v/>
      </c>
    </row>
    <row r="766" spans="19:25">
      <c r="S766" t="str">
        <f t="shared" si="0"/>
        <v/>
      </c>
      <c r="T766" t="str">
        <f t="shared" si="1"/>
        <v/>
      </c>
      <c r="U766" t="str">
        <f t="shared" si="2"/>
        <v/>
      </c>
      <c r="V766" t="str">
        <f>IF(OR(U766="",U766="ERRO_CHAVE"),"",IFERROR(MATCH(U766,Fornecedores!$AF$1:$AF$6631,0),""))</f>
        <v/>
      </c>
      <c r="W766" t="str">
        <f t="shared" si="3"/>
        <v/>
      </c>
      <c r="X766" s="4" t="str">
        <f>IF(V766="","",INDEX(Fornecedores!$X$1:$X$6631,V766))</f>
        <v/>
      </c>
      <c r="Y766" s="4" t="str">
        <f t="shared" si="4"/>
        <v/>
      </c>
    </row>
    <row r="767" spans="19:25">
      <c r="S767" t="str">
        <f t="shared" si="0"/>
        <v/>
      </c>
      <c r="T767" t="str">
        <f t="shared" si="1"/>
        <v/>
      </c>
      <c r="U767" t="str">
        <f t="shared" si="2"/>
        <v/>
      </c>
      <c r="V767" t="str">
        <f>IF(OR(U767="",U767="ERRO_CHAVE"),"",IFERROR(MATCH(U767,Fornecedores!$AF$1:$AF$6631,0),""))</f>
        <v/>
      </c>
      <c r="W767" t="str">
        <f t="shared" si="3"/>
        <v/>
      </c>
      <c r="X767" s="4" t="str">
        <f>IF(V767="","",INDEX(Fornecedores!$X$1:$X$6631,V767))</f>
        <v/>
      </c>
      <c r="Y767" s="4" t="str">
        <f t="shared" si="4"/>
        <v/>
      </c>
    </row>
    <row r="768" spans="19:25">
      <c r="S768" t="str">
        <f t="shared" si="0"/>
        <v/>
      </c>
      <c r="T768" t="str">
        <f t="shared" si="1"/>
        <v/>
      </c>
      <c r="U768" t="str">
        <f t="shared" si="2"/>
        <v/>
      </c>
      <c r="V768" t="str">
        <f>IF(OR(U768="",U768="ERRO_CHAVE"),"",IFERROR(MATCH(U768,Fornecedores!$AF$1:$AF$6631,0),""))</f>
        <v/>
      </c>
      <c r="W768" t="str">
        <f t="shared" si="3"/>
        <v/>
      </c>
      <c r="X768" s="4" t="str">
        <f>IF(V768="","",INDEX(Fornecedores!$X$1:$X$6631,V768))</f>
        <v/>
      </c>
      <c r="Y768" s="4" t="str">
        <f t="shared" si="4"/>
        <v/>
      </c>
    </row>
    <row r="769" spans="19:25">
      <c r="S769" t="str">
        <f t="shared" si="0"/>
        <v/>
      </c>
      <c r="T769" t="str">
        <f t="shared" si="1"/>
        <v/>
      </c>
      <c r="U769" t="str">
        <f t="shared" si="2"/>
        <v/>
      </c>
      <c r="V769" t="str">
        <f>IF(OR(U769="",U769="ERRO_CHAVE"),"",IFERROR(MATCH(U769,Fornecedores!$AF$1:$AF$6631,0),""))</f>
        <v/>
      </c>
      <c r="W769" t="str">
        <f t="shared" si="3"/>
        <v/>
      </c>
      <c r="X769" s="4" t="str">
        <f>IF(V769="","",INDEX(Fornecedores!$X$1:$X$6631,V769))</f>
        <v/>
      </c>
      <c r="Y769" s="4" t="str">
        <f t="shared" si="4"/>
        <v/>
      </c>
    </row>
    <row r="770" spans="19:25">
      <c r="S770" t="str">
        <f t="shared" si="0"/>
        <v/>
      </c>
      <c r="T770" t="str">
        <f t="shared" si="1"/>
        <v/>
      </c>
      <c r="U770" t="str">
        <f t="shared" si="2"/>
        <v/>
      </c>
      <c r="V770" t="str">
        <f>IF(OR(U770="",U770="ERRO_CHAVE"),"",IFERROR(MATCH(U770,Fornecedores!$AF$1:$AF$6631,0),""))</f>
        <v/>
      </c>
      <c r="W770" t="str">
        <f t="shared" si="3"/>
        <v/>
      </c>
      <c r="X770" s="4" t="str">
        <f>IF(V770="","",INDEX(Fornecedores!$X$1:$X$6631,V770))</f>
        <v/>
      </c>
      <c r="Y770" s="4" t="str">
        <f t="shared" si="4"/>
        <v/>
      </c>
    </row>
    <row r="771" spans="19:25">
      <c r="S771" t="str">
        <f t="shared" si="0"/>
        <v/>
      </c>
      <c r="T771" t="str">
        <f t="shared" si="1"/>
        <v/>
      </c>
      <c r="U771" t="str">
        <f t="shared" si="2"/>
        <v/>
      </c>
      <c r="V771" t="str">
        <f>IF(OR(U771="",U771="ERRO_CHAVE"),"",IFERROR(MATCH(U771,Fornecedores!$AF$1:$AF$6631,0),""))</f>
        <v/>
      </c>
      <c r="W771" t="str">
        <f t="shared" si="3"/>
        <v/>
      </c>
      <c r="X771" s="4" t="str">
        <f>IF(V771="","",INDEX(Fornecedores!$X$1:$X$6631,V771))</f>
        <v/>
      </c>
      <c r="Y771" s="4" t="str">
        <f t="shared" si="4"/>
        <v/>
      </c>
    </row>
    <row r="772" spans="19:25">
      <c r="S772" t="str">
        <f t="shared" si="0"/>
        <v/>
      </c>
      <c r="T772" t="str">
        <f t="shared" si="1"/>
        <v/>
      </c>
      <c r="U772" t="str">
        <f t="shared" si="2"/>
        <v/>
      </c>
      <c r="V772" t="str">
        <f>IF(OR(U772="",U772="ERRO_CHAVE"),"",IFERROR(MATCH(U772,Fornecedores!$AF$1:$AF$6631,0),""))</f>
        <v/>
      </c>
      <c r="W772" t="str">
        <f t="shared" si="3"/>
        <v/>
      </c>
      <c r="X772" s="4" t="str">
        <f>IF(V772="","",INDEX(Fornecedores!$X$1:$X$6631,V772))</f>
        <v/>
      </c>
      <c r="Y772" s="4" t="str">
        <f t="shared" si="4"/>
        <v/>
      </c>
    </row>
    <row r="773" spans="19:25">
      <c r="S773" t="str">
        <f t="shared" si="0"/>
        <v/>
      </c>
      <c r="T773" t="str">
        <f t="shared" si="1"/>
        <v/>
      </c>
      <c r="U773" t="str">
        <f t="shared" si="2"/>
        <v/>
      </c>
      <c r="V773" t="str">
        <f>IF(OR(U773="",U773="ERRO_CHAVE"),"",IFERROR(MATCH(U773,Fornecedores!$AF$1:$AF$6631,0),""))</f>
        <v/>
      </c>
      <c r="W773" t="str">
        <f t="shared" si="3"/>
        <v/>
      </c>
      <c r="X773" s="4" t="str">
        <f>IF(V773="","",INDEX(Fornecedores!$X$1:$X$6631,V773))</f>
        <v/>
      </c>
      <c r="Y773" s="4" t="str">
        <f t="shared" si="4"/>
        <v/>
      </c>
    </row>
    <row r="774" spans="19:25">
      <c r="S774" t="str">
        <f t="shared" si="0"/>
        <v/>
      </c>
      <c r="T774" t="str">
        <f t="shared" si="1"/>
        <v/>
      </c>
      <c r="U774" t="str">
        <f t="shared" si="2"/>
        <v/>
      </c>
      <c r="V774" t="str">
        <f>IF(OR(U774="",U774="ERRO_CHAVE"),"",IFERROR(MATCH(U774,Fornecedores!$AF$1:$AF$6631,0),""))</f>
        <v/>
      </c>
      <c r="W774" t="str">
        <f t="shared" si="3"/>
        <v/>
      </c>
      <c r="X774" s="4" t="str">
        <f>IF(V774="","",INDEX(Fornecedores!$X$1:$X$6631,V774))</f>
        <v/>
      </c>
      <c r="Y774" s="4" t="str">
        <f t="shared" si="4"/>
        <v/>
      </c>
    </row>
    <row r="775" spans="19:25">
      <c r="S775" t="str">
        <f t="shared" si="0"/>
        <v/>
      </c>
      <c r="T775" t="str">
        <f t="shared" si="1"/>
        <v/>
      </c>
      <c r="U775" t="str">
        <f t="shared" si="2"/>
        <v/>
      </c>
      <c r="V775" t="str">
        <f>IF(OR(U775="",U775="ERRO_CHAVE"),"",IFERROR(MATCH(U775,Fornecedores!$AF$1:$AF$6631,0),""))</f>
        <v/>
      </c>
      <c r="W775" t="str">
        <f t="shared" si="3"/>
        <v/>
      </c>
      <c r="X775" s="4" t="str">
        <f>IF(V775="","",INDEX(Fornecedores!$X$1:$X$6631,V775))</f>
        <v/>
      </c>
      <c r="Y775" s="4" t="str">
        <f t="shared" si="4"/>
        <v/>
      </c>
    </row>
    <row r="776" spans="19:25">
      <c r="S776" t="str">
        <f t="shared" si="0"/>
        <v/>
      </c>
      <c r="T776" t="str">
        <f t="shared" si="1"/>
        <v/>
      </c>
      <c r="U776" t="str">
        <f t="shared" si="2"/>
        <v/>
      </c>
      <c r="V776" t="str">
        <f>IF(OR(U776="",U776="ERRO_CHAVE"),"",IFERROR(MATCH(U776,Fornecedores!$AF$1:$AF$6631,0),""))</f>
        <v/>
      </c>
      <c r="W776" t="str">
        <f t="shared" si="3"/>
        <v/>
      </c>
      <c r="X776" s="4" t="str">
        <f>IF(V776="","",INDEX(Fornecedores!$X$1:$X$6631,V776))</f>
        <v/>
      </c>
      <c r="Y776" s="4" t="str">
        <f t="shared" si="4"/>
        <v/>
      </c>
    </row>
    <row r="777" spans="19:25">
      <c r="S777" t="str">
        <f t="shared" si="0"/>
        <v/>
      </c>
      <c r="T777" t="str">
        <f t="shared" si="1"/>
        <v/>
      </c>
      <c r="U777" t="str">
        <f t="shared" si="2"/>
        <v/>
      </c>
      <c r="V777" t="str">
        <f>IF(OR(U777="",U777="ERRO_CHAVE"),"",IFERROR(MATCH(U777,Fornecedores!$AF$1:$AF$6631,0),""))</f>
        <v/>
      </c>
      <c r="W777" t="str">
        <f t="shared" si="3"/>
        <v/>
      </c>
      <c r="X777" s="4" t="str">
        <f>IF(V777="","",INDEX(Fornecedores!$X$1:$X$6631,V777))</f>
        <v/>
      </c>
      <c r="Y777" s="4" t="str">
        <f t="shared" si="4"/>
        <v/>
      </c>
    </row>
    <row r="778" spans="19:25">
      <c r="S778" t="str">
        <f t="shared" si="0"/>
        <v/>
      </c>
      <c r="T778" t="str">
        <f t="shared" si="1"/>
        <v/>
      </c>
      <c r="U778" t="str">
        <f t="shared" si="2"/>
        <v/>
      </c>
      <c r="V778" t="str">
        <f>IF(OR(U778="",U778="ERRO_CHAVE"),"",IFERROR(MATCH(U778,Fornecedores!$AF$1:$AF$6631,0),""))</f>
        <v/>
      </c>
      <c r="W778" t="str">
        <f t="shared" si="3"/>
        <v/>
      </c>
      <c r="X778" s="4" t="str">
        <f>IF(V778="","",INDEX(Fornecedores!$X$1:$X$6631,V778))</f>
        <v/>
      </c>
      <c r="Y778" s="4" t="str">
        <f t="shared" si="4"/>
        <v/>
      </c>
    </row>
    <row r="779" spans="19:25">
      <c r="S779" t="str">
        <f t="shared" si="0"/>
        <v/>
      </c>
      <c r="T779" t="str">
        <f t="shared" si="1"/>
        <v/>
      </c>
      <c r="U779" t="str">
        <f t="shared" si="2"/>
        <v/>
      </c>
      <c r="V779" t="str">
        <f>IF(OR(U779="",U779="ERRO_CHAVE"),"",IFERROR(MATCH(U779,Fornecedores!$AF$1:$AF$6631,0),""))</f>
        <v/>
      </c>
      <c r="W779" t="str">
        <f t="shared" si="3"/>
        <v/>
      </c>
      <c r="X779" s="4" t="str">
        <f>IF(V779="","",INDEX(Fornecedores!$X$1:$X$6631,V779))</f>
        <v/>
      </c>
      <c r="Y779" s="4" t="str">
        <f t="shared" si="4"/>
        <v/>
      </c>
    </row>
    <row r="780" spans="19:25">
      <c r="S780" t="str">
        <f t="shared" si="0"/>
        <v/>
      </c>
      <c r="T780" t="str">
        <f t="shared" si="1"/>
        <v/>
      </c>
      <c r="U780" t="str">
        <f t="shared" si="2"/>
        <v/>
      </c>
      <c r="V780" t="str">
        <f>IF(OR(U780="",U780="ERRO_CHAVE"),"",IFERROR(MATCH(U780,Fornecedores!$AF$1:$AF$6631,0),""))</f>
        <v/>
      </c>
      <c r="W780" t="str">
        <f t="shared" si="3"/>
        <v/>
      </c>
      <c r="X780" s="4" t="str">
        <f>IF(V780="","",INDEX(Fornecedores!$X$1:$X$6631,V780))</f>
        <v/>
      </c>
      <c r="Y780" s="4" t="str">
        <f t="shared" si="4"/>
        <v/>
      </c>
    </row>
    <row r="781" spans="19:25">
      <c r="S781" t="str">
        <f t="shared" si="0"/>
        <v/>
      </c>
      <c r="T781" t="str">
        <f t="shared" si="1"/>
        <v/>
      </c>
      <c r="U781" t="str">
        <f t="shared" si="2"/>
        <v/>
      </c>
      <c r="V781" t="str">
        <f>IF(OR(U781="",U781="ERRO_CHAVE"),"",IFERROR(MATCH(U781,Fornecedores!$AF$1:$AF$6631,0),""))</f>
        <v/>
      </c>
      <c r="W781" t="str">
        <f t="shared" si="3"/>
        <v/>
      </c>
      <c r="X781" s="4" t="str">
        <f>IF(V781="","",INDEX(Fornecedores!$X$1:$X$6631,V781))</f>
        <v/>
      </c>
      <c r="Y781" s="4" t="str">
        <f t="shared" si="4"/>
        <v/>
      </c>
    </row>
    <row r="782" spans="19:25">
      <c r="S782" t="str">
        <f t="shared" si="0"/>
        <v/>
      </c>
      <c r="T782" t="str">
        <f t="shared" si="1"/>
        <v/>
      </c>
      <c r="U782" t="str">
        <f t="shared" si="2"/>
        <v/>
      </c>
      <c r="V782" t="str">
        <f>IF(OR(U782="",U782="ERRO_CHAVE"),"",IFERROR(MATCH(U782,Fornecedores!$AF$1:$AF$6631,0),""))</f>
        <v/>
      </c>
      <c r="W782" t="str">
        <f t="shared" si="3"/>
        <v/>
      </c>
      <c r="X782" s="4" t="str">
        <f>IF(V782="","",INDEX(Fornecedores!$X$1:$X$6631,V782))</f>
        <v/>
      </c>
      <c r="Y782" s="4" t="str">
        <f t="shared" si="4"/>
        <v/>
      </c>
    </row>
    <row r="783" spans="19:25">
      <c r="S783" t="str">
        <f t="shared" si="0"/>
        <v/>
      </c>
      <c r="T783" t="str">
        <f t="shared" si="1"/>
        <v/>
      </c>
      <c r="U783" t="str">
        <f t="shared" si="2"/>
        <v/>
      </c>
      <c r="V783" t="str">
        <f>IF(OR(U783="",U783="ERRO_CHAVE"),"",IFERROR(MATCH(U783,Fornecedores!$AF$1:$AF$6631,0),""))</f>
        <v/>
      </c>
      <c r="W783" t="str">
        <f t="shared" si="3"/>
        <v/>
      </c>
      <c r="X783" s="4" t="str">
        <f>IF(V783="","",INDEX(Fornecedores!$X$1:$X$6631,V783))</f>
        <v/>
      </c>
      <c r="Y783" s="4" t="str">
        <f t="shared" si="4"/>
        <v/>
      </c>
    </row>
    <row r="784" spans="19:25">
      <c r="S784" t="str">
        <f t="shared" si="0"/>
        <v/>
      </c>
      <c r="T784" t="str">
        <f t="shared" si="1"/>
        <v/>
      </c>
      <c r="U784" t="str">
        <f t="shared" si="2"/>
        <v/>
      </c>
      <c r="V784" t="str">
        <f>IF(OR(U784="",U784="ERRO_CHAVE"),"",IFERROR(MATCH(U784,Fornecedores!$AF$1:$AF$6631,0),""))</f>
        <v/>
      </c>
      <c r="W784" t="str">
        <f t="shared" si="3"/>
        <v/>
      </c>
      <c r="X784" s="4" t="str">
        <f>IF(V784="","",INDEX(Fornecedores!$X$1:$X$6631,V784))</f>
        <v/>
      </c>
      <c r="Y784" s="4" t="str">
        <f t="shared" si="4"/>
        <v/>
      </c>
    </row>
    <row r="785" spans="19:25">
      <c r="S785" t="str">
        <f t="shared" si="0"/>
        <v/>
      </c>
      <c r="T785" t="str">
        <f t="shared" si="1"/>
        <v/>
      </c>
      <c r="U785" t="str">
        <f t="shared" si="2"/>
        <v/>
      </c>
      <c r="V785" t="str">
        <f>IF(OR(U785="",U785="ERRO_CHAVE"),"",IFERROR(MATCH(U785,Fornecedores!$AF$1:$AF$6631,0),""))</f>
        <v/>
      </c>
      <c r="W785" t="str">
        <f t="shared" si="3"/>
        <v/>
      </c>
      <c r="X785" s="4" t="str">
        <f>IF(V785="","",INDEX(Fornecedores!$X$1:$X$6631,V785))</f>
        <v/>
      </c>
      <c r="Y785" s="4" t="str">
        <f t="shared" si="4"/>
        <v/>
      </c>
    </row>
    <row r="786" spans="19:25">
      <c r="S786" t="str">
        <f t="shared" si="0"/>
        <v/>
      </c>
      <c r="T786" t="str">
        <f t="shared" si="1"/>
        <v/>
      </c>
      <c r="U786" t="str">
        <f t="shared" si="2"/>
        <v/>
      </c>
      <c r="V786" t="str">
        <f>IF(OR(U786="",U786="ERRO_CHAVE"),"",IFERROR(MATCH(U786,Fornecedores!$AF$1:$AF$6631,0),""))</f>
        <v/>
      </c>
      <c r="W786" t="str">
        <f t="shared" si="3"/>
        <v/>
      </c>
      <c r="X786" s="4" t="str">
        <f>IF(V786="","",INDEX(Fornecedores!$X$1:$X$6631,V786))</f>
        <v/>
      </c>
      <c r="Y786" s="4" t="str">
        <f t="shared" si="4"/>
        <v/>
      </c>
    </row>
    <row r="787" spans="19:25">
      <c r="S787" t="str">
        <f t="shared" si="0"/>
        <v/>
      </c>
      <c r="T787" t="str">
        <f t="shared" si="1"/>
        <v/>
      </c>
      <c r="U787" t="str">
        <f t="shared" si="2"/>
        <v/>
      </c>
      <c r="V787" t="str">
        <f>IF(OR(U787="",U787="ERRO_CHAVE"),"",IFERROR(MATCH(U787,Fornecedores!$AF$1:$AF$6631,0),""))</f>
        <v/>
      </c>
      <c r="W787" t="str">
        <f t="shared" si="3"/>
        <v/>
      </c>
      <c r="X787" s="4" t="str">
        <f>IF(V787="","",INDEX(Fornecedores!$X$1:$X$6631,V787))</f>
        <v/>
      </c>
      <c r="Y787" s="4" t="str">
        <f t="shared" si="4"/>
        <v/>
      </c>
    </row>
    <row r="788" spans="19:25">
      <c r="S788" t="str">
        <f t="shared" si="0"/>
        <v/>
      </c>
      <c r="T788" t="str">
        <f t="shared" si="1"/>
        <v/>
      </c>
      <c r="U788" t="str">
        <f t="shared" si="2"/>
        <v/>
      </c>
      <c r="V788" t="str">
        <f>IF(OR(U788="",U788="ERRO_CHAVE"),"",IFERROR(MATCH(U788,Fornecedores!$AF$1:$AF$6631,0),""))</f>
        <v/>
      </c>
      <c r="W788" t="str">
        <f t="shared" si="3"/>
        <v/>
      </c>
      <c r="X788" s="4" t="str">
        <f>IF(V788="","",INDEX(Fornecedores!$X$1:$X$6631,V788))</f>
        <v/>
      </c>
      <c r="Y788" s="4" t="str">
        <f t="shared" si="4"/>
        <v/>
      </c>
    </row>
    <row r="789" spans="19:25">
      <c r="S789" t="str">
        <f t="shared" si="0"/>
        <v/>
      </c>
      <c r="T789" t="str">
        <f t="shared" si="1"/>
        <v/>
      </c>
      <c r="U789" t="str">
        <f t="shared" si="2"/>
        <v/>
      </c>
      <c r="V789" t="str">
        <f>IF(OR(U789="",U789="ERRO_CHAVE"),"",IFERROR(MATCH(U789,Fornecedores!$AF$1:$AF$6631,0),""))</f>
        <v/>
      </c>
      <c r="W789" t="str">
        <f t="shared" si="3"/>
        <v/>
      </c>
      <c r="X789" s="4" t="str">
        <f>IF(V789="","",INDEX(Fornecedores!$X$1:$X$6631,V789))</f>
        <v/>
      </c>
      <c r="Y789" s="4" t="str">
        <f t="shared" si="4"/>
        <v/>
      </c>
    </row>
    <row r="790" spans="19:25">
      <c r="S790" t="str">
        <f t="shared" si="0"/>
        <v/>
      </c>
      <c r="T790" t="str">
        <f t="shared" si="1"/>
        <v/>
      </c>
      <c r="U790" t="str">
        <f t="shared" si="2"/>
        <v/>
      </c>
      <c r="V790" t="str">
        <f>IF(OR(U790="",U790="ERRO_CHAVE"),"",IFERROR(MATCH(U790,Fornecedores!$AF$1:$AF$6631,0),""))</f>
        <v/>
      </c>
      <c r="W790" t="str">
        <f t="shared" si="3"/>
        <v/>
      </c>
      <c r="X790" s="4" t="str">
        <f>IF(V790="","",INDEX(Fornecedores!$X$1:$X$6631,V790))</f>
        <v/>
      </c>
      <c r="Y790" s="4" t="str">
        <f t="shared" si="4"/>
        <v/>
      </c>
    </row>
    <row r="791" spans="19:25">
      <c r="S791" t="str">
        <f t="shared" si="0"/>
        <v/>
      </c>
      <c r="T791" t="str">
        <f t="shared" si="1"/>
        <v/>
      </c>
      <c r="U791" t="str">
        <f t="shared" si="2"/>
        <v/>
      </c>
      <c r="V791" t="str">
        <f>IF(OR(U791="",U791="ERRO_CHAVE"),"",IFERROR(MATCH(U791,Fornecedores!$AF$1:$AF$6631,0),""))</f>
        <v/>
      </c>
      <c r="W791" t="str">
        <f t="shared" si="3"/>
        <v/>
      </c>
      <c r="X791" s="4" t="str">
        <f>IF(V791="","",INDEX(Fornecedores!$X$1:$X$6631,V791))</f>
        <v/>
      </c>
      <c r="Y791" s="4" t="str">
        <f t="shared" si="4"/>
        <v/>
      </c>
    </row>
    <row r="792" spans="19:25">
      <c r="S792" t="str">
        <f t="shared" si="0"/>
        <v/>
      </c>
      <c r="T792" t="str">
        <f t="shared" si="1"/>
        <v/>
      </c>
      <c r="U792" t="str">
        <f t="shared" si="2"/>
        <v/>
      </c>
      <c r="V792" t="str">
        <f>IF(OR(U792="",U792="ERRO_CHAVE"),"",IFERROR(MATCH(U792,Fornecedores!$AF$1:$AF$6631,0),""))</f>
        <v/>
      </c>
      <c r="W792" t="str">
        <f t="shared" si="3"/>
        <v/>
      </c>
      <c r="X792" s="4" t="str">
        <f>IF(V792="","",INDEX(Fornecedores!$X$1:$X$6631,V792))</f>
        <v/>
      </c>
      <c r="Y792" s="4" t="str">
        <f t="shared" si="4"/>
        <v/>
      </c>
    </row>
    <row r="793" spans="19:25">
      <c r="S793" t="str">
        <f t="shared" si="0"/>
        <v/>
      </c>
      <c r="T793" t="str">
        <f t="shared" si="1"/>
        <v/>
      </c>
      <c r="U793" t="str">
        <f t="shared" si="2"/>
        <v/>
      </c>
      <c r="V793" t="str">
        <f>IF(OR(U793="",U793="ERRO_CHAVE"),"",IFERROR(MATCH(U793,Fornecedores!$AF$1:$AF$6631,0),""))</f>
        <v/>
      </c>
      <c r="W793" t="str">
        <f t="shared" si="3"/>
        <v/>
      </c>
      <c r="X793" s="4" t="str">
        <f>IF(V793="","",INDEX(Fornecedores!$X$1:$X$6631,V793))</f>
        <v/>
      </c>
      <c r="Y793" s="4" t="str">
        <f t="shared" si="4"/>
        <v/>
      </c>
    </row>
    <row r="794" spans="19:25">
      <c r="S794" t="str">
        <f t="shared" si="0"/>
        <v/>
      </c>
      <c r="T794" t="str">
        <f t="shared" si="1"/>
        <v/>
      </c>
      <c r="U794" t="str">
        <f t="shared" si="2"/>
        <v/>
      </c>
      <c r="V794" t="str">
        <f>IF(OR(U794="",U794="ERRO_CHAVE"),"",IFERROR(MATCH(U794,Fornecedores!$AF$1:$AF$6631,0),""))</f>
        <v/>
      </c>
      <c r="W794" t="str">
        <f t="shared" si="3"/>
        <v/>
      </c>
      <c r="X794" s="4" t="str">
        <f>IF(V794="","",INDEX(Fornecedores!$X$1:$X$6631,V794))</f>
        <v/>
      </c>
      <c r="Y794" s="4" t="str">
        <f t="shared" si="4"/>
        <v/>
      </c>
    </row>
    <row r="795" spans="19:25">
      <c r="S795" t="str">
        <f t="shared" si="0"/>
        <v/>
      </c>
      <c r="T795" t="str">
        <f t="shared" si="1"/>
        <v/>
      </c>
      <c r="U795" t="str">
        <f t="shared" si="2"/>
        <v/>
      </c>
      <c r="V795" t="str">
        <f>IF(OR(U795="",U795="ERRO_CHAVE"),"",IFERROR(MATCH(U795,Fornecedores!$AF$1:$AF$6631,0),""))</f>
        <v/>
      </c>
      <c r="W795" t="str">
        <f t="shared" si="3"/>
        <v/>
      </c>
      <c r="X795" s="4" t="str">
        <f>IF(V795="","",INDEX(Fornecedores!$X$1:$X$6631,V795))</f>
        <v/>
      </c>
      <c r="Y795" s="4" t="str">
        <f t="shared" si="4"/>
        <v/>
      </c>
    </row>
    <row r="796" spans="19:25">
      <c r="S796" t="str">
        <f t="shared" si="0"/>
        <v/>
      </c>
      <c r="T796" t="str">
        <f t="shared" si="1"/>
        <v/>
      </c>
      <c r="U796" t="str">
        <f t="shared" si="2"/>
        <v/>
      </c>
      <c r="V796" t="str">
        <f>IF(OR(U796="",U796="ERRO_CHAVE"),"",IFERROR(MATCH(U796,Fornecedores!$AF$1:$AF$6631,0),""))</f>
        <v/>
      </c>
      <c r="W796" t="str">
        <f t="shared" si="3"/>
        <v/>
      </c>
      <c r="X796" s="4" t="str">
        <f>IF(V796="","",INDEX(Fornecedores!$X$1:$X$6631,V796))</f>
        <v/>
      </c>
      <c r="Y796" s="4" t="str">
        <f t="shared" si="4"/>
        <v/>
      </c>
    </row>
    <row r="797" spans="19:25">
      <c r="S797" t="str">
        <f t="shared" si="0"/>
        <v/>
      </c>
      <c r="T797" t="str">
        <f t="shared" si="1"/>
        <v/>
      </c>
      <c r="U797" t="str">
        <f t="shared" si="2"/>
        <v/>
      </c>
      <c r="V797" t="str">
        <f>IF(OR(U797="",U797="ERRO_CHAVE"),"",IFERROR(MATCH(U797,Fornecedores!$AF$1:$AF$6631,0),""))</f>
        <v/>
      </c>
      <c r="W797" t="str">
        <f t="shared" si="3"/>
        <v/>
      </c>
      <c r="X797" s="4" t="str">
        <f>IF(V797="","",INDEX(Fornecedores!$X$1:$X$6631,V797))</f>
        <v/>
      </c>
      <c r="Y797" s="4" t="str">
        <f t="shared" si="4"/>
        <v/>
      </c>
    </row>
    <row r="798" spans="19:25">
      <c r="S798" t="str">
        <f t="shared" si="0"/>
        <v/>
      </c>
      <c r="T798" t="str">
        <f t="shared" si="1"/>
        <v/>
      </c>
      <c r="U798" t="str">
        <f t="shared" si="2"/>
        <v/>
      </c>
      <c r="V798" t="str">
        <f>IF(OR(U798="",U798="ERRO_CHAVE"),"",IFERROR(MATCH(U798,Fornecedores!$AF$1:$AF$6631,0),""))</f>
        <v/>
      </c>
      <c r="W798" t="str">
        <f t="shared" si="3"/>
        <v/>
      </c>
      <c r="X798" s="4" t="str">
        <f>IF(V798="","",INDEX(Fornecedores!$X$1:$X$6631,V798))</f>
        <v/>
      </c>
      <c r="Y798" s="4" t="str">
        <f t="shared" si="4"/>
        <v/>
      </c>
    </row>
    <row r="799" spans="19:25">
      <c r="S799" t="str">
        <f t="shared" si="0"/>
        <v/>
      </c>
      <c r="T799" t="str">
        <f t="shared" si="1"/>
        <v/>
      </c>
      <c r="U799" t="str">
        <f t="shared" si="2"/>
        <v/>
      </c>
      <c r="V799" t="str">
        <f>IF(OR(U799="",U799="ERRO_CHAVE"),"",IFERROR(MATCH(U799,Fornecedores!$AF$1:$AF$6631,0),""))</f>
        <v/>
      </c>
      <c r="W799" t="str">
        <f t="shared" si="3"/>
        <v/>
      </c>
      <c r="X799" s="4" t="str">
        <f>IF(V799="","",INDEX(Fornecedores!$X$1:$X$6631,V799))</f>
        <v/>
      </c>
      <c r="Y799" s="4" t="str">
        <f t="shared" si="4"/>
        <v/>
      </c>
    </row>
    <row r="800" spans="19:25">
      <c r="S800" t="str">
        <f t="shared" si="0"/>
        <v/>
      </c>
      <c r="T800" t="str">
        <f t="shared" si="1"/>
        <v/>
      </c>
      <c r="U800" t="str">
        <f t="shared" si="2"/>
        <v/>
      </c>
      <c r="V800" t="str">
        <f>IF(OR(U800="",U800="ERRO_CHAVE"),"",IFERROR(MATCH(U800,Fornecedores!$AF$1:$AF$6631,0),""))</f>
        <v/>
      </c>
      <c r="W800" t="str">
        <f t="shared" si="3"/>
        <v/>
      </c>
      <c r="X800" s="4" t="str">
        <f>IF(V800="","",INDEX(Fornecedores!$X$1:$X$6631,V800))</f>
        <v/>
      </c>
      <c r="Y800" s="4" t="str">
        <f t="shared" si="4"/>
        <v/>
      </c>
    </row>
    <row r="801" spans="19:25">
      <c r="S801" t="str">
        <f t="shared" si="0"/>
        <v/>
      </c>
      <c r="T801" t="str">
        <f t="shared" si="1"/>
        <v/>
      </c>
      <c r="U801" t="str">
        <f t="shared" si="2"/>
        <v/>
      </c>
      <c r="V801" t="str">
        <f>IF(OR(U801="",U801="ERRO_CHAVE"),"",IFERROR(MATCH(U801,Fornecedores!$AF$1:$AF$6631,0),""))</f>
        <v/>
      </c>
      <c r="W801" t="str">
        <f t="shared" si="3"/>
        <v/>
      </c>
      <c r="X801" s="4" t="str">
        <f>IF(V801="","",INDEX(Fornecedores!$X$1:$X$6631,V801))</f>
        <v/>
      </c>
      <c r="Y801" s="4" t="str">
        <f t="shared" si="4"/>
        <v/>
      </c>
    </row>
    <row r="802" spans="19:25">
      <c r="S802" t="str">
        <f t="shared" si="0"/>
        <v/>
      </c>
      <c r="T802" t="str">
        <f t="shared" si="1"/>
        <v/>
      </c>
      <c r="U802" t="str">
        <f t="shared" si="2"/>
        <v/>
      </c>
      <c r="V802" t="str">
        <f>IF(OR(U802="",U802="ERRO_CHAVE"),"",IFERROR(MATCH(U802,Fornecedores!$AF$1:$AF$6631,0),""))</f>
        <v/>
      </c>
      <c r="W802" t="str">
        <f t="shared" si="3"/>
        <v/>
      </c>
      <c r="X802" s="4" t="str">
        <f>IF(V802="","",INDEX(Fornecedores!$X$1:$X$6631,V802))</f>
        <v/>
      </c>
      <c r="Y802" s="4" t="str">
        <f t="shared" si="4"/>
        <v/>
      </c>
    </row>
    <row r="803" spans="19:25">
      <c r="S803" t="str">
        <f t="shared" si="0"/>
        <v/>
      </c>
      <c r="T803" t="str">
        <f t="shared" si="1"/>
        <v/>
      </c>
      <c r="U803" t="str">
        <f t="shared" si="2"/>
        <v/>
      </c>
      <c r="V803" t="str">
        <f>IF(OR(U803="",U803="ERRO_CHAVE"),"",IFERROR(MATCH(U803,Fornecedores!$AF$1:$AF$6631,0),""))</f>
        <v/>
      </c>
      <c r="W803" t="str">
        <f t="shared" si="3"/>
        <v/>
      </c>
      <c r="X803" s="4" t="str">
        <f>IF(V803="","",INDEX(Fornecedores!$X$1:$X$6631,V803))</f>
        <v/>
      </c>
      <c r="Y803" s="4" t="str">
        <f t="shared" si="4"/>
        <v/>
      </c>
    </row>
    <row r="804" spans="19:25">
      <c r="S804" t="str">
        <f t="shared" si="0"/>
        <v/>
      </c>
      <c r="T804" t="str">
        <f t="shared" si="1"/>
        <v/>
      </c>
      <c r="U804" t="str">
        <f t="shared" si="2"/>
        <v/>
      </c>
      <c r="V804" t="str">
        <f>IF(OR(U804="",U804="ERRO_CHAVE"),"",IFERROR(MATCH(U804,Fornecedores!$AF$1:$AF$6631,0),""))</f>
        <v/>
      </c>
      <c r="W804" t="str">
        <f t="shared" si="3"/>
        <v/>
      </c>
      <c r="X804" s="4" t="str">
        <f>IF(V804="","",INDEX(Fornecedores!$X$1:$X$6631,V804))</f>
        <v/>
      </c>
      <c r="Y804" s="4" t="str">
        <f t="shared" si="4"/>
        <v/>
      </c>
    </row>
    <row r="805" spans="19:25">
      <c r="S805" t="str">
        <f t="shared" si="0"/>
        <v/>
      </c>
      <c r="T805" t="str">
        <f t="shared" si="1"/>
        <v/>
      </c>
      <c r="U805" t="str">
        <f t="shared" si="2"/>
        <v/>
      </c>
      <c r="V805" t="str">
        <f>IF(OR(U805="",U805="ERRO_CHAVE"),"",IFERROR(MATCH(U805,Fornecedores!$AF$1:$AF$6631,0),""))</f>
        <v/>
      </c>
      <c r="W805" t="str">
        <f t="shared" si="3"/>
        <v/>
      </c>
      <c r="X805" s="4" t="str">
        <f>IF(V805="","",INDEX(Fornecedores!$X$1:$X$6631,V805))</f>
        <v/>
      </c>
      <c r="Y805" s="4" t="str">
        <f t="shared" si="4"/>
        <v/>
      </c>
    </row>
    <row r="806" spans="19:25">
      <c r="S806" t="str">
        <f t="shared" si="0"/>
        <v/>
      </c>
      <c r="T806" t="str">
        <f t="shared" si="1"/>
        <v/>
      </c>
      <c r="U806" t="str">
        <f t="shared" si="2"/>
        <v/>
      </c>
      <c r="V806" t="str">
        <f>IF(OR(U806="",U806="ERRO_CHAVE"),"",IFERROR(MATCH(U806,Fornecedores!$AF$1:$AF$6631,0),""))</f>
        <v/>
      </c>
      <c r="W806" t="str">
        <f t="shared" si="3"/>
        <v/>
      </c>
      <c r="X806" s="4" t="str">
        <f>IF(V806="","",INDEX(Fornecedores!$X$1:$X$6631,V806))</f>
        <v/>
      </c>
      <c r="Y806" s="4" t="str">
        <f t="shared" si="4"/>
        <v/>
      </c>
    </row>
    <row r="807" spans="19:25">
      <c r="S807" t="str">
        <f t="shared" si="0"/>
        <v/>
      </c>
      <c r="T807" t="str">
        <f t="shared" si="1"/>
        <v/>
      </c>
      <c r="U807" t="str">
        <f t="shared" si="2"/>
        <v/>
      </c>
      <c r="V807" t="str">
        <f>IF(OR(U807="",U807="ERRO_CHAVE"),"",IFERROR(MATCH(U807,Fornecedores!$AF$1:$AF$6631,0),""))</f>
        <v/>
      </c>
      <c r="W807" t="str">
        <f t="shared" si="3"/>
        <v/>
      </c>
      <c r="X807" s="4" t="str">
        <f>IF(V807="","",INDEX(Fornecedores!$X$1:$X$6631,V807))</f>
        <v/>
      </c>
      <c r="Y807" s="4" t="str">
        <f t="shared" si="4"/>
        <v/>
      </c>
    </row>
    <row r="808" spans="19:25">
      <c r="S808" t="str">
        <f t="shared" si="0"/>
        <v/>
      </c>
      <c r="T808" t="str">
        <f t="shared" si="1"/>
        <v/>
      </c>
      <c r="U808" t="str">
        <f t="shared" si="2"/>
        <v/>
      </c>
      <c r="V808" t="str">
        <f>IF(OR(U808="",U808="ERRO_CHAVE"),"",IFERROR(MATCH(U808,Fornecedores!$AF$1:$AF$6631,0),""))</f>
        <v/>
      </c>
      <c r="W808" t="str">
        <f t="shared" si="3"/>
        <v/>
      </c>
      <c r="X808" s="4" t="str">
        <f>IF(V808="","",INDEX(Fornecedores!$X$1:$X$6631,V808))</f>
        <v/>
      </c>
      <c r="Y808" s="4" t="str">
        <f t="shared" si="4"/>
        <v/>
      </c>
    </row>
    <row r="809" spans="19:25">
      <c r="S809" t="str">
        <f t="shared" si="0"/>
        <v/>
      </c>
      <c r="T809" t="str">
        <f t="shared" si="1"/>
        <v/>
      </c>
      <c r="U809" t="str">
        <f t="shared" si="2"/>
        <v/>
      </c>
      <c r="V809" t="str">
        <f>IF(OR(U809="",U809="ERRO_CHAVE"),"",IFERROR(MATCH(U809,Fornecedores!$AF$1:$AF$6631,0),""))</f>
        <v/>
      </c>
      <c r="W809" t="str">
        <f t="shared" si="3"/>
        <v/>
      </c>
      <c r="X809" s="4" t="str">
        <f>IF(V809="","",INDEX(Fornecedores!$X$1:$X$6631,V809))</f>
        <v/>
      </c>
      <c r="Y809" s="4" t="str">
        <f t="shared" si="4"/>
        <v/>
      </c>
    </row>
    <row r="810" spans="19:25">
      <c r="S810" t="str">
        <f t="shared" si="0"/>
        <v/>
      </c>
      <c r="T810" t="str">
        <f t="shared" si="1"/>
        <v/>
      </c>
      <c r="U810" t="str">
        <f t="shared" si="2"/>
        <v/>
      </c>
      <c r="V810" t="str">
        <f>IF(OR(U810="",U810="ERRO_CHAVE"),"",IFERROR(MATCH(U810,Fornecedores!$AF$1:$AF$6631,0),""))</f>
        <v/>
      </c>
      <c r="W810" t="str">
        <f t="shared" si="3"/>
        <v/>
      </c>
      <c r="X810" s="4" t="str">
        <f>IF(V810="","",INDEX(Fornecedores!$X$1:$X$6631,V810))</f>
        <v/>
      </c>
      <c r="Y810" s="4" t="str">
        <f t="shared" si="4"/>
        <v/>
      </c>
    </row>
    <row r="811" spans="19:25">
      <c r="S811" t="str">
        <f t="shared" si="0"/>
        <v/>
      </c>
      <c r="T811" t="str">
        <f t="shared" si="1"/>
        <v/>
      </c>
      <c r="U811" t="str">
        <f t="shared" si="2"/>
        <v/>
      </c>
      <c r="V811" t="str">
        <f>IF(OR(U811="",U811="ERRO_CHAVE"),"",IFERROR(MATCH(U811,Fornecedores!$AF$1:$AF$6631,0),""))</f>
        <v/>
      </c>
      <c r="W811" t="str">
        <f t="shared" si="3"/>
        <v/>
      </c>
      <c r="X811" s="4" t="str">
        <f>IF(V811="","",INDEX(Fornecedores!$X$1:$X$6631,V811))</f>
        <v/>
      </c>
      <c r="Y811" s="4" t="str">
        <f t="shared" si="4"/>
        <v/>
      </c>
    </row>
    <row r="812" spans="19:25">
      <c r="S812" t="str">
        <f t="shared" si="0"/>
        <v/>
      </c>
      <c r="T812" t="str">
        <f t="shared" si="1"/>
        <v/>
      </c>
      <c r="U812" t="str">
        <f t="shared" si="2"/>
        <v/>
      </c>
      <c r="V812" t="str">
        <f>IF(OR(U812="",U812="ERRO_CHAVE"),"",IFERROR(MATCH(U812,Fornecedores!$AF$1:$AF$6631,0),""))</f>
        <v/>
      </c>
      <c r="W812" t="str">
        <f t="shared" si="3"/>
        <v/>
      </c>
      <c r="X812" s="4" t="str">
        <f>IF(V812="","",INDEX(Fornecedores!$X$1:$X$6631,V812))</f>
        <v/>
      </c>
      <c r="Y812" s="4" t="str">
        <f t="shared" si="4"/>
        <v/>
      </c>
    </row>
    <row r="813" spans="19:25">
      <c r="S813" t="str">
        <f t="shared" si="0"/>
        <v/>
      </c>
      <c r="T813" t="str">
        <f t="shared" si="1"/>
        <v/>
      </c>
      <c r="U813" t="str">
        <f t="shared" si="2"/>
        <v/>
      </c>
      <c r="V813" t="str">
        <f>IF(OR(U813="",U813="ERRO_CHAVE"),"",IFERROR(MATCH(U813,Fornecedores!$AF$1:$AF$6631,0),""))</f>
        <v/>
      </c>
      <c r="W813" t="str">
        <f t="shared" si="3"/>
        <v/>
      </c>
      <c r="X813" s="4" t="str">
        <f>IF(V813="","",INDEX(Fornecedores!$X$1:$X$6631,V813))</f>
        <v/>
      </c>
      <c r="Y813" s="4" t="str">
        <f t="shared" si="4"/>
        <v/>
      </c>
    </row>
    <row r="814" spans="19:25">
      <c r="S814" t="str">
        <f t="shared" si="0"/>
        <v/>
      </c>
      <c r="T814" t="str">
        <f t="shared" si="1"/>
        <v/>
      </c>
      <c r="U814" t="str">
        <f t="shared" si="2"/>
        <v/>
      </c>
      <c r="V814" t="str">
        <f>IF(OR(U814="",U814="ERRO_CHAVE"),"",IFERROR(MATCH(U814,Fornecedores!$AF$1:$AF$6631,0),""))</f>
        <v/>
      </c>
      <c r="W814" t="str">
        <f t="shared" si="3"/>
        <v/>
      </c>
      <c r="X814" s="4" t="str">
        <f>IF(V814="","",INDEX(Fornecedores!$X$1:$X$6631,V814))</f>
        <v/>
      </c>
      <c r="Y814" s="4" t="str">
        <f t="shared" si="4"/>
        <v/>
      </c>
    </row>
    <row r="815" spans="19:25">
      <c r="S815" t="str">
        <f t="shared" si="0"/>
        <v/>
      </c>
      <c r="T815" t="str">
        <f t="shared" si="1"/>
        <v/>
      </c>
      <c r="U815" t="str">
        <f t="shared" si="2"/>
        <v/>
      </c>
      <c r="V815" t="str">
        <f>IF(OR(U815="",U815="ERRO_CHAVE"),"",IFERROR(MATCH(U815,Fornecedores!$AF$1:$AF$6631,0),""))</f>
        <v/>
      </c>
      <c r="W815" t="str">
        <f t="shared" si="3"/>
        <v/>
      </c>
      <c r="X815" s="4" t="str">
        <f>IF(V815="","",INDEX(Fornecedores!$X$1:$X$6631,V815))</f>
        <v/>
      </c>
      <c r="Y815" s="4" t="str">
        <f t="shared" si="4"/>
        <v/>
      </c>
    </row>
    <row r="816" spans="19:25">
      <c r="S816" t="str">
        <f t="shared" si="0"/>
        <v/>
      </c>
      <c r="T816" t="str">
        <f t="shared" si="1"/>
        <v/>
      </c>
      <c r="U816" t="str">
        <f t="shared" si="2"/>
        <v/>
      </c>
      <c r="V816" t="str">
        <f>IF(OR(U816="",U816="ERRO_CHAVE"),"",IFERROR(MATCH(U816,Fornecedores!$AF$1:$AF$6631,0),""))</f>
        <v/>
      </c>
      <c r="W816" t="str">
        <f t="shared" si="3"/>
        <v/>
      </c>
      <c r="X816" s="4" t="str">
        <f>IF(V816="","",INDEX(Fornecedores!$X$1:$X$6631,V816))</f>
        <v/>
      </c>
      <c r="Y816" s="4" t="str">
        <f t="shared" si="4"/>
        <v/>
      </c>
    </row>
    <row r="817" spans="19:25">
      <c r="S817" t="str">
        <f t="shared" si="0"/>
        <v/>
      </c>
      <c r="T817" t="str">
        <f t="shared" si="1"/>
        <v/>
      </c>
      <c r="U817" t="str">
        <f t="shared" si="2"/>
        <v/>
      </c>
      <c r="V817" t="str">
        <f>IF(OR(U817="",U817="ERRO_CHAVE"),"",IFERROR(MATCH(U817,Fornecedores!$AF$1:$AF$6631,0),""))</f>
        <v/>
      </c>
      <c r="W817" t="str">
        <f t="shared" si="3"/>
        <v/>
      </c>
      <c r="X817" s="4" t="str">
        <f>IF(V817="","",INDEX(Fornecedores!$X$1:$X$6631,V817))</f>
        <v/>
      </c>
      <c r="Y817" s="4" t="str">
        <f t="shared" si="4"/>
        <v/>
      </c>
    </row>
    <row r="818" spans="19:25">
      <c r="S818" t="str">
        <f t="shared" si="0"/>
        <v/>
      </c>
      <c r="T818" t="str">
        <f t="shared" si="1"/>
        <v/>
      </c>
      <c r="U818" t="str">
        <f t="shared" si="2"/>
        <v/>
      </c>
      <c r="V818" t="str">
        <f>IF(OR(U818="",U818="ERRO_CHAVE"),"",IFERROR(MATCH(U818,Fornecedores!$AF$1:$AF$6631,0),""))</f>
        <v/>
      </c>
      <c r="W818" t="str">
        <f t="shared" si="3"/>
        <v/>
      </c>
      <c r="X818" s="4" t="str">
        <f>IF(V818="","",INDEX(Fornecedores!$X$1:$X$6631,V818))</f>
        <v/>
      </c>
      <c r="Y818" s="4" t="str">
        <f t="shared" si="4"/>
        <v/>
      </c>
    </row>
    <row r="819" spans="19:25">
      <c r="S819" t="str">
        <f t="shared" si="0"/>
        <v/>
      </c>
      <c r="T819" t="str">
        <f t="shared" si="1"/>
        <v/>
      </c>
      <c r="U819" t="str">
        <f t="shared" si="2"/>
        <v/>
      </c>
      <c r="V819" t="str">
        <f>IF(OR(U819="",U819="ERRO_CHAVE"),"",IFERROR(MATCH(U819,Fornecedores!$AF$1:$AF$6631,0),""))</f>
        <v/>
      </c>
      <c r="W819" t="str">
        <f t="shared" si="3"/>
        <v/>
      </c>
      <c r="X819" s="4" t="str">
        <f>IF(V819="","",INDEX(Fornecedores!$X$1:$X$6631,V819))</f>
        <v/>
      </c>
      <c r="Y819" s="4" t="str">
        <f t="shared" si="4"/>
        <v/>
      </c>
    </row>
    <row r="820" spans="19:25">
      <c r="S820" t="str">
        <f t="shared" si="0"/>
        <v/>
      </c>
      <c r="T820" t="str">
        <f t="shared" si="1"/>
        <v/>
      </c>
      <c r="U820" t="str">
        <f t="shared" si="2"/>
        <v/>
      </c>
      <c r="V820" t="str">
        <f>IF(OR(U820="",U820="ERRO_CHAVE"),"",IFERROR(MATCH(U820,Fornecedores!$AF$1:$AF$6631,0),""))</f>
        <v/>
      </c>
      <c r="W820" t="str">
        <f t="shared" si="3"/>
        <v/>
      </c>
      <c r="X820" s="4" t="str">
        <f>IF(V820="","",INDEX(Fornecedores!$X$1:$X$6631,V820))</f>
        <v/>
      </c>
      <c r="Y820" s="4" t="str">
        <f t="shared" si="4"/>
        <v/>
      </c>
    </row>
    <row r="821" spans="19:25">
      <c r="S821" t="str">
        <f t="shared" si="0"/>
        <v/>
      </c>
      <c r="T821" t="str">
        <f t="shared" si="1"/>
        <v/>
      </c>
      <c r="U821" t="str">
        <f t="shared" si="2"/>
        <v/>
      </c>
      <c r="V821" t="str">
        <f>IF(OR(U821="",U821="ERRO_CHAVE"),"",IFERROR(MATCH(U821,Fornecedores!$AF$1:$AF$6631,0),""))</f>
        <v/>
      </c>
      <c r="W821" t="str">
        <f t="shared" si="3"/>
        <v/>
      </c>
      <c r="X821" s="4" t="str">
        <f>IF(V821="","",INDEX(Fornecedores!$X$1:$X$6631,V821))</f>
        <v/>
      </c>
      <c r="Y821" s="4" t="str">
        <f t="shared" si="4"/>
        <v/>
      </c>
    </row>
    <row r="822" spans="19:25">
      <c r="S822" t="str">
        <f t="shared" si="0"/>
        <v/>
      </c>
      <c r="T822" t="str">
        <f t="shared" si="1"/>
        <v/>
      </c>
      <c r="U822" t="str">
        <f t="shared" si="2"/>
        <v/>
      </c>
      <c r="V822" t="str">
        <f>IF(OR(U822="",U822="ERRO_CHAVE"),"",IFERROR(MATCH(U822,Fornecedores!$AF$1:$AF$6631,0),""))</f>
        <v/>
      </c>
      <c r="W822" t="str">
        <f t="shared" si="3"/>
        <v/>
      </c>
      <c r="X822" s="4" t="str">
        <f>IF(V822="","",INDEX(Fornecedores!$X$1:$X$6631,V822))</f>
        <v/>
      </c>
      <c r="Y822" s="4" t="str">
        <f t="shared" si="4"/>
        <v/>
      </c>
    </row>
    <row r="823" spans="19:25">
      <c r="S823" t="str">
        <f t="shared" si="0"/>
        <v/>
      </c>
      <c r="T823" t="str">
        <f t="shared" si="1"/>
        <v/>
      </c>
      <c r="U823" t="str">
        <f t="shared" si="2"/>
        <v/>
      </c>
      <c r="V823" t="str">
        <f>IF(OR(U823="",U823="ERRO_CHAVE"),"",IFERROR(MATCH(U823,Fornecedores!$AF$1:$AF$6631,0),""))</f>
        <v/>
      </c>
      <c r="W823" t="str">
        <f t="shared" si="3"/>
        <v/>
      </c>
      <c r="X823" s="4" t="str">
        <f>IF(V823="","",INDEX(Fornecedores!$X$1:$X$6631,V823))</f>
        <v/>
      </c>
      <c r="Y823" s="4" t="str">
        <f t="shared" si="4"/>
        <v/>
      </c>
    </row>
    <row r="824" spans="19:25">
      <c r="S824" t="str">
        <f t="shared" si="0"/>
        <v/>
      </c>
      <c r="T824" t="str">
        <f t="shared" si="1"/>
        <v/>
      </c>
      <c r="U824" t="str">
        <f t="shared" si="2"/>
        <v/>
      </c>
      <c r="V824" t="str">
        <f>IF(OR(U824="",U824="ERRO_CHAVE"),"",IFERROR(MATCH(U824,Fornecedores!$AF$1:$AF$6631,0),""))</f>
        <v/>
      </c>
      <c r="W824" t="str">
        <f t="shared" si="3"/>
        <v/>
      </c>
      <c r="X824" s="4" t="str">
        <f>IF(V824="","",INDEX(Fornecedores!$X$1:$X$6631,V824))</f>
        <v/>
      </c>
      <c r="Y824" s="4" t="str">
        <f t="shared" si="4"/>
        <v/>
      </c>
    </row>
    <row r="825" spans="19:25">
      <c r="S825" t="str">
        <f t="shared" si="0"/>
        <v/>
      </c>
      <c r="T825" t="str">
        <f t="shared" si="1"/>
        <v/>
      </c>
      <c r="U825" t="str">
        <f t="shared" si="2"/>
        <v/>
      </c>
      <c r="V825" t="str">
        <f>IF(OR(U825="",U825="ERRO_CHAVE"),"",IFERROR(MATCH(U825,Fornecedores!$AF$1:$AF$6631,0),""))</f>
        <v/>
      </c>
      <c r="W825" t="str">
        <f t="shared" si="3"/>
        <v/>
      </c>
      <c r="X825" s="4" t="str">
        <f>IF(V825="","",INDEX(Fornecedores!$X$1:$X$6631,V825))</f>
        <v/>
      </c>
      <c r="Y825" s="4" t="str">
        <f t="shared" si="4"/>
        <v/>
      </c>
    </row>
    <row r="826" spans="19:25">
      <c r="S826" t="str">
        <f t="shared" si="0"/>
        <v/>
      </c>
      <c r="T826" t="str">
        <f t="shared" si="1"/>
        <v/>
      </c>
      <c r="U826" t="str">
        <f t="shared" si="2"/>
        <v/>
      </c>
      <c r="V826" t="str">
        <f>IF(OR(U826="",U826="ERRO_CHAVE"),"",IFERROR(MATCH(U826,Fornecedores!$AF$1:$AF$6631,0),""))</f>
        <v/>
      </c>
      <c r="W826" t="str">
        <f t="shared" si="3"/>
        <v/>
      </c>
      <c r="X826" s="4" t="str">
        <f>IF(V826="","",INDEX(Fornecedores!$X$1:$X$6631,V826))</f>
        <v/>
      </c>
      <c r="Y826" s="4" t="str">
        <f t="shared" si="4"/>
        <v/>
      </c>
    </row>
    <row r="827" spans="19:25">
      <c r="S827" t="str">
        <f t="shared" si="0"/>
        <v/>
      </c>
      <c r="T827" t="str">
        <f t="shared" si="1"/>
        <v/>
      </c>
      <c r="U827" t="str">
        <f t="shared" si="2"/>
        <v/>
      </c>
      <c r="V827" t="str">
        <f>IF(OR(U827="",U827="ERRO_CHAVE"),"",IFERROR(MATCH(U827,Fornecedores!$AF$1:$AF$6631,0),""))</f>
        <v/>
      </c>
      <c r="W827" t="str">
        <f t="shared" si="3"/>
        <v/>
      </c>
      <c r="X827" s="4" t="str">
        <f>IF(V827="","",INDEX(Fornecedores!$X$1:$X$6631,V827))</f>
        <v/>
      </c>
      <c r="Y827" s="4" t="str">
        <f t="shared" si="4"/>
        <v/>
      </c>
    </row>
    <row r="828" spans="19:25">
      <c r="S828" t="str">
        <f t="shared" si="0"/>
        <v/>
      </c>
      <c r="T828" t="str">
        <f t="shared" si="1"/>
        <v/>
      </c>
      <c r="U828" t="str">
        <f t="shared" si="2"/>
        <v/>
      </c>
      <c r="V828" t="str">
        <f>IF(OR(U828="",U828="ERRO_CHAVE"),"",IFERROR(MATCH(U828,Fornecedores!$AF$1:$AF$6631,0),""))</f>
        <v/>
      </c>
      <c r="W828" t="str">
        <f t="shared" si="3"/>
        <v/>
      </c>
      <c r="X828" s="4" t="str">
        <f>IF(V828="","",INDEX(Fornecedores!$X$1:$X$6631,V828))</f>
        <v/>
      </c>
      <c r="Y828" s="4" t="str">
        <f t="shared" si="4"/>
        <v/>
      </c>
    </row>
    <row r="829" spans="19:25">
      <c r="S829" t="str">
        <f t="shared" si="0"/>
        <v/>
      </c>
      <c r="T829" t="str">
        <f t="shared" si="1"/>
        <v/>
      </c>
      <c r="U829" t="str">
        <f t="shared" si="2"/>
        <v/>
      </c>
      <c r="V829" t="str">
        <f>IF(OR(U829="",U829="ERRO_CHAVE"),"",IFERROR(MATCH(U829,Fornecedores!$AF$1:$AF$6631,0),""))</f>
        <v/>
      </c>
      <c r="W829" t="str">
        <f t="shared" si="3"/>
        <v/>
      </c>
      <c r="X829" s="4" t="str">
        <f>IF(V829="","",INDEX(Fornecedores!$X$1:$X$6631,V829))</f>
        <v/>
      </c>
      <c r="Y829" s="4" t="str">
        <f t="shared" si="4"/>
        <v/>
      </c>
    </row>
    <row r="830" spans="19:25">
      <c r="S830" t="str">
        <f t="shared" si="0"/>
        <v/>
      </c>
      <c r="T830" t="str">
        <f t="shared" si="1"/>
        <v/>
      </c>
      <c r="U830" t="str">
        <f t="shared" si="2"/>
        <v/>
      </c>
      <c r="V830" t="str">
        <f>IF(OR(U830="",U830="ERRO_CHAVE"),"",IFERROR(MATCH(U830,Fornecedores!$AF$1:$AF$6631,0),""))</f>
        <v/>
      </c>
      <c r="W830" t="str">
        <f t="shared" si="3"/>
        <v/>
      </c>
      <c r="X830" s="4" t="str">
        <f>IF(V830="","",INDEX(Fornecedores!$X$1:$X$6631,V830))</f>
        <v/>
      </c>
      <c r="Y830" s="4" t="str">
        <f t="shared" si="4"/>
        <v/>
      </c>
    </row>
    <row r="831" spans="19:25">
      <c r="S831" t="str">
        <f t="shared" si="0"/>
        <v/>
      </c>
      <c r="T831" t="str">
        <f t="shared" si="1"/>
        <v/>
      </c>
      <c r="U831" t="str">
        <f t="shared" si="2"/>
        <v/>
      </c>
      <c r="V831" t="str">
        <f>IF(OR(U831="",U831="ERRO_CHAVE"),"",IFERROR(MATCH(U831,Fornecedores!$AF$1:$AF$6631,0),""))</f>
        <v/>
      </c>
      <c r="W831" t="str">
        <f t="shared" si="3"/>
        <v/>
      </c>
      <c r="X831" s="4" t="str">
        <f>IF(V831="","",INDEX(Fornecedores!$X$1:$X$6631,V831))</f>
        <v/>
      </c>
      <c r="Y831" s="4" t="str">
        <f t="shared" si="4"/>
        <v/>
      </c>
    </row>
    <row r="832" spans="19:25">
      <c r="S832" t="str">
        <f t="shared" si="0"/>
        <v/>
      </c>
      <c r="T832" t="str">
        <f t="shared" si="1"/>
        <v/>
      </c>
      <c r="U832" t="str">
        <f t="shared" si="2"/>
        <v/>
      </c>
      <c r="V832" t="str">
        <f>IF(OR(U832="",U832="ERRO_CHAVE"),"",IFERROR(MATCH(U832,Fornecedores!$AF$1:$AF$6631,0),""))</f>
        <v/>
      </c>
      <c r="W832" t="str">
        <f t="shared" si="3"/>
        <v/>
      </c>
      <c r="X832" s="4" t="str">
        <f>IF(V832="","",INDEX(Fornecedores!$X$1:$X$6631,V832))</f>
        <v/>
      </c>
      <c r="Y832" s="4" t="str">
        <f t="shared" si="4"/>
        <v/>
      </c>
    </row>
    <row r="833" spans="19:25">
      <c r="S833" t="str">
        <f t="shared" si="0"/>
        <v/>
      </c>
      <c r="T833" t="str">
        <f t="shared" si="1"/>
        <v/>
      </c>
      <c r="U833" t="str">
        <f t="shared" si="2"/>
        <v/>
      </c>
      <c r="V833" t="str">
        <f>IF(OR(U833="",U833="ERRO_CHAVE"),"",IFERROR(MATCH(U833,Fornecedores!$AF$1:$AF$6631,0),""))</f>
        <v/>
      </c>
      <c r="W833" t="str">
        <f t="shared" si="3"/>
        <v/>
      </c>
      <c r="X833" s="4" t="str">
        <f>IF(V833="","",INDEX(Fornecedores!$X$1:$X$6631,V833))</f>
        <v/>
      </c>
      <c r="Y833" s="4" t="str">
        <f t="shared" si="4"/>
        <v/>
      </c>
    </row>
    <row r="834" spans="19:25">
      <c r="S834" t="str">
        <f t="shared" si="0"/>
        <v/>
      </c>
      <c r="T834" t="str">
        <f t="shared" si="1"/>
        <v/>
      </c>
      <c r="U834" t="str">
        <f t="shared" si="2"/>
        <v/>
      </c>
      <c r="V834" t="str">
        <f>IF(OR(U834="",U834="ERRO_CHAVE"),"",IFERROR(MATCH(U834,Fornecedores!$AF$1:$AF$6631,0),""))</f>
        <v/>
      </c>
      <c r="W834" t="str">
        <f t="shared" si="3"/>
        <v/>
      </c>
      <c r="X834" s="4" t="str">
        <f>IF(V834="","",INDEX(Fornecedores!$X$1:$X$6631,V834))</f>
        <v/>
      </c>
      <c r="Y834" s="4" t="str">
        <f t="shared" si="4"/>
        <v/>
      </c>
    </row>
    <row r="835" spans="19:25">
      <c r="S835" t="str">
        <f t="shared" si="0"/>
        <v/>
      </c>
      <c r="T835" t="str">
        <f t="shared" si="1"/>
        <v/>
      </c>
      <c r="U835" t="str">
        <f t="shared" si="2"/>
        <v/>
      </c>
      <c r="V835" t="str">
        <f>IF(OR(U835="",U835="ERRO_CHAVE"),"",IFERROR(MATCH(U835,Fornecedores!$AF$1:$AF$6631,0),""))</f>
        <v/>
      </c>
      <c r="W835" t="str">
        <f t="shared" si="3"/>
        <v/>
      </c>
      <c r="X835" s="4" t="str">
        <f>IF(V835="","",INDEX(Fornecedores!$X$1:$X$6631,V835))</f>
        <v/>
      </c>
      <c r="Y835" s="4" t="str">
        <f t="shared" si="4"/>
        <v/>
      </c>
    </row>
    <row r="836" spans="19:25">
      <c r="S836" t="str">
        <f t="shared" si="0"/>
        <v/>
      </c>
      <c r="T836" t="str">
        <f t="shared" si="1"/>
        <v/>
      </c>
      <c r="U836" t="str">
        <f t="shared" si="2"/>
        <v/>
      </c>
      <c r="V836" t="str">
        <f>IF(OR(U836="",U836="ERRO_CHAVE"),"",IFERROR(MATCH(U836,Fornecedores!$AF$1:$AF$6631,0),""))</f>
        <v/>
      </c>
      <c r="W836" t="str">
        <f t="shared" si="3"/>
        <v/>
      </c>
      <c r="X836" s="4" t="str">
        <f>IF(V836="","",INDEX(Fornecedores!$X$1:$X$6631,V836))</f>
        <v/>
      </c>
      <c r="Y836" s="4" t="str">
        <f t="shared" si="4"/>
        <v/>
      </c>
    </row>
    <row r="837" spans="19:25">
      <c r="S837" t="str">
        <f t="shared" si="0"/>
        <v/>
      </c>
      <c r="T837" t="str">
        <f t="shared" si="1"/>
        <v/>
      </c>
      <c r="U837" t="str">
        <f t="shared" si="2"/>
        <v/>
      </c>
      <c r="V837" t="str">
        <f>IF(OR(U837="",U837="ERRO_CHAVE"),"",IFERROR(MATCH(U837,Fornecedores!$AF$1:$AF$6631,0),""))</f>
        <v/>
      </c>
      <c r="W837" t="str">
        <f t="shared" si="3"/>
        <v/>
      </c>
      <c r="X837" s="4" t="str">
        <f>IF(V837="","",INDEX(Fornecedores!$X$1:$X$6631,V837))</f>
        <v/>
      </c>
      <c r="Y837" s="4" t="str">
        <f t="shared" si="4"/>
        <v/>
      </c>
    </row>
    <row r="838" spans="19:25">
      <c r="S838" t="str">
        <f t="shared" si="0"/>
        <v/>
      </c>
      <c r="T838" t="str">
        <f t="shared" si="1"/>
        <v/>
      </c>
      <c r="U838" t="str">
        <f t="shared" si="2"/>
        <v/>
      </c>
      <c r="V838" t="str">
        <f>IF(OR(U838="",U838="ERRO_CHAVE"),"",IFERROR(MATCH(U838,Fornecedores!$AF$1:$AF$6631,0),""))</f>
        <v/>
      </c>
      <c r="W838" t="str">
        <f t="shared" si="3"/>
        <v/>
      </c>
      <c r="X838" s="4" t="str">
        <f>IF(V838="","",INDEX(Fornecedores!$X$1:$X$6631,V838))</f>
        <v/>
      </c>
      <c r="Y838" s="4" t="str">
        <f t="shared" si="4"/>
        <v/>
      </c>
    </row>
    <row r="839" spans="19:25">
      <c r="S839" t="str">
        <f t="shared" si="0"/>
        <v/>
      </c>
      <c r="T839" t="str">
        <f t="shared" si="1"/>
        <v/>
      </c>
      <c r="U839" t="str">
        <f t="shared" si="2"/>
        <v/>
      </c>
      <c r="V839" t="str">
        <f>IF(OR(U839="",U839="ERRO_CHAVE"),"",IFERROR(MATCH(U839,Fornecedores!$AF$1:$AF$6631,0),""))</f>
        <v/>
      </c>
      <c r="W839" t="str">
        <f t="shared" si="3"/>
        <v/>
      </c>
      <c r="X839" s="4" t="str">
        <f>IF(V839="","",INDEX(Fornecedores!$X$1:$X$6631,V839))</f>
        <v/>
      </c>
      <c r="Y839" s="4" t="str">
        <f t="shared" si="4"/>
        <v/>
      </c>
    </row>
    <row r="840" spans="19:25">
      <c r="S840" t="str">
        <f t="shared" si="0"/>
        <v/>
      </c>
      <c r="T840" t="str">
        <f t="shared" si="1"/>
        <v/>
      </c>
      <c r="U840" t="str">
        <f t="shared" si="2"/>
        <v/>
      </c>
      <c r="V840" t="str">
        <f>IF(OR(U840="",U840="ERRO_CHAVE"),"",IFERROR(MATCH(U840,Fornecedores!$AF$1:$AF$6631,0),""))</f>
        <v/>
      </c>
      <c r="W840" t="str">
        <f t="shared" si="3"/>
        <v/>
      </c>
      <c r="X840" s="4" t="str">
        <f>IF(V840="","",INDEX(Fornecedores!$X$1:$X$6631,V840))</f>
        <v/>
      </c>
      <c r="Y840" s="4" t="str">
        <f t="shared" si="4"/>
        <v/>
      </c>
    </row>
    <row r="841" spans="19:25">
      <c r="S841" t="str">
        <f t="shared" si="0"/>
        <v/>
      </c>
      <c r="T841" t="str">
        <f t="shared" si="1"/>
        <v/>
      </c>
      <c r="U841" t="str">
        <f t="shared" si="2"/>
        <v/>
      </c>
      <c r="V841" t="str">
        <f>IF(OR(U841="",U841="ERRO_CHAVE"),"",IFERROR(MATCH(U841,Fornecedores!$AF$1:$AF$6631,0),""))</f>
        <v/>
      </c>
      <c r="W841" t="str">
        <f t="shared" si="3"/>
        <v/>
      </c>
      <c r="X841" s="4" t="str">
        <f>IF(V841="","",INDEX(Fornecedores!$X$1:$X$6631,V841))</f>
        <v/>
      </c>
      <c r="Y841" s="4" t="str">
        <f t="shared" si="4"/>
        <v/>
      </c>
    </row>
    <row r="842" spans="19:25">
      <c r="S842" t="str">
        <f t="shared" si="0"/>
        <v/>
      </c>
      <c r="T842" t="str">
        <f t="shared" si="1"/>
        <v/>
      </c>
      <c r="U842" t="str">
        <f t="shared" si="2"/>
        <v/>
      </c>
      <c r="V842" t="str">
        <f>IF(OR(U842="",U842="ERRO_CHAVE"),"",IFERROR(MATCH(U842,Fornecedores!$AF$1:$AF$6631,0),""))</f>
        <v/>
      </c>
      <c r="W842" t="str">
        <f t="shared" si="3"/>
        <v/>
      </c>
      <c r="X842" s="4" t="str">
        <f>IF(V842="","",INDEX(Fornecedores!$X$1:$X$6631,V842))</f>
        <v/>
      </c>
      <c r="Y842" s="4" t="str">
        <f t="shared" si="4"/>
        <v/>
      </c>
    </row>
    <row r="843" spans="19:25">
      <c r="S843" t="str">
        <f t="shared" si="0"/>
        <v/>
      </c>
      <c r="T843" t="str">
        <f t="shared" si="1"/>
        <v/>
      </c>
      <c r="U843" t="str">
        <f t="shared" si="2"/>
        <v/>
      </c>
      <c r="V843" t="str">
        <f>IF(OR(U843="",U843="ERRO_CHAVE"),"",IFERROR(MATCH(U843,Fornecedores!$AF$1:$AF$6631,0),""))</f>
        <v/>
      </c>
      <c r="W843" t="str">
        <f t="shared" si="3"/>
        <v/>
      </c>
      <c r="X843" s="4" t="str">
        <f>IF(V843="","",INDEX(Fornecedores!$X$1:$X$6631,V843))</f>
        <v/>
      </c>
      <c r="Y843" s="4" t="str">
        <f t="shared" si="4"/>
        <v/>
      </c>
    </row>
    <row r="844" spans="19:25">
      <c r="S844" t="str">
        <f t="shared" si="0"/>
        <v/>
      </c>
      <c r="T844" t="str">
        <f t="shared" si="1"/>
        <v/>
      </c>
      <c r="U844" t="str">
        <f t="shared" si="2"/>
        <v/>
      </c>
      <c r="V844" t="str">
        <f>IF(OR(U844="",U844="ERRO_CHAVE"),"",IFERROR(MATCH(U844,Fornecedores!$AF$1:$AF$6631,0),""))</f>
        <v/>
      </c>
      <c r="W844" t="str">
        <f t="shared" si="3"/>
        <v/>
      </c>
      <c r="X844" s="4" t="str">
        <f>IF(V844="","",INDEX(Fornecedores!$X$1:$X$6631,V844))</f>
        <v/>
      </c>
      <c r="Y844" s="4" t="str">
        <f t="shared" si="4"/>
        <v/>
      </c>
    </row>
    <row r="845" spans="19:25">
      <c r="S845" t="str">
        <f t="shared" si="0"/>
        <v/>
      </c>
      <c r="T845" t="str">
        <f t="shared" si="1"/>
        <v/>
      </c>
      <c r="U845" t="str">
        <f t="shared" si="2"/>
        <v/>
      </c>
      <c r="V845" t="str">
        <f>IF(OR(U845="",U845="ERRO_CHAVE"),"",IFERROR(MATCH(U845,Fornecedores!$AF$1:$AF$6631,0),""))</f>
        <v/>
      </c>
      <c r="W845" t="str">
        <f t="shared" si="3"/>
        <v/>
      </c>
      <c r="X845" s="4" t="str">
        <f>IF(V845="","",INDEX(Fornecedores!$X$1:$X$6631,V845))</f>
        <v/>
      </c>
      <c r="Y845" s="4" t="str">
        <f t="shared" si="4"/>
        <v/>
      </c>
    </row>
    <row r="846" spans="19:25">
      <c r="S846" t="str">
        <f t="shared" si="0"/>
        <v/>
      </c>
      <c r="T846" t="str">
        <f t="shared" si="1"/>
        <v/>
      </c>
      <c r="U846" t="str">
        <f t="shared" si="2"/>
        <v/>
      </c>
      <c r="V846" t="str">
        <f>IF(OR(U846="",U846="ERRO_CHAVE"),"",IFERROR(MATCH(U846,Fornecedores!$AF$1:$AF$6631,0),""))</f>
        <v/>
      </c>
      <c r="W846" t="str">
        <f t="shared" si="3"/>
        <v/>
      </c>
      <c r="X846" s="4" t="str">
        <f>IF(V846="","",INDEX(Fornecedores!$X$1:$X$6631,V846))</f>
        <v/>
      </c>
      <c r="Y846" s="4" t="str">
        <f t="shared" si="4"/>
        <v/>
      </c>
    </row>
    <row r="847" spans="19:25">
      <c r="S847" t="str">
        <f t="shared" si="0"/>
        <v/>
      </c>
      <c r="T847" t="str">
        <f t="shared" si="1"/>
        <v/>
      </c>
      <c r="U847" t="str">
        <f t="shared" si="2"/>
        <v/>
      </c>
      <c r="V847" t="str">
        <f>IF(OR(U847="",U847="ERRO_CHAVE"),"",IFERROR(MATCH(U847,Fornecedores!$AF$1:$AF$6631,0),""))</f>
        <v/>
      </c>
      <c r="W847" t="str">
        <f t="shared" si="3"/>
        <v/>
      </c>
      <c r="X847" s="4" t="str">
        <f>IF(V847="","",INDEX(Fornecedores!$X$1:$X$6631,V847))</f>
        <v/>
      </c>
      <c r="Y847" s="4" t="str">
        <f t="shared" si="4"/>
        <v/>
      </c>
    </row>
    <row r="848" spans="19:25">
      <c r="S848" t="str">
        <f t="shared" si="0"/>
        <v/>
      </c>
      <c r="T848" t="str">
        <f t="shared" si="1"/>
        <v/>
      </c>
      <c r="U848" t="str">
        <f t="shared" si="2"/>
        <v/>
      </c>
      <c r="V848" t="str">
        <f>IF(OR(U848="",U848="ERRO_CHAVE"),"",IFERROR(MATCH(U848,Fornecedores!$AF$1:$AF$6631,0),""))</f>
        <v/>
      </c>
      <c r="W848" t="str">
        <f t="shared" si="3"/>
        <v/>
      </c>
      <c r="X848" s="4" t="str">
        <f>IF(V848="","",INDEX(Fornecedores!$X$1:$X$6631,V848))</f>
        <v/>
      </c>
      <c r="Y848" s="4" t="str">
        <f t="shared" si="4"/>
        <v/>
      </c>
    </row>
    <row r="849" spans="19:25">
      <c r="S849" t="str">
        <f t="shared" si="0"/>
        <v/>
      </c>
      <c r="T849" t="str">
        <f t="shared" si="1"/>
        <v/>
      </c>
      <c r="U849" t="str">
        <f t="shared" si="2"/>
        <v/>
      </c>
      <c r="V849" t="str">
        <f>IF(OR(U849="",U849="ERRO_CHAVE"),"",IFERROR(MATCH(U849,Fornecedores!$AF$1:$AF$6631,0),""))</f>
        <v/>
      </c>
      <c r="W849" t="str">
        <f t="shared" si="3"/>
        <v/>
      </c>
      <c r="X849" s="4" t="str">
        <f>IF(V849="","",INDEX(Fornecedores!$X$1:$X$6631,V849))</f>
        <v/>
      </c>
      <c r="Y849" s="4" t="str">
        <f t="shared" si="4"/>
        <v/>
      </c>
    </row>
    <row r="850" spans="19:25">
      <c r="S850" t="str">
        <f t="shared" si="0"/>
        <v/>
      </c>
      <c r="T850" t="str">
        <f t="shared" si="1"/>
        <v/>
      </c>
      <c r="U850" t="str">
        <f t="shared" si="2"/>
        <v/>
      </c>
      <c r="V850" t="str">
        <f>IF(OR(U850="",U850="ERRO_CHAVE"),"",IFERROR(MATCH(U850,Fornecedores!$AF$1:$AF$6631,0),""))</f>
        <v/>
      </c>
      <c r="W850" t="str">
        <f t="shared" si="3"/>
        <v/>
      </c>
      <c r="X850" s="4" t="str">
        <f>IF(V850="","",INDEX(Fornecedores!$X$1:$X$6631,V850))</f>
        <v/>
      </c>
      <c r="Y850" s="4" t="str">
        <f t="shared" si="4"/>
        <v/>
      </c>
    </row>
    <row r="851" spans="19:25">
      <c r="S851" t="str">
        <f t="shared" si="0"/>
        <v/>
      </c>
      <c r="T851" t="str">
        <f t="shared" si="1"/>
        <v/>
      </c>
      <c r="U851" t="str">
        <f t="shared" si="2"/>
        <v/>
      </c>
      <c r="V851" t="str">
        <f>IF(OR(U851="",U851="ERRO_CHAVE"),"",IFERROR(MATCH(U851,Fornecedores!$AF$1:$AF$6631,0),""))</f>
        <v/>
      </c>
      <c r="W851" t="str">
        <f t="shared" si="3"/>
        <v/>
      </c>
      <c r="X851" s="4" t="str">
        <f>IF(V851="","",INDEX(Fornecedores!$X$1:$X$6631,V851))</f>
        <v/>
      </c>
      <c r="Y851" s="4" t="str">
        <f t="shared" si="4"/>
        <v/>
      </c>
    </row>
    <row r="852" spans="19:25">
      <c r="S852" t="str">
        <f t="shared" si="0"/>
        <v/>
      </c>
      <c r="T852" t="str">
        <f t="shared" si="1"/>
        <v/>
      </c>
      <c r="U852" t="str">
        <f t="shared" si="2"/>
        <v/>
      </c>
      <c r="V852" t="str">
        <f>IF(OR(U852="",U852="ERRO_CHAVE"),"",IFERROR(MATCH(U852,Fornecedores!$AF$1:$AF$6631,0),""))</f>
        <v/>
      </c>
      <c r="W852" t="str">
        <f t="shared" si="3"/>
        <v/>
      </c>
      <c r="X852" s="4" t="str">
        <f>IF(V852="","",INDEX(Fornecedores!$X$1:$X$6631,V852))</f>
        <v/>
      </c>
      <c r="Y852" s="4" t="str">
        <f t="shared" si="4"/>
        <v/>
      </c>
    </row>
    <row r="853" spans="19:25">
      <c r="S853" t="str">
        <f t="shared" si="0"/>
        <v/>
      </c>
      <c r="T853" t="str">
        <f t="shared" si="1"/>
        <v/>
      </c>
      <c r="U853" t="str">
        <f t="shared" si="2"/>
        <v/>
      </c>
      <c r="V853" t="str">
        <f>IF(OR(U853="",U853="ERRO_CHAVE"),"",IFERROR(MATCH(U853,Fornecedores!$AF$1:$AF$6631,0),""))</f>
        <v/>
      </c>
      <c r="W853" t="str">
        <f t="shared" si="3"/>
        <v/>
      </c>
      <c r="X853" s="4" t="str">
        <f>IF(V853="","",INDEX(Fornecedores!$X$1:$X$6631,V853))</f>
        <v/>
      </c>
      <c r="Y853" s="4" t="str">
        <f t="shared" si="4"/>
        <v/>
      </c>
    </row>
    <row r="854" spans="19:25">
      <c r="S854" t="str">
        <f t="shared" si="0"/>
        <v/>
      </c>
      <c r="T854" t="str">
        <f t="shared" si="1"/>
        <v/>
      </c>
      <c r="U854" t="str">
        <f t="shared" si="2"/>
        <v/>
      </c>
      <c r="V854" t="str">
        <f>IF(OR(U854="",U854="ERRO_CHAVE"),"",IFERROR(MATCH(U854,Fornecedores!$AF$1:$AF$6631,0),""))</f>
        <v/>
      </c>
      <c r="W854" t="str">
        <f t="shared" si="3"/>
        <v/>
      </c>
      <c r="X854" s="4" t="str">
        <f>IF(V854="","",INDEX(Fornecedores!$X$1:$X$6631,V854))</f>
        <v/>
      </c>
      <c r="Y854" s="4" t="str">
        <f t="shared" si="4"/>
        <v/>
      </c>
    </row>
    <row r="855" spans="19:25">
      <c r="S855" t="str">
        <f t="shared" si="0"/>
        <v/>
      </c>
      <c r="T855" t="str">
        <f t="shared" si="1"/>
        <v/>
      </c>
      <c r="U855" t="str">
        <f t="shared" si="2"/>
        <v/>
      </c>
      <c r="V855" t="str">
        <f>IF(OR(U855="",U855="ERRO_CHAVE"),"",IFERROR(MATCH(U855,Fornecedores!$AF$1:$AF$6631,0),""))</f>
        <v/>
      </c>
      <c r="W855" t="str">
        <f t="shared" si="3"/>
        <v/>
      </c>
      <c r="X855" s="4" t="str">
        <f>IF(V855="","",INDEX(Fornecedores!$X$1:$X$6631,V855))</f>
        <v/>
      </c>
      <c r="Y855" s="4" t="str">
        <f t="shared" si="4"/>
        <v/>
      </c>
    </row>
    <row r="856" spans="19:25">
      <c r="S856" t="str">
        <f t="shared" si="0"/>
        <v/>
      </c>
      <c r="T856" t="str">
        <f t="shared" si="1"/>
        <v/>
      </c>
      <c r="U856" t="str">
        <f t="shared" si="2"/>
        <v/>
      </c>
      <c r="V856" t="str">
        <f>IF(OR(U856="",U856="ERRO_CHAVE"),"",IFERROR(MATCH(U856,Fornecedores!$AF$1:$AF$6631,0),""))</f>
        <v/>
      </c>
      <c r="W856" t="str">
        <f t="shared" si="3"/>
        <v/>
      </c>
      <c r="X856" s="4" t="str">
        <f>IF(V856="","",INDEX(Fornecedores!$X$1:$X$6631,V856))</f>
        <v/>
      </c>
      <c r="Y856" s="4" t="str">
        <f t="shared" si="4"/>
        <v/>
      </c>
    </row>
    <row r="857" spans="19:25">
      <c r="S857" t="str">
        <f t="shared" si="0"/>
        <v/>
      </c>
      <c r="T857" t="str">
        <f t="shared" si="1"/>
        <v/>
      </c>
      <c r="U857" t="str">
        <f t="shared" si="2"/>
        <v/>
      </c>
      <c r="V857" t="str">
        <f>IF(OR(U857="",U857="ERRO_CHAVE"),"",IFERROR(MATCH(U857,Fornecedores!$AF$1:$AF$6631,0),""))</f>
        <v/>
      </c>
      <c r="W857" t="str">
        <f t="shared" si="3"/>
        <v/>
      </c>
      <c r="X857" s="4" t="str">
        <f>IF(V857="","",INDEX(Fornecedores!$X$1:$X$6631,V857))</f>
        <v/>
      </c>
      <c r="Y857" s="4" t="str">
        <f t="shared" si="4"/>
        <v/>
      </c>
    </row>
    <row r="858" spans="19:25">
      <c r="S858" t="str">
        <f t="shared" si="0"/>
        <v/>
      </c>
      <c r="T858" t="str">
        <f t="shared" si="1"/>
        <v/>
      </c>
      <c r="U858" t="str">
        <f t="shared" si="2"/>
        <v/>
      </c>
      <c r="V858" t="str">
        <f>IF(OR(U858="",U858="ERRO_CHAVE"),"",IFERROR(MATCH(U858,Fornecedores!$AF$1:$AF$6631,0),""))</f>
        <v/>
      </c>
      <c r="W858" t="str">
        <f t="shared" si="3"/>
        <v/>
      </c>
      <c r="X858" s="4" t="str">
        <f>IF(V858="","",INDEX(Fornecedores!$X$1:$X$6631,V858))</f>
        <v/>
      </c>
      <c r="Y858" s="4" t="str">
        <f t="shared" si="4"/>
        <v/>
      </c>
    </row>
    <row r="859" spans="19:25">
      <c r="S859" t="str">
        <f t="shared" si="0"/>
        <v/>
      </c>
      <c r="T859" t="str">
        <f t="shared" si="1"/>
        <v/>
      </c>
      <c r="U859" t="str">
        <f t="shared" si="2"/>
        <v/>
      </c>
      <c r="V859" t="str">
        <f>IF(OR(U859="",U859="ERRO_CHAVE"),"",IFERROR(MATCH(U859,Fornecedores!$AF$1:$AF$6631,0),""))</f>
        <v/>
      </c>
      <c r="W859" t="str">
        <f t="shared" si="3"/>
        <v/>
      </c>
      <c r="X859" s="4" t="str">
        <f>IF(V859="","",INDEX(Fornecedores!$X$1:$X$6631,V859))</f>
        <v/>
      </c>
      <c r="Y859" s="4" t="str">
        <f t="shared" si="4"/>
        <v/>
      </c>
    </row>
    <row r="860" spans="19:25">
      <c r="S860" t="str">
        <f t="shared" si="0"/>
        <v/>
      </c>
      <c r="T860" t="str">
        <f t="shared" si="1"/>
        <v/>
      </c>
      <c r="U860" t="str">
        <f t="shared" si="2"/>
        <v/>
      </c>
      <c r="V860" t="str">
        <f>IF(OR(U860="",U860="ERRO_CHAVE"),"",IFERROR(MATCH(U860,Fornecedores!$AF$1:$AF$6631,0),""))</f>
        <v/>
      </c>
      <c r="W860" t="str">
        <f t="shared" si="3"/>
        <v/>
      </c>
      <c r="X860" s="4" t="str">
        <f>IF(V860="","",INDEX(Fornecedores!$X$1:$X$6631,V860))</f>
        <v/>
      </c>
      <c r="Y860" s="4" t="str">
        <f t="shared" si="4"/>
        <v/>
      </c>
    </row>
    <row r="861" spans="19:25">
      <c r="S861" t="str">
        <f t="shared" si="0"/>
        <v/>
      </c>
      <c r="T861" t="str">
        <f t="shared" si="1"/>
        <v/>
      </c>
      <c r="U861" t="str">
        <f t="shared" si="2"/>
        <v/>
      </c>
      <c r="V861" t="str">
        <f>IF(OR(U861="",U861="ERRO_CHAVE"),"",IFERROR(MATCH(U861,Fornecedores!$AF$1:$AF$6631,0),""))</f>
        <v/>
      </c>
      <c r="W861" t="str">
        <f t="shared" si="3"/>
        <v/>
      </c>
      <c r="X861" s="4" t="str">
        <f>IF(V861="","",INDEX(Fornecedores!$X$1:$X$6631,V861))</f>
        <v/>
      </c>
      <c r="Y861" s="4" t="str">
        <f t="shared" si="4"/>
        <v/>
      </c>
    </row>
    <row r="862" spans="19:25">
      <c r="S862" t="str">
        <f t="shared" si="0"/>
        <v/>
      </c>
      <c r="T862" t="str">
        <f t="shared" si="1"/>
        <v/>
      </c>
      <c r="U862" t="str">
        <f t="shared" si="2"/>
        <v/>
      </c>
      <c r="V862" t="str">
        <f>IF(OR(U862="",U862="ERRO_CHAVE"),"",IFERROR(MATCH(U862,Fornecedores!$AF$1:$AF$6631,0),""))</f>
        <v/>
      </c>
      <c r="W862" t="str">
        <f t="shared" si="3"/>
        <v/>
      </c>
      <c r="X862" s="4" t="str">
        <f>IF(V862="","",INDEX(Fornecedores!$X$1:$X$6631,V862))</f>
        <v/>
      </c>
      <c r="Y862" s="4" t="str">
        <f t="shared" si="4"/>
        <v/>
      </c>
    </row>
    <row r="863" spans="19:25">
      <c r="S863" t="str">
        <f t="shared" si="0"/>
        <v/>
      </c>
      <c r="T863" t="str">
        <f t="shared" si="1"/>
        <v/>
      </c>
      <c r="U863" t="str">
        <f t="shared" si="2"/>
        <v/>
      </c>
      <c r="V863" t="str">
        <f>IF(OR(U863="",U863="ERRO_CHAVE"),"",IFERROR(MATCH(U863,Fornecedores!$AF$1:$AF$6631,0),""))</f>
        <v/>
      </c>
      <c r="W863" t="str">
        <f t="shared" si="3"/>
        <v/>
      </c>
      <c r="X863" s="4" t="str">
        <f>IF(V863="","",INDEX(Fornecedores!$X$1:$X$6631,V863))</f>
        <v/>
      </c>
      <c r="Y863" s="4" t="str">
        <f t="shared" si="4"/>
        <v/>
      </c>
    </row>
    <row r="864" spans="19:25">
      <c r="S864" t="str">
        <f t="shared" si="0"/>
        <v/>
      </c>
      <c r="T864" t="str">
        <f t="shared" si="1"/>
        <v/>
      </c>
      <c r="U864" t="str">
        <f t="shared" si="2"/>
        <v/>
      </c>
      <c r="V864" t="str">
        <f>IF(OR(U864="",U864="ERRO_CHAVE"),"",IFERROR(MATCH(U864,Fornecedores!$AF$1:$AF$6631,0),""))</f>
        <v/>
      </c>
      <c r="W864" t="str">
        <f t="shared" si="3"/>
        <v/>
      </c>
      <c r="X864" s="4" t="str">
        <f>IF(V864="","",INDEX(Fornecedores!$X$1:$X$6631,V864))</f>
        <v/>
      </c>
      <c r="Y864" s="4" t="str">
        <f t="shared" si="4"/>
        <v/>
      </c>
    </row>
    <row r="865" spans="19:25">
      <c r="S865" t="str">
        <f t="shared" si="0"/>
        <v/>
      </c>
      <c r="T865" t="str">
        <f t="shared" si="1"/>
        <v/>
      </c>
      <c r="U865" t="str">
        <f t="shared" si="2"/>
        <v/>
      </c>
      <c r="V865" t="str">
        <f>IF(OR(U865="",U865="ERRO_CHAVE"),"",IFERROR(MATCH(U865,Fornecedores!$AF$1:$AF$6631,0),""))</f>
        <v/>
      </c>
      <c r="W865" t="str">
        <f t="shared" si="3"/>
        <v/>
      </c>
      <c r="X865" s="4" t="str">
        <f>IF(V865="","",INDEX(Fornecedores!$X$1:$X$6631,V865))</f>
        <v/>
      </c>
      <c r="Y865" s="4" t="str">
        <f t="shared" si="4"/>
        <v/>
      </c>
    </row>
    <row r="866" spans="19:25">
      <c r="S866" t="str">
        <f t="shared" si="0"/>
        <v/>
      </c>
      <c r="T866" t="str">
        <f t="shared" si="1"/>
        <v/>
      </c>
      <c r="U866" t="str">
        <f t="shared" si="2"/>
        <v/>
      </c>
      <c r="V866" t="str">
        <f>IF(OR(U866="",U866="ERRO_CHAVE"),"",IFERROR(MATCH(U866,Fornecedores!$AF$1:$AF$6631,0),""))</f>
        <v/>
      </c>
      <c r="W866" t="str">
        <f t="shared" si="3"/>
        <v/>
      </c>
      <c r="X866" s="4" t="str">
        <f>IF(V866="","",INDEX(Fornecedores!$X$1:$X$6631,V866))</f>
        <v/>
      </c>
      <c r="Y866" s="4" t="str">
        <f t="shared" si="4"/>
        <v/>
      </c>
    </row>
    <row r="867" spans="19:25">
      <c r="S867" t="str">
        <f t="shared" si="0"/>
        <v/>
      </c>
      <c r="T867" t="str">
        <f t="shared" si="1"/>
        <v/>
      </c>
      <c r="U867" t="str">
        <f t="shared" si="2"/>
        <v/>
      </c>
      <c r="V867" t="str">
        <f>IF(OR(U867="",U867="ERRO_CHAVE"),"",IFERROR(MATCH(U867,Fornecedores!$AF$1:$AF$6631,0),""))</f>
        <v/>
      </c>
      <c r="W867" t="str">
        <f t="shared" si="3"/>
        <v/>
      </c>
      <c r="X867" s="4" t="str">
        <f>IF(V867="","",INDEX(Fornecedores!$X$1:$X$6631,V867))</f>
        <v/>
      </c>
      <c r="Y867" s="4" t="str">
        <f t="shared" si="4"/>
        <v/>
      </c>
    </row>
    <row r="868" spans="19:25">
      <c r="S868" t="str">
        <f t="shared" si="0"/>
        <v/>
      </c>
      <c r="T868" t="str">
        <f t="shared" si="1"/>
        <v/>
      </c>
      <c r="U868" t="str">
        <f t="shared" si="2"/>
        <v/>
      </c>
      <c r="V868" t="str">
        <f>IF(OR(U868="",U868="ERRO_CHAVE"),"",IFERROR(MATCH(U868,Fornecedores!$AF$1:$AF$6631,0),""))</f>
        <v/>
      </c>
      <c r="W868" t="str">
        <f t="shared" si="3"/>
        <v/>
      </c>
      <c r="X868" s="4" t="str">
        <f>IF(V868="","",INDEX(Fornecedores!$X$1:$X$6631,V868))</f>
        <v/>
      </c>
      <c r="Y868" s="4" t="str">
        <f t="shared" si="4"/>
        <v/>
      </c>
    </row>
    <row r="869" spans="19:25">
      <c r="S869" t="str">
        <f t="shared" si="0"/>
        <v/>
      </c>
      <c r="T869" t="str">
        <f t="shared" si="1"/>
        <v/>
      </c>
      <c r="U869" t="str">
        <f t="shared" si="2"/>
        <v/>
      </c>
      <c r="V869" t="str">
        <f>IF(OR(U869="",U869="ERRO_CHAVE"),"",IFERROR(MATCH(U869,Fornecedores!$AF$1:$AF$6631,0),""))</f>
        <v/>
      </c>
      <c r="W869" t="str">
        <f t="shared" si="3"/>
        <v/>
      </c>
      <c r="X869" s="4" t="str">
        <f>IF(V869="","",INDEX(Fornecedores!$X$1:$X$6631,V869))</f>
        <v/>
      </c>
      <c r="Y869" s="4" t="str">
        <f t="shared" si="4"/>
        <v/>
      </c>
    </row>
    <row r="870" spans="19:25">
      <c r="S870" t="str">
        <f t="shared" si="0"/>
        <v/>
      </c>
      <c r="T870" t="str">
        <f t="shared" si="1"/>
        <v/>
      </c>
      <c r="U870" t="str">
        <f t="shared" si="2"/>
        <v/>
      </c>
      <c r="V870" t="str">
        <f>IF(OR(U870="",U870="ERRO_CHAVE"),"",IFERROR(MATCH(U870,Fornecedores!$AF$1:$AF$6631,0),""))</f>
        <v/>
      </c>
      <c r="W870" t="str">
        <f t="shared" si="3"/>
        <v/>
      </c>
      <c r="X870" s="4" t="str">
        <f>IF(V870="","",INDEX(Fornecedores!$X$1:$X$6631,V870))</f>
        <v/>
      </c>
      <c r="Y870" s="4" t="str">
        <f t="shared" si="4"/>
        <v/>
      </c>
    </row>
    <row r="871" spans="19:25">
      <c r="S871" t="str">
        <f t="shared" si="0"/>
        <v/>
      </c>
      <c r="T871" t="str">
        <f t="shared" si="1"/>
        <v/>
      </c>
      <c r="U871" t="str">
        <f t="shared" si="2"/>
        <v/>
      </c>
      <c r="V871" t="str">
        <f>IF(OR(U871="",U871="ERRO_CHAVE"),"",IFERROR(MATCH(U871,Fornecedores!$AF$1:$AF$6631,0),""))</f>
        <v/>
      </c>
      <c r="W871" t="str">
        <f t="shared" si="3"/>
        <v/>
      </c>
      <c r="X871" s="4" t="str">
        <f>IF(V871="","",INDEX(Fornecedores!$X$1:$X$6631,V871))</f>
        <v/>
      </c>
      <c r="Y871" s="4" t="str">
        <f t="shared" si="4"/>
        <v/>
      </c>
    </row>
    <row r="872" spans="19:25">
      <c r="S872" t="str">
        <f t="shared" si="0"/>
        <v/>
      </c>
      <c r="T872" t="str">
        <f t="shared" si="1"/>
        <v/>
      </c>
      <c r="U872" t="str">
        <f t="shared" si="2"/>
        <v/>
      </c>
      <c r="V872" t="str">
        <f>IF(OR(U872="",U872="ERRO_CHAVE"),"",IFERROR(MATCH(U872,Fornecedores!$AF$1:$AF$6631,0),""))</f>
        <v/>
      </c>
      <c r="W872" t="str">
        <f t="shared" si="3"/>
        <v/>
      </c>
      <c r="X872" s="4" t="str">
        <f>IF(V872="","",INDEX(Fornecedores!$X$1:$X$6631,V872))</f>
        <v/>
      </c>
      <c r="Y872" s="4" t="str">
        <f t="shared" si="4"/>
        <v/>
      </c>
    </row>
    <row r="873" spans="19:25">
      <c r="S873" t="str">
        <f t="shared" si="0"/>
        <v/>
      </c>
      <c r="T873" t="str">
        <f t="shared" si="1"/>
        <v/>
      </c>
      <c r="U873" t="str">
        <f t="shared" si="2"/>
        <v/>
      </c>
      <c r="V873" t="str">
        <f>IF(OR(U873="",U873="ERRO_CHAVE"),"",IFERROR(MATCH(U873,Fornecedores!$AF$1:$AF$6631,0),""))</f>
        <v/>
      </c>
      <c r="W873" t="str">
        <f t="shared" si="3"/>
        <v/>
      </c>
      <c r="X873" s="4" t="str">
        <f>IF(V873="","",INDEX(Fornecedores!$X$1:$X$6631,V873))</f>
        <v/>
      </c>
      <c r="Y873" s="4" t="str">
        <f t="shared" si="4"/>
        <v/>
      </c>
    </row>
    <row r="874" spans="19:25">
      <c r="S874" t="str">
        <f t="shared" si="0"/>
        <v/>
      </c>
      <c r="T874" t="str">
        <f t="shared" si="1"/>
        <v/>
      </c>
      <c r="U874" t="str">
        <f t="shared" si="2"/>
        <v/>
      </c>
      <c r="V874" t="str">
        <f>IF(OR(U874="",U874="ERRO_CHAVE"),"",IFERROR(MATCH(U874,Fornecedores!$AF$1:$AF$6631,0),""))</f>
        <v/>
      </c>
      <c r="W874" t="str">
        <f t="shared" si="3"/>
        <v/>
      </c>
      <c r="X874" s="4" t="str">
        <f>IF(V874="","",INDEX(Fornecedores!$X$1:$X$6631,V874))</f>
        <v/>
      </c>
      <c r="Y874" s="4" t="str">
        <f t="shared" si="4"/>
        <v/>
      </c>
    </row>
    <row r="875" spans="19:25">
      <c r="S875" t="str">
        <f t="shared" si="0"/>
        <v/>
      </c>
      <c r="T875" t="str">
        <f t="shared" si="1"/>
        <v/>
      </c>
      <c r="U875" t="str">
        <f t="shared" si="2"/>
        <v/>
      </c>
      <c r="V875" t="str">
        <f>IF(OR(U875="",U875="ERRO_CHAVE"),"",IFERROR(MATCH(U875,Fornecedores!$AF$1:$AF$6631,0),""))</f>
        <v/>
      </c>
      <c r="W875" t="str">
        <f t="shared" si="3"/>
        <v/>
      </c>
      <c r="X875" s="4" t="str">
        <f>IF(V875="","",INDEX(Fornecedores!$X$1:$X$6631,V875))</f>
        <v/>
      </c>
      <c r="Y875" s="4" t="str">
        <f t="shared" si="4"/>
        <v/>
      </c>
    </row>
    <row r="876" spans="19:25">
      <c r="S876" t="str">
        <f t="shared" si="0"/>
        <v/>
      </c>
      <c r="T876" t="str">
        <f t="shared" si="1"/>
        <v/>
      </c>
      <c r="U876" t="str">
        <f t="shared" si="2"/>
        <v/>
      </c>
      <c r="V876" t="str">
        <f>IF(OR(U876="",U876="ERRO_CHAVE"),"",IFERROR(MATCH(U876,Fornecedores!$AF$1:$AF$6631,0),""))</f>
        <v/>
      </c>
      <c r="W876" t="str">
        <f t="shared" si="3"/>
        <v/>
      </c>
      <c r="X876" s="4" t="str">
        <f>IF(V876="","",INDEX(Fornecedores!$X$1:$X$6631,V876))</f>
        <v/>
      </c>
      <c r="Y876" s="4" t="str">
        <f t="shared" si="4"/>
        <v/>
      </c>
    </row>
    <row r="877" spans="19:25">
      <c r="S877" t="str">
        <f t="shared" si="0"/>
        <v/>
      </c>
      <c r="T877" t="str">
        <f t="shared" si="1"/>
        <v/>
      </c>
      <c r="U877" t="str">
        <f t="shared" si="2"/>
        <v/>
      </c>
      <c r="V877" t="str">
        <f>IF(OR(U877="",U877="ERRO_CHAVE"),"",IFERROR(MATCH(U877,Fornecedores!$AF$1:$AF$6631,0),""))</f>
        <v/>
      </c>
      <c r="W877" t="str">
        <f t="shared" si="3"/>
        <v/>
      </c>
      <c r="X877" s="4" t="str">
        <f>IF(V877="","",INDEX(Fornecedores!$X$1:$X$6631,V877))</f>
        <v/>
      </c>
      <c r="Y877" s="4" t="str">
        <f t="shared" si="4"/>
        <v/>
      </c>
    </row>
    <row r="878" spans="19:25">
      <c r="S878" t="str">
        <f t="shared" si="0"/>
        <v/>
      </c>
      <c r="T878" t="str">
        <f t="shared" si="1"/>
        <v/>
      </c>
      <c r="U878" t="str">
        <f t="shared" si="2"/>
        <v/>
      </c>
      <c r="V878" t="str">
        <f>IF(OR(U878="",U878="ERRO_CHAVE"),"",IFERROR(MATCH(U878,Fornecedores!$AF$1:$AF$6631,0),""))</f>
        <v/>
      </c>
      <c r="W878" t="str">
        <f t="shared" si="3"/>
        <v/>
      </c>
      <c r="X878" s="4" t="str">
        <f>IF(V878="","",INDEX(Fornecedores!$X$1:$X$6631,V878))</f>
        <v/>
      </c>
      <c r="Y878" s="4" t="str">
        <f t="shared" si="4"/>
        <v/>
      </c>
    </row>
    <row r="879" spans="19:25">
      <c r="S879" t="str">
        <f t="shared" si="0"/>
        <v/>
      </c>
      <c r="T879" t="str">
        <f t="shared" si="1"/>
        <v/>
      </c>
      <c r="U879" t="str">
        <f t="shared" si="2"/>
        <v/>
      </c>
      <c r="V879" t="str">
        <f>IF(OR(U879="",U879="ERRO_CHAVE"),"",IFERROR(MATCH(U879,Fornecedores!$AF$1:$AF$6631,0),""))</f>
        <v/>
      </c>
      <c r="W879" t="str">
        <f t="shared" si="3"/>
        <v/>
      </c>
      <c r="X879" s="4" t="str">
        <f>IF(V879="","",INDEX(Fornecedores!$X$1:$X$6631,V879))</f>
        <v/>
      </c>
      <c r="Y879" s="4" t="str">
        <f t="shared" si="4"/>
        <v/>
      </c>
    </row>
    <row r="880" spans="19:25">
      <c r="S880" t="str">
        <f t="shared" si="0"/>
        <v/>
      </c>
      <c r="T880" t="str">
        <f t="shared" si="1"/>
        <v/>
      </c>
      <c r="U880" t="str">
        <f t="shared" si="2"/>
        <v/>
      </c>
      <c r="V880" t="str">
        <f>IF(OR(U880="",U880="ERRO_CHAVE"),"",IFERROR(MATCH(U880,Fornecedores!$AF$1:$AF$6631,0),""))</f>
        <v/>
      </c>
      <c r="W880" t="str">
        <f t="shared" si="3"/>
        <v/>
      </c>
      <c r="X880" s="4" t="str">
        <f>IF(V880="","",INDEX(Fornecedores!$X$1:$X$6631,V880))</f>
        <v/>
      </c>
      <c r="Y880" s="4" t="str">
        <f t="shared" si="4"/>
        <v/>
      </c>
    </row>
    <row r="881" spans="19:25">
      <c r="S881" t="str">
        <f t="shared" si="0"/>
        <v/>
      </c>
      <c r="T881" t="str">
        <f t="shared" si="1"/>
        <v/>
      </c>
      <c r="U881" t="str">
        <f t="shared" si="2"/>
        <v/>
      </c>
      <c r="V881" t="str">
        <f>IF(OR(U881="",U881="ERRO_CHAVE"),"",IFERROR(MATCH(U881,Fornecedores!$AF$1:$AF$6631,0),""))</f>
        <v/>
      </c>
      <c r="W881" t="str">
        <f t="shared" si="3"/>
        <v/>
      </c>
      <c r="X881" s="4" t="str">
        <f>IF(V881="","",INDEX(Fornecedores!$X$1:$X$6631,V881))</f>
        <v/>
      </c>
      <c r="Y881" s="4" t="str">
        <f t="shared" si="4"/>
        <v/>
      </c>
    </row>
    <row r="882" spans="19:25">
      <c r="S882" t="str">
        <f t="shared" si="0"/>
        <v/>
      </c>
      <c r="T882" t="str">
        <f t="shared" si="1"/>
        <v/>
      </c>
      <c r="U882" t="str">
        <f t="shared" si="2"/>
        <v/>
      </c>
      <c r="V882" t="str">
        <f>IF(OR(U882="",U882="ERRO_CHAVE"),"",IFERROR(MATCH(U882,Fornecedores!$AF$1:$AF$6631,0),""))</f>
        <v/>
      </c>
      <c r="W882" t="str">
        <f t="shared" si="3"/>
        <v/>
      </c>
      <c r="X882" s="4" t="str">
        <f>IF(V882="","",INDEX(Fornecedores!$X$1:$X$6631,V882))</f>
        <v/>
      </c>
      <c r="Y882" s="4" t="str">
        <f t="shared" si="4"/>
        <v/>
      </c>
    </row>
    <row r="883" spans="19:25">
      <c r="S883" t="str">
        <f t="shared" si="0"/>
        <v/>
      </c>
      <c r="T883" t="str">
        <f t="shared" si="1"/>
        <v/>
      </c>
      <c r="U883" t="str">
        <f t="shared" si="2"/>
        <v/>
      </c>
      <c r="V883" t="str">
        <f>IF(OR(U883="",U883="ERRO_CHAVE"),"",IFERROR(MATCH(U883,Fornecedores!$AF$1:$AF$6631,0),""))</f>
        <v/>
      </c>
      <c r="W883" t="str">
        <f t="shared" si="3"/>
        <v/>
      </c>
      <c r="X883" s="4" t="str">
        <f>IF(V883="","",INDEX(Fornecedores!$X$1:$X$6631,V883))</f>
        <v/>
      </c>
      <c r="Y883" s="4" t="str">
        <f t="shared" si="4"/>
        <v/>
      </c>
    </row>
    <row r="884" spans="19:25">
      <c r="S884" t="str">
        <f t="shared" si="0"/>
        <v/>
      </c>
      <c r="T884" t="str">
        <f t="shared" si="1"/>
        <v/>
      </c>
      <c r="U884" t="str">
        <f t="shared" si="2"/>
        <v/>
      </c>
      <c r="V884" t="str">
        <f>IF(OR(U884="",U884="ERRO_CHAVE"),"",IFERROR(MATCH(U884,Fornecedores!$AF$1:$AF$6631,0),""))</f>
        <v/>
      </c>
      <c r="W884" t="str">
        <f t="shared" si="3"/>
        <v/>
      </c>
      <c r="X884" s="4" t="str">
        <f>IF(V884="","",INDEX(Fornecedores!$X$1:$X$6631,V884))</f>
        <v/>
      </c>
      <c r="Y884" s="4" t="str">
        <f t="shared" si="4"/>
        <v/>
      </c>
    </row>
    <row r="885" spans="19:25">
      <c r="S885" t="str">
        <f t="shared" si="0"/>
        <v/>
      </c>
      <c r="T885" t="str">
        <f t="shared" si="1"/>
        <v/>
      </c>
      <c r="U885" t="str">
        <f t="shared" si="2"/>
        <v/>
      </c>
      <c r="V885" t="str">
        <f>IF(OR(U885="",U885="ERRO_CHAVE"),"",IFERROR(MATCH(U885,Fornecedores!$AF$1:$AF$6631,0),""))</f>
        <v/>
      </c>
      <c r="W885" t="str">
        <f t="shared" si="3"/>
        <v/>
      </c>
      <c r="X885" s="4" t="str">
        <f>IF(V885="","",INDEX(Fornecedores!$X$1:$X$6631,V885))</f>
        <v/>
      </c>
      <c r="Y885" s="4" t="str">
        <f t="shared" si="4"/>
        <v/>
      </c>
    </row>
    <row r="886" spans="19:25">
      <c r="S886" t="str">
        <f t="shared" si="0"/>
        <v/>
      </c>
      <c r="T886" t="str">
        <f t="shared" si="1"/>
        <v/>
      </c>
      <c r="U886" t="str">
        <f t="shared" si="2"/>
        <v/>
      </c>
      <c r="V886" t="str">
        <f>IF(OR(U886="",U886="ERRO_CHAVE"),"",IFERROR(MATCH(U886,Fornecedores!$AF$1:$AF$6631,0),""))</f>
        <v/>
      </c>
      <c r="W886" t="str">
        <f t="shared" si="3"/>
        <v/>
      </c>
      <c r="X886" s="4" t="str">
        <f>IF(V886="","",INDEX(Fornecedores!$X$1:$X$6631,V886))</f>
        <v/>
      </c>
      <c r="Y886" s="4" t="str">
        <f t="shared" si="4"/>
        <v/>
      </c>
    </row>
    <row r="887" spans="19:25">
      <c r="S887" t="str">
        <f t="shared" si="0"/>
        <v/>
      </c>
      <c r="T887" t="str">
        <f t="shared" si="1"/>
        <v/>
      </c>
      <c r="U887" t="str">
        <f t="shared" si="2"/>
        <v/>
      </c>
      <c r="V887" t="str">
        <f>IF(OR(U887="",U887="ERRO_CHAVE"),"",IFERROR(MATCH(U887,Fornecedores!$AF$1:$AF$6631,0),""))</f>
        <v/>
      </c>
      <c r="W887" t="str">
        <f t="shared" si="3"/>
        <v/>
      </c>
      <c r="X887" s="4" t="str">
        <f>IF(V887="","",INDEX(Fornecedores!$X$1:$X$6631,V887))</f>
        <v/>
      </c>
      <c r="Y887" s="4" t="str">
        <f t="shared" si="4"/>
        <v/>
      </c>
    </row>
    <row r="888" spans="19:25">
      <c r="S888" t="str">
        <f t="shared" si="0"/>
        <v/>
      </c>
      <c r="T888" t="str">
        <f t="shared" si="1"/>
        <v/>
      </c>
      <c r="U888" t="str">
        <f t="shared" si="2"/>
        <v/>
      </c>
      <c r="V888" t="str">
        <f>IF(OR(U888="",U888="ERRO_CHAVE"),"",IFERROR(MATCH(U888,Fornecedores!$AF$1:$AF$6631,0),""))</f>
        <v/>
      </c>
      <c r="W888" t="str">
        <f t="shared" si="3"/>
        <v/>
      </c>
      <c r="X888" s="4" t="str">
        <f>IF(V888="","",INDEX(Fornecedores!$X$1:$X$6631,V888))</f>
        <v/>
      </c>
      <c r="Y888" s="4" t="str">
        <f t="shared" si="4"/>
        <v/>
      </c>
    </row>
    <row r="889" spans="19:25">
      <c r="S889" t="str">
        <f t="shared" si="0"/>
        <v/>
      </c>
      <c r="T889" t="str">
        <f t="shared" si="1"/>
        <v/>
      </c>
      <c r="U889" t="str">
        <f t="shared" si="2"/>
        <v/>
      </c>
      <c r="V889" t="str">
        <f>IF(OR(U889="",U889="ERRO_CHAVE"),"",IFERROR(MATCH(U889,Fornecedores!$AF$1:$AF$6631,0),""))</f>
        <v/>
      </c>
      <c r="W889" t="str">
        <f t="shared" si="3"/>
        <v/>
      </c>
      <c r="X889" s="4" t="str">
        <f>IF(V889="","",INDEX(Fornecedores!$X$1:$X$6631,V889))</f>
        <v/>
      </c>
      <c r="Y889" s="4" t="str">
        <f t="shared" si="4"/>
        <v/>
      </c>
    </row>
    <row r="890" spans="19:25">
      <c r="S890" t="str">
        <f t="shared" si="0"/>
        <v/>
      </c>
      <c r="T890" t="str">
        <f t="shared" si="1"/>
        <v/>
      </c>
      <c r="U890" t="str">
        <f t="shared" si="2"/>
        <v/>
      </c>
      <c r="V890" t="str">
        <f>IF(OR(U890="",U890="ERRO_CHAVE"),"",IFERROR(MATCH(U890,Fornecedores!$AF$1:$AF$6631,0),""))</f>
        <v/>
      </c>
      <c r="W890" t="str">
        <f t="shared" si="3"/>
        <v/>
      </c>
      <c r="X890" s="4" t="str">
        <f>IF(V890="","",INDEX(Fornecedores!$X$1:$X$6631,V890))</f>
        <v/>
      </c>
      <c r="Y890" s="4" t="str">
        <f t="shared" si="4"/>
        <v/>
      </c>
    </row>
    <row r="891" spans="19:25">
      <c r="S891" t="str">
        <f t="shared" si="0"/>
        <v/>
      </c>
      <c r="T891" t="str">
        <f t="shared" si="1"/>
        <v/>
      </c>
      <c r="U891" t="str">
        <f t="shared" si="2"/>
        <v/>
      </c>
      <c r="V891" t="str">
        <f>IF(OR(U891="",U891="ERRO_CHAVE"),"",IFERROR(MATCH(U891,Fornecedores!$AF$1:$AF$6631,0),""))</f>
        <v/>
      </c>
      <c r="W891" t="str">
        <f t="shared" si="3"/>
        <v/>
      </c>
      <c r="X891" s="4" t="str">
        <f>IF(V891="","",INDEX(Fornecedores!$X$1:$X$6631,V891))</f>
        <v/>
      </c>
      <c r="Y891" s="4" t="str">
        <f t="shared" si="4"/>
        <v/>
      </c>
    </row>
    <row r="892" spans="19:25">
      <c r="S892" t="str">
        <f t="shared" si="0"/>
        <v/>
      </c>
      <c r="T892" t="str">
        <f t="shared" si="1"/>
        <v/>
      </c>
      <c r="U892" t="str">
        <f t="shared" si="2"/>
        <v/>
      </c>
      <c r="V892" t="str">
        <f>IF(OR(U892="",U892="ERRO_CHAVE"),"",IFERROR(MATCH(U892,Fornecedores!$AF$1:$AF$6631,0),""))</f>
        <v/>
      </c>
      <c r="W892" t="str">
        <f t="shared" si="3"/>
        <v/>
      </c>
      <c r="X892" s="4" t="str">
        <f>IF(V892="","",INDEX(Fornecedores!$X$1:$X$6631,V892))</f>
        <v/>
      </c>
      <c r="Y892" s="4" t="str">
        <f t="shared" si="4"/>
        <v/>
      </c>
    </row>
    <row r="893" spans="19:25">
      <c r="S893" t="str">
        <f t="shared" si="0"/>
        <v/>
      </c>
      <c r="T893" t="str">
        <f t="shared" si="1"/>
        <v/>
      </c>
      <c r="U893" t="str">
        <f t="shared" si="2"/>
        <v/>
      </c>
      <c r="V893" t="str">
        <f>IF(OR(U893="",U893="ERRO_CHAVE"),"",IFERROR(MATCH(U893,Fornecedores!$AF$1:$AF$6631,0),""))</f>
        <v/>
      </c>
      <c r="W893" t="str">
        <f t="shared" si="3"/>
        <v/>
      </c>
      <c r="X893" s="4" t="str">
        <f>IF(V893="","",INDEX(Fornecedores!$X$1:$X$6631,V893))</f>
        <v/>
      </c>
      <c r="Y893" s="4" t="str">
        <f t="shared" si="4"/>
        <v/>
      </c>
    </row>
    <row r="894" spans="19:25">
      <c r="S894" t="str">
        <f t="shared" si="0"/>
        <v/>
      </c>
      <c r="T894" t="str">
        <f t="shared" si="1"/>
        <v/>
      </c>
      <c r="U894" t="str">
        <f t="shared" si="2"/>
        <v/>
      </c>
      <c r="V894" t="str">
        <f>IF(OR(U894="",U894="ERRO_CHAVE"),"",IFERROR(MATCH(U894,Fornecedores!$AF$1:$AF$6631,0),""))</f>
        <v/>
      </c>
      <c r="W894" t="str">
        <f t="shared" si="3"/>
        <v/>
      </c>
      <c r="X894" s="4" t="str">
        <f>IF(V894="","",INDEX(Fornecedores!$X$1:$X$6631,V894))</f>
        <v/>
      </c>
      <c r="Y894" s="4" t="str">
        <f t="shared" si="4"/>
        <v/>
      </c>
    </row>
    <row r="895" spans="19:25">
      <c r="S895" t="str">
        <f t="shared" si="0"/>
        <v/>
      </c>
      <c r="T895" t="str">
        <f t="shared" si="1"/>
        <v/>
      </c>
      <c r="U895" t="str">
        <f t="shared" si="2"/>
        <v/>
      </c>
      <c r="V895" t="str">
        <f>IF(OR(U895="",U895="ERRO_CHAVE"),"",IFERROR(MATCH(U895,Fornecedores!$AF$1:$AF$6631,0),""))</f>
        <v/>
      </c>
      <c r="W895" t="str">
        <f t="shared" si="3"/>
        <v/>
      </c>
      <c r="X895" s="4" t="str">
        <f>IF(V895="","",INDEX(Fornecedores!$X$1:$X$6631,V895))</f>
        <v/>
      </c>
      <c r="Y895" s="4" t="str">
        <f t="shared" si="4"/>
        <v/>
      </c>
    </row>
    <row r="896" spans="19:25">
      <c r="S896" t="str">
        <f t="shared" si="0"/>
        <v/>
      </c>
      <c r="T896" t="str">
        <f t="shared" si="1"/>
        <v/>
      </c>
      <c r="U896" t="str">
        <f t="shared" si="2"/>
        <v/>
      </c>
      <c r="V896" t="str">
        <f>IF(OR(U896="",U896="ERRO_CHAVE"),"",IFERROR(MATCH(U896,Fornecedores!$AF$1:$AF$6631,0),""))</f>
        <v/>
      </c>
      <c r="W896" t="str">
        <f t="shared" si="3"/>
        <v/>
      </c>
      <c r="X896" s="4" t="str">
        <f>IF(V896="","",INDEX(Fornecedores!$X$1:$X$6631,V896))</f>
        <v/>
      </c>
      <c r="Y896" s="4" t="str">
        <f t="shared" si="4"/>
        <v/>
      </c>
    </row>
    <row r="897" spans="19:25">
      <c r="S897" t="str">
        <f t="shared" si="0"/>
        <v/>
      </c>
      <c r="T897" t="str">
        <f t="shared" si="1"/>
        <v/>
      </c>
      <c r="U897" t="str">
        <f t="shared" si="2"/>
        <v/>
      </c>
      <c r="V897" t="str">
        <f>IF(OR(U897="",U897="ERRO_CHAVE"),"",IFERROR(MATCH(U897,Fornecedores!$AF$1:$AF$6631,0),""))</f>
        <v/>
      </c>
      <c r="W897" t="str">
        <f t="shared" si="3"/>
        <v/>
      </c>
      <c r="X897" s="4" t="str">
        <f>IF(V897="","",INDEX(Fornecedores!$X$1:$X$6631,V897))</f>
        <v/>
      </c>
      <c r="Y897" s="4" t="str">
        <f t="shared" si="4"/>
        <v/>
      </c>
    </row>
    <row r="898" spans="19:25">
      <c r="S898" t="str">
        <f t="shared" si="0"/>
        <v/>
      </c>
      <c r="T898" t="str">
        <f t="shared" si="1"/>
        <v/>
      </c>
      <c r="U898" t="str">
        <f t="shared" si="2"/>
        <v/>
      </c>
      <c r="V898" t="str">
        <f>IF(OR(U898="",U898="ERRO_CHAVE"),"",IFERROR(MATCH(U898,Fornecedores!$AF$1:$AF$6631,0),""))</f>
        <v/>
      </c>
      <c r="W898" t="str">
        <f t="shared" si="3"/>
        <v/>
      </c>
      <c r="X898" s="4" t="str">
        <f>IF(V898="","",INDEX(Fornecedores!$X$1:$X$6631,V898))</f>
        <v/>
      </c>
      <c r="Y898" s="4" t="str">
        <f t="shared" si="4"/>
        <v/>
      </c>
    </row>
    <row r="899" spans="19:25">
      <c r="S899" t="str">
        <f t="shared" si="0"/>
        <v/>
      </c>
      <c r="T899" t="str">
        <f t="shared" si="1"/>
        <v/>
      </c>
      <c r="U899" t="str">
        <f t="shared" si="2"/>
        <v/>
      </c>
      <c r="V899" t="str">
        <f>IF(OR(U899="",U899="ERRO_CHAVE"),"",IFERROR(MATCH(U899,Fornecedores!$AF$1:$AF$6631,0),""))</f>
        <v/>
      </c>
      <c r="W899" t="str">
        <f t="shared" si="3"/>
        <v/>
      </c>
      <c r="X899" s="4" t="str">
        <f>IF(V899="","",INDEX(Fornecedores!$X$1:$X$6631,V899))</f>
        <v/>
      </c>
      <c r="Y899" s="4" t="str">
        <f t="shared" si="4"/>
        <v/>
      </c>
    </row>
    <row r="900" spans="19:25">
      <c r="S900" t="str">
        <f t="shared" si="0"/>
        <v/>
      </c>
      <c r="T900" t="str">
        <f t="shared" si="1"/>
        <v/>
      </c>
      <c r="U900" t="str">
        <f t="shared" si="2"/>
        <v/>
      </c>
      <c r="V900" t="str">
        <f>IF(OR(U900="",U900="ERRO_CHAVE"),"",IFERROR(MATCH(U900,Fornecedores!$AF$1:$AF$6631,0),""))</f>
        <v/>
      </c>
      <c r="W900" t="str">
        <f t="shared" si="3"/>
        <v/>
      </c>
      <c r="X900" s="4" t="str">
        <f>IF(V900="","",INDEX(Fornecedores!$X$1:$X$6631,V900))</f>
        <v/>
      </c>
      <c r="Y900" s="4" t="str">
        <f t="shared" si="4"/>
        <v/>
      </c>
    </row>
    <row r="901" spans="19:25">
      <c r="S901" t="str">
        <f t="shared" si="0"/>
        <v/>
      </c>
      <c r="T901" t="str">
        <f t="shared" si="1"/>
        <v/>
      </c>
      <c r="U901" t="str">
        <f t="shared" si="2"/>
        <v/>
      </c>
      <c r="V901" t="str">
        <f>IF(OR(U901="",U901="ERRO_CHAVE"),"",IFERROR(MATCH(U901,Fornecedores!$AF$1:$AF$6631,0),""))</f>
        <v/>
      </c>
      <c r="W901" t="str">
        <f t="shared" si="3"/>
        <v/>
      </c>
      <c r="X901" s="4" t="str">
        <f>IF(V901="","",INDEX(Fornecedores!$X$1:$X$6631,V901))</f>
        <v/>
      </c>
      <c r="Y901" s="4" t="str">
        <f t="shared" si="4"/>
        <v/>
      </c>
    </row>
    <row r="902" spans="19:25">
      <c r="S902" t="str">
        <f t="shared" si="0"/>
        <v/>
      </c>
      <c r="T902" t="str">
        <f t="shared" si="1"/>
        <v/>
      </c>
      <c r="U902" t="str">
        <f t="shared" si="2"/>
        <v/>
      </c>
      <c r="V902" t="str">
        <f>IF(OR(U902="",U902="ERRO_CHAVE"),"",IFERROR(MATCH(U902,Fornecedores!$AF$1:$AF$6631,0),""))</f>
        <v/>
      </c>
      <c r="W902" t="str">
        <f t="shared" si="3"/>
        <v/>
      </c>
      <c r="X902" s="4" t="str">
        <f>IF(V902="","",INDEX(Fornecedores!$X$1:$X$6631,V902))</f>
        <v/>
      </c>
      <c r="Y902" s="4" t="str">
        <f t="shared" si="4"/>
        <v/>
      </c>
    </row>
    <row r="903" spans="19:25">
      <c r="S903" t="str">
        <f t="shared" si="0"/>
        <v/>
      </c>
      <c r="T903" t="str">
        <f t="shared" si="1"/>
        <v/>
      </c>
      <c r="U903" t="str">
        <f t="shared" si="2"/>
        <v/>
      </c>
      <c r="V903" t="str">
        <f>IF(OR(U903="",U903="ERRO_CHAVE"),"",IFERROR(MATCH(U903,Fornecedores!$AF$1:$AF$6631,0),""))</f>
        <v/>
      </c>
      <c r="W903" t="str">
        <f t="shared" si="3"/>
        <v/>
      </c>
      <c r="X903" s="4" t="str">
        <f>IF(V903="","",INDEX(Fornecedores!$X$1:$X$6631,V903))</f>
        <v/>
      </c>
      <c r="Y903" s="4" t="str">
        <f t="shared" si="4"/>
        <v/>
      </c>
    </row>
    <row r="904" spans="19:25">
      <c r="S904" t="str">
        <f t="shared" si="0"/>
        <v/>
      </c>
      <c r="T904" t="str">
        <f t="shared" si="1"/>
        <v/>
      </c>
      <c r="U904" t="str">
        <f t="shared" si="2"/>
        <v/>
      </c>
      <c r="V904" t="str">
        <f>IF(OR(U904="",U904="ERRO_CHAVE"),"",IFERROR(MATCH(U904,Fornecedores!$AF$1:$AF$6631,0),""))</f>
        <v/>
      </c>
      <c r="W904" t="str">
        <f t="shared" si="3"/>
        <v/>
      </c>
      <c r="X904" s="4" t="str">
        <f>IF(V904="","",INDEX(Fornecedores!$X$1:$X$6631,V904))</f>
        <v/>
      </c>
      <c r="Y904" s="4" t="str">
        <f t="shared" si="4"/>
        <v/>
      </c>
    </row>
    <row r="905" spans="19:25">
      <c r="S905" t="str">
        <f t="shared" si="0"/>
        <v/>
      </c>
      <c r="T905" t="str">
        <f t="shared" si="1"/>
        <v/>
      </c>
      <c r="U905" t="str">
        <f t="shared" si="2"/>
        <v/>
      </c>
      <c r="V905" t="str">
        <f>IF(OR(U905="",U905="ERRO_CHAVE"),"",IFERROR(MATCH(U905,Fornecedores!$AF$1:$AF$6631,0),""))</f>
        <v/>
      </c>
      <c r="W905" t="str">
        <f t="shared" si="3"/>
        <v/>
      </c>
      <c r="X905" s="4" t="str">
        <f>IF(V905="","",INDEX(Fornecedores!$X$1:$X$6631,V905))</f>
        <v/>
      </c>
      <c r="Y905" s="4" t="str">
        <f t="shared" si="4"/>
        <v/>
      </c>
    </row>
    <row r="906" spans="19:25">
      <c r="S906" t="str">
        <f t="shared" si="0"/>
        <v/>
      </c>
      <c r="T906" t="str">
        <f t="shared" si="1"/>
        <v/>
      </c>
      <c r="U906" t="str">
        <f t="shared" si="2"/>
        <v/>
      </c>
      <c r="V906" t="str">
        <f>IF(OR(U906="",U906="ERRO_CHAVE"),"",IFERROR(MATCH(U906,Fornecedores!$AF$1:$AF$6631,0),""))</f>
        <v/>
      </c>
      <c r="W906" t="str">
        <f t="shared" si="3"/>
        <v/>
      </c>
      <c r="X906" s="4" t="str">
        <f>IF(V906="","",INDEX(Fornecedores!$X$1:$X$6631,V906))</f>
        <v/>
      </c>
      <c r="Y906" s="4" t="str">
        <f t="shared" si="4"/>
        <v/>
      </c>
    </row>
    <row r="907" spans="19:25">
      <c r="S907" t="str">
        <f t="shared" si="0"/>
        <v/>
      </c>
      <c r="T907" t="str">
        <f t="shared" si="1"/>
        <v/>
      </c>
      <c r="U907" t="str">
        <f t="shared" si="2"/>
        <v/>
      </c>
      <c r="V907" t="str">
        <f>IF(OR(U907="",U907="ERRO_CHAVE"),"",IFERROR(MATCH(U907,Fornecedores!$AF$1:$AF$6631,0),""))</f>
        <v/>
      </c>
      <c r="W907" t="str">
        <f t="shared" si="3"/>
        <v/>
      </c>
      <c r="X907" s="4" t="str">
        <f>IF(V907="","",INDEX(Fornecedores!$X$1:$X$6631,V907))</f>
        <v/>
      </c>
      <c r="Y907" s="4" t="str">
        <f t="shared" si="4"/>
        <v/>
      </c>
    </row>
    <row r="908" spans="19:25">
      <c r="S908" t="str">
        <f t="shared" si="0"/>
        <v/>
      </c>
      <c r="T908" t="str">
        <f t="shared" si="1"/>
        <v/>
      </c>
      <c r="U908" t="str">
        <f t="shared" si="2"/>
        <v/>
      </c>
      <c r="V908" t="str">
        <f>IF(OR(U908="",U908="ERRO_CHAVE"),"",IFERROR(MATCH(U908,Fornecedores!$AF$1:$AF$6631,0),""))</f>
        <v/>
      </c>
      <c r="W908" t="str">
        <f t="shared" si="3"/>
        <v/>
      </c>
      <c r="X908" s="4" t="str">
        <f>IF(V908="","",INDEX(Fornecedores!$X$1:$X$6631,V908))</f>
        <v/>
      </c>
      <c r="Y908" s="4" t="str">
        <f t="shared" si="4"/>
        <v/>
      </c>
    </row>
    <row r="909" spans="19:25">
      <c r="S909" t="str">
        <f t="shared" si="0"/>
        <v/>
      </c>
      <c r="T909" t="str">
        <f t="shared" si="1"/>
        <v/>
      </c>
      <c r="U909" t="str">
        <f t="shared" si="2"/>
        <v/>
      </c>
      <c r="V909" t="str">
        <f>IF(OR(U909="",U909="ERRO_CHAVE"),"",IFERROR(MATCH(U909,Fornecedores!$AF$1:$AF$6631,0),""))</f>
        <v/>
      </c>
      <c r="W909" t="str">
        <f t="shared" si="3"/>
        <v/>
      </c>
      <c r="X909" s="4" t="str">
        <f>IF(V909="","",INDEX(Fornecedores!$X$1:$X$6631,V909))</f>
        <v/>
      </c>
      <c r="Y909" s="4" t="str">
        <f t="shared" si="4"/>
        <v/>
      </c>
    </row>
    <row r="910" spans="19:25">
      <c r="S910" t="str">
        <f t="shared" si="0"/>
        <v/>
      </c>
      <c r="T910" t="str">
        <f t="shared" si="1"/>
        <v/>
      </c>
      <c r="U910" t="str">
        <f t="shared" si="2"/>
        <v/>
      </c>
      <c r="V910" t="str">
        <f>IF(OR(U910="",U910="ERRO_CHAVE"),"",IFERROR(MATCH(U910,Fornecedores!$AF$1:$AF$6631,0),""))</f>
        <v/>
      </c>
      <c r="W910" t="str">
        <f t="shared" si="3"/>
        <v/>
      </c>
      <c r="X910" s="4" t="str">
        <f>IF(V910="","",INDEX(Fornecedores!$X$1:$X$6631,V910))</f>
        <v/>
      </c>
      <c r="Y910" s="4" t="str">
        <f t="shared" si="4"/>
        <v/>
      </c>
    </row>
    <row r="911" spans="19:25">
      <c r="S911" t="str">
        <f t="shared" si="0"/>
        <v/>
      </c>
      <c r="T911" t="str">
        <f t="shared" si="1"/>
        <v/>
      </c>
      <c r="U911" t="str">
        <f t="shared" si="2"/>
        <v/>
      </c>
      <c r="V911" t="str">
        <f>IF(OR(U911="",U911="ERRO_CHAVE"),"",IFERROR(MATCH(U911,Fornecedores!$AF$1:$AF$6631,0),""))</f>
        <v/>
      </c>
      <c r="W911" t="str">
        <f t="shared" si="3"/>
        <v/>
      </c>
      <c r="X911" s="4" t="str">
        <f>IF(V911="","",INDEX(Fornecedores!$X$1:$X$6631,V911))</f>
        <v/>
      </c>
      <c r="Y911" s="4" t="str">
        <f t="shared" si="4"/>
        <v/>
      </c>
    </row>
    <row r="912" spans="19:25">
      <c r="S912" t="str">
        <f t="shared" si="0"/>
        <v/>
      </c>
      <c r="T912" t="str">
        <f t="shared" si="1"/>
        <v/>
      </c>
      <c r="U912" t="str">
        <f t="shared" si="2"/>
        <v/>
      </c>
      <c r="V912" t="str">
        <f>IF(OR(U912="",U912="ERRO_CHAVE"),"",IFERROR(MATCH(U912,Fornecedores!$AF$1:$AF$6631,0),""))</f>
        <v/>
      </c>
      <c r="W912" t="str">
        <f t="shared" si="3"/>
        <v/>
      </c>
      <c r="X912" s="4" t="str">
        <f>IF(V912="","",INDEX(Fornecedores!$X$1:$X$6631,V912))</f>
        <v/>
      </c>
      <c r="Y912" s="4" t="str">
        <f t="shared" si="4"/>
        <v/>
      </c>
    </row>
    <row r="913" spans="19:25">
      <c r="S913" t="str">
        <f t="shared" si="0"/>
        <v/>
      </c>
      <c r="T913" t="str">
        <f t="shared" si="1"/>
        <v/>
      </c>
      <c r="U913" t="str">
        <f t="shared" si="2"/>
        <v/>
      </c>
      <c r="V913" t="str">
        <f>IF(OR(U913="",U913="ERRO_CHAVE"),"",IFERROR(MATCH(U913,Fornecedores!$AF$1:$AF$6631,0),""))</f>
        <v/>
      </c>
      <c r="W913" t="str">
        <f t="shared" si="3"/>
        <v/>
      </c>
      <c r="X913" s="4" t="str">
        <f>IF(V913="","",INDEX(Fornecedores!$X$1:$X$6631,V913))</f>
        <v/>
      </c>
      <c r="Y913" s="4" t="str">
        <f t="shared" si="4"/>
        <v/>
      </c>
    </row>
    <row r="914" spans="19:25">
      <c r="S914" t="str">
        <f t="shared" si="0"/>
        <v/>
      </c>
      <c r="T914" t="str">
        <f t="shared" si="1"/>
        <v/>
      </c>
      <c r="U914" t="str">
        <f t="shared" si="2"/>
        <v/>
      </c>
      <c r="V914" t="str">
        <f>IF(OR(U914="",U914="ERRO_CHAVE"),"",IFERROR(MATCH(U914,Fornecedores!$AF$1:$AF$6631,0),""))</f>
        <v/>
      </c>
      <c r="W914" t="str">
        <f t="shared" si="3"/>
        <v/>
      </c>
      <c r="X914" s="4" t="str">
        <f>IF(V914="","",INDEX(Fornecedores!$X$1:$X$6631,V914))</f>
        <v/>
      </c>
      <c r="Y914" s="4" t="str">
        <f t="shared" si="4"/>
        <v/>
      </c>
    </row>
    <row r="915" spans="19:25">
      <c r="S915" t="str">
        <f t="shared" si="0"/>
        <v/>
      </c>
      <c r="T915" t="str">
        <f t="shared" si="1"/>
        <v/>
      </c>
      <c r="U915" t="str">
        <f t="shared" si="2"/>
        <v/>
      </c>
      <c r="V915" t="str">
        <f>IF(OR(U915="",U915="ERRO_CHAVE"),"",IFERROR(MATCH(U915,Fornecedores!$AF$1:$AF$6631,0),""))</f>
        <v/>
      </c>
      <c r="W915" t="str">
        <f t="shared" si="3"/>
        <v/>
      </c>
      <c r="X915" s="4" t="str">
        <f>IF(V915="","",INDEX(Fornecedores!$X$1:$X$6631,V915))</f>
        <v/>
      </c>
      <c r="Y915" s="4" t="str">
        <f t="shared" si="4"/>
        <v/>
      </c>
    </row>
    <row r="916" spans="19:25">
      <c r="S916" t="str">
        <f t="shared" si="0"/>
        <v/>
      </c>
      <c r="T916" t="str">
        <f t="shared" si="1"/>
        <v/>
      </c>
      <c r="U916" t="str">
        <f t="shared" si="2"/>
        <v/>
      </c>
      <c r="V916" t="str">
        <f>IF(OR(U916="",U916="ERRO_CHAVE"),"",IFERROR(MATCH(U916,Fornecedores!$AF$1:$AF$6631,0),""))</f>
        <v/>
      </c>
      <c r="W916" t="str">
        <f t="shared" si="3"/>
        <v/>
      </c>
      <c r="X916" s="4" t="str">
        <f>IF(V916="","",INDEX(Fornecedores!$X$1:$X$6631,V916))</f>
        <v/>
      </c>
      <c r="Y916" s="4" t="str">
        <f t="shared" si="4"/>
        <v/>
      </c>
    </row>
    <row r="917" spans="19:25">
      <c r="S917" t="str">
        <f t="shared" si="0"/>
        <v/>
      </c>
      <c r="T917" t="str">
        <f t="shared" si="1"/>
        <v/>
      </c>
      <c r="U917" t="str">
        <f t="shared" si="2"/>
        <v/>
      </c>
      <c r="V917" t="str">
        <f>IF(OR(U917="",U917="ERRO_CHAVE"),"",IFERROR(MATCH(U917,Fornecedores!$AF$1:$AF$6631,0),""))</f>
        <v/>
      </c>
      <c r="W917" t="str">
        <f t="shared" si="3"/>
        <v/>
      </c>
      <c r="X917" s="4" t="str">
        <f>IF(V917="","",INDEX(Fornecedores!$X$1:$X$6631,V917))</f>
        <v/>
      </c>
      <c r="Y917" s="4" t="str">
        <f t="shared" si="4"/>
        <v/>
      </c>
    </row>
    <row r="918" spans="19:25">
      <c r="S918" t="str">
        <f t="shared" si="0"/>
        <v/>
      </c>
      <c r="T918" t="str">
        <f t="shared" si="1"/>
        <v/>
      </c>
      <c r="U918" t="str">
        <f t="shared" si="2"/>
        <v/>
      </c>
      <c r="V918" t="str">
        <f>IF(OR(U918="",U918="ERRO_CHAVE"),"",IFERROR(MATCH(U918,Fornecedores!$AF$1:$AF$6631,0),""))</f>
        <v/>
      </c>
      <c r="W918" t="str">
        <f t="shared" si="3"/>
        <v/>
      </c>
      <c r="X918" s="4" t="str">
        <f>IF(V918="","",INDEX(Fornecedores!$X$1:$X$6631,V918))</f>
        <v/>
      </c>
      <c r="Y918" s="4" t="str">
        <f t="shared" si="4"/>
        <v/>
      </c>
    </row>
    <row r="919" spans="19:25">
      <c r="S919" t="str">
        <f t="shared" si="0"/>
        <v/>
      </c>
      <c r="T919" t="str">
        <f t="shared" si="1"/>
        <v/>
      </c>
      <c r="U919" t="str">
        <f t="shared" si="2"/>
        <v/>
      </c>
      <c r="V919" t="str">
        <f>IF(OR(U919="",U919="ERRO_CHAVE"),"",IFERROR(MATCH(U919,Fornecedores!$AF$1:$AF$6631,0),""))</f>
        <v/>
      </c>
      <c r="W919" t="str">
        <f t="shared" si="3"/>
        <v/>
      </c>
      <c r="X919" s="4" t="str">
        <f>IF(V919="","",INDEX(Fornecedores!$X$1:$X$6631,V919))</f>
        <v/>
      </c>
      <c r="Y919" s="4" t="str">
        <f t="shared" si="4"/>
        <v/>
      </c>
    </row>
    <row r="920" spans="19:25">
      <c r="S920" t="str">
        <f t="shared" si="0"/>
        <v/>
      </c>
      <c r="T920" t="str">
        <f t="shared" si="1"/>
        <v/>
      </c>
      <c r="U920" t="str">
        <f t="shared" si="2"/>
        <v/>
      </c>
      <c r="V920" t="str">
        <f>IF(OR(U920="",U920="ERRO_CHAVE"),"",IFERROR(MATCH(U920,Fornecedores!$AF$1:$AF$6631,0),""))</f>
        <v/>
      </c>
      <c r="W920" t="str">
        <f t="shared" si="3"/>
        <v/>
      </c>
      <c r="X920" s="4" t="str">
        <f>IF(V920="","",INDEX(Fornecedores!$X$1:$X$6631,V920))</f>
        <v/>
      </c>
      <c r="Y920" s="4" t="str">
        <f t="shared" si="4"/>
        <v/>
      </c>
    </row>
    <row r="921" spans="19:25">
      <c r="S921" t="str">
        <f t="shared" si="0"/>
        <v/>
      </c>
      <c r="T921" t="str">
        <f t="shared" si="1"/>
        <v/>
      </c>
      <c r="U921" t="str">
        <f t="shared" si="2"/>
        <v/>
      </c>
      <c r="V921" t="str">
        <f>IF(OR(U921="",U921="ERRO_CHAVE"),"",IFERROR(MATCH(U921,Fornecedores!$AF$1:$AF$6631,0),""))</f>
        <v/>
      </c>
      <c r="W921" t="str">
        <f t="shared" si="3"/>
        <v/>
      </c>
      <c r="X921" s="4" t="str">
        <f>IF(V921="","",INDEX(Fornecedores!$X$1:$X$6631,V921))</f>
        <v/>
      </c>
      <c r="Y921" s="4" t="str">
        <f t="shared" si="4"/>
        <v/>
      </c>
    </row>
    <row r="922" spans="19:25">
      <c r="S922" t="str">
        <f t="shared" si="0"/>
        <v/>
      </c>
      <c r="T922" t="str">
        <f t="shared" si="1"/>
        <v/>
      </c>
      <c r="U922" t="str">
        <f t="shared" si="2"/>
        <v/>
      </c>
      <c r="V922" t="str">
        <f>IF(OR(U922="",U922="ERRO_CHAVE"),"",IFERROR(MATCH(U922,Fornecedores!$AF$1:$AF$6631,0),""))</f>
        <v/>
      </c>
      <c r="W922" t="str">
        <f t="shared" si="3"/>
        <v/>
      </c>
      <c r="X922" s="4" t="str">
        <f>IF(V922="","",INDEX(Fornecedores!$X$1:$X$6631,V922))</f>
        <v/>
      </c>
      <c r="Y922" s="4" t="str">
        <f t="shared" si="4"/>
        <v/>
      </c>
    </row>
    <row r="923" spans="19:25">
      <c r="S923" t="str">
        <f t="shared" si="0"/>
        <v/>
      </c>
      <c r="T923" t="str">
        <f t="shared" si="1"/>
        <v/>
      </c>
      <c r="U923" t="str">
        <f t="shared" si="2"/>
        <v/>
      </c>
      <c r="V923" t="str">
        <f>IF(OR(U923="",U923="ERRO_CHAVE"),"",IFERROR(MATCH(U923,Fornecedores!$AF$1:$AF$6631,0),""))</f>
        <v/>
      </c>
      <c r="W923" t="str">
        <f t="shared" si="3"/>
        <v/>
      </c>
      <c r="X923" s="4" t="str">
        <f>IF(V923="","",INDEX(Fornecedores!$X$1:$X$6631,V923))</f>
        <v/>
      </c>
      <c r="Y923" s="4" t="str">
        <f t="shared" si="4"/>
        <v/>
      </c>
    </row>
    <row r="924" spans="19:25">
      <c r="S924" t="str">
        <f t="shared" si="0"/>
        <v/>
      </c>
      <c r="T924" t="str">
        <f t="shared" si="1"/>
        <v/>
      </c>
      <c r="U924" t="str">
        <f t="shared" si="2"/>
        <v/>
      </c>
      <c r="V924" t="str">
        <f>IF(OR(U924="",U924="ERRO_CHAVE"),"",IFERROR(MATCH(U924,Fornecedores!$AF$1:$AF$6631,0),""))</f>
        <v/>
      </c>
      <c r="W924" t="str">
        <f t="shared" si="3"/>
        <v/>
      </c>
      <c r="X924" s="4" t="str">
        <f>IF(V924="","",INDEX(Fornecedores!$X$1:$X$6631,V924))</f>
        <v/>
      </c>
      <c r="Y924" s="4" t="str">
        <f t="shared" si="4"/>
        <v/>
      </c>
    </row>
    <row r="925" spans="19:25">
      <c r="S925" t="str">
        <f t="shared" si="0"/>
        <v/>
      </c>
      <c r="T925" t="str">
        <f t="shared" si="1"/>
        <v/>
      </c>
      <c r="U925" t="str">
        <f t="shared" si="2"/>
        <v/>
      </c>
      <c r="V925" t="str">
        <f>IF(OR(U925="",U925="ERRO_CHAVE"),"",IFERROR(MATCH(U925,Fornecedores!$AF$1:$AF$6631,0),""))</f>
        <v/>
      </c>
      <c r="W925" t="str">
        <f t="shared" si="3"/>
        <v/>
      </c>
      <c r="X925" s="4" t="str">
        <f>IF(V925="","",INDEX(Fornecedores!$X$1:$X$6631,V925))</f>
        <v/>
      </c>
      <c r="Y925" s="4" t="str">
        <f t="shared" si="4"/>
        <v/>
      </c>
    </row>
    <row r="926" spans="19:25">
      <c r="S926" t="str">
        <f t="shared" si="0"/>
        <v/>
      </c>
      <c r="T926" t="str">
        <f t="shared" si="1"/>
        <v/>
      </c>
      <c r="U926" t="str">
        <f t="shared" si="2"/>
        <v/>
      </c>
      <c r="V926" t="str">
        <f>IF(OR(U926="",U926="ERRO_CHAVE"),"",IFERROR(MATCH(U926,Fornecedores!$AF$1:$AF$6631,0),""))</f>
        <v/>
      </c>
      <c r="W926" t="str">
        <f t="shared" si="3"/>
        <v/>
      </c>
      <c r="X926" s="4" t="str">
        <f>IF(V926="","",INDEX(Fornecedores!$X$1:$X$6631,V926))</f>
        <v/>
      </c>
      <c r="Y926" s="4" t="str">
        <f t="shared" si="4"/>
        <v/>
      </c>
    </row>
    <row r="927" spans="19:25">
      <c r="S927" t="str">
        <f t="shared" si="0"/>
        <v/>
      </c>
      <c r="T927" t="str">
        <f t="shared" si="1"/>
        <v/>
      </c>
      <c r="U927" t="str">
        <f t="shared" si="2"/>
        <v/>
      </c>
      <c r="V927" t="str">
        <f>IF(OR(U927="",U927="ERRO_CHAVE"),"",IFERROR(MATCH(U927,Fornecedores!$AF$1:$AF$6631,0),""))</f>
        <v/>
      </c>
      <c r="W927" t="str">
        <f t="shared" si="3"/>
        <v/>
      </c>
      <c r="X927" s="4" t="str">
        <f>IF(V927="","",INDEX(Fornecedores!$X$1:$X$6631,V927))</f>
        <v/>
      </c>
      <c r="Y927" s="4" t="str">
        <f t="shared" si="4"/>
        <v/>
      </c>
    </row>
    <row r="928" spans="19:25">
      <c r="S928" t="str">
        <f t="shared" si="0"/>
        <v/>
      </c>
      <c r="T928" t="str">
        <f t="shared" si="1"/>
        <v/>
      </c>
      <c r="U928" t="str">
        <f t="shared" si="2"/>
        <v/>
      </c>
      <c r="V928" t="str">
        <f>IF(OR(U928="",U928="ERRO_CHAVE"),"",IFERROR(MATCH(U928,Fornecedores!$AF$1:$AF$6631,0),""))</f>
        <v/>
      </c>
      <c r="W928" t="str">
        <f t="shared" si="3"/>
        <v/>
      </c>
      <c r="X928" s="4" t="str">
        <f>IF(V928="","",INDEX(Fornecedores!$X$1:$X$6631,V928))</f>
        <v/>
      </c>
      <c r="Y928" s="4" t="str">
        <f t="shared" si="4"/>
        <v/>
      </c>
    </row>
    <row r="929" spans="19:25">
      <c r="S929" t="str">
        <f t="shared" si="0"/>
        <v/>
      </c>
      <c r="T929" t="str">
        <f t="shared" si="1"/>
        <v/>
      </c>
      <c r="U929" t="str">
        <f t="shared" si="2"/>
        <v/>
      </c>
      <c r="V929" t="str">
        <f>IF(OR(U929="",U929="ERRO_CHAVE"),"",IFERROR(MATCH(U929,Fornecedores!$AF$1:$AF$6631,0),""))</f>
        <v/>
      </c>
      <c r="W929" t="str">
        <f t="shared" si="3"/>
        <v/>
      </c>
      <c r="X929" s="4" t="str">
        <f>IF(V929="","",INDEX(Fornecedores!$X$1:$X$6631,V929))</f>
        <v/>
      </c>
      <c r="Y929" s="4" t="str">
        <f t="shared" si="4"/>
        <v/>
      </c>
    </row>
    <row r="930" spans="19:25">
      <c r="S930" t="str">
        <f t="shared" si="0"/>
        <v/>
      </c>
      <c r="T930" t="str">
        <f t="shared" si="1"/>
        <v/>
      </c>
      <c r="U930" t="str">
        <f t="shared" si="2"/>
        <v/>
      </c>
      <c r="V930" t="str">
        <f>IF(OR(U930="",U930="ERRO_CHAVE"),"",IFERROR(MATCH(U930,Fornecedores!$AF$1:$AF$6631,0),""))</f>
        <v/>
      </c>
      <c r="W930" t="str">
        <f t="shared" si="3"/>
        <v/>
      </c>
      <c r="X930" s="4" t="str">
        <f>IF(V930="","",INDEX(Fornecedores!$X$1:$X$6631,V930))</f>
        <v/>
      </c>
      <c r="Y930" s="4" t="str">
        <f t="shared" si="4"/>
        <v/>
      </c>
    </row>
    <row r="931" spans="19:25">
      <c r="S931" t="str">
        <f t="shared" si="0"/>
        <v/>
      </c>
      <c r="T931" t="str">
        <f t="shared" si="1"/>
        <v/>
      </c>
      <c r="U931" t="str">
        <f t="shared" si="2"/>
        <v/>
      </c>
      <c r="V931" t="str">
        <f>IF(OR(U931="",U931="ERRO_CHAVE"),"",IFERROR(MATCH(U931,Fornecedores!$AF$1:$AF$6631,0),""))</f>
        <v/>
      </c>
      <c r="W931" t="str">
        <f t="shared" si="3"/>
        <v/>
      </c>
      <c r="X931" s="4" t="str">
        <f>IF(V931="","",INDEX(Fornecedores!$X$1:$X$6631,V931))</f>
        <v/>
      </c>
      <c r="Y931" s="4" t="str">
        <f t="shared" si="4"/>
        <v/>
      </c>
    </row>
    <row r="932" spans="19:25">
      <c r="S932" t="str">
        <f t="shared" si="0"/>
        <v/>
      </c>
      <c r="T932" t="str">
        <f t="shared" si="1"/>
        <v/>
      </c>
      <c r="U932" t="str">
        <f t="shared" si="2"/>
        <v/>
      </c>
      <c r="V932" t="str">
        <f>IF(OR(U932="",U932="ERRO_CHAVE"),"",IFERROR(MATCH(U932,Fornecedores!$AF$1:$AF$6631,0),""))</f>
        <v/>
      </c>
      <c r="W932" t="str">
        <f t="shared" si="3"/>
        <v/>
      </c>
      <c r="X932" s="4" t="str">
        <f>IF(V932="","",INDEX(Fornecedores!$X$1:$X$6631,V932))</f>
        <v/>
      </c>
      <c r="Y932" s="4" t="str">
        <f t="shared" si="4"/>
        <v/>
      </c>
    </row>
    <row r="933" spans="19:25">
      <c r="S933" t="str">
        <f t="shared" si="0"/>
        <v/>
      </c>
      <c r="T933" t="str">
        <f t="shared" si="1"/>
        <v/>
      </c>
      <c r="U933" t="str">
        <f t="shared" si="2"/>
        <v/>
      </c>
      <c r="V933" t="str">
        <f>IF(OR(U933="",U933="ERRO_CHAVE"),"",IFERROR(MATCH(U933,Fornecedores!$AF$1:$AF$6631,0),""))</f>
        <v/>
      </c>
      <c r="W933" t="str">
        <f t="shared" si="3"/>
        <v/>
      </c>
      <c r="X933" s="4" t="str">
        <f>IF(V933="","",INDEX(Fornecedores!$X$1:$X$6631,V933))</f>
        <v/>
      </c>
      <c r="Y933" s="4" t="str">
        <f t="shared" si="4"/>
        <v/>
      </c>
    </row>
    <row r="934" spans="19:25">
      <c r="S934" t="str">
        <f t="shared" si="0"/>
        <v/>
      </c>
      <c r="T934" t="str">
        <f t="shared" si="1"/>
        <v/>
      </c>
      <c r="U934" t="str">
        <f t="shared" si="2"/>
        <v/>
      </c>
      <c r="V934" t="str">
        <f>IF(OR(U934="",U934="ERRO_CHAVE"),"",IFERROR(MATCH(U934,Fornecedores!$AF$1:$AF$6631,0),""))</f>
        <v/>
      </c>
      <c r="W934" t="str">
        <f t="shared" si="3"/>
        <v/>
      </c>
      <c r="X934" s="4" t="str">
        <f>IF(V934="","",INDEX(Fornecedores!$X$1:$X$6631,V934))</f>
        <v/>
      </c>
      <c r="Y934" s="4" t="str">
        <f t="shared" si="4"/>
        <v/>
      </c>
    </row>
    <row r="935" spans="19:25">
      <c r="S935" t="str">
        <f t="shared" si="0"/>
        <v/>
      </c>
      <c r="T935" t="str">
        <f t="shared" si="1"/>
        <v/>
      </c>
      <c r="U935" t="str">
        <f t="shared" si="2"/>
        <v/>
      </c>
      <c r="V935" t="str">
        <f>IF(OR(U935="",U935="ERRO_CHAVE"),"",IFERROR(MATCH(U935,Fornecedores!$AF$1:$AF$6631,0),""))</f>
        <v/>
      </c>
      <c r="W935" t="str">
        <f t="shared" si="3"/>
        <v/>
      </c>
      <c r="X935" s="4" t="str">
        <f>IF(V935="","",INDEX(Fornecedores!$X$1:$X$6631,V935))</f>
        <v/>
      </c>
      <c r="Y935" s="4" t="str">
        <f t="shared" si="4"/>
        <v/>
      </c>
    </row>
    <row r="936" spans="19:25">
      <c r="S936" t="str">
        <f t="shared" si="0"/>
        <v/>
      </c>
      <c r="T936" t="str">
        <f t="shared" si="1"/>
        <v/>
      </c>
      <c r="U936" t="str">
        <f t="shared" si="2"/>
        <v/>
      </c>
      <c r="V936" t="str">
        <f>IF(OR(U936="",U936="ERRO_CHAVE"),"",IFERROR(MATCH(U936,Fornecedores!$AF$1:$AF$6631,0),""))</f>
        <v/>
      </c>
      <c r="W936" t="str">
        <f t="shared" si="3"/>
        <v/>
      </c>
      <c r="X936" s="4" t="str">
        <f>IF(V936="","",INDEX(Fornecedores!$X$1:$X$6631,V936))</f>
        <v/>
      </c>
      <c r="Y936" s="4" t="str">
        <f t="shared" si="4"/>
        <v/>
      </c>
    </row>
    <row r="937" spans="19:25">
      <c r="S937" t="str">
        <f t="shared" si="0"/>
        <v/>
      </c>
      <c r="T937" t="str">
        <f t="shared" si="1"/>
        <v/>
      </c>
      <c r="U937" t="str">
        <f t="shared" si="2"/>
        <v/>
      </c>
      <c r="V937" t="str">
        <f>IF(OR(U937="",U937="ERRO_CHAVE"),"",IFERROR(MATCH(U937,Fornecedores!$AF$1:$AF$6631,0),""))</f>
        <v/>
      </c>
      <c r="W937" t="str">
        <f t="shared" si="3"/>
        <v/>
      </c>
      <c r="X937" s="4" t="str">
        <f>IF(V937="","",INDEX(Fornecedores!$X$1:$X$6631,V937))</f>
        <v/>
      </c>
      <c r="Y937" s="4" t="str">
        <f t="shared" si="4"/>
        <v/>
      </c>
    </row>
    <row r="938" spans="19:25">
      <c r="S938" t="str">
        <f t="shared" si="0"/>
        <v/>
      </c>
      <c r="T938" t="str">
        <f t="shared" si="1"/>
        <v/>
      </c>
      <c r="U938" t="str">
        <f t="shared" si="2"/>
        <v/>
      </c>
      <c r="V938" t="str">
        <f>IF(OR(U938="",U938="ERRO_CHAVE"),"",IFERROR(MATCH(U938,Fornecedores!$AF$1:$AF$6631,0),""))</f>
        <v/>
      </c>
      <c r="W938" t="str">
        <f t="shared" si="3"/>
        <v/>
      </c>
      <c r="X938" s="4" t="str">
        <f>IF(V938="","",INDEX(Fornecedores!$X$1:$X$6631,V938))</f>
        <v/>
      </c>
      <c r="Y938" s="4" t="str">
        <f t="shared" si="4"/>
        <v/>
      </c>
    </row>
    <row r="939" spans="19:25">
      <c r="S939" t="str">
        <f t="shared" si="0"/>
        <v/>
      </c>
      <c r="T939" t="str">
        <f t="shared" si="1"/>
        <v/>
      </c>
      <c r="U939" t="str">
        <f t="shared" si="2"/>
        <v/>
      </c>
      <c r="V939" t="str">
        <f>IF(OR(U939="",U939="ERRO_CHAVE"),"",IFERROR(MATCH(U939,Fornecedores!$AF$1:$AF$6631,0),""))</f>
        <v/>
      </c>
      <c r="W939" t="str">
        <f t="shared" si="3"/>
        <v/>
      </c>
      <c r="X939" s="4" t="str">
        <f>IF(V939="","",INDEX(Fornecedores!$X$1:$X$6631,V939))</f>
        <v/>
      </c>
      <c r="Y939" s="4" t="str">
        <f t="shared" si="4"/>
        <v/>
      </c>
    </row>
    <row r="940" spans="19:25">
      <c r="S940" t="str">
        <f t="shared" si="0"/>
        <v/>
      </c>
      <c r="T940" t="str">
        <f t="shared" si="1"/>
        <v/>
      </c>
      <c r="U940" t="str">
        <f t="shared" si="2"/>
        <v/>
      </c>
      <c r="V940" t="str">
        <f>IF(OR(U940="",U940="ERRO_CHAVE"),"",IFERROR(MATCH(U940,Fornecedores!$AF$1:$AF$6631,0),""))</f>
        <v/>
      </c>
      <c r="W940" t="str">
        <f t="shared" si="3"/>
        <v/>
      </c>
      <c r="X940" s="4" t="str">
        <f>IF(V940="","",INDEX(Fornecedores!$X$1:$X$6631,V940))</f>
        <v/>
      </c>
      <c r="Y940" s="4" t="str">
        <f t="shared" si="4"/>
        <v/>
      </c>
    </row>
    <row r="941" spans="19:25">
      <c r="S941" t="str">
        <f t="shared" si="0"/>
        <v/>
      </c>
      <c r="T941" t="str">
        <f t="shared" si="1"/>
        <v/>
      </c>
      <c r="U941" t="str">
        <f t="shared" si="2"/>
        <v/>
      </c>
      <c r="V941" t="str">
        <f>IF(OR(U941="",U941="ERRO_CHAVE"),"",IFERROR(MATCH(U941,Fornecedores!$AF$1:$AF$6631,0),""))</f>
        <v/>
      </c>
      <c r="W941" t="str">
        <f t="shared" si="3"/>
        <v/>
      </c>
      <c r="X941" s="4" t="str">
        <f>IF(V941="","",INDEX(Fornecedores!$X$1:$X$6631,V941))</f>
        <v/>
      </c>
      <c r="Y941" s="4" t="str">
        <f t="shared" si="4"/>
        <v/>
      </c>
    </row>
    <row r="942" spans="19:25">
      <c r="S942" t="str">
        <f t="shared" si="0"/>
        <v/>
      </c>
      <c r="T942" t="str">
        <f t="shared" si="1"/>
        <v/>
      </c>
      <c r="U942" t="str">
        <f t="shared" si="2"/>
        <v/>
      </c>
      <c r="V942" t="str">
        <f>IF(OR(U942="",U942="ERRO_CHAVE"),"",IFERROR(MATCH(U942,Fornecedores!$AF$1:$AF$6631,0),""))</f>
        <v/>
      </c>
      <c r="W942" t="str">
        <f t="shared" si="3"/>
        <v/>
      </c>
      <c r="X942" s="4" t="str">
        <f>IF(V942="","",INDEX(Fornecedores!$X$1:$X$6631,V942))</f>
        <v/>
      </c>
      <c r="Y942" s="4" t="str">
        <f t="shared" si="4"/>
        <v/>
      </c>
    </row>
    <row r="943" spans="19:25">
      <c r="S943" t="str">
        <f t="shared" si="0"/>
        <v/>
      </c>
      <c r="T943" t="str">
        <f t="shared" si="1"/>
        <v/>
      </c>
      <c r="U943" t="str">
        <f t="shared" si="2"/>
        <v/>
      </c>
      <c r="V943" t="str">
        <f>IF(OR(U943="",U943="ERRO_CHAVE"),"",IFERROR(MATCH(U943,Fornecedores!$AF$1:$AF$6631,0),""))</f>
        <v/>
      </c>
      <c r="W943" t="str">
        <f t="shared" si="3"/>
        <v/>
      </c>
      <c r="X943" s="4" t="str">
        <f>IF(V943="","",INDEX(Fornecedores!$X$1:$X$6631,V943))</f>
        <v/>
      </c>
      <c r="Y943" s="4" t="str">
        <f t="shared" si="4"/>
        <v/>
      </c>
    </row>
    <row r="944" spans="19:25">
      <c r="S944" t="str">
        <f t="shared" si="0"/>
        <v/>
      </c>
      <c r="T944" t="str">
        <f t="shared" si="1"/>
        <v/>
      </c>
      <c r="U944" t="str">
        <f t="shared" si="2"/>
        <v/>
      </c>
      <c r="V944" t="str">
        <f>IF(OR(U944="",U944="ERRO_CHAVE"),"",IFERROR(MATCH(U944,Fornecedores!$AF$1:$AF$6631,0),""))</f>
        <v/>
      </c>
      <c r="W944" t="str">
        <f t="shared" si="3"/>
        <v/>
      </c>
      <c r="X944" s="4" t="str">
        <f>IF(V944="","",INDEX(Fornecedores!$X$1:$X$6631,V944))</f>
        <v/>
      </c>
      <c r="Y944" s="4" t="str">
        <f t="shared" si="4"/>
        <v/>
      </c>
    </row>
    <row r="945" spans="19:25">
      <c r="S945" t="str">
        <f t="shared" si="0"/>
        <v/>
      </c>
      <c r="T945" t="str">
        <f t="shared" si="1"/>
        <v/>
      </c>
      <c r="U945" t="str">
        <f t="shared" si="2"/>
        <v/>
      </c>
      <c r="V945" t="str">
        <f>IF(OR(U945="",U945="ERRO_CHAVE"),"",IFERROR(MATCH(U945,Fornecedores!$AF$1:$AF$6631,0),""))</f>
        <v/>
      </c>
      <c r="W945" t="str">
        <f t="shared" si="3"/>
        <v/>
      </c>
      <c r="X945" s="4" t="str">
        <f>IF(V945="","",INDEX(Fornecedores!$X$1:$X$6631,V945))</f>
        <v/>
      </c>
      <c r="Y945" s="4" t="str">
        <f t="shared" si="4"/>
        <v/>
      </c>
    </row>
    <row r="946" spans="19:25">
      <c r="S946" t="str">
        <f t="shared" si="0"/>
        <v/>
      </c>
      <c r="T946" t="str">
        <f t="shared" si="1"/>
        <v/>
      </c>
      <c r="U946" t="str">
        <f t="shared" si="2"/>
        <v/>
      </c>
      <c r="V946" t="str">
        <f>IF(OR(U946="",U946="ERRO_CHAVE"),"",IFERROR(MATCH(U946,Fornecedores!$AF$1:$AF$6631,0),""))</f>
        <v/>
      </c>
      <c r="W946" t="str">
        <f t="shared" si="3"/>
        <v/>
      </c>
      <c r="X946" s="4" t="str">
        <f>IF(V946="","",INDEX(Fornecedores!$X$1:$X$6631,V946))</f>
        <v/>
      </c>
      <c r="Y946" s="4" t="str">
        <f t="shared" si="4"/>
        <v/>
      </c>
    </row>
    <row r="947" spans="19:25">
      <c r="S947" t="str">
        <f t="shared" si="0"/>
        <v/>
      </c>
      <c r="T947" t="str">
        <f t="shared" si="1"/>
        <v/>
      </c>
      <c r="U947" t="str">
        <f t="shared" si="2"/>
        <v/>
      </c>
      <c r="V947" t="str">
        <f>IF(OR(U947="",U947="ERRO_CHAVE"),"",IFERROR(MATCH(U947,Fornecedores!$AF$1:$AF$6631,0),""))</f>
        <v/>
      </c>
      <c r="W947" t="str">
        <f t="shared" si="3"/>
        <v/>
      </c>
      <c r="X947" s="4" t="str">
        <f>IF(V947="","",INDEX(Fornecedores!$X$1:$X$6631,V947))</f>
        <v/>
      </c>
      <c r="Y947" s="4" t="str">
        <f t="shared" si="4"/>
        <v/>
      </c>
    </row>
    <row r="948" spans="19:25">
      <c r="S948" t="str">
        <f t="shared" si="0"/>
        <v/>
      </c>
      <c r="T948" t="str">
        <f t="shared" si="1"/>
        <v/>
      </c>
      <c r="U948" t="str">
        <f t="shared" si="2"/>
        <v/>
      </c>
      <c r="V948" t="str">
        <f>IF(OR(U948="",U948="ERRO_CHAVE"),"",IFERROR(MATCH(U948,Fornecedores!$AF$1:$AF$6631,0),""))</f>
        <v/>
      </c>
      <c r="W948" t="str">
        <f t="shared" si="3"/>
        <v/>
      </c>
      <c r="X948" s="4" t="str">
        <f>IF(V948="","",INDEX(Fornecedores!$X$1:$X$6631,V948))</f>
        <v/>
      </c>
      <c r="Y948" s="4" t="str">
        <f t="shared" si="4"/>
        <v/>
      </c>
    </row>
    <row r="949" spans="19:25">
      <c r="S949" t="str">
        <f t="shared" si="0"/>
        <v/>
      </c>
      <c r="T949" t="str">
        <f t="shared" si="1"/>
        <v/>
      </c>
      <c r="U949" t="str">
        <f t="shared" si="2"/>
        <v/>
      </c>
      <c r="V949" t="str">
        <f>IF(OR(U949="",U949="ERRO_CHAVE"),"",IFERROR(MATCH(U949,Fornecedores!$AF$1:$AF$6631,0),""))</f>
        <v/>
      </c>
      <c r="W949" t="str">
        <f t="shared" si="3"/>
        <v/>
      </c>
      <c r="X949" s="4" t="str">
        <f>IF(V949="","",INDEX(Fornecedores!$X$1:$X$6631,V949))</f>
        <v/>
      </c>
      <c r="Y949" s="4" t="str">
        <f t="shared" si="4"/>
        <v/>
      </c>
    </row>
    <row r="950" spans="19:25">
      <c r="S950" t="str">
        <f t="shared" si="0"/>
        <v/>
      </c>
      <c r="T950" t="str">
        <f t="shared" si="1"/>
        <v/>
      </c>
      <c r="U950" t="str">
        <f t="shared" si="2"/>
        <v/>
      </c>
      <c r="V950" t="str">
        <f>IF(OR(U950="",U950="ERRO_CHAVE"),"",IFERROR(MATCH(U950,Fornecedores!$AF$1:$AF$6631,0),""))</f>
        <v/>
      </c>
      <c r="W950" t="str">
        <f t="shared" si="3"/>
        <v/>
      </c>
      <c r="X950" s="4" t="str">
        <f>IF(V950="","",INDEX(Fornecedores!$X$1:$X$6631,V950))</f>
        <v/>
      </c>
      <c r="Y950" s="4" t="str">
        <f t="shared" si="4"/>
        <v/>
      </c>
    </row>
    <row r="951" spans="19:25">
      <c r="S951" t="str">
        <f t="shared" si="0"/>
        <v/>
      </c>
      <c r="T951" t="str">
        <f t="shared" si="1"/>
        <v/>
      </c>
      <c r="U951" t="str">
        <f t="shared" si="2"/>
        <v/>
      </c>
      <c r="V951" t="str">
        <f>IF(OR(U951="",U951="ERRO_CHAVE"),"",IFERROR(MATCH(U951,Fornecedores!$AF$1:$AF$6631,0),""))</f>
        <v/>
      </c>
      <c r="W951" t="str">
        <f t="shared" si="3"/>
        <v/>
      </c>
      <c r="X951" s="4" t="str">
        <f>IF(V951="","",INDEX(Fornecedores!$X$1:$X$6631,V951))</f>
        <v/>
      </c>
      <c r="Y951" s="4" t="str">
        <f t="shared" si="4"/>
        <v/>
      </c>
    </row>
    <row r="952" spans="19:25">
      <c r="S952" t="str">
        <f t="shared" si="0"/>
        <v/>
      </c>
      <c r="T952" t="str">
        <f t="shared" si="1"/>
        <v/>
      </c>
      <c r="U952" t="str">
        <f t="shared" si="2"/>
        <v/>
      </c>
      <c r="V952" t="str">
        <f>IF(OR(U952="",U952="ERRO_CHAVE"),"",IFERROR(MATCH(U952,Fornecedores!$AF$1:$AF$6631,0),""))</f>
        <v/>
      </c>
      <c r="W952" t="str">
        <f t="shared" si="3"/>
        <v/>
      </c>
      <c r="X952" s="4" t="str">
        <f>IF(V952="","",INDEX(Fornecedores!$X$1:$X$6631,V952))</f>
        <v/>
      </c>
      <c r="Y952" s="4" t="str">
        <f t="shared" si="4"/>
        <v/>
      </c>
    </row>
    <row r="953" spans="19:25">
      <c r="S953" t="str">
        <f t="shared" si="0"/>
        <v/>
      </c>
      <c r="T953" t="str">
        <f t="shared" si="1"/>
        <v/>
      </c>
      <c r="U953" t="str">
        <f t="shared" si="2"/>
        <v/>
      </c>
      <c r="V953" t="str">
        <f>IF(OR(U953="",U953="ERRO_CHAVE"),"",IFERROR(MATCH(U953,Fornecedores!$AF$1:$AF$6631,0),""))</f>
        <v/>
      </c>
      <c r="W953" t="str">
        <f t="shared" si="3"/>
        <v/>
      </c>
      <c r="X953" s="4" t="str">
        <f>IF(V953="","",INDEX(Fornecedores!$X$1:$X$6631,V953))</f>
        <v/>
      </c>
      <c r="Y953" s="4" t="str">
        <f t="shared" si="4"/>
        <v/>
      </c>
    </row>
    <row r="954" spans="19:25">
      <c r="S954" t="str">
        <f t="shared" si="0"/>
        <v/>
      </c>
      <c r="T954" t="str">
        <f t="shared" si="1"/>
        <v/>
      </c>
      <c r="U954" t="str">
        <f t="shared" si="2"/>
        <v/>
      </c>
      <c r="V954" t="str">
        <f>IF(OR(U954="",U954="ERRO_CHAVE"),"",IFERROR(MATCH(U954,Fornecedores!$AF$1:$AF$6631,0),""))</f>
        <v/>
      </c>
      <c r="W954" t="str">
        <f t="shared" si="3"/>
        <v/>
      </c>
      <c r="X954" s="4" t="str">
        <f>IF(V954="","",INDEX(Fornecedores!$X$1:$X$6631,V954))</f>
        <v/>
      </c>
      <c r="Y954" s="4" t="str">
        <f t="shared" si="4"/>
        <v/>
      </c>
    </row>
    <row r="955" spans="19:25">
      <c r="S955" t="str">
        <f t="shared" si="0"/>
        <v/>
      </c>
      <c r="T955" t="str">
        <f t="shared" si="1"/>
        <v/>
      </c>
      <c r="U955" t="str">
        <f t="shared" si="2"/>
        <v/>
      </c>
      <c r="V955" t="str">
        <f>IF(OR(U955="",U955="ERRO_CHAVE"),"",IFERROR(MATCH(U955,Fornecedores!$AF$1:$AF$6631,0),""))</f>
        <v/>
      </c>
      <c r="W955" t="str">
        <f t="shared" si="3"/>
        <v/>
      </c>
      <c r="X955" s="4" t="str">
        <f>IF(V955="","",INDEX(Fornecedores!$X$1:$X$6631,V955))</f>
        <v/>
      </c>
      <c r="Y955" s="4" t="str">
        <f t="shared" si="4"/>
        <v/>
      </c>
    </row>
    <row r="956" spans="19:25">
      <c r="S956" t="str">
        <f t="shared" si="0"/>
        <v/>
      </c>
      <c r="T956" t="str">
        <f t="shared" si="1"/>
        <v/>
      </c>
      <c r="U956" t="str">
        <f t="shared" si="2"/>
        <v/>
      </c>
      <c r="V956" t="str">
        <f>IF(OR(U956="",U956="ERRO_CHAVE"),"",IFERROR(MATCH(U956,Fornecedores!$AF$1:$AF$6631,0),""))</f>
        <v/>
      </c>
      <c r="W956" t="str">
        <f t="shared" si="3"/>
        <v/>
      </c>
      <c r="X956" s="4" t="str">
        <f>IF(V956="","",INDEX(Fornecedores!$X$1:$X$6631,V956))</f>
        <v/>
      </c>
      <c r="Y956" s="4" t="str">
        <f t="shared" si="4"/>
        <v/>
      </c>
    </row>
    <row r="957" spans="19:25">
      <c r="S957" t="str">
        <f t="shared" si="0"/>
        <v/>
      </c>
      <c r="T957" t="str">
        <f t="shared" si="1"/>
        <v/>
      </c>
      <c r="U957" t="str">
        <f t="shared" si="2"/>
        <v/>
      </c>
      <c r="V957" t="str">
        <f>IF(OR(U957="",U957="ERRO_CHAVE"),"",IFERROR(MATCH(U957,Fornecedores!$AF$1:$AF$6631,0),""))</f>
        <v/>
      </c>
      <c r="W957" t="str">
        <f t="shared" si="3"/>
        <v/>
      </c>
      <c r="X957" s="4" t="str">
        <f>IF(V957="","",INDEX(Fornecedores!$X$1:$X$6631,V957))</f>
        <v/>
      </c>
      <c r="Y957" s="4" t="str">
        <f t="shared" si="4"/>
        <v/>
      </c>
    </row>
    <row r="958" spans="19:25">
      <c r="S958" t="str">
        <f t="shared" si="0"/>
        <v/>
      </c>
      <c r="T958" t="str">
        <f t="shared" si="1"/>
        <v/>
      </c>
      <c r="U958" t="str">
        <f t="shared" si="2"/>
        <v/>
      </c>
      <c r="V958" t="str">
        <f>IF(OR(U958="",U958="ERRO_CHAVE"),"",IFERROR(MATCH(U958,Fornecedores!$AF$1:$AF$6631,0),""))</f>
        <v/>
      </c>
      <c r="W958" t="str">
        <f t="shared" si="3"/>
        <v/>
      </c>
      <c r="X958" s="4" t="str">
        <f>IF(V958="","",INDEX(Fornecedores!$X$1:$X$6631,V958))</f>
        <v/>
      </c>
      <c r="Y958" s="4" t="str">
        <f t="shared" si="4"/>
        <v/>
      </c>
    </row>
    <row r="959" spans="19:25">
      <c r="S959" t="str">
        <f t="shared" si="0"/>
        <v/>
      </c>
      <c r="T959" t="str">
        <f t="shared" si="1"/>
        <v/>
      </c>
      <c r="U959" t="str">
        <f t="shared" si="2"/>
        <v/>
      </c>
      <c r="V959" t="str">
        <f>IF(OR(U959="",U959="ERRO_CHAVE"),"",IFERROR(MATCH(U959,Fornecedores!$AF$1:$AF$6631,0),""))</f>
        <v/>
      </c>
      <c r="W959" t="str">
        <f t="shared" si="3"/>
        <v/>
      </c>
      <c r="X959" s="4" t="str">
        <f>IF(V959="","",INDEX(Fornecedores!$X$1:$X$6631,V959))</f>
        <v/>
      </c>
      <c r="Y959" s="4" t="str">
        <f t="shared" si="4"/>
        <v/>
      </c>
    </row>
    <row r="960" spans="19:25">
      <c r="S960" t="str">
        <f t="shared" si="0"/>
        <v/>
      </c>
      <c r="T960" t="str">
        <f t="shared" si="1"/>
        <v/>
      </c>
      <c r="U960" t="str">
        <f t="shared" si="2"/>
        <v/>
      </c>
      <c r="V960" t="str">
        <f>IF(OR(U960="",U960="ERRO_CHAVE"),"",IFERROR(MATCH(U960,Fornecedores!$AF$1:$AF$6631,0),""))</f>
        <v/>
      </c>
      <c r="W960" t="str">
        <f t="shared" si="3"/>
        <v/>
      </c>
      <c r="X960" s="4" t="str">
        <f>IF(V960="","",INDEX(Fornecedores!$X$1:$X$6631,V960))</f>
        <v/>
      </c>
      <c r="Y960" s="4" t="str">
        <f t="shared" si="4"/>
        <v/>
      </c>
    </row>
    <row r="961" spans="19:25">
      <c r="S961" t="str">
        <f t="shared" si="0"/>
        <v/>
      </c>
      <c r="T961" t="str">
        <f t="shared" si="1"/>
        <v/>
      </c>
      <c r="U961" t="str">
        <f t="shared" si="2"/>
        <v/>
      </c>
      <c r="V961" t="str">
        <f>IF(OR(U961="",U961="ERRO_CHAVE"),"",IFERROR(MATCH(U961,Fornecedores!$AF$1:$AF$6631,0),""))</f>
        <v/>
      </c>
      <c r="W961" t="str">
        <f t="shared" si="3"/>
        <v/>
      </c>
      <c r="X961" s="4" t="str">
        <f>IF(V961="","",INDEX(Fornecedores!$X$1:$X$6631,V961))</f>
        <v/>
      </c>
      <c r="Y961" s="4" t="str">
        <f t="shared" si="4"/>
        <v/>
      </c>
    </row>
    <row r="962" spans="19:25">
      <c r="S962" t="str">
        <f t="shared" si="0"/>
        <v/>
      </c>
      <c r="T962" t="str">
        <f t="shared" si="1"/>
        <v/>
      </c>
      <c r="U962" t="str">
        <f t="shared" si="2"/>
        <v/>
      </c>
      <c r="V962" t="str">
        <f>IF(OR(U962="",U962="ERRO_CHAVE"),"",IFERROR(MATCH(U962,Fornecedores!$AF$1:$AF$6631,0),""))</f>
        <v/>
      </c>
      <c r="W962" t="str">
        <f t="shared" si="3"/>
        <v/>
      </c>
      <c r="X962" s="4" t="str">
        <f>IF(V962="","",INDEX(Fornecedores!$X$1:$X$6631,V962))</f>
        <v/>
      </c>
      <c r="Y962" s="4" t="str">
        <f t="shared" si="4"/>
        <v/>
      </c>
    </row>
    <row r="963" spans="19:25">
      <c r="S963" t="str">
        <f t="shared" si="0"/>
        <v/>
      </c>
      <c r="T963" t="str">
        <f t="shared" si="1"/>
        <v/>
      </c>
      <c r="U963" t="str">
        <f t="shared" si="2"/>
        <v/>
      </c>
      <c r="V963" t="str">
        <f>IF(OR(U963="",U963="ERRO_CHAVE"),"",IFERROR(MATCH(U963,Fornecedores!$AF$1:$AF$6631,0),""))</f>
        <v/>
      </c>
      <c r="W963" t="str">
        <f t="shared" si="3"/>
        <v/>
      </c>
      <c r="X963" s="4" t="str">
        <f>IF(V963="","",INDEX(Fornecedores!$X$1:$X$6631,V963))</f>
        <v/>
      </c>
      <c r="Y963" s="4" t="str">
        <f t="shared" si="4"/>
        <v/>
      </c>
    </row>
    <row r="964" spans="19:25">
      <c r="S964" t="str">
        <f t="shared" si="0"/>
        <v/>
      </c>
      <c r="T964" t="str">
        <f t="shared" si="1"/>
        <v/>
      </c>
      <c r="U964" t="str">
        <f t="shared" si="2"/>
        <v/>
      </c>
      <c r="V964" t="str">
        <f>IF(OR(U964="",U964="ERRO_CHAVE"),"",IFERROR(MATCH(U964,Fornecedores!$AF$1:$AF$6631,0),""))</f>
        <v/>
      </c>
      <c r="W964" t="str">
        <f t="shared" si="3"/>
        <v/>
      </c>
      <c r="X964" s="4" t="str">
        <f>IF(V964="","",INDEX(Fornecedores!$X$1:$X$6631,V964))</f>
        <v/>
      </c>
      <c r="Y964" s="4" t="str">
        <f t="shared" si="4"/>
        <v/>
      </c>
    </row>
    <row r="965" spans="19:25">
      <c r="S965" t="str">
        <f t="shared" si="0"/>
        <v/>
      </c>
      <c r="T965" t="str">
        <f t="shared" si="1"/>
        <v/>
      </c>
      <c r="U965" t="str">
        <f t="shared" si="2"/>
        <v/>
      </c>
      <c r="V965" t="str">
        <f>IF(OR(U965="",U965="ERRO_CHAVE"),"",IFERROR(MATCH(U965,Fornecedores!$AF$1:$AF$6631,0),""))</f>
        <v/>
      </c>
      <c r="W965" t="str">
        <f t="shared" si="3"/>
        <v/>
      </c>
      <c r="X965" s="4" t="str">
        <f>IF(V965="","",INDEX(Fornecedores!$X$1:$X$6631,V965))</f>
        <v/>
      </c>
      <c r="Y965" s="4" t="str">
        <f t="shared" si="4"/>
        <v/>
      </c>
    </row>
    <row r="966" spans="19:25">
      <c r="S966" t="str">
        <f t="shared" si="0"/>
        <v/>
      </c>
      <c r="T966" t="str">
        <f t="shared" si="1"/>
        <v/>
      </c>
      <c r="U966" t="str">
        <f t="shared" si="2"/>
        <v/>
      </c>
      <c r="V966" t="str">
        <f>IF(OR(U966="",U966="ERRO_CHAVE"),"",IFERROR(MATCH(U966,Fornecedores!$AF$1:$AF$6631,0),""))</f>
        <v/>
      </c>
      <c r="W966" t="str">
        <f t="shared" si="3"/>
        <v/>
      </c>
      <c r="X966" s="4" t="str">
        <f>IF(V966="","",INDEX(Fornecedores!$X$1:$X$6631,V966))</f>
        <v/>
      </c>
      <c r="Y966" s="4" t="str">
        <f t="shared" si="4"/>
        <v/>
      </c>
    </row>
    <row r="967" spans="19:25">
      <c r="S967" t="str">
        <f t="shared" si="0"/>
        <v/>
      </c>
      <c r="T967" t="str">
        <f t="shared" si="1"/>
        <v/>
      </c>
      <c r="U967" t="str">
        <f t="shared" si="2"/>
        <v/>
      </c>
      <c r="V967" t="str">
        <f>IF(OR(U967="",U967="ERRO_CHAVE"),"",IFERROR(MATCH(U967,Fornecedores!$AF$1:$AF$6631,0),""))</f>
        <v/>
      </c>
      <c r="W967" t="str">
        <f t="shared" si="3"/>
        <v/>
      </c>
      <c r="X967" s="4" t="str">
        <f>IF(V967="","",INDEX(Fornecedores!$X$1:$X$6631,V967))</f>
        <v/>
      </c>
      <c r="Y967" s="4" t="str">
        <f t="shared" si="4"/>
        <v/>
      </c>
    </row>
    <row r="968" spans="19:25">
      <c r="S968" t="str">
        <f t="shared" si="0"/>
        <v/>
      </c>
      <c r="T968" t="str">
        <f t="shared" si="1"/>
        <v/>
      </c>
      <c r="U968" t="str">
        <f t="shared" si="2"/>
        <v/>
      </c>
      <c r="V968" t="str">
        <f>IF(OR(U968="",U968="ERRO_CHAVE"),"",IFERROR(MATCH(U968,Fornecedores!$AF$1:$AF$6631,0),""))</f>
        <v/>
      </c>
      <c r="W968" t="str">
        <f t="shared" si="3"/>
        <v/>
      </c>
      <c r="X968" s="4" t="str">
        <f>IF(V968="","",INDEX(Fornecedores!$X$1:$X$6631,V968))</f>
        <v/>
      </c>
      <c r="Y968" s="4" t="str">
        <f t="shared" si="4"/>
        <v/>
      </c>
    </row>
    <row r="969" spans="19:25">
      <c r="S969" t="str">
        <f t="shared" si="0"/>
        <v/>
      </c>
      <c r="T969" t="str">
        <f t="shared" si="1"/>
        <v/>
      </c>
      <c r="U969" t="str">
        <f t="shared" si="2"/>
        <v/>
      </c>
      <c r="V969" t="str">
        <f>IF(OR(U969="",U969="ERRO_CHAVE"),"",IFERROR(MATCH(U969,Fornecedores!$AF$1:$AF$6631,0),""))</f>
        <v/>
      </c>
      <c r="W969" t="str">
        <f t="shared" si="3"/>
        <v/>
      </c>
      <c r="X969" s="4" t="str">
        <f>IF(V969="","",INDEX(Fornecedores!$X$1:$X$6631,V969))</f>
        <v/>
      </c>
      <c r="Y969" s="4" t="str">
        <f t="shared" si="4"/>
        <v/>
      </c>
    </row>
    <row r="970" spans="19:25">
      <c r="S970" t="str">
        <f t="shared" si="0"/>
        <v/>
      </c>
      <c r="T970" t="str">
        <f t="shared" si="1"/>
        <v/>
      </c>
      <c r="U970" t="str">
        <f t="shared" si="2"/>
        <v/>
      </c>
      <c r="V970" t="str">
        <f>IF(OR(U970="",U970="ERRO_CHAVE"),"",IFERROR(MATCH(U970,Fornecedores!$AF$1:$AF$6631,0),""))</f>
        <v/>
      </c>
      <c r="W970" t="str">
        <f t="shared" si="3"/>
        <v/>
      </c>
      <c r="X970" s="4" t="str">
        <f>IF(V970="","",INDEX(Fornecedores!$X$1:$X$6631,V970))</f>
        <v/>
      </c>
      <c r="Y970" s="4" t="str">
        <f t="shared" si="4"/>
        <v/>
      </c>
    </row>
    <row r="971" spans="19:25">
      <c r="S971" t="str">
        <f t="shared" si="0"/>
        <v/>
      </c>
      <c r="T971" t="str">
        <f t="shared" si="1"/>
        <v/>
      </c>
      <c r="U971" t="str">
        <f t="shared" si="2"/>
        <v/>
      </c>
      <c r="V971" t="str">
        <f>IF(OR(U971="",U971="ERRO_CHAVE"),"",IFERROR(MATCH(U971,Fornecedores!$AF$1:$AF$6631,0),""))</f>
        <v/>
      </c>
      <c r="W971" t="str">
        <f t="shared" si="3"/>
        <v/>
      </c>
      <c r="X971" s="4" t="str">
        <f>IF(V971="","",INDEX(Fornecedores!$X$1:$X$6631,V971))</f>
        <v/>
      </c>
      <c r="Y971" s="4" t="str">
        <f t="shared" si="4"/>
        <v/>
      </c>
    </row>
    <row r="972" spans="19:25">
      <c r="S972" t="str">
        <f t="shared" si="0"/>
        <v/>
      </c>
      <c r="T972" t="str">
        <f t="shared" si="1"/>
        <v/>
      </c>
      <c r="U972" t="str">
        <f t="shared" si="2"/>
        <v/>
      </c>
      <c r="V972" t="str">
        <f>IF(OR(U972="",U972="ERRO_CHAVE"),"",IFERROR(MATCH(U972,Fornecedores!$AF$1:$AF$6631,0),""))</f>
        <v/>
      </c>
      <c r="W972" t="str">
        <f t="shared" si="3"/>
        <v/>
      </c>
      <c r="X972" s="4" t="str">
        <f>IF(V972="","",INDEX(Fornecedores!$X$1:$X$6631,V972))</f>
        <v/>
      </c>
      <c r="Y972" s="4" t="str">
        <f t="shared" si="4"/>
        <v/>
      </c>
    </row>
    <row r="973" spans="19:25">
      <c r="S973" t="str">
        <f t="shared" si="0"/>
        <v/>
      </c>
      <c r="T973" t="str">
        <f t="shared" si="1"/>
        <v/>
      </c>
      <c r="U973" t="str">
        <f t="shared" si="2"/>
        <v/>
      </c>
      <c r="V973" t="str">
        <f>IF(OR(U973="",U973="ERRO_CHAVE"),"",IFERROR(MATCH(U973,Fornecedores!$AF$1:$AF$6631,0),""))</f>
        <v/>
      </c>
      <c r="W973" t="str">
        <f t="shared" si="3"/>
        <v/>
      </c>
      <c r="X973" s="4" t="str">
        <f>IF(V973="","",INDEX(Fornecedores!$X$1:$X$6631,V973))</f>
        <v/>
      </c>
      <c r="Y973" s="4" t="str">
        <f t="shared" si="4"/>
        <v/>
      </c>
    </row>
    <row r="974" spans="19:25">
      <c r="S974" t="str">
        <f t="shared" si="0"/>
        <v/>
      </c>
      <c r="T974" t="str">
        <f t="shared" si="1"/>
        <v/>
      </c>
      <c r="U974" t="str">
        <f t="shared" si="2"/>
        <v/>
      </c>
      <c r="V974" t="str">
        <f>IF(OR(U974="",U974="ERRO_CHAVE"),"",IFERROR(MATCH(U974,Fornecedores!$AF$1:$AF$6631,0),""))</f>
        <v/>
      </c>
      <c r="W974" t="str">
        <f t="shared" si="3"/>
        <v/>
      </c>
      <c r="X974" s="4" t="str">
        <f>IF(V974="","",INDEX(Fornecedores!$X$1:$X$6631,V974))</f>
        <v/>
      </c>
      <c r="Y974" s="4" t="str">
        <f t="shared" si="4"/>
        <v/>
      </c>
    </row>
    <row r="975" spans="19:25">
      <c r="S975" t="str">
        <f t="shared" si="0"/>
        <v/>
      </c>
      <c r="T975" t="str">
        <f t="shared" si="1"/>
        <v/>
      </c>
      <c r="U975" t="str">
        <f t="shared" si="2"/>
        <v/>
      </c>
      <c r="V975" t="str">
        <f>IF(OR(U975="",U975="ERRO_CHAVE"),"",IFERROR(MATCH(U975,Fornecedores!$AF$1:$AF$6631,0),""))</f>
        <v/>
      </c>
      <c r="W975" t="str">
        <f t="shared" si="3"/>
        <v/>
      </c>
      <c r="X975" s="4" t="str">
        <f>IF(V975="","",INDEX(Fornecedores!$X$1:$X$6631,V975))</f>
        <v/>
      </c>
      <c r="Y975" s="4" t="str">
        <f t="shared" si="4"/>
        <v/>
      </c>
    </row>
    <row r="976" spans="19:25">
      <c r="S976" t="str">
        <f t="shared" si="0"/>
        <v/>
      </c>
      <c r="T976" t="str">
        <f t="shared" si="1"/>
        <v/>
      </c>
      <c r="U976" t="str">
        <f t="shared" si="2"/>
        <v/>
      </c>
      <c r="V976" t="str">
        <f>IF(OR(U976="",U976="ERRO_CHAVE"),"",IFERROR(MATCH(U976,Fornecedores!$AF$1:$AF$6631,0),""))</f>
        <v/>
      </c>
      <c r="W976" t="str">
        <f t="shared" si="3"/>
        <v/>
      </c>
      <c r="X976" s="4" t="str">
        <f>IF(V976="","",INDEX(Fornecedores!$X$1:$X$6631,V976))</f>
        <v/>
      </c>
      <c r="Y976" s="4" t="str">
        <f t="shared" si="4"/>
        <v/>
      </c>
    </row>
    <row r="977" spans="19:25">
      <c r="S977" t="str">
        <f t="shared" si="0"/>
        <v/>
      </c>
      <c r="T977" t="str">
        <f t="shared" si="1"/>
        <v/>
      </c>
      <c r="U977" t="str">
        <f t="shared" si="2"/>
        <v/>
      </c>
      <c r="V977" t="str">
        <f>IF(OR(U977="",U977="ERRO_CHAVE"),"",IFERROR(MATCH(U977,Fornecedores!$AF$1:$AF$6631,0),""))</f>
        <v/>
      </c>
      <c r="W977" t="str">
        <f t="shared" si="3"/>
        <v/>
      </c>
      <c r="X977" s="4" t="str">
        <f>IF(V977="","",INDEX(Fornecedores!$X$1:$X$6631,V977))</f>
        <v/>
      </c>
      <c r="Y977" s="4" t="str">
        <f t="shared" si="4"/>
        <v/>
      </c>
    </row>
    <row r="978" spans="19:25">
      <c r="S978" t="str">
        <f t="shared" si="0"/>
        <v/>
      </c>
      <c r="T978" t="str">
        <f t="shared" si="1"/>
        <v/>
      </c>
      <c r="U978" t="str">
        <f t="shared" si="2"/>
        <v/>
      </c>
      <c r="V978" t="str">
        <f>IF(OR(U978="",U978="ERRO_CHAVE"),"",IFERROR(MATCH(U978,Fornecedores!$AF$1:$AF$6631,0),""))</f>
        <v/>
      </c>
      <c r="W978" t="str">
        <f t="shared" si="3"/>
        <v/>
      </c>
      <c r="X978" s="4" t="str">
        <f>IF(V978="","",INDEX(Fornecedores!$X$1:$X$6631,V978))</f>
        <v/>
      </c>
      <c r="Y978" s="4" t="str">
        <f t="shared" si="4"/>
        <v/>
      </c>
    </row>
    <row r="979" spans="19:25">
      <c r="S979" t="str">
        <f t="shared" si="0"/>
        <v/>
      </c>
      <c r="T979" t="str">
        <f t="shared" si="1"/>
        <v/>
      </c>
      <c r="U979" t="str">
        <f t="shared" si="2"/>
        <v/>
      </c>
      <c r="V979" t="str">
        <f>IF(OR(U979="",U979="ERRO_CHAVE"),"",IFERROR(MATCH(U979,Fornecedores!$AF$1:$AF$6631,0),""))</f>
        <v/>
      </c>
      <c r="W979" t="str">
        <f t="shared" si="3"/>
        <v/>
      </c>
      <c r="X979" s="4" t="str">
        <f>IF(V979="","",INDEX(Fornecedores!$X$1:$X$6631,V979))</f>
        <v/>
      </c>
      <c r="Y979" s="4" t="str">
        <f t="shared" si="4"/>
        <v/>
      </c>
    </row>
    <row r="980" spans="19:25">
      <c r="S980" t="str">
        <f t="shared" si="0"/>
        <v/>
      </c>
      <c r="T980" t="str">
        <f t="shared" si="1"/>
        <v/>
      </c>
      <c r="U980" t="str">
        <f t="shared" si="2"/>
        <v/>
      </c>
      <c r="V980" t="str">
        <f>IF(OR(U980="",U980="ERRO_CHAVE"),"",IFERROR(MATCH(U980,Fornecedores!$AF$1:$AF$6631,0),""))</f>
        <v/>
      </c>
      <c r="W980" t="str">
        <f t="shared" si="3"/>
        <v/>
      </c>
      <c r="X980" s="4" t="str">
        <f>IF(V980="","",INDEX(Fornecedores!$X$1:$X$6631,V980))</f>
        <v/>
      </c>
      <c r="Y980" s="4" t="str">
        <f t="shared" si="4"/>
        <v/>
      </c>
    </row>
    <row r="981" spans="19:25">
      <c r="S981" t="str">
        <f t="shared" si="0"/>
        <v/>
      </c>
      <c r="T981" t="str">
        <f t="shared" si="1"/>
        <v/>
      </c>
      <c r="U981" t="str">
        <f t="shared" si="2"/>
        <v/>
      </c>
      <c r="V981" t="str">
        <f>IF(OR(U981="",U981="ERRO_CHAVE"),"",IFERROR(MATCH(U981,Fornecedores!$AF$1:$AF$6631,0),""))</f>
        <v/>
      </c>
      <c r="W981" t="str">
        <f t="shared" si="3"/>
        <v/>
      </c>
      <c r="X981" s="4" t="str">
        <f>IF(V981="","",INDEX(Fornecedores!$X$1:$X$6631,V981))</f>
        <v/>
      </c>
      <c r="Y981" s="4" t="str">
        <f t="shared" si="4"/>
        <v/>
      </c>
    </row>
    <row r="982" spans="19:25">
      <c r="S982" t="str">
        <f t="shared" si="0"/>
        <v/>
      </c>
      <c r="T982" t="str">
        <f t="shared" si="1"/>
        <v/>
      </c>
      <c r="U982" t="str">
        <f t="shared" si="2"/>
        <v/>
      </c>
      <c r="V982" t="str">
        <f>IF(OR(U982="",U982="ERRO_CHAVE"),"",IFERROR(MATCH(U982,Fornecedores!$AF$1:$AF$6631,0),""))</f>
        <v/>
      </c>
      <c r="W982" t="str">
        <f t="shared" si="3"/>
        <v/>
      </c>
      <c r="X982" s="4" t="str">
        <f>IF(V982="","",INDEX(Fornecedores!$X$1:$X$6631,V982))</f>
        <v/>
      </c>
      <c r="Y982" s="4" t="str">
        <f t="shared" si="4"/>
        <v/>
      </c>
    </row>
    <row r="983" spans="19:25">
      <c r="S983" t="str">
        <f t="shared" si="0"/>
        <v/>
      </c>
      <c r="T983" t="str">
        <f t="shared" si="1"/>
        <v/>
      </c>
      <c r="U983" t="str">
        <f t="shared" si="2"/>
        <v/>
      </c>
      <c r="V983" t="str">
        <f>IF(OR(U983="",U983="ERRO_CHAVE"),"",IFERROR(MATCH(U983,Fornecedores!$AF$1:$AF$6631,0),""))</f>
        <v/>
      </c>
      <c r="W983" t="str">
        <f t="shared" si="3"/>
        <v/>
      </c>
      <c r="X983" s="4" t="str">
        <f>IF(V983="","",INDEX(Fornecedores!$X$1:$X$6631,V983))</f>
        <v/>
      </c>
      <c r="Y983" s="4" t="str">
        <f t="shared" si="4"/>
        <v/>
      </c>
    </row>
    <row r="984" spans="19:25">
      <c r="S984" t="str">
        <f t="shared" si="0"/>
        <v/>
      </c>
      <c r="T984" t="str">
        <f t="shared" si="1"/>
        <v/>
      </c>
      <c r="U984" t="str">
        <f t="shared" si="2"/>
        <v/>
      </c>
      <c r="V984" t="str">
        <f>IF(OR(U984="",U984="ERRO_CHAVE"),"",IFERROR(MATCH(U984,Fornecedores!$AF$1:$AF$6631,0),""))</f>
        <v/>
      </c>
      <c r="W984" t="str">
        <f t="shared" si="3"/>
        <v/>
      </c>
      <c r="X984" s="4" t="str">
        <f>IF(V984="","",INDEX(Fornecedores!$X$1:$X$6631,V984))</f>
        <v/>
      </c>
      <c r="Y984" s="4" t="str">
        <f t="shared" si="4"/>
        <v/>
      </c>
    </row>
    <row r="985" spans="19:25">
      <c r="S985" t="str">
        <f t="shared" si="0"/>
        <v/>
      </c>
      <c r="T985" t="str">
        <f t="shared" si="1"/>
        <v/>
      </c>
      <c r="U985" t="str">
        <f t="shared" si="2"/>
        <v/>
      </c>
      <c r="V985" t="str">
        <f>IF(OR(U985="",U985="ERRO_CHAVE"),"",IFERROR(MATCH(U985,Fornecedores!$AF$1:$AF$6631,0),""))</f>
        <v/>
      </c>
      <c r="W985" t="str">
        <f t="shared" si="3"/>
        <v/>
      </c>
      <c r="X985" s="4" t="str">
        <f>IF(V985="","",INDEX(Fornecedores!$X$1:$X$6631,V985))</f>
        <v/>
      </c>
      <c r="Y985" s="4" t="str">
        <f t="shared" si="4"/>
        <v/>
      </c>
    </row>
    <row r="986" spans="19:25">
      <c r="S986" t="str">
        <f t="shared" si="0"/>
        <v/>
      </c>
      <c r="T986" t="str">
        <f t="shared" si="1"/>
        <v/>
      </c>
      <c r="U986" t="str">
        <f t="shared" si="2"/>
        <v/>
      </c>
      <c r="V986" t="str">
        <f>IF(OR(U986="",U986="ERRO_CHAVE"),"",IFERROR(MATCH(U986,Fornecedores!$AF$1:$AF$6631,0),""))</f>
        <v/>
      </c>
      <c r="W986" t="str">
        <f t="shared" si="3"/>
        <v/>
      </c>
      <c r="X986" s="4" t="str">
        <f>IF(V986="","",INDEX(Fornecedores!$X$1:$X$6631,V986))</f>
        <v/>
      </c>
      <c r="Y986" s="4" t="str">
        <f t="shared" si="4"/>
        <v/>
      </c>
    </row>
    <row r="987" spans="19:25">
      <c r="S987" t="str">
        <f t="shared" si="0"/>
        <v/>
      </c>
      <c r="T987" t="str">
        <f t="shared" si="1"/>
        <v/>
      </c>
      <c r="U987" t="str">
        <f t="shared" si="2"/>
        <v/>
      </c>
      <c r="V987" t="str">
        <f>IF(OR(U987="",U987="ERRO_CHAVE"),"",IFERROR(MATCH(U987,Fornecedores!$AF$1:$AF$6631,0),""))</f>
        <v/>
      </c>
      <c r="W987" t="str">
        <f t="shared" si="3"/>
        <v/>
      </c>
      <c r="X987" s="4" t="str">
        <f>IF(V987="","",INDEX(Fornecedores!$X$1:$X$6631,V987))</f>
        <v/>
      </c>
      <c r="Y987" s="4" t="str">
        <f t="shared" si="4"/>
        <v/>
      </c>
    </row>
    <row r="988" spans="19:25">
      <c r="S988" t="str">
        <f t="shared" si="0"/>
        <v/>
      </c>
      <c r="T988" t="str">
        <f t="shared" si="1"/>
        <v/>
      </c>
      <c r="U988" t="str">
        <f t="shared" si="2"/>
        <v/>
      </c>
      <c r="V988" t="str">
        <f>IF(OR(U988="",U988="ERRO_CHAVE"),"",IFERROR(MATCH(U988,Fornecedores!$AF$1:$AF$6631,0),""))</f>
        <v/>
      </c>
      <c r="W988" t="str">
        <f t="shared" si="3"/>
        <v/>
      </c>
      <c r="X988" s="4" t="str">
        <f>IF(V988="","",INDEX(Fornecedores!$X$1:$X$6631,V988))</f>
        <v/>
      </c>
      <c r="Y988" s="4" t="str">
        <f t="shared" si="4"/>
        <v/>
      </c>
    </row>
    <row r="989" spans="19:25">
      <c r="S989" t="str">
        <f t="shared" si="0"/>
        <v/>
      </c>
      <c r="T989" t="str">
        <f t="shared" si="1"/>
        <v/>
      </c>
      <c r="U989" t="str">
        <f t="shared" si="2"/>
        <v/>
      </c>
      <c r="V989" t="str">
        <f>IF(OR(U989="",U989="ERRO_CHAVE"),"",IFERROR(MATCH(U989,Fornecedores!$AF$1:$AF$6631,0),""))</f>
        <v/>
      </c>
      <c r="W989" t="str">
        <f t="shared" si="3"/>
        <v/>
      </c>
      <c r="X989" s="4" t="str">
        <f>IF(V989="","",INDEX(Fornecedores!$X$1:$X$6631,V989))</f>
        <v/>
      </c>
      <c r="Y989" s="4" t="str">
        <f t="shared" si="4"/>
        <v/>
      </c>
    </row>
    <row r="990" spans="19:25">
      <c r="S990" t="str">
        <f t="shared" si="0"/>
        <v/>
      </c>
      <c r="T990" t="str">
        <f t="shared" si="1"/>
        <v/>
      </c>
      <c r="U990" t="str">
        <f t="shared" si="2"/>
        <v/>
      </c>
      <c r="V990" t="str">
        <f>IF(OR(U990="",U990="ERRO_CHAVE"),"",IFERROR(MATCH(U990,Fornecedores!$AF$1:$AF$6631,0),""))</f>
        <v/>
      </c>
      <c r="W990" t="str">
        <f t="shared" si="3"/>
        <v/>
      </c>
      <c r="X990" s="4" t="str">
        <f>IF(V990="","",INDEX(Fornecedores!$X$1:$X$6631,V990))</f>
        <v/>
      </c>
      <c r="Y990" s="4" t="str">
        <f t="shared" si="4"/>
        <v/>
      </c>
    </row>
    <row r="991" spans="19:25">
      <c r="S991" t="str">
        <f t="shared" si="0"/>
        <v/>
      </c>
      <c r="T991" t="str">
        <f t="shared" si="1"/>
        <v/>
      </c>
      <c r="U991" t="str">
        <f t="shared" si="2"/>
        <v/>
      </c>
      <c r="V991" t="str">
        <f>IF(OR(U991="",U991="ERRO_CHAVE"),"",IFERROR(MATCH(U991,Fornecedores!$AF$1:$AF$6631,0),""))</f>
        <v/>
      </c>
      <c r="W991" t="str">
        <f t="shared" si="3"/>
        <v/>
      </c>
      <c r="X991" s="4" t="str">
        <f>IF(V991="","",INDEX(Fornecedores!$X$1:$X$6631,V991))</f>
        <v/>
      </c>
      <c r="Y991" s="4" t="str">
        <f t="shared" si="4"/>
        <v/>
      </c>
    </row>
    <row r="992" spans="19:25">
      <c r="S992" t="str">
        <f t="shared" si="0"/>
        <v/>
      </c>
      <c r="T992" t="str">
        <f t="shared" si="1"/>
        <v/>
      </c>
      <c r="U992" t="str">
        <f t="shared" si="2"/>
        <v/>
      </c>
      <c r="V992" t="str">
        <f>IF(OR(U992="",U992="ERRO_CHAVE"),"",IFERROR(MATCH(U992,Fornecedores!$AF$1:$AF$6631,0),""))</f>
        <v/>
      </c>
      <c r="W992" t="str">
        <f t="shared" si="3"/>
        <v/>
      </c>
      <c r="X992" s="4" t="str">
        <f>IF(V992="","",INDEX(Fornecedores!$X$1:$X$6631,V992))</f>
        <v/>
      </c>
      <c r="Y992" s="4" t="str">
        <f t="shared" si="4"/>
        <v/>
      </c>
    </row>
    <row r="993" spans="19:25">
      <c r="S993" t="str">
        <f t="shared" si="0"/>
        <v/>
      </c>
      <c r="T993" t="str">
        <f t="shared" si="1"/>
        <v/>
      </c>
      <c r="U993" t="str">
        <f t="shared" si="2"/>
        <v/>
      </c>
      <c r="V993" t="str">
        <f>IF(OR(U993="",U993="ERRO_CHAVE"),"",IFERROR(MATCH(U993,Fornecedores!$AF$1:$AF$6631,0),""))</f>
        <v/>
      </c>
      <c r="W993" t="str">
        <f t="shared" si="3"/>
        <v/>
      </c>
      <c r="X993" s="4" t="str">
        <f>IF(V993="","",INDEX(Fornecedores!$X$1:$X$6631,V993))</f>
        <v/>
      </c>
      <c r="Y993" s="4" t="str">
        <f t="shared" si="4"/>
        <v/>
      </c>
    </row>
    <row r="994" spans="19:25">
      <c r="S994" t="str">
        <f t="shared" si="0"/>
        <v/>
      </c>
      <c r="T994" t="str">
        <f t="shared" si="1"/>
        <v/>
      </c>
      <c r="U994" t="str">
        <f t="shared" si="2"/>
        <v/>
      </c>
      <c r="V994" t="str">
        <f>IF(OR(U994="",U994="ERRO_CHAVE"),"",IFERROR(MATCH(U994,Fornecedores!$AF$1:$AF$6631,0),""))</f>
        <v/>
      </c>
      <c r="W994" t="str">
        <f t="shared" si="3"/>
        <v/>
      </c>
      <c r="X994" s="4" t="str">
        <f>IF(V994="","",INDEX(Fornecedores!$X$1:$X$6631,V994))</f>
        <v/>
      </c>
      <c r="Y994" s="4" t="str">
        <f t="shared" si="4"/>
        <v/>
      </c>
    </row>
    <row r="995" spans="19:25">
      <c r="S995" t="str">
        <f t="shared" si="0"/>
        <v/>
      </c>
      <c r="T995" t="str">
        <f t="shared" si="1"/>
        <v/>
      </c>
      <c r="U995" t="str">
        <f t="shared" si="2"/>
        <v/>
      </c>
      <c r="V995" t="str">
        <f>IF(OR(U995="",U995="ERRO_CHAVE"),"",IFERROR(MATCH(U995,Fornecedores!$AF$1:$AF$6631,0),""))</f>
        <v/>
      </c>
      <c r="W995" t="str">
        <f t="shared" si="3"/>
        <v/>
      </c>
      <c r="X995" s="4" t="str">
        <f>IF(V995="","",INDEX(Fornecedores!$X$1:$X$6631,V995))</f>
        <v/>
      </c>
      <c r="Y995" s="4" t="str">
        <f t="shared" si="4"/>
        <v/>
      </c>
    </row>
    <row r="996" spans="19:25">
      <c r="S996" t="str">
        <f t="shared" si="0"/>
        <v/>
      </c>
      <c r="T996" t="str">
        <f t="shared" si="1"/>
        <v/>
      </c>
      <c r="U996" t="str">
        <f t="shared" si="2"/>
        <v/>
      </c>
      <c r="V996" t="str">
        <f>IF(OR(U996="",U996="ERRO_CHAVE"),"",IFERROR(MATCH(U996,Fornecedores!$AF$1:$AF$6631,0),""))</f>
        <v/>
      </c>
      <c r="W996" t="str">
        <f t="shared" si="3"/>
        <v/>
      </c>
      <c r="X996" s="4" t="str">
        <f>IF(V996="","",INDEX(Fornecedores!$X$1:$X$6631,V996))</f>
        <v/>
      </c>
      <c r="Y996" s="4" t="str">
        <f t="shared" si="4"/>
        <v/>
      </c>
    </row>
    <row r="997" spans="19:25">
      <c r="S997" t="str">
        <f t="shared" si="0"/>
        <v/>
      </c>
      <c r="T997" t="str">
        <f t="shared" si="1"/>
        <v/>
      </c>
      <c r="U997" t="str">
        <f t="shared" si="2"/>
        <v/>
      </c>
      <c r="V997" t="str">
        <f>IF(OR(U997="",U997="ERRO_CHAVE"),"",IFERROR(MATCH(U997,Fornecedores!$AF$1:$AF$6631,0),""))</f>
        <v/>
      </c>
      <c r="W997" t="str">
        <f t="shared" si="3"/>
        <v/>
      </c>
      <c r="X997" s="4" t="str">
        <f>IF(V997="","",INDEX(Fornecedores!$X$1:$X$6631,V997))</f>
        <v/>
      </c>
      <c r="Y997" s="4" t="str">
        <f t="shared" si="4"/>
        <v/>
      </c>
    </row>
    <row r="998" spans="19:25">
      <c r="S998" t="str">
        <f t="shared" si="0"/>
        <v/>
      </c>
      <c r="T998" t="str">
        <f t="shared" si="1"/>
        <v/>
      </c>
      <c r="U998" t="str">
        <f t="shared" si="2"/>
        <v/>
      </c>
      <c r="V998" t="str">
        <f>IF(OR(U998="",U998="ERRO_CHAVE"),"",IFERROR(MATCH(U998,Fornecedores!$AF$1:$AF$6631,0),""))</f>
        <v/>
      </c>
      <c r="W998" t="str">
        <f t="shared" si="3"/>
        <v/>
      </c>
      <c r="X998" s="4" t="str">
        <f>IF(V998="","",INDEX(Fornecedores!$X$1:$X$6631,V998))</f>
        <v/>
      </c>
      <c r="Y998" s="4" t="str">
        <f t="shared" si="4"/>
        <v/>
      </c>
    </row>
    <row r="999" spans="19:25">
      <c r="S999" t="str">
        <f t="shared" si="0"/>
        <v/>
      </c>
      <c r="T999" t="str">
        <f t="shared" si="1"/>
        <v/>
      </c>
      <c r="U999" t="str">
        <f t="shared" si="2"/>
        <v/>
      </c>
      <c r="V999" t="str">
        <f>IF(OR(U999="",U999="ERRO_CHAVE"),"",IFERROR(MATCH(U999,Fornecedores!$AF$1:$AF$6631,0),""))</f>
        <v/>
      </c>
      <c r="W999" t="str">
        <f t="shared" si="3"/>
        <v/>
      </c>
      <c r="X999" s="4" t="str">
        <f>IF(V999="","",INDEX(Fornecedores!$X$1:$X$6631,V999))</f>
        <v/>
      </c>
      <c r="Y999" s="4" t="str">
        <f t="shared" si="4"/>
        <v/>
      </c>
    </row>
    <row r="1000" spans="19:25">
      <c r="S1000" t="str">
        <f t="shared" si="0"/>
        <v/>
      </c>
      <c r="T1000" t="str">
        <f t="shared" si="1"/>
        <v/>
      </c>
      <c r="U1000" t="str">
        <f t="shared" si="2"/>
        <v/>
      </c>
      <c r="V1000" t="str">
        <f>IF(OR(U1000="",U1000="ERRO_CHAVE"),"",IFERROR(MATCH(U1000,Fornecedores!$AF$1:$AF$6631,0),""))</f>
        <v/>
      </c>
      <c r="W1000" t="str">
        <f t="shared" si="3"/>
        <v/>
      </c>
      <c r="X1000" s="4" t="str">
        <f>IF(V1000="","",INDEX(Fornecedores!$X$1:$X$6631,V1000))</f>
        <v/>
      </c>
      <c r="Y1000" s="4" t="str">
        <f t="shared" si="4"/>
        <v/>
      </c>
    </row>
    <row r="1001" spans="19:25">
      <c r="S1001" t="str">
        <f t="shared" si="0"/>
        <v/>
      </c>
      <c r="T1001" t="str">
        <f t="shared" si="1"/>
        <v/>
      </c>
      <c r="U1001" t="str">
        <f t="shared" si="2"/>
        <v/>
      </c>
      <c r="V1001" t="str">
        <f>IF(OR(U1001="",U1001="ERRO_CHAVE"),"",IFERROR(MATCH(U1001,Fornecedores!$AF$1:$AF$6631,0),""))</f>
        <v/>
      </c>
      <c r="W1001" t="str">
        <f t="shared" si="3"/>
        <v/>
      </c>
      <c r="X1001" s="4" t="str">
        <f>IF(V1001="","",INDEX(Fornecedores!$X$1:$X$6631,V1001))</f>
        <v/>
      </c>
      <c r="Y1001" s="4" t="str">
        <f t="shared" si="4"/>
        <v/>
      </c>
    </row>
    <row r="1002" spans="19:25">
      <c r="S1002" t="str">
        <f t="shared" si="0"/>
        <v/>
      </c>
      <c r="T1002" t="str">
        <f t="shared" si="1"/>
        <v/>
      </c>
      <c r="U1002" t="str">
        <f t="shared" si="2"/>
        <v/>
      </c>
      <c r="V1002" t="str">
        <f>IF(OR(U1002="",U1002="ERRO_CHAVE"),"",IFERROR(MATCH(U1002,Fornecedores!$AF$1:$AF$6631,0),""))</f>
        <v/>
      </c>
      <c r="W1002" t="str">
        <f t="shared" si="3"/>
        <v/>
      </c>
      <c r="X1002" s="4" t="str">
        <f>IF(V1002="","",INDEX(Fornecedores!$X$1:$X$6631,V1002))</f>
        <v/>
      </c>
      <c r="Y1002" s="4" t="str">
        <f t="shared" si="4"/>
        <v/>
      </c>
    </row>
    <row r="1003" spans="19:25">
      <c r="S1003" t="str">
        <f t="shared" si="0"/>
        <v/>
      </c>
      <c r="T1003" t="str">
        <f t="shared" si="1"/>
        <v/>
      </c>
      <c r="U1003" t="str">
        <f t="shared" si="2"/>
        <v/>
      </c>
      <c r="V1003" t="str">
        <f>IF(OR(U1003="",U1003="ERRO_CHAVE"),"",IFERROR(MATCH(U1003,Fornecedores!$AF$1:$AF$6631,0),""))</f>
        <v/>
      </c>
      <c r="W1003" t="str">
        <f t="shared" si="3"/>
        <v/>
      </c>
      <c r="X1003" s="4" t="str">
        <f>IF(V1003="","",INDEX(Fornecedores!$X$1:$X$6631,V1003))</f>
        <v/>
      </c>
      <c r="Y1003" s="4" t="str">
        <f t="shared" si="4"/>
        <v/>
      </c>
    </row>
    <row r="1004" spans="19:25">
      <c r="S1004" t="str">
        <f t="shared" si="0"/>
        <v/>
      </c>
      <c r="T1004" t="str">
        <f t="shared" si="1"/>
        <v/>
      </c>
      <c r="U1004" t="str">
        <f t="shared" si="2"/>
        <v/>
      </c>
      <c r="V1004" t="str">
        <f>IF(OR(U1004="",U1004="ERRO_CHAVE"),"",IFERROR(MATCH(U1004,Fornecedores!$AF$1:$AF$6631,0),""))</f>
        <v/>
      </c>
      <c r="W1004" t="str">
        <f t="shared" si="3"/>
        <v/>
      </c>
      <c r="X1004" s="4" t="str">
        <f>IF(V1004="","",INDEX(Fornecedores!$X$1:$X$6631,V1004))</f>
        <v/>
      </c>
      <c r="Y1004" s="4" t="str">
        <f t="shared" si="4"/>
        <v/>
      </c>
    </row>
    <row r="1005" spans="19:25">
      <c r="S1005" t="str">
        <f t="shared" si="0"/>
        <v/>
      </c>
      <c r="T1005" t="str">
        <f t="shared" si="1"/>
        <v/>
      </c>
      <c r="U1005" t="str">
        <f t="shared" si="2"/>
        <v/>
      </c>
      <c r="V1005" t="str">
        <f>IF(OR(U1005="",U1005="ERRO_CHAVE"),"",IFERROR(MATCH(U1005,Fornecedores!$AF$1:$AF$6631,0),""))</f>
        <v/>
      </c>
      <c r="W1005" t="str">
        <f t="shared" si="3"/>
        <v/>
      </c>
      <c r="X1005" s="4" t="str">
        <f>IF(V1005="","",INDEX(Fornecedores!$X$1:$X$6631,V1005))</f>
        <v/>
      </c>
      <c r="Y1005" s="4" t="str">
        <f t="shared" si="4"/>
        <v/>
      </c>
    </row>
    <row r="1006" spans="19:25">
      <c r="S1006" t="str">
        <f t="shared" si="0"/>
        <v/>
      </c>
      <c r="T1006" t="str">
        <f t="shared" si="1"/>
        <v/>
      </c>
      <c r="U1006" t="str">
        <f t="shared" si="2"/>
        <v/>
      </c>
      <c r="V1006" t="str">
        <f>IF(OR(U1006="",U1006="ERRO_CHAVE"),"",IFERROR(MATCH(U1006,Fornecedores!$AF$1:$AF$6631,0),""))</f>
        <v/>
      </c>
      <c r="W1006" t="str">
        <f t="shared" si="3"/>
        <v/>
      </c>
      <c r="X1006" s="4" t="str">
        <f>IF(V1006="","",INDEX(Fornecedores!$X$1:$X$6631,V1006))</f>
        <v/>
      </c>
      <c r="Y1006" s="4" t="str">
        <f t="shared" si="4"/>
        <v/>
      </c>
    </row>
    <row r="1007" spans="19:25">
      <c r="S1007" t="str">
        <f t="shared" si="0"/>
        <v/>
      </c>
      <c r="T1007" t="str">
        <f t="shared" si="1"/>
        <v/>
      </c>
      <c r="U1007" t="str">
        <f t="shared" si="2"/>
        <v/>
      </c>
      <c r="V1007" t="str">
        <f>IF(OR(U1007="",U1007="ERRO_CHAVE"),"",IFERROR(MATCH(U1007,Fornecedores!$AF$1:$AF$6631,0),""))</f>
        <v/>
      </c>
      <c r="W1007" t="str">
        <f t="shared" si="3"/>
        <v/>
      </c>
      <c r="X1007" s="4" t="str">
        <f>IF(V1007="","",INDEX(Fornecedores!$X$1:$X$6631,V1007))</f>
        <v/>
      </c>
      <c r="Y1007" s="4" t="str">
        <f t="shared" si="4"/>
        <v/>
      </c>
    </row>
    <row r="1008" spans="19:25">
      <c r="S1008" t="str">
        <f t="shared" si="0"/>
        <v/>
      </c>
      <c r="T1008" t="str">
        <f t="shared" si="1"/>
        <v/>
      </c>
      <c r="U1008" t="str">
        <f t="shared" si="2"/>
        <v/>
      </c>
      <c r="V1008" t="str">
        <f>IF(OR(U1008="",U1008="ERRO_CHAVE"),"",IFERROR(MATCH(U1008,Fornecedores!$AF$1:$AF$6631,0),""))</f>
        <v/>
      </c>
      <c r="W1008" t="str">
        <f t="shared" si="3"/>
        <v/>
      </c>
      <c r="X1008" s="4" t="str">
        <f>IF(V1008="","",INDEX(Fornecedores!$X$1:$X$6631,V1008))</f>
        <v/>
      </c>
      <c r="Y1008" s="4" t="str">
        <f t="shared" si="4"/>
        <v/>
      </c>
    </row>
    <row r="1009" spans="19:25">
      <c r="S1009" t="str">
        <f t="shared" si="0"/>
        <v/>
      </c>
      <c r="T1009" t="str">
        <f t="shared" si="1"/>
        <v/>
      </c>
      <c r="U1009" t="str">
        <f t="shared" si="2"/>
        <v/>
      </c>
      <c r="V1009" t="str">
        <f>IF(OR(U1009="",U1009="ERRO_CHAVE"),"",IFERROR(MATCH(U1009,Fornecedores!$AF$1:$AF$6631,0),""))</f>
        <v/>
      </c>
      <c r="W1009" t="str">
        <f t="shared" si="3"/>
        <v/>
      </c>
      <c r="X1009" s="4" t="str">
        <f>IF(V1009="","",INDEX(Fornecedores!$X$1:$X$6631,V1009))</f>
        <v/>
      </c>
      <c r="Y1009" s="4" t="str">
        <f t="shared" si="4"/>
        <v/>
      </c>
    </row>
    <row r="1010" spans="19:25">
      <c r="S1010" t="str">
        <f t="shared" si="0"/>
        <v/>
      </c>
      <c r="T1010" t="str">
        <f t="shared" si="1"/>
        <v/>
      </c>
      <c r="U1010" t="str">
        <f t="shared" si="2"/>
        <v/>
      </c>
      <c r="V1010" t="str">
        <f>IF(OR(U1010="",U1010="ERRO_CHAVE"),"",IFERROR(MATCH(U1010,Fornecedores!$AF$1:$AF$6631,0),""))</f>
        <v/>
      </c>
      <c r="W1010" t="str">
        <f t="shared" si="3"/>
        <v/>
      </c>
      <c r="X1010" s="4" t="str">
        <f>IF(V1010="","",INDEX(Fornecedores!$X$1:$X$6631,V1010))</f>
        <v/>
      </c>
      <c r="Y1010" s="4" t="str">
        <f t="shared" si="4"/>
        <v/>
      </c>
    </row>
    <row r="1011" spans="19:25">
      <c r="S1011" t="str">
        <f t="shared" si="0"/>
        <v/>
      </c>
      <c r="T1011" t="str">
        <f t="shared" si="1"/>
        <v/>
      </c>
      <c r="U1011" t="str">
        <f t="shared" si="2"/>
        <v/>
      </c>
      <c r="V1011" t="str">
        <f>IF(OR(U1011="",U1011="ERRO_CHAVE"),"",IFERROR(MATCH(U1011,Fornecedores!$AF$1:$AF$6631,0),""))</f>
        <v/>
      </c>
      <c r="W1011" t="str">
        <f t="shared" si="3"/>
        <v/>
      </c>
      <c r="X1011" s="4" t="str">
        <f>IF(V1011="","",INDEX(Fornecedores!$X$1:$X$6631,V1011))</f>
        <v/>
      </c>
      <c r="Y1011" s="4" t="str">
        <f t="shared" si="4"/>
        <v/>
      </c>
    </row>
    <row r="1012" spans="19:25">
      <c r="S1012" t="str">
        <f t="shared" si="0"/>
        <v/>
      </c>
      <c r="T1012" t="str">
        <f t="shared" si="1"/>
        <v/>
      </c>
      <c r="U1012" t="str">
        <f t="shared" si="2"/>
        <v/>
      </c>
      <c r="V1012" t="str">
        <f>IF(OR(U1012="",U1012="ERRO_CHAVE"),"",IFERROR(MATCH(U1012,Fornecedores!$AF$1:$AF$6631,0),""))</f>
        <v/>
      </c>
      <c r="W1012" t="str">
        <f t="shared" si="3"/>
        <v/>
      </c>
      <c r="X1012" s="4" t="str">
        <f>IF(V1012="","",INDEX(Fornecedores!$X$1:$X$6631,V1012))</f>
        <v/>
      </c>
      <c r="Y1012" s="4" t="str">
        <f t="shared" si="4"/>
        <v/>
      </c>
    </row>
    <row r="1013" spans="19:25">
      <c r="S1013" t="str">
        <f t="shared" si="0"/>
        <v/>
      </c>
      <c r="T1013" t="str">
        <f t="shared" si="1"/>
        <v/>
      </c>
      <c r="U1013" t="str">
        <f t="shared" si="2"/>
        <v/>
      </c>
      <c r="V1013" t="str">
        <f>IF(OR(U1013="",U1013="ERRO_CHAVE"),"",IFERROR(MATCH(U1013,Fornecedores!$AF$1:$AF$6631,0),""))</f>
        <v/>
      </c>
      <c r="W1013" t="str">
        <f t="shared" si="3"/>
        <v/>
      </c>
      <c r="X1013" s="4" t="str">
        <f>IF(V1013="","",INDEX(Fornecedores!$X$1:$X$6631,V1013))</f>
        <v/>
      </c>
      <c r="Y1013" s="4" t="str">
        <f t="shared" si="4"/>
        <v/>
      </c>
    </row>
    <row r="1014" spans="19:25">
      <c r="S1014" t="str">
        <f t="shared" si="0"/>
        <v/>
      </c>
      <c r="T1014" t="str">
        <f t="shared" si="1"/>
        <v/>
      </c>
      <c r="U1014" t="str">
        <f t="shared" si="2"/>
        <v/>
      </c>
      <c r="V1014" t="str">
        <f>IF(OR(U1014="",U1014="ERRO_CHAVE"),"",IFERROR(MATCH(U1014,Fornecedores!$AF$1:$AF$6631,0),""))</f>
        <v/>
      </c>
      <c r="W1014" t="str">
        <f t="shared" si="3"/>
        <v/>
      </c>
      <c r="X1014" s="4" t="str">
        <f>IF(V1014="","",INDEX(Fornecedores!$X$1:$X$6631,V1014))</f>
        <v/>
      </c>
      <c r="Y1014" s="4" t="str">
        <f t="shared" si="4"/>
        <v/>
      </c>
    </row>
    <row r="1015" spans="19:25">
      <c r="S1015" t="str">
        <f t="shared" si="0"/>
        <v/>
      </c>
      <c r="T1015" t="str">
        <f t="shared" si="1"/>
        <v/>
      </c>
      <c r="U1015" t="str">
        <f t="shared" si="2"/>
        <v/>
      </c>
      <c r="V1015" t="str">
        <f>IF(OR(U1015="",U1015="ERRO_CHAVE"),"",IFERROR(MATCH(U1015,Fornecedores!$AF$1:$AF$6631,0),""))</f>
        <v/>
      </c>
      <c r="W1015" t="str">
        <f t="shared" si="3"/>
        <v/>
      </c>
      <c r="X1015" s="4" t="str">
        <f>IF(V1015="","",INDEX(Fornecedores!$X$1:$X$6631,V1015))</f>
        <v/>
      </c>
      <c r="Y1015" s="4" t="str">
        <f t="shared" si="4"/>
        <v/>
      </c>
    </row>
    <row r="1016" spans="19:25">
      <c r="S1016" t="str">
        <f t="shared" si="0"/>
        <v/>
      </c>
      <c r="T1016" t="str">
        <f t="shared" si="1"/>
        <v/>
      </c>
      <c r="U1016" t="str">
        <f t="shared" si="2"/>
        <v/>
      </c>
      <c r="V1016" t="str">
        <f>IF(OR(U1016="",U1016="ERRO_CHAVE"),"",IFERROR(MATCH(U1016,Fornecedores!$AF$1:$AF$6631,0),""))</f>
        <v/>
      </c>
      <c r="W1016" t="str">
        <f t="shared" si="3"/>
        <v/>
      </c>
      <c r="X1016" s="4" t="str">
        <f>IF(V1016="","",INDEX(Fornecedores!$X$1:$X$6631,V1016))</f>
        <v/>
      </c>
      <c r="Y1016" s="4" t="str">
        <f t="shared" si="4"/>
        <v/>
      </c>
    </row>
    <row r="1017" spans="19:25">
      <c r="S1017" t="str">
        <f t="shared" si="0"/>
        <v/>
      </c>
      <c r="T1017" t="str">
        <f t="shared" si="1"/>
        <v/>
      </c>
      <c r="U1017" t="str">
        <f t="shared" si="2"/>
        <v/>
      </c>
      <c r="V1017" t="str">
        <f>IF(OR(U1017="",U1017="ERRO_CHAVE"),"",IFERROR(MATCH(U1017,Fornecedores!$AF$1:$AF$6631,0),""))</f>
        <v/>
      </c>
      <c r="W1017" t="str">
        <f t="shared" si="3"/>
        <v/>
      </c>
      <c r="X1017" s="4" t="str">
        <f>IF(V1017="","",INDEX(Fornecedores!$X$1:$X$6631,V1017))</f>
        <v/>
      </c>
      <c r="Y1017" s="4" t="str">
        <f t="shared" si="4"/>
        <v/>
      </c>
    </row>
    <row r="1018" spans="19:25">
      <c r="S1018" t="str">
        <f t="shared" si="0"/>
        <v/>
      </c>
      <c r="T1018" t="str">
        <f t="shared" si="1"/>
        <v/>
      </c>
      <c r="U1018" t="str">
        <f t="shared" si="2"/>
        <v/>
      </c>
      <c r="V1018" t="str">
        <f>IF(OR(U1018="",U1018="ERRO_CHAVE"),"",IFERROR(MATCH(U1018,Fornecedores!$AF$1:$AF$6631,0),""))</f>
        <v/>
      </c>
      <c r="W1018" t="str">
        <f t="shared" si="3"/>
        <v/>
      </c>
      <c r="X1018" s="4" t="str">
        <f>IF(V1018="","",INDEX(Fornecedores!$X$1:$X$6631,V1018))</f>
        <v/>
      </c>
      <c r="Y1018" s="4" t="str">
        <f t="shared" si="4"/>
        <v/>
      </c>
    </row>
    <row r="1019" spans="19:25">
      <c r="S1019" t="str">
        <f t="shared" si="0"/>
        <v/>
      </c>
      <c r="T1019" t="str">
        <f t="shared" si="1"/>
        <v/>
      </c>
      <c r="U1019" t="str">
        <f t="shared" si="2"/>
        <v/>
      </c>
      <c r="V1019" t="str">
        <f>IF(OR(U1019="",U1019="ERRO_CHAVE"),"",IFERROR(MATCH(U1019,Fornecedores!$AF$1:$AF$6631,0),""))</f>
        <v/>
      </c>
      <c r="W1019" t="str">
        <f t="shared" si="3"/>
        <v/>
      </c>
      <c r="X1019" s="4" t="str">
        <f>IF(V1019="","",INDEX(Fornecedores!$X$1:$X$6631,V1019))</f>
        <v/>
      </c>
      <c r="Y1019" s="4" t="str">
        <f t="shared" si="4"/>
        <v/>
      </c>
    </row>
    <row r="1020" spans="19:25">
      <c r="S1020" t="str">
        <f t="shared" si="0"/>
        <v/>
      </c>
      <c r="T1020" t="str">
        <f t="shared" si="1"/>
        <v/>
      </c>
      <c r="U1020" t="str">
        <f t="shared" si="2"/>
        <v/>
      </c>
      <c r="V1020" t="str">
        <f>IF(OR(U1020="",U1020="ERRO_CHAVE"),"",IFERROR(MATCH(U1020,Fornecedores!$AF$1:$AF$6631,0),""))</f>
        <v/>
      </c>
      <c r="W1020" t="str">
        <f t="shared" si="3"/>
        <v/>
      </c>
      <c r="X1020" s="4" t="str">
        <f>IF(V1020="","",INDEX(Fornecedores!$X$1:$X$6631,V1020))</f>
        <v/>
      </c>
      <c r="Y1020" s="4" t="str">
        <f t="shared" si="4"/>
        <v/>
      </c>
    </row>
    <row r="1021" spans="19:25">
      <c r="S1021" t="str">
        <f t="shared" si="0"/>
        <v/>
      </c>
      <c r="T1021" t="str">
        <f t="shared" si="1"/>
        <v/>
      </c>
      <c r="U1021" t="str">
        <f t="shared" si="2"/>
        <v/>
      </c>
      <c r="V1021" t="str">
        <f>IF(OR(U1021="",U1021="ERRO_CHAVE"),"",IFERROR(MATCH(U1021,Fornecedores!$AF$1:$AF$6631,0),""))</f>
        <v/>
      </c>
      <c r="W1021" t="str">
        <f t="shared" si="3"/>
        <v/>
      </c>
      <c r="X1021" s="4" t="str">
        <f>IF(V1021="","",INDEX(Fornecedores!$X$1:$X$6631,V1021))</f>
        <v/>
      </c>
      <c r="Y1021" s="4" t="str">
        <f t="shared" si="4"/>
        <v/>
      </c>
    </row>
    <row r="1022" spans="19:25">
      <c r="S1022" t="str">
        <f t="shared" si="0"/>
        <v/>
      </c>
      <c r="T1022" t="str">
        <f t="shared" si="1"/>
        <v/>
      </c>
      <c r="U1022" t="str">
        <f t="shared" si="2"/>
        <v/>
      </c>
      <c r="V1022" t="str">
        <f>IF(OR(U1022="",U1022="ERRO_CHAVE"),"",IFERROR(MATCH(U1022,Fornecedores!$AF$1:$AF$6631,0),""))</f>
        <v/>
      </c>
      <c r="W1022" t="str">
        <f t="shared" si="3"/>
        <v/>
      </c>
      <c r="X1022" s="4" t="str">
        <f>IF(V1022="","",INDEX(Fornecedores!$X$1:$X$6631,V1022))</f>
        <v/>
      </c>
      <c r="Y1022" s="4" t="str">
        <f t="shared" si="4"/>
        <v/>
      </c>
    </row>
    <row r="1023" spans="19:25">
      <c r="S1023" t="str">
        <f t="shared" si="0"/>
        <v/>
      </c>
      <c r="T1023" t="str">
        <f t="shared" si="1"/>
        <v/>
      </c>
      <c r="U1023" t="str">
        <f t="shared" si="2"/>
        <v/>
      </c>
      <c r="V1023" t="str">
        <f>IF(OR(U1023="",U1023="ERRO_CHAVE"),"",IFERROR(MATCH(U1023,Fornecedores!$AF$1:$AF$6631,0),""))</f>
        <v/>
      </c>
      <c r="W1023" t="str">
        <f t="shared" si="3"/>
        <v/>
      </c>
      <c r="X1023" s="4" t="str">
        <f>IF(V1023="","",INDEX(Fornecedores!$X$1:$X$6631,V1023))</f>
        <v/>
      </c>
      <c r="Y1023" s="4" t="str">
        <f t="shared" si="4"/>
        <v/>
      </c>
    </row>
    <row r="1024" spans="19:25">
      <c r="S1024" t="str">
        <f t="shared" si="0"/>
        <v/>
      </c>
      <c r="T1024" t="str">
        <f t="shared" si="1"/>
        <v/>
      </c>
      <c r="U1024" t="str">
        <f t="shared" si="2"/>
        <v/>
      </c>
      <c r="V1024" t="str">
        <f>IF(OR(U1024="",U1024="ERRO_CHAVE"),"",IFERROR(MATCH(U1024,Fornecedores!$AF$1:$AF$6631,0),""))</f>
        <v/>
      </c>
      <c r="W1024" t="str">
        <f t="shared" si="3"/>
        <v/>
      </c>
      <c r="X1024" s="4" t="str">
        <f>IF(V1024="","",INDEX(Fornecedores!$X$1:$X$6631,V1024))</f>
        <v/>
      </c>
      <c r="Y1024" s="4" t="str">
        <f t="shared" si="4"/>
        <v/>
      </c>
    </row>
    <row r="1025" spans="19:25">
      <c r="S1025" t="str">
        <f t="shared" si="0"/>
        <v/>
      </c>
      <c r="T1025" t="str">
        <f t="shared" si="1"/>
        <v/>
      </c>
      <c r="U1025" t="str">
        <f t="shared" si="2"/>
        <v/>
      </c>
      <c r="V1025" t="str">
        <f>IF(OR(U1025="",U1025="ERRO_CHAVE"),"",IFERROR(MATCH(U1025,Fornecedores!$AF$1:$AF$6631,0),""))</f>
        <v/>
      </c>
      <c r="W1025" t="str">
        <f t="shared" si="3"/>
        <v/>
      </c>
      <c r="X1025" s="4" t="str">
        <f>IF(V1025="","",INDEX(Fornecedores!$X$1:$X$6631,V1025))</f>
        <v/>
      </c>
      <c r="Y1025" s="4" t="str">
        <f t="shared" si="4"/>
        <v/>
      </c>
    </row>
    <row r="1026" spans="19:25">
      <c r="S1026" t="str">
        <f t="shared" si="0"/>
        <v/>
      </c>
      <c r="T1026" t="str">
        <f t="shared" si="1"/>
        <v/>
      </c>
      <c r="U1026" t="str">
        <f t="shared" si="2"/>
        <v/>
      </c>
      <c r="V1026" t="str">
        <f>IF(OR(U1026="",U1026="ERRO_CHAVE"),"",IFERROR(MATCH(U1026,Fornecedores!$AF$1:$AF$6631,0),""))</f>
        <v/>
      </c>
      <c r="W1026" t="str">
        <f t="shared" si="3"/>
        <v/>
      </c>
      <c r="X1026" s="4" t="str">
        <f>IF(V1026="","",INDEX(Fornecedores!$X$1:$X$6631,V1026))</f>
        <v/>
      </c>
      <c r="Y1026" s="4" t="str">
        <f t="shared" si="4"/>
        <v/>
      </c>
    </row>
    <row r="1027" spans="19:25">
      <c r="S1027" t="str">
        <f t="shared" si="0"/>
        <v/>
      </c>
      <c r="T1027" t="str">
        <f t="shared" si="1"/>
        <v/>
      </c>
      <c r="U1027" t="str">
        <f t="shared" si="2"/>
        <v/>
      </c>
      <c r="V1027" t="str">
        <f>IF(OR(U1027="",U1027="ERRO_CHAVE"),"",IFERROR(MATCH(U1027,Fornecedores!$AF$1:$AF$6631,0),""))</f>
        <v/>
      </c>
      <c r="W1027" t="str">
        <f t="shared" si="3"/>
        <v/>
      </c>
      <c r="X1027" s="4" t="str">
        <f>IF(V1027="","",INDEX(Fornecedores!$X$1:$X$6631,V1027))</f>
        <v/>
      </c>
      <c r="Y1027" s="4" t="str">
        <f t="shared" si="4"/>
        <v/>
      </c>
    </row>
    <row r="1028" spans="19:25">
      <c r="S1028" t="str">
        <f t="shared" si="0"/>
        <v/>
      </c>
      <c r="T1028" t="str">
        <f t="shared" si="1"/>
        <v/>
      </c>
      <c r="U1028" t="str">
        <f t="shared" si="2"/>
        <v/>
      </c>
      <c r="V1028" t="str">
        <f>IF(OR(U1028="",U1028="ERRO_CHAVE"),"",IFERROR(MATCH(U1028,Fornecedores!$AF$1:$AF$6631,0),""))</f>
        <v/>
      </c>
      <c r="W1028" t="str">
        <f t="shared" si="3"/>
        <v/>
      </c>
      <c r="X1028" s="4" t="str">
        <f>IF(V1028="","",INDEX(Fornecedores!$X$1:$X$6631,V1028))</f>
        <v/>
      </c>
      <c r="Y1028" s="4" t="str">
        <f t="shared" si="4"/>
        <v/>
      </c>
    </row>
    <row r="1029" spans="19:25">
      <c r="S1029" t="str">
        <f t="shared" si="0"/>
        <v/>
      </c>
      <c r="T1029" t="str">
        <f t="shared" si="1"/>
        <v/>
      </c>
      <c r="U1029" t="str">
        <f t="shared" si="2"/>
        <v/>
      </c>
      <c r="V1029" t="str">
        <f>IF(OR(U1029="",U1029="ERRO_CHAVE"),"",IFERROR(MATCH(U1029,Fornecedores!$AF$1:$AF$6631,0),""))</f>
        <v/>
      </c>
      <c r="W1029" t="str">
        <f t="shared" si="3"/>
        <v/>
      </c>
      <c r="X1029" s="4" t="str">
        <f>IF(V1029="","",INDEX(Fornecedores!$X$1:$X$6631,V1029))</f>
        <v/>
      </c>
      <c r="Y1029" s="4" t="str">
        <f t="shared" si="4"/>
        <v/>
      </c>
    </row>
    <row r="1030" spans="19:25">
      <c r="S1030" t="str">
        <f t="shared" si="0"/>
        <v/>
      </c>
      <c r="T1030" t="str">
        <f t="shared" si="1"/>
        <v/>
      </c>
      <c r="U1030" t="str">
        <f t="shared" si="2"/>
        <v/>
      </c>
      <c r="V1030" t="str">
        <f>IF(OR(U1030="",U1030="ERRO_CHAVE"),"",IFERROR(MATCH(U1030,Fornecedores!$AF$1:$AF$6631,0),""))</f>
        <v/>
      </c>
      <c r="W1030" t="str">
        <f t="shared" si="3"/>
        <v/>
      </c>
      <c r="X1030" s="4" t="str">
        <f>IF(V1030="","",INDEX(Fornecedores!$X$1:$X$6631,V1030))</f>
        <v/>
      </c>
      <c r="Y1030" s="4" t="str">
        <f t="shared" si="4"/>
        <v/>
      </c>
    </row>
    <row r="1031" spans="19:25">
      <c r="S1031" t="str">
        <f t="shared" si="0"/>
        <v/>
      </c>
      <c r="T1031" t="str">
        <f t="shared" si="1"/>
        <v/>
      </c>
      <c r="U1031" t="str">
        <f t="shared" si="2"/>
        <v/>
      </c>
      <c r="V1031" t="str">
        <f>IF(OR(U1031="",U1031="ERRO_CHAVE"),"",IFERROR(MATCH(U1031,Fornecedores!$AF$1:$AF$6631,0),""))</f>
        <v/>
      </c>
      <c r="W1031" t="str">
        <f t="shared" si="3"/>
        <v/>
      </c>
      <c r="X1031" s="4" t="str">
        <f>IF(V1031="","",INDEX(Fornecedores!$X$1:$X$6631,V1031))</f>
        <v/>
      </c>
      <c r="Y1031" s="4" t="str">
        <f t="shared" si="4"/>
        <v/>
      </c>
    </row>
    <row r="1032" spans="19:25">
      <c r="S1032" t="str">
        <f t="shared" si="0"/>
        <v/>
      </c>
      <c r="T1032" t="str">
        <f t="shared" si="1"/>
        <v/>
      </c>
      <c r="U1032" t="str">
        <f t="shared" si="2"/>
        <v/>
      </c>
      <c r="V1032" t="str">
        <f>IF(OR(U1032="",U1032="ERRO_CHAVE"),"",IFERROR(MATCH(U1032,Fornecedores!$AF$1:$AF$6631,0),""))</f>
        <v/>
      </c>
      <c r="W1032" t="str">
        <f t="shared" si="3"/>
        <v/>
      </c>
      <c r="X1032" s="4" t="str">
        <f>IF(V1032="","",INDEX(Fornecedores!$X$1:$X$6631,V1032))</f>
        <v/>
      </c>
      <c r="Y1032" s="4" t="str">
        <f t="shared" si="4"/>
        <v/>
      </c>
    </row>
    <row r="1033" spans="19:25">
      <c r="S1033" t="str">
        <f t="shared" si="0"/>
        <v/>
      </c>
      <c r="T1033" t="str">
        <f t="shared" si="1"/>
        <v/>
      </c>
      <c r="U1033" t="str">
        <f t="shared" si="2"/>
        <v/>
      </c>
      <c r="V1033" t="str">
        <f>IF(OR(U1033="",U1033="ERRO_CHAVE"),"",IFERROR(MATCH(U1033,Fornecedores!$AF$1:$AF$6631,0),""))</f>
        <v/>
      </c>
      <c r="W1033" t="str">
        <f t="shared" si="3"/>
        <v/>
      </c>
      <c r="X1033" s="4" t="str">
        <f>IF(V1033="","",INDEX(Fornecedores!$X$1:$X$6631,V1033))</f>
        <v/>
      </c>
      <c r="Y1033" s="4" t="str">
        <f t="shared" si="4"/>
        <v/>
      </c>
    </row>
    <row r="1034" spans="19:25">
      <c r="S1034" t="str">
        <f t="shared" si="0"/>
        <v/>
      </c>
      <c r="T1034" t="str">
        <f t="shared" si="1"/>
        <v/>
      </c>
      <c r="U1034" t="str">
        <f t="shared" si="2"/>
        <v/>
      </c>
      <c r="V1034" t="str">
        <f>IF(OR(U1034="",U1034="ERRO_CHAVE"),"",IFERROR(MATCH(U1034,Fornecedores!$AF$1:$AF$6631,0),""))</f>
        <v/>
      </c>
      <c r="W1034" t="str">
        <f t="shared" si="3"/>
        <v/>
      </c>
      <c r="X1034" s="4" t="str">
        <f>IF(V1034="","",INDEX(Fornecedores!$X$1:$X$6631,V1034))</f>
        <v/>
      </c>
      <c r="Y1034" s="4" t="str">
        <f t="shared" si="4"/>
        <v/>
      </c>
    </row>
    <row r="1035" spans="19:25">
      <c r="S1035" t="str">
        <f t="shared" si="0"/>
        <v/>
      </c>
      <c r="T1035" t="str">
        <f t="shared" si="1"/>
        <v/>
      </c>
      <c r="U1035" t="str">
        <f t="shared" si="2"/>
        <v/>
      </c>
      <c r="V1035" t="str">
        <f>IF(OR(U1035="",U1035="ERRO_CHAVE"),"",IFERROR(MATCH(U1035,Fornecedores!$AF$1:$AF$6631,0),""))</f>
        <v/>
      </c>
      <c r="W1035" t="str">
        <f t="shared" si="3"/>
        <v/>
      </c>
      <c r="X1035" s="4" t="str">
        <f>IF(V1035="","",INDEX(Fornecedores!$X$1:$X$6631,V1035))</f>
        <v/>
      </c>
      <c r="Y1035" s="4" t="str">
        <f t="shared" si="4"/>
        <v/>
      </c>
    </row>
    <row r="1036" spans="19:25">
      <c r="S1036" t="str">
        <f t="shared" si="0"/>
        <v/>
      </c>
      <c r="T1036" t="str">
        <f t="shared" si="1"/>
        <v/>
      </c>
      <c r="U1036" t="str">
        <f t="shared" si="2"/>
        <v/>
      </c>
      <c r="V1036" t="str">
        <f>IF(OR(U1036="",U1036="ERRO_CHAVE"),"",IFERROR(MATCH(U1036,Fornecedores!$AF$1:$AF$6631,0),""))</f>
        <v/>
      </c>
      <c r="W1036" t="str">
        <f t="shared" si="3"/>
        <v/>
      </c>
      <c r="X1036" s="4" t="str">
        <f>IF(V1036="","",INDEX(Fornecedores!$X$1:$X$6631,V1036))</f>
        <v/>
      </c>
      <c r="Y1036" s="4" t="str">
        <f t="shared" si="4"/>
        <v/>
      </c>
    </row>
    <row r="1037" spans="19:25">
      <c r="S1037" t="str">
        <f t="shared" si="0"/>
        <v/>
      </c>
      <c r="T1037" t="str">
        <f t="shared" si="1"/>
        <v/>
      </c>
      <c r="U1037" t="str">
        <f t="shared" si="2"/>
        <v/>
      </c>
      <c r="V1037" t="str">
        <f>IF(OR(U1037="",U1037="ERRO_CHAVE"),"",IFERROR(MATCH(U1037,Fornecedores!$AF$1:$AF$6631,0),""))</f>
        <v/>
      </c>
      <c r="W1037" t="str">
        <f t="shared" si="3"/>
        <v/>
      </c>
      <c r="X1037" s="4" t="str">
        <f>IF(V1037="","",INDEX(Fornecedores!$X$1:$X$6631,V1037))</f>
        <v/>
      </c>
      <c r="Y1037" s="4" t="str">
        <f t="shared" si="4"/>
        <v/>
      </c>
    </row>
    <row r="1038" spans="19:25">
      <c r="S1038" t="str">
        <f t="shared" si="0"/>
        <v/>
      </c>
      <c r="T1038" t="str">
        <f t="shared" si="1"/>
        <v/>
      </c>
      <c r="U1038" t="str">
        <f t="shared" si="2"/>
        <v/>
      </c>
      <c r="V1038" t="str">
        <f>IF(OR(U1038="",U1038="ERRO_CHAVE"),"",IFERROR(MATCH(U1038,Fornecedores!$AF$1:$AF$6631,0),""))</f>
        <v/>
      </c>
      <c r="W1038" t="str">
        <f t="shared" si="3"/>
        <v/>
      </c>
      <c r="X1038" s="4" t="str">
        <f>IF(V1038="","",INDEX(Fornecedores!$X$1:$X$6631,V1038))</f>
        <v/>
      </c>
      <c r="Y1038" s="4" t="str">
        <f t="shared" si="4"/>
        <v/>
      </c>
    </row>
    <row r="1039" spans="19:25">
      <c r="S1039" t="str">
        <f t="shared" si="0"/>
        <v/>
      </c>
      <c r="T1039" t="str">
        <f t="shared" si="1"/>
        <v/>
      </c>
      <c r="U1039" t="str">
        <f t="shared" si="2"/>
        <v/>
      </c>
      <c r="V1039" t="str">
        <f>IF(OR(U1039="",U1039="ERRO_CHAVE"),"",IFERROR(MATCH(U1039,Fornecedores!$AF$1:$AF$6631,0),""))</f>
        <v/>
      </c>
      <c r="W1039" t="str">
        <f t="shared" si="3"/>
        <v/>
      </c>
      <c r="X1039" s="4" t="str">
        <f>IF(V1039="","",INDEX(Fornecedores!$X$1:$X$6631,V1039))</f>
        <v/>
      </c>
      <c r="Y1039" s="4" t="str">
        <f t="shared" si="4"/>
        <v/>
      </c>
    </row>
    <row r="1040" spans="19:25">
      <c r="S1040" t="str">
        <f t="shared" si="0"/>
        <v/>
      </c>
      <c r="T1040" t="str">
        <f t="shared" si="1"/>
        <v/>
      </c>
      <c r="U1040" t="str">
        <f t="shared" si="2"/>
        <v/>
      </c>
      <c r="V1040" t="str">
        <f>IF(OR(U1040="",U1040="ERRO_CHAVE"),"",IFERROR(MATCH(U1040,Fornecedores!$AF$1:$AF$6631,0),""))</f>
        <v/>
      </c>
      <c r="W1040" t="str">
        <f t="shared" si="3"/>
        <v/>
      </c>
      <c r="X1040" s="4" t="str">
        <f>IF(V1040="","",INDEX(Fornecedores!$X$1:$X$6631,V1040))</f>
        <v/>
      </c>
      <c r="Y1040" s="4" t="str">
        <f t="shared" si="4"/>
        <v/>
      </c>
    </row>
    <row r="1041" spans="19:25">
      <c r="S1041" t="str">
        <f t="shared" si="0"/>
        <v/>
      </c>
      <c r="T1041" t="str">
        <f t="shared" si="1"/>
        <v/>
      </c>
      <c r="U1041" t="str">
        <f t="shared" si="2"/>
        <v/>
      </c>
      <c r="V1041" t="str">
        <f>IF(OR(U1041="",U1041="ERRO_CHAVE"),"",IFERROR(MATCH(U1041,Fornecedores!$AF$1:$AF$6631,0),""))</f>
        <v/>
      </c>
      <c r="W1041" t="str">
        <f t="shared" si="3"/>
        <v/>
      </c>
      <c r="X1041" s="4" t="str">
        <f>IF(V1041="","",INDEX(Fornecedores!$X$1:$X$6631,V1041))</f>
        <v/>
      </c>
      <c r="Y1041" s="4" t="str">
        <f t="shared" si="4"/>
        <v/>
      </c>
    </row>
    <row r="1042" spans="19:25">
      <c r="S1042" t="str">
        <f t="shared" si="0"/>
        <v/>
      </c>
      <c r="T1042" t="str">
        <f t="shared" si="1"/>
        <v/>
      </c>
      <c r="U1042" t="str">
        <f t="shared" si="2"/>
        <v/>
      </c>
      <c r="V1042" t="str">
        <f>IF(OR(U1042="",U1042="ERRO_CHAVE"),"",IFERROR(MATCH(U1042,Fornecedores!$AF$1:$AF$6631,0),""))</f>
        <v/>
      </c>
      <c r="W1042" t="str">
        <f t="shared" si="3"/>
        <v/>
      </c>
      <c r="X1042" s="4" t="str">
        <f>IF(V1042="","",INDEX(Fornecedores!$X$1:$X$6631,V1042))</f>
        <v/>
      </c>
      <c r="Y1042" s="4" t="str">
        <f t="shared" si="4"/>
        <v/>
      </c>
    </row>
    <row r="1043" spans="19:25">
      <c r="S1043" t="str">
        <f t="shared" si="0"/>
        <v/>
      </c>
      <c r="T1043" t="str">
        <f t="shared" si="1"/>
        <v/>
      </c>
      <c r="U1043" t="str">
        <f t="shared" si="2"/>
        <v/>
      </c>
      <c r="V1043" t="str">
        <f>IF(OR(U1043="",U1043="ERRO_CHAVE"),"",IFERROR(MATCH(U1043,Fornecedores!$AF$1:$AF$6631,0),""))</f>
        <v/>
      </c>
      <c r="W1043" t="str">
        <f t="shared" si="3"/>
        <v/>
      </c>
      <c r="X1043" s="4" t="str">
        <f>IF(V1043="","",INDEX(Fornecedores!$X$1:$X$6631,V1043))</f>
        <v/>
      </c>
      <c r="Y1043" s="4" t="str">
        <f t="shared" si="4"/>
        <v/>
      </c>
    </row>
    <row r="1044" spans="19:25">
      <c r="S1044" t="str">
        <f t="shared" si="0"/>
        <v/>
      </c>
      <c r="T1044" t="str">
        <f t="shared" si="1"/>
        <v/>
      </c>
      <c r="U1044" t="str">
        <f t="shared" si="2"/>
        <v/>
      </c>
      <c r="V1044" t="str">
        <f>IF(OR(U1044="",U1044="ERRO_CHAVE"),"",IFERROR(MATCH(U1044,Fornecedores!$AF$1:$AF$6631,0),""))</f>
        <v/>
      </c>
      <c r="W1044" t="str">
        <f t="shared" si="3"/>
        <v/>
      </c>
      <c r="X1044" s="4" t="str">
        <f>IF(V1044="","",INDEX(Fornecedores!$X$1:$X$6631,V1044))</f>
        <v/>
      </c>
      <c r="Y1044" s="4" t="str">
        <f t="shared" si="4"/>
        <v/>
      </c>
    </row>
    <row r="1045" spans="19:25">
      <c r="S1045" t="str">
        <f t="shared" si="0"/>
        <v/>
      </c>
      <c r="T1045" t="str">
        <f t="shared" si="1"/>
        <v/>
      </c>
      <c r="U1045" t="str">
        <f t="shared" si="2"/>
        <v/>
      </c>
      <c r="V1045" t="str">
        <f>IF(OR(U1045="",U1045="ERRO_CHAVE"),"",IFERROR(MATCH(U1045,Fornecedores!$AF$1:$AF$6631,0),""))</f>
        <v/>
      </c>
      <c r="W1045" t="str">
        <f t="shared" si="3"/>
        <v/>
      </c>
      <c r="X1045" s="4" t="str">
        <f>IF(V1045="","",INDEX(Fornecedores!$X$1:$X$6631,V1045))</f>
        <v/>
      </c>
      <c r="Y1045" s="4" t="str">
        <f t="shared" si="4"/>
        <v/>
      </c>
    </row>
    <row r="1046" spans="19:25">
      <c r="S1046" t="str">
        <f t="shared" si="0"/>
        <v/>
      </c>
      <c r="T1046" t="str">
        <f t="shared" si="1"/>
        <v/>
      </c>
      <c r="U1046" t="str">
        <f t="shared" si="2"/>
        <v/>
      </c>
      <c r="V1046" t="str">
        <f>IF(OR(U1046="",U1046="ERRO_CHAVE"),"",IFERROR(MATCH(U1046,Fornecedores!$AF$1:$AF$6631,0),""))</f>
        <v/>
      </c>
      <c r="W1046" t="str">
        <f t="shared" si="3"/>
        <v/>
      </c>
      <c r="X1046" s="4" t="str">
        <f>IF(V1046="","",INDEX(Fornecedores!$X$1:$X$6631,V1046))</f>
        <v/>
      </c>
      <c r="Y1046" s="4" t="str">
        <f t="shared" si="4"/>
        <v/>
      </c>
    </row>
    <row r="1047" spans="19:25">
      <c r="S1047" t="str">
        <f t="shared" si="0"/>
        <v/>
      </c>
      <c r="T1047" t="str">
        <f t="shared" si="1"/>
        <v/>
      </c>
      <c r="U1047" t="str">
        <f t="shared" si="2"/>
        <v/>
      </c>
      <c r="V1047" t="str">
        <f>IF(OR(U1047="",U1047="ERRO_CHAVE"),"",IFERROR(MATCH(U1047,Fornecedores!$AF$1:$AF$6631,0),""))</f>
        <v/>
      </c>
      <c r="W1047" t="str">
        <f t="shared" si="3"/>
        <v/>
      </c>
      <c r="X1047" s="4" t="str">
        <f>IF(V1047="","",INDEX(Fornecedores!$X$1:$X$6631,V1047))</f>
        <v/>
      </c>
      <c r="Y1047" s="4" t="str">
        <f t="shared" si="4"/>
        <v/>
      </c>
    </row>
    <row r="1048" spans="19:25">
      <c r="S1048" t="str">
        <f t="shared" si="0"/>
        <v/>
      </c>
      <c r="T1048" t="str">
        <f t="shared" si="1"/>
        <v/>
      </c>
      <c r="U1048" t="str">
        <f t="shared" si="2"/>
        <v/>
      </c>
      <c r="V1048" t="str">
        <f>IF(OR(U1048="",U1048="ERRO_CHAVE"),"",IFERROR(MATCH(U1048,Fornecedores!$AF$1:$AF$6631,0),""))</f>
        <v/>
      </c>
      <c r="W1048" t="str">
        <f t="shared" si="3"/>
        <v/>
      </c>
      <c r="X1048" s="4" t="str">
        <f>IF(V1048="","",INDEX(Fornecedores!$X$1:$X$6631,V1048))</f>
        <v/>
      </c>
      <c r="Y1048" s="4" t="str">
        <f t="shared" si="4"/>
        <v/>
      </c>
    </row>
    <row r="1049" spans="19:25">
      <c r="S1049" t="str">
        <f t="shared" si="0"/>
        <v/>
      </c>
      <c r="T1049" t="str">
        <f t="shared" si="1"/>
        <v/>
      </c>
      <c r="U1049" t="str">
        <f t="shared" si="2"/>
        <v/>
      </c>
      <c r="V1049" t="str">
        <f>IF(OR(U1049="",U1049="ERRO_CHAVE"),"",IFERROR(MATCH(U1049,Fornecedores!$AF$1:$AF$6631,0),""))</f>
        <v/>
      </c>
      <c r="W1049" t="str">
        <f t="shared" si="3"/>
        <v/>
      </c>
      <c r="X1049" s="4" t="str">
        <f>IF(V1049="","",INDEX(Fornecedores!$X$1:$X$6631,V1049))</f>
        <v/>
      </c>
      <c r="Y1049" s="4" t="str">
        <f t="shared" si="4"/>
        <v/>
      </c>
    </row>
    <row r="1050" spans="19:25">
      <c r="S1050" t="str">
        <f t="shared" si="0"/>
        <v/>
      </c>
      <c r="T1050" t="str">
        <f t="shared" si="1"/>
        <v/>
      </c>
      <c r="U1050" t="str">
        <f t="shared" si="2"/>
        <v/>
      </c>
      <c r="V1050" t="str">
        <f>IF(OR(U1050="",U1050="ERRO_CHAVE"),"",IFERROR(MATCH(U1050,Fornecedores!$AF$1:$AF$6631,0),""))</f>
        <v/>
      </c>
      <c r="W1050" t="str">
        <f t="shared" si="3"/>
        <v/>
      </c>
      <c r="X1050" s="4" t="str">
        <f>IF(V1050="","",INDEX(Fornecedores!$X$1:$X$6631,V1050))</f>
        <v/>
      </c>
      <c r="Y1050" s="4" t="str">
        <f t="shared" si="4"/>
        <v/>
      </c>
    </row>
    <row r="1051" spans="19:25">
      <c r="S1051" t="str">
        <f t="shared" si="0"/>
        <v/>
      </c>
      <c r="T1051" t="str">
        <f t="shared" si="1"/>
        <v/>
      </c>
      <c r="U1051" t="str">
        <f t="shared" si="2"/>
        <v/>
      </c>
      <c r="V1051" t="str">
        <f>IF(OR(U1051="",U1051="ERRO_CHAVE"),"",IFERROR(MATCH(U1051,Fornecedores!$AF$1:$AF$6631,0),""))</f>
        <v/>
      </c>
      <c r="W1051" t="str">
        <f t="shared" si="3"/>
        <v/>
      </c>
      <c r="X1051" s="4" t="str">
        <f>IF(V1051="","",INDEX(Fornecedores!$X$1:$X$6631,V1051))</f>
        <v/>
      </c>
      <c r="Y1051" s="4" t="str">
        <f t="shared" si="4"/>
        <v/>
      </c>
    </row>
    <row r="1052" spans="19:25">
      <c r="S1052" t="str">
        <f t="shared" si="0"/>
        <v/>
      </c>
      <c r="T1052" t="str">
        <f t="shared" si="1"/>
        <v/>
      </c>
      <c r="U1052" t="str">
        <f t="shared" si="2"/>
        <v/>
      </c>
      <c r="V1052" t="str">
        <f>IF(OR(U1052="",U1052="ERRO_CHAVE"),"",IFERROR(MATCH(U1052,Fornecedores!$AF$1:$AF$6631,0),""))</f>
        <v/>
      </c>
      <c r="W1052" t="str">
        <f t="shared" si="3"/>
        <v/>
      </c>
      <c r="X1052" s="4" t="str">
        <f>IF(V1052="","",INDEX(Fornecedores!$X$1:$X$6631,V1052))</f>
        <v/>
      </c>
      <c r="Y1052" s="4" t="str">
        <f t="shared" si="4"/>
        <v/>
      </c>
    </row>
    <row r="1053" spans="19:25">
      <c r="S1053" t="str">
        <f t="shared" si="0"/>
        <v/>
      </c>
      <c r="T1053" t="str">
        <f t="shared" si="1"/>
        <v/>
      </c>
      <c r="U1053" t="str">
        <f t="shared" si="2"/>
        <v/>
      </c>
      <c r="V1053" t="str">
        <f>IF(OR(U1053="",U1053="ERRO_CHAVE"),"",IFERROR(MATCH(U1053,Fornecedores!$AF$1:$AF$6631,0),""))</f>
        <v/>
      </c>
      <c r="W1053" t="str">
        <f t="shared" si="3"/>
        <v/>
      </c>
      <c r="X1053" s="4" t="str">
        <f>IF(V1053="","",INDEX(Fornecedores!$X$1:$X$6631,V1053))</f>
        <v/>
      </c>
      <c r="Y1053" s="4" t="str">
        <f t="shared" si="4"/>
        <v/>
      </c>
    </row>
    <row r="1054" spans="19:25">
      <c r="S1054" t="str">
        <f t="shared" si="0"/>
        <v/>
      </c>
      <c r="T1054" t="str">
        <f t="shared" si="1"/>
        <v/>
      </c>
      <c r="U1054" t="str">
        <f t="shared" si="2"/>
        <v/>
      </c>
      <c r="V1054" t="str">
        <f>IF(OR(U1054="",U1054="ERRO_CHAVE"),"",IFERROR(MATCH(U1054,Fornecedores!$AF$1:$AF$6631,0),""))</f>
        <v/>
      </c>
      <c r="W1054" t="str">
        <f t="shared" si="3"/>
        <v/>
      </c>
      <c r="X1054" s="4" t="str">
        <f>IF(V1054="","",INDEX(Fornecedores!$X$1:$X$6631,V1054))</f>
        <v/>
      </c>
      <c r="Y1054" s="4" t="str">
        <f t="shared" si="4"/>
        <v/>
      </c>
    </row>
    <row r="1055" spans="19:25">
      <c r="S1055" t="str">
        <f t="shared" si="0"/>
        <v/>
      </c>
      <c r="T1055" t="str">
        <f t="shared" si="1"/>
        <v/>
      </c>
      <c r="U1055" t="str">
        <f t="shared" si="2"/>
        <v/>
      </c>
      <c r="V1055" t="str">
        <f>IF(OR(U1055="",U1055="ERRO_CHAVE"),"",IFERROR(MATCH(U1055,Fornecedores!$AF$1:$AF$6631,0),""))</f>
        <v/>
      </c>
      <c r="W1055" t="str">
        <f t="shared" si="3"/>
        <v/>
      </c>
      <c r="X1055" s="4" t="str">
        <f>IF(V1055="","",INDEX(Fornecedores!$X$1:$X$6631,V1055))</f>
        <v/>
      </c>
      <c r="Y1055" s="4" t="str">
        <f t="shared" si="4"/>
        <v/>
      </c>
    </row>
    <row r="1056" spans="19:25">
      <c r="S1056" t="str">
        <f t="shared" si="0"/>
        <v/>
      </c>
      <c r="T1056" t="str">
        <f t="shared" si="1"/>
        <v/>
      </c>
      <c r="U1056" t="str">
        <f t="shared" si="2"/>
        <v/>
      </c>
      <c r="V1056" t="str">
        <f>IF(OR(U1056="",U1056="ERRO_CHAVE"),"",IFERROR(MATCH(U1056,Fornecedores!$AF$1:$AF$6631,0),""))</f>
        <v/>
      </c>
      <c r="W1056" t="str">
        <f t="shared" si="3"/>
        <v/>
      </c>
      <c r="X1056" s="4" t="str">
        <f>IF(V1056="","",INDEX(Fornecedores!$X$1:$X$6631,V1056))</f>
        <v/>
      </c>
      <c r="Y1056" s="4" t="str">
        <f t="shared" si="4"/>
        <v/>
      </c>
    </row>
    <row r="1057" spans="19:25">
      <c r="S1057" t="str">
        <f t="shared" si="0"/>
        <v/>
      </c>
      <c r="T1057" t="str">
        <f t="shared" si="1"/>
        <v/>
      </c>
      <c r="U1057" t="str">
        <f t="shared" si="2"/>
        <v/>
      </c>
      <c r="V1057" t="str">
        <f>IF(OR(U1057="",U1057="ERRO_CHAVE"),"",IFERROR(MATCH(U1057,Fornecedores!$AF$1:$AF$6631,0),""))</f>
        <v/>
      </c>
      <c r="W1057" t="str">
        <f t="shared" si="3"/>
        <v/>
      </c>
      <c r="X1057" s="4" t="str">
        <f>IF(V1057="","",INDEX(Fornecedores!$X$1:$X$6631,V1057))</f>
        <v/>
      </c>
      <c r="Y1057" s="4" t="str">
        <f t="shared" si="4"/>
        <v/>
      </c>
    </row>
    <row r="1058" spans="19:25">
      <c r="S1058" t="str">
        <f t="shared" si="0"/>
        <v/>
      </c>
      <c r="T1058" t="str">
        <f t="shared" si="1"/>
        <v/>
      </c>
      <c r="U1058" t="str">
        <f t="shared" si="2"/>
        <v/>
      </c>
      <c r="V1058" t="str">
        <f>IF(OR(U1058="",U1058="ERRO_CHAVE"),"",IFERROR(MATCH(U1058,Fornecedores!$AF$1:$AF$6631,0),""))</f>
        <v/>
      </c>
      <c r="W1058" t="str">
        <f t="shared" si="3"/>
        <v/>
      </c>
      <c r="X1058" s="4" t="str">
        <f>IF(V1058="","",INDEX(Fornecedores!$X$1:$X$6631,V1058))</f>
        <v/>
      </c>
      <c r="Y1058" s="4" t="str">
        <f t="shared" si="4"/>
        <v/>
      </c>
    </row>
    <row r="1059" spans="19:25">
      <c r="S1059" t="str">
        <f t="shared" si="0"/>
        <v/>
      </c>
      <c r="T1059" t="str">
        <f t="shared" si="1"/>
        <v/>
      </c>
      <c r="U1059" t="str">
        <f t="shared" si="2"/>
        <v/>
      </c>
      <c r="V1059" t="str">
        <f>IF(OR(U1059="",U1059="ERRO_CHAVE"),"",IFERROR(MATCH(U1059,Fornecedores!$AF$1:$AF$6631,0),""))</f>
        <v/>
      </c>
      <c r="W1059" t="str">
        <f t="shared" si="3"/>
        <v/>
      </c>
      <c r="X1059" s="4" t="str">
        <f>IF(V1059="","",INDEX(Fornecedores!$X$1:$X$6631,V1059))</f>
        <v/>
      </c>
      <c r="Y1059" s="4" t="str">
        <f t="shared" si="4"/>
        <v/>
      </c>
    </row>
    <row r="1060" spans="19:25">
      <c r="S1060" t="str">
        <f t="shared" si="0"/>
        <v/>
      </c>
      <c r="T1060" t="str">
        <f t="shared" si="1"/>
        <v/>
      </c>
      <c r="U1060" t="str">
        <f t="shared" si="2"/>
        <v/>
      </c>
      <c r="V1060" t="str">
        <f>IF(OR(U1060="",U1060="ERRO_CHAVE"),"",IFERROR(MATCH(U1060,Fornecedores!$AF$1:$AF$6631,0),""))</f>
        <v/>
      </c>
      <c r="W1060" t="str">
        <f t="shared" si="3"/>
        <v/>
      </c>
      <c r="X1060" s="4" t="str">
        <f>IF(V1060="","",INDEX(Fornecedores!$X$1:$X$6631,V1060))</f>
        <v/>
      </c>
      <c r="Y1060" s="4" t="str">
        <f t="shared" si="4"/>
        <v/>
      </c>
    </row>
    <row r="1061" spans="19:25">
      <c r="S1061" t="str">
        <f t="shared" si="0"/>
        <v/>
      </c>
      <c r="T1061" t="str">
        <f t="shared" si="1"/>
        <v/>
      </c>
      <c r="U1061" t="str">
        <f t="shared" si="2"/>
        <v/>
      </c>
      <c r="V1061" t="str">
        <f>IF(OR(U1061="",U1061="ERRO_CHAVE"),"",IFERROR(MATCH(U1061,Fornecedores!$AF$1:$AF$6631,0),""))</f>
        <v/>
      </c>
      <c r="W1061" t="str">
        <f t="shared" si="3"/>
        <v/>
      </c>
      <c r="X1061" s="4" t="str">
        <f>IF(V1061="","",INDEX(Fornecedores!$X$1:$X$6631,V1061))</f>
        <v/>
      </c>
      <c r="Y1061" s="4" t="str">
        <f t="shared" si="4"/>
        <v/>
      </c>
    </row>
    <row r="1062" spans="19:25">
      <c r="S1062" t="str">
        <f t="shared" si="0"/>
        <v/>
      </c>
      <c r="T1062" t="str">
        <f t="shared" si="1"/>
        <v/>
      </c>
      <c r="U1062" t="str">
        <f t="shared" si="2"/>
        <v/>
      </c>
      <c r="V1062" t="str">
        <f>IF(OR(U1062="",U1062="ERRO_CHAVE"),"",IFERROR(MATCH(U1062,Fornecedores!$AF$1:$AF$6631,0),""))</f>
        <v/>
      </c>
      <c r="W1062" t="str">
        <f t="shared" si="3"/>
        <v/>
      </c>
      <c r="X1062" s="4" t="str">
        <f>IF(V1062="","",INDEX(Fornecedores!$X$1:$X$6631,V1062))</f>
        <v/>
      </c>
      <c r="Y1062" s="4" t="str">
        <f t="shared" si="4"/>
        <v/>
      </c>
    </row>
    <row r="1063" spans="19:25">
      <c r="S1063" t="str">
        <f t="shared" si="0"/>
        <v/>
      </c>
      <c r="T1063" t="str">
        <f t="shared" si="1"/>
        <v/>
      </c>
      <c r="U1063" t="str">
        <f t="shared" si="2"/>
        <v/>
      </c>
      <c r="V1063" t="str">
        <f>IF(OR(U1063="",U1063="ERRO_CHAVE"),"",IFERROR(MATCH(U1063,Fornecedores!$AF$1:$AF$6631,0),""))</f>
        <v/>
      </c>
      <c r="W1063" t="str">
        <f t="shared" si="3"/>
        <v/>
      </c>
      <c r="X1063" s="4" t="str">
        <f>IF(V1063="","",INDEX(Fornecedores!$X$1:$X$6631,V1063))</f>
        <v/>
      </c>
      <c r="Y1063" s="4" t="str">
        <f t="shared" si="4"/>
        <v/>
      </c>
    </row>
    <row r="1064" spans="19:25">
      <c r="S1064" t="str">
        <f t="shared" si="0"/>
        <v/>
      </c>
      <c r="T1064" t="str">
        <f t="shared" si="1"/>
        <v/>
      </c>
      <c r="U1064" t="str">
        <f t="shared" si="2"/>
        <v/>
      </c>
      <c r="V1064" t="str">
        <f>IF(OR(U1064="",U1064="ERRO_CHAVE"),"",IFERROR(MATCH(U1064,Fornecedores!$AF$1:$AF$6631,0),""))</f>
        <v/>
      </c>
      <c r="W1064" t="str">
        <f t="shared" si="3"/>
        <v/>
      </c>
      <c r="X1064" s="4" t="str">
        <f>IF(V1064="","",INDEX(Fornecedores!$X$1:$X$6631,V1064))</f>
        <v/>
      </c>
      <c r="Y1064" s="4" t="str">
        <f t="shared" si="4"/>
        <v/>
      </c>
    </row>
    <row r="1065" spans="19:25">
      <c r="S1065" t="str">
        <f t="shared" si="0"/>
        <v/>
      </c>
      <c r="T1065" t="str">
        <f t="shared" si="1"/>
        <v/>
      </c>
      <c r="U1065" t="str">
        <f t="shared" si="2"/>
        <v/>
      </c>
      <c r="V1065" t="str">
        <f>IF(OR(U1065="",U1065="ERRO_CHAVE"),"",IFERROR(MATCH(U1065,Fornecedores!$AF$1:$AF$6631,0),""))</f>
        <v/>
      </c>
      <c r="W1065" t="str">
        <f t="shared" si="3"/>
        <v/>
      </c>
      <c r="X1065" s="4" t="str">
        <f>IF(V1065="","",INDEX(Fornecedores!$X$1:$X$6631,V1065))</f>
        <v/>
      </c>
      <c r="Y1065" s="4" t="str">
        <f t="shared" si="4"/>
        <v/>
      </c>
    </row>
    <row r="1066" spans="19:25">
      <c r="S1066" t="str">
        <f t="shared" si="0"/>
        <v/>
      </c>
      <c r="T1066" t="str">
        <f t="shared" si="1"/>
        <v/>
      </c>
      <c r="U1066" t="str">
        <f t="shared" si="2"/>
        <v/>
      </c>
      <c r="V1066" t="str">
        <f>IF(OR(U1066="",U1066="ERRO_CHAVE"),"",IFERROR(MATCH(U1066,Fornecedores!$AF$1:$AF$6631,0),""))</f>
        <v/>
      </c>
      <c r="W1066" t="str">
        <f t="shared" si="3"/>
        <v/>
      </c>
      <c r="X1066" s="4" t="str">
        <f>IF(V1066="","",INDEX(Fornecedores!$X$1:$X$6631,V1066))</f>
        <v/>
      </c>
      <c r="Y1066" s="4" t="str">
        <f t="shared" si="4"/>
        <v/>
      </c>
    </row>
    <row r="1067" spans="19:25">
      <c r="S1067" t="str">
        <f t="shared" si="0"/>
        <v/>
      </c>
      <c r="T1067" t="str">
        <f t="shared" si="1"/>
        <v/>
      </c>
      <c r="U1067" t="str">
        <f t="shared" si="2"/>
        <v/>
      </c>
      <c r="V1067" t="str">
        <f>IF(OR(U1067="",U1067="ERRO_CHAVE"),"",IFERROR(MATCH(U1067,Fornecedores!$AF$1:$AF$6631,0),""))</f>
        <v/>
      </c>
      <c r="W1067" t="str">
        <f t="shared" si="3"/>
        <v/>
      </c>
      <c r="X1067" s="4" t="str">
        <f>IF(V1067="","",INDEX(Fornecedores!$X$1:$X$6631,V1067))</f>
        <v/>
      </c>
      <c r="Y1067" s="4" t="str">
        <f t="shared" si="4"/>
        <v/>
      </c>
    </row>
    <row r="1068" spans="19:25">
      <c r="S1068" t="str">
        <f t="shared" si="0"/>
        <v/>
      </c>
      <c r="T1068" t="str">
        <f t="shared" si="1"/>
        <v/>
      </c>
      <c r="U1068" t="str">
        <f t="shared" si="2"/>
        <v/>
      </c>
      <c r="V1068" t="str">
        <f>IF(OR(U1068="",U1068="ERRO_CHAVE"),"",IFERROR(MATCH(U1068,Fornecedores!$AF$1:$AF$6631,0),""))</f>
        <v/>
      </c>
      <c r="W1068" t="str">
        <f t="shared" si="3"/>
        <v/>
      </c>
      <c r="X1068" s="4" t="str">
        <f>IF(V1068="","",INDEX(Fornecedores!$X$1:$X$6631,V1068))</f>
        <v/>
      </c>
      <c r="Y1068" s="4" t="str">
        <f t="shared" si="4"/>
        <v/>
      </c>
    </row>
    <row r="1069" spans="19:25">
      <c r="S1069" t="str">
        <f t="shared" si="0"/>
        <v/>
      </c>
      <c r="T1069" t="str">
        <f t="shared" si="1"/>
        <v/>
      </c>
      <c r="U1069" t="str">
        <f t="shared" si="2"/>
        <v/>
      </c>
      <c r="V1069" t="str">
        <f>IF(OR(U1069="",U1069="ERRO_CHAVE"),"",IFERROR(MATCH(U1069,Fornecedores!$AF$1:$AF$6631,0),""))</f>
        <v/>
      </c>
      <c r="W1069" t="str">
        <f t="shared" si="3"/>
        <v/>
      </c>
      <c r="X1069" s="4" t="str">
        <f>IF(V1069="","",INDEX(Fornecedores!$X$1:$X$6631,V1069))</f>
        <v/>
      </c>
      <c r="Y1069" s="4" t="str">
        <f t="shared" si="4"/>
        <v/>
      </c>
    </row>
    <row r="1070" spans="19:25">
      <c r="S1070" t="str">
        <f t="shared" si="0"/>
        <v/>
      </c>
      <c r="T1070" t="str">
        <f t="shared" si="1"/>
        <v/>
      </c>
      <c r="U1070" t="str">
        <f t="shared" si="2"/>
        <v/>
      </c>
      <c r="V1070" t="str">
        <f>IF(OR(U1070="",U1070="ERRO_CHAVE"),"",IFERROR(MATCH(U1070,Fornecedores!$AF$1:$AF$6631,0),""))</f>
        <v/>
      </c>
      <c r="W1070" t="str">
        <f t="shared" si="3"/>
        <v/>
      </c>
      <c r="X1070" s="4" t="str">
        <f>IF(V1070="","",INDEX(Fornecedores!$X$1:$X$6631,V1070))</f>
        <v/>
      </c>
      <c r="Y1070" s="4" t="str">
        <f t="shared" si="4"/>
        <v/>
      </c>
    </row>
    <row r="1071" spans="19:25">
      <c r="S1071" t="str">
        <f t="shared" si="0"/>
        <v/>
      </c>
      <c r="T1071" t="str">
        <f t="shared" si="1"/>
        <v/>
      </c>
      <c r="U1071" t="str">
        <f t="shared" si="2"/>
        <v/>
      </c>
      <c r="V1071" t="str">
        <f>IF(OR(U1071="",U1071="ERRO_CHAVE"),"",IFERROR(MATCH(U1071,Fornecedores!$AF$1:$AF$6631,0),""))</f>
        <v/>
      </c>
      <c r="W1071" t="str">
        <f t="shared" si="3"/>
        <v/>
      </c>
      <c r="X1071" s="4" t="str">
        <f>IF(V1071="","",INDEX(Fornecedores!$X$1:$X$6631,V1071))</f>
        <v/>
      </c>
      <c r="Y1071" s="4" t="str">
        <f t="shared" si="4"/>
        <v/>
      </c>
    </row>
    <row r="1072" spans="19:25">
      <c r="S1072" t="str">
        <f t="shared" si="0"/>
        <v/>
      </c>
      <c r="T1072" t="str">
        <f t="shared" si="1"/>
        <v/>
      </c>
      <c r="U1072" t="str">
        <f t="shared" si="2"/>
        <v/>
      </c>
      <c r="V1072" t="str">
        <f>IF(OR(U1072="",U1072="ERRO_CHAVE"),"",IFERROR(MATCH(U1072,Fornecedores!$AF$1:$AF$6631,0),""))</f>
        <v/>
      </c>
      <c r="W1072" t="str">
        <f t="shared" si="3"/>
        <v/>
      </c>
      <c r="X1072" s="4" t="str">
        <f>IF(V1072="","",INDEX(Fornecedores!$X$1:$X$6631,V1072))</f>
        <v/>
      </c>
      <c r="Y1072" s="4" t="str">
        <f t="shared" si="4"/>
        <v/>
      </c>
    </row>
    <row r="1073" spans="19:25">
      <c r="S1073" t="str">
        <f t="shared" si="0"/>
        <v/>
      </c>
      <c r="T1073" t="str">
        <f t="shared" si="1"/>
        <v/>
      </c>
      <c r="U1073" t="str">
        <f t="shared" si="2"/>
        <v/>
      </c>
      <c r="V1073" t="str">
        <f>IF(OR(U1073="",U1073="ERRO_CHAVE"),"",IFERROR(MATCH(U1073,Fornecedores!$AF$1:$AF$6631,0),""))</f>
        <v/>
      </c>
      <c r="W1073" t="str">
        <f t="shared" si="3"/>
        <v/>
      </c>
      <c r="X1073" s="4" t="str">
        <f>IF(V1073="","",INDEX(Fornecedores!$X$1:$X$6631,V1073))</f>
        <v/>
      </c>
      <c r="Y1073" s="4" t="str">
        <f t="shared" si="4"/>
        <v/>
      </c>
    </row>
    <row r="1074" spans="19:25">
      <c r="S1074" t="str">
        <f t="shared" si="0"/>
        <v/>
      </c>
      <c r="T1074" t="str">
        <f t="shared" si="1"/>
        <v/>
      </c>
      <c r="U1074" t="str">
        <f t="shared" si="2"/>
        <v/>
      </c>
      <c r="V1074" t="str">
        <f>IF(OR(U1074="",U1074="ERRO_CHAVE"),"",IFERROR(MATCH(U1074,Fornecedores!$AF$1:$AF$6631,0),""))</f>
        <v/>
      </c>
      <c r="W1074" t="str">
        <f t="shared" si="3"/>
        <v/>
      </c>
      <c r="X1074" s="4" t="str">
        <f>IF(V1074="","",INDEX(Fornecedores!$X$1:$X$6631,V1074))</f>
        <v/>
      </c>
      <c r="Y1074" s="4" t="str">
        <f t="shared" si="4"/>
        <v/>
      </c>
    </row>
    <row r="1075" spans="19:25">
      <c r="S1075" t="str">
        <f t="shared" si="0"/>
        <v/>
      </c>
      <c r="T1075" t="str">
        <f t="shared" si="1"/>
        <v/>
      </c>
      <c r="U1075" t="str">
        <f t="shared" si="2"/>
        <v/>
      </c>
      <c r="V1075" t="str">
        <f>IF(OR(U1075="",U1075="ERRO_CHAVE"),"",IFERROR(MATCH(U1075,Fornecedores!$AF$1:$AF$6631,0),""))</f>
        <v/>
      </c>
      <c r="W1075" t="str">
        <f t="shared" si="3"/>
        <v/>
      </c>
      <c r="X1075" s="4" t="str">
        <f>IF(V1075="","",INDEX(Fornecedores!$X$1:$X$6631,V1075))</f>
        <v/>
      </c>
      <c r="Y1075" s="4" t="str">
        <f t="shared" si="4"/>
        <v/>
      </c>
    </row>
    <row r="1076" spans="19:25">
      <c r="S1076" t="str">
        <f t="shared" si="0"/>
        <v/>
      </c>
      <c r="T1076" t="str">
        <f t="shared" si="1"/>
        <v/>
      </c>
      <c r="U1076" t="str">
        <f t="shared" si="2"/>
        <v/>
      </c>
      <c r="V1076" t="str">
        <f>IF(OR(U1076="",U1076="ERRO_CHAVE"),"",IFERROR(MATCH(U1076,Fornecedores!$AF$1:$AF$6631,0),""))</f>
        <v/>
      </c>
      <c r="W1076" t="str">
        <f t="shared" si="3"/>
        <v/>
      </c>
      <c r="X1076" s="4" t="str">
        <f>IF(V1076="","",INDEX(Fornecedores!$X$1:$X$6631,V1076))</f>
        <v/>
      </c>
      <c r="Y1076" s="4" t="str">
        <f t="shared" si="4"/>
        <v/>
      </c>
    </row>
    <row r="1077" spans="19:25">
      <c r="S1077" t="str">
        <f t="shared" si="0"/>
        <v/>
      </c>
      <c r="T1077" t="str">
        <f t="shared" si="1"/>
        <v/>
      </c>
      <c r="U1077" t="str">
        <f t="shared" si="2"/>
        <v/>
      </c>
      <c r="V1077" t="str">
        <f>IF(OR(U1077="",U1077="ERRO_CHAVE"),"",IFERROR(MATCH(U1077,Fornecedores!$AF$1:$AF$6631,0),""))</f>
        <v/>
      </c>
      <c r="W1077" t="str">
        <f t="shared" si="3"/>
        <v/>
      </c>
      <c r="X1077" s="4" t="str">
        <f>IF(V1077="","",INDEX(Fornecedores!$X$1:$X$6631,V1077))</f>
        <v/>
      </c>
      <c r="Y1077" s="4" t="str">
        <f t="shared" si="4"/>
        <v/>
      </c>
    </row>
    <row r="1078" spans="19:25">
      <c r="S1078" t="str">
        <f t="shared" si="0"/>
        <v/>
      </c>
      <c r="T1078" t="str">
        <f t="shared" si="1"/>
        <v/>
      </c>
      <c r="U1078" t="str">
        <f t="shared" si="2"/>
        <v/>
      </c>
      <c r="V1078" t="str">
        <f>IF(OR(U1078="",U1078="ERRO_CHAVE"),"",IFERROR(MATCH(U1078,Fornecedores!$AF$1:$AF$6631,0),""))</f>
        <v/>
      </c>
      <c r="W1078" t="str">
        <f t="shared" si="3"/>
        <v/>
      </c>
      <c r="X1078" s="4" t="str">
        <f>IF(V1078="","",INDEX(Fornecedores!$X$1:$X$6631,V1078))</f>
        <v/>
      </c>
      <c r="Y1078" s="4" t="str">
        <f t="shared" si="4"/>
        <v/>
      </c>
    </row>
    <row r="1079" spans="19:25">
      <c r="S1079" t="str">
        <f t="shared" si="0"/>
        <v/>
      </c>
      <c r="T1079" t="str">
        <f t="shared" si="1"/>
        <v/>
      </c>
      <c r="U1079" t="str">
        <f t="shared" si="2"/>
        <v/>
      </c>
      <c r="V1079" t="str">
        <f>IF(OR(U1079="",U1079="ERRO_CHAVE"),"",IFERROR(MATCH(U1079,Fornecedores!$AF$1:$AF$6631,0),""))</f>
        <v/>
      </c>
      <c r="W1079" t="str">
        <f t="shared" si="3"/>
        <v/>
      </c>
      <c r="X1079" s="4" t="str">
        <f>IF(V1079="","",INDEX(Fornecedores!$X$1:$X$6631,V1079))</f>
        <v/>
      </c>
      <c r="Y1079" s="4" t="str">
        <f t="shared" si="4"/>
        <v/>
      </c>
    </row>
    <row r="1080" spans="19:25">
      <c r="S1080" t="str">
        <f t="shared" si="0"/>
        <v/>
      </c>
      <c r="T1080" t="str">
        <f t="shared" si="1"/>
        <v/>
      </c>
      <c r="U1080" t="str">
        <f t="shared" si="2"/>
        <v/>
      </c>
      <c r="V1080" t="str">
        <f>IF(OR(U1080="",U1080="ERRO_CHAVE"),"",IFERROR(MATCH(U1080,Fornecedores!$AF$1:$AF$6631,0),""))</f>
        <v/>
      </c>
      <c r="W1080" t="str">
        <f t="shared" si="3"/>
        <v/>
      </c>
      <c r="X1080" s="4" t="str">
        <f>IF(V1080="","",INDEX(Fornecedores!$X$1:$X$6631,V1080))</f>
        <v/>
      </c>
      <c r="Y1080" s="4" t="str">
        <f t="shared" si="4"/>
        <v/>
      </c>
    </row>
    <row r="1081" spans="19:25">
      <c r="S1081" t="str">
        <f t="shared" si="0"/>
        <v/>
      </c>
      <c r="T1081" t="str">
        <f t="shared" si="1"/>
        <v/>
      </c>
      <c r="U1081" t="str">
        <f t="shared" si="2"/>
        <v/>
      </c>
      <c r="V1081" t="str">
        <f>IF(OR(U1081="",U1081="ERRO_CHAVE"),"",IFERROR(MATCH(U1081,Fornecedores!$AF$1:$AF$6631,0),""))</f>
        <v/>
      </c>
      <c r="W1081" t="str">
        <f t="shared" si="3"/>
        <v/>
      </c>
      <c r="X1081" s="4" t="str">
        <f>IF(V1081="","",INDEX(Fornecedores!$X$1:$X$6631,V1081))</f>
        <v/>
      </c>
      <c r="Y1081" s="4" t="str">
        <f t="shared" si="4"/>
        <v/>
      </c>
    </row>
    <row r="1082" spans="19:25">
      <c r="S1082" t="str">
        <f t="shared" si="0"/>
        <v/>
      </c>
      <c r="T1082" t="str">
        <f t="shared" si="1"/>
        <v/>
      </c>
      <c r="U1082" t="str">
        <f t="shared" si="2"/>
        <v/>
      </c>
      <c r="V1082" t="str">
        <f>IF(OR(U1082="",U1082="ERRO_CHAVE"),"",IFERROR(MATCH(U1082,Fornecedores!$AF$1:$AF$6631,0),""))</f>
        <v/>
      </c>
      <c r="W1082" t="str">
        <f t="shared" si="3"/>
        <v/>
      </c>
      <c r="X1082" s="4" t="str">
        <f>IF(V1082="","",INDEX(Fornecedores!$X$1:$X$6631,V1082))</f>
        <v/>
      </c>
      <c r="Y1082" s="4" t="str">
        <f t="shared" si="4"/>
        <v/>
      </c>
    </row>
    <row r="1083" spans="19:25">
      <c r="S1083" t="str">
        <f t="shared" si="0"/>
        <v/>
      </c>
      <c r="T1083" t="str">
        <f t="shared" si="1"/>
        <v/>
      </c>
      <c r="U1083" t="str">
        <f t="shared" si="2"/>
        <v/>
      </c>
      <c r="V1083" t="str">
        <f>IF(OR(U1083="",U1083="ERRO_CHAVE"),"",IFERROR(MATCH(U1083,Fornecedores!$AF$1:$AF$6631,0),""))</f>
        <v/>
      </c>
      <c r="W1083" t="str">
        <f t="shared" si="3"/>
        <v/>
      </c>
      <c r="X1083" s="4" t="str">
        <f>IF(V1083="","",INDEX(Fornecedores!$X$1:$X$6631,V1083))</f>
        <v/>
      </c>
      <c r="Y1083" s="4" t="str">
        <f t="shared" si="4"/>
        <v/>
      </c>
    </row>
    <row r="1084" spans="19:25">
      <c r="S1084" t="str">
        <f t="shared" si="0"/>
        <v/>
      </c>
      <c r="T1084" t="str">
        <f t="shared" si="1"/>
        <v/>
      </c>
      <c r="U1084" t="str">
        <f t="shared" si="2"/>
        <v/>
      </c>
      <c r="V1084" t="str">
        <f>IF(OR(U1084="",U1084="ERRO_CHAVE"),"",IFERROR(MATCH(U1084,Fornecedores!$AF$1:$AF$6631,0),""))</f>
        <v/>
      </c>
      <c r="W1084" t="str">
        <f t="shared" si="3"/>
        <v/>
      </c>
      <c r="X1084" s="4" t="str">
        <f>IF(V1084="","",INDEX(Fornecedores!$X$1:$X$6631,V1084))</f>
        <v/>
      </c>
      <c r="Y1084" s="4" t="str">
        <f t="shared" si="4"/>
        <v/>
      </c>
    </row>
    <row r="1085" spans="19:25">
      <c r="S1085" t="str">
        <f t="shared" si="0"/>
        <v/>
      </c>
      <c r="T1085" t="str">
        <f t="shared" si="1"/>
        <v/>
      </c>
      <c r="U1085" t="str">
        <f t="shared" si="2"/>
        <v/>
      </c>
      <c r="V1085" t="str">
        <f>IF(OR(U1085="",U1085="ERRO_CHAVE"),"",IFERROR(MATCH(U1085,Fornecedores!$AF$1:$AF$6631,0),""))</f>
        <v/>
      </c>
      <c r="W1085" t="str">
        <f t="shared" si="3"/>
        <v/>
      </c>
      <c r="X1085" s="4" t="str">
        <f>IF(V1085="","",INDEX(Fornecedores!$X$1:$X$6631,V1085))</f>
        <v/>
      </c>
      <c r="Y1085" s="4" t="str">
        <f t="shared" si="4"/>
        <v/>
      </c>
    </row>
    <row r="1086" spans="19:25">
      <c r="S1086" t="str">
        <f t="shared" si="0"/>
        <v/>
      </c>
      <c r="T1086" t="str">
        <f t="shared" si="1"/>
        <v/>
      </c>
      <c r="U1086" t="str">
        <f t="shared" si="2"/>
        <v/>
      </c>
      <c r="V1086" t="str">
        <f>IF(OR(U1086="",U1086="ERRO_CHAVE"),"",IFERROR(MATCH(U1086,Fornecedores!$AF$1:$AF$6631,0),""))</f>
        <v/>
      </c>
      <c r="W1086" t="str">
        <f t="shared" si="3"/>
        <v/>
      </c>
      <c r="X1086" s="4" t="str">
        <f>IF(V1086="","",INDEX(Fornecedores!$X$1:$X$6631,V1086))</f>
        <v/>
      </c>
      <c r="Y1086" s="4" t="str">
        <f t="shared" si="4"/>
        <v/>
      </c>
    </row>
    <row r="1087" spans="19:25">
      <c r="S1087" t="str">
        <f t="shared" si="0"/>
        <v/>
      </c>
      <c r="T1087" t="str">
        <f t="shared" si="1"/>
        <v/>
      </c>
      <c r="U1087" t="str">
        <f t="shared" si="2"/>
        <v/>
      </c>
      <c r="V1087" t="str">
        <f>IF(OR(U1087="",U1087="ERRO_CHAVE"),"",IFERROR(MATCH(U1087,Fornecedores!$AF$1:$AF$6631,0),""))</f>
        <v/>
      </c>
      <c r="W1087" t="str">
        <f t="shared" si="3"/>
        <v/>
      </c>
      <c r="X1087" s="4" t="str">
        <f>IF(V1087="","",INDEX(Fornecedores!$X$1:$X$6631,V1087))</f>
        <v/>
      </c>
      <c r="Y1087" s="4" t="str">
        <f t="shared" si="4"/>
        <v/>
      </c>
    </row>
    <row r="1088" spans="19:25">
      <c r="S1088" t="str">
        <f t="shared" si="0"/>
        <v/>
      </c>
      <c r="T1088" t="str">
        <f t="shared" si="1"/>
        <v/>
      </c>
      <c r="U1088" t="str">
        <f t="shared" si="2"/>
        <v/>
      </c>
      <c r="V1088" t="str">
        <f>IF(OR(U1088="",U1088="ERRO_CHAVE"),"",IFERROR(MATCH(U1088,Fornecedores!$AF$1:$AF$6631,0),""))</f>
        <v/>
      </c>
      <c r="W1088" t="str">
        <f t="shared" si="3"/>
        <v/>
      </c>
      <c r="X1088" s="4" t="str">
        <f>IF(V1088="","",INDEX(Fornecedores!$X$1:$X$6631,V1088))</f>
        <v/>
      </c>
      <c r="Y1088" s="4" t="str">
        <f t="shared" si="4"/>
        <v/>
      </c>
    </row>
    <row r="1089" spans="19:25">
      <c r="S1089" t="str">
        <f t="shared" si="0"/>
        <v/>
      </c>
      <c r="T1089" t="str">
        <f t="shared" si="1"/>
        <v/>
      </c>
      <c r="U1089" t="str">
        <f t="shared" si="2"/>
        <v/>
      </c>
      <c r="V1089" t="str">
        <f>IF(OR(U1089="",U1089="ERRO_CHAVE"),"",IFERROR(MATCH(U1089,Fornecedores!$AF$1:$AF$6631,0),""))</f>
        <v/>
      </c>
      <c r="W1089" t="str">
        <f t="shared" si="3"/>
        <v/>
      </c>
      <c r="X1089" s="4" t="str">
        <f>IF(V1089="","",INDEX(Fornecedores!$X$1:$X$6631,V1089))</f>
        <v/>
      </c>
      <c r="Y1089" s="4" t="str">
        <f t="shared" si="4"/>
        <v/>
      </c>
    </row>
    <row r="1090" spans="19:25">
      <c r="S1090" t="str">
        <f t="shared" si="0"/>
        <v/>
      </c>
      <c r="T1090" t="str">
        <f t="shared" si="1"/>
        <v/>
      </c>
      <c r="U1090" t="str">
        <f t="shared" si="2"/>
        <v/>
      </c>
      <c r="V1090" t="str">
        <f>IF(OR(U1090="",U1090="ERRO_CHAVE"),"",IFERROR(MATCH(U1090,Fornecedores!$AF$1:$AF$6631,0),""))</f>
        <v/>
      </c>
      <c r="W1090" t="str">
        <f t="shared" si="3"/>
        <v/>
      </c>
      <c r="X1090" s="4" t="str">
        <f>IF(V1090="","",INDEX(Fornecedores!$X$1:$X$6631,V1090))</f>
        <v/>
      </c>
      <c r="Y1090" s="4" t="str">
        <f t="shared" si="4"/>
        <v/>
      </c>
    </row>
    <row r="1091" spans="19:25">
      <c r="S1091" t="str">
        <f t="shared" si="0"/>
        <v/>
      </c>
      <c r="T1091" t="str">
        <f t="shared" si="1"/>
        <v/>
      </c>
      <c r="U1091" t="str">
        <f t="shared" si="2"/>
        <v/>
      </c>
      <c r="V1091" t="str">
        <f>IF(OR(U1091="",U1091="ERRO_CHAVE"),"",IFERROR(MATCH(U1091,Fornecedores!$AF$1:$AF$6631,0),""))</f>
        <v/>
      </c>
      <c r="W1091" t="str">
        <f t="shared" si="3"/>
        <v/>
      </c>
      <c r="X1091" s="4" t="str">
        <f>IF(V1091="","",INDEX(Fornecedores!$X$1:$X$6631,V1091))</f>
        <v/>
      </c>
      <c r="Y1091" s="4" t="str">
        <f t="shared" si="4"/>
        <v/>
      </c>
    </row>
    <row r="1092" spans="19:25">
      <c r="S1092" t="str">
        <f t="shared" si="0"/>
        <v/>
      </c>
      <c r="T1092" t="str">
        <f t="shared" si="1"/>
        <v/>
      </c>
      <c r="U1092" t="str">
        <f t="shared" si="2"/>
        <v/>
      </c>
      <c r="V1092" t="str">
        <f>IF(OR(U1092="",U1092="ERRO_CHAVE"),"",IFERROR(MATCH(U1092,Fornecedores!$AF$1:$AF$6631,0),""))</f>
        <v/>
      </c>
      <c r="W1092" t="str">
        <f t="shared" si="3"/>
        <v/>
      </c>
      <c r="X1092" s="4" t="str">
        <f>IF(V1092="","",INDEX(Fornecedores!$X$1:$X$6631,V1092))</f>
        <v/>
      </c>
      <c r="Y1092" s="4" t="str">
        <f t="shared" si="4"/>
        <v/>
      </c>
    </row>
    <row r="1093" spans="19:25">
      <c r="S1093" t="str">
        <f t="shared" si="0"/>
        <v/>
      </c>
      <c r="T1093" t="str">
        <f t="shared" si="1"/>
        <v/>
      </c>
      <c r="U1093" t="str">
        <f t="shared" si="2"/>
        <v/>
      </c>
      <c r="V1093" t="str">
        <f>IF(OR(U1093="",U1093="ERRO_CHAVE"),"",IFERROR(MATCH(U1093,Fornecedores!$AF$1:$AF$6631,0),""))</f>
        <v/>
      </c>
      <c r="W1093" t="str">
        <f t="shared" si="3"/>
        <v/>
      </c>
      <c r="X1093" s="4" t="str">
        <f>IF(V1093="","",INDEX(Fornecedores!$X$1:$X$6631,V1093))</f>
        <v/>
      </c>
      <c r="Y1093" s="4" t="str">
        <f t="shared" si="4"/>
        <v/>
      </c>
    </row>
    <row r="1094" spans="19:25">
      <c r="S1094" t="str">
        <f t="shared" si="0"/>
        <v/>
      </c>
      <c r="T1094" t="str">
        <f t="shared" si="1"/>
        <v/>
      </c>
      <c r="U1094" t="str">
        <f t="shared" si="2"/>
        <v/>
      </c>
      <c r="V1094" t="str">
        <f>IF(OR(U1094="",U1094="ERRO_CHAVE"),"",IFERROR(MATCH(U1094,Fornecedores!$AF$1:$AF$6631,0),""))</f>
        <v/>
      </c>
      <c r="W1094" t="str">
        <f t="shared" si="3"/>
        <v/>
      </c>
      <c r="X1094" s="4" t="str">
        <f>IF(V1094="","",INDEX(Fornecedores!$X$1:$X$6631,V1094))</f>
        <v/>
      </c>
      <c r="Y1094" s="4" t="str">
        <f t="shared" si="4"/>
        <v/>
      </c>
    </row>
    <row r="1095" spans="19:25">
      <c r="S1095" t="str">
        <f t="shared" si="0"/>
        <v/>
      </c>
      <c r="T1095" t="str">
        <f t="shared" si="1"/>
        <v/>
      </c>
      <c r="U1095" t="str">
        <f t="shared" si="2"/>
        <v/>
      </c>
      <c r="V1095" t="str">
        <f>IF(OR(U1095="",U1095="ERRO_CHAVE"),"",IFERROR(MATCH(U1095,Fornecedores!$AF$1:$AF$6631,0),""))</f>
        <v/>
      </c>
      <c r="W1095" t="str">
        <f t="shared" si="3"/>
        <v/>
      </c>
      <c r="X1095" s="4" t="str">
        <f>IF(V1095="","",INDEX(Fornecedores!$X$1:$X$6631,V1095))</f>
        <v/>
      </c>
      <c r="Y1095" s="4" t="str">
        <f t="shared" si="4"/>
        <v/>
      </c>
    </row>
    <row r="1096" spans="19:25">
      <c r="S1096" t="str">
        <f t="shared" si="0"/>
        <v/>
      </c>
      <c r="T1096" t="str">
        <f t="shared" si="1"/>
        <v/>
      </c>
      <c r="U1096" t="str">
        <f t="shared" si="2"/>
        <v/>
      </c>
      <c r="V1096" t="str">
        <f>IF(OR(U1096="",U1096="ERRO_CHAVE"),"",IFERROR(MATCH(U1096,Fornecedores!$AF$1:$AF$6631,0),""))</f>
        <v/>
      </c>
      <c r="W1096" t="str">
        <f t="shared" si="3"/>
        <v/>
      </c>
      <c r="X1096" s="4" t="str">
        <f>IF(V1096="","",INDEX(Fornecedores!$X$1:$X$6631,V1096))</f>
        <v/>
      </c>
      <c r="Y1096" s="4" t="str">
        <f t="shared" si="4"/>
        <v/>
      </c>
    </row>
    <row r="1097" spans="19:25">
      <c r="S1097" t="str">
        <f t="shared" si="0"/>
        <v/>
      </c>
      <c r="T1097" t="str">
        <f t="shared" si="1"/>
        <v/>
      </c>
      <c r="U1097" t="str">
        <f t="shared" si="2"/>
        <v/>
      </c>
      <c r="V1097" t="str">
        <f>IF(OR(U1097="",U1097="ERRO_CHAVE"),"",IFERROR(MATCH(U1097,Fornecedores!$AF$1:$AF$6631,0),""))</f>
        <v/>
      </c>
      <c r="W1097" t="str">
        <f t="shared" si="3"/>
        <v/>
      </c>
      <c r="X1097" s="4" t="str">
        <f>IF(V1097="","",INDEX(Fornecedores!$X$1:$X$6631,V1097))</f>
        <v/>
      </c>
      <c r="Y1097" s="4" t="str">
        <f t="shared" si="4"/>
        <v/>
      </c>
    </row>
    <row r="1098" spans="19:25">
      <c r="S1098" t="str">
        <f t="shared" si="0"/>
        <v/>
      </c>
      <c r="T1098" t="str">
        <f t="shared" si="1"/>
        <v/>
      </c>
      <c r="U1098" t="str">
        <f t="shared" si="2"/>
        <v/>
      </c>
      <c r="V1098" t="str">
        <f>IF(OR(U1098="",U1098="ERRO_CHAVE"),"",IFERROR(MATCH(U1098,Fornecedores!$AF$1:$AF$6631,0),""))</f>
        <v/>
      </c>
      <c r="W1098" t="str">
        <f t="shared" si="3"/>
        <v/>
      </c>
      <c r="X1098" s="4" t="str">
        <f>IF(V1098="","",INDEX(Fornecedores!$X$1:$X$6631,V1098))</f>
        <v/>
      </c>
      <c r="Y1098" s="4" t="str">
        <f t="shared" si="4"/>
        <v/>
      </c>
    </row>
    <row r="1099" spans="19:25">
      <c r="S1099" t="str">
        <f t="shared" si="0"/>
        <v/>
      </c>
      <c r="T1099" t="str">
        <f t="shared" si="1"/>
        <v/>
      </c>
      <c r="U1099" t="str">
        <f t="shared" si="2"/>
        <v/>
      </c>
      <c r="V1099" t="str">
        <f>IF(OR(U1099="",U1099="ERRO_CHAVE"),"",IFERROR(MATCH(U1099,Fornecedores!$AF$1:$AF$6631,0),""))</f>
        <v/>
      </c>
      <c r="W1099" t="str">
        <f t="shared" si="3"/>
        <v/>
      </c>
      <c r="X1099" s="4" t="str">
        <f>IF(V1099="","",INDEX(Fornecedores!$X$1:$X$6631,V1099))</f>
        <v/>
      </c>
      <c r="Y1099" s="4" t="str">
        <f t="shared" si="4"/>
        <v/>
      </c>
    </row>
    <row r="1100" spans="19:25">
      <c r="S1100" t="str">
        <f t="shared" si="0"/>
        <v/>
      </c>
      <c r="T1100" t="str">
        <f t="shared" si="1"/>
        <v/>
      </c>
      <c r="U1100" t="str">
        <f t="shared" si="2"/>
        <v/>
      </c>
      <c r="V1100" t="str">
        <f>IF(OR(U1100="",U1100="ERRO_CHAVE"),"",IFERROR(MATCH(U1100,Fornecedores!$AF$1:$AF$6631,0),""))</f>
        <v/>
      </c>
      <c r="W1100" t="str">
        <f t="shared" si="3"/>
        <v/>
      </c>
      <c r="X1100" s="4" t="str">
        <f>IF(V1100="","",INDEX(Fornecedores!$X$1:$X$6631,V1100))</f>
        <v/>
      </c>
      <c r="Y1100" s="4" t="str">
        <f t="shared" si="4"/>
        <v/>
      </c>
    </row>
    <row r="1101" spans="19:25">
      <c r="S1101" t="str">
        <f t="shared" si="0"/>
        <v/>
      </c>
      <c r="T1101" t="str">
        <f t="shared" si="1"/>
        <v/>
      </c>
      <c r="U1101" t="str">
        <f t="shared" si="2"/>
        <v/>
      </c>
      <c r="V1101" t="str">
        <f>IF(OR(U1101="",U1101="ERRO_CHAVE"),"",IFERROR(MATCH(U1101,Fornecedores!$AF$1:$AF$6631,0),""))</f>
        <v/>
      </c>
      <c r="W1101" t="str">
        <f t="shared" si="3"/>
        <v/>
      </c>
      <c r="X1101" s="4" t="str">
        <f>IF(V1101="","",INDEX(Fornecedores!$X$1:$X$6631,V1101))</f>
        <v/>
      </c>
      <c r="Y1101" s="4" t="str">
        <f t="shared" si="4"/>
        <v/>
      </c>
    </row>
    <row r="1102" spans="19:25">
      <c r="S1102" t="str">
        <f t="shared" si="0"/>
        <v/>
      </c>
      <c r="T1102" t="str">
        <f t="shared" si="1"/>
        <v/>
      </c>
      <c r="U1102" t="str">
        <f t="shared" si="2"/>
        <v/>
      </c>
      <c r="V1102" t="str">
        <f>IF(OR(U1102="",U1102="ERRO_CHAVE"),"",IFERROR(MATCH(U1102,Fornecedores!$AF$1:$AF$6631,0),""))</f>
        <v/>
      </c>
      <c r="W1102" t="str">
        <f t="shared" si="3"/>
        <v/>
      </c>
      <c r="X1102" s="4" t="str">
        <f>IF(V1102="","",INDEX(Fornecedores!$X$1:$X$6631,V1102))</f>
        <v/>
      </c>
      <c r="Y1102" s="4" t="str">
        <f t="shared" si="4"/>
        <v/>
      </c>
    </row>
    <row r="1103" spans="19:25">
      <c r="S1103" t="str">
        <f t="shared" si="0"/>
        <v/>
      </c>
      <c r="T1103" t="str">
        <f t="shared" si="1"/>
        <v/>
      </c>
      <c r="U1103" t="str">
        <f t="shared" si="2"/>
        <v/>
      </c>
      <c r="V1103" t="str">
        <f>IF(OR(U1103="",U1103="ERRO_CHAVE"),"",IFERROR(MATCH(U1103,Fornecedores!$AF$1:$AF$6631,0),""))</f>
        <v/>
      </c>
      <c r="W1103" t="str">
        <f t="shared" si="3"/>
        <v/>
      </c>
      <c r="X1103" s="4" t="str">
        <f>IF(V1103="","",INDEX(Fornecedores!$X$1:$X$6631,V1103))</f>
        <v/>
      </c>
      <c r="Y1103" s="4" t="str">
        <f t="shared" si="4"/>
        <v/>
      </c>
    </row>
    <row r="1104" spans="19:25">
      <c r="S1104" t="str">
        <f t="shared" si="0"/>
        <v/>
      </c>
      <c r="T1104" t="str">
        <f t="shared" si="1"/>
        <v/>
      </c>
      <c r="U1104" t="str">
        <f t="shared" si="2"/>
        <v/>
      </c>
      <c r="V1104" t="str">
        <f>IF(OR(U1104="",U1104="ERRO_CHAVE"),"",IFERROR(MATCH(U1104,Fornecedores!$AF$1:$AF$6631,0),""))</f>
        <v/>
      </c>
      <c r="W1104" t="str">
        <f t="shared" si="3"/>
        <v/>
      </c>
      <c r="X1104" s="4" t="str">
        <f>IF(V1104="","",INDEX(Fornecedores!$X$1:$X$6631,V1104))</f>
        <v/>
      </c>
      <c r="Y1104" s="4" t="str">
        <f t="shared" si="4"/>
        <v/>
      </c>
    </row>
    <row r="1105" spans="19:25">
      <c r="S1105" t="str">
        <f t="shared" si="0"/>
        <v/>
      </c>
      <c r="T1105" t="str">
        <f t="shared" si="1"/>
        <v/>
      </c>
      <c r="U1105" t="str">
        <f t="shared" si="2"/>
        <v/>
      </c>
      <c r="V1105" t="str">
        <f>IF(OR(U1105="",U1105="ERRO_CHAVE"),"",IFERROR(MATCH(U1105,Fornecedores!$AF$1:$AF$6631,0),""))</f>
        <v/>
      </c>
      <c r="W1105" t="str">
        <f t="shared" si="3"/>
        <v/>
      </c>
      <c r="X1105" s="4" t="str">
        <f>IF(V1105="","",INDEX(Fornecedores!$X$1:$X$6631,V1105))</f>
        <v/>
      </c>
      <c r="Y1105" s="4" t="str">
        <f t="shared" si="4"/>
        <v/>
      </c>
    </row>
    <row r="1106" spans="19:25">
      <c r="S1106" t="str">
        <f t="shared" si="0"/>
        <v/>
      </c>
      <c r="T1106" t="str">
        <f t="shared" si="1"/>
        <v/>
      </c>
      <c r="U1106" t="str">
        <f t="shared" si="2"/>
        <v/>
      </c>
      <c r="V1106" t="str">
        <f>IF(OR(U1106="",U1106="ERRO_CHAVE"),"",IFERROR(MATCH(U1106,Fornecedores!$AF$1:$AF$6631,0),""))</f>
        <v/>
      </c>
      <c r="W1106" t="str">
        <f t="shared" si="3"/>
        <v/>
      </c>
      <c r="X1106" s="4" t="str">
        <f>IF(V1106="","",INDEX(Fornecedores!$X$1:$X$6631,V1106))</f>
        <v/>
      </c>
      <c r="Y1106" s="4" t="str">
        <f t="shared" si="4"/>
        <v/>
      </c>
    </row>
    <row r="1107" spans="19:25">
      <c r="S1107" t="str">
        <f t="shared" si="0"/>
        <v/>
      </c>
      <c r="T1107" t="str">
        <f t="shared" si="1"/>
        <v/>
      </c>
      <c r="U1107" t="str">
        <f t="shared" si="2"/>
        <v/>
      </c>
      <c r="V1107" t="str">
        <f>IF(OR(U1107="",U1107="ERRO_CHAVE"),"",IFERROR(MATCH(U1107,Fornecedores!$AF$1:$AF$6631,0),""))</f>
        <v/>
      </c>
      <c r="W1107" t="str">
        <f t="shared" si="3"/>
        <v/>
      </c>
      <c r="X1107" s="4" t="str">
        <f>IF(V1107="","",INDEX(Fornecedores!$X$1:$X$6631,V1107))</f>
        <v/>
      </c>
      <c r="Y1107" s="4" t="str">
        <f t="shared" si="4"/>
        <v/>
      </c>
    </row>
    <row r="1108" spans="19:25">
      <c r="S1108" t="str">
        <f t="shared" si="0"/>
        <v/>
      </c>
      <c r="T1108" t="str">
        <f t="shared" si="1"/>
        <v/>
      </c>
      <c r="U1108" t="str">
        <f t="shared" si="2"/>
        <v/>
      </c>
      <c r="V1108" t="str">
        <f>IF(OR(U1108="",U1108="ERRO_CHAVE"),"",IFERROR(MATCH(U1108,Fornecedores!$AF$1:$AF$6631,0),""))</f>
        <v/>
      </c>
      <c r="W1108" t="str">
        <f t="shared" si="3"/>
        <v/>
      </c>
      <c r="X1108" s="4" t="str">
        <f>IF(V1108="","",INDEX(Fornecedores!$X$1:$X$6631,V1108))</f>
        <v/>
      </c>
      <c r="Y1108" s="4" t="str">
        <f t="shared" si="4"/>
        <v/>
      </c>
    </row>
    <row r="1109" spans="19:25">
      <c r="S1109" t="str">
        <f t="shared" si="0"/>
        <v/>
      </c>
      <c r="T1109" t="str">
        <f t="shared" si="1"/>
        <v/>
      </c>
      <c r="U1109" t="str">
        <f t="shared" si="2"/>
        <v/>
      </c>
      <c r="V1109" t="str">
        <f>IF(OR(U1109="",U1109="ERRO_CHAVE"),"",IFERROR(MATCH(U1109,Fornecedores!$AF$1:$AF$6631,0),""))</f>
        <v/>
      </c>
      <c r="W1109" t="str">
        <f t="shared" si="3"/>
        <v/>
      </c>
      <c r="X1109" s="4" t="str">
        <f>IF(V1109="","",INDEX(Fornecedores!$X$1:$X$6631,V1109))</f>
        <v/>
      </c>
      <c r="Y1109" s="4" t="str">
        <f t="shared" si="4"/>
        <v/>
      </c>
    </row>
    <row r="1110" spans="19:25">
      <c r="S1110" t="str">
        <f t="shared" si="0"/>
        <v/>
      </c>
      <c r="T1110" t="str">
        <f t="shared" si="1"/>
        <v/>
      </c>
      <c r="U1110" t="str">
        <f t="shared" si="2"/>
        <v/>
      </c>
      <c r="V1110" t="str">
        <f>IF(OR(U1110="",U1110="ERRO_CHAVE"),"",IFERROR(MATCH(U1110,Fornecedores!$AF$1:$AF$6631,0),""))</f>
        <v/>
      </c>
      <c r="W1110" t="str">
        <f t="shared" si="3"/>
        <v/>
      </c>
      <c r="X1110" s="4" t="str">
        <f>IF(V1110="","",INDEX(Fornecedores!$X$1:$X$6631,V1110))</f>
        <v/>
      </c>
      <c r="Y1110" s="4" t="str">
        <f t="shared" si="4"/>
        <v/>
      </c>
    </row>
    <row r="1111" spans="19:25">
      <c r="S1111" t="str">
        <f t="shared" si="0"/>
        <v/>
      </c>
      <c r="T1111" t="str">
        <f t="shared" si="1"/>
        <v/>
      </c>
      <c r="U1111" t="str">
        <f t="shared" si="2"/>
        <v/>
      </c>
      <c r="V1111" t="str">
        <f>IF(OR(U1111="",U1111="ERRO_CHAVE"),"",IFERROR(MATCH(U1111,Fornecedores!$AF$1:$AF$6631,0),""))</f>
        <v/>
      </c>
      <c r="W1111" t="str">
        <f t="shared" si="3"/>
        <v/>
      </c>
      <c r="X1111" s="4" t="str">
        <f>IF(V1111="","",INDEX(Fornecedores!$X$1:$X$6631,V1111))</f>
        <v/>
      </c>
      <c r="Y1111" s="4" t="str">
        <f t="shared" si="4"/>
        <v/>
      </c>
    </row>
    <row r="1112" spans="19:25">
      <c r="S1112" t="str">
        <f t="shared" si="0"/>
        <v/>
      </c>
      <c r="T1112" t="str">
        <f t="shared" si="1"/>
        <v/>
      </c>
      <c r="U1112" t="str">
        <f t="shared" si="2"/>
        <v/>
      </c>
      <c r="V1112" t="str">
        <f>IF(OR(U1112="",U1112="ERRO_CHAVE"),"",IFERROR(MATCH(U1112,Fornecedores!$AF$1:$AF$6631,0),""))</f>
        <v/>
      </c>
      <c r="W1112" t="str">
        <f t="shared" si="3"/>
        <v/>
      </c>
      <c r="X1112" s="4" t="str">
        <f>IF(V1112="","",INDEX(Fornecedores!$X$1:$X$6631,V1112))</f>
        <v/>
      </c>
      <c r="Y1112" s="4" t="str">
        <f t="shared" si="4"/>
        <v/>
      </c>
    </row>
    <row r="1113" spans="19:25">
      <c r="S1113" t="str">
        <f t="shared" si="0"/>
        <v/>
      </c>
      <c r="T1113" t="str">
        <f t="shared" si="1"/>
        <v/>
      </c>
      <c r="U1113" t="str">
        <f t="shared" si="2"/>
        <v/>
      </c>
      <c r="V1113" t="str">
        <f>IF(OR(U1113="",U1113="ERRO_CHAVE"),"",IFERROR(MATCH(U1113,Fornecedores!$AF$1:$AF$6631,0),""))</f>
        <v/>
      </c>
      <c r="W1113" t="str">
        <f t="shared" si="3"/>
        <v/>
      </c>
      <c r="X1113" s="4" t="str">
        <f>IF(V1113="","",INDEX(Fornecedores!$X$1:$X$6631,V1113))</f>
        <v/>
      </c>
      <c r="Y1113" s="4" t="str">
        <f t="shared" si="4"/>
        <v/>
      </c>
    </row>
    <row r="1114" spans="19:25">
      <c r="S1114" t="str">
        <f t="shared" si="0"/>
        <v/>
      </c>
      <c r="T1114" t="str">
        <f t="shared" si="1"/>
        <v/>
      </c>
      <c r="U1114" t="str">
        <f t="shared" si="2"/>
        <v/>
      </c>
      <c r="V1114" t="str">
        <f>IF(OR(U1114="",U1114="ERRO_CHAVE"),"",IFERROR(MATCH(U1114,Fornecedores!$AF$1:$AF$6631,0),""))</f>
        <v/>
      </c>
      <c r="W1114" t="str">
        <f t="shared" si="3"/>
        <v/>
      </c>
      <c r="X1114" s="4" t="str">
        <f>IF(V1114="","",INDEX(Fornecedores!$X$1:$X$6631,V1114))</f>
        <v/>
      </c>
      <c r="Y1114" s="4" t="str">
        <f t="shared" si="4"/>
        <v/>
      </c>
    </row>
    <row r="1115" spans="19:25">
      <c r="S1115" t="str">
        <f t="shared" si="0"/>
        <v/>
      </c>
      <c r="T1115" t="str">
        <f t="shared" si="1"/>
        <v/>
      </c>
      <c r="U1115" t="str">
        <f t="shared" si="2"/>
        <v/>
      </c>
      <c r="V1115" t="str">
        <f>IF(OR(U1115="",U1115="ERRO_CHAVE"),"",IFERROR(MATCH(U1115,Fornecedores!$AF$1:$AF$6631,0),""))</f>
        <v/>
      </c>
      <c r="W1115" t="str">
        <f t="shared" si="3"/>
        <v/>
      </c>
      <c r="X1115" s="4" t="str">
        <f>IF(V1115="","",INDEX(Fornecedores!$X$1:$X$6631,V1115))</f>
        <v/>
      </c>
      <c r="Y1115" s="4" t="str">
        <f t="shared" si="4"/>
        <v/>
      </c>
    </row>
    <row r="1116" spans="19:25">
      <c r="S1116" t="str">
        <f t="shared" si="0"/>
        <v/>
      </c>
      <c r="T1116" t="str">
        <f t="shared" si="1"/>
        <v/>
      </c>
      <c r="U1116" t="str">
        <f t="shared" si="2"/>
        <v/>
      </c>
      <c r="V1116" t="str">
        <f>IF(OR(U1116="",U1116="ERRO_CHAVE"),"",IFERROR(MATCH(U1116,Fornecedores!$AF$1:$AF$6631,0),""))</f>
        <v/>
      </c>
      <c r="W1116" t="str">
        <f t="shared" si="3"/>
        <v/>
      </c>
      <c r="X1116" s="4" t="str">
        <f>IF(V1116="","",INDEX(Fornecedores!$X$1:$X$6631,V1116))</f>
        <v/>
      </c>
      <c r="Y1116" s="4" t="str">
        <f t="shared" si="4"/>
        <v/>
      </c>
    </row>
    <row r="1117" spans="19:25">
      <c r="S1117" t="str">
        <f t="shared" si="0"/>
        <v/>
      </c>
      <c r="T1117" t="str">
        <f t="shared" si="1"/>
        <v/>
      </c>
      <c r="U1117" t="str">
        <f t="shared" si="2"/>
        <v/>
      </c>
      <c r="V1117" t="str">
        <f>IF(OR(U1117="",U1117="ERRO_CHAVE"),"",IFERROR(MATCH(U1117,Fornecedores!$AF$1:$AF$6631,0),""))</f>
        <v/>
      </c>
      <c r="W1117" t="str">
        <f t="shared" si="3"/>
        <v/>
      </c>
      <c r="X1117" s="4" t="str">
        <f>IF(V1117="","",INDEX(Fornecedores!$X$1:$X$6631,V1117))</f>
        <v/>
      </c>
      <c r="Y1117" s="4" t="str">
        <f t="shared" si="4"/>
        <v/>
      </c>
    </row>
    <row r="1118" spans="19:25">
      <c r="S1118" t="str">
        <f t="shared" si="0"/>
        <v/>
      </c>
      <c r="T1118" t="str">
        <f t="shared" si="1"/>
        <v/>
      </c>
      <c r="U1118" t="str">
        <f t="shared" si="2"/>
        <v/>
      </c>
      <c r="V1118" t="str">
        <f>IF(OR(U1118="",U1118="ERRO_CHAVE"),"",IFERROR(MATCH(U1118,Fornecedores!$AF$1:$AF$6631,0),""))</f>
        <v/>
      </c>
      <c r="W1118" t="str">
        <f t="shared" si="3"/>
        <v/>
      </c>
      <c r="X1118" s="4" t="str">
        <f>IF(V1118="","",INDEX(Fornecedores!$X$1:$X$6631,V1118))</f>
        <v/>
      </c>
      <c r="Y1118" s="4" t="str">
        <f t="shared" si="4"/>
        <v/>
      </c>
    </row>
    <row r="1119" spans="19:25">
      <c r="S1119" t="str">
        <f t="shared" si="0"/>
        <v/>
      </c>
      <c r="T1119" t="str">
        <f t="shared" si="1"/>
        <v/>
      </c>
      <c r="U1119" t="str">
        <f t="shared" si="2"/>
        <v/>
      </c>
      <c r="V1119" t="str">
        <f>IF(OR(U1119="",U1119="ERRO_CHAVE"),"",IFERROR(MATCH(U1119,Fornecedores!$AF$1:$AF$6631,0),""))</f>
        <v/>
      </c>
      <c r="W1119" t="str">
        <f t="shared" si="3"/>
        <v/>
      </c>
      <c r="X1119" s="4" t="str">
        <f>IF(V1119="","",INDEX(Fornecedores!$X$1:$X$6631,V1119))</f>
        <v/>
      </c>
      <c r="Y1119" s="4" t="str">
        <f t="shared" si="4"/>
        <v/>
      </c>
    </row>
    <row r="1120" spans="19:25">
      <c r="S1120" t="str">
        <f t="shared" si="0"/>
        <v/>
      </c>
      <c r="T1120" t="str">
        <f t="shared" si="1"/>
        <v/>
      </c>
      <c r="U1120" t="str">
        <f t="shared" si="2"/>
        <v/>
      </c>
      <c r="V1120" t="str">
        <f>IF(OR(U1120="",U1120="ERRO_CHAVE"),"",IFERROR(MATCH(U1120,Fornecedores!$AF$1:$AF$6631,0),""))</f>
        <v/>
      </c>
      <c r="W1120" t="str">
        <f t="shared" si="3"/>
        <v/>
      </c>
      <c r="X1120" s="4" t="str">
        <f>IF(V1120="","",INDEX(Fornecedores!$X$1:$X$6631,V1120))</f>
        <v/>
      </c>
      <c r="Y1120" s="4" t="str">
        <f t="shared" si="4"/>
        <v/>
      </c>
    </row>
    <row r="1121" spans="19:25">
      <c r="S1121" t="str">
        <f t="shared" si="0"/>
        <v/>
      </c>
      <c r="T1121" t="str">
        <f t="shared" si="1"/>
        <v/>
      </c>
      <c r="U1121" t="str">
        <f t="shared" si="2"/>
        <v/>
      </c>
      <c r="V1121" t="str">
        <f>IF(OR(U1121="",U1121="ERRO_CHAVE"),"",IFERROR(MATCH(U1121,Fornecedores!$AF$1:$AF$6631,0),""))</f>
        <v/>
      </c>
      <c r="W1121" t="str">
        <f t="shared" si="3"/>
        <v/>
      </c>
      <c r="X1121" s="4" t="str">
        <f>IF(V1121="","",INDEX(Fornecedores!$X$1:$X$6631,V1121))</f>
        <v/>
      </c>
      <c r="Y1121" s="4" t="str">
        <f t="shared" si="4"/>
        <v/>
      </c>
    </row>
    <row r="1122" spans="19:25">
      <c r="S1122" t="str">
        <f t="shared" si="0"/>
        <v/>
      </c>
      <c r="T1122" t="str">
        <f t="shared" si="1"/>
        <v/>
      </c>
      <c r="U1122" t="str">
        <f t="shared" si="2"/>
        <v/>
      </c>
      <c r="V1122" t="str">
        <f>IF(OR(U1122="",U1122="ERRO_CHAVE"),"",IFERROR(MATCH(U1122,Fornecedores!$AF$1:$AF$6631,0),""))</f>
        <v/>
      </c>
      <c r="W1122" t="str">
        <f t="shared" si="3"/>
        <v/>
      </c>
      <c r="X1122" s="4" t="str">
        <f>IF(V1122="","",INDEX(Fornecedores!$X$1:$X$6631,V1122))</f>
        <v/>
      </c>
      <c r="Y1122" s="4" t="str">
        <f t="shared" si="4"/>
        <v/>
      </c>
    </row>
    <row r="1123" spans="19:25">
      <c r="S1123" t="str">
        <f t="shared" si="0"/>
        <v/>
      </c>
      <c r="T1123" t="str">
        <f t="shared" si="1"/>
        <v/>
      </c>
      <c r="U1123" t="str">
        <f t="shared" si="2"/>
        <v/>
      </c>
      <c r="V1123" t="str">
        <f>IF(OR(U1123="",U1123="ERRO_CHAVE"),"",IFERROR(MATCH(U1123,Fornecedores!$AF$1:$AF$6631,0),""))</f>
        <v/>
      </c>
      <c r="W1123" t="str">
        <f t="shared" si="3"/>
        <v/>
      </c>
      <c r="X1123" s="4" t="str">
        <f>IF(V1123="","",INDEX(Fornecedores!$X$1:$X$6631,V1123))</f>
        <v/>
      </c>
      <c r="Y1123" s="4" t="str">
        <f t="shared" si="4"/>
        <v/>
      </c>
    </row>
    <row r="1124" spans="19:25">
      <c r="S1124" t="str">
        <f t="shared" si="0"/>
        <v/>
      </c>
      <c r="T1124" t="str">
        <f t="shared" si="1"/>
        <v/>
      </c>
      <c r="U1124" t="str">
        <f t="shared" si="2"/>
        <v/>
      </c>
      <c r="V1124" t="str">
        <f>IF(OR(U1124="",U1124="ERRO_CHAVE"),"",IFERROR(MATCH(U1124,Fornecedores!$AF$1:$AF$6631,0),""))</f>
        <v/>
      </c>
      <c r="W1124" t="str">
        <f t="shared" si="3"/>
        <v/>
      </c>
      <c r="X1124" s="4" t="str">
        <f>IF(V1124="","",INDEX(Fornecedores!$X$1:$X$6631,V1124))</f>
        <v/>
      </c>
      <c r="Y1124" s="4" t="str">
        <f t="shared" si="4"/>
        <v/>
      </c>
    </row>
    <row r="1125" spans="19:25">
      <c r="S1125" t="str">
        <f t="shared" si="0"/>
        <v/>
      </c>
      <c r="T1125" t="str">
        <f t="shared" si="1"/>
        <v/>
      </c>
      <c r="U1125" t="str">
        <f t="shared" si="2"/>
        <v/>
      </c>
      <c r="V1125" t="str">
        <f>IF(OR(U1125="",U1125="ERRO_CHAVE"),"",IFERROR(MATCH(U1125,Fornecedores!$AF$1:$AF$6631,0),""))</f>
        <v/>
      </c>
      <c r="W1125" t="str">
        <f t="shared" si="3"/>
        <v/>
      </c>
      <c r="X1125" s="4" t="str">
        <f>IF(V1125="","",INDEX(Fornecedores!$X$1:$X$6631,V1125))</f>
        <v/>
      </c>
      <c r="Y1125" s="4" t="str">
        <f t="shared" si="4"/>
        <v/>
      </c>
    </row>
    <row r="1126" spans="19:25">
      <c r="S1126" t="str">
        <f t="shared" si="0"/>
        <v/>
      </c>
      <c r="T1126" t="str">
        <f t="shared" si="1"/>
        <v/>
      </c>
      <c r="U1126" t="str">
        <f t="shared" si="2"/>
        <v/>
      </c>
      <c r="V1126" t="str">
        <f>IF(OR(U1126="",U1126="ERRO_CHAVE"),"",IFERROR(MATCH(U1126,Fornecedores!$AF$1:$AF$6631,0),""))</f>
        <v/>
      </c>
      <c r="W1126" t="str">
        <f t="shared" si="3"/>
        <v/>
      </c>
      <c r="X1126" s="4" t="str">
        <f>IF(V1126="","",INDEX(Fornecedores!$X$1:$X$6631,V1126))</f>
        <v/>
      </c>
      <c r="Y1126" s="4" t="str">
        <f t="shared" si="4"/>
        <v/>
      </c>
    </row>
    <row r="1127" spans="19:25">
      <c r="S1127" t="str">
        <f t="shared" si="0"/>
        <v/>
      </c>
      <c r="T1127" t="str">
        <f t="shared" si="1"/>
        <v/>
      </c>
      <c r="U1127" t="str">
        <f t="shared" si="2"/>
        <v/>
      </c>
      <c r="V1127" t="str">
        <f>IF(OR(U1127="",U1127="ERRO_CHAVE"),"",IFERROR(MATCH(U1127,Fornecedores!$AF$1:$AF$6631,0),""))</f>
        <v/>
      </c>
      <c r="W1127" t="str">
        <f t="shared" si="3"/>
        <v/>
      </c>
      <c r="X1127" s="4" t="str">
        <f>IF(V1127="","",INDEX(Fornecedores!$X$1:$X$6631,V1127))</f>
        <v/>
      </c>
      <c r="Y1127" s="4" t="str">
        <f t="shared" si="4"/>
        <v/>
      </c>
    </row>
    <row r="1128" spans="19:25">
      <c r="S1128" t="str">
        <f t="shared" si="0"/>
        <v/>
      </c>
      <c r="T1128" t="str">
        <f t="shared" si="1"/>
        <v/>
      </c>
      <c r="U1128" t="str">
        <f t="shared" si="2"/>
        <v/>
      </c>
      <c r="V1128" t="str">
        <f>IF(OR(U1128="",U1128="ERRO_CHAVE"),"",IFERROR(MATCH(U1128,Fornecedores!$AF$1:$AF$6631,0),""))</f>
        <v/>
      </c>
      <c r="W1128" t="str">
        <f t="shared" si="3"/>
        <v/>
      </c>
      <c r="X1128" s="4" t="str">
        <f>IF(V1128="","",INDEX(Fornecedores!$X$1:$X$6631,V1128))</f>
        <v/>
      </c>
      <c r="Y1128" s="4" t="str">
        <f t="shared" si="4"/>
        <v/>
      </c>
    </row>
    <row r="1129" spans="19:25">
      <c r="S1129" t="str">
        <f t="shared" si="0"/>
        <v/>
      </c>
      <c r="T1129" t="str">
        <f t="shared" si="1"/>
        <v/>
      </c>
      <c r="U1129" t="str">
        <f t="shared" si="2"/>
        <v/>
      </c>
      <c r="V1129" t="str">
        <f>IF(OR(U1129="",U1129="ERRO_CHAVE"),"",IFERROR(MATCH(U1129,Fornecedores!$AF$1:$AF$6631,0),""))</f>
        <v/>
      </c>
      <c r="W1129" t="str">
        <f t="shared" si="3"/>
        <v/>
      </c>
      <c r="X1129" s="4" t="str">
        <f>IF(V1129="","",INDEX(Fornecedores!$X$1:$X$6631,V1129))</f>
        <v/>
      </c>
      <c r="Y1129" s="4" t="str">
        <f t="shared" si="4"/>
        <v/>
      </c>
    </row>
    <row r="1130" spans="19:25">
      <c r="S1130" t="str">
        <f t="shared" si="0"/>
        <v/>
      </c>
      <c r="T1130" t="str">
        <f t="shared" si="1"/>
        <v/>
      </c>
      <c r="U1130" t="str">
        <f t="shared" si="2"/>
        <v/>
      </c>
      <c r="V1130" t="str">
        <f>IF(OR(U1130="",U1130="ERRO_CHAVE"),"",IFERROR(MATCH(U1130,Fornecedores!$AF$1:$AF$6631,0),""))</f>
        <v/>
      </c>
      <c r="W1130" t="str">
        <f t="shared" si="3"/>
        <v/>
      </c>
      <c r="X1130" s="4" t="str">
        <f>IF(V1130="","",INDEX(Fornecedores!$X$1:$X$6631,V1130))</f>
        <v/>
      </c>
      <c r="Y1130" s="4" t="str">
        <f t="shared" si="4"/>
        <v/>
      </c>
    </row>
    <row r="1131" spans="19:25">
      <c r="S1131" t="str">
        <f t="shared" si="0"/>
        <v/>
      </c>
      <c r="T1131" t="str">
        <f t="shared" si="1"/>
        <v/>
      </c>
      <c r="U1131" t="str">
        <f t="shared" si="2"/>
        <v/>
      </c>
      <c r="V1131" t="str">
        <f>IF(OR(U1131="",U1131="ERRO_CHAVE"),"",IFERROR(MATCH(U1131,Fornecedores!$AF$1:$AF$6631,0),""))</f>
        <v/>
      </c>
      <c r="W1131" t="str">
        <f t="shared" si="3"/>
        <v/>
      </c>
      <c r="X1131" s="4" t="str">
        <f>IF(V1131="","",INDEX(Fornecedores!$X$1:$X$6631,V1131))</f>
        <v/>
      </c>
      <c r="Y1131" s="4" t="str">
        <f t="shared" si="4"/>
        <v/>
      </c>
    </row>
    <row r="1132" spans="19:25">
      <c r="S1132" t="str">
        <f t="shared" si="0"/>
        <v/>
      </c>
      <c r="T1132" t="str">
        <f t="shared" si="1"/>
        <v/>
      </c>
      <c r="U1132" t="str">
        <f t="shared" si="2"/>
        <v/>
      </c>
      <c r="V1132" t="str">
        <f>IF(OR(U1132="",U1132="ERRO_CHAVE"),"",IFERROR(MATCH(U1132,Fornecedores!$AF$1:$AF$6631,0),""))</f>
        <v/>
      </c>
      <c r="W1132" t="str">
        <f t="shared" si="3"/>
        <v/>
      </c>
      <c r="X1132" s="4" t="str">
        <f>IF(V1132="","",INDEX(Fornecedores!$X$1:$X$6631,V1132))</f>
        <v/>
      </c>
      <c r="Y1132" s="4" t="str">
        <f t="shared" si="4"/>
        <v/>
      </c>
    </row>
    <row r="1133" spans="19:25">
      <c r="S1133" t="str">
        <f t="shared" si="0"/>
        <v/>
      </c>
      <c r="T1133" t="str">
        <f t="shared" si="1"/>
        <v/>
      </c>
      <c r="U1133" t="str">
        <f t="shared" si="2"/>
        <v/>
      </c>
      <c r="V1133" t="str">
        <f>IF(OR(U1133="",U1133="ERRO_CHAVE"),"",IFERROR(MATCH(U1133,Fornecedores!$AF$1:$AF$6631,0),""))</f>
        <v/>
      </c>
      <c r="W1133" t="str">
        <f t="shared" si="3"/>
        <v/>
      </c>
      <c r="X1133" s="4" t="str">
        <f>IF(V1133="","",INDEX(Fornecedores!$X$1:$X$6631,V1133))</f>
        <v/>
      </c>
      <c r="Y1133" s="4" t="str">
        <f t="shared" si="4"/>
        <v/>
      </c>
    </row>
    <row r="1134" spans="19:25">
      <c r="S1134" t="str">
        <f t="shared" si="0"/>
        <v/>
      </c>
      <c r="T1134" t="str">
        <f t="shared" si="1"/>
        <v/>
      </c>
      <c r="U1134" t="str">
        <f t="shared" si="2"/>
        <v/>
      </c>
      <c r="V1134" t="str">
        <f>IF(OR(U1134="",U1134="ERRO_CHAVE"),"",IFERROR(MATCH(U1134,Fornecedores!$AF$1:$AF$6631,0),""))</f>
        <v/>
      </c>
      <c r="W1134" t="str">
        <f t="shared" si="3"/>
        <v/>
      </c>
      <c r="X1134" s="4" t="str">
        <f>IF(V1134="","",INDEX(Fornecedores!$X$1:$X$6631,V1134))</f>
        <v/>
      </c>
      <c r="Y1134" s="4" t="str">
        <f t="shared" si="4"/>
        <v/>
      </c>
    </row>
    <row r="1135" spans="19:25">
      <c r="S1135" t="str">
        <f t="shared" si="0"/>
        <v/>
      </c>
      <c r="T1135" t="str">
        <f t="shared" si="1"/>
        <v/>
      </c>
      <c r="U1135" t="str">
        <f t="shared" si="2"/>
        <v/>
      </c>
      <c r="V1135" t="str">
        <f>IF(OR(U1135="",U1135="ERRO_CHAVE"),"",IFERROR(MATCH(U1135,Fornecedores!$AF$1:$AF$6631,0),""))</f>
        <v/>
      </c>
      <c r="W1135" t="str">
        <f t="shared" si="3"/>
        <v/>
      </c>
      <c r="X1135" s="4" t="str">
        <f>IF(V1135="","",INDEX(Fornecedores!$X$1:$X$6631,V1135))</f>
        <v/>
      </c>
      <c r="Y1135" s="4" t="str">
        <f t="shared" si="4"/>
        <v/>
      </c>
    </row>
    <row r="1136" spans="19:25">
      <c r="S1136" t="str">
        <f t="shared" si="0"/>
        <v/>
      </c>
      <c r="T1136" t="str">
        <f t="shared" si="1"/>
        <v/>
      </c>
      <c r="U1136" t="str">
        <f t="shared" si="2"/>
        <v/>
      </c>
      <c r="V1136" t="str">
        <f>IF(OR(U1136="",U1136="ERRO_CHAVE"),"",IFERROR(MATCH(U1136,Fornecedores!$AF$1:$AF$6631,0),""))</f>
        <v/>
      </c>
      <c r="W1136" t="str">
        <f t="shared" si="3"/>
        <v/>
      </c>
      <c r="X1136" s="4" t="str">
        <f>IF(V1136="","",INDEX(Fornecedores!$X$1:$X$6631,V1136))</f>
        <v/>
      </c>
      <c r="Y1136" s="4" t="str">
        <f t="shared" si="4"/>
        <v/>
      </c>
    </row>
    <row r="1137" spans="19:25">
      <c r="S1137" t="str">
        <f t="shared" si="0"/>
        <v/>
      </c>
      <c r="T1137" t="str">
        <f t="shared" si="1"/>
        <v/>
      </c>
      <c r="U1137" t="str">
        <f t="shared" si="2"/>
        <v/>
      </c>
      <c r="V1137" t="str">
        <f>IF(OR(U1137="",U1137="ERRO_CHAVE"),"",IFERROR(MATCH(U1137,Fornecedores!$AF$1:$AF$6631,0),""))</f>
        <v/>
      </c>
      <c r="W1137" t="str">
        <f t="shared" si="3"/>
        <v/>
      </c>
      <c r="X1137" s="4" t="str">
        <f>IF(V1137="","",INDEX(Fornecedores!$X$1:$X$6631,V1137))</f>
        <v/>
      </c>
      <c r="Y1137" s="4" t="str">
        <f t="shared" si="4"/>
        <v/>
      </c>
    </row>
    <row r="1138" spans="19:25">
      <c r="S1138" t="str">
        <f t="shared" si="0"/>
        <v/>
      </c>
      <c r="T1138" t="str">
        <f t="shared" si="1"/>
        <v/>
      </c>
      <c r="U1138" t="str">
        <f t="shared" si="2"/>
        <v/>
      </c>
      <c r="V1138" t="str">
        <f>IF(OR(U1138="",U1138="ERRO_CHAVE"),"",IFERROR(MATCH(U1138,Fornecedores!$AF$1:$AF$6631,0),""))</f>
        <v/>
      </c>
      <c r="W1138" t="str">
        <f t="shared" si="3"/>
        <v/>
      </c>
      <c r="X1138" s="4" t="str">
        <f>IF(V1138="","",INDEX(Fornecedores!$X$1:$X$6631,V1138))</f>
        <v/>
      </c>
      <c r="Y1138" s="4" t="str">
        <f t="shared" si="4"/>
        <v/>
      </c>
    </row>
    <row r="1139" spans="19:25">
      <c r="S1139" t="str">
        <f t="shared" si="0"/>
        <v/>
      </c>
      <c r="T1139" t="str">
        <f t="shared" si="1"/>
        <v/>
      </c>
      <c r="U1139" t="str">
        <f t="shared" si="2"/>
        <v/>
      </c>
      <c r="V1139" t="str">
        <f>IF(OR(U1139="",U1139="ERRO_CHAVE"),"",IFERROR(MATCH(U1139,Fornecedores!$AF$1:$AF$6631,0),""))</f>
        <v/>
      </c>
      <c r="W1139" t="str">
        <f t="shared" si="3"/>
        <v/>
      </c>
      <c r="X1139" s="4" t="str">
        <f>IF(V1139="","",INDEX(Fornecedores!$X$1:$X$6631,V1139))</f>
        <v/>
      </c>
      <c r="Y1139" s="4" t="str">
        <f t="shared" si="4"/>
        <v/>
      </c>
    </row>
    <row r="1140" spans="19:25">
      <c r="S1140" t="str">
        <f t="shared" si="0"/>
        <v/>
      </c>
      <c r="T1140" t="str">
        <f t="shared" si="1"/>
        <v/>
      </c>
      <c r="U1140" t="str">
        <f t="shared" si="2"/>
        <v/>
      </c>
      <c r="V1140" t="str">
        <f>IF(OR(U1140="",U1140="ERRO_CHAVE"),"",IFERROR(MATCH(U1140,Fornecedores!$AF$1:$AF$6631,0),""))</f>
        <v/>
      </c>
      <c r="W1140" t="str">
        <f t="shared" si="3"/>
        <v/>
      </c>
      <c r="X1140" s="4" t="str">
        <f>IF(V1140="","",INDEX(Fornecedores!$X$1:$X$6631,V1140))</f>
        <v/>
      </c>
      <c r="Y1140" s="4" t="str">
        <f t="shared" si="4"/>
        <v/>
      </c>
    </row>
    <row r="1141" spans="19:25">
      <c r="S1141" t="str">
        <f t="shared" si="0"/>
        <v/>
      </c>
      <c r="T1141" t="str">
        <f t="shared" si="1"/>
        <v/>
      </c>
      <c r="U1141" t="str">
        <f t="shared" si="2"/>
        <v/>
      </c>
      <c r="V1141" t="str">
        <f>IF(OR(U1141="",U1141="ERRO_CHAVE"),"",IFERROR(MATCH(U1141,Fornecedores!$AF$1:$AF$6631,0),""))</f>
        <v/>
      </c>
      <c r="W1141" t="str">
        <f t="shared" si="3"/>
        <v/>
      </c>
      <c r="X1141" s="4" t="str">
        <f>IF(V1141="","",INDEX(Fornecedores!$X$1:$X$6631,V1141))</f>
        <v/>
      </c>
      <c r="Y1141" s="4" t="str">
        <f t="shared" si="4"/>
        <v/>
      </c>
    </row>
    <row r="1142" spans="19:25">
      <c r="S1142" t="str">
        <f t="shared" si="0"/>
        <v/>
      </c>
      <c r="T1142" t="str">
        <f t="shared" si="1"/>
        <v/>
      </c>
      <c r="U1142" t="str">
        <f t="shared" si="2"/>
        <v/>
      </c>
      <c r="V1142" t="str">
        <f>IF(OR(U1142="",U1142="ERRO_CHAVE"),"",IFERROR(MATCH(U1142,Fornecedores!$AF$1:$AF$6631,0),""))</f>
        <v/>
      </c>
      <c r="W1142" t="str">
        <f t="shared" si="3"/>
        <v/>
      </c>
      <c r="X1142" s="4" t="str">
        <f>IF(V1142="","",INDEX(Fornecedores!$X$1:$X$6631,V1142))</f>
        <v/>
      </c>
      <c r="Y1142" s="4" t="str">
        <f t="shared" si="4"/>
        <v/>
      </c>
    </row>
    <row r="1143" spans="19:25">
      <c r="S1143" t="str">
        <f t="shared" si="0"/>
        <v/>
      </c>
      <c r="T1143" t="str">
        <f t="shared" si="1"/>
        <v/>
      </c>
      <c r="U1143" t="str">
        <f t="shared" si="2"/>
        <v/>
      </c>
      <c r="V1143" t="str">
        <f>IF(OR(U1143="",U1143="ERRO_CHAVE"),"",IFERROR(MATCH(U1143,Fornecedores!$AF$1:$AF$6631,0),""))</f>
        <v/>
      </c>
      <c r="W1143" t="str">
        <f t="shared" si="3"/>
        <v/>
      </c>
      <c r="X1143" s="4" t="str">
        <f>IF(V1143="","",INDEX(Fornecedores!$X$1:$X$6631,V1143))</f>
        <v/>
      </c>
      <c r="Y1143" s="4" t="str">
        <f t="shared" si="4"/>
        <v/>
      </c>
    </row>
    <row r="1144" spans="19:25">
      <c r="S1144" t="str">
        <f t="shared" si="0"/>
        <v/>
      </c>
      <c r="T1144" t="str">
        <f t="shared" si="1"/>
        <v/>
      </c>
      <c r="U1144" t="str">
        <f t="shared" si="2"/>
        <v/>
      </c>
      <c r="V1144" t="str">
        <f>IF(OR(U1144="",U1144="ERRO_CHAVE"),"",IFERROR(MATCH(U1144,Fornecedores!$AF$1:$AF$6631,0),""))</f>
        <v/>
      </c>
      <c r="W1144" t="str">
        <f t="shared" si="3"/>
        <v/>
      </c>
      <c r="X1144" s="4" t="str">
        <f>IF(V1144="","",INDEX(Fornecedores!$X$1:$X$6631,V1144))</f>
        <v/>
      </c>
      <c r="Y1144" s="4" t="str">
        <f t="shared" si="4"/>
        <v/>
      </c>
    </row>
    <row r="1145" spans="19:25">
      <c r="S1145" t="str">
        <f t="shared" si="0"/>
        <v/>
      </c>
      <c r="T1145" t="str">
        <f t="shared" si="1"/>
        <v/>
      </c>
      <c r="U1145" t="str">
        <f t="shared" si="2"/>
        <v/>
      </c>
      <c r="V1145" t="str">
        <f>IF(OR(U1145="",U1145="ERRO_CHAVE"),"",IFERROR(MATCH(U1145,Fornecedores!$AF$1:$AF$6631,0),""))</f>
        <v/>
      </c>
      <c r="W1145" t="str">
        <f t="shared" si="3"/>
        <v/>
      </c>
      <c r="X1145" s="4" t="str">
        <f>IF(V1145="","",INDEX(Fornecedores!$X$1:$X$6631,V1145))</f>
        <v/>
      </c>
      <c r="Y1145" s="4" t="str">
        <f t="shared" si="4"/>
        <v/>
      </c>
    </row>
    <row r="1146" spans="19:25">
      <c r="S1146" t="str">
        <f t="shared" si="0"/>
        <v/>
      </c>
      <c r="T1146" t="str">
        <f t="shared" si="1"/>
        <v/>
      </c>
      <c r="U1146" t="str">
        <f t="shared" si="2"/>
        <v/>
      </c>
      <c r="V1146" t="str">
        <f>IF(OR(U1146="",U1146="ERRO_CHAVE"),"",IFERROR(MATCH(U1146,Fornecedores!$AF$1:$AF$6631,0),""))</f>
        <v/>
      </c>
      <c r="W1146" t="str">
        <f t="shared" si="3"/>
        <v/>
      </c>
      <c r="X1146" s="4" t="str">
        <f>IF(V1146="","",INDEX(Fornecedores!$X$1:$X$6631,V1146))</f>
        <v/>
      </c>
      <c r="Y1146" s="4" t="str">
        <f t="shared" si="4"/>
        <v/>
      </c>
    </row>
    <row r="1147" spans="19:25">
      <c r="S1147" t="str">
        <f t="shared" si="0"/>
        <v/>
      </c>
      <c r="T1147" t="str">
        <f t="shared" si="1"/>
        <v/>
      </c>
      <c r="U1147" t="str">
        <f t="shared" si="2"/>
        <v/>
      </c>
      <c r="V1147" t="str">
        <f>IF(OR(U1147="",U1147="ERRO_CHAVE"),"",IFERROR(MATCH(U1147,Fornecedores!$AF$1:$AF$6631,0),""))</f>
        <v/>
      </c>
      <c r="W1147" t="str">
        <f t="shared" si="3"/>
        <v/>
      </c>
      <c r="X1147" s="4" t="str">
        <f>IF(V1147="","",INDEX(Fornecedores!$X$1:$X$6631,V1147))</f>
        <v/>
      </c>
      <c r="Y1147" s="4" t="str">
        <f t="shared" si="4"/>
        <v/>
      </c>
    </row>
    <row r="1148" spans="19:25">
      <c r="S1148" t="str">
        <f t="shared" si="0"/>
        <v/>
      </c>
      <c r="T1148" t="str">
        <f t="shared" si="1"/>
        <v/>
      </c>
      <c r="U1148" t="str">
        <f t="shared" si="2"/>
        <v/>
      </c>
      <c r="V1148" t="str">
        <f>IF(OR(U1148="",U1148="ERRO_CHAVE"),"",IFERROR(MATCH(U1148,Fornecedores!$AF$1:$AF$6631,0),""))</f>
        <v/>
      </c>
      <c r="W1148" t="str">
        <f t="shared" si="3"/>
        <v/>
      </c>
      <c r="X1148" s="4" t="str">
        <f>IF(V1148="","",INDEX(Fornecedores!$X$1:$X$6631,V1148))</f>
        <v/>
      </c>
      <c r="Y1148" s="4" t="str">
        <f t="shared" si="4"/>
        <v/>
      </c>
    </row>
    <row r="1149" spans="19:25">
      <c r="S1149" t="str">
        <f t="shared" si="0"/>
        <v/>
      </c>
      <c r="T1149" t="str">
        <f t="shared" si="1"/>
        <v/>
      </c>
      <c r="U1149" t="str">
        <f t="shared" si="2"/>
        <v/>
      </c>
      <c r="V1149" t="str">
        <f>IF(OR(U1149="",U1149="ERRO_CHAVE"),"",IFERROR(MATCH(U1149,Fornecedores!$AF$1:$AF$6631,0),""))</f>
        <v/>
      </c>
      <c r="W1149" t="str">
        <f t="shared" si="3"/>
        <v/>
      </c>
      <c r="X1149" s="4" t="str">
        <f>IF(V1149="","",INDEX(Fornecedores!$X$1:$X$6631,V1149))</f>
        <v/>
      </c>
      <c r="Y1149" s="4" t="str">
        <f t="shared" si="4"/>
        <v/>
      </c>
    </row>
    <row r="1150" spans="19:25">
      <c r="S1150" t="str">
        <f t="shared" si="0"/>
        <v/>
      </c>
      <c r="T1150" t="str">
        <f t="shared" si="1"/>
        <v/>
      </c>
      <c r="U1150" t="str">
        <f t="shared" si="2"/>
        <v/>
      </c>
      <c r="V1150" t="str">
        <f>IF(OR(U1150="",U1150="ERRO_CHAVE"),"",IFERROR(MATCH(U1150,Fornecedores!$AF$1:$AF$6631,0),""))</f>
        <v/>
      </c>
      <c r="W1150" t="str">
        <f t="shared" si="3"/>
        <v/>
      </c>
      <c r="X1150" s="4" t="str">
        <f>IF(V1150="","",INDEX(Fornecedores!$X$1:$X$6631,V1150))</f>
        <v/>
      </c>
      <c r="Y1150" s="4" t="str">
        <f t="shared" si="4"/>
        <v/>
      </c>
    </row>
    <row r="1151" spans="19:25">
      <c r="S1151" t="str">
        <f t="shared" si="0"/>
        <v/>
      </c>
      <c r="T1151" t="str">
        <f t="shared" si="1"/>
        <v/>
      </c>
      <c r="U1151" t="str">
        <f t="shared" si="2"/>
        <v/>
      </c>
      <c r="V1151" t="str">
        <f>IF(OR(U1151="",U1151="ERRO_CHAVE"),"",IFERROR(MATCH(U1151,Fornecedores!$AF$1:$AF$6631,0),""))</f>
        <v/>
      </c>
      <c r="W1151" t="str">
        <f t="shared" si="3"/>
        <v/>
      </c>
      <c r="X1151" s="4" t="str">
        <f>IF(V1151="","",INDEX(Fornecedores!$X$1:$X$6631,V1151))</f>
        <v/>
      </c>
      <c r="Y1151" s="4" t="str">
        <f t="shared" si="4"/>
        <v/>
      </c>
    </row>
    <row r="1152" spans="19:25">
      <c r="S1152" t="str">
        <f t="shared" si="0"/>
        <v/>
      </c>
      <c r="T1152" t="str">
        <f t="shared" si="1"/>
        <v/>
      </c>
      <c r="U1152" t="str">
        <f t="shared" si="2"/>
        <v/>
      </c>
      <c r="V1152" t="str">
        <f>IF(OR(U1152="",U1152="ERRO_CHAVE"),"",IFERROR(MATCH(U1152,Fornecedores!$AF$1:$AF$6631,0),""))</f>
        <v/>
      </c>
      <c r="W1152" t="str">
        <f t="shared" si="3"/>
        <v/>
      </c>
      <c r="X1152" s="4" t="str">
        <f>IF(V1152="","",INDEX(Fornecedores!$X$1:$X$6631,V1152))</f>
        <v/>
      </c>
      <c r="Y1152" s="4" t="str">
        <f t="shared" si="4"/>
        <v/>
      </c>
    </row>
    <row r="1153" spans="19:25">
      <c r="S1153" t="str">
        <f t="shared" si="0"/>
        <v/>
      </c>
      <c r="T1153" t="str">
        <f t="shared" si="1"/>
        <v/>
      </c>
      <c r="U1153" t="str">
        <f t="shared" si="2"/>
        <v/>
      </c>
      <c r="V1153" t="str">
        <f>IF(OR(U1153="",U1153="ERRO_CHAVE"),"",IFERROR(MATCH(U1153,Fornecedores!$AF$1:$AF$6631,0),""))</f>
        <v/>
      </c>
      <c r="W1153" t="str">
        <f t="shared" si="3"/>
        <v/>
      </c>
      <c r="X1153" s="4" t="str">
        <f>IF(V1153="","",INDEX(Fornecedores!$X$1:$X$6631,V1153))</f>
        <v/>
      </c>
      <c r="Y1153" s="4" t="str">
        <f t="shared" si="4"/>
        <v/>
      </c>
    </row>
    <row r="1154" spans="19:25">
      <c r="S1154" t="str">
        <f t="shared" si="0"/>
        <v/>
      </c>
      <c r="T1154" t="str">
        <f t="shared" si="1"/>
        <v/>
      </c>
      <c r="U1154" t="str">
        <f t="shared" si="2"/>
        <v/>
      </c>
      <c r="V1154" t="str">
        <f>IF(OR(U1154="",U1154="ERRO_CHAVE"),"",IFERROR(MATCH(U1154,Fornecedores!$AF$1:$AF$6631,0),""))</f>
        <v/>
      </c>
      <c r="W1154" t="str">
        <f t="shared" si="3"/>
        <v/>
      </c>
      <c r="X1154" s="4" t="str">
        <f>IF(V1154="","",INDEX(Fornecedores!$X$1:$X$6631,V1154))</f>
        <v/>
      </c>
      <c r="Y1154" s="4" t="str">
        <f t="shared" si="4"/>
        <v/>
      </c>
    </row>
    <row r="1155" spans="19:25">
      <c r="S1155" t="str">
        <f t="shared" si="0"/>
        <v/>
      </c>
      <c r="T1155" t="str">
        <f t="shared" si="1"/>
        <v/>
      </c>
      <c r="U1155" t="str">
        <f t="shared" si="2"/>
        <v/>
      </c>
      <c r="V1155" t="str">
        <f>IF(OR(U1155="",U1155="ERRO_CHAVE"),"",IFERROR(MATCH(U1155,Fornecedores!$AF$1:$AF$6631,0),""))</f>
        <v/>
      </c>
      <c r="W1155" t="str">
        <f t="shared" si="3"/>
        <v/>
      </c>
      <c r="X1155" s="4" t="str">
        <f>IF(V1155="","",INDEX(Fornecedores!$X$1:$X$6631,V1155))</f>
        <v/>
      </c>
      <c r="Y1155" s="4" t="str">
        <f t="shared" si="4"/>
        <v/>
      </c>
    </row>
    <row r="1156" spans="19:25">
      <c r="S1156" t="str">
        <f t="shared" si="0"/>
        <v/>
      </c>
      <c r="T1156" t="str">
        <f t="shared" si="1"/>
        <v/>
      </c>
      <c r="U1156" t="str">
        <f t="shared" si="2"/>
        <v/>
      </c>
      <c r="V1156" t="str">
        <f>IF(OR(U1156="",U1156="ERRO_CHAVE"),"",IFERROR(MATCH(U1156,Fornecedores!$AF$1:$AF$6631,0),""))</f>
        <v/>
      </c>
      <c r="W1156" t="str">
        <f t="shared" si="3"/>
        <v/>
      </c>
      <c r="X1156" s="4" t="str">
        <f>IF(V1156="","",INDEX(Fornecedores!$X$1:$X$6631,V1156))</f>
        <v/>
      </c>
      <c r="Y1156" s="4" t="str">
        <f t="shared" si="4"/>
        <v/>
      </c>
    </row>
    <row r="1157" spans="19:25">
      <c r="S1157" t="str">
        <f t="shared" si="0"/>
        <v/>
      </c>
      <c r="T1157" t="str">
        <f t="shared" si="1"/>
        <v/>
      </c>
      <c r="U1157" t="str">
        <f t="shared" si="2"/>
        <v/>
      </c>
      <c r="V1157" t="str">
        <f>IF(OR(U1157="",U1157="ERRO_CHAVE"),"",IFERROR(MATCH(U1157,Fornecedores!$AF$1:$AF$6631,0),""))</f>
        <v/>
      </c>
      <c r="W1157" t="str">
        <f t="shared" si="3"/>
        <v/>
      </c>
      <c r="X1157" s="4" t="str">
        <f>IF(V1157="","",INDEX(Fornecedores!$X$1:$X$6631,V1157))</f>
        <v/>
      </c>
      <c r="Y1157" s="4" t="str">
        <f t="shared" si="4"/>
        <v/>
      </c>
    </row>
    <row r="1158" spans="19:25">
      <c r="S1158" t="str">
        <f t="shared" si="0"/>
        <v/>
      </c>
      <c r="T1158" t="str">
        <f t="shared" si="1"/>
        <v/>
      </c>
      <c r="U1158" t="str">
        <f t="shared" si="2"/>
        <v/>
      </c>
      <c r="V1158" t="str">
        <f>IF(OR(U1158="",U1158="ERRO_CHAVE"),"",IFERROR(MATCH(U1158,Fornecedores!$AF$1:$AF$6631,0),""))</f>
        <v/>
      </c>
      <c r="W1158" t="str">
        <f t="shared" si="3"/>
        <v/>
      </c>
      <c r="X1158" s="4" t="str">
        <f>IF(V1158="","",INDEX(Fornecedores!$X$1:$X$6631,V1158))</f>
        <v/>
      </c>
      <c r="Y1158" s="4" t="str">
        <f t="shared" si="4"/>
        <v/>
      </c>
    </row>
    <row r="1159" spans="19:25">
      <c r="S1159" t="str">
        <f t="shared" si="0"/>
        <v/>
      </c>
      <c r="T1159" t="str">
        <f t="shared" si="1"/>
        <v/>
      </c>
      <c r="U1159" t="str">
        <f t="shared" si="2"/>
        <v/>
      </c>
      <c r="V1159" t="str">
        <f>IF(OR(U1159="",U1159="ERRO_CHAVE"),"",IFERROR(MATCH(U1159,Fornecedores!$AF$1:$AF$6631,0),""))</f>
        <v/>
      </c>
      <c r="W1159" t="str">
        <f t="shared" si="3"/>
        <v/>
      </c>
      <c r="X1159" s="4" t="str">
        <f>IF(V1159="","",INDEX(Fornecedores!$X$1:$X$6631,V1159))</f>
        <v/>
      </c>
      <c r="Y1159" s="4" t="str">
        <f t="shared" si="4"/>
        <v/>
      </c>
    </row>
    <row r="1160" spans="19:25">
      <c r="S1160" t="str">
        <f t="shared" si="0"/>
        <v/>
      </c>
      <c r="T1160" t="str">
        <f t="shared" si="1"/>
        <v/>
      </c>
      <c r="U1160" t="str">
        <f t="shared" si="2"/>
        <v/>
      </c>
      <c r="V1160" t="str">
        <f>IF(OR(U1160="",U1160="ERRO_CHAVE"),"",IFERROR(MATCH(U1160,Fornecedores!$AF$1:$AF$6631,0),""))</f>
        <v/>
      </c>
      <c r="W1160" t="str">
        <f t="shared" si="3"/>
        <v/>
      </c>
      <c r="X1160" s="4" t="str">
        <f>IF(V1160="","",INDEX(Fornecedores!$X$1:$X$6631,V1160))</f>
        <v/>
      </c>
      <c r="Y1160" s="4" t="str">
        <f t="shared" si="4"/>
        <v/>
      </c>
    </row>
    <row r="1161" spans="19:25">
      <c r="S1161" t="str">
        <f t="shared" si="0"/>
        <v/>
      </c>
      <c r="T1161" t="str">
        <f t="shared" si="1"/>
        <v/>
      </c>
      <c r="U1161" t="str">
        <f t="shared" si="2"/>
        <v/>
      </c>
      <c r="V1161" t="str">
        <f>IF(OR(U1161="",U1161="ERRO_CHAVE"),"",IFERROR(MATCH(U1161,Fornecedores!$AF$1:$AF$6631,0),""))</f>
        <v/>
      </c>
      <c r="W1161" t="str">
        <f t="shared" si="3"/>
        <v/>
      </c>
      <c r="X1161" s="4" t="str">
        <f>IF(V1161="","",INDEX(Fornecedores!$X$1:$X$6631,V1161))</f>
        <v/>
      </c>
      <c r="Y1161" s="4" t="str">
        <f t="shared" si="4"/>
        <v/>
      </c>
    </row>
    <row r="1162" spans="19:25">
      <c r="S1162" t="str">
        <f t="shared" si="0"/>
        <v/>
      </c>
      <c r="T1162" t="str">
        <f t="shared" si="1"/>
        <v/>
      </c>
      <c r="U1162" t="str">
        <f t="shared" si="2"/>
        <v/>
      </c>
      <c r="V1162" t="str">
        <f>IF(OR(U1162="",U1162="ERRO_CHAVE"),"",IFERROR(MATCH(U1162,Fornecedores!$AF$1:$AF$6631,0),""))</f>
        <v/>
      </c>
      <c r="W1162" t="str">
        <f t="shared" si="3"/>
        <v/>
      </c>
      <c r="X1162" s="4" t="str">
        <f>IF(V1162="","",INDEX(Fornecedores!$X$1:$X$6631,V1162))</f>
        <v/>
      </c>
      <c r="Y1162" s="4" t="str">
        <f t="shared" si="4"/>
        <v/>
      </c>
    </row>
    <row r="1163" spans="19:25">
      <c r="S1163" t="str">
        <f t="shared" si="0"/>
        <v/>
      </c>
      <c r="T1163" t="str">
        <f t="shared" si="1"/>
        <v/>
      </c>
      <c r="U1163" t="str">
        <f t="shared" si="2"/>
        <v/>
      </c>
      <c r="V1163" t="str">
        <f>IF(OR(U1163="",U1163="ERRO_CHAVE"),"",IFERROR(MATCH(U1163,Fornecedores!$AF$1:$AF$6631,0),""))</f>
        <v/>
      </c>
      <c r="W1163" t="str">
        <f t="shared" si="3"/>
        <v/>
      </c>
      <c r="X1163" s="4" t="str">
        <f>IF(V1163="","",INDEX(Fornecedores!$X$1:$X$6631,V1163))</f>
        <v/>
      </c>
      <c r="Y1163" s="4" t="str">
        <f t="shared" si="4"/>
        <v/>
      </c>
    </row>
    <row r="1164" spans="19:25">
      <c r="S1164" t="str">
        <f t="shared" si="0"/>
        <v/>
      </c>
      <c r="T1164" t="str">
        <f t="shared" si="1"/>
        <v/>
      </c>
      <c r="U1164" t="str">
        <f t="shared" si="2"/>
        <v/>
      </c>
      <c r="V1164" t="str">
        <f>IF(OR(U1164="",U1164="ERRO_CHAVE"),"",IFERROR(MATCH(U1164,Fornecedores!$AF$1:$AF$6631,0),""))</f>
        <v/>
      </c>
      <c r="W1164" t="str">
        <f t="shared" si="3"/>
        <v/>
      </c>
      <c r="X1164" s="4" t="str">
        <f>IF(V1164="","",INDEX(Fornecedores!$X$1:$X$6631,V1164))</f>
        <v/>
      </c>
      <c r="Y1164" s="4" t="str">
        <f t="shared" si="4"/>
        <v/>
      </c>
    </row>
    <row r="1165" spans="19:25">
      <c r="S1165" t="str">
        <f t="shared" si="0"/>
        <v/>
      </c>
      <c r="T1165" t="str">
        <f t="shared" si="1"/>
        <v/>
      </c>
      <c r="U1165" t="str">
        <f t="shared" si="2"/>
        <v/>
      </c>
      <c r="V1165" t="str">
        <f>IF(OR(U1165="",U1165="ERRO_CHAVE"),"",IFERROR(MATCH(U1165,Fornecedores!$AF$1:$AF$6631,0),""))</f>
        <v/>
      </c>
      <c r="W1165" t="str">
        <f t="shared" si="3"/>
        <v/>
      </c>
      <c r="X1165" s="4" t="str">
        <f>IF(V1165="","",INDEX(Fornecedores!$X$1:$X$6631,V1165))</f>
        <v/>
      </c>
      <c r="Y1165" s="4" t="str">
        <f t="shared" si="4"/>
        <v/>
      </c>
    </row>
    <row r="1166" spans="19:25">
      <c r="S1166" t="str">
        <f t="shared" si="0"/>
        <v/>
      </c>
      <c r="T1166" t="str">
        <f t="shared" si="1"/>
        <v/>
      </c>
      <c r="U1166" t="str">
        <f t="shared" si="2"/>
        <v/>
      </c>
      <c r="V1166" t="str">
        <f>IF(OR(U1166="",U1166="ERRO_CHAVE"),"",IFERROR(MATCH(U1166,Fornecedores!$AF$1:$AF$6631,0),""))</f>
        <v/>
      </c>
      <c r="W1166" t="str">
        <f t="shared" si="3"/>
        <v/>
      </c>
      <c r="X1166" s="4" t="str">
        <f>IF(V1166="","",INDEX(Fornecedores!$X$1:$X$6631,V1166))</f>
        <v/>
      </c>
      <c r="Y1166" s="4" t="str">
        <f t="shared" si="4"/>
        <v/>
      </c>
    </row>
    <row r="1167" spans="19:25">
      <c r="S1167" t="str">
        <f t="shared" si="0"/>
        <v/>
      </c>
      <c r="T1167" t="str">
        <f t="shared" si="1"/>
        <v/>
      </c>
      <c r="U1167" t="str">
        <f t="shared" si="2"/>
        <v/>
      </c>
      <c r="V1167" t="str">
        <f>IF(OR(U1167="",U1167="ERRO_CHAVE"),"",IFERROR(MATCH(U1167,Fornecedores!$AF$1:$AF$6631,0),""))</f>
        <v/>
      </c>
      <c r="W1167" t="str">
        <f t="shared" si="3"/>
        <v/>
      </c>
      <c r="X1167" s="4" t="str">
        <f>IF(V1167="","",INDEX(Fornecedores!$X$1:$X$6631,V1167))</f>
        <v/>
      </c>
      <c r="Y1167" s="4" t="str">
        <f t="shared" si="4"/>
        <v/>
      </c>
    </row>
    <row r="1168" spans="19:25">
      <c r="S1168" t="str">
        <f t="shared" si="0"/>
        <v/>
      </c>
      <c r="T1168" t="str">
        <f t="shared" si="1"/>
        <v/>
      </c>
      <c r="U1168" t="str">
        <f t="shared" si="2"/>
        <v/>
      </c>
      <c r="V1168" t="str">
        <f>IF(OR(U1168="",U1168="ERRO_CHAVE"),"",IFERROR(MATCH(U1168,Fornecedores!$AF$1:$AF$6631,0),""))</f>
        <v/>
      </c>
      <c r="W1168" t="str">
        <f t="shared" si="3"/>
        <v/>
      </c>
      <c r="X1168" s="4" t="str">
        <f>IF(V1168="","",INDEX(Fornecedores!$X$1:$X$6631,V1168))</f>
        <v/>
      </c>
      <c r="Y1168" s="4" t="str">
        <f t="shared" si="4"/>
        <v/>
      </c>
    </row>
    <row r="1169" spans="19:25">
      <c r="S1169" t="str">
        <f t="shared" si="0"/>
        <v/>
      </c>
      <c r="T1169" t="str">
        <f t="shared" si="1"/>
        <v/>
      </c>
      <c r="U1169" t="str">
        <f t="shared" si="2"/>
        <v/>
      </c>
      <c r="V1169" t="str">
        <f>IF(OR(U1169="",U1169="ERRO_CHAVE"),"",IFERROR(MATCH(U1169,Fornecedores!$AF$1:$AF$6631,0),""))</f>
        <v/>
      </c>
      <c r="W1169" t="str">
        <f t="shared" si="3"/>
        <v/>
      </c>
      <c r="X1169" s="4" t="str">
        <f>IF(V1169="","",INDEX(Fornecedores!$X$1:$X$6631,V1169))</f>
        <v/>
      </c>
      <c r="Y1169" s="4" t="str">
        <f t="shared" si="4"/>
        <v/>
      </c>
    </row>
    <row r="1170" spans="19:25">
      <c r="S1170" t="str">
        <f t="shared" si="0"/>
        <v/>
      </c>
      <c r="T1170" t="str">
        <f t="shared" si="1"/>
        <v/>
      </c>
      <c r="U1170" t="str">
        <f t="shared" si="2"/>
        <v/>
      </c>
      <c r="V1170" t="str">
        <f>IF(OR(U1170="",U1170="ERRO_CHAVE"),"",IFERROR(MATCH(U1170,Fornecedores!$AF$1:$AF$6631,0),""))</f>
        <v/>
      </c>
      <c r="W1170" t="str">
        <f t="shared" si="3"/>
        <v/>
      </c>
      <c r="X1170" s="4" t="str">
        <f>IF(V1170="","",INDEX(Fornecedores!$X$1:$X$6631,V1170))</f>
        <v/>
      </c>
      <c r="Y1170" s="4" t="str">
        <f t="shared" si="4"/>
        <v/>
      </c>
    </row>
    <row r="1171" spans="19:25">
      <c r="S1171" t="str">
        <f t="shared" si="0"/>
        <v/>
      </c>
      <c r="T1171" t="str">
        <f t="shared" si="1"/>
        <v/>
      </c>
      <c r="U1171" t="str">
        <f t="shared" si="2"/>
        <v/>
      </c>
      <c r="V1171" t="str">
        <f>IF(OR(U1171="",U1171="ERRO_CHAVE"),"",IFERROR(MATCH(U1171,Fornecedores!$AF$1:$AF$6631,0),""))</f>
        <v/>
      </c>
      <c r="W1171" t="str">
        <f t="shared" si="3"/>
        <v/>
      </c>
      <c r="X1171" s="4" t="str">
        <f>IF(V1171="","",INDEX(Fornecedores!$X$1:$X$6631,V1171))</f>
        <v/>
      </c>
      <c r="Y1171" s="4" t="str">
        <f t="shared" si="4"/>
        <v/>
      </c>
    </row>
    <row r="1172" spans="19:25">
      <c r="S1172" t="str">
        <f t="shared" si="0"/>
        <v/>
      </c>
      <c r="T1172" t="str">
        <f t="shared" si="1"/>
        <v/>
      </c>
      <c r="U1172" t="str">
        <f t="shared" si="2"/>
        <v/>
      </c>
      <c r="V1172" t="str">
        <f>IF(OR(U1172="",U1172="ERRO_CHAVE"),"",IFERROR(MATCH(U1172,Fornecedores!$AF$1:$AF$6631,0),""))</f>
        <v/>
      </c>
      <c r="W1172" t="str">
        <f t="shared" si="3"/>
        <v/>
      </c>
      <c r="X1172" s="4" t="str">
        <f>IF(V1172="","",INDEX(Fornecedores!$X$1:$X$6631,V1172))</f>
        <v/>
      </c>
      <c r="Y1172" s="4" t="str">
        <f t="shared" si="4"/>
        <v/>
      </c>
    </row>
    <row r="1173" spans="19:25">
      <c r="S1173" t="str">
        <f t="shared" si="0"/>
        <v/>
      </c>
      <c r="T1173" t="str">
        <f t="shared" si="1"/>
        <v/>
      </c>
      <c r="U1173" t="str">
        <f t="shared" si="2"/>
        <v/>
      </c>
      <c r="V1173" t="str">
        <f>IF(OR(U1173="",U1173="ERRO_CHAVE"),"",IFERROR(MATCH(U1173,Fornecedores!$AF$1:$AF$6631,0),""))</f>
        <v/>
      </c>
      <c r="W1173" t="str">
        <f t="shared" si="3"/>
        <v/>
      </c>
      <c r="X1173" s="4" t="str">
        <f>IF(V1173="","",INDEX(Fornecedores!$X$1:$X$6631,V1173))</f>
        <v/>
      </c>
      <c r="Y1173" s="4" t="str">
        <f t="shared" si="4"/>
        <v/>
      </c>
    </row>
    <row r="1174" spans="19:25">
      <c r="S1174" t="str">
        <f t="shared" si="0"/>
        <v/>
      </c>
      <c r="T1174" t="str">
        <f t="shared" si="1"/>
        <v/>
      </c>
      <c r="U1174" t="str">
        <f t="shared" si="2"/>
        <v/>
      </c>
      <c r="V1174" t="str">
        <f>IF(OR(U1174="",U1174="ERRO_CHAVE"),"",IFERROR(MATCH(U1174,Fornecedores!$AF$1:$AF$6631,0),""))</f>
        <v/>
      </c>
      <c r="W1174" t="str">
        <f t="shared" si="3"/>
        <v/>
      </c>
      <c r="X1174" s="4" t="str">
        <f>IF(V1174="","",INDEX(Fornecedores!$X$1:$X$6631,V1174))</f>
        <v/>
      </c>
      <c r="Y1174" s="4" t="str">
        <f t="shared" si="4"/>
        <v/>
      </c>
    </row>
    <row r="1175" spans="19:25">
      <c r="S1175" t="str">
        <f t="shared" si="0"/>
        <v/>
      </c>
      <c r="T1175" t="str">
        <f t="shared" si="1"/>
        <v/>
      </c>
      <c r="U1175" t="str">
        <f t="shared" si="2"/>
        <v/>
      </c>
      <c r="V1175" t="str">
        <f>IF(OR(U1175="",U1175="ERRO_CHAVE"),"",IFERROR(MATCH(U1175,Fornecedores!$AF$1:$AF$6631,0),""))</f>
        <v/>
      </c>
      <c r="W1175" t="str">
        <f t="shared" si="3"/>
        <v/>
      </c>
      <c r="X1175" s="4" t="str">
        <f>IF(V1175="","",INDEX(Fornecedores!$X$1:$X$6631,V1175))</f>
        <v/>
      </c>
      <c r="Y1175" s="4" t="str">
        <f t="shared" si="4"/>
        <v/>
      </c>
    </row>
    <row r="1176" spans="19:25">
      <c r="S1176" t="str">
        <f t="shared" si="0"/>
        <v/>
      </c>
      <c r="T1176" t="str">
        <f t="shared" si="1"/>
        <v/>
      </c>
      <c r="U1176" t="str">
        <f t="shared" si="2"/>
        <v/>
      </c>
      <c r="V1176" t="str">
        <f>IF(OR(U1176="",U1176="ERRO_CHAVE"),"",IFERROR(MATCH(U1176,Fornecedores!$AF$1:$AF$6631,0),""))</f>
        <v/>
      </c>
      <c r="W1176" t="str">
        <f t="shared" si="3"/>
        <v/>
      </c>
      <c r="X1176" s="4" t="str">
        <f>IF(V1176="","",INDEX(Fornecedores!$X$1:$X$6631,V1176))</f>
        <v/>
      </c>
      <c r="Y1176" s="4" t="str">
        <f t="shared" si="4"/>
        <v/>
      </c>
    </row>
    <row r="1177" spans="19:25">
      <c r="S1177" t="str">
        <f t="shared" si="0"/>
        <v/>
      </c>
      <c r="T1177" t="str">
        <f t="shared" si="1"/>
        <v/>
      </c>
      <c r="U1177" t="str">
        <f t="shared" si="2"/>
        <v/>
      </c>
      <c r="V1177" t="str">
        <f>IF(OR(U1177="",U1177="ERRO_CHAVE"),"",IFERROR(MATCH(U1177,Fornecedores!$AF$1:$AF$6631,0),""))</f>
        <v/>
      </c>
      <c r="W1177" t="str">
        <f t="shared" si="3"/>
        <v/>
      </c>
      <c r="X1177" s="4" t="str">
        <f>IF(V1177="","",INDEX(Fornecedores!$X$1:$X$6631,V1177))</f>
        <v/>
      </c>
      <c r="Y1177" s="4" t="str">
        <f t="shared" si="4"/>
        <v/>
      </c>
    </row>
    <row r="1178" spans="19:25">
      <c r="S1178" t="str">
        <f t="shared" si="0"/>
        <v/>
      </c>
      <c r="T1178" t="str">
        <f t="shared" si="1"/>
        <v/>
      </c>
      <c r="U1178" t="str">
        <f t="shared" si="2"/>
        <v/>
      </c>
      <c r="V1178" t="str">
        <f>IF(OR(U1178="",U1178="ERRO_CHAVE"),"",IFERROR(MATCH(U1178,Fornecedores!$AF$1:$AF$6631,0),""))</f>
        <v/>
      </c>
      <c r="W1178" t="str">
        <f t="shared" si="3"/>
        <v/>
      </c>
      <c r="X1178" s="4" t="str">
        <f>IF(V1178="","",INDEX(Fornecedores!$X$1:$X$6631,V1178))</f>
        <v/>
      </c>
      <c r="Y1178" s="4" t="str">
        <f t="shared" si="4"/>
        <v/>
      </c>
    </row>
    <row r="1179" spans="19:25">
      <c r="S1179" t="str">
        <f t="shared" si="0"/>
        <v/>
      </c>
      <c r="T1179" t="str">
        <f t="shared" si="1"/>
        <v/>
      </c>
      <c r="U1179" t="str">
        <f t="shared" si="2"/>
        <v/>
      </c>
      <c r="V1179" t="str">
        <f>IF(OR(U1179="",U1179="ERRO_CHAVE"),"",IFERROR(MATCH(U1179,Fornecedores!$AF$1:$AF$6631,0),""))</f>
        <v/>
      </c>
      <c r="W1179" t="str">
        <f t="shared" si="3"/>
        <v/>
      </c>
      <c r="X1179" s="4" t="str">
        <f>IF(V1179="","",INDEX(Fornecedores!$X$1:$X$6631,V1179))</f>
        <v/>
      </c>
      <c r="Y1179" s="4" t="str">
        <f t="shared" si="4"/>
        <v/>
      </c>
    </row>
    <row r="1180" spans="19:25">
      <c r="S1180" t="str">
        <f t="shared" si="0"/>
        <v/>
      </c>
      <c r="T1180" t="str">
        <f t="shared" si="1"/>
        <v/>
      </c>
      <c r="U1180" t="str">
        <f t="shared" si="2"/>
        <v/>
      </c>
      <c r="V1180" t="str">
        <f>IF(OR(U1180="",U1180="ERRO_CHAVE"),"",IFERROR(MATCH(U1180,Fornecedores!$AF$1:$AF$6631,0),""))</f>
        <v/>
      </c>
      <c r="W1180" t="str">
        <f t="shared" si="3"/>
        <v/>
      </c>
      <c r="X1180" s="4" t="str">
        <f>IF(V1180="","",INDEX(Fornecedores!$X$1:$X$6631,V1180))</f>
        <v/>
      </c>
      <c r="Y1180" s="4" t="str">
        <f t="shared" si="4"/>
        <v/>
      </c>
    </row>
    <row r="1181" spans="19:25">
      <c r="S1181" t="str">
        <f t="shared" si="0"/>
        <v/>
      </c>
      <c r="T1181" t="str">
        <f t="shared" si="1"/>
        <v/>
      </c>
      <c r="U1181" t="str">
        <f t="shared" si="2"/>
        <v/>
      </c>
      <c r="V1181" t="str">
        <f>IF(OR(U1181="",U1181="ERRO_CHAVE"),"",IFERROR(MATCH(U1181,Fornecedores!$AF$1:$AF$6631,0),""))</f>
        <v/>
      </c>
      <c r="W1181" t="str">
        <f t="shared" si="3"/>
        <v/>
      </c>
      <c r="X1181" s="4" t="str">
        <f>IF(V1181="","",INDEX(Fornecedores!$X$1:$X$6631,V1181))</f>
        <v/>
      </c>
      <c r="Y1181" s="4" t="str">
        <f t="shared" si="4"/>
        <v/>
      </c>
    </row>
    <row r="1182" spans="19:25">
      <c r="S1182" t="str">
        <f t="shared" si="0"/>
        <v/>
      </c>
      <c r="T1182" t="str">
        <f t="shared" si="1"/>
        <v/>
      </c>
      <c r="U1182" t="str">
        <f t="shared" si="2"/>
        <v/>
      </c>
      <c r="V1182" t="str">
        <f>IF(OR(U1182="",U1182="ERRO_CHAVE"),"",IFERROR(MATCH(U1182,Fornecedores!$AF$1:$AF$6631,0),""))</f>
        <v/>
      </c>
      <c r="W1182" t="str">
        <f t="shared" si="3"/>
        <v/>
      </c>
      <c r="X1182" s="4" t="str">
        <f>IF(V1182="","",INDEX(Fornecedores!$X$1:$X$6631,V1182))</f>
        <v/>
      </c>
      <c r="Y1182" s="4" t="str">
        <f t="shared" si="4"/>
        <v/>
      </c>
    </row>
    <row r="1183" spans="19:25">
      <c r="S1183" t="str">
        <f t="shared" si="0"/>
        <v/>
      </c>
      <c r="T1183" t="str">
        <f t="shared" si="1"/>
        <v/>
      </c>
      <c r="U1183" t="str">
        <f t="shared" si="2"/>
        <v/>
      </c>
      <c r="V1183" t="str">
        <f>IF(OR(U1183="",U1183="ERRO_CHAVE"),"",IFERROR(MATCH(U1183,Fornecedores!$AF$1:$AF$6631,0),""))</f>
        <v/>
      </c>
      <c r="W1183" t="str">
        <f t="shared" si="3"/>
        <v/>
      </c>
      <c r="X1183" s="4" t="str">
        <f>IF(V1183="","",INDEX(Fornecedores!$X$1:$X$6631,V1183))</f>
        <v/>
      </c>
      <c r="Y1183" s="4" t="str">
        <f t="shared" si="4"/>
        <v/>
      </c>
    </row>
    <row r="1184" spans="19:25">
      <c r="S1184" t="str">
        <f t="shared" si="0"/>
        <v/>
      </c>
      <c r="T1184" t="str">
        <f t="shared" si="1"/>
        <v/>
      </c>
      <c r="U1184" t="str">
        <f t="shared" si="2"/>
        <v/>
      </c>
      <c r="V1184" t="str">
        <f>IF(OR(U1184="",U1184="ERRO_CHAVE"),"",IFERROR(MATCH(U1184,Fornecedores!$AF$1:$AF$6631,0),""))</f>
        <v/>
      </c>
      <c r="W1184" t="str">
        <f t="shared" si="3"/>
        <v/>
      </c>
      <c r="X1184" s="4" t="str">
        <f>IF(V1184="","",INDEX(Fornecedores!$X$1:$X$6631,V1184))</f>
        <v/>
      </c>
      <c r="Y1184" s="4" t="str">
        <f t="shared" si="4"/>
        <v/>
      </c>
    </row>
    <row r="1185" spans="19:25">
      <c r="S1185" t="str">
        <f t="shared" si="0"/>
        <v/>
      </c>
      <c r="T1185" t="str">
        <f t="shared" si="1"/>
        <v/>
      </c>
      <c r="U1185" t="str">
        <f t="shared" si="2"/>
        <v/>
      </c>
      <c r="V1185" t="str">
        <f>IF(OR(U1185="",U1185="ERRO_CHAVE"),"",IFERROR(MATCH(U1185,Fornecedores!$AF$1:$AF$6631,0),""))</f>
        <v/>
      </c>
      <c r="W1185" t="str">
        <f t="shared" si="3"/>
        <v/>
      </c>
      <c r="X1185" s="4" t="str">
        <f>IF(V1185="","",INDEX(Fornecedores!$X$1:$X$6631,V1185))</f>
        <v/>
      </c>
      <c r="Y1185" s="4" t="str">
        <f t="shared" si="4"/>
        <v/>
      </c>
    </row>
    <row r="1186" spans="19:25">
      <c r="S1186" t="str">
        <f t="shared" si="0"/>
        <v/>
      </c>
      <c r="T1186" t="str">
        <f t="shared" si="1"/>
        <v/>
      </c>
      <c r="U1186" t="str">
        <f t="shared" si="2"/>
        <v/>
      </c>
      <c r="V1186" t="str">
        <f>IF(OR(U1186="",U1186="ERRO_CHAVE"),"",IFERROR(MATCH(U1186,Fornecedores!$AF$1:$AF$6631,0),""))</f>
        <v/>
      </c>
      <c r="W1186" t="str">
        <f t="shared" si="3"/>
        <v/>
      </c>
      <c r="X1186" s="4" t="str">
        <f>IF(V1186="","",INDEX(Fornecedores!$X$1:$X$6631,V1186))</f>
        <v/>
      </c>
      <c r="Y1186" s="4" t="str">
        <f t="shared" si="4"/>
        <v/>
      </c>
    </row>
    <row r="1187" spans="19:25">
      <c r="S1187" t="str">
        <f t="shared" si="0"/>
        <v/>
      </c>
      <c r="T1187" t="str">
        <f t="shared" si="1"/>
        <v/>
      </c>
      <c r="U1187" t="str">
        <f t="shared" si="2"/>
        <v/>
      </c>
      <c r="V1187" t="str">
        <f>IF(OR(U1187="",U1187="ERRO_CHAVE"),"",IFERROR(MATCH(U1187,Fornecedores!$AF$1:$AF$6631,0),""))</f>
        <v/>
      </c>
      <c r="W1187" t="str">
        <f t="shared" si="3"/>
        <v/>
      </c>
      <c r="X1187" s="4" t="str">
        <f>IF(V1187="","",INDEX(Fornecedores!$X$1:$X$6631,V1187))</f>
        <v/>
      </c>
      <c r="Y1187" s="4" t="str">
        <f t="shared" si="4"/>
        <v/>
      </c>
    </row>
    <row r="1188" spans="19:25">
      <c r="S1188" t="str">
        <f t="shared" si="0"/>
        <v/>
      </c>
      <c r="T1188" t="str">
        <f t="shared" si="1"/>
        <v/>
      </c>
      <c r="U1188" t="str">
        <f t="shared" si="2"/>
        <v/>
      </c>
      <c r="V1188" t="str">
        <f>IF(OR(U1188="",U1188="ERRO_CHAVE"),"",IFERROR(MATCH(U1188,Fornecedores!$AF$1:$AF$6631,0),""))</f>
        <v/>
      </c>
      <c r="W1188" t="str">
        <f t="shared" si="3"/>
        <v/>
      </c>
      <c r="X1188" s="4" t="str">
        <f>IF(V1188="","",INDEX(Fornecedores!$X$1:$X$6631,V1188))</f>
        <v/>
      </c>
      <c r="Y1188" s="4" t="str">
        <f t="shared" si="4"/>
        <v/>
      </c>
    </row>
    <row r="1189" spans="19:25">
      <c r="S1189" t="str">
        <f t="shared" si="0"/>
        <v/>
      </c>
      <c r="T1189" t="str">
        <f t="shared" si="1"/>
        <v/>
      </c>
      <c r="U1189" t="str">
        <f t="shared" si="2"/>
        <v/>
      </c>
      <c r="V1189" t="str">
        <f>IF(OR(U1189="",U1189="ERRO_CHAVE"),"",IFERROR(MATCH(U1189,Fornecedores!$AF$1:$AF$6631,0),""))</f>
        <v/>
      </c>
      <c r="W1189" t="str">
        <f t="shared" si="3"/>
        <v/>
      </c>
      <c r="X1189" s="4" t="str">
        <f>IF(V1189="","",INDEX(Fornecedores!$X$1:$X$6631,V1189))</f>
        <v/>
      </c>
      <c r="Y1189" s="4" t="str">
        <f t="shared" si="4"/>
        <v/>
      </c>
    </row>
    <row r="1190" spans="19:25">
      <c r="S1190" t="str">
        <f t="shared" si="0"/>
        <v/>
      </c>
      <c r="T1190" t="str">
        <f t="shared" si="1"/>
        <v/>
      </c>
      <c r="U1190" t="str">
        <f t="shared" si="2"/>
        <v/>
      </c>
      <c r="V1190" t="str">
        <f>IF(OR(U1190="",U1190="ERRO_CHAVE"),"",IFERROR(MATCH(U1190,Fornecedores!$AF$1:$AF$6631,0),""))</f>
        <v/>
      </c>
      <c r="W1190" t="str">
        <f t="shared" si="3"/>
        <v/>
      </c>
      <c r="X1190" s="4" t="str">
        <f>IF(V1190="","",INDEX(Fornecedores!$X$1:$X$6631,V1190))</f>
        <v/>
      </c>
      <c r="Y1190" s="4" t="str">
        <f t="shared" si="4"/>
        <v/>
      </c>
    </row>
    <row r="1191" spans="19:25">
      <c r="S1191" t="str">
        <f t="shared" si="0"/>
        <v/>
      </c>
      <c r="T1191" t="str">
        <f t="shared" si="1"/>
        <v/>
      </c>
      <c r="U1191" t="str">
        <f t="shared" si="2"/>
        <v/>
      </c>
      <c r="V1191" t="str">
        <f>IF(OR(U1191="",U1191="ERRO_CHAVE"),"",IFERROR(MATCH(U1191,Fornecedores!$AF$1:$AF$6631,0),""))</f>
        <v/>
      </c>
      <c r="W1191" t="str">
        <f t="shared" si="3"/>
        <v/>
      </c>
      <c r="X1191" s="4" t="str">
        <f>IF(V1191="","",INDEX(Fornecedores!$X$1:$X$6631,V1191))</f>
        <v/>
      </c>
      <c r="Y1191" s="4" t="str">
        <f t="shared" si="4"/>
        <v/>
      </c>
    </row>
    <row r="1192" spans="19:25">
      <c r="S1192" t="str">
        <f t="shared" si="0"/>
        <v/>
      </c>
      <c r="T1192" t="str">
        <f t="shared" si="1"/>
        <v/>
      </c>
      <c r="U1192" t="str">
        <f t="shared" si="2"/>
        <v/>
      </c>
      <c r="V1192" t="str">
        <f>IF(OR(U1192="",U1192="ERRO_CHAVE"),"",IFERROR(MATCH(U1192,Fornecedores!$AF$1:$AF$6631,0),""))</f>
        <v/>
      </c>
      <c r="W1192" t="str">
        <f t="shared" si="3"/>
        <v/>
      </c>
      <c r="X1192" s="4" t="str">
        <f>IF(V1192="","",INDEX(Fornecedores!$X$1:$X$6631,V1192))</f>
        <v/>
      </c>
      <c r="Y1192" s="4" t="str">
        <f t="shared" si="4"/>
        <v/>
      </c>
    </row>
    <row r="1193" spans="19:25">
      <c r="S1193" t="str">
        <f t="shared" si="0"/>
        <v/>
      </c>
      <c r="T1193" t="str">
        <f t="shared" si="1"/>
        <v/>
      </c>
      <c r="U1193" t="str">
        <f t="shared" si="2"/>
        <v/>
      </c>
      <c r="V1193" t="str">
        <f>IF(OR(U1193="",U1193="ERRO_CHAVE"),"",IFERROR(MATCH(U1193,Fornecedores!$AF$1:$AF$6631,0),""))</f>
        <v/>
      </c>
      <c r="W1193" t="str">
        <f t="shared" si="3"/>
        <v/>
      </c>
      <c r="X1193" s="4" t="str">
        <f>IF(V1193="","",INDEX(Fornecedores!$X$1:$X$6631,V1193))</f>
        <v/>
      </c>
      <c r="Y1193" s="4" t="str">
        <f t="shared" si="4"/>
        <v/>
      </c>
    </row>
    <row r="1194" spans="19:25">
      <c r="S1194" t="str">
        <f t="shared" si="0"/>
        <v/>
      </c>
      <c r="T1194" t="str">
        <f t="shared" si="1"/>
        <v/>
      </c>
      <c r="U1194" t="str">
        <f t="shared" si="2"/>
        <v/>
      </c>
      <c r="V1194" t="str">
        <f>IF(OR(U1194="",U1194="ERRO_CHAVE"),"",IFERROR(MATCH(U1194,Fornecedores!$AF$1:$AF$6631,0),""))</f>
        <v/>
      </c>
      <c r="W1194" t="str">
        <f t="shared" si="3"/>
        <v/>
      </c>
      <c r="X1194" s="4" t="str">
        <f>IF(V1194="","",INDEX(Fornecedores!$X$1:$X$6631,V1194))</f>
        <v/>
      </c>
      <c r="Y1194" s="4" t="str">
        <f t="shared" si="4"/>
        <v/>
      </c>
    </row>
    <row r="1195" spans="19:25">
      <c r="S1195" t="str">
        <f t="shared" si="0"/>
        <v/>
      </c>
      <c r="T1195" t="str">
        <f t="shared" si="1"/>
        <v/>
      </c>
      <c r="U1195" t="str">
        <f t="shared" si="2"/>
        <v/>
      </c>
      <c r="V1195" t="str">
        <f>IF(OR(U1195="",U1195="ERRO_CHAVE"),"",IFERROR(MATCH(U1195,Fornecedores!$AF$1:$AF$6631,0),""))</f>
        <v/>
      </c>
      <c r="W1195" t="str">
        <f t="shared" si="3"/>
        <v/>
      </c>
      <c r="X1195" s="4" t="str">
        <f>IF(V1195="","",INDEX(Fornecedores!$X$1:$X$6631,V1195))</f>
        <v/>
      </c>
      <c r="Y1195" s="4" t="str">
        <f t="shared" si="4"/>
        <v/>
      </c>
    </row>
    <row r="1196" spans="19:25">
      <c r="S1196" t="str">
        <f t="shared" si="0"/>
        <v/>
      </c>
      <c r="T1196" t="str">
        <f t="shared" si="1"/>
        <v/>
      </c>
      <c r="U1196" t="str">
        <f t="shared" si="2"/>
        <v/>
      </c>
      <c r="V1196" t="str">
        <f>IF(OR(U1196="",U1196="ERRO_CHAVE"),"",IFERROR(MATCH(U1196,Fornecedores!$AF$1:$AF$6631,0),""))</f>
        <v/>
      </c>
      <c r="W1196" t="str">
        <f t="shared" si="3"/>
        <v/>
      </c>
      <c r="X1196" s="4" t="str">
        <f>IF(V1196="","",INDEX(Fornecedores!$X$1:$X$6631,V1196))</f>
        <v/>
      </c>
      <c r="Y1196" s="4" t="str">
        <f t="shared" si="4"/>
        <v/>
      </c>
    </row>
    <row r="1197" spans="19:25">
      <c r="S1197" t="str">
        <f t="shared" si="0"/>
        <v/>
      </c>
      <c r="T1197" t="str">
        <f t="shared" si="1"/>
        <v/>
      </c>
      <c r="U1197" t="str">
        <f t="shared" si="2"/>
        <v/>
      </c>
      <c r="V1197" t="str">
        <f>IF(OR(U1197="",U1197="ERRO_CHAVE"),"",IFERROR(MATCH(U1197,Fornecedores!$AF$1:$AF$6631,0),""))</f>
        <v/>
      </c>
      <c r="W1197" t="str">
        <f t="shared" si="3"/>
        <v/>
      </c>
      <c r="X1197" s="4" t="str">
        <f>IF(V1197="","",INDEX(Fornecedores!$X$1:$X$6631,V1197))</f>
        <v/>
      </c>
      <c r="Y1197" s="4" t="str">
        <f t="shared" si="4"/>
        <v/>
      </c>
    </row>
    <row r="1198" spans="19:25">
      <c r="S1198" t="str">
        <f t="shared" si="0"/>
        <v/>
      </c>
      <c r="T1198" t="str">
        <f t="shared" si="1"/>
        <v/>
      </c>
      <c r="U1198" t="str">
        <f t="shared" si="2"/>
        <v/>
      </c>
      <c r="V1198" t="str">
        <f>IF(OR(U1198="",U1198="ERRO_CHAVE"),"",IFERROR(MATCH(U1198,Fornecedores!$AF$1:$AF$6631,0),""))</f>
        <v/>
      </c>
      <c r="W1198" t="str">
        <f t="shared" si="3"/>
        <v/>
      </c>
      <c r="X1198" s="4" t="str">
        <f>IF(V1198="","",INDEX(Fornecedores!$X$1:$X$6631,V1198))</f>
        <v/>
      </c>
      <c r="Y1198" s="4" t="str">
        <f t="shared" si="4"/>
        <v/>
      </c>
    </row>
    <row r="1199" spans="19:25">
      <c r="S1199" t="str">
        <f t="shared" si="0"/>
        <v/>
      </c>
      <c r="T1199" t="str">
        <f t="shared" si="1"/>
        <v/>
      </c>
      <c r="U1199" t="str">
        <f t="shared" si="2"/>
        <v/>
      </c>
      <c r="V1199" t="str">
        <f>IF(OR(U1199="",U1199="ERRO_CHAVE"),"",IFERROR(MATCH(U1199,Fornecedores!$AF$1:$AF$6631,0),""))</f>
        <v/>
      </c>
      <c r="W1199" t="str">
        <f t="shared" si="3"/>
        <v/>
      </c>
      <c r="X1199" s="4" t="str">
        <f>IF(V1199="","",INDEX(Fornecedores!$X$1:$X$6631,V1199))</f>
        <v/>
      </c>
      <c r="Y1199" s="4" t="str">
        <f t="shared" si="4"/>
        <v/>
      </c>
    </row>
    <row r="1200" spans="19:25">
      <c r="S1200" t="str">
        <f t="shared" si="0"/>
        <v/>
      </c>
      <c r="T1200" t="str">
        <f t="shared" si="1"/>
        <v/>
      </c>
      <c r="U1200" t="str">
        <f t="shared" si="2"/>
        <v/>
      </c>
      <c r="V1200" t="str">
        <f>IF(OR(U1200="",U1200="ERRO_CHAVE"),"",IFERROR(MATCH(U1200,Fornecedores!$AF$1:$AF$6631,0),""))</f>
        <v/>
      </c>
      <c r="W1200" t="str">
        <f t="shared" si="3"/>
        <v/>
      </c>
      <c r="X1200" s="4" t="str">
        <f>IF(V1200="","",INDEX(Fornecedores!$X$1:$X$6631,V1200))</f>
        <v/>
      </c>
      <c r="Y1200" s="4" t="str">
        <f t="shared" si="4"/>
        <v/>
      </c>
    </row>
    <row r="1201" spans="19:25">
      <c r="S1201" t="str">
        <f t="shared" si="0"/>
        <v/>
      </c>
      <c r="T1201" t="str">
        <f t="shared" si="1"/>
        <v/>
      </c>
      <c r="U1201" t="str">
        <f t="shared" si="2"/>
        <v/>
      </c>
      <c r="V1201" t="str">
        <f>IF(OR(U1201="",U1201="ERRO_CHAVE"),"",IFERROR(MATCH(U1201,Fornecedores!$AF$1:$AF$6631,0),""))</f>
        <v/>
      </c>
      <c r="W1201" t="str">
        <f t="shared" si="3"/>
        <v/>
      </c>
      <c r="X1201" s="4" t="str">
        <f>IF(V1201="","",INDEX(Fornecedores!$X$1:$X$6631,V1201))</f>
        <v/>
      </c>
      <c r="Y1201" s="4" t="str">
        <f t="shared" si="4"/>
        <v/>
      </c>
    </row>
    <row r="1202" spans="19:25">
      <c r="S1202" t="str">
        <f t="shared" si="0"/>
        <v/>
      </c>
      <c r="T1202" t="str">
        <f t="shared" si="1"/>
        <v/>
      </c>
      <c r="U1202" t="str">
        <f t="shared" si="2"/>
        <v/>
      </c>
      <c r="V1202" t="str">
        <f>IF(OR(U1202="",U1202="ERRO_CHAVE"),"",IFERROR(MATCH(U1202,Fornecedores!$AF$1:$AF$6631,0),""))</f>
        <v/>
      </c>
      <c r="W1202" t="str">
        <f t="shared" si="3"/>
        <v/>
      </c>
      <c r="X1202" s="4" t="str">
        <f>IF(V1202="","",INDEX(Fornecedores!$X$1:$X$6631,V1202))</f>
        <v/>
      </c>
      <c r="Y1202" s="4" t="str">
        <f t="shared" si="4"/>
        <v/>
      </c>
    </row>
    <row r="1203" spans="19:25">
      <c r="S1203" t="str">
        <f t="shared" si="0"/>
        <v/>
      </c>
      <c r="T1203" t="str">
        <f t="shared" si="1"/>
        <v/>
      </c>
      <c r="U1203" t="str">
        <f t="shared" si="2"/>
        <v/>
      </c>
      <c r="V1203" t="str">
        <f>IF(OR(U1203="",U1203="ERRO_CHAVE"),"",IFERROR(MATCH(U1203,Fornecedores!$AF$1:$AF$6631,0),""))</f>
        <v/>
      </c>
      <c r="W1203" t="str">
        <f t="shared" si="3"/>
        <v/>
      </c>
      <c r="X1203" s="4" t="str">
        <f>IF(V1203="","",INDEX(Fornecedores!$X$1:$X$6631,V1203))</f>
        <v/>
      </c>
      <c r="Y1203" s="4" t="str">
        <f t="shared" si="4"/>
        <v/>
      </c>
    </row>
    <row r="1204" spans="19:25">
      <c r="S1204" t="str">
        <f t="shared" si="0"/>
        <v/>
      </c>
      <c r="T1204" t="str">
        <f t="shared" si="1"/>
        <v/>
      </c>
      <c r="U1204" t="str">
        <f t="shared" si="2"/>
        <v/>
      </c>
      <c r="V1204" t="str">
        <f>IF(OR(U1204="",U1204="ERRO_CHAVE"),"",IFERROR(MATCH(U1204,Fornecedores!$AF$1:$AF$6631,0),""))</f>
        <v/>
      </c>
      <c r="W1204" t="str">
        <f t="shared" si="3"/>
        <v/>
      </c>
      <c r="X1204" s="4" t="str">
        <f>IF(V1204="","",INDEX(Fornecedores!$X$1:$X$6631,V1204))</f>
        <v/>
      </c>
      <c r="Y1204" s="4" t="str">
        <f t="shared" si="4"/>
        <v/>
      </c>
    </row>
    <row r="1205" spans="19:25">
      <c r="S1205" t="str">
        <f t="shared" si="0"/>
        <v/>
      </c>
      <c r="T1205" t="str">
        <f t="shared" si="1"/>
        <v/>
      </c>
      <c r="U1205" t="str">
        <f t="shared" si="2"/>
        <v/>
      </c>
      <c r="V1205" t="str">
        <f>IF(OR(U1205="",U1205="ERRO_CHAVE"),"",IFERROR(MATCH(U1205,Fornecedores!$AF$1:$AF$6631,0),""))</f>
        <v/>
      </c>
      <c r="W1205" t="str">
        <f t="shared" si="3"/>
        <v/>
      </c>
      <c r="X1205" s="4" t="str">
        <f>IF(V1205="","",INDEX(Fornecedores!$X$1:$X$6631,V1205))</f>
        <v/>
      </c>
      <c r="Y1205" s="4" t="str">
        <f t="shared" si="4"/>
        <v/>
      </c>
    </row>
    <row r="1206" spans="19:25">
      <c r="S1206" t="str">
        <f t="shared" si="0"/>
        <v/>
      </c>
      <c r="T1206" t="str">
        <f t="shared" si="1"/>
        <v/>
      </c>
      <c r="U1206" t="str">
        <f t="shared" si="2"/>
        <v/>
      </c>
      <c r="V1206" t="str">
        <f>IF(OR(U1206="",U1206="ERRO_CHAVE"),"",IFERROR(MATCH(U1206,Fornecedores!$AF$1:$AF$6631,0),""))</f>
        <v/>
      </c>
      <c r="W1206" t="str">
        <f t="shared" si="3"/>
        <v/>
      </c>
      <c r="X1206" s="4" t="str">
        <f>IF(V1206="","",INDEX(Fornecedores!$X$1:$X$6631,V1206))</f>
        <v/>
      </c>
      <c r="Y1206" s="4" t="str">
        <f t="shared" si="4"/>
        <v/>
      </c>
    </row>
    <row r="1207" spans="19:25">
      <c r="S1207" t="str">
        <f t="shared" si="0"/>
        <v/>
      </c>
      <c r="T1207" t="str">
        <f t="shared" si="1"/>
        <v/>
      </c>
      <c r="U1207" t="str">
        <f t="shared" si="2"/>
        <v/>
      </c>
      <c r="V1207" t="str">
        <f>IF(OR(U1207="",U1207="ERRO_CHAVE"),"",IFERROR(MATCH(U1207,Fornecedores!$AF$1:$AF$6631,0),""))</f>
        <v/>
      </c>
      <c r="W1207" t="str">
        <f t="shared" si="3"/>
        <v/>
      </c>
      <c r="X1207" s="4" t="str">
        <f>IF(V1207="","",INDEX(Fornecedores!$X$1:$X$6631,V1207))</f>
        <v/>
      </c>
      <c r="Y1207" s="4" t="str">
        <f t="shared" si="4"/>
        <v/>
      </c>
    </row>
    <row r="1208" spans="19:25">
      <c r="S1208" t="str">
        <f t="shared" si="0"/>
        <v/>
      </c>
      <c r="T1208" t="str">
        <f t="shared" si="1"/>
        <v/>
      </c>
      <c r="U1208" t="str">
        <f t="shared" si="2"/>
        <v/>
      </c>
      <c r="V1208" t="str">
        <f>IF(OR(U1208="",U1208="ERRO_CHAVE"),"",IFERROR(MATCH(U1208,Fornecedores!$AF$1:$AF$6631,0),""))</f>
        <v/>
      </c>
      <c r="W1208" t="str">
        <f t="shared" si="3"/>
        <v/>
      </c>
      <c r="X1208" s="4" t="str">
        <f>IF(V1208="","",INDEX(Fornecedores!$X$1:$X$6631,V1208))</f>
        <v/>
      </c>
      <c r="Y1208" s="4" t="str">
        <f t="shared" si="4"/>
        <v/>
      </c>
    </row>
    <row r="1209" spans="19:25">
      <c r="S1209" t="str">
        <f t="shared" si="0"/>
        <v/>
      </c>
      <c r="T1209" t="str">
        <f t="shared" si="1"/>
        <v/>
      </c>
      <c r="U1209" t="str">
        <f t="shared" si="2"/>
        <v/>
      </c>
      <c r="V1209" t="str">
        <f>IF(OR(U1209="",U1209="ERRO_CHAVE"),"",IFERROR(MATCH(U1209,Fornecedores!$AF$1:$AF$6631,0),""))</f>
        <v/>
      </c>
      <c r="W1209" t="str">
        <f t="shared" si="3"/>
        <v/>
      </c>
      <c r="X1209" s="4" t="str">
        <f>IF(V1209="","",INDEX(Fornecedores!$X$1:$X$6631,V1209))</f>
        <v/>
      </c>
      <c r="Y1209" s="4" t="str">
        <f t="shared" si="4"/>
        <v/>
      </c>
    </row>
    <row r="1210" spans="19:25">
      <c r="S1210" t="str">
        <f t="shared" si="0"/>
        <v/>
      </c>
      <c r="T1210" t="str">
        <f t="shared" si="1"/>
        <v/>
      </c>
      <c r="U1210" t="str">
        <f t="shared" si="2"/>
        <v/>
      </c>
      <c r="V1210" t="str">
        <f>IF(OR(U1210="",U1210="ERRO_CHAVE"),"",IFERROR(MATCH(U1210,Fornecedores!$AF$1:$AF$6631,0),""))</f>
        <v/>
      </c>
      <c r="W1210" t="str">
        <f t="shared" si="3"/>
        <v/>
      </c>
      <c r="X1210" s="4" t="str">
        <f>IF(V1210="","",INDEX(Fornecedores!$X$1:$X$6631,V1210))</f>
        <v/>
      </c>
      <c r="Y1210" s="4" t="str">
        <f t="shared" si="4"/>
        <v/>
      </c>
    </row>
    <row r="1211" spans="19:25">
      <c r="S1211" t="str">
        <f t="shared" si="0"/>
        <v/>
      </c>
      <c r="T1211" t="str">
        <f t="shared" si="1"/>
        <v/>
      </c>
      <c r="U1211" t="str">
        <f t="shared" si="2"/>
        <v/>
      </c>
      <c r="V1211" t="str">
        <f>IF(OR(U1211="",U1211="ERRO_CHAVE"),"",IFERROR(MATCH(U1211,Fornecedores!$AF$1:$AF$6631,0),""))</f>
        <v/>
      </c>
      <c r="W1211" t="str">
        <f t="shared" si="3"/>
        <v/>
      </c>
      <c r="X1211" s="4" t="str">
        <f>IF(V1211="","",INDEX(Fornecedores!$X$1:$X$6631,V1211))</f>
        <v/>
      </c>
      <c r="Y1211" s="4" t="str">
        <f t="shared" si="4"/>
        <v/>
      </c>
    </row>
    <row r="1212" spans="19:25">
      <c r="S1212" t="str">
        <f t="shared" si="0"/>
        <v/>
      </c>
      <c r="T1212" t="str">
        <f t="shared" si="1"/>
        <v/>
      </c>
      <c r="U1212" t="str">
        <f t="shared" si="2"/>
        <v/>
      </c>
      <c r="V1212" t="str">
        <f>IF(OR(U1212="",U1212="ERRO_CHAVE"),"",IFERROR(MATCH(U1212,Fornecedores!$AF$1:$AF$6631,0),""))</f>
        <v/>
      </c>
      <c r="W1212" t="str">
        <f t="shared" si="3"/>
        <v/>
      </c>
      <c r="X1212" s="4" t="str">
        <f>IF(V1212="","",INDEX(Fornecedores!$X$1:$X$6631,V1212))</f>
        <v/>
      </c>
      <c r="Y1212" s="4" t="str">
        <f t="shared" si="4"/>
        <v/>
      </c>
    </row>
    <row r="1213" spans="19:25">
      <c r="S1213" t="str">
        <f t="shared" si="0"/>
        <v/>
      </c>
      <c r="T1213" t="str">
        <f t="shared" si="1"/>
        <v/>
      </c>
      <c r="U1213" t="str">
        <f t="shared" si="2"/>
        <v/>
      </c>
      <c r="V1213" t="str">
        <f>IF(OR(U1213="",U1213="ERRO_CHAVE"),"",IFERROR(MATCH(U1213,Fornecedores!$AF$1:$AF$6631,0),""))</f>
        <v/>
      </c>
      <c r="W1213" t="str">
        <f t="shared" si="3"/>
        <v/>
      </c>
      <c r="X1213" s="4" t="str">
        <f>IF(V1213="","",INDEX(Fornecedores!$X$1:$X$6631,V1213))</f>
        <v/>
      </c>
      <c r="Y1213" s="4" t="str">
        <f t="shared" si="4"/>
        <v/>
      </c>
    </row>
    <row r="1214" spans="19:25">
      <c r="S1214" t="str">
        <f t="shared" si="0"/>
        <v/>
      </c>
      <c r="T1214" t="str">
        <f t="shared" si="1"/>
        <v/>
      </c>
      <c r="U1214" t="str">
        <f t="shared" si="2"/>
        <v/>
      </c>
      <c r="V1214" t="str">
        <f>IF(OR(U1214="",U1214="ERRO_CHAVE"),"",IFERROR(MATCH(U1214,Fornecedores!$AF$1:$AF$6631,0),""))</f>
        <v/>
      </c>
      <c r="W1214" t="str">
        <f t="shared" si="3"/>
        <v/>
      </c>
      <c r="X1214" s="4" t="str">
        <f>IF(V1214="","",INDEX(Fornecedores!$X$1:$X$6631,V1214))</f>
        <v/>
      </c>
      <c r="Y1214" s="4" t="str">
        <f t="shared" si="4"/>
        <v/>
      </c>
    </row>
    <row r="1215" spans="19:25">
      <c r="S1215" t="str">
        <f t="shared" si="0"/>
        <v/>
      </c>
      <c r="T1215" t="str">
        <f t="shared" si="1"/>
        <v/>
      </c>
      <c r="U1215" t="str">
        <f t="shared" si="2"/>
        <v/>
      </c>
      <c r="V1215" t="str">
        <f>IF(OR(U1215="",U1215="ERRO_CHAVE"),"",IFERROR(MATCH(U1215,Fornecedores!$AF$1:$AF$6631,0),""))</f>
        <v/>
      </c>
      <c r="W1215" t="str">
        <f t="shared" si="3"/>
        <v/>
      </c>
      <c r="X1215" s="4" t="str">
        <f>IF(V1215="","",INDEX(Fornecedores!$X$1:$X$6631,V1215))</f>
        <v/>
      </c>
      <c r="Y1215" s="4" t="str">
        <f t="shared" si="4"/>
        <v/>
      </c>
    </row>
    <row r="1216" spans="19:25">
      <c r="S1216" t="str">
        <f t="shared" si="0"/>
        <v/>
      </c>
      <c r="T1216" t="str">
        <f t="shared" si="1"/>
        <v/>
      </c>
      <c r="U1216" t="str">
        <f t="shared" si="2"/>
        <v/>
      </c>
      <c r="V1216" t="str">
        <f>IF(OR(U1216="",U1216="ERRO_CHAVE"),"",IFERROR(MATCH(U1216,Fornecedores!$AF$1:$AF$6631,0),""))</f>
        <v/>
      </c>
      <c r="W1216" t="str">
        <f t="shared" si="3"/>
        <v/>
      </c>
      <c r="X1216" s="4" t="str">
        <f>IF(V1216="","",INDEX(Fornecedores!$X$1:$X$6631,V1216))</f>
        <v/>
      </c>
      <c r="Y1216" s="4" t="str">
        <f t="shared" si="4"/>
        <v/>
      </c>
    </row>
    <row r="1217" spans="19:25">
      <c r="S1217" t="str">
        <f t="shared" si="0"/>
        <v/>
      </c>
      <c r="T1217" t="str">
        <f t="shared" si="1"/>
        <v/>
      </c>
      <c r="U1217" t="str">
        <f t="shared" si="2"/>
        <v/>
      </c>
      <c r="V1217" t="str">
        <f>IF(OR(U1217="",U1217="ERRO_CHAVE"),"",IFERROR(MATCH(U1217,Fornecedores!$AF$1:$AF$6631,0),""))</f>
        <v/>
      </c>
      <c r="W1217" t="str">
        <f t="shared" si="3"/>
        <v/>
      </c>
      <c r="X1217" s="4" t="str">
        <f>IF(V1217="","",INDEX(Fornecedores!$X$1:$X$6631,V1217))</f>
        <v/>
      </c>
      <c r="Y1217" s="4" t="str">
        <f t="shared" si="4"/>
        <v/>
      </c>
    </row>
    <row r="1218" spans="19:25">
      <c r="S1218" t="str">
        <f t="shared" si="0"/>
        <v/>
      </c>
      <c r="T1218" t="str">
        <f t="shared" si="1"/>
        <v/>
      </c>
      <c r="U1218" t="str">
        <f t="shared" si="2"/>
        <v/>
      </c>
      <c r="V1218" t="str">
        <f>IF(OR(U1218="",U1218="ERRO_CHAVE"),"",IFERROR(MATCH(U1218,Fornecedores!$AF$1:$AF$6631,0),""))</f>
        <v/>
      </c>
      <c r="W1218" t="str">
        <f t="shared" si="3"/>
        <v/>
      </c>
      <c r="X1218" s="4" t="str">
        <f>IF(V1218="","",INDEX(Fornecedores!$X$1:$X$6631,V1218))</f>
        <v/>
      </c>
      <c r="Y1218" s="4" t="str">
        <f t="shared" si="4"/>
        <v/>
      </c>
    </row>
    <row r="1219" spans="19:25">
      <c r="S1219" t="str">
        <f t="shared" si="0"/>
        <v/>
      </c>
      <c r="T1219" t="str">
        <f t="shared" si="1"/>
        <v/>
      </c>
      <c r="U1219" t="str">
        <f t="shared" si="2"/>
        <v/>
      </c>
      <c r="V1219" t="str">
        <f>IF(OR(U1219="",U1219="ERRO_CHAVE"),"",IFERROR(MATCH(U1219,Fornecedores!$AF$1:$AF$6631,0),""))</f>
        <v/>
      </c>
      <c r="W1219" t="str">
        <f t="shared" si="3"/>
        <v/>
      </c>
      <c r="X1219" s="4" t="str">
        <f>IF(V1219="","",INDEX(Fornecedores!$X$1:$X$6631,V1219))</f>
        <v/>
      </c>
      <c r="Y1219" s="4" t="str">
        <f t="shared" si="4"/>
        <v/>
      </c>
    </row>
    <row r="1220" spans="19:25">
      <c r="S1220" t="str">
        <f t="shared" si="0"/>
        <v/>
      </c>
      <c r="T1220" t="str">
        <f t="shared" si="1"/>
        <v/>
      </c>
      <c r="U1220" t="str">
        <f t="shared" si="2"/>
        <v/>
      </c>
      <c r="V1220" t="str">
        <f>IF(OR(U1220="",U1220="ERRO_CHAVE"),"",IFERROR(MATCH(U1220,Fornecedores!$AF$1:$AF$6631,0),""))</f>
        <v/>
      </c>
      <c r="W1220" t="str">
        <f t="shared" si="3"/>
        <v/>
      </c>
      <c r="X1220" s="4" t="str">
        <f>IF(V1220="","",INDEX(Fornecedores!$X$1:$X$6631,V1220))</f>
        <v/>
      </c>
      <c r="Y1220" s="4" t="str">
        <f t="shared" si="4"/>
        <v/>
      </c>
    </row>
    <row r="1221" spans="19:25">
      <c r="S1221" t="str">
        <f t="shared" si="0"/>
        <v/>
      </c>
      <c r="T1221" t="str">
        <f t="shared" si="1"/>
        <v/>
      </c>
      <c r="U1221" t="str">
        <f t="shared" si="2"/>
        <v/>
      </c>
      <c r="V1221" t="str">
        <f>IF(OR(U1221="",U1221="ERRO_CHAVE"),"",IFERROR(MATCH(U1221,Fornecedores!$AF$1:$AF$6631,0),""))</f>
        <v/>
      </c>
      <c r="W1221" t="str">
        <f t="shared" si="3"/>
        <v/>
      </c>
      <c r="X1221" s="4" t="str">
        <f>IF(V1221="","",INDEX(Fornecedores!$X$1:$X$6631,V1221))</f>
        <v/>
      </c>
      <c r="Y1221" s="4" t="str">
        <f t="shared" si="4"/>
        <v/>
      </c>
    </row>
    <row r="1222" spans="19:25">
      <c r="S1222" t="str">
        <f t="shared" si="0"/>
        <v/>
      </c>
      <c r="T1222" t="str">
        <f t="shared" si="1"/>
        <v/>
      </c>
      <c r="U1222" t="str">
        <f t="shared" si="2"/>
        <v/>
      </c>
      <c r="V1222" t="str">
        <f>IF(OR(U1222="",U1222="ERRO_CHAVE"),"",IFERROR(MATCH(U1222,Fornecedores!$AF$1:$AF$6631,0),""))</f>
        <v/>
      </c>
      <c r="W1222" t="str">
        <f t="shared" si="3"/>
        <v/>
      </c>
      <c r="X1222" s="4" t="str">
        <f>IF(V1222="","",INDEX(Fornecedores!$X$1:$X$6631,V1222))</f>
        <v/>
      </c>
      <c r="Y1222" s="4" t="str">
        <f t="shared" si="4"/>
        <v/>
      </c>
    </row>
    <row r="1223" spans="19:25">
      <c r="S1223" t="str">
        <f t="shared" si="0"/>
        <v/>
      </c>
      <c r="T1223" t="str">
        <f t="shared" si="1"/>
        <v/>
      </c>
      <c r="U1223" t="str">
        <f t="shared" si="2"/>
        <v/>
      </c>
      <c r="V1223" t="str">
        <f>IF(OR(U1223="",U1223="ERRO_CHAVE"),"",IFERROR(MATCH(U1223,Fornecedores!$AF$1:$AF$6631,0),""))</f>
        <v/>
      </c>
      <c r="W1223" t="str">
        <f t="shared" si="3"/>
        <v/>
      </c>
      <c r="X1223" s="4" t="str">
        <f>IF(V1223="","",INDEX(Fornecedores!$X$1:$X$6631,V1223))</f>
        <v/>
      </c>
      <c r="Y1223" s="4" t="str">
        <f t="shared" si="4"/>
        <v/>
      </c>
    </row>
    <row r="1224" spans="19:25">
      <c r="S1224" t="str">
        <f t="shared" si="0"/>
        <v/>
      </c>
      <c r="T1224" t="str">
        <f t="shared" si="1"/>
        <v/>
      </c>
      <c r="U1224" t="str">
        <f t="shared" si="2"/>
        <v/>
      </c>
      <c r="V1224" t="str">
        <f>IF(OR(U1224="",U1224="ERRO_CHAVE"),"",IFERROR(MATCH(U1224,Fornecedores!$AF$1:$AF$6631,0),""))</f>
        <v/>
      </c>
      <c r="W1224" t="str">
        <f t="shared" si="3"/>
        <v/>
      </c>
      <c r="X1224" s="4" t="str">
        <f>IF(V1224="","",INDEX(Fornecedores!$X$1:$X$6631,V1224))</f>
        <v/>
      </c>
      <c r="Y1224" s="4" t="str">
        <f t="shared" si="4"/>
        <v/>
      </c>
    </row>
    <row r="1225" spans="19:25">
      <c r="S1225" t="str">
        <f t="shared" si="0"/>
        <v/>
      </c>
      <c r="T1225" t="str">
        <f t="shared" si="1"/>
        <v/>
      </c>
      <c r="U1225" t="str">
        <f t="shared" si="2"/>
        <v/>
      </c>
      <c r="V1225" t="str">
        <f>IF(OR(U1225="",U1225="ERRO_CHAVE"),"",IFERROR(MATCH(U1225,Fornecedores!$AF$1:$AF$6631,0),""))</f>
        <v/>
      </c>
      <c r="W1225" t="str">
        <f t="shared" si="3"/>
        <v/>
      </c>
      <c r="X1225" s="4" t="str">
        <f>IF(V1225="","",INDEX(Fornecedores!$X$1:$X$6631,V1225))</f>
        <v/>
      </c>
      <c r="Y1225" s="4" t="str">
        <f t="shared" si="4"/>
        <v/>
      </c>
    </row>
    <row r="1226" spans="19:25">
      <c r="S1226" t="str">
        <f t="shared" si="0"/>
        <v/>
      </c>
      <c r="T1226" t="str">
        <f t="shared" si="1"/>
        <v/>
      </c>
      <c r="U1226" t="str">
        <f t="shared" si="2"/>
        <v/>
      </c>
      <c r="V1226" t="str">
        <f>IF(OR(U1226="",U1226="ERRO_CHAVE"),"",IFERROR(MATCH(U1226,Fornecedores!$AF$1:$AF$6631,0),""))</f>
        <v/>
      </c>
      <c r="W1226" t="str">
        <f t="shared" si="3"/>
        <v/>
      </c>
      <c r="X1226" s="4" t="str">
        <f>IF(V1226="","",INDEX(Fornecedores!$X$1:$X$6631,V1226))</f>
        <v/>
      </c>
      <c r="Y1226" s="4" t="str">
        <f t="shared" si="4"/>
        <v/>
      </c>
    </row>
    <row r="1227" spans="19:25">
      <c r="S1227" t="str">
        <f t="shared" si="0"/>
        <v/>
      </c>
      <c r="T1227" t="str">
        <f t="shared" si="1"/>
        <v/>
      </c>
      <c r="U1227" t="str">
        <f t="shared" si="2"/>
        <v/>
      </c>
      <c r="V1227" t="str">
        <f>IF(OR(U1227="",U1227="ERRO_CHAVE"),"",IFERROR(MATCH(U1227,Fornecedores!$AF$1:$AF$6631,0),""))</f>
        <v/>
      </c>
      <c r="W1227" t="str">
        <f t="shared" si="3"/>
        <v/>
      </c>
      <c r="X1227" s="4" t="str">
        <f>IF(V1227="","",INDEX(Fornecedores!$X$1:$X$6631,V1227))</f>
        <v/>
      </c>
      <c r="Y1227" s="4" t="str">
        <f t="shared" si="4"/>
        <v/>
      </c>
    </row>
    <row r="1228" spans="19:25">
      <c r="S1228" t="str">
        <f t="shared" si="0"/>
        <v/>
      </c>
      <c r="T1228" t="str">
        <f t="shared" si="1"/>
        <v/>
      </c>
      <c r="U1228" t="str">
        <f t="shared" si="2"/>
        <v/>
      </c>
      <c r="V1228" t="str">
        <f>IF(OR(U1228="",U1228="ERRO_CHAVE"),"",IFERROR(MATCH(U1228,Fornecedores!$AF$1:$AF$6631,0),""))</f>
        <v/>
      </c>
      <c r="W1228" t="str">
        <f t="shared" si="3"/>
        <v/>
      </c>
      <c r="X1228" s="4" t="str">
        <f>IF(V1228="","",INDEX(Fornecedores!$X$1:$X$6631,V1228))</f>
        <v/>
      </c>
      <c r="Y1228" s="4" t="str">
        <f t="shared" si="4"/>
        <v/>
      </c>
    </row>
    <row r="1229" spans="19:25">
      <c r="S1229" t="str">
        <f t="shared" si="0"/>
        <v/>
      </c>
      <c r="T1229" t="str">
        <f t="shared" si="1"/>
        <v/>
      </c>
      <c r="U1229" t="str">
        <f t="shared" si="2"/>
        <v/>
      </c>
      <c r="V1229" t="str">
        <f>IF(OR(U1229="",U1229="ERRO_CHAVE"),"",IFERROR(MATCH(U1229,Fornecedores!$AF$1:$AF$6631,0),""))</f>
        <v/>
      </c>
      <c r="W1229" t="str">
        <f t="shared" si="3"/>
        <v/>
      </c>
      <c r="X1229" s="4" t="str">
        <f>IF(V1229="","",INDEX(Fornecedores!$X$1:$X$6631,V1229))</f>
        <v/>
      </c>
      <c r="Y1229" s="4" t="str">
        <f t="shared" si="4"/>
        <v/>
      </c>
    </row>
    <row r="1230" spans="19:25">
      <c r="S1230" t="str">
        <f t="shared" si="0"/>
        <v/>
      </c>
      <c r="T1230" t="str">
        <f t="shared" si="1"/>
        <v/>
      </c>
      <c r="U1230" t="str">
        <f t="shared" si="2"/>
        <v/>
      </c>
      <c r="V1230" t="str">
        <f>IF(OR(U1230="",U1230="ERRO_CHAVE"),"",IFERROR(MATCH(U1230,Fornecedores!$AF$1:$AF$6631,0),""))</f>
        <v/>
      </c>
      <c r="W1230" t="str">
        <f t="shared" si="3"/>
        <v/>
      </c>
      <c r="X1230" s="4" t="str">
        <f>IF(V1230="","",INDEX(Fornecedores!$X$1:$X$6631,V1230))</f>
        <v/>
      </c>
      <c r="Y1230" s="4" t="str">
        <f t="shared" si="4"/>
        <v/>
      </c>
    </row>
    <row r="1231" spans="19:25">
      <c r="S1231" t="str">
        <f t="shared" si="0"/>
        <v/>
      </c>
      <c r="T1231" t="str">
        <f t="shared" si="1"/>
        <v/>
      </c>
      <c r="U1231" t="str">
        <f t="shared" si="2"/>
        <v/>
      </c>
      <c r="V1231" t="str">
        <f>IF(OR(U1231="",U1231="ERRO_CHAVE"),"",IFERROR(MATCH(U1231,Fornecedores!$AF$1:$AF$6631,0),""))</f>
        <v/>
      </c>
      <c r="W1231" t="str">
        <f t="shared" si="3"/>
        <v/>
      </c>
      <c r="X1231" s="4" t="str">
        <f>IF(V1231="","",INDEX(Fornecedores!$X$1:$X$6631,V1231))</f>
        <v/>
      </c>
      <c r="Y1231" s="4" t="str">
        <f t="shared" si="4"/>
        <v/>
      </c>
    </row>
    <row r="1232" spans="19:25">
      <c r="S1232" t="str">
        <f t="shared" si="0"/>
        <v/>
      </c>
      <c r="T1232" t="str">
        <f t="shared" si="1"/>
        <v/>
      </c>
      <c r="U1232" t="str">
        <f t="shared" si="2"/>
        <v/>
      </c>
      <c r="V1232" t="str">
        <f>IF(OR(U1232="",U1232="ERRO_CHAVE"),"",IFERROR(MATCH(U1232,Fornecedores!$AF$1:$AF$6631,0),""))</f>
        <v/>
      </c>
      <c r="W1232" t="str">
        <f t="shared" si="3"/>
        <v/>
      </c>
      <c r="X1232" s="4" t="str">
        <f>IF(V1232="","",INDEX(Fornecedores!$X$1:$X$6631,V1232))</f>
        <v/>
      </c>
      <c r="Y1232" s="4" t="str">
        <f t="shared" si="4"/>
        <v/>
      </c>
    </row>
    <row r="1233" spans="19:25">
      <c r="S1233" t="str">
        <f t="shared" si="0"/>
        <v/>
      </c>
      <c r="T1233" t="str">
        <f t="shared" si="1"/>
        <v/>
      </c>
      <c r="U1233" t="str">
        <f t="shared" si="2"/>
        <v/>
      </c>
      <c r="V1233" t="str">
        <f>IF(OR(U1233="",U1233="ERRO_CHAVE"),"",IFERROR(MATCH(U1233,Fornecedores!$AF$1:$AF$6631,0),""))</f>
        <v/>
      </c>
      <c r="W1233" t="str">
        <f t="shared" si="3"/>
        <v/>
      </c>
      <c r="X1233" s="4" t="str">
        <f>IF(V1233="","",INDEX(Fornecedores!$X$1:$X$6631,V1233))</f>
        <v/>
      </c>
      <c r="Y1233" s="4" t="str">
        <f t="shared" si="4"/>
        <v/>
      </c>
    </row>
    <row r="1234" spans="19:25">
      <c r="S1234" t="str">
        <f t="shared" si="0"/>
        <v/>
      </c>
      <c r="T1234" t="str">
        <f t="shared" si="1"/>
        <v/>
      </c>
      <c r="U1234" t="str">
        <f t="shared" si="2"/>
        <v/>
      </c>
      <c r="V1234" t="str">
        <f>IF(OR(U1234="",U1234="ERRO_CHAVE"),"",IFERROR(MATCH(U1234,Fornecedores!$AF$1:$AF$6631,0),""))</f>
        <v/>
      </c>
      <c r="W1234" t="str">
        <f t="shared" si="3"/>
        <v/>
      </c>
      <c r="X1234" s="4" t="str">
        <f>IF(V1234="","",INDEX(Fornecedores!$X$1:$X$6631,V1234))</f>
        <v/>
      </c>
      <c r="Y1234" s="4" t="str">
        <f t="shared" si="4"/>
        <v/>
      </c>
    </row>
    <row r="1235" spans="19:25">
      <c r="S1235" t="str">
        <f t="shared" si="0"/>
        <v/>
      </c>
      <c r="T1235" t="str">
        <f t="shared" si="1"/>
        <v/>
      </c>
      <c r="U1235" t="str">
        <f t="shared" si="2"/>
        <v/>
      </c>
      <c r="V1235" t="str">
        <f>IF(OR(U1235="",U1235="ERRO_CHAVE"),"",IFERROR(MATCH(U1235,Fornecedores!$AF$1:$AF$6631,0),""))</f>
        <v/>
      </c>
      <c r="W1235" t="str">
        <f t="shared" si="3"/>
        <v/>
      </c>
      <c r="X1235" s="4" t="str">
        <f>IF(V1235="","",INDEX(Fornecedores!$X$1:$X$6631,V1235))</f>
        <v/>
      </c>
      <c r="Y1235" s="4" t="str">
        <f t="shared" si="4"/>
        <v/>
      </c>
    </row>
    <row r="1236" spans="19:25">
      <c r="S1236" t="str">
        <f t="shared" si="0"/>
        <v/>
      </c>
      <c r="T1236" t="str">
        <f t="shared" si="1"/>
        <v/>
      </c>
      <c r="U1236" t="str">
        <f t="shared" si="2"/>
        <v/>
      </c>
      <c r="V1236" t="str">
        <f>IF(OR(U1236="",U1236="ERRO_CHAVE"),"",IFERROR(MATCH(U1236,Fornecedores!$AF$1:$AF$6631,0),""))</f>
        <v/>
      </c>
      <c r="W1236" t="str">
        <f t="shared" si="3"/>
        <v/>
      </c>
      <c r="X1236" s="4" t="str">
        <f>IF(V1236="","",INDEX(Fornecedores!$X$1:$X$6631,V1236))</f>
        <v/>
      </c>
      <c r="Y1236" s="4" t="str">
        <f t="shared" si="4"/>
        <v/>
      </c>
    </row>
    <row r="1237" spans="19:25">
      <c r="S1237" t="str">
        <f t="shared" si="0"/>
        <v/>
      </c>
      <c r="T1237" t="str">
        <f t="shared" si="1"/>
        <v/>
      </c>
      <c r="U1237" t="str">
        <f t="shared" si="2"/>
        <v/>
      </c>
      <c r="V1237" t="str">
        <f>IF(OR(U1237="",U1237="ERRO_CHAVE"),"",IFERROR(MATCH(U1237,Fornecedores!$AF$1:$AF$6631,0),""))</f>
        <v/>
      </c>
      <c r="W1237" t="str">
        <f t="shared" si="3"/>
        <v/>
      </c>
      <c r="X1237" s="4" t="str">
        <f>IF(V1237="","",INDEX(Fornecedores!$X$1:$X$6631,V1237))</f>
        <v/>
      </c>
      <c r="Y1237" s="4" t="str">
        <f t="shared" si="4"/>
        <v/>
      </c>
    </row>
    <row r="1238" spans="19:25">
      <c r="S1238" t="str">
        <f t="shared" si="0"/>
        <v/>
      </c>
      <c r="T1238" t="str">
        <f t="shared" si="1"/>
        <v/>
      </c>
      <c r="U1238" t="str">
        <f t="shared" si="2"/>
        <v/>
      </c>
      <c r="V1238" t="str">
        <f>IF(OR(U1238="",U1238="ERRO_CHAVE"),"",IFERROR(MATCH(U1238,Fornecedores!$AF$1:$AF$6631,0),""))</f>
        <v/>
      </c>
      <c r="W1238" t="str">
        <f t="shared" si="3"/>
        <v/>
      </c>
      <c r="X1238" s="4" t="str">
        <f>IF(V1238="","",INDEX(Fornecedores!$X$1:$X$6631,V1238))</f>
        <v/>
      </c>
      <c r="Y1238" s="4" t="str">
        <f t="shared" si="4"/>
        <v/>
      </c>
    </row>
    <row r="1239" spans="19:25">
      <c r="S1239" t="str">
        <f t="shared" si="0"/>
        <v/>
      </c>
      <c r="T1239" t="str">
        <f t="shared" si="1"/>
        <v/>
      </c>
      <c r="U1239" t="str">
        <f t="shared" si="2"/>
        <v/>
      </c>
      <c r="V1239" t="str">
        <f>IF(OR(U1239="",U1239="ERRO_CHAVE"),"",IFERROR(MATCH(U1239,Fornecedores!$AF$1:$AF$6631,0),""))</f>
        <v/>
      </c>
      <c r="W1239" t="str">
        <f t="shared" si="3"/>
        <v/>
      </c>
      <c r="X1239" s="4" t="str">
        <f>IF(V1239="","",INDEX(Fornecedores!$X$1:$X$6631,V1239))</f>
        <v/>
      </c>
      <c r="Y1239" s="4" t="str">
        <f t="shared" si="4"/>
        <v/>
      </c>
    </row>
    <row r="1240" spans="19:25">
      <c r="S1240" t="str">
        <f t="shared" si="0"/>
        <v/>
      </c>
      <c r="T1240" t="str">
        <f t="shared" si="1"/>
        <v/>
      </c>
      <c r="U1240" t="str">
        <f t="shared" si="2"/>
        <v/>
      </c>
      <c r="V1240" t="str">
        <f>IF(OR(U1240="",U1240="ERRO_CHAVE"),"",IFERROR(MATCH(U1240,Fornecedores!$AF$1:$AF$6631,0),""))</f>
        <v/>
      </c>
      <c r="W1240" t="str">
        <f t="shared" si="3"/>
        <v/>
      </c>
      <c r="X1240" s="4" t="str">
        <f>IF(V1240="","",INDEX(Fornecedores!$X$1:$X$6631,V1240))</f>
        <v/>
      </c>
      <c r="Y1240" s="4" t="str">
        <f t="shared" si="4"/>
        <v/>
      </c>
    </row>
    <row r="1241" spans="19:25">
      <c r="S1241" t="str">
        <f t="shared" si="0"/>
        <v/>
      </c>
      <c r="T1241" t="str">
        <f t="shared" si="1"/>
        <v/>
      </c>
      <c r="U1241" t="str">
        <f t="shared" si="2"/>
        <v/>
      </c>
      <c r="V1241" t="str">
        <f>IF(OR(U1241="",U1241="ERRO_CHAVE"),"",IFERROR(MATCH(U1241,Fornecedores!$AF$1:$AF$6631,0),""))</f>
        <v/>
      </c>
      <c r="W1241" t="str">
        <f t="shared" si="3"/>
        <v/>
      </c>
      <c r="X1241" s="4" t="str">
        <f>IF(V1241="","",INDEX(Fornecedores!$X$1:$X$6631,V1241))</f>
        <v/>
      </c>
      <c r="Y1241" s="4" t="str">
        <f t="shared" si="4"/>
        <v/>
      </c>
    </row>
    <row r="1242" spans="19:25">
      <c r="S1242" t="str">
        <f t="shared" si="0"/>
        <v/>
      </c>
      <c r="T1242" t="str">
        <f t="shared" si="1"/>
        <v/>
      </c>
      <c r="U1242" t="str">
        <f t="shared" si="2"/>
        <v/>
      </c>
      <c r="V1242" t="str">
        <f>IF(OR(U1242="",U1242="ERRO_CHAVE"),"",IFERROR(MATCH(U1242,Fornecedores!$AF$1:$AF$6631,0),""))</f>
        <v/>
      </c>
      <c r="W1242" t="str">
        <f t="shared" si="3"/>
        <v/>
      </c>
      <c r="X1242" s="4" t="str">
        <f>IF(V1242="","",INDEX(Fornecedores!$X$1:$X$6631,V1242))</f>
        <v/>
      </c>
      <c r="Y1242" s="4" t="str">
        <f t="shared" si="4"/>
        <v/>
      </c>
    </row>
    <row r="1243" spans="19:25">
      <c r="S1243" t="str">
        <f t="shared" si="0"/>
        <v/>
      </c>
      <c r="T1243" t="str">
        <f t="shared" si="1"/>
        <v/>
      </c>
      <c r="U1243" t="str">
        <f t="shared" si="2"/>
        <v/>
      </c>
      <c r="V1243" t="str">
        <f>IF(OR(U1243="",U1243="ERRO_CHAVE"),"",IFERROR(MATCH(U1243,Fornecedores!$AF$1:$AF$6631,0),""))</f>
        <v/>
      </c>
      <c r="W1243" t="str">
        <f t="shared" si="3"/>
        <v/>
      </c>
      <c r="X1243" s="4" t="str">
        <f>IF(V1243="","",INDEX(Fornecedores!$X$1:$X$6631,V1243))</f>
        <v/>
      </c>
      <c r="Y1243" s="4" t="str">
        <f t="shared" si="4"/>
        <v/>
      </c>
    </row>
    <row r="1244" spans="19:25">
      <c r="S1244" t="str">
        <f t="shared" si="0"/>
        <v/>
      </c>
      <c r="T1244" t="str">
        <f t="shared" si="1"/>
        <v/>
      </c>
      <c r="U1244" t="str">
        <f t="shared" si="2"/>
        <v/>
      </c>
      <c r="V1244" t="str">
        <f>IF(OR(U1244="",U1244="ERRO_CHAVE"),"",IFERROR(MATCH(U1244,Fornecedores!$AF$1:$AF$6631,0),""))</f>
        <v/>
      </c>
      <c r="W1244" t="str">
        <f t="shared" si="3"/>
        <v/>
      </c>
      <c r="X1244" s="4" t="str">
        <f>IF(V1244="","",INDEX(Fornecedores!$X$1:$X$6631,V1244))</f>
        <v/>
      </c>
      <c r="Y1244" s="4" t="str">
        <f t="shared" si="4"/>
        <v/>
      </c>
    </row>
    <row r="1245" spans="19:25">
      <c r="S1245" t="str">
        <f t="shared" si="0"/>
        <v/>
      </c>
      <c r="T1245" t="str">
        <f t="shared" si="1"/>
        <v/>
      </c>
      <c r="U1245" t="str">
        <f t="shared" si="2"/>
        <v/>
      </c>
      <c r="V1245" t="str">
        <f>IF(OR(U1245="",U1245="ERRO_CHAVE"),"",IFERROR(MATCH(U1245,Fornecedores!$AF$1:$AF$6631,0),""))</f>
        <v/>
      </c>
      <c r="W1245" t="str">
        <f t="shared" si="3"/>
        <v/>
      </c>
      <c r="X1245" s="4" t="str">
        <f>IF(V1245="","",INDEX(Fornecedores!$X$1:$X$6631,V1245))</f>
        <v/>
      </c>
      <c r="Y1245" s="4" t="str">
        <f t="shared" si="4"/>
        <v/>
      </c>
    </row>
    <row r="1246" spans="19:25">
      <c r="S1246" t="str">
        <f t="shared" si="0"/>
        <v/>
      </c>
      <c r="T1246" t="str">
        <f t="shared" si="1"/>
        <v/>
      </c>
      <c r="U1246" t="str">
        <f t="shared" si="2"/>
        <v/>
      </c>
      <c r="V1246" t="str">
        <f>IF(OR(U1246="",U1246="ERRO_CHAVE"),"",IFERROR(MATCH(U1246,Fornecedores!$AF$1:$AF$6631,0),""))</f>
        <v/>
      </c>
      <c r="W1246" t="str">
        <f t="shared" si="3"/>
        <v/>
      </c>
      <c r="X1246" s="4" t="str">
        <f>IF(V1246="","",INDEX(Fornecedores!$X$1:$X$6631,V1246))</f>
        <v/>
      </c>
      <c r="Y1246" s="4" t="str">
        <f t="shared" si="4"/>
        <v/>
      </c>
    </row>
    <row r="1247" spans="19:25">
      <c r="S1247" t="str">
        <f t="shared" si="0"/>
        <v/>
      </c>
      <c r="T1247" t="str">
        <f t="shared" si="1"/>
        <v/>
      </c>
      <c r="U1247" t="str">
        <f t="shared" si="2"/>
        <v/>
      </c>
      <c r="V1247" t="str">
        <f>IF(OR(U1247="",U1247="ERRO_CHAVE"),"",IFERROR(MATCH(U1247,Fornecedores!$AF$1:$AF$6631,0),""))</f>
        <v/>
      </c>
      <c r="W1247" t="str">
        <f t="shared" si="3"/>
        <v/>
      </c>
      <c r="X1247" s="4" t="str">
        <f>IF(V1247="","",INDEX(Fornecedores!$X$1:$X$6631,V1247))</f>
        <v/>
      </c>
      <c r="Y1247" s="4" t="str">
        <f t="shared" si="4"/>
        <v/>
      </c>
    </row>
    <row r="1248" spans="19:25">
      <c r="S1248" t="str">
        <f t="shared" si="0"/>
        <v/>
      </c>
      <c r="T1248" t="str">
        <f t="shared" si="1"/>
        <v/>
      </c>
      <c r="U1248" t="str">
        <f t="shared" si="2"/>
        <v/>
      </c>
      <c r="V1248" t="str">
        <f>IF(OR(U1248="",U1248="ERRO_CHAVE"),"",IFERROR(MATCH(U1248,Fornecedores!$AF$1:$AF$6631,0),""))</f>
        <v/>
      </c>
      <c r="W1248" t="str">
        <f t="shared" si="3"/>
        <v/>
      </c>
      <c r="X1248" s="4" t="str">
        <f>IF(V1248="","",INDEX(Fornecedores!$X$1:$X$6631,V1248))</f>
        <v/>
      </c>
      <c r="Y1248" s="4" t="str">
        <f t="shared" si="4"/>
        <v/>
      </c>
    </row>
    <row r="1249" spans="19:25">
      <c r="S1249" t="str">
        <f t="shared" si="0"/>
        <v/>
      </c>
      <c r="T1249" t="str">
        <f t="shared" si="1"/>
        <v/>
      </c>
      <c r="U1249" t="str">
        <f t="shared" si="2"/>
        <v/>
      </c>
      <c r="V1249" t="str">
        <f>IF(OR(U1249="",U1249="ERRO_CHAVE"),"",IFERROR(MATCH(U1249,Fornecedores!$AF$1:$AF$6631,0),""))</f>
        <v/>
      </c>
      <c r="W1249" t="str">
        <f t="shared" si="3"/>
        <v/>
      </c>
      <c r="X1249" s="4" t="str">
        <f>IF(V1249="","",INDEX(Fornecedores!$X$1:$X$6631,V1249))</f>
        <v/>
      </c>
      <c r="Y1249" s="4" t="str">
        <f t="shared" si="4"/>
        <v/>
      </c>
    </row>
    <row r="1250" spans="19:25">
      <c r="S1250" t="str">
        <f t="shared" si="0"/>
        <v/>
      </c>
      <c r="T1250" t="str">
        <f t="shared" si="1"/>
        <v/>
      </c>
      <c r="U1250" t="str">
        <f t="shared" si="2"/>
        <v/>
      </c>
      <c r="V1250" t="str">
        <f>IF(OR(U1250="",U1250="ERRO_CHAVE"),"",IFERROR(MATCH(U1250,Fornecedores!$AF$1:$AF$6631,0),""))</f>
        <v/>
      </c>
      <c r="W1250" t="str">
        <f t="shared" si="3"/>
        <v/>
      </c>
      <c r="X1250" s="4" t="str">
        <f>IF(V1250="","",INDEX(Fornecedores!$X$1:$X$6631,V1250))</f>
        <v/>
      </c>
      <c r="Y1250" s="4" t="str">
        <f t="shared" si="4"/>
        <v/>
      </c>
    </row>
    <row r="1251" spans="19:25">
      <c r="S1251" t="str">
        <f t="shared" si="0"/>
        <v/>
      </c>
      <c r="T1251" t="str">
        <f t="shared" si="1"/>
        <v/>
      </c>
      <c r="U1251" t="str">
        <f t="shared" si="2"/>
        <v/>
      </c>
      <c r="V1251" t="str">
        <f>IF(OR(U1251="",U1251="ERRO_CHAVE"),"",IFERROR(MATCH(U1251,Fornecedores!$AF$1:$AF$6631,0),""))</f>
        <v/>
      </c>
      <c r="W1251" t="str">
        <f t="shared" si="3"/>
        <v/>
      </c>
      <c r="X1251" s="4" t="str">
        <f>IF(V1251="","",INDEX(Fornecedores!$X$1:$X$6631,V1251))</f>
        <v/>
      </c>
      <c r="Y1251" s="4" t="str">
        <f t="shared" si="4"/>
        <v/>
      </c>
    </row>
    <row r="1252" spans="19:25">
      <c r="S1252" t="str">
        <f t="shared" si="0"/>
        <v/>
      </c>
      <c r="T1252" t="str">
        <f t="shared" si="1"/>
        <v/>
      </c>
      <c r="U1252" t="str">
        <f t="shared" si="2"/>
        <v/>
      </c>
      <c r="V1252" t="str">
        <f>IF(OR(U1252="",U1252="ERRO_CHAVE"),"",IFERROR(MATCH(U1252,Fornecedores!$AF$1:$AF$6631,0),""))</f>
        <v/>
      </c>
      <c r="W1252" t="str">
        <f t="shared" si="3"/>
        <v/>
      </c>
      <c r="X1252" s="4" t="str">
        <f>IF(V1252="","",INDEX(Fornecedores!$X$1:$X$6631,V1252))</f>
        <v/>
      </c>
      <c r="Y1252" s="4" t="str">
        <f t="shared" si="4"/>
        <v/>
      </c>
    </row>
    <row r="1253" spans="19:25">
      <c r="S1253" t="str">
        <f t="shared" si="0"/>
        <v/>
      </c>
      <c r="T1253" t="str">
        <f t="shared" si="1"/>
        <v/>
      </c>
      <c r="U1253" t="str">
        <f t="shared" si="2"/>
        <v/>
      </c>
      <c r="V1253" t="str">
        <f>IF(OR(U1253="",U1253="ERRO_CHAVE"),"",IFERROR(MATCH(U1253,Fornecedores!$AF$1:$AF$6631,0),""))</f>
        <v/>
      </c>
      <c r="W1253" t="str">
        <f t="shared" si="3"/>
        <v/>
      </c>
      <c r="X1253" s="4" t="str">
        <f>IF(V1253="","",INDEX(Fornecedores!$X$1:$X$6631,V1253))</f>
        <v/>
      </c>
      <c r="Y1253" s="4" t="str">
        <f t="shared" si="4"/>
        <v/>
      </c>
    </row>
    <row r="1254" spans="19:25">
      <c r="S1254" t="str">
        <f t="shared" si="0"/>
        <v/>
      </c>
      <c r="T1254" t="str">
        <f t="shared" si="1"/>
        <v/>
      </c>
      <c r="U1254" t="str">
        <f t="shared" si="2"/>
        <v/>
      </c>
      <c r="V1254" t="str">
        <f>IF(OR(U1254="",U1254="ERRO_CHAVE"),"",IFERROR(MATCH(U1254,Fornecedores!$AF$1:$AF$6631,0),""))</f>
        <v/>
      </c>
      <c r="W1254" t="str">
        <f t="shared" si="3"/>
        <v/>
      </c>
      <c r="X1254" s="4" t="str">
        <f>IF(V1254="","",INDEX(Fornecedores!$X$1:$X$6631,V1254))</f>
        <v/>
      </c>
      <c r="Y1254" s="4" t="str">
        <f t="shared" si="4"/>
        <v/>
      </c>
    </row>
    <row r="1255" spans="19:25">
      <c r="S1255" t="str">
        <f t="shared" si="0"/>
        <v/>
      </c>
      <c r="T1255" t="str">
        <f t="shared" si="1"/>
        <v/>
      </c>
      <c r="U1255" t="str">
        <f t="shared" si="2"/>
        <v/>
      </c>
      <c r="V1255" t="str">
        <f>IF(OR(U1255="",U1255="ERRO_CHAVE"),"",IFERROR(MATCH(U1255,Fornecedores!$AF$1:$AF$6631,0),""))</f>
        <v/>
      </c>
      <c r="W1255" t="str">
        <f t="shared" si="3"/>
        <v/>
      </c>
      <c r="X1255" s="4" t="str">
        <f>IF(V1255="","",INDEX(Fornecedores!$X$1:$X$6631,V1255))</f>
        <v/>
      </c>
      <c r="Y1255" s="4" t="str">
        <f t="shared" si="4"/>
        <v/>
      </c>
    </row>
    <row r="1256" spans="19:25">
      <c r="S1256" t="str">
        <f t="shared" si="0"/>
        <v/>
      </c>
      <c r="T1256" t="str">
        <f t="shared" si="1"/>
        <v/>
      </c>
      <c r="U1256" t="str">
        <f t="shared" si="2"/>
        <v/>
      </c>
      <c r="V1256" t="str">
        <f>IF(OR(U1256="",U1256="ERRO_CHAVE"),"",IFERROR(MATCH(U1256,Fornecedores!$AF$1:$AF$6631,0),""))</f>
        <v/>
      </c>
      <c r="W1256" t="str">
        <f t="shared" si="3"/>
        <v/>
      </c>
      <c r="X1256" s="4" t="str">
        <f>IF(V1256="","",INDEX(Fornecedores!$X$1:$X$6631,V1256))</f>
        <v/>
      </c>
      <c r="Y1256" s="4" t="str">
        <f t="shared" si="4"/>
        <v/>
      </c>
    </row>
    <row r="1257" spans="19:25">
      <c r="S1257" t="str">
        <f t="shared" si="0"/>
        <v/>
      </c>
      <c r="T1257" t="str">
        <f t="shared" si="1"/>
        <v/>
      </c>
      <c r="U1257" t="str">
        <f t="shared" si="2"/>
        <v/>
      </c>
      <c r="V1257" t="str">
        <f>IF(OR(U1257="",U1257="ERRO_CHAVE"),"",IFERROR(MATCH(U1257,Fornecedores!$AF$1:$AF$6631,0),""))</f>
        <v/>
      </c>
      <c r="W1257" t="str">
        <f t="shared" si="3"/>
        <v/>
      </c>
      <c r="X1257" s="4" t="str">
        <f>IF(V1257="","",INDEX(Fornecedores!$X$1:$X$6631,V1257))</f>
        <v/>
      </c>
      <c r="Y1257" s="4" t="str">
        <f t="shared" si="4"/>
        <v/>
      </c>
    </row>
    <row r="1258" spans="19:25">
      <c r="S1258" t="str">
        <f t="shared" si="0"/>
        <v/>
      </c>
      <c r="T1258" t="str">
        <f t="shared" si="1"/>
        <v/>
      </c>
      <c r="U1258" t="str">
        <f t="shared" si="2"/>
        <v/>
      </c>
      <c r="V1258" t="str">
        <f>IF(OR(U1258="",U1258="ERRO_CHAVE"),"",IFERROR(MATCH(U1258,Fornecedores!$AF$1:$AF$6631,0),""))</f>
        <v/>
      </c>
      <c r="W1258" t="str">
        <f t="shared" si="3"/>
        <v/>
      </c>
      <c r="X1258" s="4" t="str">
        <f>IF(V1258="","",INDEX(Fornecedores!$X$1:$X$6631,V1258))</f>
        <v/>
      </c>
      <c r="Y1258" s="4" t="str">
        <f t="shared" si="4"/>
        <v/>
      </c>
    </row>
    <row r="1259" spans="19:25">
      <c r="S1259" t="str">
        <f t="shared" si="0"/>
        <v/>
      </c>
      <c r="T1259" t="str">
        <f t="shared" si="1"/>
        <v/>
      </c>
      <c r="U1259" t="str">
        <f t="shared" si="2"/>
        <v/>
      </c>
      <c r="V1259" t="str">
        <f>IF(OR(U1259="",U1259="ERRO_CHAVE"),"",IFERROR(MATCH(U1259,Fornecedores!$AF$1:$AF$6631,0),""))</f>
        <v/>
      </c>
      <c r="W1259" t="str">
        <f t="shared" si="3"/>
        <v/>
      </c>
      <c r="X1259" s="4" t="str">
        <f>IF(V1259="","",INDEX(Fornecedores!$X$1:$X$6631,V1259))</f>
        <v/>
      </c>
      <c r="Y1259" s="4" t="str">
        <f t="shared" si="4"/>
        <v/>
      </c>
    </row>
    <row r="1260" spans="19:25">
      <c r="S1260" t="str">
        <f t="shared" si="0"/>
        <v/>
      </c>
      <c r="T1260" t="str">
        <f t="shared" si="1"/>
        <v/>
      </c>
      <c r="U1260" t="str">
        <f t="shared" si="2"/>
        <v/>
      </c>
      <c r="V1260" t="str">
        <f>IF(OR(U1260="",U1260="ERRO_CHAVE"),"",IFERROR(MATCH(U1260,Fornecedores!$AF$1:$AF$6631,0),""))</f>
        <v/>
      </c>
      <c r="W1260" t="str">
        <f t="shared" si="3"/>
        <v/>
      </c>
      <c r="X1260" s="4" t="str">
        <f>IF(V1260="","",INDEX(Fornecedores!$X$1:$X$6631,V1260))</f>
        <v/>
      </c>
      <c r="Y1260" s="4" t="str">
        <f t="shared" si="4"/>
        <v/>
      </c>
    </row>
    <row r="1261" spans="19:25">
      <c r="S1261" t="str">
        <f t="shared" si="0"/>
        <v/>
      </c>
      <c r="T1261" t="str">
        <f t="shared" si="1"/>
        <v/>
      </c>
      <c r="U1261" t="str">
        <f t="shared" si="2"/>
        <v/>
      </c>
      <c r="V1261" t="str">
        <f>IF(OR(U1261="",U1261="ERRO_CHAVE"),"",IFERROR(MATCH(U1261,Fornecedores!$AF$1:$AF$6631,0),""))</f>
        <v/>
      </c>
      <c r="W1261" t="str">
        <f t="shared" si="3"/>
        <v/>
      </c>
      <c r="X1261" s="4" t="str">
        <f>IF(V1261="","",INDEX(Fornecedores!$X$1:$X$6631,V1261))</f>
        <v/>
      </c>
      <c r="Y1261" s="4" t="str">
        <f t="shared" si="4"/>
        <v/>
      </c>
    </row>
    <row r="1262" spans="19:25">
      <c r="S1262" t="str">
        <f t="shared" si="0"/>
        <v/>
      </c>
      <c r="T1262" t="str">
        <f t="shared" si="1"/>
        <v/>
      </c>
      <c r="U1262" t="str">
        <f t="shared" si="2"/>
        <v/>
      </c>
      <c r="V1262" t="str">
        <f>IF(OR(U1262="",U1262="ERRO_CHAVE"),"",IFERROR(MATCH(U1262,Fornecedores!$AF$1:$AF$6631,0),""))</f>
        <v/>
      </c>
      <c r="W1262" t="str">
        <f t="shared" si="3"/>
        <v/>
      </c>
      <c r="X1262" s="4" t="str">
        <f>IF(V1262="","",INDEX(Fornecedores!$X$1:$X$6631,V1262))</f>
        <v/>
      </c>
      <c r="Y1262" s="4" t="str">
        <f t="shared" si="4"/>
        <v/>
      </c>
    </row>
    <row r="1263" spans="19:25">
      <c r="S1263" t="str">
        <f t="shared" si="0"/>
        <v/>
      </c>
      <c r="T1263" t="str">
        <f t="shared" si="1"/>
        <v/>
      </c>
      <c r="U1263" t="str">
        <f t="shared" si="2"/>
        <v/>
      </c>
      <c r="V1263" t="str">
        <f>IF(OR(U1263="",U1263="ERRO_CHAVE"),"",IFERROR(MATCH(U1263,Fornecedores!$AF$1:$AF$6631,0),""))</f>
        <v/>
      </c>
      <c r="W1263" t="str">
        <f t="shared" si="3"/>
        <v/>
      </c>
      <c r="X1263" s="4" t="str">
        <f>IF(V1263="","",INDEX(Fornecedores!$X$1:$X$6631,V1263))</f>
        <v/>
      </c>
      <c r="Y1263" s="4" t="str">
        <f t="shared" si="4"/>
        <v/>
      </c>
    </row>
    <row r="1264" spans="19:25">
      <c r="S1264" t="str">
        <f t="shared" si="0"/>
        <v/>
      </c>
      <c r="T1264" t="str">
        <f t="shared" si="1"/>
        <v/>
      </c>
      <c r="U1264" t="str">
        <f t="shared" si="2"/>
        <v/>
      </c>
      <c r="V1264" t="str">
        <f>IF(OR(U1264="",U1264="ERRO_CHAVE"),"",IFERROR(MATCH(U1264,Fornecedores!$AF$1:$AF$6631,0),""))</f>
        <v/>
      </c>
      <c r="W1264" t="str">
        <f t="shared" si="3"/>
        <v/>
      </c>
      <c r="X1264" s="4" t="str">
        <f>IF(V1264="","",INDEX(Fornecedores!$X$1:$X$6631,V1264))</f>
        <v/>
      </c>
      <c r="Y1264" s="4" t="str">
        <f t="shared" si="4"/>
        <v/>
      </c>
    </row>
    <row r="1265" spans="19:25">
      <c r="S1265" t="str">
        <f t="shared" si="0"/>
        <v/>
      </c>
      <c r="T1265" t="str">
        <f t="shared" si="1"/>
        <v/>
      </c>
      <c r="U1265" t="str">
        <f t="shared" si="2"/>
        <v/>
      </c>
      <c r="V1265" t="str">
        <f>IF(OR(U1265="",U1265="ERRO_CHAVE"),"",IFERROR(MATCH(U1265,Fornecedores!$AF$1:$AF$6631,0),""))</f>
        <v/>
      </c>
      <c r="W1265" t="str">
        <f t="shared" si="3"/>
        <v/>
      </c>
      <c r="X1265" s="4" t="str">
        <f>IF(V1265="","",INDEX(Fornecedores!$X$1:$X$6631,V1265))</f>
        <v/>
      </c>
      <c r="Y1265" s="4" t="str">
        <f t="shared" si="4"/>
        <v/>
      </c>
    </row>
    <row r="1266" spans="19:25">
      <c r="S1266" t="str">
        <f t="shared" si="0"/>
        <v/>
      </c>
      <c r="T1266" t="str">
        <f t="shared" si="1"/>
        <v/>
      </c>
      <c r="U1266" t="str">
        <f t="shared" si="2"/>
        <v/>
      </c>
      <c r="V1266" t="str">
        <f>IF(OR(U1266="",U1266="ERRO_CHAVE"),"",IFERROR(MATCH(U1266,Fornecedores!$AF$1:$AF$6631,0),""))</f>
        <v/>
      </c>
      <c r="W1266" t="str">
        <f t="shared" si="3"/>
        <v/>
      </c>
      <c r="X1266" s="4" t="str">
        <f>IF(V1266="","",INDEX(Fornecedores!$X$1:$X$6631,V1266))</f>
        <v/>
      </c>
      <c r="Y1266" s="4" t="str">
        <f t="shared" si="4"/>
        <v/>
      </c>
    </row>
    <row r="1267" spans="19:25">
      <c r="S1267" t="str">
        <f t="shared" si="0"/>
        <v/>
      </c>
      <c r="T1267" t="str">
        <f t="shared" si="1"/>
        <v/>
      </c>
      <c r="U1267" t="str">
        <f t="shared" si="2"/>
        <v/>
      </c>
      <c r="V1267" t="str">
        <f>IF(OR(U1267="",U1267="ERRO_CHAVE"),"",IFERROR(MATCH(U1267,Fornecedores!$AF$1:$AF$6631,0),""))</f>
        <v/>
      </c>
      <c r="W1267" t="str">
        <f t="shared" si="3"/>
        <v/>
      </c>
      <c r="X1267" s="4" t="str">
        <f>IF(V1267="","",INDEX(Fornecedores!$X$1:$X$6631,V1267))</f>
        <v/>
      </c>
      <c r="Y1267" s="4" t="str">
        <f t="shared" si="4"/>
        <v/>
      </c>
    </row>
    <row r="1268" spans="19:25">
      <c r="S1268" t="str">
        <f t="shared" si="0"/>
        <v/>
      </c>
      <c r="T1268" t="str">
        <f t="shared" si="1"/>
        <v/>
      </c>
      <c r="U1268" t="str">
        <f t="shared" si="2"/>
        <v/>
      </c>
      <c r="V1268" t="str">
        <f>IF(OR(U1268="",U1268="ERRO_CHAVE"),"",IFERROR(MATCH(U1268,Fornecedores!$AF$1:$AF$6631,0),""))</f>
        <v/>
      </c>
      <c r="W1268" t="str">
        <f t="shared" si="3"/>
        <v/>
      </c>
      <c r="X1268" s="4" t="str">
        <f>IF(V1268="","",INDEX(Fornecedores!$X$1:$X$6631,V1268))</f>
        <v/>
      </c>
      <c r="Y1268" s="4" t="str">
        <f t="shared" si="4"/>
        <v/>
      </c>
    </row>
    <row r="1269" spans="19:25">
      <c r="S1269" t="str">
        <f t="shared" si="0"/>
        <v/>
      </c>
      <c r="T1269" t="str">
        <f t="shared" si="1"/>
        <v/>
      </c>
      <c r="U1269" t="str">
        <f t="shared" si="2"/>
        <v/>
      </c>
      <c r="V1269" t="str">
        <f>IF(OR(U1269="",U1269="ERRO_CHAVE"),"",IFERROR(MATCH(U1269,Fornecedores!$AF$1:$AF$6631,0),""))</f>
        <v/>
      </c>
      <c r="W1269" t="str">
        <f t="shared" si="3"/>
        <v/>
      </c>
      <c r="X1269" s="4" t="str">
        <f>IF(V1269="","",INDEX(Fornecedores!$X$1:$X$6631,V1269))</f>
        <v/>
      </c>
      <c r="Y1269" s="4" t="str">
        <f t="shared" si="4"/>
        <v/>
      </c>
    </row>
    <row r="1270" spans="19:25">
      <c r="S1270" t="str">
        <f t="shared" si="0"/>
        <v/>
      </c>
      <c r="T1270" t="str">
        <f t="shared" si="1"/>
        <v/>
      </c>
      <c r="U1270" t="str">
        <f t="shared" si="2"/>
        <v/>
      </c>
      <c r="V1270" t="str">
        <f>IF(OR(U1270="",U1270="ERRO_CHAVE"),"",IFERROR(MATCH(U1270,Fornecedores!$AF$1:$AF$6631,0),""))</f>
        <v/>
      </c>
      <c r="W1270" t="str">
        <f t="shared" si="3"/>
        <v/>
      </c>
      <c r="X1270" s="4" t="str">
        <f>IF(V1270="","",INDEX(Fornecedores!$X$1:$X$6631,V1270))</f>
        <v/>
      </c>
      <c r="Y1270" s="4" t="str">
        <f t="shared" si="4"/>
        <v/>
      </c>
    </row>
    <row r="1271" spans="19:25">
      <c r="S1271" t="str">
        <f t="shared" si="0"/>
        <v/>
      </c>
      <c r="T1271" t="str">
        <f t="shared" si="1"/>
        <v/>
      </c>
      <c r="U1271" t="str">
        <f t="shared" si="2"/>
        <v/>
      </c>
      <c r="V1271" t="str">
        <f>IF(OR(U1271="",U1271="ERRO_CHAVE"),"",IFERROR(MATCH(U1271,Fornecedores!$AF$1:$AF$6631,0),""))</f>
        <v/>
      </c>
      <c r="W1271" t="str">
        <f t="shared" si="3"/>
        <v/>
      </c>
      <c r="X1271" s="4" t="str">
        <f>IF(V1271="","",INDEX(Fornecedores!$X$1:$X$6631,V1271))</f>
        <v/>
      </c>
      <c r="Y1271" s="4" t="str">
        <f t="shared" si="4"/>
        <v/>
      </c>
    </row>
    <row r="1272" spans="19:25">
      <c r="S1272" t="str">
        <f t="shared" si="0"/>
        <v/>
      </c>
      <c r="T1272" t="str">
        <f t="shared" si="1"/>
        <v/>
      </c>
      <c r="U1272" t="str">
        <f t="shared" si="2"/>
        <v/>
      </c>
      <c r="V1272" t="str">
        <f>IF(OR(U1272="",U1272="ERRO_CHAVE"),"",IFERROR(MATCH(U1272,Fornecedores!$AF$1:$AF$6631,0),""))</f>
        <v/>
      </c>
      <c r="W1272" t="str">
        <f t="shared" si="3"/>
        <v/>
      </c>
      <c r="X1272" s="4" t="str">
        <f>IF(V1272="","",INDEX(Fornecedores!$X$1:$X$6631,V1272))</f>
        <v/>
      </c>
      <c r="Y1272" s="4" t="str">
        <f t="shared" si="4"/>
        <v/>
      </c>
    </row>
    <row r="1273" spans="19:25">
      <c r="S1273" t="str">
        <f t="shared" si="0"/>
        <v/>
      </c>
      <c r="T1273" t="str">
        <f t="shared" si="1"/>
        <v/>
      </c>
      <c r="U1273" t="str">
        <f t="shared" si="2"/>
        <v/>
      </c>
      <c r="V1273" t="str">
        <f>IF(OR(U1273="",U1273="ERRO_CHAVE"),"",IFERROR(MATCH(U1273,Fornecedores!$AF$1:$AF$6631,0),""))</f>
        <v/>
      </c>
      <c r="W1273" t="str">
        <f t="shared" si="3"/>
        <v/>
      </c>
      <c r="X1273" s="4" t="str">
        <f>IF(V1273="","",INDEX(Fornecedores!$X$1:$X$6631,V1273))</f>
        <v/>
      </c>
      <c r="Y1273" s="4" t="str">
        <f t="shared" si="4"/>
        <v/>
      </c>
    </row>
    <row r="1274" spans="19:25">
      <c r="S1274" t="str">
        <f t="shared" si="0"/>
        <v/>
      </c>
      <c r="T1274" t="str">
        <f t="shared" si="1"/>
        <v/>
      </c>
      <c r="U1274" t="str">
        <f t="shared" si="2"/>
        <v/>
      </c>
      <c r="V1274" t="str">
        <f>IF(OR(U1274="",U1274="ERRO_CHAVE"),"",IFERROR(MATCH(U1274,Fornecedores!$AF$1:$AF$6631,0),""))</f>
        <v/>
      </c>
      <c r="W1274" t="str">
        <f t="shared" si="3"/>
        <v/>
      </c>
      <c r="X1274" s="4" t="str">
        <f>IF(V1274="","",INDEX(Fornecedores!$X$1:$X$6631,V1274))</f>
        <v/>
      </c>
      <c r="Y1274" s="4" t="str">
        <f t="shared" si="4"/>
        <v/>
      </c>
    </row>
    <row r="1275" spans="19:25">
      <c r="S1275" t="str">
        <f t="shared" si="0"/>
        <v/>
      </c>
      <c r="T1275" t="str">
        <f t="shared" si="1"/>
        <v/>
      </c>
      <c r="U1275" t="str">
        <f t="shared" si="2"/>
        <v/>
      </c>
      <c r="V1275" t="str">
        <f>IF(OR(U1275="",U1275="ERRO_CHAVE"),"",IFERROR(MATCH(U1275,Fornecedores!$AF$1:$AF$6631,0),""))</f>
        <v/>
      </c>
      <c r="W1275" t="str">
        <f t="shared" si="3"/>
        <v/>
      </c>
      <c r="X1275" s="4" t="str">
        <f>IF(V1275="","",INDEX(Fornecedores!$X$1:$X$6631,V1275))</f>
        <v/>
      </c>
      <c r="Y1275" s="4" t="str">
        <f t="shared" si="4"/>
        <v/>
      </c>
    </row>
    <row r="1276" spans="19:25">
      <c r="S1276" t="str">
        <f t="shared" si="0"/>
        <v/>
      </c>
      <c r="T1276" t="str">
        <f t="shared" si="1"/>
        <v/>
      </c>
      <c r="U1276" t="str">
        <f t="shared" si="2"/>
        <v/>
      </c>
      <c r="V1276" t="str">
        <f>IF(OR(U1276="",U1276="ERRO_CHAVE"),"",IFERROR(MATCH(U1276,Fornecedores!$AF$1:$AF$6631,0),""))</f>
        <v/>
      </c>
      <c r="W1276" t="str">
        <f t="shared" si="3"/>
        <v/>
      </c>
      <c r="X1276" s="4" t="str">
        <f>IF(V1276="","",INDEX(Fornecedores!$X$1:$X$6631,V1276))</f>
        <v/>
      </c>
      <c r="Y1276" s="4" t="str">
        <f t="shared" si="4"/>
        <v/>
      </c>
    </row>
    <row r="1277" spans="19:25">
      <c r="S1277" t="str">
        <f t="shared" si="0"/>
        <v/>
      </c>
      <c r="T1277" t="str">
        <f t="shared" si="1"/>
        <v/>
      </c>
      <c r="U1277" t="str">
        <f t="shared" si="2"/>
        <v/>
      </c>
      <c r="V1277" t="str">
        <f>IF(OR(U1277="",U1277="ERRO_CHAVE"),"",IFERROR(MATCH(U1277,Fornecedores!$AF$1:$AF$6631,0),""))</f>
        <v/>
      </c>
      <c r="W1277" t="str">
        <f t="shared" si="3"/>
        <v/>
      </c>
      <c r="X1277" s="4" t="str">
        <f>IF(V1277="","",INDEX(Fornecedores!$X$1:$X$6631,V1277))</f>
        <v/>
      </c>
      <c r="Y1277" s="4" t="str">
        <f t="shared" si="4"/>
        <v/>
      </c>
    </row>
    <row r="1278" spans="19:25">
      <c r="S1278" t="str">
        <f t="shared" si="0"/>
        <v/>
      </c>
      <c r="T1278" t="str">
        <f t="shared" si="1"/>
        <v/>
      </c>
      <c r="U1278" t="str">
        <f t="shared" si="2"/>
        <v/>
      </c>
      <c r="V1278" t="str">
        <f>IF(OR(U1278="",U1278="ERRO_CHAVE"),"",IFERROR(MATCH(U1278,Fornecedores!$AF$1:$AF$6631,0),""))</f>
        <v/>
      </c>
      <c r="W1278" t="str">
        <f t="shared" si="3"/>
        <v/>
      </c>
      <c r="X1278" s="4" t="str">
        <f>IF(V1278="","",INDEX(Fornecedores!$X$1:$X$6631,V1278))</f>
        <v/>
      </c>
      <c r="Y1278" s="4" t="str">
        <f t="shared" si="4"/>
        <v/>
      </c>
    </row>
    <row r="1279" spans="19:25">
      <c r="S1279" t="str">
        <f t="shared" si="0"/>
        <v/>
      </c>
      <c r="T1279" t="str">
        <f t="shared" si="1"/>
        <v/>
      </c>
      <c r="U1279" t="str">
        <f t="shared" si="2"/>
        <v/>
      </c>
      <c r="V1279" t="str">
        <f>IF(OR(U1279="",U1279="ERRO_CHAVE"),"",IFERROR(MATCH(U1279,Fornecedores!$AF$1:$AF$6631,0),""))</f>
        <v/>
      </c>
      <c r="W1279" t="str">
        <f t="shared" si="3"/>
        <v/>
      </c>
      <c r="X1279" s="4" t="str">
        <f>IF(V1279="","",INDEX(Fornecedores!$X$1:$X$6631,V1279))</f>
        <v/>
      </c>
      <c r="Y1279" s="4" t="str">
        <f t="shared" si="4"/>
        <v/>
      </c>
    </row>
    <row r="1280" spans="19:25">
      <c r="S1280" t="str">
        <f t="shared" si="0"/>
        <v/>
      </c>
      <c r="T1280" t="str">
        <f t="shared" si="1"/>
        <v/>
      </c>
      <c r="U1280" t="str">
        <f t="shared" si="2"/>
        <v/>
      </c>
      <c r="V1280" t="str">
        <f>IF(OR(U1280="",U1280="ERRO_CHAVE"),"",IFERROR(MATCH(U1280,Fornecedores!$AF$1:$AF$6631,0),""))</f>
        <v/>
      </c>
      <c r="W1280" t="str">
        <f t="shared" si="3"/>
        <v/>
      </c>
      <c r="X1280" s="4" t="str">
        <f>IF(V1280="","",INDEX(Fornecedores!$X$1:$X$6631,V1280))</f>
        <v/>
      </c>
      <c r="Y1280" s="4" t="str">
        <f t="shared" si="4"/>
        <v/>
      </c>
    </row>
    <row r="1281" spans="19:25">
      <c r="S1281" t="str">
        <f t="shared" si="0"/>
        <v/>
      </c>
      <c r="T1281" t="str">
        <f t="shared" si="1"/>
        <v/>
      </c>
      <c r="U1281" t="str">
        <f t="shared" si="2"/>
        <v/>
      </c>
      <c r="V1281" t="str">
        <f>IF(OR(U1281="",U1281="ERRO_CHAVE"),"",IFERROR(MATCH(U1281,Fornecedores!$AF$1:$AF$6631,0),""))</f>
        <v/>
      </c>
      <c r="W1281" t="str">
        <f t="shared" si="3"/>
        <v/>
      </c>
      <c r="X1281" s="4" t="str">
        <f>IF(V1281="","",INDEX(Fornecedores!$X$1:$X$6631,V1281))</f>
        <v/>
      </c>
      <c r="Y1281" s="4" t="str">
        <f t="shared" si="4"/>
        <v/>
      </c>
    </row>
    <row r="1282" spans="19:25">
      <c r="S1282" t="str">
        <f t="shared" si="0"/>
        <v/>
      </c>
      <c r="T1282" t="str">
        <f t="shared" si="1"/>
        <v/>
      </c>
      <c r="U1282" t="str">
        <f t="shared" si="2"/>
        <v/>
      </c>
      <c r="V1282" t="str">
        <f>IF(OR(U1282="",U1282="ERRO_CHAVE"),"",IFERROR(MATCH(U1282,Fornecedores!$AF$1:$AF$6631,0),""))</f>
        <v/>
      </c>
      <c r="W1282" t="str">
        <f t="shared" si="3"/>
        <v/>
      </c>
      <c r="X1282" s="4" t="str">
        <f>IF(V1282="","",INDEX(Fornecedores!$X$1:$X$6631,V1282))</f>
        <v/>
      </c>
      <c r="Y1282" s="4" t="str">
        <f t="shared" si="4"/>
        <v/>
      </c>
    </row>
    <row r="1283" spans="19:25">
      <c r="S1283" t="str">
        <f t="shared" si="0"/>
        <v/>
      </c>
      <c r="T1283" t="str">
        <f t="shared" si="1"/>
        <v/>
      </c>
      <c r="U1283" t="str">
        <f t="shared" si="2"/>
        <v/>
      </c>
      <c r="V1283" t="str">
        <f>IF(OR(U1283="",U1283="ERRO_CHAVE"),"",IFERROR(MATCH(U1283,Fornecedores!$AF$1:$AF$6631,0),""))</f>
        <v/>
      </c>
      <c r="W1283" t="str">
        <f t="shared" si="3"/>
        <v/>
      </c>
      <c r="X1283" s="4" t="str">
        <f>IF(V1283="","",INDEX(Fornecedores!$X$1:$X$6631,V1283))</f>
        <v/>
      </c>
      <c r="Y1283" s="4" t="str">
        <f t="shared" si="4"/>
        <v/>
      </c>
    </row>
    <row r="1284" spans="19:25">
      <c r="S1284" t="str">
        <f t="shared" si="0"/>
        <v/>
      </c>
      <c r="T1284" t="str">
        <f t="shared" si="1"/>
        <v/>
      </c>
      <c r="U1284" t="str">
        <f t="shared" si="2"/>
        <v/>
      </c>
      <c r="V1284" t="str">
        <f>IF(OR(U1284="",U1284="ERRO_CHAVE"),"",IFERROR(MATCH(U1284,Fornecedores!$AF$1:$AF$6631,0),""))</f>
        <v/>
      </c>
      <c r="W1284" t="str">
        <f t="shared" si="3"/>
        <v/>
      </c>
      <c r="X1284" s="4" t="str">
        <f>IF(V1284="","",INDEX(Fornecedores!$X$1:$X$6631,V1284))</f>
        <v/>
      </c>
      <c r="Y1284" s="4" t="str">
        <f t="shared" si="4"/>
        <v/>
      </c>
    </row>
    <row r="1285" spans="19:25">
      <c r="S1285" t="str">
        <f t="shared" si="0"/>
        <v/>
      </c>
      <c r="T1285" t="str">
        <f t="shared" si="1"/>
        <v/>
      </c>
      <c r="U1285" t="str">
        <f t="shared" si="2"/>
        <v/>
      </c>
      <c r="V1285" t="str">
        <f>IF(OR(U1285="",U1285="ERRO_CHAVE"),"",IFERROR(MATCH(U1285,Fornecedores!$AF$1:$AF$6631,0),""))</f>
        <v/>
      </c>
      <c r="W1285" t="str">
        <f t="shared" si="3"/>
        <v/>
      </c>
      <c r="X1285" s="4" t="str">
        <f>IF(V1285="","",INDEX(Fornecedores!$X$1:$X$6631,V1285))</f>
        <v/>
      </c>
      <c r="Y1285" s="4" t="str">
        <f t="shared" si="4"/>
        <v/>
      </c>
    </row>
    <row r="1286" spans="19:25">
      <c r="S1286" t="str">
        <f t="shared" si="0"/>
        <v/>
      </c>
      <c r="T1286" t="str">
        <f t="shared" si="1"/>
        <v/>
      </c>
      <c r="U1286" t="str">
        <f t="shared" si="2"/>
        <v/>
      </c>
      <c r="V1286" t="str">
        <f>IF(OR(U1286="",U1286="ERRO_CHAVE"),"",IFERROR(MATCH(U1286,Fornecedores!$AF$1:$AF$6631,0),""))</f>
        <v/>
      </c>
      <c r="W1286" t="str">
        <f t="shared" si="3"/>
        <v/>
      </c>
      <c r="X1286" s="4" t="str">
        <f>IF(V1286="","",INDEX(Fornecedores!$X$1:$X$6631,V1286))</f>
        <v/>
      </c>
      <c r="Y1286" s="4" t="str">
        <f t="shared" si="4"/>
        <v/>
      </c>
    </row>
    <row r="1287" spans="19:25">
      <c r="S1287" t="str">
        <f t="shared" si="0"/>
        <v/>
      </c>
      <c r="T1287" t="str">
        <f t="shared" si="1"/>
        <v/>
      </c>
      <c r="U1287" t="str">
        <f t="shared" si="2"/>
        <v/>
      </c>
      <c r="V1287" t="str">
        <f>IF(OR(U1287="",U1287="ERRO_CHAVE"),"",IFERROR(MATCH(U1287,Fornecedores!$AF$1:$AF$6631,0),""))</f>
        <v/>
      </c>
      <c r="W1287" t="str">
        <f t="shared" si="3"/>
        <v/>
      </c>
      <c r="X1287" s="4" t="str">
        <f>IF(V1287="","",INDEX(Fornecedores!$X$1:$X$6631,V1287))</f>
        <v/>
      </c>
      <c r="Y1287" s="4" t="str">
        <f t="shared" si="4"/>
        <v/>
      </c>
    </row>
    <row r="1288" spans="19:25">
      <c r="S1288" t="str">
        <f t="shared" si="0"/>
        <v/>
      </c>
      <c r="T1288" t="str">
        <f t="shared" si="1"/>
        <v/>
      </c>
      <c r="U1288" t="str">
        <f t="shared" si="2"/>
        <v/>
      </c>
      <c r="V1288" t="str">
        <f>IF(OR(U1288="",U1288="ERRO_CHAVE"),"",IFERROR(MATCH(U1288,Fornecedores!$AF$1:$AF$6631,0),""))</f>
        <v/>
      </c>
      <c r="W1288" t="str">
        <f t="shared" si="3"/>
        <v/>
      </c>
      <c r="X1288" s="4" t="str">
        <f>IF(V1288="","",INDEX(Fornecedores!$X$1:$X$6631,V1288))</f>
        <v/>
      </c>
      <c r="Y1288" s="4" t="str">
        <f t="shared" si="4"/>
        <v/>
      </c>
    </row>
    <row r="1289" spans="19:25">
      <c r="S1289" t="str">
        <f t="shared" si="0"/>
        <v/>
      </c>
      <c r="T1289" t="str">
        <f t="shared" si="1"/>
        <v/>
      </c>
      <c r="U1289" t="str">
        <f t="shared" si="2"/>
        <v/>
      </c>
      <c r="V1289" t="str">
        <f>IF(OR(U1289="",U1289="ERRO_CHAVE"),"",IFERROR(MATCH(U1289,Fornecedores!$AF$1:$AF$6631,0),""))</f>
        <v/>
      </c>
      <c r="W1289" t="str">
        <f t="shared" si="3"/>
        <v/>
      </c>
      <c r="X1289" s="4" t="str">
        <f>IF(V1289="","",INDEX(Fornecedores!$X$1:$X$6631,V1289))</f>
        <v/>
      </c>
      <c r="Y1289" s="4" t="str">
        <f t="shared" si="4"/>
        <v/>
      </c>
    </row>
    <row r="1290" spans="19:25">
      <c r="S1290" t="str">
        <f t="shared" si="0"/>
        <v/>
      </c>
      <c r="T1290" t="str">
        <f t="shared" si="1"/>
        <v/>
      </c>
      <c r="U1290" t="str">
        <f t="shared" si="2"/>
        <v/>
      </c>
      <c r="V1290" t="str">
        <f>IF(OR(U1290="",U1290="ERRO_CHAVE"),"",IFERROR(MATCH(U1290,Fornecedores!$AF$1:$AF$6631,0),""))</f>
        <v/>
      </c>
      <c r="W1290" t="str">
        <f t="shared" si="3"/>
        <v/>
      </c>
      <c r="X1290" s="4" t="str">
        <f>IF(V1290="","",INDEX(Fornecedores!$X$1:$X$6631,V1290))</f>
        <v/>
      </c>
      <c r="Y1290" s="4" t="str">
        <f t="shared" si="4"/>
        <v/>
      </c>
    </row>
    <row r="1291" spans="19:25">
      <c r="S1291" t="str">
        <f t="shared" si="0"/>
        <v/>
      </c>
      <c r="T1291" t="str">
        <f t="shared" si="1"/>
        <v/>
      </c>
      <c r="U1291" t="str">
        <f t="shared" si="2"/>
        <v/>
      </c>
      <c r="V1291" t="str">
        <f>IF(OR(U1291="",U1291="ERRO_CHAVE"),"",IFERROR(MATCH(U1291,Fornecedores!$AF$1:$AF$6631,0),""))</f>
        <v/>
      </c>
      <c r="W1291" t="str">
        <f t="shared" si="3"/>
        <v/>
      </c>
      <c r="X1291" s="4" t="str">
        <f>IF(V1291="","",INDEX(Fornecedores!$X$1:$X$6631,V1291))</f>
        <v/>
      </c>
      <c r="Y1291" s="4" t="str">
        <f t="shared" si="4"/>
        <v/>
      </c>
    </row>
    <row r="1292" spans="19:25">
      <c r="S1292" t="str">
        <f t="shared" si="0"/>
        <v/>
      </c>
      <c r="T1292" t="str">
        <f t="shared" si="1"/>
        <v/>
      </c>
      <c r="U1292" t="str">
        <f t="shared" si="2"/>
        <v/>
      </c>
      <c r="V1292" t="str">
        <f>IF(OR(U1292="",U1292="ERRO_CHAVE"),"",IFERROR(MATCH(U1292,Fornecedores!$AF$1:$AF$6631,0),""))</f>
        <v/>
      </c>
      <c r="W1292" t="str">
        <f t="shared" si="3"/>
        <v/>
      </c>
      <c r="X1292" s="4" t="str">
        <f>IF(V1292="","",INDEX(Fornecedores!$X$1:$X$6631,V1292))</f>
        <v/>
      </c>
      <c r="Y1292" s="4" t="str">
        <f t="shared" si="4"/>
        <v/>
      </c>
    </row>
    <row r="1293" spans="19:25">
      <c r="S1293" t="str">
        <f t="shared" si="0"/>
        <v/>
      </c>
      <c r="T1293" t="str">
        <f t="shared" si="1"/>
        <v/>
      </c>
      <c r="U1293" t="str">
        <f t="shared" si="2"/>
        <v/>
      </c>
      <c r="V1293" t="str">
        <f>IF(OR(U1293="",U1293="ERRO_CHAVE"),"",IFERROR(MATCH(U1293,Fornecedores!$AF$1:$AF$6631,0),""))</f>
        <v/>
      </c>
      <c r="W1293" t="str">
        <f t="shared" si="3"/>
        <v/>
      </c>
      <c r="X1293" s="4" t="str">
        <f>IF(V1293="","",INDEX(Fornecedores!$X$1:$X$6631,V1293))</f>
        <v/>
      </c>
      <c r="Y1293" s="4" t="str">
        <f t="shared" si="4"/>
        <v/>
      </c>
    </row>
    <row r="1294" spans="19:25">
      <c r="S1294" t="str">
        <f t="shared" si="0"/>
        <v/>
      </c>
      <c r="T1294" t="str">
        <f t="shared" si="1"/>
        <v/>
      </c>
      <c r="U1294" t="str">
        <f t="shared" si="2"/>
        <v/>
      </c>
      <c r="V1294" t="str">
        <f>IF(OR(U1294="",U1294="ERRO_CHAVE"),"",IFERROR(MATCH(U1294,Fornecedores!$AF$1:$AF$6631,0),""))</f>
        <v/>
      </c>
      <c r="W1294" t="str">
        <f t="shared" si="3"/>
        <v/>
      </c>
      <c r="X1294" s="4" t="str">
        <f>IF(V1294="","",INDEX(Fornecedores!$X$1:$X$6631,V1294))</f>
        <v/>
      </c>
      <c r="Y1294" s="4" t="str">
        <f t="shared" si="4"/>
        <v/>
      </c>
    </row>
    <row r="1295" spans="19:25">
      <c r="S1295" t="str">
        <f t="shared" si="0"/>
        <v/>
      </c>
      <c r="T1295" t="str">
        <f t="shared" si="1"/>
        <v/>
      </c>
      <c r="U1295" t="str">
        <f t="shared" si="2"/>
        <v/>
      </c>
      <c r="V1295" t="str">
        <f>IF(OR(U1295="",U1295="ERRO_CHAVE"),"",IFERROR(MATCH(U1295,Fornecedores!$AF$1:$AF$6631,0),""))</f>
        <v/>
      </c>
      <c r="W1295" t="str">
        <f t="shared" si="3"/>
        <v/>
      </c>
      <c r="X1295" s="4" t="str">
        <f>IF(V1295="","",INDEX(Fornecedores!$X$1:$X$6631,V1295))</f>
        <v/>
      </c>
      <c r="Y1295" s="4" t="str">
        <f t="shared" si="4"/>
        <v/>
      </c>
    </row>
    <row r="1296" spans="19:25">
      <c r="S1296" t="str">
        <f t="shared" si="0"/>
        <v/>
      </c>
      <c r="T1296" t="str">
        <f t="shared" si="1"/>
        <v/>
      </c>
      <c r="U1296" t="str">
        <f t="shared" si="2"/>
        <v/>
      </c>
      <c r="V1296" t="str">
        <f>IF(OR(U1296="",U1296="ERRO_CHAVE"),"",IFERROR(MATCH(U1296,Fornecedores!$AF$1:$AF$6631,0),""))</f>
        <v/>
      </c>
      <c r="W1296" t="str">
        <f t="shared" si="3"/>
        <v/>
      </c>
      <c r="X1296" s="4" t="str">
        <f>IF(V1296="","",INDEX(Fornecedores!$X$1:$X$6631,V1296))</f>
        <v/>
      </c>
      <c r="Y1296" s="4" t="str">
        <f t="shared" si="4"/>
        <v/>
      </c>
    </row>
    <row r="1297" spans="19:25">
      <c r="S1297" t="str">
        <f t="shared" si="0"/>
        <v/>
      </c>
      <c r="T1297" t="str">
        <f t="shared" si="1"/>
        <v/>
      </c>
      <c r="U1297" t="str">
        <f t="shared" si="2"/>
        <v/>
      </c>
      <c r="V1297" t="str">
        <f>IF(OR(U1297="",U1297="ERRO_CHAVE"),"",IFERROR(MATCH(U1297,Fornecedores!$AF$1:$AF$6631,0),""))</f>
        <v/>
      </c>
      <c r="W1297" t="str">
        <f t="shared" si="3"/>
        <v/>
      </c>
      <c r="X1297" s="4" t="str">
        <f>IF(V1297="","",INDEX(Fornecedores!$X$1:$X$6631,V1297))</f>
        <v/>
      </c>
      <c r="Y1297" s="4" t="str">
        <f t="shared" si="4"/>
        <v/>
      </c>
    </row>
    <row r="1298" spans="19:25">
      <c r="S1298" t="str">
        <f t="shared" si="0"/>
        <v/>
      </c>
      <c r="T1298" t="str">
        <f t="shared" si="1"/>
        <v/>
      </c>
      <c r="U1298" t="str">
        <f t="shared" si="2"/>
        <v/>
      </c>
      <c r="V1298" t="str">
        <f>IF(OR(U1298="",U1298="ERRO_CHAVE"),"",IFERROR(MATCH(U1298,Fornecedores!$AF$1:$AF$6631,0),""))</f>
        <v/>
      </c>
      <c r="W1298" t="str">
        <f t="shared" si="3"/>
        <v/>
      </c>
      <c r="X1298" s="4" t="str">
        <f>IF(V1298="","",INDEX(Fornecedores!$X$1:$X$6631,V1298))</f>
        <v/>
      </c>
      <c r="Y1298" s="4" t="str">
        <f t="shared" si="4"/>
        <v/>
      </c>
    </row>
    <row r="1299" spans="19:25">
      <c r="S1299" t="str">
        <f t="shared" si="0"/>
        <v/>
      </c>
      <c r="T1299" t="str">
        <f t="shared" si="1"/>
        <v/>
      </c>
      <c r="U1299" t="str">
        <f t="shared" si="2"/>
        <v/>
      </c>
      <c r="V1299" t="str">
        <f>IF(OR(U1299="",U1299="ERRO_CHAVE"),"",IFERROR(MATCH(U1299,Fornecedores!$AF$1:$AF$6631,0),""))</f>
        <v/>
      </c>
      <c r="W1299" t="str">
        <f t="shared" si="3"/>
        <v/>
      </c>
      <c r="X1299" s="4" t="str">
        <f>IF(V1299="","",INDEX(Fornecedores!$X$1:$X$6631,V1299))</f>
        <v/>
      </c>
      <c r="Y1299" s="4" t="str">
        <f t="shared" si="4"/>
        <v/>
      </c>
    </row>
    <row r="1300" spans="19:25">
      <c r="S1300" t="str">
        <f t="shared" si="0"/>
        <v/>
      </c>
      <c r="T1300" t="str">
        <f t="shared" si="1"/>
        <v/>
      </c>
      <c r="U1300" t="str">
        <f t="shared" si="2"/>
        <v/>
      </c>
      <c r="V1300" t="str">
        <f>IF(OR(U1300="",U1300="ERRO_CHAVE"),"",IFERROR(MATCH(U1300,Fornecedores!$AF$1:$AF$6631,0),""))</f>
        <v/>
      </c>
      <c r="W1300" t="str">
        <f t="shared" si="3"/>
        <v/>
      </c>
      <c r="X1300" s="4" t="str">
        <f>IF(V1300="","",INDEX(Fornecedores!$X$1:$X$6631,V1300))</f>
        <v/>
      </c>
      <c r="Y1300" s="4" t="str">
        <f t="shared" si="4"/>
        <v/>
      </c>
    </row>
    <row r="1301" spans="19:25">
      <c r="S1301" t="str">
        <f t="shared" si="0"/>
        <v/>
      </c>
      <c r="T1301" t="str">
        <f t="shared" si="1"/>
        <v/>
      </c>
      <c r="U1301" t="str">
        <f t="shared" si="2"/>
        <v/>
      </c>
      <c r="V1301" t="str">
        <f>IF(OR(U1301="",U1301="ERRO_CHAVE"),"",IFERROR(MATCH(U1301,Fornecedores!$AF$1:$AF$6631,0),""))</f>
        <v/>
      </c>
      <c r="W1301" t="str">
        <f t="shared" si="3"/>
        <v/>
      </c>
      <c r="X1301" s="4" t="str">
        <f>IF(V1301="","",INDEX(Fornecedores!$X$1:$X$6631,V1301))</f>
        <v/>
      </c>
      <c r="Y1301" s="4" t="str">
        <f t="shared" si="4"/>
        <v/>
      </c>
    </row>
    <row r="1302" spans="19:25">
      <c r="S1302" t="str">
        <f t="shared" si="0"/>
        <v/>
      </c>
      <c r="T1302" t="str">
        <f t="shared" si="1"/>
        <v/>
      </c>
      <c r="U1302" t="str">
        <f t="shared" si="2"/>
        <v/>
      </c>
      <c r="V1302" t="str">
        <f>IF(OR(U1302="",U1302="ERRO_CHAVE"),"",IFERROR(MATCH(U1302,Fornecedores!$AF$1:$AF$6631,0),""))</f>
        <v/>
      </c>
      <c r="W1302" t="str">
        <f t="shared" si="3"/>
        <v/>
      </c>
      <c r="X1302" s="4" t="str">
        <f>IF(V1302="","",INDEX(Fornecedores!$X$1:$X$6631,V1302))</f>
        <v/>
      </c>
      <c r="Y1302" s="4" t="str">
        <f t="shared" si="4"/>
        <v/>
      </c>
    </row>
    <row r="1303" spans="19:25">
      <c r="S1303" t="str">
        <f t="shared" si="0"/>
        <v/>
      </c>
      <c r="T1303" t="str">
        <f t="shared" si="1"/>
        <v/>
      </c>
      <c r="U1303" t="str">
        <f t="shared" si="2"/>
        <v/>
      </c>
      <c r="V1303" t="str">
        <f>IF(OR(U1303="",U1303="ERRO_CHAVE"),"",IFERROR(MATCH(U1303,Fornecedores!$AF$1:$AF$6631,0),""))</f>
        <v/>
      </c>
      <c r="W1303" t="str">
        <f t="shared" si="3"/>
        <v/>
      </c>
      <c r="X1303" s="4" t="str">
        <f>IF(V1303="","",INDEX(Fornecedores!$X$1:$X$6631,V1303))</f>
        <v/>
      </c>
      <c r="Y1303" s="4" t="str">
        <f t="shared" si="4"/>
        <v/>
      </c>
    </row>
    <row r="1304" spans="19:25">
      <c r="S1304" t="str">
        <f t="shared" si="0"/>
        <v/>
      </c>
      <c r="T1304" t="str">
        <f t="shared" si="1"/>
        <v/>
      </c>
      <c r="U1304" t="str">
        <f t="shared" si="2"/>
        <v/>
      </c>
      <c r="V1304" t="str">
        <f>IF(OR(U1304="",U1304="ERRO_CHAVE"),"",IFERROR(MATCH(U1304,Fornecedores!$AF$1:$AF$6631,0),""))</f>
        <v/>
      </c>
      <c r="W1304" t="str">
        <f t="shared" si="3"/>
        <v/>
      </c>
      <c r="X1304" s="4" t="str">
        <f>IF(V1304="","",INDEX(Fornecedores!$X$1:$X$6631,V1304))</f>
        <v/>
      </c>
      <c r="Y1304" s="4" t="str">
        <f t="shared" si="4"/>
        <v/>
      </c>
    </row>
    <row r="1305" spans="19:25">
      <c r="S1305" t="str">
        <f t="shared" si="0"/>
        <v/>
      </c>
      <c r="T1305" t="str">
        <f t="shared" si="1"/>
        <v/>
      </c>
      <c r="U1305" t="str">
        <f t="shared" si="2"/>
        <v/>
      </c>
      <c r="V1305" t="str">
        <f>IF(OR(U1305="",U1305="ERRO_CHAVE"),"",IFERROR(MATCH(U1305,Fornecedores!$AF$1:$AF$6631,0),""))</f>
        <v/>
      </c>
      <c r="W1305" t="str">
        <f t="shared" si="3"/>
        <v/>
      </c>
      <c r="X1305" s="4" t="str">
        <f>IF(V1305="","",INDEX(Fornecedores!$X$1:$X$6631,V1305))</f>
        <v/>
      </c>
      <c r="Y1305" s="4" t="str">
        <f t="shared" si="4"/>
        <v/>
      </c>
    </row>
    <row r="1306" spans="19:25">
      <c r="S1306" t="str">
        <f t="shared" si="0"/>
        <v/>
      </c>
      <c r="T1306" t="str">
        <f t="shared" si="1"/>
        <v/>
      </c>
      <c r="U1306" t="str">
        <f t="shared" si="2"/>
        <v/>
      </c>
      <c r="V1306" t="str">
        <f>IF(OR(U1306="",U1306="ERRO_CHAVE"),"",IFERROR(MATCH(U1306,Fornecedores!$AF$1:$AF$6631,0),""))</f>
        <v/>
      </c>
      <c r="W1306" t="str">
        <f t="shared" si="3"/>
        <v/>
      </c>
      <c r="X1306" s="4" t="str">
        <f>IF(V1306="","",INDEX(Fornecedores!$X$1:$X$6631,V1306))</f>
        <v/>
      </c>
      <c r="Y1306" s="4" t="str">
        <f t="shared" si="4"/>
        <v/>
      </c>
    </row>
    <row r="1307" spans="19:25">
      <c r="S1307" t="str">
        <f t="shared" si="0"/>
        <v/>
      </c>
      <c r="T1307" t="str">
        <f t="shared" si="1"/>
        <v/>
      </c>
      <c r="U1307" t="str">
        <f t="shared" si="2"/>
        <v/>
      </c>
      <c r="V1307" t="str">
        <f>IF(OR(U1307="",U1307="ERRO_CHAVE"),"",IFERROR(MATCH(U1307,Fornecedores!$AF$1:$AF$6631,0),""))</f>
        <v/>
      </c>
      <c r="W1307" t="str">
        <f t="shared" si="3"/>
        <v/>
      </c>
      <c r="X1307" s="4" t="str">
        <f>IF(V1307="","",INDEX(Fornecedores!$X$1:$X$6631,V1307))</f>
        <v/>
      </c>
      <c r="Y1307" s="4" t="str">
        <f t="shared" si="4"/>
        <v/>
      </c>
    </row>
    <row r="1308" spans="19:25">
      <c r="S1308" t="str">
        <f t="shared" si="0"/>
        <v/>
      </c>
      <c r="T1308" t="str">
        <f t="shared" si="1"/>
        <v/>
      </c>
      <c r="U1308" t="str">
        <f t="shared" si="2"/>
        <v/>
      </c>
      <c r="V1308" t="str">
        <f>IF(OR(U1308="",U1308="ERRO_CHAVE"),"",IFERROR(MATCH(U1308,Fornecedores!$AF$1:$AF$6631,0),""))</f>
        <v/>
      </c>
      <c r="W1308" t="str">
        <f t="shared" si="3"/>
        <v/>
      </c>
      <c r="X1308" s="4" t="str">
        <f>IF(V1308="","",INDEX(Fornecedores!$X$1:$X$6631,V1308))</f>
        <v/>
      </c>
      <c r="Y1308" s="4" t="str">
        <f t="shared" si="4"/>
        <v/>
      </c>
    </row>
    <row r="1309" spans="19:25">
      <c r="S1309" t="str">
        <f t="shared" si="0"/>
        <v/>
      </c>
      <c r="T1309" t="str">
        <f t="shared" si="1"/>
        <v/>
      </c>
      <c r="U1309" t="str">
        <f t="shared" si="2"/>
        <v/>
      </c>
      <c r="V1309" t="str">
        <f>IF(OR(U1309="",U1309="ERRO_CHAVE"),"",IFERROR(MATCH(U1309,Fornecedores!$AF$1:$AF$6631,0),""))</f>
        <v/>
      </c>
      <c r="W1309" t="str">
        <f t="shared" si="3"/>
        <v/>
      </c>
      <c r="X1309" s="4" t="str">
        <f>IF(V1309="","",INDEX(Fornecedores!$X$1:$X$6631,V1309))</f>
        <v/>
      </c>
      <c r="Y1309" s="4" t="str">
        <f t="shared" si="4"/>
        <v/>
      </c>
    </row>
    <row r="1310" spans="19:25">
      <c r="S1310" t="str">
        <f t="shared" si="0"/>
        <v/>
      </c>
      <c r="T1310" t="str">
        <f t="shared" si="1"/>
        <v/>
      </c>
      <c r="U1310" t="str">
        <f t="shared" si="2"/>
        <v/>
      </c>
      <c r="V1310" t="str">
        <f>IF(OR(U1310="",U1310="ERRO_CHAVE"),"",IFERROR(MATCH(U1310,Fornecedores!$AF$1:$AF$6631,0),""))</f>
        <v/>
      </c>
      <c r="W1310" t="str">
        <f t="shared" si="3"/>
        <v/>
      </c>
      <c r="X1310" s="4" t="str">
        <f>IF(V1310="","",INDEX(Fornecedores!$X$1:$X$6631,V1310))</f>
        <v/>
      </c>
      <c r="Y1310" s="4" t="str">
        <f t="shared" si="4"/>
        <v/>
      </c>
    </row>
    <row r="1311" spans="19:25">
      <c r="S1311" t="str">
        <f t="shared" si="0"/>
        <v/>
      </c>
      <c r="T1311" t="str">
        <f t="shared" si="1"/>
        <v/>
      </c>
      <c r="U1311" t="str">
        <f t="shared" si="2"/>
        <v/>
      </c>
      <c r="V1311" t="str">
        <f>IF(OR(U1311="",U1311="ERRO_CHAVE"),"",IFERROR(MATCH(U1311,Fornecedores!$AF$1:$AF$6631,0),""))</f>
        <v/>
      </c>
      <c r="W1311" t="str">
        <f t="shared" si="3"/>
        <v/>
      </c>
      <c r="X1311" s="4" t="str">
        <f>IF(V1311="","",INDEX(Fornecedores!$X$1:$X$6631,V1311))</f>
        <v/>
      </c>
      <c r="Y1311" s="4" t="str">
        <f t="shared" si="4"/>
        <v/>
      </c>
    </row>
    <row r="1312" spans="19:25">
      <c r="S1312" t="str">
        <f t="shared" si="0"/>
        <v/>
      </c>
      <c r="T1312" t="str">
        <f t="shared" si="1"/>
        <v/>
      </c>
      <c r="U1312" t="str">
        <f t="shared" si="2"/>
        <v/>
      </c>
      <c r="V1312" t="str">
        <f>IF(OR(U1312="",U1312="ERRO_CHAVE"),"",IFERROR(MATCH(U1312,Fornecedores!$AF$1:$AF$6631,0),""))</f>
        <v/>
      </c>
      <c r="W1312" t="str">
        <f t="shared" si="3"/>
        <v/>
      </c>
      <c r="X1312" s="4" t="str">
        <f>IF(V1312="","",INDEX(Fornecedores!$X$1:$X$6631,V1312))</f>
        <v/>
      </c>
      <c r="Y1312" s="4" t="str">
        <f t="shared" si="4"/>
        <v/>
      </c>
    </row>
    <row r="1313" spans="19:25">
      <c r="S1313" t="str">
        <f t="shared" si="0"/>
        <v/>
      </c>
      <c r="T1313" t="str">
        <f t="shared" si="1"/>
        <v/>
      </c>
      <c r="U1313" t="str">
        <f t="shared" si="2"/>
        <v/>
      </c>
      <c r="V1313" t="str">
        <f>IF(OR(U1313="",U1313="ERRO_CHAVE"),"",IFERROR(MATCH(U1313,Fornecedores!$AF$1:$AF$6631,0),""))</f>
        <v/>
      </c>
      <c r="W1313" t="str">
        <f t="shared" si="3"/>
        <v/>
      </c>
      <c r="X1313" s="4" t="str">
        <f>IF(V1313="","",INDEX(Fornecedores!$X$1:$X$6631,V1313))</f>
        <v/>
      </c>
      <c r="Y1313" s="4" t="str">
        <f t="shared" si="4"/>
        <v/>
      </c>
    </row>
    <row r="1314" spans="19:25">
      <c r="S1314" t="str">
        <f t="shared" si="0"/>
        <v/>
      </c>
      <c r="T1314" t="str">
        <f t="shared" si="1"/>
        <v/>
      </c>
      <c r="U1314" t="str">
        <f t="shared" si="2"/>
        <v/>
      </c>
      <c r="V1314" t="str">
        <f>IF(OR(U1314="",U1314="ERRO_CHAVE"),"",IFERROR(MATCH(U1314,Fornecedores!$AF$1:$AF$6631,0),""))</f>
        <v/>
      </c>
      <c r="W1314" t="str">
        <f t="shared" si="3"/>
        <v/>
      </c>
      <c r="X1314" s="4" t="str">
        <f>IF(V1314="","",INDEX(Fornecedores!$X$1:$X$6631,V1314))</f>
        <v/>
      </c>
      <c r="Y1314" s="4" t="str">
        <f t="shared" si="4"/>
        <v/>
      </c>
    </row>
    <row r="1315" spans="19:25">
      <c r="S1315" t="str">
        <f t="shared" si="0"/>
        <v/>
      </c>
      <c r="T1315" t="str">
        <f t="shared" si="1"/>
        <v/>
      </c>
      <c r="U1315" t="str">
        <f t="shared" si="2"/>
        <v/>
      </c>
      <c r="V1315" t="str">
        <f>IF(OR(U1315="",U1315="ERRO_CHAVE"),"",IFERROR(MATCH(U1315,Fornecedores!$AF$1:$AF$6631,0),""))</f>
        <v/>
      </c>
      <c r="W1315" t="str">
        <f t="shared" si="3"/>
        <v/>
      </c>
      <c r="X1315" s="4" t="str">
        <f>IF(V1315="","",INDEX(Fornecedores!$X$1:$X$6631,V1315))</f>
        <v/>
      </c>
      <c r="Y1315" s="4" t="str">
        <f t="shared" si="4"/>
        <v/>
      </c>
    </row>
    <row r="1316" spans="19:25">
      <c r="S1316" t="str">
        <f t="shared" si="0"/>
        <v/>
      </c>
      <c r="T1316" t="str">
        <f t="shared" si="1"/>
        <v/>
      </c>
      <c r="U1316" t="str">
        <f t="shared" si="2"/>
        <v/>
      </c>
      <c r="V1316" t="str">
        <f>IF(OR(U1316="",U1316="ERRO_CHAVE"),"",IFERROR(MATCH(U1316,Fornecedores!$AF$1:$AF$6631,0),""))</f>
        <v/>
      </c>
      <c r="W1316" t="str">
        <f t="shared" si="3"/>
        <v/>
      </c>
      <c r="X1316" s="4" t="str">
        <f>IF(V1316="","",INDEX(Fornecedores!$X$1:$X$6631,V1316))</f>
        <v/>
      </c>
      <c r="Y1316" s="4" t="str">
        <f t="shared" si="4"/>
        <v/>
      </c>
    </row>
    <row r="1317" spans="19:25">
      <c r="S1317" t="str">
        <f t="shared" si="0"/>
        <v/>
      </c>
      <c r="T1317" t="str">
        <f t="shared" si="1"/>
        <v/>
      </c>
      <c r="U1317" t="str">
        <f t="shared" si="2"/>
        <v/>
      </c>
      <c r="V1317" t="str">
        <f>IF(OR(U1317="",U1317="ERRO_CHAVE"),"",IFERROR(MATCH(U1317,Fornecedores!$AF$1:$AF$6631,0),""))</f>
        <v/>
      </c>
      <c r="W1317" t="str">
        <f t="shared" si="3"/>
        <v/>
      </c>
      <c r="X1317" s="4" t="str">
        <f>IF(V1317="","",INDEX(Fornecedores!$X$1:$X$6631,V1317))</f>
        <v/>
      </c>
      <c r="Y1317" s="4" t="str">
        <f t="shared" si="4"/>
        <v/>
      </c>
    </row>
    <row r="1318" spans="19:25">
      <c r="S1318" t="str">
        <f t="shared" si="0"/>
        <v/>
      </c>
      <c r="T1318" t="str">
        <f t="shared" si="1"/>
        <v/>
      </c>
      <c r="U1318" t="str">
        <f t="shared" si="2"/>
        <v/>
      </c>
      <c r="V1318" t="str">
        <f>IF(OR(U1318="",U1318="ERRO_CHAVE"),"",IFERROR(MATCH(U1318,Fornecedores!$AF$1:$AF$6631,0),""))</f>
        <v/>
      </c>
      <c r="W1318" t="str">
        <f t="shared" si="3"/>
        <v/>
      </c>
      <c r="X1318" s="4" t="str">
        <f>IF(V1318="","",INDEX(Fornecedores!$X$1:$X$6631,V1318))</f>
        <v/>
      </c>
      <c r="Y1318" s="4" t="str">
        <f t="shared" si="4"/>
        <v/>
      </c>
    </row>
    <row r="1319" spans="19:25">
      <c r="S1319" t="str">
        <f t="shared" si="0"/>
        <v/>
      </c>
      <c r="T1319" t="str">
        <f t="shared" si="1"/>
        <v/>
      </c>
      <c r="U1319" t="str">
        <f t="shared" si="2"/>
        <v/>
      </c>
      <c r="V1319" t="str">
        <f>IF(OR(U1319="",U1319="ERRO_CHAVE"),"",IFERROR(MATCH(U1319,Fornecedores!$AF$1:$AF$6631,0),""))</f>
        <v/>
      </c>
      <c r="W1319" t="str">
        <f t="shared" si="3"/>
        <v/>
      </c>
      <c r="X1319" s="4" t="str">
        <f>IF(V1319="","",INDEX(Fornecedores!$X$1:$X$6631,V1319))</f>
        <v/>
      </c>
      <c r="Y1319" s="4" t="str">
        <f t="shared" si="4"/>
        <v/>
      </c>
    </row>
    <row r="1320" spans="19:25">
      <c r="S1320" t="str">
        <f t="shared" si="0"/>
        <v/>
      </c>
      <c r="T1320" t="str">
        <f t="shared" si="1"/>
        <v/>
      </c>
      <c r="U1320" t="str">
        <f t="shared" si="2"/>
        <v/>
      </c>
      <c r="V1320" t="str">
        <f>IF(OR(U1320="",U1320="ERRO_CHAVE"),"",IFERROR(MATCH(U1320,Fornecedores!$AF$1:$AF$6631,0),""))</f>
        <v/>
      </c>
      <c r="W1320" t="str">
        <f t="shared" si="3"/>
        <v/>
      </c>
      <c r="X1320" s="4" t="str">
        <f>IF(V1320="","",INDEX(Fornecedores!$X$1:$X$6631,V1320))</f>
        <v/>
      </c>
      <c r="Y1320" s="4" t="str">
        <f t="shared" si="4"/>
        <v/>
      </c>
    </row>
    <row r="1321" spans="19:25">
      <c r="S1321" t="str">
        <f t="shared" si="0"/>
        <v/>
      </c>
      <c r="T1321" t="str">
        <f t="shared" si="1"/>
        <v/>
      </c>
      <c r="U1321" t="str">
        <f t="shared" si="2"/>
        <v/>
      </c>
      <c r="V1321" t="str">
        <f>IF(OR(U1321="",U1321="ERRO_CHAVE"),"",IFERROR(MATCH(U1321,Fornecedores!$AF$1:$AF$6631,0),""))</f>
        <v/>
      </c>
      <c r="W1321" t="str">
        <f t="shared" si="3"/>
        <v/>
      </c>
      <c r="X1321" s="4" t="str">
        <f>IF(V1321="","",INDEX(Fornecedores!$X$1:$X$6631,V1321))</f>
        <v/>
      </c>
      <c r="Y1321" s="4" t="str">
        <f t="shared" si="4"/>
        <v/>
      </c>
    </row>
    <row r="1322" spans="19:25">
      <c r="S1322" t="str">
        <f t="shared" si="0"/>
        <v/>
      </c>
      <c r="T1322" t="str">
        <f t="shared" si="1"/>
        <v/>
      </c>
      <c r="U1322" t="str">
        <f t="shared" si="2"/>
        <v/>
      </c>
      <c r="V1322" t="str">
        <f>IF(OR(U1322="",U1322="ERRO_CHAVE"),"",IFERROR(MATCH(U1322,Fornecedores!$AF$1:$AF$6631,0),""))</f>
        <v/>
      </c>
      <c r="W1322" t="str">
        <f t="shared" si="3"/>
        <v/>
      </c>
      <c r="X1322" s="4" t="str">
        <f>IF(V1322="","",INDEX(Fornecedores!$X$1:$X$6631,V1322))</f>
        <v/>
      </c>
      <c r="Y1322" s="4" t="str">
        <f t="shared" si="4"/>
        <v/>
      </c>
    </row>
    <row r="1323" spans="19:25">
      <c r="S1323" t="str">
        <f t="shared" si="0"/>
        <v/>
      </c>
      <c r="T1323" t="str">
        <f t="shared" si="1"/>
        <v/>
      </c>
      <c r="U1323" t="str">
        <f t="shared" si="2"/>
        <v/>
      </c>
      <c r="V1323" t="str">
        <f>IF(OR(U1323="",U1323="ERRO_CHAVE"),"",IFERROR(MATCH(U1323,Fornecedores!$AF$1:$AF$6631,0),""))</f>
        <v/>
      </c>
      <c r="W1323" t="str">
        <f t="shared" si="3"/>
        <v/>
      </c>
      <c r="X1323" s="4" t="str">
        <f>IF(V1323="","",INDEX(Fornecedores!$X$1:$X$6631,V1323))</f>
        <v/>
      </c>
      <c r="Y1323" s="4" t="str">
        <f t="shared" si="4"/>
        <v/>
      </c>
    </row>
    <row r="1324" spans="19:25">
      <c r="S1324" t="str">
        <f t="shared" si="0"/>
        <v/>
      </c>
      <c r="T1324" t="str">
        <f t="shared" si="1"/>
        <v/>
      </c>
      <c r="U1324" t="str">
        <f t="shared" si="2"/>
        <v/>
      </c>
      <c r="V1324" t="str">
        <f>IF(OR(U1324="",U1324="ERRO_CHAVE"),"",IFERROR(MATCH(U1324,Fornecedores!$AF$1:$AF$6631,0),""))</f>
        <v/>
      </c>
      <c r="W1324" t="str">
        <f t="shared" si="3"/>
        <v/>
      </c>
      <c r="X1324" s="4" t="str">
        <f>IF(V1324="","",INDEX(Fornecedores!$X$1:$X$6631,V1324))</f>
        <v/>
      </c>
      <c r="Y1324" s="4" t="str">
        <f t="shared" si="4"/>
        <v/>
      </c>
    </row>
    <row r="1325" spans="19:25">
      <c r="S1325" t="str">
        <f t="shared" si="0"/>
        <v/>
      </c>
      <c r="T1325" t="str">
        <f t="shared" si="1"/>
        <v/>
      </c>
      <c r="U1325" t="str">
        <f t="shared" si="2"/>
        <v/>
      </c>
      <c r="V1325" t="str">
        <f>IF(OR(U1325="",U1325="ERRO_CHAVE"),"",IFERROR(MATCH(U1325,Fornecedores!$AF$1:$AF$6631,0),""))</f>
        <v/>
      </c>
      <c r="W1325" t="str">
        <f t="shared" si="3"/>
        <v/>
      </c>
      <c r="X1325" s="4" t="str">
        <f>IF(V1325="","",INDEX(Fornecedores!$X$1:$X$6631,V1325))</f>
        <v/>
      </c>
      <c r="Y1325" s="4" t="str">
        <f t="shared" si="4"/>
        <v/>
      </c>
    </row>
    <row r="1326" spans="19:25">
      <c r="S1326" t="str">
        <f t="shared" si="0"/>
        <v/>
      </c>
      <c r="T1326" t="str">
        <f t="shared" si="1"/>
        <v/>
      </c>
      <c r="U1326" t="str">
        <f t="shared" si="2"/>
        <v/>
      </c>
      <c r="V1326" t="str">
        <f>IF(OR(U1326="",U1326="ERRO_CHAVE"),"",IFERROR(MATCH(U1326,Fornecedores!$AF$1:$AF$6631,0),""))</f>
        <v/>
      </c>
      <c r="W1326" t="str">
        <f t="shared" si="3"/>
        <v/>
      </c>
      <c r="X1326" s="4" t="str">
        <f>IF(V1326="","",INDEX(Fornecedores!$X$1:$X$6631,V1326))</f>
        <v/>
      </c>
      <c r="Y1326" s="4" t="str">
        <f t="shared" si="4"/>
        <v/>
      </c>
    </row>
    <row r="1327" spans="19:25">
      <c r="S1327" t="str">
        <f t="shared" si="0"/>
        <v/>
      </c>
      <c r="T1327" t="str">
        <f t="shared" si="1"/>
        <v/>
      </c>
      <c r="U1327" t="str">
        <f t="shared" si="2"/>
        <v/>
      </c>
      <c r="V1327" t="str">
        <f>IF(OR(U1327="",U1327="ERRO_CHAVE"),"",IFERROR(MATCH(U1327,Fornecedores!$AF$1:$AF$6631,0),""))</f>
        <v/>
      </c>
      <c r="W1327" t="str">
        <f t="shared" si="3"/>
        <v/>
      </c>
      <c r="X1327" s="4" t="str">
        <f>IF(V1327="","",INDEX(Fornecedores!$X$1:$X$6631,V1327))</f>
        <v/>
      </c>
      <c r="Y1327" s="4" t="str">
        <f t="shared" si="4"/>
        <v/>
      </c>
    </row>
    <row r="1328" spans="19:25">
      <c r="S1328" t="str">
        <f t="shared" si="0"/>
        <v/>
      </c>
      <c r="T1328" t="str">
        <f t="shared" si="1"/>
        <v/>
      </c>
      <c r="U1328" t="str">
        <f t="shared" si="2"/>
        <v/>
      </c>
      <c r="V1328" t="str">
        <f>IF(OR(U1328="",U1328="ERRO_CHAVE"),"",IFERROR(MATCH(U1328,Fornecedores!$AF$1:$AF$6631,0),""))</f>
        <v/>
      </c>
      <c r="W1328" t="str">
        <f t="shared" si="3"/>
        <v/>
      </c>
      <c r="X1328" s="4" t="str">
        <f>IF(V1328="","",INDEX(Fornecedores!$X$1:$X$6631,V1328))</f>
        <v/>
      </c>
      <c r="Y1328" s="4" t="str">
        <f t="shared" si="4"/>
        <v/>
      </c>
    </row>
    <row r="1329" spans="19:25">
      <c r="S1329" t="str">
        <f t="shared" si="0"/>
        <v/>
      </c>
      <c r="T1329" t="str">
        <f t="shared" si="1"/>
        <v/>
      </c>
      <c r="U1329" t="str">
        <f t="shared" si="2"/>
        <v/>
      </c>
      <c r="V1329" t="str">
        <f>IF(OR(U1329="",U1329="ERRO_CHAVE"),"",IFERROR(MATCH(U1329,Fornecedores!$AF$1:$AF$6631,0),""))</f>
        <v/>
      </c>
      <c r="W1329" t="str">
        <f t="shared" si="3"/>
        <v/>
      </c>
      <c r="X1329" s="4" t="str">
        <f>IF(V1329="","",INDEX(Fornecedores!$X$1:$X$6631,V1329))</f>
        <v/>
      </c>
      <c r="Y1329" s="4" t="str">
        <f t="shared" si="4"/>
        <v/>
      </c>
    </row>
    <row r="1330" spans="19:25">
      <c r="S1330" t="str">
        <f t="shared" si="0"/>
        <v/>
      </c>
      <c r="T1330" t="str">
        <f t="shared" si="1"/>
        <v/>
      </c>
      <c r="U1330" t="str">
        <f t="shared" si="2"/>
        <v/>
      </c>
      <c r="V1330" t="str">
        <f>IF(OR(U1330="",U1330="ERRO_CHAVE"),"",IFERROR(MATCH(U1330,Fornecedores!$AF$1:$AF$6631,0),""))</f>
        <v/>
      </c>
      <c r="W1330" t="str">
        <f t="shared" si="3"/>
        <v/>
      </c>
      <c r="X1330" s="4" t="str">
        <f>IF(V1330="","",INDEX(Fornecedores!$X$1:$X$6631,V1330))</f>
        <v/>
      </c>
      <c r="Y1330" s="4" t="str">
        <f t="shared" si="4"/>
        <v/>
      </c>
    </row>
    <row r="1331" spans="19:25">
      <c r="S1331" t="str">
        <f t="shared" si="0"/>
        <v/>
      </c>
      <c r="T1331" t="str">
        <f t="shared" si="1"/>
        <v/>
      </c>
      <c r="U1331" t="str">
        <f t="shared" si="2"/>
        <v/>
      </c>
      <c r="V1331" t="str">
        <f>IF(OR(U1331="",U1331="ERRO_CHAVE"),"",IFERROR(MATCH(U1331,Fornecedores!$AF$1:$AF$6631,0),""))</f>
        <v/>
      </c>
      <c r="W1331" t="str">
        <f t="shared" si="3"/>
        <v/>
      </c>
      <c r="X1331" s="4" t="str">
        <f>IF(V1331="","",INDEX(Fornecedores!$X$1:$X$6631,V1331))</f>
        <v/>
      </c>
      <c r="Y1331" s="4" t="str">
        <f t="shared" si="4"/>
        <v/>
      </c>
    </row>
    <row r="1332" spans="19:25">
      <c r="S1332" t="str">
        <f t="shared" si="0"/>
        <v/>
      </c>
      <c r="T1332" t="str">
        <f t="shared" si="1"/>
        <v/>
      </c>
      <c r="U1332" t="str">
        <f t="shared" si="2"/>
        <v/>
      </c>
      <c r="V1332" t="str">
        <f>IF(OR(U1332="",U1332="ERRO_CHAVE"),"",IFERROR(MATCH(U1332,Fornecedores!$AF$1:$AF$6631,0),""))</f>
        <v/>
      </c>
      <c r="W1332" t="str">
        <f t="shared" si="3"/>
        <v/>
      </c>
      <c r="X1332" s="4" t="str">
        <f>IF(V1332="","",INDEX(Fornecedores!$X$1:$X$6631,V1332))</f>
        <v/>
      </c>
      <c r="Y1332" s="4" t="str">
        <f t="shared" si="4"/>
        <v/>
      </c>
    </row>
    <row r="1333" spans="19:25">
      <c r="S1333" t="str">
        <f t="shared" si="0"/>
        <v/>
      </c>
      <c r="T1333" t="str">
        <f t="shared" si="1"/>
        <v/>
      </c>
      <c r="U1333" t="str">
        <f t="shared" si="2"/>
        <v/>
      </c>
      <c r="V1333" t="str">
        <f>IF(OR(U1333="",U1333="ERRO_CHAVE"),"",IFERROR(MATCH(U1333,Fornecedores!$AF$1:$AF$6631,0),""))</f>
        <v/>
      </c>
      <c r="W1333" t="str">
        <f t="shared" si="3"/>
        <v/>
      </c>
      <c r="X1333" s="4" t="str">
        <f>IF(V1333="","",INDEX(Fornecedores!$X$1:$X$6631,V1333))</f>
        <v/>
      </c>
      <c r="Y1333" s="4" t="str">
        <f t="shared" si="4"/>
        <v/>
      </c>
    </row>
    <row r="1334" spans="19:25">
      <c r="S1334" t="str">
        <f t="shared" si="0"/>
        <v/>
      </c>
      <c r="T1334" t="str">
        <f t="shared" si="1"/>
        <v/>
      </c>
      <c r="U1334" t="str">
        <f t="shared" si="2"/>
        <v/>
      </c>
      <c r="V1334" t="str">
        <f>IF(OR(U1334="",U1334="ERRO_CHAVE"),"",IFERROR(MATCH(U1334,Fornecedores!$AF$1:$AF$6631,0),""))</f>
        <v/>
      </c>
      <c r="W1334" t="str">
        <f t="shared" si="3"/>
        <v/>
      </c>
      <c r="X1334" s="4" t="str">
        <f>IF(V1334="","",INDEX(Fornecedores!$X$1:$X$6631,V1334))</f>
        <v/>
      </c>
      <c r="Y1334" s="4" t="str">
        <f t="shared" si="4"/>
        <v/>
      </c>
    </row>
    <row r="1335" spans="19:25">
      <c r="S1335" t="str">
        <f t="shared" si="0"/>
        <v/>
      </c>
      <c r="T1335" t="str">
        <f t="shared" si="1"/>
        <v/>
      </c>
      <c r="U1335" t="str">
        <f t="shared" si="2"/>
        <v/>
      </c>
      <c r="V1335" t="str">
        <f>IF(OR(U1335="",U1335="ERRO_CHAVE"),"",IFERROR(MATCH(U1335,Fornecedores!$AF$1:$AF$6631,0),""))</f>
        <v/>
      </c>
      <c r="W1335" t="str">
        <f t="shared" si="3"/>
        <v/>
      </c>
      <c r="X1335" s="4" t="str">
        <f>IF(V1335="","",INDEX(Fornecedores!$X$1:$X$6631,V1335))</f>
        <v/>
      </c>
      <c r="Y1335" s="4" t="str">
        <f t="shared" si="4"/>
        <v/>
      </c>
    </row>
    <row r="1336" spans="19:25">
      <c r="S1336" t="str">
        <f t="shared" si="0"/>
        <v/>
      </c>
      <c r="T1336" t="str">
        <f t="shared" si="1"/>
        <v/>
      </c>
      <c r="U1336" t="str">
        <f t="shared" si="2"/>
        <v/>
      </c>
      <c r="V1336" t="str">
        <f>IF(OR(U1336="",U1336="ERRO_CHAVE"),"",IFERROR(MATCH(U1336,Fornecedores!$AF$1:$AF$6631,0),""))</f>
        <v/>
      </c>
      <c r="W1336" t="str">
        <f t="shared" si="3"/>
        <v/>
      </c>
      <c r="X1336" s="4" t="str">
        <f>IF(V1336="","",INDEX(Fornecedores!$X$1:$X$6631,V1336))</f>
        <v/>
      </c>
      <c r="Y1336" s="4" t="str">
        <f t="shared" si="4"/>
        <v/>
      </c>
    </row>
    <row r="1337" spans="19:25">
      <c r="S1337" t="str">
        <f t="shared" si="0"/>
        <v/>
      </c>
      <c r="T1337" t="str">
        <f t="shared" si="1"/>
        <v/>
      </c>
      <c r="U1337" t="str">
        <f t="shared" si="2"/>
        <v/>
      </c>
      <c r="V1337" t="str">
        <f>IF(OR(U1337="",U1337="ERRO_CHAVE"),"",IFERROR(MATCH(U1337,Fornecedores!$AF$1:$AF$6631,0),""))</f>
        <v/>
      </c>
      <c r="W1337" t="str">
        <f t="shared" si="3"/>
        <v/>
      </c>
      <c r="X1337" s="4" t="str">
        <f>IF(V1337="","",INDEX(Fornecedores!$X$1:$X$6631,V1337))</f>
        <v/>
      </c>
      <c r="Y1337" s="4" t="str">
        <f t="shared" si="4"/>
        <v/>
      </c>
    </row>
    <row r="1338" spans="19:25">
      <c r="S1338" t="str">
        <f t="shared" si="0"/>
        <v/>
      </c>
      <c r="T1338" t="str">
        <f t="shared" si="1"/>
        <v/>
      </c>
      <c r="U1338" t="str">
        <f t="shared" si="2"/>
        <v/>
      </c>
      <c r="V1338" t="str">
        <f>IF(OR(U1338="",U1338="ERRO_CHAVE"),"",IFERROR(MATCH(U1338,Fornecedores!$AF$1:$AF$6631,0),""))</f>
        <v/>
      </c>
      <c r="W1338" t="str">
        <f t="shared" si="3"/>
        <v/>
      </c>
      <c r="X1338" s="4" t="str">
        <f>IF(V1338="","",INDEX(Fornecedores!$X$1:$X$6631,V1338))</f>
        <v/>
      </c>
      <c r="Y1338" s="4" t="str">
        <f t="shared" si="4"/>
        <v/>
      </c>
    </row>
    <row r="1339" spans="19:25">
      <c r="S1339" t="str">
        <f t="shared" si="0"/>
        <v/>
      </c>
      <c r="T1339" t="str">
        <f t="shared" si="1"/>
        <v/>
      </c>
      <c r="U1339" t="str">
        <f t="shared" si="2"/>
        <v/>
      </c>
      <c r="V1339" t="str">
        <f>IF(OR(U1339="",U1339="ERRO_CHAVE"),"",IFERROR(MATCH(U1339,Fornecedores!$AF$1:$AF$6631,0),""))</f>
        <v/>
      </c>
      <c r="W1339" t="str">
        <f t="shared" si="3"/>
        <v/>
      </c>
      <c r="X1339" s="4" t="str">
        <f>IF(V1339="","",INDEX(Fornecedores!$X$1:$X$6631,V1339))</f>
        <v/>
      </c>
      <c r="Y1339" s="4" t="str">
        <f t="shared" si="4"/>
        <v/>
      </c>
    </row>
    <row r="1340" spans="19:25">
      <c r="S1340" t="str">
        <f t="shared" si="0"/>
        <v/>
      </c>
      <c r="T1340" t="str">
        <f t="shared" si="1"/>
        <v/>
      </c>
      <c r="U1340" t="str">
        <f t="shared" si="2"/>
        <v/>
      </c>
      <c r="V1340" t="str">
        <f>IF(OR(U1340="",U1340="ERRO_CHAVE"),"",IFERROR(MATCH(U1340,Fornecedores!$AF$1:$AF$6631,0),""))</f>
        <v/>
      </c>
      <c r="W1340" t="str">
        <f t="shared" si="3"/>
        <v/>
      </c>
      <c r="X1340" s="4" t="str">
        <f>IF(V1340="","",INDEX(Fornecedores!$X$1:$X$6631,V1340))</f>
        <v/>
      </c>
      <c r="Y1340" s="4" t="str">
        <f t="shared" si="4"/>
        <v/>
      </c>
    </row>
    <row r="1341" spans="19:25">
      <c r="S1341" t="str">
        <f t="shared" si="0"/>
        <v/>
      </c>
      <c r="T1341" t="str">
        <f t="shared" si="1"/>
        <v/>
      </c>
      <c r="U1341" t="str">
        <f t="shared" si="2"/>
        <v/>
      </c>
      <c r="V1341" t="str">
        <f>IF(OR(U1341="",U1341="ERRO_CHAVE"),"",IFERROR(MATCH(U1341,Fornecedores!$AF$1:$AF$6631,0),""))</f>
        <v/>
      </c>
      <c r="W1341" t="str">
        <f t="shared" si="3"/>
        <v/>
      </c>
      <c r="X1341" s="4" t="str">
        <f>IF(V1341="","",INDEX(Fornecedores!$X$1:$X$6631,V1341))</f>
        <v/>
      </c>
      <c r="Y1341" s="4" t="str">
        <f t="shared" si="4"/>
        <v/>
      </c>
    </row>
    <row r="1342" spans="19:25">
      <c r="S1342" t="str">
        <f t="shared" si="0"/>
        <v/>
      </c>
      <c r="T1342" t="str">
        <f t="shared" si="1"/>
        <v/>
      </c>
      <c r="U1342" t="str">
        <f t="shared" si="2"/>
        <v/>
      </c>
      <c r="V1342" t="str">
        <f>IF(OR(U1342="",U1342="ERRO_CHAVE"),"",IFERROR(MATCH(U1342,Fornecedores!$AF$1:$AF$6631,0),""))</f>
        <v/>
      </c>
      <c r="W1342" t="str">
        <f t="shared" si="3"/>
        <v/>
      </c>
      <c r="X1342" s="4" t="str">
        <f>IF(V1342="","",INDEX(Fornecedores!$X$1:$X$6631,V1342))</f>
        <v/>
      </c>
      <c r="Y1342" s="4" t="str">
        <f t="shared" si="4"/>
        <v/>
      </c>
    </row>
    <row r="1343" spans="19:25">
      <c r="S1343" t="str">
        <f t="shared" si="0"/>
        <v/>
      </c>
      <c r="T1343" t="str">
        <f t="shared" si="1"/>
        <v/>
      </c>
      <c r="U1343" t="str">
        <f t="shared" si="2"/>
        <v/>
      </c>
      <c r="V1343" t="str">
        <f>IF(OR(U1343="",U1343="ERRO_CHAVE"),"",IFERROR(MATCH(U1343,Fornecedores!$AF$1:$AF$6631,0),""))</f>
        <v/>
      </c>
      <c r="W1343" t="str">
        <f t="shared" si="3"/>
        <v/>
      </c>
      <c r="X1343" s="4" t="str">
        <f>IF(V1343="","",INDEX(Fornecedores!$X$1:$X$6631,V1343))</f>
        <v/>
      </c>
      <c r="Y1343" s="4" t="str">
        <f t="shared" si="4"/>
        <v/>
      </c>
    </row>
    <row r="1344" spans="19:25">
      <c r="S1344" t="str">
        <f t="shared" si="0"/>
        <v/>
      </c>
      <c r="T1344" t="str">
        <f t="shared" si="1"/>
        <v/>
      </c>
      <c r="U1344" t="str">
        <f t="shared" si="2"/>
        <v/>
      </c>
      <c r="V1344" t="str">
        <f>IF(OR(U1344="",U1344="ERRO_CHAVE"),"",IFERROR(MATCH(U1344,Fornecedores!$AF$1:$AF$6631,0),""))</f>
        <v/>
      </c>
      <c r="W1344" t="str">
        <f t="shared" si="3"/>
        <v/>
      </c>
      <c r="X1344" s="4" t="str">
        <f>IF(V1344="","",INDEX(Fornecedores!$X$1:$X$6631,V1344))</f>
        <v/>
      </c>
      <c r="Y1344" s="4" t="str">
        <f t="shared" si="4"/>
        <v/>
      </c>
    </row>
    <row r="1345" spans="19:25">
      <c r="S1345" t="str">
        <f t="shared" si="0"/>
        <v/>
      </c>
      <c r="T1345" t="str">
        <f t="shared" si="1"/>
        <v/>
      </c>
      <c r="U1345" t="str">
        <f t="shared" si="2"/>
        <v/>
      </c>
      <c r="V1345" t="str">
        <f>IF(OR(U1345="",U1345="ERRO_CHAVE"),"",IFERROR(MATCH(U1345,Fornecedores!$AF$1:$AF$6631,0),""))</f>
        <v/>
      </c>
      <c r="W1345" t="str">
        <f t="shared" si="3"/>
        <v/>
      </c>
      <c r="X1345" s="4" t="str">
        <f>IF(V1345="","",INDEX(Fornecedores!$X$1:$X$6631,V1345))</f>
        <v/>
      </c>
      <c r="Y1345" s="4" t="str">
        <f t="shared" si="4"/>
        <v/>
      </c>
    </row>
    <row r="1346" spans="19:25">
      <c r="S1346" t="str">
        <f t="shared" si="0"/>
        <v/>
      </c>
      <c r="T1346" t="str">
        <f t="shared" si="1"/>
        <v/>
      </c>
      <c r="U1346" t="str">
        <f t="shared" si="2"/>
        <v/>
      </c>
      <c r="V1346" t="str">
        <f>IF(OR(U1346="",U1346="ERRO_CHAVE"),"",IFERROR(MATCH(U1346,Fornecedores!$AF$1:$AF$6631,0),""))</f>
        <v/>
      </c>
      <c r="W1346" t="str">
        <f t="shared" si="3"/>
        <v/>
      </c>
      <c r="X1346" s="4" t="str">
        <f>IF(V1346="","",INDEX(Fornecedores!$X$1:$X$6631,V1346))</f>
        <v/>
      </c>
      <c r="Y1346" s="4" t="str">
        <f t="shared" si="4"/>
        <v/>
      </c>
    </row>
    <row r="1347" spans="19:25">
      <c r="S1347" t="str">
        <f t="shared" si="0"/>
        <v/>
      </c>
      <c r="T1347" t="str">
        <f t="shared" si="1"/>
        <v/>
      </c>
      <c r="U1347" t="str">
        <f t="shared" si="2"/>
        <v/>
      </c>
      <c r="V1347" t="str">
        <f>IF(OR(U1347="",U1347="ERRO_CHAVE"),"",IFERROR(MATCH(U1347,Fornecedores!$AF$1:$AF$6631,0),""))</f>
        <v/>
      </c>
      <c r="W1347" t="str">
        <f t="shared" si="3"/>
        <v/>
      </c>
      <c r="X1347" s="4" t="str">
        <f>IF(V1347="","",INDEX(Fornecedores!$X$1:$X$6631,V1347))</f>
        <v/>
      </c>
      <c r="Y1347" s="4" t="str">
        <f t="shared" si="4"/>
        <v/>
      </c>
    </row>
    <row r="1348" spans="19:25">
      <c r="S1348" t="str">
        <f t="shared" si="0"/>
        <v/>
      </c>
      <c r="T1348" t="str">
        <f t="shared" si="1"/>
        <v/>
      </c>
      <c r="U1348" t="str">
        <f t="shared" si="2"/>
        <v/>
      </c>
      <c r="V1348" t="str">
        <f>IF(OR(U1348="",U1348="ERRO_CHAVE"),"",IFERROR(MATCH(U1348,Fornecedores!$AF$1:$AF$6631,0),""))</f>
        <v/>
      </c>
      <c r="W1348" t="str">
        <f t="shared" si="3"/>
        <v/>
      </c>
      <c r="X1348" s="4" t="str">
        <f>IF(V1348="","",INDEX(Fornecedores!$X$1:$X$6631,V1348))</f>
        <v/>
      </c>
      <c r="Y1348" s="4" t="str">
        <f t="shared" si="4"/>
        <v/>
      </c>
    </row>
    <row r="1349" spans="19:25">
      <c r="S1349" t="str">
        <f t="shared" si="0"/>
        <v/>
      </c>
      <c r="T1349" t="str">
        <f t="shared" si="1"/>
        <v/>
      </c>
      <c r="U1349" t="str">
        <f t="shared" si="2"/>
        <v/>
      </c>
      <c r="V1349" t="str">
        <f>IF(OR(U1349="",U1349="ERRO_CHAVE"),"",IFERROR(MATCH(U1349,Fornecedores!$AF$1:$AF$6631,0),""))</f>
        <v/>
      </c>
      <c r="W1349" t="str">
        <f t="shared" si="3"/>
        <v/>
      </c>
      <c r="X1349" s="4" t="str">
        <f>IF(V1349="","",INDEX(Fornecedores!$X$1:$X$6631,V1349))</f>
        <v/>
      </c>
      <c r="Y1349" s="4" t="str">
        <f t="shared" si="4"/>
        <v/>
      </c>
    </row>
    <row r="1350" spans="19:25">
      <c r="S1350" t="str">
        <f t="shared" si="0"/>
        <v/>
      </c>
      <c r="T1350" t="str">
        <f t="shared" si="1"/>
        <v/>
      </c>
      <c r="U1350" t="str">
        <f t="shared" si="2"/>
        <v/>
      </c>
      <c r="V1350" t="str">
        <f>IF(OR(U1350="",U1350="ERRO_CHAVE"),"",IFERROR(MATCH(U1350,Fornecedores!$AF$1:$AF$6631,0),""))</f>
        <v/>
      </c>
      <c r="W1350" t="str">
        <f t="shared" si="3"/>
        <v/>
      </c>
      <c r="X1350" s="4" t="str">
        <f>IF(V1350="","",INDEX(Fornecedores!$X$1:$X$6631,V1350))</f>
        <v/>
      </c>
      <c r="Y1350" s="4" t="str">
        <f t="shared" si="4"/>
        <v/>
      </c>
    </row>
    <row r="1351" spans="19:25">
      <c r="S1351" t="str">
        <f t="shared" si="0"/>
        <v/>
      </c>
      <c r="T1351" t="str">
        <f t="shared" si="1"/>
        <v/>
      </c>
      <c r="U1351" t="str">
        <f t="shared" si="2"/>
        <v/>
      </c>
      <c r="V1351" t="str">
        <f>IF(OR(U1351="",U1351="ERRO_CHAVE"),"",IFERROR(MATCH(U1351,Fornecedores!$AF$1:$AF$6631,0),""))</f>
        <v/>
      </c>
      <c r="W1351" t="str">
        <f t="shared" si="3"/>
        <v/>
      </c>
      <c r="X1351" s="4" t="str">
        <f>IF(V1351="","",INDEX(Fornecedores!$X$1:$X$6631,V1351))</f>
        <v/>
      </c>
      <c r="Y1351" s="4" t="str">
        <f t="shared" si="4"/>
        <v/>
      </c>
    </row>
    <row r="1352" spans="19:25">
      <c r="S1352" t="str">
        <f t="shared" si="0"/>
        <v/>
      </c>
      <c r="T1352" t="str">
        <f t="shared" si="1"/>
        <v/>
      </c>
      <c r="U1352" t="str">
        <f t="shared" si="2"/>
        <v/>
      </c>
      <c r="V1352" t="str">
        <f>IF(OR(U1352="",U1352="ERRO_CHAVE"),"",IFERROR(MATCH(U1352,Fornecedores!$AF$1:$AF$6631,0),""))</f>
        <v/>
      </c>
      <c r="W1352" t="str">
        <f t="shared" si="3"/>
        <v/>
      </c>
      <c r="X1352" s="4" t="str">
        <f>IF(V1352="","",INDEX(Fornecedores!$X$1:$X$6631,V1352))</f>
        <v/>
      </c>
      <c r="Y1352" s="4" t="str">
        <f t="shared" si="4"/>
        <v/>
      </c>
    </row>
    <row r="1353" spans="19:25">
      <c r="S1353" t="str">
        <f t="shared" si="0"/>
        <v/>
      </c>
      <c r="T1353" t="str">
        <f t="shared" si="1"/>
        <v/>
      </c>
      <c r="U1353" t="str">
        <f t="shared" si="2"/>
        <v/>
      </c>
      <c r="V1353" t="str">
        <f>IF(OR(U1353="",U1353="ERRO_CHAVE"),"",IFERROR(MATCH(U1353,Fornecedores!$AF$1:$AF$6631,0),""))</f>
        <v/>
      </c>
      <c r="W1353" t="str">
        <f t="shared" si="3"/>
        <v/>
      </c>
      <c r="X1353" s="4" t="str">
        <f>IF(V1353="","",INDEX(Fornecedores!$X$1:$X$6631,V1353))</f>
        <v/>
      </c>
      <c r="Y1353" s="4" t="str">
        <f t="shared" si="4"/>
        <v/>
      </c>
    </row>
    <row r="1354" spans="19:25">
      <c r="S1354" t="str">
        <f t="shared" si="0"/>
        <v/>
      </c>
      <c r="T1354" t="str">
        <f t="shared" si="1"/>
        <v/>
      </c>
      <c r="U1354" t="str">
        <f t="shared" si="2"/>
        <v/>
      </c>
      <c r="V1354" t="str">
        <f>IF(OR(U1354="",U1354="ERRO_CHAVE"),"",IFERROR(MATCH(U1354,Fornecedores!$AF$1:$AF$6631,0),""))</f>
        <v/>
      </c>
      <c r="W1354" t="str">
        <f t="shared" si="3"/>
        <v/>
      </c>
      <c r="X1354" s="4" t="str">
        <f>IF(V1354="","",INDEX(Fornecedores!$X$1:$X$6631,V1354))</f>
        <v/>
      </c>
      <c r="Y1354" s="4" t="str">
        <f t="shared" si="4"/>
        <v/>
      </c>
    </row>
    <row r="1355" spans="19:25">
      <c r="S1355" t="str">
        <f t="shared" si="0"/>
        <v/>
      </c>
      <c r="T1355" t="str">
        <f t="shared" si="1"/>
        <v/>
      </c>
      <c r="U1355" t="str">
        <f t="shared" si="2"/>
        <v/>
      </c>
      <c r="V1355" t="str">
        <f>IF(OR(U1355="",U1355="ERRO_CHAVE"),"",IFERROR(MATCH(U1355,Fornecedores!$AF$1:$AF$6631,0),""))</f>
        <v/>
      </c>
      <c r="W1355" t="str">
        <f t="shared" si="3"/>
        <v/>
      </c>
      <c r="X1355" s="4" t="str">
        <f>IF(V1355="","",INDEX(Fornecedores!$X$1:$X$6631,V1355))</f>
        <v/>
      </c>
      <c r="Y1355" s="4" t="str">
        <f t="shared" si="4"/>
        <v/>
      </c>
    </row>
    <row r="1356" spans="19:25">
      <c r="S1356" t="str">
        <f t="shared" si="0"/>
        <v/>
      </c>
      <c r="T1356" t="str">
        <f t="shared" si="1"/>
        <v/>
      </c>
      <c r="U1356" t="str">
        <f t="shared" si="2"/>
        <v/>
      </c>
      <c r="V1356" t="str">
        <f>IF(OR(U1356="",U1356="ERRO_CHAVE"),"",IFERROR(MATCH(U1356,Fornecedores!$AF$1:$AF$6631,0),""))</f>
        <v/>
      </c>
      <c r="W1356" t="str">
        <f t="shared" si="3"/>
        <v/>
      </c>
      <c r="X1356" s="4" t="str">
        <f>IF(V1356="","",INDEX(Fornecedores!$X$1:$X$6631,V1356))</f>
        <v/>
      </c>
      <c r="Y1356" s="4" t="str">
        <f t="shared" si="4"/>
        <v/>
      </c>
    </row>
    <row r="1357" spans="19:25">
      <c r="S1357" t="str">
        <f t="shared" si="0"/>
        <v/>
      </c>
      <c r="T1357" t="str">
        <f t="shared" si="1"/>
        <v/>
      </c>
      <c r="U1357" t="str">
        <f t="shared" si="2"/>
        <v/>
      </c>
      <c r="V1357" t="str">
        <f>IF(OR(U1357="",U1357="ERRO_CHAVE"),"",IFERROR(MATCH(U1357,Fornecedores!$AF$1:$AF$6631,0),""))</f>
        <v/>
      </c>
      <c r="W1357" t="str">
        <f t="shared" si="3"/>
        <v/>
      </c>
      <c r="X1357" s="4" t="str">
        <f>IF(V1357="","",INDEX(Fornecedores!$X$1:$X$6631,V1357))</f>
        <v/>
      </c>
      <c r="Y1357" s="4" t="str">
        <f t="shared" si="4"/>
        <v/>
      </c>
    </row>
    <row r="1358" spans="19:25">
      <c r="S1358" t="str">
        <f t="shared" si="0"/>
        <v/>
      </c>
      <c r="T1358" t="str">
        <f t="shared" si="1"/>
        <v/>
      </c>
      <c r="U1358" t="str">
        <f t="shared" si="2"/>
        <v/>
      </c>
      <c r="V1358" t="str">
        <f>IF(OR(U1358="",U1358="ERRO_CHAVE"),"",IFERROR(MATCH(U1358,Fornecedores!$AF$1:$AF$6631,0),""))</f>
        <v/>
      </c>
      <c r="W1358" t="str">
        <f t="shared" si="3"/>
        <v/>
      </c>
      <c r="X1358" s="4" t="str">
        <f>IF(V1358="","",INDEX(Fornecedores!$X$1:$X$6631,V1358))</f>
        <v/>
      </c>
      <c r="Y1358" s="4" t="str">
        <f t="shared" si="4"/>
        <v/>
      </c>
    </row>
    <row r="1359" spans="19:25">
      <c r="S1359" t="str">
        <f t="shared" si="0"/>
        <v/>
      </c>
      <c r="T1359" t="str">
        <f t="shared" si="1"/>
        <v/>
      </c>
      <c r="U1359" t="str">
        <f t="shared" si="2"/>
        <v/>
      </c>
      <c r="V1359" t="str">
        <f>IF(OR(U1359="",U1359="ERRO_CHAVE"),"",IFERROR(MATCH(U1359,Fornecedores!$AF$1:$AF$6631,0),""))</f>
        <v/>
      </c>
      <c r="W1359" t="str">
        <f t="shared" si="3"/>
        <v/>
      </c>
      <c r="X1359" s="4" t="str">
        <f>IF(V1359="","",INDEX(Fornecedores!$X$1:$X$6631,V1359))</f>
        <v/>
      </c>
      <c r="Y1359" s="4" t="str">
        <f t="shared" si="4"/>
        <v/>
      </c>
    </row>
    <row r="1360" spans="19:25">
      <c r="S1360" t="str">
        <f t="shared" si="0"/>
        <v/>
      </c>
      <c r="T1360" t="str">
        <f t="shared" si="1"/>
        <v/>
      </c>
      <c r="U1360" t="str">
        <f t="shared" si="2"/>
        <v/>
      </c>
      <c r="V1360" t="str">
        <f>IF(OR(U1360="",U1360="ERRO_CHAVE"),"",IFERROR(MATCH(U1360,Fornecedores!$AF$1:$AF$6631,0),""))</f>
        <v/>
      </c>
      <c r="W1360" t="str">
        <f t="shared" si="3"/>
        <v/>
      </c>
      <c r="X1360" s="4" t="str">
        <f>IF(V1360="","",INDEX(Fornecedores!$X$1:$X$6631,V1360))</f>
        <v/>
      </c>
      <c r="Y1360" s="4" t="str">
        <f t="shared" si="4"/>
        <v/>
      </c>
    </row>
    <row r="1361" spans="19:25">
      <c r="S1361" t="str">
        <f t="shared" si="0"/>
        <v/>
      </c>
      <c r="T1361" t="str">
        <f t="shared" si="1"/>
        <v/>
      </c>
      <c r="U1361" t="str">
        <f t="shared" si="2"/>
        <v/>
      </c>
      <c r="V1361" t="str">
        <f>IF(OR(U1361="",U1361="ERRO_CHAVE"),"",IFERROR(MATCH(U1361,Fornecedores!$AF$1:$AF$6631,0),""))</f>
        <v/>
      </c>
      <c r="W1361" t="str">
        <f t="shared" si="3"/>
        <v/>
      </c>
      <c r="X1361" s="4" t="str">
        <f>IF(V1361="","",INDEX(Fornecedores!$X$1:$X$6631,V1361))</f>
        <v/>
      </c>
      <c r="Y1361" s="4" t="str">
        <f t="shared" si="4"/>
        <v/>
      </c>
    </row>
    <row r="1362" spans="19:25">
      <c r="S1362" t="str">
        <f t="shared" si="0"/>
        <v/>
      </c>
      <c r="T1362" t="str">
        <f t="shared" si="1"/>
        <v/>
      </c>
      <c r="U1362" t="str">
        <f t="shared" si="2"/>
        <v/>
      </c>
      <c r="V1362" t="str">
        <f>IF(OR(U1362="",U1362="ERRO_CHAVE"),"",IFERROR(MATCH(U1362,Fornecedores!$AF$1:$AF$6631,0),""))</f>
        <v/>
      </c>
      <c r="W1362" t="str">
        <f t="shared" si="3"/>
        <v/>
      </c>
      <c r="X1362" s="4" t="str">
        <f>IF(V1362="","",INDEX(Fornecedores!$X$1:$X$6631,V1362))</f>
        <v/>
      </c>
      <c r="Y1362" s="4" t="str">
        <f t="shared" si="4"/>
        <v/>
      </c>
    </row>
    <row r="1363" spans="19:25">
      <c r="S1363" t="str">
        <f t="shared" si="0"/>
        <v/>
      </c>
      <c r="T1363" t="str">
        <f t="shared" si="1"/>
        <v/>
      </c>
      <c r="U1363" t="str">
        <f t="shared" si="2"/>
        <v/>
      </c>
      <c r="V1363" t="str">
        <f>IF(OR(U1363="",U1363="ERRO_CHAVE"),"",IFERROR(MATCH(U1363,Fornecedores!$AF$1:$AF$6631,0),""))</f>
        <v/>
      </c>
      <c r="W1363" t="str">
        <f t="shared" si="3"/>
        <v/>
      </c>
      <c r="X1363" s="4" t="str">
        <f>IF(V1363="","",INDEX(Fornecedores!$X$1:$X$6631,V1363))</f>
        <v/>
      </c>
      <c r="Y1363" s="4" t="str">
        <f t="shared" si="4"/>
        <v/>
      </c>
    </row>
    <row r="1364" spans="19:25">
      <c r="S1364" t="str">
        <f t="shared" si="0"/>
        <v/>
      </c>
      <c r="T1364" t="str">
        <f t="shared" si="1"/>
        <v/>
      </c>
      <c r="U1364" t="str">
        <f t="shared" si="2"/>
        <v/>
      </c>
      <c r="V1364" t="str">
        <f>IF(OR(U1364="",U1364="ERRO_CHAVE"),"",IFERROR(MATCH(U1364,Fornecedores!$AF$1:$AF$6631,0),""))</f>
        <v/>
      </c>
      <c r="W1364" t="str">
        <f t="shared" si="3"/>
        <v/>
      </c>
      <c r="X1364" s="4" t="str">
        <f>IF(V1364="","",INDEX(Fornecedores!$X$1:$X$6631,V1364))</f>
        <v/>
      </c>
      <c r="Y1364" s="4" t="str">
        <f t="shared" si="4"/>
        <v/>
      </c>
    </row>
    <row r="1365" spans="19:25">
      <c r="S1365" t="str">
        <f t="shared" si="0"/>
        <v/>
      </c>
      <c r="T1365" t="str">
        <f t="shared" si="1"/>
        <v/>
      </c>
      <c r="U1365" t="str">
        <f t="shared" si="2"/>
        <v/>
      </c>
      <c r="V1365" t="str">
        <f>IF(OR(U1365="",U1365="ERRO_CHAVE"),"",IFERROR(MATCH(U1365,Fornecedores!$AF$1:$AF$6631,0),""))</f>
        <v/>
      </c>
      <c r="W1365" t="str">
        <f t="shared" si="3"/>
        <v/>
      </c>
      <c r="X1365" s="4" t="str">
        <f>IF(V1365="","",INDEX(Fornecedores!$X$1:$X$6631,V1365))</f>
        <v/>
      </c>
      <c r="Y1365" s="4" t="str">
        <f t="shared" si="4"/>
        <v/>
      </c>
    </row>
    <row r="1366" spans="19:25">
      <c r="S1366" t="str">
        <f t="shared" si="0"/>
        <v/>
      </c>
      <c r="T1366" t="str">
        <f t="shared" si="1"/>
        <v/>
      </c>
      <c r="U1366" t="str">
        <f t="shared" si="2"/>
        <v/>
      </c>
      <c r="V1366" t="str">
        <f>IF(OR(U1366="",U1366="ERRO_CHAVE"),"",IFERROR(MATCH(U1366,Fornecedores!$AF$1:$AF$6631,0),""))</f>
        <v/>
      </c>
      <c r="W1366" t="str">
        <f t="shared" si="3"/>
        <v/>
      </c>
      <c r="X1366" s="4" t="str">
        <f>IF(V1366="","",INDEX(Fornecedores!$X$1:$X$6631,V1366))</f>
        <v/>
      </c>
      <c r="Y1366" s="4" t="str">
        <f t="shared" si="4"/>
        <v/>
      </c>
    </row>
    <row r="1367" spans="19:25">
      <c r="S1367" t="str">
        <f t="shared" si="0"/>
        <v/>
      </c>
      <c r="T1367" t="str">
        <f t="shared" si="1"/>
        <v/>
      </c>
      <c r="U1367" t="str">
        <f t="shared" si="2"/>
        <v/>
      </c>
      <c r="V1367" t="str">
        <f>IF(OR(U1367="",U1367="ERRO_CHAVE"),"",IFERROR(MATCH(U1367,Fornecedores!$AF$1:$AF$6631,0),""))</f>
        <v/>
      </c>
      <c r="W1367" t="str">
        <f t="shared" si="3"/>
        <v/>
      </c>
      <c r="X1367" s="4" t="str">
        <f>IF(V1367="","",INDEX(Fornecedores!$X$1:$X$6631,V1367))</f>
        <v/>
      </c>
      <c r="Y1367" s="4" t="str">
        <f t="shared" si="4"/>
        <v/>
      </c>
    </row>
    <row r="1368" spans="19:25">
      <c r="S1368" t="str">
        <f t="shared" si="0"/>
        <v/>
      </c>
      <c r="T1368" t="str">
        <f t="shared" si="1"/>
        <v/>
      </c>
      <c r="U1368" t="str">
        <f t="shared" si="2"/>
        <v/>
      </c>
      <c r="V1368" t="str">
        <f>IF(OR(U1368="",U1368="ERRO_CHAVE"),"",IFERROR(MATCH(U1368,Fornecedores!$AF$1:$AF$6631,0),""))</f>
        <v/>
      </c>
      <c r="W1368" t="str">
        <f t="shared" si="3"/>
        <v/>
      </c>
      <c r="X1368" s="4" t="str">
        <f>IF(V1368="","",INDEX(Fornecedores!$X$1:$X$6631,V1368))</f>
        <v/>
      </c>
      <c r="Y1368" s="4" t="str">
        <f t="shared" si="4"/>
        <v/>
      </c>
    </row>
    <row r="1369" spans="19:25">
      <c r="S1369" t="str">
        <f t="shared" si="0"/>
        <v/>
      </c>
      <c r="T1369" t="str">
        <f t="shared" si="1"/>
        <v/>
      </c>
      <c r="U1369" t="str">
        <f t="shared" si="2"/>
        <v/>
      </c>
      <c r="V1369" t="str">
        <f>IF(OR(U1369="",U1369="ERRO_CHAVE"),"",IFERROR(MATCH(U1369,Fornecedores!$AF$1:$AF$6631,0),""))</f>
        <v/>
      </c>
      <c r="W1369" t="str">
        <f t="shared" si="3"/>
        <v/>
      </c>
      <c r="X1369" s="4" t="str">
        <f>IF(V1369="","",INDEX(Fornecedores!$X$1:$X$6631,V1369))</f>
        <v/>
      </c>
      <c r="Y1369" s="4" t="str">
        <f t="shared" si="4"/>
        <v/>
      </c>
    </row>
    <row r="1370" spans="19:25">
      <c r="S1370" t="str">
        <f t="shared" si="0"/>
        <v/>
      </c>
      <c r="T1370" t="str">
        <f t="shared" si="1"/>
        <v/>
      </c>
      <c r="U1370" t="str">
        <f t="shared" si="2"/>
        <v/>
      </c>
      <c r="V1370" t="str">
        <f>IF(OR(U1370="",U1370="ERRO_CHAVE"),"",IFERROR(MATCH(U1370,Fornecedores!$AF$1:$AF$6631,0),""))</f>
        <v/>
      </c>
      <c r="W1370" t="str">
        <f t="shared" si="3"/>
        <v/>
      </c>
      <c r="X1370" s="4" t="str">
        <f>IF(V1370="","",INDEX(Fornecedores!$X$1:$X$6631,V1370))</f>
        <v/>
      </c>
      <c r="Y1370" s="4" t="str">
        <f t="shared" si="4"/>
        <v/>
      </c>
    </row>
    <row r="1371" spans="19:25">
      <c r="S1371" t="str">
        <f t="shared" si="0"/>
        <v/>
      </c>
      <c r="T1371" t="str">
        <f t="shared" si="1"/>
        <v/>
      </c>
      <c r="U1371" t="str">
        <f t="shared" si="2"/>
        <v/>
      </c>
      <c r="V1371" t="str">
        <f>IF(OR(U1371="",U1371="ERRO_CHAVE"),"",IFERROR(MATCH(U1371,Fornecedores!$AF$1:$AF$6631,0),""))</f>
        <v/>
      </c>
      <c r="W1371" t="str">
        <f t="shared" si="3"/>
        <v/>
      </c>
      <c r="X1371" s="4" t="str">
        <f>IF(V1371="","",INDEX(Fornecedores!$X$1:$X$6631,V1371))</f>
        <v/>
      </c>
      <c r="Y1371" s="4" t="str">
        <f t="shared" si="4"/>
        <v/>
      </c>
    </row>
    <row r="1372" spans="19:25">
      <c r="S1372" t="str">
        <f t="shared" si="0"/>
        <v/>
      </c>
      <c r="T1372" t="str">
        <f t="shared" si="1"/>
        <v/>
      </c>
      <c r="U1372" t="str">
        <f t="shared" si="2"/>
        <v/>
      </c>
      <c r="V1372" t="str">
        <f>IF(OR(U1372="",U1372="ERRO_CHAVE"),"",IFERROR(MATCH(U1372,Fornecedores!$AF$1:$AF$6631,0),""))</f>
        <v/>
      </c>
      <c r="W1372" t="str">
        <f t="shared" si="3"/>
        <v/>
      </c>
      <c r="X1372" s="4" t="str">
        <f>IF(V1372="","",INDEX(Fornecedores!$X$1:$X$6631,V1372))</f>
        <v/>
      </c>
      <c r="Y1372" s="4" t="str">
        <f t="shared" si="4"/>
        <v/>
      </c>
    </row>
    <row r="1373" spans="19:25">
      <c r="S1373" t="str">
        <f t="shared" si="0"/>
        <v/>
      </c>
      <c r="T1373" t="str">
        <f t="shared" si="1"/>
        <v/>
      </c>
      <c r="U1373" t="str">
        <f t="shared" si="2"/>
        <v/>
      </c>
      <c r="V1373" t="str">
        <f>IF(OR(U1373="",U1373="ERRO_CHAVE"),"",IFERROR(MATCH(U1373,Fornecedores!$AF$1:$AF$6631,0),""))</f>
        <v/>
      </c>
      <c r="W1373" t="str">
        <f t="shared" si="3"/>
        <v/>
      </c>
      <c r="X1373" s="4" t="str">
        <f>IF(V1373="","",INDEX(Fornecedores!$X$1:$X$6631,V1373))</f>
        <v/>
      </c>
      <c r="Y1373" s="4" t="str">
        <f t="shared" si="4"/>
        <v/>
      </c>
    </row>
    <row r="1374" spans="19:25">
      <c r="S1374" t="str">
        <f t="shared" si="0"/>
        <v/>
      </c>
      <c r="T1374" t="str">
        <f t="shared" si="1"/>
        <v/>
      </c>
      <c r="U1374" t="str">
        <f t="shared" si="2"/>
        <v/>
      </c>
      <c r="V1374" t="str">
        <f>IF(OR(U1374="",U1374="ERRO_CHAVE"),"",IFERROR(MATCH(U1374,Fornecedores!$AF$1:$AF$6631,0),""))</f>
        <v/>
      </c>
      <c r="W1374" t="str">
        <f t="shared" si="3"/>
        <v/>
      </c>
      <c r="X1374" s="4" t="str">
        <f>IF(V1374="","",INDEX(Fornecedores!$X$1:$X$6631,V1374))</f>
        <v/>
      </c>
      <c r="Y1374" s="4" t="str">
        <f t="shared" si="4"/>
        <v/>
      </c>
    </row>
    <row r="1375" spans="19:25">
      <c r="S1375" t="str">
        <f t="shared" si="0"/>
        <v/>
      </c>
      <c r="T1375" t="str">
        <f t="shared" si="1"/>
        <v/>
      </c>
      <c r="U1375" t="str">
        <f t="shared" si="2"/>
        <v/>
      </c>
      <c r="V1375" t="str">
        <f>IF(OR(U1375="",U1375="ERRO_CHAVE"),"",IFERROR(MATCH(U1375,Fornecedores!$AF$1:$AF$6631,0),""))</f>
        <v/>
      </c>
      <c r="W1375" t="str">
        <f t="shared" si="3"/>
        <v/>
      </c>
      <c r="X1375" s="4" t="str">
        <f>IF(V1375="","",INDEX(Fornecedores!$X$1:$X$6631,V1375))</f>
        <v/>
      </c>
      <c r="Y1375" s="4" t="str">
        <f t="shared" si="4"/>
        <v/>
      </c>
    </row>
    <row r="1376" spans="19:25">
      <c r="S1376" t="str">
        <f t="shared" si="0"/>
        <v/>
      </c>
      <c r="T1376" t="str">
        <f t="shared" si="1"/>
        <v/>
      </c>
      <c r="U1376" t="str">
        <f t="shared" si="2"/>
        <v/>
      </c>
      <c r="V1376" t="str">
        <f>IF(OR(U1376="",U1376="ERRO_CHAVE"),"",IFERROR(MATCH(U1376,Fornecedores!$AF$1:$AF$6631,0),""))</f>
        <v/>
      </c>
      <c r="W1376" t="str">
        <f t="shared" si="3"/>
        <v/>
      </c>
      <c r="X1376" s="4" t="str">
        <f>IF(V1376="","",INDEX(Fornecedores!$X$1:$X$6631,V1376))</f>
        <v/>
      </c>
      <c r="Y1376" s="4" t="str">
        <f t="shared" si="4"/>
        <v/>
      </c>
    </row>
    <row r="1377" spans="19:25">
      <c r="S1377" t="str">
        <f t="shared" si="0"/>
        <v/>
      </c>
      <c r="T1377" t="str">
        <f t="shared" si="1"/>
        <v/>
      </c>
      <c r="U1377" t="str">
        <f t="shared" si="2"/>
        <v/>
      </c>
      <c r="V1377" t="str">
        <f>IF(OR(U1377="",U1377="ERRO_CHAVE"),"",IFERROR(MATCH(U1377,Fornecedores!$AF$1:$AF$6631,0),""))</f>
        <v/>
      </c>
      <c r="W1377" t="str">
        <f t="shared" si="3"/>
        <v/>
      </c>
      <c r="X1377" s="4" t="str">
        <f>IF(V1377="","",INDEX(Fornecedores!$X$1:$X$6631,V1377))</f>
        <v/>
      </c>
      <c r="Y1377" s="4" t="str">
        <f t="shared" si="4"/>
        <v/>
      </c>
    </row>
    <row r="1378" spans="19:25">
      <c r="S1378" t="str">
        <f t="shared" si="0"/>
        <v/>
      </c>
      <c r="T1378" t="str">
        <f t="shared" si="1"/>
        <v/>
      </c>
      <c r="U1378" t="str">
        <f t="shared" si="2"/>
        <v/>
      </c>
      <c r="V1378" t="str">
        <f>IF(OR(U1378="",U1378="ERRO_CHAVE"),"",IFERROR(MATCH(U1378,Fornecedores!$AF$1:$AF$6631,0),""))</f>
        <v/>
      </c>
      <c r="W1378" t="str">
        <f t="shared" si="3"/>
        <v/>
      </c>
      <c r="X1378" s="4" t="str">
        <f>IF(V1378="","",INDEX(Fornecedores!$X$1:$X$6631,V1378))</f>
        <v/>
      </c>
      <c r="Y1378" s="4" t="str">
        <f t="shared" si="4"/>
        <v/>
      </c>
    </row>
    <row r="1379" spans="19:25">
      <c r="S1379" t="str">
        <f t="shared" si="0"/>
        <v/>
      </c>
      <c r="T1379" t="str">
        <f t="shared" si="1"/>
        <v/>
      </c>
      <c r="U1379" t="str">
        <f t="shared" si="2"/>
        <v/>
      </c>
      <c r="V1379" t="str">
        <f>IF(OR(U1379="",U1379="ERRO_CHAVE"),"",IFERROR(MATCH(U1379,Fornecedores!$AF$1:$AF$6631,0),""))</f>
        <v/>
      </c>
      <c r="W1379" t="str">
        <f t="shared" si="3"/>
        <v/>
      </c>
      <c r="X1379" s="4" t="str">
        <f>IF(V1379="","",INDEX(Fornecedores!$X$1:$X$6631,V1379))</f>
        <v/>
      </c>
      <c r="Y1379" s="4" t="str">
        <f t="shared" si="4"/>
        <v/>
      </c>
    </row>
    <row r="1380" spans="19:25">
      <c r="S1380" t="str">
        <f t="shared" si="0"/>
        <v/>
      </c>
      <c r="T1380" t="str">
        <f t="shared" si="1"/>
        <v/>
      </c>
      <c r="U1380" t="str">
        <f t="shared" si="2"/>
        <v/>
      </c>
      <c r="V1380" t="str">
        <f>IF(OR(U1380="",U1380="ERRO_CHAVE"),"",IFERROR(MATCH(U1380,Fornecedores!$AF$1:$AF$6631,0),""))</f>
        <v/>
      </c>
      <c r="W1380" t="str">
        <f t="shared" si="3"/>
        <v/>
      </c>
      <c r="X1380" s="4" t="str">
        <f>IF(V1380="","",INDEX(Fornecedores!$X$1:$X$6631,V1380))</f>
        <v/>
      </c>
      <c r="Y1380" s="4" t="str">
        <f t="shared" si="4"/>
        <v/>
      </c>
    </row>
    <row r="1381" spans="19:25">
      <c r="S1381" t="str">
        <f t="shared" si="0"/>
        <v/>
      </c>
      <c r="T1381" t="str">
        <f t="shared" si="1"/>
        <v/>
      </c>
      <c r="U1381" t="str">
        <f t="shared" si="2"/>
        <v/>
      </c>
      <c r="V1381" t="str">
        <f>IF(OR(U1381="",U1381="ERRO_CHAVE"),"",IFERROR(MATCH(U1381,Fornecedores!$AF$1:$AF$6631,0),""))</f>
        <v/>
      </c>
      <c r="W1381" t="str">
        <f t="shared" si="3"/>
        <v/>
      </c>
      <c r="X1381" s="4" t="str">
        <f>IF(V1381="","",INDEX(Fornecedores!$X$1:$X$6631,V1381))</f>
        <v/>
      </c>
      <c r="Y1381" s="4" t="str">
        <f t="shared" si="4"/>
        <v/>
      </c>
    </row>
    <row r="1382" spans="19:25">
      <c r="S1382" t="str">
        <f t="shared" si="0"/>
        <v/>
      </c>
      <c r="T1382" t="str">
        <f t="shared" si="1"/>
        <v/>
      </c>
      <c r="U1382" t="str">
        <f t="shared" si="2"/>
        <v/>
      </c>
      <c r="V1382" t="str">
        <f>IF(OR(U1382="",U1382="ERRO_CHAVE"),"",IFERROR(MATCH(U1382,Fornecedores!$AF$1:$AF$6631,0),""))</f>
        <v/>
      </c>
      <c r="W1382" t="str">
        <f t="shared" si="3"/>
        <v/>
      </c>
      <c r="X1382" s="4" t="str">
        <f>IF(V1382="","",INDEX(Fornecedores!$X$1:$X$6631,V1382))</f>
        <v/>
      </c>
      <c r="Y1382" s="4" t="str">
        <f t="shared" si="4"/>
        <v/>
      </c>
    </row>
    <row r="1383" spans="19:25">
      <c r="S1383" t="str">
        <f t="shared" si="0"/>
        <v/>
      </c>
      <c r="T1383" t="str">
        <f t="shared" si="1"/>
        <v/>
      </c>
      <c r="U1383" t="str">
        <f t="shared" si="2"/>
        <v/>
      </c>
      <c r="V1383" t="str">
        <f>IF(OR(U1383="",U1383="ERRO_CHAVE"),"",IFERROR(MATCH(U1383,Fornecedores!$AF$1:$AF$6631,0),""))</f>
        <v/>
      </c>
      <c r="W1383" t="str">
        <f t="shared" si="3"/>
        <v/>
      </c>
      <c r="X1383" s="4" t="str">
        <f>IF(V1383="","",INDEX(Fornecedores!$X$1:$X$6631,V1383))</f>
        <v/>
      </c>
      <c r="Y1383" s="4" t="str">
        <f t="shared" si="4"/>
        <v/>
      </c>
    </row>
    <row r="1384" spans="19:25">
      <c r="S1384" t="str">
        <f t="shared" si="0"/>
        <v/>
      </c>
      <c r="T1384" t="str">
        <f t="shared" si="1"/>
        <v/>
      </c>
      <c r="U1384" t="str">
        <f t="shared" si="2"/>
        <v/>
      </c>
      <c r="V1384" t="str">
        <f>IF(OR(U1384="",U1384="ERRO_CHAVE"),"",IFERROR(MATCH(U1384,Fornecedores!$AF$1:$AF$6631,0),""))</f>
        <v/>
      </c>
      <c r="W1384" t="str">
        <f t="shared" si="3"/>
        <v/>
      </c>
      <c r="X1384" s="4" t="str">
        <f>IF(V1384="","",INDEX(Fornecedores!$X$1:$X$6631,V1384))</f>
        <v/>
      </c>
      <c r="Y1384" s="4" t="str">
        <f t="shared" si="4"/>
        <v/>
      </c>
    </row>
    <row r="1385" spans="19:25">
      <c r="S1385" t="str">
        <f t="shared" si="0"/>
        <v/>
      </c>
      <c r="T1385" t="str">
        <f t="shared" si="1"/>
        <v/>
      </c>
      <c r="U1385" t="str">
        <f t="shared" si="2"/>
        <v/>
      </c>
      <c r="V1385" t="str">
        <f>IF(OR(U1385="",U1385="ERRO_CHAVE"),"",IFERROR(MATCH(U1385,Fornecedores!$AF$1:$AF$6631,0),""))</f>
        <v/>
      </c>
      <c r="W1385" t="str">
        <f t="shared" si="3"/>
        <v/>
      </c>
      <c r="X1385" s="4" t="str">
        <f>IF(V1385="","",INDEX(Fornecedores!$X$1:$X$6631,V1385))</f>
        <v/>
      </c>
      <c r="Y1385" s="4" t="str">
        <f t="shared" si="4"/>
        <v/>
      </c>
    </row>
    <row r="1386" spans="19:25">
      <c r="S1386" t="str">
        <f t="shared" si="0"/>
        <v/>
      </c>
      <c r="T1386" t="str">
        <f t="shared" si="1"/>
        <v/>
      </c>
      <c r="U1386" t="str">
        <f t="shared" si="2"/>
        <v/>
      </c>
      <c r="V1386" t="str">
        <f>IF(OR(U1386="",U1386="ERRO_CHAVE"),"",IFERROR(MATCH(U1386,Fornecedores!$AF$1:$AF$6631,0),""))</f>
        <v/>
      </c>
      <c r="W1386" t="str">
        <f t="shared" si="3"/>
        <v/>
      </c>
      <c r="X1386" s="4" t="str">
        <f>IF(V1386="","",INDEX(Fornecedores!$X$1:$X$6631,V1386))</f>
        <v/>
      </c>
      <c r="Y1386" s="4" t="str">
        <f t="shared" si="4"/>
        <v/>
      </c>
    </row>
    <row r="1387" spans="19:25">
      <c r="S1387" t="str">
        <f t="shared" si="0"/>
        <v/>
      </c>
      <c r="T1387" t="str">
        <f t="shared" si="1"/>
        <v/>
      </c>
      <c r="U1387" t="str">
        <f t="shared" si="2"/>
        <v/>
      </c>
      <c r="V1387" t="str">
        <f>IF(OR(U1387="",U1387="ERRO_CHAVE"),"",IFERROR(MATCH(U1387,Fornecedores!$AF$1:$AF$6631,0),""))</f>
        <v/>
      </c>
      <c r="W1387" t="str">
        <f t="shared" si="3"/>
        <v/>
      </c>
      <c r="X1387" s="4" t="str">
        <f>IF(V1387="","",INDEX(Fornecedores!$X$1:$X$6631,V1387))</f>
        <v/>
      </c>
      <c r="Y1387" s="4" t="str">
        <f t="shared" si="4"/>
        <v/>
      </c>
    </row>
    <row r="1388" spans="19:25">
      <c r="S1388" t="str">
        <f t="shared" si="0"/>
        <v/>
      </c>
      <c r="T1388" t="str">
        <f t="shared" si="1"/>
        <v/>
      </c>
      <c r="U1388" t="str">
        <f t="shared" si="2"/>
        <v/>
      </c>
      <c r="V1388" t="str">
        <f>IF(OR(U1388="",U1388="ERRO_CHAVE"),"",IFERROR(MATCH(U1388,Fornecedores!$AF$1:$AF$6631,0),""))</f>
        <v/>
      </c>
      <c r="W1388" t="str">
        <f t="shared" si="3"/>
        <v/>
      </c>
      <c r="X1388" s="4" t="str">
        <f>IF(V1388="","",INDEX(Fornecedores!$X$1:$X$6631,V1388))</f>
        <v/>
      </c>
      <c r="Y1388" s="4" t="str">
        <f t="shared" si="4"/>
        <v/>
      </c>
    </row>
    <row r="1389" spans="19:25">
      <c r="S1389" t="str">
        <f t="shared" si="0"/>
        <v/>
      </c>
      <c r="T1389" t="str">
        <f t="shared" si="1"/>
        <v/>
      </c>
      <c r="U1389" t="str">
        <f t="shared" si="2"/>
        <v/>
      </c>
      <c r="V1389" t="str">
        <f>IF(OR(U1389="",U1389="ERRO_CHAVE"),"",IFERROR(MATCH(U1389,Fornecedores!$AF$1:$AF$6631,0),""))</f>
        <v/>
      </c>
      <c r="W1389" t="str">
        <f t="shared" si="3"/>
        <v/>
      </c>
      <c r="X1389" s="4" t="str">
        <f>IF(V1389="","",INDEX(Fornecedores!$X$1:$X$6631,V1389))</f>
        <v/>
      </c>
      <c r="Y1389" s="4" t="str">
        <f t="shared" si="4"/>
        <v/>
      </c>
    </row>
    <row r="1390" spans="19:25">
      <c r="S1390" t="str">
        <f t="shared" si="0"/>
        <v/>
      </c>
      <c r="T1390" t="str">
        <f t="shared" si="1"/>
        <v/>
      </c>
      <c r="U1390" t="str">
        <f t="shared" si="2"/>
        <v/>
      </c>
      <c r="V1390" t="str">
        <f>IF(OR(U1390="",U1390="ERRO_CHAVE"),"",IFERROR(MATCH(U1390,Fornecedores!$AF$1:$AF$6631,0),""))</f>
        <v/>
      </c>
      <c r="W1390" t="str">
        <f t="shared" si="3"/>
        <v/>
      </c>
      <c r="X1390" s="4" t="str">
        <f>IF(V1390="","",INDEX(Fornecedores!$X$1:$X$6631,V1390))</f>
        <v/>
      </c>
      <c r="Y1390" s="4" t="str">
        <f t="shared" si="4"/>
        <v/>
      </c>
    </row>
    <row r="1391" spans="19:25">
      <c r="S1391" t="str">
        <f t="shared" si="0"/>
        <v/>
      </c>
      <c r="T1391" t="str">
        <f t="shared" si="1"/>
        <v/>
      </c>
      <c r="U1391" t="str">
        <f t="shared" si="2"/>
        <v/>
      </c>
      <c r="V1391" t="str">
        <f>IF(OR(U1391="",U1391="ERRO_CHAVE"),"",IFERROR(MATCH(U1391,Fornecedores!$AF$1:$AF$6631,0),""))</f>
        <v/>
      </c>
      <c r="W1391" t="str">
        <f t="shared" si="3"/>
        <v/>
      </c>
      <c r="X1391" s="4" t="str">
        <f>IF(V1391="","",INDEX(Fornecedores!$X$1:$X$6631,V1391))</f>
        <v/>
      </c>
      <c r="Y1391" s="4" t="str">
        <f t="shared" si="4"/>
        <v/>
      </c>
    </row>
    <row r="1392" spans="19:25">
      <c r="S1392" t="str">
        <f t="shared" si="0"/>
        <v/>
      </c>
      <c r="T1392" t="str">
        <f t="shared" si="1"/>
        <v/>
      </c>
      <c r="U1392" t="str">
        <f t="shared" si="2"/>
        <v/>
      </c>
      <c r="V1392" t="str">
        <f>IF(OR(U1392="",U1392="ERRO_CHAVE"),"",IFERROR(MATCH(U1392,Fornecedores!$AF$1:$AF$6631,0),""))</f>
        <v/>
      </c>
      <c r="W1392" t="str">
        <f t="shared" si="3"/>
        <v/>
      </c>
      <c r="X1392" s="4" t="str">
        <f>IF(V1392="","",INDEX(Fornecedores!$X$1:$X$6631,V1392))</f>
        <v/>
      </c>
      <c r="Y1392" s="4" t="str">
        <f t="shared" si="4"/>
        <v/>
      </c>
    </row>
    <row r="1393" spans="19:25">
      <c r="S1393" t="str">
        <f t="shared" si="0"/>
        <v/>
      </c>
      <c r="T1393" t="str">
        <f t="shared" si="1"/>
        <v/>
      </c>
      <c r="U1393" t="str">
        <f t="shared" si="2"/>
        <v/>
      </c>
      <c r="V1393" t="str">
        <f>IF(OR(U1393="",U1393="ERRO_CHAVE"),"",IFERROR(MATCH(U1393,Fornecedores!$AF$1:$AF$6631,0),""))</f>
        <v/>
      </c>
      <c r="W1393" t="str">
        <f t="shared" si="3"/>
        <v/>
      </c>
      <c r="X1393" s="4" t="str">
        <f>IF(V1393="","",INDEX(Fornecedores!$X$1:$X$6631,V1393))</f>
        <v/>
      </c>
      <c r="Y1393" s="4" t="str">
        <f t="shared" si="4"/>
        <v/>
      </c>
    </row>
    <row r="1394" spans="19:25">
      <c r="S1394" t="str">
        <f t="shared" si="0"/>
        <v/>
      </c>
      <c r="T1394" t="str">
        <f t="shared" si="1"/>
        <v/>
      </c>
      <c r="U1394" t="str">
        <f t="shared" si="2"/>
        <v/>
      </c>
      <c r="V1394" t="str">
        <f>IF(OR(U1394="",U1394="ERRO_CHAVE"),"",IFERROR(MATCH(U1394,Fornecedores!$AF$1:$AF$6631,0),""))</f>
        <v/>
      </c>
      <c r="W1394" t="str">
        <f t="shared" si="3"/>
        <v/>
      </c>
      <c r="X1394" s="4" t="str">
        <f>IF(V1394="","",INDEX(Fornecedores!$X$1:$X$6631,V1394))</f>
        <v/>
      </c>
      <c r="Y1394" s="4" t="str">
        <f t="shared" si="4"/>
        <v/>
      </c>
    </row>
    <row r="1395" spans="19:25">
      <c r="S1395" t="str">
        <f t="shared" si="0"/>
        <v/>
      </c>
      <c r="T1395" t="str">
        <f t="shared" si="1"/>
        <v/>
      </c>
      <c r="U1395" t="str">
        <f t="shared" si="2"/>
        <v/>
      </c>
      <c r="V1395" t="str">
        <f>IF(OR(U1395="",U1395="ERRO_CHAVE"),"",IFERROR(MATCH(U1395,Fornecedores!$AF$1:$AF$6631,0),""))</f>
        <v/>
      </c>
      <c r="W1395" t="str">
        <f t="shared" si="3"/>
        <v/>
      </c>
      <c r="X1395" s="4" t="str">
        <f>IF(V1395="","",INDEX(Fornecedores!$X$1:$X$6631,V1395))</f>
        <v/>
      </c>
      <c r="Y1395" s="4" t="str">
        <f t="shared" si="4"/>
        <v/>
      </c>
    </row>
    <row r="1396" spans="19:25">
      <c r="S1396" t="str">
        <f t="shared" si="0"/>
        <v/>
      </c>
      <c r="T1396" t="str">
        <f t="shared" si="1"/>
        <v/>
      </c>
      <c r="U1396" t="str">
        <f t="shared" si="2"/>
        <v/>
      </c>
      <c r="V1396" t="str">
        <f>IF(OR(U1396="",U1396="ERRO_CHAVE"),"",IFERROR(MATCH(U1396,Fornecedores!$AF$1:$AF$6631,0),""))</f>
        <v/>
      </c>
      <c r="W1396" t="str">
        <f t="shared" si="3"/>
        <v/>
      </c>
      <c r="X1396" s="4" t="str">
        <f>IF(V1396="","",INDEX(Fornecedores!$X$1:$X$6631,V1396))</f>
        <v/>
      </c>
      <c r="Y1396" s="4" t="str">
        <f t="shared" si="4"/>
        <v/>
      </c>
    </row>
    <row r="1397" spans="19:25">
      <c r="S1397" t="str">
        <f t="shared" si="0"/>
        <v/>
      </c>
      <c r="T1397" t="str">
        <f t="shared" si="1"/>
        <v/>
      </c>
      <c r="U1397" t="str">
        <f t="shared" si="2"/>
        <v/>
      </c>
      <c r="V1397" t="str">
        <f>IF(OR(U1397="",U1397="ERRO_CHAVE"),"",IFERROR(MATCH(U1397,Fornecedores!$AF$1:$AF$6631,0),""))</f>
        <v/>
      </c>
      <c r="W1397" t="str">
        <f t="shared" si="3"/>
        <v/>
      </c>
      <c r="X1397" s="4" t="str">
        <f>IF(V1397="","",INDEX(Fornecedores!$X$1:$X$6631,V1397))</f>
        <v/>
      </c>
      <c r="Y1397" s="4" t="str">
        <f t="shared" si="4"/>
        <v/>
      </c>
    </row>
    <row r="1398" spans="19:25">
      <c r="S1398" t="str">
        <f t="shared" si="0"/>
        <v/>
      </c>
      <c r="T1398" t="str">
        <f t="shared" si="1"/>
        <v/>
      </c>
      <c r="U1398" t="str">
        <f t="shared" si="2"/>
        <v/>
      </c>
      <c r="V1398" t="str">
        <f>IF(OR(U1398="",U1398="ERRO_CHAVE"),"",IFERROR(MATCH(U1398,Fornecedores!$AF$1:$AF$6631,0),""))</f>
        <v/>
      </c>
      <c r="W1398" t="str">
        <f t="shared" si="3"/>
        <v/>
      </c>
      <c r="X1398" s="4" t="str">
        <f>IF(V1398="","",INDEX(Fornecedores!$X$1:$X$6631,V1398))</f>
        <v/>
      </c>
      <c r="Y1398" s="4" t="str">
        <f t="shared" si="4"/>
        <v/>
      </c>
    </row>
    <row r="1399" spans="19:25">
      <c r="S1399" t="str">
        <f t="shared" si="0"/>
        <v/>
      </c>
      <c r="T1399" t="str">
        <f t="shared" si="1"/>
        <v/>
      </c>
      <c r="U1399" t="str">
        <f t="shared" si="2"/>
        <v/>
      </c>
      <c r="V1399" t="str">
        <f>IF(OR(U1399="",U1399="ERRO_CHAVE"),"",IFERROR(MATCH(U1399,Fornecedores!$AF$1:$AF$6631,0),""))</f>
        <v/>
      </c>
      <c r="W1399" t="str">
        <f t="shared" si="3"/>
        <v/>
      </c>
      <c r="X1399" s="4" t="str">
        <f>IF(V1399="","",INDEX(Fornecedores!$X$1:$X$6631,V1399))</f>
        <v/>
      </c>
      <c r="Y1399" s="4" t="str">
        <f t="shared" si="4"/>
        <v/>
      </c>
    </row>
    <row r="1400" spans="19:25">
      <c r="S1400" t="str">
        <f t="shared" si="0"/>
        <v/>
      </c>
      <c r="T1400" t="str">
        <f t="shared" si="1"/>
        <v/>
      </c>
      <c r="U1400" t="str">
        <f t="shared" si="2"/>
        <v/>
      </c>
      <c r="V1400" t="str">
        <f>IF(OR(U1400="",U1400="ERRO_CHAVE"),"",IFERROR(MATCH(U1400,Fornecedores!$AF$1:$AF$6631,0),""))</f>
        <v/>
      </c>
      <c r="W1400" t="str">
        <f t="shared" si="3"/>
        <v/>
      </c>
      <c r="X1400" s="4" t="str">
        <f>IF(V1400="","",INDEX(Fornecedores!$X$1:$X$6631,V1400))</f>
        <v/>
      </c>
      <c r="Y1400" s="4" t="str">
        <f t="shared" si="4"/>
        <v/>
      </c>
    </row>
    <row r="1401" spans="19:25">
      <c r="S1401" t="str">
        <f t="shared" si="0"/>
        <v/>
      </c>
      <c r="T1401" t="str">
        <f t="shared" si="1"/>
        <v/>
      </c>
      <c r="U1401" t="str">
        <f t="shared" si="2"/>
        <v/>
      </c>
      <c r="V1401" t="str">
        <f>IF(OR(U1401="",U1401="ERRO_CHAVE"),"",IFERROR(MATCH(U1401,Fornecedores!$AF$1:$AF$6631,0),""))</f>
        <v/>
      </c>
      <c r="W1401" t="str">
        <f t="shared" si="3"/>
        <v/>
      </c>
      <c r="X1401" s="4" t="str">
        <f>IF(V1401="","",INDEX(Fornecedores!$X$1:$X$6631,V1401))</f>
        <v/>
      </c>
      <c r="Y1401" s="4" t="str">
        <f t="shared" si="4"/>
        <v/>
      </c>
    </row>
    <row r="1402" spans="19:25">
      <c r="S1402" t="str">
        <f t="shared" si="0"/>
        <v/>
      </c>
      <c r="T1402" t="str">
        <f t="shared" si="1"/>
        <v/>
      </c>
      <c r="U1402" t="str">
        <f t="shared" si="2"/>
        <v/>
      </c>
      <c r="V1402" t="str">
        <f>IF(OR(U1402="",U1402="ERRO_CHAVE"),"",IFERROR(MATCH(U1402,Fornecedores!$AF$1:$AF$6631,0),""))</f>
        <v/>
      </c>
      <c r="W1402" t="str">
        <f t="shared" si="3"/>
        <v/>
      </c>
      <c r="X1402" s="4" t="str">
        <f>IF(V1402="","",INDEX(Fornecedores!$X$1:$X$6631,V1402))</f>
        <v/>
      </c>
      <c r="Y1402" s="4" t="str">
        <f t="shared" si="4"/>
        <v/>
      </c>
    </row>
    <row r="1403" spans="19:25">
      <c r="S1403" t="str">
        <f t="shared" si="0"/>
        <v/>
      </c>
      <c r="T1403" t="str">
        <f t="shared" si="1"/>
        <v/>
      </c>
      <c r="U1403" t="str">
        <f t="shared" si="2"/>
        <v/>
      </c>
      <c r="V1403" t="str">
        <f>IF(OR(U1403="",U1403="ERRO_CHAVE"),"",IFERROR(MATCH(U1403,Fornecedores!$AF$1:$AF$6631,0),""))</f>
        <v/>
      </c>
      <c r="W1403" t="str">
        <f t="shared" si="3"/>
        <v/>
      </c>
      <c r="X1403" s="4" t="str">
        <f>IF(V1403="","",INDEX(Fornecedores!$X$1:$X$6631,V1403))</f>
        <v/>
      </c>
      <c r="Y1403" s="4" t="str">
        <f t="shared" si="4"/>
        <v/>
      </c>
    </row>
    <row r="1404" spans="19:25">
      <c r="S1404" t="str">
        <f t="shared" si="0"/>
        <v/>
      </c>
      <c r="T1404" t="str">
        <f t="shared" si="1"/>
        <v/>
      </c>
      <c r="U1404" t="str">
        <f t="shared" si="2"/>
        <v/>
      </c>
      <c r="V1404" t="str">
        <f>IF(OR(U1404="",U1404="ERRO_CHAVE"),"",IFERROR(MATCH(U1404,Fornecedores!$AF$1:$AF$6631,0),""))</f>
        <v/>
      </c>
      <c r="W1404" t="str">
        <f t="shared" si="3"/>
        <v/>
      </c>
      <c r="X1404" s="4" t="str">
        <f>IF(V1404="","",INDEX(Fornecedores!$X$1:$X$6631,V1404))</f>
        <v/>
      </c>
      <c r="Y1404" s="4" t="str">
        <f t="shared" si="4"/>
        <v/>
      </c>
    </row>
    <row r="1405" spans="19:25">
      <c r="S1405" t="str">
        <f t="shared" si="0"/>
        <v/>
      </c>
      <c r="T1405" t="str">
        <f t="shared" si="1"/>
        <v/>
      </c>
      <c r="U1405" t="str">
        <f t="shared" si="2"/>
        <v/>
      </c>
      <c r="V1405" t="str">
        <f>IF(OR(U1405="",U1405="ERRO_CHAVE"),"",IFERROR(MATCH(U1405,Fornecedores!$AF$1:$AF$6631,0),""))</f>
        <v/>
      </c>
      <c r="W1405" t="str">
        <f t="shared" si="3"/>
        <v/>
      </c>
      <c r="X1405" s="4" t="str">
        <f>IF(V1405="","",INDEX(Fornecedores!$X$1:$X$6631,V1405))</f>
        <v/>
      </c>
      <c r="Y1405" s="4" t="str">
        <f t="shared" si="4"/>
        <v/>
      </c>
    </row>
    <row r="1406" spans="19:25">
      <c r="S1406" t="str">
        <f t="shared" si="0"/>
        <v/>
      </c>
      <c r="T1406" t="str">
        <f t="shared" si="1"/>
        <v/>
      </c>
      <c r="U1406" t="str">
        <f t="shared" si="2"/>
        <v/>
      </c>
      <c r="V1406" t="str">
        <f>IF(OR(U1406="",U1406="ERRO_CHAVE"),"",IFERROR(MATCH(U1406,Fornecedores!$AF$1:$AF$6631,0),""))</f>
        <v/>
      </c>
      <c r="W1406" t="str">
        <f t="shared" si="3"/>
        <v/>
      </c>
      <c r="X1406" s="4" t="str">
        <f>IF(V1406="","",INDEX(Fornecedores!$X$1:$X$6631,V1406))</f>
        <v/>
      </c>
      <c r="Y1406" s="4" t="str">
        <f t="shared" si="4"/>
        <v/>
      </c>
    </row>
    <row r="1407" spans="19:25">
      <c r="S1407" t="str">
        <f t="shared" si="0"/>
        <v/>
      </c>
      <c r="T1407" t="str">
        <f t="shared" si="1"/>
        <v/>
      </c>
      <c r="U1407" t="str">
        <f t="shared" si="2"/>
        <v/>
      </c>
      <c r="V1407" t="str">
        <f>IF(OR(U1407="",U1407="ERRO_CHAVE"),"",IFERROR(MATCH(U1407,Fornecedores!$AF$1:$AF$6631,0),""))</f>
        <v/>
      </c>
      <c r="W1407" t="str">
        <f t="shared" si="3"/>
        <v/>
      </c>
      <c r="X1407" s="4" t="str">
        <f>IF(V1407="","",INDEX(Fornecedores!$X$1:$X$6631,V1407))</f>
        <v/>
      </c>
      <c r="Y1407" s="4" t="str">
        <f t="shared" si="4"/>
        <v/>
      </c>
    </row>
    <row r="1408" spans="19:25">
      <c r="S1408" t="str">
        <f t="shared" si="0"/>
        <v/>
      </c>
      <c r="T1408" t="str">
        <f t="shared" si="1"/>
        <v/>
      </c>
      <c r="U1408" t="str">
        <f t="shared" si="2"/>
        <v/>
      </c>
      <c r="V1408" t="str">
        <f>IF(OR(U1408="",U1408="ERRO_CHAVE"),"",IFERROR(MATCH(U1408,Fornecedores!$AF$1:$AF$6631,0),""))</f>
        <v/>
      </c>
      <c r="W1408" t="str">
        <f t="shared" si="3"/>
        <v/>
      </c>
      <c r="X1408" s="4" t="str">
        <f>IF(V1408="","",INDEX(Fornecedores!$X$1:$X$6631,V1408))</f>
        <v/>
      </c>
      <c r="Y1408" s="4" t="str">
        <f t="shared" si="4"/>
        <v/>
      </c>
    </row>
    <row r="1409" spans="19:25">
      <c r="S1409" t="str">
        <f t="shared" si="0"/>
        <v/>
      </c>
      <c r="T1409" t="str">
        <f t="shared" si="1"/>
        <v/>
      </c>
      <c r="U1409" t="str">
        <f t="shared" si="2"/>
        <v/>
      </c>
      <c r="V1409" t="str">
        <f>IF(OR(U1409="",U1409="ERRO_CHAVE"),"",IFERROR(MATCH(U1409,Fornecedores!$AF$1:$AF$6631,0),""))</f>
        <v/>
      </c>
      <c r="W1409" t="str">
        <f t="shared" si="3"/>
        <v/>
      </c>
      <c r="X1409" s="4" t="str">
        <f>IF(V1409="","",INDEX(Fornecedores!$X$1:$X$6631,V1409))</f>
        <v/>
      </c>
      <c r="Y1409" s="4" t="str">
        <f t="shared" si="4"/>
        <v/>
      </c>
    </row>
    <row r="1410" spans="19:25">
      <c r="S1410" t="str">
        <f t="shared" si="0"/>
        <v/>
      </c>
      <c r="T1410" t="str">
        <f t="shared" si="1"/>
        <v/>
      </c>
      <c r="U1410" t="str">
        <f t="shared" si="2"/>
        <v/>
      </c>
      <c r="V1410" t="str">
        <f>IF(OR(U1410="",U1410="ERRO_CHAVE"),"",IFERROR(MATCH(U1410,Fornecedores!$AF$1:$AF$6631,0),""))</f>
        <v/>
      </c>
      <c r="W1410" t="str">
        <f t="shared" si="3"/>
        <v/>
      </c>
      <c r="X1410" s="4" t="str">
        <f>IF(V1410="","",INDEX(Fornecedores!$X$1:$X$6631,V1410))</f>
        <v/>
      </c>
      <c r="Y1410" s="4" t="str">
        <f t="shared" si="4"/>
        <v/>
      </c>
    </row>
    <row r="1411" spans="19:25">
      <c r="S1411" t="str">
        <f t="shared" si="0"/>
        <v/>
      </c>
      <c r="T1411" t="str">
        <f t="shared" si="1"/>
        <v/>
      </c>
      <c r="U1411" t="str">
        <f t="shared" si="2"/>
        <v/>
      </c>
      <c r="V1411" t="str">
        <f>IF(OR(U1411="",U1411="ERRO_CHAVE"),"",IFERROR(MATCH(U1411,Fornecedores!$AF$1:$AF$6631,0),""))</f>
        <v/>
      </c>
      <c r="W1411" t="str">
        <f t="shared" si="3"/>
        <v/>
      </c>
      <c r="X1411" s="4" t="str">
        <f>IF(V1411="","",INDEX(Fornecedores!$X$1:$X$6631,V1411))</f>
        <v/>
      </c>
      <c r="Y1411" s="4" t="str">
        <f t="shared" si="4"/>
        <v/>
      </c>
    </row>
    <row r="1412" spans="19:25">
      <c r="S1412" t="str">
        <f t="shared" si="0"/>
        <v/>
      </c>
      <c r="T1412" t="str">
        <f t="shared" si="1"/>
        <v/>
      </c>
      <c r="U1412" t="str">
        <f t="shared" si="2"/>
        <v/>
      </c>
      <c r="V1412" t="str">
        <f>IF(OR(U1412="",U1412="ERRO_CHAVE"),"",IFERROR(MATCH(U1412,Fornecedores!$AF$1:$AF$6631,0),""))</f>
        <v/>
      </c>
      <c r="W1412" t="str">
        <f t="shared" si="3"/>
        <v/>
      </c>
      <c r="X1412" s="4" t="str">
        <f>IF(V1412="","",INDEX(Fornecedores!$X$1:$X$6631,V1412))</f>
        <v/>
      </c>
      <c r="Y1412" s="4" t="str">
        <f t="shared" si="4"/>
        <v/>
      </c>
    </row>
    <row r="1413" spans="19:25">
      <c r="S1413" t="str">
        <f t="shared" si="0"/>
        <v/>
      </c>
      <c r="T1413" t="str">
        <f t="shared" si="1"/>
        <v/>
      </c>
      <c r="U1413" t="str">
        <f t="shared" si="2"/>
        <v/>
      </c>
      <c r="V1413" t="str">
        <f>IF(OR(U1413="",U1413="ERRO_CHAVE"),"",IFERROR(MATCH(U1413,Fornecedores!$AF$1:$AF$6631,0),""))</f>
        <v/>
      </c>
      <c r="W1413" t="str">
        <f t="shared" si="3"/>
        <v/>
      </c>
      <c r="X1413" s="4" t="str">
        <f>IF(V1413="","",INDEX(Fornecedores!$X$1:$X$6631,V1413))</f>
        <v/>
      </c>
      <c r="Y1413" s="4" t="str">
        <f t="shared" si="4"/>
        <v/>
      </c>
    </row>
    <row r="1414" spans="19:25">
      <c r="S1414" t="str">
        <f t="shared" si="0"/>
        <v/>
      </c>
      <c r="T1414" t="str">
        <f t="shared" si="1"/>
        <v/>
      </c>
      <c r="U1414" t="str">
        <f t="shared" si="2"/>
        <v/>
      </c>
      <c r="V1414" t="str">
        <f>IF(OR(U1414="",U1414="ERRO_CHAVE"),"",IFERROR(MATCH(U1414,Fornecedores!$AF$1:$AF$6631,0),""))</f>
        <v/>
      </c>
      <c r="W1414" t="str">
        <f t="shared" si="3"/>
        <v/>
      </c>
      <c r="X1414" s="4" t="str">
        <f>IF(V1414="","",INDEX(Fornecedores!$X$1:$X$6631,V1414))</f>
        <v/>
      </c>
      <c r="Y1414" s="4" t="str">
        <f t="shared" si="4"/>
        <v/>
      </c>
    </row>
    <row r="1415" spans="19:25">
      <c r="S1415" t="str">
        <f t="shared" si="0"/>
        <v/>
      </c>
      <c r="T1415" t="str">
        <f t="shared" si="1"/>
        <v/>
      </c>
      <c r="U1415" t="str">
        <f t="shared" si="2"/>
        <v/>
      </c>
      <c r="V1415" t="str">
        <f>IF(OR(U1415="",U1415="ERRO_CHAVE"),"",IFERROR(MATCH(U1415,Fornecedores!$AF$1:$AF$6631,0),""))</f>
        <v/>
      </c>
      <c r="W1415" t="str">
        <f t="shared" si="3"/>
        <v/>
      </c>
      <c r="X1415" s="4" t="str">
        <f>IF(V1415="","",INDEX(Fornecedores!$X$1:$X$6631,V1415))</f>
        <v/>
      </c>
      <c r="Y1415" s="4" t="str">
        <f t="shared" si="4"/>
        <v/>
      </c>
    </row>
    <row r="1416" spans="19:25">
      <c r="S1416" t="str">
        <f t="shared" si="0"/>
        <v/>
      </c>
      <c r="T1416" t="str">
        <f t="shared" si="1"/>
        <v/>
      </c>
      <c r="U1416" t="str">
        <f t="shared" si="2"/>
        <v/>
      </c>
      <c r="V1416" t="str">
        <f>IF(OR(U1416="",U1416="ERRO_CHAVE"),"",IFERROR(MATCH(U1416,Fornecedores!$AF$1:$AF$6631,0),""))</f>
        <v/>
      </c>
      <c r="W1416" t="str">
        <f t="shared" si="3"/>
        <v/>
      </c>
      <c r="X1416" s="4" t="str">
        <f>IF(V1416="","",INDEX(Fornecedores!$X$1:$X$6631,V1416))</f>
        <v/>
      </c>
      <c r="Y1416" s="4" t="str">
        <f t="shared" si="4"/>
        <v/>
      </c>
    </row>
    <row r="1417" spans="19:25">
      <c r="S1417" t="str">
        <f t="shared" si="0"/>
        <v/>
      </c>
      <c r="T1417" t="str">
        <f t="shared" si="1"/>
        <v/>
      </c>
      <c r="U1417" t="str">
        <f t="shared" si="2"/>
        <v/>
      </c>
      <c r="V1417" t="str">
        <f>IF(OR(U1417="",U1417="ERRO_CHAVE"),"",IFERROR(MATCH(U1417,Fornecedores!$AF$1:$AF$6631,0),""))</f>
        <v/>
      </c>
      <c r="W1417" t="str">
        <f t="shared" si="3"/>
        <v/>
      </c>
      <c r="X1417" s="4" t="str">
        <f>IF(V1417="","",INDEX(Fornecedores!$X$1:$X$6631,V1417))</f>
        <v/>
      </c>
      <c r="Y1417" s="4" t="str">
        <f t="shared" si="4"/>
        <v/>
      </c>
    </row>
    <row r="1418" spans="19:25">
      <c r="S1418" t="str">
        <f t="shared" si="0"/>
        <v/>
      </c>
      <c r="T1418" t="str">
        <f t="shared" si="1"/>
        <v/>
      </c>
      <c r="U1418" t="str">
        <f t="shared" si="2"/>
        <v/>
      </c>
      <c r="V1418" t="str">
        <f>IF(OR(U1418="",U1418="ERRO_CHAVE"),"",IFERROR(MATCH(U1418,Fornecedores!$AF$1:$AF$6631,0),""))</f>
        <v/>
      </c>
      <c r="W1418" t="str">
        <f t="shared" si="3"/>
        <v/>
      </c>
      <c r="X1418" s="4" t="str">
        <f>IF(V1418="","",INDEX(Fornecedores!$X$1:$X$6631,V1418))</f>
        <v/>
      </c>
      <c r="Y1418" s="4" t="str">
        <f t="shared" si="4"/>
        <v/>
      </c>
    </row>
    <row r="1419" spans="19:25">
      <c r="S1419" t="str">
        <f t="shared" si="0"/>
        <v/>
      </c>
      <c r="T1419" t="str">
        <f t="shared" si="1"/>
        <v/>
      </c>
      <c r="U1419" t="str">
        <f t="shared" si="2"/>
        <v/>
      </c>
      <c r="V1419" t="str">
        <f>IF(OR(U1419="",U1419="ERRO_CHAVE"),"",IFERROR(MATCH(U1419,Fornecedores!$AF$1:$AF$6631,0),""))</f>
        <v/>
      </c>
      <c r="W1419" t="str">
        <f t="shared" si="3"/>
        <v/>
      </c>
      <c r="X1419" s="4" t="str">
        <f>IF(V1419="","",INDEX(Fornecedores!$X$1:$X$6631,V1419))</f>
        <v/>
      </c>
      <c r="Y1419" s="4" t="str">
        <f t="shared" si="4"/>
        <v/>
      </c>
    </row>
    <row r="1420" spans="19:25">
      <c r="S1420" t="str">
        <f t="shared" si="0"/>
        <v/>
      </c>
      <c r="T1420" t="str">
        <f t="shared" si="1"/>
        <v/>
      </c>
      <c r="U1420" t="str">
        <f t="shared" si="2"/>
        <v/>
      </c>
      <c r="V1420" t="str">
        <f>IF(OR(U1420="",U1420="ERRO_CHAVE"),"",IFERROR(MATCH(U1420,Fornecedores!$AF$1:$AF$6631,0),""))</f>
        <v/>
      </c>
      <c r="W1420" t="str">
        <f t="shared" si="3"/>
        <v/>
      </c>
      <c r="X1420" s="4" t="str">
        <f>IF(V1420="","",INDEX(Fornecedores!$X$1:$X$6631,V1420))</f>
        <v/>
      </c>
      <c r="Y1420" s="4" t="str">
        <f t="shared" si="4"/>
        <v/>
      </c>
    </row>
    <row r="1421" spans="19:25">
      <c r="S1421" t="str">
        <f t="shared" si="0"/>
        <v/>
      </c>
      <c r="T1421" t="str">
        <f t="shared" si="1"/>
        <v/>
      </c>
      <c r="U1421" t="str">
        <f t="shared" si="2"/>
        <v/>
      </c>
      <c r="V1421" t="str">
        <f>IF(OR(U1421="",U1421="ERRO_CHAVE"),"",IFERROR(MATCH(U1421,Fornecedores!$AF$1:$AF$6631,0),""))</f>
        <v/>
      </c>
      <c r="W1421" t="str">
        <f t="shared" si="3"/>
        <v/>
      </c>
      <c r="X1421" s="4" t="str">
        <f>IF(V1421="","",INDEX(Fornecedores!$X$1:$X$6631,V1421))</f>
        <v/>
      </c>
      <c r="Y1421" s="4" t="str">
        <f t="shared" si="4"/>
        <v/>
      </c>
    </row>
    <row r="1422" spans="19:25">
      <c r="S1422" t="str">
        <f t="shared" si="0"/>
        <v/>
      </c>
      <c r="T1422" t="str">
        <f t="shared" si="1"/>
        <v/>
      </c>
      <c r="U1422" t="str">
        <f t="shared" si="2"/>
        <v/>
      </c>
      <c r="V1422" t="str">
        <f>IF(OR(U1422="",U1422="ERRO_CHAVE"),"",IFERROR(MATCH(U1422,Fornecedores!$AF$1:$AF$6631,0),""))</f>
        <v/>
      </c>
      <c r="W1422" t="str">
        <f t="shared" si="3"/>
        <v/>
      </c>
      <c r="X1422" s="4" t="str">
        <f>IF(V1422="","",INDEX(Fornecedores!$X$1:$X$6631,V1422))</f>
        <v/>
      </c>
      <c r="Y1422" s="4" t="str">
        <f t="shared" si="4"/>
        <v/>
      </c>
    </row>
    <row r="1423" spans="19:25">
      <c r="S1423" t="str">
        <f t="shared" si="0"/>
        <v/>
      </c>
      <c r="T1423" t="str">
        <f t="shared" si="1"/>
        <v/>
      </c>
      <c r="U1423" t="str">
        <f t="shared" si="2"/>
        <v/>
      </c>
      <c r="V1423" t="str">
        <f>IF(OR(U1423="",U1423="ERRO_CHAVE"),"",IFERROR(MATCH(U1423,Fornecedores!$AF$1:$AF$6631,0),""))</f>
        <v/>
      </c>
      <c r="W1423" t="str">
        <f t="shared" si="3"/>
        <v/>
      </c>
      <c r="X1423" s="4" t="str">
        <f>IF(V1423="","",INDEX(Fornecedores!$X$1:$X$6631,V1423))</f>
        <v/>
      </c>
      <c r="Y1423" s="4" t="str">
        <f t="shared" si="4"/>
        <v/>
      </c>
    </row>
    <row r="1424" spans="19:25">
      <c r="S1424" t="str">
        <f t="shared" si="0"/>
        <v/>
      </c>
      <c r="T1424" t="str">
        <f t="shared" si="1"/>
        <v/>
      </c>
      <c r="U1424" t="str">
        <f t="shared" si="2"/>
        <v/>
      </c>
      <c r="V1424" t="str">
        <f>IF(OR(U1424="",U1424="ERRO_CHAVE"),"",IFERROR(MATCH(U1424,Fornecedores!$AF$1:$AF$6631,0),""))</f>
        <v/>
      </c>
      <c r="W1424" t="str">
        <f t="shared" si="3"/>
        <v/>
      </c>
      <c r="X1424" s="4" t="str">
        <f>IF(V1424="","",INDEX(Fornecedores!$X$1:$X$6631,V1424))</f>
        <v/>
      </c>
      <c r="Y1424" s="4" t="str">
        <f t="shared" si="4"/>
        <v/>
      </c>
    </row>
    <row r="1425" spans="19:25">
      <c r="S1425" t="str">
        <f t="shared" si="0"/>
        <v/>
      </c>
      <c r="T1425" t="str">
        <f t="shared" si="1"/>
        <v/>
      </c>
      <c r="U1425" t="str">
        <f t="shared" si="2"/>
        <v/>
      </c>
      <c r="V1425" t="str">
        <f>IF(OR(U1425="",U1425="ERRO_CHAVE"),"",IFERROR(MATCH(U1425,Fornecedores!$AF$1:$AF$6631,0),""))</f>
        <v/>
      </c>
      <c r="W1425" t="str">
        <f t="shared" si="3"/>
        <v/>
      </c>
      <c r="X1425" s="4" t="str">
        <f>IF(V1425="","",INDEX(Fornecedores!$X$1:$X$6631,V1425))</f>
        <v/>
      </c>
      <c r="Y1425" s="4" t="str">
        <f t="shared" si="4"/>
        <v/>
      </c>
    </row>
    <row r="1426" spans="19:25">
      <c r="S1426" t="str">
        <f t="shared" si="0"/>
        <v/>
      </c>
      <c r="T1426" t="str">
        <f t="shared" si="1"/>
        <v/>
      </c>
      <c r="U1426" t="str">
        <f t="shared" si="2"/>
        <v/>
      </c>
      <c r="V1426" t="str">
        <f>IF(OR(U1426="",U1426="ERRO_CHAVE"),"",IFERROR(MATCH(U1426,Fornecedores!$AF$1:$AF$6631,0),""))</f>
        <v/>
      </c>
      <c r="W1426" t="str">
        <f t="shared" si="3"/>
        <v/>
      </c>
      <c r="X1426" s="4" t="str">
        <f>IF(V1426="","",INDEX(Fornecedores!$X$1:$X$6631,V1426))</f>
        <v/>
      </c>
      <c r="Y1426" s="4" t="str">
        <f t="shared" si="4"/>
        <v/>
      </c>
    </row>
    <row r="1427" spans="19:25">
      <c r="S1427" t="str">
        <f t="shared" si="0"/>
        <v/>
      </c>
      <c r="T1427" t="str">
        <f t="shared" si="1"/>
        <v/>
      </c>
      <c r="U1427" t="str">
        <f t="shared" si="2"/>
        <v/>
      </c>
      <c r="V1427" t="str">
        <f>IF(OR(U1427="",U1427="ERRO_CHAVE"),"",IFERROR(MATCH(U1427,Fornecedores!$AF$1:$AF$6631,0),""))</f>
        <v/>
      </c>
      <c r="W1427" t="str">
        <f t="shared" si="3"/>
        <v/>
      </c>
      <c r="X1427" s="4" t="str">
        <f>IF(V1427="","",INDEX(Fornecedores!$X$1:$X$6631,V1427))</f>
        <v/>
      </c>
      <c r="Y1427" s="4" t="str">
        <f t="shared" si="4"/>
        <v/>
      </c>
    </row>
    <row r="1428" spans="19:25">
      <c r="S1428" t="str">
        <f t="shared" si="0"/>
        <v/>
      </c>
      <c r="T1428" t="str">
        <f t="shared" si="1"/>
        <v/>
      </c>
      <c r="U1428" t="str">
        <f t="shared" si="2"/>
        <v/>
      </c>
      <c r="V1428" t="str">
        <f>IF(OR(U1428="",U1428="ERRO_CHAVE"),"",IFERROR(MATCH(U1428,Fornecedores!$AF$1:$AF$6631,0),""))</f>
        <v/>
      </c>
      <c r="W1428" t="str">
        <f t="shared" si="3"/>
        <v/>
      </c>
      <c r="X1428" s="4" t="str">
        <f>IF(V1428="","",INDEX(Fornecedores!$X$1:$X$6631,V1428))</f>
        <v/>
      </c>
      <c r="Y1428" s="4" t="str">
        <f t="shared" si="4"/>
        <v/>
      </c>
    </row>
    <row r="1429" spans="19:25">
      <c r="S1429" t="str">
        <f t="shared" si="0"/>
        <v/>
      </c>
      <c r="T1429" t="str">
        <f t="shared" si="1"/>
        <v/>
      </c>
      <c r="U1429" t="str">
        <f t="shared" si="2"/>
        <v/>
      </c>
      <c r="V1429" t="str">
        <f>IF(OR(U1429="",U1429="ERRO_CHAVE"),"",IFERROR(MATCH(U1429,Fornecedores!$AF$1:$AF$6631,0),""))</f>
        <v/>
      </c>
      <c r="W1429" t="str">
        <f t="shared" si="3"/>
        <v/>
      </c>
      <c r="X1429" s="4" t="str">
        <f>IF(V1429="","",INDEX(Fornecedores!$X$1:$X$6631,V1429))</f>
        <v/>
      </c>
      <c r="Y1429" s="4" t="str">
        <f t="shared" si="4"/>
        <v/>
      </c>
    </row>
    <row r="1430" spans="19:25">
      <c r="S1430" t="str">
        <f t="shared" si="0"/>
        <v/>
      </c>
      <c r="T1430" t="str">
        <f t="shared" si="1"/>
        <v/>
      </c>
      <c r="U1430" t="str">
        <f t="shared" si="2"/>
        <v/>
      </c>
      <c r="V1430" t="str">
        <f>IF(OR(U1430="",U1430="ERRO_CHAVE"),"",IFERROR(MATCH(U1430,Fornecedores!$AF$1:$AF$6631,0),""))</f>
        <v/>
      </c>
      <c r="W1430" t="str">
        <f t="shared" si="3"/>
        <v/>
      </c>
      <c r="X1430" s="4" t="str">
        <f>IF(V1430="","",INDEX(Fornecedores!$X$1:$X$6631,V1430))</f>
        <v/>
      </c>
      <c r="Y1430" s="4" t="str">
        <f t="shared" si="4"/>
        <v/>
      </c>
    </row>
    <row r="1431" spans="19:25">
      <c r="S1431" t="str">
        <f t="shared" si="0"/>
        <v/>
      </c>
      <c r="T1431" t="str">
        <f t="shared" si="1"/>
        <v/>
      </c>
      <c r="U1431" t="str">
        <f t="shared" si="2"/>
        <v/>
      </c>
      <c r="V1431" t="str">
        <f>IF(OR(U1431="",U1431="ERRO_CHAVE"),"",IFERROR(MATCH(U1431,Fornecedores!$AF$1:$AF$6631,0),""))</f>
        <v/>
      </c>
      <c r="W1431" t="str">
        <f t="shared" si="3"/>
        <v/>
      </c>
      <c r="X1431" s="4" t="str">
        <f>IF(V1431="","",INDEX(Fornecedores!$X$1:$X$6631,V1431))</f>
        <v/>
      </c>
      <c r="Y1431" s="4" t="str">
        <f t="shared" si="4"/>
        <v/>
      </c>
    </row>
    <row r="1432" spans="19:25">
      <c r="S1432" t="str">
        <f t="shared" si="0"/>
        <v/>
      </c>
      <c r="T1432" t="str">
        <f t="shared" si="1"/>
        <v/>
      </c>
      <c r="U1432" t="str">
        <f t="shared" si="2"/>
        <v/>
      </c>
      <c r="V1432" t="str">
        <f>IF(OR(U1432="",U1432="ERRO_CHAVE"),"",IFERROR(MATCH(U1432,Fornecedores!$AF$1:$AF$6631,0),""))</f>
        <v/>
      </c>
      <c r="W1432" t="str">
        <f t="shared" si="3"/>
        <v/>
      </c>
      <c r="X1432" s="4" t="str">
        <f>IF(V1432="","",INDEX(Fornecedores!$X$1:$X$6631,V1432))</f>
        <v/>
      </c>
      <c r="Y1432" s="4" t="str">
        <f t="shared" si="4"/>
        <v/>
      </c>
    </row>
    <row r="1433" spans="19:25">
      <c r="S1433" t="str">
        <f t="shared" si="0"/>
        <v/>
      </c>
      <c r="T1433" t="str">
        <f t="shared" si="1"/>
        <v/>
      </c>
      <c r="U1433" t="str">
        <f t="shared" si="2"/>
        <v/>
      </c>
      <c r="V1433" t="str">
        <f>IF(OR(U1433="",U1433="ERRO_CHAVE"),"",IFERROR(MATCH(U1433,Fornecedores!$AF$1:$AF$6631,0),""))</f>
        <v/>
      </c>
      <c r="W1433" t="str">
        <f t="shared" si="3"/>
        <v/>
      </c>
      <c r="X1433" s="4" t="str">
        <f>IF(V1433="","",INDEX(Fornecedores!$X$1:$X$6631,V1433))</f>
        <v/>
      </c>
      <c r="Y1433" s="4" t="str">
        <f t="shared" si="4"/>
        <v/>
      </c>
    </row>
    <row r="1434" spans="19:25">
      <c r="S1434" t="str">
        <f t="shared" si="0"/>
        <v/>
      </c>
      <c r="T1434" t="str">
        <f t="shared" si="1"/>
        <v/>
      </c>
      <c r="U1434" t="str">
        <f t="shared" si="2"/>
        <v/>
      </c>
      <c r="V1434" t="str">
        <f>IF(OR(U1434="",U1434="ERRO_CHAVE"),"",IFERROR(MATCH(U1434,Fornecedores!$AF$1:$AF$6631,0),""))</f>
        <v/>
      </c>
      <c r="W1434" t="str">
        <f t="shared" si="3"/>
        <v/>
      </c>
      <c r="X1434" s="4" t="str">
        <f>IF(V1434="","",INDEX(Fornecedores!$X$1:$X$6631,V1434))</f>
        <v/>
      </c>
      <c r="Y1434" s="4" t="str">
        <f t="shared" si="4"/>
        <v/>
      </c>
    </row>
    <row r="1435" spans="19:25">
      <c r="S1435" t="str">
        <f t="shared" si="0"/>
        <v/>
      </c>
      <c r="T1435" t="str">
        <f t="shared" si="1"/>
        <v/>
      </c>
      <c r="U1435" t="str">
        <f t="shared" si="2"/>
        <v/>
      </c>
      <c r="V1435" t="str">
        <f>IF(OR(U1435="",U1435="ERRO_CHAVE"),"",IFERROR(MATCH(U1435,Fornecedores!$AF$1:$AF$6631,0),""))</f>
        <v/>
      </c>
      <c r="W1435" t="str">
        <f t="shared" si="3"/>
        <v/>
      </c>
      <c r="X1435" s="4" t="str">
        <f>IF(V1435="","",INDEX(Fornecedores!$X$1:$X$6631,V1435))</f>
        <v/>
      </c>
      <c r="Y1435" s="4" t="str">
        <f t="shared" si="4"/>
        <v/>
      </c>
    </row>
    <row r="1436" spans="19:25">
      <c r="S1436" t="str">
        <f t="shared" si="0"/>
        <v/>
      </c>
      <c r="T1436" t="str">
        <f t="shared" si="1"/>
        <v/>
      </c>
      <c r="U1436" t="str">
        <f t="shared" si="2"/>
        <v/>
      </c>
      <c r="V1436" t="str">
        <f>IF(OR(U1436="",U1436="ERRO_CHAVE"),"",IFERROR(MATCH(U1436,Fornecedores!$AF$1:$AF$6631,0),""))</f>
        <v/>
      </c>
      <c r="W1436" t="str">
        <f t="shared" si="3"/>
        <v/>
      </c>
      <c r="X1436" s="4" t="str">
        <f>IF(V1436="","",INDEX(Fornecedores!$X$1:$X$6631,V1436))</f>
        <v/>
      </c>
      <c r="Y1436" s="4" t="str">
        <f t="shared" si="4"/>
        <v/>
      </c>
    </row>
    <row r="1437" spans="19:25">
      <c r="S1437" t="str">
        <f t="shared" si="0"/>
        <v/>
      </c>
      <c r="T1437" t="str">
        <f t="shared" si="1"/>
        <v/>
      </c>
      <c r="U1437" t="str">
        <f t="shared" si="2"/>
        <v/>
      </c>
      <c r="V1437" t="str">
        <f>IF(OR(U1437="",U1437="ERRO_CHAVE"),"",IFERROR(MATCH(U1437,Fornecedores!$AF$1:$AF$6631,0),""))</f>
        <v/>
      </c>
      <c r="W1437" t="str">
        <f t="shared" si="3"/>
        <v/>
      </c>
      <c r="X1437" s="4" t="str">
        <f>IF(V1437="","",INDEX(Fornecedores!$X$1:$X$6631,V1437))</f>
        <v/>
      </c>
      <c r="Y1437" s="4" t="str">
        <f t="shared" si="4"/>
        <v/>
      </c>
    </row>
    <row r="1438" spans="19:25">
      <c r="S1438" t="str">
        <f t="shared" si="0"/>
        <v/>
      </c>
      <c r="T1438" t="str">
        <f t="shared" si="1"/>
        <v/>
      </c>
      <c r="U1438" t="str">
        <f t="shared" si="2"/>
        <v/>
      </c>
      <c r="V1438" t="str">
        <f>IF(OR(U1438="",U1438="ERRO_CHAVE"),"",IFERROR(MATCH(U1438,Fornecedores!$AF$1:$AF$6631,0),""))</f>
        <v/>
      </c>
      <c r="W1438" t="str">
        <f t="shared" si="3"/>
        <v/>
      </c>
      <c r="X1438" s="4" t="str">
        <f>IF(V1438="","",INDEX(Fornecedores!$X$1:$X$6631,V1438))</f>
        <v/>
      </c>
      <c r="Y1438" s="4" t="str">
        <f t="shared" si="4"/>
        <v/>
      </c>
    </row>
    <row r="1439" spans="19:25">
      <c r="S1439" t="str">
        <f t="shared" si="0"/>
        <v/>
      </c>
      <c r="T1439" t="str">
        <f t="shared" si="1"/>
        <v/>
      </c>
      <c r="U1439" t="str">
        <f t="shared" si="2"/>
        <v/>
      </c>
      <c r="V1439" t="str">
        <f>IF(OR(U1439="",U1439="ERRO_CHAVE"),"",IFERROR(MATCH(U1439,Fornecedores!$AF$1:$AF$6631,0),""))</f>
        <v/>
      </c>
      <c r="W1439" t="str">
        <f t="shared" si="3"/>
        <v/>
      </c>
      <c r="X1439" s="4" t="str">
        <f>IF(V1439="","",INDEX(Fornecedores!$X$1:$X$6631,V1439))</f>
        <v/>
      </c>
      <c r="Y1439" s="4" t="str">
        <f t="shared" si="4"/>
        <v/>
      </c>
    </row>
    <row r="1440" spans="19:25">
      <c r="S1440" t="str">
        <f t="shared" si="0"/>
        <v/>
      </c>
      <c r="T1440" t="str">
        <f t="shared" si="1"/>
        <v/>
      </c>
      <c r="U1440" t="str">
        <f t="shared" si="2"/>
        <v/>
      </c>
      <c r="V1440" t="str">
        <f>IF(OR(U1440="",U1440="ERRO_CHAVE"),"",IFERROR(MATCH(U1440,Fornecedores!$AF$1:$AF$6631,0),""))</f>
        <v/>
      </c>
      <c r="W1440" t="str">
        <f t="shared" si="3"/>
        <v/>
      </c>
      <c r="X1440" s="4" t="str">
        <f>IF(V1440="","",INDEX(Fornecedores!$X$1:$X$6631,V1440))</f>
        <v/>
      </c>
      <c r="Y1440" s="4" t="str">
        <f t="shared" si="4"/>
        <v/>
      </c>
    </row>
    <row r="1441" spans="19:25">
      <c r="S1441" t="str">
        <f t="shared" si="0"/>
        <v/>
      </c>
      <c r="T1441" t="str">
        <f t="shared" si="1"/>
        <v/>
      </c>
      <c r="U1441" t="str">
        <f t="shared" si="2"/>
        <v/>
      </c>
      <c r="V1441" t="str">
        <f>IF(OR(U1441="",U1441="ERRO_CHAVE"),"",IFERROR(MATCH(U1441,Fornecedores!$AF$1:$AF$6631,0),""))</f>
        <v/>
      </c>
      <c r="W1441" t="str">
        <f t="shared" si="3"/>
        <v/>
      </c>
      <c r="X1441" s="4" t="str">
        <f>IF(V1441="","",INDEX(Fornecedores!$X$1:$X$6631,V1441))</f>
        <v/>
      </c>
      <c r="Y1441" s="4" t="str">
        <f t="shared" si="4"/>
        <v/>
      </c>
    </row>
    <row r="1442" spans="19:25">
      <c r="S1442" t="str">
        <f t="shared" si="0"/>
        <v/>
      </c>
      <c r="T1442" t="str">
        <f t="shared" si="1"/>
        <v/>
      </c>
      <c r="U1442" t="str">
        <f t="shared" si="2"/>
        <v/>
      </c>
      <c r="V1442" t="str">
        <f>IF(OR(U1442="",U1442="ERRO_CHAVE"),"",IFERROR(MATCH(U1442,Fornecedores!$AF$1:$AF$6631,0),""))</f>
        <v/>
      </c>
      <c r="W1442" t="str">
        <f t="shared" si="3"/>
        <v/>
      </c>
      <c r="X1442" s="4" t="str">
        <f>IF(V1442="","",INDEX(Fornecedores!$X$1:$X$6631,V1442))</f>
        <v/>
      </c>
      <c r="Y1442" s="4" t="str">
        <f t="shared" si="4"/>
        <v/>
      </c>
    </row>
    <row r="1443" spans="19:25">
      <c r="S1443" t="str">
        <f t="shared" si="0"/>
        <v/>
      </c>
      <c r="T1443" t="str">
        <f t="shared" si="1"/>
        <v/>
      </c>
      <c r="U1443" t="str">
        <f t="shared" si="2"/>
        <v/>
      </c>
      <c r="V1443" t="str">
        <f>IF(OR(U1443="",U1443="ERRO_CHAVE"),"",IFERROR(MATCH(U1443,Fornecedores!$AF$1:$AF$6631,0),""))</f>
        <v/>
      </c>
      <c r="W1443" t="str">
        <f t="shared" si="3"/>
        <v/>
      </c>
      <c r="X1443" s="4" t="str">
        <f>IF(V1443="","",INDEX(Fornecedores!$X$1:$X$6631,V1443))</f>
        <v/>
      </c>
      <c r="Y1443" s="4" t="str">
        <f t="shared" si="4"/>
        <v/>
      </c>
    </row>
    <row r="1444" spans="19:25">
      <c r="S1444" t="str">
        <f t="shared" si="0"/>
        <v/>
      </c>
      <c r="T1444" t="str">
        <f t="shared" si="1"/>
        <v/>
      </c>
      <c r="U1444" t="str">
        <f t="shared" si="2"/>
        <v/>
      </c>
      <c r="V1444" t="str">
        <f>IF(OR(U1444="",U1444="ERRO_CHAVE"),"",IFERROR(MATCH(U1444,Fornecedores!$AF$1:$AF$6631,0),""))</f>
        <v/>
      </c>
      <c r="W1444" t="str">
        <f t="shared" si="3"/>
        <v/>
      </c>
      <c r="X1444" s="4" t="str">
        <f>IF(V1444="","",INDEX(Fornecedores!$X$1:$X$6631,V1444))</f>
        <v/>
      </c>
      <c r="Y1444" s="4" t="str">
        <f t="shared" si="4"/>
        <v/>
      </c>
    </row>
    <row r="1445" spans="19:25">
      <c r="S1445" t="str">
        <f t="shared" si="0"/>
        <v/>
      </c>
      <c r="T1445" t="str">
        <f t="shared" si="1"/>
        <v/>
      </c>
      <c r="U1445" t="str">
        <f t="shared" si="2"/>
        <v/>
      </c>
      <c r="V1445" t="str">
        <f>IF(OR(U1445="",U1445="ERRO_CHAVE"),"",IFERROR(MATCH(U1445,Fornecedores!$AF$1:$AF$6631,0),""))</f>
        <v/>
      </c>
      <c r="W1445" t="str">
        <f t="shared" si="3"/>
        <v/>
      </c>
      <c r="X1445" s="4" t="str">
        <f>IF(V1445="","",INDEX(Fornecedores!$X$1:$X$6631,V1445))</f>
        <v/>
      </c>
      <c r="Y1445" s="4" t="str">
        <f t="shared" si="4"/>
        <v/>
      </c>
    </row>
    <row r="1446" spans="19:25">
      <c r="S1446" t="str">
        <f t="shared" si="0"/>
        <v/>
      </c>
      <c r="T1446" t="str">
        <f t="shared" si="1"/>
        <v/>
      </c>
      <c r="U1446" t="str">
        <f t="shared" si="2"/>
        <v/>
      </c>
      <c r="V1446" t="str">
        <f>IF(OR(U1446="",U1446="ERRO_CHAVE"),"",IFERROR(MATCH(U1446,Fornecedores!$AF$1:$AF$6631,0),""))</f>
        <v/>
      </c>
      <c r="W1446" t="str">
        <f t="shared" si="3"/>
        <v/>
      </c>
      <c r="X1446" s="4" t="str">
        <f>IF(V1446="","",INDEX(Fornecedores!$X$1:$X$6631,V1446))</f>
        <v/>
      </c>
      <c r="Y1446" s="4" t="str">
        <f t="shared" si="4"/>
        <v/>
      </c>
    </row>
    <row r="1447" spans="19:25">
      <c r="S1447" t="str">
        <f t="shared" si="0"/>
        <v/>
      </c>
      <c r="T1447" t="str">
        <f t="shared" si="1"/>
        <v/>
      </c>
      <c r="U1447" t="str">
        <f t="shared" si="2"/>
        <v/>
      </c>
      <c r="V1447" t="str">
        <f>IF(OR(U1447="",U1447="ERRO_CHAVE"),"",IFERROR(MATCH(U1447,Fornecedores!$AF$1:$AF$6631,0),""))</f>
        <v/>
      </c>
      <c r="W1447" t="str">
        <f t="shared" si="3"/>
        <v/>
      </c>
      <c r="X1447" s="4" t="str">
        <f>IF(V1447="","",INDEX(Fornecedores!$X$1:$X$6631,V1447))</f>
        <v/>
      </c>
      <c r="Y1447" s="4" t="str">
        <f t="shared" si="4"/>
        <v/>
      </c>
    </row>
    <row r="1448" spans="19:25">
      <c r="S1448" t="str">
        <f t="shared" si="0"/>
        <v/>
      </c>
      <c r="T1448" t="str">
        <f t="shared" si="1"/>
        <v/>
      </c>
      <c r="U1448" t="str">
        <f t="shared" si="2"/>
        <v/>
      </c>
      <c r="V1448" t="str">
        <f>IF(OR(U1448="",U1448="ERRO_CHAVE"),"",IFERROR(MATCH(U1448,Fornecedores!$AF$1:$AF$6631,0),""))</f>
        <v/>
      </c>
      <c r="W1448" t="str">
        <f t="shared" si="3"/>
        <v/>
      </c>
      <c r="X1448" s="4" t="str">
        <f>IF(V1448="","",INDEX(Fornecedores!$X$1:$X$6631,V1448))</f>
        <v/>
      </c>
      <c r="Y1448" s="4" t="str">
        <f t="shared" si="4"/>
        <v/>
      </c>
    </row>
    <row r="1449" spans="19:25">
      <c r="S1449" t="str">
        <f t="shared" si="0"/>
        <v/>
      </c>
      <c r="T1449" t="str">
        <f t="shared" si="1"/>
        <v/>
      </c>
      <c r="U1449" t="str">
        <f t="shared" si="2"/>
        <v/>
      </c>
      <c r="V1449" t="str">
        <f>IF(OR(U1449="",U1449="ERRO_CHAVE"),"",IFERROR(MATCH(U1449,Fornecedores!$AF$1:$AF$6631,0),""))</f>
        <v/>
      </c>
      <c r="W1449" t="str">
        <f t="shared" si="3"/>
        <v/>
      </c>
      <c r="X1449" s="4" t="str">
        <f>IF(V1449="","",INDEX(Fornecedores!$X$1:$X$6631,V1449))</f>
        <v/>
      </c>
      <c r="Y1449" s="4" t="str">
        <f t="shared" si="4"/>
        <v/>
      </c>
    </row>
    <row r="1450" spans="19:25">
      <c r="S1450" t="str">
        <f t="shared" si="0"/>
        <v/>
      </c>
      <c r="T1450" t="str">
        <f t="shared" si="1"/>
        <v/>
      </c>
      <c r="U1450" t="str">
        <f t="shared" si="2"/>
        <v/>
      </c>
      <c r="V1450" t="str">
        <f>IF(OR(U1450="",U1450="ERRO_CHAVE"),"",IFERROR(MATCH(U1450,Fornecedores!$AF$1:$AF$6631,0),""))</f>
        <v/>
      </c>
      <c r="W1450" t="str">
        <f t="shared" si="3"/>
        <v/>
      </c>
      <c r="X1450" s="4" t="str">
        <f>IF(V1450="","",INDEX(Fornecedores!$X$1:$X$6631,V1450))</f>
        <v/>
      </c>
      <c r="Y1450" s="4" t="str">
        <f t="shared" si="4"/>
        <v/>
      </c>
    </row>
    <row r="1451" spans="19:25">
      <c r="S1451" t="str">
        <f t="shared" si="0"/>
        <v/>
      </c>
      <c r="T1451" t="str">
        <f t="shared" si="1"/>
        <v/>
      </c>
      <c r="U1451" t="str">
        <f t="shared" si="2"/>
        <v/>
      </c>
      <c r="V1451" t="str">
        <f>IF(OR(U1451="",U1451="ERRO_CHAVE"),"",IFERROR(MATCH(U1451,Fornecedores!$AF$1:$AF$6631,0),""))</f>
        <v/>
      </c>
      <c r="W1451" t="str">
        <f t="shared" si="3"/>
        <v/>
      </c>
      <c r="X1451" s="4" t="str">
        <f>IF(V1451="","",INDEX(Fornecedores!$X$1:$X$6631,V1451))</f>
        <v/>
      </c>
      <c r="Y1451" s="4" t="str">
        <f t="shared" si="4"/>
        <v/>
      </c>
    </row>
    <row r="1452" spans="19:25">
      <c r="S1452" t="str">
        <f t="shared" si="0"/>
        <v/>
      </c>
      <c r="T1452" t="str">
        <f t="shared" si="1"/>
        <v/>
      </c>
      <c r="U1452" t="str">
        <f t="shared" si="2"/>
        <v/>
      </c>
      <c r="V1452" t="str">
        <f>IF(OR(U1452="",U1452="ERRO_CHAVE"),"",IFERROR(MATCH(U1452,Fornecedores!$AF$1:$AF$6631,0),""))</f>
        <v/>
      </c>
      <c r="W1452" t="str">
        <f t="shared" si="3"/>
        <v/>
      </c>
      <c r="X1452" s="4" t="str">
        <f>IF(V1452="","",INDEX(Fornecedores!$X$1:$X$6631,V1452))</f>
        <v/>
      </c>
      <c r="Y1452" s="4" t="str">
        <f t="shared" si="4"/>
        <v/>
      </c>
    </row>
    <row r="1453" spans="19:25">
      <c r="S1453" t="str">
        <f t="shared" si="0"/>
        <v/>
      </c>
      <c r="T1453" t="str">
        <f t="shared" si="1"/>
        <v/>
      </c>
      <c r="U1453" t="str">
        <f t="shared" si="2"/>
        <v/>
      </c>
      <c r="V1453" t="str">
        <f>IF(OR(U1453="",U1453="ERRO_CHAVE"),"",IFERROR(MATCH(U1453,Fornecedores!$AF$1:$AF$6631,0),""))</f>
        <v/>
      </c>
      <c r="W1453" t="str">
        <f t="shared" si="3"/>
        <v/>
      </c>
      <c r="X1453" s="4" t="str">
        <f>IF(V1453="","",INDEX(Fornecedores!$X$1:$X$6631,V1453))</f>
        <v/>
      </c>
      <c r="Y1453" s="4" t="str">
        <f t="shared" si="4"/>
        <v/>
      </c>
    </row>
    <row r="1454" spans="19:25">
      <c r="S1454" t="str">
        <f t="shared" si="0"/>
        <v/>
      </c>
      <c r="T1454" t="str">
        <f t="shared" si="1"/>
        <v/>
      </c>
      <c r="U1454" t="str">
        <f t="shared" si="2"/>
        <v/>
      </c>
      <c r="V1454" t="str">
        <f>IF(OR(U1454="",U1454="ERRO_CHAVE"),"",IFERROR(MATCH(U1454,Fornecedores!$AF$1:$AF$6631,0),""))</f>
        <v/>
      </c>
      <c r="W1454" t="str">
        <f t="shared" si="3"/>
        <v/>
      </c>
      <c r="X1454" s="4" t="str">
        <f>IF(V1454="","",INDEX(Fornecedores!$X$1:$X$6631,V1454))</f>
        <v/>
      </c>
      <c r="Y1454" s="4" t="str">
        <f t="shared" si="4"/>
        <v/>
      </c>
    </row>
    <row r="1455" spans="19:25">
      <c r="S1455" t="str">
        <f t="shared" si="0"/>
        <v/>
      </c>
      <c r="T1455" t="str">
        <f t="shared" si="1"/>
        <v/>
      </c>
      <c r="U1455" t="str">
        <f t="shared" si="2"/>
        <v/>
      </c>
      <c r="V1455" t="str">
        <f>IF(OR(U1455="",U1455="ERRO_CHAVE"),"",IFERROR(MATCH(U1455,Fornecedores!$AF$1:$AF$6631,0),""))</f>
        <v/>
      </c>
      <c r="W1455" t="str">
        <f t="shared" si="3"/>
        <v/>
      </c>
      <c r="X1455" s="4" t="str">
        <f>IF(V1455="","",INDEX(Fornecedores!$X$1:$X$6631,V1455))</f>
        <v/>
      </c>
      <c r="Y1455" s="4" t="str">
        <f t="shared" si="4"/>
        <v/>
      </c>
    </row>
    <row r="1456" spans="19:25">
      <c r="S1456" t="str">
        <f t="shared" si="0"/>
        <v/>
      </c>
      <c r="T1456" t="str">
        <f t="shared" si="1"/>
        <v/>
      </c>
      <c r="U1456" t="str">
        <f t="shared" si="2"/>
        <v/>
      </c>
      <c r="V1456" t="str">
        <f>IF(OR(U1456="",U1456="ERRO_CHAVE"),"",IFERROR(MATCH(U1456,Fornecedores!$AF$1:$AF$6631,0),""))</f>
        <v/>
      </c>
      <c r="W1456" t="str">
        <f t="shared" si="3"/>
        <v/>
      </c>
      <c r="X1456" s="4" t="str">
        <f>IF(V1456="","",INDEX(Fornecedores!$X$1:$X$6631,V1456))</f>
        <v/>
      </c>
      <c r="Y1456" s="4" t="str">
        <f t="shared" si="4"/>
        <v/>
      </c>
    </row>
    <row r="1457" spans="19:25">
      <c r="S1457" t="str">
        <f t="shared" si="0"/>
        <v/>
      </c>
      <c r="T1457" t="str">
        <f t="shared" si="1"/>
        <v/>
      </c>
      <c r="U1457" t="str">
        <f t="shared" si="2"/>
        <v/>
      </c>
      <c r="V1457" t="str">
        <f>IF(OR(U1457="",U1457="ERRO_CHAVE"),"",IFERROR(MATCH(U1457,Fornecedores!$AF$1:$AF$6631,0),""))</f>
        <v/>
      </c>
      <c r="W1457" t="str">
        <f t="shared" si="3"/>
        <v/>
      </c>
      <c r="X1457" s="4" t="str">
        <f>IF(V1457="","",INDEX(Fornecedores!$X$1:$X$6631,V1457))</f>
        <v/>
      </c>
      <c r="Y1457" s="4" t="str">
        <f t="shared" si="4"/>
        <v/>
      </c>
    </row>
    <row r="1458" spans="19:25">
      <c r="S1458" t="str">
        <f t="shared" si="0"/>
        <v/>
      </c>
      <c r="T1458" t="str">
        <f t="shared" si="1"/>
        <v/>
      </c>
      <c r="U1458" t="str">
        <f t="shared" si="2"/>
        <v/>
      </c>
      <c r="V1458" t="str">
        <f>IF(OR(U1458="",U1458="ERRO_CHAVE"),"",IFERROR(MATCH(U1458,Fornecedores!$AF$1:$AF$6631,0),""))</f>
        <v/>
      </c>
      <c r="W1458" t="str">
        <f t="shared" si="3"/>
        <v/>
      </c>
      <c r="X1458" s="4" t="str">
        <f>IF(V1458="","",INDEX(Fornecedores!$X$1:$X$6631,V1458))</f>
        <v/>
      </c>
      <c r="Y1458" s="4" t="str">
        <f t="shared" si="4"/>
        <v/>
      </c>
    </row>
    <row r="1459" spans="19:25">
      <c r="S1459" t="str">
        <f t="shared" si="0"/>
        <v/>
      </c>
      <c r="T1459" t="str">
        <f t="shared" si="1"/>
        <v/>
      </c>
      <c r="U1459" t="str">
        <f t="shared" si="2"/>
        <v/>
      </c>
      <c r="V1459" t="str">
        <f>IF(OR(U1459="",U1459="ERRO_CHAVE"),"",IFERROR(MATCH(U1459,Fornecedores!$AF$1:$AF$6631,0),""))</f>
        <v/>
      </c>
      <c r="W1459" t="str">
        <f t="shared" si="3"/>
        <v/>
      </c>
      <c r="X1459" s="4" t="str">
        <f>IF(V1459="","",INDEX(Fornecedores!$X$1:$X$6631,V1459))</f>
        <v/>
      </c>
      <c r="Y1459" s="4" t="str">
        <f t="shared" si="4"/>
        <v/>
      </c>
    </row>
    <row r="1460" spans="19:25">
      <c r="S1460" t="str">
        <f t="shared" si="0"/>
        <v/>
      </c>
      <c r="T1460" t="str">
        <f t="shared" si="1"/>
        <v/>
      </c>
      <c r="U1460" t="str">
        <f t="shared" si="2"/>
        <v/>
      </c>
      <c r="V1460" t="str">
        <f>IF(OR(U1460="",U1460="ERRO_CHAVE"),"",IFERROR(MATCH(U1460,Fornecedores!$AF$1:$AF$6631,0),""))</f>
        <v/>
      </c>
      <c r="W1460" t="str">
        <f t="shared" si="3"/>
        <v/>
      </c>
      <c r="X1460" s="4" t="str">
        <f>IF(V1460="","",INDEX(Fornecedores!$X$1:$X$6631,V1460))</f>
        <v/>
      </c>
      <c r="Y1460" s="4" t="str">
        <f t="shared" si="4"/>
        <v/>
      </c>
    </row>
    <row r="1461" spans="19:25">
      <c r="S1461" t="str">
        <f t="shared" si="0"/>
        <v/>
      </c>
      <c r="T1461" t="str">
        <f t="shared" si="1"/>
        <v/>
      </c>
      <c r="U1461" t="str">
        <f t="shared" si="2"/>
        <v/>
      </c>
      <c r="V1461" t="str">
        <f>IF(OR(U1461="",U1461="ERRO_CHAVE"),"",IFERROR(MATCH(U1461,Fornecedores!$AF$1:$AF$6631,0),""))</f>
        <v/>
      </c>
      <c r="W1461" t="str">
        <f t="shared" si="3"/>
        <v/>
      </c>
      <c r="X1461" s="4" t="str">
        <f>IF(V1461="","",INDEX(Fornecedores!$X$1:$X$6631,V1461))</f>
        <v/>
      </c>
      <c r="Y1461" s="4" t="str">
        <f t="shared" si="4"/>
        <v/>
      </c>
    </row>
    <row r="1462" spans="19:25">
      <c r="S1462" t="str">
        <f t="shared" si="0"/>
        <v/>
      </c>
      <c r="T1462" t="str">
        <f t="shared" si="1"/>
        <v/>
      </c>
      <c r="U1462" t="str">
        <f t="shared" si="2"/>
        <v/>
      </c>
      <c r="V1462" t="str">
        <f>IF(OR(U1462="",U1462="ERRO_CHAVE"),"",IFERROR(MATCH(U1462,Fornecedores!$AF$1:$AF$6631,0),""))</f>
        <v/>
      </c>
      <c r="W1462" t="str">
        <f t="shared" si="3"/>
        <v/>
      </c>
      <c r="X1462" s="4" t="str">
        <f>IF(V1462="","",INDEX(Fornecedores!$X$1:$X$6631,V1462))</f>
        <v/>
      </c>
      <c r="Y1462" s="4" t="str">
        <f t="shared" si="4"/>
        <v/>
      </c>
    </row>
    <row r="1463" spans="19:25">
      <c r="S1463" t="str">
        <f t="shared" si="0"/>
        <v/>
      </c>
      <c r="T1463" t="str">
        <f t="shared" si="1"/>
        <v/>
      </c>
      <c r="U1463" t="str">
        <f t="shared" si="2"/>
        <v/>
      </c>
      <c r="V1463" t="str">
        <f>IF(OR(U1463="",U1463="ERRO_CHAVE"),"",IFERROR(MATCH(U1463,Fornecedores!$AF$1:$AF$6631,0),""))</f>
        <v/>
      </c>
      <c r="W1463" t="str">
        <f t="shared" si="3"/>
        <v/>
      </c>
      <c r="X1463" s="4" t="str">
        <f>IF(V1463="","",INDEX(Fornecedores!$X$1:$X$6631,V1463))</f>
        <v/>
      </c>
      <c r="Y1463" s="4" t="str">
        <f t="shared" si="4"/>
        <v/>
      </c>
    </row>
    <row r="1464" spans="19:25">
      <c r="S1464" t="str">
        <f t="shared" si="0"/>
        <v/>
      </c>
      <c r="T1464" t="str">
        <f t="shared" si="1"/>
        <v/>
      </c>
      <c r="U1464" t="str">
        <f t="shared" si="2"/>
        <v/>
      </c>
      <c r="V1464" t="str">
        <f>IF(OR(U1464="",U1464="ERRO_CHAVE"),"",IFERROR(MATCH(U1464,Fornecedores!$AF$1:$AF$6631,0),""))</f>
        <v/>
      </c>
      <c r="W1464" t="str">
        <f t="shared" si="3"/>
        <v/>
      </c>
      <c r="X1464" s="4" t="str">
        <f>IF(V1464="","",INDEX(Fornecedores!$X$1:$X$6631,V1464))</f>
        <v/>
      </c>
      <c r="Y1464" s="4" t="str">
        <f t="shared" si="4"/>
        <v/>
      </c>
    </row>
    <row r="1465" spans="19:25">
      <c r="S1465" t="str">
        <f t="shared" si="0"/>
        <v/>
      </c>
      <c r="T1465" t="str">
        <f t="shared" si="1"/>
        <v/>
      </c>
      <c r="U1465" t="str">
        <f t="shared" si="2"/>
        <v/>
      </c>
      <c r="V1465" t="str">
        <f>IF(OR(U1465="",U1465="ERRO_CHAVE"),"",IFERROR(MATCH(U1465,Fornecedores!$AF$1:$AF$6631,0),""))</f>
        <v/>
      </c>
      <c r="W1465" t="str">
        <f t="shared" si="3"/>
        <v/>
      </c>
      <c r="X1465" s="4" t="str">
        <f>IF(V1465="","",INDEX(Fornecedores!$X$1:$X$6631,V1465))</f>
        <v/>
      </c>
      <c r="Y1465" s="4" t="str">
        <f t="shared" si="4"/>
        <v/>
      </c>
    </row>
    <row r="1466" spans="19:25">
      <c r="S1466" t="str">
        <f t="shared" si="0"/>
        <v/>
      </c>
      <c r="T1466" t="str">
        <f t="shared" si="1"/>
        <v/>
      </c>
      <c r="U1466" t="str">
        <f t="shared" si="2"/>
        <v/>
      </c>
      <c r="V1466" t="str">
        <f>IF(OR(U1466="",U1466="ERRO_CHAVE"),"",IFERROR(MATCH(U1466,Fornecedores!$AF$1:$AF$6631,0),""))</f>
        <v/>
      </c>
      <c r="W1466" t="str">
        <f t="shared" si="3"/>
        <v/>
      </c>
      <c r="X1466" s="4" t="str">
        <f>IF(V1466="","",INDEX(Fornecedores!$X$1:$X$6631,V1466))</f>
        <v/>
      </c>
      <c r="Y1466" s="4" t="str">
        <f t="shared" si="4"/>
        <v/>
      </c>
    </row>
    <row r="1467" spans="19:25">
      <c r="S1467" t="str">
        <f t="shared" si="0"/>
        <v/>
      </c>
      <c r="T1467" t="str">
        <f t="shared" si="1"/>
        <v/>
      </c>
      <c r="U1467" t="str">
        <f t="shared" si="2"/>
        <v/>
      </c>
      <c r="V1467" t="str">
        <f>IF(OR(U1467="",U1467="ERRO_CHAVE"),"",IFERROR(MATCH(U1467,Fornecedores!$AF$1:$AF$6631,0),""))</f>
        <v/>
      </c>
      <c r="W1467" t="str">
        <f t="shared" si="3"/>
        <v/>
      </c>
      <c r="X1467" s="4" t="str">
        <f>IF(V1467="","",INDEX(Fornecedores!$X$1:$X$6631,V1467))</f>
        <v/>
      </c>
      <c r="Y1467" s="4" t="str">
        <f t="shared" si="4"/>
        <v/>
      </c>
    </row>
    <row r="1468" spans="19:25">
      <c r="S1468" t="str">
        <f t="shared" si="0"/>
        <v/>
      </c>
      <c r="T1468" t="str">
        <f t="shared" si="1"/>
        <v/>
      </c>
      <c r="U1468" t="str">
        <f t="shared" si="2"/>
        <v/>
      </c>
      <c r="V1468" t="str">
        <f>IF(OR(U1468="",U1468="ERRO_CHAVE"),"",IFERROR(MATCH(U1468,Fornecedores!$AF$1:$AF$6631,0),""))</f>
        <v/>
      </c>
      <c r="W1468" t="str">
        <f t="shared" si="3"/>
        <v/>
      </c>
      <c r="X1468" s="4" t="str">
        <f>IF(V1468="","",INDEX(Fornecedores!$X$1:$X$6631,V1468))</f>
        <v/>
      </c>
      <c r="Y1468" s="4" t="str">
        <f t="shared" si="4"/>
        <v/>
      </c>
    </row>
    <row r="1469" spans="19:25">
      <c r="S1469" t="str">
        <f t="shared" si="0"/>
        <v/>
      </c>
      <c r="T1469" t="str">
        <f t="shared" si="1"/>
        <v/>
      </c>
      <c r="U1469" t="str">
        <f t="shared" si="2"/>
        <v/>
      </c>
      <c r="V1469" t="str">
        <f>IF(OR(U1469="",U1469="ERRO_CHAVE"),"",IFERROR(MATCH(U1469,Fornecedores!$AF$1:$AF$6631,0),""))</f>
        <v/>
      </c>
      <c r="W1469" t="str">
        <f t="shared" si="3"/>
        <v/>
      </c>
      <c r="X1469" s="4" t="str">
        <f>IF(V1469="","",INDEX(Fornecedores!$X$1:$X$6631,V1469))</f>
        <v/>
      </c>
      <c r="Y1469" s="4" t="str">
        <f t="shared" si="4"/>
        <v/>
      </c>
    </row>
    <row r="1470" spans="19:25">
      <c r="S1470" t="str">
        <f t="shared" si="0"/>
        <v/>
      </c>
      <c r="T1470" t="str">
        <f t="shared" si="1"/>
        <v/>
      </c>
      <c r="U1470" t="str">
        <f t="shared" si="2"/>
        <v/>
      </c>
      <c r="V1470" t="str">
        <f>IF(OR(U1470="",U1470="ERRO_CHAVE"),"",IFERROR(MATCH(U1470,Fornecedores!$AF$1:$AF$6631,0),""))</f>
        <v/>
      </c>
      <c r="W1470" t="str">
        <f t="shared" si="3"/>
        <v/>
      </c>
      <c r="X1470" s="4" t="str">
        <f>IF(V1470="","",INDEX(Fornecedores!$X$1:$X$6631,V1470))</f>
        <v/>
      </c>
      <c r="Y1470" s="4" t="str">
        <f t="shared" si="4"/>
        <v/>
      </c>
    </row>
    <row r="1471" spans="19:25">
      <c r="S1471" t="str">
        <f t="shared" si="0"/>
        <v/>
      </c>
      <c r="T1471" t="str">
        <f t="shared" si="1"/>
        <v/>
      </c>
      <c r="U1471" t="str">
        <f t="shared" si="2"/>
        <v/>
      </c>
      <c r="V1471" t="str">
        <f>IF(OR(U1471="",U1471="ERRO_CHAVE"),"",IFERROR(MATCH(U1471,Fornecedores!$AF$1:$AF$6631,0),""))</f>
        <v/>
      </c>
      <c r="W1471" t="str">
        <f t="shared" si="3"/>
        <v/>
      </c>
      <c r="X1471" s="4" t="str">
        <f>IF(V1471="","",INDEX(Fornecedores!$X$1:$X$6631,V1471))</f>
        <v/>
      </c>
      <c r="Y1471" s="4" t="str">
        <f t="shared" si="4"/>
        <v/>
      </c>
    </row>
    <row r="1472" spans="19:25">
      <c r="S1472" t="str">
        <f t="shared" si="0"/>
        <v/>
      </c>
      <c r="T1472" t="str">
        <f t="shared" si="1"/>
        <v/>
      </c>
      <c r="U1472" t="str">
        <f t="shared" si="2"/>
        <v/>
      </c>
      <c r="V1472" t="str">
        <f>IF(OR(U1472="",U1472="ERRO_CHAVE"),"",IFERROR(MATCH(U1472,Fornecedores!$AF$1:$AF$6631,0),""))</f>
        <v/>
      </c>
      <c r="W1472" t="str">
        <f t="shared" si="3"/>
        <v/>
      </c>
      <c r="X1472" s="4" t="str">
        <f>IF(V1472="","",INDEX(Fornecedores!$X$1:$X$6631,V1472))</f>
        <v/>
      </c>
      <c r="Y1472" s="4" t="str">
        <f t="shared" si="4"/>
        <v/>
      </c>
    </row>
    <row r="1473" spans="19:25">
      <c r="S1473" t="str">
        <f t="shared" si="0"/>
        <v/>
      </c>
      <c r="T1473" t="str">
        <f t="shared" si="1"/>
        <v/>
      </c>
      <c r="U1473" t="str">
        <f t="shared" si="2"/>
        <v/>
      </c>
      <c r="V1473" t="str">
        <f>IF(OR(U1473="",U1473="ERRO_CHAVE"),"",IFERROR(MATCH(U1473,Fornecedores!$AF$1:$AF$6631,0),""))</f>
        <v/>
      </c>
      <c r="W1473" t="str">
        <f t="shared" si="3"/>
        <v/>
      </c>
      <c r="X1473" s="4" t="str">
        <f>IF(V1473="","",INDEX(Fornecedores!$X$1:$X$6631,V1473))</f>
        <v/>
      </c>
      <c r="Y1473" s="4" t="str">
        <f t="shared" si="4"/>
        <v/>
      </c>
    </row>
    <row r="1474" spans="19:25">
      <c r="S1474" t="str">
        <f t="shared" si="0"/>
        <v/>
      </c>
      <c r="T1474" t="str">
        <f t="shared" si="1"/>
        <v/>
      </c>
      <c r="U1474" t="str">
        <f t="shared" si="2"/>
        <v/>
      </c>
      <c r="V1474" t="str">
        <f>IF(OR(U1474="",U1474="ERRO_CHAVE"),"",IFERROR(MATCH(U1474,Fornecedores!$AF$1:$AF$6631,0),""))</f>
        <v/>
      </c>
      <c r="W1474" t="str">
        <f t="shared" si="3"/>
        <v/>
      </c>
      <c r="X1474" s="4" t="str">
        <f>IF(V1474="","",INDEX(Fornecedores!$X$1:$X$6631,V1474))</f>
        <v/>
      </c>
      <c r="Y1474" s="4" t="str">
        <f t="shared" si="4"/>
        <v/>
      </c>
    </row>
    <row r="1475" spans="19:25">
      <c r="S1475" t="str">
        <f t="shared" si="0"/>
        <v/>
      </c>
      <c r="T1475" t="str">
        <f t="shared" si="1"/>
        <v/>
      </c>
      <c r="U1475" t="str">
        <f t="shared" si="2"/>
        <v/>
      </c>
      <c r="V1475" t="str">
        <f>IF(OR(U1475="",U1475="ERRO_CHAVE"),"",IFERROR(MATCH(U1475,Fornecedores!$AF$1:$AF$6631,0),""))</f>
        <v/>
      </c>
      <c r="W1475" t="str">
        <f t="shared" si="3"/>
        <v/>
      </c>
      <c r="X1475" s="4" t="str">
        <f>IF(V1475="","",INDEX(Fornecedores!$X$1:$X$6631,V1475))</f>
        <v/>
      </c>
      <c r="Y1475" s="4" t="str">
        <f t="shared" si="4"/>
        <v/>
      </c>
    </row>
    <row r="1476" spans="19:25">
      <c r="S1476" t="str">
        <f t="shared" si="0"/>
        <v/>
      </c>
      <c r="T1476" t="str">
        <f t="shared" si="1"/>
        <v/>
      </c>
      <c r="U1476" t="str">
        <f t="shared" si="2"/>
        <v/>
      </c>
      <c r="V1476" t="str">
        <f>IF(OR(U1476="",U1476="ERRO_CHAVE"),"",IFERROR(MATCH(U1476,Fornecedores!$AF$1:$AF$6631,0),""))</f>
        <v/>
      </c>
      <c r="W1476" t="str">
        <f t="shared" si="3"/>
        <v/>
      </c>
      <c r="X1476" s="4" t="str">
        <f>IF(V1476="","",INDEX(Fornecedores!$X$1:$X$6631,V1476))</f>
        <v/>
      </c>
      <c r="Y1476" s="4" t="str">
        <f t="shared" si="4"/>
        <v/>
      </c>
    </row>
    <row r="1477" spans="19:25">
      <c r="S1477" t="str">
        <f t="shared" si="0"/>
        <v/>
      </c>
      <c r="T1477" t="str">
        <f t="shared" si="1"/>
        <v/>
      </c>
      <c r="U1477" t="str">
        <f t="shared" si="2"/>
        <v/>
      </c>
      <c r="V1477" t="str">
        <f>IF(OR(U1477="",U1477="ERRO_CHAVE"),"",IFERROR(MATCH(U1477,Fornecedores!$AF$1:$AF$6631,0),""))</f>
        <v/>
      </c>
      <c r="W1477" t="str">
        <f t="shared" si="3"/>
        <v/>
      </c>
      <c r="X1477" s="4" t="str">
        <f>IF(V1477="","",INDEX(Fornecedores!$X$1:$X$6631,V1477))</f>
        <v/>
      </c>
      <c r="Y1477" s="4" t="str">
        <f t="shared" si="4"/>
        <v/>
      </c>
    </row>
    <row r="1478" spans="19:25">
      <c r="S1478" t="str">
        <f t="shared" si="0"/>
        <v/>
      </c>
      <c r="T1478" t="str">
        <f t="shared" si="1"/>
        <v/>
      </c>
      <c r="U1478" t="str">
        <f t="shared" si="2"/>
        <v/>
      </c>
      <c r="V1478" t="str">
        <f>IF(OR(U1478="",U1478="ERRO_CHAVE"),"",IFERROR(MATCH(U1478,Fornecedores!$AF$1:$AF$6631,0),""))</f>
        <v/>
      </c>
      <c r="W1478" t="str">
        <f t="shared" si="3"/>
        <v/>
      </c>
      <c r="X1478" s="4" t="str">
        <f>IF(V1478="","",INDEX(Fornecedores!$X$1:$X$6631,V1478))</f>
        <v/>
      </c>
      <c r="Y1478" s="4" t="str">
        <f t="shared" si="4"/>
        <v/>
      </c>
    </row>
    <row r="1479" spans="19:25">
      <c r="S1479" t="str">
        <f t="shared" si="0"/>
        <v/>
      </c>
      <c r="T1479" t="str">
        <f t="shared" si="1"/>
        <v/>
      </c>
      <c r="U1479" t="str">
        <f t="shared" si="2"/>
        <v/>
      </c>
      <c r="V1479" t="str">
        <f>IF(OR(U1479="",U1479="ERRO_CHAVE"),"",IFERROR(MATCH(U1479,Fornecedores!$AF$1:$AF$6631,0),""))</f>
        <v/>
      </c>
      <c r="W1479" t="str">
        <f t="shared" si="3"/>
        <v/>
      </c>
      <c r="X1479" s="4" t="str">
        <f>IF(V1479="","",INDEX(Fornecedores!$X$1:$X$6631,V1479))</f>
        <v/>
      </c>
      <c r="Y1479" s="4" t="str">
        <f t="shared" si="4"/>
        <v/>
      </c>
    </row>
    <row r="1480" spans="19:25">
      <c r="S1480" t="str">
        <f t="shared" si="0"/>
        <v/>
      </c>
      <c r="T1480" t="str">
        <f t="shared" si="1"/>
        <v/>
      </c>
      <c r="U1480" t="str">
        <f t="shared" si="2"/>
        <v/>
      </c>
      <c r="V1480" t="str">
        <f>IF(OR(U1480="",U1480="ERRO_CHAVE"),"",IFERROR(MATCH(U1480,Fornecedores!$AF$1:$AF$6631,0),""))</f>
        <v/>
      </c>
      <c r="W1480" t="str">
        <f t="shared" si="3"/>
        <v/>
      </c>
      <c r="X1480" s="4" t="str">
        <f>IF(V1480="","",INDEX(Fornecedores!$X$1:$X$6631,V1480))</f>
        <v/>
      </c>
      <c r="Y1480" s="4" t="str">
        <f t="shared" si="4"/>
        <v/>
      </c>
    </row>
    <row r="1481" spans="19:25">
      <c r="S1481" t="str">
        <f t="shared" si="0"/>
        <v/>
      </c>
      <c r="T1481" t="str">
        <f t="shared" si="1"/>
        <v/>
      </c>
      <c r="U1481" t="str">
        <f t="shared" si="2"/>
        <v/>
      </c>
      <c r="V1481" t="str">
        <f>IF(OR(U1481="",U1481="ERRO_CHAVE"),"",IFERROR(MATCH(U1481,Fornecedores!$AF$1:$AF$6631,0),""))</f>
        <v/>
      </c>
      <c r="W1481" t="str">
        <f t="shared" si="3"/>
        <v/>
      </c>
      <c r="X1481" s="4" t="str">
        <f>IF(V1481="","",INDEX(Fornecedores!$X$1:$X$6631,V1481))</f>
        <v/>
      </c>
      <c r="Y1481" s="4" t="str">
        <f t="shared" si="4"/>
        <v/>
      </c>
    </row>
    <row r="1482" spans="19:25">
      <c r="S1482" t="str">
        <f t="shared" si="0"/>
        <v/>
      </c>
      <c r="T1482" t="str">
        <f t="shared" si="1"/>
        <v/>
      </c>
      <c r="U1482" t="str">
        <f t="shared" si="2"/>
        <v/>
      </c>
      <c r="V1482" t="str">
        <f>IF(OR(U1482="",U1482="ERRO_CHAVE"),"",IFERROR(MATCH(U1482,Fornecedores!$AF$1:$AF$6631,0),""))</f>
        <v/>
      </c>
      <c r="W1482" t="str">
        <f t="shared" si="3"/>
        <v/>
      </c>
      <c r="X1482" s="4" t="str">
        <f>IF(V1482="","",INDEX(Fornecedores!$X$1:$X$6631,V1482))</f>
        <v/>
      </c>
      <c r="Y1482" s="4" t="str">
        <f t="shared" si="4"/>
        <v/>
      </c>
    </row>
    <row r="1483" spans="19:25">
      <c r="S1483" t="str">
        <f t="shared" si="0"/>
        <v/>
      </c>
      <c r="T1483" t="str">
        <f t="shared" si="1"/>
        <v/>
      </c>
      <c r="U1483" t="str">
        <f t="shared" si="2"/>
        <v/>
      </c>
      <c r="V1483" t="str">
        <f>IF(OR(U1483="",U1483="ERRO_CHAVE"),"",IFERROR(MATCH(U1483,Fornecedores!$AF$1:$AF$6631,0),""))</f>
        <v/>
      </c>
      <c r="W1483" t="str">
        <f t="shared" si="3"/>
        <v/>
      </c>
      <c r="X1483" s="4" t="str">
        <f>IF(V1483="","",INDEX(Fornecedores!$X$1:$X$6631,V1483))</f>
        <v/>
      </c>
      <c r="Y1483" s="4" t="str">
        <f t="shared" si="4"/>
        <v/>
      </c>
    </row>
    <row r="1484" spans="19:25">
      <c r="S1484" t="str">
        <f t="shared" si="0"/>
        <v/>
      </c>
      <c r="T1484" t="str">
        <f t="shared" si="1"/>
        <v/>
      </c>
      <c r="U1484" t="str">
        <f t="shared" si="2"/>
        <v/>
      </c>
      <c r="V1484" t="str">
        <f>IF(OR(U1484="",U1484="ERRO_CHAVE"),"",IFERROR(MATCH(U1484,Fornecedores!$AF$1:$AF$6631,0),""))</f>
        <v/>
      </c>
      <c r="W1484" t="str">
        <f t="shared" si="3"/>
        <v/>
      </c>
      <c r="X1484" s="4" t="str">
        <f>IF(V1484="","",INDEX(Fornecedores!$X$1:$X$6631,V1484))</f>
        <v/>
      </c>
      <c r="Y1484" s="4" t="str">
        <f t="shared" si="4"/>
        <v/>
      </c>
    </row>
    <row r="1485" spans="19:25">
      <c r="S1485" t="str">
        <f t="shared" si="0"/>
        <v/>
      </c>
      <c r="T1485" t="str">
        <f t="shared" si="1"/>
        <v/>
      </c>
      <c r="U1485" t="str">
        <f t="shared" si="2"/>
        <v/>
      </c>
      <c r="V1485" t="str">
        <f>IF(OR(U1485="",U1485="ERRO_CHAVE"),"",IFERROR(MATCH(U1485,Fornecedores!$AF$1:$AF$6631,0),""))</f>
        <v/>
      </c>
      <c r="W1485" t="str">
        <f t="shared" si="3"/>
        <v/>
      </c>
      <c r="X1485" s="4" t="str">
        <f>IF(V1485="","",INDEX(Fornecedores!$X$1:$X$6631,V1485))</f>
        <v/>
      </c>
      <c r="Y1485" s="4" t="str">
        <f t="shared" si="4"/>
        <v/>
      </c>
    </row>
    <row r="1486" spans="19:25">
      <c r="S1486" t="str">
        <f t="shared" si="0"/>
        <v/>
      </c>
      <c r="T1486" t="str">
        <f t="shared" si="1"/>
        <v/>
      </c>
      <c r="U1486" t="str">
        <f t="shared" si="2"/>
        <v/>
      </c>
      <c r="V1486" t="str">
        <f>IF(OR(U1486="",U1486="ERRO_CHAVE"),"",IFERROR(MATCH(U1486,Fornecedores!$AF$1:$AF$6631,0),""))</f>
        <v/>
      </c>
      <c r="W1486" t="str">
        <f t="shared" si="3"/>
        <v/>
      </c>
      <c r="X1486" s="4" t="str">
        <f>IF(V1486="","",INDEX(Fornecedores!$X$1:$X$6631,V1486))</f>
        <v/>
      </c>
      <c r="Y1486" s="4" t="str">
        <f t="shared" si="4"/>
        <v/>
      </c>
    </row>
    <row r="1487" spans="19:25">
      <c r="S1487" t="str">
        <f t="shared" si="0"/>
        <v/>
      </c>
      <c r="T1487" t="str">
        <f t="shared" si="1"/>
        <v/>
      </c>
      <c r="U1487" t="str">
        <f t="shared" si="2"/>
        <v/>
      </c>
      <c r="V1487" t="str">
        <f>IF(OR(U1487="",U1487="ERRO_CHAVE"),"",IFERROR(MATCH(U1487,Fornecedores!$AF$1:$AF$6631,0),""))</f>
        <v/>
      </c>
      <c r="W1487" t="str">
        <f t="shared" si="3"/>
        <v/>
      </c>
      <c r="X1487" s="4" t="str">
        <f>IF(V1487="","",INDEX(Fornecedores!$X$1:$X$6631,V1487))</f>
        <v/>
      </c>
      <c r="Y1487" s="4" t="str">
        <f t="shared" si="4"/>
        <v/>
      </c>
    </row>
    <row r="1488" spans="19:25">
      <c r="S1488" t="str">
        <f t="shared" si="0"/>
        <v/>
      </c>
      <c r="T1488" t="str">
        <f t="shared" si="1"/>
        <v/>
      </c>
      <c r="U1488" t="str">
        <f t="shared" si="2"/>
        <v/>
      </c>
      <c r="V1488" t="str">
        <f>IF(OR(U1488="",U1488="ERRO_CHAVE"),"",IFERROR(MATCH(U1488,Fornecedores!$AF$1:$AF$6631,0),""))</f>
        <v/>
      </c>
      <c r="W1488" t="str">
        <f t="shared" si="3"/>
        <v/>
      </c>
      <c r="X1488" s="4" t="str">
        <f>IF(V1488="","",INDEX(Fornecedores!$X$1:$X$6631,V1488))</f>
        <v/>
      </c>
      <c r="Y1488" s="4" t="str">
        <f t="shared" si="4"/>
        <v/>
      </c>
    </row>
    <row r="1489" spans="19:25">
      <c r="S1489" t="str">
        <f t="shared" si="0"/>
        <v/>
      </c>
      <c r="T1489" t="str">
        <f t="shared" si="1"/>
        <v/>
      </c>
      <c r="U1489" t="str">
        <f t="shared" si="2"/>
        <v/>
      </c>
      <c r="V1489" t="str">
        <f>IF(OR(U1489="",U1489="ERRO_CHAVE"),"",IFERROR(MATCH(U1489,Fornecedores!$AF$1:$AF$6631,0),""))</f>
        <v/>
      </c>
      <c r="W1489" t="str">
        <f t="shared" si="3"/>
        <v/>
      </c>
      <c r="X1489" s="4" t="str">
        <f>IF(V1489="","",INDEX(Fornecedores!$X$1:$X$6631,V1489))</f>
        <v/>
      </c>
      <c r="Y1489" s="4" t="str">
        <f t="shared" si="4"/>
        <v/>
      </c>
    </row>
    <row r="1490" spans="19:25">
      <c r="S1490" t="str">
        <f t="shared" si="0"/>
        <v/>
      </c>
      <c r="T1490" t="str">
        <f t="shared" si="1"/>
        <v/>
      </c>
      <c r="U1490" t="str">
        <f t="shared" si="2"/>
        <v/>
      </c>
      <c r="V1490" t="str">
        <f>IF(OR(U1490="",U1490="ERRO_CHAVE"),"",IFERROR(MATCH(U1490,Fornecedores!$AF$1:$AF$6631,0),""))</f>
        <v/>
      </c>
      <c r="W1490" t="str">
        <f t="shared" si="3"/>
        <v/>
      </c>
      <c r="X1490" s="4" t="str">
        <f>IF(V1490="","",INDEX(Fornecedores!$X$1:$X$6631,V1490))</f>
        <v/>
      </c>
      <c r="Y1490" s="4" t="str">
        <f t="shared" si="4"/>
        <v/>
      </c>
    </row>
    <row r="1491" spans="19:25">
      <c r="S1491" t="str">
        <f t="shared" si="0"/>
        <v/>
      </c>
      <c r="T1491" t="str">
        <f t="shared" si="1"/>
        <v/>
      </c>
      <c r="U1491" t="str">
        <f t="shared" si="2"/>
        <v/>
      </c>
      <c r="V1491" t="str">
        <f>IF(OR(U1491="",U1491="ERRO_CHAVE"),"",IFERROR(MATCH(U1491,Fornecedores!$AF$1:$AF$6631,0),""))</f>
        <v/>
      </c>
      <c r="W1491" t="str">
        <f t="shared" si="3"/>
        <v/>
      </c>
      <c r="X1491" s="4" t="str">
        <f>IF(V1491="","",INDEX(Fornecedores!$X$1:$X$6631,V1491))</f>
        <v/>
      </c>
      <c r="Y1491" s="4" t="str">
        <f t="shared" si="4"/>
        <v/>
      </c>
    </row>
    <row r="1492" spans="19:25">
      <c r="S1492" t="str">
        <f t="shared" si="0"/>
        <v/>
      </c>
      <c r="T1492" t="str">
        <f t="shared" si="1"/>
        <v/>
      </c>
      <c r="U1492" t="str">
        <f t="shared" si="2"/>
        <v/>
      </c>
      <c r="V1492" t="str">
        <f>IF(OR(U1492="",U1492="ERRO_CHAVE"),"",IFERROR(MATCH(U1492,Fornecedores!$AF$1:$AF$6631,0),""))</f>
        <v/>
      </c>
      <c r="W1492" t="str">
        <f t="shared" si="3"/>
        <v/>
      </c>
      <c r="X1492" s="4" t="str">
        <f>IF(V1492="","",INDEX(Fornecedores!$X$1:$X$6631,V1492))</f>
        <v/>
      </c>
      <c r="Y1492" s="4" t="str">
        <f t="shared" si="4"/>
        <v/>
      </c>
    </row>
    <row r="1493" spans="19:25">
      <c r="S1493" t="str">
        <f t="shared" si="0"/>
        <v/>
      </c>
      <c r="T1493" t="str">
        <f t="shared" si="1"/>
        <v/>
      </c>
      <c r="U1493" t="str">
        <f t="shared" si="2"/>
        <v/>
      </c>
      <c r="V1493" t="str">
        <f>IF(OR(U1493="",U1493="ERRO_CHAVE"),"",IFERROR(MATCH(U1493,Fornecedores!$AF$1:$AF$6631,0),""))</f>
        <v/>
      </c>
      <c r="W1493" t="str">
        <f t="shared" si="3"/>
        <v/>
      </c>
      <c r="X1493" s="4" t="str">
        <f>IF(V1493="","",INDEX(Fornecedores!$X$1:$X$6631,V1493))</f>
        <v/>
      </c>
      <c r="Y1493" s="4" t="str">
        <f t="shared" si="4"/>
        <v/>
      </c>
    </row>
    <row r="1494" spans="19:25">
      <c r="S1494" t="str">
        <f t="shared" si="0"/>
        <v/>
      </c>
      <c r="T1494" t="str">
        <f t="shared" si="1"/>
        <v/>
      </c>
      <c r="U1494" t="str">
        <f t="shared" si="2"/>
        <v/>
      </c>
      <c r="V1494" t="str">
        <f>IF(OR(U1494="",U1494="ERRO_CHAVE"),"",IFERROR(MATCH(U1494,Fornecedores!$AF$1:$AF$6631,0),""))</f>
        <v/>
      </c>
      <c r="W1494" t="str">
        <f t="shared" si="3"/>
        <v/>
      </c>
      <c r="X1494" s="4" t="str">
        <f>IF(V1494="","",INDEX(Fornecedores!$X$1:$X$6631,V1494))</f>
        <v/>
      </c>
      <c r="Y1494" s="4" t="str">
        <f t="shared" si="4"/>
        <v/>
      </c>
    </row>
    <row r="1495" spans="19:25">
      <c r="S1495" t="str">
        <f t="shared" si="0"/>
        <v/>
      </c>
      <c r="T1495" t="str">
        <f t="shared" si="1"/>
        <v/>
      </c>
      <c r="U1495" t="str">
        <f t="shared" si="2"/>
        <v/>
      </c>
      <c r="V1495" t="str">
        <f>IF(OR(U1495="",U1495="ERRO_CHAVE"),"",IFERROR(MATCH(U1495,Fornecedores!$AF$1:$AF$6631,0),""))</f>
        <v/>
      </c>
      <c r="W1495" t="str">
        <f t="shared" si="3"/>
        <v/>
      </c>
      <c r="X1495" s="4" t="str">
        <f>IF(V1495="","",INDEX(Fornecedores!$X$1:$X$6631,V1495))</f>
        <v/>
      </c>
      <c r="Y1495" s="4" t="str">
        <f t="shared" si="4"/>
        <v/>
      </c>
    </row>
    <row r="1496" spans="19:25">
      <c r="S1496" t="str">
        <f t="shared" si="0"/>
        <v/>
      </c>
      <c r="T1496" t="str">
        <f t="shared" si="1"/>
        <v/>
      </c>
      <c r="U1496" t="str">
        <f t="shared" si="2"/>
        <v/>
      </c>
      <c r="V1496" t="str">
        <f>IF(OR(U1496="",U1496="ERRO_CHAVE"),"",IFERROR(MATCH(U1496,Fornecedores!$AF$1:$AF$6631,0),""))</f>
        <v/>
      </c>
      <c r="W1496" t="str">
        <f t="shared" si="3"/>
        <v/>
      </c>
      <c r="X1496" s="4" t="str">
        <f>IF(V1496="","",INDEX(Fornecedores!$X$1:$X$6631,V1496))</f>
        <v/>
      </c>
      <c r="Y1496" s="4" t="str">
        <f t="shared" si="4"/>
        <v/>
      </c>
    </row>
    <row r="1497" spans="19:25">
      <c r="S1497" t="str">
        <f t="shared" si="0"/>
        <v/>
      </c>
      <c r="T1497" t="str">
        <f t="shared" si="1"/>
        <v/>
      </c>
      <c r="U1497" t="str">
        <f t="shared" si="2"/>
        <v/>
      </c>
      <c r="V1497" t="str">
        <f>IF(OR(U1497="",U1497="ERRO_CHAVE"),"",IFERROR(MATCH(U1497,Fornecedores!$AF$1:$AF$6631,0),""))</f>
        <v/>
      </c>
      <c r="W1497" t="str">
        <f t="shared" si="3"/>
        <v/>
      </c>
      <c r="X1497" s="4" t="str">
        <f>IF(V1497="","",INDEX(Fornecedores!$X$1:$X$6631,V1497))</f>
        <v/>
      </c>
      <c r="Y1497" s="4" t="str">
        <f t="shared" si="4"/>
        <v/>
      </c>
    </row>
    <row r="1498" spans="19:25">
      <c r="S1498" t="str">
        <f t="shared" si="0"/>
        <v/>
      </c>
      <c r="T1498" t="str">
        <f t="shared" si="1"/>
        <v/>
      </c>
      <c r="U1498" t="str">
        <f t="shared" si="2"/>
        <v/>
      </c>
      <c r="V1498" t="str">
        <f>IF(OR(U1498="",U1498="ERRO_CHAVE"),"",IFERROR(MATCH(U1498,Fornecedores!$AF$1:$AF$6631,0),""))</f>
        <v/>
      </c>
      <c r="W1498" t="str">
        <f t="shared" si="3"/>
        <v/>
      </c>
      <c r="X1498" s="4" t="str">
        <f>IF(V1498="","",INDEX(Fornecedores!$X$1:$X$6631,V1498))</f>
        <v/>
      </c>
      <c r="Y1498" s="4" t="str">
        <f t="shared" si="4"/>
        <v/>
      </c>
    </row>
    <row r="1499" spans="19:25">
      <c r="S1499" t="str">
        <f t="shared" si="0"/>
        <v/>
      </c>
      <c r="T1499" t="str">
        <f t="shared" si="1"/>
        <v/>
      </c>
      <c r="U1499" t="str">
        <f t="shared" si="2"/>
        <v/>
      </c>
      <c r="V1499" t="str">
        <f>IF(OR(U1499="",U1499="ERRO_CHAVE"),"",IFERROR(MATCH(U1499,Fornecedores!$AF$1:$AF$6631,0),""))</f>
        <v/>
      </c>
      <c r="W1499" t="str">
        <f t="shared" si="3"/>
        <v/>
      </c>
      <c r="X1499" s="4" t="str">
        <f>IF(V1499="","",INDEX(Fornecedores!$X$1:$X$6631,V1499))</f>
        <v/>
      </c>
      <c r="Y1499" s="4" t="str">
        <f t="shared" si="4"/>
        <v/>
      </c>
    </row>
    <row r="1500" spans="19:25">
      <c r="S1500" t="str">
        <f t="shared" si="0"/>
        <v/>
      </c>
      <c r="T1500" t="str">
        <f t="shared" si="1"/>
        <v/>
      </c>
      <c r="U1500" t="str">
        <f t="shared" si="2"/>
        <v/>
      </c>
      <c r="V1500" t="str">
        <f>IF(OR(U1500="",U1500="ERRO_CHAVE"),"",IFERROR(MATCH(U1500,Fornecedores!$AF$1:$AF$6631,0),""))</f>
        <v/>
      </c>
      <c r="W1500" t="str">
        <f t="shared" si="3"/>
        <v/>
      </c>
      <c r="X1500" s="4" t="str">
        <f>IF(V1500="","",INDEX(Fornecedores!$X$1:$X$6631,V1500))</f>
        <v/>
      </c>
      <c r="Y1500" s="4" t="str">
        <f t="shared" si="4"/>
        <v/>
      </c>
    </row>
    <row r="1501" spans="19:25">
      <c r="S1501" t="str">
        <f t="shared" si="0"/>
        <v/>
      </c>
      <c r="T1501" t="str">
        <f t="shared" si="1"/>
        <v/>
      </c>
      <c r="U1501" t="str">
        <f t="shared" si="2"/>
        <v/>
      </c>
      <c r="V1501" t="str">
        <f>IF(OR(U1501="",U1501="ERRO_CHAVE"),"",IFERROR(MATCH(U1501,Fornecedores!$AF$1:$AF$6631,0),""))</f>
        <v/>
      </c>
      <c r="W1501" t="str">
        <f t="shared" si="3"/>
        <v/>
      </c>
      <c r="X1501" s="4" t="str">
        <f>IF(V1501="","",INDEX(Fornecedores!$X$1:$X$6631,V1501))</f>
        <v/>
      </c>
      <c r="Y1501" s="4" t="str">
        <f t="shared" si="4"/>
        <v/>
      </c>
    </row>
    <row r="1502" spans="19:25">
      <c r="S1502" t="str">
        <f t="shared" si="0"/>
        <v/>
      </c>
      <c r="T1502" t="str">
        <f t="shared" si="1"/>
        <v/>
      </c>
      <c r="U1502" t="str">
        <f t="shared" si="2"/>
        <v/>
      </c>
      <c r="V1502" t="str">
        <f>IF(OR(U1502="",U1502="ERRO_CHAVE"),"",IFERROR(MATCH(U1502,Fornecedores!$AF$1:$AF$6631,0),""))</f>
        <v/>
      </c>
      <c r="W1502" t="str">
        <f t="shared" si="3"/>
        <v/>
      </c>
      <c r="X1502" s="4" t="str">
        <f>IF(V1502="","",INDEX(Fornecedores!$X$1:$X$6631,V1502))</f>
        <v/>
      </c>
      <c r="Y1502" s="4" t="str">
        <f t="shared" si="4"/>
        <v/>
      </c>
    </row>
    <row r="1503" spans="19:25">
      <c r="S1503" t="str">
        <f t="shared" si="0"/>
        <v/>
      </c>
      <c r="T1503" t="str">
        <f t="shared" si="1"/>
        <v/>
      </c>
      <c r="U1503" t="str">
        <f t="shared" si="2"/>
        <v/>
      </c>
      <c r="V1503" t="str">
        <f>IF(OR(U1503="",U1503="ERRO_CHAVE"),"",IFERROR(MATCH(U1503,Fornecedores!$AF$1:$AF$6631,0),""))</f>
        <v/>
      </c>
      <c r="W1503" t="str">
        <f t="shared" si="3"/>
        <v/>
      </c>
      <c r="X1503" s="4" t="str">
        <f>IF(V1503="","",INDEX(Fornecedores!$X$1:$X$6631,V1503))</f>
        <v/>
      </c>
      <c r="Y1503" s="4" t="str">
        <f t="shared" si="4"/>
        <v/>
      </c>
    </row>
    <row r="1504" spans="19:25">
      <c r="S1504" t="str">
        <f t="shared" si="0"/>
        <v/>
      </c>
      <c r="T1504" t="str">
        <f t="shared" si="1"/>
        <v/>
      </c>
      <c r="U1504" t="str">
        <f t="shared" si="2"/>
        <v/>
      </c>
      <c r="V1504" t="str">
        <f>IF(OR(U1504="",U1504="ERRO_CHAVE"),"",IFERROR(MATCH(U1504,Fornecedores!$AF$1:$AF$6631,0),""))</f>
        <v/>
      </c>
      <c r="W1504" t="str">
        <f t="shared" si="3"/>
        <v/>
      </c>
      <c r="X1504" s="4" t="str">
        <f>IF(V1504="","",INDEX(Fornecedores!$X$1:$X$6631,V1504))</f>
        <v/>
      </c>
      <c r="Y1504" s="4" t="str">
        <f t="shared" si="4"/>
        <v/>
      </c>
    </row>
    <row r="1505" spans="19:25">
      <c r="S1505" t="str">
        <f t="shared" si="0"/>
        <v/>
      </c>
      <c r="T1505" t="str">
        <f t="shared" si="1"/>
        <v/>
      </c>
      <c r="U1505" t="str">
        <f t="shared" si="2"/>
        <v/>
      </c>
      <c r="V1505" t="str">
        <f>IF(OR(U1505="",U1505="ERRO_CHAVE"),"",IFERROR(MATCH(U1505,Fornecedores!$AF$1:$AF$6631,0),""))</f>
        <v/>
      </c>
      <c r="W1505" t="str">
        <f t="shared" si="3"/>
        <v/>
      </c>
      <c r="X1505" s="4" t="str">
        <f>IF(V1505="","",INDEX(Fornecedores!$X$1:$X$6631,V1505))</f>
        <v/>
      </c>
      <c r="Y1505" s="4" t="str">
        <f t="shared" si="4"/>
        <v/>
      </c>
    </row>
    <row r="1506" spans="19:25">
      <c r="S1506" t="str">
        <f t="shared" si="0"/>
        <v/>
      </c>
      <c r="T1506" t="str">
        <f t="shared" si="1"/>
        <v/>
      </c>
      <c r="U1506" t="str">
        <f t="shared" si="2"/>
        <v/>
      </c>
      <c r="V1506" t="str">
        <f>IF(OR(U1506="",U1506="ERRO_CHAVE"),"",IFERROR(MATCH(U1506,Fornecedores!$AF$1:$AF$6631,0),""))</f>
        <v/>
      </c>
      <c r="W1506" t="str">
        <f t="shared" si="3"/>
        <v/>
      </c>
      <c r="X1506" s="4" t="str">
        <f>IF(V1506="","",INDEX(Fornecedores!$X$1:$X$6631,V1506))</f>
        <v/>
      </c>
      <c r="Y1506" s="4" t="str">
        <f t="shared" si="4"/>
        <v/>
      </c>
    </row>
    <row r="1507" spans="19:25">
      <c r="S1507" t="str">
        <f t="shared" si="0"/>
        <v/>
      </c>
      <c r="T1507" t="str">
        <f t="shared" si="1"/>
        <v/>
      </c>
      <c r="U1507" t="str">
        <f t="shared" si="2"/>
        <v/>
      </c>
      <c r="V1507" t="str">
        <f>IF(OR(U1507="",U1507="ERRO_CHAVE"),"",IFERROR(MATCH(U1507,Fornecedores!$AF$1:$AF$6631,0),""))</f>
        <v/>
      </c>
      <c r="W1507" t="str">
        <f t="shared" si="3"/>
        <v/>
      </c>
      <c r="X1507" s="4" t="str">
        <f>IF(V1507="","",INDEX(Fornecedores!$X$1:$X$6631,V1507))</f>
        <v/>
      </c>
      <c r="Y1507" s="4" t="str">
        <f t="shared" si="4"/>
        <v/>
      </c>
    </row>
    <row r="1508" spans="19:25">
      <c r="S1508" t="str">
        <f t="shared" si="0"/>
        <v/>
      </c>
      <c r="T1508" t="str">
        <f t="shared" si="1"/>
        <v/>
      </c>
      <c r="U1508" t="str">
        <f t="shared" si="2"/>
        <v/>
      </c>
      <c r="V1508" t="str">
        <f>IF(OR(U1508="",U1508="ERRO_CHAVE"),"",IFERROR(MATCH(U1508,Fornecedores!$AF$1:$AF$6631,0),""))</f>
        <v/>
      </c>
      <c r="W1508" t="str">
        <f t="shared" si="3"/>
        <v/>
      </c>
      <c r="X1508" s="4" t="str">
        <f>IF(V1508="","",INDEX(Fornecedores!$X$1:$X$6631,V1508))</f>
        <v/>
      </c>
      <c r="Y1508" s="4" t="str">
        <f t="shared" si="4"/>
        <v/>
      </c>
    </row>
    <row r="1509" spans="19:25">
      <c r="S1509" t="str">
        <f t="shared" si="0"/>
        <v/>
      </c>
      <c r="T1509" t="str">
        <f t="shared" si="1"/>
        <v/>
      </c>
      <c r="U1509" t="str">
        <f t="shared" si="2"/>
        <v/>
      </c>
      <c r="V1509" t="str">
        <f>IF(OR(U1509="",U1509="ERRO_CHAVE"),"",IFERROR(MATCH(U1509,Fornecedores!$AF$1:$AF$6631,0),""))</f>
        <v/>
      </c>
      <c r="W1509" t="str">
        <f t="shared" si="3"/>
        <v/>
      </c>
      <c r="X1509" s="4" t="str">
        <f>IF(V1509="","",INDEX(Fornecedores!$X$1:$X$6631,V1509))</f>
        <v/>
      </c>
      <c r="Y1509" s="4" t="str">
        <f t="shared" si="4"/>
        <v/>
      </c>
    </row>
    <row r="1510" spans="19:25">
      <c r="S1510" t="str">
        <f t="shared" si="0"/>
        <v/>
      </c>
      <c r="T1510" t="str">
        <f t="shared" si="1"/>
        <v/>
      </c>
      <c r="U1510" t="str">
        <f t="shared" si="2"/>
        <v/>
      </c>
      <c r="V1510" t="str">
        <f>IF(OR(U1510="",U1510="ERRO_CHAVE"),"",IFERROR(MATCH(U1510,Fornecedores!$AF$1:$AF$6631,0),""))</f>
        <v/>
      </c>
      <c r="W1510" t="str">
        <f t="shared" si="3"/>
        <v/>
      </c>
      <c r="X1510" s="4" t="str">
        <f>IF(V1510="","",INDEX(Fornecedores!$X$1:$X$6631,V1510))</f>
        <v/>
      </c>
      <c r="Y1510" s="4" t="str">
        <f t="shared" si="4"/>
        <v/>
      </c>
    </row>
    <row r="1511" spans="19:25">
      <c r="S1511" t="str">
        <f t="shared" si="0"/>
        <v/>
      </c>
      <c r="T1511" t="str">
        <f t="shared" si="1"/>
        <v/>
      </c>
      <c r="U1511" t="str">
        <f t="shared" si="2"/>
        <v/>
      </c>
      <c r="V1511" t="str">
        <f>IF(OR(U1511="",U1511="ERRO_CHAVE"),"",IFERROR(MATCH(U1511,Fornecedores!$AF$1:$AF$6631,0),""))</f>
        <v/>
      </c>
      <c r="W1511" t="str">
        <f t="shared" si="3"/>
        <v/>
      </c>
      <c r="X1511" s="4" t="str">
        <f>IF(V1511="","",INDEX(Fornecedores!$X$1:$X$6631,V1511))</f>
        <v/>
      </c>
      <c r="Y1511" s="4" t="str">
        <f t="shared" si="4"/>
        <v/>
      </c>
    </row>
    <row r="1512" spans="19:25">
      <c r="S1512" t="str">
        <f t="shared" si="0"/>
        <v/>
      </c>
      <c r="T1512" t="str">
        <f t="shared" si="1"/>
        <v/>
      </c>
      <c r="U1512" t="str">
        <f t="shared" si="2"/>
        <v/>
      </c>
      <c r="V1512" t="str">
        <f>IF(OR(U1512="",U1512="ERRO_CHAVE"),"",IFERROR(MATCH(U1512,Fornecedores!$AF$1:$AF$6631,0),""))</f>
        <v/>
      </c>
      <c r="W1512" t="str">
        <f t="shared" si="3"/>
        <v/>
      </c>
      <c r="X1512" s="4" t="str">
        <f>IF(V1512="","",INDEX(Fornecedores!$X$1:$X$6631,V1512))</f>
        <v/>
      </c>
      <c r="Y1512" s="4" t="str">
        <f t="shared" si="4"/>
        <v/>
      </c>
    </row>
    <row r="1513" spans="19:25">
      <c r="S1513" t="str">
        <f t="shared" si="0"/>
        <v/>
      </c>
      <c r="T1513" t="str">
        <f t="shared" si="1"/>
        <v/>
      </c>
      <c r="U1513" t="str">
        <f t="shared" si="2"/>
        <v/>
      </c>
      <c r="V1513" t="str">
        <f>IF(OR(U1513="",U1513="ERRO_CHAVE"),"",IFERROR(MATCH(U1513,Fornecedores!$AF$1:$AF$6631,0),""))</f>
        <v/>
      </c>
      <c r="W1513" t="str">
        <f t="shared" si="3"/>
        <v/>
      </c>
      <c r="X1513" s="4" t="str">
        <f>IF(V1513="","",INDEX(Fornecedores!$X$1:$X$6631,V1513))</f>
        <v/>
      </c>
      <c r="Y1513" s="4" t="str">
        <f t="shared" si="4"/>
        <v/>
      </c>
    </row>
    <row r="1514" spans="19:25">
      <c r="S1514" t="str">
        <f t="shared" si="0"/>
        <v/>
      </c>
      <c r="T1514" t="str">
        <f t="shared" si="1"/>
        <v/>
      </c>
      <c r="U1514" t="str">
        <f t="shared" si="2"/>
        <v/>
      </c>
      <c r="V1514" t="str">
        <f>IF(OR(U1514="",U1514="ERRO_CHAVE"),"",IFERROR(MATCH(U1514,Fornecedores!$AF$1:$AF$6631,0),""))</f>
        <v/>
      </c>
      <c r="W1514" t="str">
        <f t="shared" si="3"/>
        <v/>
      </c>
      <c r="X1514" s="4" t="str">
        <f>IF(V1514="","",INDEX(Fornecedores!$X$1:$X$6631,V1514))</f>
        <v/>
      </c>
      <c r="Y1514" s="4" t="str">
        <f t="shared" si="4"/>
        <v/>
      </c>
    </row>
    <row r="1515" spans="19:25">
      <c r="S1515" t="str">
        <f t="shared" si="0"/>
        <v/>
      </c>
      <c r="T1515" t="str">
        <f t="shared" si="1"/>
        <v/>
      </c>
      <c r="U1515" t="str">
        <f t="shared" si="2"/>
        <v/>
      </c>
      <c r="V1515" t="str">
        <f>IF(OR(U1515="",U1515="ERRO_CHAVE"),"",IFERROR(MATCH(U1515,Fornecedores!$AF$1:$AF$6631,0),""))</f>
        <v/>
      </c>
      <c r="W1515" t="str">
        <f t="shared" si="3"/>
        <v/>
      </c>
      <c r="X1515" s="4" t="str">
        <f>IF(V1515="","",INDEX(Fornecedores!$X$1:$X$6631,V1515))</f>
        <v/>
      </c>
      <c r="Y1515" s="4" t="str">
        <f t="shared" si="4"/>
        <v/>
      </c>
    </row>
    <row r="1516" spans="19:25">
      <c r="S1516" t="str">
        <f t="shared" si="0"/>
        <v/>
      </c>
      <c r="T1516" t="str">
        <f t="shared" si="1"/>
        <v/>
      </c>
      <c r="U1516" t="str">
        <f t="shared" si="2"/>
        <v/>
      </c>
      <c r="V1516" t="str">
        <f>IF(OR(U1516="",U1516="ERRO_CHAVE"),"",IFERROR(MATCH(U1516,Fornecedores!$AF$1:$AF$6631,0),""))</f>
        <v/>
      </c>
      <c r="W1516" t="str">
        <f t="shared" si="3"/>
        <v/>
      </c>
      <c r="X1516" s="4" t="str">
        <f>IF(V1516="","",INDEX(Fornecedores!$X$1:$X$6631,V1516))</f>
        <v/>
      </c>
      <c r="Y1516" s="4" t="str">
        <f t="shared" si="4"/>
        <v/>
      </c>
    </row>
    <row r="1517" spans="19:25">
      <c r="S1517" t="str">
        <f t="shared" si="0"/>
        <v/>
      </c>
      <c r="T1517" t="str">
        <f t="shared" si="1"/>
        <v/>
      </c>
      <c r="U1517" t="str">
        <f t="shared" si="2"/>
        <v/>
      </c>
      <c r="V1517" t="str">
        <f>IF(OR(U1517="",U1517="ERRO_CHAVE"),"",IFERROR(MATCH(U1517,Fornecedores!$AF$1:$AF$6631,0),""))</f>
        <v/>
      </c>
      <c r="W1517" t="str">
        <f t="shared" si="3"/>
        <v/>
      </c>
      <c r="X1517" s="4" t="str">
        <f>IF(V1517="","",INDEX(Fornecedores!$X$1:$X$6631,V1517))</f>
        <v/>
      </c>
      <c r="Y1517" s="4" t="str">
        <f t="shared" si="4"/>
        <v/>
      </c>
    </row>
    <row r="1518" spans="19:25">
      <c r="S1518" t="str">
        <f t="shared" si="0"/>
        <v/>
      </c>
      <c r="T1518" t="str">
        <f t="shared" si="1"/>
        <v/>
      </c>
      <c r="U1518" t="str">
        <f t="shared" si="2"/>
        <v/>
      </c>
      <c r="V1518" t="str">
        <f>IF(OR(U1518="",U1518="ERRO_CHAVE"),"",IFERROR(MATCH(U1518,Fornecedores!$AF$1:$AF$6631,0),""))</f>
        <v/>
      </c>
      <c r="W1518" t="str">
        <f t="shared" si="3"/>
        <v/>
      </c>
      <c r="X1518" s="4" t="str">
        <f>IF(V1518="","",INDEX(Fornecedores!$X$1:$X$6631,V1518))</f>
        <v/>
      </c>
      <c r="Y1518" s="4" t="str">
        <f t="shared" si="4"/>
        <v/>
      </c>
    </row>
    <row r="1519" spans="19:25">
      <c r="S1519" t="str">
        <f t="shared" si="0"/>
        <v/>
      </c>
      <c r="T1519" t="str">
        <f t="shared" si="1"/>
        <v/>
      </c>
      <c r="U1519" t="str">
        <f t="shared" si="2"/>
        <v/>
      </c>
      <c r="V1519" t="str">
        <f>IF(OR(U1519="",U1519="ERRO_CHAVE"),"",IFERROR(MATCH(U1519,Fornecedores!$AF$1:$AF$6631,0),""))</f>
        <v/>
      </c>
      <c r="W1519" t="str">
        <f t="shared" si="3"/>
        <v/>
      </c>
      <c r="X1519" s="4" t="str">
        <f>IF(V1519="","",INDEX(Fornecedores!$X$1:$X$6631,V1519))</f>
        <v/>
      </c>
      <c r="Y1519" s="4" t="str">
        <f t="shared" si="4"/>
        <v/>
      </c>
    </row>
    <row r="1520" spans="19:25">
      <c r="S1520" t="str">
        <f t="shared" si="0"/>
        <v/>
      </c>
      <c r="T1520" t="str">
        <f t="shared" si="1"/>
        <v/>
      </c>
      <c r="U1520" t="str">
        <f t="shared" si="2"/>
        <v/>
      </c>
      <c r="V1520" t="str">
        <f>IF(OR(U1520="",U1520="ERRO_CHAVE"),"",IFERROR(MATCH(U1520,Fornecedores!$AF$1:$AF$6631,0),""))</f>
        <v/>
      </c>
      <c r="W1520" t="str">
        <f t="shared" si="3"/>
        <v/>
      </c>
      <c r="X1520" s="4" t="str">
        <f>IF(V1520="","",INDEX(Fornecedores!$X$1:$X$6631,V1520))</f>
        <v/>
      </c>
      <c r="Y1520" s="4" t="str">
        <f t="shared" si="4"/>
        <v/>
      </c>
    </row>
    <row r="1521" spans="19:25">
      <c r="S1521" t="str">
        <f t="shared" si="0"/>
        <v/>
      </c>
      <c r="T1521" t="str">
        <f t="shared" si="1"/>
        <v/>
      </c>
      <c r="U1521" t="str">
        <f t="shared" si="2"/>
        <v/>
      </c>
      <c r="V1521" t="str">
        <f>IF(OR(U1521="",U1521="ERRO_CHAVE"),"",IFERROR(MATCH(U1521,Fornecedores!$AF$1:$AF$6631,0),""))</f>
        <v/>
      </c>
      <c r="W1521" t="str">
        <f t="shared" si="3"/>
        <v/>
      </c>
      <c r="X1521" s="4" t="str">
        <f>IF(V1521="","",INDEX(Fornecedores!$X$1:$X$6631,V1521))</f>
        <v/>
      </c>
      <c r="Y1521" s="4" t="str">
        <f t="shared" si="4"/>
        <v/>
      </c>
    </row>
    <row r="1522" spans="19:25">
      <c r="S1522" t="str">
        <f t="shared" si="0"/>
        <v/>
      </c>
      <c r="T1522" t="str">
        <f t="shared" si="1"/>
        <v/>
      </c>
      <c r="U1522" t="str">
        <f t="shared" si="2"/>
        <v/>
      </c>
      <c r="V1522" t="str">
        <f>IF(OR(U1522="",U1522="ERRO_CHAVE"),"",IFERROR(MATCH(U1522,Fornecedores!$AF$1:$AF$6631,0),""))</f>
        <v/>
      </c>
      <c r="W1522" t="str">
        <f t="shared" si="3"/>
        <v/>
      </c>
      <c r="X1522" s="4" t="str">
        <f>IF(V1522="","",INDEX(Fornecedores!$X$1:$X$6631,V1522))</f>
        <v/>
      </c>
      <c r="Y1522" s="4" t="str">
        <f t="shared" si="4"/>
        <v/>
      </c>
    </row>
    <row r="1523" spans="19:25">
      <c r="S1523" t="str">
        <f t="shared" si="0"/>
        <v/>
      </c>
      <c r="T1523" t="str">
        <f t="shared" si="1"/>
        <v/>
      </c>
      <c r="U1523" t="str">
        <f t="shared" si="2"/>
        <v/>
      </c>
      <c r="V1523" t="str">
        <f>IF(OR(U1523="",U1523="ERRO_CHAVE"),"",IFERROR(MATCH(U1523,Fornecedores!$AF$1:$AF$6631,0),""))</f>
        <v/>
      </c>
      <c r="W1523" t="str">
        <f t="shared" si="3"/>
        <v/>
      </c>
      <c r="X1523" s="4" t="str">
        <f>IF(V1523="","",INDEX(Fornecedores!$X$1:$X$6631,V1523))</f>
        <v/>
      </c>
      <c r="Y1523" s="4" t="str">
        <f t="shared" si="4"/>
        <v/>
      </c>
    </row>
    <row r="1524" spans="19:25">
      <c r="S1524" t="str">
        <f t="shared" si="0"/>
        <v/>
      </c>
      <c r="T1524" t="str">
        <f t="shared" si="1"/>
        <v/>
      </c>
      <c r="U1524" t="str">
        <f t="shared" si="2"/>
        <v/>
      </c>
      <c r="V1524" t="str">
        <f>IF(OR(U1524="",U1524="ERRO_CHAVE"),"",IFERROR(MATCH(U1524,Fornecedores!$AF$1:$AF$6631,0),""))</f>
        <v/>
      </c>
      <c r="W1524" t="str">
        <f t="shared" si="3"/>
        <v/>
      </c>
      <c r="X1524" s="4" t="str">
        <f>IF(V1524="","",INDEX(Fornecedores!$X$1:$X$6631,V1524))</f>
        <v/>
      </c>
      <c r="Y1524" s="4" t="str">
        <f t="shared" si="4"/>
        <v/>
      </c>
    </row>
    <row r="1525" spans="19:25">
      <c r="S1525" t="str">
        <f t="shared" si="0"/>
        <v/>
      </c>
      <c r="T1525" t="str">
        <f t="shared" si="1"/>
        <v/>
      </c>
      <c r="U1525" t="str">
        <f t="shared" si="2"/>
        <v/>
      </c>
      <c r="V1525" t="str">
        <f>IF(OR(U1525="",U1525="ERRO_CHAVE"),"",IFERROR(MATCH(U1525,Fornecedores!$AF$1:$AF$6631,0),""))</f>
        <v/>
      </c>
      <c r="W1525" t="str">
        <f t="shared" si="3"/>
        <v/>
      </c>
      <c r="X1525" s="4" t="str">
        <f>IF(V1525="","",INDEX(Fornecedores!$X$1:$X$6631,V1525))</f>
        <v/>
      </c>
      <c r="Y1525" s="4" t="str">
        <f t="shared" si="4"/>
        <v/>
      </c>
    </row>
    <row r="1526" spans="19:25">
      <c r="S1526" t="str">
        <f t="shared" si="0"/>
        <v/>
      </c>
      <c r="T1526" t="str">
        <f t="shared" si="1"/>
        <v/>
      </c>
      <c r="U1526" t="str">
        <f t="shared" si="2"/>
        <v/>
      </c>
      <c r="V1526" t="str">
        <f>IF(OR(U1526="",U1526="ERRO_CHAVE"),"",IFERROR(MATCH(U1526,Fornecedores!$AF$1:$AF$6631,0),""))</f>
        <v/>
      </c>
      <c r="W1526" t="str">
        <f t="shared" si="3"/>
        <v/>
      </c>
      <c r="X1526" s="4" t="str">
        <f>IF(V1526="","",INDEX(Fornecedores!$X$1:$X$6631,V1526))</f>
        <v/>
      </c>
      <c r="Y1526" s="4" t="str">
        <f t="shared" si="4"/>
        <v/>
      </c>
    </row>
    <row r="1527" spans="19:25">
      <c r="S1527" t="str">
        <f t="shared" si="0"/>
        <v/>
      </c>
      <c r="T1527" t="str">
        <f t="shared" si="1"/>
        <v/>
      </c>
      <c r="U1527" t="str">
        <f t="shared" si="2"/>
        <v/>
      </c>
      <c r="V1527" t="str">
        <f>IF(OR(U1527="",U1527="ERRO_CHAVE"),"",IFERROR(MATCH(U1527,Fornecedores!$AF$1:$AF$6631,0),""))</f>
        <v/>
      </c>
      <c r="W1527" t="str">
        <f t="shared" si="3"/>
        <v/>
      </c>
      <c r="X1527" s="4" t="str">
        <f>IF(V1527="","",INDEX(Fornecedores!$X$1:$X$6631,V1527))</f>
        <v/>
      </c>
      <c r="Y1527" s="4" t="str">
        <f t="shared" si="4"/>
        <v/>
      </c>
    </row>
    <row r="1528" spans="19:25">
      <c r="S1528" t="str">
        <f t="shared" si="0"/>
        <v/>
      </c>
      <c r="T1528" t="str">
        <f t="shared" si="1"/>
        <v/>
      </c>
      <c r="U1528" t="str">
        <f t="shared" si="2"/>
        <v/>
      </c>
      <c r="V1528" t="str">
        <f>IF(OR(U1528="",U1528="ERRO_CHAVE"),"",IFERROR(MATCH(U1528,Fornecedores!$AF$1:$AF$6631,0),""))</f>
        <v/>
      </c>
      <c r="W1528" t="str">
        <f t="shared" si="3"/>
        <v/>
      </c>
      <c r="X1528" s="4" t="str">
        <f>IF(V1528="","",INDEX(Fornecedores!$X$1:$X$6631,V1528))</f>
        <v/>
      </c>
      <c r="Y1528" s="4" t="str">
        <f t="shared" si="4"/>
        <v/>
      </c>
    </row>
    <row r="1529" spans="19:25">
      <c r="S1529" t="str">
        <f t="shared" si="0"/>
        <v/>
      </c>
      <c r="T1529" t="str">
        <f t="shared" si="1"/>
        <v/>
      </c>
      <c r="U1529" t="str">
        <f t="shared" si="2"/>
        <v/>
      </c>
      <c r="V1529" t="str">
        <f>IF(OR(U1529="",U1529="ERRO_CHAVE"),"",IFERROR(MATCH(U1529,Fornecedores!$AF$1:$AF$6631,0),""))</f>
        <v/>
      </c>
      <c r="W1529" t="str">
        <f t="shared" si="3"/>
        <v/>
      </c>
      <c r="X1529" s="4" t="str">
        <f>IF(V1529="","",INDEX(Fornecedores!$X$1:$X$6631,V1529))</f>
        <v/>
      </c>
      <c r="Y1529" s="4" t="str">
        <f t="shared" si="4"/>
        <v/>
      </c>
    </row>
    <row r="1530" spans="19:25">
      <c r="S1530" t="str">
        <f t="shared" si="0"/>
        <v/>
      </c>
      <c r="T1530" t="str">
        <f t="shared" si="1"/>
        <v/>
      </c>
      <c r="U1530" t="str">
        <f t="shared" si="2"/>
        <v/>
      </c>
      <c r="V1530" t="str">
        <f>IF(OR(U1530="",U1530="ERRO_CHAVE"),"",IFERROR(MATCH(U1530,Fornecedores!$AF$1:$AF$6631,0),""))</f>
        <v/>
      </c>
      <c r="W1530" t="str">
        <f t="shared" si="3"/>
        <v/>
      </c>
      <c r="X1530" s="4" t="str">
        <f>IF(V1530="","",INDEX(Fornecedores!$X$1:$X$6631,V1530))</f>
        <v/>
      </c>
      <c r="Y1530" s="4" t="str">
        <f t="shared" si="4"/>
        <v/>
      </c>
    </row>
    <row r="1531" spans="19:25">
      <c r="S1531" t="str">
        <f t="shared" si="0"/>
        <v/>
      </c>
      <c r="T1531" t="str">
        <f t="shared" si="1"/>
        <v/>
      </c>
      <c r="U1531" t="str">
        <f t="shared" si="2"/>
        <v/>
      </c>
      <c r="V1531" t="str">
        <f>IF(OR(U1531="",U1531="ERRO_CHAVE"),"",IFERROR(MATCH(U1531,Fornecedores!$AF$1:$AF$6631,0),""))</f>
        <v/>
      </c>
      <c r="W1531" t="str">
        <f t="shared" si="3"/>
        <v/>
      </c>
      <c r="X1531" s="4" t="str">
        <f>IF(V1531="","",INDEX(Fornecedores!$X$1:$X$6631,V1531))</f>
        <v/>
      </c>
      <c r="Y1531" s="4" t="str">
        <f t="shared" si="4"/>
        <v/>
      </c>
    </row>
    <row r="1532" spans="19:25">
      <c r="S1532" t="str">
        <f t="shared" si="0"/>
        <v/>
      </c>
      <c r="T1532" t="str">
        <f t="shared" si="1"/>
        <v/>
      </c>
      <c r="U1532" t="str">
        <f t="shared" si="2"/>
        <v/>
      </c>
      <c r="V1532" t="str">
        <f>IF(OR(U1532="",U1532="ERRO_CHAVE"),"",IFERROR(MATCH(U1532,Fornecedores!$AF$1:$AF$6631,0),""))</f>
        <v/>
      </c>
      <c r="W1532" t="str">
        <f t="shared" si="3"/>
        <v/>
      </c>
      <c r="X1532" s="4" t="str">
        <f>IF(V1532="","",INDEX(Fornecedores!$X$1:$X$6631,V1532))</f>
        <v/>
      </c>
      <c r="Y1532" s="4" t="str">
        <f t="shared" si="4"/>
        <v/>
      </c>
    </row>
    <row r="1533" spans="19:25">
      <c r="S1533" t="str">
        <f t="shared" si="0"/>
        <v/>
      </c>
      <c r="T1533" t="str">
        <f t="shared" si="1"/>
        <v/>
      </c>
      <c r="U1533" t="str">
        <f t="shared" si="2"/>
        <v/>
      </c>
      <c r="V1533" t="str">
        <f>IF(OR(U1533="",U1533="ERRO_CHAVE"),"",IFERROR(MATCH(U1533,Fornecedores!$AF$1:$AF$6631,0),""))</f>
        <v/>
      </c>
      <c r="W1533" t="str">
        <f t="shared" si="3"/>
        <v/>
      </c>
      <c r="X1533" s="4" t="str">
        <f>IF(V1533="","",INDEX(Fornecedores!$X$1:$X$6631,V1533))</f>
        <v/>
      </c>
      <c r="Y1533" s="4" t="str">
        <f t="shared" si="4"/>
        <v/>
      </c>
    </row>
    <row r="1534" spans="19:25">
      <c r="S1534" t="str">
        <f t="shared" si="0"/>
        <v/>
      </c>
      <c r="T1534" t="str">
        <f t="shared" si="1"/>
        <v/>
      </c>
      <c r="U1534" t="str">
        <f t="shared" si="2"/>
        <v/>
      </c>
      <c r="V1534" t="str">
        <f>IF(OR(U1534="",U1534="ERRO_CHAVE"),"",IFERROR(MATCH(U1534,Fornecedores!$AF$1:$AF$6631,0),""))</f>
        <v/>
      </c>
      <c r="W1534" t="str">
        <f t="shared" si="3"/>
        <v/>
      </c>
      <c r="X1534" s="4" t="str">
        <f>IF(V1534="","",INDEX(Fornecedores!$X$1:$X$6631,V1534))</f>
        <v/>
      </c>
      <c r="Y1534" s="4" t="str">
        <f t="shared" si="4"/>
        <v/>
      </c>
    </row>
    <row r="1535" spans="19:25">
      <c r="S1535" t="str">
        <f t="shared" si="0"/>
        <v/>
      </c>
      <c r="T1535" t="str">
        <f t="shared" si="1"/>
        <v/>
      </c>
      <c r="U1535" t="str">
        <f t="shared" si="2"/>
        <v/>
      </c>
      <c r="V1535" t="str">
        <f>IF(OR(U1535="",U1535="ERRO_CHAVE"),"",IFERROR(MATCH(U1535,Fornecedores!$AF$1:$AF$6631,0),""))</f>
        <v/>
      </c>
      <c r="W1535" t="str">
        <f t="shared" si="3"/>
        <v/>
      </c>
      <c r="X1535" s="4" t="str">
        <f>IF(V1535="","",INDEX(Fornecedores!$X$1:$X$6631,V1535))</f>
        <v/>
      </c>
      <c r="Y1535" s="4" t="str">
        <f t="shared" si="4"/>
        <v/>
      </c>
    </row>
    <row r="1536" spans="19:25">
      <c r="S1536" t="str">
        <f t="shared" si="0"/>
        <v/>
      </c>
      <c r="T1536" t="str">
        <f t="shared" si="1"/>
        <v/>
      </c>
      <c r="U1536" t="str">
        <f t="shared" si="2"/>
        <v/>
      </c>
      <c r="V1536" t="str">
        <f>IF(OR(U1536="",U1536="ERRO_CHAVE"),"",IFERROR(MATCH(U1536,Fornecedores!$AF$1:$AF$6631,0),""))</f>
        <v/>
      </c>
      <c r="W1536" t="str">
        <f t="shared" si="3"/>
        <v/>
      </c>
      <c r="X1536" s="4" t="str">
        <f>IF(V1536="","",INDEX(Fornecedores!$X$1:$X$6631,V1536))</f>
        <v/>
      </c>
      <c r="Y1536" s="4" t="str">
        <f t="shared" si="4"/>
        <v/>
      </c>
    </row>
    <row r="1537" spans="19:25">
      <c r="S1537" t="str">
        <f t="shared" si="0"/>
        <v/>
      </c>
      <c r="T1537" t="str">
        <f t="shared" si="1"/>
        <v/>
      </c>
      <c r="U1537" t="str">
        <f t="shared" si="2"/>
        <v/>
      </c>
      <c r="V1537" t="str">
        <f>IF(OR(U1537="",U1537="ERRO_CHAVE"),"",IFERROR(MATCH(U1537,Fornecedores!$AF$1:$AF$6631,0),""))</f>
        <v/>
      </c>
      <c r="W1537" t="str">
        <f t="shared" si="3"/>
        <v/>
      </c>
      <c r="X1537" s="4" t="str">
        <f>IF(V1537="","",INDEX(Fornecedores!$X$1:$X$6631,V1537))</f>
        <v/>
      </c>
      <c r="Y1537" s="4" t="str">
        <f t="shared" si="4"/>
        <v/>
      </c>
    </row>
    <row r="1538" spans="19:25">
      <c r="S1538" t="str">
        <f t="shared" si="0"/>
        <v/>
      </c>
      <c r="T1538" t="str">
        <f t="shared" si="1"/>
        <v/>
      </c>
      <c r="U1538" t="str">
        <f t="shared" si="2"/>
        <v/>
      </c>
      <c r="V1538" t="str">
        <f>IF(OR(U1538="",U1538="ERRO_CHAVE"),"",IFERROR(MATCH(U1538,Fornecedores!$AF$1:$AF$6631,0),""))</f>
        <v/>
      </c>
      <c r="W1538" t="str">
        <f t="shared" si="3"/>
        <v/>
      </c>
      <c r="X1538" s="4" t="str">
        <f>IF(V1538="","",INDEX(Fornecedores!$X$1:$X$6631,V1538))</f>
        <v/>
      </c>
      <c r="Y1538" s="4" t="str">
        <f t="shared" si="4"/>
        <v/>
      </c>
    </row>
    <row r="1539" spans="19:25">
      <c r="S1539" t="str">
        <f t="shared" si="0"/>
        <v/>
      </c>
      <c r="T1539" t="str">
        <f t="shared" si="1"/>
        <v/>
      </c>
      <c r="U1539" t="str">
        <f t="shared" si="2"/>
        <v/>
      </c>
      <c r="V1539" t="str">
        <f>IF(OR(U1539="",U1539="ERRO_CHAVE"),"",IFERROR(MATCH(U1539,Fornecedores!$AF$1:$AF$6631,0),""))</f>
        <v/>
      </c>
      <c r="W1539" t="str">
        <f t="shared" si="3"/>
        <v/>
      </c>
      <c r="X1539" s="4" t="str">
        <f>IF(V1539="","",INDEX(Fornecedores!$X$1:$X$6631,V1539))</f>
        <v/>
      </c>
      <c r="Y1539" s="4" t="str">
        <f t="shared" si="4"/>
        <v/>
      </c>
    </row>
    <row r="1540" spans="19:25">
      <c r="S1540" t="str">
        <f t="shared" si="0"/>
        <v/>
      </c>
      <c r="T1540" t="str">
        <f t="shared" si="1"/>
        <v/>
      </c>
      <c r="U1540" t="str">
        <f t="shared" si="2"/>
        <v/>
      </c>
      <c r="V1540" t="str">
        <f>IF(OR(U1540="",U1540="ERRO_CHAVE"),"",IFERROR(MATCH(U1540,Fornecedores!$AF$1:$AF$6631,0),""))</f>
        <v/>
      </c>
      <c r="W1540" t="str">
        <f t="shared" si="3"/>
        <v/>
      </c>
      <c r="X1540" s="4" t="str">
        <f>IF(V1540="","",INDEX(Fornecedores!$X$1:$X$6631,V1540))</f>
        <v/>
      </c>
      <c r="Y1540" s="4" t="str">
        <f t="shared" si="4"/>
        <v/>
      </c>
    </row>
    <row r="1541" spans="19:25">
      <c r="S1541" t="str">
        <f t="shared" si="0"/>
        <v/>
      </c>
      <c r="T1541" t="str">
        <f t="shared" si="1"/>
        <v/>
      </c>
      <c r="U1541" t="str">
        <f t="shared" si="2"/>
        <v/>
      </c>
      <c r="V1541" t="str">
        <f>IF(OR(U1541="",U1541="ERRO_CHAVE"),"",IFERROR(MATCH(U1541,Fornecedores!$AF$1:$AF$6631,0),""))</f>
        <v/>
      </c>
      <c r="W1541" t="str">
        <f t="shared" si="3"/>
        <v/>
      </c>
      <c r="X1541" s="4" t="str">
        <f>IF(V1541="","",INDEX(Fornecedores!$X$1:$X$6631,V1541))</f>
        <v/>
      </c>
      <c r="Y1541" s="4" t="str">
        <f t="shared" si="4"/>
        <v/>
      </c>
    </row>
    <row r="1542" spans="19:25">
      <c r="S1542" t="str">
        <f t="shared" si="0"/>
        <v/>
      </c>
      <c r="T1542" t="str">
        <f t="shared" si="1"/>
        <v/>
      </c>
      <c r="U1542" t="str">
        <f t="shared" si="2"/>
        <v/>
      </c>
      <c r="V1542" t="str">
        <f>IF(OR(U1542="",U1542="ERRO_CHAVE"),"",IFERROR(MATCH(U1542,Fornecedores!$AF$1:$AF$6631,0),""))</f>
        <v/>
      </c>
      <c r="W1542" t="str">
        <f t="shared" si="3"/>
        <v/>
      </c>
      <c r="X1542" s="4" t="str">
        <f>IF(V1542="","",INDEX(Fornecedores!$X$1:$X$6631,V1542))</f>
        <v/>
      </c>
      <c r="Y1542" s="4" t="str">
        <f t="shared" si="4"/>
        <v/>
      </c>
    </row>
    <row r="1543" spans="19:25">
      <c r="S1543" t="str">
        <f t="shared" si="0"/>
        <v/>
      </c>
      <c r="T1543" t="str">
        <f t="shared" si="1"/>
        <v/>
      </c>
      <c r="U1543" t="str">
        <f t="shared" si="2"/>
        <v/>
      </c>
      <c r="V1543" t="str">
        <f>IF(OR(U1543="",U1543="ERRO_CHAVE"),"",IFERROR(MATCH(U1543,Fornecedores!$AF$1:$AF$6631,0),""))</f>
        <v/>
      </c>
      <c r="W1543" t="str">
        <f t="shared" si="3"/>
        <v/>
      </c>
      <c r="X1543" s="4" t="str">
        <f>IF(V1543="","",INDEX(Fornecedores!$X$1:$X$6631,V1543))</f>
        <v/>
      </c>
      <c r="Y1543" s="4" t="str">
        <f t="shared" si="4"/>
        <v/>
      </c>
    </row>
    <row r="1544" spans="19:25">
      <c r="S1544" t="str">
        <f t="shared" si="0"/>
        <v/>
      </c>
      <c r="T1544" t="str">
        <f t="shared" si="1"/>
        <v/>
      </c>
      <c r="U1544" t="str">
        <f t="shared" si="2"/>
        <v/>
      </c>
      <c r="V1544" t="str">
        <f>IF(OR(U1544="",U1544="ERRO_CHAVE"),"",IFERROR(MATCH(U1544,Fornecedores!$AF$1:$AF$6631,0),""))</f>
        <v/>
      </c>
      <c r="W1544" t="str">
        <f t="shared" si="3"/>
        <v/>
      </c>
      <c r="X1544" s="4" t="str">
        <f>IF(V1544="","",INDEX(Fornecedores!$X$1:$X$6631,V1544))</f>
        <v/>
      </c>
      <c r="Y1544" s="4" t="str">
        <f t="shared" si="4"/>
        <v/>
      </c>
    </row>
    <row r="1545" spans="19:25">
      <c r="S1545" t="str">
        <f t="shared" si="0"/>
        <v/>
      </c>
      <c r="T1545" t="str">
        <f t="shared" si="1"/>
        <v/>
      </c>
      <c r="U1545" t="str">
        <f t="shared" si="2"/>
        <v/>
      </c>
      <c r="V1545" t="str">
        <f>IF(OR(U1545="",U1545="ERRO_CHAVE"),"",IFERROR(MATCH(U1545,Fornecedores!$AF$1:$AF$6631,0),""))</f>
        <v/>
      </c>
      <c r="W1545" t="str">
        <f t="shared" si="3"/>
        <v/>
      </c>
      <c r="X1545" s="4" t="str">
        <f>IF(V1545="","",INDEX(Fornecedores!$X$1:$X$6631,V1545))</f>
        <v/>
      </c>
      <c r="Y1545" s="4" t="str">
        <f t="shared" si="4"/>
        <v/>
      </c>
    </row>
    <row r="1546" spans="19:25">
      <c r="S1546" t="str">
        <f t="shared" si="0"/>
        <v/>
      </c>
      <c r="T1546" t="str">
        <f t="shared" si="1"/>
        <v/>
      </c>
      <c r="U1546" t="str">
        <f t="shared" si="2"/>
        <v/>
      </c>
      <c r="V1546" t="str">
        <f>IF(OR(U1546="",U1546="ERRO_CHAVE"),"",IFERROR(MATCH(U1546,Fornecedores!$AF$1:$AF$6631,0),""))</f>
        <v/>
      </c>
      <c r="W1546" t="str">
        <f t="shared" si="3"/>
        <v/>
      </c>
      <c r="X1546" s="4" t="str">
        <f>IF(V1546="","",INDEX(Fornecedores!$X$1:$X$6631,V1546))</f>
        <v/>
      </c>
      <c r="Y1546" s="4" t="str">
        <f t="shared" si="4"/>
        <v/>
      </c>
    </row>
    <row r="1547" spans="19:25">
      <c r="S1547" t="str">
        <f t="shared" si="0"/>
        <v/>
      </c>
      <c r="T1547" t="str">
        <f t="shared" si="1"/>
        <v/>
      </c>
      <c r="U1547" t="str">
        <f t="shared" si="2"/>
        <v/>
      </c>
      <c r="V1547" t="str">
        <f>IF(OR(U1547="",U1547="ERRO_CHAVE"),"",IFERROR(MATCH(U1547,Fornecedores!$AF$1:$AF$6631,0),""))</f>
        <v/>
      </c>
      <c r="W1547" t="str">
        <f t="shared" si="3"/>
        <v/>
      </c>
      <c r="X1547" s="4" t="str">
        <f>IF(V1547="","",INDEX(Fornecedores!$X$1:$X$6631,V1547))</f>
        <v/>
      </c>
      <c r="Y1547" s="4" t="str">
        <f t="shared" si="4"/>
        <v/>
      </c>
    </row>
    <row r="1548" spans="19:25">
      <c r="S1548" t="str">
        <f t="shared" si="0"/>
        <v/>
      </c>
      <c r="T1548" t="str">
        <f t="shared" si="1"/>
        <v/>
      </c>
      <c r="U1548" t="str">
        <f t="shared" si="2"/>
        <v/>
      </c>
      <c r="V1548" t="str">
        <f>IF(OR(U1548="",U1548="ERRO_CHAVE"),"",IFERROR(MATCH(U1548,Fornecedores!$AF$1:$AF$6631,0),""))</f>
        <v/>
      </c>
      <c r="W1548" t="str">
        <f t="shared" si="3"/>
        <v/>
      </c>
      <c r="X1548" s="4" t="str">
        <f>IF(V1548="","",INDEX(Fornecedores!$X$1:$X$6631,V1548))</f>
        <v/>
      </c>
      <c r="Y1548" s="4" t="str">
        <f t="shared" si="4"/>
        <v/>
      </c>
    </row>
    <row r="1549" spans="19:25">
      <c r="S1549" t="str">
        <f t="shared" si="0"/>
        <v/>
      </c>
      <c r="T1549" t="str">
        <f t="shared" si="1"/>
        <v/>
      </c>
      <c r="U1549" t="str">
        <f t="shared" si="2"/>
        <v/>
      </c>
      <c r="V1549" t="str">
        <f>IF(OR(U1549="",U1549="ERRO_CHAVE"),"",IFERROR(MATCH(U1549,Fornecedores!$AF$1:$AF$6631,0),""))</f>
        <v/>
      </c>
      <c r="W1549" t="str">
        <f t="shared" si="3"/>
        <v/>
      </c>
      <c r="X1549" s="4" t="str">
        <f>IF(V1549="","",INDEX(Fornecedores!$X$1:$X$6631,V1549))</f>
        <v/>
      </c>
      <c r="Y1549" s="4" t="str">
        <f t="shared" si="4"/>
        <v/>
      </c>
    </row>
    <row r="1550" spans="19:25">
      <c r="S1550" t="str">
        <f t="shared" si="0"/>
        <v/>
      </c>
      <c r="T1550" t="str">
        <f t="shared" si="1"/>
        <v/>
      </c>
      <c r="U1550" t="str">
        <f t="shared" si="2"/>
        <v/>
      </c>
      <c r="V1550" t="str">
        <f>IF(OR(U1550="",U1550="ERRO_CHAVE"),"",IFERROR(MATCH(U1550,Fornecedores!$AF$1:$AF$6631,0),""))</f>
        <v/>
      </c>
      <c r="W1550" t="str">
        <f t="shared" si="3"/>
        <v/>
      </c>
      <c r="X1550" s="4" t="str">
        <f>IF(V1550="","",INDEX(Fornecedores!$X$1:$X$6631,V1550))</f>
        <v/>
      </c>
      <c r="Y1550" s="4" t="str">
        <f t="shared" si="4"/>
        <v/>
      </c>
    </row>
    <row r="1551" spans="19:25">
      <c r="S1551" t="str">
        <f t="shared" si="0"/>
        <v/>
      </c>
      <c r="T1551" t="str">
        <f t="shared" si="1"/>
        <v/>
      </c>
      <c r="U1551" t="str">
        <f t="shared" si="2"/>
        <v/>
      </c>
      <c r="V1551" t="str">
        <f>IF(OR(U1551="",U1551="ERRO_CHAVE"),"",IFERROR(MATCH(U1551,Fornecedores!$AF$1:$AF$6631,0),""))</f>
        <v/>
      </c>
      <c r="W1551" t="str">
        <f t="shared" si="3"/>
        <v/>
      </c>
      <c r="X1551" s="4" t="str">
        <f>IF(V1551="","",INDEX(Fornecedores!$X$1:$X$6631,V1551))</f>
        <v/>
      </c>
      <c r="Y1551" s="4" t="str">
        <f t="shared" si="4"/>
        <v/>
      </c>
    </row>
    <row r="1552" spans="19:25">
      <c r="S1552" t="str">
        <f t="shared" si="0"/>
        <v/>
      </c>
      <c r="T1552" t="str">
        <f t="shared" si="1"/>
        <v/>
      </c>
      <c r="U1552" t="str">
        <f t="shared" si="2"/>
        <v/>
      </c>
      <c r="V1552" t="str">
        <f>IF(OR(U1552="",U1552="ERRO_CHAVE"),"",IFERROR(MATCH(U1552,Fornecedores!$AF$1:$AF$6631,0),""))</f>
        <v/>
      </c>
      <c r="W1552" t="str">
        <f t="shared" si="3"/>
        <v/>
      </c>
      <c r="X1552" s="4" t="str">
        <f>IF(V1552="","",INDEX(Fornecedores!$X$1:$X$6631,V1552))</f>
        <v/>
      </c>
      <c r="Y1552" s="4" t="str">
        <f t="shared" si="4"/>
        <v/>
      </c>
    </row>
    <row r="1553" spans="19:25">
      <c r="S1553" t="str">
        <f t="shared" si="0"/>
        <v/>
      </c>
      <c r="T1553" t="str">
        <f t="shared" si="1"/>
        <v/>
      </c>
      <c r="U1553" t="str">
        <f t="shared" si="2"/>
        <v/>
      </c>
      <c r="V1553" t="str">
        <f>IF(OR(U1553="",U1553="ERRO_CHAVE"),"",IFERROR(MATCH(U1553,Fornecedores!$AF$1:$AF$6631,0),""))</f>
        <v/>
      </c>
      <c r="W1553" t="str">
        <f t="shared" si="3"/>
        <v/>
      </c>
      <c r="X1553" s="4" t="str">
        <f>IF(V1553="","",INDEX(Fornecedores!$X$1:$X$6631,V1553))</f>
        <v/>
      </c>
      <c r="Y1553" s="4" t="str">
        <f t="shared" si="4"/>
        <v/>
      </c>
    </row>
    <row r="1554" spans="19:25">
      <c r="S1554" t="str">
        <f t="shared" si="0"/>
        <v/>
      </c>
      <c r="T1554" t="str">
        <f t="shared" si="1"/>
        <v/>
      </c>
      <c r="U1554" t="str">
        <f t="shared" si="2"/>
        <v/>
      </c>
      <c r="V1554" t="str">
        <f>IF(OR(U1554="",U1554="ERRO_CHAVE"),"",IFERROR(MATCH(U1554,Fornecedores!$AF$1:$AF$6631,0),""))</f>
        <v/>
      </c>
      <c r="W1554" t="str">
        <f t="shared" si="3"/>
        <v/>
      </c>
      <c r="X1554" s="4" t="str">
        <f>IF(V1554="","",INDEX(Fornecedores!$X$1:$X$6631,V1554))</f>
        <v/>
      </c>
      <c r="Y1554" s="4" t="str">
        <f t="shared" si="4"/>
        <v/>
      </c>
    </row>
    <row r="1555" spans="19:25">
      <c r="S1555" t="str">
        <f t="shared" si="0"/>
        <v/>
      </c>
      <c r="T1555" t="str">
        <f t="shared" si="1"/>
        <v/>
      </c>
      <c r="U1555" t="str">
        <f t="shared" si="2"/>
        <v/>
      </c>
      <c r="V1555" t="str">
        <f>IF(OR(U1555="",U1555="ERRO_CHAVE"),"",IFERROR(MATCH(U1555,Fornecedores!$AF$1:$AF$6631,0),""))</f>
        <v/>
      </c>
      <c r="W1555" t="str">
        <f t="shared" si="3"/>
        <v/>
      </c>
      <c r="X1555" s="4" t="str">
        <f>IF(V1555="","",INDEX(Fornecedores!$X$1:$X$6631,V1555))</f>
        <v/>
      </c>
      <c r="Y1555" s="4" t="str">
        <f t="shared" si="4"/>
        <v/>
      </c>
    </row>
    <row r="1556" spans="19:25">
      <c r="S1556" t="str">
        <f t="shared" si="0"/>
        <v/>
      </c>
      <c r="T1556" t="str">
        <f t="shared" si="1"/>
        <v/>
      </c>
      <c r="U1556" t="str">
        <f t="shared" si="2"/>
        <v/>
      </c>
      <c r="V1556" t="str">
        <f>IF(OR(U1556="",U1556="ERRO_CHAVE"),"",IFERROR(MATCH(U1556,Fornecedores!$AF$1:$AF$6631,0),""))</f>
        <v/>
      </c>
      <c r="W1556" t="str">
        <f t="shared" si="3"/>
        <v/>
      </c>
      <c r="X1556" s="4" t="str">
        <f>IF(V1556="","",INDEX(Fornecedores!$X$1:$X$6631,V1556))</f>
        <v/>
      </c>
      <c r="Y1556" s="4" t="str">
        <f t="shared" si="4"/>
        <v/>
      </c>
    </row>
    <row r="1557" spans="19:25">
      <c r="S1557" t="str">
        <f t="shared" si="0"/>
        <v/>
      </c>
      <c r="T1557" t="str">
        <f t="shared" si="1"/>
        <v/>
      </c>
      <c r="U1557" t="str">
        <f t="shared" si="2"/>
        <v/>
      </c>
      <c r="V1557" t="str">
        <f>IF(OR(U1557="",U1557="ERRO_CHAVE"),"",IFERROR(MATCH(U1557,Fornecedores!$AF$1:$AF$6631,0),""))</f>
        <v/>
      </c>
      <c r="W1557" t="str">
        <f t="shared" si="3"/>
        <v/>
      </c>
      <c r="X1557" s="4" t="str">
        <f>IF(V1557="","",INDEX(Fornecedores!$X$1:$X$6631,V1557))</f>
        <v/>
      </c>
      <c r="Y1557" s="4" t="str">
        <f t="shared" si="4"/>
        <v/>
      </c>
    </row>
    <row r="1558" spans="19:25">
      <c r="S1558" t="str">
        <f t="shared" si="0"/>
        <v/>
      </c>
      <c r="T1558" t="str">
        <f t="shared" si="1"/>
        <v/>
      </c>
      <c r="U1558" t="str">
        <f t="shared" si="2"/>
        <v/>
      </c>
      <c r="V1558" t="str">
        <f>IF(OR(U1558="",U1558="ERRO_CHAVE"),"",IFERROR(MATCH(U1558,Fornecedores!$AF$1:$AF$6631,0),""))</f>
        <v/>
      </c>
      <c r="W1558" t="str">
        <f t="shared" si="3"/>
        <v/>
      </c>
      <c r="X1558" s="4" t="str">
        <f>IF(V1558="","",INDEX(Fornecedores!$X$1:$X$6631,V1558))</f>
        <v/>
      </c>
      <c r="Y1558" s="4" t="str">
        <f t="shared" si="4"/>
        <v/>
      </c>
    </row>
    <row r="1559" spans="19:25">
      <c r="S1559" t="str">
        <f t="shared" si="0"/>
        <v/>
      </c>
      <c r="T1559" t="str">
        <f t="shared" si="1"/>
        <v/>
      </c>
      <c r="U1559" t="str">
        <f t="shared" si="2"/>
        <v/>
      </c>
      <c r="V1559" t="str">
        <f>IF(OR(U1559="",U1559="ERRO_CHAVE"),"",IFERROR(MATCH(U1559,Fornecedores!$AF$1:$AF$6631,0),""))</f>
        <v/>
      </c>
      <c r="W1559" t="str">
        <f t="shared" si="3"/>
        <v/>
      </c>
      <c r="X1559" s="4" t="str">
        <f>IF(V1559="","",INDEX(Fornecedores!$X$1:$X$6631,V1559))</f>
        <v/>
      </c>
      <c r="Y1559" s="4" t="str">
        <f t="shared" si="4"/>
        <v/>
      </c>
    </row>
    <row r="1560" spans="19:25">
      <c r="S1560" t="str">
        <f t="shared" si="0"/>
        <v/>
      </c>
      <c r="T1560" t="str">
        <f t="shared" si="1"/>
        <v/>
      </c>
      <c r="U1560" t="str">
        <f t="shared" si="2"/>
        <v/>
      </c>
      <c r="V1560" t="str">
        <f>IF(OR(U1560="",U1560="ERRO_CHAVE"),"",IFERROR(MATCH(U1560,Fornecedores!$AF$1:$AF$6631,0),""))</f>
        <v/>
      </c>
      <c r="W1560" t="str">
        <f t="shared" si="3"/>
        <v/>
      </c>
      <c r="X1560" s="4" t="str">
        <f>IF(V1560="","",INDEX(Fornecedores!$X$1:$X$6631,V1560))</f>
        <v/>
      </c>
      <c r="Y1560" s="4" t="str">
        <f t="shared" si="4"/>
        <v/>
      </c>
    </row>
    <row r="1561" spans="19:25">
      <c r="S1561" t="str">
        <f t="shared" si="0"/>
        <v/>
      </c>
      <c r="T1561" t="str">
        <f t="shared" si="1"/>
        <v/>
      </c>
      <c r="U1561" t="str">
        <f t="shared" si="2"/>
        <v/>
      </c>
      <c r="V1561" t="str">
        <f>IF(OR(U1561="",U1561="ERRO_CHAVE"),"",IFERROR(MATCH(U1561,Fornecedores!$AF$1:$AF$6631,0),""))</f>
        <v/>
      </c>
      <c r="W1561" t="str">
        <f t="shared" si="3"/>
        <v/>
      </c>
      <c r="X1561" s="4" t="str">
        <f>IF(V1561="","",INDEX(Fornecedores!$X$1:$X$6631,V1561))</f>
        <v/>
      </c>
      <c r="Y1561" s="4" t="str">
        <f t="shared" si="4"/>
        <v/>
      </c>
    </row>
    <row r="1562" spans="19:25">
      <c r="S1562" t="str">
        <f t="shared" si="0"/>
        <v/>
      </c>
      <c r="T1562" t="str">
        <f t="shared" si="1"/>
        <v/>
      </c>
      <c r="U1562" t="str">
        <f t="shared" si="2"/>
        <v/>
      </c>
      <c r="V1562" t="str">
        <f>IF(OR(U1562="",U1562="ERRO_CHAVE"),"",IFERROR(MATCH(U1562,Fornecedores!$AF$1:$AF$6631,0),""))</f>
        <v/>
      </c>
      <c r="W1562" t="str">
        <f t="shared" si="3"/>
        <v/>
      </c>
      <c r="X1562" s="4" t="str">
        <f>IF(V1562="","",INDEX(Fornecedores!$X$1:$X$6631,V1562))</f>
        <v/>
      </c>
      <c r="Y1562" s="4" t="str">
        <f t="shared" si="4"/>
        <v/>
      </c>
    </row>
    <row r="1563" spans="19:25">
      <c r="S1563" t="str">
        <f t="shared" si="0"/>
        <v/>
      </c>
      <c r="T1563" t="str">
        <f t="shared" si="1"/>
        <v/>
      </c>
      <c r="U1563" t="str">
        <f t="shared" si="2"/>
        <v/>
      </c>
      <c r="V1563" t="str">
        <f>IF(OR(U1563="",U1563="ERRO_CHAVE"),"",IFERROR(MATCH(U1563,Fornecedores!$AF$1:$AF$6631,0),""))</f>
        <v/>
      </c>
      <c r="W1563" t="str">
        <f t="shared" si="3"/>
        <v/>
      </c>
      <c r="X1563" s="4" t="str">
        <f>IF(V1563="","",INDEX(Fornecedores!$X$1:$X$6631,V1563))</f>
        <v/>
      </c>
      <c r="Y1563" s="4" t="str">
        <f t="shared" si="4"/>
        <v/>
      </c>
    </row>
    <row r="1564" spans="19:25">
      <c r="S1564" t="str">
        <f t="shared" si="0"/>
        <v/>
      </c>
      <c r="T1564" t="str">
        <f t="shared" si="1"/>
        <v/>
      </c>
      <c r="U1564" t="str">
        <f t="shared" si="2"/>
        <v/>
      </c>
      <c r="V1564" t="str">
        <f>IF(OR(U1564="",U1564="ERRO_CHAVE"),"",IFERROR(MATCH(U1564,Fornecedores!$AF$1:$AF$6631,0),""))</f>
        <v/>
      </c>
      <c r="W1564" t="str">
        <f t="shared" si="3"/>
        <v/>
      </c>
      <c r="X1564" s="4" t="str">
        <f>IF(V1564="","",INDEX(Fornecedores!$X$1:$X$6631,V1564))</f>
        <v/>
      </c>
      <c r="Y1564" s="4" t="str">
        <f t="shared" si="4"/>
        <v/>
      </c>
    </row>
    <row r="1565" spans="19:25">
      <c r="S1565" t="str">
        <f t="shared" si="0"/>
        <v/>
      </c>
      <c r="T1565" t="str">
        <f t="shared" si="1"/>
        <v/>
      </c>
      <c r="U1565" t="str">
        <f t="shared" si="2"/>
        <v/>
      </c>
      <c r="V1565" t="str">
        <f>IF(OR(U1565="",U1565="ERRO_CHAVE"),"",IFERROR(MATCH(U1565,Fornecedores!$AF$1:$AF$6631,0),""))</f>
        <v/>
      </c>
      <c r="W1565" t="str">
        <f t="shared" si="3"/>
        <v/>
      </c>
      <c r="X1565" s="4" t="str">
        <f>IF(V1565="","",INDEX(Fornecedores!$X$1:$X$6631,V1565))</f>
        <v/>
      </c>
      <c r="Y1565" s="4" t="str">
        <f t="shared" si="4"/>
        <v/>
      </c>
    </row>
    <row r="1566" spans="19:25">
      <c r="S1566" t="str">
        <f t="shared" si="0"/>
        <v/>
      </c>
      <c r="T1566" t="str">
        <f t="shared" si="1"/>
        <v/>
      </c>
      <c r="U1566" t="str">
        <f t="shared" si="2"/>
        <v/>
      </c>
      <c r="V1566" t="str">
        <f>IF(OR(U1566="",U1566="ERRO_CHAVE"),"",IFERROR(MATCH(U1566,Fornecedores!$AF$1:$AF$6631,0),""))</f>
        <v/>
      </c>
      <c r="W1566" t="str">
        <f t="shared" si="3"/>
        <v/>
      </c>
      <c r="X1566" s="4" t="str">
        <f>IF(V1566="","",INDEX(Fornecedores!$X$1:$X$6631,V1566))</f>
        <v/>
      </c>
      <c r="Y1566" s="4" t="str">
        <f t="shared" si="4"/>
        <v/>
      </c>
    </row>
    <row r="1567" spans="19:25">
      <c r="S1567" t="str">
        <f t="shared" si="0"/>
        <v/>
      </c>
      <c r="T1567" t="str">
        <f t="shared" si="1"/>
        <v/>
      </c>
      <c r="U1567" t="str">
        <f t="shared" si="2"/>
        <v/>
      </c>
      <c r="V1567" t="str">
        <f>IF(OR(U1567="",U1567="ERRO_CHAVE"),"",IFERROR(MATCH(U1567,Fornecedores!$AF$1:$AF$6631,0),""))</f>
        <v/>
      </c>
      <c r="W1567" t="str">
        <f t="shared" si="3"/>
        <v/>
      </c>
      <c r="X1567" s="4" t="str">
        <f>IF(V1567="","",INDEX(Fornecedores!$X$1:$X$6631,V1567))</f>
        <v/>
      </c>
      <c r="Y1567" s="4" t="str">
        <f t="shared" si="4"/>
        <v/>
      </c>
    </row>
    <row r="1568" spans="19:25">
      <c r="S1568" t="str">
        <f t="shared" si="0"/>
        <v/>
      </c>
      <c r="T1568" t="str">
        <f t="shared" si="1"/>
        <v/>
      </c>
      <c r="U1568" t="str">
        <f t="shared" si="2"/>
        <v/>
      </c>
      <c r="V1568" t="str">
        <f>IF(OR(U1568="",U1568="ERRO_CHAVE"),"",IFERROR(MATCH(U1568,Fornecedores!$AF$1:$AF$6631,0),""))</f>
        <v/>
      </c>
      <c r="W1568" t="str">
        <f t="shared" si="3"/>
        <v/>
      </c>
      <c r="X1568" s="4" t="str">
        <f>IF(V1568="","",INDEX(Fornecedores!$X$1:$X$6631,V1568))</f>
        <v/>
      </c>
      <c r="Y1568" s="4" t="str">
        <f t="shared" si="4"/>
        <v/>
      </c>
    </row>
    <row r="1569" spans="19:25">
      <c r="S1569" t="str">
        <f t="shared" si="0"/>
        <v/>
      </c>
      <c r="T1569" t="str">
        <f t="shared" si="1"/>
        <v/>
      </c>
      <c r="U1569" t="str">
        <f t="shared" si="2"/>
        <v/>
      </c>
      <c r="V1569" t="str">
        <f>IF(OR(U1569="",U1569="ERRO_CHAVE"),"",IFERROR(MATCH(U1569,Fornecedores!$AF$1:$AF$6631,0),""))</f>
        <v/>
      </c>
      <c r="W1569" t="str">
        <f t="shared" si="3"/>
        <v/>
      </c>
      <c r="X1569" s="4" t="str">
        <f>IF(V1569="","",INDEX(Fornecedores!$X$1:$X$6631,V1569))</f>
        <v/>
      </c>
      <c r="Y1569" s="4" t="str">
        <f t="shared" si="4"/>
        <v/>
      </c>
    </row>
    <row r="1570" spans="19:25">
      <c r="S1570" t="str">
        <f t="shared" si="0"/>
        <v/>
      </c>
      <c r="T1570" t="str">
        <f t="shared" si="1"/>
        <v/>
      </c>
      <c r="U1570" t="str">
        <f t="shared" si="2"/>
        <v/>
      </c>
      <c r="V1570" t="str">
        <f>IF(OR(U1570="",U1570="ERRO_CHAVE"),"",IFERROR(MATCH(U1570,Fornecedores!$AF$1:$AF$6631,0),""))</f>
        <v/>
      </c>
      <c r="W1570" t="str">
        <f t="shared" si="3"/>
        <v/>
      </c>
      <c r="X1570" s="4" t="str">
        <f>IF(V1570="","",INDEX(Fornecedores!$X$1:$X$6631,V1570))</f>
        <v/>
      </c>
      <c r="Y1570" s="4" t="str">
        <f t="shared" si="4"/>
        <v/>
      </c>
    </row>
    <row r="1571" spans="19:25">
      <c r="S1571" t="str">
        <f t="shared" si="0"/>
        <v/>
      </c>
      <c r="T1571" t="str">
        <f t="shared" si="1"/>
        <v/>
      </c>
      <c r="U1571" t="str">
        <f t="shared" si="2"/>
        <v/>
      </c>
      <c r="V1571" t="str">
        <f>IF(OR(U1571="",U1571="ERRO_CHAVE"),"",IFERROR(MATCH(U1571,Fornecedores!$AF$1:$AF$6631,0),""))</f>
        <v/>
      </c>
      <c r="W1571" t="str">
        <f t="shared" si="3"/>
        <v/>
      </c>
      <c r="X1571" s="4" t="str">
        <f>IF(V1571="","",INDEX(Fornecedores!$X$1:$X$6631,V1571))</f>
        <v/>
      </c>
      <c r="Y1571" s="4" t="str">
        <f t="shared" si="4"/>
        <v/>
      </c>
    </row>
    <row r="1572" spans="19:25">
      <c r="S1572" t="str">
        <f t="shared" si="0"/>
        <v/>
      </c>
      <c r="T1572" t="str">
        <f t="shared" si="1"/>
        <v/>
      </c>
      <c r="U1572" t="str">
        <f t="shared" si="2"/>
        <v/>
      </c>
      <c r="V1572" t="str">
        <f>IF(OR(U1572="",U1572="ERRO_CHAVE"),"",IFERROR(MATCH(U1572,Fornecedores!$AF$1:$AF$6631,0),""))</f>
        <v/>
      </c>
      <c r="W1572" t="str">
        <f t="shared" si="3"/>
        <v/>
      </c>
      <c r="X1572" s="4" t="str">
        <f>IF(V1572="","",INDEX(Fornecedores!$X$1:$X$6631,V1572))</f>
        <v/>
      </c>
      <c r="Y1572" s="4" t="str">
        <f t="shared" si="4"/>
        <v/>
      </c>
    </row>
    <row r="1573" spans="19:25">
      <c r="S1573" t="str">
        <f t="shared" si="0"/>
        <v/>
      </c>
      <c r="T1573" t="str">
        <f t="shared" si="1"/>
        <v/>
      </c>
      <c r="U1573" t="str">
        <f t="shared" si="2"/>
        <v/>
      </c>
      <c r="V1573" t="str">
        <f>IF(OR(U1573="",U1573="ERRO_CHAVE"),"",IFERROR(MATCH(U1573,Fornecedores!$AF$1:$AF$6631,0),""))</f>
        <v/>
      </c>
      <c r="W1573" t="str">
        <f t="shared" si="3"/>
        <v/>
      </c>
      <c r="X1573" s="4" t="str">
        <f>IF(V1573="","",INDEX(Fornecedores!$X$1:$X$6631,V1573))</f>
        <v/>
      </c>
      <c r="Y1573" s="4" t="str">
        <f t="shared" si="4"/>
        <v/>
      </c>
    </row>
    <row r="1574" spans="19:25">
      <c r="S1574" t="str">
        <f t="shared" si="0"/>
        <v/>
      </c>
      <c r="T1574" t="str">
        <f t="shared" si="1"/>
        <v/>
      </c>
      <c r="U1574" t="str">
        <f t="shared" si="2"/>
        <v/>
      </c>
      <c r="V1574" t="str">
        <f>IF(OR(U1574="",U1574="ERRO_CHAVE"),"",IFERROR(MATCH(U1574,Fornecedores!$AF$1:$AF$6631,0),""))</f>
        <v/>
      </c>
      <c r="W1574" t="str">
        <f t="shared" si="3"/>
        <v/>
      </c>
      <c r="X1574" s="4" t="str">
        <f>IF(V1574="","",INDEX(Fornecedores!$X$1:$X$6631,V1574))</f>
        <v/>
      </c>
      <c r="Y1574" s="4" t="str">
        <f t="shared" si="4"/>
        <v/>
      </c>
    </row>
    <row r="1575" spans="19:25">
      <c r="S1575" t="str">
        <f t="shared" si="0"/>
        <v/>
      </c>
      <c r="T1575" t="str">
        <f t="shared" si="1"/>
        <v/>
      </c>
      <c r="U1575" t="str">
        <f t="shared" si="2"/>
        <v/>
      </c>
      <c r="V1575" t="str">
        <f>IF(OR(U1575="",U1575="ERRO_CHAVE"),"",IFERROR(MATCH(U1575,Fornecedores!$AF$1:$AF$6631,0),""))</f>
        <v/>
      </c>
      <c r="W1575" t="str">
        <f t="shared" si="3"/>
        <v/>
      </c>
      <c r="X1575" s="4" t="str">
        <f>IF(V1575="","",INDEX(Fornecedores!$X$1:$X$6631,V1575))</f>
        <v/>
      </c>
      <c r="Y1575" s="4" t="str">
        <f t="shared" si="4"/>
        <v/>
      </c>
    </row>
    <row r="1576" spans="19:25">
      <c r="S1576" t="str">
        <f t="shared" si="0"/>
        <v/>
      </c>
      <c r="T1576" t="str">
        <f t="shared" si="1"/>
        <v/>
      </c>
      <c r="U1576" t="str">
        <f t="shared" si="2"/>
        <v/>
      </c>
      <c r="V1576" t="str">
        <f>IF(OR(U1576="",U1576="ERRO_CHAVE"),"",IFERROR(MATCH(U1576,Fornecedores!$AF$1:$AF$6631,0),""))</f>
        <v/>
      </c>
      <c r="W1576" t="str">
        <f t="shared" si="3"/>
        <v/>
      </c>
      <c r="X1576" s="4" t="str">
        <f>IF(V1576="","",INDEX(Fornecedores!$X$1:$X$6631,V1576))</f>
        <v/>
      </c>
      <c r="Y1576" s="4" t="str">
        <f t="shared" si="4"/>
        <v/>
      </c>
    </row>
    <row r="1577" spans="19:25">
      <c r="S1577" t="str">
        <f t="shared" si="0"/>
        <v/>
      </c>
      <c r="T1577" t="str">
        <f t="shared" si="1"/>
        <v/>
      </c>
      <c r="U1577" t="str">
        <f t="shared" si="2"/>
        <v/>
      </c>
      <c r="V1577" t="str">
        <f>IF(OR(U1577="",U1577="ERRO_CHAVE"),"",IFERROR(MATCH(U1577,Fornecedores!$AF$1:$AF$6631,0),""))</f>
        <v/>
      </c>
      <c r="W1577" t="str">
        <f t="shared" si="3"/>
        <v/>
      </c>
      <c r="X1577" s="4" t="str">
        <f>IF(V1577="","",INDEX(Fornecedores!$X$1:$X$6631,V1577))</f>
        <v/>
      </c>
      <c r="Y1577" s="4" t="str">
        <f t="shared" si="4"/>
        <v/>
      </c>
    </row>
    <row r="1578" spans="19:25">
      <c r="S1578" t="str">
        <f t="shared" si="0"/>
        <v/>
      </c>
      <c r="T1578" t="str">
        <f t="shared" si="1"/>
        <v/>
      </c>
      <c r="U1578" t="str">
        <f t="shared" si="2"/>
        <v/>
      </c>
      <c r="V1578" t="str">
        <f>IF(OR(U1578="",U1578="ERRO_CHAVE"),"",IFERROR(MATCH(U1578,Fornecedores!$AF$1:$AF$6631,0),""))</f>
        <v/>
      </c>
      <c r="W1578" t="str">
        <f t="shared" si="3"/>
        <v/>
      </c>
      <c r="X1578" s="4" t="str">
        <f>IF(V1578="","",INDEX(Fornecedores!$X$1:$X$6631,V1578))</f>
        <v/>
      </c>
      <c r="Y1578" s="4" t="str">
        <f t="shared" si="4"/>
        <v/>
      </c>
    </row>
    <row r="1579" spans="19:25">
      <c r="S1579" t="str">
        <f t="shared" si="0"/>
        <v/>
      </c>
      <c r="T1579" t="str">
        <f t="shared" si="1"/>
        <v/>
      </c>
      <c r="U1579" t="str">
        <f t="shared" si="2"/>
        <v/>
      </c>
      <c r="V1579" t="str">
        <f>IF(OR(U1579="",U1579="ERRO_CHAVE"),"",IFERROR(MATCH(U1579,Fornecedores!$AF$1:$AF$6631,0),""))</f>
        <v/>
      </c>
      <c r="W1579" t="str">
        <f t="shared" si="3"/>
        <v/>
      </c>
      <c r="X1579" s="4" t="str">
        <f>IF(V1579="","",INDEX(Fornecedores!$X$1:$X$6631,V1579))</f>
        <v/>
      </c>
      <c r="Y1579" s="4" t="str">
        <f t="shared" si="4"/>
        <v/>
      </c>
    </row>
    <row r="1580" spans="19:25">
      <c r="S1580" t="str">
        <f t="shared" si="0"/>
        <v/>
      </c>
      <c r="T1580" t="str">
        <f t="shared" si="1"/>
        <v/>
      </c>
      <c r="U1580" t="str">
        <f t="shared" si="2"/>
        <v/>
      </c>
      <c r="V1580" t="str">
        <f>IF(OR(U1580="",U1580="ERRO_CHAVE"),"",IFERROR(MATCH(U1580,Fornecedores!$AF$1:$AF$6631,0),""))</f>
        <v/>
      </c>
      <c r="W1580" t="str">
        <f t="shared" si="3"/>
        <v/>
      </c>
      <c r="X1580" s="4" t="str">
        <f>IF(V1580="","",INDEX(Fornecedores!$X$1:$X$6631,V1580))</f>
        <v/>
      </c>
      <c r="Y1580" s="4" t="str">
        <f t="shared" si="4"/>
        <v/>
      </c>
    </row>
    <row r="1581" spans="19:25">
      <c r="S1581" t="str">
        <f t="shared" si="0"/>
        <v/>
      </c>
      <c r="T1581" t="str">
        <f t="shared" si="1"/>
        <v/>
      </c>
      <c r="U1581" t="str">
        <f t="shared" si="2"/>
        <v/>
      </c>
      <c r="V1581" t="str">
        <f>IF(OR(U1581="",U1581="ERRO_CHAVE"),"",IFERROR(MATCH(U1581,Fornecedores!$AF$1:$AF$6631,0),""))</f>
        <v/>
      </c>
      <c r="W1581" t="str">
        <f t="shared" si="3"/>
        <v/>
      </c>
      <c r="X1581" s="4" t="str">
        <f>IF(V1581="","",INDEX(Fornecedores!$X$1:$X$6631,V1581))</f>
        <v/>
      </c>
      <c r="Y1581" s="4" t="str">
        <f t="shared" si="4"/>
        <v/>
      </c>
    </row>
    <row r="1582" spans="19:25">
      <c r="S1582" t="str">
        <f t="shared" si="0"/>
        <v/>
      </c>
      <c r="T1582" t="str">
        <f t="shared" si="1"/>
        <v/>
      </c>
      <c r="U1582" t="str">
        <f t="shared" si="2"/>
        <v/>
      </c>
      <c r="V1582" t="str">
        <f>IF(OR(U1582="",U1582="ERRO_CHAVE"),"",IFERROR(MATCH(U1582,Fornecedores!$AF$1:$AF$6631,0),""))</f>
        <v/>
      </c>
      <c r="W1582" t="str">
        <f t="shared" si="3"/>
        <v/>
      </c>
      <c r="X1582" s="4" t="str">
        <f>IF(V1582="","",INDEX(Fornecedores!$X$1:$X$6631,V1582))</f>
        <v/>
      </c>
      <c r="Y1582" s="4" t="str">
        <f t="shared" si="4"/>
        <v/>
      </c>
    </row>
    <row r="1583" spans="19:25">
      <c r="S1583" t="str">
        <f t="shared" si="0"/>
        <v/>
      </c>
      <c r="T1583" t="str">
        <f t="shared" si="1"/>
        <v/>
      </c>
      <c r="U1583" t="str">
        <f t="shared" si="2"/>
        <v/>
      </c>
      <c r="V1583" t="str">
        <f>IF(OR(U1583="",U1583="ERRO_CHAVE"),"",IFERROR(MATCH(U1583,Fornecedores!$AF$1:$AF$6631,0),""))</f>
        <v/>
      </c>
      <c r="W1583" t="str">
        <f t="shared" si="3"/>
        <v/>
      </c>
      <c r="X1583" s="4" t="str">
        <f>IF(V1583="","",INDEX(Fornecedores!$X$1:$X$6631,V1583))</f>
        <v/>
      </c>
      <c r="Y1583" s="4" t="str">
        <f t="shared" si="4"/>
        <v/>
      </c>
    </row>
    <row r="1584" spans="19:25">
      <c r="S1584" t="str">
        <f t="shared" si="0"/>
        <v/>
      </c>
      <c r="T1584" t="str">
        <f t="shared" si="1"/>
        <v/>
      </c>
      <c r="U1584" t="str">
        <f t="shared" si="2"/>
        <v/>
      </c>
      <c r="V1584" t="str">
        <f>IF(OR(U1584="",U1584="ERRO_CHAVE"),"",IFERROR(MATCH(U1584,Fornecedores!$AF$1:$AF$6631,0),""))</f>
        <v/>
      </c>
      <c r="W1584" t="str">
        <f t="shared" si="3"/>
        <v/>
      </c>
      <c r="X1584" s="4" t="str">
        <f>IF(V1584="","",INDEX(Fornecedores!$X$1:$X$6631,V1584))</f>
        <v/>
      </c>
      <c r="Y1584" s="4" t="str">
        <f t="shared" si="4"/>
        <v/>
      </c>
    </row>
    <row r="1585" spans="19:25">
      <c r="S1585" t="str">
        <f t="shared" si="0"/>
        <v/>
      </c>
      <c r="T1585" t="str">
        <f t="shared" si="1"/>
        <v/>
      </c>
      <c r="U1585" t="str">
        <f t="shared" si="2"/>
        <v/>
      </c>
      <c r="V1585" t="str">
        <f>IF(OR(U1585="",U1585="ERRO_CHAVE"),"",IFERROR(MATCH(U1585,Fornecedores!$AF$1:$AF$6631,0),""))</f>
        <v/>
      </c>
      <c r="W1585" t="str">
        <f t="shared" si="3"/>
        <v/>
      </c>
      <c r="X1585" s="4" t="str">
        <f>IF(V1585="","",INDEX(Fornecedores!$X$1:$X$6631,V1585))</f>
        <v/>
      </c>
      <c r="Y1585" s="4" t="str">
        <f t="shared" si="4"/>
        <v/>
      </c>
    </row>
    <row r="1586" spans="19:25">
      <c r="S1586" t="str">
        <f t="shared" si="0"/>
        <v/>
      </c>
      <c r="T1586" t="str">
        <f t="shared" si="1"/>
        <v/>
      </c>
      <c r="U1586" t="str">
        <f t="shared" si="2"/>
        <v/>
      </c>
      <c r="V1586" t="str">
        <f>IF(OR(U1586="",U1586="ERRO_CHAVE"),"",IFERROR(MATCH(U1586,Fornecedores!$AF$1:$AF$6631,0),""))</f>
        <v/>
      </c>
      <c r="W1586" t="str">
        <f t="shared" si="3"/>
        <v/>
      </c>
      <c r="X1586" s="4" t="str">
        <f>IF(V1586="","",INDEX(Fornecedores!$X$1:$X$6631,V1586))</f>
        <v/>
      </c>
      <c r="Y1586" s="4" t="str">
        <f t="shared" si="4"/>
        <v/>
      </c>
    </row>
    <row r="1587" spans="19:25">
      <c r="S1587" t="str">
        <f t="shared" si="0"/>
        <v/>
      </c>
      <c r="T1587" t="str">
        <f t="shared" si="1"/>
        <v/>
      </c>
      <c r="U1587" t="str">
        <f t="shared" si="2"/>
        <v/>
      </c>
      <c r="V1587" t="str">
        <f>IF(OR(U1587="",U1587="ERRO_CHAVE"),"",IFERROR(MATCH(U1587,Fornecedores!$AF$1:$AF$6631,0),""))</f>
        <v/>
      </c>
      <c r="W1587" t="str">
        <f t="shared" si="3"/>
        <v/>
      </c>
      <c r="X1587" s="4" t="str">
        <f>IF(V1587="","",INDEX(Fornecedores!$X$1:$X$6631,V1587))</f>
        <v/>
      </c>
      <c r="Y1587" s="4" t="str">
        <f t="shared" si="4"/>
        <v/>
      </c>
    </row>
    <row r="1588" spans="19:25">
      <c r="S1588" t="str">
        <f t="shared" si="0"/>
        <v/>
      </c>
      <c r="T1588" t="str">
        <f t="shared" si="1"/>
        <v/>
      </c>
      <c r="U1588" t="str">
        <f t="shared" si="2"/>
        <v/>
      </c>
      <c r="V1588" t="str">
        <f>IF(OR(U1588="",U1588="ERRO_CHAVE"),"",IFERROR(MATCH(U1588,Fornecedores!$AF$1:$AF$6631,0),""))</f>
        <v/>
      </c>
      <c r="W1588" t="str">
        <f t="shared" si="3"/>
        <v/>
      </c>
      <c r="X1588" s="4" t="str">
        <f>IF(V1588="","",INDEX(Fornecedores!$X$1:$X$6631,V1588))</f>
        <v/>
      </c>
      <c r="Y1588" s="4" t="str">
        <f t="shared" si="4"/>
        <v/>
      </c>
    </row>
    <row r="1589" spans="19:25">
      <c r="S1589" t="str">
        <f t="shared" si="0"/>
        <v/>
      </c>
      <c r="T1589" t="str">
        <f t="shared" si="1"/>
        <v/>
      </c>
      <c r="U1589" t="str">
        <f t="shared" si="2"/>
        <v/>
      </c>
      <c r="V1589" t="str">
        <f>IF(OR(U1589="",U1589="ERRO_CHAVE"),"",IFERROR(MATCH(U1589,Fornecedores!$AF$1:$AF$6631,0),""))</f>
        <v/>
      </c>
      <c r="W1589" t="str">
        <f t="shared" si="3"/>
        <v/>
      </c>
      <c r="X1589" s="4" t="str">
        <f>IF(V1589="","",INDEX(Fornecedores!$X$1:$X$6631,V1589))</f>
        <v/>
      </c>
      <c r="Y1589" s="4" t="str">
        <f t="shared" si="4"/>
        <v/>
      </c>
    </row>
    <row r="1590" spans="19:25">
      <c r="S1590" t="str">
        <f t="shared" si="0"/>
        <v/>
      </c>
      <c r="T1590" t="str">
        <f t="shared" si="1"/>
        <v/>
      </c>
      <c r="U1590" t="str">
        <f t="shared" si="2"/>
        <v/>
      </c>
      <c r="V1590" t="str">
        <f>IF(OR(U1590="",U1590="ERRO_CHAVE"),"",IFERROR(MATCH(U1590,Fornecedores!$AF$1:$AF$6631,0),""))</f>
        <v/>
      </c>
      <c r="W1590" t="str">
        <f t="shared" si="3"/>
        <v/>
      </c>
      <c r="X1590" s="4" t="str">
        <f>IF(V1590="","",INDEX(Fornecedores!$X$1:$X$6631,V1590))</f>
        <v/>
      </c>
      <c r="Y1590" s="4" t="str">
        <f t="shared" si="4"/>
        <v/>
      </c>
    </row>
    <row r="1591" spans="19:25">
      <c r="S1591" t="str">
        <f t="shared" si="0"/>
        <v/>
      </c>
      <c r="T1591" t="str">
        <f t="shared" si="1"/>
        <v/>
      </c>
      <c r="U1591" t="str">
        <f t="shared" si="2"/>
        <v/>
      </c>
      <c r="V1591" t="str">
        <f>IF(OR(U1591="",U1591="ERRO_CHAVE"),"",IFERROR(MATCH(U1591,Fornecedores!$AF$1:$AF$6631,0),""))</f>
        <v/>
      </c>
      <c r="W1591" t="str">
        <f t="shared" si="3"/>
        <v/>
      </c>
      <c r="X1591" s="4" t="str">
        <f>IF(V1591="","",INDEX(Fornecedores!$X$1:$X$6631,V1591))</f>
        <v/>
      </c>
      <c r="Y1591" s="4" t="str">
        <f t="shared" si="4"/>
        <v/>
      </c>
    </row>
    <row r="1592" spans="19:25">
      <c r="S1592" t="str">
        <f t="shared" si="0"/>
        <v/>
      </c>
      <c r="T1592" t="str">
        <f t="shared" si="1"/>
        <v/>
      </c>
      <c r="U1592" t="str">
        <f t="shared" si="2"/>
        <v/>
      </c>
      <c r="V1592" t="str">
        <f>IF(OR(U1592="",U1592="ERRO_CHAVE"),"",IFERROR(MATCH(U1592,Fornecedores!$AF$1:$AF$6631,0),""))</f>
        <v/>
      </c>
      <c r="W1592" t="str">
        <f t="shared" si="3"/>
        <v/>
      </c>
      <c r="X1592" s="4" t="str">
        <f>IF(V1592="","",INDEX(Fornecedores!$X$1:$X$6631,V1592))</f>
        <v/>
      </c>
      <c r="Y1592" s="4" t="str">
        <f t="shared" si="4"/>
        <v/>
      </c>
    </row>
    <row r="1593" spans="19:25">
      <c r="S1593" t="str">
        <f t="shared" si="0"/>
        <v/>
      </c>
      <c r="T1593" t="str">
        <f t="shared" si="1"/>
        <v/>
      </c>
      <c r="U1593" t="str">
        <f t="shared" si="2"/>
        <v/>
      </c>
      <c r="V1593" t="str">
        <f>IF(OR(U1593="",U1593="ERRO_CHAVE"),"",IFERROR(MATCH(U1593,Fornecedores!$AF$1:$AF$6631,0),""))</f>
        <v/>
      </c>
      <c r="W1593" t="str">
        <f t="shared" si="3"/>
        <v/>
      </c>
      <c r="X1593" s="4" t="str">
        <f>IF(V1593="","",INDEX(Fornecedores!$X$1:$X$6631,V1593))</f>
        <v/>
      </c>
      <c r="Y1593" s="4" t="str">
        <f t="shared" si="4"/>
        <v/>
      </c>
    </row>
    <row r="1594" spans="19:25">
      <c r="S1594" t="str">
        <f t="shared" si="0"/>
        <v/>
      </c>
      <c r="T1594" t="str">
        <f t="shared" si="1"/>
        <v/>
      </c>
      <c r="U1594" t="str">
        <f t="shared" si="2"/>
        <v/>
      </c>
      <c r="V1594" t="str">
        <f>IF(OR(U1594="",U1594="ERRO_CHAVE"),"",IFERROR(MATCH(U1594,Fornecedores!$AF$1:$AF$6631,0),""))</f>
        <v/>
      </c>
      <c r="W1594" t="str">
        <f t="shared" si="3"/>
        <v/>
      </c>
      <c r="X1594" s="4" t="str">
        <f>IF(V1594="","",INDEX(Fornecedores!$X$1:$X$6631,V1594))</f>
        <v/>
      </c>
      <c r="Y1594" s="4" t="str">
        <f t="shared" si="4"/>
        <v/>
      </c>
    </row>
    <row r="1595" spans="19:25">
      <c r="S1595" t="str">
        <f t="shared" si="0"/>
        <v/>
      </c>
      <c r="T1595" t="str">
        <f t="shared" si="1"/>
        <v/>
      </c>
      <c r="U1595" t="str">
        <f t="shared" si="2"/>
        <v/>
      </c>
      <c r="V1595" t="str">
        <f>IF(OR(U1595="",U1595="ERRO_CHAVE"),"",IFERROR(MATCH(U1595,Fornecedores!$AF$1:$AF$6631,0),""))</f>
        <v/>
      </c>
      <c r="W1595" t="str">
        <f t="shared" si="3"/>
        <v/>
      </c>
      <c r="X1595" s="4" t="str">
        <f>IF(V1595="","",INDEX(Fornecedores!$X$1:$X$6631,V1595))</f>
        <v/>
      </c>
      <c r="Y1595" s="4" t="str">
        <f t="shared" si="4"/>
        <v/>
      </c>
    </row>
    <row r="1596" spans="19:25">
      <c r="S1596" t="str">
        <f t="shared" si="0"/>
        <v/>
      </c>
      <c r="T1596" t="str">
        <f t="shared" si="1"/>
        <v/>
      </c>
      <c r="U1596" t="str">
        <f t="shared" si="2"/>
        <v/>
      </c>
      <c r="V1596" t="str">
        <f>IF(OR(U1596="",U1596="ERRO_CHAVE"),"",IFERROR(MATCH(U1596,Fornecedores!$AF$1:$AF$6631,0),""))</f>
        <v/>
      </c>
      <c r="W1596" t="str">
        <f t="shared" si="3"/>
        <v/>
      </c>
      <c r="X1596" s="4" t="str">
        <f>IF(V1596="","",INDEX(Fornecedores!$X$1:$X$6631,V1596))</f>
        <v/>
      </c>
      <c r="Y1596" s="4" t="str">
        <f t="shared" si="4"/>
        <v/>
      </c>
    </row>
    <row r="1597" spans="19:25">
      <c r="S1597" t="str">
        <f t="shared" si="0"/>
        <v/>
      </c>
      <c r="T1597" t="str">
        <f t="shared" si="1"/>
        <v/>
      </c>
      <c r="U1597" t="str">
        <f t="shared" si="2"/>
        <v/>
      </c>
      <c r="V1597" t="str">
        <f>IF(OR(U1597="",U1597="ERRO_CHAVE"),"",IFERROR(MATCH(U1597,Fornecedores!$AF$1:$AF$6631,0),""))</f>
        <v/>
      </c>
      <c r="W1597" t="str">
        <f t="shared" si="3"/>
        <v/>
      </c>
      <c r="X1597" s="4" t="str">
        <f>IF(V1597="","",INDEX(Fornecedores!$X$1:$X$6631,V1597))</f>
        <v/>
      </c>
      <c r="Y1597" s="4" t="str">
        <f t="shared" si="4"/>
        <v/>
      </c>
    </row>
    <row r="1598" spans="19:25">
      <c r="S1598" t="str">
        <f t="shared" si="0"/>
        <v/>
      </c>
      <c r="T1598" t="str">
        <f t="shared" si="1"/>
        <v/>
      </c>
      <c r="U1598" t="str">
        <f t="shared" si="2"/>
        <v/>
      </c>
      <c r="V1598" t="str">
        <f>IF(OR(U1598="",U1598="ERRO_CHAVE"),"",IFERROR(MATCH(U1598,Fornecedores!$AF$1:$AF$6631,0),""))</f>
        <v/>
      </c>
      <c r="W1598" t="str">
        <f t="shared" si="3"/>
        <v/>
      </c>
      <c r="X1598" s="4" t="str">
        <f>IF(V1598="","",INDEX(Fornecedores!$X$1:$X$6631,V1598))</f>
        <v/>
      </c>
      <c r="Y1598" s="4" t="str">
        <f t="shared" si="4"/>
        <v/>
      </c>
    </row>
    <row r="1599" spans="19:25">
      <c r="S1599" t="str">
        <f t="shared" si="0"/>
        <v/>
      </c>
      <c r="T1599" t="str">
        <f t="shared" si="1"/>
        <v/>
      </c>
      <c r="U1599" t="str">
        <f t="shared" si="2"/>
        <v/>
      </c>
      <c r="V1599" t="str">
        <f>IF(OR(U1599="",U1599="ERRO_CHAVE"),"",IFERROR(MATCH(U1599,Fornecedores!$AF$1:$AF$6631,0),""))</f>
        <v/>
      </c>
      <c r="W1599" t="str">
        <f t="shared" si="3"/>
        <v/>
      </c>
      <c r="X1599" s="4" t="str">
        <f>IF(V1599="","",INDEX(Fornecedores!$X$1:$X$6631,V1599))</f>
        <v/>
      </c>
      <c r="Y1599" s="4" t="str">
        <f t="shared" si="4"/>
        <v/>
      </c>
    </row>
    <row r="1600" spans="19:25">
      <c r="S1600" t="str">
        <f t="shared" si="0"/>
        <v/>
      </c>
      <c r="T1600" t="str">
        <f t="shared" si="1"/>
        <v/>
      </c>
      <c r="U1600" t="str">
        <f t="shared" si="2"/>
        <v/>
      </c>
      <c r="V1600" t="str">
        <f>IF(OR(U1600="",U1600="ERRO_CHAVE"),"",IFERROR(MATCH(U1600,Fornecedores!$AF$1:$AF$6631,0),""))</f>
        <v/>
      </c>
      <c r="W1600" t="str">
        <f t="shared" si="3"/>
        <v/>
      </c>
      <c r="X1600" s="4" t="str">
        <f>IF(V1600="","",INDEX(Fornecedores!$X$1:$X$6631,V1600))</f>
        <v/>
      </c>
      <c r="Y1600" s="4" t="str">
        <f t="shared" si="4"/>
        <v/>
      </c>
    </row>
    <row r="1601" spans="19:25">
      <c r="S1601" t="str">
        <f t="shared" si="0"/>
        <v/>
      </c>
      <c r="T1601" t="str">
        <f t="shared" si="1"/>
        <v/>
      </c>
      <c r="U1601" t="str">
        <f t="shared" si="2"/>
        <v/>
      </c>
      <c r="V1601" t="str">
        <f>IF(OR(U1601="",U1601="ERRO_CHAVE"),"",IFERROR(MATCH(U1601,Fornecedores!$AF$1:$AF$6631,0),""))</f>
        <v/>
      </c>
      <c r="W1601" t="str">
        <f t="shared" si="3"/>
        <v/>
      </c>
      <c r="X1601" s="4" t="str">
        <f>IF(V1601="","",INDEX(Fornecedores!$X$1:$X$6631,V1601))</f>
        <v/>
      </c>
      <c r="Y1601" s="4" t="str">
        <f t="shared" si="4"/>
        <v/>
      </c>
    </row>
    <row r="1602" spans="19:25">
      <c r="S1602" t="str">
        <f t="shared" si="0"/>
        <v/>
      </c>
      <c r="T1602" t="str">
        <f t="shared" si="1"/>
        <v/>
      </c>
      <c r="U1602" t="str">
        <f t="shared" si="2"/>
        <v/>
      </c>
      <c r="V1602" t="str">
        <f>IF(OR(U1602="",U1602="ERRO_CHAVE"),"",IFERROR(MATCH(U1602,Fornecedores!$AF$1:$AF$6631,0),""))</f>
        <v/>
      </c>
      <c r="W1602" t="str">
        <f t="shared" si="3"/>
        <v/>
      </c>
      <c r="X1602" s="4" t="str">
        <f>IF(V1602="","",INDEX(Fornecedores!$X$1:$X$6631,V1602))</f>
        <v/>
      </c>
      <c r="Y1602" s="4" t="str">
        <f t="shared" si="4"/>
        <v/>
      </c>
    </row>
    <row r="1603" spans="19:25">
      <c r="S1603" t="str">
        <f t="shared" si="0"/>
        <v/>
      </c>
      <c r="T1603" t="str">
        <f t="shared" si="1"/>
        <v/>
      </c>
      <c r="U1603" t="str">
        <f t="shared" si="2"/>
        <v/>
      </c>
      <c r="V1603" t="str">
        <f>IF(OR(U1603="",U1603="ERRO_CHAVE"),"",IFERROR(MATCH(U1603,Fornecedores!$AF$1:$AF$6631,0),""))</f>
        <v/>
      </c>
      <c r="W1603" t="str">
        <f t="shared" si="3"/>
        <v/>
      </c>
      <c r="X1603" s="4" t="str">
        <f>IF(V1603="","",INDEX(Fornecedores!$X$1:$X$6631,V1603))</f>
        <v/>
      </c>
      <c r="Y1603" s="4" t="str">
        <f t="shared" si="4"/>
        <v/>
      </c>
    </row>
    <row r="1604" spans="19:25">
      <c r="S1604" t="str">
        <f t="shared" si="0"/>
        <v/>
      </c>
      <c r="T1604" t="str">
        <f t="shared" si="1"/>
        <v/>
      </c>
      <c r="U1604" t="str">
        <f t="shared" si="2"/>
        <v/>
      </c>
      <c r="V1604" t="str">
        <f>IF(OR(U1604="",U1604="ERRO_CHAVE"),"",IFERROR(MATCH(U1604,Fornecedores!$AF$1:$AF$6631,0),""))</f>
        <v/>
      </c>
      <c r="W1604" t="str">
        <f t="shared" si="3"/>
        <v/>
      </c>
      <c r="X1604" s="4" t="str">
        <f>IF(V1604="","",INDEX(Fornecedores!$X$1:$X$6631,V1604))</f>
        <v/>
      </c>
      <c r="Y1604" s="4" t="str">
        <f t="shared" si="4"/>
        <v/>
      </c>
    </row>
    <row r="1605" spans="19:25">
      <c r="S1605" t="str">
        <f t="shared" si="0"/>
        <v/>
      </c>
      <c r="T1605" t="str">
        <f t="shared" si="1"/>
        <v/>
      </c>
      <c r="U1605" t="str">
        <f t="shared" si="2"/>
        <v/>
      </c>
      <c r="V1605" t="str">
        <f>IF(OR(U1605="",U1605="ERRO_CHAVE"),"",IFERROR(MATCH(U1605,Fornecedores!$AF$1:$AF$6631,0),""))</f>
        <v/>
      </c>
      <c r="W1605" t="str">
        <f t="shared" si="3"/>
        <v/>
      </c>
      <c r="X1605" s="4" t="str">
        <f>IF(V1605="","",INDEX(Fornecedores!$X$1:$X$6631,V1605))</f>
        <v/>
      </c>
      <c r="Y1605" s="4" t="str">
        <f t="shared" si="4"/>
        <v/>
      </c>
    </row>
    <row r="1606" spans="19:25">
      <c r="S1606" t="str">
        <f t="shared" si="0"/>
        <v/>
      </c>
      <c r="T1606" t="str">
        <f t="shared" si="1"/>
        <v/>
      </c>
      <c r="U1606" t="str">
        <f t="shared" si="2"/>
        <v/>
      </c>
      <c r="V1606" t="str">
        <f>IF(OR(U1606="",U1606="ERRO_CHAVE"),"",IFERROR(MATCH(U1606,Fornecedores!$AF$1:$AF$6631,0),""))</f>
        <v/>
      </c>
      <c r="W1606" t="str">
        <f t="shared" si="3"/>
        <v/>
      </c>
      <c r="X1606" s="4" t="str">
        <f>IF(V1606="","",INDEX(Fornecedores!$X$1:$X$6631,V1606))</f>
        <v/>
      </c>
      <c r="Y1606" s="4" t="str">
        <f t="shared" si="4"/>
        <v/>
      </c>
    </row>
    <row r="1607" spans="19:25">
      <c r="S1607" t="str">
        <f t="shared" si="0"/>
        <v/>
      </c>
      <c r="T1607" t="str">
        <f t="shared" si="1"/>
        <v/>
      </c>
      <c r="U1607" t="str">
        <f t="shared" si="2"/>
        <v/>
      </c>
      <c r="V1607" t="str">
        <f>IF(OR(U1607="",U1607="ERRO_CHAVE"),"",IFERROR(MATCH(U1607,Fornecedores!$AF$1:$AF$6631,0),""))</f>
        <v/>
      </c>
      <c r="W1607" t="str">
        <f t="shared" si="3"/>
        <v/>
      </c>
      <c r="X1607" s="4" t="str">
        <f>IF(V1607="","",INDEX(Fornecedores!$X$1:$X$6631,V1607))</f>
        <v/>
      </c>
      <c r="Y1607" s="4" t="str">
        <f t="shared" si="4"/>
        <v/>
      </c>
    </row>
    <row r="1608" spans="19:25">
      <c r="S1608" t="str">
        <f t="shared" si="0"/>
        <v/>
      </c>
      <c r="T1608" t="str">
        <f t="shared" si="1"/>
        <v/>
      </c>
      <c r="U1608" t="str">
        <f t="shared" si="2"/>
        <v/>
      </c>
      <c r="V1608" t="str">
        <f>IF(OR(U1608="",U1608="ERRO_CHAVE"),"",IFERROR(MATCH(U1608,Fornecedores!$AF$1:$AF$6631,0),""))</f>
        <v/>
      </c>
      <c r="W1608" t="str">
        <f t="shared" si="3"/>
        <v/>
      </c>
      <c r="X1608" s="4" t="str">
        <f>IF(V1608="","",INDEX(Fornecedores!$X$1:$X$6631,V1608))</f>
        <v/>
      </c>
      <c r="Y1608" s="4" t="str">
        <f t="shared" si="4"/>
        <v/>
      </c>
    </row>
    <row r="1609" spans="19:25">
      <c r="S1609" t="str">
        <f t="shared" si="0"/>
        <v/>
      </c>
      <c r="T1609" t="str">
        <f t="shared" si="1"/>
        <v/>
      </c>
      <c r="U1609" t="str">
        <f t="shared" si="2"/>
        <v/>
      </c>
      <c r="V1609" t="str">
        <f>IF(OR(U1609="",U1609="ERRO_CHAVE"),"",IFERROR(MATCH(U1609,Fornecedores!$AF$1:$AF$6631,0),""))</f>
        <v/>
      </c>
      <c r="W1609" t="str">
        <f t="shared" si="3"/>
        <v/>
      </c>
      <c r="X1609" s="4" t="str">
        <f>IF(V1609="","",INDEX(Fornecedores!$X$1:$X$6631,V1609))</f>
        <v/>
      </c>
      <c r="Y1609" s="4" t="str">
        <f t="shared" si="4"/>
        <v/>
      </c>
    </row>
    <row r="1610" spans="19:25">
      <c r="S1610" t="str">
        <f t="shared" si="0"/>
        <v/>
      </c>
      <c r="T1610" t="str">
        <f t="shared" si="1"/>
        <v/>
      </c>
      <c r="U1610" t="str">
        <f t="shared" si="2"/>
        <v/>
      </c>
      <c r="V1610" t="str">
        <f>IF(OR(U1610="",U1610="ERRO_CHAVE"),"",IFERROR(MATCH(U1610,Fornecedores!$AF$1:$AF$6631,0),""))</f>
        <v/>
      </c>
      <c r="W1610" t="str">
        <f t="shared" si="3"/>
        <v/>
      </c>
      <c r="X1610" s="4" t="str">
        <f>IF(V1610="","",INDEX(Fornecedores!$X$1:$X$6631,V1610))</f>
        <v/>
      </c>
      <c r="Y1610" s="4" t="str">
        <f t="shared" si="4"/>
        <v/>
      </c>
    </row>
    <row r="1611" spans="19:25">
      <c r="S1611" t="str">
        <f t="shared" si="0"/>
        <v/>
      </c>
      <c r="T1611" t="str">
        <f t="shared" si="1"/>
        <v/>
      </c>
      <c r="U1611" t="str">
        <f t="shared" si="2"/>
        <v/>
      </c>
      <c r="V1611" t="str">
        <f>IF(OR(U1611="",U1611="ERRO_CHAVE"),"",IFERROR(MATCH(U1611,Fornecedores!$AF$1:$AF$6631,0),""))</f>
        <v/>
      </c>
      <c r="W1611" t="str">
        <f t="shared" si="3"/>
        <v/>
      </c>
      <c r="X1611" s="4" t="str">
        <f>IF(V1611="","",INDEX(Fornecedores!$X$1:$X$6631,V1611))</f>
        <v/>
      </c>
      <c r="Y1611" s="4" t="str">
        <f t="shared" si="4"/>
        <v/>
      </c>
    </row>
    <row r="1612" spans="19:25">
      <c r="S1612" t="str">
        <f t="shared" si="0"/>
        <v/>
      </c>
      <c r="T1612" t="str">
        <f t="shared" si="1"/>
        <v/>
      </c>
      <c r="U1612" t="str">
        <f t="shared" si="2"/>
        <v/>
      </c>
      <c r="V1612" t="str">
        <f>IF(OR(U1612="",U1612="ERRO_CHAVE"),"",IFERROR(MATCH(U1612,Fornecedores!$AF$1:$AF$6631,0),""))</f>
        <v/>
      </c>
      <c r="W1612" t="str">
        <f t="shared" si="3"/>
        <v/>
      </c>
      <c r="X1612" s="4" t="str">
        <f>IF(V1612="","",INDEX(Fornecedores!$X$1:$X$6631,V1612))</f>
        <v/>
      </c>
      <c r="Y1612" s="4" t="str">
        <f t="shared" si="4"/>
        <v/>
      </c>
    </row>
    <row r="1613" spans="19:25">
      <c r="S1613" t="str">
        <f t="shared" si="0"/>
        <v/>
      </c>
      <c r="T1613" t="str">
        <f t="shared" si="1"/>
        <v/>
      </c>
      <c r="U1613" t="str">
        <f t="shared" si="2"/>
        <v/>
      </c>
      <c r="V1613" t="str">
        <f>IF(OR(U1613="",U1613="ERRO_CHAVE"),"",IFERROR(MATCH(U1613,Fornecedores!$AF$1:$AF$6631,0),""))</f>
        <v/>
      </c>
      <c r="W1613" t="str">
        <f t="shared" si="3"/>
        <v/>
      </c>
      <c r="X1613" s="4" t="str">
        <f>IF(V1613="","",INDEX(Fornecedores!$X$1:$X$6631,V1613))</f>
        <v/>
      </c>
      <c r="Y1613" s="4" t="str">
        <f t="shared" si="4"/>
        <v/>
      </c>
    </row>
    <row r="1614" spans="19:25">
      <c r="S1614" t="str">
        <f t="shared" si="0"/>
        <v/>
      </c>
      <c r="T1614" t="str">
        <f t="shared" si="1"/>
        <v/>
      </c>
      <c r="U1614" t="str">
        <f t="shared" si="2"/>
        <v/>
      </c>
      <c r="V1614" t="str">
        <f>IF(OR(U1614="",U1614="ERRO_CHAVE"),"",IFERROR(MATCH(U1614,Fornecedores!$AF$1:$AF$6631,0),""))</f>
        <v/>
      </c>
      <c r="W1614" t="str">
        <f t="shared" si="3"/>
        <v/>
      </c>
      <c r="X1614" s="4" t="str">
        <f>IF(V1614="","",INDEX(Fornecedores!$X$1:$X$6631,V1614))</f>
        <v/>
      </c>
      <c r="Y1614" s="4" t="str">
        <f t="shared" si="4"/>
        <v/>
      </c>
    </row>
    <row r="1615" spans="19:25">
      <c r="S1615" t="str">
        <f t="shared" si="0"/>
        <v/>
      </c>
      <c r="T1615" t="str">
        <f t="shared" si="1"/>
        <v/>
      </c>
      <c r="U1615" t="str">
        <f t="shared" si="2"/>
        <v/>
      </c>
      <c r="V1615" t="str">
        <f>IF(OR(U1615="",U1615="ERRO_CHAVE"),"",IFERROR(MATCH(U1615,Fornecedores!$AF$1:$AF$6631,0),""))</f>
        <v/>
      </c>
      <c r="W1615" t="str">
        <f t="shared" si="3"/>
        <v/>
      </c>
      <c r="X1615" s="4" t="str">
        <f>IF(V1615="","",INDEX(Fornecedores!$X$1:$X$6631,V1615))</f>
        <v/>
      </c>
      <c r="Y1615" s="4" t="str">
        <f t="shared" si="4"/>
        <v/>
      </c>
    </row>
    <row r="1616" spans="19:25">
      <c r="S1616" t="str">
        <f t="shared" si="0"/>
        <v/>
      </c>
      <c r="T1616" t="str">
        <f t="shared" si="1"/>
        <v/>
      </c>
      <c r="U1616" t="str">
        <f t="shared" si="2"/>
        <v/>
      </c>
      <c r="V1616" t="str">
        <f>IF(OR(U1616="",U1616="ERRO_CHAVE"),"",IFERROR(MATCH(U1616,Fornecedores!$AF$1:$AF$6631,0),""))</f>
        <v/>
      </c>
      <c r="W1616" t="str">
        <f t="shared" si="3"/>
        <v/>
      </c>
      <c r="X1616" s="4" t="str">
        <f>IF(V1616="","",INDEX(Fornecedores!$X$1:$X$6631,V1616))</f>
        <v/>
      </c>
      <c r="Y1616" s="4" t="str">
        <f t="shared" si="4"/>
        <v/>
      </c>
    </row>
    <row r="1617" spans="19:25">
      <c r="S1617" t="str">
        <f t="shared" si="0"/>
        <v/>
      </c>
      <c r="T1617" t="str">
        <f t="shared" si="1"/>
        <v/>
      </c>
      <c r="U1617" t="str">
        <f t="shared" si="2"/>
        <v/>
      </c>
      <c r="V1617" t="str">
        <f>IF(OR(U1617="",U1617="ERRO_CHAVE"),"",IFERROR(MATCH(U1617,Fornecedores!$AF$1:$AF$6631,0),""))</f>
        <v/>
      </c>
      <c r="W1617" t="str">
        <f t="shared" si="3"/>
        <v/>
      </c>
      <c r="X1617" s="4" t="str">
        <f>IF(V1617="","",INDEX(Fornecedores!$X$1:$X$6631,V1617))</f>
        <v/>
      </c>
      <c r="Y1617" s="4" t="str">
        <f t="shared" si="4"/>
        <v/>
      </c>
    </row>
    <row r="1618" spans="19:25">
      <c r="S1618" t="str">
        <f t="shared" si="0"/>
        <v/>
      </c>
      <c r="T1618" t="str">
        <f t="shared" si="1"/>
        <v/>
      </c>
      <c r="U1618" t="str">
        <f t="shared" si="2"/>
        <v/>
      </c>
      <c r="V1618" t="str">
        <f>IF(OR(U1618="",U1618="ERRO_CHAVE"),"",IFERROR(MATCH(U1618,Fornecedores!$AF$1:$AF$6631,0),""))</f>
        <v/>
      </c>
      <c r="W1618" t="str">
        <f t="shared" si="3"/>
        <v/>
      </c>
      <c r="X1618" s="4" t="str">
        <f>IF(V1618="","",INDEX(Fornecedores!$X$1:$X$6631,V1618))</f>
        <v/>
      </c>
      <c r="Y1618" s="4" t="str">
        <f t="shared" si="4"/>
        <v/>
      </c>
    </row>
    <row r="1619" spans="19:25">
      <c r="S1619" t="str">
        <f t="shared" si="0"/>
        <v/>
      </c>
      <c r="T1619" t="str">
        <f t="shared" si="1"/>
        <v/>
      </c>
      <c r="U1619" t="str">
        <f t="shared" si="2"/>
        <v/>
      </c>
      <c r="V1619" t="str">
        <f>IF(OR(U1619="",U1619="ERRO_CHAVE"),"",IFERROR(MATCH(U1619,Fornecedores!$AF$1:$AF$6631,0),""))</f>
        <v/>
      </c>
      <c r="W1619" t="str">
        <f t="shared" si="3"/>
        <v/>
      </c>
      <c r="X1619" s="4" t="str">
        <f>IF(V1619="","",INDEX(Fornecedores!$X$1:$X$6631,V1619))</f>
        <v/>
      </c>
      <c r="Y1619" s="4" t="str">
        <f t="shared" si="4"/>
        <v/>
      </c>
    </row>
    <row r="1620" spans="19:25">
      <c r="S1620" t="str">
        <f t="shared" si="0"/>
        <v/>
      </c>
      <c r="T1620" t="str">
        <f t="shared" si="1"/>
        <v/>
      </c>
      <c r="U1620" t="str">
        <f t="shared" si="2"/>
        <v/>
      </c>
      <c r="V1620" t="str">
        <f>IF(OR(U1620="",U1620="ERRO_CHAVE"),"",IFERROR(MATCH(U1620,Fornecedores!$AF$1:$AF$6631,0),""))</f>
        <v/>
      </c>
      <c r="W1620" t="str">
        <f t="shared" si="3"/>
        <v/>
      </c>
      <c r="X1620" s="4" t="str">
        <f>IF(V1620="","",INDEX(Fornecedores!$X$1:$X$6631,V1620))</f>
        <v/>
      </c>
      <c r="Y1620" s="4" t="str">
        <f t="shared" si="4"/>
        <v/>
      </c>
    </row>
    <row r="1621" spans="19:25">
      <c r="S1621" t="str">
        <f t="shared" si="0"/>
        <v/>
      </c>
      <c r="T1621" t="str">
        <f t="shared" si="1"/>
        <v/>
      </c>
      <c r="U1621" t="str">
        <f t="shared" si="2"/>
        <v/>
      </c>
      <c r="V1621" t="str">
        <f>IF(OR(U1621="",U1621="ERRO_CHAVE"),"",IFERROR(MATCH(U1621,Fornecedores!$AF$1:$AF$6631,0),""))</f>
        <v/>
      </c>
      <c r="W1621" t="str">
        <f t="shared" si="3"/>
        <v/>
      </c>
      <c r="X1621" s="4" t="str">
        <f>IF(V1621="","",INDEX(Fornecedores!$X$1:$X$6631,V1621))</f>
        <v/>
      </c>
      <c r="Y1621" s="4" t="str">
        <f t="shared" si="4"/>
        <v/>
      </c>
    </row>
    <row r="1622" spans="19:25">
      <c r="S1622" t="str">
        <f t="shared" si="0"/>
        <v/>
      </c>
      <c r="T1622" t="str">
        <f t="shared" si="1"/>
        <v/>
      </c>
      <c r="U1622" t="str">
        <f t="shared" si="2"/>
        <v/>
      </c>
      <c r="V1622" t="str">
        <f>IF(OR(U1622="",U1622="ERRO_CHAVE"),"",IFERROR(MATCH(U1622,Fornecedores!$AF$1:$AF$6631,0),""))</f>
        <v/>
      </c>
      <c r="W1622" t="str">
        <f t="shared" si="3"/>
        <v/>
      </c>
      <c r="X1622" s="4" t="str">
        <f>IF(V1622="","",INDEX(Fornecedores!$X$1:$X$6631,V1622))</f>
        <v/>
      </c>
      <c r="Y1622" s="4" t="str">
        <f t="shared" si="4"/>
        <v/>
      </c>
    </row>
    <row r="1623" spans="19:25">
      <c r="S1623" t="str">
        <f t="shared" si="0"/>
        <v/>
      </c>
      <c r="T1623" t="str">
        <f t="shared" si="1"/>
        <v/>
      </c>
      <c r="U1623" t="str">
        <f t="shared" si="2"/>
        <v/>
      </c>
      <c r="V1623" t="str">
        <f>IF(OR(U1623="",U1623="ERRO_CHAVE"),"",IFERROR(MATCH(U1623,Fornecedores!$AF$1:$AF$6631,0),""))</f>
        <v/>
      </c>
      <c r="W1623" t="str">
        <f t="shared" si="3"/>
        <v/>
      </c>
      <c r="X1623" s="4" t="str">
        <f>IF(V1623="","",INDEX(Fornecedores!$X$1:$X$6631,V1623))</f>
        <v/>
      </c>
      <c r="Y1623" s="4" t="str">
        <f t="shared" si="4"/>
        <v/>
      </c>
    </row>
    <row r="1624" spans="19:25">
      <c r="S1624" t="str">
        <f t="shared" si="0"/>
        <v/>
      </c>
      <c r="T1624" t="str">
        <f t="shared" si="1"/>
        <v/>
      </c>
      <c r="U1624" t="str">
        <f t="shared" si="2"/>
        <v/>
      </c>
      <c r="V1624" t="str">
        <f>IF(OR(U1624="",U1624="ERRO_CHAVE"),"",IFERROR(MATCH(U1624,Fornecedores!$AF$1:$AF$6631,0),""))</f>
        <v/>
      </c>
      <c r="W1624" t="str">
        <f t="shared" si="3"/>
        <v/>
      </c>
      <c r="X1624" s="4" t="str">
        <f>IF(V1624="","",INDEX(Fornecedores!$X$1:$X$6631,V1624))</f>
        <v/>
      </c>
      <c r="Y1624" s="4" t="str">
        <f t="shared" si="4"/>
        <v/>
      </c>
    </row>
    <row r="1625" spans="19:25">
      <c r="S1625" t="str">
        <f t="shared" si="0"/>
        <v/>
      </c>
      <c r="T1625" t="str">
        <f t="shared" si="1"/>
        <v/>
      </c>
      <c r="U1625" t="str">
        <f t="shared" si="2"/>
        <v/>
      </c>
      <c r="V1625" t="str">
        <f>IF(OR(U1625="",U1625="ERRO_CHAVE"),"",IFERROR(MATCH(U1625,Fornecedores!$AF$1:$AF$6631,0),""))</f>
        <v/>
      </c>
      <c r="W1625" t="str">
        <f t="shared" si="3"/>
        <v/>
      </c>
      <c r="X1625" s="4" t="str">
        <f>IF(V1625="","",INDEX(Fornecedores!$X$1:$X$6631,V1625))</f>
        <v/>
      </c>
      <c r="Y1625" s="4" t="str">
        <f t="shared" si="4"/>
        <v/>
      </c>
    </row>
    <row r="1626" spans="19:25">
      <c r="S1626" t="str">
        <f t="shared" si="0"/>
        <v/>
      </c>
      <c r="T1626" t="str">
        <f t="shared" si="1"/>
        <v/>
      </c>
      <c r="U1626" t="str">
        <f t="shared" si="2"/>
        <v/>
      </c>
      <c r="V1626" t="str">
        <f>IF(OR(U1626="",U1626="ERRO_CHAVE"),"",IFERROR(MATCH(U1626,Fornecedores!$AF$1:$AF$6631,0),""))</f>
        <v/>
      </c>
      <c r="W1626" t="str">
        <f t="shared" si="3"/>
        <v/>
      </c>
      <c r="X1626" s="4" t="str">
        <f>IF(V1626="","",INDEX(Fornecedores!$X$1:$X$6631,V1626))</f>
        <v/>
      </c>
      <c r="Y1626" s="4" t="str">
        <f t="shared" si="4"/>
        <v/>
      </c>
    </row>
    <row r="1627" spans="19:25">
      <c r="S1627" t="str">
        <f t="shared" si="0"/>
        <v/>
      </c>
      <c r="T1627" t="str">
        <f t="shared" si="1"/>
        <v/>
      </c>
      <c r="U1627" t="str">
        <f t="shared" si="2"/>
        <v/>
      </c>
      <c r="V1627" t="str">
        <f>IF(OR(U1627="",U1627="ERRO_CHAVE"),"",IFERROR(MATCH(U1627,Fornecedores!$AF$1:$AF$6631,0),""))</f>
        <v/>
      </c>
      <c r="W1627" t="str">
        <f t="shared" si="3"/>
        <v/>
      </c>
      <c r="X1627" s="4" t="str">
        <f>IF(V1627="","",INDEX(Fornecedores!$X$1:$X$6631,V1627))</f>
        <v/>
      </c>
      <c r="Y1627" s="4" t="str">
        <f t="shared" si="4"/>
        <v/>
      </c>
    </row>
    <row r="1628" spans="19:25">
      <c r="S1628" t="str">
        <f t="shared" si="0"/>
        <v/>
      </c>
      <c r="T1628" t="str">
        <f t="shared" si="1"/>
        <v/>
      </c>
      <c r="U1628" t="str">
        <f t="shared" si="2"/>
        <v/>
      </c>
      <c r="V1628" t="str">
        <f>IF(OR(U1628="",U1628="ERRO_CHAVE"),"",IFERROR(MATCH(U1628,Fornecedores!$AF$1:$AF$6631,0),""))</f>
        <v/>
      </c>
      <c r="W1628" t="str">
        <f t="shared" si="3"/>
        <v/>
      </c>
      <c r="X1628" s="4" t="str">
        <f>IF(V1628="","",INDEX(Fornecedores!$X$1:$X$6631,V1628))</f>
        <v/>
      </c>
      <c r="Y1628" s="4" t="str">
        <f t="shared" si="4"/>
        <v/>
      </c>
    </row>
    <row r="1629" spans="19:25">
      <c r="S1629" t="str">
        <f t="shared" si="0"/>
        <v/>
      </c>
      <c r="T1629" t="str">
        <f t="shared" si="1"/>
        <v/>
      </c>
      <c r="U1629" t="str">
        <f t="shared" si="2"/>
        <v/>
      </c>
      <c r="V1629" t="str">
        <f>IF(OR(U1629="",U1629="ERRO_CHAVE"),"",IFERROR(MATCH(U1629,Fornecedores!$AF$1:$AF$6631,0),""))</f>
        <v/>
      </c>
      <c r="W1629" t="str">
        <f t="shared" si="3"/>
        <v/>
      </c>
      <c r="X1629" s="4" t="str">
        <f>IF(V1629="","",INDEX(Fornecedores!$X$1:$X$6631,V1629))</f>
        <v/>
      </c>
      <c r="Y1629" s="4" t="str">
        <f t="shared" si="4"/>
        <v/>
      </c>
    </row>
    <row r="1630" spans="19:25">
      <c r="S1630" t="str">
        <f t="shared" si="0"/>
        <v/>
      </c>
      <c r="T1630" t="str">
        <f t="shared" si="1"/>
        <v/>
      </c>
      <c r="U1630" t="str">
        <f t="shared" si="2"/>
        <v/>
      </c>
      <c r="V1630" t="str">
        <f>IF(OR(U1630="",U1630="ERRO_CHAVE"),"",IFERROR(MATCH(U1630,Fornecedores!$AF$1:$AF$6631,0),""))</f>
        <v/>
      </c>
      <c r="W1630" t="str">
        <f t="shared" si="3"/>
        <v/>
      </c>
      <c r="X1630" s="4" t="str">
        <f>IF(V1630="","",INDEX(Fornecedores!$X$1:$X$6631,V1630))</f>
        <v/>
      </c>
      <c r="Y1630" s="4" t="str">
        <f t="shared" si="4"/>
        <v/>
      </c>
    </row>
    <row r="1631" spans="19:25">
      <c r="S1631" t="str">
        <f t="shared" si="0"/>
        <v/>
      </c>
      <c r="T1631" t="str">
        <f t="shared" si="1"/>
        <v/>
      </c>
      <c r="U1631" t="str">
        <f t="shared" si="2"/>
        <v/>
      </c>
      <c r="V1631" t="str">
        <f>IF(OR(U1631="",U1631="ERRO_CHAVE"),"",IFERROR(MATCH(U1631,Fornecedores!$AF$1:$AF$6631,0),""))</f>
        <v/>
      </c>
      <c r="W1631" t="str">
        <f t="shared" si="3"/>
        <v/>
      </c>
      <c r="X1631" s="4" t="str">
        <f>IF(V1631="","",INDEX(Fornecedores!$X$1:$X$6631,V1631))</f>
        <v/>
      </c>
      <c r="Y1631" s="4" t="str">
        <f t="shared" si="4"/>
        <v/>
      </c>
    </row>
    <row r="1632" spans="19:25">
      <c r="S1632" t="str">
        <f t="shared" si="0"/>
        <v/>
      </c>
      <c r="T1632" t="str">
        <f t="shared" si="1"/>
        <v/>
      </c>
      <c r="U1632" t="str">
        <f t="shared" si="2"/>
        <v/>
      </c>
      <c r="V1632" t="str">
        <f>IF(OR(U1632="",U1632="ERRO_CHAVE"),"",IFERROR(MATCH(U1632,Fornecedores!$AF$1:$AF$6631,0),""))</f>
        <v/>
      </c>
      <c r="W1632" t="str">
        <f t="shared" si="3"/>
        <v/>
      </c>
      <c r="X1632" s="4" t="str">
        <f>IF(V1632="","",INDEX(Fornecedores!$X$1:$X$6631,V1632))</f>
        <v/>
      </c>
      <c r="Y1632" s="4" t="str">
        <f t="shared" si="4"/>
        <v/>
      </c>
    </row>
    <row r="1633" spans="19:25">
      <c r="S1633" t="str">
        <f t="shared" si="0"/>
        <v/>
      </c>
      <c r="T1633" t="str">
        <f t="shared" si="1"/>
        <v/>
      </c>
      <c r="U1633" t="str">
        <f t="shared" si="2"/>
        <v/>
      </c>
      <c r="V1633" t="str">
        <f>IF(OR(U1633="",U1633="ERRO_CHAVE"),"",IFERROR(MATCH(U1633,Fornecedores!$AF$1:$AF$6631,0),""))</f>
        <v/>
      </c>
      <c r="W1633" t="str">
        <f t="shared" si="3"/>
        <v/>
      </c>
      <c r="X1633" s="4" t="str">
        <f>IF(V1633="","",INDEX(Fornecedores!$X$1:$X$6631,V1633))</f>
        <v/>
      </c>
      <c r="Y1633" s="4" t="str">
        <f t="shared" si="4"/>
        <v/>
      </c>
    </row>
    <row r="1634" spans="19:25">
      <c r="S1634" t="str">
        <f t="shared" si="0"/>
        <v/>
      </c>
      <c r="T1634" t="str">
        <f t="shared" si="1"/>
        <v/>
      </c>
      <c r="U1634" t="str">
        <f t="shared" si="2"/>
        <v/>
      </c>
      <c r="V1634" t="str">
        <f>IF(OR(U1634="",U1634="ERRO_CHAVE"),"",IFERROR(MATCH(U1634,Fornecedores!$AF$1:$AF$6631,0),""))</f>
        <v/>
      </c>
      <c r="W1634" t="str">
        <f t="shared" si="3"/>
        <v/>
      </c>
      <c r="X1634" s="4" t="str">
        <f>IF(V1634="","",INDEX(Fornecedores!$X$1:$X$6631,V1634))</f>
        <v/>
      </c>
      <c r="Y1634" s="4" t="str">
        <f t="shared" si="4"/>
        <v/>
      </c>
    </row>
    <row r="1635" spans="19:25">
      <c r="S1635" t="str">
        <f t="shared" si="0"/>
        <v/>
      </c>
      <c r="T1635" t="str">
        <f t="shared" si="1"/>
        <v/>
      </c>
      <c r="U1635" t="str">
        <f t="shared" si="2"/>
        <v/>
      </c>
      <c r="V1635" t="str">
        <f>IF(OR(U1635="",U1635="ERRO_CHAVE"),"",IFERROR(MATCH(U1635,Fornecedores!$AF$1:$AF$6631,0),""))</f>
        <v/>
      </c>
      <c r="W1635" t="str">
        <f t="shared" si="3"/>
        <v/>
      </c>
      <c r="X1635" s="4" t="str">
        <f>IF(V1635="","",INDEX(Fornecedores!$X$1:$X$6631,V1635))</f>
        <v/>
      </c>
      <c r="Y1635" s="4" t="str">
        <f t="shared" si="4"/>
        <v/>
      </c>
    </row>
    <row r="1636" spans="19:25">
      <c r="S1636" t="str">
        <f t="shared" si="0"/>
        <v/>
      </c>
      <c r="T1636" t="str">
        <f t="shared" si="1"/>
        <v/>
      </c>
      <c r="U1636" t="str">
        <f t="shared" si="2"/>
        <v/>
      </c>
      <c r="V1636" t="str">
        <f>IF(OR(U1636="",U1636="ERRO_CHAVE"),"",IFERROR(MATCH(U1636,Fornecedores!$AF$1:$AF$6631,0),""))</f>
        <v/>
      </c>
      <c r="W1636" t="str">
        <f t="shared" si="3"/>
        <v/>
      </c>
      <c r="X1636" s="4" t="str">
        <f>IF(V1636="","",INDEX(Fornecedores!$X$1:$X$6631,V1636))</f>
        <v/>
      </c>
      <c r="Y1636" s="4" t="str">
        <f t="shared" si="4"/>
        <v/>
      </c>
    </row>
    <row r="1637" spans="19:25">
      <c r="S1637" t="str">
        <f t="shared" si="0"/>
        <v/>
      </c>
      <c r="T1637" t="str">
        <f t="shared" si="1"/>
        <v/>
      </c>
      <c r="U1637" t="str">
        <f t="shared" si="2"/>
        <v/>
      </c>
      <c r="V1637" t="str">
        <f>IF(OR(U1637="",U1637="ERRO_CHAVE"),"",IFERROR(MATCH(U1637,Fornecedores!$AF$1:$AF$6631,0),""))</f>
        <v/>
      </c>
      <c r="W1637" t="str">
        <f t="shared" si="3"/>
        <v/>
      </c>
      <c r="X1637" s="4" t="str">
        <f>IF(V1637="","",INDEX(Fornecedores!$X$1:$X$6631,V1637))</f>
        <v/>
      </c>
      <c r="Y1637" s="4" t="str">
        <f t="shared" si="4"/>
        <v/>
      </c>
    </row>
    <row r="1638" spans="19:25">
      <c r="S1638" t="str">
        <f t="shared" si="0"/>
        <v/>
      </c>
      <c r="T1638" t="str">
        <f t="shared" si="1"/>
        <v/>
      </c>
      <c r="U1638" t="str">
        <f t="shared" si="2"/>
        <v/>
      </c>
      <c r="V1638" t="str">
        <f>IF(OR(U1638="",U1638="ERRO_CHAVE"),"",IFERROR(MATCH(U1638,Fornecedores!$AF$1:$AF$6631,0),""))</f>
        <v/>
      </c>
      <c r="W1638" t="str">
        <f t="shared" si="3"/>
        <v/>
      </c>
      <c r="X1638" s="4" t="str">
        <f>IF(V1638="","",INDEX(Fornecedores!$X$1:$X$6631,V1638))</f>
        <v/>
      </c>
      <c r="Y1638" s="4" t="str">
        <f t="shared" si="4"/>
        <v/>
      </c>
    </row>
    <row r="1639" spans="19:25">
      <c r="S1639" t="str">
        <f t="shared" si="0"/>
        <v/>
      </c>
      <c r="T1639" t="str">
        <f t="shared" si="1"/>
        <v/>
      </c>
      <c r="U1639" t="str">
        <f t="shared" si="2"/>
        <v/>
      </c>
      <c r="V1639" t="str">
        <f>IF(OR(U1639="",U1639="ERRO_CHAVE"),"",IFERROR(MATCH(U1639,Fornecedores!$AF$1:$AF$6631,0),""))</f>
        <v/>
      </c>
      <c r="W1639" t="str">
        <f t="shared" si="3"/>
        <v/>
      </c>
      <c r="X1639" s="4" t="str">
        <f>IF(V1639="","",INDEX(Fornecedores!$X$1:$X$6631,V1639))</f>
        <v/>
      </c>
      <c r="Y1639" s="4" t="str">
        <f t="shared" si="4"/>
        <v/>
      </c>
    </row>
    <row r="1640" spans="19:25">
      <c r="S1640" t="str">
        <f t="shared" si="0"/>
        <v/>
      </c>
      <c r="T1640" t="str">
        <f t="shared" si="1"/>
        <v/>
      </c>
      <c r="U1640" t="str">
        <f t="shared" si="2"/>
        <v/>
      </c>
      <c r="V1640" t="str">
        <f>IF(OR(U1640="",U1640="ERRO_CHAVE"),"",IFERROR(MATCH(U1640,Fornecedores!$AF$1:$AF$6631,0),""))</f>
        <v/>
      </c>
      <c r="W1640" t="str">
        <f t="shared" si="3"/>
        <v/>
      </c>
      <c r="X1640" s="4" t="str">
        <f>IF(V1640="","",INDEX(Fornecedores!$X$1:$X$6631,V1640))</f>
        <v/>
      </c>
      <c r="Y1640" s="4" t="str">
        <f t="shared" si="4"/>
        <v/>
      </c>
    </row>
    <row r="1641" spans="19:25">
      <c r="S1641" t="str">
        <f t="shared" si="0"/>
        <v/>
      </c>
      <c r="T1641" t="str">
        <f t="shared" si="1"/>
        <v/>
      </c>
      <c r="U1641" t="str">
        <f t="shared" si="2"/>
        <v/>
      </c>
      <c r="V1641" t="str">
        <f>IF(OR(U1641="",U1641="ERRO_CHAVE"),"",IFERROR(MATCH(U1641,Fornecedores!$AF$1:$AF$6631,0),""))</f>
        <v/>
      </c>
      <c r="W1641" t="str">
        <f t="shared" si="3"/>
        <v/>
      </c>
      <c r="X1641" s="4" t="str">
        <f>IF(V1641="","",INDEX(Fornecedores!$X$1:$X$6631,V1641))</f>
        <v/>
      </c>
      <c r="Y1641" s="4" t="str">
        <f t="shared" si="4"/>
        <v/>
      </c>
    </row>
    <row r="1642" spans="19:25">
      <c r="S1642" t="str">
        <f t="shared" si="0"/>
        <v/>
      </c>
      <c r="T1642" t="str">
        <f t="shared" si="1"/>
        <v/>
      </c>
      <c r="U1642" t="str">
        <f t="shared" si="2"/>
        <v/>
      </c>
      <c r="V1642" t="str">
        <f>IF(OR(U1642="",U1642="ERRO_CHAVE"),"",IFERROR(MATCH(U1642,Fornecedores!$AF$1:$AF$6631,0),""))</f>
        <v/>
      </c>
      <c r="W1642" t="str">
        <f t="shared" si="3"/>
        <v/>
      </c>
      <c r="X1642" s="4" t="str">
        <f>IF(V1642="","",INDEX(Fornecedores!$X$1:$X$6631,V1642))</f>
        <v/>
      </c>
      <c r="Y1642" s="4" t="str">
        <f t="shared" si="4"/>
        <v/>
      </c>
    </row>
    <row r="1643" spans="19:25">
      <c r="S1643" t="str">
        <f t="shared" si="0"/>
        <v/>
      </c>
      <c r="T1643" t="str">
        <f t="shared" si="1"/>
        <v/>
      </c>
      <c r="U1643" t="str">
        <f t="shared" si="2"/>
        <v/>
      </c>
      <c r="V1643" t="str">
        <f>IF(OR(U1643="",U1643="ERRO_CHAVE"),"",IFERROR(MATCH(U1643,Fornecedores!$AF$1:$AF$6631,0),""))</f>
        <v/>
      </c>
      <c r="W1643" t="str">
        <f t="shared" si="3"/>
        <v/>
      </c>
      <c r="X1643" s="4" t="str">
        <f>IF(V1643="","",INDEX(Fornecedores!$X$1:$X$6631,V1643))</f>
        <v/>
      </c>
      <c r="Y1643" s="4" t="str">
        <f t="shared" si="4"/>
        <v/>
      </c>
    </row>
    <row r="1644" spans="19:25">
      <c r="S1644" t="str">
        <f t="shared" si="0"/>
        <v/>
      </c>
      <c r="T1644" t="str">
        <f t="shared" si="1"/>
        <v/>
      </c>
      <c r="U1644" t="str">
        <f t="shared" si="2"/>
        <v/>
      </c>
      <c r="V1644" t="str">
        <f>IF(OR(U1644="",U1644="ERRO_CHAVE"),"",IFERROR(MATCH(U1644,Fornecedores!$AF$1:$AF$6631,0),""))</f>
        <v/>
      </c>
      <c r="W1644" t="str">
        <f t="shared" si="3"/>
        <v/>
      </c>
      <c r="X1644" s="4" t="str">
        <f>IF(V1644="","",INDEX(Fornecedores!$X$1:$X$6631,V1644))</f>
        <v/>
      </c>
      <c r="Y1644" s="4" t="str">
        <f t="shared" si="4"/>
        <v/>
      </c>
    </row>
    <row r="1645" spans="19:25">
      <c r="S1645" t="str">
        <f t="shared" si="0"/>
        <v/>
      </c>
      <c r="T1645" t="str">
        <f t="shared" si="1"/>
        <v/>
      </c>
      <c r="U1645" t="str">
        <f t="shared" si="2"/>
        <v/>
      </c>
      <c r="V1645" t="str">
        <f>IF(OR(U1645="",U1645="ERRO_CHAVE"),"",IFERROR(MATCH(U1645,Fornecedores!$AF$1:$AF$6631,0),""))</f>
        <v/>
      </c>
      <c r="W1645" t="str">
        <f t="shared" si="3"/>
        <v/>
      </c>
      <c r="X1645" s="4" t="str">
        <f>IF(V1645="","",INDEX(Fornecedores!$X$1:$X$6631,V1645))</f>
        <v/>
      </c>
      <c r="Y1645" s="4" t="str">
        <f t="shared" si="4"/>
        <v/>
      </c>
    </row>
    <row r="1646" spans="19:25">
      <c r="S1646" t="str">
        <f t="shared" si="0"/>
        <v/>
      </c>
      <c r="T1646" t="str">
        <f t="shared" si="1"/>
        <v/>
      </c>
      <c r="U1646" t="str">
        <f t="shared" si="2"/>
        <v/>
      </c>
      <c r="V1646" t="str">
        <f>IF(OR(U1646="",U1646="ERRO_CHAVE"),"",IFERROR(MATCH(U1646,Fornecedores!$AF$1:$AF$6631,0),""))</f>
        <v/>
      </c>
      <c r="W1646" t="str">
        <f t="shared" si="3"/>
        <v/>
      </c>
      <c r="X1646" s="4" t="str">
        <f>IF(V1646="","",INDEX(Fornecedores!$X$1:$X$6631,V1646))</f>
        <v/>
      </c>
      <c r="Y1646" s="4" t="str">
        <f t="shared" si="4"/>
        <v/>
      </c>
    </row>
    <row r="1647" spans="19:25">
      <c r="S1647" t="str">
        <f t="shared" si="0"/>
        <v/>
      </c>
      <c r="T1647" t="str">
        <f t="shared" si="1"/>
        <v/>
      </c>
      <c r="U1647" t="str">
        <f t="shared" si="2"/>
        <v/>
      </c>
      <c r="V1647" t="str">
        <f>IF(OR(U1647="",U1647="ERRO_CHAVE"),"",IFERROR(MATCH(U1647,Fornecedores!$AF$1:$AF$6631,0),""))</f>
        <v/>
      </c>
      <c r="W1647" t="str">
        <f t="shared" si="3"/>
        <v/>
      </c>
      <c r="X1647" s="4" t="str">
        <f>IF(V1647="","",INDEX(Fornecedores!$X$1:$X$6631,V1647))</f>
        <v/>
      </c>
      <c r="Y1647" s="4" t="str">
        <f t="shared" si="4"/>
        <v/>
      </c>
    </row>
    <row r="1648" spans="19:25">
      <c r="S1648" t="str">
        <f t="shared" si="0"/>
        <v/>
      </c>
      <c r="T1648" t="str">
        <f t="shared" si="1"/>
        <v/>
      </c>
      <c r="U1648" t="str">
        <f t="shared" si="2"/>
        <v/>
      </c>
      <c r="V1648" t="str">
        <f>IF(OR(U1648="",U1648="ERRO_CHAVE"),"",IFERROR(MATCH(U1648,Fornecedores!$AF$1:$AF$6631,0),""))</f>
        <v/>
      </c>
      <c r="W1648" t="str">
        <f t="shared" si="3"/>
        <v/>
      </c>
      <c r="X1648" s="4" t="str">
        <f>IF(V1648="","",INDEX(Fornecedores!$X$1:$X$6631,V1648))</f>
        <v/>
      </c>
      <c r="Y1648" s="4" t="str">
        <f t="shared" si="4"/>
        <v/>
      </c>
    </row>
    <row r="1649" spans="19:25">
      <c r="S1649" t="str">
        <f t="shared" si="0"/>
        <v/>
      </c>
      <c r="T1649" t="str">
        <f t="shared" si="1"/>
        <v/>
      </c>
      <c r="U1649" t="str">
        <f t="shared" si="2"/>
        <v/>
      </c>
      <c r="V1649" t="str">
        <f>IF(OR(U1649="",U1649="ERRO_CHAVE"),"",IFERROR(MATCH(U1649,Fornecedores!$AF$1:$AF$6631,0),""))</f>
        <v/>
      </c>
      <c r="W1649" t="str">
        <f t="shared" si="3"/>
        <v/>
      </c>
      <c r="X1649" s="4" t="str">
        <f>IF(V1649="","",INDEX(Fornecedores!$X$1:$X$6631,V1649))</f>
        <v/>
      </c>
      <c r="Y1649" s="4" t="str">
        <f t="shared" si="4"/>
        <v/>
      </c>
    </row>
    <row r="1650" spans="19:25">
      <c r="S1650" t="str">
        <f t="shared" si="0"/>
        <v/>
      </c>
      <c r="T1650" t="str">
        <f t="shared" si="1"/>
        <v/>
      </c>
      <c r="U1650" t="str">
        <f t="shared" si="2"/>
        <v/>
      </c>
      <c r="V1650" t="str">
        <f>IF(OR(U1650="",U1650="ERRO_CHAVE"),"",IFERROR(MATCH(U1650,Fornecedores!$AF$1:$AF$6631,0),""))</f>
        <v/>
      </c>
      <c r="W1650" t="str">
        <f t="shared" si="3"/>
        <v/>
      </c>
      <c r="X1650" s="4" t="str">
        <f>IF(V1650="","",INDEX(Fornecedores!$X$1:$X$6631,V1650))</f>
        <v/>
      </c>
      <c r="Y1650" s="4" t="str">
        <f t="shared" si="4"/>
        <v/>
      </c>
    </row>
    <row r="1651" spans="19:25">
      <c r="S1651" t="str">
        <f t="shared" si="0"/>
        <v/>
      </c>
      <c r="T1651" t="str">
        <f t="shared" si="1"/>
        <v/>
      </c>
      <c r="U1651" t="str">
        <f t="shared" si="2"/>
        <v/>
      </c>
      <c r="V1651" t="str">
        <f>IF(OR(U1651="",U1651="ERRO_CHAVE"),"",IFERROR(MATCH(U1651,Fornecedores!$AF$1:$AF$6631,0),""))</f>
        <v/>
      </c>
      <c r="W1651" t="str">
        <f t="shared" si="3"/>
        <v/>
      </c>
      <c r="X1651" s="4" t="str">
        <f>IF(V1651="","",INDEX(Fornecedores!$X$1:$X$6631,V1651))</f>
        <v/>
      </c>
      <c r="Y1651" s="4" t="str">
        <f t="shared" si="4"/>
        <v/>
      </c>
    </row>
    <row r="1652" spans="19:25">
      <c r="S1652" t="str">
        <f t="shared" si="0"/>
        <v/>
      </c>
      <c r="T1652" t="str">
        <f t="shared" si="1"/>
        <v/>
      </c>
      <c r="U1652" t="str">
        <f t="shared" si="2"/>
        <v/>
      </c>
      <c r="V1652" t="str">
        <f>IF(OR(U1652="",U1652="ERRO_CHAVE"),"",IFERROR(MATCH(U1652,Fornecedores!$AF$1:$AF$6631,0),""))</f>
        <v/>
      </c>
      <c r="W1652" t="str">
        <f t="shared" si="3"/>
        <v/>
      </c>
      <c r="X1652" s="4" t="str">
        <f>IF(V1652="","",INDEX(Fornecedores!$X$1:$X$6631,V1652))</f>
        <v/>
      </c>
      <c r="Y1652" s="4" t="str">
        <f t="shared" si="4"/>
        <v/>
      </c>
    </row>
    <row r="1653" spans="19:25">
      <c r="S1653" t="str">
        <f t="shared" si="0"/>
        <v/>
      </c>
      <c r="T1653" t="str">
        <f t="shared" si="1"/>
        <v/>
      </c>
      <c r="U1653" t="str">
        <f t="shared" si="2"/>
        <v/>
      </c>
      <c r="V1653" t="str">
        <f>IF(OR(U1653="",U1653="ERRO_CHAVE"),"",IFERROR(MATCH(U1653,Fornecedores!$AF$1:$AF$6631,0),""))</f>
        <v/>
      </c>
      <c r="W1653" t="str">
        <f t="shared" si="3"/>
        <v/>
      </c>
      <c r="X1653" s="4" t="str">
        <f>IF(V1653="","",INDEX(Fornecedores!$X$1:$X$6631,V1653))</f>
        <v/>
      </c>
      <c r="Y1653" s="4" t="str">
        <f t="shared" si="4"/>
        <v/>
      </c>
    </row>
    <row r="1654" spans="19:25">
      <c r="S1654" t="str">
        <f t="shared" si="0"/>
        <v/>
      </c>
      <c r="T1654" t="str">
        <f t="shared" si="1"/>
        <v/>
      </c>
      <c r="U1654" t="str">
        <f t="shared" si="2"/>
        <v/>
      </c>
      <c r="V1654" t="str">
        <f>IF(OR(U1654="",U1654="ERRO_CHAVE"),"",IFERROR(MATCH(U1654,Fornecedores!$AF$1:$AF$6631,0),""))</f>
        <v/>
      </c>
      <c r="W1654" t="str">
        <f t="shared" si="3"/>
        <v/>
      </c>
      <c r="X1654" s="4" t="str">
        <f>IF(V1654="","",INDEX(Fornecedores!$X$1:$X$6631,V1654))</f>
        <v/>
      </c>
      <c r="Y1654" s="4" t="str">
        <f t="shared" si="4"/>
        <v/>
      </c>
    </row>
    <row r="1655" spans="19:25">
      <c r="S1655" t="str">
        <f t="shared" si="0"/>
        <v/>
      </c>
      <c r="T1655" t="str">
        <f t="shared" si="1"/>
        <v/>
      </c>
      <c r="U1655" t="str">
        <f t="shared" si="2"/>
        <v/>
      </c>
      <c r="V1655" t="str">
        <f>IF(OR(U1655="",U1655="ERRO_CHAVE"),"",IFERROR(MATCH(U1655,Fornecedores!$AF$1:$AF$6631,0),""))</f>
        <v/>
      </c>
      <c r="W1655" t="str">
        <f t="shared" si="3"/>
        <v/>
      </c>
      <c r="X1655" s="4" t="str">
        <f>IF(V1655="","",INDEX(Fornecedores!$X$1:$X$6631,V1655))</f>
        <v/>
      </c>
      <c r="Y1655" s="4" t="str">
        <f t="shared" si="4"/>
        <v/>
      </c>
    </row>
    <row r="1656" spans="19:25">
      <c r="S1656" t="str">
        <f t="shared" si="0"/>
        <v/>
      </c>
      <c r="T1656" t="str">
        <f t="shared" si="1"/>
        <v/>
      </c>
      <c r="U1656" t="str">
        <f t="shared" si="2"/>
        <v/>
      </c>
      <c r="V1656" t="str">
        <f>IF(OR(U1656="",U1656="ERRO_CHAVE"),"",IFERROR(MATCH(U1656,Fornecedores!$AF$1:$AF$6631,0),""))</f>
        <v/>
      </c>
      <c r="W1656" t="str">
        <f t="shared" si="3"/>
        <v/>
      </c>
      <c r="X1656" s="4" t="str">
        <f>IF(V1656="","",INDEX(Fornecedores!$X$1:$X$6631,V1656))</f>
        <v/>
      </c>
      <c r="Y1656" s="4" t="str">
        <f t="shared" si="4"/>
        <v/>
      </c>
    </row>
    <row r="1657" spans="19:25">
      <c r="S1657" t="str">
        <f t="shared" si="0"/>
        <v/>
      </c>
      <c r="T1657" t="str">
        <f t="shared" si="1"/>
        <v/>
      </c>
      <c r="U1657" t="str">
        <f t="shared" si="2"/>
        <v/>
      </c>
      <c r="V1657" t="str">
        <f>IF(OR(U1657="",U1657="ERRO_CHAVE"),"",IFERROR(MATCH(U1657,Fornecedores!$AF$1:$AF$6631,0),""))</f>
        <v/>
      </c>
      <c r="W1657" t="str">
        <f t="shared" si="3"/>
        <v/>
      </c>
      <c r="X1657" s="4" t="str">
        <f>IF(V1657="","",INDEX(Fornecedores!$X$1:$X$6631,V1657))</f>
        <v/>
      </c>
      <c r="Y1657" s="4" t="str">
        <f t="shared" si="4"/>
        <v/>
      </c>
    </row>
    <row r="1658" spans="19:25">
      <c r="S1658" t="str">
        <f t="shared" si="0"/>
        <v/>
      </c>
      <c r="T1658" t="str">
        <f t="shared" si="1"/>
        <v/>
      </c>
      <c r="U1658" t="str">
        <f t="shared" si="2"/>
        <v/>
      </c>
      <c r="V1658" t="str">
        <f>IF(OR(U1658="",U1658="ERRO_CHAVE"),"",IFERROR(MATCH(U1658,Fornecedores!$AF$1:$AF$6631,0),""))</f>
        <v/>
      </c>
      <c r="W1658" t="str">
        <f t="shared" si="3"/>
        <v/>
      </c>
      <c r="X1658" s="4" t="str">
        <f>IF(V1658="","",INDEX(Fornecedores!$X$1:$X$6631,V1658))</f>
        <v/>
      </c>
      <c r="Y1658" s="4" t="str">
        <f t="shared" si="4"/>
        <v/>
      </c>
    </row>
    <row r="1659" spans="19:25">
      <c r="S1659" t="str">
        <f t="shared" si="0"/>
        <v/>
      </c>
      <c r="T1659" t="str">
        <f t="shared" si="1"/>
        <v/>
      </c>
      <c r="U1659" t="str">
        <f t="shared" si="2"/>
        <v/>
      </c>
      <c r="V1659" t="str">
        <f>IF(OR(U1659="",U1659="ERRO_CHAVE"),"",IFERROR(MATCH(U1659,Fornecedores!$AF$1:$AF$6631,0),""))</f>
        <v/>
      </c>
      <c r="W1659" t="str">
        <f t="shared" si="3"/>
        <v/>
      </c>
      <c r="X1659" s="4" t="str">
        <f>IF(V1659="","",INDEX(Fornecedores!$X$1:$X$6631,V1659))</f>
        <v/>
      </c>
      <c r="Y1659" s="4" t="str">
        <f t="shared" si="4"/>
        <v/>
      </c>
    </row>
    <row r="1660" spans="19:25">
      <c r="S1660" t="str">
        <f t="shared" si="0"/>
        <v/>
      </c>
      <c r="T1660" t="str">
        <f t="shared" si="1"/>
        <v/>
      </c>
      <c r="U1660" t="str">
        <f t="shared" si="2"/>
        <v/>
      </c>
      <c r="V1660" t="str">
        <f>IF(OR(U1660="",U1660="ERRO_CHAVE"),"",IFERROR(MATCH(U1660,Fornecedores!$AF$1:$AF$6631,0),""))</f>
        <v/>
      </c>
      <c r="W1660" t="str">
        <f t="shared" si="3"/>
        <v/>
      </c>
      <c r="X1660" s="4" t="str">
        <f>IF(V1660="","",INDEX(Fornecedores!$X$1:$X$6631,V1660))</f>
        <v/>
      </c>
      <c r="Y1660" s="4" t="str">
        <f t="shared" si="4"/>
        <v/>
      </c>
    </row>
    <row r="1661" spans="19:25">
      <c r="S1661" t="str">
        <f t="shared" si="0"/>
        <v/>
      </c>
      <c r="T1661" t="str">
        <f t="shared" si="1"/>
        <v/>
      </c>
      <c r="U1661" t="str">
        <f t="shared" si="2"/>
        <v/>
      </c>
      <c r="V1661" t="str">
        <f>IF(OR(U1661="",U1661="ERRO_CHAVE"),"",IFERROR(MATCH(U1661,Fornecedores!$AF$1:$AF$6631,0),""))</f>
        <v/>
      </c>
      <c r="W1661" t="str">
        <f t="shared" si="3"/>
        <v/>
      </c>
      <c r="X1661" s="4" t="str">
        <f>IF(V1661="","",INDEX(Fornecedores!$X$1:$X$6631,V1661))</f>
        <v/>
      </c>
      <c r="Y1661" s="4" t="str">
        <f t="shared" si="4"/>
        <v/>
      </c>
    </row>
    <row r="1662" spans="19:25">
      <c r="S1662" t="str">
        <f t="shared" si="0"/>
        <v/>
      </c>
      <c r="T1662" t="str">
        <f t="shared" si="1"/>
        <v/>
      </c>
      <c r="U1662" t="str">
        <f t="shared" si="2"/>
        <v/>
      </c>
      <c r="V1662" t="str">
        <f>IF(OR(U1662="",U1662="ERRO_CHAVE"),"",IFERROR(MATCH(U1662,Fornecedores!$AF$1:$AF$6631,0),""))</f>
        <v/>
      </c>
      <c r="W1662" t="str">
        <f t="shared" si="3"/>
        <v/>
      </c>
      <c r="X1662" s="4" t="str">
        <f>IF(V1662="","",INDEX(Fornecedores!$X$1:$X$6631,V1662))</f>
        <v/>
      </c>
      <c r="Y1662" s="4" t="str">
        <f t="shared" si="4"/>
        <v/>
      </c>
    </row>
    <row r="1663" spans="19:25">
      <c r="S1663" t="str">
        <f t="shared" si="0"/>
        <v/>
      </c>
      <c r="T1663" t="str">
        <f t="shared" si="1"/>
        <v/>
      </c>
      <c r="U1663" t="str">
        <f t="shared" si="2"/>
        <v/>
      </c>
      <c r="V1663" t="str">
        <f>IF(OR(U1663="",U1663="ERRO_CHAVE"),"",IFERROR(MATCH(U1663,Fornecedores!$AF$1:$AF$6631,0),""))</f>
        <v/>
      </c>
      <c r="W1663" t="str">
        <f t="shared" si="3"/>
        <v/>
      </c>
      <c r="X1663" s="4" t="str">
        <f>IF(V1663="","",INDEX(Fornecedores!$X$1:$X$6631,V1663))</f>
        <v/>
      </c>
      <c r="Y1663" s="4" t="str">
        <f t="shared" si="4"/>
        <v/>
      </c>
    </row>
    <row r="1664" spans="19:25">
      <c r="S1664" t="str">
        <f t="shared" si="0"/>
        <v/>
      </c>
      <c r="T1664" t="str">
        <f t="shared" si="1"/>
        <v/>
      </c>
      <c r="U1664" t="str">
        <f t="shared" si="2"/>
        <v/>
      </c>
      <c r="V1664" t="str">
        <f>IF(OR(U1664="",U1664="ERRO_CHAVE"),"",IFERROR(MATCH(U1664,Fornecedores!$AF$1:$AF$6631,0),""))</f>
        <v/>
      </c>
      <c r="W1664" t="str">
        <f t="shared" si="3"/>
        <v/>
      </c>
      <c r="X1664" s="4" t="str">
        <f>IF(V1664="","",INDEX(Fornecedores!$X$1:$X$6631,V1664))</f>
        <v/>
      </c>
      <c r="Y1664" s="4" t="str">
        <f t="shared" si="4"/>
        <v/>
      </c>
    </row>
    <row r="1665" spans="19:25">
      <c r="S1665" t="str">
        <f t="shared" si="0"/>
        <v/>
      </c>
      <c r="T1665" t="str">
        <f t="shared" si="1"/>
        <v/>
      </c>
      <c r="U1665" t="str">
        <f t="shared" si="2"/>
        <v/>
      </c>
      <c r="V1665" t="str">
        <f>IF(OR(U1665="",U1665="ERRO_CHAVE"),"",IFERROR(MATCH(U1665,Fornecedores!$AF$1:$AF$6631,0),""))</f>
        <v/>
      </c>
      <c r="W1665" t="str">
        <f t="shared" si="3"/>
        <v/>
      </c>
      <c r="X1665" s="4" t="str">
        <f>IF(V1665="","",INDEX(Fornecedores!$X$1:$X$6631,V1665))</f>
        <v/>
      </c>
      <c r="Y1665" s="4" t="str">
        <f t="shared" si="4"/>
        <v/>
      </c>
    </row>
    <row r="1666" spans="19:25">
      <c r="S1666" t="str">
        <f t="shared" si="0"/>
        <v/>
      </c>
      <c r="T1666" t="str">
        <f t="shared" si="1"/>
        <v/>
      </c>
      <c r="U1666" t="str">
        <f t="shared" si="2"/>
        <v/>
      </c>
      <c r="V1666" t="str">
        <f>IF(OR(U1666="",U1666="ERRO_CHAVE"),"",IFERROR(MATCH(U1666,Fornecedores!$AF$1:$AF$6631,0),""))</f>
        <v/>
      </c>
      <c r="W1666" t="str">
        <f t="shared" si="3"/>
        <v/>
      </c>
      <c r="X1666" s="4" t="str">
        <f>IF(V1666="","",INDEX(Fornecedores!$X$1:$X$6631,V1666))</f>
        <v/>
      </c>
      <c r="Y1666" s="4" t="str">
        <f t="shared" si="4"/>
        <v/>
      </c>
    </row>
    <row r="1667" spans="19:25">
      <c r="S1667" t="str">
        <f t="shared" si="0"/>
        <v/>
      </c>
      <c r="T1667" t="str">
        <f t="shared" si="1"/>
        <v/>
      </c>
      <c r="U1667" t="str">
        <f t="shared" si="2"/>
        <v/>
      </c>
      <c r="V1667" t="str">
        <f>IF(OR(U1667="",U1667="ERRO_CHAVE"),"",IFERROR(MATCH(U1667,Fornecedores!$AF$1:$AF$6631,0),""))</f>
        <v/>
      </c>
      <c r="W1667" t="str">
        <f t="shared" si="3"/>
        <v/>
      </c>
      <c r="X1667" s="4" t="str">
        <f>IF(V1667="","",INDEX(Fornecedores!$X$1:$X$6631,V1667))</f>
        <v/>
      </c>
      <c r="Y1667" s="4" t="str">
        <f t="shared" si="4"/>
        <v/>
      </c>
    </row>
    <row r="1668" spans="19:25">
      <c r="S1668" t="str">
        <f t="shared" si="0"/>
        <v/>
      </c>
      <c r="T1668" t="str">
        <f t="shared" si="1"/>
        <v/>
      </c>
      <c r="U1668" t="str">
        <f t="shared" si="2"/>
        <v/>
      </c>
      <c r="V1668" t="str">
        <f>IF(OR(U1668="",U1668="ERRO_CHAVE"),"",IFERROR(MATCH(U1668,Fornecedores!$AF$1:$AF$6631,0),""))</f>
        <v/>
      </c>
      <c r="W1668" t="str">
        <f t="shared" si="3"/>
        <v/>
      </c>
      <c r="X1668" s="4" t="str">
        <f>IF(V1668="","",INDEX(Fornecedores!$X$1:$X$6631,V1668))</f>
        <v/>
      </c>
      <c r="Y1668" s="4" t="str">
        <f t="shared" si="4"/>
        <v/>
      </c>
    </row>
    <row r="1669" spans="19:25">
      <c r="S1669" t="str">
        <f t="shared" si="0"/>
        <v/>
      </c>
      <c r="T1669" t="str">
        <f t="shared" si="1"/>
        <v/>
      </c>
      <c r="U1669" t="str">
        <f t="shared" si="2"/>
        <v/>
      </c>
      <c r="V1669" t="str">
        <f>IF(OR(U1669="",U1669="ERRO_CHAVE"),"",IFERROR(MATCH(U1669,Fornecedores!$AF$1:$AF$6631,0),""))</f>
        <v/>
      </c>
      <c r="W1669" t="str">
        <f t="shared" si="3"/>
        <v/>
      </c>
      <c r="X1669" s="4" t="str">
        <f>IF(V1669="","",INDEX(Fornecedores!$X$1:$X$6631,V1669))</f>
        <v/>
      </c>
      <c r="Y1669" s="4" t="str">
        <f t="shared" si="4"/>
        <v/>
      </c>
    </row>
    <row r="1670" spans="19:25">
      <c r="S1670" t="str">
        <f t="shared" si="0"/>
        <v/>
      </c>
      <c r="T1670" t="str">
        <f t="shared" si="1"/>
        <v/>
      </c>
      <c r="U1670" t="str">
        <f t="shared" si="2"/>
        <v/>
      </c>
      <c r="V1670" t="str">
        <f>IF(OR(U1670="",U1670="ERRO_CHAVE"),"",IFERROR(MATCH(U1670,Fornecedores!$AF$1:$AF$6631,0),""))</f>
        <v/>
      </c>
      <c r="W1670" t="str">
        <f t="shared" si="3"/>
        <v/>
      </c>
      <c r="X1670" s="4" t="str">
        <f>IF(V1670="","",INDEX(Fornecedores!$X$1:$X$6631,V1670))</f>
        <v/>
      </c>
      <c r="Y1670" s="4" t="str">
        <f t="shared" si="4"/>
        <v/>
      </c>
    </row>
    <row r="1671" spans="19:25">
      <c r="S1671" t="str">
        <f t="shared" si="0"/>
        <v/>
      </c>
      <c r="T1671" t="str">
        <f t="shared" si="1"/>
        <v/>
      </c>
      <c r="U1671" t="str">
        <f t="shared" si="2"/>
        <v/>
      </c>
      <c r="V1671" t="str">
        <f>IF(OR(U1671="",U1671="ERRO_CHAVE"),"",IFERROR(MATCH(U1671,Fornecedores!$AF$1:$AF$6631,0),""))</f>
        <v/>
      </c>
      <c r="W1671" t="str">
        <f t="shared" si="3"/>
        <v/>
      </c>
      <c r="X1671" s="4" t="str">
        <f>IF(V1671="","",INDEX(Fornecedores!$X$1:$X$6631,V1671))</f>
        <v/>
      </c>
      <c r="Y1671" s="4" t="str">
        <f t="shared" si="4"/>
        <v/>
      </c>
    </row>
    <row r="1672" spans="19:25">
      <c r="S1672" t="str">
        <f t="shared" si="0"/>
        <v/>
      </c>
      <c r="T1672" t="str">
        <f t="shared" si="1"/>
        <v/>
      </c>
      <c r="U1672" t="str">
        <f t="shared" si="2"/>
        <v/>
      </c>
      <c r="V1672" t="str">
        <f>IF(OR(U1672="",U1672="ERRO_CHAVE"),"",IFERROR(MATCH(U1672,Fornecedores!$AF$1:$AF$6631,0),""))</f>
        <v/>
      </c>
      <c r="W1672" t="str">
        <f t="shared" si="3"/>
        <v/>
      </c>
      <c r="X1672" s="4" t="str">
        <f>IF(V1672="","",INDEX(Fornecedores!$X$1:$X$6631,V1672))</f>
        <v/>
      </c>
      <c r="Y1672" s="4" t="str">
        <f t="shared" si="4"/>
        <v/>
      </c>
    </row>
    <row r="1673" spans="19:25">
      <c r="S1673" t="str">
        <f t="shared" si="0"/>
        <v/>
      </c>
      <c r="T1673" t="str">
        <f t="shared" si="1"/>
        <v/>
      </c>
      <c r="U1673" t="str">
        <f t="shared" si="2"/>
        <v/>
      </c>
      <c r="V1673" t="str">
        <f>IF(OR(U1673="",U1673="ERRO_CHAVE"),"",IFERROR(MATCH(U1673,Fornecedores!$AF$1:$AF$6631,0),""))</f>
        <v/>
      </c>
      <c r="W1673" t="str">
        <f t="shared" si="3"/>
        <v/>
      </c>
      <c r="X1673" s="4" t="str">
        <f>IF(V1673="","",INDEX(Fornecedores!$X$1:$X$6631,V1673))</f>
        <v/>
      </c>
      <c r="Y1673" s="4" t="str">
        <f t="shared" si="4"/>
        <v/>
      </c>
    </row>
    <row r="1674" spans="19:25">
      <c r="S1674" t="str">
        <f t="shared" si="0"/>
        <v/>
      </c>
      <c r="T1674" t="str">
        <f t="shared" si="1"/>
        <v/>
      </c>
      <c r="U1674" t="str">
        <f t="shared" si="2"/>
        <v/>
      </c>
      <c r="V1674" t="str">
        <f>IF(OR(U1674="",U1674="ERRO_CHAVE"),"",IFERROR(MATCH(U1674,Fornecedores!$AF$1:$AF$6631,0),""))</f>
        <v/>
      </c>
      <c r="W1674" t="str">
        <f t="shared" si="3"/>
        <v/>
      </c>
      <c r="X1674" s="4" t="str">
        <f>IF(V1674="","",INDEX(Fornecedores!$X$1:$X$6631,V1674))</f>
        <v/>
      </c>
      <c r="Y1674" s="4" t="str">
        <f t="shared" si="4"/>
        <v/>
      </c>
    </row>
    <row r="1675" spans="19:25">
      <c r="S1675" t="str">
        <f t="shared" si="0"/>
        <v/>
      </c>
      <c r="T1675" t="str">
        <f t="shared" si="1"/>
        <v/>
      </c>
      <c r="U1675" t="str">
        <f t="shared" si="2"/>
        <v/>
      </c>
      <c r="V1675" t="str">
        <f>IF(OR(U1675="",U1675="ERRO_CHAVE"),"",IFERROR(MATCH(U1675,Fornecedores!$AF$1:$AF$6631,0),""))</f>
        <v/>
      </c>
      <c r="W1675" t="str">
        <f t="shared" si="3"/>
        <v/>
      </c>
      <c r="X1675" s="4" t="str">
        <f>IF(V1675="","",INDEX(Fornecedores!$X$1:$X$6631,V1675))</f>
        <v/>
      </c>
      <c r="Y1675" s="4" t="str">
        <f t="shared" si="4"/>
        <v/>
      </c>
    </row>
    <row r="1676" spans="19:25">
      <c r="S1676" t="str">
        <f t="shared" si="0"/>
        <v/>
      </c>
      <c r="T1676" t="str">
        <f t="shared" si="1"/>
        <v/>
      </c>
      <c r="U1676" t="str">
        <f t="shared" si="2"/>
        <v/>
      </c>
      <c r="V1676" t="str">
        <f>IF(OR(U1676="",U1676="ERRO_CHAVE"),"",IFERROR(MATCH(U1676,Fornecedores!$AF$1:$AF$6631,0),""))</f>
        <v/>
      </c>
      <c r="W1676" t="str">
        <f t="shared" si="3"/>
        <v/>
      </c>
      <c r="X1676" s="4" t="str">
        <f>IF(V1676="","",INDEX(Fornecedores!$X$1:$X$6631,V1676))</f>
        <v/>
      </c>
      <c r="Y1676" s="4" t="str">
        <f t="shared" si="4"/>
        <v/>
      </c>
    </row>
    <row r="1677" spans="19:25">
      <c r="S1677" t="str">
        <f t="shared" si="0"/>
        <v/>
      </c>
      <c r="T1677" t="str">
        <f t="shared" si="1"/>
        <v/>
      </c>
      <c r="U1677" t="str">
        <f t="shared" si="2"/>
        <v/>
      </c>
      <c r="V1677" t="str">
        <f>IF(OR(U1677="",U1677="ERRO_CHAVE"),"",IFERROR(MATCH(U1677,Fornecedores!$AF$1:$AF$6631,0),""))</f>
        <v/>
      </c>
      <c r="W1677" t="str">
        <f t="shared" si="3"/>
        <v/>
      </c>
      <c r="X1677" s="4" t="str">
        <f>IF(V1677="","",INDEX(Fornecedores!$X$1:$X$6631,V1677))</f>
        <v/>
      </c>
      <c r="Y1677" s="4" t="str">
        <f t="shared" si="4"/>
        <v/>
      </c>
    </row>
    <row r="1678" spans="19:25">
      <c r="S1678" t="str">
        <f t="shared" si="0"/>
        <v/>
      </c>
      <c r="T1678" t="str">
        <f t="shared" si="1"/>
        <v/>
      </c>
      <c r="U1678" t="str">
        <f t="shared" si="2"/>
        <v/>
      </c>
      <c r="V1678" t="str">
        <f>IF(OR(U1678="",U1678="ERRO_CHAVE"),"",IFERROR(MATCH(U1678,Fornecedores!$AF$1:$AF$6631,0),""))</f>
        <v/>
      </c>
      <c r="W1678" t="str">
        <f t="shared" si="3"/>
        <v/>
      </c>
      <c r="X1678" s="4" t="str">
        <f>IF(V1678="","",INDEX(Fornecedores!$X$1:$X$6631,V1678))</f>
        <v/>
      </c>
      <c r="Y1678" s="4" t="str">
        <f t="shared" si="4"/>
        <v/>
      </c>
    </row>
    <row r="1679" spans="19:25">
      <c r="S1679" t="str">
        <f t="shared" si="0"/>
        <v/>
      </c>
      <c r="T1679" t="str">
        <f t="shared" si="1"/>
        <v/>
      </c>
      <c r="U1679" t="str">
        <f t="shared" si="2"/>
        <v/>
      </c>
      <c r="V1679" t="str">
        <f>IF(OR(U1679="",U1679="ERRO_CHAVE"),"",IFERROR(MATCH(U1679,Fornecedores!$AF$1:$AF$6631,0),""))</f>
        <v/>
      </c>
      <c r="W1679" t="str">
        <f t="shared" si="3"/>
        <v/>
      </c>
      <c r="X1679" s="4" t="str">
        <f>IF(V1679="","",INDEX(Fornecedores!$X$1:$X$6631,V1679))</f>
        <v/>
      </c>
      <c r="Y1679" s="4" t="str">
        <f t="shared" si="4"/>
        <v/>
      </c>
    </row>
    <row r="1680" spans="19:25">
      <c r="S1680" t="str">
        <f t="shared" si="0"/>
        <v/>
      </c>
      <c r="T1680" t="str">
        <f t="shared" si="1"/>
        <v/>
      </c>
      <c r="U1680" t="str">
        <f t="shared" si="2"/>
        <v/>
      </c>
      <c r="V1680" t="str">
        <f>IF(OR(U1680="",U1680="ERRO_CHAVE"),"",IFERROR(MATCH(U1680,Fornecedores!$AF$1:$AF$6631,0),""))</f>
        <v/>
      </c>
      <c r="W1680" t="str">
        <f t="shared" si="3"/>
        <v/>
      </c>
      <c r="X1680" s="4" t="str">
        <f>IF(V1680="","",INDEX(Fornecedores!$X$1:$X$6631,V1680))</f>
        <v/>
      </c>
      <c r="Y1680" s="4" t="str">
        <f t="shared" si="4"/>
        <v/>
      </c>
    </row>
    <row r="1681" spans="19:25">
      <c r="S1681" t="str">
        <f t="shared" si="0"/>
        <v/>
      </c>
      <c r="T1681" t="str">
        <f t="shared" si="1"/>
        <v/>
      </c>
      <c r="U1681" t="str">
        <f t="shared" si="2"/>
        <v/>
      </c>
      <c r="V1681" t="str">
        <f>IF(OR(U1681="",U1681="ERRO_CHAVE"),"",IFERROR(MATCH(U1681,Fornecedores!$AF$1:$AF$6631,0),""))</f>
        <v/>
      </c>
      <c r="W1681" t="str">
        <f t="shared" si="3"/>
        <v/>
      </c>
      <c r="X1681" s="4" t="str">
        <f>IF(V1681="","",INDEX(Fornecedores!$X$1:$X$6631,V1681))</f>
        <v/>
      </c>
      <c r="Y1681" s="4" t="str">
        <f t="shared" si="4"/>
        <v/>
      </c>
    </row>
    <row r="1682" spans="19:25">
      <c r="S1682" t="str">
        <f t="shared" si="0"/>
        <v/>
      </c>
      <c r="T1682" t="str">
        <f t="shared" si="1"/>
        <v/>
      </c>
      <c r="U1682" t="str">
        <f t="shared" si="2"/>
        <v/>
      </c>
      <c r="V1682" t="str">
        <f>IF(OR(U1682="",U1682="ERRO_CHAVE"),"",IFERROR(MATCH(U1682,Fornecedores!$AF$1:$AF$6631,0),""))</f>
        <v/>
      </c>
      <c r="W1682" t="str">
        <f t="shared" si="3"/>
        <v/>
      </c>
      <c r="X1682" s="4" t="str">
        <f>IF(V1682="","",INDEX(Fornecedores!$X$1:$X$6631,V1682))</f>
        <v/>
      </c>
      <c r="Y1682" s="4" t="str">
        <f t="shared" si="4"/>
        <v/>
      </c>
    </row>
    <row r="1683" spans="19:25">
      <c r="S1683" t="str">
        <f t="shared" si="0"/>
        <v/>
      </c>
      <c r="T1683" t="str">
        <f t="shared" si="1"/>
        <v/>
      </c>
      <c r="U1683" t="str">
        <f t="shared" si="2"/>
        <v/>
      </c>
      <c r="V1683" t="str">
        <f>IF(OR(U1683="",U1683="ERRO_CHAVE"),"",IFERROR(MATCH(U1683,Fornecedores!$AF$1:$AF$6631,0),""))</f>
        <v/>
      </c>
      <c r="W1683" t="str">
        <f t="shared" si="3"/>
        <v/>
      </c>
      <c r="X1683" s="4" t="str">
        <f>IF(V1683="","",INDEX(Fornecedores!$X$1:$X$6631,V1683))</f>
        <v/>
      </c>
      <c r="Y1683" s="4" t="str">
        <f t="shared" si="4"/>
        <v/>
      </c>
    </row>
    <row r="1684" spans="19:25">
      <c r="S1684" t="str">
        <f t="shared" si="0"/>
        <v/>
      </c>
      <c r="T1684" t="str">
        <f t="shared" si="1"/>
        <v/>
      </c>
      <c r="U1684" t="str">
        <f t="shared" si="2"/>
        <v/>
      </c>
      <c r="V1684" t="str">
        <f>IF(OR(U1684="",U1684="ERRO_CHAVE"),"",IFERROR(MATCH(U1684,Fornecedores!$AF$1:$AF$6631,0),""))</f>
        <v/>
      </c>
      <c r="W1684" t="str">
        <f t="shared" si="3"/>
        <v/>
      </c>
      <c r="X1684" s="4" t="str">
        <f>IF(V1684="","",INDEX(Fornecedores!$X$1:$X$6631,V1684))</f>
        <v/>
      </c>
      <c r="Y1684" s="4" t="str">
        <f t="shared" si="4"/>
        <v/>
      </c>
    </row>
    <row r="1685" spans="19:25">
      <c r="S1685" t="str">
        <f t="shared" si="0"/>
        <v/>
      </c>
      <c r="T1685" t="str">
        <f t="shared" si="1"/>
        <v/>
      </c>
      <c r="U1685" t="str">
        <f t="shared" si="2"/>
        <v/>
      </c>
      <c r="V1685" t="str">
        <f>IF(OR(U1685="",U1685="ERRO_CHAVE"),"",IFERROR(MATCH(U1685,Fornecedores!$AF$1:$AF$6631,0),""))</f>
        <v/>
      </c>
      <c r="W1685" t="str">
        <f t="shared" si="3"/>
        <v/>
      </c>
      <c r="X1685" s="4" t="str">
        <f>IF(V1685="","",INDEX(Fornecedores!$X$1:$X$6631,V1685))</f>
        <v/>
      </c>
      <c r="Y1685" s="4" t="str">
        <f t="shared" si="4"/>
        <v/>
      </c>
    </row>
    <row r="1686" spans="19:25">
      <c r="S1686" t="str">
        <f t="shared" si="0"/>
        <v/>
      </c>
      <c r="T1686" t="str">
        <f t="shared" si="1"/>
        <v/>
      </c>
      <c r="U1686" t="str">
        <f t="shared" si="2"/>
        <v/>
      </c>
      <c r="V1686" t="str">
        <f>IF(OR(U1686="",U1686="ERRO_CHAVE"),"",IFERROR(MATCH(U1686,Fornecedores!$AF$1:$AF$6631,0),""))</f>
        <v/>
      </c>
      <c r="W1686" t="str">
        <f t="shared" si="3"/>
        <v/>
      </c>
      <c r="X1686" s="4" t="str">
        <f>IF(V1686="","",INDEX(Fornecedores!$X$1:$X$6631,V1686))</f>
        <v/>
      </c>
      <c r="Y1686" s="4" t="str">
        <f t="shared" si="4"/>
        <v/>
      </c>
    </row>
    <row r="1687" spans="19:25">
      <c r="S1687" t="str">
        <f t="shared" si="0"/>
        <v/>
      </c>
      <c r="T1687" t="str">
        <f t="shared" si="1"/>
        <v/>
      </c>
      <c r="U1687" t="str">
        <f t="shared" si="2"/>
        <v/>
      </c>
      <c r="V1687" t="str">
        <f>IF(OR(U1687="",U1687="ERRO_CHAVE"),"",IFERROR(MATCH(U1687,Fornecedores!$AF$1:$AF$6631,0),""))</f>
        <v/>
      </c>
      <c r="W1687" t="str">
        <f t="shared" si="3"/>
        <v/>
      </c>
      <c r="X1687" s="4" t="str">
        <f>IF(V1687="","",INDEX(Fornecedores!$X$1:$X$6631,V1687))</f>
        <v/>
      </c>
      <c r="Y1687" s="4" t="str">
        <f t="shared" si="4"/>
        <v/>
      </c>
    </row>
    <row r="1688" spans="19:25">
      <c r="S1688" t="str">
        <f t="shared" si="0"/>
        <v/>
      </c>
      <c r="T1688" t="str">
        <f t="shared" si="1"/>
        <v/>
      </c>
      <c r="U1688" t="str">
        <f t="shared" si="2"/>
        <v/>
      </c>
      <c r="V1688" t="str">
        <f>IF(OR(U1688="",U1688="ERRO_CHAVE"),"",IFERROR(MATCH(U1688,Fornecedores!$AF$1:$AF$6631,0),""))</f>
        <v/>
      </c>
      <c r="W1688" t="str">
        <f t="shared" si="3"/>
        <v/>
      </c>
      <c r="X1688" s="4" t="str">
        <f>IF(V1688="","",INDEX(Fornecedores!$X$1:$X$6631,V1688))</f>
        <v/>
      </c>
      <c r="Y1688" s="4" t="str">
        <f t="shared" si="4"/>
        <v/>
      </c>
    </row>
    <row r="1689" spans="19:25">
      <c r="S1689" t="str">
        <f t="shared" si="0"/>
        <v/>
      </c>
      <c r="T1689" t="str">
        <f t="shared" si="1"/>
        <v/>
      </c>
      <c r="U1689" t="str">
        <f t="shared" si="2"/>
        <v/>
      </c>
      <c r="V1689" t="str">
        <f>IF(OR(U1689="",U1689="ERRO_CHAVE"),"",IFERROR(MATCH(U1689,Fornecedores!$AF$1:$AF$6631,0),""))</f>
        <v/>
      </c>
      <c r="W1689" t="str">
        <f t="shared" si="3"/>
        <v/>
      </c>
      <c r="X1689" s="4" t="str">
        <f>IF(V1689="","",INDEX(Fornecedores!$X$1:$X$6631,V1689))</f>
        <v/>
      </c>
      <c r="Y1689" s="4" t="str">
        <f t="shared" si="4"/>
        <v/>
      </c>
    </row>
    <row r="1690" spans="19:25">
      <c r="S1690" t="str">
        <f t="shared" si="0"/>
        <v/>
      </c>
      <c r="T1690" t="str">
        <f t="shared" si="1"/>
        <v/>
      </c>
      <c r="U1690" t="str">
        <f t="shared" si="2"/>
        <v/>
      </c>
      <c r="V1690" t="str">
        <f>IF(OR(U1690="",U1690="ERRO_CHAVE"),"",IFERROR(MATCH(U1690,Fornecedores!$AF$1:$AF$6631,0),""))</f>
        <v/>
      </c>
      <c r="W1690" t="str">
        <f t="shared" si="3"/>
        <v/>
      </c>
      <c r="X1690" s="4" t="str">
        <f>IF(V1690="","",INDEX(Fornecedores!$X$1:$X$6631,V1690))</f>
        <v/>
      </c>
      <c r="Y1690" s="4" t="str">
        <f t="shared" si="4"/>
        <v/>
      </c>
    </row>
    <row r="1691" spans="19:25">
      <c r="S1691" t="str">
        <f t="shared" si="0"/>
        <v/>
      </c>
      <c r="T1691" t="str">
        <f t="shared" si="1"/>
        <v/>
      </c>
      <c r="U1691" t="str">
        <f t="shared" si="2"/>
        <v/>
      </c>
      <c r="V1691" t="str">
        <f>IF(OR(U1691="",U1691="ERRO_CHAVE"),"",IFERROR(MATCH(U1691,Fornecedores!$AF$1:$AF$6631,0),""))</f>
        <v/>
      </c>
      <c r="W1691" t="str">
        <f t="shared" si="3"/>
        <v/>
      </c>
      <c r="X1691" s="4" t="str">
        <f>IF(V1691="","",INDEX(Fornecedores!$X$1:$X$6631,V1691))</f>
        <v/>
      </c>
      <c r="Y1691" s="4" t="str">
        <f t="shared" si="4"/>
        <v/>
      </c>
    </row>
    <row r="1692" spans="19:25">
      <c r="S1692" t="str">
        <f t="shared" si="0"/>
        <v/>
      </c>
      <c r="T1692" t="str">
        <f t="shared" si="1"/>
        <v/>
      </c>
      <c r="U1692" t="str">
        <f t="shared" si="2"/>
        <v/>
      </c>
      <c r="V1692" t="str">
        <f>IF(OR(U1692="",U1692="ERRO_CHAVE"),"",IFERROR(MATCH(U1692,Fornecedores!$AF$1:$AF$6631,0),""))</f>
        <v/>
      </c>
      <c r="W1692" t="str">
        <f t="shared" si="3"/>
        <v/>
      </c>
      <c r="X1692" s="4" t="str">
        <f>IF(V1692="","",INDEX(Fornecedores!$X$1:$X$6631,V1692))</f>
        <v/>
      </c>
      <c r="Y1692" s="4" t="str">
        <f t="shared" si="4"/>
        <v/>
      </c>
    </row>
    <row r="1693" spans="19:25">
      <c r="S1693" t="str">
        <f t="shared" si="0"/>
        <v/>
      </c>
      <c r="T1693" t="str">
        <f t="shared" si="1"/>
        <v/>
      </c>
      <c r="U1693" t="str">
        <f t="shared" si="2"/>
        <v/>
      </c>
      <c r="V1693" t="str">
        <f>IF(OR(U1693="",U1693="ERRO_CHAVE"),"",IFERROR(MATCH(U1693,Fornecedores!$AF$1:$AF$6631,0),""))</f>
        <v/>
      </c>
      <c r="W1693" t="str">
        <f t="shared" si="3"/>
        <v/>
      </c>
      <c r="X1693" s="4" t="str">
        <f>IF(V1693="","",INDEX(Fornecedores!$X$1:$X$6631,V1693))</f>
        <v/>
      </c>
      <c r="Y1693" s="4" t="str">
        <f t="shared" si="4"/>
        <v/>
      </c>
    </row>
    <row r="1694" spans="19:25">
      <c r="S1694" t="str">
        <f t="shared" si="0"/>
        <v/>
      </c>
      <c r="T1694" t="str">
        <f t="shared" si="1"/>
        <v/>
      </c>
      <c r="U1694" t="str">
        <f t="shared" si="2"/>
        <v/>
      </c>
      <c r="V1694" t="str">
        <f>IF(OR(U1694="",U1694="ERRO_CHAVE"),"",IFERROR(MATCH(U1694,Fornecedores!$AF$1:$AF$6631,0),""))</f>
        <v/>
      </c>
      <c r="W1694" t="str">
        <f t="shared" si="3"/>
        <v/>
      </c>
      <c r="X1694" s="4" t="str">
        <f>IF(V1694="","",INDEX(Fornecedores!$X$1:$X$6631,V1694))</f>
        <v/>
      </c>
      <c r="Y1694" s="4" t="str">
        <f t="shared" si="4"/>
        <v/>
      </c>
    </row>
    <row r="1695" spans="19:25">
      <c r="S1695" t="str">
        <f t="shared" si="0"/>
        <v/>
      </c>
      <c r="T1695" t="str">
        <f t="shared" si="1"/>
        <v/>
      </c>
      <c r="U1695" t="str">
        <f t="shared" si="2"/>
        <v/>
      </c>
      <c r="V1695" t="str">
        <f>IF(OR(U1695="",U1695="ERRO_CHAVE"),"",IFERROR(MATCH(U1695,Fornecedores!$AF$1:$AF$6631,0),""))</f>
        <v/>
      </c>
      <c r="W1695" t="str">
        <f t="shared" si="3"/>
        <v/>
      </c>
      <c r="X1695" s="4" t="str">
        <f>IF(V1695="","",INDEX(Fornecedores!$X$1:$X$6631,V1695))</f>
        <v/>
      </c>
      <c r="Y1695" s="4" t="str">
        <f t="shared" si="4"/>
        <v/>
      </c>
    </row>
    <row r="1696" spans="19:25">
      <c r="S1696" t="str">
        <f t="shared" si="0"/>
        <v/>
      </c>
      <c r="T1696" t="str">
        <f t="shared" si="1"/>
        <v/>
      </c>
      <c r="U1696" t="str">
        <f t="shared" si="2"/>
        <v/>
      </c>
      <c r="V1696" t="str">
        <f>IF(OR(U1696="",U1696="ERRO_CHAVE"),"",IFERROR(MATCH(U1696,Fornecedores!$AF$1:$AF$6631,0),""))</f>
        <v/>
      </c>
      <c r="W1696" t="str">
        <f t="shared" si="3"/>
        <v/>
      </c>
      <c r="X1696" s="4" t="str">
        <f>IF(V1696="","",INDEX(Fornecedores!$X$1:$X$6631,V1696))</f>
        <v/>
      </c>
      <c r="Y1696" s="4" t="str">
        <f t="shared" si="4"/>
        <v/>
      </c>
    </row>
    <row r="1697" spans="19:25">
      <c r="S1697" t="str">
        <f t="shared" si="0"/>
        <v/>
      </c>
      <c r="T1697" t="str">
        <f t="shared" si="1"/>
        <v/>
      </c>
      <c r="U1697" t="str">
        <f t="shared" si="2"/>
        <v/>
      </c>
      <c r="V1697" t="str">
        <f>IF(OR(U1697="",U1697="ERRO_CHAVE"),"",IFERROR(MATCH(U1697,Fornecedores!$AF$1:$AF$6631,0),""))</f>
        <v/>
      </c>
      <c r="W1697" t="str">
        <f t="shared" si="3"/>
        <v/>
      </c>
      <c r="X1697" s="4" t="str">
        <f>IF(V1697="","",INDEX(Fornecedores!$X$1:$X$6631,V1697))</f>
        <v/>
      </c>
      <c r="Y1697" s="4" t="str">
        <f t="shared" si="4"/>
        <v/>
      </c>
    </row>
    <row r="1698" spans="19:25">
      <c r="S1698" t="str">
        <f t="shared" si="0"/>
        <v/>
      </c>
      <c r="T1698" t="str">
        <f t="shared" si="1"/>
        <v/>
      </c>
      <c r="U1698" t="str">
        <f t="shared" si="2"/>
        <v/>
      </c>
      <c r="V1698" t="str">
        <f>IF(OR(U1698="",U1698="ERRO_CHAVE"),"",IFERROR(MATCH(U1698,Fornecedores!$AF$1:$AF$6631,0),""))</f>
        <v/>
      </c>
      <c r="W1698" t="str">
        <f t="shared" si="3"/>
        <v/>
      </c>
      <c r="X1698" s="4" t="str">
        <f>IF(V1698="","",INDEX(Fornecedores!$X$1:$X$6631,V1698))</f>
        <v/>
      </c>
      <c r="Y1698" s="4" t="str">
        <f t="shared" si="4"/>
        <v/>
      </c>
    </row>
    <row r="1699" spans="19:25">
      <c r="S1699" t="str">
        <f t="shared" si="0"/>
        <v/>
      </c>
      <c r="T1699" t="str">
        <f t="shared" si="1"/>
        <v/>
      </c>
      <c r="U1699" t="str">
        <f t="shared" si="2"/>
        <v/>
      </c>
      <c r="V1699" t="str">
        <f>IF(OR(U1699="",U1699="ERRO_CHAVE"),"",IFERROR(MATCH(U1699,Fornecedores!$AF$1:$AF$6631,0),""))</f>
        <v/>
      </c>
      <c r="W1699" t="str">
        <f t="shared" si="3"/>
        <v/>
      </c>
      <c r="X1699" s="4" t="str">
        <f>IF(V1699="","",INDEX(Fornecedores!$X$1:$X$6631,V1699))</f>
        <v/>
      </c>
      <c r="Y1699" s="4" t="str">
        <f t="shared" si="4"/>
        <v/>
      </c>
    </row>
    <row r="1700" spans="19:25">
      <c r="S1700" t="str">
        <f t="shared" si="0"/>
        <v/>
      </c>
      <c r="T1700" t="str">
        <f t="shared" si="1"/>
        <v/>
      </c>
      <c r="U1700" t="str">
        <f t="shared" si="2"/>
        <v/>
      </c>
      <c r="V1700" t="str">
        <f>IF(OR(U1700="",U1700="ERRO_CHAVE"),"",IFERROR(MATCH(U1700,Fornecedores!$AF$1:$AF$6631,0),""))</f>
        <v/>
      </c>
      <c r="W1700" t="str">
        <f t="shared" si="3"/>
        <v/>
      </c>
      <c r="X1700" s="4" t="str">
        <f>IF(V1700="","",INDEX(Fornecedores!$X$1:$X$6631,V1700))</f>
        <v/>
      </c>
      <c r="Y1700" s="4" t="str">
        <f t="shared" si="4"/>
        <v/>
      </c>
    </row>
    <row r="1701" spans="19:25">
      <c r="S1701" t="str">
        <f t="shared" si="0"/>
        <v/>
      </c>
      <c r="T1701" t="str">
        <f t="shared" si="1"/>
        <v/>
      </c>
      <c r="U1701" t="str">
        <f t="shared" si="2"/>
        <v/>
      </c>
      <c r="V1701" t="str">
        <f>IF(OR(U1701="",U1701="ERRO_CHAVE"),"",IFERROR(MATCH(U1701,Fornecedores!$AF$1:$AF$6631,0),""))</f>
        <v/>
      </c>
      <c r="W1701" t="str">
        <f t="shared" si="3"/>
        <v/>
      </c>
      <c r="X1701" s="4" t="str">
        <f>IF(V1701="","",INDEX(Fornecedores!$X$1:$X$6631,V1701))</f>
        <v/>
      </c>
      <c r="Y1701" s="4" t="str">
        <f t="shared" si="4"/>
        <v/>
      </c>
    </row>
    <row r="1702" spans="19:25">
      <c r="S1702" t="str">
        <f t="shared" si="0"/>
        <v/>
      </c>
      <c r="T1702" t="str">
        <f t="shared" si="1"/>
        <v/>
      </c>
      <c r="U1702" t="str">
        <f t="shared" si="2"/>
        <v/>
      </c>
      <c r="V1702" t="str">
        <f>IF(OR(U1702="",U1702="ERRO_CHAVE"),"",IFERROR(MATCH(U1702,Fornecedores!$AF$1:$AF$6631,0),""))</f>
        <v/>
      </c>
      <c r="W1702" t="str">
        <f t="shared" si="3"/>
        <v/>
      </c>
      <c r="X1702" s="4" t="str">
        <f>IF(V1702="","",INDEX(Fornecedores!$X$1:$X$6631,V1702))</f>
        <v/>
      </c>
      <c r="Y1702" s="4" t="str">
        <f t="shared" si="4"/>
        <v/>
      </c>
    </row>
    <row r="1703" spans="19:25">
      <c r="S1703" t="str">
        <f t="shared" si="0"/>
        <v/>
      </c>
      <c r="T1703" t="str">
        <f t="shared" si="1"/>
        <v/>
      </c>
      <c r="U1703" t="str">
        <f t="shared" si="2"/>
        <v/>
      </c>
      <c r="V1703" t="str">
        <f>IF(OR(U1703="",U1703="ERRO_CHAVE"),"",IFERROR(MATCH(U1703,Fornecedores!$AF$1:$AF$6631,0),""))</f>
        <v/>
      </c>
      <c r="W1703" t="str">
        <f t="shared" si="3"/>
        <v/>
      </c>
      <c r="X1703" s="4" t="str">
        <f>IF(V1703="","",INDEX(Fornecedores!$X$1:$X$6631,V1703))</f>
        <v/>
      </c>
      <c r="Y1703" s="4" t="str">
        <f t="shared" si="4"/>
        <v/>
      </c>
    </row>
    <row r="1704" spans="19:25">
      <c r="S1704" t="str">
        <f t="shared" si="0"/>
        <v/>
      </c>
      <c r="T1704" t="str">
        <f t="shared" si="1"/>
        <v/>
      </c>
      <c r="U1704" t="str">
        <f t="shared" si="2"/>
        <v/>
      </c>
      <c r="V1704" t="str">
        <f>IF(OR(U1704="",U1704="ERRO_CHAVE"),"",IFERROR(MATCH(U1704,Fornecedores!$AF$1:$AF$6631,0),""))</f>
        <v/>
      </c>
      <c r="W1704" t="str">
        <f t="shared" si="3"/>
        <v/>
      </c>
      <c r="X1704" s="4" t="str">
        <f>IF(V1704="","",INDEX(Fornecedores!$X$1:$X$6631,V1704))</f>
        <v/>
      </c>
      <c r="Y1704" s="4" t="str">
        <f t="shared" si="4"/>
        <v/>
      </c>
    </row>
    <row r="1705" spans="19:25">
      <c r="S1705" t="str">
        <f t="shared" si="0"/>
        <v/>
      </c>
      <c r="T1705" t="str">
        <f t="shared" si="1"/>
        <v/>
      </c>
      <c r="U1705" t="str">
        <f t="shared" si="2"/>
        <v/>
      </c>
      <c r="V1705" t="str">
        <f>IF(OR(U1705="",U1705="ERRO_CHAVE"),"",IFERROR(MATCH(U1705,Fornecedores!$AF$1:$AF$6631,0),""))</f>
        <v/>
      </c>
      <c r="W1705" t="str">
        <f t="shared" si="3"/>
        <v/>
      </c>
      <c r="X1705" s="4" t="str">
        <f>IF(V1705="","",INDEX(Fornecedores!$X$1:$X$6631,V1705))</f>
        <v/>
      </c>
      <c r="Y1705" s="4" t="str">
        <f t="shared" si="4"/>
        <v/>
      </c>
    </row>
    <row r="1706" spans="19:25">
      <c r="S1706" t="str">
        <f t="shared" si="0"/>
        <v/>
      </c>
      <c r="T1706" t="str">
        <f t="shared" si="1"/>
        <v/>
      </c>
      <c r="U1706" t="str">
        <f t="shared" si="2"/>
        <v/>
      </c>
      <c r="V1706" t="str">
        <f>IF(OR(U1706="",U1706="ERRO_CHAVE"),"",IFERROR(MATCH(U1706,Fornecedores!$AF$1:$AF$6631,0),""))</f>
        <v/>
      </c>
      <c r="W1706" t="str">
        <f t="shared" si="3"/>
        <v/>
      </c>
      <c r="X1706" s="4" t="str">
        <f>IF(V1706="","",INDEX(Fornecedores!$X$1:$X$6631,V1706))</f>
        <v/>
      </c>
      <c r="Y1706" s="4" t="str">
        <f t="shared" si="4"/>
        <v/>
      </c>
    </row>
    <row r="1707" spans="19:25">
      <c r="S1707" t="str">
        <f t="shared" si="0"/>
        <v/>
      </c>
      <c r="T1707" t="str">
        <f t="shared" si="1"/>
        <v/>
      </c>
      <c r="U1707" t="str">
        <f t="shared" si="2"/>
        <v/>
      </c>
      <c r="V1707" t="str">
        <f>IF(OR(U1707="",U1707="ERRO_CHAVE"),"",IFERROR(MATCH(U1707,Fornecedores!$AF$1:$AF$6631,0),""))</f>
        <v/>
      </c>
      <c r="W1707" t="str">
        <f t="shared" si="3"/>
        <v/>
      </c>
      <c r="X1707" s="4" t="str">
        <f>IF(V1707="","",INDEX(Fornecedores!$X$1:$X$6631,V1707))</f>
        <v/>
      </c>
      <c r="Y1707" s="4" t="str">
        <f t="shared" si="4"/>
        <v/>
      </c>
    </row>
    <row r="1708" spans="19:25">
      <c r="S1708" t="str">
        <f t="shared" si="0"/>
        <v/>
      </c>
      <c r="T1708" t="str">
        <f t="shared" si="1"/>
        <v/>
      </c>
      <c r="U1708" t="str">
        <f t="shared" si="2"/>
        <v/>
      </c>
      <c r="V1708" t="str">
        <f>IF(OR(U1708="",U1708="ERRO_CHAVE"),"",IFERROR(MATCH(U1708,Fornecedores!$AF$1:$AF$6631,0),""))</f>
        <v/>
      </c>
      <c r="W1708" t="str">
        <f t="shared" si="3"/>
        <v/>
      </c>
      <c r="X1708" s="4" t="str">
        <f>IF(V1708="","",INDEX(Fornecedores!$X$1:$X$6631,V1708))</f>
        <v/>
      </c>
      <c r="Y1708" s="4" t="str">
        <f t="shared" si="4"/>
        <v/>
      </c>
    </row>
    <row r="1709" spans="19:25">
      <c r="S1709" t="str">
        <f t="shared" si="0"/>
        <v/>
      </c>
      <c r="T1709" t="str">
        <f t="shared" si="1"/>
        <v/>
      </c>
      <c r="U1709" t="str">
        <f t="shared" si="2"/>
        <v/>
      </c>
      <c r="V1709" t="str">
        <f>IF(OR(U1709="",U1709="ERRO_CHAVE"),"",IFERROR(MATCH(U1709,Fornecedores!$AF$1:$AF$6631,0),""))</f>
        <v/>
      </c>
      <c r="W1709" t="str">
        <f t="shared" si="3"/>
        <v/>
      </c>
      <c r="X1709" s="4" t="str">
        <f>IF(V1709="","",INDEX(Fornecedores!$X$1:$X$6631,V1709))</f>
        <v/>
      </c>
      <c r="Y1709" s="4" t="str">
        <f t="shared" si="4"/>
        <v/>
      </c>
    </row>
    <row r="1710" spans="19:25">
      <c r="S1710" t="str">
        <f t="shared" si="0"/>
        <v/>
      </c>
      <c r="T1710" t="str">
        <f t="shared" si="1"/>
        <v/>
      </c>
      <c r="U1710" t="str">
        <f t="shared" si="2"/>
        <v/>
      </c>
      <c r="V1710" t="str">
        <f>IF(OR(U1710="",U1710="ERRO_CHAVE"),"",IFERROR(MATCH(U1710,Fornecedores!$AF$1:$AF$6631,0),""))</f>
        <v/>
      </c>
      <c r="W1710" t="str">
        <f t="shared" si="3"/>
        <v/>
      </c>
      <c r="X1710" s="4" t="str">
        <f>IF(V1710="","",INDEX(Fornecedores!$X$1:$X$6631,V1710))</f>
        <v/>
      </c>
      <c r="Y1710" s="4" t="str">
        <f t="shared" si="4"/>
        <v/>
      </c>
    </row>
    <row r="1711" spans="19:25">
      <c r="S1711" t="str">
        <f t="shared" si="0"/>
        <v/>
      </c>
      <c r="T1711" t="str">
        <f t="shared" si="1"/>
        <v/>
      </c>
      <c r="U1711" t="str">
        <f t="shared" si="2"/>
        <v/>
      </c>
      <c r="V1711" t="str">
        <f>IF(OR(U1711="",U1711="ERRO_CHAVE"),"",IFERROR(MATCH(U1711,Fornecedores!$AF$1:$AF$6631,0),""))</f>
        <v/>
      </c>
      <c r="W1711" t="str">
        <f t="shared" si="3"/>
        <v/>
      </c>
      <c r="X1711" s="4" t="str">
        <f>IF(V1711="","",INDEX(Fornecedores!$X$1:$X$6631,V1711))</f>
        <v/>
      </c>
      <c r="Y1711" s="4" t="str">
        <f t="shared" si="4"/>
        <v/>
      </c>
    </row>
    <row r="1712" spans="19:25">
      <c r="S1712" t="str">
        <f t="shared" si="0"/>
        <v/>
      </c>
      <c r="T1712" t="str">
        <f t="shared" si="1"/>
        <v/>
      </c>
      <c r="U1712" t="str">
        <f t="shared" si="2"/>
        <v/>
      </c>
      <c r="V1712" t="str">
        <f>IF(OR(U1712="",U1712="ERRO_CHAVE"),"",IFERROR(MATCH(U1712,Fornecedores!$AF$1:$AF$6631,0),""))</f>
        <v/>
      </c>
      <c r="W1712" t="str">
        <f t="shared" si="3"/>
        <v/>
      </c>
      <c r="X1712" s="4" t="str">
        <f>IF(V1712="","",INDEX(Fornecedores!$X$1:$X$6631,V1712))</f>
        <v/>
      </c>
      <c r="Y1712" s="4" t="str">
        <f t="shared" si="4"/>
        <v/>
      </c>
    </row>
    <row r="1713" spans="19:25">
      <c r="S1713" t="str">
        <f t="shared" si="0"/>
        <v/>
      </c>
      <c r="T1713" t="str">
        <f t="shared" si="1"/>
        <v/>
      </c>
      <c r="U1713" t="str">
        <f t="shared" si="2"/>
        <v/>
      </c>
      <c r="V1713" t="str">
        <f>IF(OR(U1713="",U1713="ERRO_CHAVE"),"",IFERROR(MATCH(U1713,Fornecedores!$AF$1:$AF$6631,0),""))</f>
        <v/>
      </c>
      <c r="W1713" t="str">
        <f t="shared" si="3"/>
        <v/>
      </c>
      <c r="X1713" s="4" t="str">
        <f>IF(V1713="","",INDEX(Fornecedores!$X$1:$X$6631,V1713))</f>
        <v/>
      </c>
      <c r="Y1713" s="4" t="str">
        <f t="shared" si="4"/>
        <v/>
      </c>
    </row>
    <row r="1714" spans="19:25">
      <c r="S1714" t="str">
        <f t="shared" si="0"/>
        <v/>
      </c>
      <c r="T1714" t="str">
        <f t="shared" si="1"/>
        <v/>
      </c>
      <c r="U1714" t="str">
        <f t="shared" si="2"/>
        <v/>
      </c>
      <c r="V1714" t="str">
        <f>IF(OR(U1714="",U1714="ERRO_CHAVE"),"",IFERROR(MATCH(U1714,Fornecedores!$AF$1:$AF$6631,0),""))</f>
        <v/>
      </c>
      <c r="W1714" t="str">
        <f t="shared" si="3"/>
        <v/>
      </c>
      <c r="X1714" s="4" t="str">
        <f>IF(V1714="","",INDEX(Fornecedores!$X$1:$X$6631,V1714))</f>
        <v/>
      </c>
      <c r="Y1714" s="4" t="str">
        <f t="shared" si="4"/>
        <v/>
      </c>
    </row>
    <row r="1715" spans="19:25">
      <c r="S1715" t="str">
        <f t="shared" si="0"/>
        <v/>
      </c>
      <c r="T1715" t="str">
        <f t="shared" si="1"/>
        <v/>
      </c>
      <c r="U1715" t="str">
        <f t="shared" si="2"/>
        <v/>
      </c>
      <c r="V1715" t="str">
        <f>IF(OR(U1715="",U1715="ERRO_CHAVE"),"",IFERROR(MATCH(U1715,Fornecedores!$AF$1:$AF$6631,0),""))</f>
        <v/>
      </c>
      <c r="W1715" t="str">
        <f t="shared" si="3"/>
        <v/>
      </c>
      <c r="X1715" s="4" t="str">
        <f>IF(V1715="","",INDEX(Fornecedores!$X$1:$X$6631,V1715))</f>
        <v/>
      </c>
      <c r="Y1715" s="4" t="str">
        <f t="shared" si="4"/>
        <v/>
      </c>
    </row>
    <row r="1716" spans="19:25">
      <c r="S1716" t="str">
        <f t="shared" si="0"/>
        <v/>
      </c>
      <c r="T1716" t="str">
        <f t="shared" si="1"/>
        <v/>
      </c>
      <c r="U1716" t="str">
        <f t="shared" si="2"/>
        <v/>
      </c>
      <c r="V1716" t="str">
        <f>IF(OR(U1716="",U1716="ERRO_CHAVE"),"",IFERROR(MATCH(U1716,Fornecedores!$AF$1:$AF$6631,0),""))</f>
        <v/>
      </c>
      <c r="W1716" t="str">
        <f t="shared" si="3"/>
        <v/>
      </c>
      <c r="X1716" s="4" t="str">
        <f>IF(V1716="","",INDEX(Fornecedores!$X$1:$X$6631,V1716))</f>
        <v/>
      </c>
      <c r="Y1716" s="4" t="str">
        <f t="shared" si="4"/>
        <v/>
      </c>
    </row>
    <row r="1717" spans="19:25">
      <c r="S1717" t="str">
        <f t="shared" si="0"/>
        <v/>
      </c>
      <c r="T1717" t="str">
        <f t="shared" si="1"/>
        <v/>
      </c>
      <c r="U1717" t="str">
        <f t="shared" si="2"/>
        <v/>
      </c>
      <c r="V1717" t="str">
        <f>IF(OR(U1717="",U1717="ERRO_CHAVE"),"",IFERROR(MATCH(U1717,Fornecedores!$AF$1:$AF$6631,0),""))</f>
        <v/>
      </c>
      <c r="W1717" t="str">
        <f t="shared" si="3"/>
        <v/>
      </c>
      <c r="X1717" s="4" t="str">
        <f>IF(V1717="","",INDEX(Fornecedores!$X$1:$X$6631,V1717))</f>
        <v/>
      </c>
      <c r="Y1717" s="4" t="str">
        <f t="shared" si="4"/>
        <v/>
      </c>
    </row>
    <row r="1718" spans="19:25">
      <c r="S1718" t="str">
        <f t="shared" si="0"/>
        <v/>
      </c>
      <c r="T1718" t="str">
        <f t="shared" si="1"/>
        <v/>
      </c>
      <c r="U1718" t="str">
        <f t="shared" si="2"/>
        <v/>
      </c>
      <c r="V1718" t="str">
        <f>IF(OR(U1718="",U1718="ERRO_CHAVE"),"",IFERROR(MATCH(U1718,Fornecedores!$AF$1:$AF$6631,0),""))</f>
        <v/>
      </c>
      <c r="W1718" t="str">
        <f t="shared" si="3"/>
        <v/>
      </c>
      <c r="X1718" s="4" t="str">
        <f>IF(V1718="","",INDEX(Fornecedores!$X$1:$X$6631,V1718))</f>
        <v/>
      </c>
      <c r="Y1718" s="4" t="str">
        <f t="shared" si="4"/>
        <v/>
      </c>
    </row>
    <row r="1719" spans="19:25">
      <c r="S1719" t="str">
        <f t="shared" si="0"/>
        <v/>
      </c>
      <c r="T1719" t="str">
        <f t="shared" si="1"/>
        <v/>
      </c>
      <c r="U1719" t="str">
        <f t="shared" si="2"/>
        <v/>
      </c>
      <c r="V1719" t="str">
        <f>IF(OR(U1719="",U1719="ERRO_CHAVE"),"",IFERROR(MATCH(U1719,Fornecedores!$AF$1:$AF$6631,0),""))</f>
        <v/>
      </c>
      <c r="W1719" t="str">
        <f t="shared" si="3"/>
        <v/>
      </c>
      <c r="X1719" s="4" t="str">
        <f>IF(V1719="","",INDEX(Fornecedores!$X$1:$X$6631,V1719))</f>
        <v/>
      </c>
      <c r="Y1719" s="4" t="str">
        <f t="shared" si="4"/>
        <v/>
      </c>
    </row>
    <row r="1720" spans="19:25">
      <c r="S1720" t="str">
        <f t="shared" si="0"/>
        <v/>
      </c>
      <c r="T1720" t="str">
        <f t="shared" si="1"/>
        <v/>
      </c>
      <c r="U1720" t="str">
        <f t="shared" si="2"/>
        <v/>
      </c>
      <c r="V1720" t="str">
        <f>IF(OR(U1720="",U1720="ERRO_CHAVE"),"",IFERROR(MATCH(U1720,Fornecedores!$AF$1:$AF$6631,0),""))</f>
        <v/>
      </c>
      <c r="W1720" t="str">
        <f t="shared" si="3"/>
        <v/>
      </c>
      <c r="X1720" s="4" t="str">
        <f>IF(V1720="","",INDEX(Fornecedores!$X$1:$X$6631,V1720))</f>
        <v/>
      </c>
      <c r="Y1720" s="4" t="str">
        <f t="shared" si="4"/>
        <v/>
      </c>
    </row>
    <row r="1721" spans="19:25">
      <c r="S1721" t="str">
        <f t="shared" si="0"/>
        <v/>
      </c>
      <c r="T1721" t="str">
        <f t="shared" si="1"/>
        <v/>
      </c>
      <c r="U1721" t="str">
        <f t="shared" si="2"/>
        <v/>
      </c>
      <c r="V1721" t="str">
        <f>IF(OR(U1721="",U1721="ERRO_CHAVE"),"",IFERROR(MATCH(U1721,Fornecedores!$AF$1:$AF$6631,0),""))</f>
        <v/>
      </c>
      <c r="W1721" t="str">
        <f t="shared" si="3"/>
        <v/>
      </c>
      <c r="X1721" s="4" t="str">
        <f>IF(V1721="","",INDEX(Fornecedores!$X$1:$X$6631,V1721))</f>
        <v/>
      </c>
      <c r="Y1721" s="4" t="str">
        <f t="shared" si="4"/>
        <v/>
      </c>
    </row>
    <row r="1722" spans="19:25">
      <c r="S1722" t="str">
        <f t="shared" si="0"/>
        <v/>
      </c>
      <c r="T1722" t="str">
        <f t="shared" si="1"/>
        <v/>
      </c>
      <c r="U1722" t="str">
        <f t="shared" si="2"/>
        <v/>
      </c>
      <c r="V1722" t="str">
        <f>IF(OR(U1722="",U1722="ERRO_CHAVE"),"",IFERROR(MATCH(U1722,Fornecedores!$AF$1:$AF$6631,0),""))</f>
        <v/>
      </c>
      <c r="W1722" t="str">
        <f t="shared" si="3"/>
        <v/>
      </c>
      <c r="X1722" s="4" t="str">
        <f>IF(V1722="","",INDEX(Fornecedores!$X$1:$X$6631,V1722))</f>
        <v/>
      </c>
      <c r="Y1722" s="4" t="str">
        <f t="shared" si="4"/>
        <v/>
      </c>
    </row>
    <row r="1723" spans="19:25">
      <c r="S1723" t="str">
        <f t="shared" si="0"/>
        <v/>
      </c>
      <c r="T1723" t="str">
        <f t="shared" si="1"/>
        <v/>
      </c>
      <c r="U1723" t="str">
        <f t="shared" si="2"/>
        <v/>
      </c>
      <c r="V1723" t="str">
        <f>IF(OR(U1723="",U1723="ERRO_CHAVE"),"",IFERROR(MATCH(U1723,Fornecedores!$AF$1:$AF$6631,0),""))</f>
        <v/>
      </c>
      <c r="W1723" t="str">
        <f t="shared" si="3"/>
        <v/>
      </c>
      <c r="X1723" s="4" t="str">
        <f>IF(V1723="","",INDEX(Fornecedores!$X$1:$X$6631,V1723))</f>
        <v/>
      </c>
      <c r="Y1723" s="4" t="str">
        <f t="shared" si="4"/>
        <v/>
      </c>
    </row>
    <row r="1724" spans="19:25">
      <c r="S1724" t="str">
        <f t="shared" si="0"/>
        <v/>
      </c>
      <c r="T1724" t="str">
        <f t="shared" si="1"/>
        <v/>
      </c>
      <c r="U1724" t="str">
        <f t="shared" si="2"/>
        <v/>
      </c>
      <c r="V1724" t="str">
        <f>IF(OR(U1724="",U1724="ERRO_CHAVE"),"",IFERROR(MATCH(U1724,Fornecedores!$AF$1:$AF$6631,0),""))</f>
        <v/>
      </c>
      <c r="W1724" t="str">
        <f t="shared" si="3"/>
        <v/>
      </c>
      <c r="X1724" s="4" t="str">
        <f>IF(V1724="","",INDEX(Fornecedores!$X$1:$X$6631,V1724))</f>
        <v/>
      </c>
      <c r="Y1724" s="4" t="str">
        <f t="shared" si="4"/>
        <v/>
      </c>
    </row>
    <row r="1725" spans="19:25">
      <c r="S1725" t="str">
        <f t="shared" si="0"/>
        <v/>
      </c>
      <c r="T1725" t="str">
        <f t="shared" si="1"/>
        <v/>
      </c>
      <c r="U1725" t="str">
        <f t="shared" si="2"/>
        <v/>
      </c>
      <c r="V1725" t="str">
        <f>IF(OR(U1725="",U1725="ERRO_CHAVE"),"",IFERROR(MATCH(U1725,Fornecedores!$AF$1:$AF$6631,0),""))</f>
        <v/>
      </c>
      <c r="W1725" t="str">
        <f t="shared" si="3"/>
        <v/>
      </c>
      <c r="X1725" s="4" t="str">
        <f>IF(V1725="","",INDEX(Fornecedores!$X$1:$X$6631,V1725))</f>
        <v/>
      </c>
      <c r="Y1725" s="4" t="str">
        <f t="shared" si="4"/>
        <v/>
      </c>
    </row>
    <row r="1726" spans="19:25">
      <c r="S1726" t="str">
        <f t="shared" si="0"/>
        <v/>
      </c>
      <c r="T1726" t="str">
        <f t="shared" si="1"/>
        <v/>
      </c>
      <c r="U1726" t="str">
        <f t="shared" si="2"/>
        <v/>
      </c>
      <c r="V1726" t="str">
        <f>IF(OR(U1726="",U1726="ERRO_CHAVE"),"",IFERROR(MATCH(U1726,Fornecedores!$AF$1:$AF$6631,0),""))</f>
        <v/>
      </c>
      <c r="W1726" t="str">
        <f t="shared" si="3"/>
        <v/>
      </c>
      <c r="X1726" s="4" t="str">
        <f>IF(V1726="","",INDEX(Fornecedores!$X$1:$X$6631,V1726))</f>
        <v/>
      </c>
      <c r="Y1726" s="4" t="str">
        <f t="shared" si="4"/>
        <v/>
      </c>
    </row>
    <row r="1727" spans="19:25">
      <c r="S1727" t="str">
        <f t="shared" si="0"/>
        <v/>
      </c>
      <c r="T1727" t="str">
        <f t="shared" si="1"/>
        <v/>
      </c>
      <c r="U1727" t="str">
        <f t="shared" si="2"/>
        <v/>
      </c>
      <c r="V1727" t="str">
        <f>IF(OR(U1727="",U1727="ERRO_CHAVE"),"",IFERROR(MATCH(U1727,Fornecedores!$AF$1:$AF$6631,0),""))</f>
        <v/>
      </c>
      <c r="W1727" t="str">
        <f t="shared" si="3"/>
        <v/>
      </c>
      <c r="X1727" s="4" t="str">
        <f>IF(V1727="","",INDEX(Fornecedores!$X$1:$X$6631,V1727))</f>
        <v/>
      </c>
      <c r="Y1727" s="4" t="str">
        <f t="shared" si="4"/>
        <v/>
      </c>
    </row>
    <row r="1728" spans="19:25">
      <c r="S1728" t="str">
        <f t="shared" si="0"/>
        <v/>
      </c>
      <c r="T1728" t="str">
        <f t="shared" si="1"/>
        <v/>
      </c>
      <c r="U1728" t="str">
        <f t="shared" si="2"/>
        <v/>
      </c>
      <c r="V1728" t="str">
        <f>IF(OR(U1728="",U1728="ERRO_CHAVE"),"",IFERROR(MATCH(U1728,Fornecedores!$AF$1:$AF$6631,0),""))</f>
        <v/>
      </c>
      <c r="W1728" t="str">
        <f t="shared" si="3"/>
        <v/>
      </c>
      <c r="X1728" s="4" t="str">
        <f>IF(V1728="","",INDEX(Fornecedores!$X$1:$X$6631,V1728))</f>
        <v/>
      </c>
      <c r="Y1728" s="4" t="str">
        <f t="shared" si="4"/>
        <v/>
      </c>
    </row>
    <row r="1729" spans="19:25">
      <c r="S1729" t="str">
        <f t="shared" si="0"/>
        <v/>
      </c>
      <c r="T1729" t="str">
        <f t="shared" si="1"/>
        <v/>
      </c>
      <c r="U1729" t="str">
        <f t="shared" si="2"/>
        <v/>
      </c>
      <c r="V1729" t="str">
        <f>IF(OR(U1729="",U1729="ERRO_CHAVE"),"",IFERROR(MATCH(U1729,Fornecedores!$AF$1:$AF$6631,0),""))</f>
        <v/>
      </c>
      <c r="W1729" t="str">
        <f t="shared" si="3"/>
        <v/>
      </c>
      <c r="X1729" s="4" t="str">
        <f>IF(V1729="","",INDEX(Fornecedores!$X$1:$X$6631,V1729))</f>
        <v/>
      </c>
      <c r="Y1729" s="4" t="str">
        <f t="shared" si="4"/>
        <v/>
      </c>
    </row>
    <row r="1730" spans="19:25">
      <c r="S1730" t="str">
        <f t="shared" si="0"/>
        <v/>
      </c>
      <c r="T1730" t="str">
        <f t="shared" si="1"/>
        <v/>
      </c>
      <c r="U1730" t="str">
        <f t="shared" si="2"/>
        <v/>
      </c>
      <c r="V1730" t="str">
        <f>IF(OR(U1730="",U1730="ERRO_CHAVE"),"",IFERROR(MATCH(U1730,Fornecedores!$AF$1:$AF$6631,0),""))</f>
        <v/>
      </c>
      <c r="W1730" t="str">
        <f t="shared" si="3"/>
        <v/>
      </c>
      <c r="X1730" s="4" t="str">
        <f>IF(V1730="","",INDEX(Fornecedores!$X$1:$X$6631,V1730))</f>
        <v/>
      </c>
      <c r="Y1730" s="4" t="str">
        <f t="shared" si="4"/>
        <v/>
      </c>
    </row>
    <row r="1731" spans="19:25">
      <c r="S1731" t="str">
        <f t="shared" si="0"/>
        <v/>
      </c>
      <c r="T1731" t="str">
        <f t="shared" si="1"/>
        <v/>
      </c>
      <c r="U1731" t="str">
        <f t="shared" si="2"/>
        <v/>
      </c>
      <c r="V1731" t="str">
        <f>IF(OR(U1731="",U1731="ERRO_CHAVE"),"",IFERROR(MATCH(U1731,Fornecedores!$AF$1:$AF$6631,0),""))</f>
        <v/>
      </c>
      <c r="W1731" t="str">
        <f t="shared" si="3"/>
        <v/>
      </c>
      <c r="X1731" s="4" t="str">
        <f>IF(V1731="","",INDEX(Fornecedores!$X$1:$X$6631,V1731))</f>
        <v/>
      </c>
      <c r="Y1731" s="4" t="str">
        <f t="shared" si="4"/>
        <v/>
      </c>
    </row>
    <row r="1732" spans="19:25">
      <c r="S1732" t="str">
        <f t="shared" si="0"/>
        <v/>
      </c>
      <c r="T1732" t="str">
        <f t="shared" si="1"/>
        <v/>
      </c>
      <c r="U1732" t="str">
        <f t="shared" si="2"/>
        <v/>
      </c>
      <c r="V1732" t="str">
        <f>IF(OR(U1732="",U1732="ERRO_CHAVE"),"",IFERROR(MATCH(U1732,Fornecedores!$AF$1:$AF$6631,0),""))</f>
        <v/>
      </c>
      <c r="W1732" t="str">
        <f t="shared" si="3"/>
        <v/>
      </c>
      <c r="X1732" s="4" t="str">
        <f>IF(V1732="","",INDEX(Fornecedores!$X$1:$X$6631,V1732))</f>
        <v/>
      </c>
      <c r="Y1732" s="4" t="str">
        <f t="shared" si="4"/>
        <v/>
      </c>
    </row>
    <row r="1733" spans="19:25">
      <c r="S1733" t="str">
        <f t="shared" si="0"/>
        <v/>
      </c>
      <c r="T1733" t="str">
        <f t="shared" si="1"/>
        <v/>
      </c>
      <c r="U1733" t="str">
        <f t="shared" si="2"/>
        <v/>
      </c>
      <c r="V1733" t="str">
        <f>IF(OR(U1733="",U1733="ERRO_CHAVE"),"",IFERROR(MATCH(U1733,Fornecedores!$AF$1:$AF$6631,0),""))</f>
        <v/>
      </c>
      <c r="W1733" t="str">
        <f t="shared" si="3"/>
        <v/>
      </c>
      <c r="X1733" s="4" t="str">
        <f>IF(V1733="","",INDEX(Fornecedores!$X$1:$X$6631,V1733))</f>
        <v/>
      </c>
      <c r="Y1733" s="4" t="str">
        <f t="shared" si="4"/>
        <v/>
      </c>
    </row>
    <row r="1734" spans="19:25">
      <c r="S1734" t="str">
        <f t="shared" si="0"/>
        <v/>
      </c>
      <c r="T1734" t="str">
        <f t="shared" si="1"/>
        <v/>
      </c>
      <c r="U1734" t="str">
        <f t="shared" si="2"/>
        <v/>
      </c>
      <c r="V1734" t="str">
        <f>IF(OR(U1734="",U1734="ERRO_CHAVE"),"",IFERROR(MATCH(U1734,Fornecedores!$AF$1:$AF$6631,0),""))</f>
        <v/>
      </c>
      <c r="W1734" t="str">
        <f t="shared" si="3"/>
        <v/>
      </c>
      <c r="X1734" s="4" t="str">
        <f>IF(V1734="","",INDEX(Fornecedores!$X$1:$X$6631,V1734))</f>
        <v/>
      </c>
      <c r="Y1734" s="4" t="str">
        <f t="shared" si="4"/>
        <v/>
      </c>
    </row>
    <row r="1735" spans="19:25">
      <c r="S1735" t="str">
        <f t="shared" si="0"/>
        <v/>
      </c>
      <c r="T1735" t="str">
        <f t="shared" si="1"/>
        <v/>
      </c>
      <c r="U1735" t="str">
        <f t="shared" si="2"/>
        <v/>
      </c>
      <c r="V1735" t="str">
        <f>IF(OR(U1735="",U1735="ERRO_CHAVE"),"",IFERROR(MATCH(U1735,Fornecedores!$AF$1:$AF$6631,0),""))</f>
        <v/>
      </c>
      <c r="W1735" t="str">
        <f t="shared" si="3"/>
        <v/>
      </c>
      <c r="X1735" s="4" t="str">
        <f>IF(V1735="","",INDEX(Fornecedores!$X$1:$X$6631,V1735))</f>
        <v/>
      </c>
      <c r="Y1735" s="4" t="str">
        <f t="shared" si="4"/>
        <v/>
      </c>
    </row>
    <row r="1736" spans="19:25">
      <c r="S1736" t="str">
        <f t="shared" si="0"/>
        <v/>
      </c>
      <c r="T1736" t="str">
        <f t="shared" si="1"/>
        <v/>
      </c>
      <c r="U1736" t="str">
        <f t="shared" si="2"/>
        <v/>
      </c>
      <c r="V1736" t="str">
        <f>IF(OR(U1736="",U1736="ERRO_CHAVE"),"",IFERROR(MATCH(U1736,Fornecedores!$AF$1:$AF$6631,0),""))</f>
        <v/>
      </c>
      <c r="W1736" t="str">
        <f t="shared" si="3"/>
        <v/>
      </c>
      <c r="X1736" s="4" t="str">
        <f>IF(V1736="","",INDEX(Fornecedores!$X$1:$X$6631,V1736))</f>
        <v/>
      </c>
      <c r="Y1736" s="4" t="str">
        <f t="shared" si="4"/>
        <v/>
      </c>
    </row>
    <row r="1737" spans="19:25">
      <c r="S1737" t="str">
        <f t="shared" si="0"/>
        <v/>
      </c>
      <c r="T1737" t="str">
        <f t="shared" si="1"/>
        <v/>
      </c>
      <c r="U1737" t="str">
        <f t="shared" si="2"/>
        <v/>
      </c>
      <c r="V1737" t="str">
        <f>IF(OR(U1737="",U1737="ERRO_CHAVE"),"",IFERROR(MATCH(U1737,Fornecedores!$AF$1:$AF$6631,0),""))</f>
        <v/>
      </c>
      <c r="W1737" t="str">
        <f t="shared" si="3"/>
        <v/>
      </c>
      <c r="X1737" s="4" t="str">
        <f>IF(V1737="","",INDEX(Fornecedores!$X$1:$X$6631,V1737))</f>
        <v/>
      </c>
      <c r="Y1737" s="4" t="str">
        <f t="shared" si="4"/>
        <v/>
      </c>
    </row>
    <row r="1738" spans="19:25">
      <c r="S1738" t="str">
        <f t="shared" si="0"/>
        <v/>
      </c>
      <c r="T1738" t="str">
        <f t="shared" si="1"/>
        <v/>
      </c>
      <c r="U1738" t="str">
        <f t="shared" si="2"/>
        <v/>
      </c>
      <c r="V1738" t="str">
        <f>IF(OR(U1738="",U1738="ERRO_CHAVE"),"",IFERROR(MATCH(U1738,Fornecedores!$AF$1:$AF$6631,0),""))</f>
        <v/>
      </c>
      <c r="W1738" t="str">
        <f t="shared" si="3"/>
        <v/>
      </c>
      <c r="X1738" s="4" t="str">
        <f>IF(V1738="","",INDEX(Fornecedores!$X$1:$X$6631,V1738))</f>
        <v/>
      </c>
      <c r="Y1738" s="4" t="str">
        <f t="shared" si="4"/>
        <v/>
      </c>
    </row>
    <row r="1739" spans="19:25">
      <c r="S1739" t="str">
        <f t="shared" si="0"/>
        <v/>
      </c>
      <c r="T1739" t="str">
        <f t="shared" si="1"/>
        <v/>
      </c>
      <c r="U1739" t="str">
        <f t="shared" si="2"/>
        <v/>
      </c>
      <c r="V1739" t="str">
        <f>IF(OR(U1739="",U1739="ERRO_CHAVE"),"",IFERROR(MATCH(U1739,Fornecedores!$AF$1:$AF$6631,0),""))</f>
        <v/>
      </c>
      <c r="W1739" t="str">
        <f t="shared" si="3"/>
        <v/>
      </c>
      <c r="X1739" s="4" t="str">
        <f>IF(V1739="","",INDEX(Fornecedores!$X$1:$X$6631,V1739))</f>
        <v/>
      </c>
      <c r="Y1739" s="4" t="str">
        <f t="shared" si="4"/>
        <v/>
      </c>
    </row>
    <row r="1740" spans="19:25">
      <c r="S1740" t="str">
        <f t="shared" si="0"/>
        <v/>
      </c>
      <c r="T1740" t="str">
        <f t="shared" si="1"/>
        <v/>
      </c>
      <c r="U1740" t="str">
        <f t="shared" si="2"/>
        <v/>
      </c>
      <c r="V1740" t="str">
        <f>IF(OR(U1740="",U1740="ERRO_CHAVE"),"",IFERROR(MATCH(U1740,Fornecedores!$AF$1:$AF$6631,0),""))</f>
        <v/>
      </c>
      <c r="W1740" t="str">
        <f t="shared" si="3"/>
        <v/>
      </c>
      <c r="X1740" s="4" t="str">
        <f>IF(V1740="","",INDEX(Fornecedores!$X$1:$X$6631,V1740))</f>
        <v/>
      </c>
      <c r="Y1740" s="4" t="str">
        <f t="shared" si="4"/>
        <v/>
      </c>
    </row>
    <row r="1741" spans="19:25">
      <c r="S1741" t="str">
        <f t="shared" si="0"/>
        <v/>
      </c>
      <c r="T1741" t="str">
        <f t="shared" si="1"/>
        <v/>
      </c>
      <c r="U1741" t="str">
        <f t="shared" si="2"/>
        <v/>
      </c>
      <c r="V1741" t="str">
        <f>IF(OR(U1741="",U1741="ERRO_CHAVE"),"",IFERROR(MATCH(U1741,Fornecedores!$AF$1:$AF$6631,0),""))</f>
        <v/>
      </c>
      <c r="W1741" t="str">
        <f t="shared" si="3"/>
        <v/>
      </c>
      <c r="X1741" s="4" t="str">
        <f>IF(V1741="","",INDEX(Fornecedores!$X$1:$X$6631,V1741))</f>
        <v/>
      </c>
      <c r="Y1741" s="4" t="str">
        <f t="shared" si="4"/>
        <v/>
      </c>
    </row>
    <row r="1742" spans="19:25">
      <c r="S1742" t="str">
        <f t="shared" si="0"/>
        <v/>
      </c>
      <c r="T1742" t="str">
        <f t="shared" si="1"/>
        <v/>
      </c>
      <c r="U1742" t="str">
        <f t="shared" si="2"/>
        <v/>
      </c>
      <c r="V1742" t="str">
        <f>IF(OR(U1742="",U1742="ERRO_CHAVE"),"",IFERROR(MATCH(U1742,Fornecedores!$AF$1:$AF$6631,0),""))</f>
        <v/>
      </c>
      <c r="W1742" t="str">
        <f t="shared" si="3"/>
        <v/>
      </c>
      <c r="X1742" s="4" t="str">
        <f>IF(V1742="","",INDEX(Fornecedores!$X$1:$X$6631,V1742))</f>
        <v/>
      </c>
      <c r="Y1742" s="4" t="str">
        <f t="shared" si="4"/>
        <v/>
      </c>
    </row>
    <row r="1743" spans="19:25">
      <c r="S1743" t="str">
        <f t="shared" si="0"/>
        <v/>
      </c>
      <c r="T1743" t="str">
        <f t="shared" si="1"/>
        <v/>
      </c>
      <c r="U1743" t="str">
        <f t="shared" si="2"/>
        <v/>
      </c>
      <c r="V1743" t="str">
        <f>IF(OR(U1743="",U1743="ERRO_CHAVE"),"",IFERROR(MATCH(U1743,Fornecedores!$AF$1:$AF$6631,0),""))</f>
        <v/>
      </c>
      <c r="W1743" t="str">
        <f t="shared" si="3"/>
        <v/>
      </c>
      <c r="X1743" s="4" t="str">
        <f>IF(V1743="","",INDEX(Fornecedores!$X$1:$X$6631,V1743))</f>
        <v/>
      </c>
      <c r="Y1743" s="4" t="str">
        <f t="shared" si="4"/>
        <v/>
      </c>
    </row>
    <row r="1744" spans="19:25">
      <c r="S1744" t="str">
        <f t="shared" si="0"/>
        <v/>
      </c>
      <c r="T1744" t="str">
        <f t="shared" si="1"/>
        <v/>
      </c>
      <c r="U1744" t="str">
        <f t="shared" si="2"/>
        <v/>
      </c>
      <c r="V1744" t="str">
        <f>IF(OR(U1744="",U1744="ERRO_CHAVE"),"",IFERROR(MATCH(U1744,Fornecedores!$AF$1:$AF$6631,0),""))</f>
        <v/>
      </c>
      <c r="W1744" t="str">
        <f t="shared" si="3"/>
        <v/>
      </c>
      <c r="X1744" s="4" t="str">
        <f>IF(V1744="","",INDEX(Fornecedores!$X$1:$X$6631,V1744))</f>
        <v/>
      </c>
      <c r="Y1744" s="4" t="str">
        <f t="shared" si="4"/>
        <v/>
      </c>
    </row>
    <row r="1745" spans="19:25">
      <c r="S1745" t="str">
        <f t="shared" si="0"/>
        <v/>
      </c>
      <c r="T1745" t="str">
        <f t="shared" si="1"/>
        <v/>
      </c>
      <c r="U1745" t="str">
        <f t="shared" si="2"/>
        <v/>
      </c>
      <c r="V1745" t="str">
        <f>IF(OR(U1745="",U1745="ERRO_CHAVE"),"",IFERROR(MATCH(U1745,Fornecedores!$AF$1:$AF$6631,0),""))</f>
        <v/>
      </c>
      <c r="W1745" t="str">
        <f t="shared" si="3"/>
        <v/>
      </c>
      <c r="X1745" s="4" t="str">
        <f>IF(V1745="","",INDEX(Fornecedores!$X$1:$X$6631,V1745))</f>
        <v/>
      </c>
      <c r="Y1745" s="4" t="str">
        <f t="shared" si="4"/>
        <v/>
      </c>
    </row>
    <row r="1746" spans="19:25">
      <c r="S1746" t="str">
        <f t="shared" si="0"/>
        <v/>
      </c>
      <c r="T1746" t="str">
        <f t="shared" si="1"/>
        <v/>
      </c>
      <c r="U1746" t="str">
        <f t="shared" si="2"/>
        <v/>
      </c>
      <c r="V1746" t="str">
        <f>IF(OR(U1746="",U1746="ERRO_CHAVE"),"",IFERROR(MATCH(U1746,Fornecedores!$AF$1:$AF$6631,0),""))</f>
        <v/>
      </c>
      <c r="W1746" t="str">
        <f t="shared" si="3"/>
        <v/>
      </c>
      <c r="X1746" s="4" t="str">
        <f>IF(V1746="","",INDEX(Fornecedores!$X$1:$X$6631,V1746))</f>
        <v/>
      </c>
      <c r="Y1746" s="4" t="str">
        <f t="shared" si="4"/>
        <v/>
      </c>
    </row>
    <row r="1747" spans="19:25">
      <c r="S1747" t="str">
        <f t="shared" si="0"/>
        <v/>
      </c>
      <c r="T1747" t="str">
        <f t="shared" si="1"/>
        <v/>
      </c>
      <c r="U1747" t="str">
        <f t="shared" si="2"/>
        <v/>
      </c>
      <c r="V1747" t="str">
        <f>IF(OR(U1747="",U1747="ERRO_CHAVE"),"",IFERROR(MATCH(U1747,Fornecedores!$AF$1:$AF$6631,0),""))</f>
        <v/>
      </c>
      <c r="W1747" t="str">
        <f t="shared" si="3"/>
        <v/>
      </c>
      <c r="X1747" s="4" t="str">
        <f>IF(V1747="","",INDEX(Fornecedores!$X$1:$X$6631,V1747))</f>
        <v/>
      </c>
      <c r="Y1747" s="4" t="str">
        <f t="shared" si="4"/>
        <v/>
      </c>
    </row>
    <row r="1748" spans="19:25">
      <c r="S1748" t="str">
        <f t="shared" si="0"/>
        <v/>
      </c>
      <c r="T1748" t="str">
        <f t="shared" si="1"/>
        <v/>
      </c>
      <c r="U1748" t="str">
        <f t="shared" si="2"/>
        <v/>
      </c>
      <c r="V1748" t="str">
        <f>IF(OR(U1748="",U1748="ERRO_CHAVE"),"",IFERROR(MATCH(U1748,Fornecedores!$AF$1:$AF$6631,0),""))</f>
        <v/>
      </c>
      <c r="W1748" t="str">
        <f t="shared" si="3"/>
        <v/>
      </c>
      <c r="X1748" s="4" t="str">
        <f>IF(V1748="","",INDEX(Fornecedores!$X$1:$X$6631,V1748))</f>
        <v/>
      </c>
      <c r="Y1748" s="4" t="str">
        <f t="shared" si="4"/>
        <v/>
      </c>
    </row>
    <row r="1749" spans="19:25">
      <c r="S1749" t="str">
        <f t="shared" si="0"/>
        <v/>
      </c>
      <c r="T1749" t="str">
        <f t="shared" si="1"/>
        <v/>
      </c>
      <c r="U1749" t="str">
        <f t="shared" si="2"/>
        <v/>
      </c>
      <c r="V1749" t="str">
        <f>IF(OR(U1749="",U1749="ERRO_CHAVE"),"",IFERROR(MATCH(U1749,Fornecedores!$AF$1:$AF$6631,0),""))</f>
        <v/>
      </c>
      <c r="W1749" t="str">
        <f t="shared" si="3"/>
        <v/>
      </c>
      <c r="X1749" s="4" t="str">
        <f>IF(V1749="","",INDEX(Fornecedores!$X$1:$X$6631,V1749))</f>
        <v/>
      </c>
      <c r="Y1749" s="4" t="str">
        <f t="shared" si="4"/>
        <v/>
      </c>
    </row>
    <row r="1750" spans="19:25">
      <c r="S1750" t="str">
        <f t="shared" si="0"/>
        <v/>
      </c>
      <c r="T1750" t="str">
        <f t="shared" si="1"/>
        <v/>
      </c>
      <c r="U1750" t="str">
        <f t="shared" si="2"/>
        <v/>
      </c>
      <c r="V1750" t="str">
        <f>IF(OR(U1750="",U1750="ERRO_CHAVE"),"",IFERROR(MATCH(U1750,Fornecedores!$AF$1:$AF$6631,0),""))</f>
        <v/>
      </c>
      <c r="W1750" t="str">
        <f t="shared" si="3"/>
        <v/>
      </c>
      <c r="X1750" s="4" t="str">
        <f>IF(V1750="","",INDEX(Fornecedores!$X$1:$X$6631,V1750))</f>
        <v/>
      </c>
      <c r="Y1750" s="4" t="str">
        <f t="shared" si="4"/>
        <v/>
      </c>
    </row>
    <row r="1751" spans="19:25">
      <c r="S1751" t="str">
        <f t="shared" si="0"/>
        <v/>
      </c>
      <c r="T1751" t="str">
        <f t="shared" si="1"/>
        <v/>
      </c>
      <c r="U1751" t="str">
        <f t="shared" si="2"/>
        <v/>
      </c>
      <c r="V1751" t="str">
        <f>IF(OR(U1751="",U1751="ERRO_CHAVE"),"",IFERROR(MATCH(U1751,Fornecedores!$AF$1:$AF$6631,0),""))</f>
        <v/>
      </c>
      <c r="W1751" t="str">
        <f t="shared" si="3"/>
        <v/>
      </c>
      <c r="X1751" s="4" t="str">
        <f>IF(V1751="","",INDEX(Fornecedores!$X$1:$X$6631,V1751))</f>
        <v/>
      </c>
      <c r="Y1751" s="4" t="str">
        <f t="shared" si="4"/>
        <v/>
      </c>
    </row>
    <row r="1752" spans="19:25">
      <c r="S1752" t="str">
        <f t="shared" si="0"/>
        <v/>
      </c>
      <c r="T1752" t="str">
        <f t="shared" si="1"/>
        <v/>
      </c>
      <c r="U1752" t="str">
        <f t="shared" si="2"/>
        <v/>
      </c>
      <c r="V1752" t="str">
        <f>IF(OR(U1752="",U1752="ERRO_CHAVE"),"",IFERROR(MATCH(U1752,Fornecedores!$AF$1:$AF$6631,0),""))</f>
        <v/>
      </c>
      <c r="W1752" t="str">
        <f t="shared" si="3"/>
        <v/>
      </c>
      <c r="X1752" s="4" t="str">
        <f>IF(V1752="","",INDEX(Fornecedores!$X$1:$X$6631,V1752))</f>
        <v/>
      </c>
      <c r="Y1752" s="4" t="str">
        <f t="shared" si="4"/>
        <v/>
      </c>
    </row>
    <row r="1753" spans="19:25">
      <c r="S1753" t="str">
        <f t="shared" si="0"/>
        <v/>
      </c>
      <c r="T1753" t="str">
        <f t="shared" si="1"/>
        <v/>
      </c>
      <c r="U1753" t="str">
        <f t="shared" si="2"/>
        <v/>
      </c>
      <c r="V1753" t="str">
        <f>IF(OR(U1753="",U1753="ERRO_CHAVE"),"",IFERROR(MATCH(U1753,Fornecedores!$AF$1:$AF$6631,0),""))</f>
        <v/>
      </c>
      <c r="W1753" t="str">
        <f t="shared" si="3"/>
        <v/>
      </c>
      <c r="X1753" s="4" t="str">
        <f>IF(V1753="","",INDEX(Fornecedores!$X$1:$X$6631,V1753))</f>
        <v/>
      </c>
      <c r="Y1753" s="4" t="str">
        <f t="shared" si="4"/>
        <v/>
      </c>
    </row>
    <row r="1754" spans="19:25">
      <c r="S1754" t="str">
        <f t="shared" si="0"/>
        <v/>
      </c>
      <c r="T1754" t="str">
        <f t="shared" si="1"/>
        <v/>
      </c>
      <c r="U1754" t="str">
        <f t="shared" si="2"/>
        <v/>
      </c>
      <c r="V1754" t="str">
        <f>IF(OR(U1754="",U1754="ERRO_CHAVE"),"",IFERROR(MATCH(U1754,Fornecedores!$AF$1:$AF$6631,0),""))</f>
        <v/>
      </c>
      <c r="W1754" t="str">
        <f t="shared" si="3"/>
        <v/>
      </c>
      <c r="X1754" s="4" t="str">
        <f>IF(V1754="","",INDEX(Fornecedores!$X$1:$X$6631,V1754))</f>
        <v/>
      </c>
      <c r="Y1754" s="4" t="str">
        <f t="shared" si="4"/>
        <v/>
      </c>
    </row>
    <row r="1755" spans="19:25">
      <c r="S1755" t="str">
        <f t="shared" si="0"/>
        <v/>
      </c>
      <c r="T1755" t="str">
        <f t="shared" si="1"/>
        <v/>
      </c>
      <c r="U1755" t="str">
        <f t="shared" si="2"/>
        <v/>
      </c>
      <c r="V1755" t="str">
        <f>IF(OR(U1755="",U1755="ERRO_CHAVE"),"",IFERROR(MATCH(U1755,Fornecedores!$AF$1:$AF$6631,0),""))</f>
        <v/>
      </c>
      <c r="W1755" t="str">
        <f t="shared" si="3"/>
        <v/>
      </c>
      <c r="X1755" s="4" t="str">
        <f>IF(V1755="","",INDEX(Fornecedores!$X$1:$X$6631,V1755))</f>
        <v/>
      </c>
      <c r="Y1755" s="4" t="str">
        <f t="shared" si="4"/>
        <v/>
      </c>
    </row>
    <row r="1756" spans="19:25">
      <c r="S1756" t="str">
        <f t="shared" si="0"/>
        <v/>
      </c>
      <c r="T1756" t="str">
        <f t="shared" si="1"/>
        <v/>
      </c>
      <c r="U1756" t="str">
        <f t="shared" si="2"/>
        <v/>
      </c>
      <c r="V1756" t="str">
        <f>IF(OR(U1756="",U1756="ERRO_CHAVE"),"",IFERROR(MATCH(U1756,Fornecedores!$AF$1:$AF$6631,0),""))</f>
        <v/>
      </c>
      <c r="W1756" t="str">
        <f t="shared" si="3"/>
        <v/>
      </c>
      <c r="X1756" s="4" t="str">
        <f>IF(V1756="","",INDEX(Fornecedores!$X$1:$X$6631,V1756))</f>
        <v/>
      </c>
      <c r="Y1756" s="4" t="str">
        <f t="shared" si="4"/>
        <v/>
      </c>
    </row>
    <row r="1757" spans="19:25">
      <c r="S1757" t="str">
        <f t="shared" si="0"/>
        <v/>
      </c>
      <c r="T1757" t="str">
        <f t="shared" si="1"/>
        <v/>
      </c>
      <c r="U1757" t="str">
        <f t="shared" si="2"/>
        <v/>
      </c>
      <c r="V1757" t="str">
        <f>IF(OR(U1757="",U1757="ERRO_CHAVE"),"",IFERROR(MATCH(U1757,Fornecedores!$AF$1:$AF$6631,0),""))</f>
        <v/>
      </c>
      <c r="W1757" t="str">
        <f t="shared" si="3"/>
        <v/>
      </c>
      <c r="X1757" s="4" t="str">
        <f>IF(V1757="","",INDEX(Fornecedores!$X$1:$X$6631,V1757))</f>
        <v/>
      </c>
      <c r="Y1757" s="4" t="str">
        <f t="shared" si="4"/>
        <v/>
      </c>
    </row>
    <row r="1758" spans="19:25">
      <c r="S1758" t="str">
        <f t="shared" si="0"/>
        <v/>
      </c>
      <c r="T1758" t="str">
        <f t="shared" si="1"/>
        <v/>
      </c>
      <c r="U1758" t="str">
        <f t="shared" si="2"/>
        <v/>
      </c>
      <c r="V1758" t="str">
        <f>IF(OR(U1758="",U1758="ERRO_CHAVE"),"",IFERROR(MATCH(U1758,Fornecedores!$AF$1:$AF$6631,0),""))</f>
        <v/>
      </c>
      <c r="W1758" t="str">
        <f t="shared" si="3"/>
        <v/>
      </c>
      <c r="X1758" s="4" t="str">
        <f>IF(V1758="","",INDEX(Fornecedores!$X$1:$X$6631,V1758))</f>
        <v/>
      </c>
      <c r="Y1758" s="4" t="str">
        <f t="shared" si="4"/>
        <v/>
      </c>
    </row>
    <row r="1759" spans="19:25">
      <c r="S1759" t="str">
        <f t="shared" si="0"/>
        <v/>
      </c>
      <c r="T1759" t="str">
        <f t="shared" si="1"/>
        <v/>
      </c>
      <c r="U1759" t="str">
        <f t="shared" si="2"/>
        <v/>
      </c>
      <c r="V1759" t="str">
        <f>IF(OR(U1759="",U1759="ERRO_CHAVE"),"",IFERROR(MATCH(U1759,Fornecedores!$AF$1:$AF$6631,0),""))</f>
        <v/>
      </c>
      <c r="W1759" t="str">
        <f t="shared" si="3"/>
        <v/>
      </c>
      <c r="X1759" s="4" t="str">
        <f>IF(V1759="","",INDEX(Fornecedores!$X$1:$X$6631,V1759))</f>
        <v/>
      </c>
      <c r="Y1759" s="4" t="str">
        <f t="shared" si="4"/>
        <v/>
      </c>
    </row>
    <row r="1760" spans="19:25">
      <c r="S1760" t="str">
        <f t="shared" si="0"/>
        <v/>
      </c>
      <c r="T1760" t="str">
        <f t="shared" si="1"/>
        <v/>
      </c>
      <c r="U1760" t="str">
        <f t="shared" si="2"/>
        <v/>
      </c>
      <c r="V1760" t="str">
        <f>IF(OR(U1760="",U1760="ERRO_CHAVE"),"",IFERROR(MATCH(U1760,Fornecedores!$AF$1:$AF$6631,0),""))</f>
        <v/>
      </c>
      <c r="W1760" t="str">
        <f t="shared" si="3"/>
        <v/>
      </c>
      <c r="X1760" s="4" t="str">
        <f>IF(V1760="","",INDEX(Fornecedores!$X$1:$X$6631,V1760))</f>
        <v/>
      </c>
      <c r="Y1760" s="4" t="str">
        <f t="shared" si="4"/>
        <v/>
      </c>
    </row>
    <row r="1761" spans="19:25">
      <c r="S1761" t="str">
        <f t="shared" si="0"/>
        <v/>
      </c>
      <c r="T1761" t="str">
        <f t="shared" si="1"/>
        <v/>
      </c>
      <c r="U1761" t="str">
        <f t="shared" si="2"/>
        <v/>
      </c>
      <c r="V1761" t="str">
        <f>IF(OR(U1761="",U1761="ERRO_CHAVE"),"",IFERROR(MATCH(U1761,Fornecedores!$AF$1:$AF$6631,0),""))</f>
        <v/>
      </c>
      <c r="W1761" t="str">
        <f t="shared" si="3"/>
        <v/>
      </c>
      <c r="X1761" s="4" t="str">
        <f>IF(V1761="","",INDEX(Fornecedores!$X$1:$X$6631,V1761))</f>
        <v/>
      </c>
      <c r="Y1761" s="4" t="str">
        <f t="shared" si="4"/>
        <v/>
      </c>
    </row>
    <row r="1762" spans="19:25">
      <c r="S1762" t="str">
        <f t="shared" si="0"/>
        <v/>
      </c>
      <c r="T1762" t="str">
        <f t="shared" si="1"/>
        <v/>
      </c>
      <c r="U1762" t="str">
        <f t="shared" si="2"/>
        <v/>
      </c>
      <c r="V1762" t="str">
        <f>IF(OR(U1762="",U1762="ERRO_CHAVE"),"",IFERROR(MATCH(U1762,Fornecedores!$AF$1:$AF$6631,0),""))</f>
        <v/>
      </c>
      <c r="W1762" t="str">
        <f t="shared" si="3"/>
        <v/>
      </c>
      <c r="X1762" s="4" t="str">
        <f>IF(V1762="","",INDEX(Fornecedores!$X$1:$X$6631,V1762))</f>
        <v/>
      </c>
      <c r="Y1762" s="4" t="str">
        <f t="shared" si="4"/>
        <v/>
      </c>
    </row>
    <row r="1763" spans="19:25">
      <c r="S1763" t="str">
        <f t="shared" si="0"/>
        <v/>
      </c>
      <c r="T1763" t="str">
        <f t="shared" si="1"/>
        <v/>
      </c>
      <c r="U1763" t="str">
        <f t="shared" si="2"/>
        <v/>
      </c>
      <c r="V1763" t="str">
        <f>IF(OR(U1763="",U1763="ERRO_CHAVE"),"",IFERROR(MATCH(U1763,Fornecedores!$AF$1:$AF$6631,0),""))</f>
        <v/>
      </c>
      <c r="W1763" t="str">
        <f t="shared" si="3"/>
        <v/>
      </c>
      <c r="X1763" s="4" t="str">
        <f>IF(V1763="","",INDEX(Fornecedores!$X$1:$X$6631,V1763))</f>
        <v/>
      </c>
      <c r="Y1763" s="4" t="str">
        <f t="shared" si="4"/>
        <v/>
      </c>
    </row>
    <row r="1764" spans="19:25">
      <c r="S1764" t="str">
        <f t="shared" si="0"/>
        <v/>
      </c>
      <c r="T1764" t="str">
        <f t="shared" si="1"/>
        <v/>
      </c>
      <c r="U1764" t="str">
        <f t="shared" si="2"/>
        <v/>
      </c>
      <c r="V1764" t="str">
        <f>IF(OR(U1764="",U1764="ERRO_CHAVE"),"",IFERROR(MATCH(U1764,Fornecedores!$AF$1:$AF$6631,0),""))</f>
        <v/>
      </c>
      <c r="W1764" t="str">
        <f t="shared" si="3"/>
        <v/>
      </c>
      <c r="X1764" s="4" t="str">
        <f>IF(V1764="","",INDEX(Fornecedores!$X$1:$X$6631,V1764))</f>
        <v/>
      </c>
      <c r="Y1764" s="4" t="str">
        <f t="shared" si="4"/>
        <v/>
      </c>
    </row>
    <row r="1765" spans="19:25">
      <c r="S1765" t="str">
        <f t="shared" si="0"/>
        <v/>
      </c>
      <c r="T1765" t="str">
        <f t="shared" si="1"/>
        <v/>
      </c>
      <c r="U1765" t="str">
        <f t="shared" si="2"/>
        <v/>
      </c>
      <c r="V1765" t="str">
        <f>IF(OR(U1765="",U1765="ERRO_CHAVE"),"",IFERROR(MATCH(U1765,Fornecedores!$AF$1:$AF$6631,0),""))</f>
        <v/>
      </c>
      <c r="W1765" t="str">
        <f t="shared" si="3"/>
        <v/>
      </c>
      <c r="X1765" s="4" t="str">
        <f>IF(V1765="","",INDEX(Fornecedores!$X$1:$X$6631,V1765))</f>
        <v/>
      </c>
      <c r="Y1765" s="4" t="str">
        <f t="shared" si="4"/>
        <v/>
      </c>
    </row>
    <row r="1766" spans="19:25">
      <c r="S1766" t="str">
        <f t="shared" si="0"/>
        <v/>
      </c>
      <c r="T1766" t="str">
        <f t="shared" si="1"/>
        <v/>
      </c>
      <c r="U1766" t="str">
        <f t="shared" si="2"/>
        <v/>
      </c>
      <c r="V1766" t="str">
        <f>IF(OR(U1766="",U1766="ERRO_CHAVE"),"",IFERROR(MATCH(U1766,Fornecedores!$AF$1:$AF$6631,0),""))</f>
        <v/>
      </c>
      <c r="W1766" t="str">
        <f t="shared" si="3"/>
        <v/>
      </c>
      <c r="X1766" s="4" t="str">
        <f>IF(V1766="","",INDEX(Fornecedores!$X$1:$X$6631,V1766))</f>
        <v/>
      </c>
      <c r="Y1766" s="4" t="str">
        <f t="shared" si="4"/>
        <v/>
      </c>
    </row>
    <row r="1767" spans="19:25">
      <c r="S1767" t="str">
        <f t="shared" si="0"/>
        <v/>
      </c>
      <c r="T1767" t="str">
        <f t="shared" si="1"/>
        <v/>
      </c>
      <c r="U1767" t="str">
        <f t="shared" si="2"/>
        <v/>
      </c>
      <c r="V1767" t="str">
        <f>IF(OR(U1767="",U1767="ERRO_CHAVE"),"",IFERROR(MATCH(U1767,Fornecedores!$AF$1:$AF$6631,0),""))</f>
        <v/>
      </c>
      <c r="W1767" t="str">
        <f t="shared" si="3"/>
        <v/>
      </c>
      <c r="X1767" s="4" t="str">
        <f>IF(V1767="","",INDEX(Fornecedores!$X$1:$X$6631,V1767))</f>
        <v/>
      </c>
      <c r="Y1767" s="4" t="str">
        <f t="shared" si="4"/>
        <v/>
      </c>
    </row>
    <row r="1768" spans="19:25">
      <c r="S1768" t="str">
        <f t="shared" si="0"/>
        <v/>
      </c>
      <c r="T1768" t="str">
        <f t="shared" si="1"/>
        <v/>
      </c>
      <c r="U1768" t="str">
        <f t="shared" si="2"/>
        <v/>
      </c>
      <c r="V1768" t="str">
        <f>IF(OR(U1768="",U1768="ERRO_CHAVE"),"",IFERROR(MATCH(U1768,Fornecedores!$AF$1:$AF$6631,0),""))</f>
        <v/>
      </c>
      <c r="W1768" t="str">
        <f t="shared" si="3"/>
        <v/>
      </c>
      <c r="X1768" s="4" t="str">
        <f>IF(V1768="","",INDEX(Fornecedores!$X$1:$X$6631,V1768))</f>
        <v/>
      </c>
      <c r="Y1768" s="4" t="str">
        <f t="shared" si="4"/>
        <v/>
      </c>
    </row>
    <row r="1769" spans="19:25">
      <c r="S1769" t="str">
        <f t="shared" si="0"/>
        <v/>
      </c>
      <c r="T1769" t="str">
        <f t="shared" si="1"/>
        <v/>
      </c>
      <c r="U1769" t="str">
        <f t="shared" si="2"/>
        <v/>
      </c>
      <c r="V1769" t="str">
        <f>IF(OR(U1769="",U1769="ERRO_CHAVE"),"",IFERROR(MATCH(U1769,Fornecedores!$AF$1:$AF$6631,0),""))</f>
        <v/>
      </c>
      <c r="W1769" t="str">
        <f t="shared" si="3"/>
        <v/>
      </c>
      <c r="X1769" s="4" t="str">
        <f>IF(V1769="","",INDEX(Fornecedores!$X$1:$X$6631,V1769))</f>
        <v/>
      </c>
      <c r="Y1769" s="4" t="str">
        <f t="shared" si="4"/>
        <v/>
      </c>
    </row>
    <row r="1770" spans="19:25">
      <c r="S1770" t="str">
        <f t="shared" si="0"/>
        <v/>
      </c>
      <c r="T1770" t="str">
        <f t="shared" si="1"/>
        <v/>
      </c>
      <c r="U1770" t="str">
        <f t="shared" si="2"/>
        <v/>
      </c>
      <c r="V1770" t="str">
        <f>IF(OR(U1770="",U1770="ERRO_CHAVE"),"",IFERROR(MATCH(U1770,Fornecedores!$AF$1:$AF$6631,0),""))</f>
        <v/>
      </c>
      <c r="W1770" t="str">
        <f t="shared" si="3"/>
        <v/>
      </c>
      <c r="X1770" s="4" t="str">
        <f>IF(V1770="","",INDEX(Fornecedores!$X$1:$X$6631,V1770))</f>
        <v/>
      </c>
      <c r="Y1770" s="4" t="str">
        <f t="shared" si="4"/>
        <v/>
      </c>
    </row>
    <row r="1771" spans="19:25">
      <c r="S1771" t="str">
        <f t="shared" si="0"/>
        <v/>
      </c>
      <c r="T1771" t="str">
        <f t="shared" si="1"/>
        <v/>
      </c>
      <c r="U1771" t="str">
        <f t="shared" si="2"/>
        <v/>
      </c>
      <c r="V1771" t="str">
        <f>IF(OR(U1771="",U1771="ERRO_CHAVE"),"",IFERROR(MATCH(U1771,Fornecedores!$AF$1:$AF$6631,0),""))</f>
        <v/>
      </c>
      <c r="W1771" t="str">
        <f t="shared" si="3"/>
        <v/>
      </c>
      <c r="X1771" s="4" t="str">
        <f>IF(V1771="","",INDEX(Fornecedores!$X$1:$X$6631,V1771))</f>
        <v/>
      </c>
      <c r="Y1771" s="4" t="str">
        <f t="shared" si="4"/>
        <v/>
      </c>
    </row>
    <row r="1772" spans="19:25">
      <c r="S1772" t="str">
        <f t="shared" si="0"/>
        <v/>
      </c>
      <c r="T1772" t="str">
        <f t="shared" si="1"/>
        <v/>
      </c>
      <c r="U1772" t="str">
        <f t="shared" si="2"/>
        <v/>
      </c>
      <c r="V1772" t="str">
        <f>IF(OR(U1772="",U1772="ERRO_CHAVE"),"",IFERROR(MATCH(U1772,Fornecedores!$AF$1:$AF$6631,0),""))</f>
        <v/>
      </c>
      <c r="W1772" t="str">
        <f t="shared" si="3"/>
        <v/>
      </c>
      <c r="X1772" s="4" t="str">
        <f>IF(V1772="","",INDEX(Fornecedores!$X$1:$X$6631,V1772))</f>
        <v/>
      </c>
      <c r="Y1772" s="4" t="str">
        <f t="shared" si="4"/>
        <v/>
      </c>
    </row>
    <row r="1773" spans="19:25">
      <c r="S1773" t="str">
        <f t="shared" si="0"/>
        <v/>
      </c>
      <c r="T1773" t="str">
        <f t="shared" si="1"/>
        <v/>
      </c>
      <c r="U1773" t="str">
        <f t="shared" si="2"/>
        <v/>
      </c>
      <c r="V1773" t="str">
        <f>IF(OR(U1773="",U1773="ERRO_CHAVE"),"",IFERROR(MATCH(U1773,Fornecedores!$AF$1:$AF$6631,0),""))</f>
        <v/>
      </c>
      <c r="W1773" t="str">
        <f t="shared" si="3"/>
        <v/>
      </c>
      <c r="X1773" s="4" t="str">
        <f>IF(V1773="","",INDEX(Fornecedores!$X$1:$X$6631,V1773))</f>
        <v/>
      </c>
      <c r="Y1773" s="4" t="str">
        <f t="shared" si="4"/>
        <v/>
      </c>
    </row>
    <row r="1774" spans="19:25">
      <c r="S1774" t="str">
        <f t="shared" si="0"/>
        <v/>
      </c>
      <c r="T1774" t="str">
        <f t="shared" si="1"/>
        <v/>
      </c>
      <c r="U1774" t="str">
        <f t="shared" si="2"/>
        <v/>
      </c>
      <c r="V1774" t="str">
        <f>IF(OR(U1774="",U1774="ERRO_CHAVE"),"",IFERROR(MATCH(U1774,Fornecedores!$AF$1:$AF$6631,0),""))</f>
        <v/>
      </c>
      <c r="W1774" t="str">
        <f t="shared" si="3"/>
        <v/>
      </c>
      <c r="X1774" s="4" t="str">
        <f>IF(V1774="","",INDEX(Fornecedores!$X$1:$X$6631,V1774))</f>
        <v/>
      </c>
      <c r="Y1774" s="4" t="str">
        <f t="shared" si="4"/>
        <v/>
      </c>
    </row>
    <row r="1775" spans="19:25">
      <c r="S1775" t="str">
        <f t="shared" si="0"/>
        <v/>
      </c>
      <c r="T1775" t="str">
        <f t="shared" si="1"/>
        <v/>
      </c>
      <c r="U1775" t="str">
        <f t="shared" si="2"/>
        <v/>
      </c>
      <c r="V1775" t="str">
        <f>IF(OR(U1775="",U1775="ERRO_CHAVE"),"",IFERROR(MATCH(U1775,Fornecedores!$AF$1:$AF$6631,0),""))</f>
        <v/>
      </c>
      <c r="W1775" t="str">
        <f t="shared" si="3"/>
        <v/>
      </c>
      <c r="X1775" s="4" t="str">
        <f>IF(V1775="","",INDEX(Fornecedores!$X$1:$X$6631,V1775))</f>
        <v/>
      </c>
      <c r="Y1775" s="4" t="str">
        <f t="shared" si="4"/>
        <v/>
      </c>
    </row>
    <row r="1776" spans="19:25">
      <c r="S1776" t="str">
        <f t="shared" si="0"/>
        <v/>
      </c>
      <c r="T1776" t="str">
        <f t="shared" si="1"/>
        <v/>
      </c>
      <c r="U1776" t="str">
        <f t="shared" si="2"/>
        <v/>
      </c>
      <c r="V1776" t="str">
        <f>IF(OR(U1776="",U1776="ERRO_CHAVE"),"",IFERROR(MATCH(U1776,Fornecedores!$AF$1:$AF$6631,0),""))</f>
        <v/>
      </c>
      <c r="W1776" t="str">
        <f t="shared" si="3"/>
        <v/>
      </c>
      <c r="X1776" s="4" t="str">
        <f>IF(V1776="","",INDEX(Fornecedores!$X$1:$X$6631,V1776))</f>
        <v/>
      </c>
      <c r="Y1776" s="4" t="str">
        <f t="shared" si="4"/>
        <v/>
      </c>
    </row>
    <row r="1777" spans="19:25">
      <c r="S1777" t="str">
        <f t="shared" si="0"/>
        <v/>
      </c>
      <c r="T1777" t="str">
        <f t="shared" si="1"/>
        <v/>
      </c>
      <c r="U1777" t="str">
        <f t="shared" si="2"/>
        <v/>
      </c>
      <c r="V1777" t="str">
        <f>IF(OR(U1777="",U1777="ERRO_CHAVE"),"",IFERROR(MATCH(U1777,Fornecedores!$AF$1:$AF$6631,0),""))</f>
        <v/>
      </c>
      <c r="W1777" t="str">
        <f t="shared" si="3"/>
        <v/>
      </c>
      <c r="X1777" s="4" t="str">
        <f>IF(V1777="","",INDEX(Fornecedores!$X$1:$X$6631,V1777))</f>
        <v/>
      </c>
      <c r="Y1777" s="4" t="str">
        <f t="shared" si="4"/>
        <v/>
      </c>
    </row>
    <row r="1778" spans="19:25">
      <c r="S1778" t="str">
        <f t="shared" si="0"/>
        <v/>
      </c>
      <c r="T1778" t="str">
        <f t="shared" si="1"/>
        <v/>
      </c>
      <c r="U1778" t="str">
        <f t="shared" si="2"/>
        <v/>
      </c>
      <c r="V1778" t="str">
        <f>IF(OR(U1778="",U1778="ERRO_CHAVE"),"",IFERROR(MATCH(U1778,Fornecedores!$AF$1:$AF$6631,0),""))</f>
        <v/>
      </c>
      <c r="W1778" t="str">
        <f t="shared" si="3"/>
        <v/>
      </c>
      <c r="X1778" s="4" t="str">
        <f>IF(V1778="","",INDEX(Fornecedores!$X$1:$X$6631,V1778))</f>
        <v/>
      </c>
      <c r="Y1778" s="4" t="str">
        <f t="shared" si="4"/>
        <v/>
      </c>
    </row>
    <row r="1779" spans="19:25">
      <c r="S1779" t="str">
        <f t="shared" si="0"/>
        <v/>
      </c>
      <c r="T1779" t="str">
        <f t="shared" si="1"/>
        <v/>
      </c>
      <c r="U1779" t="str">
        <f t="shared" si="2"/>
        <v/>
      </c>
      <c r="V1779" t="str">
        <f>IF(OR(U1779="",U1779="ERRO_CHAVE"),"",IFERROR(MATCH(U1779,Fornecedores!$AF$1:$AF$6631,0),""))</f>
        <v/>
      </c>
      <c r="W1779" t="str">
        <f t="shared" si="3"/>
        <v/>
      </c>
      <c r="X1779" s="4" t="str">
        <f>IF(V1779="","",INDEX(Fornecedores!$X$1:$X$6631,V1779))</f>
        <v/>
      </c>
      <c r="Y1779" s="4" t="str">
        <f t="shared" si="4"/>
        <v/>
      </c>
    </row>
    <row r="1780" spans="19:25">
      <c r="S1780" t="str">
        <f t="shared" si="0"/>
        <v/>
      </c>
      <c r="T1780" t="str">
        <f t="shared" si="1"/>
        <v/>
      </c>
      <c r="U1780" t="str">
        <f t="shared" si="2"/>
        <v/>
      </c>
      <c r="V1780" t="str">
        <f>IF(OR(U1780="",U1780="ERRO_CHAVE"),"",IFERROR(MATCH(U1780,Fornecedores!$AF$1:$AF$6631,0),""))</f>
        <v/>
      </c>
      <c r="W1780" t="str">
        <f t="shared" si="3"/>
        <v/>
      </c>
      <c r="X1780" s="4" t="str">
        <f>IF(V1780="","",INDEX(Fornecedores!$X$1:$X$6631,V1780))</f>
        <v/>
      </c>
      <c r="Y1780" s="4" t="str">
        <f t="shared" si="4"/>
        <v/>
      </c>
    </row>
    <row r="1781" spans="19:25">
      <c r="S1781" t="str">
        <f t="shared" si="0"/>
        <v/>
      </c>
      <c r="T1781" t="str">
        <f t="shared" si="1"/>
        <v/>
      </c>
      <c r="U1781" t="str">
        <f t="shared" si="2"/>
        <v/>
      </c>
      <c r="V1781" t="str">
        <f>IF(OR(U1781="",U1781="ERRO_CHAVE"),"",IFERROR(MATCH(U1781,Fornecedores!$AF$1:$AF$6631,0),""))</f>
        <v/>
      </c>
      <c r="W1781" t="str">
        <f t="shared" si="3"/>
        <v/>
      </c>
      <c r="X1781" s="4" t="str">
        <f>IF(V1781="","",INDEX(Fornecedores!$X$1:$X$6631,V1781))</f>
        <v/>
      </c>
      <c r="Y1781" s="4" t="str">
        <f t="shared" si="4"/>
        <v/>
      </c>
    </row>
    <row r="1782" spans="19:25">
      <c r="S1782" t="str">
        <f t="shared" si="0"/>
        <v/>
      </c>
      <c r="T1782" t="str">
        <f t="shared" si="1"/>
        <v/>
      </c>
      <c r="U1782" t="str">
        <f t="shared" si="2"/>
        <v/>
      </c>
      <c r="V1782" t="str">
        <f>IF(OR(U1782="",U1782="ERRO_CHAVE"),"",IFERROR(MATCH(U1782,Fornecedores!$AF$1:$AF$6631,0),""))</f>
        <v/>
      </c>
      <c r="W1782" t="str">
        <f t="shared" si="3"/>
        <v/>
      </c>
      <c r="X1782" s="4" t="str">
        <f>IF(V1782="","",INDEX(Fornecedores!$X$1:$X$6631,V1782))</f>
        <v/>
      </c>
      <c r="Y1782" s="4" t="str">
        <f t="shared" si="4"/>
        <v/>
      </c>
    </row>
    <row r="1783" spans="19:25">
      <c r="S1783" t="str">
        <f t="shared" si="0"/>
        <v/>
      </c>
      <c r="T1783" t="str">
        <f t="shared" si="1"/>
        <v/>
      </c>
      <c r="U1783" t="str">
        <f t="shared" si="2"/>
        <v/>
      </c>
      <c r="V1783" t="str">
        <f>IF(OR(U1783="",U1783="ERRO_CHAVE"),"",IFERROR(MATCH(U1783,Fornecedores!$AF$1:$AF$6631,0),""))</f>
        <v/>
      </c>
      <c r="W1783" t="str">
        <f t="shared" si="3"/>
        <v/>
      </c>
      <c r="X1783" s="4" t="str">
        <f>IF(V1783="","",INDEX(Fornecedores!$X$1:$X$6631,V1783))</f>
        <v/>
      </c>
      <c r="Y1783" s="4" t="str">
        <f t="shared" si="4"/>
        <v/>
      </c>
    </row>
    <row r="1784" spans="19:25">
      <c r="S1784" t="str">
        <f t="shared" si="0"/>
        <v/>
      </c>
      <c r="T1784" t="str">
        <f t="shared" si="1"/>
        <v/>
      </c>
      <c r="U1784" t="str">
        <f t="shared" si="2"/>
        <v/>
      </c>
      <c r="V1784" t="str">
        <f>IF(OR(U1784="",U1784="ERRO_CHAVE"),"",IFERROR(MATCH(U1784,Fornecedores!$AF$1:$AF$6631,0),""))</f>
        <v/>
      </c>
      <c r="W1784" t="str">
        <f t="shared" si="3"/>
        <v/>
      </c>
      <c r="X1784" s="4" t="str">
        <f>IF(V1784="","",INDEX(Fornecedores!$X$1:$X$6631,V1784))</f>
        <v/>
      </c>
      <c r="Y1784" s="4" t="str">
        <f t="shared" si="4"/>
        <v/>
      </c>
    </row>
    <row r="1785" spans="19:25">
      <c r="S1785" t="str">
        <f t="shared" si="0"/>
        <v/>
      </c>
      <c r="T1785" t="str">
        <f t="shared" si="1"/>
        <v/>
      </c>
      <c r="U1785" t="str">
        <f t="shared" si="2"/>
        <v/>
      </c>
      <c r="V1785" t="str">
        <f>IF(OR(U1785="",U1785="ERRO_CHAVE"),"",IFERROR(MATCH(U1785,Fornecedores!$AF$1:$AF$6631,0),""))</f>
        <v/>
      </c>
      <c r="W1785" t="str">
        <f t="shared" si="3"/>
        <v/>
      </c>
      <c r="X1785" s="4" t="str">
        <f>IF(V1785="","",INDEX(Fornecedores!$X$1:$X$6631,V1785))</f>
        <v/>
      </c>
      <c r="Y1785" s="4" t="str">
        <f t="shared" si="4"/>
        <v/>
      </c>
    </row>
    <row r="1786" spans="19:25">
      <c r="S1786" t="str">
        <f t="shared" si="0"/>
        <v/>
      </c>
      <c r="T1786" t="str">
        <f t="shared" si="1"/>
        <v/>
      </c>
      <c r="U1786" t="str">
        <f t="shared" si="2"/>
        <v/>
      </c>
      <c r="V1786" t="str">
        <f>IF(OR(U1786="",U1786="ERRO_CHAVE"),"",IFERROR(MATCH(U1786,Fornecedores!$AF$1:$AF$6631,0),""))</f>
        <v/>
      </c>
      <c r="W1786" t="str">
        <f t="shared" si="3"/>
        <v/>
      </c>
      <c r="X1786" s="4" t="str">
        <f>IF(V1786="","",INDEX(Fornecedores!$X$1:$X$6631,V1786))</f>
        <v/>
      </c>
      <c r="Y1786" s="4" t="str">
        <f t="shared" si="4"/>
        <v/>
      </c>
    </row>
    <row r="1787" spans="19:25">
      <c r="S1787" t="str">
        <f t="shared" si="0"/>
        <v/>
      </c>
      <c r="T1787" t="str">
        <f t="shared" si="1"/>
        <v/>
      </c>
      <c r="U1787" t="str">
        <f t="shared" si="2"/>
        <v/>
      </c>
      <c r="V1787" t="str">
        <f>IF(OR(U1787="",U1787="ERRO_CHAVE"),"",IFERROR(MATCH(U1787,Fornecedores!$AF$1:$AF$6631,0),""))</f>
        <v/>
      </c>
      <c r="W1787" t="str">
        <f t="shared" si="3"/>
        <v/>
      </c>
      <c r="X1787" s="4" t="str">
        <f>IF(V1787="","",INDEX(Fornecedores!$X$1:$X$6631,V1787))</f>
        <v/>
      </c>
      <c r="Y1787" s="4" t="str">
        <f t="shared" si="4"/>
        <v/>
      </c>
    </row>
    <row r="1788" spans="19:25">
      <c r="S1788" t="str">
        <f t="shared" si="0"/>
        <v/>
      </c>
      <c r="T1788" t="str">
        <f t="shared" si="1"/>
        <v/>
      </c>
      <c r="U1788" t="str">
        <f t="shared" si="2"/>
        <v/>
      </c>
      <c r="V1788" t="str">
        <f>IF(OR(U1788="",U1788="ERRO_CHAVE"),"",IFERROR(MATCH(U1788,Fornecedores!$AF$1:$AF$6631,0),""))</f>
        <v/>
      </c>
      <c r="W1788" t="str">
        <f t="shared" si="3"/>
        <v/>
      </c>
      <c r="X1788" s="4" t="str">
        <f>IF(V1788="","",INDEX(Fornecedores!$X$1:$X$6631,V1788))</f>
        <v/>
      </c>
      <c r="Y1788" s="4" t="str">
        <f t="shared" si="4"/>
        <v/>
      </c>
    </row>
    <row r="1789" spans="19:25">
      <c r="S1789" t="str">
        <f t="shared" si="0"/>
        <v/>
      </c>
      <c r="T1789" t="str">
        <f t="shared" si="1"/>
        <v/>
      </c>
      <c r="U1789" t="str">
        <f t="shared" si="2"/>
        <v/>
      </c>
      <c r="V1789" t="str">
        <f>IF(OR(U1789="",U1789="ERRO_CHAVE"),"",IFERROR(MATCH(U1789,Fornecedores!$AF$1:$AF$6631,0),""))</f>
        <v/>
      </c>
      <c r="W1789" t="str">
        <f t="shared" si="3"/>
        <v/>
      </c>
      <c r="X1789" s="4" t="str">
        <f>IF(V1789="","",INDEX(Fornecedores!$X$1:$X$6631,V1789))</f>
        <v/>
      </c>
      <c r="Y1789" s="4" t="str">
        <f t="shared" si="4"/>
        <v/>
      </c>
    </row>
    <row r="1790" spans="19:25">
      <c r="S1790" t="str">
        <f t="shared" si="0"/>
        <v/>
      </c>
      <c r="T1790" t="str">
        <f t="shared" si="1"/>
        <v/>
      </c>
      <c r="U1790" t="str">
        <f t="shared" si="2"/>
        <v/>
      </c>
      <c r="V1790" t="str">
        <f>IF(OR(U1790="",U1790="ERRO_CHAVE"),"",IFERROR(MATCH(U1790,Fornecedores!$AF$1:$AF$6631,0),""))</f>
        <v/>
      </c>
      <c r="W1790" t="str">
        <f t="shared" si="3"/>
        <v/>
      </c>
      <c r="X1790" s="4" t="str">
        <f>IF(V1790="","",INDEX(Fornecedores!$X$1:$X$6631,V1790))</f>
        <v/>
      </c>
      <c r="Y1790" s="4" t="str">
        <f t="shared" si="4"/>
        <v/>
      </c>
    </row>
    <row r="1791" spans="19:25">
      <c r="S1791" t="str">
        <f t="shared" si="0"/>
        <v/>
      </c>
      <c r="T1791" t="str">
        <f t="shared" si="1"/>
        <v/>
      </c>
      <c r="U1791" t="str">
        <f t="shared" si="2"/>
        <v/>
      </c>
      <c r="V1791" t="str">
        <f>IF(OR(U1791="",U1791="ERRO_CHAVE"),"",IFERROR(MATCH(U1791,Fornecedores!$AF$1:$AF$6631,0),""))</f>
        <v/>
      </c>
      <c r="W1791" t="str">
        <f t="shared" si="3"/>
        <v/>
      </c>
      <c r="X1791" s="4" t="str">
        <f>IF(V1791="","",INDEX(Fornecedores!$X$1:$X$6631,V1791))</f>
        <v/>
      </c>
      <c r="Y1791" s="4" t="str">
        <f t="shared" si="4"/>
        <v/>
      </c>
    </row>
    <row r="1792" spans="19:25">
      <c r="S1792" t="str">
        <f t="shared" si="0"/>
        <v/>
      </c>
      <c r="T1792" t="str">
        <f t="shared" si="1"/>
        <v/>
      </c>
      <c r="U1792" t="str">
        <f t="shared" si="2"/>
        <v/>
      </c>
      <c r="V1792" t="str">
        <f>IF(OR(U1792="",U1792="ERRO_CHAVE"),"",IFERROR(MATCH(U1792,Fornecedores!$AF$1:$AF$6631,0),""))</f>
        <v/>
      </c>
      <c r="W1792" t="str">
        <f t="shared" si="3"/>
        <v/>
      </c>
      <c r="X1792" s="4" t="str">
        <f>IF(V1792="","",INDEX(Fornecedores!$X$1:$X$6631,V1792))</f>
        <v/>
      </c>
      <c r="Y1792" s="4" t="str">
        <f t="shared" si="4"/>
        <v/>
      </c>
    </row>
    <row r="1793" spans="19:25">
      <c r="S1793" t="str">
        <f t="shared" si="0"/>
        <v/>
      </c>
      <c r="T1793" t="str">
        <f t="shared" si="1"/>
        <v/>
      </c>
      <c r="U1793" t="str">
        <f t="shared" si="2"/>
        <v/>
      </c>
      <c r="V1793" t="str">
        <f>IF(OR(U1793="",U1793="ERRO_CHAVE"),"",IFERROR(MATCH(U1793,Fornecedores!$AF$1:$AF$6631,0),""))</f>
        <v/>
      </c>
      <c r="W1793" t="str">
        <f t="shared" si="3"/>
        <v/>
      </c>
      <c r="X1793" s="4" t="str">
        <f>IF(V1793="","",INDEX(Fornecedores!$X$1:$X$6631,V1793))</f>
        <v/>
      </c>
      <c r="Y1793" s="4" t="str">
        <f t="shared" si="4"/>
        <v/>
      </c>
    </row>
    <row r="1794" spans="19:25">
      <c r="S1794" t="str">
        <f t="shared" si="0"/>
        <v/>
      </c>
      <c r="T1794" t="str">
        <f t="shared" si="1"/>
        <v/>
      </c>
      <c r="U1794" t="str">
        <f t="shared" si="2"/>
        <v/>
      </c>
      <c r="V1794" t="str">
        <f>IF(OR(U1794="",U1794="ERRO_CHAVE"),"",IFERROR(MATCH(U1794,Fornecedores!$AF$1:$AF$6631,0),""))</f>
        <v/>
      </c>
      <c r="W1794" t="str">
        <f t="shared" si="3"/>
        <v/>
      </c>
      <c r="X1794" s="4" t="str">
        <f>IF(V1794="","",INDEX(Fornecedores!$X$1:$X$6631,V1794))</f>
        <v/>
      </c>
      <c r="Y1794" s="4" t="str">
        <f t="shared" si="4"/>
        <v/>
      </c>
    </row>
    <row r="1795" spans="19:25">
      <c r="S1795" t="str">
        <f t="shared" si="0"/>
        <v/>
      </c>
      <c r="T1795" t="str">
        <f t="shared" si="1"/>
        <v/>
      </c>
      <c r="U1795" t="str">
        <f t="shared" si="2"/>
        <v/>
      </c>
      <c r="V1795" t="str">
        <f>IF(OR(U1795="",U1795="ERRO_CHAVE"),"",IFERROR(MATCH(U1795,Fornecedores!$AF$1:$AF$6631,0),""))</f>
        <v/>
      </c>
      <c r="W1795" t="str">
        <f t="shared" si="3"/>
        <v/>
      </c>
      <c r="X1795" s="4" t="str">
        <f>IF(V1795="","",INDEX(Fornecedores!$X$1:$X$6631,V1795))</f>
        <v/>
      </c>
      <c r="Y1795" s="4" t="str">
        <f t="shared" si="4"/>
        <v/>
      </c>
    </row>
    <row r="1796" spans="19:25">
      <c r="S1796" t="str">
        <f t="shared" si="0"/>
        <v/>
      </c>
      <c r="T1796" t="str">
        <f t="shared" si="1"/>
        <v/>
      </c>
      <c r="U1796" t="str">
        <f t="shared" si="2"/>
        <v/>
      </c>
      <c r="V1796" t="str">
        <f>IF(OR(U1796="",U1796="ERRO_CHAVE"),"",IFERROR(MATCH(U1796,Fornecedores!$AF$1:$AF$6631,0),""))</f>
        <v/>
      </c>
      <c r="W1796" t="str">
        <f t="shared" si="3"/>
        <v/>
      </c>
      <c r="X1796" s="4" t="str">
        <f>IF(V1796="","",INDEX(Fornecedores!$X$1:$X$6631,V1796))</f>
        <v/>
      </c>
      <c r="Y1796" s="4" t="str">
        <f t="shared" si="4"/>
        <v/>
      </c>
    </row>
    <row r="1797" spans="19:25">
      <c r="S1797" t="str">
        <f t="shared" si="0"/>
        <v/>
      </c>
      <c r="T1797" t="str">
        <f t="shared" si="1"/>
        <v/>
      </c>
      <c r="U1797" t="str">
        <f t="shared" si="2"/>
        <v/>
      </c>
      <c r="V1797" t="str">
        <f>IF(OR(U1797="",U1797="ERRO_CHAVE"),"",IFERROR(MATCH(U1797,Fornecedores!$AF$1:$AF$6631,0),""))</f>
        <v/>
      </c>
      <c r="W1797" t="str">
        <f t="shared" si="3"/>
        <v/>
      </c>
      <c r="X1797" s="4" t="str">
        <f>IF(V1797="","",INDEX(Fornecedores!$X$1:$X$6631,V1797))</f>
        <v/>
      </c>
      <c r="Y1797" s="4" t="str">
        <f t="shared" si="4"/>
        <v/>
      </c>
    </row>
    <row r="1798" spans="19:25">
      <c r="S1798" t="str">
        <f t="shared" si="0"/>
        <v/>
      </c>
      <c r="T1798" t="str">
        <f t="shared" si="1"/>
        <v/>
      </c>
      <c r="U1798" t="str">
        <f t="shared" si="2"/>
        <v/>
      </c>
      <c r="V1798" t="str">
        <f>IF(OR(U1798="",U1798="ERRO_CHAVE"),"",IFERROR(MATCH(U1798,Fornecedores!$AF$1:$AF$6631,0),""))</f>
        <v/>
      </c>
      <c r="W1798" t="str">
        <f t="shared" si="3"/>
        <v/>
      </c>
      <c r="X1798" s="4" t="str">
        <f>IF(V1798="","",INDEX(Fornecedores!$X$1:$X$6631,V1798))</f>
        <v/>
      </c>
      <c r="Y1798" s="4" t="str">
        <f t="shared" si="4"/>
        <v/>
      </c>
    </row>
    <row r="1799" spans="19:25">
      <c r="S1799" t="str">
        <f t="shared" si="0"/>
        <v/>
      </c>
      <c r="T1799" t="str">
        <f t="shared" si="1"/>
        <v/>
      </c>
      <c r="U1799" t="str">
        <f t="shared" si="2"/>
        <v/>
      </c>
      <c r="V1799" t="str">
        <f>IF(OR(U1799="",U1799="ERRO_CHAVE"),"",IFERROR(MATCH(U1799,Fornecedores!$AF$1:$AF$6631,0),""))</f>
        <v/>
      </c>
      <c r="W1799" t="str">
        <f t="shared" si="3"/>
        <v/>
      </c>
      <c r="X1799" s="4" t="str">
        <f>IF(V1799="","",INDEX(Fornecedores!$X$1:$X$6631,V1799))</f>
        <v/>
      </c>
      <c r="Y1799" s="4" t="str">
        <f t="shared" si="4"/>
        <v/>
      </c>
    </row>
    <row r="1800" spans="19:25">
      <c r="S1800" t="str">
        <f t="shared" si="0"/>
        <v/>
      </c>
      <c r="T1800" t="str">
        <f t="shared" si="1"/>
        <v/>
      </c>
      <c r="U1800" t="str">
        <f t="shared" si="2"/>
        <v/>
      </c>
      <c r="V1800" t="str">
        <f>IF(OR(U1800="",U1800="ERRO_CHAVE"),"",IFERROR(MATCH(U1800,Fornecedores!$AF$1:$AF$6631,0),""))</f>
        <v/>
      </c>
      <c r="W1800" t="str">
        <f t="shared" si="3"/>
        <v/>
      </c>
      <c r="X1800" s="4" t="str">
        <f>IF(V1800="","",INDEX(Fornecedores!$X$1:$X$6631,V1800))</f>
        <v/>
      </c>
      <c r="Y1800" s="4" t="str">
        <f t="shared" si="4"/>
        <v/>
      </c>
    </row>
    <row r="1801" spans="19:25">
      <c r="S1801" t="str">
        <f t="shared" si="0"/>
        <v/>
      </c>
      <c r="T1801" t="str">
        <f t="shared" si="1"/>
        <v/>
      </c>
      <c r="U1801" t="str">
        <f t="shared" si="2"/>
        <v/>
      </c>
      <c r="V1801" t="str">
        <f>IF(OR(U1801="",U1801="ERRO_CHAVE"),"",IFERROR(MATCH(U1801,Fornecedores!$AF$1:$AF$6631,0),""))</f>
        <v/>
      </c>
      <c r="W1801" t="str">
        <f t="shared" si="3"/>
        <v/>
      </c>
      <c r="X1801" s="4" t="str">
        <f>IF(V1801="","",INDEX(Fornecedores!$X$1:$X$6631,V1801))</f>
        <v/>
      </c>
      <c r="Y1801" s="4" t="str">
        <f t="shared" si="4"/>
        <v/>
      </c>
    </row>
    <row r="1802" spans="19:25">
      <c r="S1802" t="str">
        <f t="shared" si="0"/>
        <v/>
      </c>
      <c r="T1802" t="str">
        <f t="shared" si="1"/>
        <v/>
      </c>
      <c r="U1802" t="str">
        <f t="shared" si="2"/>
        <v/>
      </c>
      <c r="V1802" t="str">
        <f>IF(OR(U1802="",U1802="ERRO_CHAVE"),"",IFERROR(MATCH(U1802,Fornecedores!$AF$1:$AF$6631,0),""))</f>
        <v/>
      </c>
      <c r="W1802" t="str">
        <f t="shared" si="3"/>
        <v/>
      </c>
      <c r="X1802" s="4" t="str">
        <f>IF(V1802="","",INDEX(Fornecedores!$X$1:$X$6631,V1802))</f>
        <v/>
      </c>
      <c r="Y1802" s="4" t="str">
        <f t="shared" si="4"/>
        <v/>
      </c>
    </row>
    <row r="1803" spans="19:25">
      <c r="S1803" t="str">
        <f t="shared" si="0"/>
        <v/>
      </c>
      <c r="T1803" t="str">
        <f t="shared" si="1"/>
        <v/>
      </c>
      <c r="U1803" t="str">
        <f t="shared" si="2"/>
        <v/>
      </c>
      <c r="V1803" t="str">
        <f>IF(OR(U1803="",U1803="ERRO_CHAVE"),"",IFERROR(MATCH(U1803,Fornecedores!$AF$1:$AF$6631,0),""))</f>
        <v/>
      </c>
      <c r="W1803" t="str">
        <f t="shared" si="3"/>
        <v/>
      </c>
      <c r="X1803" s="4" t="str">
        <f>IF(V1803="","",INDEX(Fornecedores!$X$1:$X$6631,V1803))</f>
        <v/>
      </c>
      <c r="Y1803" s="4" t="str">
        <f t="shared" si="4"/>
        <v/>
      </c>
    </row>
    <row r="1804" spans="19:25">
      <c r="S1804" t="str">
        <f t="shared" si="0"/>
        <v/>
      </c>
      <c r="T1804" t="str">
        <f t="shared" si="1"/>
        <v/>
      </c>
      <c r="U1804" t="str">
        <f t="shared" si="2"/>
        <v/>
      </c>
      <c r="V1804" t="str">
        <f>IF(OR(U1804="",U1804="ERRO_CHAVE"),"",IFERROR(MATCH(U1804,Fornecedores!$AF$1:$AF$6631,0),""))</f>
        <v/>
      </c>
      <c r="W1804" t="str">
        <f t="shared" si="3"/>
        <v/>
      </c>
      <c r="X1804" s="4" t="str">
        <f>IF(V1804="","",INDEX(Fornecedores!$X$1:$X$6631,V1804))</f>
        <v/>
      </c>
      <c r="Y1804" s="4" t="str">
        <f t="shared" si="4"/>
        <v/>
      </c>
    </row>
    <row r="1805" spans="19:25">
      <c r="S1805" t="str">
        <f t="shared" si="0"/>
        <v/>
      </c>
      <c r="T1805" t="str">
        <f t="shared" si="1"/>
        <v/>
      </c>
      <c r="U1805" t="str">
        <f t="shared" si="2"/>
        <v/>
      </c>
      <c r="V1805" t="str">
        <f>IF(OR(U1805="",U1805="ERRO_CHAVE"),"",IFERROR(MATCH(U1805,Fornecedores!$AF$1:$AF$6631,0),""))</f>
        <v/>
      </c>
      <c r="W1805" t="str">
        <f t="shared" si="3"/>
        <v/>
      </c>
      <c r="X1805" s="4" t="str">
        <f>IF(V1805="","",INDEX(Fornecedores!$X$1:$X$6631,V1805))</f>
        <v/>
      </c>
      <c r="Y1805" s="4" t="str">
        <f t="shared" si="4"/>
        <v/>
      </c>
    </row>
    <row r="1806" spans="19:25">
      <c r="S1806" t="str">
        <f t="shared" si="0"/>
        <v/>
      </c>
      <c r="T1806" t="str">
        <f t="shared" si="1"/>
        <v/>
      </c>
      <c r="U1806" t="str">
        <f t="shared" si="2"/>
        <v/>
      </c>
      <c r="V1806" t="str">
        <f>IF(OR(U1806="",U1806="ERRO_CHAVE"),"",IFERROR(MATCH(U1806,Fornecedores!$AF$1:$AF$6631,0),""))</f>
        <v/>
      </c>
      <c r="W1806" t="str">
        <f t="shared" si="3"/>
        <v/>
      </c>
      <c r="X1806" s="4" t="str">
        <f>IF(V1806="","",INDEX(Fornecedores!$X$1:$X$6631,V1806))</f>
        <v/>
      </c>
      <c r="Y1806" s="4" t="str">
        <f t="shared" si="4"/>
        <v/>
      </c>
    </row>
    <row r="1807" spans="19:25">
      <c r="S1807" t="str">
        <f t="shared" si="0"/>
        <v/>
      </c>
      <c r="T1807" t="str">
        <f t="shared" si="1"/>
        <v/>
      </c>
      <c r="U1807" t="str">
        <f t="shared" si="2"/>
        <v/>
      </c>
      <c r="V1807" t="str">
        <f>IF(OR(U1807="",U1807="ERRO_CHAVE"),"",IFERROR(MATCH(U1807,Fornecedores!$AF$1:$AF$6631,0),""))</f>
        <v/>
      </c>
      <c r="W1807" t="str">
        <f t="shared" si="3"/>
        <v/>
      </c>
      <c r="X1807" s="4" t="str">
        <f>IF(V1807="","",INDEX(Fornecedores!$X$1:$X$6631,V1807))</f>
        <v/>
      </c>
      <c r="Y1807" s="4" t="str">
        <f t="shared" si="4"/>
        <v/>
      </c>
    </row>
    <row r="1808" spans="19:25">
      <c r="S1808" t="str">
        <f t="shared" si="0"/>
        <v/>
      </c>
      <c r="T1808" t="str">
        <f t="shared" si="1"/>
        <v/>
      </c>
      <c r="U1808" t="str">
        <f t="shared" si="2"/>
        <v/>
      </c>
      <c r="V1808" t="str">
        <f>IF(OR(U1808="",U1808="ERRO_CHAVE"),"",IFERROR(MATCH(U1808,Fornecedores!$AF$1:$AF$6631,0),""))</f>
        <v/>
      </c>
      <c r="W1808" t="str">
        <f t="shared" si="3"/>
        <v/>
      </c>
      <c r="X1808" s="4" t="str">
        <f>IF(V1808="","",INDEX(Fornecedores!$X$1:$X$6631,V1808))</f>
        <v/>
      </c>
      <c r="Y1808" s="4" t="str">
        <f t="shared" si="4"/>
        <v/>
      </c>
    </row>
    <row r="1809" spans="19:25">
      <c r="S1809" t="str">
        <f t="shared" si="0"/>
        <v/>
      </c>
      <c r="T1809" t="str">
        <f t="shared" si="1"/>
        <v/>
      </c>
      <c r="U1809" t="str">
        <f t="shared" si="2"/>
        <v/>
      </c>
      <c r="V1809" t="str">
        <f>IF(OR(U1809="",U1809="ERRO_CHAVE"),"",IFERROR(MATCH(U1809,Fornecedores!$AF$1:$AF$6631,0),""))</f>
        <v/>
      </c>
      <c r="W1809" t="str">
        <f t="shared" si="3"/>
        <v/>
      </c>
      <c r="X1809" s="4" t="str">
        <f>IF(V1809="","",INDEX(Fornecedores!$X$1:$X$6631,V1809))</f>
        <v/>
      </c>
      <c r="Y1809" s="4" t="str">
        <f t="shared" si="4"/>
        <v/>
      </c>
    </row>
    <row r="1810" spans="19:25">
      <c r="S1810" t="str">
        <f t="shared" si="0"/>
        <v/>
      </c>
      <c r="T1810" t="str">
        <f t="shared" si="1"/>
        <v/>
      </c>
      <c r="U1810" t="str">
        <f t="shared" si="2"/>
        <v/>
      </c>
      <c r="V1810" t="str">
        <f>IF(OR(U1810="",U1810="ERRO_CHAVE"),"",IFERROR(MATCH(U1810,Fornecedores!$AF$1:$AF$6631,0),""))</f>
        <v/>
      </c>
      <c r="W1810" t="str">
        <f t="shared" si="3"/>
        <v/>
      </c>
      <c r="X1810" s="4" t="str">
        <f>IF(V1810="","",INDEX(Fornecedores!$X$1:$X$6631,V1810))</f>
        <v/>
      </c>
      <c r="Y1810" s="4" t="str">
        <f t="shared" si="4"/>
        <v/>
      </c>
    </row>
    <row r="1811" spans="19:25">
      <c r="S1811" t="str">
        <f t="shared" si="0"/>
        <v/>
      </c>
      <c r="T1811" t="str">
        <f t="shared" si="1"/>
        <v/>
      </c>
      <c r="U1811" t="str">
        <f t="shared" si="2"/>
        <v/>
      </c>
      <c r="V1811" t="str">
        <f>IF(OR(U1811="",U1811="ERRO_CHAVE"),"",IFERROR(MATCH(U1811,Fornecedores!$AF$1:$AF$6631,0),""))</f>
        <v/>
      </c>
      <c r="W1811" t="str">
        <f t="shared" si="3"/>
        <v/>
      </c>
      <c r="X1811" s="4" t="str">
        <f>IF(V1811="","",INDEX(Fornecedores!$X$1:$X$6631,V1811))</f>
        <v/>
      </c>
      <c r="Y1811" s="4" t="str">
        <f t="shared" si="4"/>
        <v/>
      </c>
    </row>
    <row r="1812" spans="19:25">
      <c r="S1812" t="str">
        <f t="shared" si="0"/>
        <v/>
      </c>
      <c r="T1812" t="str">
        <f t="shared" si="1"/>
        <v/>
      </c>
      <c r="U1812" t="str">
        <f t="shared" si="2"/>
        <v/>
      </c>
      <c r="V1812" t="str">
        <f>IF(OR(U1812="",U1812="ERRO_CHAVE"),"",IFERROR(MATCH(U1812,Fornecedores!$AF$1:$AF$6631,0),""))</f>
        <v/>
      </c>
      <c r="W1812" t="str">
        <f t="shared" si="3"/>
        <v/>
      </c>
      <c r="X1812" s="4" t="str">
        <f>IF(V1812="","",INDEX(Fornecedores!$X$1:$X$6631,V1812))</f>
        <v/>
      </c>
      <c r="Y1812" s="4" t="str">
        <f t="shared" si="4"/>
        <v/>
      </c>
    </row>
    <row r="1813" spans="19:25">
      <c r="S1813" t="str">
        <f t="shared" si="0"/>
        <v/>
      </c>
      <c r="T1813" t="str">
        <f t="shared" si="1"/>
        <v/>
      </c>
      <c r="U1813" t="str">
        <f t="shared" si="2"/>
        <v/>
      </c>
      <c r="V1813" t="str">
        <f>IF(OR(U1813="",U1813="ERRO_CHAVE"),"",IFERROR(MATCH(U1813,Fornecedores!$AF$1:$AF$6631,0),""))</f>
        <v/>
      </c>
      <c r="W1813" t="str">
        <f t="shared" si="3"/>
        <v/>
      </c>
      <c r="X1813" s="4" t="str">
        <f>IF(V1813="","",INDEX(Fornecedores!$X$1:$X$6631,V1813))</f>
        <v/>
      </c>
      <c r="Y1813" s="4" t="str">
        <f t="shared" si="4"/>
        <v/>
      </c>
    </row>
    <row r="1814" spans="19:25">
      <c r="S1814" t="str">
        <f t="shared" si="0"/>
        <v/>
      </c>
      <c r="T1814" t="str">
        <f t="shared" si="1"/>
        <v/>
      </c>
      <c r="U1814" t="str">
        <f t="shared" si="2"/>
        <v/>
      </c>
      <c r="V1814" t="str">
        <f>IF(OR(U1814="",U1814="ERRO_CHAVE"),"",IFERROR(MATCH(U1814,Fornecedores!$AF$1:$AF$6631,0),""))</f>
        <v/>
      </c>
      <c r="W1814" t="str">
        <f t="shared" si="3"/>
        <v/>
      </c>
      <c r="X1814" s="4" t="str">
        <f>IF(V1814="","",INDEX(Fornecedores!$X$1:$X$6631,V1814))</f>
        <v/>
      </c>
      <c r="Y1814" s="4" t="str">
        <f t="shared" si="4"/>
        <v/>
      </c>
    </row>
    <row r="1815" spans="19:25">
      <c r="S1815" t="str">
        <f t="shared" si="0"/>
        <v/>
      </c>
      <c r="T1815" t="str">
        <f t="shared" si="1"/>
        <v/>
      </c>
      <c r="U1815" t="str">
        <f t="shared" si="2"/>
        <v/>
      </c>
      <c r="V1815" t="str">
        <f>IF(OR(U1815="",U1815="ERRO_CHAVE"),"",IFERROR(MATCH(U1815,Fornecedores!$AF$1:$AF$6631,0),""))</f>
        <v/>
      </c>
      <c r="W1815" t="str">
        <f t="shared" si="3"/>
        <v/>
      </c>
      <c r="X1815" s="4" t="str">
        <f>IF(V1815="","",INDEX(Fornecedores!$X$1:$X$6631,V1815))</f>
        <v/>
      </c>
      <c r="Y1815" s="4" t="str">
        <f t="shared" si="4"/>
        <v/>
      </c>
    </row>
    <row r="1816" spans="19:25">
      <c r="S1816" t="str">
        <f t="shared" si="0"/>
        <v/>
      </c>
      <c r="T1816" t="str">
        <f t="shared" si="1"/>
        <v/>
      </c>
      <c r="U1816" t="str">
        <f t="shared" si="2"/>
        <v/>
      </c>
      <c r="V1816" t="str">
        <f>IF(OR(U1816="",U1816="ERRO_CHAVE"),"",IFERROR(MATCH(U1816,Fornecedores!$AF$1:$AF$6631,0),""))</f>
        <v/>
      </c>
      <c r="W1816" t="str">
        <f t="shared" si="3"/>
        <v/>
      </c>
      <c r="X1816" s="4" t="str">
        <f>IF(V1816="","",INDEX(Fornecedores!$X$1:$X$6631,V1816))</f>
        <v/>
      </c>
      <c r="Y1816" s="4" t="str">
        <f t="shared" si="4"/>
        <v/>
      </c>
    </row>
    <row r="1817" spans="19:25">
      <c r="S1817" t="str">
        <f t="shared" si="0"/>
        <v/>
      </c>
      <c r="T1817" t="str">
        <f t="shared" si="1"/>
        <v/>
      </c>
      <c r="U1817" t="str">
        <f t="shared" si="2"/>
        <v/>
      </c>
      <c r="V1817" t="str">
        <f>IF(OR(U1817="",U1817="ERRO_CHAVE"),"",IFERROR(MATCH(U1817,Fornecedores!$AF$1:$AF$6631,0),""))</f>
        <v/>
      </c>
      <c r="W1817" t="str">
        <f t="shared" si="3"/>
        <v/>
      </c>
      <c r="X1817" s="4" t="str">
        <f>IF(V1817="","",INDEX(Fornecedores!$X$1:$X$6631,V1817))</f>
        <v/>
      </c>
      <c r="Y1817" s="4" t="str">
        <f t="shared" si="4"/>
        <v/>
      </c>
    </row>
    <row r="1818" spans="19:25">
      <c r="S1818" t="str">
        <f t="shared" si="0"/>
        <v/>
      </c>
      <c r="T1818" t="str">
        <f t="shared" si="1"/>
        <v/>
      </c>
      <c r="U1818" t="str">
        <f t="shared" si="2"/>
        <v/>
      </c>
      <c r="V1818" t="str">
        <f>IF(OR(U1818="",U1818="ERRO_CHAVE"),"",IFERROR(MATCH(U1818,Fornecedores!$AF$1:$AF$6631,0),""))</f>
        <v/>
      </c>
      <c r="W1818" t="str">
        <f t="shared" si="3"/>
        <v/>
      </c>
      <c r="X1818" s="4" t="str">
        <f>IF(V1818="","",INDEX(Fornecedores!$X$1:$X$6631,V1818))</f>
        <v/>
      </c>
      <c r="Y1818" s="4" t="str">
        <f t="shared" si="4"/>
        <v/>
      </c>
    </row>
    <row r="1819" spans="19:25">
      <c r="S1819" t="str">
        <f t="shared" si="0"/>
        <v/>
      </c>
      <c r="T1819" t="str">
        <f t="shared" si="1"/>
        <v/>
      </c>
      <c r="U1819" t="str">
        <f t="shared" si="2"/>
        <v/>
      </c>
      <c r="V1819" t="str">
        <f>IF(OR(U1819="",U1819="ERRO_CHAVE"),"",IFERROR(MATCH(U1819,Fornecedores!$AF$1:$AF$6631,0),""))</f>
        <v/>
      </c>
      <c r="W1819" t="str">
        <f t="shared" si="3"/>
        <v/>
      </c>
      <c r="X1819" s="4" t="str">
        <f>IF(V1819="","",INDEX(Fornecedores!$X$1:$X$6631,V1819))</f>
        <v/>
      </c>
      <c r="Y1819" s="4" t="str">
        <f t="shared" si="4"/>
        <v/>
      </c>
    </row>
    <row r="1820" spans="19:25">
      <c r="S1820" t="str">
        <f t="shared" si="0"/>
        <v/>
      </c>
      <c r="T1820" t="str">
        <f t="shared" si="1"/>
        <v/>
      </c>
      <c r="U1820" t="str">
        <f t="shared" si="2"/>
        <v/>
      </c>
      <c r="V1820" t="str">
        <f>IF(OR(U1820="",U1820="ERRO_CHAVE"),"",IFERROR(MATCH(U1820,Fornecedores!$AF$1:$AF$6631,0),""))</f>
        <v/>
      </c>
      <c r="W1820" t="str">
        <f t="shared" si="3"/>
        <v/>
      </c>
      <c r="X1820" s="4" t="str">
        <f>IF(V1820="","",INDEX(Fornecedores!$X$1:$X$6631,V1820))</f>
        <v/>
      </c>
      <c r="Y1820" s="4" t="str">
        <f t="shared" si="4"/>
        <v/>
      </c>
    </row>
    <row r="1821" spans="19:25">
      <c r="S1821" t="str">
        <f t="shared" si="0"/>
        <v/>
      </c>
      <c r="T1821" t="str">
        <f t="shared" si="1"/>
        <v/>
      </c>
      <c r="U1821" t="str">
        <f t="shared" si="2"/>
        <v/>
      </c>
      <c r="V1821" t="str">
        <f>IF(OR(U1821="",U1821="ERRO_CHAVE"),"",IFERROR(MATCH(U1821,Fornecedores!$AF$1:$AF$6631,0),""))</f>
        <v/>
      </c>
      <c r="W1821" t="str">
        <f t="shared" si="3"/>
        <v/>
      </c>
      <c r="X1821" s="4" t="str">
        <f>IF(V1821="","",INDEX(Fornecedores!$X$1:$X$6631,V1821))</f>
        <v/>
      </c>
      <c r="Y1821" s="4" t="str">
        <f t="shared" si="4"/>
        <v/>
      </c>
    </row>
    <row r="1822" spans="19:25">
      <c r="S1822" t="str">
        <f t="shared" si="0"/>
        <v/>
      </c>
      <c r="T1822" t="str">
        <f t="shared" si="1"/>
        <v/>
      </c>
      <c r="U1822" t="str">
        <f t="shared" si="2"/>
        <v/>
      </c>
      <c r="V1822" t="str">
        <f>IF(OR(U1822="",U1822="ERRO_CHAVE"),"",IFERROR(MATCH(U1822,Fornecedores!$AF$1:$AF$6631,0),""))</f>
        <v/>
      </c>
      <c r="W1822" t="str">
        <f t="shared" si="3"/>
        <v/>
      </c>
      <c r="X1822" s="4" t="str">
        <f>IF(V1822="","",INDEX(Fornecedores!$X$1:$X$6631,V1822))</f>
        <v/>
      </c>
      <c r="Y1822" s="4" t="str">
        <f t="shared" si="4"/>
        <v/>
      </c>
    </row>
    <row r="1823" spans="19:25">
      <c r="S1823" t="str">
        <f t="shared" si="0"/>
        <v/>
      </c>
      <c r="T1823" t="str">
        <f t="shared" si="1"/>
        <v/>
      </c>
      <c r="U1823" t="str">
        <f t="shared" si="2"/>
        <v/>
      </c>
      <c r="V1823" t="str">
        <f>IF(OR(U1823="",U1823="ERRO_CHAVE"),"",IFERROR(MATCH(U1823,Fornecedores!$AF$1:$AF$6631,0),""))</f>
        <v/>
      </c>
      <c r="W1823" t="str">
        <f t="shared" si="3"/>
        <v/>
      </c>
      <c r="X1823" s="4" t="str">
        <f>IF(V1823="","",INDEX(Fornecedores!$X$1:$X$6631,V1823))</f>
        <v/>
      </c>
      <c r="Y1823" s="4" t="str">
        <f t="shared" si="4"/>
        <v/>
      </c>
    </row>
    <row r="1824" spans="19:25">
      <c r="S1824" t="str">
        <f t="shared" si="0"/>
        <v/>
      </c>
      <c r="T1824" t="str">
        <f t="shared" si="1"/>
        <v/>
      </c>
      <c r="U1824" t="str">
        <f t="shared" si="2"/>
        <v/>
      </c>
      <c r="V1824" t="str">
        <f>IF(OR(U1824="",U1824="ERRO_CHAVE"),"",IFERROR(MATCH(U1824,Fornecedores!$AF$1:$AF$6631,0),""))</f>
        <v/>
      </c>
      <c r="W1824" t="str">
        <f t="shared" si="3"/>
        <v/>
      </c>
      <c r="X1824" s="4" t="str">
        <f>IF(V1824="","",INDEX(Fornecedores!$X$1:$X$6631,V1824))</f>
        <v/>
      </c>
      <c r="Y1824" s="4" t="str">
        <f t="shared" si="4"/>
        <v/>
      </c>
    </row>
    <row r="1825" spans="19:25">
      <c r="S1825" t="str">
        <f t="shared" si="0"/>
        <v/>
      </c>
      <c r="T1825" t="str">
        <f t="shared" si="1"/>
        <v/>
      </c>
      <c r="U1825" t="str">
        <f t="shared" si="2"/>
        <v/>
      </c>
      <c r="V1825" t="str">
        <f>IF(OR(U1825="",U1825="ERRO_CHAVE"),"",IFERROR(MATCH(U1825,Fornecedores!$AF$1:$AF$6631,0),""))</f>
        <v/>
      </c>
      <c r="W1825" t="str">
        <f t="shared" si="3"/>
        <v/>
      </c>
      <c r="X1825" s="4" t="str">
        <f>IF(V1825="","",INDEX(Fornecedores!$X$1:$X$6631,V1825))</f>
        <v/>
      </c>
      <c r="Y1825" s="4" t="str">
        <f t="shared" si="4"/>
        <v/>
      </c>
    </row>
    <row r="1826" spans="19:25">
      <c r="S1826" t="str">
        <f t="shared" si="0"/>
        <v/>
      </c>
      <c r="T1826" t="str">
        <f t="shared" si="1"/>
        <v/>
      </c>
      <c r="U1826" t="str">
        <f t="shared" si="2"/>
        <v/>
      </c>
      <c r="V1826" t="str">
        <f>IF(OR(U1826="",U1826="ERRO_CHAVE"),"",IFERROR(MATCH(U1826,Fornecedores!$AF$1:$AF$6631,0),""))</f>
        <v/>
      </c>
      <c r="W1826" t="str">
        <f t="shared" si="3"/>
        <v/>
      </c>
      <c r="X1826" s="4" t="str">
        <f>IF(V1826="","",INDEX(Fornecedores!$X$1:$X$6631,V1826))</f>
        <v/>
      </c>
      <c r="Y1826" s="4" t="str">
        <f t="shared" si="4"/>
        <v/>
      </c>
    </row>
    <row r="1827" spans="19:25">
      <c r="S1827" t="str">
        <f t="shared" si="0"/>
        <v/>
      </c>
      <c r="T1827" t="str">
        <f t="shared" si="1"/>
        <v/>
      </c>
      <c r="U1827" t="str">
        <f t="shared" si="2"/>
        <v/>
      </c>
      <c r="V1827" t="str">
        <f>IF(OR(U1827="",U1827="ERRO_CHAVE"),"",IFERROR(MATCH(U1827,Fornecedores!$AF$1:$AF$6631,0),""))</f>
        <v/>
      </c>
      <c r="W1827" t="str">
        <f t="shared" si="3"/>
        <v/>
      </c>
      <c r="X1827" s="4" t="str">
        <f>IF(V1827="","",INDEX(Fornecedores!$X$1:$X$6631,V1827))</f>
        <v/>
      </c>
      <c r="Y1827" s="4" t="str">
        <f t="shared" si="4"/>
        <v/>
      </c>
    </row>
    <row r="1828" spans="19:25">
      <c r="S1828" t="str">
        <f t="shared" si="0"/>
        <v/>
      </c>
      <c r="T1828" t="str">
        <f t="shared" si="1"/>
        <v/>
      </c>
      <c r="U1828" t="str">
        <f t="shared" si="2"/>
        <v/>
      </c>
      <c r="V1828" t="str">
        <f>IF(OR(U1828="",U1828="ERRO_CHAVE"),"",IFERROR(MATCH(U1828,Fornecedores!$AF$1:$AF$6631,0),""))</f>
        <v/>
      </c>
      <c r="W1828" t="str">
        <f t="shared" si="3"/>
        <v/>
      </c>
      <c r="X1828" s="4" t="str">
        <f>IF(V1828="","",INDEX(Fornecedores!$X$1:$X$6631,V1828))</f>
        <v/>
      </c>
      <c r="Y1828" s="4" t="str">
        <f t="shared" si="4"/>
        <v/>
      </c>
    </row>
    <row r="1829" spans="19:25">
      <c r="S1829" t="str">
        <f t="shared" si="0"/>
        <v/>
      </c>
      <c r="T1829" t="str">
        <f t="shared" si="1"/>
        <v/>
      </c>
      <c r="U1829" t="str">
        <f t="shared" si="2"/>
        <v/>
      </c>
      <c r="V1829" t="str">
        <f>IF(OR(U1829="",U1829="ERRO_CHAVE"),"",IFERROR(MATCH(U1829,Fornecedores!$AF$1:$AF$6631,0),""))</f>
        <v/>
      </c>
      <c r="W1829" t="str">
        <f t="shared" si="3"/>
        <v/>
      </c>
      <c r="X1829" s="4" t="str">
        <f>IF(V1829="","",INDEX(Fornecedores!$X$1:$X$6631,V1829))</f>
        <v/>
      </c>
      <c r="Y1829" s="4" t="str">
        <f t="shared" si="4"/>
        <v/>
      </c>
    </row>
    <row r="1830" spans="19:25">
      <c r="S1830" t="str">
        <f t="shared" si="0"/>
        <v/>
      </c>
      <c r="T1830" t="str">
        <f t="shared" si="1"/>
        <v/>
      </c>
      <c r="U1830" t="str">
        <f t="shared" si="2"/>
        <v/>
      </c>
      <c r="V1830" t="str">
        <f>IF(OR(U1830="",U1830="ERRO_CHAVE"),"",IFERROR(MATCH(U1830,Fornecedores!$AF$1:$AF$6631,0),""))</f>
        <v/>
      </c>
      <c r="W1830" t="str">
        <f t="shared" si="3"/>
        <v/>
      </c>
      <c r="X1830" s="4" t="str">
        <f>IF(V1830="","",INDEX(Fornecedores!$X$1:$X$6631,V1830))</f>
        <v/>
      </c>
      <c r="Y1830" s="4" t="str">
        <f t="shared" si="4"/>
        <v/>
      </c>
    </row>
    <row r="1831" spans="19:25">
      <c r="S1831" t="str">
        <f t="shared" si="0"/>
        <v/>
      </c>
      <c r="T1831" t="str">
        <f t="shared" si="1"/>
        <v/>
      </c>
      <c r="U1831" t="str">
        <f t="shared" si="2"/>
        <v/>
      </c>
      <c r="V1831" t="str">
        <f>IF(OR(U1831="",U1831="ERRO_CHAVE"),"",IFERROR(MATCH(U1831,Fornecedores!$AF$1:$AF$6631,0),""))</f>
        <v/>
      </c>
      <c r="W1831" t="str">
        <f t="shared" si="3"/>
        <v/>
      </c>
      <c r="X1831" s="4" t="str">
        <f>IF(V1831="","",INDEX(Fornecedores!$X$1:$X$6631,V1831))</f>
        <v/>
      </c>
      <c r="Y1831" s="4" t="str">
        <f t="shared" si="4"/>
        <v/>
      </c>
    </row>
    <row r="1832" spans="19:25">
      <c r="S1832" t="str">
        <f t="shared" si="0"/>
        <v/>
      </c>
      <c r="T1832" t="str">
        <f t="shared" si="1"/>
        <v/>
      </c>
      <c r="U1832" t="str">
        <f t="shared" si="2"/>
        <v/>
      </c>
      <c r="V1832" t="str">
        <f>IF(OR(U1832="",U1832="ERRO_CHAVE"),"",IFERROR(MATCH(U1832,Fornecedores!$AF$1:$AF$6631,0),""))</f>
        <v/>
      </c>
      <c r="W1832" t="str">
        <f t="shared" si="3"/>
        <v/>
      </c>
      <c r="X1832" s="4" t="str">
        <f>IF(V1832="","",INDEX(Fornecedores!$X$1:$X$6631,V1832))</f>
        <v/>
      </c>
      <c r="Y1832" s="4" t="str">
        <f t="shared" si="4"/>
        <v/>
      </c>
    </row>
    <row r="1833" spans="19:25">
      <c r="S1833" t="str">
        <f t="shared" si="0"/>
        <v/>
      </c>
      <c r="T1833" t="str">
        <f t="shared" si="1"/>
        <v/>
      </c>
      <c r="U1833" t="str">
        <f t="shared" si="2"/>
        <v/>
      </c>
      <c r="V1833" t="str">
        <f>IF(OR(U1833="",U1833="ERRO_CHAVE"),"",IFERROR(MATCH(U1833,Fornecedores!$AF$1:$AF$6631,0),""))</f>
        <v/>
      </c>
      <c r="W1833" t="str">
        <f t="shared" si="3"/>
        <v/>
      </c>
      <c r="X1833" s="4" t="str">
        <f>IF(V1833="","",INDEX(Fornecedores!$X$1:$X$6631,V1833))</f>
        <v/>
      </c>
      <c r="Y1833" s="4" t="str">
        <f t="shared" si="4"/>
        <v/>
      </c>
    </row>
    <row r="1834" spans="19:25">
      <c r="S1834" t="str">
        <f t="shared" si="0"/>
        <v/>
      </c>
      <c r="T1834" t="str">
        <f t="shared" si="1"/>
        <v/>
      </c>
      <c r="U1834" t="str">
        <f t="shared" si="2"/>
        <v/>
      </c>
      <c r="V1834" t="str">
        <f>IF(OR(U1834="",U1834="ERRO_CHAVE"),"",IFERROR(MATCH(U1834,Fornecedores!$AF$1:$AF$6631,0),""))</f>
        <v/>
      </c>
      <c r="W1834" t="str">
        <f t="shared" si="3"/>
        <v/>
      </c>
      <c r="X1834" s="4" t="str">
        <f>IF(V1834="","",INDEX(Fornecedores!$X$1:$X$6631,V1834))</f>
        <v/>
      </c>
      <c r="Y1834" s="4" t="str">
        <f t="shared" si="4"/>
        <v/>
      </c>
    </row>
    <row r="1835" spans="19:25">
      <c r="S1835" t="str">
        <f t="shared" si="0"/>
        <v/>
      </c>
      <c r="T1835" t="str">
        <f t="shared" si="1"/>
        <v/>
      </c>
      <c r="U1835" t="str">
        <f t="shared" si="2"/>
        <v/>
      </c>
      <c r="V1835" t="str">
        <f>IF(OR(U1835="",U1835="ERRO_CHAVE"),"",IFERROR(MATCH(U1835,Fornecedores!$AF$1:$AF$6631,0),""))</f>
        <v/>
      </c>
      <c r="W1835" t="str">
        <f t="shared" si="3"/>
        <v/>
      </c>
      <c r="X1835" s="4" t="str">
        <f>IF(V1835="","",INDEX(Fornecedores!$X$1:$X$6631,V1835))</f>
        <v/>
      </c>
      <c r="Y1835" s="4" t="str">
        <f t="shared" si="4"/>
        <v/>
      </c>
    </row>
    <row r="1836" spans="19:25">
      <c r="S1836" t="str">
        <f t="shared" si="0"/>
        <v/>
      </c>
      <c r="T1836" t="str">
        <f t="shared" si="1"/>
        <v/>
      </c>
      <c r="U1836" t="str">
        <f t="shared" si="2"/>
        <v/>
      </c>
      <c r="V1836" t="str">
        <f>IF(OR(U1836="",U1836="ERRO_CHAVE"),"",IFERROR(MATCH(U1836,Fornecedores!$AF$1:$AF$6631,0),""))</f>
        <v/>
      </c>
      <c r="W1836" t="str">
        <f t="shared" si="3"/>
        <v/>
      </c>
      <c r="X1836" s="4" t="str">
        <f>IF(V1836="","",INDEX(Fornecedores!$X$1:$X$6631,V1836))</f>
        <v/>
      </c>
      <c r="Y1836" s="4" t="str">
        <f t="shared" si="4"/>
        <v/>
      </c>
    </row>
    <row r="1837" spans="19:25">
      <c r="S1837" t="str">
        <f t="shared" si="0"/>
        <v/>
      </c>
      <c r="T1837" t="str">
        <f t="shared" si="1"/>
        <v/>
      </c>
      <c r="U1837" t="str">
        <f t="shared" si="2"/>
        <v/>
      </c>
      <c r="V1837" t="str">
        <f>IF(OR(U1837="",U1837="ERRO_CHAVE"),"",IFERROR(MATCH(U1837,Fornecedores!$AF$1:$AF$6631,0),""))</f>
        <v/>
      </c>
      <c r="W1837" t="str">
        <f t="shared" si="3"/>
        <v/>
      </c>
      <c r="X1837" s="4" t="str">
        <f>IF(V1837="","",INDEX(Fornecedores!$X$1:$X$6631,V1837))</f>
        <v/>
      </c>
      <c r="Y1837" s="4" t="str">
        <f t="shared" si="4"/>
        <v/>
      </c>
    </row>
    <row r="1838" spans="19:25">
      <c r="S1838" t="str">
        <f t="shared" si="0"/>
        <v/>
      </c>
      <c r="T1838" t="str">
        <f t="shared" si="1"/>
        <v/>
      </c>
      <c r="U1838" t="str">
        <f t="shared" si="2"/>
        <v/>
      </c>
      <c r="V1838" t="str">
        <f>IF(OR(U1838="",U1838="ERRO_CHAVE"),"",IFERROR(MATCH(U1838,Fornecedores!$AF$1:$AF$6631,0),""))</f>
        <v/>
      </c>
      <c r="W1838" t="str">
        <f t="shared" si="3"/>
        <v/>
      </c>
      <c r="X1838" s="4" t="str">
        <f>IF(V1838="","",INDEX(Fornecedores!$X$1:$X$6631,V1838))</f>
        <v/>
      </c>
      <c r="Y1838" s="4" t="str">
        <f t="shared" si="4"/>
        <v/>
      </c>
    </row>
    <row r="1839" spans="19:25">
      <c r="S1839" t="str">
        <f t="shared" si="0"/>
        <v/>
      </c>
      <c r="T1839" t="str">
        <f t="shared" si="1"/>
        <v/>
      </c>
      <c r="U1839" t="str">
        <f t="shared" si="2"/>
        <v/>
      </c>
      <c r="V1839" t="str">
        <f>IF(OR(U1839="",U1839="ERRO_CHAVE"),"",IFERROR(MATCH(U1839,Fornecedores!$AF$1:$AF$6631,0),""))</f>
        <v/>
      </c>
      <c r="W1839" t="str">
        <f t="shared" si="3"/>
        <v/>
      </c>
      <c r="X1839" s="4" t="str">
        <f>IF(V1839="","",INDEX(Fornecedores!$X$1:$X$6631,V1839))</f>
        <v/>
      </c>
      <c r="Y1839" s="4" t="str">
        <f t="shared" si="4"/>
        <v/>
      </c>
    </row>
    <row r="1840" spans="19:25">
      <c r="S1840" t="str">
        <f t="shared" si="0"/>
        <v/>
      </c>
      <c r="T1840" t="str">
        <f t="shared" si="1"/>
        <v/>
      </c>
      <c r="U1840" t="str">
        <f t="shared" si="2"/>
        <v/>
      </c>
      <c r="V1840" t="str">
        <f>IF(OR(U1840="",U1840="ERRO_CHAVE"),"",IFERROR(MATCH(U1840,Fornecedores!$AF$1:$AF$6631,0),""))</f>
        <v/>
      </c>
      <c r="W1840" t="str">
        <f t="shared" si="3"/>
        <v/>
      </c>
      <c r="X1840" s="4" t="str">
        <f>IF(V1840="","",INDEX(Fornecedores!$X$1:$X$6631,V1840))</f>
        <v/>
      </c>
      <c r="Y1840" s="4" t="str">
        <f t="shared" si="4"/>
        <v/>
      </c>
    </row>
    <row r="1841" spans="19:25">
      <c r="S1841" t="str">
        <f t="shared" si="0"/>
        <v/>
      </c>
      <c r="T1841" t="str">
        <f t="shared" si="1"/>
        <v/>
      </c>
      <c r="U1841" t="str">
        <f t="shared" si="2"/>
        <v/>
      </c>
      <c r="V1841" t="str">
        <f>IF(OR(U1841="",U1841="ERRO_CHAVE"),"",IFERROR(MATCH(U1841,Fornecedores!$AF$1:$AF$6631,0),""))</f>
        <v/>
      </c>
      <c r="W1841" t="str">
        <f t="shared" si="3"/>
        <v/>
      </c>
      <c r="X1841" s="4" t="str">
        <f>IF(V1841="","",INDEX(Fornecedores!$X$1:$X$6631,V1841))</f>
        <v/>
      </c>
      <c r="Y1841" s="4" t="str">
        <f t="shared" si="4"/>
        <v/>
      </c>
    </row>
    <row r="1842" spans="19:25">
      <c r="S1842" t="str">
        <f t="shared" si="0"/>
        <v/>
      </c>
      <c r="T1842" t="str">
        <f t="shared" si="1"/>
        <v/>
      </c>
      <c r="U1842" t="str">
        <f t="shared" si="2"/>
        <v/>
      </c>
      <c r="V1842" t="str">
        <f>IF(OR(U1842="",U1842="ERRO_CHAVE"),"",IFERROR(MATCH(U1842,Fornecedores!$AF$1:$AF$6631,0),""))</f>
        <v/>
      </c>
      <c r="W1842" t="str">
        <f t="shared" si="3"/>
        <v/>
      </c>
      <c r="X1842" s="4" t="str">
        <f>IF(V1842="","",INDEX(Fornecedores!$X$1:$X$6631,V1842))</f>
        <v/>
      </c>
      <c r="Y1842" s="4" t="str">
        <f t="shared" si="4"/>
        <v/>
      </c>
    </row>
    <row r="1843" spans="19:25">
      <c r="S1843" t="str">
        <f t="shared" si="0"/>
        <v/>
      </c>
      <c r="T1843" t="str">
        <f t="shared" si="1"/>
        <v/>
      </c>
      <c r="U1843" t="str">
        <f t="shared" si="2"/>
        <v/>
      </c>
      <c r="V1843" t="str">
        <f>IF(OR(U1843="",U1843="ERRO_CHAVE"),"",IFERROR(MATCH(U1843,Fornecedores!$AF$1:$AF$6631,0),""))</f>
        <v/>
      </c>
      <c r="W1843" t="str">
        <f t="shared" si="3"/>
        <v/>
      </c>
      <c r="X1843" s="4" t="str">
        <f>IF(V1843="","",INDEX(Fornecedores!$X$1:$X$6631,V1843))</f>
        <v/>
      </c>
      <c r="Y1843" s="4" t="str">
        <f t="shared" si="4"/>
        <v/>
      </c>
    </row>
    <row r="1844" spans="19:25">
      <c r="S1844" t="str">
        <f t="shared" si="0"/>
        <v/>
      </c>
      <c r="T1844" t="str">
        <f t="shared" si="1"/>
        <v/>
      </c>
      <c r="U1844" t="str">
        <f t="shared" si="2"/>
        <v/>
      </c>
      <c r="V1844" t="str">
        <f>IF(OR(U1844="",U1844="ERRO_CHAVE"),"",IFERROR(MATCH(U1844,Fornecedores!$AF$1:$AF$6631,0),""))</f>
        <v/>
      </c>
      <c r="W1844" t="str">
        <f t="shared" si="3"/>
        <v/>
      </c>
      <c r="X1844" s="4" t="str">
        <f>IF(V1844="","",INDEX(Fornecedores!$X$1:$X$6631,V1844))</f>
        <v/>
      </c>
      <c r="Y1844" s="4" t="str">
        <f t="shared" si="4"/>
        <v/>
      </c>
    </row>
    <row r="1845" spans="19:25">
      <c r="S1845" t="str">
        <f t="shared" si="0"/>
        <v/>
      </c>
      <c r="T1845" t="str">
        <f t="shared" si="1"/>
        <v/>
      </c>
      <c r="U1845" t="str">
        <f t="shared" si="2"/>
        <v/>
      </c>
      <c r="V1845" t="str">
        <f>IF(OR(U1845="",U1845="ERRO_CHAVE"),"",IFERROR(MATCH(U1845,Fornecedores!$AF$1:$AF$6631,0),""))</f>
        <v/>
      </c>
      <c r="W1845" t="str">
        <f t="shared" si="3"/>
        <v/>
      </c>
      <c r="X1845" s="4" t="str">
        <f>IF(V1845="","",INDEX(Fornecedores!$X$1:$X$6631,V1845))</f>
        <v/>
      </c>
      <c r="Y1845" s="4" t="str">
        <f t="shared" si="4"/>
        <v/>
      </c>
    </row>
    <row r="1846" spans="19:25">
      <c r="S1846" t="str">
        <f t="shared" si="0"/>
        <v/>
      </c>
      <c r="T1846" t="str">
        <f t="shared" si="1"/>
        <v/>
      </c>
      <c r="U1846" t="str">
        <f t="shared" si="2"/>
        <v/>
      </c>
      <c r="V1846" t="str">
        <f>IF(OR(U1846="",U1846="ERRO_CHAVE"),"",IFERROR(MATCH(U1846,Fornecedores!$AF$1:$AF$6631,0),""))</f>
        <v/>
      </c>
      <c r="W1846" t="str">
        <f t="shared" si="3"/>
        <v/>
      </c>
      <c r="X1846" s="4" t="str">
        <f>IF(V1846="","",INDEX(Fornecedores!$X$1:$X$6631,V1846))</f>
        <v/>
      </c>
      <c r="Y1846" s="4" t="str">
        <f t="shared" si="4"/>
        <v/>
      </c>
    </row>
    <row r="1847" spans="19:25">
      <c r="S1847" t="str">
        <f t="shared" si="0"/>
        <v/>
      </c>
      <c r="T1847" t="str">
        <f t="shared" si="1"/>
        <v/>
      </c>
      <c r="U1847" t="str">
        <f t="shared" si="2"/>
        <v/>
      </c>
      <c r="V1847" t="str">
        <f>IF(OR(U1847="",U1847="ERRO_CHAVE"),"",IFERROR(MATCH(U1847,Fornecedores!$AF$1:$AF$6631,0),""))</f>
        <v/>
      </c>
      <c r="W1847" t="str">
        <f t="shared" si="3"/>
        <v/>
      </c>
      <c r="X1847" s="4" t="str">
        <f>IF(V1847="","",INDEX(Fornecedores!$X$1:$X$6631,V1847))</f>
        <v/>
      </c>
      <c r="Y1847" s="4" t="str">
        <f t="shared" si="4"/>
        <v/>
      </c>
    </row>
    <row r="1848" spans="19:25">
      <c r="S1848" t="str">
        <f t="shared" si="0"/>
        <v/>
      </c>
      <c r="T1848" t="str">
        <f t="shared" si="1"/>
        <v/>
      </c>
      <c r="U1848" t="str">
        <f t="shared" si="2"/>
        <v/>
      </c>
      <c r="V1848" t="str">
        <f>IF(OR(U1848="",U1848="ERRO_CHAVE"),"",IFERROR(MATCH(U1848,Fornecedores!$AF$1:$AF$6631,0),""))</f>
        <v/>
      </c>
      <c r="W1848" t="str">
        <f t="shared" si="3"/>
        <v/>
      </c>
      <c r="X1848" s="4" t="str">
        <f>IF(V1848="","",INDEX(Fornecedores!$X$1:$X$6631,V1848))</f>
        <v/>
      </c>
      <c r="Y1848" s="4" t="str">
        <f t="shared" si="4"/>
        <v/>
      </c>
    </row>
    <row r="1849" spans="19:25">
      <c r="S1849" t="str">
        <f t="shared" si="0"/>
        <v/>
      </c>
      <c r="T1849" t="str">
        <f t="shared" si="1"/>
        <v/>
      </c>
      <c r="U1849" t="str">
        <f t="shared" si="2"/>
        <v/>
      </c>
      <c r="V1849" t="str">
        <f>IF(OR(U1849="",U1849="ERRO_CHAVE"),"",IFERROR(MATCH(U1849,Fornecedores!$AF$1:$AF$6631,0),""))</f>
        <v/>
      </c>
      <c r="W1849" t="str">
        <f t="shared" si="3"/>
        <v/>
      </c>
      <c r="X1849" s="4" t="str">
        <f>IF(V1849="","",INDEX(Fornecedores!$X$1:$X$6631,V1849))</f>
        <v/>
      </c>
      <c r="Y1849" s="4" t="str">
        <f t="shared" si="4"/>
        <v/>
      </c>
    </row>
    <row r="1850" spans="19:25">
      <c r="S1850" t="str">
        <f t="shared" si="0"/>
        <v/>
      </c>
      <c r="T1850" t="str">
        <f t="shared" si="1"/>
        <v/>
      </c>
      <c r="U1850" t="str">
        <f t="shared" si="2"/>
        <v/>
      </c>
      <c r="V1850" t="str">
        <f>IF(OR(U1850="",U1850="ERRO_CHAVE"),"",IFERROR(MATCH(U1850,Fornecedores!$AF$1:$AF$6631,0),""))</f>
        <v/>
      </c>
      <c r="W1850" t="str">
        <f t="shared" si="3"/>
        <v/>
      </c>
      <c r="X1850" s="4" t="str">
        <f>IF(V1850="","",INDEX(Fornecedores!$X$1:$X$6631,V1850))</f>
        <v/>
      </c>
      <c r="Y1850" s="4" t="str">
        <f t="shared" si="4"/>
        <v/>
      </c>
    </row>
    <row r="1851" spans="19:25">
      <c r="S1851" t="str">
        <f t="shared" si="0"/>
        <v/>
      </c>
      <c r="T1851" t="str">
        <f t="shared" si="1"/>
        <v/>
      </c>
      <c r="U1851" t="str">
        <f t="shared" si="2"/>
        <v/>
      </c>
      <c r="V1851" t="str">
        <f>IF(OR(U1851="",U1851="ERRO_CHAVE"),"",IFERROR(MATCH(U1851,Fornecedores!$AF$1:$AF$6631,0),""))</f>
        <v/>
      </c>
      <c r="W1851" t="str">
        <f t="shared" si="3"/>
        <v/>
      </c>
      <c r="X1851" s="4" t="str">
        <f>IF(V1851="","",INDEX(Fornecedores!$X$1:$X$6631,V1851))</f>
        <v/>
      </c>
      <c r="Y1851" s="4" t="str">
        <f t="shared" si="4"/>
        <v/>
      </c>
    </row>
    <row r="1852" spans="19:25">
      <c r="S1852" t="str">
        <f t="shared" si="0"/>
        <v/>
      </c>
      <c r="T1852" t="str">
        <f t="shared" si="1"/>
        <v/>
      </c>
      <c r="U1852" t="str">
        <f t="shared" si="2"/>
        <v/>
      </c>
      <c r="V1852" t="str">
        <f>IF(OR(U1852="",U1852="ERRO_CHAVE"),"",IFERROR(MATCH(U1852,Fornecedores!$AF$1:$AF$6631,0),""))</f>
        <v/>
      </c>
      <c r="W1852" t="str">
        <f t="shared" si="3"/>
        <v/>
      </c>
      <c r="X1852" s="4" t="str">
        <f>IF(V1852="","",INDEX(Fornecedores!$X$1:$X$6631,V1852))</f>
        <v/>
      </c>
      <c r="Y1852" s="4" t="str">
        <f t="shared" si="4"/>
        <v/>
      </c>
    </row>
    <row r="1853" spans="19:25">
      <c r="S1853" t="str">
        <f t="shared" si="0"/>
        <v/>
      </c>
      <c r="T1853" t="str">
        <f t="shared" si="1"/>
        <v/>
      </c>
      <c r="U1853" t="str">
        <f t="shared" si="2"/>
        <v/>
      </c>
      <c r="V1853" t="str">
        <f>IF(OR(U1853="",U1853="ERRO_CHAVE"),"",IFERROR(MATCH(U1853,Fornecedores!$AF$1:$AF$6631,0),""))</f>
        <v/>
      </c>
      <c r="W1853" t="str">
        <f t="shared" si="3"/>
        <v/>
      </c>
      <c r="X1853" s="4" t="str">
        <f>IF(V1853="","",INDEX(Fornecedores!$X$1:$X$6631,V1853))</f>
        <v/>
      </c>
      <c r="Y1853" s="4" t="str">
        <f t="shared" si="4"/>
        <v/>
      </c>
    </row>
    <row r="1854" spans="19:25">
      <c r="S1854" t="str">
        <f t="shared" si="0"/>
        <v/>
      </c>
      <c r="T1854" t="str">
        <f t="shared" si="1"/>
        <v/>
      </c>
      <c r="U1854" t="str">
        <f t="shared" si="2"/>
        <v/>
      </c>
      <c r="V1854" t="str">
        <f>IF(OR(U1854="",U1854="ERRO_CHAVE"),"",IFERROR(MATCH(U1854,Fornecedores!$AF$1:$AF$6631,0),""))</f>
        <v/>
      </c>
      <c r="W1854" t="str">
        <f t="shared" si="3"/>
        <v/>
      </c>
      <c r="X1854" s="4" t="str">
        <f>IF(V1854="","",INDEX(Fornecedores!$X$1:$X$6631,V1854))</f>
        <v/>
      </c>
      <c r="Y1854" s="4" t="str">
        <f t="shared" si="4"/>
        <v/>
      </c>
    </row>
    <row r="1855" spans="19:25">
      <c r="S1855" t="str">
        <f t="shared" si="0"/>
        <v/>
      </c>
      <c r="T1855" t="str">
        <f t="shared" si="1"/>
        <v/>
      </c>
      <c r="U1855" t="str">
        <f t="shared" si="2"/>
        <v/>
      </c>
      <c r="V1855" t="str">
        <f>IF(OR(U1855="",U1855="ERRO_CHAVE"),"",IFERROR(MATCH(U1855,Fornecedores!$AF$1:$AF$6631,0),""))</f>
        <v/>
      </c>
      <c r="W1855" t="str">
        <f t="shared" si="3"/>
        <v/>
      </c>
      <c r="X1855" s="4" t="str">
        <f>IF(V1855="","",INDEX(Fornecedores!$X$1:$X$6631,V1855))</f>
        <v/>
      </c>
      <c r="Y1855" s="4" t="str">
        <f t="shared" si="4"/>
        <v/>
      </c>
    </row>
    <row r="1856" spans="19:25">
      <c r="S1856" t="str">
        <f t="shared" si="0"/>
        <v/>
      </c>
      <c r="T1856" t="str">
        <f t="shared" si="1"/>
        <v/>
      </c>
      <c r="U1856" t="str">
        <f t="shared" si="2"/>
        <v/>
      </c>
      <c r="V1856" t="str">
        <f>IF(OR(U1856="",U1856="ERRO_CHAVE"),"",IFERROR(MATCH(U1856,Fornecedores!$AF$1:$AF$6631,0),""))</f>
        <v/>
      </c>
      <c r="W1856" t="str">
        <f t="shared" si="3"/>
        <v/>
      </c>
      <c r="X1856" s="4" t="str">
        <f>IF(V1856="","",INDEX(Fornecedores!$X$1:$X$6631,V1856))</f>
        <v/>
      </c>
      <c r="Y1856" s="4" t="str">
        <f t="shared" si="4"/>
        <v/>
      </c>
    </row>
    <row r="1857" spans="19:25">
      <c r="S1857" t="str">
        <f t="shared" si="0"/>
        <v/>
      </c>
      <c r="T1857" t="str">
        <f t="shared" si="1"/>
        <v/>
      </c>
      <c r="U1857" t="str">
        <f t="shared" si="2"/>
        <v/>
      </c>
      <c r="V1857" t="str">
        <f>IF(OR(U1857="",U1857="ERRO_CHAVE"),"",IFERROR(MATCH(U1857,Fornecedores!$AF$1:$AF$6631,0),""))</f>
        <v/>
      </c>
      <c r="W1857" t="str">
        <f t="shared" si="3"/>
        <v/>
      </c>
      <c r="X1857" s="4" t="str">
        <f>IF(V1857="","",INDEX(Fornecedores!$X$1:$X$6631,V1857))</f>
        <v/>
      </c>
      <c r="Y1857" s="4" t="str">
        <f t="shared" si="4"/>
        <v/>
      </c>
    </row>
    <row r="1858" spans="19:25">
      <c r="S1858" t="str">
        <f t="shared" si="0"/>
        <v/>
      </c>
      <c r="T1858" t="str">
        <f t="shared" si="1"/>
        <v/>
      </c>
      <c r="U1858" t="str">
        <f t="shared" si="2"/>
        <v/>
      </c>
      <c r="V1858" t="str">
        <f>IF(OR(U1858="",U1858="ERRO_CHAVE"),"",IFERROR(MATCH(U1858,Fornecedores!$AF$1:$AF$6631,0),""))</f>
        <v/>
      </c>
      <c r="W1858" t="str">
        <f t="shared" si="3"/>
        <v/>
      </c>
      <c r="X1858" s="4" t="str">
        <f>IF(V1858="","",INDEX(Fornecedores!$X$1:$X$6631,V1858))</f>
        <v/>
      </c>
      <c r="Y1858" s="4" t="str">
        <f t="shared" si="4"/>
        <v/>
      </c>
    </row>
    <row r="1859" spans="19:25">
      <c r="S1859" t="str">
        <f t="shared" si="0"/>
        <v/>
      </c>
      <c r="T1859" t="str">
        <f t="shared" si="1"/>
        <v/>
      </c>
      <c r="U1859" t="str">
        <f t="shared" si="2"/>
        <v/>
      </c>
      <c r="V1859" t="str">
        <f>IF(OR(U1859="",U1859="ERRO_CHAVE"),"",IFERROR(MATCH(U1859,Fornecedores!$AF$1:$AF$6631,0),""))</f>
        <v/>
      </c>
      <c r="W1859" t="str">
        <f t="shared" si="3"/>
        <v/>
      </c>
      <c r="X1859" s="4" t="str">
        <f>IF(V1859="","",INDEX(Fornecedores!$X$1:$X$6631,V1859))</f>
        <v/>
      </c>
      <c r="Y1859" s="4" t="str">
        <f t="shared" si="4"/>
        <v/>
      </c>
    </row>
    <row r="1860" spans="19:25">
      <c r="S1860" t="str">
        <f t="shared" si="0"/>
        <v/>
      </c>
      <c r="T1860" t="str">
        <f t="shared" si="1"/>
        <v/>
      </c>
      <c r="U1860" t="str">
        <f t="shared" si="2"/>
        <v/>
      </c>
      <c r="V1860" t="str">
        <f>IF(OR(U1860="",U1860="ERRO_CHAVE"),"",IFERROR(MATCH(U1860,Fornecedores!$AF$1:$AF$6631,0),""))</f>
        <v/>
      </c>
      <c r="W1860" t="str">
        <f t="shared" si="3"/>
        <v/>
      </c>
      <c r="X1860" s="4" t="str">
        <f>IF(V1860="","",INDEX(Fornecedores!$X$1:$X$6631,V1860))</f>
        <v/>
      </c>
      <c r="Y1860" s="4" t="str">
        <f t="shared" si="4"/>
        <v/>
      </c>
    </row>
    <row r="1861" spans="19:25">
      <c r="S1861" t="str">
        <f t="shared" si="0"/>
        <v/>
      </c>
      <c r="T1861" t="str">
        <f t="shared" si="1"/>
        <v/>
      </c>
      <c r="U1861" t="str">
        <f t="shared" si="2"/>
        <v/>
      </c>
      <c r="V1861" t="str">
        <f>IF(OR(U1861="",U1861="ERRO_CHAVE"),"",IFERROR(MATCH(U1861,Fornecedores!$AF$1:$AF$6631,0),""))</f>
        <v/>
      </c>
      <c r="W1861" t="str">
        <f t="shared" si="3"/>
        <v/>
      </c>
      <c r="X1861" s="4" t="str">
        <f>IF(V1861="","",INDEX(Fornecedores!$X$1:$X$6631,V1861))</f>
        <v/>
      </c>
      <c r="Y1861" s="4" t="str">
        <f t="shared" si="4"/>
        <v/>
      </c>
    </row>
    <row r="1862" spans="19:25">
      <c r="S1862" t="str">
        <f t="shared" si="0"/>
        <v/>
      </c>
      <c r="T1862" t="str">
        <f t="shared" si="1"/>
        <v/>
      </c>
      <c r="U1862" t="str">
        <f t="shared" si="2"/>
        <v/>
      </c>
      <c r="V1862" t="str">
        <f>IF(OR(U1862="",U1862="ERRO_CHAVE"),"",IFERROR(MATCH(U1862,Fornecedores!$AF$1:$AF$6631,0),""))</f>
        <v/>
      </c>
      <c r="W1862" t="str">
        <f t="shared" si="3"/>
        <v/>
      </c>
      <c r="X1862" s="4" t="str">
        <f>IF(V1862="","",INDEX(Fornecedores!$X$1:$X$6631,V1862))</f>
        <v/>
      </c>
      <c r="Y1862" s="4" t="str">
        <f t="shared" si="4"/>
        <v/>
      </c>
    </row>
    <row r="1863" spans="19:25">
      <c r="S1863" t="str">
        <f t="shared" si="0"/>
        <v/>
      </c>
      <c r="T1863" t="str">
        <f t="shared" si="1"/>
        <v/>
      </c>
      <c r="U1863" t="str">
        <f t="shared" si="2"/>
        <v/>
      </c>
      <c r="V1863" t="str">
        <f>IF(OR(U1863="",U1863="ERRO_CHAVE"),"",IFERROR(MATCH(U1863,Fornecedores!$AF$1:$AF$6631,0),""))</f>
        <v/>
      </c>
      <c r="W1863" t="str">
        <f t="shared" si="3"/>
        <v/>
      </c>
      <c r="X1863" s="4" t="str">
        <f>IF(V1863="","",INDEX(Fornecedores!$X$1:$X$6631,V1863))</f>
        <v/>
      </c>
      <c r="Y1863" s="4" t="str">
        <f t="shared" si="4"/>
        <v/>
      </c>
    </row>
    <row r="1864" spans="19:25">
      <c r="S1864" t="str">
        <f t="shared" si="0"/>
        <v/>
      </c>
      <c r="T1864" t="str">
        <f t="shared" si="1"/>
        <v/>
      </c>
      <c r="U1864" t="str">
        <f t="shared" si="2"/>
        <v/>
      </c>
      <c r="V1864" t="str">
        <f>IF(OR(U1864="",U1864="ERRO_CHAVE"),"",IFERROR(MATCH(U1864,Fornecedores!$AF$1:$AF$6631,0),""))</f>
        <v/>
      </c>
      <c r="W1864" t="str">
        <f t="shared" si="3"/>
        <v/>
      </c>
      <c r="X1864" s="4" t="str">
        <f>IF(V1864="","",INDEX(Fornecedores!$X$1:$X$6631,V1864))</f>
        <v/>
      </c>
      <c r="Y1864" s="4" t="str">
        <f t="shared" si="4"/>
        <v/>
      </c>
    </row>
    <row r="1865" spans="19:25">
      <c r="S1865" t="str">
        <f t="shared" si="0"/>
        <v/>
      </c>
      <c r="T1865" t="str">
        <f t="shared" si="1"/>
        <v/>
      </c>
      <c r="U1865" t="str">
        <f t="shared" si="2"/>
        <v/>
      </c>
      <c r="V1865" t="str">
        <f>IF(OR(U1865="",U1865="ERRO_CHAVE"),"",IFERROR(MATCH(U1865,Fornecedores!$AF$1:$AF$6631,0),""))</f>
        <v/>
      </c>
      <c r="W1865" t="str">
        <f t="shared" si="3"/>
        <v/>
      </c>
      <c r="X1865" s="4" t="str">
        <f>IF(V1865="","",INDEX(Fornecedores!$X$1:$X$6631,V1865))</f>
        <v/>
      </c>
      <c r="Y1865" s="4" t="str">
        <f t="shared" si="4"/>
        <v/>
      </c>
    </row>
    <row r="1866" spans="19:25">
      <c r="S1866" t="str">
        <f t="shared" si="0"/>
        <v/>
      </c>
      <c r="T1866" t="str">
        <f t="shared" si="1"/>
        <v/>
      </c>
      <c r="U1866" t="str">
        <f t="shared" si="2"/>
        <v/>
      </c>
      <c r="V1866" t="str">
        <f>IF(OR(U1866="",U1866="ERRO_CHAVE"),"",IFERROR(MATCH(U1866,Fornecedores!$AF$1:$AF$6631,0),""))</f>
        <v/>
      </c>
      <c r="W1866" t="str">
        <f t="shared" si="3"/>
        <v/>
      </c>
      <c r="X1866" s="4" t="str">
        <f>IF(V1866="","",INDEX(Fornecedores!$X$1:$X$6631,V1866))</f>
        <v/>
      </c>
      <c r="Y1866" s="4" t="str">
        <f t="shared" si="4"/>
        <v/>
      </c>
    </row>
    <row r="1867" spans="19:25">
      <c r="S1867" t="str">
        <f t="shared" si="0"/>
        <v/>
      </c>
      <c r="T1867" t="str">
        <f t="shared" si="1"/>
        <v/>
      </c>
      <c r="U1867" t="str">
        <f t="shared" si="2"/>
        <v/>
      </c>
      <c r="V1867" t="str">
        <f>IF(OR(U1867="",U1867="ERRO_CHAVE"),"",IFERROR(MATCH(U1867,Fornecedores!$AF$1:$AF$6631,0),""))</f>
        <v/>
      </c>
      <c r="W1867" t="str">
        <f t="shared" si="3"/>
        <v/>
      </c>
      <c r="X1867" s="4" t="str">
        <f>IF(V1867="","",INDEX(Fornecedores!$X$1:$X$6631,V1867))</f>
        <v/>
      </c>
      <c r="Y1867" s="4" t="str">
        <f t="shared" si="4"/>
        <v/>
      </c>
    </row>
    <row r="1868" spans="19:25">
      <c r="S1868" t="str">
        <f t="shared" si="0"/>
        <v/>
      </c>
      <c r="T1868" t="str">
        <f t="shared" si="1"/>
        <v/>
      </c>
      <c r="U1868" t="str">
        <f t="shared" si="2"/>
        <v/>
      </c>
      <c r="V1868" t="str">
        <f>IF(OR(U1868="",U1868="ERRO_CHAVE"),"",IFERROR(MATCH(U1868,Fornecedores!$AF$1:$AF$6631,0),""))</f>
        <v/>
      </c>
      <c r="W1868" t="str">
        <f t="shared" si="3"/>
        <v/>
      </c>
      <c r="X1868" s="4" t="str">
        <f>IF(V1868="","",INDEX(Fornecedores!$X$1:$X$6631,V1868))</f>
        <v/>
      </c>
      <c r="Y1868" s="4" t="str">
        <f t="shared" si="4"/>
        <v/>
      </c>
    </row>
    <row r="1869" spans="19:25">
      <c r="S1869" t="str">
        <f t="shared" si="0"/>
        <v/>
      </c>
      <c r="T1869" t="str">
        <f t="shared" si="1"/>
        <v/>
      </c>
      <c r="U1869" t="str">
        <f t="shared" si="2"/>
        <v/>
      </c>
      <c r="V1869" t="str">
        <f>IF(OR(U1869="",U1869="ERRO_CHAVE"),"",IFERROR(MATCH(U1869,Fornecedores!$AF$1:$AF$6631,0),""))</f>
        <v/>
      </c>
      <c r="W1869" t="str">
        <f t="shared" si="3"/>
        <v/>
      </c>
      <c r="X1869" s="4" t="str">
        <f>IF(V1869="","",INDEX(Fornecedores!$X$1:$X$6631,V1869))</f>
        <v/>
      </c>
      <c r="Y1869" s="4" t="str">
        <f t="shared" si="4"/>
        <v/>
      </c>
    </row>
    <row r="1870" spans="19:25">
      <c r="S1870" t="str">
        <f t="shared" si="0"/>
        <v/>
      </c>
      <c r="T1870" t="str">
        <f t="shared" si="1"/>
        <v/>
      </c>
      <c r="U1870" t="str">
        <f t="shared" si="2"/>
        <v/>
      </c>
      <c r="V1870" t="str">
        <f>IF(OR(U1870="",U1870="ERRO_CHAVE"),"",IFERROR(MATCH(U1870,Fornecedores!$AF$1:$AF$6631,0),""))</f>
        <v/>
      </c>
      <c r="W1870" t="str">
        <f t="shared" si="3"/>
        <v/>
      </c>
      <c r="X1870" s="4" t="str">
        <f>IF(V1870="","",INDEX(Fornecedores!$X$1:$X$6631,V1870))</f>
        <v/>
      </c>
      <c r="Y1870" s="4" t="str">
        <f t="shared" si="4"/>
        <v/>
      </c>
    </row>
    <row r="1871" spans="19:25">
      <c r="S1871" t="str">
        <f t="shared" si="0"/>
        <v/>
      </c>
      <c r="T1871" t="str">
        <f t="shared" si="1"/>
        <v/>
      </c>
      <c r="U1871" t="str">
        <f t="shared" si="2"/>
        <v/>
      </c>
      <c r="V1871" t="str">
        <f>IF(OR(U1871="",U1871="ERRO_CHAVE"),"",IFERROR(MATCH(U1871,Fornecedores!$AF$1:$AF$6631,0),""))</f>
        <v/>
      </c>
      <c r="W1871" t="str">
        <f t="shared" si="3"/>
        <v/>
      </c>
      <c r="X1871" s="4" t="str">
        <f>IF(V1871="","",INDEX(Fornecedores!$X$1:$X$6631,V1871))</f>
        <v/>
      </c>
      <c r="Y1871" s="4" t="str">
        <f t="shared" si="4"/>
        <v/>
      </c>
    </row>
    <row r="1872" spans="19:25">
      <c r="S1872" t="str">
        <f t="shared" si="0"/>
        <v/>
      </c>
      <c r="T1872" t="str">
        <f t="shared" si="1"/>
        <v/>
      </c>
      <c r="U1872" t="str">
        <f t="shared" si="2"/>
        <v/>
      </c>
      <c r="V1872" t="str">
        <f>IF(OR(U1872="",U1872="ERRO_CHAVE"),"",IFERROR(MATCH(U1872,Fornecedores!$AF$1:$AF$6631,0),""))</f>
        <v/>
      </c>
      <c r="W1872" t="str">
        <f t="shared" si="3"/>
        <v/>
      </c>
      <c r="X1872" s="4" t="str">
        <f>IF(V1872="","",INDEX(Fornecedores!$X$1:$X$6631,V1872))</f>
        <v/>
      </c>
      <c r="Y1872" s="4" t="str">
        <f t="shared" si="4"/>
        <v/>
      </c>
    </row>
    <row r="1873" spans="19:25">
      <c r="S1873" t="str">
        <f t="shared" si="0"/>
        <v/>
      </c>
      <c r="T1873" t="str">
        <f t="shared" si="1"/>
        <v/>
      </c>
      <c r="U1873" t="str">
        <f t="shared" si="2"/>
        <v/>
      </c>
      <c r="V1873" t="str">
        <f>IF(OR(U1873="",U1873="ERRO_CHAVE"),"",IFERROR(MATCH(U1873,Fornecedores!$AF$1:$AF$6631,0),""))</f>
        <v/>
      </c>
      <c r="W1873" t="str">
        <f t="shared" si="3"/>
        <v/>
      </c>
      <c r="X1873" s="4" t="str">
        <f>IF(V1873="","",INDEX(Fornecedores!$X$1:$X$6631,V1873))</f>
        <v/>
      </c>
      <c r="Y1873" s="4" t="str">
        <f t="shared" si="4"/>
        <v/>
      </c>
    </row>
    <row r="1874" spans="19:25">
      <c r="S1874" t="str">
        <f t="shared" si="0"/>
        <v/>
      </c>
      <c r="T1874" t="str">
        <f t="shared" si="1"/>
        <v/>
      </c>
      <c r="U1874" t="str">
        <f t="shared" si="2"/>
        <v/>
      </c>
      <c r="V1874" t="str">
        <f>IF(OR(U1874="",U1874="ERRO_CHAVE"),"",IFERROR(MATCH(U1874,Fornecedores!$AF$1:$AF$6631,0),""))</f>
        <v/>
      </c>
      <c r="W1874" t="str">
        <f t="shared" si="3"/>
        <v/>
      </c>
      <c r="X1874" s="4" t="str">
        <f>IF(V1874="","",INDEX(Fornecedores!$X$1:$X$6631,V1874))</f>
        <v/>
      </c>
      <c r="Y1874" s="4" t="str">
        <f t="shared" si="4"/>
        <v/>
      </c>
    </row>
    <row r="1875" spans="19:25">
      <c r="S1875" t="str">
        <f t="shared" si="0"/>
        <v/>
      </c>
      <c r="T1875" t="str">
        <f t="shared" si="1"/>
        <v/>
      </c>
      <c r="U1875" t="str">
        <f t="shared" si="2"/>
        <v/>
      </c>
      <c r="V1875" t="str">
        <f>IF(OR(U1875="",U1875="ERRO_CHAVE"),"",IFERROR(MATCH(U1875,Fornecedores!$AF$1:$AF$6631,0),""))</f>
        <v/>
      </c>
      <c r="W1875" t="str">
        <f t="shared" si="3"/>
        <v/>
      </c>
      <c r="X1875" s="4" t="str">
        <f>IF(V1875="","",INDEX(Fornecedores!$X$1:$X$6631,V1875))</f>
        <v/>
      </c>
      <c r="Y1875" s="4" t="str">
        <f t="shared" si="4"/>
        <v/>
      </c>
    </row>
    <row r="1876" spans="19:25">
      <c r="S1876" t="str">
        <f t="shared" si="0"/>
        <v/>
      </c>
      <c r="T1876" t="str">
        <f t="shared" si="1"/>
        <v/>
      </c>
      <c r="U1876" t="str">
        <f t="shared" si="2"/>
        <v/>
      </c>
      <c r="V1876" t="str">
        <f>IF(OR(U1876="",U1876="ERRO_CHAVE"),"",IFERROR(MATCH(U1876,Fornecedores!$AF$1:$AF$6631,0),""))</f>
        <v/>
      </c>
      <c r="W1876" t="str">
        <f t="shared" si="3"/>
        <v/>
      </c>
      <c r="X1876" s="4" t="str">
        <f>IF(V1876="","",INDEX(Fornecedores!$X$1:$X$6631,V1876))</f>
        <v/>
      </c>
      <c r="Y1876" s="4" t="str">
        <f t="shared" si="4"/>
        <v/>
      </c>
    </row>
    <row r="1877" spans="19:25">
      <c r="S1877" t="str">
        <f t="shared" si="0"/>
        <v/>
      </c>
      <c r="T1877" t="str">
        <f t="shared" si="1"/>
        <v/>
      </c>
      <c r="U1877" t="str">
        <f t="shared" si="2"/>
        <v/>
      </c>
      <c r="V1877" t="str">
        <f>IF(OR(U1877="",U1877="ERRO_CHAVE"),"",IFERROR(MATCH(U1877,Fornecedores!$AF$1:$AF$6631,0),""))</f>
        <v/>
      </c>
      <c r="W1877" t="str">
        <f t="shared" si="3"/>
        <v/>
      </c>
      <c r="X1877" s="4" t="str">
        <f>IF(V1877="","",INDEX(Fornecedores!$X$1:$X$6631,V1877))</f>
        <v/>
      </c>
      <c r="Y1877" s="4" t="str">
        <f t="shared" si="4"/>
        <v/>
      </c>
    </row>
    <row r="1878" spans="19:25">
      <c r="S1878" t="str">
        <f t="shared" si="0"/>
        <v/>
      </c>
      <c r="T1878" t="str">
        <f t="shared" si="1"/>
        <v/>
      </c>
      <c r="U1878" t="str">
        <f t="shared" si="2"/>
        <v/>
      </c>
      <c r="V1878" t="str">
        <f>IF(OR(U1878="",U1878="ERRO_CHAVE"),"",IFERROR(MATCH(U1878,Fornecedores!$AF$1:$AF$6631,0),""))</f>
        <v/>
      </c>
      <c r="W1878" t="str">
        <f t="shared" si="3"/>
        <v/>
      </c>
      <c r="X1878" s="4" t="str">
        <f>IF(V1878="","",INDEX(Fornecedores!$X$1:$X$6631,V1878))</f>
        <v/>
      </c>
      <c r="Y1878" s="4" t="str">
        <f t="shared" si="4"/>
        <v/>
      </c>
    </row>
    <row r="1879" spans="19:25">
      <c r="S1879" t="str">
        <f t="shared" si="0"/>
        <v/>
      </c>
      <c r="T1879" t="str">
        <f t="shared" si="1"/>
        <v/>
      </c>
      <c r="U1879" t="str">
        <f t="shared" si="2"/>
        <v/>
      </c>
      <c r="V1879" t="str">
        <f>IF(OR(U1879="",U1879="ERRO_CHAVE"),"",IFERROR(MATCH(U1879,Fornecedores!$AF$1:$AF$6631,0),""))</f>
        <v/>
      </c>
      <c r="W1879" t="str">
        <f t="shared" si="3"/>
        <v/>
      </c>
      <c r="X1879" s="4" t="str">
        <f>IF(V1879="","",INDEX(Fornecedores!$X$1:$X$6631,V1879))</f>
        <v/>
      </c>
      <c r="Y1879" s="4" t="str">
        <f t="shared" si="4"/>
        <v/>
      </c>
    </row>
    <row r="1880" spans="19:25">
      <c r="S1880" t="str">
        <f t="shared" si="0"/>
        <v/>
      </c>
      <c r="T1880" t="str">
        <f t="shared" si="1"/>
        <v/>
      </c>
      <c r="U1880" t="str">
        <f t="shared" si="2"/>
        <v/>
      </c>
      <c r="V1880" t="str">
        <f>IF(OR(U1880="",U1880="ERRO_CHAVE"),"",IFERROR(MATCH(U1880,Fornecedores!$AF$1:$AF$6631,0),""))</f>
        <v/>
      </c>
      <c r="W1880" t="str">
        <f t="shared" si="3"/>
        <v/>
      </c>
      <c r="X1880" s="4" t="str">
        <f>IF(V1880="","",INDEX(Fornecedores!$X$1:$X$6631,V1880))</f>
        <v/>
      </c>
      <c r="Y1880" s="4" t="str">
        <f t="shared" si="4"/>
        <v/>
      </c>
    </row>
    <row r="1881" spans="19:25">
      <c r="S1881" t="str">
        <f t="shared" si="0"/>
        <v/>
      </c>
      <c r="T1881" t="str">
        <f t="shared" si="1"/>
        <v/>
      </c>
      <c r="U1881" t="str">
        <f t="shared" si="2"/>
        <v/>
      </c>
      <c r="V1881" t="str">
        <f>IF(OR(U1881="",U1881="ERRO_CHAVE"),"",IFERROR(MATCH(U1881,Fornecedores!$AF$1:$AF$6631,0),""))</f>
        <v/>
      </c>
      <c r="W1881" t="str">
        <f t="shared" si="3"/>
        <v/>
      </c>
      <c r="X1881" s="4" t="str">
        <f>IF(V1881="","",INDEX(Fornecedores!$X$1:$X$6631,V1881))</f>
        <v/>
      </c>
      <c r="Y1881" s="4" t="str">
        <f t="shared" si="4"/>
        <v/>
      </c>
    </row>
    <row r="1882" spans="19:25">
      <c r="S1882" t="str">
        <f t="shared" si="0"/>
        <v/>
      </c>
      <c r="T1882" t="str">
        <f t="shared" si="1"/>
        <v/>
      </c>
      <c r="U1882" t="str">
        <f t="shared" si="2"/>
        <v/>
      </c>
      <c r="V1882" t="str">
        <f>IF(OR(U1882="",U1882="ERRO_CHAVE"),"",IFERROR(MATCH(U1882,Fornecedores!$AF$1:$AF$6631,0),""))</f>
        <v/>
      </c>
      <c r="W1882" t="str">
        <f t="shared" si="3"/>
        <v/>
      </c>
      <c r="X1882" s="4" t="str">
        <f>IF(V1882="","",INDEX(Fornecedores!$X$1:$X$6631,V1882))</f>
        <v/>
      </c>
      <c r="Y1882" s="4" t="str">
        <f t="shared" si="4"/>
        <v/>
      </c>
    </row>
    <row r="1883" spans="19:25">
      <c r="S1883" t="str">
        <f t="shared" si="0"/>
        <v/>
      </c>
      <c r="T1883" t="str">
        <f t="shared" si="1"/>
        <v/>
      </c>
      <c r="U1883" t="str">
        <f t="shared" si="2"/>
        <v/>
      </c>
      <c r="V1883" t="str">
        <f>IF(OR(U1883="",U1883="ERRO_CHAVE"),"",IFERROR(MATCH(U1883,Fornecedores!$AF$1:$AF$6631,0),""))</f>
        <v/>
      </c>
      <c r="W1883" t="str">
        <f t="shared" si="3"/>
        <v/>
      </c>
      <c r="X1883" s="4" t="str">
        <f>IF(V1883="","",INDEX(Fornecedores!$X$1:$X$6631,V1883))</f>
        <v/>
      </c>
      <c r="Y1883" s="4" t="str">
        <f t="shared" si="4"/>
        <v/>
      </c>
    </row>
    <row r="1884" spans="19:25">
      <c r="S1884" t="str">
        <f t="shared" si="0"/>
        <v/>
      </c>
      <c r="T1884" t="str">
        <f t="shared" si="1"/>
        <v/>
      </c>
      <c r="U1884" t="str">
        <f t="shared" si="2"/>
        <v/>
      </c>
      <c r="V1884" t="str">
        <f>IF(OR(U1884="",U1884="ERRO_CHAVE"),"",IFERROR(MATCH(U1884,Fornecedores!$AF$1:$AF$6631,0),""))</f>
        <v/>
      </c>
      <c r="W1884" t="str">
        <f t="shared" si="3"/>
        <v/>
      </c>
      <c r="X1884" s="4" t="str">
        <f>IF(V1884="","",INDEX(Fornecedores!$X$1:$X$6631,V1884))</f>
        <v/>
      </c>
      <c r="Y1884" s="4" t="str">
        <f t="shared" si="4"/>
        <v/>
      </c>
    </row>
    <row r="1885" spans="19:25">
      <c r="S1885" t="str">
        <f t="shared" si="0"/>
        <v/>
      </c>
      <c r="T1885" t="str">
        <f t="shared" si="1"/>
        <v/>
      </c>
      <c r="U1885" t="str">
        <f t="shared" si="2"/>
        <v/>
      </c>
      <c r="V1885" t="str">
        <f>IF(OR(U1885="",U1885="ERRO_CHAVE"),"",IFERROR(MATCH(U1885,Fornecedores!$AF$1:$AF$6631,0),""))</f>
        <v/>
      </c>
      <c r="W1885" t="str">
        <f t="shared" si="3"/>
        <v/>
      </c>
      <c r="X1885" s="4" t="str">
        <f>IF(V1885="","",INDEX(Fornecedores!$X$1:$X$6631,V1885))</f>
        <v/>
      </c>
      <c r="Y1885" s="4" t="str">
        <f t="shared" si="4"/>
        <v/>
      </c>
    </row>
    <row r="1886" spans="19:25">
      <c r="S1886" t="str">
        <f t="shared" si="0"/>
        <v/>
      </c>
      <c r="T1886" t="str">
        <f t="shared" si="1"/>
        <v/>
      </c>
      <c r="U1886" t="str">
        <f t="shared" si="2"/>
        <v/>
      </c>
      <c r="V1886" t="str">
        <f>IF(OR(U1886="",U1886="ERRO_CHAVE"),"",IFERROR(MATCH(U1886,Fornecedores!$AF$1:$AF$6631,0),""))</f>
        <v/>
      </c>
      <c r="W1886" t="str">
        <f t="shared" si="3"/>
        <v/>
      </c>
      <c r="X1886" s="4" t="str">
        <f>IF(V1886="","",INDEX(Fornecedores!$X$1:$X$6631,V1886))</f>
        <v/>
      </c>
      <c r="Y1886" s="4" t="str">
        <f t="shared" si="4"/>
        <v/>
      </c>
    </row>
    <row r="1887" spans="19:25">
      <c r="S1887" t="str">
        <f t="shared" si="0"/>
        <v/>
      </c>
      <c r="T1887" t="str">
        <f t="shared" si="1"/>
        <v/>
      </c>
      <c r="U1887" t="str">
        <f t="shared" si="2"/>
        <v/>
      </c>
      <c r="V1887" t="str">
        <f>IF(OR(U1887="",U1887="ERRO_CHAVE"),"",IFERROR(MATCH(U1887,Fornecedores!$AF$1:$AF$6631,0),""))</f>
        <v/>
      </c>
      <c r="W1887" t="str">
        <f t="shared" si="3"/>
        <v/>
      </c>
      <c r="X1887" s="4" t="str">
        <f>IF(V1887="","",INDEX(Fornecedores!$X$1:$X$6631,V1887))</f>
        <v/>
      </c>
      <c r="Y1887" s="4" t="str">
        <f t="shared" si="4"/>
        <v/>
      </c>
    </row>
    <row r="1888" spans="19:25">
      <c r="S1888" t="str">
        <f t="shared" si="0"/>
        <v/>
      </c>
      <c r="T1888" t="str">
        <f t="shared" si="1"/>
        <v/>
      </c>
      <c r="U1888" t="str">
        <f t="shared" si="2"/>
        <v/>
      </c>
      <c r="V1888" t="str">
        <f>IF(OR(U1888="",U1888="ERRO_CHAVE"),"",IFERROR(MATCH(U1888,Fornecedores!$AF$1:$AF$6631,0),""))</f>
        <v/>
      </c>
      <c r="W1888" t="str">
        <f t="shared" si="3"/>
        <v/>
      </c>
      <c r="X1888" s="4" t="str">
        <f>IF(V1888="","",INDEX(Fornecedores!$X$1:$X$6631,V1888))</f>
        <v/>
      </c>
      <c r="Y1888" s="4" t="str">
        <f t="shared" si="4"/>
        <v/>
      </c>
    </row>
    <row r="1889" spans="19:25">
      <c r="S1889" t="str">
        <f t="shared" si="0"/>
        <v/>
      </c>
      <c r="T1889" t="str">
        <f t="shared" si="1"/>
        <v/>
      </c>
      <c r="U1889" t="str">
        <f t="shared" si="2"/>
        <v/>
      </c>
      <c r="V1889" t="str">
        <f>IF(OR(U1889="",U1889="ERRO_CHAVE"),"",IFERROR(MATCH(U1889,Fornecedores!$AF$1:$AF$6631,0),""))</f>
        <v/>
      </c>
      <c r="W1889" t="str">
        <f t="shared" si="3"/>
        <v/>
      </c>
      <c r="X1889" s="4" t="str">
        <f>IF(V1889="","",INDEX(Fornecedores!$X$1:$X$6631,V1889))</f>
        <v/>
      </c>
      <c r="Y1889" s="4" t="str">
        <f t="shared" si="4"/>
        <v/>
      </c>
    </row>
    <row r="1890" spans="19:25">
      <c r="S1890" t="str">
        <f t="shared" si="0"/>
        <v/>
      </c>
      <c r="T1890" t="str">
        <f t="shared" si="1"/>
        <v/>
      </c>
      <c r="U1890" t="str">
        <f t="shared" si="2"/>
        <v/>
      </c>
      <c r="V1890" t="str">
        <f>IF(OR(U1890="",U1890="ERRO_CHAVE"),"",IFERROR(MATCH(U1890,Fornecedores!$AF$1:$AF$6631,0),""))</f>
        <v/>
      </c>
      <c r="W1890" t="str">
        <f t="shared" si="3"/>
        <v/>
      </c>
      <c r="X1890" s="4" t="str">
        <f>IF(V1890="","",INDEX(Fornecedores!$X$1:$X$6631,V1890))</f>
        <v/>
      </c>
      <c r="Y1890" s="4" t="str">
        <f t="shared" si="4"/>
        <v/>
      </c>
    </row>
    <row r="1891" spans="19:25">
      <c r="S1891" t="str">
        <f t="shared" si="0"/>
        <v/>
      </c>
      <c r="T1891" t="str">
        <f t="shared" si="1"/>
        <v/>
      </c>
      <c r="U1891" t="str">
        <f t="shared" si="2"/>
        <v/>
      </c>
      <c r="V1891" t="str">
        <f>IF(OR(U1891="",U1891="ERRO_CHAVE"),"",IFERROR(MATCH(U1891,Fornecedores!$AF$1:$AF$6631,0),""))</f>
        <v/>
      </c>
      <c r="W1891" t="str">
        <f t="shared" si="3"/>
        <v/>
      </c>
      <c r="X1891" s="4" t="str">
        <f>IF(V1891="","",INDEX(Fornecedores!$X$1:$X$6631,V1891))</f>
        <v/>
      </c>
      <c r="Y1891" s="4" t="str">
        <f t="shared" si="4"/>
        <v/>
      </c>
    </row>
    <row r="1892" spans="19:25">
      <c r="S1892" t="str">
        <f t="shared" si="0"/>
        <v/>
      </c>
      <c r="T1892" t="str">
        <f t="shared" si="1"/>
        <v/>
      </c>
      <c r="U1892" t="str">
        <f t="shared" si="2"/>
        <v/>
      </c>
      <c r="V1892" t="str">
        <f>IF(OR(U1892="",U1892="ERRO_CHAVE"),"",IFERROR(MATCH(U1892,Fornecedores!$AF$1:$AF$6631,0),""))</f>
        <v/>
      </c>
      <c r="W1892" t="str">
        <f t="shared" si="3"/>
        <v/>
      </c>
      <c r="X1892" s="4" t="str">
        <f>IF(V1892="","",INDEX(Fornecedores!$X$1:$X$6631,V1892))</f>
        <v/>
      </c>
      <c r="Y1892" s="4" t="str">
        <f t="shared" si="4"/>
        <v/>
      </c>
    </row>
    <row r="1893" spans="19:25">
      <c r="S1893" t="str">
        <f t="shared" si="0"/>
        <v/>
      </c>
      <c r="T1893" t="str">
        <f t="shared" si="1"/>
        <v/>
      </c>
      <c r="U1893" t="str">
        <f t="shared" si="2"/>
        <v/>
      </c>
      <c r="V1893" t="str">
        <f>IF(OR(U1893="",U1893="ERRO_CHAVE"),"",IFERROR(MATCH(U1893,Fornecedores!$AF$1:$AF$6631,0),""))</f>
        <v/>
      </c>
      <c r="W1893" t="str">
        <f t="shared" si="3"/>
        <v/>
      </c>
      <c r="X1893" s="4" t="str">
        <f>IF(V1893="","",INDEX(Fornecedores!$X$1:$X$6631,V1893))</f>
        <v/>
      </c>
      <c r="Y1893" s="4" t="str">
        <f t="shared" si="4"/>
        <v/>
      </c>
    </row>
    <row r="1894" spans="19:25">
      <c r="S1894" t="str">
        <f t="shared" si="0"/>
        <v/>
      </c>
      <c r="T1894" t="str">
        <f t="shared" si="1"/>
        <v/>
      </c>
      <c r="U1894" t="str">
        <f t="shared" si="2"/>
        <v/>
      </c>
      <c r="V1894" t="str">
        <f>IF(OR(U1894="",U1894="ERRO_CHAVE"),"",IFERROR(MATCH(U1894,Fornecedores!$AF$1:$AF$6631,0),""))</f>
        <v/>
      </c>
      <c r="W1894" t="str">
        <f t="shared" si="3"/>
        <v/>
      </c>
      <c r="X1894" s="4" t="str">
        <f>IF(V1894="","",INDEX(Fornecedores!$X$1:$X$6631,V1894))</f>
        <v/>
      </c>
      <c r="Y1894" s="4" t="str">
        <f t="shared" si="4"/>
        <v/>
      </c>
    </row>
    <row r="1895" spans="19:25">
      <c r="S1895" t="str">
        <f t="shared" si="0"/>
        <v/>
      </c>
      <c r="T1895" t="str">
        <f t="shared" si="1"/>
        <v/>
      </c>
      <c r="U1895" t="str">
        <f t="shared" si="2"/>
        <v/>
      </c>
      <c r="V1895" t="str">
        <f>IF(OR(U1895="",U1895="ERRO_CHAVE"),"",IFERROR(MATCH(U1895,Fornecedores!$AF$1:$AF$6631,0),""))</f>
        <v/>
      </c>
      <c r="W1895" t="str">
        <f t="shared" si="3"/>
        <v/>
      </c>
      <c r="X1895" s="4" t="str">
        <f>IF(V1895="","",INDEX(Fornecedores!$X$1:$X$6631,V1895))</f>
        <v/>
      </c>
      <c r="Y1895" s="4" t="str">
        <f t="shared" si="4"/>
        <v/>
      </c>
    </row>
    <row r="1896" spans="19:25">
      <c r="S1896" t="str">
        <f t="shared" si="0"/>
        <v/>
      </c>
      <c r="T1896" t="str">
        <f t="shared" si="1"/>
        <v/>
      </c>
      <c r="U1896" t="str">
        <f t="shared" si="2"/>
        <v/>
      </c>
      <c r="V1896" t="str">
        <f>IF(OR(U1896="",U1896="ERRO_CHAVE"),"",IFERROR(MATCH(U1896,Fornecedores!$AF$1:$AF$6631,0),""))</f>
        <v/>
      </c>
      <c r="W1896" t="str">
        <f t="shared" si="3"/>
        <v/>
      </c>
      <c r="X1896" s="4" t="str">
        <f>IF(V1896="","",INDEX(Fornecedores!$X$1:$X$6631,V1896))</f>
        <v/>
      </c>
      <c r="Y1896" s="4" t="str">
        <f t="shared" si="4"/>
        <v/>
      </c>
    </row>
    <row r="1897" spans="19:25">
      <c r="S1897" t="str">
        <f t="shared" si="0"/>
        <v/>
      </c>
      <c r="T1897" t="str">
        <f t="shared" si="1"/>
        <v/>
      </c>
      <c r="U1897" t="str">
        <f t="shared" si="2"/>
        <v/>
      </c>
      <c r="V1897" t="str">
        <f>IF(OR(U1897="",U1897="ERRO_CHAVE"),"",IFERROR(MATCH(U1897,Fornecedores!$AF$1:$AF$6631,0),""))</f>
        <v/>
      </c>
      <c r="W1897" t="str">
        <f t="shared" si="3"/>
        <v/>
      </c>
      <c r="X1897" s="4" t="str">
        <f>IF(V1897="","",INDEX(Fornecedores!$X$1:$X$6631,V1897))</f>
        <v/>
      </c>
      <c r="Y1897" s="4" t="str">
        <f t="shared" si="4"/>
        <v/>
      </c>
    </row>
    <row r="1898" spans="19:25">
      <c r="S1898" t="str">
        <f t="shared" si="0"/>
        <v/>
      </c>
      <c r="T1898" t="str">
        <f t="shared" si="1"/>
        <v/>
      </c>
      <c r="U1898" t="str">
        <f t="shared" si="2"/>
        <v/>
      </c>
      <c r="V1898" t="str">
        <f>IF(OR(U1898="",U1898="ERRO_CHAVE"),"",IFERROR(MATCH(U1898,Fornecedores!$AF$1:$AF$6631,0),""))</f>
        <v/>
      </c>
      <c r="W1898" t="str">
        <f t="shared" si="3"/>
        <v/>
      </c>
      <c r="X1898" s="4" t="str">
        <f>IF(V1898="","",INDEX(Fornecedores!$X$1:$X$6631,V1898))</f>
        <v/>
      </c>
      <c r="Y1898" s="4" t="str">
        <f t="shared" si="4"/>
        <v/>
      </c>
    </row>
    <row r="1899" spans="19:25">
      <c r="S1899" t="str">
        <f t="shared" si="0"/>
        <v/>
      </c>
      <c r="T1899" t="str">
        <f t="shared" si="1"/>
        <v/>
      </c>
      <c r="U1899" t="str">
        <f t="shared" si="2"/>
        <v/>
      </c>
      <c r="V1899" t="str">
        <f>IF(OR(U1899="",U1899="ERRO_CHAVE"),"",IFERROR(MATCH(U1899,Fornecedores!$AF$1:$AF$6631,0),""))</f>
        <v/>
      </c>
      <c r="W1899" t="str">
        <f t="shared" si="3"/>
        <v/>
      </c>
      <c r="X1899" s="4" t="str">
        <f>IF(V1899="","",INDEX(Fornecedores!$X$1:$X$6631,V1899))</f>
        <v/>
      </c>
      <c r="Y1899" s="4" t="str">
        <f t="shared" si="4"/>
        <v/>
      </c>
    </row>
    <row r="1900" spans="19:25">
      <c r="S1900" t="str">
        <f t="shared" si="0"/>
        <v/>
      </c>
      <c r="T1900" t="str">
        <f t="shared" si="1"/>
        <v/>
      </c>
      <c r="U1900" t="str">
        <f t="shared" si="2"/>
        <v/>
      </c>
      <c r="V1900" t="str">
        <f>IF(OR(U1900="",U1900="ERRO_CHAVE"),"",IFERROR(MATCH(U1900,Fornecedores!$AF$1:$AF$6631,0),""))</f>
        <v/>
      </c>
      <c r="W1900" t="str">
        <f t="shared" si="3"/>
        <v/>
      </c>
      <c r="X1900" s="4" t="str">
        <f>IF(V1900="","",INDEX(Fornecedores!$X$1:$X$6631,V1900))</f>
        <v/>
      </c>
      <c r="Y1900" s="4" t="str">
        <f t="shared" si="4"/>
        <v/>
      </c>
    </row>
    <row r="1901" spans="19:25">
      <c r="S1901" t="str">
        <f t="shared" si="0"/>
        <v/>
      </c>
      <c r="T1901" t="str">
        <f t="shared" si="1"/>
        <v/>
      </c>
      <c r="U1901" t="str">
        <f t="shared" si="2"/>
        <v/>
      </c>
      <c r="V1901" t="str">
        <f>IF(OR(U1901="",U1901="ERRO_CHAVE"),"",IFERROR(MATCH(U1901,Fornecedores!$AF$1:$AF$6631,0),""))</f>
        <v/>
      </c>
      <c r="W1901" t="str">
        <f t="shared" si="3"/>
        <v/>
      </c>
      <c r="X1901" s="4" t="str">
        <f>IF(V1901="","",INDEX(Fornecedores!$X$1:$X$6631,V1901))</f>
        <v/>
      </c>
      <c r="Y1901" s="4" t="str">
        <f t="shared" si="4"/>
        <v/>
      </c>
    </row>
    <row r="1902" spans="19:25">
      <c r="S1902" t="str">
        <f t="shared" si="0"/>
        <v/>
      </c>
      <c r="T1902" t="str">
        <f t="shared" si="1"/>
        <v/>
      </c>
      <c r="U1902" t="str">
        <f t="shared" si="2"/>
        <v/>
      </c>
      <c r="V1902" t="str">
        <f>IF(OR(U1902="",U1902="ERRO_CHAVE"),"",IFERROR(MATCH(U1902,Fornecedores!$AF$1:$AF$6631,0),""))</f>
        <v/>
      </c>
      <c r="W1902" t="str">
        <f t="shared" si="3"/>
        <v/>
      </c>
      <c r="X1902" s="4" t="str">
        <f>IF(V1902="","",INDEX(Fornecedores!$X$1:$X$6631,V1902))</f>
        <v/>
      </c>
      <c r="Y1902" s="4" t="str">
        <f t="shared" si="4"/>
        <v/>
      </c>
    </row>
    <row r="1903" spans="19:25">
      <c r="S1903" t="str">
        <f t="shared" si="0"/>
        <v/>
      </c>
      <c r="T1903" t="str">
        <f t="shared" si="1"/>
        <v/>
      </c>
      <c r="U1903" t="str">
        <f t="shared" si="2"/>
        <v/>
      </c>
      <c r="V1903" t="str">
        <f>IF(OR(U1903="",U1903="ERRO_CHAVE"),"",IFERROR(MATCH(U1903,Fornecedores!$AF$1:$AF$6631,0),""))</f>
        <v/>
      </c>
      <c r="W1903" t="str">
        <f t="shared" si="3"/>
        <v/>
      </c>
      <c r="X1903" s="4" t="str">
        <f>IF(V1903="","",INDEX(Fornecedores!$X$1:$X$6631,V1903))</f>
        <v/>
      </c>
      <c r="Y1903" s="4" t="str">
        <f t="shared" si="4"/>
        <v/>
      </c>
    </row>
    <row r="1904" spans="19:25">
      <c r="S1904" t="str">
        <f t="shared" si="0"/>
        <v/>
      </c>
      <c r="T1904" t="str">
        <f t="shared" si="1"/>
        <v/>
      </c>
      <c r="U1904" t="str">
        <f t="shared" si="2"/>
        <v/>
      </c>
      <c r="V1904" t="str">
        <f>IF(OR(U1904="",U1904="ERRO_CHAVE"),"",IFERROR(MATCH(U1904,Fornecedores!$AF$1:$AF$6631,0),""))</f>
        <v/>
      </c>
      <c r="W1904" t="str">
        <f t="shared" si="3"/>
        <v/>
      </c>
      <c r="X1904" s="4" t="str">
        <f>IF(V1904="","",INDEX(Fornecedores!$X$1:$X$6631,V1904))</f>
        <v/>
      </c>
      <c r="Y1904" s="4" t="str">
        <f t="shared" si="4"/>
        <v/>
      </c>
    </row>
    <row r="1905" spans="19:25">
      <c r="S1905" t="str">
        <f t="shared" si="0"/>
        <v/>
      </c>
      <c r="T1905" t="str">
        <f t="shared" si="1"/>
        <v/>
      </c>
      <c r="U1905" t="str">
        <f t="shared" si="2"/>
        <v/>
      </c>
      <c r="V1905" t="str">
        <f>IF(OR(U1905="",U1905="ERRO_CHAVE"),"",IFERROR(MATCH(U1905,Fornecedores!$AF$1:$AF$6631,0),""))</f>
        <v/>
      </c>
      <c r="W1905" t="str">
        <f t="shared" si="3"/>
        <v/>
      </c>
      <c r="X1905" s="4" t="str">
        <f>IF(V1905="","",INDEX(Fornecedores!$X$1:$X$6631,V1905))</f>
        <v/>
      </c>
      <c r="Y1905" s="4" t="str">
        <f t="shared" si="4"/>
        <v/>
      </c>
    </row>
    <row r="1906" spans="19:25">
      <c r="S1906" t="str">
        <f t="shared" si="0"/>
        <v/>
      </c>
      <c r="T1906" t="str">
        <f t="shared" si="1"/>
        <v/>
      </c>
      <c r="U1906" t="str">
        <f t="shared" si="2"/>
        <v/>
      </c>
      <c r="V1906" t="str">
        <f>IF(OR(U1906="",U1906="ERRO_CHAVE"),"",IFERROR(MATCH(U1906,Fornecedores!$AF$1:$AF$6631,0),""))</f>
        <v/>
      </c>
      <c r="W1906" t="str">
        <f t="shared" si="3"/>
        <v/>
      </c>
      <c r="X1906" s="4" t="str">
        <f>IF(V1906="","",INDEX(Fornecedores!$X$1:$X$6631,V1906))</f>
        <v/>
      </c>
      <c r="Y1906" s="4" t="str">
        <f t="shared" si="4"/>
        <v/>
      </c>
    </row>
    <row r="1907" spans="19:25">
      <c r="S1907" t="str">
        <f t="shared" si="0"/>
        <v/>
      </c>
      <c r="T1907" t="str">
        <f t="shared" si="1"/>
        <v/>
      </c>
      <c r="U1907" t="str">
        <f t="shared" si="2"/>
        <v/>
      </c>
      <c r="V1907" t="str">
        <f>IF(OR(U1907="",U1907="ERRO_CHAVE"),"",IFERROR(MATCH(U1907,Fornecedores!$AF$1:$AF$6631,0),""))</f>
        <v/>
      </c>
      <c r="W1907" t="str">
        <f t="shared" si="3"/>
        <v/>
      </c>
      <c r="X1907" s="4" t="str">
        <f>IF(V1907="","",INDEX(Fornecedores!$X$1:$X$6631,V1907))</f>
        <v/>
      </c>
      <c r="Y1907" s="4" t="str">
        <f t="shared" si="4"/>
        <v/>
      </c>
    </row>
    <row r="1908" spans="19:25">
      <c r="S1908" t="str">
        <f t="shared" si="0"/>
        <v/>
      </c>
      <c r="T1908" t="str">
        <f t="shared" si="1"/>
        <v/>
      </c>
      <c r="U1908" t="str">
        <f t="shared" si="2"/>
        <v/>
      </c>
      <c r="V1908" t="str">
        <f>IF(OR(U1908="",U1908="ERRO_CHAVE"),"",IFERROR(MATCH(U1908,Fornecedores!$AF$1:$AF$6631,0),""))</f>
        <v/>
      </c>
      <c r="W1908" t="str">
        <f t="shared" si="3"/>
        <v/>
      </c>
      <c r="X1908" s="4" t="str">
        <f>IF(V1908="","",INDEX(Fornecedores!$X$1:$X$6631,V1908))</f>
        <v/>
      </c>
      <c r="Y1908" s="4" t="str">
        <f t="shared" si="4"/>
        <v/>
      </c>
    </row>
    <row r="1909" spans="19:25">
      <c r="S1909" t="str">
        <f t="shared" si="0"/>
        <v/>
      </c>
      <c r="T1909" t="str">
        <f t="shared" si="1"/>
        <v/>
      </c>
      <c r="U1909" t="str">
        <f t="shared" si="2"/>
        <v/>
      </c>
      <c r="V1909" t="str">
        <f>IF(OR(U1909="",U1909="ERRO_CHAVE"),"",IFERROR(MATCH(U1909,Fornecedores!$AF$1:$AF$6631,0),""))</f>
        <v/>
      </c>
      <c r="W1909" t="str">
        <f t="shared" si="3"/>
        <v/>
      </c>
      <c r="X1909" s="4" t="str">
        <f>IF(V1909="","",INDEX(Fornecedores!$X$1:$X$6631,V1909))</f>
        <v/>
      </c>
      <c r="Y1909" s="4" t="str">
        <f t="shared" si="4"/>
        <v/>
      </c>
    </row>
    <row r="1910" spans="19:25">
      <c r="S1910" t="str">
        <f t="shared" si="0"/>
        <v/>
      </c>
      <c r="T1910" t="str">
        <f t="shared" si="1"/>
        <v/>
      </c>
      <c r="U1910" t="str">
        <f t="shared" si="2"/>
        <v/>
      </c>
      <c r="V1910" t="str">
        <f>IF(OR(U1910="",U1910="ERRO_CHAVE"),"",IFERROR(MATCH(U1910,Fornecedores!$AF$1:$AF$6631,0),""))</f>
        <v/>
      </c>
      <c r="W1910" t="str">
        <f t="shared" si="3"/>
        <v/>
      </c>
      <c r="X1910" s="4" t="str">
        <f>IF(V1910="","",INDEX(Fornecedores!$X$1:$X$6631,V1910))</f>
        <v/>
      </c>
      <c r="Y1910" s="4" t="str">
        <f t="shared" si="4"/>
        <v/>
      </c>
    </row>
    <row r="1911" spans="19:25">
      <c r="S1911" t="str">
        <f t="shared" si="0"/>
        <v/>
      </c>
      <c r="T1911" t="str">
        <f t="shared" si="1"/>
        <v/>
      </c>
      <c r="U1911" t="str">
        <f t="shared" si="2"/>
        <v/>
      </c>
      <c r="V1911" t="str">
        <f>IF(OR(U1911="",U1911="ERRO_CHAVE"),"",IFERROR(MATCH(U1911,Fornecedores!$AF$1:$AF$6631,0),""))</f>
        <v/>
      </c>
      <c r="W1911" t="str">
        <f t="shared" si="3"/>
        <v/>
      </c>
      <c r="X1911" s="4" t="str">
        <f>IF(V1911="","",INDEX(Fornecedores!$X$1:$X$6631,V1911))</f>
        <v/>
      </c>
      <c r="Y1911" s="4" t="str">
        <f t="shared" si="4"/>
        <v/>
      </c>
    </row>
    <row r="1912" spans="19:25">
      <c r="S1912" t="str">
        <f t="shared" si="0"/>
        <v/>
      </c>
      <c r="T1912" t="str">
        <f t="shared" si="1"/>
        <v/>
      </c>
      <c r="U1912" t="str">
        <f t="shared" si="2"/>
        <v/>
      </c>
      <c r="V1912" t="str">
        <f>IF(OR(U1912="",U1912="ERRO_CHAVE"),"",IFERROR(MATCH(U1912,Fornecedores!$AF$1:$AF$6631,0),""))</f>
        <v/>
      </c>
      <c r="W1912" t="str">
        <f t="shared" si="3"/>
        <v/>
      </c>
      <c r="X1912" s="4" t="str">
        <f>IF(V1912="","",INDEX(Fornecedores!$X$1:$X$6631,V1912))</f>
        <v/>
      </c>
      <c r="Y1912" s="4" t="str">
        <f t="shared" si="4"/>
        <v/>
      </c>
    </row>
    <row r="1913" spans="19:25">
      <c r="S1913" t="str">
        <f t="shared" si="0"/>
        <v/>
      </c>
      <c r="T1913" t="str">
        <f t="shared" si="1"/>
        <v/>
      </c>
      <c r="U1913" t="str">
        <f t="shared" si="2"/>
        <v/>
      </c>
      <c r="V1913" t="str">
        <f>IF(OR(U1913="",U1913="ERRO_CHAVE"),"",IFERROR(MATCH(U1913,Fornecedores!$AF$1:$AF$6631,0),""))</f>
        <v/>
      </c>
      <c r="W1913" t="str">
        <f t="shared" si="3"/>
        <v/>
      </c>
      <c r="X1913" s="4" t="str">
        <f>IF(V1913="","",INDEX(Fornecedores!$X$1:$X$6631,V1913))</f>
        <v/>
      </c>
      <c r="Y1913" s="4" t="str">
        <f t="shared" si="4"/>
        <v/>
      </c>
    </row>
    <row r="1914" spans="19:25">
      <c r="S1914" t="str">
        <f t="shared" si="0"/>
        <v/>
      </c>
      <c r="T1914" t="str">
        <f t="shared" si="1"/>
        <v/>
      </c>
      <c r="U1914" t="str">
        <f t="shared" si="2"/>
        <v/>
      </c>
      <c r="V1914" t="str">
        <f>IF(OR(U1914="",U1914="ERRO_CHAVE"),"",IFERROR(MATCH(U1914,Fornecedores!$AF$1:$AF$6631,0),""))</f>
        <v/>
      </c>
      <c r="W1914" t="str">
        <f t="shared" si="3"/>
        <v/>
      </c>
      <c r="X1914" s="4" t="str">
        <f>IF(V1914="","",INDEX(Fornecedores!$X$1:$X$6631,V1914))</f>
        <v/>
      </c>
      <c r="Y1914" s="4" t="str">
        <f t="shared" si="4"/>
        <v/>
      </c>
    </row>
    <row r="1915" spans="19:25">
      <c r="S1915" t="str">
        <f t="shared" si="0"/>
        <v/>
      </c>
      <c r="T1915" t="str">
        <f t="shared" si="1"/>
        <v/>
      </c>
      <c r="U1915" t="str">
        <f t="shared" si="2"/>
        <v/>
      </c>
      <c r="V1915" t="str">
        <f>IF(OR(U1915="",U1915="ERRO_CHAVE"),"",IFERROR(MATCH(U1915,Fornecedores!$AF$1:$AF$6631,0),""))</f>
        <v/>
      </c>
      <c r="W1915" t="str">
        <f t="shared" si="3"/>
        <v/>
      </c>
      <c r="X1915" s="4" t="str">
        <f>IF(V1915="","",INDEX(Fornecedores!$X$1:$X$6631,V1915))</f>
        <v/>
      </c>
      <c r="Y1915" s="4" t="str">
        <f t="shared" si="4"/>
        <v/>
      </c>
    </row>
    <row r="1916" spans="19:25">
      <c r="S1916" t="str">
        <f t="shared" si="0"/>
        <v/>
      </c>
      <c r="T1916" t="str">
        <f t="shared" si="1"/>
        <v/>
      </c>
      <c r="U1916" t="str">
        <f t="shared" si="2"/>
        <v/>
      </c>
      <c r="V1916" t="str">
        <f>IF(OR(U1916="",U1916="ERRO_CHAVE"),"",IFERROR(MATCH(U1916,Fornecedores!$AF$1:$AF$6631,0),""))</f>
        <v/>
      </c>
      <c r="W1916" t="str">
        <f t="shared" si="3"/>
        <v/>
      </c>
      <c r="X1916" s="4" t="str">
        <f>IF(V1916="","",INDEX(Fornecedores!$X$1:$X$6631,V1916))</f>
        <v/>
      </c>
      <c r="Y1916" s="4" t="str">
        <f t="shared" si="4"/>
        <v/>
      </c>
    </row>
    <row r="1917" spans="19:25">
      <c r="S1917" t="str">
        <f t="shared" si="0"/>
        <v/>
      </c>
      <c r="T1917" t="str">
        <f t="shared" si="1"/>
        <v/>
      </c>
      <c r="U1917" t="str">
        <f t="shared" si="2"/>
        <v/>
      </c>
      <c r="V1917" t="str">
        <f>IF(OR(U1917="",U1917="ERRO_CHAVE"),"",IFERROR(MATCH(U1917,Fornecedores!$AF$1:$AF$6631,0),""))</f>
        <v/>
      </c>
      <c r="W1917" t="str">
        <f t="shared" si="3"/>
        <v/>
      </c>
      <c r="X1917" s="4" t="str">
        <f>IF(V1917="","",INDEX(Fornecedores!$X$1:$X$6631,V1917))</f>
        <v/>
      </c>
      <c r="Y1917" s="4" t="str">
        <f t="shared" si="4"/>
        <v/>
      </c>
    </row>
    <row r="1918" spans="19:25">
      <c r="S1918" t="str">
        <f t="shared" si="0"/>
        <v/>
      </c>
      <c r="T1918" t="str">
        <f t="shared" si="1"/>
        <v/>
      </c>
      <c r="U1918" t="str">
        <f t="shared" si="2"/>
        <v/>
      </c>
      <c r="V1918" t="str">
        <f>IF(OR(U1918="",U1918="ERRO_CHAVE"),"",IFERROR(MATCH(U1918,Fornecedores!$AF$1:$AF$6631,0),""))</f>
        <v/>
      </c>
      <c r="W1918" t="str">
        <f t="shared" si="3"/>
        <v/>
      </c>
      <c r="X1918" s="4" t="str">
        <f>IF(V1918="","",INDEX(Fornecedores!$X$1:$X$6631,V1918))</f>
        <v/>
      </c>
      <c r="Y1918" s="4" t="str">
        <f t="shared" si="4"/>
        <v/>
      </c>
    </row>
    <row r="1919" spans="19:25">
      <c r="S1919" t="str">
        <f t="shared" si="0"/>
        <v/>
      </c>
      <c r="T1919" t="str">
        <f t="shared" si="1"/>
        <v/>
      </c>
      <c r="U1919" t="str">
        <f t="shared" si="2"/>
        <v/>
      </c>
      <c r="V1919" t="str">
        <f>IF(OR(U1919="",U1919="ERRO_CHAVE"),"",IFERROR(MATCH(U1919,Fornecedores!$AF$1:$AF$6631,0),""))</f>
        <v/>
      </c>
      <c r="W1919" t="str">
        <f t="shared" si="3"/>
        <v/>
      </c>
      <c r="X1919" s="4" t="str">
        <f>IF(V1919="","",INDEX(Fornecedores!$X$1:$X$6631,V1919))</f>
        <v/>
      </c>
      <c r="Y1919" s="4" t="str">
        <f t="shared" si="4"/>
        <v/>
      </c>
    </row>
    <row r="1920" spans="19:25">
      <c r="S1920" t="str">
        <f t="shared" si="0"/>
        <v/>
      </c>
      <c r="T1920" t="str">
        <f t="shared" si="1"/>
        <v/>
      </c>
      <c r="U1920" t="str">
        <f t="shared" si="2"/>
        <v/>
      </c>
      <c r="V1920" t="str">
        <f>IF(OR(U1920="",U1920="ERRO_CHAVE"),"",IFERROR(MATCH(U1920,Fornecedores!$AF$1:$AF$6631,0),""))</f>
        <v/>
      </c>
      <c r="W1920" t="str">
        <f t="shared" si="3"/>
        <v/>
      </c>
      <c r="X1920" s="4" t="str">
        <f>IF(V1920="","",INDEX(Fornecedores!$X$1:$X$6631,V1920))</f>
        <v/>
      </c>
      <c r="Y1920" s="4" t="str">
        <f t="shared" si="4"/>
        <v/>
      </c>
    </row>
    <row r="1921" spans="19:25">
      <c r="S1921" t="str">
        <f t="shared" si="0"/>
        <v/>
      </c>
      <c r="T1921" t="str">
        <f t="shared" si="1"/>
        <v/>
      </c>
      <c r="U1921" t="str">
        <f t="shared" si="2"/>
        <v/>
      </c>
      <c r="V1921" t="str">
        <f>IF(OR(U1921="",U1921="ERRO_CHAVE"),"",IFERROR(MATCH(U1921,Fornecedores!$AF$1:$AF$6631,0),""))</f>
        <v/>
      </c>
      <c r="W1921" t="str">
        <f t="shared" si="3"/>
        <v/>
      </c>
      <c r="X1921" s="4" t="str">
        <f>IF(V1921="","",INDEX(Fornecedores!$X$1:$X$6631,V1921))</f>
        <v/>
      </c>
      <c r="Y1921" s="4" t="str">
        <f t="shared" si="4"/>
        <v/>
      </c>
    </row>
    <row r="1922" spans="19:25">
      <c r="S1922" t="str">
        <f t="shared" si="0"/>
        <v/>
      </c>
      <c r="T1922" t="str">
        <f t="shared" si="1"/>
        <v/>
      </c>
      <c r="U1922" t="str">
        <f t="shared" si="2"/>
        <v/>
      </c>
      <c r="V1922" t="str">
        <f>IF(OR(U1922="",U1922="ERRO_CHAVE"),"",IFERROR(MATCH(U1922,Fornecedores!$AF$1:$AF$6631,0),""))</f>
        <v/>
      </c>
      <c r="W1922" t="str">
        <f t="shared" si="3"/>
        <v/>
      </c>
      <c r="X1922" s="4" t="str">
        <f>IF(V1922="","",INDEX(Fornecedores!$X$1:$X$6631,V1922))</f>
        <v/>
      </c>
      <c r="Y1922" s="4" t="str">
        <f t="shared" si="4"/>
        <v/>
      </c>
    </row>
    <row r="1923" spans="19:25">
      <c r="S1923" t="str">
        <f t="shared" si="0"/>
        <v/>
      </c>
      <c r="T1923" t="str">
        <f t="shared" si="1"/>
        <v/>
      </c>
      <c r="U1923" t="str">
        <f t="shared" si="2"/>
        <v/>
      </c>
      <c r="V1923" t="str">
        <f>IF(OR(U1923="",U1923="ERRO_CHAVE"),"",IFERROR(MATCH(U1923,Fornecedores!$AF$1:$AF$6631,0),""))</f>
        <v/>
      </c>
      <c r="W1923" t="str">
        <f t="shared" si="3"/>
        <v/>
      </c>
      <c r="X1923" s="4" t="str">
        <f>IF(V1923="","",INDEX(Fornecedores!$X$1:$X$6631,V1923))</f>
        <v/>
      </c>
      <c r="Y1923" s="4" t="str">
        <f t="shared" si="4"/>
        <v/>
      </c>
    </row>
    <row r="1924" spans="19:25">
      <c r="S1924" t="str">
        <f t="shared" si="0"/>
        <v/>
      </c>
      <c r="T1924" t="str">
        <f t="shared" si="1"/>
        <v/>
      </c>
      <c r="U1924" t="str">
        <f t="shared" si="2"/>
        <v/>
      </c>
      <c r="V1924" t="str">
        <f>IF(OR(U1924="",U1924="ERRO_CHAVE"),"",IFERROR(MATCH(U1924,Fornecedores!$AF$1:$AF$6631,0),""))</f>
        <v/>
      </c>
      <c r="W1924" t="str">
        <f t="shared" si="3"/>
        <v/>
      </c>
      <c r="X1924" s="4" t="str">
        <f>IF(V1924="","",INDEX(Fornecedores!$X$1:$X$6631,V1924))</f>
        <v/>
      </c>
      <c r="Y1924" s="4" t="str">
        <f t="shared" si="4"/>
        <v/>
      </c>
    </row>
    <row r="1925" spans="19:25">
      <c r="S1925" t="str">
        <f t="shared" si="0"/>
        <v/>
      </c>
      <c r="T1925" t="str">
        <f t="shared" si="1"/>
        <v/>
      </c>
      <c r="U1925" t="str">
        <f t="shared" si="2"/>
        <v/>
      </c>
      <c r="V1925" t="str">
        <f>IF(OR(U1925="",U1925="ERRO_CHAVE"),"",IFERROR(MATCH(U1925,Fornecedores!$AF$1:$AF$6631,0),""))</f>
        <v/>
      </c>
      <c r="W1925" t="str">
        <f t="shared" si="3"/>
        <v/>
      </c>
      <c r="X1925" s="4" t="str">
        <f>IF(V1925="","",INDEX(Fornecedores!$X$1:$X$6631,V1925))</f>
        <v/>
      </c>
      <c r="Y1925" s="4" t="str">
        <f t="shared" si="4"/>
        <v/>
      </c>
    </row>
    <row r="1926" spans="19:25">
      <c r="S1926" t="str">
        <f t="shared" si="0"/>
        <v/>
      </c>
      <c r="T1926" t="str">
        <f t="shared" si="1"/>
        <v/>
      </c>
      <c r="U1926" t="str">
        <f t="shared" si="2"/>
        <v/>
      </c>
      <c r="V1926" t="str">
        <f>IF(OR(U1926="",U1926="ERRO_CHAVE"),"",IFERROR(MATCH(U1926,Fornecedores!$AF$1:$AF$6631,0),""))</f>
        <v/>
      </c>
      <c r="W1926" t="str">
        <f t="shared" si="3"/>
        <v/>
      </c>
      <c r="X1926" s="4" t="str">
        <f>IF(V1926="","",INDEX(Fornecedores!$X$1:$X$6631,V1926))</f>
        <v/>
      </c>
      <c r="Y1926" s="4" t="str">
        <f t="shared" si="4"/>
        <v/>
      </c>
    </row>
    <row r="1927" spans="19:25">
      <c r="S1927" t="str">
        <f t="shared" si="0"/>
        <v/>
      </c>
      <c r="T1927" t="str">
        <f t="shared" si="1"/>
        <v/>
      </c>
      <c r="U1927" t="str">
        <f t="shared" si="2"/>
        <v/>
      </c>
      <c r="V1927" t="str">
        <f>IF(OR(U1927="",U1927="ERRO_CHAVE"),"",IFERROR(MATCH(U1927,Fornecedores!$AF$1:$AF$6631,0),""))</f>
        <v/>
      </c>
      <c r="W1927" t="str">
        <f t="shared" si="3"/>
        <v/>
      </c>
      <c r="X1927" s="4" t="str">
        <f>IF(V1927="","",INDEX(Fornecedores!$X$1:$X$6631,V1927))</f>
        <v/>
      </c>
      <c r="Y1927" s="4" t="str">
        <f t="shared" si="4"/>
        <v/>
      </c>
    </row>
    <row r="1928" spans="19:25">
      <c r="S1928" t="str">
        <f t="shared" si="0"/>
        <v/>
      </c>
      <c r="T1928" t="str">
        <f t="shared" si="1"/>
        <v/>
      </c>
      <c r="U1928" t="str">
        <f t="shared" si="2"/>
        <v/>
      </c>
      <c r="V1928" t="str">
        <f>IF(OR(U1928="",U1928="ERRO_CHAVE"),"",IFERROR(MATCH(U1928,Fornecedores!$AF$1:$AF$6631,0),""))</f>
        <v/>
      </c>
      <c r="W1928" t="str">
        <f t="shared" si="3"/>
        <v/>
      </c>
      <c r="X1928" s="4" t="str">
        <f>IF(V1928="","",INDEX(Fornecedores!$X$1:$X$6631,V1928))</f>
        <v/>
      </c>
      <c r="Y1928" s="4" t="str">
        <f t="shared" si="4"/>
        <v/>
      </c>
    </row>
    <row r="1929" spans="19:25">
      <c r="S1929" t="str">
        <f t="shared" si="0"/>
        <v/>
      </c>
      <c r="T1929" t="str">
        <f t="shared" si="1"/>
        <v/>
      </c>
      <c r="U1929" t="str">
        <f t="shared" si="2"/>
        <v/>
      </c>
      <c r="V1929" t="str">
        <f>IF(OR(U1929="",U1929="ERRO_CHAVE"),"",IFERROR(MATCH(U1929,Fornecedores!$AF$1:$AF$6631,0),""))</f>
        <v/>
      </c>
      <c r="W1929" t="str">
        <f t="shared" si="3"/>
        <v/>
      </c>
      <c r="X1929" s="4" t="str">
        <f>IF(V1929="","",INDEX(Fornecedores!$X$1:$X$6631,V1929))</f>
        <v/>
      </c>
      <c r="Y1929" s="4" t="str">
        <f t="shared" si="4"/>
        <v/>
      </c>
    </row>
    <row r="1930" spans="19:25">
      <c r="S1930" t="str">
        <f t="shared" si="0"/>
        <v/>
      </c>
      <c r="T1930" t="str">
        <f t="shared" si="1"/>
        <v/>
      </c>
      <c r="U1930" t="str">
        <f t="shared" si="2"/>
        <v/>
      </c>
      <c r="V1930" t="str">
        <f>IF(OR(U1930="",U1930="ERRO_CHAVE"),"",IFERROR(MATCH(U1930,Fornecedores!$AF$1:$AF$6631,0),""))</f>
        <v/>
      </c>
      <c r="W1930" t="str">
        <f t="shared" si="3"/>
        <v/>
      </c>
      <c r="X1930" s="4" t="str">
        <f>IF(V1930="","",INDEX(Fornecedores!$X$1:$X$6631,V1930))</f>
        <v/>
      </c>
      <c r="Y1930" s="4" t="str">
        <f t="shared" si="4"/>
        <v/>
      </c>
    </row>
    <row r="1931" spans="19:25">
      <c r="S1931" t="str">
        <f t="shared" si="0"/>
        <v/>
      </c>
      <c r="T1931" t="str">
        <f t="shared" si="1"/>
        <v/>
      </c>
      <c r="U1931" t="str">
        <f t="shared" si="2"/>
        <v/>
      </c>
      <c r="V1931" t="str">
        <f>IF(OR(U1931="",U1931="ERRO_CHAVE"),"",IFERROR(MATCH(U1931,Fornecedores!$AF$1:$AF$6631,0),""))</f>
        <v/>
      </c>
      <c r="W1931" t="str">
        <f t="shared" si="3"/>
        <v/>
      </c>
      <c r="X1931" s="4" t="str">
        <f>IF(V1931="","",INDEX(Fornecedores!$X$1:$X$6631,V1931))</f>
        <v/>
      </c>
      <c r="Y1931" s="4" t="str">
        <f t="shared" si="4"/>
        <v/>
      </c>
    </row>
    <row r="1932" spans="19:25">
      <c r="S1932" t="str">
        <f t="shared" si="0"/>
        <v/>
      </c>
      <c r="T1932" t="str">
        <f t="shared" si="1"/>
        <v/>
      </c>
      <c r="U1932" t="str">
        <f t="shared" si="2"/>
        <v/>
      </c>
      <c r="V1932" t="str">
        <f>IF(OR(U1932="",U1932="ERRO_CHAVE"),"",IFERROR(MATCH(U1932,Fornecedores!$AF$1:$AF$6631,0),""))</f>
        <v/>
      </c>
      <c r="W1932" t="str">
        <f t="shared" si="3"/>
        <v/>
      </c>
      <c r="X1932" s="4" t="str">
        <f>IF(V1932="","",INDEX(Fornecedores!$X$1:$X$6631,V1932))</f>
        <v/>
      </c>
      <c r="Y1932" s="4" t="str">
        <f t="shared" si="4"/>
        <v/>
      </c>
    </row>
    <row r="1933" spans="19:25">
      <c r="S1933" t="str">
        <f t="shared" si="0"/>
        <v/>
      </c>
      <c r="T1933" t="str">
        <f t="shared" si="1"/>
        <v/>
      </c>
      <c r="U1933" t="str">
        <f t="shared" si="2"/>
        <v/>
      </c>
      <c r="V1933" t="str">
        <f>IF(OR(U1933="",U1933="ERRO_CHAVE"),"",IFERROR(MATCH(U1933,Fornecedores!$AF$1:$AF$6631,0),""))</f>
        <v/>
      </c>
      <c r="W1933" t="str">
        <f t="shared" si="3"/>
        <v/>
      </c>
      <c r="X1933" s="4" t="str">
        <f>IF(V1933="","",INDEX(Fornecedores!$X$1:$X$6631,V1933))</f>
        <v/>
      </c>
      <c r="Y1933" s="4" t="str">
        <f t="shared" si="4"/>
        <v/>
      </c>
    </row>
    <row r="1934" spans="19:25">
      <c r="S1934" t="str">
        <f t="shared" si="0"/>
        <v/>
      </c>
      <c r="T1934" t="str">
        <f t="shared" si="1"/>
        <v/>
      </c>
      <c r="U1934" t="str">
        <f t="shared" si="2"/>
        <v/>
      </c>
      <c r="V1934" t="str">
        <f>IF(OR(U1934="",U1934="ERRO_CHAVE"),"",IFERROR(MATCH(U1934,Fornecedores!$AF$1:$AF$6631,0),""))</f>
        <v/>
      </c>
      <c r="W1934" t="str">
        <f t="shared" si="3"/>
        <v/>
      </c>
      <c r="X1934" s="4" t="str">
        <f>IF(V1934="","",INDEX(Fornecedores!$X$1:$X$6631,V1934))</f>
        <v/>
      </c>
      <c r="Y1934" s="4" t="str">
        <f t="shared" si="4"/>
        <v/>
      </c>
    </row>
    <row r="1935" spans="19:25">
      <c r="S1935" t="str">
        <f t="shared" si="0"/>
        <v/>
      </c>
      <c r="T1935" t="str">
        <f t="shared" si="1"/>
        <v/>
      </c>
      <c r="U1935" t="str">
        <f t="shared" si="2"/>
        <v/>
      </c>
      <c r="V1935" t="str">
        <f>IF(OR(U1935="",U1935="ERRO_CHAVE"),"",IFERROR(MATCH(U1935,Fornecedores!$AF$1:$AF$6631,0),""))</f>
        <v/>
      </c>
      <c r="W1935" t="str">
        <f t="shared" si="3"/>
        <v/>
      </c>
      <c r="X1935" s="4" t="str">
        <f>IF(V1935="","",INDEX(Fornecedores!$X$1:$X$6631,V1935))</f>
        <v/>
      </c>
      <c r="Y1935" s="4" t="str">
        <f t="shared" si="4"/>
        <v/>
      </c>
    </row>
    <row r="1936" spans="19:25">
      <c r="S1936" t="str">
        <f t="shared" si="0"/>
        <v/>
      </c>
      <c r="T1936" t="str">
        <f t="shared" si="1"/>
        <v/>
      </c>
      <c r="U1936" t="str">
        <f t="shared" si="2"/>
        <v/>
      </c>
      <c r="V1936" t="str">
        <f>IF(OR(U1936="",U1936="ERRO_CHAVE"),"",IFERROR(MATCH(U1936,Fornecedores!$AF$1:$AF$6631,0),""))</f>
        <v/>
      </c>
      <c r="W1936" t="str">
        <f t="shared" si="3"/>
        <v/>
      </c>
      <c r="X1936" s="4" t="str">
        <f>IF(V1936="","",INDEX(Fornecedores!$X$1:$X$6631,V1936))</f>
        <v/>
      </c>
      <c r="Y1936" s="4" t="str">
        <f t="shared" si="4"/>
        <v/>
      </c>
    </row>
    <row r="1937" spans="19:25">
      <c r="S1937" t="str">
        <f t="shared" si="0"/>
        <v/>
      </c>
      <c r="T1937" t="str">
        <f t="shared" si="1"/>
        <v/>
      </c>
      <c r="U1937" t="str">
        <f t="shared" si="2"/>
        <v/>
      </c>
      <c r="V1937" t="str">
        <f>IF(OR(U1937="",U1937="ERRO_CHAVE"),"",IFERROR(MATCH(U1937,Fornecedores!$AF$1:$AF$6631,0),""))</f>
        <v/>
      </c>
      <c r="W1937" t="str">
        <f t="shared" si="3"/>
        <v/>
      </c>
      <c r="X1937" s="4" t="str">
        <f>IF(V1937="","",INDEX(Fornecedores!$X$1:$X$6631,V1937))</f>
        <v/>
      </c>
      <c r="Y1937" s="4" t="str">
        <f t="shared" si="4"/>
        <v/>
      </c>
    </row>
    <row r="1938" spans="19:25">
      <c r="S1938" t="str">
        <f t="shared" si="0"/>
        <v/>
      </c>
      <c r="T1938" t="str">
        <f t="shared" si="1"/>
        <v/>
      </c>
      <c r="U1938" t="str">
        <f t="shared" si="2"/>
        <v/>
      </c>
      <c r="V1938" t="str">
        <f>IF(OR(U1938="",U1938="ERRO_CHAVE"),"",IFERROR(MATCH(U1938,Fornecedores!$AF$1:$AF$6631,0),""))</f>
        <v/>
      </c>
      <c r="W1938" t="str">
        <f t="shared" si="3"/>
        <v/>
      </c>
      <c r="X1938" s="4" t="str">
        <f>IF(V1938="","",INDEX(Fornecedores!$X$1:$X$6631,V1938))</f>
        <v/>
      </c>
      <c r="Y1938" s="4" t="str">
        <f t="shared" si="4"/>
        <v/>
      </c>
    </row>
    <row r="1939" spans="19:25">
      <c r="S1939" t="str">
        <f t="shared" si="0"/>
        <v/>
      </c>
      <c r="T1939" t="str">
        <f t="shared" si="1"/>
        <v/>
      </c>
      <c r="U1939" t="str">
        <f t="shared" si="2"/>
        <v/>
      </c>
      <c r="V1939" t="str">
        <f>IF(OR(U1939="",U1939="ERRO_CHAVE"),"",IFERROR(MATCH(U1939,Fornecedores!$AF$1:$AF$6631,0),""))</f>
        <v/>
      </c>
      <c r="W1939" t="str">
        <f t="shared" si="3"/>
        <v/>
      </c>
      <c r="X1939" s="4" t="str">
        <f>IF(V1939="","",INDEX(Fornecedores!$X$1:$X$6631,V1939))</f>
        <v/>
      </c>
      <c r="Y1939" s="4" t="str">
        <f t="shared" si="4"/>
        <v/>
      </c>
    </row>
    <row r="1940" spans="19:25">
      <c r="S1940" t="str">
        <f t="shared" si="0"/>
        <v/>
      </c>
      <c r="T1940" t="str">
        <f t="shared" si="1"/>
        <v/>
      </c>
      <c r="U1940" t="str">
        <f t="shared" si="2"/>
        <v/>
      </c>
      <c r="V1940" t="str">
        <f>IF(OR(U1940="",U1940="ERRO_CHAVE"),"",IFERROR(MATCH(U1940,Fornecedores!$AF$1:$AF$6631,0),""))</f>
        <v/>
      </c>
      <c r="W1940" t="str">
        <f t="shared" si="3"/>
        <v/>
      </c>
      <c r="X1940" s="4" t="str">
        <f>IF(V1940="","",INDEX(Fornecedores!$X$1:$X$6631,V1940))</f>
        <v/>
      </c>
      <c r="Y1940" s="4" t="str">
        <f t="shared" si="4"/>
        <v/>
      </c>
    </row>
    <row r="1941" spans="19:25">
      <c r="S1941" t="str">
        <f t="shared" si="0"/>
        <v/>
      </c>
      <c r="T1941" t="str">
        <f t="shared" si="1"/>
        <v/>
      </c>
      <c r="U1941" t="str">
        <f t="shared" si="2"/>
        <v/>
      </c>
      <c r="V1941" t="str">
        <f>IF(OR(U1941="",U1941="ERRO_CHAVE"),"",IFERROR(MATCH(U1941,Fornecedores!$AF$1:$AF$6631,0),""))</f>
        <v/>
      </c>
      <c r="W1941" t="str">
        <f t="shared" si="3"/>
        <v/>
      </c>
      <c r="X1941" s="4" t="str">
        <f>IF(V1941="","",INDEX(Fornecedores!$X$1:$X$6631,V1941))</f>
        <v/>
      </c>
      <c r="Y1941" s="4" t="str">
        <f t="shared" si="4"/>
        <v/>
      </c>
    </row>
    <row r="1942" spans="19:25">
      <c r="S1942" t="str">
        <f t="shared" si="0"/>
        <v/>
      </c>
      <c r="T1942" t="str">
        <f t="shared" si="1"/>
        <v/>
      </c>
      <c r="U1942" t="str">
        <f t="shared" si="2"/>
        <v/>
      </c>
      <c r="V1942" t="str">
        <f>IF(OR(U1942="",U1942="ERRO_CHAVE"),"",IFERROR(MATCH(U1942,Fornecedores!$AF$1:$AF$6631,0),""))</f>
        <v/>
      </c>
      <c r="W1942" t="str">
        <f t="shared" si="3"/>
        <v/>
      </c>
      <c r="X1942" s="4" t="str">
        <f>IF(V1942="","",INDEX(Fornecedores!$X$1:$X$6631,V1942))</f>
        <v/>
      </c>
      <c r="Y1942" s="4" t="str">
        <f t="shared" si="4"/>
        <v/>
      </c>
    </row>
    <row r="1943" spans="19:25">
      <c r="S1943" t="str">
        <f t="shared" si="0"/>
        <v/>
      </c>
      <c r="T1943" t="str">
        <f t="shared" si="1"/>
        <v/>
      </c>
      <c r="U1943" t="str">
        <f t="shared" si="2"/>
        <v/>
      </c>
      <c r="V1943" t="str">
        <f>IF(OR(U1943="",U1943="ERRO_CHAVE"),"",IFERROR(MATCH(U1943,Fornecedores!$AF$1:$AF$6631,0),""))</f>
        <v/>
      </c>
      <c r="W1943" t="str">
        <f t="shared" si="3"/>
        <v/>
      </c>
      <c r="X1943" s="4" t="str">
        <f>IF(V1943="","",INDEX(Fornecedores!$X$1:$X$6631,V1943))</f>
        <v/>
      </c>
      <c r="Y1943" s="4" t="str">
        <f t="shared" si="4"/>
        <v/>
      </c>
    </row>
    <row r="1944" spans="19:25">
      <c r="S1944" t="str">
        <f t="shared" si="0"/>
        <v/>
      </c>
      <c r="T1944" t="str">
        <f t="shared" si="1"/>
        <v/>
      </c>
      <c r="U1944" t="str">
        <f t="shared" si="2"/>
        <v/>
      </c>
      <c r="V1944" t="str">
        <f>IF(OR(U1944="",U1944="ERRO_CHAVE"),"",IFERROR(MATCH(U1944,Fornecedores!$AF$1:$AF$6631,0),""))</f>
        <v/>
      </c>
      <c r="W1944" t="str">
        <f t="shared" si="3"/>
        <v/>
      </c>
      <c r="X1944" s="4" t="str">
        <f>IF(V1944="","",INDEX(Fornecedores!$X$1:$X$6631,V1944))</f>
        <v/>
      </c>
      <c r="Y1944" s="4" t="str">
        <f t="shared" si="4"/>
        <v/>
      </c>
    </row>
    <row r="1945" spans="19:25">
      <c r="S1945" t="str">
        <f t="shared" si="0"/>
        <v/>
      </c>
      <c r="T1945" t="str">
        <f t="shared" si="1"/>
        <v/>
      </c>
      <c r="U1945" t="str">
        <f t="shared" si="2"/>
        <v/>
      </c>
      <c r="V1945" t="str">
        <f>IF(OR(U1945="",U1945="ERRO_CHAVE"),"",IFERROR(MATCH(U1945,Fornecedores!$AF$1:$AF$6631,0),""))</f>
        <v/>
      </c>
      <c r="W1945" t="str">
        <f t="shared" si="3"/>
        <v/>
      </c>
      <c r="X1945" s="4" t="str">
        <f>IF(V1945="","",INDEX(Fornecedores!$X$1:$X$6631,V1945))</f>
        <v/>
      </c>
      <c r="Y1945" s="4" t="str">
        <f t="shared" si="4"/>
        <v/>
      </c>
    </row>
    <row r="1946" spans="19:25">
      <c r="S1946" t="str">
        <f t="shared" si="0"/>
        <v/>
      </c>
      <c r="T1946" t="str">
        <f t="shared" si="1"/>
        <v/>
      </c>
      <c r="U1946" t="str">
        <f t="shared" si="2"/>
        <v/>
      </c>
      <c r="V1946" t="str">
        <f>IF(OR(U1946="",U1946="ERRO_CHAVE"),"",IFERROR(MATCH(U1946,Fornecedores!$AF$1:$AF$6631,0),""))</f>
        <v/>
      </c>
      <c r="W1946" t="str">
        <f t="shared" si="3"/>
        <v/>
      </c>
      <c r="X1946" s="4" t="str">
        <f>IF(V1946="","",INDEX(Fornecedores!$X$1:$X$6631,V1946))</f>
        <v/>
      </c>
      <c r="Y1946" s="4" t="str">
        <f t="shared" si="4"/>
        <v/>
      </c>
    </row>
    <row r="1947" spans="19:25">
      <c r="S1947" t="str">
        <f t="shared" si="0"/>
        <v/>
      </c>
      <c r="T1947" t="str">
        <f t="shared" si="1"/>
        <v/>
      </c>
      <c r="U1947" t="str">
        <f t="shared" si="2"/>
        <v/>
      </c>
      <c r="V1947" t="str">
        <f>IF(OR(U1947="",U1947="ERRO_CHAVE"),"",IFERROR(MATCH(U1947,Fornecedores!$AF$1:$AF$6631,0),""))</f>
        <v/>
      </c>
      <c r="W1947" t="str">
        <f t="shared" si="3"/>
        <v/>
      </c>
      <c r="X1947" s="4" t="str">
        <f>IF(V1947="","",INDEX(Fornecedores!$X$1:$X$6631,V1947))</f>
        <v/>
      </c>
      <c r="Y1947" s="4" t="str">
        <f t="shared" si="4"/>
        <v/>
      </c>
    </row>
    <row r="1948" spans="19:25">
      <c r="S1948" t="str">
        <f t="shared" si="0"/>
        <v/>
      </c>
      <c r="T1948" t="str">
        <f t="shared" si="1"/>
        <v/>
      </c>
      <c r="U1948" t="str">
        <f t="shared" si="2"/>
        <v/>
      </c>
      <c r="V1948" t="str">
        <f>IF(OR(U1948="",U1948="ERRO_CHAVE"),"",IFERROR(MATCH(U1948,Fornecedores!$AF$1:$AF$6631,0),""))</f>
        <v/>
      </c>
      <c r="W1948" t="str">
        <f t="shared" si="3"/>
        <v/>
      </c>
      <c r="X1948" s="4" t="str">
        <f>IF(V1948="","",INDEX(Fornecedores!$X$1:$X$6631,V1948))</f>
        <v/>
      </c>
      <c r="Y1948" s="4" t="str">
        <f t="shared" si="4"/>
        <v/>
      </c>
    </row>
    <row r="1949" spans="19:25">
      <c r="S1949" t="str">
        <f t="shared" si="0"/>
        <v/>
      </c>
      <c r="T1949" t="str">
        <f t="shared" si="1"/>
        <v/>
      </c>
      <c r="U1949" t="str">
        <f t="shared" si="2"/>
        <v/>
      </c>
      <c r="V1949" t="str">
        <f>IF(OR(U1949="",U1949="ERRO_CHAVE"),"",IFERROR(MATCH(U1949,Fornecedores!$AF$1:$AF$6631,0),""))</f>
        <v/>
      </c>
      <c r="W1949" t="str">
        <f t="shared" si="3"/>
        <v/>
      </c>
      <c r="X1949" s="4" t="str">
        <f>IF(V1949="","",INDEX(Fornecedores!$X$1:$X$6631,V1949))</f>
        <v/>
      </c>
      <c r="Y1949" s="4" t="str">
        <f t="shared" si="4"/>
        <v/>
      </c>
    </row>
    <row r="1950" spans="19:25">
      <c r="S1950" t="str">
        <f t="shared" si="0"/>
        <v/>
      </c>
      <c r="T1950" t="str">
        <f t="shared" si="1"/>
        <v/>
      </c>
      <c r="U1950" t="str">
        <f t="shared" si="2"/>
        <v/>
      </c>
      <c r="V1950" t="str">
        <f>IF(OR(U1950="",U1950="ERRO_CHAVE"),"",IFERROR(MATCH(U1950,Fornecedores!$AF$1:$AF$6631,0),""))</f>
        <v/>
      </c>
      <c r="W1950" t="str">
        <f t="shared" si="3"/>
        <v/>
      </c>
      <c r="X1950" s="4" t="str">
        <f>IF(V1950="","",INDEX(Fornecedores!$X$1:$X$6631,V1950))</f>
        <v/>
      </c>
      <c r="Y1950" s="4" t="str">
        <f t="shared" si="4"/>
        <v/>
      </c>
    </row>
    <row r="1951" spans="19:25">
      <c r="S1951" t="str">
        <f t="shared" si="0"/>
        <v/>
      </c>
      <c r="T1951" t="str">
        <f t="shared" si="1"/>
        <v/>
      </c>
      <c r="U1951" t="str">
        <f t="shared" si="2"/>
        <v/>
      </c>
      <c r="V1951" t="str">
        <f>IF(OR(U1951="",U1951="ERRO_CHAVE"),"",IFERROR(MATCH(U1951,Fornecedores!$AF$1:$AF$6631,0),""))</f>
        <v/>
      </c>
      <c r="W1951" t="str">
        <f t="shared" si="3"/>
        <v/>
      </c>
      <c r="X1951" s="4" t="str">
        <f>IF(V1951="","",INDEX(Fornecedores!$X$1:$X$6631,V1951))</f>
        <v/>
      </c>
      <c r="Y1951" s="4" t="str">
        <f t="shared" si="4"/>
        <v/>
      </c>
    </row>
    <row r="1952" spans="19:25">
      <c r="S1952" t="str">
        <f t="shared" si="0"/>
        <v/>
      </c>
      <c r="T1952" t="str">
        <f t="shared" si="1"/>
        <v/>
      </c>
      <c r="U1952" t="str">
        <f t="shared" si="2"/>
        <v/>
      </c>
      <c r="V1952" t="str">
        <f>IF(OR(U1952="",U1952="ERRO_CHAVE"),"",IFERROR(MATCH(U1952,Fornecedores!$AF$1:$AF$6631,0),""))</f>
        <v/>
      </c>
      <c r="W1952" t="str">
        <f t="shared" si="3"/>
        <v/>
      </c>
      <c r="X1952" s="4" t="str">
        <f>IF(V1952="","",INDEX(Fornecedores!$X$1:$X$6631,V1952))</f>
        <v/>
      </c>
      <c r="Y1952" s="4" t="str">
        <f t="shared" si="4"/>
        <v/>
      </c>
    </row>
    <row r="1953" spans="19:25">
      <c r="S1953" t="str">
        <f t="shared" si="0"/>
        <v/>
      </c>
      <c r="T1953" t="str">
        <f t="shared" si="1"/>
        <v/>
      </c>
      <c r="U1953" t="str">
        <f t="shared" si="2"/>
        <v/>
      </c>
      <c r="V1953" t="str">
        <f>IF(OR(U1953="",U1953="ERRO_CHAVE"),"",IFERROR(MATCH(U1953,Fornecedores!$AF$1:$AF$6631,0),""))</f>
        <v/>
      </c>
      <c r="W1953" t="str">
        <f t="shared" si="3"/>
        <v/>
      </c>
      <c r="X1953" s="4" t="str">
        <f>IF(V1953="","",INDEX(Fornecedores!$X$1:$X$6631,V1953))</f>
        <v/>
      </c>
      <c r="Y1953" s="4" t="str">
        <f t="shared" si="4"/>
        <v/>
      </c>
    </row>
    <row r="1954" spans="19:25">
      <c r="S1954" t="str">
        <f t="shared" si="0"/>
        <v/>
      </c>
      <c r="T1954" t="str">
        <f t="shared" si="1"/>
        <v/>
      </c>
      <c r="U1954" t="str">
        <f t="shared" si="2"/>
        <v/>
      </c>
      <c r="V1954" t="str">
        <f>IF(OR(U1954="",U1954="ERRO_CHAVE"),"",IFERROR(MATCH(U1954,Fornecedores!$AF$1:$AF$6631,0),""))</f>
        <v/>
      </c>
      <c r="W1954" t="str">
        <f t="shared" si="3"/>
        <v/>
      </c>
      <c r="X1954" s="4" t="str">
        <f>IF(V1954="","",INDEX(Fornecedores!$X$1:$X$6631,V1954))</f>
        <v/>
      </c>
      <c r="Y1954" s="4" t="str">
        <f t="shared" si="4"/>
        <v/>
      </c>
    </row>
    <row r="1955" spans="19:25">
      <c r="S1955" t="str">
        <f t="shared" si="0"/>
        <v/>
      </c>
      <c r="T1955" t="str">
        <f t="shared" si="1"/>
        <v/>
      </c>
      <c r="U1955" t="str">
        <f t="shared" si="2"/>
        <v/>
      </c>
      <c r="V1955" t="str">
        <f>IF(OR(U1955="",U1955="ERRO_CHAVE"),"",IFERROR(MATCH(U1955,Fornecedores!$AF$1:$AF$6631,0),""))</f>
        <v/>
      </c>
      <c r="W1955" t="str">
        <f t="shared" si="3"/>
        <v/>
      </c>
      <c r="X1955" s="4" t="str">
        <f>IF(V1955="","",INDEX(Fornecedores!$X$1:$X$6631,V1955))</f>
        <v/>
      </c>
      <c r="Y1955" s="4" t="str">
        <f t="shared" si="4"/>
        <v/>
      </c>
    </row>
    <row r="1956" spans="19:25">
      <c r="S1956" t="str">
        <f t="shared" si="0"/>
        <v/>
      </c>
      <c r="T1956" t="str">
        <f t="shared" si="1"/>
        <v/>
      </c>
      <c r="U1956" t="str">
        <f t="shared" si="2"/>
        <v/>
      </c>
      <c r="V1956" t="str">
        <f>IF(OR(U1956="",U1956="ERRO_CHAVE"),"",IFERROR(MATCH(U1956,Fornecedores!$AF$1:$AF$6631,0),""))</f>
        <v/>
      </c>
      <c r="W1956" t="str">
        <f t="shared" si="3"/>
        <v/>
      </c>
      <c r="X1956" s="4" t="str">
        <f>IF(V1956="","",INDEX(Fornecedores!$X$1:$X$6631,V1956))</f>
        <v/>
      </c>
      <c r="Y1956" s="4" t="str">
        <f t="shared" si="4"/>
        <v/>
      </c>
    </row>
    <row r="1957" spans="19:25">
      <c r="S1957" t="str">
        <f t="shared" si="0"/>
        <v/>
      </c>
      <c r="T1957" t="str">
        <f t="shared" si="1"/>
        <v/>
      </c>
      <c r="U1957" t="str">
        <f t="shared" si="2"/>
        <v/>
      </c>
      <c r="V1957" t="str">
        <f>IF(OR(U1957="",U1957="ERRO_CHAVE"),"",IFERROR(MATCH(U1957,Fornecedores!$AF$1:$AF$6631,0),""))</f>
        <v/>
      </c>
      <c r="W1957" t="str">
        <f t="shared" si="3"/>
        <v/>
      </c>
      <c r="X1957" s="4" t="str">
        <f>IF(V1957="","",INDEX(Fornecedores!$X$1:$X$6631,V1957))</f>
        <v/>
      </c>
      <c r="Y1957" s="4" t="str">
        <f t="shared" si="4"/>
        <v/>
      </c>
    </row>
    <row r="1958" spans="19:25">
      <c r="S1958" t="str">
        <f t="shared" si="0"/>
        <v/>
      </c>
      <c r="T1958" t="str">
        <f t="shared" si="1"/>
        <v/>
      </c>
      <c r="U1958" t="str">
        <f t="shared" si="2"/>
        <v/>
      </c>
      <c r="V1958" t="str">
        <f>IF(OR(U1958="",U1958="ERRO_CHAVE"),"",IFERROR(MATCH(U1958,Fornecedores!$AF$1:$AF$6631,0),""))</f>
        <v/>
      </c>
      <c r="W1958" t="str">
        <f t="shared" si="3"/>
        <v/>
      </c>
      <c r="X1958" s="4" t="str">
        <f>IF(V1958="","",INDEX(Fornecedores!$X$1:$X$6631,V1958))</f>
        <v/>
      </c>
      <c r="Y1958" s="4" t="str">
        <f t="shared" si="4"/>
        <v/>
      </c>
    </row>
    <row r="1959" spans="19:25">
      <c r="S1959" t="str">
        <f t="shared" si="0"/>
        <v/>
      </c>
      <c r="T1959" t="str">
        <f t="shared" si="1"/>
        <v/>
      </c>
      <c r="U1959" t="str">
        <f t="shared" si="2"/>
        <v/>
      </c>
      <c r="V1959" t="str">
        <f>IF(OR(U1959="",U1959="ERRO_CHAVE"),"",IFERROR(MATCH(U1959,Fornecedores!$AF$1:$AF$6631,0),""))</f>
        <v/>
      </c>
      <c r="W1959" t="str">
        <f t="shared" si="3"/>
        <v/>
      </c>
      <c r="X1959" s="4" t="str">
        <f>IF(V1959="","",INDEX(Fornecedores!$X$1:$X$6631,V1959))</f>
        <v/>
      </c>
      <c r="Y1959" s="4" t="str">
        <f t="shared" si="4"/>
        <v/>
      </c>
    </row>
    <row r="1960" spans="19:25">
      <c r="S1960" t="str">
        <f t="shared" si="0"/>
        <v/>
      </c>
      <c r="T1960" t="str">
        <f t="shared" si="1"/>
        <v/>
      </c>
      <c r="U1960" t="str">
        <f t="shared" si="2"/>
        <v/>
      </c>
      <c r="V1960" t="str">
        <f>IF(OR(U1960="",U1960="ERRO_CHAVE"),"",IFERROR(MATCH(U1960,Fornecedores!$AF$1:$AF$6631,0),""))</f>
        <v/>
      </c>
      <c r="W1960" t="str">
        <f t="shared" si="3"/>
        <v/>
      </c>
      <c r="X1960" s="4" t="str">
        <f>IF(V1960="","",INDEX(Fornecedores!$X$1:$X$6631,V1960))</f>
        <v/>
      </c>
      <c r="Y1960" s="4" t="str">
        <f t="shared" si="4"/>
        <v/>
      </c>
    </row>
    <row r="1961" spans="19:25">
      <c r="S1961" t="str">
        <f t="shared" si="0"/>
        <v/>
      </c>
      <c r="T1961" t="str">
        <f t="shared" si="1"/>
        <v/>
      </c>
      <c r="U1961" t="str">
        <f t="shared" si="2"/>
        <v/>
      </c>
      <c r="V1961" t="str">
        <f>IF(OR(U1961="",U1961="ERRO_CHAVE"),"",IFERROR(MATCH(U1961,Fornecedores!$AF$1:$AF$6631,0),""))</f>
        <v/>
      </c>
      <c r="W1961" t="str">
        <f t="shared" si="3"/>
        <v/>
      </c>
      <c r="X1961" s="4" t="str">
        <f>IF(V1961="","",INDEX(Fornecedores!$X$1:$X$6631,V1961))</f>
        <v/>
      </c>
      <c r="Y1961" s="4" t="str">
        <f t="shared" si="4"/>
        <v/>
      </c>
    </row>
    <row r="1962" spans="19:25">
      <c r="S1962" t="str">
        <f t="shared" si="0"/>
        <v/>
      </c>
      <c r="T1962" t="str">
        <f t="shared" si="1"/>
        <v/>
      </c>
      <c r="U1962" t="str">
        <f t="shared" si="2"/>
        <v/>
      </c>
      <c r="V1962" t="str">
        <f>IF(OR(U1962="",U1962="ERRO_CHAVE"),"",IFERROR(MATCH(U1962,Fornecedores!$AF$1:$AF$6631,0),""))</f>
        <v/>
      </c>
      <c r="W1962" t="str">
        <f t="shared" si="3"/>
        <v/>
      </c>
      <c r="X1962" s="4" t="str">
        <f>IF(V1962="","",INDEX(Fornecedores!$X$1:$X$6631,V1962))</f>
        <v/>
      </c>
      <c r="Y1962" s="4" t="str">
        <f t="shared" si="4"/>
        <v/>
      </c>
    </row>
    <row r="1963" spans="19:25">
      <c r="S1963" t="str">
        <f t="shared" si="0"/>
        <v/>
      </c>
      <c r="T1963" t="str">
        <f t="shared" si="1"/>
        <v/>
      </c>
      <c r="U1963" t="str">
        <f t="shared" si="2"/>
        <v/>
      </c>
      <c r="V1963" t="str">
        <f>IF(OR(U1963="",U1963="ERRO_CHAVE"),"",IFERROR(MATCH(U1963,Fornecedores!$AF$1:$AF$6631,0),""))</f>
        <v/>
      </c>
      <c r="W1963" t="str">
        <f t="shared" si="3"/>
        <v/>
      </c>
      <c r="X1963" s="4" t="str">
        <f>IF(V1963="","",INDEX(Fornecedores!$X$1:$X$6631,V1963))</f>
        <v/>
      </c>
      <c r="Y1963" s="4" t="str">
        <f t="shared" si="4"/>
        <v/>
      </c>
    </row>
    <row r="1964" spans="19:25">
      <c r="S1964" t="str">
        <f t="shared" si="0"/>
        <v/>
      </c>
      <c r="T1964" t="str">
        <f t="shared" si="1"/>
        <v/>
      </c>
      <c r="U1964" t="str">
        <f t="shared" si="2"/>
        <v/>
      </c>
      <c r="V1964" t="str">
        <f>IF(OR(U1964="",U1964="ERRO_CHAVE"),"",IFERROR(MATCH(U1964,Fornecedores!$AF$1:$AF$6631,0),""))</f>
        <v/>
      </c>
      <c r="W1964" t="str">
        <f t="shared" si="3"/>
        <v/>
      </c>
      <c r="X1964" s="4" t="str">
        <f>IF(V1964="","",INDEX(Fornecedores!$X$1:$X$6631,V1964))</f>
        <v/>
      </c>
      <c r="Y1964" s="4" t="str">
        <f t="shared" si="4"/>
        <v/>
      </c>
    </row>
    <row r="1965" spans="19:25">
      <c r="S1965" t="str">
        <f t="shared" si="0"/>
        <v/>
      </c>
      <c r="T1965" t="str">
        <f t="shared" si="1"/>
        <v/>
      </c>
      <c r="U1965" t="str">
        <f t="shared" si="2"/>
        <v/>
      </c>
      <c r="V1965" t="str">
        <f>IF(OR(U1965="",U1965="ERRO_CHAVE"),"",IFERROR(MATCH(U1965,Fornecedores!$AF$1:$AF$6631,0),""))</f>
        <v/>
      </c>
      <c r="W1965" t="str">
        <f t="shared" si="3"/>
        <v/>
      </c>
      <c r="X1965" s="4" t="str">
        <f>IF(V1965="","",INDEX(Fornecedores!$X$1:$X$6631,V1965))</f>
        <v/>
      </c>
      <c r="Y1965" s="4" t="str">
        <f t="shared" si="4"/>
        <v/>
      </c>
    </row>
    <row r="1966" spans="19:25">
      <c r="S1966" t="str">
        <f t="shared" si="0"/>
        <v/>
      </c>
      <c r="T1966" t="str">
        <f t="shared" si="1"/>
        <v/>
      </c>
      <c r="U1966" t="str">
        <f t="shared" si="2"/>
        <v/>
      </c>
      <c r="V1966" t="str">
        <f>IF(OR(U1966="",U1966="ERRO_CHAVE"),"",IFERROR(MATCH(U1966,Fornecedores!$AF$1:$AF$6631,0),""))</f>
        <v/>
      </c>
      <c r="W1966" t="str">
        <f t="shared" si="3"/>
        <v/>
      </c>
      <c r="X1966" s="4" t="str">
        <f>IF(V1966="","",INDEX(Fornecedores!$X$1:$X$6631,V1966))</f>
        <v/>
      </c>
      <c r="Y1966" s="4" t="str">
        <f t="shared" si="4"/>
        <v/>
      </c>
    </row>
    <row r="1967" spans="19:25">
      <c r="S1967" t="str">
        <f t="shared" si="0"/>
        <v/>
      </c>
      <c r="T1967" t="str">
        <f t="shared" si="1"/>
        <v/>
      </c>
      <c r="U1967" t="str">
        <f t="shared" si="2"/>
        <v/>
      </c>
      <c r="V1967" t="str">
        <f>IF(OR(U1967="",U1967="ERRO_CHAVE"),"",IFERROR(MATCH(U1967,Fornecedores!$AF$1:$AF$6631,0),""))</f>
        <v/>
      </c>
      <c r="W1967" t="str">
        <f t="shared" si="3"/>
        <v/>
      </c>
      <c r="X1967" s="4" t="str">
        <f>IF(V1967="","",INDEX(Fornecedores!$X$1:$X$6631,V1967))</f>
        <v/>
      </c>
      <c r="Y1967" s="4" t="str">
        <f t="shared" si="4"/>
        <v/>
      </c>
    </row>
    <row r="1968" spans="19:25">
      <c r="S1968" t="str">
        <f t="shared" si="0"/>
        <v/>
      </c>
      <c r="T1968" t="str">
        <f t="shared" si="1"/>
        <v/>
      </c>
      <c r="U1968" t="str">
        <f t="shared" si="2"/>
        <v/>
      </c>
      <c r="V1968" t="str">
        <f>IF(OR(U1968="",U1968="ERRO_CHAVE"),"",IFERROR(MATCH(U1968,Fornecedores!$AF$1:$AF$6631,0),""))</f>
        <v/>
      </c>
      <c r="W1968" t="str">
        <f t="shared" si="3"/>
        <v/>
      </c>
      <c r="X1968" s="4" t="str">
        <f>IF(V1968="","",INDEX(Fornecedores!$X$1:$X$6631,V1968))</f>
        <v/>
      </c>
      <c r="Y1968" s="4" t="str">
        <f t="shared" si="4"/>
        <v/>
      </c>
    </row>
    <row r="1969" spans="19:25">
      <c r="S1969" t="str">
        <f t="shared" si="0"/>
        <v/>
      </c>
      <c r="T1969" t="str">
        <f t="shared" si="1"/>
        <v/>
      </c>
      <c r="U1969" t="str">
        <f t="shared" si="2"/>
        <v/>
      </c>
      <c r="V1969" t="str">
        <f>IF(OR(U1969="",U1969="ERRO_CHAVE"),"",IFERROR(MATCH(U1969,Fornecedores!$AF$1:$AF$6631,0),""))</f>
        <v/>
      </c>
      <c r="W1969" t="str">
        <f t="shared" si="3"/>
        <v/>
      </c>
      <c r="X1969" s="4" t="str">
        <f>IF(V1969="","",INDEX(Fornecedores!$X$1:$X$6631,V1969))</f>
        <v/>
      </c>
      <c r="Y1969" s="4" t="str">
        <f t="shared" si="4"/>
        <v/>
      </c>
    </row>
    <row r="1970" spans="19:25">
      <c r="S1970" t="str">
        <f t="shared" si="0"/>
        <v/>
      </c>
      <c r="T1970" t="str">
        <f t="shared" si="1"/>
        <v/>
      </c>
      <c r="U1970" t="str">
        <f t="shared" si="2"/>
        <v/>
      </c>
      <c r="V1970" t="str">
        <f>IF(OR(U1970="",U1970="ERRO_CHAVE"),"",IFERROR(MATCH(U1970,Fornecedores!$AF$1:$AF$6631,0),""))</f>
        <v/>
      </c>
      <c r="W1970" t="str">
        <f t="shared" si="3"/>
        <v/>
      </c>
      <c r="X1970" s="4" t="str">
        <f>IF(V1970="","",INDEX(Fornecedores!$X$1:$X$6631,V1970))</f>
        <v/>
      </c>
      <c r="Y1970" s="4" t="str">
        <f t="shared" si="4"/>
        <v/>
      </c>
    </row>
    <row r="1971" spans="19:25">
      <c r="S1971" t="str">
        <f t="shared" si="0"/>
        <v/>
      </c>
      <c r="T1971" t="str">
        <f t="shared" si="1"/>
        <v/>
      </c>
      <c r="U1971" t="str">
        <f t="shared" si="2"/>
        <v/>
      </c>
      <c r="V1971" t="str">
        <f>IF(OR(U1971="",U1971="ERRO_CHAVE"),"",IFERROR(MATCH(U1971,Fornecedores!$AF$1:$AF$6631,0),""))</f>
        <v/>
      </c>
      <c r="W1971" t="str">
        <f t="shared" si="3"/>
        <v/>
      </c>
      <c r="X1971" s="4" t="str">
        <f>IF(V1971="","",INDEX(Fornecedores!$X$1:$X$6631,V1971))</f>
        <v/>
      </c>
      <c r="Y1971" s="4" t="str">
        <f t="shared" si="4"/>
        <v/>
      </c>
    </row>
    <row r="1972" spans="19:25">
      <c r="S1972" t="str">
        <f t="shared" si="0"/>
        <v/>
      </c>
      <c r="T1972" t="str">
        <f t="shared" si="1"/>
        <v/>
      </c>
      <c r="U1972" t="str">
        <f t="shared" si="2"/>
        <v/>
      </c>
      <c r="V1972" t="str">
        <f>IF(OR(U1972="",U1972="ERRO_CHAVE"),"",IFERROR(MATCH(U1972,Fornecedores!$AF$1:$AF$6631,0),""))</f>
        <v/>
      </c>
      <c r="W1972" t="str">
        <f t="shared" si="3"/>
        <v/>
      </c>
      <c r="X1972" s="4" t="str">
        <f>IF(V1972="","",INDEX(Fornecedores!$X$1:$X$6631,V1972))</f>
        <v/>
      </c>
      <c r="Y1972" s="4" t="str">
        <f t="shared" si="4"/>
        <v/>
      </c>
    </row>
    <row r="1973" spans="19:25">
      <c r="S1973" t="str">
        <f t="shared" si="0"/>
        <v/>
      </c>
      <c r="T1973" t="str">
        <f t="shared" si="1"/>
        <v/>
      </c>
      <c r="U1973" t="str">
        <f t="shared" si="2"/>
        <v/>
      </c>
      <c r="V1973" t="str">
        <f>IF(OR(U1973="",U1973="ERRO_CHAVE"),"",IFERROR(MATCH(U1973,Fornecedores!$AF$1:$AF$6631,0),""))</f>
        <v/>
      </c>
      <c r="W1973" t="str">
        <f t="shared" si="3"/>
        <v/>
      </c>
      <c r="X1973" s="4" t="str">
        <f>IF(V1973="","",INDEX(Fornecedores!$X$1:$X$6631,V1973))</f>
        <v/>
      </c>
      <c r="Y1973" s="4" t="str">
        <f t="shared" si="4"/>
        <v/>
      </c>
    </row>
    <row r="1974" spans="19:25">
      <c r="S1974" t="str">
        <f t="shared" si="0"/>
        <v/>
      </c>
      <c r="T1974" t="str">
        <f t="shared" si="1"/>
        <v/>
      </c>
      <c r="U1974" t="str">
        <f t="shared" si="2"/>
        <v/>
      </c>
      <c r="V1974" t="str">
        <f>IF(OR(U1974="",U1974="ERRO_CHAVE"),"",IFERROR(MATCH(U1974,Fornecedores!$AF$1:$AF$6631,0),""))</f>
        <v/>
      </c>
      <c r="W1974" t="str">
        <f t="shared" si="3"/>
        <v/>
      </c>
      <c r="X1974" s="4" t="str">
        <f>IF(V1974="","",INDEX(Fornecedores!$X$1:$X$6631,V1974))</f>
        <v/>
      </c>
      <c r="Y1974" s="4" t="str">
        <f t="shared" si="4"/>
        <v/>
      </c>
    </row>
    <row r="1975" spans="19:25">
      <c r="S1975" t="str">
        <f t="shared" si="0"/>
        <v/>
      </c>
      <c r="T1975" t="str">
        <f t="shared" si="1"/>
        <v/>
      </c>
      <c r="U1975" t="str">
        <f t="shared" si="2"/>
        <v/>
      </c>
      <c r="V1975" t="str">
        <f>IF(OR(U1975="",U1975="ERRO_CHAVE"),"",IFERROR(MATCH(U1975,Fornecedores!$AF$1:$AF$6631,0),""))</f>
        <v/>
      </c>
      <c r="W1975" t="str">
        <f t="shared" si="3"/>
        <v/>
      </c>
      <c r="X1975" s="4" t="str">
        <f>IF(V1975="","",INDEX(Fornecedores!$X$1:$X$6631,V1975))</f>
        <v/>
      </c>
      <c r="Y1975" s="4" t="str">
        <f t="shared" si="4"/>
        <v/>
      </c>
    </row>
    <row r="1976" spans="19:25">
      <c r="S1976" t="str">
        <f t="shared" si="0"/>
        <v/>
      </c>
      <c r="T1976" t="str">
        <f t="shared" si="1"/>
        <v/>
      </c>
      <c r="U1976" t="str">
        <f t="shared" si="2"/>
        <v/>
      </c>
      <c r="V1976" t="str">
        <f>IF(OR(U1976="",U1976="ERRO_CHAVE"),"",IFERROR(MATCH(U1976,Fornecedores!$AF$1:$AF$6631,0),""))</f>
        <v/>
      </c>
      <c r="W1976" t="str">
        <f t="shared" si="3"/>
        <v/>
      </c>
      <c r="X1976" s="4" t="str">
        <f>IF(V1976="","",INDEX(Fornecedores!$X$1:$X$6631,V1976))</f>
        <v/>
      </c>
      <c r="Y1976" s="4" t="str">
        <f t="shared" si="4"/>
        <v/>
      </c>
    </row>
    <row r="1977" spans="19:25">
      <c r="S1977" t="str">
        <f t="shared" si="0"/>
        <v/>
      </c>
      <c r="T1977" t="str">
        <f t="shared" si="1"/>
        <v/>
      </c>
      <c r="U1977" t="str">
        <f t="shared" si="2"/>
        <v/>
      </c>
      <c r="V1977" t="str">
        <f>IF(OR(U1977="",U1977="ERRO_CHAVE"),"",IFERROR(MATCH(U1977,Fornecedores!$AF$1:$AF$6631,0),""))</f>
        <v/>
      </c>
      <c r="W1977" t="str">
        <f t="shared" si="3"/>
        <v/>
      </c>
      <c r="X1977" s="4" t="str">
        <f>IF(V1977="","",INDEX(Fornecedores!$X$1:$X$6631,V1977))</f>
        <v/>
      </c>
      <c r="Y1977" s="4" t="str">
        <f t="shared" si="4"/>
        <v/>
      </c>
    </row>
    <row r="1978" spans="19:25">
      <c r="S1978" t="str">
        <f t="shared" si="0"/>
        <v/>
      </c>
      <c r="T1978" t="str">
        <f t="shared" si="1"/>
        <v/>
      </c>
      <c r="U1978" t="str">
        <f t="shared" si="2"/>
        <v/>
      </c>
      <c r="V1978" t="str">
        <f>IF(OR(U1978="",U1978="ERRO_CHAVE"),"",IFERROR(MATCH(U1978,Fornecedores!$AF$1:$AF$6631,0),""))</f>
        <v/>
      </c>
      <c r="W1978" t="str">
        <f t="shared" si="3"/>
        <v/>
      </c>
      <c r="X1978" s="4" t="str">
        <f>IF(V1978="","",INDEX(Fornecedores!$X$1:$X$6631,V1978))</f>
        <v/>
      </c>
      <c r="Y1978" s="4" t="str">
        <f t="shared" si="4"/>
        <v/>
      </c>
    </row>
    <row r="1979" spans="19:25">
      <c r="S1979" t="str">
        <f t="shared" si="0"/>
        <v/>
      </c>
      <c r="T1979" t="str">
        <f t="shared" si="1"/>
        <v/>
      </c>
      <c r="U1979" t="str">
        <f t="shared" si="2"/>
        <v/>
      </c>
      <c r="V1979" t="str">
        <f>IF(OR(U1979="",U1979="ERRO_CHAVE"),"",IFERROR(MATCH(U1979,Fornecedores!$AF$1:$AF$6631,0),""))</f>
        <v/>
      </c>
      <c r="W1979" t="str">
        <f t="shared" si="3"/>
        <v/>
      </c>
      <c r="X1979" s="4" t="str">
        <f>IF(V1979="","",INDEX(Fornecedores!$X$1:$X$6631,V1979))</f>
        <v/>
      </c>
      <c r="Y1979" s="4" t="str">
        <f t="shared" si="4"/>
        <v/>
      </c>
    </row>
    <row r="1980" spans="19:25">
      <c r="S1980" t="str">
        <f t="shared" si="0"/>
        <v/>
      </c>
      <c r="T1980" t="str">
        <f t="shared" si="1"/>
        <v/>
      </c>
      <c r="U1980" t="str">
        <f t="shared" si="2"/>
        <v/>
      </c>
      <c r="V1980" t="str">
        <f>IF(OR(U1980="",U1980="ERRO_CHAVE"),"",IFERROR(MATCH(U1980,Fornecedores!$AF$1:$AF$6631,0),""))</f>
        <v/>
      </c>
      <c r="W1980" t="str">
        <f t="shared" si="3"/>
        <v/>
      </c>
      <c r="X1980" s="4" t="str">
        <f>IF(V1980="","",INDEX(Fornecedores!$X$1:$X$6631,V1980))</f>
        <v/>
      </c>
      <c r="Y1980" s="4" t="str">
        <f t="shared" si="4"/>
        <v/>
      </c>
    </row>
    <row r="1981" spans="19:25">
      <c r="S1981" t="str">
        <f t="shared" si="0"/>
        <v/>
      </c>
      <c r="T1981" t="str">
        <f t="shared" si="1"/>
        <v/>
      </c>
      <c r="U1981" t="str">
        <f t="shared" si="2"/>
        <v/>
      </c>
      <c r="V1981" t="str">
        <f>IF(OR(U1981="",U1981="ERRO_CHAVE"),"",IFERROR(MATCH(U1981,Fornecedores!$AF$1:$AF$6631,0),""))</f>
        <v/>
      </c>
      <c r="W1981" t="str">
        <f t="shared" si="3"/>
        <v/>
      </c>
      <c r="X1981" s="4" t="str">
        <f>IF(V1981="","",INDEX(Fornecedores!$X$1:$X$6631,V1981))</f>
        <v/>
      </c>
      <c r="Y1981" s="4" t="str">
        <f t="shared" si="4"/>
        <v/>
      </c>
    </row>
    <row r="1982" spans="19:25">
      <c r="S1982" t="str">
        <f t="shared" si="0"/>
        <v/>
      </c>
      <c r="T1982" t="str">
        <f t="shared" si="1"/>
        <v/>
      </c>
      <c r="U1982" t="str">
        <f t="shared" si="2"/>
        <v/>
      </c>
      <c r="V1982" t="str">
        <f>IF(OR(U1982="",U1982="ERRO_CHAVE"),"",IFERROR(MATCH(U1982,Fornecedores!$AF$1:$AF$6631,0),""))</f>
        <v/>
      </c>
      <c r="W1982" t="str">
        <f t="shared" si="3"/>
        <v/>
      </c>
      <c r="X1982" s="4" t="str">
        <f>IF(V1982="","",INDEX(Fornecedores!$X$1:$X$6631,V1982))</f>
        <v/>
      </c>
      <c r="Y1982" s="4" t="str">
        <f t="shared" si="4"/>
        <v/>
      </c>
    </row>
    <row r="1983" spans="19:25">
      <c r="S1983" t="str">
        <f t="shared" si="0"/>
        <v/>
      </c>
      <c r="T1983" t="str">
        <f t="shared" si="1"/>
        <v/>
      </c>
      <c r="U1983" t="str">
        <f t="shared" si="2"/>
        <v/>
      </c>
      <c r="V1983" t="str">
        <f>IF(OR(U1983="",U1983="ERRO_CHAVE"),"",IFERROR(MATCH(U1983,Fornecedores!$AF$1:$AF$6631,0),""))</f>
        <v/>
      </c>
      <c r="W1983" t="str">
        <f t="shared" si="3"/>
        <v/>
      </c>
      <c r="X1983" s="4" t="str">
        <f>IF(V1983="","",INDEX(Fornecedores!$X$1:$X$6631,V1983))</f>
        <v/>
      </c>
      <c r="Y1983" s="4" t="str">
        <f t="shared" si="4"/>
        <v/>
      </c>
    </row>
    <row r="1984" spans="19:25">
      <c r="S1984" t="str">
        <f t="shared" si="0"/>
        <v/>
      </c>
      <c r="T1984" t="str">
        <f t="shared" si="1"/>
        <v/>
      </c>
      <c r="U1984" t="str">
        <f t="shared" si="2"/>
        <v/>
      </c>
      <c r="V1984" t="str">
        <f>IF(OR(U1984="",U1984="ERRO_CHAVE"),"",IFERROR(MATCH(U1984,Fornecedores!$AF$1:$AF$6631,0),""))</f>
        <v/>
      </c>
      <c r="W1984" t="str">
        <f t="shared" si="3"/>
        <v/>
      </c>
      <c r="X1984" s="4" t="str">
        <f>IF(V1984="","",INDEX(Fornecedores!$X$1:$X$6631,V1984))</f>
        <v/>
      </c>
      <c r="Y1984" s="4" t="str">
        <f t="shared" si="4"/>
        <v/>
      </c>
    </row>
    <row r="1985" spans="19:25">
      <c r="S1985" t="str">
        <f t="shared" si="0"/>
        <v/>
      </c>
      <c r="T1985" t="str">
        <f t="shared" si="1"/>
        <v/>
      </c>
      <c r="U1985" t="str">
        <f t="shared" si="2"/>
        <v/>
      </c>
      <c r="V1985" t="str">
        <f>IF(OR(U1985="",U1985="ERRO_CHAVE"),"",IFERROR(MATCH(U1985,Fornecedores!$AF$1:$AF$6631,0),""))</f>
        <v/>
      </c>
      <c r="W1985" t="str">
        <f t="shared" si="3"/>
        <v/>
      </c>
      <c r="X1985" s="4" t="str">
        <f>IF(V1985="","",INDEX(Fornecedores!$X$1:$X$6631,V1985))</f>
        <v/>
      </c>
      <c r="Y1985" s="4" t="str">
        <f t="shared" si="4"/>
        <v/>
      </c>
    </row>
    <row r="1986" spans="19:25">
      <c r="S1986" t="str">
        <f t="shared" si="0"/>
        <v/>
      </c>
      <c r="T1986" t="str">
        <f t="shared" si="1"/>
        <v/>
      </c>
      <c r="U1986" t="str">
        <f t="shared" si="2"/>
        <v/>
      </c>
      <c r="V1986" t="str">
        <f>IF(OR(U1986="",U1986="ERRO_CHAVE"),"",IFERROR(MATCH(U1986,Fornecedores!$AF$1:$AF$6631,0),""))</f>
        <v/>
      </c>
      <c r="W1986" t="str">
        <f t="shared" si="3"/>
        <v/>
      </c>
      <c r="X1986" s="4" t="str">
        <f>IF(V1986="","",INDEX(Fornecedores!$X$1:$X$6631,V1986))</f>
        <v/>
      </c>
      <c r="Y1986" s="4" t="str">
        <f t="shared" si="4"/>
        <v/>
      </c>
    </row>
    <row r="1987" spans="19:25">
      <c r="S1987" t="str">
        <f t="shared" si="0"/>
        <v/>
      </c>
      <c r="T1987" t="str">
        <f t="shared" si="1"/>
        <v/>
      </c>
      <c r="U1987" t="str">
        <f t="shared" si="2"/>
        <v/>
      </c>
      <c r="V1987" t="str">
        <f>IF(OR(U1987="",U1987="ERRO_CHAVE"),"",IFERROR(MATCH(U1987,Fornecedores!$AF$1:$AF$6631,0),""))</f>
        <v/>
      </c>
      <c r="W1987" t="str">
        <f t="shared" si="3"/>
        <v/>
      </c>
      <c r="X1987" s="4" t="str">
        <f>IF(V1987="","",INDEX(Fornecedores!$X$1:$X$6631,V1987))</f>
        <v/>
      </c>
      <c r="Y1987" s="4" t="str">
        <f t="shared" si="4"/>
        <v/>
      </c>
    </row>
    <row r="1988" spans="19:25">
      <c r="S1988" t="str">
        <f t="shared" si="0"/>
        <v/>
      </c>
      <c r="T1988" t="str">
        <f t="shared" si="1"/>
        <v/>
      </c>
      <c r="U1988" t="str">
        <f t="shared" si="2"/>
        <v/>
      </c>
      <c r="V1988" t="str">
        <f>IF(OR(U1988="",U1988="ERRO_CHAVE"),"",IFERROR(MATCH(U1988,Fornecedores!$AF$1:$AF$6631,0),""))</f>
        <v/>
      </c>
      <c r="W1988" t="str">
        <f t="shared" si="3"/>
        <v/>
      </c>
      <c r="X1988" s="4" t="str">
        <f>IF(V1988="","",INDEX(Fornecedores!$X$1:$X$6631,V1988))</f>
        <v/>
      </c>
      <c r="Y1988" s="4" t="str">
        <f t="shared" si="4"/>
        <v/>
      </c>
    </row>
    <row r="1989" spans="19:25">
      <c r="S1989" t="str">
        <f t="shared" si="0"/>
        <v/>
      </c>
      <c r="T1989" t="str">
        <f t="shared" si="1"/>
        <v/>
      </c>
      <c r="U1989" t="str">
        <f t="shared" si="2"/>
        <v/>
      </c>
      <c r="V1989" t="str">
        <f>IF(OR(U1989="",U1989="ERRO_CHAVE"),"",IFERROR(MATCH(U1989,Fornecedores!$AF$1:$AF$6631,0),""))</f>
        <v/>
      </c>
      <c r="W1989" t="str">
        <f t="shared" si="3"/>
        <v/>
      </c>
      <c r="X1989" s="4" t="str">
        <f>IF(V1989="","",INDEX(Fornecedores!$X$1:$X$6631,V1989))</f>
        <v/>
      </c>
      <c r="Y1989" s="4" t="str">
        <f t="shared" si="4"/>
        <v/>
      </c>
    </row>
    <row r="1990" spans="19:25">
      <c r="S1990" t="str">
        <f t="shared" si="0"/>
        <v/>
      </c>
      <c r="T1990" t="str">
        <f t="shared" si="1"/>
        <v/>
      </c>
      <c r="U1990" t="str">
        <f t="shared" si="2"/>
        <v/>
      </c>
      <c r="V1990" t="str">
        <f>IF(OR(U1990="",U1990="ERRO_CHAVE"),"",IFERROR(MATCH(U1990,Fornecedores!$AF$1:$AF$6631,0),""))</f>
        <v/>
      </c>
      <c r="W1990" t="str">
        <f t="shared" si="3"/>
        <v/>
      </c>
      <c r="X1990" s="4" t="str">
        <f>IF(V1990="","",INDEX(Fornecedores!$X$1:$X$6631,V1990))</f>
        <v/>
      </c>
      <c r="Y1990" s="4" t="str">
        <f t="shared" si="4"/>
        <v/>
      </c>
    </row>
    <row r="1991" spans="19:25">
      <c r="S1991" t="str">
        <f t="shared" si="0"/>
        <v/>
      </c>
      <c r="T1991" t="str">
        <f t="shared" si="1"/>
        <v/>
      </c>
      <c r="U1991" t="str">
        <f t="shared" si="2"/>
        <v/>
      </c>
      <c r="V1991" t="str">
        <f>IF(OR(U1991="",U1991="ERRO_CHAVE"),"",IFERROR(MATCH(U1991,Fornecedores!$AF$1:$AF$6631,0),""))</f>
        <v/>
      </c>
      <c r="W1991" t="str">
        <f t="shared" si="3"/>
        <v/>
      </c>
      <c r="X1991" s="4" t="str">
        <f>IF(V1991="","",INDEX(Fornecedores!$X$1:$X$6631,V1991))</f>
        <v/>
      </c>
      <c r="Y1991" s="4" t="str">
        <f t="shared" si="4"/>
        <v/>
      </c>
    </row>
    <row r="1992" spans="19:25">
      <c r="S1992" t="str">
        <f t="shared" si="0"/>
        <v/>
      </c>
      <c r="T1992" t="str">
        <f t="shared" si="1"/>
        <v/>
      </c>
      <c r="U1992" t="str">
        <f t="shared" si="2"/>
        <v/>
      </c>
      <c r="V1992" t="str">
        <f>IF(OR(U1992="",U1992="ERRO_CHAVE"),"",IFERROR(MATCH(U1992,Fornecedores!$AF$1:$AF$6631,0),""))</f>
        <v/>
      </c>
      <c r="W1992" t="str">
        <f t="shared" si="3"/>
        <v/>
      </c>
      <c r="X1992" s="4" t="str">
        <f>IF(V1992="","",INDEX(Fornecedores!$X$1:$X$6631,V1992))</f>
        <v/>
      </c>
      <c r="Y1992" s="4" t="str">
        <f t="shared" si="4"/>
        <v/>
      </c>
    </row>
    <row r="1993" spans="19:25">
      <c r="S1993" t="str">
        <f t="shared" si="0"/>
        <v/>
      </c>
      <c r="T1993" t="str">
        <f t="shared" si="1"/>
        <v/>
      </c>
      <c r="U1993" t="str">
        <f t="shared" si="2"/>
        <v/>
      </c>
      <c r="V1993" t="str">
        <f>IF(OR(U1993="",U1993="ERRO_CHAVE"),"",IFERROR(MATCH(U1993,Fornecedores!$AF$1:$AF$6631,0),""))</f>
        <v/>
      </c>
      <c r="W1993" t="str">
        <f t="shared" si="3"/>
        <v/>
      </c>
      <c r="X1993" s="4" t="str">
        <f>IF(V1993="","",INDEX(Fornecedores!$X$1:$X$6631,V1993))</f>
        <v/>
      </c>
      <c r="Y1993" s="4" t="str">
        <f t="shared" si="4"/>
        <v/>
      </c>
    </row>
    <row r="1994" spans="19:25">
      <c r="S1994" t="str">
        <f t="shared" si="0"/>
        <v/>
      </c>
      <c r="T1994" t="str">
        <f t="shared" si="1"/>
        <v/>
      </c>
      <c r="U1994" t="str">
        <f t="shared" si="2"/>
        <v/>
      </c>
      <c r="V1994" t="str">
        <f>IF(OR(U1994="",U1994="ERRO_CHAVE"),"",IFERROR(MATCH(U1994,Fornecedores!$AF$1:$AF$6631,0),""))</f>
        <v/>
      </c>
      <c r="W1994" t="str">
        <f t="shared" si="3"/>
        <v/>
      </c>
      <c r="X1994" s="4" t="str">
        <f>IF(V1994="","",INDEX(Fornecedores!$X$1:$X$6631,V1994))</f>
        <v/>
      </c>
      <c r="Y1994" s="4" t="str">
        <f t="shared" si="4"/>
        <v/>
      </c>
    </row>
    <row r="1995" spans="19:25">
      <c r="S1995" t="str">
        <f t="shared" si="0"/>
        <v/>
      </c>
      <c r="T1995" t="str">
        <f t="shared" si="1"/>
        <v/>
      </c>
      <c r="U1995" t="str">
        <f t="shared" si="2"/>
        <v/>
      </c>
      <c r="V1995" t="str">
        <f>IF(OR(U1995="",U1995="ERRO_CHAVE"),"",IFERROR(MATCH(U1995,Fornecedores!$AF$1:$AF$6631,0),""))</f>
        <v/>
      </c>
      <c r="W1995" t="str">
        <f t="shared" si="3"/>
        <v/>
      </c>
      <c r="X1995" s="4" t="str">
        <f>IF(V1995="","",INDEX(Fornecedores!$X$1:$X$6631,V1995))</f>
        <v/>
      </c>
      <c r="Y1995" s="4" t="str">
        <f t="shared" si="4"/>
        <v/>
      </c>
    </row>
    <row r="1996" spans="19:25">
      <c r="S1996" t="str">
        <f t="shared" si="0"/>
        <v/>
      </c>
      <c r="T1996" t="str">
        <f t="shared" si="1"/>
        <v/>
      </c>
      <c r="U1996" t="str">
        <f t="shared" si="2"/>
        <v/>
      </c>
      <c r="V1996" t="str">
        <f>IF(OR(U1996="",U1996="ERRO_CHAVE"),"",IFERROR(MATCH(U1996,Fornecedores!$AF$1:$AF$6631,0),""))</f>
        <v/>
      </c>
      <c r="W1996" t="str">
        <f t="shared" si="3"/>
        <v/>
      </c>
      <c r="X1996" s="4" t="str">
        <f>IF(V1996="","",INDEX(Fornecedores!$X$1:$X$6631,V1996))</f>
        <v/>
      </c>
      <c r="Y1996" s="4" t="str">
        <f t="shared" si="4"/>
        <v/>
      </c>
    </row>
    <row r="1997" spans="19:25">
      <c r="S1997" t="str">
        <f t="shared" si="0"/>
        <v/>
      </c>
      <c r="T1997" t="str">
        <f t="shared" si="1"/>
        <v/>
      </c>
      <c r="U1997" t="str">
        <f t="shared" si="2"/>
        <v/>
      </c>
      <c r="V1997" t="str">
        <f>IF(OR(U1997="",U1997="ERRO_CHAVE"),"",IFERROR(MATCH(U1997,Fornecedores!$AF$1:$AF$6631,0),""))</f>
        <v/>
      </c>
      <c r="W1997" t="str">
        <f t="shared" si="3"/>
        <v/>
      </c>
      <c r="X1997" s="4" t="str">
        <f>IF(V1997="","",INDEX(Fornecedores!$X$1:$X$6631,V1997))</f>
        <v/>
      </c>
      <c r="Y1997" s="4" t="str">
        <f t="shared" si="4"/>
        <v/>
      </c>
    </row>
    <row r="1998" spans="19:25">
      <c r="S1998" t="str">
        <f t="shared" si="0"/>
        <v/>
      </c>
      <c r="T1998" t="str">
        <f t="shared" si="1"/>
        <v/>
      </c>
      <c r="U1998" t="str">
        <f t="shared" si="2"/>
        <v/>
      </c>
      <c r="V1998" t="str">
        <f>IF(OR(U1998="",U1998="ERRO_CHAVE"),"",IFERROR(MATCH(U1998,Fornecedores!$AF$1:$AF$6631,0),""))</f>
        <v/>
      </c>
      <c r="W1998" t="str">
        <f t="shared" si="3"/>
        <v/>
      </c>
      <c r="X1998" s="4" t="str">
        <f>IF(V1998="","",INDEX(Fornecedores!$X$1:$X$6631,V1998))</f>
        <v/>
      </c>
      <c r="Y1998" s="4" t="str">
        <f t="shared" si="4"/>
        <v/>
      </c>
    </row>
    <row r="1999" spans="19:25">
      <c r="S1999" t="str">
        <f t="shared" si="0"/>
        <v/>
      </c>
      <c r="T1999" t="str">
        <f t="shared" si="1"/>
        <v/>
      </c>
      <c r="U1999" t="str">
        <f t="shared" si="2"/>
        <v/>
      </c>
      <c r="V1999" t="str">
        <f>IF(OR(U1999="",U1999="ERRO_CHAVE"),"",IFERROR(MATCH(U1999,Fornecedores!$AF$1:$AF$6631,0),""))</f>
        <v/>
      </c>
      <c r="W1999" t="str">
        <f t="shared" si="3"/>
        <v/>
      </c>
      <c r="X1999" s="4" t="str">
        <f>IF(V1999="","",INDEX(Fornecedores!$X$1:$X$6631,V1999))</f>
        <v/>
      </c>
      <c r="Y1999" s="4" t="str">
        <f t="shared" si="4"/>
        <v/>
      </c>
    </row>
    <row r="2000" spans="19:25">
      <c r="S2000" t="str">
        <f t="shared" si="0"/>
        <v/>
      </c>
      <c r="T2000" t="str">
        <f t="shared" si="1"/>
        <v/>
      </c>
      <c r="U2000" t="str">
        <f t="shared" si="2"/>
        <v/>
      </c>
      <c r="V2000" t="str">
        <f>IF(OR(U2000="",U2000="ERRO_CHAVE"),"",IFERROR(MATCH(U2000,Fornecedores!$AF$1:$AF$6631,0),""))</f>
        <v/>
      </c>
      <c r="W2000" t="str">
        <f t="shared" si="3"/>
        <v/>
      </c>
      <c r="X2000" s="4" t="str">
        <f>IF(V2000="","",INDEX(Fornecedores!$X$1:$X$6631,V2000))</f>
        <v/>
      </c>
      <c r="Y2000" s="4" t="str">
        <f t="shared" si="4"/>
        <v/>
      </c>
    </row>
    <row r="2001" spans="19:25">
      <c r="S2001" t="str">
        <f t="shared" si="0"/>
        <v/>
      </c>
      <c r="T2001" t="str">
        <f t="shared" si="1"/>
        <v/>
      </c>
      <c r="U2001" t="str">
        <f t="shared" si="2"/>
        <v/>
      </c>
      <c r="V2001" t="str">
        <f>IF(OR(U2001="",U2001="ERRO_CHAVE"),"",IFERROR(MATCH(U2001,Fornecedores!$AF$1:$AF$6631,0),""))</f>
        <v/>
      </c>
      <c r="W2001" t="str">
        <f t="shared" si="3"/>
        <v/>
      </c>
      <c r="X2001" s="4" t="str">
        <f>IF(V2001="","",INDEX(Fornecedores!$X$1:$X$6631,V2001))</f>
        <v/>
      </c>
      <c r="Y2001" s="4" t="str">
        <f t="shared" si="4"/>
        <v/>
      </c>
    </row>
    <row r="2002" spans="19:25">
      <c r="S2002" t="str">
        <f t="shared" si="0"/>
        <v/>
      </c>
      <c r="T2002" t="str">
        <f t="shared" si="1"/>
        <v/>
      </c>
      <c r="U2002" t="str">
        <f t="shared" si="2"/>
        <v/>
      </c>
      <c r="V2002" t="str">
        <f>IF(OR(U2002="",U2002="ERRO_CHAVE"),"",IFERROR(MATCH(U2002,Fornecedores!$AF$1:$AF$6631,0),""))</f>
        <v/>
      </c>
      <c r="W2002" t="str">
        <f t="shared" si="3"/>
        <v/>
      </c>
      <c r="X2002" s="4" t="str">
        <f>IF(V2002="","",INDEX(Fornecedores!$X$1:$X$6631,V2002))</f>
        <v/>
      </c>
      <c r="Y2002" s="4" t="str">
        <f t="shared" si="4"/>
        <v/>
      </c>
    </row>
    <row r="2003" spans="19:25">
      <c r="S2003" t="str">
        <f t="shared" si="0"/>
        <v/>
      </c>
      <c r="T2003" t="str">
        <f t="shared" si="1"/>
        <v/>
      </c>
      <c r="U2003" t="str">
        <f t="shared" si="2"/>
        <v/>
      </c>
      <c r="V2003" t="str">
        <f>IF(OR(U2003="",U2003="ERRO_CHAVE"),"",IFERROR(MATCH(U2003,Fornecedores!$AF$1:$AF$6631,0),""))</f>
        <v/>
      </c>
      <c r="W2003" t="str">
        <f t="shared" si="3"/>
        <v/>
      </c>
      <c r="X2003" s="4" t="str">
        <f>IF(V2003="","",INDEX(Fornecedores!$X$1:$X$6631,V2003))</f>
        <v/>
      </c>
      <c r="Y2003" s="4" t="str">
        <f t="shared" si="4"/>
        <v/>
      </c>
    </row>
    <row r="2004" spans="19:25">
      <c r="S2004" t="str">
        <f t="shared" si="0"/>
        <v/>
      </c>
      <c r="T2004" t="str">
        <f t="shared" si="1"/>
        <v/>
      </c>
      <c r="U2004" t="str">
        <f t="shared" si="2"/>
        <v/>
      </c>
      <c r="V2004" t="str">
        <f>IF(OR(U2004="",U2004="ERRO_CHAVE"),"",IFERROR(MATCH(U2004,Fornecedores!$AF$1:$AF$6631,0),""))</f>
        <v/>
      </c>
      <c r="W2004" t="str">
        <f t="shared" si="3"/>
        <v/>
      </c>
      <c r="X2004" s="4" t="str">
        <f>IF(V2004="","",INDEX(Fornecedores!$X$1:$X$6631,V2004))</f>
        <v/>
      </c>
      <c r="Y2004" s="4" t="str">
        <f t="shared" si="4"/>
        <v/>
      </c>
    </row>
    <row r="2005" spans="19:25">
      <c r="S2005" t="str">
        <f t="shared" si="0"/>
        <v/>
      </c>
      <c r="T2005" t="str">
        <f t="shared" si="1"/>
        <v/>
      </c>
      <c r="U2005" t="str">
        <f t="shared" si="2"/>
        <v/>
      </c>
      <c r="V2005" t="str">
        <f>IF(OR(U2005="",U2005="ERRO_CHAVE"),"",IFERROR(MATCH(U2005,Fornecedores!$AF$1:$AF$6631,0),""))</f>
        <v/>
      </c>
      <c r="W2005" t="str">
        <f t="shared" si="3"/>
        <v/>
      </c>
      <c r="X2005" s="4" t="str">
        <f>IF(V2005="","",INDEX(Fornecedores!$X$1:$X$6631,V2005))</f>
        <v/>
      </c>
      <c r="Y2005" s="4" t="str">
        <f t="shared" si="4"/>
        <v/>
      </c>
    </row>
    <row r="2006" spans="19:25">
      <c r="S2006" t="str">
        <f t="shared" si="0"/>
        <v/>
      </c>
      <c r="T2006" t="str">
        <f t="shared" si="1"/>
        <v/>
      </c>
      <c r="U2006" t="str">
        <f t="shared" si="2"/>
        <v/>
      </c>
      <c r="V2006" t="str">
        <f>IF(OR(U2006="",U2006="ERRO_CHAVE"),"",IFERROR(MATCH(U2006,Fornecedores!$AF$1:$AF$6631,0),""))</f>
        <v/>
      </c>
      <c r="W2006" t="str">
        <f t="shared" si="3"/>
        <v/>
      </c>
      <c r="X2006" s="4" t="str">
        <f>IF(V2006="","",INDEX(Fornecedores!$X$1:$X$6631,V2006))</f>
        <v/>
      </c>
      <c r="Y2006" s="4" t="str">
        <f t="shared" si="4"/>
        <v/>
      </c>
    </row>
    <row r="2007" spans="19:25">
      <c r="S2007" t="str">
        <f t="shared" si="0"/>
        <v/>
      </c>
      <c r="T2007" t="str">
        <f t="shared" si="1"/>
        <v/>
      </c>
      <c r="U2007" t="str">
        <f t="shared" si="2"/>
        <v/>
      </c>
      <c r="V2007" t="str">
        <f>IF(OR(U2007="",U2007="ERRO_CHAVE"),"",IFERROR(MATCH(U2007,Fornecedores!$AF$1:$AF$6631,0),""))</f>
        <v/>
      </c>
      <c r="W2007" t="str">
        <f t="shared" si="3"/>
        <v/>
      </c>
      <c r="X2007" s="4" t="str">
        <f>IF(V2007="","",INDEX(Fornecedores!$X$1:$X$6631,V2007))</f>
        <v/>
      </c>
      <c r="Y2007" s="4" t="str">
        <f t="shared" si="4"/>
        <v/>
      </c>
    </row>
    <row r="2008" spans="19:25">
      <c r="S2008" t="str">
        <f t="shared" si="0"/>
        <v/>
      </c>
      <c r="T2008" t="str">
        <f t="shared" si="1"/>
        <v/>
      </c>
      <c r="U2008" t="str">
        <f t="shared" si="2"/>
        <v/>
      </c>
      <c r="V2008" t="str">
        <f>IF(OR(U2008="",U2008="ERRO_CHAVE"),"",IFERROR(MATCH(U2008,Fornecedores!$AF$1:$AF$6631,0),""))</f>
        <v/>
      </c>
      <c r="W2008" t="str">
        <f t="shared" si="3"/>
        <v/>
      </c>
      <c r="X2008" s="4" t="str">
        <f>IF(V2008="","",INDEX(Fornecedores!$X$1:$X$6631,V2008))</f>
        <v/>
      </c>
      <c r="Y2008" s="4" t="str">
        <f t="shared" si="4"/>
        <v/>
      </c>
    </row>
    <row r="2009" spans="19:25">
      <c r="S2009" t="str">
        <f t="shared" si="0"/>
        <v/>
      </c>
      <c r="T2009" t="str">
        <f t="shared" si="1"/>
        <v/>
      </c>
      <c r="U2009" t="str">
        <f t="shared" si="2"/>
        <v/>
      </c>
      <c r="V2009" t="str">
        <f>IF(OR(U2009="",U2009="ERRO_CHAVE"),"",IFERROR(MATCH(U2009,Fornecedores!$AF$1:$AF$6631,0),""))</f>
        <v/>
      </c>
      <c r="W2009" t="str">
        <f t="shared" si="3"/>
        <v/>
      </c>
      <c r="X2009" s="4" t="str">
        <f>IF(V2009="","",INDEX(Fornecedores!$X$1:$X$6631,V2009))</f>
        <v/>
      </c>
      <c r="Y2009" s="4" t="str">
        <f t="shared" si="4"/>
        <v/>
      </c>
    </row>
    <row r="2010" spans="19:25">
      <c r="S2010" t="str">
        <f t="shared" si="0"/>
        <v/>
      </c>
      <c r="T2010" t="str">
        <f t="shared" si="1"/>
        <v/>
      </c>
      <c r="U2010" t="str">
        <f t="shared" si="2"/>
        <v/>
      </c>
      <c r="V2010" t="str">
        <f>IF(OR(U2010="",U2010="ERRO_CHAVE"),"",IFERROR(MATCH(U2010,Fornecedores!$AF$1:$AF$6631,0),""))</f>
        <v/>
      </c>
      <c r="W2010" t="str">
        <f t="shared" si="3"/>
        <v/>
      </c>
      <c r="X2010" s="4" t="str">
        <f>IF(V2010="","",INDEX(Fornecedores!$X$1:$X$6631,V2010))</f>
        <v/>
      </c>
      <c r="Y2010" s="4" t="str">
        <f t="shared" si="4"/>
        <v/>
      </c>
    </row>
    <row r="2011" spans="19:25">
      <c r="S2011" t="str">
        <f t="shared" si="0"/>
        <v/>
      </c>
      <c r="T2011" t="str">
        <f t="shared" si="1"/>
        <v/>
      </c>
      <c r="U2011" t="str">
        <f t="shared" si="2"/>
        <v/>
      </c>
      <c r="V2011" t="str">
        <f>IF(OR(U2011="",U2011="ERRO_CHAVE"),"",IFERROR(MATCH(U2011,Fornecedores!$AF$1:$AF$6631,0),""))</f>
        <v/>
      </c>
      <c r="W2011" t="str">
        <f t="shared" si="3"/>
        <v/>
      </c>
      <c r="X2011" s="4" t="str">
        <f>IF(V2011="","",INDEX(Fornecedores!$X$1:$X$6631,V2011))</f>
        <v/>
      </c>
      <c r="Y2011" s="4" t="str">
        <f t="shared" si="4"/>
        <v/>
      </c>
    </row>
    <row r="2012" spans="19:25">
      <c r="S2012" t="str">
        <f t="shared" si="0"/>
        <v/>
      </c>
      <c r="T2012" t="str">
        <f t="shared" si="1"/>
        <v/>
      </c>
      <c r="U2012" t="str">
        <f t="shared" si="2"/>
        <v/>
      </c>
      <c r="V2012" t="str">
        <f>IF(OR(U2012="",U2012="ERRO_CHAVE"),"",IFERROR(MATCH(U2012,Fornecedores!$AF$1:$AF$6631,0),""))</f>
        <v/>
      </c>
      <c r="W2012" t="str">
        <f t="shared" si="3"/>
        <v/>
      </c>
      <c r="X2012" s="4" t="str">
        <f>IF(V2012="","",INDEX(Fornecedores!$X$1:$X$6631,V2012))</f>
        <v/>
      </c>
      <c r="Y2012" s="4" t="str">
        <f t="shared" si="4"/>
        <v/>
      </c>
    </row>
    <row r="2013" spans="19:25">
      <c r="S2013" t="str">
        <f t="shared" si="0"/>
        <v/>
      </c>
      <c r="T2013" t="str">
        <f t="shared" si="1"/>
        <v/>
      </c>
      <c r="U2013" t="str">
        <f t="shared" si="2"/>
        <v/>
      </c>
      <c r="V2013" t="str">
        <f>IF(OR(U2013="",U2013="ERRO_CHAVE"),"",IFERROR(MATCH(U2013,Fornecedores!$AF$1:$AF$6631,0),""))</f>
        <v/>
      </c>
      <c r="W2013" t="str">
        <f t="shared" si="3"/>
        <v/>
      </c>
      <c r="X2013" s="4" t="str">
        <f>IF(V2013="","",INDEX(Fornecedores!$X$1:$X$6631,V2013))</f>
        <v/>
      </c>
      <c r="Y2013" s="4" t="str">
        <f t="shared" si="4"/>
        <v/>
      </c>
    </row>
    <row r="2014" spans="19:25">
      <c r="S2014" t="str">
        <f t="shared" si="0"/>
        <v/>
      </c>
      <c r="T2014" t="str">
        <f t="shared" si="1"/>
        <v/>
      </c>
      <c r="U2014" t="str">
        <f t="shared" si="2"/>
        <v/>
      </c>
      <c r="V2014" t="str">
        <f>IF(OR(U2014="",U2014="ERRO_CHAVE"),"",IFERROR(MATCH(U2014,Fornecedores!$AF$1:$AF$6631,0),""))</f>
        <v/>
      </c>
      <c r="W2014" t="str">
        <f t="shared" si="3"/>
        <v/>
      </c>
      <c r="X2014" s="4" t="str">
        <f>IF(V2014="","",INDEX(Fornecedores!$X$1:$X$6631,V2014))</f>
        <v/>
      </c>
      <c r="Y2014" s="4" t="str">
        <f t="shared" si="4"/>
        <v/>
      </c>
    </row>
    <row r="2015" spans="19:25">
      <c r="S2015" t="str">
        <f t="shared" si="0"/>
        <v/>
      </c>
      <c r="T2015" t="str">
        <f t="shared" si="1"/>
        <v/>
      </c>
      <c r="U2015" t="str">
        <f t="shared" si="2"/>
        <v/>
      </c>
      <c r="V2015" t="str">
        <f>IF(OR(U2015="",U2015="ERRO_CHAVE"),"",IFERROR(MATCH(U2015,Fornecedores!$AF$1:$AF$6631,0),""))</f>
        <v/>
      </c>
      <c r="W2015" t="str">
        <f t="shared" si="3"/>
        <v/>
      </c>
      <c r="X2015" s="4" t="str">
        <f>IF(V2015="","",INDEX(Fornecedores!$X$1:$X$6631,V2015))</f>
        <v/>
      </c>
      <c r="Y2015" s="4" t="str">
        <f t="shared" si="4"/>
        <v/>
      </c>
    </row>
    <row r="2016" spans="19:25">
      <c r="S2016" t="str">
        <f t="shared" si="0"/>
        <v/>
      </c>
      <c r="T2016" t="str">
        <f t="shared" si="1"/>
        <v/>
      </c>
      <c r="U2016" t="str">
        <f t="shared" si="2"/>
        <v/>
      </c>
      <c r="V2016" t="str">
        <f>IF(OR(U2016="",U2016="ERRO_CHAVE"),"",IFERROR(MATCH(U2016,Fornecedores!$AF$1:$AF$6631,0),""))</f>
        <v/>
      </c>
      <c r="W2016" t="str">
        <f t="shared" si="3"/>
        <v/>
      </c>
      <c r="X2016" s="4" t="str">
        <f>IF(V2016="","",INDEX(Fornecedores!$X$1:$X$6631,V2016))</f>
        <v/>
      </c>
      <c r="Y2016" s="4" t="str">
        <f t="shared" si="4"/>
        <v/>
      </c>
    </row>
    <row r="2017" spans="19:25">
      <c r="S2017" t="str">
        <f t="shared" si="0"/>
        <v/>
      </c>
      <c r="T2017" t="str">
        <f t="shared" si="1"/>
        <v/>
      </c>
      <c r="U2017" t="str">
        <f t="shared" si="2"/>
        <v/>
      </c>
      <c r="V2017" t="str">
        <f>IF(OR(U2017="",U2017="ERRO_CHAVE"),"",IFERROR(MATCH(U2017,Fornecedores!$AF$1:$AF$6631,0),""))</f>
        <v/>
      </c>
      <c r="W2017" t="str">
        <f t="shared" si="3"/>
        <v/>
      </c>
      <c r="X2017" s="4" t="str">
        <f>IF(V2017="","",INDEX(Fornecedores!$X$1:$X$6631,V2017))</f>
        <v/>
      </c>
      <c r="Y2017" s="4" t="str">
        <f t="shared" si="4"/>
        <v/>
      </c>
    </row>
    <row r="2018" spans="19:25">
      <c r="S2018" t="str">
        <f t="shared" si="0"/>
        <v/>
      </c>
      <c r="T2018" t="str">
        <f t="shared" si="1"/>
        <v/>
      </c>
      <c r="U2018" t="str">
        <f t="shared" si="2"/>
        <v/>
      </c>
      <c r="V2018" t="str">
        <f>IF(OR(U2018="",U2018="ERRO_CHAVE"),"",IFERROR(MATCH(U2018,Fornecedores!$AF$1:$AF$6631,0),""))</f>
        <v/>
      </c>
      <c r="W2018" t="str">
        <f t="shared" si="3"/>
        <v/>
      </c>
      <c r="X2018" s="4" t="str">
        <f>IF(V2018="","",INDEX(Fornecedores!$X$1:$X$6631,V2018))</f>
        <v/>
      </c>
      <c r="Y2018" s="4" t="str">
        <f t="shared" si="4"/>
        <v/>
      </c>
    </row>
    <row r="2019" spans="19:25">
      <c r="S2019" t="str">
        <f t="shared" si="0"/>
        <v/>
      </c>
      <c r="T2019" t="str">
        <f t="shared" si="1"/>
        <v/>
      </c>
      <c r="U2019" t="str">
        <f t="shared" si="2"/>
        <v/>
      </c>
      <c r="V2019" t="str">
        <f>IF(OR(U2019="",U2019="ERRO_CHAVE"),"",IFERROR(MATCH(U2019,Fornecedores!$AF$1:$AF$6631,0),""))</f>
        <v/>
      </c>
      <c r="W2019" t="str">
        <f t="shared" si="3"/>
        <v/>
      </c>
      <c r="X2019" s="4" t="str">
        <f>IF(V2019="","",INDEX(Fornecedores!$X$1:$X$6631,V2019))</f>
        <v/>
      </c>
      <c r="Y2019" s="4" t="str">
        <f t="shared" si="4"/>
        <v/>
      </c>
    </row>
    <row r="2020" spans="19:25">
      <c r="S2020" t="str">
        <f t="shared" si="0"/>
        <v/>
      </c>
      <c r="T2020" t="str">
        <f t="shared" si="1"/>
        <v/>
      </c>
      <c r="U2020" t="str">
        <f t="shared" si="2"/>
        <v/>
      </c>
      <c r="V2020" t="str">
        <f>IF(OR(U2020="",U2020="ERRO_CHAVE"),"",IFERROR(MATCH(U2020,Fornecedores!$AF$1:$AF$6631,0),""))</f>
        <v/>
      </c>
      <c r="W2020" t="str">
        <f t="shared" si="3"/>
        <v/>
      </c>
      <c r="X2020" s="4" t="str">
        <f>IF(V2020="","",INDEX(Fornecedores!$X$1:$X$6631,V2020))</f>
        <v/>
      </c>
      <c r="Y2020" s="4" t="str">
        <f t="shared" si="4"/>
        <v/>
      </c>
    </row>
    <row r="2021" spans="19:25">
      <c r="S2021" t="str">
        <f t="shared" si="0"/>
        <v/>
      </c>
      <c r="T2021" t="str">
        <f t="shared" si="1"/>
        <v/>
      </c>
      <c r="U2021" t="str">
        <f t="shared" si="2"/>
        <v/>
      </c>
      <c r="V2021" t="str">
        <f>IF(OR(U2021="",U2021="ERRO_CHAVE"),"",IFERROR(MATCH(U2021,Fornecedores!$AF$1:$AF$6631,0),""))</f>
        <v/>
      </c>
      <c r="W2021" t="str">
        <f t="shared" si="3"/>
        <v/>
      </c>
      <c r="X2021" s="4" t="str">
        <f>IF(V2021="","",INDEX(Fornecedores!$X$1:$X$6631,V2021))</f>
        <v/>
      </c>
      <c r="Y2021" s="4" t="str">
        <f t="shared" si="4"/>
        <v/>
      </c>
    </row>
    <row r="2022" spans="19:25">
      <c r="S2022" t="str">
        <f t="shared" si="0"/>
        <v/>
      </c>
      <c r="T2022" t="str">
        <f t="shared" si="1"/>
        <v/>
      </c>
      <c r="U2022" t="str">
        <f t="shared" si="2"/>
        <v/>
      </c>
      <c r="V2022" t="str">
        <f>IF(OR(U2022="",U2022="ERRO_CHAVE"),"",IFERROR(MATCH(U2022,Fornecedores!$AF$1:$AF$6631,0),""))</f>
        <v/>
      </c>
      <c r="W2022" t="str">
        <f t="shared" si="3"/>
        <v/>
      </c>
      <c r="X2022" s="4" t="str">
        <f>IF(V2022="","",INDEX(Fornecedores!$X$1:$X$6631,V2022))</f>
        <v/>
      </c>
      <c r="Y2022" s="4" t="str">
        <f t="shared" si="4"/>
        <v/>
      </c>
    </row>
    <row r="2023" spans="19:25">
      <c r="S2023" t="str">
        <f t="shared" si="0"/>
        <v/>
      </c>
      <c r="T2023" t="str">
        <f t="shared" si="1"/>
        <v/>
      </c>
      <c r="U2023" t="str">
        <f t="shared" si="2"/>
        <v/>
      </c>
      <c r="V2023" t="str">
        <f>IF(OR(U2023="",U2023="ERRO_CHAVE"),"",IFERROR(MATCH(U2023,Fornecedores!$AF$1:$AF$6631,0),""))</f>
        <v/>
      </c>
      <c r="W2023" t="str">
        <f t="shared" si="3"/>
        <v/>
      </c>
      <c r="X2023" s="4" t="str">
        <f>IF(V2023="","",INDEX(Fornecedores!$X$1:$X$6631,V2023))</f>
        <v/>
      </c>
      <c r="Y2023" s="4" t="str">
        <f t="shared" si="4"/>
        <v/>
      </c>
    </row>
    <row r="2024" spans="19:25">
      <c r="S2024" t="str">
        <f t="shared" si="0"/>
        <v/>
      </c>
      <c r="T2024" t="str">
        <f t="shared" si="1"/>
        <v/>
      </c>
      <c r="U2024" t="str">
        <f t="shared" si="2"/>
        <v/>
      </c>
      <c r="V2024" t="str">
        <f>IF(OR(U2024="",U2024="ERRO_CHAVE"),"",IFERROR(MATCH(U2024,Fornecedores!$AF$1:$AF$6631,0),""))</f>
        <v/>
      </c>
      <c r="W2024" t="str">
        <f t="shared" si="3"/>
        <v/>
      </c>
      <c r="X2024" s="4" t="str">
        <f>IF(V2024="","",INDEX(Fornecedores!$X$1:$X$6631,V2024))</f>
        <v/>
      </c>
      <c r="Y2024" s="4" t="str">
        <f t="shared" si="4"/>
        <v/>
      </c>
    </row>
    <row r="2025" spans="19:25">
      <c r="S2025" t="str">
        <f t="shared" si="0"/>
        <v/>
      </c>
      <c r="T2025" t="str">
        <f t="shared" si="1"/>
        <v/>
      </c>
      <c r="U2025" t="str">
        <f t="shared" si="2"/>
        <v/>
      </c>
      <c r="V2025" t="str">
        <f>IF(OR(U2025="",U2025="ERRO_CHAVE"),"",IFERROR(MATCH(U2025,Fornecedores!$AF$1:$AF$6631,0),""))</f>
        <v/>
      </c>
      <c r="W2025" t="str">
        <f t="shared" si="3"/>
        <v/>
      </c>
      <c r="X2025" s="4" t="str">
        <f>IF(V2025="","",INDEX(Fornecedores!$X$1:$X$6631,V2025))</f>
        <v/>
      </c>
      <c r="Y2025" s="4" t="str">
        <f t="shared" si="4"/>
        <v/>
      </c>
    </row>
    <row r="2026" spans="19:25">
      <c r="S2026" t="str">
        <f t="shared" si="0"/>
        <v/>
      </c>
      <c r="T2026" t="str">
        <f t="shared" si="1"/>
        <v/>
      </c>
      <c r="U2026" t="str">
        <f t="shared" si="2"/>
        <v/>
      </c>
      <c r="V2026" t="str">
        <f>IF(OR(U2026="",U2026="ERRO_CHAVE"),"",IFERROR(MATCH(U2026,Fornecedores!$AF$1:$AF$6631,0),""))</f>
        <v/>
      </c>
      <c r="W2026" t="str">
        <f t="shared" si="3"/>
        <v/>
      </c>
      <c r="X2026" s="4" t="str">
        <f>IF(V2026="","",INDEX(Fornecedores!$X$1:$X$6631,V2026))</f>
        <v/>
      </c>
      <c r="Y2026" s="4" t="str">
        <f t="shared" si="4"/>
        <v/>
      </c>
    </row>
    <row r="2027" spans="19:25">
      <c r="S2027" t="str">
        <f t="shared" si="0"/>
        <v/>
      </c>
      <c r="T2027" t="str">
        <f t="shared" si="1"/>
        <v/>
      </c>
      <c r="U2027" t="str">
        <f t="shared" si="2"/>
        <v/>
      </c>
      <c r="V2027" t="str">
        <f>IF(OR(U2027="",U2027="ERRO_CHAVE"),"",IFERROR(MATCH(U2027,Fornecedores!$AF$1:$AF$6631,0),""))</f>
        <v/>
      </c>
      <c r="W2027" t="str">
        <f t="shared" si="3"/>
        <v/>
      </c>
      <c r="X2027" s="4" t="str">
        <f>IF(V2027="","",INDEX(Fornecedores!$X$1:$X$6631,V2027))</f>
        <v/>
      </c>
      <c r="Y2027" s="4" t="str">
        <f t="shared" si="4"/>
        <v/>
      </c>
    </row>
    <row r="2028" spans="19:25">
      <c r="S2028" t="str">
        <f t="shared" si="0"/>
        <v/>
      </c>
      <c r="T2028" t="str">
        <f t="shared" si="1"/>
        <v/>
      </c>
      <c r="U2028" t="str">
        <f t="shared" si="2"/>
        <v/>
      </c>
      <c r="V2028" t="str">
        <f>IF(OR(U2028="",U2028="ERRO_CHAVE"),"",IFERROR(MATCH(U2028,Fornecedores!$AF$1:$AF$6631,0),""))</f>
        <v/>
      </c>
      <c r="W2028" t="str">
        <f t="shared" si="3"/>
        <v/>
      </c>
      <c r="X2028" s="4" t="str">
        <f>IF(V2028="","",INDEX(Fornecedores!$X$1:$X$6631,V2028))</f>
        <v/>
      </c>
      <c r="Y2028" s="4" t="str">
        <f t="shared" si="4"/>
        <v/>
      </c>
    </row>
    <row r="2029" spans="19:25">
      <c r="S2029" t="str">
        <f t="shared" si="0"/>
        <v/>
      </c>
      <c r="T2029" t="str">
        <f t="shared" si="1"/>
        <v/>
      </c>
      <c r="U2029" t="str">
        <f t="shared" si="2"/>
        <v/>
      </c>
      <c r="V2029" t="str">
        <f>IF(OR(U2029="",U2029="ERRO_CHAVE"),"",IFERROR(MATCH(U2029,Fornecedores!$AF$1:$AF$6631,0),""))</f>
        <v/>
      </c>
      <c r="W2029" t="str">
        <f t="shared" si="3"/>
        <v/>
      </c>
      <c r="X2029" s="4" t="str">
        <f>IF(V2029="","",INDEX(Fornecedores!$X$1:$X$6631,V2029))</f>
        <v/>
      </c>
      <c r="Y2029" s="4" t="str">
        <f t="shared" si="4"/>
        <v/>
      </c>
    </row>
    <row r="2030" spans="19:25">
      <c r="S2030" t="str">
        <f t="shared" si="0"/>
        <v/>
      </c>
      <c r="T2030" t="str">
        <f t="shared" si="1"/>
        <v/>
      </c>
      <c r="U2030" t="str">
        <f t="shared" si="2"/>
        <v/>
      </c>
      <c r="V2030" t="str">
        <f>IF(OR(U2030="",U2030="ERRO_CHAVE"),"",IFERROR(MATCH(U2030,Fornecedores!$AF$1:$AF$6631,0),""))</f>
        <v/>
      </c>
      <c r="W2030" t="str">
        <f t="shared" si="3"/>
        <v/>
      </c>
      <c r="X2030" s="4" t="str">
        <f>IF(V2030="","",INDEX(Fornecedores!$X$1:$X$6631,V2030))</f>
        <v/>
      </c>
      <c r="Y2030" s="4" t="str">
        <f t="shared" si="4"/>
        <v/>
      </c>
    </row>
    <row r="2031" spans="19:25">
      <c r="S2031" t="str">
        <f t="shared" si="0"/>
        <v/>
      </c>
      <c r="T2031" t="str">
        <f t="shared" si="1"/>
        <v/>
      </c>
      <c r="U2031" t="str">
        <f t="shared" si="2"/>
        <v/>
      </c>
      <c r="V2031" t="str">
        <f>IF(OR(U2031="",U2031="ERRO_CHAVE"),"",IFERROR(MATCH(U2031,Fornecedores!$AF$1:$AF$6631,0),""))</f>
        <v/>
      </c>
      <c r="W2031" t="str">
        <f t="shared" si="3"/>
        <v/>
      </c>
      <c r="X2031" s="4" t="str">
        <f>IF(V2031="","",INDEX(Fornecedores!$X$1:$X$6631,V2031))</f>
        <v/>
      </c>
      <c r="Y2031" s="4" t="str">
        <f t="shared" si="4"/>
        <v/>
      </c>
    </row>
    <row r="2032" spans="19:25">
      <c r="S2032" t="str">
        <f t="shared" si="0"/>
        <v/>
      </c>
      <c r="T2032" t="str">
        <f t="shared" si="1"/>
        <v/>
      </c>
      <c r="U2032" t="str">
        <f t="shared" si="2"/>
        <v/>
      </c>
      <c r="V2032" t="str">
        <f>IF(OR(U2032="",U2032="ERRO_CHAVE"),"",IFERROR(MATCH(U2032,Fornecedores!$AF$1:$AF$6631,0),""))</f>
        <v/>
      </c>
      <c r="W2032" t="str">
        <f t="shared" si="3"/>
        <v/>
      </c>
      <c r="X2032" s="4" t="str">
        <f>IF(V2032="","",INDEX(Fornecedores!$X$1:$X$6631,V2032))</f>
        <v/>
      </c>
      <c r="Y2032" s="4" t="str">
        <f t="shared" si="4"/>
        <v/>
      </c>
    </row>
    <row r="2033" spans="19:25">
      <c r="S2033" t="str">
        <f t="shared" si="0"/>
        <v/>
      </c>
      <c r="T2033" t="str">
        <f t="shared" si="1"/>
        <v/>
      </c>
      <c r="U2033" t="str">
        <f t="shared" si="2"/>
        <v/>
      </c>
      <c r="V2033" t="str">
        <f>IF(OR(U2033="",U2033="ERRO_CHAVE"),"",IFERROR(MATCH(U2033,Fornecedores!$AF$1:$AF$6631,0),""))</f>
        <v/>
      </c>
      <c r="W2033" t="str">
        <f t="shared" si="3"/>
        <v/>
      </c>
      <c r="X2033" s="4" t="str">
        <f>IF(V2033="","",INDEX(Fornecedores!$X$1:$X$6631,V2033))</f>
        <v/>
      </c>
      <c r="Y2033" s="4" t="str">
        <f t="shared" si="4"/>
        <v/>
      </c>
    </row>
    <row r="2034" spans="19:25">
      <c r="S2034" t="str">
        <f t="shared" si="0"/>
        <v/>
      </c>
      <c r="T2034" t="str">
        <f t="shared" si="1"/>
        <v/>
      </c>
      <c r="U2034" t="str">
        <f t="shared" si="2"/>
        <v/>
      </c>
      <c r="V2034" t="str">
        <f>IF(OR(U2034="",U2034="ERRO_CHAVE"),"",IFERROR(MATCH(U2034,Fornecedores!$AF$1:$AF$6631,0),""))</f>
        <v/>
      </c>
      <c r="W2034" t="str">
        <f t="shared" si="3"/>
        <v/>
      </c>
      <c r="X2034" s="4" t="str">
        <f>IF(V2034="","",INDEX(Fornecedores!$X$1:$X$6631,V2034))</f>
        <v/>
      </c>
      <c r="Y2034" s="4" t="str">
        <f t="shared" si="4"/>
        <v/>
      </c>
    </row>
    <row r="2035" spans="19:25">
      <c r="S2035" t="str">
        <f t="shared" si="0"/>
        <v/>
      </c>
      <c r="T2035" t="str">
        <f t="shared" si="1"/>
        <v/>
      </c>
      <c r="U2035" t="str">
        <f t="shared" si="2"/>
        <v/>
      </c>
      <c r="V2035" t="str">
        <f>IF(OR(U2035="",U2035="ERRO_CHAVE"),"",IFERROR(MATCH(U2035,Fornecedores!$AF$1:$AF$6631,0),""))</f>
        <v/>
      </c>
      <c r="W2035" t="str">
        <f t="shared" si="3"/>
        <v/>
      </c>
      <c r="X2035" s="4" t="str">
        <f>IF(V2035="","",INDEX(Fornecedores!$X$1:$X$6631,V2035))</f>
        <v/>
      </c>
      <c r="Y2035" s="4" t="str">
        <f t="shared" si="4"/>
        <v/>
      </c>
    </row>
    <row r="2036" spans="19:25">
      <c r="S2036" t="str">
        <f t="shared" si="0"/>
        <v/>
      </c>
      <c r="T2036" t="str">
        <f t="shared" si="1"/>
        <v/>
      </c>
      <c r="U2036" t="str">
        <f t="shared" si="2"/>
        <v/>
      </c>
      <c r="V2036" t="str">
        <f>IF(OR(U2036="",U2036="ERRO_CHAVE"),"",IFERROR(MATCH(U2036,Fornecedores!$AF$1:$AF$6631,0),""))</f>
        <v/>
      </c>
      <c r="W2036" t="str">
        <f t="shared" si="3"/>
        <v/>
      </c>
      <c r="X2036" s="4" t="str">
        <f>IF(V2036="","",INDEX(Fornecedores!$X$1:$X$6631,V2036))</f>
        <v/>
      </c>
      <c r="Y2036" s="4" t="str">
        <f t="shared" si="4"/>
        <v/>
      </c>
    </row>
    <row r="2037" spans="19:25">
      <c r="S2037" t="str">
        <f t="shared" si="0"/>
        <v/>
      </c>
      <c r="T2037" t="str">
        <f t="shared" si="1"/>
        <v/>
      </c>
      <c r="U2037" t="str">
        <f t="shared" si="2"/>
        <v/>
      </c>
      <c r="V2037" t="str">
        <f>IF(OR(U2037="",U2037="ERRO_CHAVE"),"",IFERROR(MATCH(U2037,Fornecedores!$AF$1:$AF$6631,0),""))</f>
        <v/>
      </c>
      <c r="W2037" t="str">
        <f t="shared" si="3"/>
        <v/>
      </c>
      <c r="X2037" s="4" t="str">
        <f>IF(V2037="","",INDEX(Fornecedores!$X$1:$X$6631,V2037))</f>
        <v/>
      </c>
      <c r="Y2037" s="4" t="str">
        <f t="shared" si="4"/>
        <v/>
      </c>
    </row>
    <row r="2038" spans="19:25">
      <c r="S2038" t="str">
        <f t="shared" si="0"/>
        <v/>
      </c>
      <c r="T2038" t="str">
        <f t="shared" si="1"/>
        <v/>
      </c>
      <c r="U2038" t="str">
        <f t="shared" si="2"/>
        <v/>
      </c>
      <c r="V2038" t="str">
        <f>IF(OR(U2038="",U2038="ERRO_CHAVE"),"",IFERROR(MATCH(U2038,Fornecedores!$AF$1:$AF$6631,0),""))</f>
        <v/>
      </c>
      <c r="W2038" t="str">
        <f t="shared" si="3"/>
        <v/>
      </c>
      <c r="X2038" s="4" t="str">
        <f>IF(V2038="","",INDEX(Fornecedores!$X$1:$X$6631,V2038))</f>
        <v/>
      </c>
      <c r="Y2038" s="4" t="str">
        <f t="shared" si="4"/>
        <v/>
      </c>
    </row>
    <row r="2039" spans="19:25">
      <c r="S2039" t="str">
        <f t="shared" si="0"/>
        <v/>
      </c>
      <c r="T2039" t="str">
        <f t="shared" si="1"/>
        <v/>
      </c>
      <c r="U2039" t="str">
        <f t="shared" si="2"/>
        <v/>
      </c>
      <c r="V2039" t="str">
        <f>IF(OR(U2039="",U2039="ERRO_CHAVE"),"",IFERROR(MATCH(U2039,Fornecedores!$AF$1:$AF$6631,0),""))</f>
        <v/>
      </c>
      <c r="W2039" t="str">
        <f t="shared" si="3"/>
        <v/>
      </c>
      <c r="X2039" s="4" t="str">
        <f>IF(V2039="","",INDEX(Fornecedores!$X$1:$X$6631,V2039))</f>
        <v/>
      </c>
      <c r="Y2039" s="4" t="str">
        <f t="shared" si="4"/>
        <v/>
      </c>
    </row>
    <row r="2040" spans="19:25">
      <c r="S2040" t="str">
        <f t="shared" si="0"/>
        <v/>
      </c>
      <c r="T2040" t="str">
        <f t="shared" si="1"/>
        <v/>
      </c>
      <c r="U2040" t="str">
        <f t="shared" si="2"/>
        <v/>
      </c>
      <c r="V2040" t="str">
        <f>IF(OR(U2040="",U2040="ERRO_CHAVE"),"",IFERROR(MATCH(U2040,Fornecedores!$AF$1:$AF$6631,0),""))</f>
        <v/>
      </c>
      <c r="W2040" t="str">
        <f t="shared" si="3"/>
        <v/>
      </c>
      <c r="X2040" s="4" t="str">
        <f>IF(V2040="","",INDEX(Fornecedores!$X$1:$X$6631,V2040))</f>
        <v/>
      </c>
      <c r="Y2040" s="4" t="str">
        <f t="shared" si="4"/>
        <v/>
      </c>
    </row>
    <row r="2041" spans="19:25">
      <c r="S2041" t="str">
        <f t="shared" si="0"/>
        <v/>
      </c>
      <c r="T2041" t="str">
        <f t="shared" si="1"/>
        <v/>
      </c>
      <c r="U2041" t="str">
        <f t="shared" si="2"/>
        <v/>
      </c>
      <c r="V2041" t="str">
        <f>IF(OR(U2041="",U2041="ERRO_CHAVE"),"",IFERROR(MATCH(U2041,Fornecedores!$AF$1:$AF$6631,0),""))</f>
        <v/>
      </c>
      <c r="W2041" t="str">
        <f t="shared" si="3"/>
        <v/>
      </c>
      <c r="X2041" s="4" t="str">
        <f>IF(V2041="","",INDEX(Fornecedores!$X$1:$X$6631,V2041))</f>
        <v/>
      </c>
      <c r="Y2041" s="4" t="str">
        <f t="shared" si="4"/>
        <v/>
      </c>
    </row>
    <row r="2042" spans="19:25">
      <c r="S2042" t="str">
        <f t="shared" si="0"/>
        <v/>
      </c>
      <c r="T2042" t="str">
        <f t="shared" si="1"/>
        <v/>
      </c>
      <c r="U2042" t="str">
        <f t="shared" si="2"/>
        <v/>
      </c>
      <c r="V2042" t="str">
        <f>IF(OR(U2042="",U2042="ERRO_CHAVE"),"",IFERROR(MATCH(U2042,Fornecedores!$AF$1:$AF$6631,0),""))</f>
        <v/>
      </c>
      <c r="W2042" t="str">
        <f t="shared" si="3"/>
        <v/>
      </c>
      <c r="X2042" s="4" t="str">
        <f>IF(V2042="","",INDEX(Fornecedores!$X$1:$X$6631,V2042))</f>
        <v/>
      </c>
      <c r="Y2042" s="4" t="str">
        <f t="shared" si="4"/>
        <v/>
      </c>
    </row>
    <row r="2043" spans="19:25">
      <c r="S2043" t="str">
        <f t="shared" si="0"/>
        <v/>
      </c>
      <c r="T2043" t="str">
        <f t="shared" si="1"/>
        <v/>
      </c>
      <c r="U2043" t="str">
        <f t="shared" si="2"/>
        <v/>
      </c>
      <c r="V2043" t="str">
        <f>IF(OR(U2043="",U2043="ERRO_CHAVE"),"",IFERROR(MATCH(U2043,Fornecedores!$AF$1:$AF$6631,0),""))</f>
        <v/>
      </c>
      <c r="W2043" t="str">
        <f t="shared" si="3"/>
        <v/>
      </c>
      <c r="X2043" s="4" t="str">
        <f>IF(V2043="","",INDEX(Fornecedores!$X$1:$X$6631,V2043))</f>
        <v/>
      </c>
      <c r="Y2043" s="4" t="str">
        <f t="shared" si="4"/>
        <v/>
      </c>
    </row>
    <row r="2044" spans="19:25">
      <c r="S2044" t="str">
        <f t="shared" si="0"/>
        <v/>
      </c>
      <c r="T2044" t="str">
        <f t="shared" si="1"/>
        <v/>
      </c>
      <c r="U2044" t="str">
        <f t="shared" si="2"/>
        <v/>
      </c>
      <c r="V2044" t="str">
        <f>IF(OR(U2044="",U2044="ERRO_CHAVE"),"",IFERROR(MATCH(U2044,Fornecedores!$AF$1:$AF$6631,0),""))</f>
        <v/>
      </c>
      <c r="W2044" t="str">
        <f t="shared" si="3"/>
        <v/>
      </c>
      <c r="X2044" s="4" t="str">
        <f>IF(V2044="","",INDEX(Fornecedores!$X$1:$X$6631,V2044))</f>
        <v/>
      </c>
      <c r="Y2044" s="4" t="str">
        <f t="shared" si="4"/>
        <v/>
      </c>
    </row>
    <row r="2045" spans="19:25">
      <c r="S2045" t="str">
        <f t="shared" si="0"/>
        <v/>
      </c>
      <c r="T2045" t="str">
        <f t="shared" si="1"/>
        <v/>
      </c>
      <c r="U2045" t="str">
        <f t="shared" si="2"/>
        <v/>
      </c>
      <c r="V2045" t="str">
        <f>IF(OR(U2045="",U2045="ERRO_CHAVE"),"",IFERROR(MATCH(U2045,Fornecedores!$AF$1:$AF$6631,0),""))</f>
        <v/>
      </c>
      <c r="W2045" t="str">
        <f t="shared" si="3"/>
        <v/>
      </c>
      <c r="X2045" s="4" t="str">
        <f>IF(V2045="","",INDEX(Fornecedores!$X$1:$X$6631,V2045))</f>
        <v/>
      </c>
      <c r="Y2045" s="4" t="str">
        <f t="shared" si="4"/>
        <v/>
      </c>
    </row>
    <row r="2046" spans="19:25">
      <c r="S2046" t="str">
        <f t="shared" si="0"/>
        <v/>
      </c>
      <c r="T2046" t="str">
        <f t="shared" si="1"/>
        <v/>
      </c>
      <c r="U2046" t="str">
        <f t="shared" si="2"/>
        <v/>
      </c>
      <c r="V2046" t="str">
        <f>IF(OR(U2046="",U2046="ERRO_CHAVE"),"",IFERROR(MATCH(U2046,Fornecedores!$AF$1:$AF$6631,0),""))</f>
        <v/>
      </c>
      <c r="W2046" t="str">
        <f t="shared" si="3"/>
        <v/>
      </c>
      <c r="X2046" s="4" t="str">
        <f>IF(V2046="","",INDEX(Fornecedores!$X$1:$X$6631,V2046))</f>
        <v/>
      </c>
      <c r="Y2046" s="4" t="str">
        <f t="shared" si="4"/>
        <v/>
      </c>
    </row>
    <row r="2047" spans="19:25">
      <c r="S2047" t="str">
        <f t="shared" si="0"/>
        <v/>
      </c>
      <c r="T2047" t="str">
        <f t="shared" si="1"/>
        <v/>
      </c>
      <c r="U2047" t="str">
        <f t="shared" si="2"/>
        <v/>
      </c>
      <c r="V2047" t="str">
        <f>IF(OR(U2047="",U2047="ERRO_CHAVE"),"",IFERROR(MATCH(U2047,Fornecedores!$AF$1:$AF$6631,0),""))</f>
        <v/>
      </c>
      <c r="W2047" t="str">
        <f t="shared" si="3"/>
        <v/>
      </c>
      <c r="X2047" s="4" t="str">
        <f>IF(V2047="","",INDEX(Fornecedores!$X$1:$X$6631,V2047))</f>
        <v/>
      </c>
      <c r="Y2047" s="4" t="str">
        <f t="shared" si="4"/>
        <v/>
      </c>
    </row>
    <row r="2048" spans="19:25">
      <c r="S2048" t="str">
        <f t="shared" si="0"/>
        <v/>
      </c>
      <c r="T2048" t="str">
        <f t="shared" si="1"/>
        <v/>
      </c>
      <c r="U2048" t="str">
        <f t="shared" si="2"/>
        <v/>
      </c>
      <c r="V2048" t="str">
        <f>IF(OR(U2048="",U2048="ERRO_CHAVE"),"",IFERROR(MATCH(U2048,Fornecedores!$AF$1:$AF$6631,0),""))</f>
        <v/>
      </c>
      <c r="W2048" t="str">
        <f t="shared" si="3"/>
        <v/>
      </c>
      <c r="X2048" s="4" t="str">
        <f>IF(V2048="","",INDEX(Fornecedores!$X$1:$X$6631,V2048))</f>
        <v/>
      </c>
      <c r="Y2048" s="4" t="str">
        <f t="shared" si="4"/>
        <v/>
      </c>
    </row>
    <row r="2049" spans="19:25">
      <c r="S2049" t="str">
        <f t="shared" si="0"/>
        <v/>
      </c>
      <c r="T2049" t="str">
        <f t="shared" si="1"/>
        <v/>
      </c>
      <c r="U2049" t="str">
        <f t="shared" si="2"/>
        <v/>
      </c>
      <c r="V2049" t="str">
        <f>IF(OR(U2049="",U2049="ERRO_CHAVE"),"",IFERROR(MATCH(U2049,Fornecedores!$AF$1:$AF$6631,0),""))</f>
        <v/>
      </c>
      <c r="W2049" t="str">
        <f t="shared" si="3"/>
        <v/>
      </c>
      <c r="X2049" s="4" t="str">
        <f>IF(V2049="","",INDEX(Fornecedores!$X$1:$X$6631,V2049))</f>
        <v/>
      </c>
      <c r="Y2049" s="4" t="str">
        <f t="shared" si="4"/>
        <v/>
      </c>
    </row>
    <row r="2050" spans="19:25">
      <c r="S2050" t="str">
        <f t="shared" si="0"/>
        <v/>
      </c>
      <c r="T2050" t="str">
        <f t="shared" si="1"/>
        <v/>
      </c>
      <c r="U2050" t="str">
        <f t="shared" si="2"/>
        <v/>
      </c>
      <c r="V2050" t="str">
        <f>IF(OR(U2050="",U2050="ERRO_CHAVE"),"",IFERROR(MATCH(U2050,Fornecedores!$AF$1:$AF$6631,0),""))</f>
        <v/>
      </c>
      <c r="W2050" t="str">
        <f t="shared" si="3"/>
        <v/>
      </c>
      <c r="X2050" s="4" t="str">
        <f>IF(V2050="","",INDEX(Fornecedores!$X$1:$X$6631,V2050))</f>
        <v/>
      </c>
      <c r="Y2050" s="4" t="str">
        <f t="shared" si="4"/>
        <v/>
      </c>
    </row>
    <row r="2051" spans="19:25">
      <c r="S2051" t="str">
        <f t="shared" si="0"/>
        <v/>
      </c>
      <c r="T2051" t="str">
        <f t="shared" si="1"/>
        <v/>
      </c>
      <c r="U2051" t="str">
        <f t="shared" si="2"/>
        <v/>
      </c>
      <c r="V2051" t="str">
        <f>IF(OR(U2051="",U2051="ERRO_CHAVE"),"",IFERROR(MATCH(U2051,Fornecedores!$AF$1:$AF$6631,0),""))</f>
        <v/>
      </c>
      <c r="W2051" t="str">
        <f t="shared" si="3"/>
        <v/>
      </c>
      <c r="X2051" s="4" t="str">
        <f>IF(V2051="","",INDEX(Fornecedores!$X$1:$X$6631,V2051))</f>
        <v/>
      </c>
      <c r="Y2051" s="4" t="str">
        <f t="shared" si="4"/>
        <v/>
      </c>
    </row>
    <row r="2052" spans="19:25">
      <c r="S2052" t="str">
        <f t="shared" si="0"/>
        <v/>
      </c>
      <c r="T2052" t="str">
        <f t="shared" si="1"/>
        <v/>
      </c>
      <c r="U2052" t="str">
        <f t="shared" si="2"/>
        <v/>
      </c>
      <c r="V2052" t="str">
        <f>IF(OR(U2052="",U2052="ERRO_CHAVE"),"",IFERROR(MATCH(U2052,Fornecedores!$AF$1:$AF$6631,0),""))</f>
        <v/>
      </c>
      <c r="W2052" t="str">
        <f t="shared" si="3"/>
        <v/>
      </c>
      <c r="X2052" s="4" t="str">
        <f>IF(V2052="","",INDEX(Fornecedores!$X$1:$X$6631,V2052))</f>
        <v/>
      </c>
      <c r="Y2052" s="4" t="str">
        <f t="shared" si="4"/>
        <v/>
      </c>
    </row>
    <row r="2053" spans="19:25">
      <c r="S2053" t="str">
        <f t="shared" si="0"/>
        <v/>
      </c>
      <c r="T2053" t="str">
        <f t="shared" si="1"/>
        <v/>
      </c>
      <c r="U2053" t="str">
        <f t="shared" si="2"/>
        <v/>
      </c>
      <c r="V2053" t="str">
        <f>IF(OR(U2053="",U2053="ERRO_CHAVE"),"",IFERROR(MATCH(U2053,Fornecedores!$AF$1:$AF$6631,0),""))</f>
        <v/>
      </c>
      <c r="W2053" t="str">
        <f t="shared" si="3"/>
        <v/>
      </c>
      <c r="X2053" s="4" t="str">
        <f>IF(V2053="","",INDEX(Fornecedores!$X$1:$X$6631,V2053))</f>
        <v/>
      </c>
      <c r="Y2053" s="4" t="str">
        <f t="shared" si="4"/>
        <v/>
      </c>
    </row>
    <row r="2054" spans="19:25">
      <c r="S2054" t="str">
        <f t="shared" si="0"/>
        <v/>
      </c>
      <c r="T2054" t="str">
        <f t="shared" si="1"/>
        <v/>
      </c>
      <c r="U2054" t="str">
        <f t="shared" si="2"/>
        <v/>
      </c>
      <c r="V2054" t="str">
        <f>IF(OR(U2054="",U2054="ERRO_CHAVE"),"",IFERROR(MATCH(U2054,Fornecedores!$AF$1:$AF$6631,0),""))</f>
        <v/>
      </c>
      <c r="W2054" t="str">
        <f t="shared" si="3"/>
        <v/>
      </c>
      <c r="X2054" s="4" t="str">
        <f>IF(V2054="","",INDEX(Fornecedores!$X$1:$X$6631,V2054))</f>
        <v/>
      </c>
      <c r="Y2054" s="4" t="str">
        <f t="shared" si="4"/>
        <v/>
      </c>
    </row>
    <row r="2055" spans="19:25">
      <c r="S2055" t="str">
        <f t="shared" si="0"/>
        <v/>
      </c>
      <c r="T2055" t="str">
        <f t="shared" si="1"/>
        <v/>
      </c>
      <c r="U2055" t="str">
        <f t="shared" si="2"/>
        <v/>
      </c>
      <c r="V2055" t="str">
        <f>IF(OR(U2055="",U2055="ERRO_CHAVE"),"",IFERROR(MATCH(U2055,Fornecedores!$AF$1:$AF$6631,0),""))</f>
        <v/>
      </c>
      <c r="W2055" t="str">
        <f t="shared" si="3"/>
        <v/>
      </c>
      <c r="X2055" s="4" t="str">
        <f>IF(V2055="","",INDEX(Fornecedores!$X$1:$X$6631,V2055))</f>
        <v/>
      </c>
      <c r="Y2055" s="4" t="str">
        <f t="shared" si="4"/>
        <v/>
      </c>
    </row>
    <row r="2056" spans="19:25">
      <c r="S2056" t="str">
        <f t="shared" si="0"/>
        <v/>
      </c>
      <c r="T2056" t="str">
        <f t="shared" si="1"/>
        <v/>
      </c>
      <c r="U2056" t="str">
        <f t="shared" si="2"/>
        <v/>
      </c>
      <c r="V2056" t="str">
        <f>IF(OR(U2056="",U2056="ERRO_CHAVE"),"",IFERROR(MATCH(U2056,Fornecedores!$AF$1:$AF$6631,0),""))</f>
        <v/>
      </c>
      <c r="W2056" t="str">
        <f t="shared" si="3"/>
        <v/>
      </c>
      <c r="X2056" s="4" t="str">
        <f>IF(V2056="","",INDEX(Fornecedores!$X$1:$X$6631,V2056))</f>
        <v/>
      </c>
      <c r="Y2056" s="4" t="str">
        <f t="shared" si="4"/>
        <v/>
      </c>
    </row>
    <row r="2057" spans="19:25">
      <c r="S2057" t="str">
        <f t="shared" si="0"/>
        <v/>
      </c>
      <c r="T2057" t="str">
        <f t="shared" si="1"/>
        <v/>
      </c>
      <c r="U2057" t="str">
        <f t="shared" si="2"/>
        <v/>
      </c>
      <c r="V2057" t="str">
        <f>IF(OR(U2057="",U2057="ERRO_CHAVE"),"",IFERROR(MATCH(U2057,Fornecedores!$AF$1:$AF$6631,0),""))</f>
        <v/>
      </c>
      <c r="W2057" t="str">
        <f t="shared" si="3"/>
        <v/>
      </c>
      <c r="X2057" s="4" t="str">
        <f>IF(V2057="","",INDEX(Fornecedores!$X$1:$X$6631,V2057))</f>
        <v/>
      </c>
      <c r="Y2057" s="4" t="str">
        <f t="shared" si="4"/>
        <v/>
      </c>
    </row>
    <row r="2058" spans="19:25">
      <c r="S2058" t="str">
        <f t="shared" si="0"/>
        <v/>
      </c>
      <c r="T2058" t="str">
        <f t="shared" si="1"/>
        <v/>
      </c>
      <c r="U2058" t="str">
        <f t="shared" si="2"/>
        <v/>
      </c>
      <c r="V2058" t="str">
        <f>IF(OR(U2058="",U2058="ERRO_CHAVE"),"",IFERROR(MATCH(U2058,Fornecedores!$AF$1:$AF$6631,0),""))</f>
        <v/>
      </c>
      <c r="W2058" t="str">
        <f t="shared" si="3"/>
        <v/>
      </c>
      <c r="X2058" s="4" t="str">
        <f>IF(V2058="","",INDEX(Fornecedores!$X$1:$X$6631,V2058))</f>
        <v/>
      </c>
      <c r="Y2058" s="4" t="str">
        <f t="shared" si="4"/>
        <v/>
      </c>
    </row>
    <row r="2059" spans="19:25">
      <c r="S2059" t="str">
        <f t="shared" si="0"/>
        <v/>
      </c>
      <c r="T2059" t="str">
        <f t="shared" si="1"/>
        <v/>
      </c>
      <c r="U2059" t="str">
        <f t="shared" si="2"/>
        <v/>
      </c>
      <c r="V2059" t="str">
        <f>IF(OR(U2059="",U2059="ERRO_CHAVE"),"",IFERROR(MATCH(U2059,Fornecedores!$AF$1:$AF$6631,0),""))</f>
        <v/>
      </c>
      <c r="W2059" t="str">
        <f t="shared" si="3"/>
        <v/>
      </c>
      <c r="X2059" s="4" t="str">
        <f>IF(V2059="","",INDEX(Fornecedores!$X$1:$X$6631,V2059))</f>
        <v/>
      </c>
      <c r="Y2059" s="4" t="str">
        <f t="shared" si="4"/>
        <v/>
      </c>
    </row>
    <row r="2060" spans="19:25">
      <c r="S2060" t="str">
        <f t="shared" si="0"/>
        <v/>
      </c>
      <c r="T2060" t="str">
        <f t="shared" si="1"/>
        <v/>
      </c>
      <c r="U2060" t="str">
        <f t="shared" si="2"/>
        <v/>
      </c>
      <c r="V2060" t="str">
        <f>IF(OR(U2060="",U2060="ERRO_CHAVE"),"",IFERROR(MATCH(U2060,Fornecedores!$AF$1:$AF$6631,0),""))</f>
        <v/>
      </c>
      <c r="W2060" t="str">
        <f t="shared" si="3"/>
        <v/>
      </c>
      <c r="X2060" s="4" t="str">
        <f>IF(V2060="","",INDEX(Fornecedores!$X$1:$X$6631,V2060))</f>
        <v/>
      </c>
      <c r="Y2060" s="4" t="str">
        <f t="shared" si="4"/>
        <v/>
      </c>
    </row>
    <row r="2061" spans="19:25">
      <c r="S2061" t="str">
        <f t="shared" si="0"/>
        <v/>
      </c>
      <c r="T2061" t="str">
        <f t="shared" si="1"/>
        <v/>
      </c>
      <c r="U2061" t="str">
        <f t="shared" si="2"/>
        <v/>
      </c>
      <c r="V2061" t="str">
        <f>IF(OR(U2061="",U2061="ERRO_CHAVE"),"",IFERROR(MATCH(U2061,Fornecedores!$AF$1:$AF$6631,0),""))</f>
        <v/>
      </c>
      <c r="W2061" t="str">
        <f t="shared" si="3"/>
        <v/>
      </c>
      <c r="X2061" s="4" t="str">
        <f>IF(V2061="","",INDEX(Fornecedores!$X$1:$X$6631,V2061))</f>
        <v/>
      </c>
      <c r="Y2061" s="4" t="str">
        <f t="shared" si="4"/>
        <v/>
      </c>
    </row>
    <row r="2062" spans="19:25">
      <c r="S2062" t="str">
        <f t="shared" si="0"/>
        <v/>
      </c>
      <c r="T2062" t="str">
        <f t="shared" si="1"/>
        <v/>
      </c>
      <c r="U2062" t="str">
        <f t="shared" si="2"/>
        <v/>
      </c>
      <c r="V2062" t="str">
        <f>IF(OR(U2062="",U2062="ERRO_CHAVE"),"",IFERROR(MATCH(U2062,Fornecedores!$AF$1:$AF$6631,0),""))</f>
        <v/>
      </c>
      <c r="W2062" t="str">
        <f t="shared" si="3"/>
        <v/>
      </c>
      <c r="X2062" s="4" t="str">
        <f>IF(V2062="","",INDEX(Fornecedores!$X$1:$X$6631,V2062))</f>
        <v/>
      </c>
      <c r="Y2062" s="4" t="str">
        <f t="shared" si="4"/>
        <v/>
      </c>
    </row>
    <row r="2063" spans="19:25">
      <c r="S2063" t="str">
        <f t="shared" si="0"/>
        <v/>
      </c>
      <c r="T2063" t="str">
        <f t="shared" si="1"/>
        <v/>
      </c>
      <c r="U2063" t="str">
        <f t="shared" si="2"/>
        <v/>
      </c>
      <c r="V2063" t="str">
        <f>IF(OR(U2063="",U2063="ERRO_CHAVE"),"",IFERROR(MATCH(U2063,Fornecedores!$AF$1:$AF$6631,0),""))</f>
        <v/>
      </c>
      <c r="W2063" t="str">
        <f t="shared" si="3"/>
        <v/>
      </c>
      <c r="X2063" s="4" t="str">
        <f>IF(V2063="","",INDEX(Fornecedores!$X$1:$X$6631,V2063))</f>
        <v/>
      </c>
      <c r="Y2063" s="4" t="str">
        <f t="shared" si="4"/>
        <v/>
      </c>
    </row>
    <row r="2064" spans="19:25">
      <c r="S2064" t="str">
        <f t="shared" si="0"/>
        <v/>
      </c>
      <c r="T2064" t="str">
        <f t="shared" si="1"/>
        <v/>
      </c>
      <c r="U2064" t="str">
        <f t="shared" si="2"/>
        <v/>
      </c>
      <c r="V2064" t="str">
        <f>IF(OR(U2064="",U2064="ERRO_CHAVE"),"",IFERROR(MATCH(U2064,Fornecedores!$AF$1:$AF$6631,0),""))</f>
        <v/>
      </c>
      <c r="W2064" t="str">
        <f t="shared" si="3"/>
        <v/>
      </c>
      <c r="X2064" s="4" t="str">
        <f>IF(V2064="","",INDEX(Fornecedores!$X$1:$X$6631,V2064))</f>
        <v/>
      </c>
      <c r="Y2064" s="4" t="str">
        <f t="shared" si="4"/>
        <v/>
      </c>
    </row>
    <row r="2065" spans="19:25">
      <c r="S2065" t="str">
        <f t="shared" si="0"/>
        <v/>
      </c>
      <c r="T2065" t="str">
        <f t="shared" si="1"/>
        <v/>
      </c>
      <c r="U2065" t="str">
        <f t="shared" si="2"/>
        <v/>
      </c>
      <c r="V2065" t="str">
        <f>IF(OR(U2065="",U2065="ERRO_CHAVE"),"",IFERROR(MATCH(U2065,Fornecedores!$AF$1:$AF$6631,0),""))</f>
        <v/>
      </c>
      <c r="W2065" t="str">
        <f t="shared" si="3"/>
        <v/>
      </c>
      <c r="X2065" s="4" t="str">
        <f>IF(V2065="","",INDEX(Fornecedores!$X$1:$X$6631,V2065))</f>
        <v/>
      </c>
      <c r="Y2065" s="4" t="str">
        <f t="shared" si="4"/>
        <v/>
      </c>
    </row>
    <row r="2066" spans="19:25">
      <c r="S2066" t="str">
        <f t="shared" si="0"/>
        <v/>
      </c>
      <c r="T2066" t="str">
        <f t="shared" si="1"/>
        <v/>
      </c>
      <c r="U2066" t="str">
        <f t="shared" si="2"/>
        <v/>
      </c>
      <c r="V2066" t="str">
        <f>IF(OR(U2066="",U2066="ERRO_CHAVE"),"",IFERROR(MATCH(U2066,Fornecedores!$AF$1:$AF$6631,0),""))</f>
        <v/>
      </c>
      <c r="W2066" t="str">
        <f t="shared" si="3"/>
        <v/>
      </c>
      <c r="X2066" s="4" t="str">
        <f>IF(V2066="","",INDEX(Fornecedores!$X$1:$X$6631,V2066))</f>
        <v/>
      </c>
      <c r="Y2066" s="4" t="str">
        <f t="shared" si="4"/>
        <v/>
      </c>
    </row>
    <row r="2067" spans="19:25">
      <c r="S2067" t="str">
        <f t="shared" si="0"/>
        <v/>
      </c>
      <c r="T2067" t="str">
        <f t="shared" si="1"/>
        <v/>
      </c>
      <c r="U2067" t="str">
        <f t="shared" si="2"/>
        <v/>
      </c>
      <c r="V2067" t="str">
        <f>IF(OR(U2067="",U2067="ERRO_CHAVE"),"",IFERROR(MATCH(U2067,Fornecedores!$AF$1:$AF$6631,0),""))</f>
        <v/>
      </c>
      <c r="W2067" t="str">
        <f t="shared" si="3"/>
        <v/>
      </c>
      <c r="X2067" s="4" t="str">
        <f>IF(V2067="","",INDEX(Fornecedores!$X$1:$X$6631,V2067))</f>
        <v/>
      </c>
      <c r="Y2067" s="4" t="str">
        <f t="shared" si="4"/>
        <v/>
      </c>
    </row>
    <row r="2068" spans="19:25">
      <c r="S2068" t="str">
        <f t="shared" si="0"/>
        <v/>
      </c>
      <c r="T2068" t="str">
        <f t="shared" si="1"/>
        <v/>
      </c>
      <c r="U2068" t="str">
        <f t="shared" si="2"/>
        <v/>
      </c>
      <c r="V2068" t="str">
        <f>IF(OR(U2068="",U2068="ERRO_CHAVE"),"",IFERROR(MATCH(U2068,Fornecedores!$AF$1:$AF$6631,0),""))</f>
        <v/>
      </c>
      <c r="W2068" t="str">
        <f t="shared" si="3"/>
        <v/>
      </c>
      <c r="X2068" s="4" t="str">
        <f>IF(V2068="","",INDEX(Fornecedores!$X$1:$X$6631,V2068))</f>
        <v/>
      </c>
      <c r="Y2068" s="4" t="str">
        <f t="shared" si="4"/>
        <v/>
      </c>
    </row>
    <row r="2069" spans="19:25">
      <c r="S2069" t="str">
        <f t="shared" si="0"/>
        <v/>
      </c>
      <c r="T2069" t="str">
        <f t="shared" si="1"/>
        <v/>
      </c>
      <c r="U2069" t="str">
        <f t="shared" si="2"/>
        <v/>
      </c>
      <c r="V2069" t="str">
        <f>IF(OR(U2069="",U2069="ERRO_CHAVE"),"",IFERROR(MATCH(U2069,Fornecedores!$AF$1:$AF$6631,0),""))</f>
        <v/>
      </c>
      <c r="W2069" t="str">
        <f t="shared" si="3"/>
        <v/>
      </c>
      <c r="X2069" s="4" t="str">
        <f>IF(V2069="","",INDEX(Fornecedores!$X$1:$X$6631,V2069))</f>
        <v/>
      </c>
      <c r="Y2069" s="4" t="str">
        <f t="shared" si="4"/>
        <v/>
      </c>
    </row>
    <row r="2070" spans="19:25">
      <c r="S2070" t="str">
        <f t="shared" si="0"/>
        <v/>
      </c>
      <c r="T2070" t="str">
        <f t="shared" si="1"/>
        <v/>
      </c>
      <c r="U2070" t="str">
        <f t="shared" si="2"/>
        <v/>
      </c>
      <c r="V2070" t="str">
        <f>IF(OR(U2070="",U2070="ERRO_CHAVE"),"",IFERROR(MATCH(U2070,Fornecedores!$AF$1:$AF$6631,0),""))</f>
        <v/>
      </c>
      <c r="W2070" t="str">
        <f t="shared" si="3"/>
        <v/>
      </c>
      <c r="X2070" s="4" t="str">
        <f>IF(V2070="","",INDEX(Fornecedores!$X$1:$X$6631,V2070))</f>
        <v/>
      </c>
      <c r="Y2070" s="4" t="str">
        <f t="shared" si="4"/>
        <v/>
      </c>
    </row>
    <row r="2071" spans="19:25">
      <c r="S2071" t="str">
        <f t="shared" si="0"/>
        <v/>
      </c>
      <c r="T2071" t="str">
        <f t="shared" si="1"/>
        <v/>
      </c>
      <c r="U2071" t="str">
        <f t="shared" si="2"/>
        <v/>
      </c>
      <c r="V2071" t="str">
        <f>IF(OR(U2071="",U2071="ERRO_CHAVE"),"",IFERROR(MATCH(U2071,Fornecedores!$AF$1:$AF$6631,0),""))</f>
        <v/>
      </c>
      <c r="W2071" t="str">
        <f t="shared" si="3"/>
        <v/>
      </c>
      <c r="X2071" s="4" t="str">
        <f>IF(V2071="","",INDEX(Fornecedores!$X$1:$X$6631,V2071))</f>
        <v/>
      </c>
      <c r="Y2071" s="4" t="str">
        <f t="shared" si="4"/>
        <v/>
      </c>
    </row>
    <row r="2072" spans="19:25">
      <c r="S2072" t="str">
        <f t="shared" si="0"/>
        <v/>
      </c>
      <c r="T2072" t="str">
        <f t="shared" si="1"/>
        <v/>
      </c>
      <c r="U2072" t="str">
        <f t="shared" si="2"/>
        <v/>
      </c>
      <c r="V2072" t="str">
        <f>IF(OR(U2072="",U2072="ERRO_CHAVE"),"",IFERROR(MATCH(U2072,Fornecedores!$AF$1:$AF$6631,0),""))</f>
        <v/>
      </c>
      <c r="W2072" t="str">
        <f t="shared" si="3"/>
        <v/>
      </c>
      <c r="X2072" s="4" t="str">
        <f>IF(V2072="","",INDEX(Fornecedores!$X$1:$X$6631,V2072))</f>
        <v/>
      </c>
      <c r="Y2072" s="4" t="str">
        <f t="shared" si="4"/>
        <v/>
      </c>
    </row>
    <row r="2073" spans="19:25">
      <c r="S2073" t="str">
        <f t="shared" si="0"/>
        <v/>
      </c>
      <c r="T2073" t="str">
        <f t="shared" si="1"/>
        <v/>
      </c>
      <c r="U2073" t="str">
        <f t="shared" si="2"/>
        <v/>
      </c>
      <c r="V2073" t="str">
        <f>IF(OR(U2073="",U2073="ERRO_CHAVE"),"",IFERROR(MATCH(U2073,Fornecedores!$AF$1:$AF$6631,0),""))</f>
        <v/>
      </c>
      <c r="W2073" t="str">
        <f t="shared" si="3"/>
        <v/>
      </c>
      <c r="X2073" s="4" t="str">
        <f>IF(V2073="","",INDEX(Fornecedores!$X$1:$X$6631,V2073))</f>
        <v/>
      </c>
      <c r="Y2073" s="4" t="str">
        <f t="shared" si="4"/>
        <v/>
      </c>
    </row>
    <row r="2074" spans="19:25">
      <c r="S2074" t="str">
        <f t="shared" si="0"/>
        <v/>
      </c>
      <c r="T2074" t="str">
        <f t="shared" si="1"/>
        <v/>
      </c>
      <c r="U2074" t="str">
        <f t="shared" si="2"/>
        <v/>
      </c>
      <c r="V2074" t="str">
        <f>IF(OR(U2074="",U2074="ERRO_CHAVE"),"",IFERROR(MATCH(U2074,Fornecedores!$AF$1:$AF$6631,0),""))</f>
        <v/>
      </c>
      <c r="W2074" t="str">
        <f t="shared" si="3"/>
        <v/>
      </c>
      <c r="X2074" s="4" t="str">
        <f>IF(V2074="","",INDEX(Fornecedores!$X$1:$X$6631,V2074))</f>
        <v/>
      </c>
      <c r="Y2074" s="4" t="str">
        <f t="shared" si="4"/>
        <v/>
      </c>
    </row>
    <row r="2075" spans="19:25">
      <c r="S2075" t="str">
        <f t="shared" si="0"/>
        <v/>
      </c>
      <c r="T2075" t="str">
        <f t="shared" si="1"/>
        <v/>
      </c>
      <c r="U2075" t="str">
        <f t="shared" si="2"/>
        <v/>
      </c>
      <c r="V2075" t="str">
        <f>IF(OR(U2075="",U2075="ERRO_CHAVE"),"",IFERROR(MATCH(U2075,Fornecedores!$AF$1:$AF$6631,0),""))</f>
        <v/>
      </c>
      <c r="W2075" t="str">
        <f t="shared" si="3"/>
        <v/>
      </c>
      <c r="X2075" s="4" t="str">
        <f>IF(V2075="","",INDEX(Fornecedores!$X$1:$X$6631,V2075))</f>
        <v/>
      </c>
      <c r="Y2075" s="4" t="str">
        <f t="shared" si="4"/>
        <v/>
      </c>
    </row>
    <row r="2076" spans="19:25">
      <c r="S2076" t="str">
        <f t="shared" si="0"/>
        <v/>
      </c>
      <c r="T2076" t="str">
        <f t="shared" si="1"/>
        <v/>
      </c>
      <c r="U2076" t="str">
        <f t="shared" si="2"/>
        <v/>
      </c>
      <c r="V2076" t="str">
        <f>IF(OR(U2076="",U2076="ERRO_CHAVE"),"",IFERROR(MATCH(U2076,Fornecedores!$AF$1:$AF$6631,0),""))</f>
        <v/>
      </c>
      <c r="W2076" t="str">
        <f t="shared" si="3"/>
        <v/>
      </c>
      <c r="X2076" s="4" t="str">
        <f>IF(V2076="","",INDEX(Fornecedores!$X$1:$X$6631,V2076))</f>
        <v/>
      </c>
      <c r="Y2076" s="4" t="str">
        <f t="shared" si="4"/>
        <v/>
      </c>
    </row>
    <row r="2077" spans="19:25">
      <c r="S2077" t="str">
        <f t="shared" si="0"/>
        <v/>
      </c>
      <c r="T2077" t="str">
        <f t="shared" si="1"/>
        <v/>
      </c>
      <c r="U2077" t="str">
        <f t="shared" si="2"/>
        <v/>
      </c>
      <c r="V2077" t="str">
        <f>IF(OR(U2077="",U2077="ERRO_CHAVE"),"",IFERROR(MATCH(U2077,Fornecedores!$AF$1:$AF$6631,0),""))</f>
        <v/>
      </c>
      <c r="W2077" t="str">
        <f t="shared" si="3"/>
        <v/>
      </c>
      <c r="X2077" s="4" t="str">
        <f>IF(V2077="","",INDEX(Fornecedores!$X$1:$X$6631,V2077))</f>
        <v/>
      </c>
      <c r="Y2077" s="4" t="str">
        <f t="shared" si="4"/>
        <v/>
      </c>
    </row>
    <row r="2078" spans="19:25">
      <c r="S2078" t="str">
        <f t="shared" si="0"/>
        <v/>
      </c>
      <c r="T2078" t="str">
        <f t="shared" si="1"/>
        <v/>
      </c>
      <c r="U2078" t="str">
        <f t="shared" si="2"/>
        <v/>
      </c>
      <c r="V2078" t="str">
        <f>IF(OR(U2078="",U2078="ERRO_CHAVE"),"",IFERROR(MATCH(U2078,Fornecedores!$AF$1:$AF$6631,0),""))</f>
        <v/>
      </c>
      <c r="W2078" t="str">
        <f t="shared" si="3"/>
        <v/>
      </c>
      <c r="X2078" s="4" t="str">
        <f>IF(V2078="","",INDEX(Fornecedores!$X$1:$X$6631,V2078))</f>
        <v/>
      </c>
      <c r="Y2078" s="4" t="str">
        <f t="shared" si="4"/>
        <v/>
      </c>
    </row>
    <row r="2079" spans="19:25">
      <c r="S2079" t="str">
        <f t="shared" si="0"/>
        <v/>
      </c>
      <c r="T2079" t="str">
        <f t="shared" si="1"/>
        <v/>
      </c>
      <c r="U2079" t="str">
        <f t="shared" si="2"/>
        <v/>
      </c>
      <c r="V2079" t="str">
        <f>IF(OR(U2079="",U2079="ERRO_CHAVE"),"",IFERROR(MATCH(U2079,Fornecedores!$AF$1:$AF$6631,0),""))</f>
        <v/>
      </c>
      <c r="W2079" t="str">
        <f t="shared" si="3"/>
        <v/>
      </c>
      <c r="X2079" s="4" t="str">
        <f>IF(V2079="","",INDEX(Fornecedores!$X$1:$X$6631,V2079))</f>
        <v/>
      </c>
      <c r="Y2079" s="4" t="str">
        <f t="shared" si="4"/>
        <v/>
      </c>
    </row>
    <row r="2080" spans="19:25">
      <c r="S2080" t="str">
        <f t="shared" si="0"/>
        <v/>
      </c>
      <c r="T2080" t="str">
        <f t="shared" si="1"/>
        <v/>
      </c>
      <c r="U2080" t="str">
        <f t="shared" si="2"/>
        <v/>
      </c>
      <c r="V2080" t="str">
        <f>IF(OR(U2080="",U2080="ERRO_CHAVE"),"",IFERROR(MATCH(U2080,Fornecedores!$AF$1:$AF$6631,0),""))</f>
        <v/>
      </c>
      <c r="W2080" t="str">
        <f t="shared" si="3"/>
        <v/>
      </c>
      <c r="X2080" s="4" t="str">
        <f>IF(V2080="","",INDEX(Fornecedores!$X$1:$X$6631,V2080))</f>
        <v/>
      </c>
      <c r="Y2080" s="4" t="str">
        <f t="shared" si="4"/>
        <v/>
      </c>
    </row>
    <row r="2081" spans="19:25">
      <c r="S2081" t="str">
        <f t="shared" si="0"/>
        <v/>
      </c>
      <c r="T2081" t="str">
        <f t="shared" si="1"/>
        <v/>
      </c>
      <c r="U2081" t="str">
        <f t="shared" si="2"/>
        <v/>
      </c>
      <c r="V2081" t="str">
        <f>IF(OR(U2081="",U2081="ERRO_CHAVE"),"",IFERROR(MATCH(U2081,Fornecedores!$AF$1:$AF$6631,0),""))</f>
        <v/>
      </c>
      <c r="W2081" t="str">
        <f t="shared" si="3"/>
        <v/>
      </c>
      <c r="X2081" s="4" t="str">
        <f>IF(V2081="","",INDEX(Fornecedores!$X$1:$X$6631,V2081))</f>
        <v/>
      </c>
      <c r="Y2081" s="4" t="str">
        <f t="shared" si="4"/>
        <v/>
      </c>
    </row>
    <row r="2082" spans="19:25">
      <c r="S2082" t="str">
        <f t="shared" si="0"/>
        <v/>
      </c>
      <c r="T2082" t="str">
        <f t="shared" si="1"/>
        <v/>
      </c>
      <c r="U2082" t="str">
        <f t="shared" si="2"/>
        <v/>
      </c>
      <c r="V2082" t="str">
        <f>IF(OR(U2082="",U2082="ERRO_CHAVE"),"",IFERROR(MATCH(U2082,Fornecedores!$AF$1:$AF$6631,0),""))</f>
        <v/>
      </c>
      <c r="W2082" t="str">
        <f t="shared" si="3"/>
        <v/>
      </c>
      <c r="X2082" s="4" t="str">
        <f>IF(V2082="","",INDEX(Fornecedores!$X$1:$X$6631,V2082))</f>
        <v/>
      </c>
      <c r="Y2082" s="4" t="str">
        <f t="shared" si="4"/>
        <v/>
      </c>
    </row>
    <row r="2083" spans="19:25">
      <c r="S2083" t="str">
        <f t="shared" si="0"/>
        <v/>
      </c>
      <c r="T2083" t="str">
        <f t="shared" si="1"/>
        <v/>
      </c>
      <c r="U2083" t="str">
        <f t="shared" si="2"/>
        <v/>
      </c>
      <c r="V2083" t="str">
        <f>IF(OR(U2083="",U2083="ERRO_CHAVE"),"",IFERROR(MATCH(U2083,Fornecedores!$AF$1:$AF$6631,0),""))</f>
        <v/>
      </c>
      <c r="W2083" t="str">
        <f t="shared" si="3"/>
        <v/>
      </c>
      <c r="X2083" s="4" t="str">
        <f>IF(V2083="","",INDEX(Fornecedores!$X$1:$X$6631,V2083))</f>
        <v/>
      </c>
      <c r="Y2083" s="4" t="str">
        <f t="shared" si="4"/>
        <v/>
      </c>
    </row>
    <row r="2084" spans="19:25">
      <c r="S2084" t="str">
        <f t="shared" si="0"/>
        <v/>
      </c>
      <c r="T2084" t="str">
        <f t="shared" si="1"/>
        <v/>
      </c>
      <c r="U2084" t="str">
        <f t="shared" si="2"/>
        <v/>
      </c>
      <c r="V2084" t="str">
        <f>IF(OR(U2084="",U2084="ERRO_CHAVE"),"",IFERROR(MATCH(U2084,Fornecedores!$AF$1:$AF$6631,0),""))</f>
        <v/>
      </c>
      <c r="W2084" t="str">
        <f t="shared" si="3"/>
        <v/>
      </c>
      <c r="X2084" s="4" t="str">
        <f>IF(V2084="","",INDEX(Fornecedores!$X$1:$X$6631,V2084))</f>
        <v/>
      </c>
      <c r="Y2084" s="4" t="str">
        <f t="shared" si="4"/>
        <v/>
      </c>
    </row>
    <row r="2085" spans="19:25">
      <c r="S2085" t="str">
        <f t="shared" si="0"/>
        <v/>
      </c>
      <c r="T2085" t="str">
        <f t="shared" si="1"/>
        <v/>
      </c>
      <c r="U2085" t="str">
        <f t="shared" si="2"/>
        <v/>
      </c>
      <c r="V2085" t="str">
        <f>IF(OR(U2085="",U2085="ERRO_CHAVE"),"",IFERROR(MATCH(U2085,Fornecedores!$AF$1:$AF$6631,0),""))</f>
        <v/>
      </c>
      <c r="W2085" t="str">
        <f t="shared" si="3"/>
        <v/>
      </c>
      <c r="X2085" s="4" t="str">
        <f>IF(V2085="","",INDEX(Fornecedores!$X$1:$X$6631,V2085))</f>
        <v/>
      </c>
      <c r="Y2085" s="4" t="str">
        <f t="shared" si="4"/>
        <v/>
      </c>
    </row>
    <row r="2086" spans="19:25">
      <c r="S2086" t="str">
        <f t="shared" si="0"/>
        <v/>
      </c>
      <c r="T2086" t="str">
        <f t="shared" si="1"/>
        <v/>
      </c>
      <c r="U2086" t="str">
        <f t="shared" si="2"/>
        <v/>
      </c>
      <c r="V2086" t="str">
        <f>IF(OR(U2086="",U2086="ERRO_CHAVE"),"",IFERROR(MATCH(U2086,Fornecedores!$AF$1:$AF$6631,0),""))</f>
        <v/>
      </c>
      <c r="W2086" t="str">
        <f t="shared" si="3"/>
        <v/>
      </c>
      <c r="X2086" s="4" t="str">
        <f>IF(V2086="","",INDEX(Fornecedores!$X$1:$X$6631,V2086))</f>
        <v/>
      </c>
      <c r="Y2086" s="4" t="str">
        <f t="shared" si="4"/>
        <v/>
      </c>
    </row>
    <row r="2087" spans="19:25">
      <c r="S2087" t="str">
        <f t="shared" si="0"/>
        <v/>
      </c>
      <c r="T2087" t="str">
        <f t="shared" si="1"/>
        <v/>
      </c>
      <c r="U2087" t="str">
        <f t="shared" si="2"/>
        <v/>
      </c>
      <c r="V2087" t="str">
        <f>IF(OR(U2087="",U2087="ERRO_CHAVE"),"",IFERROR(MATCH(U2087,Fornecedores!$AF$1:$AF$6631,0),""))</f>
        <v/>
      </c>
      <c r="W2087" t="str">
        <f t="shared" si="3"/>
        <v/>
      </c>
      <c r="X2087" s="4" t="str">
        <f>IF(V2087="","",INDEX(Fornecedores!$X$1:$X$6631,V2087))</f>
        <v/>
      </c>
      <c r="Y2087" s="4" t="str">
        <f t="shared" si="4"/>
        <v/>
      </c>
    </row>
    <row r="2088" spans="19:25">
      <c r="S2088" t="str">
        <f t="shared" si="0"/>
        <v/>
      </c>
      <c r="T2088" t="str">
        <f t="shared" si="1"/>
        <v/>
      </c>
      <c r="U2088" t="str">
        <f t="shared" si="2"/>
        <v/>
      </c>
      <c r="V2088" t="str">
        <f>IF(OR(U2088="",U2088="ERRO_CHAVE"),"",IFERROR(MATCH(U2088,Fornecedores!$AF$1:$AF$6631,0),""))</f>
        <v/>
      </c>
      <c r="W2088" t="str">
        <f t="shared" si="3"/>
        <v/>
      </c>
      <c r="X2088" s="4" t="str">
        <f>IF(V2088="","",INDEX(Fornecedores!$X$1:$X$6631,V2088))</f>
        <v/>
      </c>
      <c r="Y2088" s="4" t="str">
        <f t="shared" si="4"/>
        <v/>
      </c>
    </row>
    <row r="2089" spans="19:25">
      <c r="S2089" t="str">
        <f t="shared" si="0"/>
        <v/>
      </c>
      <c r="T2089" t="str">
        <f t="shared" si="1"/>
        <v/>
      </c>
      <c r="U2089" t="str">
        <f t="shared" si="2"/>
        <v/>
      </c>
      <c r="V2089" t="str">
        <f>IF(OR(U2089="",U2089="ERRO_CHAVE"),"",IFERROR(MATCH(U2089,Fornecedores!$AF$1:$AF$6631,0),""))</f>
        <v/>
      </c>
      <c r="W2089" t="str">
        <f t="shared" si="3"/>
        <v/>
      </c>
      <c r="X2089" s="4" t="str">
        <f>IF(V2089="","",INDEX(Fornecedores!$X$1:$X$6631,V2089))</f>
        <v/>
      </c>
      <c r="Y2089" s="4" t="str">
        <f t="shared" si="4"/>
        <v/>
      </c>
    </row>
    <row r="2090" spans="19:25">
      <c r="S2090" t="str">
        <f t="shared" si="0"/>
        <v/>
      </c>
      <c r="T2090" t="str">
        <f t="shared" si="1"/>
        <v/>
      </c>
      <c r="U2090" t="str">
        <f t="shared" si="2"/>
        <v/>
      </c>
      <c r="V2090" t="str">
        <f>IF(OR(U2090="",U2090="ERRO_CHAVE"),"",IFERROR(MATCH(U2090,Fornecedores!$AF$1:$AF$6631,0),""))</f>
        <v/>
      </c>
      <c r="W2090" t="str">
        <f t="shared" si="3"/>
        <v/>
      </c>
      <c r="X2090" s="4" t="str">
        <f>IF(V2090="","",INDEX(Fornecedores!$X$1:$X$6631,V2090))</f>
        <v/>
      </c>
      <c r="Y2090" s="4" t="str">
        <f t="shared" si="4"/>
        <v/>
      </c>
    </row>
    <row r="2091" spans="19:25">
      <c r="S2091" t="str">
        <f t="shared" si="0"/>
        <v/>
      </c>
      <c r="T2091" t="str">
        <f t="shared" si="1"/>
        <v/>
      </c>
      <c r="U2091" t="str">
        <f t="shared" si="2"/>
        <v/>
      </c>
      <c r="V2091" t="str">
        <f>IF(OR(U2091="",U2091="ERRO_CHAVE"),"",IFERROR(MATCH(U2091,Fornecedores!$AF$1:$AF$6631,0),""))</f>
        <v/>
      </c>
      <c r="W2091" t="str">
        <f t="shared" si="3"/>
        <v/>
      </c>
      <c r="X2091" s="4" t="str">
        <f>IF(V2091="","",INDEX(Fornecedores!$X$1:$X$6631,V2091))</f>
        <v/>
      </c>
      <c r="Y2091" s="4" t="str">
        <f t="shared" si="4"/>
        <v/>
      </c>
    </row>
    <row r="2092" spans="19:25">
      <c r="S2092" t="str">
        <f t="shared" si="0"/>
        <v/>
      </c>
      <c r="T2092" t="str">
        <f t="shared" si="1"/>
        <v/>
      </c>
      <c r="U2092" t="str">
        <f t="shared" si="2"/>
        <v/>
      </c>
      <c r="V2092" t="str">
        <f>IF(OR(U2092="",U2092="ERRO_CHAVE"),"",IFERROR(MATCH(U2092,Fornecedores!$AF$1:$AF$6631,0),""))</f>
        <v/>
      </c>
      <c r="W2092" t="str">
        <f t="shared" si="3"/>
        <v/>
      </c>
      <c r="X2092" s="4" t="str">
        <f>IF(V2092="","",INDEX(Fornecedores!$X$1:$X$6631,V2092))</f>
        <v/>
      </c>
      <c r="Y2092" s="4" t="str">
        <f t="shared" si="4"/>
        <v/>
      </c>
    </row>
    <row r="2093" spans="19:25">
      <c r="S2093" t="str">
        <f t="shared" si="0"/>
        <v/>
      </c>
      <c r="T2093" t="str">
        <f t="shared" si="1"/>
        <v/>
      </c>
      <c r="U2093" t="str">
        <f t="shared" si="2"/>
        <v/>
      </c>
      <c r="V2093" t="str">
        <f>IF(OR(U2093="",U2093="ERRO_CHAVE"),"",IFERROR(MATCH(U2093,Fornecedores!$AF$1:$AF$6631,0),""))</f>
        <v/>
      </c>
      <c r="W2093" t="str">
        <f t="shared" si="3"/>
        <v/>
      </c>
      <c r="X2093" s="4" t="str">
        <f>IF(V2093="","",INDEX(Fornecedores!$X$1:$X$6631,V2093))</f>
        <v/>
      </c>
      <c r="Y2093" s="4" t="str">
        <f t="shared" si="4"/>
        <v/>
      </c>
    </row>
    <row r="2094" spans="19:25">
      <c r="S2094" t="str">
        <f t="shared" si="0"/>
        <v/>
      </c>
      <c r="T2094" t="str">
        <f t="shared" si="1"/>
        <v/>
      </c>
      <c r="U2094" t="str">
        <f t="shared" si="2"/>
        <v/>
      </c>
      <c r="V2094" t="str">
        <f>IF(OR(U2094="",U2094="ERRO_CHAVE"),"",IFERROR(MATCH(U2094,Fornecedores!$AF$1:$AF$6631,0),""))</f>
        <v/>
      </c>
      <c r="W2094" t="str">
        <f t="shared" si="3"/>
        <v/>
      </c>
      <c r="X2094" s="4" t="str">
        <f>IF(V2094="","",INDEX(Fornecedores!$X$1:$X$6631,V2094))</f>
        <v/>
      </c>
      <c r="Y2094" s="4" t="str">
        <f t="shared" si="4"/>
        <v/>
      </c>
    </row>
    <row r="2095" spans="19:25">
      <c r="S2095" t="str">
        <f t="shared" si="0"/>
        <v/>
      </c>
      <c r="T2095" t="str">
        <f t="shared" si="1"/>
        <v/>
      </c>
      <c r="U2095" t="str">
        <f t="shared" si="2"/>
        <v/>
      </c>
      <c r="V2095" t="str">
        <f>IF(OR(U2095="",U2095="ERRO_CHAVE"),"",IFERROR(MATCH(U2095,Fornecedores!$AF$1:$AF$6631,0),""))</f>
        <v/>
      </c>
      <c r="W2095" t="str">
        <f t="shared" si="3"/>
        <v/>
      </c>
      <c r="X2095" s="4" t="str">
        <f>IF(V2095="","",INDEX(Fornecedores!$X$1:$X$6631,V2095))</f>
        <v/>
      </c>
      <c r="Y2095" s="4" t="str">
        <f t="shared" si="4"/>
        <v/>
      </c>
    </row>
    <row r="2096" spans="19:25">
      <c r="S2096" t="str">
        <f t="shared" si="0"/>
        <v/>
      </c>
      <c r="T2096" t="str">
        <f t="shared" si="1"/>
        <v/>
      </c>
      <c r="U2096" t="str">
        <f t="shared" si="2"/>
        <v/>
      </c>
      <c r="V2096" t="str">
        <f>IF(OR(U2096="",U2096="ERRO_CHAVE"),"",IFERROR(MATCH(U2096,Fornecedores!$AF$1:$AF$6631,0),""))</f>
        <v/>
      </c>
      <c r="W2096" t="str">
        <f t="shared" si="3"/>
        <v/>
      </c>
      <c r="X2096" s="4" t="str">
        <f>IF(V2096="","",INDEX(Fornecedores!$X$1:$X$6631,V2096))</f>
        <v/>
      </c>
      <c r="Y2096" s="4" t="str">
        <f t="shared" si="4"/>
        <v/>
      </c>
    </row>
    <row r="2097" spans="19:25">
      <c r="S2097" t="str">
        <f t="shared" si="0"/>
        <v/>
      </c>
      <c r="T2097" t="str">
        <f t="shared" si="1"/>
        <v/>
      </c>
      <c r="U2097" t="str">
        <f t="shared" si="2"/>
        <v/>
      </c>
      <c r="V2097" t="str">
        <f>IF(OR(U2097="",U2097="ERRO_CHAVE"),"",IFERROR(MATCH(U2097,Fornecedores!$AF$1:$AF$6631,0),""))</f>
        <v/>
      </c>
      <c r="W2097" t="str">
        <f t="shared" si="3"/>
        <v/>
      </c>
      <c r="X2097" s="4" t="str">
        <f>IF(V2097="","",INDEX(Fornecedores!$X$1:$X$6631,V2097))</f>
        <v/>
      </c>
      <c r="Y2097" s="4" t="str">
        <f t="shared" si="4"/>
        <v/>
      </c>
    </row>
    <row r="2098" spans="19:25">
      <c r="S2098" t="str">
        <f t="shared" si="0"/>
        <v/>
      </c>
      <c r="T2098" t="str">
        <f t="shared" si="1"/>
        <v/>
      </c>
      <c r="U2098" t="str">
        <f t="shared" si="2"/>
        <v/>
      </c>
      <c r="V2098" t="str">
        <f>IF(OR(U2098="",U2098="ERRO_CHAVE"),"",IFERROR(MATCH(U2098,Fornecedores!$AF$1:$AF$6631,0),""))</f>
        <v/>
      </c>
      <c r="W2098" t="str">
        <f t="shared" si="3"/>
        <v/>
      </c>
      <c r="X2098" s="4" t="str">
        <f>IF(V2098="","",INDEX(Fornecedores!$X$1:$X$6631,V2098))</f>
        <v/>
      </c>
      <c r="Y2098" s="4" t="str">
        <f t="shared" si="4"/>
        <v/>
      </c>
    </row>
    <row r="2099" spans="19:25">
      <c r="S2099" t="str">
        <f t="shared" si="0"/>
        <v/>
      </c>
      <c r="T2099" t="str">
        <f t="shared" si="1"/>
        <v/>
      </c>
      <c r="U2099" t="str">
        <f t="shared" si="2"/>
        <v/>
      </c>
      <c r="V2099" t="str">
        <f>IF(OR(U2099="",U2099="ERRO_CHAVE"),"",IFERROR(MATCH(U2099,Fornecedores!$AF$1:$AF$6631,0),""))</f>
        <v/>
      </c>
      <c r="W2099" t="str">
        <f t="shared" si="3"/>
        <v/>
      </c>
      <c r="X2099" s="4" t="str">
        <f>IF(V2099="","",INDEX(Fornecedores!$X$1:$X$6631,V2099))</f>
        <v/>
      </c>
      <c r="Y2099" s="4" t="str">
        <f t="shared" si="4"/>
        <v/>
      </c>
    </row>
    <row r="2100" spans="19:25">
      <c r="S2100" t="str">
        <f t="shared" si="0"/>
        <v/>
      </c>
      <c r="T2100" t="str">
        <f t="shared" si="1"/>
        <v/>
      </c>
      <c r="U2100" t="str">
        <f t="shared" si="2"/>
        <v/>
      </c>
      <c r="V2100" t="str">
        <f>IF(OR(U2100="",U2100="ERRO_CHAVE"),"",IFERROR(MATCH(U2100,Fornecedores!$AF$1:$AF$6631,0),""))</f>
        <v/>
      </c>
      <c r="W2100" t="str">
        <f t="shared" si="3"/>
        <v/>
      </c>
      <c r="X2100" s="4" t="str">
        <f>IF(V2100="","",INDEX(Fornecedores!$X$1:$X$6631,V2100))</f>
        <v/>
      </c>
      <c r="Y2100" s="4" t="str">
        <f t="shared" si="4"/>
        <v/>
      </c>
    </row>
    <row r="2101" spans="19:25">
      <c r="S2101" t="str">
        <f t="shared" si="0"/>
        <v/>
      </c>
      <c r="T2101" t="str">
        <f t="shared" si="1"/>
        <v/>
      </c>
      <c r="U2101" t="str">
        <f t="shared" si="2"/>
        <v/>
      </c>
      <c r="V2101" t="str">
        <f>IF(OR(U2101="",U2101="ERRO_CHAVE"),"",IFERROR(MATCH(U2101,Fornecedores!$AF$1:$AF$6631,0),""))</f>
        <v/>
      </c>
      <c r="W2101" t="str">
        <f t="shared" si="3"/>
        <v/>
      </c>
      <c r="X2101" s="4" t="str">
        <f>IF(V2101="","",INDEX(Fornecedores!$X$1:$X$6631,V2101))</f>
        <v/>
      </c>
      <c r="Y2101" s="4" t="str">
        <f t="shared" si="4"/>
        <v/>
      </c>
    </row>
    <row r="2102" spans="19:25">
      <c r="S2102" t="str">
        <f t="shared" si="0"/>
        <v/>
      </c>
      <c r="T2102" t="str">
        <f t="shared" si="1"/>
        <v/>
      </c>
      <c r="U2102" t="str">
        <f t="shared" si="2"/>
        <v/>
      </c>
      <c r="V2102" t="str">
        <f>IF(OR(U2102="",U2102="ERRO_CHAVE"),"",IFERROR(MATCH(U2102,Fornecedores!$AF$1:$AF$6631,0),""))</f>
        <v/>
      </c>
      <c r="W2102" t="str">
        <f t="shared" si="3"/>
        <v/>
      </c>
      <c r="X2102" s="4" t="str">
        <f>IF(V2102="","",INDEX(Fornecedores!$X$1:$X$6631,V2102))</f>
        <v/>
      </c>
      <c r="Y2102" s="4" t="str">
        <f t="shared" si="4"/>
        <v/>
      </c>
    </row>
    <row r="2103" spans="19:25">
      <c r="S2103" t="str">
        <f t="shared" si="0"/>
        <v/>
      </c>
      <c r="T2103" t="str">
        <f t="shared" si="1"/>
        <v/>
      </c>
      <c r="U2103" t="str">
        <f t="shared" si="2"/>
        <v/>
      </c>
      <c r="V2103" t="str">
        <f>IF(OR(U2103="",U2103="ERRO_CHAVE"),"",IFERROR(MATCH(U2103,Fornecedores!$AF$1:$AF$6631,0),""))</f>
        <v/>
      </c>
      <c r="W2103" t="str">
        <f t="shared" si="3"/>
        <v/>
      </c>
      <c r="X2103" s="4" t="str">
        <f>IF(V2103="","",INDEX(Fornecedores!$X$1:$X$6631,V2103))</f>
        <v/>
      </c>
      <c r="Y2103" s="4" t="str">
        <f t="shared" si="4"/>
        <v/>
      </c>
    </row>
    <row r="2104" spans="19:25">
      <c r="S2104" t="str">
        <f t="shared" si="0"/>
        <v/>
      </c>
      <c r="T2104" t="str">
        <f t="shared" si="1"/>
        <v/>
      </c>
      <c r="U2104" t="str">
        <f t="shared" si="2"/>
        <v/>
      </c>
      <c r="V2104" t="str">
        <f>IF(OR(U2104="",U2104="ERRO_CHAVE"),"",IFERROR(MATCH(U2104,Fornecedores!$AF$1:$AF$6631,0),""))</f>
        <v/>
      </c>
      <c r="W2104" t="str">
        <f t="shared" si="3"/>
        <v/>
      </c>
      <c r="X2104" s="4" t="str">
        <f>IF(V2104="","",INDEX(Fornecedores!$X$1:$X$6631,V2104))</f>
        <v/>
      </c>
      <c r="Y2104" s="4" t="str">
        <f t="shared" si="4"/>
        <v/>
      </c>
    </row>
    <row r="2105" spans="19:25">
      <c r="S2105" t="str">
        <f t="shared" si="0"/>
        <v/>
      </c>
      <c r="T2105" t="str">
        <f t="shared" si="1"/>
        <v/>
      </c>
      <c r="U2105" t="str">
        <f t="shared" si="2"/>
        <v/>
      </c>
      <c r="V2105" t="str">
        <f>IF(OR(U2105="",U2105="ERRO_CHAVE"),"",IFERROR(MATCH(U2105,Fornecedores!$AF$1:$AF$6631,0),""))</f>
        <v/>
      </c>
      <c r="W2105" t="str">
        <f t="shared" si="3"/>
        <v/>
      </c>
      <c r="X2105" s="4" t="str">
        <f>IF(V2105="","",INDEX(Fornecedores!$X$1:$X$6631,V2105))</f>
        <v/>
      </c>
      <c r="Y2105" s="4" t="str">
        <f t="shared" si="4"/>
        <v/>
      </c>
    </row>
    <row r="2106" spans="19:25">
      <c r="S2106" t="str">
        <f t="shared" si="0"/>
        <v/>
      </c>
      <c r="T2106" t="str">
        <f t="shared" si="1"/>
        <v/>
      </c>
      <c r="U2106" t="str">
        <f t="shared" si="2"/>
        <v/>
      </c>
      <c r="V2106" t="str">
        <f>IF(OR(U2106="",U2106="ERRO_CHAVE"),"",IFERROR(MATCH(U2106,Fornecedores!$AF$1:$AF$6631,0),""))</f>
        <v/>
      </c>
      <c r="W2106" t="str">
        <f t="shared" si="3"/>
        <v/>
      </c>
      <c r="X2106" s="4" t="str">
        <f>IF(V2106="","",INDEX(Fornecedores!$X$1:$X$6631,V2106))</f>
        <v/>
      </c>
      <c r="Y2106" s="4" t="str">
        <f t="shared" si="4"/>
        <v/>
      </c>
    </row>
    <row r="2107" spans="19:25">
      <c r="S2107" t="str">
        <f t="shared" si="0"/>
        <v/>
      </c>
      <c r="T2107" t="str">
        <f t="shared" si="1"/>
        <v/>
      </c>
      <c r="U2107" t="str">
        <f t="shared" si="2"/>
        <v/>
      </c>
      <c r="V2107" t="str">
        <f>IF(OR(U2107="",U2107="ERRO_CHAVE"),"",IFERROR(MATCH(U2107,Fornecedores!$AF$1:$AF$6631,0),""))</f>
        <v/>
      </c>
      <c r="W2107" t="str">
        <f t="shared" si="3"/>
        <v/>
      </c>
      <c r="X2107" s="4" t="str">
        <f>IF(V2107="","",INDEX(Fornecedores!$X$1:$X$6631,V2107))</f>
        <v/>
      </c>
      <c r="Y2107" s="4" t="str">
        <f t="shared" si="4"/>
        <v/>
      </c>
    </row>
    <row r="2108" spans="19:25">
      <c r="S2108" t="str">
        <f t="shared" si="0"/>
        <v/>
      </c>
      <c r="T2108" t="str">
        <f t="shared" si="1"/>
        <v/>
      </c>
      <c r="U2108" t="str">
        <f t="shared" si="2"/>
        <v/>
      </c>
      <c r="V2108" t="str">
        <f>IF(OR(U2108="",U2108="ERRO_CHAVE"),"",IFERROR(MATCH(U2108,Fornecedores!$AF$1:$AF$6631,0),""))</f>
        <v/>
      </c>
      <c r="W2108" t="str">
        <f t="shared" si="3"/>
        <v/>
      </c>
      <c r="X2108" s="4" t="str">
        <f>IF(V2108="","",INDEX(Fornecedores!$X$1:$X$6631,V2108))</f>
        <v/>
      </c>
      <c r="Y2108" s="4" t="str">
        <f t="shared" si="4"/>
        <v/>
      </c>
    </row>
    <row r="2109" spans="19:25">
      <c r="S2109" t="str">
        <f t="shared" si="0"/>
        <v/>
      </c>
      <c r="T2109" t="str">
        <f t="shared" si="1"/>
        <v/>
      </c>
      <c r="U2109" t="str">
        <f t="shared" si="2"/>
        <v/>
      </c>
      <c r="V2109" t="str">
        <f>IF(OR(U2109="",U2109="ERRO_CHAVE"),"",IFERROR(MATCH(U2109,Fornecedores!$AF$1:$AF$6631,0),""))</f>
        <v/>
      </c>
      <c r="W2109" t="str">
        <f t="shared" si="3"/>
        <v/>
      </c>
      <c r="X2109" s="4" t="str">
        <f>IF(V2109="","",INDEX(Fornecedores!$X$1:$X$6631,V2109))</f>
        <v/>
      </c>
      <c r="Y2109" s="4" t="str">
        <f t="shared" si="4"/>
        <v/>
      </c>
    </row>
    <row r="2110" spans="19:25">
      <c r="S2110" t="str">
        <f t="shared" si="0"/>
        <v/>
      </c>
      <c r="T2110" t="str">
        <f t="shared" si="1"/>
        <v/>
      </c>
      <c r="U2110" t="str">
        <f t="shared" si="2"/>
        <v/>
      </c>
      <c r="V2110" t="str">
        <f>IF(OR(U2110="",U2110="ERRO_CHAVE"),"",IFERROR(MATCH(U2110,Fornecedores!$AF$1:$AF$6631,0),""))</f>
        <v/>
      </c>
      <c r="W2110" t="str">
        <f t="shared" si="3"/>
        <v/>
      </c>
      <c r="X2110" s="4" t="str">
        <f>IF(V2110="","",INDEX(Fornecedores!$X$1:$X$6631,V2110))</f>
        <v/>
      </c>
      <c r="Y2110" s="4" t="str">
        <f t="shared" si="4"/>
        <v/>
      </c>
    </row>
    <row r="2111" spans="19:25">
      <c r="S2111" t="str">
        <f t="shared" si="0"/>
        <v/>
      </c>
      <c r="T2111" t="str">
        <f t="shared" si="1"/>
        <v/>
      </c>
      <c r="U2111" t="str">
        <f t="shared" si="2"/>
        <v/>
      </c>
      <c r="V2111" t="str">
        <f>IF(OR(U2111="",U2111="ERRO_CHAVE"),"",IFERROR(MATCH(U2111,Fornecedores!$AF$1:$AF$6631,0),""))</f>
        <v/>
      </c>
      <c r="W2111" t="str">
        <f t="shared" si="3"/>
        <v/>
      </c>
      <c r="X2111" s="4" t="str">
        <f>IF(V2111="","",INDEX(Fornecedores!$X$1:$X$6631,V2111))</f>
        <v/>
      </c>
      <c r="Y2111" s="4" t="str">
        <f t="shared" si="4"/>
        <v/>
      </c>
    </row>
    <row r="2112" spans="19:25">
      <c r="S2112" t="str">
        <f t="shared" si="0"/>
        <v/>
      </c>
      <c r="T2112" t="str">
        <f t="shared" si="1"/>
        <v/>
      </c>
      <c r="U2112" t="str">
        <f t="shared" si="2"/>
        <v/>
      </c>
      <c r="V2112" t="str">
        <f>IF(OR(U2112="",U2112="ERRO_CHAVE"),"",IFERROR(MATCH(U2112,Fornecedores!$AF$1:$AF$6631,0),""))</f>
        <v/>
      </c>
      <c r="W2112" t="str">
        <f t="shared" si="3"/>
        <v/>
      </c>
      <c r="X2112" s="4" t="str">
        <f>IF(V2112="","",INDEX(Fornecedores!$X$1:$X$6631,V2112))</f>
        <v/>
      </c>
      <c r="Y2112" s="4" t="str">
        <f t="shared" si="4"/>
        <v/>
      </c>
    </row>
    <row r="2113" spans="19:25">
      <c r="S2113" t="str">
        <f t="shared" si="0"/>
        <v/>
      </c>
      <c r="T2113" t="str">
        <f t="shared" si="1"/>
        <v/>
      </c>
      <c r="U2113" t="str">
        <f t="shared" si="2"/>
        <v/>
      </c>
      <c r="V2113" t="str">
        <f>IF(OR(U2113="",U2113="ERRO_CHAVE"),"",IFERROR(MATCH(U2113,Fornecedores!$AF$1:$AF$6631,0),""))</f>
        <v/>
      </c>
      <c r="W2113" t="str">
        <f t="shared" si="3"/>
        <v/>
      </c>
      <c r="X2113" s="4" t="str">
        <f>IF(V2113="","",INDEX(Fornecedores!$X$1:$X$6631,V2113))</f>
        <v/>
      </c>
      <c r="Y2113" s="4" t="str">
        <f t="shared" si="4"/>
        <v/>
      </c>
    </row>
    <row r="2114" spans="19:25">
      <c r="S2114" t="str">
        <f t="shared" si="0"/>
        <v/>
      </c>
      <c r="T2114" t="str">
        <f t="shared" si="1"/>
        <v/>
      </c>
      <c r="U2114" t="str">
        <f t="shared" si="2"/>
        <v/>
      </c>
      <c r="V2114" t="str">
        <f>IF(OR(U2114="",U2114="ERRO_CHAVE"),"",IFERROR(MATCH(U2114,Fornecedores!$AF$1:$AF$6631,0),""))</f>
        <v/>
      </c>
      <c r="W2114" t="str">
        <f t="shared" si="3"/>
        <v/>
      </c>
      <c r="X2114" s="4" t="str">
        <f>IF(V2114="","",INDEX(Fornecedores!$X$1:$X$6631,V2114))</f>
        <v/>
      </c>
      <c r="Y2114" s="4" t="str">
        <f t="shared" si="4"/>
        <v/>
      </c>
    </row>
    <row r="2115" spans="19:25">
      <c r="S2115" t="str">
        <f t="shared" si="0"/>
        <v/>
      </c>
      <c r="T2115" t="str">
        <f t="shared" si="1"/>
        <v/>
      </c>
      <c r="U2115" t="str">
        <f t="shared" si="2"/>
        <v/>
      </c>
      <c r="V2115" t="str">
        <f>IF(OR(U2115="",U2115="ERRO_CHAVE"),"",IFERROR(MATCH(U2115,Fornecedores!$AF$1:$AF$6631,0),""))</f>
        <v/>
      </c>
      <c r="W2115" t="str">
        <f t="shared" si="3"/>
        <v/>
      </c>
      <c r="X2115" s="4" t="str">
        <f>IF(V2115="","",INDEX(Fornecedores!$X$1:$X$6631,V2115))</f>
        <v/>
      </c>
      <c r="Y2115" s="4" t="str">
        <f t="shared" si="4"/>
        <v/>
      </c>
    </row>
    <row r="2116" spans="19:25">
      <c r="S2116" t="str">
        <f t="shared" si="0"/>
        <v/>
      </c>
      <c r="T2116" t="str">
        <f t="shared" si="1"/>
        <v/>
      </c>
      <c r="U2116" t="str">
        <f t="shared" si="2"/>
        <v/>
      </c>
      <c r="V2116" t="str">
        <f>IF(OR(U2116="",U2116="ERRO_CHAVE"),"",IFERROR(MATCH(U2116,Fornecedores!$AF$1:$AF$6631,0),""))</f>
        <v/>
      </c>
      <c r="W2116" t="str">
        <f t="shared" si="3"/>
        <v/>
      </c>
      <c r="X2116" s="4" t="str">
        <f>IF(V2116="","",INDEX(Fornecedores!$X$1:$X$6631,V2116))</f>
        <v/>
      </c>
      <c r="Y2116" s="4" t="str">
        <f t="shared" si="4"/>
        <v/>
      </c>
    </row>
    <row r="2117" spans="19:25">
      <c r="S2117" t="str">
        <f t="shared" si="0"/>
        <v/>
      </c>
      <c r="T2117" t="str">
        <f t="shared" si="1"/>
        <v/>
      </c>
      <c r="U2117" t="str">
        <f t="shared" si="2"/>
        <v/>
      </c>
      <c r="V2117" t="str">
        <f>IF(OR(U2117="",U2117="ERRO_CHAVE"),"",IFERROR(MATCH(U2117,Fornecedores!$AF$1:$AF$6631,0),""))</f>
        <v/>
      </c>
      <c r="W2117" t="str">
        <f t="shared" si="3"/>
        <v/>
      </c>
      <c r="X2117" s="4" t="str">
        <f>IF(V2117="","",INDEX(Fornecedores!$X$1:$X$6631,V2117))</f>
        <v/>
      </c>
      <c r="Y2117" s="4" t="str">
        <f t="shared" si="4"/>
        <v/>
      </c>
    </row>
    <row r="2118" spans="19:25">
      <c r="S2118" t="str">
        <f t="shared" si="0"/>
        <v/>
      </c>
      <c r="T2118" t="str">
        <f t="shared" si="1"/>
        <v/>
      </c>
      <c r="U2118" t="str">
        <f t="shared" si="2"/>
        <v/>
      </c>
      <c r="V2118" t="str">
        <f>IF(OR(U2118="",U2118="ERRO_CHAVE"),"",IFERROR(MATCH(U2118,Fornecedores!$AF$1:$AF$6631,0),""))</f>
        <v/>
      </c>
      <c r="W2118" t="str">
        <f t="shared" si="3"/>
        <v/>
      </c>
      <c r="X2118" s="4" t="str">
        <f>IF(V2118="","",INDEX(Fornecedores!$X$1:$X$6631,V2118))</f>
        <v/>
      </c>
      <c r="Y2118" s="4" t="str">
        <f t="shared" si="4"/>
        <v/>
      </c>
    </row>
    <row r="2119" spans="19:25">
      <c r="S2119" t="str">
        <f t="shared" si="0"/>
        <v/>
      </c>
      <c r="T2119" t="str">
        <f t="shared" si="1"/>
        <v/>
      </c>
      <c r="U2119" t="str">
        <f t="shared" si="2"/>
        <v/>
      </c>
      <c r="V2119" t="str">
        <f>IF(OR(U2119="",U2119="ERRO_CHAVE"),"",IFERROR(MATCH(U2119,Fornecedores!$AF$1:$AF$6631,0),""))</f>
        <v/>
      </c>
      <c r="W2119" t="str">
        <f t="shared" si="3"/>
        <v/>
      </c>
      <c r="X2119" s="4" t="str">
        <f>IF(V2119="","",INDEX(Fornecedores!$X$1:$X$6631,V2119))</f>
        <v/>
      </c>
      <c r="Y2119" s="4" t="str">
        <f t="shared" si="4"/>
        <v/>
      </c>
    </row>
    <row r="2120" spans="19:25">
      <c r="S2120" t="str">
        <f t="shared" si="0"/>
        <v/>
      </c>
      <c r="T2120" t="str">
        <f t="shared" si="1"/>
        <v/>
      </c>
      <c r="U2120" t="str">
        <f t="shared" si="2"/>
        <v/>
      </c>
      <c r="V2120" t="str">
        <f>IF(OR(U2120="",U2120="ERRO_CHAVE"),"",IFERROR(MATCH(U2120,Fornecedores!$AF$1:$AF$6631,0),""))</f>
        <v/>
      </c>
      <c r="W2120" t="str">
        <f t="shared" si="3"/>
        <v/>
      </c>
      <c r="X2120" s="4" t="str">
        <f>IF(V2120="","",INDEX(Fornecedores!$X$1:$X$6631,V2120))</f>
        <v/>
      </c>
      <c r="Y2120" s="4" t="str">
        <f t="shared" si="4"/>
        <v/>
      </c>
    </row>
    <row r="2121" spans="19:25">
      <c r="S2121" t="str">
        <f t="shared" si="0"/>
        <v/>
      </c>
      <c r="T2121" t="str">
        <f t="shared" si="1"/>
        <v/>
      </c>
      <c r="U2121" t="str">
        <f t="shared" si="2"/>
        <v/>
      </c>
      <c r="V2121" t="str">
        <f>IF(OR(U2121="",U2121="ERRO_CHAVE"),"",IFERROR(MATCH(U2121,Fornecedores!$AF$1:$AF$6631,0),""))</f>
        <v/>
      </c>
      <c r="W2121" t="str">
        <f t="shared" si="3"/>
        <v/>
      </c>
      <c r="X2121" s="4" t="str">
        <f>IF(V2121="","",INDEX(Fornecedores!$X$1:$X$6631,V2121))</f>
        <v/>
      </c>
      <c r="Y2121" s="4" t="str">
        <f t="shared" si="4"/>
        <v/>
      </c>
    </row>
    <row r="2122" spans="19:25">
      <c r="S2122" t="str">
        <f t="shared" si="0"/>
        <v/>
      </c>
      <c r="T2122" t="str">
        <f t="shared" si="1"/>
        <v/>
      </c>
      <c r="U2122" t="str">
        <f t="shared" si="2"/>
        <v/>
      </c>
      <c r="V2122" t="str">
        <f>IF(OR(U2122="",U2122="ERRO_CHAVE"),"",IFERROR(MATCH(U2122,Fornecedores!$AF$1:$AF$6631,0),""))</f>
        <v/>
      </c>
      <c r="W2122" t="str">
        <f t="shared" si="3"/>
        <v/>
      </c>
      <c r="X2122" s="4" t="str">
        <f>IF(V2122="","",INDEX(Fornecedores!$X$1:$X$6631,V2122))</f>
        <v/>
      </c>
      <c r="Y2122" s="4" t="str">
        <f t="shared" si="4"/>
        <v/>
      </c>
    </row>
    <row r="2123" spans="19:25">
      <c r="S2123" t="str">
        <f t="shared" si="0"/>
        <v/>
      </c>
      <c r="T2123" t="str">
        <f t="shared" si="1"/>
        <v/>
      </c>
      <c r="U2123" t="str">
        <f t="shared" si="2"/>
        <v/>
      </c>
      <c r="V2123" t="str">
        <f>IF(OR(U2123="",U2123="ERRO_CHAVE"),"",IFERROR(MATCH(U2123,Fornecedores!$AF$1:$AF$6631,0),""))</f>
        <v/>
      </c>
      <c r="W2123" t="str">
        <f t="shared" si="3"/>
        <v/>
      </c>
      <c r="X2123" s="4" t="str">
        <f>IF(V2123="","",INDEX(Fornecedores!$X$1:$X$6631,V2123))</f>
        <v/>
      </c>
      <c r="Y2123" s="4" t="str">
        <f t="shared" si="4"/>
        <v/>
      </c>
    </row>
    <row r="2124" spans="19:25">
      <c r="S2124" t="str">
        <f t="shared" si="0"/>
        <v/>
      </c>
      <c r="T2124" t="str">
        <f t="shared" si="1"/>
        <v/>
      </c>
      <c r="U2124" t="str">
        <f t="shared" si="2"/>
        <v/>
      </c>
      <c r="V2124" t="str">
        <f>IF(OR(U2124="",U2124="ERRO_CHAVE"),"",IFERROR(MATCH(U2124,Fornecedores!$AF$1:$AF$6631,0),""))</f>
        <v/>
      </c>
      <c r="W2124" t="str">
        <f t="shared" si="3"/>
        <v/>
      </c>
      <c r="X2124" s="4" t="str">
        <f>IF(V2124="","",INDEX(Fornecedores!$X$1:$X$6631,V2124))</f>
        <v/>
      </c>
      <c r="Y2124" s="4" t="str">
        <f t="shared" si="4"/>
        <v/>
      </c>
    </row>
    <row r="2125" spans="19:25">
      <c r="S2125" t="str">
        <f t="shared" si="0"/>
        <v/>
      </c>
      <c r="T2125" t="str">
        <f t="shared" si="1"/>
        <v/>
      </c>
      <c r="U2125" t="str">
        <f t="shared" si="2"/>
        <v/>
      </c>
      <c r="V2125" t="str">
        <f>IF(OR(U2125="",U2125="ERRO_CHAVE"),"",IFERROR(MATCH(U2125,Fornecedores!$AF$1:$AF$6631,0),""))</f>
        <v/>
      </c>
      <c r="W2125" t="str">
        <f t="shared" si="3"/>
        <v/>
      </c>
      <c r="X2125" s="4" t="str">
        <f>IF(V2125="","",INDEX(Fornecedores!$X$1:$X$6631,V2125))</f>
        <v/>
      </c>
      <c r="Y2125" s="4" t="str">
        <f t="shared" si="4"/>
        <v/>
      </c>
    </row>
    <row r="2126" spans="19:25">
      <c r="S2126" t="str">
        <f t="shared" si="0"/>
        <v/>
      </c>
      <c r="T2126" t="str">
        <f t="shared" si="1"/>
        <v/>
      </c>
      <c r="U2126" t="str">
        <f t="shared" si="2"/>
        <v/>
      </c>
      <c r="V2126" t="str">
        <f>IF(OR(U2126="",U2126="ERRO_CHAVE"),"",IFERROR(MATCH(U2126,Fornecedores!$AF$1:$AF$6631,0),""))</f>
        <v/>
      </c>
      <c r="W2126" t="str">
        <f t="shared" si="3"/>
        <v/>
      </c>
      <c r="X2126" s="4" t="str">
        <f>IF(V2126="","",INDEX(Fornecedores!$X$1:$X$6631,V2126))</f>
        <v/>
      </c>
      <c r="Y2126" s="4" t="str">
        <f t="shared" si="4"/>
        <v/>
      </c>
    </row>
    <row r="2127" spans="19:25">
      <c r="S2127" t="str">
        <f t="shared" si="0"/>
        <v/>
      </c>
      <c r="T2127" t="str">
        <f t="shared" si="1"/>
        <v/>
      </c>
      <c r="U2127" t="str">
        <f t="shared" si="2"/>
        <v/>
      </c>
      <c r="V2127" t="str">
        <f>IF(OR(U2127="",U2127="ERRO_CHAVE"),"",IFERROR(MATCH(U2127,Fornecedores!$AF$1:$AF$6631,0),""))</f>
        <v/>
      </c>
      <c r="W2127" t="str">
        <f t="shared" si="3"/>
        <v/>
      </c>
      <c r="X2127" s="4" t="str">
        <f>IF(V2127="","",INDEX(Fornecedores!$X$1:$X$6631,V2127))</f>
        <v/>
      </c>
      <c r="Y2127" s="4" t="str">
        <f t="shared" si="4"/>
        <v/>
      </c>
    </row>
    <row r="2128" spans="19:25">
      <c r="S2128" t="str">
        <f t="shared" si="0"/>
        <v/>
      </c>
      <c r="T2128" t="str">
        <f t="shared" si="1"/>
        <v/>
      </c>
      <c r="U2128" t="str">
        <f t="shared" si="2"/>
        <v/>
      </c>
      <c r="V2128" t="str">
        <f>IF(OR(U2128="",U2128="ERRO_CHAVE"),"",IFERROR(MATCH(U2128,Fornecedores!$AF$1:$AF$6631,0),""))</f>
        <v/>
      </c>
      <c r="W2128" t="str">
        <f t="shared" si="3"/>
        <v/>
      </c>
      <c r="X2128" s="4" t="str">
        <f>IF(V2128="","",INDEX(Fornecedores!$X$1:$X$6631,V2128))</f>
        <v/>
      </c>
      <c r="Y2128" s="4" t="str">
        <f t="shared" si="4"/>
        <v/>
      </c>
    </row>
    <row r="2129" spans="19:25">
      <c r="S2129" t="str">
        <f t="shared" si="0"/>
        <v/>
      </c>
      <c r="T2129" t="str">
        <f t="shared" si="1"/>
        <v/>
      </c>
      <c r="U2129" t="str">
        <f t="shared" si="2"/>
        <v/>
      </c>
      <c r="V2129" t="str">
        <f>IF(OR(U2129="",U2129="ERRO_CHAVE"),"",IFERROR(MATCH(U2129,Fornecedores!$AF$1:$AF$6631,0),""))</f>
        <v/>
      </c>
      <c r="W2129" t="str">
        <f t="shared" si="3"/>
        <v/>
      </c>
      <c r="X2129" s="4" t="str">
        <f>IF(V2129="","",INDEX(Fornecedores!$X$1:$X$6631,V2129))</f>
        <v/>
      </c>
      <c r="Y2129" s="4" t="str">
        <f t="shared" si="4"/>
        <v/>
      </c>
    </row>
    <row r="2130" spans="19:25">
      <c r="S2130" t="str">
        <f t="shared" si="0"/>
        <v/>
      </c>
      <c r="T2130" t="str">
        <f t="shared" si="1"/>
        <v/>
      </c>
      <c r="U2130" t="str">
        <f t="shared" si="2"/>
        <v/>
      </c>
      <c r="V2130" t="str">
        <f>IF(OR(U2130="",U2130="ERRO_CHAVE"),"",IFERROR(MATCH(U2130,Fornecedores!$AF$1:$AF$6631,0),""))</f>
        <v/>
      </c>
      <c r="W2130" t="str">
        <f t="shared" si="3"/>
        <v/>
      </c>
      <c r="X2130" s="4" t="str">
        <f>IF(V2130="","",INDEX(Fornecedores!$X$1:$X$6631,V2130))</f>
        <v/>
      </c>
      <c r="Y2130" s="4" t="str">
        <f t="shared" si="4"/>
        <v/>
      </c>
    </row>
    <row r="2131" spans="19:25">
      <c r="S2131" t="str">
        <f t="shared" si="0"/>
        <v/>
      </c>
      <c r="T2131" t="str">
        <f t="shared" si="1"/>
        <v/>
      </c>
      <c r="U2131" t="str">
        <f t="shared" si="2"/>
        <v/>
      </c>
      <c r="V2131" t="str">
        <f>IF(OR(U2131="",U2131="ERRO_CHAVE"),"",IFERROR(MATCH(U2131,Fornecedores!$AF$1:$AF$6631,0),""))</f>
        <v/>
      </c>
      <c r="W2131" t="str">
        <f t="shared" si="3"/>
        <v/>
      </c>
      <c r="X2131" s="4" t="str">
        <f>IF(V2131="","",INDEX(Fornecedores!$X$1:$X$6631,V2131))</f>
        <v/>
      </c>
      <c r="Y2131" s="4" t="str">
        <f t="shared" si="4"/>
        <v/>
      </c>
    </row>
    <row r="2132" spans="19:25">
      <c r="S2132" t="str">
        <f t="shared" si="0"/>
        <v/>
      </c>
      <c r="T2132" t="str">
        <f t="shared" si="1"/>
        <v/>
      </c>
      <c r="U2132" t="str">
        <f t="shared" si="2"/>
        <v/>
      </c>
      <c r="V2132" t="str">
        <f>IF(OR(U2132="",U2132="ERRO_CHAVE"),"",IFERROR(MATCH(U2132,Fornecedores!$AF$1:$AF$6631,0),""))</f>
        <v/>
      </c>
      <c r="W2132" t="str">
        <f t="shared" si="3"/>
        <v/>
      </c>
      <c r="X2132" s="4" t="str">
        <f>IF(V2132="","",INDEX(Fornecedores!$X$1:$X$6631,V2132))</f>
        <v/>
      </c>
      <c r="Y2132" s="4" t="str">
        <f t="shared" si="4"/>
        <v/>
      </c>
    </row>
    <row r="2133" spans="19:25">
      <c r="S2133" t="str">
        <f t="shared" si="0"/>
        <v/>
      </c>
      <c r="T2133" t="str">
        <f t="shared" si="1"/>
        <v/>
      </c>
      <c r="U2133" t="str">
        <f t="shared" si="2"/>
        <v/>
      </c>
      <c r="V2133" t="str">
        <f>IF(OR(U2133="",U2133="ERRO_CHAVE"),"",IFERROR(MATCH(U2133,Fornecedores!$AF$1:$AF$6631,0),""))</f>
        <v/>
      </c>
      <c r="W2133" t="str">
        <f t="shared" si="3"/>
        <v/>
      </c>
      <c r="X2133" s="4" t="str">
        <f>IF(V2133="","",INDEX(Fornecedores!$X$1:$X$6631,V2133))</f>
        <v/>
      </c>
      <c r="Y2133" s="4" t="str">
        <f t="shared" si="4"/>
        <v/>
      </c>
    </row>
    <row r="2134" spans="19:25">
      <c r="S2134" t="str">
        <f t="shared" si="0"/>
        <v/>
      </c>
      <c r="T2134" t="str">
        <f t="shared" si="1"/>
        <v/>
      </c>
      <c r="U2134" t="str">
        <f t="shared" si="2"/>
        <v/>
      </c>
      <c r="V2134" t="str">
        <f>IF(OR(U2134="",U2134="ERRO_CHAVE"),"",IFERROR(MATCH(U2134,Fornecedores!$AF$1:$AF$6631,0),""))</f>
        <v/>
      </c>
      <c r="W2134" t="str">
        <f t="shared" si="3"/>
        <v/>
      </c>
      <c r="X2134" s="4" t="str">
        <f>IF(V2134="","",INDEX(Fornecedores!$X$1:$X$6631,V2134))</f>
        <v/>
      </c>
      <c r="Y2134" s="4" t="str">
        <f t="shared" si="4"/>
        <v/>
      </c>
    </row>
    <row r="2135" spans="19:25">
      <c r="S2135" t="str">
        <f t="shared" si="0"/>
        <v/>
      </c>
      <c r="T2135" t="str">
        <f t="shared" si="1"/>
        <v/>
      </c>
      <c r="U2135" t="str">
        <f t="shared" si="2"/>
        <v/>
      </c>
      <c r="V2135" t="str">
        <f>IF(OR(U2135="",U2135="ERRO_CHAVE"),"",IFERROR(MATCH(U2135,Fornecedores!$AF$1:$AF$6631,0),""))</f>
        <v/>
      </c>
      <c r="W2135" t="str">
        <f t="shared" si="3"/>
        <v/>
      </c>
      <c r="X2135" s="4" t="str">
        <f>IF(V2135="","",INDEX(Fornecedores!$X$1:$X$6631,V2135))</f>
        <v/>
      </c>
      <c r="Y2135" s="4" t="str">
        <f t="shared" si="4"/>
        <v/>
      </c>
    </row>
    <row r="2136" spans="19:25">
      <c r="S2136" t="str">
        <f t="shared" si="0"/>
        <v/>
      </c>
      <c r="T2136" t="str">
        <f t="shared" si="1"/>
        <v/>
      </c>
      <c r="U2136" t="str">
        <f t="shared" si="2"/>
        <v/>
      </c>
      <c r="V2136" t="str">
        <f>IF(OR(U2136="",U2136="ERRO_CHAVE"),"",IFERROR(MATCH(U2136,Fornecedores!$AF$1:$AF$6631,0),""))</f>
        <v/>
      </c>
      <c r="W2136" t="str">
        <f t="shared" si="3"/>
        <v/>
      </c>
      <c r="X2136" s="4" t="str">
        <f>IF(V2136="","",INDEX(Fornecedores!$X$1:$X$6631,V2136))</f>
        <v/>
      </c>
      <c r="Y2136" s="4" t="str">
        <f t="shared" si="4"/>
        <v/>
      </c>
    </row>
    <row r="2137" spans="19:25">
      <c r="S2137" t="str">
        <f t="shared" si="0"/>
        <v/>
      </c>
      <c r="T2137" t="str">
        <f t="shared" si="1"/>
        <v/>
      </c>
      <c r="U2137" t="str">
        <f t="shared" si="2"/>
        <v/>
      </c>
      <c r="V2137" t="str">
        <f>IF(OR(U2137="",U2137="ERRO_CHAVE"),"",IFERROR(MATCH(U2137,Fornecedores!$AF$1:$AF$6631,0),""))</f>
        <v/>
      </c>
      <c r="W2137" t="str">
        <f t="shared" si="3"/>
        <v/>
      </c>
      <c r="X2137" s="4" t="str">
        <f>IF(V2137="","",INDEX(Fornecedores!$X$1:$X$6631,V2137))</f>
        <v/>
      </c>
      <c r="Y2137" s="4" t="str">
        <f t="shared" si="4"/>
        <v/>
      </c>
    </row>
    <row r="2138" spans="19:25">
      <c r="S2138" t="str">
        <f t="shared" si="0"/>
        <v/>
      </c>
      <c r="T2138" t="str">
        <f t="shared" si="1"/>
        <v/>
      </c>
      <c r="U2138" t="str">
        <f t="shared" si="2"/>
        <v/>
      </c>
      <c r="V2138" t="str">
        <f>IF(OR(U2138="",U2138="ERRO_CHAVE"),"",IFERROR(MATCH(U2138,Fornecedores!$AF$1:$AF$6631,0),""))</f>
        <v/>
      </c>
      <c r="W2138" t="str">
        <f t="shared" si="3"/>
        <v/>
      </c>
      <c r="X2138" s="4" t="str">
        <f>IF(V2138="","",INDEX(Fornecedores!$X$1:$X$6631,V2138))</f>
        <v/>
      </c>
      <c r="Y2138" s="4" t="str">
        <f t="shared" si="4"/>
        <v/>
      </c>
    </row>
    <row r="2139" spans="19:25">
      <c r="S2139" t="str">
        <f t="shared" si="0"/>
        <v/>
      </c>
      <c r="T2139" t="str">
        <f t="shared" si="1"/>
        <v/>
      </c>
      <c r="U2139" t="str">
        <f t="shared" si="2"/>
        <v/>
      </c>
      <c r="V2139" t="str">
        <f>IF(OR(U2139="",U2139="ERRO_CHAVE"),"",IFERROR(MATCH(U2139,Fornecedores!$AF$1:$AF$6631,0),""))</f>
        <v/>
      </c>
      <c r="W2139" t="str">
        <f t="shared" si="3"/>
        <v/>
      </c>
      <c r="X2139" s="4" t="str">
        <f>IF(V2139="","",INDEX(Fornecedores!$X$1:$X$6631,V2139))</f>
        <v/>
      </c>
      <c r="Y2139" s="4" t="str">
        <f t="shared" si="4"/>
        <v/>
      </c>
    </row>
    <row r="2140" spans="19:25">
      <c r="S2140" t="str">
        <f t="shared" si="0"/>
        <v/>
      </c>
      <c r="T2140" t="str">
        <f t="shared" si="1"/>
        <v/>
      </c>
      <c r="U2140" t="str">
        <f t="shared" si="2"/>
        <v/>
      </c>
      <c r="V2140" t="str">
        <f>IF(OR(U2140="",U2140="ERRO_CHAVE"),"",IFERROR(MATCH(U2140,Fornecedores!$AF$1:$AF$6631,0),""))</f>
        <v/>
      </c>
      <c r="W2140" t="str">
        <f t="shared" si="3"/>
        <v/>
      </c>
      <c r="X2140" s="4" t="str">
        <f>IF(V2140="","",INDEX(Fornecedores!$X$1:$X$6631,V2140))</f>
        <v/>
      </c>
      <c r="Y2140" s="4" t="str">
        <f t="shared" si="4"/>
        <v/>
      </c>
    </row>
    <row r="2141" spans="19:25">
      <c r="S2141" t="str">
        <f t="shared" si="0"/>
        <v/>
      </c>
      <c r="T2141" t="str">
        <f t="shared" si="1"/>
        <v/>
      </c>
      <c r="U2141" t="str">
        <f t="shared" si="2"/>
        <v/>
      </c>
      <c r="V2141" t="str">
        <f>IF(OR(U2141="",U2141="ERRO_CHAVE"),"",IFERROR(MATCH(U2141,Fornecedores!$AF$1:$AF$6631,0),""))</f>
        <v/>
      </c>
      <c r="W2141" t="str">
        <f t="shared" si="3"/>
        <v/>
      </c>
      <c r="X2141" s="4" t="str">
        <f>IF(V2141="","",INDEX(Fornecedores!$X$1:$X$6631,V2141))</f>
        <v/>
      </c>
      <c r="Y2141" s="4" t="str">
        <f t="shared" si="4"/>
        <v/>
      </c>
    </row>
    <row r="2142" spans="19:25">
      <c r="S2142" t="str">
        <f t="shared" si="0"/>
        <v/>
      </c>
      <c r="T2142" t="str">
        <f t="shared" si="1"/>
        <v/>
      </c>
      <c r="U2142" t="str">
        <f t="shared" si="2"/>
        <v/>
      </c>
      <c r="V2142" t="str">
        <f>IF(OR(U2142="",U2142="ERRO_CHAVE"),"",IFERROR(MATCH(U2142,Fornecedores!$AF$1:$AF$6631,0),""))</f>
        <v/>
      </c>
      <c r="W2142" t="str">
        <f t="shared" si="3"/>
        <v/>
      </c>
      <c r="X2142" s="4" t="str">
        <f>IF(V2142="","",INDEX(Fornecedores!$X$1:$X$6631,V2142))</f>
        <v/>
      </c>
      <c r="Y2142" s="4" t="str">
        <f t="shared" si="4"/>
        <v/>
      </c>
    </row>
    <row r="2143" spans="19:25">
      <c r="S2143" t="str">
        <f t="shared" si="0"/>
        <v/>
      </c>
      <c r="T2143" t="str">
        <f t="shared" si="1"/>
        <v/>
      </c>
      <c r="U2143" t="str">
        <f t="shared" si="2"/>
        <v/>
      </c>
      <c r="V2143" t="str">
        <f>IF(OR(U2143="",U2143="ERRO_CHAVE"),"",IFERROR(MATCH(U2143,Fornecedores!$AF$1:$AF$6631,0),""))</f>
        <v/>
      </c>
      <c r="W2143" t="str">
        <f t="shared" si="3"/>
        <v/>
      </c>
      <c r="X2143" s="4" t="str">
        <f>IF(V2143="","",INDEX(Fornecedores!$X$1:$X$6631,V2143))</f>
        <v/>
      </c>
      <c r="Y2143" s="4" t="str">
        <f t="shared" si="4"/>
        <v/>
      </c>
    </row>
    <row r="2144" spans="19:25">
      <c r="S2144" t="str">
        <f t="shared" si="0"/>
        <v/>
      </c>
      <c r="T2144" t="str">
        <f t="shared" si="1"/>
        <v/>
      </c>
      <c r="U2144" t="str">
        <f t="shared" si="2"/>
        <v/>
      </c>
      <c r="V2144" t="str">
        <f>IF(OR(U2144="",U2144="ERRO_CHAVE"),"",IFERROR(MATCH(U2144,Fornecedores!$AF$1:$AF$6631,0),""))</f>
        <v/>
      </c>
      <c r="W2144" t="str">
        <f t="shared" si="3"/>
        <v/>
      </c>
      <c r="X2144" s="4" t="str">
        <f>IF(V2144="","",INDEX(Fornecedores!$X$1:$X$6631,V2144))</f>
        <v/>
      </c>
      <c r="Y2144" s="4" t="str">
        <f t="shared" si="4"/>
        <v/>
      </c>
    </row>
    <row r="2145" spans="19:25">
      <c r="S2145" t="str">
        <f t="shared" si="0"/>
        <v/>
      </c>
      <c r="T2145" t="str">
        <f t="shared" si="1"/>
        <v/>
      </c>
      <c r="U2145" t="str">
        <f t="shared" si="2"/>
        <v/>
      </c>
      <c r="V2145" t="str">
        <f>IF(OR(U2145="",U2145="ERRO_CHAVE"),"",IFERROR(MATCH(U2145,Fornecedores!$AF$1:$AF$6631,0),""))</f>
        <v/>
      </c>
      <c r="W2145" t="str">
        <f t="shared" si="3"/>
        <v/>
      </c>
      <c r="X2145" s="4" t="str">
        <f>IF(V2145="","",INDEX(Fornecedores!$X$1:$X$6631,V2145))</f>
        <v/>
      </c>
      <c r="Y2145" s="4" t="str">
        <f t="shared" si="4"/>
        <v/>
      </c>
    </row>
    <row r="2146" spans="19:25">
      <c r="S2146" t="str">
        <f t="shared" si="0"/>
        <v/>
      </c>
      <c r="T2146" t="str">
        <f t="shared" si="1"/>
        <v/>
      </c>
      <c r="U2146" t="str">
        <f t="shared" si="2"/>
        <v/>
      </c>
      <c r="V2146" t="str">
        <f>IF(OR(U2146="",U2146="ERRO_CHAVE"),"",IFERROR(MATCH(U2146,Fornecedores!$AF$1:$AF$6631,0),""))</f>
        <v/>
      </c>
      <c r="W2146" t="str">
        <f t="shared" si="3"/>
        <v/>
      </c>
      <c r="X2146" s="4" t="str">
        <f>IF(V2146="","",INDEX(Fornecedores!$X$1:$X$6631,V2146))</f>
        <v/>
      </c>
      <c r="Y2146" s="4" t="str">
        <f t="shared" si="4"/>
        <v/>
      </c>
    </row>
    <row r="2147" spans="19:25">
      <c r="S2147" t="str">
        <f t="shared" si="0"/>
        <v/>
      </c>
      <c r="T2147" t="str">
        <f t="shared" si="1"/>
        <v/>
      </c>
      <c r="U2147" t="str">
        <f t="shared" si="2"/>
        <v/>
      </c>
      <c r="V2147" t="str">
        <f>IF(OR(U2147="",U2147="ERRO_CHAVE"),"",IFERROR(MATCH(U2147,Fornecedores!$AF$1:$AF$6631,0),""))</f>
        <v/>
      </c>
      <c r="W2147" t="str">
        <f t="shared" si="3"/>
        <v/>
      </c>
      <c r="X2147" s="4" t="str">
        <f>IF(V2147="","",INDEX(Fornecedores!$X$1:$X$6631,V2147))</f>
        <v/>
      </c>
      <c r="Y2147" s="4" t="str">
        <f t="shared" si="4"/>
        <v/>
      </c>
    </row>
    <row r="2148" spans="19:25">
      <c r="S2148" t="str">
        <f t="shared" si="0"/>
        <v/>
      </c>
      <c r="T2148" t="str">
        <f t="shared" si="1"/>
        <v/>
      </c>
      <c r="U2148" t="str">
        <f t="shared" si="2"/>
        <v/>
      </c>
      <c r="V2148" t="str">
        <f>IF(OR(U2148="",U2148="ERRO_CHAVE"),"",IFERROR(MATCH(U2148,Fornecedores!$AF$1:$AF$6631,0),""))</f>
        <v/>
      </c>
      <c r="W2148" t="str">
        <f t="shared" si="3"/>
        <v/>
      </c>
      <c r="X2148" s="4" t="str">
        <f>IF(V2148="","",INDEX(Fornecedores!$X$1:$X$6631,V2148))</f>
        <v/>
      </c>
      <c r="Y2148" s="4" t="str">
        <f t="shared" si="4"/>
        <v/>
      </c>
    </row>
    <row r="2149" spans="19:25">
      <c r="S2149" t="str">
        <f t="shared" si="0"/>
        <v/>
      </c>
      <c r="T2149" t="str">
        <f t="shared" si="1"/>
        <v/>
      </c>
      <c r="U2149" t="str">
        <f t="shared" si="2"/>
        <v/>
      </c>
      <c r="V2149" t="str">
        <f>IF(OR(U2149="",U2149="ERRO_CHAVE"),"",IFERROR(MATCH(U2149,Fornecedores!$AF$1:$AF$6631,0),""))</f>
        <v/>
      </c>
      <c r="W2149" t="str">
        <f t="shared" si="3"/>
        <v/>
      </c>
      <c r="X2149" s="4" t="str">
        <f>IF(V2149="","",INDEX(Fornecedores!$X$1:$X$6631,V2149))</f>
        <v/>
      </c>
      <c r="Y2149" s="4" t="str">
        <f t="shared" si="4"/>
        <v/>
      </c>
    </row>
    <row r="2150" spans="19:25">
      <c r="S2150" t="str">
        <f t="shared" si="0"/>
        <v/>
      </c>
      <c r="T2150" t="str">
        <f t="shared" si="1"/>
        <v/>
      </c>
      <c r="U2150" t="str">
        <f t="shared" si="2"/>
        <v/>
      </c>
      <c r="V2150" t="str">
        <f>IF(OR(U2150="",U2150="ERRO_CHAVE"),"",IFERROR(MATCH(U2150,Fornecedores!$AF$1:$AF$6631,0),""))</f>
        <v/>
      </c>
      <c r="W2150" t="str">
        <f t="shared" si="3"/>
        <v/>
      </c>
      <c r="X2150" s="4" t="str">
        <f>IF(V2150="","",INDEX(Fornecedores!$X$1:$X$6631,V2150))</f>
        <v/>
      </c>
      <c r="Y2150" s="4" t="str">
        <f t="shared" si="4"/>
        <v/>
      </c>
    </row>
    <row r="2151" spans="19:25">
      <c r="S2151" t="str">
        <f t="shared" si="0"/>
        <v/>
      </c>
      <c r="T2151" t="str">
        <f t="shared" si="1"/>
        <v/>
      </c>
      <c r="U2151" t="str">
        <f t="shared" si="2"/>
        <v/>
      </c>
      <c r="V2151" t="str">
        <f>IF(OR(U2151="",U2151="ERRO_CHAVE"),"",IFERROR(MATCH(U2151,Fornecedores!$AF$1:$AF$6631,0),""))</f>
        <v/>
      </c>
      <c r="W2151" t="str">
        <f t="shared" si="3"/>
        <v/>
      </c>
      <c r="X2151" s="4" t="str">
        <f>IF(V2151="","",INDEX(Fornecedores!$X$1:$X$6631,V2151))</f>
        <v/>
      </c>
      <c r="Y2151" s="4" t="str">
        <f t="shared" si="4"/>
        <v/>
      </c>
    </row>
    <row r="2152" spans="19:25">
      <c r="S2152" t="str">
        <f t="shared" si="0"/>
        <v/>
      </c>
      <c r="T2152" t="str">
        <f t="shared" si="1"/>
        <v/>
      </c>
      <c r="U2152" t="str">
        <f t="shared" si="2"/>
        <v/>
      </c>
      <c r="V2152" t="str">
        <f>IF(OR(U2152="",U2152="ERRO_CHAVE"),"",IFERROR(MATCH(U2152,Fornecedores!$AF$1:$AF$6631,0),""))</f>
        <v/>
      </c>
      <c r="W2152" t="str">
        <f t="shared" si="3"/>
        <v/>
      </c>
      <c r="X2152" s="4" t="str">
        <f>IF(V2152="","",INDEX(Fornecedores!$X$1:$X$6631,V2152))</f>
        <v/>
      </c>
      <c r="Y2152" s="4" t="str">
        <f t="shared" si="4"/>
        <v/>
      </c>
    </row>
    <row r="2153" spans="19:25">
      <c r="S2153" t="str">
        <f t="shared" si="0"/>
        <v/>
      </c>
      <c r="T2153" t="str">
        <f t="shared" si="1"/>
        <v/>
      </c>
      <c r="U2153" t="str">
        <f t="shared" si="2"/>
        <v/>
      </c>
      <c r="V2153" t="str">
        <f>IF(OR(U2153="",U2153="ERRO_CHAVE"),"",IFERROR(MATCH(U2153,Fornecedores!$AF$1:$AF$6631,0),""))</f>
        <v/>
      </c>
      <c r="W2153" t="str">
        <f t="shared" si="3"/>
        <v/>
      </c>
      <c r="X2153" s="4" t="str">
        <f>IF(V2153="","",INDEX(Fornecedores!$X$1:$X$6631,V2153))</f>
        <v/>
      </c>
      <c r="Y2153" s="4" t="str">
        <f t="shared" si="4"/>
        <v/>
      </c>
    </row>
    <row r="2154" spans="19:25">
      <c r="S2154" t="str">
        <f t="shared" si="0"/>
        <v/>
      </c>
      <c r="T2154" t="str">
        <f t="shared" si="1"/>
        <v/>
      </c>
      <c r="U2154" t="str">
        <f t="shared" si="2"/>
        <v/>
      </c>
      <c r="V2154" t="str">
        <f>IF(OR(U2154="",U2154="ERRO_CHAVE"),"",IFERROR(MATCH(U2154,Fornecedores!$AF$1:$AF$6631,0),""))</f>
        <v/>
      </c>
      <c r="W2154" t="str">
        <f t="shared" si="3"/>
        <v/>
      </c>
      <c r="X2154" s="4" t="str">
        <f>IF(V2154="","",INDEX(Fornecedores!$X$1:$X$6631,V2154))</f>
        <v/>
      </c>
      <c r="Y2154" s="4" t="str">
        <f t="shared" si="4"/>
        <v/>
      </c>
    </row>
    <row r="2155" spans="19:25">
      <c r="S2155" t="str">
        <f t="shared" si="0"/>
        <v/>
      </c>
      <c r="T2155" t="str">
        <f t="shared" si="1"/>
        <v/>
      </c>
      <c r="U2155" t="str">
        <f t="shared" si="2"/>
        <v/>
      </c>
      <c r="V2155" t="str">
        <f>IF(OR(U2155="",U2155="ERRO_CHAVE"),"",IFERROR(MATCH(U2155,Fornecedores!$AF$1:$AF$6631,0),""))</f>
        <v/>
      </c>
      <c r="W2155" t="str">
        <f t="shared" si="3"/>
        <v/>
      </c>
      <c r="X2155" s="4" t="str">
        <f>IF(V2155="","",INDEX(Fornecedores!$X$1:$X$6631,V2155))</f>
        <v/>
      </c>
      <c r="Y2155" s="4" t="str">
        <f t="shared" si="4"/>
        <v/>
      </c>
    </row>
    <row r="2156" spans="19:25">
      <c r="S2156" t="str">
        <f t="shared" si="0"/>
        <v/>
      </c>
      <c r="T2156" t="str">
        <f t="shared" si="1"/>
        <v/>
      </c>
      <c r="U2156" t="str">
        <f t="shared" si="2"/>
        <v/>
      </c>
      <c r="V2156" t="str">
        <f>IF(OR(U2156="",U2156="ERRO_CHAVE"),"",IFERROR(MATCH(U2156,Fornecedores!$AF$1:$AF$6631,0),""))</f>
        <v/>
      </c>
      <c r="W2156" t="str">
        <f t="shared" si="3"/>
        <v/>
      </c>
      <c r="X2156" s="4" t="str">
        <f>IF(V2156="","",INDEX(Fornecedores!$X$1:$X$6631,V2156))</f>
        <v/>
      </c>
      <c r="Y2156" s="4" t="str">
        <f t="shared" si="4"/>
        <v/>
      </c>
    </row>
    <row r="2157" spans="19:25">
      <c r="S2157" t="str">
        <f t="shared" si="0"/>
        <v/>
      </c>
      <c r="T2157" t="str">
        <f t="shared" si="1"/>
        <v/>
      </c>
      <c r="U2157" t="str">
        <f t="shared" si="2"/>
        <v/>
      </c>
      <c r="V2157" t="str">
        <f>IF(OR(U2157="",U2157="ERRO_CHAVE"),"",IFERROR(MATCH(U2157,Fornecedores!$AF$1:$AF$6631,0),""))</f>
        <v/>
      </c>
      <c r="W2157" t="str">
        <f t="shared" si="3"/>
        <v/>
      </c>
      <c r="X2157" s="4" t="str">
        <f>IF(V2157="","",INDEX(Fornecedores!$X$1:$X$6631,V2157))</f>
        <v/>
      </c>
      <c r="Y2157" s="4" t="str">
        <f t="shared" si="4"/>
        <v/>
      </c>
    </row>
    <row r="2158" spans="19:25">
      <c r="S2158" t="str">
        <f t="shared" si="0"/>
        <v/>
      </c>
      <c r="T2158" t="str">
        <f t="shared" si="1"/>
        <v/>
      </c>
      <c r="U2158" t="str">
        <f t="shared" si="2"/>
        <v/>
      </c>
      <c r="V2158" t="str">
        <f>IF(OR(U2158="",U2158="ERRO_CHAVE"),"",IFERROR(MATCH(U2158,Fornecedores!$AF$1:$AF$6631,0),""))</f>
        <v/>
      </c>
      <c r="W2158" t="str">
        <f t="shared" si="3"/>
        <v/>
      </c>
      <c r="X2158" s="4" t="str">
        <f>IF(V2158="","",INDEX(Fornecedores!$X$1:$X$6631,V2158))</f>
        <v/>
      </c>
      <c r="Y2158" s="4" t="str">
        <f t="shared" si="4"/>
        <v/>
      </c>
    </row>
    <row r="2159" spans="19:25">
      <c r="S2159" t="str">
        <f t="shared" si="0"/>
        <v/>
      </c>
      <c r="T2159" t="str">
        <f t="shared" si="1"/>
        <v/>
      </c>
      <c r="U2159" t="str">
        <f t="shared" si="2"/>
        <v/>
      </c>
      <c r="V2159" t="str">
        <f>IF(OR(U2159="",U2159="ERRO_CHAVE"),"",IFERROR(MATCH(U2159,Fornecedores!$AF$1:$AF$6631,0),""))</f>
        <v/>
      </c>
      <c r="W2159" t="str">
        <f t="shared" si="3"/>
        <v/>
      </c>
      <c r="X2159" s="4" t="str">
        <f>IF(V2159="","",INDEX(Fornecedores!$X$1:$X$6631,V2159))</f>
        <v/>
      </c>
      <c r="Y2159" s="4" t="str">
        <f t="shared" si="4"/>
        <v/>
      </c>
    </row>
    <row r="2160" spans="19:25">
      <c r="S2160" t="str">
        <f t="shared" si="0"/>
        <v/>
      </c>
      <c r="T2160" t="str">
        <f t="shared" si="1"/>
        <v/>
      </c>
      <c r="U2160" t="str">
        <f t="shared" si="2"/>
        <v/>
      </c>
      <c r="V2160" t="str">
        <f>IF(OR(U2160="",U2160="ERRO_CHAVE"),"",IFERROR(MATCH(U2160,Fornecedores!$AF$1:$AF$6631,0),""))</f>
        <v/>
      </c>
      <c r="W2160" t="str">
        <f t="shared" si="3"/>
        <v/>
      </c>
      <c r="X2160" s="4" t="str">
        <f>IF(V2160="","",INDEX(Fornecedores!$X$1:$X$6631,V2160))</f>
        <v/>
      </c>
      <c r="Y2160" s="4" t="str">
        <f t="shared" si="4"/>
        <v/>
      </c>
    </row>
    <row r="2161" spans="19:25">
      <c r="S2161" t="str">
        <f t="shared" si="0"/>
        <v/>
      </c>
      <c r="T2161" t="str">
        <f t="shared" si="1"/>
        <v/>
      </c>
      <c r="U2161" t="str">
        <f t="shared" si="2"/>
        <v/>
      </c>
      <c r="V2161" t="str">
        <f>IF(OR(U2161="",U2161="ERRO_CHAVE"),"",IFERROR(MATCH(U2161,Fornecedores!$AF$1:$AF$6631,0),""))</f>
        <v/>
      </c>
      <c r="W2161" t="str">
        <f t="shared" si="3"/>
        <v/>
      </c>
      <c r="X2161" s="4" t="str">
        <f>IF(V2161="","",INDEX(Fornecedores!$X$1:$X$6631,V2161))</f>
        <v/>
      </c>
      <c r="Y2161" s="4" t="str">
        <f t="shared" si="4"/>
        <v/>
      </c>
    </row>
    <row r="2162" spans="19:25">
      <c r="S2162" t="str">
        <f t="shared" si="0"/>
        <v/>
      </c>
      <c r="T2162" t="str">
        <f t="shared" si="1"/>
        <v/>
      </c>
      <c r="U2162" t="str">
        <f t="shared" si="2"/>
        <v/>
      </c>
      <c r="V2162" t="str">
        <f>IF(OR(U2162="",U2162="ERRO_CHAVE"),"",IFERROR(MATCH(U2162,Fornecedores!$AF$1:$AF$6631,0),""))</f>
        <v/>
      </c>
      <c r="W2162" t="str">
        <f t="shared" si="3"/>
        <v/>
      </c>
      <c r="X2162" s="4" t="str">
        <f>IF(V2162="","",INDEX(Fornecedores!$X$1:$X$6631,V2162))</f>
        <v/>
      </c>
      <c r="Y2162" s="4" t="str">
        <f t="shared" si="4"/>
        <v/>
      </c>
    </row>
    <row r="2163" spans="19:25">
      <c r="S2163" t="str">
        <f t="shared" si="0"/>
        <v/>
      </c>
      <c r="T2163" t="str">
        <f t="shared" si="1"/>
        <v/>
      </c>
      <c r="U2163" t="str">
        <f t="shared" si="2"/>
        <v/>
      </c>
      <c r="V2163" t="str">
        <f>IF(OR(U2163="",U2163="ERRO_CHAVE"),"",IFERROR(MATCH(U2163,Fornecedores!$AF$1:$AF$6631,0),""))</f>
        <v/>
      </c>
      <c r="W2163" t="str">
        <f t="shared" si="3"/>
        <v/>
      </c>
      <c r="X2163" s="4" t="str">
        <f>IF(V2163="","",INDEX(Fornecedores!$X$1:$X$6631,V2163))</f>
        <v/>
      </c>
      <c r="Y2163" s="4" t="str">
        <f t="shared" si="4"/>
        <v/>
      </c>
    </row>
    <row r="2164" spans="19:25">
      <c r="S2164" t="str">
        <f t="shared" si="0"/>
        <v/>
      </c>
      <c r="T2164" t="str">
        <f t="shared" si="1"/>
        <v/>
      </c>
      <c r="U2164" t="str">
        <f t="shared" si="2"/>
        <v/>
      </c>
      <c r="V2164" t="str">
        <f>IF(OR(U2164="",U2164="ERRO_CHAVE"),"",IFERROR(MATCH(U2164,Fornecedores!$AF$1:$AF$6631,0),""))</f>
        <v/>
      </c>
      <c r="W2164" t="str">
        <f t="shared" si="3"/>
        <v/>
      </c>
      <c r="X2164" s="4" t="str">
        <f>IF(V2164="","",INDEX(Fornecedores!$X$1:$X$6631,V2164))</f>
        <v/>
      </c>
      <c r="Y2164" s="4" t="str">
        <f t="shared" si="4"/>
        <v/>
      </c>
    </row>
    <row r="2165" spans="19:25">
      <c r="S2165" t="str">
        <f t="shared" si="0"/>
        <v/>
      </c>
      <c r="T2165" t="str">
        <f t="shared" si="1"/>
        <v/>
      </c>
      <c r="U2165" t="str">
        <f t="shared" si="2"/>
        <v/>
      </c>
      <c r="V2165" t="str">
        <f>IF(OR(U2165="",U2165="ERRO_CHAVE"),"",IFERROR(MATCH(U2165,Fornecedores!$AF$1:$AF$6631,0),""))</f>
        <v/>
      </c>
      <c r="W2165" t="str">
        <f t="shared" si="3"/>
        <v/>
      </c>
      <c r="X2165" s="4" t="str">
        <f>IF(V2165="","",INDEX(Fornecedores!$X$1:$X$6631,V2165))</f>
        <v/>
      </c>
      <c r="Y2165" s="4" t="str">
        <f t="shared" si="4"/>
        <v/>
      </c>
    </row>
    <row r="2166" spans="19:25">
      <c r="S2166" t="str">
        <f t="shared" si="0"/>
        <v/>
      </c>
      <c r="T2166" t="str">
        <f t="shared" si="1"/>
        <v/>
      </c>
      <c r="U2166" t="str">
        <f t="shared" si="2"/>
        <v/>
      </c>
      <c r="V2166" t="str">
        <f>IF(OR(U2166="",U2166="ERRO_CHAVE"),"",IFERROR(MATCH(U2166,Fornecedores!$AF$1:$AF$6631,0),""))</f>
        <v/>
      </c>
      <c r="W2166" t="str">
        <f t="shared" si="3"/>
        <v/>
      </c>
      <c r="X2166" s="4" t="str">
        <f>IF(V2166="","",INDEX(Fornecedores!$X$1:$X$6631,V2166))</f>
        <v/>
      </c>
      <c r="Y2166" s="4" t="str">
        <f t="shared" si="4"/>
        <v/>
      </c>
    </row>
    <row r="2167" spans="19:25">
      <c r="S2167" t="str">
        <f t="shared" si="0"/>
        <v/>
      </c>
      <c r="T2167" t="str">
        <f t="shared" si="1"/>
        <v/>
      </c>
      <c r="U2167" t="str">
        <f t="shared" si="2"/>
        <v/>
      </c>
      <c r="V2167" t="str">
        <f>IF(OR(U2167="",U2167="ERRO_CHAVE"),"",IFERROR(MATCH(U2167,Fornecedores!$AF$1:$AF$6631,0),""))</f>
        <v/>
      </c>
      <c r="W2167" t="str">
        <f t="shared" si="3"/>
        <v/>
      </c>
      <c r="X2167" s="4" t="str">
        <f>IF(V2167="","",INDEX(Fornecedores!$X$1:$X$6631,V2167))</f>
        <v/>
      </c>
      <c r="Y2167" s="4" t="str">
        <f t="shared" si="4"/>
        <v/>
      </c>
    </row>
    <row r="2168" spans="19:25">
      <c r="S2168" t="str">
        <f t="shared" si="0"/>
        <v/>
      </c>
      <c r="T2168" t="str">
        <f t="shared" si="1"/>
        <v/>
      </c>
      <c r="U2168" t="str">
        <f t="shared" si="2"/>
        <v/>
      </c>
      <c r="V2168" t="str">
        <f>IF(OR(U2168="",U2168="ERRO_CHAVE"),"",IFERROR(MATCH(U2168,Fornecedores!$AF$1:$AF$6631,0),""))</f>
        <v/>
      </c>
      <c r="W2168" t="str">
        <f t="shared" si="3"/>
        <v/>
      </c>
      <c r="X2168" s="4" t="str">
        <f>IF(V2168="","",INDEX(Fornecedores!$X$1:$X$6631,V2168))</f>
        <v/>
      </c>
      <c r="Y2168" s="4" t="str">
        <f t="shared" si="4"/>
        <v/>
      </c>
    </row>
    <row r="2169" spans="19:25">
      <c r="S2169" t="str">
        <f t="shared" si="0"/>
        <v/>
      </c>
      <c r="T2169" t="str">
        <f t="shared" si="1"/>
        <v/>
      </c>
      <c r="U2169" t="str">
        <f t="shared" si="2"/>
        <v/>
      </c>
      <c r="V2169" t="str">
        <f>IF(OR(U2169="",U2169="ERRO_CHAVE"),"",IFERROR(MATCH(U2169,Fornecedores!$AF$1:$AF$6631,0),""))</f>
        <v/>
      </c>
      <c r="W2169" t="str">
        <f t="shared" si="3"/>
        <v/>
      </c>
      <c r="X2169" s="4" t="str">
        <f>IF(V2169="","",INDEX(Fornecedores!$X$1:$X$6631,V2169))</f>
        <v/>
      </c>
      <c r="Y2169" s="4" t="str">
        <f t="shared" si="4"/>
        <v/>
      </c>
    </row>
    <row r="2170" spans="19:25">
      <c r="S2170" t="str">
        <f t="shared" si="0"/>
        <v/>
      </c>
      <c r="T2170" t="str">
        <f t="shared" si="1"/>
        <v/>
      </c>
      <c r="U2170" t="str">
        <f t="shared" si="2"/>
        <v/>
      </c>
      <c r="V2170" t="str">
        <f>IF(OR(U2170="",U2170="ERRO_CHAVE"),"",IFERROR(MATCH(U2170,Fornecedores!$AF$1:$AF$6631,0),""))</f>
        <v/>
      </c>
      <c r="W2170" t="str">
        <f t="shared" si="3"/>
        <v/>
      </c>
      <c r="X2170" s="4" t="str">
        <f>IF(V2170="","",INDEX(Fornecedores!$X$1:$X$6631,V2170))</f>
        <v/>
      </c>
      <c r="Y2170" s="4" t="str">
        <f t="shared" si="4"/>
        <v/>
      </c>
    </row>
    <row r="2171" spans="19:25">
      <c r="S2171" t="str">
        <f t="shared" si="0"/>
        <v/>
      </c>
      <c r="T2171" t="str">
        <f t="shared" si="1"/>
        <v/>
      </c>
      <c r="U2171" t="str">
        <f t="shared" si="2"/>
        <v/>
      </c>
      <c r="V2171" t="str">
        <f>IF(OR(U2171="",U2171="ERRO_CHAVE"),"",IFERROR(MATCH(U2171,Fornecedores!$AF$1:$AF$6631,0),""))</f>
        <v/>
      </c>
      <c r="W2171" t="str">
        <f t="shared" si="3"/>
        <v/>
      </c>
      <c r="X2171" s="4" t="str">
        <f>IF(V2171="","",INDEX(Fornecedores!$X$1:$X$6631,V2171))</f>
        <v/>
      </c>
      <c r="Y2171" s="4" t="str">
        <f t="shared" si="4"/>
        <v/>
      </c>
    </row>
    <row r="2172" spans="19:25">
      <c r="S2172" t="str">
        <f t="shared" si="0"/>
        <v/>
      </c>
      <c r="T2172" t="str">
        <f t="shared" si="1"/>
        <v/>
      </c>
      <c r="U2172" t="str">
        <f t="shared" si="2"/>
        <v/>
      </c>
      <c r="V2172" t="str">
        <f>IF(OR(U2172="",U2172="ERRO_CHAVE"),"",IFERROR(MATCH(U2172,Fornecedores!$AF$1:$AF$6631,0),""))</f>
        <v/>
      </c>
      <c r="W2172" t="str">
        <f t="shared" si="3"/>
        <v/>
      </c>
      <c r="X2172" s="4" t="str">
        <f>IF(V2172="","",INDEX(Fornecedores!$X$1:$X$6631,V2172))</f>
        <v/>
      </c>
      <c r="Y2172" s="4" t="str">
        <f t="shared" si="4"/>
        <v/>
      </c>
    </row>
    <row r="2173" spans="19:25">
      <c r="S2173" t="str">
        <f t="shared" si="0"/>
        <v/>
      </c>
      <c r="T2173" t="str">
        <f t="shared" si="1"/>
        <v/>
      </c>
      <c r="U2173" t="str">
        <f t="shared" si="2"/>
        <v/>
      </c>
      <c r="V2173" t="str">
        <f>IF(OR(U2173="",U2173="ERRO_CHAVE"),"",IFERROR(MATCH(U2173,Fornecedores!$AF$1:$AF$6631,0),""))</f>
        <v/>
      </c>
      <c r="W2173" t="str">
        <f t="shared" si="3"/>
        <v/>
      </c>
      <c r="X2173" s="4" t="str">
        <f>IF(V2173="","",INDEX(Fornecedores!$X$1:$X$6631,V2173))</f>
        <v/>
      </c>
      <c r="Y2173" s="4" t="str">
        <f t="shared" si="4"/>
        <v/>
      </c>
    </row>
    <row r="2174" spans="19:25">
      <c r="S2174" t="str">
        <f t="shared" si="0"/>
        <v/>
      </c>
      <c r="T2174" t="str">
        <f t="shared" si="1"/>
        <v/>
      </c>
      <c r="U2174" t="str">
        <f t="shared" si="2"/>
        <v/>
      </c>
      <c r="V2174" t="str">
        <f>IF(OR(U2174="",U2174="ERRO_CHAVE"),"",IFERROR(MATCH(U2174,Fornecedores!$AF$1:$AF$6631,0),""))</f>
        <v/>
      </c>
      <c r="W2174" t="str">
        <f t="shared" si="3"/>
        <v/>
      </c>
      <c r="X2174" s="4" t="str">
        <f>IF(V2174="","",INDEX(Fornecedores!$X$1:$X$6631,V2174))</f>
        <v/>
      </c>
      <c r="Y2174" s="4" t="str">
        <f t="shared" si="4"/>
        <v/>
      </c>
    </row>
    <row r="2175" spans="19:25">
      <c r="S2175" t="str">
        <f t="shared" si="0"/>
        <v/>
      </c>
      <c r="T2175" t="str">
        <f t="shared" si="1"/>
        <v/>
      </c>
      <c r="U2175" t="str">
        <f t="shared" si="2"/>
        <v/>
      </c>
      <c r="V2175" t="str">
        <f>IF(OR(U2175="",U2175="ERRO_CHAVE"),"",IFERROR(MATCH(U2175,Fornecedores!$AF$1:$AF$6631,0),""))</f>
        <v/>
      </c>
      <c r="W2175" t="str">
        <f t="shared" si="3"/>
        <v/>
      </c>
      <c r="X2175" s="4" t="str">
        <f>IF(V2175="","",INDEX(Fornecedores!$X$1:$X$6631,V2175))</f>
        <v/>
      </c>
      <c r="Y2175" s="4" t="str">
        <f t="shared" si="4"/>
        <v/>
      </c>
    </row>
    <row r="2176" spans="19:25">
      <c r="S2176" t="str">
        <f t="shared" si="0"/>
        <v/>
      </c>
      <c r="T2176" t="str">
        <f t="shared" si="1"/>
        <v/>
      </c>
      <c r="U2176" t="str">
        <f t="shared" si="2"/>
        <v/>
      </c>
      <c r="V2176" t="str">
        <f>IF(OR(U2176="",U2176="ERRO_CHAVE"),"",IFERROR(MATCH(U2176,Fornecedores!$AF$1:$AF$6631,0),""))</f>
        <v/>
      </c>
      <c r="W2176" t="str">
        <f t="shared" si="3"/>
        <v/>
      </c>
      <c r="X2176" s="4" t="str">
        <f>IF(V2176="","",INDEX(Fornecedores!$X$1:$X$6631,V2176))</f>
        <v/>
      </c>
      <c r="Y2176" s="4" t="str">
        <f t="shared" si="4"/>
        <v/>
      </c>
    </row>
    <row r="2177" spans="19:25">
      <c r="S2177" t="str">
        <f t="shared" si="0"/>
        <v/>
      </c>
      <c r="T2177" t="str">
        <f t="shared" si="1"/>
        <v/>
      </c>
      <c r="U2177" t="str">
        <f t="shared" si="2"/>
        <v/>
      </c>
      <c r="V2177" t="str">
        <f>IF(OR(U2177="",U2177="ERRO_CHAVE"),"",IFERROR(MATCH(U2177,Fornecedores!$AF$1:$AF$6631,0),""))</f>
        <v/>
      </c>
      <c r="W2177" t="str">
        <f t="shared" si="3"/>
        <v/>
      </c>
      <c r="X2177" s="4" t="str">
        <f>IF(V2177="","",INDEX(Fornecedores!$X$1:$X$6631,V2177))</f>
        <v/>
      </c>
      <c r="Y2177" s="4" t="str">
        <f t="shared" si="4"/>
        <v/>
      </c>
    </row>
    <row r="2178" spans="19:25">
      <c r="S2178" t="str">
        <f t="shared" si="0"/>
        <v/>
      </c>
      <c r="T2178" t="str">
        <f t="shared" si="1"/>
        <v/>
      </c>
      <c r="U2178" t="str">
        <f t="shared" si="2"/>
        <v/>
      </c>
      <c r="V2178" t="str">
        <f>IF(OR(U2178="",U2178="ERRO_CHAVE"),"",IFERROR(MATCH(U2178,Fornecedores!$AF$1:$AF$6631,0),""))</f>
        <v/>
      </c>
      <c r="W2178" t="str">
        <f t="shared" si="3"/>
        <v/>
      </c>
      <c r="X2178" s="4" t="str">
        <f>IF(V2178="","",INDEX(Fornecedores!$X$1:$X$6631,V2178))</f>
        <v/>
      </c>
      <c r="Y2178" s="4" t="str">
        <f t="shared" si="4"/>
        <v/>
      </c>
    </row>
    <row r="2179" spans="19:25">
      <c r="S2179" t="str">
        <f t="shared" si="0"/>
        <v/>
      </c>
      <c r="T2179" t="str">
        <f t="shared" si="1"/>
        <v/>
      </c>
      <c r="U2179" t="str">
        <f t="shared" si="2"/>
        <v/>
      </c>
      <c r="V2179" t="str">
        <f>IF(OR(U2179="",U2179="ERRO_CHAVE"),"",IFERROR(MATCH(U2179,Fornecedores!$AF$1:$AF$6631,0),""))</f>
        <v/>
      </c>
      <c r="W2179" t="str">
        <f t="shared" si="3"/>
        <v/>
      </c>
      <c r="X2179" s="4" t="str">
        <f>IF(V2179="","",INDEX(Fornecedores!$X$1:$X$6631,V2179))</f>
        <v/>
      </c>
      <c r="Y2179" s="4" t="str">
        <f t="shared" si="4"/>
        <v/>
      </c>
    </row>
    <row r="2180" spans="19:25">
      <c r="S2180" t="str">
        <f t="shared" si="0"/>
        <v/>
      </c>
      <c r="T2180" t="str">
        <f t="shared" si="1"/>
        <v/>
      </c>
      <c r="U2180" t="str">
        <f t="shared" si="2"/>
        <v/>
      </c>
      <c r="V2180" t="str">
        <f>IF(OR(U2180="",U2180="ERRO_CHAVE"),"",IFERROR(MATCH(U2180,Fornecedores!$AF$1:$AF$6631,0),""))</f>
        <v/>
      </c>
      <c r="W2180" t="str">
        <f t="shared" si="3"/>
        <v/>
      </c>
      <c r="X2180" s="4" t="str">
        <f>IF(V2180="","",INDEX(Fornecedores!$X$1:$X$6631,V2180))</f>
        <v/>
      </c>
      <c r="Y2180" s="4" t="str">
        <f t="shared" si="4"/>
        <v/>
      </c>
    </row>
    <row r="2181" spans="19:25">
      <c r="S2181" t="str">
        <f t="shared" si="0"/>
        <v/>
      </c>
      <c r="T2181" t="str">
        <f t="shared" si="1"/>
        <v/>
      </c>
      <c r="U2181" t="str">
        <f t="shared" si="2"/>
        <v/>
      </c>
      <c r="V2181" t="str">
        <f>IF(OR(U2181="",U2181="ERRO_CHAVE"),"",IFERROR(MATCH(U2181,Fornecedores!$AF$1:$AF$6631,0),""))</f>
        <v/>
      </c>
      <c r="W2181" t="str">
        <f t="shared" si="3"/>
        <v/>
      </c>
      <c r="X2181" s="4" t="str">
        <f>IF(V2181="","",INDEX(Fornecedores!$X$1:$X$6631,V2181))</f>
        <v/>
      </c>
      <c r="Y2181" s="4" t="str">
        <f t="shared" si="4"/>
        <v/>
      </c>
    </row>
    <row r="2182" spans="19:25">
      <c r="S2182" t="str">
        <f t="shared" si="0"/>
        <v/>
      </c>
      <c r="T2182" t="str">
        <f t="shared" si="1"/>
        <v/>
      </c>
      <c r="U2182" t="str">
        <f t="shared" si="2"/>
        <v/>
      </c>
      <c r="V2182" t="str">
        <f>IF(OR(U2182="",U2182="ERRO_CHAVE"),"",IFERROR(MATCH(U2182,Fornecedores!$AF$1:$AF$6631,0),""))</f>
        <v/>
      </c>
      <c r="W2182" t="str">
        <f t="shared" si="3"/>
        <v/>
      </c>
      <c r="X2182" s="4" t="str">
        <f>IF(V2182="","",INDEX(Fornecedores!$X$1:$X$6631,V2182))</f>
        <v/>
      </c>
      <c r="Y2182" s="4" t="str">
        <f t="shared" si="4"/>
        <v/>
      </c>
    </row>
    <row r="2183" spans="19:25">
      <c r="S2183" t="str">
        <f t="shared" si="0"/>
        <v/>
      </c>
      <c r="T2183" t="str">
        <f t="shared" si="1"/>
        <v/>
      </c>
      <c r="U2183" t="str">
        <f t="shared" si="2"/>
        <v/>
      </c>
      <c r="V2183" t="str">
        <f>IF(OR(U2183="",U2183="ERRO_CHAVE"),"",IFERROR(MATCH(U2183,Fornecedores!$AF$1:$AF$6631,0),""))</f>
        <v/>
      </c>
      <c r="W2183" t="str">
        <f t="shared" si="3"/>
        <v/>
      </c>
      <c r="X2183" s="4" t="str">
        <f>IF(V2183="","",INDEX(Fornecedores!$X$1:$X$6631,V2183))</f>
        <v/>
      </c>
      <c r="Y2183" s="4" t="str">
        <f t="shared" si="4"/>
        <v/>
      </c>
    </row>
    <row r="2184" spans="19:25">
      <c r="S2184" t="str">
        <f t="shared" si="0"/>
        <v/>
      </c>
      <c r="T2184" t="str">
        <f t="shared" si="1"/>
        <v/>
      </c>
      <c r="U2184" t="str">
        <f t="shared" si="2"/>
        <v/>
      </c>
      <c r="V2184" t="str">
        <f>IF(OR(U2184="",U2184="ERRO_CHAVE"),"",IFERROR(MATCH(U2184,Fornecedores!$AF$1:$AF$6631,0),""))</f>
        <v/>
      </c>
      <c r="W2184" t="str">
        <f t="shared" si="3"/>
        <v/>
      </c>
      <c r="X2184" s="4" t="str">
        <f>IF(V2184="","",INDEX(Fornecedores!$X$1:$X$6631,V2184))</f>
        <v/>
      </c>
      <c r="Y2184" s="4" t="str">
        <f t="shared" si="4"/>
        <v/>
      </c>
    </row>
    <row r="2185" spans="19:25">
      <c r="S2185" t="str">
        <f t="shared" si="0"/>
        <v/>
      </c>
      <c r="T2185" t="str">
        <f t="shared" si="1"/>
        <v/>
      </c>
      <c r="U2185" t="str">
        <f t="shared" si="2"/>
        <v/>
      </c>
      <c r="V2185" t="str">
        <f>IF(OR(U2185="",U2185="ERRO_CHAVE"),"",IFERROR(MATCH(U2185,Fornecedores!$AF$1:$AF$6631,0),""))</f>
        <v/>
      </c>
      <c r="W2185" t="str">
        <f t="shared" si="3"/>
        <v/>
      </c>
      <c r="X2185" s="4" t="str">
        <f>IF(V2185="","",INDEX(Fornecedores!$X$1:$X$6631,V2185))</f>
        <v/>
      </c>
      <c r="Y2185" s="4" t="str">
        <f t="shared" si="4"/>
        <v/>
      </c>
    </row>
    <row r="2186" spans="19:25">
      <c r="S2186" t="str">
        <f t="shared" si="0"/>
        <v/>
      </c>
      <c r="T2186" t="str">
        <f t="shared" si="1"/>
        <v/>
      </c>
      <c r="U2186" t="str">
        <f t="shared" si="2"/>
        <v/>
      </c>
      <c r="V2186" t="str">
        <f>IF(OR(U2186="",U2186="ERRO_CHAVE"),"",IFERROR(MATCH(U2186,Fornecedores!$AF$1:$AF$6631,0),""))</f>
        <v/>
      </c>
      <c r="W2186" t="str">
        <f t="shared" si="3"/>
        <v/>
      </c>
      <c r="X2186" s="4" t="str">
        <f>IF(V2186="","",INDEX(Fornecedores!$X$1:$X$6631,V2186))</f>
        <v/>
      </c>
      <c r="Y2186" s="4" t="str">
        <f t="shared" si="4"/>
        <v/>
      </c>
    </row>
    <row r="2187" spans="19:25">
      <c r="S2187" t="str">
        <f t="shared" si="0"/>
        <v/>
      </c>
      <c r="T2187" t="str">
        <f t="shared" si="1"/>
        <v/>
      </c>
      <c r="U2187" t="str">
        <f t="shared" si="2"/>
        <v/>
      </c>
      <c r="V2187" t="str">
        <f>IF(OR(U2187="",U2187="ERRO_CHAVE"),"",IFERROR(MATCH(U2187,Fornecedores!$AF$1:$AF$6631,0),""))</f>
        <v/>
      </c>
      <c r="W2187" t="str">
        <f t="shared" si="3"/>
        <v/>
      </c>
      <c r="X2187" s="4" t="str">
        <f>IF(V2187="","",INDEX(Fornecedores!$X$1:$X$6631,V2187))</f>
        <v/>
      </c>
      <c r="Y2187" s="4" t="str">
        <f t="shared" si="4"/>
        <v/>
      </c>
    </row>
    <row r="2188" spans="19:25">
      <c r="S2188" t="str">
        <f t="shared" si="0"/>
        <v/>
      </c>
      <c r="T2188" t="str">
        <f t="shared" si="1"/>
        <v/>
      </c>
      <c r="U2188" t="str">
        <f t="shared" si="2"/>
        <v/>
      </c>
      <c r="V2188" t="str">
        <f>IF(OR(U2188="",U2188="ERRO_CHAVE"),"",IFERROR(MATCH(U2188,Fornecedores!$AF$1:$AF$6631,0),""))</f>
        <v/>
      </c>
      <c r="W2188" t="str">
        <f t="shared" si="3"/>
        <v/>
      </c>
      <c r="X2188" s="4" t="str">
        <f>IF(V2188="","",INDEX(Fornecedores!$X$1:$X$6631,V2188))</f>
        <v/>
      </c>
      <c r="Y2188" s="4" t="str">
        <f t="shared" si="4"/>
        <v/>
      </c>
    </row>
    <row r="2189" spans="19:25">
      <c r="S2189" t="str">
        <f t="shared" si="0"/>
        <v/>
      </c>
      <c r="T2189" t="str">
        <f t="shared" si="1"/>
        <v/>
      </c>
      <c r="U2189" t="str">
        <f t="shared" si="2"/>
        <v/>
      </c>
      <c r="V2189" t="str">
        <f>IF(OR(U2189="",U2189="ERRO_CHAVE"),"",IFERROR(MATCH(U2189,Fornecedores!$AF$1:$AF$6631,0),""))</f>
        <v/>
      </c>
      <c r="W2189" t="str">
        <f t="shared" si="3"/>
        <v/>
      </c>
      <c r="X2189" s="4" t="str">
        <f>IF(V2189="","",INDEX(Fornecedores!$X$1:$X$6631,V2189))</f>
        <v/>
      </c>
      <c r="Y2189" s="4" t="str">
        <f t="shared" si="4"/>
        <v/>
      </c>
    </row>
    <row r="2190" spans="19:25">
      <c r="S2190" t="str">
        <f t="shared" si="0"/>
        <v/>
      </c>
      <c r="T2190" t="str">
        <f t="shared" si="1"/>
        <v/>
      </c>
      <c r="U2190" t="str">
        <f t="shared" si="2"/>
        <v/>
      </c>
      <c r="V2190" t="str">
        <f>IF(OR(U2190="",U2190="ERRO_CHAVE"),"",IFERROR(MATCH(U2190,Fornecedores!$AF$1:$AF$6631,0),""))</f>
        <v/>
      </c>
      <c r="W2190" t="str">
        <f t="shared" si="3"/>
        <v/>
      </c>
      <c r="X2190" s="4" t="str">
        <f>IF(V2190="","",INDEX(Fornecedores!$X$1:$X$6631,V2190))</f>
        <v/>
      </c>
      <c r="Y2190" s="4" t="str">
        <f t="shared" si="4"/>
        <v/>
      </c>
    </row>
    <row r="2191" spans="19:25">
      <c r="S2191" t="str">
        <f t="shared" si="0"/>
        <v/>
      </c>
      <c r="T2191" t="str">
        <f t="shared" si="1"/>
        <v/>
      </c>
      <c r="U2191" t="str">
        <f t="shared" si="2"/>
        <v/>
      </c>
      <c r="V2191" t="str">
        <f>IF(OR(U2191="",U2191="ERRO_CHAVE"),"",IFERROR(MATCH(U2191,Fornecedores!$AF$1:$AF$6631,0),""))</f>
        <v/>
      </c>
      <c r="W2191" t="str">
        <f t="shared" si="3"/>
        <v/>
      </c>
      <c r="X2191" s="4" t="str">
        <f>IF(V2191="","",INDEX(Fornecedores!$X$1:$X$6631,V2191))</f>
        <v/>
      </c>
      <c r="Y2191" s="4" t="str">
        <f t="shared" si="4"/>
        <v/>
      </c>
    </row>
    <row r="2192" spans="19:25">
      <c r="S2192" t="str">
        <f t="shared" si="0"/>
        <v/>
      </c>
      <c r="T2192" t="str">
        <f t="shared" si="1"/>
        <v/>
      </c>
      <c r="U2192" t="str">
        <f t="shared" si="2"/>
        <v/>
      </c>
      <c r="V2192" t="str">
        <f>IF(OR(U2192="",U2192="ERRO_CHAVE"),"",IFERROR(MATCH(U2192,Fornecedores!$AF$1:$AF$6631,0),""))</f>
        <v/>
      </c>
      <c r="W2192" t="str">
        <f t="shared" si="3"/>
        <v/>
      </c>
      <c r="X2192" s="4" t="str">
        <f>IF(V2192="","",INDEX(Fornecedores!$X$1:$X$6631,V2192))</f>
        <v/>
      </c>
      <c r="Y2192" s="4" t="str">
        <f t="shared" si="4"/>
        <v/>
      </c>
    </row>
    <row r="2193" spans="19:25">
      <c r="S2193" t="str">
        <f t="shared" si="0"/>
        <v/>
      </c>
      <c r="T2193" t="str">
        <f t="shared" si="1"/>
        <v/>
      </c>
      <c r="U2193" t="str">
        <f t="shared" si="2"/>
        <v/>
      </c>
      <c r="V2193" t="str">
        <f>IF(OR(U2193="",U2193="ERRO_CHAVE"),"",IFERROR(MATCH(U2193,Fornecedores!$AF$1:$AF$6631,0),""))</f>
        <v/>
      </c>
      <c r="W2193" t="str">
        <f t="shared" si="3"/>
        <v/>
      </c>
      <c r="X2193" s="4" t="str">
        <f>IF(V2193="","",INDEX(Fornecedores!$X$1:$X$6631,V2193))</f>
        <v/>
      </c>
      <c r="Y2193" s="4" t="str">
        <f t="shared" si="4"/>
        <v/>
      </c>
    </row>
    <row r="2194" spans="19:25">
      <c r="S2194" t="str">
        <f t="shared" si="0"/>
        <v/>
      </c>
      <c r="T2194" t="str">
        <f t="shared" si="1"/>
        <v/>
      </c>
      <c r="U2194" t="str">
        <f t="shared" si="2"/>
        <v/>
      </c>
      <c r="V2194" t="str">
        <f>IF(OR(U2194="",U2194="ERRO_CHAVE"),"",IFERROR(MATCH(U2194,Fornecedores!$AF$1:$AF$6631,0),""))</f>
        <v/>
      </c>
      <c r="W2194" t="str">
        <f t="shared" si="3"/>
        <v/>
      </c>
      <c r="X2194" s="4" t="str">
        <f>IF(V2194="","",INDEX(Fornecedores!$X$1:$X$6631,V2194))</f>
        <v/>
      </c>
      <c r="Y2194" s="4" t="str">
        <f t="shared" si="4"/>
        <v/>
      </c>
    </row>
    <row r="2195" spans="19:25">
      <c r="S2195" t="str">
        <f t="shared" si="0"/>
        <v/>
      </c>
      <c r="T2195" t="str">
        <f t="shared" si="1"/>
        <v/>
      </c>
      <c r="U2195" t="str">
        <f t="shared" si="2"/>
        <v/>
      </c>
      <c r="V2195" t="str">
        <f>IF(OR(U2195="",U2195="ERRO_CHAVE"),"",IFERROR(MATCH(U2195,Fornecedores!$AF$1:$AF$6631,0),""))</f>
        <v/>
      </c>
      <c r="W2195" t="str">
        <f t="shared" si="3"/>
        <v/>
      </c>
      <c r="X2195" s="4" t="str">
        <f>IF(V2195="","",INDEX(Fornecedores!$X$1:$X$6631,V2195))</f>
        <v/>
      </c>
      <c r="Y2195" s="4" t="str">
        <f t="shared" si="4"/>
        <v/>
      </c>
    </row>
    <row r="2196" spans="19:25">
      <c r="S2196" t="str">
        <f t="shared" si="0"/>
        <v/>
      </c>
      <c r="T2196" t="str">
        <f t="shared" si="1"/>
        <v/>
      </c>
      <c r="U2196" t="str">
        <f t="shared" si="2"/>
        <v/>
      </c>
      <c r="V2196" t="str">
        <f>IF(OR(U2196="",U2196="ERRO_CHAVE"),"",IFERROR(MATCH(U2196,Fornecedores!$AF$1:$AF$6631,0),""))</f>
        <v/>
      </c>
      <c r="W2196" t="str">
        <f t="shared" si="3"/>
        <v/>
      </c>
      <c r="X2196" s="4" t="str">
        <f>IF(V2196="","",INDEX(Fornecedores!$X$1:$X$6631,V2196))</f>
        <v/>
      </c>
      <c r="Y2196" s="4" t="str">
        <f t="shared" si="4"/>
        <v/>
      </c>
    </row>
    <row r="2197" spans="19:25">
      <c r="S2197" t="str">
        <f t="shared" si="0"/>
        <v/>
      </c>
      <c r="T2197" t="str">
        <f t="shared" si="1"/>
        <v/>
      </c>
      <c r="U2197" t="str">
        <f t="shared" si="2"/>
        <v/>
      </c>
      <c r="V2197" t="str">
        <f>IF(OR(U2197="",U2197="ERRO_CHAVE"),"",IFERROR(MATCH(U2197,Fornecedores!$AF$1:$AF$6631,0),""))</f>
        <v/>
      </c>
      <c r="W2197" t="str">
        <f t="shared" si="3"/>
        <v/>
      </c>
      <c r="X2197" s="4" t="str">
        <f>IF(V2197="","",INDEX(Fornecedores!$X$1:$X$6631,V2197))</f>
        <v/>
      </c>
      <c r="Y2197" s="4" t="str">
        <f t="shared" si="4"/>
        <v/>
      </c>
    </row>
    <row r="2198" spans="19:25">
      <c r="S2198" t="str">
        <f t="shared" si="0"/>
        <v/>
      </c>
      <c r="T2198" t="str">
        <f t="shared" si="1"/>
        <v/>
      </c>
      <c r="U2198" t="str">
        <f t="shared" si="2"/>
        <v/>
      </c>
      <c r="V2198" t="str">
        <f>IF(OR(U2198="",U2198="ERRO_CHAVE"),"",IFERROR(MATCH(U2198,Fornecedores!$AF$1:$AF$6631,0),""))</f>
        <v/>
      </c>
      <c r="W2198" t="str">
        <f t="shared" si="3"/>
        <v/>
      </c>
      <c r="X2198" s="4" t="str">
        <f>IF(V2198="","",INDEX(Fornecedores!$X$1:$X$6631,V2198))</f>
        <v/>
      </c>
      <c r="Y2198" s="4" t="str">
        <f t="shared" si="4"/>
        <v/>
      </c>
    </row>
    <row r="2199" spans="19:25">
      <c r="S2199" t="str">
        <f t="shared" si="0"/>
        <v/>
      </c>
      <c r="T2199" t="str">
        <f t="shared" si="1"/>
        <v/>
      </c>
      <c r="U2199" t="str">
        <f t="shared" si="2"/>
        <v/>
      </c>
      <c r="V2199" t="str">
        <f>IF(OR(U2199="",U2199="ERRO_CHAVE"),"",IFERROR(MATCH(U2199,Fornecedores!$AF$1:$AF$6631,0),""))</f>
        <v/>
      </c>
      <c r="W2199" t="str">
        <f t="shared" si="3"/>
        <v/>
      </c>
      <c r="X2199" s="4" t="str">
        <f>IF(V2199="","",INDEX(Fornecedores!$X$1:$X$6631,V2199))</f>
        <v/>
      </c>
      <c r="Y2199" s="4" t="str">
        <f t="shared" si="4"/>
        <v/>
      </c>
    </row>
    <row r="2200" spans="19:25">
      <c r="S2200" t="str">
        <f t="shared" si="0"/>
        <v/>
      </c>
      <c r="T2200" t="str">
        <f t="shared" si="1"/>
        <v/>
      </c>
      <c r="U2200" t="str">
        <f t="shared" si="2"/>
        <v/>
      </c>
      <c r="V2200" t="str">
        <f>IF(OR(U2200="",U2200="ERRO_CHAVE"),"",IFERROR(MATCH(U2200,Fornecedores!$AF$1:$AF$6631,0),""))</f>
        <v/>
      </c>
      <c r="W2200" t="str">
        <f t="shared" si="3"/>
        <v/>
      </c>
      <c r="X2200" s="4" t="str">
        <f>IF(V2200="","",INDEX(Fornecedores!$X$1:$X$6631,V2200))</f>
        <v/>
      </c>
      <c r="Y2200" s="4" t="str">
        <f t="shared" si="4"/>
        <v/>
      </c>
    </row>
    <row r="2201" spans="19:25">
      <c r="S2201" t="str">
        <f t="shared" si="0"/>
        <v/>
      </c>
      <c r="T2201" t="str">
        <f t="shared" si="1"/>
        <v/>
      </c>
      <c r="U2201" t="str">
        <f t="shared" si="2"/>
        <v/>
      </c>
      <c r="V2201" t="str">
        <f>IF(OR(U2201="",U2201="ERRO_CHAVE"),"",IFERROR(MATCH(U2201,Fornecedores!$AF$1:$AF$6631,0),""))</f>
        <v/>
      </c>
      <c r="W2201" t="str">
        <f t="shared" si="3"/>
        <v/>
      </c>
      <c r="X2201" s="4" t="str">
        <f>IF(V2201="","",INDEX(Fornecedores!$X$1:$X$6631,V2201))</f>
        <v/>
      </c>
      <c r="Y2201" s="4" t="str">
        <f t="shared" si="4"/>
        <v/>
      </c>
    </row>
    <row r="2202" spans="19:25">
      <c r="S2202" t="str">
        <f t="shared" si="0"/>
        <v/>
      </c>
      <c r="T2202" t="str">
        <f t="shared" si="1"/>
        <v/>
      </c>
      <c r="U2202" t="str">
        <f t="shared" si="2"/>
        <v/>
      </c>
      <c r="V2202" t="str">
        <f>IF(OR(U2202="",U2202="ERRO_CHAVE"),"",IFERROR(MATCH(U2202,Fornecedores!$AF$1:$AF$6631,0),""))</f>
        <v/>
      </c>
      <c r="W2202" t="str">
        <f t="shared" si="3"/>
        <v/>
      </c>
      <c r="X2202" s="4" t="str">
        <f>IF(V2202="","",INDEX(Fornecedores!$X$1:$X$6631,V2202))</f>
        <v/>
      </c>
      <c r="Y2202" s="4" t="str">
        <f t="shared" si="4"/>
        <v/>
      </c>
    </row>
    <row r="2203" spans="19:25">
      <c r="S2203" t="str">
        <f t="shared" si="0"/>
        <v/>
      </c>
      <c r="T2203" t="str">
        <f t="shared" si="1"/>
        <v/>
      </c>
      <c r="U2203" t="str">
        <f t="shared" si="2"/>
        <v/>
      </c>
      <c r="V2203" t="str">
        <f>IF(OR(U2203="",U2203="ERRO_CHAVE"),"",IFERROR(MATCH(U2203,Fornecedores!$AF$1:$AF$6631,0),""))</f>
        <v/>
      </c>
      <c r="W2203" t="str">
        <f t="shared" si="3"/>
        <v/>
      </c>
      <c r="X2203" s="4" t="str">
        <f>IF(V2203="","",INDEX(Fornecedores!$X$1:$X$6631,V2203))</f>
        <v/>
      </c>
      <c r="Y2203" s="4" t="str">
        <f t="shared" si="4"/>
        <v/>
      </c>
    </row>
    <row r="2204" spans="19:25">
      <c r="S2204" t="str">
        <f t="shared" si="0"/>
        <v/>
      </c>
      <c r="T2204" t="str">
        <f t="shared" si="1"/>
        <v/>
      </c>
      <c r="U2204" t="str">
        <f t="shared" si="2"/>
        <v/>
      </c>
      <c r="V2204" t="str">
        <f>IF(OR(U2204="",U2204="ERRO_CHAVE"),"",IFERROR(MATCH(U2204,Fornecedores!$AF$1:$AF$6631,0),""))</f>
        <v/>
      </c>
      <c r="W2204" t="str">
        <f t="shared" si="3"/>
        <v/>
      </c>
      <c r="X2204" s="4" t="str">
        <f>IF(V2204="","",INDEX(Fornecedores!$X$1:$X$6631,V2204))</f>
        <v/>
      </c>
      <c r="Y2204" s="4" t="str">
        <f t="shared" si="4"/>
        <v/>
      </c>
    </row>
    <row r="2205" spans="19:25">
      <c r="S2205" t="str">
        <f t="shared" si="0"/>
        <v/>
      </c>
      <c r="T2205" t="str">
        <f t="shared" si="1"/>
        <v/>
      </c>
      <c r="U2205" t="str">
        <f t="shared" si="2"/>
        <v/>
      </c>
      <c r="V2205" t="str">
        <f>IF(OR(U2205="",U2205="ERRO_CHAVE"),"",IFERROR(MATCH(U2205,Fornecedores!$AF$1:$AF$6631,0),""))</f>
        <v/>
      </c>
      <c r="W2205" t="str">
        <f t="shared" si="3"/>
        <v/>
      </c>
      <c r="X2205" s="4" t="str">
        <f>IF(V2205="","",INDEX(Fornecedores!$X$1:$X$6631,V2205))</f>
        <v/>
      </c>
      <c r="Y2205" s="4" t="str">
        <f t="shared" si="4"/>
        <v/>
      </c>
    </row>
    <row r="2206" spans="19:25">
      <c r="S2206" t="str">
        <f t="shared" si="0"/>
        <v/>
      </c>
      <c r="T2206" t="str">
        <f t="shared" si="1"/>
        <v/>
      </c>
      <c r="U2206" t="str">
        <f t="shared" si="2"/>
        <v/>
      </c>
      <c r="V2206" t="str">
        <f>IF(OR(U2206="",U2206="ERRO_CHAVE"),"",IFERROR(MATCH(U2206,Fornecedores!$AF$1:$AF$6631,0),""))</f>
        <v/>
      </c>
      <c r="W2206" t="str">
        <f t="shared" si="3"/>
        <v/>
      </c>
      <c r="X2206" s="4" t="str">
        <f>IF(V2206="","",INDEX(Fornecedores!$X$1:$X$6631,V2206))</f>
        <v/>
      </c>
      <c r="Y2206" s="4" t="str">
        <f t="shared" si="4"/>
        <v/>
      </c>
    </row>
    <row r="2207" spans="19:25">
      <c r="S2207" t="str">
        <f t="shared" si="0"/>
        <v/>
      </c>
      <c r="T2207" t="str">
        <f t="shared" si="1"/>
        <v/>
      </c>
      <c r="U2207" t="str">
        <f t="shared" si="2"/>
        <v/>
      </c>
      <c r="V2207" t="str">
        <f>IF(OR(U2207="",U2207="ERRO_CHAVE"),"",IFERROR(MATCH(U2207,Fornecedores!$AF$1:$AF$6631,0),""))</f>
        <v/>
      </c>
      <c r="W2207" t="str">
        <f t="shared" si="3"/>
        <v/>
      </c>
      <c r="X2207" s="4" t="str">
        <f>IF(V2207="","",INDEX(Fornecedores!$X$1:$X$6631,V2207))</f>
        <v/>
      </c>
      <c r="Y2207" s="4" t="str">
        <f t="shared" si="4"/>
        <v/>
      </c>
    </row>
    <row r="2208" spans="19:25">
      <c r="S2208" t="str">
        <f t="shared" si="0"/>
        <v/>
      </c>
      <c r="T2208" t="str">
        <f t="shared" si="1"/>
        <v/>
      </c>
      <c r="U2208" t="str">
        <f t="shared" si="2"/>
        <v/>
      </c>
      <c r="V2208" t="str">
        <f>IF(OR(U2208="",U2208="ERRO_CHAVE"),"",IFERROR(MATCH(U2208,Fornecedores!$AF$1:$AF$6631,0),""))</f>
        <v/>
      </c>
      <c r="W2208" t="str">
        <f t="shared" si="3"/>
        <v/>
      </c>
      <c r="X2208" s="4" t="str">
        <f>IF(V2208="","",INDEX(Fornecedores!$X$1:$X$6631,V2208))</f>
        <v/>
      </c>
      <c r="Y2208" s="4" t="str">
        <f t="shared" si="4"/>
        <v/>
      </c>
    </row>
    <row r="2209" spans="19:25">
      <c r="S2209" t="str">
        <f t="shared" si="0"/>
        <v/>
      </c>
      <c r="T2209" t="str">
        <f t="shared" si="1"/>
        <v/>
      </c>
      <c r="U2209" t="str">
        <f t="shared" si="2"/>
        <v/>
      </c>
      <c r="V2209" t="str">
        <f>IF(OR(U2209="",U2209="ERRO_CHAVE"),"",IFERROR(MATCH(U2209,Fornecedores!$AF$1:$AF$6631,0),""))</f>
        <v/>
      </c>
      <c r="W2209" t="str">
        <f t="shared" si="3"/>
        <v/>
      </c>
      <c r="X2209" s="4" t="str">
        <f>IF(V2209="","",INDEX(Fornecedores!$X$1:$X$6631,V2209))</f>
        <v/>
      </c>
      <c r="Y2209" s="4" t="str">
        <f t="shared" si="4"/>
        <v/>
      </c>
    </row>
    <row r="2210" spans="19:25">
      <c r="S2210" t="str">
        <f t="shared" si="0"/>
        <v/>
      </c>
      <c r="T2210" t="str">
        <f t="shared" si="1"/>
        <v/>
      </c>
      <c r="U2210" t="str">
        <f t="shared" si="2"/>
        <v/>
      </c>
      <c r="V2210" t="str">
        <f>IF(OR(U2210="",U2210="ERRO_CHAVE"),"",IFERROR(MATCH(U2210,Fornecedores!$AF$1:$AF$6631,0),""))</f>
        <v/>
      </c>
      <c r="W2210" t="str">
        <f t="shared" si="3"/>
        <v/>
      </c>
      <c r="X2210" s="4" t="str">
        <f>IF(V2210="","",INDEX(Fornecedores!$X$1:$X$6631,V2210))</f>
        <v/>
      </c>
      <c r="Y2210" s="4" t="str">
        <f t="shared" si="4"/>
        <v/>
      </c>
    </row>
    <row r="2211" spans="19:25">
      <c r="S2211" t="str">
        <f t="shared" si="0"/>
        <v/>
      </c>
      <c r="T2211" t="str">
        <f t="shared" si="1"/>
        <v/>
      </c>
      <c r="U2211" t="str">
        <f t="shared" si="2"/>
        <v/>
      </c>
      <c r="V2211" t="str">
        <f>IF(OR(U2211="",U2211="ERRO_CHAVE"),"",IFERROR(MATCH(U2211,Fornecedores!$AF$1:$AF$6631,0),""))</f>
        <v/>
      </c>
      <c r="W2211" t="str">
        <f t="shared" si="3"/>
        <v/>
      </c>
      <c r="X2211" s="4" t="str">
        <f>IF(V2211="","",INDEX(Fornecedores!$X$1:$X$6631,V2211))</f>
        <v/>
      </c>
      <c r="Y2211" s="4" t="str">
        <f t="shared" si="4"/>
        <v/>
      </c>
    </row>
    <row r="2212" spans="19:25">
      <c r="S2212" t="str">
        <f t="shared" si="0"/>
        <v/>
      </c>
      <c r="T2212" t="str">
        <f t="shared" si="1"/>
        <v/>
      </c>
      <c r="U2212" t="str">
        <f t="shared" si="2"/>
        <v/>
      </c>
      <c r="V2212" t="str">
        <f>IF(OR(U2212="",U2212="ERRO_CHAVE"),"",IFERROR(MATCH(U2212,Fornecedores!$AF$1:$AF$6631,0),""))</f>
        <v/>
      </c>
      <c r="W2212" t="str">
        <f t="shared" si="3"/>
        <v/>
      </c>
      <c r="X2212" s="4" t="str">
        <f>IF(V2212="","",INDEX(Fornecedores!$X$1:$X$6631,V2212))</f>
        <v/>
      </c>
      <c r="Y2212" s="4" t="str">
        <f t="shared" si="4"/>
        <v/>
      </c>
    </row>
    <row r="2213" spans="19:25">
      <c r="S2213" t="str">
        <f t="shared" si="0"/>
        <v/>
      </c>
      <c r="T2213" t="str">
        <f t="shared" si="1"/>
        <v/>
      </c>
      <c r="U2213" t="str">
        <f t="shared" si="2"/>
        <v/>
      </c>
      <c r="V2213" t="str">
        <f>IF(OR(U2213="",U2213="ERRO_CHAVE"),"",IFERROR(MATCH(U2213,Fornecedores!$AF$1:$AF$6631,0),""))</f>
        <v/>
      </c>
      <c r="W2213" t="str">
        <f t="shared" si="3"/>
        <v/>
      </c>
      <c r="X2213" s="4" t="str">
        <f>IF(V2213="","",INDEX(Fornecedores!$X$1:$X$6631,V2213))</f>
        <v/>
      </c>
      <c r="Y2213" s="4" t="str">
        <f t="shared" si="4"/>
        <v/>
      </c>
    </row>
    <row r="2214" spans="19:25">
      <c r="S2214" t="str">
        <f t="shared" si="0"/>
        <v/>
      </c>
      <c r="T2214" t="str">
        <f t="shared" si="1"/>
        <v/>
      </c>
      <c r="U2214" t="str">
        <f t="shared" si="2"/>
        <v/>
      </c>
      <c r="V2214" t="str">
        <f>IF(OR(U2214="",U2214="ERRO_CHAVE"),"",IFERROR(MATCH(U2214,Fornecedores!$AF$1:$AF$6631,0),""))</f>
        <v/>
      </c>
      <c r="W2214" t="str">
        <f t="shared" si="3"/>
        <v/>
      </c>
      <c r="X2214" s="4" t="str">
        <f>IF(V2214="","",INDEX(Fornecedores!$X$1:$X$6631,V2214))</f>
        <v/>
      </c>
      <c r="Y2214" s="4" t="str">
        <f t="shared" si="4"/>
        <v/>
      </c>
    </row>
    <row r="2215" spans="19:25">
      <c r="S2215" t="str">
        <f t="shared" si="0"/>
        <v/>
      </c>
      <c r="T2215" t="str">
        <f t="shared" si="1"/>
        <v/>
      </c>
      <c r="U2215" t="str">
        <f t="shared" si="2"/>
        <v/>
      </c>
      <c r="V2215" t="str">
        <f>IF(OR(U2215="",U2215="ERRO_CHAVE"),"",IFERROR(MATCH(U2215,Fornecedores!$AF$1:$AF$6631,0),""))</f>
        <v/>
      </c>
      <c r="W2215" t="str">
        <f t="shared" si="3"/>
        <v/>
      </c>
      <c r="X2215" s="4" t="str">
        <f>IF(V2215="","",INDEX(Fornecedores!$X$1:$X$6631,V2215))</f>
        <v/>
      </c>
      <c r="Y2215" s="4" t="str">
        <f t="shared" si="4"/>
        <v/>
      </c>
    </row>
    <row r="2216" spans="19:25">
      <c r="S2216" t="str">
        <f t="shared" si="0"/>
        <v/>
      </c>
      <c r="T2216" t="str">
        <f t="shared" si="1"/>
        <v/>
      </c>
      <c r="U2216" t="str">
        <f t="shared" si="2"/>
        <v/>
      </c>
      <c r="V2216" t="str">
        <f>IF(OR(U2216="",U2216="ERRO_CHAVE"),"",IFERROR(MATCH(U2216,Fornecedores!$AF$1:$AF$6631,0),""))</f>
        <v/>
      </c>
      <c r="W2216" t="str">
        <f t="shared" si="3"/>
        <v/>
      </c>
      <c r="X2216" s="4" t="str">
        <f>IF(V2216="","",INDEX(Fornecedores!$X$1:$X$6631,V2216))</f>
        <v/>
      </c>
      <c r="Y2216" s="4" t="str">
        <f t="shared" si="4"/>
        <v/>
      </c>
    </row>
    <row r="2217" spans="19:25">
      <c r="S2217" t="str">
        <f t="shared" si="0"/>
        <v/>
      </c>
      <c r="T2217" t="str">
        <f t="shared" si="1"/>
        <v/>
      </c>
      <c r="U2217" t="str">
        <f t="shared" si="2"/>
        <v/>
      </c>
      <c r="V2217" t="str">
        <f>IF(OR(U2217="",U2217="ERRO_CHAVE"),"",IFERROR(MATCH(U2217,Fornecedores!$AF$1:$AF$6631,0),""))</f>
        <v/>
      </c>
      <c r="W2217" t="str">
        <f t="shared" si="3"/>
        <v/>
      </c>
      <c r="X2217" s="4" t="str">
        <f>IF(V2217="","",INDEX(Fornecedores!$X$1:$X$6631,V2217))</f>
        <v/>
      </c>
      <c r="Y2217" s="4" t="str">
        <f t="shared" si="4"/>
        <v/>
      </c>
    </row>
    <row r="2218" spans="19:25">
      <c r="S2218" t="str">
        <f t="shared" si="0"/>
        <v/>
      </c>
      <c r="T2218" t="str">
        <f t="shared" si="1"/>
        <v/>
      </c>
      <c r="U2218" t="str">
        <f t="shared" si="2"/>
        <v/>
      </c>
      <c r="V2218" t="str">
        <f>IF(OR(U2218="",U2218="ERRO_CHAVE"),"",IFERROR(MATCH(U2218,Fornecedores!$AF$1:$AF$6631,0),""))</f>
        <v/>
      </c>
      <c r="W2218" t="str">
        <f t="shared" si="3"/>
        <v/>
      </c>
      <c r="X2218" s="4" t="str">
        <f>IF(V2218="","",INDEX(Fornecedores!$X$1:$X$6631,V2218))</f>
        <v/>
      </c>
      <c r="Y2218" s="4" t="str">
        <f t="shared" si="4"/>
        <v/>
      </c>
    </row>
    <row r="2219" spans="19:25">
      <c r="S2219" t="str">
        <f t="shared" si="0"/>
        <v/>
      </c>
      <c r="T2219" t="str">
        <f t="shared" si="1"/>
        <v/>
      </c>
      <c r="U2219" t="str">
        <f t="shared" si="2"/>
        <v/>
      </c>
      <c r="V2219" t="str">
        <f>IF(OR(U2219="",U2219="ERRO_CHAVE"),"",IFERROR(MATCH(U2219,Fornecedores!$AF$1:$AF$6631,0),""))</f>
        <v/>
      </c>
      <c r="W2219" t="str">
        <f t="shared" si="3"/>
        <v/>
      </c>
      <c r="X2219" s="4" t="str">
        <f>IF(V2219="","",INDEX(Fornecedores!$X$1:$X$6631,V2219))</f>
        <v/>
      </c>
      <c r="Y2219" s="4" t="str">
        <f t="shared" si="4"/>
        <v/>
      </c>
    </row>
    <row r="2220" spans="19:25">
      <c r="S2220" t="str">
        <f t="shared" si="0"/>
        <v/>
      </c>
      <c r="T2220" t="str">
        <f t="shared" si="1"/>
        <v/>
      </c>
      <c r="U2220" t="str">
        <f t="shared" si="2"/>
        <v/>
      </c>
      <c r="V2220" t="str">
        <f>IF(OR(U2220="",U2220="ERRO_CHAVE"),"",IFERROR(MATCH(U2220,Fornecedores!$AF$1:$AF$6631,0),""))</f>
        <v/>
      </c>
      <c r="W2220" t="str">
        <f t="shared" si="3"/>
        <v/>
      </c>
      <c r="X2220" s="4" t="str">
        <f>IF(V2220="","",INDEX(Fornecedores!$X$1:$X$6631,V2220))</f>
        <v/>
      </c>
      <c r="Y2220" s="4" t="str">
        <f t="shared" si="4"/>
        <v/>
      </c>
    </row>
    <row r="2221" spans="19:25">
      <c r="S2221" t="str">
        <f t="shared" si="0"/>
        <v/>
      </c>
      <c r="T2221" t="str">
        <f t="shared" si="1"/>
        <v/>
      </c>
      <c r="U2221" t="str">
        <f t="shared" si="2"/>
        <v/>
      </c>
      <c r="V2221" t="str">
        <f>IF(OR(U2221="",U2221="ERRO_CHAVE"),"",IFERROR(MATCH(U2221,Fornecedores!$AF$1:$AF$6631,0),""))</f>
        <v/>
      </c>
      <c r="W2221" t="str">
        <f t="shared" si="3"/>
        <v/>
      </c>
      <c r="X2221" s="4" t="str">
        <f>IF(V2221="","",INDEX(Fornecedores!$X$1:$X$6631,V2221))</f>
        <v/>
      </c>
      <c r="Y2221" s="4" t="str">
        <f t="shared" si="4"/>
        <v/>
      </c>
    </row>
    <row r="2222" spans="19:25">
      <c r="S2222" t="str">
        <f t="shared" si="0"/>
        <v/>
      </c>
      <c r="T2222" t="str">
        <f t="shared" si="1"/>
        <v/>
      </c>
      <c r="U2222" t="str">
        <f t="shared" si="2"/>
        <v/>
      </c>
      <c r="V2222" t="str">
        <f>IF(OR(U2222="",U2222="ERRO_CHAVE"),"",IFERROR(MATCH(U2222,Fornecedores!$AF$1:$AF$6631,0),""))</f>
        <v/>
      </c>
      <c r="W2222" t="str">
        <f t="shared" si="3"/>
        <v/>
      </c>
      <c r="X2222" s="4" t="str">
        <f>IF(V2222="","",INDEX(Fornecedores!$X$1:$X$6631,V2222))</f>
        <v/>
      </c>
      <c r="Y2222" s="4" t="str">
        <f t="shared" si="4"/>
        <v/>
      </c>
    </row>
    <row r="2223" spans="19:25">
      <c r="S2223" t="str">
        <f t="shared" si="0"/>
        <v/>
      </c>
      <c r="T2223" t="str">
        <f t="shared" si="1"/>
        <v/>
      </c>
      <c r="U2223" t="str">
        <f t="shared" si="2"/>
        <v/>
      </c>
      <c r="V2223" t="str">
        <f>IF(OR(U2223="",U2223="ERRO_CHAVE"),"",IFERROR(MATCH(U2223,Fornecedores!$AF$1:$AF$6631,0),""))</f>
        <v/>
      </c>
      <c r="W2223" t="str">
        <f t="shared" si="3"/>
        <v/>
      </c>
      <c r="X2223" s="4" t="str">
        <f>IF(V2223="","",INDEX(Fornecedores!$X$1:$X$6631,V2223))</f>
        <v/>
      </c>
      <c r="Y2223" s="4" t="str">
        <f t="shared" si="4"/>
        <v/>
      </c>
    </row>
    <row r="2224" spans="19:25">
      <c r="S2224" t="str">
        <f t="shared" si="0"/>
        <v/>
      </c>
      <c r="T2224" t="str">
        <f t="shared" si="1"/>
        <v/>
      </c>
      <c r="U2224" t="str">
        <f t="shared" si="2"/>
        <v/>
      </c>
      <c r="V2224" t="str">
        <f>IF(OR(U2224="",U2224="ERRO_CHAVE"),"",IFERROR(MATCH(U2224,Fornecedores!$AF$1:$AF$6631,0),""))</f>
        <v/>
      </c>
      <c r="W2224" t="str">
        <f t="shared" si="3"/>
        <v/>
      </c>
      <c r="X2224" s="4" t="str">
        <f>IF(V2224="","",INDEX(Fornecedores!$X$1:$X$6631,V2224))</f>
        <v/>
      </c>
      <c r="Y2224" s="4" t="str">
        <f t="shared" si="4"/>
        <v/>
      </c>
    </row>
    <row r="2225" spans="19:25">
      <c r="S2225" t="str">
        <f t="shared" si="0"/>
        <v/>
      </c>
      <c r="T2225" t="str">
        <f t="shared" si="1"/>
        <v/>
      </c>
      <c r="U2225" t="str">
        <f t="shared" si="2"/>
        <v/>
      </c>
      <c r="V2225" t="str">
        <f>IF(OR(U2225="",U2225="ERRO_CHAVE"),"",IFERROR(MATCH(U2225,Fornecedores!$AF$1:$AF$6631,0),""))</f>
        <v/>
      </c>
      <c r="W2225" t="str">
        <f t="shared" si="3"/>
        <v/>
      </c>
      <c r="X2225" s="4" t="str">
        <f>IF(V2225="","",INDEX(Fornecedores!$X$1:$X$6631,V2225))</f>
        <v/>
      </c>
      <c r="Y2225" s="4" t="str">
        <f t="shared" si="4"/>
        <v/>
      </c>
    </row>
    <row r="2226" spans="19:25">
      <c r="S2226" t="str">
        <f t="shared" si="0"/>
        <v/>
      </c>
      <c r="T2226" t="str">
        <f t="shared" si="1"/>
        <v/>
      </c>
      <c r="U2226" t="str">
        <f t="shared" si="2"/>
        <v/>
      </c>
      <c r="V2226" t="str">
        <f>IF(OR(U2226="",U2226="ERRO_CHAVE"),"",IFERROR(MATCH(U2226,Fornecedores!$AF$1:$AF$6631,0),""))</f>
        <v/>
      </c>
      <c r="W2226" t="str">
        <f t="shared" si="3"/>
        <v/>
      </c>
      <c r="X2226" s="4" t="str">
        <f>IF(V2226="","",INDEX(Fornecedores!$X$1:$X$6631,V2226))</f>
        <v/>
      </c>
      <c r="Y2226" s="4" t="str">
        <f t="shared" si="4"/>
        <v/>
      </c>
    </row>
    <row r="2227" spans="19:25">
      <c r="S2227" t="str">
        <f t="shared" si="0"/>
        <v/>
      </c>
      <c r="T2227" t="str">
        <f t="shared" si="1"/>
        <v/>
      </c>
      <c r="U2227" t="str">
        <f t="shared" si="2"/>
        <v/>
      </c>
      <c r="V2227" t="str">
        <f>IF(OR(U2227="",U2227="ERRO_CHAVE"),"",IFERROR(MATCH(U2227,Fornecedores!$AF$1:$AF$6631,0),""))</f>
        <v/>
      </c>
      <c r="W2227" t="str">
        <f t="shared" si="3"/>
        <v/>
      </c>
      <c r="X2227" s="4" t="str">
        <f>IF(V2227="","",INDEX(Fornecedores!$X$1:$X$6631,V2227))</f>
        <v/>
      </c>
      <c r="Y2227" s="4" t="str">
        <f t="shared" si="4"/>
        <v/>
      </c>
    </row>
    <row r="2228" spans="19:25">
      <c r="S2228" t="str">
        <f t="shared" si="0"/>
        <v/>
      </c>
      <c r="T2228" t="str">
        <f t="shared" si="1"/>
        <v/>
      </c>
      <c r="U2228" t="str">
        <f t="shared" si="2"/>
        <v/>
      </c>
      <c r="V2228" t="str">
        <f>IF(OR(U2228="",U2228="ERRO_CHAVE"),"",IFERROR(MATCH(U2228,Fornecedores!$AF$1:$AF$6631,0),""))</f>
        <v/>
      </c>
      <c r="W2228" t="str">
        <f t="shared" si="3"/>
        <v/>
      </c>
      <c r="X2228" s="4" t="str">
        <f>IF(V2228="","",INDEX(Fornecedores!$X$1:$X$6631,V2228))</f>
        <v/>
      </c>
      <c r="Y2228" s="4" t="str">
        <f t="shared" si="4"/>
        <v/>
      </c>
    </row>
    <row r="2229" spans="19:25">
      <c r="S2229" t="str">
        <f t="shared" si="0"/>
        <v/>
      </c>
      <c r="T2229" t="str">
        <f t="shared" si="1"/>
        <v/>
      </c>
      <c r="U2229" t="str">
        <f t="shared" si="2"/>
        <v/>
      </c>
      <c r="V2229" t="str">
        <f>IF(OR(U2229="",U2229="ERRO_CHAVE"),"",IFERROR(MATCH(U2229,Fornecedores!$AF$1:$AF$6631,0),""))</f>
        <v/>
      </c>
      <c r="W2229" t="str">
        <f t="shared" si="3"/>
        <v/>
      </c>
      <c r="X2229" s="4" t="str">
        <f>IF(V2229="","",INDEX(Fornecedores!$X$1:$X$6631,V2229))</f>
        <v/>
      </c>
      <c r="Y2229" s="4" t="str">
        <f t="shared" si="4"/>
        <v/>
      </c>
    </row>
    <row r="2230" spans="19:25">
      <c r="S2230" t="str">
        <f t="shared" si="0"/>
        <v/>
      </c>
      <c r="T2230" t="str">
        <f t="shared" si="1"/>
        <v/>
      </c>
      <c r="U2230" t="str">
        <f t="shared" si="2"/>
        <v/>
      </c>
      <c r="V2230" t="str">
        <f>IF(OR(U2230="",U2230="ERRO_CHAVE"),"",IFERROR(MATCH(U2230,Fornecedores!$AF$1:$AF$6631,0),""))</f>
        <v/>
      </c>
      <c r="W2230" t="str">
        <f t="shared" si="3"/>
        <v/>
      </c>
      <c r="X2230" s="4" t="str">
        <f>IF(V2230="","",INDEX(Fornecedores!$X$1:$X$6631,V2230))</f>
        <v/>
      </c>
      <c r="Y2230" s="4" t="str">
        <f t="shared" si="4"/>
        <v/>
      </c>
    </row>
    <row r="2231" spans="19:25">
      <c r="S2231" t="str">
        <f t="shared" si="0"/>
        <v/>
      </c>
      <c r="T2231" t="str">
        <f t="shared" si="1"/>
        <v/>
      </c>
      <c r="U2231" t="str">
        <f t="shared" si="2"/>
        <v/>
      </c>
      <c r="V2231" t="str">
        <f>IF(OR(U2231="",U2231="ERRO_CHAVE"),"",IFERROR(MATCH(U2231,Fornecedores!$AF$1:$AF$6631,0),""))</f>
        <v/>
      </c>
      <c r="W2231" t="str">
        <f t="shared" si="3"/>
        <v/>
      </c>
      <c r="X2231" s="4" t="str">
        <f>IF(V2231="","",INDEX(Fornecedores!$X$1:$X$6631,V2231))</f>
        <v/>
      </c>
      <c r="Y2231" s="4" t="str">
        <f t="shared" si="4"/>
        <v/>
      </c>
    </row>
    <row r="2232" spans="19:25">
      <c r="S2232" t="str">
        <f t="shared" si="0"/>
        <v/>
      </c>
      <c r="T2232" t="str">
        <f t="shared" si="1"/>
        <v/>
      </c>
      <c r="U2232" t="str">
        <f t="shared" si="2"/>
        <v/>
      </c>
      <c r="V2232" t="str">
        <f>IF(OR(U2232="",U2232="ERRO_CHAVE"),"",IFERROR(MATCH(U2232,Fornecedores!$AF$1:$AF$6631,0),""))</f>
        <v/>
      </c>
      <c r="W2232" t="str">
        <f t="shared" si="3"/>
        <v/>
      </c>
      <c r="X2232" s="4" t="str">
        <f>IF(V2232="","",INDEX(Fornecedores!$X$1:$X$6631,V2232))</f>
        <v/>
      </c>
      <c r="Y2232" s="4" t="str">
        <f t="shared" si="4"/>
        <v/>
      </c>
    </row>
    <row r="2233" spans="19:25">
      <c r="S2233" t="str">
        <f t="shared" si="0"/>
        <v/>
      </c>
      <c r="T2233" t="str">
        <f t="shared" si="1"/>
        <v/>
      </c>
      <c r="U2233" t="str">
        <f t="shared" si="2"/>
        <v/>
      </c>
      <c r="V2233" t="str">
        <f>IF(OR(U2233="",U2233="ERRO_CHAVE"),"",IFERROR(MATCH(U2233,Fornecedores!$AF$1:$AF$6631,0),""))</f>
        <v/>
      </c>
      <c r="W2233" t="str">
        <f t="shared" si="3"/>
        <v/>
      </c>
      <c r="X2233" s="4" t="str">
        <f>IF(V2233="","",INDEX(Fornecedores!$X$1:$X$6631,V2233))</f>
        <v/>
      </c>
      <c r="Y2233" s="4" t="str">
        <f t="shared" si="4"/>
        <v/>
      </c>
    </row>
    <row r="2234" spans="19:25">
      <c r="S2234" t="str">
        <f t="shared" si="0"/>
        <v/>
      </c>
      <c r="T2234" t="str">
        <f t="shared" si="1"/>
        <v/>
      </c>
      <c r="U2234" t="str">
        <f t="shared" si="2"/>
        <v/>
      </c>
      <c r="V2234" t="str">
        <f>IF(OR(U2234="",U2234="ERRO_CHAVE"),"",IFERROR(MATCH(U2234,Fornecedores!$AF$1:$AF$6631,0),""))</f>
        <v/>
      </c>
      <c r="W2234" t="str">
        <f t="shared" si="3"/>
        <v/>
      </c>
      <c r="X2234" s="4" t="str">
        <f>IF(V2234="","",INDEX(Fornecedores!$X$1:$X$6631,V2234))</f>
        <v/>
      </c>
      <c r="Y2234" s="4" t="str">
        <f t="shared" si="4"/>
        <v/>
      </c>
    </row>
    <row r="2235" spans="19:25">
      <c r="S2235" t="str">
        <f t="shared" si="0"/>
        <v/>
      </c>
      <c r="T2235" t="str">
        <f t="shared" si="1"/>
        <v/>
      </c>
      <c r="U2235" t="str">
        <f t="shared" si="2"/>
        <v/>
      </c>
      <c r="V2235" t="str">
        <f>IF(OR(U2235="",U2235="ERRO_CHAVE"),"",IFERROR(MATCH(U2235,Fornecedores!$AF$1:$AF$6631,0),""))</f>
        <v/>
      </c>
      <c r="W2235" t="str">
        <f t="shared" si="3"/>
        <v/>
      </c>
      <c r="X2235" s="4" t="str">
        <f>IF(V2235="","",INDEX(Fornecedores!$X$1:$X$6631,V2235))</f>
        <v/>
      </c>
      <c r="Y2235" s="4" t="str">
        <f t="shared" si="4"/>
        <v/>
      </c>
    </row>
    <row r="2236" spans="19:25">
      <c r="S2236" t="str">
        <f t="shared" si="0"/>
        <v/>
      </c>
      <c r="T2236" t="str">
        <f t="shared" si="1"/>
        <v/>
      </c>
      <c r="U2236" t="str">
        <f t="shared" si="2"/>
        <v/>
      </c>
      <c r="V2236" t="str">
        <f>IF(OR(U2236="",U2236="ERRO_CHAVE"),"",IFERROR(MATCH(U2236,Fornecedores!$AF$1:$AF$6631,0),""))</f>
        <v/>
      </c>
      <c r="W2236" t="str">
        <f t="shared" si="3"/>
        <v/>
      </c>
      <c r="X2236" s="4" t="str">
        <f>IF(V2236="","",INDEX(Fornecedores!$X$1:$X$6631,V2236))</f>
        <v/>
      </c>
      <c r="Y2236" s="4" t="str">
        <f t="shared" si="4"/>
        <v/>
      </c>
    </row>
    <row r="2237" spans="19:25">
      <c r="S2237" t="str">
        <f t="shared" si="0"/>
        <v/>
      </c>
      <c r="T2237" t="str">
        <f t="shared" si="1"/>
        <v/>
      </c>
      <c r="U2237" t="str">
        <f t="shared" si="2"/>
        <v/>
      </c>
      <c r="V2237" t="str">
        <f>IF(OR(U2237="",U2237="ERRO_CHAVE"),"",IFERROR(MATCH(U2237,Fornecedores!$AF$1:$AF$6631,0),""))</f>
        <v/>
      </c>
      <c r="W2237" t="str">
        <f t="shared" si="3"/>
        <v/>
      </c>
      <c r="X2237" s="4" t="str">
        <f>IF(V2237="","",INDEX(Fornecedores!$X$1:$X$6631,V2237))</f>
        <v/>
      </c>
      <c r="Y2237" s="4" t="str">
        <f t="shared" si="4"/>
        <v/>
      </c>
    </row>
    <row r="2238" spans="19:25">
      <c r="S2238" t="str">
        <f t="shared" si="0"/>
        <v/>
      </c>
      <c r="T2238" t="str">
        <f t="shared" si="1"/>
        <v/>
      </c>
      <c r="U2238" t="str">
        <f t="shared" si="2"/>
        <v/>
      </c>
      <c r="V2238" t="str">
        <f>IF(OR(U2238="",U2238="ERRO_CHAVE"),"",IFERROR(MATCH(U2238,Fornecedores!$AF$1:$AF$6631,0),""))</f>
        <v/>
      </c>
      <c r="W2238" t="str">
        <f t="shared" si="3"/>
        <v/>
      </c>
      <c r="X2238" s="4" t="str">
        <f>IF(V2238="","",INDEX(Fornecedores!$X$1:$X$6631,V2238))</f>
        <v/>
      </c>
      <c r="Y2238" s="4" t="str">
        <f t="shared" si="4"/>
        <v/>
      </c>
    </row>
    <row r="2239" spans="19:25">
      <c r="S2239" t="str">
        <f t="shared" si="0"/>
        <v/>
      </c>
      <c r="T2239" t="str">
        <f t="shared" si="1"/>
        <v/>
      </c>
      <c r="U2239" t="str">
        <f t="shared" si="2"/>
        <v/>
      </c>
      <c r="V2239" t="str">
        <f>IF(OR(U2239="",U2239="ERRO_CHAVE"),"",IFERROR(MATCH(U2239,Fornecedores!$AF$1:$AF$6631,0),""))</f>
        <v/>
      </c>
      <c r="W2239" t="str">
        <f t="shared" si="3"/>
        <v/>
      </c>
      <c r="X2239" s="4" t="str">
        <f>IF(V2239="","",INDEX(Fornecedores!$X$1:$X$6631,V2239))</f>
        <v/>
      </c>
      <c r="Y2239" s="4" t="str">
        <f t="shared" si="4"/>
        <v/>
      </c>
    </row>
    <row r="2240" spans="19:25">
      <c r="S2240" t="str">
        <f t="shared" si="0"/>
        <v/>
      </c>
      <c r="T2240" t="str">
        <f t="shared" si="1"/>
        <v/>
      </c>
      <c r="U2240" t="str">
        <f t="shared" si="2"/>
        <v/>
      </c>
      <c r="V2240" t="str">
        <f>IF(OR(U2240="",U2240="ERRO_CHAVE"),"",IFERROR(MATCH(U2240,Fornecedores!$AF$1:$AF$6631,0),""))</f>
        <v/>
      </c>
      <c r="W2240" t="str">
        <f t="shared" si="3"/>
        <v/>
      </c>
      <c r="X2240" s="4" t="str">
        <f>IF(V2240="","",INDEX(Fornecedores!$X$1:$X$6631,V2240))</f>
        <v/>
      </c>
      <c r="Y2240" s="4" t="str">
        <f t="shared" si="4"/>
        <v/>
      </c>
    </row>
    <row r="2241" spans="19:25">
      <c r="S2241" t="str">
        <f t="shared" si="0"/>
        <v/>
      </c>
      <c r="T2241" t="str">
        <f t="shared" si="1"/>
        <v/>
      </c>
      <c r="U2241" t="str">
        <f t="shared" si="2"/>
        <v/>
      </c>
      <c r="V2241" t="str">
        <f>IF(OR(U2241="",U2241="ERRO_CHAVE"),"",IFERROR(MATCH(U2241,Fornecedores!$AF$1:$AF$6631,0),""))</f>
        <v/>
      </c>
      <c r="W2241" t="str">
        <f t="shared" si="3"/>
        <v/>
      </c>
      <c r="X2241" s="4" t="str">
        <f>IF(V2241="","",INDEX(Fornecedores!$X$1:$X$6631,V2241))</f>
        <v/>
      </c>
      <c r="Y2241" s="4" t="str">
        <f t="shared" si="4"/>
        <v/>
      </c>
    </row>
    <row r="2242" spans="19:25">
      <c r="S2242" t="str">
        <f t="shared" si="0"/>
        <v/>
      </c>
      <c r="T2242" t="str">
        <f t="shared" si="1"/>
        <v/>
      </c>
      <c r="U2242" t="str">
        <f t="shared" si="2"/>
        <v/>
      </c>
      <c r="V2242" t="str">
        <f>IF(OR(U2242="",U2242="ERRO_CHAVE"),"",IFERROR(MATCH(U2242,Fornecedores!$AF$1:$AF$6631,0),""))</f>
        <v/>
      </c>
      <c r="W2242" t="str">
        <f t="shared" si="3"/>
        <v/>
      </c>
      <c r="X2242" s="4" t="str">
        <f>IF(V2242="","",INDEX(Fornecedores!$X$1:$X$6631,V2242))</f>
        <v/>
      </c>
      <c r="Y2242" s="4" t="str">
        <f t="shared" si="4"/>
        <v/>
      </c>
    </row>
    <row r="2243" spans="19:25">
      <c r="S2243" t="str">
        <f t="shared" si="0"/>
        <v/>
      </c>
      <c r="T2243" t="str">
        <f t="shared" si="1"/>
        <v/>
      </c>
      <c r="U2243" t="str">
        <f t="shared" si="2"/>
        <v/>
      </c>
      <c r="V2243" t="str">
        <f>IF(OR(U2243="",U2243="ERRO_CHAVE"),"",IFERROR(MATCH(U2243,Fornecedores!$AF$1:$AF$6631,0),""))</f>
        <v/>
      </c>
      <c r="W2243" t="str">
        <f t="shared" si="3"/>
        <v/>
      </c>
      <c r="X2243" s="4" t="str">
        <f>IF(V2243="","",INDEX(Fornecedores!$X$1:$X$6631,V2243))</f>
        <v/>
      </c>
      <c r="Y2243" s="4" t="str">
        <f t="shared" si="4"/>
        <v/>
      </c>
    </row>
    <row r="2244" spans="19:25">
      <c r="S2244" t="str">
        <f t="shared" si="0"/>
        <v/>
      </c>
      <c r="T2244" t="str">
        <f t="shared" si="1"/>
        <v/>
      </c>
      <c r="U2244" t="str">
        <f t="shared" si="2"/>
        <v/>
      </c>
      <c r="V2244" t="str">
        <f>IF(OR(U2244="",U2244="ERRO_CHAVE"),"",IFERROR(MATCH(U2244,Fornecedores!$AF$1:$AF$6631,0),""))</f>
        <v/>
      </c>
      <c r="W2244" t="str">
        <f t="shared" si="3"/>
        <v/>
      </c>
      <c r="X2244" s="4" t="str">
        <f>IF(V2244="","",INDEX(Fornecedores!$X$1:$X$6631,V2244))</f>
        <v/>
      </c>
      <c r="Y2244" s="4" t="str">
        <f t="shared" si="4"/>
        <v/>
      </c>
    </row>
    <row r="2245" spans="19:25">
      <c r="S2245" t="str">
        <f t="shared" si="0"/>
        <v/>
      </c>
      <c r="T2245" t="str">
        <f t="shared" si="1"/>
        <v/>
      </c>
      <c r="U2245" t="str">
        <f t="shared" si="2"/>
        <v/>
      </c>
      <c r="V2245" t="str">
        <f>IF(OR(U2245="",U2245="ERRO_CHAVE"),"",IFERROR(MATCH(U2245,Fornecedores!$AF$1:$AF$6631,0),""))</f>
        <v/>
      </c>
      <c r="W2245" t="str">
        <f t="shared" si="3"/>
        <v/>
      </c>
      <c r="X2245" s="4" t="str">
        <f>IF(V2245="","",INDEX(Fornecedores!$X$1:$X$6631,V2245))</f>
        <v/>
      </c>
      <c r="Y2245" s="4" t="str">
        <f t="shared" si="4"/>
        <v/>
      </c>
    </row>
    <row r="2246" spans="19:25">
      <c r="S2246" t="str">
        <f t="shared" si="0"/>
        <v/>
      </c>
      <c r="T2246" t="str">
        <f t="shared" si="1"/>
        <v/>
      </c>
      <c r="U2246" t="str">
        <f t="shared" si="2"/>
        <v/>
      </c>
      <c r="V2246" t="str">
        <f>IF(OR(U2246="",U2246="ERRO_CHAVE"),"",IFERROR(MATCH(U2246,Fornecedores!$AF$1:$AF$6631,0),""))</f>
        <v/>
      </c>
      <c r="W2246" t="str">
        <f t="shared" si="3"/>
        <v/>
      </c>
      <c r="X2246" s="4" t="str">
        <f>IF(V2246="","",INDEX(Fornecedores!$X$1:$X$6631,V2246))</f>
        <v/>
      </c>
      <c r="Y2246" s="4" t="str">
        <f t="shared" si="4"/>
        <v/>
      </c>
    </row>
    <row r="2247" spans="19:25">
      <c r="S2247" t="str">
        <f t="shared" si="0"/>
        <v/>
      </c>
      <c r="T2247" t="str">
        <f t="shared" si="1"/>
        <v/>
      </c>
      <c r="U2247" t="str">
        <f t="shared" si="2"/>
        <v/>
      </c>
      <c r="V2247" t="str">
        <f>IF(OR(U2247="",U2247="ERRO_CHAVE"),"",IFERROR(MATCH(U2247,Fornecedores!$AF$1:$AF$6631,0),""))</f>
        <v/>
      </c>
      <c r="W2247" t="str">
        <f t="shared" si="3"/>
        <v/>
      </c>
      <c r="X2247" s="4" t="str">
        <f>IF(V2247="","",INDEX(Fornecedores!$X$1:$X$6631,V2247))</f>
        <v/>
      </c>
      <c r="Y2247" s="4" t="str">
        <f t="shared" si="4"/>
        <v/>
      </c>
    </row>
    <row r="2248" spans="19:25">
      <c r="S2248" t="str">
        <f t="shared" si="0"/>
        <v/>
      </c>
      <c r="T2248" t="str">
        <f t="shared" si="1"/>
        <v/>
      </c>
      <c r="U2248" t="str">
        <f t="shared" si="2"/>
        <v/>
      </c>
      <c r="V2248" t="str">
        <f>IF(OR(U2248="",U2248="ERRO_CHAVE"),"",IFERROR(MATCH(U2248,Fornecedores!$AF$1:$AF$6631,0),""))</f>
        <v/>
      </c>
      <c r="W2248" t="str">
        <f t="shared" si="3"/>
        <v/>
      </c>
      <c r="X2248" s="4" t="str">
        <f>IF(V2248="","",INDEX(Fornecedores!$X$1:$X$6631,V2248))</f>
        <v/>
      </c>
      <c r="Y2248" s="4" t="str">
        <f t="shared" si="4"/>
        <v/>
      </c>
    </row>
    <row r="2249" spans="19:25">
      <c r="S2249" t="str">
        <f t="shared" si="0"/>
        <v/>
      </c>
      <c r="T2249" t="str">
        <f t="shared" si="1"/>
        <v/>
      </c>
      <c r="U2249" t="str">
        <f t="shared" si="2"/>
        <v/>
      </c>
      <c r="V2249" t="str">
        <f>IF(OR(U2249="",U2249="ERRO_CHAVE"),"",IFERROR(MATCH(U2249,Fornecedores!$AF$1:$AF$6631,0),""))</f>
        <v/>
      </c>
      <c r="W2249" t="str">
        <f t="shared" si="3"/>
        <v/>
      </c>
      <c r="X2249" s="4" t="str">
        <f>IF(V2249="","",INDEX(Fornecedores!$X$1:$X$6631,V2249))</f>
        <v/>
      </c>
      <c r="Y2249" s="4" t="str">
        <f t="shared" si="4"/>
        <v/>
      </c>
    </row>
    <row r="2250" spans="19:25">
      <c r="S2250" t="str">
        <f t="shared" si="0"/>
        <v/>
      </c>
      <c r="T2250" t="str">
        <f t="shared" si="1"/>
        <v/>
      </c>
      <c r="U2250" t="str">
        <f t="shared" si="2"/>
        <v/>
      </c>
      <c r="V2250" t="str">
        <f>IF(OR(U2250="",U2250="ERRO_CHAVE"),"",IFERROR(MATCH(U2250,Fornecedores!$AF$1:$AF$6631,0),""))</f>
        <v/>
      </c>
      <c r="W2250" t="str">
        <f t="shared" si="3"/>
        <v/>
      </c>
      <c r="X2250" s="4" t="str">
        <f>IF(V2250="","",INDEX(Fornecedores!$X$1:$X$6631,V2250))</f>
        <v/>
      </c>
      <c r="Y2250" s="4" t="str">
        <f t="shared" si="4"/>
        <v/>
      </c>
    </row>
    <row r="2251" spans="19:25">
      <c r="S2251" t="str">
        <f t="shared" si="0"/>
        <v/>
      </c>
      <c r="T2251" t="str">
        <f t="shared" si="1"/>
        <v/>
      </c>
      <c r="U2251" t="str">
        <f t="shared" si="2"/>
        <v/>
      </c>
      <c r="V2251" t="str">
        <f>IF(OR(U2251="",U2251="ERRO_CHAVE"),"",IFERROR(MATCH(U2251,Fornecedores!$AF$1:$AF$6631,0),""))</f>
        <v/>
      </c>
      <c r="W2251" t="str">
        <f t="shared" si="3"/>
        <v/>
      </c>
      <c r="X2251" s="4" t="str">
        <f>IF(V2251="","",INDEX(Fornecedores!$X$1:$X$6631,V2251))</f>
        <v/>
      </c>
      <c r="Y2251" s="4" t="str">
        <f t="shared" si="4"/>
        <v/>
      </c>
    </row>
    <row r="2252" spans="19:25">
      <c r="S2252" t="str">
        <f t="shared" si="0"/>
        <v/>
      </c>
      <c r="T2252" t="str">
        <f t="shared" si="1"/>
        <v/>
      </c>
      <c r="U2252" t="str">
        <f t="shared" si="2"/>
        <v/>
      </c>
      <c r="V2252" t="str">
        <f>IF(OR(U2252="",U2252="ERRO_CHAVE"),"",IFERROR(MATCH(U2252,Fornecedores!$AF$1:$AF$6631,0),""))</f>
        <v/>
      </c>
      <c r="W2252" t="str">
        <f t="shared" si="3"/>
        <v/>
      </c>
      <c r="X2252" s="4" t="str">
        <f>IF(V2252="","",INDEX(Fornecedores!$X$1:$X$6631,V2252))</f>
        <v/>
      </c>
      <c r="Y2252" s="4" t="str">
        <f t="shared" si="4"/>
        <v/>
      </c>
    </row>
    <row r="2253" spans="19:25">
      <c r="S2253" t="str">
        <f t="shared" si="0"/>
        <v/>
      </c>
      <c r="T2253" t="str">
        <f t="shared" si="1"/>
        <v/>
      </c>
      <c r="U2253" t="str">
        <f t="shared" si="2"/>
        <v/>
      </c>
      <c r="V2253" t="str">
        <f>IF(OR(U2253="",U2253="ERRO_CHAVE"),"",IFERROR(MATCH(U2253,Fornecedores!$AF$1:$AF$6631,0),""))</f>
        <v/>
      </c>
      <c r="W2253" t="str">
        <f t="shared" si="3"/>
        <v/>
      </c>
      <c r="X2253" s="4" t="str">
        <f>IF(V2253="","",INDEX(Fornecedores!$X$1:$X$6631,V2253))</f>
        <v/>
      </c>
      <c r="Y2253" s="4" t="str">
        <f t="shared" si="4"/>
        <v/>
      </c>
    </row>
    <row r="2254" spans="19:25">
      <c r="S2254" t="str">
        <f t="shared" si="0"/>
        <v/>
      </c>
      <c r="T2254" t="str">
        <f t="shared" si="1"/>
        <v/>
      </c>
      <c r="U2254" t="str">
        <f t="shared" si="2"/>
        <v/>
      </c>
      <c r="V2254" t="str">
        <f>IF(OR(U2254="",U2254="ERRO_CHAVE"),"",IFERROR(MATCH(U2254,Fornecedores!$AF$1:$AF$6631,0),""))</f>
        <v/>
      </c>
      <c r="W2254" t="str">
        <f t="shared" si="3"/>
        <v/>
      </c>
      <c r="X2254" s="4" t="str">
        <f>IF(V2254="","",INDEX(Fornecedores!$X$1:$X$6631,V2254))</f>
        <v/>
      </c>
      <c r="Y2254" s="4" t="str">
        <f t="shared" si="4"/>
        <v/>
      </c>
    </row>
    <row r="2255" spans="19:25">
      <c r="S2255" t="str">
        <f t="shared" si="0"/>
        <v/>
      </c>
      <c r="T2255" t="str">
        <f t="shared" si="1"/>
        <v/>
      </c>
      <c r="U2255" t="str">
        <f t="shared" si="2"/>
        <v/>
      </c>
      <c r="V2255" t="str">
        <f>IF(OR(U2255="",U2255="ERRO_CHAVE"),"",IFERROR(MATCH(U2255,Fornecedores!$AF$1:$AF$6631,0),""))</f>
        <v/>
      </c>
      <c r="W2255" t="str">
        <f t="shared" si="3"/>
        <v/>
      </c>
      <c r="X2255" s="4" t="str">
        <f>IF(V2255="","",INDEX(Fornecedores!$X$1:$X$6631,V2255))</f>
        <v/>
      </c>
      <c r="Y2255" s="4" t="str">
        <f t="shared" si="4"/>
        <v/>
      </c>
    </row>
    <row r="2256" spans="19:25">
      <c r="S2256" t="str">
        <f t="shared" si="0"/>
        <v/>
      </c>
      <c r="T2256" t="str">
        <f t="shared" si="1"/>
        <v/>
      </c>
      <c r="U2256" t="str">
        <f t="shared" si="2"/>
        <v/>
      </c>
      <c r="V2256" t="str">
        <f>IF(OR(U2256="",U2256="ERRO_CHAVE"),"",IFERROR(MATCH(U2256,Fornecedores!$AF$1:$AF$6631,0),""))</f>
        <v/>
      </c>
      <c r="W2256" t="str">
        <f t="shared" si="3"/>
        <v/>
      </c>
      <c r="X2256" s="4" t="str">
        <f>IF(V2256="","",INDEX(Fornecedores!$X$1:$X$6631,V2256))</f>
        <v/>
      </c>
      <c r="Y2256" s="4" t="str">
        <f t="shared" si="4"/>
        <v/>
      </c>
    </row>
    <row r="2257" spans="19:25">
      <c r="S2257" t="str">
        <f t="shared" si="0"/>
        <v/>
      </c>
      <c r="T2257" t="str">
        <f t="shared" si="1"/>
        <v/>
      </c>
      <c r="U2257" t="str">
        <f t="shared" si="2"/>
        <v/>
      </c>
      <c r="V2257" t="str">
        <f>IF(OR(U2257="",U2257="ERRO_CHAVE"),"",IFERROR(MATCH(U2257,Fornecedores!$AF$1:$AF$6631,0),""))</f>
        <v/>
      </c>
      <c r="W2257" t="str">
        <f t="shared" si="3"/>
        <v/>
      </c>
      <c r="X2257" s="4" t="str">
        <f>IF(V2257="","",INDEX(Fornecedores!$X$1:$X$6631,V2257))</f>
        <v/>
      </c>
      <c r="Y2257" s="4" t="str">
        <f t="shared" si="4"/>
        <v/>
      </c>
    </row>
    <row r="2258" spans="19:25">
      <c r="S2258" t="str">
        <f t="shared" si="0"/>
        <v/>
      </c>
      <c r="T2258" t="str">
        <f t="shared" si="1"/>
        <v/>
      </c>
      <c r="U2258" t="str">
        <f t="shared" si="2"/>
        <v/>
      </c>
      <c r="V2258" t="str">
        <f>IF(OR(U2258="",U2258="ERRO_CHAVE"),"",IFERROR(MATCH(U2258,Fornecedores!$AF$1:$AF$6631,0),""))</f>
        <v/>
      </c>
      <c r="W2258" t="str">
        <f t="shared" si="3"/>
        <v/>
      </c>
      <c r="X2258" s="4" t="str">
        <f>IF(V2258="","",INDEX(Fornecedores!$X$1:$X$6631,V2258))</f>
        <v/>
      </c>
      <c r="Y2258" s="4" t="str">
        <f t="shared" si="4"/>
        <v/>
      </c>
    </row>
    <row r="2259" spans="19:25">
      <c r="S2259" t="str">
        <f t="shared" si="0"/>
        <v/>
      </c>
      <c r="T2259" t="str">
        <f t="shared" si="1"/>
        <v/>
      </c>
      <c r="U2259" t="str">
        <f t="shared" si="2"/>
        <v/>
      </c>
      <c r="V2259" t="str">
        <f>IF(OR(U2259="",U2259="ERRO_CHAVE"),"",IFERROR(MATCH(U2259,Fornecedores!$AF$1:$AF$6631,0),""))</f>
        <v/>
      </c>
      <c r="W2259" t="str">
        <f t="shared" si="3"/>
        <v/>
      </c>
      <c r="X2259" s="4" t="str">
        <f>IF(V2259="","",INDEX(Fornecedores!$X$1:$X$6631,V2259))</f>
        <v/>
      </c>
      <c r="Y2259" s="4" t="str">
        <f t="shared" si="4"/>
        <v/>
      </c>
    </row>
    <row r="2260" spans="19:25">
      <c r="S2260" t="str">
        <f t="shared" si="0"/>
        <v/>
      </c>
      <c r="T2260" t="str">
        <f t="shared" si="1"/>
        <v/>
      </c>
      <c r="U2260" t="str">
        <f t="shared" si="2"/>
        <v/>
      </c>
      <c r="V2260" t="str">
        <f>IF(OR(U2260="",U2260="ERRO_CHAVE"),"",IFERROR(MATCH(U2260,Fornecedores!$AF$1:$AF$6631,0),""))</f>
        <v/>
      </c>
      <c r="W2260" t="str">
        <f t="shared" si="3"/>
        <v/>
      </c>
      <c r="X2260" s="4" t="str">
        <f>IF(V2260="","",INDEX(Fornecedores!$X$1:$X$6631,V2260))</f>
        <v/>
      </c>
      <c r="Y2260" s="4" t="str">
        <f t="shared" si="4"/>
        <v/>
      </c>
    </row>
    <row r="2261" spans="19:25">
      <c r="S2261" t="str">
        <f t="shared" si="0"/>
        <v/>
      </c>
      <c r="T2261" t="str">
        <f t="shared" si="1"/>
        <v/>
      </c>
      <c r="U2261" t="str">
        <f t="shared" si="2"/>
        <v/>
      </c>
      <c r="V2261" t="str">
        <f>IF(OR(U2261="",U2261="ERRO_CHAVE"),"",IFERROR(MATCH(U2261,Fornecedores!$AF$1:$AF$6631,0),""))</f>
        <v/>
      </c>
      <c r="W2261" t="str">
        <f t="shared" si="3"/>
        <v/>
      </c>
      <c r="X2261" s="4" t="str">
        <f>IF(V2261="","",INDEX(Fornecedores!$X$1:$X$6631,V2261))</f>
        <v/>
      </c>
      <c r="Y2261" s="4" t="str">
        <f t="shared" si="4"/>
        <v/>
      </c>
    </row>
    <row r="2262" spans="19:25">
      <c r="S2262" t="str">
        <f t="shared" si="0"/>
        <v/>
      </c>
      <c r="T2262" t="str">
        <f t="shared" si="1"/>
        <v/>
      </c>
      <c r="U2262" t="str">
        <f t="shared" si="2"/>
        <v/>
      </c>
      <c r="V2262" t="str">
        <f>IF(OR(U2262="",U2262="ERRO_CHAVE"),"",IFERROR(MATCH(U2262,Fornecedores!$AF$1:$AF$6631,0),""))</f>
        <v/>
      </c>
      <c r="W2262" t="str">
        <f t="shared" si="3"/>
        <v/>
      </c>
      <c r="X2262" s="4" t="str">
        <f>IF(V2262="","",INDEX(Fornecedores!$X$1:$X$6631,V2262))</f>
        <v/>
      </c>
      <c r="Y2262" s="4" t="str">
        <f t="shared" si="4"/>
        <v/>
      </c>
    </row>
    <row r="2263" spans="19:25">
      <c r="S2263" t="str">
        <f t="shared" si="0"/>
        <v/>
      </c>
      <c r="T2263" t="str">
        <f t="shared" si="1"/>
        <v/>
      </c>
      <c r="U2263" t="str">
        <f t="shared" si="2"/>
        <v/>
      </c>
      <c r="V2263" t="str">
        <f>IF(OR(U2263="",U2263="ERRO_CHAVE"),"",IFERROR(MATCH(U2263,Fornecedores!$AF$1:$AF$6631,0),""))</f>
        <v/>
      </c>
      <c r="W2263" t="str">
        <f t="shared" si="3"/>
        <v/>
      </c>
      <c r="X2263" s="4" t="str">
        <f>IF(V2263="","",INDEX(Fornecedores!$X$1:$X$6631,V2263))</f>
        <v/>
      </c>
      <c r="Y2263" s="4" t="str">
        <f t="shared" si="4"/>
        <v/>
      </c>
    </row>
    <row r="2264" spans="19:25">
      <c r="S2264" t="str">
        <f t="shared" si="0"/>
        <v/>
      </c>
      <c r="T2264" t="str">
        <f t="shared" si="1"/>
        <v/>
      </c>
      <c r="U2264" t="str">
        <f t="shared" si="2"/>
        <v/>
      </c>
      <c r="V2264" t="str">
        <f>IF(OR(U2264="",U2264="ERRO_CHAVE"),"",IFERROR(MATCH(U2264,Fornecedores!$AF$1:$AF$6631,0),""))</f>
        <v/>
      </c>
      <c r="W2264" t="str">
        <f t="shared" si="3"/>
        <v/>
      </c>
      <c r="X2264" s="4" t="str">
        <f>IF(V2264="","",INDEX(Fornecedores!$X$1:$X$6631,V2264))</f>
        <v/>
      </c>
      <c r="Y2264" s="4" t="str">
        <f t="shared" si="4"/>
        <v/>
      </c>
    </row>
    <row r="2265" spans="19:25">
      <c r="S2265" t="str">
        <f t="shared" si="0"/>
        <v/>
      </c>
      <c r="T2265" t="str">
        <f t="shared" si="1"/>
        <v/>
      </c>
      <c r="U2265" t="str">
        <f t="shared" si="2"/>
        <v/>
      </c>
      <c r="V2265" t="str">
        <f>IF(OR(U2265="",U2265="ERRO_CHAVE"),"",IFERROR(MATCH(U2265,Fornecedores!$AF$1:$AF$6631,0),""))</f>
        <v/>
      </c>
      <c r="W2265" t="str">
        <f t="shared" si="3"/>
        <v/>
      </c>
      <c r="X2265" s="4" t="str">
        <f>IF(V2265="","",INDEX(Fornecedores!$X$1:$X$6631,V2265))</f>
        <v/>
      </c>
      <c r="Y2265" s="4" t="str">
        <f t="shared" si="4"/>
        <v/>
      </c>
    </row>
    <row r="2266" spans="19:25">
      <c r="S2266" t="str">
        <f t="shared" si="0"/>
        <v/>
      </c>
      <c r="T2266" t="str">
        <f t="shared" si="1"/>
        <v/>
      </c>
      <c r="U2266" t="str">
        <f t="shared" si="2"/>
        <v/>
      </c>
      <c r="V2266" t="str">
        <f>IF(OR(U2266="",U2266="ERRO_CHAVE"),"",IFERROR(MATCH(U2266,Fornecedores!$AF$1:$AF$6631,0),""))</f>
        <v/>
      </c>
      <c r="W2266" t="str">
        <f t="shared" si="3"/>
        <v/>
      </c>
      <c r="X2266" s="4" t="str">
        <f>IF(V2266="","",INDEX(Fornecedores!$X$1:$X$6631,V2266))</f>
        <v/>
      </c>
      <c r="Y2266" s="4" t="str">
        <f t="shared" si="4"/>
        <v/>
      </c>
    </row>
    <row r="2267" spans="19:25">
      <c r="S2267" t="str">
        <f t="shared" si="0"/>
        <v/>
      </c>
      <c r="T2267" t="str">
        <f t="shared" si="1"/>
        <v/>
      </c>
      <c r="U2267" t="str">
        <f t="shared" si="2"/>
        <v/>
      </c>
      <c r="V2267" t="str">
        <f>IF(OR(U2267="",U2267="ERRO_CHAVE"),"",IFERROR(MATCH(U2267,Fornecedores!$AF$1:$AF$6631,0),""))</f>
        <v/>
      </c>
      <c r="W2267" t="str">
        <f t="shared" si="3"/>
        <v/>
      </c>
      <c r="X2267" s="4" t="str">
        <f>IF(V2267="","",INDEX(Fornecedores!$X$1:$X$6631,V2267))</f>
        <v/>
      </c>
      <c r="Y2267" s="4" t="str">
        <f t="shared" si="4"/>
        <v/>
      </c>
    </row>
    <row r="2268" spans="19:25">
      <c r="S2268" t="str">
        <f t="shared" si="0"/>
        <v/>
      </c>
      <c r="T2268" t="str">
        <f t="shared" si="1"/>
        <v/>
      </c>
      <c r="U2268" t="str">
        <f t="shared" si="2"/>
        <v/>
      </c>
      <c r="V2268" t="str">
        <f>IF(OR(U2268="",U2268="ERRO_CHAVE"),"",IFERROR(MATCH(U2268,Fornecedores!$AF$1:$AF$6631,0),""))</f>
        <v/>
      </c>
      <c r="W2268" t="str">
        <f t="shared" si="3"/>
        <v/>
      </c>
      <c r="X2268" s="4" t="str">
        <f>IF(V2268="","",INDEX(Fornecedores!$X$1:$X$6631,V2268))</f>
        <v/>
      </c>
      <c r="Y2268" s="4" t="str">
        <f t="shared" si="4"/>
        <v/>
      </c>
    </row>
    <row r="2269" spans="19:25">
      <c r="S2269" t="str">
        <f t="shared" si="0"/>
        <v/>
      </c>
      <c r="T2269" t="str">
        <f t="shared" si="1"/>
        <v/>
      </c>
      <c r="U2269" t="str">
        <f t="shared" si="2"/>
        <v/>
      </c>
      <c r="V2269" t="str">
        <f>IF(OR(U2269="",U2269="ERRO_CHAVE"),"",IFERROR(MATCH(U2269,Fornecedores!$AF$1:$AF$6631,0),""))</f>
        <v/>
      </c>
      <c r="W2269" t="str">
        <f t="shared" si="3"/>
        <v/>
      </c>
      <c r="X2269" s="4" t="str">
        <f>IF(V2269="","",INDEX(Fornecedores!$X$1:$X$6631,V2269))</f>
        <v/>
      </c>
      <c r="Y2269" s="4" t="str">
        <f t="shared" si="4"/>
        <v/>
      </c>
    </row>
    <row r="2270" spans="19:25">
      <c r="S2270" t="str">
        <f t="shared" si="0"/>
        <v/>
      </c>
      <c r="T2270" t="str">
        <f t="shared" si="1"/>
        <v/>
      </c>
      <c r="U2270" t="str">
        <f t="shared" si="2"/>
        <v/>
      </c>
      <c r="V2270" t="str">
        <f>IF(OR(U2270="",U2270="ERRO_CHAVE"),"",IFERROR(MATCH(U2270,Fornecedores!$AF$1:$AF$6631,0),""))</f>
        <v/>
      </c>
      <c r="W2270" t="str">
        <f t="shared" si="3"/>
        <v/>
      </c>
      <c r="X2270" s="4" t="str">
        <f>IF(V2270="","",INDEX(Fornecedores!$X$1:$X$6631,V2270))</f>
        <v/>
      </c>
      <c r="Y2270" s="4" t="str">
        <f t="shared" si="4"/>
        <v/>
      </c>
    </row>
    <row r="2271" spans="19:25">
      <c r="S2271" t="str">
        <f t="shared" si="0"/>
        <v/>
      </c>
      <c r="T2271" t="str">
        <f t="shared" si="1"/>
        <v/>
      </c>
      <c r="U2271" t="str">
        <f t="shared" si="2"/>
        <v/>
      </c>
      <c r="V2271" t="str">
        <f>IF(OR(U2271="",U2271="ERRO_CHAVE"),"",IFERROR(MATCH(U2271,Fornecedores!$AF$1:$AF$6631,0),""))</f>
        <v/>
      </c>
      <c r="W2271" t="str">
        <f t="shared" si="3"/>
        <v/>
      </c>
      <c r="X2271" s="4" t="str">
        <f>IF(V2271="","",INDEX(Fornecedores!$X$1:$X$6631,V2271))</f>
        <v/>
      </c>
      <c r="Y2271" s="4" t="str">
        <f t="shared" si="4"/>
        <v/>
      </c>
    </row>
    <row r="2272" spans="19:25">
      <c r="S2272" t="str">
        <f t="shared" si="0"/>
        <v/>
      </c>
      <c r="T2272" t="str">
        <f t="shared" si="1"/>
        <v/>
      </c>
      <c r="U2272" t="str">
        <f t="shared" si="2"/>
        <v/>
      </c>
      <c r="V2272" t="str">
        <f>IF(OR(U2272="",U2272="ERRO_CHAVE"),"",IFERROR(MATCH(U2272,Fornecedores!$AF$1:$AF$6631,0),""))</f>
        <v/>
      </c>
      <c r="W2272" t="str">
        <f t="shared" si="3"/>
        <v/>
      </c>
      <c r="X2272" s="4" t="str">
        <f>IF(V2272="","",INDEX(Fornecedores!$X$1:$X$6631,V2272))</f>
        <v/>
      </c>
      <c r="Y2272" s="4" t="str">
        <f t="shared" si="4"/>
        <v/>
      </c>
    </row>
    <row r="2273" spans="19:25">
      <c r="S2273" t="str">
        <f t="shared" si="0"/>
        <v/>
      </c>
      <c r="T2273" t="str">
        <f t="shared" si="1"/>
        <v/>
      </c>
      <c r="U2273" t="str">
        <f t="shared" si="2"/>
        <v/>
      </c>
      <c r="V2273" t="str">
        <f>IF(OR(U2273="",U2273="ERRO_CHAVE"),"",IFERROR(MATCH(U2273,Fornecedores!$AF$1:$AF$6631,0),""))</f>
        <v/>
      </c>
      <c r="W2273" t="str">
        <f t="shared" si="3"/>
        <v/>
      </c>
      <c r="X2273" s="4" t="str">
        <f>IF(V2273="","",INDEX(Fornecedores!$X$1:$X$6631,V2273))</f>
        <v/>
      </c>
      <c r="Y2273" s="4" t="str">
        <f t="shared" si="4"/>
        <v/>
      </c>
    </row>
    <row r="2274" spans="19:25">
      <c r="S2274" t="str">
        <f t="shared" si="0"/>
        <v/>
      </c>
      <c r="T2274" t="str">
        <f t="shared" si="1"/>
        <v/>
      </c>
      <c r="U2274" t="str">
        <f t="shared" si="2"/>
        <v/>
      </c>
      <c r="V2274" t="str">
        <f>IF(OR(U2274="",U2274="ERRO_CHAVE"),"",IFERROR(MATCH(U2274,Fornecedores!$AF$1:$AF$6631,0),""))</f>
        <v/>
      </c>
      <c r="W2274" t="str">
        <f t="shared" si="3"/>
        <v/>
      </c>
      <c r="X2274" s="4" t="str">
        <f>IF(V2274="","",INDEX(Fornecedores!$X$1:$X$6631,V2274))</f>
        <v/>
      </c>
      <c r="Y2274" s="4" t="str">
        <f t="shared" si="4"/>
        <v/>
      </c>
    </row>
    <row r="2275" spans="19:25">
      <c r="S2275" t="str">
        <f t="shared" si="0"/>
        <v/>
      </c>
      <c r="T2275" t="str">
        <f t="shared" si="1"/>
        <v/>
      </c>
      <c r="U2275" t="str">
        <f t="shared" si="2"/>
        <v/>
      </c>
      <c r="V2275" t="str">
        <f>IF(OR(U2275="",U2275="ERRO_CHAVE"),"",IFERROR(MATCH(U2275,Fornecedores!$AF$1:$AF$6631,0),""))</f>
        <v/>
      </c>
      <c r="W2275" t="str">
        <f t="shared" si="3"/>
        <v/>
      </c>
      <c r="X2275" s="4" t="str">
        <f>IF(V2275="","",INDEX(Fornecedores!$X$1:$X$6631,V2275))</f>
        <v/>
      </c>
      <c r="Y2275" s="4" t="str">
        <f t="shared" si="4"/>
        <v/>
      </c>
    </row>
    <row r="2276" spans="19:25">
      <c r="S2276" t="str">
        <f t="shared" si="0"/>
        <v/>
      </c>
      <c r="T2276" t="str">
        <f t="shared" si="1"/>
        <v/>
      </c>
      <c r="U2276" t="str">
        <f t="shared" si="2"/>
        <v/>
      </c>
      <c r="V2276" t="str">
        <f>IF(OR(U2276="",U2276="ERRO_CHAVE"),"",IFERROR(MATCH(U2276,Fornecedores!$AF$1:$AF$6631,0),""))</f>
        <v/>
      </c>
      <c r="W2276" t="str">
        <f t="shared" si="3"/>
        <v/>
      </c>
      <c r="X2276" s="4" t="str">
        <f>IF(V2276="","",INDEX(Fornecedores!$X$1:$X$6631,V2276))</f>
        <v/>
      </c>
      <c r="Y2276" s="4" t="str">
        <f t="shared" si="4"/>
        <v/>
      </c>
    </row>
    <row r="2277" spans="19:25">
      <c r="S2277" t="str">
        <f t="shared" si="0"/>
        <v/>
      </c>
      <c r="T2277" t="str">
        <f t="shared" si="1"/>
        <v/>
      </c>
      <c r="U2277" t="str">
        <f t="shared" si="2"/>
        <v/>
      </c>
      <c r="V2277" t="str">
        <f>IF(OR(U2277="",U2277="ERRO_CHAVE"),"",IFERROR(MATCH(U2277,Fornecedores!$AF$1:$AF$6631,0),""))</f>
        <v/>
      </c>
      <c r="W2277" t="str">
        <f t="shared" si="3"/>
        <v/>
      </c>
      <c r="X2277" s="4" t="str">
        <f>IF(V2277="","",INDEX(Fornecedores!$X$1:$X$6631,V2277))</f>
        <v/>
      </c>
      <c r="Y2277" s="4" t="str">
        <f t="shared" si="4"/>
        <v/>
      </c>
    </row>
    <row r="2278" spans="19:25">
      <c r="S2278" t="str">
        <f t="shared" si="0"/>
        <v/>
      </c>
      <c r="T2278" t="str">
        <f t="shared" si="1"/>
        <v/>
      </c>
      <c r="U2278" t="str">
        <f t="shared" si="2"/>
        <v/>
      </c>
      <c r="V2278" t="str">
        <f>IF(OR(U2278="",U2278="ERRO_CHAVE"),"",IFERROR(MATCH(U2278,Fornecedores!$AF$1:$AF$6631,0),""))</f>
        <v/>
      </c>
      <c r="W2278" t="str">
        <f t="shared" si="3"/>
        <v/>
      </c>
      <c r="X2278" s="4" t="str">
        <f>IF(V2278="","",INDEX(Fornecedores!$X$1:$X$6631,V2278))</f>
        <v/>
      </c>
      <c r="Y2278" s="4" t="str">
        <f t="shared" si="4"/>
        <v/>
      </c>
    </row>
    <row r="2279" spans="19:25">
      <c r="S2279" t="str">
        <f t="shared" si="0"/>
        <v/>
      </c>
      <c r="T2279" t="str">
        <f t="shared" si="1"/>
        <v/>
      </c>
      <c r="U2279" t="str">
        <f t="shared" si="2"/>
        <v/>
      </c>
      <c r="V2279" t="str">
        <f>IF(OR(U2279="",U2279="ERRO_CHAVE"),"",IFERROR(MATCH(U2279,Fornecedores!$AF$1:$AF$6631,0),""))</f>
        <v/>
      </c>
      <c r="W2279" t="str">
        <f t="shared" si="3"/>
        <v/>
      </c>
      <c r="X2279" s="4" t="str">
        <f>IF(V2279="","",INDEX(Fornecedores!$X$1:$X$6631,V2279))</f>
        <v/>
      </c>
      <c r="Y2279" s="4" t="str">
        <f t="shared" si="4"/>
        <v/>
      </c>
    </row>
    <row r="2280" spans="19:25">
      <c r="S2280" t="str">
        <f t="shared" si="0"/>
        <v/>
      </c>
      <c r="T2280" t="str">
        <f t="shared" si="1"/>
        <v/>
      </c>
      <c r="U2280" t="str">
        <f t="shared" si="2"/>
        <v/>
      </c>
      <c r="V2280" t="str">
        <f>IF(OR(U2280="",U2280="ERRO_CHAVE"),"",IFERROR(MATCH(U2280,Fornecedores!$AF$1:$AF$6631,0),""))</f>
        <v/>
      </c>
      <c r="W2280" t="str">
        <f t="shared" si="3"/>
        <v/>
      </c>
      <c r="X2280" s="4" t="str">
        <f>IF(V2280="","",INDEX(Fornecedores!$X$1:$X$6631,V2280))</f>
        <v/>
      </c>
      <c r="Y2280" s="4" t="str">
        <f t="shared" si="4"/>
        <v/>
      </c>
    </row>
    <row r="2281" spans="19:25">
      <c r="S2281" t="str">
        <f t="shared" si="0"/>
        <v/>
      </c>
      <c r="T2281" t="str">
        <f t="shared" si="1"/>
        <v/>
      </c>
      <c r="U2281" t="str">
        <f t="shared" si="2"/>
        <v/>
      </c>
      <c r="V2281" t="str">
        <f>IF(OR(U2281="",U2281="ERRO_CHAVE"),"",IFERROR(MATCH(U2281,Fornecedores!$AF$1:$AF$6631,0),""))</f>
        <v/>
      </c>
      <c r="W2281" t="str">
        <f t="shared" si="3"/>
        <v/>
      </c>
      <c r="X2281" s="4" t="str">
        <f>IF(V2281="","",INDEX(Fornecedores!$X$1:$X$6631,V2281))</f>
        <v/>
      </c>
      <c r="Y2281" s="4" t="str">
        <f t="shared" si="4"/>
        <v/>
      </c>
    </row>
    <row r="2282" spans="19:25">
      <c r="S2282" t="str">
        <f t="shared" si="0"/>
        <v/>
      </c>
      <c r="T2282" t="str">
        <f t="shared" si="1"/>
        <v/>
      </c>
      <c r="U2282" t="str">
        <f t="shared" si="2"/>
        <v/>
      </c>
      <c r="V2282" t="str">
        <f>IF(OR(U2282="",U2282="ERRO_CHAVE"),"",IFERROR(MATCH(U2282,Fornecedores!$AF$1:$AF$6631,0),""))</f>
        <v/>
      </c>
      <c r="W2282" t="str">
        <f t="shared" si="3"/>
        <v/>
      </c>
      <c r="X2282" s="4" t="str">
        <f>IF(V2282="","",INDEX(Fornecedores!$X$1:$X$6631,V2282))</f>
        <v/>
      </c>
      <c r="Y2282" s="4" t="str">
        <f t="shared" si="4"/>
        <v/>
      </c>
    </row>
    <row r="2283" spans="19:25">
      <c r="S2283" t="str">
        <f t="shared" si="0"/>
        <v/>
      </c>
      <c r="T2283" t="str">
        <f t="shared" si="1"/>
        <v/>
      </c>
      <c r="U2283" t="str">
        <f t="shared" si="2"/>
        <v/>
      </c>
      <c r="V2283" t="str">
        <f>IF(OR(U2283="",U2283="ERRO_CHAVE"),"",IFERROR(MATCH(U2283,Fornecedores!$AF$1:$AF$6631,0),""))</f>
        <v/>
      </c>
      <c r="W2283" t="str">
        <f t="shared" si="3"/>
        <v/>
      </c>
      <c r="X2283" s="4" t="str">
        <f>IF(V2283="","",INDEX(Fornecedores!$X$1:$X$6631,V2283))</f>
        <v/>
      </c>
      <c r="Y2283" s="4" t="str">
        <f t="shared" si="4"/>
        <v/>
      </c>
    </row>
    <row r="2284" spans="19:25">
      <c r="S2284" t="str">
        <f t="shared" si="0"/>
        <v/>
      </c>
      <c r="T2284" t="str">
        <f t="shared" si="1"/>
        <v/>
      </c>
      <c r="U2284" t="str">
        <f t="shared" si="2"/>
        <v/>
      </c>
      <c r="V2284" t="str">
        <f>IF(OR(U2284="",U2284="ERRO_CHAVE"),"",IFERROR(MATCH(U2284,Fornecedores!$AF$1:$AF$6631,0),""))</f>
        <v/>
      </c>
      <c r="W2284" t="str">
        <f t="shared" si="3"/>
        <v/>
      </c>
      <c r="X2284" s="4" t="str">
        <f>IF(V2284="","",INDEX(Fornecedores!$X$1:$X$6631,V2284))</f>
        <v/>
      </c>
      <c r="Y2284" s="4" t="str">
        <f t="shared" si="4"/>
        <v/>
      </c>
    </row>
    <row r="2285" spans="19:25">
      <c r="S2285" t="str">
        <f t="shared" si="0"/>
        <v/>
      </c>
      <c r="T2285" t="str">
        <f t="shared" si="1"/>
        <v/>
      </c>
      <c r="U2285" t="str">
        <f t="shared" si="2"/>
        <v/>
      </c>
      <c r="V2285" t="str">
        <f>IF(OR(U2285="",U2285="ERRO_CHAVE"),"",IFERROR(MATCH(U2285,Fornecedores!$AF$1:$AF$6631,0),""))</f>
        <v/>
      </c>
      <c r="W2285" t="str">
        <f t="shared" si="3"/>
        <v/>
      </c>
      <c r="X2285" s="4" t="str">
        <f>IF(V2285="","",INDEX(Fornecedores!$X$1:$X$6631,V2285))</f>
        <v/>
      </c>
      <c r="Y2285" s="4" t="str">
        <f t="shared" si="4"/>
        <v/>
      </c>
    </row>
    <row r="2286" spans="19:25">
      <c r="S2286" t="str">
        <f t="shared" si="0"/>
        <v/>
      </c>
      <c r="T2286" t="str">
        <f t="shared" si="1"/>
        <v/>
      </c>
      <c r="U2286" t="str">
        <f t="shared" si="2"/>
        <v/>
      </c>
      <c r="V2286" t="str">
        <f>IF(OR(U2286="",U2286="ERRO_CHAVE"),"",IFERROR(MATCH(U2286,Fornecedores!$AF$1:$AF$6631,0),""))</f>
        <v/>
      </c>
      <c r="W2286" t="str">
        <f t="shared" si="3"/>
        <v/>
      </c>
      <c r="X2286" s="4" t="str">
        <f>IF(V2286="","",INDEX(Fornecedores!$X$1:$X$6631,V2286))</f>
        <v/>
      </c>
      <c r="Y2286" s="4" t="str">
        <f t="shared" si="4"/>
        <v/>
      </c>
    </row>
    <row r="2287" spans="19:25">
      <c r="S2287" t="str">
        <f t="shared" si="0"/>
        <v/>
      </c>
      <c r="T2287" t="str">
        <f t="shared" si="1"/>
        <v/>
      </c>
      <c r="U2287" t="str">
        <f t="shared" si="2"/>
        <v/>
      </c>
      <c r="V2287" t="str">
        <f>IF(OR(U2287="",U2287="ERRO_CHAVE"),"",IFERROR(MATCH(U2287,Fornecedores!$AF$1:$AF$6631,0),""))</f>
        <v/>
      </c>
      <c r="W2287" t="str">
        <f t="shared" si="3"/>
        <v/>
      </c>
      <c r="X2287" s="4" t="str">
        <f>IF(V2287="","",INDEX(Fornecedores!$X$1:$X$6631,V2287))</f>
        <v/>
      </c>
      <c r="Y2287" s="4" t="str">
        <f t="shared" si="4"/>
        <v/>
      </c>
    </row>
    <row r="2288" spans="19:25">
      <c r="S2288" t="str">
        <f t="shared" si="0"/>
        <v/>
      </c>
      <c r="T2288" t="str">
        <f t="shared" si="1"/>
        <v/>
      </c>
      <c r="U2288" t="str">
        <f t="shared" si="2"/>
        <v/>
      </c>
      <c r="V2288" t="str">
        <f>IF(OR(U2288="",U2288="ERRO_CHAVE"),"",IFERROR(MATCH(U2288,Fornecedores!$AF$1:$AF$6631,0),""))</f>
        <v/>
      </c>
      <c r="W2288" t="str">
        <f t="shared" si="3"/>
        <v/>
      </c>
      <c r="X2288" s="4" t="str">
        <f>IF(V2288="","",INDEX(Fornecedores!$X$1:$X$6631,V2288))</f>
        <v/>
      </c>
      <c r="Y2288" s="4" t="str">
        <f t="shared" si="4"/>
        <v/>
      </c>
    </row>
    <row r="2289" spans="19:25">
      <c r="S2289" t="str">
        <f t="shared" si="0"/>
        <v/>
      </c>
      <c r="T2289" t="str">
        <f t="shared" si="1"/>
        <v/>
      </c>
      <c r="U2289" t="str">
        <f t="shared" si="2"/>
        <v/>
      </c>
      <c r="V2289" t="str">
        <f>IF(OR(U2289="",U2289="ERRO_CHAVE"),"",IFERROR(MATCH(U2289,Fornecedores!$AF$1:$AF$6631,0),""))</f>
        <v/>
      </c>
      <c r="W2289" t="str">
        <f t="shared" si="3"/>
        <v/>
      </c>
      <c r="X2289" s="4" t="str">
        <f>IF(V2289="","",INDEX(Fornecedores!$X$1:$X$6631,V2289))</f>
        <v/>
      </c>
      <c r="Y2289" s="4" t="str">
        <f t="shared" si="4"/>
        <v/>
      </c>
    </row>
    <row r="2290" spans="19:25">
      <c r="S2290" t="str">
        <f t="shared" si="0"/>
        <v/>
      </c>
      <c r="T2290" t="str">
        <f t="shared" si="1"/>
        <v/>
      </c>
      <c r="U2290" t="str">
        <f t="shared" si="2"/>
        <v/>
      </c>
      <c r="V2290" t="str">
        <f>IF(OR(U2290="",U2290="ERRO_CHAVE"),"",IFERROR(MATCH(U2290,Fornecedores!$AF$1:$AF$6631,0),""))</f>
        <v/>
      </c>
      <c r="W2290" t="str">
        <f t="shared" si="3"/>
        <v/>
      </c>
      <c r="X2290" s="4" t="str">
        <f>IF(V2290="","",INDEX(Fornecedores!$X$1:$X$6631,V2290))</f>
        <v/>
      </c>
      <c r="Y2290" s="4" t="str">
        <f t="shared" si="4"/>
        <v/>
      </c>
    </row>
    <row r="2291" spans="19:25">
      <c r="S2291" t="str">
        <f t="shared" si="0"/>
        <v/>
      </c>
      <c r="T2291" t="str">
        <f t="shared" si="1"/>
        <v/>
      </c>
      <c r="U2291" t="str">
        <f t="shared" si="2"/>
        <v/>
      </c>
      <c r="V2291" t="str">
        <f>IF(OR(U2291="",U2291="ERRO_CHAVE"),"",IFERROR(MATCH(U2291,Fornecedores!$AF$1:$AF$6631,0),""))</f>
        <v/>
      </c>
      <c r="W2291" t="str">
        <f t="shared" si="3"/>
        <v/>
      </c>
      <c r="X2291" s="4" t="str">
        <f>IF(V2291="","",INDEX(Fornecedores!$X$1:$X$6631,V2291))</f>
        <v/>
      </c>
      <c r="Y2291" s="4" t="str">
        <f t="shared" si="4"/>
        <v/>
      </c>
    </row>
    <row r="2292" spans="19:25">
      <c r="S2292" t="str">
        <f t="shared" si="0"/>
        <v/>
      </c>
      <c r="T2292" t="str">
        <f t="shared" si="1"/>
        <v/>
      </c>
      <c r="U2292" t="str">
        <f t="shared" si="2"/>
        <v/>
      </c>
      <c r="V2292" t="str">
        <f>IF(OR(U2292="",U2292="ERRO_CHAVE"),"",IFERROR(MATCH(U2292,Fornecedores!$AF$1:$AF$6631,0),""))</f>
        <v/>
      </c>
      <c r="W2292" t="str">
        <f t="shared" si="3"/>
        <v/>
      </c>
      <c r="X2292" s="4" t="str">
        <f>IF(V2292="","",INDEX(Fornecedores!$X$1:$X$6631,V2292))</f>
        <v/>
      </c>
      <c r="Y2292" s="4" t="str">
        <f t="shared" si="4"/>
        <v/>
      </c>
    </row>
    <row r="2293" spans="19:25">
      <c r="S2293" t="str">
        <f t="shared" si="0"/>
        <v/>
      </c>
      <c r="T2293" t="str">
        <f t="shared" si="1"/>
        <v/>
      </c>
      <c r="U2293" t="str">
        <f t="shared" si="2"/>
        <v/>
      </c>
      <c r="V2293" t="str">
        <f>IF(OR(U2293="",U2293="ERRO_CHAVE"),"",IFERROR(MATCH(U2293,Fornecedores!$AF$1:$AF$6631,0),""))</f>
        <v/>
      </c>
      <c r="W2293" t="str">
        <f t="shared" si="3"/>
        <v/>
      </c>
      <c r="X2293" s="4" t="str">
        <f>IF(V2293="","",INDEX(Fornecedores!$X$1:$X$6631,V2293))</f>
        <v/>
      </c>
      <c r="Y2293" s="4" t="str">
        <f t="shared" si="4"/>
        <v/>
      </c>
    </row>
    <row r="2294" spans="19:25">
      <c r="S2294" t="str">
        <f t="shared" si="0"/>
        <v/>
      </c>
      <c r="T2294" t="str">
        <f t="shared" si="1"/>
        <v/>
      </c>
      <c r="U2294" t="str">
        <f t="shared" si="2"/>
        <v/>
      </c>
      <c r="V2294" t="str">
        <f>IF(OR(U2294="",U2294="ERRO_CHAVE"),"",IFERROR(MATCH(U2294,Fornecedores!$AF$1:$AF$6631,0),""))</f>
        <v/>
      </c>
      <c r="W2294" t="str">
        <f t="shared" si="3"/>
        <v/>
      </c>
      <c r="X2294" s="4" t="str">
        <f>IF(V2294="","",INDEX(Fornecedores!$X$1:$X$6631,V2294))</f>
        <v/>
      </c>
      <c r="Y2294" s="4" t="str">
        <f t="shared" si="4"/>
        <v/>
      </c>
    </row>
    <row r="2295" spans="19:25">
      <c r="S2295" t="str">
        <f t="shared" si="0"/>
        <v/>
      </c>
      <c r="T2295" t="str">
        <f t="shared" si="1"/>
        <v/>
      </c>
      <c r="U2295" t="str">
        <f t="shared" si="2"/>
        <v/>
      </c>
      <c r="V2295" t="str">
        <f>IF(OR(U2295="",U2295="ERRO_CHAVE"),"",IFERROR(MATCH(U2295,Fornecedores!$AF$1:$AF$6631,0),""))</f>
        <v/>
      </c>
      <c r="W2295" t="str">
        <f t="shared" si="3"/>
        <v/>
      </c>
      <c r="X2295" s="4" t="str">
        <f>IF(V2295="","",INDEX(Fornecedores!$X$1:$X$6631,V2295))</f>
        <v/>
      </c>
      <c r="Y2295" s="4" t="str">
        <f t="shared" si="4"/>
        <v/>
      </c>
    </row>
    <row r="2296" spans="19:25">
      <c r="S2296" t="str">
        <f t="shared" si="0"/>
        <v/>
      </c>
      <c r="T2296" t="str">
        <f t="shared" si="1"/>
        <v/>
      </c>
      <c r="U2296" t="str">
        <f t="shared" si="2"/>
        <v/>
      </c>
      <c r="V2296" t="str">
        <f>IF(OR(U2296="",U2296="ERRO_CHAVE"),"",IFERROR(MATCH(U2296,Fornecedores!$AF$1:$AF$6631,0),""))</f>
        <v/>
      </c>
      <c r="W2296" t="str">
        <f t="shared" si="3"/>
        <v/>
      </c>
      <c r="X2296" s="4" t="str">
        <f>IF(V2296="","",INDEX(Fornecedores!$X$1:$X$6631,V2296))</f>
        <v/>
      </c>
      <c r="Y2296" s="4" t="str">
        <f t="shared" si="4"/>
        <v/>
      </c>
    </row>
    <row r="2297" spans="19:25">
      <c r="S2297" t="str">
        <f t="shared" si="0"/>
        <v/>
      </c>
      <c r="T2297" t="str">
        <f t="shared" si="1"/>
        <v/>
      </c>
      <c r="U2297" t="str">
        <f t="shared" si="2"/>
        <v/>
      </c>
      <c r="V2297" t="str">
        <f>IF(OR(U2297="",U2297="ERRO_CHAVE"),"",IFERROR(MATCH(U2297,Fornecedores!$AF$1:$AF$6631,0),""))</f>
        <v/>
      </c>
      <c r="W2297" t="str">
        <f t="shared" si="3"/>
        <v/>
      </c>
      <c r="X2297" s="4" t="str">
        <f>IF(V2297="","",INDEX(Fornecedores!$X$1:$X$6631,V2297))</f>
        <v/>
      </c>
      <c r="Y2297" s="4" t="str">
        <f t="shared" si="4"/>
        <v/>
      </c>
    </row>
    <row r="2298" spans="19:25">
      <c r="S2298" t="str">
        <f t="shared" si="0"/>
        <v/>
      </c>
      <c r="T2298" t="str">
        <f t="shared" si="1"/>
        <v/>
      </c>
      <c r="U2298" t="str">
        <f t="shared" si="2"/>
        <v/>
      </c>
      <c r="V2298" t="str">
        <f>IF(OR(U2298="",U2298="ERRO_CHAVE"),"",IFERROR(MATCH(U2298,Fornecedores!$AF$1:$AF$6631,0),""))</f>
        <v/>
      </c>
      <c r="W2298" t="str">
        <f t="shared" si="3"/>
        <v/>
      </c>
      <c r="X2298" s="4" t="str">
        <f>IF(V2298="","",INDEX(Fornecedores!$X$1:$X$6631,V2298))</f>
        <v/>
      </c>
      <c r="Y2298" s="4" t="str">
        <f t="shared" si="4"/>
        <v/>
      </c>
    </row>
    <row r="2299" spans="19:25">
      <c r="S2299" t="str">
        <f t="shared" si="0"/>
        <v/>
      </c>
      <c r="T2299" t="str">
        <f t="shared" si="1"/>
        <v/>
      </c>
      <c r="U2299" t="str">
        <f t="shared" si="2"/>
        <v/>
      </c>
      <c r="V2299" t="str">
        <f>IF(OR(U2299="",U2299="ERRO_CHAVE"),"",IFERROR(MATCH(U2299,Fornecedores!$AF$1:$AF$6631,0),""))</f>
        <v/>
      </c>
      <c r="W2299" t="str">
        <f t="shared" si="3"/>
        <v/>
      </c>
      <c r="X2299" s="4" t="str">
        <f>IF(V2299="","",INDEX(Fornecedores!$X$1:$X$6631,V2299))</f>
        <v/>
      </c>
      <c r="Y2299" s="4" t="str">
        <f t="shared" si="4"/>
        <v/>
      </c>
    </row>
    <row r="2300" spans="19:25">
      <c r="S2300" t="str">
        <f t="shared" si="0"/>
        <v/>
      </c>
      <c r="T2300" t="str">
        <f t="shared" si="1"/>
        <v/>
      </c>
      <c r="U2300" t="str">
        <f t="shared" si="2"/>
        <v/>
      </c>
      <c r="V2300" t="str">
        <f>IF(OR(U2300="",U2300="ERRO_CHAVE"),"",IFERROR(MATCH(U2300,Fornecedores!$AF$1:$AF$6631,0),""))</f>
        <v/>
      </c>
      <c r="W2300" t="str">
        <f t="shared" si="3"/>
        <v/>
      </c>
      <c r="X2300" s="4" t="str">
        <f>IF(V2300="","",INDEX(Fornecedores!$X$1:$X$6631,V2300))</f>
        <v/>
      </c>
      <c r="Y2300" s="4" t="str">
        <f t="shared" si="4"/>
        <v/>
      </c>
    </row>
    <row r="2301" spans="19:25">
      <c r="S2301" t="str">
        <f t="shared" si="0"/>
        <v/>
      </c>
      <c r="T2301" t="str">
        <f t="shared" si="1"/>
        <v/>
      </c>
      <c r="U2301" t="str">
        <f t="shared" si="2"/>
        <v/>
      </c>
      <c r="V2301" t="str">
        <f>IF(OR(U2301="",U2301="ERRO_CHAVE"),"",IFERROR(MATCH(U2301,Fornecedores!$AF$1:$AF$6631,0),""))</f>
        <v/>
      </c>
      <c r="W2301" t="str">
        <f t="shared" si="3"/>
        <v/>
      </c>
      <c r="X2301" s="4" t="str">
        <f>IF(V2301="","",INDEX(Fornecedores!$X$1:$X$6631,V2301))</f>
        <v/>
      </c>
      <c r="Y2301" s="4" t="str">
        <f t="shared" si="4"/>
        <v/>
      </c>
    </row>
    <row r="2302" spans="19:25">
      <c r="S2302" t="str">
        <f t="shared" si="0"/>
        <v/>
      </c>
      <c r="T2302" t="str">
        <f t="shared" si="1"/>
        <v/>
      </c>
      <c r="U2302" t="str">
        <f t="shared" si="2"/>
        <v/>
      </c>
      <c r="V2302" t="str">
        <f>IF(OR(U2302="",U2302="ERRO_CHAVE"),"",IFERROR(MATCH(U2302,Fornecedores!$AF$1:$AF$6631,0),""))</f>
        <v/>
      </c>
      <c r="W2302" t="str">
        <f t="shared" si="3"/>
        <v/>
      </c>
      <c r="X2302" s="4" t="str">
        <f>IF(V2302="","",INDEX(Fornecedores!$X$1:$X$6631,V2302))</f>
        <v/>
      </c>
      <c r="Y2302" s="4" t="str">
        <f t="shared" si="4"/>
        <v/>
      </c>
    </row>
    <row r="2303" spans="19:25">
      <c r="S2303" t="str">
        <f t="shared" si="0"/>
        <v/>
      </c>
      <c r="T2303" t="str">
        <f t="shared" si="1"/>
        <v/>
      </c>
      <c r="U2303" t="str">
        <f t="shared" si="2"/>
        <v/>
      </c>
      <c r="V2303" t="str">
        <f>IF(OR(U2303="",U2303="ERRO_CHAVE"),"",IFERROR(MATCH(U2303,Fornecedores!$AF$1:$AF$6631,0),""))</f>
        <v/>
      </c>
      <c r="W2303" t="str">
        <f t="shared" si="3"/>
        <v/>
      </c>
      <c r="X2303" s="4" t="str">
        <f>IF(V2303="","",INDEX(Fornecedores!$X$1:$X$6631,V2303))</f>
        <v/>
      </c>
      <c r="Y2303" s="4" t="str">
        <f t="shared" si="4"/>
        <v/>
      </c>
    </row>
    <row r="2304" spans="19:25">
      <c r="S2304" t="str">
        <f t="shared" si="0"/>
        <v/>
      </c>
      <c r="T2304" t="str">
        <f t="shared" si="1"/>
        <v/>
      </c>
      <c r="U2304" t="str">
        <f t="shared" si="2"/>
        <v/>
      </c>
      <c r="V2304" t="str">
        <f>IF(OR(U2304="",U2304="ERRO_CHAVE"),"",IFERROR(MATCH(U2304,Fornecedores!$AF$1:$AF$6631,0),""))</f>
        <v/>
      </c>
      <c r="W2304" t="str">
        <f t="shared" si="3"/>
        <v/>
      </c>
      <c r="X2304" s="4" t="str">
        <f>IF(V2304="","",INDEX(Fornecedores!$X$1:$X$6631,V2304))</f>
        <v/>
      </c>
      <c r="Y2304" s="4" t="str">
        <f t="shared" si="4"/>
        <v/>
      </c>
    </row>
    <row r="2305" spans="19:25">
      <c r="S2305" t="str">
        <f t="shared" si="0"/>
        <v/>
      </c>
      <c r="T2305" t="str">
        <f t="shared" si="1"/>
        <v/>
      </c>
      <c r="U2305" t="str">
        <f t="shared" si="2"/>
        <v/>
      </c>
      <c r="V2305" t="str">
        <f>IF(OR(U2305="",U2305="ERRO_CHAVE"),"",IFERROR(MATCH(U2305,Fornecedores!$AF$1:$AF$6631,0),""))</f>
        <v/>
      </c>
      <c r="W2305" t="str">
        <f t="shared" si="3"/>
        <v/>
      </c>
      <c r="X2305" s="4" t="str">
        <f>IF(V2305="","",INDEX(Fornecedores!$X$1:$X$6631,V2305))</f>
        <v/>
      </c>
      <c r="Y2305" s="4" t="str">
        <f t="shared" si="4"/>
        <v/>
      </c>
    </row>
    <row r="2306" spans="19:25">
      <c r="S2306" t="str">
        <f t="shared" si="0"/>
        <v/>
      </c>
      <c r="T2306" t="str">
        <f t="shared" si="1"/>
        <v/>
      </c>
      <c r="U2306" t="str">
        <f t="shared" si="2"/>
        <v/>
      </c>
      <c r="V2306" t="str">
        <f>IF(OR(U2306="",U2306="ERRO_CHAVE"),"",IFERROR(MATCH(U2306,Fornecedores!$AF$1:$AF$6631,0),""))</f>
        <v/>
      </c>
      <c r="W2306" t="str">
        <f t="shared" si="3"/>
        <v/>
      </c>
      <c r="X2306" s="4" t="str">
        <f>IF(V2306="","",INDEX(Fornecedores!$X$1:$X$6631,V2306))</f>
        <v/>
      </c>
      <c r="Y2306" s="4" t="str">
        <f t="shared" si="4"/>
        <v/>
      </c>
    </row>
    <row r="2307" spans="19:25">
      <c r="S2307" t="str">
        <f t="shared" si="0"/>
        <v/>
      </c>
      <c r="T2307" t="str">
        <f t="shared" si="1"/>
        <v/>
      </c>
      <c r="U2307" t="str">
        <f t="shared" si="2"/>
        <v/>
      </c>
      <c r="V2307" t="str">
        <f>IF(OR(U2307="",U2307="ERRO_CHAVE"),"",IFERROR(MATCH(U2307,Fornecedores!$AF$1:$AF$6631,0),""))</f>
        <v/>
      </c>
      <c r="W2307" t="str">
        <f t="shared" si="3"/>
        <v/>
      </c>
      <c r="X2307" s="4" t="str">
        <f>IF(V2307="","",INDEX(Fornecedores!$X$1:$X$6631,V2307))</f>
        <v/>
      </c>
      <c r="Y2307" s="4" t="str">
        <f t="shared" si="4"/>
        <v/>
      </c>
    </row>
    <row r="2308" spans="19:25">
      <c r="S2308" t="str">
        <f t="shared" si="0"/>
        <v/>
      </c>
      <c r="T2308" t="str">
        <f t="shared" si="1"/>
        <v/>
      </c>
      <c r="U2308" t="str">
        <f t="shared" si="2"/>
        <v/>
      </c>
      <c r="V2308" t="str">
        <f>IF(OR(U2308="",U2308="ERRO_CHAVE"),"",IFERROR(MATCH(U2308,Fornecedores!$AF$1:$AF$6631,0),""))</f>
        <v/>
      </c>
      <c r="W2308" t="str">
        <f t="shared" si="3"/>
        <v/>
      </c>
      <c r="X2308" s="4" t="str">
        <f>IF(V2308="","",INDEX(Fornecedores!$X$1:$X$6631,V2308))</f>
        <v/>
      </c>
      <c r="Y2308" s="4" t="str">
        <f t="shared" si="4"/>
        <v/>
      </c>
    </row>
    <row r="2309" spans="19:25">
      <c r="S2309" t="str">
        <f t="shared" si="0"/>
        <v/>
      </c>
      <c r="T2309" t="str">
        <f t="shared" si="1"/>
        <v/>
      </c>
      <c r="U2309" t="str">
        <f t="shared" si="2"/>
        <v/>
      </c>
      <c r="V2309" t="str">
        <f>IF(OR(U2309="",U2309="ERRO_CHAVE"),"",IFERROR(MATCH(U2309,Fornecedores!$AF$1:$AF$6631,0),""))</f>
        <v/>
      </c>
      <c r="W2309" t="str">
        <f t="shared" si="3"/>
        <v/>
      </c>
      <c r="X2309" s="4" t="str">
        <f>IF(V2309="","",INDEX(Fornecedores!$X$1:$X$6631,V2309))</f>
        <v/>
      </c>
      <c r="Y2309" s="4" t="str">
        <f t="shared" si="4"/>
        <v/>
      </c>
    </row>
    <row r="2310" spans="19:25">
      <c r="S2310" t="str">
        <f t="shared" si="0"/>
        <v/>
      </c>
      <c r="T2310" t="str">
        <f t="shared" si="1"/>
        <v/>
      </c>
      <c r="U2310" t="str">
        <f t="shared" si="2"/>
        <v/>
      </c>
      <c r="V2310" t="str">
        <f>IF(OR(U2310="",U2310="ERRO_CHAVE"),"",IFERROR(MATCH(U2310,Fornecedores!$AF$1:$AF$6631,0),""))</f>
        <v/>
      </c>
      <c r="W2310" t="str">
        <f t="shared" si="3"/>
        <v/>
      </c>
      <c r="X2310" s="4" t="str">
        <f>IF(V2310="","",INDEX(Fornecedores!$X$1:$X$6631,V2310))</f>
        <v/>
      </c>
      <c r="Y2310" s="4" t="str">
        <f t="shared" si="4"/>
        <v/>
      </c>
    </row>
    <row r="2311" spans="19:25">
      <c r="S2311" t="str">
        <f t="shared" si="0"/>
        <v/>
      </c>
      <c r="T2311" t="str">
        <f t="shared" si="1"/>
        <v/>
      </c>
      <c r="U2311" t="str">
        <f t="shared" si="2"/>
        <v/>
      </c>
      <c r="V2311" t="str">
        <f>IF(OR(U2311="",U2311="ERRO_CHAVE"),"",IFERROR(MATCH(U2311,Fornecedores!$AF$1:$AF$6631,0),""))</f>
        <v/>
      </c>
      <c r="W2311" t="str">
        <f t="shared" si="3"/>
        <v/>
      </c>
      <c r="X2311" s="4" t="str">
        <f>IF(V2311="","",INDEX(Fornecedores!$X$1:$X$6631,V2311))</f>
        <v/>
      </c>
      <c r="Y2311" s="4" t="str">
        <f t="shared" si="4"/>
        <v/>
      </c>
    </row>
    <row r="2312" spans="19:25">
      <c r="S2312" t="str">
        <f t="shared" si="0"/>
        <v/>
      </c>
      <c r="T2312" t="str">
        <f t="shared" si="1"/>
        <v/>
      </c>
      <c r="U2312" t="str">
        <f t="shared" si="2"/>
        <v/>
      </c>
      <c r="V2312" t="str">
        <f>IF(OR(U2312="",U2312="ERRO_CHAVE"),"",IFERROR(MATCH(U2312,Fornecedores!$AF$1:$AF$6631,0),""))</f>
        <v/>
      </c>
      <c r="W2312" t="str">
        <f t="shared" si="3"/>
        <v/>
      </c>
      <c r="X2312" s="4" t="str">
        <f>IF(V2312="","",INDEX(Fornecedores!$X$1:$X$6631,V2312))</f>
        <v/>
      </c>
      <c r="Y2312" s="4" t="str">
        <f t="shared" si="4"/>
        <v/>
      </c>
    </row>
    <row r="2313" spans="19:25">
      <c r="S2313" t="str">
        <f t="shared" si="0"/>
        <v/>
      </c>
      <c r="T2313" t="str">
        <f t="shared" si="1"/>
        <v/>
      </c>
      <c r="U2313" t="str">
        <f t="shared" si="2"/>
        <v/>
      </c>
      <c r="V2313" t="str">
        <f>IF(OR(U2313="",U2313="ERRO_CHAVE"),"",IFERROR(MATCH(U2313,Fornecedores!$AF$1:$AF$6631,0),""))</f>
        <v/>
      </c>
      <c r="W2313" t="str">
        <f t="shared" si="3"/>
        <v/>
      </c>
      <c r="X2313" s="4" t="str">
        <f>IF(V2313="","",INDEX(Fornecedores!$X$1:$X$6631,V2313))</f>
        <v/>
      </c>
      <c r="Y2313" s="4" t="str">
        <f t="shared" si="4"/>
        <v/>
      </c>
    </row>
    <row r="2314" spans="19:25">
      <c r="S2314" t="str">
        <f t="shared" si="0"/>
        <v/>
      </c>
      <c r="T2314" t="str">
        <f t="shared" si="1"/>
        <v/>
      </c>
      <c r="U2314" t="str">
        <f t="shared" si="2"/>
        <v/>
      </c>
      <c r="V2314" t="str">
        <f>IF(OR(U2314="",U2314="ERRO_CHAVE"),"",IFERROR(MATCH(U2314,Fornecedores!$AF$1:$AF$6631,0),""))</f>
        <v/>
      </c>
      <c r="W2314" t="str">
        <f t="shared" si="3"/>
        <v/>
      </c>
      <c r="X2314" s="4" t="str">
        <f>IF(V2314="","",INDEX(Fornecedores!$X$1:$X$6631,V2314))</f>
        <v/>
      </c>
      <c r="Y2314" s="4" t="str">
        <f t="shared" si="4"/>
        <v/>
      </c>
    </row>
    <row r="2315" spans="19:25">
      <c r="S2315" t="str">
        <f t="shared" si="0"/>
        <v/>
      </c>
      <c r="T2315" t="str">
        <f t="shared" si="1"/>
        <v/>
      </c>
      <c r="U2315" t="str">
        <f t="shared" si="2"/>
        <v/>
      </c>
      <c r="V2315" t="str">
        <f>IF(OR(U2315="",U2315="ERRO_CHAVE"),"",IFERROR(MATCH(U2315,Fornecedores!$AF$1:$AF$6631,0),""))</f>
        <v/>
      </c>
      <c r="W2315" t="str">
        <f t="shared" si="3"/>
        <v/>
      </c>
      <c r="X2315" s="4" t="str">
        <f>IF(V2315="","",INDEX(Fornecedores!$X$1:$X$6631,V2315))</f>
        <v/>
      </c>
      <c r="Y2315" s="4" t="str">
        <f t="shared" si="4"/>
        <v/>
      </c>
    </row>
    <row r="2316" spans="19:25">
      <c r="S2316" t="str">
        <f t="shared" si="0"/>
        <v/>
      </c>
      <c r="T2316" t="str">
        <f t="shared" si="1"/>
        <v/>
      </c>
      <c r="U2316" t="str">
        <f t="shared" si="2"/>
        <v/>
      </c>
      <c r="V2316" t="str">
        <f>IF(OR(U2316="",U2316="ERRO_CHAVE"),"",IFERROR(MATCH(U2316,Fornecedores!$AF$1:$AF$6631,0),""))</f>
        <v/>
      </c>
      <c r="W2316" t="str">
        <f t="shared" si="3"/>
        <v/>
      </c>
      <c r="X2316" s="4" t="str">
        <f>IF(V2316="","",INDEX(Fornecedores!$X$1:$X$6631,V2316))</f>
        <v/>
      </c>
      <c r="Y2316" s="4" t="str">
        <f t="shared" si="4"/>
        <v/>
      </c>
    </row>
    <row r="2317" spans="19:25">
      <c r="S2317" t="str">
        <f t="shared" si="0"/>
        <v/>
      </c>
      <c r="T2317" t="str">
        <f t="shared" si="1"/>
        <v/>
      </c>
      <c r="U2317" t="str">
        <f t="shared" si="2"/>
        <v/>
      </c>
      <c r="V2317" t="str">
        <f>IF(OR(U2317="",U2317="ERRO_CHAVE"),"",IFERROR(MATCH(U2317,Fornecedores!$AF$1:$AF$6631,0),""))</f>
        <v/>
      </c>
      <c r="W2317" t="str">
        <f t="shared" si="3"/>
        <v/>
      </c>
      <c r="X2317" s="4" t="str">
        <f>IF(V2317="","",INDEX(Fornecedores!$X$1:$X$6631,V2317))</f>
        <v/>
      </c>
      <c r="Y2317" s="4" t="str">
        <f t="shared" si="4"/>
        <v/>
      </c>
    </row>
    <row r="2318" spans="19:25">
      <c r="S2318" t="str">
        <f t="shared" si="0"/>
        <v/>
      </c>
      <c r="T2318" t="str">
        <f t="shared" si="1"/>
        <v/>
      </c>
      <c r="U2318" t="str">
        <f t="shared" si="2"/>
        <v/>
      </c>
      <c r="V2318" t="str">
        <f>IF(OR(U2318="",U2318="ERRO_CHAVE"),"",IFERROR(MATCH(U2318,Fornecedores!$AF$1:$AF$6631,0),""))</f>
        <v/>
      </c>
      <c r="W2318" t="str">
        <f t="shared" si="3"/>
        <v/>
      </c>
      <c r="X2318" s="4" t="str">
        <f>IF(V2318="","",INDEX(Fornecedores!$X$1:$X$6631,V2318))</f>
        <v/>
      </c>
      <c r="Y2318" s="4" t="str">
        <f t="shared" si="4"/>
        <v/>
      </c>
    </row>
    <row r="2319" spans="19:25">
      <c r="S2319" t="str">
        <f t="shared" si="0"/>
        <v/>
      </c>
      <c r="T2319" t="str">
        <f t="shared" si="1"/>
        <v/>
      </c>
      <c r="U2319" t="str">
        <f t="shared" si="2"/>
        <v/>
      </c>
      <c r="V2319" t="str">
        <f>IF(OR(U2319="",U2319="ERRO_CHAVE"),"",IFERROR(MATCH(U2319,Fornecedores!$AF$1:$AF$6631,0),""))</f>
        <v/>
      </c>
      <c r="W2319" t="str">
        <f t="shared" si="3"/>
        <v/>
      </c>
      <c r="X2319" s="4" t="str">
        <f>IF(V2319="","",INDEX(Fornecedores!$X$1:$X$6631,V2319))</f>
        <v/>
      </c>
      <c r="Y2319" s="4" t="str">
        <f t="shared" si="4"/>
        <v/>
      </c>
    </row>
    <row r="2320" spans="19:25">
      <c r="S2320" t="str">
        <f t="shared" si="0"/>
        <v/>
      </c>
      <c r="T2320" t="str">
        <f t="shared" si="1"/>
        <v/>
      </c>
      <c r="U2320" t="str">
        <f t="shared" si="2"/>
        <v/>
      </c>
      <c r="V2320" t="str">
        <f>IF(OR(U2320="",U2320="ERRO_CHAVE"),"",IFERROR(MATCH(U2320,Fornecedores!$AF$1:$AF$6631,0),""))</f>
        <v/>
      </c>
      <c r="W2320" t="str">
        <f t="shared" si="3"/>
        <v/>
      </c>
      <c r="X2320" s="4" t="str">
        <f>IF(V2320="","",INDEX(Fornecedores!$X$1:$X$6631,V2320))</f>
        <v/>
      </c>
      <c r="Y2320" s="4" t="str">
        <f t="shared" si="4"/>
        <v/>
      </c>
    </row>
    <row r="2321" spans="19:25">
      <c r="S2321" t="str">
        <f t="shared" si="0"/>
        <v/>
      </c>
      <c r="T2321" t="str">
        <f t="shared" si="1"/>
        <v/>
      </c>
      <c r="U2321" t="str">
        <f t="shared" si="2"/>
        <v/>
      </c>
      <c r="V2321" t="str">
        <f>IF(OR(U2321="",U2321="ERRO_CHAVE"),"",IFERROR(MATCH(U2321,Fornecedores!$AF$1:$AF$6631,0),""))</f>
        <v/>
      </c>
      <c r="W2321" t="str">
        <f t="shared" si="3"/>
        <v/>
      </c>
      <c r="X2321" s="4" t="str">
        <f>IF(V2321="","",INDEX(Fornecedores!$X$1:$X$6631,V2321))</f>
        <v/>
      </c>
      <c r="Y2321" s="4" t="str">
        <f t="shared" si="4"/>
        <v/>
      </c>
    </row>
    <row r="2322" spans="19:25">
      <c r="S2322" t="str">
        <f t="shared" si="0"/>
        <v/>
      </c>
      <c r="T2322" t="str">
        <f t="shared" si="1"/>
        <v/>
      </c>
      <c r="U2322" t="str">
        <f t="shared" si="2"/>
        <v/>
      </c>
      <c r="V2322" t="str">
        <f>IF(OR(U2322="",U2322="ERRO_CHAVE"),"",IFERROR(MATCH(U2322,Fornecedores!$AF$1:$AF$6631,0),""))</f>
        <v/>
      </c>
      <c r="W2322" t="str">
        <f t="shared" si="3"/>
        <v/>
      </c>
      <c r="X2322" s="4" t="str">
        <f>IF(V2322="","",INDEX(Fornecedores!$X$1:$X$6631,V2322))</f>
        <v/>
      </c>
      <c r="Y2322" s="4" t="str">
        <f t="shared" si="4"/>
        <v/>
      </c>
    </row>
    <row r="2323" spans="19:25">
      <c r="S2323" t="str">
        <f t="shared" si="0"/>
        <v/>
      </c>
      <c r="T2323" t="str">
        <f t="shared" si="1"/>
        <v/>
      </c>
      <c r="U2323" t="str">
        <f t="shared" si="2"/>
        <v/>
      </c>
      <c r="V2323" t="str">
        <f>IF(OR(U2323="",U2323="ERRO_CHAVE"),"",IFERROR(MATCH(U2323,Fornecedores!$AF$1:$AF$6631,0),""))</f>
        <v/>
      </c>
      <c r="W2323" t="str">
        <f t="shared" si="3"/>
        <v/>
      </c>
      <c r="X2323" s="4" t="str">
        <f>IF(V2323="","",INDEX(Fornecedores!$X$1:$X$6631,V2323))</f>
        <v/>
      </c>
      <c r="Y2323" s="4" t="str">
        <f t="shared" si="4"/>
        <v/>
      </c>
    </row>
    <row r="2324" spans="19:25">
      <c r="S2324" t="str">
        <f t="shared" si="0"/>
        <v/>
      </c>
      <c r="T2324" t="str">
        <f t="shared" si="1"/>
        <v/>
      </c>
      <c r="U2324" t="str">
        <f t="shared" si="2"/>
        <v/>
      </c>
      <c r="V2324" t="str">
        <f>IF(OR(U2324="",U2324="ERRO_CHAVE"),"",IFERROR(MATCH(U2324,Fornecedores!$AF$1:$AF$6631,0),""))</f>
        <v/>
      </c>
      <c r="W2324" t="str">
        <f t="shared" si="3"/>
        <v/>
      </c>
      <c r="X2324" s="4" t="str">
        <f>IF(V2324="","",INDEX(Fornecedores!$X$1:$X$6631,V2324))</f>
        <v/>
      </c>
      <c r="Y2324" s="4" t="str">
        <f t="shared" si="4"/>
        <v/>
      </c>
    </row>
    <row r="2325" spans="19:25">
      <c r="S2325" t="str">
        <f t="shared" si="0"/>
        <v/>
      </c>
      <c r="T2325" t="str">
        <f t="shared" si="1"/>
        <v/>
      </c>
      <c r="U2325" t="str">
        <f t="shared" si="2"/>
        <v/>
      </c>
      <c r="V2325" t="str">
        <f>IF(OR(U2325="",U2325="ERRO_CHAVE"),"",IFERROR(MATCH(U2325,Fornecedores!$AF$1:$AF$6631,0),""))</f>
        <v/>
      </c>
      <c r="W2325" t="str">
        <f t="shared" si="3"/>
        <v/>
      </c>
      <c r="X2325" s="4" t="str">
        <f>IF(V2325="","",INDEX(Fornecedores!$X$1:$X$6631,V2325))</f>
        <v/>
      </c>
      <c r="Y2325" s="4" t="str">
        <f t="shared" si="4"/>
        <v/>
      </c>
    </row>
    <row r="2326" spans="19:25">
      <c r="S2326" t="str">
        <f t="shared" si="0"/>
        <v/>
      </c>
      <c r="T2326" t="str">
        <f t="shared" si="1"/>
        <v/>
      </c>
      <c r="U2326" t="str">
        <f t="shared" si="2"/>
        <v/>
      </c>
      <c r="V2326" t="str">
        <f>IF(OR(U2326="",U2326="ERRO_CHAVE"),"",IFERROR(MATCH(U2326,Fornecedores!$AF$1:$AF$6631,0),""))</f>
        <v/>
      </c>
      <c r="W2326" t="str">
        <f t="shared" si="3"/>
        <v/>
      </c>
      <c r="X2326" s="4" t="str">
        <f>IF(V2326="","",INDEX(Fornecedores!$X$1:$X$6631,V2326))</f>
        <v/>
      </c>
      <c r="Y2326" s="4" t="str">
        <f t="shared" si="4"/>
        <v/>
      </c>
    </row>
    <row r="2327" spans="19:25">
      <c r="S2327" t="str">
        <f t="shared" si="0"/>
        <v/>
      </c>
      <c r="T2327" t="str">
        <f t="shared" si="1"/>
        <v/>
      </c>
      <c r="U2327" t="str">
        <f t="shared" si="2"/>
        <v/>
      </c>
      <c r="V2327" t="str">
        <f>IF(OR(U2327="",U2327="ERRO_CHAVE"),"",IFERROR(MATCH(U2327,Fornecedores!$AF$1:$AF$6631,0),""))</f>
        <v/>
      </c>
      <c r="W2327" t="str">
        <f t="shared" si="3"/>
        <v/>
      </c>
      <c r="X2327" s="4" t="str">
        <f>IF(V2327="","",INDEX(Fornecedores!$X$1:$X$6631,V2327))</f>
        <v/>
      </c>
      <c r="Y2327" s="4" t="str">
        <f t="shared" si="4"/>
        <v/>
      </c>
    </row>
    <row r="2328" spans="19:25">
      <c r="S2328" t="str">
        <f t="shared" si="0"/>
        <v/>
      </c>
      <c r="T2328" t="str">
        <f t="shared" si="1"/>
        <v/>
      </c>
      <c r="U2328" t="str">
        <f t="shared" si="2"/>
        <v/>
      </c>
      <c r="V2328" t="str">
        <f>IF(OR(U2328="",U2328="ERRO_CHAVE"),"",IFERROR(MATCH(U2328,Fornecedores!$AF$1:$AF$6631,0),""))</f>
        <v/>
      </c>
      <c r="W2328" t="str">
        <f t="shared" si="3"/>
        <v/>
      </c>
      <c r="X2328" s="4" t="str">
        <f>IF(V2328="","",INDEX(Fornecedores!$X$1:$X$6631,V2328))</f>
        <v/>
      </c>
      <c r="Y2328" s="4" t="str">
        <f t="shared" si="4"/>
        <v/>
      </c>
    </row>
    <row r="2329" spans="19:25">
      <c r="S2329" t="str">
        <f t="shared" si="0"/>
        <v/>
      </c>
      <c r="T2329" t="str">
        <f t="shared" si="1"/>
        <v/>
      </c>
      <c r="U2329" t="str">
        <f t="shared" si="2"/>
        <v/>
      </c>
      <c r="V2329" t="str">
        <f>IF(OR(U2329="",U2329="ERRO_CHAVE"),"",IFERROR(MATCH(U2329,Fornecedores!$AF$1:$AF$6631,0),""))</f>
        <v/>
      </c>
      <c r="W2329" t="str">
        <f t="shared" si="3"/>
        <v/>
      </c>
      <c r="X2329" s="4" t="str">
        <f>IF(V2329="","",INDEX(Fornecedores!$X$1:$X$6631,V2329))</f>
        <v/>
      </c>
      <c r="Y2329" s="4" t="str">
        <f t="shared" si="4"/>
        <v/>
      </c>
    </row>
    <row r="2330" spans="19:25">
      <c r="S2330" t="str">
        <f t="shared" si="0"/>
        <v/>
      </c>
      <c r="T2330" t="str">
        <f t="shared" si="1"/>
        <v/>
      </c>
      <c r="U2330" t="str">
        <f t="shared" si="2"/>
        <v/>
      </c>
      <c r="V2330" t="str">
        <f>IF(OR(U2330="",U2330="ERRO_CHAVE"),"",IFERROR(MATCH(U2330,Fornecedores!$AF$1:$AF$6631,0),""))</f>
        <v/>
      </c>
      <c r="W2330" t="str">
        <f t="shared" si="3"/>
        <v/>
      </c>
      <c r="X2330" s="4" t="str">
        <f>IF(V2330="","",INDEX(Fornecedores!$X$1:$X$6631,V2330))</f>
        <v/>
      </c>
      <c r="Y2330" s="4" t="str">
        <f t="shared" si="4"/>
        <v/>
      </c>
    </row>
    <row r="2331" spans="19:25">
      <c r="S2331" t="str">
        <f t="shared" si="0"/>
        <v/>
      </c>
      <c r="T2331" t="str">
        <f t="shared" si="1"/>
        <v/>
      </c>
      <c r="U2331" t="str">
        <f t="shared" si="2"/>
        <v/>
      </c>
      <c r="V2331" t="str">
        <f>IF(OR(U2331="",U2331="ERRO_CHAVE"),"",IFERROR(MATCH(U2331,Fornecedores!$AF$1:$AF$6631,0),""))</f>
        <v/>
      </c>
      <c r="W2331" t="str">
        <f t="shared" si="3"/>
        <v/>
      </c>
      <c r="X2331" s="4" t="str">
        <f>IF(V2331="","",INDEX(Fornecedores!$X$1:$X$6631,V2331))</f>
        <v/>
      </c>
      <c r="Y2331" s="4" t="str">
        <f t="shared" si="4"/>
        <v/>
      </c>
    </row>
    <row r="2332" spans="19:25">
      <c r="S2332" t="str">
        <f t="shared" si="0"/>
        <v/>
      </c>
      <c r="T2332" t="str">
        <f t="shared" si="1"/>
        <v/>
      </c>
      <c r="U2332" t="str">
        <f t="shared" si="2"/>
        <v/>
      </c>
      <c r="V2332" t="str">
        <f>IF(OR(U2332="",U2332="ERRO_CHAVE"),"",IFERROR(MATCH(U2332,Fornecedores!$AF$1:$AF$6631,0),""))</f>
        <v/>
      </c>
      <c r="W2332" t="str">
        <f t="shared" si="3"/>
        <v/>
      </c>
      <c r="X2332" s="4" t="str">
        <f>IF(V2332="","",INDEX(Fornecedores!$X$1:$X$6631,V2332))</f>
        <v/>
      </c>
      <c r="Y2332" s="4" t="str">
        <f t="shared" si="4"/>
        <v/>
      </c>
    </row>
    <row r="2333" spans="19:25">
      <c r="S2333" t="str">
        <f t="shared" si="0"/>
        <v/>
      </c>
      <c r="T2333" t="str">
        <f t="shared" si="1"/>
        <v/>
      </c>
      <c r="U2333" t="str">
        <f t="shared" si="2"/>
        <v/>
      </c>
      <c r="V2333" t="str">
        <f>IF(OR(U2333="",U2333="ERRO_CHAVE"),"",IFERROR(MATCH(U2333,Fornecedores!$AF$1:$AF$6631,0),""))</f>
        <v/>
      </c>
      <c r="W2333" t="str">
        <f t="shared" si="3"/>
        <v/>
      </c>
      <c r="X2333" s="4" t="str">
        <f>IF(V2333="","",INDEX(Fornecedores!$X$1:$X$6631,V2333))</f>
        <v/>
      </c>
      <c r="Y2333" s="4" t="str">
        <f t="shared" si="4"/>
        <v/>
      </c>
    </row>
    <row r="2334" spans="19:25">
      <c r="S2334" t="str">
        <f t="shared" si="0"/>
        <v/>
      </c>
      <c r="T2334" t="str">
        <f t="shared" si="1"/>
        <v/>
      </c>
      <c r="U2334" t="str">
        <f t="shared" si="2"/>
        <v/>
      </c>
      <c r="V2334" t="str">
        <f>IF(OR(U2334="",U2334="ERRO_CHAVE"),"",IFERROR(MATCH(U2334,Fornecedores!$AF$1:$AF$6631,0),""))</f>
        <v/>
      </c>
      <c r="W2334" t="str">
        <f t="shared" si="3"/>
        <v/>
      </c>
      <c r="X2334" s="4" t="str">
        <f>IF(V2334="","",INDEX(Fornecedores!$X$1:$X$6631,V2334))</f>
        <v/>
      </c>
      <c r="Y2334" s="4" t="str">
        <f t="shared" si="4"/>
        <v/>
      </c>
    </row>
    <row r="2335" spans="19:25">
      <c r="S2335" t="str">
        <f t="shared" si="0"/>
        <v/>
      </c>
      <c r="T2335" t="str">
        <f t="shared" si="1"/>
        <v/>
      </c>
      <c r="U2335" t="str">
        <f t="shared" si="2"/>
        <v/>
      </c>
      <c r="V2335" t="str">
        <f>IF(OR(U2335="",U2335="ERRO_CHAVE"),"",IFERROR(MATCH(U2335,Fornecedores!$AF$1:$AF$6631,0),""))</f>
        <v/>
      </c>
      <c r="W2335" t="str">
        <f t="shared" si="3"/>
        <v/>
      </c>
      <c r="X2335" s="4" t="str">
        <f>IF(V2335="","",INDEX(Fornecedores!$X$1:$X$6631,V2335))</f>
        <v/>
      </c>
      <c r="Y2335" s="4" t="str">
        <f t="shared" si="4"/>
        <v/>
      </c>
    </row>
    <row r="2336" spans="19:25">
      <c r="S2336" t="str">
        <f t="shared" si="0"/>
        <v/>
      </c>
      <c r="T2336" t="str">
        <f t="shared" si="1"/>
        <v/>
      </c>
      <c r="U2336" t="str">
        <f t="shared" si="2"/>
        <v/>
      </c>
      <c r="V2336" t="str">
        <f>IF(OR(U2336="",U2336="ERRO_CHAVE"),"",IFERROR(MATCH(U2336,Fornecedores!$AF$1:$AF$6631,0),""))</f>
        <v/>
      </c>
      <c r="W2336" t="str">
        <f t="shared" si="3"/>
        <v/>
      </c>
      <c r="X2336" s="4" t="str">
        <f>IF(V2336="","",INDEX(Fornecedores!$X$1:$X$6631,V2336))</f>
        <v/>
      </c>
      <c r="Y2336" s="4" t="str">
        <f t="shared" si="4"/>
        <v/>
      </c>
    </row>
    <row r="2337" spans="19:25">
      <c r="S2337" t="str">
        <f t="shared" si="0"/>
        <v/>
      </c>
      <c r="T2337" t="str">
        <f t="shared" si="1"/>
        <v/>
      </c>
      <c r="U2337" t="str">
        <f t="shared" si="2"/>
        <v/>
      </c>
      <c r="V2337" t="str">
        <f>IF(OR(U2337="",U2337="ERRO_CHAVE"),"",IFERROR(MATCH(U2337,Fornecedores!$AF$1:$AF$6631,0),""))</f>
        <v/>
      </c>
      <c r="W2337" t="str">
        <f t="shared" si="3"/>
        <v/>
      </c>
      <c r="X2337" s="4" t="str">
        <f>IF(V2337="","",INDEX(Fornecedores!$X$1:$X$6631,V2337))</f>
        <v/>
      </c>
      <c r="Y2337" s="4" t="str">
        <f t="shared" si="4"/>
        <v/>
      </c>
    </row>
    <row r="2338" spans="19:25">
      <c r="S2338" t="str">
        <f t="shared" si="0"/>
        <v/>
      </c>
      <c r="T2338" t="str">
        <f t="shared" si="1"/>
        <v/>
      </c>
      <c r="U2338" t="str">
        <f t="shared" si="2"/>
        <v/>
      </c>
      <c r="V2338" t="str">
        <f>IF(OR(U2338="",U2338="ERRO_CHAVE"),"",IFERROR(MATCH(U2338,Fornecedores!$AF$1:$AF$6631,0),""))</f>
        <v/>
      </c>
      <c r="W2338" t="str">
        <f t="shared" si="3"/>
        <v/>
      </c>
      <c r="X2338" s="4" t="str">
        <f>IF(V2338="","",INDEX(Fornecedores!$X$1:$X$6631,V2338))</f>
        <v/>
      </c>
      <c r="Y2338" s="4" t="str">
        <f t="shared" si="4"/>
        <v/>
      </c>
    </row>
    <row r="2339" spans="19:25">
      <c r="S2339" t="str">
        <f t="shared" si="0"/>
        <v/>
      </c>
      <c r="T2339" t="str">
        <f t="shared" si="1"/>
        <v/>
      </c>
      <c r="U2339" t="str">
        <f t="shared" si="2"/>
        <v/>
      </c>
      <c r="V2339" t="str">
        <f>IF(OR(U2339="",U2339="ERRO_CHAVE"),"",IFERROR(MATCH(U2339,Fornecedores!$AF$1:$AF$6631,0),""))</f>
        <v/>
      </c>
      <c r="W2339" t="str">
        <f t="shared" si="3"/>
        <v/>
      </c>
      <c r="X2339" s="4" t="str">
        <f>IF(V2339="","",INDEX(Fornecedores!$X$1:$X$6631,V2339))</f>
        <v/>
      </c>
      <c r="Y2339" s="4" t="str">
        <f t="shared" si="4"/>
        <v/>
      </c>
    </row>
    <row r="2340" spans="19:25">
      <c r="S2340" t="str">
        <f t="shared" si="0"/>
        <v/>
      </c>
      <c r="T2340" t="str">
        <f t="shared" si="1"/>
        <v/>
      </c>
      <c r="U2340" t="str">
        <f t="shared" si="2"/>
        <v/>
      </c>
      <c r="V2340" t="str">
        <f>IF(OR(U2340="",U2340="ERRO_CHAVE"),"",IFERROR(MATCH(U2340,Fornecedores!$AF$1:$AF$6631,0),""))</f>
        <v/>
      </c>
      <c r="W2340" t="str">
        <f t="shared" si="3"/>
        <v/>
      </c>
      <c r="X2340" s="4" t="str">
        <f>IF(V2340="","",INDEX(Fornecedores!$X$1:$X$6631,V2340))</f>
        <v/>
      </c>
      <c r="Y2340" s="4" t="str">
        <f t="shared" si="4"/>
        <v/>
      </c>
    </row>
    <row r="2341" spans="19:25">
      <c r="S2341" t="str">
        <f t="shared" si="0"/>
        <v/>
      </c>
      <c r="T2341" t="str">
        <f t="shared" si="1"/>
        <v/>
      </c>
      <c r="U2341" t="str">
        <f t="shared" si="2"/>
        <v/>
      </c>
      <c r="V2341" t="str">
        <f>IF(OR(U2341="",U2341="ERRO_CHAVE"),"",IFERROR(MATCH(U2341,Fornecedores!$AF$1:$AF$6631,0),""))</f>
        <v/>
      </c>
      <c r="W2341" t="str">
        <f t="shared" si="3"/>
        <v/>
      </c>
      <c r="X2341" s="4" t="str">
        <f>IF(V2341="","",INDEX(Fornecedores!$X$1:$X$6631,V2341))</f>
        <v/>
      </c>
      <c r="Y2341" s="4" t="str">
        <f t="shared" si="4"/>
        <v/>
      </c>
    </row>
    <row r="2342" spans="19:25">
      <c r="S2342" t="str">
        <f t="shared" si="0"/>
        <v/>
      </c>
      <c r="T2342" t="str">
        <f t="shared" si="1"/>
        <v/>
      </c>
      <c r="U2342" t="str">
        <f t="shared" si="2"/>
        <v/>
      </c>
      <c r="V2342" t="str">
        <f>IF(OR(U2342="",U2342="ERRO_CHAVE"),"",IFERROR(MATCH(U2342,Fornecedores!$AF$1:$AF$6631,0),""))</f>
        <v/>
      </c>
      <c r="W2342" t="str">
        <f t="shared" si="3"/>
        <v/>
      </c>
      <c r="X2342" s="4" t="str">
        <f>IF(V2342="","",INDEX(Fornecedores!$X$1:$X$6631,V2342))</f>
        <v/>
      </c>
      <c r="Y2342" s="4" t="str">
        <f t="shared" si="4"/>
        <v/>
      </c>
    </row>
    <row r="2343" spans="19:25">
      <c r="S2343" t="str">
        <f t="shared" si="0"/>
        <v/>
      </c>
      <c r="T2343" t="str">
        <f t="shared" si="1"/>
        <v/>
      </c>
      <c r="U2343" t="str">
        <f t="shared" si="2"/>
        <v/>
      </c>
      <c r="V2343" t="str">
        <f>IF(OR(U2343="",U2343="ERRO_CHAVE"),"",IFERROR(MATCH(U2343,Fornecedores!$AF$1:$AF$6631,0),""))</f>
        <v/>
      </c>
      <c r="W2343" t="str">
        <f t="shared" si="3"/>
        <v/>
      </c>
      <c r="X2343" s="4" t="str">
        <f>IF(V2343="","",INDEX(Fornecedores!$X$1:$X$6631,V2343))</f>
        <v/>
      </c>
      <c r="Y2343" s="4" t="str">
        <f t="shared" si="4"/>
        <v/>
      </c>
    </row>
    <row r="2344" spans="19:25">
      <c r="S2344" t="str">
        <f t="shared" si="0"/>
        <v/>
      </c>
      <c r="T2344" t="str">
        <f t="shared" si="1"/>
        <v/>
      </c>
      <c r="U2344" t="str">
        <f t="shared" si="2"/>
        <v/>
      </c>
      <c r="V2344" t="str">
        <f>IF(OR(U2344="",U2344="ERRO_CHAVE"),"",IFERROR(MATCH(U2344,Fornecedores!$AF$1:$AF$6631,0),""))</f>
        <v/>
      </c>
      <c r="W2344" t="str">
        <f t="shared" si="3"/>
        <v/>
      </c>
      <c r="X2344" s="4" t="str">
        <f>IF(V2344="","",INDEX(Fornecedores!$X$1:$X$6631,V2344))</f>
        <v/>
      </c>
      <c r="Y2344" s="4" t="str">
        <f t="shared" si="4"/>
        <v/>
      </c>
    </row>
    <row r="2345" spans="19:25">
      <c r="S2345" t="str">
        <f t="shared" si="0"/>
        <v/>
      </c>
      <c r="T2345" t="str">
        <f t="shared" si="1"/>
        <v/>
      </c>
      <c r="U2345" t="str">
        <f t="shared" si="2"/>
        <v/>
      </c>
      <c r="V2345" t="str">
        <f>IF(OR(U2345="",U2345="ERRO_CHAVE"),"",IFERROR(MATCH(U2345,Fornecedores!$AF$1:$AF$6631,0),""))</f>
        <v/>
      </c>
      <c r="W2345" t="str">
        <f t="shared" si="3"/>
        <v/>
      </c>
      <c r="X2345" s="4" t="str">
        <f>IF(V2345="","",INDEX(Fornecedores!$X$1:$X$6631,V2345))</f>
        <v/>
      </c>
      <c r="Y2345" s="4" t="str">
        <f t="shared" si="4"/>
        <v/>
      </c>
    </row>
    <row r="2346" spans="19:25">
      <c r="S2346" t="str">
        <f t="shared" si="0"/>
        <v/>
      </c>
      <c r="T2346" t="str">
        <f t="shared" si="1"/>
        <v/>
      </c>
      <c r="U2346" t="str">
        <f t="shared" si="2"/>
        <v/>
      </c>
      <c r="V2346" t="str">
        <f>IF(OR(U2346="",U2346="ERRO_CHAVE"),"",IFERROR(MATCH(U2346,Fornecedores!$AF$1:$AF$6631,0),""))</f>
        <v/>
      </c>
      <c r="W2346" t="str">
        <f t="shared" si="3"/>
        <v/>
      </c>
      <c r="X2346" s="4" t="str">
        <f>IF(V2346="","",INDEX(Fornecedores!$X$1:$X$6631,V2346))</f>
        <v/>
      </c>
      <c r="Y2346" s="4" t="str">
        <f t="shared" si="4"/>
        <v/>
      </c>
    </row>
    <row r="2347" spans="19:25">
      <c r="S2347" t="str">
        <f t="shared" si="0"/>
        <v/>
      </c>
      <c r="T2347" t="str">
        <f t="shared" si="1"/>
        <v/>
      </c>
      <c r="U2347" t="str">
        <f t="shared" si="2"/>
        <v/>
      </c>
      <c r="V2347" t="str">
        <f>IF(OR(U2347="",U2347="ERRO_CHAVE"),"",IFERROR(MATCH(U2347,Fornecedores!$AF$1:$AF$6631,0),""))</f>
        <v/>
      </c>
      <c r="W2347" t="str">
        <f t="shared" si="3"/>
        <v/>
      </c>
      <c r="X2347" s="4" t="str">
        <f>IF(V2347="","",INDEX(Fornecedores!$X$1:$X$6631,V2347))</f>
        <v/>
      </c>
      <c r="Y2347" s="4" t="str">
        <f t="shared" si="4"/>
        <v/>
      </c>
    </row>
    <row r="2348" spans="19:25">
      <c r="S2348" t="str">
        <f t="shared" si="0"/>
        <v/>
      </c>
      <c r="T2348" t="str">
        <f t="shared" si="1"/>
        <v/>
      </c>
      <c r="U2348" t="str">
        <f t="shared" si="2"/>
        <v/>
      </c>
      <c r="V2348" t="str">
        <f>IF(OR(U2348="",U2348="ERRO_CHAVE"),"",IFERROR(MATCH(U2348,Fornecedores!$AF$1:$AF$6631,0),""))</f>
        <v/>
      </c>
      <c r="W2348" t="str">
        <f t="shared" si="3"/>
        <v/>
      </c>
      <c r="X2348" s="4" t="str">
        <f>IF(V2348="","",INDEX(Fornecedores!$X$1:$X$6631,V2348))</f>
        <v/>
      </c>
      <c r="Y2348" s="4" t="str">
        <f t="shared" si="4"/>
        <v/>
      </c>
    </row>
    <row r="2349" spans="19:25">
      <c r="S2349" t="str">
        <f t="shared" si="0"/>
        <v/>
      </c>
      <c r="T2349" t="str">
        <f t="shared" si="1"/>
        <v/>
      </c>
      <c r="U2349" t="str">
        <f t="shared" si="2"/>
        <v/>
      </c>
      <c r="V2349" t="str">
        <f>IF(OR(U2349="",U2349="ERRO_CHAVE"),"",IFERROR(MATCH(U2349,Fornecedores!$AF$1:$AF$6631,0),""))</f>
        <v/>
      </c>
      <c r="W2349" t="str">
        <f t="shared" si="3"/>
        <v/>
      </c>
      <c r="X2349" s="4" t="str">
        <f>IF(V2349="","",INDEX(Fornecedores!$X$1:$X$6631,V2349))</f>
        <v/>
      </c>
      <c r="Y2349" s="4" t="str">
        <f t="shared" si="4"/>
        <v/>
      </c>
    </row>
    <row r="2350" spans="19:25">
      <c r="S2350" t="str">
        <f t="shared" si="0"/>
        <v/>
      </c>
      <c r="T2350" t="str">
        <f t="shared" si="1"/>
        <v/>
      </c>
      <c r="U2350" t="str">
        <f t="shared" si="2"/>
        <v/>
      </c>
      <c r="V2350" t="str">
        <f>IF(OR(U2350="",U2350="ERRO_CHAVE"),"",IFERROR(MATCH(U2350,Fornecedores!$AF$1:$AF$6631,0),""))</f>
        <v/>
      </c>
      <c r="W2350" t="str">
        <f t="shared" si="3"/>
        <v/>
      </c>
      <c r="X2350" s="4" t="str">
        <f>IF(V2350="","",INDEX(Fornecedores!$X$1:$X$6631,V2350))</f>
        <v/>
      </c>
      <c r="Y2350" s="4" t="str">
        <f t="shared" si="4"/>
        <v/>
      </c>
    </row>
    <row r="2351" spans="19:25">
      <c r="S2351" t="str">
        <f t="shared" si="0"/>
        <v/>
      </c>
      <c r="T2351" t="str">
        <f t="shared" si="1"/>
        <v/>
      </c>
      <c r="U2351" t="str">
        <f t="shared" si="2"/>
        <v/>
      </c>
      <c r="V2351" t="str">
        <f>IF(OR(U2351="",U2351="ERRO_CHAVE"),"",IFERROR(MATCH(U2351,Fornecedores!$AF$1:$AF$6631,0),""))</f>
        <v/>
      </c>
      <c r="W2351" t="str">
        <f t="shared" si="3"/>
        <v/>
      </c>
      <c r="X2351" s="4" t="str">
        <f>IF(V2351="","",INDEX(Fornecedores!$X$1:$X$6631,V2351))</f>
        <v/>
      </c>
      <c r="Y2351" s="4" t="str">
        <f t="shared" si="4"/>
        <v/>
      </c>
    </row>
    <row r="2352" spans="19:25">
      <c r="S2352" t="str">
        <f t="shared" si="0"/>
        <v/>
      </c>
      <c r="T2352" t="str">
        <f t="shared" si="1"/>
        <v/>
      </c>
      <c r="U2352" t="str">
        <f t="shared" si="2"/>
        <v/>
      </c>
      <c r="V2352" t="str">
        <f>IF(OR(U2352="",U2352="ERRO_CHAVE"),"",IFERROR(MATCH(U2352,Fornecedores!$AF$1:$AF$6631,0),""))</f>
        <v/>
      </c>
      <c r="W2352" t="str">
        <f t="shared" si="3"/>
        <v/>
      </c>
      <c r="X2352" s="4" t="str">
        <f>IF(V2352="","",INDEX(Fornecedores!$X$1:$X$6631,V2352))</f>
        <v/>
      </c>
      <c r="Y2352" s="4" t="str">
        <f t="shared" si="4"/>
        <v/>
      </c>
    </row>
    <row r="2353" spans="19:25">
      <c r="S2353" t="str">
        <f t="shared" si="0"/>
        <v/>
      </c>
      <c r="T2353" t="str">
        <f t="shared" si="1"/>
        <v/>
      </c>
      <c r="U2353" t="str">
        <f t="shared" si="2"/>
        <v/>
      </c>
      <c r="V2353" t="str">
        <f>IF(OR(U2353="",U2353="ERRO_CHAVE"),"",IFERROR(MATCH(U2353,Fornecedores!$AF$1:$AF$6631,0),""))</f>
        <v/>
      </c>
      <c r="W2353" t="str">
        <f t="shared" si="3"/>
        <v/>
      </c>
      <c r="X2353" s="4" t="str">
        <f>IF(V2353="","",INDEX(Fornecedores!$X$1:$X$6631,V2353))</f>
        <v/>
      </c>
      <c r="Y2353" s="4" t="str">
        <f t="shared" si="4"/>
        <v/>
      </c>
    </row>
    <row r="2354" spans="19:25">
      <c r="S2354" t="str">
        <f t="shared" si="0"/>
        <v/>
      </c>
      <c r="T2354" t="str">
        <f t="shared" si="1"/>
        <v/>
      </c>
      <c r="U2354" t="str">
        <f t="shared" si="2"/>
        <v/>
      </c>
      <c r="V2354" t="str">
        <f>IF(OR(U2354="",U2354="ERRO_CHAVE"),"",IFERROR(MATCH(U2354,Fornecedores!$AF$1:$AF$6631,0),""))</f>
        <v/>
      </c>
      <c r="W2354" t="str">
        <f t="shared" si="3"/>
        <v/>
      </c>
      <c r="X2354" s="4" t="str">
        <f>IF(V2354="","",INDEX(Fornecedores!$X$1:$X$6631,V2354))</f>
        <v/>
      </c>
      <c r="Y2354" s="4" t="str">
        <f t="shared" si="4"/>
        <v/>
      </c>
    </row>
    <row r="2355" spans="19:25">
      <c r="S2355" t="str">
        <f t="shared" si="0"/>
        <v/>
      </c>
      <c r="T2355" t="str">
        <f t="shared" si="1"/>
        <v/>
      </c>
      <c r="U2355" t="str">
        <f t="shared" si="2"/>
        <v/>
      </c>
      <c r="V2355" t="str">
        <f>IF(OR(U2355="",U2355="ERRO_CHAVE"),"",IFERROR(MATCH(U2355,Fornecedores!$AF$1:$AF$6631,0),""))</f>
        <v/>
      </c>
      <c r="W2355" t="str">
        <f t="shared" si="3"/>
        <v/>
      </c>
      <c r="X2355" s="4" t="str">
        <f>IF(V2355="","",INDEX(Fornecedores!$X$1:$X$6631,V2355))</f>
        <v/>
      </c>
      <c r="Y2355" s="4" t="str">
        <f t="shared" si="4"/>
        <v/>
      </c>
    </row>
    <row r="2356" spans="19:25">
      <c r="S2356" t="str">
        <f t="shared" si="0"/>
        <v/>
      </c>
      <c r="T2356" t="str">
        <f t="shared" si="1"/>
        <v/>
      </c>
      <c r="U2356" t="str">
        <f t="shared" si="2"/>
        <v/>
      </c>
      <c r="V2356" t="str">
        <f>IF(OR(U2356="",U2356="ERRO_CHAVE"),"",IFERROR(MATCH(U2356,Fornecedores!$AF$1:$AF$6631,0),""))</f>
        <v/>
      </c>
      <c r="W2356" t="str">
        <f t="shared" si="3"/>
        <v/>
      </c>
      <c r="X2356" s="4" t="str">
        <f>IF(V2356="","",INDEX(Fornecedores!$X$1:$X$6631,V2356))</f>
        <v/>
      </c>
      <c r="Y2356" s="4" t="str">
        <f t="shared" si="4"/>
        <v/>
      </c>
    </row>
    <row r="2357" spans="19:25">
      <c r="S2357" t="str">
        <f t="shared" si="0"/>
        <v/>
      </c>
      <c r="T2357" t="str">
        <f t="shared" si="1"/>
        <v/>
      </c>
      <c r="U2357" t="str">
        <f t="shared" si="2"/>
        <v/>
      </c>
      <c r="V2357" t="str">
        <f>IF(OR(U2357="",U2357="ERRO_CHAVE"),"",IFERROR(MATCH(U2357,Fornecedores!$AF$1:$AF$6631,0),""))</f>
        <v/>
      </c>
      <c r="W2357" t="str">
        <f t="shared" si="3"/>
        <v/>
      </c>
      <c r="X2357" s="4" t="str">
        <f>IF(V2357="","",INDEX(Fornecedores!$X$1:$X$6631,V2357))</f>
        <v/>
      </c>
      <c r="Y2357" s="4" t="str">
        <f t="shared" si="4"/>
        <v/>
      </c>
    </row>
    <row r="2358" spans="19:25">
      <c r="S2358" t="str">
        <f t="shared" si="0"/>
        <v/>
      </c>
      <c r="T2358" t="str">
        <f t="shared" si="1"/>
        <v/>
      </c>
      <c r="U2358" t="str">
        <f t="shared" si="2"/>
        <v/>
      </c>
      <c r="V2358" t="str">
        <f>IF(OR(U2358="",U2358="ERRO_CHAVE"),"",IFERROR(MATCH(U2358,Fornecedores!$AF$1:$AF$6631,0),""))</f>
        <v/>
      </c>
      <c r="W2358" t="str">
        <f t="shared" si="3"/>
        <v/>
      </c>
      <c r="X2358" s="4" t="str">
        <f>IF(V2358="","",INDEX(Fornecedores!$X$1:$X$6631,V2358))</f>
        <v/>
      </c>
      <c r="Y2358" s="4" t="str">
        <f t="shared" si="4"/>
        <v/>
      </c>
    </row>
    <row r="2359" spans="19:25">
      <c r="S2359" t="str">
        <f t="shared" si="0"/>
        <v/>
      </c>
      <c r="T2359" t="str">
        <f t="shared" si="1"/>
        <v/>
      </c>
      <c r="U2359" t="str">
        <f t="shared" si="2"/>
        <v/>
      </c>
      <c r="V2359" t="str">
        <f>IF(OR(U2359="",U2359="ERRO_CHAVE"),"",IFERROR(MATCH(U2359,Fornecedores!$AF$1:$AF$6631,0),""))</f>
        <v/>
      </c>
      <c r="W2359" t="str">
        <f t="shared" si="3"/>
        <v/>
      </c>
      <c r="X2359" s="4" t="str">
        <f>IF(V2359="","",INDEX(Fornecedores!$X$1:$X$6631,V2359))</f>
        <v/>
      </c>
      <c r="Y2359" s="4" t="str">
        <f t="shared" si="4"/>
        <v/>
      </c>
    </row>
    <row r="2360" spans="19:25">
      <c r="S2360" t="str">
        <f t="shared" si="0"/>
        <v/>
      </c>
      <c r="T2360" t="str">
        <f t="shared" si="1"/>
        <v/>
      </c>
      <c r="U2360" t="str">
        <f t="shared" si="2"/>
        <v/>
      </c>
      <c r="V2360" t="str">
        <f>IF(OR(U2360="",U2360="ERRO_CHAVE"),"",IFERROR(MATCH(U2360,Fornecedores!$AF$1:$AF$6631,0),""))</f>
        <v/>
      </c>
      <c r="W2360" t="str">
        <f t="shared" si="3"/>
        <v/>
      </c>
      <c r="X2360" s="4" t="str">
        <f>IF(V2360="","",INDEX(Fornecedores!$X$1:$X$6631,V2360))</f>
        <v/>
      </c>
      <c r="Y2360" s="4" t="str">
        <f t="shared" si="4"/>
        <v/>
      </c>
    </row>
    <row r="2361" spans="19:25">
      <c r="S2361" t="str">
        <f t="shared" si="0"/>
        <v/>
      </c>
      <c r="T2361" t="str">
        <f t="shared" si="1"/>
        <v/>
      </c>
      <c r="U2361" t="str">
        <f t="shared" si="2"/>
        <v/>
      </c>
      <c r="V2361" t="str">
        <f>IF(OR(U2361="",U2361="ERRO_CHAVE"),"",IFERROR(MATCH(U2361,Fornecedores!$AF$1:$AF$6631,0),""))</f>
        <v/>
      </c>
      <c r="W2361" t="str">
        <f t="shared" si="3"/>
        <v/>
      </c>
      <c r="X2361" s="4" t="str">
        <f>IF(V2361="","",INDEX(Fornecedores!$X$1:$X$6631,V2361))</f>
        <v/>
      </c>
      <c r="Y2361" s="4" t="str">
        <f t="shared" si="4"/>
        <v/>
      </c>
    </row>
    <row r="2362" spans="19:25">
      <c r="S2362" t="str">
        <f t="shared" si="0"/>
        <v/>
      </c>
      <c r="T2362" t="str">
        <f t="shared" si="1"/>
        <v/>
      </c>
      <c r="U2362" t="str">
        <f t="shared" si="2"/>
        <v/>
      </c>
      <c r="V2362" t="str">
        <f>IF(OR(U2362="",U2362="ERRO_CHAVE"),"",IFERROR(MATCH(U2362,Fornecedores!$AF$1:$AF$6631,0),""))</f>
        <v/>
      </c>
      <c r="W2362" t="str">
        <f t="shared" si="3"/>
        <v/>
      </c>
      <c r="X2362" s="4" t="str">
        <f>IF(V2362="","",INDEX(Fornecedores!$X$1:$X$6631,V2362))</f>
        <v/>
      </c>
      <c r="Y2362" s="4" t="str">
        <f t="shared" si="4"/>
        <v/>
      </c>
    </row>
    <row r="2363" spans="19:25">
      <c r="S2363" t="str">
        <f t="shared" si="0"/>
        <v/>
      </c>
      <c r="T2363" t="str">
        <f t="shared" si="1"/>
        <v/>
      </c>
      <c r="U2363" t="str">
        <f t="shared" si="2"/>
        <v/>
      </c>
      <c r="V2363" t="str">
        <f>IF(OR(U2363="",U2363="ERRO_CHAVE"),"",IFERROR(MATCH(U2363,Fornecedores!$AF$1:$AF$6631,0),""))</f>
        <v/>
      </c>
      <c r="W2363" t="str">
        <f t="shared" si="3"/>
        <v/>
      </c>
      <c r="X2363" s="4" t="str">
        <f>IF(V2363="","",INDEX(Fornecedores!$X$1:$X$6631,V2363))</f>
        <v/>
      </c>
      <c r="Y2363" s="4" t="str">
        <f t="shared" si="4"/>
        <v/>
      </c>
    </row>
    <row r="2364" spans="19:25">
      <c r="S2364" t="str">
        <f t="shared" si="0"/>
        <v/>
      </c>
      <c r="T2364" t="str">
        <f t="shared" si="1"/>
        <v/>
      </c>
      <c r="U2364" t="str">
        <f t="shared" si="2"/>
        <v/>
      </c>
      <c r="V2364" t="str">
        <f>IF(OR(U2364="",U2364="ERRO_CHAVE"),"",IFERROR(MATCH(U2364,Fornecedores!$AF$1:$AF$6631,0),""))</f>
        <v/>
      </c>
      <c r="W2364" t="str">
        <f t="shared" si="3"/>
        <v/>
      </c>
      <c r="X2364" s="4" t="str">
        <f>IF(V2364="","",INDEX(Fornecedores!$X$1:$X$6631,V2364))</f>
        <v/>
      </c>
      <c r="Y2364" s="4" t="str">
        <f t="shared" si="4"/>
        <v/>
      </c>
    </row>
    <row r="2365" spans="19:25">
      <c r="S2365" t="str">
        <f t="shared" si="0"/>
        <v/>
      </c>
      <c r="T2365" t="str">
        <f t="shared" si="1"/>
        <v/>
      </c>
      <c r="U2365" t="str">
        <f t="shared" si="2"/>
        <v/>
      </c>
      <c r="V2365" t="str">
        <f>IF(OR(U2365="",U2365="ERRO_CHAVE"),"",IFERROR(MATCH(U2365,Fornecedores!$AF$1:$AF$6631,0),""))</f>
        <v/>
      </c>
      <c r="W2365" t="str">
        <f t="shared" si="3"/>
        <v/>
      </c>
      <c r="X2365" s="4" t="str">
        <f>IF(V2365="","",INDEX(Fornecedores!$X$1:$X$6631,V2365))</f>
        <v/>
      </c>
      <c r="Y2365" s="4" t="str">
        <f t="shared" si="4"/>
        <v/>
      </c>
    </row>
    <row r="2366" spans="19:25">
      <c r="S2366" t="str">
        <f t="shared" si="0"/>
        <v/>
      </c>
      <c r="T2366" t="str">
        <f t="shared" si="1"/>
        <v/>
      </c>
      <c r="U2366" t="str">
        <f t="shared" si="2"/>
        <v/>
      </c>
      <c r="V2366" t="str">
        <f>IF(OR(U2366="",U2366="ERRO_CHAVE"),"",IFERROR(MATCH(U2366,Fornecedores!$AF$1:$AF$6631,0),""))</f>
        <v/>
      </c>
      <c r="W2366" t="str">
        <f t="shared" si="3"/>
        <v/>
      </c>
      <c r="X2366" s="4" t="str">
        <f>IF(V2366="","",INDEX(Fornecedores!$X$1:$X$6631,V2366))</f>
        <v/>
      </c>
      <c r="Y2366" s="4" t="str">
        <f t="shared" si="4"/>
        <v/>
      </c>
    </row>
    <row r="2367" spans="19:25">
      <c r="S2367" t="str">
        <f t="shared" si="0"/>
        <v/>
      </c>
      <c r="T2367" t="str">
        <f t="shared" si="1"/>
        <v/>
      </c>
      <c r="U2367" t="str">
        <f t="shared" si="2"/>
        <v/>
      </c>
      <c r="V2367" t="str">
        <f>IF(OR(U2367="",U2367="ERRO_CHAVE"),"",IFERROR(MATCH(U2367,Fornecedores!$AF$1:$AF$6631,0),""))</f>
        <v/>
      </c>
      <c r="W2367" t="str">
        <f t="shared" si="3"/>
        <v/>
      </c>
      <c r="X2367" s="4" t="str">
        <f>IF(V2367="","",INDEX(Fornecedores!$X$1:$X$6631,V2367))</f>
        <v/>
      </c>
      <c r="Y2367" s="4" t="str">
        <f t="shared" si="4"/>
        <v/>
      </c>
    </row>
    <row r="2368" spans="19:25">
      <c r="S2368" t="str">
        <f t="shared" si="0"/>
        <v/>
      </c>
      <c r="T2368" t="str">
        <f t="shared" si="1"/>
        <v/>
      </c>
      <c r="U2368" t="str">
        <f t="shared" si="2"/>
        <v/>
      </c>
      <c r="V2368" t="str">
        <f>IF(OR(U2368="",U2368="ERRO_CHAVE"),"",IFERROR(MATCH(U2368,Fornecedores!$AF$1:$AF$6631,0),""))</f>
        <v/>
      </c>
      <c r="W2368" t="str">
        <f t="shared" si="3"/>
        <v/>
      </c>
      <c r="X2368" s="4" t="str">
        <f>IF(V2368="","",INDEX(Fornecedores!$X$1:$X$6631,V2368))</f>
        <v/>
      </c>
      <c r="Y2368" s="4" t="str">
        <f t="shared" si="4"/>
        <v/>
      </c>
    </row>
    <row r="2369" spans="19:25">
      <c r="S2369" t="str">
        <f t="shared" si="0"/>
        <v/>
      </c>
      <c r="T2369" t="str">
        <f t="shared" si="1"/>
        <v/>
      </c>
      <c r="U2369" t="str">
        <f t="shared" si="2"/>
        <v/>
      </c>
      <c r="V2369" t="str">
        <f>IF(OR(U2369="",U2369="ERRO_CHAVE"),"",IFERROR(MATCH(U2369,Fornecedores!$AF$1:$AF$6631,0),""))</f>
        <v/>
      </c>
      <c r="W2369" t="str">
        <f t="shared" si="3"/>
        <v/>
      </c>
      <c r="X2369" s="4" t="str">
        <f>IF(V2369="","",INDEX(Fornecedores!$X$1:$X$6631,V2369))</f>
        <v/>
      </c>
      <c r="Y2369" s="4" t="str">
        <f t="shared" si="4"/>
        <v/>
      </c>
    </row>
    <row r="2370" spans="19:25">
      <c r="S2370" t="str">
        <f t="shared" si="0"/>
        <v/>
      </c>
      <c r="T2370" t="str">
        <f t="shared" si="1"/>
        <v/>
      </c>
      <c r="U2370" t="str">
        <f t="shared" si="2"/>
        <v/>
      </c>
      <c r="V2370" t="str">
        <f>IF(OR(U2370="",U2370="ERRO_CHAVE"),"",IFERROR(MATCH(U2370,Fornecedores!$AF$1:$AF$6631,0),""))</f>
        <v/>
      </c>
      <c r="W2370" t="str">
        <f t="shared" si="3"/>
        <v/>
      </c>
      <c r="X2370" s="4" t="str">
        <f>IF(V2370="","",INDEX(Fornecedores!$X$1:$X$6631,V2370))</f>
        <v/>
      </c>
      <c r="Y2370" s="4" t="str">
        <f t="shared" si="4"/>
        <v/>
      </c>
    </row>
    <row r="2371" spans="19:25">
      <c r="S2371" t="str">
        <f t="shared" si="0"/>
        <v/>
      </c>
      <c r="T2371" t="str">
        <f t="shared" si="1"/>
        <v/>
      </c>
      <c r="U2371" t="str">
        <f t="shared" si="2"/>
        <v/>
      </c>
      <c r="V2371" t="str">
        <f>IF(OR(U2371="",U2371="ERRO_CHAVE"),"",IFERROR(MATCH(U2371,Fornecedores!$AF$1:$AF$6631,0),""))</f>
        <v/>
      </c>
      <c r="W2371" t="str">
        <f t="shared" si="3"/>
        <v/>
      </c>
      <c r="X2371" s="4" t="str">
        <f>IF(V2371="","",INDEX(Fornecedores!$X$1:$X$6631,V2371))</f>
        <v/>
      </c>
      <c r="Y2371" s="4" t="str">
        <f t="shared" si="4"/>
        <v/>
      </c>
    </row>
    <row r="2372" spans="19:25">
      <c r="S2372" t="str">
        <f t="shared" si="0"/>
        <v/>
      </c>
      <c r="T2372" t="str">
        <f t="shared" si="1"/>
        <v/>
      </c>
      <c r="U2372" t="str">
        <f t="shared" si="2"/>
        <v/>
      </c>
      <c r="V2372" t="str">
        <f>IF(OR(U2372="",U2372="ERRO_CHAVE"),"",IFERROR(MATCH(U2372,Fornecedores!$AF$1:$AF$6631,0),""))</f>
        <v/>
      </c>
      <c r="W2372" t="str">
        <f t="shared" si="3"/>
        <v/>
      </c>
      <c r="X2372" s="4" t="str">
        <f>IF(V2372="","",INDEX(Fornecedores!$X$1:$X$6631,V2372))</f>
        <v/>
      </c>
      <c r="Y2372" s="4" t="str">
        <f t="shared" si="4"/>
        <v/>
      </c>
    </row>
    <row r="2373" spans="19:25">
      <c r="S2373" t="str">
        <f t="shared" si="0"/>
        <v/>
      </c>
      <c r="T2373" t="str">
        <f t="shared" si="1"/>
        <v/>
      </c>
      <c r="U2373" t="str">
        <f t="shared" si="2"/>
        <v/>
      </c>
      <c r="V2373" t="str">
        <f>IF(OR(U2373="",U2373="ERRO_CHAVE"),"",IFERROR(MATCH(U2373,Fornecedores!$AF$1:$AF$6631,0),""))</f>
        <v/>
      </c>
      <c r="W2373" t="str">
        <f t="shared" si="3"/>
        <v/>
      </c>
      <c r="X2373" s="4" t="str">
        <f>IF(V2373="","",INDEX(Fornecedores!$X$1:$X$6631,V2373))</f>
        <v/>
      </c>
      <c r="Y2373" s="4" t="str">
        <f t="shared" si="4"/>
        <v/>
      </c>
    </row>
    <row r="2374" spans="19:25">
      <c r="S2374" t="str">
        <f t="shared" si="0"/>
        <v/>
      </c>
      <c r="T2374" t="str">
        <f t="shared" si="1"/>
        <v/>
      </c>
      <c r="U2374" t="str">
        <f t="shared" si="2"/>
        <v/>
      </c>
      <c r="V2374" t="str">
        <f>IF(OR(U2374="",U2374="ERRO_CHAVE"),"",IFERROR(MATCH(U2374,Fornecedores!$AF$1:$AF$6631,0),""))</f>
        <v/>
      </c>
      <c r="W2374" t="str">
        <f t="shared" si="3"/>
        <v/>
      </c>
      <c r="X2374" s="4" t="str">
        <f>IF(V2374="","",INDEX(Fornecedores!$X$1:$X$6631,V2374))</f>
        <v/>
      </c>
      <c r="Y2374" s="4" t="str">
        <f t="shared" si="4"/>
        <v/>
      </c>
    </row>
    <row r="2375" spans="19:25">
      <c r="S2375" t="str">
        <f t="shared" si="0"/>
        <v/>
      </c>
      <c r="T2375" t="str">
        <f t="shared" si="1"/>
        <v/>
      </c>
      <c r="U2375" t="str">
        <f t="shared" si="2"/>
        <v/>
      </c>
      <c r="V2375" t="str">
        <f>IF(OR(U2375="",U2375="ERRO_CHAVE"),"",IFERROR(MATCH(U2375,Fornecedores!$AF$1:$AF$6631,0),""))</f>
        <v/>
      </c>
      <c r="W2375" t="str">
        <f t="shared" si="3"/>
        <v/>
      </c>
      <c r="X2375" s="4" t="str">
        <f>IF(V2375="","",INDEX(Fornecedores!$X$1:$X$6631,V2375))</f>
        <v/>
      </c>
      <c r="Y2375" s="4" t="str">
        <f t="shared" si="4"/>
        <v/>
      </c>
    </row>
    <row r="2376" spans="19:25">
      <c r="S2376" t="str">
        <f t="shared" si="0"/>
        <v/>
      </c>
      <c r="T2376" t="str">
        <f t="shared" si="1"/>
        <v/>
      </c>
      <c r="U2376" t="str">
        <f t="shared" si="2"/>
        <v/>
      </c>
      <c r="V2376" t="str">
        <f>IF(OR(U2376="",U2376="ERRO_CHAVE"),"",IFERROR(MATCH(U2376,Fornecedores!$AF$1:$AF$6631,0),""))</f>
        <v/>
      </c>
      <c r="W2376" t="str">
        <f t="shared" si="3"/>
        <v/>
      </c>
      <c r="X2376" s="4" t="str">
        <f>IF(V2376="","",INDEX(Fornecedores!$X$1:$X$6631,V2376))</f>
        <v/>
      </c>
      <c r="Y2376" s="4" t="str">
        <f t="shared" si="4"/>
        <v/>
      </c>
    </row>
    <row r="2377" spans="19:25">
      <c r="S2377" t="str">
        <f t="shared" si="0"/>
        <v/>
      </c>
      <c r="T2377" t="str">
        <f t="shared" si="1"/>
        <v/>
      </c>
      <c r="U2377" t="str">
        <f t="shared" si="2"/>
        <v/>
      </c>
      <c r="V2377" t="str">
        <f>IF(OR(U2377="",U2377="ERRO_CHAVE"),"",IFERROR(MATCH(U2377,Fornecedores!$AF$1:$AF$6631,0),""))</f>
        <v/>
      </c>
      <c r="W2377" t="str">
        <f t="shared" si="3"/>
        <v/>
      </c>
      <c r="X2377" s="4" t="str">
        <f>IF(V2377="","",INDEX(Fornecedores!$X$1:$X$6631,V2377))</f>
        <v/>
      </c>
      <c r="Y2377" s="4" t="str">
        <f t="shared" si="4"/>
        <v/>
      </c>
    </row>
    <row r="2378" spans="19:25">
      <c r="S2378" t="str">
        <f t="shared" si="0"/>
        <v/>
      </c>
      <c r="T2378" t="str">
        <f t="shared" si="1"/>
        <v/>
      </c>
      <c r="U2378" t="str">
        <f t="shared" si="2"/>
        <v/>
      </c>
      <c r="V2378" t="str">
        <f>IF(OR(U2378="",U2378="ERRO_CHAVE"),"",IFERROR(MATCH(U2378,Fornecedores!$AF$1:$AF$6631,0),""))</f>
        <v/>
      </c>
      <c r="W2378" t="str">
        <f t="shared" si="3"/>
        <v/>
      </c>
      <c r="X2378" s="4" t="str">
        <f>IF(V2378="","",INDEX(Fornecedores!$X$1:$X$6631,V2378))</f>
        <v/>
      </c>
      <c r="Y2378" s="4" t="str">
        <f t="shared" si="4"/>
        <v/>
      </c>
    </row>
    <row r="2379" spans="19:25">
      <c r="S2379" t="str">
        <f t="shared" si="0"/>
        <v/>
      </c>
      <c r="T2379" t="str">
        <f t="shared" si="1"/>
        <v/>
      </c>
      <c r="U2379" t="str">
        <f t="shared" si="2"/>
        <v/>
      </c>
      <c r="V2379" t="str">
        <f>IF(OR(U2379="",U2379="ERRO_CHAVE"),"",IFERROR(MATCH(U2379,Fornecedores!$AF$1:$AF$6631,0),""))</f>
        <v/>
      </c>
      <c r="W2379" t="str">
        <f t="shared" si="3"/>
        <v/>
      </c>
      <c r="X2379" s="4" t="str">
        <f>IF(V2379="","",INDEX(Fornecedores!$X$1:$X$6631,V2379))</f>
        <v/>
      </c>
      <c r="Y2379" s="4" t="str">
        <f t="shared" si="4"/>
        <v/>
      </c>
    </row>
    <row r="2380" spans="19:25">
      <c r="S2380" t="str">
        <f t="shared" si="0"/>
        <v/>
      </c>
      <c r="T2380" t="str">
        <f t="shared" si="1"/>
        <v/>
      </c>
      <c r="U2380" t="str">
        <f t="shared" si="2"/>
        <v/>
      </c>
      <c r="V2380" t="str">
        <f>IF(OR(U2380="",U2380="ERRO_CHAVE"),"",IFERROR(MATCH(U2380,Fornecedores!$AF$1:$AF$6631,0),""))</f>
        <v/>
      </c>
      <c r="W2380" t="str">
        <f t="shared" si="3"/>
        <v/>
      </c>
      <c r="X2380" s="4" t="str">
        <f>IF(V2380="","",INDEX(Fornecedores!$X$1:$X$6631,V2380))</f>
        <v/>
      </c>
      <c r="Y2380" s="4" t="str">
        <f t="shared" si="4"/>
        <v/>
      </c>
    </row>
    <row r="2381" spans="19:25">
      <c r="S2381" t="str">
        <f t="shared" si="0"/>
        <v/>
      </c>
      <c r="T2381" t="str">
        <f t="shared" si="1"/>
        <v/>
      </c>
      <c r="U2381" t="str">
        <f t="shared" si="2"/>
        <v/>
      </c>
      <c r="V2381" t="str">
        <f>IF(OR(U2381="",U2381="ERRO_CHAVE"),"",IFERROR(MATCH(U2381,Fornecedores!$AF$1:$AF$6631,0),""))</f>
        <v/>
      </c>
      <c r="W2381" t="str">
        <f t="shared" si="3"/>
        <v/>
      </c>
      <c r="X2381" s="4" t="str">
        <f>IF(V2381="","",INDEX(Fornecedores!$X$1:$X$6631,V2381))</f>
        <v/>
      </c>
      <c r="Y2381" s="4" t="str">
        <f t="shared" si="4"/>
        <v/>
      </c>
    </row>
    <row r="2382" spans="19:25">
      <c r="S2382" t="str">
        <f t="shared" si="0"/>
        <v/>
      </c>
      <c r="T2382" t="str">
        <f t="shared" si="1"/>
        <v/>
      </c>
      <c r="U2382" t="str">
        <f t="shared" si="2"/>
        <v/>
      </c>
      <c r="V2382" t="str">
        <f>IF(OR(U2382="",U2382="ERRO_CHAVE"),"",IFERROR(MATCH(U2382,Fornecedores!$AF$1:$AF$6631,0),""))</f>
        <v/>
      </c>
      <c r="W2382" t="str">
        <f t="shared" si="3"/>
        <v/>
      </c>
      <c r="X2382" s="4" t="str">
        <f>IF(V2382="","",INDEX(Fornecedores!$X$1:$X$6631,V2382))</f>
        <v/>
      </c>
      <c r="Y2382" s="4" t="str">
        <f t="shared" si="4"/>
        <v/>
      </c>
    </row>
    <row r="2383" spans="19:25">
      <c r="S2383" t="str">
        <f t="shared" si="0"/>
        <v/>
      </c>
      <c r="T2383" t="str">
        <f t="shared" si="1"/>
        <v/>
      </c>
      <c r="U2383" t="str">
        <f t="shared" si="2"/>
        <v/>
      </c>
      <c r="V2383" t="str">
        <f>IF(OR(U2383="",U2383="ERRO_CHAVE"),"",IFERROR(MATCH(U2383,Fornecedores!$AF$1:$AF$6631,0),""))</f>
        <v/>
      </c>
      <c r="W2383" t="str">
        <f t="shared" si="3"/>
        <v/>
      </c>
      <c r="X2383" s="4" t="str">
        <f>IF(V2383="","",INDEX(Fornecedores!$X$1:$X$6631,V2383))</f>
        <v/>
      </c>
      <c r="Y2383" s="4" t="str">
        <f t="shared" si="4"/>
        <v/>
      </c>
    </row>
    <row r="2384" spans="19:25">
      <c r="S2384" t="str">
        <f t="shared" si="0"/>
        <v/>
      </c>
      <c r="T2384" t="str">
        <f t="shared" si="1"/>
        <v/>
      </c>
      <c r="U2384" t="str">
        <f t="shared" si="2"/>
        <v/>
      </c>
      <c r="V2384" t="str">
        <f>IF(OR(U2384="",U2384="ERRO_CHAVE"),"",IFERROR(MATCH(U2384,Fornecedores!$AF$1:$AF$6631,0),""))</f>
        <v/>
      </c>
      <c r="W2384" t="str">
        <f t="shared" si="3"/>
        <v/>
      </c>
      <c r="X2384" s="4" t="str">
        <f>IF(V2384="","",INDEX(Fornecedores!$X$1:$X$6631,V2384))</f>
        <v/>
      </c>
      <c r="Y2384" s="4" t="str">
        <f t="shared" si="4"/>
        <v/>
      </c>
    </row>
    <row r="2385" spans="19:25">
      <c r="S2385" t="str">
        <f t="shared" si="0"/>
        <v/>
      </c>
      <c r="T2385" t="str">
        <f t="shared" si="1"/>
        <v/>
      </c>
      <c r="U2385" t="str">
        <f t="shared" si="2"/>
        <v/>
      </c>
      <c r="V2385" t="str">
        <f>IF(OR(U2385="",U2385="ERRO_CHAVE"),"",IFERROR(MATCH(U2385,Fornecedores!$AF$1:$AF$6631,0),""))</f>
        <v/>
      </c>
      <c r="W2385" t="str">
        <f t="shared" si="3"/>
        <v/>
      </c>
      <c r="X2385" s="4" t="str">
        <f>IF(V2385="","",INDEX(Fornecedores!$X$1:$X$6631,V2385))</f>
        <v/>
      </c>
      <c r="Y2385" s="4" t="str">
        <f t="shared" si="4"/>
        <v/>
      </c>
    </row>
    <row r="2386" spans="19:25">
      <c r="S2386" t="str">
        <f t="shared" si="0"/>
        <v/>
      </c>
      <c r="T2386" t="str">
        <f t="shared" si="1"/>
        <v/>
      </c>
      <c r="U2386" t="str">
        <f t="shared" si="2"/>
        <v/>
      </c>
      <c r="V2386" t="str">
        <f>IF(OR(U2386="",U2386="ERRO_CHAVE"),"",IFERROR(MATCH(U2386,Fornecedores!$AF$1:$AF$6631,0),""))</f>
        <v/>
      </c>
      <c r="W2386" t="str">
        <f t="shared" si="3"/>
        <v/>
      </c>
      <c r="X2386" s="4" t="str">
        <f>IF(V2386="","",INDEX(Fornecedores!$X$1:$X$6631,V2386))</f>
        <v/>
      </c>
      <c r="Y2386" s="4" t="str">
        <f t="shared" si="4"/>
        <v/>
      </c>
    </row>
    <row r="2387" spans="19:25">
      <c r="S2387" t="str">
        <f t="shared" si="0"/>
        <v/>
      </c>
      <c r="T2387" t="str">
        <f t="shared" si="1"/>
        <v/>
      </c>
      <c r="U2387" t="str">
        <f t="shared" si="2"/>
        <v/>
      </c>
      <c r="V2387" t="str">
        <f>IF(OR(U2387="",U2387="ERRO_CHAVE"),"",IFERROR(MATCH(U2387,Fornecedores!$AF$1:$AF$6631,0),""))</f>
        <v/>
      </c>
      <c r="W2387" t="str">
        <f t="shared" si="3"/>
        <v/>
      </c>
      <c r="X2387" s="4" t="str">
        <f>IF(V2387="","",INDEX(Fornecedores!$X$1:$X$6631,V2387))</f>
        <v/>
      </c>
      <c r="Y2387" s="4" t="str">
        <f t="shared" si="4"/>
        <v/>
      </c>
    </row>
    <row r="2388" spans="19:25">
      <c r="S2388" t="str">
        <f t="shared" si="0"/>
        <v/>
      </c>
      <c r="T2388" t="str">
        <f t="shared" si="1"/>
        <v/>
      </c>
      <c r="U2388" t="str">
        <f t="shared" si="2"/>
        <v/>
      </c>
      <c r="V2388" t="str">
        <f>IF(OR(U2388="",U2388="ERRO_CHAVE"),"",IFERROR(MATCH(U2388,Fornecedores!$AF$1:$AF$6631,0),""))</f>
        <v/>
      </c>
      <c r="W2388" t="str">
        <f t="shared" si="3"/>
        <v/>
      </c>
      <c r="X2388" s="4" t="str">
        <f>IF(V2388="","",INDEX(Fornecedores!$X$1:$X$6631,V2388))</f>
        <v/>
      </c>
      <c r="Y2388" s="4" t="str">
        <f t="shared" si="4"/>
        <v/>
      </c>
    </row>
    <row r="2389" spans="19:25">
      <c r="S2389" t="str">
        <f t="shared" si="0"/>
        <v/>
      </c>
      <c r="T2389" t="str">
        <f t="shared" si="1"/>
        <v/>
      </c>
      <c r="U2389" t="str">
        <f t="shared" si="2"/>
        <v/>
      </c>
      <c r="V2389" t="str">
        <f>IF(OR(U2389="",U2389="ERRO_CHAVE"),"",IFERROR(MATCH(U2389,Fornecedores!$AF$1:$AF$6631,0),""))</f>
        <v/>
      </c>
      <c r="W2389" t="str">
        <f t="shared" si="3"/>
        <v/>
      </c>
      <c r="X2389" s="4" t="str">
        <f>IF(V2389="","",INDEX(Fornecedores!$X$1:$X$6631,V2389))</f>
        <v/>
      </c>
      <c r="Y2389" s="4" t="str">
        <f t="shared" si="4"/>
        <v/>
      </c>
    </row>
    <row r="2390" spans="19:25">
      <c r="S2390" t="str">
        <f t="shared" si="0"/>
        <v/>
      </c>
      <c r="T2390" t="str">
        <f t="shared" si="1"/>
        <v/>
      </c>
      <c r="U2390" t="str">
        <f t="shared" si="2"/>
        <v/>
      </c>
      <c r="V2390" t="str">
        <f>IF(OR(U2390="",U2390="ERRO_CHAVE"),"",IFERROR(MATCH(U2390,Fornecedores!$AF$1:$AF$6631,0),""))</f>
        <v/>
      </c>
      <c r="W2390" t="str">
        <f t="shared" si="3"/>
        <v/>
      </c>
      <c r="X2390" s="4" t="str">
        <f>IF(V2390="","",INDEX(Fornecedores!$X$1:$X$6631,V2390))</f>
        <v/>
      </c>
      <c r="Y2390" s="4" t="str">
        <f t="shared" si="4"/>
        <v/>
      </c>
    </row>
    <row r="2391" spans="19:25">
      <c r="S2391" t="str">
        <f t="shared" si="0"/>
        <v/>
      </c>
      <c r="T2391" t="str">
        <f t="shared" si="1"/>
        <v/>
      </c>
      <c r="U2391" t="str">
        <f t="shared" si="2"/>
        <v/>
      </c>
      <c r="V2391" t="str">
        <f>IF(OR(U2391="",U2391="ERRO_CHAVE"),"",IFERROR(MATCH(U2391,Fornecedores!$AF$1:$AF$6631,0),""))</f>
        <v/>
      </c>
      <c r="W2391" t="str">
        <f t="shared" si="3"/>
        <v/>
      </c>
      <c r="X2391" s="4" t="str">
        <f>IF(V2391="","",INDEX(Fornecedores!$X$1:$X$6631,V2391))</f>
        <v/>
      </c>
      <c r="Y2391" s="4" t="str">
        <f t="shared" si="4"/>
        <v/>
      </c>
    </row>
    <row r="2392" spans="19:25">
      <c r="S2392" t="str">
        <f t="shared" si="0"/>
        <v/>
      </c>
      <c r="T2392" t="str">
        <f t="shared" si="1"/>
        <v/>
      </c>
      <c r="U2392" t="str">
        <f t="shared" si="2"/>
        <v/>
      </c>
      <c r="V2392" t="str">
        <f>IF(OR(U2392="",U2392="ERRO_CHAVE"),"",IFERROR(MATCH(U2392,Fornecedores!$AF$1:$AF$6631,0),""))</f>
        <v/>
      </c>
      <c r="W2392" t="str">
        <f t="shared" si="3"/>
        <v/>
      </c>
      <c r="X2392" s="4" t="str">
        <f>IF(V2392="","",INDEX(Fornecedores!$X$1:$X$6631,V2392))</f>
        <v/>
      </c>
      <c r="Y2392" s="4" t="str">
        <f t="shared" si="4"/>
        <v/>
      </c>
    </row>
    <row r="2393" spans="19:25">
      <c r="S2393" t="str">
        <f t="shared" si="0"/>
        <v/>
      </c>
      <c r="T2393" t="str">
        <f t="shared" si="1"/>
        <v/>
      </c>
      <c r="U2393" t="str">
        <f t="shared" si="2"/>
        <v/>
      </c>
      <c r="V2393" t="str">
        <f>IF(OR(U2393="",U2393="ERRO_CHAVE"),"",IFERROR(MATCH(U2393,Fornecedores!$AF$1:$AF$6631,0),""))</f>
        <v/>
      </c>
      <c r="W2393" t="str">
        <f t="shared" si="3"/>
        <v/>
      </c>
      <c r="X2393" s="4" t="str">
        <f>IF(V2393="","",INDEX(Fornecedores!$X$1:$X$6631,V2393))</f>
        <v/>
      </c>
      <c r="Y2393" s="4" t="str">
        <f t="shared" si="4"/>
        <v/>
      </c>
    </row>
    <row r="2394" spans="19:25">
      <c r="S2394" t="str">
        <f t="shared" si="0"/>
        <v/>
      </c>
      <c r="T2394" t="str">
        <f t="shared" si="1"/>
        <v/>
      </c>
      <c r="U2394" t="str">
        <f t="shared" si="2"/>
        <v/>
      </c>
      <c r="V2394" t="str">
        <f>IF(OR(U2394="",U2394="ERRO_CHAVE"),"",IFERROR(MATCH(U2394,Fornecedores!$AF$1:$AF$6631,0),""))</f>
        <v/>
      </c>
      <c r="W2394" t="str">
        <f t="shared" si="3"/>
        <v/>
      </c>
      <c r="X2394" s="4" t="str">
        <f>IF(V2394="","",INDEX(Fornecedores!$X$1:$X$6631,V2394))</f>
        <v/>
      </c>
      <c r="Y2394" s="4" t="str">
        <f t="shared" si="4"/>
        <v/>
      </c>
    </row>
    <row r="2395" spans="19:25">
      <c r="S2395" t="str">
        <f t="shared" si="0"/>
        <v/>
      </c>
      <c r="T2395" t="str">
        <f t="shared" si="1"/>
        <v/>
      </c>
      <c r="U2395" t="str">
        <f t="shared" si="2"/>
        <v/>
      </c>
      <c r="V2395" t="str">
        <f>IF(OR(U2395="",U2395="ERRO_CHAVE"),"",IFERROR(MATCH(U2395,Fornecedores!$AF$1:$AF$6631,0),""))</f>
        <v/>
      </c>
      <c r="W2395" t="str">
        <f t="shared" si="3"/>
        <v/>
      </c>
      <c r="X2395" s="4" t="str">
        <f>IF(V2395="","",INDEX(Fornecedores!$X$1:$X$6631,V2395))</f>
        <v/>
      </c>
      <c r="Y2395" s="4" t="str">
        <f t="shared" si="4"/>
        <v/>
      </c>
    </row>
    <row r="2396" spans="19:25">
      <c r="S2396" t="str">
        <f t="shared" si="0"/>
        <v/>
      </c>
      <c r="T2396" t="str">
        <f t="shared" si="1"/>
        <v/>
      </c>
      <c r="U2396" t="str">
        <f t="shared" si="2"/>
        <v/>
      </c>
      <c r="V2396" t="str">
        <f>IF(OR(U2396="",U2396="ERRO_CHAVE"),"",IFERROR(MATCH(U2396,Fornecedores!$AF$1:$AF$6631,0),""))</f>
        <v/>
      </c>
      <c r="W2396" t="str">
        <f t="shared" si="3"/>
        <v/>
      </c>
      <c r="X2396" s="4" t="str">
        <f>IF(V2396="","",INDEX(Fornecedores!$X$1:$X$6631,V2396))</f>
        <v/>
      </c>
      <c r="Y2396" s="4" t="str">
        <f t="shared" si="4"/>
        <v/>
      </c>
    </row>
    <row r="2397" spans="19:25">
      <c r="S2397" t="str">
        <f t="shared" si="0"/>
        <v/>
      </c>
      <c r="T2397" t="str">
        <f t="shared" si="1"/>
        <v/>
      </c>
      <c r="U2397" t="str">
        <f t="shared" si="2"/>
        <v/>
      </c>
      <c r="V2397" t="str">
        <f>IF(OR(U2397="",U2397="ERRO_CHAVE"),"",IFERROR(MATCH(U2397,Fornecedores!$AF$1:$AF$6631,0),""))</f>
        <v/>
      </c>
      <c r="W2397" t="str">
        <f t="shared" si="3"/>
        <v/>
      </c>
      <c r="X2397" s="4" t="str">
        <f>IF(V2397="","",INDEX(Fornecedores!$X$1:$X$6631,V2397))</f>
        <v/>
      </c>
      <c r="Y2397" s="4" t="str">
        <f t="shared" si="4"/>
        <v/>
      </c>
    </row>
    <row r="2398" spans="19:25">
      <c r="S2398" t="str">
        <f t="shared" si="0"/>
        <v/>
      </c>
      <c r="T2398" t="str">
        <f t="shared" si="1"/>
        <v/>
      </c>
      <c r="U2398" t="str">
        <f t="shared" si="2"/>
        <v/>
      </c>
      <c r="V2398" t="str">
        <f>IF(OR(U2398="",U2398="ERRO_CHAVE"),"",IFERROR(MATCH(U2398,Fornecedores!$AF$1:$AF$6631,0),""))</f>
        <v/>
      </c>
      <c r="W2398" t="str">
        <f t="shared" si="3"/>
        <v/>
      </c>
      <c r="X2398" s="4" t="str">
        <f>IF(V2398="","",INDEX(Fornecedores!$X$1:$X$6631,V2398))</f>
        <v/>
      </c>
      <c r="Y2398" s="4" t="str">
        <f t="shared" si="4"/>
        <v/>
      </c>
    </row>
    <row r="2399" spans="19:25">
      <c r="S2399" t="str">
        <f t="shared" si="0"/>
        <v/>
      </c>
      <c r="T2399" t="str">
        <f t="shared" si="1"/>
        <v/>
      </c>
      <c r="U2399" t="str">
        <f t="shared" si="2"/>
        <v/>
      </c>
      <c r="V2399" t="str">
        <f>IF(OR(U2399="",U2399="ERRO_CHAVE"),"",IFERROR(MATCH(U2399,Fornecedores!$AF$1:$AF$6631,0),""))</f>
        <v/>
      </c>
      <c r="W2399" t="str">
        <f t="shared" si="3"/>
        <v/>
      </c>
      <c r="X2399" s="4" t="str">
        <f>IF(V2399="","",INDEX(Fornecedores!$X$1:$X$6631,V2399))</f>
        <v/>
      </c>
      <c r="Y2399" s="4" t="str">
        <f t="shared" si="4"/>
        <v/>
      </c>
    </row>
    <row r="2400" spans="19:25">
      <c r="S2400" t="str">
        <f t="shared" si="0"/>
        <v/>
      </c>
      <c r="T2400" t="str">
        <f t="shared" si="1"/>
        <v/>
      </c>
      <c r="U2400" t="str">
        <f t="shared" si="2"/>
        <v/>
      </c>
      <c r="V2400" t="str">
        <f>IF(OR(U2400="",U2400="ERRO_CHAVE"),"",IFERROR(MATCH(U2400,Fornecedores!$AF$1:$AF$6631,0),""))</f>
        <v/>
      </c>
      <c r="W2400" t="str">
        <f t="shared" si="3"/>
        <v/>
      </c>
      <c r="X2400" s="4" t="str">
        <f>IF(V2400="","",INDEX(Fornecedores!$X$1:$X$6631,V2400))</f>
        <v/>
      </c>
      <c r="Y2400" s="4" t="str">
        <f t="shared" si="4"/>
        <v/>
      </c>
    </row>
    <row r="2401" spans="19:25">
      <c r="S2401" t="str">
        <f t="shared" si="0"/>
        <v/>
      </c>
      <c r="T2401" t="str">
        <f t="shared" si="1"/>
        <v/>
      </c>
      <c r="U2401" t="str">
        <f t="shared" si="2"/>
        <v/>
      </c>
      <c r="V2401" t="str">
        <f>IF(OR(U2401="",U2401="ERRO_CHAVE"),"",IFERROR(MATCH(U2401,Fornecedores!$AF$1:$AF$6631,0),""))</f>
        <v/>
      </c>
      <c r="W2401" t="str">
        <f t="shared" si="3"/>
        <v/>
      </c>
      <c r="X2401" s="4" t="str">
        <f>IF(V2401="","",INDEX(Fornecedores!$X$1:$X$6631,V2401))</f>
        <v/>
      </c>
      <c r="Y2401" s="4" t="str">
        <f t="shared" si="4"/>
        <v/>
      </c>
    </row>
    <row r="2402" spans="19:25">
      <c r="S2402" t="str">
        <f t="shared" si="0"/>
        <v/>
      </c>
      <c r="T2402" t="str">
        <f t="shared" si="1"/>
        <v/>
      </c>
      <c r="U2402" t="str">
        <f t="shared" si="2"/>
        <v/>
      </c>
      <c r="V2402" t="str">
        <f>IF(OR(U2402="",U2402="ERRO_CHAVE"),"",IFERROR(MATCH(U2402,Fornecedores!$AF$1:$AF$6631,0),""))</f>
        <v/>
      </c>
      <c r="W2402" t="str">
        <f t="shared" si="3"/>
        <v/>
      </c>
      <c r="X2402" s="4" t="str">
        <f>IF(V2402="","",INDEX(Fornecedores!$X$1:$X$6631,V2402))</f>
        <v/>
      </c>
      <c r="Y2402" s="4" t="str">
        <f t="shared" si="4"/>
        <v/>
      </c>
    </row>
    <row r="2403" spans="19:25">
      <c r="S2403" t="str">
        <f t="shared" si="0"/>
        <v/>
      </c>
      <c r="T2403" t="str">
        <f t="shared" si="1"/>
        <v/>
      </c>
      <c r="U2403" t="str">
        <f t="shared" si="2"/>
        <v/>
      </c>
      <c r="V2403" t="str">
        <f>IF(OR(U2403="",U2403="ERRO_CHAVE"),"",IFERROR(MATCH(U2403,Fornecedores!$AF$1:$AF$6631,0),""))</f>
        <v/>
      </c>
      <c r="W2403" t="str">
        <f t="shared" si="3"/>
        <v/>
      </c>
      <c r="X2403" s="4" t="str">
        <f>IF(V2403="","",INDEX(Fornecedores!$X$1:$X$6631,V2403))</f>
        <v/>
      </c>
      <c r="Y2403" s="4" t="str">
        <f t="shared" si="4"/>
        <v/>
      </c>
    </row>
    <row r="2404" spans="19:25">
      <c r="S2404" t="str">
        <f t="shared" si="0"/>
        <v/>
      </c>
      <c r="T2404" t="str">
        <f t="shared" si="1"/>
        <v/>
      </c>
      <c r="U2404" t="str">
        <f t="shared" si="2"/>
        <v/>
      </c>
      <c r="V2404" t="str">
        <f>IF(OR(U2404="",U2404="ERRO_CHAVE"),"",IFERROR(MATCH(U2404,Fornecedores!$AF$1:$AF$6631,0),""))</f>
        <v/>
      </c>
      <c r="W2404" t="str">
        <f t="shared" si="3"/>
        <v/>
      </c>
      <c r="X2404" s="4" t="str">
        <f>IF(V2404="","",INDEX(Fornecedores!$X$1:$X$6631,V2404))</f>
        <v/>
      </c>
      <c r="Y2404" s="4" t="str">
        <f t="shared" si="4"/>
        <v/>
      </c>
    </row>
    <row r="2405" spans="19:25">
      <c r="S2405" t="str">
        <f t="shared" si="0"/>
        <v/>
      </c>
      <c r="T2405" t="str">
        <f t="shared" si="1"/>
        <v/>
      </c>
      <c r="U2405" t="str">
        <f t="shared" si="2"/>
        <v/>
      </c>
      <c r="V2405" t="str">
        <f>IF(OR(U2405="",U2405="ERRO_CHAVE"),"",IFERROR(MATCH(U2405,Fornecedores!$AF$1:$AF$6631,0),""))</f>
        <v/>
      </c>
      <c r="W2405" t="str">
        <f t="shared" si="3"/>
        <v/>
      </c>
      <c r="X2405" s="4" t="str">
        <f>IF(V2405="","",INDEX(Fornecedores!$X$1:$X$6631,V2405))</f>
        <v/>
      </c>
      <c r="Y2405" s="4" t="str">
        <f t="shared" si="4"/>
        <v/>
      </c>
    </row>
    <row r="2406" spans="19:25">
      <c r="S2406" t="str">
        <f t="shared" si="0"/>
        <v/>
      </c>
      <c r="T2406" t="str">
        <f t="shared" si="1"/>
        <v/>
      </c>
      <c r="U2406" t="str">
        <f t="shared" si="2"/>
        <v/>
      </c>
      <c r="V2406" t="str">
        <f>IF(OR(U2406="",U2406="ERRO_CHAVE"),"",IFERROR(MATCH(U2406,Fornecedores!$AF$1:$AF$6631,0),""))</f>
        <v/>
      </c>
      <c r="W2406" t="str">
        <f t="shared" si="3"/>
        <v/>
      </c>
      <c r="X2406" s="4" t="str">
        <f>IF(V2406="","",INDEX(Fornecedores!$X$1:$X$6631,V2406))</f>
        <v/>
      </c>
      <c r="Y2406" s="4" t="str">
        <f t="shared" si="4"/>
        <v/>
      </c>
    </row>
    <row r="2407" spans="19:25">
      <c r="S2407" t="str">
        <f t="shared" si="0"/>
        <v/>
      </c>
      <c r="T2407" t="str">
        <f t="shared" si="1"/>
        <v/>
      </c>
      <c r="U2407" t="str">
        <f t="shared" si="2"/>
        <v/>
      </c>
      <c r="V2407" t="str">
        <f>IF(OR(U2407="",U2407="ERRO_CHAVE"),"",IFERROR(MATCH(U2407,Fornecedores!$AF$1:$AF$6631,0),""))</f>
        <v/>
      </c>
      <c r="W2407" t="str">
        <f t="shared" si="3"/>
        <v/>
      </c>
      <c r="X2407" s="4" t="str">
        <f>IF(V2407="","",INDEX(Fornecedores!$X$1:$X$6631,V2407))</f>
        <v/>
      </c>
      <c r="Y2407" s="4" t="str">
        <f t="shared" si="4"/>
        <v/>
      </c>
    </row>
    <row r="2408" spans="19:25">
      <c r="S2408" t="str">
        <f t="shared" si="0"/>
        <v/>
      </c>
      <c r="T2408" t="str">
        <f t="shared" si="1"/>
        <v/>
      </c>
      <c r="U2408" t="str">
        <f t="shared" si="2"/>
        <v/>
      </c>
      <c r="V2408" t="str">
        <f>IF(OR(U2408="",U2408="ERRO_CHAVE"),"",IFERROR(MATCH(U2408,Fornecedores!$AF$1:$AF$6631,0),""))</f>
        <v/>
      </c>
      <c r="W2408" t="str">
        <f t="shared" si="3"/>
        <v/>
      </c>
      <c r="X2408" s="4" t="str">
        <f>IF(V2408="","",INDEX(Fornecedores!$X$1:$X$6631,V2408))</f>
        <v/>
      </c>
      <c r="Y2408" s="4" t="str">
        <f t="shared" si="4"/>
        <v/>
      </c>
    </row>
    <row r="2409" spans="19:25">
      <c r="S2409" t="str">
        <f t="shared" si="0"/>
        <v/>
      </c>
      <c r="T2409" t="str">
        <f t="shared" si="1"/>
        <v/>
      </c>
      <c r="U2409" t="str">
        <f t="shared" si="2"/>
        <v/>
      </c>
      <c r="V2409" t="str">
        <f>IF(OR(U2409="",U2409="ERRO_CHAVE"),"",IFERROR(MATCH(U2409,Fornecedores!$AF$1:$AF$6631,0),""))</f>
        <v/>
      </c>
      <c r="W2409" t="str">
        <f t="shared" si="3"/>
        <v/>
      </c>
      <c r="X2409" s="4" t="str">
        <f>IF(V2409="","",INDEX(Fornecedores!$X$1:$X$6631,V2409))</f>
        <v/>
      </c>
      <c r="Y2409" s="4" t="str">
        <f t="shared" si="4"/>
        <v/>
      </c>
    </row>
    <row r="2410" spans="19:25">
      <c r="S2410" t="str">
        <f t="shared" si="0"/>
        <v/>
      </c>
      <c r="T2410" t="str">
        <f t="shared" si="1"/>
        <v/>
      </c>
      <c r="U2410" t="str">
        <f t="shared" si="2"/>
        <v/>
      </c>
      <c r="V2410" t="str">
        <f>IF(OR(U2410="",U2410="ERRO_CHAVE"),"",IFERROR(MATCH(U2410,Fornecedores!$AF$1:$AF$6631,0),""))</f>
        <v/>
      </c>
      <c r="W2410" t="str">
        <f t="shared" si="3"/>
        <v/>
      </c>
      <c r="X2410" s="4" t="str">
        <f>IF(V2410="","",INDEX(Fornecedores!$X$1:$X$6631,V2410))</f>
        <v/>
      </c>
      <c r="Y2410" s="4" t="str">
        <f t="shared" si="4"/>
        <v/>
      </c>
    </row>
    <row r="2411" spans="19:25">
      <c r="S2411" t="str">
        <f t="shared" si="0"/>
        <v/>
      </c>
      <c r="T2411" t="str">
        <f t="shared" si="1"/>
        <v/>
      </c>
      <c r="U2411" t="str">
        <f t="shared" si="2"/>
        <v/>
      </c>
      <c r="V2411" t="str">
        <f>IF(OR(U2411="",U2411="ERRO_CHAVE"),"",IFERROR(MATCH(U2411,Fornecedores!$AF$1:$AF$6631,0),""))</f>
        <v/>
      </c>
      <c r="W2411" t="str">
        <f t="shared" si="3"/>
        <v/>
      </c>
      <c r="X2411" s="4" t="str">
        <f>IF(V2411="","",INDEX(Fornecedores!$X$1:$X$6631,V2411))</f>
        <v/>
      </c>
      <c r="Y2411" s="4" t="str">
        <f t="shared" si="4"/>
        <v/>
      </c>
    </row>
    <row r="2412" spans="19:25">
      <c r="S2412" t="str">
        <f t="shared" si="0"/>
        <v/>
      </c>
      <c r="T2412" t="str">
        <f t="shared" si="1"/>
        <v/>
      </c>
      <c r="U2412" t="str">
        <f t="shared" si="2"/>
        <v/>
      </c>
      <c r="V2412" t="str">
        <f>IF(OR(U2412="",U2412="ERRO_CHAVE"),"",IFERROR(MATCH(U2412,Fornecedores!$AF$1:$AF$6631,0),""))</f>
        <v/>
      </c>
      <c r="W2412" t="str">
        <f t="shared" si="3"/>
        <v/>
      </c>
      <c r="X2412" s="4" t="str">
        <f>IF(V2412="","",INDEX(Fornecedores!$X$1:$X$6631,V2412))</f>
        <v/>
      </c>
      <c r="Y2412" s="4" t="str">
        <f t="shared" si="4"/>
        <v/>
      </c>
    </row>
    <row r="2413" spans="19:25">
      <c r="S2413" t="str">
        <f t="shared" si="0"/>
        <v/>
      </c>
      <c r="T2413" t="str">
        <f t="shared" si="1"/>
        <v/>
      </c>
      <c r="U2413" t="str">
        <f t="shared" si="2"/>
        <v/>
      </c>
      <c r="V2413" t="str">
        <f>IF(OR(U2413="",U2413="ERRO_CHAVE"),"",IFERROR(MATCH(U2413,Fornecedores!$AF$1:$AF$6631,0),""))</f>
        <v/>
      </c>
      <c r="W2413" t="str">
        <f t="shared" si="3"/>
        <v/>
      </c>
      <c r="X2413" s="4" t="str">
        <f>IF(V2413="","",INDEX(Fornecedores!$X$1:$X$6631,V2413))</f>
        <v/>
      </c>
      <c r="Y2413" s="4" t="str">
        <f t="shared" si="4"/>
        <v/>
      </c>
    </row>
    <row r="2414" spans="19:25">
      <c r="S2414" t="str">
        <f t="shared" si="0"/>
        <v/>
      </c>
      <c r="T2414" t="str">
        <f t="shared" si="1"/>
        <v/>
      </c>
      <c r="U2414" t="str">
        <f t="shared" si="2"/>
        <v/>
      </c>
      <c r="V2414" t="str">
        <f>IF(OR(U2414="",U2414="ERRO_CHAVE"),"",IFERROR(MATCH(U2414,Fornecedores!$AF$1:$AF$6631,0),""))</f>
        <v/>
      </c>
      <c r="W2414" t="str">
        <f t="shared" si="3"/>
        <v/>
      </c>
      <c r="X2414" s="4" t="str">
        <f>IF(V2414="","",INDEX(Fornecedores!$X$1:$X$6631,V2414))</f>
        <v/>
      </c>
      <c r="Y2414" s="4" t="str">
        <f t="shared" si="4"/>
        <v/>
      </c>
    </row>
    <row r="2415" spans="19:25">
      <c r="S2415" t="str">
        <f t="shared" si="0"/>
        <v/>
      </c>
      <c r="T2415" t="str">
        <f t="shared" si="1"/>
        <v/>
      </c>
      <c r="U2415" t="str">
        <f t="shared" si="2"/>
        <v/>
      </c>
      <c r="V2415" t="str">
        <f>IF(OR(U2415="",U2415="ERRO_CHAVE"),"",IFERROR(MATCH(U2415,Fornecedores!$AF$1:$AF$6631,0),""))</f>
        <v/>
      </c>
      <c r="W2415" t="str">
        <f t="shared" si="3"/>
        <v/>
      </c>
      <c r="X2415" s="4" t="str">
        <f>IF(V2415="","",INDEX(Fornecedores!$X$1:$X$6631,V2415))</f>
        <v/>
      </c>
      <c r="Y2415" s="4" t="str">
        <f t="shared" si="4"/>
        <v/>
      </c>
    </row>
    <row r="2416" spans="19:25">
      <c r="S2416" t="str">
        <f t="shared" si="0"/>
        <v/>
      </c>
      <c r="T2416" t="str">
        <f t="shared" si="1"/>
        <v/>
      </c>
      <c r="U2416" t="str">
        <f t="shared" si="2"/>
        <v/>
      </c>
      <c r="V2416" t="str">
        <f>IF(OR(U2416="",U2416="ERRO_CHAVE"),"",IFERROR(MATCH(U2416,Fornecedores!$AF$1:$AF$6631,0),""))</f>
        <v/>
      </c>
      <c r="W2416" t="str">
        <f t="shared" si="3"/>
        <v/>
      </c>
      <c r="X2416" s="4" t="str">
        <f>IF(V2416="","",INDEX(Fornecedores!$X$1:$X$6631,V2416))</f>
        <v/>
      </c>
      <c r="Y2416" s="4" t="str">
        <f t="shared" si="4"/>
        <v/>
      </c>
    </row>
    <row r="2417" spans="19:25">
      <c r="S2417" t="str">
        <f t="shared" si="0"/>
        <v/>
      </c>
      <c r="T2417" t="str">
        <f t="shared" si="1"/>
        <v/>
      </c>
      <c r="U2417" t="str">
        <f t="shared" si="2"/>
        <v/>
      </c>
      <c r="V2417" t="str">
        <f>IF(OR(U2417="",U2417="ERRO_CHAVE"),"",IFERROR(MATCH(U2417,Fornecedores!$AF$1:$AF$6631,0),""))</f>
        <v/>
      </c>
      <c r="W2417" t="str">
        <f t="shared" si="3"/>
        <v/>
      </c>
      <c r="X2417" s="4" t="str">
        <f>IF(V2417="","",INDEX(Fornecedores!$X$1:$X$6631,V2417))</f>
        <v/>
      </c>
      <c r="Y2417" s="4" t="str">
        <f t="shared" si="4"/>
        <v/>
      </c>
    </row>
    <row r="2418" spans="19:25">
      <c r="S2418" t="str">
        <f t="shared" si="0"/>
        <v/>
      </c>
      <c r="T2418" t="str">
        <f t="shared" si="1"/>
        <v/>
      </c>
      <c r="U2418" t="str">
        <f t="shared" si="2"/>
        <v/>
      </c>
      <c r="V2418" t="str">
        <f>IF(OR(U2418="",U2418="ERRO_CHAVE"),"",IFERROR(MATCH(U2418,Fornecedores!$AF$1:$AF$6631,0),""))</f>
        <v/>
      </c>
      <c r="W2418" t="str">
        <f t="shared" si="3"/>
        <v/>
      </c>
      <c r="X2418" s="4" t="str">
        <f>IF(V2418="","",INDEX(Fornecedores!$X$1:$X$6631,V2418))</f>
        <v/>
      </c>
      <c r="Y2418" s="4" t="str">
        <f t="shared" si="4"/>
        <v/>
      </c>
    </row>
    <row r="2419" spans="19:25">
      <c r="S2419" t="str">
        <f t="shared" si="0"/>
        <v/>
      </c>
      <c r="T2419" t="str">
        <f t="shared" si="1"/>
        <v/>
      </c>
      <c r="U2419" t="str">
        <f t="shared" si="2"/>
        <v/>
      </c>
      <c r="V2419" t="str">
        <f>IF(OR(U2419="",U2419="ERRO_CHAVE"),"",IFERROR(MATCH(U2419,Fornecedores!$AF$1:$AF$6631,0),""))</f>
        <v/>
      </c>
      <c r="W2419" t="str">
        <f t="shared" si="3"/>
        <v/>
      </c>
      <c r="X2419" s="4" t="str">
        <f>IF(V2419="","",INDEX(Fornecedores!$X$1:$X$6631,V2419))</f>
        <v/>
      </c>
      <c r="Y2419" s="4" t="str">
        <f t="shared" si="4"/>
        <v/>
      </c>
    </row>
    <row r="2420" spans="19:25">
      <c r="S2420" t="str">
        <f t="shared" si="0"/>
        <v/>
      </c>
      <c r="T2420" t="str">
        <f t="shared" si="1"/>
        <v/>
      </c>
      <c r="U2420" t="str">
        <f t="shared" si="2"/>
        <v/>
      </c>
      <c r="V2420" t="str">
        <f>IF(OR(U2420="",U2420="ERRO_CHAVE"),"",IFERROR(MATCH(U2420,Fornecedores!$AF$1:$AF$6631,0),""))</f>
        <v/>
      </c>
      <c r="W2420" t="str">
        <f t="shared" si="3"/>
        <v/>
      </c>
      <c r="X2420" s="4" t="str">
        <f>IF(V2420="","",INDEX(Fornecedores!$X$1:$X$6631,V2420))</f>
        <v/>
      </c>
      <c r="Y2420" s="4" t="str">
        <f t="shared" si="4"/>
        <v/>
      </c>
    </row>
    <row r="2421" spans="19:25">
      <c r="S2421" t="str">
        <f t="shared" si="0"/>
        <v/>
      </c>
      <c r="T2421" t="str">
        <f t="shared" si="1"/>
        <v/>
      </c>
      <c r="U2421" t="str">
        <f t="shared" si="2"/>
        <v/>
      </c>
      <c r="V2421" t="str">
        <f>IF(OR(U2421="",U2421="ERRO_CHAVE"),"",IFERROR(MATCH(U2421,Fornecedores!$AF$1:$AF$6631,0),""))</f>
        <v/>
      </c>
      <c r="W2421" t="str">
        <f t="shared" si="3"/>
        <v/>
      </c>
      <c r="X2421" s="4" t="str">
        <f>IF(V2421="","",INDEX(Fornecedores!$X$1:$X$6631,V2421))</f>
        <v/>
      </c>
      <c r="Y2421" s="4" t="str">
        <f t="shared" si="4"/>
        <v/>
      </c>
    </row>
    <row r="2422" spans="19:25">
      <c r="S2422" t="str">
        <f t="shared" si="0"/>
        <v/>
      </c>
      <c r="T2422" t="str">
        <f t="shared" si="1"/>
        <v/>
      </c>
      <c r="U2422" t="str">
        <f t="shared" si="2"/>
        <v/>
      </c>
      <c r="V2422" t="str">
        <f>IF(OR(U2422="",U2422="ERRO_CHAVE"),"",IFERROR(MATCH(U2422,Fornecedores!$AF$1:$AF$6631,0),""))</f>
        <v/>
      </c>
      <c r="W2422" t="str">
        <f t="shared" si="3"/>
        <v/>
      </c>
      <c r="X2422" s="4" t="str">
        <f>IF(V2422="","",INDEX(Fornecedores!$X$1:$X$6631,V2422))</f>
        <v/>
      </c>
      <c r="Y2422" s="4" t="str">
        <f t="shared" si="4"/>
        <v/>
      </c>
    </row>
    <row r="2423" spans="19:25">
      <c r="S2423" t="str">
        <f t="shared" si="0"/>
        <v/>
      </c>
      <c r="T2423" t="str">
        <f t="shared" si="1"/>
        <v/>
      </c>
      <c r="U2423" t="str">
        <f t="shared" si="2"/>
        <v/>
      </c>
      <c r="V2423" t="str">
        <f>IF(OR(U2423="",U2423="ERRO_CHAVE"),"",IFERROR(MATCH(U2423,Fornecedores!$AF$1:$AF$6631,0),""))</f>
        <v/>
      </c>
      <c r="W2423" t="str">
        <f t="shared" si="3"/>
        <v/>
      </c>
      <c r="X2423" s="4" t="str">
        <f>IF(V2423="","",INDEX(Fornecedores!$X$1:$X$6631,V2423))</f>
        <v/>
      </c>
      <c r="Y2423" s="4" t="str">
        <f t="shared" si="4"/>
        <v/>
      </c>
    </row>
    <row r="2424" spans="19:25">
      <c r="S2424" t="str">
        <f t="shared" si="0"/>
        <v/>
      </c>
      <c r="T2424" t="str">
        <f t="shared" si="1"/>
        <v/>
      </c>
      <c r="U2424" t="str">
        <f t="shared" si="2"/>
        <v/>
      </c>
      <c r="V2424" t="str">
        <f>IF(OR(U2424="",U2424="ERRO_CHAVE"),"",IFERROR(MATCH(U2424,Fornecedores!$AF$1:$AF$6631,0),""))</f>
        <v/>
      </c>
      <c r="W2424" t="str">
        <f t="shared" si="3"/>
        <v/>
      </c>
      <c r="X2424" s="4" t="str">
        <f>IF(V2424="","",INDEX(Fornecedores!$X$1:$X$6631,V2424))</f>
        <v/>
      </c>
      <c r="Y2424" s="4" t="str">
        <f t="shared" si="4"/>
        <v/>
      </c>
    </row>
    <row r="2425" spans="19:25">
      <c r="S2425" t="str">
        <f t="shared" si="0"/>
        <v/>
      </c>
      <c r="T2425" t="str">
        <f t="shared" si="1"/>
        <v/>
      </c>
      <c r="U2425" t="str">
        <f t="shared" si="2"/>
        <v/>
      </c>
      <c r="V2425" t="str">
        <f>IF(OR(U2425="",U2425="ERRO_CHAVE"),"",IFERROR(MATCH(U2425,Fornecedores!$AF$1:$AF$6631,0),""))</f>
        <v/>
      </c>
      <c r="W2425" t="str">
        <f t="shared" si="3"/>
        <v/>
      </c>
      <c r="X2425" s="4" t="str">
        <f>IF(V2425="","",INDEX(Fornecedores!$X$1:$X$6631,V2425))</f>
        <v/>
      </c>
      <c r="Y2425" s="4" t="str">
        <f t="shared" si="4"/>
        <v/>
      </c>
    </row>
    <row r="2426" spans="19:25">
      <c r="S2426" t="str">
        <f t="shared" si="0"/>
        <v/>
      </c>
      <c r="T2426" t="str">
        <f t="shared" si="1"/>
        <v/>
      </c>
      <c r="U2426" t="str">
        <f t="shared" si="2"/>
        <v/>
      </c>
      <c r="V2426" t="str">
        <f>IF(OR(U2426="",U2426="ERRO_CHAVE"),"",IFERROR(MATCH(U2426,Fornecedores!$AF$1:$AF$6631,0),""))</f>
        <v/>
      </c>
      <c r="W2426" t="str">
        <f t="shared" si="3"/>
        <v/>
      </c>
      <c r="X2426" s="4" t="str">
        <f>IF(V2426="","",INDEX(Fornecedores!$X$1:$X$6631,V2426))</f>
        <v/>
      </c>
      <c r="Y2426" s="4" t="str">
        <f t="shared" si="4"/>
        <v/>
      </c>
    </row>
    <row r="2427" spans="19:25">
      <c r="S2427" t="str">
        <f t="shared" si="0"/>
        <v/>
      </c>
      <c r="T2427" t="str">
        <f t="shared" si="1"/>
        <v/>
      </c>
      <c r="U2427" t="str">
        <f t="shared" si="2"/>
        <v/>
      </c>
      <c r="V2427" t="str">
        <f>IF(OR(U2427="",U2427="ERRO_CHAVE"),"",IFERROR(MATCH(U2427,Fornecedores!$AF$1:$AF$6631,0),""))</f>
        <v/>
      </c>
      <c r="W2427" t="str">
        <f t="shared" si="3"/>
        <v/>
      </c>
      <c r="X2427" s="4" t="str">
        <f>IF(V2427="","",INDEX(Fornecedores!$X$1:$X$6631,V2427))</f>
        <v/>
      </c>
      <c r="Y2427" s="4" t="str">
        <f t="shared" si="4"/>
        <v/>
      </c>
    </row>
    <row r="2428" spans="19:25">
      <c r="S2428" t="str">
        <f t="shared" si="0"/>
        <v/>
      </c>
      <c r="T2428" t="str">
        <f t="shared" si="1"/>
        <v/>
      </c>
      <c r="U2428" t="str">
        <f t="shared" si="2"/>
        <v/>
      </c>
      <c r="V2428" t="str">
        <f>IF(OR(U2428="",U2428="ERRO_CHAVE"),"",IFERROR(MATCH(U2428,Fornecedores!$AF$1:$AF$6631,0),""))</f>
        <v/>
      </c>
      <c r="W2428" t="str">
        <f t="shared" si="3"/>
        <v/>
      </c>
      <c r="X2428" s="4" t="str">
        <f>IF(V2428="","",INDEX(Fornecedores!$X$1:$X$6631,V2428))</f>
        <v/>
      </c>
      <c r="Y2428" s="4" t="str">
        <f t="shared" si="4"/>
        <v/>
      </c>
    </row>
    <row r="2429" spans="19:25">
      <c r="S2429" t="str">
        <f t="shared" si="0"/>
        <v/>
      </c>
      <c r="T2429" t="str">
        <f t="shared" si="1"/>
        <v/>
      </c>
      <c r="U2429" t="str">
        <f t="shared" si="2"/>
        <v/>
      </c>
      <c r="V2429" t="str">
        <f>IF(OR(U2429="",U2429="ERRO_CHAVE"),"",IFERROR(MATCH(U2429,Fornecedores!$AF$1:$AF$6631,0),""))</f>
        <v/>
      </c>
      <c r="W2429" t="str">
        <f t="shared" si="3"/>
        <v/>
      </c>
      <c r="X2429" s="4" t="str">
        <f>IF(V2429="","",INDEX(Fornecedores!$X$1:$X$6631,V2429))</f>
        <v/>
      </c>
      <c r="Y2429" s="4" t="str">
        <f t="shared" si="4"/>
        <v/>
      </c>
    </row>
    <row r="2430" spans="19:25">
      <c r="S2430" t="str">
        <f t="shared" si="0"/>
        <v/>
      </c>
      <c r="T2430" t="str">
        <f t="shared" si="1"/>
        <v/>
      </c>
      <c r="U2430" t="str">
        <f t="shared" si="2"/>
        <v/>
      </c>
      <c r="V2430" t="str">
        <f>IF(OR(U2430="",U2430="ERRO_CHAVE"),"",IFERROR(MATCH(U2430,Fornecedores!$AF$1:$AF$6631,0),""))</f>
        <v/>
      </c>
      <c r="W2430" t="str">
        <f t="shared" si="3"/>
        <v/>
      </c>
      <c r="X2430" s="4" t="str">
        <f>IF(V2430="","",INDEX(Fornecedores!$X$1:$X$6631,V2430))</f>
        <v/>
      </c>
      <c r="Y2430" s="4" t="str">
        <f t="shared" si="4"/>
        <v/>
      </c>
    </row>
    <row r="2431" spans="19:25">
      <c r="S2431" t="str">
        <f t="shared" si="0"/>
        <v/>
      </c>
      <c r="T2431" t="str">
        <f t="shared" si="1"/>
        <v/>
      </c>
      <c r="U2431" t="str">
        <f t="shared" si="2"/>
        <v/>
      </c>
      <c r="V2431" t="str">
        <f>IF(OR(U2431="",U2431="ERRO_CHAVE"),"",IFERROR(MATCH(U2431,Fornecedores!$AF$1:$AF$6631,0),""))</f>
        <v/>
      </c>
      <c r="W2431" t="str">
        <f t="shared" si="3"/>
        <v/>
      </c>
      <c r="X2431" s="4" t="str">
        <f>IF(V2431="","",INDEX(Fornecedores!$X$1:$X$6631,V2431))</f>
        <v/>
      </c>
      <c r="Y2431" s="4" t="str">
        <f t="shared" si="4"/>
        <v/>
      </c>
    </row>
    <row r="2432" spans="19:25">
      <c r="S2432" t="str">
        <f t="shared" si="0"/>
        <v/>
      </c>
      <c r="T2432" t="str">
        <f t="shared" si="1"/>
        <v/>
      </c>
      <c r="U2432" t="str">
        <f t="shared" si="2"/>
        <v/>
      </c>
      <c r="V2432" t="str">
        <f>IF(OR(U2432="",U2432="ERRO_CHAVE"),"",IFERROR(MATCH(U2432,Fornecedores!$AF$1:$AF$6631,0),""))</f>
        <v/>
      </c>
      <c r="W2432" t="str">
        <f t="shared" si="3"/>
        <v/>
      </c>
      <c r="X2432" s="4" t="str">
        <f>IF(V2432="","",INDEX(Fornecedores!$X$1:$X$6631,V2432))</f>
        <v/>
      </c>
      <c r="Y2432" s="4" t="str">
        <f t="shared" si="4"/>
        <v/>
      </c>
    </row>
    <row r="2433" spans="19:25">
      <c r="S2433" t="str">
        <f t="shared" si="0"/>
        <v/>
      </c>
      <c r="T2433" t="str">
        <f t="shared" si="1"/>
        <v/>
      </c>
      <c r="U2433" t="str">
        <f t="shared" si="2"/>
        <v/>
      </c>
      <c r="V2433" t="str">
        <f>IF(OR(U2433="",U2433="ERRO_CHAVE"),"",IFERROR(MATCH(U2433,Fornecedores!$AF$1:$AF$6631,0),""))</f>
        <v/>
      </c>
      <c r="W2433" t="str">
        <f t="shared" si="3"/>
        <v/>
      </c>
      <c r="X2433" s="4" t="str">
        <f>IF(V2433="","",INDEX(Fornecedores!$X$1:$X$6631,V2433))</f>
        <v/>
      </c>
      <c r="Y2433" s="4" t="str">
        <f t="shared" si="4"/>
        <v/>
      </c>
    </row>
    <row r="2434" spans="19:25">
      <c r="S2434" t="str">
        <f t="shared" si="0"/>
        <v/>
      </c>
      <c r="T2434" t="str">
        <f t="shared" si="1"/>
        <v/>
      </c>
      <c r="U2434" t="str">
        <f t="shared" si="2"/>
        <v/>
      </c>
      <c r="V2434" t="str">
        <f>IF(OR(U2434="",U2434="ERRO_CHAVE"),"",IFERROR(MATCH(U2434,Fornecedores!$AF$1:$AF$6631,0),""))</f>
        <v/>
      </c>
      <c r="W2434" t="str">
        <f t="shared" si="3"/>
        <v/>
      </c>
      <c r="X2434" s="4" t="str">
        <f>IF(V2434="","",INDEX(Fornecedores!$X$1:$X$6631,V2434))</f>
        <v/>
      </c>
      <c r="Y2434" s="4" t="str">
        <f t="shared" si="4"/>
        <v/>
      </c>
    </row>
    <row r="2435" spans="19:25">
      <c r="S2435" t="str">
        <f t="shared" si="0"/>
        <v/>
      </c>
      <c r="T2435" t="str">
        <f t="shared" si="1"/>
        <v/>
      </c>
      <c r="U2435" t="str">
        <f t="shared" si="2"/>
        <v/>
      </c>
      <c r="V2435" t="str">
        <f>IF(OR(U2435="",U2435="ERRO_CHAVE"),"",IFERROR(MATCH(U2435,Fornecedores!$AF$1:$AF$6631,0),""))</f>
        <v/>
      </c>
      <c r="W2435" t="str">
        <f t="shared" si="3"/>
        <v/>
      </c>
      <c r="X2435" s="4" t="str">
        <f>IF(V2435="","",INDEX(Fornecedores!$X$1:$X$6631,V2435))</f>
        <v/>
      </c>
      <c r="Y2435" s="4" t="str">
        <f t="shared" si="4"/>
        <v/>
      </c>
    </row>
    <row r="2436" spans="19:25">
      <c r="S2436" t="str">
        <f t="shared" si="0"/>
        <v/>
      </c>
      <c r="T2436" t="str">
        <f t="shared" si="1"/>
        <v/>
      </c>
      <c r="U2436" t="str">
        <f t="shared" si="2"/>
        <v/>
      </c>
      <c r="V2436" t="str">
        <f>IF(OR(U2436="",U2436="ERRO_CHAVE"),"",IFERROR(MATCH(U2436,Fornecedores!$AF$1:$AF$6631,0),""))</f>
        <v/>
      </c>
      <c r="W2436" t="str">
        <f t="shared" si="3"/>
        <v/>
      </c>
      <c r="X2436" s="4" t="str">
        <f>IF(V2436="","",INDEX(Fornecedores!$X$1:$X$6631,V2436))</f>
        <v/>
      </c>
      <c r="Y2436" s="4" t="str">
        <f t="shared" si="4"/>
        <v/>
      </c>
    </row>
    <row r="2437" spans="19:25">
      <c r="S2437" t="str">
        <f t="shared" si="0"/>
        <v/>
      </c>
      <c r="T2437" t="str">
        <f t="shared" si="1"/>
        <v/>
      </c>
      <c r="U2437" t="str">
        <f t="shared" si="2"/>
        <v/>
      </c>
      <c r="V2437" t="str">
        <f>IF(OR(U2437="",U2437="ERRO_CHAVE"),"",IFERROR(MATCH(U2437,Fornecedores!$AF$1:$AF$6631,0),""))</f>
        <v/>
      </c>
      <c r="W2437" t="str">
        <f t="shared" si="3"/>
        <v/>
      </c>
      <c r="X2437" s="4" t="str">
        <f>IF(V2437="","",INDEX(Fornecedores!$X$1:$X$6631,V2437))</f>
        <v/>
      </c>
      <c r="Y2437" s="4" t="str">
        <f t="shared" si="4"/>
        <v/>
      </c>
    </row>
    <row r="2438" spans="19:25">
      <c r="S2438" t="str">
        <f t="shared" si="0"/>
        <v/>
      </c>
      <c r="T2438" t="str">
        <f t="shared" si="1"/>
        <v/>
      </c>
      <c r="U2438" t="str">
        <f t="shared" si="2"/>
        <v/>
      </c>
      <c r="V2438" t="str">
        <f>IF(OR(U2438="",U2438="ERRO_CHAVE"),"",IFERROR(MATCH(U2438,Fornecedores!$AF$1:$AF$6631,0),""))</f>
        <v/>
      </c>
      <c r="W2438" t="str">
        <f t="shared" si="3"/>
        <v/>
      </c>
      <c r="X2438" s="4" t="str">
        <f>IF(V2438="","",INDEX(Fornecedores!$X$1:$X$6631,V2438))</f>
        <v/>
      </c>
      <c r="Y2438" s="4" t="str">
        <f t="shared" si="4"/>
        <v/>
      </c>
    </row>
    <row r="2439" spans="19:25">
      <c r="S2439" t="str">
        <f t="shared" si="0"/>
        <v/>
      </c>
      <c r="T2439" t="str">
        <f t="shared" si="1"/>
        <v/>
      </c>
      <c r="U2439" t="str">
        <f t="shared" si="2"/>
        <v/>
      </c>
      <c r="V2439" t="str">
        <f>IF(OR(U2439="",U2439="ERRO_CHAVE"),"",IFERROR(MATCH(U2439,Fornecedores!$AF$1:$AF$6631,0),""))</f>
        <v/>
      </c>
      <c r="W2439" t="str">
        <f t="shared" si="3"/>
        <v/>
      </c>
      <c r="X2439" s="4" t="str">
        <f>IF(V2439="","",INDEX(Fornecedores!$X$1:$X$6631,V2439))</f>
        <v/>
      </c>
      <c r="Y2439" s="4" t="str">
        <f t="shared" si="4"/>
        <v/>
      </c>
    </row>
    <row r="2440" spans="19:25">
      <c r="S2440" t="str">
        <f t="shared" si="0"/>
        <v/>
      </c>
      <c r="T2440" t="str">
        <f t="shared" si="1"/>
        <v/>
      </c>
      <c r="U2440" t="str">
        <f t="shared" si="2"/>
        <v/>
      </c>
      <c r="V2440" t="str">
        <f>IF(OR(U2440="",U2440="ERRO_CHAVE"),"",IFERROR(MATCH(U2440,Fornecedores!$AF$1:$AF$6631,0),""))</f>
        <v/>
      </c>
      <c r="W2440" t="str">
        <f t="shared" si="3"/>
        <v/>
      </c>
      <c r="X2440" s="4" t="str">
        <f>IF(V2440="","",INDEX(Fornecedores!$X$1:$X$6631,V2440))</f>
        <v/>
      </c>
      <c r="Y2440" s="4" t="str">
        <f t="shared" si="4"/>
        <v/>
      </c>
    </row>
    <row r="2441" spans="19:25">
      <c r="S2441" t="str">
        <f t="shared" si="0"/>
        <v/>
      </c>
      <c r="T2441" t="str">
        <f t="shared" si="1"/>
        <v/>
      </c>
      <c r="U2441" t="str">
        <f t="shared" si="2"/>
        <v/>
      </c>
      <c r="V2441" t="str">
        <f>IF(OR(U2441="",U2441="ERRO_CHAVE"),"",IFERROR(MATCH(U2441,Fornecedores!$AF$1:$AF$6631,0),""))</f>
        <v/>
      </c>
      <c r="W2441" t="str">
        <f t="shared" si="3"/>
        <v/>
      </c>
      <c r="X2441" s="4" t="str">
        <f>IF(V2441="","",INDEX(Fornecedores!$X$1:$X$6631,V2441))</f>
        <v/>
      </c>
      <c r="Y2441" s="4" t="str">
        <f t="shared" si="4"/>
        <v/>
      </c>
    </row>
    <row r="2442" spans="19:25">
      <c r="S2442" t="str">
        <f t="shared" si="0"/>
        <v/>
      </c>
      <c r="T2442" t="str">
        <f t="shared" si="1"/>
        <v/>
      </c>
      <c r="U2442" t="str">
        <f t="shared" si="2"/>
        <v/>
      </c>
      <c r="V2442" t="str">
        <f>IF(OR(U2442="",U2442="ERRO_CHAVE"),"",IFERROR(MATCH(U2442,Fornecedores!$AF$1:$AF$6631,0),""))</f>
        <v/>
      </c>
      <c r="W2442" t="str">
        <f t="shared" si="3"/>
        <v/>
      </c>
      <c r="X2442" s="4" t="str">
        <f>IF(V2442="","",INDEX(Fornecedores!$X$1:$X$6631,V2442))</f>
        <v/>
      </c>
      <c r="Y2442" s="4" t="str">
        <f t="shared" si="4"/>
        <v/>
      </c>
    </row>
    <row r="2443" spans="19:25">
      <c r="S2443" t="str">
        <f t="shared" si="0"/>
        <v/>
      </c>
      <c r="T2443" t="str">
        <f t="shared" si="1"/>
        <v/>
      </c>
      <c r="U2443" t="str">
        <f t="shared" si="2"/>
        <v/>
      </c>
      <c r="V2443" t="str">
        <f>IF(OR(U2443="",U2443="ERRO_CHAVE"),"",IFERROR(MATCH(U2443,Fornecedores!$AF$1:$AF$6631,0),""))</f>
        <v/>
      </c>
      <c r="W2443" t="str">
        <f t="shared" si="3"/>
        <v/>
      </c>
      <c r="X2443" s="4" t="str">
        <f>IF(V2443="","",INDEX(Fornecedores!$X$1:$X$6631,V2443))</f>
        <v/>
      </c>
      <c r="Y2443" s="4" t="str">
        <f t="shared" si="4"/>
        <v/>
      </c>
    </row>
    <row r="2444" spans="19:25">
      <c r="S2444" t="str">
        <f t="shared" si="0"/>
        <v/>
      </c>
      <c r="T2444" t="str">
        <f t="shared" si="1"/>
        <v/>
      </c>
      <c r="U2444" t="str">
        <f t="shared" si="2"/>
        <v/>
      </c>
      <c r="V2444" t="str">
        <f>IF(OR(U2444="",U2444="ERRO_CHAVE"),"",IFERROR(MATCH(U2444,Fornecedores!$AF$1:$AF$6631,0),""))</f>
        <v/>
      </c>
      <c r="W2444" t="str">
        <f t="shared" si="3"/>
        <v/>
      </c>
      <c r="X2444" s="4" t="str">
        <f>IF(V2444="","",INDEX(Fornecedores!$X$1:$X$6631,V2444))</f>
        <v/>
      </c>
      <c r="Y2444" s="4" t="str">
        <f t="shared" si="4"/>
        <v/>
      </c>
    </row>
    <row r="2445" spans="19:25">
      <c r="S2445" t="str">
        <f t="shared" si="0"/>
        <v/>
      </c>
      <c r="T2445" t="str">
        <f t="shared" si="1"/>
        <v/>
      </c>
      <c r="U2445" t="str">
        <f t="shared" si="2"/>
        <v/>
      </c>
      <c r="V2445" t="str">
        <f>IF(OR(U2445="",U2445="ERRO_CHAVE"),"",IFERROR(MATCH(U2445,Fornecedores!$AF$1:$AF$6631,0),""))</f>
        <v/>
      </c>
      <c r="W2445" t="str">
        <f t="shared" si="3"/>
        <v/>
      </c>
      <c r="X2445" s="4" t="str">
        <f>IF(V2445="","",INDEX(Fornecedores!$X$1:$X$6631,V2445))</f>
        <v/>
      </c>
      <c r="Y2445" s="4" t="str">
        <f t="shared" si="4"/>
        <v/>
      </c>
    </row>
    <row r="2446" spans="19:25">
      <c r="S2446" t="str">
        <f t="shared" si="0"/>
        <v/>
      </c>
      <c r="T2446" t="str">
        <f t="shared" si="1"/>
        <v/>
      </c>
      <c r="U2446" t="str">
        <f t="shared" si="2"/>
        <v/>
      </c>
      <c r="V2446" t="str">
        <f>IF(OR(U2446="",U2446="ERRO_CHAVE"),"",IFERROR(MATCH(U2446,Fornecedores!$AF$1:$AF$6631,0),""))</f>
        <v/>
      </c>
      <c r="W2446" t="str">
        <f t="shared" si="3"/>
        <v/>
      </c>
      <c r="X2446" s="4" t="str">
        <f>IF(V2446="","",INDEX(Fornecedores!$X$1:$X$6631,V2446))</f>
        <v/>
      </c>
      <c r="Y2446" s="4" t="str">
        <f t="shared" si="4"/>
        <v/>
      </c>
    </row>
    <row r="2447" spans="19:25">
      <c r="S2447" t="str">
        <f t="shared" si="0"/>
        <v/>
      </c>
      <c r="T2447" t="str">
        <f t="shared" si="1"/>
        <v/>
      </c>
      <c r="U2447" t="str">
        <f t="shared" si="2"/>
        <v/>
      </c>
      <c r="V2447" t="str">
        <f>IF(OR(U2447="",U2447="ERRO_CHAVE"),"",IFERROR(MATCH(U2447,Fornecedores!$AF$1:$AF$6631,0),""))</f>
        <v/>
      </c>
      <c r="W2447" t="str">
        <f t="shared" si="3"/>
        <v/>
      </c>
      <c r="X2447" s="4" t="str">
        <f>IF(V2447="","",INDEX(Fornecedores!$X$1:$X$6631,V2447))</f>
        <v/>
      </c>
      <c r="Y2447" s="4" t="str">
        <f t="shared" si="4"/>
        <v/>
      </c>
    </row>
    <row r="2448" spans="19:25">
      <c r="S2448" t="str">
        <f t="shared" si="0"/>
        <v/>
      </c>
      <c r="T2448" t="str">
        <f t="shared" si="1"/>
        <v/>
      </c>
      <c r="U2448" t="str">
        <f t="shared" si="2"/>
        <v/>
      </c>
      <c r="V2448" t="str">
        <f>IF(OR(U2448="",U2448="ERRO_CHAVE"),"",IFERROR(MATCH(U2448,Fornecedores!$AF$1:$AF$6631,0),""))</f>
        <v/>
      </c>
      <c r="W2448" t="str">
        <f t="shared" si="3"/>
        <v/>
      </c>
      <c r="X2448" s="4" t="str">
        <f>IF(V2448="","",INDEX(Fornecedores!$X$1:$X$6631,V2448))</f>
        <v/>
      </c>
      <c r="Y2448" s="4" t="str">
        <f t="shared" si="4"/>
        <v/>
      </c>
    </row>
    <row r="2449" spans="19:25">
      <c r="S2449" t="str">
        <f t="shared" si="0"/>
        <v/>
      </c>
      <c r="T2449" t="str">
        <f t="shared" si="1"/>
        <v/>
      </c>
      <c r="U2449" t="str">
        <f t="shared" si="2"/>
        <v/>
      </c>
      <c r="V2449" t="str">
        <f>IF(OR(U2449="",U2449="ERRO_CHAVE"),"",IFERROR(MATCH(U2449,Fornecedores!$AF$1:$AF$6631,0),""))</f>
        <v/>
      </c>
      <c r="W2449" t="str">
        <f t="shared" si="3"/>
        <v/>
      </c>
      <c r="X2449" s="4" t="str">
        <f>IF(V2449="","",INDEX(Fornecedores!$X$1:$X$6631,V2449))</f>
        <v/>
      </c>
      <c r="Y2449" s="4" t="str">
        <f t="shared" si="4"/>
        <v/>
      </c>
    </row>
    <row r="2450" spans="19:25">
      <c r="S2450" t="str">
        <f t="shared" si="0"/>
        <v/>
      </c>
      <c r="T2450" t="str">
        <f t="shared" si="1"/>
        <v/>
      </c>
      <c r="U2450" t="str">
        <f t="shared" si="2"/>
        <v/>
      </c>
      <c r="V2450" t="str">
        <f>IF(OR(U2450="",U2450="ERRO_CHAVE"),"",IFERROR(MATCH(U2450,Fornecedores!$AF$1:$AF$6631,0),""))</f>
        <v/>
      </c>
      <c r="W2450" t="str">
        <f t="shared" si="3"/>
        <v/>
      </c>
      <c r="X2450" s="4" t="str">
        <f>IF(V2450="","",INDEX(Fornecedores!$X$1:$X$6631,V2450))</f>
        <v/>
      </c>
      <c r="Y2450" s="4" t="str">
        <f t="shared" si="4"/>
        <v/>
      </c>
    </row>
    <row r="2451" spans="19:25">
      <c r="S2451" t="str">
        <f t="shared" si="0"/>
        <v/>
      </c>
      <c r="T2451" t="str">
        <f t="shared" si="1"/>
        <v/>
      </c>
      <c r="U2451" t="str">
        <f t="shared" si="2"/>
        <v/>
      </c>
      <c r="V2451" t="str">
        <f>IF(OR(U2451="",U2451="ERRO_CHAVE"),"",IFERROR(MATCH(U2451,Fornecedores!$AF$1:$AF$6631,0),""))</f>
        <v/>
      </c>
      <c r="W2451" t="str">
        <f t="shared" si="3"/>
        <v/>
      </c>
      <c r="X2451" s="4" t="str">
        <f>IF(V2451="","",INDEX(Fornecedores!$X$1:$X$6631,V2451))</f>
        <v/>
      </c>
      <c r="Y2451" s="4" t="str">
        <f t="shared" si="4"/>
        <v/>
      </c>
    </row>
    <row r="2452" spans="19:25">
      <c r="S2452" t="str">
        <f t="shared" si="0"/>
        <v/>
      </c>
      <c r="T2452" t="str">
        <f t="shared" si="1"/>
        <v/>
      </c>
      <c r="U2452" t="str">
        <f t="shared" si="2"/>
        <v/>
      </c>
      <c r="V2452" t="str">
        <f>IF(OR(U2452="",U2452="ERRO_CHAVE"),"",IFERROR(MATCH(U2452,Fornecedores!$AF$1:$AF$6631,0),""))</f>
        <v/>
      </c>
      <c r="W2452" t="str">
        <f t="shared" si="3"/>
        <v/>
      </c>
      <c r="X2452" s="4" t="str">
        <f>IF(V2452="","",INDEX(Fornecedores!$X$1:$X$6631,V2452))</f>
        <v/>
      </c>
      <c r="Y2452" s="4" t="str">
        <f t="shared" si="4"/>
        <v/>
      </c>
    </row>
    <row r="2453" spans="19:25">
      <c r="S2453" t="str">
        <f t="shared" si="0"/>
        <v/>
      </c>
      <c r="T2453" t="str">
        <f t="shared" si="1"/>
        <v/>
      </c>
      <c r="U2453" t="str">
        <f t="shared" si="2"/>
        <v/>
      </c>
      <c r="V2453" t="str">
        <f>IF(OR(U2453="",U2453="ERRO_CHAVE"),"",IFERROR(MATCH(U2453,Fornecedores!$AF$1:$AF$6631,0),""))</f>
        <v/>
      </c>
      <c r="W2453" t="str">
        <f t="shared" si="3"/>
        <v/>
      </c>
      <c r="X2453" s="4" t="str">
        <f>IF(V2453="","",INDEX(Fornecedores!$X$1:$X$6631,V2453))</f>
        <v/>
      </c>
      <c r="Y2453" s="4" t="str">
        <f t="shared" si="4"/>
        <v/>
      </c>
    </row>
    <row r="2454" spans="19:25">
      <c r="S2454" t="str">
        <f t="shared" si="0"/>
        <v/>
      </c>
      <c r="T2454" t="str">
        <f t="shared" si="1"/>
        <v/>
      </c>
      <c r="U2454" t="str">
        <f t="shared" si="2"/>
        <v/>
      </c>
      <c r="V2454" t="str">
        <f>IF(OR(U2454="",U2454="ERRO_CHAVE"),"",IFERROR(MATCH(U2454,Fornecedores!$AF$1:$AF$6631,0),""))</f>
        <v/>
      </c>
      <c r="W2454" t="str">
        <f t="shared" si="3"/>
        <v/>
      </c>
      <c r="X2454" s="4" t="str">
        <f>IF(V2454="","",INDEX(Fornecedores!$X$1:$X$6631,V2454))</f>
        <v/>
      </c>
      <c r="Y2454" s="4" t="str">
        <f t="shared" si="4"/>
        <v/>
      </c>
    </row>
    <row r="2455" spans="19:25">
      <c r="S2455" t="str">
        <f t="shared" si="0"/>
        <v/>
      </c>
      <c r="T2455" t="str">
        <f t="shared" si="1"/>
        <v/>
      </c>
      <c r="U2455" t="str">
        <f t="shared" si="2"/>
        <v/>
      </c>
      <c r="V2455" t="str">
        <f>IF(OR(U2455="",U2455="ERRO_CHAVE"),"",IFERROR(MATCH(U2455,Fornecedores!$AF$1:$AF$6631,0),""))</f>
        <v/>
      </c>
      <c r="W2455" t="str">
        <f t="shared" si="3"/>
        <v/>
      </c>
      <c r="X2455" s="4" t="str">
        <f>IF(V2455="","",INDEX(Fornecedores!$X$1:$X$6631,V2455))</f>
        <v/>
      </c>
      <c r="Y2455" s="4" t="str">
        <f t="shared" si="4"/>
        <v/>
      </c>
    </row>
    <row r="2456" spans="19:25">
      <c r="S2456" t="str">
        <f t="shared" si="0"/>
        <v/>
      </c>
      <c r="T2456" t="str">
        <f t="shared" si="1"/>
        <v/>
      </c>
      <c r="U2456" t="str">
        <f t="shared" si="2"/>
        <v/>
      </c>
      <c r="V2456" t="str">
        <f>IF(OR(U2456="",U2456="ERRO_CHAVE"),"",IFERROR(MATCH(U2456,Fornecedores!$AF$1:$AF$6631,0),""))</f>
        <v/>
      </c>
      <c r="W2456" t="str">
        <f t="shared" si="3"/>
        <v/>
      </c>
      <c r="X2456" s="4" t="str">
        <f>IF(V2456="","",INDEX(Fornecedores!$X$1:$X$6631,V2456))</f>
        <v/>
      </c>
      <c r="Y2456" s="4" t="str">
        <f t="shared" si="4"/>
        <v/>
      </c>
    </row>
    <row r="2457" spans="19:25">
      <c r="S2457" t="str">
        <f t="shared" si="0"/>
        <v/>
      </c>
      <c r="T2457" t="str">
        <f t="shared" si="1"/>
        <v/>
      </c>
      <c r="U2457" t="str">
        <f t="shared" si="2"/>
        <v/>
      </c>
      <c r="V2457" t="str">
        <f>IF(OR(U2457="",U2457="ERRO_CHAVE"),"",IFERROR(MATCH(U2457,Fornecedores!$AF$1:$AF$6631,0),""))</f>
        <v/>
      </c>
      <c r="W2457" t="str">
        <f t="shared" si="3"/>
        <v/>
      </c>
      <c r="X2457" s="4" t="str">
        <f>IF(V2457="","",INDEX(Fornecedores!$X$1:$X$6631,V2457))</f>
        <v/>
      </c>
      <c r="Y2457" s="4" t="str">
        <f t="shared" si="4"/>
        <v/>
      </c>
    </row>
    <row r="2458" spans="19:25">
      <c r="S2458" t="str">
        <f t="shared" si="0"/>
        <v/>
      </c>
      <c r="T2458" t="str">
        <f t="shared" si="1"/>
        <v/>
      </c>
      <c r="U2458" t="str">
        <f t="shared" si="2"/>
        <v/>
      </c>
      <c r="V2458" t="str">
        <f>IF(OR(U2458="",U2458="ERRO_CHAVE"),"",IFERROR(MATCH(U2458,Fornecedores!$AF$1:$AF$6631,0),""))</f>
        <v/>
      </c>
      <c r="W2458" t="str">
        <f t="shared" si="3"/>
        <v/>
      </c>
      <c r="X2458" s="4" t="str">
        <f>IF(V2458="","",INDEX(Fornecedores!$X$1:$X$6631,V2458))</f>
        <v/>
      </c>
      <c r="Y2458" s="4" t="str">
        <f t="shared" si="4"/>
        <v/>
      </c>
    </row>
    <row r="2459" spans="19:25">
      <c r="S2459" t="str">
        <f t="shared" si="0"/>
        <v/>
      </c>
      <c r="T2459" t="str">
        <f t="shared" si="1"/>
        <v/>
      </c>
      <c r="U2459" t="str">
        <f t="shared" si="2"/>
        <v/>
      </c>
      <c r="V2459" t="str">
        <f>IF(OR(U2459="",U2459="ERRO_CHAVE"),"",IFERROR(MATCH(U2459,Fornecedores!$AF$1:$AF$6631,0),""))</f>
        <v/>
      </c>
      <c r="W2459" t="str">
        <f t="shared" si="3"/>
        <v/>
      </c>
      <c r="X2459" s="4" t="str">
        <f>IF(V2459="","",INDEX(Fornecedores!$X$1:$X$6631,V2459))</f>
        <v/>
      </c>
      <c r="Y2459" s="4" t="str">
        <f t="shared" si="4"/>
        <v/>
      </c>
    </row>
    <row r="2460" spans="19:25">
      <c r="S2460" t="str">
        <f t="shared" si="0"/>
        <v/>
      </c>
      <c r="T2460" t="str">
        <f t="shared" si="1"/>
        <v/>
      </c>
      <c r="U2460" t="str">
        <f t="shared" si="2"/>
        <v/>
      </c>
      <c r="V2460" t="str">
        <f>IF(OR(U2460="",U2460="ERRO_CHAVE"),"",IFERROR(MATCH(U2460,Fornecedores!$AF$1:$AF$6631,0),""))</f>
        <v/>
      </c>
      <c r="W2460" t="str">
        <f t="shared" si="3"/>
        <v/>
      </c>
      <c r="X2460" s="4" t="str">
        <f>IF(V2460="","",INDEX(Fornecedores!$X$1:$X$6631,V2460))</f>
        <v/>
      </c>
      <c r="Y2460" s="4" t="str">
        <f t="shared" si="4"/>
        <v/>
      </c>
    </row>
    <row r="2461" spans="19:25">
      <c r="S2461" t="str">
        <f t="shared" si="0"/>
        <v/>
      </c>
      <c r="T2461" t="str">
        <f t="shared" si="1"/>
        <v/>
      </c>
      <c r="U2461" t="str">
        <f t="shared" si="2"/>
        <v/>
      </c>
      <c r="V2461" t="str">
        <f>IF(OR(U2461="",U2461="ERRO_CHAVE"),"",IFERROR(MATCH(U2461,Fornecedores!$AF$1:$AF$6631,0),""))</f>
        <v/>
      </c>
      <c r="W2461" t="str">
        <f t="shared" si="3"/>
        <v/>
      </c>
      <c r="X2461" s="4" t="str">
        <f>IF(V2461="","",INDEX(Fornecedores!$X$1:$X$6631,V2461))</f>
        <v/>
      </c>
      <c r="Y2461" s="4" t="str">
        <f t="shared" si="4"/>
        <v/>
      </c>
    </row>
    <row r="2462" spans="19:25">
      <c r="S2462" t="str">
        <f t="shared" si="0"/>
        <v/>
      </c>
      <c r="T2462" t="str">
        <f t="shared" si="1"/>
        <v/>
      </c>
      <c r="U2462" t="str">
        <f t="shared" si="2"/>
        <v/>
      </c>
      <c r="V2462" t="str">
        <f>IF(OR(U2462="",U2462="ERRO_CHAVE"),"",IFERROR(MATCH(U2462,Fornecedores!$AF$1:$AF$6631,0),""))</f>
        <v/>
      </c>
      <c r="W2462" t="str">
        <f t="shared" si="3"/>
        <v/>
      </c>
      <c r="X2462" s="4" t="str">
        <f>IF(V2462="","",INDEX(Fornecedores!$X$1:$X$6631,V2462))</f>
        <v/>
      </c>
      <c r="Y2462" s="4" t="str">
        <f t="shared" si="4"/>
        <v/>
      </c>
    </row>
    <row r="2463" spans="19:25">
      <c r="S2463" t="str">
        <f t="shared" si="0"/>
        <v/>
      </c>
      <c r="T2463" t="str">
        <f t="shared" si="1"/>
        <v/>
      </c>
      <c r="U2463" t="str">
        <f t="shared" si="2"/>
        <v/>
      </c>
      <c r="V2463" t="str">
        <f>IF(OR(U2463="",U2463="ERRO_CHAVE"),"",IFERROR(MATCH(U2463,Fornecedores!$AF$1:$AF$6631,0),""))</f>
        <v/>
      </c>
      <c r="W2463" t="str">
        <f t="shared" si="3"/>
        <v/>
      </c>
      <c r="X2463" s="4" t="str">
        <f>IF(V2463="","",INDEX(Fornecedores!$X$1:$X$6631,V2463))</f>
        <v/>
      </c>
      <c r="Y2463" s="4" t="str">
        <f t="shared" si="4"/>
        <v/>
      </c>
    </row>
    <row r="2464" spans="19:25">
      <c r="S2464" t="str">
        <f t="shared" si="0"/>
        <v/>
      </c>
      <c r="T2464" t="str">
        <f t="shared" si="1"/>
        <v/>
      </c>
      <c r="U2464" t="str">
        <f t="shared" si="2"/>
        <v/>
      </c>
      <c r="V2464" t="str">
        <f>IF(OR(U2464="",U2464="ERRO_CHAVE"),"",IFERROR(MATCH(U2464,Fornecedores!$AF$1:$AF$6631,0),""))</f>
        <v/>
      </c>
      <c r="W2464" t="str">
        <f t="shared" si="3"/>
        <v/>
      </c>
      <c r="X2464" s="4" t="str">
        <f>IF(V2464="","",INDEX(Fornecedores!$X$1:$X$6631,V2464))</f>
        <v/>
      </c>
      <c r="Y2464" s="4" t="str">
        <f t="shared" si="4"/>
        <v/>
      </c>
    </row>
    <row r="2465" spans="19:25">
      <c r="S2465" t="str">
        <f t="shared" si="0"/>
        <v/>
      </c>
      <c r="T2465" t="str">
        <f t="shared" si="1"/>
        <v/>
      </c>
      <c r="U2465" t="str">
        <f t="shared" si="2"/>
        <v/>
      </c>
      <c r="V2465" t="str">
        <f>IF(OR(U2465="",U2465="ERRO_CHAVE"),"",IFERROR(MATCH(U2465,Fornecedores!$AF$1:$AF$6631,0),""))</f>
        <v/>
      </c>
      <c r="W2465" t="str">
        <f t="shared" si="3"/>
        <v/>
      </c>
      <c r="X2465" s="4" t="str">
        <f>IF(V2465="","",INDEX(Fornecedores!$X$1:$X$6631,V2465))</f>
        <v/>
      </c>
      <c r="Y2465" s="4" t="str">
        <f t="shared" si="4"/>
        <v/>
      </c>
    </row>
    <row r="2466" spans="19:25">
      <c r="S2466" t="str">
        <f t="shared" si="0"/>
        <v/>
      </c>
      <c r="T2466" t="str">
        <f t="shared" si="1"/>
        <v/>
      </c>
      <c r="U2466" t="str">
        <f t="shared" si="2"/>
        <v/>
      </c>
      <c r="V2466" t="str">
        <f>IF(OR(U2466="",U2466="ERRO_CHAVE"),"",IFERROR(MATCH(U2466,Fornecedores!$AF$1:$AF$6631,0),""))</f>
        <v/>
      </c>
      <c r="W2466" t="str">
        <f t="shared" si="3"/>
        <v/>
      </c>
      <c r="X2466" s="4" t="str">
        <f>IF(V2466="","",INDEX(Fornecedores!$X$1:$X$6631,V2466))</f>
        <v/>
      </c>
      <c r="Y2466" s="4" t="str">
        <f t="shared" si="4"/>
        <v/>
      </c>
    </row>
    <row r="2467" spans="19:25">
      <c r="S2467" t="str">
        <f t="shared" si="0"/>
        <v/>
      </c>
      <c r="T2467" t="str">
        <f t="shared" si="1"/>
        <v/>
      </c>
      <c r="U2467" t="str">
        <f t="shared" si="2"/>
        <v/>
      </c>
      <c r="V2467" t="str">
        <f>IF(OR(U2467="",U2467="ERRO_CHAVE"),"",IFERROR(MATCH(U2467,Fornecedores!$AF$1:$AF$6631,0),""))</f>
        <v/>
      </c>
      <c r="W2467" t="str">
        <f t="shared" si="3"/>
        <v/>
      </c>
      <c r="X2467" s="4" t="str">
        <f>IF(V2467="","",INDEX(Fornecedores!$X$1:$X$6631,V2467))</f>
        <v/>
      </c>
      <c r="Y2467" s="4" t="str">
        <f t="shared" si="4"/>
        <v/>
      </c>
    </row>
    <row r="2468" spans="19:25">
      <c r="S2468" t="str">
        <f t="shared" si="0"/>
        <v/>
      </c>
      <c r="T2468" t="str">
        <f t="shared" si="1"/>
        <v/>
      </c>
      <c r="U2468" t="str">
        <f t="shared" si="2"/>
        <v/>
      </c>
      <c r="V2468" t="str">
        <f>IF(OR(U2468="",U2468="ERRO_CHAVE"),"",IFERROR(MATCH(U2468,Fornecedores!$AF$1:$AF$6631,0),""))</f>
        <v/>
      </c>
      <c r="W2468" t="str">
        <f t="shared" si="3"/>
        <v/>
      </c>
      <c r="X2468" s="4" t="str">
        <f>IF(V2468="","",INDEX(Fornecedores!$X$1:$X$6631,V2468))</f>
        <v/>
      </c>
      <c r="Y2468" s="4" t="str">
        <f t="shared" si="4"/>
        <v/>
      </c>
    </row>
    <row r="2469" spans="19:25">
      <c r="S2469" t="str">
        <f t="shared" si="0"/>
        <v/>
      </c>
      <c r="T2469" t="str">
        <f t="shared" si="1"/>
        <v/>
      </c>
      <c r="U2469" t="str">
        <f t="shared" si="2"/>
        <v/>
      </c>
      <c r="V2469" t="str">
        <f>IF(OR(U2469="",U2469="ERRO_CHAVE"),"",IFERROR(MATCH(U2469,Fornecedores!$AF$1:$AF$6631,0),""))</f>
        <v/>
      </c>
      <c r="W2469" t="str">
        <f t="shared" si="3"/>
        <v/>
      </c>
      <c r="X2469" s="4" t="str">
        <f>IF(V2469="","",INDEX(Fornecedores!$X$1:$X$6631,V2469))</f>
        <v/>
      </c>
      <c r="Y2469" s="4" t="str">
        <f t="shared" si="4"/>
        <v/>
      </c>
    </row>
    <row r="2470" spans="19:25">
      <c r="S2470" t="str">
        <f t="shared" si="0"/>
        <v/>
      </c>
      <c r="T2470" t="str">
        <f t="shared" si="1"/>
        <v/>
      </c>
      <c r="U2470" t="str">
        <f t="shared" si="2"/>
        <v/>
      </c>
      <c r="V2470" t="str">
        <f>IF(OR(U2470="",U2470="ERRO_CHAVE"),"",IFERROR(MATCH(U2470,Fornecedores!$AF$1:$AF$6631,0),""))</f>
        <v/>
      </c>
      <c r="W2470" t="str">
        <f t="shared" si="3"/>
        <v/>
      </c>
      <c r="X2470" s="4" t="str">
        <f>IF(V2470="","",INDEX(Fornecedores!$X$1:$X$6631,V2470))</f>
        <v/>
      </c>
      <c r="Y2470" s="4" t="str">
        <f t="shared" si="4"/>
        <v/>
      </c>
    </row>
    <row r="2471" spans="19:25">
      <c r="S2471" t="str">
        <f t="shared" si="0"/>
        <v/>
      </c>
      <c r="T2471" t="str">
        <f t="shared" si="1"/>
        <v/>
      </c>
      <c r="U2471" t="str">
        <f t="shared" si="2"/>
        <v/>
      </c>
      <c r="V2471" t="str">
        <f>IF(OR(U2471="",U2471="ERRO_CHAVE"),"",IFERROR(MATCH(U2471,Fornecedores!$AF$1:$AF$6631,0),""))</f>
        <v/>
      </c>
      <c r="W2471" t="str">
        <f t="shared" si="3"/>
        <v/>
      </c>
      <c r="X2471" s="4" t="str">
        <f>IF(V2471="","",INDEX(Fornecedores!$X$1:$X$6631,V2471))</f>
        <v/>
      </c>
      <c r="Y2471" s="4" t="str">
        <f t="shared" si="4"/>
        <v/>
      </c>
    </row>
    <row r="2472" spans="19:25">
      <c r="S2472" t="str">
        <f t="shared" si="0"/>
        <v/>
      </c>
      <c r="T2472" t="str">
        <f t="shared" si="1"/>
        <v/>
      </c>
      <c r="U2472" t="str">
        <f t="shared" si="2"/>
        <v/>
      </c>
      <c r="V2472" t="str">
        <f>IF(OR(U2472="",U2472="ERRO_CHAVE"),"",IFERROR(MATCH(U2472,Fornecedores!$AF$1:$AF$6631,0),""))</f>
        <v/>
      </c>
      <c r="W2472" t="str">
        <f t="shared" si="3"/>
        <v/>
      </c>
      <c r="X2472" s="4" t="str">
        <f>IF(V2472="","",INDEX(Fornecedores!$X$1:$X$6631,V2472))</f>
        <v/>
      </c>
      <c r="Y2472" s="4" t="str">
        <f t="shared" si="4"/>
        <v/>
      </c>
    </row>
    <row r="2473" spans="19:25">
      <c r="S2473" t="str">
        <f t="shared" si="0"/>
        <v/>
      </c>
      <c r="T2473" t="str">
        <f t="shared" si="1"/>
        <v/>
      </c>
      <c r="U2473" t="str">
        <f t="shared" si="2"/>
        <v/>
      </c>
      <c r="V2473" t="str">
        <f>IF(OR(U2473="",U2473="ERRO_CHAVE"),"",IFERROR(MATCH(U2473,Fornecedores!$AF$1:$AF$6631,0),""))</f>
        <v/>
      </c>
      <c r="W2473" t="str">
        <f t="shared" si="3"/>
        <v/>
      </c>
      <c r="X2473" s="4" t="str">
        <f>IF(V2473="","",INDEX(Fornecedores!$X$1:$X$6631,V2473))</f>
        <v/>
      </c>
      <c r="Y2473" s="4" t="str">
        <f t="shared" si="4"/>
        <v/>
      </c>
    </row>
    <row r="2474" spans="19:25">
      <c r="S2474" t="str">
        <f t="shared" si="0"/>
        <v/>
      </c>
      <c r="T2474" t="str">
        <f t="shared" si="1"/>
        <v/>
      </c>
      <c r="U2474" t="str">
        <f t="shared" si="2"/>
        <v/>
      </c>
      <c r="V2474" t="str">
        <f>IF(OR(U2474="",U2474="ERRO_CHAVE"),"",IFERROR(MATCH(U2474,Fornecedores!$AF$1:$AF$6631,0),""))</f>
        <v/>
      </c>
      <c r="W2474" t="str">
        <f t="shared" si="3"/>
        <v/>
      </c>
      <c r="X2474" s="4" t="str">
        <f>IF(V2474="","",INDEX(Fornecedores!$X$1:$X$6631,V2474))</f>
        <v/>
      </c>
      <c r="Y2474" s="4" t="str">
        <f t="shared" si="4"/>
        <v/>
      </c>
    </row>
    <row r="2475" spans="19:25">
      <c r="S2475" t="str">
        <f t="shared" si="0"/>
        <v/>
      </c>
      <c r="T2475" t="str">
        <f t="shared" si="1"/>
        <v/>
      </c>
      <c r="U2475" t="str">
        <f t="shared" si="2"/>
        <v/>
      </c>
      <c r="V2475" t="str">
        <f>IF(OR(U2475="",U2475="ERRO_CHAVE"),"",IFERROR(MATCH(U2475,Fornecedores!$AF$1:$AF$6631,0),""))</f>
        <v/>
      </c>
      <c r="W2475" t="str">
        <f t="shared" si="3"/>
        <v/>
      </c>
      <c r="X2475" s="4" t="str">
        <f>IF(V2475="","",INDEX(Fornecedores!$X$1:$X$6631,V2475))</f>
        <v/>
      </c>
      <c r="Y2475" s="4" t="str">
        <f t="shared" si="4"/>
        <v/>
      </c>
    </row>
    <row r="2476" spans="19:25">
      <c r="S2476" t="str">
        <f t="shared" si="0"/>
        <v/>
      </c>
      <c r="T2476" t="str">
        <f t="shared" si="1"/>
        <v/>
      </c>
      <c r="U2476" t="str">
        <f t="shared" si="2"/>
        <v/>
      </c>
      <c r="V2476" t="str">
        <f>IF(OR(U2476="",U2476="ERRO_CHAVE"),"",IFERROR(MATCH(U2476,Fornecedores!$AF$1:$AF$6631,0),""))</f>
        <v/>
      </c>
      <c r="W2476" t="str">
        <f t="shared" si="3"/>
        <v/>
      </c>
      <c r="X2476" s="4" t="str">
        <f>IF(V2476="","",INDEX(Fornecedores!$X$1:$X$6631,V2476))</f>
        <v/>
      </c>
      <c r="Y2476" s="4" t="str">
        <f t="shared" si="4"/>
        <v/>
      </c>
    </row>
    <row r="2477" spans="19:25">
      <c r="S2477" t="str">
        <f t="shared" si="0"/>
        <v/>
      </c>
      <c r="T2477" t="str">
        <f t="shared" si="1"/>
        <v/>
      </c>
      <c r="U2477" t="str">
        <f t="shared" si="2"/>
        <v/>
      </c>
      <c r="V2477" t="str">
        <f>IF(OR(U2477="",U2477="ERRO_CHAVE"),"",IFERROR(MATCH(U2477,Fornecedores!$AF$1:$AF$6631,0),""))</f>
        <v/>
      </c>
      <c r="W2477" t="str">
        <f t="shared" si="3"/>
        <v/>
      </c>
      <c r="X2477" s="4" t="str">
        <f>IF(V2477="","",INDEX(Fornecedores!$X$1:$X$6631,V2477))</f>
        <v/>
      </c>
      <c r="Y2477" s="4" t="str">
        <f t="shared" si="4"/>
        <v/>
      </c>
    </row>
    <row r="2478" spans="19:25">
      <c r="S2478" t="str">
        <f t="shared" si="0"/>
        <v/>
      </c>
      <c r="T2478" t="str">
        <f t="shared" si="1"/>
        <v/>
      </c>
      <c r="U2478" t="str">
        <f t="shared" si="2"/>
        <v/>
      </c>
      <c r="V2478" t="str">
        <f>IF(OR(U2478="",U2478="ERRO_CHAVE"),"",IFERROR(MATCH(U2478,Fornecedores!$AF$1:$AF$6631,0),""))</f>
        <v/>
      </c>
      <c r="W2478" t="str">
        <f t="shared" si="3"/>
        <v/>
      </c>
      <c r="X2478" s="4" t="str">
        <f>IF(V2478="","",INDEX(Fornecedores!$X$1:$X$6631,V2478))</f>
        <v/>
      </c>
      <c r="Y2478" s="4" t="str">
        <f t="shared" si="4"/>
        <v/>
      </c>
    </row>
    <row r="2479" spans="19:25">
      <c r="S2479" t="str">
        <f t="shared" si="0"/>
        <v/>
      </c>
      <c r="T2479" t="str">
        <f t="shared" si="1"/>
        <v/>
      </c>
      <c r="U2479" t="str">
        <f t="shared" si="2"/>
        <v/>
      </c>
      <c r="V2479" t="str">
        <f>IF(OR(U2479="",U2479="ERRO_CHAVE"),"",IFERROR(MATCH(U2479,Fornecedores!$AF$1:$AF$6631,0),""))</f>
        <v/>
      </c>
      <c r="W2479" t="str">
        <f t="shared" si="3"/>
        <v/>
      </c>
      <c r="X2479" s="4" t="str">
        <f>IF(V2479="","",INDEX(Fornecedores!$X$1:$X$6631,V2479))</f>
        <v/>
      </c>
      <c r="Y2479" s="4" t="str">
        <f t="shared" si="4"/>
        <v/>
      </c>
    </row>
    <row r="2480" spans="19:25">
      <c r="S2480" t="str">
        <f t="shared" si="0"/>
        <v/>
      </c>
      <c r="T2480" t="str">
        <f t="shared" si="1"/>
        <v/>
      </c>
      <c r="U2480" t="str">
        <f t="shared" si="2"/>
        <v/>
      </c>
      <c r="V2480" t="str">
        <f>IF(OR(U2480="",U2480="ERRO_CHAVE"),"",IFERROR(MATCH(U2480,Fornecedores!$AF$1:$AF$6631,0),""))</f>
        <v/>
      </c>
      <c r="W2480" t="str">
        <f t="shared" si="3"/>
        <v/>
      </c>
      <c r="X2480" s="4" t="str">
        <f>IF(V2480="","",INDEX(Fornecedores!$X$1:$X$6631,V2480))</f>
        <v/>
      </c>
      <c r="Y2480" s="4" t="str">
        <f t="shared" si="4"/>
        <v/>
      </c>
    </row>
    <row r="2481" spans="19:25">
      <c r="S2481" t="str">
        <f t="shared" si="0"/>
        <v/>
      </c>
      <c r="T2481" t="str">
        <f t="shared" si="1"/>
        <v/>
      </c>
      <c r="U2481" t="str">
        <f t="shared" si="2"/>
        <v/>
      </c>
      <c r="V2481" t="str">
        <f>IF(OR(U2481="",U2481="ERRO_CHAVE"),"",IFERROR(MATCH(U2481,Fornecedores!$AF$1:$AF$6631,0),""))</f>
        <v/>
      </c>
      <c r="W2481" t="str">
        <f t="shared" si="3"/>
        <v/>
      </c>
      <c r="X2481" s="4" t="str">
        <f>IF(V2481="","",INDEX(Fornecedores!$X$1:$X$6631,V2481))</f>
        <v/>
      </c>
      <c r="Y2481" s="4" t="str">
        <f t="shared" si="4"/>
        <v/>
      </c>
    </row>
    <row r="2482" spans="19:25">
      <c r="S2482" t="str">
        <f t="shared" si="0"/>
        <v/>
      </c>
      <c r="T2482" t="str">
        <f t="shared" si="1"/>
        <v/>
      </c>
      <c r="U2482" t="str">
        <f t="shared" si="2"/>
        <v/>
      </c>
      <c r="V2482" t="str">
        <f>IF(OR(U2482="",U2482="ERRO_CHAVE"),"",IFERROR(MATCH(U2482,Fornecedores!$AF$1:$AF$6631,0),""))</f>
        <v/>
      </c>
      <c r="W2482" t="str">
        <f t="shared" si="3"/>
        <v/>
      </c>
      <c r="X2482" s="4" t="str">
        <f>IF(V2482="","",INDEX(Fornecedores!$X$1:$X$6631,V2482))</f>
        <v/>
      </c>
      <c r="Y2482" s="4" t="str">
        <f t="shared" si="4"/>
        <v/>
      </c>
    </row>
    <row r="2483" spans="19:25">
      <c r="S2483" t="str">
        <f t="shared" si="0"/>
        <v/>
      </c>
      <c r="T2483" t="str">
        <f t="shared" si="1"/>
        <v/>
      </c>
      <c r="U2483" t="str">
        <f t="shared" si="2"/>
        <v/>
      </c>
      <c r="V2483" t="str">
        <f>IF(OR(U2483="",U2483="ERRO_CHAVE"),"",IFERROR(MATCH(U2483,Fornecedores!$AF$1:$AF$6631,0),""))</f>
        <v/>
      </c>
      <c r="W2483" t="str">
        <f t="shared" si="3"/>
        <v/>
      </c>
      <c r="X2483" s="4" t="str">
        <f>IF(V2483="","",INDEX(Fornecedores!$X$1:$X$6631,V2483))</f>
        <v/>
      </c>
      <c r="Y2483" s="4" t="str">
        <f t="shared" si="4"/>
        <v/>
      </c>
    </row>
    <row r="2484" spans="19:25">
      <c r="S2484" t="str">
        <f t="shared" si="0"/>
        <v/>
      </c>
      <c r="T2484" t="str">
        <f t="shared" si="1"/>
        <v/>
      </c>
      <c r="U2484" t="str">
        <f t="shared" si="2"/>
        <v/>
      </c>
      <c r="V2484" t="str">
        <f>IF(OR(U2484="",U2484="ERRO_CHAVE"),"",IFERROR(MATCH(U2484,Fornecedores!$AF$1:$AF$6631,0),""))</f>
        <v/>
      </c>
      <c r="W2484" t="str">
        <f t="shared" si="3"/>
        <v/>
      </c>
      <c r="X2484" s="4" t="str">
        <f>IF(V2484="","",INDEX(Fornecedores!$X$1:$X$6631,V2484))</f>
        <v/>
      </c>
      <c r="Y2484" s="4" t="str">
        <f t="shared" si="4"/>
        <v/>
      </c>
    </row>
    <row r="2485" spans="19:25">
      <c r="S2485" t="str">
        <f t="shared" si="0"/>
        <v/>
      </c>
      <c r="T2485" t="str">
        <f t="shared" si="1"/>
        <v/>
      </c>
      <c r="U2485" t="str">
        <f t="shared" si="2"/>
        <v/>
      </c>
      <c r="V2485" t="str">
        <f>IF(OR(U2485="",U2485="ERRO_CHAVE"),"",IFERROR(MATCH(U2485,Fornecedores!$AF$1:$AF$6631,0),""))</f>
        <v/>
      </c>
      <c r="W2485" t="str">
        <f t="shared" si="3"/>
        <v/>
      </c>
      <c r="X2485" s="4" t="str">
        <f>IF(V2485="","",INDEX(Fornecedores!$X$1:$X$6631,V2485))</f>
        <v/>
      </c>
      <c r="Y2485" s="4" t="str">
        <f t="shared" si="4"/>
        <v/>
      </c>
    </row>
    <row r="2486" spans="19:25">
      <c r="S2486" t="str">
        <f t="shared" si="0"/>
        <v/>
      </c>
      <c r="T2486" t="str">
        <f t="shared" si="1"/>
        <v/>
      </c>
      <c r="U2486" t="str">
        <f t="shared" si="2"/>
        <v/>
      </c>
      <c r="V2486" t="str">
        <f>IF(OR(U2486="",U2486="ERRO_CHAVE"),"",IFERROR(MATCH(U2486,Fornecedores!$AF$1:$AF$6631,0),""))</f>
        <v/>
      </c>
      <c r="W2486" t="str">
        <f t="shared" si="3"/>
        <v/>
      </c>
      <c r="X2486" s="4" t="str">
        <f>IF(V2486="","",INDEX(Fornecedores!$X$1:$X$6631,V2486))</f>
        <v/>
      </c>
      <c r="Y2486" s="4" t="str">
        <f t="shared" si="4"/>
        <v/>
      </c>
    </row>
    <row r="2487" spans="19:25">
      <c r="S2487" t="str">
        <f t="shared" si="0"/>
        <v/>
      </c>
      <c r="T2487" t="str">
        <f t="shared" si="1"/>
        <v/>
      </c>
      <c r="U2487" t="str">
        <f t="shared" si="2"/>
        <v/>
      </c>
      <c r="V2487" t="str">
        <f>IF(OR(U2487="",U2487="ERRO_CHAVE"),"",IFERROR(MATCH(U2487,Fornecedores!$AF$1:$AF$6631,0),""))</f>
        <v/>
      </c>
      <c r="W2487" t="str">
        <f t="shared" si="3"/>
        <v/>
      </c>
      <c r="X2487" s="4" t="str">
        <f>IF(V2487="","",INDEX(Fornecedores!$X$1:$X$6631,V2487))</f>
        <v/>
      </c>
      <c r="Y2487" s="4" t="str">
        <f t="shared" si="4"/>
        <v/>
      </c>
    </row>
    <row r="2488" spans="19:25">
      <c r="S2488" t="str">
        <f t="shared" si="0"/>
        <v/>
      </c>
      <c r="T2488" t="str">
        <f t="shared" si="1"/>
        <v/>
      </c>
      <c r="U2488" t="str">
        <f t="shared" si="2"/>
        <v/>
      </c>
      <c r="V2488" t="str">
        <f>IF(OR(U2488="",U2488="ERRO_CHAVE"),"",IFERROR(MATCH(U2488,Fornecedores!$AF$1:$AF$6631,0),""))</f>
        <v/>
      </c>
      <c r="W2488" t="str">
        <f t="shared" si="3"/>
        <v/>
      </c>
      <c r="X2488" s="4" t="str">
        <f>IF(V2488="","",INDEX(Fornecedores!$X$1:$X$6631,V2488))</f>
        <v/>
      </c>
      <c r="Y2488" s="4" t="str">
        <f t="shared" si="4"/>
        <v/>
      </c>
    </row>
    <row r="2489" spans="19:25">
      <c r="S2489" t="str">
        <f t="shared" si="0"/>
        <v/>
      </c>
      <c r="T2489" t="str">
        <f t="shared" si="1"/>
        <v/>
      </c>
      <c r="U2489" t="str">
        <f t="shared" si="2"/>
        <v/>
      </c>
      <c r="V2489" t="str">
        <f>IF(OR(U2489="",U2489="ERRO_CHAVE"),"",IFERROR(MATCH(U2489,Fornecedores!$AF$1:$AF$6631,0),""))</f>
        <v/>
      </c>
      <c r="W2489" t="str">
        <f t="shared" si="3"/>
        <v/>
      </c>
      <c r="X2489" s="4" t="str">
        <f>IF(V2489="","",INDEX(Fornecedores!$X$1:$X$6631,V2489))</f>
        <v/>
      </c>
      <c r="Y2489" s="4" t="str">
        <f t="shared" si="4"/>
        <v/>
      </c>
    </row>
    <row r="2490" spans="19:25">
      <c r="S2490" t="str">
        <f t="shared" si="0"/>
        <v/>
      </c>
      <c r="T2490" t="str">
        <f t="shared" si="1"/>
        <v/>
      </c>
      <c r="U2490" t="str">
        <f t="shared" si="2"/>
        <v/>
      </c>
      <c r="V2490" t="str">
        <f>IF(OR(U2490="",U2490="ERRO_CHAVE"),"",IFERROR(MATCH(U2490,Fornecedores!$AF$1:$AF$6631,0),""))</f>
        <v/>
      </c>
      <c r="W2490" t="str">
        <f t="shared" si="3"/>
        <v/>
      </c>
      <c r="X2490" s="4" t="str">
        <f>IF(V2490="","",INDEX(Fornecedores!$X$1:$X$6631,V2490))</f>
        <v/>
      </c>
      <c r="Y2490" s="4" t="str">
        <f t="shared" si="4"/>
        <v/>
      </c>
    </row>
    <row r="2491" spans="19:25">
      <c r="S2491" t="str">
        <f t="shared" si="0"/>
        <v/>
      </c>
      <c r="T2491" t="str">
        <f t="shared" si="1"/>
        <v/>
      </c>
      <c r="U2491" t="str">
        <f t="shared" si="2"/>
        <v/>
      </c>
      <c r="V2491" t="str">
        <f>IF(OR(U2491="",U2491="ERRO_CHAVE"),"",IFERROR(MATCH(U2491,Fornecedores!$AF$1:$AF$6631,0),""))</f>
        <v/>
      </c>
      <c r="W2491" t="str">
        <f t="shared" si="3"/>
        <v/>
      </c>
      <c r="X2491" s="4" t="str">
        <f>IF(V2491="","",INDEX(Fornecedores!$X$1:$X$6631,V2491))</f>
        <v/>
      </c>
      <c r="Y2491" s="4" t="str">
        <f t="shared" si="4"/>
        <v/>
      </c>
    </row>
    <row r="2492" spans="19:25">
      <c r="S2492" t="str">
        <f t="shared" si="0"/>
        <v/>
      </c>
      <c r="T2492" t="str">
        <f t="shared" si="1"/>
        <v/>
      </c>
      <c r="U2492" t="str">
        <f t="shared" si="2"/>
        <v/>
      </c>
      <c r="V2492" t="str">
        <f>IF(OR(U2492="",U2492="ERRO_CHAVE"),"",IFERROR(MATCH(U2492,Fornecedores!$AF$1:$AF$6631,0),""))</f>
        <v/>
      </c>
      <c r="W2492" t="str">
        <f t="shared" si="3"/>
        <v/>
      </c>
      <c r="X2492" s="4" t="str">
        <f>IF(V2492="","",INDEX(Fornecedores!$X$1:$X$6631,V2492))</f>
        <v/>
      </c>
      <c r="Y2492" s="4" t="str">
        <f t="shared" si="4"/>
        <v/>
      </c>
    </row>
    <row r="2493" spans="19:25">
      <c r="S2493" t="str">
        <f t="shared" si="0"/>
        <v/>
      </c>
      <c r="T2493" t="str">
        <f t="shared" si="1"/>
        <v/>
      </c>
      <c r="U2493" t="str">
        <f t="shared" si="2"/>
        <v/>
      </c>
      <c r="V2493" t="str">
        <f>IF(OR(U2493="",U2493="ERRO_CHAVE"),"",IFERROR(MATCH(U2493,Fornecedores!$AF$1:$AF$6631,0),""))</f>
        <v/>
      </c>
      <c r="W2493" t="str">
        <f t="shared" si="3"/>
        <v/>
      </c>
      <c r="X2493" s="4" t="str">
        <f>IF(V2493="","",INDEX(Fornecedores!$X$1:$X$6631,V2493))</f>
        <v/>
      </c>
      <c r="Y2493" s="4" t="str">
        <f t="shared" si="4"/>
        <v/>
      </c>
    </row>
    <row r="2494" spans="19:25">
      <c r="S2494" t="str">
        <f t="shared" si="0"/>
        <v/>
      </c>
      <c r="T2494" t="str">
        <f t="shared" si="1"/>
        <v/>
      </c>
      <c r="U2494" t="str">
        <f t="shared" si="2"/>
        <v/>
      </c>
      <c r="V2494" t="str">
        <f>IF(OR(U2494="",U2494="ERRO_CHAVE"),"",IFERROR(MATCH(U2494,Fornecedores!$AF$1:$AF$6631,0),""))</f>
        <v/>
      </c>
      <c r="W2494" t="str">
        <f t="shared" si="3"/>
        <v/>
      </c>
      <c r="X2494" s="4" t="str">
        <f>IF(V2494="","",INDEX(Fornecedores!$X$1:$X$6631,V2494))</f>
        <v/>
      </c>
      <c r="Y2494" s="4" t="str">
        <f t="shared" si="4"/>
        <v/>
      </c>
    </row>
    <row r="2495" spans="19:25">
      <c r="S2495" t="str">
        <f t="shared" si="0"/>
        <v/>
      </c>
      <c r="T2495" t="str">
        <f t="shared" si="1"/>
        <v/>
      </c>
      <c r="U2495" t="str">
        <f t="shared" si="2"/>
        <v/>
      </c>
      <c r="V2495" t="str">
        <f>IF(OR(U2495="",U2495="ERRO_CHAVE"),"",IFERROR(MATCH(U2495,Fornecedores!$AF$1:$AF$6631,0),""))</f>
        <v/>
      </c>
      <c r="W2495" t="str">
        <f t="shared" si="3"/>
        <v/>
      </c>
      <c r="X2495" s="4" t="str">
        <f>IF(V2495="","",INDEX(Fornecedores!$X$1:$X$6631,V2495))</f>
        <v/>
      </c>
      <c r="Y2495" s="4" t="str">
        <f t="shared" si="4"/>
        <v/>
      </c>
    </row>
    <row r="2496" spans="19:25">
      <c r="S2496" t="str">
        <f t="shared" si="0"/>
        <v/>
      </c>
      <c r="T2496" t="str">
        <f t="shared" si="1"/>
        <v/>
      </c>
      <c r="U2496" t="str">
        <f t="shared" si="2"/>
        <v/>
      </c>
      <c r="V2496" t="str">
        <f>IF(OR(U2496="",U2496="ERRO_CHAVE"),"",IFERROR(MATCH(U2496,Fornecedores!$AF$1:$AF$6631,0),""))</f>
        <v/>
      </c>
      <c r="W2496" t="str">
        <f t="shared" si="3"/>
        <v/>
      </c>
      <c r="X2496" s="4" t="str">
        <f>IF(V2496="","",INDEX(Fornecedores!$X$1:$X$6631,V2496))</f>
        <v/>
      </c>
      <c r="Y2496" s="4" t="str">
        <f t="shared" si="4"/>
        <v/>
      </c>
    </row>
    <row r="2497" spans="19:25">
      <c r="S2497" t="str">
        <f t="shared" si="0"/>
        <v/>
      </c>
      <c r="T2497" t="str">
        <f t="shared" si="1"/>
        <v/>
      </c>
      <c r="U2497" t="str">
        <f t="shared" si="2"/>
        <v/>
      </c>
      <c r="V2497" t="str">
        <f>IF(OR(U2497="",U2497="ERRO_CHAVE"),"",IFERROR(MATCH(U2497,Fornecedores!$AF$1:$AF$6631,0),""))</f>
        <v/>
      </c>
      <c r="W2497" t="str">
        <f t="shared" si="3"/>
        <v/>
      </c>
      <c r="X2497" s="4" t="str">
        <f>IF(V2497="","",INDEX(Fornecedores!$X$1:$X$6631,V2497))</f>
        <v/>
      </c>
      <c r="Y2497" s="4" t="str">
        <f t="shared" si="4"/>
        <v/>
      </c>
    </row>
    <row r="2498" spans="19:25">
      <c r="S2498" t="str">
        <f t="shared" si="0"/>
        <v/>
      </c>
      <c r="T2498" t="str">
        <f t="shared" si="1"/>
        <v/>
      </c>
      <c r="U2498" t="str">
        <f t="shared" si="2"/>
        <v/>
      </c>
      <c r="V2498" t="str">
        <f>IF(OR(U2498="",U2498="ERRO_CHAVE"),"",IFERROR(MATCH(U2498,Fornecedores!$AF$1:$AF$6631,0),""))</f>
        <v/>
      </c>
      <c r="W2498" t="str">
        <f t="shared" si="3"/>
        <v/>
      </c>
      <c r="X2498" s="4" t="str">
        <f>IF(V2498="","",INDEX(Fornecedores!$X$1:$X$6631,V2498))</f>
        <v/>
      </c>
      <c r="Y2498" s="4" t="str">
        <f t="shared" si="4"/>
        <v/>
      </c>
    </row>
    <row r="2499" spans="19:25">
      <c r="S2499" t="str">
        <f t="shared" si="0"/>
        <v/>
      </c>
      <c r="T2499" t="str">
        <f t="shared" si="1"/>
        <v/>
      </c>
      <c r="U2499" t="str">
        <f t="shared" si="2"/>
        <v/>
      </c>
      <c r="V2499" t="str">
        <f>IF(OR(U2499="",U2499="ERRO_CHAVE"),"",IFERROR(MATCH(U2499,Fornecedores!$AF$1:$AF$6631,0),""))</f>
        <v/>
      </c>
      <c r="W2499" t="str">
        <f t="shared" si="3"/>
        <v/>
      </c>
      <c r="X2499" s="4" t="str">
        <f>IF(V2499="","",INDEX(Fornecedores!$X$1:$X$6631,V2499))</f>
        <v/>
      </c>
      <c r="Y2499" s="4" t="str">
        <f t="shared" si="4"/>
        <v/>
      </c>
    </row>
    <row r="2500" spans="19:25">
      <c r="S2500" t="str">
        <f t="shared" si="0"/>
        <v/>
      </c>
      <c r="T2500" t="str">
        <f t="shared" si="1"/>
        <v/>
      </c>
      <c r="U2500" t="str">
        <f t="shared" si="2"/>
        <v/>
      </c>
      <c r="V2500" t="str">
        <f>IF(OR(U2500="",U2500="ERRO_CHAVE"),"",IFERROR(MATCH(U2500,Fornecedores!$AF$1:$AF$6631,0),""))</f>
        <v/>
      </c>
      <c r="W2500" t="str">
        <f t="shared" si="3"/>
        <v/>
      </c>
      <c r="X2500" s="4" t="str">
        <f>IF(V2500="","",INDEX(Fornecedores!$X$1:$X$6631,V2500))</f>
        <v/>
      </c>
      <c r="Y2500" s="4" t="str">
        <f t="shared" si="4"/>
        <v/>
      </c>
    </row>
    <row r="2501" spans="19:25">
      <c r="S2501" t="str">
        <f t="shared" si="0"/>
        <v/>
      </c>
      <c r="T2501" t="str">
        <f t="shared" si="1"/>
        <v/>
      </c>
      <c r="U2501" t="str">
        <f t="shared" si="2"/>
        <v/>
      </c>
      <c r="V2501" t="str">
        <f>IF(OR(U2501="",U2501="ERRO_CHAVE"),"",IFERROR(MATCH(U2501,Fornecedores!$AF$1:$AF$6631,0),""))</f>
        <v/>
      </c>
      <c r="W2501" t="str">
        <f t="shared" si="3"/>
        <v/>
      </c>
      <c r="X2501" s="4" t="str">
        <f>IF(V2501="","",INDEX(Fornecedores!$X$1:$X$6631,V2501))</f>
        <v/>
      </c>
      <c r="Y2501" s="4" t="str">
        <f t="shared" si="4"/>
        <v/>
      </c>
    </row>
    <row r="2502" spans="19:25">
      <c r="S2502" t="str">
        <f t="shared" si="0"/>
        <v/>
      </c>
      <c r="T2502" t="str">
        <f t="shared" si="1"/>
        <v/>
      </c>
      <c r="U2502" t="str">
        <f t="shared" si="2"/>
        <v/>
      </c>
      <c r="V2502" t="str">
        <f>IF(OR(U2502="",U2502="ERRO_CHAVE"),"",IFERROR(MATCH(U2502,Fornecedores!$AF$1:$AF$6631,0),""))</f>
        <v/>
      </c>
      <c r="W2502" t="str">
        <f t="shared" si="3"/>
        <v/>
      </c>
      <c r="X2502" s="4" t="str">
        <f>IF(V2502="","",INDEX(Fornecedores!$X$1:$X$6631,V2502))</f>
        <v/>
      </c>
      <c r="Y2502" s="4" t="str">
        <f t="shared" si="4"/>
        <v/>
      </c>
    </row>
    <row r="2503" spans="19:25">
      <c r="S2503" t="str">
        <f t="shared" si="0"/>
        <v/>
      </c>
      <c r="T2503" t="str">
        <f t="shared" si="1"/>
        <v/>
      </c>
      <c r="U2503" t="str">
        <f t="shared" si="2"/>
        <v/>
      </c>
      <c r="V2503" t="str">
        <f>IF(OR(U2503="",U2503="ERRO_CHAVE"),"",IFERROR(MATCH(U2503,Fornecedores!$AF$1:$AF$6631,0),""))</f>
        <v/>
      </c>
      <c r="W2503" t="str">
        <f t="shared" si="3"/>
        <v/>
      </c>
      <c r="X2503" s="4" t="str">
        <f>IF(V2503="","",INDEX(Fornecedores!$X$1:$X$6631,V2503))</f>
        <v/>
      </c>
      <c r="Y2503" s="4" t="str">
        <f t="shared" si="4"/>
        <v/>
      </c>
    </row>
    <row r="2504" spans="19:25">
      <c r="S2504" t="str">
        <f t="shared" si="0"/>
        <v/>
      </c>
      <c r="T2504" t="str">
        <f t="shared" si="1"/>
        <v/>
      </c>
      <c r="U2504" t="str">
        <f t="shared" si="2"/>
        <v/>
      </c>
      <c r="V2504" t="str">
        <f>IF(OR(U2504="",U2504="ERRO_CHAVE"),"",IFERROR(MATCH(U2504,Fornecedores!$AF$1:$AF$6631,0),""))</f>
        <v/>
      </c>
      <c r="W2504" t="str">
        <f t="shared" si="3"/>
        <v/>
      </c>
      <c r="X2504" s="4" t="str">
        <f>IF(V2504="","",INDEX(Fornecedores!$X$1:$X$6631,V2504))</f>
        <v/>
      </c>
      <c r="Y2504" s="4" t="str">
        <f t="shared" si="4"/>
        <v/>
      </c>
    </row>
    <row r="2505" spans="19:25">
      <c r="S2505" t="str">
        <f t="shared" si="0"/>
        <v/>
      </c>
      <c r="T2505" t="str">
        <f t="shared" si="1"/>
        <v/>
      </c>
      <c r="U2505" t="str">
        <f t="shared" si="2"/>
        <v/>
      </c>
      <c r="V2505" t="str">
        <f>IF(OR(U2505="",U2505="ERRO_CHAVE"),"",IFERROR(MATCH(U2505,Fornecedores!$AF$1:$AF$6631,0),""))</f>
        <v/>
      </c>
      <c r="W2505" t="str">
        <f t="shared" si="3"/>
        <v/>
      </c>
      <c r="X2505" s="4" t="str">
        <f>IF(V2505="","",INDEX(Fornecedores!$X$1:$X$6631,V2505))</f>
        <v/>
      </c>
      <c r="Y2505" s="4" t="str">
        <f t="shared" si="4"/>
        <v/>
      </c>
    </row>
    <row r="2506" spans="19:25">
      <c r="S2506" t="str">
        <f t="shared" si="0"/>
        <v/>
      </c>
      <c r="T2506" t="str">
        <f t="shared" si="1"/>
        <v/>
      </c>
      <c r="U2506" t="str">
        <f t="shared" si="2"/>
        <v/>
      </c>
      <c r="V2506" t="str">
        <f>IF(OR(U2506="",U2506="ERRO_CHAVE"),"",IFERROR(MATCH(U2506,Fornecedores!$AF$1:$AF$6631,0),""))</f>
        <v/>
      </c>
      <c r="W2506" t="str">
        <f t="shared" si="3"/>
        <v/>
      </c>
      <c r="X2506" s="4" t="str">
        <f>IF(V2506="","",INDEX(Fornecedores!$X$1:$X$6631,V2506))</f>
        <v/>
      </c>
      <c r="Y2506" s="4" t="str">
        <f t="shared" si="4"/>
        <v/>
      </c>
    </row>
    <row r="2507" spans="19:25">
      <c r="S2507" t="str">
        <f t="shared" si="0"/>
        <v/>
      </c>
      <c r="T2507" t="str">
        <f t="shared" si="1"/>
        <v/>
      </c>
      <c r="U2507" t="str">
        <f t="shared" si="2"/>
        <v/>
      </c>
      <c r="V2507" t="str">
        <f>IF(OR(U2507="",U2507="ERRO_CHAVE"),"",IFERROR(MATCH(U2507,Fornecedores!$AF$1:$AF$6631,0),""))</f>
        <v/>
      </c>
      <c r="W2507" t="str">
        <f t="shared" si="3"/>
        <v/>
      </c>
      <c r="X2507" s="4" t="str">
        <f>IF(V2507="","",INDEX(Fornecedores!$X$1:$X$6631,V2507))</f>
        <v/>
      </c>
      <c r="Y2507" s="4" t="str">
        <f t="shared" si="4"/>
        <v/>
      </c>
    </row>
    <row r="2508" spans="19:25">
      <c r="S2508" t="str">
        <f t="shared" si="0"/>
        <v/>
      </c>
      <c r="T2508" t="str">
        <f t="shared" si="1"/>
        <v/>
      </c>
      <c r="U2508" t="str">
        <f t="shared" si="2"/>
        <v/>
      </c>
      <c r="V2508" t="str">
        <f>IF(OR(U2508="",U2508="ERRO_CHAVE"),"",IFERROR(MATCH(U2508,Fornecedores!$AF$1:$AF$6631,0),""))</f>
        <v/>
      </c>
      <c r="W2508" t="str">
        <f t="shared" si="3"/>
        <v/>
      </c>
      <c r="X2508" s="4" t="str">
        <f>IF(V2508="","",INDEX(Fornecedores!$X$1:$X$6631,V2508))</f>
        <v/>
      </c>
      <c r="Y2508" s="4" t="str">
        <f t="shared" si="4"/>
        <v/>
      </c>
    </row>
    <row r="2509" spans="19:25">
      <c r="S2509" t="str">
        <f t="shared" si="0"/>
        <v/>
      </c>
      <c r="T2509" t="str">
        <f t="shared" si="1"/>
        <v/>
      </c>
      <c r="U2509" t="str">
        <f t="shared" si="2"/>
        <v/>
      </c>
      <c r="V2509" t="str">
        <f>IF(OR(U2509="",U2509="ERRO_CHAVE"),"",IFERROR(MATCH(U2509,Fornecedores!$AF$1:$AF$6631,0),""))</f>
        <v/>
      </c>
      <c r="W2509" t="str">
        <f t="shared" si="3"/>
        <v/>
      </c>
      <c r="X2509" s="4" t="str">
        <f>IF(V2509="","",INDEX(Fornecedores!$X$1:$X$6631,V2509))</f>
        <v/>
      </c>
      <c r="Y2509" s="4" t="str">
        <f t="shared" si="4"/>
        <v/>
      </c>
    </row>
    <row r="2510" spans="19:25">
      <c r="S2510" t="str">
        <f t="shared" si="0"/>
        <v/>
      </c>
      <c r="T2510" t="str">
        <f t="shared" si="1"/>
        <v/>
      </c>
      <c r="U2510" t="str">
        <f t="shared" si="2"/>
        <v/>
      </c>
      <c r="V2510" t="str">
        <f>IF(OR(U2510="",U2510="ERRO_CHAVE"),"",IFERROR(MATCH(U2510,Fornecedores!$AF$1:$AF$6631,0),""))</f>
        <v/>
      </c>
      <c r="W2510" t="str">
        <f t="shared" si="3"/>
        <v/>
      </c>
      <c r="X2510" s="4" t="str">
        <f>IF(V2510="","",INDEX(Fornecedores!$X$1:$X$6631,V2510))</f>
        <v/>
      </c>
      <c r="Y2510" s="4" t="str">
        <f t="shared" si="4"/>
        <v/>
      </c>
    </row>
    <row r="2511" spans="19:25">
      <c r="S2511" t="str">
        <f t="shared" si="0"/>
        <v/>
      </c>
      <c r="T2511" t="str">
        <f t="shared" si="1"/>
        <v/>
      </c>
      <c r="U2511" t="str">
        <f t="shared" si="2"/>
        <v/>
      </c>
      <c r="V2511" t="str">
        <f>IF(OR(U2511="",U2511="ERRO_CHAVE"),"",IFERROR(MATCH(U2511,Fornecedores!$AF$1:$AF$6631,0),""))</f>
        <v/>
      </c>
      <c r="W2511" t="str">
        <f t="shared" si="3"/>
        <v/>
      </c>
      <c r="X2511" s="4" t="str">
        <f>IF(V2511="","",INDEX(Fornecedores!$X$1:$X$6631,V2511))</f>
        <v/>
      </c>
      <c r="Y2511" s="4" t="str">
        <f t="shared" si="4"/>
        <v/>
      </c>
    </row>
    <row r="2512" spans="19:25">
      <c r="S2512" t="str">
        <f t="shared" si="0"/>
        <v/>
      </c>
      <c r="T2512" t="str">
        <f t="shared" si="1"/>
        <v/>
      </c>
      <c r="U2512" t="str">
        <f t="shared" si="2"/>
        <v/>
      </c>
      <c r="V2512" t="str">
        <f>IF(OR(U2512="",U2512="ERRO_CHAVE"),"",IFERROR(MATCH(U2512,Fornecedores!$AF$1:$AF$6631,0),""))</f>
        <v/>
      </c>
      <c r="W2512" t="str">
        <f t="shared" si="3"/>
        <v/>
      </c>
      <c r="X2512" s="4" t="str">
        <f>IF(V2512="","",INDEX(Fornecedores!$X$1:$X$6631,V2512))</f>
        <v/>
      </c>
      <c r="Y2512" s="4" t="str">
        <f t="shared" si="4"/>
        <v/>
      </c>
    </row>
    <row r="2513" spans="19:25">
      <c r="S2513" t="str">
        <f t="shared" si="0"/>
        <v/>
      </c>
      <c r="T2513" t="str">
        <f t="shared" si="1"/>
        <v/>
      </c>
      <c r="U2513" t="str">
        <f t="shared" si="2"/>
        <v/>
      </c>
      <c r="V2513" t="str">
        <f>IF(OR(U2513="",U2513="ERRO_CHAVE"),"",IFERROR(MATCH(U2513,Fornecedores!$AF$1:$AF$6631,0),""))</f>
        <v/>
      </c>
      <c r="W2513" t="str">
        <f t="shared" si="3"/>
        <v/>
      </c>
      <c r="X2513" s="4" t="str">
        <f>IF(V2513="","",INDEX(Fornecedores!$X$1:$X$6631,V2513))</f>
        <v/>
      </c>
      <c r="Y2513" s="4" t="str">
        <f t="shared" si="4"/>
        <v/>
      </c>
    </row>
    <row r="2514" spans="19:25">
      <c r="S2514" t="str">
        <f t="shared" si="0"/>
        <v/>
      </c>
      <c r="T2514" t="str">
        <f t="shared" si="1"/>
        <v/>
      </c>
      <c r="U2514" t="str">
        <f t="shared" si="2"/>
        <v/>
      </c>
      <c r="V2514" t="str">
        <f>IF(OR(U2514="",U2514="ERRO_CHAVE"),"",IFERROR(MATCH(U2514,Fornecedores!$AF$1:$AF$6631,0),""))</f>
        <v/>
      </c>
      <c r="W2514" t="str">
        <f t="shared" si="3"/>
        <v/>
      </c>
      <c r="X2514" s="4" t="str">
        <f>IF(V2514="","",INDEX(Fornecedores!$X$1:$X$6631,V2514))</f>
        <v/>
      </c>
      <c r="Y2514" s="4" t="str">
        <f t="shared" si="4"/>
        <v/>
      </c>
    </row>
    <row r="2515" spans="19:25">
      <c r="S2515" t="str">
        <f t="shared" si="0"/>
        <v/>
      </c>
      <c r="T2515" t="str">
        <f t="shared" si="1"/>
        <v/>
      </c>
      <c r="U2515" t="str">
        <f t="shared" si="2"/>
        <v/>
      </c>
      <c r="V2515" t="str">
        <f>IF(OR(U2515="",U2515="ERRO_CHAVE"),"",IFERROR(MATCH(U2515,Fornecedores!$AF$1:$AF$6631,0),""))</f>
        <v/>
      </c>
      <c r="W2515" t="str">
        <f t="shared" si="3"/>
        <v/>
      </c>
      <c r="X2515" s="4" t="str">
        <f>IF(V2515="","",INDEX(Fornecedores!$X$1:$X$6631,V2515))</f>
        <v/>
      </c>
      <c r="Y2515" s="4" t="str">
        <f t="shared" si="4"/>
        <v/>
      </c>
    </row>
    <row r="2516" spans="19:25">
      <c r="S2516" t="str">
        <f t="shared" si="0"/>
        <v/>
      </c>
      <c r="T2516" t="str">
        <f t="shared" si="1"/>
        <v/>
      </c>
      <c r="U2516" t="str">
        <f t="shared" si="2"/>
        <v/>
      </c>
      <c r="V2516" t="str">
        <f>IF(OR(U2516="",U2516="ERRO_CHAVE"),"",IFERROR(MATCH(U2516,Fornecedores!$AF$1:$AF$6631,0),""))</f>
        <v/>
      </c>
      <c r="W2516" t="str">
        <f t="shared" si="3"/>
        <v/>
      </c>
      <c r="X2516" s="4" t="str">
        <f>IF(V2516="","",INDEX(Fornecedores!$X$1:$X$6631,V2516))</f>
        <v/>
      </c>
      <c r="Y2516" s="4" t="str">
        <f t="shared" si="4"/>
        <v/>
      </c>
    </row>
    <row r="2517" spans="19:25">
      <c r="S2517" t="str">
        <f t="shared" si="0"/>
        <v/>
      </c>
      <c r="T2517" t="str">
        <f t="shared" si="1"/>
        <v/>
      </c>
      <c r="U2517" t="str">
        <f t="shared" si="2"/>
        <v/>
      </c>
      <c r="V2517" t="str">
        <f>IF(OR(U2517="",U2517="ERRO_CHAVE"),"",IFERROR(MATCH(U2517,Fornecedores!$AF$1:$AF$6631,0),""))</f>
        <v/>
      </c>
      <c r="W2517" t="str">
        <f t="shared" si="3"/>
        <v/>
      </c>
      <c r="X2517" s="4" t="str">
        <f>IF(V2517="","",INDEX(Fornecedores!$X$1:$X$6631,V2517))</f>
        <v/>
      </c>
      <c r="Y2517" s="4" t="str">
        <f t="shared" si="4"/>
        <v/>
      </c>
    </row>
    <row r="2518" spans="19:25">
      <c r="S2518" t="str">
        <f t="shared" si="0"/>
        <v/>
      </c>
      <c r="T2518" t="str">
        <f t="shared" si="1"/>
        <v/>
      </c>
      <c r="U2518" t="str">
        <f t="shared" si="2"/>
        <v/>
      </c>
      <c r="V2518" t="str">
        <f>IF(OR(U2518="",U2518="ERRO_CHAVE"),"",IFERROR(MATCH(U2518,Fornecedores!$AF$1:$AF$6631,0),""))</f>
        <v/>
      </c>
      <c r="W2518" t="str">
        <f t="shared" si="3"/>
        <v/>
      </c>
      <c r="X2518" s="4" t="str">
        <f>IF(V2518="","",INDEX(Fornecedores!$X$1:$X$6631,V2518))</f>
        <v/>
      </c>
      <c r="Y2518" s="4" t="str">
        <f t="shared" si="4"/>
        <v/>
      </c>
    </row>
    <row r="2519" spans="19:25">
      <c r="S2519" t="str">
        <f t="shared" si="0"/>
        <v/>
      </c>
      <c r="T2519" t="str">
        <f t="shared" si="1"/>
        <v/>
      </c>
      <c r="U2519" t="str">
        <f t="shared" si="2"/>
        <v/>
      </c>
      <c r="V2519" t="str">
        <f>IF(OR(U2519="",U2519="ERRO_CHAVE"),"",IFERROR(MATCH(U2519,Fornecedores!$AF$1:$AF$6631,0),""))</f>
        <v/>
      </c>
      <c r="W2519" t="str">
        <f t="shared" si="3"/>
        <v/>
      </c>
      <c r="X2519" s="4" t="str">
        <f>IF(V2519="","",INDEX(Fornecedores!$X$1:$X$6631,V2519))</f>
        <v/>
      </c>
      <c r="Y2519" s="4" t="str">
        <f t="shared" si="4"/>
        <v/>
      </c>
    </row>
    <row r="2520" spans="19:25">
      <c r="S2520" t="str">
        <f t="shared" si="0"/>
        <v/>
      </c>
      <c r="T2520" t="str">
        <f t="shared" si="1"/>
        <v/>
      </c>
      <c r="U2520" t="str">
        <f t="shared" si="2"/>
        <v/>
      </c>
      <c r="V2520" t="str">
        <f>IF(OR(U2520="",U2520="ERRO_CHAVE"),"",IFERROR(MATCH(U2520,Fornecedores!$AF$1:$AF$6631,0),""))</f>
        <v/>
      </c>
      <c r="W2520" t="str">
        <f t="shared" si="3"/>
        <v/>
      </c>
      <c r="X2520" s="4" t="str">
        <f>IF(V2520="","",INDEX(Fornecedores!$X$1:$X$6631,V2520))</f>
        <v/>
      </c>
      <c r="Y2520" s="4" t="str">
        <f t="shared" si="4"/>
        <v/>
      </c>
    </row>
    <row r="2521" spans="19:25">
      <c r="S2521" t="str">
        <f t="shared" si="0"/>
        <v/>
      </c>
      <c r="T2521" t="str">
        <f t="shared" si="1"/>
        <v/>
      </c>
      <c r="U2521" t="str">
        <f t="shared" si="2"/>
        <v/>
      </c>
      <c r="V2521" t="str">
        <f>IF(OR(U2521="",U2521="ERRO_CHAVE"),"",IFERROR(MATCH(U2521,Fornecedores!$AF$1:$AF$6631,0),""))</f>
        <v/>
      </c>
      <c r="W2521" t="str">
        <f t="shared" si="3"/>
        <v/>
      </c>
      <c r="X2521" s="4" t="str">
        <f>IF(V2521="","",INDEX(Fornecedores!$X$1:$X$6631,V2521))</f>
        <v/>
      </c>
      <c r="Y2521" s="4" t="str">
        <f t="shared" si="4"/>
        <v/>
      </c>
    </row>
    <row r="2522" spans="19:25">
      <c r="S2522" t="str">
        <f t="shared" si="0"/>
        <v/>
      </c>
      <c r="T2522" t="str">
        <f t="shared" si="1"/>
        <v/>
      </c>
      <c r="U2522" t="str">
        <f t="shared" si="2"/>
        <v/>
      </c>
      <c r="V2522" t="str">
        <f>IF(OR(U2522="",U2522="ERRO_CHAVE"),"",IFERROR(MATCH(U2522,Fornecedores!$AF$1:$AF$6631,0),""))</f>
        <v/>
      </c>
      <c r="W2522" t="str">
        <f t="shared" si="3"/>
        <v/>
      </c>
      <c r="X2522" s="4" t="str">
        <f>IF(V2522="","",INDEX(Fornecedores!$X$1:$X$6631,V2522))</f>
        <v/>
      </c>
      <c r="Y2522" s="4" t="str">
        <f t="shared" si="4"/>
        <v/>
      </c>
    </row>
    <row r="2523" spans="19:25">
      <c r="S2523" t="str">
        <f t="shared" si="0"/>
        <v/>
      </c>
      <c r="T2523" t="str">
        <f t="shared" si="1"/>
        <v/>
      </c>
      <c r="U2523" t="str">
        <f t="shared" si="2"/>
        <v/>
      </c>
      <c r="V2523" t="str">
        <f>IF(OR(U2523="",U2523="ERRO_CHAVE"),"",IFERROR(MATCH(U2523,Fornecedores!$AF$1:$AF$6631,0),""))</f>
        <v/>
      </c>
      <c r="W2523" t="str">
        <f t="shared" si="3"/>
        <v/>
      </c>
      <c r="X2523" s="4" t="str">
        <f>IF(V2523="","",INDEX(Fornecedores!$X$1:$X$6631,V2523))</f>
        <v/>
      </c>
      <c r="Y2523" s="4" t="str">
        <f t="shared" si="4"/>
        <v/>
      </c>
    </row>
    <row r="2524" spans="19:25">
      <c r="S2524" t="str">
        <f t="shared" si="0"/>
        <v/>
      </c>
      <c r="T2524" t="str">
        <f t="shared" si="1"/>
        <v/>
      </c>
      <c r="U2524" t="str">
        <f t="shared" si="2"/>
        <v/>
      </c>
      <c r="V2524" t="str">
        <f>IF(OR(U2524="",U2524="ERRO_CHAVE"),"",IFERROR(MATCH(U2524,Fornecedores!$AF$1:$AF$6631,0),""))</f>
        <v/>
      </c>
      <c r="W2524" t="str">
        <f t="shared" si="3"/>
        <v/>
      </c>
      <c r="X2524" s="4" t="str">
        <f>IF(V2524="","",INDEX(Fornecedores!$X$1:$X$6631,V2524))</f>
        <v/>
      </c>
      <c r="Y2524" s="4" t="str">
        <f t="shared" si="4"/>
        <v/>
      </c>
    </row>
    <row r="2525" spans="19:25">
      <c r="S2525" t="str">
        <f t="shared" si="0"/>
        <v/>
      </c>
      <c r="T2525" t="str">
        <f t="shared" si="1"/>
        <v/>
      </c>
      <c r="U2525" t="str">
        <f t="shared" si="2"/>
        <v/>
      </c>
      <c r="V2525" t="str">
        <f>IF(OR(U2525="",U2525="ERRO_CHAVE"),"",IFERROR(MATCH(U2525,Fornecedores!$AF$1:$AF$6631,0),""))</f>
        <v/>
      </c>
      <c r="W2525" t="str">
        <f t="shared" si="3"/>
        <v/>
      </c>
      <c r="X2525" s="4" t="str">
        <f>IF(V2525="","",INDEX(Fornecedores!$X$1:$X$6631,V2525))</f>
        <v/>
      </c>
      <c r="Y2525" s="4" t="str">
        <f t="shared" si="4"/>
        <v/>
      </c>
    </row>
    <row r="2526" spans="19:25">
      <c r="S2526" t="str">
        <f t="shared" si="0"/>
        <v/>
      </c>
      <c r="T2526" t="str">
        <f t="shared" si="1"/>
        <v/>
      </c>
      <c r="U2526" t="str">
        <f t="shared" si="2"/>
        <v/>
      </c>
      <c r="V2526" t="str">
        <f>IF(OR(U2526="",U2526="ERRO_CHAVE"),"",IFERROR(MATCH(U2526,Fornecedores!$AF$1:$AF$6631,0),""))</f>
        <v/>
      </c>
      <c r="W2526" t="str">
        <f t="shared" si="3"/>
        <v/>
      </c>
      <c r="X2526" s="4" t="str">
        <f>IF(V2526="","",INDEX(Fornecedores!$X$1:$X$6631,V2526))</f>
        <v/>
      </c>
      <c r="Y2526" s="4" t="str">
        <f t="shared" si="4"/>
        <v/>
      </c>
    </row>
    <row r="2527" spans="19:25">
      <c r="S2527" t="str">
        <f t="shared" si="0"/>
        <v/>
      </c>
      <c r="T2527" t="str">
        <f t="shared" si="1"/>
        <v/>
      </c>
      <c r="U2527" t="str">
        <f t="shared" si="2"/>
        <v/>
      </c>
      <c r="V2527" t="str">
        <f>IF(OR(U2527="",U2527="ERRO_CHAVE"),"",IFERROR(MATCH(U2527,Fornecedores!$AF$1:$AF$6631,0),""))</f>
        <v/>
      </c>
      <c r="W2527" t="str">
        <f t="shared" si="3"/>
        <v/>
      </c>
      <c r="X2527" s="4" t="str">
        <f>IF(V2527="","",INDEX(Fornecedores!$X$1:$X$6631,V2527))</f>
        <v/>
      </c>
      <c r="Y2527" s="4" t="str">
        <f t="shared" si="4"/>
        <v/>
      </c>
    </row>
    <row r="2528" spans="19:25">
      <c r="S2528" t="str">
        <f t="shared" si="0"/>
        <v/>
      </c>
      <c r="T2528" t="str">
        <f t="shared" si="1"/>
        <v/>
      </c>
      <c r="U2528" t="str">
        <f t="shared" si="2"/>
        <v/>
      </c>
      <c r="V2528" t="str">
        <f>IF(OR(U2528="",U2528="ERRO_CHAVE"),"",IFERROR(MATCH(U2528,Fornecedores!$AF$1:$AF$6631,0),""))</f>
        <v/>
      </c>
      <c r="W2528" t="str">
        <f t="shared" si="3"/>
        <v/>
      </c>
      <c r="X2528" s="4" t="str">
        <f>IF(V2528="","",INDEX(Fornecedores!$X$1:$X$6631,V2528))</f>
        <v/>
      </c>
      <c r="Y2528" s="4" t="str">
        <f t="shared" si="4"/>
        <v/>
      </c>
    </row>
    <row r="2529" spans="19:25">
      <c r="S2529" t="str">
        <f t="shared" si="0"/>
        <v/>
      </c>
      <c r="T2529" t="str">
        <f t="shared" si="1"/>
        <v/>
      </c>
      <c r="U2529" t="str">
        <f t="shared" si="2"/>
        <v/>
      </c>
      <c r="V2529" t="str">
        <f>IF(OR(U2529="",U2529="ERRO_CHAVE"),"",IFERROR(MATCH(U2529,Fornecedores!$AF$1:$AF$6631,0),""))</f>
        <v/>
      </c>
      <c r="W2529" t="str">
        <f t="shared" si="3"/>
        <v/>
      </c>
      <c r="X2529" s="4" t="str">
        <f>IF(V2529="","",INDEX(Fornecedores!$X$1:$X$6631,V2529))</f>
        <v/>
      </c>
      <c r="Y2529" s="4" t="str">
        <f t="shared" si="4"/>
        <v/>
      </c>
    </row>
    <row r="2530" spans="19:25">
      <c r="S2530" t="str">
        <f t="shared" si="0"/>
        <v/>
      </c>
      <c r="T2530" t="str">
        <f t="shared" si="1"/>
        <v/>
      </c>
      <c r="U2530" t="str">
        <f t="shared" si="2"/>
        <v/>
      </c>
      <c r="V2530" t="str">
        <f>IF(OR(U2530="",U2530="ERRO_CHAVE"),"",IFERROR(MATCH(U2530,Fornecedores!$AF$1:$AF$6631,0),""))</f>
        <v/>
      </c>
      <c r="W2530" t="str">
        <f t="shared" si="3"/>
        <v/>
      </c>
      <c r="X2530" s="4" t="str">
        <f>IF(V2530="","",INDEX(Fornecedores!$X$1:$X$6631,V2530))</f>
        <v/>
      </c>
      <c r="Y2530" s="4" t="str">
        <f t="shared" si="4"/>
        <v/>
      </c>
    </row>
    <row r="2531" spans="19:25">
      <c r="S2531" t="str">
        <f t="shared" si="0"/>
        <v/>
      </c>
      <c r="T2531" t="str">
        <f t="shared" si="1"/>
        <v/>
      </c>
      <c r="U2531" t="str">
        <f t="shared" si="2"/>
        <v/>
      </c>
      <c r="V2531" t="str">
        <f>IF(OR(U2531="",U2531="ERRO_CHAVE"),"",IFERROR(MATCH(U2531,Fornecedores!$AF$1:$AF$6631,0),""))</f>
        <v/>
      </c>
      <c r="W2531" t="str">
        <f t="shared" si="3"/>
        <v/>
      </c>
      <c r="X2531" s="4" t="str">
        <f>IF(V2531="","",INDEX(Fornecedores!$X$1:$X$6631,V2531))</f>
        <v/>
      </c>
      <c r="Y2531" s="4" t="str">
        <f t="shared" si="4"/>
        <v/>
      </c>
    </row>
    <row r="2532" spans="19:25">
      <c r="S2532" t="str">
        <f t="shared" si="0"/>
        <v/>
      </c>
      <c r="T2532" t="str">
        <f t="shared" si="1"/>
        <v/>
      </c>
      <c r="U2532" t="str">
        <f t="shared" si="2"/>
        <v/>
      </c>
      <c r="V2532" t="str">
        <f>IF(OR(U2532="",U2532="ERRO_CHAVE"),"",IFERROR(MATCH(U2532,Fornecedores!$AF$1:$AF$6631,0),""))</f>
        <v/>
      </c>
      <c r="W2532" t="str">
        <f t="shared" si="3"/>
        <v/>
      </c>
      <c r="X2532" s="4" t="str">
        <f>IF(V2532="","",INDEX(Fornecedores!$X$1:$X$6631,V2532))</f>
        <v/>
      </c>
      <c r="Y2532" s="4" t="str">
        <f t="shared" si="4"/>
        <v/>
      </c>
    </row>
    <row r="2533" spans="19:25">
      <c r="S2533" t="str">
        <f t="shared" si="0"/>
        <v/>
      </c>
      <c r="T2533" t="str">
        <f t="shared" si="1"/>
        <v/>
      </c>
      <c r="U2533" t="str">
        <f t="shared" si="2"/>
        <v/>
      </c>
      <c r="V2533" t="str">
        <f>IF(OR(U2533="",U2533="ERRO_CHAVE"),"",IFERROR(MATCH(U2533,Fornecedores!$AF$1:$AF$6631,0),""))</f>
        <v/>
      </c>
      <c r="W2533" t="str">
        <f t="shared" si="3"/>
        <v/>
      </c>
      <c r="X2533" s="4" t="str">
        <f>IF(V2533="","",INDEX(Fornecedores!$X$1:$X$6631,V2533))</f>
        <v/>
      </c>
      <c r="Y2533" s="4" t="str">
        <f t="shared" si="4"/>
        <v/>
      </c>
    </row>
    <row r="2534" spans="19:25">
      <c r="S2534" t="str">
        <f t="shared" si="0"/>
        <v/>
      </c>
      <c r="T2534" t="str">
        <f t="shared" si="1"/>
        <v/>
      </c>
      <c r="U2534" t="str">
        <f t="shared" si="2"/>
        <v/>
      </c>
      <c r="V2534" t="str">
        <f>IF(OR(U2534="",U2534="ERRO_CHAVE"),"",IFERROR(MATCH(U2534,Fornecedores!$AF$1:$AF$6631,0),""))</f>
        <v/>
      </c>
      <c r="W2534" t="str">
        <f t="shared" si="3"/>
        <v/>
      </c>
      <c r="X2534" s="4" t="str">
        <f>IF(V2534="","",INDEX(Fornecedores!$X$1:$X$6631,V2534))</f>
        <v/>
      </c>
      <c r="Y2534" s="4" t="str">
        <f t="shared" si="4"/>
        <v/>
      </c>
    </row>
    <row r="2535" spans="19:25">
      <c r="S2535" t="str">
        <f t="shared" si="0"/>
        <v/>
      </c>
      <c r="T2535" t="str">
        <f t="shared" si="1"/>
        <v/>
      </c>
      <c r="U2535" t="str">
        <f t="shared" si="2"/>
        <v/>
      </c>
      <c r="V2535" t="str">
        <f>IF(OR(U2535="",U2535="ERRO_CHAVE"),"",IFERROR(MATCH(U2535,Fornecedores!$AF$1:$AF$6631,0),""))</f>
        <v/>
      </c>
      <c r="W2535" t="str">
        <f t="shared" si="3"/>
        <v/>
      </c>
      <c r="X2535" s="4" t="str">
        <f>IF(V2535="","",INDEX(Fornecedores!$X$1:$X$6631,V2535))</f>
        <v/>
      </c>
      <c r="Y2535" s="4" t="str">
        <f t="shared" si="4"/>
        <v/>
      </c>
    </row>
    <row r="2536" spans="19:25">
      <c r="S2536" t="str">
        <f t="shared" si="0"/>
        <v/>
      </c>
      <c r="T2536" t="str">
        <f t="shared" si="1"/>
        <v/>
      </c>
      <c r="U2536" t="str">
        <f t="shared" si="2"/>
        <v/>
      </c>
      <c r="V2536" t="str">
        <f>IF(OR(U2536="",U2536="ERRO_CHAVE"),"",IFERROR(MATCH(U2536,Fornecedores!$AF$1:$AF$6631,0),""))</f>
        <v/>
      </c>
      <c r="W2536" t="str">
        <f t="shared" si="3"/>
        <v/>
      </c>
      <c r="X2536" s="4" t="str">
        <f>IF(V2536="","",INDEX(Fornecedores!$X$1:$X$6631,V2536))</f>
        <v/>
      </c>
      <c r="Y2536" s="4" t="str">
        <f t="shared" si="4"/>
        <v/>
      </c>
    </row>
    <row r="2537" spans="19:25">
      <c r="S2537" t="str">
        <f t="shared" si="0"/>
        <v/>
      </c>
      <c r="T2537" t="str">
        <f t="shared" si="1"/>
        <v/>
      </c>
      <c r="U2537" t="str">
        <f t="shared" si="2"/>
        <v/>
      </c>
      <c r="V2537" t="str">
        <f>IF(OR(U2537="",U2537="ERRO_CHAVE"),"",IFERROR(MATCH(U2537,Fornecedores!$AF$1:$AF$6631,0),""))</f>
        <v/>
      </c>
      <c r="W2537" t="str">
        <f t="shared" si="3"/>
        <v/>
      </c>
      <c r="X2537" s="4" t="str">
        <f>IF(V2537="","",INDEX(Fornecedores!$X$1:$X$6631,V2537))</f>
        <v/>
      </c>
      <c r="Y2537" s="4" t="str">
        <f t="shared" si="4"/>
        <v/>
      </c>
    </row>
    <row r="2538" spans="19:25">
      <c r="S2538" t="str">
        <f t="shared" si="0"/>
        <v/>
      </c>
      <c r="T2538" t="str">
        <f t="shared" si="1"/>
        <v/>
      </c>
      <c r="U2538" t="str">
        <f t="shared" si="2"/>
        <v/>
      </c>
      <c r="V2538" t="str">
        <f>IF(OR(U2538="",U2538="ERRO_CHAVE"),"",IFERROR(MATCH(U2538,Fornecedores!$AF$1:$AF$6631,0),""))</f>
        <v/>
      </c>
      <c r="W2538" t="str">
        <f t="shared" si="3"/>
        <v/>
      </c>
      <c r="X2538" s="4" t="str">
        <f>IF(V2538="","",INDEX(Fornecedores!$X$1:$X$6631,V2538))</f>
        <v/>
      </c>
      <c r="Y2538" s="4" t="str">
        <f t="shared" si="4"/>
        <v/>
      </c>
    </row>
    <row r="2539" spans="19:25">
      <c r="S2539" t="str">
        <f t="shared" si="0"/>
        <v/>
      </c>
      <c r="T2539" t="str">
        <f t="shared" si="1"/>
        <v/>
      </c>
      <c r="U2539" t="str">
        <f t="shared" si="2"/>
        <v/>
      </c>
      <c r="V2539" t="str">
        <f>IF(OR(U2539="",U2539="ERRO_CHAVE"),"",IFERROR(MATCH(U2539,Fornecedores!$AF$1:$AF$6631,0),""))</f>
        <v/>
      </c>
      <c r="W2539" t="str">
        <f t="shared" si="3"/>
        <v/>
      </c>
      <c r="X2539" s="4" t="str">
        <f>IF(V2539="","",INDEX(Fornecedores!$X$1:$X$6631,V2539))</f>
        <v/>
      </c>
      <c r="Y2539" s="4" t="str">
        <f t="shared" si="4"/>
        <v/>
      </c>
    </row>
    <row r="2540" spans="19:25">
      <c r="S2540" t="str">
        <f t="shared" si="0"/>
        <v/>
      </c>
      <c r="T2540" t="str">
        <f t="shared" si="1"/>
        <v/>
      </c>
      <c r="U2540" t="str">
        <f t="shared" si="2"/>
        <v/>
      </c>
      <c r="V2540" t="str">
        <f>IF(OR(U2540="",U2540="ERRO_CHAVE"),"",IFERROR(MATCH(U2540,Fornecedores!$AF$1:$AF$6631,0),""))</f>
        <v/>
      </c>
      <c r="W2540" t="str">
        <f t="shared" si="3"/>
        <v/>
      </c>
      <c r="X2540" s="4" t="str">
        <f>IF(V2540="","",INDEX(Fornecedores!$X$1:$X$6631,V2540))</f>
        <v/>
      </c>
      <c r="Y2540" s="4" t="str">
        <f t="shared" si="4"/>
        <v/>
      </c>
    </row>
    <row r="2541" spans="19:25">
      <c r="S2541" t="str">
        <f t="shared" si="0"/>
        <v/>
      </c>
      <c r="T2541" t="str">
        <f t="shared" si="1"/>
        <v/>
      </c>
      <c r="U2541" t="str">
        <f t="shared" si="2"/>
        <v/>
      </c>
      <c r="V2541" t="str">
        <f>IF(OR(U2541="",U2541="ERRO_CHAVE"),"",IFERROR(MATCH(U2541,Fornecedores!$AF$1:$AF$6631,0),""))</f>
        <v/>
      </c>
      <c r="W2541" t="str">
        <f t="shared" si="3"/>
        <v/>
      </c>
      <c r="X2541" s="4" t="str">
        <f>IF(V2541="","",INDEX(Fornecedores!$X$1:$X$6631,V2541))</f>
        <v/>
      </c>
      <c r="Y2541" s="4" t="str">
        <f t="shared" si="4"/>
        <v/>
      </c>
    </row>
    <row r="2542" spans="19:25">
      <c r="S2542" t="str">
        <f t="shared" si="0"/>
        <v/>
      </c>
      <c r="T2542" t="str">
        <f t="shared" si="1"/>
        <v/>
      </c>
      <c r="U2542" t="str">
        <f t="shared" si="2"/>
        <v/>
      </c>
      <c r="V2542" t="str">
        <f>IF(OR(U2542="",U2542="ERRO_CHAVE"),"",IFERROR(MATCH(U2542,Fornecedores!$AF$1:$AF$6631,0),""))</f>
        <v/>
      </c>
      <c r="W2542" t="str">
        <f t="shared" si="3"/>
        <v/>
      </c>
      <c r="X2542" s="4" t="str">
        <f>IF(V2542="","",INDEX(Fornecedores!$X$1:$X$6631,V2542))</f>
        <v/>
      </c>
      <c r="Y2542" s="4" t="str">
        <f t="shared" si="4"/>
        <v/>
      </c>
    </row>
    <row r="2543" spans="19:25">
      <c r="S2543" t="str">
        <f t="shared" si="0"/>
        <v/>
      </c>
      <c r="T2543" t="str">
        <f t="shared" si="1"/>
        <v/>
      </c>
      <c r="U2543" t="str">
        <f t="shared" si="2"/>
        <v/>
      </c>
      <c r="V2543" t="str">
        <f>IF(OR(U2543="",U2543="ERRO_CHAVE"),"",IFERROR(MATCH(U2543,Fornecedores!$AF$1:$AF$6631,0),""))</f>
        <v/>
      </c>
      <c r="W2543" t="str">
        <f t="shared" si="3"/>
        <v/>
      </c>
      <c r="X2543" s="4" t="str">
        <f>IF(V2543="","",INDEX(Fornecedores!$X$1:$X$6631,V2543))</f>
        <v/>
      </c>
      <c r="Y2543" s="4" t="str">
        <f t="shared" si="4"/>
        <v/>
      </c>
    </row>
    <row r="2544" spans="19:25">
      <c r="S2544" t="str">
        <f t="shared" si="0"/>
        <v/>
      </c>
      <c r="T2544" t="str">
        <f t="shared" si="1"/>
        <v/>
      </c>
      <c r="U2544" t="str">
        <f t="shared" si="2"/>
        <v/>
      </c>
      <c r="V2544" t="str">
        <f>IF(OR(U2544="",U2544="ERRO_CHAVE"),"",IFERROR(MATCH(U2544,Fornecedores!$AF$1:$AF$6631,0),""))</f>
        <v/>
      </c>
      <c r="W2544" t="str">
        <f t="shared" si="3"/>
        <v/>
      </c>
      <c r="X2544" s="4" t="str">
        <f>IF(V2544="","",INDEX(Fornecedores!$X$1:$X$6631,V2544))</f>
        <v/>
      </c>
      <c r="Y2544" s="4" t="str">
        <f t="shared" si="4"/>
        <v/>
      </c>
    </row>
    <row r="2545" spans="19:25">
      <c r="S2545" t="str">
        <f t="shared" si="0"/>
        <v/>
      </c>
      <c r="T2545" t="str">
        <f t="shared" si="1"/>
        <v/>
      </c>
      <c r="U2545" t="str">
        <f t="shared" si="2"/>
        <v/>
      </c>
      <c r="V2545" t="str">
        <f>IF(OR(U2545="",U2545="ERRO_CHAVE"),"",IFERROR(MATCH(U2545,Fornecedores!$AF$1:$AF$6631,0),""))</f>
        <v/>
      </c>
      <c r="W2545" t="str">
        <f t="shared" si="3"/>
        <v/>
      </c>
      <c r="X2545" s="4" t="str">
        <f>IF(V2545="","",INDEX(Fornecedores!$X$1:$X$6631,V2545))</f>
        <v/>
      </c>
      <c r="Y2545" s="4" t="str">
        <f t="shared" si="4"/>
        <v/>
      </c>
    </row>
    <row r="2546" spans="19:25">
      <c r="S2546" t="str">
        <f t="shared" si="0"/>
        <v/>
      </c>
      <c r="T2546" t="str">
        <f t="shared" si="1"/>
        <v/>
      </c>
      <c r="U2546" t="str">
        <f t="shared" si="2"/>
        <v/>
      </c>
      <c r="V2546" t="str">
        <f>IF(OR(U2546="",U2546="ERRO_CHAVE"),"",IFERROR(MATCH(U2546,Fornecedores!$AF$1:$AF$6631,0),""))</f>
        <v/>
      </c>
      <c r="W2546" t="str">
        <f t="shared" si="3"/>
        <v/>
      </c>
      <c r="X2546" s="4" t="str">
        <f>IF(V2546="","",INDEX(Fornecedores!$X$1:$X$6631,V2546))</f>
        <v/>
      </c>
      <c r="Y2546" s="4" t="str">
        <f t="shared" si="4"/>
        <v/>
      </c>
    </row>
    <row r="2547" spans="19:25">
      <c r="S2547" t="str">
        <f t="shared" si="0"/>
        <v/>
      </c>
      <c r="T2547" t="str">
        <f t="shared" si="1"/>
        <v/>
      </c>
      <c r="U2547" t="str">
        <f t="shared" si="2"/>
        <v/>
      </c>
      <c r="V2547" t="str">
        <f>IF(OR(U2547="",U2547="ERRO_CHAVE"),"",IFERROR(MATCH(U2547,Fornecedores!$AF$1:$AF$6631,0),""))</f>
        <v/>
      </c>
      <c r="W2547" t="str">
        <f t="shared" si="3"/>
        <v/>
      </c>
      <c r="X2547" s="4" t="str">
        <f>IF(V2547="","",INDEX(Fornecedores!$X$1:$X$6631,V2547))</f>
        <v/>
      </c>
      <c r="Y2547" s="4" t="str">
        <f t="shared" si="4"/>
        <v/>
      </c>
    </row>
    <row r="2548" spans="19:25">
      <c r="S2548" t="str">
        <f t="shared" si="0"/>
        <v/>
      </c>
      <c r="T2548" t="str">
        <f t="shared" si="1"/>
        <v/>
      </c>
      <c r="U2548" t="str">
        <f t="shared" si="2"/>
        <v/>
      </c>
      <c r="V2548" t="str">
        <f>IF(OR(U2548="",U2548="ERRO_CHAVE"),"",IFERROR(MATCH(U2548,Fornecedores!$AF$1:$AF$6631,0),""))</f>
        <v/>
      </c>
      <c r="W2548" t="str">
        <f t="shared" si="3"/>
        <v/>
      </c>
      <c r="X2548" s="4" t="str">
        <f>IF(V2548="","",INDEX(Fornecedores!$X$1:$X$6631,V2548))</f>
        <v/>
      </c>
      <c r="Y2548" s="4" t="str">
        <f t="shared" si="4"/>
        <v/>
      </c>
    </row>
    <row r="2549" spans="19:25">
      <c r="S2549" t="str">
        <f t="shared" si="0"/>
        <v/>
      </c>
      <c r="T2549" t="str">
        <f t="shared" si="1"/>
        <v/>
      </c>
      <c r="U2549" t="str">
        <f t="shared" si="2"/>
        <v/>
      </c>
      <c r="V2549" t="str">
        <f>IF(OR(U2549="",U2549="ERRO_CHAVE"),"",IFERROR(MATCH(U2549,Fornecedores!$AF$1:$AF$6631,0),""))</f>
        <v/>
      </c>
      <c r="W2549" t="str">
        <f t="shared" si="3"/>
        <v/>
      </c>
      <c r="X2549" s="4" t="str">
        <f>IF(V2549="","",INDEX(Fornecedores!$X$1:$X$6631,V2549))</f>
        <v/>
      </c>
      <c r="Y2549" s="4" t="str">
        <f t="shared" si="4"/>
        <v/>
      </c>
    </row>
    <row r="2550" spans="19:25">
      <c r="S2550" t="str">
        <f t="shared" si="0"/>
        <v/>
      </c>
      <c r="T2550" t="str">
        <f t="shared" si="1"/>
        <v/>
      </c>
      <c r="U2550" t="str">
        <f t="shared" si="2"/>
        <v/>
      </c>
      <c r="V2550" t="str">
        <f>IF(OR(U2550="",U2550="ERRO_CHAVE"),"",IFERROR(MATCH(U2550,Fornecedores!$AF$1:$AF$6631,0),""))</f>
        <v/>
      </c>
      <c r="W2550" t="str">
        <f t="shared" si="3"/>
        <v/>
      </c>
      <c r="X2550" s="4" t="str">
        <f>IF(V2550="","",INDEX(Fornecedores!$X$1:$X$6631,V2550))</f>
        <v/>
      </c>
      <c r="Y2550" s="4" t="str">
        <f t="shared" si="4"/>
        <v/>
      </c>
    </row>
    <row r="2551" spans="19:25">
      <c r="S2551" t="str">
        <f t="shared" si="0"/>
        <v/>
      </c>
      <c r="T2551" t="str">
        <f t="shared" si="1"/>
        <v/>
      </c>
      <c r="U2551" t="str">
        <f t="shared" si="2"/>
        <v/>
      </c>
      <c r="V2551" t="str">
        <f>IF(OR(U2551="",U2551="ERRO_CHAVE"),"",IFERROR(MATCH(U2551,Fornecedores!$AF$1:$AF$6631,0),""))</f>
        <v/>
      </c>
      <c r="W2551" t="str">
        <f t="shared" si="3"/>
        <v/>
      </c>
      <c r="X2551" s="4" t="str">
        <f>IF(V2551="","",INDEX(Fornecedores!$X$1:$X$6631,V2551))</f>
        <v/>
      </c>
      <c r="Y2551" s="4" t="str">
        <f t="shared" si="4"/>
        <v/>
      </c>
    </row>
    <row r="2552" spans="19:25">
      <c r="S2552" t="str">
        <f t="shared" si="0"/>
        <v/>
      </c>
      <c r="T2552" t="str">
        <f t="shared" si="1"/>
        <v/>
      </c>
      <c r="U2552" t="str">
        <f t="shared" si="2"/>
        <v/>
      </c>
      <c r="V2552" t="str">
        <f>IF(OR(U2552="",U2552="ERRO_CHAVE"),"",IFERROR(MATCH(U2552,Fornecedores!$AF$1:$AF$6631,0),""))</f>
        <v/>
      </c>
      <c r="W2552" t="str">
        <f t="shared" si="3"/>
        <v/>
      </c>
      <c r="X2552" s="4" t="str">
        <f>IF(V2552="","",INDEX(Fornecedores!$X$1:$X$6631,V2552))</f>
        <v/>
      </c>
      <c r="Y2552" s="4" t="str">
        <f t="shared" si="4"/>
        <v/>
      </c>
    </row>
    <row r="2553" spans="19:25">
      <c r="S2553" t="str">
        <f t="shared" si="0"/>
        <v/>
      </c>
      <c r="T2553" t="str">
        <f t="shared" si="1"/>
        <v/>
      </c>
      <c r="U2553" t="str">
        <f t="shared" si="2"/>
        <v/>
      </c>
      <c r="V2553" t="str">
        <f>IF(OR(U2553="",U2553="ERRO_CHAVE"),"",IFERROR(MATCH(U2553,Fornecedores!$AF$1:$AF$6631,0),""))</f>
        <v/>
      </c>
      <c r="W2553" t="str">
        <f t="shared" si="3"/>
        <v/>
      </c>
      <c r="X2553" s="4" t="str">
        <f>IF(V2553="","",INDEX(Fornecedores!$X$1:$X$6631,V2553))</f>
        <v/>
      </c>
      <c r="Y2553" s="4" t="str">
        <f t="shared" si="4"/>
        <v/>
      </c>
    </row>
    <row r="2554" spans="19:25">
      <c r="S2554" t="str">
        <f t="shared" si="0"/>
        <v/>
      </c>
      <c r="T2554" t="str">
        <f t="shared" si="1"/>
        <v/>
      </c>
      <c r="U2554" t="str">
        <f t="shared" si="2"/>
        <v/>
      </c>
      <c r="V2554" t="str">
        <f>IF(OR(U2554="",U2554="ERRO_CHAVE"),"",IFERROR(MATCH(U2554,Fornecedores!$AF$1:$AF$6631,0),""))</f>
        <v/>
      </c>
      <c r="W2554" t="str">
        <f t="shared" si="3"/>
        <v/>
      </c>
      <c r="X2554" s="4" t="str">
        <f>IF(V2554="","",INDEX(Fornecedores!$X$1:$X$6631,V2554))</f>
        <v/>
      </c>
      <c r="Y2554" s="4" t="str">
        <f t="shared" si="4"/>
        <v/>
      </c>
    </row>
    <row r="2555" spans="19:25">
      <c r="S2555" t="str">
        <f t="shared" si="0"/>
        <v/>
      </c>
      <c r="T2555" t="str">
        <f t="shared" si="1"/>
        <v/>
      </c>
      <c r="U2555" t="str">
        <f t="shared" si="2"/>
        <v/>
      </c>
      <c r="V2555" t="str">
        <f>IF(OR(U2555="",U2555="ERRO_CHAVE"),"",IFERROR(MATCH(U2555,Fornecedores!$AF$1:$AF$6631,0),""))</f>
        <v/>
      </c>
      <c r="W2555" t="str">
        <f t="shared" si="3"/>
        <v/>
      </c>
      <c r="X2555" s="4" t="str">
        <f>IF(V2555="","",INDEX(Fornecedores!$X$1:$X$6631,V2555))</f>
        <v/>
      </c>
      <c r="Y2555" s="4" t="str">
        <f t="shared" si="4"/>
        <v/>
      </c>
    </row>
    <row r="2556" spans="19:25">
      <c r="S2556" t="str">
        <f t="shared" si="0"/>
        <v/>
      </c>
      <c r="T2556" t="str">
        <f t="shared" si="1"/>
        <v/>
      </c>
      <c r="U2556" t="str">
        <f t="shared" si="2"/>
        <v/>
      </c>
      <c r="V2556" t="str">
        <f>IF(OR(U2556="",U2556="ERRO_CHAVE"),"",IFERROR(MATCH(U2556,Fornecedores!$AF$1:$AF$6631,0),""))</f>
        <v/>
      </c>
      <c r="W2556" t="str">
        <f t="shared" si="3"/>
        <v/>
      </c>
      <c r="X2556" s="4" t="str">
        <f>IF(V2556="","",INDEX(Fornecedores!$X$1:$X$6631,V2556))</f>
        <v/>
      </c>
      <c r="Y2556" s="4" t="str">
        <f t="shared" si="4"/>
        <v/>
      </c>
    </row>
    <row r="2557" spans="19:25">
      <c r="S2557" t="str">
        <f t="shared" si="0"/>
        <v/>
      </c>
      <c r="T2557" t="str">
        <f t="shared" si="1"/>
        <v/>
      </c>
      <c r="U2557" t="str">
        <f t="shared" si="2"/>
        <v/>
      </c>
      <c r="V2557" t="str">
        <f>IF(OR(U2557="",U2557="ERRO_CHAVE"),"",IFERROR(MATCH(U2557,Fornecedores!$AF$1:$AF$6631,0),""))</f>
        <v/>
      </c>
      <c r="W2557" t="str">
        <f t="shared" si="3"/>
        <v/>
      </c>
      <c r="X2557" s="4" t="str">
        <f>IF(V2557="","",INDEX(Fornecedores!$X$1:$X$6631,V2557))</f>
        <v/>
      </c>
      <c r="Y2557" s="4" t="str">
        <f t="shared" si="4"/>
        <v/>
      </c>
    </row>
    <row r="2558" spans="19:25">
      <c r="S2558" t="str">
        <f t="shared" si="0"/>
        <v/>
      </c>
      <c r="T2558" t="str">
        <f t="shared" si="1"/>
        <v/>
      </c>
      <c r="U2558" t="str">
        <f t="shared" si="2"/>
        <v/>
      </c>
      <c r="V2558" t="str">
        <f>IF(OR(U2558="",U2558="ERRO_CHAVE"),"",IFERROR(MATCH(U2558,Fornecedores!$AF$1:$AF$6631,0),""))</f>
        <v/>
      </c>
      <c r="W2558" t="str">
        <f t="shared" si="3"/>
        <v/>
      </c>
      <c r="X2558" s="4" t="str">
        <f>IF(V2558="","",INDEX(Fornecedores!$X$1:$X$6631,V2558))</f>
        <v/>
      </c>
      <c r="Y2558" s="4" t="str">
        <f t="shared" si="4"/>
        <v/>
      </c>
    </row>
    <row r="2559" spans="19:25">
      <c r="S2559" t="str">
        <f t="shared" si="0"/>
        <v/>
      </c>
      <c r="T2559" t="str">
        <f t="shared" si="1"/>
        <v/>
      </c>
      <c r="U2559" t="str">
        <f t="shared" si="2"/>
        <v/>
      </c>
      <c r="V2559" t="str">
        <f>IF(OR(U2559="",U2559="ERRO_CHAVE"),"",IFERROR(MATCH(U2559,Fornecedores!$AF$1:$AF$6631,0),""))</f>
        <v/>
      </c>
      <c r="W2559" t="str">
        <f t="shared" si="3"/>
        <v/>
      </c>
      <c r="X2559" s="4" t="str">
        <f>IF(V2559="","",INDEX(Fornecedores!$X$1:$X$6631,V2559))</f>
        <v/>
      </c>
      <c r="Y2559" s="4" t="str">
        <f t="shared" si="4"/>
        <v/>
      </c>
    </row>
    <row r="2560" spans="19:25">
      <c r="S2560" t="str">
        <f t="shared" si="0"/>
        <v/>
      </c>
      <c r="T2560" t="str">
        <f t="shared" si="1"/>
        <v/>
      </c>
      <c r="U2560" t="str">
        <f t="shared" si="2"/>
        <v/>
      </c>
      <c r="V2560" t="str">
        <f>IF(OR(U2560="",U2560="ERRO_CHAVE"),"",IFERROR(MATCH(U2560,Fornecedores!$AF$1:$AF$6631,0),""))</f>
        <v/>
      </c>
      <c r="W2560" t="str">
        <f t="shared" si="3"/>
        <v/>
      </c>
      <c r="X2560" s="4" t="str">
        <f>IF(V2560="","",INDEX(Fornecedores!$X$1:$X$6631,V2560))</f>
        <v/>
      </c>
      <c r="Y2560" s="4" t="str">
        <f t="shared" si="4"/>
        <v/>
      </c>
    </row>
    <row r="2561" spans="19:25">
      <c r="S2561" t="str">
        <f t="shared" si="0"/>
        <v/>
      </c>
      <c r="T2561" t="str">
        <f t="shared" si="1"/>
        <v/>
      </c>
      <c r="U2561" t="str">
        <f t="shared" si="2"/>
        <v/>
      </c>
      <c r="V2561" t="str">
        <f>IF(OR(U2561="",U2561="ERRO_CHAVE"),"",IFERROR(MATCH(U2561,Fornecedores!$AF$1:$AF$6631,0),""))</f>
        <v/>
      </c>
      <c r="W2561" t="str">
        <f t="shared" si="3"/>
        <v/>
      </c>
      <c r="X2561" s="4" t="str">
        <f>IF(V2561="","",INDEX(Fornecedores!$X$1:$X$6631,V2561))</f>
        <v/>
      </c>
      <c r="Y2561" s="4" t="str">
        <f t="shared" si="4"/>
        <v/>
      </c>
    </row>
    <row r="2562" spans="19:25">
      <c r="S2562" t="str">
        <f t="shared" si="0"/>
        <v/>
      </c>
      <c r="T2562" t="str">
        <f t="shared" si="1"/>
        <v/>
      </c>
      <c r="U2562" t="str">
        <f t="shared" si="2"/>
        <v/>
      </c>
      <c r="V2562" t="str">
        <f>IF(OR(U2562="",U2562="ERRO_CHAVE"),"",IFERROR(MATCH(U2562,Fornecedores!$AF$1:$AF$6631,0),""))</f>
        <v/>
      </c>
      <c r="W2562" t="str">
        <f t="shared" si="3"/>
        <v/>
      </c>
      <c r="X2562" s="4" t="str">
        <f>IF(V2562="","",INDEX(Fornecedores!$X$1:$X$6631,V2562))</f>
        <v/>
      </c>
      <c r="Y2562" s="4" t="str">
        <f t="shared" si="4"/>
        <v/>
      </c>
    </row>
    <row r="2563" spans="19:25">
      <c r="S2563" t="str">
        <f t="shared" si="0"/>
        <v/>
      </c>
      <c r="T2563" t="str">
        <f t="shared" si="1"/>
        <v/>
      </c>
      <c r="U2563" t="str">
        <f t="shared" si="2"/>
        <v/>
      </c>
      <c r="V2563" t="str">
        <f>IF(OR(U2563="",U2563="ERRO_CHAVE"),"",IFERROR(MATCH(U2563,Fornecedores!$AF$1:$AF$6631,0),""))</f>
        <v/>
      </c>
      <c r="W2563" t="str">
        <f t="shared" si="3"/>
        <v/>
      </c>
      <c r="X2563" s="4" t="str">
        <f>IF(V2563="","",INDEX(Fornecedores!$X$1:$X$6631,V2563))</f>
        <v/>
      </c>
      <c r="Y2563" s="4" t="str">
        <f t="shared" si="4"/>
        <v/>
      </c>
    </row>
    <row r="2564" spans="19:25">
      <c r="S2564" t="str">
        <f t="shared" si="0"/>
        <v/>
      </c>
      <c r="T2564" t="str">
        <f t="shared" si="1"/>
        <v/>
      </c>
      <c r="U2564" t="str">
        <f t="shared" si="2"/>
        <v/>
      </c>
      <c r="V2564" t="str">
        <f>IF(OR(U2564="",U2564="ERRO_CHAVE"),"",IFERROR(MATCH(U2564,Fornecedores!$AF$1:$AF$6631,0),""))</f>
        <v/>
      </c>
      <c r="W2564" t="str">
        <f t="shared" si="3"/>
        <v/>
      </c>
      <c r="X2564" s="4" t="str">
        <f>IF(V2564="","",INDEX(Fornecedores!$X$1:$X$6631,V2564))</f>
        <v/>
      </c>
      <c r="Y2564" s="4" t="str">
        <f t="shared" si="4"/>
        <v/>
      </c>
    </row>
    <row r="2565" spans="19:25">
      <c r="S2565" t="str">
        <f t="shared" si="0"/>
        <v/>
      </c>
      <c r="T2565" t="str">
        <f t="shared" si="1"/>
        <v/>
      </c>
      <c r="U2565" t="str">
        <f t="shared" si="2"/>
        <v/>
      </c>
      <c r="V2565" t="str">
        <f>IF(OR(U2565="",U2565="ERRO_CHAVE"),"",IFERROR(MATCH(U2565,Fornecedores!$AF$1:$AF$6631,0),""))</f>
        <v/>
      </c>
      <c r="W2565" t="str">
        <f t="shared" si="3"/>
        <v/>
      </c>
      <c r="X2565" s="4" t="str">
        <f>IF(V2565="","",INDEX(Fornecedores!$X$1:$X$6631,V2565))</f>
        <v/>
      </c>
      <c r="Y2565" s="4" t="str">
        <f t="shared" si="4"/>
        <v/>
      </c>
    </row>
    <row r="2566" spans="19:25">
      <c r="S2566" t="str">
        <f t="shared" si="0"/>
        <v/>
      </c>
      <c r="T2566" t="str">
        <f t="shared" si="1"/>
        <v/>
      </c>
      <c r="U2566" t="str">
        <f t="shared" si="2"/>
        <v/>
      </c>
      <c r="V2566" t="str">
        <f>IF(OR(U2566="",U2566="ERRO_CHAVE"),"",IFERROR(MATCH(U2566,Fornecedores!$AF$1:$AF$6631,0),""))</f>
        <v/>
      </c>
      <c r="W2566" t="str">
        <f t="shared" si="3"/>
        <v/>
      </c>
      <c r="X2566" s="4" t="str">
        <f>IF(V2566="","",INDEX(Fornecedores!$X$1:$X$6631,V2566))</f>
        <v/>
      </c>
      <c r="Y2566" s="4" t="str">
        <f t="shared" si="4"/>
        <v/>
      </c>
    </row>
    <row r="2567" spans="19:25">
      <c r="S2567" t="str">
        <f t="shared" si="0"/>
        <v/>
      </c>
      <c r="T2567" t="str">
        <f t="shared" si="1"/>
        <v/>
      </c>
      <c r="U2567" t="str">
        <f t="shared" si="2"/>
        <v/>
      </c>
      <c r="V2567" t="str">
        <f>IF(OR(U2567="",U2567="ERRO_CHAVE"),"",IFERROR(MATCH(U2567,Fornecedores!$AF$1:$AF$6631,0),""))</f>
        <v/>
      </c>
      <c r="W2567" t="str">
        <f t="shared" si="3"/>
        <v/>
      </c>
      <c r="X2567" s="4" t="str">
        <f>IF(V2567="","",INDEX(Fornecedores!$X$1:$X$6631,V2567))</f>
        <v/>
      </c>
      <c r="Y2567" s="4" t="str">
        <f t="shared" si="4"/>
        <v/>
      </c>
    </row>
    <row r="2568" spans="19:25">
      <c r="S2568" t="str">
        <f t="shared" si="0"/>
        <v/>
      </c>
      <c r="T2568" t="str">
        <f t="shared" si="1"/>
        <v/>
      </c>
      <c r="U2568" t="str">
        <f t="shared" si="2"/>
        <v/>
      </c>
      <c r="V2568" t="str">
        <f>IF(OR(U2568="",U2568="ERRO_CHAVE"),"",IFERROR(MATCH(U2568,Fornecedores!$AF$1:$AF$6631,0),""))</f>
        <v/>
      </c>
      <c r="W2568" t="str">
        <f t="shared" si="3"/>
        <v/>
      </c>
      <c r="X2568" s="4" t="str">
        <f>IF(V2568="","",INDEX(Fornecedores!$X$1:$X$6631,V2568))</f>
        <v/>
      </c>
      <c r="Y2568" s="4" t="str">
        <f t="shared" si="4"/>
        <v/>
      </c>
    </row>
    <row r="2569" spans="19:25">
      <c r="S2569" t="str">
        <f t="shared" si="0"/>
        <v/>
      </c>
      <c r="T2569" t="str">
        <f t="shared" si="1"/>
        <v/>
      </c>
      <c r="U2569" t="str">
        <f t="shared" si="2"/>
        <v/>
      </c>
      <c r="V2569" t="str">
        <f>IF(OR(U2569="",U2569="ERRO_CHAVE"),"",IFERROR(MATCH(U2569,Fornecedores!$AF$1:$AF$6631,0),""))</f>
        <v/>
      </c>
      <c r="W2569" t="str">
        <f t="shared" si="3"/>
        <v/>
      </c>
      <c r="X2569" s="4" t="str">
        <f>IF(V2569="","",INDEX(Fornecedores!$X$1:$X$6631,V2569))</f>
        <v/>
      </c>
      <c r="Y2569" s="4" t="str">
        <f t="shared" si="4"/>
        <v/>
      </c>
    </row>
    <row r="2570" spans="19:25">
      <c r="S2570" t="str">
        <f t="shared" si="0"/>
        <v/>
      </c>
      <c r="T2570" t="str">
        <f t="shared" si="1"/>
        <v/>
      </c>
      <c r="U2570" t="str">
        <f t="shared" si="2"/>
        <v/>
      </c>
      <c r="V2570" t="str">
        <f>IF(OR(U2570="",U2570="ERRO_CHAVE"),"",IFERROR(MATCH(U2570,Fornecedores!$AF$1:$AF$6631,0),""))</f>
        <v/>
      </c>
      <c r="W2570" t="str">
        <f t="shared" si="3"/>
        <v/>
      </c>
      <c r="X2570" s="4" t="str">
        <f>IF(V2570="","",INDEX(Fornecedores!$X$1:$X$6631,V2570))</f>
        <v/>
      </c>
      <c r="Y2570" s="4" t="str">
        <f t="shared" si="4"/>
        <v/>
      </c>
    </row>
    <row r="2571" spans="19:25">
      <c r="S2571" t="str">
        <f t="shared" si="0"/>
        <v/>
      </c>
      <c r="T2571" t="str">
        <f t="shared" si="1"/>
        <v/>
      </c>
      <c r="U2571" t="str">
        <f t="shared" si="2"/>
        <v/>
      </c>
      <c r="V2571" t="str">
        <f>IF(OR(U2571="",U2571="ERRO_CHAVE"),"",IFERROR(MATCH(U2571,Fornecedores!$AF$1:$AF$6631,0),""))</f>
        <v/>
      </c>
      <c r="W2571" t="str">
        <f t="shared" si="3"/>
        <v/>
      </c>
      <c r="X2571" s="4" t="str">
        <f>IF(V2571="","",INDEX(Fornecedores!$X$1:$X$6631,V2571))</f>
        <v/>
      </c>
      <c r="Y2571" s="4" t="str">
        <f t="shared" si="4"/>
        <v/>
      </c>
    </row>
    <row r="2572" spans="19:25">
      <c r="S2572" t="str">
        <f t="shared" si="0"/>
        <v/>
      </c>
      <c r="T2572" t="str">
        <f t="shared" si="1"/>
        <v/>
      </c>
      <c r="U2572" t="str">
        <f t="shared" si="2"/>
        <v/>
      </c>
      <c r="V2572" t="str">
        <f>IF(OR(U2572="",U2572="ERRO_CHAVE"),"",IFERROR(MATCH(U2572,Fornecedores!$AF$1:$AF$6631,0),""))</f>
        <v/>
      </c>
      <c r="W2572" t="str">
        <f t="shared" si="3"/>
        <v/>
      </c>
      <c r="X2572" s="4" t="str">
        <f>IF(V2572="","",INDEX(Fornecedores!$X$1:$X$6631,V2572))</f>
        <v/>
      </c>
      <c r="Y2572" s="4" t="str">
        <f t="shared" si="4"/>
        <v/>
      </c>
    </row>
    <row r="2573" spans="19:25">
      <c r="S2573" t="str">
        <f t="shared" si="0"/>
        <v/>
      </c>
      <c r="T2573" t="str">
        <f t="shared" si="1"/>
        <v/>
      </c>
      <c r="U2573" t="str">
        <f t="shared" si="2"/>
        <v/>
      </c>
      <c r="V2573" t="str">
        <f>IF(OR(U2573="",U2573="ERRO_CHAVE"),"",IFERROR(MATCH(U2573,Fornecedores!$AF$1:$AF$6631,0),""))</f>
        <v/>
      </c>
      <c r="W2573" t="str">
        <f t="shared" si="3"/>
        <v/>
      </c>
      <c r="X2573" s="4" t="str">
        <f>IF(V2573="","",INDEX(Fornecedores!$X$1:$X$6631,V2573))</f>
        <v/>
      </c>
      <c r="Y2573" s="4" t="str">
        <f t="shared" si="4"/>
        <v/>
      </c>
    </row>
    <row r="2574" spans="19:25">
      <c r="S2574" t="str">
        <f t="shared" si="0"/>
        <v/>
      </c>
      <c r="T2574" t="str">
        <f t="shared" si="1"/>
        <v/>
      </c>
      <c r="U2574" t="str">
        <f t="shared" si="2"/>
        <v/>
      </c>
      <c r="V2574" t="str">
        <f>IF(OR(U2574="",U2574="ERRO_CHAVE"),"",IFERROR(MATCH(U2574,Fornecedores!$AF$1:$AF$6631,0),""))</f>
        <v/>
      </c>
      <c r="W2574" t="str">
        <f t="shared" si="3"/>
        <v/>
      </c>
      <c r="X2574" s="4" t="str">
        <f>IF(V2574="","",INDEX(Fornecedores!$X$1:$X$6631,V2574))</f>
        <v/>
      </c>
      <c r="Y2574" s="4" t="str">
        <f t="shared" si="4"/>
        <v/>
      </c>
    </row>
    <row r="2575" spans="19:25">
      <c r="S2575" t="str">
        <f t="shared" si="0"/>
        <v/>
      </c>
      <c r="T2575" t="str">
        <f t="shared" si="1"/>
        <v/>
      </c>
      <c r="U2575" t="str">
        <f t="shared" si="2"/>
        <v/>
      </c>
      <c r="V2575" t="str">
        <f>IF(OR(U2575="",U2575="ERRO_CHAVE"),"",IFERROR(MATCH(U2575,Fornecedores!$AF$1:$AF$6631,0),""))</f>
        <v/>
      </c>
      <c r="W2575" t="str">
        <f t="shared" si="3"/>
        <v/>
      </c>
      <c r="X2575" s="4" t="str">
        <f>IF(V2575="","",INDEX(Fornecedores!$X$1:$X$6631,V2575))</f>
        <v/>
      </c>
      <c r="Y2575" s="4" t="str">
        <f t="shared" si="4"/>
        <v/>
      </c>
    </row>
    <row r="2576" spans="19:25">
      <c r="S2576" t="str">
        <f t="shared" si="0"/>
        <v/>
      </c>
      <c r="T2576" t="str">
        <f t="shared" si="1"/>
        <v/>
      </c>
      <c r="U2576" t="str">
        <f t="shared" si="2"/>
        <v/>
      </c>
      <c r="V2576" t="str">
        <f>IF(OR(U2576="",U2576="ERRO_CHAVE"),"",IFERROR(MATCH(U2576,Fornecedores!$AF$1:$AF$6631,0),""))</f>
        <v/>
      </c>
      <c r="W2576" t="str">
        <f t="shared" si="3"/>
        <v/>
      </c>
      <c r="X2576" s="4" t="str">
        <f>IF(V2576="","",INDEX(Fornecedores!$X$1:$X$6631,V2576))</f>
        <v/>
      </c>
      <c r="Y2576" s="4" t="str">
        <f t="shared" si="4"/>
        <v/>
      </c>
    </row>
    <row r="2577" spans="19:25">
      <c r="S2577" t="str">
        <f t="shared" si="0"/>
        <v/>
      </c>
      <c r="T2577" t="str">
        <f t="shared" si="1"/>
        <v/>
      </c>
      <c r="U2577" t="str">
        <f t="shared" si="2"/>
        <v/>
      </c>
      <c r="V2577" t="str">
        <f>IF(OR(U2577="",U2577="ERRO_CHAVE"),"",IFERROR(MATCH(U2577,Fornecedores!$AF$1:$AF$6631,0),""))</f>
        <v/>
      </c>
      <c r="W2577" t="str">
        <f t="shared" si="3"/>
        <v/>
      </c>
      <c r="X2577" s="4" t="str">
        <f>IF(V2577="","",INDEX(Fornecedores!$X$1:$X$6631,V2577))</f>
        <v/>
      </c>
      <c r="Y2577" s="4" t="str">
        <f t="shared" si="4"/>
        <v/>
      </c>
    </row>
    <row r="2578" spans="19:25">
      <c r="S2578" t="str">
        <f t="shared" si="0"/>
        <v/>
      </c>
      <c r="T2578" t="str">
        <f t="shared" si="1"/>
        <v/>
      </c>
      <c r="U2578" t="str">
        <f t="shared" si="2"/>
        <v/>
      </c>
      <c r="V2578" t="str">
        <f>IF(OR(U2578="",U2578="ERRO_CHAVE"),"",IFERROR(MATCH(U2578,Fornecedores!$AF$1:$AF$6631,0),""))</f>
        <v/>
      </c>
      <c r="W2578" t="str">
        <f t="shared" si="3"/>
        <v/>
      </c>
      <c r="X2578" s="4" t="str">
        <f>IF(V2578="","",INDEX(Fornecedores!$X$1:$X$6631,V2578))</f>
        <v/>
      </c>
      <c r="Y2578" s="4" t="str">
        <f t="shared" si="4"/>
        <v/>
      </c>
    </row>
    <row r="2579" spans="19:25">
      <c r="S2579" t="str">
        <f t="shared" si="0"/>
        <v/>
      </c>
      <c r="T2579" t="str">
        <f t="shared" si="1"/>
        <v/>
      </c>
      <c r="U2579" t="str">
        <f t="shared" si="2"/>
        <v/>
      </c>
      <c r="V2579" t="str">
        <f>IF(OR(U2579="",U2579="ERRO_CHAVE"),"",IFERROR(MATCH(U2579,Fornecedores!$AF$1:$AF$6631,0),""))</f>
        <v/>
      </c>
      <c r="W2579" t="str">
        <f t="shared" si="3"/>
        <v/>
      </c>
      <c r="X2579" s="4" t="str">
        <f>IF(V2579="","",INDEX(Fornecedores!$X$1:$X$6631,V2579))</f>
        <v/>
      </c>
      <c r="Y2579" s="4" t="str">
        <f t="shared" si="4"/>
        <v/>
      </c>
    </row>
    <row r="2580" spans="19:25">
      <c r="S2580" t="str">
        <f t="shared" si="0"/>
        <v/>
      </c>
      <c r="T2580" t="str">
        <f t="shared" si="1"/>
        <v/>
      </c>
      <c r="U2580" t="str">
        <f t="shared" si="2"/>
        <v/>
      </c>
      <c r="V2580" t="str">
        <f>IF(OR(U2580="",U2580="ERRO_CHAVE"),"",IFERROR(MATCH(U2580,Fornecedores!$AF$1:$AF$6631,0),""))</f>
        <v/>
      </c>
      <c r="W2580" t="str">
        <f t="shared" si="3"/>
        <v/>
      </c>
      <c r="X2580" s="4" t="str">
        <f>IF(V2580="","",INDEX(Fornecedores!$X$1:$X$6631,V2580))</f>
        <v/>
      </c>
      <c r="Y2580" s="4" t="str">
        <f t="shared" si="4"/>
        <v/>
      </c>
    </row>
    <row r="2581" spans="19:25">
      <c r="S2581" t="str">
        <f t="shared" si="0"/>
        <v/>
      </c>
      <c r="T2581" t="str">
        <f t="shared" si="1"/>
        <v/>
      </c>
      <c r="U2581" t="str">
        <f t="shared" si="2"/>
        <v/>
      </c>
      <c r="V2581" t="str">
        <f>IF(OR(U2581="",U2581="ERRO_CHAVE"),"",IFERROR(MATCH(U2581,Fornecedores!$AF$1:$AF$6631,0),""))</f>
        <v/>
      </c>
      <c r="W2581" t="str">
        <f t="shared" si="3"/>
        <v/>
      </c>
      <c r="X2581" s="4" t="str">
        <f>IF(V2581="","",INDEX(Fornecedores!$X$1:$X$6631,V2581))</f>
        <v/>
      </c>
      <c r="Y2581" s="4" t="str">
        <f t="shared" si="4"/>
        <v/>
      </c>
    </row>
    <row r="2582" spans="19:25">
      <c r="S2582" t="str">
        <f t="shared" si="0"/>
        <v/>
      </c>
      <c r="T2582" t="str">
        <f t="shared" si="1"/>
        <v/>
      </c>
      <c r="U2582" t="str">
        <f t="shared" si="2"/>
        <v/>
      </c>
      <c r="V2582" t="str">
        <f>IF(OR(U2582="",U2582="ERRO_CHAVE"),"",IFERROR(MATCH(U2582,Fornecedores!$AF$1:$AF$6631,0),""))</f>
        <v/>
      </c>
      <c r="W2582" t="str">
        <f t="shared" si="3"/>
        <v/>
      </c>
      <c r="X2582" s="4" t="str">
        <f>IF(V2582="","",INDEX(Fornecedores!$X$1:$X$6631,V2582))</f>
        <v/>
      </c>
      <c r="Y2582" s="4" t="str">
        <f t="shared" si="4"/>
        <v/>
      </c>
    </row>
    <row r="2583" spans="19:25">
      <c r="S2583" t="str">
        <f t="shared" si="0"/>
        <v/>
      </c>
      <c r="T2583" t="str">
        <f t="shared" si="1"/>
        <v/>
      </c>
      <c r="U2583" t="str">
        <f t="shared" si="2"/>
        <v/>
      </c>
      <c r="V2583" t="str">
        <f>IF(OR(U2583="",U2583="ERRO_CHAVE"),"",IFERROR(MATCH(U2583,Fornecedores!$AF$1:$AF$6631,0),""))</f>
        <v/>
      </c>
      <c r="W2583" t="str">
        <f t="shared" si="3"/>
        <v/>
      </c>
      <c r="X2583" s="4" t="str">
        <f>IF(V2583="","",INDEX(Fornecedores!$X$1:$X$6631,V2583))</f>
        <v/>
      </c>
      <c r="Y2583" s="4" t="str">
        <f t="shared" si="4"/>
        <v/>
      </c>
    </row>
    <row r="2584" spans="19:25">
      <c r="S2584" t="str">
        <f t="shared" si="0"/>
        <v/>
      </c>
      <c r="T2584" t="str">
        <f t="shared" si="1"/>
        <v/>
      </c>
      <c r="U2584" t="str">
        <f t="shared" si="2"/>
        <v/>
      </c>
      <c r="V2584" t="str">
        <f>IF(OR(U2584="",U2584="ERRO_CHAVE"),"",IFERROR(MATCH(U2584,Fornecedores!$AF$1:$AF$6631,0),""))</f>
        <v/>
      </c>
      <c r="W2584" t="str">
        <f t="shared" si="3"/>
        <v/>
      </c>
      <c r="X2584" s="4" t="str">
        <f>IF(V2584="","",INDEX(Fornecedores!$X$1:$X$6631,V2584))</f>
        <v/>
      </c>
      <c r="Y2584" s="4" t="str">
        <f t="shared" si="4"/>
        <v/>
      </c>
    </row>
    <row r="2585" spans="19:25">
      <c r="S2585" t="str">
        <f t="shared" si="0"/>
        <v/>
      </c>
      <c r="T2585" t="str">
        <f t="shared" si="1"/>
        <v/>
      </c>
      <c r="U2585" t="str">
        <f t="shared" si="2"/>
        <v/>
      </c>
      <c r="V2585" t="str">
        <f>IF(OR(U2585="",U2585="ERRO_CHAVE"),"",IFERROR(MATCH(U2585,Fornecedores!$AF$1:$AF$6631,0),""))</f>
        <v/>
      </c>
      <c r="W2585" t="str">
        <f t="shared" si="3"/>
        <v/>
      </c>
      <c r="X2585" s="4" t="str">
        <f>IF(V2585="","",INDEX(Fornecedores!$X$1:$X$6631,V2585))</f>
        <v/>
      </c>
      <c r="Y2585" s="4" t="str">
        <f t="shared" si="4"/>
        <v/>
      </c>
    </row>
    <row r="2586" spans="19:25">
      <c r="S2586" t="str">
        <f t="shared" si="0"/>
        <v/>
      </c>
      <c r="T2586" t="str">
        <f t="shared" si="1"/>
        <v/>
      </c>
      <c r="U2586" t="str">
        <f t="shared" si="2"/>
        <v/>
      </c>
      <c r="V2586" t="str">
        <f>IF(OR(U2586="",U2586="ERRO_CHAVE"),"",IFERROR(MATCH(U2586,Fornecedores!$AF$1:$AF$6631,0),""))</f>
        <v/>
      </c>
      <c r="W2586" t="str">
        <f t="shared" si="3"/>
        <v/>
      </c>
      <c r="X2586" s="4" t="str">
        <f>IF(V2586="","",INDEX(Fornecedores!$X$1:$X$6631,V2586))</f>
        <v/>
      </c>
      <c r="Y2586" s="4" t="str">
        <f t="shared" si="4"/>
        <v/>
      </c>
    </row>
    <row r="2587" spans="19:25">
      <c r="S2587" t="str">
        <f t="shared" si="0"/>
        <v/>
      </c>
      <c r="T2587" t="str">
        <f t="shared" si="1"/>
        <v/>
      </c>
      <c r="U2587" t="str">
        <f t="shared" si="2"/>
        <v/>
      </c>
      <c r="V2587" t="str">
        <f>IF(OR(U2587="",U2587="ERRO_CHAVE"),"",IFERROR(MATCH(U2587,Fornecedores!$AF$1:$AF$6631,0),""))</f>
        <v/>
      </c>
      <c r="W2587" t="str">
        <f t="shared" si="3"/>
        <v/>
      </c>
      <c r="X2587" s="4" t="str">
        <f>IF(V2587="","",INDEX(Fornecedores!$X$1:$X$6631,V2587))</f>
        <v/>
      </c>
      <c r="Y2587" s="4" t="str">
        <f t="shared" si="4"/>
        <v/>
      </c>
    </row>
    <row r="2588" spans="19:25">
      <c r="S2588" t="str">
        <f t="shared" si="0"/>
        <v/>
      </c>
      <c r="T2588" t="str">
        <f t="shared" si="1"/>
        <v/>
      </c>
      <c r="U2588" t="str">
        <f t="shared" si="2"/>
        <v/>
      </c>
      <c r="V2588" t="str">
        <f>IF(OR(U2588="",U2588="ERRO_CHAVE"),"",IFERROR(MATCH(U2588,Fornecedores!$AF$1:$AF$6631,0),""))</f>
        <v/>
      </c>
      <c r="W2588" t="str">
        <f t="shared" si="3"/>
        <v/>
      </c>
      <c r="X2588" s="4" t="str">
        <f>IF(V2588="","",INDEX(Fornecedores!$X$1:$X$6631,V2588))</f>
        <v/>
      </c>
      <c r="Y2588" s="4" t="str">
        <f t="shared" si="4"/>
        <v/>
      </c>
    </row>
    <row r="2589" spans="19:25">
      <c r="S2589" t="str">
        <f t="shared" si="0"/>
        <v/>
      </c>
      <c r="T2589" t="str">
        <f t="shared" si="1"/>
        <v/>
      </c>
      <c r="U2589" t="str">
        <f t="shared" si="2"/>
        <v/>
      </c>
      <c r="V2589" t="str">
        <f>IF(OR(U2589="",U2589="ERRO_CHAVE"),"",IFERROR(MATCH(U2589,Fornecedores!$AF$1:$AF$6631,0),""))</f>
        <v/>
      </c>
      <c r="W2589" t="str">
        <f t="shared" si="3"/>
        <v/>
      </c>
      <c r="X2589" s="4" t="str">
        <f>IF(V2589="","",INDEX(Fornecedores!$X$1:$X$6631,V2589))</f>
        <v/>
      </c>
      <c r="Y2589" s="4" t="str">
        <f t="shared" si="4"/>
        <v/>
      </c>
    </row>
    <row r="2590" spans="19:25">
      <c r="S2590" t="str">
        <f t="shared" si="0"/>
        <v/>
      </c>
      <c r="T2590" t="str">
        <f t="shared" si="1"/>
        <v/>
      </c>
      <c r="U2590" t="str">
        <f t="shared" si="2"/>
        <v/>
      </c>
      <c r="V2590" t="str">
        <f>IF(OR(U2590="",U2590="ERRO_CHAVE"),"",IFERROR(MATCH(U2590,Fornecedores!$AF$1:$AF$6631,0),""))</f>
        <v/>
      </c>
      <c r="W2590" t="str">
        <f t="shared" si="3"/>
        <v/>
      </c>
      <c r="X2590" s="4" t="str">
        <f>IF(V2590="","",INDEX(Fornecedores!$X$1:$X$6631,V2590))</f>
        <v/>
      </c>
      <c r="Y2590" s="4" t="str">
        <f t="shared" si="4"/>
        <v/>
      </c>
    </row>
    <row r="2591" spans="19:25">
      <c r="S2591" t="str">
        <f t="shared" si="0"/>
        <v/>
      </c>
      <c r="T2591" t="str">
        <f t="shared" si="1"/>
        <v/>
      </c>
      <c r="U2591" t="str">
        <f t="shared" si="2"/>
        <v/>
      </c>
      <c r="V2591" t="str">
        <f>IF(OR(U2591="",U2591="ERRO_CHAVE"),"",IFERROR(MATCH(U2591,Fornecedores!$AF$1:$AF$6631,0),""))</f>
        <v/>
      </c>
      <c r="W2591" t="str">
        <f t="shared" si="3"/>
        <v/>
      </c>
      <c r="X2591" s="4" t="str">
        <f>IF(V2591="","",INDEX(Fornecedores!$X$1:$X$6631,V2591))</f>
        <v/>
      </c>
      <c r="Y2591" s="4" t="str">
        <f t="shared" si="4"/>
        <v/>
      </c>
    </row>
    <row r="2592" spans="19:25">
      <c r="S2592" t="str">
        <f t="shared" si="0"/>
        <v/>
      </c>
      <c r="T2592" t="str">
        <f t="shared" si="1"/>
        <v/>
      </c>
      <c r="U2592" t="str">
        <f t="shared" si="2"/>
        <v/>
      </c>
      <c r="V2592" t="str">
        <f>IF(OR(U2592="",U2592="ERRO_CHAVE"),"",IFERROR(MATCH(U2592,Fornecedores!$AF$1:$AF$6631,0),""))</f>
        <v/>
      </c>
      <c r="W2592" t="str">
        <f t="shared" si="3"/>
        <v/>
      </c>
      <c r="X2592" s="4" t="str">
        <f>IF(V2592="","",INDEX(Fornecedores!$X$1:$X$6631,V2592))</f>
        <v/>
      </c>
      <c r="Y2592" s="4" t="str">
        <f t="shared" si="4"/>
        <v/>
      </c>
    </row>
    <row r="2593" spans="19:25">
      <c r="S2593" t="str">
        <f t="shared" si="0"/>
        <v/>
      </c>
      <c r="T2593" t="str">
        <f t="shared" si="1"/>
        <v/>
      </c>
      <c r="U2593" t="str">
        <f t="shared" si="2"/>
        <v/>
      </c>
      <c r="V2593" t="str">
        <f>IF(OR(U2593="",U2593="ERRO_CHAVE"),"",IFERROR(MATCH(U2593,Fornecedores!$AF$1:$AF$6631,0),""))</f>
        <v/>
      </c>
      <c r="W2593" t="str">
        <f t="shared" si="3"/>
        <v/>
      </c>
      <c r="X2593" s="4" t="str">
        <f>IF(V2593="","",INDEX(Fornecedores!$X$1:$X$6631,V2593))</f>
        <v/>
      </c>
      <c r="Y2593" s="4" t="str">
        <f t="shared" si="4"/>
        <v/>
      </c>
    </row>
    <row r="2594" spans="19:25">
      <c r="S2594" t="str">
        <f t="shared" si="0"/>
        <v/>
      </c>
      <c r="T2594" t="str">
        <f t="shared" si="1"/>
        <v/>
      </c>
      <c r="U2594" t="str">
        <f t="shared" si="2"/>
        <v/>
      </c>
      <c r="V2594" t="str">
        <f>IF(OR(U2594="",U2594="ERRO_CHAVE"),"",IFERROR(MATCH(U2594,Fornecedores!$AF$1:$AF$6631,0),""))</f>
        <v/>
      </c>
      <c r="W2594" t="str">
        <f t="shared" si="3"/>
        <v/>
      </c>
      <c r="X2594" s="4" t="str">
        <f>IF(V2594="","",INDEX(Fornecedores!$X$1:$X$6631,V2594))</f>
        <v/>
      </c>
      <c r="Y2594" s="4" t="str">
        <f t="shared" si="4"/>
        <v/>
      </c>
    </row>
    <row r="2595" spans="19:25">
      <c r="S2595" t="str">
        <f t="shared" si="0"/>
        <v/>
      </c>
      <c r="T2595" t="str">
        <f t="shared" si="1"/>
        <v/>
      </c>
      <c r="U2595" t="str">
        <f t="shared" si="2"/>
        <v/>
      </c>
      <c r="V2595" t="str">
        <f>IF(OR(U2595="",U2595="ERRO_CHAVE"),"",IFERROR(MATCH(U2595,Fornecedores!$AF$1:$AF$6631,0),""))</f>
        <v/>
      </c>
      <c r="W2595" t="str">
        <f t="shared" si="3"/>
        <v/>
      </c>
      <c r="X2595" s="4" t="str">
        <f>IF(V2595="","",INDEX(Fornecedores!$X$1:$X$6631,V2595))</f>
        <v/>
      </c>
      <c r="Y2595" s="4" t="str">
        <f t="shared" si="4"/>
        <v/>
      </c>
    </row>
    <row r="2596" spans="19:25">
      <c r="S2596" t="str">
        <f t="shared" si="0"/>
        <v/>
      </c>
      <c r="T2596" t="str">
        <f t="shared" si="1"/>
        <v/>
      </c>
      <c r="U2596" t="str">
        <f t="shared" si="2"/>
        <v/>
      </c>
      <c r="V2596" t="str">
        <f>IF(OR(U2596="",U2596="ERRO_CHAVE"),"",IFERROR(MATCH(U2596,Fornecedores!$AF$1:$AF$6631,0),""))</f>
        <v/>
      </c>
      <c r="W2596" t="str">
        <f t="shared" si="3"/>
        <v/>
      </c>
      <c r="X2596" s="4" t="str">
        <f>IF(V2596="","",INDEX(Fornecedores!$X$1:$X$6631,V2596))</f>
        <v/>
      </c>
      <c r="Y2596" s="4" t="str">
        <f t="shared" si="4"/>
        <v/>
      </c>
    </row>
    <row r="2597" spans="19:25">
      <c r="S2597" t="str">
        <f t="shared" si="0"/>
        <v/>
      </c>
      <c r="T2597" t="str">
        <f t="shared" si="1"/>
        <v/>
      </c>
      <c r="U2597" t="str">
        <f t="shared" si="2"/>
        <v/>
      </c>
      <c r="V2597" t="str">
        <f>IF(OR(U2597="",U2597="ERRO_CHAVE"),"",IFERROR(MATCH(U2597,Fornecedores!$AF$1:$AF$6631,0),""))</f>
        <v/>
      </c>
      <c r="W2597" t="str">
        <f t="shared" si="3"/>
        <v/>
      </c>
      <c r="X2597" s="4" t="str">
        <f>IF(V2597="","",INDEX(Fornecedores!$X$1:$X$6631,V2597))</f>
        <v/>
      </c>
      <c r="Y2597" s="4" t="str">
        <f t="shared" si="4"/>
        <v/>
      </c>
    </row>
    <row r="2598" spans="19:25">
      <c r="S2598" t="str">
        <f t="shared" si="0"/>
        <v/>
      </c>
      <c r="T2598" t="str">
        <f t="shared" si="1"/>
        <v/>
      </c>
      <c r="U2598" t="str">
        <f t="shared" si="2"/>
        <v/>
      </c>
      <c r="V2598" t="str">
        <f>IF(OR(U2598="",U2598="ERRO_CHAVE"),"",IFERROR(MATCH(U2598,Fornecedores!$AF$1:$AF$6631,0),""))</f>
        <v/>
      </c>
      <c r="W2598" t="str">
        <f t="shared" si="3"/>
        <v/>
      </c>
      <c r="X2598" s="4" t="str">
        <f>IF(V2598="","",INDEX(Fornecedores!$X$1:$X$6631,V2598))</f>
        <v/>
      </c>
      <c r="Y2598" s="4" t="str">
        <f t="shared" si="4"/>
        <v/>
      </c>
    </row>
    <row r="2599" spans="19:25">
      <c r="S2599" t="str">
        <f t="shared" si="0"/>
        <v/>
      </c>
      <c r="T2599" t="str">
        <f t="shared" si="1"/>
        <v/>
      </c>
      <c r="U2599" t="str">
        <f t="shared" si="2"/>
        <v/>
      </c>
      <c r="V2599" t="str">
        <f>IF(OR(U2599="",U2599="ERRO_CHAVE"),"",IFERROR(MATCH(U2599,Fornecedores!$AF$1:$AF$6631,0),""))</f>
        <v/>
      </c>
      <c r="W2599" t="str">
        <f t="shared" si="3"/>
        <v/>
      </c>
      <c r="X2599" s="4" t="str">
        <f>IF(V2599="","",INDEX(Fornecedores!$X$1:$X$6631,V2599))</f>
        <v/>
      </c>
      <c r="Y2599" s="4" t="str">
        <f t="shared" si="4"/>
        <v/>
      </c>
    </row>
    <row r="2600" spans="19:25">
      <c r="S2600" t="str">
        <f t="shared" si="0"/>
        <v/>
      </c>
      <c r="T2600" t="str">
        <f t="shared" si="1"/>
        <v/>
      </c>
      <c r="U2600" t="str">
        <f t="shared" si="2"/>
        <v/>
      </c>
      <c r="V2600" t="str">
        <f>IF(OR(U2600="",U2600="ERRO_CHAVE"),"",IFERROR(MATCH(U2600,Fornecedores!$AF$1:$AF$6631,0),""))</f>
        <v/>
      </c>
      <c r="W2600" t="str">
        <f t="shared" si="3"/>
        <v/>
      </c>
      <c r="X2600" s="4" t="str">
        <f>IF(V2600="","",INDEX(Fornecedores!$X$1:$X$6631,V2600))</f>
        <v/>
      </c>
      <c r="Y2600" s="4" t="str">
        <f t="shared" si="4"/>
        <v/>
      </c>
    </row>
    <row r="2601" spans="19:25">
      <c r="S2601" t="str">
        <f t="shared" si="0"/>
        <v/>
      </c>
      <c r="T2601" t="str">
        <f t="shared" si="1"/>
        <v/>
      </c>
      <c r="U2601" t="str">
        <f t="shared" si="2"/>
        <v/>
      </c>
      <c r="V2601" t="str">
        <f>IF(OR(U2601="",U2601="ERRO_CHAVE"),"",IFERROR(MATCH(U2601,Fornecedores!$AF$1:$AF$6631,0),""))</f>
        <v/>
      </c>
      <c r="W2601" t="str">
        <f t="shared" si="3"/>
        <v/>
      </c>
      <c r="X2601" s="4" t="str">
        <f>IF(V2601="","",INDEX(Fornecedores!$X$1:$X$6631,V2601))</f>
        <v/>
      </c>
      <c r="Y2601" s="4" t="str">
        <f t="shared" si="4"/>
        <v/>
      </c>
    </row>
    <row r="2602" spans="19:25">
      <c r="S2602" t="str">
        <f t="shared" si="0"/>
        <v/>
      </c>
      <c r="T2602" t="str">
        <f t="shared" si="1"/>
        <v/>
      </c>
      <c r="U2602" t="str">
        <f t="shared" si="2"/>
        <v/>
      </c>
      <c r="V2602" t="str">
        <f>IF(OR(U2602="",U2602="ERRO_CHAVE"),"",IFERROR(MATCH(U2602,Fornecedores!$AF$1:$AF$6631,0),""))</f>
        <v/>
      </c>
      <c r="W2602" t="str">
        <f t="shared" si="3"/>
        <v/>
      </c>
      <c r="X2602" s="4" t="str">
        <f>IF(V2602="","",INDEX(Fornecedores!$X$1:$X$6631,V2602))</f>
        <v/>
      </c>
      <c r="Y2602" s="4" t="str">
        <f t="shared" si="4"/>
        <v/>
      </c>
    </row>
    <row r="2603" spans="19:25">
      <c r="S2603" t="str">
        <f t="shared" si="0"/>
        <v/>
      </c>
      <c r="T2603" t="str">
        <f t="shared" si="1"/>
        <v/>
      </c>
      <c r="U2603" t="str">
        <f t="shared" si="2"/>
        <v/>
      </c>
      <c r="V2603" t="str">
        <f>IF(OR(U2603="",U2603="ERRO_CHAVE"),"",IFERROR(MATCH(U2603,Fornecedores!$AF$1:$AF$6631,0),""))</f>
        <v/>
      </c>
      <c r="W2603" t="str">
        <f t="shared" si="3"/>
        <v/>
      </c>
      <c r="X2603" s="4" t="str">
        <f>IF(V2603="","",INDEX(Fornecedores!$X$1:$X$6631,V2603))</f>
        <v/>
      </c>
      <c r="Y2603" s="4" t="str">
        <f t="shared" si="4"/>
        <v/>
      </c>
    </row>
    <row r="2604" spans="19:25">
      <c r="S2604" t="str">
        <f t="shared" si="0"/>
        <v/>
      </c>
      <c r="T2604" t="str">
        <f t="shared" si="1"/>
        <v/>
      </c>
      <c r="U2604" t="str">
        <f t="shared" si="2"/>
        <v/>
      </c>
      <c r="V2604" t="str">
        <f>IF(OR(U2604="",U2604="ERRO_CHAVE"),"",IFERROR(MATCH(U2604,Fornecedores!$AF$1:$AF$6631,0),""))</f>
        <v/>
      </c>
      <c r="W2604" t="str">
        <f t="shared" si="3"/>
        <v/>
      </c>
      <c r="X2604" s="4" t="str">
        <f>IF(V2604="","",INDEX(Fornecedores!$X$1:$X$6631,V2604))</f>
        <v/>
      </c>
      <c r="Y2604" s="4" t="str">
        <f t="shared" si="4"/>
        <v/>
      </c>
    </row>
    <row r="2605" spans="19:25">
      <c r="S2605" t="str">
        <f t="shared" si="0"/>
        <v/>
      </c>
      <c r="T2605" t="str">
        <f t="shared" si="1"/>
        <v/>
      </c>
      <c r="U2605" t="str">
        <f t="shared" si="2"/>
        <v/>
      </c>
      <c r="V2605" t="str">
        <f>IF(OR(U2605="",U2605="ERRO_CHAVE"),"",IFERROR(MATCH(U2605,Fornecedores!$AF$1:$AF$6631,0),""))</f>
        <v/>
      </c>
      <c r="W2605" t="str">
        <f t="shared" si="3"/>
        <v/>
      </c>
      <c r="X2605" s="4" t="str">
        <f>IF(V2605="","",INDEX(Fornecedores!$X$1:$X$6631,V2605))</f>
        <v/>
      </c>
      <c r="Y2605" s="4" t="str">
        <f t="shared" si="4"/>
        <v/>
      </c>
    </row>
    <row r="2606" spans="19:25">
      <c r="S2606" t="str">
        <f t="shared" si="0"/>
        <v/>
      </c>
      <c r="T2606" t="str">
        <f t="shared" si="1"/>
        <v/>
      </c>
      <c r="U2606" t="str">
        <f t="shared" si="2"/>
        <v/>
      </c>
      <c r="V2606" t="str">
        <f>IF(OR(U2606="",U2606="ERRO_CHAVE"),"",IFERROR(MATCH(U2606,Fornecedores!$AF$1:$AF$6631,0),""))</f>
        <v/>
      </c>
      <c r="W2606" t="str">
        <f t="shared" si="3"/>
        <v/>
      </c>
      <c r="X2606" s="4" t="str">
        <f>IF(V2606="","",INDEX(Fornecedores!$X$1:$X$6631,V2606))</f>
        <v/>
      </c>
      <c r="Y2606" s="4" t="str">
        <f t="shared" si="4"/>
        <v/>
      </c>
    </row>
    <row r="2607" spans="19:25">
      <c r="S2607" t="str">
        <f t="shared" si="0"/>
        <v/>
      </c>
      <c r="T2607" t="str">
        <f t="shared" si="1"/>
        <v/>
      </c>
      <c r="U2607" t="str">
        <f t="shared" si="2"/>
        <v/>
      </c>
      <c r="V2607" t="str">
        <f>IF(OR(U2607="",U2607="ERRO_CHAVE"),"",IFERROR(MATCH(U2607,Fornecedores!$AF$1:$AF$6631,0),""))</f>
        <v/>
      </c>
      <c r="W2607" t="str">
        <f t="shared" si="3"/>
        <v/>
      </c>
      <c r="X2607" s="4" t="str">
        <f>IF(V2607="","",INDEX(Fornecedores!$X$1:$X$6631,V2607))</f>
        <v/>
      </c>
      <c r="Y2607" s="4" t="str">
        <f t="shared" si="4"/>
        <v/>
      </c>
    </row>
    <row r="2608" spans="19:25">
      <c r="S2608" t="str">
        <f t="shared" si="0"/>
        <v/>
      </c>
      <c r="T2608" t="str">
        <f t="shared" si="1"/>
        <v/>
      </c>
      <c r="U2608" t="str">
        <f t="shared" si="2"/>
        <v/>
      </c>
      <c r="V2608" t="str">
        <f>IF(OR(U2608="",U2608="ERRO_CHAVE"),"",IFERROR(MATCH(U2608,Fornecedores!$AF$1:$AF$6631,0),""))</f>
        <v/>
      </c>
      <c r="W2608" t="str">
        <f t="shared" si="3"/>
        <v/>
      </c>
      <c r="X2608" s="4" t="str">
        <f>IF(V2608="","",INDEX(Fornecedores!$X$1:$X$6631,V2608))</f>
        <v/>
      </c>
      <c r="Y2608" s="4" t="str">
        <f t="shared" si="4"/>
        <v/>
      </c>
    </row>
    <row r="2609" spans="19:25">
      <c r="S2609" t="str">
        <f t="shared" si="0"/>
        <v/>
      </c>
      <c r="T2609" t="str">
        <f t="shared" si="1"/>
        <v/>
      </c>
      <c r="U2609" t="str">
        <f t="shared" si="2"/>
        <v/>
      </c>
      <c r="V2609" t="str">
        <f>IF(OR(U2609="",U2609="ERRO_CHAVE"),"",IFERROR(MATCH(U2609,Fornecedores!$AF$1:$AF$6631,0),""))</f>
        <v/>
      </c>
      <c r="W2609" t="str">
        <f t="shared" si="3"/>
        <v/>
      </c>
      <c r="X2609" s="4" t="str">
        <f>IF(V2609="","",INDEX(Fornecedores!$X$1:$X$6631,V2609))</f>
        <v/>
      </c>
      <c r="Y2609" s="4" t="str">
        <f t="shared" si="4"/>
        <v/>
      </c>
    </row>
    <row r="2610" spans="19:25">
      <c r="S2610" t="str">
        <f t="shared" si="0"/>
        <v/>
      </c>
      <c r="T2610" t="str">
        <f t="shared" si="1"/>
        <v/>
      </c>
      <c r="U2610" t="str">
        <f t="shared" si="2"/>
        <v/>
      </c>
      <c r="V2610" t="str">
        <f>IF(OR(U2610="",U2610="ERRO_CHAVE"),"",IFERROR(MATCH(U2610,Fornecedores!$AF$1:$AF$6631,0),""))</f>
        <v/>
      </c>
      <c r="W2610" t="str">
        <f t="shared" si="3"/>
        <v/>
      </c>
      <c r="X2610" s="4" t="str">
        <f>IF(V2610="","",INDEX(Fornecedores!$X$1:$X$6631,V2610))</f>
        <v/>
      </c>
      <c r="Y2610" s="4" t="str">
        <f t="shared" si="4"/>
        <v/>
      </c>
    </row>
    <row r="2611" spans="19:25">
      <c r="S2611" t="str">
        <f t="shared" si="0"/>
        <v/>
      </c>
      <c r="T2611" t="str">
        <f t="shared" si="1"/>
        <v/>
      </c>
      <c r="U2611" t="str">
        <f t="shared" si="2"/>
        <v/>
      </c>
      <c r="V2611" t="str">
        <f>IF(OR(U2611="",U2611="ERRO_CHAVE"),"",IFERROR(MATCH(U2611,Fornecedores!$AF$1:$AF$6631,0),""))</f>
        <v/>
      </c>
      <c r="W2611" t="str">
        <f t="shared" si="3"/>
        <v/>
      </c>
      <c r="X2611" s="4" t="str">
        <f>IF(V2611="","",INDEX(Fornecedores!$X$1:$X$6631,V2611))</f>
        <v/>
      </c>
      <c r="Y2611" s="4" t="str">
        <f t="shared" si="4"/>
        <v/>
      </c>
    </row>
    <row r="2612" spans="19:25">
      <c r="S2612" t="str">
        <f t="shared" si="0"/>
        <v/>
      </c>
      <c r="T2612" t="str">
        <f t="shared" si="1"/>
        <v/>
      </c>
      <c r="U2612" t="str">
        <f t="shared" si="2"/>
        <v/>
      </c>
      <c r="V2612" t="str">
        <f>IF(OR(U2612="",U2612="ERRO_CHAVE"),"",IFERROR(MATCH(U2612,Fornecedores!$AF$1:$AF$6631,0),""))</f>
        <v/>
      </c>
      <c r="W2612" t="str">
        <f t="shared" si="3"/>
        <v/>
      </c>
      <c r="X2612" s="4" t="str">
        <f>IF(V2612="","",INDEX(Fornecedores!$X$1:$X$6631,V2612))</f>
        <v/>
      </c>
      <c r="Y2612" s="4" t="str">
        <f t="shared" si="4"/>
        <v/>
      </c>
    </row>
    <row r="2613" spans="19:25">
      <c r="S2613" t="str">
        <f t="shared" si="0"/>
        <v/>
      </c>
      <c r="T2613" t="str">
        <f t="shared" si="1"/>
        <v/>
      </c>
      <c r="U2613" t="str">
        <f t="shared" si="2"/>
        <v/>
      </c>
      <c r="V2613" t="str">
        <f>IF(OR(U2613="",U2613="ERRO_CHAVE"),"",IFERROR(MATCH(U2613,Fornecedores!$AF$1:$AF$6631,0),""))</f>
        <v/>
      </c>
      <c r="W2613" t="str">
        <f t="shared" si="3"/>
        <v/>
      </c>
      <c r="X2613" s="4" t="str">
        <f>IF(V2613="","",INDEX(Fornecedores!$X$1:$X$6631,V2613))</f>
        <v/>
      </c>
      <c r="Y2613" s="4" t="str">
        <f t="shared" si="4"/>
        <v/>
      </c>
    </row>
    <row r="2614" spans="19:25">
      <c r="S2614" t="str">
        <f t="shared" si="0"/>
        <v/>
      </c>
      <c r="T2614" t="str">
        <f t="shared" si="1"/>
        <v/>
      </c>
      <c r="U2614" t="str">
        <f t="shared" si="2"/>
        <v/>
      </c>
      <c r="V2614" t="str">
        <f>IF(OR(U2614="",U2614="ERRO_CHAVE"),"",IFERROR(MATCH(U2614,Fornecedores!$AF$1:$AF$6631,0),""))</f>
        <v/>
      </c>
      <c r="W2614" t="str">
        <f t="shared" si="3"/>
        <v/>
      </c>
      <c r="X2614" s="4" t="str">
        <f>IF(V2614="","",INDEX(Fornecedores!$X$1:$X$6631,V2614))</f>
        <v/>
      </c>
      <c r="Y2614" s="4" t="str">
        <f t="shared" si="4"/>
        <v/>
      </c>
    </row>
    <row r="2615" spans="19:25">
      <c r="S2615" t="str">
        <f t="shared" si="0"/>
        <v/>
      </c>
      <c r="T2615" t="str">
        <f t="shared" si="1"/>
        <v/>
      </c>
      <c r="U2615" t="str">
        <f t="shared" si="2"/>
        <v/>
      </c>
      <c r="V2615" t="str">
        <f>IF(OR(U2615="",U2615="ERRO_CHAVE"),"",IFERROR(MATCH(U2615,Fornecedores!$AF$1:$AF$6631,0),""))</f>
        <v/>
      </c>
      <c r="W2615" t="str">
        <f t="shared" si="3"/>
        <v/>
      </c>
      <c r="X2615" s="4" t="str">
        <f>IF(V2615="","",INDEX(Fornecedores!$X$1:$X$6631,V2615))</f>
        <v/>
      </c>
      <c r="Y2615" s="4" t="str">
        <f t="shared" si="4"/>
        <v/>
      </c>
    </row>
    <row r="2616" spans="19:25">
      <c r="S2616" t="str">
        <f t="shared" si="0"/>
        <v/>
      </c>
      <c r="T2616" t="str">
        <f t="shared" si="1"/>
        <v/>
      </c>
      <c r="U2616" t="str">
        <f t="shared" si="2"/>
        <v/>
      </c>
      <c r="V2616" t="str">
        <f>IF(OR(U2616="",U2616="ERRO_CHAVE"),"",IFERROR(MATCH(U2616,Fornecedores!$AF$1:$AF$6631,0),""))</f>
        <v/>
      </c>
      <c r="W2616" t="str">
        <f t="shared" si="3"/>
        <v/>
      </c>
      <c r="X2616" s="4" t="str">
        <f>IF(V2616="","",INDEX(Fornecedores!$X$1:$X$6631,V2616))</f>
        <v/>
      </c>
      <c r="Y2616" s="4" t="str">
        <f t="shared" si="4"/>
        <v/>
      </c>
    </row>
    <row r="2617" spans="19:25">
      <c r="S2617" t="str">
        <f t="shared" si="0"/>
        <v/>
      </c>
      <c r="T2617" t="str">
        <f t="shared" si="1"/>
        <v/>
      </c>
      <c r="U2617" t="str">
        <f t="shared" si="2"/>
        <v/>
      </c>
      <c r="V2617" t="str">
        <f>IF(OR(U2617="",U2617="ERRO_CHAVE"),"",IFERROR(MATCH(U2617,Fornecedores!$AF$1:$AF$6631,0),""))</f>
        <v/>
      </c>
      <c r="W2617" t="str">
        <f t="shared" si="3"/>
        <v/>
      </c>
      <c r="X2617" s="4" t="str">
        <f>IF(V2617="","",INDEX(Fornecedores!$X$1:$X$6631,V2617))</f>
        <v/>
      </c>
      <c r="Y2617" s="4" t="str">
        <f t="shared" si="4"/>
        <v/>
      </c>
    </row>
    <row r="2618" spans="19:25">
      <c r="S2618" t="str">
        <f t="shared" si="0"/>
        <v/>
      </c>
      <c r="T2618" t="str">
        <f t="shared" si="1"/>
        <v/>
      </c>
      <c r="U2618" t="str">
        <f t="shared" si="2"/>
        <v/>
      </c>
      <c r="V2618" t="str">
        <f>IF(OR(U2618="",U2618="ERRO_CHAVE"),"",IFERROR(MATCH(U2618,Fornecedores!$AF$1:$AF$6631,0),""))</f>
        <v/>
      </c>
      <c r="W2618" t="str">
        <f t="shared" si="3"/>
        <v/>
      </c>
      <c r="X2618" s="4" t="str">
        <f>IF(V2618="","",INDEX(Fornecedores!$X$1:$X$6631,V2618))</f>
        <v/>
      </c>
      <c r="Y2618" s="4" t="str">
        <f t="shared" si="4"/>
        <v/>
      </c>
    </row>
    <row r="2619" spans="19:25">
      <c r="S2619" t="str">
        <f t="shared" si="0"/>
        <v/>
      </c>
      <c r="T2619" t="str">
        <f t="shared" si="1"/>
        <v/>
      </c>
      <c r="U2619" t="str">
        <f t="shared" si="2"/>
        <v/>
      </c>
      <c r="V2619" t="str">
        <f>IF(OR(U2619="",U2619="ERRO_CHAVE"),"",IFERROR(MATCH(U2619,Fornecedores!$AF$1:$AF$6631,0),""))</f>
        <v/>
      </c>
      <c r="W2619" t="str">
        <f t="shared" si="3"/>
        <v/>
      </c>
      <c r="X2619" s="4" t="str">
        <f>IF(V2619="","",INDEX(Fornecedores!$X$1:$X$6631,V2619))</f>
        <v/>
      </c>
      <c r="Y2619" s="4" t="str">
        <f t="shared" si="4"/>
        <v/>
      </c>
    </row>
    <row r="2620" spans="19:25">
      <c r="S2620" t="str">
        <f t="shared" si="0"/>
        <v/>
      </c>
      <c r="T2620" t="str">
        <f t="shared" si="1"/>
        <v/>
      </c>
      <c r="U2620" t="str">
        <f t="shared" si="2"/>
        <v/>
      </c>
      <c r="V2620" t="str">
        <f>IF(OR(U2620="",U2620="ERRO_CHAVE"),"",IFERROR(MATCH(U2620,Fornecedores!$AF$1:$AF$6631,0),""))</f>
        <v/>
      </c>
      <c r="W2620" t="str">
        <f t="shared" si="3"/>
        <v/>
      </c>
      <c r="X2620" s="4" t="str">
        <f>IF(V2620="","",INDEX(Fornecedores!$X$1:$X$6631,V2620))</f>
        <v/>
      </c>
      <c r="Y2620" s="4" t="str">
        <f t="shared" si="4"/>
        <v/>
      </c>
    </row>
    <row r="2621" spans="19:25">
      <c r="S2621" t="str">
        <f t="shared" si="0"/>
        <v/>
      </c>
      <c r="T2621" t="str">
        <f t="shared" si="1"/>
        <v/>
      </c>
      <c r="U2621" t="str">
        <f t="shared" si="2"/>
        <v/>
      </c>
      <c r="V2621" t="str">
        <f>IF(OR(U2621="",U2621="ERRO_CHAVE"),"",IFERROR(MATCH(U2621,Fornecedores!$AF$1:$AF$6631,0),""))</f>
        <v/>
      </c>
      <c r="W2621" t="str">
        <f t="shared" si="3"/>
        <v/>
      </c>
      <c r="X2621" s="4" t="str">
        <f>IF(V2621="","",INDEX(Fornecedores!$X$1:$X$6631,V2621))</f>
        <v/>
      </c>
      <c r="Y2621" s="4" t="str">
        <f t="shared" si="4"/>
        <v/>
      </c>
    </row>
    <row r="2622" spans="19:25">
      <c r="S2622" t="str">
        <f t="shared" si="0"/>
        <v/>
      </c>
      <c r="T2622" t="str">
        <f t="shared" si="1"/>
        <v/>
      </c>
      <c r="U2622" t="str">
        <f t="shared" si="2"/>
        <v/>
      </c>
      <c r="V2622" t="str">
        <f>IF(OR(U2622="",U2622="ERRO_CHAVE"),"",IFERROR(MATCH(U2622,Fornecedores!$AF$1:$AF$6631,0),""))</f>
        <v/>
      </c>
      <c r="W2622" t="str">
        <f t="shared" si="3"/>
        <v/>
      </c>
      <c r="X2622" s="4" t="str">
        <f>IF(V2622="","",INDEX(Fornecedores!$X$1:$X$6631,V2622))</f>
        <v/>
      </c>
      <c r="Y2622" s="4" t="str">
        <f t="shared" si="4"/>
        <v/>
      </c>
    </row>
    <row r="2623" spans="19:25">
      <c r="S2623" t="str">
        <f t="shared" si="0"/>
        <v/>
      </c>
      <c r="T2623" t="str">
        <f t="shared" si="1"/>
        <v/>
      </c>
      <c r="U2623" t="str">
        <f t="shared" si="2"/>
        <v/>
      </c>
      <c r="V2623" t="str">
        <f>IF(OR(U2623="",U2623="ERRO_CHAVE"),"",IFERROR(MATCH(U2623,Fornecedores!$AF$1:$AF$6631,0),""))</f>
        <v/>
      </c>
      <c r="W2623" t="str">
        <f t="shared" si="3"/>
        <v/>
      </c>
      <c r="X2623" s="4" t="str">
        <f>IF(V2623="","",INDEX(Fornecedores!$X$1:$X$6631,V2623))</f>
        <v/>
      </c>
      <c r="Y2623" s="4" t="str">
        <f t="shared" si="4"/>
        <v/>
      </c>
    </row>
    <row r="2624" spans="19:25">
      <c r="S2624" t="str">
        <f t="shared" si="0"/>
        <v/>
      </c>
      <c r="T2624" t="str">
        <f t="shared" si="1"/>
        <v/>
      </c>
      <c r="U2624" t="str">
        <f t="shared" si="2"/>
        <v/>
      </c>
      <c r="V2624" t="str">
        <f>IF(OR(U2624="",U2624="ERRO_CHAVE"),"",IFERROR(MATCH(U2624,Fornecedores!$AF$1:$AF$6631,0),""))</f>
        <v/>
      </c>
      <c r="W2624" t="str">
        <f t="shared" si="3"/>
        <v/>
      </c>
      <c r="X2624" s="4" t="str">
        <f>IF(V2624="","",INDEX(Fornecedores!$X$1:$X$6631,V2624))</f>
        <v/>
      </c>
      <c r="Y2624" s="4" t="str">
        <f t="shared" si="4"/>
        <v/>
      </c>
    </row>
    <row r="2625" spans="19:25">
      <c r="S2625" t="str">
        <f t="shared" si="0"/>
        <v/>
      </c>
      <c r="T2625" t="str">
        <f t="shared" si="1"/>
        <v/>
      </c>
      <c r="U2625" t="str">
        <f t="shared" si="2"/>
        <v/>
      </c>
      <c r="V2625" t="str">
        <f>IF(OR(U2625="",U2625="ERRO_CHAVE"),"",IFERROR(MATCH(U2625,Fornecedores!$AF$1:$AF$6631,0),""))</f>
        <v/>
      </c>
      <c r="W2625" t="str">
        <f t="shared" si="3"/>
        <v/>
      </c>
      <c r="X2625" s="4" t="str">
        <f>IF(V2625="","",INDEX(Fornecedores!$X$1:$X$6631,V2625))</f>
        <v/>
      </c>
      <c r="Y2625" s="4" t="str">
        <f t="shared" si="4"/>
        <v/>
      </c>
    </row>
    <row r="2626" spans="19:25">
      <c r="S2626" t="str">
        <f t="shared" si="0"/>
        <v/>
      </c>
      <c r="T2626" t="str">
        <f t="shared" si="1"/>
        <v/>
      </c>
      <c r="U2626" t="str">
        <f t="shared" si="2"/>
        <v/>
      </c>
      <c r="V2626" t="str">
        <f>IF(OR(U2626="",U2626="ERRO_CHAVE"),"",IFERROR(MATCH(U2626,Fornecedores!$AF$1:$AF$6631,0),""))</f>
        <v/>
      </c>
      <c r="W2626" t="str">
        <f t="shared" si="3"/>
        <v/>
      </c>
      <c r="X2626" s="4" t="str">
        <f>IF(V2626="","",INDEX(Fornecedores!$X$1:$X$6631,V2626))</f>
        <v/>
      </c>
      <c r="Y2626" s="4" t="str">
        <f t="shared" si="4"/>
        <v/>
      </c>
    </row>
    <row r="2627" spans="19:25">
      <c r="S2627" t="str">
        <f t="shared" si="0"/>
        <v/>
      </c>
      <c r="T2627" t="str">
        <f t="shared" si="1"/>
        <v/>
      </c>
      <c r="U2627" t="str">
        <f t="shared" si="2"/>
        <v/>
      </c>
      <c r="V2627" t="str">
        <f>IF(OR(U2627="",U2627="ERRO_CHAVE"),"",IFERROR(MATCH(U2627,Fornecedores!$AF$1:$AF$6631,0),""))</f>
        <v/>
      </c>
      <c r="W2627" t="str">
        <f t="shared" si="3"/>
        <v/>
      </c>
      <c r="X2627" s="4" t="str">
        <f>IF(V2627="","",INDEX(Fornecedores!$X$1:$X$6631,V2627))</f>
        <v/>
      </c>
      <c r="Y2627" s="4" t="str">
        <f t="shared" si="4"/>
        <v/>
      </c>
    </row>
    <row r="2628" spans="19:25">
      <c r="S2628" t="str">
        <f t="shared" si="0"/>
        <v/>
      </c>
      <c r="T2628" t="str">
        <f t="shared" si="1"/>
        <v/>
      </c>
      <c r="U2628" t="str">
        <f t="shared" si="2"/>
        <v/>
      </c>
      <c r="V2628" t="str">
        <f>IF(OR(U2628="",U2628="ERRO_CHAVE"),"",IFERROR(MATCH(U2628,Fornecedores!$AF$1:$AF$6631,0),""))</f>
        <v/>
      </c>
      <c r="W2628" t="str">
        <f t="shared" si="3"/>
        <v/>
      </c>
      <c r="X2628" s="4" t="str">
        <f>IF(V2628="","",INDEX(Fornecedores!$X$1:$X$6631,V2628))</f>
        <v/>
      </c>
      <c r="Y2628" s="4" t="str">
        <f t="shared" si="4"/>
        <v/>
      </c>
    </row>
    <row r="2629" spans="19:25">
      <c r="S2629" t="str">
        <f t="shared" si="0"/>
        <v/>
      </c>
      <c r="T2629" t="str">
        <f t="shared" si="1"/>
        <v/>
      </c>
      <c r="U2629" t="str">
        <f t="shared" si="2"/>
        <v/>
      </c>
      <c r="V2629" t="str">
        <f>IF(OR(U2629="",U2629="ERRO_CHAVE"),"",IFERROR(MATCH(U2629,Fornecedores!$AF$1:$AF$6631,0),""))</f>
        <v/>
      </c>
      <c r="W2629" t="str">
        <f t="shared" si="3"/>
        <v/>
      </c>
      <c r="X2629" s="4" t="str">
        <f>IF(V2629="","",INDEX(Fornecedores!$X$1:$X$6631,V2629))</f>
        <v/>
      </c>
      <c r="Y2629" s="4" t="str">
        <f t="shared" si="4"/>
        <v/>
      </c>
    </row>
    <row r="2630" spans="19:25">
      <c r="S2630" t="str">
        <f t="shared" si="0"/>
        <v/>
      </c>
      <c r="T2630" t="str">
        <f t="shared" si="1"/>
        <v/>
      </c>
      <c r="U2630" t="str">
        <f t="shared" si="2"/>
        <v/>
      </c>
      <c r="V2630" t="str">
        <f>IF(OR(U2630="",U2630="ERRO_CHAVE"),"",IFERROR(MATCH(U2630,Fornecedores!$AF$1:$AF$6631,0),""))</f>
        <v/>
      </c>
      <c r="W2630" t="str">
        <f t="shared" si="3"/>
        <v/>
      </c>
      <c r="X2630" s="4" t="str">
        <f>IF(V2630="","",INDEX(Fornecedores!$X$1:$X$6631,V2630))</f>
        <v/>
      </c>
      <c r="Y2630" s="4" t="str">
        <f t="shared" si="4"/>
        <v/>
      </c>
    </row>
    <row r="2631" spans="19:25">
      <c r="S2631" t="str">
        <f t="shared" si="0"/>
        <v/>
      </c>
      <c r="T2631" t="str">
        <f t="shared" si="1"/>
        <v/>
      </c>
      <c r="U2631" t="str">
        <f t="shared" si="2"/>
        <v/>
      </c>
      <c r="V2631" t="str">
        <f>IF(OR(U2631="",U2631="ERRO_CHAVE"),"",IFERROR(MATCH(U2631,Fornecedores!$AF$1:$AF$6631,0),""))</f>
        <v/>
      </c>
      <c r="W2631" t="str">
        <f t="shared" si="3"/>
        <v/>
      </c>
      <c r="X2631" s="4" t="str">
        <f>IF(V2631="","",INDEX(Fornecedores!$X$1:$X$6631,V2631))</f>
        <v/>
      </c>
      <c r="Y2631" s="4" t="str">
        <f t="shared" si="4"/>
        <v/>
      </c>
    </row>
    <row r="2632" spans="19:25">
      <c r="S2632" t="str">
        <f t="shared" si="0"/>
        <v/>
      </c>
      <c r="T2632" t="str">
        <f t="shared" si="1"/>
        <v/>
      </c>
      <c r="U2632" t="str">
        <f t="shared" si="2"/>
        <v/>
      </c>
      <c r="V2632" t="str">
        <f>IF(OR(U2632="",U2632="ERRO_CHAVE"),"",IFERROR(MATCH(U2632,Fornecedores!$AF$1:$AF$6631,0),""))</f>
        <v/>
      </c>
      <c r="W2632" t="str">
        <f t="shared" si="3"/>
        <v/>
      </c>
      <c r="X2632" s="4" t="str">
        <f>IF(V2632="","",INDEX(Fornecedores!$X$1:$X$6631,V2632))</f>
        <v/>
      </c>
      <c r="Y2632" s="4" t="str">
        <f t="shared" si="4"/>
        <v/>
      </c>
    </row>
    <row r="2633" spans="19:25">
      <c r="S2633" t="str">
        <f t="shared" si="0"/>
        <v/>
      </c>
      <c r="T2633" t="str">
        <f t="shared" si="1"/>
        <v/>
      </c>
      <c r="U2633" t="str">
        <f t="shared" si="2"/>
        <v/>
      </c>
      <c r="V2633" t="str">
        <f>IF(OR(U2633="",U2633="ERRO_CHAVE"),"",IFERROR(MATCH(U2633,Fornecedores!$AF$1:$AF$6631,0),""))</f>
        <v/>
      </c>
      <c r="W2633" t="str">
        <f t="shared" si="3"/>
        <v/>
      </c>
      <c r="X2633" s="4" t="str">
        <f>IF(V2633="","",INDEX(Fornecedores!$X$1:$X$6631,V2633))</f>
        <v/>
      </c>
      <c r="Y2633" s="4" t="str">
        <f t="shared" si="4"/>
        <v/>
      </c>
    </row>
    <row r="2634" spans="19:25">
      <c r="S2634" t="str">
        <f t="shared" si="0"/>
        <v/>
      </c>
      <c r="T2634" t="str">
        <f t="shared" si="1"/>
        <v/>
      </c>
      <c r="U2634" t="str">
        <f t="shared" si="2"/>
        <v/>
      </c>
      <c r="V2634" t="str">
        <f>IF(OR(U2634="",U2634="ERRO_CHAVE"),"",IFERROR(MATCH(U2634,Fornecedores!$AF$1:$AF$6631,0),""))</f>
        <v/>
      </c>
      <c r="W2634" t="str">
        <f t="shared" si="3"/>
        <v/>
      </c>
      <c r="X2634" s="4" t="str">
        <f>IF(V2634="","",INDEX(Fornecedores!$X$1:$X$6631,V2634))</f>
        <v/>
      </c>
      <c r="Y2634" s="4" t="str">
        <f t="shared" si="4"/>
        <v/>
      </c>
    </row>
    <row r="2635" spans="19:25">
      <c r="S2635" t="str">
        <f t="shared" si="0"/>
        <v/>
      </c>
      <c r="T2635" t="str">
        <f t="shared" si="1"/>
        <v/>
      </c>
      <c r="U2635" t="str">
        <f t="shared" si="2"/>
        <v/>
      </c>
      <c r="V2635" t="str">
        <f>IF(OR(U2635="",U2635="ERRO_CHAVE"),"",IFERROR(MATCH(U2635,Fornecedores!$AF$1:$AF$6631,0),""))</f>
        <v/>
      </c>
      <c r="W2635" t="str">
        <f t="shared" si="3"/>
        <v/>
      </c>
      <c r="X2635" s="4" t="str">
        <f>IF(V2635="","",INDEX(Fornecedores!$X$1:$X$6631,V2635))</f>
        <v/>
      </c>
      <c r="Y2635" s="4" t="str">
        <f t="shared" si="4"/>
        <v/>
      </c>
    </row>
    <row r="2636" spans="19:25">
      <c r="S2636" t="str">
        <f t="shared" si="0"/>
        <v/>
      </c>
      <c r="T2636" t="str">
        <f t="shared" si="1"/>
        <v/>
      </c>
      <c r="U2636" t="str">
        <f t="shared" si="2"/>
        <v/>
      </c>
      <c r="V2636" t="str">
        <f>IF(OR(U2636="",U2636="ERRO_CHAVE"),"",IFERROR(MATCH(U2636,Fornecedores!$AF$1:$AF$6631,0),""))</f>
        <v/>
      </c>
      <c r="W2636" t="str">
        <f t="shared" si="3"/>
        <v/>
      </c>
      <c r="X2636" s="4" t="str">
        <f>IF(V2636="","",INDEX(Fornecedores!$X$1:$X$6631,V2636))</f>
        <v/>
      </c>
      <c r="Y2636" s="4" t="str">
        <f t="shared" si="4"/>
        <v/>
      </c>
    </row>
    <row r="2637" spans="19:25">
      <c r="S2637" t="str">
        <f t="shared" si="0"/>
        <v/>
      </c>
      <c r="T2637" t="str">
        <f t="shared" si="1"/>
        <v/>
      </c>
      <c r="U2637" t="str">
        <f t="shared" si="2"/>
        <v/>
      </c>
      <c r="V2637" t="str">
        <f>IF(OR(U2637="",U2637="ERRO_CHAVE"),"",IFERROR(MATCH(U2637,Fornecedores!$AF$1:$AF$6631,0),""))</f>
        <v/>
      </c>
      <c r="W2637" t="str">
        <f t="shared" si="3"/>
        <v/>
      </c>
      <c r="X2637" s="4" t="str">
        <f>IF(V2637="","",INDEX(Fornecedores!$X$1:$X$6631,V2637))</f>
        <v/>
      </c>
      <c r="Y2637" s="4" t="str">
        <f t="shared" si="4"/>
        <v/>
      </c>
    </row>
    <row r="2638" spans="19:25">
      <c r="S2638" t="str">
        <f t="shared" si="0"/>
        <v/>
      </c>
      <c r="T2638" t="str">
        <f t="shared" si="1"/>
        <v/>
      </c>
      <c r="U2638" t="str">
        <f t="shared" si="2"/>
        <v/>
      </c>
      <c r="V2638" t="str">
        <f>IF(OR(U2638="",U2638="ERRO_CHAVE"),"",IFERROR(MATCH(U2638,Fornecedores!$AF$1:$AF$6631,0),""))</f>
        <v/>
      </c>
      <c r="W2638" t="str">
        <f t="shared" si="3"/>
        <v/>
      </c>
      <c r="X2638" s="4" t="str">
        <f>IF(V2638="","",INDEX(Fornecedores!$X$1:$X$6631,V2638))</f>
        <v/>
      </c>
      <c r="Y2638" s="4" t="str">
        <f t="shared" si="4"/>
        <v/>
      </c>
    </row>
    <row r="2639" spans="19:25">
      <c r="S2639" t="str">
        <f t="shared" si="0"/>
        <v/>
      </c>
      <c r="T2639" t="str">
        <f t="shared" si="1"/>
        <v/>
      </c>
      <c r="U2639" t="str">
        <f t="shared" si="2"/>
        <v/>
      </c>
      <c r="V2639" t="str">
        <f>IF(OR(U2639="",U2639="ERRO_CHAVE"),"",IFERROR(MATCH(U2639,Fornecedores!$AF$1:$AF$6631,0),""))</f>
        <v/>
      </c>
      <c r="W2639" t="str">
        <f t="shared" si="3"/>
        <v/>
      </c>
      <c r="X2639" s="4" t="str">
        <f>IF(V2639="","",INDEX(Fornecedores!$X$1:$X$6631,V2639))</f>
        <v/>
      </c>
      <c r="Y2639" s="4" t="str">
        <f t="shared" si="4"/>
        <v/>
      </c>
    </row>
    <row r="2640" spans="19:25">
      <c r="S2640" t="str">
        <f t="shared" si="0"/>
        <v/>
      </c>
      <c r="T2640" t="str">
        <f t="shared" si="1"/>
        <v/>
      </c>
      <c r="U2640" t="str">
        <f t="shared" si="2"/>
        <v/>
      </c>
      <c r="V2640" t="str">
        <f>IF(OR(U2640="",U2640="ERRO_CHAVE"),"",IFERROR(MATCH(U2640,Fornecedores!$AF$1:$AF$6631,0),""))</f>
        <v/>
      </c>
      <c r="W2640" t="str">
        <f t="shared" si="3"/>
        <v/>
      </c>
      <c r="X2640" s="4" t="str">
        <f>IF(V2640="","",INDEX(Fornecedores!$X$1:$X$6631,V2640))</f>
        <v/>
      </c>
      <c r="Y2640" s="4" t="str">
        <f t="shared" si="4"/>
        <v/>
      </c>
    </row>
    <row r="2641" spans="19:25">
      <c r="S2641" t="str">
        <f t="shared" si="0"/>
        <v/>
      </c>
      <c r="T2641" t="str">
        <f t="shared" si="1"/>
        <v/>
      </c>
      <c r="U2641" t="str">
        <f t="shared" si="2"/>
        <v/>
      </c>
      <c r="V2641" t="str">
        <f>IF(OR(U2641="",U2641="ERRO_CHAVE"),"",IFERROR(MATCH(U2641,Fornecedores!$AF$1:$AF$6631,0),""))</f>
        <v/>
      </c>
      <c r="W2641" t="str">
        <f t="shared" si="3"/>
        <v/>
      </c>
      <c r="X2641" s="4" t="str">
        <f>IF(V2641="","",INDEX(Fornecedores!$X$1:$X$6631,V2641))</f>
        <v/>
      </c>
      <c r="Y2641" s="4" t="str">
        <f t="shared" si="4"/>
        <v/>
      </c>
    </row>
    <row r="2642" spans="19:25">
      <c r="S2642" t="str">
        <f t="shared" si="0"/>
        <v/>
      </c>
      <c r="T2642" t="str">
        <f t="shared" si="1"/>
        <v/>
      </c>
      <c r="U2642" t="str">
        <f t="shared" si="2"/>
        <v/>
      </c>
      <c r="V2642" t="str">
        <f>IF(OR(U2642="",U2642="ERRO_CHAVE"),"",IFERROR(MATCH(U2642,Fornecedores!$AF$1:$AF$6631,0),""))</f>
        <v/>
      </c>
      <c r="W2642" t="str">
        <f t="shared" si="3"/>
        <v/>
      </c>
      <c r="X2642" s="4" t="str">
        <f>IF(V2642="","",INDEX(Fornecedores!$X$1:$X$6631,V2642))</f>
        <v/>
      </c>
      <c r="Y2642" s="4" t="str">
        <f t="shared" si="4"/>
        <v/>
      </c>
    </row>
    <row r="2643" spans="19:25">
      <c r="S2643" t="str">
        <f t="shared" si="0"/>
        <v/>
      </c>
      <c r="T2643" t="str">
        <f t="shared" si="1"/>
        <v/>
      </c>
      <c r="U2643" t="str">
        <f t="shared" si="2"/>
        <v/>
      </c>
      <c r="V2643" t="str">
        <f>IF(OR(U2643="",U2643="ERRO_CHAVE"),"",IFERROR(MATCH(U2643,Fornecedores!$AF$1:$AF$6631,0),""))</f>
        <v/>
      </c>
      <c r="W2643" t="str">
        <f t="shared" si="3"/>
        <v/>
      </c>
      <c r="X2643" s="4" t="str">
        <f>IF(V2643="","",INDEX(Fornecedores!$X$1:$X$6631,V2643))</f>
        <v/>
      </c>
      <c r="Y2643" s="4" t="str">
        <f t="shared" si="4"/>
        <v/>
      </c>
    </row>
    <row r="2644" spans="19:25">
      <c r="S2644" t="str">
        <f t="shared" si="0"/>
        <v/>
      </c>
      <c r="T2644" t="str">
        <f t="shared" si="1"/>
        <v/>
      </c>
      <c r="U2644" t="str">
        <f t="shared" si="2"/>
        <v/>
      </c>
      <c r="V2644" t="str">
        <f>IF(OR(U2644="",U2644="ERRO_CHAVE"),"",IFERROR(MATCH(U2644,Fornecedores!$AF$1:$AF$6631,0),""))</f>
        <v/>
      </c>
      <c r="W2644" t="str">
        <f t="shared" si="3"/>
        <v/>
      </c>
      <c r="X2644" s="4" t="str">
        <f>IF(V2644="","",INDEX(Fornecedores!$X$1:$X$6631,V2644))</f>
        <v/>
      </c>
      <c r="Y2644" s="4" t="str">
        <f t="shared" si="4"/>
        <v/>
      </c>
    </row>
    <row r="2645" spans="19:25">
      <c r="S2645" t="str">
        <f t="shared" si="0"/>
        <v/>
      </c>
      <c r="T2645" t="str">
        <f t="shared" si="1"/>
        <v/>
      </c>
      <c r="U2645" t="str">
        <f t="shared" si="2"/>
        <v/>
      </c>
      <c r="V2645" t="str">
        <f>IF(OR(U2645="",U2645="ERRO_CHAVE"),"",IFERROR(MATCH(U2645,Fornecedores!$AF$1:$AF$6631,0),""))</f>
        <v/>
      </c>
      <c r="W2645" t="str">
        <f t="shared" si="3"/>
        <v/>
      </c>
      <c r="X2645" s="4" t="str">
        <f>IF(V2645="","",INDEX(Fornecedores!$X$1:$X$6631,V2645))</f>
        <v/>
      </c>
      <c r="Y2645" s="4" t="str">
        <f t="shared" si="4"/>
        <v/>
      </c>
    </row>
    <row r="2646" spans="19:25">
      <c r="S2646" t="str">
        <f t="shared" si="0"/>
        <v/>
      </c>
      <c r="T2646" t="str">
        <f t="shared" si="1"/>
        <v/>
      </c>
      <c r="U2646" t="str">
        <f t="shared" si="2"/>
        <v/>
      </c>
      <c r="V2646" t="str">
        <f>IF(OR(U2646="",U2646="ERRO_CHAVE"),"",IFERROR(MATCH(U2646,Fornecedores!$AF$1:$AF$6631,0),""))</f>
        <v/>
      </c>
      <c r="W2646" t="str">
        <f t="shared" si="3"/>
        <v/>
      </c>
      <c r="X2646" s="4" t="str">
        <f>IF(V2646="","",INDEX(Fornecedores!$X$1:$X$6631,V2646))</f>
        <v/>
      </c>
      <c r="Y2646" s="4" t="str">
        <f t="shared" si="4"/>
        <v/>
      </c>
    </row>
    <row r="2647" spans="19:25">
      <c r="S2647" t="str">
        <f t="shared" si="0"/>
        <v/>
      </c>
      <c r="T2647" t="str">
        <f t="shared" si="1"/>
        <v/>
      </c>
      <c r="U2647" t="str">
        <f t="shared" si="2"/>
        <v/>
      </c>
      <c r="V2647" t="str">
        <f>IF(OR(U2647="",U2647="ERRO_CHAVE"),"",IFERROR(MATCH(U2647,Fornecedores!$AF$1:$AF$6631,0),""))</f>
        <v/>
      </c>
      <c r="W2647" t="str">
        <f t="shared" si="3"/>
        <v/>
      </c>
      <c r="X2647" s="4" t="str">
        <f>IF(V2647="","",INDEX(Fornecedores!$X$1:$X$6631,V2647))</f>
        <v/>
      </c>
      <c r="Y2647" s="4" t="str">
        <f t="shared" si="4"/>
        <v/>
      </c>
    </row>
    <row r="2648" spans="19:25">
      <c r="S2648" t="str">
        <f t="shared" si="0"/>
        <v/>
      </c>
      <c r="T2648" t="str">
        <f t="shared" si="1"/>
        <v/>
      </c>
      <c r="U2648" t="str">
        <f t="shared" si="2"/>
        <v/>
      </c>
      <c r="V2648" t="str">
        <f>IF(OR(U2648="",U2648="ERRO_CHAVE"),"",IFERROR(MATCH(U2648,Fornecedores!$AF$1:$AF$6631,0),""))</f>
        <v/>
      </c>
      <c r="W2648" t="str">
        <f t="shared" si="3"/>
        <v/>
      </c>
      <c r="X2648" s="4" t="str">
        <f>IF(V2648="","",INDEX(Fornecedores!$X$1:$X$6631,V2648))</f>
        <v/>
      </c>
      <c r="Y2648" s="4" t="str">
        <f t="shared" si="4"/>
        <v/>
      </c>
    </row>
    <row r="2649" spans="19:25">
      <c r="S2649" t="str">
        <f t="shared" si="0"/>
        <v/>
      </c>
      <c r="T2649" t="str">
        <f t="shared" si="1"/>
        <v/>
      </c>
      <c r="U2649" t="str">
        <f t="shared" si="2"/>
        <v/>
      </c>
      <c r="V2649" t="str">
        <f>IF(OR(U2649="",U2649="ERRO_CHAVE"),"",IFERROR(MATCH(U2649,Fornecedores!$AF$1:$AF$6631,0),""))</f>
        <v/>
      </c>
      <c r="W2649" t="str">
        <f t="shared" si="3"/>
        <v/>
      </c>
      <c r="X2649" s="4" t="str">
        <f>IF(V2649="","",INDEX(Fornecedores!$X$1:$X$6631,V2649))</f>
        <v/>
      </c>
      <c r="Y2649" s="4" t="str">
        <f t="shared" si="4"/>
        <v/>
      </c>
    </row>
    <row r="2650" spans="19:25">
      <c r="S2650" t="str">
        <f t="shared" si="0"/>
        <v/>
      </c>
      <c r="T2650" t="str">
        <f t="shared" si="1"/>
        <v/>
      </c>
      <c r="U2650" t="str">
        <f t="shared" si="2"/>
        <v/>
      </c>
      <c r="V2650" t="str">
        <f>IF(OR(U2650="",U2650="ERRO_CHAVE"),"",IFERROR(MATCH(U2650,Fornecedores!$AF$1:$AF$6631,0),""))</f>
        <v/>
      </c>
      <c r="W2650" t="str">
        <f t="shared" si="3"/>
        <v/>
      </c>
      <c r="X2650" s="4" t="str">
        <f>IF(V2650="","",INDEX(Fornecedores!$X$1:$X$6631,V2650))</f>
        <v/>
      </c>
      <c r="Y2650" s="4" t="str">
        <f t="shared" si="4"/>
        <v/>
      </c>
    </row>
    <row r="2651" spans="19:25">
      <c r="S2651" t="str">
        <f t="shared" si="0"/>
        <v/>
      </c>
      <c r="T2651" t="str">
        <f t="shared" si="1"/>
        <v/>
      </c>
      <c r="U2651" t="str">
        <f t="shared" si="2"/>
        <v/>
      </c>
      <c r="V2651" t="str">
        <f>IF(OR(U2651="",U2651="ERRO_CHAVE"),"",IFERROR(MATCH(U2651,Fornecedores!$AF$1:$AF$6631,0),""))</f>
        <v/>
      </c>
      <c r="W2651" t="str">
        <f t="shared" si="3"/>
        <v/>
      </c>
      <c r="X2651" s="4" t="str">
        <f>IF(V2651="","",INDEX(Fornecedores!$X$1:$X$6631,V2651))</f>
        <v/>
      </c>
      <c r="Y2651" s="4" t="str">
        <f t="shared" si="4"/>
        <v/>
      </c>
    </row>
    <row r="2652" spans="19:25">
      <c r="S2652" t="str">
        <f t="shared" si="0"/>
        <v/>
      </c>
      <c r="T2652" t="str">
        <f t="shared" si="1"/>
        <v/>
      </c>
      <c r="U2652" t="str">
        <f t="shared" si="2"/>
        <v/>
      </c>
      <c r="V2652" t="str">
        <f>IF(OR(U2652="",U2652="ERRO_CHAVE"),"",IFERROR(MATCH(U2652,Fornecedores!$AF$1:$AF$6631,0),""))</f>
        <v/>
      </c>
      <c r="W2652" t="str">
        <f t="shared" si="3"/>
        <v/>
      </c>
      <c r="X2652" s="4" t="str">
        <f>IF(V2652="","",INDEX(Fornecedores!$X$1:$X$6631,V2652))</f>
        <v/>
      </c>
      <c r="Y2652" s="4" t="str">
        <f t="shared" si="4"/>
        <v/>
      </c>
    </row>
    <row r="2653" spans="19:25">
      <c r="S2653" t="str">
        <f t="shared" si="0"/>
        <v/>
      </c>
      <c r="T2653" t="str">
        <f t="shared" si="1"/>
        <v/>
      </c>
      <c r="U2653" t="str">
        <f t="shared" si="2"/>
        <v/>
      </c>
      <c r="V2653" t="str">
        <f>IF(OR(U2653="",U2653="ERRO_CHAVE"),"",IFERROR(MATCH(U2653,Fornecedores!$AF$1:$AF$6631,0),""))</f>
        <v/>
      </c>
      <c r="W2653" t="str">
        <f t="shared" si="3"/>
        <v/>
      </c>
      <c r="X2653" s="4" t="str">
        <f>IF(V2653="","",INDEX(Fornecedores!$X$1:$X$6631,V2653))</f>
        <v/>
      </c>
      <c r="Y2653" s="4" t="str">
        <f t="shared" si="4"/>
        <v/>
      </c>
    </row>
    <row r="2654" spans="19:25">
      <c r="S2654" t="str">
        <f t="shared" si="0"/>
        <v/>
      </c>
      <c r="T2654" t="str">
        <f t="shared" si="1"/>
        <v/>
      </c>
      <c r="U2654" t="str">
        <f t="shared" si="2"/>
        <v/>
      </c>
      <c r="V2654" t="str">
        <f>IF(OR(U2654="",U2654="ERRO_CHAVE"),"",IFERROR(MATCH(U2654,Fornecedores!$AF$1:$AF$6631,0),""))</f>
        <v/>
      </c>
      <c r="W2654" t="str">
        <f t="shared" si="3"/>
        <v/>
      </c>
      <c r="X2654" s="4" t="str">
        <f>IF(V2654="","",INDEX(Fornecedores!$X$1:$X$6631,V2654))</f>
        <v/>
      </c>
      <c r="Y2654" s="4" t="str">
        <f t="shared" si="4"/>
        <v/>
      </c>
    </row>
    <row r="2655" spans="19:25">
      <c r="S2655" t="str">
        <f t="shared" si="0"/>
        <v/>
      </c>
      <c r="T2655" t="str">
        <f t="shared" si="1"/>
        <v/>
      </c>
      <c r="U2655" t="str">
        <f t="shared" si="2"/>
        <v/>
      </c>
      <c r="V2655" t="str">
        <f>IF(OR(U2655="",U2655="ERRO_CHAVE"),"",IFERROR(MATCH(U2655,Fornecedores!$AF$1:$AF$6631,0),""))</f>
        <v/>
      </c>
      <c r="W2655" t="str">
        <f t="shared" si="3"/>
        <v/>
      </c>
      <c r="X2655" s="4" t="str">
        <f>IF(V2655="","",INDEX(Fornecedores!$X$1:$X$6631,V2655))</f>
        <v/>
      </c>
      <c r="Y2655" s="4" t="str">
        <f t="shared" si="4"/>
        <v/>
      </c>
    </row>
    <row r="2656" spans="19:25">
      <c r="S2656" t="str">
        <f t="shared" si="0"/>
        <v/>
      </c>
      <c r="T2656" t="str">
        <f t="shared" si="1"/>
        <v/>
      </c>
      <c r="U2656" t="str">
        <f t="shared" si="2"/>
        <v/>
      </c>
      <c r="V2656" t="str">
        <f>IF(OR(U2656="",U2656="ERRO_CHAVE"),"",IFERROR(MATCH(U2656,Fornecedores!$AF$1:$AF$6631,0),""))</f>
        <v/>
      </c>
      <c r="W2656" t="str">
        <f t="shared" si="3"/>
        <v/>
      </c>
      <c r="X2656" s="4" t="str">
        <f>IF(V2656="","",INDEX(Fornecedores!$X$1:$X$6631,V2656))</f>
        <v/>
      </c>
      <c r="Y2656" s="4" t="str">
        <f t="shared" si="4"/>
        <v/>
      </c>
    </row>
    <row r="2657" spans="19:25">
      <c r="S2657" t="str">
        <f t="shared" si="0"/>
        <v/>
      </c>
      <c r="T2657" t="str">
        <f t="shared" si="1"/>
        <v/>
      </c>
      <c r="U2657" t="str">
        <f t="shared" si="2"/>
        <v/>
      </c>
      <c r="V2657" t="str">
        <f>IF(OR(U2657="",U2657="ERRO_CHAVE"),"",IFERROR(MATCH(U2657,Fornecedores!$AF$1:$AF$6631,0),""))</f>
        <v/>
      </c>
      <c r="W2657" t="str">
        <f t="shared" si="3"/>
        <v/>
      </c>
      <c r="X2657" s="4" t="str">
        <f>IF(V2657="","",INDEX(Fornecedores!$X$1:$X$6631,V2657))</f>
        <v/>
      </c>
      <c r="Y2657" s="4" t="str">
        <f t="shared" si="4"/>
        <v/>
      </c>
    </row>
    <row r="2658" spans="19:25">
      <c r="S2658" t="str">
        <f t="shared" si="0"/>
        <v/>
      </c>
      <c r="T2658" t="str">
        <f t="shared" si="1"/>
        <v/>
      </c>
      <c r="U2658" t="str">
        <f t="shared" si="2"/>
        <v/>
      </c>
      <c r="V2658" t="str">
        <f>IF(OR(U2658="",U2658="ERRO_CHAVE"),"",IFERROR(MATCH(U2658,Fornecedores!$AF$1:$AF$6631,0),""))</f>
        <v/>
      </c>
      <c r="W2658" t="str">
        <f t="shared" si="3"/>
        <v/>
      </c>
      <c r="X2658" s="4" t="str">
        <f>IF(V2658="","",INDEX(Fornecedores!$X$1:$X$6631,V2658))</f>
        <v/>
      </c>
      <c r="Y2658" s="4" t="str">
        <f t="shared" si="4"/>
        <v/>
      </c>
    </row>
    <row r="2659" spans="19:25">
      <c r="S2659" t="str">
        <f t="shared" si="0"/>
        <v/>
      </c>
      <c r="T2659" t="str">
        <f t="shared" si="1"/>
        <v/>
      </c>
      <c r="U2659" t="str">
        <f t="shared" si="2"/>
        <v/>
      </c>
      <c r="V2659" t="str">
        <f>IF(OR(U2659="",U2659="ERRO_CHAVE"),"",IFERROR(MATCH(U2659,Fornecedores!$AF$1:$AF$6631,0),""))</f>
        <v/>
      </c>
      <c r="W2659" t="str">
        <f t="shared" si="3"/>
        <v/>
      </c>
      <c r="X2659" s="4" t="str">
        <f>IF(V2659="","",INDEX(Fornecedores!$X$1:$X$6631,V2659))</f>
        <v/>
      </c>
      <c r="Y2659" s="4" t="str">
        <f t="shared" si="4"/>
        <v/>
      </c>
    </row>
    <row r="2660" spans="19:25">
      <c r="S2660" t="str">
        <f t="shared" si="0"/>
        <v/>
      </c>
      <c r="T2660" t="str">
        <f t="shared" si="1"/>
        <v/>
      </c>
      <c r="U2660" t="str">
        <f t="shared" si="2"/>
        <v/>
      </c>
      <c r="V2660" t="str">
        <f>IF(OR(U2660="",U2660="ERRO_CHAVE"),"",IFERROR(MATCH(U2660,Fornecedores!$AF$1:$AF$6631,0),""))</f>
        <v/>
      </c>
      <c r="W2660" t="str">
        <f t="shared" si="3"/>
        <v/>
      </c>
      <c r="X2660" s="4" t="str">
        <f>IF(V2660="","",INDEX(Fornecedores!$X$1:$X$6631,V2660))</f>
        <v/>
      </c>
      <c r="Y2660" s="4" t="str">
        <f t="shared" si="4"/>
        <v/>
      </c>
    </row>
    <row r="2661" spans="19:25">
      <c r="S2661" t="str">
        <f t="shared" si="0"/>
        <v/>
      </c>
      <c r="T2661" t="str">
        <f t="shared" si="1"/>
        <v/>
      </c>
      <c r="U2661" t="str">
        <f t="shared" si="2"/>
        <v/>
      </c>
      <c r="V2661" t="str">
        <f>IF(OR(U2661="",U2661="ERRO_CHAVE"),"",IFERROR(MATCH(U2661,Fornecedores!$AF$1:$AF$6631,0),""))</f>
        <v/>
      </c>
      <c r="W2661" t="str">
        <f t="shared" si="3"/>
        <v/>
      </c>
      <c r="X2661" s="4" t="str">
        <f>IF(V2661="","",INDEX(Fornecedores!$X$1:$X$6631,V2661))</f>
        <v/>
      </c>
      <c r="Y2661" s="4" t="str">
        <f t="shared" si="4"/>
        <v/>
      </c>
    </row>
    <row r="2662" spans="19:25">
      <c r="S2662" t="str">
        <f t="shared" si="0"/>
        <v/>
      </c>
      <c r="T2662" t="str">
        <f t="shared" si="1"/>
        <v/>
      </c>
      <c r="U2662" t="str">
        <f t="shared" si="2"/>
        <v/>
      </c>
      <c r="V2662" t="str">
        <f>IF(OR(U2662="",U2662="ERRO_CHAVE"),"",IFERROR(MATCH(U2662,Fornecedores!$AF$1:$AF$6631,0),""))</f>
        <v/>
      </c>
      <c r="W2662" t="str">
        <f t="shared" si="3"/>
        <v/>
      </c>
      <c r="X2662" s="4" t="str">
        <f>IF(V2662="","",INDEX(Fornecedores!$X$1:$X$6631,V2662))</f>
        <v/>
      </c>
      <c r="Y2662" s="4" t="str">
        <f t="shared" si="4"/>
        <v/>
      </c>
    </row>
    <row r="2663" spans="19:25">
      <c r="S2663" t="str">
        <f t="shared" si="0"/>
        <v/>
      </c>
      <c r="T2663" t="str">
        <f t="shared" si="1"/>
        <v/>
      </c>
      <c r="U2663" t="str">
        <f t="shared" si="2"/>
        <v/>
      </c>
      <c r="V2663" t="str">
        <f>IF(OR(U2663="",U2663="ERRO_CHAVE"),"",IFERROR(MATCH(U2663,Fornecedores!$AF$1:$AF$6631,0),""))</f>
        <v/>
      </c>
      <c r="W2663" t="str">
        <f t="shared" si="3"/>
        <v/>
      </c>
      <c r="X2663" s="4" t="str">
        <f>IF(V2663="","",INDEX(Fornecedores!$X$1:$X$6631,V2663))</f>
        <v/>
      </c>
      <c r="Y2663" s="4" t="str">
        <f t="shared" si="4"/>
        <v/>
      </c>
    </row>
    <row r="2664" spans="19:25">
      <c r="S2664" t="str">
        <f t="shared" si="0"/>
        <v/>
      </c>
      <c r="T2664" t="str">
        <f t="shared" si="1"/>
        <v/>
      </c>
      <c r="U2664" t="str">
        <f t="shared" si="2"/>
        <v/>
      </c>
      <c r="V2664" t="str">
        <f>IF(OR(U2664="",U2664="ERRO_CHAVE"),"",IFERROR(MATCH(U2664,Fornecedores!$AF$1:$AF$6631,0),""))</f>
        <v/>
      </c>
      <c r="W2664" t="str">
        <f t="shared" si="3"/>
        <v/>
      </c>
      <c r="X2664" s="4" t="str">
        <f>IF(V2664="","",INDEX(Fornecedores!$X$1:$X$6631,V2664))</f>
        <v/>
      </c>
      <c r="Y2664" s="4" t="str">
        <f t="shared" si="4"/>
        <v/>
      </c>
    </row>
    <row r="2665" spans="19:25">
      <c r="S2665" t="str">
        <f t="shared" si="0"/>
        <v/>
      </c>
      <c r="T2665" t="str">
        <f t="shared" si="1"/>
        <v/>
      </c>
      <c r="U2665" t="str">
        <f t="shared" si="2"/>
        <v/>
      </c>
      <c r="V2665" t="str">
        <f>IF(OR(U2665="",U2665="ERRO_CHAVE"),"",IFERROR(MATCH(U2665,Fornecedores!$AF$1:$AF$6631,0),""))</f>
        <v/>
      </c>
      <c r="W2665" t="str">
        <f t="shared" si="3"/>
        <v/>
      </c>
      <c r="X2665" s="4" t="str">
        <f>IF(V2665="","",INDEX(Fornecedores!$X$1:$X$6631,V2665))</f>
        <v/>
      </c>
      <c r="Y2665" s="4" t="str">
        <f t="shared" si="4"/>
        <v/>
      </c>
    </row>
    <row r="2666" spans="19:25">
      <c r="S2666" t="str">
        <f t="shared" si="0"/>
        <v/>
      </c>
      <c r="T2666" t="str">
        <f t="shared" si="1"/>
        <v/>
      </c>
      <c r="U2666" t="str">
        <f t="shared" si="2"/>
        <v/>
      </c>
      <c r="V2666" t="str">
        <f>IF(OR(U2666="",U2666="ERRO_CHAVE"),"",IFERROR(MATCH(U2666,Fornecedores!$AF$1:$AF$6631,0),""))</f>
        <v/>
      </c>
      <c r="W2666" t="str">
        <f t="shared" si="3"/>
        <v/>
      </c>
      <c r="X2666" s="4" t="str">
        <f>IF(V2666="","",INDEX(Fornecedores!$X$1:$X$6631,V2666))</f>
        <v/>
      </c>
      <c r="Y2666" s="4" t="str">
        <f t="shared" si="4"/>
        <v/>
      </c>
    </row>
    <row r="2667" spans="19:25">
      <c r="S2667" t="str">
        <f t="shared" si="0"/>
        <v/>
      </c>
      <c r="T2667" t="str">
        <f t="shared" si="1"/>
        <v/>
      </c>
      <c r="U2667" t="str">
        <f t="shared" si="2"/>
        <v/>
      </c>
      <c r="V2667" t="str">
        <f>IF(OR(U2667="",U2667="ERRO_CHAVE"),"",IFERROR(MATCH(U2667,Fornecedores!$AF$1:$AF$6631,0),""))</f>
        <v/>
      </c>
      <c r="W2667" t="str">
        <f t="shared" si="3"/>
        <v/>
      </c>
      <c r="X2667" s="4" t="str">
        <f>IF(V2667="","",INDEX(Fornecedores!$X$1:$X$6631,V2667))</f>
        <v/>
      </c>
      <c r="Y2667" s="4" t="str">
        <f t="shared" si="4"/>
        <v/>
      </c>
    </row>
    <row r="2668" spans="19:25">
      <c r="S2668" t="str">
        <f t="shared" si="0"/>
        <v/>
      </c>
      <c r="T2668" t="str">
        <f t="shared" si="1"/>
        <v/>
      </c>
      <c r="U2668" t="str">
        <f t="shared" si="2"/>
        <v/>
      </c>
      <c r="V2668" t="str">
        <f>IF(OR(U2668="",U2668="ERRO_CHAVE"),"",IFERROR(MATCH(U2668,Fornecedores!$AF$1:$AF$6631,0),""))</f>
        <v/>
      </c>
      <c r="W2668" t="str">
        <f t="shared" si="3"/>
        <v/>
      </c>
      <c r="X2668" s="4" t="str">
        <f>IF(V2668="","",INDEX(Fornecedores!$X$1:$X$6631,V2668))</f>
        <v/>
      </c>
      <c r="Y2668" s="4" t="str">
        <f t="shared" si="4"/>
        <v/>
      </c>
    </row>
    <row r="2669" spans="19:25">
      <c r="S2669" t="str">
        <f t="shared" si="0"/>
        <v/>
      </c>
      <c r="T2669" t="str">
        <f t="shared" si="1"/>
        <v/>
      </c>
      <c r="U2669" t="str">
        <f t="shared" si="2"/>
        <v/>
      </c>
      <c r="V2669" t="str">
        <f>IF(OR(U2669="",U2669="ERRO_CHAVE"),"",IFERROR(MATCH(U2669,Fornecedores!$AF$1:$AF$6631,0),""))</f>
        <v/>
      </c>
      <c r="W2669" t="str">
        <f t="shared" si="3"/>
        <v/>
      </c>
      <c r="X2669" s="4" t="str">
        <f>IF(V2669="","",INDEX(Fornecedores!$X$1:$X$6631,V2669))</f>
        <v/>
      </c>
      <c r="Y2669" s="4" t="str">
        <f t="shared" si="4"/>
        <v/>
      </c>
    </row>
    <row r="2670" spans="19:25">
      <c r="S2670" t="str">
        <f t="shared" si="0"/>
        <v/>
      </c>
      <c r="T2670" t="str">
        <f t="shared" si="1"/>
        <v/>
      </c>
      <c r="U2670" t="str">
        <f t="shared" si="2"/>
        <v/>
      </c>
      <c r="V2670" t="str">
        <f>IF(OR(U2670="",U2670="ERRO_CHAVE"),"",IFERROR(MATCH(U2670,Fornecedores!$AF$1:$AF$6631,0),""))</f>
        <v/>
      </c>
      <c r="W2670" t="str">
        <f t="shared" si="3"/>
        <v/>
      </c>
      <c r="X2670" s="4" t="str">
        <f>IF(V2670="","",INDEX(Fornecedores!$X$1:$X$6631,V2670))</f>
        <v/>
      </c>
      <c r="Y2670" s="4" t="str">
        <f t="shared" si="4"/>
        <v/>
      </c>
    </row>
    <row r="2671" spans="19:25">
      <c r="S2671" t="str">
        <f t="shared" si="0"/>
        <v/>
      </c>
      <c r="T2671" t="str">
        <f t="shared" si="1"/>
        <v/>
      </c>
      <c r="U2671" t="str">
        <f t="shared" si="2"/>
        <v/>
      </c>
      <c r="V2671" t="str">
        <f>IF(OR(U2671="",U2671="ERRO_CHAVE"),"",IFERROR(MATCH(U2671,Fornecedores!$AF$1:$AF$6631,0),""))</f>
        <v/>
      </c>
      <c r="W2671" t="str">
        <f t="shared" si="3"/>
        <v/>
      </c>
      <c r="X2671" s="4" t="str">
        <f>IF(V2671="","",INDEX(Fornecedores!$X$1:$X$6631,V2671))</f>
        <v/>
      </c>
      <c r="Y2671" s="4" t="str">
        <f t="shared" si="4"/>
        <v/>
      </c>
    </row>
    <row r="2672" spans="19:25">
      <c r="S2672" t="str">
        <f t="shared" si="0"/>
        <v/>
      </c>
      <c r="T2672" t="str">
        <f t="shared" si="1"/>
        <v/>
      </c>
      <c r="U2672" t="str">
        <f t="shared" si="2"/>
        <v/>
      </c>
      <c r="V2672" t="str">
        <f>IF(OR(U2672="",U2672="ERRO_CHAVE"),"",IFERROR(MATCH(U2672,Fornecedores!$AF$1:$AF$6631,0),""))</f>
        <v/>
      </c>
      <c r="W2672" t="str">
        <f t="shared" si="3"/>
        <v/>
      </c>
      <c r="X2672" s="4" t="str">
        <f>IF(V2672="","",INDEX(Fornecedores!$X$1:$X$6631,V2672))</f>
        <v/>
      </c>
      <c r="Y2672" s="4" t="str">
        <f t="shared" si="4"/>
        <v/>
      </c>
    </row>
    <row r="2673" spans="19:25">
      <c r="S2673" t="str">
        <f t="shared" si="0"/>
        <v/>
      </c>
      <c r="T2673" t="str">
        <f t="shared" si="1"/>
        <v/>
      </c>
      <c r="U2673" t="str">
        <f t="shared" si="2"/>
        <v/>
      </c>
      <c r="V2673" t="str">
        <f>IF(OR(U2673="",U2673="ERRO_CHAVE"),"",IFERROR(MATCH(U2673,Fornecedores!$AF$1:$AF$6631,0),""))</f>
        <v/>
      </c>
      <c r="W2673" t="str">
        <f t="shared" si="3"/>
        <v/>
      </c>
      <c r="X2673" s="4" t="str">
        <f>IF(V2673="","",INDEX(Fornecedores!$X$1:$X$6631,V2673))</f>
        <v/>
      </c>
      <c r="Y2673" s="4" t="str">
        <f t="shared" si="4"/>
        <v/>
      </c>
    </row>
    <row r="2674" spans="19:25">
      <c r="S2674" t="str">
        <f t="shared" si="0"/>
        <v/>
      </c>
      <c r="T2674" t="str">
        <f t="shared" si="1"/>
        <v/>
      </c>
      <c r="U2674" t="str">
        <f t="shared" si="2"/>
        <v/>
      </c>
      <c r="V2674" t="str">
        <f>IF(OR(U2674="",U2674="ERRO_CHAVE"),"",IFERROR(MATCH(U2674,Fornecedores!$AF$1:$AF$6631,0),""))</f>
        <v/>
      </c>
      <c r="W2674" t="str">
        <f t="shared" si="3"/>
        <v/>
      </c>
      <c r="X2674" s="4" t="str">
        <f>IF(V2674="","",INDEX(Fornecedores!$X$1:$X$6631,V2674))</f>
        <v/>
      </c>
      <c r="Y2674" s="4" t="str">
        <f t="shared" si="4"/>
        <v/>
      </c>
    </row>
    <row r="2675" spans="19:25">
      <c r="S2675" t="str">
        <f t="shared" si="0"/>
        <v/>
      </c>
      <c r="T2675" t="str">
        <f t="shared" si="1"/>
        <v/>
      </c>
      <c r="U2675" t="str">
        <f t="shared" si="2"/>
        <v/>
      </c>
      <c r="V2675" t="str">
        <f>IF(OR(U2675="",U2675="ERRO_CHAVE"),"",IFERROR(MATCH(U2675,Fornecedores!$AF$1:$AF$6631,0),""))</f>
        <v/>
      </c>
      <c r="W2675" t="str">
        <f t="shared" si="3"/>
        <v/>
      </c>
      <c r="X2675" s="4" t="str">
        <f>IF(V2675="","",INDEX(Fornecedores!$X$1:$X$6631,V2675))</f>
        <v/>
      </c>
      <c r="Y2675" s="4" t="str">
        <f t="shared" si="4"/>
        <v/>
      </c>
    </row>
    <row r="2676" spans="19:25">
      <c r="S2676" t="str">
        <f t="shared" si="0"/>
        <v/>
      </c>
      <c r="T2676" t="str">
        <f t="shared" si="1"/>
        <v/>
      </c>
      <c r="U2676" t="str">
        <f t="shared" si="2"/>
        <v/>
      </c>
      <c r="V2676" t="str">
        <f>IF(OR(U2676="",U2676="ERRO_CHAVE"),"",IFERROR(MATCH(U2676,Fornecedores!$AF$1:$AF$6631,0),""))</f>
        <v/>
      </c>
      <c r="W2676" t="str">
        <f t="shared" si="3"/>
        <v/>
      </c>
      <c r="X2676" s="4" t="str">
        <f>IF(V2676="","",INDEX(Fornecedores!$X$1:$X$6631,V2676))</f>
        <v/>
      </c>
      <c r="Y2676" s="4" t="str">
        <f t="shared" si="4"/>
        <v/>
      </c>
    </row>
    <row r="2677" spans="19:25">
      <c r="S2677" t="str">
        <f t="shared" si="0"/>
        <v/>
      </c>
      <c r="T2677" t="str">
        <f t="shared" si="1"/>
        <v/>
      </c>
      <c r="U2677" t="str">
        <f t="shared" si="2"/>
        <v/>
      </c>
      <c r="V2677" t="str">
        <f>IF(OR(U2677="",U2677="ERRO_CHAVE"),"",IFERROR(MATCH(U2677,Fornecedores!$AF$1:$AF$6631,0),""))</f>
        <v/>
      </c>
      <c r="W2677" t="str">
        <f t="shared" si="3"/>
        <v/>
      </c>
      <c r="X2677" s="4" t="str">
        <f>IF(V2677="","",INDEX(Fornecedores!$X$1:$X$6631,V2677))</f>
        <v/>
      </c>
      <c r="Y2677" s="4" t="str">
        <f t="shared" si="4"/>
        <v/>
      </c>
    </row>
    <row r="2678" spans="19:25">
      <c r="S2678" t="str">
        <f t="shared" si="0"/>
        <v/>
      </c>
      <c r="T2678" t="str">
        <f t="shared" si="1"/>
        <v/>
      </c>
      <c r="U2678" t="str">
        <f t="shared" si="2"/>
        <v/>
      </c>
      <c r="V2678" t="str">
        <f>IF(OR(U2678="",U2678="ERRO_CHAVE"),"",IFERROR(MATCH(U2678,Fornecedores!$AF$1:$AF$6631,0),""))</f>
        <v/>
      </c>
      <c r="W2678" t="str">
        <f t="shared" si="3"/>
        <v/>
      </c>
      <c r="X2678" s="4" t="str">
        <f>IF(V2678="","",INDEX(Fornecedores!$X$1:$X$6631,V2678))</f>
        <v/>
      </c>
      <c r="Y2678" s="4" t="str">
        <f t="shared" si="4"/>
        <v/>
      </c>
    </row>
    <row r="2679" spans="19:25">
      <c r="S2679" t="str">
        <f t="shared" si="0"/>
        <v/>
      </c>
      <c r="T2679" t="str">
        <f t="shared" si="1"/>
        <v/>
      </c>
      <c r="U2679" t="str">
        <f t="shared" si="2"/>
        <v/>
      </c>
      <c r="V2679" t="str">
        <f>IF(OR(U2679="",U2679="ERRO_CHAVE"),"",IFERROR(MATCH(U2679,Fornecedores!$AF$1:$AF$6631,0),""))</f>
        <v/>
      </c>
      <c r="W2679" t="str">
        <f t="shared" si="3"/>
        <v/>
      </c>
      <c r="X2679" s="4" t="str">
        <f>IF(V2679="","",INDEX(Fornecedores!$X$1:$X$6631,V2679))</f>
        <v/>
      </c>
      <c r="Y2679" s="4" t="str">
        <f t="shared" si="4"/>
        <v/>
      </c>
    </row>
    <row r="2680" spans="19:25">
      <c r="S2680" t="str">
        <f t="shared" si="0"/>
        <v/>
      </c>
      <c r="T2680" t="str">
        <f t="shared" si="1"/>
        <v/>
      </c>
      <c r="U2680" t="str">
        <f t="shared" si="2"/>
        <v/>
      </c>
      <c r="V2680" t="str">
        <f>IF(OR(U2680="",U2680="ERRO_CHAVE"),"",IFERROR(MATCH(U2680,Fornecedores!$AF$1:$AF$6631,0),""))</f>
        <v/>
      </c>
      <c r="W2680" t="str">
        <f t="shared" si="3"/>
        <v/>
      </c>
      <c r="X2680" s="4" t="str">
        <f>IF(V2680="","",INDEX(Fornecedores!$X$1:$X$6631,V2680))</f>
        <v/>
      </c>
      <c r="Y2680" s="4" t="str">
        <f t="shared" si="4"/>
        <v/>
      </c>
    </row>
    <row r="2681" spans="19:25">
      <c r="S2681" t="str">
        <f t="shared" si="0"/>
        <v/>
      </c>
      <c r="T2681" t="str">
        <f t="shared" si="1"/>
        <v/>
      </c>
      <c r="U2681" t="str">
        <f t="shared" si="2"/>
        <v/>
      </c>
      <c r="V2681" t="str">
        <f>IF(OR(U2681="",U2681="ERRO_CHAVE"),"",IFERROR(MATCH(U2681,Fornecedores!$AF$1:$AF$6631,0),""))</f>
        <v/>
      </c>
      <c r="W2681" t="str">
        <f t="shared" si="3"/>
        <v/>
      </c>
      <c r="X2681" s="4" t="str">
        <f>IF(V2681="","",INDEX(Fornecedores!$X$1:$X$6631,V2681))</f>
        <v/>
      </c>
      <c r="Y2681" s="4" t="str">
        <f t="shared" si="4"/>
        <v/>
      </c>
    </row>
    <row r="2682" spans="19:25">
      <c r="S2682" t="str">
        <f t="shared" si="0"/>
        <v/>
      </c>
      <c r="T2682" t="str">
        <f t="shared" si="1"/>
        <v/>
      </c>
      <c r="U2682" t="str">
        <f t="shared" si="2"/>
        <v/>
      </c>
      <c r="V2682" t="str">
        <f>IF(OR(U2682="",U2682="ERRO_CHAVE"),"",IFERROR(MATCH(U2682,Fornecedores!$AF$1:$AF$6631,0),""))</f>
        <v/>
      </c>
      <c r="W2682" t="str">
        <f t="shared" si="3"/>
        <v/>
      </c>
      <c r="X2682" s="4" t="str">
        <f>IF(V2682="","",INDEX(Fornecedores!$X$1:$X$6631,V2682))</f>
        <v/>
      </c>
      <c r="Y2682" s="4" t="str">
        <f t="shared" si="4"/>
        <v/>
      </c>
    </row>
    <row r="2683" spans="19:25">
      <c r="S2683" t="str">
        <f t="shared" si="0"/>
        <v/>
      </c>
      <c r="T2683" t="str">
        <f t="shared" si="1"/>
        <v/>
      </c>
      <c r="U2683" t="str">
        <f t="shared" si="2"/>
        <v/>
      </c>
      <c r="V2683" t="str">
        <f>IF(OR(U2683="",U2683="ERRO_CHAVE"),"",IFERROR(MATCH(U2683,Fornecedores!$AF$1:$AF$6631,0),""))</f>
        <v/>
      </c>
      <c r="W2683" t="str">
        <f t="shared" si="3"/>
        <v/>
      </c>
      <c r="X2683" s="4" t="str">
        <f>IF(V2683="","",INDEX(Fornecedores!$X$1:$X$6631,V2683))</f>
        <v/>
      </c>
      <c r="Y2683" s="4" t="str">
        <f t="shared" si="4"/>
        <v/>
      </c>
    </row>
    <row r="2684" spans="19:25">
      <c r="S2684" t="str">
        <f t="shared" si="0"/>
        <v/>
      </c>
      <c r="T2684" t="str">
        <f t="shared" si="1"/>
        <v/>
      </c>
      <c r="U2684" t="str">
        <f t="shared" si="2"/>
        <v/>
      </c>
      <c r="V2684" t="str">
        <f>IF(OR(U2684="",U2684="ERRO_CHAVE"),"",IFERROR(MATCH(U2684,Fornecedores!$AF$1:$AF$6631,0),""))</f>
        <v/>
      </c>
      <c r="W2684" t="str">
        <f t="shared" si="3"/>
        <v/>
      </c>
      <c r="X2684" s="4" t="str">
        <f>IF(V2684="","",INDEX(Fornecedores!$X$1:$X$6631,V2684))</f>
        <v/>
      </c>
      <c r="Y2684" s="4" t="str">
        <f t="shared" si="4"/>
        <v/>
      </c>
    </row>
    <row r="2685" spans="19:25">
      <c r="S2685" t="str">
        <f t="shared" si="0"/>
        <v/>
      </c>
      <c r="T2685" t="str">
        <f t="shared" si="1"/>
        <v/>
      </c>
      <c r="U2685" t="str">
        <f t="shared" si="2"/>
        <v/>
      </c>
      <c r="V2685" t="str">
        <f>IF(OR(U2685="",U2685="ERRO_CHAVE"),"",IFERROR(MATCH(U2685,Fornecedores!$AF$1:$AF$6631,0),""))</f>
        <v/>
      </c>
      <c r="W2685" t="str">
        <f t="shared" si="3"/>
        <v/>
      </c>
      <c r="X2685" s="4" t="str">
        <f>IF(V2685="","",INDEX(Fornecedores!$X$1:$X$6631,V2685))</f>
        <v/>
      </c>
      <c r="Y2685" s="4" t="str">
        <f t="shared" si="4"/>
        <v/>
      </c>
    </row>
    <row r="2686" spans="19:25">
      <c r="S2686" t="str">
        <f t="shared" si="0"/>
        <v/>
      </c>
      <c r="T2686" t="str">
        <f t="shared" si="1"/>
        <v/>
      </c>
      <c r="U2686" t="str">
        <f t="shared" si="2"/>
        <v/>
      </c>
      <c r="V2686" t="str">
        <f>IF(OR(U2686="",U2686="ERRO_CHAVE"),"",IFERROR(MATCH(U2686,Fornecedores!$AF$1:$AF$6631,0),""))</f>
        <v/>
      </c>
      <c r="W2686" t="str">
        <f t="shared" si="3"/>
        <v/>
      </c>
      <c r="X2686" s="4" t="str">
        <f>IF(V2686="","",INDEX(Fornecedores!$X$1:$X$6631,V2686))</f>
        <v/>
      </c>
      <c r="Y2686" s="4" t="str">
        <f t="shared" si="4"/>
        <v/>
      </c>
    </row>
    <row r="2687" spans="19:25">
      <c r="S2687" t="str">
        <f t="shared" si="0"/>
        <v/>
      </c>
      <c r="T2687" t="str">
        <f t="shared" si="1"/>
        <v/>
      </c>
      <c r="U2687" t="str">
        <f t="shared" si="2"/>
        <v/>
      </c>
      <c r="V2687" t="str">
        <f>IF(OR(U2687="",U2687="ERRO_CHAVE"),"",IFERROR(MATCH(U2687,Fornecedores!$AF$1:$AF$6631,0),""))</f>
        <v/>
      </c>
      <c r="W2687" t="str">
        <f t="shared" si="3"/>
        <v/>
      </c>
      <c r="X2687" s="4" t="str">
        <f>IF(V2687="","",INDEX(Fornecedores!$X$1:$X$6631,V2687))</f>
        <v/>
      </c>
      <c r="Y2687" s="4" t="str">
        <f t="shared" si="4"/>
        <v/>
      </c>
    </row>
    <row r="2688" spans="19:25">
      <c r="S2688" t="str">
        <f t="shared" si="0"/>
        <v/>
      </c>
      <c r="T2688" t="str">
        <f t="shared" si="1"/>
        <v/>
      </c>
      <c r="U2688" t="str">
        <f t="shared" si="2"/>
        <v/>
      </c>
      <c r="V2688" t="str">
        <f>IF(OR(U2688="",U2688="ERRO_CHAVE"),"",IFERROR(MATCH(U2688,Fornecedores!$AF$1:$AF$6631,0),""))</f>
        <v/>
      </c>
      <c r="W2688" t="str">
        <f t="shared" si="3"/>
        <v/>
      </c>
      <c r="X2688" s="4" t="str">
        <f>IF(V2688="","",INDEX(Fornecedores!$X$1:$X$6631,V2688))</f>
        <v/>
      </c>
      <c r="Y2688" s="4" t="str">
        <f t="shared" si="4"/>
        <v/>
      </c>
    </row>
    <row r="2689" spans="19:25">
      <c r="S2689" t="str">
        <f t="shared" si="0"/>
        <v/>
      </c>
      <c r="T2689" t="str">
        <f t="shared" si="1"/>
        <v/>
      </c>
      <c r="U2689" t="str">
        <f t="shared" si="2"/>
        <v/>
      </c>
      <c r="V2689" t="str">
        <f>IF(OR(U2689="",U2689="ERRO_CHAVE"),"",IFERROR(MATCH(U2689,Fornecedores!$AF$1:$AF$6631,0),""))</f>
        <v/>
      </c>
      <c r="W2689" t="str">
        <f t="shared" si="3"/>
        <v/>
      </c>
      <c r="X2689" s="4" t="str">
        <f>IF(V2689="","",INDEX(Fornecedores!$X$1:$X$6631,V2689))</f>
        <v/>
      </c>
      <c r="Y2689" s="4" t="str">
        <f t="shared" si="4"/>
        <v/>
      </c>
    </row>
    <row r="2690" spans="19:25">
      <c r="S2690" t="str">
        <f t="shared" si="0"/>
        <v/>
      </c>
      <c r="T2690" t="str">
        <f t="shared" si="1"/>
        <v/>
      </c>
      <c r="U2690" t="str">
        <f t="shared" si="2"/>
        <v/>
      </c>
      <c r="V2690" t="str">
        <f>IF(OR(U2690="",U2690="ERRO_CHAVE"),"",IFERROR(MATCH(U2690,Fornecedores!$AF$1:$AF$6631,0),""))</f>
        <v/>
      </c>
      <c r="W2690" t="str">
        <f t="shared" si="3"/>
        <v/>
      </c>
      <c r="X2690" s="4" t="str">
        <f>IF(V2690="","",INDEX(Fornecedores!$X$1:$X$6631,V2690))</f>
        <v/>
      </c>
      <c r="Y2690" s="4" t="str">
        <f t="shared" si="4"/>
        <v/>
      </c>
    </row>
    <row r="2691" spans="19:25">
      <c r="S2691" t="str">
        <f t="shared" si="0"/>
        <v/>
      </c>
      <c r="T2691" t="str">
        <f t="shared" si="1"/>
        <v/>
      </c>
      <c r="U2691" t="str">
        <f t="shared" si="2"/>
        <v/>
      </c>
      <c r="V2691" t="str">
        <f>IF(OR(U2691="",U2691="ERRO_CHAVE"),"",IFERROR(MATCH(U2691,Fornecedores!$AF$1:$AF$6631,0),""))</f>
        <v/>
      </c>
      <c r="W2691" t="str">
        <f t="shared" si="3"/>
        <v/>
      </c>
      <c r="X2691" s="4" t="str">
        <f>IF(V2691="","",INDEX(Fornecedores!$X$1:$X$6631,V2691))</f>
        <v/>
      </c>
      <c r="Y2691" s="4" t="str">
        <f t="shared" si="4"/>
        <v/>
      </c>
    </row>
    <row r="2692" spans="19:25">
      <c r="S2692" t="str">
        <f t="shared" si="0"/>
        <v/>
      </c>
      <c r="T2692" t="str">
        <f t="shared" si="1"/>
        <v/>
      </c>
      <c r="U2692" t="str">
        <f t="shared" si="2"/>
        <v/>
      </c>
      <c r="V2692" t="str">
        <f>IF(OR(U2692="",U2692="ERRO_CHAVE"),"",IFERROR(MATCH(U2692,Fornecedores!$AF$1:$AF$6631,0),""))</f>
        <v/>
      </c>
      <c r="W2692" t="str">
        <f t="shared" si="3"/>
        <v/>
      </c>
      <c r="X2692" s="4" t="str">
        <f>IF(V2692="","",INDEX(Fornecedores!$X$1:$X$6631,V2692))</f>
        <v/>
      </c>
      <c r="Y2692" s="4" t="str">
        <f t="shared" si="4"/>
        <v/>
      </c>
    </row>
    <row r="2693" spans="19:25">
      <c r="S2693" t="str">
        <f t="shared" si="0"/>
        <v/>
      </c>
      <c r="T2693" t="str">
        <f t="shared" si="1"/>
        <v/>
      </c>
      <c r="U2693" t="str">
        <f t="shared" si="2"/>
        <v/>
      </c>
      <c r="V2693" t="str">
        <f>IF(OR(U2693="",U2693="ERRO_CHAVE"),"",IFERROR(MATCH(U2693,Fornecedores!$AF$1:$AF$6631,0),""))</f>
        <v/>
      </c>
      <c r="W2693" t="str">
        <f t="shared" si="3"/>
        <v/>
      </c>
      <c r="X2693" s="4" t="str">
        <f>IF(V2693="","",INDEX(Fornecedores!$X$1:$X$6631,V2693))</f>
        <v/>
      </c>
      <c r="Y2693" s="4" t="str">
        <f t="shared" si="4"/>
        <v/>
      </c>
    </row>
    <row r="2694" spans="19:25">
      <c r="S2694" t="str">
        <f t="shared" si="0"/>
        <v/>
      </c>
      <c r="T2694" t="str">
        <f t="shared" si="1"/>
        <v/>
      </c>
      <c r="U2694" t="str">
        <f t="shared" si="2"/>
        <v/>
      </c>
      <c r="V2694" t="str">
        <f>IF(OR(U2694="",U2694="ERRO_CHAVE"),"",IFERROR(MATCH(U2694,Fornecedores!$AF$1:$AF$6631,0),""))</f>
        <v/>
      </c>
      <c r="W2694" t="str">
        <f t="shared" si="3"/>
        <v/>
      </c>
      <c r="X2694" s="4" t="str">
        <f>IF(V2694="","",INDEX(Fornecedores!$X$1:$X$6631,V2694))</f>
        <v/>
      </c>
      <c r="Y2694" s="4" t="str">
        <f t="shared" si="4"/>
        <v/>
      </c>
    </row>
    <row r="2695" spans="19:25">
      <c r="S2695" t="str">
        <f t="shared" si="0"/>
        <v/>
      </c>
      <c r="T2695" t="str">
        <f t="shared" si="1"/>
        <v/>
      </c>
      <c r="U2695" t="str">
        <f t="shared" si="2"/>
        <v/>
      </c>
      <c r="V2695" t="str">
        <f>IF(OR(U2695="",U2695="ERRO_CHAVE"),"",IFERROR(MATCH(U2695,Fornecedores!$AF$1:$AF$6631,0),""))</f>
        <v/>
      </c>
      <c r="W2695" t="str">
        <f t="shared" si="3"/>
        <v/>
      </c>
      <c r="X2695" s="4" t="str">
        <f>IF(V2695="","",INDEX(Fornecedores!$X$1:$X$6631,V2695))</f>
        <v/>
      </c>
      <c r="Y2695" s="4" t="str">
        <f t="shared" si="4"/>
        <v/>
      </c>
    </row>
    <row r="2696" spans="19:25">
      <c r="S2696" t="str">
        <f t="shared" si="0"/>
        <v/>
      </c>
      <c r="T2696" t="str">
        <f t="shared" si="1"/>
        <v/>
      </c>
      <c r="U2696" t="str">
        <f t="shared" si="2"/>
        <v/>
      </c>
      <c r="V2696" t="str">
        <f>IF(OR(U2696="",U2696="ERRO_CHAVE"),"",IFERROR(MATCH(U2696,Fornecedores!$AF$1:$AF$6631,0),""))</f>
        <v/>
      </c>
      <c r="W2696" t="str">
        <f t="shared" si="3"/>
        <v/>
      </c>
      <c r="X2696" s="4" t="str">
        <f>IF(V2696="","",INDEX(Fornecedores!$X$1:$X$6631,V2696))</f>
        <v/>
      </c>
      <c r="Y2696" s="4" t="str">
        <f t="shared" si="4"/>
        <v/>
      </c>
    </row>
    <row r="2697" spans="19:25">
      <c r="S2697" t="str">
        <f t="shared" si="0"/>
        <v/>
      </c>
      <c r="T2697" t="str">
        <f t="shared" si="1"/>
        <v/>
      </c>
      <c r="U2697" t="str">
        <f t="shared" si="2"/>
        <v/>
      </c>
      <c r="V2697" t="str">
        <f>IF(OR(U2697="",U2697="ERRO_CHAVE"),"",IFERROR(MATCH(U2697,Fornecedores!$AF$1:$AF$6631,0),""))</f>
        <v/>
      </c>
      <c r="W2697" t="str">
        <f t="shared" si="3"/>
        <v/>
      </c>
      <c r="X2697" s="4" t="str">
        <f>IF(V2697="","",INDEX(Fornecedores!$X$1:$X$6631,V2697))</f>
        <v/>
      </c>
      <c r="Y2697" s="4" t="str">
        <f t="shared" si="4"/>
        <v/>
      </c>
    </row>
    <row r="2698" spans="19:25">
      <c r="S2698" t="str">
        <f t="shared" si="0"/>
        <v/>
      </c>
      <c r="T2698" t="str">
        <f t="shared" si="1"/>
        <v/>
      </c>
      <c r="U2698" t="str">
        <f t="shared" si="2"/>
        <v/>
      </c>
      <c r="V2698" t="str">
        <f>IF(OR(U2698="",U2698="ERRO_CHAVE"),"",IFERROR(MATCH(U2698,Fornecedores!$AF$1:$AF$6631,0),""))</f>
        <v/>
      </c>
      <c r="W2698" t="str">
        <f t="shared" si="3"/>
        <v/>
      </c>
      <c r="X2698" s="4" t="str">
        <f>IF(V2698="","",INDEX(Fornecedores!$X$1:$X$6631,V2698))</f>
        <v/>
      </c>
      <c r="Y2698" s="4" t="str">
        <f t="shared" si="4"/>
        <v/>
      </c>
    </row>
    <row r="2699" spans="19:25">
      <c r="S2699" t="str">
        <f t="shared" si="0"/>
        <v/>
      </c>
      <c r="T2699" t="str">
        <f t="shared" si="1"/>
        <v/>
      </c>
      <c r="U2699" t="str">
        <f t="shared" si="2"/>
        <v/>
      </c>
      <c r="V2699" t="str">
        <f>IF(OR(U2699="",U2699="ERRO_CHAVE"),"",IFERROR(MATCH(U2699,Fornecedores!$AF$1:$AF$6631,0),""))</f>
        <v/>
      </c>
      <c r="W2699" t="str">
        <f t="shared" si="3"/>
        <v/>
      </c>
      <c r="X2699" s="4" t="str">
        <f>IF(V2699="","",INDEX(Fornecedores!$X$1:$X$6631,V2699))</f>
        <v/>
      </c>
      <c r="Y2699" s="4" t="str">
        <f t="shared" si="4"/>
        <v/>
      </c>
    </row>
    <row r="2700" spans="19:25">
      <c r="S2700" t="str">
        <f t="shared" si="0"/>
        <v/>
      </c>
      <c r="T2700" t="str">
        <f t="shared" si="1"/>
        <v/>
      </c>
      <c r="U2700" t="str">
        <f t="shared" si="2"/>
        <v/>
      </c>
      <c r="V2700" t="str">
        <f>IF(OR(U2700="",U2700="ERRO_CHAVE"),"",IFERROR(MATCH(U2700,Fornecedores!$AF$1:$AF$6631,0),""))</f>
        <v/>
      </c>
      <c r="W2700" t="str">
        <f t="shared" si="3"/>
        <v/>
      </c>
      <c r="X2700" s="4" t="str">
        <f>IF(V2700="","",INDEX(Fornecedores!$X$1:$X$6631,V2700))</f>
        <v/>
      </c>
      <c r="Y2700" s="4" t="str">
        <f t="shared" si="4"/>
        <v/>
      </c>
    </row>
    <row r="2701" spans="19:25">
      <c r="S2701" t="str">
        <f t="shared" si="0"/>
        <v/>
      </c>
      <c r="T2701" t="str">
        <f t="shared" si="1"/>
        <v/>
      </c>
      <c r="U2701" t="str">
        <f t="shared" si="2"/>
        <v/>
      </c>
      <c r="V2701" t="str">
        <f>IF(OR(U2701="",U2701="ERRO_CHAVE"),"",IFERROR(MATCH(U2701,Fornecedores!$AF$1:$AF$6631,0),""))</f>
        <v/>
      </c>
      <c r="W2701" t="str">
        <f t="shared" si="3"/>
        <v/>
      </c>
      <c r="X2701" s="4" t="str">
        <f>IF(V2701="","",INDEX(Fornecedores!$X$1:$X$6631,V2701))</f>
        <v/>
      </c>
      <c r="Y2701" s="4" t="str">
        <f t="shared" si="4"/>
        <v/>
      </c>
    </row>
    <row r="2702" spans="19:25">
      <c r="S2702" t="str">
        <f t="shared" si="0"/>
        <v/>
      </c>
      <c r="T2702" t="str">
        <f t="shared" si="1"/>
        <v/>
      </c>
      <c r="U2702" t="str">
        <f t="shared" si="2"/>
        <v/>
      </c>
      <c r="V2702" t="str">
        <f>IF(OR(U2702="",U2702="ERRO_CHAVE"),"",IFERROR(MATCH(U2702,Fornecedores!$AF$1:$AF$6631,0),""))</f>
        <v/>
      </c>
      <c r="W2702" t="str">
        <f t="shared" si="3"/>
        <v/>
      </c>
      <c r="X2702" s="4" t="str">
        <f>IF(V2702="","",INDEX(Fornecedores!$X$1:$X$6631,V2702))</f>
        <v/>
      </c>
      <c r="Y2702" s="4" t="str">
        <f t="shared" si="4"/>
        <v/>
      </c>
    </row>
    <row r="2703" spans="19:25">
      <c r="S2703" t="str">
        <f t="shared" si="0"/>
        <v/>
      </c>
      <c r="T2703" t="str">
        <f t="shared" si="1"/>
        <v/>
      </c>
      <c r="U2703" t="str">
        <f t="shared" si="2"/>
        <v/>
      </c>
      <c r="V2703" t="str">
        <f>IF(OR(U2703="",U2703="ERRO_CHAVE"),"",IFERROR(MATCH(U2703,Fornecedores!$AF$1:$AF$6631,0),""))</f>
        <v/>
      </c>
      <c r="W2703" t="str">
        <f t="shared" si="3"/>
        <v/>
      </c>
      <c r="X2703" s="4" t="str">
        <f>IF(V2703="","",INDEX(Fornecedores!$X$1:$X$6631,V2703))</f>
        <v/>
      </c>
      <c r="Y2703" s="4" t="str">
        <f t="shared" si="4"/>
        <v/>
      </c>
    </row>
    <row r="2704" spans="19:25">
      <c r="S2704" t="str">
        <f t="shared" si="0"/>
        <v/>
      </c>
      <c r="T2704" t="str">
        <f t="shared" si="1"/>
        <v/>
      </c>
      <c r="U2704" t="str">
        <f t="shared" si="2"/>
        <v/>
      </c>
      <c r="V2704" t="str">
        <f>IF(OR(U2704="",U2704="ERRO_CHAVE"),"",IFERROR(MATCH(U2704,Fornecedores!$AF$1:$AF$6631,0),""))</f>
        <v/>
      </c>
      <c r="W2704" t="str">
        <f t="shared" si="3"/>
        <v/>
      </c>
      <c r="X2704" s="4" t="str">
        <f>IF(V2704="","",INDEX(Fornecedores!$X$1:$X$6631,V2704))</f>
        <v/>
      </c>
      <c r="Y2704" s="4" t="str">
        <f t="shared" si="4"/>
        <v/>
      </c>
    </row>
    <row r="2705" spans="19:25">
      <c r="S2705" t="str">
        <f t="shared" si="0"/>
        <v/>
      </c>
      <c r="T2705" t="str">
        <f t="shared" si="1"/>
        <v/>
      </c>
      <c r="U2705" t="str">
        <f t="shared" si="2"/>
        <v/>
      </c>
      <c r="V2705" t="str">
        <f>IF(OR(U2705="",U2705="ERRO_CHAVE"),"",IFERROR(MATCH(U2705,Fornecedores!$AF$1:$AF$6631,0),""))</f>
        <v/>
      </c>
      <c r="W2705" t="str">
        <f t="shared" si="3"/>
        <v/>
      </c>
      <c r="X2705" s="4" t="str">
        <f>IF(V2705="","",INDEX(Fornecedores!$X$1:$X$6631,V2705))</f>
        <v/>
      </c>
      <c r="Y2705" s="4" t="str">
        <f t="shared" si="4"/>
        <v/>
      </c>
    </row>
    <row r="2706" spans="19:25">
      <c r="S2706" t="str">
        <f t="shared" si="0"/>
        <v/>
      </c>
      <c r="T2706" t="str">
        <f t="shared" si="1"/>
        <v/>
      </c>
      <c r="U2706" t="str">
        <f t="shared" si="2"/>
        <v/>
      </c>
      <c r="V2706" t="str">
        <f>IF(OR(U2706="",U2706="ERRO_CHAVE"),"",IFERROR(MATCH(U2706,Fornecedores!$AF$1:$AF$6631,0),""))</f>
        <v/>
      </c>
      <c r="W2706" t="str">
        <f t="shared" si="3"/>
        <v/>
      </c>
      <c r="X2706" s="4" t="str">
        <f>IF(V2706="","",INDEX(Fornecedores!$X$1:$X$6631,V2706))</f>
        <v/>
      </c>
      <c r="Y2706" s="4" t="str">
        <f t="shared" si="4"/>
        <v/>
      </c>
    </row>
    <row r="2707" spans="19:25">
      <c r="S2707" t="str">
        <f t="shared" si="0"/>
        <v/>
      </c>
      <c r="T2707" t="str">
        <f t="shared" si="1"/>
        <v/>
      </c>
      <c r="U2707" t="str">
        <f t="shared" si="2"/>
        <v/>
      </c>
      <c r="V2707" t="str">
        <f>IF(OR(U2707="",U2707="ERRO_CHAVE"),"",IFERROR(MATCH(U2707,Fornecedores!$AF$1:$AF$6631,0),""))</f>
        <v/>
      </c>
      <c r="W2707" t="str">
        <f t="shared" si="3"/>
        <v/>
      </c>
      <c r="X2707" s="4" t="str">
        <f>IF(V2707="","",INDEX(Fornecedores!$X$1:$X$6631,V2707))</f>
        <v/>
      </c>
      <c r="Y2707" s="4" t="str">
        <f t="shared" si="4"/>
        <v/>
      </c>
    </row>
    <row r="2708" spans="19:25">
      <c r="S2708" t="str">
        <f t="shared" si="0"/>
        <v/>
      </c>
      <c r="T2708" t="str">
        <f t="shared" si="1"/>
        <v/>
      </c>
      <c r="U2708" t="str">
        <f t="shared" si="2"/>
        <v/>
      </c>
      <c r="V2708" t="str">
        <f>IF(OR(U2708="",U2708="ERRO_CHAVE"),"",IFERROR(MATCH(U2708,Fornecedores!$AF$1:$AF$6631,0),""))</f>
        <v/>
      </c>
      <c r="W2708" t="str">
        <f t="shared" si="3"/>
        <v/>
      </c>
      <c r="X2708" s="4" t="str">
        <f>IF(V2708="","",INDEX(Fornecedores!$X$1:$X$6631,V2708))</f>
        <v/>
      </c>
      <c r="Y2708" s="4" t="str">
        <f t="shared" si="4"/>
        <v/>
      </c>
    </row>
    <row r="2709" spans="19:25">
      <c r="S2709" t="str">
        <f t="shared" si="0"/>
        <v/>
      </c>
      <c r="T2709" t="str">
        <f t="shared" si="1"/>
        <v/>
      </c>
      <c r="U2709" t="str">
        <f t="shared" si="2"/>
        <v/>
      </c>
      <c r="V2709" t="str">
        <f>IF(OR(U2709="",U2709="ERRO_CHAVE"),"",IFERROR(MATCH(U2709,Fornecedores!$AF$1:$AF$6631,0),""))</f>
        <v/>
      </c>
      <c r="W2709" t="str">
        <f t="shared" si="3"/>
        <v/>
      </c>
      <c r="X2709" s="4" t="str">
        <f>IF(V2709="","",INDEX(Fornecedores!$X$1:$X$6631,V2709))</f>
        <v/>
      </c>
      <c r="Y2709" s="4" t="str">
        <f t="shared" si="4"/>
        <v/>
      </c>
    </row>
    <row r="2710" spans="19:25">
      <c r="S2710" t="str">
        <f t="shared" si="0"/>
        <v/>
      </c>
      <c r="T2710" t="str">
        <f t="shared" si="1"/>
        <v/>
      </c>
      <c r="U2710" t="str">
        <f t="shared" si="2"/>
        <v/>
      </c>
      <c r="V2710" t="str">
        <f>IF(OR(U2710="",U2710="ERRO_CHAVE"),"",IFERROR(MATCH(U2710,Fornecedores!$AF$1:$AF$6631,0),""))</f>
        <v/>
      </c>
      <c r="W2710" t="str">
        <f t="shared" si="3"/>
        <v/>
      </c>
      <c r="X2710" s="4" t="str">
        <f>IF(V2710="","",INDEX(Fornecedores!$X$1:$X$6631,V2710))</f>
        <v/>
      </c>
      <c r="Y2710" s="4" t="str">
        <f t="shared" si="4"/>
        <v/>
      </c>
    </row>
    <row r="2711" spans="19:25">
      <c r="S2711" t="str">
        <f t="shared" si="0"/>
        <v/>
      </c>
      <c r="T2711" t="str">
        <f t="shared" si="1"/>
        <v/>
      </c>
      <c r="U2711" t="str">
        <f t="shared" si="2"/>
        <v/>
      </c>
      <c r="V2711" t="str">
        <f>IF(OR(U2711="",U2711="ERRO_CHAVE"),"",IFERROR(MATCH(U2711,Fornecedores!$AF$1:$AF$6631,0),""))</f>
        <v/>
      </c>
      <c r="W2711" t="str">
        <f t="shared" si="3"/>
        <v/>
      </c>
      <c r="X2711" s="4" t="str">
        <f>IF(V2711="","",INDEX(Fornecedores!$X$1:$X$6631,V2711))</f>
        <v/>
      </c>
      <c r="Y2711" s="4" t="str">
        <f t="shared" si="4"/>
        <v/>
      </c>
    </row>
    <row r="2712" spans="19:25">
      <c r="S2712" t="str">
        <f t="shared" si="0"/>
        <v/>
      </c>
      <c r="T2712" t="str">
        <f t="shared" si="1"/>
        <v/>
      </c>
      <c r="U2712" t="str">
        <f t="shared" si="2"/>
        <v/>
      </c>
      <c r="V2712" t="str">
        <f>IF(OR(U2712="",U2712="ERRO_CHAVE"),"",IFERROR(MATCH(U2712,Fornecedores!$AF$1:$AF$6631,0),""))</f>
        <v/>
      </c>
      <c r="W2712" t="str">
        <f t="shared" si="3"/>
        <v/>
      </c>
      <c r="X2712" s="4" t="str">
        <f>IF(V2712="","",INDEX(Fornecedores!$X$1:$X$6631,V2712))</f>
        <v/>
      </c>
      <c r="Y2712" s="4" t="str">
        <f t="shared" si="4"/>
        <v/>
      </c>
    </row>
    <row r="2713" spans="19:25">
      <c r="S2713" t="str">
        <f t="shared" si="0"/>
        <v/>
      </c>
      <c r="T2713" t="str">
        <f t="shared" si="1"/>
        <v/>
      </c>
      <c r="U2713" t="str">
        <f t="shared" si="2"/>
        <v/>
      </c>
      <c r="V2713" t="str">
        <f>IF(OR(U2713="",U2713="ERRO_CHAVE"),"",IFERROR(MATCH(U2713,Fornecedores!$AF$1:$AF$6631,0),""))</f>
        <v/>
      </c>
      <c r="W2713" t="str">
        <f t="shared" si="3"/>
        <v/>
      </c>
      <c r="X2713" s="4" t="str">
        <f>IF(V2713="","",INDEX(Fornecedores!$X$1:$X$6631,V2713))</f>
        <v/>
      </c>
      <c r="Y2713" s="4" t="str">
        <f t="shared" si="4"/>
        <v/>
      </c>
    </row>
    <row r="2714" spans="19:25">
      <c r="S2714" t="str">
        <f t="shared" si="0"/>
        <v/>
      </c>
      <c r="T2714" t="str">
        <f t="shared" si="1"/>
        <v/>
      </c>
      <c r="U2714" t="str">
        <f t="shared" si="2"/>
        <v/>
      </c>
      <c r="V2714" t="str">
        <f>IF(OR(U2714="",U2714="ERRO_CHAVE"),"",IFERROR(MATCH(U2714,Fornecedores!$AF$1:$AF$6631,0),""))</f>
        <v/>
      </c>
      <c r="W2714" t="str">
        <f t="shared" si="3"/>
        <v/>
      </c>
      <c r="X2714" s="4" t="str">
        <f>IF(V2714="","",INDEX(Fornecedores!$X$1:$X$6631,V2714))</f>
        <v/>
      </c>
      <c r="Y2714" s="4" t="str">
        <f t="shared" si="4"/>
        <v/>
      </c>
    </row>
    <row r="2715" spans="19:25">
      <c r="S2715" t="str">
        <f t="shared" si="0"/>
        <v/>
      </c>
      <c r="T2715" t="str">
        <f t="shared" si="1"/>
        <v/>
      </c>
      <c r="U2715" t="str">
        <f t="shared" si="2"/>
        <v/>
      </c>
      <c r="V2715" t="str">
        <f>IF(OR(U2715="",U2715="ERRO_CHAVE"),"",IFERROR(MATCH(U2715,Fornecedores!$AF$1:$AF$6631,0),""))</f>
        <v/>
      </c>
      <c r="W2715" t="str">
        <f t="shared" si="3"/>
        <v/>
      </c>
      <c r="X2715" s="4" t="str">
        <f>IF(V2715="","",INDEX(Fornecedores!$X$1:$X$6631,V2715))</f>
        <v/>
      </c>
      <c r="Y2715" s="4" t="str">
        <f t="shared" si="4"/>
        <v/>
      </c>
    </row>
    <row r="2716" spans="19:25">
      <c r="S2716" t="str">
        <f t="shared" si="0"/>
        <v/>
      </c>
      <c r="T2716" t="str">
        <f t="shared" si="1"/>
        <v/>
      </c>
      <c r="U2716" t="str">
        <f t="shared" si="2"/>
        <v/>
      </c>
      <c r="V2716" t="str">
        <f>IF(OR(U2716="",U2716="ERRO_CHAVE"),"",IFERROR(MATCH(U2716,Fornecedores!$AF$1:$AF$6631,0),""))</f>
        <v/>
      </c>
      <c r="W2716" t="str">
        <f t="shared" si="3"/>
        <v/>
      </c>
      <c r="X2716" s="4" t="str">
        <f>IF(V2716="","",INDEX(Fornecedores!$X$1:$X$6631,V2716))</f>
        <v/>
      </c>
      <c r="Y2716" s="4" t="str">
        <f t="shared" si="4"/>
        <v/>
      </c>
    </row>
    <row r="2717" spans="19:25">
      <c r="S2717" t="str">
        <f t="shared" si="0"/>
        <v/>
      </c>
      <c r="T2717" t="str">
        <f t="shared" si="1"/>
        <v/>
      </c>
      <c r="U2717" t="str">
        <f t="shared" si="2"/>
        <v/>
      </c>
      <c r="V2717" t="str">
        <f>IF(OR(U2717="",U2717="ERRO_CHAVE"),"",IFERROR(MATCH(U2717,Fornecedores!$AF$1:$AF$6631,0),""))</f>
        <v/>
      </c>
      <c r="W2717" t="str">
        <f t="shared" si="3"/>
        <v/>
      </c>
      <c r="X2717" s="4" t="str">
        <f>IF(V2717="","",INDEX(Fornecedores!$X$1:$X$6631,V2717))</f>
        <v/>
      </c>
      <c r="Y2717" s="4" t="str">
        <f t="shared" si="4"/>
        <v/>
      </c>
    </row>
    <row r="2718" spans="19:25">
      <c r="S2718" t="str">
        <f t="shared" si="0"/>
        <v/>
      </c>
      <c r="T2718" t="str">
        <f t="shared" si="1"/>
        <v/>
      </c>
      <c r="U2718" t="str">
        <f t="shared" si="2"/>
        <v/>
      </c>
      <c r="V2718" t="str">
        <f>IF(OR(U2718="",U2718="ERRO_CHAVE"),"",IFERROR(MATCH(U2718,Fornecedores!$AF$1:$AF$6631,0),""))</f>
        <v/>
      </c>
      <c r="W2718" t="str">
        <f t="shared" si="3"/>
        <v/>
      </c>
      <c r="X2718" s="4" t="str">
        <f>IF(V2718="","",INDEX(Fornecedores!$X$1:$X$6631,V2718))</f>
        <v/>
      </c>
      <c r="Y2718" s="4" t="str">
        <f t="shared" si="4"/>
        <v/>
      </c>
    </row>
    <row r="2719" spans="19:25">
      <c r="S2719" t="str">
        <f t="shared" si="0"/>
        <v/>
      </c>
      <c r="T2719" t="str">
        <f t="shared" si="1"/>
        <v/>
      </c>
      <c r="U2719" t="str">
        <f t="shared" si="2"/>
        <v/>
      </c>
      <c r="V2719" t="str">
        <f>IF(OR(U2719="",U2719="ERRO_CHAVE"),"",IFERROR(MATCH(U2719,Fornecedores!$AF$1:$AF$6631,0),""))</f>
        <v/>
      </c>
      <c r="W2719" t="str">
        <f t="shared" si="3"/>
        <v/>
      </c>
      <c r="X2719" s="4" t="str">
        <f>IF(V2719="","",INDEX(Fornecedores!$X$1:$X$6631,V2719))</f>
        <v/>
      </c>
      <c r="Y2719" s="4" t="str">
        <f t="shared" si="4"/>
        <v/>
      </c>
    </row>
    <row r="2720" spans="19:25">
      <c r="S2720" t="str">
        <f t="shared" si="0"/>
        <v/>
      </c>
      <c r="T2720" t="str">
        <f t="shared" si="1"/>
        <v/>
      </c>
      <c r="U2720" t="str">
        <f t="shared" si="2"/>
        <v/>
      </c>
      <c r="V2720" t="str">
        <f>IF(OR(U2720="",U2720="ERRO_CHAVE"),"",IFERROR(MATCH(U2720,Fornecedores!$AF$1:$AF$6631,0),""))</f>
        <v/>
      </c>
      <c r="W2720" t="str">
        <f t="shared" si="3"/>
        <v/>
      </c>
      <c r="X2720" s="4" t="str">
        <f>IF(V2720="","",INDEX(Fornecedores!$X$1:$X$6631,V2720))</f>
        <v/>
      </c>
      <c r="Y2720" s="4" t="str">
        <f t="shared" si="4"/>
        <v/>
      </c>
    </row>
    <row r="2721" spans="19:25">
      <c r="S2721" t="str">
        <f t="shared" si="0"/>
        <v/>
      </c>
      <c r="T2721" t="str">
        <f t="shared" si="1"/>
        <v/>
      </c>
      <c r="U2721" t="str">
        <f t="shared" si="2"/>
        <v/>
      </c>
      <c r="V2721" t="str">
        <f>IF(OR(U2721="",U2721="ERRO_CHAVE"),"",IFERROR(MATCH(U2721,Fornecedores!$AF$1:$AF$6631,0),""))</f>
        <v/>
      </c>
      <c r="W2721" t="str">
        <f t="shared" si="3"/>
        <v/>
      </c>
      <c r="X2721" s="4" t="str">
        <f>IF(V2721="","",INDEX(Fornecedores!$X$1:$X$6631,V2721))</f>
        <v/>
      </c>
      <c r="Y2721" s="4" t="str">
        <f t="shared" si="4"/>
        <v/>
      </c>
    </row>
    <row r="2722" spans="19:25">
      <c r="S2722" t="str">
        <f t="shared" si="0"/>
        <v/>
      </c>
      <c r="T2722" t="str">
        <f t="shared" si="1"/>
        <v/>
      </c>
      <c r="U2722" t="str">
        <f t="shared" si="2"/>
        <v/>
      </c>
      <c r="V2722" t="str">
        <f>IF(OR(U2722="",U2722="ERRO_CHAVE"),"",IFERROR(MATCH(U2722,Fornecedores!$AF$1:$AF$6631,0),""))</f>
        <v/>
      </c>
      <c r="W2722" t="str">
        <f t="shared" si="3"/>
        <v/>
      </c>
      <c r="X2722" s="4" t="str">
        <f>IF(V2722="","",INDEX(Fornecedores!$X$1:$X$6631,V2722))</f>
        <v/>
      </c>
      <c r="Y2722" s="4" t="str">
        <f t="shared" si="4"/>
        <v/>
      </c>
    </row>
    <row r="2723" spans="19:25">
      <c r="S2723" t="str">
        <f t="shared" si="0"/>
        <v/>
      </c>
      <c r="T2723" t="str">
        <f t="shared" si="1"/>
        <v/>
      </c>
      <c r="U2723" t="str">
        <f t="shared" si="2"/>
        <v/>
      </c>
      <c r="V2723" t="str">
        <f>IF(OR(U2723="",U2723="ERRO_CHAVE"),"",IFERROR(MATCH(U2723,Fornecedores!$AF$1:$AF$6631,0),""))</f>
        <v/>
      </c>
      <c r="W2723" t="str">
        <f t="shared" si="3"/>
        <v/>
      </c>
      <c r="X2723" s="4" t="str">
        <f>IF(V2723="","",INDEX(Fornecedores!$X$1:$X$6631,V2723))</f>
        <v/>
      </c>
      <c r="Y2723" s="4" t="str">
        <f t="shared" si="4"/>
        <v/>
      </c>
    </row>
    <row r="2724" spans="19:25">
      <c r="S2724" t="str">
        <f t="shared" si="0"/>
        <v/>
      </c>
      <c r="T2724" t="str">
        <f t="shared" si="1"/>
        <v/>
      </c>
      <c r="U2724" t="str">
        <f t="shared" si="2"/>
        <v/>
      </c>
      <c r="V2724" t="str">
        <f>IF(OR(U2724="",U2724="ERRO_CHAVE"),"",IFERROR(MATCH(U2724,Fornecedores!$AF$1:$AF$6631,0),""))</f>
        <v/>
      </c>
      <c r="W2724" t="str">
        <f t="shared" si="3"/>
        <v/>
      </c>
      <c r="X2724" s="4" t="str">
        <f>IF(V2724="","",INDEX(Fornecedores!$X$1:$X$6631,V2724))</f>
        <v/>
      </c>
      <c r="Y2724" s="4" t="str">
        <f t="shared" si="4"/>
        <v/>
      </c>
    </row>
    <row r="2725" spans="19:25">
      <c r="S2725" t="str">
        <f t="shared" si="0"/>
        <v/>
      </c>
      <c r="T2725" t="str">
        <f t="shared" si="1"/>
        <v/>
      </c>
      <c r="U2725" t="str">
        <f t="shared" si="2"/>
        <v/>
      </c>
      <c r="V2725" t="str">
        <f>IF(OR(U2725="",U2725="ERRO_CHAVE"),"",IFERROR(MATCH(U2725,Fornecedores!$AF$1:$AF$6631,0),""))</f>
        <v/>
      </c>
      <c r="W2725" t="str">
        <f t="shared" si="3"/>
        <v/>
      </c>
      <c r="X2725" s="4" t="str">
        <f>IF(V2725="","",INDEX(Fornecedores!$X$1:$X$6631,V2725))</f>
        <v/>
      </c>
      <c r="Y2725" s="4" t="str">
        <f t="shared" si="4"/>
        <v/>
      </c>
    </row>
    <row r="2726" spans="19:25">
      <c r="S2726" t="str">
        <f t="shared" si="0"/>
        <v/>
      </c>
      <c r="T2726" t="str">
        <f t="shared" si="1"/>
        <v/>
      </c>
      <c r="U2726" t="str">
        <f t="shared" si="2"/>
        <v/>
      </c>
      <c r="V2726" t="str">
        <f>IF(OR(U2726="",U2726="ERRO_CHAVE"),"",IFERROR(MATCH(U2726,Fornecedores!$AF$1:$AF$6631,0),""))</f>
        <v/>
      </c>
      <c r="W2726" t="str">
        <f t="shared" si="3"/>
        <v/>
      </c>
      <c r="X2726" s="4" t="str">
        <f>IF(V2726="","",INDEX(Fornecedores!$X$1:$X$6631,V2726))</f>
        <v/>
      </c>
      <c r="Y2726" s="4" t="str">
        <f t="shared" si="4"/>
        <v/>
      </c>
    </row>
    <row r="2727" spans="19:25">
      <c r="S2727" t="str">
        <f t="shared" si="0"/>
        <v/>
      </c>
      <c r="T2727" t="str">
        <f t="shared" si="1"/>
        <v/>
      </c>
      <c r="U2727" t="str">
        <f t="shared" si="2"/>
        <v/>
      </c>
      <c r="V2727" t="str">
        <f>IF(OR(U2727="",U2727="ERRO_CHAVE"),"",IFERROR(MATCH(U2727,Fornecedores!$AF$1:$AF$6631,0),""))</f>
        <v/>
      </c>
      <c r="W2727" t="str">
        <f t="shared" si="3"/>
        <v/>
      </c>
      <c r="X2727" s="4" t="str">
        <f>IF(V2727="","",INDEX(Fornecedores!$X$1:$X$6631,V2727))</f>
        <v/>
      </c>
      <c r="Y2727" s="4" t="str">
        <f t="shared" si="4"/>
        <v/>
      </c>
    </row>
    <row r="2728" spans="19:25">
      <c r="S2728" t="str">
        <f t="shared" si="0"/>
        <v/>
      </c>
      <c r="T2728" t="str">
        <f t="shared" si="1"/>
        <v/>
      </c>
      <c r="U2728" t="str">
        <f t="shared" si="2"/>
        <v/>
      </c>
      <c r="V2728" t="str">
        <f>IF(OR(U2728="",U2728="ERRO_CHAVE"),"",IFERROR(MATCH(U2728,Fornecedores!$AF$1:$AF$6631,0),""))</f>
        <v/>
      </c>
      <c r="W2728" t="str">
        <f t="shared" si="3"/>
        <v/>
      </c>
      <c r="X2728" s="4" t="str">
        <f>IF(V2728="","",INDEX(Fornecedores!$X$1:$X$6631,V2728))</f>
        <v/>
      </c>
      <c r="Y2728" s="4" t="str">
        <f t="shared" si="4"/>
        <v/>
      </c>
    </row>
    <row r="2729" spans="19:25">
      <c r="S2729" t="str">
        <f t="shared" si="0"/>
        <v/>
      </c>
      <c r="T2729" t="str">
        <f t="shared" si="1"/>
        <v/>
      </c>
      <c r="U2729" t="str">
        <f t="shared" si="2"/>
        <v/>
      </c>
      <c r="V2729" t="str">
        <f>IF(OR(U2729="",U2729="ERRO_CHAVE"),"",IFERROR(MATCH(U2729,Fornecedores!$AF$1:$AF$6631,0),""))</f>
        <v/>
      </c>
      <c r="W2729" t="str">
        <f t="shared" si="3"/>
        <v/>
      </c>
      <c r="X2729" s="4" t="str">
        <f>IF(V2729="","",INDEX(Fornecedores!$X$1:$X$6631,V2729))</f>
        <v/>
      </c>
      <c r="Y2729" s="4" t="str">
        <f t="shared" si="4"/>
        <v/>
      </c>
    </row>
    <row r="2730" spans="19:25">
      <c r="S2730" t="str">
        <f t="shared" si="0"/>
        <v/>
      </c>
      <c r="T2730" t="str">
        <f t="shared" si="1"/>
        <v/>
      </c>
      <c r="U2730" t="str">
        <f t="shared" si="2"/>
        <v/>
      </c>
      <c r="V2730" t="str">
        <f>IF(OR(U2730="",U2730="ERRO_CHAVE"),"",IFERROR(MATCH(U2730,Fornecedores!$AF$1:$AF$6631,0),""))</f>
        <v/>
      </c>
      <c r="W2730" t="str">
        <f t="shared" si="3"/>
        <v/>
      </c>
      <c r="X2730" s="4" t="str">
        <f>IF(V2730="","",INDEX(Fornecedores!$X$1:$X$6631,V2730))</f>
        <v/>
      </c>
      <c r="Y2730" s="4" t="str">
        <f t="shared" si="4"/>
        <v/>
      </c>
    </row>
    <row r="2731" spans="19:25">
      <c r="S2731" t="str">
        <f t="shared" si="0"/>
        <v/>
      </c>
      <c r="T2731" t="str">
        <f t="shared" si="1"/>
        <v/>
      </c>
      <c r="U2731" t="str">
        <f t="shared" si="2"/>
        <v/>
      </c>
      <c r="V2731" t="str">
        <f>IF(OR(U2731="",U2731="ERRO_CHAVE"),"",IFERROR(MATCH(U2731,Fornecedores!$AF$1:$AF$6631,0),""))</f>
        <v/>
      </c>
      <c r="W2731" t="str">
        <f t="shared" si="3"/>
        <v/>
      </c>
      <c r="X2731" s="4" t="str">
        <f>IF(V2731="","",INDEX(Fornecedores!$X$1:$X$6631,V2731))</f>
        <v/>
      </c>
      <c r="Y2731" s="4" t="str">
        <f t="shared" si="4"/>
        <v/>
      </c>
    </row>
    <row r="2732" spans="19:25">
      <c r="S2732" t="str">
        <f t="shared" si="0"/>
        <v/>
      </c>
      <c r="T2732" t="str">
        <f t="shared" si="1"/>
        <v/>
      </c>
      <c r="U2732" t="str">
        <f t="shared" si="2"/>
        <v/>
      </c>
      <c r="V2732" t="str">
        <f>IF(OR(U2732="",U2732="ERRO_CHAVE"),"",IFERROR(MATCH(U2732,Fornecedores!$AF$1:$AF$6631,0),""))</f>
        <v/>
      </c>
      <c r="W2732" t="str">
        <f t="shared" si="3"/>
        <v/>
      </c>
      <c r="X2732" s="4" t="str">
        <f>IF(V2732="","",INDEX(Fornecedores!$X$1:$X$6631,V2732))</f>
        <v/>
      </c>
      <c r="Y2732" s="4" t="str">
        <f t="shared" si="4"/>
        <v/>
      </c>
    </row>
    <row r="2733" spans="19:25">
      <c r="S2733" t="str">
        <f t="shared" si="0"/>
        <v/>
      </c>
      <c r="T2733" t="str">
        <f t="shared" si="1"/>
        <v/>
      </c>
      <c r="U2733" t="str">
        <f t="shared" si="2"/>
        <v/>
      </c>
      <c r="V2733" t="str">
        <f>IF(OR(U2733="",U2733="ERRO_CHAVE"),"",IFERROR(MATCH(U2733,Fornecedores!$AF$1:$AF$6631,0),""))</f>
        <v/>
      </c>
      <c r="W2733" t="str">
        <f t="shared" si="3"/>
        <v/>
      </c>
      <c r="X2733" s="4" t="str">
        <f>IF(V2733="","",INDEX(Fornecedores!$X$1:$X$6631,V2733))</f>
        <v/>
      </c>
      <c r="Y2733" s="4" t="str">
        <f t="shared" si="4"/>
        <v/>
      </c>
    </row>
    <row r="2734" spans="19:25">
      <c r="S2734" t="str">
        <f t="shared" si="0"/>
        <v/>
      </c>
      <c r="T2734" t="str">
        <f t="shared" si="1"/>
        <v/>
      </c>
      <c r="U2734" t="str">
        <f t="shared" si="2"/>
        <v/>
      </c>
      <c r="V2734" t="str">
        <f>IF(OR(U2734="",U2734="ERRO_CHAVE"),"",IFERROR(MATCH(U2734,Fornecedores!$AF$1:$AF$6631,0),""))</f>
        <v/>
      </c>
      <c r="W2734" t="str">
        <f t="shared" si="3"/>
        <v/>
      </c>
      <c r="X2734" s="4" t="str">
        <f>IF(V2734="","",INDEX(Fornecedores!$X$1:$X$6631,V2734))</f>
        <v/>
      </c>
      <c r="Y2734" s="4" t="str">
        <f t="shared" si="4"/>
        <v/>
      </c>
    </row>
    <row r="2735" spans="19:25">
      <c r="S2735" t="str">
        <f t="shared" si="0"/>
        <v/>
      </c>
      <c r="T2735" t="str">
        <f t="shared" si="1"/>
        <v/>
      </c>
      <c r="U2735" t="str">
        <f t="shared" si="2"/>
        <v/>
      </c>
      <c r="V2735" t="str">
        <f>IF(OR(U2735="",U2735="ERRO_CHAVE"),"",IFERROR(MATCH(U2735,Fornecedores!$AF$1:$AF$6631,0),""))</f>
        <v/>
      </c>
      <c r="W2735" t="str">
        <f t="shared" si="3"/>
        <v/>
      </c>
      <c r="X2735" s="4" t="str">
        <f>IF(V2735="","",INDEX(Fornecedores!$X$1:$X$6631,V2735))</f>
        <v/>
      </c>
      <c r="Y2735" s="4" t="str">
        <f t="shared" si="4"/>
        <v/>
      </c>
    </row>
    <row r="2736" spans="19:25">
      <c r="S2736" t="str">
        <f t="shared" si="0"/>
        <v/>
      </c>
      <c r="T2736" t="str">
        <f t="shared" si="1"/>
        <v/>
      </c>
      <c r="U2736" t="str">
        <f t="shared" si="2"/>
        <v/>
      </c>
      <c r="V2736" t="str">
        <f>IF(OR(U2736="",U2736="ERRO_CHAVE"),"",IFERROR(MATCH(U2736,Fornecedores!$AF$1:$AF$6631,0),""))</f>
        <v/>
      </c>
      <c r="W2736" t="str">
        <f t="shared" si="3"/>
        <v/>
      </c>
      <c r="X2736" s="4" t="str">
        <f>IF(V2736="","",INDEX(Fornecedores!$X$1:$X$6631,V2736))</f>
        <v/>
      </c>
      <c r="Y2736" s="4" t="str">
        <f t="shared" si="4"/>
        <v/>
      </c>
    </row>
    <row r="2737" spans="19:25">
      <c r="S2737" t="str">
        <f t="shared" si="0"/>
        <v/>
      </c>
      <c r="T2737" t="str">
        <f t="shared" si="1"/>
        <v/>
      </c>
      <c r="U2737" t="str">
        <f t="shared" si="2"/>
        <v/>
      </c>
      <c r="V2737" t="str">
        <f>IF(OR(U2737="",U2737="ERRO_CHAVE"),"",IFERROR(MATCH(U2737,Fornecedores!$AF$1:$AF$6631,0),""))</f>
        <v/>
      </c>
      <c r="W2737" t="str">
        <f t="shared" si="3"/>
        <v/>
      </c>
      <c r="X2737" s="4" t="str">
        <f>IF(V2737="","",INDEX(Fornecedores!$X$1:$X$6631,V2737))</f>
        <v/>
      </c>
      <c r="Y2737" s="4" t="str">
        <f t="shared" si="4"/>
        <v/>
      </c>
    </row>
    <row r="2738" spans="19:25">
      <c r="S2738" t="str">
        <f t="shared" si="0"/>
        <v/>
      </c>
      <c r="T2738" t="str">
        <f t="shared" si="1"/>
        <v/>
      </c>
      <c r="U2738" t="str">
        <f t="shared" si="2"/>
        <v/>
      </c>
      <c r="V2738" t="str">
        <f>IF(OR(U2738="",U2738="ERRO_CHAVE"),"",IFERROR(MATCH(U2738,Fornecedores!$AF$1:$AF$6631,0),""))</f>
        <v/>
      </c>
      <c r="W2738" t="str">
        <f t="shared" si="3"/>
        <v/>
      </c>
      <c r="X2738" s="4" t="str">
        <f>IF(V2738="","",INDEX(Fornecedores!$X$1:$X$6631,V2738))</f>
        <v/>
      </c>
      <c r="Y2738" s="4" t="str">
        <f t="shared" si="4"/>
        <v/>
      </c>
    </row>
    <row r="2739" spans="19:25">
      <c r="S2739" t="str">
        <f t="shared" si="0"/>
        <v/>
      </c>
      <c r="T2739" t="str">
        <f t="shared" si="1"/>
        <v/>
      </c>
      <c r="U2739" t="str">
        <f t="shared" si="2"/>
        <v/>
      </c>
      <c r="V2739" t="str">
        <f>IF(OR(U2739="",U2739="ERRO_CHAVE"),"",IFERROR(MATCH(U2739,Fornecedores!$AF$1:$AF$6631,0),""))</f>
        <v/>
      </c>
      <c r="W2739" t="str">
        <f t="shared" si="3"/>
        <v/>
      </c>
      <c r="X2739" s="4" t="str">
        <f>IF(V2739="","",INDEX(Fornecedores!$X$1:$X$6631,V2739))</f>
        <v/>
      </c>
      <c r="Y2739" s="4" t="str">
        <f t="shared" si="4"/>
        <v/>
      </c>
    </row>
    <row r="2740" spans="19:25">
      <c r="S2740" t="str">
        <f t="shared" si="0"/>
        <v/>
      </c>
      <c r="T2740" t="str">
        <f t="shared" si="1"/>
        <v/>
      </c>
      <c r="U2740" t="str">
        <f t="shared" si="2"/>
        <v/>
      </c>
      <c r="V2740" t="str">
        <f>IF(OR(U2740="",U2740="ERRO_CHAVE"),"",IFERROR(MATCH(U2740,Fornecedores!$AF$1:$AF$6631,0),""))</f>
        <v/>
      </c>
      <c r="W2740" t="str">
        <f t="shared" si="3"/>
        <v/>
      </c>
      <c r="X2740" s="4" t="str">
        <f>IF(V2740="","",INDEX(Fornecedores!$X$1:$X$6631,V2740))</f>
        <v/>
      </c>
      <c r="Y2740" s="4" t="str">
        <f t="shared" si="4"/>
        <v/>
      </c>
    </row>
    <row r="2741" spans="19:25">
      <c r="S2741" t="str">
        <f t="shared" si="0"/>
        <v/>
      </c>
      <c r="T2741" t="str">
        <f t="shared" si="1"/>
        <v/>
      </c>
      <c r="U2741" t="str">
        <f t="shared" si="2"/>
        <v/>
      </c>
      <c r="V2741" t="str">
        <f>IF(OR(U2741="",U2741="ERRO_CHAVE"),"",IFERROR(MATCH(U2741,Fornecedores!$AF$1:$AF$6631,0),""))</f>
        <v/>
      </c>
      <c r="W2741" t="str">
        <f t="shared" si="3"/>
        <v/>
      </c>
      <c r="X2741" s="4" t="str">
        <f>IF(V2741="","",INDEX(Fornecedores!$X$1:$X$6631,V2741))</f>
        <v/>
      </c>
      <c r="Y2741" s="4" t="str">
        <f t="shared" si="4"/>
        <v/>
      </c>
    </row>
    <row r="2742" spans="19:25">
      <c r="S2742" t="str">
        <f t="shared" si="0"/>
        <v/>
      </c>
      <c r="T2742" t="str">
        <f t="shared" si="1"/>
        <v/>
      </c>
      <c r="U2742" t="str">
        <f t="shared" si="2"/>
        <v/>
      </c>
      <c r="V2742" t="str">
        <f>IF(OR(U2742="",U2742="ERRO_CHAVE"),"",IFERROR(MATCH(U2742,Fornecedores!$AF$1:$AF$6631,0),""))</f>
        <v/>
      </c>
      <c r="W2742" t="str">
        <f t="shared" si="3"/>
        <v/>
      </c>
      <c r="X2742" s="4" t="str">
        <f>IF(V2742="","",INDEX(Fornecedores!$X$1:$X$6631,V2742))</f>
        <v/>
      </c>
      <c r="Y2742" s="4" t="str">
        <f t="shared" si="4"/>
        <v/>
      </c>
    </row>
    <row r="2743" spans="19:25">
      <c r="S2743" t="str">
        <f t="shared" si="0"/>
        <v/>
      </c>
      <c r="T2743" t="str">
        <f t="shared" si="1"/>
        <v/>
      </c>
      <c r="U2743" t="str">
        <f t="shared" si="2"/>
        <v/>
      </c>
      <c r="V2743" t="str">
        <f>IF(OR(U2743="",U2743="ERRO_CHAVE"),"",IFERROR(MATCH(U2743,Fornecedores!$AF$1:$AF$6631,0),""))</f>
        <v/>
      </c>
      <c r="W2743" t="str">
        <f t="shared" si="3"/>
        <v/>
      </c>
      <c r="X2743" s="4" t="str">
        <f>IF(V2743="","",INDEX(Fornecedores!$X$1:$X$6631,V2743))</f>
        <v/>
      </c>
      <c r="Y2743" s="4" t="str">
        <f t="shared" si="4"/>
        <v/>
      </c>
    </row>
    <row r="2744" spans="19:25">
      <c r="S2744" t="str">
        <f t="shared" si="0"/>
        <v/>
      </c>
      <c r="T2744" t="str">
        <f t="shared" si="1"/>
        <v/>
      </c>
      <c r="U2744" t="str">
        <f t="shared" si="2"/>
        <v/>
      </c>
      <c r="V2744" t="str">
        <f>IF(OR(U2744="",U2744="ERRO_CHAVE"),"",IFERROR(MATCH(U2744,Fornecedores!$AF$1:$AF$6631,0),""))</f>
        <v/>
      </c>
      <c r="W2744" t="str">
        <f t="shared" si="3"/>
        <v/>
      </c>
      <c r="X2744" s="4" t="str">
        <f>IF(V2744="","",INDEX(Fornecedores!$X$1:$X$6631,V2744))</f>
        <v/>
      </c>
      <c r="Y2744" s="4" t="str">
        <f t="shared" si="4"/>
        <v/>
      </c>
    </row>
    <row r="2745" spans="19:25">
      <c r="S2745" t="str">
        <f t="shared" si="0"/>
        <v/>
      </c>
      <c r="T2745" t="str">
        <f t="shared" si="1"/>
        <v/>
      </c>
      <c r="U2745" t="str">
        <f t="shared" si="2"/>
        <v/>
      </c>
      <c r="V2745" t="str">
        <f>IF(OR(U2745="",U2745="ERRO_CHAVE"),"",IFERROR(MATCH(U2745,Fornecedores!$AF$1:$AF$6631,0),""))</f>
        <v/>
      </c>
      <c r="W2745" t="str">
        <f t="shared" si="3"/>
        <v/>
      </c>
      <c r="X2745" s="4" t="str">
        <f>IF(V2745="","",INDEX(Fornecedores!$X$1:$X$6631,V2745))</f>
        <v/>
      </c>
      <c r="Y2745" s="4" t="str">
        <f t="shared" si="4"/>
        <v/>
      </c>
    </row>
    <row r="2746" spans="19:25">
      <c r="S2746" t="str">
        <f t="shared" si="0"/>
        <v/>
      </c>
      <c r="T2746" t="str">
        <f t="shared" si="1"/>
        <v/>
      </c>
      <c r="U2746" t="str">
        <f t="shared" si="2"/>
        <v/>
      </c>
      <c r="V2746" t="str">
        <f>IF(OR(U2746="",U2746="ERRO_CHAVE"),"",IFERROR(MATCH(U2746,Fornecedores!$AF$1:$AF$6631,0),""))</f>
        <v/>
      </c>
      <c r="W2746" t="str">
        <f t="shared" si="3"/>
        <v/>
      </c>
      <c r="X2746" s="4" t="str">
        <f>IF(V2746="","",INDEX(Fornecedores!$X$1:$X$6631,V2746))</f>
        <v/>
      </c>
      <c r="Y2746" s="4" t="str">
        <f t="shared" si="4"/>
        <v/>
      </c>
    </row>
    <row r="2747" spans="19:25">
      <c r="S2747" t="str">
        <f t="shared" si="0"/>
        <v/>
      </c>
      <c r="T2747" t="str">
        <f t="shared" si="1"/>
        <v/>
      </c>
      <c r="U2747" t="str">
        <f t="shared" si="2"/>
        <v/>
      </c>
      <c r="V2747" t="str">
        <f>IF(OR(U2747="",U2747="ERRO_CHAVE"),"",IFERROR(MATCH(U2747,Fornecedores!$AF$1:$AF$6631,0),""))</f>
        <v/>
      </c>
      <c r="W2747" t="str">
        <f t="shared" si="3"/>
        <v/>
      </c>
      <c r="X2747" s="4" t="str">
        <f>IF(V2747="","",INDEX(Fornecedores!$X$1:$X$6631,V2747))</f>
        <v/>
      </c>
      <c r="Y2747" s="4" t="str">
        <f t="shared" si="4"/>
        <v/>
      </c>
    </row>
    <row r="2748" spans="19:25">
      <c r="S2748" t="str">
        <f t="shared" si="0"/>
        <v/>
      </c>
      <c r="T2748" t="str">
        <f t="shared" si="1"/>
        <v/>
      </c>
      <c r="U2748" t="str">
        <f t="shared" si="2"/>
        <v/>
      </c>
      <c r="V2748" t="str">
        <f>IF(OR(U2748="",U2748="ERRO_CHAVE"),"",IFERROR(MATCH(U2748,Fornecedores!$AF$1:$AF$6631,0),""))</f>
        <v/>
      </c>
      <c r="W2748" t="str">
        <f t="shared" si="3"/>
        <v/>
      </c>
      <c r="X2748" s="4" t="str">
        <f>IF(V2748="","",INDEX(Fornecedores!$X$1:$X$6631,V2748))</f>
        <v/>
      </c>
      <c r="Y2748" s="4" t="str">
        <f t="shared" si="4"/>
        <v/>
      </c>
    </row>
    <row r="2749" spans="19:25">
      <c r="S2749" t="str">
        <f t="shared" si="0"/>
        <v/>
      </c>
      <c r="T2749" t="str">
        <f t="shared" si="1"/>
        <v/>
      </c>
      <c r="U2749" t="str">
        <f t="shared" si="2"/>
        <v/>
      </c>
      <c r="V2749" t="str">
        <f>IF(OR(U2749="",U2749="ERRO_CHAVE"),"",IFERROR(MATCH(U2749,Fornecedores!$AF$1:$AF$6631,0),""))</f>
        <v/>
      </c>
      <c r="W2749" t="str">
        <f t="shared" si="3"/>
        <v/>
      </c>
      <c r="X2749" s="4" t="str">
        <f>IF(V2749="","",INDEX(Fornecedores!$X$1:$X$6631,V2749))</f>
        <v/>
      </c>
      <c r="Y2749" s="4" t="str">
        <f t="shared" si="4"/>
        <v/>
      </c>
    </row>
    <row r="2750" spans="19:25">
      <c r="S2750" t="str">
        <f t="shared" si="0"/>
        <v/>
      </c>
      <c r="T2750" t="str">
        <f t="shared" si="1"/>
        <v/>
      </c>
      <c r="U2750" t="str">
        <f t="shared" si="2"/>
        <v/>
      </c>
      <c r="V2750" t="str">
        <f>IF(OR(U2750="",U2750="ERRO_CHAVE"),"",IFERROR(MATCH(U2750,Fornecedores!$AF$1:$AF$6631,0),""))</f>
        <v/>
      </c>
      <c r="W2750" t="str">
        <f t="shared" si="3"/>
        <v/>
      </c>
      <c r="X2750" s="4" t="str">
        <f>IF(V2750="","",INDEX(Fornecedores!$X$1:$X$6631,V2750))</f>
        <v/>
      </c>
      <c r="Y2750" s="4" t="str">
        <f t="shared" si="4"/>
        <v/>
      </c>
    </row>
    <row r="2751" spans="19:25">
      <c r="S2751" t="str">
        <f t="shared" si="0"/>
        <v/>
      </c>
      <c r="T2751" t="str">
        <f t="shared" si="1"/>
        <v/>
      </c>
      <c r="U2751" t="str">
        <f t="shared" si="2"/>
        <v/>
      </c>
      <c r="V2751" t="str">
        <f>IF(OR(U2751="",U2751="ERRO_CHAVE"),"",IFERROR(MATCH(U2751,Fornecedores!$AF$1:$AF$6631,0),""))</f>
        <v/>
      </c>
      <c r="W2751" t="str">
        <f t="shared" si="3"/>
        <v/>
      </c>
      <c r="X2751" s="4" t="str">
        <f>IF(V2751="","",INDEX(Fornecedores!$X$1:$X$6631,V2751))</f>
        <v/>
      </c>
      <c r="Y2751" s="4" t="str">
        <f t="shared" si="4"/>
        <v/>
      </c>
    </row>
    <row r="2752" spans="19:25">
      <c r="S2752" t="str">
        <f t="shared" si="0"/>
        <v/>
      </c>
      <c r="T2752" t="str">
        <f t="shared" si="1"/>
        <v/>
      </c>
      <c r="U2752" t="str">
        <f t="shared" si="2"/>
        <v/>
      </c>
      <c r="V2752" t="str">
        <f>IF(OR(U2752="",U2752="ERRO_CHAVE"),"",IFERROR(MATCH(U2752,Fornecedores!$AF$1:$AF$6631,0),""))</f>
        <v/>
      </c>
      <c r="W2752" t="str">
        <f t="shared" si="3"/>
        <v/>
      </c>
      <c r="X2752" s="4" t="str">
        <f>IF(V2752="","",INDEX(Fornecedores!$X$1:$X$6631,V2752))</f>
        <v/>
      </c>
      <c r="Y2752" s="4" t="str">
        <f t="shared" si="4"/>
        <v/>
      </c>
    </row>
    <row r="2753" spans="19:25">
      <c r="S2753" t="str">
        <f t="shared" si="0"/>
        <v/>
      </c>
      <c r="T2753" t="str">
        <f t="shared" si="1"/>
        <v/>
      </c>
      <c r="U2753" t="str">
        <f t="shared" si="2"/>
        <v/>
      </c>
      <c r="V2753" t="str">
        <f>IF(OR(U2753="",U2753="ERRO_CHAVE"),"",IFERROR(MATCH(U2753,Fornecedores!$AF$1:$AF$6631,0),""))</f>
        <v/>
      </c>
      <c r="W2753" t="str">
        <f t="shared" si="3"/>
        <v/>
      </c>
      <c r="X2753" s="4" t="str">
        <f>IF(V2753="","",INDEX(Fornecedores!$X$1:$X$6631,V2753))</f>
        <v/>
      </c>
      <c r="Y2753" s="4" t="str">
        <f t="shared" si="4"/>
        <v/>
      </c>
    </row>
    <row r="2754" spans="19:25">
      <c r="S2754" t="str">
        <f t="shared" si="0"/>
        <v/>
      </c>
      <c r="T2754" t="str">
        <f t="shared" si="1"/>
        <v/>
      </c>
      <c r="U2754" t="str">
        <f t="shared" si="2"/>
        <v/>
      </c>
      <c r="V2754" t="str">
        <f>IF(OR(U2754="",U2754="ERRO_CHAVE"),"",IFERROR(MATCH(U2754,Fornecedores!$AF$1:$AF$6631,0),""))</f>
        <v/>
      </c>
      <c r="W2754" t="str">
        <f t="shared" si="3"/>
        <v/>
      </c>
      <c r="X2754" s="4" t="str">
        <f>IF(V2754="","",INDEX(Fornecedores!$X$1:$X$6631,V2754))</f>
        <v/>
      </c>
      <c r="Y2754" s="4" t="str">
        <f t="shared" si="4"/>
        <v/>
      </c>
    </row>
    <row r="2755" spans="19:25">
      <c r="S2755" t="str">
        <f t="shared" si="0"/>
        <v/>
      </c>
      <c r="T2755" t="str">
        <f t="shared" si="1"/>
        <v/>
      </c>
      <c r="U2755" t="str">
        <f t="shared" si="2"/>
        <v/>
      </c>
      <c r="V2755" t="str">
        <f>IF(OR(U2755="",U2755="ERRO_CHAVE"),"",IFERROR(MATCH(U2755,Fornecedores!$AF$1:$AF$6631,0),""))</f>
        <v/>
      </c>
      <c r="W2755" t="str">
        <f t="shared" si="3"/>
        <v/>
      </c>
      <c r="X2755" s="4" t="str">
        <f>IF(V2755="","",INDEX(Fornecedores!$X$1:$X$6631,V2755))</f>
        <v/>
      </c>
      <c r="Y2755" s="4" t="str">
        <f t="shared" si="4"/>
        <v/>
      </c>
    </row>
    <row r="2756" spans="19:25">
      <c r="S2756" t="str">
        <f t="shared" si="0"/>
        <v/>
      </c>
      <c r="T2756" t="str">
        <f t="shared" si="1"/>
        <v/>
      </c>
      <c r="U2756" t="str">
        <f t="shared" si="2"/>
        <v/>
      </c>
      <c r="V2756" t="str">
        <f>IF(OR(U2756="",U2756="ERRO_CHAVE"),"",IFERROR(MATCH(U2756,Fornecedores!$AF$1:$AF$6631,0),""))</f>
        <v/>
      </c>
      <c r="W2756" t="str">
        <f t="shared" si="3"/>
        <v/>
      </c>
      <c r="X2756" s="4" t="str">
        <f>IF(V2756="","",INDEX(Fornecedores!$X$1:$X$6631,V2756))</f>
        <v/>
      </c>
      <c r="Y2756" s="4" t="str">
        <f t="shared" si="4"/>
        <v/>
      </c>
    </row>
    <row r="2757" spans="19:25">
      <c r="S2757" t="str">
        <f t="shared" si="0"/>
        <v/>
      </c>
      <c r="T2757" t="str">
        <f t="shared" si="1"/>
        <v/>
      </c>
      <c r="U2757" t="str">
        <f t="shared" si="2"/>
        <v/>
      </c>
      <c r="V2757" t="str">
        <f>IF(OR(U2757="",U2757="ERRO_CHAVE"),"",IFERROR(MATCH(U2757,Fornecedores!$AF$1:$AF$6631,0),""))</f>
        <v/>
      </c>
      <c r="W2757" t="str">
        <f t="shared" si="3"/>
        <v/>
      </c>
      <c r="X2757" s="4" t="str">
        <f>IF(V2757="","",INDEX(Fornecedores!$X$1:$X$6631,V2757))</f>
        <v/>
      </c>
      <c r="Y2757" s="4" t="str">
        <f t="shared" si="4"/>
        <v/>
      </c>
    </row>
    <row r="2758" spans="19:25">
      <c r="S2758" t="str">
        <f t="shared" si="0"/>
        <v/>
      </c>
      <c r="T2758" t="str">
        <f t="shared" si="1"/>
        <v/>
      </c>
      <c r="U2758" t="str">
        <f t="shared" si="2"/>
        <v/>
      </c>
      <c r="V2758" t="str">
        <f>IF(OR(U2758="",U2758="ERRO_CHAVE"),"",IFERROR(MATCH(U2758,Fornecedores!$AF$1:$AF$6631,0),""))</f>
        <v/>
      </c>
      <c r="W2758" t="str">
        <f t="shared" si="3"/>
        <v/>
      </c>
      <c r="X2758" s="4" t="str">
        <f>IF(V2758="","",INDEX(Fornecedores!$X$1:$X$6631,V2758))</f>
        <v/>
      </c>
      <c r="Y2758" s="4" t="str">
        <f t="shared" si="4"/>
        <v/>
      </c>
    </row>
    <row r="2759" spans="19:25">
      <c r="S2759" t="str">
        <f t="shared" si="0"/>
        <v/>
      </c>
      <c r="T2759" t="str">
        <f t="shared" si="1"/>
        <v/>
      </c>
      <c r="U2759" t="str">
        <f t="shared" si="2"/>
        <v/>
      </c>
      <c r="V2759" t="str">
        <f>IF(OR(U2759="",U2759="ERRO_CHAVE"),"",IFERROR(MATCH(U2759,Fornecedores!$AF$1:$AF$6631,0),""))</f>
        <v/>
      </c>
      <c r="W2759" t="str">
        <f t="shared" si="3"/>
        <v/>
      </c>
      <c r="X2759" s="4" t="str">
        <f>IF(V2759="","",INDEX(Fornecedores!$X$1:$X$6631,V2759))</f>
        <v/>
      </c>
      <c r="Y2759" s="4" t="str">
        <f t="shared" si="4"/>
        <v/>
      </c>
    </row>
    <row r="2760" spans="19:25">
      <c r="S2760" t="str">
        <f t="shared" si="0"/>
        <v/>
      </c>
      <c r="T2760" t="str">
        <f t="shared" si="1"/>
        <v/>
      </c>
      <c r="U2760" t="str">
        <f t="shared" si="2"/>
        <v/>
      </c>
      <c r="V2760" t="str">
        <f>IF(OR(U2760="",U2760="ERRO_CHAVE"),"",IFERROR(MATCH(U2760,Fornecedores!$AF$1:$AF$6631,0),""))</f>
        <v/>
      </c>
      <c r="W2760" t="str">
        <f t="shared" si="3"/>
        <v/>
      </c>
      <c r="X2760" s="4" t="str">
        <f>IF(V2760="","",INDEX(Fornecedores!$X$1:$X$6631,V2760))</f>
        <v/>
      </c>
      <c r="Y2760" s="4" t="str">
        <f t="shared" si="4"/>
        <v/>
      </c>
    </row>
    <row r="2761" spans="19:25">
      <c r="S2761" t="str">
        <f t="shared" si="0"/>
        <v/>
      </c>
      <c r="T2761" t="str">
        <f t="shared" si="1"/>
        <v/>
      </c>
      <c r="U2761" t="str">
        <f t="shared" si="2"/>
        <v/>
      </c>
      <c r="V2761" t="str">
        <f>IF(OR(U2761="",U2761="ERRO_CHAVE"),"",IFERROR(MATCH(U2761,Fornecedores!$AF$1:$AF$6631,0),""))</f>
        <v/>
      </c>
      <c r="W2761" t="str">
        <f t="shared" si="3"/>
        <v/>
      </c>
      <c r="X2761" s="4" t="str">
        <f>IF(V2761="","",INDEX(Fornecedores!$X$1:$X$6631,V2761))</f>
        <v/>
      </c>
      <c r="Y2761" s="4" t="str">
        <f t="shared" si="4"/>
        <v/>
      </c>
    </row>
    <row r="2762" spans="19:25">
      <c r="S2762" t="str">
        <f t="shared" si="0"/>
        <v/>
      </c>
      <c r="T2762" t="str">
        <f t="shared" si="1"/>
        <v/>
      </c>
      <c r="U2762" t="str">
        <f t="shared" si="2"/>
        <v/>
      </c>
      <c r="V2762" t="str">
        <f>IF(OR(U2762="",U2762="ERRO_CHAVE"),"",IFERROR(MATCH(U2762,Fornecedores!$AF$1:$AF$6631,0),""))</f>
        <v/>
      </c>
      <c r="W2762" t="str">
        <f t="shared" si="3"/>
        <v/>
      </c>
      <c r="X2762" s="4" t="str">
        <f>IF(V2762="","",INDEX(Fornecedores!$X$1:$X$6631,V2762))</f>
        <v/>
      </c>
      <c r="Y2762" s="4" t="str">
        <f t="shared" si="4"/>
        <v/>
      </c>
    </row>
    <row r="2763" spans="19:25">
      <c r="S2763" t="str">
        <f t="shared" si="0"/>
        <v/>
      </c>
      <c r="T2763" t="str">
        <f t="shared" si="1"/>
        <v/>
      </c>
      <c r="U2763" t="str">
        <f t="shared" si="2"/>
        <v/>
      </c>
      <c r="V2763" t="str">
        <f>IF(OR(U2763="",U2763="ERRO_CHAVE"),"",IFERROR(MATCH(U2763,Fornecedores!$AF$1:$AF$6631,0),""))</f>
        <v/>
      </c>
      <c r="W2763" t="str">
        <f t="shared" si="3"/>
        <v/>
      </c>
      <c r="X2763" s="4" t="str">
        <f>IF(V2763="","",INDEX(Fornecedores!$X$1:$X$6631,V2763))</f>
        <v/>
      </c>
      <c r="Y2763" s="4" t="str">
        <f t="shared" si="4"/>
        <v/>
      </c>
    </row>
    <row r="2764" spans="19:25">
      <c r="S2764" t="str">
        <f t="shared" si="0"/>
        <v/>
      </c>
      <c r="T2764" t="str">
        <f t="shared" si="1"/>
        <v/>
      </c>
      <c r="U2764" t="str">
        <f t="shared" si="2"/>
        <v/>
      </c>
      <c r="V2764" t="str">
        <f>IF(OR(U2764="",U2764="ERRO_CHAVE"),"",IFERROR(MATCH(U2764,Fornecedores!$AF$1:$AF$6631,0),""))</f>
        <v/>
      </c>
      <c r="W2764" t="str">
        <f t="shared" si="3"/>
        <v/>
      </c>
      <c r="X2764" s="4" t="str">
        <f>IF(V2764="","",INDEX(Fornecedores!$X$1:$X$6631,V2764))</f>
        <v/>
      </c>
      <c r="Y2764" s="4" t="str">
        <f t="shared" si="4"/>
        <v/>
      </c>
    </row>
    <row r="2765" spans="19:25">
      <c r="S2765" t="str">
        <f t="shared" si="0"/>
        <v/>
      </c>
      <c r="T2765" t="str">
        <f t="shared" si="1"/>
        <v/>
      </c>
      <c r="U2765" t="str">
        <f t="shared" si="2"/>
        <v/>
      </c>
      <c r="V2765" t="str">
        <f>IF(OR(U2765="",U2765="ERRO_CHAVE"),"",IFERROR(MATCH(U2765,Fornecedores!$AF$1:$AF$6631,0),""))</f>
        <v/>
      </c>
      <c r="W2765" t="str">
        <f t="shared" si="3"/>
        <v/>
      </c>
      <c r="X2765" s="4" t="str">
        <f>IF(V2765="","",INDEX(Fornecedores!$X$1:$X$6631,V2765))</f>
        <v/>
      </c>
      <c r="Y2765" s="4" t="str">
        <f t="shared" si="4"/>
        <v/>
      </c>
    </row>
    <row r="2766" spans="19:25">
      <c r="S2766" t="str">
        <f t="shared" si="0"/>
        <v/>
      </c>
      <c r="T2766" t="str">
        <f t="shared" si="1"/>
        <v/>
      </c>
      <c r="U2766" t="str">
        <f t="shared" si="2"/>
        <v/>
      </c>
      <c r="V2766" t="str">
        <f>IF(OR(U2766="",U2766="ERRO_CHAVE"),"",IFERROR(MATCH(U2766,Fornecedores!$AF$1:$AF$6631,0),""))</f>
        <v/>
      </c>
      <c r="W2766" t="str">
        <f t="shared" si="3"/>
        <v/>
      </c>
      <c r="X2766" s="4" t="str">
        <f>IF(V2766="","",INDEX(Fornecedores!$X$1:$X$6631,V2766))</f>
        <v/>
      </c>
      <c r="Y2766" s="4" t="str">
        <f t="shared" si="4"/>
        <v/>
      </c>
    </row>
    <row r="2767" spans="19:25">
      <c r="S2767" t="str">
        <f t="shared" si="0"/>
        <v/>
      </c>
      <c r="T2767" t="str">
        <f t="shared" si="1"/>
        <v/>
      </c>
      <c r="U2767" t="str">
        <f t="shared" si="2"/>
        <v/>
      </c>
      <c r="V2767" t="str">
        <f>IF(OR(U2767="",U2767="ERRO_CHAVE"),"",IFERROR(MATCH(U2767,Fornecedores!$AF$1:$AF$6631,0),""))</f>
        <v/>
      </c>
      <c r="W2767" t="str">
        <f t="shared" si="3"/>
        <v/>
      </c>
      <c r="X2767" s="4" t="str">
        <f>IF(V2767="","",INDEX(Fornecedores!$X$1:$X$6631,V2767))</f>
        <v/>
      </c>
      <c r="Y2767" s="4" t="str">
        <f t="shared" si="4"/>
        <v/>
      </c>
    </row>
    <row r="2768" spans="19:25">
      <c r="S2768" t="str">
        <f t="shared" si="0"/>
        <v/>
      </c>
      <c r="T2768" t="str">
        <f t="shared" si="1"/>
        <v/>
      </c>
      <c r="U2768" t="str">
        <f t="shared" si="2"/>
        <v/>
      </c>
      <c r="V2768" t="str">
        <f>IF(OR(U2768="",U2768="ERRO_CHAVE"),"",IFERROR(MATCH(U2768,Fornecedores!$AF$1:$AF$6631,0),""))</f>
        <v/>
      </c>
      <c r="W2768" t="str">
        <f t="shared" si="3"/>
        <v/>
      </c>
      <c r="X2768" s="4" t="str">
        <f>IF(V2768="","",INDEX(Fornecedores!$X$1:$X$6631,V2768))</f>
        <v/>
      </c>
      <c r="Y2768" s="4" t="str">
        <f t="shared" si="4"/>
        <v/>
      </c>
    </row>
    <row r="2769" spans="19:25">
      <c r="S2769" t="str">
        <f t="shared" si="0"/>
        <v/>
      </c>
      <c r="T2769" t="str">
        <f t="shared" si="1"/>
        <v/>
      </c>
      <c r="U2769" t="str">
        <f t="shared" si="2"/>
        <v/>
      </c>
      <c r="V2769" t="str">
        <f>IF(OR(U2769="",U2769="ERRO_CHAVE"),"",IFERROR(MATCH(U2769,Fornecedores!$AF$1:$AF$6631,0),""))</f>
        <v/>
      </c>
      <c r="W2769" t="str">
        <f t="shared" si="3"/>
        <v/>
      </c>
      <c r="X2769" s="4" t="str">
        <f>IF(V2769="","",INDEX(Fornecedores!$X$1:$X$6631,V2769))</f>
        <v/>
      </c>
      <c r="Y2769" s="4" t="str">
        <f t="shared" si="4"/>
        <v/>
      </c>
    </row>
    <row r="2770" spans="19:25">
      <c r="S2770" t="str">
        <f t="shared" si="0"/>
        <v/>
      </c>
      <c r="T2770" t="str">
        <f t="shared" si="1"/>
        <v/>
      </c>
      <c r="U2770" t="str">
        <f t="shared" si="2"/>
        <v/>
      </c>
      <c r="V2770" t="str">
        <f>IF(OR(U2770="",U2770="ERRO_CHAVE"),"",IFERROR(MATCH(U2770,Fornecedores!$AF$1:$AF$6631,0),""))</f>
        <v/>
      </c>
      <c r="W2770" t="str">
        <f t="shared" si="3"/>
        <v/>
      </c>
      <c r="X2770" s="4" t="str">
        <f>IF(V2770="","",INDEX(Fornecedores!$X$1:$X$6631,V2770))</f>
        <v/>
      </c>
      <c r="Y2770" s="4" t="str">
        <f t="shared" si="4"/>
        <v/>
      </c>
    </row>
    <row r="2771" spans="19:25">
      <c r="S2771" t="str">
        <f t="shared" si="0"/>
        <v/>
      </c>
      <c r="T2771" t="str">
        <f t="shared" si="1"/>
        <v/>
      </c>
      <c r="U2771" t="str">
        <f t="shared" si="2"/>
        <v/>
      </c>
      <c r="V2771" t="str">
        <f>IF(OR(U2771="",U2771="ERRO_CHAVE"),"",IFERROR(MATCH(U2771,Fornecedores!$AF$1:$AF$6631,0),""))</f>
        <v/>
      </c>
      <c r="W2771" t="str">
        <f t="shared" si="3"/>
        <v/>
      </c>
      <c r="X2771" s="4" t="str">
        <f>IF(V2771="","",INDEX(Fornecedores!$X$1:$X$6631,V2771))</f>
        <v/>
      </c>
      <c r="Y2771" s="4" t="str">
        <f t="shared" si="4"/>
        <v/>
      </c>
    </row>
    <row r="2772" spans="19:25">
      <c r="S2772" t="str">
        <f t="shared" si="0"/>
        <v/>
      </c>
      <c r="T2772" t="str">
        <f t="shared" si="1"/>
        <v/>
      </c>
      <c r="U2772" t="str">
        <f t="shared" si="2"/>
        <v/>
      </c>
      <c r="V2772" t="str">
        <f>IF(OR(U2772="",U2772="ERRO_CHAVE"),"",IFERROR(MATCH(U2772,Fornecedores!$AF$1:$AF$6631,0),""))</f>
        <v/>
      </c>
      <c r="W2772" t="str">
        <f t="shared" si="3"/>
        <v/>
      </c>
      <c r="X2772" s="4" t="str">
        <f>IF(V2772="","",INDEX(Fornecedores!$X$1:$X$6631,V2772))</f>
        <v/>
      </c>
      <c r="Y2772" s="4" t="str">
        <f t="shared" si="4"/>
        <v/>
      </c>
    </row>
    <row r="2773" spans="19:25">
      <c r="S2773" t="str">
        <f t="shared" si="0"/>
        <v/>
      </c>
      <c r="T2773" t="str">
        <f t="shared" si="1"/>
        <v/>
      </c>
      <c r="U2773" t="str">
        <f t="shared" si="2"/>
        <v/>
      </c>
      <c r="V2773" t="str">
        <f>IF(OR(U2773="",U2773="ERRO_CHAVE"),"",IFERROR(MATCH(U2773,Fornecedores!$AF$1:$AF$6631,0),""))</f>
        <v/>
      </c>
      <c r="W2773" t="str">
        <f t="shared" si="3"/>
        <v/>
      </c>
      <c r="X2773" s="4" t="str">
        <f>IF(V2773="","",INDEX(Fornecedores!$X$1:$X$6631,V2773))</f>
        <v/>
      </c>
      <c r="Y2773" s="4" t="str">
        <f t="shared" si="4"/>
        <v/>
      </c>
    </row>
    <row r="2774" spans="19:25">
      <c r="S2774" t="str">
        <f t="shared" si="0"/>
        <v/>
      </c>
      <c r="T2774" t="str">
        <f t="shared" si="1"/>
        <v/>
      </c>
      <c r="U2774" t="str">
        <f t="shared" si="2"/>
        <v/>
      </c>
      <c r="V2774" t="str">
        <f>IF(OR(U2774="",U2774="ERRO_CHAVE"),"",IFERROR(MATCH(U2774,Fornecedores!$AF$1:$AF$6631,0),""))</f>
        <v/>
      </c>
      <c r="W2774" t="str">
        <f t="shared" si="3"/>
        <v/>
      </c>
      <c r="X2774" s="4" t="str">
        <f>IF(V2774="","",INDEX(Fornecedores!$X$1:$X$6631,V2774))</f>
        <v/>
      </c>
      <c r="Y2774" s="4" t="str">
        <f t="shared" si="4"/>
        <v/>
      </c>
    </row>
    <row r="2775" spans="19:25">
      <c r="S2775" t="str">
        <f t="shared" si="0"/>
        <v/>
      </c>
      <c r="T2775" t="str">
        <f t="shared" si="1"/>
        <v/>
      </c>
      <c r="U2775" t="str">
        <f t="shared" si="2"/>
        <v/>
      </c>
      <c r="V2775" t="str">
        <f>IF(OR(U2775="",U2775="ERRO_CHAVE"),"",IFERROR(MATCH(U2775,Fornecedores!$AF$1:$AF$6631,0),""))</f>
        <v/>
      </c>
      <c r="W2775" t="str">
        <f t="shared" si="3"/>
        <v/>
      </c>
      <c r="X2775" s="4" t="str">
        <f>IF(V2775="","",INDEX(Fornecedores!$X$1:$X$6631,V2775))</f>
        <v/>
      </c>
      <c r="Y2775" s="4" t="str">
        <f t="shared" si="4"/>
        <v/>
      </c>
    </row>
    <row r="2776" spans="19:25">
      <c r="S2776" t="str">
        <f t="shared" si="0"/>
        <v/>
      </c>
      <c r="T2776" t="str">
        <f t="shared" si="1"/>
        <v/>
      </c>
      <c r="U2776" t="str">
        <f t="shared" si="2"/>
        <v/>
      </c>
      <c r="V2776" t="str">
        <f>IF(OR(U2776="",U2776="ERRO_CHAVE"),"",IFERROR(MATCH(U2776,Fornecedores!$AF$1:$AF$6631,0),""))</f>
        <v/>
      </c>
      <c r="W2776" t="str">
        <f t="shared" si="3"/>
        <v/>
      </c>
      <c r="X2776" s="4" t="str">
        <f>IF(V2776="","",INDEX(Fornecedores!$X$1:$X$6631,V2776))</f>
        <v/>
      </c>
      <c r="Y2776" s="4" t="str">
        <f t="shared" si="4"/>
        <v/>
      </c>
    </row>
    <row r="2777" spans="19:25">
      <c r="S2777" t="str">
        <f t="shared" si="0"/>
        <v/>
      </c>
      <c r="T2777" t="str">
        <f t="shared" si="1"/>
        <v/>
      </c>
      <c r="U2777" t="str">
        <f t="shared" si="2"/>
        <v/>
      </c>
      <c r="V2777" t="str">
        <f>IF(OR(U2777="",U2777="ERRO_CHAVE"),"",IFERROR(MATCH(U2777,Fornecedores!$AF$1:$AF$6631,0),""))</f>
        <v/>
      </c>
      <c r="W2777" t="str">
        <f t="shared" si="3"/>
        <v/>
      </c>
      <c r="X2777" s="4" t="str">
        <f>IF(V2777="","",INDEX(Fornecedores!$X$1:$X$6631,V2777))</f>
        <v/>
      </c>
      <c r="Y2777" s="4" t="str">
        <f t="shared" si="4"/>
        <v/>
      </c>
    </row>
    <row r="2778" spans="19:25">
      <c r="S2778" t="str">
        <f t="shared" si="0"/>
        <v/>
      </c>
      <c r="T2778" t="str">
        <f t="shared" si="1"/>
        <v/>
      </c>
      <c r="U2778" t="str">
        <f t="shared" si="2"/>
        <v/>
      </c>
      <c r="V2778" t="str">
        <f>IF(OR(U2778="",U2778="ERRO_CHAVE"),"",IFERROR(MATCH(U2778,Fornecedores!$AF$1:$AF$6631,0),""))</f>
        <v/>
      </c>
      <c r="W2778" t="str">
        <f t="shared" si="3"/>
        <v/>
      </c>
      <c r="X2778" s="4" t="str">
        <f>IF(V2778="","",INDEX(Fornecedores!$X$1:$X$6631,V2778))</f>
        <v/>
      </c>
      <c r="Y2778" s="4" t="str">
        <f t="shared" si="4"/>
        <v/>
      </c>
    </row>
    <row r="2779" spans="19:25">
      <c r="S2779" t="str">
        <f t="shared" si="0"/>
        <v/>
      </c>
      <c r="T2779" t="str">
        <f t="shared" si="1"/>
        <v/>
      </c>
      <c r="U2779" t="str">
        <f t="shared" si="2"/>
        <v/>
      </c>
      <c r="V2779" t="str">
        <f>IF(OR(U2779="",U2779="ERRO_CHAVE"),"",IFERROR(MATCH(U2779,Fornecedores!$AF$1:$AF$6631,0),""))</f>
        <v/>
      </c>
      <c r="W2779" t="str">
        <f t="shared" si="3"/>
        <v/>
      </c>
      <c r="X2779" s="4" t="str">
        <f>IF(V2779="","",INDEX(Fornecedores!$X$1:$X$6631,V2779))</f>
        <v/>
      </c>
      <c r="Y2779" s="4" t="str">
        <f t="shared" si="4"/>
        <v/>
      </c>
    </row>
    <row r="2780" spans="19:25">
      <c r="S2780" t="str">
        <f t="shared" si="0"/>
        <v/>
      </c>
      <c r="T2780" t="str">
        <f t="shared" si="1"/>
        <v/>
      </c>
      <c r="U2780" t="str">
        <f t="shared" si="2"/>
        <v/>
      </c>
      <c r="V2780" t="str">
        <f>IF(OR(U2780="",U2780="ERRO_CHAVE"),"",IFERROR(MATCH(U2780,Fornecedores!$AF$1:$AF$6631,0),""))</f>
        <v/>
      </c>
      <c r="W2780" t="str">
        <f t="shared" si="3"/>
        <v/>
      </c>
      <c r="X2780" s="4" t="str">
        <f>IF(V2780="","",INDEX(Fornecedores!$X$1:$X$6631,V2780))</f>
        <v/>
      </c>
      <c r="Y2780" s="4" t="str">
        <f t="shared" si="4"/>
        <v/>
      </c>
    </row>
    <row r="2781" spans="19:25">
      <c r="S2781" t="str">
        <f t="shared" si="0"/>
        <v/>
      </c>
      <c r="T2781" t="str">
        <f t="shared" si="1"/>
        <v/>
      </c>
      <c r="U2781" t="str">
        <f t="shared" si="2"/>
        <v/>
      </c>
      <c r="V2781" t="str">
        <f>IF(OR(U2781="",U2781="ERRO_CHAVE"),"",IFERROR(MATCH(U2781,Fornecedores!$AF$1:$AF$6631,0),""))</f>
        <v/>
      </c>
      <c r="W2781" t="str">
        <f t="shared" si="3"/>
        <v/>
      </c>
      <c r="X2781" s="4" t="str">
        <f>IF(V2781="","",INDEX(Fornecedores!$X$1:$X$6631,V2781))</f>
        <v/>
      </c>
      <c r="Y2781" s="4" t="str">
        <f t="shared" si="4"/>
        <v/>
      </c>
    </row>
    <row r="2782" spans="19:25">
      <c r="S2782" t="str">
        <f t="shared" si="0"/>
        <v/>
      </c>
      <c r="T2782" t="str">
        <f t="shared" si="1"/>
        <v/>
      </c>
      <c r="U2782" t="str">
        <f t="shared" si="2"/>
        <v/>
      </c>
      <c r="V2782" t="str">
        <f>IF(OR(U2782="",U2782="ERRO_CHAVE"),"",IFERROR(MATCH(U2782,Fornecedores!$AF$1:$AF$6631,0),""))</f>
        <v/>
      </c>
      <c r="W2782" t="str">
        <f t="shared" si="3"/>
        <v/>
      </c>
      <c r="X2782" s="4" t="str">
        <f>IF(V2782="","",INDEX(Fornecedores!$X$1:$X$6631,V2782))</f>
        <v/>
      </c>
      <c r="Y2782" s="4" t="str">
        <f t="shared" si="4"/>
        <v/>
      </c>
    </row>
    <row r="2783" spans="19:25">
      <c r="S2783" t="str">
        <f t="shared" si="0"/>
        <v/>
      </c>
      <c r="T2783" t="str">
        <f t="shared" si="1"/>
        <v/>
      </c>
      <c r="U2783" t="str">
        <f t="shared" si="2"/>
        <v/>
      </c>
      <c r="V2783" t="str">
        <f>IF(OR(U2783="",U2783="ERRO_CHAVE"),"",IFERROR(MATCH(U2783,Fornecedores!$AF$1:$AF$6631,0),""))</f>
        <v/>
      </c>
      <c r="W2783" t="str">
        <f t="shared" si="3"/>
        <v/>
      </c>
      <c r="X2783" s="4" t="str">
        <f>IF(V2783="","",INDEX(Fornecedores!$X$1:$X$6631,V2783))</f>
        <v/>
      </c>
      <c r="Y2783" s="4" t="str">
        <f t="shared" si="4"/>
        <v/>
      </c>
    </row>
    <row r="2784" spans="19:25">
      <c r="S2784" t="str">
        <f t="shared" si="0"/>
        <v/>
      </c>
      <c r="T2784" t="str">
        <f t="shared" si="1"/>
        <v/>
      </c>
      <c r="U2784" t="str">
        <f t="shared" si="2"/>
        <v/>
      </c>
      <c r="V2784" t="str">
        <f>IF(OR(U2784="",U2784="ERRO_CHAVE"),"",IFERROR(MATCH(U2784,Fornecedores!$AF$1:$AF$6631,0),""))</f>
        <v/>
      </c>
      <c r="W2784" t="str">
        <f t="shared" si="3"/>
        <v/>
      </c>
      <c r="X2784" s="4" t="str">
        <f>IF(V2784="","",INDEX(Fornecedores!$X$1:$X$6631,V2784))</f>
        <v/>
      </c>
      <c r="Y2784" s="4" t="str">
        <f t="shared" si="4"/>
        <v/>
      </c>
    </row>
    <row r="2785" spans="19:25">
      <c r="S2785" t="str">
        <f t="shared" si="0"/>
        <v/>
      </c>
      <c r="T2785" t="str">
        <f t="shared" si="1"/>
        <v/>
      </c>
      <c r="U2785" t="str">
        <f t="shared" si="2"/>
        <v/>
      </c>
      <c r="V2785" t="str">
        <f>IF(OR(U2785="",U2785="ERRO_CHAVE"),"",IFERROR(MATCH(U2785,Fornecedores!$AF$1:$AF$6631,0),""))</f>
        <v/>
      </c>
      <c r="W2785" t="str">
        <f t="shared" si="3"/>
        <v/>
      </c>
      <c r="X2785" s="4" t="str">
        <f>IF(V2785="","",INDEX(Fornecedores!$X$1:$X$6631,V2785))</f>
        <v/>
      </c>
      <c r="Y2785" s="4" t="str">
        <f t="shared" si="4"/>
        <v/>
      </c>
    </row>
    <row r="2786" spans="19:25">
      <c r="S2786" t="str">
        <f t="shared" si="0"/>
        <v/>
      </c>
      <c r="T2786" t="str">
        <f t="shared" si="1"/>
        <v/>
      </c>
      <c r="U2786" t="str">
        <f t="shared" si="2"/>
        <v/>
      </c>
      <c r="V2786" t="str">
        <f>IF(OR(U2786="",U2786="ERRO_CHAVE"),"",IFERROR(MATCH(U2786,Fornecedores!$AF$1:$AF$6631,0),""))</f>
        <v/>
      </c>
      <c r="W2786" t="str">
        <f t="shared" si="3"/>
        <v/>
      </c>
      <c r="X2786" s="4" t="str">
        <f>IF(V2786="","",INDEX(Fornecedores!$X$1:$X$6631,V2786))</f>
        <v/>
      </c>
      <c r="Y2786" s="4" t="str">
        <f t="shared" si="4"/>
        <v/>
      </c>
    </row>
    <row r="2787" spans="19:25">
      <c r="S2787" t="str">
        <f t="shared" si="0"/>
        <v/>
      </c>
      <c r="T2787" t="str">
        <f t="shared" si="1"/>
        <v/>
      </c>
      <c r="U2787" t="str">
        <f t="shared" si="2"/>
        <v/>
      </c>
      <c r="V2787" t="str">
        <f>IF(OR(U2787="",U2787="ERRO_CHAVE"),"",IFERROR(MATCH(U2787,Fornecedores!$AF$1:$AF$6631,0),""))</f>
        <v/>
      </c>
      <c r="W2787" t="str">
        <f t="shared" si="3"/>
        <v/>
      </c>
      <c r="X2787" s="4" t="str">
        <f>IF(V2787="","",INDEX(Fornecedores!$X$1:$X$6631,V2787))</f>
        <v/>
      </c>
      <c r="Y2787" s="4" t="str">
        <f t="shared" si="4"/>
        <v/>
      </c>
    </row>
    <row r="2788" spans="19:25">
      <c r="S2788" t="str">
        <f t="shared" si="0"/>
        <v/>
      </c>
      <c r="T2788" t="str">
        <f t="shared" si="1"/>
        <v/>
      </c>
      <c r="U2788" t="str">
        <f t="shared" si="2"/>
        <v/>
      </c>
      <c r="V2788" t="str">
        <f>IF(OR(U2788="",U2788="ERRO_CHAVE"),"",IFERROR(MATCH(U2788,Fornecedores!$AF$1:$AF$6631,0),""))</f>
        <v/>
      </c>
      <c r="W2788" t="str">
        <f t="shared" si="3"/>
        <v/>
      </c>
      <c r="X2788" s="4" t="str">
        <f>IF(V2788="","",INDEX(Fornecedores!$X$1:$X$6631,V2788))</f>
        <v/>
      </c>
      <c r="Y2788" s="4" t="str">
        <f t="shared" si="4"/>
        <v/>
      </c>
    </row>
    <row r="2789" spans="19:25">
      <c r="S2789" t="str">
        <f t="shared" si="0"/>
        <v/>
      </c>
      <c r="T2789" t="str">
        <f t="shared" si="1"/>
        <v/>
      </c>
      <c r="U2789" t="str">
        <f t="shared" si="2"/>
        <v/>
      </c>
      <c r="V2789" t="str">
        <f>IF(OR(U2789="",U2789="ERRO_CHAVE"),"",IFERROR(MATCH(U2789,Fornecedores!$AF$1:$AF$6631,0),""))</f>
        <v/>
      </c>
      <c r="W2789" t="str">
        <f t="shared" si="3"/>
        <v/>
      </c>
      <c r="X2789" s="4" t="str">
        <f>IF(V2789="","",INDEX(Fornecedores!$X$1:$X$6631,V2789))</f>
        <v/>
      </c>
      <c r="Y2789" s="4" t="str">
        <f t="shared" si="4"/>
        <v/>
      </c>
    </row>
    <row r="2790" spans="19:25">
      <c r="S2790" t="str">
        <f t="shared" si="0"/>
        <v/>
      </c>
      <c r="T2790" t="str">
        <f t="shared" si="1"/>
        <v/>
      </c>
      <c r="U2790" t="str">
        <f t="shared" si="2"/>
        <v/>
      </c>
      <c r="V2790" t="str">
        <f>IF(OR(U2790="",U2790="ERRO_CHAVE"),"",IFERROR(MATCH(U2790,Fornecedores!$AF$1:$AF$6631,0),""))</f>
        <v/>
      </c>
      <c r="W2790" t="str">
        <f t="shared" si="3"/>
        <v/>
      </c>
      <c r="X2790" s="4" t="str">
        <f>IF(V2790="","",INDEX(Fornecedores!$X$1:$X$6631,V2790))</f>
        <v/>
      </c>
      <c r="Y2790" s="4" t="str">
        <f t="shared" si="4"/>
        <v/>
      </c>
    </row>
    <row r="2791" spans="19:25">
      <c r="S2791" t="str">
        <f t="shared" si="0"/>
        <v/>
      </c>
      <c r="T2791" t="str">
        <f t="shared" si="1"/>
        <v/>
      </c>
      <c r="U2791" t="str">
        <f t="shared" si="2"/>
        <v/>
      </c>
      <c r="V2791" t="str">
        <f>IF(OR(U2791="",U2791="ERRO_CHAVE"),"",IFERROR(MATCH(U2791,Fornecedores!$AF$1:$AF$6631,0),""))</f>
        <v/>
      </c>
      <c r="W2791" t="str">
        <f t="shared" si="3"/>
        <v/>
      </c>
      <c r="X2791" s="4" t="str">
        <f>IF(V2791="","",INDEX(Fornecedores!$X$1:$X$6631,V2791))</f>
        <v/>
      </c>
      <c r="Y2791" s="4" t="str">
        <f t="shared" si="4"/>
        <v/>
      </c>
    </row>
    <row r="2792" spans="19:25">
      <c r="S2792" t="str">
        <f t="shared" si="0"/>
        <v/>
      </c>
      <c r="T2792" t="str">
        <f t="shared" si="1"/>
        <v/>
      </c>
      <c r="U2792" t="str">
        <f t="shared" si="2"/>
        <v/>
      </c>
      <c r="V2792" t="str">
        <f>IF(OR(U2792="",U2792="ERRO_CHAVE"),"",IFERROR(MATCH(U2792,Fornecedores!$AF$1:$AF$6631,0),""))</f>
        <v/>
      </c>
      <c r="W2792" t="str">
        <f t="shared" si="3"/>
        <v/>
      </c>
      <c r="X2792" s="4" t="str">
        <f>IF(V2792="","",INDEX(Fornecedores!$X$1:$X$6631,V2792))</f>
        <v/>
      </c>
      <c r="Y2792" s="4" t="str">
        <f t="shared" si="4"/>
        <v/>
      </c>
    </row>
    <row r="2793" spans="19:25">
      <c r="S2793" t="str">
        <f t="shared" si="0"/>
        <v/>
      </c>
      <c r="T2793" t="str">
        <f t="shared" si="1"/>
        <v/>
      </c>
      <c r="U2793" t="str">
        <f t="shared" si="2"/>
        <v/>
      </c>
      <c r="V2793" t="str">
        <f>IF(OR(U2793="",U2793="ERRO_CHAVE"),"",IFERROR(MATCH(U2793,Fornecedores!$AF$1:$AF$6631,0),""))</f>
        <v/>
      </c>
      <c r="W2793" t="str">
        <f t="shared" si="3"/>
        <v/>
      </c>
      <c r="X2793" s="4" t="str">
        <f>IF(V2793="","",INDEX(Fornecedores!$X$1:$X$6631,V2793))</f>
        <v/>
      </c>
      <c r="Y2793" s="4" t="str">
        <f t="shared" si="4"/>
        <v/>
      </c>
    </row>
    <row r="2794" spans="19:25">
      <c r="S2794" t="str">
        <f t="shared" si="0"/>
        <v/>
      </c>
      <c r="T2794" t="str">
        <f t="shared" si="1"/>
        <v/>
      </c>
      <c r="U2794" t="str">
        <f t="shared" si="2"/>
        <v/>
      </c>
      <c r="V2794" t="str">
        <f>IF(OR(U2794="",U2794="ERRO_CHAVE"),"",IFERROR(MATCH(U2794,Fornecedores!$AF$1:$AF$6631,0),""))</f>
        <v/>
      </c>
      <c r="W2794" t="str">
        <f t="shared" si="3"/>
        <v/>
      </c>
      <c r="X2794" s="4" t="str">
        <f>IF(V2794="","",INDEX(Fornecedores!$X$1:$X$6631,V2794))</f>
        <v/>
      </c>
      <c r="Y2794" s="4" t="str">
        <f t="shared" si="4"/>
        <v/>
      </c>
    </row>
    <row r="2795" spans="19:25">
      <c r="S2795" t="str">
        <f t="shared" si="0"/>
        <v/>
      </c>
      <c r="T2795" t="str">
        <f t="shared" si="1"/>
        <v/>
      </c>
      <c r="U2795" t="str">
        <f t="shared" si="2"/>
        <v/>
      </c>
      <c r="V2795" t="str">
        <f>IF(OR(U2795="",U2795="ERRO_CHAVE"),"",IFERROR(MATCH(U2795,Fornecedores!$AF$1:$AF$6631,0),""))</f>
        <v/>
      </c>
      <c r="W2795" t="str">
        <f t="shared" si="3"/>
        <v/>
      </c>
      <c r="X2795" s="4" t="str">
        <f>IF(V2795="","",INDEX(Fornecedores!$X$1:$X$6631,V2795))</f>
        <v/>
      </c>
      <c r="Y2795" s="4" t="str">
        <f t="shared" si="4"/>
        <v/>
      </c>
    </row>
    <row r="2796" spans="19:25">
      <c r="S2796" t="str">
        <f t="shared" si="0"/>
        <v/>
      </c>
      <c r="T2796" t="str">
        <f t="shared" si="1"/>
        <v/>
      </c>
      <c r="U2796" t="str">
        <f t="shared" si="2"/>
        <v/>
      </c>
      <c r="V2796" t="str">
        <f>IF(OR(U2796="",U2796="ERRO_CHAVE"),"",IFERROR(MATCH(U2796,Fornecedores!$AF$1:$AF$6631,0),""))</f>
        <v/>
      </c>
      <c r="W2796" t="str">
        <f t="shared" si="3"/>
        <v/>
      </c>
      <c r="X2796" s="4" t="str">
        <f>IF(V2796="","",INDEX(Fornecedores!$X$1:$X$6631,V2796))</f>
        <v/>
      </c>
      <c r="Y2796" s="4" t="str">
        <f t="shared" si="4"/>
        <v/>
      </c>
    </row>
    <row r="2797" spans="19:25">
      <c r="S2797" t="str">
        <f t="shared" si="0"/>
        <v/>
      </c>
      <c r="T2797" t="str">
        <f t="shared" si="1"/>
        <v/>
      </c>
      <c r="U2797" t="str">
        <f t="shared" si="2"/>
        <v/>
      </c>
      <c r="V2797" t="str">
        <f>IF(OR(U2797="",U2797="ERRO_CHAVE"),"",IFERROR(MATCH(U2797,Fornecedores!$AF$1:$AF$6631,0),""))</f>
        <v/>
      </c>
      <c r="W2797" t="str">
        <f t="shared" si="3"/>
        <v/>
      </c>
      <c r="X2797" s="4" t="str">
        <f>IF(V2797="","",INDEX(Fornecedores!$X$1:$X$6631,V2797))</f>
        <v/>
      </c>
      <c r="Y2797" s="4" t="str">
        <f t="shared" si="4"/>
        <v/>
      </c>
    </row>
    <row r="2798" spans="19:25">
      <c r="S2798" t="str">
        <f t="shared" si="0"/>
        <v/>
      </c>
      <c r="T2798" t="str">
        <f t="shared" si="1"/>
        <v/>
      </c>
      <c r="U2798" t="str">
        <f t="shared" si="2"/>
        <v/>
      </c>
      <c r="V2798" t="str">
        <f>IF(OR(U2798="",U2798="ERRO_CHAVE"),"",IFERROR(MATCH(U2798,Fornecedores!$AF$1:$AF$6631,0),""))</f>
        <v/>
      </c>
      <c r="W2798" t="str">
        <f t="shared" si="3"/>
        <v/>
      </c>
      <c r="X2798" s="4" t="str">
        <f>IF(V2798="","",INDEX(Fornecedores!$X$1:$X$6631,V2798))</f>
        <v/>
      </c>
      <c r="Y2798" s="4" t="str">
        <f t="shared" si="4"/>
        <v/>
      </c>
    </row>
    <row r="2799" spans="19:25">
      <c r="S2799" t="str">
        <f t="shared" si="0"/>
        <v/>
      </c>
      <c r="T2799" t="str">
        <f t="shared" si="1"/>
        <v/>
      </c>
      <c r="U2799" t="str">
        <f t="shared" si="2"/>
        <v/>
      </c>
      <c r="V2799" t="str">
        <f>IF(OR(U2799="",U2799="ERRO_CHAVE"),"",IFERROR(MATCH(U2799,Fornecedores!$AF$1:$AF$6631,0),""))</f>
        <v/>
      </c>
      <c r="W2799" t="str">
        <f t="shared" si="3"/>
        <v/>
      </c>
      <c r="X2799" s="4" t="str">
        <f>IF(V2799="","",INDEX(Fornecedores!$X$1:$X$6631,V2799))</f>
        <v/>
      </c>
      <c r="Y2799" s="4" t="str">
        <f t="shared" si="4"/>
        <v/>
      </c>
    </row>
    <row r="2800" spans="19:25">
      <c r="S2800" t="str">
        <f t="shared" si="0"/>
        <v/>
      </c>
      <c r="T2800" t="str">
        <f t="shared" si="1"/>
        <v/>
      </c>
      <c r="U2800" t="str">
        <f t="shared" si="2"/>
        <v/>
      </c>
      <c r="V2800" t="str">
        <f>IF(OR(U2800="",U2800="ERRO_CHAVE"),"",IFERROR(MATCH(U2800,Fornecedores!$AF$1:$AF$6631,0),""))</f>
        <v/>
      </c>
      <c r="W2800" t="str">
        <f t="shared" si="3"/>
        <v/>
      </c>
      <c r="X2800" s="4" t="str">
        <f>IF(V2800="","",INDEX(Fornecedores!$X$1:$X$6631,V2800))</f>
        <v/>
      </c>
      <c r="Y2800" s="4" t="str">
        <f t="shared" si="4"/>
        <v/>
      </c>
    </row>
    <row r="2801" spans="19:25">
      <c r="S2801" t="str">
        <f t="shared" si="0"/>
        <v/>
      </c>
      <c r="T2801" t="str">
        <f t="shared" si="1"/>
        <v/>
      </c>
      <c r="U2801" t="str">
        <f t="shared" si="2"/>
        <v/>
      </c>
      <c r="V2801" t="str">
        <f>IF(OR(U2801="",U2801="ERRO_CHAVE"),"",IFERROR(MATCH(U2801,Fornecedores!$AF$1:$AF$6631,0),""))</f>
        <v/>
      </c>
      <c r="W2801" t="str">
        <f t="shared" si="3"/>
        <v/>
      </c>
      <c r="X2801" s="4" t="str">
        <f>IF(V2801="","",INDEX(Fornecedores!$X$1:$X$6631,V2801))</f>
        <v/>
      </c>
      <c r="Y2801" s="4" t="str">
        <f t="shared" si="4"/>
        <v/>
      </c>
    </row>
    <row r="2802" spans="19:25">
      <c r="S2802" t="str">
        <f t="shared" si="0"/>
        <v/>
      </c>
      <c r="T2802" t="str">
        <f t="shared" si="1"/>
        <v/>
      </c>
      <c r="U2802" t="str">
        <f t="shared" si="2"/>
        <v/>
      </c>
      <c r="V2802" t="str">
        <f>IF(OR(U2802="",U2802="ERRO_CHAVE"),"",IFERROR(MATCH(U2802,Fornecedores!$AF$1:$AF$6631,0),""))</f>
        <v/>
      </c>
      <c r="W2802" t="str">
        <f t="shared" si="3"/>
        <v/>
      </c>
      <c r="X2802" s="4" t="str">
        <f>IF(V2802="","",INDEX(Fornecedores!$X$1:$X$6631,V2802))</f>
        <v/>
      </c>
      <c r="Y2802" s="4" t="str">
        <f t="shared" si="4"/>
        <v/>
      </c>
    </row>
    <row r="2803" spans="19:25">
      <c r="S2803" t="str">
        <f t="shared" si="0"/>
        <v/>
      </c>
      <c r="T2803" t="str">
        <f t="shared" si="1"/>
        <v/>
      </c>
      <c r="U2803" t="str">
        <f t="shared" si="2"/>
        <v/>
      </c>
      <c r="V2803" t="str">
        <f>IF(OR(U2803="",U2803="ERRO_CHAVE"),"",IFERROR(MATCH(U2803,Fornecedores!$AF$1:$AF$6631,0),""))</f>
        <v/>
      </c>
      <c r="W2803" t="str">
        <f t="shared" si="3"/>
        <v/>
      </c>
      <c r="X2803" s="4" t="str">
        <f>IF(V2803="","",INDEX(Fornecedores!$X$1:$X$6631,V2803))</f>
        <v/>
      </c>
      <c r="Y2803" s="4" t="str">
        <f t="shared" si="4"/>
        <v/>
      </c>
    </row>
    <row r="2804" spans="19:25">
      <c r="S2804" t="str">
        <f t="shared" si="0"/>
        <v/>
      </c>
      <c r="T2804" t="str">
        <f t="shared" si="1"/>
        <v/>
      </c>
      <c r="U2804" t="str">
        <f t="shared" si="2"/>
        <v/>
      </c>
      <c r="V2804" t="str">
        <f>IF(OR(U2804="",U2804="ERRO_CHAVE"),"",IFERROR(MATCH(U2804,Fornecedores!$AF$1:$AF$6631,0),""))</f>
        <v/>
      </c>
      <c r="W2804" t="str">
        <f t="shared" si="3"/>
        <v/>
      </c>
      <c r="X2804" s="4" t="str">
        <f>IF(V2804="","",INDEX(Fornecedores!$X$1:$X$6631,V2804))</f>
        <v/>
      </c>
      <c r="Y2804" s="4" t="str">
        <f t="shared" si="4"/>
        <v/>
      </c>
    </row>
    <row r="2805" spans="19:25">
      <c r="S2805" t="str">
        <f t="shared" si="0"/>
        <v/>
      </c>
      <c r="T2805" t="str">
        <f t="shared" si="1"/>
        <v/>
      </c>
      <c r="U2805" t="str">
        <f t="shared" si="2"/>
        <v/>
      </c>
      <c r="V2805" t="str">
        <f>IF(OR(U2805="",U2805="ERRO_CHAVE"),"",IFERROR(MATCH(U2805,Fornecedores!$AF$1:$AF$6631,0),""))</f>
        <v/>
      </c>
      <c r="W2805" t="str">
        <f t="shared" si="3"/>
        <v/>
      </c>
      <c r="X2805" s="4" t="str">
        <f>IF(V2805="","",INDEX(Fornecedores!$X$1:$X$6631,V2805))</f>
        <v/>
      </c>
      <c r="Y2805" s="4" t="str">
        <f t="shared" si="4"/>
        <v/>
      </c>
    </row>
    <row r="2806" spans="19:25">
      <c r="S2806" t="str">
        <f t="shared" si="0"/>
        <v/>
      </c>
      <c r="T2806" t="str">
        <f t="shared" si="1"/>
        <v/>
      </c>
      <c r="U2806" t="str">
        <f t="shared" si="2"/>
        <v/>
      </c>
      <c r="V2806" t="str">
        <f>IF(OR(U2806="",U2806="ERRO_CHAVE"),"",IFERROR(MATCH(U2806,Fornecedores!$AF$1:$AF$6631,0),""))</f>
        <v/>
      </c>
      <c r="W2806" t="str">
        <f t="shared" si="3"/>
        <v/>
      </c>
      <c r="X2806" s="4" t="str">
        <f>IF(V2806="","",INDEX(Fornecedores!$X$1:$X$6631,V2806))</f>
        <v/>
      </c>
      <c r="Y2806" s="4" t="str">
        <f t="shared" si="4"/>
        <v/>
      </c>
    </row>
    <row r="2807" spans="19:25">
      <c r="S2807" t="str">
        <f t="shared" si="0"/>
        <v/>
      </c>
      <c r="T2807" t="str">
        <f t="shared" si="1"/>
        <v/>
      </c>
      <c r="U2807" t="str">
        <f t="shared" si="2"/>
        <v/>
      </c>
      <c r="V2807" t="str">
        <f>IF(OR(U2807="",U2807="ERRO_CHAVE"),"",IFERROR(MATCH(U2807,Fornecedores!$AF$1:$AF$6631,0),""))</f>
        <v/>
      </c>
      <c r="W2807" t="str">
        <f t="shared" si="3"/>
        <v/>
      </c>
      <c r="X2807" s="4" t="str">
        <f>IF(V2807="","",INDEX(Fornecedores!$X$1:$X$6631,V2807))</f>
        <v/>
      </c>
      <c r="Y2807" s="4" t="str">
        <f t="shared" si="4"/>
        <v/>
      </c>
    </row>
    <row r="2808" spans="19:25">
      <c r="S2808" t="str">
        <f t="shared" si="0"/>
        <v/>
      </c>
      <c r="T2808" t="str">
        <f t="shared" si="1"/>
        <v/>
      </c>
      <c r="U2808" t="str">
        <f t="shared" si="2"/>
        <v/>
      </c>
      <c r="V2808" t="str">
        <f>IF(OR(U2808="",U2808="ERRO_CHAVE"),"",IFERROR(MATCH(U2808,Fornecedores!$AF$1:$AF$6631,0),""))</f>
        <v/>
      </c>
      <c r="W2808" t="str">
        <f t="shared" si="3"/>
        <v/>
      </c>
      <c r="X2808" s="4" t="str">
        <f>IF(V2808="","",INDEX(Fornecedores!$X$1:$X$6631,V2808))</f>
        <v/>
      </c>
      <c r="Y2808" s="4" t="str">
        <f t="shared" si="4"/>
        <v/>
      </c>
    </row>
    <row r="2809" spans="19:25">
      <c r="S2809" t="str">
        <f t="shared" si="0"/>
        <v/>
      </c>
      <c r="T2809" t="str">
        <f t="shared" si="1"/>
        <v/>
      </c>
      <c r="U2809" t="str">
        <f t="shared" si="2"/>
        <v/>
      </c>
      <c r="V2809" t="str">
        <f>IF(OR(U2809="",U2809="ERRO_CHAVE"),"",IFERROR(MATCH(U2809,Fornecedores!$AF$1:$AF$6631,0),""))</f>
        <v/>
      </c>
      <c r="W2809" t="str">
        <f t="shared" si="3"/>
        <v/>
      </c>
      <c r="X2809" s="4" t="str">
        <f>IF(V2809="","",INDEX(Fornecedores!$X$1:$X$6631,V2809))</f>
        <v/>
      </c>
      <c r="Y2809" s="4" t="str">
        <f t="shared" si="4"/>
        <v/>
      </c>
    </row>
    <row r="2810" spans="19:25">
      <c r="S2810" t="str">
        <f t="shared" si="0"/>
        <v/>
      </c>
      <c r="T2810" t="str">
        <f t="shared" si="1"/>
        <v/>
      </c>
      <c r="U2810" t="str">
        <f t="shared" si="2"/>
        <v/>
      </c>
      <c r="V2810" t="str">
        <f>IF(OR(U2810="",U2810="ERRO_CHAVE"),"",IFERROR(MATCH(U2810,Fornecedores!$AF$1:$AF$6631,0),""))</f>
        <v/>
      </c>
      <c r="W2810" t="str">
        <f t="shared" si="3"/>
        <v/>
      </c>
      <c r="X2810" s="4" t="str">
        <f>IF(V2810="","",INDEX(Fornecedores!$X$1:$X$6631,V2810))</f>
        <v/>
      </c>
      <c r="Y2810" s="4" t="str">
        <f t="shared" si="4"/>
        <v/>
      </c>
    </row>
    <row r="2811" spans="19:25">
      <c r="S2811" t="str">
        <f t="shared" si="0"/>
        <v/>
      </c>
      <c r="T2811" t="str">
        <f t="shared" si="1"/>
        <v/>
      </c>
      <c r="U2811" t="str">
        <f t="shared" si="2"/>
        <v/>
      </c>
      <c r="V2811" t="str">
        <f>IF(OR(U2811="",U2811="ERRO_CHAVE"),"",IFERROR(MATCH(U2811,Fornecedores!$AF$1:$AF$6631,0),""))</f>
        <v/>
      </c>
      <c r="W2811" t="str">
        <f t="shared" si="3"/>
        <v/>
      </c>
      <c r="X2811" s="4" t="str">
        <f>IF(V2811="","",INDEX(Fornecedores!$X$1:$X$6631,V2811))</f>
        <v/>
      </c>
      <c r="Y2811" s="4" t="str">
        <f t="shared" si="4"/>
        <v/>
      </c>
    </row>
    <row r="2812" spans="19:25">
      <c r="S2812" t="str">
        <f t="shared" si="0"/>
        <v/>
      </c>
      <c r="T2812" t="str">
        <f t="shared" si="1"/>
        <v/>
      </c>
      <c r="U2812" t="str">
        <f t="shared" si="2"/>
        <v/>
      </c>
      <c r="V2812" t="str">
        <f>IF(OR(U2812="",U2812="ERRO_CHAVE"),"",IFERROR(MATCH(U2812,Fornecedores!$AF$1:$AF$6631,0),""))</f>
        <v/>
      </c>
      <c r="W2812" t="str">
        <f t="shared" si="3"/>
        <v/>
      </c>
      <c r="X2812" s="4" t="str">
        <f>IF(V2812="","",INDEX(Fornecedores!$X$1:$X$6631,V2812))</f>
        <v/>
      </c>
      <c r="Y2812" s="4" t="str">
        <f t="shared" si="4"/>
        <v/>
      </c>
    </row>
    <row r="2813" spans="19:25">
      <c r="S2813" t="str">
        <f t="shared" si="0"/>
        <v/>
      </c>
      <c r="T2813" t="str">
        <f t="shared" si="1"/>
        <v/>
      </c>
      <c r="U2813" t="str">
        <f t="shared" si="2"/>
        <v/>
      </c>
      <c r="V2813" t="str">
        <f>IF(OR(U2813="",U2813="ERRO_CHAVE"),"",IFERROR(MATCH(U2813,Fornecedores!$AF$1:$AF$6631,0),""))</f>
        <v/>
      </c>
      <c r="W2813" t="str">
        <f t="shared" si="3"/>
        <v/>
      </c>
      <c r="X2813" s="4" t="str">
        <f>IF(V2813="","",INDEX(Fornecedores!$X$1:$X$6631,V2813))</f>
        <v/>
      </c>
      <c r="Y2813" s="4" t="str">
        <f t="shared" si="4"/>
        <v/>
      </c>
    </row>
    <row r="2814" spans="19:25">
      <c r="S2814" t="str">
        <f t="shared" si="0"/>
        <v/>
      </c>
      <c r="T2814" t="str">
        <f t="shared" si="1"/>
        <v/>
      </c>
      <c r="U2814" t="str">
        <f t="shared" si="2"/>
        <v/>
      </c>
      <c r="V2814" t="str">
        <f>IF(OR(U2814="",U2814="ERRO_CHAVE"),"",IFERROR(MATCH(U2814,Fornecedores!$AF$1:$AF$6631,0),""))</f>
        <v/>
      </c>
      <c r="W2814" t="str">
        <f t="shared" si="3"/>
        <v/>
      </c>
      <c r="X2814" s="4" t="str">
        <f>IF(V2814="","",INDEX(Fornecedores!$X$1:$X$6631,V2814))</f>
        <v/>
      </c>
      <c r="Y2814" s="4" t="str">
        <f t="shared" si="4"/>
        <v/>
      </c>
    </row>
    <row r="2815" spans="19:25">
      <c r="S2815" t="str">
        <f t="shared" si="0"/>
        <v/>
      </c>
      <c r="T2815" t="str">
        <f t="shared" si="1"/>
        <v/>
      </c>
      <c r="U2815" t="str">
        <f t="shared" si="2"/>
        <v/>
      </c>
      <c r="V2815" t="str">
        <f>IF(OR(U2815="",U2815="ERRO_CHAVE"),"",IFERROR(MATCH(U2815,Fornecedores!$AF$1:$AF$6631,0),""))</f>
        <v/>
      </c>
      <c r="W2815" t="str">
        <f t="shared" si="3"/>
        <v/>
      </c>
      <c r="X2815" s="4" t="str">
        <f>IF(V2815="","",INDEX(Fornecedores!$X$1:$X$6631,V2815))</f>
        <v/>
      </c>
      <c r="Y2815" s="4" t="str">
        <f t="shared" si="4"/>
        <v/>
      </c>
    </row>
    <row r="2816" spans="19:25">
      <c r="S2816" t="str">
        <f t="shared" si="0"/>
        <v/>
      </c>
      <c r="T2816" t="str">
        <f t="shared" si="1"/>
        <v/>
      </c>
      <c r="U2816" t="str">
        <f t="shared" si="2"/>
        <v/>
      </c>
      <c r="V2816" t="str">
        <f>IF(OR(U2816="",U2816="ERRO_CHAVE"),"",IFERROR(MATCH(U2816,Fornecedores!$AF$1:$AF$6631,0),""))</f>
        <v/>
      </c>
      <c r="W2816" t="str">
        <f t="shared" si="3"/>
        <v/>
      </c>
      <c r="X2816" s="4" t="str">
        <f>IF(V2816="","",INDEX(Fornecedores!$X$1:$X$6631,V2816))</f>
        <v/>
      </c>
      <c r="Y2816" s="4" t="str">
        <f t="shared" si="4"/>
        <v/>
      </c>
    </row>
    <row r="2817" spans="19:25">
      <c r="S2817" t="str">
        <f t="shared" si="0"/>
        <v/>
      </c>
      <c r="T2817" t="str">
        <f t="shared" si="1"/>
        <v/>
      </c>
      <c r="U2817" t="str">
        <f t="shared" si="2"/>
        <v/>
      </c>
      <c r="V2817" t="str">
        <f>IF(OR(U2817="",U2817="ERRO_CHAVE"),"",IFERROR(MATCH(U2817,Fornecedores!$AF$1:$AF$6631,0),""))</f>
        <v/>
      </c>
      <c r="W2817" t="str">
        <f t="shared" si="3"/>
        <v/>
      </c>
      <c r="X2817" s="4" t="str">
        <f>IF(V2817="","",INDEX(Fornecedores!$X$1:$X$6631,V2817))</f>
        <v/>
      </c>
      <c r="Y2817" s="4" t="str">
        <f t="shared" si="4"/>
        <v/>
      </c>
    </row>
    <row r="2818" spans="19:25">
      <c r="S2818" t="str">
        <f t="shared" si="0"/>
        <v/>
      </c>
      <c r="T2818" t="str">
        <f t="shared" si="1"/>
        <v/>
      </c>
      <c r="U2818" t="str">
        <f t="shared" si="2"/>
        <v/>
      </c>
      <c r="V2818" t="str">
        <f>IF(OR(U2818="",U2818="ERRO_CHAVE"),"",IFERROR(MATCH(U2818,Fornecedores!$AF$1:$AF$6631,0),""))</f>
        <v/>
      </c>
      <c r="W2818" t="str">
        <f t="shared" si="3"/>
        <v/>
      </c>
      <c r="X2818" s="4" t="str">
        <f>IF(V2818="","",INDEX(Fornecedores!$X$1:$X$6631,V2818))</f>
        <v/>
      </c>
      <c r="Y2818" s="4" t="str">
        <f t="shared" si="4"/>
        <v/>
      </c>
    </row>
    <row r="2819" spans="19:25">
      <c r="S2819" t="str">
        <f t="shared" si="0"/>
        <v/>
      </c>
      <c r="T2819" t="str">
        <f t="shared" si="1"/>
        <v/>
      </c>
      <c r="U2819" t="str">
        <f t="shared" si="2"/>
        <v/>
      </c>
      <c r="V2819" t="str">
        <f>IF(OR(U2819="",U2819="ERRO_CHAVE"),"",IFERROR(MATCH(U2819,Fornecedores!$AF$1:$AF$6631,0),""))</f>
        <v/>
      </c>
      <c r="W2819" t="str">
        <f t="shared" si="3"/>
        <v/>
      </c>
      <c r="X2819" s="4" t="str">
        <f>IF(V2819="","",INDEX(Fornecedores!$X$1:$X$6631,V2819))</f>
        <v/>
      </c>
      <c r="Y2819" s="4" t="str">
        <f t="shared" si="4"/>
        <v/>
      </c>
    </row>
    <row r="2820" spans="19:25">
      <c r="S2820" t="str">
        <f t="shared" si="0"/>
        <v/>
      </c>
      <c r="T2820" t="str">
        <f t="shared" si="1"/>
        <v/>
      </c>
      <c r="U2820" t="str">
        <f t="shared" si="2"/>
        <v/>
      </c>
      <c r="V2820" t="str">
        <f>IF(OR(U2820="",U2820="ERRO_CHAVE"),"",IFERROR(MATCH(U2820,Fornecedores!$AF$1:$AF$6631,0),""))</f>
        <v/>
      </c>
      <c r="W2820" t="str">
        <f t="shared" si="3"/>
        <v/>
      </c>
      <c r="X2820" s="4" t="str">
        <f>IF(V2820="","",INDEX(Fornecedores!$X$1:$X$6631,V2820))</f>
        <v/>
      </c>
      <c r="Y2820" s="4" t="str">
        <f t="shared" si="4"/>
        <v/>
      </c>
    </row>
    <row r="2821" spans="19:25">
      <c r="S2821" t="str">
        <f t="shared" si="0"/>
        <v/>
      </c>
      <c r="T2821" t="str">
        <f t="shared" si="1"/>
        <v/>
      </c>
      <c r="U2821" t="str">
        <f t="shared" si="2"/>
        <v/>
      </c>
      <c r="V2821" t="str">
        <f>IF(OR(U2821="",U2821="ERRO_CHAVE"),"",IFERROR(MATCH(U2821,Fornecedores!$AF$1:$AF$6631,0),""))</f>
        <v/>
      </c>
      <c r="W2821" t="str">
        <f t="shared" si="3"/>
        <v/>
      </c>
      <c r="X2821" s="4" t="str">
        <f>IF(V2821="","",INDEX(Fornecedores!$X$1:$X$6631,V2821))</f>
        <v/>
      </c>
      <c r="Y2821" s="4" t="str">
        <f t="shared" si="4"/>
        <v/>
      </c>
    </row>
    <row r="2822" spans="19:25">
      <c r="S2822" t="str">
        <f t="shared" si="0"/>
        <v/>
      </c>
      <c r="T2822" t="str">
        <f t="shared" si="1"/>
        <v/>
      </c>
      <c r="U2822" t="str">
        <f t="shared" si="2"/>
        <v/>
      </c>
      <c r="V2822" t="str">
        <f>IF(OR(U2822="",U2822="ERRO_CHAVE"),"",IFERROR(MATCH(U2822,Fornecedores!$AF$1:$AF$6631,0),""))</f>
        <v/>
      </c>
      <c r="W2822" t="str">
        <f t="shared" si="3"/>
        <v/>
      </c>
      <c r="X2822" s="4" t="str">
        <f>IF(V2822="","",INDEX(Fornecedores!$X$1:$X$6631,V2822))</f>
        <v/>
      </c>
      <c r="Y2822" s="4" t="str">
        <f t="shared" si="4"/>
        <v/>
      </c>
    </row>
    <row r="2823" spans="19:25">
      <c r="S2823" t="str">
        <f t="shared" si="0"/>
        <v/>
      </c>
      <c r="T2823" t="str">
        <f t="shared" si="1"/>
        <v/>
      </c>
      <c r="U2823" t="str">
        <f t="shared" si="2"/>
        <v/>
      </c>
      <c r="V2823" t="str">
        <f>IF(OR(U2823="",U2823="ERRO_CHAVE"),"",IFERROR(MATCH(U2823,Fornecedores!$AF$1:$AF$6631,0),""))</f>
        <v/>
      </c>
      <c r="W2823" t="str">
        <f t="shared" si="3"/>
        <v/>
      </c>
      <c r="X2823" s="4" t="str">
        <f>IF(V2823="","",INDEX(Fornecedores!$X$1:$X$6631,V2823))</f>
        <v/>
      </c>
      <c r="Y2823" s="4" t="str">
        <f t="shared" si="4"/>
        <v/>
      </c>
    </row>
    <row r="2824" spans="19:25">
      <c r="S2824" t="str">
        <f t="shared" si="0"/>
        <v/>
      </c>
      <c r="T2824" t="str">
        <f t="shared" si="1"/>
        <v/>
      </c>
      <c r="U2824" t="str">
        <f t="shared" si="2"/>
        <v/>
      </c>
      <c r="V2824" t="str">
        <f>IF(OR(U2824="",U2824="ERRO_CHAVE"),"",IFERROR(MATCH(U2824,Fornecedores!$AF$1:$AF$6631,0),""))</f>
        <v/>
      </c>
      <c r="W2824" t="str">
        <f t="shared" si="3"/>
        <v/>
      </c>
      <c r="X2824" s="4" t="str">
        <f>IF(V2824="","",INDEX(Fornecedores!$X$1:$X$6631,V2824))</f>
        <v/>
      </c>
      <c r="Y2824" s="4" t="str">
        <f t="shared" si="4"/>
        <v/>
      </c>
    </row>
    <row r="2825" spans="19:25">
      <c r="S2825" t="str">
        <f t="shared" si="0"/>
        <v/>
      </c>
      <c r="T2825" t="str">
        <f t="shared" si="1"/>
        <v/>
      </c>
      <c r="U2825" t="str">
        <f t="shared" si="2"/>
        <v/>
      </c>
      <c r="V2825" t="str">
        <f>IF(OR(U2825="",U2825="ERRO_CHAVE"),"",IFERROR(MATCH(U2825,Fornecedores!$AF$1:$AF$6631,0),""))</f>
        <v/>
      </c>
      <c r="W2825" t="str">
        <f t="shared" si="3"/>
        <v/>
      </c>
      <c r="X2825" s="4" t="str">
        <f>IF(V2825="","",INDEX(Fornecedores!$X$1:$X$6631,V2825))</f>
        <v/>
      </c>
      <c r="Y2825" s="4" t="str">
        <f t="shared" si="4"/>
        <v/>
      </c>
    </row>
    <row r="2826" spans="19:25">
      <c r="S2826" t="str">
        <f t="shared" si="0"/>
        <v/>
      </c>
      <c r="T2826" t="str">
        <f t="shared" si="1"/>
        <v/>
      </c>
      <c r="U2826" t="str">
        <f t="shared" si="2"/>
        <v/>
      </c>
      <c r="V2826" t="str">
        <f>IF(OR(U2826="",U2826="ERRO_CHAVE"),"",IFERROR(MATCH(U2826,Fornecedores!$AF$1:$AF$6631,0),""))</f>
        <v/>
      </c>
      <c r="W2826" t="str">
        <f t="shared" si="3"/>
        <v/>
      </c>
      <c r="X2826" s="4" t="str">
        <f>IF(V2826="","",INDEX(Fornecedores!$X$1:$X$6631,V2826))</f>
        <v/>
      </c>
      <c r="Y2826" s="4" t="str">
        <f t="shared" si="4"/>
        <v/>
      </c>
    </row>
    <row r="2827" spans="19:25">
      <c r="S2827" t="str">
        <f t="shared" si="0"/>
        <v/>
      </c>
      <c r="T2827" t="str">
        <f t="shared" si="1"/>
        <v/>
      </c>
      <c r="U2827" t="str">
        <f t="shared" si="2"/>
        <v/>
      </c>
      <c r="V2827" t="str">
        <f>IF(OR(U2827="",U2827="ERRO_CHAVE"),"",IFERROR(MATCH(U2827,Fornecedores!$AF$1:$AF$6631,0),""))</f>
        <v/>
      </c>
      <c r="W2827" t="str">
        <f t="shared" si="3"/>
        <v/>
      </c>
      <c r="X2827" s="4" t="str">
        <f>IF(V2827="","",INDEX(Fornecedores!$X$1:$X$6631,V2827))</f>
        <v/>
      </c>
      <c r="Y2827" s="4" t="str">
        <f t="shared" si="4"/>
        <v/>
      </c>
    </row>
    <row r="2828" spans="19:25">
      <c r="S2828" t="str">
        <f t="shared" si="0"/>
        <v/>
      </c>
      <c r="T2828" t="str">
        <f t="shared" si="1"/>
        <v/>
      </c>
      <c r="U2828" t="str">
        <f t="shared" si="2"/>
        <v/>
      </c>
      <c r="V2828" t="str">
        <f>IF(OR(U2828="",U2828="ERRO_CHAVE"),"",IFERROR(MATCH(U2828,Fornecedores!$AF$1:$AF$6631,0),""))</f>
        <v/>
      </c>
      <c r="W2828" t="str">
        <f t="shared" si="3"/>
        <v/>
      </c>
      <c r="X2828" s="4" t="str">
        <f>IF(V2828="","",INDEX(Fornecedores!$X$1:$X$6631,V2828))</f>
        <v/>
      </c>
      <c r="Y2828" s="4" t="str">
        <f t="shared" si="4"/>
        <v/>
      </c>
    </row>
    <row r="2829" spans="19:25">
      <c r="S2829" t="str">
        <f t="shared" si="0"/>
        <v/>
      </c>
      <c r="T2829" t="str">
        <f t="shared" si="1"/>
        <v/>
      </c>
      <c r="U2829" t="str">
        <f t="shared" si="2"/>
        <v/>
      </c>
      <c r="V2829" t="str">
        <f>IF(OR(U2829="",U2829="ERRO_CHAVE"),"",IFERROR(MATCH(U2829,Fornecedores!$AF$1:$AF$6631,0),""))</f>
        <v/>
      </c>
      <c r="W2829" t="str">
        <f t="shared" si="3"/>
        <v/>
      </c>
      <c r="X2829" s="4" t="str">
        <f>IF(V2829="","",INDEX(Fornecedores!$X$1:$X$6631,V2829))</f>
        <v/>
      </c>
      <c r="Y2829" s="4" t="str">
        <f t="shared" si="4"/>
        <v/>
      </c>
    </row>
    <row r="2830" spans="19:25">
      <c r="S2830" t="str">
        <f t="shared" si="0"/>
        <v/>
      </c>
      <c r="T2830" t="str">
        <f t="shared" si="1"/>
        <v/>
      </c>
      <c r="U2830" t="str">
        <f t="shared" si="2"/>
        <v/>
      </c>
      <c r="V2830" t="str">
        <f>IF(OR(U2830="",U2830="ERRO_CHAVE"),"",IFERROR(MATCH(U2830,Fornecedores!$AF$1:$AF$6631,0),""))</f>
        <v/>
      </c>
      <c r="W2830" t="str">
        <f t="shared" si="3"/>
        <v/>
      </c>
      <c r="X2830" s="4" t="str">
        <f>IF(V2830="","",INDEX(Fornecedores!$X$1:$X$6631,V2830))</f>
        <v/>
      </c>
      <c r="Y2830" s="4" t="str">
        <f t="shared" si="4"/>
        <v/>
      </c>
    </row>
    <row r="2831" spans="19:25">
      <c r="S2831" t="str">
        <f t="shared" si="0"/>
        <v/>
      </c>
      <c r="T2831" t="str">
        <f t="shared" si="1"/>
        <v/>
      </c>
      <c r="U2831" t="str">
        <f t="shared" si="2"/>
        <v/>
      </c>
      <c r="V2831" t="str">
        <f>IF(OR(U2831="",U2831="ERRO_CHAVE"),"",IFERROR(MATCH(U2831,Fornecedores!$AF$1:$AF$6631,0),""))</f>
        <v/>
      </c>
      <c r="W2831" t="str">
        <f t="shared" si="3"/>
        <v/>
      </c>
      <c r="X2831" s="4" t="str">
        <f>IF(V2831="","",INDEX(Fornecedores!$X$1:$X$6631,V2831))</f>
        <v/>
      </c>
      <c r="Y2831" s="4" t="str">
        <f t="shared" si="4"/>
        <v/>
      </c>
    </row>
    <row r="2832" spans="19:25">
      <c r="S2832" t="str">
        <f t="shared" si="0"/>
        <v/>
      </c>
      <c r="T2832" t="str">
        <f t="shared" si="1"/>
        <v/>
      </c>
      <c r="U2832" t="str">
        <f t="shared" si="2"/>
        <v/>
      </c>
      <c r="V2832" t="str">
        <f>IF(OR(U2832="",U2832="ERRO_CHAVE"),"",IFERROR(MATCH(U2832,Fornecedores!$AF$1:$AF$6631,0),""))</f>
        <v/>
      </c>
      <c r="W2832" t="str">
        <f t="shared" si="3"/>
        <v/>
      </c>
      <c r="X2832" s="4" t="str">
        <f>IF(V2832="","",INDEX(Fornecedores!$X$1:$X$6631,V2832))</f>
        <v/>
      </c>
      <c r="Y2832" s="4" t="str">
        <f t="shared" si="4"/>
        <v/>
      </c>
    </row>
    <row r="2833" spans="19:25">
      <c r="S2833" t="str">
        <f t="shared" si="0"/>
        <v/>
      </c>
      <c r="T2833" t="str">
        <f t="shared" si="1"/>
        <v/>
      </c>
      <c r="U2833" t="str">
        <f t="shared" si="2"/>
        <v/>
      </c>
      <c r="V2833" t="str">
        <f>IF(OR(U2833="",U2833="ERRO_CHAVE"),"",IFERROR(MATCH(U2833,Fornecedores!$AF$1:$AF$6631,0),""))</f>
        <v/>
      </c>
      <c r="W2833" t="str">
        <f t="shared" si="3"/>
        <v/>
      </c>
      <c r="X2833" s="4" t="str">
        <f>IF(V2833="","",INDEX(Fornecedores!$X$1:$X$6631,V2833))</f>
        <v/>
      </c>
      <c r="Y2833" s="4" t="str">
        <f t="shared" si="4"/>
        <v/>
      </c>
    </row>
    <row r="2834" spans="19:25">
      <c r="S2834" t="str">
        <f t="shared" si="0"/>
        <v/>
      </c>
      <c r="T2834" t="str">
        <f t="shared" si="1"/>
        <v/>
      </c>
      <c r="U2834" t="str">
        <f t="shared" si="2"/>
        <v/>
      </c>
      <c r="V2834" t="str">
        <f>IF(OR(U2834="",U2834="ERRO_CHAVE"),"",IFERROR(MATCH(U2834,Fornecedores!$AF$1:$AF$6631,0),""))</f>
        <v/>
      </c>
      <c r="W2834" t="str">
        <f t="shared" si="3"/>
        <v/>
      </c>
      <c r="X2834" s="4" t="str">
        <f>IF(V2834="","",INDEX(Fornecedores!$X$1:$X$6631,V2834))</f>
        <v/>
      </c>
      <c r="Y2834" s="4" t="str">
        <f t="shared" si="4"/>
        <v/>
      </c>
    </row>
    <row r="2835" spans="19:25">
      <c r="S2835" t="str">
        <f t="shared" si="0"/>
        <v/>
      </c>
      <c r="T2835" t="str">
        <f t="shared" si="1"/>
        <v/>
      </c>
      <c r="U2835" t="str">
        <f t="shared" si="2"/>
        <v/>
      </c>
      <c r="V2835" t="str">
        <f>IF(OR(U2835="",U2835="ERRO_CHAVE"),"",IFERROR(MATCH(U2835,Fornecedores!$AF$1:$AF$6631,0),""))</f>
        <v/>
      </c>
      <c r="W2835" t="str">
        <f t="shared" si="3"/>
        <v/>
      </c>
      <c r="X2835" s="4" t="str">
        <f>IF(V2835="","",INDEX(Fornecedores!$X$1:$X$6631,V2835))</f>
        <v/>
      </c>
      <c r="Y2835" s="4" t="str">
        <f t="shared" si="4"/>
        <v/>
      </c>
    </row>
    <row r="2836" spans="19:25">
      <c r="S2836" t="str">
        <f t="shared" si="0"/>
        <v/>
      </c>
      <c r="T2836" t="str">
        <f t="shared" si="1"/>
        <v/>
      </c>
      <c r="U2836" t="str">
        <f t="shared" si="2"/>
        <v/>
      </c>
      <c r="V2836" t="str">
        <f>IF(OR(U2836="",U2836="ERRO_CHAVE"),"",IFERROR(MATCH(U2836,Fornecedores!$AF$1:$AF$6631,0),""))</f>
        <v/>
      </c>
      <c r="W2836" t="str">
        <f t="shared" si="3"/>
        <v/>
      </c>
      <c r="X2836" s="4" t="str">
        <f>IF(V2836="","",INDEX(Fornecedores!$X$1:$X$6631,V2836))</f>
        <v/>
      </c>
      <c r="Y2836" s="4" t="str">
        <f t="shared" si="4"/>
        <v/>
      </c>
    </row>
    <row r="2837" spans="19:25">
      <c r="S2837" t="str">
        <f t="shared" si="0"/>
        <v/>
      </c>
      <c r="T2837" t="str">
        <f t="shared" si="1"/>
        <v/>
      </c>
      <c r="U2837" t="str">
        <f t="shared" si="2"/>
        <v/>
      </c>
      <c r="V2837" t="str">
        <f>IF(OR(U2837="",U2837="ERRO_CHAVE"),"",IFERROR(MATCH(U2837,Fornecedores!$AF$1:$AF$6631,0),""))</f>
        <v/>
      </c>
      <c r="W2837" t="str">
        <f t="shared" si="3"/>
        <v/>
      </c>
      <c r="X2837" s="4" t="str">
        <f>IF(V2837="","",INDEX(Fornecedores!$X$1:$X$6631,V2837))</f>
        <v/>
      </c>
      <c r="Y2837" s="4" t="str">
        <f t="shared" si="4"/>
        <v/>
      </c>
    </row>
    <row r="2838" spans="19:25">
      <c r="S2838" t="str">
        <f t="shared" si="0"/>
        <v/>
      </c>
      <c r="T2838" t="str">
        <f t="shared" si="1"/>
        <v/>
      </c>
      <c r="U2838" t="str">
        <f t="shared" si="2"/>
        <v/>
      </c>
      <c r="V2838" t="str">
        <f>IF(OR(U2838="",U2838="ERRO_CHAVE"),"",IFERROR(MATCH(U2838,Fornecedores!$AF$1:$AF$6631,0),""))</f>
        <v/>
      </c>
      <c r="W2838" t="str">
        <f t="shared" si="3"/>
        <v/>
      </c>
      <c r="X2838" s="4" t="str">
        <f>IF(V2838="","",INDEX(Fornecedores!$X$1:$X$6631,V2838))</f>
        <v/>
      </c>
      <c r="Y2838" s="4" t="str">
        <f t="shared" si="4"/>
        <v/>
      </c>
    </row>
    <row r="2839" spans="19:25">
      <c r="S2839" t="str">
        <f t="shared" si="0"/>
        <v/>
      </c>
      <c r="T2839" t="str">
        <f t="shared" si="1"/>
        <v/>
      </c>
      <c r="U2839" t="str">
        <f t="shared" si="2"/>
        <v/>
      </c>
      <c r="V2839" t="str">
        <f>IF(OR(U2839="",U2839="ERRO_CHAVE"),"",IFERROR(MATCH(U2839,Fornecedores!$AF$1:$AF$6631,0),""))</f>
        <v/>
      </c>
      <c r="W2839" t="str">
        <f t="shared" si="3"/>
        <v/>
      </c>
      <c r="X2839" s="4" t="str">
        <f>IF(V2839="","",INDEX(Fornecedores!$X$1:$X$6631,V2839))</f>
        <v/>
      </c>
      <c r="Y2839" s="4" t="str">
        <f t="shared" si="4"/>
        <v/>
      </c>
    </row>
    <row r="2840" spans="19:25">
      <c r="S2840" t="str">
        <f t="shared" si="0"/>
        <v/>
      </c>
      <c r="T2840" t="str">
        <f t="shared" si="1"/>
        <v/>
      </c>
      <c r="U2840" t="str">
        <f t="shared" si="2"/>
        <v/>
      </c>
      <c r="V2840" t="str">
        <f>IF(OR(U2840="",U2840="ERRO_CHAVE"),"",IFERROR(MATCH(U2840,Fornecedores!$AF$1:$AF$6631,0),""))</f>
        <v/>
      </c>
      <c r="W2840" t="str">
        <f t="shared" si="3"/>
        <v/>
      </c>
      <c r="X2840" s="4" t="str">
        <f>IF(V2840="","",INDEX(Fornecedores!$X$1:$X$6631,V2840))</f>
        <v/>
      </c>
      <c r="Y2840" s="4" t="str">
        <f t="shared" si="4"/>
        <v/>
      </c>
    </row>
    <row r="2841" spans="19:25">
      <c r="S2841" t="str">
        <f t="shared" si="0"/>
        <v/>
      </c>
      <c r="T2841" t="str">
        <f t="shared" si="1"/>
        <v/>
      </c>
      <c r="U2841" t="str">
        <f t="shared" si="2"/>
        <v/>
      </c>
      <c r="V2841" t="str">
        <f>IF(OR(U2841="",U2841="ERRO_CHAVE"),"",IFERROR(MATCH(U2841,Fornecedores!$AF$1:$AF$6631,0),""))</f>
        <v/>
      </c>
      <c r="W2841" t="str">
        <f t="shared" si="3"/>
        <v/>
      </c>
      <c r="X2841" s="4" t="str">
        <f>IF(V2841="","",INDEX(Fornecedores!$X$1:$X$6631,V2841))</f>
        <v/>
      </c>
      <c r="Y2841" s="4" t="str">
        <f t="shared" si="4"/>
        <v/>
      </c>
    </row>
    <row r="2842" spans="19:25">
      <c r="S2842" t="str">
        <f t="shared" si="0"/>
        <v/>
      </c>
      <c r="T2842" t="str">
        <f t="shared" si="1"/>
        <v/>
      </c>
      <c r="U2842" t="str">
        <f t="shared" si="2"/>
        <v/>
      </c>
      <c r="V2842" t="str">
        <f>IF(OR(U2842="",U2842="ERRO_CHAVE"),"",IFERROR(MATCH(U2842,Fornecedores!$AF$1:$AF$6631,0),""))</f>
        <v/>
      </c>
      <c r="W2842" t="str">
        <f t="shared" si="3"/>
        <v/>
      </c>
      <c r="X2842" s="4" t="str">
        <f>IF(V2842="","",INDEX(Fornecedores!$X$1:$X$6631,V2842))</f>
        <v/>
      </c>
      <c r="Y2842" s="4" t="str">
        <f t="shared" si="4"/>
        <v/>
      </c>
    </row>
    <row r="2843" spans="19:25">
      <c r="S2843" t="str">
        <f t="shared" si="0"/>
        <v/>
      </c>
      <c r="T2843" t="str">
        <f t="shared" si="1"/>
        <v/>
      </c>
      <c r="U2843" t="str">
        <f t="shared" si="2"/>
        <v/>
      </c>
      <c r="V2843" t="str">
        <f>IF(OR(U2843="",U2843="ERRO_CHAVE"),"",IFERROR(MATCH(U2843,Fornecedores!$AF$1:$AF$6631,0),""))</f>
        <v/>
      </c>
      <c r="W2843" t="str">
        <f t="shared" si="3"/>
        <v/>
      </c>
      <c r="X2843" s="4" t="str">
        <f>IF(V2843="","",INDEX(Fornecedores!$X$1:$X$6631,V2843))</f>
        <v/>
      </c>
      <c r="Y2843" s="4" t="str">
        <f t="shared" si="4"/>
        <v/>
      </c>
    </row>
    <row r="2844" spans="19:25">
      <c r="S2844" t="str">
        <f t="shared" si="0"/>
        <v/>
      </c>
      <c r="T2844" t="str">
        <f t="shared" si="1"/>
        <v/>
      </c>
      <c r="U2844" t="str">
        <f t="shared" si="2"/>
        <v/>
      </c>
      <c r="V2844" t="str">
        <f>IF(OR(U2844="",U2844="ERRO_CHAVE"),"",IFERROR(MATCH(U2844,Fornecedores!$AF$1:$AF$6631,0),""))</f>
        <v/>
      </c>
      <c r="W2844" t="str">
        <f t="shared" si="3"/>
        <v/>
      </c>
      <c r="X2844" s="4" t="str">
        <f>IF(V2844="","",INDEX(Fornecedores!$X$1:$X$6631,V2844))</f>
        <v/>
      </c>
      <c r="Y2844" s="4" t="str">
        <f t="shared" si="4"/>
        <v/>
      </c>
    </row>
    <row r="2845" spans="19:25">
      <c r="S2845" t="str">
        <f t="shared" si="0"/>
        <v/>
      </c>
      <c r="T2845" t="str">
        <f t="shared" si="1"/>
        <v/>
      </c>
      <c r="U2845" t="str">
        <f t="shared" si="2"/>
        <v/>
      </c>
      <c r="V2845" t="str">
        <f>IF(OR(U2845="",U2845="ERRO_CHAVE"),"",IFERROR(MATCH(U2845,Fornecedores!$AF$1:$AF$6631,0),""))</f>
        <v/>
      </c>
      <c r="W2845" t="str">
        <f t="shared" si="3"/>
        <v/>
      </c>
      <c r="X2845" s="4" t="str">
        <f>IF(V2845="","",INDEX(Fornecedores!$X$1:$X$6631,V2845))</f>
        <v/>
      </c>
      <c r="Y2845" s="4" t="str">
        <f t="shared" si="4"/>
        <v/>
      </c>
    </row>
    <row r="2846" spans="19:25">
      <c r="S2846" t="str">
        <f t="shared" si="0"/>
        <v/>
      </c>
      <c r="T2846" t="str">
        <f t="shared" si="1"/>
        <v/>
      </c>
      <c r="U2846" t="str">
        <f t="shared" si="2"/>
        <v/>
      </c>
      <c r="V2846" t="str">
        <f>IF(OR(U2846="",U2846="ERRO_CHAVE"),"",IFERROR(MATCH(U2846,Fornecedores!$AF$1:$AF$6631,0),""))</f>
        <v/>
      </c>
      <c r="W2846" t="str">
        <f t="shared" si="3"/>
        <v/>
      </c>
      <c r="X2846" s="4" t="str">
        <f>IF(V2846="","",INDEX(Fornecedores!$X$1:$X$6631,V2846))</f>
        <v/>
      </c>
      <c r="Y2846" s="4" t="str">
        <f t="shared" si="4"/>
        <v/>
      </c>
    </row>
    <row r="2847" spans="19:25">
      <c r="S2847" t="str">
        <f t="shared" si="0"/>
        <v/>
      </c>
      <c r="T2847" t="str">
        <f t="shared" si="1"/>
        <v/>
      </c>
      <c r="U2847" t="str">
        <f t="shared" si="2"/>
        <v/>
      </c>
      <c r="V2847" t="str">
        <f>IF(OR(U2847="",U2847="ERRO_CHAVE"),"",IFERROR(MATCH(U2847,Fornecedores!$AF$1:$AF$6631,0),""))</f>
        <v/>
      </c>
      <c r="W2847" t="str">
        <f t="shared" si="3"/>
        <v/>
      </c>
      <c r="X2847" s="4" t="str">
        <f>IF(V2847="","",INDEX(Fornecedores!$X$1:$X$6631,V2847))</f>
        <v/>
      </c>
      <c r="Y2847" s="4" t="str">
        <f t="shared" si="4"/>
        <v/>
      </c>
    </row>
    <row r="2848" spans="19:25">
      <c r="S2848" t="str">
        <f t="shared" si="0"/>
        <v/>
      </c>
      <c r="T2848" t="str">
        <f t="shared" si="1"/>
        <v/>
      </c>
      <c r="U2848" t="str">
        <f t="shared" si="2"/>
        <v/>
      </c>
      <c r="V2848" t="str">
        <f>IF(OR(U2848="",U2848="ERRO_CHAVE"),"",IFERROR(MATCH(U2848,Fornecedores!$AF$1:$AF$6631,0),""))</f>
        <v/>
      </c>
      <c r="W2848" t="str">
        <f t="shared" si="3"/>
        <v/>
      </c>
      <c r="X2848" s="4" t="str">
        <f>IF(V2848="","",INDEX(Fornecedores!$X$1:$X$6631,V2848))</f>
        <v/>
      </c>
      <c r="Y2848" s="4" t="str">
        <f t="shared" si="4"/>
        <v/>
      </c>
    </row>
    <row r="2849" spans="19:25">
      <c r="S2849" t="str">
        <f t="shared" si="0"/>
        <v/>
      </c>
      <c r="T2849" t="str">
        <f t="shared" si="1"/>
        <v/>
      </c>
      <c r="U2849" t="str">
        <f t="shared" si="2"/>
        <v/>
      </c>
      <c r="V2849" t="str">
        <f>IF(OR(U2849="",U2849="ERRO_CHAVE"),"",IFERROR(MATCH(U2849,Fornecedores!$AF$1:$AF$6631,0),""))</f>
        <v/>
      </c>
      <c r="W2849" t="str">
        <f t="shared" si="3"/>
        <v/>
      </c>
      <c r="X2849" s="4" t="str">
        <f>IF(V2849="","",INDEX(Fornecedores!$X$1:$X$6631,V2849))</f>
        <v/>
      </c>
      <c r="Y2849" s="4" t="str">
        <f t="shared" si="4"/>
        <v/>
      </c>
    </row>
    <row r="2850" spans="19:25">
      <c r="S2850" t="str">
        <f t="shared" si="0"/>
        <v/>
      </c>
      <c r="T2850" t="str">
        <f t="shared" si="1"/>
        <v/>
      </c>
      <c r="U2850" t="str">
        <f t="shared" si="2"/>
        <v/>
      </c>
      <c r="V2850" t="str">
        <f>IF(OR(U2850="",U2850="ERRO_CHAVE"),"",IFERROR(MATCH(U2850,Fornecedores!$AF$1:$AF$6631,0),""))</f>
        <v/>
      </c>
      <c r="W2850" t="str">
        <f t="shared" si="3"/>
        <v/>
      </c>
      <c r="X2850" s="4" t="str">
        <f>IF(V2850="","",INDEX(Fornecedores!$X$1:$X$6631,V2850))</f>
        <v/>
      </c>
      <c r="Y2850" s="4" t="str">
        <f t="shared" si="4"/>
        <v/>
      </c>
    </row>
    <row r="2851" spans="19:25">
      <c r="S2851" t="str">
        <f t="shared" si="0"/>
        <v/>
      </c>
      <c r="T2851" t="str">
        <f t="shared" si="1"/>
        <v/>
      </c>
      <c r="U2851" t="str">
        <f t="shared" si="2"/>
        <v/>
      </c>
      <c r="V2851" t="str">
        <f>IF(OR(U2851="",U2851="ERRO_CHAVE"),"",IFERROR(MATCH(U2851,Fornecedores!$AF$1:$AF$6631,0),""))</f>
        <v/>
      </c>
      <c r="W2851" t="str">
        <f t="shared" si="3"/>
        <v/>
      </c>
      <c r="X2851" s="4" t="str">
        <f>IF(V2851="","",INDEX(Fornecedores!$X$1:$X$6631,V2851))</f>
        <v/>
      </c>
      <c r="Y2851" s="4" t="str">
        <f t="shared" si="4"/>
        <v/>
      </c>
    </row>
    <row r="2852" spans="19:25">
      <c r="S2852" t="str">
        <f t="shared" si="0"/>
        <v/>
      </c>
      <c r="T2852" t="str">
        <f t="shared" si="1"/>
        <v/>
      </c>
      <c r="U2852" t="str">
        <f t="shared" si="2"/>
        <v/>
      </c>
      <c r="V2852" t="str">
        <f>IF(OR(U2852="",U2852="ERRO_CHAVE"),"",IFERROR(MATCH(U2852,Fornecedores!$AF$1:$AF$6631,0),""))</f>
        <v/>
      </c>
      <c r="W2852" t="str">
        <f t="shared" si="3"/>
        <v/>
      </c>
      <c r="X2852" s="4" t="str">
        <f>IF(V2852="","",INDEX(Fornecedores!$X$1:$X$6631,V2852))</f>
        <v/>
      </c>
      <c r="Y2852" s="4" t="str">
        <f t="shared" si="4"/>
        <v/>
      </c>
    </row>
    <row r="2853" spans="19:25">
      <c r="S2853" t="str">
        <f t="shared" si="0"/>
        <v/>
      </c>
      <c r="T2853" t="str">
        <f t="shared" si="1"/>
        <v/>
      </c>
      <c r="U2853" t="str">
        <f t="shared" si="2"/>
        <v/>
      </c>
      <c r="V2853" t="str">
        <f>IF(OR(U2853="",U2853="ERRO_CHAVE"),"",IFERROR(MATCH(U2853,Fornecedores!$AF$1:$AF$6631,0),""))</f>
        <v/>
      </c>
      <c r="W2853" t="str">
        <f t="shared" si="3"/>
        <v/>
      </c>
      <c r="X2853" s="4" t="str">
        <f>IF(V2853="","",INDEX(Fornecedores!$X$1:$X$6631,V2853))</f>
        <v/>
      </c>
      <c r="Y2853" s="4" t="str">
        <f t="shared" si="4"/>
        <v/>
      </c>
    </row>
    <row r="2854" spans="19:25">
      <c r="S2854" t="str">
        <f t="shared" si="0"/>
        <v/>
      </c>
      <c r="T2854" t="str">
        <f t="shared" si="1"/>
        <v/>
      </c>
      <c r="U2854" t="str">
        <f t="shared" si="2"/>
        <v/>
      </c>
      <c r="V2854" t="str">
        <f>IF(OR(U2854="",U2854="ERRO_CHAVE"),"",IFERROR(MATCH(U2854,Fornecedores!$AF$1:$AF$6631,0),""))</f>
        <v/>
      </c>
      <c r="W2854" t="str">
        <f t="shared" si="3"/>
        <v/>
      </c>
      <c r="X2854" s="4" t="str">
        <f>IF(V2854="","",INDEX(Fornecedores!$X$1:$X$6631,V2854))</f>
        <v/>
      </c>
      <c r="Y2854" s="4" t="str">
        <f t="shared" si="4"/>
        <v/>
      </c>
    </row>
    <row r="2855" spans="19:25">
      <c r="S2855" t="str">
        <f t="shared" si="0"/>
        <v/>
      </c>
      <c r="T2855" t="str">
        <f t="shared" si="1"/>
        <v/>
      </c>
      <c r="U2855" t="str">
        <f t="shared" si="2"/>
        <v/>
      </c>
      <c r="V2855" t="str">
        <f>IF(OR(U2855="",U2855="ERRO_CHAVE"),"",IFERROR(MATCH(U2855,Fornecedores!$AF$1:$AF$6631,0),""))</f>
        <v/>
      </c>
      <c r="W2855" t="str">
        <f t="shared" si="3"/>
        <v/>
      </c>
      <c r="X2855" s="4" t="str">
        <f>IF(V2855="","",INDEX(Fornecedores!$X$1:$X$6631,V2855))</f>
        <v/>
      </c>
      <c r="Y2855" s="4" t="str">
        <f t="shared" si="4"/>
        <v/>
      </c>
    </row>
    <row r="2856" spans="19:25">
      <c r="S2856" t="str">
        <f t="shared" si="0"/>
        <v/>
      </c>
      <c r="T2856" t="str">
        <f t="shared" si="1"/>
        <v/>
      </c>
      <c r="U2856" t="str">
        <f t="shared" si="2"/>
        <v/>
      </c>
      <c r="V2856" t="str">
        <f>IF(OR(U2856="",U2856="ERRO_CHAVE"),"",IFERROR(MATCH(U2856,Fornecedores!$AF$1:$AF$6631,0),""))</f>
        <v/>
      </c>
      <c r="W2856" t="str">
        <f t="shared" si="3"/>
        <v/>
      </c>
      <c r="X2856" s="4" t="str">
        <f>IF(V2856="","",INDEX(Fornecedores!$X$1:$X$6631,V2856))</f>
        <v/>
      </c>
      <c r="Y2856" s="4" t="str">
        <f t="shared" si="4"/>
        <v/>
      </c>
    </row>
    <row r="2857" spans="19:25">
      <c r="S2857" t="str">
        <f t="shared" si="0"/>
        <v/>
      </c>
      <c r="T2857" t="str">
        <f t="shared" si="1"/>
        <v/>
      </c>
      <c r="U2857" t="str">
        <f t="shared" si="2"/>
        <v/>
      </c>
      <c r="V2857" t="str">
        <f>IF(OR(U2857="",U2857="ERRO_CHAVE"),"",IFERROR(MATCH(U2857,Fornecedores!$AF$1:$AF$6631,0),""))</f>
        <v/>
      </c>
      <c r="W2857" t="str">
        <f t="shared" si="3"/>
        <v/>
      </c>
      <c r="X2857" s="4" t="str">
        <f>IF(V2857="","",INDEX(Fornecedores!$X$1:$X$6631,V2857))</f>
        <v/>
      </c>
      <c r="Y2857" s="4" t="str">
        <f t="shared" si="4"/>
        <v/>
      </c>
    </row>
    <row r="2858" spans="19:25">
      <c r="S2858" t="str">
        <f t="shared" si="0"/>
        <v/>
      </c>
      <c r="T2858" t="str">
        <f t="shared" si="1"/>
        <v/>
      </c>
      <c r="U2858" t="str">
        <f t="shared" si="2"/>
        <v/>
      </c>
      <c r="V2858" t="str">
        <f>IF(OR(U2858="",U2858="ERRO_CHAVE"),"",IFERROR(MATCH(U2858,Fornecedores!$AF$1:$AF$6631,0),""))</f>
        <v/>
      </c>
      <c r="W2858" t="str">
        <f t="shared" si="3"/>
        <v/>
      </c>
      <c r="X2858" s="4" t="str">
        <f>IF(V2858="","",INDEX(Fornecedores!$X$1:$X$6631,V2858))</f>
        <v/>
      </c>
      <c r="Y2858" s="4" t="str">
        <f t="shared" si="4"/>
        <v/>
      </c>
    </row>
    <row r="2859" spans="19:25">
      <c r="S2859" t="str">
        <f t="shared" si="0"/>
        <v/>
      </c>
      <c r="T2859" t="str">
        <f t="shared" si="1"/>
        <v/>
      </c>
      <c r="U2859" t="str">
        <f t="shared" si="2"/>
        <v/>
      </c>
      <c r="V2859" t="str">
        <f>IF(OR(U2859="",U2859="ERRO_CHAVE"),"",IFERROR(MATCH(U2859,Fornecedores!$AF$1:$AF$6631,0),""))</f>
        <v/>
      </c>
      <c r="W2859" t="str">
        <f t="shared" si="3"/>
        <v/>
      </c>
      <c r="X2859" s="4" t="str">
        <f>IF(V2859="","",INDEX(Fornecedores!$X$1:$X$6631,V2859))</f>
        <v/>
      </c>
      <c r="Y2859" s="4" t="str">
        <f t="shared" si="4"/>
        <v/>
      </c>
    </row>
    <row r="2860" spans="19:25">
      <c r="S2860" t="str">
        <f t="shared" si="0"/>
        <v/>
      </c>
      <c r="T2860" t="str">
        <f t="shared" si="1"/>
        <v/>
      </c>
      <c r="U2860" t="str">
        <f t="shared" si="2"/>
        <v/>
      </c>
      <c r="V2860" t="str">
        <f>IF(OR(U2860="",U2860="ERRO_CHAVE"),"",IFERROR(MATCH(U2860,Fornecedores!$AF$1:$AF$6631,0),""))</f>
        <v/>
      </c>
      <c r="W2860" t="str">
        <f t="shared" si="3"/>
        <v/>
      </c>
      <c r="X2860" s="4" t="str">
        <f>IF(V2860="","",INDEX(Fornecedores!$X$1:$X$6631,V2860))</f>
        <v/>
      </c>
      <c r="Y2860" s="4" t="str">
        <f t="shared" si="4"/>
        <v/>
      </c>
    </row>
    <row r="2861" spans="19:25">
      <c r="S2861" t="str">
        <f t="shared" si="0"/>
        <v/>
      </c>
      <c r="T2861" t="str">
        <f t="shared" si="1"/>
        <v/>
      </c>
      <c r="U2861" t="str">
        <f t="shared" si="2"/>
        <v/>
      </c>
      <c r="V2861" t="str">
        <f>IF(OR(U2861="",U2861="ERRO_CHAVE"),"",IFERROR(MATCH(U2861,Fornecedores!$AF$1:$AF$6631,0),""))</f>
        <v/>
      </c>
      <c r="W2861" t="str">
        <f t="shared" si="3"/>
        <v/>
      </c>
      <c r="X2861" s="4" t="str">
        <f>IF(V2861="","",INDEX(Fornecedores!$X$1:$X$6631,V2861))</f>
        <v/>
      </c>
      <c r="Y2861" s="4" t="str">
        <f t="shared" si="4"/>
        <v/>
      </c>
    </row>
    <row r="2862" spans="19:25">
      <c r="S2862" t="str">
        <f t="shared" si="0"/>
        <v/>
      </c>
      <c r="T2862" t="str">
        <f t="shared" si="1"/>
        <v/>
      </c>
      <c r="U2862" t="str">
        <f t="shared" si="2"/>
        <v/>
      </c>
      <c r="V2862" t="str">
        <f>IF(OR(U2862="",U2862="ERRO_CHAVE"),"",IFERROR(MATCH(U2862,Fornecedores!$AF$1:$AF$6631,0),""))</f>
        <v/>
      </c>
      <c r="W2862" t="str">
        <f t="shared" si="3"/>
        <v/>
      </c>
      <c r="X2862" s="4" t="str">
        <f>IF(V2862="","",INDEX(Fornecedores!$X$1:$X$6631,V2862))</f>
        <v/>
      </c>
      <c r="Y2862" s="4" t="str">
        <f t="shared" si="4"/>
        <v/>
      </c>
    </row>
    <row r="2863" spans="19:25">
      <c r="S2863" t="str">
        <f t="shared" si="0"/>
        <v/>
      </c>
      <c r="T2863" t="str">
        <f t="shared" si="1"/>
        <v/>
      </c>
      <c r="U2863" t="str">
        <f t="shared" si="2"/>
        <v/>
      </c>
      <c r="V2863" t="str">
        <f>IF(OR(U2863="",U2863="ERRO_CHAVE"),"",IFERROR(MATCH(U2863,Fornecedores!$AF$1:$AF$6631,0),""))</f>
        <v/>
      </c>
      <c r="W2863" t="str">
        <f t="shared" si="3"/>
        <v/>
      </c>
      <c r="X2863" s="4" t="str">
        <f>IF(V2863="","",INDEX(Fornecedores!$X$1:$X$6631,V2863))</f>
        <v/>
      </c>
      <c r="Y2863" s="4" t="str">
        <f t="shared" si="4"/>
        <v/>
      </c>
    </row>
    <row r="2864" spans="19:25">
      <c r="S2864" t="str">
        <f t="shared" si="0"/>
        <v/>
      </c>
      <c r="T2864" t="str">
        <f t="shared" si="1"/>
        <v/>
      </c>
      <c r="U2864" t="str">
        <f t="shared" si="2"/>
        <v/>
      </c>
      <c r="V2864" t="str">
        <f>IF(OR(U2864="",U2864="ERRO_CHAVE"),"",IFERROR(MATCH(U2864,Fornecedores!$AF$1:$AF$6631,0),""))</f>
        <v/>
      </c>
      <c r="W2864" t="str">
        <f t="shared" si="3"/>
        <v/>
      </c>
      <c r="X2864" s="4" t="str">
        <f>IF(V2864="","",INDEX(Fornecedores!$X$1:$X$6631,V2864))</f>
        <v/>
      </c>
      <c r="Y2864" s="4" t="str">
        <f t="shared" si="4"/>
        <v/>
      </c>
    </row>
    <row r="2865" spans="19:25">
      <c r="S2865" t="str">
        <f t="shared" si="0"/>
        <v/>
      </c>
      <c r="T2865" t="str">
        <f t="shared" si="1"/>
        <v/>
      </c>
      <c r="U2865" t="str">
        <f t="shared" si="2"/>
        <v/>
      </c>
      <c r="V2865" t="str">
        <f>IF(OR(U2865="",U2865="ERRO_CHAVE"),"",IFERROR(MATCH(U2865,Fornecedores!$AF$1:$AF$6631,0),""))</f>
        <v/>
      </c>
      <c r="W2865" t="str">
        <f t="shared" si="3"/>
        <v/>
      </c>
      <c r="X2865" s="4" t="str">
        <f>IF(V2865="","",INDEX(Fornecedores!$X$1:$X$6631,V2865))</f>
        <v/>
      </c>
      <c r="Y2865" s="4" t="str">
        <f t="shared" si="4"/>
        <v/>
      </c>
    </row>
    <row r="2866" spans="19:25">
      <c r="S2866" t="str">
        <f t="shared" si="0"/>
        <v/>
      </c>
      <c r="T2866" t="str">
        <f t="shared" si="1"/>
        <v/>
      </c>
      <c r="U2866" t="str">
        <f t="shared" si="2"/>
        <v/>
      </c>
      <c r="V2866" t="str">
        <f>IF(OR(U2866="",U2866="ERRO_CHAVE"),"",IFERROR(MATCH(U2866,Fornecedores!$AF$1:$AF$6631,0),""))</f>
        <v/>
      </c>
      <c r="W2866" t="str">
        <f t="shared" si="3"/>
        <v/>
      </c>
      <c r="X2866" s="4" t="str">
        <f>IF(V2866="","",INDEX(Fornecedores!$X$1:$X$6631,V2866))</f>
        <v/>
      </c>
      <c r="Y2866" s="4" t="str">
        <f t="shared" si="4"/>
        <v/>
      </c>
    </row>
    <row r="2867" spans="19:25">
      <c r="S2867" t="str">
        <f t="shared" si="0"/>
        <v/>
      </c>
      <c r="T2867" t="str">
        <f t="shared" si="1"/>
        <v/>
      </c>
      <c r="U2867" t="str">
        <f t="shared" si="2"/>
        <v/>
      </c>
      <c r="V2867" t="str">
        <f>IF(OR(U2867="",U2867="ERRO_CHAVE"),"",IFERROR(MATCH(U2867,Fornecedores!$AF$1:$AF$6631,0),""))</f>
        <v/>
      </c>
      <c r="W2867" t="str">
        <f t="shared" si="3"/>
        <v/>
      </c>
      <c r="X2867" s="4" t="str">
        <f>IF(V2867="","",INDEX(Fornecedores!$X$1:$X$6631,V2867))</f>
        <v/>
      </c>
      <c r="Y2867" s="4" t="str">
        <f t="shared" si="4"/>
        <v/>
      </c>
    </row>
    <row r="2868" spans="19:25">
      <c r="S2868" t="str">
        <f t="shared" si="0"/>
        <v/>
      </c>
      <c r="T2868" t="str">
        <f t="shared" si="1"/>
        <v/>
      </c>
      <c r="U2868" t="str">
        <f t="shared" si="2"/>
        <v/>
      </c>
      <c r="V2868" t="str">
        <f>IF(OR(U2868="",U2868="ERRO_CHAVE"),"",IFERROR(MATCH(U2868,Fornecedores!$AF$1:$AF$6631,0),""))</f>
        <v/>
      </c>
      <c r="W2868" t="str">
        <f t="shared" si="3"/>
        <v/>
      </c>
      <c r="X2868" s="4" t="str">
        <f>IF(V2868="","",INDEX(Fornecedores!$X$1:$X$6631,V2868))</f>
        <v/>
      </c>
      <c r="Y2868" s="4" t="str">
        <f t="shared" si="4"/>
        <v/>
      </c>
    </row>
    <row r="2869" spans="19:25">
      <c r="S2869" t="str">
        <f t="shared" si="0"/>
        <v/>
      </c>
      <c r="T2869" t="str">
        <f t="shared" si="1"/>
        <v/>
      </c>
      <c r="U2869" t="str">
        <f t="shared" si="2"/>
        <v/>
      </c>
      <c r="V2869" t="str">
        <f>IF(OR(U2869="",U2869="ERRO_CHAVE"),"",IFERROR(MATCH(U2869,Fornecedores!$AF$1:$AF$6631,0),""))</f>
        <v/>
      </c>
      <c r="W2869" t="str">
        <f t="shared" si="3"/>
        <v/>
      </c>
      <c r="X2869" s="4" t="str">
        <f>IF(V2869="","",INDEX(Fornecedores!$X$1:$X$6631,V2869))</f>
        <v/>
      </c>
      <c r="Y2869" s="4" t="str">
        <f t="shared" si="4"/>
        <v/>
      </c>
    </row>
    <row r="2870" spans="19:25">
      <c r="S2870" t="str">
        <f t="shared" si="0"/>
        <v/>
      </c>
      <c r="T2870" t="str">
        <f t="shared" si="1"/>
        <v/>
      </c>
      <c r="U2870" t="str">
        <f t="shared" si="2"/>
        <v/>
      </c>
      <c r="V2870" t="str">
        <f>IF(OR(U2870="",U2870="ERRO_CHAVE"),"",IFERROR(MATCH(U2870,Fornecedores!$AF$1:$AF$6631,0),""))</f>
        <v/>
      </c>
      <c r="W2870" t="str">
        <f t="shared" si="3"/>
        <v/>
      </c>
      <c r="X2870" s="4" t="str">
        <f>IF(V2870="","",INDEX(Fornecedores!$X$1:$X$6631,V2870))</f>
        <v/>
      </c>
      <c r="Y2870" s="4" t="str">
        <f t="shared" si="4"/>
        <v/>
      </c>
    </row>
    <row r="2871" spans="19:25">
      <c r="S2871" t="str">
        <f t="shared" si="0"/>
        <v/>
      </c>
      <c r="T2871" t="str">
        <f t="shared" si="1"/>
        <v/>
      </c>
      <c r="U2871" t="str">
        <f t="shared" si="2"/>
        <v/>
      </c>
      <c r="V2871" t="str">
        <f>IF(OR(U2871="",U2871="ERRO_CHAVE"),"",IFERROR(MATCH(U2871,Fornecedores!$AF$1:$AF$6631,0),""))</f>
        <v/>
      </c>
      <c r="W2871" t="str">
        <f t="shared" si="3"/>
        <v/>
      </c>
      <c r="X2871" s="4" t="str">
        <f>IF(V2871="","",INDEX(Fornecedores!$X$1:$X$6631,V2871))</f>
        <v/>
      </c>
      <c r="Y2871" s="4" t="str">
        <f t="shared" si="4"/>
        <v/>
      </c>
    </row>
    <row r="2872" spans="19:25">
      <c r="S2872" t="str">
        <f t="shared" si="0"/>
        <v/>
      </c>
      <c r="T2872" t="str">
        <f t="shared" si="1"/>
        <v/>
      </c>
      <c r="U2872" t="str">
        <f t="shared" si="2"/>
        <v/>
      </c>
      <c r="V2872" t="str">
        <f>IF(OR(U2872="",U2872="ERRO_CHAVE"),"",IFERROR(MATCH(U2872,Fornecedores!$AF$1:$AF$6631,0),""))</f>
        <v/>
      </c>
      <c r="W2872" t="str">
        <f t="shared" si="3"/>
        <v/>
      </c>
      <c r="X2872" s="4" t="str">
        <f>IF(V2872="","",INDEX(Fornecedores!$X$1:$X$6631,V2872))</f>
        <v/>
      </c>
      <c r="Y2872" s="4" t="str">
        <f t="shared" si="4"/>
        <v/>
      </c>
    </row>
    <row r="2873" spans="19:25">
      <c r="S2873" t="str">
        <f t="shared" si="0"/>
        <v/>
      </c>
      <c r="T2873" t="str">
        <f t="shared" si="1"/>
        <v/>
      </c>
      <c r="U2873" t="str">
        <f t="shared" si="2"/>
        <v/>
      </c>
      <c r="V2873" t="str">
        <f>IF(OR(U2873="",U2873="ERRO_CHAVE"),"",IFERROR(MATCH(U2873,Fornecedores!$AF$1:$AF$6631,0),""))</f>
        <v/>
      </c>
      <c r="W2873" t="str">
        <f t="shared" si="3"/>
        <v/>
      </c>
      <c r="X2873" s="4" t="str">
        <f>IF(V2873="","",INDEX(Fornecedores!$X$1:$X$6631,V2873))</f>
        <v/>
      </c>
      <c r="Y2873" s="4" t="str">
        <f t="shared" si="4"/>
        <v/>
      </c>
    </row>
    <row r="2874" spans="19:25">
      <c r="S2874" t="str">
        <f t="shared" si="0"/>
        <v/>
      </c>
      <c r="T2874" t="str">
        <f t="shared" si="1"/>
        <v/>
      </c>
      <c r="U2874" t="str">
        <f t="shared" si="2"/>
        <v/>
      </c>
      <c r="V2874" t="str">
        <f>IF(OR(U2874="",U2874="ERRO_CHAVE"),"",IFERROR(MATCH(U2874,Fornecedores!$AF$1:$AF$6631,0),""))</f>
        <v/>
      </c>
      <c r="W2874" t="str">
        <f t="shared" si="3"/>
        <v/>
      </c>
      <c r="X2874" s="4" t="str">
        <f>IF(V2874="","",INDEX(Fornecedores!$X$1:$X$6631,V2874))</f>
        <v/>
      </c>
      <c r="Y2874" s="4" t="str">
        <f t="shared" si="4"/>
        <v/>
      </c>
    </row>
    <row r="2875" spans="19:25">
      <c r="S2875" t="str">
        <f t="shared" si="0"/>
        <v/>
      </c>
      <c r="T2875" t="str">
        <f t="shared" si="1"/>
        <v/>
      </c>
      <c r="U2875" t="str">
        <f t="shared" si="2"/>
        <v/>
      </c>
      <c r="V2875" t="str">
        <f>IF(OR(U2875="",U2875="ERRO_CHAVE"),"",IFERROR(MATCH(U2875,Fornecedores!$AF$1:$AF$6631,0),""))</f>
        <v/>
      </c>
      <c r="W2875" t="str">
        <f t="shared" si="3"/>
        <v/>
      </c>
      <c r="X2875" s="4" t="str">
        <f>IF(V2875="","",INDEX(Fornecedores!$X$1:$X$6631,V2875))</f>
        <v/>
      </c>
      <c r="Y2875" s="4" t="str">
        <f t="shared" si="4"/>
        <v/>
      </c>
    </row>
    <row r="2876" spans="19:25">
      <c r="S2876" t="str">
        <f t="shared" si="0"/>
        <v/>
      </c>
      <c r="T2876" t="str">
        <f t="shared" si="1"/>
        <v/>
      </c>
      <c r="U2876" t="str">
        <f t="shared" si="2"/>
        <v/>
      </c>
      <c r="V2876" t="str">
        <f>IF(OR(U2876="",U2876="ERRO_CHAVE"),"",IFERROR(MATCH(U2876,Fornecedores!$AF$1:$AF$6631,0),""))</f>
        <v/>
      </c>
      <c r="W2876" t="str">
        <f t="shared" si="3"/>
        <v/>
      </c>
      <c r="X2876" s="4" t="str">
        <f>IF(V2876="","",INDEX(Fornecedores!$X$1:$X$6631,V2876))</f>
        <v/>
      </c>
      <c r="Y2876" s="4" t="str">
        <f t="shared" si="4"/>
        <v/>
      </c>
    </row>
    <row r="2877" spans="19:25">
      <c r="S2877" t="str">
        <f t="shared" si="0"/>
        <v/>
      </c>
      <c r="T2877" t="str">
        <f t="shared" si="1"/>
        <v/>
      </c>
      <c r="U2877" t="str">
        <f t="shared" si="2"/>
        <v/>
      </c>
      <c r="V2877" t="str">
        <f>IF(OR(U2877="",U2877="ERRO_CHAVE"),"",IFERROR(MATCH(U2877,Fornecedores!$AF$1:$AF$6631,0),""))</f>
        <v/>
      </c>
      <c r="W2877" t="str">
        <f t="shared" si="3"/>
        <v/>
      </c>
      <c r="X2877" s="4" t="str">
        <f>IF(V2877="","",INDEX(Fornecedores!$X$1:$X$6631,V2877))</f>
        <v/>
      </c>
      <c r="Y2877" s="4" t="str">
        <f t="shared" si="4"/>
        <v/>
      </c>
    </row>
    <row r="2878" spans="19:25">
      <c r="S2878" t="str">
        <f t="shared" si="0"/>
        <v/>
      </c>
      <c r="T2878" t="str">
        <f t="shared" si="1"/>
        <v/>
      </c>
      <c r="U2878" t="str">
        <f t="shared" si="2"/>
        <v/>
      </c>
      <c r="V2878" t="str">
        <f>IF(OR(U2878="",U2878="ERRO_CHAVE"),"",IFERROR(MATCH(U2878,Fornecedores!$AF$1:$AF$6631,0),""))</f>
        <v/>
      </c>
      <c r="W2878" t="str">
        <f t="shared" si="3"/>
        <v/>
      </c>
      <c r="X2878" s="4" t="str">
        <f>IF(V2878="","",INDEX(Fornecedores!$X$1:$X$6631,V2878))</f>
        <v/>
      </c>
      <c r="Y2878" s="4" t="str">
        <f t="shared" si="4"/>
        <v/>
      </c>
    </row>
    <row r="2879" spans="19:25">
      <c r="S2879" t="str">
        <f t="shared" si="0"/>
        <v/>
      </c>
      <c r="T2879" t="str">
        <f t="shared" si="1"/>
        <v/>
      </c>
      <c r="U2879" t="str">
        <f t="shared" si="2"/>
        <v/>
      </c>
      <c r="V2879" t="str">
        <f>IF(OR(U2879="",U2879="ERRO_CHAVE"),"",IFERROR(MATCH(U2879,Fornecedores!$AF$1:$AF$6631,0),""))</f>
        <v/>
      </c>
      <c r="W2879" t="str">
        <f t="shared" si="3"/>
        <v/>
      </c>
      <c r="X2879" s="4" t="str">
        <f>IF(V2879="","",INDEX(Fornecedores!$X$1:$X$6631,V2879))</f>
        <v/>
      </c>
      <c r="Y2879" s="4" t="str">
        <f t="shared" si="4"/>
        <v/>
      </c>
    </row>
    <row r="2880" spans="19:25">
      <c r="S2880" t="str">
        <f t="shared" si="0"/>
        <v/>
      </c>
      <c r="T2880" t="str">
        <f t="shared" si="1"/>
        <v/>
      </c>
      <c r="U2880" t="str">
        <f t="shared" si="2"/>
        <v/>
      </c>
      <c r="V2880" t="str">
        <f>IF(OR(U2880="",U2880="ERRO_CHAVE"),"",IFERROR(MATCH(U2880,Fornecedores!$AF$1:$AF$6631,0),""))</f>
        <v/>
      </c>
      <c r="W2880" t="str">
        <f t="shared" si="3"/>
        <v/>
      </c>
      <c r="X2880" s="4" t="str">
        <f>IF(V2880="","",INDEX(Fornecedores!$X$1:$X$6631,V2880))</f>
        <v/>
      </c>
      <c r="Y2880" s="4" t="str">
        <f t="shared" si="4"/>
        <v/>
      </c>
    </row>
    <row r="2881" spans="19:25">
      <c r="S2881" t="str">
        <f t="shared" si="0"/>
        <v/>
      </c>
      <c r="T2881" t="str">
        <f t="shared" si="1"/>
        <v/>
      </c>
      <c r="U2881" t="str">
        <f t="shared" si="2"/>
        <v/>
      </c>
      <c r="V2881" t="str">
        <f>IF(OR(U2881="",U2881="ERRO_CHAVE"),"",IFERROR(MATCH(U2881,Fornecedores!$AF$1:$AF$6631,0),""))</f>
        <v/>
      </c>
      <c r="W2881" t="str">
        <f t="shared" si="3"/>
        <v/>
      </c>
      <c r="X2881" s="4" t="str">
        <f>IF(V2881="","",INDEX(Fornecedores!$X$1:$X$6631,V2881))</f>
        <v/>
      </c>
      <c r="Y2881" s="4" t="str">
        <f t="shared" si="4"/>
        <v/>
      </c>
    </row>
    <row r="2882" spans="19:25">
      <c r="S2882" t="str">
        <f t="shared" si="0"/>
        <v/>
      </c>
      <c r="T2882" t="str">
        <f t="shared" si="1"/>
        <v/>
      </c>
      <c r="U2882" t="str">
        <f t="shared" si="2"/>
        <v/>
      </c>
      <c r="V2882" t="str">
        <f>IF(OR(U2882="",U2882="ERRO_CHAVE"),"",IFERROR(MATCH(U2882,Fornecedores!$AF$1:$AF$6631,0),""))</f>
        <v/>
      </c>
      <c r="W2882" t="str">
        <f t="shared" si="3"/>
        <v/>
      </c>
      <c r="X2882" s="4" t="str">
        <f>IF(V2882="","",INDEX(Fornecedores!$X$1:$X$6631,V2882))</f>
        <v/>
      </c>
      <c r="Y2882" s="4" t="str">
        <f t="shared" si="4"/>
        <v/>
      </c>
    </row>
    <row r="2883" spans="19:25">
      <c r="S2883" t="str">
        <f t="shared" si="0"/>
        <v/>
      </c>
      <c r="T2883" t="str">
        <f t="shared" si="1"/>
        <v/>
      </c>
      <c r="U2883" t="str">
        <f t="shared" si="2"/>
        <v/>
      </c>
      <c r="V2883" t="str">
        <f>IF(OR(U2883="",U2883="ERRO_CHAVE"),"",IFERROR(MATCH(U2883,Fornecedores!$AF$1:$AF$6631,0),""))</f>
        <v/>
      </c>
      <c r="W2883" t="str">
        <f t="shared" si="3"/>
        <v/>
      </c>
      <c r="X2883" s="4" t="str">
        <f>IF(V2883="","",INDEX(Fornecedores!$X$1:$X$6631,V2883))</f>
        <v/>
      </c>
      <c r="Y2883" s="4" t="str">
        <f t="shared" si="4"/>
        <v/>
      </c>
    </row>
    <row r="2884" spans="19:25">
      <c r="S2884" t="str">
        <f t="shared" si="0"/>
        <v/>
      </c>
      <c r="T2884" t="str">
        <f t="shared" si="1"/>
        <v/>
      </c>
      <c r="U2884" t="str">
        <f t="shared" si="2"/>
        <v/>
      </c>
      <c r="V2884" t="str">
        <f>IF(OR(U2884="",U2884="ERRO_CHAVE"),"",IFERROR(MATCH(U2884,Fornecedores!$AF$1:$AF$6631,0),""))</f>
        <v/>
      </c>
      <c r="W2884" t="str">
        <f t="shared" si="3"/>
        <v/>
      </c>
      <c r="X2884" s="4" t="str">
        <f>IF(V2884="","",INDEX(Fornecedores!$X$1:$X$6631,V2884))</f>
        <v/>
      </c>
      <c r="Y2884" s="4" t="str">
        <f t="shared" si="4"/>
        <v/>
      </c>
    </row>
    <row r="2885" spans="19:25">
      <c r="S2885" t="str">
        <f t="shared" si="0"/>
        <v/>
      </c>
      <c r="T2885" t="str">
        <f t="shared" si="1"/>
        <v/>
      </c>
      <c r="U2885" t="str">
        <f t="shared" si="2"/>
        <v/>
      </c>
      <c r="V2885" t="str">
        <f>IF(OR(U2885="",U2885="ERRO_CHAVE"),"",IFERROR(MATCH(U2885,Fornecedores!$AF$1:$AF$6631,0),""))</f>
        <v/>
      </c>
      <c r="W2885" t="str">
        <f t="shared" si="3"/>
        <v/>
      </c>
      <c r="X2885" s="4" t="str">
        <f>IF(V2885="","",INDEX(Fornecedores!$X$1:$X$6631,V2885))</f>
        <v/>
      </c>
      <c r="Y2885" s="4" t="str">
        <f t="shared" si="4"/>
        <v/>
      </c>
    </row>
    <row r="2886" spans="19:25">
      <c r="S2886" t="str">
        <f t="shared" si="0"/>
        <v/>
      </c>
      <c r="T2886" t="str">
        <f t="shared" si="1"/>
        <v/>
      </c>
      <c r="U2886" t="str">
        <f t="shared" si="2"/>
        <v/>
      </c>
      <c r="V2886" t="str">
        <f>IF(OR(U2886="",U2886="ERRO_CHAVE"),"",IFERROR(MATCH(U2886,Fornecedores!$AF$1:$AF$6631,0),""))</f>
        <v/>
      </c>
      <c r="W2886" t="str">
        <f t="shared" si="3"/>
        <v/>
      </c>
      <c r="X2886" s="4" t="str">
        <f>IF(V2886="","",INDEX(Fornecedores!$X$1:$X$6631,V2886))</f>
        <v/>
      </c>
      <c r="Y2886" s="4" t="str">
        <f t="shared" si="4"/>
        <v/>
      </c>
    </row>
    <row r="2887" spans="19:25">
      <c r="S2887" t="str">
        <f t="shared" si="0"/>
        <v/>
      </c>
      <c r="T2887" t="str">
        <f t="shared" si="1"/>
        <v/>
      </c>
      <c r="U2887" t="str">
        <f t="shared" si="2"/>
        <v/>
      </c>
      <c r="V2887" t="str">
        <f>IF(OR(U2887="",U2887="ERRO_CHAVE"),"",IFERROR(MATCH(U2887,Fornecedores!$AF$1:$AF$6631,0),""))</f>
        <v/>
      </c>
      <c r="W2887" t="str">
        <f t="shared" si="3"/>
        <v/>
      </c>
      <c r="X2887" s="4" t="str">
        <f>IF(V2887="","",INDEX(Fornecedores!$X$1:$X$6631,V2887))</f>
        <v/>
      </c>
      <c r="Y2887" s="4" t="str">
        <f t="shared" si="4"/>
        <v/>
      </c>
    </row>
    <row r="2888" spans="19:25">
      <c r="S2888" t="str">
        <f t="shared" si="0"/>
        <v/>
      </c>
      <c r="T2888" t="str">
        <f t="shared" si="1"/>
        <v/>
      </c>
      <c r="U2888" t="str">
        <f t="shared" si="2"/>
        <v/>
      </c>
      <c r="V2888" t="str">
        <f>IF(OR(U2888="",U2888="ERRO_CHAVE"),"",IFERROR(MATCH(U2888,Fornecedores!$AF$1:$AF$6631,0),""))</f>
        <v/>
      </c>
      <c r="W2888" t="str">
        <f t="shared" si="3"/>
        <v/>
      </c>
      <c r="X2888" s="4" t="str">
        <f>IF(V2888="","",INDEX(Fornecedores!$X$1:$X$6631,V2888))</f>
        <v/>
      </c>
      <c r="Y2888" s="4" t="str">
        <f t="shared" si="4"/>
        <v/>
      </c>
    </row>
    <row r="2889" spans="19:25">
      <c r="S2889" t="str">
        <f t="shared" si="0"/>
        <v/>
      </c>
      <c r="T2889" t="str">
        <f t="shared" si="1"/>
        <v/>
      </c>
      <c r="U2889" t="str">
        <f t="shared" si="2"/>
        <v/>
      </c>
      <c r="V2889" t="str">
        <f>IF(OR(U2889="",U2889="ERRO_CHAVE"),"",IFERROR(MATCH(U2889,Fornecedores!$AF$1:$AF$6631,0),""))</f>
        <v/>
      </c>
      <c r="W2889" t="str">
        <f t="shared" si="3"/>
        <v/>
      </c>
      <c r="X2889" s="4" t="str">
        <f>IF(V2889="","",INDEX(Fornecedores!$X$1:$X$6631,V2889))</f>
        <v/>
      </c>
      <c r="Y2889" s="4" t="str">
        <f t="shared" si="4"/>
        <v/>
      </c>
    </row>
    <row r="2890" spans="19:25">
      <c r="S2890" t="str">
        <f t="shared" si="0"/>
        <v/>
      </c>
      <c r="T2890" t="str">
        <f t="shared" si="1"/>
        <v/>
      </c>
      <c r="U2890" t="str">
        <f t="shared" si="2"/>
        <v/>
      </c>
      <c r="V2890" t="str">
        <f>IF(OR(U2890="",U2890="ERRO_CHAVE"),"",IFERROR(MATCH(U2890,Fornecedores!$AF$1:$AF$6631,0),""))</f>
        <v/>
      </c>
      <c r="W2890" t="str">
        <f t="shared" si="3"/>
        <v/>
      </c>
      <c r="X2890" s="4" t="str">
        <f>IF(V2890="","",INDEX(Fornecedores!$X$1:$X$6631,V2890))</f>
        <v/>
      </c>
      <c r="Y2890" s="4" t="str">
        <f t="shared" si="4"/>
        <v/>
      </c>
    </row>
    <row r="2891" spans="19:25">
      <c r="S2891" t="str">
        <f t="shared" si="0"/>
        <v/>
      </c>
      <c r="T2891" t="str">
        <f t="shared" si="1"/>
        <v/>
      </c>
      <c r="U2891" t="str">
        <f t="shared" si="2"/>
        <v/>
      </c>
      <c r="V2891" t="str">
        <f>IF(OR(U2891="",U2891="ERRO_CHAVE"),"",IFERROR(MATCH(U2891,Fornecedores!$AF$1:$AF$6631,0),""))</f>
        <v/>
      </c>
      <c r="W2891" t="str">
        <f t="shared" si="3"/>
        <v/>
      </c>
      <c r="X2891" s="4" t="str">
        <f>IF(V2891="","",INDEX(Fornecedores!$X$1:$X$6631,V2891))</f>
        <v/>
      </c>
      <c r="Y2891" s="4" t="str">
        <f t="shared" si="4"/>
        <v/>
      </c>
    </row>
    <row r="2892" spans="19:25">
      <c r="S2892" t="str">
        <f t="shared" si="0"/>
        <v/>
      </c>
      <c r="T2892" t="str">
        <f t="shared" si="1"/>
        <v/>
      </c>
      <c r="U2892" t="str">
        <f t="shared" si="2"/>
        <v/>
      </c>
      <c r="V2892" t="str">
        <f>IF(OR(U2892="",U2892="ERRO_CHAVE"),"",IFERROR(MATCH(U2892,Fornecedores!$AF$1:$AF$6631,0),""))</f>
        <v/>
      </c>
      <c r="W2892" t="str">
        <f t="shared" si="3"/>
        <v/>
      </c>
      <c r="X2892" s="4" t="str">
        <f>IF(V2892="","",INDEX(Fornecedores!$X$1:$X$6631,V2892))</f>
        <v/>
      </c>
      <c r="Y2892" s="4" t="str">
        <f t="shared" si="4"/>
        <v/>
      </c>
    </row>
    <row r="2893" spans="19:25">
      <c r="S2893" t="str">
        <f t="shared" si="0"/>
        <v/>
      </c>
      <c r="T2893" t="str">
        <f t="shared" si="1"/>
        <v/>
      </c>
      <c r="U2893" t="str">
        <f t="shared" si="2"/>
        <v/>
      </c>
      <c r="V2893" t="str">
        <f>IF(OR(U2893="",U2893="ERRO_CHAVE"),"",IFERROR(MATCH(U2893,Fornecedores!$AF$1:$AF$6631,0),""))</f>
        <v/>
      </c>
      <c r="W2893" t="str">
        <f t="shared" si="3"/>
        <v/>
      </c>
      <c r="X2893" s="4" t="str">
        <f>IF(V2893="","",INDEX(Fornecedores!$X$1:$X$6631,V2893))</f>
        <v/>
      </c>
      <c r="Y2893" s="4" t="str">
        <f t="shared" si="4"/>
        <v/>
      </c>
    </row>
    <row r="2894" spans="19:25">
      <c r="S2894" t="str">
        <f t="shared" si="0"/>
        <v/>
      </c>
      <c r="T2894" t="str">
        <f t="shared" si="1"/>
        <v/>
      </c>
      <c r="U2894" t="str">
        <f t="shared" si="2"/>
        <v/>
      </c>
      <c r="V2894" t="str">
        <f>IF(OR(U2894="",U2894="ERRO_CHAVE"),"",IFERROR(MATCH(U2894,Fornecedores!$AF$1:$AF$6631,0),""))</f>
        <v/>
      </c>
      <c r="W2894" t="str">
        <f t="shared" si="3"/>
        <v/>
      </c>
      <c r="X2894" s="4" t="str">
        <f>IF(V2894="","",INDEX(Fornecedores!$X$1:$X$6631,V2894))</f>
        <v/>
      </c>
      <c r="Y2894" s="4" t="str">
        <f t="shared" si="4"/>
        <v/>
      </c>
    </row>
    <row r="2895" spans="19:25">
      <c r="S2895" t="str">
        <f t="shared" si="0"/>
        <v/>
      </c>
      <c r="T2895" t="str">
        <f t="shared" si="1"/>
        <v/>
      </c>
      <c r="U2895" t="str">
        <f t="shared" si="2"/>
        <v/>
      </c>
      <c r="V2895" t="str">
        <f>IF(OR(U2895="",U2895="ERRO_CHAVE"),"",IFERROR(MATCH(U2895,Fornecedores!$AF$1:$AF$6631,0),""))</f>
        <v/>
      </c>
      <c r="W2895" t="str">
        <f t="shared" si="3"/>
        <v/>
      </c>
      <c r="X2895" s="4" t="str">
        <f>IF(V2895="","",INDEX(Fornecedores!$X$1:$X$6631,V2895))</f>
        <v/>
      </c>
      <c r="Y2895" s="4" t="str">
        <f t="shared" si="4"/>
        <v/>
      </c>
    </row>
    <row r="2896" spans="19:25">
      <c r="S2896" t="str">
        <f t="shared" si="0"/>
        <v/>
      </c>
      <c r="T2896" t="str">
        <f t="shared" si="1"/>
        <v/>
      </c>
      <c r="U2896" t="str">
        <f t="shared" si="2"/>
        <v/>
      </c>
      <c r="V2896" t="str">
        <f>IF(OR(U2896="",U2896="ERRO_CHAVE"),"",IFERROR(MATCH(U2896,Fornecedores!$AF$1:$AF$6631,0),""))</f>
        <v/>
      </c>
      <c r="W2896" t="str">
        <f t="shared" si="3"/>
        <v/>
      </c>
      <c r="X2896" s="4" t="str">
        <f>IF(V2896="","",INDEX(Fornecedores!$X$1:$X$6631,V2896))</f>
        <v/>
      </c>
      <c r="Y2896" s="4" t="str">
        <f t="shared" si="4"/>
        <v/>
      </c>
    </row>
    <row r="2897" spans="19:25">
      <c r="S2897" t="str">
        <f t="shared" si="0"/>
        <v/>
      </c>
      <c r="T2897" t="str">
        <f t="shared" si="1"/>
        <v/>
      </c>
      <c r="U2897" t="str">
        <f t="shared" si="2"/>
        <v/>
      </c>
      <c r="V2897" t="str">
        <f>IF(OR(U2897="",U2897="ERRO_CHAVE"),"",IFERROR(MATCH(U2897,Fornecedores!$AF$1:$AF$6631,0),""))</f>
        <v/>
      </c>
      <c r="W2897" t="str">
        <f t="shared" si="3"/>
        <v/>
      </c>
      <c r="X2897" s="4" t="str">
        <f>IF(V2897="","",INDEX(Fornecedores!$X$1:$X$6631,V2897))</f>
        <v/>
      </c>
      <c r="Y2897" s="4" t="str">
        <f t="shared" si="4"/>
        <v/>
      </c>
    </row>
    <row r="2898" spans="19:25">
      <c r="S2898" t="str">
        <f t="shared" si="0"/>
        <v/>
      </c>
      <c r="T2898" t="str">
        <f t="shared" si="1"/>
        <v/>
      </c>
      <c r="U2898" t="str">
        <f t="shared" si="2"/>
        <v/>
      </c>
      <c r="V2898" t="str">
        <f>IF(OR(U2898="",U2898="ERRO_CHAVE"),"",IFERROR(MATCH(U2898,Fornecedores!$AF$1:$AF$6631,0),""))</f>
        <v/>
      </c>
      <c r="W2898" t="str">
        <f t="shared" si="3"/>
        <v/>
      </c>
      <c r="X2898" s="4" t="str">
        <f>IF(V2898="","",INDEX(Fornecedores!$X$1:$X$6631,V2898))</f>
        <v/>
      </c>
      <c r="Y2898" s="4" t="str">
        <f t="shared" si="4"/>
        <v/>
      </c>
    </row>
    <row r="2899" spans="19:25">
      <c r="S2899" t="str">
        <f t="shared" si="0"/>
        <v/>
      </c>
      <c r="T2899" t="str">
        <f t="shared" si="1"/>
        <v/>
      </c>
      <c r="U2899" t="str">
        <f t="shared" si="2"/>
        <v/>
      </c>
      <c r="V2899" t="str">
        <f>IF(OR(U2899="",U2899="ERRO_CHAVE"),"",IFERROR(MATCH(U2899,Fornecedores!$AF$1:$AF$6631,0),""))</f>
        <v/>
      </c>
      <c r="W2899" t="str">
        <f t="shared" si="3"/>
        <v/>
      </c>
      <c r="X2899" s="4" t="str">
        <f>IF(V2899="","",INDEX(Fornecedores!$X$1:$X$6631,V2899))</f>
        <v/>
      </c>
      <c r="Y2899" s="4" t="str">
        <f t="shared" si="4"/>
        <v/>
      </c>
    </row>
    <row r="2900" spans="19:25">
      <c r="S2900" t="str">
        <f t="shared" si="0"/>
        <v/>
      </c>
      <c r="T2900" t="str">
        <f t="shared" si="1"/>
        <v/>
      </c>
      <c r="U2900" t="str">
        <f t="shared" si="2"/>
        <v/>
      </c>
      <c r="V2900" t="str">
        <f>IF(OR(U2900="",U2900="ERRO_CHAVE"),"",IFERROR(MATCH(U2900,Fornecedores!$AF$1:$AF$6631,0),""))</f>
        <v/>
      </c>
      <c r="W2900" t="str">
        <f t="shared" si="3"/>
        <v/>
      </c>
      <c r="X2900" s="4" t="str">
        <f>IF(V2900="","",INDEX(Fornecedores!$X$1:$X$6631,V2900))</f>
        <v/>
      </c>
      <c r="Y2900" s="4" t="str">
        <f t="shared" si="4"/>
        <v/>
      </c>
    </row>
    <row r="2901" spans="19:25">
      <c r="S2901" t="str">
        <f t="shared" si="0"/>
        <v/>
      </c>
      <c r="T2901" t="str">
        <f t="shared" si="1"/>
        <v/>
      </c>
      <c r="U2901" t="str">
        <f t="shared" si="2"/>
        <v/>
      </c>
      <c r="V2901" t="str">
        <f>IF(OR(U2901="",U2901="ERRO_CHAVE"),"",IFERROR(MATCH(U2901,Fornecedores!$AF$1:$AF$6631,0),""))</f>
        <v/>
      </c>
      <c r="W2901" t="str">
        <f t="shared" si="3"/>
        <v/>
      </c>
      <c r="X2901" s="4" t="str">
        <f>IF(V2901="","",INDEX(Fornecedores!$X$1:$X$6631,V2901))</f>
        <v/>
      </c>
      <c r="Y2901" s="4" t="str">
        <f t="shared" si="4"/>
        <v/>
      </c>
    </row>
    <row r="2902" spans="19:25">
      <c r="S2902" t="str">
        <f t="shared" si="0"/>
        <v/>
      </c>
      <c r="T2902" t="str">
        <f t="shared" si="1"/>
        <v/>
      </c>
      <c r="U2902" t="str">
        <f t="shared" si="2"/>
        <v/>
      </c>
      <c r="V2902" t="str">
        <f>IF(OR(U2902="",U2902="ERRO_CHAVE"),"",IFERROR(MATCH(U2902,Fornecedores!$AF$1:$AF$6631,0),""))</f>
        <v/>
      </c>
      <c r="W2902" t="str">
        <f t="shared" si="3"/>
        <v/>
      </c>
      <c r="X2902" s="4" t="str">
        <f>IF(V2902="","",INDEX(Fornecedores!$X$1:$X$6631,V2902))</f>
        <v/>
      </c>
      <c r="Y2902" s="4" t="str">
        <f t="shared" si="4"/>
        <v/>
      </c>
    </row>
    <row r="2903" spans="19:25">
      <c r="S2903" t="str">
        <f t="shared" si="0"/>
        <v/>
      </c>
      <c r="T2903" t="str">
        <f t="shared" si="1"/>
        <v/>
      </c>
      <c r="U2903" t="str">
        <f t="shared" si="2"/>
        <v/>
      </c>
      <c r="V2903" t="str">
        <f>IF(OR(U2903="",U2903="ERRO_CHAVE"),"",IFERROR(MATCH(U2903,Fornecedores!$AF$1:$AF$6631,0),""))</f>
        <v/>
      </c>
      <c r="W2903" t="str">
        <f t="shared" si="3"/>
        <v/>
      </c>
      <c r="X2903" s="4" t="str">
        <f>IF(V2903="","",INDEX(Fornecedores!$X$1:$X$6631,V2903))</f>
        <v/>
      </c>
      <c r="Y2903" s="4" t="str">
        <f t="shared" si="4"/>
        <v/>
      </c>
    </row>
    <row r="2904" spans="19:25">
      <c r="S2904" t="str">
        <f t="shared" si="0"/>
        <v/>
      </c>
      <c r="T2904" t="str">
        <f t="shared" si="1"/>
        <v/>
      </c>
      <c r="U2904" t="str">
        <f t="shared" si="2"/>
        <v/>
      </c>
      <c r="V2904" t="str">
        <f>IF(OR(U2904="",U2904="ERRO_CHAVE"),"",IFERROR(MATCH(U2904,Fornecedores!$AF$1:$AF$6631,0),""))</f>
        <v/>
      </c>
      <c r="W2904" t="str">
        <f t="shared" si="3"/>
        <v/>
      </c>
      <c r="X2904" s="4" t="str">
        <f>IF(V2904="","",INDEX(Fornecedores!$X$1:$X$6631,V2904))</f>
        <v/>
      </c>
      <c r="Y2904" s="4" t="str">
        <f t="shared" si="4"/>
        <v/>
      </c>
    </row>
    <row r="2905" spans="19:25">
      <c r="S2905" t="str">
        <f t="shared" si="0"/>
        <v/>
      </c>
      <c r="T2905" t="str">
        <f t="shared" si="1"/>
        <v/>
      </c>
      <c r="U2905" t="str">
        <f t="shared" si="2"/>
        <v/>
      </c>
      <c r="V2905" t="str">
        <f>IF(OR(U2905="",U2905="ERRO_CHAVE"),"",IFERROR(MATCH(U2905,Fornecedores!$AF$1:$AF$6631,0),""))</f>
        <v/>
      </c>
      <c r="W2905" t="str">
        <f t="shared" si="3"/>
        <v/>
      </c>
      <c r="X2905" s="4" t="str">
        <f>IF(V2905="","",INDEX(Fornecedores!$X$1:$X$6631,V2905))</f>
        <v/>
      </c>
      <c r="Y2905" s="4" t="str">
        <f t="shared" si="4"/>
        <v/>
      </c>
    </row>
    <row r="2906" spans="19:25">
      <c r="S2906" t="str">
        <f t="shared" si="0"/>
        <v/>
      </c>
      <c r="T2906" t="str">
        <f t="shared" si="1"/>
        <v/>
      </c>
      <c r="U2906" t="str">
        <f t="shared" si="2"/>
        <v/>
      </c>
      <c r="V2906" t="str">
        <f>IF(OR(U2906="",U2906="ERRO_CHAVE"),"",IFERROR(MATCH(U2906,Fornecedores!$AF$1:$AF$6631,0),""))</f>
        <v/>
      </c>
      <c r="W2906" t="str">
        <f t="shared" si="3"/>
        <v/>
      </c>
      <c r="X2906" s="4" t="str">
        <f>IF(V2906="","",INDEX(Fornecedores!$X$1:$X$6631,V2906))</f>
        <v/>
      </c>
      <c r="Y2906" s="4" t="str">
        <f t="shared" si="4"/>
        <v/>
      </c>
    </row>
    <row r="2907" spans="19:25">
      <c r="S2907" t="str">
        <f t="shared" si="0"/>
        <v/>
      </c>
      <c r="T2907" t="str">
        <f t="shared" si="1"/>
        <v/>
      </c>
      <c r="U2907" t="str">
        <f t="shared" si="2"/>
        <v/>
      </c>
      <c r="V2907" t="str">
        <f>IF(OR(U2907="",U2907="ERRO_CHAVE"),"",IFERROR(MATCH(U2907,Fornecedores!$AF$1:$AF$6631,0),""))</f>
        <v/>
      </c>
      <c r="W2907" t="str">
        <f t="shared" si="3"/>
        <v/>
      </c>
      <c r="X2907" s="4" t="str">
        <f>IF(V2907="","",INDEX(Fornecedores!$X$1:$X$6631,V2907))</f>
        <v/>
      </c>
      <c r="Y2907" s="4" t="str">
        <f t="shared" si="4"/>
        <v/>
      </c>
    </row>
    <row r="2908" spans="19:25">
      <c r="S2908" t="str">
        <f t="shared" si="0"/>
        <v/>
      </c>
      <c r="T2908" t="str">
        <f t="shared" si="1"/>
        <v/>
      </c>
      <c r="U2908" t="str">
        <f t="shared" si="2"/>
        <v/>
      </c>
      <c r="V2908" t="str">
        <f>IF(OR(U2908="",U2908="ERRO_CHAVE"),"",IFERROR(MATCH(U2908,Fornecedores!$AF$1:$AF$6631,0),""))</f>
        <v/>
      </c>
      <c r="W2908" t="str">
        <f t="shared" si="3"/>
        <v/>
      </c>
      <c r="X2908" s="4" t="str">
        <f>IF(V2908="","",INDEX(Fornecedores!$X$1:$X$6631,V2908))</f>
        <v/>
      </c>
      <c r="Y2908" s="4" t="str">
        <f t="shared" si="4"/>
        <v/>
      </c>
    </row>
    <row r="2909" spans="19:25">
      <c r="S2909" t="str">
        <f t="shared" si="0"/>
        <v/>
      </c>
      <c r="T2909" t="str">
        <f t="shared" si="1"/>
        <v/>
      </c>
      <c r="U2909" t="str">
        <f t="shared" si="2"/>
        <v/>
      </c>
      <c r="V2909" t="str">
        <f>IF(OR(U2909="",U2909="ERRO_CHAVE"),"",IFERROR(MATCH(U2909,Fornecedores!$AF$1:$AF$6631,0),""))</f>
        <v/>
      </c>
      <c r="W2909" t="str">
        <f t="shared" si="3"/>
        <v/>
      </c>
      <c r="X2909" s="4" t="str">
        <f>IF(V2909="","",INDEX(Fornecedores!$X$1:$X$6631,V2909))</f>
        <v/>
      </c>
      <c r="Y2909" s="4" t="str">
        <f t="shared" si="4"/>
        <v/>
      </c>
    </row>
    <row r="2910" spans="19:25">
      <c r="S2910" t="str">
        <f t="shared" si="0"/>
        <v/>
      </c>
      <c r="T2910" t="str">
        <f t="shared" si="1"/>
        <v/>
      </c>
      <c r="U2910" t="str">
        <f t="shared" si="2"/>
        <v/>
      </c>
      <c r="V2910" t="str">
        <f>IF(OR(U2910="",U2910="ERRO_CHAVE"),"",IFERROR(MATCH(U2910,Fornecedores!$AF$1:$AF$6631,0),""))</f>
        <v/>
      </c>
      <c r="W2910" t="str">
        <f t="shared" si="3"/>
        <v/>
      </c>
      <c r="X2910" s="4" t="str">
        <f>IF(V2910="","",INDEX(Fornecedores!$X$1:$X$6631,V2910))</f>
        <v/>
      </c>
      <c r="Y2910" s="4" t="str">
        <f t="shared" si="4"/>
        <v/>
      </c>
    </row>
    <row r="2911" spans="19:25">
      <c r="S2911" t="str">
        <f t="shared" si="0"/>
        <v/>
      </c>
      <c r="T2911" t="str">
        <f t="shared" si="1"/>
        <v/>
      </c>
      <c r="U2911" t="str">
        <f t="shared" si="2"/>
        <v/>
      </c>
      <c r="V2911" t="str">
        <f>IF(OR(U2911="",U2911="ERRO_CHAVE"),"",IFERROR(MATCH(U2911,Fornecedores!$AF$1:$AF$6631,0),""))</f>
        <v/>
      </c>
      <c r="W2911" t="str">
        <f t="shared" si="3"/>
        <v/>
      </c>
      <c r="X2911" s="4" t="str">
        <f>IF(V2911="","",INDEX(Fornecedores!$X$1:$X$6631,V2911))</f>
        <v/>
      </c>
      <c r="Y2911" s="4" t="str">
        <f t="shared" si="4"/>
        <v/>
      </c>
    </row>
    <row r="2912" spans="19:25">
      <c r="S2912" t="str">
        <f t="shared" si="0"/>
        <v/>
      </c>
      <c r="T2912" t="str">
        <f t="shared" si="1"/>
        <v/>
      </c>
      <c r="U2912" t="str">
        <f t="shared" si="2"/>
        <v/>
      </c>
      <c r="V2912" t="str">
        <f>IF(OR(U2912="",U2912="ERRO_CHAVE"),"",IFERROR(MATCH(U2912,Fornecedores!$AF$1:$AF$6631,0),""))</f>
        <v/>
      </c>
      <c r="W2912" t="str">
        <f t="shared" si="3"/>
        <v/>
      </c>
      <c r="X2912" s="4" t="str">
        <f>IF(V2912="","",INDEX(Fornecedores!$X$1:$X$6631,V2912))</f>
        <v/>
      </c>
      <c r="Y2912" s="4" t="str">
        <f t="shared" si="4"/>
        <v/>
      </c>
    </row>
    <row r="2913" spans="19:25">
      <c r="S2913" t="str">
        <f t="shared" si="0"/>
        <v/>
      </c>
      <c r="T2913" t="str">
        <f t="shared" si="1"/>
        <v/>
      </c>
      <c r="U2913" t="str">
        <f t="shared" si="2"/>
        <v/>
      </c>
      <c r="V2913" t="str">
        <f>IF(OR(U2913="",U2913="ERRO_CHAVE"),"",IFERROR(MATCH(U2913,Fornecedores!$AF$1:$AF$6631,0),""))</f>
        <v/>
      </c>
      <c r="W2913" t="str">
        <f t="shared" si="3"/>
        <v/>
      </c>
      <c r="X2913" s="4" t="str">
        <f>IF(V2913="","",INDEX(Fornecedores!$X$1:$X$6631,V2913))</f>
        <v/>
      </c>
      <c r="Y2913" s="4" t="str">
        <f t="shared" si="4"/>
        <v/>
      </c>
    </row>
    <row r="2914" spans="19:25">
      <c r="S2914" t="str">
        <f t="shared" si="0"/>
        <v/>
      </c>
      <c r="T2914" t="str">
        <f t="shared" si="1"/>
        <v/>
      </c>
      <c r="U2914" t="str">
        <f t="shared" si="2"/>
        <v/>
      </c>
      <c r="V2914" t="str">
        <f>IF(OR(U2914="",U2914="ERRO_CHAVE"),"",IFERROR(MATCH(U2914,Fornecedores!$AF$1:$AF$6631,0),""))</f>
        <v/>
      </c>
      <c r="W2914" t="str">
        <f t="shared" si="3"/>
        <v/>
      </c>
      <c r="X2914" s="4" t="str">
        <f>IF(V2914="","",INDEX(Fornecedores!$X$1:$X$6631,V2914))</f>
        <v/>
      </c>
      <c r="Y2914" s="4" t="str">
        <f t="shared" si="4"/>
        <v/>
      </c>
    </row>
    <row r="2915" spans="19:25">
      <c r="S2915" t="str">
        <f t="shared" si="0"/>
        <v/>
      </c>
      <c r="T2915" t="str">
        <f t="shared" si="1"/>
        <v/>
      </c>
      <c r="U2915" t="str">
        <f t="shared" si="2"/>
        <v/>
      </c>
      <c r="V2915" t="str">
        <f>IF(OR(U2915="",U2915="ERRO_CHAVE"),"",IFERROR(MATCH(U2915,Fornecedores!$AF$1:$AF$6631,0),""))</f>
        <v/>
      </c>
      <c r="W2915" t="str">
        <f t="shared" si="3"/>
        <v/>
      </c>
      <c r="X2915" s="4" t="str">
        <f>IF(V2915="","",INDEX(Fornecedores!$X$1:$X$6631,V2915))</f>
        <v/>
      </c>
      <c r="Y2915" s="4" t="str">
        <f t="shared" si="4"/>
        <v/>
      </c>
    </row>
    <row r="2916" spans="19:25">
      <c r="S2916" t="str">
        <f t="shared" si="0"/>
        <v/>
      </c>
      <c r="T2916" t="str">
        <f t="shared" si="1"/>
        <v/>
      </c>
      <c r="U2916" t="str">
        <f t="shared" si="2"/>
        <v/>
      </c>
      <c r="V2916" t="str">
        <f>IF(OR(U2916="",U2916="ERRO_CHAVE"),"",IFERROR(MATCH(U2916,Fornecedores!$AF$1:$AF$6631,0),""))</f>
        <v/>
      </c>
      <c r="W2916" t="str">
        <f t="shared" si="3"/>
        <v/>
      </c>
      <c r="X2916" s="4" t="str">
        <f>IF(V2916="","",INDEX(Fornecedores!$X$1:$X$6631,V2916))</f>
        <v/>
      </c>
      <c r="Y2916" s="4" t="str">
        <f t="shared" si="4"/>
        <v/>
      </c>
    </row>
    <row r="2917" spans="19:25">
      <c r="S2917" t="str">
        <f t="shared" si="0"/>
        <v/>
      </c>
      <c r="T2917" t="str">
        <f t="shared" si="1"/>
        <v/>
      </c>
      <c r="U2917" t="str">
        <f t="shared" si="2"/>
        <v/>
      </c>
      <c r="V2917" t="str">
        <f>IF(OR(U2917="",U2917="ERRO_CHAVE"),"",IFERROR(MATCH(U2917,Fornecedores!$AF$1:$AF$6631,0),""))</f>
        <v/>
      </c>
      <c r="W2917" t="str">
        <f t="shared" si="3"/>
        <v/>
      </c>
      <c r="X2917" s="4" t="str">
        <f>IF(V2917="","",INDEX(Fornecedores!$X$1:$X$6631,V2917))</f>
        <v/>
      </c>
      <c r="Y2917" s="4" t="str">
        <f t="shared" si="4"/>
        <v/>
      </c>
    </row>
    <row r="2918" spans="19:25">
      <c r="S2918" t="str">
        <f t="shared" si="0"/>
        <v/>
      </c>
      <c r="T2918" t="str">
        <f t="shared" si="1"/>
        <v/>
      </c>
      <c r="U2918" t="str">
        <f t="shared" si="2"/>
        <v/>
      </c>
      <c r="V2918" t="str">
        <f>IF(OR(U2918="",U2918="ERRO_CHAVE"),"",IFERROR(MATCH(U2918,Fornecedores!$AF$1:$AF$6631,0),""))</f>
        <v/>
      </c>
      <c r="W2918" t="str">
        <f t="shared" si="3"/>
        <v/>
      </c>
      <c r="X2918" s="4" t="str">
        <f>IF(V2918="","",INDEX(Fornecedores!$X$1:$X$6631,V2918))</f>
        <v/>
      </c>
      <c r="Y2918" s="4" t="str">
        <f t="shared" si="4"/>
        <v/>
      </c>
    </row>
    <row r="2919" spans="19:25">
      <c r="S2919" t="str">
        <f t="shared" si="0"/>
        <v/>
      </c>
      <c r="T2919" t="str">
        <f t="shared" si="1"/>
        <v/>
      </c>
      <c r="U2919" t="str">
        <f t="shared" si="2"/>
        <v/>
      </c>
      <c r="V2919" t="str">
        <f>IF(OR(U2919="",U2919="ERRO_CHAVE"),"",IFERROR(MATCH(U2919,Fornecedores!$AF$1:$AF$6631,0),""))</f>
        <v/>
      </c>
      <c r="W2919" t="str">
        <f t="shared" si="3"/>
        <v/>
      </c>
      <c r="X2919" s="4" t="str">
        <f>IF(V2919="","",INDEX(Fornecedores!$X$1:$X$6631,V2919))</f>
        <v/>
      </c>
      <c r="Y2919" s="4" t="str">
        <f t="shared" si="4"/>
        <v/>
      </c>
    </row>
    <row r="2920" spans="19:25">
      <c r="S2920" t="str">
        <f t="shared" si="0"/>
        <v/>
      </c>
      <c r="T2920" t="str">
        <f t="shared" si="1"/>
        <v/>
      </c>
      <c r="U2920" t="str">
        <f t="shared" si="2"/>
        <v/>
      </c>
      <c r="V2920" t="str">
        <f>IF(OR(U2920="",U2920="ERRO_CHAVE"),"",IFERROR(MATCH(U2920,Fornecedores!$AF$1:$AF$6631,0),""))</f>
        <v/>
      </c>
      <c r="W2920" t="str">
        <f t="shared" si="3"/>
        <v/>
      </c>
      <c r="X2920" s="4" t="str">
        <f>IF(V2920="","",INDEX(Fornecedores!$X$1:$X$6631,V2920))</f>
        <v/>
      </c>
      <c r="Y2920" s="4" t="str">
        <f t="shared" si="4"/>
        <v/>
      </c>
    </row>
    <row r="2921" spans="19:25">
      <c r="S2921" t="str">
        <f t="shared" si="0"/>
        <v/>
      </c>
      <c r="T2921" t="str">
        <f t="shared" si="1"/>
        <v/>
      </c>
      <c r="U2921" t="str">
        <f t="shared" si="2"/>
        <v/>
      </c>
      <c r="V2921" t="str">
        <f>IF(OR(U2921="",U2921="ERRO_CHAVE"),"",IFERROR(MATCH(U2921,Fornecedores!$AF$1:$AF$6631,0),""))</f>
        <v/>
      </c>
      <c r="W2921" t="str">
        <f t="shared" si="3"/>
        <v/>
      </c>
      <c r="X2921" s="4" t="str">
        <f>IF(V2921="","",INDEX(Fornecedores!$X$1:$X$6631,V2921))</f>
        <v/>
      </c>
      <c r="Y2921" s="4" t="str">
        <f t="shared" si="4"/>
        <v/>
      </c>
    </row>
    <row r="2922" spans="19:25">
      <c r="S2922" t="str">
        <f t="shared" si="0"/>
        <v/>
      </c>
      <c r="T2922" t="str">
        <f t="shared" si="1"/>
        <v/>
      </c>
      <c r="U2922" t="str">
        <f t="shared" si="2"/>
        <v/>
      </c>
      <c r="V2922" t="str">
        <f>IF(OR(U2922="",U2922="ERRO_CHAVE"),"",IFERROR(MATCH(U2922,Fornecedores!$AF$1:$AF$6631,0),""))</f>
        <v/>
      </c>
      <c r="W2922" t="str">
        <f t="shared" si="3"/>
        <v/>
      </c>
      <c r="X2922" s="4" t="str">
        <f>IF(V2922="","",INDEX(Fornecedores!$X$1:$X$6631,V2922))</f>
        <v/>
      </c>
      <c r="Y2922" s="4" t="str">
        <f t="shared" si="4"/>
        <v/>
      </c>
    </row>
    <row r="2923" spans="19:25">
      <c r="S2923" t="str">
        <f t="shared" si="0"/>
        <v/>
      </c>
      <c r="T2923" t="str">
        <f t="shared" si="1"/>
        <v/>
      </c>
      <c r="U2923" t="str">
        <f t="shared" si="2"/>
        <v/>
      </c>
      <c r="V2923" t="str">
        <f>IF(OR(U2923="",U2923="ERRO_CHAVE"),"",IFERROR(MATCH(U2923,Fornecedores!$AF$1:$AF$6631,0),""))</f>
        <v/>
      </c>
      <c r="W2923" t="str">
        <f t="shared" si="3"/>
        <v/>
      </c>
      <c r="X2923" s="4" t="str">
        <f>IF(V2923="","",INDEX(Fornecedores!$X$1:$X$6631,V2923))</f>
        <v/>
      </c>
      <c r="Y2923" s="4" t="str">
        <f t="shared" si="4"/>
        <v/>
      </c>
    </row>
    <row r="2924" spans="19:25">
      <c r="S2924" t="str">
        <f t="shared" si="0"/>
        <v/>
      </c>
      <c r="T2924" t="str">
        <f t="shared" si="1"/>
        <v/>
      </c>
      <c r="U2924" t="str">
        <f t="shared" si="2"/>
        <v/>
      </c>
      <c r="V2924" t="str">
        <f>IF(OR(U2924="",U2924="ERRO_CHAVE"),"",IFERROR(MATCH(U2924,Fornecedores!$AF$1:$AF$6631,0),""))</f>
        <v/>
      </c>
      <c r="W2924" t="str">
        <f t="shared" si="3"/>
        <v/>
      </c>
      <c r="X2924" s="4" t="str">
        <f>IF(V2924="","",INDEX(Fornecedores!$X$1:$X$6631,V2924))</f>
        <v/>
      </c>
      <c r="Y2924" s="4" t="str">
        <f t="shared" si="4"/>
        <v/>
      </c>
    </row>
    <row r="2925" spans="19:25">
      <c r="S2925" t="str">
        <f t="shared" si="0"/>
        <v/>
      </c>
      <c r="T2925" t="str">
        <f t="shared" si="1"/>
        <v/>
      </c>
      <c r="U2925" t="str">
        <f t="shared" si="2"/>
        <v/>
      </c>
      <c r="V2925" t="str">
        <f>IF(OR(U2925="",U2925="ERRO_CHAVE"),"",IFERROR(MATCH(U2925,Fornecedores!$AF$1:$AF$6631,0),""))</f>
        <v/>
      </c>
      <c r="W2925" t="str">
        <f t="shared" si="3"/>
        <v/>
      </c>
      <c r="X2925" s="4" t="str">
        <f>IF(V2925="","",INDEX(Fornecedores!$X$1:$X$6631,V2925))</f>
        <v/>
      </c>
      <c r="Y2925" s="4" t="str">
        <f t="shared" si="4"/>
        <v/>
      </c>
    </row>
    <row r="2926" spans="19:25">
      <c r="S2926" t="str">
        <f t="shared" si="0"/>
        <v/>
      </c>
      <c r="T2926" t="str">
        <f t="shared" si="1"/>
        <v/>
      </c>
      <c r="U2926" t="str">
        <f t="shared" si="2"/>
        <v/>
      </c>
      <c r="V2926" t="str">
        <f>IF(OR(U2926="",U2926="ERRO_CHAVE"),"",IFERROR(MATCH(U2926,Fornecedores!$AF$1:$AF$6631,0),""))</f>
        <v/>
      </c>
      <c r="W2926" t="str">
        <f t="shared" si="3"/>
        <v/>
      </c>
      <c r="X2926" s="4" t="str">
        <f>IF(V2926="","",INDEX(Fornecedores!$X$1:$X$6631,V2926))</f>
        <v/>
      </c>
      <c r="Y2926" s="4" t="str">
        <f t="shared" si="4"/>
        <v/>
      </c>
    </row>
    <row r="2927" spans="19:25">
      <c r="S2927" t="str">
        <f t="shared" si="0"/>
        <v/>
      </c>
      <c r="T2927" t="str">
        <f t="shared" si="1"/>
        <v/>
      </c>
      <c r="U2927" t="str">
        <f t="shared" si="2"/>
        <v/>
      </c>
      <c r="V2927" t="str">
        <f>IF(OR(U2927="",U2927="ERRO_CHAVE"),"",IFERROR(MATCH(U2927,Fornecedores!$AF$1:$AF$6631,0),""))</f>
        <v/>
      </c>
      <c r="W2927" t="str">
        <f t="shared" si="3"/>
        <v/>
      </c>
      <c r="X2927" s="4" t="str">
        <f>IF(V2927="","",INDEX(Fornecedores!$X$1:$X$6631,V2927))</f>
        <v/>
      </c>
      <c r="Y2927" s="4" t="str">
        <f t="shared" si="4"/>
        <v/>
      </c>
    </row>
    <row r="2928" spans="19:25">
      <c r="S2928" t="str">
        <f t="shared" si="0"/>
        <v/>
      </c>
      <c r="T2928" t="str">
        <f t="shared" si="1"/>
        <v/>
      </c>
      <c r="U2928" t="str">
        <f t="shared" si="2"/>
        <v/>
      </c>
      <c r="V2928" t="str">
        <f>IF(OR(U2928="",U2928="ERRO_CHAVE"),"",IFERROR(MATCH(U2928,Fornecedores!$AF$1:$AF$6631,0),""))</f>
        <v/>
      </c>
      <c r="W2928" t="str">
        <f t="shared" si="3"/>
        <v/>
      </c>
      <c r="X2928" s="4" t="str">
        <f>IF(V2928="","",INDEX(Fornecedores!$X$1:$X$6631,V2928))</f>
        <v/>
      </c>
      <c r="Y2928" s="4" t="str">
        <f t="shared" si="4"/>
        <v/>
      </c>
    </row>
    <row r="2929" spans="19:25">
      <c r="S2929" t="str">
        <f t="shared" si="0"/>
        <v/>
      </c>
      <c r="T2929" t="str">
        <f t="shared" si="1"/>
        <v/>
      </c>
      <c r="U2929" t="str">
        <f t="shared" si="2"/>
        <v/>
      </c>
      <c r="V2929" t="str">
        <f>IF(OR(U2929="",U2929="ERRO_CHAVE"),"",IFERROR(MATCH(U2929,Fornecedores!$AF$1:$AF$6631,0),""))</f>
        <v/>
      </c>
      <c r="W2929" t="str">
        <f t="shared" si="3"/>
        <v/>
      </c>
      <c r="X2929" s="4" t="str">
        <f>IF(V2929="","",INDEX(Fornecedores!$X$1:$X$6631,V2929))</f>
        <v/>
      </c>
      <c r="Y2929" s="4" t="str">
        <f t="shared" si="4"/>
        <v/>
      </c>
    </row>
    <row r="2930" spans="19:25">
      <c r="S2930" t="str">
        <f t="shared" si="0"/>
        <v/>
      </c>
      <c r="T2930" t="str">
        <f t="shared" si="1"/>
        <v/>
      </c>
      <c r="U2930" t="str">
        <f t="shared" si="2"/>
        <v/>
      </c>
      <c r="V2930" t="str">
        <f>IF(OR(U2930="",U2930="ERRO_CHAVE"),"",IFERROR(MATCH(U2930,Fornecedores!$AF$1:$AF$6631,0),""))</f>
        <v/>
      </c>
      <c r="W2930" t="str">
        <f t="shared" si="3"/>
        <v/>
      </c>
      <c r="X2930" s="4" t="str">
        <f>IF(V2930="","",INDEX(Fornecedores!$X$1:$X$6631,V2930))</f>
        <v/>
      </c>
      <c r="Y2930" s="4" t="str">
        <f t="shared" si="4"/>
        <v/>
      </c>
    </row>
    <row r="2931" spans="19:25">
      <c r="S2931" t="str">
        <f t="shared" si="0"/>
        <v/>
      </c>
      <c r="T2931" t="str">
        <f t="shared" si="1"/>
        <v/>
      </c>
      <c r="U2931" t="str">
        <f t="shared" si="2"/>
        <v/>
      </c>
      <c r="V2931" t="str">
        <f>IF(OR(U2931="",U2931="ERRO_CHAVE"),"",IFERROR(MATCH(U2931,Fornecedores!$AF$1:$AF$6631,0),""))</f>
        <v/>
      </c>
      <c r="W2931" t="str">
        <f t="shared" si="3"/>
        <v/>
      </c>
      <c r="X2931" s="4" t="str">
        <f>IF(V2931="","",INDEX(Fornecedores!$X$1:$X$6631,V2931))</f>
        <v/>
      </c>
      <c r="Y2931" s="4" t="str">
        <f t="shared" si="4"/>
        <v/>
      </c>
    </row>
    <row r="2932" spans="19:25">
      <c r="S2932" t="str">
        <f t="shared" si="0"/>
        <v/>
      </c>
      <c r="T2932" t="str">
        <f t="shared" si="1"/>
        <v/>
      </c>
      <c r="U2932" t="str">
        <f t="shared" si="2"/>
        <v/>
      </c>
      <c r="V2932" t="str">
        <f>IF(OR(U2932="",U2932="ERRO_CHAVE"),"",IFERROR(MATCH(U2932,Fornecedores!$AF$1:$AF$6631,0),""))</f>
        <v/>
      </c>
      <c r="W2932" t="str">
        <f t="shared" si="3"/>
        <v/>
      </c>
      <c r="X2932" s="4" t="str">
        <f>IF(V2932="","",INDEX(Fornecedores!$X$1:$X$6631,V2932))</f>
        <v/>
      </c>
      <c r="Y2932" s="4" t="str">
        <f t="shared" si="4"/>
        <v/>
      </c>
    </row>
    <row r="2933" spans="19:25">
      <c r="S2933" t="str">
        <f t="shared" si="0"/>
        <v/>
      </c>
      <c r="T2933" t="str">
        <f t="shared" si="1"/>
        <v/>
      </c>
      <c r="U2933" t="str">
        <f t="shared" si="2"/>
        <v/>
      </c>
      <c r="V2933" t="str">
        <f>IF(OR(U2933="",U2933="ERRO_CHAVE"),"",IFERROR(MATCH(U2933,Fornecedores!$AF$1:$AF$6631,0),""))</f>
        <v/>
      </c>
      <c r="W2933" t="str">
        <f t="shared" si="3"/>
        <v/>
      </c>
      <c r="X2933" s="4" t="str">
        <f>IF(V2933="","",INDEX(Fornecedores!$X$1:$X$6631,V2933))</f>
        <v/>
      </c>
      <c r="Y2933" s="4" t="str">
        <f t="shared" si="4"/>
        <v/>
      </c>
    </row>
    <row r="2934" spans="19:25">
      <c r="S2934" t="str">
        <f t="shared" si="0"/>
        <v/>
      </c>
      <c r="T2934" t="str">
        <f t="shared" si="1"/>
        <v/>
      </c>
      <c r="U2934" t="str">
        <f t="shared" si="2"/>
        <v/>
      </c>
      <c r="V2934" t="str">
        <f>IF(OR(U2934="",U2934="ERRO_CHAVE"),"",IFERROR(MATCH(U2934,Fornecedores!$AF$1:$AF$6631,0),""))</f>
        <v/>
      </c>
      <c r="W2934" t="str">
        <f t="shared" si="3"/>
        <v/>
      </c>
      <c r="X2934" s="4" t="str">
        <f>IF(V2934="","",INDEX(Fornecedores!$X$1:$X$6631,V2934))</f>
        <v/>
      </c>
      <c r="Y2934" s="4" t="str">
        <f t="shared" si="4"/>
        <v/>
      </c>
    </row>
    <row r="2935" spans="19:25">
      <c r="S2935" t="str">
        <f t="shared" si="0"/>
        <v/>
      </c>
      <c r="T2935" t="str">
        <f t="shared" si="1"/>
        <v/>
      </c>
      <c r="U2935" t="str">
        <f t="shared" si="2"/>
        <v/>
      </c>
      <c r="V2935" t="str">
        <f>IF(OR(U2935="",U2935="ERRO_CHAVE"),"",IFERROR(MATCH(U2935,Fornecedores!$AF$1:$AF$6631,0),""))</f>
        <v/>
      </c>
      <c r="W2935" t="str">
        <f t="shared" si="3"/>
        <v/>
      </c>
      <c r="X2935" s="4" t="str">
        <f>IF(V2935="","",INDEX(Fornecedores!$X$1:$X$6631,V2935))</f>
        <v/>
      </c>
      <c r="Y2935" s="4" t="str">
        <f t="shared" si="4"/>
        <v/>
      </c>
    </row>
    <row r="2936" spans="19:25">
      <c r="S2936" t="str">
        <f t="shared" si="0"/>
        <v/>
      </c>
      <c r="T2936" t="str">
        <f t="shared" si="1"/>
        <v/>
      </c>
      <c r="U2936" t="str">
        <f t="shared" si="2"/>
        <v/>
      </c>
      <c r="V2936" t="str">
        <f>IF(OR(U2936="",U2936="ERRO_CHAVE"),"",IFERROR(MATCH(U2936,Fornecedores!$AF$1:$AF$6631,0),""))</f>
        <v/>
      </c>
      <c r="W2936" t="str">
        <f t="shared" si="3"/>
        <v/>
      </c>
      <c r="X2936" s="4" t="str">
        <f>IF(V2936="","",INDEX(Fornecedores!$X$1:$X$6631,V2936))</f>
        <v/>
      </c>
      <c r="Y2936" s="4" t="str">
        <f t="shared" si="4"/>
        <v/>
      </c>
    </row>
    <row r="2937" spans="19:25">
      <c r="S2937" t="str">
        <f t="shared" si="0"/>
        <v/>
      </c>
      <c r="T2937" t="str">
        <f t="shared" si="1"/>
        <v/>
      </c>
      <c r="U2937" t="str">
        <f t="shared" si="2"/>
        <v/>
      </c>
      <c r="V2937" t="str">
        <f>IF(OR(U2937="",U2937="ERRO_CHAVE"),"",IFERROR(MATCH(U2937,Fornecedores!$AF$1:$AF$6631,0),""))</f>
        <v/>
      </c>
      <c r="W2937" t="str">
        <f t="shared" si="3"/>
        <v/>
      </c>
      <c r="X2937" s="4" t="str">
        <f>IF(V2937="","",INDEX(Fornecedores!$X$1:$X$6631,V2937))</f>
        <v/>
      </c>
      <c r="Y2937" s="4" t="str">
        <f t="shared" si="4"/>
        <v/>
      </c>
    </row>
    <row r="2938" spans="19:25">
      <c r="S2938" t="str">
        <f t="shared" si="0"/>
        <v/>
      </c>
      <c r="T2938" t="str">
        <f t="shared" si="1"/>
        <v/>
      </c>
      <c r="U2938" t="str">
        <f t="shared" si="2"/>
        <v/>
      </c>
      <c r="V2938" t="str">
        <f>IF(OR(U2938="",U2938="ERRO_CHAVE"),"",IFERROR(MATCH(U2938,Fornecedores!$AF$1:$AF$6631,0),""))</f>
        <v/>
      </c>
      <c r="W2938" t="str">
        <f t="shared" si="3"/>
        <v/>
      </c>
      <c r="X2938" s="4" t="str">
        <f>IF(V2938="","",INDEX(Fornecedores!$X$1:$X$6631,V2938))</f>
        <v/>
      </c>
      <c r="Y2938" s="4" t="str">
        <f t="shared" si="4"/>
        <v/>
      </c>
    </row>
    <row r="2939" spans="19:25">
      <c r="S2939" t="str">
        <f t="shared" si="0"/>
        <v/>
      </c>
      <c r="T2939" t="str">
        <f t="shared" si="1"/>
        <v/>
      </c>
      <c r="U2939" t="str">
        <f t="shared" si="2"/>
        <v/>
      </c>
      <c r="V2939" t="str">
        <f>IF(OR(U2939="",U2939="ERRO_CHAVE"),"",IFERROR(MATCH(U2939,Fornecedores!$AF$1:$AF$6631,0),""))</f>
        <v/>
      </c>
      <c r="W2939" t="str">
        <f t="shared" si="3"/>
        <v/>
      </c>
      <c r="X2939" s="4" t="str">
        <f>IF(V2939="","",INDEX(Fornecedores!$X$1:$X$6631,V2939))</f>
        <v/>
      </c>
      <c r="Y2939" s="4" t="str">
        <f t="shared" si="4"/>
        <v/>
      </c>
    </row>
    <row r="2940" spans="19:25">
      <c r="S2940" t="str">
        <f t="shared" si="0"/>
        <v/>
      </c>
      <c r="T2940" t="str">
        <f t="shared" si="1"/>
        <v/>
      </c>
      <c r="U2940" t="str">
        <f t="shared" si="2"/>
        <v/>
      </c>
      <c r="V2940" t="str">
        <f>IF(OR(U2940="",U2940="ERRO_CHAVE"),"",IFERROR(MATCH(U2940,Fornecedores!$AF$1:$AF$6631,0),""))</f>
        <v/>
      </c>
      <c r="W2940" t="str">
        <f t="shared" si="3"/>
        <v/>
      </c>
      <c r="X2940" s="4" t="str">
        <f>IF(V2940="","",INDEX(Fornecedores!$X$1:$X$6631,V2940))</f>
        <v/>
      </c>
      <c r="Y2940" s="4" t="str">
        <f t="shared" si="4"/>
        <v/>
      </c>
    </row>
    <row r="2941" spans="19:25">
      <c r="S2941" t="str">
        <f t="shared" si="0"/>
        <v/>
      </c>
      <c r="T2941" t="str">
        <f t="shared" si="1"/>
        <v/>
      </c>
      <c r="U2941" t="str">
        <f t="shared" si="2"/>
        <v/>
      </c>
      <c r="V2941" t="str">
        <f>IF(OR(U2941="",U2941="ERRO_CHAVE"),"",IFERROR(MATCH(U2941,Fornecedores!$AF$1:$AF$6631,0),""))</f>
        <v/>
      </c>
      <c r="W2941" t="str">
        <f t="shared" si="3"/>
        <v/>
      </c>
      <c r="X2941" s="4" t="str">
        <f>IF(V2941="","",INDEX(Fornecedores!$X$1:$X$6631,V2941))</f>
        <v/>
      </c>
      <c r="Y2941" s="4" t="str">
        <f t="shared" si="4"/>
        <v/>
      </c>
    </row>
    <row r="2942" spans="19:25">
      <c r="S2942" t="str">
        <f t="shared" si="0"/>
        <v/>
      </c>
      <c r="T2942" t="str">
        <f t="shared" si="1"/>
        <v/>
      </c>
      <c r="U2942" t="str">
        <f t="shared" si="2"/>
        <v/>
      </c>
      <c r="V2942" t="str">
        <f>IF(OR(U2942="",U2942="ERRO_CHAVE"),"",IFERROR(MATCH(U2942,Fornecedores!$AF$1:$AF$6631,0),""))</f>
        <v/>
      </c>
      <c r="W2942" t="str">
        <f t="shared" si="3"/>
        <v/>
      </c>
      <c r="X2942" s="4" t="str">
        <f>IF(V2942="","",INDEX(Fornecedores!$X$1:$X$6631,V2942))</f>
        <v/>
      </c>
      <c r="Y2942" s="4" t="str">
        <f t="shared" si="4"/>
        <v/>
      </c>
    </row>
    <row r="2943" spans="19:25">
      <c r="S2943" t="str">
        <f t="shared" si="0"/>
        <v/>
      </c>
      <c r="T2943" t="str">
        <f t="shared" si="1"/>
        <v/>
      </c>
      <c r="U2943" t="str">
        <f t="shared" si="2"/>
        <v/>
      </c>
      <c r="V2943" t="str">
        <f>IF(OR(U2943="",U2943="ERRO_CHAVE"),"",IFERROR(MATCH(U2943,Fornecedores!$AF$1:$AF$6631,0),""))</f>
        <v/>
      </c>
      <c r="W2943" t="str">
        <f t="shared" si="3"/>
        <v/>
      </c>
      <c r="X2943" s="4" t="str">
        <f>IF(V2943="","",INDEX(Fornecedores!$X$1:$X$6631,V2943))</f>
        <v/>
      </c>
      <c r="Y2943" s="4" t="str">
        <f t="shared" si="4"/>
        <v/>
      </c>
    </row>
    <row r="2944" spans="19:25">
      <c r="S2944" t="str">
        <f t="shared" si="0"/>
        <v/>
      </c>
      <c r="T2944" t="str">
        <f t="shared" si="1"/>
        <v/>
      </c>
      <c r="U2944" t="str">
        <f t="shared" si="2"/>
        <v/>
      </c>
      <c r="V2944" t="str">
        <f>IF(OR(U2944="",U2944="ERRO_CHAVE"),"",IFERROR(MATCH(U2944,Fornecedores!$AF$1:$AF$6631,0),""))</f>
        <v/>
      </c>
      <c r="W2944" t="str">
        <f t="shared" si="3"/>
        <v/>
      </c>
      <c r="X2944" s="4" t="str">
        <f>IF(V2944="","",INDEX(Fornecedores!$X$1:$X$6631,V2944))</f>
        <v/>
      </c>
      <c r="Y2944" s="4" t="str">
        <f t="shared" si="4"/>
        <v/>
      </c>
    </row>
    <row r="2945" spans="19:25">
      <c r="S2945" t="str">
        <f t="shared" si="0"/>
        <v/>
      </c>
      <c r="T2945" t="str">
        <f t="shared" si="1"/>
        <v/>
      </c>
      <c r="U2945" t="str">
        <f t="shared" si="2"/>
        <v/>
      </c>
      <c r="V2945" t="str">
        <f>IF(OR(U2945="",U2945="ERRO_CHAVE"),"",IFERROR(MATCH(U2945,Fornecedores!$AF$1:$AF$6631,0),""))</f>
        <v/>
      </c>
      <c r="W2945" t="str">
        <f t="shared" si="3"/>
        <v/>
      </c>
      <c r="X2945" s="4" t="str">
        <f>IF(V2945="","",INDEX(Fornecedores!$X$1:$X$6631,V2945))</f>
        <v/>
      </c>
      <c r="Y2945" s="4" t="str">
        <f t="shared" si="4"/>
        <v/>
      </c>
    </row>
    <row r="2946" spans="19:25">
      <c r="S2946" t="str">
        <f t="shared" si="0"/>
        <v/>
      </c>
      <c r="T2946" t="str">
        <f t="shared" si="1"/>
        <v/>
      </c>
      <c r="U2946" t="str">
        <f t="shared" si="2"/>
        <v/>
      </c>
      <c r="V2946" t="str">
        <f>IF(OR(U2946="",U2946="ERRO_CHAVE"),"",IFERROR(MATCH(U2946,Fornecedores!$AF$1:$AF$6631,0),""))</f>
        <v/>
      </c>
      <c r="W2946" t="str">
        <f t="shared" si="3"/>
        <v/>
      </c>
      <c r="X2946" s="4" t="str">
        <f>IF(V2946="","",INDEX(Fornecedores!$X$1:$X$6631,V2946))</f>
        <v/>
      </c>
      <c r="Y2946" s="4" t="str">
        <f t="shared" si="4"/>
        <v/>
      </c>
    </row>
    <row r="2947" spans="19:25">
      <c r="S2947" t="str">
        <f t="shared" si="0"/>
        <v/>
      </c>
      <c r="T2947" t="str">
        <f t="shared" si="1"/>
        <v/>
      </c>
      <c r="U2947" t="str">
        <f t="shared" si="2"/>
        <v/>
      </c>
      <c r="V2947" t="str">
        <f>IF(OR(U2947="",U2947="ERRO_CHAVE"),"",IFERROR(MATCH(U2947,Fornecedores!$AF$1:$AF$6631,0),""))</f>
        <v/>
      </c>
      <c r="W2947" t="str">
        <f t="shared" si="3"/>
        <v/>
      </c>
      <c r="X2947" s="4" t="str">
        <f>IF(V2947="","",INDEX(Fornecedores!$X$1:$X$6631,V2947))</f>
        <v/>
      </c>
      <c r="Y2947" s="4" t="str">
        <f t="shared" si="4"/>
        <v/>
      </c>
    </row>
    <row r="2948" spans="19:25">
      <c r="S2948" t="str">
        <f t="shared" si="0"/>
        <v/>
      </c>
      <c r="T2948" t="str">
        <f t="shared" si="1"/>
        <v/>
      </c>
      <c r="U2948" t="str">
        <f t="shared" si="2"/>
        <v/>
      </c>
      <c r="V2948" t="str">
        <f>IF(OR(U2948="",U2948="ERRO_CHAVE"),"",IFERROR(MATCH(U2948,Fornecedores!$AF$1:$AF$6631,0),""))</f>
        <v/>
      </c>
      <c r="W2948" t="str">
        <f t="shared" si="3"/>
        <v/>
      </c>
      <c r="X2948" s="4" t="str">
        <f>IF(V2948="","",INDEX(Fornecedores!$X$1:$X$6631,V2948))</f>
        <v/>
      </c>
      <c r="Y2948" s="4" t="str">
        <f t="shared" si="4"/>
        <v/>
      </c>
    </row>
    <row r="2949" spans="19:25">
      <c r="S2949" t="str">
        <f t="shared" si="0"/>
        <v/>
      </c>
      <c r="T2949" t="str">
        <f t="shared" si="1"/>
        <v/>
      </c>
      <c r="U2949" t="str">
        <f t="shared" si="2"/>
        <v/>
      </c>
      <c r="V2949" t="str">
        <f>IF(OR(U2949="",U2949="ERRO_CHAVE"),"",IFERROR(MATCH(U2949,Fornecedores!$AF$1:$AF$6631,0),""))</f>
        <v/>
      </c>
      <c r="W2949" t="str">
        <f t="shared" si="3"/>
        <v/>
      </c>
      <c r="X2949" s="4" t="str">
        <f>IF(V2949="","",INDEX(Fornecedores!$X$1:$X$6631,V2949))</f>
        <v/>
      </c>
      <c r="Y2949" s="4" t="str">
        <f t="shared" si="4"/>
        <v/>
      </c>
    </row>
    <row r="2950" spans="19:25">
      <c r="S2950" t="str">
        <f t="shared" si="0"/>
        <v/>
      </c>
      <c r="T2950" t="str">
        <f t="shared" si="1"/>
        <v/>
      </c>
      <c r="U2950" t="str">
        <f t="shared" si="2"/>
        <v/>
      </c>
      <c r="V2950" t="str">
        <f>IF(OR(U2950="",U2950="ERRO_CHAVE"),"",IFERROR(MATCH(U2950,Fornecedores!$AF$1:$AF$6631,0),""))</f>
        <v/>
      </c>
      <c r="W2950" t="str">
        <f t="shared" si="3"/>
        <v/>
      </c>
      <c r="X2950" s="4" t="str">
        <f>IF(V2950="","",INDEX(Fornecedores!$X$1:$X$6631,V2950))</f>
        <v/>
      </c>
      <c r="Y2950" s="4" t="str">
        <f t="shared" si="4"/>
        <v/>
      </c>
    </row>
    <row r="2951" spans="19:25">
      <c r="S2951" t="str">
        <f t="shared" si="0"/>
        <v/>
      </c>
      <c r="T2951" t="str">
        <f t="shared" si="1"/>
        <v/>
      </c>
      <c r="U2951" t="str">
        <f t="shared" si="2"/>
        <v/>
      </c>
      <c r="V2951" t="str">
        <f>IF(OR(U2951="",U2951="ERRO_CHAVE"),"",IFERROR(MATCH(U2951,Fornecedores!$AF$1:$AF$6631,0),""))</f>
        <v/>
      </c>
      <c r="W2951" t="str">
        <f t="shared" si="3"/>
        <v/>
      </c>
      <c r="X2951" s="4" t="str">
        <f>IF(V2951="","",INDEX(Fornecedores!$X$1:$X$6631,V2951))</f>
        <v/>
      </c>
      <c r="Y2951" s="4" t="str">
        <f t="shared" si="4"/>
        <v/>
      </c>
    </row>
    <row r="2952" spans="19:25">
      <c r="S2952" t="str">
        <f t="shared" si="0"/>
        <v/>
      </c>
      <c r="T2952" t="str">
        <f t="shared" si="1"/>
        <v/>
      </c>
      <c r="U2952" t="str">
        <f t="shared" si="2"/>
        <v/>
      </c>
      <c r="V2952" t="str">
        <f>IF(OR(U2952="",U2952="ERRO_CHAVE"),"",IFERROR(MATCH(U2952,Fornecedores!$AF$1:$AF$6631,0),""))</f>
        <v/>
      </c>
      <c r="W2952" t="str">
        <f t="shared" si="3"/>
        <v/>
      </c>
      <c r="X2952" s="4" t="str">
        <f>IF(V2952="","",INDEX(Fornecedores!$X$1:$X$6631,V2952))</f>
        <v/>
      </c>
      <c r="Y2952" s="4" t="str">
        <f t="shared" si="4"/>
        <v/>
      </c>
    </row>
    <row r="2953" spans="19:25">
      <c r="S2953" t="str">
        <f t="shared" si="0"/>
        <v/>
      </c>
      <c r="T2953" t="str">
        <f t="shared" si="1"/>
        <v/>
      </c>
      <c r="U2953" t="str">
        <f t="shared" si="2"/>
        <v/>
      </c>
      <c r="V2953" t="str">
        <f>IF(OR(U2953="",U2953="ERRO_CHAVE"),"",IFERROR(MATCH(U2953,Fornecedores!$AF$1:$AF$6631,0),""))</f>
        <v/>
      </c>
      <c r="W2953" t="str">
        <f t="shared" si="3"/>
        <v/>
      </c>
      <c r="X2953" s="4" t="str">
        <f>IF(V2953="","",INDEX(Fornecedores!$X$1:$X$6631,V2953))</f>
        <v/>
      </c>
      <c r="Y2953" s="4" t="str">
        <f t="shared" si="4"/>
        <v/>
      </c>
    </row>
    <row r="2954" spans="19:25">
      <c r="S2954" t="str">
        <f t="shared" si="0"/>
        <v/>
      </c>
      <c r="T2954" t="str">
        <f t="shared" si="1"/>
        <v/>
      </c>
      <c r="U2954" t="str">
        <f t="shared" si="2"/>
        <v/>
      </c>
      <c r="V2954" t="str">
        <f>IF(OR(U2954="",U2954="ERRO_CHAVE"),"",IFERROR(MATCH(U2954,Fornecedores!$AF$1:$AF$6631,0),""))</f>
        <v/>
      </c>
      <c r="W2954" t="str">
        <f t="shared" si="3"/>
        <v/>
      </c>
      <c r="X2954" s="4" t="str">
        <f>IF(V2954="","",INDEX(Fornecedores!$X$1:$X$6631,V2954))</f>
        <v/>
      </c>
      <c r="Y2954" s="4" t="str">
        <f t="shared" si="4"/>
        <v/>
      </c>
    </row>
    <row r="2955" spans="19:25">
      <c r="S2955" t="str">
        <f t="shared" si="0"/>
        <v/>
      </c>
      <c r="T2955" t="str">
        <f t="shared" si="1"/>
        <v/>
      </c>
      <c r="U2955" t="str">
        <f t="shared" si="2"/>
        <v/>
      </c>
      <c r="V2955" t="str">
        <f>IF(OR(U2955="",U2955="ERRO_CHAVE"),"",IFERROR(MATCH(U2955,Fornecedores!$AF$1:$AF$6631,0),""))</f>
        <v/>
      </c>
      <c r="W2955" t="str">
        <f t="shared" si="3"/>
        <v/>
      </c>
      <c r="X2955" s="4" t="str">
        <f>IF(V2955="","",INDEX(Fornecedores!$X$1:$X$6631,V2955))</f>
        <v/>
      </c>
      <c r="Y2955" s="4" t="str">
        <f t="shared" si="4"/>
        <v/>
      </c>
    </row>
    <row r="2956" spans="19:25">
      <c r="S2956" t="str">
        <f t="shared" si="0"/>
        <v/>
      </c>
      <c r="T2956" t="str">
        <f t="shared" si="1"/>
        <v/>
      </c>
      <c r="U2956" t="str">
        <f t="shared" si="2"/>
        <v/>
      </c>
      <c r="V2956" t="str">
        <f>IF(OR(U2956="",U2956="ERRO_CHAVE"),"",IFERROR(MATCH(U2956,Fornecedores!$AF$1:$AF$6631,0),""))</f>
        <v/>
      </c>
      <c r="W2956" t="str">
        <f t="shared" si="3"/>
        <v/>
      </c>
      <c r="X2956" s="4" t="str">
        <f>IF(V2956="","",INDEX(Fornecedores!$X$1:$X$6631,V2956))</f>
        <v/>
      </c>
      <c r="Y2956" s="4" t="str">
        <f t="shared" si="4"/>
        <v/>
      </c>
    </row>
    <row r="2957" spans="19:25">
      <c r="S2957" t="str">
        <f t="shared" si="0"/>
        <v/>
      </c>
      <c r="T2957" t="str">
        <f t="shared" si="1"/>
        <v/>
      </c>
      <c r="U2957" t="str">
        <f t="shared" si="2"/>
        <v/>
      </c>
      <c r="V2957" t="str">
        <f>IF(OR(U2957="",U2957="ERRO_CHAVE"),"",IFERROR(MATCH(U2957,Fornecedores!$AF$1:$AF$6631,0),""))</f>
        <v/>
      </c>
      <c r="W2957" t="str">
        <f t="shared" si="3"/>
        <v/>
      </c>
      <c r="X2957" s="4" t="str">
        <f>IF(V2957="","",INDEX(Fornecedores!$X$1:$X$6631,V2957))</f>
        <v/>
      </c>
      <c r="Y2957" s="4" t="str">
        <f t="shared" si="4"/>
        <v/>
      </c>
    </row>
    <row r="2958" spans="19:25">
      <c r="S2958" t="str">
        <f t="shared" si="0"/>
        <v/>
      </c>
      <c r="T2958" t="str">
        <f t="shared" si="1"/>
        <v/>
      </c>
      <c r="U2958" t="str">
        <f t="shared" si="2"/>
        <v/>
      </c>
      <c r="V2958" t="str">
        <f>IF(OR(U2958="",U2958="ERRO_CHAVE"),"",IFERROR(MATCH(U2958,Fornecedores!$AF$1:$AF$6631,0),""))</f>
        <v/>
      </c>
      <c r="W2958" t="str">
        <f t="shared" si="3"/>
        <v/>
      </c>
      <c r="X2958" s="4" t="str">
        <f>IF(V2958="","",INDEX(Fornecedores!$X$1:$X$6631,V2958))</f>
        <v/>
      </c>
      <c r="Y2958" s="4" t="str">
        <f t="shared" si="4"/>
        <v/>
      </c>
    </row>
    <row r="2959" spans="19:25">
      <c r="S2959" t="str">
        <f t="shared" si="0"/>
        <v/>
      </c>
      <c r="T2959" t="str">
        <f t="shared" si="1"/>
        <v/>
      </c>
      <c r="U2959" t="str">
        <f t="shared" si="2"/>
        <v/>
      </c>
      <c r="V2959" t="str">
        <f>IF(OR(U2959="",U2959="ERRO_CHAVE"),"",IFERROR(MATCH(U2959,Fornecedores!$AF$1:$AF$6631,0),""))</f>
        <v/>
      </c>
      <c r="W2959" t="str">
        <f t="shared" si="3"/>
        <v/>
      </c>
      <c r="X2959" s="4" t="str">
        <f>IF(V2959="","",INDEX(Fornecedores!$X$1:$X$6631,V2959))</f>
        <v/>
      </c>
      <c r="Y2959" s="4" t="str">
        <f t="shared" si="4"/>
        <v/>
      </c>
    </row>
    <row r="2960" spans="19:25">
      <c r="S2960" t="str">
        <f t="shared" si="0"/>
        <v/>
      </c>
      <c r="T2960" t="str">
        <f t="shared" si="1"/>
        <v/>
      </c>
      <c r="U2960" t="str">
        <f t="shared" si="2"/>
        <v/>
      </c>
      <c r="V2960" t="str">
        <f>IF(OR(U2960="",U2960="ERRO_CHAVE"),"",IFERROR(MATCH(U2960,Fornecedores!$AF$1:$AF$6631,0),""))</f>
        <v/>
      </c>
      <c r="W2960" t="str">
        <f t="shared" si="3"/>
        <v/>
      </c>
      <c r="X2960" s="4" t="str">
        <f>IF(V2960="","",INDEX(Fornecedores!$X$1:$X$6631,V2960))</f>
        <v/>
      </c>
      <c r="Y2960" s="4" t="str">
        <f t="shared" si="4"/>
        <v/>
      </c>
    </row>
    <row r="2961" spans="19:25">
      <c r="S2961" t="str">
        <f t="shared" si="0"/>
        <v/>
      </c>
      <c r="T2961" t="str">
        <f t="shared" si="1"/>
        <v/>
      </c>
      <c r="U2961" t="str">
        <f t="shared" si="2"/>
        <v/>
      </c>
      <c r="V2961" t="str">
        <f>IF(OR(U2961="",U2961="ERRO_CHAVE"),"",IFERROR(MATCH(U2961,Fornecedores!$AF$1:$AF$6631,0),""))</f>
        <v/>
      </c>
      <c r="W2961" t="str">
        <f t="shared" si="3"/>
        <v/>
      </c>
      <c r="X2961" s="4" t="str">
        <f>IF(V2961="","",INDEX(Fornecedores!$X$1:$X$6631,V2961))</f>
        <v/>
      </c>
      <c r="Y2961" s="4" t="str">
        <f t="shared" si="4"/>
        <v/>
      </c>
    </row>
    <row r="2962" spans="19:25">
      <c r="S2962" t="str">
        <f t="shared" si="0"/>
        <v/>
      </c>
      <c r="T2962" t="str">
        <f t="shared" si="1"/>
        <v/>
      </c>
      <c r="U2962" t="str">
        <f t="shared" si="2"/>
        <v/>
      </c>
      <c r="V2962" t="str">
        <f>IF(OR(U2962="",U2962="ERRO_CHAVE"),"",IFERROR(MATCH(U2962,Fornecedores!$AF$1:$AF$6631,0),""))</f>
        <v/>
      </c>
      <c r="W2962" t="str">
        <f t="shared" si="3"/>
        <v/>
      </c>
      <c r="X2962" s="4" t="str">
        <f>IF(V2962="","",INDEX(Fornecedores!$X$1:$X$6631,V2962))</f>
        <v/>
      </c>
      <c r="Y2962" s="4" t="str">
        <f t="shared" si="4"/>
        <v/>
      </c>
    </row>
    <row r="2963" spans="19:25">
      <c r="S2963" t="str">
        <f t="shared" si="0"/>
        <v/>
      </c>
      <c r="T2963" t="str">
        <f t="shared" si="1"/>
        <v/>
      </c>
      <c r="U2963" t="str">
        <f t="shared" si="2"/>
        <v/>
      </c>
      <c r="V2963" t="str">
        <f>IF(OR(U2963="",U2963="ERRO_CHAVE"),"",IFERROR(MATCH(U2963,Fornecedores!$AF$1:$AF$6631,0),""))</f>
        <v/>
      </c>
      <c r="W2963" t="str">
        <f t="shared" si="3"/>
        <v/>
      </c>
      <c r="X2963" s="4" t="str">
        <f>IF(V2963="","",INDEX(Fornecedores!$X$1:$X$6631,V2963))</f>
        <v/>
      </c>
      <c r="Y2963" s="4" t="str">
        <f t="shared" si="4"/>
        <v/>
      </c>
    </row>
    <row r="2964" spans="19:25">
      <c r="S2964" t="str">
        <f t="shared" si="0"/>
        <v/>
      </c>
      <c r="T2964" t="str">
        <f t="shared" si="1"/>
        <v/>
      </c>
      <c r="U2964" t="str">
        <f t="shared" si="2"/>
        <v/>
      </c>
      <c r="V2964" t="str">
        <f>IF(OR(U2964="",U2964="ERRO_CHAVE"),"",IFERROR(MATCH(U2964,Fornecedores!$AF$1:$AF$6631,0),""))</f>
        <v/>
      </c>
      <c r="W2964" t="str">
        <f t="shared" si="3"/>
        <v/>
      </c>
      <c r="X2964" s="4" t="str">
        <f>IF(V2964="","",INDEX(Fornecedores!$X$1:$X$6631,V2964))</f>
        <v/>
      </c>
      <c r="Y2964" s="4" t="str">
        <f t="shared" si="4"/>
        <v/>
      </c>
    </row>
    <row r="2965" spans="19:25">
      <c r="S2965" t="str">
        <f t="shared" si="0"/>
        <v/>
      </c>
      <c r="T2965" t="str">
        <f t="shared" si="1"/>
        <v/>
      </c>
      <c r="U2965" t="str">
        <f t="shared" si="2"/>
        <v/>
      </c>
      <c r="V2965" t="str">
        <f>IF(OR(U2965="",U2965="ERRO_CHAVE"),"",IFERROR(MATCH(U2965,Fornecedores!$AF$1:$AF$6631,0),""))</f>
        <v/>
      </c>
      <c r="W2965" t="str">
        <f t="shared" si="3"/>
        <v/>
      </c>
      <c r="X2965" s="4" t="str">
        <f>IF(V2965="","",INDEX(Fornecedores!$X$1:$X$6631,V2965))</f>
        <v/>
      </c>
      <c r="Y2965" s="4" t="str">
        <f t="shared" si="4"/>
        <v/>
      </c>
    </row>
    <row r="2966" spans="19:25">
      <c r="S2966" t="str">
        <f t="shared" si="0"/>
        <v/>
      </c>
      <c r="T2966" t="str">
        <f t="shared" si="1"/>
        <v/>
      </c>
      <c r="U2966" t="str">
        <f t="shared" si="2"/>
        <v/>
      </c>
      <c r="V2966" t="str">
        <f>IF(OR(U2966="",U2966="ERRO_CHAVE"),"",IFERROR(MATCH(U2966,Fornecedores!$AF$1:$AF$6631,0),""))</f>
        <v/>
      </c>
      <c r="W2966" t="str">
        <f t="shared" si="3"/>
        <v/>
      </c>
      <c r="X2966" s="4" t="str">
        <f>IF(V2966="","",INDEX(Fornecedores!$X$1:$X$6631,V2966))</f>
        <v/>
      </c>
      <c r="Y2966" s="4" t="str">
        <f t="shared" si="4"/>
        <v/>
      </c>
    </row>
    <row r="2967" spans="19:25">
      <c r="S2967" t="str">
        <f t="shared" si="0"/>
        <v/>
      </c>
      <c r="T2967" t="str">
        <f t="shared" si="1"/>
        <v/>
      </c>
      <c r="U2967" t="str">
        <f t="shared" si="2"/>
        <v/>
      </c>
      <c r="V2967" t="str">
        <f>IF(OR(U2967="",U2967="ERRO_CHAVE"),"",IFERROR(MATCH(U2967,Fornecedores!$AF$1:$AF$6631,0),""))</f>
        <v/>
      </c>
      <c r="W2967" t="str">
        <f t="shared" si="3"/>
        <v/>
      </c>
      <c r="X2967" s="4" t="str">
        <f>IF(V2967="","",INDEX(Fornecedores!$X$1:$X$6631,V2967))</f>
        <v/>
      </c>
      <c r="Y2967" s="4" t="str">
        <f t="shared" si="4"/>
        <v/>
      </c>
    </row>
    <row r="2968" spans="19:25">
      <c r="S2968" t="str">
        <f t="shared" si="0"/>
        <v/>
      </c>
      <c r="T2968" t="str">
        <f t="shared" si="1"/>
        <v/>
      </c>
      <c r="U2968" t="str">
        <f t="shared" si="2"/>
        <v/>
      </c>
      <c r="V2968" t="str">
        <f>IF(OR(U2968="",U2968="ERRO_CHAVE"),"",IFERROR(MATCH(U2968,Fornecedores!$AF$1:$AF$6631,0),""))</f>
        <v/>
      </c>
      <c r="W2968" t="str">
        <f t="shared" si="3"/>
        <v/>
      </c>
      <c r="X2968" s="4" t="str">
        <f>IF(V2968="","",INDEX(Fornecedores!$X$1:$X$6631,V2968))</f>
        <v/>
      </c>
      <c r="Y2968" s="4" t="str">
        <f t="shared" si="4"/>
        <v/>
      </c>
    </row>
    <row r="2969" spans="19:25">
      <c r="S2969" t="str">
        <f t="shared" si="0"/>
        <v/>
      </c>
      <c r="T2969" t="str">
        <f t="shared" si="1"/>
        <v/>
      </c>
      <c r="U2969" t="str">
        <f t="shared" si="2"/>
        <v/>
      </c>
      <c r="V2969" t="str">
        <f>IF(OR(U2969="",U2969="ERRO_CHAVE"),"",IFERROR(MATCH(U2969,Fornecedores!$AF$1:$AF$6631,0),""))</f>
        <v/>
      </c>
      <c r="W2969" t="str">
        <f t="shared" si="3"/>
        <v/>
      </c>
      <c r="X2969" s="4" t="str">
        <f>IF(V2969="","",INDEX(Fornecedores!$X$1:$X$6631,V2969))</f>
        <v/>
      </c>
      <c r="Y2969" s="4" t="str">
        <f t="shared" si="4"/>
        <v/>
      </c>
    </row>
    <row r="2970" spans="19:25">
      <c r="S2970" t="str">
        <f t="shared" si="0"/>
        <v/>
      </c>
      <c r="T2970" t="str">
        <f t="shared" si="1"/>
        <v/>
      </c>
      <c r="U2970" t="str">
        <f t="shared" si="2"/>
        <v/>
      </c>
      <c r="V2970" t="str">
        <f>IF(OR(U2970="",U2970="ERRO_CHAVE"),"",IFERROR(MATCH(U2970,Fornecedores!$AF$1:$AF$6631,0),""))</f>
        <v/>
      </c>
      <c r="W2970" t="str">
        <f t="shared" si="3"/>
        <v/>
      </c>
      <c r="X2970" s="4" t="str">
        <f>IF(V2970="","",INDEX(Fornecedores!$X$1:$X$6631,V2970))</f>
        <v/>
      </c>
      <c r="Y2970" s="4" t="str">
        <f t="shared" si="4"/>
        <v/>
      </c>
    </row>
    <row r="2971" spans="19:25">
      <c r="S2971" t="str">
        <f t="shared" si="0"/>
        <v/>
      </c>
      <c r="T2971" t="str">
        <f t="shared" si="1"/>
        <v/>
      </c>
      <c r="U2971" t="str">
        <f t="shared" si="2"/>
        <v/>
      </c>
      <c r="V2971" t="str">
        <f>IF(OR(U2971="",U2971="ERRO_CHAVE"),"",IFERROR(MATCH(U2971,Fornecedores!$AF$1:$AF$6631,0),""))</f>
        <v/>
      </c>
      <c r="W2971" t="str">
        <f t="shared" si="3"/>
        <v/>
      </c>
      <c r="X2971" s="4" t="str">
        <f>IF(V2971="","",INDEX(Fornecedores!$X$1:$X$6631,V2971))</f>
        <v/>
      </c>
      <c r="Y2971" s="4" t="str">
        <f t="shared" si="4"/>
        <v/>
      </c>
    </row>
    <row r="2972" spans="19:25">
      <c r="S2972" t="str">
        <f t="shared" si="0"/>
        <v/>
      </c>
      <c r="T2972" t="str">
        <f t="shared" si="1"/>
        <v/>
      </c>
      <c r="U2972" t="str">
        <f t="shared" si="2"/>
        <v/>
      </c>
      <c r="V2972" t="str">
        <f>IF(OR(U2972="",U2972="ERRO_CHAVE"),"",IFERROR(MATCH(U2972,Fornecedores!$AF$1:$AF$6631,0),""))</f>
        <v/>
      </c>
      <c r="W2972" t="str">
        <f t="shared" si="3"/>
        <v/>
      </c>
      <c r="X2972" s="4" t="str">
        <f>IF(V2972="","",INDEX(Fornecedores!$X$1:$X$6631,V2972))</f>
        <v/>
      </c>
      <c r="Y2972" s="4" t="str">
        <f t="shared" si="4"/>
        <v/>
      </c>
    </row>
    <row r="2973" spans="19:25">
      <c r="S2973" t="str">
        <f t="shared" si="0"/>
        <v/>
      </c>
      <c r="T2973" t="str">
        <f t="shared" si="1"/>
        <v/>
      </c>
      <c r="U2973" t="str">
        <f t="shared" si="2"/>
        <v/>
      </c>
      <c r="V2973" t="str">
        <f>IF(OR(U2973="",U2973="ERRO_CHAVE"),"",IFERROR(MATCH(U2973,Fornecedores!$AF$1:$AF$6631,0),""))</f>
        <v/>
      </c>
      <c r="W2973" t="str">
        <f t="shared" si="3"/>
        <v/>
      </c>
      <c r="X2973" s="4" t="str">
        <f>IF(V2973="","",INDEX(Fornecedores!$X$1:$X$6631,V2973))</f>
        <v/>
      </c>
      <c r="Y2973" s="4" t="str">
        <f t="shared" si="4"/>
        <v/>
      </c>
    </row>
    <row r="2974" spans="19:25">
      <c r="S2974" t="str">
        <f t="shared" si="0"/>
        <v/>
      </c>
      <c r="T2974" t="str">
        <f t="shared" si="1"/>
        <v/>
      </c>
      <c r="U2974" t="str">
        <f t="shared" si="2"/>
        <v/>
      </c>
      <c r="V2974" t="str">
        <f>IF(OR(U2974="",U2974="ERRO_CHAVE"),"",IFERROR(MATCH(U2974,Fornecedores!$AF$1:$AF$6631,0),""))</f>
        <v/>
      </c>
      <c r="W2974" t="str">
        <f t="shared" si="3"/>
        <v/>
      </c>
      <c r="X2974" s="4" t="str">
        <f>IF(V2974="","",INDEX(Fornecedores!$X$1:$X$6631,V2974))</f>
        <v/>
      </c>
      <c r="Y2974" s="4" t="str">
        <f t="shared" si="4"/>
        <v/>
      </c>
    </row>
    <row r="2975" spans="19:25">
      <c r="S2975" t="str">
        <f t="shared" si="0"/>
        <v/>
      </c>
      <c r="T2975" t="str">
        <f t="shared" si="1"/>
        <v/>
      </c>
      <c r="U2975" t="str">
        <f t="shared" si="2"/>
        <v/>
      </c>
      <c r="V2975" t="str">
        <f>IF(OR(U2975="",U2975="ERRO_CHAVE"),"",IFERROR(MATCH(U2975,Fornecedores!$AF$1:$AF$6631,0),""))</f>
        <v/>
      </c>
      <c r="W2975" t="str">
        <f t="shared" si="3"/>
        <v/>
      </c>
      <c r="X2975" s="4" t="str">
        <f>IF(V2975="","",INDEX(Fornecedores!$X$1:$X$6631,V2975))</f>
        <v/>
      </c>
      <c r="Y2975" s="4" t="str">
        <f t="shared" si="4"/>
        <v/>
      </c>
    </row>
    <row r="2976" spans="19:25">
      <c r="S2976" t="str">
        <f t="shared" si="0"/>
        <v/>
      </c>
      <c r="T2976" t="str">
        <f t="shared" si="1"/>
        <v/>
      </c>
      <c r="U2976" t="str">
        <f t="shared" si="2"/>
        <v/>
      </c>
      <c r="V2976" t="str">
        <f>IF(OR(U2976="",U2976="ERRO_CHAVE"),"",IFERROR(MATCH(U2976,Fornecedores!$AF$1:$AF$6631,0),""))</f>
        <v/>
      </c>
      <c r="W2976" t="str">
        <f t="shared" si="3"/>
        <v/>
      </c>
      <c r="X2976" s="4" t="str">
        <f>IF(V2976="","",INDEX(Fornecedores!$X$1:$X$6631,V2976))</f>
        <v/>
      </c>
      <c r="Y2976" s="4" t="str">
        <f t="shared" si="4"/>
        <v/>
      </c>
    </row>
    <row r="2977" spans="19:25">
      <c r="S2977" t="str">
        <f t="shared" si="0"/>
        <v/>
      </c>
      <c r="T2977" t="str">
        <f t="shared" si="1"/>
        <v/>
      </c>
      <c r="U2977" t="str">
        <f t="shared" si="2"/>
        <v/>
      </c>
      <c r="V2977" t="str">
        <f>IF(OR(U2977="",U2977="ERRO_CHAVE"),"",IFERROR(MATCH(U2977,Fornecedores!$AF$1:$AF$6631,0),""))</f>
        <v/>
      </c>
      <c r="W2977" t="str">
        <f t="shared" si="3"/>
        <v/>
      </c>
      <c r="X2977" s="4" t="str">
        <f>IF(V2977="","",INDEX(Fornecedores!$X$1:$X$6631,V2977))</f>
        <v/>
      </c>
      <c r="Y2977" s="4" t="str">
        <f t="shared" si="4"/>
        <v/>
      </c>
    </row>
    <row r="2978" spans="19:25">
      <c r="S2978" t="str">
        <f t="shared" si="0"/>
        <v/>
      </c>
      <c r="T2978" t="str">
        <f t="shared" si="1"/>
        <v/>
      </c>
      <c r="U2978" t="str">
        <f t="shared" si="2"/>
        <v/>
      </c>
      <c r="V2978" t="str">
        <f>IF(OR(U2978="",U2978="ERRO_CHAVE"),"",IFERROR(MATCH(U2978,Fornecedores!$AF$1:$AF$6631,0),""))</f>
        <v/>
      </c>
      <c r="W2978" t="str">
        <f t="shared" si="3"/>
        <v/>
      </c>
      <c r="X2978" s="4" t="str">
        <f>IF(V2978="","",INDEX(Fornecedores!$X$1:$X$6631,V2978))</f>
        <v/>
      </c>
      <c r="Y2978" s="4" t="str">
        <f t="shared" si="4"/>
        <v/>
      </c>
    </row>
    <row r="2979" spans="19:25">
      <c r="S2979" t="str">
        <f t="shared" si="0"/>
        <v/>
      </c>
      <c r="T2979" t="str">
        <f t="shared" si="1"/>
        <v/>
      </c>
      <c r="U2979" t="str">
        <f t="shared" si="2"/>
        <v/>
      </c>
      <c r="V2979" t="str">
        <f>IF(OR(U2979="",U2979="ERRO_CHAVE"),"",IFERROR(MATCH(U2979,Fornecedores!$AF$1:$AF$6631,0),""))</f>
        <v/>
      </c>
      <c r="W2979" t="str">
        <f t="shared" si="3"/>
        <v/>
      </c>
      <c r="X2979" s="4" t="str">
        <f>IF(V2979="","",INDEX(Fornecedores!$X$1:$X$6631,V2979))</f>
        <v/>
      </c>
      <c r="Y2979" s="4" t="str">
        <f t="shared" si="4"/>
        <v/>
      </c>
    </row>
    <row r="2980" spans="19:25">
      <c r="S2980" t="str">
        <f t="shared" si="0"/>
        <v/>
      </c>
      <c r="T2980" t="str">
        <f t="shared" si="1"/>
        <v/>
      </c>
      <c r="U2980" t="str">
        <f t="shared" si="2"/>
        <v/>
      </c>
      <c r="V2980" t="str">
        <f>IF(OR(U2980="",U2980="ERRO_CHAVE"),"",IFERROR(MATCH(U2980,Fornecedores!$AF$1:$AF$6631,0),""))</f>
        <v/>
      </c>
      <c r="W2980" t="str">
        <f t="shared" si="3"/>
        <v/>
      </c>
      <c r="X2980" s="4" t="str">
        <f>IF(V2980="","",INDEX(Fornecedores!$X$1:$X$6631,V2980))</f>
        <v/>
      </c>
      <c r="Y2980" s="4" t="str">
        <f t="shared" si="4"/>
        <v/>
      </c>
    </row>
    <row r="2981" spans="19:25">
      <c r="S2981" t="str">
        <f t="shared" si="0"/>
        <v/>
      </c>
      <c r="T2981" t="str">
        <f t="shared" si="1"/>
        <v/>
      </c>
      <c r="U2981" t="str">
        <f t="shared" si="2"/>
        <v/>
      </c>
      <c r="V2981" t="str">
        <f>IF(OR(U2981="",U2981="ERRO_CHAVE"),"",IFERROR(MATCH(U2981,Fornecedores!$AF$1:$AF$6631,0),""))</f>
        <v/>
      </c>
      <c r="W2981" t="str">
        <f t="shared" si="3"/>
        <v/>
      </c>
      <c r="X2981" s="4" t="str">
        <f>IF(V2981="","",INDEX(Fornecedores!$X$1:$X$6631,V2981))</f>
        <v/>
      </c>
      <c r="Y2981" s="4" t="str">
        <f t="shared" si="4"/>
        <v/>
      </c>
    </row>
    <row r="2982" spans="19:25">
      <c r="S2982" t="str">
        <f t="shared" si="0"/>
        <v/>
      </c>
      <c r="T2982" t="str">
        <f t="shared" si="1"/>
        <v/>
      </c>
      <c r="U2982" t="str">
        <f t="shared" si="2"/>
        <v/>
      </c>
      <c r="V2982" t="str">
        <f>IF(OR(U2982="",U2982="ERRO_CHAVE"),"",IFERROR(MATCH(U2982,Fornecedores!$AF$1:$AF$6631,0),""))</f>
        <v/>
      </c>
      <c r="W2982" t="str">
        <f t="shared" si="3"/>
        <v/>
      </c>
      <c r="X2982" s="4" t="str">
        <f>IF(V2982="","",INDEX(Fornecedores!$X$1:$X$6631,V2982))</f>
        <v/>
      </c>
      <c r="Y2982" s="4" t="str">
        <f t="shared" si="4"/>
        <v/>
      </c>
    </row>
    <row r="2983" spans="19:25">
      <c r="S2983" t="str">
        <f t="shared" si="0"/>
        <v/>
      </c>
      <c r="T2983" t="str">
        <f t="shared" si="1"/>
        <v/>
      </c>
      <c r="U2983" t="str">
        <f t="shared" si="2"/>
        <v/>
      </c>
      <c r="V2983" t="str">
        <f>IF(OR(U2983="",U2983="ERRO_CHAVE"),"",IFERROR(MATCH(U2983,Fornecedores!$AF$1:$AF$6631,0),""))</f>
        <v/>
      </c>
      <c r="W2983" t="str">
        <f t="shared" si="3"/>
        <v/>
      </c>
      <c r="X2983" s="4" t="str">
        <f>IF(V2983="","",INDEX(Fornecedores!$X$1:$X$6631,V2983))</f>
        <v/>
      </c>
      <c r="Y2983" s="4" t="str">
        <f t="shared" si="4"/>
        <v/>
      </c>
    </row>
    <row r="2984" spans="19:25">
      <c r="S2984" t="str">
        <f t="shared" si="0"/>
        <v/>
      </c>
      <c r="T2984" t="str">
        <f t="shared" si="1"/>
        <v/>
      </c>
      <c r="U2984" t="str">
        <f t="shared" si="2"/>
        <v/>
      </c>
      <c r="V2984" t="str">
        <f>IF(OR(U2984="",U2984="ERRO_CHAVE"),"",IFERROR(MATCH(U2984,Fornecedores!$AF$1:$AF$6631,0),""))</f>
        <v/>
      </c>
      <c r="W2984" t="str">
        <f t="shared" si="3"/>
        <v/>
      </c>
      <c r="X2984" s="4" t="str">
        <f>IF(V2984="","",INDEX(Fornecedores!$X$1:$X$6631,V2984))</f>
        <v/>
      </c>
      <c r="Y2984" s="4" t="str">
        <f t="shared" si="4"/>
        <v/>
      </c>
    </row>
    <row r="2985" spans="19:25">
      <c r="S2985" t="str">
        <f t="shared" si="0"/>
        <v/>
      </c>
      <c r="T2985" t="str">
        <f t="shared" si="1"/>
        <v/>
      </c>
      <c r="U2985" t="str">
        <f t="shared" si="2"/>
        <v/>
      </c>
      <c r="V2985" t="str">
        <f>IF(OR(U2985="",U2985="ERRO_CHAVE"),"",IFERROR(MATCH(U2985,Fornecedores!$AF$1:$AF$6631,0),""))</f>
        <v/>
      </c>
      <c r="W2985" t="str">
        <f t="shared" si="3"/>
        <v/>
      </c>
      <c r="X2985" s="4" t="str">
        <f>IF(V2985="","",INDEX(Fornecedores!$X$1:$X$6631,V2985))</f>
        <v/>
      </c>
      <c r="Y2985" s="4" t="str">
        <f t="shared" si="4"/>
        <v/>
      </c>
    </row>
    <row r="2986" spans="19:25">
      <c r="S2986" t="str">
        <f t="shared" si="0"/>
        <v/>
      </c>
      <c r="T2986" t="str">
        <f t="shared" si="1"/>
        <v/>
      </c>
      <c r="U2986" t="str">
        <f t="shared" si="2"/>
        <v/>
      </c>
      <c r="V2986" t="str">
        <f>IF(OR(U2986="",U2986="ERRO_CHAVE"),"",IFERROR(MATCH(U2986,Fornecedores!$AF$1:$AF$6631,0),""))</f>
        <v/>
      </c>
      <c r="W2986" t="str">
        <f t="shared" si="3"/>
        <v/>
      </c>
      <c r="X2986" s="4" t="str">
        <f>IF(V2986="","",INDEX(Fornecedores!$X$1:$X$6631,V2986))</f>
        <v/>
      </c>
      <c r="Y2986" s="4" t="str">
        <f t="shared" si="4"/>
        <v/>
      </c>
    </row>
    <row r="2987" spans="19:25">
      <c r="S2987" t="str">
        <f t="shared" si="0"/>
        <v/>
      </c>
      <c r="T2987" t="str">
        <f t="shared" si="1"/>
        <v/>
      </c>
      <c r="U2987" t="str">
        <f t="shared" si="2"/>
        <v/>
      </c>
      <c r="V2987" t="str">
        <f>IF(OR(U2987="",U2987="ERRO_CHAVE"),"",IFERROR(MATCH(U2987,Fornecedores!$AF$1:$AF$6631,0),""))</f>
        <v/>
      </c>
      <c r="W2987" t="str">
        <f t="shared" si="3"/>
        <v/>
      </c>
      <c r="X2987" s="4" t="str">
        <f>IF(V2987="","",INDEX(Fornecedores!$X$1:$X$6631,V2987))</f>
        <v/>
      </c>
      <c r="Y2987" s="4" t="str">
        <f t="shared" si="4"/>
        <v/>
      </c>
    </row>
    <row r="2988" spans="19:25">
      <c r="S2988" t="str">
        <f t="shared" si="0"/>
        <v/>
      </c>
      <c r="T2988" t="str">
        <f t="shared" si="1"/>
        <v/>
      </c>
      <c r="U2988" t="str">
        <f t="shared" si="2"/>
        <v/>
      </c>
      <c r="V2988" t="str">
        <f>IF(OR(U2988="",U2988="ERRO_CHAVE"),"",IFERROR(MATCH(U2988,Fornecedores!$AF$1:$AF$6631,0),""))</f>
        <v/>
      </c>
      <c r="W2988" t="str">
        <f t="shared" si="3"/>
        <v/>
      </c>
      <c r="X2988" s="4" t="str">
        <f>IF(V2988="","",INDEX(Fornecedores!$X$1:$X$6631,V2988))</f>
        <v/>
      </c>
      <c r="Y2988" s="4" t="str">
        <f t="shared" si="4"/>
        <v/>
      </c>
    </row>
    <row r="2989" spans="19:25">
      <c r="S2989" t="str">
        <f t="shared" si="0"/>
        <v/>
      </c>
      <c r="T2989" t="str">
        <f t="shared" si="1"/>
        <v/>
      </c>
      <c r="U2989" t="str">
        <f t="shared" si="2"/>
        <v/>
      </c>
      <c r="V2989" t="str">
        <f>IF(OR(U2989="",U2989="ERRO_CHAVE"),"",IFERROR(MATCH(U2989,Fornecedores!$AF$1:$AF$6631,0),""))</f>
        <v/>
      </c>
      <c r="W2989" t="str">
        <f t="shared" si="3"/>
        <v/>
      </c>
      <c r="X2989" s="4" t="str">
        <f>IF(V2989="","",INDEX(Fornecedores!$X$1:$X$6631,V2989))</f>
        <v/>
      </c>
      <c r="Y2989" s="4" t="str">
        <f t="shared" si="4"/>
        <v/>
      </c>
    </row>
    <row r="2990" spans="19:25">
      <c r="S2990" t="str">
        <f t="shared" si="0"/>
        <v/>
      </c>
      <c r="T2990" t="str">
        <f t="shared" si="1"/>
        <v/>
      </c>
      <c r="U2990" t="str">
        <f t="shared" si="2"/>
        <v/>
      </c>
      <c r="V2990" t="str">
        <f>IF(OR(U2990="",U2990="ERRO_CHAVE"),"",IFERROR(MATCH(U2990,Fornecedores!$AF$1:$AF$6631,0),""))</f>
        <v/>
      </c>
      <c r="W2990" t="str">
        <f t="shared" si="3"/>
        <v/>
      </c>
      <c r="X2990" s="4" t="str">
        <f>IF(V2990="","",INDEX(Fornecedores!$X$1:$X$6631,V2990))</f>
        <v/>
      </c>
      <c r="Y2990" s="4" t="str">
        <f t="shared" si="4"/>
        <v/>
      </c>
    </row>
    <row r="2991" spans="19:25">
      <c r="S2991" t="str">
        <f t="shared" si="0"/>
        <v/>
      </c>
      <c r="T2991" t="str">
        <f t="shared" si="1"/>
        <v/>
      </c>
      <c r="U2991" t="str">
        <f t="shared" si="2"/>
        <v/>
      </c>
      <c r="V2991" t="str">
        <f>IF(OR(U2991="",U2991="ERRO_CHAVE"),"",IFERROR(MATCH(U2991,Fornecedores!$AF$1:$AF$6631,0),""))</f>
        <v/>
      </c>
      <c r="W2991" t="str">
        <f t="shared" si="3"/>
        <v/>
      </c>
      <c r="X2991" s="4" t="str">
        <f>IF(V2991="","",INDEX(Fornecedores!$X$1:$X$6631,V2991))</f>
        <v/>
      </c>
      <c r="Y2991" s="4" t="str">
        <f t="shared" si="4"/>
        <v/>
      </c>
    </row>
    <row r="2992" spans="19:25">
      <c r="S2992" t="str">
        <f t="shared" si="0"/>
        <v/>
      </c>
      <c r="T2992" t="str">
        <f t="shared" si="1"/>
        <v/>
      </c>
      <c r="U2992" t="str">
        <f t="shared" si="2"/>
        <v/>
      </c>
      <c r="V2992" t="str">
        <f>IF(OR(U2992="",U2992="ERRO_CHAVE"),"",IFERROR(MATCH(U2992,Fornecedores!$AF$1:$AF$6631,0),""))</f>
        <v/>
      </c>
      <c r="W2992" t="str">
        <f t="shared" si="3"/>
        <v/>
      </c>
      <c r="X2992" s="4" t="str">
        <f>IF(V2992="","",INDEX(Fornecedores!$X$1:$X$6631,V2992))</f>
        <v/>
      </c>
      <c r="Y2992" s="4" t="str">
        <f t="shared" si="4"/>
        <v/>
      </c>
    </row>
    <row r="2993" spans="19:25">
      <c r="S2993" t="str">
        <f t="shared" si="0"/>
        <v/>
      </c>
      <c r="T2993" t="str">
        <f t="shared" si="1"/>
        <v/>
      </c>
      <c r="U2993" t="str">
        <f t="shared" si="2"/>
        <v/>
      </c>
      <c r="V2993" t="str">
        <f>IF(OR(U2993="",U2993="ERRO_CHAVE"),"",IFERROR(MATCH(U2993,Fornecedores!$AF$1:$AF$6631,0),""))</f>
        <v/>
      </c>
      <c r="W2993" t="str">
        <f t="shared" si="3"/>
        <v/>
      </c>
      <c r="X2993" s="4" t="str">
        <f>IF(V2993="","",INDEX(Fornecedores!$X$1:$X$6631,V2993))</f>
        <v/>
      </c>
      <c r="Y2993" s="4" t="str">
        <f t="shared" si="4"/>
        <v/>
      </c>
    </row>
    <row r="2994" spans="19:25">
      <c r="S2994" t="str">
        <f t="shared" si="0"/>
        <v/>
      </c>
      <c r="T2994" t="str">
        <f t="shared" si="1"/>
        <v/>
      </c>
      <c r="U2994" t="str">
        <f t="shared" si="2"/>
        <v/>
      </c>
      <c r="V2994" t="str">
        <f>IF(OR(U2994="",U2994="ERRO_CHAVE"),"",IFERROR(MATCH(U2994,Fornecedores!$AF$1:$AF$6631,0),""))</f>
        <v/>
      </c>
      <c r="W2994" t="str">
        <f t="shared" si="3"/>
        <v/>
      </c>
      <c r="X2994" s="4" t="str">
        <f>IF(V2994="","",INDEX(Fornecedores!$X$1:$X$6631,V2994))</f>
        <v/>
      </c>
      <c r="Y2994" s="4" t="str">
        <f t="shared" si="4"/>
        <v/>
      </c>
    </row>
    <row r="2995" spans="19:25">
      <c r="S2995" t="str">
        <f t="shared" si="0"/>
        <v/>
      </c>
      <c r="T2995" t="str">
        <f t="shared" si="1"/>
        <v/>
      </c>
      <c r="U2995" t="str">
        <f t="shared" si="2"/>
        <v/>
      </c>
      <c r="V2995" t="str">
        <f>IF(OR(U2995="",U2995="ERRO_CHAVE"),"",IFERROR(MATCH(U2995,Fornecedores!$AF$1:$AF$6631,0),""))</f>
        <v/>
      </c>
      <c r="W2995" t="str">
        <f t="shared" si="3"/>
        <v/>
      </c>
      <c r="X2995" s="4" t="str">
        <f>IF(V2995="","",INDEX(Fornecedores!$X$1:$X$6631,V2995))</f>
        <v/>
      </c>
      <c r="Y2995" s="4" t="str">
        <f t="shared" si="4"/>
        <v/>
      </c>
    </row>
    <row r="2996" spans="19:25">
      <c r="S2996" t="str">
        <f t="shared" si="0"/>
        <v/>
      </c>
      <c r="T2996" t="str">
        <f t="shared" si="1"/>
        <v/>
      </c>
      <c r="U2996" t="str">
        <f t="shared" si="2"/>
        <v/>
      </c>
      <c r="V2996" t="str">
        <f>IF(OR(U2996="",U2996="ERRO_CHAVE"),"",IFERROR(MATCH(U2996,Fornecedores!$AF$1:$AF$6631,0),""))</f>
        <v/>
      </c>
      <c r="W2996" t="str">
        <f t="shared" si="3"/>
        <v/>
      </c>
      <c r="X2996" s="4" t="str">
        <f>IF(V2996="","",INDEX(Fornecedores!$X$1:$X$6631,V2996))</f>
        <v/>
      </c>
      <c r="Y2996" s="4" t="str">
        <f t="shared" si="4"/>
        <v/>
      </c>
    </row>
    <row r="2997" spans="19:25">
      <c r="S2997" t="str">
        <f t="shared" si="0"/>
        <v/>
      </c>
      <c r="T2997" t="str">
        <f t="shared" si="1"/>
        <v/>
      </c>
      <c r="U2997" t="str">
        <f t="shared" si="2"/>
        <v/>
      </c>
      <c r="V2997" t="str">
        <f>IF(OR(U2997="",U2997="ERRO_CHAVE"),"",IFERROR(MATCH(U2997,Fornecedores!$AF$1:$AF$6631,0),""))</f>
        <v/>
      </c>
      <c r="W2997" t="str">
        <f t="shared" si="3"/>
        <v/>
      </c>
      <c r="X2997" s="4" t="str">
        <f>IF(V2997="","",INDEX(Fornecedores!$X$1:$X$6631,V2997))</f>
        <v/>
      </c>
      <c r="Y2997" s="4" t="str">
        <f t="shared" si="4"/>
        <v/>
      </c>
    </row>
    <row r="2998" spans="19:25">
      <c r="S2998" t="str">
        <f t="shared" si="0"/>
        <v/>
      </c>
      <c r="T2998" t="str">
        <f t="shared" si="1"/>
        <v/>
      </c>
      <c r="U2998" t="str">
        <f t="shared" si="2"/>
        <v/>
      </c>
      <c r="V2998" t="str">
        <f>IF(OR(U2998="",U2998="ERRO_CHAVE"),"",IFERROR(MATCH(U2998,Fornecedores!$AF$1:$AF$6631,0),""))</f>
        <v/>
      </c>
      <c r="W2998" t="str">
        <f t="shared" si="3"/>
        <v/>
      </c>
      <c r="X2998" s="4" t="str">
        <f>IF(V2998="","",INDEX(Fornecedores!$X$1:$X$6631,V2998))</f>
        <v/>
      </c>
      <c r="Y2998" s="4" t="str">
        <f t="shared" si="4"/>
        <v/>
      </c>
    </row>
    <row r="2999" spans="19:25">
      <c r="S2999" t="str">
        <f t="shared" si="0"/>
        <v/>
      </c>
      <c r="T2999" t="str">
        <f t="shared" si="1"/>
        <v/>
      </c>
      <c r="U2999" t="str">
        <f t="shared" si="2"/>
        <v/>
      </c>
      <c r="V2999" t="str">
        <f>IF(OR(U2999="",U2999="ERRO_CHAVE"),"",IFERROR(MATCH(U2999,Fornecedores!$AF$1:$AF$6631,0),""))</f>
        <v/>
      </c>
      <c r="W2999" t="str">
        <f t="shared" si="3"/>
        <v/>
      </c>
      <c r="X2999" s="4" t="str">
        <f>IF(V2999="","",INDEX(Fornecedores!$X$1:$X$6631,V2999))</f>
        <v/>
      </c>
      <c r="Y2999" s="4" t="str">
        <f t="shared" si="4"/>
        <v/>
      </c>
    </row>
    <row r="3000" spans="19:25">
      <c r="S3000" t="str">
        <f t="shared" si="0"/>
        <v/>
      </c>
      <c r="T3000" t="str">
        <f t="shared" si="1"/>
        <v/>
      </c>
      <c r="U3000" t="str">
        <f t="shared" si="2"/>
        <v/>
      </c>
      <c r="V3000" t="str">
        <f>IF(OR(U3000="",U3000="ERRO_CHAVE"),"",IFERROR(MATCH(U3000,Fornecedores!$AF$1:$AF$6631,0),""))</f>
        <v/>
      </c>
      <c r="W3000" t="str">
        <f t="shared" si="3"/>
        <v/>
      </c>
      <c r="X3000" s="4" t="str">
        <f>IF(V3000="","",INDEX(Fornecedores!$X$1:$X$6631,V3000))</f>
        <v/>
      </c>
      <c r="Y3000" s="4" t="str">
        <f t="shared" si="4"/>
        <v/>
      </c>
    </row>
    <row r="3001" spans="19:25">
      <c r="S3001" t="str">
        <f t="shared" si="0"/>
        <v/>
      </c>
      <c r="T3001" t="str">
        <f t="shared" si="1"/>
        <v/>
      </c>
      <c r="U3001" t="str">
        <f t="shared" si="2"/>
        <v/>
      </c>
      <c r="V3001" t="str">
        <f>IF(OR(U3001="",U3001="ERRO_CHAVE"),"",IFERROR(MATCH(U3001,Fornecedores!$AF$1:$AF$6631,0),""))</f>
        <v/>
      </c>
      <c r="W3001" t="str">
        <f t="shared" si="3"/>
        <v/>
      </c>
      <c r="X3001" s="4" t="str">
        <f>IF(V3001="","",INDEX(Fornecedores!$X$1:$X$6631,V3001))</f>
        <v/>
      </c>
      <c r="Y3001" s="4" t="str">
        <f t="shared" si="4"/>
        <v/>
      </c>
    </row>
    <row r="3002" spans="19:25">
      <c r="S3002" t="str">
        <f t="shared" si="0"/>
        <v/>
      </c>
      <c r="T3002" t="str">
        <f t="shared" si="1"/>
        <v/>
      </c>
      <c r="U3002" t="str">
        <f t="shared" si="2"/>
        <v/>
      </c>
      <c r="V3002" t="str">
        <f>IF(OR(U3002="",U3002="ERRO_CHAVE"),"",IFERROR(MATCH(U3002,Fornecedores!$AF$1:$AF$6631,0),""))</f>
        <v/>
      </c>
      <c r="W3002" t="str">
        <f t="shared" si="3"/>
        <v/>
      </c>
      <c r="X3002" s="4" t="str">
        <f>IF(V3002="","",INDEX(Fornecedores!$X$1:$X$6631,V3002))</f>
        <v/>
      </c>
      <c r="Y3002" s="4" t="str">
        <f t="shared" si="4"/>
        <v/>
      </c>
    </row>
    <row r="3003" spans="19:25">
      <c r="S3003" t="str">
        <f t="shared" si="0"/>
        <v/>
      </c>
      <c r="T3003" t="str">
        <f t="shared" si="1"/>
        <v/>
      </c>
      <c r="U3003" t="str">
        <f t="shared" si="2"/>
        <v/>
      </c>
      <c r="V3003" t="str">
        <f>IF(OR(U3003="",U3003="ERRO_CHAVE"),"",IFERROR(MATCH(U3003,Fornecedores!$AF$1:$AF$6631,0),""))</f>
        <v/>
      </c>
      <c r="W3003" t="str">
        <f t="shared" si="3"/>
        <v/>
      </c>
      <c r="X3003" s="4" t="str">
        <f>IF(V3003="","",INDEX(Fornecedores!$X$1:$X$6631,V3003))</f>
        <v/>
      </c>
      <c r="Y3003" s="4" t="str">
        <f t="shared" si="4"/>
        <v/>
      </c>
    </row>
    <row r="3004" spans="19:25">
      <c r="S3004" t="str">
        <f t="shared" si="0"/>
        <v/>
      </c>
      <c r="T3004" t="str">
        <f t="shared" si="1"/>
        <v/>
      </c>
      <c r="U3004" t="str">
        <f t="shared" si="2"/>
        <v/>
      </c>
      <c r="V3004" t="str">
        <f>IF(OR(U3004="",U3004="ERRO_CHAVE"),"",IFERROR(MATCH(U3004,Fornecedores!$AF$1:$AF$6631,0),""))</f>
        <v/>
      </c>
      <c r="W3004" t="str">
        <f t="shared" si="3"/>
        <v/>
      </c>
      <c r="X3004" s="4" t="str">
        <f>IF(V3004="","",INDEX(Fornecedores!$X$1:$X$6631,V3004))</f>
        <v/>
      </c>
      <c r="Y3004" s="4" t="str">
        <f t="shared" si="4"/>
        <v/>
      </c>
    </row>
    <row r="3005" spans="19:25">
      <c r="S3005" t="str">
        <f t="shared" si="0"/>
        <v/>
      </c>
      <c r="T3005" t="str">
        <f t="shared" si="1"/>
        <v/>
      </c>
      <c r="U3005" t="str">
        <f t="shared" si="2"/>
        <v/>
      </c>
      <c r="V3005" t="str">
        <f>IF(OR(U3005="",U3005="ERRO_CHAVE"),"",IFERROR(MATCH(U3005,Fornecedores!$AF$1:$AF$6631,0),""))</f>
        <v/>
      </c>
      <c r="W3005" t="str">
        <f t="shared" si="3"/>
        <v/>
      </c>
      <c r="X3005" s="4" t="str">
        <f>IF(V3005="","",INDEX(Fornecedores!$X$1:$X$6631,V3005))</f>
        <v/>
      </c>
      <c r="Y3005" s="4" t="str">
        <f t="shared" si="4"/>
        <v/>
      </c>
    </row>
    <row r="3006" spans="19:25">
      <c r="S3006" t="str">
        <f t="shared" si="0"/>
        <v/>
      </c>
      <c r="T3006" t="str">
        <f t="shared" si="1"/>
        <v/>
      </c>
      <c r="U3006" t="str">
        <f t="shared" si="2"/>
        <v/>
      </c>
      <c r="V3006" t="str">
        <f>IF(OR(U3006="",U3006="ERRO_CHAVE"),"",IFERROR(MATCH(U3006,Fornecedores!$AF$1:$AF$6631,0),""))</f>
        <v/>
      </c>
      <c r="W3006" t="str">
        <f t="shared" si="3"/>
        <v/>
      </c>
      <c r="X3006" s="4" t="str">
        <f>IF(V3006="","",INDEX(Fornecedores!$X$1:$X$6631,V3006))</f>
        <v/>
      </c>
      <c r="Y3006" s="4" t="str">
        <f t="shared" si="4"/>
        <v/>
      </c>
    </row>
    <row r="3007" spans="19:25">
      <c r="S3007" t="str">
        <f t="shared" si="0"/>
        <v/>
      </c>
      <c r="T3007" t="str">
        <f t="shared" si="1"/>
        <v/>
      </c>
      <c r="U3007" t="str">
        <f t="shared" si="2"/>
        <v/>
      </c>
      <c r="V3007" t="str">
        <f>IF(OR(U3007="",U3007="ERRO_CHAVE"),"",IFERROR(MATCH(U3007,Fornecedores!$AF$1:$AF$6631,0),""))</f>
        <v/>
      </c>
      <c r="W3007" t="str">
        <f t="shared" si="3"/>
        <v/>
      </c>
      <c r="X3007" s="4" t="str">
        <f>IF(V3007="","",INDEX(Fornecedores!$X$1:$X$6631,V3007))</f>
        <v/>
      </c>
      <c r="Y3007" s="4" t="str">
        <f t="shared" si="4"/>
        <v/>
      </c>
    </row>
    <row r="3008" spans="19:25">
      <c r="S3008" t="str">
        <f t="shared" si="0"/>
        <v/>
      </c>
      <c r="T3008" t="str">
        <f t="shared" si="1"/>
        <v/>
      </c>
      <c r="U3008" t="str">
        <f t="shared" si="2"/>
        <v/>
      </c>
      <c r="V3008" t="str">
        <f>IF(OR(U3008="",U3008="ERRO_CHAVE"),"",IFERROR(MATCH(U3008,Fornecedores!$AF$1:$AF$6631,0),""))</f>
        <v/>
      </c>
      <c r="W3008" t="str">
        <f t="shared" si="3"/>
        <v/>
      </c>
      <c r="X3008" s="4" t="str">
        <f>IF(V3008="","",INDEX(Fornecedores!$X$1:$X$6631,V3008))</f>
        <v/>
      </c>
      <c r="Y3008" s="4" t="str">
        <f t="shared" si="4"/>
        <v/>
      </c>
    </row>
    <row r="3009" spans="19:25">
      <c r="S3009" t="str">
        <f t="shared" si="0"/>
        <v/>
      </c>
      <c r="T3009" t="str">
        <f t="shared" si="1"/>
        <v/>
      </c>
      <c r="U3009" t="str">
        <f t="shared" si="2"/>
        <v/>
      </c>
      <c r="V3009" t="str">
        <f>IF(OR(U3009="",U3009="ERRO_CHAVE"),"",IFERROR(MATCH(U3009,Fornecedores!$AF$1:$AF$6631,0),""))</f>
        <v/>
      </c>
      <c r="W3009" t="str">
        <f t="shared" si="3"/>
        <v/>
      </c>
      <c r="X3009" s="4" t="str">
        <f>IF(V3009="","",INDEX(Fornecedores!$X$1:$X$6631,V3009))</f>
        <v/>
      </c>
      <c r="Y3009" s="4" t="str">
        <f t="shared" si="4"/>
        <v/>
      </c>
    </row>
    <row r="3010" spans="19:25">
      <c r="S3010" t="str">
        <f t="shared" si="0"/>
        <v/>
      </c>
      <c r="T3010" t="str">
        <f t="shared" si="1"/>
        <v/>
      </c>
      <c r="U3010" t="str">
        <f t="shared" si="2"/>
        <v/>
      </c>
      <c r="V3010" t="str">
        <f>IF(OR(U3010="",U3010="ERRO_CHAVE"),"",IFERROR(MATCH(U3010,Fornecedores!$AF$1:$AF$6631,0),""))</f>
        <v/>
      </c>
      <c r="W3010" t="str">
        <f t="shared" si="3"/>
        <v/>
      </c>
      <c r="X3010" s="4" t="str">
        <f>IF(V3010="","",INDEX(Fornecedores!$X$1:$X$6631,V3010))</f>
        <v/>
      </c>
      <c r="Y3010" s="4" t="str">
        <f t="shared" si="4"/>
        <v/>
      </c>
    </row>
    <row r="3011" spans="19:25">
      <c r="S3011" t="str">
        <f t="shared" si="0"/>
        <v/>
      </c>
      <c r="T3011" t="str">
        <f t="shared" si="1"/>
        <v/>
      </c>
      <c r="U3011" t="str">
        <f t="shared" si="2"/>
        <v/>
      </c>
      <c r="V3011" t="str">
        <f>IF(OR(U3011="",U3011="ERRO_CHAVE"),"",IFERROR(MATCH(U3011,Fornecedores!$AF$1:$AF$6631,0),""))</f>
        <v/>
      </c>
      <c r="W3011" t="str">
        <f t="shared" si="3"/>
        <v/>
      </c>
      <c r="X3011" s="4" t="str">
        <f>IF(V3011="","",INDEX(Fornecedores!$X$1:$X$6631,V3011))</f>
        <v/>
      </c>
      <c r="Y3011" s="4" t="str">
        <f t="shared" si="4"/>
        <v/>
      </c>
    </row>
    <row r="3012" spans="19:25">
      <c r="S3012" t="str">
        <f t="shared" si="0"/>
        <v/>
      </c>
      <c r="T3012" t="str">
        <f t="shared" si="1"/>
        <v/>
      </c>
      <c r="U3012" t="str">
        <f t="shared" si="2"/>
        <v/>
      </c>
      <c r="V3012" t="str">
        <f>IF(OR(U3012="",U3012="ERRO_CHAVE"),"",IFERROR(MATCH(U3012,Fornecedores!$AF$1:$AF$6631,0),""))</f>
        <v/>
      </c>
      <c r="W3012" t="str">
        <f t="shared" si="3"/>
        <v/>
      </c>
      <c r="X3012" s="4" t="str">
        <f>IF(V3012="","",INDEX(Fornecedores!$X$1:$X$6631,V3012))</f>
        <v/>
      </c>
      <c r="Y3012" s="4" t="str">
        <f t="shared" si="4"/>
        <v/>
      </c>
    </row>
    <row r="3013" spans="19:25">
      <c r="S3013" t="str">
        <f t="shared" si="0"/>
        <v/>
      </c>
      <c r="T3013" t="str">
        <f t="shared" si="1"/>
        <v/>
      </c>
      <c r="U3013" t="str">
        <f t="shared" si="2"/>
        <v/>
      </c>
      <c r="V3013" t="str">
        <f>IF(OR(U3013="",U3013="ERRO_CHAVE"),"",IFERROR(MATCH(U3013,Fornecedores!$AF$1:$AF$6631,0),""))</f>
        <v/>
      </c>
      <c r="W3013" t="str">
        <f t="shared" si="3"/>
        <v/>
      </c>
      <c r="X3013" s="4" t="str">
        <f>IF(V3013="","",INDEX(Fornecedores!$X$1:$X$6631,V3013))</f>
        <v/>
      </c>
      <c r="Y3013" s="4" t="str">
        <f t="shared" si="4"/>
        <v/>
      </c>
    </row>
    <row r="3014" spans="19:25">
      <c r="S3014" t="str">
        <f t="shared" si="0"/>
        <v/>
      </c>
      <c r="T3014" t="str">
        <f t="shared" si="1"/>
        <v/>
      </c>
      <c r="U3014" t="str">
        <f t="shared" si="2"/>
        <v/>
      </c>
      <c r="V3014" t="str">
        <f>IF(OR(U3014="",U3014="ERRO_CHAVE"),"",IFERROR(MATCH(U3014,Fornecedores!$AF$1:$AF$6631,0),""))</f>
        <v/>
      </c>
      <c r="W3014" t="str">
        <f t="shared" si="3"/>
        <v/>
      </c>
      <c r="X3014" s="4" t="str">
        <f>IF(V3014="","",INDEX(Fornecedores!$X$1:$X$6631,V3014))</f>
        <v/>
      </c>
      <c r="Y3014" s="4" t="str">
        <f t="shared" si="4"/>
        <v/>
      </c>
    </row>
    <row r="3015" spans="19:25">
      <c r="S3015" t="str">
        <f t="shared" si="0"/>
        <v/>
      </c>
      <c r="T3015" t="str">
        <f t="shared" si="1"/>
        <v/>
      </c>
      <c r="U3015" t="str">
        <f t="shared" si="2"/>
        <v/>
      </c>
      <c r="V3015" t="str">
        <f>IF(OR(U3015="",U3015="ERRO_CHAVE"),"",IFERROR(MATCH(U3015,Fornecedores!$AF$1:$AF$6631,0),""))</f>
        <v/>
      </c>
      <c r="W3015" t="str">
        <f t="shared" si="3"/>
        <v/>
      </c>
      <c r="X3015" s="4" t="str">
        <f>IF(V3015="","",INDEX(Fornecedores!$X$1:$X$6631,V3015))</f>
        <v/>
      </c>
      <c r="Y3015" s="4" t="str">
        <f t="shared" si="4"/>
        <v/>
      </c>
    </row>
    <row r="3016" spans="19:25">
      <c r="S3016" t="str">
        <f t="shared" si="0"/>
        <v/>
      </c>
      <c r="T3016" t="str">
        <f t="shared" si="1"/>
        <v/>
      </c>
      <c r="U3016" t="str">
        <f t="shared" si="2"/>
        <v/>
      </c>
      <c r="V3016" t="str">
        <f>IF(OR(U3016="",U3016="ERRO_CHAVE"),"",IFERROR(MATCH(U3016,Fornecedores!$AF$1:$AF$6631,0),""))</f>
        <v/>
      </c>
      <c r="W3016" t="str">
        <f t="shared" si="3"/>
        <v/>
      </c>
      <c r="X3016" s="4" t="str">
        <f>IF(V3016="","",INDEX(Fornecedores!$X$1:$X$6631,V3016))</f>
        <v/>
      </c>
      <c r="Y3016" s="4" t="str">
        <f t="shared" si="4"/>
        <v/>
      </c>
    </row>
    <row r="3017" spans="19:25">
      <c r="S3017" t="str">
        <f t="shared" si="0"/>
        <v/>
      </c>
      <c r="T3017" t="str">
        <f t="shared" si="1"/>
        <v/>
      </c>
      <c r="U3017" t="str">
        <f t="shared" si="2"/>
        <v/>
      </c>
      <c r="V3017" t="str">
        <f>IF(OR(U3017="",U3017="ERRO_CHAVE"),"",IFERROR(MATCH(U3017,Fornecedores!$AF$1:$AF$6631,0),""))</f>
        <v/>
      </c>
      <c r="W3017" t="str">
        <f t="shared" si="3"/>
        <v/>
      </c>
      <c r="X3017" s="4" t="str">
        <f>IF(V3017="","",INDEX(Fornecedores!$X$1:$X$6631,V3017))</f>
        <v/>
      </c>
      <c r="Y3017" s="4" t="str">
        <f t="shared" si="4"/>
        <v/>
      </c>
    </row>
    <row r="3018" spans="19:25">
      <c r="S3018" t="str">
        <f t="shared" si="0"/>
        <v/>
      </c>
      <c r="T3018" t="str">
        <f t="shared" si="1"/>
        <v/>
      </c>
      <c r="U3018" t="str">
        <f t="shared" si="2"/>
        <v/>
      </c>
      <c r="V3018" t="str">
        <f>IF(OR(U3018="",U3018="ERRO_CHAVE"),"",IFERROR(MATCH(U3018,Fornecedores!$AF$1:$AF$6631,0),""))</f>
        <v/>
      </c>
      <c r="W3018" t="str">
        <f t="shared" si="3"/>
        <v/>
      </c>
      <c r="X3018" s="4" t="str">
        <f>IF(V3018="","",INDEX(Fornecedores!$X$1:$X$6631,V3018))</f>
        <v/>
      </c>
      <c r="Y3018" s="4" t="str">
        <f t="shared" si="4"/>
        <v/>
      </c>
    </row>
    <row r="3019" spans="19:25">
      <c r="S3019" t="str">
        <f t="shared" si="0"/>
        <v/>
      </c>
      <c r="T3019" t="str">
        <f t="shared" si="1"/>
        <v/>
      </c>
      <c r="U3019" t="str">
        <f t="shared" si="2"/>
        <v/>
      </c>
      <c r="V3019" t="str">
        <f>IF(OR(U3019="",U3019="ERRO_CHAVE"),"",IFERROR(MATCH(U3019,Fornecedores!$AF$1:$AF$6631,0),""))</f>
        <v/>
      </c>
      <c r="W3019" t="str">
        <f t="shared" si="3"/>
        <v/>
      </c>
      <c r="X3019" s="4" t="str">
        <f>IF(V3019="","",INDEX(Fornecedores!$X$1:$X$6631,V3019))</f>
        <v/>
      </c>
      <c r="Y3019" s="4" t="str">
        <f t="shared" si="4"/>
        <v/>
      </c>
    </row>
    <row r="3020" spans="19:25">
      <c r="S3020" t="str">
        <f t="shared" si="0"/>
        <v/>
      </c>
      <c r="T3020" t="str">
        <f t="shared" si="1"/>
        <v/>
      </c>
      <c r="U3020" t="str">
        <f t="shared" si="2"/>
        <v/>
      </c>
      <c r="V3020" t="str">
        <f>IF(OR(U3020="",U3020="ERRO_CHAVE"),"",IFERROR(MATCH(U3020,Fornecedores!$AF$1:$AF$6631,0),""))</f>
        <v/>
      </c>
      <c r="W3020" t="str">
        <f t="shared" si="3"/>
        <v/>
      </c>
      <c r="X3020" s="4" t="str">
        <f>IF(V3020="","",INDEX(Fornecedores!$X$1:$X$6631,V3020))</f>
        <v/>
      </c>
      <c r="Y3020" s="4" t="str">
        <f t="shared" si="4"/>
        <v/>
      </c>
    </row>
    <row r="3021" spans="19:25">
      <c r="S3021" t="str">
        <f t="shared" si="0"/>
        <v/>
      </c>
      <c r="T3021" t="str">
        <f t="shared" si="1"/>
        <v/>
      </c>
      <c r="U3021" t="str">
        <f t="shared" si="2"/>
        <v/>
      </c>
      <c r="V3021" t="str">
        <f>IF(OR(U3021="",U3021="ERRO_CHAVE"),"",IFERROR(MATCH(U3021,Fornecedores!$AF$1:$AF$6631,0),""))</f>
        <v/>
      </c>
      <c r="W3021" t="str">
        <f t="shared" si="3"/>
        <v/>
      </c>
      <c r="X3021" s="4" t="str">
        <f>IF(V3021="","",INDEX(Fornecedores!$X$1:$X$6631,V3021))</f>
        <v/>
      </c>
      <c r="Y3021" s="4" t="str">
        <f t="shared" si="4"/>
        <v/>
      </c>
    </row>
    <row r="3022" spans="19:25">
      <c r="S3022" t="str">
        <f t="shared" si="0"/>
        <v/>
      </c>
      <c r="T3022" t="str">
        <f t="shared" si="1"/>
        <v/>
      </c>
      <c r="U3022" t="str">
        <f t="shared" si="2"/>
        <v/>
      </c>
      <c r="V3022" t="str">
        <f>IF(OR(U3022="",U3022="ERRO_CHAVE"),"",IFERROR(MATCH(U3022,Fornecedores!$AF$1:$AF$6631,0),""))</f>
        <v/>
      </c>
      <c r="W3022" t="str">
        <f t="shared" si="3"/>
        <v/>
      </c>
      <c r="X3022" s="4" t="str">
        <f>IF(V3022="","",INDEX(Fornecedores!$X$1:$X$6631,V3022))</f>
        <v/>
      </c>
      <c r="Y3022" s="4" t="str">
        <f t="shared" si="4"/>
        <v/>
      </c>
    </row>
    <row r="3023" spans="19:25">
      <c r="S3023" t="str">
        <f t="shared" si="0"/>
        <v/>
      </c>
      <c r="T3023" t="str">
        <f t="shared" si="1"/>
        <v/>
      </c>
      <c r="U3023" t="str">
        <f t="shared" si="2"/>
        <v/>
      </c>
      <c r="V3023" t="str">
        <f>IF(OR(U3023="",U3023="ERRO_CHAVE"),"",IFERROR(MATCH(U3023,Fornecedores!$AF$1:$AF$6631,0),""))</f>
        <v/>
      </c>
      <c r="W3023" t="str">
        <f t="shared" si="3"/>
        <v/>
      </c>
      <c r="X3023" s="4" t="str">
        <f>IF(V3023="","",INDEX(Fornecedores!$X$1:$X$6631,V3023))</f>
        <v/>
      </c>
      <c r="Y3023" s="4" t="str">
        <f t="shared" si="4"/>
        <v/>
      </c>
    </row>
    <row r="3024" spans="19:25">
      <c r="S3024" t="str">
        <f t="shared" si="0"/>
        <v/>
      </c>
      <c r="T3024" t="str">
        <f t="shared" si="1"/>
        <v/>
      </c>
      <c r="U3024" t="str">
        <f t="shared" si="2"/>
        <v/>
      </c>
      <c r="V3024" t="str">
        <f>IF(OR(U3024="",U3024="ERRO_CHAVE"),"",IFERROR(MATCH(U3024,Fornecedores!$AF$1:$AF$6631,0),""))</f>
        <v/>
      </c>
      <c r="W3024" t="str">
        <f t="shared" si="3"/>
        <v/>
      </c>
      <c r="X3024" s="4" t="str">
        <f>IF(V3024="","",INDEX(Fornecedores!$X$1:$X$6631,V3024))</f>
        <v/>
      </c>
      <c r="Y3024" s="4" t="str">
        <f t="shared" si="4"/>
        <v/>
      </c>
    </row>
    <row r="3025" spans="19:25">
      <c r="S3025" t="str">
        <f t="shared" si="0"/>
        <v/>
      </c>
      <c r="T3025" t="str">
        <f t="shared" si="1"/>
        <v/>
      </c>
      <c r="U3025" t="str">
        <f t="shared" si="2"/>
        <v/>
      </c>
      <c r="V3025" t="str">
        <f>IF(OR(U3025="",U3025="ERRO_CHAVE"),"",IFERROR(MATCH(U3025,Fornecedores!$AF$1:$AF$6631,0),""))</f>
        <v/>
      </c>
      <c r="W3025" t="str">
        <f t="shared" si="3"/>
        <v/>
      </c>
      <c r="X3025" s="4" t="str">
        <f>IF(V3025="","",INDEX(Fornecedores!$X$1:$X$6631,V3025))</f>
        <v/>
      </c>
      <c r="Y3025" s="4" t="str">
        <f t="shared" si="4"/>
        <v/>
      </c>
    </row>
    <row r="3026" spans="19:25">
      <c r="S3026" t="str">
        <f t="shared" si="0"/>
        <v/>
      </c>
      <c r="T3026" t="str">
        <f t="shared" si="1"/>
        <v/>
      </c>
      <c r="U3026" t="str">
        <f t="shared" si="2"/>
        <v/>
      </c>
      <c r="V3026" t="str">
        <f>IF(OR(U3026="",U3026="ERRO_CHAVE"),"",IFERROR(MATCH(U3026,Fornecedores!$AF$1:$AF$6631,0),""))</f>
        <v/>
      </c>
      <c r="W3026" t="str">
        <f t="shared" si="3"/>
        <v/>
      </c>
      <c r="X3026" s="4" t="str">
        <f>IF(V3026="","",INDEX(Fornecedores!$X$1:$X$6631,V3026))</f>
        <v/>
      </c>
      <c r="Y3026" s="4" t="str">
        <f t="shared" si="4"/>
        <v/>
      </c>
    </row>
    <row r="3027" spans="19:25">
      <c r="S3027" t="str">
        <f t="shared" si="0"/>
        <v/>
      </c>
      <c r="T3027" t="str">
        <f t="shared" si="1"/>
        <v/>
      </c>
      <c r="U3027" t="str">
        <f t="shared" si="2"/>
        <v/>
      </c>
      <c r="V3027" t="str">
        <f>IF(OR(U3027="",U3027="ERRO_CHAVE"),"",IFERROR(MATCH(U3027,Fornecedores!$AF$1:$AF$6631,0),""))</f>
        <v/>
      </c>
      <c r="W3027" t="str">
        <f t="shared" si="3"/>
        <v/>
      </c>
      <c r="X3027" s="4" t="str">
        <f>IF(V3027="","",INDEX(Fornecedores!$X$1:$X$6631,V3027))</f>
        <v/>
      </c>
      <c r="Y3027" s="4" t="str">
        <f t="shared" si="4"/>
        <v/>
      </c>
    </row>
    <row r="3028" spans="19:25">
      <c r="S3028" t="str">
        <f t="shared" si="0"/>
        <v/>
      </c>
      <c r="T3028" t="str">
        <f t="shared" si="1"/>
        <v/>
      </c>
      <c r="U3028" t="str">
        <f t="shared" si="2"/>
        <v/>
      </c>
      <c r="V3028" t="str">
        <f>IF(OR(U3028="",U3028="ERRO_CHAVE"),"",IFERROR(MATCH(U3028,Fornecedores!$AF$1:$AF$6631,0),""))</f>
        <v/>
      </c>
      <c r="W3028" t="str">
        <f t="shared" si="3"/>
        <v/>
      </c>
      <c r="X3028" s="4" t="str">
        <f>IF(V3028="","",INDEX(Fornecedores!$X$1:$X$6631,V3028))</f>
        <v/>
      </c>
      <c r="Y3028" s="4" t="str">
        <f t="shared" si="4"/>
        <v/>
      </c>
    </row>
    <row r="3029" spans="19:25">
      <c r="S3029" t="str">
        <f t="shared" si="0"/>
        <v/>
      </c>
      <c r="T3029" t="str">
        <f t="shared" si="1"/>
        <v/>
      </c>
      <c r="U3029" t="str">
        <f t="shared" si="2"/>
        <v/>
      </c>
      <c r="V3029" t="str">
        <f>IF(OR(U3029="",U3029="ERRO_CHAVE"),"",IFERROR(MATCH(U3029,Fornecedores!$AF$1:$AF$6631,0),""))</f>
        <v/>
      </c>
      <c r="W3029" t="str">
        <f t="shared" si="3"/>
        <v/>
      </c>
      <c r="X3029" s="4" t="str">
        <f>IF(V3029="","",INDEX(Fornecedores!$X$1:$X$6631,V3029))</f>
        <v/>
      </c>
      <c r="Y3029" s="4" t="str">
        <f t="shared" si="4"/>
        <v/>
      </c>
    </row>
    <row r="3030" spans="19:25">
      <c r="S3030" t="str">
        <f t="shared" si="0"/>
        <v/>
      </c>
      <c r="T3030" t="str">
        <f t="shared" si="1"/>
        <v/>
      </c>
      <c r="U3030" t="str">
        <f t="shared" si="2"/>
        <v/>
      </c>
      <c r="V3030" t="str">
        <f>IF(OR(U3030="",U3030="ERRO_CHAVE"),"",IFERROR(MATCH(U3030,Fornecedores!$AF$1:$AF$6631,0),""))</f>
        <v/>
      </c>
      <c r="W3030" t="str">
        <f t="shared" si="3"/>
        <v/>
      </c>
      <c r="X3030" s="4" t="str">
        <f>IF(V3030="","",INDEX(Fornecedores!$X$1:$X$6631,V3030))</f>
        <v/>
      </c>
      <c r="Y3030" s="4" t="str">
        <f t="shared" si="4"/>
        <v/>
      </c>
    </row>
    <row r="3031" spans="19:25">
      <c r="S3031" t="str">
        <f t="shared" si="0"/>
        <v/>
      </c>
      <c r="T3031" t="str">
        <f t="shared" si="1"/>
        <v/>
      </c>
      <c r="U3031" t="str">
        <f t="shared" si="2"/>
        <v/>
      </c>
      <c r="V3031" t="str">
        <f>IF(OR(U3031="",U3031="ERRO_CHAVE"),"",IFERROR(MATCH(U3031,Fornecedores!$AF$1:$AF$6631,0),""))</f>
        <v/>
      </c>
      <c r="W3031" t="str">
        <f t="shared" si="3"/>
        <v/>
      </c>
      <c r="X3031" s="4" t="str">
        <f>IF(V3031="","",INDEX(Fornecedores!$X$1:$X$6631,V3031))</f>
        <v/>
      </c>
      <c r="Y3031" s="4" t="str">
        <f t="shared" si="4"/>
        <v/>
      </c>
    </row>
    <row r="3032" spans="19:25">
      <c r="S3032" t="str">
        <f t="shared" si="0"/>
        <v/>
      </c>
      <c r="T3032" t="str">
        <f t="shared" si="1"/>
        <v/>
      </c>
      <c r="U3032" t="str">
        <f t="shared" si="2"/>
        <v/>
      </c>
      <c r="V3032" t="str">
        <f>IF(OR(U3032="",U3032="ERRO_CHAVE"),"",IFERROR(MATCH(U3032,Fornecedores!$AF$1:$AF$6631,0),""))</f>
        <v/>
      </c>
      <c r="W3032" t="str">
        <f t="shared" si="3"/>
        <v/>
      </c>
      <c r="X3032" s="4" t="str">
        <f>IF(V3032="","",INDEX(Fornecedores!$X$1:$X$6631,V3032))</f>
        <v/>
      </c>
      <c r="Y3032" s="4" t="str">
        <f t="shared" si="4"/>
        <v/>
      </c>
    </row>
    <row r="3033" spans="19:25">
      <c r="S3033" t="str">
        <f t="shared" si="0"/>
        <v/>
      </c>
      <c r="T3033" t="str">
        <f t="shared" si="1"/>
        <v/>
      </c>
      <c r="U3033" t="str">
        <f t="shared" si="2"/>
        <v/>
      </c>
      <c r="V3033" t="str">
        <f>IF(OR(U3033="",U3033="ERRO_CHAVE"),"",IFERROR(MATCH(U3033,Fornecedores!$AF$1:$AF$6631,0),""))</f>
        <v/>
      </c>
      <c r="W3033" t="str">
        <f t="shared" si="3"/>
        <v/>
      </c>
      <c r="X3033" s="4" t="str">
        <f>IF(V3033="","",INDEX(Fornecedores!$X$1:$X$6631,V3033))</f>
        <v/>
      </c>
      <c r="Y3033" s="4" t="str">
        <f t="shared" si="4"/>
        <v/>
      </c>
    </row>
    <row r="3034" spans="19:25">
      <c r="S3034" t="str">
        <f t="shared" si="0"/>
        <v/>
      </c>
      <c r="T3034" t="str">
        <f t="shared" si="1"/>
        <v/>
      </c>
      <c r="U3034" t="str">
        <f t="shared" si="2"/>
        <v/>
      </c>
      <c r="V3034" t="str">
        <f>IF(OR(U3034="",U3034="ERRO_CHAVE"),"",IFERROR(MATCH(U3034,Fornecedores!$AF$1:$AF$6631,0),""))</f>
        <v/>
      </c>
      <c r="W3034" t="str">
        <f t="shared" si="3"/>
        <v/>
      </c>
      <c r="X3034" s="4" t="str">
        <f>IF(V3034="","",INDEX(Fornecedores!$X$1:$X$6631,V3034))</f>
        <v/>
      </c>
      <c r="Y3034" s="4" t="str">
        <f t="shared" si="4"/>
        <v/>
      </c>
    </row>
    <row r="3035" spans="19:25">
      <c r="S3035" t="str">
        <f t="shared" si="0"/>
        <v/>
      </c>
      <c r="T3035" t="str">
        <f t="shared" si="1"/>
        <v/>
      </c>
      <c r="U3035" t="str">
        <f t="shared" si="2"/>
        <v/>
      </c>
      <c r="V3035" t="str">
        <f>IF(OR(U3035="",U3035="ERRO_CHAVE"),"",IFERROR(MATCH(U3035,Fornecedores!$AF$1:$AF$6631,0),""))</f>
        <v/>
      </c>
      <c r="W3035" t="str">
        <f t="shared" si="3"/>
        <v/>
      </c>
      <c r="X3035" s="4" t="str">
        <f>IF(V3035="","",INDEX(Fornecedores!$X$1:$X$6631,V3035))</f>
        <v/>
      </c>
      <c r="Y3035" s="4" t="str">
        <f t="shared" si="4"/>
        <v/>
      </c>
    </row>
    <row r="3036" spans="19:25">
      <c r="S3036" t="str">
        <f t="shared" si="0"/>
        <v/>
      </c>
      <c r="T3036" t="str">
        <f t="shared" si="1"/>
        <v/>
      </c>
      <c r="U3036" t="str">
        <f t="shared" si="2"/>
        <v/>
      </c>
      <c r="V3036" t="str">
        <f>IF(OR(U3036="",U3036="ERRO_CHAVE"),"",IFERROR(MATCH(U3036,Fornecedores!$AF$1:$AF$6631,0),""))</f>
        <v/>
      </c>
      <c r="W3036" t="str">
        <f t="shared" si="3"/>
        <v/>
      </c>
      <c r="X3036" s="4" t="str">
        <f>IF(V3036="","",INDEX(Fornecedores!$X$1:$X$6631,V3036))</f>
        <v/>
      </c>
      <c r="Y3036" s="4" t="str">
        <f t="shared" si="4"/>
        <v/>
      </c>
    </row>
    <row r="3037" spans="19:25">
      <c r="S3037" t="str">
        <f t="shared" si="0"/>
        <v/>
      </c>
      <c r="T3037" t="str">
        <f t="shared" si="1"/>
        <v/>
      </c>
      <c r="U3037" t="str">
        <f t="shared" si="2"/>
        <v/>
      </c>
      <c r="V3037" t="str">
        <f>IF(OR(U3037="",U3037="ERRO_CHAVE"),"",IFERROR(MATCH(U3037,Fornecedores!$AF$1:$AF$6631,0),""))</f>
        <v/>
      </c>
      <c r="W3037" t="str">
        <f t="shared" si="3"/>
        <v/>
      </c>
      <c r="X3037" s="4" t="str">
        <f>IF(V3037="","",INDEX(Fornecedores!$X$1:$X$6631,V3037))</f>
        <v/>
      </c>
      <c r="Y3037" s="4" t="str">
        <f t="shared" si="4"/>
        <v/>
      </c>
    </row>
    <row r="3038" spans="19:25">
      <c r="S3038" t="str">
        <f t="shared" si="0"/>
        <v/>
      </c>
      <c r="T3038" t="str">
        <f t="shared" si="1"/>
        <v/>
      </c>
      <c r="U3038" t="str">
        <f t="shared" si="2"/>
        <v/>
      </c>
      <c r="V3038" t="str">
        <f>IF(OR(U3038="",U3038="ERRO_CHAVE"),"",IFERROR(MATCH(U3038,Fornecedores!$AF$1:$AF$6631,0),""))</f>
        <v/>
      </c>
      <c r="W3038" t="str">
        <f t="shared" si="3"/>
        <v/>
      </c>
      <c r="X3038" s="4" t="str">
        <f>IF(V3038="","",INDEX(Fornecedores!$X$1:$X$6631,V3038))</f>
        <v/>
      </c>
      <c r="Y3038" s="4" t="str">
        <f t="shared" si="4"/>
        <v/>
      </c>
    </row>
    <row r="3039" spans="19:25">
      <c r="S3039" t="str">
        <f t="shared" si="0"/>
        <v/>
      </c>
      <c r="T3039" t="str">
        <f t="shared" si="1"/>
        <v/>
      </c>
      <c r="U3039" t="str">
        <f t="shared" si="2"/>
        <v/>
      </c>
      <c r="V3039" t="str">
        <f>IF(OR(U3039="",U3039="ERRO_CHAVE"),"",IFERROR(MATCH(U3039,Fornecedores!$AF$1:$AF$6631,0),""))</f>
        <v/>
      </c>
      <c r="W3039" t="str">
        <f t="shared" si="3"/>
        <v/>
      </c>
      <c r="X3039" s="4" t="str">
        <f>IF(V3039="","",INDEX(Fornecedores!$X$1:$X$6631,V3039))</f>
        <v/>
      </c>
      <c r="Y3039" s="4" t="str">
        <f t="shared" si="4"/>
        <v/>
      </c>
    </row>
    <row r="3040" spans="19:25">
      <c r="S3040" t="str">
        <f t="shared" si="0"/>
        <v/>
      </c>
      <c r="T3040" t="str">
        <f t="shared" si="1"/>
        <v/>
      </c>
      <c r="U3040" t="str">
        <f t="shared" si="2"/>
        <v/>
      </c>
      <c r="V3040" t="str">
        <f>IF(OR(U3040="",U3040="ERRO_CHAVE"),"",IFERROR(MATCH(U3040,Fornecedores!$AF$1:$AF$6631,0),""))</f>
        <v/>
      </c>
      <c r="W3040" t="str">
        <f t="shared" si="3"/>
        <v/>
      </c>
      <c r="X3040" s="4" t="str">
        <f>IF(V3040="","",INDEX(Fornecedores!$X$1:$X$6631,V3040))</f>
        <v/>
      </c>
      <c r="Y3040" s="4" t="str">
        <f t="shared" si="4"/>
        <v/>
      </c>
    </row>
    <row r="3041" spans="19:25">
      <c r="S3041" t="str">
        <f t="shared" si="0"/>
        <v/>
      </c>
      <c r="T3041" t="str">
        <f t="shared" si="1"/>
        <v/>
      </c>
      <c r="U3041" t="str">
        <f t="shared" si="2"/>
        <v/>
      </c>
      <c r="V3041" t="str">
        <f>IF(OR(U3041="",U3041="ERRO_CHAVE"),"",IFERROR(MATCH(U3041,Fornecedores!$AF$1:$AF$6631,0),""))</f>
        <v/>
      </c>
      <c r="W3041" t="str">
        <f t="shared" si="3"/>
        <v/>
      </c>
      <c r="X3041" s="4" t="str">
        <f>IF(V3041="","",INDEX(Fornecedores!$X$1:$X$6631,V3041))</f>
        <v/>
      </c>
      <c r="Y3041" s="4" t="str">
        <f t="shared" si="4"/>
        <v/>
      </c>
    </row>
    <row r="3042" spans="19:25">
      <c r="S3042" t="str">
        <f t="shared" si="0"/>
        <v/>
      </c>
      <c r="T3042" t="str">
        <f t="shared" si="1"/>
        <v/>
      </c>
      <c r="U3042" t="str">
        <f t="shared" si="2"/>
        <v/>
      </c>
      <c r="V3042" t="str">
        <f>IF(OR(U3042="",U3042="ERRO_CHAVE"),"",IFERROR(MATCH(U3042,Fornecedores!$AF$1:$AF$6631,0),""))</f>
        <v/>
      </c>
      <c r="W3042" t="str">
        <f t="shared" si="3"/>
        <v/>
      </c>
      <c r="X3042" s="4" t="str">
        <f>IF(V3042="","",INDEX(Fornecedores!$X$1:$X$6631,V3042))</f>
        <v/>
      </c>
      <c r="Y3042" s="4" t="str">
        <f t="shared" si="4"/>
        <v/>
      </c>
    </row>
    <row r="3043" spans="19:25">
      <c r="S3043" t="str">
        <f t="shared" si="0"/>
        <v/>
      </c>
      <c r="T3043" t="str">
        <f t="shared" si="1"/>
        <v/>
      </c>
      <c r="U3043" t="str">
        <f t="shared" si="2"/>
        <v/>
      </c>
      <c r="V3043" t="str">
        <f>IF(OR(U3043="",U3043="ERRO_CHAVE"),"",IFERROR(MATCH(U3043,Fornecedores!$AF$1:$AF$6631,0),""))</f>
        <v/>
      </c>
      <c r="W3043" t="str">
        <f t="shared" si="3"/>
        <v/>
      </c>
      <c r="X3043" s="4" t="str">
        <f>IF(V3043="","",INDEX(Fornecedores!$X$1:$X$6631,V3043))</f>
        <v/>
      </c>
      <c r="Y3043" s="4" t="str">
        <f t="shared" si="4"/>
        <v/>
      </c>
    </row>
    <row r="3044" spans="19:25">
      <c r="S3044" t="str">
        <f t="shared" si="0"/>
        <v/>
      </c>
      <c r="T3044" t="str">
        <f t="shared" si="1"/>
        <v/>
      </c>
      <c r="U3044" t="str">
        <f t="shared" si="2"/>
        <v/>
      </c>
      <c r="V3044" t="str">
        <f>IF(OR(U3044="",U3044="ERRO_CHAVE"),"",IFERROR(MATCH(U3044,Fornecedores!$AF$1:$AF$6631,0),""))</f>
        <v/>
      </c>
      <c r="W3044" t="str">
        <f t="shared" si="3"/>
        <v/>
      </c>
      <c r="X3044" s="4" t="str">
        <f>IF(V3044="","",INDEX(Fornecedores!$X$1:$X$6631,V3044))</f>
        <v/>
      </c>
      <c r="Y3044" s="4" t="str">
        <f t="shared" si="4"/>
        <v/>
      </c>
    </row>
    <row r="3045" spans="19:25">
      <c r="S3045" t="str">
        <f t="shared" si="0"/>
        <v/>
      </c>
      <c r="T3045" t="str">
        <f t="shared" si="1"/>
        <v/>
      </c>
      <c r="U3045" t="str">
        <f t="shared" si="2"/>
        <v/>
      </c>
      <c r="V3045" t="str">
        <f>IF(OR(U3045="",U3045="ERRO_CHAVE"),"",IFERROR(MATCH(U3045,Fornecedores!$AF$1:$AF$6631,0),""))</f>
        <v/>
      </c>
      <c r="W3045" t="str">
        <f t="shared" si="3"/>
        <v/>
      </c>
      <c r="X3045" s="4" t="str">
        <f>IF(V3045="","",INDEX(Fornecedores!$X$1:$X$6631,V3045))</f>
        <v/>
      </c>
      <c r="Y3045" s="4" t="str">
        <f t="shared" si="4"/>
        <v/>
      </c>
    </row>
    <row r="3046" spans="19:25">
      <c r="S3046" t="str">
        <f t="shared" si="0"/>
        <v/>
      </c>
      <c r="T3046" t="str">
        <f t="shared" si="1"/>
        <v/>
      </c>
      <c r="U3046" t="str">
        <f t="shared" si="2"/>
        <v/>
      </c>
      <c r="V3046" t="str">
        <f>IF(OR(U3046="",U3046="ERRO_CHAVE"),"",IFERROR(MATCH(U3046,Fornecedores!$AF$1:$AF$6631,0),""))</f>
        <v/>
      </c>
      <c r="W3046" t="str">
        <f t="shared" si="3"/>
        <v/>
      </c>
      <c r="X3046" s="4" t="str">
        <f>IF(V3046="","",INDEX(Fornecedores!$X$1:$X$6631,V3046))</f>
        <v/>
      </c>
      <c r="Y3046" s="4" t="str">
        <f t="shared" si="4"/>
        <v/>
      </c>
    </row>
    <row r="3047" spans="19:25">
      <c r="S3047" t="str">
        <f t="shared" si="0"/>
        <v/>
      </c>
      <c r="T3047" t="str">
        <f t="shared" si="1"/>
        <v/>
      </c>
      <c r="U3047" t="str">
        <f t="shared" si="2"/>
        <v/>
      </c>
      <c r="V3047" t="str">
        <f>IF(OR(U3047="",U3047="ERRO_CHAVE"),"",IFERROR(MATCH(U3047,Fornecedores!$AF$1:$AF$6631,0),""))</f>
        <v/>
      </c>
      <c r="W3047" t="str">
        <f t="shared" si="3"/>
        <v/>
      </c>
      <c r="X3047" s="4" t="str">
        <f>IF(V3047="","",INDEX(Fornecedores!$X$1:$X$6631,V3047))</f>
        <v/>
      </c>
      <c r="Y3047" s="4" t="str">
        <f t="shared" si="4"/>
        <v/>
      </c>
    </row>
    <row r="3048" spans="19:25">
      <c r="S3048" t="str">
        <f t="shared" si="0"/>
        <v/>
      </c>
      <c r="T3048" t="str">
        <f t="shared" si="1"/>
        <v/>
      </c>
      <c r="U3048" t="str">
        <f t="shared" si="2"/>
        <v/>
      </c>
      <c r="V3048" t="str">
        <f>IF(OR(U3048="",U3048="ERRO_CHAVE"),"",IFERROR(MATCH(U3048,Fornecedores!$AF$1:$AF$6631,0),""))</f>
        <v/>
      </c>
      <c r="W3048" t="str">
        <f t="shared" si="3"/>
        <v/>
      </c>
      <c r="X3048" s="4" t="str">
        <f>IF(V3048="","",INDEX(Fornecedores!$X$1:$X$6631,V3048))</f>
        <v/>
      </c>
      <c r="Y3048" s="4" t="str">
        <f t="shared" si="4"/>
        <v/>
      </c>
    </row>
    <row r="3049" spans="19:25">
      <c r="S3049" t="str">
        <f t="shared" si="0"/>
        <v/>
      </c>
      <c r="T3049" t="str">
        <f t="shared" si="1"/>
        <v/>
      </c>
      <c r="U3049" t="str">
        <f t="shared" si="2"/>
        <v/>
      </c>
      <c r="V3049" t="str">
        <f>IF(OR(U3049="",U3049="ERRO_CHAVE"),"",IFERROR(MATCH(U3049,Fornecedores!$AF$1:$AF$6631,0),""))</f>
        <v/>
      </c>
      <c r="W3049" t="str">
        <f t="shared" si="3"/>
        <v/>
      </c>
      <c r="X3049" s="4" t="str">
        <f>IF(V3049="","",INDEX(Fornecedores!$X$1:$X$6631,V3049))</f>
        <v/>
      </c>
      <c r="Y3049" s="4" t="str">
        <f t="shared" si="4"/>
        <v/>
      </c>
    </row>
    <row r="3050" spans="19:25">
      <c r="S3050" t="str">
        <f t="shared" si="0"/>
        <v/>
      </c>
      <c r="T3050" t="str">
        <f t="shared" si="1"/>
        <v/>
      </c>
      <c r="U3050" t="str">
        <f t="shared" si="2"/>
        <v/>
      </c>
      <c r="V3050" t="str">
        <f>IF(OR(U3050="",U3050="ERRO_CHAVE"),"",IFERROR(MATCH(U3050,Fornecedores!$AF$1:$AF$6631,0),""))</f>
        <v/>
      </c>
      <c r="W3050" t="str">
        <f t="shared" si="3"/>
        <v/>
      </c>
      <c r="X3050" s="4" t="str">
        <f>IF(V3050="","",INDEX(Fornecedores!$X$1:$X$6631,V3050))</f>
        <v/>
      </c>
      <c r="Y3050" s="4" t="str">
        <f t="shared" si="4"/>
        <v/>
      </c>
    </row>
    <row r="3051" spans="19:25">
      <c r="S3051" t="str">
        <f t="shared" si="0"/>
        <v/>
      </c>
      <c r="T3051" t="str">
        <f t="shared" si="1"/>
        <v/>
      </c>
      <c r="U3051" t="str">
        <f t="shared" si="2"/>
        <v/>
      </c>
      <c r="V3051" t="str">
        <f>IF(OR(U3051="",U3051="ERRO_CHAVE"),"",IFERROR(MATCH(U3051,Fornecedores!$AF$1:$AF$6631,0),""))</f>
        <v/>
      </c>
      <c r="W3051" t="str">
        <f t="shared" si="3"/>
        <v/>
      </c>
      <c r="X3051" s="4" t="str">
        <f>IF(V3051="","",INDEX(Fornecedores!$X$1:$X$6631,V3051))</f>
        <v/>
      </c>
      <c r="Y3051" s="4" t="str">
        <f t="shared" si="4"/>
        <v/>
      </c>
    </row>
    <row r="3052" spans="19:25">
      <c r="S3052" t="str">
        <f t="shared" si="0"/>
        <v/>
      </c>
      <c r="T3052" t="str">
        <f t="shared" si="1"/>
        <v/>
      </c>
      <c r="U3052" t="str">
        <f t="shared" si="2"/>
        <v/>
      </c>
      <c r="V3052" t="str">
        <f>IF(OR(U3052="",U3052="ERRO_CHAVE"),"",IFERROR(MATCH(U3052,Fornecedores!$AF$1:$AF$6631,0),""))</f>
        <v/>
      </c>
      <c r="W3052" t="str">
        <f t="shared" si="3"/>
        <v/>
      </c>
      <c r="X3052" s="4" t="str">
        <f>IF(V3052="","",INDEX(Fornecedores!$X$1:$X$6631,V3052))</f>
        <v/>
      </c>
      <c r="Y3052" s="4" t="str">
        <f t="shared" si="4"/>
        <v/>
      </c>
    </row>
    <row r="3053" spans="19:25">
      <c r="S3053" t="str">
        <f t="shared" si="0"/>
        <v/>
      </c>
      <c r="T3053" t="str">
        <f t="shared" si="1"/>
        <v/>
      </c>
      <c r="U3053" t="str">
        <f t="shared" si="2"/>
        <v/>
      </c>
      <c r="V3053" t="str">
        <f>IF(OR(U3053="",U3053="ERRO_CHAVE"),"",IFERROR(MATCH(U3053,Fornecedores!$AF$1:$AF$6631,0),""))</f>
        <v/>
      </c>
      <c r="W3053" t="str">
        <f t="shared" si="3"/>
        <v/>
      </c>
      <c r="X3053" s="4" t="str">
        <f>IF(V3053="","",INDEX(Fornecedores!$X$1:$X$6631,V3053))</f>
        <v/>
      </c>
      <c r="Y3053" s="4" t="str">
        <f t="shared" si="4"/>
        <v/>
      </c>
    </row>
    <row r="3054" spans="19:25">
      <c r="S3054" t="str">
        <f t="shared" si="0"/>
        <v/>
      </c>
      <c r="T3054" t="str">
        <f t="shared" si="1"/>
        <v/>
      </c>
      <c r="U3054" t="str">
        <f t="shared" si="2"/>
        <v/>
      </c>
      <c r="V3054" t="str">
        <f>IF(OR(U3054="",U3054="ERRO_CHAVE"),"",IFERROR(MATCH(U3054,Fornecedores!$AF$1:$AF$6631,0),""))</f>
        <v/>
      </c>
      <c r="W3054" t="str">
        <f t="shared" si="3"/>
        <v/>
      </c>
      <c r="X3054" s="4" t="str">
        <f>IF(V3054="","",INDEX(Fornecedores!$X$1:$X$6631,V3054))</f>
        <v/>
      </c>
      <c r="Y3054" s="4" t="str">
        <f t="shared" si="4"/>
        <v/>
      </c>
    </row>
    <row r="3055" spans="19:25">
      <c r="S3055" t="str">
        <f t="shared" si="0"/>
        <v/>
      </c>
      <c r="T3055" t="str">
        <f t="shared" si="1"/>
        <v/>
      </c>
      <c r="U3055" t="str">
        <f t="shared" si="2"/>
        <v/>
      </c>
      <c r="V3055" t="str">
        <f>IF(OR(U3055="",U3055="ERRO_CHAVE"),"",IFERROR(MATCH(U3055,Fornecedores!$AF$1:$AF$6631,0),""))</f>
        <v/>
      </c>
      <c r="W3055" t="str">
        <f t="shared" si="3"/>
        <v/>
      </c>
      <c r="X3055" s="4" t="str">
        <f>IF(V3055="","",INDEX(Fornecedores!$X$1:$X$6631,V3055))</f>
        <v/>
      </c>
      <c r="Y3055" s="4" t="str">
        <f t="shared" si="4"/>
        <v/>
      </c>
    </row>
    <row r="3056" spans="19:25">
      <c r="S3056" t="str">
        <f t="shared" si="0"/>
        <v/>
      </c>
      <c r="T3056" t="str">
        <f t="shared" si="1"/>
        <v/>
      </c>
      <c r="U3056" t="str">
        <f t="shared" si="2"/>
        <v/>
      </c>
      <c r="V3056" t="str">
        <f>IF(OR(U3056="",U3056="ERRO_CHAVE"),"",IFERROR(MATCH(U3056,Fornecedores!$AF$1:$AF$6631,0),""))</f>
        <v/>
      </c>
      <c r="W3056" t="str">
        <f t="shared" si="3"/>
        <v/>
      </c>
      <c r="X3056" s="4" t="str">
        <f>IF(V3056="","",INDEX(Fornecedores!$X$1:$X$6631,V3056))</f>
        <v/>
      </c>
      <c r="Y3056" s="4" t="str">
        <f t="shared" si="4"/>
        <v/>
      </c>
    </row>
    <row r="3057" spans="19:25">
      <c r="S3057" t="str">
        <f t="shared" si="0"/>
        <v/>
      </c>
      <c r="T3057" t="str">
        <f t="shared" si="1"/>
        <v/>
      </c>
      <c r="U3057" t="str">
        <f t="shared" si="2"/>
        <v/>
      </c>
      <c r="V3057" t="str">
        <f>IF(OR(U3057="",U3057="ERRO_CHAVE"),"",IFERROR(MATCH(U3057,Fornecedores!$AF$1:$AF$6631,0),""))</f>
        <v/>
      </c>
      <c r="W3057" t="str">
        <f t="shared" si="3"/>
        <v/>
      </c>
      <c r="X3057" s="4" t="str">
        <f>IF(V3057="","",INDEX(Fornecedores!$X$1:$X$6631,V3057))</f>
        <v/>
      </c>
      <c r="Y3057" s="4" t="str">
        <f t="shared" si="4"/>
        <v/>
      </c>
    </row>
    <row r="3058" spans="19:25">
      <c r="S3058" t="str">
        <f t="shared" si="0"/>
        <v/>
      </c>
      <c r="T3058" t="str">
        <f t="shared" si="1"/>
        <v/>
      </c>
      <c r="U3058" t="str">
        <f t="shared" si="2"/>
        <v/>
      </c>
      <c r="V3058" t="str">
        <f>IF(OR(U3058="",U3058="ERRO_CHAVE"),"",IFERROR(MATCH(U3058,Fornecedores!$AF$1:$AF$6631,0),""))</f>
        <v/>
      </c>
      <c r="W3058" t="str">
        <f t="shared" si="3"/>
        <v/>
      </c>
      <c r="X3058" s="4" t="str">
        <f>IF(V3058="","",INDEX(Fornecedores!$X$1:$X$6631,V3058))</f>
        <v/>
      </c>
      <c r="Y3058" s="4" t="str">
        <f t="shared" si="4"/>
        <v/>
      </c>
    </row>
    <row r="3059" spans="19:25">
      <c r="S3059" t="str">
        <f t="shared" si="0"/>
        <v/>
      </c>
      <c r="T3059" t="str">
        <f t="shared" si="1"/>
        <v/>
      </c>
      <c r="U3059" t="str">
        <f t="shared" si="2"/>
        <v/>
      </c>
      <c r="V3059" t="str">
        <f>IF(OR(U3059="",U3059="ERRO_CHAVE"),"",IFERROR(MATCH(U3059,Fornecedores!$AF$1:$AF$6631,0),""))</f>
        <v/>
      </c>
      <c r="W3059" t="str">
        <f t="shared" si="3"/>
        <v/>
      </c>
      <c r="X3059" s="4" t="str">
        <f>IF(V3059="","",INDEX(Fornecedores!$X$1:$X$6631,V3059))</f>
        <v/>
      </c>
      <c r="Y3059" s="4" t="str">
        <f t="shared" si="4"/>
        <v/>
      </c>
    </row>
    <row r="3060" spans="19:25">
      <c r="S3060" t="str">
        <f t="shared" si="0"/>
        <v/>
      </c>
      <c r="T3060" t="str">
        <f t="shared" si="1"/>
        <v/>
      </c>
      <c r="U3060" t="str">
        <f t="shared" si="2"/>
        <v/>
      </c>
      <c r="V3060" t="str">
        <f>IF(OR(U3060="",U3060="ERRO_CHAVE"),"",IFERROR(MATCH(U3060,Fornecedores!$AF$1:$AF$6631,0),""))</f>
        <v/>
      </c>
      <c r="W3060" t="str">
        <f t="shared" si="3"/>
        <v/>
      </c>
      <c r="X3060" s="4" t="str">
        <f>IF(V3060="","",INDEX(Fornecedores!$X$1:$X$6631,V3060))</f>
        <v/>
      </c>
      <c r="Y3060" s="4" t="str">
        <f t="shared" si="4"/>
        <v/>
      </c>
    </row>
    <row r="3061" spans="19:25">
      <c r="S3061" t="str">
        <f t="shared" si="0"/>
        <v/>
      </c>
      <c r="T3061" t="str">
        <f t="shared" si="1"/>
        <v/>
      </c>
      <c r="U3061" t="str">
        <f t="shared" si="2"/>
        <v/>
      </c>
      <c r="V3061" t="str">
        <f>IF(OR(U3061="",U3061="ERRO_CHAVE"),"",IFERROR(MATCH(U3061,Fornecedores!$AF$1:$AF$6631,0),""))</f>
        <v/>
      </c>
      <c r="W3061" t="str">
        <f t="shared" si="3"/>
        <v/>
      </c>
      <c r="X3061" s="4" t="str">
        <f>IF(V3061="","",INDEX(Fornecedores!$X$1:$X$6631,V3061))</f>
        <v/>
      </c>
      <c r="Y3061" s="4" t="str">
        <f t="shared" si="4"/>
        <v/>
      </c>
    </row>
    <row r="3062" spans="19:25">
      <c r="S3062" t="str">
        <f t="shared" si="0"/>
        <v/>
      </c>
      <c r="T3062" t="str">
        <f t="shared" si="1"/>
        <v/>
      </c>
      <c r="U3062" t="str">
        <f t="shared" si="2"/>
        <v/>
      </c>
      <c r="V3062" t="str">
        <f>IF(OR(U3062="",U3062="ERRO_CHAVE"),"",IFERROR(MATCH(U3062,Fornecedores!$AF$1:$AF$6631,0),""))</f>
        <v/>
      </c>
      <c r="W3062" t="str">
        <f t="shared" si="3"/>
        <v/>
      </c>
      <c r="X3062" s="4" t="str">
        <f>IF(V3062="","",INDEX(Fornecedores!$X$1:$X$6631,V3062))</f>
        <v/>
      </c>
      <c r="Y3062" s="4" t="str">
        <f t="shared" si="4"/>
        <v/>
      </c>
    </row>
    <row r="3063" spans="19:25">
      <c r="S3063" t="str">
        <f t="shared" si="0"/>
        <v/>
      </c>
      <c r="T3063" t="str">
        <f t="shared" si="1"/>
        <v/>
      </c>
      <c r="U3063" t="str">
        <f t="shared" si="2"/>
        <v/>
      </c>
      <c r="V3063" t="str">
        <f>IF(OR(U3063="",U3063="ERRO_CHAVE"),"",IFERROR(MATCH(U3063,Fornecedores!$AF$1:$AF$6631,0),""))</f>
        <v/>
      </c>
      <c r="W3063" t="str">
        <f t="shared" si="3"/>
        <v/>
      </c>
      <c r="X3063" s="4" t="str">
        <f>IF(V3063="","",INDEX(Fornecedores!$X$1:$X$6631,V3063))</f>
        <v/>
      </c>
      <c r="Y3063" s="4" t="str">
        <f t="shared" si="4"/>
        <v/>
      </c>
    </row>
    <row r="3064" spans="19:25">
      <c r="S3064" t="str">
        <f t="shared" si="0"/>
        <v/>
      </c>
      <c r="T3064" t="str">
        <f t="shared" si="1"/>
        <v/>
      </c>
      <c r="U3064" t="str">
        <f t="shared" si="2"/>
        <v/>
      </c>
      <c r="V3064" t="str">
        <f>IF(OR(U3064="",U3064="ERRO_CHAVE"),"",IFERROR(MATCH(U3064,Fornecedores!$AF$1:$AF$6631,0),""))</f>
        <v/>
      </c>
      <c r="W3064" t="str">
        <f t="shared" si="3"/>
        <v/>
      </c>
      <c r="X3064" s="4" t="str">
        <f>IF(V3064="","",INDEX(Fornecedores!$X$1:$X$6631,V3064))</f>
        <v/>
      </c>
      <c r="Y3064" s="4" t="str">
        <f t="shared" si="4"/>
        <v/>
      </c>
    </row>
    <row r="3065" spans="19:25">
      <c r="S3065" t="str">
        <f t="shared" si="0"/>
        <v/>
      </c>
      <c r="T3065" t="str">
        <f t="shared" si="1"/>
        <v/>
      </c>
      <c r="U3065" t="str">
        <f t="shared" si="2"/>
        <v/>
      </c>
      <c r="V3065" t="str">
        <f>IF(OR(U3065="",U3065="ERRO_CHAVE"),"",IFERROR(MATCH(U3065,Fornecedores!$AF$1:$AF$6631,0),""))</f>
        <v/>
      </c>
      <c r="W3065" t="str">
        <f t="shared" si="3"/>
        <v/>
      </c>
      <c r="X3065" s="4" t="str">
        <f>IF(V3065="","",INDEX(Fornecedores!$X$1:$X$6631,V3065))</f>
        <v/>
      </c>
      <c r="Y3065" s="4" t="str">
        <f t="shared" si="4"/>
        <v/>
      </c>
    </row>
    <row r="3066" spans="19:25">
      <c r="S3066" t="str">
        <f t="shared" si="0"/>
        <v/>
      </c>
      <c r="T3066" t="str">
        <f t="shared" si="1"/>
        <v/>
      </c>
      <c r="U3066" t="str">
        <f t="shared" si="2"/>
        <v/>
      </c>
      <c r="V3066" t="str">
        <f>IF(OR(U3066="",U3066="ERRO_CHAVE"),"",IFERROR(MATCH(U3066,Fornecedores!$AF$1:$AF$6631,0),""))</f>
        <v/>
      </c>
      <c r="W3066" t="str">
        <f t="shared" si="3"/>
        <v/>
      </c>
      <c r="X3066" s="4" t="str">
        <f>IF(V3066="","",INDEX(Fornecedores!$X$1:$X$6631,V3066))</f>
        <v/>
      </c>
      <c r="Y3066" s="4" t="str">
        <f t="shared" si="4"/>
        <v/>
      </c>
    </row>
    <row r="3067" spans="19:25">
      <c r="S3067" t="str">
        <f t="shared" si="0"/>
        <v/>
      </c>
      <c r="T3067" t="str">
        <f t="shared" si="1"/>
        <v/>
      </c>
      <c r="U3067" t="str">
        <f t="shared" si="2"/>
        <v/>
      </c>
      <c r="V3067" t="str">
        <f>IF(OR(U3067="",U3067="ERRO_CHAVE"),"",IFERROR(MATCH(U3067,Fornecedores!$AF$1:$AF$6631,0),""))</f>
        <v/>
      </c>
      <c r="W3067" t="str">
        <f t="shared" si="3"/>
        <v/>
      </c>
      <c r="X3067" s="4" t="str">
        <f>IF(V3067="","",INDEX(Fornecedores!$X$1:$X$6631,V3067))</f>
        <v/>
      </c>
      <c r="Y3067" s="4" t="str">
        <f t="shared" si="4"/>
        <v/>
      </c>
    </row>
    <row r="3068" spans="19:25">
      <c r="S3068" t="str">
        <f t="shared" si="0"/>
        <v/>
      </c>
      <c r="T3068" t="str">
        <f t="shared" si="1"/>
        <v/>
      </c>
      <c r="U3068" t="str">
        <f t="shared" si="2"/>
        <v/>
      </c>
      <c r="V3068" t="str">
        <f>IF(OR(U3068="",U3068="ERRO_CHAVE"),"",IFERROR(MATCH(U3068,Fornecedores!$AF$1:$AF$6631,0),""))</f>
        <v/>
      </c>
      <c r="W3068" t="str">
        <f t="shared" si="3"/>
        <v/>
      </c>
      <c r="X3068" s="4" t="str">
        <f>IF(V3068="","",INDEX(Fornecedores!$X$1:$X$6631,V3068))</f>
        <v/>
      </c>
      <c r="Y3068" s="4" t="str">
        <f t="shared" si="4"/>
        <v/>
      </c>
    </row>
    <row r="3069" spans="19:25">
      <c r="S3069" t="str">
        <f t="shared" si="0"/>
        <v/>
      </c>
      <c r="T3069" t="str">
        <f t="shared" si="1"/>
        <v/>
      </c>
      <c r="U3069" t="str">
        <f t="shared" si="2"/>
        <v/>
      </c>
      <c r="V3069" t="str">
        <f>IF(OR(U3069="",U3069="ERRO_CHAVE"),"",IFERROR(MATCH(U3069,Fornecedores!$AF$1:$AF$6631,0),""))</f>
        <v/>
      </c>
      <c r="W3069" t="str">
        <f t="shared" si="3"/>
        <v/>
      </c>
      <c r="X3069" s="4" t="str">
        <f>IF(V3069="","",INDEX(Fornecedores!$X$1:$X$6631,V3069))</f>
        <v/>
      </c>
      <c r="Y3069" s="4" t="str">
        <f t="shared" si="4"/>
        <v/>
      </c>
    </row>
    <row r="3070" spans="19:25">
      <c r="S3070" t="str">
        <f t="shared" si="0"/>
        <v/>
      </c>
      <c r="T3070" t="str">
        <f t="shared" si="1"/>
        <v/>
      </c>
      <c r="U3070" t="str">
        <f t="shared" si="2"/>
        <v/>
      </c>
      <c r="V3070" t="str">
        <f>IF(OR(U3070="",U3070="ERRO_CHAVE"),"",IFERROR(MATCH(U3070,Fornecedores!$AF$1:$AF$6631,0),""))</f>
        <v/>
      </c>
      <c r="W3070" t="str">
        <f t="shared" si="3"/>
        <v/>
      </c>
      <c r="X3070" s="4" t="str">
        <f>IF(V3070="","",INDEX(Fornecedores!$X$1:$X$6631,V3070))</f>
        <v/>
      </c>
      <c r="Y3070" s="4" t="str">
        <f t="shared" si="4"/>
        <v/>
      </c>
    </row>
    <row r="3071" spans="19:25">
      <c r="S3071" t="str">
        <f t="shared" si="0"/>
        <v/>
      </c>
      <c r="T3071" t="str">
        <f t="shared" si="1"/>
        <v/>
      </c>
      <c r="U3071" t="str">
        <f t="shared" si="2"/>
        <v/>
      </c>
      <c r="V3071" t="str">
        <f>IF(OR(U3071="",U3071="ERRO_CHAVE"),"",IFERROR(MATCH(U3071,Fornecedores!$AF$1:$AF$6631,0),""))</f>
        <v/>
      </c>
      <c r="W3071" t="str">
        <f t="shared" si="3"/>
        <v/>
      </c>
      <c r="X3071" s="4" t="str">
        <f>IF(V3071="","",INDEX(Fornecedores!$X$1:$X$6631,V3071))</f>
        <v/>
      </c>
      <c r="Y3071" s="4" t="str">
        <f t="shared" si="4"/>
        <v/>
      </c>
    </row>
    <row r="3072" spans="19:25">
      <c r="S3072" t="str">
        <f t="shared" si="0"/>
        <v/>
      </c>
      <c r="T3072" t="str">
        <f t="shared" si="1"/>
        <v/>
      </c>
      <c r="U3072" t="str">
        <f t="shared" si="2"/>
        <v/>
      </c>
      <c r="V3072" t="str">
        <f>IF(OR(U3072="",U3072="ERRO_CHAVE"),"",IFERROR(MATCH(U3072,Fornecedores!$AF$1:$AF$6631,0),""))</f>
        <v/>
      </c>
      <c r="W3072" t="str">
        <f t="shared" si="3"/>
        <v/>
      </c>
      <c r="X3072" s="4" t="str">
        <f>IF(V3072="","",INDEX(Fornecedores!$X$1:$X$6631,V3072))</f>
        <v/>
      </c>
      <c r="Y3072" s="4" t="str">
        <f t="shared" si="4"/>
        <v/>
      </c>
    </row>
    <row r="3073" spans="19:25">
      <c r="S3073" t="str">
        <f t="shared" si="0"/>
        <v/>
      </c>
      <c r="T3073" t="str">
        <f t="shared" si="1"/>
        <v/>
      </c>
      <c r="U3073" t="str">
        <f t="shared" si="2"/>
        <v/>
      </c>
      <c r="V3073" t="str">
        <f>IF(OR(U3073="",U3073="ERRO_CHAVE"),"",IFERROR(MATCH(U3073,Fornecedores!$AF$1:$AF$6631,0),""))</f>
        <v/>
      </c>
      <c r="W3073" t="str">
        <f t="shared" si="3"/>
        <v/>
      </c>
      <c r="X3073" s="4" t="str">
        <f>IF(V3073="","",INDEX(Fornecedores!$X$1:$X$6631,V3073))</f>
        <v/>
      </c>
      <c r="Y3073" s="4" t="str">
        <f t="shared" si="4"/>
        <v/>
      </c>
    </row>
    <row r="3074" spans="19:25">
      <c r="S3074" t="str">
        <f t="shared" si="0"/>
        <v/>
      </c>
      <c r="T3074" t="str">
        <f t="shared" si="1"/>
        <v/>
      </c>
      <c r="U3074" t="str">
        <f t="shared" si="2"/>
        <v/>
      </c>
      <c r="V3074" t="str">
        <f>IF(OR(U3074="",U3074="ERRO_CHAVE"),"",IFERROR(MATCH(U3074,Fornecedores!$AF$1:$AF$6631,0),""))</f>
        <v/>
      </c>
      <c r="W3074" t="str">
        <f t="shared" si="3"/>
        <v/>
      </c>
      <c r="X3074" s="4" t="str">
        <f>IF(V3074="","",INDEX(Fornecedores!$X$1:$X$6631,V3074))</f>
        <v/>
      </c>
      <c r="Y3074" s="4" t="str">
        <f t="shared" si="4"/>
        <v/>
      </c>
    </row>
    <row r="3075" spans="19:25">
      <c r="S3075" t="str">
        <f t="shared" si="0"/>
        <v/>
      </c>
      <c r="T3075" t="str">
        <f t="shared" si="1"/>
        <v/>
      </c>
      <c r="U3075" t="str">
        <f t="shared" si="2"/>
        <v/>
      </c>
      <c r="V3075" t="str">
        <f>IF(OR(U3075="",U3075="ERRO_CHAVE"),"",IFERROR(MATCH(U3075,Fornecedores!$AF$1:$AF$6631,0),""))</f>
        <v/>
      </c>
      <c r="W3075" t="str">
        <f t="shared" si="3"/>
        <v/>
      </c>
      <c r="X3075" s="4" t="str">
        <f>IF(V3075="","",INDEX(Fornecedores!$X$1:$X$6631,V3075))</f>
        <v/>
      </c>
      <c r="Y3075" s="4" t="str">
        <f t="shared" si="4"/>
        <v/>
      </c>
    </row>
    <row r="3076" spans="19:25">
      <c r="S3076" t="str">
        <f t="shared" si="0"/>
        <v/>
      </c>
      <c r="T3076" t="str">
        <f t="shared" si="1"/>
        <v/>
      </c>
      <c r="U3076" t="str">
        <f t="shared" si="2"/>
        <v/>
      </c>
      <c r="V3076" t="str">
        <f>IF(OR(U3076="",U3076="ERRO_CHAVE"),"",IFERROR(MATCH(U3076,Fornecedores!$AF$1:$AF$6631,0),""))</f>
        <v/>
      </c>
      <c r="W3076" t="str">
        <f t="shared" si="3"/>
        <v/>
      </c>
      <c r="X3076" s="4" t="str">
        <f>IF(V3076="","",INDEX(Fornecedores!$X$1:$X$6631,V3076))</f>
        <v/>
      </c>
      <c r="Y3076" s="4" t="str">
        <f t="shared" si="4"/>
        <v/>
      </c>
    </row>
    <row r="3077" spans="19:25">
      <c r="S3077" t="str">
        <f t="shared" si="0"/>
        <v/>
      </c>
      <c r="T3077" t="str">
        <f t="shared" si="1"/>
        <v/>
      </c>
      <c r="U3077" t="str">
        <f t="shared" si="2"/>
        <v/>
      </c>
      <c r="V3077" t="str">
        <f>IF(OR(U3077="",U3077="ERRO_CHAVE"),"",IFERROR(MATCH(U3077,Fornecedores!$AF$1:$AF$6631,0),""))</f>
        <v/>
      </c>
      <c r="W3077" t="str">
        <f t="shared" si="3"/>
        <v/>
      </c>
      <c r="X3077" s="4" t="str">
        <f>IF(V3077="","",INDEX(Fornecedores!$X$1:$X$6631,V3077))</f>
        <v/>
      </c>
      <c r="Y3077" s="4" t="str">
        <f t="shared" si="4"/>
        <v/>
      </c>
    </row>
    <row r="3078" spans="19:25">
      <c r="S3078" t="str">
        <f t="shared" si="0"/>
        <v/>
      </c>
      <c r="T3078" t="str">
        <f t="shared" si="1"/>
        <v/>
      </c>
      <c r="U3078" t="str">
        <f t="shared" si="2"/>
        <v/>
      </c>
      <c r="V3078" t="str">
        <f>IF(OR(U3078="",U3078="ERRO_CHAVE"),"",IFERROR(MATCH(U3078,Fornecedores!$AF$1:$AF$6631,0),""))</f>
        <v/>
      </c>
      <c r="W3078" t="str">
        <f t="shared" si="3"/>
        <v/>
      </c>
      <c r="X3078" s="4" t="str">
        <f>IF(V3078="","",INDEX(Fornecedores!$X$1:$X$6631,V3078))</f>
        <v/>
      </c>
      <c r="Y3078" s="4" t="str">
        <f t="shared" si="4"/>
        <v/>
      </c>
    </row>
    <row r="3079" spans="19:25">
      <c r="S3079" t="str">
        <f t="shared" si="0"/>
        <v/>
      </c>
      <c r="T3079" t="str">
        <f t="shared" si="1"/>
        <v/>
      </c>
      <c r="U3079" t="str">
        <f t="shared" si="2"/>
        <v/>
      </c>
      <c r="V3079" t="str">
        <f>IF(OR(U3079="",U3079="ERRO_CHAVE"),"",IFERROR(MATCH(U3079,Fornecedores!$AF$1:$AF$6631,0),""))</f>
        <v/>
      </c>
      <c r="W3079" t="str">
        <f t="shared" si="3"/>
        <v/>
      </c>
      <c r="X3079" s="4" t="str">
        <f>IF(V3079="","",INDEX(Fornecedores!$X$1:$X$6631,V3079))</f>
        <v/>
      </c>
      <c r="Y3079" s="4" t="str">
        <f t="shared" si="4"/>
        <v/>
      </c>
    </row>
    <row r="3080" spans="19:25">
      <c r="S3080" t="str">
        <f t="shared" si="0"/>
        <v/>
      </c>
      <c r="T3080" t="str">
        <f t="shared" si="1"/>
        <v/>
      </c>
      <c r="U3080" t="str">
        <f t="shared" si="2"/>
        <v/>
      </c>
      <c r="V3080" t="str">
        <f>IF(OR(U3080="",U3080="ERRO_CHAVE"),"",IFERROR(MATCH(U3080,Fornecedores!$AF$1:$AF$6631,0),""))</f>
        <v/>
      </c>
      <c r="W3080" t="str">
        <f t="shared" si="3"/>
        <v/>
      </c>
      <c r="X3080" s="4" t="str">
        <f>IF(V3080="","",INDEX(Fornecedores!$X$1:$X$6631,V3080))</f>
        <v/>
      </c>
      <c r="Y3080" s="4" t="str">
        <f t="shared" si="4"/>
        <v/>
      </c>
    </row>
    <row r="3081" spans="19:25">
      <c r="S3081" t="str">
        <f t="shared" si="0"/>
        <v/>
      </c>
      <c r="T3081" t="str">
        <f t="shared" si="1"/>
        <v/>
      </c>
      <c r="U3081" t="str">
        <f t="shared" si="2"/>
        <v/>
      </c>
      <c r="V3081" t="str">
        <f>IF(OR(U3081="",U3081="ERRO_CHAVE"),"",IFERROR(MATCH(U3081,Fornecedores!$AF$1:$AF$6631,0),""))</f>
        <v/>
      </c>
      <c r="W3081" t="str">
        <f t="shared" si="3"/>
        <v/>
      </c>
      <c r="X3081" s="4" t="str">
        <f>IF(V3081="","",INDEX(Fornecedores!$X$1:$X$6631,V3081))</f>
        <v/>
      </c>
      <c r="Y3081" s="4" t="str">
        <f t="shared" si="4"/>
        <v/>
      </c>
    </row>
    <row r="3082" spans="19:25">
      <c r="S3082" t="str">
        <f t="shared" si="0"/>
        <v/>
      </c>
      <c r="T3082" t="str">
        <f t="shared" si="1"/>
        <v/>
      </c>
      <c r="U3082" t="str">
        <f t="shared" si="2"/>
        <v/>
      </c>
      <c r="V3082" t="str">
        <f>IF(OR(U3082="",U3082="ERRO_CHAVE"),"",IFERROR(MATCH(U3082,Fornecedores!$AF$1:$AF$6631,0),""))</f>
        <v/>
      </c>
      <c r="W3082" t="str">
        <f t="shared" si="3"/>
        <v/>
      </c>
      <c r="X3082" s="4" t="str">
        <f>IF(V3082="","",INDEX(Fornecedores!$X$1:$X$6631,V3082))</f>
        <v/>
      </c>
      <c r="Y3082" s="4" t="str">
        <f t="shared" si="4"/>
        <v/>
      </c>
    </row>
    <row r="3083" spans="19:25">
      <c r="S3083" t="str">
        <f t="shared" si="0"/>
        <v/>
      </c>
      <c r="T3083" t="str">
        <f t="shared" si="1"/>
        <v/>
      </c>
      <c r="U3083" t="str">
        <f t="shared" si="2"/>
        <v/>
      </c>
      <c r="V3083" t="str">
        <f>IF(OR(U3083="",U3083="ERRO_CHAVE"),"",IFERROR(MATCH(U3083,Fornecedores!$AF$1:$AF$6631,0),""))</f>
        <v/>
      </c>
      <c r="W3083" t="str">
        <f t="shared" si="3"/>
        <v/>
      </c>
      <c r="X3083" s="4" t="str">
        <f>IF(V3083="","",INDEX(Fornecedores!$X$1:$X$6631,V3083))</f>
        <v/>
      </c>
      <c r="Y3083" s="4" t="str">
        <f t="shared" si="4"/>
        <v/>
      </c>
    </row>
    <row r="3084" spans="19:25">
      <c r="S3084" t="str">
        <f t="shared" si="0"/>
        <v/>
      </c>
      <c r="T3084" t="str">
        <f t="shared" si="1"/>
        <v/>
      </c>
      <c r="U3084" t="str">
        <f t="shared" si="2"/>
        <v/>
      </c>
      <c r="V3084" t="str">
        <f>IF(OR(U3084="",U3084="ERRO_CHAVE"),"",IFERROR(MATCH(U3084,Fornecedores!$AF$1:$AF$6631,0),""))</f>
        <v/>
      </c>
      <c r="W3084" t="str">
        <f t="shared" si="3"/>
        <v/>
      </c>
      <c r="X3084" s="4" t="str">
        <f>IF(V3084="","",INDEX(Fornecedores!$X$1:$X$6631,V3084))</f>
        <v/>
      </c>
      <c r="Y3084" s="4" t="str">
        <f t="shared" si="4"/>
        <v/>
      </c>
    </row>
    <row r="3085" spans="19:25">
      <c r="S3085" t="str">
        <f t="shared" si="0"/>
        <v/>
      </c>
      <c r="T3085" t="str">
        <f t="shared" si="1"/>
        <v/>
      </c>
      <c r="U3085" t="str">
        <f t="shared" si="2"/>
        <v/>
      </c>
      <c r="V3085" t="str">
        <f>IF(OR(U3085="",U3085="ERRO_CHAVE"),"",IFERROR(MATCH(U3085,Fornecedores!$AF$1:$AF$6631,0),""))</f>
        <v/>
      </c>
      <c r="W3085" t="str">
        <f t="shared" si="3"/>
        <v/>
      </c>
      <c r="X3085" s="4" t="str">
        <f>IF(V3085="","",INDEX(Fornecedores!$X$1:$X$6631,V3085))</f>
        <v/>
      </c>
      <c r="Y3085" s="4" t="str">
        <f t="shared" si="4"/>
        <v/>
      </c>
    </row>
    <row r="3086" spans="19:25">
      <c r="S3086" t="str">
        <f t="shared" si="0"/>
        <v/>
      </c>
      <c r="T3086" t="str">
        <f t="shared" si="1"/>
        <v/>
      </c>
      <c r="U3086" t="str">
        <f t="shared" si="2"/>
        <v/>
      </c>
      <c r="V3086" t="str">
        <f>IF(OR(U3086="",U3086="ERRO_CHAVE"),"",IFERROR(MATCH(U3086,Fornecedores!$AF$1:$AF$6631,0),""))</f>
        <v/>
      </c>
      <c r="W3086" t="str">
        <f t="shared" si="3"/>
        <v/>
      </c>
      <c r="X3086" s="4" t="str">
        <f>IF(V3086="","",INDEX(Fornecedores!$X$1:$X$6631,V3086))</f>
        <v/>
      </c>
      <c r="Y3086" s="4" t="str">
        <f t="shared" si="4"/>
        <v/>
      </c>
    </row>
    <row r="3087" spans="19:25">
      <c r="S3087" t="str">
        <f t="shared" si="0"/>
        <v/>
      </c>
      <c r="T3087" t="str">
        <f t="shared" si="1"/>
        <v/>
      </c>
      <c r="U3087" t="str">
        <f t="shared" si="2"/>
        <v/>
      </c>
      <c r="V3087" t="str">
        <f>IF(OR(U3087="",U3087="ERRO_CHAVE"),"",IFERROR(MATCH(U3087,Fornecedores!$AF$1:$AF$6631,0),""))</f>
        <v/>
      </c>
      <c r="W3087" t="str">
        <f t="shared" si="3"/>
        <v/>
      </c>
      <c r="X3087" s="4" t="str">
        <f>IF(V3087="","",INDEX(Fornecedores!$X$1:$X$6631,V3087))</f>
        <v/>
      </c>
      <c r="Y3087" s="4" t="str">
        <f t="shared" si="4"/>
        <v/>
      </c>
    </row>
    <row r="3088" spans="19:25">
      <c r="S3088" t="str">
        <f t="shared" si="0"/>
        <v/>
      </c>
      <c r="T3088" t="str">
        <f t="shared" si="1"/>
        <v/>
      </c>
      <c r="U3088" t="str">
        <f t="shared" si="2"/>
        <v/>
      </c>
      <c r="V3088" t="str">
        <f>IF(OR(U3088="",U3088="ERRO_CHAVE"),"",IFERROR(MATCH(U3088,Fornecedores!$AF$1:$AF$6631,0),""))</f>
        <v/>
      </c>
      <c r="W3088" t="str">
        <f t="shared" si="3"/>
        <v/>
      </c>
      <c r="X3088" s="4" t="str">
        <f>IF(V3088="","",INDEX(Fornecedores!$X$1:$X$6631,V3088))</f>
        <v/>
      </c>
      <c r="Y3088" s="4" t="str">
        <f t="shared" si="4"/>
        <v/>
      </c>
    </row>
    <row r="3089" spans="19:25">
      <c r="S3089" t="str">
        <f t="shared" si="0"/>
        <v/>
      </c>
      <c r="T3089" t="str">
        <f t="shared" si="1"/>
        <v/>
      </c>
      <c r="U3089" t="str">
        <f t="shared" si="2"/>
        <v/>
      </c>
      <c r="V3089" t="str">
        <f>IF(OR(U3089="",U3089="ERRO_CHAVE"),"",IFERROR(MATCH(U3089,Fornecedores!$AF$1:$AF$6631,0),""))</f>
        <v/>
      </c>
      <c r="W3089" t="str">
        <f t="shared" si="3"/>
        <v/>
      </c>
      <c r="X3089" s="4" t="str">
        <f>IF(V3089="","",INDEX(Fornecedores!$X$1:$X$6631,V3089))</f>
        <v/>
      </c>
      <c r="Y3089" s="4" t="str">
        <f t="shared" si="4"/>
        <v/>
      </c>
    </row>
    <row r="3090" spans="19:25">
      <c r="S3090" t="str">
        <f t="shared" si="0"/>
        <v/>
      </c>
      <c r="T3090" t="str">
        <f t="shared" si="1"/>
        <v/>
      </c>
      <c r="U3090" t="str">
        <f t="shared" si="2"/>
        <v/>
      </c>
      <c r="V3090" t="str">
        <f>IF(OR(U3090="",U3090="ERRO_CHAVE"),"",IFERROR(MATCH(U3090,Fornecedores!$AF$1:$AF$6631,0),""))</f>
        <v/>
      </c>
      <c r="W3090" t="str">
        <f t="shared" si="3"/>
        <v/>
      </c>
      <c r="X3090" s="4" t="str">
        <f>IF(V3090="","",INDEX(Fornecedores!$X$1:$X$6631,V3090))</f>
        <v/>
      </c>
      <c r="Y3090" s="4" t="str">
        <f t="shared" si="4"/>
        <v/>
      </c>
    </row>
    <row r="3091" spans="19:25">
      <c r="S3091" t="str">
        <f t="shared" si="0"/>
        <v/>
      </c>
      <c r="T3091" t="str">
        <f t="shared" si="1"/>
        <v/>
      </c>
      <c r="U3091" t="str">
        <f t="shared" si="2"/>
        <v/>
      </c>
      <c r="V3091" t="str">
        <f>IF(OR(U3091="",U3091="ERRO_CHAVE"),"",IFERROR(MATCH(U3091,Fornecedores!$AF$1:$AF$6631,0),""))</f>
        <v/>
      </c>
      <c r="W3091" t="str">
        <f t="shared" si="3"/>
        <v/>
      </c>
      <c r="X3091" s="4" t="str">
        <f>IF(V3091="","",INDEX(Fornecedores!$X$1:$X$6631,V3091))</f>
        <v/>
      </c>
      <c r="Y3091" s="4" t="str">
        <f t="shared" si="4"/>
        <v/>
      </c>
    </row>
    <row r="3092" spans="19:25">
      <c r="S3092" t="str">
        <f t="shared" si="0"/>
        <v/>
      </c>
      <c r="T3092" t="str">
        <f t="shared" si="1"/>
        <v/>
      </c>
      <c r="U3092" t="str">
        <f t="shared" si="2"/>
        <v/>
      </c>
      <c r="V3092" t="str">
        <f>IF(OR(U3092="",U3092="ERRO_CHAVE"),"",IFERROR(MATCH(U3092,Fornecedores!$AF$1:$AF$6631,0),""))</f>
        <v/>
      </c>
      <c r="W3092" t="str">
        <f t="shared" si="3"/>
        <v/>
      </c>
      <c r="X3092" s="4" t="str">
        <f>IF(V3092="","",INDEX(Fornecedores!$X$1:$X$6631,V3092))</f>
        <v/>
      </c>
      <c r="Y3092" s="4" t="str">
        <f t="shared" si="4"/>
        <v/>
      </c>
    </row>
    <row r="3093" spans="19:25">
      <c r="S3093" t="str">
        <f t="shared" si="0"/>
        <v/>
      </c>
      <c r="T3093" t="str">
        <f t="shared" si="1"/>
        <v/>
      </c>
      <c r="U3093" t="str">
        <f t="shared" si="2"/>
        <v/>
      </c>
      <c r="V3093" t="str">
        <f>IF(OR(U3093="",U3093="ERRO_CHAVE"),"",IFERROR(MATCH(U3093,Fornecedores!$AF$1:$AF$6631,0),""))</f>
        <v/>
      </c>
      <c r="W3093" t="str">
        <f t="shared" si="3"/>
        <v/>
      </c>
      <c r="X3093" s="4" t="str">
        <f>IF(V3093="","",INDEX(Fornecedores!$X$1:$X$6631,V3093))</f>
        <v/>
      </c>
      <c r="Y3093" s="4" t="str">
        <f t="shared" si="4"/>
        <v/>
      </c>
    </row>
    <row r="3094" spans="19:25">
      <c r="S3094" t="str">
        <f t="shared" si="0"/>
        <v/>
      </c>
      <c r="T3094" t="str">
        <f t="shared" si="1"/>
        <v/>
      </c>
      <c r="U3094" t="str">
        <f t="shared" si="2"/>
        <v/>
      </c>
      <c r="V3094" t="str">
        <f>IF(OR(U3094="",U3094="ERRO_CHAVE"),"",IFERROR(MATCH(U3094,Fornecedores!$AF$1:$AF$6631,0),""))</f>
        <v/>
      </c>
      <c r="W3094" t="str">
        <f t="shared" si="3"/>
        <v/>
      </c>
      <c r="X3094" s="4" t="str">
        <f>IF(V3094="","",INDEX(Fornecedores!$X$1:$X$6631,V3094))</f>
        <v/>
      </c>
      <c r="Y3094" s="4" t="str">
        <f t="shared" si="4"/>
        <v/>
      </c>
    </row>
    <row r="3095" spans="19:25">
      <c r="S3095" t="str">
        <f t="shared" si="0"/>
        <v/>
      </c>
      <c r="T3095" t="str">
        <f t="shared" si="1"/>
        <v/>
      </c>
      <c r="U3095" t="str">
        <f t="shared" si="2"/>
        <v/>
      </c>
      <c r="V3095" t="str">
        <f>IF(OR(U3095="",U3095="ERRO_CHAVE"),"",IFERROR(MATCH(U3095,Fornecedores!$AF$1:$AF$6631,0),""))</f>
        <v/>
      </c>
      <c r="W3095" t="str">
        <f t="shared" si="3"/>
        <v/>
      </c>
      <c r="X3095" s="4" t="str">
        <f>IF(V3095="","",INDEX(Fornecedores!$X$1:$X$6631,V3095))</f>
        <v/>
      </c>
      <c r="Y3095" s="4" t="str">
        <f t="shared" si="4"/>
        <v/>
      </c>
    </row>
    <row r="3096" spans="19:25">
      <c r="S3096" t="str">
        <f t="shared" si="0"/>
        <v/>
      </c>
      <c r="T3096" t="str">
        <f t="shared" si="1"/>
        <v/>
      </c>
      <c r="U3096" t="str">
        <f t="shared" si="2"/>
        <v/>
      </c>
      <c r="V3096" t="str">
        <f>IF(OR(U3096="",U3096="ERRO_CHAVE"),"",IFERROR(MATCH(U3096,Fornecedores!$AF$1:$AF$6631,0),""))</f>
        <v/>
      </c>
      <c r="W3096" t="str">
        <f t="shared" si="3"/>
        <v/>
      </c>
      <c r="X3096" s="4" t="str">
        <f>IF(V3096="","",INDEX(Fornecedores!$X$1:$X$6631,V3096))</f>
        <v/>
      </c>
      <c r="Y3096" s="4" t="str">
        <f t="shared" si="4"/>
        <v/>
      </c>
    </row>
    <row r="3097" spans="19:25">
      <c r="S3097" t="str">
        <f t="shared" si="0"/>
        <v/>
      </c>
      <c r="T3097" t="str">
        <f t="shared" si="1"/>
        <v/>
      </c>
      <c r="U3097" t="str">
        <f t="shared" si="2"/>
        <v/>
      </c>
      <c r="V3097" t="str">
        <f>IF(OR(U3097="",U3097="ERRO_CHAVE"),"",IFERROR(MATCH(U3097,Fornecedores!$AF$1:$AF$6631,0),""))</f>
        <v/>
      </c>
      <c r="W3097" t="str">
        <f t="shared" si="3"/>
        <v/>
      </c>
      <c r="X3097" s="4" t="str">
        <f>IF(V3097="","",INDEX(Fornecedores!$X$1:$X$6631,V3097))</f>
        <v/>
      </c>
      <c r="Y3097" s="4" t="str">
        <f t="shared" si="4"/>
        <v/>
      </c>
    </row>
    <row r="3098" spans="19:25">
      <c r="S3098" t="str">
        <f t="shared" si="0"/>
        <v/>
      </c>
      <c r="T3098" t="str">
        <f t="shared" si="1"/>
        <v/>
      </c>
      <c r="U3098" t="str">
        <f t="shared" si="2"/>
        <v/>
      </c>
      <c r="V3098" t="str">
        <f>IF(OR(U3098="",U3098="ERRO_CHAVE"),"",IFERROR(MATCH(U3098,Fornecedores!$AF$1:$AF$6631,0),""))</f>
        <v/>
      </c>
      <c r="W3098" t="str">
        <f t="shared" si="3"/>
        <v/>
      </c>
      <c r="X3098" s="4" t="str">
        <f>IF(V3098="","",INDEX(Fornecedores!$X$1:$X$6631,V3098))</f>
        <v/>
      </c>
      <c r="Y3098" s="4" t="str">
        <f t="shared" si="4"/>
        <v/>
      </c>
    </row>
    <row r="3099" spans="19:25">
      <c r="S3099" t="str">
        <f t="shared" si="0"/>
        <v/>
      </c>
      <c r="T3099" t="str">
        <f t="shared" si="1"/>
        <v/>
      </c>
      <c r="U3099" t="str">
        <f t="shared" si="2"/>
        <v/>
      </c>
      <c r="V3099" t="str">
        <f>IF(OR(U3099="",U3099="ERRO_CHAVE"),"",IFERROR(MATCH(U3099,Fornecedores!$AF$1:$AF$6631,0),""))</f>
        <v/>
      </c>
      <c r="W3099" t="str">
        <f t="shared" si="3"/>
        <v/>
      </c>
      <c r="X3099" s="4" t="str">
        <f>IF(V3099="","",INDEX(Fornecedores!$X$1:$X$6631,V3099))</f>
        <v/>
      </c>
      <c r="Y3099" s="4" t="str">
        <f t="shared" si="4"/>
        <v/>
      </c>
    </row>
    <row r="3100" spans="19:25">
      <c r="S3100" t="str">
        <f t="shared" si="0"/>
        <v/>
      </c>
      <c r="T3100" t="str">
        <f t="shared" si="1"/>
        <v/>
      </c>
      <c r="U3100" t="str">
        <f t="shared" si="2"/>
        <v/>
      </c>
      <c r="V3100" t="str">
        <f>IF(OR(U3100="",U3100="ERRO_CHAVE"),"",IFERROR(MATCH(U3100,Fornecedores!$AF$1:$AF$6631,0),""))</f>
        <v/>
      </c>
      <c r="W3100" t="str">
        <f t="shared" si="3"/>
        <v/>
      </c>
      <c r="X3100" s="4" t="str">
        <f>IF(V3100="","",INDEX(Fornecedores!$X$1:$X$6631,V3100))</f>
        <v/>
      </c>
      <c r="Y3100" s="4" t="str">
        <f t="shared" si="4"/>
        <v/>
      </c>
    </row>
    <row r="3101" spans="19:25">
      <c r="S3101" t="str">
        <f t="shared" si="0"/>
        <v/>
      </c>
      <c r="T3101" t="str">
        <f t="shared" si="1"/>
        <v/>
      </c>
      <c r="U3101" t="str">
        <f t="shared" si="2"/>
        <v/>
      </c>
      <c r="V3101" t="str">
        <f>IF(OR(U3101="",U3101="ERRO_CHAVE"),"",IFERROR(MATCH(U3101,Fornecedores!$AF$1:$AF$6631,0),""))</f>
        <v/>
      </c>
      <c r="W3101" t="str">
        <f t="shared" si="3"/>
        <v/>
      </c>
      <c r="X3101" s="4" t="str">
        <f>IF(V3101="","",INDEX(Fornecedores!$X$1:$X$6631,V3101))</f>
        <v/>
      </c>
      <c r="Y3101" s="4" t="str">
        <f t="shared" si="4"/>
        <v/>
      </c>
    </row>
    <row r="3102" spans="19:25">
      <c r="S3102" t="str">
        <f t="shared" si="0"/>
        <v/>
      </c>
      <c r="T3102" t="str">
        <f t="shared" si="1"/>
        <v/>
      </c>
      <c r="U3102" t="str">
        <f t="shared" si="2"/>
        <v/>
      </c>
      <c r="V3102" t="str">
        <f>IF(OR(U3102="",U3102="ERRO_CHAVE"),"",IFERROR(MATCH(U3102,Fornecedores!$AF$1:$AF$6631,0),""))</f>
        <v/>
      </c>
      <c r="W3102" t="str">
        <f t="shared" si="3"/>
        <v/>
      </c>
      <c r="X3102" s="4" t="str">
        <f>IF(V3102="","",INDEX(Fornecedores!$X$1:$X$6631,V3102))</f>
        <v/>
      </c>
      <c r="Y3102" s="4" t="str">
        <f t="shared" si="4"/>
        <v/>
      </c>
    </row>
    <row r="3103" spans="19:25">
      <c r="S3103" t="str">
        <f t="shared" si="0"/>
        <v/>
      </c>
      <c r="T3103" t="str">
        <f t="shared" si="1"/>
        <v/>
      </c>
      <c r="U3103" t="str">
        <f t="shared" si="2"/>
        <v/>
      </c>
      <c r="V3103" t="str">
        <f>IF(OR(U3103="",U3103="ERRO_CHAVE"),"",IFERROR(MATCH(U3103,Fornecedores!$AF$1:$AF$6631,0),""))</f>
        <v/>
      </c>
      <c r="W3103" t="str">
        <f t="shared" si="3"/>
        <v/>
      </c>
      <c r="X3103" s="4" t="str">
        <f>IF(V3103="","",INDEX(Fornecedores!$X$1:$X$6631,V3103))</f>
        <v/>
      </c>
      <c r="Y3103" s="4" t="str">
        <f t="shared" si="4"/>
        <v/>
      </c>
    </row>
    <row r="3104" spans="19:25">
      <c r="S3104" t="str">
        <f t="shared" si="0"/>
        <v/>
      </c>
      <c r="T3104" t="str">
        <f t="shared" si="1"/>
        <v/>
      </c>
      <c r="U3104" t="str">
        <f t="shared" si="2"/>
        <v/>
      </c>
      <c r="V3104" t="str">
        <f>IF(OR(U3104="",U3104="ERRO_CHAVE"),"",IFERROR(MATCH(U3104,Fornecedores!$AF$1:$AF$6631,0),""))</f>
        <v/>
      </c>
      <c r="W3104" t="str">
        <f t="shared" si="3"/>
        <v/>
      </c>
      <c r="X3104" s="4" t="str">
        <f>IF(V3104="","",INDEX(Fornecedores!$X$1:$X$6631,V3104))</f>
        <v/>
      </c>
      <c r="Y3104" s="4" t="str">
        <f t="shared" si="4"/>
        <v/>
      </c>
    </row>
    <row r="3105" spans="19:25">
      <c r="S3105" t="str">
        <f t="shared" si="0"/>
        <v/>
      </c>
      <c r="T3105" t="str">
        <f t="shared" si="1"/>
        <v/>
      </c>
      <c r="U3105" t="str">
        <f t="shared" si="2"/>
        <v/>
      </c>
      <c r="V3105" t="str">
        <f>IF(OR(U3105="",U3105="ERRO_CHAVE"),"",IFERROR(MATCH(U3105,Fornecedores!$AF$1:$AF$6631,0),""))</f>
        <v/>
      </c>
      <c r="W3105" t="str">
        <f t="shared" si="3"/>
        <v/>
      </c>
      <c r="X3105" s="4" t="str">
        <f>IF(V3105="","",INDEX(Fornecedores!$X$1:$X$6631,V3105))</f>
        <v/>
      </c>
      <c r="Y3105" s="4" t="str">
        <f t="shared" si="4"/>
        <v/>
      </c>
    </row>
    <row r="3106" spans="19:25">
      <c r="S3106" t="str">
        <f t="shared" si="0"/>
        <v/>
      </c>
      <c r="T3106" t="str">
        <f t="shared" si="1"/>
        <v/>
      </c>
      <c r="U3106" t="str">
        <f t="shared" si="2"/>
        <v/>
      </c>
      <c r="V3106" t="str">
        <f>IF(OR(U3106="",U3106="ERRO_CHAVE"),"",IFERROR(MATCH(U3106,Fornecedores!$AF$1:$AF$6631,0),""))</f>
        <v/>
      </c>
      <c r="W3106" t="str">
        <f t="shared" si="3"/>
        <v/>
      </c>
      <c r="X3106" s="4" t="str">
        <f>IF(V3106="","",INDEX(Fornecedores!$X$1:$X$6631,V3106))</f>
        <v/>
      </c>
      <c r="Y3106" s="4" t="str">
        <f t="shared" si="4"/>
        <v/>
      </c>
    </row>
    <row r="3107" spans="19:25">
      <c r="S3107" t="str">
        <f t="shared" si="0"/>
        <v/>
      </c>
      <c r="T3107" t="str">
        <f t="shared" si="1"/>
        <v/>
      </c>
      <c r="U3107" t="str">
        <f t="shared" si="2"/>
        <v/>
      </c>
      <c r="V3107" t="str">
        <f>IF(OR(U3107="",U3107="ERRO_CHAVE"),"",IFERROR(MATCH(U3107,Fornecedores!$AF$1:$AF$6631,0),""))</f>
        <v/>
      </c>
      <c r="W3107" t="str">
        <f t="shared" si="3"/>
        <v/>
      </c>
      <c r="X3107" s="4" t="str">
        <f>IF(V3107="","",INDEX(Fornecedores!$X$1:$X$6631,V3107))</f>
        <v/>
      </c>
      <c r="Y3107" s="4" t="str">
        <f t="shared" si="4"/>
        <v/>
      </c>
    </row>
    <row r="3108" spans="19:25">
      <c r="S3108" t="str">
        <f t="shared" si="0"/>
        <v/>
      </c>
      <c r="T3108" t="str">
        <f t="shared" si="1"/>
        <v/>
      </c>
      <c r="U3108" t="str">
        <f t="shared" si="2"/>
        <v/>
      </c>
      <c r="V3108" t="str">
        <f>IF(OR(U3108="",U3108="ERRO_CHAVE"),"",IFERROR(MATCH(U3108,Fornecedores!$AF$1:$AF$6631,0),""))</f>
        <v/>
      </c>
      <c r="W3108" t="str">
        <f t="shared" si="3"/>
        <v/>
      </c>
      <c r="X3108" s="4" t="str">
        <f>IF(V3108="","",INDEX(Fornecedores!$X$1:$X$6631,V3108))</f>
        <v/>
      </c>
      <c r="Y3108" s="4" t="str">
        <f t="shared" si="4"/>
        <v/>
      </c>
    </row>
    <row r="3109" spans="19:25">
      <c r="S3109" t="str">
        <f t="shared" si="0"/>
        <v/>
      </c>
      <c r="T3109" t="str">
        <f t="shared" si="1"/>
        <v/>
      </c>
      <c r="U3109" t="str">
        <f t="shared" si="2"/>
        <v/>
      </c>
      <c r="V3109" t="str">
        <f>IF(OR(U3109="",U3109="ERRO_CHAVE"),"",IFERROR(MATCH(U3109,Fornecedores!$AF$1:$AF$6631,0),""))</f>
        <v/>
      </c>
      <c r="W3109" t="str">
        <f t="shared" si="3"/>
        <v/>
      </c>
      <c r="X3109" s="4" t="str">
        <f>IF(V3109="","",INDEX(Fornecedores!$X$1:$X$6631,V3109))</f>
        <v/>
      </c>
      <c r="Y3109" s="4" t="str">
        <f t="shared" si="4"/>
        <v/>
      </c>
    </row>
    <row r="3110" spans="19:25">
      <c r="S3110" t="str">
        <f t="shared" si="0"/>
        <v/>
      </c>
      <c r="T3110" t="str">
        <f t="shared" si="1"/>
        <v/>
      </c>
      <c r="U3110" t="str">
        <f t="shared" si="2"/>
        <v/>
      </c>
      <c r="V3110" t="str">
        <f>IF(OR(U3110="",U3110="ERRO_CHAVE"),"",IFERROR(MATCH(U3110,Fornecedores!$AF$1:$AF$6631,0),""))</f>
        <v/>
      </c>
      <c r="W3110" t="str">
        <f t="shared" si="3"/>
        <v/>
      </c>
      <c r="X3110" s="4" t="str">
        <f>IF(V3110="","",INDEX(Fornecedores!$X$1:$X$6631,V3110))</f>
        <v/>
      </c>
      <c r="Y3110" s="4" t="str">
        <f t="shared" si="4"/>
        <v/>
      </c>
    </row>
    <row r="3111" spans="19:25">
      <c r="S3111" t="str">
        <f t="shared" si="0"/>
        <v/>
      </c>
      <c r="T3111" t="str">
        <f t="shared" si="1"/>
        <v/>
      </c>
      <c r="U3111" t="str">
        <f t="shared" si="2"/>
        <v/>
      </c>
      <c r="V3111" t="str">
        <f>IF(OR(U3111="",U3111="ERRO_CHAVE"),"",IFERROR(MATCH(U3111,Fornecedores!$AF$1:$AF$6631,0),""))</f>
        <v/>
      </c>
      <c r="W3111" t="str">
        <f t="shared" si="3"/>
        <v/>
      </c>
      <c r="X3111" s="4" t="str">
        <f>IF(V3111="","",INDEX(Fornecedores!$X$1:$X$6631,V3111))</f>
        <v/>
      </c>
      <c r="Y3111" s="4" t="str">
        <f t="shared" si="4"/>
        <v/>
      </c>
    </row>
    <row r="3112" spans="19:25">
      <c r="S3112" t="str">
        <f t="shared" si="0"/>
        <v/>
      </c>
      <c r="T3112" t="str">
        <f t="shared" si="1"/>
        <v/>
      </c>
      <c r="U3112" t="str">
        <f t="shared" si="2"/>
        <v/>
      </c>
      <c r="V3112" t="str">
        <f>IF(OR(U3112="",U3112="ERRO_CHAVE"),"",IFERROR(MATCH(U3112,Fornecedores!$AF$1:$AF$6631,0),""))</f>
        <v/>
      </c>
      <c r="W3112" t="str">
        <f t="shared" si="3"/>
        <v/>
      </c>
      <c r="X3112" s="4" t="str">
        <f>IF(V3112="","",INDEX(Fornecedores!$X$1:$X$6631,V3112))</f>
        <v/>
      </c>
      <c r="Y3112" s="4" t="str">
        <f t="shared" si="4"/>
        <v/>
      </c>
    </row>
    <row r="3113" spans="19:25">
      <c r="S3113" t="str">
        <f t="shared" si="0"/>
        <v/>
      </c>
      <c r="T3113" t="str">
        <f t="shared" si="1"/>
        <v/>
      </c>
      <c r="U3113" t="str">
        <f t="shared" si="2"/>
        <v/>
      </c>
      <c r="V3113" t="str">
        <f>IF(OR(U3113="",U3113="ERRO_CHAVE"),"",IFERROR(MATCH(U3113,Fornecedores!$AF$1:$AF$6631,0),""))</f>
        <v/>
      </c>
      <c r="W3113" t="str">
        <f t="shared" si="3"/>
        <v/>
      </c>
      <c r="X3113" s="4" t="str">
        <f>IF(V3113="","",INDEX(Fornecedores!$X$1:$X$6631,V3113))</f>
        <v/>
      </c>
      <c r="Y3113" s="4" t="str">
        <f t="shared" si="4"/>
        <v/>
      </c>
    </row>
    <row r="3114" spans="19:25">
      <c r="S3114" t="str">
        <f t="shared" si="0"/>
        <v/>
      </c>
      <c r="T3114" t="str">
        <f t="shared" si="1"/>
        <v/>
      </c>
      <c r="U3114" t="str">
        <f t="shared" si="2"/>
        <v/>
      </c>
      <c r="V3114" t="str">
        <f>IF(OR(U3114="",U3114="ERRO_CHAVE"),"",IFERROR(MATCH(U3114,Fornecedores!$AF$1:$AF$6631,0),""))</f>
        <v/>
      </c>
      <c r="W3114" t="str">
        <f t="shared" si="3"/>
        <v/>
      </c>
      <c r="X3114" s="4" t="str">
        <f>IF(V3114="","",INDEX(Fornecedores!$X$1:$X$6631,V3114))</f>
        <v/>
      </c>
      <c r="Y3114" s="4" t="str">
        <f t="shared" si="4"/>
        <v/>
      </c>
    </row>
    <row r="3115" spans="19:25">
      <c r="S3115" t="str">
        <f t="shared" si="0"/>
        <v/>
      </c>
      <c r="T3115" t="str">
        <f t="shared" si="1"/>
        <v/>
      </c>
      <c r="U3115" t="str">
        <f t="shared" si="2"/>
        <v/>
      </c>
      <c r="V3115" t="str">
        <f>IF(OR(U3115="",U3115="ERRO_CHAVE"),"",IFERROR(MATCH(U3115,Fornecedores!$AF$1:$AF$6631,0),""))</f>
        <v/>
      </c>
      <c r="W3115" t="str">
        <f t="shared" si="3"/>
        <v/>
      </c>
      <c r="X3115" s="4" t="str">
        <f>IF(V3115="","",INDEX(Fornecedores!$X$1:$X$6631,V3115))</f>
        <v/>
      </c>
      <c r="Y3115" s="4" t="str">
        <f t="shared" si="4"/>
        <v/>
      </c>
    </row>
    <row r="3116" spans="19:25">
      <c r="S3116" t="str">
        <f t="shared" si="0"/>
        <v/>
      </c>
      <c r="T3116" t="str">
        <f t="shared" si="1"/>
        <v/>
      </c>
      <c r="U3116" t="str">
        <f t="shared" si="2"/>
        <v/>
      </c>
      <c r="V3116" t="str">
        <f>IF(OR(U3116="",U3116="ERRO_CHAVE"),"",IFERROR(MATCH(U3116,Fornecedores!$AF$1:$AF$6631,0),""))</f>
        <v/>
      </c>
      <c r="W3116" t="str">
        <f t="shared" si="3"/>
        <v/>
      </c>
      <c r="X3116" s="4" t="str">
        <f>IF(V3116="","",INDEX(Fornecedores!$X$1:$X$6631,V3116))</f>
        <v/>
      </c>
      <c r="Y3116" s="4" t="str">
        <f t="shared" si="4"/>
        <v/>
      </c>
    </row>
    <row r="3117" spans="19:25">
      <c r="S3117" t="str">
        <f t="shared" si="0"/>
        <v/>
      </c>
      <c r="T3117" t="str">
        <f t="shared" si="1"/>
        <v/>
      </c>
      <c r="U3117" t="str">
        <f t="shared" si="2"/>
        <v/>
      </c>
      <c r="V3117" t="str">
        <f>IF(OR(U3117="",U3117="ERRO_CHAVE"),"",IFERROR(MATCH(U3117,Fornecedores!$AF$1:$AF$6631,0),""))</f>
        <v/>
      </c>
      <c r="W3117" t="str">
        <f t="shared" si="3"/>
        <v/>
      </c>
      <c r="X3117" s="4" t="str">
        <f>IF(V3117="","",INDEX(Fornecedores!$X$1:$X$6631,V3117))</f>
        <v/>
      </c>
      <c r="Y3117" s="4" t="str">
        <f t="shared" si="4"/>
        <v/>
      </c>
    </row>
    <row r="3118" spans="19:25">
      <c r="S3118" t="str">
        <f t="shared" si="0"/>
        <v/>
      </c>
      <c r="T3118" t="str">
        <f t="shared" si="1"/>
        <v/>
      </c>
      <c r="U3118" t="str">
        <f t="shared" si="2"/>
        <v/>
      </c>
      <c r="V3118" t="str">
        <f>IF(OR(U3118="",U3118="ERRO_CHAVE"),"",IFERROR(MATCH(U3118,Fornecedores!$AF$1:$AF$6631,0),""))</f>
        <v/>
      </c>
      <c r="W3118" t="str">
        <f t="shared" si="3"/>
        <v/>
      </c>
      <c r="X3118" s="4" t="str">
        <f>IF(V3118="","",INDEX(Fornecedores!$X$1:$X$6631,V3118))</f>
        <v/>
      </c>
      <c r="Y3118" s="4" t="str">
        <f t="shared" si="4"/>
        <v/>
      </c>
    </row>
    <row r="3119" spans="19:25">
      <c r="S3119" t="str">
        <f t="shared" si="0"/>
        <v/>
      </c>
      <c r="T3119" t="str">
        <f t="shared" si="1"/>
        <v/>
      </c>
      <c r="U3119" t="str">
        <f t="shared" si="2"/>
        <v/>
      </c>
      <c r="V3119" t="str">
        <f>IF(OR(U3119="",U3119="ERRO_CHAVE"),"",IFERROR(MATCH(U3119,Fornecedores!$AF$1:$AF$6631,0),""))</f>
        <v/>
      </c>
      <c r="W3119" t="str">
        <f t="shared" si="3"/>
        <v/>
      </c>
      <c r="X3119" s="4" t="str">
        <f>IF(V3119="","",INDEX(Fornecedores!$X$1:$X$6631,V3119))</f>
        <v/>
      </c>
      <c r="Y3119" s="4" t="str">
        <f t="shared" si="4"/>
        <v/>
      </c>
    </row>
    <row r="3120" spans="19:25">
      <c r="S3120" t="str">
        <f t="shared" si="0"/>
        <v/>
      </c>
      <c r="T3120" t="str">
        <f t="shared" si="1"/>
        <v/>
      </c>
      <c r="U3120" t="str">
        <f t="shared" si="2"/>
        <v/>
      </c>
      <c r="V3120" t="str">
        <f>IF(OR(U3120="",U3120="ERRO_CHAVE"),"",IFERROR(MATCH(U3120,Fornecedores!$AF$1:$AF$6631,0),""))</f>
        <v/>
      </c>
      <c r="W3120" t="str">
        <f t="shared" si="3"/>
        <v/>
      </c>
      <c r="X3120" s="4" t="str">
        <f>IF(V3120="","",INDEX(Fornecedores!$X$1:$X$6631,V3120))</f>
        <v/>
      </c>
      <c r="Y3120" s="4" t="str">
        <f t="shared" si="4"/>
        <v/>
      </c>
    </row>
    <row r="3121" spans="19:25">
      <c r="S3121" t="str">
        <f t="shared" si="0"/>
        <v/>
      </c>
      <c r="T3121" t="str">
        <f t="shared" si="1"/>
        <v/>
      </c>
      <c r="U3121" t="str">
        <f t="shared" si="2"/>
        <v/>
      </c>
      <c r="V3121" t="str">
        <f>IF(OR(U3121="",U3121="ERRO_CHAVE"),"",IFERROR(MATCH(U3121,Fornecedores!$AF$1:$AF$6631,0),""))</f>
        <v/>
      </c>
      <c r="W3121" t="str">
        <f t="shared" si="3"/>
        <v/>
      </c>
      <c r="X3121" s="4" t="str">
        <f>IF(V3121="","",INDEX(Fornecedores!$X$1:$X$6631,V3121))</f>
        <v/>
      </c>
      <c r="Y3121" s="4" t="str">
        <f t="shared" si="4"/>
        <v/>
      </c>
    </row>
    <row r="3122" spans="19:25">
      <c r="S3122" t="str">
        <f t="shared" si="0"/>
        <v/>
      </c>
      <c r="T3122" t="str">
        <f t="shared" si="1"/>
        <v/>
      </c>
      <c r="U3122" t="str">
        <f t="shared" si="2"/>
        <v/>
      </c>
      <c r="V3122" t="str">
        <f>IF(OR(U3122="",U3122="ERRO_CHAVE"),"",IFERROR(MATCH(U3122,Fornecedores!$AF$1:$AF$6631,0),""))</f>
        <v/>
      </c>
      <c r="W3122" t="str">
        <f t="shared" si="3"/>
        <v/>
      </c>
      <c r="X3122" s="4" t="str">
        <f>IF(V3122="","",INDEX(Fornecedores!$X$1:$X$6631,V3122))</f>
        <v/>
      </c>
      <c r="Y3122" s="4" t="str">
        <f t="shared" si="4"/>
        <v/>
      </c>
    </row>
    <row r="3123" spans="19:25">
      <c r="S3123" t="str">
        <f t="shared" si="0"/>
        <v/>
      </c>
      <c r="T3123" t="str">
        <f t="shared" si="1"/>
        <v/>
      </c>
      <c r="U3123" t="str">
        <f t="shared" si="2"/>
        <v/>
      </c>
      <c r="V3123" t="str">
        <f>IF(OR(U3123="",U3123="ERRO_CHAVE"),"",IFERROR(MATCH(U3123,Fornecedores!$AF$1:$AF$6631,0),""))</f>
        <v/>
      </c>
      <c r="W3123" t="str">
        <f t="shared" si="3"/>
        <v/>
      </c>
      <c r="X3123" s="4" t="str">
        <f>IF(V3123="","",INDEX(Fornecedores!$X$1:$X$6631,V3123))</f>
        <v/>
      </c>
      <c r="Y3123" s="4" t="str">
        <f t="shared" si="4"/>
        <v/>
      </c>
    </row>
    <row r="3124" spans="19:25">
      <c r="S3124" t="str">
        <f t="shared" si="0"/>
        <v/>
      </c>
      <c r="T3124" t="str">
        <f t="shared" si="1"/>
        <v/>
      </c>
      <c r="U3124" t="str">
        <f t="shared" si="2"/>
        <v/>
      </c>
      <c r="V3124" t="str">
        <f>IF(OR(U3124="",U3124="ERRO_CHAVE"),"",IFERROR(MATCH(U3124,Fornecedores!$AF$1:$AF$6631,0),""))</f>
        <v/>
      </c>
      <c r="W3124" t="str">
        <f t="shared" si="3"/>
        <v/>
      </c>
      <c r="X3124" s="4" t="str">
        <f>IF(V3124="","",INDEX(Fornecedores!$X$1:$X$6631,V3124))</f>
        <v/>
      </c>
      <c r="Y3124" s="4" t="str">
        <f t="shared" si="4"/>
        <v/>
      </c>
    </row>
    <row r="3125" spans="19:25">
      <c r="S3125" t="str">
        <f t="shared" si="0"/>
        <v/>
      </c>
      <c r="T3125" t="str">
        <f t="shared" si="1"/>
        <v/>
      </c>
      <c r="U3125" t="str">
        <f t="shared" si="2"/>
        <v/>
      </c>
      <c r="V3125" t="str">
        <f>IF(OR(U3125="",U3125="ERRO_CHAVE"),"",IFERROR(MATCH(U3125,Fornecedores!$AF$1:$AF$6631,0),""))</f>
        <v/>
      </c>
      <c r="W3125" t="str">
        <f t="shared" si="3"/>
        <v/>
      </c>
      <c r="X3125" s="4" t="str">
        <f>IF(V3125="","",INDEX(Fornecedores!$X$1:$X$6631,V3125))</f>
        <v/>
      </c>
      <c r="Y3125" s="4" t="str">
        <f t="shared" si="4"/>
        <v/>
      </c>
    </row>
    <row r="3126" spans="19:25">
      <c r="S3126" t="str">
        <f t="shared" si="0"/>
        <v/>
      </c>
      <c r="T3126" t="str">
        <f t="shared" si="1"/>
        <v/>
      </c>
      <c r="U3126" t="str">
        <f t="shared" si="2"/>
        <v/>
      </c>
      <c r="V3126" t="str">
        <f>IF(OR(U3126="",U3126="ERRO_CHAVE"),"",IFERROR(MATCH(U3126,Fornecedores!$AF$1:$AF$6631,0),""))</f>
        <v/>
      </c>
      <c r="W3126" t="str">
        <f t="shared" si="3"/>
        <v/>
      </c>
      <c r="X3126" s="4" t="str">
        <f>IF(V3126="","",INDEX(Fornecedores!$X$1:$X$6631,V3126))</f>
        <v/>
      </c>
      <c r="Y3126" s="4" t="str">
        <f t="shared" si="4"/>
        <v/>
      </c>
    </row>
    <row r="3127" spans="19:25">
      <c r="S3127" t="str">
        <f t="shared" si="0"/>
        <v/>
      </c>
      <c r="T3127" t="str">
        <f t="shared" si="1"/>
        <v/>
      </c>
      <c r="U3127" t="str">
        <f t="shared" si="2"/>
        <v/>
      </c>
      <c r="V3127" t="str">
        <f>IF(OR(U3127="",U3127="ERRO_CHAVE"),"",IFERROR(MATCH(U3127,Fornecedores!$AF$1:$AF$6631,0),""))</f>
        <v/>
      </c>
      <c r="W3127" t="str">
        <f t="shared" si="3"/>
        <v/>
      </c>
      <c r="X3127" s="4" t="str">
        <f>IF(V3127="","",INDEX(Fornecedores!$X$1:$X$6631,V3127))</f>
        <v/>
      </c>
      <c r="Y3127" s="4" t="str">
        <f t="shared" si="4"/>
        <v/>
      </c>
    </row>
    <row r="3128" spans="19:25">
      <c r="S3128" t="str">
        <f t="shared" si="0"/>
        <v/>
      </c>
      <c r="T3128" t="str">
        <f t="shared" si="1"/>
        <v/>
      </c>
      <c r="U3128" t="str">
        <f t="shared" si="2"/>
        <v/>
      </c>
      <c r="V3128" t="str">
        <f>IF(OR(U3128="",U3128="ERRO_CHAVE"),"",IFERROR(MATCH(U3128,Fornecedores!$AF$1:$AF$6631,0),""))</f>
        <v/>
      </c>
      <c r="W3128" t="str">
        <f t="shared" si="3"/>
        <v/>
      </c>
      <c r="X3128" s="4" t="str">
        <f>IF(V3128="","",INDEX(Fornecedores!$X$1:$X$6631,V3128))</f>
        <v/>
      </c>
      <c r="Y3128" s="4" t="str">
        <f t="shared" si="4"/>
        <v/>
      </c>
    </row>
    <row r="3129" spans="19:25">
      <c r="S3129" t="str">
        <f t="shared" si="0"/>
        <v/>
      </c>
      <c r="T3129" t="str">
        <f t="shared" si="1"/>
        <v/>
      </c>
      <c r="U3129" t="str">
        <f t="shared" si="2"/>
        <v/>
      </c>
      <c r="V3129" t="str">
        <f>IF(OR(U3129="",U3129="ERRO_CHAVE"),"",IFERROR(MATCH(U3129,Fornecedores!$AF$1:$AF$6631,0),""))</f>
        <v/>
      </c>
      <c r="W3129" t="str">
        <f t="shared" si="3"/>
        <v/>
      </c>
      <c r="X3129" s="4" t="str">
        <f>IF(V3129="","",INDEX(Fornecedores!$X$1:$X$6631,V3129))</f>
        <v/>
      </c>
      <c r="Y3129" s="4" t="str">
        <f t="shared" si="4"/>
        <v/>
      </c>
    </row>
    <row r="3130" spans="19:25">
      <c r="S3130" t="str">
        <f t="shared" si="0"/>
        <v/>
      </c>
      <c r="T3130" t="str">
        <f t="shared" si="1"/>
        <v/>
      </c>
      <c r="U3130" t="str">
        <f t="shared" si="2"/>
        <v/>
      </c>
      <c r="V3130" t="str">
        <f>IF(OR(U3130="",U3130="ERRO_CHAVE"),"",IFERROR(MATCH(U3130,Fornecedores!$AF$1:$AF$6631,0),""))</f>
        <v/>
      </c>
      <c r="W3130" t="str">
        <f t="shared" si="3"/>
        <v/>
      </c>
      <c r="X3130" s="4" t="str">
        <f>IF(V3130="","",INDEX(Fornecedores!$X$1:$X$6631,V3130))</f>
        <v/>
      </c>
      <c r="Y3130" s="4" t="str">
        <f t="shared" si="4"/>
        <v/>
      </c>
    </row>
    <row r="3131" spans="19:25">
      <c r="S3131" t="str">
        <f t="shared" si="0"/>
        <v/>
      </c>
      <c r="T3131" t="str">
        <f t="shared" si="1"/>
        <v/>
      </c>
      <c r="U3131" t="str">
        <f t="shared" si="2"/>
        <v/>
      </c>
      <c r="V3131" t="str">
        <f>IF(OR(U3131="",U3131="ERRO_CHAVE"),"",IFERROR(MATCH(U3131,Fornecedores!$AF$1:$AF$6631,0),""))</f>
        <v/>
      </c>
      <c r="W3131" t="str">
        <f t="shared" si="3"/>
        <v/>
      </c>
      <c r="X3131" s="4" t="str">
        <f>IF(V3131="","",INDEX(Fornecedores!$X$1:$X$6631,V3131))</f>
        <v/>
      </c>
      <c r="Y3131" s="4" t="str">
        <f t="shared" si="4"/>
        <v/>
      </c>
    </row>
    <row r="3132" spans="19:25">
      <c r="S3132" t="str">
        <f t="shared" si="0"/>
        <v/>
      </c>
      <c r="T3132" t="str">
        <f t="shared" si="1"/>
        <v/>
      </c>
      <c r="U3132" t="str">
        <f t="shared" si="2"/>
        <v/>
      </c>
      <c r="V3132" t="str">
        <f>IF(OR(U3132="",U3132="ERRO_CHAVE"),"",IFERROR(MATCH(U3132,Fornecedores!$AF$1:$AF$6631,0),""))</f>
        <v/>
      </c>
      <c r="W3132" t="str">
        <f t="shared" si="3"/>
        <v/>
      </c>
      <c r="X3132" s="4" t="str">
        <f>IF(V3132="","",INDEX(Fornecedores!$X$1:$X$6631,V3132))</f>
        <v/>
      </c>
      <c r="Y3132" s="4" t="str">
        <f t="shared" si="4"/>
        <v/>
      </c>
    </row>
    <row r="3133" spans="19:25">
      <c r="S3133" t="str">
        <f t="shared" si="0"/>
        <v/>
      </c>
      <c r="T3133" t="str">
        <f t="shared" si="1"/>
        <v/>
      </c>
      <c r="U3133" t="str">
        <f t="shared" si="2"/>
        <v/>
      </c>
      <c r="V3133" t="str">
        <f>IF(OR(U3133="",U3133="ERRO_CHAVE"),"",IFERROR(MATCH(U3133,Fornecedores!$AF$1:$AF$6631,0),""))</f>
        <v/>
      </c>
      <c r="W3133" t="str">
        <f t="shared" si="3"/>
        <v/>
      </c>
      <c r="X3133" s="4" t="str">
        <f>IF(V3133="","",INDEX(Fornecedores!$X$1:$X$6631,V3133))</f>
        <v/>
      </c>
      <c r="Y3133" s="4" t="str">
        <f t="shared" si="4"/>
        <v/>
      </c>
    </row>
    <row r="3134" spans="19:25">
      <c r="S3134" t="str">
        <f t="shared" si="0"/>
        <v/>
      </c>
      <c r="T3134" t="str">
        <f t="shared" si="1"/>
        <v/>
      </c>
      <c r="U3134" t="str">
        <f t="shared" si="2"/>
        <v/>
      </c>
      <c r="V3134" t="str">
        <f>IF(OR(U3134="",U3134="ERRO_CHAVE"),"",IFERROR(MATCH(U3134,Fornecedores!$AF$1:$AF$6631,0),""))</f>
        <v/>
      </c>
      <c r="W3134" t="str">
        <f t="shared" si="3"/>
        <v/>
      </c>
      <c r="X3134" s="4" t="str">
        <f>IF(V3134="","",INDEX(Fornecedores!$X$1:$X$6631,V3134))</f>
        <v/>
      </c>
      <c r="Y3134" s="4" t="str">
        <f t="shared" si="4"/>
        <v/>
      </c>
    </row>
    <row r="3135" spans="19:25">
      <c r="S3135" t="str">
        <f t="shared" si="0"/>
        <v/>
      </c>
      <c r="T3135" t="str">
        <f t="shared" si="1"/>
        <v/>
      </c>
      <c r="U3135" t="str">
        <f t="shared" si="2"/>
        <v/>
      </c>
      <c r="V3135" t="str">
        <f>IF(OR(U3135="",U3135="ERRO_CHAVE"),"",IFERROR(MATCH(U3135,Fornecedores!$AF$1:$AF$6631,0),""))</f>
        <v/>
      </c>
      <c r="W3135" t="str">
        <f t="shared" si="3"/>
        <v/>
      </c>
      <c r="X3135" s="4" t="str">
        <f>IF(V3135="","",INDEX(Fornecedores!$X$1:$X$6631,V3135))</f>
        <v/>
      </c>
      <c r="Y3135" s="4" t="str">
        <f t="shared" si="4"/>
        <v/>
      </c>
    </row>
    <row r="3136" spans="19:25">
      <c r="S3136" t="str">
        <f t="shared" si="0"/>
        <v/>
      </c>
      <c r="T3136" t="str">
        <f t="shared" si="1"/>
        <v/>
      </c>
      <c r="U3136" t="str">
        <f t="shared" si="2"/>
        <v/>
      </c>
      <c r="V3136" t="str">
        <f>IF(OR(U3136="",U3136="ERRO_CHAVE"),"",IFERROR(MATCH(U3136,Fornecedores!$AF$1:$AF$6631,0),""))</f>
        <v/>
      </c>
      <c r="W3136" t="str">
        <f t="shared" si="3"/>
        <v/>
      </c>
      <c r="X3136" s="4" t="str">
        <f>IF(V3136="","",INDEX(Fornecedores!$X$1:$X$6631,V3136))</f>
        <v/>
      </c>
      <c r="Y3136" s="4" t="str">
        <f t="shared" si="4"/>
        <v/>
      </c>
    </row>
    <row r="3137" spans="19:25">
      <c r="S3137" t="str">
        <f t="shared" si="0"/>
        <v/>
      </c>
      <c r="T3137" t="str">
        <f t="shared" si="1"/>
        <v/>
      </c>
      <c r="U3137" t="str">
        <f t="shared" si="2"/>
        <v/>
      </c>
      <c r="V3137" t="str">
        <f>IF(OR(U3137="",U3137="ERRO_CHAVE"),"",IFERROR(MATCH(U3137,Fornecedores!$AF$1:$AF$6631,0),""))</f>
        <v/>
      </c>
      <c r="W3137" t="str">
        <f t="shared" si="3"/>
        <v/>
      </c>
      <c r="X3137" s="4" t="str">
        <f>IF(V3137="","",INDEX(Fornecedores!$X$1:$X$6631,V3137))</f>
        <v/>
      </c>
      <c r="Y3137" s="4" t="str">
        <f t="shared" si="4"/>
        <v/>
      </c>
    </row>
    <row r="3138" spans="19:25">
      <c r="S3138" t="str">
        <f t="shared" si="0"/>
        <v/>
      </c>
      <c r="T3138" t="str">
        <f t="shared" si="1"/>
        <v/>
      </c>
      <c r="U3138" t="str">
        <f t="shared" si="2"/>
        <v/>
      </c>
      <c r="V3138" t="str">
        <f>IF(OR(U3138="",U3138="ERRO_CHAVE"),"",IFERROR(MATCH(U3138,Fornecedores!$AF$1:$AF$6631,0),""))</f>
        <v/>
      </c>
      <c r="W3138" t="str">
        <f t="shared" si="3"/>
        <v/>
      </c>
      <c r="X3138" s="4" t="str">
        <f>IF(V3138="","",INDEX(Fornecedores!$X$1:$X$6631,V3138))</f>
        <v/>
      </c>
      <c r="Y3138" s="4" t="str">
        <f t="shared" si="4"/>
        <v/>
      </c>
    </row>
    <row r="3139" spans="19:25">
      <c r="S3139" t="str">
        <f t="shared" si="0"/>
        <v/>
      </c>
      <c r="T3139" t="str">
        <f t="shared" si="1"/>
        <v/>
      </c>
      <c r="U3139" t="str">
        <f t="shared" si="2"/>
        <v/>
      </c>
      <c r="V3139" t="str">
        <f>IF(OR(U3139="",U3139="ERRO_CHAVE"),"",IFERROR(MATCH(U3139,Fornecedores!$AF$1:$AF$6631,0),""))</f>
        <v/>
      </c>
      <c r="W3139" t="str">
        <f t="shared" si="3"/>
        <v/>
      </c>
      <c r="X3139" s="4" t="str">
        <f>IF(V3139="","",INDEX(Fornecedores!$X$1:$X$6631,V3139))</f>
        <v/>
      </c>
      <c r="Y3139" s="4" t="str">
        <f t="shared" si="4"/>
        <v/>
      </c>
    </row>
    <row r="3140" spans="19:25">
      <c r="S3140" t="str">
        <f t="shared" si="0"/>
        <v/>
      </c>
      <c r="T3140" t="str">
        <f t="shared" si="1"/>
        <v/>
      </c>
      <c r="U3140" t="str">
        <f t="shared" si="2"/>
        <v/>
      </c>
      <c r="V3140" t="str">
        <f>IF(OR(U3140="",U3140="ERRO_CHAVE"),"",IFERROR(MATCH(U3140,Fornecedores!$AF$1:$AF$6631,0),""))</f>
        <v/>
      </c>
      <c r="W3140" t="str">
        <f t="shared" si="3"/>
        <v/>
      </c>
      <c r="X3140" s="4" t="str">
        <f>IF(V3140="","",INDEX(Fornecedores!$X$1:$X$6631,V3140))</f>
        <v/>
      </c>
      <c r="Y3140" s="4" t="str">
        <f t="shared" si="4"/>
        <v/>
      </c>
    </row>
    <row r="3141" spans="19:25">
      <c r="S3141" t="str">
        <f t="shared" si="0"/>
        <v/>
      </c>
      <c r="T3141" t="str">
        <f t="shared" si="1"/>
        <v/>
      </c>
      <c r="U3141" t="str">
        <f t="shared" si="2"/>
        <v/>
      </c>
      <c r="V3141" t="str">
        <f>IF(OR(U3141="",U3141="ERRO_CHAVE"),"",IFERROR(MATCH(U3141,Fornecedores!$AF$1:$AF$6631,0),""))</f>
        <v/>
      </c>
      <c r="W3141" t="str">
        <f t="shared" si="3"/>
        <v/>
      </c>
      <c r="X3141" s="4" t="str">
        <f>IF(V3141="","",INDEX(Fornecedores!$X$1:$X$6631,V3141))</f>
        <v/>
      </c>
      <c r="Y3141" s="4" t="str">
        <f t="shared" si="4"/>
        <v/>
      </c>
    </row>
    <row r="3142" spans="19:25">
      <c r="S3142" t="str">
        <f t="shared" si="0"/>
        <v/>
      </c>
      <c r="T3142" t="str">
        <f t="shared" si="1"/>
        <v/>
      </c>
      <c r="U3142" t="str">
        <f t="shared" si="2"/>
        <v/>
      </c>
      <c r="V3142" t="str">
        <f>IF(OR(U3142="",U3142="ERRO_CHAVE"),"",IFERROR(MATCH(U3142,Fornecedores!$AF$1:$AF$6631,0),""))</f>
        <v/>
      </c>
      <c r="W3142" t="str">
        <f t="shared" si="3"/>
        <v/>
      </c>
      <c r="X3142" s="4" t="str">
        <f>IF(V3142="","",INDEX(Fornecedores!$X$1:$X$6631,V3142))</f>
        <v/>
      </c>
      <c r="Y3142" s="4" t="str">
        <f t="shared" si="4"/>
        <v/>
      </c>
    </row>
    <row r="3143" spans="19:25">
      <c r="S3143" t="str">
        <f t="shared" si="0"/>
        <v/>
      </c>
      <c r="T3143" t="str">
        <f t="shared" si="1"/>
        <v/>
      </c>
      <c r="U3143" t="str">
        <f t="shared" si="2"/>
        <v/>
      </c>
      <c r="V3143" t="str">
        <f>IF(OR(U3143="",U3143="ERRO_CHAVE"),"",IFERROR(MATCH(U3143,Fornecedores!$AF$1:$AF$6631,0),""))</f>
        <v/>
      </c>
      <c r="W3143" t="str">
        <f t="shared" si="3"/>
        <v/>
      </c>
      <c r="X3143" s="4" t="str">
        <f>IF(V3143="","",INDEX(Fornecedores!$X$1:$X$6631,V3143))</f>
        <v/>
      </c>
      <c r="Y3143" s="4" t="str">
        <f t="shared" si="4"/>
        <v/>
      </c>
    </row>
    <row r="3144" spans="19:25">
      <c r="S3144" t="str">
        <f t="shared" si="0"/>
        <v/>
      </c>
      <c r="T3144" t="str">
        <f t="shared" si="1"/>
        <v/>
      </c>
      <c r="U3144" t="str">
        <f t="shared" si="2"/>
        <v/>
      </c>
      <c r="V3144" t="str">
        <f>IF(OR(U3144="",U3144="ERRO_CHAVE"),"",IFERROR(MATCH(U3144,Fornecedores!$AF$1:$AF$6631,0),""))</f>
        <v/>
      </c>
      <c r="W3144" t="str">
        <f t="shared" si="3"/>
        <v/>
      </c>
      <c r="X3144" s="4" t="str">
        <f>IF(V3144="","",INDEX(Fornecedores!$X$1:$X$6631,V3144))</f>
        <v/>
      </c>
      <c r="Y3144" s="4" t="str">
        <f t="shared" si="4"/>
        <v/>
      </c>
    </row>
    <row r="3145" spans="19:25">
      <c r="S3145" t="str">
        <f t="shared" si="0"/>
        <v/>
      </c>
      <c r="T3145" t="str">
        <f t="shared" si="1"/>
        <v/>
      </c>
      <c r="U3145" t="str">
        <f t="shared" si="2"/>
        <v/>
      </c>
      <c r="V3145" t="str">
        <f>IF(OR(U3145="",U3145="ERRO_CHAVE"),"",IFERROR(MATCH(U3145,Fornecedores!$AF$1:$AF$6631,0),""))</f>
        <v/>
      </c>
      <c r="W3145" t="str">
        <f t="shared" si="3"/>
        <v/>
      </c>
      <c r="X3145" s="4" t="str">
        <f>IF(V3145="","",INDEX(Fornecedores!$X$1:$X$6631,V3145))</f>
        <v/>
      </c>
      <c r="Y3145" s="4" t="str">
        <f t="shared" si="4"/>
        <v/>
      </c>
    </row>
    <row r="3146" spans="19:25">
      <c r="S3146" t="str">
        <f t="shared" si="0"/>
        <v/>
      </c>
      <c r="T3146" t="str">
        <f t="shared" si="1"/>
        <v/>
      </c>
      <c r="U3146" t="str">
        <f t="shared" si="2"/>
        <v/>
      </c>
      <c r="V3146" t="str">
        <f>IF(OR(U3146="",U3146="ERRO_CHAVE"),"",IFERROR(MATCH(U3146,Fornecedores!$AF$1:$AF$6631,0),""))</f>
        <v/>
      </c>
      <c r="W3146" t="str">
        <f t="shared" si="3"/>
        <v/>
      </c>
      <c r="X3146" s="4" t="str">
        <f>IF(V3146="","",INDEX(Fornecedores!$X$1:$X$6631,V3146))</f>
        <v/>
      </c>
      <c r="Y3146" s="4" t="str">
        <f t="shared" si="4"/>
        <v/>
      </c>
    </row>
    <row r="3147" spans="19:25">
      <c r="S3147" t="str">
        <f t="shared" si="0"/>
        <v/>
      </c>
      <c r="T3147" t="str">
        <f t="shared" si="1"/>
        <v/>
      </c>
      <c r="U3147" t="str">
        <f t="shared" si="2"/>
        <v/>
      </c>
      <c r="V3147" t="str">
        <f>IF(OR(U3147="",U3147="ERRO_CHAVE"),"",IFERROR(MATCH(U3147,Fornecedores!$AF$1:$AF$6631,0),""))</f>
        <v/>
      </c>
      <c r="W3147" t="str">
        <f t="shared" si="3"/>
        <v/>
      </c>
      <c r="X3147" s="4" t="str">
        <f>IF(V3147="","",INDEX(Fornecedores!$X$1:$X$6631,V3147))</f>
        <v/>
      </c>
      <c r="Y3147" s="4" t="str">
        <f t="shared" si="4"/>
        <v/>
      </c>
    </row>
    <row r="3148" spans="19:25">
      <c r="S3148" t="str">
        <f t="shared" si="0"/>
        <v/>
      </c>
      <c r="T3148" t="str">
        <f t="shared" si="1"/>
        <v/>
      </c>
      <c r="U3148" t="str">
        <f t="shared" si="2"/>
        <v/>
      </c>
      <c r="V3148" t="str">
        <f>IF(OR(U3148="",U3148="ERRO_CHAVE"),"",IFERROR(MATCH(U3148,Fornecedores!$AF$1:$AF$6631,0),""))</f>
        <v/>
      </c>
      <c r="W3148" t="str">
        <f t="shared" si="3"/>
        <v/>
      </c>
      <c r="X3148" s="4" t="str">
        <f>IF(V3148="","",INDEX(Fornecedores!$X$1:$X$6631,V3148))</f>
        <v/>
      </c>
      <c r="Y3148" s="4" t="str">
        <f t="shared" si="4"/>
        <v/>
      </c>
    </row>
    <row r="3149" spans="19:25">
      <c r="S3149" t="str">
        <f t="shared" si="0"/>
        <v/>
      </c>
      <c r="T3149" t="str">
        <f t="shared" si="1"/>
        <v/>
      </c>
      <c r="U3149" t="str">
        <f t="shared" si="2"/>
        <v/>
      </c>
      <c r="V3149" t="str">
        <f>IF(OR(U3149="",U3149="ERRO_CHAVE"),"",IFERROR(MATCH(U3149,Fornecedores!$AF$1:$AF$6631,0),""))</f>
        <v/>
      </c>
      <c r="W3149" t="str">
        <f t="shared" si="3"/>
        <v/>
      </c>
      <c r="X3149" s="4" t="str">
        <f>IF(V3149="","",INDEX(Fornecedores!$X$1:$X$6631,V3149))</f>
        <v/>
      </c>
      <c r="Y3149" s="4" t="str">
        <f t="shared" si="4"/>
        <v/>
      </c>
    </row>
    <row r="3150" spans="19:25">
      <c r="S3150" t="str">
        <f t="shared" si="0"/>
        <v/>
      </c>
      <c r="T3150" t="str">
        <f t="shared" si="1"/>
        <v/>
      </c>
      <c r="U3150" t="str">
        <f t="shared" si="2"/>
        <v/>
      </c>
      <c r="V3150" t="str">
        <f>IF(OR(U3150="",U3150="ERRO_CHAVE"),"",IFERROR(MATCH(U3150,Fornecedores!$AF$1:$AF$6631,0),""))</f>
        <v/>
      </c>
      <c r="W3150" t="str">
        <f t="shared" si="3"/>
        <v/>
      </c>
      <c r="X3150" s="4" t="str">
        <f>IF(V3150="","",INDEX(Fornecedores!$X$1:$X$6631,V3150))</f>
        <v/>
      </c>
      <c r="Y3150" s="4" t="str">
        <f t="shared" si="4"/>
        <v/>
      </c>
    </row>
    <row r="3151" spans="19:25">
      <c r="S3151" t="str">
        <f t="shared" si="0"/>
        <v/>
      </c>
      <c r="T3151" t="str">
        <f t="shared" si="1"/>
        <v/>
      </c>
      <c r="U3151" t="str">
        <f t="shared" si="2"/>
        <v/>
      </c>
      <c r="V3151" t="str">
        <f>IF(OR(U3151="",U3151="ERRO_CHAVE"),"",IFERROR(MATCH(U3151,Fornecedores!$AF$1:$AF$6631,0),""))</f>
        <v/>
      </c>
      <c r="W3151" t="str">
        <f t="shared" si="3"/>
        <v/>
      </c>
      <c r="X3151" s="4" t="str">
        <f>IF(V3151="","",INDEX(Fornecedores!$X$1:$X$6631,V3151))</f>
        <v/>
      </c>
      <c r="Y3151" s="4" t="str">
        <f t="shared" si="4"/>
        <v/>
      </c>
    </row>
    <row r="3152" spans="19:25">
      <c r="S3152" t="str">
        <f t="shared" si="0"/>
        <v/>
      </c>
      <c r="T3152" t="str">
        <f t="shared" si="1"/>
        <v/>
      </c>
      <c r="U3152" t="str">
        <f t="shared" si="2"/>
        <v/>
      </c>
      <c r="V3152" t="str">
        <f>IF(OR(U3152="",U3152="ERRO_CHAVE"),"",IFERROR(MATCH(U3152,Fornecedores!$AF$1:$AF$6631,0),""))</f>
        <v/>
      </c>
      <c r="W3152" t="str">
        <f t="shared" si="3"/>
        <v/>
      </c>
      <c r="X3152" s="4" t="str">
        <f>IF(V3152="","",INDEX(Fornecedores!$X$1:$X$6631,V3152))</f>
        <v/>
      </c>
      <c r="Y3152" s="4" t="str">
        <f t="shared" si="4"/>
        <v/>
      </c>
    </row>
    <row r="3153" spans="19:25">
      <c r="S3153" t="str">
        <f t="shared" si="0"/>
        <v/>
      </c>
      <c r="T3153" t="str">
        <f t="shared" si="1"/>
        <v/>
      </c>
      <c r="U3153" t="str">
        <f t="shared" si="2"/>
        <v/>
      </c>
      <c r="V3153" t="str">
        <f>IF(OR(U3153="",U3153="ERRO_CHAVE"),"",IFERROR(MATCH(U3153,Fornecedores!$AF$1:$AF$6631,0),""))</f>
        <v/>
      </c>
      <c r="W3153" t="str">
        <f t="shared" si="3"/>
        <v/>
      </c>
      <c r="X3153" s="4" t="str">
        <f>IF(V3153="","",INDEX(Fornecedores!$X$1:$X$6631,V3153))</f>
        <v/>
      </c>
      <c r="Y3153" s="4" t="str">
        <f t="shared" si="4"/>
        <v/>
      </c>
    </row>
    <row r="3154" spans="19:25">
      <c r="S3154" t="str">
        <f t="shared" si="0"/>
        <v/>
      </c>
      <c r="T3154" t="str">
        <f t="shared" si="1"/>
        <v/>
      </c>
      <c r="U3154" t="str">
        <f t="shared" si="2"/>
        <v/>
      </c>
      <c r="V3154" t="str">
        <f>IF(OR(U3154="",U3154="ERRO_CHAVE"),"",IFERROR(MATCH(U3154,Fornecedores!$AF$1:$AF$6631,0),""))</f>
        <v/>
      </c>
      <c r="W3154" t="str">
        <f t="shared" si="3"/>
        <v/>
      </c>
      <c r="X3154" s="4" t="str">
        <f>IF(V3154="","",INDEX(Fornecedores!$X$1:$X$6631,V3154))</f>
        <v/>
      </c>
      <c r="Y3154" s="4" t="str">
        <f t="shared" si="4"/>
        <v/>
      </c>
    </row>
    <row r="3155" spans="19:25">
      <c r="S3155" t="str">
        <f t="shared" si="0"/>
        <v/>
      </c>
      <c r="T3155" t="str">
        <f t="shared" si="1"/>
        <v/>
      </c>
      <c r="U3155" t="str">
        <f t="shared" si="2"/>
        <v/>
      </c>
      <c r="V3155" t="str">
        <f>IF(OR(U3155="",U3155="ERRO_CHAVE"),"",IFERROR(MATCH(U3155,Fornecedores!$AF$1:$AF$6631,0),""))</f>
        <v/>
      </c>
      <c r="W3155" t="str">
        <f t="shared" si="3"/>
        <v/>
      </c>
      <c r="X3155" s="4" t="str">
        <f>IF(V3155="","",INDEX(Fornecedores!$X$1:$X$6631,V3155))</f>
        <v/>
      </c>
      <c r="Y3155" s="4" t="str">
        <f t="shared" si="4"/>
        <v/>
      </c>
    </row>
    <row r="3156" spans="19:25">
      <c r="S3156" t="str">
        <f t="shared" si="0"/>
        <v/>
      </c>
      <c r="T3156" t="str">
        <f t="shared" si="1"/>
        <v/>
      </c>
      <c r="U3156" t="str">
        <f t="shared" si="2"/>
        <v/>
      </c>
      <c r="V3156" t="str">
        <f>IF(OR(U3156="",U3156="ERRO_CHAVE"),"",IFERROR(MATCH(U3156,Fornecedores!$AF$1:$AF$6631,0),""))</f>
        <v/>
      </c>
      <c r="W3156" t="str">
        <f t="shared" si="3"/>
        <v/>
      </c>
      <c r="X3156" s="4" t="str">
        <f>IF(V3156="","",INDEX(Fornecedores!$X$1:$X$6631,V3156))</f>
        <v/>
      </c>
      <c r="Y3156" s="4" t="str">
        <f t="shared" si="4"/>
        <v/>
      </c>
    </row>
    <row r="3157" spans="19:25">
      <c r="S3157" t="str">
        <f t="shared" si="0"/>
        <v/>
      </c>
      <c r="T3157" t="str">
        <f t="shared" si="1"/>
        <v/>
      </c>
      <c r="U3157" t="str">
        <f t="shared" si="2"/>
        <v/>
      </c>
      <c r="V3157" t="str">
        <f>IF(OR(U3157="",U3157="ERRO_CHAVE"),"",IFERROR(MATCH(U3157,Fornecedores!$AF$1:$AF$6631,0),""))</f>
        <v/>
      </c>
      <c r="W3157" t="str">
        <f t="shared" si="3"/>
        <v/>
      </c>
      <c r="X3157" s="4" t="str">
        <f>IF(V3157="","",INDEX(Fornecedores!$X$1:$X$6631,V3157))</f>
        <v/>
      </c>
      <c r="Y3157" s="4" t="str">
        <f t="shared" si="4"/>
        <v/>
      </c>
    </row>
    <row r="3158" spans="19:25">
      <c r="S3158" t="str">
        <f t="shared" si="0"/>
        <v/>
      </c>
      <c r="T3158" t="str">
        <f t="shared" si="1"/>
        <v/>
      </c>
      <c r="U3158" t="str">
        <f t="shared" si="2"/>
        <v/>
      </c>
      <c r="V3158" t="str">
        <f>IF(OR(U3158="",U3158="ERRO_CHAVE"),"",IFERROR(MATCH(U3158,Fornecedores!$AF$1:$AF$6631,0),""))</f>
        <v/>
      </c>
      <c r="W3158" t="str">
        <f t="shared" si="3"/>
        <v/>
      </c>
      <c r="X3158" s="4" t="str">
        <f>IF(V3158="","",INDEX(Fornecedores!$X$1:$X$6631,V3158))</f>
        <v/>
      </c>
      <c r="Y3158" s="4" t="str">
        <f t="shared" si="4"/>
        <v/>
      </c>
    </row>
    <row r="3159" spans="19:25">
      <c r="S3159" t="str">
        <f t="shared" si="0"/>
        <v/>
      </c>
      <c r="T3159" t="str">
        <f t="shared" si="1"/>
        <v/>
      </c>
      <c r="U3159" t="str">
        <f t="shared" si="2"/>
        <v/>
      </c>
      <c r="V3159" t="str">
        <f>IF(OR(U3159="",U3159="ERRO_CHAVE"),"",IFERROR(MATCH(U3159,Fornecedores!$AF$1:$AF$6631,0),""))</f>
        <v/>
      </c>
      <c r="W3159" t="str">
        <f t="shared" si="3"/>
        <v/>
      </c>
      <c r="X3159" s="4" t="str">
        <f>IF(V3159="","",INDEX(Fornecedores!$X$1:$X$6631,V3159))</f>
        <v/>
      </c>
      <c r="Y3159" s="4" t="str">
        <f t="shared" si="4"/>
        <v/>
      </c>
    </row>
    <row r="3160" spans="19:25">
      <c r="S3160" t="str">
        <f t="shared" si="0"/>
        <v/>
      </c>
      <c r="T3160" t="str">
        <f t="shared" si="1"/>
        <v/>
      </c>
      <c r="U3160" t="str">
        <f t="shared" si="2"/>
        <v/>
      </c>
      <c r="V3160" t="str">
        <f>IF(OR(U3160="",U3160="ERRO_CHAVE"),"",IFERROR(MATCH(U3160,Fornecedores!$AF$1:$AF$6631,0),""))</f>
        <v/>
      </c>
      <c r="W3160" t="str">
        <f t="shared" si="3"/>
        <v/>
      </c>
      <c r="X3160" s="4" t="str">
        <f>IF(V3160="","",INDEX(Fornecedores!$X$1:$X$6631,V3160))</f>
        <v/>
      </c>
      <c r="Y3160" s="4" t="str">
        <f t="shared" si="4"/>
        <v/>
      </c>
    </row>
    <row r="3161" spans="19:25">
      <c r="S3161" t="str">
        <f t="shared" si="0"/>
        <v/>
      </c>
      <c r="T3161" t="str">
        <f t="shared" si="1"/>
        <v/>
      </c>
      <c r="U3161" t="str">
        <f t="shared" si="2"/>
        <v/>
      </c>
      <c r="V3161" t="str">
        <f>IF(OR(U3161="",U3161="ERRO_CHAVE"),"",IFERROR(MATCH(U3161,Fornecedores!$AF$1:$AF$6631,0),""))</f>
        <v/>
      </c>
      <c r="W3161" t="str">
        <f t="shared" si="3"/>
        <v/>
      </c>
      <c r="X3161" s="4" t="str">
        <f>IF(V3161="","",INDEX(Fornecedores!$X$1:$X$6631,V3161))</f>
        <v/>
      </c>
      <c r="Y3161" s="4" t="str">
        <f t="shared" si="4"/>
        <v/>
      </c>
    </row>
    <row r="3162" spans="19:25">
      <c r="S3162" t="str">
        <f t="shared" si="0"/>
        <v/>
      </c>
      <c r="T3162" t="str">
        <f t="shared" si="1"/>
        <v/>
      </c>
      <c r="U3162" t="str">
        <f t="shared" si="2"/>
        <v/>
      </c>
      <c r="V3162" t="str">
        <f>IF(OR(U3162="",U3162="ERRO_CHAVE"),"",IFERROR(MATCH(U3162,Fornecedores!$AF$1:$AF$6631,0),""))</f>
        <v/>
      </c>
      <c r="W3162" t="str">
        <f t="shared" si="3"/>
        <v/>
      </c>
      <c r="X3162" s="4" t="str">
        <f>IF(V3162="","",INDEX(Fornecedores!$X$1:$X$6631,V3162))</f>
        <v/>
      </c>
      <c r="Y3162" s="4" t="str">
        <f t="shared" si="4"/>
        <v/>
      </c>
    </row>
    <row r="3163" spans="19:25">
      <c r="S3163" t="str">
        <f t="shared" si="0"/>
        <v/>
      </c>
      <c r="T3163" t="str">
        <f t="shared" si="1"/>
        <v/>
      </c>
      <c r="U3163" t="str">
        <f t="shared" si="2"/>
        <v/>
      </c>
      <c r="V3163" t="str">
        <f>IF(OR(U3163="",U3163="ERRO_CHAVE"),"",IFERROR(MATCH(U3163,Fornecedores!$AF$1:$AF$6631,0),""))</f>
        <v/>
      </c>
      <c r="W3163" t="str">
        <f t="shared" si="3"/>
        <v/>
      </c>
      <c r="X3163" s="4" t="str">
        <f>IF(V3163="","",INDEX(Fornecedores!$X$1:$X$6631,V3163))</f>
        <v/>
      </c>
      <c r="Y3163" s="4" t="str">
        <f t="shared" si="4"/>
        <v/>
      </c>
    </row>
    <row r="3164" spans="19:25">
      <c r="S3164" t="str">
        <f t="shared" si="0"/>
        <v/>
      </c>
      <c r="T3164" t="str">
        <f t="shared" si="1"/>
        <v/>
      </c>
      <c r="U3164" t="str">
        <f t="shared" si="2"/>
        <v/>
      </c>
      <c r="V3164" t="str">
        <f>IF(OR(U3164="",U3164="ERRO_CHAVE"),"",IFERROR(MATCH(U3164,Fornecedores!$AF$1:$AF$6631,0),""))</f>
        <v/>
      </c>
      <c r="W3164" t="str">
        <f t="shared" si="3"/>
        <v/>
      </c>
      <c r="X3164" s="4" t="str">
        <f>IF(V3164="","",INDEX(Fornecedores!$X$1:$X$6631,V3164))</f>
        <v/>
      </c>
      <c r="Y3164" s="4" t="str">
        <f t="shared" si="4"/>
        <v/>
      </c>
    </row>
    <row r="3165" spans="19:25">
      <c r="S3165" t="str">
        <f t="shared" si="0"/>
        <v/>
      </c>
      <c r="T3165" t="str">
        <f t="shared" si="1"/>
        <v/>
      </c>
      <c r="U3165" t="str">
        <f t="shared" si="2"/>
        <v/>
      </c>
      <c r="V3165" t="str">
        <f>IF(OR(U3165="",U3165="ERRO_CHAVE"),"",IFERROR(MATCH(U3165,Fornecedores!$AF$1:$AF$6631,0),""))</f>
        <v/>
      </c>
      <c r="W3165" t="str">
        <f t="shared" si="3"/>
        <v/>
      </c>
      <c r="X3165" s="4" t="str">
        <f>IF(V3165="","",INDEX(Fornecedores!$X$1:$X$6631,V3165))</f>
        <v/>
      </c>
      <c r="Y3165" s="4" t="str">
        <f t="shared" si="4"/>
        <v/>
      </c>
    </row>
    <row r="3166" spans="19:25">
      <c r="S3166" t="str">
        <f t="shared" si="0"/>
        <v/>
      </c>
      <c r="T3166" t="str">
        <f t="shared" si="1"/>
        <v/>
      </c>
      <c r="U3166" t="str">
        <f t="shared" si="2"/>
        <v/>
      </c>
      <c r="V3166" t="str">
        <f>IF(OR(U3166="",U3166="ERRO_CHAVE"),"",IFERROR(MATCH(U3166,Fornecedores!$AF$1:$AF$6631,0),""))</f>
        <v/>
      </c>
      <c r="W3166" t="str">
        <f t="shared" si="3"/>
        <v/>
      </c>
      <c r="X3166" s="4" t="str">
        <f>IF(V3166="","",INDEX(Fornecedores!$X$1:$X$6631,V3166))</f>
        <v/>
      </c>
      <c r="Y3166" s="4" t="str">
        <f t="shared" si="4"/>
        <v/>
      </c>
    </row>
    <row r="3167" spans="19:25">
      <c r="S3167" t="str">
        <f t="shared" si="0"/>
        <v/>
      </c>
      <c r="T3167" t="str">
        <f t="shared" si="1"/>
        <v/>
      </c>
      <c r="U3167" t="str">
        <f t="shared" si="2"/>
        <v/>
      </c>
      <c r="V3167" t="str">
        <f>IF(OR(U3167="",U3167="ERRO_CHAVE"),"",IFERROR(MATCH(U3167,Fornecedores!$AF$1:$AF$6631,0),""))</f>
        <v/>
      </c>
      <c r="W3167" t="str">
        <f t="shared" si="3"/>
        <v/>
      </c>
      <c r="X3167" s="4" t="str">
        <f>IF(V3167="","",INDEX(Fornecedores!$X$1:$X$6631,V3167))</f>
        <v/>
      </c>
      <c r="Y3167" s="4" t="str">
        <f t="shared" si="4"/>
        <v/>
      </c>
    </row>
    <row r="3168" spans="19:25">
      <c r="S3168" t="str">
        <f t="shared" si="0"/>
        <v/>
      </c>
      <c r="T3168" t="str">
        <f t="shared" si="1"/>
        <v/>
      </c>
      <c r="U3168" t="str">
        <f t="shared" si="2"/>
        <v/>
      </c>
      <c r="V3168" t="str">
        <f>IF(OR(U3168="",U3168="ERRO_CHAVE"),"",IFERROR(MATCH(U3168,Fornecedores!$AF$1:$AF$6631,0),""))</f>
        <v/>
      </c>
      <c r="W3168" t="str">
        <f t="shared" si="3"/>
        <v/>
      </c>
      <c r="X3168" s="4" t="str">
        <f>IF(V3168="","",INDEX(Fornecedores!$X$1:$X$6631,V3168))</f>
        <v/>
      </c>
      <c r="Y3168" s="4" t="str">
        <f t="shared" si="4"/>
        <v/>
      </c>
    </row>
    <row r="3169" spans="19:25">
      <c r="S3169" t="str">
        <f t="shared" si="0"/>
        <v/>
      </c>
      <c r="T3169" t="str">
        <f t="shared" si="1"/>
        <v/>
      </c>
      <c r="U3169" t="str">
        <f t="shared" si="2"/>
        <v/>
      </c>
      <c r="V3169" t="str">
        <f>IF(OR(U3169="",U3169="ERRO_CHAVE"),"",IFERROR(MATCH(U3169,Fornecedores!$AF$1:$AF$6631,0),""))</f>
        <v/>
      </c>
      <c r="W3169" t="str">
        <f t="shared" si="3"/>
        <v/>
      </c>
      <c r="X3169" s="4" t="str">
        <f>IF(V3169="","",INDEX(Fornecedores!$X$1:$X$6631,V3169))</f>
        <v/>
      </c>
      <c r="Y3169" s="4" t="str">
        <f t="shared" si="4"/>
        <v/>
      </c>
    </row>
    <row r="3170" spans="19:25">
      <c r="S3170" t="str">
        <f t="shared" si="0"/>
        <v/>
      </c>
      <c r="T3170" t="str">
        <f t="shared" si="1"/>
        <v/>
      </c>
      <c r="U3170" t="str">
        <f t="shared" si="2"/>
        <v/>
      </c>
      <c r="V3170" t="str">
        <f>IF(OR(U3170="",U3170="ERRO_CHAVE"),"",IFERROR(MATCH(U3170,Fornecedores!$AF$1:$AF$6631,0),""))</f>
        <v/>
      </c>
      <c r="W3170" t="str">
        <f t="shared" si="3"/>
        <v/>
      </c>
      <c r="X3170" s="4" t="str">
        <f>IF(V3170="","",INDEX(Fornecedores!$X$1:$X$6631,V3170))</f>
        <v/>
      </c>
      <c r="Y3170" s="4" t="str">
        <f t="shared" si="4"/>
        <v/>
      </c>
    </row>
    <row r="3171" spans="19:25">
      <c r="S3171" t="str">
        <f t="shared" si="0"/>
        <v/>
      </c>
      <c r="T3171" t="str">
        <f t="shared" si="1"/>
        <v/>
      </c>
      <c r="U3171" t="str">
        <f t="shared" si="2"/>
        <v/>
      </c>
      <c r="V3171" t="str">
        <f>IF(OR(U3171="",U3171="ERRO_CHAVE"),"",IFERROR(MATCH(U3171,Fornecedores!$AF$1:$AF$6631,0),""))</f>
        <v/>
      </c>
      <c r="W3171" t="str">
        <f t="shared" si="3"/>
        <v/>
      </c>
      <c r="X3171" s="4" t="str">
        <f>IF(V3171="","",INDEX(Fornecedores!$X$1:$X$6631,V3171))</f>
        <v/>
      </c>
      <c r="Y3171" s="4" t="str">
        <f t="shared" si="4"/>
        <v/>
      </c>
    </row>
    <row r="3172" spans="19:25">
      <c r="S3172" t="str">
        <f t="shared" si="0"/>
        <v/>
      </c>
      <c r="T3172" t="str">
        <f t="shared" si="1"/>
        <v/>
      </c>
      <c r="U3172" t="str">
        <f t="shared" si="2"/>
        <v/>
      </c>
      <c r="V3172" t="str">
        <f>IF(OR(U3172="",U3172="ERRO_CHAVE"),"",IFERROR(MATCH(U3172,Fornecedores!$AF$1:$AF$6631,0),""))</f>
        <v/>
      </c>
      <c r="W3172" t="str">
        <f t="shared" si="3"/>
        <v/>
      </c>
      <c r="X3172" s="4" t="str">
        <f>IF(V3172="","",INDEX(Fornecedores!$X$1:$X$6631,V3172))</f>
        <v/>
      </c>
      <c r="Y3172" s="4" t="str">
        <f t="shared" si="4"/>
        <v/>
      </c>
    </row>
    <row r="3173" spans="19:25">
      <c r="S3173" t="str">
        <f t="shared" si="0"/>
        <v/>
      </c>
      <c r="T3173" t="str">
        <f t="shared" si="1"/>
        <v/>
      </c>
      <c r="U3173" t="str">
        <f t="shared" si="2"/>
        <v/>
      </c>
      <c r="V3173" t="str">
        <f>IF(OR(U3173="",U3173="ERRO_CHAVE"),"",IFERROR(MATCH(U3173,Fornecedores!$AF$1:$AF$6631,0),""))</f>
        <v/>
      </c>
      <c r="W3173" t="str">
        <f t="shared" si="3"/>
        <v/>
      </c>
      <c r="X3173" s="4" t="str">
        <f>IF(V3173="","",INDEX(Fornecedores!$X$1:$X$6631,V3173))</f>
        <v/>
      </c>
      <c r="Y3173" s="4" t="str">
        <f t="shared" si="4"/>
        <v/>
      </c>
    </row>
    <row r="3174" spans="19:25">
      <c r="S3174" t="str">
        <f t="shared" si="0"/>
        <v/>
      </c>
      <c r="T3174" t="str">
        <f t="shared" si="1"/>
        <v/>
      </c>
      <c r="U3174" t="str">
        <f t="shared" si="2"/>
        <v/>
      </c>
      <c r="V3174" t="str">
        <f>IF(OR(U3174="",U3174="ERRO_CHAVE"),"",IFERROR(MATCH(U3174,Fornecedores!$AF$1:$AF$6631,0),""))</f>
        <v/>
      </c>
      <c r="W3174" t="str">
        <f t="shared" si="3"/>
        <v/>
      </c>
      <c r="X3174" s="4" t="str">
        <f>IF(V3174="","",INDEX(Fornecedores!$X$1:$X$6631,V3174))</f>
        <v/>
      </c>
      <c r="Y3174" s="4" t="str">
        <f t="shared" si="4"/>
        <v/>
      </c>
    </row>
    <row r="3175" spans="19:25">
      <c r="S3175" t="str">
        <f t="shared" si="0"/>
        <v/>
      </c>
      <c r="T3175" t="str">
        <f t="shared" si="1"/>
        <v/>
      </c>
      <c r="U3175" t="str">
        <f t="shared" si="2"/>
        <v/>
      </c>
      <c r="V3175" t="str">
        <f>IF(OR(U3175="",U3175="ERRO_CHAVE"),"",IFERROR(MATCH(U3175,Fornecedores!$AF$1:$AF$6631,0),""))</f>
        <v/>
      </c>
      <c r="W3175" t="str">
        <f t="shared" si="3"/>
        <v/>
      </c>
      <c r="X3175" s="4" t="str">
        <f>IF(V3175="","",INDEX(Fornecedores!$X$1:$X$6631,V3175))</f>
        <v/>
      </c>
      <c r="Y3175" s="4" t="str">
        <f t="shared" si="4"/>
        <v/>
      </c>
    </row>
    <row r="3176" spans="19:25">
      <c r="S3176" t="str">
        <f t="shared" si="0"/>
        <v/>
      </c>
      <c r="T3176" t="str">
        <f t="shared" si="1"/>
        <v/>
      </c>
      <c r="U3176" t="str">
        <f t="shared" si="2"/>
        <v/>
      </c>
      <c r="V3176" t="str">
        <f>IF(OR(U3176="",U3176="ERRO_CHAVE"),"",IFERROR(MATCH(U3176,Fornecedores!$AF$1:$AF$6631,0),""))</f>
        <v/>
      </c>
      <c r="W3176" t="str">
        <f t="shared" si="3"/>
        <v/>
      </c>
      <c r="X3176" s="4" t="str">
        <f>IF(V3176="","",INDEX(Fornecedores!$X$1:$X$6631,V3176))</f>
        <v/>
      </c>
      <c r="Y3176" s="4" t="str">
        <f t="shared" si="4"/>
        <v/>
      </c>
    </row>
    <row r="3177" spans="19:25">
      <c r="S3177" t="str">
        <f t="shared" si="0"/>
        <v/>
      </c>
      <c r="T3177" t="str">
        <f t="shared" si="1"/>
        <v/>
      </c>
      <c r="U3177" t="str">
        <f t="shared" si="2"/>
        <v/>
      </c>
      <c r="V3177" t="str">
        <f>IF(OR(U3177="",U3177="ERRO_CHAVE"),"",IFERROR(MATCH(U3177,Fornecedores!$AF$1:$AF$6631,0),""))</f>
        <v/>
      </c>
      <c r="W3177" t="str">
        <f t="shared" si="3"/>
        <v/>
      </c>
      <c r="X3177" s="4" t="str">
        <f>IF(V3177="","",INDEX(Fornecedores!$X$1:$X$6631,V3177))</f>
        <v/>
      </c>
      <c r="Y3177" s="4" t="str">
        <f t="shared" si="4"/>
        <v/>
      </c>
    </row>
    <row r="3178" spans="19:25">
      <c r="S3178" t="str">
        <f t="shared" si="0"/>
        <v/>
      </c>
      <c r="T3178" t="str">
        <f t="shared" si="1"/>
        <v/>
      </c>
      <c r="U3178" t="str">
        <f t="shared" si="2"/>
        <v/>
      </c>
      <c r="V3178" t="str">
        <f>IF(OR(U3178="",U3178="ERRO_CHAVE"),"",IFERROR(MATCH(U3178,Fornecedores!$AF$1:$AF$6631,0),""))</f>
        <v/>
      </c>
      <c r="W3178" t="str">
        <f t="shared" si="3"/>
        <v/>
      </c>
      <c r="X3178" s="4" t="str">
        <f>IF(V3178="","",INDEX(Fornecedores!$X$1:$X$6631,V3178))</f>
        <v/>
      </c>
      <c r="Y3178" s="4" t="str">
        <f t="shared" si="4"/>
        <v/>
      </c>
    </row>
    <row r="3179" spans="19:25">
      <c r="S3179" t="str">
        <f t="shared" si="0"/>
        <v/>
      </c>
      <c r="T3179" t="str">
        <f t="shared" si="1"/>
        <v/>
      </c>
      <c r="U3179" t="str">
        <f t="shared" si="2"/>
        <v/>
      </c>
      <c r="V3179" t="str">
        <f>IF(OR(U3179="",U3179="ERRO_CHAVE"),"",IFERROR(MATCH(U3179,Fornecedores!$AF$1:$AF$6631,0),""))</f>
        <v/>
      </c>
      <c r="W3179" t="str">
        <f t="shared" si="3"/>
        <v/>
      </c>
      <c r="X3179" s="4" t="str">
        <f>IF(V3179="","",INDEX(Fornecedores!$X$1:$X$6631,V3179))</f>
        <v/>
      </c>
      <c r="Y3179" s="4" t="str">
        <f t="shared" si="4"/>
        <v/>
      </c>
    </row>
    <row r="3180" spans="19:25">
      <c r="S3180" t="str">
        <f t="shared" si="0"/>
        <v/>
      </c>
      <c r="T3180" t="str">
        <f t="shared" si="1"/>
        <v/>
      </c>
      <c r="U3180" t="str">
        <f t="shared" si="2"/>
        <v/>
      </c>
      <c r="V3180" t="str">
        <f>IF(OR(U3180="",U3180="ERRO_CHAVE"),"",IFERROR(MATCH(U3180,Fornecedores!$AF$1:$AF$6631,0),""))</f>
        <v/>
      </c>
      <c r="W3180" t="str">
        <f t="shared" si="3"/>
        <v/>
      </c>
      <c r="X3180" s="4" t="str">
        <f>IF(V3180="","",INDEX(Fornecedores!$X$1:$X$6631,V3180))</f>
        <v/>
      </c>
      <c r="Y3180" s="4" t="str">
        <f t="shared" si="4"/>
        <v/>
      </c>
    </row>
    <row r="3181" spans="19:25">
      <c r="S3181" t="str">
        <f t="shared" si="0"/>
        <v/>
      </c>
      <c r="T3181" t="str">
        <f t="shared" si="1"/>
        <v/>
      </c>
      <c r="U3181" t="str">
        <f t="shared" si="2"/>
        <v/>
      </c>
      <c r="V3181" t="str">
        <f>IF(OR(U3181="",U3181="ERRO_CHAVE"),"",IFERROR(MATCH(U3181,Fornecedores!$AF$1:$AF$6631,0),""))</f>
        <v/>
      </c>
      <c r="W3181" t="str">
        <f t="shared" si="3"/>
        <v/>
      </c>
      <c r="X3181" s="4" t="str">
        <f>IF(V3181="","",INDEX(Fornecedores!$X$1:$X$6631,V3181))</f>
        <v/>
      </c>
      <c r="Y3181" s="4" t="str">
        <f t="shared" si="4"/>
        <v/>
      </c>
    </row>
    <row r="3182" spans="19:25">
      <c r="S3182" t="str">
        <f t="shared" si="0"/>
        <v/>
      </c>
      <c r="T3182" t="str">
        <f t="shared" si="1"/>
        <v/>
      </c>
      <c r="U3182" t="str">
        <f t="shared" si="2"/>
        <v/>
      </c>
      <c r="V3182" t="str">
        <f>IF(OR(U3182="",U3182="ERRO_CHAVE"),"",IFERROR(MATCH(U3182,Fornecedores!$AF$1:$AF$6631,0),""))</f>
        <v/>
      </c>
      <c r="W3182" t="str">
        <f t="shared" si="3"/>
        <v/>
      </c>
      <c r="X3182" s="4" t="str">
        <f>IF(V3182="","",INDEX(Fornecedores!$X$1:$X$6631,V3182))</f>
        <v/>
      </c>
      <c r="Y3182" s="4" t="str">
        <f t="shared" si="4"/>
        <v/>
      </c>
    </row>
    <row r="3183" spans="19:25">
      <c r="S3183" t="str">
        <f t="shared" si="0"/>
        <v/>
      </c>
      <c r="T3183" t="str">
        <f t="shared" si="1"/>
        <v/>
      </c>
      <c r="U3183" t="str">
        <f t="shared" si="2"/>
        <v/>
      </c>
      <c r="V3183" t="str">
        <f>IF(OR(U3183="",U3183="ERRO_CHAVE"),"",IFERROR(MATCH(U3183,Fornecedores!$AF$1:$AF$6631,0),""))</f>
        <v/>
      </c>
      <c r="W3183" t="str">
        <f t="shared" si="3"/>
        <v/>
      </c>
      <c r="X3183" s="4" t="str">
        <f>IF(V3183="","",INDEX(Fornecedores!$X$1:$X$6631,V3183))</f>
        <v/>
      </c>
      <c r="Y3183" s="4" t="str">
        <f t="shared" si="4"/>
        <v/>
      </c>
    </row>
    <row r="3184" spans="19:25">
      <c r="S3184" t="str">
        <f t="shared" si="0"/>
        <v/>
      </c>
      <c r="T3184" t="str">
        <f t="shared" si="1"/>
        <v/>
      </c>
      <c r="U3184" t="str">
        <f t="shared" si="2"/>
        <v/>
      </c>
      <c r="V3184" t="str">
        <f>IF(OR(U3184="",U3184="ERRO_CHAVE"),"",IFERROR(MATCH(U3184,Fornecedores!$AF$1:$AF$6631,0),""))</f>
        <v/>
      </c>
      <c r="W3184" t="str">
        <f t="shared" si="3"/>
        <v/>
      </c>
      <c r="X3184" s="4" t="str">
        <f>IF(V3184="","",INDEX(Fornecedores!$X$1:$X$6631,V3184))</f>
        <v/>
      </c>
      <c r="Y3184" s="4" t="str">
        <f t="shared" si="4"/>
        <v/>
      </c>
    </row>
    <row r="3185" spans="19:25">
      <c r="S3185" t="str">
        <f t="shared" si="0"/>
        <v/>
      </c>
      <c r="T3185" t="str">
        <f t="shared" si="1"/>
        <v/>
      </c>
      <c r="U3185" t="str">
        <f t="shared" si="2"/>
        <v/>
      </c>
      <c r="V3185" t="str">
        <f>IF(OR(U3185="",U3185="ERRO_CHAVE"),"",IFERROR(MATCH(U3185,Fornecedores!$AF$1:$AF$6631,0),""))</f>
        <v/>
      </c>
      <c r="W3185" t="str">
        <f t="shared" si="3"/>
        <v/>
      </c>
      <c r="X3185" s="4" t="str">
        <f>IF(V3185="","",INDEX(Fornecedores!$X$1:$X$6631,V3185))</f>
        <v/>
      </c>
      <c r="Y3185" s="4" t="str">
        <f t="shared" si="4"/>
        <v/>
      </c>
    </row>
    <row r="3186" spans="19:25">
      <c r="S3186" t="str">
        <f t="shared" si="0"/>
        <v/>
      </c>
      <c r="T3186" t="str">
        <f t="shared" si="1"/>
        <v/>
      </c>
      <c r="U3186" t="str">
        <f t="shared" si="2"/>
        <v/>
      </c>
      <c r="V3186" t="str">
        <f>IF(OR(U3186="",U3186="ERRO_CHAVE"),"",IFERROR(MATCH(U3186,Fornecedores!$AF$1:$AF$6631,0),""))</f>
        <v/>
      </c>
      <c r="W3186" t="str">
        <f t="shared" si="3"/>
        <v/>
      </c>
      <c r="X3186" s="4" t="str">
        <f>IF(V3186="","",INDEX(Fornecedores!$X$1:$X$6631,V3186))</f>
        <v/>
      </c>
      <c r="Y3186" s="4" t="str">
        <f t="shared" si="4"/>
        <v/>
      </c>
    </row>
    <row r="3187" spans="19:25">
      <c r="S3187" t="str">
        <f t="shared" si="0"/>
        <v/>
      </c>
      <c r="T3187" t="str">
        <f t="shared" si="1"/>
        <v/>
      </c>
      <c r="U3187" t="str">
        <f t="shared" si="2"/>
        <v/>
      </c>
      <c r="V3187" t="str">
        <f>IF(OR(U3187="",U3187="ERRO_CHAVE"),"",IFERROR(MATCH(U3187,Fornecedores!$AF$1:$AF$6631,0),""))</f>
        <v/>
      </c>
      <c r="W3187" t="str">
        <f t="shared" si="3"/>
        <v/>
      </c>
      <c r="X3187" s="4" t="str">
        <f>IF(V3187="","",INDEX(Fornecedores!$X$1:$X$6631,V3187))</f>
        <v/>
      </c>
      <c r="Y3187" s="4" t="str">
        <f t="shared" si="4"/>
        <v/>
      </c>
    </row>
    <row r="3188" spans="19:25">
      <c r="S3188" t="str">
        <f t="shared" si="0"/>
        <v/>
      </c>
      <c r="T3188" t="str">
        <f t="shared" si="1"/>
        <v/>
      </c>
      <c r="U3188" t="str">
        <f t="shared" si="2"/>
        <v/>
      </c>
      <c r="V3188" t="str">
        <f>IF(OR(U3188="",U3188="ERRO_CHAVE"),"",IFERROR(MATCH(U3188,Fornecedores!$AF$1:$AF$6631,0),""))</f>
        <v/>
      </c>
      <c r="W3188" t="str">
        <f t="shared" si="3"/>
        <v/>
      </c>
      <c r="X3188" s="4" t="str">
        <f>IF(V3188="","",INDEX(Fornecedores!$X$1:$X$6631,V3188))</f>
        <v/>
      </c>
      <c r="Y3188" s="4" t="str">
        <f t="shared" si="4"/>
        <v/>
      </c>
    </row>
    <row r="3189" spans="19:25">
      <c r="S3189" t="str">
        <f t="shared" si="0"/>
        <v/>
      </c>
      <c r="T3189" t="str">
        <f t="shared" si="1"/>
        <v/>
      </c>
      <c r="U3189" t="str">
        <f t="shared" si="2"/>
        <v/>
      </c>
      <c r="V3189" t="str">
        <f>IF(OR(U3189="",U3189="ERRO_CHAVE"),"",IFERROR(MATCH(U3189,Fornecedores!$AF$1:$AF$6631,0),""))</f>
        <v/>
      </c>
      <c r="W3189" t="str">
        <f t="shared" si="3"/>
        <v/>
      </c>
      <c r="X3189" s="4" t="str">
        <f>IF(V3189="","",INDEX(Fornecedores!$X$1:$X$6631,V3189))</f>
        <v/>
      </c>
      <c r="Y3189" s="4" t="str">
        <f t="shared" si="4"/>
        <v/>
      </c>
    </row>
    <row r="3190" spans="19:25">
      <c r="S3190" t="str">
        <f t="shared" si="0"/>
        <v/>
      </c>
      <c r="T3190" t="str">
        <f t="shared" si="1"/>
        <v/>
      </c>
      <c r="U3190" t="str">
        <f t="shared" si="2"/>
        <v/>
      </c>
      <c r="V3190" t="str">
        <f>IF(OR(U3190="",U3190="ERRO_CHAVE"),"",IFERROR(MATCH(U3190,Fornecedores!$AF$1:$AF$6631,0),""))</f>
        <v/>
      </c>
      <c r="W3190" t="str">
        <f t="shared" si="3"/>
        <v/>
      </c>
      <c r="X3190" s="4" t="str">
        <f>IF(V3190="","",INDEX(Fornecedores!$X$1:$X$6631,V3190))</f>
        <v/>
      </c>
      <c r="Y3190" s="4" t="str">
        <f t="shared" si="4"/>
        <v/>
      </c>
    </row>
    <row r="3191" spans="19:25">
      <c r="S3191" t="str">
        <f t="shared" si="0"/>
        <v/>
      </c>
      <c r="T3191" t="str">
        <f t="shared" si="1"/>
        <v/>
      </c>
      <c r="U3191" t="str">
        <f t="shared" si="2"/>
        <v/>
      </c>
      <c r="V3191" t="str">
        <f>IF(OR(U3191="",U3191="ERRO_CHAVE"),"",IFERROR(MATCH(U3191,Fornecedores!$AF$1:$AF$6631,0),""))</f>
        <v/>
      </c>
      <c r="W3191" t="str">
        <f t="shared" si="3"/>
        <v/>
      </c>
      <c r="X3191" s="4" t="str">
        <f>IF(V3191="","",INDEX(Fornecedores!$X$1:$X$6631,V3191))</f>
        <v/>
      </c>
      <c r="Y3191" s="4" t="str">
        <f t="shared" si="4"/>
        <v/>
      </c>
    </row>
    <row r="3192" spans="19:25">
      <c r="S3192" t="str">
        <f t="shared" si="0"/>
        <v/>
      </c>
      <c r="T3192" t="str">
        <f t="shared" si="1"/>
        <v/>
      </c>
      <c r="U3192" t="str">
        <f t="shared" si="2"/>
        <v/>
      </c>
      <c r="V3192" t="str">
        <f>IF(OR(U3192="",U3192="ERRO_CHAVE"),"",IFERROR(MATCH(U3192,Fornecedores!$AF$1:$AF$6631,0),""))</f>
        <v/>
      </c>
      <c r="W3192" t="str">
        <f t="shared" si="3"/>
        <v/>
      </c>
      <c r="X3192" s="4" t="str">
        <f>IF(V3192="","",INDEX(Fornecedores!$X$1:$X$6631,V3192))</f>
        <v/>
      </c>
      <c r="Y3192" s="4" t="str">
        <f t="shared" si="4"/>
        <v/>
      </c>
    </row>
    <row r="3193" spans="19:25">
      <c r="S3193" t="str">
        <f t="shared" si="0"/>
        <v/>
      </c>
      <c r="T3193" t="str">
        <f t="shared" si="1"/>
        <v/>
      </c>
      <c r="U3193" t="str">
        <f t="shared" si="2"/>
        <v/>
      </c>
      <c r="V3193" t="str">
        <f>IF(OR(U3193="",U3193="ERRO_CHAVE"),"",IFERROR(MATCH(U3193,Fornecedores!$AF$1:$AF$6631,0),""))</f>
        <v/>
      </c>
      <c r="W3193" t="str">
        <f t="shared" si="3"/>
        <v/>
      </c>
      <c r="X3193" s="4" t="str">
        <f>IF(V3193="","",INDEX(Fornecedores!$X$1:$X$6631,V3193))</f>
        <v/>
      </c>
      <c r="Y3193" s="4" t="str">
        <f t="shared" si="4"/>
        <v/>
      </c>
    </row>
    <row r="3194" spans="19:25">
      <c r="S3194" t="str">
        <f t="shared" si="0"/>
        <v/>
      </c>
      <c r="T3194" t="str">
        <f t="shared" si="1"/>
        <v/>
      </c>
      <c r="U3194" t="str">
        <f t="shared" si="2"/>
        <v/>
      </c>
      <c r="V3194" t="str">
        <f>IF(OR(U3194="",U3194="ERRO_CHAVE"),"",IFERROR(MATCH(U3194,Fornecedores!$AF$1:$AF$6631,0),""))</f>
        <v/>
      </c>
      <c r="W3194" t="str">
        <f t="shared" si="3"/>
        <v/>
      </c>
      <c r="X3194" s="4" t="str">
        <f>IF(V3194="","",INDEX(Fornecedores!$X$1:$X$6631,V3194))</f>
        <v/>
      </c>
      <c r="Y3194" s="4" t="str">
        <f t="shared" si="4"/>
        <v/>
      </c>
    </row>
    <row r="3195" spans="19:25">
      <c r="S3195" t="str">
        <f t="shared" si="0"/>
        <v/>
      </c>
      <c r="T3195" t="str">
        <f t="shared" si="1"/>
        <v/>
      </c>
      <c r="U3195" t="str">
        <f t="shared" si="2"/>
        <v/>
      </c>
      <c r="V3195" t="str">
        <f>IF(OR(U3195="",U3195="ERRO_CHAVE"),"",IFERROR(MATCH(U3195,Fornecedores!$AF$1:$AF$6631,0),""))</f>
        <v/>
      </c>
      <c r="W3195" t="str">
        <f t="shared" si="3"/>
        <v/>
      </c>
      <c r="X3195" s="4" t="str">
        <f>IF(V3195="","",INDEX(Fornecedores!$X$1:$X$6631,V3195))</f>
        <v/>
      </c>
      <c r="Y3195" s="4" t="str">
        <f t="shared" si="4"/>
        <v/>
      </c>
    </row>
    <row r="3196" spans="19:25">
      <c r="S3196" t="str">
        <f t="shared" si="0"/>
        <v/>
      </c>
      <c r="T3196" t="str">
        <f t="shared" si="1"/>
        <v/>
      </c>
      <c r="U3196" t="str">
        <f t="shared" si="2"/>
        <v/>
      </c>
      <c r="V3196" t="str">
        <f>IF(OR(U3196="",U3196="ERRO_CHAVE"),"",IFERROR(MATCH(U3196,Fornecedores!$AF$1:$AF$6631,0),""))</f>
        <v/>
      </c>
      <c r="W3196" t="str">
        <f t="shared" si="3"/>
        <v/>
      </c>
      <c r="X3196" s="4" t="str">
        <f>IF(V3196="","",INDEX(Fornecedores!$X$1:$X$6631,V3196))</f>
        <v/>
      </c>
      <c r="Y3196" s="4" t="str">
        <f t="shared" si="4"/>
        <v/>
      </c>
    </row>
    <row r="3197" spans="19:25">
      <c r="S3197" t="str">
        <f t="shared" si="0"/>
        <v/>
      </c>
      <c r="T3197" t="str">
        <f t="shared" si="1"/>
        <v/>
      </c>
      <c r="U3197" t="str">
        <f t="shared" si="2"/>
        <v/>
      </c>
      <c r="V3197" t="str">
        <f>IF(OR(U3197="",U3197="ERRO_CHAVE"),"",IFERROR(MATCH(U3197,Fornecedores!$AF$1:$AF$6631,0),""))</f>
        <v/>
      </c>
      <c r="W3197" t="str">
        <f t="shared" si="3"/>
        <v/>
      </c>
      <c r="X3197" s="4" t="str">
        <f>IF(V3197="","",INDEX(Fornecedores!$X$1:$X$6631,V3197))</f>
        <v/>
      </c>
      <c r="Y3197" s="4" t="str">
        <f t="shared" si="4"/>
        <v/>
      </c>
    </row>
    <row r="3198" spans="19:25">
      <c r="S3198" t="str">
        <f t="shared" si="0"/>
        <v/>
      </c>
      <c r="T3198" t="str">
        <f t="shared" si="1"/>
        <v/>
      </c>
      <c r="U3198" t="str">
        <f t="shared" si="2"/>
        <v/>
      </c>
      <c r="V3198" t="str">
        <f>IF(OR(U3198="",U3198="ERRO_CHAVE"),"",IFERROR(MATCH(U3198,Fornecedores!$AF$1:$AF$6631,0),""))</f>
        <v/>
      </c>
      <c r="W3198" t="str">
        <f t="shared" si="3"/>
        <v/>
      </c>
      <c r="X3198" s="4" t="str">
        <f>IF(V3198="","",INDEX(Fornecedores!$X$1:$X$6631,V3198))</f>
        <v/>
      </c>
      <c r="Y3198" s="4" t="str">
        <f t="shared" si="4"/>
        <v/>
      </c>
    </row>
    <row r="3199" spans="19:25">
      <c r="S3199" t="str">
        <f t="shared" si="0"/>
        <v/>
      </c>
      <c r="T3199" t="str">
        <f t="shared" si="1"/>
        <v/>
      </c>
      <c r="U3199" t="str">
        <f t="shared" si="2"/>
        <v/>
      </c>
      <c r="V3199" t="str">
        <f>IF(OR(U3199="",U3199="ERRO_CHAVE"),"",IFERROR(MATCH(U3199,Fornecedores!$AF$1:$AF$6631,0),""))</f>
        <v/>
      </c>
      <c r="W3199" t="str">
        <f t="shared" si="3"/>
        <v/>
      </c>
      <c r="X3199" s="4" t="str">
        <f>IF(V3199="","",INDEX(Fornecedores!$X$1:$X$6631,V3199))</f>
        <v/>
      </c>
      <c r="Y3199" s="4" t="str">
        <f t="shared" si="4"/>
        <v/>
      </c>
    </row>
    <row r="3200" spans="19:25">
      <c r="S3200" t="str">
        <f t="shared" si="0"/>
        <v/>
      </c>
      <c r="T3200" t="str">
        <f t="shared" si="1"/>
        <v/>
      </c>
      <c r="U3200" t="str">
        <f t="shared" si="2"/>
        <v/>
      </c>
      <c r="V3200" t="str">
        <f>IF(OR(U3200="",U3200="ERRO_CHAVE"),"",IFERROR(MATCH(U3200,Fornecedores!$AF$1:$AF$6631,0),""))</f>
        <v/>
      </c>
      <c r="W3200" t="str">
        <f t="shared" si="3"/>
        <v/>
      </c>
      <c r="X3200" s="4" t="str">
        <f>IF(V3200="","",INDEX(Fornecedores!$X$1:$X$6631,V3200))</f>
        <v/>
      </c>
      <c r="Y3200" s="4" t="str">
        <f t="shared" si="4"/>
        <v/>
      </c>
    </row>
    <row r="3201" spans="19:25">
      <c r="S3201" t="str">
        <f t="shared" si="0"/>
        <v/>
      </c>
      <c r="T3201" t="str">
        <f t="shared" si="1"/>
        <v/>
      </c>
      <c r="U3201" t="str">
        <f t="shared" si="2"/>
        <v/>
      </c>
      <c r="V3201" t="str">
        <f>IF(OR(U3201="",U3201="ERRO_CHAVE"),"",IFERROR(MATCH(U3201,Fornecedores!$AF$1:$AF$6631,0),""))</f>
        <v/>
      </c>
      <c r="W3201" t="str">
        <f t="shared" si="3"/>
        <v/>
      </c>
      <c r="X3201" s="4" t="str">
        <f>IF(V3201="","",INDEX(Fornecedores!$X$1:$X$6631,V3201))</f>
        <v/>
      </c>
      <c r="Y3201" s="4" t="str">
        <f t="shared" si="4"/>
        <v/>
      </c>
    </row>
    <row r="3202" spans="19:25">
      <c r="S3202" t="str">
        <f t="shared" si="0"/>
        <v/>
      </c>
      <c r="T3202" t="str">
        <f t="shared" si="1"/>
        <v/>
      </c>
      <c r="U3202" t="str">
        <f t="shared" si="2"/>
        <v/>
      </c>
      <c r="V3202" t="str">
        <f>IF(OR(U3202="",U3202="ERRO_CHAVE"),"",IFERROR(MATCH(U3202,Fornecedores!$AF$1:$AF$6631,0),""))</f>
        <v/>
      </c>
      <c r="W3202" t="str">
        <f t="shared" si="3"/>
        <v/>
      </c>
      <c r="X3202" s="4" t="str">
        <f>IF(V3202="","",INDEX(Fornecedores!$X$1:$X$6631,V3202))</f>
        <v/>
      </c>
      <c r="Y3202" s="4" t="str">
        <f t="shared" si="4"/>
        <v/>
      </c>
    </row>
    <row r="3203" spans="19:25">
      <c r="S3203" t="str">
        <f t="shared" si="0"/>
        <v/>
      </c>
      <c r="T3203" t="str">
        <f t="shared" si="1"/>
        <v/>
      </c>
      <c r="U3203" t="str">
        <f t="shared" si="2"/>
        <v/>
      </c>
      <c r="V3203" t="str">
        <f>IF(OR(U3203="",U3203="ERRO_CHAVE"),"",IFERROR(MATCH(U3203,Fornecedores!$AF$1:$AF$6631,0),""))</f>
        <v/>
      </c>
      <c r="W3203" t="str">
        <f t="shared" si="3"/>
        <v/>
      </c>
      <c r="X3203" s="4" t="str">
        <f>IF(V3203="","",INDEX(Fornecedores!$X$1:$X$6631,V3203))</f>
        <v/>
      </c>
      <c r="Y3203" s="4" t="str">
        <f t="shared" si="4"/>
        <v/>
      </c>
    </row>
    <row r="3204" spans="19:25">
      <c r="S3204" t="str">
        <f t="shared" si="0"/>
        <v/>
      </c>
      <c r="T3204" t="str">
        <f t="shared" si="1"/>
        <v/>
      </c>
      <c r="U3204" t="str">
        <f t="shared" si="2"/>
        <v/>
      </c>
      <c r="V3204" t="str">
        <f>IF(OR(U3204="",U3204="ERRO_CHAVE"),"",IFERROR(MATCH(U3204,Fornecedores!$AF$1:$AF$6631,0),""))</f>
        <v/>
      </c>
      <c r="W3204" t="str">
        <f t="shared" si="3"/>
        <v/>
      </c>
      <c r="X3204" s="4" t="str">
        <f>IF(V3204="","",INDEX(Fornecedores!$X$1:$X$6631,V3204))</f>
        <v/>
      </c>
      <c r="Y3204" s="4" t="str">
        <f t="shared" si="4"/>
        <v/>
      </c>
    </row>
    <row r="3205" spans="19:25">
      <c r="S3205" t="str">
        <f t="shared" si="0"/>
        <v/>
      </c>
      <c r="T3205" t="str">
        <f t="shared" si="1"/>
        <v/>
      </c>
      <c r="U3205" t="str">
        <f t="shared" si="2"/>
        <v/>
      </c>
      <c r="V3205" t="str">
        <f>IF(OR(U3205="",U3205="ERRO_CHAVE"),"",IFERROR(MATCH(U3205,Fornecedores!$AF$1:$AF$6631,0),""))</f>
        <v/>
      </c>
      <c r="W3205" t="str">
        <f t="shared" si="3"/>
        <v/>
      </c>
      <c r="X3205" s="4" t="str">
        <f>IF(V3205="","",INDEX(Fornecedores!$X$1:$X$6631,V3205))</f>
        <v/>
      </c>
      <c r="Y3205" s="4" t="str">
        <f t="shared" si="4"/>
        <v/>
      </c>
    </row>
    <row r="3206" spans="19:25">
      <c r="S3206" t="str">
        <f t="shared" si="0"/>
        <v/>
      </c>
      <c r="T3206" t="str">
        <f t="shared" si="1"/>
        <v/>
      </c>
      <c r="U3206" t="str">
        <f t="shared" si="2"/>
        <v/>
      </c>
      <c r="V3206" t="str">
        <f>IF(OR(U3206="",U3206="ERRO_CHAVE"),"",IFERROR(MATCH(U3206,Fornecedores!$AF$1:$AF$6631,0),""))</f>
        <v/>
      </c>
      <c r="W3206" t="str">
        <f t="shared" si="3"/>
        <v/>
      </c>
      <c r="X3206" s="4" t="str">
        <f>IF(V3206="","",INDEX(Fornecedores!$X$1:$X$6631,V3206))</f>
        <v/>
      </c>
      <c r="Y3206" s="4" t="str">
        <f t="shared" si="4"/>
        <v/>
      </c>
    </row>
    <row r="3207" spans="19:25">
      <c r="S3207" t="str">
        <f t="shared" si="0"/>
        <v/>
      </c>
      <c r="T3207" t="str">
        <f t="shared" si="1"/>
        <v/>
      </c>
      <c r="U3207" t="str">
        <f t="shared" si="2"/>
        <v/>
      </c>
      <c r="V3207" t="str">
        <f>IF(OR(U3207="",U3207="ERRO_CHAVE"),"",IFERROR(MATCH(U3207,Fornecedores!$AF$1:$AF$6631,0),""))</f>
        <v/>
      </c>
      <c r="W3207" t="str">
        <f t="shared" si="3"/>
        <v/>
      </c>
      <c r="X3207" s="4" t="str">
        <f>IF(V3207="","",INDEX(Fornecedores!$X$1:$X$6631,V3207))</f>
        <v/>
      </c>
      <c r="Y3207" s="4" t="str">
        <f t="shared" si="4"/>
        <v/>
      </c>
    </row>
    <row r="3208" spans="19:25">
      <c r="S3208" t="str">
        <f t="shared" si="0"/>
        <v/>
      </c>
      <c r="T3208" t="str">
        <f t="shared" si="1"/>
        <v/>
      </c>
      <c r="U3208" t="str">
        <f t="shared" si="2"/>
        <v/>
      </c>
      <c r="V3208" t="str">
        <f>IF(OR(U3208="",U3208="ERRO_CHAVE"),"",IFERROR(MATCH(U3208,Fornecedores!$AF$1:$AF$6631,0),""))</f>
        <v/>
      </c>
      <c r="W3208" t="str">
        <f t="shared" si="3"/>
        <v/>
      </c>
      <c r="X3208" s="4" t="str">
        <f>IF(V3208="","",INDEX(Fornecedores!$X$1:$X$6631,V3208))</f>
        <v/>
      </c>
      <c r="Y3208" s="4" t="str">
        <f t="shared" si="4"/>
        <v/>
      </c>
    </row>
    <row r="3209" spans="19:25">
      <c r="S3209" t="str">
        <f t="shared" si="0"/>
        <v/>
      </c>
      <c r="T3209" t="str">
        <f t="shared" si="1"/>
        <v/>
      </c>
      <c r="U3209" t="str">
        <f t="shared" si="2"/>
        <v/>
      </c>
      <c r="V3209" t="str">
        <f>IF(OR(U3209="",U3209="ERRO_CHAVE"),"",IFERROR(MATCH(U3209,Fornecedores!$AF$1:$AF$6631,0),""))</f>
        <v/>
      </c>
      <c r="W3209" t="str">
        <f t="shared" si="3"/>
        <v/>
      </c>
      <c r="X3209" s="4" t="str">
        <f>IF(V3209="","",INDEX(Fornecedores!$X$1:$X$6631,V3209))</f>
        <v/>
      </c>
      <c r="Y3209" s="4" t="str">
        <f t="shared" si="4"/>
        <v/>
      </c>
    </row>
    <row r="3210" spans="19:25">
      <c r="S3210" t="str">
        <f t="shared" si="0"/>
        <v/>
      </c>
      <c r="T3210" t="str">
        <f t="shared" si="1"/>
        <v/>
      </c>
      <c r="U3210" t="str">
        <f t="shared" si="2"/>
        <v/>
      </c>
      <c r="V3210" t="str">
        <f>IF(OR(U3210="",U3210="ERRO_CHAVE"),"",IFERROR(MATCH(U3210,Fornecedores!$AF$1:$AF$6631,0),""))</f>
        <v/>
      </c>
      <c r="W3210" t="str">
        <f t="shared" si="3"/>
        <v/>
      </c>
      <c r="X3210" s="4" t="str">
        <f>IF(V3210="","",INDEX(Fornecedores!$X$1:$X$6631,V3210))</f>
        <v/>
      </c>
      <c r="Y3210" s="4" t="str">
        <f t="shared" si="4"/>
        <v/>
      </c>
    </row>
    <row r="3211" spans="19:25">
      <c r="S3211" t="str">
        <f t="shared" si="0"/>
        <v/>
      </c>
      <c r="T3211" t="str">
        <f t="shared" si="1"/>
        <v/>
      </c>
      <c r="U3211" t="str">
        <f t="shared" si="2"/>
        <v/>
      </c>
      <c r="V3211" t="str">
        <f>IF(OR(U3211="",U3211="ERRO_CHAVE"),"",IFERROR(MATCH(U3211,Fornecedores!$AF$1:$AF$6631,0),""))</f>
        <v/>
      </c>
      <c r="W3211" t="str">
        <f t="shared" si="3"/>
        <v/>
      </c>
      <c r="X3211" s="4" t="str">
        <f>IF(V3211="","",INDEX(Fornecedores!$X$1:$X$6631,V3211))</f>
        <v/>
      </c>
      <c r="Y3211" s="4" t="str">
        <f t="shared" si="4"/>
        <v/>
      </c>
    </row>
    <row r="3212" spans="19:25">
      <c r="S3212" t="str">
        <f t="shared" si="0"/>
        <v/>
      </c>
      <c r="T3212" t="str">
        <f t="shared" si="1"/>
        <v/>
      </c>
      <c r="U3212" t="str">
        <f t="shared" si="2"/>
        <v/>
      </c>
      <c r="V3212" t="str">
        <f>IF(OR(U3212="",U3212="ERRO_CHAVE"),"",IFERROR(MATCH(U3212,Fornecedores!$AF$1:$AF$6631,0),""))</f>
        <v/>
      </c>
      <c r="W3212" t="str">
        <f t="shared" si="3"/>
        <v/>
      </c>
      <c r="X3212" s="4" t="str">
        <f>IF(V3212="","",INDEX(Fornecedores!$X$1:$X$6631,V3212))</f>
        <v/>
      </c>
      <c r="Y3212" s="4" t="str">
        <f t="shared" si="4"/>
        <v/>
      </c>
    </row>
    <row r="3213" spans="19:25">
      <c r="S3213" t="str">
        <f t="shared" si="0"/>
        <v/>
      </c>
      <c r="T3213" t="str">
        <f t="shared" si="1"/>
        <v/>
      </c>
      <c r="U3213" t="str">
        <f t="shared" si="2"/>
        <v/>
      </c>
      <c r="V3213" t="str">
        <f>IF(OR(U3213="",U3213="ERRO_CHAVE"),"",IFERROR(MATCH(U3213,Fornecedores!$AF$1:$AF$6631,0),""))</f>
        <v/>
      </c>
      <c r="W3213" t="str">
        <f t="shared" si="3"/>
        <v/>
      </c>
      <c r="X3213" s="4" t="str">
        <f>IF(V3213="","",INDEX(Fornecedores!$X$1:$X$6631,V3213))</f>
        <v/>
      </c>
      <c r="Y3213" s="4" t="str">
        <f t="shared" si="4"/>
        <v/>
      </c>
    </row>
    <row r="3214" spans="19:25">
      <c r="S3214" t="str">
        <f t="shared" si="0"/>
        <v/>
      </c>
      <c r="T3214" t="str">
        <f t="shared" si="1"/>
        <v/>
      </c>
      <c r="U3214" t="str">
        <f t="shared" si="2"/>
        <v/>
      </c>
      <c r="V3214" t="str">
        <f>IF(OR(U3214="",U3214="ERRO_CHAVE"),"",IFERROR(MATCH(U3214,Fornecedores!$AF$1:$AF$6631,0),""))</f>
        <v/>
      </c>
      <c r="W3214" t="str">
        <f t="shared" si="3"/>
        <v/>
      </c>
      <c r="X3214" s="4" t="str">
        <f>IF(V3214="","",INDEX(Fornecedores!$X$1:$X$6631,V3214))</f>
        <v/>
      </c>
      <c r="Y3214" s="4" t="str">
        <f t="shared" si="4"/>
        <v/>
      </c>
    </row>
    <row r="3215" spans="19:25">
      <c r="S3215" t="str">
        <f t="shared" si="0"/>
        <v/>
      </c>
      <c r="T3215" t="str">
        <f t="shared" si="1"/>
        <v/>
      </c>
      <c r="U3215" t="str">
        <f t="shared" si="2"/>
        <v/>
      </c>
      <c r="V3215" t="str">
        <f>IF(OR(U3215="",U3215="ERRO_CHAVE"),"",IFERROR(MATCH(U3215,Fornecedores!$AF$1:$AF$6631,0),""))</f>
        <v/>
      </c>
      <c r="W3215" t="str">
        <f t="shared" si="3"/>
        <v/>
      </c>
      <c r="X3215" s="4" t="str">
        <f>IF(V3215="","",INDEX(Fornecedores!$X$1:$X$6631,V3215))</f>
        <v/>
      </c>
      <c r="Y3215" s="4" t="str">
        <f t="shared" si="4"/>
        <v/>
      </c>
    </row>
    <row r="3216" spans="19:25">
      <c r="S3216" t="str">
        <f t="shared" si="0"/>
        <v/>
      </c>
      <c r="T3216" t="str">
        <f t="shared" si="1"/>
        <v/>
      </c>
      <c r="U3216" t="str">
        <f t="shared" si="2"/>
        <v/>
      </c>
      <c r="V3216" t="str">
        <f>IF(OR(U3216="",U3216="ERRO_CHAVE"),"",IFERROR(MATCH(U3216,Fornecedores!$AF$1:$AF$6631,0),""))</f>
        <v/>
      </c>
      <c r="W3216" t="str">
        <f t="shared" si="3"/>
        <v/>
      </c>
      <c r="X3216" s="4" t="str">
        <f>IF(V3216="","",INDEX(Fornecedores!$X$1:$X$6631,V3216))</f>
        <v/>
      </c>
      <c r="Y3216" s="4" t="str">
        <f t="shared" si="4"/>
        <v/>
      </c>
    </row>
    <row r="3217" spans="19:25">
      <c r="S3217" t="str">
        <f t="shared" si="0"/>
        <v/>
      </c>
      <c r="T3217" t="str">
        <f t="shared" si="1"/>
        <v/>
      </c>
      <c r="U3217" t="str">
        <f t="shared" si="2"/>
        <v/>
      </c>
      <c r="V3217" t="str">
        <f>IF(OR(U3217="",U3217="ERRO_CHAVE"),"",IFERROR(MATCH(U3217,Fornecedores!$AF$1:$AF$6631,0),""))</f>
        <v/>
      </c>
      <c r="W3217" t="str">
        <f t="shared" si="3"/>
        <v/>
      </c>
      <c r="X3217" s="4" t="str">
        <f>IF(V3217="","",INDEX(Fornecedores!$X$1:$X$6631,V3217))</f>
        <v/>
      </c>
      <c r="Y3217" s="4" t="str">
        <f t="shared" si="4"/>
        <v/>
      </c>
    </row>
    <row r="3218" spans="19:25">
      <c r="S3218" t="str">
        <f t="shared" si="0"/>
        <v/>
      </c>
      <c r="T3218" t="str">
        <f t="shared" si="1"/>
        <v/>
      </c>
      <c r="U3218" t="str">
        <f t="shared" si="2"/>
        <v/>
      </c>
      <c r="V3218" t="str">
        <f>IF(OR(U3218="",U3218="ERRO_CHAVE"),"",IFERROR(MATCH(U3218,Fornecedores!$AF$1:$AF$6631,0),""))</f>
        <v/>
      </c>
      <c r="W3218" t="str">
        <f t="shared" si="3"/>
        <v/>
      </c>
      <c r="X3218" s="4" t="str">
        <f>IF(V3218="","",INDEX(Fornecedores!$X$1:$X$6631,V3218))</f>
        <v/>
      </c>
      <c r="Y3218" s="4" t="str">
        <f t="shared" si="4"/>
        <v/>
      </c>
    </row>
    <row r="3219" spans="19:25">
      <c r="S3219" t="str">
        <f t="shared" si="0"/>
        <v/>
      </c>
      <c r="T3219" t="str">
        <f t="shared" si="1"/>
        <v/>
      </c>
      <c r="U3219" t="str">
        <f t="shared" si="2"/>
        <v/>
      </c>
      <c r="V3219" t="str">
        <f>IF(OR(U3219="",U3219="ERRO_CHAVE"),"",IFERROR(MATCH(U3219,Fornecedores!$AF$1:$AF$6631,0),""))</f>
        <v/>
      </c>
      <c r="W3219" t="str">
        <f t="shared" si="3"/>
        <v/>
      </c>
      <c r="X3219" s="4" t="str">
        <f>IF(V3219="","",INDEX(Fornecedores!$X$1:$X$6631,V3219))</f>
        <v/>
      </c>
      <c r="Y3219" s="4" t="str">
        <f t="shared" si="4"/>
        <v/>
      </c>
    </row>
    <row r="3220" spans="19:25">
      <c r="S3220" t="str">
        <f t="shared" si="0"/>
        <v/>
      </c>
      <c r="T3220" t="str">
        <f t="shared" si="1"/>
        <v/>
      </c>
      <c r="U3220" t="str">
        <f t="shared" si="2"/>
        <v/>
      </c>
      <c r="V3220" t="str">
        <f>IF(OR(U3220="",U3220="ERRO_CHAVE"),"",IFERROR(MATCH(U3220,Fornecedores!$AF$1:$AF$6631,0),""))</f>
        <v/>
      </c>
      <c r="W3220" t="str">
        <f t="shared" si="3"/>
        <v/>
      </c>
      <c r="X3220" s="4" t="str">
        <f>IF(V3220="","",INDEX(Fornecedores!$X$1:$X$6631,V3220))</f>
        <v/>
      </c>
      <c r="Y3220" s="4" t="str">
        <f t="shared" si="4"/>
        <v/>
      </c>
    </row>
    <row r="3221" spans="19:25">
      <c r="S3221" t="str">
        <f t="shared" si="0"/>
        <v/>
      </c>
      <c r="T3221" t="str">
        <f t="shared" si="1"/>
        <v/>
      </c>
      <c r="U3221" t="str">
        <f t="shared" si="2"/>
        <v/>
      </c>
      <c r="V3221" t="str">
        <f>IF(OR(U3221="",U3221="ERRO_CHAVE"),"",IFERROR(MATCH(U3221,Fornecedores!$AF$1:$AF$6631,0),""))</f>
        <v/>
      </c>
      <c r="W3221" t="str">
        <f t="shared" si="3"/>
        <v/>
      </c>
      <c r="X3221" s="4" t="str">
        <f>IF(V3221="","",INDEX(Fornecedores!$X$1:$X$6631,V3221))</f>
        <v/>
      </c>
      <c r="Y3221" s="4" t="str">
        <f t="shared" si="4"/>
        <v/>
      </c>
    </row>
    <row r="3222" spans="19:25">
      <c r="S3222" t="str">
        <f t="shared" si="0"/>
        <v/>
      </c>
      <c r="T3222" t="str">
        <f t="shared" si="1"/>
        <v/>
      </c>
      <c r="U3222" t="str">
        <f t="shared" si="2"/>
        <v/>
      </c>
      <c r="V3222" t="str">
        <f>IF(OR(U3222="",U3222="ERRO_CHAVE"),"",IFERROR(MATCH(U3222,Fornecedores!$AF$1:$AF$6631,0),""))</f>
        <v/>
      </c>
      <c r="W3222" t="str">
        <f t="shared" si="3"/>
        <v/>
      </c>
      <c r="X3222" s="4" t="str">
        <f>IF(V3222="","",INDEX(Fornecedores!$X$1:$X$6631,V3222))</f>
        <v/>
      </c>
      <c r="Y3222" s="4" t="str">
        <f t="shared" si="4"/>
        <v/>
      </c>
    </row>
    <row r="3223" spans="19:25">
      <c r="S3223" t="str">
        <f t="shared" si="0"/>
        <v/>
      </c>
      <c r="T3223" t="str">
        <f t="shared" si="1"/>
        <v/>
      </c>
      <c r="U3223" t="str">
        <f t="shared" si="2"/>
        <v/>
      </c>
      <c r="V3223" t="str">
        <f>IF(OR(U3223="",U3223="ERRO_CHAVE"),"",IFERROR(MATCH(U3223,Fornecedores!$AF$1:$AF$6631,0),""))</f>
        <v/>
      </c>
      <c r="W3223" t="str">
        <f t="shared" si="3"/>
        <v/>
      </c>
      <c r="X3223" s="4" t="str">
        <f>IF(V3223="","",INDEX(Fornecedores!$X$1:$X$6631,V3223))</f>
        <v/>
      </c>
      <c r="Y3223" s="4" t="str">
        <f t="shared" si="4"/>
        <v/>
      </c>
    </row>
    <row r="3224" spans="19:25">
      <c r="S3224" t="str">
        <f t="shared" si="0"/>
        <v/>
      </c>
      <c r="T3224" t="str">
        <f t="shared" si="1"/>
        <v/>
      </c>
      <c r="U3224" t="str">
        <f t="shared" si="2"/>
        <v/>
      </c>
      <c r="V3224" t="str">
        <f>IF(OR(U3224="",U3224="ERRO_CHAVE"),"",IFERROR(MATCH(U3224,Fornecedores!$AF$1:$AF$6631,0),""))</f>
        <v/>
      </c>
      <c r="W3224" t="str">
        <f t="shared" si="3"/>
        <v/>
      </c>
      <c r="X3224" s="4" t="str">
        <f>IF(V3224="","",INDEX(Fornecedores!$X$1:$X$6631,V3224))</f>
        <v/>
      </c>
      <c r="Y3224" s="4" t="str">
        <f t="shared" si="4"/>
        <v/>
      </c>
    </row>
    <row r="3225" spans="19:25">
      <c r="S3225" t="str">
        <f t="shared" si="0"/>
        <v/>
      </c>
      <c r="T3225" t="str">
        <f t="shared" si="1"/>
        <v/>
      </c>
      <c r="U3225" t="str">
        <f t="shared" si="2"/>
        <v/>
      </c>
      <c r="V3225" t="str">
        <f>IF(OR(U3225="",U3225="ERRO_CHAVE"),"",IFERROR(MATCH(U3225,Fornecedores!$AF$1:$AF$6631,0),""))</f>
        <v/>
      </c>
      <c r="W3225" t="str">
        <f t="shared" si="3"/>
        <v/>
      </c>
      <c r="X3225" s="4" t="str">
        <f>IF(V3225="","",INDEX(Fornecedores!$X$1:$X$6631,V3225))</f>
        <v/>
      </c>
      <c r="Y3225" s="4" t="str">
        <f t="shared" si="4"/>
        <v/>
      </c>
    </row>
    <row r="3226" spans="19:25">
      <c r="S3226" t="str">
        <f t="shared" si="0"/>
        <v/>
      </c>
      <c r="T3226" t="str">
        <f t="shared" si="1"/>
        <v/>
      </c>
      <c r="U3226" t="str">
        <f t="shared" si="2"/>
        <v/>
      </c>
      <c r="V3226" t="str">
        <f>IF(OR(U3226="",U3226="ERRO_CHAVE"),"",IFERROR(MATCH(U3226,Fornecedores!$AF$1:$AF$6631,0),""))</f>
        <v/>
      </c>
      <c r="W3226" t="str">
        <f t="shared" si="3"/>
        <v/>
      </c>
      <c r="X3226" s="4" t="str">
        <f>IF(V3226="","",INDEX(Fornecedores!$X$1:$X$6631,V3226))</f>
        <v/>
      </c>
      <c r="Y3226" s="4" t="str">
        <f t="shared" si="4"/>
        <v/>
      </c>
    </row>
    <row r="3227" spans="19:25">
      <c r="S3227" t="str">
        <f t="shared" si="0"/>
        <v/>
      </c>
      <c r="T3227" t="str">
        <f t="shared" si="1"/>
        <v/>
      </c>
      <c r="U3227" t="str">
        <f t="shared" si="2"/>
        <v/>
      </c>
      <c r="V3227" t="str">
        <f>IF(OR(U3227="",U3227="ERRO_CHAVE"),"",IFERROR(MATCH(U3227,Fornecedores!$AF$1:$AF$6631,0),""))</f>
        <v/>
      </c>
      <c r="W3227" t="str">
        <f t="shared" si="3"/>
        <v/>
      </c>
      <c r="X3227" s="4" t="str">
        <f>IF(V3227="","",INDEX(Fornecedores!$X$1:$X$6631,V3227))</f>
        <v/>
      </c>
      <c r="Y3227" s="4" t="str">
        <f t="shared" si="4"/>
        <v/>
      </c>
    </row>
    <row r="3228" spans="19:25">
      <c r="S3228" t="str">
        <f t="shared" si="0"/>
        <v/>
      </c>
      <c r="T3228" t="str">
        <f t="shared" si="1"/>
        <v/>
      </c>
      <c r="U3228" t="str">
        <f t="shared" si="2"/>
        <v/>
      </c>
      <c r="V3228" t="str">
        <f>IF(OR(U3228="",U3228="ERRO_CHAVE"),"",IFERROR(MATCH(U3228,Fornecedores!$AF$1:$AF$6631,0),""))</f>
        <v/>
      </c>
      <c r="W3228" t="str">
        <f t="shared" si="3"/>
        <v/>
      </c>
      <c r="X3228" s="4" t="str">
        <f>IF(V3228="","",INDEX(Fornecedores!$X$1:$X$6631,V3228))</f>
        <v/>
      </c>
      <c r="Y3228" s="4" t="str">
        <f t="shared" si="4"/>
        <v/>
      </c>
    </row>
    <row r="3229" spans="19:25">
      <c r="S3229" t="str">
        <f t="shared" si="0"/>
        <v/>
      </c>
      <c r="T3229" t="str">
        <f t="shared" si="1"/>
        <v/>
      </c>
      <c r="U3229" t="str">
        <f t="shared" si="2"/>
        <v/>
      </c>
      <c r="V3229" t="str">
        <f>IF(OR(U3229="",U3229="ERRO_CHAVE"),"",IFERROR(MATCH(U3229,Fornecedores!$AF$1:$AF$6631,0),""))</f>
        <v/>
      </c>
      <c r="W3229" t="str">
        <f t="shared" si="3"/>
        <v/>
      </c>
      <c r="X3229" s="4" t="str">
        <f>IF(V3229="","",INDEX(Fornecedores!$X$1:$X$6631,V3229))</f>
        <v/>
      </c>
      <c r="Y3229" s="4" t="str">
        <f t="shared" si="4"/>
        <v/>
      </c>
    </row>
    <row r="3230" spans="19:25">
      <c r="S3230" t="str">
        <f t="shared" si="0"/>
        <v/>
      </c>
      <c r="T3230" t="str">
        <f t="shared" si="1"/>
        <v/>
      </c>
      <c r="U3230" t="str">
        <f t="shared" si="2"/>
        <v/>
      </c>
      <c r="V3230" t="str">
        <f>IF(OR(U3230="",U3230="ERRO_CHAVE"),"",IFERROR(MATCH(U3230,Fornecedores!$AF$1:$AF$6631,0),""))</f>
        <v/>
      </c>
      <c r="W3230" t="str">
        <f t="shared" si="3"/>
        <v/>
      </c>
      <c r="X3230" s="4" t="str">
        <f>IF(V3230="","",INDEX(Fornecedores!$X$1:$X$6631,V3230))</f>
        <v/>
      </c>
      <c r="Y3230" s="4" t="str">
        <f t="shared" si="4"/>
        <v/>
      </c>
    </row>
    <row r="3231" spans="19:25">
      <c r="S3231" t="str">
        <f t="shared" si="0"/>
        <v/>
      </c>
      <c r="T3231" t="str">
        <f t="shared" si="1"/>
        <v/>
      </c>
      <c r="U3231" t="str">
        <f t="shared" si="2"/>
        <v/>
      </c>
      <c r="V3231" t="str">
        <f>IF(OR(U3231="",U3231="ERRO_CHAVE"),"",IFERROR(MATCH(U3231,Fornecedores!$AF$1:$AF$6631,0),""))</f>
        <v/>
      </c>
      <c r="W3231" t="str">
        <f t="shared" si="3"/>
        <v/>
      </c>
      <c r="X3231" s="4" t="str">
        <f>IF(V3231="","",INDEX(Fornecedores!$X$1:$X$6631,V3231))</f>
        <v/>
      </c>
      <c r="Y3231" s="4" t="str">
        <f t="shared" si="4"/>
        <v/>
      </c>
    </row>
    <row r="3232" spans="19:25">
      <c r="S3232" t="str">
        <f t="shared" si="0"/>
        <v/>
      </c>
      <c r="T3232" t="str">
        <f t="shared" si="1"/>
        <v/>
      </c>
      <c r="U3232" t="str">
        <f t="shared" si="2"/>
        <v/>
      </c>
      <c r="V3232" t="str">
        <f>IF(OR(U3232="",U3232="ERRO_CHAVE"),"",IFERROR(MATCH(U3232,Fornecedores!$AF$1:$AF$6631,0),""))</f>
        <v/>
      </c>
      <c r="W3232" t="str">
        <f t="shared" si="3"/>
        <v/>
      </c>
      <c r="X3232" s="4" t="str">
        <f>IF(V3232="","",INDEX(Fornecedores!$X$1:$X$6631,V3232))</f>
        <v/>
      </c>
      <c r="Y3232" s="4" t="str">
        <f t="shared" si="4"/>
        <v/>
      </c>
    </row>
    <row r="3233" spans="19:25">
      <c r="S3233" t="str">
        <f t="shared" si="0"/>
        <v/>
      </c>
      <c r="T3233" t="str">
        <f t="shared" si="1"/>
        <v/>
      </c>
      <c r="U3233" t="str">
        <f t="shared" si="2"/>
        <v/>
      </c>
      <c r="V3233" t="str">
        <f>IF(OR(U3233="",U3233="ERRO_CHAVE"),"",IFERROR(MATCH(U3233,Fornecedores!$AF$1:$AF$6631,0),""))</f>
        <v/>
      </c>
      <c r="W3233" t="str">
        <f t="shared" si="3"/>
        <v/>
      </c>
      <c r="X3233" s="4" t="str">
        <f>IF(V3233="","",INDEX(Fornecedores!$X$1:$X$6631,V3233))</f>
        <v/>
      </c>
      <c r="Y3233" s="4" t="str">
        <f t="shared" si="4"/>
        <v/>
      </c>
    </row>
    <row r="3234" spans="19:25">
      <c r="S3234" t="str">
        <f t="shared" si="0"/>
        <v/>
      </c>
      <c r="T3234" t="str">
        <f t="shared" si="1"/>
        <v/>
      </c>
      <c r="U3234" t="str">
        <f t="shared" si="2"/>
        <v/>
      </c>
      <c r="V3234" t="str">
        <f>IF(OR(U3234="",U3234="ERRO_CHAVE"),"",IFERROR(MATCH(U3234,Fornecedores!$AF$1:$AF$6631,0),""))</f>
        <v/>
      </c>
      <c r="W3234" t="str">
        <f t="shared" si="3"/>
        <v/>
      </c>
      <c r="X3234" s="4" t="str">
        <f>IF(V3234="","",INDEX(Fornecedores!$X$1:$X$6631,V3234))</f>
        <v/>
      </c>
      <c r="Y3234" s="4" t="str">
        <f t="shared" si="4"/>
        <v/>
      </c>
    </row>
    <row r="3235" spans="19:25">
      <c r="S3235" t="str">
        <f t="shared" si="0"/>
        <v/>
      </c>
      <c r="T3235" t="str">
        <f t="shared" si="1"/>
        <v/>
      </c>
      <c r="U3235" t="str">
        <f t="shared" si="2"/>
        <v/>
      </c>
      <c r="V3235" t="str">
        <f>IF(OR(U3235="",U3235="ERRO_CHAVE"),"",IFERROR(MATCH(U3235,Fornecedores!$AF$1:$AF$6631,0),""))</f>
        <v/>
      </c>
      <c r="W3235" t="str">
        <f t="shared" si="3"/>
        <v/>
      </c>
      <c r="X3235" s="4" t="str">
        <f>IF(V3235="","",INDEX(Fornecedores!$X$1:$X$6631,V3235))</f>
        <v/>
      </c>
      <c r="Y3235" s="4" t="str">
        <f t="shared" si="4"/>
        <v/>
      </c>
    </row>
    <row r="3236" spans="19:25">
      <c r="S3236" t="str">
        <f t="shared" si="0"/>
        <v/>
      </c>
      <c r="T3236" t="str">
        <f t="shared" si="1"/>
        <v/>
      </c>
      <c r="U3236" t="str">
        <f t="shared" si="2"/>
        <v/>
      </c>
      <c r="V3236" t="str">
        <f>IF(OR(U3236="",U3236="ERRO_CHAVE"),"",IFERROR(MATCH(U3236,Fornecedores!$AF$1:$AF$6631,0),""))</f>
        <v/>
      </c>
      <c r="W3236" t="str">
        <f t="shared" si="3"/>
        <v/>
      </c>
      <c r="X3236" s="4" t="str">
        <f>IF(V3236="","",INDEX(Fornecedores!$X$1:$X$6631,V3236))</f>
        <v/>
      </c>
      <c r="Y3236" s="4" t="str">
        <f t="shared" si="4"/>
        <v/>
      </c>
    </row>
    <row r="3237" spans="19:25">
      <c r="S3237" t="str">
        <f t="shared" si="0"/>
        <v/>
      </c>
      <c r="T3237" t="str">
        <f t="shared" si="1"/>
        <v/>
      </c>
      <c r="U3237" t="str">
        <f t="shared" si="2"/>
        <v/>
      </c>
      <c r="V3237" t="str">
        <f>IF(OR(U3237="",U3237="ERRO_CHAVE"),"",IFERROR(MATCH(U3237,Fornecedores!$AF$1:$AF$6631,0),""))</f>
        <v/>
      </c>
      <c r="W3237" t="str">
        <f t="shared" si="3"/>
        <v/>
      </c>
      <c r="X3237" s="4" t="str">
        <f>IF(V3237="","",INDEX(Fornecedores!$X$1:$X$6631,V3237))</f>
        <v/>
      </c>
      <c r="Y3237" s="4" t="str">
        <f t="shared" si="4"/>
        <v/>
      </c>
    </row>
    <row r="3238" spans="19:25">
      <c r="S3238" t="str">
        <f t="shared" si="0"/>
        <v/>
      </c>
      <c r="T3238" t="str">
        <f t="shared" si="1"/>
        <v/>
      </c>
      <c r="U3238" t="str">
        <f t="shared" si="2"/>
        <v/>
      </c>
      <c r="V3238" t="str">
        <f>IF(OR(U3238="",U3238="ERRO_CHAVE"),"",IFERROR(MATCH(U3238,Fornecedores!$AF$1:$AF$6631,0),""))</f>
        <v/>
      </c>
      <c r="W3238" t="str">
        <f t="shared" si="3"/>
        <v/>
      </c>
      <c r="X3238" s="4" t="str">
        <f>IF(V3238="","",INDEX(Fornecedores!$X$1:$X$6631,V3238))</f>
        <v/>
      </c>
      <c r="Y3238" s="4" t="str">
        <f t="shared" si="4"/>
        <v/>
      </c>
    </row>
    <row r="3239" spans="19:25">
      <c r="S3239" t="str">
        <f t="shared" si="0"/>
        <v/>
      </c>
      <c r="T3239" t="str">
        <f t="shared" si="1"/>
        <v/>
      </c>
      <c r="U3239" t="str">
        <f t="shared" si="2"/>
        <v/>
      </c>
      <c r="V3239" t="str">
        <f>IF(OR(U3239="",U3239="ERRO_CHAVE"),"",IFERROR(MATCH(U3239,Fornecedores!$AF$1:$AF$6631,0),""))</f>
        <v/>
      </c>
      <c r="W3239" t="str">
        <f t="shared" si="3"/>
        <v/>
      </c>
      <c r="X3239" s="4" t="str">
        <f>IF(V3239="","",INDEX(Fornecedores!$X$1:$X$6631,V3239))</f>
        <v/>
      </c>
      <c r="Y3239" s="4" t="str">
        <f t="shared" si="4"/>
        <v/>
      </c>
    </row>
    <row r="3240" spans="19:25">
      <c r="S3240" t="str">
        <f t="shared" si="0"/>
        <v/>
      </c>
      <c r="T3240" t="str">
        <f t="shared" si="1"/>
        <v/>
      </c>
      <c r="U3240" t="str">
        <f t="shared" si="2"/>
        <v/>
      </c>
      <c r="V3240" t="str">
        <f>IF(OR(U3240="",U3240="ERRO_CHAVE"),"",IFERROR(MATCH(U3240,Fornecedores!$AF$1:$AF$6631,0),""))</f>
        <v/>
      </c>
      <c r="W3240" t="str">
        <f t="shared" si="3"/>
        <v/>
      </c>
      <c r="X3240" s="4" t="str">
        <f>IF(V3240="","",INDEX(Fornecedores!$X$1:$X$6631,V3240))</f>
        <v/>
      </c>
      <c r="Y3240" s="4" t="str">
        <f t="shared" si="4"/>
        <v/>
      </c>
    </row>
    <row r="3241" spans="19:25">
      <c r="S3241" t="str">
        <f t="shared" si="0"/>
        <v/>
      </c>
      <c r="T3241" t="str">
        <f t="shared" si="1"/>
        <v/>
      </c>
      <c r="U3241" t="str">
        <f t="shared" si="2"/>
        <v/>
      </c>
      <c r="V3241" t="str">
        <f>IF(OR(U3241="",U3241="ERRO_CHAVE"),"",IFERROR(MATCH(U3241,Fornecedores!$AF$1:$AF$6631,0),""))</f>
        <v/>
      </c>
      <c r="W3241" t="str">
        <f t="shared" si="3"/>
        <v/>
      </c>
      <c r="X3241" s="4" t="str">
        <f>IF(V3241="","",INDEX(Fornecedores!$X$1:$X$6631,V3241))</f>
        <v/>
      </c>
      <c r="Y3241" s="4" t="str">
        <f t="shared" si="4"/>
        <v/>
      </c>
    </row>
    <row r="3242" spans="19:25">
      <c r="S3242" t="str">
        <f t="shared" si="0"/>
        <v/>
      </c>
      <c r="T3242" t="str">
        <f t="shared" si="1"/>
        <v/>
      </c>
      <c r="U3242" t="str">
        <f t="shared" si="2"/>
        <v/>
      </c>
      <c r="V3242" t="str">
        <f>IF(OR(U3242="",U3242="ERRO_CHAVE"),"",IFERROR(MATCH(U3242,Fornecedores!$AF$1:$AF$6631,0),""))</f>
        <v/>
      </c>
      <c r="W3242" t="str">
        <f t="shared" si="3"/>
        <v/>
      </c>
      <c r="X3242" s="4" t="str">
        <f>IF(V3242="","",INDEX(Fornecedores!$X$1:$X$6631,V3242))</f>
        <v/>
      </c>
      <c r="Y3242" s="4" t="str">
        <f t="shared" si="4"/>
        <v/>
      </c>
    </row>
    <row r="3243" spans="19:25">
      <c r="S3243" t="str">
        <f t="shared" si="0"/>
        <v/>
      </c>
      <c r="T3243" t="str">
        <f t="shared" si="1"/>
        <v/>
      </c>
      <c r="U3243" t="str">
        <f t="shared" si="2"/>
        <v/>
      </c>
      <c r="V3243" t="str">
        <f>IF(OR(U3243="",U3243="ERRO_CHAVE"),"",IFERROR(MATCH(U3243,Fornecedores!$AF$1:$AF$6631,0),""))</f>
        <v/>
      </c>
      <c r="W3243" t="str">
        <f t="shared" si="3"/>
        <v/>
      </c>
      <c r="X3243" s="4" t="str">
        <f>IF(V3243="","",INDEX(Fornecedores!$X$1:$X$6631,V3243))</f>
        <v/>
      </c>
      <c r="Y3243" s="4" t="str">
        <f t="shared" si="4"/>
        <v/>
      </c>
    </row>
    <row r="3244" spans="19:25">
      <c r="S3244" t="str">
        <f t="shared" si="0"/>
        <v/>
      </c>
      <c r="T3244" t="str">
        <f t="shared" si="1"/>
        <v/>
      </c>
      <c r="U3244" t="str">
        <f t="shared" si="2"/>
        <v/>
      </c>
      <c r="V3244" t="str">
        <f>IF(OR(U3244="",U3244="ERRO_CHAVE"),"",IFERROR(MATCH(U3244,Fornecedores!$AF$1:$AF$6631,0),""))</f>
        <v/>
      </c>
      <c r="W3244" t="str">
        <f t="shared" si="3"/>
        <v/>
      </c>
      <c r="X3244" s="4" t="str">
        <f>IF(V3244="","",INDEX(Fornecedores!$X$1:$X$6631,V3244))</f>
        <v/>
      </c>
      <c r="Y3244" s="4" t="str">
        <f t="shared" si="4"/>
        <v/>
      </c>
    </row>
    <row r="3245" spans="19:25">
      <c r="S3245" t="str">
        <f t="shared" si="0"/>
        <v/>
      </c>
      <c r="T3245" t="str">
        <f t="shared" si="1"/>
        <v/>
      </c>
      <c r="U3245" t="str">
        <f t="shared" si="2"/>
        <v/>
      </c>
      <c r="V3245" t="str">
        <f>IF(OR(U3245="",U3245="ERRO_CHAVE"),"",IFERROR(MATCH(U3245,Fornecedores!$AF$1:$AF$6631,0),""))</f>
        <v/>
      </c>
      <c r="W3245" t="str">
        <f t="shared" si="3"/>
        <v/>
      </c>
      <c r="X3245" s="4" t="str">
        <f>IF(V3245="","",INDEX(Fornecedores!$X$1:$X$6631,V3245))</f>
        <v/>
      </c>
      <c r="Y3245" s="4" t="str">
        <f t="shared" si="4"/>
        <v/>
      </c>
    </row>
    <row r="3246" spans="19:25">
      <c r="S3246" t="str">
        <f t="shared" si="0"/>
        <v/>
      </c>
      <c r="T3246" t="str">
        <f t="shared" si="1"/>
        <v/>
      </c>
      <c r="U3246" t="str">
        <f t="shared" si="2"/>
        <v/>
      </c>
      <c r="V3246" t="str">
        <f>IF(OR(U3246="",U3246="ERRO_CHAVE"),"",IFERROR(MATCH(U3246,Fornecedores!$AF$1:$AF$6631,0),""))</f>
        <v/>
      </c>
      <c r="W3246" t="str">
        <f t="shared" si="3"/>
        <v/>
      </c>
      <c r="X3246" s="4" t="str">
        <f>IF(V3246="","",INDEX(Fornecedores!$X$1:$X$6631,V3246))</f>
        <v/>
      </c>
      <c r="Y3246" s="4" t="str">
        <f t="shared" si="4"/>
        <v/>
      </c>
    </row>
    <row r="3247" spans="19:25">
      <c r="S3247" t="str">
        <f t="shared" si="0"/>
        <v/>
      </c>
      <c r="T3247" t="str">
        <f t="shared" si="1"/>
        <v/>
      </c>
      <c r="U3247" t="str">
        <f t="shared" si="2"/>
        <v/>
      </c>
      <c r="V3247" t="str">
        <f>IF(OR(U3247="",U3247="ERRO_CHAVE"),"",IFERROR(MATCH(U3247,Fornecedores!$AF$1:$AF$6631,0),""))</f>
        <v/>
      </c>
      <c r="W3247" t="str">
        <f t="shared" si="3"/>
        <v/>
      </c>
      <c r="X3247" s="4" t="str">
        <f>IF(V3247="","",INDEX(Fornecedores!$X$1:$X$6631,V3247))</f>
        <v/>
      </c>
      <c r="Y3247" s="4" t="str">
        <f t="shared" si="4"/>
        <v/>
      </c>
    </row>
    <row r="3248" spans="19:25">
      <c r="S3248" t="str">
        <f t="shared" si="0"/>
        <v/>
      </c>
      <c r="T3248" t="str">
        <f t="shared" si="1"/>
        <v/>
      </c>
      <c r="U3248" t="str">
        <f t="shared" si="2"/>
        <v/>
      </c>
      <c r="V3248" t="str">
        <f>IF(OR(U3248="",U3248="ERRO_CHAVE"),"",IFERROR(MATCH(U3248,Fornecedores!$AF$1:$AF$6631,0),""))</f>
        <v/>
      </c>
      <c r="W3248" t="str">
        <f t="shared" si="3"/>
        <v/>
      </c>
      <c r="X3248" s="4" t="str">
        <f>IF(V3248="","",INDEX(Fornecedores!$X$1:$X$6631,V3248))</f>
        <v/>
      </c>
      <c r="Y3248" s="4" t="str">
        <f t="shared" si="4"/>
        <v/>
      </c>
    </row>
    <row r="3249" spans="19:25">
      <c r="S3249" t="str">
        <f t="shared" si="0"/>
        <v/>
      </c>
      <c r="T3249" t="str">
        <f t="shared" si="1"/>
        <v/>
      </c>
      <c r="U3249" t="str">
        <f t="shared" si="2"/>
        <v/>
      </c>
      <c r="V3249" t="str">
        <f>IF(OR(U3249="",U3249="ERRO_CHAVE"),"",IFERROR(MATCH(U3249,Fornecedores!$AF$1:$AF$6631,0),""))</f>
        <v/>
      </c>
      <c r="W3249" t="str">
        <f t="shared" si="3"/>
        <v/>
      </c>
      <c r="X3249" s="4" t="str">
        <f>IF(V3249="","",INDEX(Fornecedores!$X$1:$X$6631,V3249))</f>
        <v/>
      </c>
      <c r="Y3249" s="4" t="str">
        <f t="shared" si="4"/>
        <v/>
      </c>
    </row>
    <row r="3250" spans="19:25">
      <c r="S3250" t="str">
        <f t="shared" si="0"/>
        <v/>
      </c>
      <c r="T3250" t="str">
        <f t="shared" si="1"/>
        <v/>
      </c>
      <c r="U3250" t="str">
        <f t="shared" si="2"/>
        <v/>
      </c>
      <c r="V3250" t="str">
        <f>IF(OR(U3250="",U3250="ERRO_CHAVE"),"",IFERROR(MATCH(U3250,Fornecedores!$AF$1:$AF$6631,0),""))</f>
        <v/>
      </c>
      <c r="W3250" t="str">
        <f t="shared" si="3"/>
        <v/>
      </c>
      <c r="X3250" s="4" t="str">
        <f>IF(V3250="","",INDEX(Fornecedores!$X$1:$X$6631,V3250))</f>
        <v/>
      </c>
      <c r="Y3250" s="4" t="str">
        <f t="shared" si="4"/>
        <v/>
      </c>
    </row>
    <row r="3251" spans="19:25">
      <c r="S3251" t="str">
        <f t="shared" si="0"/>
        <v/>
      </c>
      <c r="T3251" t="str">
        <f t="shared" si="1"/>
        <v/>
      </c>
      <c r="U3251" t="str">
        <f t="shared" si="2"/>
        <v/>
      </c>
      <c r="V3251" t="str">
        <f>IF(OR(U3251="",U3251="ERRO_CHAVE"),"",IFERROR(MATCH(U3251,Fornecedores!$AF$1:$AF$6631,0),""))</f>
        <v/>
      </c>
      <c r="W3251" t="str">
        <f t="shared" si="3"/>
        <v/>
      </c>
      <c r="X3251" s="4" t="str">
        <f>IF(V3251="","",INDEX(Fornecedores!$X$1:$X$6631,V3251))</f>
        <v/>
      </c>
      <c r="Y3251" s="4" t="str">
        <f t="shared" si="4"/>
        <v/>
      </c>
    </row>
    <row r="3252" spans="19:25">
      <c r="S3252" t="str">
        <f t="shared" si="0"/>
        <v/>
      </c>
      <c r="T3252" t="str">
        <f t="shared" si="1"/>
        <v/>
      </c>
      <c r="U3252" t="str">
        <f t="shared" si="2"/>
        <v/>
      </c>
      <c r="V3252" t="str">
        <f>IF(OR(U3252="",U3252="ERRO_CHAVE"),"",IFERROR(MATCH(U3252,Fornecedores!$AF$1:$AF$6631,0),""))</f>
        <v/>
      </c>
      <c r="W3252" t="str">
        <f t="shared" si="3"/>
        <v/>
      </c>
      <c r="X3252" s="4" t="str">
        <f>IF(V3252="","",INDEX(Fornecedores!$X$1:$X$6631,V3252))</f>
        <v/>
      </c>
      <c r="Y3252" s="4" t="str">
        <f t="shared" si="4"/>
        <v/>
      </c>
    </row>
    <row r="3253" spans="19:25">
      <c r="S3253" t="str">
        <f t="shared" si="0"/>
        <v/>
      </c>
      <c r="T3253" t="str">
        <f t="shared" si="1"/>
        <v/>
      </c>
      <c r="U3253" t="str">
        <f t="shared" si="2"/>
        <v/>
      </c>
      <c r="V3253" t="str">
        <f>IF(OR(U3253="",U3253="ERRO_CHAVE"),"",IFERROR(MATCH(U3253,Fornecedores!$AF$1:$AF$6631,0),""))</f>
        <v/>
      </c>
      <c r="W3253" t="str">
        <f t="shared" si="3"/>
        <v/>
      </c>
      <c r="X3253" s="4" t="str">
        <f>IF(V3253="","",INDEX(Fornecedores!$X$1:$X$6631,V3253))</f>
        <v/>
      </c>
      <c r="Y3253" s="4" t="str">
        <f t="shared" si="4"/>
        <v/>
      </c>
    </row>
    <row r="3254" spans="19:25">
      <c r="S3254" t="str">
        <f t="shared" si="0"/>
        <v/>
      </c>
      <c r="T3254" t="str">
        <f t="shared" si="1"/>
        <v/>
      </c>
      <c r="U3254" t="str">
        <f t="shared" si="2"/>
        <v/>
      </c>
      <c r="V3254" t="str">
        <f>IF(OR(U3254="",U3254="ERRO_CHAVE"),"",IFERROR(MATCH(U3254,Fornecedores!$AF$1:$AF$6631,0),""))</f>
        <v/>
      </c>
      <c r="W3254" t="str">
        <f t="shared" si="3"/>
        <v/>
      </c>
      <c r="X3254" s="4" t="str">
        <f>IF(V3254="","",INDEX(Fornecedores!$X$1:$X$6631,V3254))</f>
        <v/>
      </c>
      <c r="Y3254" s="4" t="str">
        <f t="shared" si="4"/>
        <v/>
      </c>
    </row>
    <row r="3255" spans="19:25">
      <c r="S3255" t="str">
        <f t="shared" si="0"/>
        <v/>
      </c>
      <c r="T3255" t="str">
        <f t="shared" si="1"/>
        <v/>
      </c>
      <c r="U3255" t="str">
        <f t="shared" si="2"/>
        <v/>
      </c>
      <c r="V3255" t="str">
        <f>IF(OR(U3255="",U3255="ERRO_CHAVE"),"",IFERROR(MATCH(U3255,Fornecedores!$AF$1:$AF$6631,0),""))</f>
        <v/>
      </c>
      <c r="W3255" t="str">
        <f t="shared" si="3"/>
        <v/>
      </c>
      <c r="X3255" s="4" t="str">
        <f>IF(V3255="","",INDEX(Fornecedores!$X$1:$X$6631,V3255))</f>
        <v/>
      </c>
      <c r="Y3255" s="4" t="str">
        <f t="shared" si="4"/>
        <v/>
      </c>
    </row>
    <row r="3256" spans="19:25">
      <c r="S3256" t="str">
        <f t="shared" si="0"/>
        <v/>
      </c>
      <c r="T3256" t="str">
        <f t="shared" si="1"/>
        <v/>
      </c>
      <c r="U3256" t="str">
        <f t="shared" si="2"/>
        <v/>
      </c>
      <c r="V3256" t="str">
        <f>IF(OR(U3256="",U3256="ERRO_CHAVE"),"",IFERROR(MATCH(U3256,Fornecedores!$AF$1:$AF$6631,0),""))</f>
        <v/>
      </c>
      <c r="W3256" t="str">
        <f t="shared" si="3"/>
        <v/>
      </c>
      <c r="X3256" s="4" t="str">
        <f>IF(V3256="","",INDEX(Fornecedores!$X$1:$X$6631,V3256))</f>
        <v/>
      </c>
      <c r="Y3256" s="4" t="str">
        <f t="shared" si="4"/>
        <v/>
      </c>
    </row>
    <row r="3257" spans="19:25">
      <c r="S3257" t="str">
        <f t="shared" si="0"/>
        <v/>
      </c>
      <c r="T3257" t="str">
        <f t="shared" si="1"/>
        <v/>
      </c>
      <c r="U3257" t="str">
        <f t="shared" si="2"/>
        <v/>
      </c>
      <c r="V3257" t="str">
        <f>IF(OR(U3257="",U3257="ERRO_CHAVE"),"",IFERROR(MATCH(U3257,Fornecedores!$AF$1:$AF$6631,0),""))</f>
        <v/>
      </c>
      <c r="W3257" t="str">
        <f t="shared" si="3"/>
        <v/>
      </c>
      <c r="X3257" s="4" t="str">
        <f>IF(V3257="","",INDEX(Fornecedores!$X$1:$X$6631,V3257))</f>
        <v/>
      </c>
      <c r="Y3257" s="4" t="str">
        <f t="shared" si="4"/>
        <v/>
      </c>
    </row>
    <row r="3258" spans="19:25">
      <c r="S3258" t="str">
        <f t="shared" si="0"/>
        <v/>
      </c>
      <c r="T3258" t="str">
        <f t="shared" si="1"/>
        <v/>
      </c>
      <c r="U3258" t="str">
        <f t="shared" si="2"/>
        <v/>
      </c>
      <c r="V3258" t="str">
        <f>IF(OR(U3258="",U3258="ERRO_CHAVE"),"",IFERROR(MATCH(U3258,Fornecedores!$AF$1:$AF$6631,0),""))</f>
        <v/>
      </c>
      <c r="W3258" t="str">
        <f t="shared" si="3"/>
        <v/>
      </c>
      <c r="X3258" s="4" t="str">
        <f>IF(V3258="","",INDEX(Fornecedores!$X$1:$X$6631,V3258))</f>
        <v/>
      </c>
      <c r="Y3258" s="4" t="str">
        <f t="shared" si="4"/>
        <v/>
      </c>
    </row>
    <row r="3259" spans="19:25">
      <c r="S3259" t="str">
        <f t="shared" si="0"/>
        <v/>
      </c>
      <c r="T3259" t="str">
        <f t="shared" si="1"/>
        <v/>
      </c>
      <c r="U3259" t="str">
        <f t="shared" si="2"/>
        <v/>
      </c>
      <c r="V3259" t="str">
        <f>IF(OR(U3259="",U3259="ERRO_CHAVE"),"",IFERROR(MATCH(U3259,Fornecedores!$AF$1:$AF$6631,0),""))</f>
        <v/>
      </c>
      <c r="W3259" t="str">
        <f t="shared" si="3"/>
        <v/>
      </c>
      <c r="X3259" s="4" t="str">
        <f>IF(V3259="","",INDEX(Fornecedores!$X$1:$X$6631,V3259))</f>
        <v/>
      </c>
      <c r="Y3259" s="4" t="str">
        <f t="shared" si="4"/>
        <v/>
      </c>
    </row>
    <row r="3260" spans="19:25">
      <c r="S3260" t="str">
        <f t="shared" si="0"/>
        <v/>
      </c>
      <c r="T3260" t="str">
        <f t="shared" si="1"/>
        <v/>
      </c>
      <c r="U3260" t="str">
        <f t="shared" si="2"/>
        <v/>
      </c>
      <c r="V3260" t="str">
        <f>IF(OR(U3260="",U3260="ERRO_CHAVE"),"",IFERROR(MATCH(U3260,Fornecedores!$AF$1:$AF$6631,0),""))</f>
        <v/>
      </c>
      <c r="W3260" t="str">
        <f t="shared" si="3"/>
        <v/>
      </c>
      <c r="X3260" s="4" t="str">
        <f>IF(V3260="","",INDEX(Fornecedores!$X$1:$X$6631,V3260))</f>
        <v/>
      </c>
      <c r="Y3260" s="4" t="str">
        <f t="shared" si="4"/>
        <v/>
      </c>
    </row>
    <row r="3261" spans="19:25">
      <c r="S3261" t="str">
        <f t="shared" si="0"/>
        <v/>
      </c>
      <c r="T3261" t="str">
        <f t="shared" si="1"/>
        <v/>
      </c>
      <c r="U3261" t="str">
        <f t="shared" si="2"/>
        <v/>
      </c>
      <c r="V3261" t="str">
        <f>IF(OR(U3261="",U3261="ERRO_CHAVE"),"",IFERROR(MATCH(U3261,Fornecedores!$AF$1:$AF$6631,0),""))</f>
        <v/>
      </c>
      <c r="W3261" t="str">
        <f t="shared" si="3"/>
        <v/>
      </c>
      <c r="X3261" s="4" t="str">
        <f>IF(V3261="","",INDEX(Fornecedores!$X$1:$X$6631,V3261))</f>
        <v/>
      </c>
      <c r="Y3261" s="4" t="str">
        <f t="shared" si="4"/>
        <v/>
      </c>
    </row>
    <row r="3262" spans="19:25">
      <c r="S3262" t="str">
        <f t="shared" si="0"/>
        <v/>
      </c>
      <c r="T3262" t="str">
        <f t="shared" si="1"/>
        <v/>
      </c>
      <c r="U3262" t="str">
        <f t="shared" si="2"/>
        <v/>
      </c>
      <c r="V3262" t="str">
        <f>IF(OR(U3262="",U3262="ERRO_CHAVE"),"",IFERROR(MATCH(U3262,Fornecedores!$AF$1:$AF$6631,0),""))</f>
        <v/>
      </c>
      <c r="W3262" t="str">
        <f t="shared" si="3"/>
        <v/>
      </c>
      <c r="X3262" s="4" t="str">
        <f>IF(V3262="","",INDEX(Fornecedores!$X$1:$X$6631,V3262))</f>
        <v/>
      </c>
      <c r="Y3262" s="4" t="str">
        <f t="shared" si="4"/>
        <v/>
      </c>
    </row>
    <row r="3263" spans="19:25">
      <c r="S3263" t="str">
        <f t="shared" si="0"/>
        <v/>
      </c>
      <c r="T3263" t="str">
        <f t="shared" si="1"/>
        <v/>
      </c>
      <c r="U3263" t="str">
        <f t="shared" si="2"/>
        <v/>
      </c>
      <c r="V3263" t="str">
        <f>IF(OR(U3263="",U3263="ERRO_CHAVE"),"",IFERROR(MATCH(U3263,Fornecedores!$AF$1:$AF$6631,0),""))</f>
        <v/>
      </c>
      <c r="W3263" t="str">
        <f t="shared" si="3"/>
        <v/>
      </c>
      <c r="X3263" s="4" t="str">
        <f>IF(V3263="","",INDEX(Fornecedores!$X$1:$X$6631,V3263))</f>
        <v/>
      </c>
      <c r="Y3263" s="4" t="str">
        <f t="shared" si="4"/>
        <v/>
      </c>
    </row>
    <row r="3264" spans="19:25">
      <c r="S3264" t="str">
        <f t="shared" si="0"/>
        <v/>
      </c>
      <c r="T3264" t="str">
        <f t="shared" si="1"/>
        <v/>
      </c>
      <c r="U3264" t="str">
        <f t="shared" si="2"/>
        <v/>
      </c>
      <c r="V3264" t="str">
        <f>IF(OR(U3264="",U3264="ERRO_CHAVE"),"",IFERROR(MATCH(U3264,Fornecedores!$AF$1:$AF$6631,0),""))</f>
        <v/>
      </c>
      <c r="W3264" t="str">
        <f t="shared" si="3"/>
        <v/>
      </c>
      <c r="X3264" s="4" t="str">
        <f>IF(V3264="","",INDEX(Fornecedores!$X$1:$X$6631,V3264))</f>
        <v/>
      </c>
      <c r="Y3264" s="4" t="str">
        <f t="shared" si="4"/>
        <v/>
      </c>
    </row>
    <row r="3265" spans="19:25">
      <c r="S3265" t="str">
        <f t="shared" si="0"/>
        <v/>
      </c>
      <c r="T3265" t="str">
        <f t="shared" si="1"/>
        <v/>
      </c>
      <c r="U3265" t="str">
        <f t="shared" si="2"/>
        <v/>
      </c>
      <c r="V3265" t="str">
        <f>IF(OR(U3265="",U3265="ERRO_CHAVE"),"",IFERROR(MATCH(U3265,Fornecedores!$AF$1:$AF$6631,0),""))</f>
        <v/>
      </c>
      <c r="W3265" t="str">
        <f t="shared" si="3"/>
        <v/>
      </c>
      <c r="X3265" s="4" t="str">
        <f>IF(V3265="","",INDEX(Fornecedores!$X$1:$X$6631,V3265))</f>
        <v/>
      </c>
      <c r="Y3265" s="4" t="str">
        <f t="shared" si="4"/>
        <v/>
      </c>
    </row>
    <row r="3266" spans="19:25">
      <c r="S3266" t="str">
        <f t="shared" si="0"/>
        <v/>
      </c>
      <c r="T3266" t="str">
        <f t="shared" si="1"/>
        <v/>
      </c>
      <c r="U3266" t="str">
        <f t="shared" si="2"/>
        <v/>
      </c>
      <c r="V3266" t="str">
        <f>IF(OR(U3266="",U3266="ERRO_CHAVE"),"",IFERROR(MATCH(U3266,Fornecedores!$AF$1:$AF$6631,0),""))</f>
        <v/>
      </c>
      <c r="W3266" t="str">
        <f t="shared" si="3"/>
        <v/>
      </c>
      <c r="X3266" s="4" t="str">
        <f>IF(V3266="","",INDEX(Fornecedores!$X$1:$X$6631,V3266))</f>
        <v/>
      </c>
      <c r="Y3266" s="4" t="str">
        <f t="shared" si="4"/>
        <v/>
      </c>
    </row>
    <row r="3267" spans="19:25">
      <c r="S3267" t="str">
        <f t="shared" si="0"/>
        <v/>
      </c>
      <c r="T3267" t="str">
        <f t="shared" si="1"/>
        <v/>
      </c>
      <c r="U3267" t="str">
        <f t="shared" si="2"/>
        <v/>
      </c>
      <c r="V3267" t="str">
        <f>IF(OR(U3267="",U3267="ERRO_CHAVE"),"",IFERROR(MATCH(U3267,Fornecedores!$AF$1:$AF$6631,0),""))</f>
        <v/>
      </c>
      <c r="W3267" t="str">
        <f t="shared" si="3"/>
        <v/>
      </c>
      <c r="X3267" s="4" t="str">
        <f>IF(V3267="","",INDEX(Fornecedores!$X$1:$X$6631,V3267))</f>
        <v/>
      </c>
      <c r="Y3267" s="4" t="str">
        <f t="shared" si="4"/>
        <v/>
      </c>
    </row>
    <row r="3268" spans="19:25">
      <c r="S3268" t="str">
        <f t="shared" si="0"/>
        <v/>
      </c>
      <c r="T3268" t="str">
        <f t="shared" si="1"/>
        <v/>
      </c>
      <c r="U3268" t="str">
        <f t="shared" si="2"/>
        <v/>
      </c>
      <c r="V3268" t="str">
        <f>IF(OR(U3268="",U3268="ERRO_CHAVE"),"",IFERROR(MATCH(U3268,Fornecedores!$AF$1:$AF$6631,0),""))</f>
        <v/>
      </c>
      <c r="W3268" t="str">
        <f t="shared" si="3"/>
        <v/>
      </c>
      <c r="X3268" s="4" t="str">
        <f>IF(V3268="","",INDEX(Fornecedores!$X$1:$X$6631,V3268))</f>
        <v/>
      </c>
      <c r="Y3268" s="4" t="str">
        <f t="shared" si="4"/>
        <v/>
      </c>
    </row>
    <row r="3269" spans="19:25">
      <c r="S3269" t="str">
        <f t="shared" si="0"/>
        <v/>
      </c>
      <c r="T3269" t="str">
        <f t="shared" si="1"/>
        <v/>
      </c>
      <c r="U3269" t="str">
        <f t="shared" si="2"/>
        <v/>
      </c>
      <c r="V3269" t="str">
        <f>IF(OR(U3269="",U3269="ERRO_CHAVE"),"",IFERROR(MATCH(U3269,Fornecedores!$AF$1:$AF$6631,0),""))</f>
        <v/>
      </c>
      <c r="W3269" t="str">
        <f t="shared" si="3"/>
        <v/>
      </c>
      <c r="X3269" s="4" t="str">
        <f>IF(V3269="","",INDEX(Fornecedores!$X$1:$X$6631,V3269))</f>
        <v/>
      </c>
      <c r="Y3269" s="4" t="str">
        <f t="shared" si="4"/>
        <v/>
      </c>
    </row>
    <row r="3270" spans="19:25">
      <c r="S3270" t="str">
        <f t="shared" si="0"/>
        <v/>
      </c>
      <c r="T3270" t="str">
        <f t="shared" si="1"/>
        <v/>
      </c>
      <c r="U3270" t="str">
        <f t="shared" si="2"/>
        <v/>
      </c>
      <c r="V3270" t="str">
        <f>IF(OR(U3270="",U3270="ERRO_CHAVE"),"",IFERROR(MATCH(U3270,Fornecedores!$AF$1:$AF$6631,0),""))</f>
        <v/>
      </c>
      <c r="W3270" t="str">
        <f t="shared" si="3"/>
        <v/>
      </c>
      <c r="X3270" s="4" t="str">
        <f>IF(V3270="","",INDEX(Fornecedores!$X$1:$X$6631,V3270))</f>
        <v/>
      </c>
      <c r="Y3270" s="4" t="str">
        <f t="shared" si="4"/>
        <v/>
      </c>
    </row>
    <row r="3271" spans="19:25">
      <c r="S3271" t="str">
        <f t="shared" si="0"/>
        <v/>
      </c>
      <c r="T3271" t="str">
        <f t="shared" si="1"/>
        <v/>
      </c>
      <c r="U3271" t="str">
        <f t="shared" si="2"/>
        <v/>
      </c>
      <c r="V3271" t="str">
        <f>IF(OR(U3271="",U3271="ERRO_CHAVE"),"",IFERROR(MATCH(U3271,Fornecedores!$AF$1:$AF$6631,0),""))</f>
        <v/>
      </c>
      <c r="W3271" t="str">
        <f t="shared" si="3"/>
        <v/>
      </c>
      <c r="X3271" s="4" t="str">
        <f>IF(V3271="","",INDEX(Fornecedores!$X$1:$X$6631,V3271))</f>
        <v/>
      </c>
      <c r="Y3271" s="4" t="str">
        <f t="shared" si="4"/>
        <v/>
      </c>
    </row>
    <row r="3272" spans="19:25">
      <c r="S3272" t="str">
        <f t="shared" si="0"/>
        <v/>
      </c>
      <c r="T3272" t="str">
        <f t="shared" si="1"/>
        <v/>
      </c>
      <c r="U3272" t="str">
        <f t="shared" si="2"/>
        <v/>
      </c>
      <c r="V3272" t="str">
        <f>IF(OR(U3272="",U3272="ERRO_CHAVE"),"",IFERROR(MATCH(U3272,Fornecedores!$AF$1:$AF$6631,0),""))</f>
        <v/>
      </c>
      <c r="W3272" t="str">
        <f t="shared" si="3"/>
        <v/>
      </c>
      <c r="X3272" s="4" t="str">
        <f>IF(V3272="","",INDEX(Fornecedores!$X$1:$X$6631,V3272))</f>
        <v/>
      </c>
      <c r="Y3272" s="4" t="str">
        <f t="shared" si="4"/>
        <v/>
      </c>
    </row>
    <row r="3273" spans="19:25">
      <c r="S3273" t="str">
        <f t="shared" si="0"/>
        <v/>
      </c>
      <c r="T3273" t="str">
        <f t="shared" si="1"/>
        <v/>
      </c>
      <c r="U3273" t="str">
        <f t="shared" si="2"/>
        <v/>
      </c>
      <c r="V3273" t="str">
        <f>IF(OR(U3273="",U3273="ERRO_CHAVE"),"",IFERROR(MATCH(U3273,Fornecedores!$AF$1:$AF$6631,0),""))</f>
        <v/>
      </c>
      <c r="W3273" t="str">
        <f t="shared" si="3"/>
        <v/>
      </c>
      <c r="X3273" s="4" t="str">
        <f>IF(V3273="","",INDEX(Fornecedores!$X$1:$X$6631,V3273))</f>
        <v/>
      </c>
      <c r="Y3273" s="4" t="str">
        <f t="shared" si="4"/>
        <v/>
      </c>
    </row>
    <row r="3274" spans="19:25">
      <c r="S3274" t="str">
        <f t="shared" si="0"/>
        <v/>
      </c>
      <c r="T3274" t="str">
        <f t="shared" si="1"/>
        <v/>
      </c>
      <c r="U3274" t="str">
        <f t="shared" si="2"/>
        <v/>
      </c>
      <c r="V3274" t="str">
        <f>IF(OR(U3274="",U3274="ERRO_CHAVE"),"",IFERROR(MATCH(U3274,Fornecedores!$AF$1:$AF$6631,0),""))</f>
        <v/>
      </c>
      <c r="W3274" t="str">
        <f t="shared" si="3"/>
        <v/>
      </c>
      <c r="X3274" s="4" t="str">
        <f>IF(V3274="","",INDEX(Fornecedores!$X$1:$X$6631,V3274))</f>
        <v/>
      </c>
      <c r="Y3274" s="4" t="str">
        <f t="shared" si="4"/>
        <v/>
      </c>
    </row>
    <row r="3275" spans="19:25">
      <c r="S3275" t="str">
        <f t="shared" si="0"/>
        <v/>
      </c>
      <c r="T3275" t="str">
        <f t="shared" si="1"/>
        <v/>
      </c>
      <c r="U3275" t="str">
        <f t="shared" si="2"/>
        <v/>
      </c>
      <c r="V3275" t="str">
        <f>IF(OR(U3275="",U3275="ERRO_CHAVE"),"",IFERROR(MATCH(U3275,Fornecedores!$AF$1:$AF$6631,0),""))</f>
        <v/>
      </c>
      <c r="W3275" t="str">
        <f t="shared" si="3"/>
        <v/>
      </c>
      <c r="X3275" s="4" t="str">
        <f>IF(V3275="","",INDEX(Fornecedores!$X$1:$X$6631,V3275))</f>
        <v/>
      </c>
      <c r="Y3275" s="4" t="str">
        <f t="shared" si="4"/>
        <v/>
      </c>
    </row>
    <row r="3276" spans="19:25">
      <c r="S3276" t="str">
        <f t="shared" si="0"/>
        <v/>
      </c>
      <c r="T3276" t="str">
        <f t="shared" si="1"/>
        <v/>
      </c>
      <c r="U3276" t="str">
        <f t="shared" si="2"/>
        <v/>
      </c>
      <c r="V3276" t="str">
        <f>IF(OR(U3276="",U3276="ERRO_CHAVE"),"",IFERROR(MATCH(U3276,Fornecedores!$AF$1:$AF$6631,0),""))</f>
        <v/>
      </c>
      <c r="W3276" t="str">
        <f t="shared" si="3"/>
        <v/>
      </c>
      <c r="X3276" s="4" t="str">
        <f>IF(V3276="","",INDEX(Fornecedores!$X$1:$X$6631,V3276))</f>
        <v/>
      </c>
      <c r="Y3276" s="4" t="str">
        <f t="shared" si="4"/>
        <v/>
      </c>
    </row>
    <row r="3277" spans="19:25">
      <c r="S3277" t="str">
        <f t="shared" si="0"/>
        <v/>
      </c>
      <c r="T3277" t="str">
        <f t="shared" si="1"/>
        <v/>
      </c>
      <c r="U3277" t="str">
        <f t="shared" si="2"/>
        <v/>
      </c>
      <c r="V3277" t="str">
        <f>IF(OR(U3277="",U3277="ERRO_CHAVE"),"",IFERROR(MATCH(U3277,Fornecedores!$AF$1:$AF$6631,0),""))</f>
        <v/>
      </c>
      <c r="W3277" t="str">
        <f t="shared" si="3"/>
        <v/>
      </c>
      <c r="X3277" s="4" t="str">
        <f>IF(V3277="","",INDEX(Fornecedores!$X$1:$X$6631,V3277))</f>
        <v/>
      </c>
      <c r="Y3277" s="4" t="str">
        <f t="shared" si="4"/>
        <v/>
      </c>
    </row>
    <row r="3278" spans="19:25">
      <c r="S3278" t="str">
        <f t="shared" si="0"/>
        <v/>
      </c>
      <c r="T3278" t="str">
        <f t="shared" si="1"/>
        <v/>
      </c>
      <c r="U3278" t="str">
        <f t="shared" si="2"/>
        <v/>
      </c>
      <c r="V3278" t="str">
        <f>IF(OR(U3278="",U3278="ERRO_CHAVE"),"",IFERROR(MATCH(U3278,Fornecedores!$AF$1:$AF$6631,0),""))</f>
        <v/>
      </c>
      <c r="W3278" t="str">
        <f t="shared" si="3"/>
        <v/>
      </c>
      <c r="X3278" s="4" t="str">
        <f>IF(V3278="","",INDEX(Fornecedores!$X$1:$X$6631,V3278))</f>
        <v/>
      </c>
      <c r="Y3278" s="4" t="str">
        <f t="shared" si="4"/>
        <v/>
      </c>
    </row>
    <row r="3279" spans="19:25">
      <c r="S3279" t="str">
        <f t="shared" si="0"/>
        <v/>
      </c>
      <c r="T3279" t="str">
        <f t="shared" si="1"/>
        <v/>
      </c>
      <c r="U3279" t="str">
        <f t="shared" si="2"/>
        <v/>
      </c>
      <c r="V3279" t="str">
        <f>IF(OR(U3279="",U3279="ERRO_CHAVE"),"",IFERROR(MATCH(U3279,Fornecedores!$AF$1:$AF$6631,0),""))</f>
        <v/>
      </c>
      <c r="W3279" t="str">
        <f t="shared" si="3"/>
        <v/>
      </c>
      <c r="X3279" s="4" t="str">
        <f>IF(V3279="","",INDEX(Fornecedores!$X$1:$X$6631,V3279))</f>
        <v/>
      </c>
      <c r="Y3279" s="4" t="str">
        <f t="shared" si="4"/>
        <v/>
      </c>
    </row>
    <row r="3280" spans="19:25">
      <c r="S3280" t="str">
        <f t="shared" si="0"/>
        <v/>
      </c>
      <c r="T3280" t="str">
        <f t="shared" si="1"/>
        <v/>
      </c>
      <c r="U3280" t="str">
        <f t="shared" si="2"/>
        <v/>
      </c>
      <c r="V3280" t="str">
        <f>IF(OR(U3280="",U3280="ERRO_CHAVE"),"",IFERROR(MATCH(U3280,Fornecedores!$AF$1:$AF$6631,0),""))</f>
        <v/>
      </c>
      <c r="W3280" t="str">
        <f t="shared" si="3"/>
        <v/>
      </c>
      <c r="X3280" s="4" t="str">
        <f>IF(V3280="","",INDEX(Fornecedores!$X$1:$X$6631,V3280))</f>
        <v/>
      </c>
      <c r="Y3280" s="4" t="str">
        <f t="shared" si="4"/>
        <v/>
      </c>
    </row>
    <row r="3281" spans="19:25">
      <c r="S3281" t="str">
        <f t="shared" si="0"/>
        <v/>
      </c>
      <c r="T3281" t="str">
        <f t="shared" si="1"/>
        <v/>
      </c>
      <c r="U3281" t="str">
        <f t="shared" si="2"/>
        <v/>
      </c>
      <c r="V3281" t="str">
        <f>IF(OR(U3281="",U3281="ERRO_CHAVE"),"",IFERROR(MATCH(U3281,Fornecedores!$AF$1:$AF$6631,0),""))</f>
        <v/>
      </c>
      <c r="W3281" t="str">
        <f t="shared" si="3"/>
        <v/>
      </c>
      <c r="X3281" s="4" t="str">
        <f>IF(V3281="","",INDEX(Fornecedores!$X$1:$X$6631,V3281))</f>
        <v/>
      </c>
      <c r="Y3281" s="4" t="str">
        <f t="shared" si="4"/>
        <v/>
      </c>
    </row>
    <row r="3282" spans="19:25">
      <c r="S3282" t="str">
        <f t="shared" si="0"/>
        <v/>
      </c>
      <c r="T3282" t="str">
        <f t="shared" si="1"/>
        <v/>
      </c>
      <c r="U3282" t="str">
        <f t="shared" si="2"/>
        <v/>
      </c>
      <c r="V3282" t="str">
        <f>IF(OR(U3282="",U3282="ERRO_CHAVE"),"",IFERROR(MATCH(U3282,Fornecedores!$AF$1:$AF$6631,0),""))</f>
        <v/>
      </c>
      <c r="W3282" t="str">
        <f t="shared" si="3"/>
        <v/>
      </c>
      <c r="X3282" s="4" t="str">
        <f>IF(V3282="","",INDEX(Fornecedores!$X$1:$X$6631,V3282))</f>
        <v/>
      </c>
      <c r="Y3282" s="4" t="str">
        <f t="shared" si="4"/>
        <v/>
      </c>
    </row>
    <row r="3283" spans="19:25">
      <c r="S3283" t="str">
        <f t="shared" si="0"/>
        <v/>
      </c>
      <c r="T3283" t="str">
        <f t="shared" si="1"/>
        <v/>
      </c>
      <c r="U3283" t="str">
        <f t="shared" si="2"/>
        <v/>
      </c>
      <c r="V3283" t="str">
        <f>IF(OR(U3283="",U3283="ERRO_CHAVE"),"",IFERROR(MATCH(U3283,Fornecedores!$AF$1:$AF$6631,0),""))</f>
        <v/>
      </c>
      <c r="W3283" t="str">
        <f t="shared" si="3"/>
        <v/>
      </c>
      <c r="X3283" s="4" t="str">
        <f>IF(V3283="","",INDEX(Fornecedores!$X$1:$X$6631,V3283))</f>
        <v/>
      </c>
      <c r="Y3283" s="4" t="str">
        <f t="shared" si="4"/>
        <v/>
      </c>
    </row>
    <row r="3284" spans="19:25">
      <c r="S3284" t="str">
        <f t="shared" si="0"/>
        <v/>
      </c>
      <c r="T3284" t="str">
        <f t="shared" si="1"/>
        <v/>
      </c>
      <c r="U3284" t="str">
        <f t="shared" si="2"/>
        <v/>
      </c>
      <c r="V3284" t="str">
        <f>IF(OR(U3284="",U3284="ERRO_CHAVE"),"",IFERROR(MATCH(U3284,Fornecedores!$AF$1:$AF$6631,0),""))</f>
        <v/>
      </c>
      <c r="W3284" t="str">
        <f t="shared" si="3"/>
        <v/>
      </c>
      <c r="X3284" s="4" t="str">
        <f>IF(V3284="","",INDEX(Fornecedores!$X$1:$X$6631,V3284))</f>
        <v/>
      </c>
      <c r="Y3284" s="4" t="str">
        <f t="shared" si="4"/>
        <v/>
      </c>
    </row>
    <row r="3285" spans="19:25">
      <c r="S3285" t="str">
        <f t="shared" si="0"/>
        <v/>
      </c>
      <c r="T3285" t="str">
        <f t="shared" si="1"/>
        <v/>
      </c>
      <c r="U3285" t="str">
        <f t="shared" si="2"/>
        <v/>
      </c>
      <c r="V3285" t="str">
        <f>IF(OR(U3285="",U3285="ERRO_CHAVE"),"",IFERROR(MATCH(U3285,Fornecedores!$AF$1:$AF$6631,0),""))</f>
        <v/>
      </c>
      <c r="W3285" t="str">
        <f t="shared" si="3"/>
        <v/>
      </c>
      <c r="X3285" s="4" t="str">
        <f>IF(V3285="","",INDEX(Fornecedores!$X$1:$X$6631,V3285))</f>
        <v/>
      </c>
      <c r="Y3285" s="4" t="str">
        <f t="shared" si="4"/>
        <v/>
      </c>
    </row>
    <row r="3286" spans="19:25">
      <c r="S3286" t="str">
        <f t="shared" si="0"/>
        <v/>
      </c>
      <c r="T3286" t="str">
        <f t="shared" si="1"/>
        <v/>
      </c>
      <c r="U3286" t="str">
        <f t="shared" si="2"/>
        <v/>
      </c>
      <c r="V3286" t="str">
        <f>IF(OR(U3286="",U3286="ERRO_CHAVE"),"",IFERROR(MATCH(U3286,Fornecedores!$AF$1:$AF$6631,0),""))</f>
        <v/>
      </c>
      <c r="W3286" t="str">
        <f t="shared" si="3"/>
        <v/>
      </c>
      <c r="X3286" s="4" t="str">
        <f>IF(V3286="","",INDEX(Fornecedores!$X$1:$X$6631,V3286))</f>
        <v/>
      </c>
      <c r="Y3286" s="4" t="str">
        <f t="shared" si="4"/>
        <v/>
      </c>
    </row>
    <row r="3287" spans="19:25">
      <c r="S3287" t="str">
        <f t="shared" si="0"/>
        <v/>
      </c>
      <c r="T3287" t="str">
        <f t="shared" si="1"/>
        <v/>
      </c>
      <c r="U3287" t="str">
        <f t="shared" si="2"/>
        <v/>
      </c>
      <c r="V3287" t="str">
        <f>IF(OR(U3287="",U3287="ERRO_CHAVE"),"",IFERROR(MATCH(U3287,Fornecedores!$AF$1:$AF$6631,0),""))</f>
        <v/>
      </c>
      <c r="W3287" t="str">
        <f t="shared" si="3"/>
        <v/>
      </c>
      <c r="X3287" s="4" t="str">
        <f>IF(V3287="","",INDEX(Fornecedores!$X$1:$X$6631,V3287))</f>
        <v/>
      </c>
      <c r="Y3287" s="4" t="str">
        <f t="shared" si="4"/>
        <v/>
      </c>
    </row>
    <row r="3288" spans="19:25">
      <c r="S3288" t="str">
        <f t="shared" si="0"/>
        <v/>
      </c>
      <c r="T3288" t="str">
        <f t="shared" si="1"/>
        <v/>
      </c>
      <c r="U3288" t="str">
        <f t="shared" si="2"/>
        <v/>
      </c>
      <c r="V3288" t="str">
        <f>IF(OR(U3288="",U3288="ERRO_CHAVE"),"",IFERROR(MATCH(U3288,Fornecedores!$AF$1:$AF$6631,0),""))</f>
        <v/>
      </c>
      <c r="W3288" t="str">
        <f t="shared" si="3"/>
        <v/>
      </c>
      <c r="X3288" s="4" t="str">
        <f>IF(V3288="","",INDEX(Fornecedores!$X$1:$X$6631,V3288))</f>
        <v/>
      </c>
      <c r="Y3288" s="4" t="str">
        <f t="shared" si="4"/>
        <v/>
      </c>
    </row>
    <row r="3289" spans="19:25">
      <c r="S3289" t="str">
        <f t="shared" si="0"/>
        <v/>
      </c>
      <c r="T3289" t="str">
        <f t="shared" si="1"/>
        <v/>
      </c>
      <c r="U3289" t="str">
        <f t="shared" si="2"/>
        <v/>
      </c>
      <c r="V3289" t="str">
        <f>IF(OR(U3289="",U3289="ERRO_CHAVE"),"",IFERROR(MATCH(U3289,Fornecedores!$AF$1:$AF$6631,0),""))</f>
        <v/>
      </c>
      <c r="W3289" t="str">
        <f t="shared" si="3"/>
        <v/>
      </c>
      <c r="X3289" s="4" t="str">
        <f>IF(V3289="","",INDEX(Fornecedores!$X$1:$X$6631,V3289))</f>
        <v/>
      </c>
      <c r="Y3289" s="4" t="str">
        <f t="shared" si="4"/>
        <v/>
      </c>
    </row>
    <row r="3290" spans="19:25">
      <c r="S3290" t="str">
        <f t="shared" si="0"/>
        <v/>
      </c>
      <c r="T3290" t="str">
        <f t="shared" si="1"/>
        <v/>
      </c>
      <c r="U3290" t="str">
        <f t="shared" si="2"/>
        <v/>
      </c>
      <c r="V3290" t="str">
        <f>IF(OR(U3290="",U3290="ERRO_CHAVE"),"",IFERROR(MATCH(U3290,Fornecedores!$AF$1:$AF$6631,0),""))</f>
        <v/>
      </c>
      <c r="W3290" t="str">
        <f t="shared" si="3"/>
        <v/>
      </c>
      <c r="X3290" s="4" t="str">
        <f>IF(V3290="","",INDEX(Fornecedores!$X$1:$X$6631,V3290))</f>
        <v/>
      </c>
      <c r="Y3290" s="4" t="str">
        <f t="shared" si="4"/>
        <v/>
      </c>
    </row>
    <row r="3291" spans="19:25">
      <c r="S3291" t="str">
        <f t="shared" si="0"/>
        <v/>
      </c>
      <c r="T3291" t="str">
        <f t="shared" si="1"/>
        <v/>
      </c>
      <c r="U3291" t="str">
        <f t="shared" si="2"/>
        <v/>
      </c>
      <c r="V3291" t="str">
        <f>IF(OR(U3291="",U3291="ERRO_CHAVE"),"",IFERROR(MATCH(U3291,Fornecedores!$AF$1:$AF$6631,0),""))</f>
        <v/>
      </c>
      <c r="W3291" t="str">
        <f t="shared" si="3"/>
        <v/>
      </c>
      <c r="X3291" s="4" t="str">
        <f>IF(V3291="","",INDEX(Fornecedores!$X$1:$X$6631,V3291))</f>
        <v/>
      </c>
      <c r="Y3291" s="4" t="str">
        <f t="shared" si="4"/>
        <v/>
      </c>
    </row>
    <row r="3292" spans="19:25">
      <c r="S3292" t="str">
        <f t="shared" si="0"/>
        <v/>
      </c>
      <c r="T3292" t="str">
        <f t="shared" si="1"/>
        <v/>
      </c>
      <c r="U3292" t="str">
        <f t="shared" si="2"/>
        <v/>
      </c>
      <c r="V3292" t="str">
        <f>IF(OR(U3292="",U3292="ERRO_CHAVE"),"",IFERROR(MATCH(U3292,Fornecedores!$AF$1:$AF$6631,0),""))</f>
        <v/>
      </c>
      <c r="W3292" t="str">
        <f t="shared" si="3"/>
        <v/>
      </c>
      <c r="X3292" s="4" t="str">
        <f>IF(V3292="","",INDEX(Fornecedores!$X$1:$X$6631,V3292))</f>
        <v/>
      </c>
      <c r="Y3292" s="4" t="str">
        <f t="shared" si="4"/>
        <v/>
      </c>
    </row>
    <row r="3293" spans="19:25">
      <c r="S3293" t="str">
        <f t="shared" si="0"/>
        <v/>
      </c>
      <c r="T3293" t="str">
        <f t="shared" si="1"/>
        <v/>
      </c>
      <c r="U3293" t="str">
        <f t="shared" si="2"/>
        <v/>
      </c>
      <c r="V3293" t="str">
        <f>IF(OR(U3293="",U3293="ERRO_CHAVE"),"",IFERROR(MATCH(U3293,Fornecedores!$AF$1:$AF$6631,0),""))</f>
        <v/>
      </c>
      <c r="W3293" t="str">
        <f t="shared" si="3"/>
        <v/>
      </c>
      <c r="X3293" s="4" t="str">
        <f>IF(V3293="","",INDEX(Fornecedores!$X$1:$X$6631,V3293))</f>
        <v/>
      </c>
      <c r="Y3293" s="4" t="str">
        <f t="shared" si="4"/>
        <v/>
      </c>
    </row>
    <row r="3294" spans="19:25">
      <c r="S3294" t="str">
        <f t="shared" si="0"/>
        <v/>
      </c>
      <c r="T3294" t="str">
        <f t="shared" si="1"/>
        <v/>
      </c>
      <c r="U3294" t="str">
        <f t="shared" si="2"/>
        <v/>
      </c>
      <c r="V3294" t="str">
        <f>IF(OR(U3294="",U3294="ERRO_CHAVE"),"",IFERROR(MATCH(U3294,Fornecedores!$AF$1:$AF$6631,0),""))</f>
        <v/>
      </c>
      <c r="W3294" t="str">
        <f t="shared" si="3"/>
        <v/>
      </c>
      <c r="X3294" s="4" t="str">
        <f>IF(V3294="","",INDEX(Fornecedores!$X$1:$X$6631,V3294))</f>
        <v/>
      </c>
      <c r="Y3294" s="4" t="str">
        <f t="shared" si="4"/>
        <v/>
      </c>
    </row>
    <row r="3295" spans="19:25">
      <c r="S3295" t="str">
        <f t="shared" si="0"/>
        <v/>
      </c>
      <c r="T3295" t="str">
        <f t="shared" si="1"/>
        <v/>
      </c>
      <c r="U3295" t="str">
        <f t="shared" si="2"/>
        <v/>
      </c>
      <c r="V3295" t="str">
        <f>IF(OR(U3295="",U3295="ERRO_CHAVE"),"",IFERROR(MATCH(U3295,Fornecedores!$AF$1:$AF$6631,0),""))</f>
        <v/>
      </c>
      <c r="W3295" t="str">
        <f t="shared" si="3"/>
        <v/>
      </c>
      <c r="X3295" s="4" t="str">
        <f>IF(V3295="","",INDEX(Fornecedores!$X$1:$X$6631,V3295))</f>
        <v/>
      </c>
      <c r="Y3295" s="4" t="str">
        <f t="shared" si="4"/>
        <v/>
      </c>
    </row>
    <row r="3296" spans="19:25">
      <c r="S3296" t="str">
        <f t="shared" si="0"/>
        <v/>
      </c>
      <c r="T3296" t="str">
        <f t="shared" si="1"/>
        <v/>
      </c>
      <c r="U3296" t="str">
        <f t="shared" si="2"/>
        <v/>
      </c>
      <c r="V3296" t="str">
        <f>IF(OR(U3296="",U3296="ERRO_CHAVE"),"",IFERROR(MATCH(U3296,Fornecedores!$AF$1:$AF$6631,0),""))</f>
        <v/>
      </c>
      <c r="W3296" t="str">
        <f t="shared" si="3"/>
        <v/>
      </c>
      <c r="X3296" s="4" t="str">
        <f>IF(V3296="","",INDEX(Fornecedores!$X$1:$X$6631,V3296))</f>
        <v/>
      </c>
      <c r="Y3296" s="4" t="str">
        <f t="shared" si="4"/>
        <v/>
      </c>
    </row>
    <row r="3297" spans="19:25">
      <c r="S3297" t="str">
        <f t="shared" si="0"/>
        <v/>
      </c>
      <c r="T3297" t="str">
        <f t="shared" si="1"/>
        <v/>
      </c>
      <c r="U3297" t="str">
        <f t="shared" si="2"/>
        <v/>
      </c>
      <c r="V3297" t="str">
        <f>IF(OR(U3297="",U3297="ERRO_CHAVE"),"",IFERROR(MATCH(U3297,Fornecedores!$AF$1:$AF$6631,0),""))</f>
        <v/>
      </c>
      <c r="W3297" t="str">
        <f t="shared" si="3"/>
        <v/>
      </c>
      <c r="X3297" s="4" t="str">
        <f>IF(V3297="","",INDEX(Fornecedores!$X$1:$X$6631,V3297))</f>
        <v/>
      </c>
      <c r="Y3297" s="4" t="str">
        <f t="shared" si="4"/>
        <v/>
      </c>
    </row>
    <row r="3298" spans="19:25">
      <c r="S3298" t="str">
        <f t="shared" si="0"/>
        <v/>
      </c>
      <c r="T3298" t="str">
        <f t="shared" si="1"/>
        <v/>
      </c>
      <c r="U3298" t="str">
        <f t="shared" si="2"/>
        <v/>
      </c>
      <c r="V3298" t="str">
        <f>IF(OR(U3298="",U3298="ERRO_CHAVE"),"",IFERROR(MATCH(U3298,Fornecedores!$AF$1:$AF$6631,0),""))</f>
        <v/>
      </c>
      <c r="W3298" t="str">
        <f t="shared" si="3"/>
        <v/>
      </c>
      <c r="X3298" s="4" t="str">
        <f>IF(V3298="","",INDEX(Fornecedores!$X$1:$X$6631,V3298))</f>
        <v/>
      </c>
      <c r="Y3298" s="4" t="str">
        <f t="shared" si="4"/>
        <v/>
      </c>
    </row>
    <row r="3299" spans="19:25">
      <c r="S3299" t="str">
        <f t="shared" si="0"/>
        <v/>
      </c>
      <c r="T3299" t="str">
        <f t="shared" si="1"/>
        <v/>
      </c>
      <c r="U3299" t="str">
        <f t="shared" si="2"/>
        <v/>
      </c>
      <c r="V3299" t="str">
        <f>IF(OR(U3299="",U3299="ERRO_CHAVE"),"",IFERROR(MATCH(U3299,Fornecedores!$AF$1:$AF$6631,0),""))</f>
        <v/>
      </c>
      <c r="W3299" t="str">
        <f t="shared" si="3"/>
        <v/>
      </c>
      <c r="X3299" s="4" t="str">
        <f>IF(V3299="","",INDEX(Fornecedores!$X$1:$X$6631,V3299))</f>
        <v/>
      </c>
      <c r="Y3299" s="4" t="str">
        <f t="shared" si="4"/>
        <v/>
      </c>
    </row>
    <row r="3300" spans="19:25">
      <c r="S3300" t="str">
        <f t="shared" si="0"/>
        <v/>
      </c>
      <c r="T3300" t="str">
        <f t="shared" si="1"/>
        <v/>
      </c>
      <c r="U3300" t="str">
        <f t="shared" si="2"/>
        <v/>
      </c>
      <c r="V3300" t="str">
        <f>IF(OR(U3300="",U3300="ERRO_CHAVE"),"",IFERROR(MATCH(U3300,Fornecedores!$AF$1:$AF$6631,0),""))</f>
        <v/>
      </c>
      <c r="W3300" t="str">
        <f t="shared" si="3"/>
        <v/>
      </c>
      <c r="X3300" s="4" t="str">
        <f>IF(V3300="","",INDEX(Fornecedores!$X$1:$X$6631,V3300))</f>
        <v/>
      </c>
      <c r="Y3300" s="4" t="str">
        <f t="shared" si="4"/>
        <v/>
      </c>
    </row>
    <row r="3301" spans="19:25">
      <c r="S3301" t="str">
        <f t="shared" si="0"/>
        <v/>
      </c>
      <c r="T3301" t="str">
        <f t="shared" si="1"/>
        <v/>
      </c>
      <c r="U3301" t="str">
        <f t="shared" si="2"/>
        <v/>
      </c>
      <c r="V3301" t="str">
        <f>IF(OR(U3301="",U3301="ERRO_CHAVE"),"",IFERROR(MATCH(U3301,Fornecedores!$AF$1:$AF$6631,0),""))</f>
        <v/>
      </c>
      <c r="W3301" t="str">
        <f t="shared" si="3"/>
        <v/>
      </c>
      <c r="X3301" s="4" t="str">
        <f>IF(V3301="","",INDEX(Fornecedores!$X$1:$X$6631,V3301))</f>
        <v/>
      </c>
      <c r="Y3301" s="4" t="str">
        <f t="shared" si="4"/>
        <v/>
      </c>
    </row>
    <row r="3302" spans="19:25">
      <c r="S3302" t="str">
        <f t="shared" si="0"/>
        <v/>
      </c>
      <c r="T3302" t="str">
        <f t="shared" si="1"/>
        <v/>
      </c>
      <c r="U3302" t="str">
        <f t="shared" si="2"/>
        <v/>
      </c>
      <c r="V3302" t="str">
        <f>IF(OR(U3302="",U3302="ERRO_CHAVE"),"",IFERROR(MATCH(U3302,Fornecedores!$AF$1:$AF$6631,0),""))</f>
        <v/>
      </c>
      <c r="W3302" t="str">
        <f t="shared" si="3"/>
        <v/>
      </c>
      <c r="X3302" s="4" t="str">
        <f>IF(V3302="","",INDEX(Fornecedores!$X$1:$X$6631,V3302))</f>
        <v/>
      </c>
      <c r="Y3302" s="4" t="str">
        <f t="shared" si="4"/>
        <v/>
      </c>
    </row>
    <row r="3303" spans="19:25">
      <c r="S3303" t="str">
        <f t="shared" si="0"/>
        <v/>
      </c>
      <c r="T3303" t="str">
        <f t="shared" si="1"/>
        <v/>
      </c>
      <c r="U3303" t="str">
        <f t="shared" si="2"/>
        <v/>
      </c>
      <c r="V3303" t="str">
        <f>IF(OR(U3303="",U3303="ERRO_CHAVE"),"",IFERROR(MATCH(U3303,Fornecedores!$AF$1:$AF$6631,0),""))</f>
        <v/>
      </c>
      <c r="W3303" t="str">
        <f t="shared" si="3"/>
        <v/>
      </c>
      <c r="X3303" s="4" t="str">
        <f>IF(V3303="","",INDEX(Fornecedores!$X$1:$X$6631,V3303))</f>
        <v/>
      </c>
      <c r="Y3303" s="4" t="str">
        <f t="shared" si="4"/>
        <v/>
      </c>
    </row>
    <row r="3304" spans="19:25">
      <c r="S3304" t="str">
        <f t="shared" si="0"/>
        <v/>
      </c>
      <c r="T3304" t="str">
        <f t="shared" si="1"/>
        <v/>
      </c>
      <c r="U3304" t="str">
        <f t="shared" si="2"/>
        <v/>
      </c>
      <c r="V3304" t="str">
        <f>IF(OR(U3304="",U3304="ERRO_CHAVE"),"",IFERROR(MATCH(U3304,Fornecedores!$AF$1:$AF$6631,0),""))</f>
        <v/>
      </c>
      <c r="W3304" t="str">
        <f t="shared" si="3"/>
        <v/>
      </c>
      <c r="X3304" s="4" t="str">
        <f>IF(V3304="","",INDEX(Fornecedores!$X$1:$X$6631,V3304))</f>
        <v/>
      </c>
      <c r="Y3304" s="4" t="str">
        <f t="shared" si="4"/>
        <v/>
      </c>
    </row>
    <row r="3305" spans="19:25">
      <c r="S3305" t="str">
        <f t="shared" si="0"/>
        <v/>
      </c>
      <c r="T3305" t="str">
        <f t="shared" si="1"/>
        <v/>
      </c>
      <c r="U3305" t="str">
        <f t="shared" si="2"/>
        <v/>
      </c>
      <c r="V3305" t="str">
        <f>IF(OR(U3305="",U3305="ERRO_CHAVE"),"",IFERROR(MATCH(U3305,Fornecedores!$AF$1:$AF$6631,0),""))</f>
        <v/>
      </c>
      <c r="W3305" t="str">
        <f t="shared" si="3"/>
        <v/>
      </c>
      <c r="X3305" s="4" t="str">
        <f>IF(V3305="","",INDEX(Fornecedores!$X$1:$X$6631,V3305))</f>
        <v/>
      </c>
      <c r="Y3305" s="4" t="str">
        <f t="shared" si="4"/>
        <v/>
      </c>
    </row>
    <row r="3306" spans="19:25">
      <c r="S3306" t="str">
        <f t="shared" si="0"/>
        <v/>
      </c>
      <c r="T3306" t="str">
        <f t="shared" si="1"/>
        <v/>
      </c>
      <c r="U3306" t="str">
        <f t="shared" si="2"/>
        <v/>
      </c>
      <c r="V3306" t="str">
        <f>IF(OR(U3306="",U3306="ERRO_CHAVE"),"",IFERROR(MATCH(U3306,Fornecedores!$AF$1:$AF$6631,0),""))</f>
        <v/>
      </c>
      <c r="W3306" t="str">
        <f t="shared" si="3"/>
        <v/>
      </c>
      <c r="X3306" s="4" t="str">
        <f>IF(V3306="","",INDEX(Fornecedores!$X$1:$X$6631,V3306))</f>
        <v/>
      </c>
      <c r="Y3306" s="4" t="str">
        <f t="shared" si="4"/>
        <v/>
      </c>
    </row>
    <row r="3307" spans="19:25">
      <c r="S3307" t="str">
        <f t="shared" si="0"/>
        <v/>
      </c>
      <c r="T3307" t="str">
        <f t="shared" si="1"/>
        <v/>
      </c>
      <c r="U3307" t="str">
        <f t="shared" si="2"/>
        <v/>
      </c>
      <c r="V3307" t="str">
        <f>IF(OR(U3307="",U3307="ERRO_CHAVE"),"",IFERROR(MATCH(U3307,Fornecedores!$AF$1:$AF$6631,0),""))</f>
        <v/>
      </c>
      <c r="W3307" t="str">
        <f t="shared" si="3"/>
        <v/>
      </c>
      <c r="X3307" s="4" t="str">
        <f>IF(V3307="","",INDEX(Fornecedores!$X$1:$X$6631,V3307))</f>
        <v/>
      </c>
      <c r="Y3307" s="4" t="str">
        <f t="shared" si="4"/>
        <v/>
      </c>
    </row>
    <row r="3308" spans="19:25">
      <c r="S3308" t="str">
        <f t="shared" si="0"/>
        <v/>
      </c>
      <c r="T3308" t="str">
        <f t="shared" si="1"/>
        <v/>
      </c>
      <c r="U3308" t="str">
        <f t="shared" si="2"/>
        <v/>
      </c>
      <c r="V3308" t="str">
        <f>IF(OR(U3308="",U3308="ERRO_CHAVE"),"",IFERROR(MATCH(U3308,Fornecedores!$AF$1:$AF$6631,0),""))</f>
        <v/>
      </c>
      <c r="W3308" t="str">
        <f t="shared" si="3"/>
        <v/>
      </c>
      <c r="X3308" s="4" t="str">
        <f>IF(V3308="","",INDEX(Fornecedores!$X$1:$X$6631,V3308))</f>
        <v/>
      </c>
      <c r="Y3308" s="4" t="str">
        <f t="shared" si="4"/>
        <v/>
      </c>
    </row>
    <row r="3309" spans="19:25">
      <c r="S3309" t="str">
        <f t="shared" si="0"/>
        <v/>
      </c>
      <c r="T3309" t="str">
        <f t="shared" si="1"/>
        <v/>
      </c>
      <c r="U3309" t="str">
        <f t="shared" si="2"/>
        <v/>
      </c>
      <c r="V3309" t="str">
        <f>IF(OR(U3309="",U3309="ERRO_CHAVE"),"",IFERROR(MATCH(U3309,Fornecedores!$AF$1:$AF$6631,0),""))</f>
        <v/>
      </c>
      <c r="W3309" t="str">
        <f t="shared" si="3"/>
        <v/>
      </c>
      <c r="X3309" s="4" t="str">
        <f>IF(V3309="","",INDEX(Fornecedores!$X$1:$X$6631,V3309))</f>
        <v/>
      </c>
      <c r="Y3309" s="4" t="str">
        <f t="shared" si="4"/>
        <v/>
      </c>
    </row>
    <row r="3310" spans="19:25">
      <c r="S3310" t="str">
        <f t="shared" si="0"/>
        <v/>
      </c>
      <c r="T3310" t="str">
        <f t="shared" si="1"/>
        <v/>
      </c>
      <c r="U3310" t="str">
        <f t="shared" si="2"/>
        <v/>
      </c>
      <c r="V3310" t="str">
        <f>IF(OR(U3310="",U3310="ERRO_CHAVE"),"",IFERROR(MATCH(U3310,Fornecedores!$AF$1:$AF$6631,0),""))</f>
        <v/>
      </c>
      <c r="W3310" t="str">
        <f t="shared" si="3"/>
        <v/>
      </c>
      <c r="X3310" s="4" t="str">
        <f>IF(V3310="","",INDEX(Fornecedores!$X$1:$X$6631,V3310))</f>
        <v/>
      </c>
      <c r="Y3310" s="4" t="str">
        <f t="shared" si="4"/>
        <v/>
      </c>
    </row>
    <row r="3311" spans="19:25">
      <c r="S3311" t="str">
        <f t="shared" si="0"/>
        <v/>
      </c>
      <c r="T3311" t="str">
        <f t="shared" si="1"/>
        <v/>
      </c>
      <c r="U3311" t="str">
        <f t="shared" si="2"/>
        <v/>
      </c>
      <c r="V3311" t="str">
        <f>IF(OR(U3311="",U3311="ERRO_CHAVE"),"",IFERROR(MATCH(U3311,Fornecedores!$AF$1:$AF$6631,0),""))</f>
        <v/>
      </c>
      <c r="W3311" t="str">
        <f t="shared" si="3"/>
        <v/>
      </c>
      <c r="X3311" s="4" t="str">
        <f>IF(V3311="","",INDEX(Fornecedores!$X$1:$X$6631,V3311))</f>
        <v/>
      </c>
      <c r="Y3311" s="4" t="str">
        <f t="shared" si="4"/>
        <v/>
      </c>
    </row>
    <row r="3312" spans="19:25">
      <c r="S3312" t="str">
        <f t="shared" si="0"/>
        <v/>
      </c>
      <c r="T3312" t="str">
        <f t="shared" si="1"/>
        <v/>
      </c>
      <c r="U3312" t="str">
        <f t="shared" si="2"/>
        <v/>
      </c>
      <c r="V3312" t="str">
        <f>IF(OR(U3312="",U3312="ERRO_CHAVE"),"",IFERROR(MATCH(U3312,Fornecedores!$AF$1:$AF$6631,0),""))</f>
        <v/>
      </c>
      <c r="W3312" t="str">
        <f t="shared" si="3"/>
        <v/>
      </c>
      <c r="X3312" s="4" t="str">
        <f>IF(V3312="","",INDEX(Fornecedores!$X$1:$X$6631,V3312))</f>
        <v/>
      </c>
      <c r="Y3312" s="4" t="str">
        <f t="shared" si="4"/>
        <v/>
      </c>
    </row>
    <row r="3313" spans="19:25">
      <c r="S3313" t="str">
        <f t="shared" si="0"/>
        <v/>
      </c>
      <c r="T3313" t="str">
        <f t="shared" si="1"/>
        <v/>
      </c>
      <c r="U3313" t="str">
        <f t="shared" si="2"/>
        <v/>
      </c>
      <c r="V3313" t="str">
        <f>IF(OR(U3313="",U3313="ERRO_CHAVE"),"",IFERROR(MATCH(U3313,Fornecedores!$AF$1:$AF$6631,0),""))</f>
        <v/>
      </c>
      <c r="W3313" t="str">
        <f t="shared" si="3"/>
        <v/>
      </c>
      <c r="X3313" s="4" t="str">
        <f>IF(V3313="","",INDEX(Fornecedores!$X$1:$X$6631,V3313))</f>
        <v/>
      </c>
      <c r="Y3313" s="4" t="str">
        <f t="shared" si="4"/>
        <v/>
      </c>
    </row>
    <row r="3314" spans="19:25">
      <c r="S3314" t="str">
        <f t="shared" si="0"/>
        <v/>
      </c>
      <c r="T3314" t="str">
        <f t="shared" si="1"/>
        <v/>
      </c>
      <c r="U3314" t="str">
        <f t="shared" si="2"/>
        <v/>
      </c>
      <c r="V3314" t="str">
        <f>IF(OR(U3314="",U3314="ERRO_CHAVE"),"",IFERROR(MATCH(U3314,Fornecedores!$AF$1:$AF$6631,0),""))</f>
        <v/>
      </c>
      <c r="W3314" t="str">
        <f t="shared" si="3"/>
        <v/>
      </c>
      <c r="X3314" s="4" t="str">
        <f>IF(V3314="","",INDEX(Fornecedores!$X$1:$X$6631,V3314))</f>
        <v/>
      </c>
      <c r="Y3314" s="4" t="str">
        <f t="shared" si="4"/>
        <v/>
      </c>
    </row>
    <row r="3315" spans="19:25">
      <c r="S3315" t="str">
        <f t="shared" si="0"/>
        <v/>
      </c>
      <c r="T3315" t="str">
        <f t="shared" si="1"/>
        <v/>
      </c>
      <c r="U3315" t="str">
        <f t="shared" si="2"/>
        <v/>
      </c>
      <c r="V3315" t="str">
        <f>IF(OR(U3315="",U3315="ERRO_CHAVE"),"",IFERROR(MATCH(U3315,Fornecedores!$AF$1:$AF$6631,0),""))</f>
        <v/>
      </c>
      <c r="W3315" t="str">
        <f t="shared" si="3"/>
        <v/>
      </c>
      <c r="X3315" s="4" t="str">
        <f>IF(V3315="","",INDEX(Fornecedores!$X$1:$X$6631,V3315))</f>
        <v/>
      </c>
      <c r="Y3315" s="4" t="str">
        <f t="shared" si="4"/>
        <v/>
      </c>
    </row>
    <row r="3316" spans="19:25">
      <c r="S3316" t="str">
        <f t="shared" si="0"/>
        <v/>
      </c>
      <c r="T3316" t="str">
        <f t="shared" si="1"/>
        <v/>
      </c>
      <c r="U3316" t="str">
        <f t="shared" si="2"/>
        <v/>
      </c>
      <c r="V3316" t="str">
        <f>IF(OR(U3316="",U3316="ERRO_CHAVE"),"",IFERROR(MATCH(U3316,Fornecedores!$AF$1:$AF$6631,0),""))</f>
        <v/>
      </c>
      <c r="W3316" t="str">
        <f t="shared" si="3"/>
        <v/>
      </c>
      <c r="X3316" s="4" t="str">
        <f>IF(V3316="","",INDEX(Fornecedores!$X$1:$X$6631,V3316))</f>
        <v/>
      </c>
      <c r="Y3316" s="4" t="str">
        <f t="shared" si="4"/>
        <v/>
      </c>
    </row>
    <row r="3317" spans="19:25">
      <c r="S3317" t="str">
        <f t="shared" si="0"/>
        <v/>
      </c>
      <c r="T3317" t="str">
        <f t="shared" si="1"/>
        <v/>
      </c>
      <c r="U3317" t="str">
        <f t="shared" si="2"/>
        <v/>
      </c>
      <c r="V3317" t="str">
        <f>IF(OR(U3317="",U3317="ERRO_CHAVE"),"",IFERROR(MATCH(U3317,Fornecedores!$AF$1:$AF$6631,0),""))</f>
        <v/>
      </c>
      <c r="W3317" t="str">
        <f t="shared" si="3"/>
        <v/>
      </c>
      <c r="X3317" s="4" t="str">
        <f>IF(V3317="","",INDEX(Fornecedores!$X$1:$X$6631,V3317))</f>
        <v/>
      </c>
      <c r="Y3317" s="4" t="str">
        <f t="shared" si="4"/>
        <v/>
      </c>
    </row>
    <row r="3318" spans="19:25">
      <c r="S3318" t="str">
        <f t="shared" si="0"/>
        <v/>
      </c>
      <c r="T3318" t="str">
        <f t="shared" si="1"/>
        <v/>
      </c>
      <c r="U3318" t="str">
        <f t="shared" si="2"/>
        <v/>
      </c>
      <c r="V3318" t="str">
        <f>IF(OR(U3318="",U3318="ERRO_CHAVE"),"",IFERROR(MATCH(U3318,Fornecedores!$AF$1:$AF$6631,0),""))</f>
        <v/>
      </c>
      <c r="W3318" t="str">
        <f t="shared" si="3"/>
        <v/>
      </c>
      <c r="X3318" s="4" t="str">
        <f>IF(V3318="","",INDEX(Fornecedores!$X$1:$X$6631,V3318))</f>
        <v/>
      </c>
      <c r="Y3318" s="4" t="str">
        <f t="shared" si="4"/>
        <v/>
      </c>
    </row>
    <row r="3319" spans="19:25">
      <c r="S3319" t="str">
        <f t="shared" si="0"/>
        <v/>
      </c>
      <c r="T3319" t="str">
        <f t="shared" si="1"/>
        <v/>
      </c>
      <c r="U3319" t="str">
        <f t="shared" si="2"/>
        <v/>
      </c>
      <c r="V3319" t="str">
        <f>IF(OR(U3319="",U3319="ERRO_CHAVE"),"",IFERROR(MATCH(U3319,Fornecedores!$AF$1:$AF$6631,0),""))</f>
        <v/>
      </c>
      <c r="W3319" t="str">
        <f t="shared" si="3"/>
        <v/>
      </c>
      <c r="X3319" s="4" t="str">
        <f>IF(V3319="","",INDEX(Fornecedores!$X$1:$X$6631,V3319))</f>
        <v/>
      </c>
      <c r="Y3319" s="4" t="str">
        <f t="shared" si="4"/>
        <v/>
      </c>
    </row>
    <row r="3320" spans="19:25">
      <c r="S3320" t="str">
        <f t="shared" si="0"/>
        <v/>
      </c>
      <c r="T3320" t="str">
        <f t="shared" si="1"/>
        <v/>
      </c>
      <c r="U3320" t="str">
        <f t="shared" si="2"/>
        <v/>
      </c>
      <c r="V3320" t="str">
        <f>IF(OR(U3320="",U3320="ERRO_CHAVE"),"",IFERROR(MATCH(U3320,Fornecedores!$AF$1:$AF$6631,0),""))</f>
        <v/>
      </c>
      <c r="W3320" t="str">
        <f t="shared" si="3"/>
        <v/>
      </c>
      <c r="X3320" s="4" t="str">
        <f>IF(V3320="","",INDEX(Fornecedores!$X$1:$X$6631,V3320))</f>
        <v/>
      </c>
      <c r="Y3320" s="4" t="str">
        <f t="shared" si="4"/>
        <v/>
      </c>
    </row>
    <row r="3321" spans="19:25">
      <c r="S3321" t="str">
        <f t="shared" si="0"/>
        <v/>
      </c>
      <c r="T3321" t="str">
        <f t="shared" si="1"/>
        <v/>
      </c>
      <c r="U3321" t="str">
        <f t="shared" si="2"/>
        <v/>
      </c>
      <c r="V3321" t="str">
        <f>IF(OR(U3321="",U3321="ERRO_CHAVE"),"",IFERROR(MATCH(U3321,Fornecedores!$AF$1:$AF$6631,0),""))</f>
        <v/>
      </c>
      <c r="W3321" t="str">
        <f t="shared" si="3"/>
        <v/>
      </c>
      <c r="X3321" s="4" t="str">
        <f>IF(V3321="","",INDEX(Fornecedores!$X$1:$X$6631,V3321))</f>
        <v/>
      </c>
      <c r="Y3321" s="4" t="str">
        <f t="shared" si="4"/>
        <v/>
      </c>
    </row>
    <row r="3322" spans="19:25">
      <c r="S3322" t="str">
        <f t="shared" si="0"/>
        <v/>
      </c>
      <c r="T3322" t="str">
        <f t="shared" si="1"/>
        <v/>
      </c>
      <c r="U3322" t="str">
        <f t="shared" si="2"/>
        <v/>
      </c>
      <c r="V3322" t="str">
        <f>IF(OR(U3322="",U3322="ERRO_CHAVE"),"",IFERROR(MATCH(U3322,Fornecedores!$AF$1:$AF$6631,0),""))</f>
        <v/>
      </c>
      <c r="W3322" t="str">
        <f t="shared" si="3"/>
        <v/>
      </c>
      <c r="X3322" s="4" t="str">
        <f>IF(V3322="","",INDEX(Fornecedores!$X$1:$X$6631,V3322))</f>
        <v/>
      </c>
      <c r="Y3322" s="4" t="str">
        <f t="shared" si="4"/>
        <v/>
      </c>
    </row>
    <row r="3323" spans="19:25">
      <c r="S3323" t="str">
        <f t="shared" si="0"/>
        <v/>
      </c>
      <c r="T3323" t="str">
        <f t="shared" si="1"/>
        <v/>
      </c>
      <c r="U3323" t="str">
        <f t="shared" si="2"/>
        <v/>
      </c>
      <c r="V3323" t="str">
        <f>IF(OR(U3323="",U3323="ERRO_CHAVE"),"",IFERROR(MATCH(U3323,Fornecedores!$AF$1:$AF$6631,0),""))</f>
        <v/>
      </c>
      <c r="W3323" t="str">
        <f t="shared" si="3"/>
        <v/>
      </c>
      <c r="X3323" s="4" t="str">
        <f>IF(V3323="","",INDEX(Fornecedores!$X$1:$X$6631,V3323))</f>
        <v/>
      </c>
      <c r="Y3323" s="4" t="str">
        <f t="shared" si="4"/>
        <v/>
      </c>
    </row>
    <row r="3324" spans="19:25">
      <c r="S3324" t="str">
        <f t="shared" si="0"/>
        <v/>
      </c>
      <c r="T3324" t="str">
        <f t="shared" si="1"/>
        <v/>
      </c>
      <c r="U3324" t="str">
        <f t="shared" si="2"/>
        <v/>
      </c>
      <c r="V3324" t="str">
        <f>IF(OR(U3324="",U3324="ERRO_CHAVE"),"",IFERROR(MATCH(U3324,Fornecedores!$AF$1:$AF$6631,0),""))</f>
        <v/>
      </c>
      <c r="W3324" t="str">
        <f t="shared" si="3"/>
        <v/>
      </c>
      <c r="X3324" s="4" t="str">
        <f>IF(V3324="","",INDEX(Fornecedores!$X$1:$X$6631,V3324))</f>
        <v/>
      </c>
      <c r="Y3324" s="4" t="str">
        <f t="shared" si="4"/>
        <v/>
      </c>
    </row>
    <row r="3325" spans="19:25">
      <c r="S3325" t="str">
        <f t="shared" si="0"/>
        <v/>
      </c>
      <c r="T3325" t="str">
        <f t="shared" si="1"/>
        <v/>
      </c>
      <c r="U3325" t="str">
        <f t="shared" si="2"/>
        <v/>
      </c>
      <c r="V3325" t="str">
        <f>IF(OR(U3325="",U3325="ERRO_CHAVE"),"",IFERROR(MATCH(U3325,Fornecedores!$AF$1:$AF$6631,0),""))</f>
        <v/>
      </c>
      <c r="W3325" t="str">
        <f t="shared" si="3"/>
        <v/>
      </c>
      <c r="X3325" s="4" t="str">
        <f>IF(V3325="","",INDEX(Fornecedores!$X$1:$X$6631,V3325))</f>
        <v/>
      </c>
      <c r="Y3325" s="4" t="str">
        <f t="shared" si="4"/>
        <v/>
      </c>
    </row>
    <row r="3326" spans="19:25">
      <c r="S3326" t="str">
        <f t="shared" si="0"/>
        <v/>
      </c>
      <c r="T3326" t="str">
        <f t="shared" si="1"/>
        <v/>
      </c>
      <c r="U3326" t="str">
        <f t="shared" si="2"/>
        <v/>
      </c>
      <c r="V3326" t="str">
        <f>IF(OR(U3326="",U3326="ERRO_CHAVE"),"",IFERROR(MATCH(U3326,Fornecedores!$AF$1:$AF$6631,0),""))</f>
        <v/>
      </c>
      <c r="W3326" t="str">
        <f t="shared" si="3"/>
        <v/>
      </c>
      <c r="X3326" s="4" t="str">
        <f>IF(V3326="","",INDEX(Fornecedores!$X$1:$X$6631,V3326))</f>
        <v/>
      </c>
      <c r="Y3326" s="4" t="str">
        <f t="shared" si="4"/>
        <v/>
      </c>
    </row>
    <row r="3327" spans="19:25">
      <c r="S3327" t="str">
        <f t="shared" si="0"/>
        <v/>
      </c>
      <c r="T3327" t="str">
        <f t="shared" si="1"/>
        <v/>
      </c>
      <c r="U3327" t="str">
        <f t="shared" si="2"/>
        <v/>
      </c>
      <c r="V3327" t="str">
        <f>IF(OR(U3327="",U3327="ERRO_CHAVE"),"",IFERROR(MATCH(U3327,Fornecedores!$AF$1:$AF$6631,0),""))</f>
        <v/>
      </c>
      <c r="W3327" t="str">
        <f t="shared" si="3"/>
        <v/>
      </c>
      <c r="X3327" s="4" t="str">
        <f>IF(V3327="","",INDEX(Fornecedores!$X$1:$X$6631,V3327))</f>
        <v/>
      </c>
      <c r="Y3327" s="4" t="str">
        <f t="shared" si="4"/>
        <v/>
      </c>
    </row>
    <row r="3328" spans="19:25">
      <c r="S3328" t="str">
        <f t="shared" si="0"/>
        <v/>
      </c>
      <c r="T3328" t="str">
        <f t="shared" si="1"/>
        <v/>
      </c>
      <c r="U3328" t="str">
        <f t="shared" si="2"/>
        <v/>
      </c>
      <c r="V3328" t="str">
        <f>IF(OR(U3328="",U3328="ERRO_CHAVE"),"",IFERROR(MATCH(U3328,Fornecedores!$AF$1:$AF$6631,0),""))</f>
        <v/>
      </c>
      <c r="W3328" t="str">
        <f t="shared" si="3"/>
        <v/>
      </c>
      <c r="X3328" s="4" t="str">
        <f>IF(V3328="","",INDEX(Fornecedores!$X$1:$X$6631,V3328))</f>
        <v/>
      </c>
      <c r="Y3328" s="4" t="str">
        <f t="shared" si="4"/>
        <v/>
      </c>
    </row>
    <row r="3329" spans="19:25">
      <c r="S3329" t="str">
        <f t="shared" si="0"/>
        <v/>
      </c>
      <c r="T3329" t="str">
        <f t="shared" si="1"/>
        <v/>
      </c>
      <c r="U3329" t="str">
        <f t="shared" si="2"/>
        <v/>
      </c>
      <c r="V3329" t="str">
        <f>IF(OR(U3329="",U3329="ERRO_CHAVE"),"",IFERROR(MATCH(U3329,Fornecedores!$AF$1:$AF$6631,0),""))</f>
        <v/>
      </c>
      <c r="W3329" t="str">
        <f t="shared" si="3"/>
        <v/>
      </c>
      <c r="X3329" s="4" t="str">
        <f>IF(V3329="","",INDEX(Fornecedores!$X$1:$X$6631,V3329))</f>
        <v/>
      </c>
      <c r="Y3329" s="4" t="str">
        <f t="shared" si="4"/>
        <v/>
      </c>
    </row>
    <row r="3330" spans="19:25">
      <c r="S3330" t="str">
        <f t="shared" si="0"/>
        <v/>
      </c>
      <c r="T3330" t="str">
        <f t="shared" si="1"/>
        <v/>
      </c>
      <c r="U3330" t="str">
        <f t="shared" si="2"/>
        <v/>
      </c>
      <c r="V3330" t="str">
        <f>IF(OR(U3330="",U3330="ERRO_CHAVE"),"",IFERROR(MATCH(U3330,Fornecedores!$AF$1:$AF$6631,0),""))</f>
        <v/>
      </c>
      <c r="W3330" t="str">
        <f t="shared" si="3"/>
        <v/>
      </c>
      <c r="X3330" s="4" t="str">
        <f>IF(V3330="","",INDEX(Fornecedores!$X$1:$X$6631,V3330))</f>
        <v/>
      </c>
      <c r="Y3330" s="4" t="str">
        <f t="shared" si="4"/>
        <v/>
      </c>
    </row>
    <row r="3331" spans="19:25">
      <c r="S3331" t="str">
        <f t="shared" si="0"/>
        <v/>
      </c>
      <c r="T3331" t="str">
        <f t="shared" si="1"/>
        <v/>
      </c>
      <c r="U3331" t="str">
        <f t="shared" si="2"/>
        <v/>
      </c>
      <c r="V3331" t="str">
        <f>IF(OR(U3331="",U3331="ERRO_CHAVE"),"",IFERROR(MATCH(U3331,Fornecedores!$AF$1:$AF$6631,0),""))</f>
        <v/>
      </c>
      <c r="W3331" t="str">
        <f t="shared" si="3"/>
        <v/>
      </c>
      <c r="X3331" s="4" t="str">
        <f>IF(V3331="","",INDEX(Fornecedores!$X$1:$X$6631,V3331))</f>
        <v/>
      </c>
      <c r="Y3331" s="4" t="str">
        <f t="shared" si="4"/>
        <v/>
      </c>
    </row>
    <row r="3332" spans="19:25">
      <c r="S3332" t="str">
        <f t="shared" si="0"/>
        <v/>
      </c>
      <c r="T3332" t="str">
        <f t="shared" si="1"/>
        <v/>
      </c>
      <c r="U3332" t="str">
        <f t="shared" si="2"/>
        <v/>
      </c>
      <c r="V3332" t="str">
        <f>IF(OR(U3332="",U3332="ERRO_CHAVE"),"",IFERROR(MATCH(U3332,Fornecedores!$AF$1:$AF$6631,0),""))</f>
        <v/>
      </c>
      <c r="W3332" t="str">
        <f t="shared" si="3"/>
        <v/>
      </c>
      <c r="X3332" s="4" t="str">
        <f>IF(V3332="","",INDEX(Fornecedores!$X$1:$X$6631,V3332))</f>
        <v/>
      </c>
      <c r="Y3332" s="4" t="str">
        <f t="shared" si="4"/>
        <v/>
      </c>
    </row>
    <row r="3333" spans="19:25">
      <c r="S3333" t="str">
        <f t="shared" si="0"/>
        <v/>
      </c>
      <c r="T3333" t="str">
        <f t="shared" si="1"/>
        <v/>
      </c>
      <c r="U3333" t="str">
        <f t="shared" si="2"/>
        <v/>
      </c>
      <c r="V3333" t="str">
        <f>IF(OR(U3333="",U3333="ERRO_CHAVE"),"",IFERROR(MATCH(U3333,Fornecedores!$AF$1:$AF$6631,0),""))</f>
        <v/>
      </c>
      <c r="W3333" t="str">
        <f t="shared" si="3"/>
        <v/>
      </c>
      <c r="X3333" s="4" t="str">
        <f>IF(V3333="","",INDEX(Fornecedores!$X$1:$X$6631,V3333))</f>
        <v/>
      </c>
      <c r="Y3333" s="4" t="str">
        <f t="shared" si="4"/>
        <v/>
      </c>
    </row>
    <row r="3334" spans="19:25">
      <c r="S3334" t="str">
        <f t="shared" si="0"/>
        <v/>
      </c>
      <c r="T3334" t="str">
        <f t="shared" si="1"/>
        <v/>
      </c>
      <c r="U3334" t="str">
        <f t="shared" si="2"/>
        <v/>
      </c>
      <c r="V3334" t="str">
        <f>IF(OR(U3334="",U3334="ERRO_CHAVE"),"",IFERROR(MATCH(U3334,Fornecedores!$AF$1:$AF$6631,0),""))</f>
        <v/>
      </c>
      <c r="W3334" t="str">
        <f t="shared" si="3"/>
        <v/>
      </c>
      <c r="X3334" s="4" t="str">
        <f>IF(V3334="","",INDEX(Fornecedores!$X$1:$X$6631,V3334))</f>
        <v/>
      </c>
      <c r="Y3334" s="4" t="str">
        <f t="shared" si="4"/>
        <v/>
      </c>
    </row>
    <row r="3335" spans="19:25">
      <c r="S3335" t="str">
        <f t="shared" si="0"/>
        <v/>
      </c>
      <c r="T3335" t="str">
        <f t="shared" si="1"/>
        <v/>
      </c>
      <c r="U3335" t="str">
        <f t="shared" si="2"/>
        <v/>
      </c>
      <c r="V3335" t="str">
        <f>IF(OR(U3335="",U3335="ERRO_CHAVE"),"",IFERROR(MATCH(U3335,Fornecedores!$AF$1:$AF$6631,0),""))</f>
        <v/>
      </c>
      <c r="W3335" t="str">
        <f t="shared" si="3"/>
        <v/>
      </c>
      <c r="X3335" s="4" t="str">
        <f>IF(V3335="","",INDEX(Fornecedores!$X$1:$X$6631,V3335))</f>
        <v/>
      </c>
      <c r="Y3335" s="4" t="str">
        <f t="shared" si="4"/>
        <v/>
      </c>
    </row>
    <row r="3336" spans="19:25">
      <c r="S3336" t="str">
        <f t="shared" si="0"/>
        <v/>
      </c>
      <c r="T3336" t="str">
        <f t="shared" si="1"/>
        <v/>
      </c>
      <c r="U3336" t="str">
        <f t="shared" si="2"/>
        <v/>
      </c>
      <c r="V3336" t="str">
        <f>IF(OR(U3336="",U3336="ERRO_CHAVE"),"",IFERROR(MATCH(U3336,Fornecedores!$AF$1:$AF$6631,0),""))</f>
        <v/>
      </c>
      <c r="W3336" t="str">
        <f t="shared" si="3"/>
        <v/>
      </c>
      <c r="X3336" s="4" t="str">
        <f>IF(V3336="","",INDEX(Fornecedores!$X$1:$X$6631,V3336))</f>
        <v/>
      </c>
      <c r="Y3336" s="4" t="str">
        <f t="shared" si="4"/>
        <v/>
      </c>
    </row>
    <row r="3337" spans="19:25">
      <c r="S3337" t="str">
        <f t="shared" si="0"/>
        <v/>
      </c>
      <c r="T3337" t="str">
        <f t="shared" si="1"/>
        <v/>
      </c>
      <c r="U3337" t="str">
        <f t="shared" si="2"/>
        <v/>
      </c>
      <c r="V3337" t="str">
        <f>IF(OR(U3337="",U3337="ERRO_CHAVE"),"",IFERROR(MATCH(U3337,Fornecedores!$AF$1:$AF$6631,0),""))</f>
        <v/>
      </c>
      <c r="W3337" t="str">
        <f t="shared" si="3"/>
        <v/>
      </c>
      <c r="X3337" s="4" t="str">
        <f>IF(V3337="","",INDEX(Fornecedores!$X$1:$X$6631,V3337))</f>
        <v/>
      </c>
      <c r="Y3337" s="4" t="str">
        <f t="shared" si="4"/>
        <v/>
      </c>
    </row>
    <row r="3338" spans="19:25">
      <c r="S3338" t="str">
        <f t="shared" si="0"/>
        <v/>
      </c>
      <c r="T3338" t="str">
        <f t="shared" si="1"/>
        <v/>
      </c>
      <c r="U3338" t="str">
        <f t="shared" si="2"/>
        <v/>
      </c>
      <c r="V3338" t="str">
        <f>IF(OR(U3338="",U3338="ERRO_CHAVE"),"",IFERROR(MATCH(U3338,Fornecedores!$AF$1:$AF$6631,0),""))</f>
        <v/>
      </c>
      <c r="W3338" t="str">
        <f t="shared" si="3"/>
        <v/>
      </c>
      <c r="X3338" s="4" t="str">
        <f>IF(V3338="","",INDEX(Fornecedores!$X$1:$X$6631,V3338))</f>
        <v/>
      </c>
      <c r="Y3338" s="4" t="str">
        <f t="shared" si="4"/>
        <v/>
      </c>
    </row>
    <row r="3339" spans="19:25">
      <c r="S3339" t="str">
        <f t="shared" si="0"/>
        <v/>
      </c>
      <c r="T3339" t="str">
        <f t="shared" si="1"/>
        <v/>
      </c>
      <c r="U3339" t="str">
        <f t="shared" si="2"/>
        <v/>
      </c>
      <c r="V3339" t="str">
        <f>IF(OR(U3339="",U3339="ERRO_CHAVE"),"",IFERROR(MATCH(U3339,Fornecedores!$AF$1:$AF$6631,0),""))</f>
        <v/>
      </c>
      <c r="W3339" t="str">
        <f t="shared" si="3"/>
        <v/>
      </c>
      <c r="X3339" s="4" t="str">
        <f>IF(V3339="","",INDEX(Fornecedores!$X$1:$X$6631,V3339))</f>
        <v/>
      </c>
      <c r="Y3339" s="4" t="str">
        <f t="shared" si="4"/>
        <v/>
      </c>
    </row>
    <row r="3340" spans="19:25">
      <c r="S3340" t="str">
        <f t="shared" si="0"/>
        <v/>
      </c>
      <c r="T3340" t="str">
        <f t="shared" si="1"/>
        <v/>
      </c>
      <c r="U3340" t="str">
        <f t="shared" si="2"/>
        <v/>
      </c>
      <c r="V3340" t="str">
        <f>IF(OR(U3340="",U3340="ERRO_CHAVE"),"",IFERROR(MATCH(U3340,Fornecedores!$AF$1:$AF$6631,0),""))</f>
        <v/>
      </c>
      <c r="W3340" t="str">
        <f t="shared" si="3"/>
        <v/>
      </c>
      <c r="X3340" s="4" t="str">
        <f>IF(V3340="","",INDEX(Fornecedores!$X$1:$X$6631,V3340))</f>
        <v/>
      </c>
      <c r="Y3340" s="4" t="str">
        <f t="shared" si="4"/>
        <v/>
      </c>
    </row>
    <row r="3341" spans="19:25">
      <c r="S3341" t="str">
        <f t="shared" si="0"/>
        <v/>
      </c>
      <c r="T3341" t="str">
        <f t="shared" si="1"/>
        <v/>
      </c>
      <c r="U3341" t="str">
        <f t="shared" si="2"/>
        <v/>
      </c>
      <c r="V3341" t="str">
        <f>IF(OR(U3341="",U3341="ERRO_CHAVE"),"",IFERROR(MATCH(U3341,Fornecedores!$AF$1:$AF$6631,0),""))</f>
        <v/>
      </c>
      <c r="W3341" t="str">
        <f t="shared" si="3"/>
        <v/>
      </c>
      <c r="X3341" s="4" t="str">
        <f>IF(V3341="","",INDEX(Fornecedores!$X$1:$X$6631,V3341))</f>
        <v/>
      </c>
      <c r="Y3341" s="4" t="str">
        <f t="shared" si="4"/>
        <v/>
      </c>
    </row>
    <row r="3342" spans="19:25">
      <c r="S3342" t="str">
        <f t="shared" si="0"/>
        <v/>
      </c>
      <c r="T3342" t="str">
        <f t="shared" si="1"/>
        <v/>
      </c>
      <c r="U3342" t="str">
        <f t="shared" si="2"/>
        <v/>
      </c>
      <c r="V3342" t="str">
        <f>IF(OR(U3342="",U3342="ERRO_CHAVE"),"",IFERROR(MATCH(U3342,Fornecedores!$AF$1:$AF$6631,0),""))</f>
        <v/>
      </c>
      <c r="W3342" t="str">
        <f t="shared" si="3"/>
        <v/>
      </c>
      <c r="X3342" s="4" t="str">
        <f>IF(V3342="","",INDEX(Fornecedores!$X$1:$X$6631,V3342))</f>
        <v/>
      </c>
      <c r="Y3342" s="4" t="str">
        <f t="shared" si="4"/>
        <v/>
      </c>
    </row>
    <row r="3343" spans="19:25">
      <c r="S3343" t="str">
        <f t="shared" si="0"/>
        <v/>
      </c>
      <c r="T3343" t="str">
        <f t="shared" si="1"/>
        <v/>
      </c>
      <c r="U3343" t="str">
        <f t="shared" si="2"/>
        <v/>
      </c>
      <c r="V3343" t="str">
        <f>IF(OR(U3343="",U3343="ERRO_CHAVE"),"",IFERROR(MATCH(U3343,Fornecedores!$AF$1:$AF$6631,0),""))</f>
        <v/>
      </c>
      <c r="W3343" t="str">
        <f t="shared" si="3"/>
        <v/>
      </c>
      <c r="X3343" s="4" t="str">
        <f>IF(V3343="","",INDEX(Fornecedores!$X$1:$X$6631,V3343))</f>
        <v/>
      </c>
      <c r="Y3343" s="4" t="str">
        <f t="shared" si="4"/>
        <v/>
      </c>
    </row>
    <row r="3344" spans="19:25">
      <c r="S3344" t="str">
        <f t="shared" si="0"/>
        <v/>
      </c>
      <c r="T3344" t="str">
        <f t="shared" si="1"/>
        <v/>
      </c>
      <c r="U3344" t="str">
        <f t="shared" si="2"/>
        <v/>
      </c>
      <c r="V3344" t="str">
        <f>IF(OR(U3344="",U3344="ERRO_CHAVE"),"",IFERROR(MATCH(U3344,Fornecedores!$AF$1:$AF$6631,0),""))</f>
        <v/>
      </c>
      <c r="W3344" t="str">
        <f t="shared" si="3"/>
        <v/>
      </c>
      <c r="X3344" s="4" t="str">
        <f>IF(V3344="","",INDEX(Fornecedores!$X$1:$X$6631,V3344))</f>
        <v/>
      </c>
      <c r="Y3344" s="4" t="str">
        <f t="shared" si="4"/>
        <v/>
      </c>
    </row>
    <row r="3345" spans="19:25">
      <c r="S3345" t="str">
        <f t="shared" si="0"/>
        <v/>
      </c>
      <c r="T3345" t="str">
        <f t="shared" si="1"/>
        <v/>
      </c>
      <c r="U3345" t="str">
        <f t="shared" si="2"/>
        <v/>
      </c>
      <c r="V3345" t="str">
        <f>IF(OR(U3345="",U3345="ERRO_CHAVE"),"",IFERROR(MATCH(U3345,Fornecedores!$AF$1:$AF$6631,0),""))</f>
        <v/>
      </c>
      <c r="W3345" t="str">
        <f t="shared" si="3"/>
        <v/>
      </c>
      <c r="X3345" s="4" t="str">
        <f>IF(V3345="","",INDEX(Fornecedores!$X$1:$X$6631,V3345))</f>
        <v/>
      </c>
      <c r="Y3345" s="4" t="str">
        <f t="shared" si="4"/>
        <v/>
      </c>
    </row>
    <row r="3346" spans="19:25">
      <c r="S3346" t="str">
        <f t="shared" si="0"/>
        <v/>
      </c>
      <c r="T3346" t="str">
        <f t="shared" si="1"/>
        <v/>
      </c>
      <c r="U3346" t="str">
        <f t="shared" si="2"/>
        <v/>
      </c>
      <c r="V3346" t="str">
        <f>IF(OR(U3346="",U3346="ERRO_CHAVE"),"",IFERROR(MATCH(U3346,Fornecedores!$AF$1:$AF$6631,0),""))</f>
        <v/>
      </c>
      <c r="W3346" t="str">
        <f t="shared" si="3"/>
        <v/>
      </c>
      <c r="X3346" s="4" t="str">
        <f>IF(V3346="","",INDEX(Fornecedores!$X$1:$X$6631,V3346))</f>
        <v/>
      </c>
      <c r="Y3346" s="4" t="str">
        <f t="shared" si="4"/>
        <v/>
      </c>
    </row>
    <row r="3347" spans="19:25">
      <c r="S3347" t="str">
        <f t="shared" si="0"/>
        <v/>
      </c>
      <c r="T3347" t="str">
        <f t="shared" si="1"/>
        <v/>
      </c>
      <c r="U3347" t="str">
        <f t="shared" si="2"/>
        <v/>
      </c>
      <c r="V3347" t="str">
        <f>IF(OR(U3347="",U3347="ERRO_CHAVE"),"",IFERROR(MATCH(U3347,Fornecedores!$AF$1:$AF$6631,0),""))</f>
        <v/>
      </c>
      <c r="W3347" t="str">
        <f t="shared" si="3"/>
        <v/>
      </c>
      <c r="X3347" s="4" t="str">
        <f>IF(V3347="","",INDEX(Fornecedores!$X$1:$X$6631,V3347))</f>
        <v/>
      </c>
      <c r="Y3347" s="4" t="str">
        <f t="shared" si="4"/>
        <v/>
      </c>
    </row>
    <row r="3348" spans="19:25">
      <c r="S3348" t="str">
        <f t="shared" si="0"/>
        <v/>
      </c>
      <c r="T3348" t="str">
        <f t="shared" si="1"/>
        <v/>
      </c>
      <c r="U3348" t="str">
        <f t="shared" si="2"/>
        <v/>
      </c>
      <c r="V3348" t="str">
        <f>IF(OR(U3348="",U3348="ERRO_CHAVE"),"",IFERROR(MATCH(U3348,Fornecedores!$AF$1:$AF$6631,0),""))</f>
        <v/>
      </c>
      <c r="W3348" t="str">
        <f t="shared" si="3"/>
        <v/>
      </c>
      <c r="X3348" s="4" t="str">
        <f>IF(V3348="","",INDEX(Fornecedores!$X$1:$X$6631,V3348))</f>
        <v/>
      </c>
      <c r="Y3348" s="4" t="str">
        <f t="shared" si="4"/>
        <v/>
      </c>
    </row>
    <row r="3349" spans="19:25">
      <c r="S3349" t="str">
        <f t="shared" si="0"/>
        <v/>
      </c>
      <c r="T3349" t="str">
        <f t="shared" si="1"/>
        <v/>
      </c>
      <c r="U3349" t="str">
        <f t="shared" si="2"/>
        <v/>
      </c>
      <c r="V3349" t="str">
        <f>IF(OR(U3349="",U3349="ERRO_CHAVE"),"",IFERROR(MATCH(U3349,Fornecedores!$AF$1:$AF$6631,0),""))</f>
        <v/>
      </c>
      <c r="W3349" t="str">
        <f t="shared" si="3"/>
        <v/>
      </c>
      <c r="X3349" s="4" t="str">
        <f>IF(V3349="","",INDEX(Fornecedores!$X$1:$X$6631,V3349))</f>
        <v/>
      </c>
      <c r="Y3349" s="4" t="str">
        <f t="shared" si="4"/>
        <v/>
      </c>
    </row>
    <row r="3350" spans="19:25">
      <c r="S3350" t="str">
        <f t="shared" si="0"/>
        <v/>
      </c>
      <c r="T3350" t="str">
        <f t="shared" si="1"/>
        <v/>
      </c>
      <c r="U3350" t="str">
        <f t="shared" si="2"/>
        <v/>
      </c>
      <c r="V3350" t="str">
        <f>IF(OR(U3350="",U3350="ERRO_CHAVE"),"",IFERROR(MATCH(U3350,Fornecedores!$AF$1:$AF$6631,0),""))</f>
        <v/>
      </c>
      <c r="W3350" t="str">
        <f t="shared" si="3"/>
        <v/>
      </c>
      <c r="X3350" s="4" t="str">
        <f>IF(V3350="","",INDEX(Fornecedores!$X$1:$X$6631,V3350))</f>
        <v/>
      </c>
      <c r="Y3350" s="4" t="str">
        <f t="shared" si="4"/>
        <v/>
      </c>
    </row>
    <row r="3351" spans="19:25">
      <c r="S3351" t="str">
        <f t="shared" si="0"/>
        <v/>
      </c>
      <c r="T3351" t="str">
        <f t="shared" si="1"/>
        <v/>
      </c>
      <c r="U3351" t="str">
        <f t="shared" si="2"/>
        <v/>
      </c>
      <c r="V3351" t="str">
        <f>IF(OR(U3351="",U3351="ERRO_CHAVE"),"",IFERROR(MATCH(U3351,Fornecedores!$AF$1:$AF$6631,0),""))</f>
        <v/>
      </c>
      <c r="W3351" t="str">
        <f t="shared" si="3"/>
        <v/>
      </c>
      <c r="X3351" s="4" t="str">
        <f>IF(V3351="","",INDEX(Fornecedores!$X$1:$X$6631,V3351))</f>
        <v/>
      </c>
      <c r="Y3351" s="4" t="str">
        <f t="shared" si="4"/>
        <v/>
      </c>
    </row>
    <row r="3352" spans="19:25">
      <c r="S3352" t="str">
        <f t="shared" si="0"/>
        <v/>
      </c>
      <c r="T3352" t="str">
        <f t="shared" si="1"/>
        <v/>
      </c>
      <c r="U3352" t="str">
        <f t="shared" si="2"/>
        <v/>
      </c>
      <c r="V3352" t="str">
        <f>IF(OR(U3352="",U3352="ERRO_CHAVE"),"",IFERROR(MATCH(U3352,Fornecedores!$AF$1:$AF$6631,0),""))</f>
        <v/>
      </c>
      <c r="W3352" t="str">
        <f t="shared" si="3"/>
        <v/>
      </c>
      <c r="X3352" s="4" t="str">
        <f>IF(V3352="","",INDEX(Fornecedores!$X$1:$X$6631,V3352))</f>
        <v/>
      </c>
      <c r="Y3352" s="4" t="str">
        <f t="shared" si="4"/>
        <v/>
      </c>
    </row>
    <row r="3353" spans="19:25">
      <c r="S3353" t="str">
        <f t="shared" si="0"/>
        <v/>
      </c>
      <c r="T3353" t="str">
        <f t="shared" si="1"/>
        <v/>
      </c>
      <c r="U3353" t="str">
        <f t="shared" si="2"/>
        <v/>
      </c>
      <c r="V3353" t="str">
        <f>IF(OR(U3353="",U3353="ERRO_CHAVE"),"",IFERROR(MATCH(U3353,Fornecedores!$AF$1:$AF$6631,0),""))</f>
        <v/>
      </c>
      <c r="W3353" t="str">
        <f t="shared" si="3"/>
        <v/>
      </c>
      <c r="X3353" s="4" t="str">
        <f>IF(V3353="","",INDEX(Fornecedores!$X$1:$X$6631,V3353))</f>
        <v/>
      </c>
      <c r="Y3353" s="4" t="str">
        <f t="shared" si="4"/>
        <v/>
      </c>
    </row>
    <row r="3354" spans="19:25">
      <c r="S3354" t="str">
        <f t="shared" si="0"/>
        <v/>
      </c>
      <c r="T3354" t="str">
        <f t="shared" si="1"/>
        <v/>
      </c>
      <c r="U3354" t="str">
        <f t="shared" si="2"/>
        <v/>
      </c>
      <c r="V3354" t="str">
        <f>IF(OR(U3354="",U3354="ERRO_CHAVE"),"",IFERROR(MATCH(U3354,Fornecedores!$AF$1:$AF$6631,0),""))</f>
        <v/>
      </c>
      <c r="W3354" t="str">
        <f t="shared" si="3"/>
        <v/>
      </c>
      <c r="X3354" s="4" t="str">
        <f>IF(V3354="","",INDEX(Fornecedores!$X$1:$X$6631,V3354))</f>
        <v/>
      </c>
      <c r="Y3354" s="4" t="str">
        <f t="shared" si="4"/>
        <v/>
      </c>
    </row>
    <row r="3355" spans="19:25">
      <c r="S3355" t="str">
        <f t="shared" si="0"/>
        <v/>
      </c>
      <c r="T3355" t="str">
        <f t="shared" si="1"/>
        <v/>
      </c>
      <c r="U3355" t="str">
        <f t="shared" si="2"/>
        <v/>
      </c>
      <c r="V3355" t="str">
        <f>IF(OR(U3355="",U3355="ERRO_CHAVE"),"",IFERROR(MATCH(U3355,Fornecedores!$AF$1:$AF$6631,0),""))</f>
        <v/>
      </c>
      <c r="W3355" t="str">
        <f t="shared" si="3"/>
        <v/>
      </c>
      <c r="X3355" s="4" t="str">
        <f>IF(V3355="","",INDEX(Fornecedores!$X$1:$X$6631,V3355))</f>
        <v/>
      </c>
      <c r="Y3355" s="4" t="str">
        <f t="shared" si="4"/>
        <v/>
      </c>
    </row>
    <row r="3356" spans="19:25">
      <c r="S3356" t="str">
        <f t="shared" si="0"/>
        <v/>
      </c>
      <c r="T3356" t="str">
        <f t="shared" si="1"/>
        <v/>
      </c>
      <c r="U3356" t="str">
        <f t="shared" si="2"/>
        <v/>
      </c>
      <c r="V3356" t="str">
        <f>IF(OR(U3356="",U3356="ERRO_CHAVE"),"",IFERROR(MATCH(U3356,Fornecedores!$AF$1:$AF$6631,0),""))</f>
        <v/>
      </c>
      <c r="W3356" t="str">
        <f t="shared" si="3"/>
        <v/>
      </c>
      <c r="X3356" s="4" t="str">
        <f>IF(V3356="","",INDEX(Fornecedores!$X$1:$X$6631,V3356))</f>
        <v/>
      </c>
      <c r="Y3356" s="4" t="str">
        <f t="shared" si="4"/>
        <v/>
      </c>
    </row>
    <row r="3357" spans="19:25">
      <c r="S3357" t="str">
        <f t="shared" si="0"/>
        <v/>
      </c>
      <c r="T3357" t="str">
        <f t="shared" si="1"/>
        <v/>
      </c>
      <c r="U3357" t="str">
        <f t="shared" si="2"/>
        <v/>
      </c>
      <c r="V3357" t="str">
        <f>IF(OR(U3357="",U3357="ERRO_CHAVE"),"",IFERROR(MATCH(U3357,Fornecedores!$AF$1:$AF$6631,0),""))</f>
        <v/>
      </c>
      <c r="W3357" t="str">
        <f t="shared" si="3"/>
        <v/>
      </c>
      <c r="X3357" s="4" t="str">
        <f>IF(V3357="","",INDEX(Fornecedores!$X$1:$X$6631,V3357))</f>
        <v/>
      </c>
      <c r="Y3357" s="4" t="str">
        <f t="shared" si="4"/>
        <v/>
      </c>
    </row>
    <row r="3358" spans="19:25">
      <c r="S3358" t="str">
        <f t="shared" si="0"/>
        <v/>
      </c>
      <c r="T3358" t="str">
        <f t="shared" si="1"/>
        <v/>
      </c>
      <c r="U3358" t="str">
        <f t="shared" si="2"/>
        <v/>
      </c>
      <c r="V3358" t="str">
        <f>IF(OR(U3358="",U3358="ERRO_CHAVE"),"",IFERROR(MATCH(U3358,Fornecedores!$AF$1:$AF$6631,0),""))</f>
        <v/>
      </c>
      <c r="W3358" t="str">
        <f t="shared" si="3"/>
        <v/>
      </c>
      <c r="X3358" s="4" t="str">
        <f>IF(V3358="","",INDEX(Fornecedores!$X$1:$X$6631,V3358))</f>
        <v/>
      </c>
      <c r="Y3358" s="4" t="str">
        <f t="shared" si="4"/>
        <v/>
      </c>
    </row>
    <row r="3359" spans="19:25">
      <c r="S3359" t="str">
        <f t="shared" si="0"/>
        <v/>
      </c>
      <c r="T3359" t="str">
        <f t="shared" si="1"/>
        <v/>
      </c>
      <c r="U3359" t="str">
        <f t="shared" si="2"/>
        <v/>
      </c>
      <c r="V3359" t="str">
        <f>IF(OR(U3359="",U3359="ERRO_CHAVE"),"",IFERROR(MATCH(U3359,Fornecedores!$AF$1:$AF$6631,0),""))</f>
        <v/>
      </c>
      <c r="W3359" t="str">
        <f t="shared" si="3"/>
        <v/>
      </c>
      <c r="X3359" s="4" t="str">
        <f>IF(V3359="","",INDEX(Fornecedores!$X$1:$X$6631,V3359))</f>
        <v/>
      </c>
      <c r="Y3359" s="4" t="str">
        <f t="shared" si="4"/>
        <v/>
      </c>
    </row>
    <row r="3360" spans="19:25">
      <c r="S3360" t="str">
        <f t="shared" si="0"/>
        <v/>
      </c>
      <c r="T3360" t="str">
        <f t="shared" si="1"/>
        <v/>
      </c>
      <c r="U3360" t="str">
        <f t="shared" si="2"/>
        <v/>
      </c>
      <c r="V3360" t="str">
        <f>IF(OR(U3360="",U3360="ERRO_CHAVE"),"",IFERROR(MATCH(U3360,Fornecedores!$AF$1:$AF$6631,0),""))</f>
        <v/>
      </c>
      <c r="W3360" t="str">
        <f t="shared" si="3"/>
        <v/>
      </c>
      <c r="X3360" s="4" t="str">
        <f>IF(V3360="","",INDEX(Fornecedores!$X$1:$X$6631,V3360))</f>
        <v/>
      </c>
      <c r="Y3360" s="4" t="str">
        <f t="shared" si="4"/>
        <v/>
      </c>
    </row>
    <row r="3361" spans="19:25">
      <c r="S3361" t="str">
        <f t="shared" si="0"/>
        <v/>
      </c>
      <c r="T3361" t="str">
        <f t="shared" si="1"/>
        <v/>
      </c>
      <c r="U3361" t="str">
        <f t="shared" si="2"/>
        <v/>
      </c>
      <c r="V3361" t="str">
        <f>IF(OR(U3361="",U3361="ERRO_CHAVE"),"",IFERROR(MATCH(U3361,Fornecedores!$AF$1:$AF$6631,0),""))</f>
        <v/>
      </c>
      <c r="W3361" t="str">
        <f t="shared" si="3"/>
        <v/>
      </c>
      <c r="X3361" s="4" t="str">
        <f>IF(V3361="","",INDEX(Fornecedores!$X$1:$X$6631,V3361))</f>
        <v/>
      </c>
      <c r="Y3361" s="4" t="str">
        <f t="shared" si="4"/>
        <v/>
      </c>
    </row>
    <row r="3362" spans="19:25">
      <c r="S3362" t="str">
        <f t="shared" si="0"/>
        <v/>
      </c>
      <c r="T3362" t="str">
        <f t="shared" si="1"/>
        <v/>
      </c>
      <c r="U3362" t="str">
        <f t="shared" si="2"/>
        <v/>
      </c>
      <c r="V3362" t="str">
        <f>IF(OR(U3362="",U3362="ERRO_CHAVE"),"",IFERROR(MATCH(U3362,Fornecedores!$AF$1:$AF$6631,0),""))</f>
        <v/>
      </c>
      <c r="W3362" t="str">
        <f t="shared" si="3"/>
        <v/>
      </c>
      <c r="X3362" s="4" t="str">
        <f>IF(V3362="","",INDEX(Fornecedores!$X$1:$X$6631,V3362))</f>
        <v/>
      </c>
      <c r="Y3362" s="4" t="str">
        <f t="shared" si="4"/>
        <v/>
      </c>
    </row>
    <row r="3363" spans="19:25">
      <c r="S3363" t="str">
        <f t="shared" si="0"/>
        <v/>
      </c>
      <c r="T3363" t="str">
        <f t="shared" si="1"/>
        <v/>
      </c>
      <c r="U3363" t="str">
        <f t="shared" si="2"/>
        <v/>
      </c>
      <c r="V3363" t="str">
        <f>IF(OR(U3363="",U3363="ERRO_CHAVE"),"",IFERROR(MATCH(U3363,Fornecedores!$AF$1:$AF$6631,0),""))</f>
        <v/>
      </c>
      <c r="W3363" t="str">
        <f t="shared" si="3"/>
        <v/>
      </c>
      <c r="X3363" s="4" t="str">
        <f>IF(V3363="","",INDEX(Fornecedores!$X$1:$X$6631,V3363))</f>
        <v/>
      </c>
      <c r="Y3363" s="4" t="str">
        <f t="shared" si="4"/>
        <v/>
      </c>
    </row>
    <row r="3364" spans="19:25">
      <c r="S3364" t="str">
        <f t="shared" si="0"/>
        <v/>
      </c>
      <c r="T3364" t="str">
        <f t="shared" si="1"/>
        <v/>
      </c>
      <c r="U3364" t="str">
        <f t="shared" si="2"/>
        <v/>
      </c>
      <c r="V3364" t="str">
        <f>IF(OR(U3364="",U3364="ERRO_CHAVE"),"",IFERROR(MATCH(U3364,Fornecedores!$AF$1:$AF$6631,0),""))</f>
        <v/>
      </c>
      <c r="W3364" t="str">
        <f t="shared" si="3"/>
        <v/>
      </c>
      <c r="X3364" s="4" t="str">
        <f>IF(V3364="","",INDEX(Fornecedores!$X$1:$X$6631,V3364))</f>
        <v/>
      </c>
      <c r="Y3364" s="4" t="str">
        <f t="shared" si="4"/>
        <v/>
      </c>
    </row>
    <row r="3365" spans="19:25">
      <c r="S3365" t="str">
        <f t="shared" si="0"/>
        <v/>
      </c>
      <c r="T3365" t="str">
        <f t="shared" si="1"/>
        <v/>
      </c>
      <c r="U3365" t="str">
        <f t="shared" si="2"/>
        <v/>
      </c>
      <c r="V3365" t="str">
        <f>IF(OR(U3365="",U3365="ERRO_CHAVE"),"",IFERROR(MATCH(U3365,Fornecedores!$AF$1:$AF$6631,0),""))</f>
        <v/>
      </c>
      <c r="W3365" t="str">
        <f t="shared" si="3"/>
        <v/>
      </c>
      <c r="X3365" s="4" t="str">
        <f>IF(V3365="","",INDEX(Fornecedores!$X$1:$X$6631,V3365))</f>
        <v/>
      </c>
      <c r="Y3365" s="4" t="str">
        <f t="shared" si="4"/>
        <v/>
      </c>
    </row>
    <row r="3366" spans="19:25">
      <c r="S3366" t="str">
        <f t="shared" si="0"/>
        <v/>
      </c>
      <c r="T3366" t="str">
        <f t="shared" si="1"/>
        <v/>
      </c>
      <c r="U3366" t="str">
        <f t="shared" si="2"/>
        <v/>
      </c>
      <c r="V3366" t="str">
        <f>IF(OR(U3366="",U3366="ERRO_CHAVE"),"",IFERROR(MATCH(U3366,Fornecedores!$AF$1:$AF$6631,0),""))</f>
        <v/>
      </c>
      <c r="W3366" t="str">
        <f t="shared" si="3"/>
        <v/>
      </c>
      <c r="X3366" s="4" t="str">
        <f>IF(V3366="","",INDEX(Fornecedores!$X$1:$X$6631,V3366))</f>
        <v/>
      </c>
      <c r="Y3366" s="4" t="str">
        <f t="shared" si="4"/>
        <v/>
      </c>
    </row>
    <row r="3367" spans="19:25">
      <c r="S3367" t="str">
        <f t="shared" si="0"/>
        <v/>
      </c>
      <c r="T3367" t="str">
        <f t="shared" si="1"/>
        <v/>
      </c>
      <c r="U3367" t="str">
        <f t="shared" si="2"/>
        <v/>
      </c>
      <c r="V3367" t="str">
        <f>IF(OR(U3367="",U3367="ERRO_CHAVE"),"",IFERROR(MATCH(U3367,Fornecedores!$AF$1:$AF$6631,0),""))</f>
        <v/>
      </c>
      <c r="W3367" t="str">
        <f t="shared" si="3"/>
        <v/>
      </c>
      <c r="X3367" s="4" t="str">
        <f>IF(V3367="","",INDEX(Fornecedores!$X$1:$X$6631,V3367))</f>
        <v/>
      </c>
      <c r="Y3367" s="4" t="str">
        <f t="shared" si="4"/>
        <v/>
      </c>
    </row>
    <row r="3368" spans="19:25">
      <c r="S3368" t="str">
        <f t="shared" si="0"/>
        <v/>
      </c>
      <c r="T3368" t="str">
        <f t="shared" si="1"/>
        <v/>
      </c>
      <c r="U3368" t="str">
        <f t="shared" si="2"/>
        <v/>
      </c>
      <c r="V3368" t="str">
        <f>IF(OR(U3368="",U3368="ERRO_CHAVE"),"",IFERROR(MATCH(U3368,Fornecedores!$AF$1:$AF$6631,0),""))</f>
        <v/>
      </c>
      <c r="W3368" t="str">
        <f t="shared" si="3"/>
        <v/>
      </c>
      <c r="X3368" s="4" t="str">
        <f>IF(V3368="","",INDEX(Fornecedores!$X$1:$X$6631,V3368))</f>
        <v/>
      </c>
      <c r="Y3368" s="4" t="str">
        <f t="shared" si="4"/>
        <v/>
      </c>
    </row>
    <row r="3369" spans="19:25">
      <c r="S3369" t="str">
        <f t="shared" si="0"/>
        <v/>
      </c>
      <c r="T3369" t="str">
        <f t="shared" si="1"/>
        <v/>
      </c>
      <c r="U3369" t="str">
        <f t="shared" si="2"/>
        <v/>
      </c>
      <c r="V3369" t="str">
        <f>IF(OR(U3369="",U3369="ERRO_CHAVE"),"",IFERROR(MATCH(U3369,Fornecedores!$AF$1:$AF$6631,0),""))</f>
        <v/>
      </c>
      <c r="W3369" t="str">
        <f t="shared" si="3"/>
        <v/>
      </c>
      <c r="X3369" s="4" t="str">
        <f>IF(V3369="","",INDEX(Fornecedores!$X$1:$X$6631,V3369))</f>
        <v/>
      </c>
      <c r="Y3369" s="4" t="str">
        <f t="shared" si="4"/>
        <v/>
      </c>
    </row>
    <row r="3370" spans="19:25">
      <c r="S3370" t="str">
        <f t="shared" si="0"/>
        <v/>
      </c>
      <c r="T3370" t="str">
        <f t="shared" si="1"/>
        <v/>
      </c>
      <c r="U3370" t="str">
        <f t="shared" si="2"/>
        <v/>
      </c>
      <c r="V3370" t="str">
        <f>IF(OR(U3370="",U3370="ERRO_CHAVE"),"",IFERROR(MATCH(U3370,Fornecedores!$AF$1:$AF$6631,0),""))</f>
        <v/>
      </c>
      <c r="W3370" t="str">
        <f t="shared" si="3"/>
        <v/>
      </c>
      <c r="X3370" s="4" t="str">
        <f>IF(V3370="","",INDEX(Fornecedores!$X$1:$X$6631,V3370))</f>
        <v/>
      </c>
      <c r="Y3370" s="4" t="str">
        <f t="shared" si="4"/>
        <v/>
      </c>
    </row>
    <row r="3371" spans="19:25">
      <c r="S3371" t="str">
        <f t="shared" si="0"/>
        <v/>
      </c>
      <c r="T3371" t="str">
        <f t="shared" si="1"/>
        <v/>
      </c>
      <c r="U3371" t="str">
        <f t="shared" si="2"/>
        <v/>
      </c>
      <c r="V3371" t="str">
        <f>IF(OR(U3371="",U3371="ERRO_CHAVE"),"",IFERROR(MATCH(U3371,Fornecedores!$AF$1:$AF$6631,0),""))</f>
        <v/>
      </c>
      <c r="W3371" t="str">
        <f t="shared" si="3"/>
        <v/>
      </c>
      <c r="X3371" s="4" t="str">
        <f>IF(V3371="","",INDEX(Fornecedores!$X$1:$X$6631,V3371))</f>
        <v/>
      </c>
      <c r="Y3371" s="4" t="str">
        <f t="shared" si="4"/>
        <v/>
      </c>
    </row>
    <row r="3372" spans="19:25">
      <c r="S3372" t="str">
        <f t="shared" si="0"/>
        <v/>
      </c>
      <c r="T3372" t="str">
        <f t="shared" si="1"/>
        <v/>
      </c>
      <c r="U3372" t="str">
        <f t="shared" si="2"/>
        <v/>
      </c>
      <c r="V3372" t="str">
        <f>IF(OR(U3372="",U3372="ERRO_CHAVE"),"",IFERROR(MATCH(U3372,Fornecedores!$AF$1:$AF$6631,0),""))</f>
        <v/>
      </c>
      <c r="W3372" t="str">
        <f t="shared" si="3"/>
        <v/>
      </c>
      <c r="X3372" s="4" t="str">
        <f>IF(V3372="","",INDEX(Fornecedores!$X$1:$X$6631,V3372))</f>
        <v/>
      </c>
      <c r="Y3372" s="4" t="str">
        <f t="shared" si="4"/>
        <v/>
      </c>
    </row>
    <row r="3373" spans="19:25">
      <c r="S3373" t="str">
        <f t="shared" si="0"/>
        <v/>
      </c>
      <c r="T3373" t="str">
        <f t="shared" si="1"/>
        <v/>
      </c>
      <c r="U3373" t="str">
        <f t="shared" si="2"/>
        <v/>
      </c>
      <c r="V3373" t="str">
        <f>IF(OR(U3373="",U3373="ERRO_CHAVE"),"",IFERROR(MATCH(U3373,Fornecedores!$AF$1:$AF$6631,0),""))</f>
        <v/>
      </c>
      <c r="W3373" t="str">
        <f t="shared" si="3"/>
        <v/>
      </c>
      <c r="X3373" s="4" t="str">
        <f>IF(V3373="","",INDEX(Fornecedores!$X$1:$X$6631,V3373))</f>
        <v/>
      </c>
      <c r="Y3373" s="4" t="str">
        <f t="shared" si="4"/>
        <v/>
      </c>
    </row>
    <row r="3374" spans="19:25">
      <c r="S3374" t="str">
        <f t="shared" si="0"/>
        <v/>
      </c>
      <c r="T3374" t="str">
        <f t="shared" si="1"/>
        <v/>
      </c>
      <c r="U3374" t="str">
        <f t="shared" si="2"/>
        <v/>
      </c>
      <c r="V3374" t="str">
        <f>IF(OR(U3374="",U3374="ERRO_CHAVE"),"",IFERROR(MATCH(U3374,Fornecedores!$AF$1:$AF$6631,0),""))</f>
        <v/>
      </c>
      <c r="W3374" t="str">
        <f t="shared" si="3"/>
        <v/>
      </c>
      <c r="X3374" s="4" t="str">
        <f>IF(V3374="","",INDEX(Fornecedores!$X$1:$X$6631,V3374))</f>
        <v/>
      </c>
      <c r="Y3374" s="4" t="str">
        <f t="shared" si="4"/>
        <v/>
      </c>
    </row>
    <row r="3375" spans="19:25">
      <c r="S3375" t="str">
        <f t="shared" si="0"/>
        <v/>
      </c>
      <c r="T3375" t="str">
        <f t="shared" si="1"/>
        <v/>
      </c>
      <c r="U3375" t="str">
        <f t="shared" si="2"/>
        <v/>
      </c>
      <c r="V3375" t="str">
        <f>IF(OR(U3375="",U3375="ERRO_CHAVE"),"",IFERROR(MATCH(U3375,Fornecedores!$AF$1:$AF$6631,0),""))</f>
        <v/>
      </c>
      <c r="W3375" t="str">
        <f t="shared" si="3"/>
        <v/>
      </c>
      <c r="X3375" s="4" t="str">
        <f>IF(V3375="","",INDEX(Fornecedores!$X$1:$X$6631,V3375))</f>
        <v/>
      </c>
      <c r="Y3375" s="4" t="str">
        <f t="shared" si="4"/>
        <v/>
      </c>
    </row>
    <row r="3376" spans="19:25">
      <c r="S3376" t="str">
        <f t="shared" si="0"/>
        <v/>
      </c>
      <c r="T3376" t="str">
        <f t="shared" si="1"/>
        <v/>
      </c>
      <c r="U3376" t="str">
        <f t="shared" si="2"/>
        <v/>
      </c>
      <c r="V3376" t="str">
        <f>IF(OR(U3376="",U3376="ERRO_CHAVE"),"",IFERROR(MATCH(U3376,Fornecedores!$AF$1:$AF$6631,0),""))</f>
        <v/>
      </c>
      <c r="W3376" t="str">
        <f t="shared" si="3"/>
        <v/>
      </c>
      <c r="X3376" s="4" t="str">
        <f>IF(V3376="","",INDEX(Fornecedores!$X$1:$X$6631,V3376))</f>
        <v/>
      </c>
      <c r="Y3376" s="4" t="str">
        <f t="shared" si="4"/>
        <v/>
      </c>
    </row>
    <row r="3377" spans="19:25">
      <c r="S3377" t="str">
        <f t="shared" si="0"/>
        <v/>
      </c>
      <c r="T3377" t="str">
        <f t="shared" si="1"/>
        <v/>
      </c>
      <c r="U3377" t="str">
        <f t="shared" si="2"/>
        <v/>
      </c>
      <c r="V3377" t="str">
        <f>IF(OR(U3377="",U3377="ERRO_CHAVE"),"",IFERROR(MATCH(U3377,Fornecedores!$AF$1:$AF$6631,0),""))</f>
        <v/>
      </c>
      <c r="W3377" t="str">
        <f t="shared" si="3"/>
        <v/>
      </c>
      <c r="X3377" s="4" t="str">
        <f>IF(V3377="","",INDEX(Fornecedores!$X$1:$X$6631,V3377))</f>
        <v/>
      </c>
      <c r="Y3377" s="4" t="str">
        <f t="shared" si="4"/>
        <v/>
      </c>
    </row>
    <row r="3378" spans="19:25">
      <c r="S3378" t="str">
        <f t="shared" si="0"/>
        <v/>
      </c>
      <c r="T3378" t="str">
        <f t="shared" si="1"/>
        <v/>
      </c>
      <c r="U3378" t="str">
        <f t="shared" si="2"/>
        <v/>
      </c>
      <c r="V3378" t="str">
        <f>IF(OR(U3378="",U3378="ERRO_CHAVE"),"",IFERROR(MATCH(U3378,Fornecedores!$AF$1:$AF$6631,0),""))</f>
        <v/>
      </c>
      <c r="W3378" t="str">
        <f t="shared" si="3"/>
        <v/>
      </c>
      <c r="X3378" s="4" t="str">
        <f>IF(V3378="","",INDEX(Fornecedores!$X$1:$X$6631,V3378))</f>
        <v/>
      </c>
      <c r="Y3378" s="4" t="str">
        <f t="shared" si="4"/>
        <v/>
      </c>
    </row>
    <row r="3379" spans="19:25">
      <c r="S3379" t="str">
        <f t="shared" si="0"/>
        <v/>
      </c>
      <c r="T3379" t="str">
        <f t="shared" si="1"/>
        <v/>
      </c>
      <c r="U3379" t="str">
        <f t="shared" si="2"/>
        <v/>
      </c>
      <c r="V3379" t="str">
        <f>IF(OR(U3379="",U3379="ERRO_CHAVE"),"",IFERROR(MATCH(U3379,Fornecedores!$AF$1:$AF$6631,0),""))</f>
        <v/>
      </c>
      <c r="W3379" t="str">
        <f t="shared" si="3"/>
        <v/>
      </c>
      <c r="X3379" s="4" t="str">
        <f>IF(V3379="","",INDEX(Fornecedores!$X$1:$X$6631,V3379))</f>
        <v/>
      </c>
      <c r="Y3379" s="4" t="str">
        <f t="shared" si="4"/>
        <v/>
      </c>
    </row>
    <row r="3380" spans="19:25">
      <c r="S3380" t="str">
        <f t="shared" si="0"/>
        <v/>
      </c>
      <c r="T3380" t="str">
        <f t="shared" si="1"/>
        <v/>
      </c>
      <c r="U3380" t="str">
        <f t="shared" si="2"/>
        <v/>
      </c>
      <c r="V3380" t="str">
        <f>IF(OR(U3380="",U3380="ERRO_CHAVE"),"",IFERROR(MATCH(U3380,Fornecedores!$AF$1:$AF$6631,0),""))</f>
        <v/>
      </c>
      <c r="W3380" t="str">
        <f t="shared" si="3"/>
        <v/>
      </c>
      <c r="X3380" s="4" t="str">
        <f>IF(V3380="","",INDEX(Fornecedores!$X$1:$X$6631,V3380))</f>
        <v/>
      </c>
      <c r="Y3380" s="4" t="str">
        <f t="shared" si="4"/>
        <v/>
      </c>
    </row>
    <row r="3381" spans="19:25">
      <c r="S3381" t="str">
        <f t="shared" si="0"/>
        <v/>
      </c>
      <c r="T3381" t="str">
        <f t="shared" si="1"/>
        <v/>
      </c>
      <c r="U3381" t="str">
        <f t="shared" si="2"/>
        <v/>
      </c>
      <c r="V3381" t="str">
        <f>IF(OR(U3381="",U3381="ERRO_CHAVE"),"",IFERROR(MATCH(U3381,Fornecedores!$AF$1:$AF$6631,0),""))</f>
        <v/>
      </c>
      <c r="W3381" t="str">
        <f t="shared" si="3"/>
        <v/>
      </c>
      <c r="X3381" s="4" t="str">
        <f>IF(V3381="","",INDEX(Fornecedores!$X$1:$X$6631,V3381))</f>
        <v/>
      </c>
      <c r="Y3381" s="4" t="str">
        <f t="shared" si="4"/>
        <v/>
      </c>
    </row>
    <row r="3382" spans="19:25">
      <c r="S3382" t="str">
        <f t="shared" si="0"/>
        <v/>
      </c>
      <c r="T3382" t="str">
        <f t="shared" si="1"/>
        <v/>
      </c>
      <c r="U3382" t="str">
        <f t="shared" si="2"/>
        <v/>
      </c>
      <c r="V3382" t="str">
        <f>IF(OR(U3382="",U3382="ERRO_CHAVE"),"",IFERROR(MATCH(U3382,Fornecedores!$AF$1:$AF$6631,0),""))</f>
        <v/>
      </c>
      <c r="W3382" t="str">
        <f t="shared" si="3"/>
        <v/>
      </c>
      <c r="X3382" s="4" t="str">
        <f>IF(V3382="","",INDEX(Fornecedores!$X$1:$X$6631,V3382))</f>
        <v/>
      </c>
      <c r="Y3382" s="4" t="str">
        <f t="shared" si="4"/>
        <v/>
      </c>
    </row>
    <row r="3383" spans="19:25">
      <c r="S3383" t="str">
        <f t="shared" si="0"/>
        <v/>
      </c>
      <c r="T3383" t="str">
        <f t="shared" si="1"/>
        <v/>
      </c>
      <c r="U3383" t="str">
        <f t="shared" si="2"/>
        <v/>
      </c>
      <c r="V3383" t="str">
        <f>IF(OR(U3383="",U3383="ERRO_CHAVE"),"",IFERROR(MATCH(U3383,Fornecedores!$AF$1:$AF$6631,0),""))</f>
        <v/>
      </c>
      <c r="W3383" t="str">
        <f t="shared" si="3"/>
        <v/>
      </c>
      <c r="X3383" s="4" t="str">
        <f>IF(V3383="","",INDEX(Fornecedores!$X$1:$X$6631,V3383))</f>
        <v/>
      </c>
      <c r="Y3383" s="4" t="str">
        <f t="shared" si="4"/>
        <v/>
      </c>
    </row>
    <row r="3384" spans="19:25">
      <c r="S3384" t="str">
        <f t="shared" si="0"/>
        <v/>
      </c>
      <c r="T3384" t="str">
        <f t="shared" si="1"/>
        <v/>
      </c>
      <c r="U3384" t="str">
        <f t="shared" si="2"/>
        <v/>
      </c>
      <c r="V3384" t="str">
        <f>IF(OR(U3384="",U3384="ERRO_CHAVE"),"",IFERROR(MATCH(U3384,Fornecedores!$AF$1:$AF$6631,0),""))</f>
        <v/>
      </c>
      <c r="W3384" t="str">
        <f t="shared" si="3"/>
        <v/>
      </c>
      <c r="X3384" s="4" t="str">
        <f>IF(V3384="","",INDEX(Fornecedores!$X$1:$X$6631,V3384))</f>
        <v/>
      </c>
      <c r="Y3384" s="4" t="str">
        <f t="shared" si="4"/>
        <v/>
      </c>
    </row>
    <row r="3385" spans="19:25">
      <c r="S3385" t="str">
        <f t="shared" si="0"/>
        <v/>
      </c>
      <c r="T3385" t="str">
        <f t="shared" si="1"/>
        <v/>
      </c>
      <c r="U3385" t="str">
        <f t="shared" si="2"/>
        <v/>
      </c>
      <c r="V3385" t="str">
        <f>IF(OR(U3385="",U3385="ERRO_CHAVE"),"",IFERROR(MATCH(U3385,Fornecedores!$AF$1:$AF$6631,0),""))</f>
        <v/>
      </c>
      <c r="W3385" t="str">
        <f t="shared" si="3"/>
        <v/>
      </c>
      <c r="X3385" s="4" t="str">
        <f>IF(V3385="","",INDEX(Fornecedores!$X$1:$X$6631,V3385))</f>
        <v/>
      </c>
      <c r="Y3385" s="4" t="str">
        <f t="shared" si="4"/>
        <v/>
      </c>
    </row>
    <row r="3386" spans="19:25">
      <c r="S3386" t="str">
        <f t="shared" si="0"/>
        <v/>
      </c>
      <c r="T3386" t="str">
        <f t="shared" si="1"/>
        <v/>
      </c>
      <c r="U3386" t="str">
        <f t="shared" si="2"/>
        <v/>
      </c>
      <c r="V3386" t="str">
        <f>IF(OR(U3386="",U3386="ERRO_CHAVE"),"",IFERROR(MATCH(U3386,Fornecedores!$AF$1:$AF$6631,0),""))</f>
        <v/>
      </c>
      <c r="W3386" t="str">
        <f t="shared" si="3"/>
        <v/>
      </c>
      <c r="X3386" s="4" t="str">
        <f>IF(V3386="","",INDEX(Fornecedores!$X$1:$X$6631,V3386))</f>
        <v/>
      </c>
      <c r="Y3386" s="4" t="str">
        <f t="shared" si="4"/>
        <v/>
      </c>
    </row>
    <row r="3387" spans="19:25">
      <c r="S3387" t="str">
        <f t="shared" si="0"/>
        <v/>
      </c>
      <c r="T3387" t="str">
        <f t="shared" si="1"/>
        <v/>
      </c>
      <c r="U3387" t="str">
        <f t="shared" si="2"/>
        <v/>
      </c>
      <c r="V3387" t="str">
        <f>IF(OR(U3387="",U3387="ERRO_CHAVE"),"",IFERROR(MATCH(U3387,Fornecedores!$AF$1:$AF$6631,0),""))</f>
        <v/>
      </c>
      <c r="W3387" t="str">
        <f t="shared" si="3"/>
        <v/>
      </c>
      <c r="X3387" s="4" t="str">
        <f>IF(V3387="","",INDEX(Fornecedores!$X$1:$X$6631,V3387))</f>
        <v/>
      </c>
      <c r="Y3387" s="4" t="str">
        <f t="shared" si="4"/>
        <v/>
      </c>
    </row>
    <row r="3388" spans="19:25">
      <c r="S3388" t="str">
        <f t="shared" si="0"/>
        <v/>
      </c>
      <c r="T3388" t="str">
        <f t="shared" si="1"/>
        <v/>
      </c>
      <c r="U3388" t="str">
        <f t="shared" si="2"/>
        <v/>
      </c>
      <c r="V3388" t="str">
        <f>IF(OR(U3388="",U3388="ERRO_CHAVE"),"",IFERROR(MATCH(U3388,Fornecedores!$AF$1:$AF$6631,0),""))</f>
        <v/>
      </c>
      <c r="W3388" t="str">
        <f t="shared" si="3"/>
        <v/>
      </c>
      <c r="X3388" s="4" t="str">
        <f>IF(V3388="","",INDEX(Fornecedores!$X$1:$X$6631,V3388))</f>
        <v/>
      </c>
      <c r="Y3388" s="4" t="str">
        <f t="shared" si="4"/>
        <v/>
      </c>
    </row>
    <row r="3389" spans="19:25">
      <c r="S3389" t="str">
        <f t="shared" si="0"/>
        <v/>
      </c>
      <c r="T3389" t="str">
        <f t="shared" si="1"/>
        <v/>
      </c>
      <c r="U3389" t="str">
        <f t="shared" si="2"/>
        <v/>
      </c>
      <c r="V3389" t="str">
        <f>IF(OR(U3389="",U3389="ERRO_CHAVE"),"",IFERROR(MATCH(U3389,Fornecedores!$AF$1:$AF$6631,0),""))</f>
        <v/>
      </c>
      <c r="W3389" t="str">
        <f t="shared" si="3"/>
        <v/>
      </c>
      <c r="X3389" s="4" t="str">
        <f>IF(V3389="","",INDEX(Fornecedores!$X$1:$X$6631,V3389))</f>
        <v/>
      </c>
      <c r="Y3389" s="4" t="str">
        <f t="shared" si="4"/>
        <v/>
      </c>
    </row>
    <row r="3390" spans="19:25">
      <c r="S3390" t="str">
        <f t="shared" si="0"/>
        <v/>
      </c>
      <c r="T3390" t="str">
        <f t="shared" si="1"/>
        <v/>
      </c>
      <c r="U3390" t="str">
        <f t="shared" si="2"/>
        <v/>
      </c>
      <c r="V3390" t="str">
        <f>IF(OR(U3390="",U3390="ERRO_CHAVE"),"",IFERROR(MATCH(U3390,Fornecedores!$AF$1:$AF$6631,0),""))</f>
        <v/>
      </c>
      <c r="W3390" t="str">
        <f t="shared" si="3"/>
        <v/>
      </c>
      <c r="X3390" s="4" t="str">
        <f>IF(V3390="","",INDEX(Fornecedores!$X$1:$X$6631,V3390))</f>
        <v/>
      </c>
      <c r="Y3390" s="4" t="str">
        <f t="shared" si="4"/>
        <v/>
      </c>
    </row>
    <row r="3391" spans="19:25">
      <c r="S3391" t="str">
        <f t="shared" si="0"/>
        <v/>
      </c>
      <c r="T3391" t="str">
        <f t="shared" si="1"/>
        <v/>
      </c>
      <c r="U3391" t="str">
        <f t="shared" si="2"/>
        <v/>
      </c>
      <c r="V3391" t="str">
        <f>IF(OR(U3391="",U3391="ERRO_CHAVE"),"",IFERROR(MATCH(U3391,Fornecedores!$AF$1:$AF$6631,0),""))</f>
        <v/>
      </c>
      <c r="W3391" t="str">
        <f t="shared" si="3"/>
        <v/>
      </c>
      <c r="X3391" s="4" t="str">
        <f>IF(V3391="","",INDEX(Fornecedores!$X$1:$X$6631,V3391))</f>
        <v/>
      </c>
      <c r="Y3391" s="4" t="str">
        <f t="shared" si="4"/>
        <v/>
      </c>
    </row>
    <row r="3392" spans="19:25">
      <c r="S3392" t="str">
        <f t="shared" si="0"/>
        <v/>
      </c>
      <c r="T3392" t="str">
        <f t="shared" si="1"/>
        <v/>
      </c>
      <c r="U3392" t="str">
        <f t="shared" si="2"/>
        <v/>
      </c>
      <c r="V3392" t="str">
        <f>IF(OR(U3392="",U3392="ERRO_CHAVE"),"",IFERROR(MATCH(U3392,Fornecedores!$AF$1:$AF$6631,0),""))</f>
        <v/>
      </c>
      <c r="W3392" t="str">
        <f t="shared" si="3"/>
        <v/>
      </c>
      <c r="X3392" s="4" t="str">
        <f>IF(V3392="","",INDEX(Fornecedores!$X$1:$X$6631,V3392))</f>
        <v/>
      </c>
      <c r="Y3392" s="4" t="str">
        <f t="shared" si="4"/>
        <v/>
      </c>
    </row>
    <row r="3393" spans="19:25">
      <c r="S3393" t="str">
        <f t="shared" si="0"/>
        <v/>
      </c>
      <c r="T3393" t="str">
        <f t="shared" si="1"/>
        <v/>
      </c>
      <c r="U3393" t="str">
        <f t="shared" si="2"/>
        <v/>
      </c>
      <c r="V3393" t="str">
        <f>IF(OR(U3393="",U3393="ERRO_CHAVE"),"",IFERROR(MATCH(U3393,Fornecedores!$AF$1:$AF$6631,0),""))</f>
        <v/>
      </c>
      <c r="W3393" t="str">
        <f t="shared" si="3"/>
        <v/>
      </c>
      <c r="X3393" s="4" t="str">
        <f>IF(V3393="","",INDEX(Fornecedores!$X$1:$X$6631,V3393))</f>
        <v/>
      </c>
      <c r="Y3393" s="4" t="str">
        <f t="shared" si="4"/>
        <v/>
      </c>
    </row>
    <row r="3394" spans="19:25">
      <c r="S3394" t="str">
        <f t="shared" si="0"/>
        <v/>
      </c>
      <c r="T3394" t="str">
        <f t="shared" si="1"/>
        <v/>
      </c>
      <c r="U3394" t="str">
        <f t="shared" si="2"/>
        <v/>
      </c>
      <c r="V3394" t="str">
        <f>IF(OR(U3394="",U3394="ERRO_CHAVE"),"",IFERROR(MATCH(U3394,Fornecedores!$AF$1:$AF$6631,0),""))</f>
        <v/>
      </c>
      <c r="W3394" t="str">
        <f t="shared" si="3"/>
        <v/>
      </c>
      <c r="X3394" s="4" t="str">
        <f>IF(V3394="","",INDEX(Fornecedores!$X$1:$X$6631,V3394))</f>
        <v/>
      </c>
      <c r="Y3394" s="4" t="str">
        <f t="shared" si="4"/>
        <v/>
      </c>
    </row>
    <row r="3395" spans="19:25">
      <c r="S3395" t="str">
        <f t="shared" si="0"/>
        <v/>
      </c>
      <c r="T3395" t="str">
        <f t="shared" si="1"/>
        <v/>
      </c>
      <c r="U3395" t="str">
        <f t="shared" si="2"/>
        <v/>
      </c>
      <c r="V3395" t="str">
        <f>IF(OR(U3395="",U3395="ERRO_CHAVE"),"",IFERROR(MATCH(U3395,Fornecedores!$AF$1:$AF$6631,0),""))</f>
        <v/>
      </c>
      <c r="W3395" t="str">
        <f t="shared" si="3"/>
        <v/>
      </c>
      <c r="X3395" s="4" t="str">
        <f>IF(V3395="","",INDEX(Fornecedores!$X$1:$X$6631,V3395))</f>
        <v/>
      </c>
      <c r="Y3395" s="4" t="str">
        <f t="shared" si="4"/>
        <v/>
      </c>
    </row>
    <row r="3396" spans="19:25">
      <c r="S3396" t="str">
        <f t="shared" si="0"/>
        <v/>
      </c>
      <c r="T3396" t="str">
        <f t="shared" si="1"/>
        <v/>
      </c>
      <c r="U3396" t="str">
        <f t="shared" si="2"/>
        <v/>
      </c>
      <c r="V3396" t="str">
        <f>IF(OR(U3396="",U3396="ERRO_CHAVE"),"",IFERROR(MATCH(U3396,Fornecedores!$AF$1:$AF$6631,0),""))</f>
        <v/>
      </c>
      <c r="W3396" t="str">
        <f t="shared" si="3"/>
        <v/>
      </c>
      <c r="X3396" s="4" t="str">
        <f>IF(V3396="","",INDEX(Fornecedores!$X$1:$X$6631,V3396))</f>
        <v/>
      </c>
      <c r="Y3396" s="4" t="str">
        <f t="shared" si="4"/>
        <v/>
      </c>
    </row>
    <row r="3397" spans="19:25">
      <c r="S3397" t="str">
        <f t="shared" si="0"/>
        <v/>
      </c>
      <c r="T3397" t="str">
        <f t="shared" si="1"/>
        <v/>
      </c>
      <c r="U3397" t="str">
        <f t="shared" si="2"/>
        <v/>
      </c>
      <c r="V3397" t="str">
        <f>IF(OR(U3397="",U3397="ERRO_CHAVE"),"",IFERROR(MATCH(U3397,Fornecedores!$AF$1:$AF$6631,0),""))</f>
        <v/>
      </c>
      <c r="W3397" t="str">
        <f t="shared" si="3"/>
        <v/>
      </c>
      <c r="X3397" s="4" t="str">
        <f>IF(V3397="","",INDEX(Fornecedores!$X$1:$X$6631,V3397))</f>
        <v/>
      </c>
      <c r="Y3397" s="4" t="str">
        <f t="shared" si="4"/>
        <v/>
      </c>
    </row>
    <row r="3398" spans="19:25">
      <c r="S3398" t="str">
        <f t="shared" si="0"/>
        <v/>
      </c>
      <c r="T3398" t="str">
        <f t="shared" si="1"/>
        <v/>
      </c>
      <c r="U3398" t="str">
        <f t="shared" si="2"/>
        <v/>
      </c>
      <c r="V3398" t="str">
        <f>IF(OR(U3398="",U3398="ERRO_CHAVE"),"",IFERROR(MATCH(U3398,Fornecedores!$AF$1:$AF$6631,0),""))</f>
        <v/>
      </c>
      <c r="W3398" t="str">
        <f t="shared" si="3"/>
        <v/>
      </c>
      <c r="X3398" s="4" t="str">
        <f>IF(V3398="","",INDEX(Fornecedores!$X$1:$X$6631,V3398))</f>
        <v/>
      </c>
      <c r="Y3398" s="4" t="str">
        <f t="shared" si="4"/>
        <v/>
      </c>
    </row>
    <row r="3399" spans="19:25">
      <c r="S3399" t="str">
        <f t="shared" si="0"/>
        <v/>
      </c>
      <c r="T3399" t="str">
        <f t="shared" si="1"/>
        <v/>
      </c>
      <c r="U3399" t="str">
        <f t="shared" si="2"/>
        <v/>
      </c>
      <c r="V3399" t="str">
        <f>IF(OR(U3399="",U3399="ERRO_CHAVE"),"",IFERROR(MATCH(U3399,Fornecedores!$AF$1:$AF$6631,0),""))</f>
        <v/>
      </c>
      <c r="W3399" t="str">
        <f t="shared" si="3"/>
        <v/>
      </c>
      <c r="X3399" s="4" t="str">
        <f>IF(V3399="","",INDEX(Fornecedores!$X$1:$X$6631,V3399))</f>
        <v/>
      </c>
      <c r="Y3399" s="4" t="str">
        <f t="shared" si="4"/>
        <v/>
      </c>
    </row>
    <row r="3400" spans="19:25">
      <c r="S3400" t="str">
        <f t="shared" si="0"/>
        <v/>
      </c>
      <c r="T3400" t="str">
        <f t="shared" si="1"/>
        <v/>
      </c>
      <c r="U3400" t="str">
        <f t="shared" si="2"/>
        <v/>
      </c>
      <c r="V3400" t="str">
        <f>IF(OR(U3400="",U3400="ERRO_CHAVE"),"",IFERROR(MATCH(U3400,Fornecedores!$AF$1:$AF$6631,0),""))</f>
        <v/>
      </c>
      <c r="W3400" t="str">
        <f t="shared" si="3"/>
        <v/>
      </c>
      <c r="X3400" s="4" t="str">
        <f>IF(V3400="","",INDEX(Fornecedores!$X$1:$X$6631,V3400))</f>
        <v/>
      </c>
      <c r="Y3400" s="4" t="str">
        <f t="shared" si="4"/>
        <v/>
      </c>
    </row>
    <row r="3401" spans="19:25">
      <c r="S3401" t="str">
        <f t="shared" si="0"/>
        <v/>
      </c>
      <c r="T3401" t="str">
        <f t="shared" si="1"/>
        <v/>
      </c>
      <c r="U3401" t="str">
        <f t="shared" si="2"/>
        <v/>
      </c>
      <c r="V3401" t="str">
        <f>IF(OR(U3401="",U3401="ERRO_CHAVE"),"",IFERROR(MATCH(U3401,Fornecedores!$AF$1:$AF$6631,0),""))</f>
        <v/>
      </c>
      <c r="W3401" t="str">
        <f t="shared" si="3"/>
        <v/>
      </c>
      <c r="X3401" s="4" t="str">
        <f>IF(V3401="","",INDEX(Fornecedores!$X$1:$X$6631,V3401))</f>
        <v/>
      </c>
      <c r="Y3401" s="4" t="str">
        <f t="shared" si="4"/>
        <v/>
      </c>
    </row>
    <row r="3402" spans="19:25">
      <c r="S3402" t="str">
        <f t="shared" si="0"/>
        <v/>
      </c>
      <c r="T3402" t="str">
        <f t="shared" si="1"/>
        <v/>
      </c>
      <c r="U3402" t="str">
        <f t="shared" si="2"/>
        <v/>
      </c>
      <c r="V3402" t="str">
        <f>IF(OR(U3402="",U3402="ERRO_CHAVE"),"",IFERROR(MATCH(U3402,Fornecedores!$AF$1:$AF$6631,0),""))</f>
        <v/>
      </c>
      <c r="W3402" t="str">
        <f t="shared" si="3"/>
        <v/>
      </c>
      <c r="X3402" s="4" t="str">
        <f>IF(V3402="","",INDEX(Fornecedores!$X$1:$X$6631,V3402))</f>
        <v/>
      </c>
      <c r="Y3402" s="4" t="str">
        <f t="shared" si="4"/>
        <v/>
      </c>
    </row>
    <row r="3403" spans="19:25">
      <c r="S3403" t="str">
        <f t="shared" si="0"/>
        <v/>
      </c>
      <c r="T3403" t="str">
        <f t="shared" si="1"/>
        <v/>
      </c>
      <c r="U3403" t="str">
        <f t="shared" si="2"/>
        <v/>
      </c>
      <c r="V3403" t="str">
        <f>IF(OR(U3403="",U3403="ERRO_CHAVE"),"",IFERROR(MATCH(U3403,Fornecedores!$AF$1:$AF$6631,0),""))</f>
        <v/>
      </c>
      <c r="W3403" t="str">
        <f t="shared" si="3"/>
        <v/>
      </c>
      <c r="X3403" s="4" t="str">
        <f>IF(V3403="","",INDEX(Fornecedores!$X$1:$X$6631,V3403))</f>
        <v/>
      </c>
      <c r="Y3403" s="4" t="str">
        <f t="shared" si="4"/>
        <v/>
      </c>
    </row>
    <row r="3404" spans="19:25">
      <c r="S3404" t="str">
        <f t="shared" si="0"/>
        <v/>
      </c>
      <c r="T3404" t="str">
        <f t="shared" si="1"/>
        <v/>
      </c>
      <c r="U3404" t="str">
        <f t="shared" si="2"/>
        <v/>
      </c>
      <c r="V3404" t="str">
        <f>IF(OR(U3404="",U3404="ERRO_CHAVE"),"",IFERROR(MATCH(U3404,Fornecedores!$AF$1:$AF$6631,0),""))</f>
        <v/>
      </c>
      <c r="W3404" t="str">
        <f t="shared" si="3"/>
        <v/>
      </c>
      <c r="X3404" s="4" t="str">
        <f>IF(V3404="","",INDEX(Fornecedores!$X$1:$X$6631,V3404))</f>
        <v/>
      </c>
      <c r="Y3404" s="4" t="str">
        <f t="shared" si="4"/>
        <v/>
      </c>
    </row>
    <row r="3405" spans="19:25">
      <c r="S3405" t="str">
        <f t="shared" si="0"/>
        <v/>
      </c>
      <c r="T3405" t="str">
        <f t="shared" si="1"/>
        <v/>
      </c>
      <c r="U3405" t="str">
        <f t="shared" si="2"/>
        <v/>
      </c>
      <c r="V3405" t="str">
        <f>IF(OR(U3405="",U3405="ERRO_CHAVE"),"",IFERROR(MATCH(U3405,Fornecedores!$AF$1:$AF$6631,0),""))</f>
        <v/>
      </c>
      <c r="W3405" t="str">
        <f t="shared" si="3"/>
        <v/>
      </c>
      <c r="X3405" s="4" t="str">
        <f>IF(V3405="","",INDEX(Fornecedores!$X$1:$X$6631,V3405))</f>
        <v/>
      </c>
      <c r="Y3405" s="4" t="str">
        <f t="shared" si="4"/>
        <v/>
      </c>
    </row>
    <row r="3406" spans="19:25">
      <c r="S3406" t="str">
        <f t="shared" si="0"/>
        <v/>
      </c>
      <c r="T3406" t="str">
        <f t="shared" si="1"/>
        <v/>
      </c>
      <c r="U3406" t="str">
        <f t="shared" si="2"/>
        <v/>
      </c>
      <c r="V3406" t="str">
        <f>IF(OR(U3406="",U3406="ERRO_CHAVE"),"",IFERROR(MATCH(U3406,Fornecedores!$AF$1:$AF$6631,0),""))</f>
        <v/>
      </c>
      <c r="W3406" t="str">
        <f t="shared" si="3"/>
        <v/>
      </c>
      <c r="X3406" s="4" t="str">
        <f>IF(V3406="","",INDEX(Fornecedores!$X$1:$X$6631,V3406))</f>
        <v/>
      </c>
      <c r="Y3406" s="4" t="str">
        <f t="shared" si="4"/>
        <v/>
      </c>
    </row>
    <row r="3407" spans="19:25">
      <c r="S3407" t="str">
        <f t="shared" si="0"/>
        <v/>
      </c>
      <c r="T3407" t="str">
        <f t="shared" si="1"/>
        <v/>
      </c>
      <c r="U3407" t="str">
        <f t="shared" si="2"/>
        <v/>
      </c>
      <c r="V3407" t="str">
        <f>IF(OR(U3407="",U3407="ERRO_CHAVE"),"",IFERROR(MATCH(U3407,Fornecedores!$AF$1:$AF$6631,0),""))</f>
        <v/>
      </c>
      <c r="W3407" t="str">
        <f t="shared" si="3"/>
        <v/>
      </c>
      <c r="X3407" s="4" t="str">
        <f>IF(V3407="","",INDEX(Fornecedores!$X$1:$X$6631,V3407))</f>
        <v/>
      </c>
      <c r="Y3407" s="4" t="str">
        <f t="shared" si="4"/>
        <v/>
      </c>
    </row>
    <row r="3408" spans="19:25">
      <c r="S3408" t="str">
        <f t="shared" si="0"/>
        <v/>
      </c>
      <c r="T3408" t="str">
        <f t="shared" si="1"/>
        <v/>
      </c>
      <c r="U3408" t="str">
        <f t="shared" si="2"/>
        <v/>
      </c>
      <c r="V3408" t="str">
        <f>IF(OR(U3408="",U3408="ERRO_CHAVE"),"",IFERROR(MATCH(U3408,Fornecedores!$AF$1:$AF$6631,0),""))</f>
        <v/>
      </c>
      <c r="W3408" t="str">
        <f t="shared" si="3"/>
        <v/>
      </c>
      <c r="X3408" s="4" t="str">
        <f>IF(V3408="","",INDEX(Fornecedores!$X$1:$X$6631,V3408))</f>
        <v/>
      </c>
      <c r="Y3408" s="4" t="str">
        <f t="shared" si="4"/>
        <v/>
      </c>
    </row>
    <row r="3409" spans="19:25">
      <c r="S3409" t="str">
        <f t="shared" si="0"/>
        <v/>
      </c>
      <c r="T3409" t="str">
        <f t="shared" si="1"/>
        <v/>
      </c>
      <c r="U3409" t="str">
        <f t="shared" si="2"/>
        <v/>
      </c>
      <c r="V3409" t="str">
        <f>IF(OR(U3409="",U3409="ERRO_CHAVE"),"",IFERROR(MATCH(U3409,Fornecedores!$AF$1:$AF$6631,0),""))</f>
        <v/>
      </c>
      <c r="W3409" t="str">
        <f t="shared" si="3"/>
        <v/>
      </c>
      <c r="X3409" s="4" t="str">
        <f>IF(V3409="","",INDEX(Fornecedores!$X$1:$X$6631,V3409))</f>
        <v/>
      </c>
      <c r="Y3409" s="4" t="str">
        <f t="shared" si="4"/>
        <v/>
      </c>
    </row>
    <row r="3410" spans="19:25">
      <c r="S3410" t="str">
        <f t="shared" si="0"/>
        <v/>
      </c>
      <c r="T3410" t="str">
        <f t="shared" si="1"/>
        <v/>
      </c>
      <c r="U3410" t="str">
        <f t="shared" si="2"/>
        <v/>
      </c>
      <c r="V3410" t="str">
        <f>IF(OR(U3410="",U3410="ERRO_CHAVE"),"",IFERROR(MATCH(U3410,Fornecedores!$AF$1:$AF$6631,0),""))</f>
        <v/>
      </c>
      <c r="W3410" t="str">
        <f t="shared" si="3"/>
        <v/>
      </c>
      <c r="X3410" s="4" t="str">
        <f>IF(V3410="","",INDEX(Fornecedores!$X$1:$X$6631,V3410))</f>
        <v/>
      </c>
      <c r="Y3410" s="4" t="str">
        <f t="shared" si="4"/>
        <v/>
      </c>
    </row>
    <row r="3411" spans="19:25">
      <c r="S3411" t="str">
        <f t="shared" si="0"/>
        <v/>
      </c>
      <c r="T3411" t="str">
        <f t="shared" si="1"/>
        <v/>
      </c>
      <c r="U3411" t="str">
        <f t="shared" si="2"/>
        <v/>
      </c>
      <c r="V3411" t="str">
        <f>IF(OR(U3411="",U3411="ERRO_CHAVE"),"",IFERROR(MATCH(U3411,Fornecedores!$AF$1:$AF$6631,0),""))</f>
        <v/>
      </c>
      <c r="W3411" t="str">
        <f t="shared" si="3"/>
        <v/>
      </c>
      <c r="X3411" s="4" t="str">
        <f>IF(V3411="","",INDEX(Fornecedores!$X$1:$X$6631,V3411))</f>
        <v/>
      </c>
      <c r="Y3411" s="4" t="str">
        <f t="shared" si="4"/>
        <v/>
      </c>
    </row>
    <row r="3412" spans="19:25">
      <c r="S3412" t="str">
        <f t="shared" si="0"/>
        <v/>
      </c>
      <c r="T3412" t="str">
        <f t="shared" si="1"/>
        <v/>
      </c>
      <c r="U3412" t="str">
        <f t="shared" si="2"/>
        <v/>
      </c>
      <c r="V3412" t="str">
        <f>IF(OR(U3412="",U3412="ERRO_CHAVE"),"",IFERROR(MATCH(U3412,Fornecedores!$AF$1:$AF$6631,0),""))</f>
        <v/>
      </c>
      <c r="W3412" t="str">
        <f t="shared" si="3"/>
        <v/>
      </c>
      <c r="X3412" s="4" t="str">
        <f>IF(V3412="","",INDEX(Fornecedores!$X$1:$X$6631,V3412))</f>
        <v/>
      </c>
      <c r="Y3412" s="4" t="str">
        <f t="shared" si="4"/>
        <v/>
      </c>
    </row>
    <row r="3413" spans="19:25">
      <c r="S3413" t="str">
        <f t="shared" si="0"/>
        <v/>
      </c>
      <c r="T3413" t="str">
        <f t="shared" si="1"/>
        <v/>
      </c>
      <c r="U3413" t="str">
        <f t="shared" si="2"/>
        <v/>
      </c>
      <c r="V3413" t="str">
        <f>IF(OR(U3413="",U3413="ERRO_CHAVE"),"",IFERROR(MATCH(U3413,Fornecedores!$AF$1:$AF$6631,0),""))</f>
        <v/>
      </c>
      <c r="W3413" t="str">
        <f t="shared" si="3"/>
        <v/>
      </c>
      <c r="X3413" s="4" t="str">
        <f>IF(V3413="","",INDEX(Fornecedores!$X$1:$X$6631,V3413))</f>
        <v/>
      </c>
      <c r="Y3413" s="4" t="str">
        <f t="shared" si="4"/>
        <v/>
      </c>
    </row>
    <row r="3414" spans="19:25">
      <c r="S3414" t="str">
        <f t="shared" si="0"/>
        <v/>
      </c>
      <c r="T3414" t="str">
        <f t="shared" si="1"/>
        <v/>
      </c>
      <c r="U3414" t="str">
        <f t="shared" si="2"/>
        <v/>
      </c>
      <c r="V3414" t="str">
        <f>IF(OR(U3414="",U3414="ERRO_CHAVE"),"",IFERROR(MATCH(U3414,Fornecedores!$AF$1:$AF$6631,0),""))</f>
        <v/>
      </c>
      <c r="W3414" t="str">
        <f t="shared" si="3"/>
        <v/>
      </c>
      <c r="X3414" s="4" t="str">
        <f>IF(V3414="","",INDEX(Fornecedores!$X$1:$X$6631,V3414))</f>
        <v/>
      </c>
      <c r="Y3414" s="4" t="str">
        <f t="shared" si="4"/>
        <v/>
      </c>
    </row>
    <row r="3415" spans="19:25">
      <c r="S3415" t="str">
        <f t="shared" si="0"/>
        <v/>
      </c>
      <c r="T3415" t="str">
        <f t="shared" si="1"/>
        <v/>
      </c>
      <c r="U3415" t="str">
        <f t="shared" si="2"/>
        <v/>
      </c>
      <c r="V3415" t="str">
        <f>IF(OR(U3415="",U3415="ERRO_CHAVE"),"",IFERROR(MATCH(U3415,Fornecedores!$AF$1:$AF$6631,0),""))</f>
        <v/>
      </c>
      <c r="W3415" t="str">
        <f t="shared" si="3"/>
        <v/>
      </c>
      <c r="X3415" s="4" t="str">
        <f>IF(V3415="","",INDEX(Fornecedores!$X$1:$X$6631,V3415))</f>
        <v/>
      </c>
      <c r="Y3415" s="4" t="str">
        <f t="shared" si="4"/>
        <v/>
      </c>
    </row>
    <row r="3416" spans="19:25">
      <c r="S3416" t="str">
        <f t="shared" si="0"/>
        <v/>
      </c>
      <c r="T3416" t="str">
        <f t="shared" si="1"/>
        <v/>
      </c>
      <c r="U3416" t="str">
        <f t="shared" si="2"/>
        <v/>
      </c>
      <c r="V3416" t="str">
        <f>IF(OR(U3416="",U3416="ERRO_CHAVE"),"",IFERROR(MATCH(U3416,Fornecedores!$AF$1:$AF$6631,0),""))</f>
        <v/>
      </c>
      <c r="W3416" t="str">
        <f t="shared" si="3"/>
        <v/>
      </c>
      <c r="X3416" s="4" t="str">
        <f>IF(V3416="","",INDEX(Fornecedores!$X$1:$X$6631,V3416))</f>
        <v/>
      </c>
      <c r="Y3416" s="4" t="str">
        <f t="shared" si="4"/>
        <v/>
      </c>
    </row>
    <row r="3417" spans="19:25">
      <c r="S3417" t="str">
        <f t="shared" si="0"/>
        <v/>
      </c>
      <c r="T3417" t="str">
        <f t="shared" si="1"/>
        <v/>
      </c>
      <c r="U3417" t="str">
        <f t="shared" si="2"/>
        <v/>
      </c>
      <c r="V3417" t="str">
        <f>IF(OR(U3417="",U3417="ERRO_CHAVE"),"",IFERROR(MATCH(U3417,Fornecedores!$AF$1:$AF$6631,0),""))</f>
        <v/>
      </c>
      <c r="W3417" t="str">
        <f t="shared" si="3"/>
        <v/>
      </c>
      <c r="X3417" s="4" t="str">
        <f>IF(V3417="","",INDEX(Fornecedores!$X$1:$X$6631,V3417))</f>
        <v/>
      </c>
      <c r="Y3417" s="4" t="str">
        <f t="shared" si="4"/>
        <v/>
      </c>
    </row>
    <row r="3418" spans="19:25">
      <c r="S3418" t="str">
        <f t="shared" si="0"/>
        <v/>
      </c>
      <c r="T3418" t="str">
        <f t="shared" si="1"/>
        <v/>
      </c>
      <c r="U3418" t="str">
        <f t="shared" si="2"/>
        <v/>
      </c>
      <c r="V3418" t="str">
        <f>IF(OR(U3418="",U3418="ERRO_CHAVE"),"",IFERROR(MATCH(U3418,Fornecedores!$AF$1:$AF$6631,0),""))</f>
        <v/>
      </c>
      <c r="W3418" t="str">
        <f t="shared" si="3"/>
        <v/>
      </c>
      <c r="X3418" s="4" t="str">
        <f>IF(V3418="","",INDEX(Fornecedores!$X$1:$X$6631,V3418))</f>
        <v/>
      </c>
      <c r="Y3418" s="4" t="str">
        <f t="shared" si="4"/>
        <v/>
      </c>
    </row>
    <row r="3419" spans="19:25">
      <c r="S3419" t="str">
        <f t="shared" si="0"/>
        <v/>
      </c>
      <c r="T3419" t="str">
        <f t="shared" si="1"/>
        <v/>
      </c>
      <c r="U3419" t="str">
        <f t="shared" si="2"/>
        <v/>
      </c>
      <c r="V3419" t="str">
        <f>IF(OR(U3419="",U3419="ERRO_CHAVE"),"",IFERROR(MATCH(U3419,Fornecedores!$AF$1:$AF$6631,0),""))</f>
        <v/>
      </c>
      <c r="W3419" t="str">
        <f t="shared" si="3"/>
        <v/>
      </c>
      <c r="X3419" s="4" t="str">
        <f>IF(V3419="","",INDEX(Fornecedores!$X$1:$X$6631,V3419))</f>
        <v/>
      </c>
      <c r="Y3419" s="4" t="str">
        <f t="shared" si="4"/>
        <v/>
      </c>
    </row>
    <row r="3420" spans="19:25">
      <c r="S3420" t="str">
        <f t="shared" si="0"/>
        <v/>
      </c>
      <c r="T3420" t="str">
        <f t="shared" si="1"/>
        <v/>
      </c>
      <c r="U3420" t="str">
        <f t="shared" si="2"/>
        <v/>
      </c>
      <c r="V3420" t="str">
        <f>IF(OR(U3420="",U3420="ERRO_CHAVE"),"",IFERROR(MATCH(U3420,Fornecedores!$AF$1:$AF$6631,0),""))</f>
        <v/>
      </c>
      <c r="W3420" t="str">
        <f t="shared" si="3"/>
        <v/>
      </c>
      <c r="X3420" s="4" t="str">
        <f>IF(V3420="","",INDEX(Fornecedores!$X$1:$X$6631,V3420))</f>
        <v/>
      </c>
      <c r="Y3420" s="4" t="str">
        <f t="shared" si="4"/>
        <v/>
      </c>
    </row>
    <row r="3421" spans="19:25">
      <c r="S3421" t="str">
        <f t="shared" si="0"/>
        <v/>
      </c>
      <c r="T3421" t="str">
        <f t="shared" si="1"/>
        <v/>
      </c>
      <c r="U3421" t="str">
        <f t="shared" si="2"/>
        <v/>
      </c>
      <c r="V3421" t="str">
        <f>IF(OR(U3421="",U3421="ERRO_CHAVE"),"",IFERROR(MATCH(U3421,Fornecedores!$AF$1:$AF$6631,0),""))</f>
        <v/>
      </c>
      <c r="W3421" t="str">
        <f t="shared" si="3"/>
        <v/>
      </c>
      <c r="X3421" s="4" t="str">
        <f>IF(V3421="","",INDEX(Fornecedores!$X$1:$X$6631,V3421))</f>
        <v/>
      </c>
      <c r="Y3421" s="4" t="str">
        <f t="shared" si="4"/>
        <v/>
      </c>
    </row>
    <row r="3422" spans="19:25">
      <c r="S3422" t="str">
        <f t="shared" si="0"/>
        <v/>
      </c>
      <c r="T3422" t="str">
        <f t="shared" si="1"/>
        <v/>
      </c>
      <c r="U3422" t="str">
        <f t="shared" si="2"/>
        <v/>
      </c>
      <c r="V3422" t="str">
        <f>IF(OR(U3422="",U3422="ERRO_CHAVE"),"",IFERROR(MATCH(U3422,Fornecedores!$AF$1:$AF$6631,0),""))</f>
        <v/>
      </c>
      <c r="W3422" t="str">
        <f t="shared" si="3"/>
        <v/>
      </c>
      <c r="X3422" s="4" t="str">
        <f>IF(V3422="","",INDEX(Fornecedores!$X$1:$X$6631,V3422))</f>
        <v/>
      </c>
      <c r="Y3422" s="4" t="str">
        <f t="shared" si="4"/>
        <v/>
      </c>
    </row>
    <row r="3423" spans="19:25">
      <c r="S3423" t="str">
        <f t="shared" si="0"/>
        <v/>
      </c>
      <c r="T3423" t="str">
        <f t="shared" si="1"/>
        <v/>
      </c>
      <c r="U3423" t="str">
        <f t="shared" si="2"/>
        <v/>
      </c>
      <c r="V3423" t="str">
        <f>IF(OR(U3423="",U3423="ERRO_CHAVE"),"",IFERROR(MATCH(U3423,Fornecedores!$AF$1:$AF$6631,0),""))</f>
        <v/>
      </c>
      <c r="W3423" t="str">
        <f t="shared" si="3"/>
        <v/>
      </c>
      <c r="X3423" s="4" t="str">
        <f>IF(V3423="","",INDEX(Fornecedores!$X$1:$X$6631,V3423))</f>
        <v/>
      </c>
      <c r="Y3423" s="4" t="str">
        <f t="shared" si="4"/>
        <v/>
      </c>
    </row>
    <row r="3424" spans="19:25">
      <c r="S3424" t="str">
        <f t="shared" si="0"/>
        <v/>
      </c>
      <c r="T3424" t="str">
        <f t="shared" si="1"/>
        <v/>
      </c>
      <c r="U3424" t="str">
        <f t="shared" si="2"/>
        <v/>
      </c>
      <c r="V3424" t="str">
        <f>IF(OR(U3424="",U3424="ERRO_CHAVE"),"",IFERROR(MATCH(U3424,Fornecedores!$AF$1:$AF$6631,0),""))</f>
        <v/>
      </c>
      <c r="W3424" t="str">
        <f t="shared" si="3"/>
        <v/>
      </c>
      <c r="X3424" s="4" t="str">
        <f>IF(V3424="","",INDEX(Fornecedores!$X$1:$X$6631,V3424))</f>
        <v/>
      </c>
      <c r="Y3424" s="4" t="str">
        <f t="shared" si="4"/>
        <v/>
      </c>
    </row>
    <row r="3425" spans="19:25">
      <c r="S3425" t="str">
        <f t="shared" si="0"/>
        <v/>
      </c>
      <c r="T3425" t="str">
        <f t="shared" si="1"/>
        <v/>
      </c>
      <c r="U3425" t="str">
        <f t="shared" si="2"/>
        <v/>
      </c>
      <c r="V3425" t="str">
        <f>IF(OR(U3425="",U3425="ERRO_CHAVE"),"",IFERROR(MATCH(U3425,Fornecedores!$AF$1:$AF$6631,0),""))</f>
        <v/>
      </c>
      <c r="W3425" t="str">
        <f t="shared" si="3"/>
        <v/>
      </c>
      <c r="X3425" s="4" t="str">
        <f>IF(V3425="","",INDEX(Fornecedores!$X$1:$X$6631,V3425))</f>
        <v/>
      </c>
      <c r="Y3425" s="4" t="str">
        <f t="shared" si="4"/>
        <v/>
      </c>
    </row>
    <row r="3426" spans="19:25">
      <c r="S3426" t="str">
        <f t="shared" si="0"/>
        <v/>
      </c>
      <c r="T3426" t="str">
        <f t="shared" si="1"/>
        <v/>
      </c>
      <c r="U3426" t="str">
        <f t="shared" si="2"/>
        <v/>
      </c>
      <c r="V3426" t="str">
        <f>IF(OR(U3426="",U3426="ERRO_CHAVE"),"",IFERROR(MATCH(U3426,Fornecedores!$AF$1:$AF$6631,0),""))</f>
        <v/>
      </c>
      <c r="W3426" t="str">
        <f t="shared" si="3"/>
        <v/>
      </c>
      <c r="X3426" s="4" t="str">
        <f>IF(V3426="","",INDEX(Fornecedores!$X$1:$X$6631,V3426))</f>
        <v/>
      </c>
      <c r="Y3426" s="4" t="str">
        <f t="shared" si="4"/>
        <v/>
      </c>
    </row>
    <row r="3427" spans="19:25">
      <c r="S3427" t="str">
        <f t="shared" si="0"/>
        <v/>
      </c>
      <c r="T3427" t="str">
        <f t="shared" si="1"/>
        <v/>
      </c>
      <c r="U3427" t="str">
        <f t="shared" si="2"/>
        <v/>
      </c>
      <c r="V3427" t="str">
        <f>IF(OR(U3427="",U3427="ERRO_CHAVE"),"",IFERROR(MATCH(U3427,Fornecedores!$AF$1:$AF$6631,0),""))</f>
        <v/>
      </c>
      <c r="W3427" t="str">
        <f t="shared" si="3"/>
        <v/>
      </c>
      <c r="X3427" s="4" t="str">
        <f>IF(V3427="","",INDEX(Fornecedores!$X$1:$X$6631,V3427))</f>
        <v/>
      </c>
      <c r="Y3427" s="4" t="str">
        <f t="shared" si="4"/>
        <v/>
      </c>
    </row>
    <row r="3428" spans="19:25">
      <c r="S3428" t="str">
        <f t="shared" si="0"/>
        <v/>
      </c>
      <c r="T3428" t="str">
        <f t="shared" si="1"/>
        <v/>
      </c>
      <c r="U3428" t="str">
        <f t="shared" si="2"/>
        <v/>
      </c>
      <c r="V3428" t="str">
        <f>IF(OR(U3428="",U3428="ERRO_CHAVE"),"",IFERROR(MATCH(U3428,Fornecedores!$AF$1:$AF$6631,0),""))</f>
        <v/>
      </c>
      <c r="W3428" t="str">
        <f t="shared" si="3"/>
        <v/>
      </c>
      <c r="X3428" s="4" t="str">
        <f>IF(V3428="","",INDEX(Fornecedores!$X$1:$X$6631,V3428))</f>
        <v/>
      </c>
      <c r="Y3428" s="4" t="str">
        <f t="shared" si="4"/>
        <v/>
      </c>
    </row>
    <row r="3429" spans="19:25">
      <c r="S3429" t="str">
        <f t="shared" si="0"/>
        <v/>
      </c>
      <c r="T3429" t="str">
        <f t="shared" si="1"/>
        <v/>
      </c>
      <c r="U3429" t="str">
        <f t="shared" si="2"/>
        <v/>
      </c>
      <c r="V3429" t="str">
        <f>IF(OR(U3429="",U3429="ERRO_CHAVE"),"",IFERROR(MATCH(U3429,Fornecedores!$AF$1:$AF$6631,0),""))</f>
        <v/>
      </c>
      <c r="W3429" t="str">
        <f t="shared" si="3"/>
        <v/>
      </c>
      <c r="X3429" s="4" t="str">
        <f>IF(V3429="","",INDEX(Fornecedores!$X$1:$X$6631,V3429))</f>
        <v/>
      </c>
      <c r="Y3429" s="4" t="str">
        <f t="shared" si="4"/>
        <v/>
      </c>
    </row>
    <row r="3430" spans="19:25">
      <c r="S3430" t="str">
        <f t="shared" si="0"/>
        <v/>
      </c>
      <c r="T3430" t="str">
        <f t="shared" si="1"/>
        <v/>
      </c>
      <c r="U3430" t="str">
        <f t="shared" si="2"/>
        <v/>
      </c>
      <c r="V3430" t="str">
        <f>IF(OR(U3430="",U3430="ERRO_CHAVE"),"",IFERROR(MATCH(U3430,Fornecedores!$AF$1:$AF$6631,0),""))</f>
        <v/>
      </c>
      <c r="W3430" t="str">
        <f t="shared" si="3"/>
        <v/>
      </c>
      <c r="X3430" s="4" t="str">
        <f>IF(V3430="","",INDEX(Fornecedores!$X$1:$X$6631,V3430))</f>
        <v/>
      </c>
      <c r="Y3430" s="4" t="str">
        <f t="shared" si="4"/>
        <v/>
      </c>
    </row>
    <row r="3431" spans="19:25">
      <c r="S3431" t="str">
        <f t="shared" si="0"/>
        <v/>
      </c>
      <c r="T3431" t="str">
        <f t="shared" si="1"/>
        <v/>
      </c>
      <c r="U3431" t="str">
        <f t="shared" si="2"/>
        <v/>
      </c>
      <c r="V3431" t="str">
        <f>IF(OR(U3431="",U3431="ERRO_CHAVE"),"",IFERROR(MATCH(U3431,Fornecedores!$AF$1:$AF$6631,0),""))</f>
        <v/>
      </c>
      <c r="W3431" t="str">
        <f t="shared" si="3"/>
        <v/>
      </c>
      <c r="X3431" s="4" t="str">
        <f>IF(V3431="","",INDEX(Fornecedores!$X$1:$X$6631,V3431))</f>
        <v/>
      </c>
      <c r="Y3431" s="4" t="str">
        <f t="shared" si="4"/>
        <v/>
      </c>
    </row>
    <row r="3432" spans="19:25">
      <c r="S3432" t="str">
        <f t="shared" si="0"/>
        <v/>
      </c>
      <c r="T3432" t="str">
        <f t="shared" si="1"/>
        <v/>
      </c>
      <c r="U3432" t="str">
        <f t="shared" si="2"/>
        <v/>
      </c>
      <c r="V3432" t="str">
        <f>IF(OR(U3432="",U3432="ERRO_CHAVE"),"",IFERROR(MATCH(U3432,Fornecedores!$AF$1:$AF$6631,0),""))</f>
        <v/>
      </c>
      <c r="W3432" t="str">
        <f t="shared" si="3"/>
        <v/>
      </c>
      <c r="X3432" s="4" t="str">
        <f>IF(V3432="","",INDEX(Fornecedores!$X$1:$X$6631,V3432))</f>
        <v/>
      </c>
      <c r="Y3432" s="4" t="str">
        <f t="shared" si="4"/>
        <v/>
      </c>
    </row>
    <row r="3433" spans="19:25">
      <c r="S3433" t="str">
        <f t="shared" si="0"/>
        <v/>
      </c>
      <c r="T3433" t="str">
        <f t="shared" si="1"/>
        <v/>
      </c>
      <c r="U3433" t="str">
        <f t="shared" si="2"/>
        <v/>
      </c>
      <c r="V3433" t="str">
        <f>IF(OR(U3433="",U3433="ERRO_CHAVE"),"",IFERROR(MATCH(U3433,Fornecedores!$AF$1:$AF$6631,0),""))</f>
        <v/>
      </c>
      <c r="W3433" t="str">
        <f t="shared" si="3"/>
        <v/>
      </c>
      <c r="X3433" s="4" t="str">
        <f>IF(V3433="","",INDEX(Fornecedores!$X$1:$X$6631,V3433))</f>
        <v/>
      </c>
      <c r="Y3433" s="4" t="str">
        <f t="shared" si="4"/>
        <v/>
      </c>
    </row>
    <row r="3434" spans="19:25">
      <c r="S3434" t="str">
        <f t="shared" si="0"/>
        <v/>
      </c>
      <c r="T3434" t="str">
        <f t="shared" si="1"/>
        <v/>
      </c>
      <c r="U3434" t="str">
        <f t="shared" si="2"/>
        <v/>
      </c>
      <c r="V3434" t="str">
        <f>IF(OR(U3434="",U3434="ERRO_CHAVE"),"",IFERROR(MATCH(U3434,Fornecedores!$AF$1:$AF$6631,0),""))</f>
        <v/>
      </c>
      <c r="W3434" t="str">
        <f t="shared" si="3"/>
        <v/>
      </c>
      <c r="X3434" s="4" t="str">
        <f>IF(V3434="","",INDEX(Fornecedores!$X$1:$X$6631,V3434))</f>
        <v/>
      </c>
      <c r="Y3434" s="4" t="str">
        <f t="shared" si="4"/>
        <v/>
      </c>
    </row>
    <row r="3435" spans="19:25">
      <c r="S3435" t="str">
        <f t="shared" si="0"/>
        <v/>
      </c>
      <c r="T3435" t="str">
        <f t="shared" si="1"/>
        <v/>
      </c>
      <c r="U3435" t="str">
        <f t="shared" si="2"/>
        <v/>
      </c>
      <c r="V3435" t="str">
        <f>IF(OR(U3435="",U3435="ERRO_CHAVE"),"",IFERROR(MATCH(U3435,Fornecedores!$AF$1:$AF$6631,0),""))</f>
        <v/>
      </c>
      <c r="W3435" t="str">
        <f t="shared" si="3"/>
        <v/>
      </c>
      <c r="X3435" s="4" t="str">
        <f>IF(V3435="","",INDEX(Fornecedores!$X$1:$X$6631,V3435))</f>
        <v/>
      </c>
      <c r="Y3435" s="4" t="str">
        <f t="shared" si="4"/>
        <v/>
      </c>
    </row>
    <row r="3436" spans="19:25">
      <c r="S3436" t="str">
        <f t="shared" si="0"/>
        <v/>
      </c>
      <c r="T3436" t="str">
        <f t="shared" si="1"/>
        <v/>
      </c>
      <c r="U3436" t="str">
        <f t="shared" si="2"/>
        <v/>
      </c>
      <c r="V3436" t="str">
        <f>IF(OR(U3436="",U3436="ERRO_CHAVE"),"",IFERROR(MATCH(U3436,Fornecedores!$AF$1:$AF$6631,0),""))</f>
        <v/>
      </c>
      <c r="W3436" t="str">
        <f t="shared" si="3"/>
        <v/>
      </c>
      <c r="X3436" s="4" t="str">
        <f>IF(V3436="","",INDEX(Fornecedores!$X$1:$X$6631,V3436))</f>
        <v/>
      </c>
      <c r="Y3436" s="4" t="str">
        <f t="shared" si="4"/>
        <v/>
      </c>
    </row>
    <row r="3437" spans="19:25">
      <c r="S3437" t="str">
        <f t="shared" si="0"/>
        <v/>
      </c>
      <c r="T3437" t="str">
        <f t="shared" si="1"/>
        <v/>
      </c>
      <c r="U3437" t="str">
        <f t="shared" si="2"/>
        <v/>
      </c>
      <c r="V3437" t="str">
        <f>IF(OR(U3437="",U3437="ERRO_CHAVE"),"",IFERROR(MATCH(U3437,Fornecedores!$AF$1:$AF$6631,0),""))</f>
        <v/>
      </c>
      <c r="W3437" t="str">
        <f t="shared" si="3"/>
        <v/>
      </c>
      <c r="X3437" s="4" t="str">
        <f>IF(V3437="","",INDEX(Fornecedores!$X$1:$X$6631,V3437))</f>
        <v/>
      </c>
      <c r="Y3437" s="4" t="str">
        <f t="shared" si="4"/>
        <v/>
      </c>
    </row>
    <row r="3438" spans="19:25">
      <c r="S3438" t="str">
        <f t="shared" si="0"/>
        <v/>
      </c>
      <c r="T3438" t="str">
        <f t="shared" si="1"/>
        <v/>
      </c>
      <c r="U3438" t="str">
        <f t="shared" si="2"/>
        <v/>
      </c>
      <c r="V3438" t="str">
        <f>IF(OR(U3438="",U3438="ERRO_CHAVE"),"",IFERROR(MATCH(U3438,Fornecedores!$AF$1:$AF$6631,0),""))</f>
        <v/>
      </c>
      <c r="W3438" t="str">
        <f t="shared" si="3"/>
        <v/>
      </c>
      <c r="X3438" s="4" t="str">
        <f>IF(V3438="","",INDEX(Fornecedores!$X$1:$X$6631,V3438))</f>
        <v/>
      </c>
      <c r="Y3438" s="4" t="str">
        <f t="shared" si="4"/>
        <v/>
      </c>
    </row>
    <row r="3439" spans="19:25">
      <c r="S3439" t="str">
        <f t="shared" si="0"/>
        <v/>
      </c>
      <c r="T3439" t="str">
        <f t="shared" si="1"/>
        <v/>
      </c>
      <c r="U3439" t="str">
        <f t="shared" si="2"/>
        <v/>
      </c>
      <c r="V3439" t="str">
        <f>IF(OR(U3439="",U3439="ERRO_CHAVE"),"",IFERROR(MATCH(U3439,Fornecedores!$AF$1:$AF$6631,0),""))</f>
        <v/>
      </c>
      <c r="W3439" t="str">
        <f t="shared" si="3"/>
        <v/>
      </c>
      <c r="X3439" s="4" t="str">
        <f>IF(V3439="","",INDEX(Fornecedores!$X$1:$X$6631,V3439))</f>
        <v/>
      </c>
      <c r="Y3439" s="4" t="str">
        <f t="shared" si="4"/>
        <v/>
      </c>
    </row>
    <row r="3440" spans="19:25">
      <c r="S3440" t="str">
        <f t="shared" si="0"/>
        <v/>
      </c>
      <c r="T3440" t="str">
        <f t="shared" si="1"/>
        <v/>
      </c>
      <c r="U3440" t="str">
        <f t="shared" si="2"/>
        <v/>
      </c>
      <c r="V3440" t="str">
        <f>IF(OR(U3440="",U3440="ERRO_CHAVE"),"",IFERROR(MATCH(U3440,Fornecedores!$AF$1:$AF$6631,0),""))</f>
        <v/>
      </c>
      <c r="W3440" t="str">
        <f t="shared" si="3"/>
        <v/>
      </c>
      <c r="X3440" s="4" t="str">
        <f>IF(V3440="","",INDEX(Fornecedores!$X$1:$X$6631,V3440))</f>
        <v/>
      </c>
      <c r="Y3440" s="4" t="str">
        <f t="shared" si="4"/>
        <v/>
      </c>
    </row>
    <row r="3441" spans="19:25">
      <c r="S3441" t="str">
        <f t="shared" si="0"/>
        <v/>
      </c>
      <c r="T3441" t="str">
        <f t="shared" si="1"/>
        <v/>
      </c>
      <c r="U3441" t="str">
        <f t="shared" si="2"/>
        <v/>
      </c>
      <c r="V3441" t="str">
        <f>IF(OR(U3441="",U3441="ERRO_CHAVE"),"",IFERROR(MATCH(U3441,Fornecedores!$AF$1:$AF$6631,0),""))</f>
        <v/>
      </c>
      <c r="W3441" t="str">
        <f t="shared" si="3"/>
        <v/>
      </c>
      <c r="X3441" s="4" t="str">
        <f>IF(V3441="","",INDEX(Fornecedores!$X$1:$X$6631,V3441))</f>
        <v/>
      </c>
      <c r="Y3441" s="4" t="str">
        <f t="shared" si="4"/>
        <v/>
      </c>
    </row>
    <row r="3442" spans="19:25">
      <c r="S3442" t="str">
        <f t="shared" si="0"/>
        <v/>
      </c>
      <c r="T3442" t="str">
        <f t="shared" si="1"/>
        <v/>
      </c>
      <c r="U3442" t="str">
        <f t="shared" si="2"/>
        <v/>
      </c>
      <c r="V3442" t="str">
        <f>IF(OR(U3442="",U3442="ERRO_CHAVE"),"",IFERROR(MATCH(U3442,Fornecedores!$AF$1:$AF$6631,0),""))</f>
        <v/>
      </c>
      <c r="W3442" t="str">
        <f t="shared" si="3"/>
        <v/>
      </c>
      <c r="X3442" s="4" t="str">
        <f>IF(V3442="","",INDEX(Fornecedores!$X$1:$X$6631,V3442))</f>
        <v/>
      </c>
      <c r="Y3442" s="4" t="str">
        <f t="shared" si="4"/>
        <v/>
      </c>
    </row>
    <row r="3443" spans="19:25">
      <c r="S3443" t="str">
        <f t="shared" si="0"/>
        <v/>
      </c>
      <c r="T3443" t="str">
        <f t="shared" si="1"/>
        <v/>
      </c>
      <c r="U3443" t="str">
        <f t="shared" si="2"/>
        <v/>
      </c>
      <c r="V3443" t="str">
        <f>IF(OR(U3443="",U3443="ERRO_CHAVE"),"",IFERROR(MATCH(U3443,Fornecedores!$AF$1:$AF$6631,0),""))</f>
        <v/>
      </c>
      <c r="W3443" t="str">
        <f t="shared" si="3"/>
        <v/>
      </c>
      <c r="X3443" s="4" t="str">
        <f>IF(V3443="","",INDEX(Fornecedores!$X$1:$X$6631,V3443))</f>
        <v/>
      </c>
      <c r="Y3443" s="4" t="str">
        <f t="shared" si="4"/>
        <v/>
      </c>
    </row>
    <row r="3444" spans="19:25">
      <c r="S3444" t="str">
        <f t="shared" si="0"/>
        <v/>
      </c>
      <c r="T3444" t="str">
        <f t="shared" si="1"/>
        <v/>
      </c>
      <c r="U3444" t="str">
        <f t="shared" si="2"/>
        <v/>
      </c>
      <c r="V3444" t="str">
        <f>IF(OR(U3444="",U3444="ERRO_CHAVE"),"",IFERROR(MATCH(U3444,Fornecedores!$AF$1:$AF$6631,0),""))</f>
        <v/>
      </c>
      <c r="W3444" t="str">
        <f t="shared" si="3"/>
        <v/>
      </c>
      <c r="X3444" s="4" t="str">
        <f>IF(V3444="","",INDEX(Fornecedores!$X$1:$X$6631,V3444))</f>
        <v/>
      </c>
      <c r="Y3444" s="4" t="str">
        <f t="shared" si="4"/>
        <v/>
      </c>
    </row>
    <row r="3445" spans="19:25">
      <c r="S3445" t="str">
        <f t="shared" si="0"/>
        <v/>
      </c>
      <c r="T3445" t="str">
        <f t="shared" si="1"/>
        <v/>
      </c>
      <c r="U3445" t="str">
        <f t="shared" si="2"/>
        <v/>
      </c>
      <c r="V3445" t="str">
        <f>IF(OR(U3445="",U3445="ERRO_CHAVE"),"",IFERROR(MATCH(U3445,Fornecedores!$AF$1:$AF$6631,0),""))</f>
        <v/>
      </c>
      <c r="W3445" t="str">
        <f t="shared" si="3"/>
        <v/>
      </c>
      <c r="X3445" s="4" t="str">
        <f>IF(V3445="","",INDEX(Fornecedores!$X$1:$X$6631,V3445))</f>
        <v/>
      </c>
      <c r="Y3445" s="4" t="str">
        <f t="shared" si="4"/>
        <v/>
      </c>
    </row>
    <row r="3446" spans="19:25">
      <c r="S3446" t="str">
        <f t="shared" si="0"/>
        <v/>
      </c>
      <c r="T3446" t="str">
        <f t="shared" si="1"/>
        <v/>
      </c>
      <c r="U3446" t="str">
        <f t="shared" si="2"/>
        <v/>
      </c>
      <c r="V3446" t="str">
        <f>IF(OR(U3446="",U3446="ERRO_CHAVE"),"",IFERROR(MATCH(U3446,Fornecedores!$AF$1:$AF$6631,0),""))</f>
        <v/>
      </c>
      <c r="W3446" t="str">
        <f t="shared" si="3"/>
        <v/>
      </c>
      <c r="X3446" s="4" t="str">
        <f>IF(V3446="","",INDEX(Fornecedores!$X$1:$X$6631,V3446))</f>
        <v/>
      </c>
      <c r="Y3446" s="4" t="str">
        <f t="shared" si="4"/>
        <v/>
      </c>
    </row>
    <row r="3447" spans="19:25">
      <c r="S3447" t="str">
        <f t="shared" si="0"/>
        <v/>
      </c>
      <c r="T3447" t="str">
        <f t="shared" si="1"/>
        <v/>
      </c>
      <c r="U3447" t="str">
        <f t="shared" si="2"/>
        <v/>
      </c>
      <c r="V3447" t="str">
        <f>IF(OR(U3447="",U3447="ERRO_CHAVE"),"",IFERROR(MATCH(U3447,Fornecedores!$AF$1:$AF$6631,0),""))</f>
        <v/>
      </c>
      <c r="W3447" t="str">
        <f t="shared" si="3"/>
        <v/>
      </c>
      <c r="X3447" s="4" t="str">
        <f>IF(V3447="","",INDEX(Fornecedores!$X$1:$X$6631,V3447))</f>
        <v/>
      </c>
      <c r="Y3447" s="4" t="str">
        <f t="shared" si="4"/>
        <v/>
      </c>
    </row>
    <row r="3448" spans="19:25">
      <c r="S3448" t="str">
        <f t="shared" si="0"/>
        <v/>
      </c>
      <c r="T3448" t="str">
        <f t="shared" si="1"/>
        <v/>
      </c>
      <c r="U3448" t="str">
        <f t="shared" si="2"/>
        <v/>
      </c>
      <c r="V3448" t="str">
        <f>IF(OR(U3448="",U3448="ERRO_CHAVE"),"",IFERROR(MATCH(U3448,Fornecedores!$AF$1:$AF$6631,0),""))</f>
        <v/>
      </c>
      <c r="W3448" t="str">
        <f t="shared" si="3"/>
        <v/>
      </c>
      <c r="X3448" s="4" t="str">
        <f>IF(V3448="","",INDEX(Fornecedores!$X$1:$X$6631,V3448))</f>
        <v/>
      </c>
      <c r="Y3448" s="4" t="str">
        <f t="shared" si="4"/>
        <v/>
      </c>
    </row>
    <row r="3449" spans="19:25">
      <c r="S3449" t="str">
        <f t="shared" si="0"/>
        <v/>
      </c>
      <c r="T3449" t="str">
        <f t="shared" si="1"/>
        <v/>
      </c>
      <c r="U3449" t="str">
        <f t="shared" si="2"/>
        <v/>
      </c>
      <c r="V3449" t="str">
        <f>IF(OR(U3449="",U3449="ERRO_CHAVE"),"",IFERROR(MATCH(U3449,Fornecedores!$AF$1:$AF$6631,0),""))</f>
        <v/>
      </c>
      <c r="W3449" t="str">
        <f t="shared" si="3"/>
        <v/>
      </c>
      <c r="X3449" s="4" t="str">
        <f>IF(V3449="","",INDEX(Fornecedores!$X$1:$X$6631,V3449))</f>
        <v/>
      </c>
      <c r="Y3449" s="4" t="str">
        <f t="shared" si="4"/>
        <v/>
      </c>
    </row>
    <row r="3450" spans="19:25">
      <c r="S3450" t="str">
        <f t="shared" si="0"/>
        <v/>
      </c>
      <c r="T3450" t="str">
        <f t="shared" si="1"/>
        <v/>
      </c>
      <c r="U3450" t="str">
        <f t="shared" si="2"/>
        <v/>
      </c>
      <c r="V3450" t="str">
        <f>IF(OR(U3450="",U3450="ERRO_CHAVE"),"",IFERROR(MATCH(U3450,Fornecedores!$AF$1:$AF$6631,0),""))</f>
        <v/>
      </c>
      <c r="W3450" t="str">
        <f t="shared" si="3"/>
        <v/>
      </c>
      <c r="X3450" s="4" t="str">
        <f>IF(V3450="","",INDEX(Fornecedores!$X$1:$X$6631,V3450))</f>
        <v/>
      </c>
      <c r="Y3450" s="4" t="str">
        <f t="shared" si="4"/>
        <v/>
      </c>
    </row>
    <row r="3451" spans="19:25">
      <c r="S3451" t="str">
        <f t="shared" si="0"/>
        <v/>
      </c>
      <c r="T3451" t="str">
        <f t="shared" si="1"/>
        <v/>
      </c>
      <c r="U3451" t="str">
        <f t="shared" si="2"/>
        <v/>
      </c>
      <c r="V3451" t="str">
        <f>IF(OR(U3451="",U3451="ERRO_CHAVE"),"",IFERROR(MATCH(U3451,Fornecedores!$AF$1:$AF$6631,0),""))</f>
        <v/>
      </c>
      <c r="W3451" t="str">
        <f t="shared" si="3"/>
        <v/>
      </c>
      <c r="X3451" s="4" t="str">
        <f>IF(V3451="","",INDEX(Fornecedores!$X$1:$X$6631,V3451))</f>
        <v/>
      </c>
      <c r="Y3451" s="4" t="str">
        <f t="shared" si="4"/>
        <v/>
      </c>
    </row>
    <row r="3452" spans="19:25">
      <c r="S3452" t="str">
        <f t="shared" si="0"/>
        <v/>
      </c>
      <c r="T3452" t="str">
        <f t="shared" si="1"/>
        <v/>
      </c>
      <c r="U3452" t="str">
        <f t="shared" si="2"/>
        <v/>
      </c>
      <c r="V3452" t="str">
        <f>IF(OR(U3452="",U3452="ERRO_CHAVE"),"",IFERROR(MATCH(U3452,Fornecedores!$AF$1:$AF$6631,0),""))</f>
        <v/>
      </c>
      <c r="W3452" t="str">
        <f t="shared" si="3"/>
        <v/>
      </c>
      <c r="X3452" s="4" t="str">
        <f>IF(V3452="","",INDEX(Fornecedores!$X$1:$X$6631,V3452))</f>
        <v/>
      </c>
      <c r="Y3452" s="4" t="str">
        <f t="shared" si="4"/>
        <v/>
      </c>
    </row>
    <row r="3453" spans="19:25">
      <c r="S3453" t="str">
        <f t="shared" si="0"/>
        <v/>
      </c>
      <c r="T3453" t="str">
        <f t="shared" si="1"/>
        <v/>
      </c>
      <c r="U3453" t="str">
        <f t="shared" si="2"/>
        <v/>
      </c>
      <c r="V3453" t="str">
        <f>IF(OR(U3453="",U3453="ERRO_CHAVE"),"",IFERROR(MATCH(U3453,Fornecedores!$AF$1:$AF$6631,0),""))</f>
        <v/>
      </c>
      <c r="W3453" t="str">
        <f t="shared" si="3"/>
        <v/>
      </c>
      <c r="X3453" s="4" t="str">
        <f>IF(V3453="","",INDEX(Fornecedores!$X$1:$X$6631,V3453))</f>
        <v/>
      </c>
      <c r="Y3453" s="4" t="str">
        <f t="shared" si="4"/>
        <v/>
      </c>
    </row>
    <row r="3454" spans="19:25">
      <c r="S3454" t="str">
        <f t="shared" si="0"/>
        <v/>
      </c>
      <c r="T3454" t="str">
        <f t="shared" si="1"/>
        <v/>
      </c>
      <c r="U3454" t="str">
        <f t="shared" si="2"/>
        <v/>
      </c>
      <c r="V3454" t="str">
        <f>IF(OR(U3454="",U3454="ERRO_CHAVE"),"",IFERROR(MATCH(U3454,Fornecedores!$AF$1:$AF$6631,0),""))</f>
        <v/>
      </c>
      <c r="W3454" t="str">
        <f t="shared" si="3"/>
        <v/>
      </c>
      <c r="X3454" s="4" t="str">
        <f>IF(V3454="","",INDEX(Fornecedores!$X$1:$X$6631,V3454))</f>
        <v/>
      </c>
      <c r="Y3454" s="4" t="str">
        <f t="shared" si="4"/>
        <v/>
      </c>
    </row>
    <row r="3455" spans="19:25">
      <c r="S3455" t="str">
        <f t="shared" si="0"/>
        <v/>
      </c>
      <c r="T3455" t="str">
        <f t="shared" si="1"/>
        <v/>
      </c>
      <c r="U3455" t="str">
        <f t="shared" si="2"/>
        <v/>
      </c>
      <c r="V3455" t="str">
        <f>IF(OR(U3455="",U3455="ERRO_CHAVE"),"",IFERROR(MATCH(U3455,Fornecedores!$AF$1:$AF$6631,0),""))</f>
        <v/>
      </c>
      <c r="W3455" t="str">
        <f t="shared" si="3"/>
        <v/>
      </c>
      <c r="X3455" s="4" t="str">
        <f>IF(V3455="","",INDEX(Fornecedores!$X$1:$X$6631,V3455))</f>
        <v/>
      </c>
      <c r="Y3455" s="4" t="str">
        <f t="shared" si="4"/>
        <v/>
      </c>
    </row>
    <row r="3456" spans="19:25">
      <c r="S3456" t="str">
        <f t="shared" si="0"/>
        <v/>
      </c>
      <c r="T3456" t="str">
        <f t="shared" si="1"/>
        <v/>
      </c>
      <c r="U3456" t="str">
        <f t="shared" si="2"/>
        <v/>
      </c>
      <c r="V3456" t="str">
        <f>IF(OR(U3456="",U3456="ERRO_CHAVE"),"",IFERROR(MATCH(U3456,Fornecedores!$AF$1:$AF$6631,0),""))</f>
        <v/>
      </c>
      <c r="W3456" t="str">
        <f t="shared" si="3"/>
        <v/>
      </c>
      <c r="X3456" s="4" t="str">
        <f>IF(V3456="","",INDEX(Fornecedores!$X$1:$X$6631,V3456))</f>
        <v/>
      </c>
      <c r="Y3456" s="4" t="str">
        <f t="shared" si="4"/>
        <v/>
      </c>
    </row>
    <row r="3457" spans="19:25">
      <c r="S3457" t="str">
        <f t="shared" si="0"/>
        <v/>
      </c>
      <c r="T3457" t="str">
        <f t="shared" si="1"/>
        <v/>
      </c>
      <c r="U3457" t="str">
        <f t="shared" si="2"/>
        <v/>
      </c>
      <c r="V3457" t="str">
        <f>IF(OR(U3457="",U3457="ERRO_CHAVE"),"",IFERROR(MATCH(U3457,Fornecedores!$AF$1:$AF$6631,0),""))</f>
        <v/>
      </c>
      <c r="W3457" t="str">
        <f t="shared" si="3"/>
        <v/>
      </c>
      <c r="X3457" s="4" t="str">
        <f>IF(V3457="","",INDEX(Fornecedores!$X$1:$X$6631,V3457))</f>
        <v/>
      </c>
      <c r="Y3457" s="4" t="str">
        <f t="shared" si="4"/>
        <v/>
      </c>
    </row>
    <row r="3458" spans="19:25">
      <c r="S3458" t="str">
        <f t="shared" si="0"/>
        <v/>
      </c>
      <c r="T3458" t="str">
        <f t="shared" si="1"/>
        <v/>
      </c>
      <c r="U3458" t="str">
        <f t="shared" si="2"/>
        <v/>
      </c>
      <c r="V3458" t="str">
        <f>IF(OR(U3458="",U3458="ERRO_CHAVE"),"",IFERROR(MATCH(U3458,Fornecedores!$AF$1:$AF$6631,0),""))</f>
        <v/>
      </c>
      <c r="W3458" t="str">
        <f t="shared" si="3"/>
        <v/>
      </c>
      <c r="X3458" s="4" t="str">
        <f>IF(V3458="","",INDEX(Fornecedores!$X$1:$X$6631,V3458))</f>
        <v/>
      </c>
      <c r="Y3458" s="4" t="str">
        <f t="shared" si="4"/>
        <v/>
      </c>
    </row>
    <row r="3459" spans="19:25">
      <c r="S3459" t="str">
        <f t="shared" si="0"/>
        <v/>
      </c>
      <c r="T3459" t="str">
        <f t="shared" si="1"/>
        <v/>
      </c>
      <c r="U3459" t="str">
        <f t="shared" si="2"/>
        <v/>
      </c>
      <c r="V3459" t="str">
        <f>IF(OR(U3459="",U3459="ERRO_CHAVE"),"",IFERROR(MATCH(U3459,Fornecedores!$AF$1:$AF$6631,0),""))</f>
        <v/>
      </c>
      <c r="W3459" t="str">
        <f t="shared" si="3"/>
        <v/>
      </c>
      <c r="X3459" s="4" t="str">
        <f>IF(V3459="","",INDEX(Fornecedores!$X$1:$X$6631,V3459))</f>
        <v/>
      </c>
      <c r="Y3459" s="4" t="str">
        <f t="shared" si="4"/>
        <v/>
      </c>
    </row>
    <row r="3460" spans="19:25">
      <c r="S3460" t="str">
        <f t="shared" si="0"/>
        <v/>
      </c>
      <c r="T3460" t="str">
        <f t="shared" si="1"/>
        <v/>
      </c>
      <c r="U3460" t="str">
        <f t="shared" si="2"/>
        <v/>
      </c>
      <c r="V3460" t="str">
        <f>IF(OR(U3460="",U3460="ERRO_CHAVE"),"",IFERROR(MATCH(U3460,Fornecedores!$AF$1:$AF$6631,0),""))</f>
        <v/>
      </c>
      <c r="W3460" t="str">
        <f t="shared" si="3"/>
        <v/>
      </c>
      <c r="X3460" s="4" t="str">
        <f>IF(V3460="","",INDEX(Fornecedores!$X$1:$X$6631,V3460))</f>
        <v/>
      </c>
      <c r="Y3460" s="4" t="str">
        <f t="shared" si="4"/>
        <v/>
      </c>
    </row>
    <row r="3461" spans="19:25">
      <c r="S3461" t="str">
        <f t="shared" si="0"/>
        <v/>
      </c>
      <c r="T3461" t="str">
        <f t="shared" si="1"/>
        <v/>
      </c>
      <c r="U3461" t="str">
        <f t="shared" si="2"/>
        <v/>
      </c>
      <c r="V3461" t="str">
        <f>IF(OR(U3461="",U3461="ERRO_CHAVE"),"",IFERROR(MATCH(U3461,Fornecedores!$AF$1:$AF$6631,0),""))</f>
        <v/>
      </c>
      <c r="W3461" t="str">
        <f t="shared" si="3"/>
        <v/>
      </c>
      <c r="X3461" s="4" t="str">
        <f>IF(V3461="","",INDEX(Fornecedores!$X$1:$X$6631,V3461))</f>
        <v/>
      </c>
      <c r="Y3461" s="4" t="str">
        <f t="shared" si="4"/>
        <v/>
      </c>
    </row>
    <row r="3462" spans="19:25">
      <c r="S3462" t="str">
        <f t="shared" si="0"/>
        <v/>
      </c>
      <c r="T3462" t="str">
        <f t="shared" si="1"/>
        <v/>
      </c>
      <c r="U3462" t="str">
        <f t="shared" si="2"/>
        <v/>
      </c>
      <c r="V3462" t="str">
        <f>IF(OR(U3462="",U3462="ERRO_CHAVE"),"",IFERROR(MATCH(U3462,Fornecedores!$AF$1:$AF$6631,0),""))</f>
        <v/>
      </c>
      <c r="W3462" t="str">
        <f t="shared" si="3"/>
        <v/>
      </c>
      <c r="X3462" s="4" t="str">
        <f>IF(V3462="","",INDEX(Fornecedores!$X$1:$X$6631,V3462))</f>
        <v/>
      </c>
      <c r="Y3462" s="4" t="str">
        <f t="shared" si="4"/>
        <v/>
      </c>
    </row>
    <row r="3463" spans="19:25">
      <c r="S3463" t="str">
        <f t="shared" si="0"/>
        <v/>
      </c>
      <c r="T3463" t="str">
        <f t="shared" si="1"/>
        <v/>
      </c>
      <c r="U3463" t="str">
        <f t="shared" si="2"/>
        <v/>
      </c>
      <c r="V3463" t="str">
        <f>IF(OR(U3463="",U3463="ERRO_CHAVE"),"",IFERROR(MATCH(U3463,Fornecedores!$AF$1:$AF$6631,0),""))</f>
        <v/>
      </c>
      <c r="W3463" t="str">
        <f t="shared" si="3"/>
        <v/>
      </c>
      <c r="X3463" s="4" t="str">
        <f>IF(V3463="","",INDEX(Fornecedores!$X$1:$X$6631,V3463))</f>
        <v/>
      </c>
      <c r="Y3463" s="4" t="str">
        <f t="shared" si="4"/>
        <v/>
      </c>
    </row>
    <row r="3464" spans="19:25">
      <c r="S3464" t="str">
        <f t="shared" si="0"/>
        <v/>
      </c>
      <c r="T3464" t="str">
        <f t="shared" si="1"/>
        <v/>
      </c>
      <c r="U3464" t="str">
        <f t="shared" si="2"/>
        <v/>
      </c>
      <c r="V3464" t="str">
        <f>IF(OR(U3464="",U3464="ERRO_CHAVE"),"",IFERROR(MATCH(U3464,Fornecedores!$AF$1:$AF$6631,0),""))</f>
        <v/>
      </c>
      <c r="W3464" t="str">
        <f t="shared" si="3"/>
        <v/>
      </c>
      <c r="X3464" s="4" t="str">
        <f>IF(V3464="","",INDEX(Fornecedores!$X$1:$X$6631,V3464))</f>
        <v/>
      </c>
      <c r="Y3464" s="4" t="str">
        <f t="shared" si="4"/>
        <v/>
      </c>
    </row>
    <row r="3465" spans="19:25">
      <c r="S3465" t="str">
        <f t="shared" si="0"/>
        <v/>
      </c>
      <c r="T3465" t="str">
        <f t="shared" si="1"/>
        <v/>
      </c>
      <c r="U3465" t="str">
        <f t="shared" si="2"/>
        <v/>
      </c>
      <c r="V3465" t="str">
        <f>IF(OR(U3465="",U3465="ERRO_CHAVE"),"",IFERROR(MATCH(U3465,Fornecedores!$AF$1:$AF$6631,0),""))</f>
        <v/>
      </c>
      <c r="W3465" t="str">
        <f t="shared" si="3"/>
        <v/>
      </c>
      <c r="X3465" s="4" t="str">
        <f>IF(V3465="","",INDEX(Fornecedores!$X$1:$X$6631,V3465))</f>
        <v/>
      </c>
      <c r="Y3465" s="4" t="str">
        <f t="shared" si="4"/>
        <v/>
      </c>
    </row>
    <row r="3466" spans="19:25">
      <c r="S3466" t="str">
        <f t="shared" si="0"/>
        <v/>
      </c>
      <c r="T3466" t="str">
        <f t="shared" si="1"/>
        <v/>
      </c>
      <c r="U3466" t="str">
        <f t="shared" si="2"/>
        <v/>
      </c>
      <c r="V3466" t="str">
        <f>IF(OR(U3466="",U3466="ERRO_CHAVE"),"",IFERROR(MATCH(U3466,Fornecedores!$AF$1:$AF$6631,0),""))</f>
        <v/>
      </c>
      <c r="W3466" t="str">
        <f t="shared" si="3"/>
        <v/>
      </c>
      <c r="X3466" s="4" t="str">
        <f>IF(V3466="","",INDEX(Fornecedores!$X$1:$X$6631,V3466))</f>
        <v/>
      </c>
      <c r="Y3466" s="4" t="str">
        <f t="shared" si="4"/>
        <v/>
      </c>
    </row>
    <row r="3467" spans="19:25">
      <c r="S3467" t="str">
        <f t="shared" si="0"/>
        <v/>
      </c>
      <c r="T3467" t="str">
        <f t="shared" si="1"/>
        <v/>
      </c>
      <c r="U3467" t="str">
        <f t="shared" si="2"/>
        <v/>
      </c>
      <c r="V3467" t="str">
        <f>IF(OR(U3467="",U3467="ERRO_CHAVE"),"",IFERROR(MATCH(U3467,Fornecedores!$AF$1:$AF$6631,0),""))</f>
        <v/>
      </c>
      <c r="W3467" t="str">
        <f t="shared" si="3"/>
        <v/>
      </c>
      <c r="X3467" s="4" t="str">
        <f>IF(V3467="","",INDEX(Fornecedores!$X$1:$X$6631,V3467))</f>
        <v/>
      </c>
      <c r="Y3467" s="4" t="str">
        <f t="shared" si="4"/>
        <v/>
      </c>
    </row>
    <row r="3468" spans="19:25">
      <c r="S3468" t="str">
        <f t="shared" si="0"/>
        <v/>
      </c>
      <c r="T3468" t="str">
        <f t="shared" si="1"/>
        <v/>
      </c>
      <c r="U3468" t="str">
        <f t="shared" si="2"/>
        <v/>
      </c>
      <c r="V3468" t="str">
        <f>IF(OR(U3468="",U3468="ERRO_CHAVE"),"",IFERROR(MATCH(U3468,Fornecedores!$AF$1:$AF$6631,0),""))</f>
        <v/>
      </c>
      <c r="W3468" t="str">
        <f t="shared" si="3"/>
        <v/>
      </c>
      <c r="X3468" s="4" t="str">
        <f>IF(V3468="","",INDEX(Fornecedores!$X$1:$X$6631,V3468))</f>
        <v/>
      </c>
      <c r="Y3468" s="4" t="str">
        <f t="shared" si="4"/>
        <v/>
      </c>
    </row>
    <row r="3469" spans="19:25">
      <c r="S3469" t="str">
        <f t="shared" si="0"/>
        <v/>
      </c>
      <c r="T3469" t="str">
        <f t="shared" si="1"/>
        <v/>
      </c>
      <c r="U3469" t="str">
        <f t="shared" si="2"/>
        <v/>
      </c>
      <c r="V3469" t="str">
        <f>IF(OR(U3469="",U3469="ERRO_CHAVE"),"",IFERROR(MATCH(U3469,Fornecedores!$AF$1:$AF$6631,0),""))</f>
        <v/>
      </c>
      <c r="W3469" t="str">
        <f t="shared" si="3"/>
        <v/>
      </c>
      <c r="X3469" s="4" t="str">
        <f>IF(V3469="","",INDEX(Fornecedores!$X$1:$X$6631,V3469))</f>
        <v/>
      </c>
      <c r="Y3469" s="4" t="str">
        <f t="shared" si="4"/>
        <v/>
      </c>
    </row>
    <row r="3470" spans="19:25">
      <c r="S3470" t="str">
        <f t="shared" si="0"/>
        <v/>
      </c>
      <c r="T3470" t="str">
        <f t="shared" si="1"/>
        <v/>
      </c>
      <c r="U3470" t="str">
        <f t="shared" si="2"/>
        <v/>
      </c>
      <c r="V3470" t="str">
        <f>IF(OR(U3470="",U3470="ERRO_CHAVE"),"",IFERROR(MATCH(U3470,Fornecedores!$AF$1:$AF$6631,0),""))</f>
        <v/>
      </c>
      <c r="W3470" t="str">
        <f t="shared" si="3"/>
        <v/>
      </c>
      <c r="X3470" s="4" t="str">
        <f>IF(V3470="","",INDEX(Fornecedores!$X$1:$X$6631,V3470))</f>
        <v/>
      </c>
      <c r="Y3470" s="4" t="str">
        <f t="shared" si="4"/>
        <v/>
      </c>
    </row>
    <row r="3471" spans="19:25">
      <c r="S3471" t="str">
        <f t="shared" si="0"/>
        <v/>
      </c>
      <c r="T3471" t="str">
        <f t="shared" si="1"/>
        <v/>
      </c>
      <c r="U3471" t="str">
        <f t="shared" si="2"/>
        <v/>
      </c>
      <c r="V3471" t="str">
        <f>IF(OR(U3471="",U3471="ERRO_CHAVE"),"",IFERROR(MATCH(U3471,Fornecedores!$AF$1:$AF$6631,0),""))</f>
        <v/>
      </c>
      <c r="W3471" t="str">
        <f t="shared" si="3"/>
        <v/>
      </c>
      <c r="X3471" s="4" t="str">
        <f>IF(V3471="","",INDEX(Fornecedores!$X$1:$X$6631,V3471))</f>
        <v/>
      </c>
      <c r="Y3471" s="4" t="str">
        <f t="shared" si="4"/>
        <v/>
      </c>
    </row>
    <row r="3472" spans="19:25">
      <c r="S3472" t="str">
        <f t="shared" si="0"/>
        <v/>
      </c>
      <c r="T3472" t="str">
        <f t="shared" si="1"/>
        <v/>
      </c>
      <c r="U3472" t="str">
        <f t="shared" si="2"/>
        <v/>
      </c>
      <c r="V3472" t="str">
        <f>IF(OR(U3472="",U3472="ERRO_CHAVE"),"",IFERROR(MATCH(U3472,Fornecedores!$AF$1:$AF$6631,0),""))</f>
        <v/>
      </c>
      <c r="W3472" t="str">
        <f t="shared" si="3"/>
        <v/>
      </c>
      <c r="X3472" s="4" t="str">
        <f>IF(V3472="","",INDEX(Fornecedores!$X$1:$X$6631,V3472))</f>
        <v/>
      </c>
      <c r="Y3472" s="4" t="str">
        <f t="shared" si="4"/>
        <v/>
      </c>
    </row>
    <row r="3473" spans="19:25">
      <c r="S3473" t="str">
        <f t="shared" si="0"/>
        <v/>
      </c>
      <c r="T3473" t="str">
        <f t="shared" si="1"/>
        <v/>
      </c>
      <c r="U3473" t="str">
        <f t="shared" si="2"/>
        <v/>
      </c>
      <c r="V3473" t="str">
        <f>IF(OR(U3473="",U3473="ERRO_CHAVE"),"",IFERROR(MATCH(U3473,Fornecedores!$AF$1:$AF$6631,0),""))</f>
        <v/>
      </c>
      <c r="W3473" t="str">
        <f t="shared" si="3"/>
        <v/>
      </c>
      <c r="X3473" s="4" t="str">
        <f>IF(V3473="","",INDEX(Fornecedores!$X$1:$X$6631,V3473))</f>
        <v/>
      </c>
      <c r="Y3473" s="4" t="str">
        <f t="shared" si="4"/>
        <v/>
      </c>
    </row>
    <row r="3474" spans="19:25">
      <c r="S3474" t="str">
        <f t="shared" si="0"/>
        <v/>
      </c>
      <c r="T3474" t="str">
        <f t="shared" si="1"/>
        <v/>
      </c>
      <c r="U3474" t="str">
        <f t="shared" si="2"/>
        <v/>
      </c>
      <c r="V3474" t="str">
        <f>IF(OR(U3474="",U3474="ERRO_CHAVE"),"",IFERROR(MATCH(U3474,Fornecedores!$AF$1:$AF$6631,0),""))</f>
        <v/>
      </c>
      <c r="W3474" t="str">
        <f t="shared" si="3"/>
        <v/>
      </c>
      <c r="X3474" s="4" t="str">
        <f>IF(V3474="","",INDEX(Fornecedores!$X$1:$X$6631,V3474))</f>
        <v/>
      </c>
      <c r="Y3474" s="4" t="str">
        <f t="shared" si="4"/>
        <v/>
      </c>
    </row>
    <row r="3475" spans="19:25">
      <c r="S3475" t="str">
        <f t="shared" si="0"/>
        <v/>
      </c>
      <c r="T3475" t="str">
        <f t="shared" si="1"/>
        <v/>
      </c>
      <c r="U3475" t="str">
        <f t="shared" si="2"/>
        <v/>
      </c>
      <c r="V3475" t="str">
        <f>IF(OR(U3475="",U3475="ERRO_CHAVE"),"",IFERROR(MATCH(U3475,Fornecedores!$AF$1:$AF$6631,0),""))</f>
        <v/>
      </c>
      <c r="W3475" t="str">
        <f t="shared" si="3"/>
        <v/>
      </c>
      <c r="X3475" s="4" t="str">
        <f>IF(V3475="","",INDEX(Fornecedores!$X$1:$X$6631,V3475))</f>
        <v/>
      </c>
      <c r="Y3475" s="4" t="str">
        <f t="shared" si="4"/>
        <v/>
      </c>
    </row>
    <row r="3476" spans="19:25">
      <c r="S3476" t="str">
        <f t="shared" si="0"/>
        <v/>
      </c>
      <c r="T3476" t="str">
        <f t="shared" si="1"/>
        <v/>
      </c>
      <c r="U3476" t="str">
        <f t="shared" si="2"/>
        <v/>
      </c>
      <c r="V3476" t="str">
        <f>IF(OR(U3476="",U3476="ERRO_CHAVE"),"",IFERROR(MATCH(U3476,Fornecedores!$AF$1:$AF$6631,0),""))</f>
        <v/>
      </c>
      <c r="W3476" t="str">
        <f t="shared" si="3"/>
        <v/>
      </c>
      <c r="X3476" s="4" t="str">
        <f>IF(V3476="","",INDEX(Fornecedores!$X$1:$X$6631,V3476))</f>
        <v/>
      </c>
      <c r="Y3476" s="4" t="str">
        <f t="shared" si="4"/>
        <v/>
      </c>
    </row>
    <row r="3477" spans="19:25">
      <c r="S3477" t="str">
        <f t="shared" si="0"/>
        <v/>
      </c>
      <c r="T3477" t="str">
        <f t="shared" si="1"/>
        <v/>
      </c>
      <c r="U3477" t="str">
        <f t="shared" si="2"/>
        <v/>
      </c>
      <c r="V3477" t="str">
        <f>IF(OR(U3477="",U3477="ERRO_CHAVE"),"",IFERROR(MATCH(U3477,Fornecedores!$AF$1:$AF$6631,0),""))</f>
        <v/>
      </c>
      <c r="W3477" t="str">
        <f t="shared" si="3"/>
        <v/>
      </c>
      <c r="X3477" s="4" t="str">
        <f>IF(V3477="","",INDEX(Fornecedores!$X$1:$X$6631,V3477))</f>
        <v/>
      </c>
      <c r="Y3477" s="4" t="str">
        <f t="shared" si="4"/>
        <v/>
      </c>
    </row>
    <row r="3478" spans="19:25">
      <c r="S3478" t="str">
        <f t="shared" si="0"/>
        <v/>
      </c>
      <c r="T3478" t="str">
        <f t="shared" si="1"/>
        <v/>
      </c>
      <c r="U3478" t="str">
        <f t="shared" si="2"/>
        <v/>
      </c>
      <c r="V3478" t="str">
        <f>IF(OR(U3478="",U3478="ERRO_CHAVE"),"",IFERROR(MATCH(U3478,Fornecedores!$AF$1:$AF$6631,0),""))</f>
        <v/>
      </c>
      <c r="W3478" t="str">
        <f t="shared" si="3"/>
        <v/>
      </c>
      <c r="X3478" s="4" t="str">
        <f>IF(V3478="","",INDEX(Fornecedores!$X$1:$X$6631,V3478))</f>
        <v/>
      </c>
      <c r="Y3478" s="4" t="str">
        <f t="shared" si="4"/>
        <v/>
      </c>
    </row>
    <row r="3479" spans="19:25">
      <c r="S3479" t="str">
        <f t="shared" si="0"/>
        <v/>
      </c>
      <c r="T3479" t="str">
        <f t="shared" si="1"/>
        <v/>
      </c>
      <c r="U3479" t="str">
        <f t="shared" si="2"/>
        <v/>
      </c>
      <c r="V3479" t="str">
        <f>IF(OR(U3479="",U3479="ERRO_CHAVE"),"",IFERROR(MATCH(U3479,Fornecedores!$AF$1:$AF$6631,0),""))</f>
        <v/>
      </c>
      <c r="W3479" t="str">
        <f t="shared" si="3"/>
        <v/>
      </c>
      <c r="X3479" s="4" t="str">
        <f>IF(V3479="","",INDEX(Fornecedores!$X$1:$X$6631,V3479))</f>
        <v/>
      </c>
      <c r="Y3479" s="4" t="str">
        <f t="shared" si="4"/>
        <v/>
      </c>
    </row>
    <row r="3480" spans="19:25">
      <c r="S3480" t="str">
        <f t="shared" si="0"/>
        <v/>
      </c>
      <c r="T3480" t="str">
        <f t="shared" si="1"/>
        <v/>
      </c>
      <c r="U3480" t="str">
        <f t="shared" si="2"/>
        <v/>
      </c>
      <c r="V3480" t="str">
        <f>IF(OR(U3480="",U3480="ERRO_CHAVE"),"",IFERROR(MATCH(U3480,Fornecedores!$AF$1:$AF$6631,0),""))</f>
        <v/>
      </c>
      <c r="W3480" t="str">
        <f t="shared" si="3"/>
        <v/>
      </c>
      <c r="X3480" s="4" t="str">
        <f>IF(V3480="","",INDEX(Fornecedores!$X$1:$X$6631,V3480))</f>
        <v/>
      </c>
      <c r="Y3480" s="4" t="str">
        <f t="shared" si="4"/>
        <v/>
      </c>
    </row>
    <row r="3481" spans="19:25">
      <c r="S3481" t="str">
        <f t="shared" si="0"/>
        <v/>
      </c>
      <c r="T3481" t="str">
        <f t="shared" si="1"/>
        <v/>
      </c>
      <c r="U3481" t="str">
        <f t="shared" si="2"/>
        <v/>
      </c>
      <c r="V3481" t="str">
        <f>IF(OR(U3481="",U3481="ERRO_CHAVE"),"",IFERROR(MATCH(U3481,Fornecedores!$AF$1:$AF$6631,0),""))</f>
        <v/>
      </c>
      <c r="W3481" t="str">
        <f t="shared" si="3"/>
        <v/>
      </c>
      <c r="X3481" s="4" t="str">
        <f>IF(V3481="","",INDEX(Fornecedores!$X$1:$X$6631,V3481))</f>
        <v/>
      </c>
      <c r="Y3481" s="4" t="str">
        <f t="shared" si="4"/>
        <v/>
      </c>
    </row>
    <row r="3482" spans="19:25">
      <c r="S3482" t="str">
        <f t="shared" si="0"/>
        <v/>
      </c>
      <c r="T3482" t="str">
        <f t="shared" si="1"/>
        <v/>
      </c>
      <c r="U3482" t="str">
        <f t="shared" si="2"/>
        <v/>
      </c>
      <c r="V3482" t="str">
        <f>IF(OR(U3482="",U3482="ERRO_CHAVE"),"",IFERROR(MATCH(U3482,Fornecedores!$AF$1:$AF$6631,0),""))</f>
        <v/>
      </c>
      <c r="W3482" t="str">
        <f t="shared" si="3"/>
        <v/>
      </c>
      <c r="X3482" s="4" t="str">
        <f>IF(V3482="","",INDEX(Fornecedores!$X$1:$X$6631,V3482))</f>
        <v/>
      </c>
      <c r="Y3482" s="4" t="str">
        <f t="shared" si="4"/>
        <v/>
      </c>
    </row>
    <row r="3483" spans="19:25">
      <c r="S3483" t="str">
        <f t="shared" si="0"/>
        <v/>
      </c>
      <c r="T3483" t="str">
        <f t="shared" si="1"/>
        <v/>
      </c>
      <c r="U3483" t="str">
        <f t="shared" si="2"/>
        <v/>
      </c>
      <c r="V3483" t="str">
        <f>IF(OR(U3483="",U3483="ERRO_CHAVE"),"",IFERROR(MATCH(U3483,Fornecedores!$AF$1:$AF$6631,0),""))</f>
        <v/>
      </c>
      <c r="W3483" t="str">
        <f t="shared" si="3"/>
        <v/>
      </c>
      <c r="X3483" s="4" t="str">
        <f>IF(V3483="","",INDEX(Fornecedores!$X$1:$X$6631,V3483))</f>
        <v/>
      </c>
      <c r="Y3483" s="4" t="str">
        <f t="shared" si="4"/>
        <v/>
      </c>
    </row>
    <row r="3484" spans="19:25">
      <c r="S3484" t="str">
        <f t="shared" si="0"/>
        <v/>
      </c>
      <c r="T3484" t="str">
        <f t="shared" si="1"/>
        <v/>
      </c>
      <c r="U3484" t="str">
        <f t="shared" si="2"/>
        <v/>
      </c>
      <c r="V3484" t="str">
        <f>IF(OR(U3484="",U3484="ERRO_CHAVE"),"",IFERROR(MATCH(U3484,Fornecedores!$AF$1:$AF$6631,0),""))</f>
        <v/>
      </c>
      <c r="W3484" t="str">
        <f t="shared" si="3"/>
        <v/>
      </c>
      <c r="X3484" s="4" t="str">
        <f>IF(V3484="","",INDEX(Fornecedores!$X$1:$X$6631,V3484))</f>
        <v/>
      </c>
      <c r="Y3484" s="4" t="str">
        <f t="shared" si="4"/>
        <v/>
      </c>
    </row>
    <row r="3485" spans="19:25">
      <c r="S3485" t="str">
        <f t="shared" si="0"/>
        <v/>
      </c>
      <c r="T3485" t="str">
        <f t="shared" si="1"/>
        <v/>
      </c>
      <c r="U3485" t="str">
        <f t="shared" si="2"/>
        <v/>
      </c>
      <c r="V3485" t="str">
        <f>IF(OR(U3485="",U3485="ERRO_CHAVE"),"",IFERROR(MATCH(U3485,Fornecedores!$AF$1:$AF$6631,0),""))</f>
        <v/>
      </c>
      <c r="W3485" t="str">
        <f t="shared" si="3"/>
        <v/>
      </c>
      <c r="X3485" s="4" t="str">
        <f>IF(V3485="","",INDEX(Fornecedores!$X$1:$X$6631,V3485))</f>
        <v/>
      </c>
      <c r="Y3485" s="4" t="str">
        <f t="shared" si="4"/>
        <v/>
      </c>
    </row>
    <row r="3486" spans="19:25">
      <c r="S3486" t="str">
        <f t="shared" si="0"/>
        <v/>
      </c>
      <c r="T3486" t="str">
        <f t="shared" si="1"/>
        <v/>
      </c>
      <c r="U3486" t="str">
        <f t="shared" si="2"/>
        <v/>
      </c>
      <c r="V3486" t="str">
        <f>IF(OR(U3486="",U3486="ERRO_CHAVE"),"",IFERROR(MATCH(U3486,Fornecedores!$AF$1:$AF$6631,0),""))</f>
        <v/>
      </c>
      <c r="W3486" t="str">
        <f t="shared" si="3"/>
        <v/>
      </c>
      <c r="X3486" s="4" t="str">
        <f>IF(V3486="","",INDEX(Fornecedores!$X$1:$X$6631,V3486))</f>
        <v/>
      </c>
      <c r="Y3486" s="4" t="str">
        <f t="shared" si="4"/>
        <v/>
      </c>
    </row>
    <row r="3487" spans="19:25">
      <c r="S3487" t="str">
        <f t="shared" si="0"/>
        <v/>
      </c>
      <c r="T3487" t="str">
        <f t="shared" si="1"/>
        <v/>
      </c>
      <c r="U3487" t="str">
        <f t="shared" si="2"/>
        <v/>
      </c>
      <c r="V3487" t="str">
        <f>IF(OR(U3487="",U3487="ERRO_CHAVE"),"",IFERROR(MATCH(U3487,Fornecedores!$AF$1:$AF$6631,0),""))</f>
        <v/>
      </c>
      <c r="W3487" t="str">
        <f t="shared" si="3"/>
        <v/>
      </c>
      <c r="X3487" s="4" t="str">
        <f>IF(V3487="","",INDEX(Fornecedores!$X$1:$X$6631,V3487))</f>
        <v/>
      </c>
      <c r="Y3487" s="4" t="str">
        <f t="shared" si="4"/>
        <v/>
      </c>
    </row>
    <row r="3488" spans="19:25">
      <c r="S3488" t="str">
        <f t="shared" si="0"/>
        <v/>
      </c>
      <c r="T3488" t="str">
        <f t="shared" si="1"/>
        <v/>
      </c>
      <c r="U3488" t="str">
        <f t="shared" si="2"/>
        <v/>
      </c>
      <c r="V3488" t="str">
        <f>IF(OR(U3488="",U3488="ERRO_CHAVE"),"",IFERROR(MATCH(U3488,Fornecedores!$AF$1:$AF$6631,0),""))</f>
        <v/>
      </c>
      <c r="W3488" t="str">
        <f t="shared" si="3"/>
        <v/>
      </c>
      <c r="X3488" s="4" t="str">
        <f>IF(V3488="","",INDEX(Fornecedores!$X$1:$X$6631,V3488))</f>
        <v/>
      </c>
      <c r="Y3488" s="4" t="str">
        <f t="shared" si="4"/>
        <v/>
      </c>
    </row>
    <row r="3489" spans="19:25">
      <c r="S3489" t="str">
        <f t="shared" si="0"/>
        <v/>
      </c>
      <c r="T3489" t="str">
        <f t="shared" si="1"/>
        <v/>
      </c>
      <c r="U3489" t="str">
        <f t="shared" si="2"/>
        <v/>
      </c>
      <c r="V3489" t="str">
        <f>IF(OR(U3489="",U3489="ERRO_CHAVE"),"",IFERROR(MATCH(U3489,Fornecedores!$AF$1:$AF$6631,0),""))</f>
        <v/>
      </c>
      <c r="W3489" t="str">
        <f t="shared" si="3"/>
        <v/>
      </c>
      <c r="X3489" s="4" t="str">
        <f>IF(V3489="","",INDEX(Fornecedores!$X$1:$X$6631,V3489))</f>
        <v/>
      </c>
      <c r="Y3489" s="4" t="str">
        <f t="shared" si="4"/>
        <v/>
      </c>
    </row>
    <row r="3490" spans="19:25">
      <c r="S3490" t="str">
        <f t="shared" si="0"/>
        <v/>
      </c>
      <c r="T3490" t="str">
        <f t="shared" si="1"/>
        <v/>
      </c>
      <c r="U3490" t="str">
        <f t="shared" si="2"/>
        <v/>
      </c>
      <c r="V3490" t="str">
        <f>IF(OR(U3490="",U3490="ERRO_CHAVE"),"",IFERROR(MATCH(U3490,Fornecedores!$AF$1:$AF$6631,0),""))</f>
        <v/>
      </c>
      <c r="W3490" t="str">
        <f t="shared" si="3"/>
        <v/>
      </c>
      <c r="X3490" s="4" t="str">
        <f>IF(V3490="","",INDEX(Fornecedores!$X$1:$X$6631,V3490))</f>
        <v/>
      </c>
      <c r="Y3490" s="4" t="str">
        <f t="shared" si="4"/>
        <v/>
      </c>
    </row>
    <row r="3491" spans="19:25">
      <c r="S3491" t="str">
        <f t="shared" si="0"/>
        <v/>
      </c>
      <c r="T3491" t="str">
        <f t="shared" si="1"/>
        <v/>
      </c>
      <c r="U3491" t="str">
        <f t="shared" si="2"/>
        <v/>
      </c>
      <c r="V3491" t="str">
        <f>IF(OR(U3491="",U3491="ERRO_CHAVE"),"",IFERROR(MATCH(U3491,Fornecedores!$AF$1:$AF$6631,0),""))</f>
        <v/>
      </c>
      <c r="W3491" t="str">
        <f t="shared" si="3"/>
        <v/>
      </c>
      <c r="X3491" s="4" t="str">
        <f>IF(V3491="","",INDEX(Fornecedores!$X$1:$X$6631,V3491))</f>
        <v/>
      </c>
      <c r="Y3491" s="4" t="str">
        <f t="shared" si="4"/>
        <v/>
      </c>
    </row>
    <row r="3492" spans="19:25">
      <c r="S3492" t="str">
        <f t="shared" si="0"/>
        <v/>
      </c>
      <c r="T3492" t="str">
        <f t="shared" si="1"/>
        <v/>
      </c>
      <c r="U3492" t="str">
        <f t="shared" si="2"/>
        <v/>
      </c>
      <c r="V3492" t="str">
        <f>IF(OR(U3492="",U3492="ERRO_CHAVE"),"",IFERROR(MATCH(U3492,Fornecedores!$AF$1:$AF$6631,0),""))</f>
        <v/>
      </c>
      <c r="W3492" t="str">
        <f t="shared" si="3"/>
        <v/>
      </c>
      <c r="X3492" s="4" t="str">
        <f>IF(V3492="","",INDEX(Fornecedores!$X$1:$X$6631,V3492))</f>
        <v/>
      </c>
      <c r="Y3492" s="4" t="str">
        <f t="shared" si="4"/>
        <v/>
      </c>
    </row>
    <row r="3493" spans="19:25">
      <c r="S3493" t="str">
        <f t="shared" si="0"/>
        <v/>
      </c>
      <c r="T3493" t="str">
        <f t="shared" si="1"/>
        <v/>
      </c>
      <c r="U3493" t="str">
        <f t="shared" si="2"/>
        <v/>
      </c>
      <c r="V3493" t="str">
        <f>IF(OR(U3493="",U3493="ERRO_CHAVE"),"",IFERROR(MATCH(U3493,Fornecedores!$AF$1:$AF$6631,0),""))</f>
        <v/>
      </c>
      <c r="W3493" t="str">
        <f t="shared" si="3"/>
        <v/>
      </c>
      <c r="X3493" s="4" t="str">
        <f>IF(V3493="","",INDEX(Fornecedores!$X$1:$X$6631,V3493))</f>
        <v/>
      </c>
      <c r="Y3493" s="4" t="str">
        <f t="shared" si="4"/>
        <v/>
      </c>
    </row>
    <row r="3494" spans="19:25">
      <c r="S3494" t="str">
        <f t="shared" si="0"/>
        <v/>
      </c>
      <c r="T3494" t="str">
        <f t="shared" si="1"/>
        <v/>
      </c>
      <c r="U3494" t="str">
        <f t="shared" si="2"/>
        <v/>
      </c>
      <c r="V3494" t="str">
        <f>IF(OR(U3494="",U3494="ERRO_CHAVE"),"",IFERROR(MATCH(U3494,Fornecedores!$AF$1:$AF$6631,0),""))</f>
        <v/>
      </c>
      <c r="W3494" t="str">
        <f t="shared" si="3"/>
        <v/>
      </c>
      <c r="X3494" s="4" t="str">
        <f>IF(V3494="","",INDEX(Fornecedores!$X$1:$X$6631,V3494))</f>
        <v/>
      </c>
      <c r="Y3494" s="4" t="str">
        <f t="shared" si="4"/>
        <v/>
      </c>
    </row>
    <row r="3495" spans="19:25">
      <c r="S3495" t="str">
        <f t="shared" si="0"/>
        <v/>
      </c>
      <c r="T3495" t="str">
        <f t="shared" si="1"/>
        <v/>
      </c>
      <c r="U3495" t="str">
        <f t="shared" si="2"/>
        <v/>
      </c>
      <c r="V3495" t="str">
        <f>IF(OR(U3495="",U3495="ERRO_CHAVE"),"",IFERROR(MATCH(U3495,Fornecedores!$AF$1:$AF$6631,0),""))</f>
        <v/>
      </c>
      <c r="W3495" t="str">
        <f t="shared" si="3"/>
        <v/>
      </c>
      <c r="X3495" s="4" t="str">
        <f>IF(V3495="","",INDEX(Fornecedores!$X$1:$X$6631,V3495))</f>
        <v/>
      </c>
      <c r="Y3495" s="4" t="str">
        <f t="shared" si="4"/>
        <v/>
      </c>
    </row>
    <row r="3496" spans="19:25">
      <c r="S3496" t="str">
        <f t="shared" si="0"/>
        <v/>
      </c>
      <c r="T3496" t="str">
        <f t="shared" si="1"/>
        <v/>
      </c>
      <c r="U3496" t="str">
        <f t="shared" si="2"/>
        <v/>
      </c>
      <c r="V3496" t="str">
        <f>IF(OR(U3496="",U3496="ERRO_CHAVE"),"",IFERROR(MATCH(U3496,Fornecedores!$AF$1:$AF$6631,0),""))</f>
        <v/>
      </c>
      <c r="W3496" t="str">
        <f t="shared" si="3"/>
        <v/>
      </c>
      <c r="X3496" s="4" t="str">
        <f>IF(V3496="","",INDEX(Fornecedores!$X$1:$X$6631,V3496))</f>
        <v/>
      </c>
      <c r="Y3496" s="4" t="str">
        <f t="shared" si="4"/>
        <v/>
      </c>
    </row>
    <row r="3497" spans="19:25">
      <c r="S3497" t="str">
        <f t="shared" si="0"/>
        <v/>
      </c>
      <c r="T3497" t="str">
        <f t="shared" si="1"/>
        <v/>
      </c>
      <c r="U3497" t="str">
        <f t="shared" si="2"/>
        <v/>
      </c>
      <c r="V3497" t="str">
        <f>IF(OR(U3497="",U3497="ERRO_CHAVE"),"",IFERROR(MATCH(U3497,Fornecedores!$AF$1:$AF$6631,0),""))</f>
        <v/>
      </c>
      <c r="W3497" t="str">
        <f t="shared" si="3"/>
        <v/>
      </c>
      <c r="X3497" s="4" t="str">
        <f>IF(V3497="","",INDEX(Fornecedores!$X$1:$X$6631,V3497))</f>
        <v/>
      </c>
      <c r="Y3497" s="4" t="str">
        <f t="shared" si="4"/>
        <v/>
      </c>
    </row>
    <row r="3498" spans="19:25">
      <c r="S3498" t="str">
        <f t="shared" si="0"/>
        <v/>
      </c>
      <c r="T3498" t="str">
        <f t="shared" si="1"/>
        <v/>
      </c>
      <c r="U3498" t="str">
        <f t="shared" si="2"/>
        <v/>
      </c>
      <c r="V3498" t="str">
        <f>IF(OR(U3498="",U3498="ERRO_CHAVE"),"",IFERROR(MATCH(U3498,Fornecedores!$AF$1:$AF$6631,0),""))</f>
        <v/>
      </c>
      <c r="W3498" t="str">
        <f t="shared" si="3"/>
        <v/>
      </c>
      <c r="X3498" s="4" t="str">
        <f>IF(V3498="","",INDEX(Fornecedores!$X$1:$X$6631,V3498))</f>
        <v/>
      </c>
      <c r="Y3498" s="4" t="str">
        <f t="shared" si="4"/>
        <v/>
      </c>
    </row>
    <row r="3499" spans="19:25">
      <c r="S3499" t="str">
        <f t="shared" si="0"/>
        <v/>
      </c>
      <c r="T3499" t="str">
        <f t="shared" si="1"/>
        <v/>
      </c>
      <c r="U3499" t="str">
        <f t="shared" si="2"/>
        <v/>
      </c>
      <c r="V3499" t="str">
        <f>IF(OR(U3499="",U3499="ERRO_CHAVE"),"",IFERROR(MATCH(U3499,Fornecedores!$AF$1:$AF$6631,0),""))</f>
        <v/>
      </c>
      <c r="W3499" t="str">
        <f t="shared" si="3"/>
        <v/>
      </c>
      <c r="X3499" s="4" t="str">
        <f>IF(V3499="","",INDEX(Fornecedores!$X$1:$X$6631,V3499))</f>
        <v/>
      </c>
      <c r="Y3499" s="4" t="str">
        <f t="shared" si="4"/>
        <v/>
      </c>
    </row>
    <row r="3500" spans="19:25">
      <c r="S3500" t="str">
        <f t="shared" si="0"/>
        <v/>
      </c>
      <c r="T3500" t="str">
        <f t="shared" si="1"/>
        <v/>
      </c>
      <c r="U3500" t="str">
        <f t="shared" si="2"/>
        <v/>
      </c>
      <c r="V3500" t="str">
        <f>IF(OR(U3500="",U3500="ERRO_CHAVE"),"",IFERROR(MATCH(U3500,Fornecedores!$AF$1:$AF$6631,0),""))</f>
        <v/>
      </c>
      <c r="W3500" t="str">
        <f t="shared" si="3"/>
        <v/>
      </c>
      <c r="X3500" s="4" t="str">
        <f>IF(V3500="","",INDEX(Fornecedores!$X$1:$X$6631,V3500))</f>
        <v/>
      </c>
      <c r="Y3500" s="4" t="str">
        <f t="shared" si="4"/>
        <v/>
      </c>
    </row>
    <row r="3501" spans="19:25">
      <c r="S3501" t="str">
        <f t="shared" si="0"/>
        <v/>
      </c>
      <c r="T3501" t="str">
        <f t="shared" si="1"/>
        <v/>
      </c>
      <c r="U3501" t="str">
        <f t="shared" si="2"/>
        <v/>
      </c>
      <c r="V3501" t="str">
        <f>IF(OR(U3501="",U3501="ERRO_CHAVE"),"",IFERROR(MATCH(U3501,Fornecedores!$AF$1:$AF$6631,0),""))</f>
        <v/>
      </c>
      <c r="W3501" t="str">
        <f t="shared" si="3"/>
        <v/>
      </c>
      <c r="X3501" s="4" t="str">
        <f>IF(V3501="","",INDEX(Fornecedores!$X$1:$X$6631,V3501))</f>
        <v/>
      </c>
      <c r="Y3501" s="4" t="str">
        <f t="shared" si="4"/>
        <v/>
      </c>
    </row>
    <row r="3502" spans="19:25">
      <c r="S3502" t="str">
        <f t="shared" si="0"/>
        <v/>
      </c>
      <c r="T3502" t="str">
        <f t="shared" si="1"/>
        <v/>
      </c>
      <c r="U3502" t="str">
        <f t="shared" si="2"/>
        <v/>
      </c>
      <c r="V3502" t="str">
        <f>IF(OR(U3502="",U3502="ERRO_CHAVE"),"",IFERROR(MATCH(U3502,Fornecedores!$AF$1:$AF$6631,0),""))</f>
        <v/>
      </c>
      <c r="W3502" t="str">
        <f t="shared" si="3"/>
        <v/>
      </c>
      <c r="X3502" s="4" t="str">
        <f>IF(V3502="","",INDEX(Fornecedores!$X$1:$X$6631,V3502))</f>
        <v/>
      </c>
      <c r="Y3502" s="4" t="str">
        <f t="shared" si="4"/>
        <v/>
      </c>
    </row>
    <row r="3503" spans="19:25">
      <c r="S3503" t="str">
        <f t="shared" si="0"/>
        <v/>
      </c>
      <c r="T3503" t="str">
        <f t="shared" si="1"/>
        <v/>
      </c>
      <c r="U3503" t="str">
        <f t="shared" si="2"/>
        <v/>
      </c>
      <c r="V3503" t="str">
        <f>IF(OR(U3503="",U3503="ERRO_CHAVE"),"",IFERROR(MATCH(U3503,Fornecedores!$AF$1:$AF$6631,0),""))</f>
        <v/>
      </c>
      <c r="W3503" t="str">
        <f t="shared" si="3"/>
        <v/>
      </c>
      <c r="X3503" s="4" t="str">
        <f>IF(V3503="","",INDEX(Fornecedores!$X$1:$X$6631,V3503))</f>
        <v/>
      </c>
      <c r="Y3503" s="4" t="str">
        <f t="shared" si="4"/>
        <v/>
      </c>
    </row>
    <row r="3504" spans="19:25">
      <c r="S3504" t="str">
        <f t="shared" si="0"/>
        <v/>
      </c>
      <c r="T3504" t="str">
        <f t="shared" si="1"/>
        <v/>
      </c>
      <c r="U3504" t="str">
        <f t="shared" si="2"/>
        <v/>
      </c>
      <c r="V3504" t="str">
        <f>IF(OR(U3504="",U3504="ERRO_CHAVE"),"",IFERROR(MATCH(U3504,Fornecedores!$AF$1:$AF$6631,0),""))</f>
        <v/>
      </c>
      <c r="W3504" t="str">
        <f t="shared" si="3"/>
        <v/>
      </c>
      <c r="X3504" s="4" t="str">
        <f>IF(V3504="","",INDEX(Fornecedores!$X$1:$X$6631,V3504))</f>
        <v/>
      </c>
      <c r="Y3504" s="4" t="str">
        <f t="shared" si="4"/>
        <v/>
      </c>
    </row>
    <row r="3505" spans="19:25">
      <c r="S3505" t="str">
        <f t="shared" si="0"/>
        <v/>
      </c>
      <c r="T3505" t="str">
        <f t="shared" si="1"/>
        <v/>
      </c>
      <c r="U3505" t="str">
        <f t="shared" si="2"/>
        <v/>
      </c>
      <c r="V3505" t="str">
        <f>IF(OR(U3505="",U3505="ERRO_CHAVE"),"",IFERROR(MATCH(U3505,Fornecedores!$AF$1:$AF$6631,0),""))</f>
        <v/>
      </c>
      <c r="W3505" t="str">
        <f t="shared" si="3"/>
        <v/>
      </c>
      <c r="X3505" s="4" t="str">
        <f>IF(V3505="","",INDEX(Fornecedores!$X$1:$X$6631,V3505))</f>
        <v/>
      </c>
      <c r="Y3505" s="4" t="str">
        <f t="shared" si="4"/>
        <v/>
      </c>
    </row>
    <row r="3506" spans="19:25">
      <c r="S3506" t="str">
        <f t="shared" si="0"/>
        <v/>
      </c>
      <c r="T3506" t="str">
        <f t="shared" si="1"/>
        <v/>
      </c>
      <c r="U3506" t="str">
        <f t="shared" si="2"/>
        <v/>
      </c>
      <c r="V3506" t="str">
        <f>IF(OR(U3506="",U3506="ERRO_CHAVE"),"",IFERROR(MATCH(U3506,Fornecedores!$AF$1:$AF$6631,0),""))</f>
        <v/>
      </c>
      <c r="W3506" t="str">
        <f t="shared" si="3"/>
        <v/>
      </c>
      <c r="X3506" s="4" t="str">
        <f>IF(V3506="","",INDEX(Fornecedores!$X$1:$X$6631,V3506))</f>
        <v/>
      </c>
      <c r="Y3506" s="4" t="str">
        <f t="shared" si="4"/>
        <v/>
      </c>
    </row>
    <row r="3507" spans="19:25">
      <c r="S3507" t="str">
        <f t="shared" si="0"/>
        <v/>
      </c>
      <c r="T3507" t="str">
        <f t="shared" si="1"/>
        <v/>
      </c>
      <c r="U3507" t="str">
        <f t="shared" si="2"/>
        <v/>
      </c>
      <c r="V3507" t="str">
        <f>IF(OR(U3507="",U3507="ERRO_CHAVE"),"",IFERROR(MATCH(U3507,Fornecedores!$AF$1:$AF$6631,0),""))</f>
        <v/>
      </c>
      <c r="W3507" t="str">
        <f t="shared" si="3"/>
        <v/>
      </c>
      <c r="X3507" s="4" t="str">
        <f>IF(V3507="","",INDEX(Fornecedores!$X$1:$X$6631,V3507))</f>
        <v/>
      </c>
      <c r="Y3507" s="4" t="str">
        <f t="shared" si="4"/>
        <v/>
      </c>
    </row>
    <row r="3508" spans="19:25">
      <c r="S3508" t="str">
        <f t="shared" si="0"/>
        <v/>
      </c>
      <c r="T3508" t="str">
        <f t="shared" si="1"/>
        <v/>
      </c>
      <c r="U3508" t="str">
        <f t="shared" si="2"/>
        <v/>
      </c>
      <c r="V3508" t="str">
        <f>IF(OR(U3508="",U3508="ERRO_CHAVE"),"",IFERROR(MATCH(U3508,Fornecedores!$AF$1:$AF$6631,0),""))</f>
        <v/>
      </c>
      <c r="W3508" t="str">
        <f t="shared" si="3"/>
        <v/>
      </c>
      <c r="X3508" s="4" t="str">
        <f>IF(V3508="","",INDEX(Fornecedores!$X$1:$X$6631,V3508))</f>
        <v/>
      </c>
      <c r="Y3508" s="4" t="str">
        <f t="shared" si="4"/>
        <v/>
      </c>
    </row>
    <row r="3509" spans="19:25">
      <c r="S3509" t="str">
        <f t="shared" si="0"/>
        <v/>
      </c>
      <c r="T3509" t="str">
        <f t="shared" si="1"/>
        <v/>
      </c>
      <c r="U3509" t="str">
        <f t="shared" si="2"/>
        <v/>
      </c>
      <c r="V3509" t="str">
        <f>IF(OR(U3509="",U3509="ERRO_CHAVE"),"",IFERROR(MATCH(U3509,Fornecedores!$AF$1:$AF$6631,0),""))</f>
        <v/>
      </c>
      <c r="W3509" t="str">
        <f t="shared" si="3"/>
        <v/>
      </c>
      <c r="X3509" s="4" t="str">
        <f>IF(V3509="","",INDEX(Fornecedores!$X$1:$X$6631,V3509))</f>
        <v/>
      </c>
      <c r="Y3509" s="4" t="str">
        <f t="shared" si="4"/>
        <v/>
      </c>
    </row>
    <row r="3510" spans="19:25">
      <c r="S3510" t="str">
        <f t="shared" si="0"/>
        <v/>
      </c>
      <c r="T3510" t="str">
        <f t="shared" si="1"/>
        <v/>
      </c>
      <c r="U3510" t="str">
        <f t="shared" si="2"/>
        <v/>
      </c>
      <c r="V3510" t="str">
        <f>IF(OR(U3510="",U3510="ERRO_CHAVE"),"",IFERROR(MATCH(U3510,Fornecedores!$AF$1:$AF$6631,0),""))</f>
        <v/>
      </c>
      <c r="W3510" t="str">
        <f t="shared" si="3"/>
        <v/>
      </c>
      <c r="X3510" s="4" t="str">
        <f>IF(V3510="","",INDEX(Fornecedores!$X$1:$X$6631,V3510))</f>
        <v/>
      </c>
      <c r="Y3510" s="4" t="str">
        <f t="shared" si="4"/>
        <v/>
      </c>
    </row>
    <row r="3511" spans="19:25">
      <c r="S3511" t="str">
        <f t="shared" si="0"/>
        <v/>
      </c>
      <c r="T3511" t="str">
        <f t="shared" si="1"/>
        <v/>
      </c>
      <c r="U3511" t="str">
        <f t="shared" si="2"/>
        <v/>
      </c>
      <c r="V3511" t="str">
        <f>IF(OR(U3511="",U3511="ERRO_CHAVE"),"",IFERROR(MATCH(U3511,Fornecedores!$AF$1:$AF$6631,0),""))</f>
        <v/>
      </c>
      <c r="W3511" t="str">
        <f t="shared" si="3"/>
        <v/>
      </c>
      <c r="X3511" s="4" t="str">
        <f>IF(V3511="","",INDEX(Fornecedores!$X$1:$X$6631,V3511))</f>
        <v/>
      </c>
      <c r="Y3511" s="4" t="str">
        <f t="shared" si="4"/>
        <v/>
      </c>
    </row>
    <row r="3512" spans="19:25">
      <c r="S3512" t="str">
        <f t="shared" si="0"/>
        <v/>
      </c>
      <c r="T3512" t="str">
        <f t="shared" si="1"/>
        <v/>
      </c>
      <c r="U3512" t="str">
        <f t="shared" si="2"/>
        <v/>
      </c>
      <c r="V3512" t="str">
        <f>IF(OR(U3512="",U3512="ERRO_CHAVE"),"",IFERROR(MATCH(U3512,Fornecedores!$AF$1:$AF$6631,0),""))</f>
        <v/>
      </c>
      <c r="W3512" t="str">
        <f t="shared" si="3"/>
        <v/>
      </c>
      <c r="X3512" s="4" t="str">
        <f>IF(V3512="","",INDEX(Fornecedores!$X$1:$X$6631,V3512))</f>
        <v/>
      </c>
      <c r="Y3512" s="4" t="str">
        <f t="shared" si="4"/>
        <v/>
      </c>
    </row>
    <row r="3513" spans="19:25">
      <c r="S3513" t="str">
        <f t="shared" si="0"/>
        <v/>
      </c>
      <c r="T3513" t="str">
        <f t="shared" si="1"/>
        <v/>
      </c>
      <c r="U3513" t="str">
        <f t="shared" si="2"/>
        <v/>
      </c>
      <c r="V3513" t="str">
        <f>IF(OR(U3513="",U3513="ERRO_CHAVE"),"",IFERROR(MATCH(U3513,Fornecedores!$AF$1:$AF$6631,0),""))</f>
        <v/>
      </c>
      <c r="W3513" t="str">
        <f t="shared" si="3"/>
        <v/>
      </c>
      <c r="X3513" s="4" t="str">
        <f>IF(V3513="","",INDEX(Fornecedores!$X$1:$X$6631,V3513))</f>
        <v/>
      </c>
      <c r="Y3513" s="4" t="str">
        <f t="shared" si="4"/>
        <v/>
      </c>
    </row>
    <row r="3514" spans="19:25">
      <c r="S3514" t="str">
        <f t="shared" si="0"/>
        <v/>
      </c>
      <c r="T3514" t="str">
        <f t="shared" si="1"/>
        <v/>
      </c>
      <c r="U3514" t="str">
        <f t="shared" si="2"/>
        <v/>
      </c>
      <c r="V3514" t="str">
        <f>IF(OR(U3514="",U3514="ERRO_CHAVE"),"",IFERROR(MATCH(U3514,Fornecedores!$AF$1:$AF$6631,0),""))</f>
        <v/>
      </c>
      <c r="W3514" t="str">
        <f t="shared" si="3"/>
        <v/>
      </c>
      <c r="X3514" s="4" t="str">
        <f>IF(V3514="","",INDEX(Fornecedores!$X$1:$X$6631,V3514))</f>
        <v/>
      </c>
      <c r="Y3514" s="4" t="str">
        <f t="shared" si="4"/>
        <v/>
      </c>
    </row>
    <row r="3515" spans="19:25">
      <c r="S3515" t="str">
        <f t="shared" si="0"/>
        <v/>
      </c>
      <c r="T3515" t="str">
        <f t="shared" si="1"/>
        <v/>
      </c>
      <c r="U3515" t="str">
        <f t="shared" si="2"/>
        <v/>
      </c>
      <c r="V3515" t="str">
        <f>IF(OR(U3515="",U3515="ERRO_CHAVE"),"",IFERROR(MATCH(U3515,Fornecedores!$AF$1:$AF$6631,0),""))</f>
        <v/>
      </c>
      <c r="W3515" t="str">
        <f t="shared" si="3"/>
        <v/>
      </c>
      <c r="X3515" s="4" t="str">
        <f>IF(V3515="","",INDEX(Fornecedores!$X$1:$X$6631,V3515))</f>
        <v/>
      </c>
      <c r="Y3515" s="4" t="str">
        <f t="shared" si="4"/>
        <v/>
      </c>
    </row>
    <row r="3516" spans="19:25">
      <c r="S3516" t="str">
        <f t="shared" si="0"/>
        <v/>
      </c>
      <c r="T3516" t="str">
        <f t="shared" si="1"/>
        <v/>
      </c>
      <c r="U3516" t="str">
        <f t="shared" si="2"/>
        <v/>
      </c>
      <c r="V3516" t="str">
        <f>IF(OR(U3516="",U3516="ERRO_CHAVE"),"",IFERROR(MATCH(U3516,Fornecedores!$AF$1:$AF$6631,0),""))</f>
        <v/>
      </c>
      <c r="W3516" t="str">
        <f t="shared" si="3"/>
        <v/>
      </c>
      <c r="X3516" s="4" t="str">
        <f>IF(V3516="","",INDEX(Fornecedores!$X$1:$X$6631,V3516))</f>
        <v/>
      </c>
      <c r="Y3516" s="4" t="str">
        <f t="shared" si="4"/>
        <v/>
      </c>
    </row>
    <row r="3517" spans="19:25">
      <c r="S3517" t="str">
        <f t="shared" si="0"/>
        <v/>
      </c>
      <c r="T3517" t="str">
        <f t="shared" si="1"/>
        <v/>
      </c>
      <c r="U3517" t="str">
        <f t="shared" si="2"/>
        <v/>
      </c>
      <c r="V3517" t="str">
        <f>IF(OR(U3517="",U3517="ERRO_CHAVE"),"",IFERROR(MATCH(U3517,Fornecedores!$AF$1:$AF$6631,0),""))</f>
        <v/>
      </c>
      <c r="W3517" t="str">
        <f t="shared" si="3"/>
        <v/>
      </c>
      <c r="X3517" s="4" t="str">
        <f>IF(V3517="","",INDEX(Fornecedores!$X$1:$X$6631,V3517))</f>
        <v/>
      </c>
      <c r="Y3517" s="4" t="str">
        <f t="shared" si="4"/>
        <v/>
      </c>
    </row>
    <row r="3518" spans="19:25">
      <c r="S3518" t="str">
        <f t="shared" si="0"/>
        <v/>
      </c>
      <c r="T3518" t="str">
        <f t="shared" si="1"/>
        <v/>
      </c>
      <c r="U3518" t="str">
        <f t="shared" si="2"/>
        <v/>
      </c>
      <c r="V3518" t="str">
        <f>IF(OR(U3518="",U3518="ERRO_CHAVE"),"",IFERROR(MATCH(U3518,Fornecedores!$AF$1:$AF$6631,0),""))</f>
        <v/>
      </c>
      <c r="W3518" t="str">
        <f t="shared" si="3"/>
        <v/>
      </c>
      <c r="X3518" s="4" t="str">
        <f>IF(V3518="","",INDEX(Fornecedores!$X$1:$X$6631,V3518))</f>
        <v/>
      </c>
      <c r="Y3518" s="4" t="str">
        <f t="shared" si="4"/>
        <v/>
      </c>
    </row>
    <row r="3519" spans="19:25">
      <c r="S3519" t="str">
        <f t="shared" si="0"/>
        <v/>
      </c>
      <c r="T3519" t="str">
        <f t="shared" si="1"/>
        <v/>
      </c>
      <c r="U3519" t="str">
        <f t="shared" si="2"/>
        <v/>
      </c>
      <c r="V3519" t="str">
        <f>IF(OR(U3519="",U3519="ERRO_CHAVE"),"",IFERROR(MATCH(U3519,Fornecedores!$AF$1:$AF$6631,0),""))</f>
        <v/>
      </c>
      <c r="W3519" t="str">
        <f t="shared" si="3"/>
        <v/>
      </c>
      <c r="X3519" s="4" t="str">
        <f>IF(V3519="","",INDEX(Fornecedores!$X$1:$X$6631,V3519))</f>
        <v/>
      </c>
      <c r="Y3519" s="4" t="str">
        <f t="shared" si="4"/>
        <v/>
      </c>
    </row>
    <row r="3520" spans="19:25">
      <c r="S3520" t="str">
        <f t="shared" si="0"/>
        <v/>
      </c>
      <c r="T3520" t="str">
        <f t="shared" si="1"/>
        <v/>
      </c>
      <c r="U3520" t="str">
        <f t="shared" si="2"/>
        <v/>
      </c>
      <c r="V3520" t="str">
        <f>IF(OR(U3520="",U3520="ERRO_CHAVE"),"",IFERROR(MATCH(U3520,Fornecedores!$AF$1:$AF$6631,0),""))</f>
        <v/>
      </c>
      <c r="W3520" t="str">
        <f t="shared" si="3"/>
        <v/>
      </c>
      <c r="X3520" s="4" t="str">
        <f>IF(V3520="","",INDEX(Fornecedores!$X$1:$X$6631,V3520))</f>
        <v/>
      </c>
      <c r="Y3520" s="4" t="str">
        <f t="shared" si="4"/>
        <v/>
      </c>
    </row>
    <row r="3521" spans="19:25">
      <c r="S3521" t="str">
        <f t="shared" si="0"/>
        <v/>
      </c>
      <c r="T3521" t="str">
        <f t="shared" si="1"/>
        <v/>
      </c>
      <c r="U3521" t="str">
        <f t="shared" si="2"/>
        <v/>
      </c>
      <c r="V3521" t="str">
        <f>IF(OR(U3521="",U3521="ERRO_CHAVE"),"",IFERROR(MATCH(U3521,Fornecedores!$AF$1:$AF$6631,0),""))</f>
        <v/>
      </c>
      <c r="W3521" t="str">
        <f t="shared" si="3"/>
        <v/>
      </c>
      <c r="X3521" s="4" t="str">
        <f>IF(V3521="","",INDEX(Fornecedores!$X$1:$X$6631,V3521))</f>
        <v/>
      </c>
      <c r="Y3521" s="4" t="str">
        <f t="shared" si="4"/>
        <v/>
      </c>
    </row>
    <row r="3522" spans="19:25">
      <c r="S3522" t="str">
        <f t="shared" si="0"/>
        <v/>
      </c>
      <c r="T3522" t="str">
        <f t="shared" si="1"/>
        <v/>
      </c>
      <c r="U3522" t="str">
        <f t="shared" si="2"/>
        <v/>
      </c>
      <c r="V3522" t="str">
        <f>IF(OR(U3522="",U3522="ERRO_CHAVE"),"",IFERROR(MATCH(U3522,Fornecedores!$AF$1:$AF$6631,0),""))</f>
        <v/>
      </c>
      <c r="W3522" t="str">
        <f t="shared" si="3"/>
        <v/>
      </c>
      <c r="X3522" s="4" t="str">
        <f>IF(V3522="","",INDEX(Fornecedores!$X$1:$X$6631,V3522))</f>
        <v/>
      </c>
      <c r="Y3522" s="4" t="str">
        <f t="shared" si="4"/>
        <v/>
      </c>
    </row>
    <row r="3523" spans="19:25">
      <c r="S3523" t="str">
        <f t="shared" si="0"/>
        <v/>
      </c>
      <c r="T3523" t="str">
        <f t="shared" si="1"/>
        <v/>
      </c>
      <c r="U3523" t="str">
        <f t="shared" si="2"/>
        <v/>
      </c>
      <c r="V3523" t="str">
        <f>IF(OR(U3523="",U3523="ERRO_CHAVE"),"",IFERROR(MATCH(U3523,Fornecedores!$AF$1:$AF$6631,0),""))</f>
        <v/>
      </c>
      <c r="W3523" t="str">
        <f t="shared" si="3"/>
        <v/>
      </c>
      <c r="X3523" s="4" t="str">
        <f>IF(V3523="","",INDEX(Fornecedores!$X$1:$X$6631,V3523))</f>
        <v/>
      </c>
      <c r="Y3523" s="4" t="str">
        <f t="shared" si="4"/>
        <v/>
      </c>
    </row>
    <row r="3524" spans="19:25">
      <c r="S3524" t="str">
        <f t="shared" si="0"/>
        <v/>
      </c>
      <c r="T3524" t="str">
        <f t="shared" si="1"/>
        <v/>
      </c>
      <c r="U3524" t="str">
        <f t="shared" si="2"/>
        <v/>
      </c>
      <c r="V3524" t="str">
        <f>IF(OR(U3524="",U3524="ERRO_CHAVE"),"",IFERROR(MATCH(U3524,Fornecedores!$AF$1:$AF$6631,0),""))</f>
        <v/>
      </c>
      <c r="W3524" t="str">
        <f t="shared" si="3"/>
        <v/>
      </c>
      <c r="X3524" s="4" t="str">
        <f>IF(V3524="","",INDEX(Fornecedores!$X$1:$X$6631,V3524))</f>
        <v/>
      </c>
      <c r="Y3524" s="4" t="str">
        <f t="shared" si="4"/>
        <v/>
      </c>
    </row>
    <row r="3525" spans="19:25">
      <c r="S3525" t="str">
        <f t="shared" si="0"/>
        <v/>
      </c>
      <c r="T3525" t="str">
        <f t="shared" si="1"/>
        <v/>
      </c>
      <c r="U3525" t="str">
        <f t="shared" si="2"/>
        <v/>
      </c>
      <c r="V3525" t="str">
        <f>IF(OR(U3525="",U3525="ERRO_CHAVE"),"",IFERROR(MATCH(U3525,Fornecedores!$AF$1:$AF$6631,0),""))</f>
        <v/>
      </c>
      <c r="W3525" t="str">
        <f t="shared" si="3"/>
        <v/>
      </c>
      <c r="X3525" s="4" t="str">
        <f>IF(V3525="","",INDEX(Fornecedores!$X$1:$X$6631,V3525))</f>
        <v/>
      </c>
      <c r="Y3525" s="4" t="str">
        <f t="shared" si="4"/>
        <v/>
      </c>
    </row>
    <row r="3526" spans="19:25">
      <c r="S3526" t="str">
        <f t="shared" si="0"/>
        <v/>
      </c>
      <c r="T3526" t="str">
        <f t="shared" si="1"/>
        <v/>
      </c>
      <c r="U3526" t="str">
        <f t="shared" si="2"/>
        <v/>
      </c>
      <c r="V3526" t="str">
        <f>IF(OR(U3526="",U3526="ERRO_CHAVE"),"",IFERROR(MATCH(U3526,Fornecedores!$AF$1:$AF$6631,0),""))</f>
        <v/>
      </c>
      <c r="W3526" t="str">
        <f t="shared" si="3"/>
        <v/>
      </c>
      <c r="X3526" s="4" t="str">
        <f>IF(V3526="","",INDEX(Fornecedores!$X$1:$X$6631,V3526))</f>
        <v/>
      </c>
      <c r="Y3526" s="4" t="str">
        <f t="shared" si="4"/>
        <v/>
      </c>
    </row>
    <row r="3527" spans="19:25">
      <c r="S3527" t="str">
        <f t="shared" si="0"/>
        <v/>
      </c>
      <c r="T3527" t="str">
        <f t="shared" si="1"/>
        <v/>
      </c>
      <c r="U3527" t="str">
        <f t="shared" si="2"/>
        <v/>
      </c>
      <c r="V3527" t="str">
        <f>IF(OR(U3527="",U3527="ERRO_CHAVE"),"",IFERROR(MATCH(U3527,Fornecedores!$AF$1:$AF$6631,0),""))</f>
        <v/>
      </c>
      <c r="W3527" t="str">
        <f t="shared" si="3"/>
        <v/>
      </c>
      <c r="X3527" s="4" t="str">
        <f>IF(V3527="","",INDEX(Fornecedores!$X$1:$X$6631,V3527))</f>
        <v/>
      </c>
      <c r="Y3527" s="4" t="str">
        <f t="shared" si="4"/>
        <v/>
      </c>
    </row>
    <row r="3528" spans="19:25">
      <c r="S3528" t="str">
        <f t="shared" si="0"/>
        <v/>
      </c>
      <c r="T3528" t="str">
        <f t="shared" si="1"/>
        <v/>
      </c>
      <c r="U3528" t="str">
        <f t="shared" si="2"/>
        <v/>
      </c>
      <c r="V3528" t="str">
        <f>IF(OR(U3528="",U3528="ERRO_CHAVE"),"",IFERROR(MATCH(U3528,Fornecedores!$AF$1:$AF$6631,0),""))</f>
        <v/>
      </c>
      <c r="W3528" t="str">
        <f t="shared" si="3"/>
        <v/>
      </c>
      <c r="X3528" s="4" t="str">
        <f>IF(V3528="","",INDEX(Fornecedores!$X$1:$X$6631,V3528))</f>
        <v/>
      </c>
      <c r="Y3528" s="4" t="str">
        <f t="shared" si="4"/>
        <v/>
      </c>
    </row>
    <row r="3529" spans="19:25">
      <c r="S3529" t="str">
        <f t="shared" si="0"/>
        <v/>
      </c>
      <c r="T3529" t="str">
        <f t="shared" si="1"/>
        <v/>
      </c>
      <c r="U3529" t="str">
        <f t="shared" si="2"/>
        <v/>
      </c>
      <c r="V3529" t="str">
        <f>IF(OR(U3529="",U3529="ERRO_CHAVE"),"",IFERROR(MATCH(U3529,Fornecedores!$AF$1:$AF$6631,0),""))</f>
        <v/>
      </c>
      <c r="W3529" t="str">
        <f t="shared" si="3"/>
        <v/>
      </c>
      <c r="X3529" s="4" t="str">
        <f>IF(V3529="","",INDEX(Fornecedores!$X$1:$X$6631,V3529))</f>
        <v/>
      </c>
      <c r="Y3529" s="4" t="str">
        <f t="shared" si="4"/>
        <v/>
      </c>
    </row>
    <row r="3530" spans="19:25">
      <c r="S3530" t="str">
        <f t="shared" si="0"/>
        <v/>
      </c>
      <c r="T3530" t="str">
        <f t="shared" si="1"/>
        <v/>
      </c>
      <c r="U3530" t="str">
        <f t="shared" si="2"/>
        <v/>
      </c>
      <c r="V3530" t="str">
        <f>IF(OR(U3530="",U3530="ERRO_CHAVE"),"",IFERROR(MATCH(U3530,Fornecedores!$AF$1:$AF$6631,0),""))</f>
        <v/>
      </c>
      <c r="W3530" t="str">
        <f t="shared" si="3"/>
        <v/>
      </c>
      <c r="X3530" s="4" t="str">
        <f>IF(V3530="","",INDEX(Fornecedores!$X$1:$X$6631,V3530))</f>
        <v/>
      </c>
      <c r="Y3530" s="4" t="str">
        <f t="shared" si="4"/>
        <v/>
      </c>
    </row>
    <row r="3531" spans="19:25">
      <c r="S3531" t="str">
        <f t="shared" si="0"/>
        <v/>
      </c>
      <c r="T3531" t="str">
        <f t="shared" si="1"/>
        <v/>
      </c>
      <c r="U3531" t="str">
        <f t="shared" si="2"/>
        <v/>
      </c>
      <c r="V3531" t="str">
        <f>IF(OR(U3531="",U3531="ERRO_CHAVE"),"",IFERROR(MATCH(U3531,Fornecedores!$AF$1:$AF$6631,0),""))</f>
        <v/>
      </c>
      <c r="W3531" t="str">
        <f t="shared" si="3"/>
        <v/>
      </c>
      <c r="X3531" s="4" t="str">
        <f>IF(V3531="","",INDEX(Fornecedores!$X$1:$X$6631,V3531))</f>
        <v/>
      </c>
      <c r="Y3531" s="4" t="str">
        <f t="shared" si="4"/>
        <v/>
      </c>
    </row>
    <row r="3532" spans="19:25">
      <c r="S3532" t="str">
        <f t="shared" si="0"/>
        <v/>
      </c>
      <c r="T3532" t="str">
        <f t="shared" si="1"/>
        <v/>
      </c>
      <c r="U3532" t="str">
        <f t="shared" si="2"/>
        <v/>
      </c>
      <c r="V3532" t="str">
        <f>IF(OR(U3532="",U3532="ERRO_CHAVE"),"",IFERROR(MATCH(U3532,Fornecedores!$AF$1:$AF$6631,0),""))</f>
        <v/>
      </c>
      <c r="W3532" t="str">
        <f t="shared" si="3"/>
        <v/>
      </c>
      <c r="X3532" s="4" t="str">
        <f>IF(V3532="","",INDEX(Fornecedores!$X$1:$X$6631,V3532))</f>
        <v/>
      </c>
      <c r="Y3532" s="4" t="str">
        <f t="shared" si="4"/>
        <v/>
      </c>
    </row>
    <row r="3533" spans="19:25">
      <c r="S3533" t="str">
        <f t="shared" si="0"/>
        <v/>
      </c>
      <c r="T3533" t="str">
        <f t="shared" si="1"/>
        <v/>
      </c>
      <c r="U3533" t="str">
        <f t="shared" si="2"/>
        <v/>
      </c>
      <c r="V3533" t="str">
        <f>IF(OR(U3533="",U3533="ERRO_CHAVE"),"",IFERROR(MATCH(U3533,Fornecedores!$AF$1:$AF$6631,0),""))</f>
        <v/>
      </c>
      <c r="W3533" t="str">
        <f t="shared" si="3"/>
        <v/>
      </c>
      <c r="X3533" s="4" t="str">
        <f>IF(V3533="","",INDEX(Fornecedores!$X$1:$X$6631,V3533))</f>
        <v/>
      </c>
      <c r="Y3533" s="4" t="str">
        <f t="shared" si="4"/>
        <v/>
      </c>
    </row>
    <row r="3534" spans="19:25">
      <c r="S3534" t="str">
        <f t="shared" si="0"/>
        <v/>
      </c>
      <c r="T3534" t="str">
        <f t="shared" si="1"/>
        <v/>
      </c>
      <c r="U3534" t="str">
        <f t="shared" si="2"/>
        <v/>
      </c>
      <c r="V3534" t="str">
        <f>IF(OR(U3534="",U3534="ERRO_CHAVE"),"",IFERROR(MATCH(U3534,Fornecedores!$AF$1:$AF$6631,0),""))</f>
        <v/>
      </c>
      <c r="W3534" t="str">
        <f t="shared" si="3"/>
        <v/>
      </c>
      <c r="X3534" s="4" t="str">
        <f>IF(V3534="","",INDEX(Fornecedores!$X$1:$X$6631,V3534))</f>
        <v/>
      </c>
      <c r="Y3534" s="4" t="str">
        <f t="shared" si="4"/>
        <v/>
      </c>
    </row>
    <row r="3535" spans="19:25">
      <c r="S3535" t="str">
        <f t="shared" si="0"/>
        <v/>
      </c>
      <c r="T3535" t="str">
        <f t="shared" si="1"/>
        <v/>
      </c>
      <c r="U3535" t="str">
        <f t="shared" si="2"/>
        <v/>
      </c>
      <c r="V3535" t="str">
        <f>IF(OR(U3535="",U3535="ERRO_CHAVE"),"",IFERROR(MATCH(U3535,Fornecedores!$AF$1:$AF$6631,0),""))</f>
        <v/>
      </c>
      <c r="W3535" t="str">
        <f t="shared" si="3"/>
        <v/>
      </c>
      <c r="X3535" s="4" t="str">
        <f>IF(V3535="","",INDEX(Fornecedores!$X$1:$X$6631,V3535))</f>
        <v/>
      </c>
      <c r="Y3535" s="4" t="str">
        <f t="shared" si="4"/>
        <v/>
      </c>
    </row>
    <row r="3536" spans="19:25">
      <c r="S3536" t="str">
        <f t="shared" si="0"/>
        <v/>
      </c>
      <c r="T3536" t="str">
        <f t="shared" si="1"/>
        <v/>
      </c>
      <c r="U3536" t="str">
        <f t="shared" si="2"/>
        <v/>
      </c>
      <c r="V3536" t="str">
        <f>IF(OR(U3536="",U3536="ERRO_CHAVE"),"",IFERROR(MATCH(U3536,Fornecedores!$AF$1:$AF$6631,0),""))</f>
        <v/>
      </c>
      <c r="W3536" t="str">
        <f t="shared" si="3"/>
        <v/>
      </c>
      <c r="X3536" s="4" t="str">
        <f>IF(V3536="","",INDEX(Fornecedores!$X$1:$X$6631,V3536))</f>
        <v/>
      </c>
      <c r="Y3536" s="4" t="str">
        <f t="shared" si="4"/>
        <v/>
      </c>
    </row>
    <row r="3537" spans="19:25">
      <c r="S3537" t="str">
        <f t="shared" si="0"/>
        <v/>
      </c>
      <c r="T3537" t="str">
        <f t="shared" si="1"/>
        <v/>
      </c>
      <c r="U3537" t="str">
        <f t="shared" si="2"/>
        <v/>
      </c>
      <c r="V3537" t="str">
        <f>IF(OR(U3537="",U3537="ERRO_CHAVE"),"",IFERROR(MATCH(U3537,Fornecedores!$AF$1:$AF$6631,0),""))</f>
        <v/>
      </c>
      <c r="W3537" t="str">
        <f t="shared" si="3"/>
        <v/>
      </c>
      <c r="X3537" s="4" t="str">
        <f>IF(V3537="","",INDEX(Fornecedores!$X$1:$X$6631,V3537))</f>
        <v/>
      </c>
      <c r="Y3537" s="4" t="str">
        <f t="shared" si="4"/>
        <v/>
      </c>
    </row>
    <row r="3538" spans="19:25">
      <c r="S3538" t="str">
        <f t="shared" si="0"/>
        <v/>
      </c>
      <c r="T3538" t="str">
        <f t="shared" si="1"/>
        <v/>
      </c>
      <c r="U3538" t="str">
        <f t="shared" si="2"/>
        <v/>
      </c>
      <c r="V3538" t="str">
        <f>IF(OR(U3538="",U3538="ERRO_CHAVE"),"",IFERROR(MATCH(U3538,Fornecedores!$AF$1:$AF$6631,0),""))</f>
        <v/>
      </c>
      <c r="W3538" t="str">
        <f t="shared" si="3"/>
        <v/>
      </c>
      <c r="X3538" s="4" t="str">
        <f>IF(V3538="","",INDEX(Fornecedores!$X$1:$X$6631,V3538))</f>
        <v/>
      </c>
      <c r="Y3538" s="4" t="str">
        <f t="shared" si="4"/>
        <v/>
      </c>
    </row>
    <row r="3539" spans="19:25">
      <c r="S3539" t="str">
        <f t="shared" si="0"/>
        <v/>
      </c>
      <c r="T3539" t="str">
        <f t="shared" si="1"/>
        <v/>
      </c>
      <c r="U3539" t="str">
        <f t="shared" si="2"/>
        <v/>
      </c>
      <c r="V3539" t="str">
        <f>IF(OR(U3539="",U3539="ERRO_CHAVE"),"",IFERROR(MATCH(U3539,Fornecedores!$AF$1:$AF$6631,0),""))</f>
        <v/>
      </c>
      <c r="W3539" t="str">
        <f t="shared" si="3"/>
        <v/>
      </c>
      <c r="X3539" s="4" t="str">
        <f>IF(V3539="","",INDEX(Fornecedores!$X$1:$X$6631,V3539))</f>
        <v/>
      </c>
      <c r="Y3539" s="4" t="str">
        <f t="shared" si="4"/>
        <v/>
      </c>
    </row>
    <row r="3540" spans="19:25">
      <c r="S3540" t="str">
        <f t="shared" si="0"/>
        <v/>
      </c>
      <c r="T3540" t="str">
        <f t="shared" si="1"/>
        <v/>
      </c>
      <c r="U3540" t="str">
        <f t="shared" si="2"/>
        <v/>
      </c>
      <c r="V3540" t="str">
        <f>IF(OR(U3540="",U3540="ERRO_CHAVE"),"",IFERROR(MATCH(U3540,Fornecedores!$AF$1:$AF$6631,0),""))</f>
        <v/>
      </c>
      <c r="W3540" t="str">
        <f t="shared" si="3"/>
        <v/>
      </c>
      <c r="X3540" s="4" t="str">
        <f>IF(V3540="","",INDEX(Fornecedores!$X$1:$X$6631,V3540))</f>
        <v/>
      </c>
      <c r="Y3540" s="4" t="str">
        <f t="shared" si="4"/>
        <v/>
      </c>
    </row>
    <row r="3541" spans="19:25">
      <c r="S3541" t="str">
        <f t="shared" si="0"/>
        <v/>
      </c>
      <c r="T3541" t="str">
        <f t="shared" si="1"/>
        <v/>
      </c>
      <c r="U3541" t="str">
        <f t="shared" si="2"/>
        <v/>
      </c>
      <c r="V3541" t="str">
        <f>IF(OR(U3541="",U3541="ERRO_CHAVE"),"",IFERROR(MATCH(U3541,Fornecedores!$AF$1:$AF$6631,0),""))</f>
        <v/>
      </c>
      <c r="W3541" t="str">
        <f t="shared" si="3"/>
        <v/>
      </c>
      <c r="X3541" s="4" t="str">
        <f>IF(V3541="","",INDEX(Fornecedores!$X$1:$X$6631,V3541))</f>
        <v/>
      </c>
      <c r="Y3541" s="4" t="str">
        <f t="shared" si="4"/>
        <v/>
      </c>
    </row>
    <row r="3542" spans="19:25">
      <c r="S3542" t="str">
        <f t="shared" si="0"/>
        <v/>
      </c>
      <c r="T3542" t="str">
        <f t="shared" si="1"/>
        <v/>
      </c>
      <c r="U3542" t="str">
        <f t="shared" si="2"/>
        <v/>
      </c>
      <c r="V3542" t="str">
        <f>IF(OR(U3542="",U3542="ERRO_CHAVE"),"",IFERROR(MATCH(U3542,Fornecedores!$AF$1:$AF$6631,0),""))</f>
        <v/>
      </c>
      <c r="W3542" t="str">
        <f t="shared" si="3"/>
        <v/>
      </c>
      <c r="X3542" s="4" t="str">
        <f>IF(V3542="","",INDEX(Fornecedores!$X$1:$X$6631,V3542))</f>
        <v/>
      </c>
      <c r="Y3542" s="4" t="str">
        <f t="shared" si="4"/>
        <v/>
      </c>
    </row>
    <row r="3543" spans="19:25">
      <c r="S3543" t="str">
        <f t="shared" si="0"/>
        <v/>
      </c>
      <c r="T3543" t="str">
        <f t="shared" si="1"/>
        <v/>
      </c>
      <c r="U3543" t="str">
        <f t="shared" si="2"/>
        <v/>
      </c>
      <c r="V3543" t="str">
        <f>IF(OR(U3543="",U3543="ERRO_CHAVE"),"",IFERROR(MATCH(U3543,Fornecedores!$AF$1:$AF$6631,0),""))</f>
        <v/>
      </c>
      <c r="W3543" t="str">
        <f t="shared" si="3"/>
        <v/>
      </c>
      <c r="X3543" s="4" t="str">
        <f>IF(V3543="","",INDEX(Fornecedores!$X$1:$X$6631,V3543))</f>
        <v/>
      </c>
      <c r="Y3543" s="4" t="str">
        <f t="shared" si="4"/>
        <v/>
      </c>
    </row>
    <row r="3544" spans="19:25">
      <c r="S3544" t="str">
        <f t="shared" si="0"/>
        <v/>
      </c>
      <c r="T3544" t="str">
        <f t="shared" si="1"/>
        <v/>
      </c>
      <c r="U3544" t="str">
        <f t="shared" si="2"/>
        <v/>
      </c>
      <c r="V3544" t="str">
        <f>IF(OR(U3544="",U3544="ERRO_CHAVE"),"",IFERROR(MATCH(U3544,Fornecedores!$AF$1:$AF$6631,0),""))</f>
        <v/>
      </c>
      <c r="W3544" t="str">
        <f t="shared" si="3"/>
        <v/>
      </c>
      <c r="X3544" s="4" t="str">
        <f>IF(V3544="","",INDEX(Fornecedores!$X$1:$X$6631,V3544))</f>
        <v/>
      </c>
      <c r="Y3544" s="4" t="str">
        <f t="shared" si="4"/>
        <v/>
      </c>
    </row>
    <row r="3545" spans="19:25">
      <c r="S3545" t="str">
        <f t="shared" si="0"/>
        <v/>
      </c>
      <c r="T3545" t="str">
        <f t="shared" si="1"/>
        <v/>
      </c>
      <c r="U3545" t="str">
        <f t="shared" si="2"/>
        <v/>
      </c>
      <c r="V3545" t="str">
        <f>IF(OR(U3545="",U3545="ERRO_CHAVE"),"",IFERROR(MATCH(U3545,Fornecedores!$AF$1:$AF$6631,0),""))</f>
        <v/>
      </c>
      <c r="W3545" t="str">
        <f t="shared" si="3"/>
        <v/>
      </c>
      <c r="X3545" s="4" t="str">
        <f>IF(V3545="","",INDEX(Fornecedores!$X$1:$X$6631,V3545))</f>
        <v/>
      </c>
      <c r="Y3545" s="4" t="str">
        <f t="shared" si="4"/>
        <v/>
      </c>
    </row>
    <row r="3546" spans="19:25">
      <c r="S3546" t="str">
        <f t="shared" si="0"/>
        <v/>
      </c>
      <c r="T3546" t="str">
        <f t="shared" si="1"/>
        <v/>
      </c>
      <c r="U3546" t="str">
        <f t="shared" si="2"/>
        <v/>
      </c>
      <c r="V3546" t="str">
        <f>IF(OR(U3546="",U3546="ERRO_CHAVE"),"",IFERROR(MATCH(U3546,Fornecedores!$AF$1:$AF$6631,0),""))</f>
        <v/>
      </c>
      <c r="W3546" t="str">
        <f t="shared" si="3"/>
        <v/>
      </c>
      <c r="X3546" s="4" t="str">
        <f>IF(V3546="","",INDEX(Fornecedores!$X$1:$X$6631,V3546))</f>
        <v/>
      </c>
      <c r="Y3546" s="4" t="str">
        <f t="shared" si="4"/>
        <v/>
      </c>
    </row>
    <row r="3547" spans="19:25">
      <c r="S3547" t="str">
        <f t="shared" si="0"/>
        <v/>
      </c>
      <c r="T3547" t="str">
        <f t="shared" si="1"/>
        <v/>
      </c>
      <c r="U3547" t="str">
        <f t="shared" si="2"/>
        <v/>
      </c>
      <c r="V3547" t="str">
        <f>IF(OR(U3547="",U3547="ERRO_CHAVE"),"",IFERROR(MATCH(U3547,Fornecedores!$AF$1:$AF$6631,0),""))</f>
        <v/>
      </c>
      <c r="W3547" t="str">
        <f t="shared" si="3"/>
        <v/>
      </c>
      <c r="X3547" s="4" t="str">
        <f>IF(V3547="","",INDEX(Fornecedores!$X$1:$X$6631,V3547))</f>
        <v/>
      </c>
      <c r="Y3547" s="4" t="str">
        <f t="shared" si="4"/>
        <v/>
      </c>
    </row>
    <row r="3548" spans="19:25">
      <c r="S3548" t="str">
        <f t="shared" si="0"/>
        <v/>
      </c>
      <c r="T3548" t="str">
        <f t="shared" si="1"/>
        <v/>
      </c>
      <c r="U3548" t="str">
        <f t="shared" si="2"/>
        <v/>
      </c>
      <c r="V3548" t="str">
        <f>IF(OR(U3548="",U3548="ERRO_CHAVE"),"",IFERROR(MATCH(U3548,Fornecedores!$AF$1:$AF$6631,0),""))</f>
        <v/>
      </c>
      <c r="W3548" t="str">
        <f t="shared" si="3"/>
        <v/>
      </c>
      <c r="X3548" s="4" t="str">
        <f>IF(V3548="","",INDEX(Fornecedores!$X$1:$X$6631,V3548))</f>
        <v/>
      </c>
      <c r="Y3548" s="4" t="str">
        <f t="shared" si="4"/>
        <v/>
      </c>
    </row>
    <row r="3549" spans="19:25">
      <c r="S3549" t="str">
        <f t="shared" si="0"/>
        <v/>
      </c>
      <c r="T3549" t="str">
        <f t="shared" si="1"/>
        <v/>
      </c>
      <c r="U3549" t="str">
        <f t="shared" si="2"/>
        <v/>
      </c>
      <c r="V3549" t="str">
        <f>IF(OR(U3549="",U3549="ERRO_CHAVE"),"",IFERROR(MATCH(U3549,Fornecedores!$AF$1:$AF$6631,0),""))</f>
        <v/>
      </c>
      <c r="W3549" t="str">
        <f t="shared" si="3"/>
        <v/>
      </c>
      <c r="X3549" s="4" t="str">
        <f>IF(V3549="","",INDEX(Fornecedores!$X$1:$X$6631,V3549))</f>
        <v/>
      </c>
      <c r="Y3549" s="4" t="str">
        <f t="shared" si="4"/>
        <v/>
      </c>
    </row>
    <row r="3550" spans="19:25">
      <c r="S3550" t="str">
        <f t="shared" si="0"/>
        <v/>
      </c>
      <c r="T3550" t="str">
        <f t="shared" si="1"/>
        <v/>
      </c>
      <c r="U3550" t="str">
        <f t="shared" si="2"/>
        <v/>
      </c>
      <c r="V3550" t="str">
        <f>IF(OR(U3550="",U3550="ERRO_CHAVE"),"",IFERROR(MATCH(U3550,Fornecedores!$AF$1:$AF$6631,0),""))</f>
        <v/>
      </c>
      <c r="W3550" t="str">
        <f t="shared" si="3"/>
        <v/>
      </c>
      <c r="X3550" s="4" t="str">
        <f>IF(V3550="","",INDEX(Fornecedores!$X$1:$X$6631,V3550))</f>
        <v/>
      </c>
      <c r="Y3550" s="4" t="str">
        <f t="shared" si="4"/>
        <v/>
      </c>
    </row>
    <row r="3551" spans="19:25">
      <c r="S3551" t="str">
        <f t="shared" si="0"/>
        <v/>
      </c>
      <c r="T3551" t="str">
        <f t="shared" si="1"/>
        <v/>
      </c>
      <c r="U3551" t="str">
        <f t="shared" si="2"/>
        <v/>
      </c>
      <c r="V3551" t="str">
        <f>IF(OR(U3551="",U3551="ERRO_CHAVE"),"",IFERROR(MATCH(U3551,Fornecedores!$AF$1:$AF$6631,0),""))</f>
        <v/>
      </c>
      <c r="W3551" t="str">
        <f t="shared" si="3"/>
        <v/>
      </c>
      <c r="X3551" s="4" t="str">
        <f>IF(V3551="","",INDEX(Fornecedores!$X$1:$X$6631,V3551))</f>
        <v/>
      </c>
      <c r="Y3551" s="4" t="str">
        <f t="shared" si="4"/>
        <v/>
      </c>
    </row>
    <row r="3552" spans="19:25">
      <c r="S3552" t="str">
        <f t="shared" si="0"/>
        <v/>
      </c>
      <c r="T3552" t="str">
        <f t="shared" si="1"/>
        <v/>
      </c>
      <c r="U3552" t="str">
        <f t="shared" si="2"/>
        <v/>
      </c>
      <c r="V3552" t="str">
        <f>IF(OR(U3552="",U3552="ERRO_CHAVE"),"",IFERROR(MATCH(U3552,Fornecedores!$AF$1:$AF$6631,0),""))</f>
        <v/>
      </c>
      <c r="W3552" t="str">
        <f t="shared" si="3"/>
        <v/>
      </c>
      <c r="X3552" s="4" t="str">
        <f>IF(V3552="","",INDEX(Fornecedores!$X$1:$X$6631,V3552))</f>
        <v/>
      </c>
      <c r="Y3552" s="4" t="str">
        <f t="shared" si="4"/>
        <v/>
      </c>
    </row>
    <row r="3553" spans="19:25">
      <c r="S3553" t="str">
        <f t="shared" si="0"/>
        <v/>
      </c>
      <c r="T3553" t="str">
        <f t="shared" si="1"/>
        <v/>
      </c>
      <c r="U3553" t="str">
        <f t="shared" si="2"/>
        <v/>
      </c>
      <c r="V3553" t="str">
        <f>IF(OR(U3553="",U3553="ERRO_CHAVE"),"",IFERROR(MATCH(U3553,Fornecedores!$AF$1:$AF$6631,0),""))</f>
        <v/>
      </c>
      <c r="W3553" t="str">
        <f t="shared" si="3"/>
        <v/>
      </c>
      <c r="X3553" s="4" t="str">
        <f>IF(V3553="","",INDEX(Fornecedores!$X$1:$X$6631,V3553))</f>
        <v/>
      </c>
      <c r="Y3553" s="4" t="str">
        <f t="shared" si="4"/>
        <v/>
      </c>
    </row>
    <row r="3554" spans="19:25">
      <c r="S3554" t="str">
        <f t="shared" si="0"/>
        <v/>
      </c>
      <c r="T3554" t="str">
        <f t="shared" si="1"/>
        <v/>
      </c>
      <c r="U3554" t="str">
        <f t="shared" si="2"/>
        <v/>
      </c>
      <c r="V3554" t="str">
        <f>IF(OR(U3554="",U3554="ERRO_CHAVE"),"",IFERROR(MATCH(U3554,Fornecedores!$AF$1:$AF$6631,0),""))</f>
        <v/>
      </c>
      <c r="W3554" t="str">
        <f t="shared" si="3"/>
        <v/>
      </c>
      <c r="X3554" s="4" t="str">
        <f>IF(V3554="","",INDEX(Fornecedores!$X$1:$X$6631,V3554))</f>
        <v/>
      </c>
      <c r="Y3554" s="4" t="str">
        <f t="shared" si="4"/>
        <v/>
      </c>
    </row>
    <row r="3555" spans="19:25">
      <c r="S3555" t="str">
        <f t="shared" si="0"/>
        <v/>
      </c>
      <c r="T3555" t="str">
        <f t="shared" si="1"/>
        <v/>
      </c>
      <c r="U3555" t="str">
        <f t="shared" si="2"/>
        <v/>
      </c>
      <c r="V3555" t="str">
        <f>IF(OR(U3555="",U3555="ERRO_CHAVE"),"",IFERROR(MATCH(U3555,Fornecedores!$AF$1:$AF$6631,0),""))</f>
        <v/>
      </c>
      <c r="W3555" t="str">
        <f t="shared" si="3"/>
        <v/>
      </c>
      <c r="X3555" s="4" t="str">
        <f>IF(V3555="","",INDEX(Fornecedores!$X$1:$X$6631,V3555))</f>
        <v/>
      </c>
      <c r="Y3555" s="4" t="str">
        <f t="shared" si="4"/>
        <v/>
      </c>
    </row>
    <row r="3556" spans="19:25">
      <c r="S3556" t="str">
        <f t="shared" si="0"/>
        <v/>
      </c>
      <c r="T3556" t="str">
        <f t="shared" si="1"/>
        <v/>
      </c>
      <c r="U3556" t="str">
        <f t="shared" si="2"/>
        <v/>
      </c>
      <c r="V3556" t="str">
        <f>IF(OR(U3556="",U3556="ERRO_CHAVE"),"",IFERROR(MATCH(U3556,Fornecedores!$AF$1:$AF$6631,0),""))</f>
        <v/>
      </c>
      <c r="W3556" t="str">
        <f t="shared" si="3"/>
        <v/>
      </c>
      <c r="X3556" s="4" t="str">
        <f>IF(V3556="","",INDEX(Fornecedores!$X$1:$X$6631,V3556))</f>
        <v/>
      </c>
      <c r="Y3556" s="4" t="str">
        <f t="shared" si="4"/>
        <v/>
      </c>
    </row>
    <row r="3557" spans="19:25">
      <c r="S3557" t="str">
        <f t="shared" si="0"/>
        <v/>
      </c>
      <c r="T3557" t="str">
        <f t="shared" si="1"/>
        <v/>
      </c>
      <c r="U3557" t="str">
        <f t="shared" si="2"/>
        <v/>
      </c>
      <c r="V3557" t="str">
        <f>IF(OR(U3557="",U3557="ERRO_CHAVE"),"",IFERROR(MATCH(U3557,Fornecedores!$AF$1:$AF$6631,0),""))</f>
        <v/>
      </c>
      <c r="W3557" t="str">
        <f t="shared" si="3"/>
        <v/>
      </c>
      <c r="X3557" s="4" t="str">
        <f>IF(V3557="","",INDEX(Fornecedores!$X$1:$X$6631,V3557))</f>
        <v/>
      </c>
      <c r="Y3557" s="4" t="str">
        <f t="shared" si="4"/>
        <v/>
      </c>
    </row>
    <row r="3558" spans="19:25">
      <c r="S3558" t="str">
        <f t="shared" si="0"/>
        <v/>
      </c>
      <c r="T3558" t="str">
        <f t="shared" si="1"/>
        <v/>
      </c>
      <c r="U3558" t="str">
        <f t="shared" si="2"/>
        <v/>
      </c>
      <c r="V3558" t="str">
        <f>IF(OR(U3558="",U3558="ERRO_CHAVE"),"",IFERROR(MATCH(U3558,Fornecedores!$AF$1:$AF$6631,0),""))</f>
        <v/>
      </c>
      <c r="W3558" t="str">
        <f t="shared" si="3"/>
        <v/>
      </c>
      <c r="X3558" s="4" t="str">
        <f>IF(V3558="","",INDEX(Fornecedores!$X$1:$X$6631,V3558))</f>
        <v/>
      </c>
      <c r="Y3558" s="4" t="str">
        <f t="shared" si="4"/>
        <v/>
      </c>
    </row>
    <row r="3559" spans="19:25">
      <c r="S3559" t="str">
        <f t="shared" si="0"/>
        <v/>
      </c>
      <c r="T3559" t="str">
        <f t="shared" si="1"/>
        <v/>
      </c>
      <c r="U3559" t="str">
        <f t="shared" si="2"/>
        <v/>
      </c>
      <c r="V3559" t="str">
        <f>IF(OR(U3559="",U3559="ERRO_CHAVE"),"",IFERROR(MATCH(U3559,Fornecedores!$AF$1:$AF$6631,0),""))</f>
        <v/>
      </c>
      <c r="W3559" t="str">
        <f t="shared" si="3"/>
        <v/>
      </c>
      <c r="X3559" s="4" t="str">
        <f>IF(V3559="","",INDEX(Fornecedores!$X$1:$X$6631,V3559))</f>
        <v/>
      </c>
      <c r="Y3559" s="4" t="str">
        <f t="shared" si="4"/>
        <v/>
      </c>
    </row>
    <row r="3560" spans="19:25">
      <c r="S3560" t="str">
        <f t="shared" si="0"/>
        <v/>
      </c>
      <c r="T3560" t="str">
        <f t="shared" si="1"/>
        <v/>
      </c>
      <c r="U3560" t="str">
        <f t="shared" si="2"/>
        <v/>
      </c>
      <c r="V3560" t="str">
        <f>IF(OR(U3560="",U3560="ERRO_CHAVE"),"",IFERROR(MATCH(U3560,Fornecedores!$AF$1:$AF$6631,0),""))</f>
        <v/>
      </c>
      <c r="W3560" t="str">
        <f t="shared" si="3"/>
        <v/>
      </c>
      <c r="X3560" s="4" t="str">
        <f>IF(V3560="","",INDEX(Fornecedores!$X$1:$X$6631,V3560))</f>
        <v/>
      </c>
      <c r="Y3560" s="4" t="str">
        <f t="shared" si="4"/>
        <v/>
      </c>
    </row>
    <row r="3561" spans="19:25">
      <c r="S3561" t="str">
        <f t="shared" si="0"/>
        <v/>
      </c>
      <c r="T3561" t="str">
        <f t="shared" si="1"/>
        <v/>
      </c>
      <c r="U3561" t="str">
        <f t="shared" si="2"/>
        <v/>
      </c>
      <c r="V3561" t="str">
        <f>IF(OR(U3561="",U3561="ERRO_CHAVE"),"",IFERROR(MATCH(U3561,Fornecedores!$AF$1:$AF$6631,0),""))</f>
        <v/>
      </c>
      <c r="W3561" t="str">
        <f t="shared" si="3"/>
        <v/>
      </c>
      <c r="X3561" s="4" t="str">
        <f>IF(V3561="","",INDEX(Fornecedores!$X$1:$X$6631,V3561))</f>
        <v/>
      </c>
      <c r="Y3561" s="4" t="str">
        <f t="shared" si="4"/>
        <v/>
      </c>
    </row>
    <row r="3562" spans="19:25">
      <c r="S3562" t="str">
        <f t="shared" si="0"/>
        <v/>
      </c>
      <c r="T3562" t="str">
        <f t="shared" si="1"/>
        <v/>
      </c>
      <c r="U3562" t="str">
        <f t="shared" si="2"/>
        <v/>
      </c>
      <c r="V3562" t="str">
        <f>IF(OR(U3562="",U3562="ERRO_CHAVE"),"",IFERROR(MATCH(U3562,Fornecedores!$AF$1:$AF$6631,0),""))</f>
        <v/>
      </c>
      <c r="W3562" t="str">
        <f t="shared" si="3"/>
        <v/>
      </c>
      <c r="X3562" s="4" t="str">
        <f>IF(V3562="","",INDEX(Fornecedores!$X$1:$X$6631,V3562))</f>
        <v/>
      </c>
      <c r="Y3562" s="4" t="str">
        <f t="shared" si="4"/>
        <v/>
      </c>
    </row>
    <row r="3563" spans="19:25">
      <c r="S3563" t="str">
        <f t="shared" si="0"/>
        <v/>
      </c>
      <c r="T3563" t="str">
        <f t="shared" si="1"/>
        <v/>
      </c>
      <c r="U3563" t="str">
        <f t="shared" si="2"/>
        <v/>
      </c>
      <c r="V3563" t="str">
        <f>IF(OR(U3563="",U3563="ERRO_CHAVE"),"",IFERROR(MATCH(U3563,Fornecedores!$AF$1:$AF$6631,0),""))</f>
        <v/>
      </c>
      <c r="W3563" t="str">
        <f t="shared" si="3"/>
        <v/>
      </c>
      <c r="X3563" s="4" t="str">
        <f>IF(V3563="","",INDEX(Fornecedores!$X$1:$X$6631,V3563))</f>
        <v/>
      </c>
      <c r="Y3563" s="4" t="str">
        <f t="shared" si="4"/>
        <v/>
      </c>
    </row>
    <row r="3564" spans="19:25">
      <c r="S3564" t="str">
        <f t="shared" si="0"/>
        <v/>
      </c>
      <c r="T3564" t="str">
        <f t="shared" si="1"/>
        <v/>
      </c>
      <c r="U3564" t="str">
        <f t="shared" si="2"/>
        <v/>
      </c>
      <c r="V3564" t="str">
        <f>IF(OR(U3564="",U3564="ERRO_CHAVE"),"",IFERROR(MATCH(U3564,Fornecedores!$AF$1:$AF$6631,0),""))</f>
        <v/>
      </c>
      <c r="W3564" t="str">
        <f t="shared" si="3"/>
        <v/>
      </c>
      <c r="X3564" s="4" t="str">
        <f>IF(V3564="","",INDEX(Fornecedores!$X$1:$X$6631,V3564))</f>
        <v/>
      </c>
      <c r="Y3564" s="4" t="str">
        <f t="shared" si="4"/>
        <v/>
      </c>
    </row>
    <row r="3565" spans="19:25">
      <c r="S3565" t="str">
        <f t="shared" si="0"/>
        <v/>
      </c>
      <c r="T3565" t="str">
        <f t="shared" si="1"/>
        <v/>
      </c>
      <c r="U3565" t="str">
        <f t="shared" si="2"/>
        <v/>
      </c>
      <c r="V3565" t="str">
        <f>IF(OR(U3565="",U3565="ERRO_CHAVE"),"",IFERROR(MATCH(U3565,Fornecedores!$AF$1:$AF$6631,0),""))</f>
        <v/>
      </c>
      <c r="W3565" t="str">
        <f t="shared" si="3"/>
        <v/>
      </c>
      <c r="X3565" s="4" t="str">
        <f>IF(V3565="","",INDEX(Fornecedores!$X$1:$X$6631,V3565))</f>
        <v/>
      </c>
      <c r="Y3565" s="4" t="str">
        <f t="shared" si="4"/>
        <v/>
      </c>
    </row>
    <row r="3566" spans="19:25">
      <c r="S3566" t="str">
        <f t="shared" si="0"/>
        <v/>
      </c>
      <c r="T3566" t="str">
        <f t="shared" si="1"/>
        <v/>
      </c>
      <c r="U3566" t="str">
        <f t="shared" si="2"/>
        <v/>
      </c>
      <c r="V3566" t="str">
        <f>IF(OR(U3566="",U3566="ERRO_CHAVE"),"",IFERROR(MATCH(U3566,Fornecedores!$AF$1:$AF$6631,0),""))</f>
        <v/>
      </c>
      <c r="W3566" t="str">
        <f t="shared" si="3"/>
        <v/>
      </c>
      <c r="X3566" s="4" t="str">
        <f>IF(V3566="","",INDEX(Fornecedores!$X$1:$X$6631,V3566))</f>
        <v/>
      </c>
      <c r="Y3566" s="4" t="str">
        <f t="shared" si="4"/>
        <v/>
      </c>
    </row>
    <row r="3567" spans="19:25">
      <c r="S3567" t="str">
        <f t="shared" si="0"/>
        <v/>
      </c>
      <c r="T3567" t="str">
        <f t="shared" si="1"/>
        <v/>
      </c>
      <c r="U3567" t="str">
        <f t="shared" si="2"/>
        <v/>
      </c>
      <c r="V3567" t="str">
        <f>IF(OR(U3567="",U3567="ERRO_CHAVE"),"",IFERROR(MATCH(U3567,Fornecedores!$AF$1:$AF$6631,0),""))</f>
        <v/>
      </c>
      <c r="W3567" t="str">
        <f t="shared" si="3"/>
        <v/>
      </c>
      <c r="X3567" s="4" t="str">
        <f>IF(V3567="","",INDEX(Fornecedores!$X$1:$X$6631,V3567))</f>
        <v/>
      </c>
      <c r="Y3567" s="4" t="str">
        <f t="shared" si="4"/>
        <v/>
      </c>
    </row>
    <row r="3568" spans="19:25">
      <c r="S3568" t="str">
        <f t="shared" si="0"/>
        <v/>
      </c>
      <c r="T3568" t="str">
        <f t="shared" si="1"/>
        <v/>
      </c>
      <c r="U3568" t="str">
        <f t="shared" si="2"/>
        <v/>
      </c>
      <c r="V3568" t="str">
        <f>IF(OR(U3568="",U3568="ERRO_CHAVE"),"",IFERROR(MATCH(U3568,Fornecedores!$AF$1:$AF$6631,0),""))</f>
        <v/>
      </c>
      <c r="W3568" t="str">
        <f t="shared" si="3"/>
        <v/>
      </c>
      <c r="X3568" s="4" t="str">
        <f>IF(V3568="","",INDEX(Fornecedores!$X$1:$X$6631,V3568))</f>
        <v/>
      </c>
      <c r="Y3568" s="4" t="str">
        <f t="shared" si="4"/>
        <v/>
      </c>
    </row>
    <row r="3569" spans="19:25">
      <c r="S3569" t="str">
        <f t="shared" si="0"/>
        <v/>
      </c>
      <c r="T3569" t="str">
        <f t="shared" si="1"/>
        <v/>
      </c>
      <c r="U3569" t="str">
        <f t="shared" si="2"/>
        <v/>
      </c>
      <c r="V3569" t="str">
        <f>IF(OR(U3569="",U3569="ERRO_CHAVE"),"",IFERROR(MATCH(U3569,Fornecedores!$AF$1:$AF$6631,0),""))</f>
        <v/>
      </c>
      <c r="W3569" t="str">
        <f t="shared" si="3"/>
        <v/>
      </c>
      <c r="X3569" s="4" t="str">
        <f>IF(V3569="","",INDEX(Fornecedores!$X$1:$X$6631,V3569))</f>
        <v/>
      </c>
      <c r="Y3569" s="4" t="str">
        <f t="shared" si="4"/>
        <v/>
      </c>
    </row>
    <row r="3570" spans="19:25">
      <c r="S3570" t="str">
        <f t="shared" si="0"/>
        <v/>
      </c>
      <c r="T3570" t="str">
        <f t="shared" si="1"/>
        <v/>
      </c>
      <c r="U3570" t="str">
        <f t="shared" si="2"/>
        <v/>
      </c>
      <c r="V3570" t="str">
        <f>IF(OR(U3570="",U3570="ERRO_CHAVE"),"",IFERROR(MATCH(U3570,Fornecedores!$AF$1:$AF$6631,0),""))</f>
        <v/>
      </c>
      <c r="W3570" t="str">
        <f t="shared" si="3"/>
        <v/>
      </c>
      <c r="X3570" s="4" t="str">
        <f>IF(V3570="","",INDEX(Fornecedores!$X$1:$X$6631,V3570))</f>
        <v/>
      </c>
      <c r="Y3570" s="4" t="str">
        <f t="shared" si="4"/>
        <v/>
      </c>
    </row>
    <row r="3571" spans="19:25">
      <c r="S3571" t="str">
        <f t="shared" si="0"/>
        <v/>
      </c>
      <c r="T3571" t="str">
        <f t="shared" si="1"/>
        <v/>
      </c>
      <c r="U3571" t="str">
        <f t="shared" si="2"/>
        <v/>
      </c>
      <c r="V3571" t="str">
        <f>IF(OR(U3571="",U3571="ERRO_CHAVE"),"",IFERROR(MATCH(U3571,Fornecedores!$AF$1:$AF$6631,0),""))</f>
        <v/>
      </c>
      <c r="W3571" t="str">
        <f t="shared" si="3"/>
        <v/>
      </c>
      <c r="X3571" s="4" t="str">
        <f>IF(V3571="","",INDEX(Fornecedores!$X$1:$X$6631,V3571))</f>
        <v/>
      </c>
      <c r="Y3571" s="4" t="str">
        <f t="shared" si="4"/>
        <v/>
      </c>
    </row>
    <row r="3572" spans="19:25">
      <c r="S3572" t="str">
        <f t="shared" si="0"/>
        <v/>
      </c>
      <c r="T3572" t="str">
        <f t="shared" si="1"/>
        <v/>
      </c>
      <c r="U3572" t="str">
        <f t="shared" si="2"/>
        <v/>
      </c>
      <c r="V3572" t="str">
        <f>IF(OR(U3572="",U3572="ERRO_CHAVE"),"",IFERROR(MATCH(U3572,Fornecedores!$AF$1:$AF$6631,0),""))</f>
        <v/>
      </c>
      <c r="W3572" t="str">
        <f t="shared" si="3"/>
        <v/>
      </c>
      <c r="X3572" s="4" t="str">
        <f>IF(V3572="","",INDEX(Fornecedores!$X$1:$X$6631,V3572))</f>
        <v/>
      </c>
      <c r="Y3572" s="4" t="str">
        <f t="shared" si="4"/>
        <v/>
      </c>
    </row>
    <row r="3573" spans="19:25">
      <c r="S3573" t="str">
        <f t="shared" si="0"/>
        <v/>
      </c>
      <c r="T3573" t="str">
        <f t="shared" si="1"/>
        <v/>
      </c>
      <c r="U3573" t="str">
        <f t="shared" si="2"/>
        <v/>
      </c>
      <c r="V3573" t="str">
        <f>IF(OR(U3573="",U3573="ERRO_CHAVE"),"",IFERROR(MATCH(U3573,Fornecedores!$AF$1:$AF$6631,0),""))</f>
        <v/>
      </c>
      <c r="W3573" t="str">
        <f t="shared" si="3"/>
        <v/>
      </c>
      <c r="X3573" s="4" t="str">
        <f>IF(V3573="","",INDEX(Fornecedores!$X$1:$X$6631,V3573))</f>
        <v/>
      </c>
      <c r="Y3573" s="4" t="str">
        <f t="shared" si="4"/>
        <v/>
      </c>
    </row>
    <row r="3574" spans="19:25">
      <c r="S3574" t="str">
        <f t="shared" si="0"/>
        <v/>
      </c>
      <c r="T3574" t="str">
        <f t="shared" si="1"/>
        <v/>
      </c>
      <c r="U3574" t="str">
        <f t="shared" si="2"/>
        <v/>
      </c>
      <c r="V3574" t="str">
        <f>IF(OR(U3574="",U3574="ERRO_CHAVE"),"",IFERROR(MATCH(U3574,Fornecedores!$AF$1:$AF$6631,0),""))</f>
        <v/>
      </c>
      <c r="W3574" t="str">
        <f t="shared" si="3"/>
        <v/>
      </c>
      <c r="X3574" s="4" t="str">
        <f>IF(V3574="","",INDEX(Fornecedores!$X$1:$X$6631,V3574))</f>
        <v/>
      </c>
      <c r="Y3574" s="4" t="str">
        <f t="shared" si="4"/>
        <v/>
      </c>
    </row>
    <row r="3575" spans="19:25">
      <c r="S3575" t="str">
        <f t="shared" si="0"/>
        <v/>
      </c>
      <c r="T3575" t="str">
        <f t="shared" si="1"/>
        <v/>
      </c>
      <c r="U3575" t="str">
        <f t="shared" si="2"/>
        <v/>
      </c>
      <c r="V3575" t="str">
        <f>IF(OR(U3575="",U3575="ERRO_CHAVE"),"",IFERROR(MATCH(U3575,Fornecedores!$AF$1:$AF$6631,0),""))</f>
        <v/>
      </c>
      <c r="W3575" t="str">
        <f t="shared" si="3"/>
        <v/>
      </c>
      <c r="X3575" s="4" t="str">
        <f>IF(V3575="","",INDEX(Fornecedores!$X$1:$X$6631,V3575))</f>
        <v/>
      </c>
      <c r="Y3575" s="4" t="str">
        <f t="shared" si="4"/>
        <v/>
      </c>
    </row>
    <row r="3576" spans="19:25">
      <c r="S3576" t="str">
        <f t="shared" si="0"/>
        <v/>
      </c>
      <c r="T3576" t="str">
        <f t="shared" si="1"/>
        <v/>
      </c>
      <c r="U3576" t="str">
        <f t="shared" si="2"/>
        <v/>
      </c>
      <c r="V3576" t="str">
        <f>IF(OR(U3576="",U3576="ERRO_CHAVE"),"",IFERROR(MATCH(U3576,Fornecedores!$AF$1:$AF$6631,0),""))</f>
        <v/>
      </c>
      <c r="W3576" t="str">
        <f t="shared" si="3"/>
        <v/>
      </c>
      <c r="X3576" s="4" t="str">
        <f>IF(V3576="","",INDEX(Fornecedores!$X$1:$X$6631,V3576))</f>
        <v/>
      </c>
      <c r="Y3576" s="4" t="str">
        <f t="shared" si="4"/>
        <v/>
      </c>
    </row>
    <row r="3577" spans="19:25">
      <c r="S3577" t="str">
        <f t="shared" si="0"/>
        <v/>
      </c>
      <c r="T3577" t="str">
        <f t="shared" si="1"/>
        <v/>
      </c>
      <c r="U3577" t="str">
        <f t="shared" si="2"/>
        <v/>
      </c>
      <c r="V3577" t="str">
        <f>IF(OR(U3577="",U3577="ERRO_CHAVE"),"",IFERROR(MATCH(U3577,Fornecedores!$AF$1:$AF$6631,0),""))</f>
        <v/>
      </c>
      <c r="W3577" t="str">
        <f t="shared" si="3"/>
        <v/>
      </c>
      <c r="X3577" s="4" t="str">
        <f>IF(V3577="","",INDEX(Fornecedores!$X$1:$X$6631,V3577))</f>
        <v/>
      </c>
      <c r="Y3577" s="4" t="str">
        <f t="shared" si="4"/>
        <v/>
      </c>
    </row>
    <row r="3578" spans="19:25">
      <c r="S3578" t="str">
        <f t="shared" si="0"/>
        <v/>
      </c>
      <c r="T3578" t="str">
        <f t="shared" si="1"/>
        <v/>
      </c>
      <c r="U3578" t="str">
        <f t="shared" si="2"/>
        <v/>
      </c>
      <c r="V3578" t="str">
        <f>IF(OR(U3578="",U3578="ERRO_CHAVE"),"",IFERROR(MATCH(U3578,Fornecedores!$AF$1:$AF$6631,0),""))</f>
        <v/>
      </c>
      <c r="W3578" t="str">
        <f t="shared" si="3"/>
        <v/>
      </c>
      <c r="X3578" s="4" t="str">
        <f>IF(V3578="","",INDEX(Fornecedores!$X$1:$X$6631,V3578))</f>
        <v/>
      </c>
      <c r="Y3578" s="4" t="str">
        <f t="shared" si="4"/>
        <v/>
      </c>
    </row>
    <row r="3579" spans="19:25">
      <c r="S3579" t="str">
        <f t="shared" si="0"/>
        <v/>
      </c>
      <c r="T3579" t="str">
        <f t="shared" si="1"/>
        <v/>
      </c>
      <c r="U3579" t="str">
        <f t="shared" si="2"/>
        <v/>
      </c>
      <c r="V3579" t="str">
        <f>IF(OR(U3579="",U3579="ERRO_CHAVE"),"",IFERROR(MATCH(U3579,Fornecedores!$AF$1:$AF$6631,0),""))</f>
        <v/>
      </c>
      <c r="W3579" t="str">
        <f t="shared" si="3"/>
        <v/>
      </c>
      <c r="X3579" s="4" t="str">
        <f>IF(V3579="","",INDEX(Fornecedores!$X$1:$X$6631,V3579))</f>
        <v/>
      </c>
      <c r="Y3579" s="4" t="str">
        <f t="shared" si="4"/>
        <v/>
      </c>
    </row>
    <row r="3580" spans="19:25">
      <c r="S3580" t="str">
        <f t="shared" si="0"/>
        <v/>
      </c>
      <c r="T3580" t="str">
        <f t="shared" si="1"/>
        <v/>
      </c>
      <c r="U3580" t="str">
        <f t="shared" si="2"/>
        <v/>
      </c>
      <c r="V3580" t="str">
        <f>IF(OR(U3580="",U3580="ERRO_CHAVE"),"",IFERROR(MATCH(U3580,Fornecedores!$AF$1:$AF$6631,0),""))</f>
        <v/>
      </c>
      <c r="W3580" t="str">
        <f t="shared" si="3"/>
        <v/>
      </c>
      <c r="X3580" s="4" t="str">
        <f>IF(V3580="","",INDEX(Fornecedores!$X$1:$X$6631,V3580))</f>
        <v/>
      </c>
      <c r="Y3580" s="4" t="str">
        <f t="shared" si="4"/>
        <v/>
      </c>
    </row>
    <row r="3581" spans="19:25">
      <c r="S3581" t="str">
        <f t="shared" si="0"/>
        <v/>
      </c>
      <c r="T3581" t="str">
        <f t="shared" si="1"/>
        <v/>
      </c>
      <c r="U3581" t="str">
        <f t="shared" si="2"/>
        <v/>
      </c>
      <c r="V3581" t="str">
        <f>IF(OR(U3581="",U3581="ERRO_CHAVE"),"",IFERROR(MATCH(U3581,Fornecedores!$AF$1:$AF$6631,0),""))</f>
        <v/>
      </c>
      <c r="W3581" t="str">
        <f t="shared" si="3"/>
        <v/>
      </c>
      <c r="X3581" s="4" t="str">
        <f>IF(V3581="","",INDEX(Fornecedores!$X$1:$X$6631,V3581))</f>
        <v/>
      </c>
      <c r="Y3581" s="4" t="str">
        <f t="shared" si="4"/>
        <v/>
      </c>
    </row>
    <row r="3582" spans="19:25">
      <c r="S3582" t="str">
        <f t="shared" si="0"/>
        <v/>
      </c>
      <c r="T3582" t="str">
        <f t="shared" si="1"/>
        <v/>
      </c>
      <c r="U3582" t="str">
        <f t="shared" si="2"/>
        <v/>
      </c>
      <c r="V3582" t="str">
        <f>IF(OR(U3582="",U3582="ERRO_CHAVE"),"",IFERROR(MATCH(U3582,Fornecedores!$AF$1:$AF$6631,0),""))</f>
        <v/>
      </c>
      <c r="W3582" t="str">
        <f t="shared" si="3"/>
        <v/>
      </c>
      <c r="X3582" s="4" t="str">
        <f>IF(V3582="","",INDEX(Fornecedores!$X$1:$X$6631,V3582))</f>
        <v/>
      </c>
      <c r="Y3582" s="4" t="str">
        <f t="shared" si="4"/>
        <v/>
      </c>
    </row>
    <row r="3583" spans="19:25">
      <c r="S3583" t="str">
        <f t="shared" si="0"/>
        <v/>
      </c>
      <c r="T3583" t="str">
        <f t="shared" si="1"/>
        <v/>
      </c>
      <c r="U3583" t="str">
        <f t="shared" si="2"/>
        <v/>
      </c>
      <c r="V3583" t="str">
        <f>IF(OR(U3583="",U3583="ERRO_CHAVE"),"",IFERROR(MATCH(U3583,Fornecedores!$AF$1:$AF$6631,0),""))</f>
        <v/>
      </c>
      <c r="W3583" t="str">
        <f t="shared" si="3"/>
        <v/>
      </c>
      <c r="X3583" s="4" t="str">
        <f>IF(V3583="","",INDEX(Fornecedores!$X$1:$X$6631,V3583))</f>
        <v/>
      </c>
      <c r="Y3583" s="4" t="str">
        <f t="shared" si="4"/>
        <v/>
      </c>
    </row>
    <row r="3584" spans="19:25">
      <c r="S3584" t="str">
        <f t="shared" si="0"/>
        <v/>
      </c>
      <c r="T3584" t="str">
        <f t="shared" si="1"/>
        <v/>
      </c>
      <c r="U3584" t="str">
        <f t="shared" si="2"/>
        <v/>
      </c>
      <c r="V3584" t="str">
        <f>IF(OR(U3584="",U3584="ERRO_CHAVE"),"",IFERROR(MATCH(U3584,Fornecedores!$AF$1:$AF$6631,0),""))</f>
        <v/>
      </c>
      <c r="W3584" t="str">
        <f t="shared" si="3"/>
        <v/>
      </c>
      <c r="X3584" s="4" t="str">
        <f>IF(V3584="","",INDEX(Fornecedores!$X$1:$X$6631,V3584))</f>
        <v/>
      </c>
      <c r="Y3584" s="4" t="str">
        <f t="shared" si="4"/>
        <v/>
      </c>
    </row>
    <row r="3585" spans="19:25">
      <c r="S3585" t="str">
        <f t="shared" si="0"/>
        <v/>
      </c>
      <c r="T3585" t="str">
        <f t="shared" si="1"/>
        <v/>
      </c>
      <c r="U3585" t="str">
        <f t="shared" si="2"/>
        <v/>
      </c>
      <c r="V3585" t="str">
        <f>IF(OR(U3585="",U3585="ERRO_CHAVE"),"",IFERROR(MATCH(U3585,Fornecedores!$AF$1:$AF$6631,0),""))</f>
        <v/>
      </c>
      <c r="W3585" t="str">
        <f t="shared" si="3"/>
        <v/>
      </c>
      <c r="X3585" s="4" t="str">
        <f>IF(V3585="","",INDEX(Fornecedores!$X$1:$X$6631,V3585))</f>
        <v/>
      </c>
      <c r="Y3585" s="4" t="str">
        <f t="shared" si="4"/>
        <v/>
      </c>
    </row>
    <row r="3586" spans="19:25">
      <c r="S3586" t="str">
        <f t="shared" si="0"/>
        <v/>
      </c>
      <c r="T3586" t="str">
        <f t="shared" si="1"/>
        <v/>
      </c>
      <c r="U3586" t="str">
        <f t="shared" si="2"/>
        <v/>
      </c>
      <c r="V3586" t="str">
        <f>IF(OR(U3586="",U3586="ERRO_CHAVE"),"",IFERROR(MATCH(U3586,Fornecedores!$AF$1:$AF$6631,0),""))</f>
        <v/>
      </c>
      <c r="W3586" t="str">
        <f t="shared" si="3"/>
        <v/>
      </c>
      <c r="X3586" s="4" t="str">
        <f>IF(V3586="","",INDEX(Fornecedores!$X$1:$X$6631,V3586))</f>
        <v/>
      </c>
      <c r="Y3586" s="4" t="str">
        <f t="shared" si="4"/>
        <v/>
      </c>
    </row>
    <row r="3587" spans="19:25">
      <c r="S3587" t="str">
        <f t="shared" si="0"/>
        <v/>
      </c>
      <c r="T3587" t="str">
        <f t="shared" si="1"/>
        <v/>
      </c>
      <c r="U3587" t="str">
        <f t="shared" si="2"/>
        <v/>
      </c>
      <c r="V3587" t="str">
        <f>IF(OR(U3587="",U3587="ERRO_CHAVE"),"",IFERROR(MATCH(U3587,Fornecedores!$AF$1:$AF$6631,0),""))</f>
        <v/>
      </c>
      <c r="W3587" t="str">
        <f t="shared" si="3"/>
        <v/>
      </c>
      <c r="X3587" s="4" t="str">
        <f>IF(V3587="","",INDEX(Fornecedores!$X$1:$X$6631,V3587))</f>
        <v/>
      </c>
      <c r="Y3587" s="4" t="str">
        <f t="shared" si="4"/>
        <v/>
      </c>
    </row>
    <row r="3588" spans="19:25">
      <c r="S3588" t="str">
        <f t="shared" si="0"/>
        <v/>
      </c>
      <c r="T3588" t="str">
        <f t="shared" si="1"/>
        <v/>
      </c>
      <c r="U3588" t="str">
        <f t="shared" si="2"/>
        <v/>
      </c>
      <c r="V3588" t="str">
        <f>IF(OR(U3588="",U3588="ERRO_CHAVE"),"",IFERROR(MATCH(U3588,Fornecedores!$AF$1:$AF$6631,0),""))</f>
        <v/>
      </c>
      <c r="W3588" t="str">
        <f t="shared" si="3"/>
        <v/>
      </c>
      <c r="X3588" s="4" t="str">
        <f>IF(V3588="","",INDEX(Fornecedores!$X$1:$X$6631,V3588))</f>
        <v/>
      </c>
      <c r="Y3588" s="4" t="str">
        <f t="shared" si="4"/>
        <v/>
      </c>
    </row>
    <row r="3589" spans="19:25">
      <c r="S3589" t="str">
        <f t="shared" si="0"/>
        <v/>
      </c>
      <c r="T3589" t="str">
        <f t="shared" si="1"/>
        <v/>
      </c>
      <c r="U3589" t="str">
        <f t="shared" si="2"/>
        <v/>
      </c>
      <c r="V3589" t="str">
        <f>IF(OR(U3589="",U3589="ERRO_CHAVE"),"",IFERROR(MATCH(U3589,Fornecedores!$AF$1:$AF$6631,0),""))</f>
        <v/>
      </c>
      <c r="W3589" t="str">
        <f t="shared" si="3"/>
        <v/>
      </c>
      <c r="X3589" s="4" t="str">
        <f>IF(V3589="","",INDEX(Fornecedores!$X$1:$X$6631,V3589))</f>
        <v/>
      </c>
      <c r="Y3589" s="4" t="str">
        <f t="shared" si="4"/>
        <v/>
      </c>
    </row>
    <row r="3590" spans="19:25">
      <c r="S3590" t="str">
        <f t="shared" si="0"/>
        <v/>
      </c>
      <c r="T3590" t="str">
        <f t="shared" si="1"/>
        <v/>
      </c>
      <c r="U3590" t="str">
        <f t="shared" si="2"/>
        <v/>
      </c>
      <c r="V3590" t="str">
        <f>IF(OR(U3590="",U3590="ERRO_CHAVE"),"",IFERROR(MATCH(U3590,Fornecedores!$AF$1:$AF$6631,0),""))</f>
        <v/>
      </c>
      <c r="W3590" t="str">
        <f t="shared" si="3"/>
        <v/>
      </c>
      <c r="X3590" s="4" t="str">
        <f>IF(V3590="","",INDEX(Fornecedores!$X$1:$X$6631,V3590))</f>
        <v/>
      </c>
      <c r="Y3590" s="4" t="str">
        <f t="shared" si="4"/>
        <v/>
      </c>
    </row>
    <row r="3591" spans="19:25">
      <c r="S3591" t="str">
        <f t="shared" si="0"/>
        <v/>
      </c>
      <c r="T3591" t="str">
        <f t="shared" si="1"/>
        <v/>
      </c>
      <c r="U3591" t="str">
        <f t="shared" si="2"/>
        <v/>
      </c>
      <c r="V3591" t="str">
        <f>IF(OR(U3591="",U3591="ERRO_CHAVE"),"",IFERROR(MATCH(U3591,Fornecedores!$AF$1:$AF$6631,0),""))</f>
        <v/>
      </c>
      <c r="W3591" t="str">
        <f t="shared" si="3"/>
        <v/>
      </c>
      <c r="X3591" s="4" t="str">
        <f>IF(V3591="","",INDEX(Fornecedores!$X$1:$X$6631,V3591))</f>
        <v/>
      </c>
      <c r="Y3591" s="4" t="str">
        <f t="shared" si="4"/>
        <v/>
      </c>
    </row>
    <row r="3592" spans="19:25">
      <c r="S3592" t="str">
        <f t="shared" si="0"/>
        <v/>
      </c>
      <c r="T3592" t="str">
        <f t="shared" si="1"/>
        <v/>
      </c>
      <c r="U3592" t="str">
        <f t="shared" si="2"/>
        <v/>
      </c>
      <c r="V3592" t="str">
        <f>IF(OR(U3592="",U3592="ERRO_CHAVE"),"",IFERROR(MATCH(U3592,Fornecedores!$AF$1:$AF$6631,0),""))</f>
        <v/>
      </c>
      <c r="W3592" t="str">
        <f t="shared" si="3"/>
        <v/>
      </c>
      <c r="X3592" s="4" t="str">
        <f>IF(V3592="","",INDEX(Fornecedores!$X$1:$X$6631,V3592))</f>
        <v/>
      </c>
      <c r="Y3592" s="4" t="str">
        <f t="shared" si="4"/>
        <v/>
      </c>
    </row>
    <row r="3593" spans="19:25">
      <c r="S3593" t="str">
        <f t="shared" si="0"/>
        <v/>
      </c>
      <c r="T3593" t="str">
        <f t="shared" si="1"/>
        <v/>
      </c>
      <c r="U3593" t="str">
        <f t="shared" si="2"/>
        <v/>
      </c>
      <c r="V3593" t="str">
        <f>IF(OR(U3593="",U3593="ERRO_CHAVE"),"",IFERROR(MATCH(U3593,Fornecedores!$AF$1:$AF$6631,0),""))</f>
        <v/>
      </c>
      <c r="W3593" t="str">
        <f t="shared" si="3"/>
        <v/>
      </c>
      <c r="X3593" s="4" t="str">
        <f>IF(V3593="","",INDEX(Fornecedores!$X$1:$X$6631,V3593))</f>
        <v/>
      </c>
      <c r="Y3593" s="4" t="str">
        <f t="shared" si="4"/>
        <v/>
      </c>
    </row>
    <row r="3594" spans="19:25">
      <c r="S3594" t="str">
        <f t="shared" si="0"/>
        <v/>
      </c>
      <c r="T3594" t="str">
        <f t="shared" si="1"/>
        <v/>
      </c>
      <c r="U3594" t="str">
        <f t="shared" si="2"/>
        <v/>
      </c>
      <c r="V3594" t="str">
        <f>IF(OR(U3594="",U3594="ERRO_CHAVE"),"",IFERROR(MATCH(U3594,Fornecedores!$AF$1:$AF$6631,0),""))</f>
        <v/>
      </c>
      <c r="W3594" t="str">
        <f t="shared" si="3"/>
        <v/>
      </c>
      <c r="X3594" s="4" t="str">
        <f>IF(V3594="","",INDEX(Fornecedores!$X$1:$X$6631,V3594))</f>
        <v/>
      </c>
      <c r="Y3594" s="4" t="str">
        <f t="shared" si="4"/>
        <v/>
      </c>
    </row>
    <row r="3595" spans="19:25">
      <c r="S3595" t="str">
        <f t="shared" si="0"/>
        <v/>
      </c>
      <c r="T3595" t="str">
        <f t="shared" si="1"/>
        <v/>
      </c>
      <c r="U3595" t="str">
        <f t="shared" si="2"/>
        <v/>
      </c>
      <c r="V3595" t="str">
        <f>IF(OR(U3595="",U3595="ERRO_CHAVE"),"",IFERROR(MATCH(U3595,Fornecedores!$AF$1:$AF$6631,0),""))</f>
        <v/>
      </c>
      <c r="W3595" t="str">
        <f t="shared" si="3"/>
        <v/>
      </c>
      <c r="X3595" s="4" t="str">
        <f>IF(V3595="","",INDEX(Fornecedores!$X$1:$X$6631,V3595))</f>
        <v/>
      </c>
      <c r="Y3595" s="4" t="str">
        <f t="shared" si="4"/>
        <v/>
      </c>
    </row>
    <row r="3596" spans="19:25">
      <c r="S3596" t="str">
        <f t="shared" si="0"/>
        <v/>
      </c>
      <c r="T3596" t="str">
        <f t="shared" si="1"/>
        <v/>
      </c>
      <c r="U3596" t="str">
        <f t="shared" si="2"/>
        <v/>
      </c>
      <c r="V3596" t="str">
        <f>IF(OR(U3596="",U3596="ERRO_CHAVE"),"",IFERROR(MATCH(U3596,Fornecedores!$AF$1:$AF$6631,0),""))</f>
        <v/>
      </c>
      <c r="W3596" t="str">
        <f t="shared" si="3"/>
        <v/>
      </c>
      <c r="X3596" s="4" t="str">
        <f>IF(V3596="","",INDEX(Fornecedores!$X$1:$X$6631,V3596))</f>
        <v/>
      </c>
      <c r="Y3596" s="4" t="str">
        <f t="shared" si="4"/>
        <v/>
      </c>
    </row>
    <row r="3597" spans="19:25">
      <c r="S3597" t="str">
        <f t="shared" si="0"/>
        <v/>
      </c>
      <c r="T3597" t="str">
        <f t="shared" si="1"/>
        <v/>
      </c>
      <c r="U3597" t="str">
        <f t="shared" si="2"/>
        <v/>
      </c>
      <c r="V3597" t="str">
        <f>IF(OR(U3597="",U3597="ERRO_CHAVE"),"",IFERROR(MATCH(U3597,Fornecedores!$AF$1:$AF$6631,0),""))</f>
        <v/>
      </c>
      <c r="W3597" t="str">
        <f t="shared" si="3"/>
        <v/>
      </c>
      <c r="X3597" s="4" t="str">
        <f>IF(V3597="","",INDEX(Fornecedores!$X$1:$X$6631,V3597))</f>
        <v/>
      </c>
      <c r="Y3597" s="4" t="str">
        <f t="shared" si="4"/>
        <v/>
      </c>
    </row>
    <row r="3598" spans="19:25">
      <c r="S3598" t="str">
        <f t="shared" si="0"/>
        <v/>
      </c>
      <c r="T3598" t="str">
        <f t="shared" si="1"/>
        <v/>
      </c>
      <c r="U3598" t="str">
        <f t="shared" si="2"/>
        <v/>
      </c>
      <c r="V3598" t="str">
        <f>IF(OR(U3598="",U3598="ERRO_CHAVE"),"",IFERROR(MATCH(U3598,Fornecedores!$AF$1:$AF$6631,0),""))</f>
        <v/>
      </c>
      <c r="W3598" t="str">
        <f t="shared" si="3"/>
        <v/>
      </c>
      <c r="X3598" s="4" t="str">
        <f>IF(V3598="","",INDEX(Fornecedores!$X$1:$X$6631,V3598))</f>
        <v/>
      </c>
      <c r="Y3598" s="4" t="str">
        <f t="shared" si="4"/>
        <v/>
      </c>
    </row>
    <row r="3599" spans="19:25">
      <c r="S3599" t="str">
        <f t="shared" si="0"/>
        <v/>
      </c>
      <c r="T3599" t="str">
        <f t="shared" si="1"/>
        <v/>
      </c>
      <c r="U3599" t="str">
        <f t="shared" si="2"/>
        <v/>
      </c>
      <c r="V3599" t="str">
        <f>IF(OR(U3599="",U3599="ERRO_CHAVE"),"",IFERROR(MATCH(U3599,Fornecedores!$AF$1:$AF$6631,0),""))</f>
        <v/>
      </c>
      <c r="W3599" t="str">
        <f t="shared" si="3"/>
        <v/>
      </c>
      <c r="X3599" s="4" t="str">
        <f>IF(V3599="","",INDEX(Fornecedores!$X$1:$X$6631,V3599))</f>
        <v/>
      </c>
      <c r="Y3599" s="4" t="str">
        <f t="shared" si="4"/>
        <v/>
      </c>
    </row>
    <row r="3600" spans="19:25">
      <c r="S3600" t="str">
        <f t="shared" si="0"/>
        <v/>
      </c>
      <c r="T3600" t="str">
        <f t="shared" si="1"/>
        <v/>
      </c>
      <c r="U3600" t="str">
        <f t="shared" si="2"/>
        <v/>
      </c>
      <c r="V3600" t="str">
        <f>IF(OR(U3600="",U3600="ERRO_CHAVE"),"",IFERROR(MATCH(U3600,Fornecedores!$AF$1:$AF$6631,0),""))</f>
        <v/>
      </c>
      <c r="W3600" t="str">
        <f t="shared" si="3"/>
        <v/>
      </c>
      <c r="X3600" s="4" t="str">
        <f>IF(V3600="","",INDEX(Fornecedores!$X$1:$X$6631,V3600))</f>
        <v/>
      </c>
      <c r="Y3600" s="4" t="str">
        <f t="shared" si="4"/>
        <v/>
      </c>
    </row>
    <row r="3601" spans="19:25">
      <c r="S3601" t="str">
        <f t="shared" si="0"/>
        <v/>
      </c>
      <c r="T3601" t="str">
        <f t="shared" si="1"/>
        <v/>
      </c>
      <c r="U3601" t="str">
        <f t="shared" si="2"/>
        <v/>
      </c>
      <c r="V3601" t="str">
        <f>IF(OR(U3601="",U3601="ERRO_CHAVE"),"",IFERROR(MATCH(U3601,Fornecedores!$AF$1:$AF$6631,0),""))</f>
        <v/>
      </c>
      <c r="W3601" t="str">
        <f t="shared" si="3"/>
        <v/>
      </c>
      <c r="X3601" s="4" t="str">
        <f>IF(V3601="","",INDEX(Fornecedores!$X$1:$X$6631,V3601))</f>
        <v/>
      </c>
      <c r="Y3601" s="4" t="str">
        <f t="shared" si="4"/>
        <v/>
      </c>
    </row>
    <row r="3602" spans="19:25">
      <c r="S3602" t="str">
        <f t="shared" si="0"/>
        <v/>
      </c>
      <c r="T3602" t="str">
        <f t="shared" si="1"/>
        <v/>
      </c>
      <c r="U3602" t="str">
        <f t="shared" si="2"/>
        <v/>
      </c>
      <c r="V3602" t="str">
        <f>IF(OR(U3602="",U3602="ERRO_CHAVE"),"",IFERROR(MATCH(U3602,Fornecedores!$AF$1:$AF$6631,0),""))</f>
        <v/>
      </c>
      <c r="W3602" t="str">
        <f t="shared" si="3"/>
        <v/>
      </c>
      <c r="X3602" s="4" t="str">
        <f>IF(V3602="","",INDEX(Fornecedores!$X$1:$X$6631,V3602))</f>
        <v/>
      </c>
      <c r="Y3602" s="4" t="str">
        <f t="shared" si="4"/>
        <v/>
      </c>
    </row>
    <row r="3603" spans="19:25">
      <c r="S3603" t="str">
        <f t="shared" si="0"/>
        <v/>
      </c>
      <c r="T3603" t="str">
        <f t="shared" si="1"/>
        <v/>
      </c>
      <c r="U3603" t="str">
        <f t="shared" si="2"/>
        <v/>
      </c>
      <c r="V3603" t="str">
        <f>IF(OR(U3603="",U3603="ERRO_CHAVE"),"",IFERROR(MATCH(U3603,Fornecedores!$AF$1:$AF$6631,0),""))</f>
        <v/>
      </c>
      <c r="W3603" t="str">
        <f t="shared" si="3"/>
        <v/>
      </c>
      <c r="X3603" s="4" t="str">
        <f>IF(V3603="","",INDEX(Fornecedores!$X$1:$X$6631,V3603))</f>
        <v/>
      </c>
      <c r="Y3603" s="4" t="str">
        <f t="shared" si="4"/>
        <v/>
      </c>
    </row>
    <row r="3604" spans="19:25">
      <c r="S3604" t="str">
        <f t="shared" si="0"/>
        <v/>
      </c>
      <c r="T3604" t="str">
        <f t="shared" si="1"/>
        <v/>
      </c>
      <c r="U3604" t="str">
        <f t="shared" si="2"/>
        <v/>
      </c>
      <c r="V3604" t="str">
        <f>IF(OR(U3604="",U3604="ERRO_CHAVE"),"",IFERROR(MATCH(U3604,Fornecedores!$AF$1:$AF$6631,0),""))</f>
        <v/>
      </c>
      <c r="W3604" t="str">
        <f t="shared" si="3"/>
        <v/>
      </c>
      <c r="X3604" s="4" t="str">
        <f>IF(V3604="","",INDEX(Fornecedores!$X$1:$X$6631,V3604))</f>
        <v/>
      </c>
      <c r="Y3604" s="4" t="str">
        <f t="shared" si="4"/>
        <v/>
      </c>
    </row>
    <row r="3605" spans="19:25">
      <c r="S3605" t="str">
        <f t="shared" si="0"/>
        <v/>
      </c>
      <c r="T3605" t="str">
        <f t="shared" si="1"/>
        <v/>
      </c>
      <c r="U3605" t="str">
        <f t="shared" si="2"/>
        <v/>
      </c>
      <c r="V3605" t="str">
        <f>IF(OR(U3605="",U3605="ERRO_CHAVE"),"",IFERROR(MATCH(U3605,Fornecedores!$AF$1:$AF$6631,0),""))</f>
        <v/>
      </c>
      <c r="W3605" t="str">
        <f t="shared" si="3"/>
        <v/>
      </c>
      <c r="X3605" s="4" t="str">
        <f>IF(V3605="","",INDEX(Fornecedores!$X$1:$X$6631,V3605))</f>
        <v/>
      </c>
      <c r="Y3605" s="4" t="str">
        <f t="shared" si="4"/>
        <v/>
      </c>
    </row>
    <row r="3606" spans="19:25">
      <c r="S3606" t="str">
        <f t="shared" si="0"/>
        <v/>
      </c>
      <c r="T3606" t="str">
        <f t="shared" si="1"/>
        <v/>
      </c>
      <c r="U3606" t="str">
        <f t="shared" si="2"/>
        <v/>
      </c>
      <c r="V3606" t="str">
        <f>IF(OR(U3606="",U3606="ERRO_CHAVE"),"",IFERROR(MATCH(U3606,Fornecedores!$AF$1:$AF$6631,0),""))</f>
        <v/>
      </c>
      <c r="W3606" t="str">
        <f t="shared" si="3"/>
        <v/>
      </c>
      <c r="X3606" s="4" t="str">
        <f>IF(V3606="","",INDEX(Fornecedores!$X$1:$X$6631,V3606))</f>
        <v/>
      </c>
      <c r="Y3606" s="4" t="str">
        <f t="shared" si="4"/>
        <v/>
      </c>
    </row>
    <row r="3607" spans="19:25">
      <c r="S3607" t="str">
        <f t="shared" si="0"/>
        <v/>
      </c>
      <c r="T3607" t="str">
        <f t="shared" si="1"/>
        <v/>
      </c>
      <c r="U3607" t="str">
        <f t="shared" si="2"/>
        <v/>
      </c>
      <c r="V3607" t="str">
        <f>IF(OR(U3607="",U3607="ERRO_CHAVE"),"",IFERROR(MATCH(U3607,Fornecedores!$AF$1:$AF$6631,0),""))</f>
        <v/>
      </c>
      <c r="W3607" t="str">
        <f t="shared" si="3"/>
        <v/>
      </c>
      <c r="X3607" s="4" t="str">
        <f>IF(V3607="","",INDEX(Fornecedores!$X$1:$X$6631,V3607))</f>
        <v/>
      </c>
      <c r="Y3607" s="4" t="str">
        <f t="shared" si="4"/>
        <v/>
      </c>
    </row>
    <row r="3608" spans="19:25">
      <c r="S3608" t="str">
        <f t="shared" si="0"/>
        <v/>
      </c>
      <c r="T3608" t="str">
        <f t="shared" si="1"/>
        <v/>
      </c>
      <c r="U3608" t="str">
        <f t="shared" si="2"/>
        <v/>
      </c>
      <c r="V3608" t="str">
        <f>IF(OR(U3608="",U3608="ERRO_CHAVE"),"",IFERROR(MATCH(U3608,Fornecedores!$AF$1:$AF$6631,0),""))</f>
        <v/>
      </c>
      <c r="W3608" t="str">
        <f t="shared" si="3"/>
        <v/>
      </c>
      <c r="X3608" s="4" t="str">
        <f>IF(V3608="","",INDEX(Fornecedores!$X$1:$X$6631,V3608))</f>
        <v/>
      </c>
      <c r="Y3608" s="4" t="str">
        <f t="shared" si="4"/>
        <v/>
      </c>
    </row>
    <row r="3609" spans="19:25">
      <c r="S3609" t="str">
        <f t="shared" si="0"/>
        <v/>
      </c>
      <c r="T3609" t="str">
        <f t="shared" si="1"/>
        <v/>
      </c>
      <c r="U3609" t="str">
        <f t="shared" si="2"/>
        <v/>
      </c>
      <c r="V3609" t="str">
        <f>IF(OR(U3609="",U3609="ERRO_CHAVE"),"",IFERROR(MATCH(U3609,Fornecedores!$AF$1:$AF$6631,0),""))</f>
        <v/>
      </c>
      <c r="W3609" t="str">
        <f t="shared" si="3"/>
        <v/>
      </c>
      <c r="X3609" s="4" t="str">
        <f>IF(V3609="","",INDEX(Fornecedores!$X$1:$X$6631,V3609))</f>
        <v/>
      </c>
      <c r="Y3609" s="4" t="str">
        <f t="shared" si="4"/>
        <v/>
      </c>
    </row>
    <row r="3610" spans="19:25">
      <c r="S3610" t="str">
        <f t="shared" si="0"/>
        <v/>
      </c>
      <c r="T3610" t="str">
        <f t="shared" si="1"/>
        <v/>
      </c>
      <c r="U3610" t="str">
        <f t="shared" si="2"/>
        <v/>
      </c>
      <c r="V3610" t="str">
        <f>IF(OR(U3610="",U3610="ERRO_CHAVE"),"",IFERROR(MATCH(U3610,Fornecedores!$AF$1:$AF$6631,0),""))</f>
        <v/>
      </c>
      <c r="W3610" t="str">
        <f t="shared" si="3"/>
        <v/>
      </c>
      <c r="X3610" s="4" t="str">
        <f>IF(V3610="","",INDEX(Fornecedores!$X$1:$X$6631,V3610))</f>
        <v/>
      </c>
      <c r="Y3610" s="4" t="str">
        <f t="shared" si="4"/>
        <v/>
      </c>
    </row>
    <row r="3611" spans="19:25">
      <c r="S3611" t="str">
        <f t="shared" si="0"/>
        <v/>
      </c>
      <c r="T3611" t="str">
        <f t="shared" si="1"/>
        <v/>
      </c>
      <c r="U3611" t="str">
        <f t="shared" si="2"/>
        <v/>
      </c>
      <c r="V3611" t="str">
        <f>IF(OR(U3611="",U3611="ERRO_CHAVE"),"",IFERROR(MATCH(U3611,Fornecedores!$AF$1:$AF$6631,0),""))</f>
        <v/>
      </c>
      <c r="W3611" t="str">
        <f t="shared" si="3"/>
        <v/>
      </c>
      <c r="X3611" s="4" t="str">
        <f>IF(V3611="","",INDEX(Fornecedores!$X$1:$X$6631,V3611))</f>
        <v/>
      </c>
      <c r="Y3611" s="4" t="str">
        <f t="shared" si="4"/>
        <v/>
      </c>
    </row>
    <row r="3612" spans="19:25">
      <c r="S3612" t="str">
        <f t="shared" si="0"/>
        <v/>
      </c>
      <c r="T3612" t="str">
        <f t="shared" si="1"/>
        <v/>
      </c>
      <c r="U3612" t="str">
        <f t="shared" si="2"/>
        <v/>
      </c>
      <c r="V3612" t="str">
        <f>IF(OR(U3612="",U3612="ERRO_CHAVE"),"",IFERROR(MATCH(U3612,Fornecedores!$AF$1:$AF$6631,0),""))</f>
        <v/>
      </c>
      <c r="W3612" t="str">
        <f t="shared" si="3"/>
        <v/>
      </c>
      <c r="X3612" s="4" t="str">
        <f>IF(V3612="","",INDEX(Fornecedores!$X$1:$X$6631,V3612))</f>
        <v/>
      </c>
      <c r="Y3612" s="4" t="str">
        <f t="shared" si="4"/>
        <v/>
      </c>
    </row>
    <row r="3613" spans="19:25">
      <c r="S3613" t="str">
        <f t="shared" si="0"/>
        <v/>
      </c>
      <c r="T3613" t="str">
        <f t="shared" si="1"/>
        <v/>
      </c>
      <c r="U3613" t="str">
        <f t="shared" si="2"/>
        <v/>
      </c>
      <c r="V3613" t="str">
        <f>IF(OR(U3613="",U3613="ERRO_CHAVE"),"",IFERROR(MATCH(U3613,Fornecedores!$AF$1:$AF$6631,0),""))</f>
        <v/>
      </c>
      <c r="W3613" t="str">
        <f t="shared" si="3"/>
        <v/>
      </c>
      <c r="X3613" s="4" t="str">
        <f>IF(V3613="","",INDEX(Fornecedores!$X$1:$X$6631,V3613))</f>
        <v/>
      </c>
      <c r="Y3613" s="4" t="str">
        <f t="shared" si="4"/>
        <v/>
      </c>
    </row>
    <row r="3614" spans="19:25">
      <c r="S3614" t="str">
        <f t="shared" si="0"/>
        <v/>
      </c>
      <c r="T3614" t="str">
        <f t="shared" si="1"/>
        <v/>
      </c>
      <c r="U3614" t="str">
        <f t="shared" si="2"/>
        <v/>
      </c>
      <c r="V3614" t="str">
        <f>IF(OR(U3614="",U3614="ERRO_CHAVE"),"",IFERROR(MATCH(U3614,Fornecedores!$AF$1:$AF$6631,0),""))</f>
        <v/>
      </c>
      <c r="W3614" t="str">
        <f t="shared" si="3"/>
        <v/>
      </c>
      <c r="X3614" s="4" t="str">
        <f>IF(V3614="","",INDEX(Fornecedores!$X$1:$X$6631,V3614))</f>
        <v/>
      </c>
      <c r="Y3614" s="4" t="str">
        <f t="shared" si="4"/>
        <v/>
      </c>
    </row>
    <row r="3615" spans="19:25">
      <c r="S3615" t="str">
        <f t="shared" si="0"/>
        <v/>
      </c>
      <c r="T3615" t="str">
        <f t="shared" si="1"/>
        <v/>
      </c>
      <c r="U3615" t="str">
        <f t="shared" si="2"/>
        <v/>
      </c>
      <c r="V3615" t="str">
        <f>IF(OR(U3615="",U3615="ERRO_CHAVE"),"",IFERROR(MATCH(U3615,Fornecedores!$AF$1:$AF$6631,0),""))</f>
        <v/>
      </c>
      <c r="W3615" t="str">
        <f t="shared" si="3"/>
        <v/>
      </c>
      <c r="X3615" s="4" t="str">
        <f>IF(V3615="","",INDEX(Fornecedores!$X$1:$X$6631,V3615))</f>
        <v/>
      </c>
      <c r="Y3615" s="4" t="str">
        <f t="shared" si="4"/>
        <v/>
      </c>
    </row>
    <row r="3616" spans="19:25">
      <c r="S3616" t="str">
        <f t="shared" si="0"/>
        <v/>
      </c>
      <c r="T3616" t="str">
        <f t="shared" si="1"/>
        <v/>
      </c>
      <c r="U3616" t="str">
        <f t="shared" si="2"/>
        <v/>
      </c>
      <c r="V3616" t="str">
        <f>IF(OR(U3616="",U3616="ERRO_CHAVE"),"",IFERROR(MATCH(U3616,Fornecedores!$AF$1:$AF$6631,0),""))</f>
        <v/>
      </c>
      <c r="W3616" t="str">
        <f t="shared" si="3"/>
        <v/>
      </c>
      <c r="X3616" s="4" t="str">
        <f>IF(V3616="","",INDEX(Fornecedores!$X$1:$X$6631,V3616))</f>
        <v/>
      </c>
      <c r="Y3616" s="4" t="str">
        <f t="shared" si="4"/>
        <v/>
      </c>
    </row>
    <row r="3617" spans="19:25">
      <c r="S3617" t="str">
        <f t="shared" si="0"/>
        <v/>
      </c>
      <c r="T3617" t="str">
        <f t="shared" si="1"/>
        <v/>
      </c>
      <c r="U3617" t="str">
        <f t="shared" si="2"/>
        <v/>
      </c>
      <c r="V3617" t="str">
        <f>IF(OR(U3617="",U3617="ERRO_CHAVE"),"",IFERROR(MATCH(U3617,Fornecedores!$AF$1:$AF$6631,0),""))</f>
        <v/>
      </c>
      <c r="W3617" t="str">
        <f t="shared" si="3"/>
        <v/>
      </c>
      <c r="X3617" s="4" t="str">
        <f>IF(V3617="","",INDEX(Fornecedores!$X$1:$X$6631,V3617))</f>
        <v/>
      </c>
      <c r="Y3617" s="4" t="str">
        <f t="shared" si="4"/>
        <v/>
      </c>
    </row>
    <row r="3618" spans="19:25">
      <c r="S3618" t="str">
        <f t="shared" si="0"/>
        <v/>
      </c>
      <c r="T3618" t="str">
        <f t="shared" si="1"/>
        <v/>
      </c>
      <c r="U3618" t="str">
        <f t="shared" si="2"/>
        <v/>
      </c>
      <c r="V3618" t="str">
        <f>IF(OR(U3618="",U3618="ERRO_CHAVE"),"",IFERROR(MATCH(U3618,Fornecedores!$AF$1:$AF$6631,0),""))</f>
        <v/>
      </c>
      <c r="W3618" t="str">
        <f t="shared" si="3"/>
        <v/>
      </c>
      <c r="X3618" s="4" t="str">
        <f>IF(V3618="","",INDEX(Fornecedores!$X$1:$X$6631,V3618))</f>
        <v/>
      </c>
      <c r="Y3618" s="4" t="str">
        <f t="shared" si="4"/>
        <v/>
      </c>
    </row>
    <row r="3619" spans="19:25">
      <c r="S3619" t="str">
        <f t="shared" si="0"/>
        <v/>
      </c>
      <c r="T3619" t="str">
        <f t="shared" si="1"/>
        <v/>
      </c>
      <c r="U3619" t="str">
        <f t="shared" si="2"/>
        <v/>
      </c>
      <c r="V3619" t="str">
        <f>IF(OR(U3619="",U3619="ERRO_CHAVE"),"",IFERROR(MATCH(U3619,Fornecedores!$AF$1:$AF$6631,0),""))</f>
        <v/>
      </c>
      <c r="W3619" t="str">
        <f t="shared" si="3"/>
        <v/>
      </c>
      <c r="X3619" s="4" t="str">
        <f>IF(V3619="","",INDEX(Fornecedores!$X$1:$X$6631,V3619))</f>
        <v/>
      </c>
      <c r="Y3619" s="4" t="str">
        <f t="shared" si="4"/>
        <v/>
      </c>
    </row>
    <row r="3620" spans="19:25">
      <c r="S3620" t="str">
        <f t="shared" si="0"/>
        <v/>
      </c>
      <c r="T3620" t="str">
        <f t="shared" si="1"/>
        <v/>
      </c>
      <c r="U3620" t="str">
        <f t="shared" si="2"/>
        <v/>
      </c>
      <c r="V3620" t="str">
        <f>IF(OR(U3620="",U3620="ERRO_CHAVE"),"",IFERROR(MATCH(U3620,Fornecedores!$AF$1:$AF$6631,0),""))</f>
        <v/>
      </c>
      <c r="W3620" t="str">
        <f t="shared" si="3"/>
        <v/>
      </c>
      <c r="X3620" s="4" t="str">
        <f>IF(V3620="","",INDEX(Fornecedores!$X$1:$X$6631,V3620))</f>
        <v/>
      </c>
      <c r="Y3620" s="4" t="str">
        <f t="shared" si="4"/>
        <v/>
      </c>
    </row>
    <row r="3621" spans="19:25">
      <c r="S3621" t="str">
        <f t="shared" si="0"/>
        <v/>
      </c>
      <c r="T3621" t="str">
        <f t="shared" si="1"/>
        <v/>
      </c>
      <c r="U3621" t="str">
        <f t="shared" si="2"/>
        <v/>
      </c>
      <c r="V3621" t="str">
        <f>IF(OR(U3621="",U3621="ERRO_CHAVE"),"",IFERROR(MATCH(U3621,Fornecedores!$AF$1:$AF$6631,0),""))</f>
        <v/>
      </c>
      <c r="W3621" t="str">
        <f t="shared" si="3"/>
        <v/>
      </c>
      <c r="X3621" s="4" t="str">
        <f>IF(V3621="","",INDEX(Fornecedores!$X$1:$X$6631,V3621))</f>
        <v/>
      </c>
      <c r="Y3621" s="4" t="str">
        <f t="shared" si="4"/>
        <v/>
      </c>
    </row>
    <row r="3622" spans="19:25">
      <c r="S3622" t="str">
        <f t="shared" si="0"/>
        <v/>
      </c>
      <c r="T3622" t="str">
        <f t="shared" si="1"/>
        <v/>
      </c>
      <c r="U3622" t="str">
        <f t="shared" si="2"/>
        <v/>
      </c>
      <c r="V3622" t="str">
        <f>IF(OR(U3622="",U3622="ERRO_CHAVE"),"",IFERROR(MATCH(U3622,Fornecedores!$AF$1:$AF$6631,0),""))</f>
        <v/>
      </c>
      <c r="W3622" t="str">
        <f t="shared" si="3"/>
        <v/>
      </c>
      <c r="X3622" s="4" t="str">
        <f>IF(V3622="","",INDEX(Fornecedores!$X$1:$X$6631,V3622))</f>
        <v/>
      </c>
      <c r="Y3622" s="4" t="str">
        <f t="shared" si="4"/>
        <v/>
      </c>
    </row>
    <row r="3623" spans="19:25">
      <c r="S3623" t="str">
        <f t="shared" si="0"/>
        <v/>
      </c>
      <c r="T3623" t="str">
        <f t="shared" si="1"/>
        <v/>
      </c>
      <c r="U3623" t="str">
        <f t="shared" si="2"/>
        <v/>
      </c>
      <c r="V3623" t="str">
        <f>IF(OR(U3623="",U3623="ERRO_CHAVE"),"",IFERROR(MATCH(U3623,Fornecedores!$AF$1:$AF$6631,0),""))</f>
        <v/>
      </c>
      <c r="W3623" t="str">
        <f t="shared" si="3"/>
        <v/>
      </c>
      <c r="X3623" s="4" t="str">
        <f>IF(V3623="","",INDEX(Fornecedores!$X$1:$X$6631,V3623))</f>
        <v/>
      </c>
      <c r="Y3623" s="4" t="str">
        <f t="shared" si="4"/>
        <v/>
      </c>
    </row>
    <row r="3624" spans="19:25">
      <c r="S3624" t="str">
        <f t="shared" si="0"/>
        <v/>
      </c>
      <c r="T3624" t="str">
        <f t="shared" si="1"/>
        <v/>
      </c>
      <c r="U3624" t="str">
        <f t="shared" si="2"/>
        <v/>
      </c>
      <c r="V3624" t="str">
        <f>IF(OR(U3624="",U3624="ERRO_CHAVE"),"",IFERROR(MATCH(U3624,Fornecedores!$AF$1:$AF$6631,0),""))</f>
        <v/>
      </c>
      <c r="W3624" t="str">
        <f t="shared" si="3"/>
        <v/>
      </c>
      <c r="X3624" s="4" t="str">
        <f>IF(V3624="","",INDEX(Fornecedores!$X$1:$X$6631,V3624))</f>
        <v/>
      </c>
      <c r="Y3624" s="4" t="str">
        <f t="shared" si="4"/>
        <v/>
      </c>
    </row>
    <row r="3625" spans="19:25">
      <c r="S3625" t="str">
        <f t="shared" si="0"/>
        <v/>
      </c>
      <c r="T3625" t="str">
        <f t="shared" si="1"/>
        <v/>
      </c>
      <c r="U3625" t="str">
        <f t="shared" si="2"/>
        <v/>
      </c>
      <c r="V3625" t="str">
        <f>IF(OR(U3625="",U3625="ERRO_CHAVE"),"",IFERROR(MATCH(U3625,Fornecedores!$AF$1:$AF$6631,0),""))</f>
        <v/>
      </c>
      <c r="W3625" t="str">
        <f t="shared" si="3"/>
        <v/>
      </c>
      <c r="X3625" s="4" t="str">
        <f>IF(V3625="","",INDEX(Fornecedores!$X$1:$X$6631,V3625))</f>
        <v/>
      </c>
      <c r="Y3625" s="4" t="str">
        <f t="shared" si="4"/>
        <v/>
      </c>
    </row>
    <row r="3626" spans="19:25">
      <c r="S3626" t="str">
        <f t="shared" si="0"/>
        <v/>
      </c>
      <c r="T3626" t="str">
        <f t="shared" si="1"/>
        <v/>
      </c>
      <c r="U3626" t="str">
        <f t="shared" si="2"/>
        <v/>
      </c>
      <c r="V3626" t="str">
        <f>IF(OR(U3626="",U3626="ERRO_CHAVE"),"",IFERROR(MATCH(U3626,Fornecedores!$AF$1:$AF$6631,0),""))</f>
        <v/>
      </c>
      <c r="W3626" t="str">
        <f t="shared" si="3"/>
        <v/>
      </c>
      <c r="X3626" s="4" t="str">
        <f>IF(V3626="","",INDEX(Fornecedores!$X$1:$X$6631,V3626))</f>
        <v/>
      </c>
      <c r="Y3626" s="4" t="str">
        <f t="shared" si="4"/>
        <v/>
      </c>
    </row>
    <row r="3627" spans="19:25">
      <c r="S3627" t="str">
        <f t="shared" si="0"/>
        <v/>
      </c>
      <c r="T3627" t="str">
        <f t="shared" si="1"/>
        <v/>
      </c>
      <c r="U3627" t="str">
        <f t="shared" si="2"/>
        <v/>
      </c>
      <c r="V3627" t="str">
        <f>IF(OR(U3627="",U3627="ERRO_CHAVE"),"",IFERROR(MATCH(U3627,Fornecedores!$AF$1:$AF$6631,0),""))</f>
        <v/>
      </c>
      <c r="W3627" t="str">
        <f t="shared" si="3"/>
        <v/>
      </c>
      <c r="X3627" s="4" t="str">
        <f>IF(V3627="","",INDEX(Fornecedores!$X$1:$X$6631,V3627))</f>
        <v/>
      </c>
      <c r="Y3627" s="4" t="str">
        <f t="shared" si="4"/>
        <v/>
      </c>
    </row>
    <row r="3628" spans="19:25">
      <c r="S3628" t="str">
        <f t="shared" si="0"/>
        <v/>
      </c>
      <c r="T3628" t="str">
        <f t="shared" si="1"/>
        <v/>
      </c>
      <c r="U3628" t="str">
        <f t="shared" si="2"/>
        <v/>
      </c>
      <c r="V3628" t="str">
        <f>IF(OR(U3628="",U3628="ERRO_CHAVE"),"",IFERROR(MATCH(U3628,Fornecedores!$AF$1:$AF$6631,0),""))</f>
        <v/>
      </c>
      <c r="W3628" t="str">
        <f t="shared" si="3"/>
        <v/>
      </c>
      <c r="X3628" s="4" t="str">
        <f>IF(V3628="","",INDEX(Fornecedores!$X$1:$X$6631,V3628))</f>
        <v/>
      </c>
      <c r="Y3628" s="4" t="str">
        <f t="shared" si="4"/>
        <v/>
      </c>
    </row>
    <row r="3629" spans="19:25">
      <c r="S3629" t="str">
        <f t="shared" si="0"/>
        <v/>
      </c>
      <c r="T3629" t="str">
        <f t="shared" si="1"/>
        <v/>
      </c>
      <c r="U3629" t="str">
        <f t="shared" si="2"/>
        <v/>
      </c>
      <c r="V3629" t="str">
        <f>IF(OR(U3629="",U3629="ERRO_CHAVE"),"",IFERROR(MATCH(U3629,Fornecedores!$AF$1:$AF$6631,0),""))</f>
        <v/>
      </c>
      <c r="W3629" t="str">
        <f t="shared" si="3"/>
        <v/>
      </c>
      <c r="X3629" s="4" t="str">
        <f>IF(V3629="","",INDEX(Fornecedores!$X$1:$X$6631,V3629))</f>
        <v/>
      </c>
      <c r="Y3629" s="4" t="str">
        <f t="shared" si="4"/>
        <v/>
      </c>
    </row>
    <row r="3630" spans="19:25">
      <c r="S3630" t="str">
        <f t="shared" si="0"/>
        <v/>
      </c>
      <c r="T3630" t="str">
        <f t="shared" si="1"/>
        <v/>
      </c>
      <c r="U3630" t="str">
        <f t="shared" si="2"/>
        <v/>
      </c>
      <c r="V3630" t="str">
        <f>IF(OR(U3630="",U3630="ERRO_CHAVE"),"",IFERROR(MATCH(U3630,Fornecedores!$AF$1:$AF$6631,0),""))</f>
        <v/>
      </c>
      <c r="W3630" t="str">
        <f t="shared" si="3"/>
        <v/>
      </c>
      <c r="X3630" s="4" t="str">
        <f>IF(V3630="","",INDEX(Fornecedores!$X$1:$X$6631,V3630))</f>
        <v/>
      </c>
      <c r="Y3630" s="4" t="str">
        <f t="shared" si="4"/>
        <v/>
      </c>
    </row>
    <row r="3631" spans="19:25">
      <c r="S3631" t="str">
        <f t="shared" si="0"/>
        <v/>
      </c>
      <c r="T3631" t="str">
        <f t="shared" si="1"/>
        <v/>
      </c>
      <c r="U3631" t="str">
        <f t="shared" si="2"/>
        <v/>
      </c>
      <c r="V3631" t="str">
        <f>IF(OR(U3631="",U3631="ERRO_CHAVE"),"",IFERROR(MATCH(U3631,Fornecedores!$AF$1:$AF$6631,0),""))</f>
        <v/>
      </c>
      <c r="W3631" t="str">
        <f t="shared" si="3"/>
        <v/>
      </c>
      <c r="X3631" s="4" t="str">
        <f>IF(V3631="","",INDEX(Fornecedores!$X$1:$X$6631,V3631))</f>
        <v/>
      </c>
      <c r="Y3631" s="4" t="str">
        <f t="shared" si="4"/>
        <v/>
      </c>
    </row>
    <row r="3632" spans="19:25">
      <c r="S3632" t="str">
        <f t="shared" si="0"/>
        <v/>
      </c>
      <c r="T3632" t="str">
        <f t="shared" si="1"/>
        <v/>
      </c>
      <c r="U3632" t="str">
        <f t="shared" si="2"/>
        <v/>
      </c>
      <c r="V3632" t="str">
        <f>IF(OR(U3632="",U3632="ERRO_CHAVE"),"",IFERROR(MATCH(U3632,Fornecedores!$AF$1:$AF$6631,0),""))</f>
        <v/>
      </c>
      <c r="W3632" t="str">
        <f t="shared" si="3"/>
        <v/>
      </c>
      <c r="X3632" s="4" t="str">
        <f>IF(V3632="","",INDEX(Fornecedores!$X$1:$X$6631,V3632))</f>
        <v/>
      </c>
      <c r="Y3632" s="4" t="str">
        <f t="shared" si="4"/>
        <v/>
      </c>
    </row>
    <row r="3633" spans="19:25">
      <c r="S3633" t="str">
        <f t="shared" si="0"/>
        <v/>
      </c>
      <c r="T3633" t="str">
        <f t="shared" si="1"/>
        <v/>
      </c>
      <c r="U3633" t="str">
        <f t="shared" si="2"/>
        <v/>
      </c>
      <c r="V3633" t="str">
        <f>IF(OR(U3633="",U3633="ERRO_CHAVE"),"",IFERROR(MATCH(U3633,Fornecedores!$AF$1:$AF$6631,0),""))</f>
        <v/>
      </c>
      <c r="W3633" t="str">
        <f t="shared" si="3"/>
        <v/>
      </c>
      <c r="X3633" s="4" t="str">
        <f>IF(V3633="","",INDEX(Fornecedores!$X$1:$X$6631,V3633))</f>
        <v/>
      </c>
      <c r="Y3633" s="4" t="str">
        <f t="shared" si="4"/>
        <v/>
      </c>
    </row>
    <row r="3634" spans="19:25">
      <c r="S3634" t="str">
        <f t="shared" si="0"/>
        <v/>
      </c>
      <c r="T3634" t="str">
        <f t="shared" si="1"/>
        <v/>
      </c>
      <c r="U3634" t="str">
        <f t="shared" si="2"/>
        <v/>
      </c>
      <c r="V3634" t="str">
        <f>IF(OR(U3634="",U3634="ERRO_CHAVE"),"",IFERROR(MATCH(U3634,Fornecedores!$AF$1:$AF$6631,0),""))</f>
        <v/>
      </c>
      <c r="W3634" t="str">
        <f t="shared" si="3"/>
        <v/>
      </c>
      <c r="X3634" s="4" t="str">
        <f>IF(V3634="","",INDEX(Fornecedores!$X$1:$X$6631,V3634))</f>
        <v/>
      </c>
      <c r="Y3634" s="4" t="str">
        <f t="shared" si="4"/>
        <v/>
      </c>
    </row>
    <row r="3635" spans="19:25">
      <c r="S3635" t="str">
        <f t="shared" si="0"/>
        <v/>
      </c>
      <c r="T3635" t="str">
        <f t="shared" si="1"/>
        <v/>
      </c>
      <c r="U3635" t="str">
        <f t="shared" si="2"/>
        <v/>
      </c>
      <c r="V3635" t="str">
        <f>IF(OR(U3635="",U3635="ERRO_CHAVE"),"",IFERROR(MATCH(U3635,Fornecedores!$AF$1:$AF$6631,0),""))</f>
        <v/>
      </c>
      <c r="W3635" t="str">
        <f t="shared" si="3"/>
        <v/>
      </c>
      <c r="X3635" s="4" t="str">
        <f>IF(V3635="","",INDEX(Fornecedores!$X$1:$X$6631,V3635))</f>
        <v/>
      </c>
      <c r="Y3635" s="4" t="str">
        <f t="shared" si="4"/>
        <v/>
      </c>
    </row>
    <row r="3636" spans="19:25">
      <c r="S3636" t="str">
        <f t="shared" si="0"/>
        <v/>
      </c>
      <c r="T3636" t="str">
        <f t="shared" si="1"/>
        <v/>
      </c>
      <c r="U3636" t="str">
        <f t="shared" si="2"/>
        <v/>
      </c>
      <c r="V3636" t="str">
        <f>IF(OR(U3636="",U3636="ERRO_CHAVE"),"",IFERROR(MATCH(U3636,Fornecedores!$AF$1:$AF$6631,0),""))</f>
        <v/>
      </c>
      <c r="W3636" t="str">
        <f t="shared" si="3"/>
        <v/>
      </c>
      <c r="X3636" s="4" t="str">
        <f>IF(V3636="","",INDEX(Fornecedores!$X$1:$X$6631,V3636))</f>
        <v/>
      </c>
      <c r="Y3636" s="4" t="str">
        <f t="shared" si="4"/>
        <v/>
      </c>
    </row>
    <row r="3637" spans="19:25">
      <c r="S3637" t="str">
        <f t="shared" si="0"/>
        <v/>
      </c>
      <c r="T3637" t="str">
        <f t="shared" si="1"/>
        <v/>
      </c>
      <c r="U3637" t="str">
        <f t="shared" si="2"/>
        <v/>
      </c>
      <c r="V3637" t="str">
        <f>IF(OR(U3637="",U3637="ERRO_CHAVE"),"",IFERROR(MATCH(U3637,Fornecedores!$AF$1:$AF$6631,0),""))</f>
        <v/>
      </c>
      <c r="W3637" t="str">
        <f t="shared" si="3"/>
        <v/>
      </c>
      <c r="X3637" s="4" t="str">
        <f>IF(V3637="","",INDEX(Fornecedores!$X$1:$X$6631,V3637))</f>
        <v/>
      </c>
      <c r="Y3637" s="4" t="str">
        <f t="shared" si="4"/>
        <v/>
      </c>
    </row>
    <row r="3638" spans="19:25">
      <c r="S3638" t="str">
        <f t="shared" si="0"/>
        <v/>
      </c>
      <c r="T3638" t="str">
        <f t="shared" si="1"/>
        <v/>
      </c>
      <c r="U3638" t="str">
        <f t="shared" si="2"/>
        <v/>
      </c>
      <c r="V3638" t="str">
        <f>IF(OR(U3638="",U3638="ERRO_CHAVE"),"",IFERROR(MATCH(U3638,Fornecedores!$AF$1:$AF$6631,0),""))</f>
        <v/>
      </c>
      <c r="W3638" t="str">
        <f t="shared" si="3"/>
        <v/>
      </c>
      <c r="X3638" s="4" t="str">
        <f>IF(V3638="","",INDEX(Fornecedores!$X$1:$X$6631,V3638))</f>
        <v/>
      </c>
      <c r="Y3638" s="4" t="str">
        <f t="shared" si="4"/>
        <v/>
      </c>
    </row>
    <row r="3639" spans="19:25">
      <c r="S3639" t="str">
        <f t="shared" si="0"/>
        <v/>
      </c>
      <c r="T3639" t="str">
        <f t="shared" si="1"/>
        <v/>
      </c>
      <c r="U3639" t="str">
        <f t="shared" si="2"/>
        <v/>
      </c>
      <c r="V3639" t="str">
        <f>IF(OR(U3639="",U3639="ERRO_CHAVE"),"",IFERROR(MATCH(U3639,Fornecedores!$AF$1:$AF$6631,0),""))</f>
        <v/>
      </c>
      <c r="W3639" t="str">
        <f t="shared" si="3"/>
        <v/>
      </c>
      <c r="X3639" s="4" t="str">
        <f>IF(V3639="","",INDEX(Fornecedores!$X$1:$X$6631,V3639))</f>
        <v/>
      </c>
      <c r="Y3639" s="4" t="str">
        <f t="shared" si="4"/>
        <v/>
      </c>
    </row>
    <row r="3640" spans="19:25">
      <c r="S3640" t="str">
        <f t="shared" si="0"/>
        <v/>
      </c>
      <c r="T3640" t="str">
        <f t="shared" si="1"/>
        <v/>
      </c>
      <c r="U3640" t="str">
        <f t="shared" si="2"/>
        <v/>
      </c>
      <c r="V3640" t="str">
        <f>IF(OR(U3640="",U3640="ERRO_CHAVE"),"",IFERROR(MATCH(U3640,Fornecedores!$AF$1:$AF$6631,0),""))</f>
        <v/>
      </c>
      <c r="W3640" t="str">
        <f t="shared" si="3"/>
        <v/>
      </c>
      <c r="X3640" s="4" t="str">
        <f>IF(V3640="","",INDEX(Fornecedores!$X$1:$X$6631,V3640))</f>
        <v/>
      </c>
      <c r="Y3640" s="4" t="str">
        <f t="shared" si="4"/>
        <v/>
      </c>
    </row>
    <row r="3641" spans="19:25">
      <c r="S3641" t="str">
        <f t="shared" si="0"/>
        <v/>
      </c>
      <c r="T3641" t="str">
        <f t="shared" si="1"/>
        <v/>
      </c>
      <c r="U3641" t="str">
        <f t="shared" si="2"/>
        <v/>
      </c>
      <c r="V3641" t="str">
        <f>IF(OR(U3641="",U3641="ERRO_CHAVE"),"",IFERROR(MATCH(U3641,Fornecedores!$AF$1:$AF$6631,0),""))</f>
        <v/>
      </c>
      <c r="W3641" t="str">
        <f t="shared" si="3"/>
        <v/>
      </c>
      <c r="X3641" s="4" t="str">
        <f>IF(V3641="","",INDEX(Fornecedores!$X$1:$X$6631,V3641))</f>
        <v/>
      </c>
      <c r="Y3641" s="4" t="str">
        <f t="shared" si="4"/>
        <v/>
      </c>
    </row>
    <row r="3642" spans="19:25">
      <c r="S3642" t="str">
        <f t="shared" si="0"/>
        <v/>
      </c>
      <c r="T3642" t="str">
        <f t="shared" si="1"/>
        <v/>
      </c>
      <c r="U3642" t="str">
        <f t="shared" si="2"/>
        <v/>
      </c>
      <c r="V3642" t="str">
        <f>IF(OR(U3642="",U3642="ERRO_CHAVE"),"",IFERROR(MATCH(U3642,Fornecedores!$AF$1:$AF$6631,0),""))</f>
        <v/>
      </c>
      <c r="W3642" t="str">
        <f t="shared" si="3"/>
        <v/>
      </c>
      <c r="X3642" s="4" t="str">
        <f>IF(V3642="","",INDEX(Fornecedores!$X$1:$X$6631,V3642))</f>
        <v/>
      </c>
      <c r="Y3642" s="4" t="str">
        <f t="shared" si="4"/>
        <v/>
      </c>
    </row>
    <row r="3643" spans="19:25">
      <c r="S3643" t="str">
        <f t="shared" si="0"/>
        <v/>
      </c>
      <c r="T3643" t="str">
        <f t="shared" si="1"/>
        <v/>
      </c>
      <c r="U3643" t="str">
        <f t="shared" si="2"/>
        <v/>
      </c>
      <c r="V3643" t="str">
        <f>IF(OR(U3643="",U3643="ERRO_CHAVE"),"",IFERROR(MATCH(U3643,Fornecedores!$AF$1:$AF$6631,0),""))</f>
        <v/>
      </c>
      <c r="W3643" t="str">
        <f t="shared" si="3"/>
        <v/>
      </c>
      <c r="X3643" s="4" t="str">
        <f>IF(V3643="","",INDEX(Fornecedores!$X$1:$X$6631,V3643))</f>
        <v/>
      </c>
      <c r="Y3643" s="4" t="str">
        <f t="shared" si="4"/>
        <v/>
      </c>
    </row>
    <row r="3644" spans="19:25">
      <c r="S3644" t="str">
        <f t="shared" si="0"/>
        <v/>
      </c>
      <c r="T3644" t="str">
        <f t="shared" si="1"/>
        <v/>
      </c>
      <c r="U3644" t="str">
        <f t="shared" si="2"/>
        <v/>
      </c>
      <c r="V3644" t="str">
        <f>IF(OR(U3644="",U3644="ERRO_CHAVE"),"",IFERROR(MATCH(U3644,Fornecedores!$AF$1:$AF$6631,0),""))</f>
        <v/>
      </c>
      <c r="W3644" t="str">
        <f t="shared" si="3"/>
        <v/>
      </c>
      <c r="X3644" s="4" t="str">
        <f>IF(V3644="","",INDEX(Fornecedores!$X$1:$X$6631,V3644))</f>
        <v/>
      </c>
      <c r="Y3644" s="4" t="str">
        <f t="shared" si="4"/>
        <v/>
      </c>
    </row>
    <row r="3645" spans="19:25">
      <c r="S3645" t="str">
        <f t="shared" si="0"/>
        <v/>
      </c>
      <c r="T3645" t="str">
        <f t="shared" si="1"/>
        <v/>
      </c>
      <c r="U3645" t="str">
        <f t="shared" si="2"/>
        <v/>
      </c>
      <c r="V3645" t="str">
        <f>IF(OR(U3645="",U3645="ERRO_CHAVE"),"",IFERROR(MATCH(U3645,Fornecedores!$AF$1:$AF$6631,0),""))</f>
        <v/>
      </c>
      <c r="W3645" t="str">
        <f t="shared" si="3"/>
        <v/>
      </c>
      <c r="X3645" s="4" t="str">
        <f>IF(V3645="","",INDEX(Fornecedores!$X$1:$X$6631,V3645))</f>
        <v/>
      </c>
      <c r="Y3645" s="4" t="str">
        <f t="shared" si="4"/>
        <v/>
      </c>
    </row>
    <row r="3646" spans="19:25">
      <c r="S3646" t="str">
        <f t="shared" si="0"/>
        <v/>
      </c>
      <c r="T3646" t="str">
        <f t="shared" si="1"/>
        <v/>
      </c>
      <c r="U3646" t="str">
        <f t="shared" si="2"/>
        <v/>
      </c>
      <c r="V3646" t="str">
        <f>IF(OR(U3646="",U3646="ERRO_CHAVE"),"",IFERROR(MATCH(U3646,Fornecedores!$AF$1:$AF$6631,0),""))</f>
        <v/>
      </c>
      <c r="W3646" t="str">
        <f t="shared" si="3"/>
        <v/>
      </c>
      <c r="X3646" s="4" t="str">
        <f>IF(V3646="","",INDEX(Fornecedores!$X$1:$X$6631,V3646))</f>
        <v/>
      </c>
      <c r="Y3646" s="4" t="str">
        <f t="shared" si="4"/>
        <v/>
      </c>
    </row>
    <row r="3647" spans="19:25">
      <c r="S3647" t="str">
        <f t="shared" si="0"/>
        <v/>
      </c>
      <c r="T3647" t="str">
        <f t="shared" si="1"/>
        <v/>
      </c>
      <c r="U3647" t="str">
        <f t="shared" si="2"/>
        <v/>
      </c>
      <c r="V3647" t="str">
        <f>IF(OR(U3647="",U3647="ERRO_CHAVE"),"",IFERROR(MATCH(U3647,Fornecedores!$AF$1:$AF$6631,0),""))</f>
        <v/>
      </c>
      <c r="W3647" t="str">
        <f t="shared" si="3"/>
        <v/>
      </c>
      <c r="X3647" s="4" t="str">
        <f>IF(V3647="","",INDEX(Fornecedores!$X$1:$X$6631,V3647))</f>
        <v/>
      </c>
      <c r="Y3647" s="4" t="str">
        <f t="shared" si="4"/>
        <v/>
      </c>
    </row>
    <row r="3648" spans="19:25">
      <c r="S3648" t="str">
        <f t="shared" si="0"/>
        <v/>
      </c>
      <c r="T3648" t="str">
        <f t="shared" si="1"/>
        <v/>
      </c>
      <c r="U3648" t="str">
        <f t="shared" si="2"/>
        <v/>
      </c>
      <c r="V3648" t="str">
        <f>IF(OR(U3648="",U3648="ERRO_CHAVE"),"",IFERROR(MATCH(U3648,Fornecedores!$AF$1:$AF$6631,0),""))</f>
        <v/>
      </c>
      <c r="W3648" t="str">
        <f t="shared" si="3"/>
        <v/>
      </c>
      <c r="X3648" s="4" t="str">
        <f>IF(V3648="","",INDEX(Fornecedores!$X$1:$X$6631,V3648))</f>
        <v/>
      </c>
      <c r="Y3648" s="4" t="str">
        <f t="shared" si="4"/>
        <v/>
      </c>
    </row>
    <row r="3649" spans="19:25">
      <c r="S3649" t="str">
        <f t="shared" si="0"/>
        <v/>
      </c>
      <c r="T3649" t="str">
        <f t="shared" si="1"/>
        <v/>
      </c>
      <c r="U3649" t="str">
        <f t="shared" si="2"/>
        <v/>
      </c>
      <c r="V3649" t="str">
        <f>IF(OR(U3649="",U3649="ERRO_CHAVE"),"",IFERROR(MATCH(U3649,Fornecedores!$AF$1:$AF$6631,0),""))</f>
        <v/>
      </c>
      <c r="W3649" t="str">
        <f t="shared" si="3"/>
        <v/>
      </c>
      <c r="X3649" s="4" t="str">
        <f>IF(V3649="","",INDEX(Fornecedores!$X$1:$X$6631,V3649))</f>
        <v/>
      </c>
      <c r="Y3649" s="4" t="str">
        <f t="shared" si="4"/>
        <v/>
      </c>
    </row>
    <row r="3650" spans="19:25">
      <c r="S3650" t="str">
        <f t="shared" si="0"/>
        <v/>
      </c>
      <c r="T3650" t="str">
        <f t="shared" si="1"/>
        <v/>
      </c>
      <c r="U3650" t="str">
        <f t="shared" si="2"/>
        <v/>
      </c>
      <c r="V3650" t="str">
        <f>IF(OR(U3650="",U3650="ERRO_CHAVE"),"",IFERROR(MATCH(U3650,Fornecedores!$AF$1:$AF$6631,0),""))</f>
        <v/>
      </c>
      <c r="W3650" t="str">
        <f t="shared" si="3"/>
        <v/>
      </c>
      <c r="X3650" s="4" t="str">
        <f>IF(V3650="","",INDEX(Fornecedores!$X$1:$X$6631,V3650))</f>
        <v/>
      </c>
      <c r="Y3650" s="4" t="str">
        <f t="shared" si="4"/>
        <v/>
      </c>
    </row>
    <row r="3651" spans="19:25">
      <c r="S3651" t="str">
        <f t="shared" si="0"/>
        <v/>
      </c>
      <c r="T3651" t="str">
        <f t="shared" si="1"/>
        <v/>
      </c>
      <c r="U3651" t="str">
        <f t="shared" si="2"/>
        <v/>
      </c>
      <c r="V3651" t="str">
        <f>IF(OR(U3651="",U3651="ERRO_CHAVE"),"",IFERROR(MATCH(U3651,Fornecedores!$AF$1:$AF$6631,0),""))</f>
        <v/>
      </c>
      <c r="W3651" t="str">
        <f t="shared" si="3"/>
        <v/>
      </c>
      <c r="X3651" s="4" t="str">
        <f>IF(V3651="","",INDEX(Fornecedores!$X$1:$X$6631,V3651))</f>
        <v/>
      </c>
      <c r="Y3651" s="4" t="str">
        <f t="shared" si="4"/>
        <v/>
      </c>
    </row>
    <row r="3652" spans="19:25">
      <c r="S3652" t="str">
        <f t="shared" si="0"/>
        <v/>
      </c>
      <c r="T3652" t="str">
        <f t="shared" si="1"/>
        <v/>
      </c>
      <c r="U3652" t="str">
        <f t="shared" si="2"/>
        <v/>
      </c>
      <c r="V3652" t="str">
        <f>IF(OR(U3652="",U3652="ERRO_CHAVE"),"",IFERROR(MATCH(U3652,Fornecedores!$AF$1:$AF$6631,0),""))</f>
        <v/>
      </c>
      <c r="W3652" t="str">
        <f t="shared" si="3"/>
        <v/>
      </c>
      <c r="X3652" s="4" t="str">
        <f>IF(V3652="","",INDEX(Fornecedores!$X$1:$X$6631,V3652))</f>
        <v/>
      </c>
      <c r="Y3652" s="4" t="str">
        <f t="shared" si="4"/>
        <v/>
      </c>
    </row>
    <row r="3653" spans="19:25">
      <c r="S3653" t="str">
        <f t="shared" si="0"/>
        <v/>
      </c>
      <c r="T3653" t="str">
        <f t="shared" si="1"/>
        <v/>
      </c>
      <c r="U3653" t="str">
        <f t="shared" si="2"/>
        <v/>
      </c>
      <c r="V3653" t="str">
        <f>IF(OR(U3653="",U3653="ERRO_CHAVE"),"",IFERROR(MATCH(U3653,Fornecedores!$AF$1:$AF$6631,0),""))</f>
        <v/>
      </c>
      <c r="W3653" t="str">
        <f t="shared" si="3"/>
        <v/>
      </c>
      <c r="X3653" s="4" t="str">
        <f>IF(V3653="","",INDEX(Fornecedores!$X$1:$X$6631,V3653))</f>
        <v/>
      </c>
      <c r="Y3653" s="4" t="str">
        <f t="shared" si="4"/>
        <v/>
      </c>
    </row>
    <row r="3654" spans="19:25">
      <c r="S3654" t="str">
        <f t="shared" si="0"/>
        <v/>
      </c>
      <c r="T3654" t="str">
        <f t="shared" si="1"/>
        <v/>
      </c>
      <c r="U3654" t="str">
        <f t="shared" si="2"/>
        <v/>
      </c>
      <c r="V3654" t="str">
        <f>IF(OR(U3654="",U3654="ERRO_CHAVE"),"",IFERROR(MATCH(U3654,Fornecedores!$AF$1:$AF$6631,0),""))</f>
        <v/>
      </c>
      <c r="W3654" t="str">
        <f t="shared" si="3"/>
        <v/>
      </c>
      <c r="X3654" s="4" t="str">
        <f>IF(V3654="","",INDEX(Fornecedores!$X$1:$X$6631,V3654))</f>
        <v/>
      </c>
      <c r="Y3654" s="4" t="str">
        <f t="shared" si="4"/>
        <v/>
      </c>
    </row>
    <row r="3655" spans="19:25">
      <c r="S3655" t="str">
        <f t="shared" si="0"/>
        <v/>
      </c>
      <c r="T3655" t="str">
        <f t="shared" si="1"/>
        <v/>
      </c>
      <c r="U3655" t="str">
        <f t="shared" si="2"/>
        <v/>
      </c>
      <c r="V3655" t="str">
        <f>IF(OR(U3655="",U3655="ERRO_CHAVE"),"",IFERROR(MATCH(U3655,Fornecedores!$AF$1:$AF$6631,0),""))</f>
        <v/>
      </c>
      <c r="W3655" t="str">
        <f t="shared" si="3"/>
        <v/>
      </c>
      <c r="X3655" s="4" t="str">
        <f>IF(V3655="","",INDEX(Fornecedores!$X$1:$X$6631,V3655))</f>
        <v/>
      </c>
      <c r="Y3655" s="4" t="str">
        <f t="shared" si="4"/>
        <v/>
      </c>
    </row>
    <row r="3656" spans="19:25">
      <c r="S3656" t="str">
        <f t="shared" si="0"/>
        <v/>
      </c>
      <c r="T3656" t="str">
        <f t="shared" si="1"/>
        <v/>
      </c>
      <c r="U3656" t="str">
        <f t="shared" si="2"/>
        <v/>
      </c>
      <c r="V3656" t="str">
        <f>IF(OR(U3656="",U3656="ERRO_CHAVE"),"",IFERROR(MATCH(U3656,Fornecedores!$AF$1:$AF$6631,0),""))</f>
        <v/>
      </c>
      <c r="W3656" t="str">
        <f t="shared" si="3"/>
        <v/>
      </c>
      <c r="X3656" s="4" t="str">
        <f>IF(V3656="","",INDEX(Fornecedores!$X$1:$X$6631,V3656))</f>
        <v/>
      </c>
      <c r="Y3656" s="4" t="str">
        <f t="shared" si="4"/>
        <v/>
      </c>
    </row>
    <row r="3657" spans="19:25">
      <c r="S3657" t="str">
        <f t="shared" si="0"/>
        <v/>
      </c>
      <c r="T3657" t="str">
        <f t="shared" si="1"/>
        <v/>
      </c>
      <c r="U3657" t="str">
        <f t="shared" si="2"/>
        <v/>
      </c>
      <c r="V3657" t="str">
        <f>IF(OR(U3657="",U3657="ERRO_CHAVE"),"",IFERROR(MATCH(U3657,Fornecedores!$AF$1:$AF$6631,0),""))</f>
        <v/>
      </c>
      <c r="W3657" t="str">
        <f t="shared" si="3"/>
        <v/>
      </c>
      <c r="X3657" s="4" t="str">
        <f>IF(V3657="","",INDEX(Fornecedores!$X$1:$X$6631,V3657))</f>
        <v/>
      </c>
      <c r="Y3657" s="4" t="str">
        <f t="shared" si="4"/>
        <v/>
      </c>
    </row>
    <row r="3658" spans="19:25">
      <c r="S3658" t="str">
        <f t="shared" si="0"/>
        <v/>
      </c>
      <c r="T3658" t="str">
        <f t="shared" si="1"/>
        <v/>
      </c>
      <c r="U3658" t="str">
        <f t="shared" si="2"/>
        <v/>
      </c>
      <c r="V3658" t="str">
        <f>IF(OR(U3658="",U3658="ERRO_CHAVE"),"",IFERROR(MATCH(U3658,Fornecedores!$AF$1:$AF$6631,0),""))</f>
        <v/>
      </c>
      <c r="W3658" t="str">
        <f t="shared" si="3"/>
        <v/>
      </c>
      <c r="X3658" s="4" t="str">
        <f>IF(V3658="","",INDEX(Fornecedores!$X$1:$X$6631,V3658))</f>
        <v/>
      </c>
      <c r="Y3658" s="4" t="str">
        <f t="shared" si="4"/>
        <v/>
      </c>
    </row>
    <row r="3659" spans="19:25">
      <c r="S3659" t="str">
        <f t="shared" si="0"/>
        <v/>
      </c>
      <c r="T3659" t="str">
        <f t="shared" si="1"/>
        <v/>
      </c>
      <c r="U3659" t="str">
        <f t="shared" si="2"/>
        <v/>
      </c>
      <c r="V3659" t="str">
        <f>IF(OR(U3659="",U3659="ERRO_CHAVE"),"",IFERROR(MATCH(U3659,Fornecedores!$AF$1:$AF$6631,0),""))</f>
        <v/>
      </c>
      <c r="W3659" t="str">
        <f t="shared" si="3"/>
        <v/>
      </c>
      <c r="X3659" s="4" t="str">
        <f>IF(V3659="","",INDEX(Fornecedores!$X$1:$X$6631,V3659))</f>
        <v/>
      </c>
      <c r="Y3659" s="4" t="str">
        <f t="shared" si="4"/>
        <v/>
      </c>
    </row>
    <row r="3660" spans="19:25">
      <c r="S3660" t="str">
        <f t="shared" si="0"/>
        <v/>
      </c>
      <c r="T3660" t="str">
        <f t="shared" si="1"/>
        <v/>
      </c>
      <c r="U3660" t="str">
        <f t="shared" si="2"/>
        <v/>
      </c>
      <c r="V3660" t="str">
        <f>IF(OR(U3660="",U3660="ERRO_CHAVE"),"",IFERROR(MATCH(U3660,Fornecedores!$AF$1:$AF$6631,0),""))</f>
        <v/>
      </c>
      <c r="W3660" t="str">
        <f t="shared" si="3"/>
        <v/>
      </c>
      <c r="X3660" s="4" t="str">
        <f>IF(V3660="","",INDEX(Fornecedores!$X$1:$X$6631,V3660))</f>
        <v/>
      </c>
      <c r="Y3660" s="4" t="str">
        <f t="shared" si="4"/>
        <v/>
      </c>
    </row>
    <row r="3661" spans="19:25">
      <c r="S3661" t="str">
        <f t="shared" si="0"/>
        <v/>
      </c>
      <c r="T3661" t="str">
        <f t="shared" si="1"/>
        <v/>
      </c>
      <c r="U3661" t="str">
        <f t="shared" si="2"/>
        <v/>
      </c>
      <c r="V3661" t="str">
        <f>IF(OR(U3661="",U3661="ERRO_CHAVE"),"",IFERROR(MATCH(U3661,Fornecedores!$AF$1:$AF$6631,0),""))</f>
        <v/>
      </c>
      <c r="W3661" t="str">
        <f t="shared" si="3"/>
        <v/>
      </c>
      <c r="X3661" s="4" t="str">
        <f>IF(V3661="","",INDEX(Fornecedores!$X$1:$X$6631,V3661))</f>
        <v/>
      </c>
      <c r="Y3661" s="4" t="str">
        <f t="shared" si="4"/>
        <v/>
      </c>
    </row>
    <row r="3662" spans="19:25">
      <c r="S3662" t="str">
        <f t="shared" si="0"/>
        <v/>
      </c>
      <c r="T3662" t="str">
        <f t="shared" si="1"/>
        <v/>
      </c>
      <c r="U3662" t="str">
        <f t="shared" si="2"/>
        <v/>
      </c>
      <c r="V3662" t="str">
        <f>IF(OR(U3662="",U3662="ERRO_CHAVE"),"",IFERROR(MATCH(U3662,Fornecedores!$AF$1:$AF$6631,0),""))</f>
        <v/>
      </c>
      <c r="W3662" t="str">
        <f t="shared" si="3"/>
        <v/>
      </c>
      <c r="X3662" s="4" t="str">
        <f>IF(V3662="","",INDEX(Fornecedores!$X$1:$X$6631,V3662))</f>
        <v/>
      </c>
      <c r="Y3662" s="4" t="str">
        <f t="shared" si="4"/>
        <v/>
      </c>
    </row>
    <row r="3663" spans="19:25">
      <c r="S3663" t="str">
        <f t="shared" si="0"/>
        <v/>
      </c>
      <c r="T3663" t="str">
        <f t="shared" si="1"/>
        <v/>
      </c>
      <c r="U3663" t="str">
        <f t="shared" si="2"/>
        <v/>
      </c>
      <c r="V3663" t="str">
        <f>IF(OR(U3663="",U3663="ERRO_CHAVE"),"",IFERROR(MATCH(U3663,Fornecedores!$AF$1:$AF$6631,0),""))</f>
        <v/>
      </c>
      <c r="W3663" t="str">
        <f t="shared" si="3"/>
        <v/>
      </c>
      <c r="X3663" s="4" t="str">
        <f>IF(V3663="","",INDEX(Fornecedores!$X$1:$X$6631,V3663))</f>
        <v/>
      </c>
      <c r="Y3663" s="4" t="str">
        <f t="shared" si="4"/>
        <v/>
      </c>
    </row>
    <row r="3664" spans="19:25">
      <c r="S3664" t="str">
        <f t="shared" si="0"/>
        <v/>
      </c>
      <c r="T3664" t="str">
        <f t="shared" si="1"/>
        <v/>
      </c>
      <c r="U3664" t="str">
        <f t="shared" si="2"/>
        <v/>
      </c>
      <c r="V3664" t="str">
        <f>IF(OR(U3664="",U3664="ERRO_CHAVE"),"",IFERROR(MATCH(U3664,Fornecedores!$AF$1:$AF$6631,0),""))</f>
        <v/>
      </c>
      <c r="W3664" t="str">
        <f t="shared" si="3"/>
        <v/>
      </c>
      <c r="X3664" s="4" t="str">
        <f>IF(V3664="","",INDEX(Fornecedores!$X$1:$X$6631,V3664))</f>
        <v/>
      </c>
      <c r="Y3664" s="4" t="str">
        <f t="shared" si="4"/>
        <v/>
      </c>
    </row>
    <row r="3665" spans="19:25">
      <c r="S3665" t="str">
        <f t="shared" si="0"/>
        <v/>
      </c>
      <c r="T3665" t="str">
        <f t="shared" si="1"/>
        <v/>
      </c>
      <c r="U3665" t="str">
        <f t="shared" si="2"/>
        <v/>
      </c>
      <c r="V3665" t="str">
        <f>IF(OR(U3665="",U3665="ERRO_CHAVE"),"",IFERROR(MATCH(U3665,Fornecedores!$AF$1:$AF$6631,0),""))</f>
        <v/>
      </c>
      <c r="W3665" t="str">
        <f t="shared" si="3"/>
        <v/>
      </c>
      <c r="X3665" s="4" t="str">
        <f>IF(V3665="","",INDEX(Fornecedores!$X$1:$X$6631,V3665))</f>
        <v/>
      </c>
      <c r="Y3665" s="4" t="str">
        <f t="shared" si="4"/>
        <v/>
      </c>
    </row>
    <row r="3666" spans="19:25">
      <c r="S3666" t="str">
        <f t="shared" si="0"/>
        <v/>
      </c>
      <c r="T3666" t="str">
        <f t="shared" si="1"/>
        <v/>
      </c>
      <c r="U3666" t="str">
        <f t="shared" si="2"/>
        <v/>
      </c>
      <c r="V3666" t="str">
        <f>IF(OR(U3666="",U3666="ERRO_CHAVE"),"",IFERROR(MATCH(U3666,Fornecedores!$AF$1:$AF$6631,0),""))</f>
        <v/>
      </c>
      <c r="W3666" t="str">
        <f t="shared" si="3"/>
        <v/>
      </c>
      <c r="X3666" s="4" t="str">
        <f>IF(V3666="","",INDEX(Fornecedores!$X$1:$X$6631,V3666))</f>
        <v/>
      </c>
      <c r="Y3666" s="4" t="str">
        <f t="shared" si="4"/>
        <v/>
      </c>
    </row>
    <row r="3667" spans="19:25">
      <c r="S3667" t="str">
        <f t="shared" si="0"/>
        <v/>
      </c>
      <c r="T3667" t="str">
        <f t="shared" si="1"/>
        <v/>
      </c>
      <c r="U3667" t="str">
        <f t="shared" si="2"/>
        <v/>
      </c>
      <c r="V3667" t="str">
        <f>IF(OR(U3667="",U3667="ERRO_CHAVE"),"",IFERROR(MATCH(U3667,Fornecedores!$AF$1:$AF$6631,0),""))</f>
        <v/>
      </c>
      <c r="W3667" t="str">
        <f t="shared" si="3"/>
        <v/>
      </c>
      <c r="X3667" s="4" t="str">
        <f>IF(V3667="","",INDEX(Fornecedores!$X$1:$X$6631,V3667))</f>
        <v/>
      </c>
      <c r="Y3667" s="4" t="str">
        <f t="shared" si="4"/>
        <v/>
      </c>
    </row>
    <row r="3668" spans="19:25">
      <c r="S3668" t="str">
        <f t="shared" si="0"/>
        <v/>
      </c>
      <c r="T3668" t="str">
        <f t="shared" si="1"/>
        <v/>
      </c>
      <c r="U3668" t="str">
        <f t="shared" si="2"/>
        <v/>
      </c>
      <c r="V3668" t="str">
        <f>IF(OR(U3668="",U3668="ERRO_CHAVE"),"",IFERROR(MATCH(U3668,Fornecedores!$AF$1:$AF$6631,0),""))</f>
        <v/>
      </c>
      <c r="W3668" t="str">
        <f t="shared" si="3"/>
        <v/>
      </c>
      <c r="X3668" s="4" t="str">
        <f>IF(V3668="","",INDEX(Fornecedores!$X$1:$X$6631,V3668))</f>
        <v/>
      </c>
      <c r="Y3668" s="4" t="str">
        <f t="shared" si="4"/>
        <v/>
      </c>
    </row>
    <row r="3669" spans="19:25">
      <c r="S3669" t="str">
        <f t="shared" si="0"/>
        <v/>
      </c>
      <c r="T3669" t="str">
        <f t="shared" si="1"/>
        <v/>
      </c>
      <c r="U3669" t="str">
        <f t="shared" si="2"/>
        <v/>
      </c>
      <c r="V3669" t="str">
        <f>IF(OR(U3669="",U3669="ERRO_CHAVE"),"",IFERROR(MATCH(U3669,Fornecedores!$AF$1:$AF$6631,0),""))</f>
        <v/>
      </c>
      <c r="W3669" t="str">
        <f t="shared" si="3"/>
        <v/>
      </c>
      <c r="X3669" s="4" t="str">
        <f>IF(V3669="","",INDEX(Fornecedores!$X$1:$X$6631,V3669))</f>
        <v/>
      </c>
      <c r="Y3669" s="4" t="str">
        <f t="shared" si="4"/>
        <v/>
      </c>
    </row>
    <row r="3670" spans="19:25">
      <c r="S3670" t="str">
        <f t="shared" si="0"/>
        <v/>
      </c>
      <c r="T3670" t="str">
        <f t="shared" si="1"/>
        <v/>
      </c>
      <c r="U3670" t="str">
        <f t="shared" si="2"/>
        <v/>
      </c>
      <c r="V3670" t="str">
        <f>IF(OR(U3670="",U3670="ERRO_CHAVE"),"",IFERROR(MATCH(U3670,Fornecedores!$AF$1:$AF$6631,0),""))</f>
        <v/>
      </c>
      <c r="W3670" t="str">
        <f t="shared" si="3"/>
        <v/>
      </c>
      <c r="X3670" s="4" t="str">
        <f>IF(V3670="","",INDEX(Fornecedores!$X$1:$X$6631,V3670))</f>
        <v/>
      </c>
      <c r="Y3670" s="4" t="str">
        <f t="shared" si="4"/>
        <v/>
      </c>
    </row>
    <row r="3671" spans="19:25">
      <c r="S3671" t="str">
        <f t="shared" si="0"/>
        <v/>
      </c>
      <c r="T3671" t="str">
        <f t="shared" si="1"/>
        <v/>
      </c>
      <c r="U3671" t="str">
        <f t="shared" si="2"/>
        <v/>
      </c>
      <c r="V3671" t="str">
        <f>IF(OR(U3671="",U3671="ERRO_CHAVE"),"",IFERROR(MATCH(U3671,Fornecedores!$AF$1:$AF$6631,0),""))</f>
        <v/>
      </c>
      <c r="W3671" t="str">
        <f t="shared" si="3"/>
        <v/>
      </c>
      <c r="X3671" s="4" t="str">
        <f>IF(V3671="","",INDEX(Fornecedores!$X$1:$X$6631,V3671))</f>
        <v/>
      </c>
      <c r="Y3671" s="4" t="str">
        <f t="shared" si="4"/>
        <v/>
      </c>
    </row>
    <row r="3672" spans="19:25">
      <c r="S3672" t="str">
        <f t="shared" si="0"/>
        <v/>
      </c>
      <c r="T3672" t="str">
        <f t="shared" si="1"/>
        <v/>
      </c>
      <c r="U3672" t="str">
        <f t="shared" si="2"/>
        <v/>
      </c>
      <c r="V3672" t="str">
        <f>IF(OR(U3672="",U3672="ERRO_CHAVE"),"",IFERROR(MATCH(U3672,Fornecedores!$AF$1:$AF$6631,0),""))</f>
        <v/>
      </c>
      <c r="W3672" t="str">
        <f t="shared" si="3"/>
        <v/>
      </c>
      <c r="X3672" s="4" t="str">
        <f>IF(V3672="","",INDEX(Fornecedores!$X$1:$X$6631,V3672))</f>
        <v/>
      </c>
      <c r="Y3672" s="4" t="str">
        <f t="shared" si="4"/>
        <v/>
      </c>
    </row>
    <row r="3673" spans="19:25">
      <c r="S3673" t="str">
        <f t="shared" si="0"/>
        <v/>
      </c>
      <c r="T3673" t="str">
        <f t="shared" si="1"/>
        <v/>
      </c>
      <c r="U3673" t="str">
        <f t="shared" si="2"/>
        <v/>
      </c>
      <c r="V3673" t="str">
        <f>IF(OR(U3673="",U3673="ERRO_CHAVE"),"",IFERROR(MATCH(U3673,Fornecedores!$AF$1:$AF$6631,0),""))</f>
        <v/>
      </c>
      <c r="W3673" t="str">
        <f t="shared" si="3"/>
        <v/>
      </c>
      <c r="X3673" s="4" t="str">
        <f>IF(V3673="","",INDEX(Fornecedores!$X$1:$X$6631,V3673))</f>
        <v/>
      </c>
      <c r="Y3673" s="4" t="str">
        <f t="shared" si="4"/>
        <v/>
      </c>
    </row>
    <row r="3674" spans="19:25">
      <c r="S3674" t="str">
        <f t="shared" si="0"/>
        <v/>
      </c>
      <c r="T3674" t="str">
        <f t="shared" si="1"/>
        <v/>
      </c>
      <c r="U3674" t="str">
        <f t="shared" si="2"/>
        <v/>
      </c>
      <c r="V3674" t="str">
        <f>IF(OR(U3674="",U3674="ERRO_CHAVE"),"",IFERROR(MATCH(U3674,Fornecedores!$AF$1:$AF$6631,0),""))</f>
        <v/>
      </c>
      <c r="W3674" t="str">
        <f t="shared" si="3"/>
        <v/>
      </c>
      <c r="X3674" s="4" t="str">
        <f>IF(V3674="","",INDEX(Fornecedores!$X$1:$X$6631,V3674))</f>
        <v/>
      </c>
      <c r="Y3674" s="4" t="str">
        <f t="shared" si="4"/>
        <v/>
      </c>
    </row>
    <row r="3675" spans="19:25">
      <c r="S3675" t="str">
        <f t="shared" si="0"/>
        <v/>
      </c>
      <c r="T3675" t="str">
        <f t="shared" si="1"/>
        <v/>
      </c>
      <c r="U3675" t="str">
        <f t="shared" si="2"/>
        <v/>
      </c>
      <c r="V3675" t="str">
        <f>IF(OR(U3675="",U3675="ERRO_CHAVE"),"",IFERROR(MATCH(U3675,Fornecedores!$AF$1:$AF$6631,0),""))</f>
        <v/>
      </c>
      <c r="W3675" t="str">
        <f t="shared" si="3"/>
        <v/>
      </c>
      <c r="X3675" s="4" t="str">
        <f>IF(V3675="","",INDEX(Fornecedores!$X$1:$X$6631,V3675))</f>
        <v/>
      </c>
      <c r="Y3675" s="4" t="str">
        <f t="shared" si="4"/>
        <v/>
      </c>
    </row>
    <row r="3676" spans="19:25">
      <c r="S3676" t="str">
        <f t="shared" si="0"/>
        <v/>
      </c>
      <c r="T3676" t="str">
        <f t="shared" si="1"/>
        <v/>
      </c>
      <c r="U3676" t="str">
        <f t="shared" si="2"/>
        <v/>
      </c>
      <c r="V3676" t="str">
        <f>IF(OR(U3676="",U3676="ERRO_CHAVE"),"",IFERROR(MATCH(U3676,Fornecedores!$AF$1:$AF$6631,0),""))</f>
        <v/>
      </c>
      <c r="W3676" t="str">
        <f t="shared" si="3"/>
        <v/>
      </c>
      <c r="X3676" s="4" t="str">
        <f>IF(V3676="","",INDEX(Fornecedores!$X$1:$X$6631,V3676))</f>
        <v/>
      </c>
      <c r="Y3676" s="4" t="str">
        <f t="shared" si="4"/>
        <v/>
      </c>
    </row>
    <row r="3677" spans="19:25">
      <c r="S3677" t="str">
        <f t="shared" si="0"/>
        <v/>
      </c>
      <c r="T3677" t="str">
        <f t="shared" si="1"/>
        <v/>
      </c>
      <c r="U3677" t="str">
        <f t="shared" si="2"/>
        <v/>
      </c>
      <c r="V3677" t="str">
        <f>IF(OR(U3677="",U3677="ERRO_CHAVE"),"",IFERROR(MATCH(U3677,Fornecedores!$AF$1:$AF$6631,0),""))</f>
        <v/>
      </c>
      <c r="W3677" t="str">
        <f t="shared" si="3"/>
        <v/>
      </c>
      <c r="X3677" s="4" t="str">
        <f>IF(V3677="","",INDEX(Fornecedores!$X$1:$X$6631,V3677))</f>
        <v/>
      </c>
      <c r="Y3677" s="4" t="str">
        <f t="shared" si="4"/>
        <v/>
      </c>
    </row>
    <row r="3678" spans="19:25">
      <c r="S3678" t="str">
        <f t="shared" si="0"/>
        <v/>
      </c>
      <c r="T3678" t="str">
        <f t="shared" si="1"/>
        <v/>
      </c>
      <c r="U3678" t="str">
        <f t="shared" si="2"/>
        <v/>
      </c>
      <c r="V3678" t="str">
        <f>IF(OR(U3678="",U3678="ERRO_CHAVE"),"",IFERROR(MATCH(U3678,Fornecedores!$AF$1:$AF$6631,0),""))</f>
        <v/>
      </c>
      <c r="W3678" t="str">
        <f t="shared" si="3"/>
        <v/>
      </c>
      <c r="X3678" s="4" t="str">
        <f>IF(V3678="","",INDEX(Fornecedores!$X$1:$X$6631,V3678))</f>
        <v/>
      </c>
      <c r="Y3678" s="4" t="str">
        <f t="shared" si="4"/>
        <v/>
      </c>
    </row>
    <row r="3679" spans="19:25">
      <c r="S3679" t="str">
        <f t="shared" si="0"/>
        <v/>
      </c>
      <c r="T3679" t="str">
        <f t="shared" si="1"/>
        <v/>
      </c>
      <c r="U3679" t="str">
        <f t="shared" si="2"/>
        <v/>
      </c>
      <c r="V3679" t="str">
        <f>IF(OR(U3679="",U3679="ERRO_CHAVE"),"",IFERROR(MATCH(U3679,Fornecedores!$AF$1:$AF$6631,0),""))</f>
        <v/>
      </c>
      <c r="W3679" t="str">
        <f t="shared" si="3"/>
        <v/>
      </c>
      <c r="X3679" s="4" t="str">
        <f>IF(V3679="","",INDEX(Fornecedores!$X$1:$X$6631,V3679))</f>
        <v/>
      </c>
      <c r="Y3679" s="4" t="str">
        <f t="shared" si="4"/>
        <v/>
      </c>
    </row>
    <row r="3680" spans="19:25">
      <c r="S3680" t="str">
        <f t="shared" si="0"/>
        <v/>
      </c>
      <c r="T3680" t="str">
        <f t="shared" si="1"/>
        <v/>
      </c>
      <c r="U3680" t="str">
        <f t="shared" si="2"/>
        <v/>
      </c>
      <c r="V3680" t="str">
        <f>IF(OR(U3680="",U3680="ERRO_CHAVE"),"",IFERROR(MATCH(U3680,Fornecedores!$AF$1:$AF$6631,0),""))</f>
        <v/>
      </c>
      <c r="W3680" t="str">
        <f t="shared" si="3"/>
        <v/>
      </c>
      <c r="X3680" s="4" t="str">
        <f>IF(V3680="","",INDEX(Fornecedores!$X$1:$X$6631,V3680))</f>
        <v/>
      </c>
      <c r="Y3680" s="4" t="str">
        <f t="shared" si="4"/>
        <v/>
      </c>
    </row>
    <row r="3681" spans="19:25">
      <c r="S3681" t="str">
        <f t="shared" si="0"/>
        <v/>
      </c>
      <c r="T3681" t="str">
        <f t="shared" si="1"/>
        <v/>
      </c>
      <c r="U3681" t="str">
        <f t="shared" si="2"/>
        <v/>
      </c>
      <c r="V3681" t="str">
        <f>IF(OR(U3681="",U3681="ERRO_CHAVE"),"",IFERROR(MATCH(U3681,Fornecedores!$AF$1:$AF$6631,0),""))</f>
        <v/>
      </c>
      <c r="W3681" t="str">
        <f t="shared" si="3"/>
        <v/>
      </c>
      <c r="X3681" s="4" t="str">
        <f>IF(V3681="","",INDEX(Fornecedores!$X$1:$X$6631,V3681))</f>
        <v/>
      </c>
      <c r="Y3681" s="4" t="str">
        <f t="shared" si="4"/>
        <v/>
      </c>
    </row>
    <row r="3682" spans="19:25">
      <c r="S3682" t="str">
        <f t="shared" si="0"/>
        <v/>
      </c>
      <c r="T3682" t="str">
        <f t="shared" si="1"/>
        <v/>
      </c>
      <c r="U3682" t="str">
        <f t="shared" si="2"/>
        <v/>
      </c>
      <c r="V3682" t="str">
        <f>IF(OR(U3682="",U3682="ERRO_CHAVE"),"",IFERROR(MATCH(U3682,Fornecedores!$AF$1:$AF$6631,0),""))</f>
        <v/>
      </c>
      <c r="W3682" t="str">
        <f t="shared" si="3"/>
        <v/>
      </c>
      <c r="X3682" s="4" t="str">
        <f>IF(V3682="","",INDEX(Fornecedores!$X$1:$X$6631,V3682))</f>
        <v/>
      </c>
      <c r="Y3682" s="4" t="str">
        <f t="shared" si="4"/>
        <v/>
      </c>
    </row>
    <row r="3683" spans="19:25">
      <c r="S3683" t="str">
        <f t="shared" si="0"/>
        <v/>
      </c>
      <c r="T3683" t="str">
        <f t="shared" si="1"/>
        <v/>
      </c>
      <c r="U3683" t="str">
        <f t="shared" si="2"/>
        <v/>
      </c>
      <c r="V3683" t="str">
        <f>IF(OR(U3683="",U3683="ERRO_CHAVE"),"",IFERROR(MATCH(U3683,Fornecedores!$AF$1:$AF$6631,0),""))</f>
        <v/>
      </c>
      <c r="W3683" t="str">
        <f t="shared" si="3"/>
        <v/>
      </c>
      <c r="X3683" s="4" t="str">
        <f>IF(V3683="","",INDEX(Fornecedores!$X$1:$X$6631,V3683))</f>
        <v/>
      </c>
      <c r="Y3683" s="4" t="str">
        <f t="shared" si="4"/>
        <v/>
      </c>
    </row>
    <row r="3684" spans="19:25">
      <c r="S3684" t="str">
        <f t="shared" si="0"/>
        <v/>
      </c>
      <c r="T3684" t="str">
        <f t="shared" si="1"/>
        <v/>
      </c>
      <c r="U3684" t="str">
        <f t="shared" si="2"/>
        <v/>
      </c>
      <c r="V3684" t="str">
        <f>IF(OR(U3684="",U3684="ERRO_CHAVE"),"",IFERROR(MATCH(U3684,Fornecedores!$AF$1:$AF$6631,0),""))</f>
        <v/>
      </c>
      <c r="W3684" t="str">
        <f t="shared" si="3"/>
        <v/>
      </c>
      <c r="X3684" s="4" t="str">
        <f>IF(V3684="","",INDEX(Fornecedores!$X$1:$X$6631,V3684))</f>
        <v/>
      </c>
      <c r="Y3684" s="4" t="str">
        <f t="shared" si="4"/>
        <v/>
      </c>
    </row>
    <row r="3685" spans="19:25">
      <c r="S3685" t="str">
        <f t="shared" si="0"/>
        <v/>
      </c>
      <c r="T3685" t="str">
        <f t="shared" si="1"/>
        <v/>
      </c>
      <c r="U3685" t="str">
        <f t="shared" si="2"/>
        <v/>
      </c>
      <c r="V3685" t="str">
        <f>IF(OR(U3685="",U3685="ERRO_CHAVE"),"",IFERROR(MATCH(U3685,Fornecedores!$AF$1:$AF$6631,0),""))</f>
        <v/>
      </c>
      <c r="W3685" t="str">
        <f t="shared" si="3"/>
        <v/>
      </c>
      <c r="X3685" s="4" t="str">
        <f>IF(V3685="","",INDEX(Fornecedores!$X$1:$X$6631,V3685))</f>
        <v/>
      </c>
      <c r="Y3685" s="4" t="str">
        <f t="shared" si="4"/>
        <v/>
      </c>
    </row>
    <row r="3686" spans="19:25">
      <c r="S3686" t="str">
        <f t="shared" si="0"/>
        <v/>
      </c>
      <c r="T3686" t="str">
        <f t="shared" si="1"/>
        <v/>
      </c>
      <c r="U3686" t="str">
        <f t="shared" si="2"/>
        <v/>
      </c>
      <c r="V3686" t="str">
        <f>IF(OR(U3686="",U3686="ERRO_CHAVE"),"",IFERROR(MATCH(U3686,Fornecedores!$AF$1:$AF$6631,0),""))</f>
        <v/>
      </c>
      <c r="W3686" t="str">
        <f t="shared" si="3"/>
        <v/>
      </c>
      <c r="X3686" s="4" t="str">
        <f>IF(V3686="","",INDEX(Fornecedores!$X$1:$X$6631,V3686))</f>
        <v/>
      </c>
      <c r="Y3686" s="4" t="str">
        <f t="shared" si="4"/>
        <v/>
      </c>
    </row>
    <row r="3687" spans="19:25">
      <c r="S3687" t="str">
        <f t="shared" si="0"/>
        <v/>
      </c>
      <c r="T3687" t="str">
        <f t="shared" si="1"/>
        <v/>
      </c>
      <c r="U3687" t="str">
        <f t="shared" si="2"/>
        <v/>
      </c>
      <c r="V3687" t="str">
        <f>IF(OR(U3687="",U3687="ERRO_CHAVE"),"",IFERROR(MATCH(U3687,Fornecedores!$AF$1:$AF$6631,0),""))</f>
        <v/>
      </c>
      <c r="W3687" t="str">
        <f t="shared" si="3"/>
        <v/>
      </c>
      <c r="X3687" s="4" t="str">
        <f>IF(V3687="","",INDEX(Fornecedores!$X$1:$X$6631,V3687))</f>
        <v/>
      </c>
      <c r="Y3687" s="4" t="str">
        <f t="shared" si="4"/>
        <v/>
      </c>
    </row>
    <row r="3688" spans="19:25">
      <c r="S3688" t="str">
        <f t="shared" si="0"/>
        <v/>
      </c>
      <c r="T3688" t="str">
        <f t="shared" si="1"/>
        <v/>
      </c>
      <c r="U3688" t="str">
        <f t="shared" si="2"/>
        <v/>
      </c>
      <c r="V3688" t="str">
        <f>IF(OR(U3688="",U3688="ERRO_CHAVE"),"",IFERROR(MATCH(U3688,Fornecedores!$AF$1:$AF$6631,0),""))</f>
        <v/>
      </c>
      <c r="W3688" t="str">
        <f t="shared" si="3"/>
        <v/>
      </c>
      <c r="X3688" s="4" t="str">
        <f>IF(V3688="","",INDEX(Fornecedores!$X$1:$X$6631,V3688))</f>
        <v/>
      </c>
      <c r="Y3688" s="4" t="str">
        <f t="shared" si="4"/>
        <v/>
      </c>
    </row>
    <row r="3689" spans="19:25">
      <c r="S3689" t="str">
        <f t="shared" si="0"/>
        <v/>
      </c>
      <c r="T3689" t="str">
        <f t="shared" si="1"/>
        <v/>
      </c>
      <c r="U3689" t="str">
        <f t="shared" si="2"/>
        <v/>
      </c>
      <c r="V3689" t="str">
        <f>IF(OR(U3689="",U3689="ERRO_CHAVE"),"",IFERROR(MATCH(U3689,Fornecedores!$AF$1:$AF$6631,0),""))</f>
        <v/>
      </c>
      <c r="W3689" t="str">
        <f t="shared" si="3"/>
        <v/>
      </c>
      <c r="X3689" s="4" t="str">
        <f>IF(V3689="","",INDEX(Fornecedores!$X$1:$X$6631,V3689))</f>
        <v/>
      </c>
      <c r="Y3689" s="4" t="str">
        <f t="shared" si="4"/>
        <v/>
      </c>
    </row>
    <row r="3690" spans="19:25">
      <c r="S3690" t="str">
        <f t="shared" si="0"/>
        <v/>
      </c>
      <c r="T3690" t="str">
        <f t="shared" si="1"/>
        <v/>
      </c>
      <c r="U3690" t="str">
        <f t="shared" si="2"/>
        <v/>
      </c>
      <c r="V3690" t="str">
        <f>IF(OR(U3690="",U3690="ERRO_CHAVE"),"",IFERROR(MATCH(U3690,Fornecedores!$AF$1:$AF$6631,0),""))</f>
        <v/>
      </c>
      <c r="W3690" t="str">
        <f t="shared" si="3"/>
        <v/>
      </c>
      <c r="X3690" s="4" t="str">
        <f>IF(V3690="","",INDEX(Fornecedores!$X$1:$X$6631,V3690))</f>
        <v/>
      </c>
      <c r="Y3690" s="4" t="str">
        <f t="shared" si="4"/>
        <v/>
      </c>
    </row>
    <row r="3691" spans="19:25">
      <c r="S3691" t="str">
        <f t="shared" si="0"/>
        <v/>
      </c>
      <c r="T3691" t="str">
        <f t="shared" si="1"/>
        <v/>
      </c>
      <c r="U3691" t="str">
        <f t="shared" si="2"/>
        <v/>
      </c>
      <c r="V3691" t="str">
        <f>IF(OR(U3691="",U3691="ERRO_CHAVE"),"",IFERROR(MATCH(U3691,Fornecedores!$AF$1:$AF$6631,0),""))</f>
        <v/>
      </c>
      <c r="W3691" t="str">
        <f t="shared" si="3"/>
        <v/>
      </c>
      <c r="X3691" s="4" t="str">
        <f>IF(V3691="","",INDEX(Fornecedores!$X$1:$X$6631,V3691))</f>
        <v/>
      </c>
      <c r="Y3691" s="4" t="str">
        <f t="shared" si="4"/>
        <v/>
      </c>
    </row>
    <row r="3692" spans="19:25">
      <c r="S3692" t="str">
        <f t="shared" si="0"/>
        <v/>
      </c>
      <c r="T3692" t="str">
        <f t="shared" si="1"/>
        <v/>
      </c>
      <c r="U3692" t="str">
        <f t="shared" si="2"/>
        <v/>
      </c>
      <c r="V3692" t="str">
        <f>IF(OR(U3692="",U3692="ERRO_CHAVE"),"",IFERROR(MATCH(U3692,Fornecedores!$AF$1:$AF$6631,0),""))</f>
        <v/>
      </c>
      <c r="W3692" t="str">
        <f t="shared" si="3"/>
        <v/>
      </c>
      <c r="X3692" s="4" t="str">
        <f>IF(V3692="","",INDEX(Fornecedores!$X$1:$X$6631,V3692))</f>
        <v/>
      </c>
      <c r="Y3692" s="4" t="str">
        <f t="shared" si="4"/>
        <v/>
      </c>
    </row>
    <row r="3693" spans="19:25">
      <c r="S3693" t="str">
        <f t="shared" si="0"/>
        <v/>
      </c>
      <c r="T3693" t="str">
        <f t="shared" si="1"/>
        <v/>
      </c>
      <c r="U3693" t="str">
        <f t="shared" si="2"/>
        <v/>
      </c>
      <c r="V3693" t="str">
        <f>IF(OR(U3693="",U3693="ERRO_CHAVE"),"",IFERROR(MATCH(U3693,Fornecedores!$AF$1:$AF$6631,0),""))</f>
        <v/>
      </c>
      <c r="W3693" t="str">
        <f t="shared" si="3"/>
        <v/>
      </c>
      <c r="X3693" s="4" t="str">
        <f>IF(V3693="","",INDEX(Fornecedores!$X$1:$X$6631,V3693))</f>
        <v/>
      </c>
      <c r="Y3693" s="4" t="str">
        <f t="shared" si="4"/>
        <v/>
      </c>
    </row>
    <row r="3694" spans="19:25">
      <c r="S3694" t="str">
        <f t="shared" si="0"/>
        <v/>
      </c>
      <c r="T3694" t="str">
        <f t="shared" si="1"/>
        <v/>
      </c>
      <c r="U3694" t="str">
        <f t="shared" si="2"/>
        <v/>
      </c>
      <c r="V3694" t="str">
        <f>IF(OR(U3694="",U3694="ERRO_CHAVE"),"",IFERROR(MATCH(U3694,Fornecedores!$AF$1:$AF$6631,0),""))</f>
        <v/>
      </c>
      <c r="W3694" t="str">
        <f t="shared" si="3"/>
        <v/>
      </c>
      <c r="X3694" s="4" t="str">
        <f>IF(V3694="","",INDEX(Fornecedores!$X$1:$X$6631,V3694))</f>
        <v/>
      </c>
      <c r="Y3694" s="4" t="str">
        <f t="shared" si="4"/>
        <v/>
      </c>
    </row>
    <row r="3695" spans="19:25">
      <c r="S3695" t="str">
        <f t="shared" si="0"/>
        <v/>
      </c>
      <c r="T3695" t="str">
        <f t="shared" si="1"/>
        <v/>
      </c>
      <c r="U3695" t="str">
        <f t="shared" si="2"/>
        <v/>
      </c>
      <c r="V3695" t="str">
        <f>IF(OR(U3695="",U3695="ERRO_CHAVE"),"",IFERROR(MATCH(U3695,Fornecedores!$AF$1:$AF$6631,0),""))</f>
        <v/>
      </c>
      <c r="W3695" t="str">
        <f t="shared" si="3"/>
        <v/>
      </c>
      <c r="X3695" s="4" t="str">
        <f>IF(V3695="","",INDEX(Fornecedores!$X$1:$X$6631,V3695))</f>
        <v/>
      </c>
      <c r="Y3695" s="4" t="str">
        <f t="shared" si="4"/>
        <v/>
      </c>
    </row>
    <row r="3696" spans="19:25">
      <c r="S3696" t="str">
        <f t="shared" si="0"/>
        <v/>
      </c>
      <c r="T3696" t="str">
        <f t="shared" si="1"/>
        <v/>
      </c>
      <c r="U3696" t="str">
        <f t="shared" si="2"/>
        <v/>
      </c>
      <c r="V3696" t="str">
        <f>IF(OR(U3696="",U3696="ERRO_CHAVE"),"",IFERROR(MATCH(U3696,Fornecedores!$AF$1:$AF$6631,0),""))</f>
        <v/>
      </c>
      <c r="W3696" t="str">
        <f t="shared" si="3"/>
        <v/>
      </c>
      <c r="X3696" s="4" t="str">
        <f>IF(V3696="","",INDEX(Fornecedores!$X$1:$X$6631,V3696))</f>
        <v/>
      </c>
      <c r="Y3696" s="4" t="str">
        <f t="shared" si="4"/>
        <v/>
      </c>
    </row>
    <row r="3697" spans="19:25">
      <c r="S3697" t="str">
        <f t="shared" si="0"/>
        <v/>
      </c>
      <c r="T3697" t="str">
        <f t="shared" si="1"/>
        <v/>
      </c>
      <c r="U3697" t="str">
        <f t="shared" si="2"/>
        <v/>
      </c>
      <c r="V3697" t="str">
        <f>IF(OR(U3697="",U3697="ERRO_CHAVE"),"",IFERROR(MATCH(U3697,Fornecedores!$AF$1:$AF$6631,0),""))</f>
        <v/>
      </c>
      <c r="W3697" t="str">
        <f t="shared" si="3"/>
        <v/>
      </c>
      <c r="X3697" s="4" t="str">
        <f>IF(V3697="","",INDEX(Fornecedores!$X$1:$X$6631,V3697))</f>
        <v/>
      </c>
      <c r="Y3697" s="4" t="str">
        <f t="shared" si="4"/>
        <v/>
      </c>
    </row>
    <row r="3698" spans="19:25">
      <c r="S3698" t="str">
        <f t="shared" si="0"/>
        <v/>
      </c>
      <c r="T3698" t="str">
        <f t="shared" si="1"/>
        <v/>
      </c>
      <c r="U3698" t="str">
        <f t="shared" si="2"/>
        <v/>
      </c>
      <c r="V3698" t="str">
        <f>IF(OR(U3698="",U3698="ERRO_CHAVE"),"",IFERROR(MATCH(U3698,Fornecedores!$AF$1:$AF$6631,0),""))</f>
        <v/>
      </c>
      <c r="W3698" t="str">
        <f t="shared" si="3"/>
        <v/>
      </c>
      <c r="X3698" s="4" t="str">
        <f>IF(V3698="","",INDEX(Fornecedores!$X$1:$X$6631,V3698))</f>
        <v/>
      </c>
      <c r="Y3698" s="4" t="str">
        <f t="shared" si="4"/>
        <v/>
      </c>
    </row>
    <row r="3699" spans="19:25">
      <c r="S3699" t="str">
        <f t="shared" si="0"/>
        <v/>
      </c>
      <c r="T3699" t="str">
        <f t="shared" si="1"/>
        <v/>
      </c>
      <c r="U3699" t="str">
        <f t="shared" si="2"/>
        <v/>
      </c>
      <c r="V3699" t="str">
        <f>IF(OR(U3699="",U3699="ERRO_CHAVE"),"",IFERROR(MATCH(U3699,Fornecedores!$AF$1:$AF$6631,0),""))</f>
        <v/>
      </c>
      <c r="W3699" t="str">
        <f t="shared" si="3"/>
        <v/>
      </c>
      <c r="X3699" s="4" t="str">
        <f>IF(V3699="","",INDEX(Fornecedores!$X$1:$X$6631,V3699))</f>
        <v/>
      </c>
      <c r="Y3699" s="4" t="str">
        <f t="shared" si="4"/>
        <v/>
      </c>
    </row>
    <row r="3700" spans="19:25">
      <c r="S3700" t="str">
        <f t="shared" si="0"/>
        <v/>
      </c>
      <c r="T3700" t="str">
        <f t="shared" si="1"/>
        <v/>
      </c>
      <c r="U3700" t="str">
        <f t="shared" si="2"/>
        <v/>
      </c>
      <c r="V3700" t="str">
        <f>IF(OR(U3700="",U3700="ERRO_CHAVE"),"",IFERROR(MATCH(U3700,Fornecedores!$AF$1:$AF$6631,0),""))</f>
        <v/>
      </c>
      <c r="W3700" t="str">
        <f t="shared" si="3"/>
        <v/>
      </c>
      <c r="X3700" s="4" t="str">
        <f>IF(V3700="","",INDEX(Fornecedores!$X$1:$X$6631,V3700))</f>
        <v/>
      </c>
      <c r="Y3700" s="4" t="str">
        <f t="shared" si="4"/>
        <v/>
      </c>
    </row>
    <row r="3701" spans="19:25">
      <c r="S3701" t="str">
        <f t="shared" si="0"/>
        <v/>
      </c>
      <c r="T3701" t="str">
        <f t="shared" si="1"/>
        <v/>
      </c>
      <c r="U3701" t="str">
        <f t="shared" si="2"/>
        <v/>
      </c>
      <c r="V3701" t="str">
        <f>IF(OR(U3701="",U3701="ERRO_CHAVE"),"",IFERROR(MATCH(U3701,Fornecedores!$AF$1:$AF$6631,0),""))</f>
        <v/>
      </c>
      <c r="W3701" t="str">
        <f t="shared" si="3"/>
        <v/>
      </c>
      <c r="X3701" s="4" t="str">
        <f>IF(V3701="","",INDEX(Fornecedores!$X$1:$X$6631,V3701))</f>
        <v/>
      </c>
      <c r="Y3701" s="4" t="str">
        <f t="shared" si="4"/>
        <v/>
      </c>
    </row>
    <row r="3702" spans="19:25">
      <c r="S3702" t="str">
        <f t="shared" si="0"/>
        <v/>
      </c>
      <c r="T3702" t="str">
        <f t="shared" si="1"/>
        <v/>
      </c>
      <c r="U3702" t="str">
        <f t="shared" si="2"/>
        <v/>
      </c>
      <c r="V3702" t="str">
        <f>IF(OR(U3702="",U3702="ERRO_CHAVE"),"",IFERROR(MATCH(U3702,Fornecedores!$AF$1:$AF$6631,0),""))</f>
        <v/>
      </c>
      <c r="W3702" t="str">
        <f t="shared" si="3"/>
        <v/>
      </c>
      <c r="X3702" s="4" t="str">
        <f>IF(V3702="","",INDEX(Fornecedores!$X$1:$X$6631,V3702))</f>
        <v/>
      </c>
      <c r="Y3702" s="4" t="str">
        <f t="shared" si="4"/>
        <v/>
      </c>
    </row>
    <row r="3703" spans="19:25">
      <c r="S3703" t="str">
        <f t="shared" si="0"/>
        <v/>
      </c>
      <c r="T3703" t="str">
        <f t="shared" si="1"/>
        <v/>
      </c>
      <c r="U3703" t="str">
        <f t="shared" si="2"/>
        <v/>
      </c>
      <c r="V3703" t="str">
        <f>IF(OR(U3703="",U3703="ERRO_CHAVE"),"",IFERROR(MATCH(U3703,Fornecedores!$AF$1:$AF$6631,0),""))</f>
        <v/>
      </c>
      <c r="W3703" t="str">
        <f t="shared" si="3"/>
        <v/>
      </c>
      <c r="X3703" s="4" t="str">
        <f>IF(V3703="","",INDEX(Fornecedores!$X$1:$X$6631,V3703))</f>
        <v/>
      </c>
      <c r="Y3703" s="4" t="str">
        <f t="shared" si="4"/>
        <v/>
      </c>
    </row>
    <row r="3704" spans="19:25">
      <c r="S3704" t="str">
        <f t="shared" si="0"/>
        <v/>
      </c>
      <c r="T3704" t="str">
        <f t="shared" si="1"/>
        <v/>
      </c>
      <c r="U3704" t="str">
        <f t="shared" si="2"/>
        <v/>
      </c>
      <c r="V3704" t="str">
        <f>IF(OR(U3704="",U3704="ERRO_CHAVE"),"",IFERROR(MATCH(U3704,Fornecedores!$AF$1:$AF$6631,0),""))</f>
        <v/>
      </c>
      <c r="W3704" t="str">
        <f t="shared" si="3"/>
        <v/>
      </c>
      <c r="X3704" s="4" t="str">
        <f>IF(V3704="","",INDEX(Fornecedores!$X$1:$X$6631,V3704))</f>
        <v/>
      </c>
      <c r="Y3704" s="4" t="str">
        <f t="shared" si="4"/>
        <v/>
      </c>
    </row>
    <row r="3705" spans="19:25">
      <c r="S3705" t="str">
        <f t="shared" si="0"/>
        <v/>
      </c>
      <c r="T3705" t="str">
        <f t="shared" si="1"/>
        <v/>
      </c>
      <c r="U3705" t="str">
        <f t="shared" si="2"/>
        <v/>
      </c>
      <c r="V3705" t="str">
        <f>IF(OR(U3705="",U3705="ERRO_CHAVE"),"",IFERROR(MATCH(U3705,Fornecedores!$AF$1:$AF$6631,0),""))</f>
        <v/>
      </c>
      <c r="W3705" t="str">
        <f t="shared" si="3"/>
        <v/>
      </c>
      <c r="X3705" s="4" t="str">
        <f>IF(V3705="","",INDEX(Fornecedores!$X$1:$X$6631,V3705))</f>
        <v/>
      </c>
      <c r="Y3705" s="4" t="str">
        <f t="shared" si="4"/>
        <v/>
      </c>
    </row>
    <row r="3706" spans="19:25">
      <c r="S3706" t="str">
        <f t="shared" si="0"/>
        <v/>
      </c>
      <c r="T3706" t="str">
        <f t="shared" si="1"/>
        <v/>
      </c>
      <c r="U3706" t="str">
        <f t="shared" si="2"/>
        <v/>
      </c>
      <c r="V3706" t="str">
        <f>IF(OR(U3706="",U3706="ERRO_CHAVE"),"",IFERROR(MATCH(U3706,Fornecedores!$AF$1:$AF$6631,0),""))</f>
        <v/>
      </c>
      <c r="W3706" t="str">
        <f t="shared" si="3"/>
        <v/>
      </c>
      <c r="X3706" s="4" t="str">
        <f>IF(V3706="","",INDEX(Fornecedores!$X$1:$X$6631,V3706))</f>
        <v/>
      </c>
      <c r="Y3706" s="4" t="str">
        <f t="shared" si="4"/>
        <v/>
      </c>
    </row>
    <row r="3707" spans="19:25">
      <c r="S3707" t="str">
        <f t="shared" si="0"/>
        <v/>
      </c>
      <c r="T3707" t="str">
        <f t="shared" si="1"/>
        <v/>
      </c>
      <c r="U3707" t="str">
        <f t="shared" si="2"/>
        <v/>
      </c>
      <c r="V3707" t="str">
        <f>IF(OR(U3707="",U3707="ERRO_CHAVE"),"",IFERROR(MATCH(U3707,Fornecedores!$AF$1:$AF$6631,0),""))</f>
        <v/>
      </c>
      <c r="W3707" t="str">
        <f t="shared" si="3"/>
        <v/>
      </c>
      <c r="X3707" s="4" t="str">
        <f>IF(V3707="","",INDEX(Fornecedores!$X$1:$X$6631,V3707))</f>
        <v/>
      </c>
      <c r="Y3707" s="4" t="str">
        <f t="shared" si="4"/>
        <v/>
      </c>
    </row>
    <row r="3708" spans="19:25">
      <c r="S3708" t="str">
        <f t="shared" si="0"/>
        <v/>
      </c>
      <c r="T3708" t="str">
        <f t="shared" si="1"/>
        <v/>
      </c>
      <c r="U3708" t="str">
        <f t="shared" si="2"/>
        <v/>
      </c>
      <c r="V3708" t="str">
        <f>IF(OR(U3708="",U3708="ERRO_CHAVE"),"",IFERROR(MATCH(U3708,Fornecedores!$AF$1:$AF$6631,0),""))</f>
        <v/>
      </c>
      <c r="W3708" t="str">
        <f t="shared" si="3"/>
        <v/>
      </c>
      <c r="X3708" s="4" t="str">
        <f>IF(V3708="","",INDEX(Fornecedores!$X$1:$X$6631,V3708))</f>
        <v/>
      </c>
      <c r="Y3708" s="4" t="str">
        <f t="shared" si="4"/>
        <v/>
      </c>
    </row>
    <row r="3709" spans="19:25">
      <c r="S3709" t="str">
        <f t="shared" si="0"/>
        <v/>
      </c>
      <c r="T3709" t="str">
        <f t="shared" si="1"/>
        <v/>
      </c>
      <c r="U3709" t="str">
        <f t="shared" si="2"/>
        <v/>
      </c>
      <c r="V3709" t="str">
        <f>IF(OR(U3709="",U3709="ERRO_CHAVE"),"",IFERROR(MATCH(U3709,Fornecedores!$AF$1:$AF$6631,0),""))</f>
        <v/>
      </c>
      <c r="W3709" t="str">
        <f t="shared" si="3"/>
        <v/>
      </c>
      <c r="X3709" s="4" t="str">
        <f>IF(V3709="","",INDEX(Fornecedores!$X$1:$X$6631,V3709))</f>
        <v/>
      </c>
      <c r="Y3709" s="4" t="str">
        <f t="shared" si="4"/>
        <v/>
      </c>
    </row>
    <row r="3710" spans="19:25">
      <c r="S3710" t="str">
        <f t="shared" si="0"/>
        <v/>
      </c>
      <c r="T3710" t="str">
        <f t="shared" si="1"/>
        <v/>
      </c>
      <c r="U3710" t="str">
        <f t="shared" si="2"/>
        <v/>
      </c>
      <c r="V3710" t="str">
        <f>IF(OR(U3710="",U3710="ERRO_CHAVE"),"",IFERROR(MATCH(U3710,Fornecedores!$AF$1:$AF$6631,0),""))</f>
        <v/>
      </c>
      <c r="W3710" t="str">
        <f t="shared" si="3"/>
        <v/>
      </c>
      <c r="X3710" s="4" t="str">
        <f>IF(V3710="","",INDEX(Fornecedores!$X$1:$X$6631,V3710))</f>
        <v/>
      </c>
      <c r="Y3710" s="4" t="str">
        <f t="shared" si="4"/>
        <v/>
      </c>
    </row>
    <row r="3711" spans="19:25">
      <c r="S3711" t="str">
        <f t="shared" si="0"/>
        <v/>
      </c>
      <c r="T3711" t="str">
        <f t="shared" si="1"/>
        <v/>
      </c>
      <c r="U3711" t="str">
        <f t="shared" si="2"/>
        <v/>
      </c>
      <c r="V3711" t="str">
        <f>IF(OR(U3711="",U3711="ERRO_CHAVE"),"",IFERROR(MATCH(U3711,Fornecedores!$AF$1:$AF$6631,0),""))</f>
        <v/>
      </c>
      <c r="W3711" t="str">
        <f t="shared" si="3"/>
        <v/>
      </c>
      <c r="X3711" s="4" t="str">
        <f>IF(V3711="","",INDEX(Fornecedores!$X$1:$X$6631,V3711))</f>
        <v/>
      </c>
      <c r="Y3711" s="4" t="str">
        <f t="shared" si="4"/>
        <v/>
      </c>
    </row>
    <row r="3712" spans="19:25">
      <c r="S3712" t="str">
        <f t="shared" si="0"/>
        <v/>
      </c>
      <c r="T3712" t="str">
        <f t="shared" si="1"/>
        <v/>
      </c>
      <c r="U3712" t="str">
        <f t="shared" si="2"/>
        <v/>
      </c>
      <c r="V3712" t="str">
        <f>IF(OR(U3712="",U3712="ERRO_CHAVE"),"",IFERROR(MATCH(U3712,Fornecedores!$AF$1:$AF$6631,0),""))</f>
        <v/>
      </c>
      <c r="W3712" t="str">
        <f t="shared" si="3"/>
        <v/>
      </c>
      <c r="X3712" s="4" t="str">
        <f>IF(V3712="","",INDEX(Fornecedores!$X$1:$X$6631,V3712))</f>
        <v/>
      </c>
      <c r="Y3712" s="4" t="str">
        <f t="shared" si="4"/>
        <v/>
      </c>
    </row>
    <row r="3713" spans="19:25">
      <c r="S3713" t="str">
        <f t="shared" si="0"/>
        <v/>
      </c>
      <c r="T3713" t="str">
        <f t="shared" si="1"/>
        <v/>
      </c>
      <c r="U3713" t="str">
        <f t="shared" si="2"/>
        <v/>
      </c>
      <c r="V3713" t="str">
        <f>IF(OR(U3713="",U3713="ERRO_CHAVE"),"",IFERROR(MATCH(U3713,Fornecedores!$AF$1:$AF$6631,0),""))</f>
        <v/>
      </c>
      <c r="W3713" t="str">
        <f t="shared" si="3"/>
        <v/>
      </c>
      <c r="X3713" s="4" t="str">
        <f>IF(V3713="","",INDEX(Fornecedores!$X$1:$X$6631,V3713))</f>
        <v/>
      </c>
      <c r="Y3713" s="4" t="str">
        <f t="shared" si="4"/>
        <v/>
      </c>
    </row>
    <row r="3714" spans="19:25">
      <c r="S3714" t="str">
        <f t="shared" si="0"/>
        <v/>
      </c>
      <c r="T3714" t="str">
        <f t="shared" si="1"/>
        <v/>
      </c>
      <c r="U3714" t="str">
        <f t="shared" si="2"/>
        <v/>
      </c>
      <c r="V3714" t="str">
        <f>IF(OR(U3714="",U3714="ERRO_CHAVE"),"",IFERROR(MATCH(U3714,Fornecedores!$AF$1:$AF$6631,0),""))</f>
        <v/>
      </c>
      <c r="W3714" t="str">
        <f t="shared" si="3"/>
        <v/>
      </c>
      <c r="X3714" s="4" t="str">
        <f>IF(V3714="","",INDEX(Fornecedores!$X$1:$X$6631,V3714))</f>
        <v/>
      </c>
      <c r="Y3714" s="4" t="str">
        <f t="shared" si="4"/>
        <v/>
      </c>
    </row>
    <row r="3715" spans="19:25">
      <c r="S3715" t="str">
        <f t="shared" si="0"/>
        <v/>
      </c>
      <c r="T3715" t="str">
        <f t="shared" si="1"/>
        <v/>
      </c>
      <c r="U3715" t="str">
        <f t="shared" si="2"/>
        <v/>
      </c>
      <c r="V3715" t="str">
        <f>IF(OR(U3715="",U3715="ERRO_CHAVE"),"",IFERROR(MATCH(U3715,Fornecedores!$AF$1:$AF$6631,0),""))</f>
        <v/>
      </c>
      <c r="W3715" t="str">
        <f t="shared" si="3"/>
        <v/>
      </c>
      <c r="X3715" s="4" t="str">
        <f>IF(V3715="","",INDEX(Fornecedores!$X$1:$X$6631,V3715))</f>
        <v/>
      </c>
      <c r="Y3715" s="4" t="str">
        <f t="shared" si="4"/>
        <v/>
      </c>
    </row>
    <row r="3716" spans="19:25">
      <c r="S3716" t="str">
        <f t="shared" si="0"/>
        <v/>
      </c>
      <c r="T3716" t="str">
        <f t="shared" si="1"/>
        <v/>
      </c>
      <c r="U3716" t="str">
        <f t="shared" si="2"/>
        <v/>
      </c>
      <c r="V3716" t="str">
        <f>IF(OR(U3716="",U3716="ERRO_CHAVE"),"",IFERROR(MATCH(U3716,Fornecedores!$AF$1:$AF$6631,0),""))</f>
        <v/>
      </c>
      <c r="W3716" t="str">
        <f t="shared" si="3"/>
        <v/>
      </c>
      <c r="X3716" s="4" t="str">
        <f>IF(V3716="","",INDEX(Fornecedores!$X$1:$X$6631,V3716))</f>
        <v/>
      </c>
      <c r="Y3716" s="4" t="str">
        <f t="shared" si="4"/>
        <v/>
      </c>
    </row>
    <row r="3717" spans="19:25">
      <c r="S3717" t="str">
        <f t="shared" si="0"/>
        <v/>
      </c>
      <c r="T3717" t="str">
        <f t="shared" si="1"/>
        <v/>
      </c>
      <c r="U3717" t="str">
        <f t="shared" si="2"/>
        <v/>
      </c>
      <c r="V3717" t="str">
        <f>IF(OR(U3717="",U3717="ERRO_CHAVE"),"",IFERROR(MATCH(U3717,Fornecedores!$AF$1:$AF$6631,0),""))</f>
        <v/>
      </c>
      <c r="W3717" t="str">
        <f t="shared" si="3"/>
        <v/>
      </c>
      <c r="X3717" s="4" t="str">
        <f>IF(V3717="","",INDEX(Fornecedores!$X$1:$X$6631,V3717))</f>
        <v/>
      </c>
      <c r="Y3717" s="4" t="str">
        <f t="shared" si="4"/>
        <v/>
      </c>
    </row>
    <row r="3718" spans="19:25">
      <c r="S3718" t="str">
        <f t="shared" si="0"/>
        <v/>
      </c>
      <c r="T3718" t="str">
        <f t="shared" si="1"/>
        <v/>
      </c>
      <c r="U3718" t="str">
        <f t="shared" si="2"/>
        <v/>
      </c>
      <c r="V3718" t="str">
        <f>IF(OR(U3718="",U3718="ERRO_CHAVE"),"",IFERROR(MATCH(U3718,Fornecedores!$AF$1:$AF$6631,0),""))</f>
        <v/>
      </c>
      <c r="W3718" t="str">
        <f t="shared" si="3"/>
        <v/>
      </c>
      <c r="X3718" s="4" t="str">
        <f>IF(V3718="","",INDEX(Fornecedores!$X$1:$X$6631,V3718))</f>
        <v/>
      </c>
      <c r="Y3718" s="4" t="str">
        <f t="shared" si="4"/>
        <v/>
      </c>
    </row>
    <row r="3719" spans="19:25">
      <c r="S3719" t="str">
        <f t="shared" si="0"/>
        <v/>
      </c>
      <c r="T3719" t="str">
        <f t="shared" si="1"/>
        <v/>
      </c>
      <c r="U3719" t="str">
        <f t="shared" si="2"/>
        <v/>
      </c>
      <c r="V3719" t="str">
        <f>IF(OR(U3719="",U3719="ERRO_CHAVE"),"",IFERROR(MATCH(U3719,Fornecedores!$AF$1:$AF$6631,0),""))</f>
        <v/>
      </c>
      <c r="W3719" t="str">
        <f t="shared" si="3"/>
        <v/>
      </c>
      <c r="X3719" s="4" t="str">
        <f>IF(V3719="","",INDEX(Fornecedores!$X$1:$X$6631,V3719))</f>
        <v/>
      </c>
      <c r="Y3719" s="4" t="str">
        <f t="shared" si="4"/>
        <v/>
      </c>
    </row>
    <row r="3720" spans="19:25">
      <c r="S3720" t="str">
        <f t="shared" si="0"/>
        <v/>
      </c>
      <c r="T3720" t="str">
        <f t="shared" si="1"/>
        <v/>
      </c>
      <c r="U3720" t="str">
        <f t="shared" si="2"/>
        <v/>
      </c>
      <c r="V3720" t="str">
        <f>IF(OR(U3720="",U3720="ERRO_CHAVE"),"",IFERROR(MATCH(U3720,Fornecedores!$AF$1:$AF$6631,0),""))</f>
        <v/>
      </c>
      <c r="W3720" t="str">
        <f t="shared" si="3"/>
        <v/>
      </c>
      <c r="X3720" s="4" t="str">
        <f>IF(V3720="","",INDEX(Fornecedores!$X$1:$X$6631,V3720))</f>
        <v/>
      </c>
      <c r="Y3720" s="4" t="str">
        <f t="shared" si="4"/>
        <v/>
      </c>
    </row>
    <row r="3721" spans="19:25">
      <c r="S3721" t="str">
        <f t="shared" si="0"/>
        <v/>
      </c>
      <c r="T3721" t="str">
        <f t="shared" si="1"/>
        <v/>
      </c>
      <c r="U3721" t="str">
        <f t="shared" si="2"/>
        <v/>
      </c>
      <c r="V3721" t="str">
        <f>IF(OR(U3721="",U3721="ERRO_CHAVE"),"",IFERROR(MATCH(U3721,Fornecedores!$AF$1:$AF$6631,0),""))</f>
        <v/>
      </c>
      <c r="W3721" t="str">
        <f t="shared" si="3"/>
        <v/>
      </c>
      <c r="X3721" s="4" t="str">
        <f>IF(V3721="","",INDEX(Fornecedores!$X$1:$X$6631,V3721))</f>
        <v/>
      </c>
      <c r="Y3721" s="4" t="str">
        <f t="shared" si="4"/>
        <v/>
      </c>
    </row>
    <row r="3722" spans="19:25">
      <c r="S3722" t="str">
        <f t="shared" si="0"/>
        <v/>
      </c>
      <c r="T3722" t="str">
        <f t="shared" si="1"/>
        <v/>
      </c>
      <c r="U3722" t="str">
        <f t="shared" si="2"/>
        <v/>
      </c>
      <c r="V3722" t="str">
        <f>IF(OR(U3722="",U3722="ERRO_CHAVE"),"",IFERROR(MATCH(U3722,Fornecedores!$AF$1:$AF$6631,0),""))</f>
        <v/>
      </c>
      <c r="W3722" t="str">
        <f t="shared" si="3"/>
        <v/>
      </c>
      <c r="X3722" s="4" t="str">
        <f>IF(V3722="","",INDEX(Fornecedores!$X$1:$X$6631,V3722))</f>
        <v/>
      </c>
      <c r="Y3722" s="4" t="str">
        <f t="shared" si="4"/>
        <v/>
      </c>
    </row>
    <row r="3723" spans="19:25">
      <c r="S3723" t="str">
        <f t="shared" si="0"/>
        <v/>
      </c>
      <c r="T3723" t="str">
        <f t="shared" si="1"/>
        <v/>
      </c>
      <c r="U3723" t="str">
        <f t="shared" si="2"/>
        <v/>
      </c>
      <c r="V3723" t="str">
        <f>IF(OR(U3723="",U3723="ERRO_CHAVE"),"",IFERROR(MATCH(U3723,Fornecedores!$AF$1:$AF$6631,0),""))</f>
        <v/>
      </c>
      <c r="W3723" t="str">
        <f t="shared" si="3"/>
        <v/>
      </c>
      <c r="X3723" s="4" t="str">
        <f>IF(V3723="","",INDEX(Fornecedores!$X$1:$X$6631,V3723))</f>
        <v/>
      </c>
      <c r="Y3723" s="4" t="str">
        <f t="shared" si="4"/>
        <v/>
      </c>
    </row>
    <row r="3724" spans="19:25">
      <c r="S3724" t="str">
        <f t="shared" si="0"/>
        <v/>
      </c>
      <c r="T3724" t="str">
        <f t="shared" si="1"/>
        <v/>
      </c>
      <c r="U3724" t="str">
        <f t="shared" si="2"/>
        <v/>
      </c>
      <c r="V3724" t="str">
        <f>IF(OR(U3724="",U3724="ERRO_CHAVE"),"",IFERROR(MATCH(U3724,Fornecedores!$AF$1:$AF$6631,0),""))</f>
        <v/>
      </c>
      <c r="W3724" t="str">
        <f t="shared" si="3"/>
        <v/>
      </c>
      <c r="X3724" s="4" t="str">
        <f>IF(V3724="","",INDEX(Fornecedores!$X$1:$X$6631,V3724))</f>
        <v/>
      </c>
      <c r="Y3724" s="4" t="str">
        <f t="shared" si="4"/>
        <v/>
      </c>
    </row>
    <row r="3725" spans="19:25">
      <c r="S3725" t="str">
        <f t="shared" si="0"/>
        <v/>
      </c>
      <c r="T3725" t="str">
        <f t="shared" si="1"/>
        <v/>
      </c>
      <c r="U3725" t="str">
        <f t="shared" si="2"/>
        <v/>
      </c>
      <c r="V3725" t="str">
        <f>IF(OR(U3725="",U3725="ERRO_CHAVE"),"",IFERROR(MATCH(U3725,Fornecedores!$AF$1:$AF$6631,0),""))</f>
        <v/>
      </c>
      <c r="W3725" t="str">
        <f t="shared" si="3"/>
        <v/>
      </c>
      <c r="X3725" s="4" t="str">
        <f>IF(V3725="","",INDEX(Fornecedores!$X$1:$X$6631,V3725))</f>
        <v/>
      </c>
      <c r="Y3725" s="4" t="str">
        <f t="shared" si="4"/>
        <v/>
      </c>
    </row>
    <row r="3726" spans="19:25">
      <c r="S3726" t="str">
        <f t="shared" si="0"/>
        <v/>
      </c>
      <c r="T3726" t="str">
        <f t="shared" si="1"/>
        <v/>
      </c>
      <c r="U3726" t="str">
        <f t="shared" si="2"/>
        <v/>
      </c>
      <c r="V3726" t="str">
        <f>IF(OR(U3726="",U3726="ERRO_CHAVE"),"",IFERROR(MATCH(U3726,Fornecedores!$AF$1:$AF$6631,0),""))</f>
        <v/>
      </c>
      <c r="W3726" t="str">
        <f t="shared" si="3"/>
        <v/>
      </c>
      <c r="X3726" s="4" t="str">
        <f>IF(V3726="","",INDEX(Fornecedores!$X$1:$X$6631,V3726))</f>
        <v/>
      </c>
      <c r="Y3726" s="4" t="str">
        <f t="shared" si="4"/>
        <v/>
      </c>
    </row>
    <row r="3727" spans="19:25">
      <c r="S3727" t="str">
        <f t="shared" si="0"/>
        <v/>
      </c>
      <c r="T3727" t="str">
        <f t="shared" si="1"/>
        <v/>
      </c>
      <c r="U3727" t="str">
        <f t="shared" si="2"/>
        <v/>
      </c>
      <c r="V3727" t="str">
        <f>IF(OR(U3727="",U3727="ERRO_CHAVE"),"",IFERROR(MATCH(U3727,Fornecedores!$AF$1:$AF$6631,0),""))</f>
        <v/>
      </c>
      <c r="W3727" t="str">
        <f t="shared" si="3"/>
        <v/>
      </c>
      <c r="X3727" s="4" t="str">
        <f>IF(V3727="","",INDEX(Fornecedores!$X$1:$X$6631,V3727))</f>
        <v/>
      </c>
      <c r="Y3727" s="4" t="str">
        <f t="shared" si="4"/>
        <v/>
      </c>
    </row>
    <row r="3728" spans="19:25">
      <c r="S3728" t="str">
        <f t="shared" si="0"/>
        <v/>
      </c>
      <c r="T3728" t="str">
        <f t="shared" si="1"/>
        <v/>
      </c>
      <c r="U3728" t="str">
        <f t="shared" si="2"/>
        <v/>
      </c>
      <c r="V3728" t="str">
        <f>IF(OR(U3728="",U3728="ERRO_CHAVE"),"",IFERROR(MATCH(U3728,Fornecedores!$AF$1:$AF$6631,0),""))</f>
        <v/>
      </c>
      <c r="W3728" t="str">
        <f t="shared" si="3"/>
        <v/>
      </c>
      <c r="X3728" s="4" t="str">
        <f>IF(V3728="","",INDEX(Fornecedores!$X$1:$X$6631,V3728))</f>
        <v/>
      </c>
      <c r="Y3728" s="4" t="str">
        <f t="shared" si="4"/>
        <v/>
      </c>
    </row>
    <row r="3729" spans="19:25">
      <c r="S3729" t="str">
        <f t="shared" si="0"/>
        <v/>
      </c>
      <c r="T3729" t="str">
        <f t="shared" si="1"/>
        <v/>
      </c>
      <c r="U3729" t="str">
        <f t="shared" si="2"/>
        <v/>
      </c>
      <c r="V3729" t="str">
        <f>IF(OR(U3729="",U3729="ERRO_CHAVE"),"",IFERROR(MATCH(U3729,Fornecedores!$AF$1:$AF$6631,0),""))</f>
        <v/>
      </c>
      <c r="W3729" t="str">
        <f t="shared" si="3"/>
        <v/>
      </c>
      <c r="X3729" s="4" t="str">
        <f>IF(V3729="","",INDEX(Fornecedores!$X$1:$X$6631,V3729))</f>
        <v/>
      </c>
      <c r="Y3729" s="4" t="str">
        <f t="shared" si="4"/>
        <v/>
      </c>
    </row>
    <row r="3730" spans="19:25">
      <c r="S3730" t="str">
        <f t="shared" si="0"/>
        <v/>
      </c>
      <c r="T3730" t="str">
        <f t="shared" si="1"/>
        <v/>
      </c>
      <c r="U3730" t="str">
        <f t="shared" si="2"/>
        <v/>
      </c>
      <c r="V3730" t="str">
        <f>IF(OR(U3730="",U3730="ERRO_CHAVE"),"",IFERROR(MATCH(U3730,Fornecedores!$AF$1:$AF$6631,0),""))</f>
        <v/>
      </c>
      <c r="W3730" t="str">
        <f t="shared" si="3"/>
        <v/>
      </c>
      <c r="X3730" s="4" t="str">
        <f>IF(V3730="","",INDEX(Fornecedores!$X$1:$X$6631,V3730))</f>
        <v/>
      </c>
      <c r="Y3730" s="4" t="str">
        <f t="shared" si="4"/>
        <v/>
      </c>
    </row>
    <row r="3731" spans="19:25">
      <c r="S3731" t="str">
        <f t="shared" si="0"/>
        <v/>
      </c>
      <c r="T3731" t="str">
        <f t="shared" si="1"/>
        <v/>
      </c>
      <c r="U3731" t="str">
        <f t="shared" si="2"/>
        <v/>
      </c>
      <c r="V3731" t="str">
        <f>IF(OR(U3731="",U3731="ERRO_CHAVE"),"",IFERROR(MATCH(U3731,Fornecedores!$AF$1:$AF$6631,0),""))</f>
        <v/>
      </c>
      <c r="W3731" t="str">
        <f t="shared" si="3"/>
        <v/>
      </c>
      <c r="X3731" s="4" t="str">
        <f>IF(V3731="","",INDEX(Fornecedores!$X$1:$X$6631,V3731))</f>
        <v/>
      </c>
      <c r="Y3731" s="4" t="str">
        <f t="shared" si="4"/>
        <v/>
      </c>
    </row>
    <row r="3732" spans="19:25">
      <c r="S3732" t="str">
        <f t="shared" si="0"/>
        <v/>
      </c>
      <c r="T3732" t="str">
        <f t="shared" si="1"/>
        <v/>
      </c>
      <c r="U3732" t="str">
        <f t="shared" si="2"/>
        <v/>
      </c>
      <c r="V3732" t="str">
        <f>IF(OR(U3732="",U3732="ERRO_CHAVE"),"",IFERROR(MATCH(U3732,Fornecedores!$AF$1:$AF$6631,0),""))</f>
        <v/>
      </c>
      <c r="W3732" t="str">
        <f t="shared" si="3"/>
        <v/>
      </c>
      <c r="X3732" s="4" t="str">
        <f>IF(V3732="","",INDEX(Fornecedores!$X$1:$X$6631,V3732))</f>
        <v/>
      </c>
      <c r="Y3732" s="4" t="str">
        <f t="shared" si="4"/>
        <v/>
      </c>
    </row>
    <row r="3733" spans="19:25">
      <c r="S3733" t="str">
        <f t="shared" si="0"/>
        <v/>
      </c>
      <c r="T3733" t="str">
        <f t="shared" si="1"/>
        <v/>
      </c>
      <c r="U3733" t="str">
        <f t="shared" si="2"/>
        <v/>
      </c>
      <c r="V3733" t="str">
        <f>IF(OR(U3733="",U3733="ERRO_CHAVE"),"",IFERROR(MATCH(U3733,Fornecedores!$AF$1:$AF$6631,0),""))</f>
        <v/>
      </c>
      <c r="W3733" t="str">
        <f t="shared" si="3"/>
        <v/>
      </c>
      <c r="X3733" s="4" t="str">
        <f>IF(V3733="","",INDEX(Fornecedores!$X$1:$X$6631,V3733))</f>
        <v/>
      </c>
      <c r="Y3733" s="4" t="str">
        <f t="shared" si="4"/>
        <v/>
      </c>
    </row>
    <row r="3734" spans="19:25">
      <c r="S3734" t="str">
        <f t="shared" si="0"/>
        <v/>
      </c>
      <c r="T3734" t="str">
        <f t="shared" si="1"/>
        <v/>
      </c>
      <c r="U3734" t="str">
        <f t="shared" si="2"/>
        <v/>
      </c>
      <c r="V3734" t="str">
        <f>IF(OR(U3734="",U3734="ERRO_CHAVE"),"",IFERROR(MATCH(U3734,Fornecedores!$AF$1:$AF$6631,0),""))</f>
        <v/>
      </c>
      <c r="W3734" t="str">
        <f t="shared" si="3"/>
        <v/>
      </c>
      <c r="X3734" s="4" t="str">
        <f>IF(V3734="","",INDEX(Fornecedores!$X$1:$X$6631,V3734))</f>
        <v/>
      </c>
      <c r="Y3734" s="4" t="str">
        <f t="shared" si="4"/>
        <v/>
      </c>
    </row>
    <row r="3735" spans="19:25">
      <c r="S3735" t="str">
        <f t="shared" si="0"/>
        <v/>
      </c>
      <c r="T3735" t="str">
        <f t="shared" si="1"/>
        <v/>
      </c>
      <c r="U3735" t="str">
        <f t="shared" si="2"/>
        <v/>
      </c>
      <c r="V3735" t="str">
        <f>IF(OR(U3735="",U3735="ERRO_CHAVE"),"",IFERROR(MATCH(U3735,Fornecedores!$AF$1:$AF$6631,0),""))</f>
        <v/>
      </c>
      <c r="W3735" t="str">
        <f t="shared" si="3"/>
        <v/>
      </c>
      <c r="X3735" s="4" t="str">
        <f>IF(V3735="","",INDEX(Fornecedores!$X$1:$X$6631,V3735))</f>
        <v/>
      </c>
      <c r="Y3735" s="4" t="str">
        <f t="shared" si="4"/>
        <v/>
      </c>
    </row>
    <row r="3736" spans="19:25">
      <c r="S3736" t="str">
        <f t="shared" si="0"/>
        <v/>
      </c>
      <c r="T3736" t="str">
        <f t="shared" si="1"/>
        <v/>
      </c>
      <c r="U3736" t="str">
        <f t="shared" si="2"/>
        <v/>
      </c>
      <c r="V3736" t="str">
        <f>IF(OR(U3736="",U3736="ERRO_CHAVE"),"",IFERROR(MATCH(U3736,Fornecedores!$AF$1:$AF$6631,0),""))</f>
        <v/>
      </c>
      <c r="W3736" t="str">
        <f t="shared" si="3"/>
        <v/>
      </c>
      <c r="X3736" s="4" t="str">
        <f>IF(V3736="","",INDEX(Fornecedores!$X$1:$X$6631,V3736))</f>
        <v/>
      </c>
      <c r="Y3736" s="4" t="str">
        <f t="shared" si="4"/>
        <v/>
      </c>
    </row>
    <row r="3737" spans="19:25">
      <c r="S3737" t="str">
        <f t="shared" si="0"/>
        <v/>
      </c>
      <c r="T3737" t="str">
        <f t="shared" si="1"/>
        <v/>
      </c>
      <c r="U3737" t="str">
        <f t="shared" si="2"/>
        <v/>
      </c>
      <c r="V3737" t="str">
        <f>IF(OR(U3737="",U3737="ERRO_CHAVE"),"",IFERROR(MATCH(U3737,Fornecedores!$AF$1:$AF$6631,0),""))</f>
        <v/>
      </c>
      <c r="W3737" t="str">
        <f t="shared" si="3"/>
        <v/>
      </c>
      <c r="X3737" s="4" t="str">
        <f>IF(V3737="","",INDEX(Fornecedores!$X$1:$X$6631,V3737))</f>
        <v/>
      </c>
      <c r="Y3737" s="4" t="str">
        <f t="shared" si="4"/>
        <v/>
      </c>
    </row>
    <row r="3738" spans="19:25">
      <c r="S3738" t="str">
        <f t="shared" si="0"/>
        <v/>
      </c>
      <c r="T3738" t="str">
        <f t="shared" si="1"/>
        <v/>
      </c>
      <c r="U3738" t="str">
        <f t="shared" si="2"/>
        <v/>
      </c>
      <c r="V3738" t="str">
        <f>IF(OR(U3738="",U3738="ERRO_CHAVE"),"",IFERROR(MATCH(U3738,Fornecedores!$AF$1:$AF$6631,0),""))</f>
        <v/>
      </c>
      <c r="W3738" t="str">
        <f t="shared" si="3"/>
        <v/>
      </c>
      <c r="X3738" s="4" t="str">
        <f>IF(V3738="","",INDEX(Fornecedores!$X$1:$X$6631,V3738))</f>
        <v/>
      </c>
      <c r="Y3738" s="4" t="str">
        <f t="shared" si="4"/>
        <v/>
      </c>
    </row>
    <row r="3739" spans="19:25">
      <c r="S3739" t="str">
        <f t="shared" si="0"/>
        <v/>
      </c>
      <c r="T3739" t="str">
        <f t="shared" si="1"/>
        <v/>
      </c>
      <c r="U3739" t="str">
        <f t="shared" si="2"/>
        <v/>
      </c>
      <c r="V3739" t="str">
        <f>IF(OR(U3739="",U3739="ERRO_CHAVE"),"",IFERROR(MATCH(U3739,Fornecedores!$AF$1:$AF$6631,0),""))</f>
        <v/>
      </c>
      <c r="W3739" t="str">
        <f t="shared" si="3"/>
        <v/>
      </c>
      <c r="X3739" s="4" t="str">
        <f>IF(V3739="","",INDEX(Fornecedores!$X$1:$X$6631,V3739))</f>
        <v/>
      </c>
      <c r="Y3739" s="4" t="str">
        <f t="shared" si="4"/>
        <v/>
      </c>
    </row>
    <row r="3740" spans="19:25">
      <c r="S3740" t="str">
        <f t="shared" si="0"/>
        <v/>
      </c>
      <c r="T3740" t="str">
        <f t="shared" si="1"/>
        <v/>
      </c>
      <c r="U3740" t="str">
        <f t="shared" si="2"/>
        <v/>
      </c>
      <c r="V3740" t="str">
        <f>IF(OR(U3740="",U3740="ERRO_CHAVE"),"",IFERROR(MATCH(U3740,Fornecedores!$AF$1:$AF$6631,0),""))</f>
        <v/>
      </c>
      <c r="W3740" t="str">
        <f t="shared" si="3"/>
        <v/>
      </c>
      <c r="X3740" s="4" t="str">
        <f>IF(V3740="","",INDEX(Fornecedores!$X$1:$X$6631,V3740))</f>
        <v/>
      </c>
      <c r="Y3740" s="4" t="str">
        <f t="shared" si="4"/>
        <v/>
      </c>
    </row>
    <row r="3741" spans="19:25">
      <c r="S3741" t="str">
        <f t="shared" si="0"/>
        <v/>
      </c>
      <c r="T3741" t="str">
        <f t="shared" si="1"/>
        <v/>
      </c>
      <c r="U3741" t="str">
        <f t="shared" si="2"/>
        <v/>
      </c>
      <c r="V3741" t="str">
        <f>IF(OR(U3741="",U3741="ERRO_CHAVE"),"",IFERROR(MATCH(U3741,Fornecedores!$AF$1:$AF$6631,0),""))</f>
        <v/>
      </c>
      <c r="W3741" t="str">
        <f t="shared" si="3"/>
        <v/>
      </c>
      <c r="X3741" s="4" t="str">
        <f>IF(V3741="","",INDEX(Fornecedores!$X$1:$X$6631,V3741))</f>
        <v/>
      </c>
      <c r="Y3741" s="4" t="str">
        <f t="shared" si="4"/>
        <v/>
      </c>
    </row>
    <row r="3742" spans="19:25">
      <c r="S3742" t="str">
        <f t="shared" si="0"/>
        <v/>
      </c>
      <c r="T3742" t="str">
        <f t="shared" si="1"/>
        <v/>
      </c>
      <c r="U3742" t="str">
        <f t="shared" si="2"/>
        <v/>
      </c>
      <c r="V3742" t="str">
        <f>IF(OR(U3742="",U3742="ERRO_CHAVE"),"",IFERROR(MATCH(U3742,Fornecedores!$AF$1:$AF$6631,0),""))</f>
        <v/>
      </c>
      <c r="W3742" t="str">
        <f t="shared" si="3"/>
        <v/>
      </c>
      <c r="X3742" s="4" t="str">
        <f>IF(V3742="","",INDEX(Fornecedores!$X$1:$X$6631,V3742))</f>
        <v/>
      </c>
      <c r="Y3742" s="4" t="str">
        <f t="shared" si="4"/>
        <v/>
      </c>
    </row>
    <row r="3743" spans="19:25">
      <c r="S3743" t="str">
        <f t="shared" si="0"/>
        <v/>
      </c>
      <c r="T3743" t="str">
        <f t="shared" si="1"/>
        <v/>
      </c>
      <c r="U3743" t="str">
        <f t="shared" si="2"/>
        <v/>
      </c>
      <c r="V3743" t="str">
        <f>IF(OR(U3743="",U3743="ERRO_CHAVE"),"",IFERROR(MATCH(U3743,Fornecedores!$AF$1:$AF$6631,0),""))</f>
        <v/>
      </c>
      <c r="W3743" t="str">
        <f t="shared" si="3"/>
        <v/>
      </c>
      <c r="X3743" s="4" t="str">
        <f>IF(V3743="","",INDEX(Fornecedores!$X$1:$X$6631,V3743))</f>
        <v/>
      </c>
      <c r="Y3743" s="4" t="str">
        <f t="shared" si="4"/>
        <v/>
      </c>
    </row>
    <row r="3744" spans="19:25">
      <c r="S3744" t="str">
        <f t="shared" si="0"/>
        <v/>
      </c>
      <c r="T3744" t="str">
        <f t="shared" si="1"/>
        <v/>
      </c>
      <c r="U3744" t="str">
        <f t="shared" si="2"/>
        <v/>
      </c>
      <c r="V3744" t="str">
        <f>IF(OR(U3744="",U3744="ERRO_CHAVE"),"",IFERROR(MATCH(U3744,Fornecedores!$AF$1:$AF$6631,0),""))</f>
        <v/>
      </c>
      <c r="W3744" t="str">
        <f t="shared" si="3"/>
        <v/>
      </c>
      <c r="X3744" s="4" t="str">
        <f>IF(V3744="","",INDEX(Fornecedores!$X$1:$X$6631,V3744))</f>
        <v/>
      </c>
      <c r="Y3744" s="4" t="str">
        <f t="shared" si="4"/>
        <v/>
      </c>
    </row>
    <row r="3745" spans="19:25">
      <c r="S3745" t="str">
        <f t="shared" si="0"/>
        <v/>
      </c>
      <c r="T3745" t="str">
        <f t="shared" si="1"/>
        <v/>
      </c>
      <c r="U3745" t="str">
        <f t="shared" si="2"/>
        <v/>
      </c>
      <c r="V3745" t="str">
        <f>IF(OR(U3745="",U3745="ERRO_CHAVE"),"",IFERROR(MATCH(U3745,Fornecedores!$AF$1:$AF$6631,0),""))</f>
        <v/>
      </c>
      <c r="W3745" t="str">
        <f t="shared" si="3"/>
        <v/>
      </c>
      <c r="X3745" s="4" t="str">
        <f>IF(V3745="","",INDEX(Fornecedores!$X$1:$X$6631,V3745))</f>
        <v/>
      </c>
      <c r="Y3745" s="4" t="str">
        <f t="shared" si="4"/>
        <v/>
      </c>
    </row>
    <row r="3746" spans="19:25">
      <c r="S3746" t="str">
        <f t="shared" si="0"/>
        <v/>
      </c>
      <c r="T3746" t="str">
        <f t="shared" si="1"/>
        <v/>
      </c>
      <c r="U3746" t="str">
        <f t="shared" si="2"/>
        <v/>
      </c>
      <c r="V3746" t="str">
        <f>IF(OR(U3746="",U3746="ERRO_CHAVE"),"",IFERROR(MATCH(U3746,Fornecedores!$AF$1:$AF$6631,0),""))</f>
        <v/>
      </c>
      <c r="W3746" t="str">
        <f t="shared" si="3"/>
        <v/>
      </c>
      <c r="X3746" s="4" t="str">
        <f>IF(V3746="","",INDEX(Fornecedores!$X$1:$X$6631,V3746))</f>
        <v/>
      </c>
      <c r="Y3746" s="4" t="str">
        <f t="shared" si="4"/>
        <v/>
      </c>
    </row>
    <row r="3747" spans="19:25">
      <c r="S3747" t="str">
        <f t="shared" si="0"/>
        <v/>
      </c>
      <c r="T3747" t="str">
        <f t="shared" si="1"/>
        <v/>
      </c>
      <c r="U3747" t="str">
        <f t="shared" si="2"/>
        <v/>
      </c>
      <c r="V3747" t="str">
        <f>IF(OR(U3747="",U3747="ERRO_CHAVE"),"",IFERROR(MATCH(U3747,Fornecedores!$AF$1:$AF$6631,0),""))</f>
        <v/>
      </c>
      <c r="W3747" t="str">
        <f t="shared" si="3"/>
        <v/>
      </c>
      <c r="X3747" s="4" t="str">
        <f>IF(V3747="","",INDEX(Fornecedores!$X$1:$X$6631,V3747))</f>
        <v/>
      </c>
      <c r="Y3747" s="4" t="str">
        <f t="shared" si="4"/>
        <v/>
      </c>
    </row>
    <row r="3748" spans="19:25">
      <c r="S3748" t="str">
        <f t="shared" si="0"/>
        <v/>
      </c>
      <c r="T3748" t="str">
        <f t="shared" si="1"/>
        <v/>
      </c>
      <c r="U3748" t="str">
        <f t="shared" si="2"/>
        <v/>
      </c>
      <c r="V3748" t="str">
        <f>IF(OR(U3748="",U3748="ERRO_CHAVE"),"",IFERROR(MATCH(U3748,Fornecedores!$AF$1:$AF$6631,0),""))</f>
        <v/>
      </c>
      <c r="W3748" t="str">
        <f t="shared" si="3"/>
        <v/>
      </c>
      <c r="X3748" s="4" t="str">
        <f>IF(V3748="","",INDEX(Fornecedores!$X$1:$X$6631,V3748))</f>
        <v/>
      </c>
      <c r="Y3748" s="4" t="str">
        <f t="shared" si="4"/>
        <v/>
      </c>
    </row>
    <row r="3749" spans="19:25">
      <c r="S3749" t="str">
        <f t="shared" si="0"/>
        <v/>
      </c>
      <c r="T3749" t="str">
        <f t="shared" si="1"/>
        <v/>
      </c>
      <c r="U3749" t="str">
        <f t="shared" si="2"/>
        <v/>
      </c>
      <c r="V3749" t="str">
        <f>IF(OR(U3749="",U3749="ERRO_CHAVE"),"",IFERROR(MATCH(U3749,Fornecedores!$AF$1:$AF$6631,0),""))</f>
        <v/>
      </c>
      <c r="W3749" t="str">
        <f t="shared" si="3"/>
        <v/>
      </c>
      <c r="X3749" s="4" t="str">
        <f>IF(V3749="","",INDEX(Fornecedores!$X$1:$X$6631,V3749))</f>
        <v/>
      </c>
      <c r="Y3749" s="4" t="str">
        <f t="shared" si="4"/>
        <v/>
      </c>
    </row>
    <row r="3750" spans="19:25">
      <c r="S3750" t="str">
        <f t="shared" si="0"/>
        <v/>
      </c>
      <c r="T3750" t="str">
        <f t="shared" si="1"/>
        <v/>
      </c>
      <c r="U3750" t="str">
        <f t="shared" si="2"/>
        <v/>
      </c>
      <c r="V3750" t="str">
        <f>IF(OR(U3750="",U3750="ERRO_CHAVE"),"",IFERROR(MATCH(U3750,Fornecedores!$AF$1:$AF$6631,0),""))</f>
        <v/>
      </c>
      <c r="W3750" t="str">
        <f t="shared" si="3"/>
        <v/>
      </c>
      <c r="X3750" s="4" t="str">
        <f>IF(V3750="","",INDEX(Fornecedores!$X$1:$X$6631,V3750))</f>
        <v/>
      </c>
      <c r="Y3750" s="4" t="str">
        <f t="shared" si="4"/>
        <v/>
      </c>
    </row>
    <row r="3751" spans="19:25">
      <c r="S3751" t="str">
        <f t="shared" si="0"/>
        <v/>
      </c>
      <c r="T3751" t="str">
        <f t="shared" si="1"/>
        <v/>
      </c>
      <c r="U3751" t="str">
        <f t="shared" si="2"/>
        <v/>
      </c>
      <c r="V3751" t="str">
        <f>IF(OR(U3751="",U3751="ERRO_CHAVE"),"",IFERROR(MATCH(U3751,Fornecedores!$AF$1:$AF$6631,0),""))</f>
        <v/>
      </c>
      <c r="W3751" t="str">
        <f t="shared" si="3"/>
        <v/>
      </c>
      <c r="X3751" s="4" t="str">
        <f>IF(V3751="","",INDEX(Fornecedores!$X$1:$X$6631,V3751))</f>
        <v/>
      </c>
      <c r="Y3751" s="4" t="str">
        <f t="shared" si="4"/>
        <v/>
      </c>
    </row>
    <row r="3752" spans="19:25">
      <c r="S3752" t="str">
        <f t="shared" si="0"/>
        <v/>
      </c>
      <c r="T3752" t="str">
        <f t="shared" si="1"/>
        <v/>
      </c>
      <c r="U3752" t="str">
        <f t="shared" si="2"/>
        <v/>
      </c>
      <c r="V3752" t="str">
        <f>IF(OR(U3752="",U3752="ERRO_CHAVE"),"",IFERROR(MATCH(U3752,Fornecedores!$AF$1:$AF$6631,0),""))</f>
        <v/>
      </c>
      <c r="W3752" t="str">
        <f t="shared" si="3"/>
        <v/>
      </c>
      <c r="X3752" s="4" t="str">
        <f>IF(V3752="","",INDEX(Fornecedores!$X$1:$X$6631,V3752))</f>
        <v/>
      </c>
      <c r="Y3752" s="4" t="str">
        <f t="shared" si="4"/>
        <v/>
      </c>
    </row>
    <row r="3753" spans="19:25">
      <c r="S3753" t="str">
        <f t="shared" si="0"/>
        <v/>
      </c>
      <c r="T3753" t="str">
        <f t="shared" si="1"/>
        <v/>
      </c>
      <c r="U3753" t="str">
        <f t="shared" si="2"/>
        <v/>
      </c>
      <c r="V3753" t="str">
        <f>IF(OR(U3753="",U3753="ERRO_CHAVE"),"",IFERROR(MATCH(U3753,Fornecedores!$AF$1:$AF$6631,0),""))</f>
        <v/>
      </c>
      <c r="W3753" t="str">
        <f t="shared" si="3"/>
        <v/>
      </c>
      <c r="X3753" s="4" t="str">
        <f>IF(V3753="","",INDEX(Fornecedores!$X$1:$X$6631,V3753))</f>
        <v/>
      </c>
      <c r="Y3753" s="4" t="str">
        <f t="shared" si="4"/>
        <v/>
      </c>
    </row>
    <row r="3754" spans="19:25">
      <c r="S3754" t="str">
        <f t="shared" si="0"/>
        <v/>
      </c>
      <c r="T3754" t="str">
        <f t="shared" si="1"/>
        <v/>
      </c>
      <c r="U3754" t="str">
        <f t="shared" si="2"/>
        <v/>
      </c>
      <c r="V3754" t="str">
        <f>IF(OR(U3754="",U3754="ERRO_CHAVE"),"",IFERROR(MATCH(U3754,Fornecedores!$AF$1:$AF$6631,0),""))</f>
        <v/>
      </c>
      <c r="W3754" t="str">
        <f t="shared" si="3"/>
        <v/>
      </c>
      <c r="X3754" s="4" t="str">
        <f>IF(V3754="","",INDEX(Fornecedores!$X$1:$X$6631,V3754))</f>
        <v/>
      </c>
      <c r="Y3754" s="4" t="str">
        <f t="shared" si="4"/>
        <v/>
      </c>
    </row>
    <row r="3755" spans="19:25">
      <c r="S3755" t="str">
        <f t="shared" si="0"/>
        <v/>
      </c>
      <c r="T3755" t="str">
        <f t="shared" si="1"/>
        <v/>
      </c>
      <c r="U3755" t="str">
        <f t="shared" si="2"/>
        <v/>
      </c>
      <c r="V3755" t="str">
        <f>IF(OR(U3755="",U3755="ERRO_CHAVE"),"",IFERROR(MATCH(U3755,Fornecedores!$AF$1:$AF$6631,0),""))</f>
        <v/>
      </c>
      <c r="W3755" t="str">
        <f t="shared" si="3"/>
        <v/>
      </c>
      <c r="X3755" s="4" t="str">
        <f>IF(V3755="","",INDEX(Fornecedores!$X$1:$X$6631,V3755))</f>
        <v/>
      </c>
      <c r="Y3755" s="4" t="str">
        <f t="shared" si="4"/>
        <v/>
      </c>
    </row>
    <row r="3756" spans="19:25">
      <c r="S3756" t="str">
        <f t="shared" si="0"/>
        <v/>
      </c>
      <c r="T3756" t="str">
        <f t="shared" si="1"/>
        <v/>
      </c>
      <c r="U3756" t="str">
        <f t="shared" si="2"/>
        <v/>
      </c>
      <c r="V3756" t="str">
        <f>IF(OR(U3756="",U3756="ERRO_CHAVE"),"",IFERROR(MATCH(U3756,Fornecedores!$AF$1:$AF$6631,0),""))</f>
        <v/>
      </c>
      <c r="W3756" t="str">
        <f t="shared" si="3"/>
        <v/>
      </c>
      <c r="X3756" s="4" t="str">
        <f>IF(V3756="","",INDEX(Fornecedores!$X$1:$X$6631,V3756))</f>
        <v/>
      </c>
      <c r="Y3756" s="4" t="str">
        <f t="shared" si="4"/>
        <v/>
      </c>
    </row>
    <row r="3757" spans="19:25">
      <c r="S3757" t="str">
        <f t="shared" si="0"/>
        <v/>
      </c>
      <c r="T3757" t="str">
        <f t="shared" si="1"/>
        <v/>
      </c>
      <c r="U3757" t="str">
        <f t="shared" si="2"/>
        <v/>
      </c>
      <c r="V3757" t="str">
        <f>IF(OR(U3757="",U3757="ERRO_CHAVE"),"",IFERROR(MATCH(U3757,Fornecedores!$AF$1:$AF$6631,0),""))</f>
        <v/>
      </c>
      <c r="W3757" t="str">
        <f t="shared" si="3"/>
        <v/>
      </c>
      <c r="X3757" s="4" t="str">
        <f>IF(V3757="","",INDEX(Fornecedores!$X$1:$X$6631,V3757))</f>
        <v/>
      </c>
      <c r="Y3757" s="4" t="str">
        <f t="shared" si="4"/>
        <v/>
      </c>
    </row>
    <row r="3758" spans="19:25">
      <c r="S3758" t="str">
        <f t="shared" si="0"/>
        <v/>
      </c>
      <c r="T3758" t="str">
        <f t="shared" si="1"/>
        <v/>
      </c>
      <c r="U3758" t="str">
        <f t="shared" si="2"/>
        <v/>
      </c>
      <c r="V3758" t="str">
        <f>IF(OR(U3758="",U3758="ERRO_CHAVE"),"",IFERROR(MATCH(U3758,Fornecedores!$AF$1:$AF$6631,0),""))</f>
        <v/>
      </c>
      <c r="W3758" t="str">
        <f t="shared" si="3"/>
        <v/>
      </c>
      <c r="X3758" s="4" t="str">
        <f>IF(V3758="","",INDEX(Fornecedores!$X$1:$X$6631,V3758))</f>
        <v/>
      </c>
      <c r="Y3758" s="4" t="str">
        <f t="shared" si="4"/>
        <v/>
      </c>
    </row>
    <row r="3759" spans="19:25">
      <c r="S3759" t="str">
        <f t="shared" si="0"/>
        <v/>
      </c>
      <c r="T3759" t="str">
        <f t="shared" si="1"/>
        <v/>
      </c>
      <c r="U3759" t="str">
        <f t="shared" si="2"/>
        <v/>
      </c>
      <c r="V3759" t="str">
        <f>IF(OR(U3759="",U3759="ERRO_CHAVE"),"",IFERROR(MATCH(U3759,Fornecedores!$AF$1:$AF$6631,0),""))</f>
        <v/>
      </c>
      <c r="W3759" t="str">
        <f t="shared" si="3"/>
        <v/>
      </c>
      <c r="X3759" s="4" t="str">
        <f>IF(V3759="","",INDEX(Fornecedores!$X$1:$X$6631,V3759))</f>
        <v/>
      </c>
      <c r="Y3759" s="4" t="str">
        <f t="shared" si="4"/>
        <v/>
      </c>
    </row>
    <row r="3760" spans="19:25">
      <c r="S3760" t="str">
        <f t="shared" si="0"/>
        <v/>
      </c>
      <c r="T3760" t="str">
        <f t="shared" si="1"/>
        <v/>
      </c>
      <c r="U3760" t="str">
        <f t="shared" si="2"/>
        <v/>
      </c>
      <c r="V3760" t="str">
        <f>IF(OR(U3760="",U3760="ERRO_CHAVE"),"",IFERROR(MATCH(U3760,Fornecedores!$AF$1:$AF$6631,0),""))</f>
        <v/>
      </c>
      <c r="W3760" t="str">
        <f t="shared" si="3"/>
        <v/>
      </c>
      <c r="X3760" s="4" t="str">
        <f>IF(V3760="","",INDEX(Fornecedores!$X$1:$X$6631,V3760))</f>
        <v/>
      </c>
      <c r="Y3760" s="4" t="str">
        <f t="shared" si="4"/>
        <v/>
      </c>
    </row>
    <row r="3761" spans="19:25">
      <c r="S3761" t="str">
        <f t="shared" si="0"/>
        <v/>
      </c>
      <c r="T3761" t="str">
        <f t="shared" si="1"/>
        <v/>
      </c>
      <c r="U3761" t="str">
        <f t="shared" si="2"/>
        <v/>
      </c>
      <c r="V3761" t="str">
        <f>IF(OR(U3761="",U3761="ERRO_CHAVE"),"",IFERROR(MATCH(U3761,Fornecedores!$AF$1:$AF$6631,0),""))</f>
        <v/>
      </c>
      <c r="W3761" t="str">
        <f t="shared" si="3"/>
        <v/>
      </c>
      <c r="X3761" s="4" t="str">
        <f>IF(V3761="","",INDEX(Fornecedores!$X$1:$X$6631,V3761))</f>
        <v/>
      </c>
      <c r="Y3761" s="4" t="str">
        <f t="shared" si="4"/>
        <v/>
      </c>
    </row>
    <row r="3762" spans="19:25">
      <c r="S3762" t="str">
        <f t="shared" si="0"/>
        <v/>
      </c>
      <c r="T3762" t="str">
        <f t="shared" si="1"/>
        <v/>
      </c>
      <c r="U3762" t="str">
        <f t="shared" si="2"/>
        <v/>
      </c>
      <c r="V3762" t="str">
        <f>IF(OR(U3762="",U3762="ERRO_CHAVE"),"",IFERROR(MATCH(U3762,Fornecedores!$AF$1:$AF$6631,0),""))</f>
        <v/>
      </c>
      <c r="W3762" t="str">
        <f t="shared" si="3"/>
        <v/>
      </c>
      <c r="X3762" s="4" t="str">
        <f>IF(V3762="","",INDEX(Fornecedores!$X$1:$X$6631,V3762))</f>
        <v/>
      </c>
      <c r="Y3762" s="4" t="str">
        <f t="shared" si="4"/>
        <v/>
      </c>
    </row>
    <row r="3763" spans="19:25">
      <c r="S3763" t="str">
        <f t="shared" si="0"/>
        <v/>
      </c>
      <c r="T3763" t="str">
        <f t="shared" si="1"/>
        <v/>
      </c>
      <c r="U3763" t="str">
        <f t="shared" si="2"/>
        <v/>
      </c>
      <c r="V3763" t="str">
        <f>IF(OR(U3763="",U3763="ERRO_CHAVE"),"",IFERROR(MATCH(U3763,Fornecedores!$AF$1:$AF$6631,0),""))</f>
        <v/>
      </c>
      <c r="W3763" t="str">
        <f t="shared" si="3"/>
        <v/>
      </c>
      <c r="X3763" s="4" t="str">
        <f>IF(V3763="","",INDEX(Fornecedores!$X$1:$X$6631,V3763))</f>
        <v/>
      </c>
      <c r="Y3763" s="4" t="str">
        <f t="shared" si="4"/>
        <v/>
      </c>
    </row>
    <row r="3764" spans="19:25">
      <c r="S3764" t="str">
        <f t="shared" si="0"/>
        <v/>
      </c>
      <c r="T3764" t="str">
        <f t="shared" si="1"/>
        <v/>
      </c>
      <c r="U3764" t="str">
        <f t="shared" si="2"/>
        <v/>
      </c>
      <c r="V3764" t="str">
        <f>IF(OR(U3764="",U3764="ERRO_CHAVE"),"",IFERROR(MATCH(U3764,Fornecedores!$AF$1:$AF$6631,0),""))</f>
        <v/>
      </c>
      <c r="W3764" t="str">
        <f t="shared" si="3"/>
        <v/>
      </c>
      <c r="X3764" s="4" t="str">
        <f>IF(V3764="","",INDEX(Fornecedores!$X$1:$X$6631,V3764))</f>
        <v/>
      </c>
      <c r="Y3764" s="4" t="str">
        <f t="shared" si="4"/>
        <v/>
      </c>
    </row>
    <row r="3765" spans="19:25">
      <c r="S3765" t="str">
        <f t="shared" si="0"/>
        <v/>
      </c>
      <c r="T3765" t="str">
        <f t="shared" si="1"/>
        <v/>
      </c>
      <c r="U3765" t="str">
        <f t="shared" si="2"/>
        <v/>
      </c>
      <c r="V3765" t="str">
        <f>IF(OR(U3765="",U3765="ERRO_CHAVE"),"",IFERROR(MATCH(U3765,Fornecedores!$AF$1:$AF$6631,0),""))</f>
        <v/>
      </c>
      <c r="W3765" t="str">
        <f t="shared" si="3"/>
        <v/>
      </c>
      <c r="X3765" s="4" t="str">
        <f>IF(V3765="","",INDEX(Fornecedores!$X$1:$X$6631,V3765))</f>
        <v/>
      </c>
      <c r="Y3765" s="4" t="str">
        <f t="shared" si="4"/>
        <v/>
      </c>
    </row>
    <row r="3766" spans="19:25">
      <c r="S3766" t="str">
        <f t="shared" si="0"/>
        <v/>
      </c>
      <c r="T3766" t="str">
        <f t="shared" si="1"/>
        <v/>
      </c>
      <c r="U3766" t="str">
        <f t="shared" si="2"/>
        <v/>
      </c>
      <c r="V3766" t="str">
        <f>IF(OR(U3766="",U3766="ERRO_CHAVE"),"",IFERROR(MATCH(U3766,Fornecedores!$AF$1:$AF$6631,0),""))</f>
        <v/>
      </c>
      <c r="W3766" t="str">
        <f t="shared" si="3"/>
        <v/>
      </c>
      <c r="X3766" s="4" t="str">
        <f>IF(V3766="","",INDEX(Fornecedores!$X$1:$X$6631,V3766))</f>
        <v/>
      </c>
      <c r="Y3766" s="4" t="str">
        <f t="shared" si="4"/>
        <v/>
      </c>
    </row>
    <row r="3767" spans="19:25">
      <c r="S3767" t="str">
        <f t="shared" si="0"/>
        <v/>
      </c>
      <c r="T3767" t="str">
        <f t="shared" si="1"/>
        <v/>
      </c>
      <c r="U3767" t="str">
        <f t="shared" si="2"/>
        <v/>
      </c>
      <c r="V3767" t="str">
        <f>IF(OR(U3767="",U3767="ERRO_CHAVE"),"",IFERROR(MATCH(U3767,Fornecedores!$AF$1:$AF$6631,0),""))</f>
        <v/>
      </c>
      <c r="W3767" t="str">
        <f t="shared" si="3"/>
        <v/>
      </c>
      <c r="X3767" s="4" t="str">
        <f>IF(V3767="","",INDEX(Fornecedores!$X$1:$X$6631,V3767))</f>
        <v/>
      </c>
      <c r="Y3767" s="4" t="str">
        <f t="shared" si="4"/>
        <v/>
      </c>
    </row>
    <row r="3768" spans="19:25">
      <c r="S3768" t="str">
        <f t="shared" si="0"/>
        <v/>
      </c>
      <c r="T3768" t="str">
        <f t="shared" si="1"/>
        <v/>
      </c>
      <c r="U3768" t="str">
        <f t="shared" si="2"/>
        <v/>
      </c>
      <c r="V3768" t="str">
        <f>IF(OR(U3768="",U3768="ERRO_CHAVE"),"",IFERROR(MATCH(U3768,Fornecedores!$AF$1:$AF$6631,0),""))</f>
        <v/>
      </c>
      <c r="W3768" t="str">
        <f t="shared" si="3"/>
        <v/>
      </c>
      <c r="X3768" s="4" t="str">
        <f>IF(V3768="","",INDEX(Fornecedores!$X$1:$X$6631,V3768))</f>
        <v/>
      </c>
      <c r="Y3768" s="4" t="str">
        <f t="shared" si="4"/>
        <v/>
      </c>
    </row>
    <row r="3769" spans="19:25">
      <c r="S3769" t="str">
        <f t="shared" si="0"/>
        <v/>
      </c>
      <c r="T3769" t="str">
        <f t="shared" si="1"/>
        <v/>
      </c>
      <c r="U3769" t="str">
        <f t="shared" si="2"/>
        <v/>
      </c>
      <c r="V3769" t="str">
        <f>IF(OR(U3769="",U3769="ERRO_CHAVE"),"",IFERROR(MATCH(U3769,Fornecedores!$AF$1:$AF$6631,0),""))</f>
        <v/>
      </c>
      <c r="W3769" t="str">
        <f t="shared" si="3"/>
        <v/>
      </c>
      <c r="X3769" s="4" t="str">
        <f>IF(V3769="","",INDEX(Fornecedores!$X$1:$X$6631,V3769))</f>
        <v/>
      </c>
      <c r="Y3769" s="4" t="str">
        <f t="shared" si="4"/>
        <v/>
      </c>
    </row>
    <row r="3770" spans="19:25">
      <c r="S3770" t="str">
        <f t="shared" si="0"/>
        <v/>
      </c>
      <c r="T3770" t="str">
        <f t="shared" si="1"/>
        <v/>
      </c>
      <c r="U3770" t="str">
        <f t="shared" si="2"/>
        <v/>
      </c>
      <c r="V3770" t="str">
        <f>IF(OR(U3770="",U3770="ERRO_CHAVE"),"",IFERROR(MATCH(U3770,Fornecedores!$AF$1:$AF$6631,0),""))</f>
        <v/>
      </c>
      <c r="W3770" t="str">
        <f t="shared" si="3"/>
        <v/>
      </c>
      <c r="X3770" s="4" t="str">
        <f>IF(V3770="","",INDEX(Fornecedores!$X$1:$X$6631,V3770))</f>
        <v/>
      </c>
      <c r="Y3770" s="4" t="str">
        <f t="shared" si="4"/>
        <v/>
      </c>
    </row>
    <row r="3771" spans="19:25">
      <c r="S3771" t="str">
        <f t="shared" si="0"/>
        <v/>
      </c>
      <c r="T3771" t="str">
        <f t="shared" si="1"/>
        <v/>
      </c>
      <c r="U3771" t="str">
        <f t="shared" si="2"/>
        <v/>
      </c>
      <c r="V3771" t="str">
        <f>IF(OR(U3771="",U3771="ERRO_CHAVE"),"",IFERROR(MATCH(U3771,Fornecedores!$AF$1:$AF$6631,0),""))</f>
        <v/>
      </c>
      <c r="W3771" t="str">
        <f t="shared" si="3"/>
        <v/>
      </c>
      <c r="X3771" s="4" t="str">
        <f>IF(V3771="","",INDEX(Fornecedores!$X$1:$X$6631,V3771))</f>
        <v/>
      </c>
      <c r="Y3771" s="4" t="str">
        <f t="shared" si="4"/>
        <v/>
      </c>
    </row>
    <row r="3772" spans="19:25">
      <c r="S3772" t="str">
        <f t="shared" si="0"/>
        <v/>
      </c>
      <c r="T3772" t="str">
        <f t="shared" si="1"/>
        <v/>
      </c>
      <c r="U3772" t="str">
        <f t="shared" si="2"/>
        <v/>
      </c>
      <c r="V3772" t="str">
        <f>IF(OR(U3772="",U3772="ERRO_CHAVE"),"",IFERROR(MATCH(U3772,Fornecedores!$AF$1:$AF$6631,0),""))</f>
        <v/>
      </c>
      <c r="W3772" t="str">
        <f t="shared" si="3"/>
        <v/>
      </c>
      <c r="X3772" s="4" t="str">
        <f>IF(V3772="","",INDEX(Fornecedores!$X$1:$X$6631,V3772))</f>
        <v/>
      </c>
      <c r="Y3772" s="4" t="str">
        <f t="shared" si="4"/>
        <v/>
      </c>
    </row>
    <row r="3773" spans="19:25">
      <c r="S3773" t="str">
        <f t="shared" si="0"/>
        <v/>
      </c>
      <c r="T3773" t="str">
        <f t="shared" si="1"/>
        <v/>
      </c>
      <c r="U3773" t="str">
        <f t="shared" si="2"/>
        <v/>
      </c>
      <c r="V3773" t="str">
        <f>IF(OR(U3773="",U3773="ERRO_CHAVE"),"",IFERROR(MATCH(U3773,Fornecedores!$AF$1:$AF$6631,0),""))</f>
        <v/>
      </c>
      <c r="W3773" t="str">
        <f t="shared" si="3"/>
        <v/>
      </c>
      <c r="X3773" s="4" t="str">
        <f>IF(V3773="","",INDEX(Fornecedores!$X$1:$X$6631,V3773))</f>
        <v/>
      </c>
      <c r="Y3773" s="4" t="str">
        <f t="shared" si="4"/>
        <v/>
      </c>
    </row>
    <row r="3774" spans="19:25">
      <c r="S3774" t="str">
        <f t="shared" si="0"/>
        <v/>
      </c>
      <c r="T3774" t="str">
        <f t="shared" si="1"/>
        <v/>
      </c>
      <c r="U3774" t="str">
        <f t="shared" si="2"/>
        <v/>
      </c>
      <c r="V3774" t="str">
        <f>IF(OR(U3774="",U3774="ERRO_CHAVE"),"",IFERROR(MATCH(U3774,Fornecedores!$AF$1:$AF$6631,0),""))</f>
        <v/>
      </c>
      <c r="W3774" t="str">
        <f t="shared" si="3"/>
        <v/>
      </c>
      <c r="X3774" s="4" t="str">
        <f>IF(V3774="","",INDEX(Fornecedores!$X$1:$X$6631,V3774))</f>
        <v/>
      </c>
      <c r="Y3774" s="4" t="str">
        <f t="shared" si="4"/>
        <v/>
      </c>
    </row>
    <row r="3775" spans="19:25">
      <c r="S3775" t="str">
        <f t="shared" si="0"/>
        <v/>
      </c>
      <c r="T3775" t="str">
        <f t="shared" si="1"/>
        <v/>
      </c>
      <c r="U3775" t="str">
        <f t="shared" si="2"/>
        <v/>
      </c>
      <c r="V3775" t="str">
        <f>IF(OR(U3775="",U3775="ERRO_CHAVE"),"",IFERROR(MATCH(U3775,Fornecedores!$AF$1:$AF$6631,0),""))</f>
        <v/>
      </c>
      <c r="W3775" t="str">
        <f t="shared" si="3"/>
        <v/>
      </c>
      <c r="X3775" s="4" t="str">
        <f>IF(V3775="","",INDEX(Fornecedores!$X$1:$X$6631,V3775))</f>
        <v/>
      </c>
      <c r="Y3775" s="4" t="str">
        <f t="shared" si="4"/>
        <v/>
      </c>
    </row>
    <row r="3776" spans="19:25">
      <c r="S3776" t="str">
        <f t="shared" si="0"/>
        <v/>
      </c>
      <c r="T3776" t="str">
        <f t="shared" si="1"/>
        <v/>
      </c>
      <c r="U3776" t="str">
        <f t="shared" si="2"/>
        <v/>
      </c>
      <c r="V3776" t="str">
        <f>IF(OR(U3776="",U3776="ERRO_CHAVE"),"",IFERROR(MATCH(U3776,Fornecedores!$AF$1:$AF$6631,0),""))</f>
        <v/>
      </c>
      <c r="W3776" t="str">
        <f t="shared" si="3"/>
        <v/>
      </c>
      <c r="X3776" s="4" t="str">
        <f>IF(V3776="","",INDEX(Fornecedores!$X$1:$X$6631,V3776))</f>
        <v/>
      </c>
      <c r="Y3776" s="4" t="str">
        <f t="shared" si="4"/>
        <v/>
      </c>
    </row>
    <row r="3777" spans="19:25">
      <c r="S3777" t="str">
        <f t="shared" si="0"/>
        <v/>
      </c>
      <c r="T3777" t="str">
        <f t="shared" si="1"/>
        <v/>
      </c>
      <c r="U3777" t="str">
        <f t="shared" si="2"/>
        <v/>
      </c>
      <c r="V3777" t="str">
        <f>IF(OR(U3777="",U3777="ERRO_CHAVE"),"",IFERROR(MATCH(U3777,Fornecedores!$AF$1:$AF$6631,0),""))</f>
        <v/>
      </c>
      <c r="W3777" t="str">
        <f t="shared" si="3"/>
        <v/>
      </c>
      <c r="X3777" s="4" t="str">
        <f>IF(V3777="","",INDEX(Fornecedores!$X$1:$X$6631,V3777))</f>
        <v/>
      </c>
      <c r="Y3777" s="4" t="str">
        <f t="shared" si="4"/>
        <v/>
      </c>
    </row>
    <row r="3778" spans="19:25">
      <c r="S3778" t="str">
        <f t="shared" si="0"/>
        <v/>
      </c>
      <c r="T3778" t="str">
        <f t="shared" si="1"/>
        <v/>
      </c>
      <c r="U3778" t="str">
        <f t="shared" si="2"/>
        <v/>
      </c>
      <c r="V3778" t="str">
        <f>IF(OR(U3778="",U3778="ERRO_CHAVE"),"",IFERROR(MATCH(U3778,Fornecedores!$AF$1:$AF$6631,0),""))</f>
        <v/>
      </c>
      <c r="W3778" t="str">
        <f t="shared" si="3"/>
        <v/>
      </c>
      <c r="X3778" s="4" t="str">
        <f>IF(V3778="","",INDEX(Fornecedores!$X$1:$X$6631,V3778))</f>
        <v/>
      </c>
      <c r="Y3778" s="4" t="str">
        <f t="shared" si="4"/>
        <v/>
      </c>
    </row>
    <row r="3779" spans="19:25">
      <c r="S3779" t="str">
        <f t="shared" si="0"/>
        <v/>
      </c>
      <c r="T3779" t="str">
        <f t="shared" si="1"/>
        <v/>
      </c>
      <c r="U3779" t="str">
        <f t="shared" si="2"/>
        <v/>
      </c>
      <c r="V3779" t="str">
        <f>IF(OR(U3779="",U3779="ERRO_CHAVE"),"",IFERROR(MATCH(U3779,Fornecedores!$AF$1:$AF$6631,0),""))</f>
        <v/>
      </c>
      <c r="W3779" t="str">
        <f t="shared" si="3"/>
        <v/>
      </c>
      <c r="X3779" s="4" t="str">
        <f>IF(V3779="","",INDEX(Fornecedores!$X$1:$X$6631,V3779))</f>
        <v/>
      </c>
      <c r="Y3779" s="4" t="str">
        <f t="shared" si="4"/>
        <v/>
      </c>
    </row>
    <row r="3780" spans="19:25">
      <c r="S3780" t="str">
        <f t="shared" si="0"/>
        <v/>
      </c>
      <c r="T3780" t="str">
        <f t="shared" si="1"/>
        <v/>
      </c>
      <c r="U3780" t="str">
        <f t="shared" si="2"/>
        <v/>
      </c>
      <c r="V3780" t="str">
        <f>IF(OR(U3780="",U3780="ERRO_CHAVE"),"",IFERROR(MATCH(U3780,Fornecedores!$AF$1:$AF$6631,0),""))</f>
        <v/>
      </c>
      <c r="W3780" t="str">
        <f t="shared" si="3"/>
        <v/>
      </c>
      <c r="X3780" s="4" t="str">
        <f>IF(V3780="","",INDEX(Fornecedores!$X$1:$X$6631,V3780))</f>
        <v/>
      </c>
      <c r="Y3780" s="4" t="str">
        <f t="shared" si="4"/>
        <v/>
      </c>
    </row>
    <row r="3781" spans="19:25">
      <c r="S3781" t="str">
        <f t="shared" si="0"/>
        <v/>
      </c>
      <c r="T3781" t="str">
        <f t="shared" si="1"/>
        <v/>
      </c>
      <c r="U3781" t="str">
        <f t="shared" si="2"/>
        <v/>
      </c>
      <c r="V3781" t="str">
        <f>IF(OR(U3781="",U3781="ERRO_CHAVE"),"",IFERROR(MATCH(U3781,Fornecedores!$AF$1:$AF$6631,0),""))</f>
        <v/>
      </c>
      <c r="W3781" t="str">
        <f t="shared" si="3"/>
        <v/>
      </c>
      <c r="X3781" s="4" t="str">
        <f>IF(V3781="","",INDEX(Fornecedores!$X$1:$X$6631,V3781))</f>
        <v/>
      </c>
      <c r="Y3781" s="4" t="str">
        <f t="shared" si="4"/>
        <v/>
      </c>
    </row>
    <row r="3782" spans="19:25">
      <c r="S3782" t="str">
        <f t="shared" si="0"/>
        <v/>
      </c>
      <c r="T3782" t="str">
        <f t="shared" si="1"/>
        <v/>
      </c>
      <c r="U3782" t="str">
        <f t="shared" si="2"/>
        <v/>
      </c>
      <c r="V3782" t="str">
        <f>IF(OR(U3782="",U3782="ERRO_CHAVE"),"",IFERROR(MATCH(U3782,Fornecedores!$AF$1:$AF$6631,0),""))</f>
        <v/>
      </c>
      <c r="W3782" t="str">
        <f t="shared" si="3"/>
        <v/>
      </c>
      <c r="X3782" s="4" t="str">
        <f>IF(V3782="","",INDEX(Fornecedores!$X$1:$X$6631,V3782))</f>
        <v/>
      </c>
      <c r="Y3782" s="4" t="str">
        <f t="shared" si="4"/>
        <v/>
      </c>
    </row>
    <row r="3783" spans="19:25">
      <c r="S3783" t="str">
        <f t="shared" si="0"/>
        <v/>
      </c>
      <c r="T3783" t="str">
        <f t="shared" si="1"/>
        <v/>
      </c>
      <c r="U3783" t="str">
        <f t="shared" si="2"/>
        <v/>
      </c>
      <c r="V3783" t="str">
        <f>IF(OR(U3783="",U3783="ERRO_CHAVE"),"",IFERROR(MATCH(U3783,Fornecedores!$AF$1:$AF$6631,0),""))</f>
        <v/>
      </c>
      <c r="W3783" t="str">
        <f t="shared" si="3"/>
        <v/>
      </c>
      <c r="X3783" s="4" t="str">
        <f>IF(V3783="","",INDEX(Fornecedores!$X$1:$X$6631,V3783))</f>
        <v/>
      </c>
      <c r="Y3783" s="4" t="str">
        <f t="shared" si="4"/>
        <v/>
      </c>
    </row>
    <row r="3784" spans="19:25">
      <c r="S3784" t="str">
        <f t="shared" si="0"/>
        <v/>
      </c>
      <c r="T3784" t="str">
        <f t="shared" si="1"/>
        <v/>
      </c>
      <c r="U3784" t="str">
        <f t="shared" si="2"/>
        <v/>
      </c>
      <c r="V3784" t="str">
        <f>IF(OR(U3784="",U3784="ERRO_CHAVE"),"",IFERROR(MATCH(U3784,Fornecedores!$AF$1:$AF$6631,0),""))</f>
        <v/>
      </c>
      <c r="W3784" t="str">
        <f t="shared" si="3"/>
        <v/>
      </c>
      <c r="X3784" s="4" t="str">
        <f>IF(V3784="","",INDEX(Fornecedores!$X$1:$X$6631,V3784))</f>
        <v/>
      </c>
      <c r="Y3784" s="4" t="str">
        <f t="shared" si="4"/>
        <v/>
      </c>
    </row>
    <row r="3785" spans="19:25">
      <c r="S3785" t="str">
        <f t="shared" si="0"/>
        <v/>
      </c>
      <c r="T3785" t="str">
        <f t="shared" si="1"/>
        <v/>
      </c>
      <c r="U3785" t="str">
        <f t="shared" si="2"/>
        <v/>
      </c>
      <c r="V3785" t="str">
        <f>IF(OR(U3785="",U3785="ERRO_CHAVE"),"",IFERROR(MATCH(U3785,Fornecedores!$AF$1:$AF$6631,0),""))</f>
        <v/>
      </c>
      <c r="W3785" t="str">
        <f t="shared" si="3"/>
        <v/>
      </c>
      <c r="X3785" s="4" t="str">
        <f>IF(V3785="","",INDEX(Fornecedores!$X$1:$X$6631,V3785))</f>
        <v/>
      </c>
      <c r="Y3785" s="4" t="str">
        <f t="shared" si="4"/>
        <v/>
      </c>
    </row>
    <row r="3786" spans="19:25">
      <c r="S3786" t="str">
        <f t="shared" si="0"/>
        <v/>
      </c>
      <c r="T3786" t="str">
        <f t="shared" si="1"/>
        <v/>
      </c>
      <c r="U3786" t="str">
        <f t="shared" si="2"/>
        <v/>
      </c>
      <c r="V3786" t="str">
        <f>IF(OR(U3786="",U3786="ERRO_CHAVE"),"",IFERROR(MATCH(U3786,Fornecedores!$AF$1:$AF$6631,0),""))</f>
        <v/>
      </c>
      <c r="W3786" t="str">
        <f t="shared" si="3"/>
        <v/>
      </c>
      <c r="X3786" s="4" t="str">
        <f>IF(V3786="","",INDEX(Fornecedores!$X$1:$X$6631,V3786))</f>
        <v/>
      </c>
      <c r="Y3786" s="4" t="str">
        <f t="shared" si="4"/>
        <v/>
      </c>
    </row>
    <row r="3787" spans="19:25">
      <c r="S3787" t="str">
        <f t="shared" si="0"/>
        <v/>
      </c>
      <c r="T3787" t="str">
        <f t="shared" si="1"/>
        <v/>
      </c>
      <c r="U3787" t="str">
        <f t="shared" si="2"/>
        <v/>
      </c>
      <c r="V3787" t="str">
        <f>IF(OR(U3787="",U3787="ERRO_CHAVE"),"",IFERROR(MATCH(U3787,Fornecedores!$AF$1:$AF$6631,0),""))</f>
        <v/>
      </c>
      <c r="W3787" t="str">
        <f t="shared" si="3"/>
        <v/>
      </c>
      <c r="X3787" s="4" t="str">
        <f>IF(V3787="","",INDEX(Fornecedores!$X$1:$X$6631,V3787))</f>
        <v/>
      </c>
      <c r="Y3787" s="4" t="str">
        <f t="shared" si="4"/>
        <v/>
      </c>
    </row>
    <row r="3788" spans="19:25">
      <c r="S3788" t="str">
        <f t="shared" si="0"/>
        <v/>
      </c>
      <c r="T3788" t="str">
        <f t="shared" si="1"/>
        <v/>
      </c>
      <c r="U3788" t="str">
        <f t="shared" si="2"/>
        <v/>
      </c>
      <c r="V3788" t="str">
        <f>IF(OR(U3788="",U3788="ERRO_CHAVE"),"",IFERROR(MATCH(U3788,Fornecedores!$AF$1:$AF$6631,0),""))</f>
        <v/>
      </c>
      <c r="W3788" t="str">
        <f t="shared" si="3"/>
        <v/>
      </c>
      <c r="X3788" s="4" t="str">
        <f>IF(V3788="","",INDEX(Fornecedores!$X$1:$X$6631,V3788))</f>
        <v/>
      </c>
      <c r="Y3788" s="4" t="str">
        <f t="shared" si="4"/>
        <v/>
      </c>
    </row>
    <row r="3789" spans="19:25">
      <c r="S3789" t="str">
        <f t="shared" si="0"/>
        <v/>
      </c>
      <c r="T3789" t="str">
        <f t="shared" si="1"/>
        <v/>
      </c>
      <c r="U3789" t="str">
        <f t="shared" si="2"/>
        <v/>
      </c>
      <c r="V3789" t="str">
        <f>IF(OR(U3789="",U3789="ERRO_CHAVE"),"",IFERROR(MATCH(U3789,Fornecedores!$AF$1:$AF$6631,0),""))</f>
        <v/>
      </c>
      <c r="W3789" t="str">
        <f t="shared" si="3"/>
        <v/>
      </c>
      <c r="X3789" s="4" t="str">
        <f>IF(V3789="","",INDEX(Fornecedores!$X$1:$X$6631,V3789))</f>
        <v/>
      </c>
      <c r="Y3789" s="4" t="str">
        <f t="shared" si="4"/>
        <v/>
      </c>
    </row>
    <row r="3790" spans="19:25">
      <c r="S3790" t="str">
        <f t="shared" si="0"/>
        <v/>
      </c>
      <c r="T3790" t="str">
        <f t="shared" si="1"/>
        <v/>
      </c>
      <c r="U3790" t="str">
        <f t="shared" si="2"/>
        <v/>
      </c>
      <c r="V3790" t="str">
        <f>IF(OR(U3790="",U3790="ERRO_CHAVE"),"",IFERROR(MATCH(U3790,Fornecedores!$AF$1:$AF$6631,0),""))</f>
        <v/>
      </c>
      <c r="W3790" t="str">
        <f t="shared" si="3"/>
        <v/>
      </c>
      <c r="X3790" s="4" t="str">
        <f>IF(V3790="","",INDEX(Fornecedores!$X$1:$X$6631,V3790))</f>
        <v/>
      </c>
      <c r="Y3790" s="4" t="str">
        <f t="shared" si="4"/>
        <v/>
      </c>
    </row>
    <row r="3791" spans="19:25">
      <c r="S3791" t="str">
        <f t="shared" si="0"/>
        <v/>
      </c>
      <c r="T3791" t="str">
        <f t="shared" si="1"/>
        <v/>
      </c>
      <c r="U3791" t="str">
        <f t="shared" si="2"/>
        <v/>
      </c>
      <c r="V3791" t="str">
        <f>IF(OR(U3791="",U3791="ERRO_CHAVE"),"",IFERROR(MATCH(U3791,Fornecedores!$AF$1:$AF$6631,0),""))</f>
        <v/>
      </c>
      <c r="W3791" t="str">
        <f t="shared" si="3"/>
        <v/>
      </c>
      <c r="X3791" s="4" t="str">
        <f>IF(V3791="","",INDEX(Fornecedores!$X$1:$X$6631,V3791))</f>
        <v/>
      </c>
      <c r="Y3791" s="4" t="str">
        <f t="shared" si="4"/>
        <v/>
      </c>
    </row>
    <row r="3792" spans="19:25">
      <c r="S3792" t="str">
        <f t="shared" si="0"/>
        <v/>
      </c>
      <c r="T3792" t="str">
        <f t="shared" si="1"/>
        <v/>
      </c>
      <c r="U3792" t="str">
        <f t="shared" si="2"/>
        <v/>
      </c>
      <c r="V3792" t="str">
        <f>IF(OR(U3792="",U3792="ERRO_CHAVE"),"",IFERROR(MATCH(U3792,Fornecedores!$AF$1:$AF$6631,0),""))</f>
        <v/>
      </c>
      <c r="W3792" t="str">
        <f t="shared" si="3"/>
        <v/>
      </c>
      <c r="X3792" s="4" t="str">
        <f>IF(V3792="","",INDEX(Fornecedores!$X$1:$X$6631,V3792))</f>
        <v/>
      </c>
      <c r="Y3792" s="4" t="str">
        <f t="shared" si="4"/>
        <v/>
      </c>
    </row>
    <row r="3793" spans="19:25">
      <c r="S3793" t="str">
        <f t="shared" si="0"/>
        <v/>
      </c>
      <c r="T3793" t="str">
        <f t="shared" si="1"/>
        <v/>
      </c>
      <c r="U3793" t="str">
        <f t="shared" si="2"/>
        <v/>
      </c>
      <c r="V3793" t="str">
        <f>IF(OR(U3793="",U3793="ERRO_CHAVE"),"",IFERROR(MATCH(U3793,Fornecedores!$AF$1:$AF$6631,0),""))</f>
        <v/>
      </c>
      <c r="W3793" t="str">
        <f t="shared" si="3"/>
        <v/>
      </c>
      <c r="X3793" s="4" t="str">
        <f>IF(V3793="","",INDEX(Fornecedores!$X$1:$X$6631,V3793))</f>
        <v/>
      </c>
      <c r="Y3793" s="4" t="str">
        <f t="shared" si="4"/>
        <v/>
      </c>
    </row>
    <row r="3794" spans="19:25">
      <c r="S3794" t="str">
        <f t="shared" si="0"/>
        <v/>
      </c>
      <c r="T3794" t="str">
        <f t="shared" si="1"/>
        <v/>
      </c>
      <c r="U3794" t="str">
        <f t="shared" si="2"/>
        <v/>
      </c>
      <c r="V3794" t="str">
        <f>IF(OR(U3794="",U3794="ERRO_CHAVE"),"",IFERROR(MATCH(U3794,Fornecedores!$AF$1:$AF$6631,0),""))</f>
        <v/>
      </c>
      <c r="W3794" t="str">
        <f t="shared" si="3"/>
        <v/>
      </c>
      <c r="X3794" s="4" t="str">
        <f>IF(V3794="","",INDEX(Fornecedores!$X$1:$X$6631,V3794))</f>
        <v/>
      </c>
      <c r="Y3794" s="4" t="str">
        <f t="shared" si="4"/>
        <v/>
      </c>
    </row>
    <row r="3795" spans="19:25">
      <c r="S3795" t="str">
        <f t="shared" si="0"/>
        <v/>
      </c>
      <c r="T3795" t="str">
        <f t="shared" si="1"/>
        <v/>
      </c>
      <c r="U3795" t="str">
        <f t="shared" si="2"/>
        <v/>
      </c>
      <c r="V3795" t="str">
        <f>IF(OR(U3795="",U3795="ERRO_CHAVE"),"",IFERROR(MATCH(U3795,Fornecedores!$AF$1:$AF$6631,0),""))</f>
        <v/>
      </c>
      <c r="W3795" t="str">
        <f t="shared" si="3"/>
        <v/>
      </c>
      <c r="X3795" s="4" t="str">
        <f>IF(V3795="","",INDEX(Fornecedores!$X$1:$X$6631,V3795))</f>
        <v/>
      </c>
      <c r="Y3795" s="4" t="str">
        <f t="shared" si="4"/>
        <v/>
      </c>
    </row>
    <row r="3796" spans="19:25">
      <c r="S3796" t="str">
        <f t="shared" si="0"/>
        <v/>
      </c>
      <c r="T3796" t="str">
        <f t="shared" si="1"/>
        <v/>
      </c>
      <c r="U3796" t="str">
        <f t="shared" si="2"/>
        <v/>
      </c>
      <c r="V3796" t="str">
        <f>IF(OR(U3796="",U3796="ERRO_CHAVE"),"",IFERROR(MATCH(U3796,Fornecedores!$AF$1:$AF$6631,0),""))</f>
        <v/>
      </c>
      <c r="W3796" t="str">
        <f t="shared" si="3"/>
        <v/>
      </c>
      <c r="X3796" s="4" t="str">
        <f>IF(V3796="","",INDEX(Fornecedores!$X$1:$X$6631,V3796))</f>
        <v/>
      </c>
      <c r="Y3796" s="4" t="str">
        <f t="shared" si="4"/>
        <v/>
      </c>
    </row>
    <row r="3797" spans="19:25">
      <c r="S3797" t="str">
        <f t="shared" si="0"/>
        <v/>
      </c>
      <c r="T3797" t="str">
        <f t="shared" si="1"/>
        <v/>
      </c>
      <c r="U3797" t="str">
        <f t="shared" si="2"/>
        <v/>
      </c>
      <c r="V3797" t="str">
        <f>IF(OR(U3797="",U3797="ERRO_CHAVE"),"",IFERROR(MATCH(U3797,Fornecedores!$AF$1:$AF$6631,0),""))</f>
        <v/>
      </c>
      <c r="W3797" t="str">
        <f t="shared" si="3"/>
        <v/>
      </c>
      <c r="X3797" s="4" t="str">
        <f>IF(V3797="","",INDEX(Fornecedores!$X$1:$X$6631,V3797))</f>
        <v/>
      </c>
      <c r="Y3797" s="4" t="str">
        <f t="shared" si="4"/>
        <v/>
      </c>
    </row>
    <row r="3798" spans="19:25">
      <c r="S3798" t="str">
        <f t="shared" si="0"/>
        <v/>
      </c>
      <c r="T3798" t="str">
        <f t="shared" si="1"/>
        <v/>
      </c>
      <c r="U3798" t="str">
        <f t="shared" si="2"/>
        <v/>
      </c>
      <c r="V3798" t="str">
        <f>IF(OR(U3798="",U3798="ERRO_CHAVE"),"",IFERROR(MATCH(U3798,Fornecedores!$AF$1:$AF$6631,0),""))</f>
        <v/>
      </c>
      <c r="W3798" t="str">
        <f t="shared" si="3"/>
        <v/>
      </c>
      <c r="X3798" s="4" t="str">
        <f>IF(V3798="","",INDEX(Fornecedores!$X$1:$X$6631,V3798))</f>
        <v/>
      </c>
      <c r="Y3798" s="4" t="str">
        <f t="shared" si="4"/>
        <v/>
      </c>
    </row>
    <row r="3799" spans="19:25">
      <c r="S3799" t="str">
        <f t="shared" si="0"/>
        <v/>
      </c>
      <c r="T3799" t="str">
        <f t="shared" si="1"/>
        <v/>
      </c>
      <c r="U3799" t="str">
        <f t="shared" si="2"/>
        <v/>
      </c>
      <c r="V3799" t="str">
        <f>IF(OR(U3799="",U3799="ERRO_CHAVE"),"",IFERROR(MATCH(U3799,Fornecedores!$AF$1:$AF$6631,0),""))</f>
        <v/>
      </c>
      <c r="W3799" t="str">
        <f t="shared" si="3"/>
        <v/>
      </c>
      <c r="X3799" s="4" t="str">
        <f>IF(V3799="","",INDEX(Fornecedores!$X$1:$X$6631,V3799))</f>
        <v/>
      </c>
      <c r="Y3799" s="4" t="str">
        <f t="shared" si="4"/>
        <v/>
      </c>
    </row>
    <row r="3800" spans="19:25">
      <c r="S3800" t="str">
        <f t="shared" si="0"/>
        <v/>
      </c>
      <c r="T3800" t="str">
        <f t="shared" si="1"/>
        <v/>
      </c>
      <c r="U3800" t="str">
        <f t="shared" si="2"/>
        <v/>
      </c>
      <c r="V3800" t="str">
        <f>IF(OR(U3800="",U3800="ERRO_CHAVE"),"",IFERROR(MATCH(U3800,Fornecedores!$AF$1:$AF$6631,0),""))</f>
        <v/>
      </c>
      <c r="W3800" t="str">
        <f t="shared" si="3"/>
        <v/>
      </c>
      <c r="X3800" s="4" t="str">
        <f>IF(V3800="","",INDEX(Fornecedores!$X$1:$X$6631,V3800))</f>
        <v/>
      </c>
      <c r="Y3800" s="4" t="str">
        <f t="shared" si="4"/>
        <v/>
      </c>
    </row>
    <row r="3801" spans="19:25">
      <c r="S3801" t="str">
        <f t="shared" si="0"/>
        <v/>
      </c>
      <c r="T3801" t="str">
        <f t="shared" si="1"/>
        <v/>
      </c>
      <c r="U3801" t="str">
        <f t="shared" si="2"/>
        <v/>
      </c>
      <c r="V3801" t="str">
        <f>IF(OR(U3801="",U3801="ERRO_CHAVE"),"",IFERROR(MATCH(U3801,Fornecedores!$AF$1:$AF$6631,0),""))</f>
        <v/>
      </c>
      <c r="W3801" t="str">
        <f t="shared" si="3"/>
        <v/>
      </c>
      <c r="X3801" s="4" t="str">
        <f>IF(V3801="","",INDEX(Fornecedores!$X$1:$X$6631,V3801))</f>
        <v/>
      </c>
      <c r="Y3801" s="4" t="str">
        <f t="shared" si="4"/>
        <v/>
      </c>
    </row>
    <row r="3802" spans="19:25">
      <c r="S3802" t="str">
        <f t="shared" si="0"/>
        <v/>
      </c>
      <c r="T3802" t="str">
        <f t="shared" si="1"/>
        <v/>
      </c>
      <c r="U3802" t="str">
        <f t="shared" si="2"/>
        <v/>
      </c>
      <c r="V3802" t="str">
        <f>IF(OR(U3802="",U3802="ERRO_CHAVE"),"",IFERROR(MATCH(U3802,Fornecedores!$AF$1:$AF$6631,0),""))</f>
        <v/>
      </c>
      <c r="W3802" t="str">
        <f t="shared" si="3"/>
        <v/>
      </c>
      <c r="X3802" s="4" t="str">
        <f>IF(V3802="","",INDEX(Fornecedores!$X$1:$X$6631,V3802))</f>
        <v/>
      </c>
      <c r="Y3802" s="4" t="str">
        <f t="shared" si="4"/>
        <v/>
      </c>
    </row>
    <row r="3803" spans="19:25">
      <c r="S3803" t="str">
        <f t="shared" si="0"/>
        <v/>
      </c>
      <c r="T3803" t="str">
        <f t="shared" si="1"/>
        <v/>
      </c>
      <c r="U3803" t="str">
        <f t="shared" si="2"/>
        <v/>
      </c>
      <c r="V3803" t="str">
        <f>IF(OR(U3803="",U3803="ERRO_CHAVE"),"",IFERROR(MATCH(U3803,Fornecedores!$AF$1:$AF$6631,0),""))</f>
        <v/>
      </c>
      <c r="W3803" t="str">
        <f t="shared" si="3"/>
        <v/>
      </c>
      <c r="X3803" s="4" t="str">
        <f>IF(V3803="","",INDEX(Fornecedores!$X$1:$X$6631,V3803))</f>
        <v/>
      </c>
      <c r="Y3803" s="4" t="str">
        <f t="shared" si="4"/>
        <v/>
      </c>
    </row>
    <row r="3804" spans="19:25">
      <c r="S3804" t="str">
        <f t="shared" si="0"/>
        <v/>
      </c>
      <c r="T3804" t="str">
        <f t="shared" si="1"/>
        <v/>
      </c>
      <c r="U3804" t="str">
        <f t="shared" si="2"/>
        <v/>
      </c>
      <c r="V3804" t="str">
        <f>IF(OR(U3804="",U3804="ERRO_CHAVE"),"",IFERROR(MATCH(U3804,Fornecedores!$AF$1:$AF$6631,0),""))</f>
        <v/>
      </c>
      <c r="W3804" t="str">
        <f t="shared" si="3"/>
        <v/>
      </c>
      <c r="X3804" s="4" t="str">
        <f>IF(V3804="","",INDEX(Fornecedores!$X$1:$X$6631,V3804))</f>
        <v/>
      </c>
      <c r="Y3804" s="4" t="str">
        <f t="shared" si="4"/>
        <v/>
      </c>
    </row>
    <row r="3805" spans="19:25">
      <c r="S3805" t="str">
        <f t="shared" si="0"/>
        <v/>
      </c>
      <c r="T3805" t="str">
        <f t="shared" si="1"/>
        <v/>
      </c>
      <c r="U3805" t="str">
        <f t="shared" si="2"/>
        <v/>
      </c>
      <c r="V3805" t="str">
        <f>IF(OR(U3805="",U3805="ERRO_CHAVE"),"",IFERROR(MATCH(U3805,Fornecedores!$AF$1:$AF$6631,0),""))</f>
        <v/>
      </c>
      <c r="W3805" t="str">
        <f t="shared" si="3"/>
        <v/>
      </c>
      <c r="X3805" s="4" t="str">
        <f>IF(V3805="","",INDEX(Fornecedores!$X$1:$X$6631,V3805))</f>
        <v/>
      </c>
      <c r="Y3805" s="4" t="str">
        <f t="shared" si="4"/>
        <v/>
      </c>
    </row>
    <row r="3806" spans="19:25">
      <c r="S3806" t="str">
        <f t="shared" si="0"/>
        <v/>
      </c>
      <c r="T3806" t="str">
        <f t="shared" si="1"/>
        <v/>
      </c>
      <c r="U3806" t="str">
        <f t="shared" si="2"/>
        <v/>
      </c>
      <c r="V3806" t="str">
        <f>IF(OR(U3806="",U3806="ERRO_CHAVE"),"",IFERROR(MATCH(U3806,Fornecedores!$AF$1:$AF$6631,0),""))</f>
        <v/>
      </c>
      <c r="W3806" t="str">
        <f t="shared" si="3"/>
        <v/>
      </c>
      <c r="X3806" s="4" t="str">
        <f>IF(V3806="","",INDEX(Fornecedores!$X$1:$X$6631,V3806))</f>
        <v/>
      </c>
      <c r="Y3806" s="4" t="str">
        <f t="shared" si="4"/>
        <v/>
      </c>
    </row>
    <row r="3807" spans="19:25">
      <c r="S3807" t="str">
        <f t="shared" si="0"/>
        <v/>
      </c>
      <c r="T3807" t="str">
        <f t="shared" si="1"/>
        <v/>
      </c>
      <c r="U3807" t="str">
        <f t="shared" si="2"/>
        <v/>
      </c>
      <c r="V3807" t="str">
        <f>IF(OR(U3807="",U3807="ERRO_CHAVE"),"",IFERROR(MATCH(U3807,Fornecedores!$AF$1:$AF$6631,0),""))</f>
        <v/>
      </c>
      <c r="W3807" t="str">
        <f t="shared" si="3"/>
        <v/>
      </c>
      <c r="X3807" s="4" t="str">
        <f>IF(V3807="","",INDEX(Fornecedores!$X$1:$X$6631,V3807))</f>
        <v/>
      </c>
      <c r="Y3807" s="4" t="str">
        <f t="shared" si="4"/>
        <v/>
      </c>
    </row>
    <row r="3808" spans="19:25">
      <c r="S3808" t="str">
        <f t="shared" si="0"/>
        <v/>
      </c>
      <c r="T3808" t="str">
        <f t="shared" si="1"/>
        <v/>
      </c>
      <c r="U3808" t="str">
        <f t="shared" si="2"/>
        <v/>
      </c>
      <c r="V3808" t="str">
        <f>IF(OR(U3808="",U3808="ERRO_CHAVE"),"",IFERROR(MATCH(U3808,Fornecedores!$AF$1:$AF$6631,0),""))</f>
        <v/>
      </c>
      <c r="W3808" t="str">
        <f t="shared" si="3"/>
        <v/>
      </c>
      <c r="X3808" s="4" t="str">
        <f>IF(V3808="","",INDEX(Fornecedores!$X$1:$X$6631,V3808))</f>
        <v/>
      </c>
      <c r="Y3808" s="4" t="str">
        <f t="shared" si="4"/>
        <v/>
      </c>
    </row>
    <row r="3809" spans="19:25">
      <c r="S3809" t="str">
        <f t="shared" si="0"/>
        <v/>
      </c>
      <c r="T3809" t="str">
        <f t="shared" si="1"/>
        <v/>
      </c>
      <c r="U3809" t="str">
        <f t="shared" si="2"/>
        <v/>
      </c>
      <c r="V3809" t="str">
        <f>IF(OR(U3809="",U3809="ERRO_CHAVE"),"",IFERROR(MATCH(U3809,Fornecedores!$AF$1:$AF$6631,0),""))</f>
        <v/>
      </c>
      <c r="W3809" t="str">
        <f t="shared" si="3"/>
        <v/>
      </c>
      <c r="X3809" s="4" t="str">
        <f>IF(V3809="","",INDEX(Fornecedores!$X$1:$X$6631,V3809))</f>
        <v/>
      </c>
      <c r="Y3809" s="4" t="str">
        <f t="shared" si="4"/>
        <v/>
      </c>
    </row>
    <row r="3810" spans="19:25">
      <c r="S3810" t="str">
        <f t="shared" si="0"/>
        <v/>
      </c>
      <c r="T3810" t="str">
        <f t="shared" si="1"/>
        <v/>
      </c>
      <c r="U3810" t="str">
        <f t="shared" si="2"/>
        <v/>
      </c>
      <c r="V3810" t="str">
        <f>IF(OR(U3810="",U3810="ERRO_CHAVE"),"",IFERROR(MATCH(U3810,Fornecedores!$AF$1:$AF$6631,0),""))</f>
        <v/>
      </c>
      <c r="W3810" t="str">
        <f t="shared" si="3"/>
        <v/>
      </c>
      <c r="X3810" s="4" t="str">
        <f>IF(V3810="","",INDEX(Fornecedores!$X$1:$X$6631,V3810))</f>
        <v/>
      </c>
      <c r="Y3810" s="4" t="str">
        <f t="shared" si="4"/>
        <v/>
      </c>
    </row>
    <row r="3811" spans="19:25">
      <c r="S3811" t="str">
        <f t="shared" si="0"/>
        <v/>
      </c>
      <c r="T3811" t="str">
        <f t="shared" si="1"/>
        <v/>
      </c>
      <c r="U3811" t="str">
        <f t="shared" si="2"/>
        <v/>
      </c>
      <c r="V3811" t="str">
        <f>IF(OR(U3811="",U3811="ERRO_CHAVE"),"",IFERROR(MATCH(U3811,Fornecedores!$AF$1:$AF$6631,0),""))</f>
        <v/>
      </c>
      <c r="W3811" t="str">
        <f t="shared" si="3"/>
        <v/>
      </c>
      <c r="X3811" s="4" t="str">
        <f>IF(V3811="","",INDEX(Fornecedores!$X$1:$X$6631,V3811))</f>
        <v/>
      </c>
      <c r="Y3811" s="4" t="str">
        <f t="shared" si="4"/>
        <v/>
      </c>
    </row>
    <row r="3812" spans="19:25">
      <c r="S3812" t="str">
        <f t="shared" si="0"/>
        <v/>
      </c>
      <c r="T3812" t="str">
        <f t="shared" si="1"/>
        <v/>
      </c>
      <c r="U3812" t="str">
        <f t="shared" si="2"/>
        <v/>
      </c>
      <c r="V3812" t="str">
        <f>IF(OR(U3812="",U3812="ERRO_CHAVE"),"",IFERROR(MATCH(U3812,Fornecedores!$AF$1:$AF$6631,0),""))</f>
        <v/>
      </c>
      <c r="W3812" t="str">
        <f t="shared" si="3"/>
        <v/>
      </c>
      <c r="X3812" s="4" t="str">
        <f>IF(V3812="","",INDEX(Fornecedores!$X$1:$X$6631,V3812))</f>
        <v/>
      </c>
      <c r="Y3812" s="4" t="str">
        <f t="shared" si="4"/>
        <v/>
      </c>
    </row>
    <row r="3813" spans="19:25">
      <c r="S3813" t="str">
        <f t="shared" si="0"/>
        <v/>
      </c>
      <c r="T3813" t="str">
        <f t="shared" si="1"/>
        <v/>
      </c>
      <c r="U3813" t="str">
        <f t="shared" si="2"/>
        <v/>
      </c>
      <c r="V3813" t="str">
        <f>IF(OR(U3813="",U3813="ERRO_CHAVE"),"",IFERROR(MATCH(U3813,Fornecedores!$AF$1:$AF$6631,0),""))</f>
        <v/>
      </c>
      <c r="W3813" t="str">
        <f t="shared" si="3"/>
        <v/>
      </c>
      <c r="X3813" s="4" t="str">
        <f>IF(V3813="","",INDEX(Fornecedores!$X$1:$X$6631,V3813))</f>
        <v/>
      </c>
      <c r="Y3813" s="4" t="str">
        <f t="shared" si="4"/>
        <v/>
      </c>
    </row>
    <row r="3814" spans="19:25">
      <c r="S3814" t="str">
        <f t="shared" si="0"/>
        <v/>
      </c>
      <c r="T3814" t="str">
        <f t="shared" si="1"/>
        <v/>
      </c>
      <c r="U3814" t="str">
        <f t="shared" si="2"/>
        <v/>
      </c>
      <c r="V3814" t="str">
        <f>IF(OR(U3814="",U3814="ERRO_CHAVE"),"",IFERROR(MATCH(U3814,Fornecedores!$AF$1:$AF$6631,0),""))</f>
        <v/>
      </c>
      <c r="W3814" t="str">
        <f t="shared" si="3"/>
        <v/>
      </c>
      <c r="X3814" s="4" t="str">
        <f>IF(V3814="","",INDEX(Fornecedores!$X$1:$X$6631,V3814))</f>
        <v/>
      </c>
      <c r="Y3814" s="4" t="str">
        <f t="shared" si="4"/>
        <v/>
      </c>
    </row>
    <row r="3815" spans="19:25">
      <c r="S3815" t="str">
        <f t="shared" si="0"/>
        <v/>
      </c>
      <c r="T3815" t="str">
        <f t="shared" si="1"/>
        <v/>
      </c>
      <c r="U3815" t="str">
        <f t="shared" si="2"/>
        <v/>
      </c>
      <c r="V3815" t="str">
        <f>IF(OR(U3815="",U3815="ERRO_CHAVE"),"",IFERROR(MATCH(U3815,Fornecedores!$AF$1:$AF$6631,0),""))</f>
        <v/>
      </c>
      <c r="W3815" t="str">
        <f t="shared" si="3"/>
        <v/>
      </c>
      <c r="X3815" s="4" t="str">
        <f>IF(V3815="","",INDEX(Fornecedores!$X$1:$X$6631,V3815))</f>
        <v/>
      </c>
      <c r="Y3815" s="4" t="str">
        <f t="shared" si="4"/>
        <v/>
      </c>
    </row>
    <row r="3816" spans="19:25">
      <c r="S3816" t="str">
        <f t="shared" si="0"/>
        <v/>
      </c>
      <c r="T3816" t="str">
        <f t="shared" si="1"/>
        <v/>
      </c>
      <c r="U3816" t="str">
        <f t="shared" si="2"/>
        <v/>
      </c>
      <c r="V3816" t="str">
        <f>IF(OR(U3816="",U3816="ERRO_CHAVE"),"",IFERROR(MATCH(U3816,Fornecedores!$AF$1:$AF$6631,0),""))</f>
        <v/>
      </c>
      <c r="W3816" t="str">
        <f t="shared" si="3"/>
        <v/>
      </c>
      <c r="X3816" s="4" t="str">
        <f>IF(V3816="","",INDEX(Fornecedores!$X$1:$X$6631,V3816))</f>
        <v/>
      </c>
      <c r="Y3816" s="4" t="str">
        <f t="shared" si="4"/>
        <v/>
      </c>
    </row>
    <row r="3817" spans="19:25">
      <c r="S3817" t="str">
        <f t="shared" si="0"/>
        <v/>
      </c>
      <c r="T3817" t="str">
        <f t="shared" si="1"/>
        <v/>
      </c>
      <c r="U3817" t="str">
        <f t="shared" si="2"/>
        <v/>
      </c>
      <c r="V3817" t="str">
        <f>IF(OR(U3817="",U3817="ERRO_CHAVE"),"",IFERROR(MATCH(U3817,Fornecedores!$AF$1:$AF$6631,0),""))</f>
        <v/>
      </c>
      <c r="W3817" t="str">
        <f t="shared" si="3"/>
        <v/>
      </c>
      <c r="X3817" s="4" t="str">
        <f>IF(V3817="","",INDEX(Fornecedores!$X$1:$X$6631,V3817))</f>
        <v/>
      </c>
      <c r="Y3817" s="4" t="str">
        <f t="shared" si="4"/>
        <v/>
      </c>
    </row>
    <row r="3818" spans="19:25">
      <c r="S3818" t="str">
        <f t="shared" si="0"/>
        <v/>
      </c>
      <c r="T3818" t="str">
        <f t="shared" si="1"/>
        <v/>
      </c>
      <c r="U3818" t="str">
        <f t="shared" si="2"/>
        <v/>
      </c>
      <c r="V3818" t="str">
        <f>IF(OR(U3818="",U3818="ERRO_CHAVE"),"",IFERROR(MATCH(U3818,Fornecedores!$AF$1:$AF$6631,0),""))</f>
        <v/>
      </c>
      <c r="W3818" t="str">
        <f t="shared" si="3"/>
        <v/>
      </c>
      <c r="X3818" s="4" t="str">
        <f>IF(V3818="","",INDEX(Fornecedores!$X$1:$X$6631,V3818))</f>
        <v/>
      </c>
      <c r="Y3818" s="4" t="str">
        <f t="shared" si="4"/>
        <v/>
      </c>
    </row>
    <row r="3819" spans="19:25">
      <c r="S3819" t="str">
        <f t="shared" si="0"/>
        <v/>
      </c>
      <c r="T3819" t="str">
        <f t="shared" si="1"/>
        <v/>
      </c>
      <c r="U3819" t="str">
        <f t="shared" si="2"/>
        <v/>
      </c>
      <c r="V3819" t="str">
        <f>IF(OR(U3819="",U3819="ERRO_CHAVE"),"",IFERROR(MATCH(U3819,Fornecedores!$AF$1:$AF$6631,0),""))</f>
        <v/>
      </c>
      <c r="W3819" t="str">
        <f t="shared" si="3"/>
        <v/>
      </c>
      <c r="X3819" s="4" t="str">
        <f>IF(V3819="","",INDEX(Fornecedores!$X$1:$X$6631,V3819))</f>
        <v/>
      </c>
      <c r="Y3819" s="4" t="str">
        <f t="shared" si="4"/>
        <v/>
      </c>
    </row>
    <row r="3820" spans="19:25">
      <c r="S3820" t="str">
        <f t="shared" si="0"/>
        <v/>
      </c>
      <c r="T3820" t="str">
        <f t="shared" si="1"/>
        <v/>
      </c>
      <c r="U3820" t="str">
        <f t="shared" si="2"/>
        <v/>
      </c>
      <c r="V3820" t="str">
        <f>IF(OR(U3820="",U3820="ERRO_CHAVE"),"",IFERROR(MATCH(U3820,Fornecedores!$AF$1:$AF$6631,0),""))</f>
        <v/>
      </c>
      <c r="W3820" t="str">
        <f t="shared" si="3"/>
        <v/>
      </c>
      <c r="X3820" s="4" t="str">
        <f>IF(V3820="","",INDEX(Fornecedores!$X$1:$X$6631,V3820))</f>
        <v/>
      </c>
      <c r="Y3820" s="4" t="str">
        <f t="shared" si="4"/>
        <v/>
      </c>
    </row>
    <row r="3821" spans="19:25">
      <c r="S3821" t="str">
        <f t="shared" si="0"/>
        <v/>
      </c>
      <c r="T3821" t="str">
        <f t="shared" si="1"/>
        <v/>
      </c>
      <c r="U3821" t="str">
        <f t="shared" si="2"/>
        <v/>
      </c>
      <c r="V3821" t="str">
        <f>IF(OR(U3821="",U3821="ERRO_CHAVE"),"",IFERROR(MATCH(U3821,Fornecedores!$AF$1:$AF$6631,0),""))</f>
        <v/>
      </c>
      <c r="W3821" t="str">
        <f t="shared" si="3"/>
        <v/>
      </c>
      <c r="X3821" s="4" t="str">
        <f>IF(V3821="","",INDEX(Fornecedores!$X$1:$X$6631,V3821))</f>
        <v/>
      </c>
      <c r="Y3821" s="4" t="str">
        <f t="shared" si="4"/>
        <v/>
      </c>
    </row>
    <row r="3822" spans="19:25">
      <c r="S3822" t="str">
        <f t="shared" si="0"/>
        <v/>
      </c>
      <c r="T3822" t="str">
        <f t="shared" si="1"/>
        <v/>
      </c>
      <c r="U3822" t="str">
        <f t="shared" si="2"/>
        <v/>
      </c>
      <c r="V3822" t="str">
        <f>IF(OR(U3822="",U3822="ERRO_CHAVE"),"",IFERROR(MATCH(U3822,Fornecedores!$AF$1:$AF$6631,0),""))</f>
        <v/>
      </c>
      <c r="W3822" t="str">
        <f t="shared" si="3"/>
        <v/>
      </c>
      <c r="X3822" s="4" t="str">
        <f>IF(V3822="","",INDEX(Fornecedores!$X$1:$X$6631,V3822))</f>
        <v/>
      </c>
      <c r="Y3822" s="4" t="str">
        <f t="shared" si="4"/>
        <v/>
      </c>
    </row>
    <row r="3823" spans="19:25">
      <c r="S3823" t="str">
        <f t="shared" si="0"/>
        <v/>
      </c>
      <c r="T3823" t="str">
        <f t="shared" si="1"/>
        <v/>
      </c>
      <c r="U3823" t="str">
        <f t="shared" si="2"/>
        <v/>
      </c>
      <c r="V3823" t="str">
        <f>IF(OR(U3823="",U3823="ERRO_CHAVE"),"",IFERROR(MATCH(U3823,Fornecedores!$AF$1:$AF$6631,0),""))</f>
        <v/>
      </c>
      <c r="W3823" t="str">
        <f t="shared" si="3"/>
        <v/>
      </c>
      <c r="X3823" s="4" t="str">
        <f>IF(V3823="","",INDEX(Fornecedores!$X$1:$X$6631,V3823))</f>
        <v/>
      </c>
      <c r="Y3823" s="4" t="str">
        <f t="shared" si="4"/>
        <v/>
      </c>
    </row>
    <row r="3824" spans="19:25">
      <c r="S3824" t="str">
        <f t="shared" si="0"/>
        <v/>
      </c>
      <c r="T3824" t="str">
        <f t="shared" si="1"/>
        <v/>
      </c>
      <c r="U3824" t="str">
        <f t="shared" si="2"/>
        <v/>
      </c>
      <c r="V3824" t="str">
        <f>IF(OR(U3824="",U3824="ERRO_CHAVE"),"",IFERROR(MATCH(U3824,Fornecedores!$AF$1:$AF$6631,0),""))</f>
        <v/>
      </c>
      <c r="W3824" t="str">
        <f t="shared" si="3"/>
        <v/>
      </c>
      <c r="X3824" s="4" t="str">
        <f>IF(V3824="","",INDEX(Fornecedores!$X$1:$X$6631,V3824))</f>
        <v/>
      </c>
      <c r="Y3824" s="4" t="str">
        <f t="shared" si="4"/>
        <v/>
      </c>
    </row>
    <row r="3825" spans="19:25">
      <c r="S3825" t="str">
        <f t="shared" si="0"/>
        <v/>
      </c>
      <c r="T3825" t="str">
        <f t="shared" si="1"/>
        <v/>
      </c>
      <c r="U3825" t="str">
        <f t="shared" si="2"/>
        <v/>
      </c>
      <c r="V3825" t="str">
        <f>IF(OR(U3825="",U3825="ERRO_CHAVE"),"",IFERROR(MATCH(U3825,Fornecedores!$AF$1:$AF$6631,0),""))</f>
        <v/>
      </c>
      <c r="W3825" t="str">
        <f t="shared" si="3"/>
        <v/>
      </c>
      <c r="X3825" s="4" t="str">
        <f>IF(V3825="","",INDEX(Fornecedores!$X$1:$X$6631,V3825))</f>
        <v/>
      </c>
      <c r="Y3825" s="4" t="str">
        <f t="shared" si="4"/>
        <v/>
      </c>
    </row>
    <row r="3826" spans="19:25">
      <c r="S3826" t="str">
        <f t="shared" si="0"/>
        <v/>
      </c>
      <c r="T3826" t="str">
        <f t="shared" si="1"/>
        <v/>
      </c>
      <c r="U3826" t="str">
        <f t="shared" si="2"/>
        <v/>
      </c>
      <c r="V3826" t="str">
        <f>IF(OR(U3826="",U3826="ERRO_CHAVE"),"",IFERROR(MATCH(U3826,Fornecedores!$AF$1:$AF$6631,0),""))</f>
        <v/>
      </c>
      <c r="W3826" t="str">
        <f t="shared" si="3"/>
        <v/>
      </c>
      <c r="X3826" s="4" t="str">
        <f>IF(V3826="","",INDEX(Fornecedores!$X$1:$X$6631,V3826))</f>
        <v/>
      </c>
      <c r="Y3826" s="4" t="str">
        <f t="shared" si="4"/>
        <v/>
      </c>
    </row>
    <row r="3827" spans="19:25">
      <c r="S3827" t="str">
        <f t="shared" si="0"/>
        <v/>
      </c>
      <c r="T3827" t="str">
        <f t="shared" si="1"/>
        <v/>
      </c>
      <c r="U3827" t="str">
        <f t="shared" si="2"/>
        <v/>
      </c>
      <c r="V3827" t="str">
        <f>IF(OR(U3827="",U3827="ERRO_CHAVE"),"",IFERROR(MATCH(U3827,Fornecedores!$AF$1:$AF$6631,0),""))</f>
        <v/>
      </c>
      <c r="W3827" t="str">
        <f t="shared" si="3"/>
        <v/>
      </c>
      <c r="X3827" s="4" t="str">
        <f>IF(V3827="","",INDEX(Fornecedores!$X$1:$X$6631,V3827))</f>
        <v/>
      </c>
      <c r="Y3827" s="4" t="str">
        <f t="shared" si="4"/>
        <v/>
      </c>
    </row>
    <row r="3828" spans="19:25">
      <c r="S3828" t="str">
        <f t="shared" si="0"/>
        <v/>
      </c>
      <c r="T3828" t="str">
        <f t="shared" si="1"/>
        <v/>
      </c>
      <c r="U3828" t="str">
        <f t="shared" si="2"/>
        <v/>
      </c>
      <c r="V3828" t="str">
        <f>IF(OR(U3828="",U3828="ERRO_CHAVE"),"",IFERROR(MATCH(U3828,Fornecedores!$AF$1:$AF$6631,0),""))</f>
        <v/>
      </c>
      <c r="W3828" t="str">
        <f t="shared" si="3"/>
        <v/>
      </c>
      <c r="X3828" s="4" t="str">
        <f>IF(V3828="","",INDEX(Fornecedores!$X$1:$X$6631,V3828))</f>
        <v/>
      </c>
      <c r="Y3828" s="4" t="str">
        <f t="shared" si="4"/>
        <v/>
      </c>
    </row>
    <row r="3829" spans="19:25">
      <c r="S3829" t="str">
        <f t="shared" si="0"/>
        <v/>
      </c>
      <c r="T3829" t="str">
        <f t="shared" si="1"/>
        <v/>
      </c>
      <c r="U3829" t="str">
        <f t="shared" si="2"/>
        <v/>
      </c>
      <c r="V3829" t="str">
        <f>IF(OR(U3829="",U3829="ERRO_CHAVE"),"",IFERROR(MATCH(U3829,Fornecedores!$AF$1:$AF$6631,0),""))</f>
        <v/>
      </c>
      <c r="W3829" t="str">
        <f t="shared" si="3"/>
        <v/>
      </c>
      <c r="X3829" s="4" t="str">
        <f>IF(V3829="","",INDEX(Fornecedores!$X$1:$X$6631,V3829))</f>
        <v/>
      </c>
      <c r="Y3829" s="4" t="str">
        <f t="shared" si="4"/>
        <v/>
      </c>
    </row>
    <row r="3830" spans="19:25">
      <c r="S3830" t="str">
        <f t="shared" si="0"/>
        <v/>
      </c>
      <c r="T3830" t="str">
        <f t="shared" si="1"/>
        <v/>
      </c>
      <c r="U3830" t="str">
        <f t="shared" si="2"/>
        <v/>
      </c>
      <c r="V3830" t="str">
        <f>IF(OR(U3830="",U3830="ERRO_CHAVE"),"",IFERROR(MATCH(U3830,Fornecedores!$AF$1:$AF$6631,0),""))</f>
        <v/>
      </c>
      <c r="W3830" t="str">
        <f t="shared" si="3"/>
        <v/>
      </c>
      <c r="X3830" s="4" t="str">
        <f>IF(V3830="","",INDEX(Fornecedores!$X$1:$X$6631,V3830))</f>
        <v/>
      </c>
      <c r="Y3830" s="4" t="str">
        <f t="shared" si="4"/>
        <v/>
      </c>
    </row>
    <row r="3831" spans="19:25">
      <c r="S3831" t="str">
        <f t="shared" si="0"/>
        <v/>
      </c>
      <c r="T3831" t="str">
        <f t="shared" si="1"/>
        <v/>
      </c>
      <c r="U3831" t="str">
        <f t="shared" si="2"/>
        <v/>
      </c>
      <c r="V3831" t="str">
        <f>IF(OR(U3831="",U3831="ERRO_CHAVE"),"",IFERROR(MATCH(U3831,Fornecedores!$AF$1:$AF$6631,0),""))</f>
        <v/>
      </c>
      <c r="W3831" t="str">
        <f t="shared" si="3"/>
        <v/>
      </c>
      <c r="X3831" s="4" t="str">
        <f>IF(V3831="","",INDEX(Fornecedores!$X$1:$X$6631,V3831))</f>
        <v/>
      </c>
      <c r="Y3831" s="4" t="str">
        <f t="shared" si="4"/>
        <v/>
      </c>
    </row>
    <row r="3832" spans="19:25">
      <c r="S3832" t="str">
        <f t="shared" si="0"/>
        <v/>
      </c>
      <c r="T3832" t="str">
        <f t="shared" si="1"/>
        <v/>
      </c>
      <c r="U3832" t="str">
        <f t="shared" si="2"/>
        <v/>
      </c>
      <c r="V3832" t="str">
        <f>IF(OR(U3832="",U3832="ERRO_CHAVE"),"",IFERROR(MATCH(U3832,Fornecedores!$AF$1:$AF$6631,0),""))</f>
        <v/>
      </c>
      <c r="W3832" t="str">
        <f t="shared" si="3"/>
        <v/>
      </c>
      <c r="X3832" s="4" t="str">
        <f>IF(V3832="","",INDEX(Fornecedores!$X$1:$X$6631,V3832))</f>
        <v/>
      </c>
      <c r="Y3832" s="4" t="str">
        <f t="shared" si="4"/>
        <v/>
      </c>
    </row>
    <row r="3833" spans="19:25">
      <c r="S3833" t="str">
        <f t="shared" si="0"/>
        <v/>
      </c>
      <c r="T3833" t="str">
        <f t="shared" si="1"/>
        <v/>
      </c>
      <c r="U3833" t="str">
        <f t="shared" si="2"/>
        <v/>
      </c>
      <c r="V3833" t="str">
        <f>IF(OR(U3833="",U3833="ERRO_CHAVE"),"",IFERROR(MATCH(U3833,Fornecedores!$AF$1:$AF$6631,0),""))</f>
        <v/>
      </c>
      <c r="W3833" t="str">
        <f t="shared" si="3"/>
        <v/>
      </c>
      <c r="X3833" s="4" t="str">
        <f>IF(V3833="","",INDEX(Fornecedores!$X$1:$X$6631,V3833))</f>
        <v/>
      </c>
      <c r="Y3833" s="4" t="str">
        <f t="shared" si="4"/>
        <v/>
      </c>
    </row>
    <row r="3834" spans="19:25">
      <c r="S3834" t="str">
        <f t="shared" si="0"/>
        <v/>
      </c>
      <c r="T3834" t="str">
        <f t="shared" si="1"/>
        <v/>
      </c>
      <c r="U3834" t="str">
        <f t="shared" si="2"/>
        <v/>
      </c>
      <c r="V3834" t="str">
        <f>IF(OR(U3834="",U3834="ERRO_CHAVE"),"",IFERROR(MATCH(U3834,Fornecedores!$AF$1:$AF$6631,0),""))</f>
        <v/>
      </c>
      <c r="W3834" t="str">
        <f t="shared" si="3"/>
        <v/>
      </c>
      <c r="X3834" s="4" t="str">
        <f>IF(V3834="","",INDEX(Fornecedores!$X$1:$X$6631,V3834))</f>
        <v/>
      </c>
      <c r="Y3834" s="4" t="str">
        <f t="shared" si="4"/>
        <v/>
      </c>
    </row>
    <row r="3835" spans="19:25">
      <c r="S3835" t="str">
        <f t="shared" si="0"/>
        <v/>
      </c>
      <c r="T3835" t="str">
        <f t="shared" si="1"/>
        <v/>
      </c>
      <c r="U3835" t="str">
        <f t="shared" si="2"/>
        <v/>
      </c>
      <c r="V3835" t="str">
        <f>IF(OR(U3835="",U3835="ERRO_CHAVE"),"",IFERROR(MATCH(U3835,Fornecedores!$AF$1:$AF$6631,0),""))</f>
        <v/>
      </c>
      <c r="W3835" t="str">
        <f t="shared" si="3"/>
        <v/>
      </c>
      <c r="X3835" s="4" t="str">
        <f>IF(V3835="","",INDEX(Fornecedores!$X$1:$X$6631,V3835))</f>
        <v/>
      </c>
      <c r="Y3835" s="4" t="str">
        <f t="shared" si="4"/>
        <v/>
      </c>
    </row>
    <row r="3836" spans="19:25">
      <c r="S3836" t="str">
        <f t="shared" si="0"/>
        <v/>
      </c>
      <c r="T3836" t="str">
        <f t="shared" si="1"/>
        <v/>
      </c>
      <c r="U3836" t="str">
        <f t="shared" si="2"/>
        <v/>
      </c>
      <c r="V3836" t="str">
        <f>IF(OR(U3836="",U3836="ERRO_CHAVE"),"",IFERROR(MATCH(U3836,Fornecedores!$AF$1:$AF$6631,0),""))</f>
        <v/>
      </c>
      <c r="W3836" t="str">
        <f t="shared" si="3"/>
        <v/>
      </c>
      <c r="X3836" s="4" t="str">
        <f>IF(V3836="","",INDEX(Fornecedores!$X$1:$X$6631,V3836))</f>
        <v/>
      </c>
      <c r="Y3836" s="4" t="str">
        <f t="shared" si="4"/>
        <v/>
      </c>
    </row>
    <row r="3837" spans="19:25">
      <c r="S3837" t="str">
        <f t="shared" si="0"/>
        <v/>
      </c>
      <c r="T3837" t="str">
        <f t="shared" si="1"/>
        <v/>
      </c>
      <c r="U3837" t="str">
        <f t="shared" si="2"/>
        <v/>
      </c>
      <c r="V3837" t="str">
        <f>IF(OR(U3837="",U3837="ERRO_CHAVE"),"",IFERROR(MATCH(U3837,Fornecedores!$AF$1:$AF$6631,0),""))</f>
        <v/>
      </c>
      <c r="W3837" t="str">
        <f t="shared" si="3"/>
        <v/>
      </c>
      <c r="X3837" s="4" t="str">
        <f>IF(V3837="","",INDEX(Fornecedores!$X$1:$X$6631,V3837))</f>
        <v/>
      </c>
      <c r="Y3837" s="4" t="str">
        <f t="shared" si="4"/>
        <v/>
      </c>
    </row>
    <row r="3838" spans="19:25">
      <c r="S3838" t="str">
        <f t="shared" si="0"/>
        <v/>
      </c>
      <c r="T3838" t="str">
        <f t="shared" si="1"/>
        <v/>
      </c>
      <c r="U3838" t="str">
        <f t="shared" si="2"/>
        <v/>
      </c>
      <c r="V3838" t="str">
        <f>IF(OR(U3838="",U3838="ERRO_CHAVE"),"",IFERROR(MATCH(U3838,Fornecedores!$AF$1:$AF$6631,0),""))</f>
        <v/>
      </c>
      <c r="W3838" t="str">
        <f t="shared" si="3"/>
        <v/>
      </c>
      <c r="X3838" s="4" t="str">
        <f>IF(V3838="","",INDEX(Fornecedores!$X$1:$X$6631,V3838))</f>
        <v/>
      </c>
      <c r="Y3838" s="4" t="str">
        <f t="shared" si="4"/>
        <v/>
      </c>
    </row>
    <row r="3839" spans="19:25">
      <c r="S3839" t="str">
        <f t="shared" si="0"/>
        <v/>
      </c>
      <c r="T3839" t="str">
        <f t="shared" si="1"/>
        <v/>
      </c>
      <c r="U3839" t="str">
        <f t="shared" si="2"/>
        <v/>
      </c>
      <c r="V3839" t="str">
        <f>IF(OR(U3839="",U3839="ERRO_CHAVE"),"",IFERROR(MATCH(U3839,Fornecedores!$AF$1:$AF$6631,0),""))</f>
        <v/>
      </c>
      <c r="W3839" t="str">
        <f t="shared" si="3"/>
        <v/>
      </c>
      <c r="X3839" s="4" t="str">
        <f>IF(V3839="","",INDEX(Fornecedores!$X$1:$X$6631,V3839))</f>
        <v/>
      </c>
      <c r="Y3839" s="4" t="str">
        <f t="shared" si="4"/>
        <v/>
      </c>
    </row>
    <row r="3840" spans="19:25">
      <c r="S3840" t="str">
        <f t="shared" si="0"/>
        <v/>
      </c>
      <c r="T3840" t="str">
        <f t="shared" si="1"/>
        <v/>
      </c>
      <c r="U3840" t="str">
        <f t="shared" si="2"/>
        <v/>
      </c>
      <c r="V3840" t="str">
        <f>IF(OR(U3840="",U3840="ERRO_CHAVE"),"",IFERROR(MATCH(U3840,Fornecedores!$AF$1:$AF$6631,0),""))</f>
        <v/>
      </c>
      <c r="W3840" t="str">
        <f t="shared" si="3"/>
        <v/>
      </c>
      <c r="X3840" s="4" t="str">
        <f>IF(V3840="","",INDEX(Fornecedores!$X$1:$X$6631,V3840))</f>
        <v/>
      </c>
      <c r="Y3840" s="4" t="str">
        <f t="shared" si="4"/>
        <v/>
      </c>
    </row>
    <row r="3841" spans="19:25">
      <c r="S3841" t="str">
        <f t="shared" si="0"/>
        <v/>
      </c>
      <c r="T3841" t="str">
        <f t="shared" si="1"/>
        <v/>
      </c>
      <c r="U3841" t="str">
        <f t="shared" si="2"/>
        <v/>
      </c>
      <c r="V3841" t="str">
        <f>IF(OR(U3841="",U3841="ERRO_CHAVE"),"",IFERROR(MATCH(U3841,Fornecedores!$AF$1:$AF$6631,0),""))</f>
        <v/>
      </c>
      <c r="W3841" t="str">
        <f t="shared" si="3"/>
        <v/>
      </c>
      <c r="X3841" s="4" t="str">
        <f>IF(V3841="","",INDEX(Fornecedores!$X$1:$X$6631,V3841))</f>
        <v/>
      </c>
      <c r="Y3841" s="4" t="str">
        <f t="shared" si="4"/>
        <v/>
      </c>
    </row>
    <row r="3842" spans="19:25">
      <c r="S3842" t="str">
        <f t="shared" si="0"/>
        <v/>
      </c>
      <c r="T3842" t="str">
        <f t="shared" si="1"/>
        <v/>
      </c>
      <c r="U3842" t="str">
        <f t="shared" si="2"/>
        <v/>
      </c>
      <c r="V3842" t="str">
        <f>IF(OR(U3842="",U3842="ERRO_CHAVE"),"",IFERROR(MATCH(U3842,Fornecedores!$AF$1:$AF$6631,0),""))</f>
        <v/>
      </c>
      <c r="W3842" t="str">
        <f t="shared" si="3"/>
        <v/>
      </c>
      <c r="X3842" s="4" t="str">
        <f>IF(V3842="","",INDEX(Fornecedores!$X$1:$X$6631,V3842))</f>
        <v/>
      </c>
      <c r="Y3842" s="4" t="str">
        <f t="shared" si="4"/>
        <v/>
      </c>
    </row>
    <row r="3843" spans="19:25">
      <c r="S3843" t="str">
        <f t="shared" si="0"/>
        <v/>
      </c>
      <c r="T3843" t="str">
        <f t="shared" si="1"/>
        <v/>
      </c>
      <c r="U3843" t="str">
        <f t="shared" si="2"/>
        <v/>
      </c>
      <c r="V3843" t="str">
        <f>IF(OR(U3843="",U3843="ERRO_CHAVE"),"",IFERROR(MATCH(U3843,Fornecedores!$AF$1:$AF$6631,0),""))</f>
        <v/>
      </c>
      <c r="W3843" t="str">
        <f t="shared" si="3"/>
        <v/>
      </c>
      <c r="X3843" s="4" t="str">
        <f>IF(V3843="","",INDEX(Fornecedores!$X$1:$X$6631,V3843))</f>
        <v/>
      </c>
      <c r="Y3843" s="4" t="str">
        <f t="shared" si="4"/>
        <v/>
      </c>
    </row>
    <row r="3844" spans="19:25">
      <c r="S3844" t="str">
        <f t="shared" si="0"/>
        <v/>
      </c>
      <c r="T3844" t="str">
        <f t="shared" si="1"/>
        <v/>
      </c>
      <c r="U3844" t="str">
        <f t="shared" si="2"/>
        <v/>
      </c>
      <c r="V3844" t="str">
        <f>IF(OR(U3844="",U3844="ERRO_CHAVE"),"",IFERROR(MATCH(U3844,Fornecedores!$AF$1:$AF$6631,0),""))</f>
        <v/>
      </c>
      <c r="W3844" t="str">
        <f t="shared" si="3"/>
        <v/>
      </c>
      <c r="X3844" s="4" t="str">
        <f>IF(V3844="","",INDEX(Fornecedores!$X$1:$X$6631,V3844))</f>
        <v/>
      </c>
      <c r="Y3844" s="4" t="str">
        <f t="shared" si="4"/>
        <v/>
      </c>
    </row>
    <row r="3845" spans="19:25">
      <c r="S3845" t="str">
        <f t="shared" si="0"/>
        <v/>
      </c>
      <c r="T3845" t="str">
        <f t="shared" si="1"/>
        <v/>
      </c>
      <c r="U3845" t="str">
        <f t="shared" si="2"/>
        <v/>
      </c>
      <c r="V3845" t="str">
        <f>IF(OR(U3845="",U3845="ERRO_CHAVE"),"",IFERROR(MATCH(U3845,Fornecedores!$AF$1:$AF$6631,0),""))</f>
        <v/>
      </c>
      <c r="W3845" t="str">
        <f t="shared" si="3"/>
        <v/>
      </c>
      <c r="X3845" s="4" t="str">
        <f>IF(V3845="","",INDEX(Fornecedores!$X$1:$X$6631,V3845))</f>
        <v/>
      </c>
      <c r="Y3845" s="4" t="str">
        <f t="shared" si="4"/>
        <v/>
      </c>
    </row>
    <row r="3846" spans="19:25">
      <c r="S3846" t="str">
        <f t="shared" si="0"/>
        <v/>
      </c>
      <c r="T3846" t="str">
        <f t="shared" si="1"/>
        <v/>
      </c>
      <c r="U3846" t="str">
        <f t="shared" si="2"/>
        <v/>
      </c>
      <c r="V3846" t="str">
        <f>IF(OR(U3846="",U3846="ERRO_CHAVE"),"",IFERROR(MATCH(U3846,Fornecedores!$AF$1:$AF$6631,0),""))</f>
        <v/>
      </c>
      <c r="W3846" t="str">
        <f t="shared" si="3"/>
        <v/>
      </c>
      <c r="X3846" s="4" t="str">
        <f>IF(V3846="","",INDEX(Fornecedores!$X$1:$X$6631,V3846))</f>
        <v/>
      </c>
      <c r="Y3846" s="4" t="str">
        <f t="shared" si="4"/>
        <v/>
      </c>
    </row>
    <row r="3847" spans="19:25">
      <c r="S3847" t="str">
        <f t="shared" si="0"/>
        <v/>
      </c>
      <c r="T3847" t="str">
        <f t="shared" si="1"/>
        <v/>
      </c>
      <c r="U3847" t="str">
        <f t="shared" si="2"/>
        <v/>
      </c>
      <c r="V3847" t="str">
        <f>IF(OR(U3847="",U3847="ERRO_CHAVE"),"",IFERROR(MATCH(U3847,Fornecedores!$AF$1:$AF$6631,0),""))</f>
        <v/>
      </c>
      <c r="W3847" t="str">
        <f t="shared" si="3"/>
        <v/>
      </c>
      <c r="X3847" s="4" t="str">
        <f>IF(V3847="","",INDEX(Fornecedores!$X$1:$X$6631,V3847))</f>
        <v/>
      </c>
      <c r="Y3847" s="4" t="str">
        <f t="shared" si="4"/>
        <v/>
      </c>
    </row>
    <row r="3848" spans="19:25">
      <c r="S3848" t="str">
        <f t="shared" si="0"/>
        <v/>
      </c>
      <c r="T3848" t="str">
        <f t="shared" si="1"/>
        <v/>
      </c>
      <c r="U3848" t="str">
        <f t="shared" si="2"/>
        <v/>
      </c>
      <c r="V3848" t="str">
        <f>IF(OR(U3848="",U3848="ERRO_CHAVE"),"",IFERROR(MATCH(U3848,Fornecedores!$AF$1:$AF$6631,0),""))</f>
        <v/>
      </c>
      <c r="W3848" t="str">
        <f t="shared" si="3"/>
        <v/>
      </c>
      <c r="X3848" s="4" t="str">
        <f>IF(V3848="","",INDEX(Fornecedores!$X$1:$X$6631,V3848))</f>
        <v/>
      </c>
      <c r="Y3848" s="4" t="str">
        <f t="shared" si="4"/>
        <v/>
      </c>
    </row>
    <row r="3849" spans="19:25">
      <c r="S3849" t="str">
        <f t="shared" si="0"/>
        <v/>
      </c>
      <c r="T3849" t="str">
        <f t="shared" si="1"/>
        <v/>
      </c>
      <c r="U3849" t="str">
        <f t="shared" si="2"/>
        <v/>
      </c>
      <c r="V3849" t="str">
        <f>IF(OR(U3849="",U3849="ERRO_CHAVE"),"",IFERROR(MATCH(U3849,Fornecedores!$AF$1:$AF$6631,0),""))</f>
        <v/>
      </c>
      <c r="W3849" t="str">
        <f t="shared" si="3"/>
        <v/>
      </c>
      <c r="X3849" s="4" t="str">
        <f>IF(V3849="","",INDEX(Fornecedores!$X$1:$X$6631,V3849))</f>
        <v/>
      </c>
      <c r="Y3849" s="4" t="str">
        <f t="shared" si="4"/>
        <v/>
      </c>
    </row>
    <row r="3850" spans="19:25">
      <c r="S3850" t="str">
        <f t="shared" si="0"/>
        <v/>
      </c>
      <c r="T3850" t="str">
        <f t="shared" si="1"/>
        <v/>
      </c>
      <c r="U3850" t="str">
        <f t="shared" si="2"/>
        <v/>
      </c>
      <c r="V3850" t="str">
        <f>IF(OR(U3850="",U3850="ERRO_CHAVE"),"",IFERROR(MATCH(U3850,Fornecedores!$AF$1:$AF$6631,0),""))</f>
        <v/>
      </c>
      <c r="W3850" t="str">
        <f t="shared" si="3"/>
        <v/>
      </c>
      <c r="X3850" s="4" t="str">
        <f>IF(V3850="","",INDEX(Fornecedores!$X$1:$X$6631,V3850))</f>
        <v/>
      </c>
      <c r="Y3850" s="4" t="str">
        <f t="shared" si="4"/>
        <v/>
      </c>
    </row>
    <row r="3851" spans="19:25">
      <c r="S3851" t="str">
        <f t="shared" si="0"/>
        <v/>
      </c>
      <c r="T3851" t="str">
        <f t="shared" si="1"/>
        <v/>
      </c>
      <c r="U3851" t="str">
        <f t="shared" si="2"/>
        <v/>
      </c>
      <c r="V3851" t="str">
        <f>IF(OR(U3851="",U3851="ERRO_CHAVE"),"",IFERROR(MATCH(U3851,Fornecedores!$AF$1:$AF$6631,0),""))</f>
        <v/>
      </c>
      <c r="W3851" t="str">
        <f t="shared" si="3"/>
        <v/>
      </c>
      <c r="X3851" s="4" t="str">
        <f>IF(V3851="","",INDEX(Fornecedores!$X$1:$X$6631,V3851))</f>
        <v/>
      </c>
      <c r="Y3851" s="4" t="str">
        <f t="shared" si="4"/>
        <v/>
      </c>
    </row>
    <row r="3852" spans="19:25">
      <c r="S3852" t="str">
        <f t="shared" si="0"/>
        <v/>
      </c>
      <c r="T3852" t="str">
        <f t="shared" si="1"/>
        <v/>
      </c>
      <c r="U3852" t="str">
        <f t="shared" si="2"/>
        <v/>
      </c>
      <c r="V3852" t="str">
        <f>IF(OR(U3852="",U3852="ERRO_CHAVE"),"",IFERROR(MATCH(U3852,Fornecedores!$AF$1:$AF$6631,0),""))</f>
        <v/>
      </c>
      <c r="W3852" t="str">
        <f t="shared" si="3"/>
        <v/>
      </c>
      <c r="X3852" s="4" t="str">
        <f>IF(V3852="","",INDEX(Fornecedores!$X$1:$X$6631,V3852))</f>
        <v/>
      </c>
      <c r="Y3852" s="4" t="str">
        <f t="shared" si="4"/>
        <v/>
      </c>
    </row>
    <row r="3853" spans="19:25">
      <c r="S3853" t="str">
        <f t="shared" si="0"/>
        <v/>
      </c>
      <c r="T3853" t="str">
        <f t="shared" si="1"/>
        <v/>
      </c>
      <c r="U3853" t="str">
        <f t="shared" si="2"/>
        <v/>
      </c>
      <c r="V3853" t="str">
        <f>IF(OR(U3853="",U3853="ERRO_CHAVE"),"",IFERROR(MATCH(U3853,Fornecedores!$AF$1:$AF$6631,0),""))</f>
        <v/>
      </c>
      <c r="W3853" t="str">
        <f t="shared" si="3"/>
        <v/>
      </c>
      <c r="X3853" s="4" t="str">
        <f>IF(V3853="","",INDEX(Fornecedores!$X$1:$X$6631,V3853))</f>
        <v/>
      </c>
      <c r="Y3853" s="4" t="str">
        <f t="shared" si="4"/>
        <v/>
      </c>
    </row>
    <row r="3854" spans="19:25">
      <c r="S3854" t="str">
        <f t="shared" si="0"/>
        <v/>
      </c>
      <c r="T3854" t="str">
        <f t="shared" si="1"/>
        <v/>
      </c>
      <c r="U3854" t="str">
        <f t="shared" si="2"/>
        <v/>
      </c>
      <c r="V3854" t="str">
        <f>IF(OR(U3854="",U3854="ERRO_CHAVE"),"",IFERROR(MATCH(U3854,Fornecedores!$AF$1:$AF$6631,0),""))</f>
        <v/>
      </c>
      <c r="W3854" t="str">
        <f t="shared" si="3"/>
        <v/>
      </c>
      <c r="X3854" s="4" t="str">
        <f>IF(V3854="","",INDEX(Fornecedores!$X$1:$X$6631,V3854))</f>
        <v/>
      </c>
      <c r="Y3854" s="4" t="str">
        <f t="shared" si="4"/>
        <v/>
      </c>
    </row>
    <row r="3855" spans="19:25">
      <c r="S3855" t="str">
        <f t="shared" si="0"/>
        <v/>
      </c>
      <c r="T3855" t="str">
        <f t="shared" si="1"/>
        <v/>
      </c>
      <c r="U3855" t="str">
        <f t="shared" si="2"/>
        <v/>
      </c>
      <c r="V3855" t="str">
        <f>IF(OR(U3855="",U3855="ERRO_CHAVE"),"",IFERROR(MATCH(U3855,Fornecedores!$AF$1:$AF$6631,0),""))</f>
        <v/>
      </c>
      <c r="W3855" t="str">
        <f t="shared" si="3"/>
        <v/>
      </c>
      <c r="X3855" s="4" t="str">
        <f>IF(V3855="","",INDEX(Fornecedores!$X$1:$X$6631,V3855))</f>
        <v/>
      </c>
      <c r="Y3855" s="4" t="str">
        <f t="shared" si="4"/>
        <v/>
      </c>
    </row>
    <row r="3856" spans="19:25">
      <c r="S3856" t="str">
        <f t="shared" si="0"/>
        <v/>
      </c>
      <c r="T3856" t="str">
        <f t="shared" si="1"/>
        <v/>
      </c>
      <c r="U3856" t="str">
        <f t="shared" si="2"/>
        <v/>
      </c>
      <c r="V3856" t="str">
        <f>IF(OR(U3856="",U3856="ERRO_CHAVE"),"",IFERROR(MATCH(U3856,Fornecedores!$AF$1:$AF$6631,0),""))</f>
        <v/>
      </c>
      <c r="W3856" t="str">
        <f t="shared" si="3"/>
        <v/>
      </c>
      <c r="X3856" s="4" t="str">
        <f>IF(V3856="","",INDEX(Fornecedores!$X$1:$X$6631,V3856))</f>
        <v/>
      </c>
      <c r="Y3856" s="4" t="str">
        <f t="shared" si="4"/>
        <v/>
      </c>
    </row>
    <row r="3857" spans="19:25">
      <c r="S3857" t="str">
        <f t="shared" si="0"/>
        <v/>
      </c>
      <c r="T3857" t="str">
        <f t="shared" si="1"/>
        <v/>
      </c>
      <c r="U3857" t="str">
        <f t="shared" si="2"/>
        <v/>
      </c>
      <c r="V3857" t="str">
        <f>IF(OR(U3857="",U3857="ERRO_CHAVE"),"",IFERROR(MATCH(U3857,Fornecedores!$AF$1:$AF$6631,0),""))</f>
        <v/>
      </c>
      <c r="W3857" t="str">
        <f t="shared" si="3"/>
        <v/>
      </c>
      <c r="X3857" s="4" t="str">
        <f>IF(V3857="","",INDEX(Fornecedores!$X$1:$X$6631,V3857))</f>
        <v/>
      </c>
      <c r="Y3857" s="4" t="str">
        <f t="shared" si="4"/>
        <v/>
      </c>
    </row>
    <row r="3858" spans="19:25">
      <c r="S3858" t="str">
        <f t="shared" si="0"/>
        <v/>
      </c>
      <c r="T3858" t="str">
        <f t="shared" si="1"/>
        <v/>
      </c>
      <c r="U3858" t="str">
        <f t="shared" si="2"/>
        <v/>
      </c>
      <c r="V3858" t="str">
        <f>IF(OR(U3858="",U3858="ERRO_CHAVE"),"",IFERROR(MATCH(U3858,Fornecedores!$AF$1:$AF$6631,0),""))</f>
        <v/>
      </c>
      <c r="W3858" t="str">
        <f t="shared" si="3"/>
        <v/>
      </c>
      <c r="X3858" s="4" t="str">
        <f>IF(V3858="","",INDEX(Fornecedores!$X$1:$X$6631,V3858))</f>
        <v/>
      </c>
      <c r="Y3858" s="4" t="str">
        <f t="shared" si="4"/>
        <v/>
      </c>
    </row>
    <row r="3859" spans="19:25">
      <c r="S3859" t="str">
        <f t="shared" si="0"/>
        <v/>
      </c>
      <c r="T3859" t="str">
        <f t="shared" si="1"/>
        <v/>
      </c>
      <c r="U3859" t="str">
        <f t="shared" si="2"/>
        <v/>
      </c>
      <c r="V3859" t="str">
        <f>IF(OR(U3859="",U3859="ERRO_CHAVE"),"",IFERROR(MATCH(U3859,Fornecedores!$AF$1:$AF$6631,0),""))</f>
        <v/>
      </c>
      <c r="W3859" t="str">
        <f t="shared" si="3"/>
        <v/>
      </c>
      <c r="X3859" s="4" t="str">
        <f>IF(V3859="","",INDEX(Fornecedores!$X$1:$X$6631,V3859))</f>
        <v/>
      </c>
      <c r="Y3859" s="4" t="str">
        <f t="shared" si="4"/>
        <v/>
      </c>
    </row>
    <row r="3860" spans="19:25">
      <c r="S3860" t="str">
        <f t="shared" si="0"/>
        <v/>
      </c>
      <c r="T3860" t="str">
        <f t="shared" si="1"/>
        <v/>
      </c>
      <c r="U3860" t="str">
        <f t="shared" si="2"/>
        <v/>
      </c>
      <c r="V3860" t="str">
        <f>IF(OR(U3860="",U3860="ERRO_CHAVE"),"",IFERROR(MATCH(U3860,Fornecedores!$AF$1:$AF$6631,0),""))</f>
        <v/>
      </c>
      <c r="W3860" t="str">
        <f t="shared" si="3"/>
        <v/>
      </c>
      <c r="X3860" s="4" t="str">
        <f>IF(V3860="","",INDEX(Fornecedores!$X$1:$X$6631,V3860))</f>
        <v/>
      </c>
      <c r="Y3860" s="4" t="str">
        <f t="shared" si="4"/>
        <v/>
      </c>
    </row>
    <row r="3861" spans="19:25">
      <c r="S3861" t="str">
        <f t="shared" si="0"/>
        <v/>
      </c>
      <c r="T3861" t="str">
        <f t="shared" si="1"/>
        <v/>
      </c>
      <c r="U3861" t="str">
        <f t="shared" si="2"/>
        <v/>
      </c>
      <c r="V3861" t="str">
        <f>IF(OR(U3861="",U3861="ERRO_CHAVE"),"",IFERROR(MATCH(U3861,Fornecedores!$AF$1:$AF$6631,0),""))</f>
        <v/>
      </c>
      <c r="W3861" t="str">
        <f t="shared" si="3"/>
        <v/>
      </c>
      <c r="X3861" s="4" t="str">
        <f>IF(V3861="","",INDEX(Fornecedores!$X$1:$X$6631,V3861))</f>
        <v/>
      </c>
      <c r="Y3861" s="4" t="str">
        <f t="shared" si="4"/>
        <v/>
      </c>
    </row>
    <row r="3862" spans="19:25">
      <c r="S3862" t="str">
        <f t="shared" si="0"/>
        <v/>
      </c>
      <c r="T3862" t="str">
        <f t="shared" si="1"/>
        <v/>
      </c>
      <c r="U3862" t="str">
        <f t="shared" si="2"/>
        <v/>
      </c>
      <c r="V3862" t="str">
        <f>IF(OR(U3862="",U3862="ERRO_CHAVE"),"",IFERROR(MATCH(U3862,Fornecedores!$AF$1:$AF$6631,0),""))</f>
        <v/>
      </c>
      <c r="W3862" t="str">
        <f t="shared" si="3"/>
        <v/>
      </c>
      <c r="X3862" s="4" t="str">
        <f>IF(V3862="","",INDEX(Fornecedores!$X$1:$X$6631,V3862))</f>
        <v/>
      </c>
      <c r="Y3862" s="4" t="str">
        <f t="shared" si="4"/>
        <v/>
      </c>
    </row>
    <row r="3863" spans="19:25">
      <c r="S3863" t="str">
        <f t="shared" si="0"/>
        <v/>
      </c>
      <c r="T3863" t="str">
        <f t="shared" si="1"/>
        <v/>
      </c>
      <c r="U3863" t="str">
        <f t="shared" si="2"/>
        <v/>
      </c>
      <c r="V3863" t="str">
        <f>IF(OR(U3863="",U3863="ERRO_CHAVE"),"",IFERROR(MATCH(U3863,Fornecedores!$AF$1:$AF$6631,0),""))</f>
        <v/>
      </c>
      <c r="W3863" t="str">
        <f t="shared" si="3"/>
        <v/>
      </c>
      <c r="X3863" s="4" t="str">
        <f>IF(V3863="","",INDEX(Fornecedores!$X$1:$X$6631,V3863))</f>
        <v/>
      </c>
      <c r="Y3863" s="4" t="str">
        <f t="shared" si="4"/>
        <v/>
      </c>
    </row>
    <row r="3864" spans="19:25">
      <c r="S3864" t="str">
        <f t="shared" si="0"/>
        <v/>
      </c>
      <c r="T3864" t="str">
        <f t="shared" si="1"/>
        <v/>
      </c>
      <c r="U3864" t="str">
        <f t="shared" si="2"/>
        <v/>
      </c>
      <c r="V3864" t="str">
        <f>IF(OR(U3864="",U3864="ERRO_CHAVE"),"",IFERROR(MATCH(U3864,Fornecedores!$AF$1:$AF$6631,0),""))</f>
        <v/>
      </c>
      <c r="W3864" t="str">
        <f t="shared" si="3"/>
        <v/>
      </c>
      <c r="X3864" s="4" t="str">
        <f>IF(V3864="","",INDEX(Fornecedores!$X$1:$X$6631,V3864))</f>
        <v/>
      </c>
      <c r="Y3864" s="4" t="str">
        <f t="shared" si="4"/>
        <v/>
      </c>
    </row>
    <row r="3865" spans="19:25">
      <c r="S3865" t="str">
        <f t="shared" si="0"/>
        <v/>
      </c>
      <c r="T3865" t="str">
        <f t="shared" si="1"/>
        <v/>
      </c>
      <c r="U3865" t="str">
        <f t="shared" si="2"/>
        <v/>
      </c>
      <c r="V3865" t="str">
        <f>IF(OR(U3865="",U3865="ERRO_CHAVE"),"",IFERROR(MATCH(U3865,Fornecedores!$AF$1:$AF$6631,0),""))</f>
        <v/>
      </c>
      <c r="W3865" t="str">
        <f t="shared" si="3"/>
        <v/>
      </c>
      <c r="X3865" s="4" t="str">
        <f>IF(V3865="","",INDEX(Fornecedores!$X$1:$X$6631,V3865))</f>
        <v/>
      </c>
      <c r="Y3865" s="4" t="str">
        <f t="shared" si="4"/>
        <v/>
      </c>
    </row>
    <row r="3866" spans="19:25">
      <c r="S3866" t="str">
        <f t="shared" si="0"/>
        <v/>
      </c>
      <c r="T3866" t="str">
        <f t="shared" si="1"/>
        <v/>
      </c>
      <c r="U3866" t="str">
        <f t="shared" si="2"/>
        <v/>
      </c>
      <c r="V3866" t="str">
        <f>IF(OR(U3866="",U3866="ERRO_CHAVE"),"",IFERROR(MATCH(U3866,Fornecedores!$AF$1:$AF$6631,0),""))</f>
        <v/>
      </c>
      <c r="W3866" t="str">
        <f t="shared" si="3"/>
        <v/>
      </c>
      <c r="X3866" s="4" t="str">
        <f>IF(V3866="","",INDEX(Fornecedores!$X$1:$X$6631,V3866))</f>
        <v/>
      </c>
      <c r="Y3866" s="4" t="str">
        <f t="shared" si="4"/>
        <v/>
      </c>
    </row>
    <row r="3867" spans="19:25">
      <c r="S3867" t="str">
        <f t="shared" si="0"/>
        <v/>
      </c>
      <c r="T3867" t="str">
        <f t="shared" si="1"/>
        <v/>
      </c>
      <c r="U3867" t="str">
        <f t="shared" si="2"/>
        <v/>
      </c>
      <c r="V3867" t="str">
        <f>IF(OR(U3867="",U3867="ERRO_CHAVE"),"",IFERROR(MATCH(U3867,Fornecedores!$AF$1:$AF$6631,0),""))</f>
        <v/>
      </c>
      <c r="W3867" t="str">
        <f t="shared" si="3"/>
        <v/>
      </c>
      <c r="X3867" s="4" t="str">
        <f>IF(V3867="","",INDEX(Fornecedores!$X$1:$X$6631,V3867))</f>
        <v/>
      </c>
      <c r="Y3867" s="4" t="str">
        <f t="shared" si="4"/>
        <v/>
      </c>
    </row>
    <row r="3868" spans="19:25">
      <c r="S3868" t="str">
        <f t="shared" si="0"/>
        <v/>
      </c>
      <c r="T3868" t="str">
        <f t="shared" si="1"/>
        <v/>
      </c>
      <c r="U3868" t="str">
        <f t="shared" si="2"/>
        <v/>
      </c>
      <c r="V3868" t="str">
        <f>IF(OR(U3868="",U3868="ERRO_CHAVE"),"",IFERROR(MATCH(U3868,Fornecedores!$AF$1:$AF$6631,0),""))</f>
        <v/>
      </c>
      <c r="W3868" t="str">
        <f t="shared" si="3"/>
        <v/>
      </c>
      <c r="X3868" s="4" t="str">
        <f>IF(V3868="","",INDEX(Fornecedores!$X$1:$X$6631,V3868))</f>
        <v/>
      </c>
      <c r="Y3868" s="4" t="str">
        <f t="shared" si="4"/>
        <v/>
      </c>
    </row>
    <row r="3869" spans="19:25">
      <c r="S3869" t="str">
        <f t="shared" si="0"/>
        <v/>
      </c>
      <c r="T3869" t="str">
        <f t="shared" si="1"/>
        <v/>
      </c>
      <c r="U3869" t="str">
        <f t="shared" si="2"/>
        <v/>
      </c>
      <c r="V3869" t="str">
        <f>IF(OR(U3869="",U3869="ERRO_CHAVE"),"",IFERROR(MATCH(U3869,Fornecedores!$AF$1:$AF$6631,0),""))</f>
        <v/>
      </c>
      <c r="W3869" t="str">
        <f t="shared" si="3"/>
        <v/>
      </c>
      <c r="X3869" s="4" t="str">
        <f>IF(V3869="","",INDEX(Fornecedores!$X$1:$X$6631,V3869))</f>
        <v/>
      </c>
      <c r="Y3869" s="4" t="str">
        <f t="shared" si="4"/>
        <v/>
      </c>
    </row>
    <row r="3870" spans="19:25">
      <c r="S3870" t="str">
        <f t="shared" si="0"/>
        <v/>
      </c>
      <c r="T3870" t="str">
        <f t="shared" si="1"/>
        <v/>
      </c>
      <c r="U3870" t="str">
        <f t="shared" si="2"/>
        <v/>
      </c>
      <c r="V3870" t="str">
        <f>IF(OR(U3870="",U3870="ERRO_CHAVE"),"",IFERROR(MATCH(U3870,Fornecedores!$AF$1:$AF$6631,0),""))</f>
        <v/>
      </c>
      <c r="W3870" t="str">
        <f t="shared" si="3"/>
        <v/>
      </c>
      <c r="X3870" s="4" t="str">
        <f>IF(V3870="","",INDEX(Fornecedores!$X$1:$X$6631,V3870))</f>
        <v/>
      </c>
      <c r="Y3870" s="4" t="str">
        <f t="shared" si="4"/>
        <v/>
      </c>
    </row>
    <row r="3871" spans="19:25">
      <c r="S3871" t="str">
        <f t="shared" si="0"/>
        <v/>
      </c>
      <c r="T3871" t="str">
        <f t="shared" si="1"/>
        <v/>
      </c>
      <c r="U3871" t="str">
        <f t="shared" si="2"/>
        <v/>
      </c>
      <c r="V3871" t="str">
        <f>IF(OR(U3871="",U3871="ERRO_CHAVE"),"",IFERROR(MATCH(U3871,Fornecedores!$AF$1:$AF$6631,0),""))</f>
        <v/>
      </c>
      <c r="W3871" t="str">
        <f t="shared" si="3"/>
        <v/>
      </c>
      <c r="X3871" s="4" t="str">
        <f>IF(V3871="","",INDEX(Fornecedores!$X$1:$X$6631,V3871))</f>
        <v/>
      </c>
      <c r="Y3871" s="4" t="str">
        <f t="shared" si="4"/>
        <v/>
      </c>
    </row>
    <row r="3872" spans="19:25">
      <c r="S3872" t="str">
        <f t="shared" si="0"/>
        <v/>
      </c>
      <c r="T3872" t="str">
        <f t="shared" si="1"/>
        <v/>
      </c>
      <c r="U3872" t="str">
        <f t="shared" si="2"/>
        <v/>
      </c>
      <c r="V3872" t="str">
        <f>IF(OR(U3872="",U3872="ERRO_CHAVE"),"",IFERROR(MATCH(U3872,Fornecedores!$AF$1:$AF$6631,0),""))</f>
        <v/>
      </c>
      <c r="W3872" t="str">
        <f t="shared" si="3"/>
        <v/>
      </c>
      <c r="X3872" s="4" t="str">
        <f>IF(V3872="","",INDEX(Fornecedores!$X$1:$X$6631,V3872))</f>
        <v/>
      </c>
      <c r="Y3872" s="4" t="str">
        <f t="shared" si="4"/>
        <v/>
      </c>
    </row>
    <row r="3873" spans="19:25">
      <c r="S3873" t="str">
        <f t="shared" si="0"/>
        <v/>
      </c>
      <c r="T3873" t="str">
        <f t="shared" si="1"/>
        <v/>
      </c>
      <c r="U3873" t="str">
        <f t="shared" si="2"/>
        <v/>
      </c>
      <c r="V3873" t="str">
        <f>IF(OR(U3873="",U3873="ERRO_CHAVE"),"",IFERROR(MATCH(U3873,Fornecedores!$AF$1:$AF$6631,0),""))</f>
        <v/>
      </c>
      <c r="W3873" t="str">
        <f t="shared" si="3"/>
        <v/>
      </c>
      <c r="X3873" s="4" t="str">
        <f>IF(V3873="","",INDEX(Fornecedores!$X$1:$X$6631,V3873))</f>
        <v/>
      </c>
      <c r="Y3873" s="4" t="str">
        <f t="shared" si="4"/>
        <v/>
      </c>
    </row>
    <row r="3874" spans="19:25">
      <c r="S3874" t="str">
        <f t="shared" si="0"/>
        <v/>
      </c>
      <c r="T3874" t="str">
        <f t="shared" si="1"/>
        <v/>
      </c>
      <c r="U3874" t="str">
        <f t="shared" si="2"/>
        <v/>
      </c>
      <c r="V3874" t="str">
        <f>IF(OR(U3874="",U3874="ERRO_CHAVE"),"",IFERROR(MATCH(U3874,Fornecedores!$AF$1:$AF$6631,0),""))</f>
        <v/>
      </c>
      <c r="W3874" t="str">
        <f t="shared" si="3"/>
        <v/>
      </c>
      <c r="X3874" s="4" t="str">
        <f>IF(V3874="","",INDEX(Fornecedores!$X$1:$X$6631,V3874))</f>
        <v/>
      </c>
      <c r="Y3874" s="4" t="str">
        <f t="shared" si="4"/>
        <v/>
      </c>
    </row>
    <row r="3875" spans="19:25">
      <c r="S3875" t="str">
        <f t="shared" si="0"/>
        <v/>
      </c>
      <c r="T3875" t="str">
        <f t="shared" si="1"/>
        <v/>
      </c>
      <c r="U3875" t="str">
        <f t="shared" si="2"/>
        <v/>
      </c>
      <c r="V3875" t="str">
        <f>IF(OR(U3875="",U3875="ERRO_CHAVE"),"",IFERROR(MATCH(U3875,Fornecedores!$AF$1:$AF$6631,0),""))</f>
        <v/>
      </c>
      <c r="W3875" t="str">
        <f t="shared" si="3"/>
        <v/>
      </c>
      <c r="X3875" s="4" t="str">
        <f>IF(V3875="","",INDEX(Fornecedores!$X$1:$X$6631,V3875))</f>
        <v/>
      </c>
      <c r="Y3875" s="4" t="str">
        <f t="shared" si="4"/>
        <v/>
      </c>
    </row>
    <row r="3876" spans="19:25">
      <c r="S3876" t="str">
        <f t="shared" si="0"/>
        <v/>
      </c>
      <c r="T3876" t="str">
        <f t="shared" si="1"/>
        <v/>
      </c>
      <c r="U3876" t="str">
        <f t="shared" si="2"/>
        <v/>
      </c>
      <c r="V3876" t="str">
        <f>IF(OR(U3876="",U3876="ERRO_CHAVE"),"",IFERROR(MATCH(U3876,Fornecedores!$AF$1:$AF$6631,0),""))</f>
        <v/>
      </c>
      <c r="W3876" t="str">
        <f t="shared" si="3"/>
        <v/>
      </c>
      <c r="X3876" s="4" t="str">
        <f>IF(V3876="","",INDEX(Fornecedores!$X$1:$X$6631,V3876))</f>
        <v/>
      </c>
      <c r="Y3876" s="4" t="str">
        <f t="shared" si="4"/>
        <v/>
      </c>
    </row>
    <row r="3877" spans="19:25">
      <c r="S3877" t="str">
        <f t="shared" si="0"/>
        <v/>
      </c>
      <c r="T3877" t="str">
        <f t="shared" si="1"/>
        <v/>
      </c>
      <c r="U3877" t="str">
        <f t="shared" si="2"/>
        <v/>
      </c>
      <c r="V3877" t="str">
        <f>IF(OR(U3877="",U3877="ERRO_CHAVE"),"",IFERROR(MATCH(U3877,Fornecedores!$AF$1:$AF$6631,0),""))</f>
        <v/>
      </c>
      <c r="W3877" t="str">
        <f t="shared" si="3"/>
        <v/>
      </c>
      <c r="X3877" s="4" t="str">
        <f>IF(V3877="","",INDEX(Fornecedores!$X$1:$X$6631,V3877))</f>
        <v/>
      </c>
      <c r="Y3877" s="4" t="str">
        <f t="shared" si="4"/>
        <v/>
      </c>
    </row>
    <row r="3878" spans="19:25">
      <c r="S3878" t="str">
        <f t="shared" si="0"/>
        <v/>
      </c>
      <c r="T3878" t="str">
        <f t="shared" si="1"/>
        <v/>
      </c>
      <c r="U3878" t="str">
        <f t="shared" si="2"/>
        <v/>
      </c>
      <c r="V3878" t="str">
        <f>IF(OR(U3878="",U3878="ERRO_CHAVE"),"",IFERROR(MATCH(U3878,Fornecedores!$AF$1:$AF$6631,0),""))</f>
        <v/>
      </c>
      <c r="W3878" t="str">
        <f t="shared" si="3"/>
        <v/>
      </c>
      <c r="X3878" s="4" t="str">
        <f>IF(V3878="","",INDEX(Fornecedores!$X$1:$X$6631,V3878))</f>
        <v/>
      </c>
      <c r="Y3878" s="4" t="str">
        <f t="shared" si="4"/>
        <v/>
      </c>
    </row>
    <row r="3879" spans="19:25">
      <c r="S3879" t="str">
        <f t="shared" si="0"/>
        <v/>
      </c>
      <c r="T3879" t="str">
        <f t="shared" si="1"/>
        <v/>
      </c>
      <c r="U3879" t="str">
        <f t="shared" si="2"/>
        <v/>
      </c>
      <c r="V3879" t="str">
        <f>IF(OR(U3879="",U3879="ERRO_CHAVE"),"",IFERROR(MATCH(U3879,Fornecedores!$AF$1:$AF$6631,0),""))</f>
        <v/>
      </c>
      <c r="W3879" t="str">
        <f t="shared" si="3"/>
        <v/>
      </c>
      <c r="X3879" s="4" t="str">
        <f>IF(V3879="","",INDEX(Fornecedores!$X$1:$X$6631,V3879))</f>
        <v/>
      </c>
      <c r="Y3879" s="4" t="str">
        <f t="shared" si="4"/>
        <v/>
      </c>
    </row>
    <row r="3880" spans="19:25">
      <c r="S3880" t="str">
        <f t="shared" si="0"/>
        <v/>
      </c>
      <c r="T3880" t="str">
        <f t="shared" si="1"/>
        <v/>
      </c>
      <c r="U3880" t="str">
        <f t="shared" si="2"/>
        <v/>
      </c>
      <c r="V3880" t="str">
        <f>IF(OR(U3880="",U3880="ERRO_CHAVE"),"",IFERROR(MATCH(U3880,Fornecedores!$AF$1:$AF$6631,0),""))</f>
        <v/>
      </c>
      <c r="W3880" t="str">
        <f t="shared" si="3"/>
        <v/>
      </c>
      <c r="X3880" s="4" t="str">
        <f>IF(V3880="","",INDEX(Fornecedores!$X$1:$X$6631,V3880))</f>
        <v/>
      </c>
      <c r="Y3880" s="4" t="str">
        <f t="shared" si="4"/>
        <v/>
      </c>
    </row>
    <row r="3881" spans="19:25">
      <c r="S3881" t="str">
        <f t="shared" si="0"/>
        <v/>
      </c>
      <c r="T3881" t="str">
        <f t="shared" si="1"/>
        <v/>
      </c>
      <c r="U3881" t="str">
        <f t="shared" si="2"/>
        <v/>
      </c>
      <c r="V3881" t="str">
        <f>IF(OR(U3881="",U3881="ERRO_CHAVE"),"",IFERROR(MATCH(U3881,Fornecedores!$AF$1:$AF$6631,0),""))</f>
        <v/>
      </c>
      <c r="W3881" t="str">
        <f t="shared" si="3"/>
        <v/>
      </c>
      <c r="X3881" s="4" t="str">
        <f>IF(V3881="","",INDEX(Fornecedores!$X$1:$X$6631,V3881))</f>
        <v/>
      </c>
      <c r="Y3881" s="4" t="str">
        <f t="shared" si="4"/>
        <v/>
      </c>
    </row>
    <row r="3882" spans="19:25">
      <c r="S3882" t="str">
        <f t="shared" si="0"/>
        <v/>
      </c>
      <c r="T3882" t="str">
        <f t="shared" si="1"/>
        <v/>
      </c>
      <c r="U3882" t="str">
        <f t="shared" si="2"/>
        <v/>
      </c>
      <c r="V3882" t="str">
        <f>IF(OR(U3882="",U3882="ERRO_CHAVE"),"",IFERROR(MATCH(U3882,Fornecedores!$AF$1:$AF$6631,0),""))</f>
        <v/>
      </c>
      <c r="W3882" t="str">
        <f t="shared" si="3"/>
        <v/>
      </c>
      <c r="X3882" s="4" t="str">
        <f>IF(V3882="","",INDEX(Fornecedores!$X$1:$X$6631,V3882))</f>
        <v/>
      </c>
      <c r="Y3882" s="4" t="str">
        <f t="shared" si="4"/>
        <v/>
      </c>
    </row>
    <row r="3883" spans="19:25">
      <c r="S3883" t="str">
        <f t="shared" si="0"/>
        <v/>
      </c>
      <c r="T3883" t="str">
        <f t="shared" si="1"/>
        <v/>
      </c>
      <c r="U3883" t="str">
        <f t="shared" si="2"/>
        <v/>
      </c>
      <c r="V3883" t="str">
        <f>IF(OR(U3883="",U3883="ERRO_CHAVE"),"",IFERROR(MATCH(U3883,Fornecedores!$AF$1:$AF$6631,0),""))</f>
        <v/>
      </c>
      <c r="W3883" t="str">
        <f t="shared" si="3"/>
        <v/>
      </c>
      <c r="X3883" s="4" t="str">
        <f>IF(V3883="","",INDEX(Fornecedores!$X$1:$X$6631,V3883))</f>
        <v/>
      </c>
      <c r="Y3883" s="4" t="str">
        <f t="shared" si="4"/>
        <v/>
      </c>
    </row>
    <row r="3884" spans="19:25">
      <c r="S3884" t="str">
        <f t="shared" si="0"/>
        <v/>
      </c>
      <c r="T3884" t="str">
        <f t="shared" si="1"/>
        <v/>
      </c>
      <c r="U3884" t="str">
        <f t="shared" si="2"/>
        <v/>
      </c>
      <c r="V3884" t="str">
        <f>IF(OR(U3884="",U3884="ERRO_CHAVE"),"",IFERROR(MATCH(U3884,Fornecedores!$AF$1:$AF$6631,0),""))</f>
        <v/>
      </c>
      <c r="W3884" t="str">
        <f t="shared" si="3"/>
        <v/>
      </c>
      <c r="X3884" s="4" t="str">
        <f>IF(V3884="","",INDEX(Fornecedores!$X$1:$X$6631,V3884))</f>
        <v/>
      </c>
      <c r="Y3884" s="4" t="str">
        <f t="shared" si="4"/>
        <v/>
      </c>
    </row>
    <row r="3885" spans="19:25">
      <c r="S3885" t="str">
        <f t="shared" si="0"/>
        <v/>
      </c>
      <c r="T3885" t="str">
        <f t="shared" si="1"/>
        <v/>
      </c>
      <c r="U3885" t="str">
        <f t="shared" si="2"/>
        <v/>
      </c>
      <c r="V3885" t="str">
        <f>IF(OR(U3885="",U3885="ERRO_CHAVE"),"",IFERROR(MATCH(U3885,Fornecedores!$AF$1:$AF$6631,0),""))</f>
        <v/>
      </c>
      <c r="W3885" t="str">
        <f t="shared" si="3"/>
        <v/>
      </c>
      <c r="X3885" s="4" t="str">
        <f>IF(V3885="","",INDEX(Fornecedores!$X$1:$X$6631,V3885))</f>
        <v/>
      </c>
      <c r="Y3885" s="4" t="str">
        <f t="shared" si="4"/>
        <v/>
      </c>
    </row>
    <row r="3886" spans="19:25">
      <c r="S3886" t="str">
        <f t="shared" si="0"/>
        <v/>
      </c>
      <c r="T3886" t="str">
        <f t="shared" si="1"/>
        <v/>
      </c>
      <c r="U3886" t="str">
        <f t="shared" si="2"/>
        <v/>
      </c>
      <c r="V3886" t="str">
        <f>IF(OR(U3886="",U3886="ERRO_CHAVE"),"",IFERROR(MATCH(U3886,Fornecedores!$AF$1:$AF$6631,0),""))</f>
        <v/>
      </c>
      <c r="W3886" t="str">
        <f t="shared" si="3"/>
        <v/>
      </c>
      <c r="X3886" s="4" t="str">
        <f>IF(V3886="","",INDEX(Fornecedores!$X$1:$X$6631,V3886))</f>
        <v/>
      </c>
      <c r="Y3886" s="4" t="str">
        <f t="shared" si="4"/>
        <v/>
      </c>
    </row>
    <row r="3887" spans="19:25">
      <c r="S3887" t="str">
        <f t="shared" si="0"/>
        <v/>
      </c>
      <c r="T3887" t="str">
        <f t="shared" si="1"/>
        <v/>
      </c>
      <c r="U3887" t="str">
        <f t="shared" si="2"/>
        <v/>
      </c>
      <c r="V3887" t="str">
        <f>IF(OR(U3887="",U3887="ERRO_CHAVE"),"",IFERROR(MATCH(U3887,Fornecedores!$AF$1:$AF$6631,0),""))</f>
        <v/>
      </c>
      <c r="W3887" t="str">
        <f t="shared" si="3"/>
        <v/>
      </c>
      <c r="X3887" s="4" t="str">
        <f>IF(V3887="","",INDEX(Fornecedores!$X$1:$X$6631,V3887))</f>
        <v/>
      </c>
      <c r="Y3887" s="4" t="str">
        <f t="shared" si="4"/>
        <v/>
      </c>
    </row>
    <row r="3888" spans="19:25">
      <c r="S3888" t="str">
        <f t="shared" si="0"/>
        <v/>
      </c>
      <c r="T3888" t="str">
        <f t="shared" si="1"/>
        <v/>
      </c>
      <c r="U3888" t="str">
        <f t="shared" si="2"/>
        <v/>
      </c>
      <c r="V3888" t="str">
        <f>IF(OR(U3888="",U3888="ERRO_CHAVE"),"",IFERROR(MATCH(U3888,Fornecedores!$AF$1:$AF$6631,0),""))</f>
        <v/>
      </c>
      <c r="W3888" t="str">
        <f t="shared" si="3"/>
        <v/>
      </c>
      <c r="X3888" s="4" t="str">
        <f>IF(V3888="","",INDEX(Fornecedores!$X$1:$X$6631,V3888))</f>
        <v/>
      </c>
      <c r="Y3888" s="4" t="str">
        <f t="shared" si="4"/>
        <v/>
      </c>
    </row>
    <row r="3889" spans="19:25">
      <c r="S3889" t="str">
        <f t="shared" si="0"/>
        <v/>
      </c>
      <c r="T3889" t="str">
        <f t="shared" si="1"/>
        <v/>
      </c>
      <c r="U3889" t="str">
        <f t="shared" si="2"/>
        <v/>
      </c>
      <c r="V3889" t="str">
        <f>IF(OR(U3889="",U3889="ERRO_CHAVE"),"",IFERROR(MATCH(U3889,Fornecedores!$AF$1:$AF$6631,0),""))</f>
        <v/>
      </c>
      <c r="W3889" t="str">
        <f t="shared" si="3"/>
        <v/>
      </c>
      <c r="X3889" s="4" t="str">
        <f>IF(V3889="","",INDEX(Fornecedores!$X$1:$X$6631,V3889))</f>
        <v/>
      </c>
      <c r="Y3889" s="4" t="str">
        <f t="shared" si="4"/>
        <v/>
      </c>
    </row>
    <row r="3890" spans="19:25">
      <c r="S3890" t="str">
        <f t="shared" si="0"/>
        <v/>
      </c>
      <c r="T3890" t="str">
        <f t="shared" si="1"/>
        <v/>
      </c>
      <c r="U3890" t="str">
        <f t="shared" si="2"/>
        <v/>
      </c>
      <c r="V3890" t="str">
        <f>IF(OR(U3890="",U3890="ERRO_CHAVE"),"",IFERROR(MATCH(U3890,Fornecedores!$AF$1:$AF$6631,0),""))</f>
        <v/>
      </c>
      <c r="W3890" t="str">
        <f t="shared" si="3"/>
        <v/>
      </c>
      <c r="X3890" s="4" t="str">
        <f>IF(V3890="","",INDEX(Fornecedores!$X$1:$X$6631,V3890))</f>
        <v/>
      </c>
      <c r="Y3890" s="4" t="str">
        <f t="shared" si="4"/>
        <v/>
      </c>
    </row>
    <row r="3891" spans="19:25">
      <c r="S3891" t="str">
        <f t="shared" si="0"/>
        <v/>
      </c>
      <c r="T3891" t="str">
        <f t="shared" si="1"/>
        <v/>
      </c>
      <c r="U3891" t="str">
        <f t="shared" si="2"/>
        <v/>
      </c>
      <c r="V3891" t="str">
        <f>IF(OR(U3891="",U3891="ERRO_CHAVE"),"",IFERROR(MATCH(U3891,Fornecedores!$AF$1:$AF$6631,0),""))</f>
        <v/>
      </c>
      <c r="W3891" t="str">
        <f t="shared" si="3"/>
        <v/>
      </c>
      <c r="X3891" s="4" t="str">
        <f>IF(V3891="","",INDEX(Fornecedores!$X$1:$X$6631,V3891))</f>
        <v/>
      </c>
      <c r="Y3891" s="4" t="str">
        <f t="shared" si="4"/>
        <v/>
      </c>
    </row>
    <row r="3892" spans="19:25">
      <c r="S3892" t="str">
        <f t="shared" si="0"/>
        <v/>
      </c>
      <c r="T3892" t="str">
        <f t="shared" si="1"/>
        <v/>
      </c>
      <c r="U3892" t="str">
        <f t="shared" si="2"/>
        <v/>
      </c>
      <c r="V3892" t="str">
        <f>IF(OR(U3892="",U3892="ERRO_CHAVE"),"",IFERROR(MATCH(U3892,Fornecedores!$AF$1:$AF$6631,0),""))</f>
        <v/>
      </c>
      <c r="W3892" t="str">
        <f t="shared" si="3"/>
        <v/>
      </c>
      <c r="X3892" s="4" t="str">
        <f>IF(V3892="","",INDEX(Fornecedores!$X$1:$X$6631,V3892))</f>
        <v/>
      </c>
      <c r="Y3892" s="4" t="str">
        <f t="shared" si="4"/>
        <v/>
      </c>
    </row>
    <row r="3893" spans="19:25">
      <c r="S3893" t="str">
        <f t="shared" si="0"/>
        <v/>
      </c>
      <c r="T3893" t="str">
        <f t="shared" si="1"/>
        <v/>
      </c>
      <c r="U3893" t="str">
        <f t="shared" si="2"/>
        <v/>
      </c>
      <c r="V3893" t="str">
        <f>IF(OR(U3893="",U3893="ERRO_CHAVE"),"",IFERROR(MATCH(U3893,Fornecedores!$AF$1:$AF$6631,0),""))</f>
        <v/>
      </c>
      <c r="W3893" t="str">
        <f t="shared" si="3"/>
        <v/>
      </c>
      <c r="X3893" s="4" t="str">
        <f>IF(V3893="","",INDEX(Fornecedores!$X$1:$X$6631,V3893))</f>
        <v/>
      </c>
      <c r="Y3893" s="4" t="str">
        <f t="shared" si="4"/>
        <v/>
      </c>
    </row>
    <row r="3894" spans="19:25">
      <c r="S3894" t="str">
        <f t="shared" si="0"/>
        <v/>
      </c>
      <c r="T3894" t="str">
        <f t="shared" si="1"/>
        <v/>
      </c>
      <c r="U3894" t="str">
        <f t="shared" si="2"/>
        <v/>
      </c>
      <c r="V3894" t="str">
        <f>IF(OR(U3894="",U3894="ERRO_CHAVE"),"",IFERROR(MATCH(U3894,Fornecedores!$AF$1:$AF$6631,0),""))</f>
        <v/>
      </c>
      <c r="W3894" t="str">
        <f t="shared" si="3"/>
        <v/>
      </c>
      <c r="X3894" s="4" t="str">
        <f>IF(V3894="","",INDEX(Fornecedores!$X$1:$X$6631,V3894))</f>
        <v/>
      </c>
      <c r="Y3894" s="4" t="str">
        <f t="shared" si="4"/>
        <v/>
      </c>
    </row>
    <row r="3895" spans="19:25">
      <c r="S3895" t="str">
        <f t="shared" si="0"/>
        <v/>
      </c>
      <c r="T3895" t="str">
        <f t="shared" si="1"/>
        <v/>
      </c>
      <c r="U3895" t="str">
        <f t="shared" si="2"/>
        <v/>
      </c>
      <c r="V3895" t="str">
        <f>IF(OR(U3895="",U3895="ERRO_CHAVE"),"",IFERROR(MATCH(U3895,Fornecedores!$AF$1:$AF$6631,0),""))</f>
        <v/>
      </c>
      <c r="W3895" t="str">
        <f t="shared" si="3"/>
        <v/>
      </c>
      <c r="X3895" s="4" t="str">
        <f>IF(V3895="","",INDEX(Fornecedores!$X$1:$X$6631,V3895))</f>
        <v/>
      </c>
      <c r="Y3895" s="4" t="str">
        <f t="shared" si="4"/>
        <v/>
      </c>
    </row>
    <row r="3896" spans="19:25">
      <c r="S3896" t="str">
        <f t="shared" si="0"/>
        <v/>
      </c>
      <c r="T3896" t="str">
        <f t="shared" si="1"/>
        <v/>
      </c>
      <c r="U3896" t="str">
        <f t="shared" si="2"/>
        <v/>
      </c>
      <c r="V3896" t="str">
        <f>IF(OR(U3896="",U3896="ERRO_CHAVE"),"",IFERROR(MATCH(U3896,Fornecedores!$AF$1:$AF$6631,0),""))</f>
        <v/>
      </c>
      <c r="W3896" t="str">
        <f t="shared" si="3"/>
        <v/>
      </c>
      <c r="X3896" s="4" t="str">
        <f>IF(V3896="","",INDEX(Fornecedores!$X$1:$X$6631,V3896))</f>
        <v/>
      </c>
      <c r="Y3896" s="4" t="str">
        <f t="shared" si="4"/>
        <v/>
      </c>
    </row>
    <row r="3897" spans="19:25">
      <c r="S3897" t="str">
        <f t="shared" si="0"/>
        <v/>
      </c>
      <c r="T3897" t="str">
        <f t="shared" si="1"/>
        <v/>
      </c>
      <c r="U3897" t="str">
        <f t="shared" si="2"/>
        <v/>
      </c>
      <c r="V3897" t="str">
        <f>IF(OR(U3897="",U3897="ERRO_CHAVE"),"",IFERROR(MATCH(U3897,Fornecedores!$AF$1:$AF$6631,0),""))</f>
        <v/>
      </c>
      <c r="W3897" t="str">
        <f t="shared" si="3"/>
        <v/>
      </c>
      <c r="X3897" s="4" t="str">
        <f>IF(V3897="","",INDEX(Fornecedores!$X$1:$X$6631,V3897))</f>
        <v/>
      </c>
      <c r="Y3897" s="4" t="str">
        <f t="shared" si="4"/>
        <v/>
      </c>
    </row>
    <row r="3898" spans="19:25">
      <c r="S3898" t="str">
        <f t="shared" si="0"/>
        <v/>
      </c>
      <c r="T3898" t="str">
        <f t="shared" si="1"/>
        <v/>
      </c>
      <c r="U3898" t="str">
        <f t="shared" si="2"/>
        <v/>
      </c>
      <c r="V3898" t="str">
        <f>IF(OR(U3898="",U3898="ERRO_CHAVE"),"",IFERROR(MATCH(U3898,Fornecedores!$AF$1:$AF$6631,0),""))</f>
        <v/>
      </c>
      <c r="W3898" t="str">
        <f t="shared" si="3"/>
        <v/>
      </c>
      <c r="X3898" s="4" t="str">
        <f>IF(V3898="","",INDEX(Fornecedores!$X$1:$X$6631,V3898))</f>
        <v/>
      </c>
      <c r="Y3898" s="4" t="str">
        <f t="shared" si="4"/>
        <v/>
      </c>
    </row>
    <row r="3899" spans="19:25">
      <c r="S3899" t="str">
        <f t="shared" si="0"/>
        <v/>
      </c>
      <c r="T3899" t="str">
        <f t="shared" si="1"/>
        <v/>
      </c>
      <c r="U3899" t="str">
        <f t="shared" si="2"/>
        <v/>
      </c>
      <c r="V3899" t="str">
        <f>IF(OR(U3899="",U3899="ERRO_CHAVE"),"",IFERROR(MATCH(U3899,Fornecedores!$AF$1:$AF$6631,0),""))</f>
        <v/>
      </c>
      <c r="W3899" t="str">
        <f t="shared" si="3"/>
        <v/>
      </c>
      <c r="X3899" s="4" t="str">
        <f>IF(V3899="","",INDEX(Fornecedores!$X$1:$X$6631,V3899))</f>
        <v/>
      </c>
      <c r="Y3899" s="4" t="str">
        <f t="shared" si="4"/>
        <v/>
      </c>
    </row>
    <row r="3900" spans="19:25">
      <c r="S3900" t="str">
        <f t="shared" si="0"/>
        <v/>
      </c>
      <c r="T3900" t="str">
        <f t="shared" si="1"/>
        <v/>
      </c>
      <c r="U3900" t="str">
        <f t="shared" si="2"/>
        <v/>
      </c>
      <c r="V3900" t="str">
        <f>IF(OR(U3900="",U3900="ERRO_CHAVE"),"",IFERROR(MATCH(U3900,Fornecedores!$AF$1:$AF$6631,0),""))</f>
        <v/>
      </c>
      <c r="W3900" t="str">
        <f t="shared" si="3"/>
        <v/>
      </c>
      <c r="X3900" s="4" t="str">
        <f>IF(V3900="","",INDEX(Fornecedores!$X$1:$X$6631,V3900))</f>
        <v/>
      </c>
      <c r="Y3900" s="4" t="str">
        <f t="shared" si="4"/>
        <v/>
      </c>
    </row>
    <row r="3901" spans="19:25">
      <c r="S3901" t="str">
        <f t="shared" si="0"/>
        <v/>
      </c>
      <c r="T3901" t="str">
        <f t="shared" si="1"/>
        <v/>
      </c>
      <c r="U3901" t="str">
        <f t="shared" si="2"/>
        <v/>
      </c>
      <c r="V3901" t="str">
        <f>IF(OR(U3901="",U3901="ERRO_CHAVE"),"",IFERROR(MATCH(U3901,Fornecedores!$AF$1:$AF$6631,0),""))</f>
        <v/>
      </c>
      <c r="W3901" t="str">
        <f t="shared" si="3"/>
        <v/>
      </c>
      <c r="X3901" s="4" t="str">
        <f>IF(V3901="","",INDEX(Fornecedores!$X$1:$X$6631,V3901))</f>
        <v/>
      </c>
      <c r="Y3901" s="4" t="str">
        <f t="shared" si="4"/>
        <v/>
      </c>
    </row>
    <row r="3902" spans="19:25">
      <c r="S3902" t="str">
        <f t="shared" si="0"/>
        <v/>
      </c>
      <c r="T3902" t="str">
        <f t="shared" si="1"/>
        <v/>
      </c>
      <c r="U3902" t="str">
        <f t="shared" si="2"/>
        <v/>
      </c>
      <c r="V3902" t="str">
        <f>IF(OR(U3902="",U3902="ERRO_CHAVE"),"",IFERROR(MATCH(U3902,Fornecedores!$AF$1:$AF$6631,0),""))</f>
        <v/>
      </c>
      <c r="W3902" t="str">
        <f t="shared" si="3"/>
        <v/>
      </c>
      <c r="X3902" s="4" t="str">
        <f>IF(V3902="","",INDEX(Fornecedores!$X$1:$X$6631,V3902))</f>
        <v/>
      </c>
      <c r="Y3902" s="4" t="str">
        <f t="shared" si="4"/>
        <v/>
      </c>
    </row>
    <row r="3903" spans="19:25">
      <c r="S3903" t="str">
        <f t="shared" si="0"/>
        <v/>
      </c>
      <c r="T3903" t="str">
        <f t="shared" si="1"/>
        <v/>
      </c>
      <c r="U3903" t="str">
        <f t="shared" si="2"/>
        <v/>
      </c>
      <c r="V3903" t="str">
        <f>IF(OR(U3903="",U3903="ERRO_CHAVE"),"",IFERROR(MATCH(U3903,Fornecedores!$AF$1:$AF$6631,0),""))</f>
        <v/>
      </c>
      <c r="W3903" t="str">
        <f t="shared" si="3"/>
        <v/>
      </c>
      <c r="X3903" s="4" t="str">
        <f>IF(V3903="","",INDEX(Fornecedores!$X$1:$X$6631,V3903))</f>
        <v/>
      </c>
      <c r="Y3903" s="4" t="str">
        <f t="shared" si="4"/>
        <v/>
      </c>
    </row>
    <row r="3904" spans="19:25">
      <c r="S3904" t="str">
        <f t="shared" si="0"/>
        <v/>
      </c>
      <c r="T3904" t="str">
        <f t="shared" si="1"/>
        <v/>
      </c>
      <c r="U3904" t="str">
        <f t="shared" si="2"/>
        <v/>
      </c>
      <c r="V3904" t="str">
        <f>IF(OR(U3904="",U3904="ERRO_CHAVE"),"",IFERROR(MATCH(U3904,Fornecedores!$AF$1:$AF$6631,0),""))</f>
        <v/>
      </c>
      <c r="W3904" t="str">
        <f t="shared" si="3"/>
        <v/>
      </c>
      <c r="X3904" s="4" t="str">
        <f>IF(V3904="","",INDEX(Fornecedores!$X$1:$X$6631,V3904))</f>
        <v/>
      </c>
      <c r="Y3904" s="4" t="str">
        <f t="shared" si="4"/>
        <v/>
      </c>
    </row>
    <row r="3905" spans="19:25">
      <c r="S3905" t="str">
        <f t="shared" si="0"/>
        <v/>
      </c>
      <c r="T3905" t="str">
        <f t="shared" si="1"/>
        <v/>
      </c>
      <c r="U3905" t="str">
        <f t="shared" si="2"/>
        <v/>
      </c>
      <c r="V3905" t="str">
        <f>IF(OR(U3905="",U3905="ERRO_CHAVE"),"",IFERROR(MATCH(U3905,Fornecedores!$AF$1:$AF$6631,0),""))</f>
        <v/>
      </c>
      <c r="W3905" t="str">
        <f t="shared" si="3"/>
        <v/>
      </c>
      <c r="X3905" s="4" t="str">
        <f>IF(V3905="","",INDEX(Fornecedores!$X$1:$X$6631,V3905))</f>
        <v/>
      </c>
      <c r="Y3905" s="4" t="str">
        <f t="shared" si="4"/>
        <v/>
      </c>
    </row>
    <row r="3906" spans="19:25">
      <c r="S3906" t="str">
        <f t="shared" si="0"/>
        <v/>
      </c>
      <c r="T3906" t="str">
        <f t="shared" si="1"/>
        <v/>
      </c>
      <c r="U3906" t="str">
        <f t="shared" si="2"/>
        <v/>
      </c>
      <c r="V3906" t="str">
        <f>IF(OR(U3906="",U3906="ERRO_CHAVE"),"",IFERROR(MATCH(U3906,Fornecedores!$AF$1:$AF$6631,0),""))</f>
        <v/>
      </c>
      <c r="W3906" t="str">
        <f t="shared" si="3"/>
        <v/>
      </c>
      <c r="X3906" s="4" t="str">
        <f>IF(V3906="","",INDEX(Fornecedores!$X$1:$X$6631,V3906))</f>
        <v/>
      </c>
      <c r="Y3906" s="4" t="str">
        <f t="shared" si="4"/>
        <v/>
      </c>
    </row>
    <row r="3907" spans="19:25">
      <c r="S3907" t="str">
        <f t="shared" si="0"/>
        <v/>
      </c>
      <c r="T3907" t="str">
        <f t="shared" si="1"/>
        <v/>
      </c>
      <c r="U3907" t="str">
        <f t="shared" si="2"/>
        <v/>
      </c>
      <c r="V3907" t="str">
        <f>IF(OR(U3907="",U3907="ERRO_CHAVE"),"",IFERROR(MATCH(U3907,Fornecedores!$AF$1:$AF$6631,0),""))</f>
        <v/>
      </c>
      <c r="W3907" t="str">
        <f t="shared" si="3"/>
        <v/>
      </c>
      <c r="X3907" s="4" t="str">
        <f>IF(V3907="","",INDEX(Fornecedores!$X$1:$X$6631,V3907))</f>
        <v/>
      </c>
      <c r="Y3907" s="4" t="str">
        <f t="shared" si="4"/>
        <v/>
      </c>
    </row>
    <row r="3908" spans="19:25">
      <c r="S3908" t="str">
        <f t="shared" si="0"/>
        <v/>
      </c>
      <c r="T3908" t="str">
        <f t="shared" si="1"/>
        <v/>
      </c>
      <c r="U3908" t="str">
        <f t="shared" si="2"/>
        <v/>
      </c>
      <c r="V3908" t="str">
        <f>IF(OR(U3908="",U3908="ERRO_CHAVE"),"",IFERROR(MATCH(U3908,Fornecedores!$AF$1:$AF$6631,0),""))</f>
        <v/>
      </c>
      <c r="W3908" t="str">
        <f t="shared" si="3"/>
        <v/>
      </c>
      <c r="X3908" s="4" t="str">
        <f>IF(V3908="","",INDEX(Fornecedores!$X$1:$X$6631,V3908))</f>
        <v/>
      </c>
      <c r="Y3908" s="4" t="str">
        <f t="shared" si="4"/>
        <v/>
      </c>
    </row>
    <row r="3909" spans="19:25">
      <c r="S3909" t="str">
        <f t="shared" si="0"/>
        <v/>
      </c>
      <c r="T3909" t="str">
        <f t="shared" si="1"/>
        <v/>
      </c>
      <c r="U3909" t="str">
        <f t="shared" si="2"/>
        <v/>
      </c>
      <c r="V3909" t="str">
        <f>IF(OR(U3909="",U3909="ERRO_CHAVE"),"",IFERROR(MATCH(U3909,Fornecedores!$AF$1:$AF$6631,0),""))</f>
        <v/>
      </c>
      <c r="W3909" t="str">
        <f t="shared" si="3"/>
        <v/>
      </c>
      <c r="X3909" s="4" t="str">
        <f>IF(V3909="","",INDEX(Fornecedores!$X$1:$X$6631,V3909))</f>
        <v/>
      </c>
      <c r="Y3909" s="4" t="str">
        <f t="shared" si="4"/>
        <v/>
      </c>
    </row>
    <row r="3910" spans="19:25">
      <c r="S3910" t="str">
        <f t="shared" si="0"/>
        <v/>
      </c>
      <c r="T3910" t="str">
        <f t="shared" si="1"/>
        <v/>
      </c>
      <c r="U3910" t="str">
        <f t="shared" si="2"/>
        <v/>
      </c>
      <c r="V3910" t="str">
        <f>IF(OR(U3910="",U3910="ERRO_CHAVE"),"",IFERROR(MATCH(U3910,Fornecedores!$AF$1:$AF$6631,0),""))</f>
        <v/>
      </c>
      <c r="W3910" t="str">
        <f t="shared" si="3"/>
        <v/>
      </c>
      <c r="X3910" s="4" t="str">
        <f>IF(V3910="","",INDEX(Fornecedores!$X$1:$X$6631,V3910))</f>
        <v/>
      </c>
      <c r="Y3910" s="4" t="str">
        <f t="shared" si="4"/>
        <v/>
      </c>
    </row>
    <row r="3911" spans="19:25">
      <c r="S3911" t="str">
        <f t="shared" si="0"/>
        <v/>
      </c>
      <c r="T3911" t="str">
        <f t="shared" si="1"/>
        <v/>
      </c>
      <c r="U3911" t="str">
        <f t="shared" si="2"/>
        <v/>
      </c>
      <c r="V3911" t="str">
        <f>IF(OR(U3911="",U3911="ERRO_CHAVE"),"",IFERROR(MATCH(U3911,Fornecedores!$AF$1:$AF$6631,0),""))</f>
        <v/>
      </c>
      <c r="W3911" t="str">
        <f t="shared" si="3"/>
        <v/>
      </c>
      <c r="X3911" s="4" t="str">
        <f>IF(V3911="","",INDEX(Fornecedores!$X$1:$X$6631,V3911))</f>
        <v/>
      </c>
      <c r="Y3911" s="4" t="str">
        <f t="shared" si="4"/>
        <v/>
      </c>
    </row>
    <row r="3912" spans="19:25">
      <c r="S3912" t="str">
        <f t="shared" si="0"/>
        <v/>
      </c>
      <c r="T3912" t="str">
        <f t="shared" si="1"/>
        <v/>
      </c>
      <c r="U3912" t="str">
        <f t="shared" si="2"/>
        <v/>
      </c>
      <c r="V3912" t="str">
        <f>IF(OR(U3912="",U3912="ERRO_CHAVE"),"",IFERROR(MATCH(U3912,Fornecedores!$AF$1:$AF$6631,0),""))</f>
        <v/>
      </c>
      <c r="W3912" t="str">
        <f t="shared" si="3"/>
        <v/>
      </c>
      <c r="X3912" s="4" t="str">
        <f>IF(V3912="","",INDEX(Fornecedores!$X$1:$X$6631,V3912))</f>
        <v/>
      </c>
      <c r="Y3912" s="4" t="str">
        <f t="shared" si="4"/>
        <v/>
      </c>
    </row>
    <row r="3913" spans="19:25">
      <c r="S3913" t="str">
        <f t="shared" si="0"/>
        <v/>
      </c>
      <c r="T3913" t="str">
        <f t="shared" si="1"/>
        <v/>
      </c>
      <c r="U3913" t="str">
        <f t="shared" si="2"/>
        <v/>
      </c>
      <c r="V3913" t="str">
        <f>IF(OR(U3913="",U3913="ERRO_CHAVE"),"",IFERROR(MATCH(U3913,Fornecedores!$AF$1:$AF$6631,0),""))</f>
        <v/>
      </c>
      <c r="W3913" t="str">
        <f t="shared" si="3"/>
        <v/>
      </c>
      <c r="X3913" s="4" t="str">
        <f>IF(V3913="","",INDEX(Fornecedores!$X$1:$X$6631,V3913))</f>
        <v/>
      </c>
      <c r="Y3913" s="4" t="str">
        <f t="shared" si="4"/>
        <v/>
      </c>
    </row>
    <row r="3914" spans="19:25">
      <c r="S3914" t="str">
        <f t="shared" si="0"/>
        <v/>
      </c>
      <c r="T3914" t="str">
        <f t="shared" si="1"/>
        <v/>
      </c>
      <c r="U3914" t="str">
        <f t="shared" si="2"/>
        <v/>
      </c>
      <c r="V3914" t="str">
        <f>IF(OR(U3914="",U3914="ERRO_CHAVE"),"",IFERROR(MATCH(U3914,Fornecedores!$AF$1:$AF$6631,0),""))</f>
        <v/>
      </c>
      <c r="W3914" t="str">
        <f t="shared" si="3"/>
        <v/>
      </c>
      <c r="X3914" s="4" t="str">
        <f>IF(V3914="","",INDEX(Fornecedores!$X$1:$X$6631,V3914))</f>
        <v/>
      </c>
      <c r="Y3914" s="4" t="str">
        <f t="shared" si="4"/>
        <v/>
      </c>
    </row>
    <row r="3915" spans="19:25">
      <c r="S3915" t="str">
        <f t="shared" si="0"/>
        <v/>
      </c>
      <c r="T3915" t="str">
        <f t="shared" si="1"/>
        <v/>
      </c>
      <c r="U3915" t="str">
        <f t="shared" si="2"/>
        <v/>
      </c>
      <c r="V3915" t="str">
        <f>IF(OR(U3915="",U3915="ERRO_CHAVE"),"",IFERROR(MATCH(U3915,Fornecedores!$AF$1:$AF$6631,0),""))</f>
        <v/>
      </c>
      <c r="W3915" t="str">
        <f t="shared" si="3"/>
        <v/>
      </c>
      <c r="X3915" s="4" t="str">
        <f>IF(V3915="","",INDEX(Fornecedores!$X$1:$X$6631,V3915))</f>
        <v/>
      </c>
      <c r="Y3915" s="4" t="str">
        <f t="shared" si="4"/>
        <v/>
      </c>
    </row>
    <row r="3916" spans="19:25">
      <c r="S3916" t="str">
        <f t="shared" si="0"/>
        <v/>
      </c>
      <c r="T3916" t="str">
        <f t="shared" si="1"/>
        <v/>
      </c>
      <c r="U3916" t="str">
        <f t="shared" si="2"/>
        <v/>
      </c>
      <c r="V3916" t="str">
        <f>IF(OR(U3916="",U3916="ERRO_CHAVE"),"",IFERROR(MATCH(U3916,Fornecedores!$AF$1:$AF$6631,0),""))</f>
        <v/>
      </c>
      <c r="W3916" t="str">
        <f t="shared" si="3"/>
        <v/>
      </c>
      <c r="X3916" s="4" t="str">
        <f>IF(V3916="","",INDEX(Fornecedores!$X$1:$X$6631,V3916))</f>
        <v/>
      </c>
      <c r="Y3916" s="4" t="str">
        <f t="shared" si="4"/>
        <v/>
      </c>
    </row>
    <row r="3917" spans="19:25">
      <c r="S3917" t="str">
        <f t="shared" si="0"/>
        <v/>
      </c>
      <c r="T3917" t="str">
        <f t="shared" si="1"/>
        <v/>
      </c>
      <c r="U3917" t="str">
        <f t="shared" si="2"/>
        <v/>
      </c>
      <c r="V3917" t="str">
        <f>IF(OR(U3917="",U3917="ERRO_CHAVE"),"",IFERROR(MATCH(U3917,Fornecedores!$AF$1:$AF$6631,0),""))</f>
        <v/>
      </c>
      <c r="W3917" t="str">
        <f t="shared" si="3"/>
        <v/>
      </c>
      <c r="X3917" s="4" t="str">
        <f>IF(V3917="","",INDEX(Fornecedores!$X$1:$X$6631,V3917))</f>
        <v/>
      </c>
      <c r="Y3917" s="4" t="str">
        <f t="shared" si="4"/>
        <v/>
      </c>
    </row>
    <row r="3918" spans="19:25">
      <c r="S3918" t="str">
        <f t="shared" si="0"/>
        <v/>
      </c>
      <c r="T3918" t="str">
        <f t="shared" si="1"/>
        <v/>
      </c>
      <c r="U3918" t="str">
        <f t="shared" si="2"/>
        <v/>
      </c>
      <c r="V3918" t="str">
        <f>IF(OR(U3918="",U3918="ERRO_CHAVE"),"",IFERROR(MATCH(U3918,Fornecedores!$AF$1:$AF$6631,0),""))</f>
        <v/>
      </c>
      <c r="W3918" t="str">
        <f t="shared" si="3"/>
        <v/>
      </c>
      <c r="X3918" s="4" t="str">
        <f>IF(V3918="","",INDEX(Fornecedores!$X$1:$X$6631,V3918))</f>
        <v/>
      </c>
      <c r="Y3918" s="4" t="str">
        <f t="shared" si="4"/>
        <v/>
      </c>
    </row>
    <row r="3919" spans="19:25">
      <c r="S3919" t="str">
        <f t="shared" si="0"/>
        <v/>
      </c>
      <c r="T3919" t="str">
        <f t="shared" si="1"/>
        <v/>
      </c>
      <c r="U3919" t="str">
        <f t="shared" si="2"/>
        <v/>
      </c>
      <c r="V3919" t="str">
        <f>IF(OR(U3919="",U3919="ERRO_CHAVE"),"",IFERROR(MATCH(U3919,Fornecedores!$AF$1:$AF$6631,0),""))</f>
        <v/>
      </c>
      <c r="W3919" t="str">
        <f t="shared" si="3"/>
        <v/>
      </c>
      <c r="X3919" s="4" t="str">
        <f>IF(V3919="","",INDEX(Fornecedores!$X$1:$X$6631,V3919))</f>
        <v/>
      </c>
      <c r="Y3919" s="4" t="str">
        <f t="shared" si="4"/>
        <v/>
      </c>
    </row>
    <row r="3920" spans="19:25">
      <c r="S3920" t="str">
        <f t="shared" si="0"/>
        <v/>
      </c>
      <c r="T3920" t="str">
        <f t="shared" si="1"/>
        <v/>
      </c>
      <c r="U3920" t="str">
        <f t="shared" si="2"/>
        <v/>
      </c>
      <c r="V3920" t="str">
        <f>IF(OR(U3920="",U3920="ERRO_CHAVE"),"",IFERROR(MATCH(U3920,Fornecedores!$AF$1:$AF$6631,0),""))</f>
        <v/>
      </c>
      <c r="W3920" t="str">
        <f t="shared" si="3"/>
        <v/>
      </c>
      <c r="X3920" s="4" t="str">
        <f>IF(V3920="","",INDEX(Fornecedores!$X$1:$X$6631,V3920))</f>
        <v/>
      </c>
      <c r="Y3920" s="4" t="str">
        <f t="shared" si="4"/>
        <v/>
      </c>
    </row>
    <row r="3921" spans="19:25">
      <c r="S3921" t="str">
        <f t="shared" si="0"/>
        <v/>
      </c>
      <c r="T3921" t="str">
        <f t="shared" si="1"/>
        <v/>
      </c>
      <c r="U3921" t="str">
        <f t="shared" si="2"/>
        <v/>
      </c>
      <c r="V3921" t="str">
        <f>IF(OR(U3921="",U3921="ERRO_CHAVE"),"",IFERROR(MATCH(U3921,Fornecedores!$AF$1:$AF$6631,0),""))</f>
        <v/>
      </c>
      <c r="W3921" t="str">
        <f t="shared" si="3"/>
        <v/>
      </c>
      <c r="X3921" s="4" t="str">
        <f>IF(V3921="","",INDEX(Fornecedores!$X$1:$X$6631,V3921))</f>
        <v/>
      </c>
      <c r="Y3921" s="4" t="str">
        <f t="shared" si="4"/>
        <v/>
      </c>
    </row>
    <row r="3922" spans="19:25">
      <c r="S3922" t="str">
        <f t="shared" si="0"/>
        <v/>
      </c>
      <c r="T3922" t="str">
        <f t="shared" si="1"/>
        <v/>
      </c>
      <c r="U3922" t="str">
        <f t="shared" si="2"/>
        <v/>
      </c>
      <c r="V3922" t="str">
        <f>IF(OR(U3922="",U3922="ERRO_CHAVE"),"",IFERROR(MATCH(U3922,Fornecedores!$AF$1:$AF$6631,0),""))</f>
        <v/>
      </c>
      <c r="W3922" t="str">
        <f t="shared" si="3"/>
        <v/>
      </c>
      <c r="X3922" s="4" t="str">
        <f>IF(V3922="","",INDEX(Fornecedores!$X$1:$X$6631,V3922))</f>
        <v/>
      </c>
      <c r="Y3922" s="4" t="str">
        <f t="shared" si="4"/>
        <v/>
      </c>
    </row>
    <row r="3923" spans="19:25">
      <c r="S3923" t="str">
        <f t="shared" si="0"/>
        <v/>
      </c>
      <c r="T3923" t="str">
        <f t="shared" si="1"/>
        <v/>
      </c>
      <c r="U3923" t="str">
        <f t="shared" si="2"/>
        <v/>
      </c>
      <c r="V3923" t="str">
        <f>IF(OR(U3923="",U3923="ERRO_CHAVE"),"",IFERROR(MATCH(U3923,Fornecedores!$AF$1:$AF$6631,0),""))</f>
        <v/>
      </c>
      <c r="W3923" t="str">
        <f t="shared" si="3"/>
        <v/>
      </c>
      <c r="X3923" s="4" t="str">
        <f>IF(V3923="","",INDEX(Fornecedores!$X$1:$X$6631,V3923))</f>
        <v/>
      </c>
      <c r="Y3923" s="4" t="str">
        <f t="shared" si="4"/>
        <v/>
      </c>
    </row>
    <row r="3924" spans="19:25">
      <c r="S3924" t="str">
        <f t="shared" si="0"/>
        <v/>
      </c>
      <c r="T3924" t="str">
        <f t="shared" si="1"/>
        <v/>
      </c>
      <c r="U3924" t="str">
        <f t="shared" si="2"/>
        <v/>
      </c>
      <c r="V3924" t="str">
        <f>IF(OR(U3924="",U3924="ERRO_CHAVE"),"",IFERROR(MATCH(U3924,Fornecedores!$AF$1:$AF$6631,0),""))</f>
        <v/>
      </c>
      <c r="W3924" t="str">
        <f t="shared" si="3"/>
        <v/>
      </c>
      <c r="X3924" s="4" t="str">
        <f>IF(V3924="","",INDEX(Fornecedores!$X$1:$X$6631,V3924))</f>
        <v/>
      </c>
      <c r="Y3924" s="4" t="str">
        <f t="shared" si="4"/>
        <v/>
      </c>
    </row>
    <row r="3925" spans="19:25">
      <c r="S3925" t="str">
        <f t="shared" si="0"/>
        <v/>
      </c>
      <c r="T3925" t="str">
        <f t="shared" si="1"/>
        <v/>
      </c>
      <c r="U3925" t="str">
        <f t="shared" si="2"/>
        <v/>
      </c>
      <c r="V3925" t="str">
        <f>IF(OR(U3925="",U3925="ERRO_CHAVE"),"",IFERROR(MATCH(U3925,Fornecedores!$AF$1:$AF$6631,0),""))</f>
        <v/>
      </c>
      <c r="W3925" t="str">
        <f t="shared" si="3"/>
        <v/>
      </c>
      <c r="X3925" s="4" t="str">
        <f>IF(V3925="","",INDEX(Fornecedores!$X$1:$X$6631,V3925))</f>
        <v/>
      </c>
      <c r="Y3925" s="4" t="str">
        <f t="shared" si="4"/>
        <v/>
      </c>
    </row>
    <row r="3926" spans="19:25">
      <c r="S3926" t="str">
        <f t="shared" si="0"/>
        <v/>
      </c>
      <c r="T3926" t="str">
        <f t="shared" si="1"/>
        <v/>
      </c>
      <c r="U3926" t="str">
        <f t="shared" si="2"/>
        <v/>
      </c>
      <c r="V3926" t="str">
        <f>IF(OR(U3926="",U3926="ERRO_CHAVE"),"",IFERROR(MATCH(U3926,Fornecedores!$AF$1:$AF$6631,0),""))</f>
        <v/>
      </c>
      <c r="W3926" t="str">
        <f t="shared" si="3"/>
        <v/>
      </c>
      <c r="X3926" s="4" t="str">
        <f>IF(V3926="","",INDEX(Fornecedores!$X$1:$X$6631,V3926))</f>
        <v/>
      </c>
      <c r="Y3926" s="4" t="str">
        <f t="shared" si="4"/>
        <v/>
      </c>
    </row>
    <row r="3927" spans="19:25">
      <c r="S3927" t="str">
        <f t="shared" si="0"/>
        <v/>
      </c>
      <c r="T3927" t="str">
        <f t="shared" si="1"/>
        <v/>
      </c>
      <c r="U3927" t="str">
        <f t="shared" si="2"/>
        <v/>
      </c>
      <c r="V3927" t="str">
        <f>IF(OR(U3927="",U3927="ERRO_CHAVE"),"",IFERROR(MATCH(U3927,Fornecedores!$AF$1:$AF$6631,0),""))</f>
        <v/>
      </c>
      <c r="W3927" t="str">
        <f t="shared" si="3"/>
        <v/>
      </c>
      <c r="X3927" s="4" t="str">
        <f>IF(V3927="","",INDEX(Fornecedores!$X$1:$X$6631,V3927))</f>
        <v/>
      </c>
      <c r="Y3927" s="4" t="str">
        <f t="shared" si="4"/>
        <v/>
      </c>
    </row>
    <row r="3928" spans="19:25">
      <c r="S3928" t="str">
        <f t="shared" si="0"/>
        <v/>
      </c>
      <c r="T3928" t="str">
        <f t="shared" si="1"/>
        <v/>
      </c>
      <c r="U3928" t="str">
        <f t="shared" si="2"/>
        <v/>
      </c>
      <c r="V3928" t="str">
        <f>IF(OR(U3928="",U3928="ERRO_CHAVE"),"",IFERROR(MATCH(U3928,Fornecedores!$AF$1:$AF$6631,0),""))</f>
        <v/>
      </c>
      <c r="W3928" t="str">
        <f t="shared" si="3"/>
        <v/>
      </c>
      <c r="X3928" s="4" t="str">
        <f>IF(V3928="","",INDEX(Fornecedores!$X$1:$X$6631,V3928))</f>
        <v/>
      </c>
      <c r="Y3928" s="4" t="str">
        <f t="shared" si="4"/>
        <v/>
      </c>
    </row>
    <row r="3929" spans="19:25">
      <c r="S3929" t="str">
        <f t="shared" si="0"/>
        <v/>
      </c>
      <c r="T3929" t="str">
        <f t="shared" si="1"/>
        <v/>
      </c>
      <c r="U3929" t="str">
        <f t="shared" si="2"/>
        <v/>
      </c>
      <c r="V3929" t="str">
        <f>IF(OR(U3929="",U3929="ERRO_CHAVE"),"",IFERROR(MATCH(U3929,Fornecedores!$AF$1:$AF$6631,0),""))</f>
        <v/>
      </c>
      <c r="W3929" t="str">
        <f t="shared" si="3"/>
        <v/>
      </c>
      <c r="X3929" s="4" t="str">
        <f>IF(V3929="","",INDEX(Fornecedores!$X$1:$X$6631,V3929))</f>
        <v/>
      </c>
      <c r="Y3929" s="4" t="str">
        <f t="shared" si="4"/>
        <v/>
      </c>
    </row>
    <row r="3930" spans="19:25">
      <c r="S3930" t="str">
        <f t="shared" si="0"/>
        <v/>
      </c>
      <c r="T3930" t="str">
        <f t="shared" si="1"/>
        <v/>
      </c>
      <c r="U3930" t="str">
        <f t="shared" si="2"/>
        <v/>
      </c>
      <c r="V3930" t="str">
        <f>IF(OR(U3930="",U3930="ERRO_CHAVE"),"",IFERROR(MATCH(U3930,Fornecedores!$AF$1:$AF$6631,0),""))</f>
        <v/>
      </c>
      <c r="W3930" t="str">
        <f t="shared" si="3"/>
        <v/>
      </c>
      <c r="X3930" s="4" t="str">
        <f>IF(V3930="","",INDEX(Fornecedores!$X$1:$X$6631,V3930))</f>
        <v/>
      </c>
      <c r="Y3930" s="4" t="str">
        <f t="shared" si="4"/>
        <v/>
      </c>
    </row>
    <row r="3931" spans="19:25">
      <c r="S3931" t="str">
        <f t="shared" si="0"/>
        <v/>
      </c>
      <c r="T3931" t="str">
        <f t="shared" si="1"/>
        <v/>
      </c>
      <c r="U3931" t="str">
        <f t="shared" si="2"/>
        <v/>
      </c>
      <c r="V3931" t="str">
        <f>IF(OR(U3931="",U3931="ERRO_CHAVE"),"",IFERROR(MATCH(U3931,Fornecedores!$AF$1:$AF$6631,0),""))</f>
        <v/>
      </c>
      <c r="W3931" t="str">
        <f t="shared" si="3"/>
        <v/>
      </c>
      <c r="X3931" s="4" t="str">
        <f>IF(V3931="","",INDEX(Fornecedores!$X$1:$X$6631,V3931))</f>
        <v/>
      </c>
      <c r="Y3931" s="4" t="str">
        <f t="shared" si="4"/>
        <v/>
      </c>
    </row>
    <row r="3932" spans="19:25">
      <c r="S3932" t="str">
        <f t="shared" si="0"/>
        <v/>
      </c>
      <c r="T3932" t="str">
        <f t="shared" si="1"/>
        <v/>
      </c>
      <c r="U3932" t="str">
        <f t="shared" si="2"/>
        <v/>
      </c>
      <c r="V3932" t="str">
        <f>IF(OR(U3932="",U3932="ERRO_CHAVE"),"",IFERROR(MATCH(U3932,Fornecedores!$AF$1:$AF$6631,0),""))</f>
        <v/>
      </c>
      <c r="W3932" t="str">
        <f t="shared" si="3"/>
        <v/>
      </c>
      <c r="X3932" s="4" t="str">
        <f>IF(V3932="","",INDEX(Fornecedores!$X$1:$X$6631,V3932))</f>
        <v/>
      </c>
      <c r="Y3932" s="4" t="str">
        <f t="shared" si="4"/>
        <v/>
      </c>
    </row>
    <row r="3933" spans="19:25">
      <c r="S3933" t="str">
        <f t="shared" si="0"/>
        <v/>
      </c>
      <c r="T3933" t="str">
        <f t="shared" si="1"/>
        <v/>
      </c>
      <c r="U3933" t="str">
        <f t="shared" si="2"/>
        <v/>
      </c>
      <c r="V3933" t="str">
        <f>IF(OR(U3933="",U3933="ERRO_CHAVE"),"",IFERROR(MATCH(U3933,Fornecedores!$AF$1:$AF$6631,0),""))</f>
        <v/>
      </c>
      <c r="W3933" t="str">
        <f t="shared" si="3"/>
        <v/>
      </c>
      <c r="X3933" s="4" t="str">
        <f>IF(V3933="","",INDEX(Fornecedores!$X$1:$X$6631,V3933))</f>
        <v/>
      </c>
      <c r="Y3933" s="4" t="str">
        <f t="shared" si="4"/>
        <v/>
      </c>
    </row>
    <row r="3934" spans="19:25">
      <c r="S3934" t="str">
        <f t="shared" si="0"/>
        <v/>
      </c>
      <c r="T3934" t="str">
        <f t="shared" si="1"/>
        <v/>
      </c>
      <c r="U3934" t="str">
        <f t="shared" si="2"/>
        <v/>
      </c>
      <c r="V3934" t="str">
        <f>IF(OR(U3934="",U3934="ERRO_CHAVE"),"",IFERROR(MATCH(U3934,Fornecedores!$AF$1:$AF$6631,0),""))</f>
        <v/>
      </c>
      <c r="W3934" t="str">
        <f t="shared" si="3"/>
        <v/>
      </c>
      <c r="X3934" s="4" t="str">
        <f>IF(V3934="","",INDEX(Fornecedores!$X$1:$X$6631,V3934))</f>
        <v/>
      </c>
      <c r="Y3934" s="4" t="str">
        <f t="shared" si="4"/>
        <v/>
      </c>
    </row>
    <row r="3935" spans="19:25">
      <c r="S3935" t="str">
        <f t="shared" si="0"/>
        <v/>
      </c>
      <c r="T3935" t="str">
        <f t="shared" si="1"/>
        <v/>
      </c>
      <c r="U3935" t="str">
        <f t="shared" si="2"/>
        <v/>
      </c>
      <c r="V3935" t="str">
        <f>IF(OR(U3935="",U3935="ERRO_CHAVE"),"",IFERROR(MATCH(U3935,Fornecedores!$AF$1:$AF$6631,0),""))</f>
        <v/>
      </c>
      <c r="W3935" t="str">
        <f t="shared" si="3"/>
        <v/>
      </c>
      <c r="X3935" s="4" t="str">
        <f>IF(V3935="","",INDEX(Fornecedores!$X$1:$X$6631,V3935))</f>
        <v/>
      </c>
      <c r="Y3935" s="4" t="str">
        <f t="shared" si="4"/>
        <v/>
      </c>
    </row>
    <row r="3936" spans="19:25">
      <c r="S3936" t="str">
        <f t="shared" si="0"/>
        <v/>
      </c>
      <c r="T3936" t="str">
        <f t="shared" si="1"/>
        <v/>
      </c>
      <c r="U3936" t="str">
        <f t="shared" si="2"/>
        <v/>
      </c>
      <c r="V3936" t="str">
        <f>IF(OR(U3936="",U3936="ERRO_CHAVE"),"",IFERROR(MATCH(U3936,Fornecedores!$AF$1:$AF$6631,0),""))</f>
        <v/>
      </c>
      <c r="W3936" t="str">
        <f t="shared" si="3"/>
        <v/>
      </c>
      <c r="X3936" s="4" t="str">
        <f>IF(V3936="","",INDEX(Fornecedores!$X$1:$X$6631,V3936))</f>
        <v/>
      </c>
      <c r="Y3936" s="4" t="str">
        <f t="shared" si="4"/>
        <v/>
      </c>
    </row>
    <row r="3937" spans="19:25">
      <c r="S3937" t="str">
        <f t="shared" si="0"/>
        <v/>
      </c>
      <c r="T3937" t="str">
        <f t="shared" si="1"/>
        <v/>
      </c>
      <c r="U3937" t="str">
        <f t="shared" si="2"/>
        <v/>
      </c>
      <c r="V3937" t="str">
        <f>IF(OR(U3937="",U3937="ERRO_CHAVE"),"",IFERROR(MATCH(U3937,Fornecedores!$AF$1:$AF$6631,0),""))</f>
        <v/>
      </c>
      <c r="W3937" t="str">
        <f t="shared" si="3"/>
        <v/>
      </c>
      <c r="X3937" s="4" t="str">
        <f>IF(V3937="","",INDEX(Fornecedores!$X$1:$X$6631,V3937))</f>
        <v/>
      </c>
      <c r="Y3937" s="4" t="str">
        <f t="shared" si="4"/>
        <v/>
      </c>
    </row>
    <row r="3938" spans="19:25">
      <c r="S3938" t="str">
        <f t="shared" si="0"/>
        <v/>
      </c>
      <c r="T3938" t="str">
        <f t="shared" si="1"/>
        <v/>
      </c>
      <c r="U3938" t="str">
        <f t="shared" si="2"/>
        <v/>
      </c>
      <c r="V3938" t="str">
        <f>IF(OR(U3938="",U3938="ERRO_CHAVE"),"",IFERROR(MATCH(U3938,Fornecedores!$AF$1:$AF$6631,0),""))</f>
        <v/>
      </c>
      <c r="W3938" t="str">
        <f t="shared" si="3"/>
        <v/>
      </c>
      <c r="X3938" s="4" t="str">
        <f>IF(V3938="","",INDEX(Fornecedores!$X$1:$X$6631,V3938))</f>
        <v/>
      </c>
      <c r="Y3938" s="4" t="str">
        <f t="shared" si="4"/>
        <v/>
      </c>
    </row>
    <row r="3939" spans="19:25">
      <c r="S3939" t="str">
        <f t="shared" si="0"/>
        <v/>
      </c>
      <c r="T3939" t="str">
        <f t="shared" si="1"/>
        <v/>
      </c>
      <c r="U3939" t="str">
        <f t="shared" si="2"/>
        <v/>
      </c>
      <c r="V3939" t="str">
        <f>IF(OR(U3939="",U3939="ERRO_CHAVE"),"",IFERROR(MATCH(U3939,Fornecedores!$AF$1:$AF$6631,0),""))</f>
        <v/>
      </c>
      <c r="W3939" t="str">
        <f t="shared" si="3"/>
        <v/>
      </c>
      <c r="X3939" s="4" t="str">
        <f>IF(V3939="","",INDEX(Fornecedores!$X$1:$X$6631,V3939))</f>
        <v/>
      </c>
      <c r="Y3939" s="4" t="str">
        <f t="shared" si="4"/>
        <v/>
      </c>
    </row>
    <row r="3940" spans="19:25">
      <c r="S3940" t="str">
        <f t="shared" si="0"/>
        <v/>
      </c>
      <c r="T3940" t="str">
        <f t="shared" si="1"/>
        <v/>
      </c>
      <c r="U3940" t="str">
        <f t="shared" si="2"/>
        <v/>
      </c>
      <c r="V3940" t="str">
        <f>IF(OR(U3940="",U3940="ERRO_CHAVE"),"",IFERROR(MATCH(U3940,Fornecedores!$AF$1:$AF$6631,0),""))</f>
        <v/>
      </c>
      <c r="W3940" t="str">
        <f t="shared" si="3"/>
        <v/>
      </c>
      <c r="X3940" s="4" t="str">
        <f>IF(V3940="","",INDEX(Fornecedores!$X$1:$X$6631,V3940))</f>
        <v/>
      </c>
      <c r="Y3940" s="4" t="str">
        <f t="shared" si="4"/>
        <v/>
      </c>
    </row>
    <row r="3941" spans="19:25">
      <c r="S3941" t="str">
        <f t="shared" si="0"/>
        <v/>
      </c>
      <c r="T3941" t="str">
        <f t="shared" si="1"/>
        <v/>
      </c>
      <c r="U3941" t="str">
        <f t="shared" si="2"/>
        <v/>
      </c>
      <c r="V3941" t="str">
        <f>IF(OR(U3941="",U3941="ERRO_CHAVE"),"",IFERROR(MATCH(U3941,Fornecedores!$AF$1:$AF$6631,0),""))</f>
        <v/>
      </c>
      <c r="W3941" t="str">
        <f t="shared" si="3"/>
        <v/>
      </c>
      <c r="X3941" s="4" t="str">
        <f>IF(V3941="","",INDEX(Fornecedores!$X$1:$X$6631,V3941))</f>
        <v/>
      </c>
      <c r="Y3941" s="4" t="str">
        <f t="shared" si="4"/>
        <v/>
      </c>
    </row>
    <row r="3942" spans="19:25">
      <c r="S3942" t="str">
        <f t="shared" si="0"/>
        <v/>
      </c>
      <c r="T3942" t="str">
        <f t="shared" si="1"/>
        <v/>
      </c>
      <c r="U3942" t="str">
        <f t="shared" si="2"/>
        <v/>
      </c>
      <c r="V3942" t="str">
        <f>IF(OR(U3942="",U3942="ERRO_CHAVE"),"",IFERROR(MATCH(U3942,Fornecedores!$AF$1:$AF$6631,0),""))</f>
        <v/>
      </c>
      <c r="W3942" t="str">
        <f t="shared" si="3"/>
        <v/>
      </c>
      <c r="X3942" s="4" t="str">
        <f>IF(V3942="","",INDEX(Fornecedores!$X$1:$X$6631,V3942))</f>
        <v/>
      </c>
      <c r="Y3942" s="4" t="str">
        <f t="shared" si="4"/>
        <v/>
      </c>
    </row>
    <row r="3943" spans="19:25">
      <c r="S3943" t="str">
        <f t="shared" si="0"/>
        <v/>
      </c>
      <c r="T3943" t="str">
        <f t="shared" si="1"/>
        <v/>
      </c>
      <c r="U3943" t="str">
        <f t="shared" si="2"/>
        <v/>
      </c>
      <c r="V3943" t="str">
        <f>IF(OR(U3943="",U3943="ERRO_CHAVE"),"",IFERROR(MATCH(U3943,Fornecedores!$AF$1:$AF$6631,0),""))</f>
        <v/>
      </c>
      <c r="W3943" t="str">
        <f t="shared" si="3"/>
        <v/>
      </c>
      <c r="X3943" s="4" t="str">
        <f>IF(V3943="","",INDEX(Fornecedores!$X$1:$X$6631,V3943))</f>
        <v/>
      </c>
      <c r="Y3943" s="4" t="str">
        <f t="shared" si="4"/>
        <v/>
      </c>
    </row>
    <row r="3944" spans="19:25">
      <c r="S3944" t="str">
        <f t="shared" si="0"/>
        <v/>
      </c>
      <c r="T3944" t="str">
        <f t="shared" si="1"/>
        <v/>
      </c>
      <c r="U3944" t="str">
        <f t="shared" si="2"/>
        <v/>
      </c>
      <c r="V3944" t="str">
        <f>IF(OR(U3944="",U3944="ERRO_CHAVE"),"",IFERROR(MATCH(U3944,Fornecedores!$AF$1:$AF$6631,0),""))</f>
        <v/>
      </c>
      <c r="W3944" t="str">
        <f t="shared" si="3"/>
        <v/>
      </c>
      <c r="X3944" s="4" t="str">
        <f>IF(V3944="","",INDEX(Fornecedores!$X$1:$X$6631,V3944))</f>
        <v/>
      </c>
      <c r="Y3944" s="4" t="str">
        <f t="shared" si="4"/>
        <v/>
      </c>
    </row>
    <row r="3945" spans="19:25">
      <c r="S3945" t="str">
        <f t="shared" si="0"/>
        <v/>
      </c>
      <c r="T3945" t="str">
        <f t="shared" si="1"/>
        <v/>
      </c>
      <c r="U3945" t="str">
        <f t="shared" si="2"/>
        <v/>
      </c>
      <c r="V3945" t="str">
        <f>IF(OR(U3945="",U3945="ERRO_CHAVE"),"",IFERROR(MATCH(U3945,Fornecedores!$AF$1:$AF$6631,0),""))</f>
        <v/>
      </c>
      <c r="W3945" t="str">
        <f t="shared" si="3"/>
        <v/>
      </c>
      <c r="X3945" s="4" t="str">
        <f>IF(V3945="","",INDEX(Fornecedores!$X$1:$X$6631,V3945))</f>
        <v/>
      </c>
      <c r="Y3945" s="4" t="str">
        <f t="shared" si="4"/>
        <v/>
      </c>
    </row>
    <row r="3946" spans="19:25">
      <c r="S3946" t="str">
        <f t="shared" si="0"/>
        <v/>
      </c>
      <c r="T3946" t="str">
        <f t="shared" si="1"/>
        <v/>
      </c>
      <c r="U3946" t="str">
        <f t="shared" si="2"/>
        <v/>
      </c>
      <c r="V3946" t="str">
        <f>IF(OR(U3946="",U3946="ERRO_CHAVE"),"",IFERROR(MATCH(U3946,Fornecedores!$AF$1:$AF$6631,0),""))</f>
        <v/>
      </c>
      <c r="W3946" t="str">
        <f t="shared" si="3"/>
        <v/>
      </c>
      <c r="X3946" s="4" t="str">
        <f>IF(V3946="","",INDEX(Fornecedores!$X$1:$X$6631,V3946))</f>
        <v/>
      </c>
      <c r="Y3946" s="4" t="str">
        <f t="shared" si="4"/>
        <v/>
      </c>
    </row>
    <row r="3947" spans="19:25">
      <c r="S3947" t="str">
        <f t="shared" si="0"/>
        <v/>
      </c>
      <c r="T3947" t="str">
        <f t="shared" si="1"/>
        <v/>
      </c>
      <c r="U3947" t="str">
        <f t="shared" si="2"/>
        <v/>
      </c>
      <c r="V3947" t="str">
        <f>IF(OR(U3947="",U3947="ERRO_CHAVE"),"",IFERROR(MATCH(U3947,Fornecedores!$AF$1:$AF$6631,0),""))</f>
        <v/>
      </c>
      <c r="W3947" t="str">
        <f t="shared" si="3"/>
        <v/>
      </c>
      <c r="X3947" s="4" t="str">
        <f>IF(V3947="","",INDEX(Fornecedores!$X$1:$X$6631,V3947))</f>
        <v/>
      </c>
      <c r="Y3947" s="4" t="str">
        <f t="shared" si="4"/>
        <v/>
      </c>
    </row>
    <row r="3948" spans="19:25">
      <c r="S3948" t="str">
        <f t="shared" si="0"/>
        <v/>
      </c>
      <c r="T3948" t="str">
        <f t="shared" si="1"/>
        <v/>
      </c>
      <c r="U3948" t="str">
        <f t="shared" si="2"/>
        <v/>
      </c>
      <c r="V3948" t="str">
        <f>IF(OR(U3948="",U3948="ERRO_CHAVE"),"",IFERROR(MATCH(U3948,Fornecedores!$AF$1:$AF$6631,0),""))</f>
        <v/>
      </c>
      <c r="W3948" t="str">
        <f t="shared" si="3"/>
        <v/>
      </c>
      <c r="X3948" s="4" t="str">
        <f>IF(V3948="","",INDEX(Fornecedores!$X$1:$X$6631,V3948))</f>
        <v/>
      </c>
      <c r="Y3948" s="4" t="str">
        <f t="shared" si="4"/>
        <v/>
      </c>
    </row>
    <row r="3949" spans="19:25">
      <c r="S3949" t="str">
        <f t="shared" si="0"/>
        <v/>
      </c>
      <c r="T3949" t="str">
        <f t="shared" si="1"/>
        <v/>
      </c>
      <c r="U3949" t="str">
        <f t="shared" si="2"/>
        <v/>
      </c>
      <c r="V3949" t="str">
        <f>IF(OR(U3949="",U3949="ERRO_CHAVE"),"",IFERROR(MATCH(U3949,Fornecedores!$AF$1:$AF$6631,0),""))</f>
        <v/>
      </c>
      <c r="W3949" t="str">
        <f t="shared" si="3"/>
        <v/>
      </c>
      <c r="X3949" s="4" t="str">
        <f>IF(V3949="","",INDEX(Fornecedores!$X$1:$X$6631,V3949))</f>
        <v/>
      </c>
      <c r="Y3949" s="4" t="str">
        <f t="shared" si="4"/>
        <v/>
      </c>
    </row>
    <row r="3950" spans="19:25">
      <c r="S3950" t="str">
        <f t="shared" si="0"/>
        <v/>
      </c>
      <c r="T3950" t="str">
        <f t="shared" si="1"/>
        <v/>
      </c>
      <c r="U3950" t="str">
        <f t="shared" si="2"/>
        <v/>
      </c>
      <c r="V3950" t="str">
        <f>IF(OR(U3950="",U3950="ERRO_CHAVE"),"",IFERROR(MATCH(U3950,Fornecedores!$AF$1:$AF$6631,0),""))</f>
        <v/>
      </c>
      <c r="W3950" t="str">
        <f t="shared" si="3"/>
        <v/>
      </c>
      <c r="X3950" s="4" t="str">
        <f>IF(V3950="","",INDEX(Fornecedores!$X$1:$X$6631,V3950))</f>
        <v/>
      </c>
      <c r="Y3950" s="4" t="str">
        <f t="shared" si="4"/>
        <v/>
      </c>
    </row>
    <row r="3951" spans="19:25">
      <c r="S3951" t="str">
        <f t="shared" si="0"/>
        <v/>
      </c>
      <c r="T3951" t="str">
        <f t="shared" si="1"/>
        <v/>
      </c>
      <c r="U3951" t="str">
        <f t="shared" si="2"/>
        <v/>
      </c>
      <c r="V3951" t="str">
        <f>IF(OR(U3951="",U3951="ERRO_CHAVE"),"",IFERROR(MATCH(U3951,Fornecedores!$AF$1:$AF$6631,0),""))</f>
        <v/>
      </c>
      <c r="W3951" t="str">
        <f t="shared" si="3"/>
        <v/>
      </c>
      <c r="X3951" s="4" t="str">
        <f>IF(V3951="","",INDEX(Fornecedores!$X$1:$X$6631,V3951))</f>
        <v/>
      </c>
      <c r="Y3951" s="4" t="str">
        <f t="shared" si="4"/>
        <v/>
      </c>
    </row>
    <row r="3952" spans="19:25">
      <c r="S3952" t="str">
        <f t="shared" si="0"/>
        <v/>
      </c>
      <c r="T3952" t="str">
        <f t="shared" si="1"/>
        <v/>
      </c>
      <c r="U3952" t="str">
        <f t="shared" si="2"/>
        <v/>
      </c>
      <c r="V3952" t="str">
        <f>IF(OR(U3952="",U3952="ERRO_CHAVE"),"",IFERROR(MATCH(U3952,Fornecedores!$AF$1:$AF$6631,0),""))</f>
        <v/>
      </c>
      <c r="W3952" t="str">
        <f t="shared" si="3"/>
        <v/>
      </c>
      <c r="X3952" s="4" t="str">
        <f>IF(V3952="","",INDEX(Fornecedores!$X$1:$X$6631,V3952))</f>
        <v/>
      </c>
      <c r="Y3952" s="4" t="str">
        <f t="shared" si="4"/>
        <v/>
      </c>
    </row>
    <row r="3953" spans="19:25">
      <c r="S3953" t="str">
        <f t="shared" si="0"/>
        <v/>
      </c>
      <c r="T3953" t="str">
        <f t="shared" si="1"/>
        <v/>
      </c>
      <c r="U3953" t="str">
        <f t="shared" si="2"/>
        <v/>
      </c>
      <c r="V3953" t="str">
        <f>IF(OR(U3953="",U3953="ERRO_CHAVE"),"",IFERROR(MATCH(U3953,Fornecedores!$AF$1:$AF$6631,0),""))</f>
        <v/>
      </c>
      <c r="W3953" t="str">
        <f t="shared" si="3"/>
        <v/>
      </c>
      <c r="X3953" s="4" t="str">
        <f>IF(V3953="","",INDEX(Fornecedores!$X$1:$X$6631,V3953))</f>
        <v/>
      </c>
      <c r="Y3953" s="4" t="str">
        <f t="shared" si="4"/>
        <v/>
      </c>
    </row>
    <row r="3954" spans="19:25">
      <c r="S3954" t="str">
        <f t="shared" si="0"/>
        <v/>
      </c>
      <c r="T3954" t="str">
        <f t="shared" si="1"/>
        <v/>
      </c>
      <c r="U3954" t="str">
        <f t="shared" si="2"/>
        <v/>
      </c>
      <c r="V3954" t="str">
        <f>IF(OR(U3954="",U3954="ERRO_CHAVE"),"",IFERROR(MATCH(U3954,Fornecedores!$AF$1:$AF$6631,0),""))</f>
        <v/>
      </c>
      <c r="W3954" t="str">
        <f t="shared" si="3"/>
        <v/>
      </c>
      <c r="X3954" s="4" t="str">
        <f>IF(V3954="","",INDEX(Fornecedores!$X$1:$X$6631,V3954))</f>
        <v/>
      </c>
      <c r="Y3954" s="4" t="str">
        <f t="shared" si="4"/>
        <v/>
      </c>
    </row>
    <row r="3955" spans="19:25">
      <c r="S3955" t="str">
        <f t="shared" si="0"/>
        <v/>
      </c>
      <c r="T3955" t="str">
        <f t="shared" si="1"/>
        <v/>
      </c>
      <c r="U3955" t="str">
        <f t="shared" si="2"/>
        <v/>
      </c>
      <c r="V3955" t="str">
        <f>IF(OR(U3955="",U3955="ERRO_CHAVE"),"",IFERROR(MATCH(U3955,Fornecedores!$AF$1:$AF$6631,0),""))</f>
        <v/>
      </c>
      <c r="W3955" t="str">
        <f t="shared" si="3"/>
        <v/>
      </c>
      <c r="X3955" s="4" t="str">
        <f>IF(V3955="","",INDEX(Fornecedores!$X$1:$X$6631,V3955))</f>
        <v/>
      </c>
      <c r="Y3955" s="4" t="str">
        <f t="shared" si="4"/>
        <v/>
      </c>
    </row>
    <row r="3956" spans="19:25">
      <c r="S3956" t="str">
        <f t="shared" si="0"/>
        <v/>
      </c>
      <c r="T3956" t="str">
        <f t="shared" si="1"/>
        <v/>
      </c>
      <c r="U3956" t="str">
        <f t="shared" si="2"/>
        <v/>
      </c>
      <c r="V3956" t="str">
        <f>IF(OR(U3956="",U3956="ERRO_CHAVE"),"",IFERROR(MATCH(U3956,Fornecedores!$AF$1:$AF$6631,0),""))</f>
        <v/>
      </c>
      <c r="W3956" t="str">
        <f t="shared" si="3"/>
        <v/>
      </c>
      <c r="X3956" s="4" t="str">
        <f>IF(V3956="","",INDEX(Fornecedores!$X$1:$X$6631,V3956))</f>
        <v/>
      </c>
      <c r="Y3956" s="4" t="str">
        <f t="shared" si="4"/>
        <v/>
      </c>
    </row>
    <row r="3957" spans="19:25">
      <c r="S3957" t="str">
        <f t="shared" si="0"/>
        <v/>
      </c>
      <c r="T3957" t="str">
        <f t="shared" si="1"/>
        <v/>
      </c>
      <c r="U3957" t="str">
        <f t="shared" si="2"/>
        <v/>
      </c>
      <c r="V3957" t="str">
        <f>IF(OR(U3957="",U3957="ERRO_CHAVE"),"",IFERROR(MATCH(U3957,Fornecedores!$AF$1:$AF$6631,0),""))</f>
        <v/>
      </c>
      <c r="W3957" t="str">
        <f t="shared" si="3"/>
        <v/>
      </c>
      <c r="X3957" s="4" t="str">
        <f>IF(V3957="","",INDEX(Fornecedores!$X$1:$X$6631,V3957))</f>
        <v/>
      </c>
      <c r="Y3957" s="4" t="str">
        <f t="shared" si="4"/>
        <v/>
      </c>
    </row>
    <row r="3958" spans="19:25">
      <c r="S3958" t="str">
        <f t="shared" si="0"/>
        <v/>
      </c>
      <c r="T3958" t="str">
        <f t="shared" si="1"/>
        <v/>
      </c>
      <c r="U3958" t="str">
        <f t="shared" si="2"/>
        <v/>
      </c>
      <c r="V3958" t="str">
        <f>IF(OR(U3958="",U3958="ERRO_CHAVE"),"",IFERROR(MATCH(U3958,Fornecedores!$AF$1:$AF$6631,0),""))</f>
        <v/>
      </c>
      <c r="W3958" t="str">
        <f t="shared" si="3"/>
        <v/>
      </c>
      <c r="X3958" s="4" t="str">
        <f>IF(V3958="","",INDEX(Fornecedores!$X$1:$X$6631,V3958))</f>
        <v/>
      </c>
      <c r="Y3958" s="4" t="str">
        <f t="shared" si="4"/>
        <v/>
      </c>
    </row>
    <row r="3959" spans="19:25">
      <c r="S3959" t="str">
        <f t="shared" si="0"/>
        <v/>
      </c>
      <c r="T3959" t="str">
        <f t="shared" si="1"/>
        <v/>
      </c>
      <c r="U3959" t="str">
        <f t="shared" si="2"/>
        <v/>
      </c>
      <c r="V3959" t="str">
        <f>IF(OR(U3959="",U3959="ERRO_CHAVE"),"",IFERROR(MATCH(U3959,Fornecedores!$AF$1:$AF$6631,0),""))</f>
        <v/>
      </c>
      <c r="W3959" t="str">
        <f t="shared" si="3"/>
        <v/>
      </c>
      <c r="X3959" s="4" t="str">
        <f>IF(V3959="","",INDEX(Fornecedores!$X$1:$X$6631,V3959))</f>
        <v/>
      </c>
      <c r="Y3959" s="4" t="str">
        <f t="shared" si="4"/>
        <v/>
      </c>
    </row>
    <row r="3960" spans="19:25">
      <c r="S3960" t="str">
        <f t="shared" si="0"/>
        <v/>
      </c>
      <c r="T3960" t="str">
        <f t="shared" si="1"/>
        <v/>
      </c>
      <c r="U3960" t="str">
        <f t="shared" si="2"/>
        <v/>
      </c>
      <c r="V3960" t="str">
        <f>IF(OR(U3960="",U3960="ERRO_CHAVE"),"",IFERROR(MATCH(U3960,Fornecedores!$AF$1:$AF$6631,0),""))</f>
        <v/>
      </c>
      <c r="W3960" t="str">
        <f t="shared" si="3"/>
        <v/>
      </c>
      <c r="X3960" s="4" t="str">
        <f>IF(V3960="","",INDEX(Fornecedores!$X$1:$X$6631,V3960))</f>
        <v/>
      </c>
      <c r="Y3960" s="4" t="str">
        <f t="shared" si="4"/>
        <v/>
      </c>
    </row>
    <row r="3961" spans="19:25">
      <c r="S3961" t="str">
        <f t="shared" si="0"/>
        <v/>
      </c>
      <c r="T3961" t="str">
        <f t="shared" si="1"/>
        <v/>
      </c>
      <c r="U3961" t="str">
        <f t="shared" si="2"/>
        <v/>
      </c>
      <c r="V3961" t="str">
        <f>IF(OR(U3961="",U3961="ERRO_CHAVE"),"",IFERROR(MATCH(U3961,Fornecedores!$AF$1:$AF$6631,0),""))</f>
        <v/>
      </c>
      <c r="W3961" t="str">
        <f t="shared" si="3"/>
        <v/>
      </c>
      <c r="X3961" s="4" t="str">
        <f>IF(V3961="","",INDEX(Fornecedores!$X$1:$X$6631,V3961))</f>
        <v/>
      </c>
      <c r="Y3961" s="4" t="str">
        <f t="shared" si="4"/>
        <v/>
      </c>
    </row>
    <row r="3962" spans="19:25">
      <c r="S3962" t="str">
        <f t="shared" si="0"/>
        <v/>
      </c>
      <c r="T3962" t="str">
        <f t="shared" si="1"/>
        <v/>
      </c>
      <c r="U3962" t="str">
        <f t="shared" si="2"/>
        <v/>
      </c>
      <c r="V3962" t="str">
        <f>IF(OR(U3962="",U3962="ERRO_CHAVE"),"",IFERROR(MATCH(U3962,Fornecedores!$AF$1:$AF$6631,0),""))</f>
        <v/>
      </c>
      <c r="W3962" t="str">
        <f t="shared" si="3"/>
        <v/>
      </c>
      <c r="X3962" s="4" t="str">
        <f>IF(V3962="","",INDEX(Fornecedores!$X$1:$X$6631,V3962))</f>
        <v/>
      </c>
      <c r="Y3962" s="4" t="str">
        <f t="shared" si="4"/>
        <v/>
      </c>
    </row>
    <row r="3963" spans="19:25">
      <c r="S3963" t="str">
        <f t="shared" si="0"/>
        <v/>
      </c>
      <c r="T3963" t="str">
        <f t="shared" si="1"/>
        <v/>
      </c>
      <c r="U3963" t="str">
        <f t="shared" si="2"/>
        <v/>
      </c>
      <c r="V3963" t="str">
        <f>IF(OR(U3963="",U3963="ERRO_CHAVE"),"",IFERROR(MATCH(U3963,Fornecedores!$AF$1:$AF$6631,0),""))</f>
        <v/>
      </c>
      <c r="W3963" t="str">
        <f t="shared" si="3"/>
        <v/>
      </c>
      <c r="X3963" s="4" t="str">
        <f>IF(V3963="","",INDEX(Fornecedores!$X$1:$X$6631,V3963))</f>
        <v/>
      </c>
      <c r="Y3963" s="4" t="str">
        <f t="shared" si="4"/>
        <v/>
      </c>
    </row>
    <row r="3964" spans="19:25">
      <c r="S3964" t="str">
        <f t="shared" si="0"/>
        <v/>
      </c>
      <c r="T3964" t="str">
        <f t="shared" si="1"/>
        <v/>
      </c>
      <c r="U3964" t="str">
        <f t="shared" si="2"/>
        <v/>
      </c>
      <c r="V3964" t="str">
        <f>IF(OR(U3964="",U3964="ERRO_CHAVE"),"",IFERROR(MATCH(U3964,Fornecedores!$AF$1:$AF$6631,0),""))</f>
        <v/>
      </c>
      <c r="W3964" t="str">
        <f t="shared" si="3"/>
        <v/>
      </c>
      <c r="X3964" s="4" t="str">
        <f>IF(V3964="","",INDEX(Fornecedores!$X$1:$X$6631,V3964))</f>
        <v/>
      </c>
      <c r="Y3964" s="4" t="str">
        <f t="shared" si="4"/>
        <v/>
      </c>
    </row>
    <row r="3965" spans="19:25">
      <c r="S3965" t="str">
        <f t="shared" si="0"/>
        <v/>
      </c>
      <c r="T3965" t="str">
        <f t="shared" si="1"/>
        <v/>
      </c>
      <c r="U3965" t="str">
        <f t="shared" si="2"/>
        <v/>
      </c>
      <c r="V3965" t="str">
        <f>IF(OR(U3965="",U3965="ERRO_CHAVE"),"",IFERROR(MATCH(U3965,Fornecedores!$AF$1:$AF$6631,0),""))</f>
        <v/>
      </c>
      <c r="W3965" t="str">
        <f t="shared" si="3"/>
        <v/>
      </c>
      <c r="X3965" s="4" t="str">
        <f>IF(V3965="","",INDEX(Fornecedores!$X$1:$X$6631,V3965))</f>
        <v/>
      </c>
      <c r="Y3965" s="4" t="str">
        <f t="shared" si="4"/>
        <v/>
      </c>
    </row>
    <row r="3966" spans="19:25">
      <c r="S3966" t="str">
        <f t="shared" si="0"/>
        <v/>
      </c>
      <c r="T3966" t="str">
        <f t="shared" si="1"/>
        <v/>
      </c>
      <c r="U3966" t="str">
        <f t="shared" si="2"/>
        <v/>
      </c>
      <c r="V3966" t="str">
        <f>IF(OR(U3966="",U3966="ERRO_CHAVE"),"",IFERROR(MATCH(U3966,Fornecedores!$AF$1:$AF$6631,0),""))</f>
        <v/>
      </c>
      <c r="W3966" t="str">
        <f t="shared" si="3"/>
        <v/>
      </c>
      <c r="X3966" s="4" t="str">
        <f>IF(V3966="","",INDEX(Fornecedores!$X$1:$X$6631,V3966))</f>
        <v/>
      </c>
      <c r="Y3966" s="4" t="str">
        <f t="shared" si="4"/>
        <v/>
      </c>
    </row>
    <row r="3967" spans="19:25">
      <c r="S3967" t="str">
        <f t="shared" si="0"/>
        <v/>
      </c>
      <c r="T3967" t="str">
        <f t="shared" si="1"/>
        <v/>
      </c>
      <c r="U3967" t="str">
        <f t="shared" si="2"/>
        <v/>
      </c>
      <c r="V3967" t="str">
        <f>IF(OR(U3967="",U3967="ERRO_CHAVE"),"",IFERROR(MATCH(U3967,Fornecedores!$AF$1:$AF$6631,0),""))</f>
        <v/>
      </c>
      <c r="W3967" t="str">
        <f t="shared" si="3"/>
        <v/>
      </c>
      <c r="X3967" s="4" t="str">
        <f>IF(V3967="","",INDEX(Fornecedores!$X$1:$X$6631,V3967))</f>
        <v/>
      </c>
      <c r="Y3967" s="4" t="str">
        <f t="shared" si="4"/>
        <v/>
      </c>
    </row>
    <row r="3968" spans="19:25">
      <c r="S3968" t="str">
        <f t="shared" si="0"/>
        <v/>
      </c>
      <c r="T3968" t="str">
        <f t="shared" si="1"/>
        <v/>
      </c>
      <c r="U3968" t="str">
        <f t="shared" si="2"/>
        <v/>
      </c>
      <c r="V3968" t="str">
        <f>IF(OR(U3968="",U3968="ERRO_CHAVE"),"",IFERROR(MATCH(U3968,Fornecedores!$AF$1:$AF$6631,0),""))</f>
        <v/>
      </c>
      <c r="W3968" t="str">
        <f t="shared" si="3"/>
        <v/>
      </c>
      <c r="X3968" s="4" t="str">
        <f>IF(V3968="","",INDEX(Fornecedores!$X$1:$X$6631,V3968))</f>
        <v/>
      </c>
      <c r="Y3968" s="4" t="str">
        <f t="shared" si="4"/>
        <v/>
      </c>
    </row>
    <row r="3969" spans="19:25">
      <c r="S3969" t="str">
        <f t="shared" si="0"/>
        <v/>
      </c>
      <c r="T3969" t="str">
        <f t="shared" si="1"/>
        <v/>
      </c>
      <c r="U3969" t="str">
        <f t="shared" si="2"/>
        <v/>
      </c>
      <c r="V3969" t="str">
        <f>IF(OR(U3969="",U3969="ERRO_CHAVE"),"",IFERROR(MATCH(U3969,Fornecedores!$AF$1:$AF$6631,0),""))</f>
        <v/>
      </c>
      <c r="W3969" t="str">
        <f t="shared" si="3"/>
        <v/>
      </c>
      <c r="X3969" s="4" t="str">
        <f>IF(V3969="","",INDEX(Fornecedores!$X$1:$X$6631,V3969))</f>
        <v/>
      </c>
      <c r="Y3969" s="4" t="str">
        <f t="shared" si="4"/>
        <v/>
      </c>
    </row>
    <row r="3970" spans="19:25">
      <c r="S3970" t="str">
        <f t="shared" si="0"/>
        <v/>
      </c>
      <c r="T3970" t="str">
        <f t="shared" si="1"/>
        <v/>
      </c>
      <c r="U3970" t="str">
        <f t="shared" si="2"/>
        <v/>
      </c>
      <c r="V3970" t="str">
        <f>IF(OR(U3970="",U3970="ERRO_CHAVE"),"",IFERROR(MATCH(U3970,Fornecedores!$AF$1:$AF$6631,0),""))</f>
        <v/>
      </c>
      <c r="W3970" t="str">
        <f t="shared" si="3"/>
        <v/>
      </c>
      <c r="X3970" s="4" t="str">
        <f>IF(V3970="","",INDEX(Fornecedores!$X$1:$X$6631,V3970))</f>
        <v/>
      </c>
      <c r="Y3970" s="4" t="str">
        <f t="shared" si="4"/>
        <v/>
      </c>
    </row>
    <row r="3971" spans="19:25">
      <c r="S3971" t="str">
        <f t="shared" si="0"/>
        <v/>
      </c>
      <c r="T3971" t="str">
        <f t="shared" si="1"/>
        <v/>
      </c>
      <c r="U3971" t="str">
        <f t="shared" si="2"/>
        <v/>
      </c>
      <c r="V3971" t="str">
        <f>IF(OR(U3971="",U3971="ERRO_CHAVE"),"",IFERROR(MATCH(U3971,Fornecedores!$AF$1:$AF$6631,0),""))</f>
        <v/>
      </c>
      <c r="W3971" t="str">
        <f t="shared" si="3"/>
        <v/>
      </c>
      <c r="X3971" s="4" t="str">
        <f>IF(V3971="","",INDEX(Fornecedores!$X$1:$X$6631,V3971))</f>
        <v/>
      </c>
      <c r="Y3971" s="4" t="str">
        <f t="shared" si="4"/>
        <v/>
      </c>
    </row>
    <row r="3972" spans="19:25">
      <c r="S3972" t="str">
        <f t="shared" si="0"/>
        <v/>
      </c>
      <c r="T3972" t="str">
        <f t="shared" si="1"/>
        <v/>
      </c>
      <c r="U3972" t="str">
        <f t="shared" si="2"/>
        <v/>
      </c>
      <c r="V3972" t="str">
        <f>IF(OR(U3972="",U3972="ERRO_CHAVE"),"",IFERROR(MATCH(U3972,Fornecedores!$AF$1:$AF$6631,0),""))</f>
        <v/>
      </c>
      <c r="W3972" t="str">
        <f t="shared" si="3"/>
        <v/>
      </c>
      <c r="X3972" s="4" t="str">
        <f>IF(V3972="","",INDEX(Fornecedores!$X$1:$X$6631,V3972))</f>
        <v/>
      </c>
      <c r="Y3972" s="4" t="str">
        <f t="shared" si="4"/>
        <v/>
      </c>
    </row>
    <row r="3973" spans="19:25">
      <c r="S3973" t="str">
        <f t="shared" si="0"/>
        <v/>
      </c>
      <c r="T3973" t="str">
        <f t="shared" si="1"/>
        <v/>
      </c>
      <c r="U3973" t="str">
        <f t="shared" si="2"/>
        <v/>
      </c>
      <c r="V3973" t="str">
        <f>IF(OR(U3973="",U3973="ERRO_CHAVE"),"",IFERROR(MATCH(U3973,Fornecedores!$AF$1:$AF$6631,0),""))</f>
        <v/>
      </c>
      <c r="W3973" t="str">
        <f t="shared" si="3"/>
        <v/>
      </c>
      <c r="X3973" s="4" t="str">
        <f>IF(V3973="","",INDEX(Fornecedores!$X$1:$X$6631,V3973))</f>
        <v/>
      </c>
      <c r="Y3973" s="4" t="str">
        <f t="shared" si="4"/>
        <v/>
      </c>
    </row>
    <row r="3974" spans="19:25">
      <c r="S3974" t="str">
        <f t="shared" si="0"/>
        <v/>
      </c>
      <c r="T3974" t="str">
        <f t="shared" si="1"/>
        <v/>
      </c>
      <c r="U3974" t="str">
        <f t="shared" si="2"/>
        <v/>
      </c>
      <c r="V3974" t="str">
        <f>IF(OR(U3974="",U3974="ERRO_CHAVE"),"",IFERROR(MATCH(U3974,Fornecedores!$AF$1:$AF$6631,0),""))</f>
        <v/>
      </c>
      <c r="W3974" t="str">
        <f t="shared" si="3"/>
        <v/>
      </c>
      <c r="X3974" s="4" t="str">
        <f>IF(V3974="","",INDEX(Fornecedores!$X$1:$X$6631,V3974))</f>
        <v/>
      </c>
      <c r="Y3974" s="4" t="str">
        <f t="shared" si="4"/>
        <v/>
      </c>
    </row>
    <row r="3975" spans="19:25">
      <c r="S3975" t="str">
        <f t="shared" si="0"/>
        <v/>
      </c>
      <c r="T3975" t="str">
        <f t="shared" si="1"/>
        <v/>
      </c>
      <c r="U3975" t="str">
        <f t="shared" si="2"/>
        <v/>
      </c>
      <c r="V3975" t="str">
        <f>IF(OR(U3975="",U3975="ERRO_CHAVE"),"",IFERROR(MATCH(U3975,Fornecedores!$AF$1:$AF$6631,0),""))</f>
        <v/>
      </c>
      <c r="W3975" t="str">
        <f t="shared" si="3"/>
        <v/>
      </c>
      <c r="X3975" s="4" t="str">
        <f>IF(V3975="","",INDEX(Fornecedores!$X$1:$X$6631,V3975))</f>
        <v/>
      </c>
      <c r="Y3975" s="4" t="str">
        <f t="shared" si="4"/>
        <v/>
      </c>
    </row>
    <row r="3976" spans="19:25">
      <c r="S3976" t="str">
        <f t="shared" si="0"/>
        <v/>
      </c>
      <c r="T3976" t="str">
        <f t="shared" si="1"/>
        <v/>
      </c>
      <c r="U3976" t="str">
        <f t="shared" si="2"/>
        <v/>
      </c>
      <c r="V3976" t="str">
        <f>IF(OR(U3976="",U3976="ERRO_CHAVE"),"",IFERROR(MATCH(U3976,Fornecedores!$AF$1:$AF$6631,0),""))</f>
        <v/>
      </c>
      <c r="W3976" t="str">
        <f t="shared" si="3"/>
        <v/>
      </c>
      <c r="X3976" s="4" t="str">
        <f>IF(V3976="","",INDEX(Fornecedores!$X$1:$X$6631,V3976))</f>
        <v/>
      </c>
      <c r="Y3976" s="4" t="str">
        <f t="shared" si="4"/>
        <v/>
      </c>
    </row>
    <row r="3977" spans="19:25">
      <c r="S3977" t="str">
        <f t="shared" si="0"/>
        <v/>
      </c>
      <c r="T3977" t="str">
        <f t="shared" si="1"/>
        <v/>
      </c>
      <c r="U3977" t="str">
        <f t="shared" si="2"/>
        <v/>
      </c>
      <c r="V3977" t="str">
        <f>IF(OR(U3977="",U3977="ERRO_CHAVE"),"",IFERROR(MATCH(U3977,Fornecedores!$AF$1:$AF$6631,0),""))</f>
        <v/>
      </c>
      <c r="W3977" t="str">
        <f t="shared" si="3"/>
        <v/>
      </c>
      <c r="X3977" s="4" t="str">
        <f>IF(V3977="","",INDEX(Fornecedores!$X$1:$X$6631,V3977))</f>
        <v/>
      </c>
      <c r="Y3977" s="4" t="str">
        <f t="shared" si="4"/>
        <v/>
      </c>
    </row>
    <row r="3978" spans="19:25">
      <c r="S3978" t="str">
        <f t="shared" si="0"/>
        <v/>
      </c>
      <c r="T3978" t="str">
        <f t="shared" si="1"/>
        <v/>
      </c>
      <c r="U3978" t="str">
        <f t="shared" si="2"/>
        <v/>
      </c>
      <c r="V3978" t="str">
        <f>IF(OR(U3978="",U3978="ERRO_CHAVE"),"",IFERROR(MATCH(U3978,Fornecedores!$AF$1:$AF$6631,0),""))</f>
        <v/>
      </c>
      <c r="W3978" t="str">
        <f t="shared" si="3"/>
        <v/>
      </c>
      <c r="X3978" s="4" t="str">
        <f>IF(V3978="","",INDEX(Fornecedores!$X$1:$X$6631,V3978))</f>
        <v/>
      </c>
      <c r="Y3978" s="4" t="str">
        <f t="shared" si="4"/>
        <v/>
      </c>
    </row>
    <row r="3979" spans="19:25">
      <c r="S3979" t="str">
        <f t="shared" si="0"/>
        <v/>
      </c>
      <c r="T3979" t="str">
        <f t="shared" si="1"/>
        <v/>
      </c>
      <c r="U3979" t="str">
        <f t="shared" si="2"/>
        <v/>
      </c>
      <c r="V3979" t="str">
        <f>IF(OR(U3979="",U3979="ERRO_CHAVE"),"",IFERROR(MATCH(U3979,Fornecedores!$AF$1:$AF$6631,0),""))</f>
        <v/>
      </c>
      <c r="W3979" t="str">
        <f t="shared" si="3"/>
        <v/>
      </c>
      <c r="X3979" s="4" t="str">
        <f>IF(V3979="","",INDEX(Fornecedores!$X$1:$X$6631,V3979))</f>
        <v/>
      </c>
      <c r="Y3979" s="4" t="str">
        <f t="shared" si="4"/>
        <v/>
      </c>
    </row>
    <row r="3980" spans="19:25">
      <c r="S3980" t="str">
        <f t="shared" si="0"/>
        <v/>
      </c>
      <c r="T3980" t="str">
        <f t="shared" si="1"/>
        <v/>
      </c>
      <c r="U3980" t="str">
        <f t="shared" si="2"/>
        <v/>
      </c>
      <c r="V3980" t="str">
        <f>IF(OR(U3980="",U3980="ERRO_CHAVE"),"",IFERROR(MATCH(U3980,Fornecedores!$AF$1:$AF$6631,0),""))</f>
        <v/>
      </c>
      <c r="W3980" t="str">
        <f t="shared" si="3"/>
        <v/>
      </c>
      <c r="X3980" s="4" t="str">
        <f>IF(V3980="","",INDEX(Fornecedores!$X$1:$X$6631,V3980))</f>
        <v/>
      </c>
      <c r="Y3980" s="4" t="str">
        <f t="shared" si="4"/>
        <v/>
      </c>
    </row>
    <row r="3981" spans="19:25">
      <c r="S3981" t="str">
        <f t="shared" si="0"/>
        <v/>
      </c>
      <c r="T3981" t="str">
        <f t="shared" si="1"/>
        <v/>
      </c>
      <c r="U3981" t="str">
        <f t="shared" si="2"/>
        <v/>
      </c>
      <c r="V3981" t="str">
        <f>IF(OR(U3981="",U3981="ERRO_CHAVE"),"",IFERROR(MATCH(U3981,Fornecedores!$AF$1:$AF$6631,0),""))</f>
        <v/>
      </c>
      <c r="W3981" t="str">
        <f t="shared" si="3"/>
        <v/>
      </c>
      <c r="X3981" s="4" t="str">
        <f>IF(V3981="","",INDEX(Fornecedores!$X$1:$X$6631,V3981))</f>
        <v/>
      </c>
      <c r="Y3981" s="4" t="str">
        <f t="shared" si="4"/>
        <v/>
      </c>
    </row>
    <row r="3982" spans="19:25">
      <c r="S3982" t="str">
        <f t="shared" si="0"/>
        <v/>
      </c>
      <c r="T3982" t="str">
        <f t="shared" si="1"/>
        <v/>
      </c>
      <c r="U3982" t="str">
        <f t="shared" si="2"/>
        <v/>
      </c>
      <c r="V3982" t="str">
        <f>IF(OR(U3982="",U3982="ERRO_CHAVE"),"",IFERROR(MATCH(U3982,Fornecedores!$AF$1:$AF$6631,0),""))</f>
        <v/>
      </c>
      <c r="W3982" t="str">
        <f t="shared" si="3"/>
        <v/>
      </c>
      <c r="X3982" s="4" t="str">
        <f>IF(V3982="","",INDEX(Fornecedores!$X$1:$X$6631,V3982))</f>
        <v/>
      </c>
      <c r="Y3982" s="4" t="str">
        <f t="shared" si="4"/>
        <v/>
      </c>
    </row>
    <row r="3983" spans="19:25">
      <c r="S3983" t="str">
        <f t="shared" si="0"/>
        <v/>
      </c>
      <c r="T3983" t="str">
        <f t="shared" si="1"/>
        <v/>
      </c>
      <c r="U3983" t="str">
        <f t="shared" si="2"/>
        <v/>
      </c>
      <c r="V3983" t="str">
        <f>IF(OR(U3983="",U3983="ERRO_CHAVE"),"",IFERROR(MATCH(U3983,Fornecedores!$AF$1:$AF$6631,0),""))</f>
        <v/>
      </c>
      <c r="W3983" t="str">
        <f t="shared" si="3"/>
        <v/>
      </c>
      <c r="X3983" s="4" t="str">
        <f>IF(V3983="","",INDEX(Fornecedores!$X$1:$X$6631,V3983))</f>
        <v/>
      </c>
      <c r="Y3983" s="4" t="str">
        <f t="shared" si="4"/>
        <v/>
      </c>
    </row>
    <row r="3984" spans="19:25">
      <c r="S3984" t="str">
        <f t="shared" si="0"/>
        <v/>
      </c>
      <c r="T3984" t="str">
        <f t="shared" si="1"/>
        <v/>
      </c>
      <c r="U3984" t="str">
        <f t="shared" si="2"/>
        <v/>
      </c>
      <c r="V3984" t="str">
        <f>IF(OR(U3984="",U3984="ERRO_CHAVE"),"",IFERROR(MATCH(U3984,Fornecedores!$AF$1:$AF$6631,0),""))</f>
        <v/>
      </c>
      <c r="W3984" t="str">
        <f t="shared" si="3"/>
        <v/>
      </c>
      <c r="X3984" s="4" t="str">
        <f>IF(V3984="","",INDEX(Fornecedores!$X$1:$X$6631,V3984))</f>
        <v/>
      </c>
      <c r="Y3984" s="4" t="str">
        <f t="shared" si="4"/>
        <v/>
      </c>
    </row>
    <row r="3985" spans="19:25">
      <c r="S3985" t="str">
        <f t="shared" si="0"/>
        <v/>
      </c>
      <c r="T3985" t="str">
        <f t="shared" si="1"/>
        <v/>
      </c>
      <c r="U3985" t="str">
        <f t="shared" si="2"/>
        <v/>
      </c>
      <c r="V3985" t="str">
        <f>IF(OR(U3985="",U3985="ERRO_CHAVE"),"",IFERROR(MATCH(U3985,Fornecedores!$AF$1:$AF$6631,0),""))</f>
        <v/>
      </c>
      <c r="W3985" t="str">
        <f t="shared" si="3"/>
        <v/>
      </c>
      <c r="X3985" s="4" t="str">
        <f>IF(V3985="","",INDEX(Fornecedores!$X$1:$X$6631,V3985))</f>
        <v/>
      </c>
      <c r="Y3985" s="4" t="str">
        <f t="shared" si="4"/>
        <v/>
      </c>
    </row>
    <row r="3986" spans="19:25">
      <c r="S3986" t="str">
        <f t="shared" si="0"/>
        <v/>
      </c>
      <c r="T3986" t="str">
        <f t="shared" si="1"/>
        <v/>
      </c>
      <c r="U3986" t="str">
        <f t="shared" si="2"/>
        <v/>
      </c>
      <c r="V3986" t="str">
        <f>IF(OR(U3986="",U3986="ERRO_CHAVE"),"",IFERROR(MATCH(U3986,Fornecedores!$AF$1:$AF$6631,0),""))</f>
        <v/>
      </c>
      <c r="W3986" t="str">
        <f t="shared" si="3"/>
        <v/>
      </c>
      <c r="X3986" s="4" t="str">
        <f>IF(V3986="","",INDEX(Fornecedores!$X$1:$X$6631,V3986))</f>
        <v/>
      </c>
      <c r="Y3986" s="4" t="str">
        <f t="shared" si="4"/>
        <v/>
      </c>
    </row>
    <row r="3987" spans="19:25">
      <c r="S3987" t="str">
        <f t="shared" si="0"/>
        <v/>
      </c>
      <c r="T3987" t="str">
        <f t="shared" si="1"/>
        <v/>
      </c>
      <c r="U3987" t="str">
        <f t="shared" si="2"/>
        <v/>
      </c>
      <c r="V3987" t="str">
        <f>IF(OR(U3987="",U3987="ERRO_CHAVE"),"",IFERROR(MATCH(U3987,Fornecedores!$AF$1:$AF$6631,0),""))</f>
        <v/>
      </c>
      <c r="W3987" t="str">
        <f t="shared" si="3"/>
        <v/>
      </c>
      <c r="X3987" s="4" t="str">
        <f>IF(V3987="","",INDEX(Fornecedores!$X$1:$X$6631,V3987))</f>
        <v/>
      </c>
      <c r="Y3987" s="4" t="str">
        <f t="shared" si="4"/>
        <v/>
      </c>
    </row>
    <row r="3988" spans="19:25">
      <c r="S3988" t="str">
        <f t="shared" si="0"/>
        <v/>
      </c>
      <c r="T3988" t="str">
        <f t="shared" si="1"/>
        <v/>
      </c>
      <c r="U3988" t="str">
        <f t="shared" si="2"/>
        <v/>
      </c>
      <c r="V3988" t="str">
        <f>IF(OR(U3988="",U3988="ERRO_CHAVE"),"",IFERROR(MATCH(U3988,Fornecedores!$AF$1:$AF$6631,0),""))</f>
        <v/>
      </c>
      <c r="W3988" t="str">
        <f t="shared" si="3"/>
        <v/>
      </c>
      <c r="X3988" s="4" t="str">
        <f>IF(V3988="","",INDEX(Fornecedores!$X$1:$X$6631,V3988))</f>
        <v/>
      </c>
      <c r="Y3988" s="4" t="str">
        <f t="shared" si="4"/>
        <v/>
      </c>
    </row>
    <row r="3989" spans="19:25">
      <c r="S3989" t="str">
        <f t="shared" si="0"/>
        <v/>
      </c>
      <c r="T3989" t="str">
        <f t="shared" si="1"/>
        <v/>
      </c>
      <c r="U3989" t="str">
        <f t="shared" si="2"/>
        <v/>
      </c>
      <c r="V3989" t="str">
        <f>IF(OR(U3989="",U3989="ERRO_CHAVE"),"",IFERROR(MATCH(U3989,Fornecedores!$AF$1:$AF$6631,0),""))</f>
        <v/>
      </c>
      <c r="W3989" t="str">
        <f t="shared" si="3"/>
        <v/>
      </c>
      <c r="X3989" s="4" t="str">
        <f>IF(V3989="","",INDEX(Fornecedores!$X$1:$X$6631,V3989))</f>
        <v/>
      </c>
      <c r="Y3989" s="4" t="str">
        <f t="shared" si="4"/>
        <v/>
      </c>
    </row>
    <row r="3990" spans="19:25">
      <c r="S3990" t="str">
        <f t="shared" si="0"/>
        <v/>
      </c>
      <c r="T3990" t="str">
        <f t="shared" si="1"/>
        <v/>
      </c>
      <c r="U3990" t="str">
        <f t="shared" si="2"/>
        <v/>
      </c>
      <c r="V3990" t="str">
        <f>IF(OR(U3990="",U3990="ERRO_CHAVE"),"",IFERROR(MATCH(U3990,Fornecedores!$AF$1:$AF$6631,0),""))</f>
        <v/>
      </c>
      <c r="W3990" t="str">
        <f t="shared" si="3"/>
        <v/>
      </c>
      <c r="X3990" s="4" t="str">
        <f>IF(V3990="","",INDEX(Fornecedores!$X$1:$X$6631,V3990))</f>
        <v/>
      </c>
      <c r="Y3990" s="4" t="str">
        <f t="shared" si="4"/>
        <v/>
      </c>
    </row>
    <row r="3991" spans="19:25">
      <c r="S3991" t="str">
        <f t="shared" si="0"/>
        <v/>
      </c>
      <c r="T3991" t="str">
        <f t="shared" si="1"/>
        <v/>
      </c>
      <c r="U3991" t="str">
        <f t="shared" si="2"/>
        <v/>
      </c>
      <c r="V3991" t="str">
        <f>IF(OR(U3991="",U3991="ERRO_CHAVE"),"",IFERROR(MATCH(U3991,Fornecedores!$AF$1:$AF$6631,0),""))</f>
        <v/>
      </c>
      <c r="W3991" t="str">
        <f t="shared" si="3"/>
        <v/>
      </c>
      <c r="X3991" s="4" t="str">
        <f>IF(V3991="","",INDEX(Fornecedores!$X$1:$X$6631,V3991))</f>
        <v/>
      </c>
      <c r="Y3991" s="4" t="str">
        <f t="shared" si="4"/>
        <v/>
      </c>
    </row>
    <row r="3992" spans="19:25">
      <c r="S3992" t="str">
        <f t="shared" si="0"/>
        <v/>
      </c>
      <c r="T3992" t="str">
        <f t="shared" si="1"/>
        <v/>
      </c>
      <c r="U3992" t="str">
        <f t="shared" si="2"/>
        <v/>
      </c>
      <c r="V3992" t="str">
        <f>IF(OR(U3992="",U3992="ERRO_CHAVE"),"",IFERROR(MATCH(U3992,Fornecedores!$AF$1:$AF$6631,0),""))</f>
        <v/>
      </c>
      <c r="W3992" t="str">
        <f t="shared" si="3"/>
        <v/>
      </c>
      <c r="X3992" s="4" t="str">
        <f>IF(V3992="","",INDEX(Fornecedores!$X$1:$X$6631,V3992))</f>
        <v/>
      </c>
      <c r="Y3992" s="4" t="str">
        <f t="shared" si="4"/>
        <v/>
      </c>
    </row>
    <row r="3993" spans="19:25">
      <c r="S3993" t="str">
        <f t="shared" si="0"/>
        <v/>
      </c>
      <c r="T3993" t="str">
        <f t="shared" si="1"/>
        <v/>
      </c>
      <c r="U3993" t="str">
        <f t="shared" si="2"/>
        <v/>
      </c>
      <c r="V3993" t="str">
        <f>IF(OR(U3993="",U3993="ERRO_CHAVE"),"",IFERROR(MATCH(U3993,Fornecedores!$AF$1:$AF$6631,0),""))</f>
        <v/>
      </c>
      <c r="W3993" t="str">
        <f t="shared" si="3"/>
        <v/>
      </c>
      <c r="X3993" s="4" t="str">
        <f>IF(V3993="","",INDEX(Fornecedores!$X$1:$X$6631,V3993))</f>
        <v/>
      </c>
      <c r="Y3993" s="4" t="str">
        <f t="shared" si="4"/>
        <v/>
      </c>
    </row>
    <row r="3994" spans="19:25">
      <c r="S3994" t="str">
        <f t="shared" si="0"/>
        <v/>
      </c>
      <c r="T3994" t="str">
        <f t="shared" si="1"/>
        <v/>
      </c>
      <c r="U3994" t="str">
        <f t="shared" si="2"/>
        <v/>
      </c>
      <c r="V3994" t="str">
        <f>IF(OR(U3994="",U3994="ERRO_CHAVE"),"",IFERROR(MATCH(U3994,Fornecedores!$AF$1:$AF$6631,0),""))</f>
        <v/>
      </c>
      <c r="W3994" t="str">
        <f t="shared" si="3"/>
        <v/>
      </c>
      <c r="X3994" s="4" t="str">
        <f>IF(V3994="","",INDEX(Fornecedores!$X$1:$X$6631,V3994))</f>
        <v/>
      </c>
      <c r="Y3994" s="4" t="str">
        <f t="shared" si="4"/>
        <v/>
      </c>
    </row>
    <row r="3995" spans="19:25">
      <c r="S3995" t="str">
        <f t="shared" si="0"/>
        <v/>
      </c>
      <c r="T3995" t="str">
        <f t="shared" si="1"/>
        <v/>
      </c>
      <c r="U3995" t="str">
        <f t="shared" si="2"/>
        <v/>
      </c>
      <c r="V3995" t="str">
        <f>IF(OR(U3995="",U3995="ERRO_CHAVE"),"",IFERROR(MATCH(U3995,Fornecedores!$AF$1:$AF$6631,0),""))</f>
        <v/>
      </c>
      <c r="W3995" t="str">
        <f t="shared" si="3"/>
        <v/>
      </c>
      <c r="X3995" s="4" t="str">
        <f>IF(V3995="","",INDEX(Fornecedores!$X$1:$X$6631,V3995))</f>
        <v/>
      </c>
      <c r="Y3995" s="4" t="str">
        <f t="shared" si="4"/>
        <v/>
      </c>
    </row>
    <row r="3996" spans="19:25">
      <c r="S3996" t="str">
        <f t="shared" si="0"/>
        <v/>
      </c>
      <c r="T3996" t="str">
        <f t="shared" si="1"/>
        <v/>
      </c>
      <c r="U3996" t="str">
        <f t="shared" si="2"/>
        <v/>
      </c>
      <c r="V3996" t="str">
        <f>IF(OR(U3996="",U3996="ERRO_CHAVE"),"",IFERROR(MATCH(U3996,Fornecedores!$AF$1:$AF$6631,0),""))</f>
        <v/>
      </c>
      <c r="W3996" t="str">
        <f t="shared" si="3"/>
        <v/>
      </c>
      <c r="X3996" s="4" t="str">
        <f>IF(V3996="","",INDEX(Fornecedores!$X$1:$X$6631,V3996))</f>
        <v/>
      </c>
      <c r="Y3996" s="4" t="str">
        <f t="shared" si="4"/>
        <v/>
      </c>
    </row>
    <row r="3997" spans="19:25">
      <c r="S3997" t="str">
        <f t="shared" si="0"/>
        <v/>
      </c>
      <c r="T3997" t="str">
        <f t="shared" si="1"/>
        <v/>
      </c>
      <c r="U3997" t="str">
        <f t="shared" si="2"/>
        <v/>
      </c>
      <c r="V3997" t="str">
        <f>IF(OR(U3997="",U3997="ERRO_CHAVE"),"",IFERROR(MATCH(U3997,Fornecedores!$AF$1:$AF$6631,0),""))</f>
        <v/>
      </c>
      <c r="W3997" t="str">
        <f t="shared" si="3"/>
        <v/>
      </c>
      <c r="X3997" s="4" t="str">
        <f>IF(V3997="","",INDEX(Fornecedores!$X$1:$X$6631,V3997))</f>
        <v/>
      </c>
      <c r="Y3997" s="4" t="str">
        <f t="shared" si="4"/>
        <v/>
      </c>
    </row>
    <row r="3998" spans="19:25">
      <c r="S3998" t="str">
        <f t="shared" si="0"/>
        <v/>
      </c>
      <c r="T3998" t="str">
        <f t="shared" si="1"/>
        <v/>
      </c>
      <c r="U3998" t="str">
        <f t="shared" si="2"/>
        <v/>
      </c>
      <c r="V3998" t="str">
        <f>IF(OR(U3998="",U3998="ERRO_CHAVE"),"",IFERROR(MATCH(U3998,Fornecedores!$AF$1:$AF$6631,0),""))</f>
        <v/>
      </c>
      <c r="W3998" t="str">
        <f t="shared" si="3"/>
        <v/>
      </c>
      <c r="X3998" s="4" t="str">
        <f>IF(V3998="","",INDEX(Fornecedores!$X$1:$X$6631,V3998))</f>
        <v/>
      </c>
      <c r="Y3998" s="4" t="str">
        <f t="shared" si="4"/>
        <v/>
      </c>
    </row>
    <row r="3999" spans="19:25">
      <c r="S3999" t="str">
        <f t="shared" si="0"/>
        <v/>
      </c>
      <c r="T3999" t="str">
        <f t="shared" si="1"/>
        <v/>
      </c>
      <c r="U3999" t="str">
        <f t="shared" si="2"/>
        <v/>
      </c>
      <c r="V3999" t="str">
        <f>IF(OR(U3999="",U3999="ERRO_CHAVE"),"",IFERROR(MATCH(U3999,Fornecedores!$AF$1:$AF$6631,0),""))</f>
        <v/>
      </c>
      <c r="W3999" t="str">
        <f t="shared" si="3"/>
        <v/>
      </c>
      <c r="X3999" s="4" t="str">
        <f>IF(V3999="","",INDEX(Fornecedores!$X$1:$X$6631,V3999))</f>
        <v/>
      </c>
      <c r="Y3999" s="4" t="str">
        <f t="shared" si="4"/>
        <v/>
      </c>
    </row>
    <row r="4000" spans="19:25">
      <c r="S4000" t="str">
        <f t="shared" si="0"/>
        <v/>
      </c>
      <c r="T4000" t="str">
        <f t="shared" si="1"/>
        <v/>
      </c>
      <c r="U4000" t="str">
        <f t="shared" si="2"/>
        <v/>
      </c>
      <c r="V4000" t="str">
        <f>IF(OR(U4000="",U4000="ERRO_CHAVE"),"",IFERROR(MATCH(U4000,Fornecedores!$AF$1:$AF$6631,0),""))</f>
        <v/>
      </c>
      <c r="W4000" t="str">
        <f t="shared" si="3"/>
        <v/>
      </c>
      <c r="X4000" s="4" t="str">
        <f>IF(V4000="","",INDEX(Fornecedores!$X$1:$X$6631,V4000))</f>
        <v/>
      </c>
      <c r="Y4000" s="4" t="str">
        <f t="shared" si="4"/>
        <v/>
      </c>
    </row>
    <row r="4001" spans="19:25">
      <c r="S4001" t="str">
        <f t="shared" si="0"/>
        <v/>
      </c>
      <c r="T4001" t="str">
        <f t="shared" si="1"/>
        <v/>
      </c>
      <c r="U4001" t="str">
        <f t="shared" si="2"/>
        <v/>
      </c>
      <c r="V4001" t="str">
        <f>IF(OR(U4001="",U4001="ERRO_CHAVE"),"",IFERROR(MATCH(U4001,Fornecedores!$AF$1:$AF$6631,0),""))</f>
        <v/>
      </c>
      <c r="W4001" t="str">
        <f t="shared" si="3"/>
        <v/>
      </c>
      <c r="X4001" s="4" t="str">
        <f>IF(V4001="","",INDEX(Fornecedores!$X$1:$X$6631,V4001))</f>
        <v/>
      </c>
      <c r="Y4001" s="4" t="str">
        <f t="shared" si="4"/>
        <v/>
      </c>
    </row>
    <row r="4002" spans="19:25">
      <c r="S4002" t="str">
        <f t="shared" si="0"/>
        <v/>
      </c>
      <c r="T4002" t="str">
        <f t="shared" si="1"/>
        <v/>
      </c>
      <c r="U4002" t="str">
        <f t="shared" si="2"/>
        <v/>
      </c>
      <c r="V4002" t="str">
        <f>IF(OR(U4002="",U4002="ERRO_CHAVE"),"",IFERROR(MATCH(U4002,Fornecedores!$AF$1:$AF$6631,0),""))</f>
        <v/>
      </c>
      <c r="W4002" t="str">
        <f t="shared" si="3"/>
        <v/>
      </c>
      <c r="X4002" s="4" t="str">
        <f>IF(V4002="","",INDEX(Fornecedores!$X$1:$X$6631,V4002))</f>
        <v/>
      </c>
      <c r="Y4002" s="4" t="str">
        <f t="shared" si="4"/>
        <v/>
      </c>
    </row>
    <row r="4003" spans="19:25">
      <c r="S4003" t="str">
        <f t="shared" si="0"/>
        <v/>
      </c>
      <c r="T4003" t="str">
        <f t="shared" si="1"/>
        <v/>
      </c>
      <c r="U4003" t="str">
        <f t="shared" si="2"/>
        <v/>
      </c>
      <c r="V4003" t="str">
        <f>IF(OR(U4003="",U4003="ERRO_CHAVE"),"",IFERROR(MATCH(U4003,Fornecedores!$AF$1:$AF$6631,0),""))</f>
        <v/>
      </c>
      <c r="W4003" t="str">
        <f t="shared" si="3"/>
        <v/>
      </c>
      <c r="X4003" s="4" t="str">
        <f>IF(V4003="","",INDEX(Fornecedores!$X$1:$X$6631,V4003))</f>
        <v/>
      </c>
      <c r="Y4003" s="4" t="str">
        <f t="shared" si="4"/>
        <v/>
      </c>
    </row>
    <row r="4004" spans="19:25">
      <c r="S4004" t="str">
        <f t="shared" si="0"/>
        <v/>
      </c>
      <c r="T4004" t="str">
        <f t="shared" si="1"/>
        <v/>
      </c>
      <c r="U4004" t="str">
        <f t="shared" si="2"/>
        <v/>
      </c>
      <c r="V4004" t="str">
        <f>IF(OR(U4004="",U4004="ERRO_CHAVE"),"",IFERROR(MATCH(U4004,Fornecedores!$AF$1:$AF$6631,0),""))</f>
        <v/>
      </c>
      <c r="W4004" t="str">
        <f t="shared" si="3"/>
        <v/>
      </c>
      <c r="X4004" s="4" t="str">
        <f>IF(V4004="","",INDEX(Fornecedores!$X$1:$X$6631,V4004))</f>
        <v/>
      </c>
      <c r="Y4004" s="4" t="str">
        <f t="shared" si="4"/>
        <v/>
      </c>
    </row>
    <row r="4005" spans="19:25">
      <c r="S4005" t="str">
        <f t="shared" si="0"/>
        <v/>
      </c>
      <c r="T4005" t="str">
        <f t="shared" si="1"/>
        <v/>
      </c>
      <c r="U4005" t="str">
        <f t="shared" si="2"/>
        <v/>
      </c>
      <c r="V4005" t="str">
        <f>IF(OR(U4005="",U4005="ERRO_CHAVE"),"",IFERROR(MATCH(U4005,Fornecedores!$AF$1:$AF$6631,0),""))</f>
        <v/>
      </c>
      <c r="W4005" t="str">
        <f t="shared" si="3"/>
        <v/>
      </c>
      <c r="X4005" s="4" t="str">
        <f>IF(V4005="","",INDEX(Fornecedores!$X$1:$X$6631,V4005))</f>
        <v/>
      </c>
      <c r="Y4005" s="4" t="str">
        <f t="shared" si="4"/>
        <v/>
      </c>
    </row>
    <row r="4006" spans="19:25">
      <c r="S4006" t="str">
        <f t="shared" si="0"/>
        <v/>
      </c>
      <c r="T4006" t="str">
        <f t="shared" si="1"/>
        <v/>
      </c>
      <c r="U4006" t="str">
        <f t="shared" si="2"/>
        <v/>
      </c>
      <c r="V4006" t="str">
        <f>IF(OR(U4006="",U4006="ERRO_CHAVE"),"",IFERROR(MATCH(U4006,Fornecedores!$AF$1:$AF$6631,0),""))</f>
        <v/>
      </c>
      <c r="W4006" t="str">
        <f t="shared" si="3"/>
        <v/>
      </c>
      <c r="X4006" s="4" t="str">
        <f>IF(V4006="","",INDEX(Fornecedores!$X$1:$X$6631,V4006))</f>
        <v/>
      </c>
      <c r="Y4006" s="4" t="str">
        <f t="shared" si="4"/>
        <v/>
      </c>
    </row>
    <row r="4007" spans="19:25">
      <c r="S4007" t="str">
        <f t="shared" si="0"/>
        <v/>
      </c>
      <c r="T4007" t="str">
        <f t="shared" si="1"/>
        <v/>
      </c>
      <c r="U4007" t="str">
        <f t="shared" si="2"/>
        <v/>
      </c>
      <c r="V4007" t="str">
        <f>IF(OR(U4007="",U4007="ERRO_CHAVE"),"",IFERROR(MATCH(U4007,Fornecedores!$AF$1:$AF$6631,0),""))</f>
        <v/>
      </c>
      <c r="W4007" t="str">
        <f t="shared" si="3"/>
        <v/>
      </c>
      <c r="X4007" s="4" t="str">
        <f>IF(V4007="","",INDEX(Fornecedores!$X$1:$X$6631,V4007))</f>
        <v/>
      </c>
      <c r="Y4007" s="4" t="str">
        <f t="shared" si="4"/>
        <v/>
      </c>
    </row>
    <row r="4008" spans="19:25">
      <c r="S4008" t="str">
        <f t="shared" si="0"/>
        <v/>
      </c>
      <c r="T4008" t="str">
        <f t="shared" si="1"/>
        <v/>
      </c>
      <c r="U4008" t="str">
        <f t="shared" si="2"/>
        <v/>
      </c>
      <c r="V4008" t="str">
        <f>IF(OR(U4008="",U4008="ERRO_CHAVE"),"",IFERROR(MATCH(U4008,Fornecedores!$AF$1:$AF$6631,0),""))</f>
        <v/>
      </c>
      <c r="W4008" t="str">
        <f t="shared" si="3"/>
        <v/>
      </c>
      <c r="X4008" s="4" t="str">
        <f>IF(V4008="","",INDEX(Fornecedores!$X$1:$X$6631,V4008))</f>
        <v/>
      </c>
      <c r="Y4008" s="4" t="str">
        <f t="shared" si="4"/>
        <v/>
      </c>
    </row>
    <row r="4009" spans="19:25">
      <c r="S4009" t="str">
        <f t="shared" si="0"/>
        <v/>
      </c>
      <c r="T4009" t="str">
        <f t="shared" si="1"/>
        <v/>
      </c>
      <c r="U4009" t="str">
        <f t="shared" si="2"/>
        <v/>
      </c>
      <c r="V4009" t="str">
        <f>IF(OR(U4009="",U4009="ERRO_CHAVE"),"",IFERROR(MATCH(U4009,Fornecedores!$AF$1:$AF$6631,0),""))</f>
        <v/>
      </c>
      <c r="W4009" t="str">
        <f t="shared" si="3"/>
        <v/>
      </c>
      <c r="X4009" s="4" t="str">
        <f>IF(V4009="","",INDEX(Fornecedores!$X$1:$X$6631,V4009))</f>
        <v/>
      </c>
      <c r="Y4009" s="4" t="str">
        <f t="shared" si="4"/>
        <v/>
      </c>
    </row>
    <row r="4010" spans="19:25">
      <c r="S4010" t="str">
        <f t="shared" si="0"/>
        <v/>
      </c>
      <c r="T4010" t="str">
        <f t="shared" si="1"/>
        <v/>
      </c>
      <c r="U4010" t="str">
        <f t="shared" si="2"/>
        <v/>
      </c>
      <c r="V4010" t="str">
        <f>IF(OR(U4010="",U4010="ERRO_CHAVE"),"",IFERROR(MATCH(U4010,Fornecedores!$AF$1:$AF$6631,0),""))</f>
        <v/>
      </c>
      <c r="W4010" t="str">
        <f t="shared" si="3"/>
        <v/>
      </c>
      <c r="X4010" s="4" t="str">
        <f>IF(V4010="","",INDEX(Fornecedores!$X$1:$X$6631,V4010))</f>
        <v/>
      </c>
      <c r="Y4010" s="4" t="str">
        <f t="shared" si="4"/>
        <v/>
      </c>
    </row>
    <row r="4011" spans="19:25">
      <c r="S4011" t="str">
        <f t="shared" si="0"/>
        <v/>
      </c>
      <c r="T4011" t="str">
        <f t="shared" si="1"/>
        <v/>
      </c>
      <c r="U4011" t="str">
        <f t="shared" si="2"/>
        <v/>
      </c>
      <c r="V4011" t="str">
        <f>IF(OR(U4011="",U4011="ERRO_CHAVE"),"",IFERROR(MATCH(U4011,Fornecedores!$AF$1:$AF$6631,0),""))</f>
        <v/>
      </c>
      <c r="W4011" t="str">
        <f t="shared" si="3"/>
        <v/>
      </c>
      <c r="X4011" s="4" t="str">
        <f>IF(V4011="","",INDEX(Fornecedores!$X$1:$X$6631,V4011))</f>
        <v/>
      </c>
      <c r="Y4011" s="4" t="str">
        <f t="shared" si="4"/>
        <v/>
      </c>
    </row>
    <row r="4012" spans="19:25">
      <c r="S4012" t="str">
        <f t="shared" si="0"/>
        <v/>
      </c>
      <c r="T4012" t="str">
        <f t="shared" si="1"/>
        <v/>
      </c>
      <c r="U4012" t="str">
        <f t="shared" si="2"/>
        <v/>
      </c>
      <c r="V4012" t="str">
        <f>IF(OR(U4012="",U4012="ERRO_CHAVE"),"",IFERROR(MATCH(U4012,Fornecedores!$AF$1:$AF$6631,0),""))</f>
        <v/>
      </c>
      <c r="W4012" t="str">
        <f t="shared" si="3"/>
        <v/>
      </c>
      <c r="X4012" s="4" t="str">
        <f>IF(V4012="","",INDEX(Fornecedores!$X$1:$X$6631,V4012))</f>
        <v/>
      </c>
      <c r="Y4012" s="4" t="str">
        <f t="shared" si="4"/>
        <v/>
      </c>
    </row>
    <row r="4013" spans="19:25">
      <c r="S4013" t="str">
        <f t="shared" si="0"/>
        <v/>
      </c>
      <c r="T4013" t="str">
        <f t="shared" si="1"/>
        <v/>
      </c>
      <c r="U4013" t="str">
        <f t="shared" si="2"/>
        <v/>
      </c>
      <c r="V4013" t="str">
        <f>IF(OR(U4013="",U4013="ERRO_CHAVE"),"",IFERROR(MATCH(U4013,Fornecedores!$AF$1:$AF$6631,0),""))</f>
        <v/>
      </c>
      <c r="W4013" t="str">
        <f t="shared" si="3"/>
        <v/>
      </c>
      <c r="X4013" s="4" t="str">
        <f>IF(V4013="","",INDEX(Fornecedores!$X$1:$X$6631,V4013))</f>
        <v/>
      </c>
      <c r="Y4013" s="4" t="str">
        <f t="shared" si="4"/>
        <v/>
      </c>
    </row>
    <row r="4014" spans="19:25">
      <c r="S4014" t="str">
        <f t="shared" si="0"/>
        <v/>
      </c>
      <c r="T4014" t="str">
        <f t="shared" si="1"/>
        <v/>
      </c>
      <c r="U4014" t="str">
        <f t="shared" si="2"/>
        <v/>
      </c>
      <c r="V4014" t="str">
        <f>IF(OR(U4014="",U4014="ERRO_CHAVE"),"",IFERROR(MATCH(U4014,Fornecedores!$AF$1:$AF$6631,0),""))</f>
        <v/>
      </c>
      <c r="W4014" t="str">
        <f t="shared" si="3"/>
        <v/>
      </c>
      <c r="X4014" s="4" t="str">
        <f>IF(V4014="","",INDEX(Fornecedores!$X$1:$X$6631,V4014))</f>
        <v/>
      </c>
      <c r="Y4014" s="4" t="str">
        <f t="shared" si="4"/>
        <v/>
      </c>
    </row>
    <row r="4015" spans="19:25">
      <c r="S4015" t="str">
        <f t="shared" si="0"/>
        <v/>
      </c>
      <c r="T4015" t="str">
        <f t="shared" si="1"/>
        <v/>
      </c>
      <c r="U4015" t="str">
        <f t="shared" si="2"/>
        <v/>
      </c>
      <c r="V4015" t="str">
        <f>IF(OR(U4015="",U4015="ERRO_CHAVE"),"",IFERROR(MATCH(U4015,Fornecedores!$AF$1:$AF$6631,0),""))</f>
        <v/>
      </c>
      <c r="W4015" t="str">
        <f t="shared" si="3"/>
        <v/>
      </c>
      <c r="X4015" s="4" t="str">
        <f>IF(V4015="","",INDEX(Fornecedores!$X$1:$X$6631,V4015))</f>
        <v/>
      </c>
      <c r="Y4015" s="4" t="str">
        <f t="shared" si="4"/>
        <v/>
      </c>
    </row>
    <row r="4016" spans="19:25">
      <c r="S4016" t="str">
        <f t="shared" si="0"/>
        <v/>
      </c>
      <c r="T4016" t="str">
        <f t="shared" si="1"/>
        <v/>
      </c>
      <c r="U4016" t="str">
        <f t="shared" si="2"/>
        <v/>
      </c>
      <c r="V4016" t="str">
        <f>IF(OR(U4016="",U4016="ERRO_CHAVE"),"",IFERROR(MATCH(U4016,Fornecedores!$AF$1:$AF$6631,0),""))</f>
        <v/>
      </c>
      <c r="W4016" t="str">
        <f t="shared" si="3"/>
        <v/>
      </c>
      <c r="X4016" s="4" t="str">
        <f>IF(V4016="","",INDEX(Fornecedores!$X$1:$X$6631,V4016))</f>
        <v/>
      </c>
      <c r="Y4016" s="4" t="str">
        <f t="shared" si="4"/>
        <v/>
      </c>
    </row>
    <row r="4017" spans="19:25">
      <c r="S4017" t="str">
        <f t="shared" si="0"/>
        <v/>
      </c>
      <c r="T4017" t="str">
        <f t="shared" si="1"/>
        <v/>
      </c>
      <c r="U4017" t="str">
        <f t="shared" si="2"/>
        <v/>
      </c>
      <c r="V4017" t="str">
        <f>IF(OR(U4017="",U4017="ERRO_CHAVE"),"",IFERROR(MATCH(U4017,Fornecedores!$AF$1:$AF$6631,0),""))</f>
        <v/>
      </c>
      <c r="W4017" t="str">
        <f t="shared" si="3"/>
        <v/>
      </c>
      <c r="X4017" s="4" t="str">
        <f>IF(V4017="","",INDEX(Fornecedores!$X$1:$X$6631,V4017))</f>
        <v/>
      </c>
      <c r="Y4017" s="4" t="str">
        <f t="shared" si="4"/>
        <v/>
      </c>
    </row>
    <row r="4018" spans="19:25">
      <c r="S4018" t="str">
        <f t="shared" si="0"/>
        <v/>
      </c>
      <c r="T4018" t="str">
        <f t="shared" si="1"/>
        <v/>
      </c>
      <c r="U4018" t="str">
        <f t="shared" si="2"/>
        <v/>
      </c>
      <c r="V4018" t="str">
        <f>IF(OR(U4018="",U4018="ERRO_CHAVE"),"",IFERROR(MATCH(U4018,Fornecedores!$AF$1:$AF$6631,0),""))</f>
        <v/>
      </c>
      <c r="W4018" t="str">
        <f t="shared" si="3"/>
        <v/>
      </c>
      <c r="X4018" s="4" t="str">
        <f>IF(V4018="","",INDEX(Fornecedores!$X$1:$X$6631,V4018))</f>
        <v/>
      </c>
      <c r="Y4018" s="4" t="str">
        <f t="shared" si="4"/>
        <v/>
      </c>
    </row>
    <row r="4019" spans="19:25">
      <c r="S4019" t="str">
        <f t="shared" si="0"/>
        <v/>
      </c>
      <c r="T4019" t="str">
        <f t="shared" si="1"/>
        <v/>
      </c>
      <c r="U4019" t="str">
        <f t="shared" si="2"/>
        <v/>
      </c>
      <c r="V4019" t="str">
        <f>IF(OR(U4019="",U4019="ERRO_CHAVE"),"",IFERROR(MATCH(U4019,Fornecedores!$AF$1:$AF$6631,0),""))</f>
        <v/>
      </c>
      <c r="W4019" t="str">
        <f t="shared" si="3"/>
        <v/>
      </c>
      <c r="X4019" s="4" t="str">
        <f>IF(V4019="","",INDEX(Fornecedores!$X$1:$X$6631,V4019))</f>
        <v/>
      </c>
      <c r="Y4019" s="4" t="str">
        <f t="shared" si="4"/>
        <v/>
      </c>
    </row>
    <row r="4020" spans="19:25">
      <c r="S4020" t="str">
        <f t="shared" si="0"/>
        <v/>
      </c>
      <c r="T4020" t="str">
        <f t="shared" si="1"/>
        <v/>
      </c>
      <c r="U4020" t="str">
        <f t="shared" si="2"/>
        <v/>
      </c>
      <c r="V4020" t="str">
        <f>IF(OR(U4020="",U4020="ERRO_CHAVE"),"",IFERROR(MATCH(U4020,Fornecedores!$AF$1:$AF$6631,0),""))</f>
        <v/>
      </c>
      <c r="W4020" t="str">
        <f t="shared" si="3"/>
        <v/>
      </c>
      <c r="X4020" s="4" t="str">
        <f>IF(V4020="","",INDEX(Fornecedores!$X$1:$X$6631,V4020))</f>
        <v/>
      </c>
      <c r="Y4020" s="4" t="str">
        <f t="shared" si="4"/>
        <v/>
      </c>
    </row>
    <row r="4021" spans="19:25">
      <c r="S4021" t="str">
        <f t="shared" si="0"/>
        <v/>
      </c>
      <c r="T4021" t="str">
        <f t="shared" si="1"/>
        <v/>
      </c>
      <c r="U4021" t="str">
        <f t="shared" si="2"/>
        <v/>
      </c>
      <c r="V4021" t="str">
        <f>IF(OR(U4021="",U4021="ERRO_CHAVE"),"",IFERROR(MATCH(U4021,Fornecedores!$AF$1:$AF$6631,0),""))</f>
        <v/>
      </c>
      <c r="W4021" t="str">
        <f t="shared" si="3"/>
        <v/>
      </c>
      <c r="X4021" s="4" t="str">
        <f>IF(V4021="","",INDEX(Fornecedores!$X$1:$X$6631,V4021))</f>
        <v/>
      </c>
      <c r="Y4021" s="4" t="str">
        <f t="shared" si="4"/>
        <v/>
      </c>
    </row>
    <row r="4022" spans="19:25">
      <c r="S4022" t="str">
        <f t="shared" si="0"/>
        <v/>
      </c>
      <c r="T4022" t="str">
        <f t="shared" si="1"/>
        <v/>
      </c>
      <c r="U4022" t="str">
        <f t="shared" si="2"/>
        <v/>
      </c>
      <c r="V4022" t="str">
        <f>IF(OR(U4022="",U4022="ERRO_CHAVE"),"",IFERROR(MATCH(U4022,Fornecedores!$AF$1:$AF$6631,0),""))</f>
        <v/>
      </c>
      <c r="W4022" t="str">
        <f t="shared" si="3"/>
        <v/>
      </c>
      <c r="X4022" s="4" t="str">
        <f>IF(V4022="","",INDEX(Fornecedores!$X$1:$X$6631,V4022))</f>
        <v/>
      </c>
      <c r="Y4022" s="4" t="str">
        <f t="shared" si="4"/>
        <v/>
      </c>
    </row>
    <row r="4023" spans="19:25">
      <c r="S4023" t="str">
        <f t="shared" si="0"/>
        <v/>
      </c>
      <c r="T4023" t="str">
        <f t="shared" si="1"/>
        <v/>
      </c>
      <c r="U4023" t="str">
        <f t="shared" si="2"/>
        <v/>
      </c>
      <c r="V4023" t="str">
        <f>IF(OR(U4023="",U4023="ERRO_CHAVE"),"",IFERROR(MATCH(U4023,Fornecedores!$AF$1:$AF$6631,0),""))</f>
        <v/>
      </c>
      <c r="W4023" t="str">
        <f t="shared" si="3"/>
        <v/>
      </c>
      <c r="X4023" s="4" t="str">
        <f>IF(V4023="","",INDEX(Fornecedores!$X$1:$X$6631,V4023))</f>
        <v/>
      </c>
      <c r="Y4023" s="4" t="str">
        <f t="shared" si="4"/>
        <v/>
      </c>
    </row>
    <row r="4024" spans="19:25">
      <c r="S4024" t="str">
        <f t="shared" si="0"/>
        <v/>
      </c>
      <c r="T4024" t="str">
        <f t="shared" si="1"/>
        <v/>
      </c>
      <c r="U4024" t="str">
        <f t="shared" si="2"/>
        <v/>
      </c>
      <c r="V4024" t="str">
        <f>IF(OR(U4024="",U4024="ERRO_CHAVE"),"",IFERROR(MATCH(U4024,Fornecedores!$AF$1:$AF$6631,0),""))</f>
        <v/>
      </c>
      <c r="W4024" t="str">
        <f t="shared" si="3"/>
        <v/>
      </c>
      <c r="X4024" s="4" t="str">
        <f>IF(V4024="","",INDEX(Fornecedores!$X$1:$X$6631,V4024))</f>
        <v/>
      </c>
      <c r="Y4024" s="4" t="str">
        <f t="shared" si="4"/>
        <v/>
      </c>
    </row>
    <row r="4025" spans="19:25">
      <c r="S4025" t="str">
        <f t="shared" si="0"/>
        <v/>
      </c>
      <c r="T4025" t="str">
        <f t="shared" si="1"/>
        <v/>
      </c>
      <c r="U4025" t="str">
        <f t="shared" si="2"/>
        <v/>
      </c>
      <c r="V4025" t="str">
        <f>IF(OR(U4025="",U4025="ERRO_CHAVE"),"",IFERROR(MATCH(U4025,Fornecedores!$AF$1:$AF$6631,0),""))</f>
        <v/>
      </c>
      <c r="W4025" t="str">
        <f t="shared" si="3"/>
        <v/>
      </c>
      <c r="X4025" s="4" t="str">
        <f>IF(V4025="","",INDEX(Fornecedores!$X$1:$X$6631,V4025))</f>
        <v/>
      </c>
      <c r="Y4025" s="4" t="str">
        <f t="shared" si="4"/>
        <v/>
      </c>
    </row>
    <row r="4026" spans="19:25">
      <c r="S4026" t="str">
        <f t="shared" si="0"/>
        <v/>
      </c>
      <c r="T4026" t="str">
        <f t="shared" si="1"/>
        <v/>
      </c>
      <c r="U4026" t="str">
        <f t="shared" si="2"/>
        <v/>
      </c>
      <c r="V4026" t="str">
        <f>IF(OR(U4026="",U4026="ERRO_CHAVE"),"",IFERROR(MATCH(U4026,Fornecedores!$AF$1:$AF$6631,0),""))</f>
        <v/>
      </c>
      <c r="W4026" t="str">
        <f t="shared" si="3"/>
        <v/>
      </c>
      <c r="X4026" s="4" t="str">
        <f>IF(V4026="","",INDEX(Fornecedores!$X$1:$X$6631,V4026))</f>
        <v/>
      </c>
      <c r="Y4026" s="4" t="str">
        <f t="shared" si="4"/>
        <v/>
      </c>
    </row>
    <row r="4027" spans="19:25">
      <c r="S4027" t="str">
        <f t="shared" si="0"/>
        <v/>
      </c>
      <c r="T4027" t="str">
        <f t="shared" si="1"/>
        <v/>
      </c>
      <c r="U4027" t="str">
        <f t="shared" si="2"/>
        <v/>
      </c>
      <c r="V4027" t="str">
        <f>IF(OR(U4027="",U4027="ERRO_CHAVE"),"",IFERROR(MATCH(U4027,Fornecedores!$AF$1:$AF$6631,0),""))</f>
        <v/>
      </c>
      <c r="W4027" t="str">
        <f t="shared" si="3"/>
        <v/>
      </c>
      <c r="X4027" s="4" t="str">
        <f>IF(V4027="","",INDEX(Fornecedores!$X$1:$X$6631,V4027))</f>
        <v/>
      </c>
      <c r="Y4027" s="4" t="str">
        <f t="shared" si="4"/>
        <v/>
      </c>
    </row>
    <row r="4028" spans="19:25">
      <c r="S4028" t="str">
        <f t="shared" si="0"/>
        <v/>
      </c>
      <c r="T4028" t="str">
        <f t="shared" si="1"/>
        <v/>
      </c>
      <c r="U4028" t="str">
        <f t="shared" si="2"/>
        <v/>
      </c>
      <c r="V4028" t="str">
        <f>IF(OR(U4028="",U4028="ERRO_CHAVE"),"",IFERROR(MATCH(U4028,Fornecedores!$AF$1:$AF$6631,0),""))</f>
        <v/>
      </c>
      <c r="W4028" t="str">
        <f t="shared" si="3"/>
        <v/>
      </c>
      <c r="X4028" s="4" t="str">
        <f>IF(V4028="","",INDEX(Fornecedores!$X$1:$X$6631,V4028))</f>
        <v/>
      </c>
      <c r="Y4028" s="4" t="str">
        <f t="shared" si="4"/>
        <v/>
      </c>
    </row>
    <row r="4029" spans="19:25">
      <c r="S4029" t="str">
        <f t="shared" si="0"/>
        <v/>
      </c>
      <c r="T4029" t="str">
        <f t="shared" si="1"/>
        <v/>
      </c>
      <c r="U4029" t="str">
        <f t="shared" si="2"/>
        <v/>
      </c>
      <c r="V4029" t="str">
        <f>IF(OR(U4029="",U4029="ERRO_CHAVE"),"",IFERROR(MATCH(U4029,Fornecedores!$AF$1:$AF$6631,0),""))</f>
        <v/>
      </c>
      <c r="W4029" t="str">
        <f t="shared" si="3"/>
        <v/>
      </c>
      <c r="X4029" s="4" t="str">
        <f>IF(V4029="","",INDEX(Fornecedores!$X$1:$X$6631,V4029))</f>
        <v/>
      </c>
      <c r="Y4029" s="4" t="str">
        <f t="shared" si="4"/>
        <v/>
      </c>
    </row>
    <row r="4030" spans="19:25">
      <c r="S4030" t="str">
        <f t="shared" si="0"/>
        <v/>
      </c>
      <c r="T4030" t="str">
        <f t="shared" si="1"/>
        <v/>
      </c>
      <c r="U4030" t="str">
        <f t="shared" si="2"/>
        <v/>
      </c>
      <c r="V4030" t="str">
        <f>IF(OR(U4030="",U4030="ERRO_CHAVE"),"",IFERROR(MATCH(U4030,Fornecedores!$AF$1:$AF$6631,0),""))</f>
        <v/>
      </c>
      <c r="W4030" t="str">
        <f t="shared" si="3"/>
        <v/>
      </c>
      <c r="X4030" s="4" t="str">
        <f>IF(V4030="","",INDEX(Fornecedores!$X$1:$X$6631,V4030))</f>
        <v/>
      </c>
      <c r="Y4030" s="4" t="str">
        <f t="shared" si="4"/>
        <v/>
      </c>
    </row>
    <row r="4031" spans="19:25">
      <c r="S4031" t="str">
        <f t="shared" si="0"/>
        <v/>
      </c>
      <c r="T4031" t="str">
        <f t="shared" si="1"/>
        <v/>
      </c>
      <c r="U4031" t="str">
        <f t="shared" si="2"/>
        <v/>
      </c>
      <c r="V4031" t="str">
        <f>IF(OR(U4031="",U4031="ERRO_CHAVE"),"",IFERROR(MATCH(U4031,Fornecedores!$AF$1:$AF$6631,0),""))</f>
        <v/>
      </c>
      <c r="W4031" t="str">
        <f t="shared" si="3"/>
        <v/>
      </c>
      <c r="X4031" s="4" t="str">
        <f>IF(V4031="","",INDEX(Fornecedores!$X$1:$X$6631,V4031))</f>
        <v/>
      </c>
      <c r="Y4031" s="4" t="str">
        <f t="shared" si="4"/>
        <v/>
      </c>
    </row>
    <row r="4032" spans="19:25">
      <c r="S4032" t="str">
        <f t="shared" si="0"/>
        <v/>
      </c>
      <c r="T4032" t="str">
        <f t="shared" si="1"/>
        <v/>
      </c>
      <c r="U4032" t="str">
        <f t="shared" si="2"/>
        <v/>
      </c>
      <c r="V4032" t="str">
        <f>IF(OR(U4032="",U4032="ERRO_CHAVE"),"",IFERROR(MATCH(U4032,Fornecedores!$AF$1:$AF$6631,0),""))</f>
        <v/>
      </c>
      <c r="W4032" t="str">
        <f t="shared" si="3"/>
        <v/>
      </c>
      <c r="X4032" s="4" t="str">
        <f>IF(V4032="","",INDEX(Fornecedores!$X$1:$X$6631,V4032))</f>
        <v/>
      </c>
      <c r="Y4032" s="4" t="str">
        <f t="shared" si="4"/>
        <v/>
      </c>
    </row>
    <row r="4033" spans="19:25">
      <c r="S4033" t="str">
        <f t="shared" si="0"/>
        <v/>
      </c>
      <c r="T4033" t="str">
        <f t="shared" si="1"/>
        <v/>
      </c>
      <c r="U4033" t="str">
        <f t="shared" si="2"/>
        <v/>
      </c>
      <c r="V4033" t="str">
        <f>IF(OR(U4033="",U4033="ERRO_CHAVE"),"",IFERROR(MATCH(U4033,Fornecedores!$AF$1:$AF$6631,0),""))</f>
        <v/>
      </c>
      <c r="W4033" t="str">
        <f t="shared" si="3"/>
        <v/>
      </c>
      <c r="X4033" s="4" t="str">
        <f>IF(V4033="","",INDEX(Fornecedores!$X$1:$X$6631,V4033))</f>
        <v/>
      </c>
      <c r="Y4033" s="4" t="str">
        <f t="shared" si="4"/>
        <v/>
      </c>
    </row>
    <row r="4034" spans="19:25">
      <c r="S4034" t="str">
        <f t="shared" si="0"/>
        <v/>
      </c>
      <c r="T4034" t="str">
        <f t="shared" si="1"/>
        <v/>
      </c>
      <c r="U4034" t="str">
        <f t="shared" si="2"/>
        <v/>
      </c>
      <c r="V4034" t="str">
        <f>IF(OR(U4034="",U4034="ERRO_CHAVE"),"",IFERROR(MATCH(U4034,Fornecedores!$AF$1:$AF$6631,0),""))</f>
        <v/>
      </c>
      <c r="W4034" t="str">
        <f t="shared" si="3"/>
        <v/>
      </c>
      <c r="X4034" s="4" t="str">
        <f>IF(V4034="","",INDEX(Fornecedores!$X$1:$X$6631,V4034))</f>
        <v/>
      </c>
      <c r="Y4034" s="4" t="str">
        <f t="shared" si="4"/>
        <v/>
      </c>
    </row>
    <row r="4035" spans="19:25">
      <c r="S4035" t="str">
        <f t="shared" si="0"/>
        <v/>
      </c>
      <c r="T4035" t="str">
        <f t="shared" si="1"/>
        <v/>
      </c>
      <c r="U4035" t="str">
        <f t="shared" si="2"/>
        <v/>
      </c>
      <c r="V4035" t="str">
        <f>IF(OR(U4035="",U4035="ERRO_CHAVE"),"",IFERROR(MATCH(U4035,Fornecedores!$AF$1:$AF$6631,0),""))</f>
        <v/>
      </c>
      <c r="W4035" t="str">
        <f t="shared" si="3"/>
        <v/>
      </c>
      <c r="X4035" s="4" t="str">
        <f>IF(V4035="","",INDEX(Fornecedores!$X$1:$X$6631,V4035))</f>
        <v/>
      </c>
      <c r="Y4035" s="4" t="str">
        <f t="shared" si="4"/>
        <v/>
      </c>
    </row>
    <row r="4036" spans="19:25">
      <c r="S4036" t="str">
        <f t="shared" si="0"/>
        <v/>
      </c>
      <c r="T4036" t="str">
        <f t="shared" si="1"/>
        <v/>
      </c>
      <c r="U4036" t="str">
        <f t="shared" si="2"/>
        <v/>
      </c>
      <c r="V4036" t="str">
        <f>IF(OR(U4036="",U4036="ERRO_CHAVE"),"",IFERROR(MATCH(U4036,Fornecedores!$AF$1:$AF$6631,0),""))</f>
        <v/>
      </c>
      <c r="W4036" t="str">
        <f t="shared" si="3"/>
        <v/>
      </c>
      <c r="X4036" s="4" t="str">
        <f>IF(V4036="","",INDEX(Fornecedores!$X$1:$X$6631,V4036))</f>
        <v/>
      </c>
      <c r="Y4036" s="4" t="str">
        <f t="shared" si="4"/>
        <v/>
      </c>
    </row>
    <row r="4037" spans="19:25">
      <c r="S4037" t="str">
        <f t="shared" si="0"/>
        <v/>
      </c>
      <c r="T4037" t="str">
        <f t="shared" si="1"/>
        <v/>
      </c>
      <c r="U4037" t="str">
        <f t="shared" si="2"/>
        <v/>
      </c>
      <c r="V4037" t="str">
        <f>IF(OR(U4037="",U4037="ERRO_CHAVE"),"",IFERROR(MATCH(U4037,Fornecedores!$AF$1:$AF$6631,0),""))</f>
        <v/>
      </c>
      <c r="W4037" t="str">
        <f t="shared" si="3"/>
        <v/>
      </c>
      <c r="X4037" s="4" t="str">
        <f>IF(V4037="","",INDEX(Fornecedores!$X$1:$X$6631,V4037))</f>
        <v/>
      </c>
      <c r="Y4037" s="4" t="str">
        <f t="shared" si="4"/>
        <v/>
      </c>
    </row>
    <row r="4038" spans="19:25">
      <c r="S4038" t="str">
        <f t="shared" si="0"/>
        <v/>
      </c>
      <c r="T4038" t="str">
        <f t="shared" si="1"/>
        <v/>
      </c>
      <c r="U4038" t="str">
        <f t="shared" si="2"/>
        <v/>
      </c>
      <c r="V4038" t="str">
        <f>IF(OR(U4038="",U4038="ERRO_CHAVE"),"",IFERROR(MATCH(U4038,Fornecedores!$AF$1:$AF$6631,0),""))</f>
        <v/>
      </c>
      <c r="W4038" t="str">
        <f t="shared" si="3"/>
        <v/>
      </c>
      <c r="X4038" s="4" t="str">
        <f>IF(V4038="","",INDEX(Fornecedores!$X$1:$X$6631,V4038))</f>
        <v/>
      </c>
      <c r="Y4038" s="4" t="str">
        <f t="shared" si="4"/>
        <v/>
      </c>
    </row>
    <row r="4039" spans="19:25">
      <c r="S4039" t="str">
        <f t="shared" si="0"/>
        <v/>
      </c>
      <c r="T4039" t="str">
        <f t="shared" si="1"/>
        <v/>
      </c>
      <c r="U4039" t="str">
        <f t="shared" si="2"/>
        <v/>
      </c>
      <c r="V4039" t="str">
        <f>IF(OR(U4039="",U4039="ERRO_CHAVE"),"",IFERROR(MATCH(U4039,Fornecedores!$AF$1:$AF$6631,0),""))</f>
        <v/>
      </c>
      <c r="W4039" t="str">
        <f t="shared" si="3"/>
        <v/>
      </c>
      <c r="X4039" s="4" t="str">
        <f>IF(V4039="","",INDEX(Fornecedores!$X$1:$X$6631,V4039))</f>
        <v/>
      </c>
      <c r="Y4039" s="4" t="str">
        <f t="shared" si="4"/>
        <v/>
      </c>
    </row>
    <row r="4040" spans="19:25">
      <c r="S4040" t="str">
        <f t="shared" si="0"/>
        <v/>
      </c>
      <c r="T4040" t="str">
        <f t="shared" si="1"/>
        <v/>
      </c>
      <c r="U4040" t="str">
        <f t="shared" si="2"/>
        <v/>
      </c>
      <c r="V4040" t="str">
        <f>IF(OR(U4040="",U4040="ERRO_CHAVE"),"",IFERROR(MATCH(U4040,Fornecedores!$AF$1:$AF$6631,0),""))</f>
        <v/>
      </c>
      <c r="W4040" t="str">
        <f t="shared" si="3"/>
        <v/>
      </c>
      <c r="X4040" s="4" t="str">
        <f>IF(V4040="","",INDEX(Fornecedores!$X$1:$X$6631,V4040))</f>
        <v/>
      </c>
      <c r="Y4040" s="4" t="str">
        <f t="shared" si="4"/>
        <v/>
      </c>
    </row>
    <row r="4041" spans="19:25">
      <c r="S4041" t="str">
        <f t="shared" si="0"/>
        <v/>
      </c>
      <c r="T4041" t="str">
        <f t="shared" si="1"/>
        <v/>
      </c>
      <c r="U4041" t="str">
        <f t="shared" si="2"/>
        <v/>
      </c>
      <c r="V4041" t="str">
        <f>IF(OR(U4041="",U4041="ERRO_CHAVE"),"",IFERROR(MATCH(U4041,Fornecedores!$AF$1:$AF$6631,0),""))</f>
        <v/>
      </c>
      <c r="W4041" t="str">
        <f t="shared" si="3"/>
        <v/>
      </c>
      <c r="X4041" s="4" t="str">
        <f>IF(V4041="","",INDEX(Fornecedores!$X$1:$X$6631,V4041))</f>
        <v/>
      </c>
      <c r="Y4041" s="4" t="str">
        <f t="shared" si="4"/>
        <v/>
      </c>
    </row>
    <row r="4042" spans="19:25">
      <c r="S4042" t="str">
        <f t="shared" si="0"/>
        <v/>
      </c>
      <c r="T4042" t="str">
        <f t="shared" si="1"/>
        <v/>
      </c>
      <c r="U4042" t="str">
        <f t="shared" si="2"/>
        <v/>
      </c>
      <c r="V4042" t="str">
        <f>IF(OR(U4042="",U4042="ERRO_CHAVE"),"",IFERROR(MATCH(U4042,Fornecedores!$AF$1:$AF$6631,0),""))</f>
        <v/>
      </c>
      <c r="W4042" t="str">
        <f t="shared" si="3"/>
        <v/>
      </c>
      <c r="X4042" s="4" t="str">
        <f>IF(V4042="","",INDEX(Fornecedores!$X$1:$X$6631,V4042))</f>
        <v/>
      </c>
      <c r="Y4042" s="4" t="str">
        <f t="shared" si="4"/>
        <v/>
      </c>
    </row>
    <row r="4043" spans="19:25">
      <c r="S4043" t="str">
        <f t="shared" si="0"/>
        <v/>
      </c>
      <c r="T4043" t="str">
        <f t="shared" si="1"/>
        <v/>
      </c>
      <c r="U4043" t="str">
        <f t="shared" si="2"/>
        <v/>
      </c>
      <c r="V4043" t="str">
        <f>IF(OR(U4043="",U4043="ERRO_CHAVE"),"",IFERROR(MATCH(U4043,Fornecedores!$AF$1:$AF$6631,0),""))</f>
        <v/>
      </c>
      <c r="W4043" t="str">
        <f t="shared" si="3"/>
        <v/>
      </c>
      <c r="X4043" s="4" t="str">
        <f>IF(V4043="","",INDEX(Fornecedores!$X$1:$X$6631,V4043))</f>
        <v/>
      </c>
      <c r="Y4043" s="4" t="str">
        <f t="shared" si="4"/>
        <v/>
      </c>
    </row>
    <row r="4044" spans="19:25">
      <c r="S4044" t="str">
        <f t="shared" si="0"/>
        <v/>
      </c>
      <c r="T4044" t="str">
        <f t="shared" si="1"/>
        <v/>
      </c>
      <c r="U4044" t="str">
        <f t="shared" si="2"/>
        <v/>
      </c>
      <c r="V4044" t="str">
        <f>IF(OR(U4044="",U4044="ERRO_CHAVE"),"",IFERROR(MATCH(U4044,Fornecedores!$AF$1:$AF$6631,0),""))</f>
        <v/>
      </c>
      <c r="W4044" t="str">
        <f t="shared" si="3"/>
        <v/>
      </c>
      <c r="X4044" s="4" t="str">
        <f>IF(V4044="","",INDEX(Fornecedores!$X$1:$X$6631,V4044))</f>
        <v/>
      </c>
      <c r="Y4044" s="4" t="str">
        <f t="shared" si="4"/>
        <v/>
      </c>
    </row>
    <row r="4045" spans="19:25">
      <c r="S4045" t="str">
        <f t="shared" si="0"/>
        <v/>
      </c>
      <c r="T4045" t="str">
        <f t="shared" si="1"/>
        <v/>
      </c>
      <c r="U4045" t="str">
        <f t="shared" si="2"/>
        <v/>
      </c>
      <c r="V4045" t="str">
        <f>IF(OR(U4045="",U4045="ERRO_CHAVE"),"",IFERROR(MATCH(U4045,Fornecedores!$AF$1:$AF$6631,0),""))</f>
        <v/>
      </c>
      <c r="W4045" t="str">
        <f t="shared" si="3"/>
        <v/>
      </c>
      <c r="X4045" s="4" t="str">
        <f>IF(V4045="","",INDEX(Fornecedores!$X$1:$X$6631,V4045))</f>
        <v/>
      </c>
      <c r="Y4045" s="4" t="str">
        <f t="shared" si="4"/>
        <v/>
      </c>
    </row>
    <row r="4046" spans="19:25">
      <c r="S4046" t="str">
        <f t="shared" si="0"/>
        <v/>
      </c>
      <c r="T4046" t="str">
        <f t="shared" si="1"/>
        <v/>
      </c>
      <c r="U4046" t="str">
        <f t="shared" si="2"/>
        <v/>
      </c>
      <c r="V4046" t="str">
        <f>IF(OR(U4046="",U4046="ERRO_CHAVE"),"",IFERROR(MATCH(U4046,Fornecedores!$AF$1:$AF$6631,0),""))</f>
        <v/>
      </c>
      <c r="W4046" t="str">
        <f t="shared" si="3"/>
        <v/>
      </c>
      <c r="X4046" s="4" t="str">
        <f>IF(V4046="","",INDEX(Fornecedores!$X$1:$X$6631,V4046))</f>
        <v/>
      </c>
      <c r="Y4046" s="4" t="str">
        <f t="shared" si="4"/>
        <v/>
      </c>
    </row>
    <row r="4047" spans="19:25">
      <c r="S4047" t="str">
        <f t="shared" si="0"/>
        <v/>
      </c>
      <c r="T4047" t="str">
        <f t="shared" si="1"/>
        <v/>
      </c>
      <c r="U4047" t="str">
        <f t="shared" si="2"/>
        <v/>
      </c>
      <c r="V4047" t="str">
        <f>IF(OR(U4047="",U4047="ERRO_CHAVE"),"",IFERROR(MATCH(U4047,Fornecedores!$AF$1:$AF$6631,0),""))</f>
        <v/>
      </c>
      <c r="W4047" t="str">
        <f t="shared" si="3"/>
        <v/>
      </c>
      <c r="X4047" s="4" t="str">
        <f>IF(V4047="","",INDEX(Fornecedores!$X$1:$X$6631,V4047))</f>
        <v/>
      </c>
      <c r="Y4047" s="4" t="str">
        <f t="shared" si="4"/>
        <v/>
      </c>
    </row>
    <row r="4048" spans="19:25">
      <c r="S4048" t="str">
        <f t="shared" si="0"/>
        <v/>
      </c>
      <c r="T4048" t="str">
        <f t="shared" si="1"/>
        <v/>
      </c>
      <c r="U4048" t="str">
        <f t="shared" si="2"/>
        <v/>
      </c>
      <c r="V4048" t="str">
        <f>IF(OR(U4048="",U4048="ERRO_CHAVE"),"",IFERROR(MATCH(U4048,Fornecedores!$AF$1:$AF$6631,0),""))</f>
        <v/>
      </c>
      <c r="W4048" t="str">
        <f t="shared" si="3"/>
        <v/>
      </c>
      <c r="X4048" s="4" t="str">
        <f>IF(V4048="","",INDEX(Fornecedores!$X$1:$X$6631,V4048))</f>
        <v/>
      </c>
      <c r="Y4048" s="4" t="str">
        <f t="shared" si="4"/>
        <v/>
      </c>
    </row>
    <row r="4049" spans="19:25">
      <c r="S4049" t="str">
        <f t="shared" si="0"/>
        <v/>
      </c>
      <c r="T4049" t="str">
        <f t="shared" si="1"/>
        <v/>
      </c>
      <c r="U4049" t="str">
        <f t="shared" si="2"/>
        <v/>
      </c>
      <c r="V4049" t="str">
        <f>IF(OR(U4049="",U4049="ERRO_CHAVE"),"",IFERROR(MATCH(U4049,Fornecedores!$AF$1:$AF$6631,0),""))</f>
        <v/>
      </c>
      <c r="W4049" t="str">
        <f t="shared" si="3"/>
        <v/>
      </c>
      <c r="X4049" s="4" t="str">
        <f>IF(V4049="","",INDEX(Fornecedores!$X$1:$X$6631,V4049))</f>
        <v/>
      </c>
      <c r="Y4049" s="4" t="str">
        <f t="shared" si="4"/>
        <v/>
      </c>
    </row>
    <row r="4050" spans="19:25">
      <c r="S4050" t="str">
        <f t="shared" si="0"/>
        <v/>
      </c>
      <c r="T4050" t="str">
        <f t="shared" si="1"/>
        <v/>
      </c>
      <c r="U4050" t="str">
        <f t="shared" si="2"/>
        <v/>
      </c>
      <c r="V4050" t="str">
        <f>IF(OR(U4050="",U4050="ERRO_CHAVE"),"",IFERROR(MATCH(U4050,Fornecedores!$AF$1:$AF$6631,0),""))</f>
        <v/>
      </c>
      <c r="W4050" t="str">
        <f t="shared" si="3"/>
        <v/>
      </c>
      <c r="X4050" s="4" t="str">
        <f>IF(V4050="","",INDEX(Fornecedores!$X$1:$X$6631,V4050))</f>
        <v/>
      </c>
      <c r="Y4050" s="4" t="str">
        <f t="shared" si="4"/>
        <v/>
      </c>
    </row>
    <row r="4051" spans="19:25">
      <c r="S4051" t="str">
        <f t="shared" si="0"/>
        <v/>
      </c>
      <c r="T4051" t="str">
        <f t="shared" si="1"/>
        <v/>
      </c>
      <c r="U4051" t="str">
        <f t="shared" si="2"/>
        <v/>
      </c>
      <c r="V4051" t="str">
        <f>IF(OR(U4051="",U4051="ERRO_CHAVE"),"",IFERROR(MATCH(U4051,Fornecedores!$AF$1:$AF$6631,0),""))</f>
        <v/>
      </c>
      <c r="W4051" t="str">
        <f t="shared" si="3"/>
        <v/>
      </c>
      <c r="X4051" s="4" t="str">
        <f>IF(V4051="","",INDEX(Fornecedores!$X$1:$X$6631,V4051))</f>
        <v/>
      </c>
      <c r="Y4051" s="4" t="str">
        <f t="shared" si="4"/>
        <v/>
      </c>
    </row>
    <row r="4052" spans="19:25">
      <c r="S4052" t="str">
        <f t="shared" si="0"/>
        <v/>
      </c>
      <c r="T4052" t="str">
        <f t="shared" si="1"/>
        <v/>
      </c>
      <c r="U4052" t="str">
        <f t="shared" si="2"/>
        <v/>
      </c>
      <c r="V4052" t="str">
        <f>IF(OR(U4052="",U4052="ERRO_CHAVE"),"",IFERROR(MATCH(U4052,Fornecedores!$AF$1:$AF$6631,0),""))</f>
        <v/>
      </c>
      <c r="W4052" t="str">
        <f t="shared" si="3"/>
        <v/>
      </c>
      <c r="X4052" s="4" t="str">
        <f>IF(V4052="","",INDEX(Fornecedores!$X$1:$X$6631,V4052))</f>
        <v/>
      </c>
      <c r="Y4052" s="4" t="str">
        <f t="shared" si="4"/>
        <v/>
      </c>
    </row>
    <row r="4053" spans="19:25">
      <c r="S4053" t="str">
        <f t="shared" si="0"/>
        <v/>
      </c>
      <c r="T4053" t="str">
        <f t="shared" si="1"/>
        <v/>
      </c>
      <c r="U4053" t="str">
        <f t="shared" si="2"/>
        <v/>
      </c>
      <c r="V4053" t="str">
        <f>IF(OR(U4053="",U4053="ERRO_CHAVE"),"",IFERROR(MATCH(U4053,Fornecedores!$AF$1:$AF$6631,0),""))</f>
        <v/>
      </c>
      <c r="W4053" t="str">
        <f t="shared" si="3"/>
        <v/>
      </c>
      <c r="X4053" s="4" t="str">
        <f>IF(V4053="","",INDEX(Fornecedores!$X$1:$X$6631,V4053))</f>
        <v/>
      </c>
      <c r="Y4053" s="4" t="str">
        <f t="shared" si="4"/>
        <v/>
      </c>
    </row>
    <row r="4054" spans="19:25">
      <c r="S4054" t="str">
        <f t="shared" si="0"/>
        <v/>
      </c>
      <c r="T4054" t="str">
        <f t="shared" si="1"/>
        <v/>
      </c>
      <c r="U4054" t="str">
        <f t="shared" si="2"/>
        <v/>
      </c>
      <c r="V4054" t="str">
        <f>IF(OR(U4054="",U4054="ERRO_CHAVE"),"",IFERROR(MATCH(U4054,Fornecedores!$AF$1:$AF$6631,0),""))</f>
        <v/>
      </c>
      <c r="W4054" t="str">
        <f t="shared" si="3"/>
        <v/>
      </c>
      <c r="X4054" s="4" t="str">
        <f>IF(V4054="","",INDEX(Fornecedores!$X$1:$X$6631,V4054))</f>
        <v/>
      </c>
      <c r="Y4054" s="4" t="str">
        <f t="shared" si="4"/>
        <v/>
      </c>
    </row>
    <row r="4055" spans="19:25">
      <c r="S4055" t="str">
        <f t="shared" si="0"/>
        <v/>
      </c>
      <c r="T4055" t="str">
        <f t="shared" si="1"/>
        <v/>
      </c>
      <c r="U4055" t="str">
        <f t="shared" si="2"/>
        <v/>
      </c>
      <c r="V4055" t="str">
        <f>IF(OR(U4055="",U4055="ERRO_CHAVE"),"",IFERROR(MATCH(U4055,Fornecedores!$AF$1:$AF$6631,0),""))</f>
        <v/>
      </c>
      <c r="W4055" t="str">
        <f t="shared" si="3"/>
        <v/>
      </c>
      <c r="X4055" s="4" t="str">
        <f>IF(V4055="","",INDEX(Fornecedores!$X$1:$X$6631,V4055))</f>
        <v/>
      </c>
      <c r="Y4055" s="4" t="str">
        <f t="shared" si="4"/>
        <v/>
      </c>
    </row>
    <row r="4056" spans="19:25">
      <c r="S4056" t="str">
        <f t="shared" si="0"/>
        <v/>
      </c>
      <c r="T4056" t="str">
        <f t="shared" si="1"/>
        <v/>
      </c>
      <c r="U4056" t="str">
        <f t="shared" si="2"/>
        <v/>
      </c>
      <c r="V4056" t="str">
        <f>IF(OR(U4056="",U4056="ERRO_CHAVE"),"",IFERROR(MATCH(U4056,Fornecedores!$AF$1:$AF$6631,0),""))</f>
        <v/>
      </c>
      <c r="W4056" t="str">
        <f t="shared" si="3"/>
        <v/>
      </c>
      <c r="X4056" s="4" t="str">
        <f>IF(V4056="","",INDEX(Fornecedores!$X$1:$X$6631,V4056))</f>
        <v/>
      </c>
      <c r="Y4056" s="4" t="str">
        <f t="shared" si="4"/>
        <v/>
      </c>
    </row>
    <row r="4057" spans="19:25">
      <c r="S4057" t="str">
        <f t="shared" si="0"/>
        <v/>
      </c>
      <c r="T4057" t="str">
        <f t="shared" si="1"/>
        <v/>
      </c>
      <c r="U4057" t="str">
        <f t="shared" si="2"/>
        <v/>
      </c>
      <c r="V4057" t="str">
        <f>IF(OR(U4057="",U4057="ERRO_CHAVE"),"",IFERROR(MATCH(U4057,Fornecedores!$AF$1:$AF$6631,0),""))</f>
        <v/>
      </c>
      <c r="W4057" t="str">
        <f t="shared" si="3"/>
        <v/>
      </c>
      <c r="X4057" s="4" t="str">
        <f>IF(V4057="","",INDEX(Fornecedores!$X$1:$X$6631,V4057))</f>
        <v/>
      </c>
      <c r="Y4057" s="4" t="str">
        <f t="shared" si="4"/>
        <v/>
      </c>
    </row>
    <row r="4058" spans="19:25">
      <c r="S4058" t="str">
        <f t="shared" si="0"/>
        <v/>
      </c>
      <c r="T4058" t="str">
        <f t="shared" si="1"/>
        <v/>
      </c>
      <c r="U4058" t="str">
        <f t="shared" si="2"/>
        <v/>
      </c>
      <c r="V4058" t="str">
        <f>IF(OR(U4058="",U4058="ERRO_CHAVE"),"",IFERROR(MATCH(U4058,Fornecedores!$AF$1:$AF$6631,0),""))</f>
        <v/>
      </c>
      <c r="W4058" t="str">
        <f t="shared" si="3"/>
        <v/>
      </c>
      <c r="X4058" s="4" t="str">
        <f>IF(V4058="","",INDEX(Fornecedores!$X$1:$X$6631,V4058))</f>
        <v/>
      </c>
      <c r="Y4058" s="4" t="str">
        <f t="shared" si="4"/>
        <v/>
      </c>
    </row>
    <row r="4059" spans="19:25">
      <c r="S4059" t="str">
        <f t="shared" si="0"/>
        <v/>
      </c>
      <c r="T4059" t="str">
        <f t="shared" si="1"/>
        <v/>
      </c>
      <c r="U4059" t="str">
        <f t="shared" si="2"/>
        <v/>
      </c>
      <c r="V4059" t="str">
        <f>IF(OR(U4059="",U4059="ERRO_CHAVE"),"",IFERROR(MATCH(U4059,Fornecedores!$AF$1:$AF$6631,0),""))</f>
        <v/>
      </c>
      <c r="W4059" t="str">
        <f t="shared" si="3"/>
        <v/>
      </c>
      <c r="X4059" s="4" t="str">
        <f>IF(V4059="","",INDEX(Fornecedores!$X$1:$X$6631,V4059))</f>
        <v/>
      </c>
      <c r="Y4059" s="4" t="str">
        <f t="shared" si="4"/>
        <v/>
      </c>
    </row>
    <row r="4060" spans="19:25">
      <c r="S4060" t="str">
        <f t="shared" si="0"/>
        <v/>
      </c>
      <c r="T4060" t="str">
        <f t="shared" si="1"/>
        <v/>
      </c>
      <c r="U4060" t="str">
        <f t="shared" si="2"/>
        <v/>
      </c>
      <c r="V4060" t="str">
        <f>IF(OR(U4060="",U4060="ERRO_CHAVE"),"",IFERROR(MATCH(U4060,Fornecedores!$AF$1:$AF$6631,0),""))</f>
        <v/>
      </c>
      <c r="W4060" t="str">
        <f t="shared" si="3"/>
        <v/>
      </c>
      <c r="X4060" s="4" t="str">
        <f>IF(V4060="","",INDEX(Fornecedores!$X$1:$X$6631,V4060))</f>
        <v/>
      </c>
      <c r="Y4060" s="4" t="str">
        <f t="shared" si="4"/>
        <v/>
      </c>
    </row>
    <row r="4061" spans="19:25">
      <c r="S4061" t="str">
        <f t="shared" si="0"/>
        <v/>
      </c>
      <c r="T4061" t="str">
        <f t="shared" si="1"/>
        <v/>
      </c>
      <c r="U4061" t="str">
        <f t="shared" si="2"/>
        <v/>
      </c>
      <c r="V4061" t="str">
        <f>IF(OR(U4061="",U4061="ERRO_CHAVE"),"",IFERROR(MATCH(U4061,Fornecedores!$AF$1:$AF$6631,0),""))</f>
        <v/>
      </c>
      <c r="W4061" t="str">
        <f t="shared" si="3"/>
        <v/>
      </c>
      <c r="X4061" s="4" t="str">
        <f>IF(V4061="","",INDEX(Fornecedores!$X$1:$X$6631,V4061))</f>
        <v/>
      </c>
      <c r="Y4061" s="4" t="str">
        <f t="shared" si="4"/>
        <v/>
      </c>
    </row>
    <row r="4062" spans="19:25">
      <c r="S4062" t="str">
        <f t="shared" si="0"/>
        <v/>
      </c>
      <c r="T4062" t="str">
        <f t="shared" si="1"/>
        <v/>
      </c>
      <c r="U4062" t="str">
        <f t="shared" si="2"/>
        <v/>
      </c>
      <c r="V4062" t="str">
        <f>IF(OR(U4062="",U4062="ERRO_CHAVE"),"",IFERROR(MATCH(U4062,Fornecedores!$AF$1:$AF$6631,0),""))</f>
        <v/>
      </c>
      <c r="W4062" t="str">
        <f t="shared" si="3"/>
        <v/>
      </c>
      <c r="X4062" s="4" t="str">
        <f>IF(V4062="","",INDEX(Fornecedores!$X$1:$X$6631,V4062))</f>
        <v/>
      </c>
      <c r="Y4062" s="4" t="str">
        <f t="shared" si="4"/>
        <v/>
      </c>
    </row>
    <row r="4063" spans="19:25">
      <c r="S4063" t="str">
        <f t="shared" si="0"/>
        <v/>
      </c>
      <c r="T4063" t="str">
        <f t="shared" si="1"/>
        <v/>
      </c>
      <c r="U4063" t="str">
        <f t="shared" si="2"/>
        <v/>
      </c>
      <c r="V4063" t="str">
        <f>IF(OR(U4063="",U4063="ERRO_CHAVE"),"",IFERROR(MATCH(U4063,Fornecedores!$AF$1:$AF$6631,0),""))</f>
        <v/>
      </c>
      <c r="W4063" t="str">
        <f t="shared" si="3"/>
        <v/>
      </c>
      <c r="X4063" s="4" t="str">
        <f>IF(V4063="","",INDEX(Fornecedores!$X$1:$X$6631,V4063))</f>
        <v/>
      </c>
      <c r="Y4063" s="4" t="str">
        <f t="shared" si="4"/>
        <v/>
      </c>
    </row>
    <row r="4064" spans="19:25">
      <c r="S4064" t="str">
        <f t="shared" si="0"/>
        <v/>
      </c>
      <c r="T4064" t="str">
        <f t="shared" si="1"/>
        <v/>
      </c>
      <c r="U4064" t="str">
        <f t="shared" si="2"/>
        <v/>
      </c>
      <c r="V4064" t="str">
        <f>IF(OR(U4064="",U4064="ERRO_CHAVE"),"",IFERROR(MATCH(U4064,Fornecedores!$AF$1:$AF$6631,0),""))</f>
        <v/>
      </c>
      <c r="W4064" t="str">
        <f t="shared" si="3"/>
        <v/>
      </c>
      <c r="X4064" s="4" t="str">
        <f>IF(V4064="","",INDEX(Fornecedores!$X$1:$X$6631,V4064))</f>
        <v/>
      </c>
      <c r="Y4064" s="4" t="str">
        <f t="shared" si="4"/>
        <v/>
      </c>
    </row>
    <row r="4065" spans="19:25">
      <c r="S4065" t="str">
        <f t="shared" si="0"/>
        <v/>
      </c>
      <c r="T4065" t="str">
        <f t="shared" si="1"/>
        <v/>
      </c>
      <c r="U4065" t="str">
        <f t="shared" si="2"/>
        <v/>
      </c>
      <c r="V4065" t="str">
        <f>IF(OR(U4065="",U4065="ERRO_CHAVE"),"",IFERROR(MATCH(U4065,Fornecedores!$AF$1:$AF$6631,0),""))</f>
        <v/>
      </c>
      <c r="W4065" t="str">
        <f t="shared" si="3"/>
        <v/>
      </c>
      <c r="X4065" s="4" t="str">
        <f>IF(V4065="","",INDEX(Fornecedores!$X$1:$X$6631,V4065))</f>
        <v/>
      </c>
      <c r="Y4065" s="4" t="str">
        <f t="shared" si="4"/>
        <v/>
      </c>
    </row>
    <row r="4066" spans="19:25">
      <c r="S4066" t="str">
        <f t="shared" si="0"/>
        <v/>
      </c>
      <c r="T4066" t="str">
        <f t="shared" si="1"/>
        <v/>
      </c>
      <c r="U4066" t="str">
        <f t="shared" si="2"/>
        <v/>
      </c>
      <c r="V4066" t="str">
        <f>IF(OR(U4066="",U4066="ERRO_CHAVE"),"",IFERROR(MATCH(U4066,Fornecedores!$AF$1:$AF$6631,0),""))</f>
        <v/>
      </c>
      <c r="W4066" t="str">
        <f t="shared" si="3"/>
        <v/>
      </c>
      <c r="X4066" s="4" t="str">
        <f>IF(V4066="","",INDEX(Fornecedores!$X$1:$X$6631,V4066))</f>
        <v/>
      </c>
      <c r="Y4066" s="4" t="str">
        <f t="shared" si="4"/>
        <v/>
      </c>
    </row>
    <row r="4067" spans="19:25">
      <c r="S4067" t="str">
        <f t="shared" si="0"/>
        <v/>
      </c>
      <c r="T4067" t="str">
        <f t="shared" si="1"/>
        <v/>
      </c>
      <c r="U4067" t="str">
        <f t="shared" si="2"/>
        <v/>
      </c>
      <c r="V4067" t="str">
        <f>IF(OR(U4067="",U4067="ERRO_CHAVE"),"",IFERROR(MATCH(U4067,Fornecedores!$AF$1:$AF$6631,0),""))</f>
        <v/>
      </c>
      <c r="W4067" t="str">
        <f t="shared" si="3"/>
        <v/>
      </c>
      <c r="X4067" s="4" t="str">
        <f>IF(V4067="","",INDEX(Fornecedores!$X$1:$X$6631,V4067))</f>
        <v/>
      </c>
      <c r="Y4067" s="4" t="str">
        <f t="shared" si="4"/>
        <v/>
      </c>
    </row>
    <row r="4068" spans="19:25">
      <c r="S4068" t="str">
        <f t="shared" si="0"/>
        <v/>
      </c>
      <c r="T4068" t="str">
        <f t="shared" si="1"/>
        <v/>
      </c>
      <c r="U4068" t="str">
        <f t="shared" si="2"/>
        <v/>
      </c>
      <c r="V4068" t="str">
        <f>IF(OR(U4068="",U4068="ERRO_CHAVE"),"",IFERROR(MATCH(U4068,Fornecedores!$AF$1:$AF$6631,0),""))</f>
        <v/>
      </c>
      <c r="W4068" t="str">
        <f t="shared" si="3"/>
        <v/>
      </c>
      <c r="X4068" s="4" t="str">
        <f>IF(V4068="","",INDEX(Fornecedores!$X$1:$X$6631,V4068))</f>
        <v/>
      </c>
      <c r="Y4068" s="4" t="str">
        <f t="shared" si="4"/>
        <v/>
      </c>
    </row>
    <row r="4069" spans="19:25">
      <c r="S4069" t="str">
        <f t="shared" si="0"/>
        <v/>
      </c>
      <c r="T4069" t="str">
        <f t="shared" si="1"/>
        <v/>
      </c>
      <c r="U4069" t="str">
        <f t="shared" si="2"/>
        <v/>
      </c>
      <c r="V4069" t="str">
        <f>IF(OR(U4069="",U4069="ERRO_CHAVE"),"",IFERROR(MATCH(U4069,Fornecedores!$AF$1:$AF$6631,0),""))</f>
        <v/>
      </c>
      <c r="W4069" t="str">
        <f t="shared" si="3"/>
        <v/>
      </c>
      <c r="X4069" s="4" t="str">
        <f>IF(V4069="","",INDEX(Fornecedores!$X$1:$X$6631,V4069))</f>
        <v/>
      </c>
      <c r="Y4069" s="4" t="str">
        <f t="shared" si="4"/>
        <v/>
      </c>
    </row>
    <row r="4070" spans="19:25">
      <c r="S4070" t="str">
        <f t="shared" si="0"/>
        <v/>
      </c>
      <c r="T4070" t="str">
        <f t="shared" si="1"/>
        <v/>
      </c>
      <c r="U4070" t="str">
        <f t="shared" si="2"/>
        <v/>
      </c>
      <c r="V4070" t="str">
        <f>IF(OR(U4070="",U4070="ERRO_CHAVE"),"",IFERROR(MATCH(U4070,Fornecedores!$AF$1:$AF$6631,0),""))</f>
        <v/>
      </c>
      <c r="W4070" t="str">
        <f t="shared" si="3"/>
        <v/>
      </c>
      <c r="X4070" s="4" t="str">
        <f>IF(V4070="","",INDEX(Fornecedores!$X$1:$X$6631,V4070))</f>
        <v/>
      </c>
      <c r="Y4070" s="4" t="str">
        <f t="shared" si="4"/>
        <v/>
      </c>
    </row>
    <row r="4071" spans="19:25">
      <c r="S4071" t="str">
        <f t="shared" si="0"/>
        <v/>
      </c>
      <c r="T4071" t="str">
        <f t="shared" si="1"/>
        <v/>
      </c>
      <c r="U4071" t="str">
        <f t="shared" si="2"/>
        <v/>
      </c>
      <c r="V4071" t="str">
        <f>IF(OR(U4071="",U4071="ERRO_CHAVE"),"",IFERROR(MATCH(U4071,Fornecedores!$AF$1:$AF$6631,0),""))</f>
        <v/>
      </c>
      <c r="W4071" t="str">
        <f t="shared" si="3"/>
        <v/>
      </c>
      <c r="X4071" s="4" t="str">
        <f>IF(V4071="","",INDEX(Fornecedores!$X$1:$X$6631,V4071))</f>
        <v/>
      </c>
      <c r="Y4071" s="4" t="str">
        <f t="shared" si="4"/>
        <v/>
      </c>
    </row>
    <row r="4072" spans="19:25">
      <c r="S4072" t="str">
        <f t="shared" si="0"/>
        <v/>
      </c>
      <c r="T4072" t="str">
        <f t="shared" si="1"/>
        <v/>
      </c>
      <c r="U4072" t="str">
        <f t="shared" si="2"/>
        <v/>
      </c>
      <c r="V4072" t="str">
        <f>IF(OR(U4072="",U4072="ERRO_CHAVE"),"",IFERROR(MATCH(U4072,Fornecedores!$AF$1:$AF$6631,0),""))</f>
        <v/>
      </c>
      <c r="W4072" t="str">
        <f t="shared" si="3"/>
        <v/>
      </c>
      <c r="X4072" s="4" t="str">
        <f>IF(V4072="","",INDEX(Fornecedores!$X$1:$X$6631,V4072))</f>
        <v/>
      </c>
      <c r="Y4072" s="4" t="str">
        <f t="shared" si="4"/>
        <v/>
      </c>
    </row>
    <row r="4073" spans="19:25">
      <c r="S4073" t="str">
        <f t="shared" si="0"/>
        <v/>
      </c>
      <c r="T4073" t="str">
        <f t="shared" si="1"/>
        <v/>
      </c>
      <c r="U4073" t="str">
        <f t="shared" si="2"/>
        <v/>
      </c>
      <c r="V4073" t="str">
        <f>IF(OR(U4073="",U4073="ERRO_CHAVE"),"",IFERROR(MATCH(U4073,Fornecedores!$AF$1:$AF$6631,0),""))</f>
        <v/>
      </c>
      <c r="W4073" t="str">
        <f t="shared" si="3"/>
        <v/>
      </c>
      <c r="X4073" s="4" t="str">
        <f>IF(V4073="","",INDEX(Fornecedores!$X$1:$X$6631,V4073))</f>
        <v/>
      </c>
      <c r="Y4073" s="4" t="str">
        <f t="shared" si="4"/>
        <v/>
      </c>
    </row>
    <row r="4074" spans="19:25">
      <c r="S4074" t="str">
        <f t="shared" si="0"/>
        <v/>
      </c>
      <c r="T4074" t="str">
        <f t="shared" si="1"/>
        <v/>
      </c>
      <c r="U4074" t="str">
        <f t="shared" si="2"/>
        <v/>
      </c>
      <c r="V4074" t="str">
        <f>IF(OR(U4074="",U4074="ERRO_CHAVE"),"",IFERROR(MATCH(U4074,Fornecedores!$AF$1:$AF$6631,0),""))</f>
        <v/>
      </c>
      <c r="W4074" t="str">
        <f t="shared" si="3"/>
        <v/>
      </c>
      <c r="X4074" s="4" t="str">
        <f>IF(V4074="","",INDEX(Fornecedores!$X$1:$X$6631,V4074))</f>
        <v/>
      </c>
      <c r="Y4074" s="4" t="str">
        <f t="shared" si="4"/>
        <v/>
      </c>
    </row>
    <row r="4075" spans="19:25">
      <c r="S4075" t="str">
        <f t="shared" si="0"/>
        <v/>
      </c>
      <c r="T4075" t="str">
        <f t="shared" si="1"/>
        <v/>
      </c>
      <c r="U4075" t="str">
        <f t="shared" si="2"/>
        <v/>
      </c>
      <c r="V4075" t="str">
        <f>IF(OR(U4075="",U4075="ERRO_CHAVE"),"",IFERROR(MATCH(U4075,Fornecedores!$AF$1:$AF$6631,0),""))</f>
        <v/>
      </c>
      <c r="W4075" t="str">
        <f t="shared" si="3"/>
        <v/>
      </c>
      <c r="X4075" s="4" t="str">
        <f>IF(V4075="","",INDEX(Fornecedores!$X$1:$X$6631,V4075))</f>
        <v/>
      </c>
      <c r="Y4075" s="4" t="str">
        <f t="shared" si="4"/>
        <v/>
      </c>
    </row>
    <row r="4076" spans="19:25">
      <c r="S4076" t="str">
        <f t="shared" si="0"/>
        <v/>
      </c>
      <c r="T4076" t="str">
        <f t="shared" si="1"/>
        <v/>
      </c>
      <c r="U4076" t="str">
        <f t="shared" si="2"/>
        <v/>
      </c>
      <c r="V4076" t="str">
        <f>IF(OR(U4076="",U4076="ERRO_CHAVE"),"",IFERROR(MATCH(U4076,Fornecedores!$AF$1:$AF$6631,0),""))</f>
        <v/>
      </c>
      <c r="W4076" t="str">
        <f t="shared" si="3"/>
        <v/>
      </c>
      <c r="X4076" s="4" t="str">
        <f>IF(V4076="","",INDEX(Fornecedores!$X$1:$X$6631,V4076))</f>
        <v/>
      </c>
      <c r="Y4076" s="4" t="str">
        <f t="shared" si="4"/>
        <v/>
      </c>
    </row>
    <row r="4077" spans="19:25">
      <c r="S4077" t="str">
        <f t="shared" si="0"/>
        <v/>
      </c>
      <c r="T4077" t="str">
        <f t="shared" si="1"/>
        <v/>
      </c>
      <c r="U4077" t="str">
        <f t="shared" si="2"/>
        <v/>
      </c>
      <c r="V4077" t="str">
        <f>IF(OR(U4077="",U4077="ERRO_CHAVE"),"",IFERROR(MATCH(U4077,Fornecedores!$AF$1:$AF$6631,0),""))</f>
        <v/>
      </c>
      <c r="W4077" t="str">
        <f t="shared" si="3"/>
        <v/>
      </c>
      <c r="X4077" s="4" t="str">
        <f>IF(V4077="","",INDEX(Fornecedores!$X$1:$X$6631,V4077))</f>
        <v/>
      </c>
      <c r="Y4077" s="4" t="str">
        <f t="shared" si="4"/>
        <v/>
      </c>
    </row>
    <row r="4078" spans="19:25">
      <c r="S4078" t="str">
        <f t="shared" si="0"/>
        <v/>
      </c>
      <c r="T4078" t="str">
        <f t="shared" si="1"/>
        <v/>
      </c>
      <c r="U4078" t="str">
        <f t="shared" si="2"/>
        <v/>
      </c>
      <c r="V4078" t="str">
        <f>IF(OR(U4078="",U4078="ERRO_CHAVE"),"",IFERROR(MATCH(U4078,Fornecedores!$AF$1:$AF$6631,0),""))</f>
        <v/>
      </c>
      <c r="W4078" t="str">
        <f t="shared" si="3"/>
        <v/>
      </c>
      <c r="X4078" s="4" t="str">
        <f>IF(V4078="","",INDEX(Fornecedores!$X$1:$X$6631,V4078))</f>
        <v/>
      </c>
      <c r="Y4078" s="4" t="str">
        <f t="shared" si="4"/>
        <v/>
      </c>
    </row>
    <row r="4079" spans="19:25">
      <c r="S4079" t="str">
        <f t="shared" si="0"/>
        <v/>
      </c>
      <c r="T4079" t="str">
        <f t="shared" si="1"/>
        <v/>
      </c>
      <c r="U4079" t="str">
        <f t="shared" si="2"/>
        <v/>
      </c>
      <c r="V4079" t="str">
        <f>IF(OR(U4079="",U4079="ERRO_CHAVE"),"",IFERROR(MATCH(U4079,Fornecedores!$AF$1:$AF$6631,0),""))</f>
        <v/>
      </c>
      <c r="W4079" t="str">
        <f t="shared" si="3"/>
        <v/>
      </c>
      <c r="X4079" s="4" t="str">
        <f>IF(V4079="","",INDEX(Fornecedores!$X$1:$X$6631,V4079))</f>
        <v/>
      </c>
      <c r="Y4079" s="4" t="str">
        <f t="shared" si="4"/>
        <v/>
      </c>
    </row>
    <row r="4080" spans="19:25">
      <c r="S4080" t="str">
        <f t="shared" si="0"/>
        <v/>
      </c>
      <c r="T4080" t="str">
        <f t="shared" si="1"/>
        <v/>
      </c>
      <c r="U4080" t="str">
        <f t="shared" si="2"/>
        <v/>
      </c>
      <c r="V4080" t="str">
        <f>IF(OR(U4080="",U4080="ERRO_CHAVE"),"",IFERROR(MATCH(U4080,Fornecedores!$AF$1:$AF$6631,0),""))</f>
        <v/>
      </c>
      <c r="W4080" t="str">
        <f t="shared" si="3"/>
        <v/>
      </c>
      <c r="X4080" s="4" t="str">
        <f>IF(V4080="","",INDEX(Fornecedores!$X$1:$X$6631,V4080))</f>
        <v/>
      </c>
      <c r="Y4080" s="4" t="str">
        <f t="shared" si="4"/>
        <v/>
      </c>
    </row>
    <row r="4081" spans="19:25">
      <c r="S4081" t="str">
        <f t="shared" si="0"/>
        <v/>
      </c>
      <c r="T4081" t="str">
        <f t="shared" si="1"/>
        <v/>
      </c>
      <c r="U4081" t="str">
        <f t="shared" si="2"/>
        <v/>
      </c>
      <c r="V4081" t="str">
        <f>IF(OR(U4081="",U4081="ERRO_CHAVE"),"",IFERROR(MATCH(U4081,Fornecedores!$AF$1:$AF$6631,0),""))</f>
        <v/>
      </c>
      <c r="W4081" t="str">
        <f t="shared" si="3"/>
        <v/>
      </c>
      <c r="X4081" s="4" t="str">
        <f>IF(V4081="","",INDEX(Fornecedores!$X$1:$X$6631,V4081))</f>
        <v/>
      </c>
      <c r="Y4081" s="4" t="str">
        <f t="shared" si="4"/>
        <v/>
      </c>
    </row>
    <row r="4082" spans="19:25">
      <c r="S4082" t="str">
        <f t="shared" si="0"/>
        <v/>
      </c>
      <c r="T4082" t="str">
        <f t="shared" si="1"/>
        <v/>
      </c>
      <c r="U4082" t="str">
        <f t="shared" si="2"/>
        <v/>
      </c>
      <c r="V4082" t="str">
        <f>IF(OR(U4082="",U4082="ERRO_CHAVE"),"",IFERROR(MATCH(U4082,Fornecedores!$AF$1:$AF$6631,0),""))</f>
        <v/>
      </c>
      <c r="W4082" t="str">
        <f t="shared" si="3"/>
        <v/>
      </c>
      <c r="X4082" s="4" t="str">
        <f>IF(V4082="","",INDEX(Fornecedores!$X$1:$X$6631,V4082))</f>
        <v/>
      </c>
      <c r="Y4082" s="4" t="str">
        <f t="shared" si="4"/>
        <v/>
      </c>
    </row>
    <row r="4083" spans="19:25">
      <c r="S4083" t="str">
        <f t="shared" si="0"/>
        <v/>
      </c>
      <c r="T4083" t="str">
        <f t="shared" si="1"/>
        <v/>
      </c>
      <c r="U4083" t="str">
        <f t="shared" si="2"/>
        <v/>
      </c>
      <c r="V4083" t="str">
        <f>IF(OR(U4083="",U4083="ERRO_CHAVE"),"",IFERROR(MATCH(U4083,Fornecedores!$AF$1:$AF$6631,0),""))</f>
        <v/>
      </c>
      <c r="W4083" t="str">
        <f t="shared" si="3"/>
        <v/>
      </c>
      <c r="X4083" s="4" t="str">
        <f>IF(V4083="","",INDEX(Fornecedores!$X$1:$X$6631,V4083))</f>
        <v/>
      </c>
      <c r="Y4083" s="4" t="str">
        <f t="shared" si="4"/>
        <v/>
      </c>
    </row>
    <row r="4084" spans="19:25">
      <c r="S4084" t="str">
        <f t="shared" si="0"/>
        <v/>
      </c>
      <c r="T4084" t="str">
        <f t="shared" si="1"/>
        <v/>
      </c>
      <c r="U4084" t="str">
        <f t="shared" si="2"/>
        <v/>
      </c>
      <c r="V4084" t="str">
        <f>IF(OR(U4084="",U4084="ERRO_CHAVE"),"",IFERROR(MATCH(U4084,Fornecedores!$AF$1:$AF$6631,0),""))</f>
        <v/>
      </c>
      <c r="W4084" t="str">
        <f t="shared" si="3"/>
        <v/>
      </c>
      <c r="X4084" s="4" t="str">
        <f>IF(V4084="","",INDEX(Fornecedores!$X$1:$X$6631,V4084))</f>
        <v/>
      </c>
      <c r="Y4084" s="4" t="str">
        <f t="shared" si="4"/>
        <v/>
      </c>
    </row>
    <row r="4085" spans="19:25">
      <c r="S4085" t="str">
        <f t="shared" si="0"/>
        <v/>
      </c>
      <c r="T4085" t="str">
        <f t="shared" si="1"/>
        <v/>
      </c>
      <c r="U4085" t="str">
        <f t="shared" si="2"/>
        <v/>
      </c>
      <c r="V4085" t="str">
        <f>IF(OR(U4085="",U4085="ERRO_CHAVE"),"",IFERROR(MATCH(U4085,Fornecedores!$AF$1:$AF$6631,0),""))</f>
        <v/>
      </c>
      <c r="W4085" t="str">
        <f t="shared" si="3"/>
        <v/>
      </c>
      <c r="X4085" s="4" t="str">
        <f>IF(V4085="","",INDEX(Fornecedores!$X$1:$X$6631,V4085))</f>
        <v/>
      </c>
      <c r="Y4085" s="4" t="str">
        <f t="shared" si="4"/>
        <v/>
      </c>
    </row>
    <row r="4086" spans="19:25">
      <c r="S4086" t="str">
        <f t="shared" si="0"/>
        <v/>
      </c>
      <c r="T4086" t="str">
        <f t="shared" si="1"/>
        <v/>
      </c>
      <c r="U4086" t="str">
        <f t="shared" si="2"/>
        <v/>
      </c>
      <c r="V4086" t="str">
        <f>IF(OR(U4086="",U4086="ERRO_CHAVE"),"",IFERROR(MATCH(U4086,Fornecedores!$AF$1:$AF$6631,0),""))</f>
        <v/>
      </c>
      <c r="W4086" t="str">
        <f t="shared" si="3"/>
        <v/>
      </c>
      <c r="X4086" s="4" t="str">
        <f>IF(V4086="","",INDEX(Fornecedores!$X$1:$X$6631,V4086))</f>
        <v/>
      </c>
      <c r="Y4086" s="4" t="str">
        <f t="shared" si="4"/>
        <v/>
      </c>
    </row>
    <row r="4087" spans="19:25">
      <c r="S4087" t="str">
        <f t="shared" si="0"/>
        <v/>
      </c>
      <c r="T4087" t="str">
        <f t="shared" si="1"/>
        <v/>
      </c>
      <c r="U4087" t="str">
        <f t="shared" si="2"/>
        <v/>
      </c>
      <c r="V4087" t="str">
        <f>IF(OR(U4087="",U4087="ERRO_CHAVE"),"",IFERROR(MATCH(U4087,Fornecedores!$AF$1:$AF$6631,0),""))</f>
        <v/>
      </c>
      <c r="W4087" t="str">
        <f t="shared" si="3"/>
        <v/>
      </c>
      <c r="X4087" s="4" t="str">
        <f>IF(V4087="","",INDEX(Fornecedores!$X$1:$X$6631,V4087))</f>
        <v/>
      </c>
      <c r="Y4087" s="4" t="str">
        <f t="shared" si="4"/>
        <v/>
      </c>
    </row>
    <row r="4088" spans="19:25">
      <c r="S4088" t="str">
        <f t="shared" si="0"/>
        <v/>
      </c>
      <c r="T4088" t="str">
        <f t="shared" si="1"/>
        <v/>
      </c>
      <c r="U4088" t="str">
        <f t="shared" si="2"/>
        <v/>
      </c>
      <c r="V4088" t="str">
        <f>IF(OR(U4088="",U4088="ERRO_CHAVE"),"",IFERROR(MATCH(U4088,Fornecedores!$AF$1:$AF$6631,0),""))</f>
        <v/>
      </c>
      <c r="W4088" t="str">
        <f t="shared" si="3"/>
        <v/>
      </c>
      <c r="X4088" s="4" t="str">
        <f>IF(V4088="","",INDEX(Fornecedores!$X$1:$X$6631,V4088))</f>
        <v/>
      </c>
      <c r="Y4088" s="4" t="str">
        <f t="shared" si="4"/>
        <v/>
      </c>
    </row>
    <row r="4089" spans="19:25">
      <c r="S4089" t="str">
        <f t="shared" si="0"/>
        <v/>
      </c>
      <c r="T4089" t="str">
        <f t="shared" si="1"/>
        <v/>
      </c>
      <c r="U4089" t="str">
        <f t="shared" si="2"/>
        <v/>
      </c>
      <c r="V4089" t="str">
        <f>IF(OR(U4089="",U4089="ERRO_CHAVE"),"",IFERROR(MATCH(U4089,Fornecedores!$AF$1:$AF$6631,0),""))</f>
        <v/>
      </c>
      <c r="W4089" t="str">
        <f t="shared" si="3"/>
        <v/>
      </c>
      <c r="X4089" s="4" t="str">
        <f>IF(V4089="","",INDEX(Fornecedores!$X$1:$X$6631,V4089))</f>
        <v/>
      </c>
      <c r="Y4089" s="4" t="str">
        <f t="shared" si="4"/>
        <v/>
      </c>
    </row>
    <row r="4090" spans="19:25">
      <c r="S4090" t="str">
        <f t="shared" si="0"/>
        <v/>
      </c>
      <c r="T4090" t="str">
        <f t="shared" si="1"/>
        <v/>
      </c>
      <c r="U4090" t="str">
        <f t="shared" si="2"/>
        <v/>
      </c>
      <c r="V4090" t="str">
        <f>IF(OR(U4090="",U4090="ERRO_CHAVE"),"",IFERROR(MATCH(U4090,Fornecedores!$AF$1:$AF$6631,0),""))</f>
        <v/>
      </c>
      <c r="W4090" t="str">
        <f t="shared" si="3"/>
        <v/>
      </c>
      <c r="X4090" s="4" t="str">
        <f>IF(V4090="","",INDEX(Fornecedores!$X$1:$X$6631,V4090))</f>
        <v/>
      </c>
      <c r="Y4090" s="4" t="str">
        <f t="shared" si="4"/>
        <v/>
      </c>
    </row>
    <row r="4091" spans="19:25">
      <c r="S4091" t="str">
        <f t="shared" si="0"/>
        <v/>
      </c>
      <c r="T4091" t="str">
        <f t="shared" si="1"/>
        <v/>
      </c>
      <c r="U4091" t="str">
        <f t="shared" si="2"/>
        <v/>
      </c>
      <c r="V4091" t="str">
        <f>IF(OR(U4091="",U4091="ERRO_CHAVE"),"",IFERROR(MATCH(U4091,Fornecedores!$AF$1:$AF$6631,0),""))</f>
        <v/>
      </c>
      <c r="W4091" t="str">
        <f t="shared" si="3"/>
        <v/>
      </c>
      <c r="X4091" s="4" t="str">
        <f>IF(V4091="","",INDEX(Fornecedores!$X$1:$X$6631,V4091))</f>
        <v/>
      </c>
      <c r="Y4091" s="4" t="str">
        <f t="shared" si="4"/>
        <v/>
      </c>
    </row>
    <row r="4092" spans="19:25">
      <c r="S4092" t="str">
        <f t="shared" si="0"/>
        <v/>
      </c>
      <c r="T4092" t="str">
        <f t="shared" si="1"/>
        <v/>
      </c>
      <c r="U4092" t="str">
        <f t="shared" si="2"/>
        <v/>
      </c>
      <c r="V4092" t="str">
        <f>IF(OR(U4092="",U4092="ERRO_CHAVE"),"",IFERROR(MATCH(U4092,Fornecedores!$AF$1:$AF$6631,0),""))</f>
        <v/>
      </c>
      <c r="W4092" t="str">
        <f t="shared" si="3"/>
        <v/>
      </c>
      <c r="X4092" s="4" t="str">
        <f>IF(V4092="","",INDEX(Fornecedores!$X$1:$X$6631,V4092))</f>
        <v/>
      </c>
      <c r="Y4092" s="4" t="str">
        <f t="shared" si="4"/>
        <v/>
      </c>
    </row>
    <row r="4093" spans="19:25">
      <c r="S4093" t="str">
        <f t="shared" si="0"/>
        <v/>
      </c>
      <c r="T4093" t="str">
        <f t="shared" si="1"/>
        <v/>
      </c>
      <c r="U4093" t="str">
        <f t="shared" si="2"/>
        <v/>
      </c>
      <c r="V4093" t="str">
        <f>IF(OR(U4093="",U4093="ERRO_CHAVE"),"",IFERROR(MATCH(U4093,Fornecedores!$AF$1:$AF$6631,0),""))</f>
        <v/>
      </c>
      <c r="W4093" t="str">
        <f t="shared" si="3"/>
        <v/>
      </c>
      <c r="X4093" s="4" t="str">
        <f>IF(V4093="","",INDEX(Fornecedores!$X$1:$X$6631,V4093))</f>
        <v/>
      </c>
      <c r="Y4093" s="4" t="str">
        <f t="shared" si="4"/>
        <v/>
      </c>
    </row>
    <row r="4094" spans="19:25">
      <c r="S4094" t="str">
        <f t="shared" si="0"/>
        <v/>
      </c>
      <c r="T4094" t="str">
        <f t="shared" si="1"/>
        <v/>
      </c>
      <c r="U4094" t="str">
        <f t="shared" si="2"/>
        <v/>
      </c>
      <c r="V4094" t="str">
        <f>IF(OR(U4094="",U4094="ERRO_CHAVE"),"",IFERROR(MATCH(U4094,Fornecedores!$AF$1:$AF$6631,0),""))</f>
        <v/>
      </c>
      <c r="W4094" t="str">
        <f t="shared" si="3"/>
        <v/>
      </c>
      <c r="X4094" s="4" t="str">
        <f>IF(V4094="","",INDEX(Fornecedores!$X$1:$X$6631,V4094))</f>
        <v/>
      </c>
      <c r="Y4094" s="4" t="str">
        <f t="shared" si="4"/>
        <v/>
      </c>
    </row>
    <row r="4095" spans="19:25">
      <c r="S4095" t="str">
        <f t="shared" si="0"/>
        <v/>
      </c>
      <c r="T4095" t="str">
        <f t="shared" si="1"/>
        <v/>
      </c>
      <c r="U4095" t="str">
        <f t="shared" si="2"/>
        <v/>
      </c>
      <c r="V4095" t="str">
        <f>IF(OR(U4095="",U4095="ERRO_CHAVE"),"",IFERROR(MATCH(U4095,Fornecedores!$AF$1:$AF$6631,0),""))</f>
        <v/>
      </c>
      <c r="W4095" t="str">
        <f t="shared" si="3"/>
        <v/>
      </c>
      <c r="X4095" s="4" t="str">
        <f>IF(V4095="","",INDEX(Fornecedores!$X$1:$X$6631,V4095))</f>
        <v/>
      </c>
      <c r="Y4095" s="4" t="str">
        <f t="shared" si="4"/>
        <v/>
      </c>
    </row>
    <row r="4096" spans="19:25">
      <c r="S4096" t="str">
        <f t="shared" si="0"/>
        <v/>
      </c>
      <c r="T4096" t="str">
        <f t="shared" si="1"/>
        <v/>
      </c>
      <c r="U4096" t="str">
        <f t="shared" si="2"/>
        <v/>
      </c>
      <c r="V4096" t="str">
        <f>IF(OR(U4096="",U4096="ERRO_CHAVE"),"",IFERROR(MATCH(U4096,Fornecedores!$AF$1:$AF$6631,0),""))</f>
        <v/>
      </c>
      <c r="W4096" t="str">
        <f t="shared" si="3"/>
        <v/>
      </c>
      <c r="X4096" s="4" t="str">
        <f>IF(V4096="","",INDEX(Fornecedores!$X$1:$X$6631,V4096))</f>
        <v/>
      </c>
      <c r="Y4096" s="4" t="str">
        <f t="shared" si="4"/>
        <v/>
      </c>
    </row>
    <row r="4097" spans="19:25">
      <c r="S4097" t="str">
        <f t="shared" si="0"/>
        <v/>
      </c>
      <c r="T4097" t="str">
        <f t="shared" si="1"/>
        <v/>
      </c>
      <c r="U4097" t="str">
        <f t="shared" si="2"/>
        <v/>
      </c>
      <c r="V4097" t="str">
        <f>IF(OR(U4097="",U4097="ERRO_CHAVE"),"",IFERROR(MATCH(U4097,Fornecedores!$AF$1:$AF$6631,0),""))</f>
        <v/>
      </c>
      <c r="W4097" t="str">
        <f t="shared" si="3"/>
        <v/>
      </c>
      <c r="X4097" s="4" t="str">
        <f>IF(V4097="","",INDEX(Fornecedores!$X$1:$X$6631,V4097))</f>
        <v/>
      </c>
      <c r="Y4097" s="4" t="str">
        <f t="shared" si="4"/>
        <v/>
      </c>
    </row>
    <row r="4098" spans="19:25">
      <c r="S4098" t="str">
        <f t="shared" si="0"/>
        <v/>
      </c>
      <c r="T4098" t="str">
        <f t="shared" si="1"/>
        <v/>
      </c>
      <c r="U4098" t="str">
        <f t="shared" si="2"/>
        <v/>
      </c>
      <c r="V4098" t="str">
        <f>IF(OR(U4098="",U4098="ERRO_CHAVE"),"",IFERROR(MATCH(U4098,Fornecedores!$AF$1:$AF$6631,0),""))</f>
        <v/>
      </c>
      <c r="W4098" t="str">
        <f t="shared" si="3"/>
        <v/>
      </c>
      <c r="X4098" s="4" t="str">
        <f>IF(V4098="","",INDEX(Fornecedores!$X$1:$X$6631,V4098))</f>
        <v/>
      </c>
      <c r="Y4098" s="4" t="str">
        <f t="shared" si="4"/>
        <v/>
      </c>
    </row>
    <row r="4099" spans="19:25">
      <c r="S4099" t="str">
        <f t="shared" si="0"/>
        <v/>
      </c>
      <c r="T4099" t="str">
        <f t="shared" si="1"/>
        <v/>
      </c>
      <c r="U4099" t="str">
        <f t="shared" si="2"/>
        <v/>
      </c>
      <c r="V4099" t="str">
        <f>IF(OR(U4099="",U4099="ERRO_CHAVE"),"",IFERROR(MATCH(U4099,Fornecedores!$AF$1:$AF$6631,0),""))</f>
        <v/>
      </c>
      <c r="W4099" t="str">
        <f t="shared" si="3"/>
        <v/>
      </c>
      <c r="X4099" s="4" t="str">
        <f>IF(V4099="","",INDEX(Fornecedores!$X$1:$X$6631,V4099))</f>
        <v/>
      </c>
      <c r="Y4099" s="4" t="str">
        <f t="shared" si="4"/>
        <v/>
      </c>
    </row>
    <row r="4100" spans="19:25">
      <c r="S4100" t="str">
        <f t="shared" si="0"/>
        <v/>
      </c>
      <c r="T4100" t="str">
        <f t="shared" si="1"/>
        <v/>
      </c>
      <c r="U4100" t="str">
        <f t="shared" si="2"/>
        <v/>
      </c>
      <c r="V4100" t="str">
        <f>IF(OR(U4100="",U4100="ERRO_CHAVE"),"",IFERROR(MATCH(U4100,Fornecedores!$AF$1:$AF$6631,0),""))</f>
        <v/>
      </c>
      <c r="W4100" t="str">
        <f t="shared" si="3"/>
        <v/>
      </c>
      <c r="X4100" s="4" t="str">
        <f>IF(V4100="","",INDEX(Fornecedores!$X$1:$X$6631,V4100))</f>
        <v/>
      </c>
      <c r="Y4100" s="4" t="str">
        <f t="shared" si="4"/>
        <v/>
      </c>
    </row>
    <row r="4101" spans="19:25">
      <c r="S4101" t="str">
        <f t="shared" si="0"/>
        <v/>
      </c>
      <c r="T4101" t="str">
        <f t="shared" si="1"/>
        <v/>
      </c>
      <c r="U4101" t="str">
        <f t="shared" si="2"/>
        <v/>
      </c>
      <c r="V4101" t="str">
        <f>IF(OR(U4101="",U4101="ERRO_CHAVE"),"",IFERROR(MATCH(U4101,Fornecedores!$AF$1:$AF$6631,0),""))</f>
        <v/>
      </c>
      <c r="W4101" t="str">
        <f t="shared" si="3"/>
        <v/>
      </c>
      <c r="X4101" s="4" t="str">
        <f>IF(V4101="","",INDEX(Fornecedores!$X$1:$X$6631,V4101))</f>
        <v/>
      </c>
      <c r="Y4101" s="4" t="str">
        <f t="shared" si="4"/>
        <v/>
      </c>
    </row>
    <row r="4102" spans="19:25">
      <c r="S4102" t="str">
        <f t="shared" si="0"/>
        <v/>
      </c>
      <c r="T4102" t="str">
        <f t="shared" si="1"/>
        <v/>
      </c>
      <c r="U4102" t="str">
        <f t="shared" si="2"/>
        <v/>
      </c>
      <c r="V4102" t="str">
        <f>IF(OR(U4102="",U4102="ERRO_CHAVE"),"",IFERROR(MATCH(U4102,Fornecedores!$AF$1:$AF$6631,0),""))</f>
        <v/>
      </c>
      <c r="W4102" t="str">
        <f t="shared" si="3"/>
        <v/>
      </c>
      <c r="X4102" s="4" t="str">
        <f>IF(V4102="","",INDEX(Fornecedores!$X$1:$X$6631,V4102))</f>
        <v/>
      </c>
      <c r="Y4102" s="4" t="str">
        <f t="shared" si="4"/>
        <v/>
      </c>
    </row>
    <row r="4103" spans="19:25">
      <c r="S4103" t="str">
        <f t="shared" si="0"/>
        <v/>
      </c>
      <c r="T4103" t="str">
        <f t="shared" si="1"/>
        <v/>
      </c>
      <c r="U4103" t="str">
        <f t="shared" si="2"/>
        <v/>
      </c>
      <c r="V4103" t="str">
        <f>IF(OR(U4103="",U4103="ERRO_CHAVE"),"",IFERROR(MATCH(U4103,Fornecedores!$AF$1:$AF$6631,0),""))</f>
        <v/>
      </c>
      <c r="W4103" t="str">
        <f t="shared" si="3"/>
        <v/>
      </c>
      <c r="X4103" s="4" t="str">
        <f>IF(V4103="","",INDEX(Fornecedores!$X$1:$X$6631,V4103))</f>
        <v/>
      </c>
      <c r="Y4103" s="4" t="str">
        <f t="shared" si="4"/>
        <v/>
      </c>
    </row>
    <row r="4104" spans="19:25">
      <c r="S4104" t="str">
        <f t="shared" si="0"/>
        <v/>
      </c>
      <c r="T4104" t="str">
        <f t="shared" si="1"/>
        <v/>
      </c>
      <c r="U4104" t="str">
        <f t="shared" si="2"/>
        <v/>
      </c>
      <c r="V4104" t="str">
        <f>IF(OR(U4104="",U4104="ERRO_CHAVE"),"",IFERROR(MATCH(U4104,Fornecedores!$AF$1:$AF$6631,0),""))</f>
        <v/>
      </c>
      <c r="W4104" t="str">
        <f t="shared" si="3"/>
        <v/>
      </c>
      <c r="X4104" s="4" t="str">
        <f>IF(V4104="","",INDEX(Fornecedores!$X$1:$X$6631,V4104))</f>
        <v/>
      </c>
      <c r="Y4104" s="4" t="str">
        <f t="shared" si="4"/>
        <v/>
      </c>
    </row>
    <row r="4105" spans="19:25">
      <c r="S4105" t="str">
        <f t="shared" si="0"/>
        <v/>
      </c>
      <c r="T4105" t="str">
        <f t="shared" si="1"/>
        <v/>
      </c>
      <c r="U4105" t="str">
        <f t="shared" si="2"/>
        <v/>
      </c>
      <c r="V4105" t="str">
        <f>IF(OR(U4105="",U4105="ERRO_CHAVE"),"",IFERROR(MATCH(U4105,Fornecedores!$AF$1:$AF$6631,0),""))</f>
        <v/>
      </c>
      <c r="W4105" t="str">
        <f t="shared" si="3"/>
        <v/>
      </c>
      <c r="X4105" s="4" t="str">
        <f>IF(V4105="","",INDEX(Fornecedores!$X$1:$X$6631,V4105))</f>
        <v/>
      </c>
      <c r="Y4105" s="4" t="str">
        <f t="shared" si="4"/>
        <v/>
      </c>
    </row>
    <row r="4106" spans="19:25">
      <c r="S4106" t="str">
        <f t="shared" si="0"/>
        <v/>
      </c>
      <c r="T4106" t="str">
        <f t="shared" si="1"/>
        <v/>
      </c>
      <c r="U4106" t="str">
        <f t="shared" si="2"/>
        <v/>
      </c>
      <c r="V4106" t="str">
        <f>IF(OR(U4106="",U4106="ERRO_CHAVE"),"",IFERROR(MATCH(U4106,Fornecedores!$AF$1:$AF$6631,0),""))</f>
        <v/>
      </c>
      <c r="W4106" t="str">
        <f t="shared" si="3"/>
        <v/>
      </c>
      <c r="X4106" s="4" t="str">
        <f>IF(V4106="","",INDEX(Fornecedores!$X$1:$X$6631,V4106))</f>
        <v/>
      </c>
      <c r="Y4106" s="4" t="str">
        <f t="shared" si="4"/>
        <v/>
      </c>
    </row>
    <row r="4107" spans="19:25">
      <c r="S4107" t="str">
        <f t="shared" si="0"/>
        <v/>
      </c>
      <c r="T4107" t="str">
        <f t="shared" si="1"/>
        <v/>
      </c>
      <c r="U4107" t="str">
        <f t="shared" si="2"/>
        <v/>
      </c>
      <c r="V4107" t="str">
        <f>IF(OR(U4107="",U4107="ERRO_CHAVE"),"",IFERROR(MATCH(U4107,Fornecedores!$AF$1:$AF$6631,0),""))</f>
        <v/>
      </c>
      <c r="W4107" t="str">
        <f t="shared" si="3"/>
        <v/>
      </c>
      <c r="X4107" s="4" t="str">
        <f>IF(V4107="","",INDEX(Fornecedores!$X$1:$X$6631,V4107))</f>
        <v/>
      </c>
      <c r="Y4107" s="4" t="str">
        <f t="shared" si="4"/>
        <v/>
      </c>
    </row>
    <row r="4108" spans="19:25">
      <c r="S4108" t="str">
        <f t="shared" si="0"/>
        <v/>
      </c>
      <c r="T4108" t="str">
        <f t="shared" si="1"/>
        <v/>
      </c>
      <c r="U4108" t="str">
        <f t="shared" si="2"/>
        <v/>
      </c>
      <c r="V4108" t="str">
        <f>IF(OR(U4108="",U4108="ERRO_CHAVE"),"",IFERROR(MATCH(U4108,Fornecedores!$AF$1:$AF$6631,0),""))</f>
        <v/>
      </c>
      <c r="W4108" t="str">
        <f t="shared" si="3"/>
        <v/>
      </c>
      <c r="X4108" s="4" t="str">
        <f>IF(V4108="","",INDEX(Fornecedores!$X$1:$X$6631,V4108))</f>
        <v/>
      </c>
      <c r="Y4108" s="4" t="str">
        <f t="shared" si="4"/>
        <v/>
      </c>
    </row>
    <row r="4109" spans="19:25">
      <c r="S4109" t="str">
        <f t="shared" si="0"/>
        <v/>
      </c>
      <c r="T4109" t="str">
        <f t="shared" si="1"/>
        <v/>
      </c>
      <c r="U4109" t="str">
        <f t="shared" si="2"/>
        <v/>
      </c>
      <c r="V4109" t="str">
        <f>IF(OR(U4109="",U4109="ERRO_CHAVE"),"",IFERROR(MATCH(U4109,Fornecedores!$AF$1:$AF$6631,0),""))</f>
        <v/>
      </c>
      <c r="W4109" t="str">
        <f t="shared" si="3"/>
        <v/>
      </c>
      <c r="X4109" s="4" t="str">
        <f>IF(V4109="","",INDEX(Fornecedores!$X$1:$X$6631,V4109))</f>
        <v/>
      </c>
      <c r="Y4109" s="4" t="str">
        <f t="shared" si="4"/>
        <v/>
      </c>
    </row>
    <row r="4110" spans="19:25">
      <c r="S4110" t="str">
        <f t="shared" si="0"/>
        <v/>
      </c>
      <c r="T4110" t="str">
        <f t="shared" si="1"/>
        <v/>
      </c>
      <c r="U4110" t="str">
        <f t="shared" si="2"/>
        <v/>
      </c>
      <c r="V4110" t="str">
        <f>IF(OR(U4110="",U4110="ERRO_CHAVE"),"",IFERROR(MATCH(U4110,Fornecedores!$AF$1:$AF$6631,0),""))</f>
        <v/>
      </c>
      <c r="W4110" t="str">
        <f t="shared" si="3"/>
        <v/>
      </c>
      <c r="X4110" s="4" t="str">
        <f>IF(V4110="","",INDEX(Fornecedores!$X$1:$X$6631,V4110))</f>
        <v/>
      </c>
      <c r="Y4110" s="4" t="str">
        <f t="shared" si="4"/>
        <v/>
      </c>
    </row>
    <row r="4111" spans="19:25">
      <c r="S4111" t="str">
        <f t="shared" si="0"/>
        <v/>
      </c>
      <c r="T4111" t="str">
        <f t="shared" si="1"/>
        <v/>
      </c>
      <c r="U4111" t="str">
        <f t="shared" si="2"/>
        <v/>
      </c>
      <c r="V4111" t="str">
        <f>IF(OR(U4111="",U4111="ERRO_CHAVE"),"",IFERROR(MATCH(U4111,Fornecedores!$AF$1:$AF$6631,0),""))</f>
        <v/>
      </c>
      <c r="W4111" t="str">
        <f t="shared" si="3"/>
        <v/>
      </c>
      <c r="X4111" s="4" t="str">
        <f>IF(V4111="","",INDEX(Fornecedores!$X$1:$X$6631,V4111))</f>
        <v/>
      </c>
      <c r="Y4111" s="4" t="str">
        <f t="shared" si="4"/>
        <v/>
      </c>
    </row>
    <row r="4112" spans="19:25">
      <c r="S4112" t="str">
        <f t="shared" si="0"/>
        <v/>
      </c>
      <c r="T4112" t="str">
        <f t="shared" si="1"/>
        <v/>
      </c>
      <c r="U4112" t="str">
        <f t="shared" si="2"/>
        <v/>
      </c>
      <c r="V4112" t="str">
        <f>IF(OR(U4112="",U4112="ERRO_CHAVE"),"",IFERROR(MATCH(U4112,Fornecedores!$AF$1:$AF$6631,0),""))</f>
        <v/>
      </c>
      <c r="W4112" t="str">
        <f t="shared" si="3"/>
        <v/>
      </c>
      <c r="X4112" s="4" t="str">
        <f>IF(V4112="","",INDEX(Fornecedores!$X$1:$X$6631,V4112))</f>
        <v/>
      </c>
      <c r="Y4112" s="4" t="str">
        <f t="shared" si="4"/>
        <v/>
      </c>
    </row>
    <row r="4113" spans="19:25">
      <c r="S4113" t="str">
        <f t="shared" si="0"/>
        <v/>
      </c>
      <c r="T4113" t="str">
        <f t="shared" si="1"/>
        <v/>
      </c>
      <c r="U4113" t="str">
        <f t="shared" si="2"/>
        <v/>
      </c>
      <c r="V4113" t="str">
        <f>IF(OR(U4113="",U4113="ERRO_CHAVE"),"",IFERROR(MATCH(U4113,Fornecedores!$AF$1:$AF$6631,0),""))</f>
        <v/>
      </c>
      <c r="W4113" t="str">
        <f t="shared" si="3"/>
        <v/>
      </c>
      <c r="X4113" s="4" t="str">
        <f>IF(V4113="","",INDEX(Fornecedores!$X$1:$X$6631,V4113))</f>
        <v/>
      </c>
      <c r="Y4113" s="4" t="str">
        <f t="shared" si="4"/>
        <v/>
      </c>
    </row>
    <row r="4114" spans="19:25">
      <c r="S4114" t="str">
        <f t="shared" si="0"/>
        <v/>
      </c>
      <c r="T4114" t="str">
        <f t="shared" si="1"/>
        <v/>
      </c>
      <c r="U4114" t="str">
        <f t="shared" si="2"/>
        <v/>
      </c>
      <c r="V4114" t="str">
        <f>IF(OR(U4114="",U4114="ERRO_CHAVE"),"",IFERROR(MATCH(U4114,Fornecedores!$AF$1:$AF$6631,0),""))</f>
        <v/>
      </c>
      <c r="W4114" t="str">
        <f t="shared" si="3"/>
        <v/>
      </c>
      <c r="X4114" s="4" t="str">
        <f>IF(V4114="","",INDEX(Fornecedores!$X$1:$X$6631,V4114))</f>
        <v/>
      </c>
      <c r="Y4114" s="4" t="str">
        <f t="shared" si="4"/>
        <v/>
      </c>
    </row>
    <row r="4115" spans="19:25">
      <c r="S4115" t="str">
        <f t="shared" si="0"/>
        <v/>
      </c>
      <c r="T4115" t="str">
        <f t="shared" si="1"/>
        <v/>
      </c>
      <c r="U4115" t="str">
        <f t="shared" si="2"/>
        <v/>
      </c>
      <c r="V4115" t="str">
        <f>IF(OR(U4115="",U4115="ERRO_CHAVE"),"",IFERROR(MATCH(U4115,Fornecedores!$AF$1:$AF$6631,0),""))</f>
        <v/>
      </c>
      <c r="W4115" t="str">
        <f t="shared" si="3"/>
        <v/>
      </c>
      <c r="X4115" s="4" t="str">
        <f>IF(V4115="","",INDEX(Fornecedores!$X$1:$X$6631,V4115))</f>
        <v/>
      </c>
      <c r="Y4115" s="4" t="str">
        <f t="shared" si="4"/>
        <v/>
      </c>
    </row>
    <row r="4116" spans="19:25">
      <c r="S4116" t="str">
        <f t="shared" si="0"/>
        <v/>
      </c>
      <c r="T4116" t="str">
        <f t="shared" si="1"/>
        <v/>
      </c>
      <c r="U4116" t="str">
        <f t="shared" si="2"/>
        <v/>
      </c>
      <c r="V4116" t="str">
        <f>IF(OR(U4116="",U4116="ERRO_CHAVE"),"",IFERROR(MATCH(U4116,Fornecedores!$AF$1:$AF$6631,0),""))</f>
        <v/>
      </c>
      <c r="W4116" t="str">
        <f t="shared" si="3"/>
        <v/>
      </c>
      <c r="X4116" s="4" t="str">
        <f>IF(V4116="","",INDEX(Fornecedores!$X$1:$X$6631,V4116))</f>
        <v/>
      </c>
      <c r="Y4116" s="4" t="str">
        <f t="shared" si="4"/>
        <v/>
      </c>
    </row>
    <row r="4117" spans="19:25">
      <c r="S4117" t="str">
        <f t="shared" si="0"/>
        <v/>
      </c>
      <c r="T4117" t="str">
        <f t="shared" si="1"/>
        <v/>
      </c>
      <c r="U4117" t="str">
        <f t="shared" si="2"/>
        <v/>
      </c>
      <c r="V4117" t="str">
        <f>IF(OR(U4117="",U4117="ERRO_CHAVE"),"",IFERROR(MATCH(U4117,Fornecedores!$AF$1:$AF$6631,0),""))</f>
        <v/>
      </c>
      <c r="W4117" t="str">
        <f t="shared" si="3"/>
        <v/>
      </c>
      <c r="X4117" s="4" t="str">
        <f>IF(V4117="","",INDEX(Fornecedores!$X$1:$X$6631,V4117))</f>
        <v/>
      </c>
      <c r="Y4117" s="4" t="str">
        <f t="shared" si="4"/>
        <v/>
      </c>
    </row>
    <row r="4118" spans="19:25">
      <c r="S4118" t="str">
        <f t="shared" si="0"/>
        <v/>
      </c>
      <c r="T4118" t="str">
        <f t="shared" si="1"/>
        <v/>
      </c>
      <c r="U4118" t="str">
        <f t="shared" si="2"/>
        <v/>
      </c>
      <c r="V4118" t="str">
        <f>IF(OR(U4118="",U4118="ERRO_CHAVE"),"",IFERROR(MATCH(U4118,Fornecedores!$AF$1:$AF$6631,0),""))</f>
        <v/>
      </c>
      <c r="W4118" t="str">
        <f t="shared" si="3"/>
        <v/>
      </c>
      <c r="X4118" s="4" t="str">
        <f>IF(V4118="","",INDEX(Fornecedores!$X$1:$X$6631,V4118))</f>
        <v/>
      </c>
      <c r="Y4118" s="4" t="str">
        <f t="shared" si="4"/>
        <v/>
      </c>
    </row>
    <row r="4119" spans="19:25">
      <c r="S4119" t="str">
        <f t="shared" si="0"/>
        <v/>
      </c>
      <c r="T4119" t="str">
        <f t="shared" si="1"/>
        <v/>
      </c>
      <c r="U4119" t="str">
        <f t="shared" si="2"/>
        <v/>
      </c>
      <c r="V4119" t="str">
        <f>IF(OR(U4119="",U4119="ERRO_CHAVE"),"",IFERROR(MATCH(U4119,Fornecedores!$AF$1:$AF$6631,0),""))</f>
        <v/>
      </c>
      <c r="W4119" t="str">
        <f t="shared" si="3"/>
        <v/>
      </c>
      <c r="X4119" s="4" t="str">
        <f>IF(V4119="","",INDEX(Fornecedores!$X$1:$X$6631,V4119))</f>
        <v/>
      </c>
      <c r="Y4119" s="4" t="str">
        <f t="shared" si="4"/>
        <v/>
      </c>
    </row>
    <row r="4120" spans="19:25">
      <c r="S4120" t="str">
        <f t="shared" si="0"/>
        <v/>
      </c>
      <c r="T4120" t="str">
        <f t="shared" si="1"/>
        <v/>
      </c>
      <c r="U4120" t="str">
        <f t="shared" si="2"/>
        <v/>
      </c>
      <c r="V4120" t="str">
        <f>IF(OR(U4120="",U4120="ERRO_CHAVE"),"",IFERROR(MATCH(U4120,Fornecedores!$AF$1:$AF$6631,0),""))</f>
        <v/>
      </c>
      <c r="W4120" t="str">
        <f t="shared" si="3"/>
        <v/>
      </c>
      <c r="X4120" s="4" t="str">
        <f>IF(V4120="","",INDEX(Fornecedores!$X$1:$X$6631,V4120))</f>
        <v/>
      </c>
      <c r="Y4120" s="4" t="str">
        <f t="shared" si="4"/>
        <v/>
      </c>
    </row>
    <row r="4121" spans="19:25">
      <c r="S4121" t="str">
        <f t="shared" si="0"/>
        <v/>
      </c>
      <c r="T4121" t="str">
        <f t="shared" si="1"/>
        <v/>
      </c>
      <c r="U4121" t="str">
        <f t="shared" si="2"/>
        <v/>
      </c>
      <c r="V4121" t="str">
        <f>IF(OR(U4121="",U4121="ERRO_CHAVE"),"",IFERROR(MATCH(U4121,Fornecedores!$AF$1:$AF$6631,0),""))</f>
        <v/>
      </c>
      <c r="W4121" t="str">
        <f t="shared" si="3"/>
        <v/>
      </c>
      <c r="X4121" s="4" t="str">
        <f>IF(V4121="","",INDEX(Fornecedores!$X$1:$X$6631,V4121))</f>
        <v/>
      </c>
      <c r="Y4121" s="4" t="str">
        <f t="shared" si="4"/>
        <v/>
      </c>
    </row>
    <row r="4122" spans="19:25">
      <c r="S4122" t="str">
        <f t="shared" si="0"/>
        <v/>
      </c>
      <c r="T4122" t="str">
        <f t="shared" si="1"/>
        <v/>
      </c>
      <c r="U4122" t="str">
        <f t="shared" si="2"/>
        <v/>
      </c>
      <c r="V4122" t="str">
        <f>IF(OR(U4122="",U4122="ERRO_CHAVE"),"",IFERROR(MATCH(U4122,Fornecedores!$AF$1:$AF$6631,0),""))</f>
        <v/>
      </c>
      <c r="W4122" t="str">
        <f t="shared" si="3"/>
        <v/>
      </c>
      <c r="X4122" s="4" t="str">
        <f>IF(V4122="","",INDEX(Fornecedores!$X$1:$X$6631,V4122))</f>
        <v/>
      </c>
      <c r="Y4122" s="4" t="str">
        <f t="shared" si="4"/>
        <v/>
      </c>
    </row>
    <row r="4123" spans="19:25">
      <c r="S4123" t="str">
        <f t="shared" si="0"/>
        <v/>
      </c>
      <c r="T4123" t="str">
        <f t="shared" si="1"/>
        <v/>
      </c>
      <c r="U4123" t="str">
        <f t="shared" si="2"/>
        <v/>
      </c>
      <c r="V4123" t="str">
        <f>IF(OR(U4123="",U4123="ERRO_CHAVE"),"",IFERROR(MATCH(U4123,Fornecedores!$AF$1:$AF$6631,0),""))</f>
        <v/>
      </c>
      <c r="W4123" t="str">
        <f t="shared" si="3"/>
        <v/>
      </c>
      <c r="X4123" s="4" t="str">
        <f>IF(V4123="","",INDEX(Fornecedores!$X$1:$X$6631,V4123))</f>
        <v/>
      </c>
      <c r="Y4123" s="4" t="str">
        <f t="shared" si="4"/>
        <v/>
      </c>
    </row>
    <row r="4124" spans="19:25">
      <c r="S4124" t="str">
        <f t="shared" si="0"/>
        <v/>
      </c>
      <c r="T4124" t="str">
        <f t="shared" si="1"/>
        <v/>
      </c>
      <c r="U4124" t="str">
        <f t="shared" si="2"/>
        <v/>
      </c>
      <c r="V4124" t="str">
        <f>IF(OR(U4124="",U4124="ERRO_CHAVE"),"",IFERROR(MATCH(U4124,Fornecedores!$AF$1:$AF$6631,0),""))</f>
        <v/>
      </c>
      <c r="W4124" t="str">
        <f t="shared" si="3"/>
        <v/>
      </c>
      <c r="X4124" s="4" t="str">
        <f>IF(V4124="","",INDEX(Fornecedores!$X$1:$X$6631,V4124))</f>
        <v/>
      </c>
      <c r="Y4124" s="4" t="str">
        <f t="shared" si="4"/>
        <v/>
      </c>
    </row>
    <row r="4125" spans="19:25">
      <c r="S4125" t="str">
        <f t="shared" si="0"/>
        <v/>
      </c>
      <c r="T4125" t="str">
        <f t="shared" si="1"/>
        <v/>
      </c>
      <c r="U4125" t="str">
        <f t="shared" si="2"/>
        <v/>
      </c>
      <c r="V4125" t="str">
        <f>IF(OR(U4125="",U4125="ERRO_CHAVE"),"",IFERROR(MATCH(U4125,Fornecedores!$AF$1:$AF$6631,0),""))</f>
        <v/>
      </c>
      <c r="W4125" t="str">
        <f t="shared" si="3"/>
        <v/>
      </c>
      <c r="X4125" s="4" t="str">
        <f>IF(V4125="","",INDEX(Fornecedores!$X$1:$X$6631,V4125))</f>
        <v/>
      </c>
      <c r="Y4125" s="4" t="str">
        <f t="shared" si="4"/>
        <v/>
      </c>
    </row>
    <row r="4126" spans="19:25">
      <c r="S4126" t="str">
        <f t="shared" si="0"/>
        <v/>
      </c>
      <c r="T4126" t="str">
        <f t="shared" si="1"/>
        <v/>
      </c>
      <c r="U4126" t="str">
        <f t="shared" si="2"/>
        <v/>
      </c>
      <c r="V4126" t="str">
        <f>IF(OR(U4126="",U4126="ERRO_CHAVE"),"",IFERROR(MATCH(U4126,Fornecedores!$AF$1:$AF$6631,0),""))</f>
        <v/>
      </c>
      <c r="W4126" t="str">
        <f t="shared" si="3"/>
        <v/>
      </c>
      <c r="X4126" s="4" t="str">
        <f>IF(V4126="","",INDEX(Fornecedores!$X$1:$X$6631,V4126))</f>
        <v/>
      </c>
      <c r="Y4126" s="4" t="str">
        <f t="shared" si="4"/>
        <v/>
      </c>
    </row>
    <row r="4127" spans="19:25">
      <c r="S4127" t="str">
        <f t="shared" si="0"/>
        <v/>
      </c>
      <c r="T4127" t="str">
        <f t="shared" si="1"/>
        <v/>
      </c>
      <c r="U4127" t="str">
        <f t="shared" si="2"/>
        <v/>
      </c>
      <c r="V4127" t="str">
        <f>IF(OR(U4127="",U4127="ERRO_CHAVE"),"",IFERROR(MATCH(U4127,Fornecedores!$AF$1:$AF$6631,0),""))</f>
        <v/>
      </c>
      <c r="W4127" t="str">
        <f t="shared" si="3"/>
        <v/>
      </c>
      <c r="X4127" s="4" t="str">
        <f>IF(V4127="","",INDEX(Fornecedores!$X$1:$X$6631,V4127))</f>
        <v/>
      </c>
      <c r="Y4127" s="4" t="str">
        <f t="shared" si="4"/>
        <v/>
      </c>
    </row>
    <row r="4128" spans="19:25">
      <c r="S4128" t="str">
        <f t="shared" si="0"/>
        <v/>
      </c>
      <c r="T4128" t="str">
        <f t="shared" si="1"/>
        <v/>
      </c>
      <c r="U4128" t="str">
        <f t="shared" si="2"/>
        <v/>
      </c>
      <c r="V4128" t="str">
        <f>IF(OR(U4128="",U4128="ERRO_CHAVE"),"",IFERROR(MATCH(U4128,Fornecedores!$AF$1:$AF$6631,0),""))</f>
        <v/>
      </c>
      <c r="W4128" t="str">
        <f t="shared" si="3"/>
        <v/>
      </c>
      <c r="X4128" s="4" t="str">
        <f>IF(V4128="","",INDEX(Fornecedores!$X$1:$X$6631,V4128))</f>
        <v/>
      </c>
      <c r="Y4128" s="4" t="str">
        <f t="shared" si="4"/>
        <v/>
      </c>
    </row>
    <row r="4129" spans="19:25">
      <c r="S4129" t="str">
        <f t="shared" si="0"/>
        <v/>
      </c>
      <c r="T4129" t="str">
        <f t="shared" si="1"/>
        <v/>
      </c>
      <c r="U4129" t="str">
        <f t="shared" si="2"/>
        <v/>
      </c>
      <c r="V4129" t="str">
        <f>IF(OR(U4129="",U4129="ERRO_CHAVE"),"",IFERROR(MATCH(U4129,Fornecedores!$AF$1:$AF$6631,0),""))</f>
        <v/>
      </c>
      <c r="W4129" t="str">
        <f t="shared" si="3"/>
        <v/>
      </c>
      <c r="X4129" s="4" t="str">
        <f>IF(V4129="","",INDEX(Fornecedores!$X$1:$X$6631,V4129))</f>
        <v/>
      </c>
      <c r="Y4129" s="4" t="str">
        <f t="shared" si="4"/>
        <v/>
      </c>
    </row>
    <row r="4130" spans="19:25">
      <c r="S4130" t="str">
        <f t="shared" si="0"/>
        <v/>
      </c>
      <c r="T4130" t="str">
        <f t="shared" si="1"/>
        <v/>
      </c>
      <c r="U4130" t="str">
        <f t="shared" si="2"/>
        <v/>
      </c>
      <c r="V4130" t="str">
        <f>IF(OR(U4130="",U4130="ERRO_CHAVE"),"",IFERROR(MATCH(U4130,Fornecedores!$AF$1:$AF$6631,0),""))</f>
        <v/>
      </c>
      <c r="W4130" t="str">
        <f t="shared" si="3"/>
        <v/>
      </c>
      <c r="X4130" s="4" t="str">
        <f>IF(V4130="","",INDEX(Fornecedores!$X$1:$X$6631,V4130))</f>
        <v/>
      </c>
      <c r="Y4130" s="4" t="str">
        <f t="shared" si="4"/>
        <v/>
      </c>
    </row>
    <row r="4131" spans="19:25">
      <c r="S4131" t="str">
        <f t="shared" si="0"/>
        <v/>
      </c>
      <c r="T4131" t="str">
        <f t="shared" si="1"/>
        <v/>
      </c>
      <c r="U4131" t="str">
        <f t="shared" si="2"/>
        <v/>
      </c>
      <c r="V4131" t="str">
        <f>IF(OR(U4131="",U4131="ERRO_CHAVE"),"",IFERROR(MATCH(U4131,Fornecedores!$AF$1:$AF$6631,0),""))</f>
        <v/>
      </c>
      <c r="W4131" t="str">
        <f t="shared" si="3"/>
        <v/>
      </c>
      <c r="X4131" s="4" t="str">
        <f>IF(V4131="","",INDEX(Fornecedores!$X$1:$X$6631,V4131))</f>
        <v/>
      </c>
      <c r="Y4131" s="4" t="str">
        <f t="shared" si="4"/>
        <v/>
      </c>
    </row>
    <row r="4132" spans="19:25">
      <c r="S4132" t="str">
        <f t="shared" si="0"/>
        <v/>
      </c>
      <c r="T4132" t="str">
        <f t="shared" si="1"/>
        <v/>
      </c>
      <c r="U4132" t="str">
        <f t="shared" si="2"/>
        <v/>
      </c>
      <c r="V4132" t="str">
        <f>IF(OR(U4132="",U4132="ERRO_CHAVE"),"",IFERROR(MATCH(U4132,Fornecedores!$AF$1:$AF$6631,0),""))</f>
        <v/>
      </c>
      <c r="W4132" t="str">
        <f t="shared" si="3"/>
        <v/>
      </c>
      <c r="X4132" s="4" t="str">
        <f>IF(V4132="","",INDEX(Fornecedores!$X$1:$X$6631,V4132))</f>
        <v/>
      </c>
      <c r="Y4132" s="4" t="str">
        <f t="shared" si="4"/>
        <v/>
      </c>
    </row>
    <row r="4133" spans="19:25">
      <c r="S4133" t="str">
        <f t="shared" si="0"/>
        <v/>
      </c>
      <c r="T4133" t="str">
        <f t="shared" si="1"/>
        <v/>
      </c>
      <c r="U4133" t="str">
        <f t="shared" si="2"/>
        <v/>
      </c>
      <c r="V4133" t="str">
        <f>IF(OR(U4133="",U4133="ERRO_CHAVE"),"",IFERROR(MATCH(U4133,Fornecedores!$AF$1:$AF$6631,0),""))</f>
        <v/>
      </c>
      <c r="W4133" t="str">
        <f t="shared" si="3"/>
        <v/>
      </c>
      <c r="X4133" s="4" t="str">
        <f>IF(V4133="","",INDEX(Fornecedores!$X$1:$X$6631,V4133))</f>
        <v/>
      </c>
      <c r="Y4133" s="4" t="str">
        <f t="shared" si="4"/>
        <v/>
      </c>
    </row>
    <row r="4134" spans="19:25">
      <c r="S4134" t="str">
        <f t="shared" si="0"/>
        <v/>
      </c>
      <c r="T4134" t="str">
        <f t="shared" si="1"/>
        <v/>
      </c>
      <c r="U4134" t="str">
        <f t="shared" si="2"/>
        <v/>
      </c>
      <c r="V4134" t="str">
        <f>IF(OR(U4134="",U4134="ERRO_CHAVE"),"",IFERROR(MATCH(U4134,Fornecedores!$AF$1:$AF$6631,0),""))</f>
        <v/>
      </c>
      <c r="W4134" t="str">
        <f t="shared" si="3"/>
        <v/>
      </c>
      <c r="X4134" s="4" t="str">
        <f>IF(V4134="","",INDEX(Fornecedores!$X$1:$X$6631,V4134))</f>
        <v/>
      </c>
      <c r="Y4134" s="4" t="str">
        <f t="shared" si="4"/>
        <v/>
      </c>
    </row>
    <row r="4135" spans="19:25">
      <c r="S4135" t="str">
        <f t="shared" si="0"/>
        <v/>
      </c>
      <c r="T4135" t="str">
        <f t="shared" si="1"/>
        <v/>
      </c>
      <c r="U4135" t="str">
        <f t="shared" si="2"/>
        <v/>
      </c>
      <c r="V4135" t="str">
        <f>IF(OR(U4135="",U4135="ERRO_CHAVE"),"",IFERROR(MATCH(U4135,Fornecedores!$AF$1:$AF$6631,0),""))</f>
        <v/>
      </c>
      <c r="W4135" t="str">
        <f t="shared" si="3"/>
        <v/>
      </c>
      <c r="X4135" s="4" t="str">
        <f>IF(V4135="","",INDEX(Fornecedores!$X$1:$X$6631,V4135))</f>
        <v/>
      </c>
      <c r="Y4135" s="4" t="str">
        <f t="shared" si="4"/>
        <v/>
      </c>
    </row>
    <row r="4136" spans="19:25">
      <c r="S4136" t="str">
        <f t="shared" si="0"/>
        <v/>
      </c>
      <c r="T4136" t="str">
        <f t="shared" si="1"/>
        <v/>
      </c>
      <c r="U4136" t="str">
        <f t="shared" si="2"/>
        <v/>
      </c>
      <c r="V4136" t="str">
        <f>IF(OR(U4136="",U4136="ERRO_CHAVE"),"",IFERROR(MATCH(U4136,Fornecedores!$AF$1:$AF$6631,0),""))</f>
        <v/>
      </c>
      <c r="W4136" t="str">
        <f t="shared" si="3"/>
        <v/>
      </c>
      <c r="X4136" s="4" t="str">
        <f>IF(V4136="","",INDEX(Fornecedores!$X$1:$X$6631,V4136))</f>
        <v/>
      </c>
      <c r="Y4136" s="4" t="str">
        <f t="shared" si="4"/>
        <v/>
      </c>
    </row>
    <row r="4137" spans="19:25">
      <c r="S4137" t="str">
        <f t="shared" si="0"/>
        <v/>
      </c>
      <c r="T4137" t="str">
        <f t="shared" si="1"/>
        <v/>
      </c>
      <c r="U4137" t="str">
        <f t="shared" si="2"/>
        <v/>
      </c>
      <c r="V4137" t="str">
        <f>IF(OR(U4137="",U4137="ERRO_CHAVE"),"",IFERROR(MATCH(U4137,Fornecedores!$AF$1:$AF$6631,0),""))</f>
        <v/>
      </c>
      <c r="W4137" t="str">
        <f t="shared" si="3"/>
        <v/>
      </c>
      <c r="X4137" s="4" t="str">
        <f>IF(V4137="","",INDEX(Fornecedores!$X$1:$X$6631,V4137))</f>
        <v/>
      </c>
      <c r="Y4137" s="4" t="str">
        <f t="shared" si="4"/>
        <v/>
      </c>
    </row>
    <row r="4138" spans="19:25">
      <c r="S4138" t="str">
        <f t="shared" si="0"/>
        <v/>
      </c>
      <c r="T4138" t="str">
        <f t="shared" si="1"/>
        <v/>
      </c>
      <c r="U4138" t="str">
        <f t="shared" si="2"/>
        <v/>
      </c>
      <c r="V4138" t="str">
        <f>IF(OR(U4138="",U4138="ERRO_CHAVE"),"",IFERROR(MATCH(U4138,Fornecedores!$AF$1:$AF$6631,0),""))</f>
        <v/>
      </c>
      <c r="W4138" t="str">
        <f t="shared" si="3"/>
        <v/>
      </c>
      <c r="X4138" s="4" t="str">
        <f>IF(V4138="","",INDEX(Fornecedores!$X$1:$X$6631,V4138))</f>
        <v/>
      </c>
      <c r="Y4138" s="4" t="str">
        <f t="shared" si="4"/>
        <v/>
      </c>
    </row>
    <row r="4139" spans="19:25">
      <c r="S4139" t="str">
        <f t="shared" si="0"/>
        <v/>
      </c>
      <c r="T4139" t="str">
        <f t="shared" si="1"/>
        <v/>
      </c>
      <c r="U4139" t="str">
        <f t="shared" si="2"/>
        <v/>
      </c>
      <c r="V4139" t="str">
        <f>IF(OR(U4139="",U4139="ERRO_CHAVE"),"",IFERROR(MATCH(U4139,Fornecedores!$AF$1:$AF$6631,0),""))</f>
        <v/>
      </c>
      <c r="W4139" t="str">
        <f t="shared" si="3"/>
        <v/>
      </c>
      <c r="X4139" s="4" t="str">
        <f>IF(V4139="","",INDEX(Fornecedores!$X$1:$X$6631,V4139))</f>
        <v/>
      </c>
      <c r="Y4139" s="4" t="str">
        <f t="shared" si="4"/>
        <v/>
      </c>
    </row>
    <row r="4140" spans="19:25">
      <c r="S4140" t="str">
        <f t="shared" si="0"/>
        <v/>
      </c>
      <c r="T4140" t="str">
        <f t="shared" si="1"/>
        <v/>
      </c>
      <c r="U4140" t="str">
        <f t="shared" si="2"/>
        <v/>
      </c>
      <c r="V4140" t="str">
        <f>IF(OR(U4140="",U4140="ERRO_CHAVE"),"",IFERROR(MATCH(U4140,Fornecedores!$AF$1:$AF$6631,0),""))</f>
        <v/>
      </c>
      <c r="W4140" t="str">
        <f t="shared" si="3"/>
        <v/>
      </c>
      <c r="X4140" s="4" t="str">
        <f>IF(V4140="","",INDEX(Fornecedores!$X$1:$X$6631,V4140))</f>
        <v/>
      </c>
      <c r="Y4140" s="4" t="str">
        <f t="shared" si="4"/>
        <v/>
      </c>
    </row>
    <row r="4141" spans="19:25">
      <c r="S4141" t="str">
        <f t="shared" si="0"/>
        <v/>
      </c>
      <c r="T4141" t="str">
        <f t="shared" si="1"/>
        <v/>
      </c>
      <c r="U4141" t="str">
        <f t="shared" si="2"/>
        <v/>
      </c>
      <c r="V4141" t="str">
        <f>IF(OR(U4141="",U4141="ERRO_CHAVE"),"",IFERROR(MATCH(U4141,Fornecedores!$AF$1:$AF$6631,0),""))</f>
        <v/>
      </c>
      <c r="W4141" t="str">
        <f t="shared" si="3"/>
        <v/>
      </c>
      <c r="X4141" s="4" t="str">
        <f>IF(V4141="","",INDEX(Fornecedores!$X$1:$X$6631,V4141))</f>
        <v/>
      </c>
      <c r="Y4141" s="4" t="str">
        <f t="shared" si="4"/>
        <v/>
      </c>
    </row>
    <row r="4142" spans="19:25">
      <c r="S4142" t="str">
        <f t="shared" si="0"/>
        <v/>
      </c>
      <c r="T4142" t="str">
        <f t="shared" si="1"/>
        <v/>
      </c>
      <c r="U4142" t="str">
        <f t="shared" si="2"/>
        <v/>
      </c>
      <c r="V4142" t="str">
        <f>IF(OR(U4142="",U4142="ERRO_CHAVE"),"",IFERROR(MATCH(U4142,Fornecedores!$AF$1:$AF$6631,0),""))</f>
        <v/>
      </c>
      <c r="W4142" t="str">
        <f t="shared" si="3"/>
        <v/>
      </c>
      <c r="X4142" s="4" t="str">
        <f>IF(V4142="","",INDEX(Fornecedores!$X$1:$X$6631,V4142))</f>
        <v/>
      </c>
      <c r="Y4142" s="4" t="str">
        <f t="shared" si="4"/>
        <v/>
      </c>
    </row>
    <row r="4143" spans="19:25">
      <c r="S4143" t="str">
        <f t="shared" si="0"/>
        <v/>
      </c>
      <c r="T4143" t="str">
        <f t="shared" si="1"/>
        <v/>
      </c>
      <c r="U4143" t="str">
        <f t="shared" si="2"/>
        <v/>
      </c>
      <c r="V4143" t="str">
        <f>IF(OR(U4143="",U4143="ERRO_CHAVE"),"",IFERROR(MATCH(U4143,Fornecedores!$AF$1:$AF$6631,0),""))</f>
        <v/>
      </c>
      <c r="W4143" t="str">
        <f t="shared" si="3"/>
        <v/>
      </c>
      <c r="X4143" s="4" t="str">
        <f>IF(V4143="","",INDEX(Fornecedores!$X$1:$X$6631,V4143))</f>
        <v/>
      </c>
      <c r="Y4143" s="4" t="str">
        <f t="shared" si="4"/>
        <v/>
      </c>
    </row>
    <row r="4144" spans="19:25">
      <c r="S4144" t="str">
        <f t="shared" si="0"/>
        <v/>
      </c>
      <c r="T4144" t="str">
        <f t="shared" si="1"/>
        <v/>
      </c>
      <c r="U4144" t="str">
        <f t="shared" si="2"/>
        <v/>
      </c>
      <c r="V4144" t="str">
        <f>IF(OR(U4144="",U4144="ERRO_CHAVE"),"",IFERROR(MATCH(U4144,Fornecedores!$AF$1:$AF$6631,0),""))</f>
        <v/>
      </c>
      <c r="W4144" t="str">
        <f t="shared" si="3"/>
        <v/>
      </c>
      <c r="X4144" s="4" t="str">
        <f>IF(V4144="","",INDEX(Fornecedores!$X$1:$X$6631,V4144))</f>
        <v/>
      </c>
      <c r="Y4144" s="4" t="str">
        <f t="shared" si="4"/>
        <v/>
      </c>
    </row>
    <row r="4145" spans="19:25">
      <c r="S4145" t="str">
        <f t="shared" si="0"/>
        <v/>
      </c>
      <c r="T4145" t="str">
        <f t="shared" si="1"/>
        <v/>
      </c>
      <c r="U4145" t="str">
        <f t="shared" si="2"/>
        <v/>
      </c>
      <c r="V4145" t="str">
        <f>IF(OR(U4145="",U4145="ERRO_CHAVE"),"",IFERROR(MATCH(U4145,Fornecedores!$AF$1:$AF$6631,0),""))</f>
        <v/>
      </c>
      <c r="W4145" t="str">
        <f t="shared" si="3"/>
        <v/>
      </c>
      <c r="X4145" s="4" t="str">
        <f>IF(V4145="","",INDEX(Fornecedores!$X$1:$X$6631,V4145))</f>
        <v/>
      </c>
      <c r="Y4145" s="4" t="str">
        <f t="shared" si="4"/>
        <v/>
      </c>
    </row>
    <row r="4146" spans="19:25">
      <c r="S4146" t="str">
        <f t="shared" si="0"/>
        <v/>
      </c>
      <c r="T4146" t="str">
        <f t="shared" si="1"/>
        <v/>
      </c>
      <c r="U4146" t="str">
        <f t="shared" si="2"/>
        <v/>
      </c>
      <c r="V4146" t="str">
        <f>IF(OR(U4146="",U4146="ERRO_CHAVE"),"",IFERROR(MATCH(U4146,Fornecedores!$AF$1:$AF$6631,0),""))</f>
        <v/>
      </c>
      <c r="W4146" t="str">
        <f t="shared" si="3"/>
        <v/>
      </c>
      <c r="X4146" s="4" t="str">
        <f>IF(V4146="","",INDEX(Fornecedores!$X$1:$X$6631,V4146))</f>
        <v/>
      </c>
      <c r="Y4146" s="4" t="str">
        <f t="shared" si="4"/>
        <v/>
      </c>
    </row>
    <row r="4147" spans="19:25">
      <c r="S4147" t="str">
        <f t="shared" si="0"/>
        <v/>
      </c>
      <c r="T4147" t="str">
        <f t="shared" si="1"/>
        <v/>
      </c>
      <c r="U4147" t="str">
        <f t="shared" si="2"/>
        <v/>
      </c>
      <c r="V4147" t="str">
        <f>IF(OR(U4147="",U4147="ERRO_CHAVE"),"",IFERROR(MATCH(U4147,Fornecedores!$AF$1:$AF$6631,0),""))</f>
        <v/>
      </c>
      <c r="W4147" t="str">
        <f t="shared" si="3"/>
        <v/>
      </c>
      <c r="X4147" s="4" t="str">
        <f>IF(V4147="","",INDEX(Fornecedores!$X$1:$X$6631,V4147))</f>
        <v/>
      </c>
      <c r="Y4147" s="4" t="str">
        <f t="shared" si="4"/>
        <v/>
      </c>
    </row>
    <row r="4148" spans="19:25">
      <c r="S4148" t="str">
        <f t="shared" si="0"/>
        <v/>
      </c>
      <c r="T4148" t="str">
        <f t="shared" si="1"/>
        <v/>
      </c>
      <c r="U4148" t="str">
        <f t="shared" si="2"/>
        <v/>
      </c>
      <c r="V4148" t="str">
        <f>IF(OR(U4148="",U4148="ERRO_CHAVE"),"",IFERROR(MATCH(U4148,Fornecedores!$AF$1:$AF$6631,0),""))</f>
        <v/>
      </c>
      <c r="W4148" t="str">
        <f t="shared" si="3"/>
        <v/>
      </c>
      <c r="X4148" s="4" t="str">
        <f>IF(V4148="","",INDEX(Fornecedores!$X$1:$X$6631,V4148))</f>
        <v/>
      </c>
      <c r="Y4148" s="4" t="str">
        <f t="shared" si="4"/>
        <v/>
      </c>
    </row>
    <row r="4149" spans="19:25">
      <c r="S4149" t="str">
        <f t="shared" si="0"/>
        <v/>
      </c>
      <c r="T4149" t="str">
        <f t="shared" si="1"/>
        <v/>
      </c>
      <c r="U4149" t="str">
        <f t="shared" si="2"/>
        <v/>
      </c>
      <c r="V4149" t="str">
        <f>IF(OR(U4149="",U4149="ERRO_CHAVE"),"",IFERROR(MATCH(U4149,Fornecedores!$AF$1:$AF$6631,0),""))</f>
        <v/>
      </c>
      <c r="W4149" t="str">
        <f t="shared" si="3"/>
        <v/>
      </c>
      <c r="X4149" s="4" t="str">
        <f>IF(V4149="","",INDEX(Fornecedores!$X$1:$X$6631,V4149))</f>
        <v/>
      </c>
      <c r="Y4149" s="4" t="str">
        <f t="shared" si="4"/>
        <v/>
      </c>
    </row>
    <row r="4150" spans="19:25">
      <c r="S4150" t="str">
        <f t="shared" si="0"/>
        <v/>
      </c>
      <c r="T4150" t="str">
        <f t="shared" si="1"/>
        <v/>
      </c>
      <c r="U4150" t="str">
        <f t="shared" si="2"/>
        <v/>
      </c>
      <c r="V4150" t="str">
        <f>IF(OR(U4150="",U4150="ERRO_CHAVE"),"",IFERROR(MATCH(U4150,Fornecedores!$AF$1:$AF$6631,0),""))</f>
        <v/>
      </c>
      <c r="W4150" t="str">
        <f t="shared" si="3"/>
        <v/>
      </c>
      <c r="X4150" s="4" t="str">
        <f>IF(V4150="","",INDEX(Fornecedores!$X$1:$X$6631,V4150))</f>
        <v/>
      </c>
      <c r="Y4150" s="4" t="str">
        <f t="shared" si="4"/>
        <v/>
      </c>
    </row>
    <row r="4151" spans="19:25">
      <c r="S4151" t="str">
        <f t="shared" si="0"/>
        <v/>
      </c>
      <c r="T4151" t="str">
        <f t="shared" si="1"/>
        <v/>
      </c>
      <c r="U4151" t="str">
        <f t="shared" si="2"/>
        <v/>
      </c>
      <c r="V4151" t="str">
        <f>IF(OR(U4151="",U4151="ERRO_CHAVE"),"",IFERROR(MATCH(U4151,Fornecedores!$AF$1:$AF$6631,0),""))</f>
        <v/>
      </c>
      <c r="W4151" t="str">
        <f t="shared" si="3"/>
        <v/>
      </c>
      <c r="X4151" s="4" t="str">
        <f>IF(V4151="","",INDEX(Fornecedores!$X$1:$X$6631,V4151))</f>
        <v/>
      </c>
      <c r="Y4151" s="4" t="str">
        <f t="shared" si="4"/>
        <v/>
      </c>
    </row>
    <row r="4152" spans="19:25">
      <c r="S4152" t="str">
        <f t="shared" si="0"/>
        <v/>
      </c>
      <c r="T4152" t="str">
        <f t="shared" si="1"/>
        <v/>
      </c>
      <c r="U4152" t="str">
        <f t="shared" si="2"/>
        <v/>
      </c>
      <c r="V4152" t="str">
        <f>IF(OR(U4152="",U4152="ERRO_CHAVE"),"",IFERROR(MATCH(U4152,Fornecedores!$AF$1:$AF$6631,0),""))</f>
        <v/>
      </c>
      <c r="W4152" t="str">
        <f t="shared" si="3"/>
        <v/>
      </c>
      <c r="X4152" s="4" t="str">
        <f>IF(V4152="","",INDEX(Fornecedores!$X$1:$X$6631,V4152))</f>
        <v/>
      </c>
      <c r="Y4152" s="4" t="str">
        <f t="shared" si="4"/>
        <v/>
      </c>
    </row>
    <row r="4153" spans="19:25">
      <c r="S4153" t="str">
        <f t="shared" si="0"/>
        <v/>
      </c>
      <c r="T4153" t="str">
        <f t="shared" si="1"/>
        <v/>
      </c>
      <c r="U4153" t="str">
        <f t="shared" si="2"/>
        <v/>
      </c>
      <c r="V4153" t="str">
        <f>IF(OR(U4153="",U4153="ERRO_CHAVE"),"",IFERROR(MATCH(U4153,Fornecedores!$AF$1:$AF$6631,0),""))</f>
        <v/>
      </c>
      <c r="W4153" t="str">
        <f t="shared" si="3"/>
        <v/>
      </c>
      <c r="X4153" s="4" t="str">
        <f>IF(V4153="","",INDEX(Fornecedores!$X$1:$X$6631,V4153))</f>
        <v/>
      </c>
      <c r="Y4153" s="4" t="str">
        <f t="shared" si="4"/>
        <v/>
      </c>
    </row>
    <row r="4154" spans="19:25">
      <c r="S4154" t="str">
        <f t="shared" si="0"/>
        <v/>
      </c>
      <c r="T4154" t="str">
        <f t="shared" si="1"/>
        <v/>
      </c>
      <c r="U4154" t="str">
        <f t="shared" si="2"/>
        <v/>
      </c>
      <c r="V4154" t="str">
        <f>IF(OR(U4154="",U4154="ERRO_CHAVE"),"",IFERROR(MATCH(U4154,Fornecedores!$AF$1:$AF$6631,0),""))</f>
        <v/>
      </c>
      <c r="W4154" t="str">
        <f t="shared" si="3"/>
        <v/>
      </c>
      <c r="X4154" s="4" t="str">
        <f>IF(V4154="","",INDEX(Fornecedores!$X$1:$X$6631,V4154))</f>
        <v/>
      </c>
      <c r="Y4154" s="4" t="str">
        <f t="shared" si="4"/>
        <v/>
      </c>
    </row>
    <row r="4155" spans="19:25">
      <c r="S4155" t="str">
        <f t="shared" si="0"/>
        <v/>
      </c>
      <c r="T4155" t="str">
        <f t="shared" si="1"/>
        <v/>
      </c>
      <c r="U4155" t="str">
        <f t="shared" si="2"/>
        <v/>
      </c>
      <c r="V4155" t="str">
        <f>IF(OR(U4155="",U4155="ERRO_CHAVE"),"",IFERROR(MATCH(U4155,Fornecedores!$AF$1:$AF$6631,0),""))</f>
        <v/>
      </c>
      <c r="W4155" t="str">
        <f t="shared" si="3"/>
        <v/>
      </c>
      <c r="X4155" s="4" t="str">
        <f>IF(V4155="","",INDEX(Fornecedores!$X$1:$X$6631,V4155))</f>
        <v/>
      </c>
      <c r="Y4155" s="4" t="str">
        <f t="shared" si="4"/>
        <v/>
      </c>
    </row>
    <row r="4156" spans="19:25">
      <c r="S4156" t="str">
        <f t="shared" si="0"/>
        <v/>
      </c>
      <c r="T4156" t="str">
        <f t="shared" si="1"/>
        <v/>
      </c>
      <c r="U4156" t="str">
        <f t="shared" si="2"/>
        <v/>
      </c>
      <c r="V4156" t="str">
        <f>IF(OR(U4156="",U4156="ERRO_CHAVE"),"",IFERROR(MATCH(U4156,Fornecedores!$AF$1:$AF$6631,0),""))</f>
        <v/>
      </c>
      <c r="W4156" t="str">
        <f t="shared" si="3"/>
        <v/>
      </c>
      <c r="X4156" s="4" t="str">
        <f>IF(V4156="","",INDEX(Fornecedores!$X$1:$X$6631,V4156))</f>
        <v/>
      </c>
      <c r="Y4156" s="4" t="str">
        <f t="shared" si="4"/>
        <v/>
      </c>
    </row>
    <row r="4157" spans="19:25">
      <c r="S4157" t="str">
        <f t="shared" si="0"/>
        <v/>
      </c>
      <c r="T4157" t="str">
        <f t="shared" si="1"/>
        <v/>
      </c>
      <c r="U4157" t="str">
        <f t="shared" si="2"/>
        <v/>
      </c>
      <c r="V4157" t="str">
        <f>IF(OR(U4157="",U4157="ERRO_CHAVE"),"",IFERROR(MATCH(U4157,Fornecedores!$AF$1:$AF$6631,0),""))</f>
        <v/>
      </c>
      <c r="W4157" t="str">
        <f t="shared" si="3"/>
        <v/>
      </c>
      <c r="X4157" s="4" t="str">
        <f>IF(V4157="","",INDEX(Fornecedores!$X$1:$X$6631,V4157))</f>
        <v/>
      </c>
      <c r="Y4157" s="4" t="str">
        <f t="shared" si="4"/>
        <v/>
      </c>
    </row>
    <row r="4158" spans="19:25">
      <c r="S4158" t="str">
        <f t="shared" si="0"/>
        <v/>
      </c>
      <c r="T4158" t="str">
        <f t="shared" si="1"/>
        <v/>
      </c>
      <c r="U4158" t="str">
        <f t="shared" si="2"/>
        <v/>
      </c>
      <c r="V4158" t="str">
        <f>IF(OR(U4158="",U4158="ERRO_CHAVE"),"",IFERROR(MATCH(U4158,Fornecedores!$AF$1:$AF$6631,0),""))</f>
        <v/>
      </c>
      <c r="W4158" t="str">
        <f t="shared" si="3"/>
        <v/>
      </c>
      <c r="X4158" s="4" t="str">
        <f>IF(V4158="","",INDEX(Fornecedores!$X$1:$X$6631,V4158))</f>
        <v/>
      </c>
      <c r="Y4158" s="4" t="str">
        <f t="shared" si="4"/>
        <v/>
      </c>
    </row>
    <row r="4159" spans="19:25">
      <c r="S4159" t="str">
        <f t="shared" si="0"/>
        <v/>
      </c>
      <c r="T4159" t="str">
        <f t="shared" si="1"/>
        <v/>
      </c>
      <c r="U4159" t="str">
        <f t="shared" si="2"/>
        <v/>
      </c>
      <c r="V4159" t="str">
        <f>IF(OR(U4159="",U4159="ERRO_CHAVE"),"",IFERROR(MATCH(U4159,Fornecedores!$AF$1:$AF$6631,0),""))</f>
        <v/>
      </c>
      <c r="W4159" t="str">
        <f t="shared" si="3"/>
        <v/>
      </c>
      <c r="X4159" s="4" t="str">
        <f>IF(V4159="","",INDEX(Fornecedores!$X$1:$X$6631,V4159))</f>
        <v/>
      </c>
      <c r="Y4159" s="4" t="str">
        <f t="shared" si="4"/>
        <v/>
      </c>
    </row>
    <row r="4160" spans="19:25">
      <c r="S4160" t="str">
        <f t="shared" si="0"/>
        <v/>
      </c>
      <c r="T4160" t="str">
        <f t="shared" si="1"/>
        <v/>
      </c>
      <c r="U4160" t="str">
        <f t="shared" si="2"/>
        <v/>
      </c>
      <c r="V4160" t="str">
        <f>IF(OR(U4160="",U4160="ERRO_CHAVE"),"",IFERROR(MATCH(U4160,Fornecedores!$AF$1:$AF$6631,0),""))</f>
        <v/>
      </c>
      <c r="W4160" t="str">
        <f t="shared" si="3"/>
        <v/>
      </c>
      <c r="X4160" s="4" t="str">
        <f>IF(V4160="","",INDEX(Fornecedores!$X$1:$X$6631,V4160))</f>
        <v/>
      </c>
      <c r="Y4160" s="4" t="str">
        <f t="shared" si="4"/>
        <v/>
      </c>
    </row>
    <row r="4161" spans="19:25">
      <c r="S4161" t="str">
        <f t="shared" si="0"/>
        <v/>
      </c>
      <c r="T4161" t="str">
        <f t="shared" si="1"/>
        <v/>
      </c>
      <c r="U4161" t="str">
        <f t="shared" si="2"/>
        <v/>
      </c>
      <c r="V4161" t="str">
        <f>IF(OR(U4161="",U4161="ERRO_CHAVE"),"",IFERROR(MATCH(U4161,Fornecedores!$AF$1:$AF$6631,0),""))</f>
        <v/>
      </c>
      <c r="W4161" t="str">
        <f t="shared" si="3"/>
        <v/>
      </c>
      <c r="X4161" s="4" t="str">
        <f>IF(V4161="","",INDEX(Fornecedores!$X$1:$X$6631,V4161))</f>
        <v/>
      </c>
      <c r="Y4161" s="4" t="str">
        <f t="shared" si="4"/>
        <v/>
      </c>
    </row>
    <row r="4162" spans="19:25">
      <c r="S4162" t="str">
        <f t="shared" si="0"/>
        <v/>
      </c>
      <c r="T4162" t="str">
        <f t="shared" si="1"/>
        <v/>
      </c>
      <c r="U4162" t="str">
        <f t="shared" si="2"/>
        <v/>
      </c>
      <c r="V4162" t="str">
        <f>IF(OR(U4162="",U4162="ERRO_CHAVE"),"",IFERROR(MATCH(U4162,Fornecedores!$AF$1:$AF$6631,0),""))</f>
        <v/>
      </c>
      <c r="W4162" t="str">
        <f t="shared" si="3"/>
        <v/>
      </c>
      <c r="X4162" s="4" t="str">
        <f>IF(V4162="","",INDEX(Fornecedores!$X$1:$X$6631,V4162))</f>
        <v/>
      </c>
      <c r="Y4162" s="4" t="str">
        <f t="shared" si="4"/>
        <v/>
      </c>
    </row>
    <row r="4163" spans="19:25">
      <c r="S4163" t="str">
        <f t="shared" si="0"/>
        <v/>
      </c>
      <c r="T4163" t="str">
        <f t="shared" si="1"/>
        <v/>
      </c>
      <c r="U4163" t="str">
        <f t="shared" si="2"/>
        <v/>
      </c>
      <c r="V4163" t="str">
        <f>IF(OR(U4163="",U4163="ERRO_CHAVE"),"",IFERROR(MATCH(U4163,Fornecedores!$AF$1:$AF$6631,0),""))</f>
        <v/>
      </c>
      <c r="W4163" t="str">
        <f t="shared" si="3"/>
        <v/>
      </c>
      <c r="X4163" s="4" t="str">
        <f>IF(V4163="","",INDEX(Fornecedores!$X$1:$X$6631,V4163))</f>
        <v/>
      </c>
      <c r="Y4163" s="4" t="str">
        <f t="shared" si="4"/>
        <v/>
      </c>
    </row>
    <row r="4164" spans="19:25">
      <c r="S4164" t="str">
        <f t="shared" si="0"/>
        <v/>
      </c>
      <c r="T4164" t="str">
        <f t="shared" si="1"/>
        <v/>
      </c>
      <c r="U4164" t="str">
        <f t="shared" si="2"/>
        <v/>
      </c>
      <c r="V4164" t="str">
        <f>IF(OR(U4164="",U4164="ERRO_CHAVE"),"",IFERROR(MATCH(U4164,Fornecedores!$AF$1:$AF$6631,0),""))</f>
        <v/>
      </c>
      <c r="W4164" t="str">
        <f t="shared" si="3"/>
        <v/>
      </c>
      <c r="X4164" s="4" t="str">
        <f>IF(V4164="","",INDEX(Fornecedores!$X$1:$X$6631,V4164))</f>
        <v/>
      </c>
      <c r="Y4164" s="4" t="str">
        <f t="shared" si="4"/>
        <v/>
      </c>
    </row>
    <row r="4165" spans="19:25">
      <c r="S4165" t="str">
        <f t="shared" si="0"/>
        <v/>
      </c>
      <c r="T4165" t="str">
        <f t="shared" si="1"/>
        <v/>
      </c>
      <c r="U4165" t="str">
        <f t="shared" si="2"/>
        <v/>
      </c>
      <c r="V4165" t="str">
        <f>IF(OR(U4165="",U4165="ERRO_CHAVE"),"",IFERROR(MATCH(U4165,Fornecedores!$AF$1:$AF$6631,0),""))</f>
        <v/>
      </c>
      <c r="W4165" t="str">
        <f t="shared" si="3"/>
        <v/>
      </c>
      <c r="X4165" s="4" t="str">
        <f>IF(V4165="","",INDEX(Fornecedores!$X$1:$X$6631,V4165))</f>
        <v/>
      </c>
      <c r="Y4165" s="4" t="str">
        <f t="shared" si="4"/>
        <v/>
      </c>
    </row>
    <row r="4166" spans="19:25">
      <c r="S4166" t="str">
        <f t="shared" si="0"/>
        <v/>
      </c>
      <c r="T4166" t="str">
        <f t="shared" si="1"/>
        <v/>
      </c>
      <c r="U4166" t="str">
        <f t="shared" si="2"/>
        <v/>
      </c>
      <c r="V4166" t="str">
        <f>IF(OR(U4166="",U4166="ERRO_CHAVE"),"",IFERROR(MATCH(U4166,Fornecedores!$AF$1:$AF$6631,0),""))</f>
        <v/>
      </c>
      <c r="W4166" t="str">
        <f t="shared" si="3"/>
        <v/>
      </c>
      <c r="X4166" s="4" t="str">
        <f>IF(V4166="","",INDEX(Fornecedores!$X$1:$X$6631,V4166))</f>
        <v/>
      </c>
      <c r="Y4166" s="4" t="str">
        <f t="shared" si="4"/>
        <v/>
      </c>
    </row>
    <row r="4167" spans="19:25">
      <c r="S4167" t="str">
        <f t="shared" si="0"/>
        <v/>
      </c>
      <c r="T4167" t="str">
        <f t="shared" si="1"/>
        <v/>
      </c>
      <c r="U4167" t="str">
        <f t="shared" si="2"/>
        <v/>
      </c>
      <c r="V4167" t="str">
        <f>IF(OR(U4167="",U4167="ERRO_CHAVE"),"",IFERROR(MATCH(U4167,Fornecedores!$AF$1:$AF$6631,0),""))</f>
        <v/>
      </c>
      <c r="W4167" t="str">
        <f t="shared" si="3"/>
        <v/>
      </c>
      <c r="X4167" s="4" t="str">
        <f>IF(V4167="","",INDEX(Fornecedores!$X$1:$X$6631,V4167))</f>
        <v/>
      </c>
      <c r="Y4167" s="4" t="str">
        <f t="shared" si="4"/>
        <v/>
      </c>
    </row>
    <row r="4168" spans="19:25">
      <c r="S4168" t="str">
        <f t="shared" si="0"/>
        <v/>
      </c>
      <c r="T4168" t="str">
        <f t="shared" si="1"/>
        <v/>
      </c>
      <c r="U4168" t="str">
        <f t="shared" si="2"/>
        <v/>
      </c>
      <c r="V4168" t="str">
        <f>IF(OR(U4168="",U4168="ERRO_CHAVE"),"",IFERROR(MATCH(U4168,Fornecedores!$AF$1:$AF$6631,0),""))</f>
        <v/>
      </c>
      <c r="W4168" t="str">
        <f t="shared" si="3"/>
        <v/>
      </c>
      <c r="X4168" s="4" t="str">
        <f>IF(V4168="","",INDEX(Fornecedores!$X$1:$X$6631,V4168))</f>
        <v/>
      </c>
      <c r="Y4168" s="4" t="str">
        <f t="shared" si="4"/>
        <v/>
      </c>
    </row>
    <row r="4169" spans="19:25">
      <c r="S4169" t="str">
        <f t="shared" si="0"/>
        <v/>
      </c>
      <c r="T4169" t="str">
        <f t="shared" si="1"/>
        <v/>
      </c>
      <c r="U4169" t="str">
        <f t="shared" si="2"/>
        <v/>
      </c>
      <c r="V4169" t="str">
        <f>IF(OR(U4169="",U4169="ERRO_CHAVE"),"",IFERROR(MATCH(U4169,Fornecedores!$AF$1:$AF$6631,0),""))</f>
        <v/>
      </c>
      <c r="W4169" t="str">
        <f t="shared" si="3"/>
        <v/>
      </c>
      <c r="X4169" s="4" t="str">
        <f>IF(V4169="","",INDEX(Fornecedores!$X$1:$X$6631,V4169))</f>
        <v/>
      </c>
      <c r="Y4169" s="4" t="str">
        <f t="shared" si="4"/>
        <v/>
      </c>
    </row>
    <row r="4170" spans="19:25">
      <c r="S4170" t="str">
        <f t="shared" si="0"/>
        <v/>
      </c>
      <c r="T4170" t="str">
        <f t="shared" si="1"/>
        <v/>
      </c>
      <c r="U4170" t="str">
        <f t="shared" si="2"/>
        <v/>
      </c>
      <c r="V4170" t="str">
        <f>IF(OR(U4170="",U4170="ERRO_CHAVE"),"",IFERROR(MATCH(U4170,Fornecedores!$AF$1:$AF$6631,0),""))</f>
        <v/>
      </c>
      <c r="W4170" t="str">
        <f t="shared" si="3"/>
        <v/>
      </c>
      <c r="X4170" s="4" t="str">
        <f>IF(V4170="","",INDEX(Fornecedores!$X$1:$X$6631,V4170))</f>
        <v/>
      </c>
      <c r="Y4170" s="4" t="str">
        <f t="shared" si="4"/>
        <v/>
      </c>
    </row>
    <row r="4171" spans="19:25">
      <c r="S4171" t="str">
        <f t="shared" si="0"/>
        <v/>
      </c>
      <c r="T4171" t="str">
        <f t="shared" si="1"/>
        <v/>
      </c>
      <c r="U4171" t="str">
        <f t="shared" si="2"/>
        <v/>
      </c>
      <c r="V4171" t="str">
        <f>IF(OR(U4171="",U4171="ERRO_CHAVE"),"",IFERROR(MATCH(U4171,Fornecedores!$AF$1:$AF$6631,0),""))</f>
        <v/>
      </c>
      <c r="W4171" t="str">
        <f t="shared" si="3"/>
        <v/>
      </c>
      <c r="X4171" s="4" t="str">
        <f>IF(V4171="","",INDEX(Fornecedores!$X$1:$X$6631,V4171))</f>
        <v/>
      </c>
      <c r="Y4171" s="4" t="str">
        <f t="shared" si="4"/>
        <v/>
      </c>
    </row>
    <row r="4172" spans="19:25">
      <c r="S4172" t="str">
        <f t="shared" si="0"/>
        <v/>
      </c>
      <c r="T4172" t="str">
        <f t="shared" si="1"/>
        <v/>
      </c>
      <c r="U4172" t="str">
        <f t="shared" si="2"/>
        <v/>
      </c>
      <c r="V4172" t="str">
        <f>IF(OR(U4172="",U4172="ERRO_CHAVE"),"",IFERROR(MATCH(U4172,Fornecedores!$AF$1:$AF$6631,0),""))</f>
        <v/>
      </c>
      <c r="W4172" t="str">
        <f t="shared" si="3"/>
        <v/>
      </c>
      <c r="X4172" s="4" t="str">
        <f>IF(V4172="","",INDEX(Fornecedores!$X$1:$X$6631,V4172))</f>
        <v/>
      </c>
      <c r="Y4172" s="4" t="str">
        <f t="shared" si="4"/>
        <v/>
      </c>
    </row>
    <row r="4173" spans="19:25">
      <c r="S4173" t="str">
        <f t="shared" si="0"/>
        <v/>
      </c>
      <c r="T4173" t="str">
        <f t="shared" si="1"/>
        <v/>
      </c>
      <c r="U4173" t="str">
        <f t="shared" si="2"/>
        <v/>
      </c>
      <c r="V4173" t="str">
        <f>IF(OR(U4173="",U4173="ERRO_CHAVE"),"",IFERROR(MATCH(U4173,Fornecedores!$AF$1:$AF$6631,0),""))</f>
        <v/>
      </c>
      <c r="W4173" t="str">
        <f t="shared" si="3"/>
        <v/>
      </c>
      <c r="X4173" s="4" t="str">
        <f>IF(V4173="","",INDEX(Fornecedores!$X$1:$X$6631,V4173))</f>
        <v/>
      </c>
      <c r="Y4173" s="4" t="str">
        <f t="shared" si="4"/>
        <v/>
      </c>
    </row>
    <row r="4174" spans="19:25">
      <c r="S4174" t="str">
        <f t="shared" si="0"/>
        <v/>
      </c>
      <c r="T4174" t="str">
        <f t="shared" si="1"/>
        <v/>
      </c>
      <c r="U4174" t="str">
        <f t="shared" si="2"/>
        <v/>
      </c>
      <c r="V4174" t="str">
        <f>IF(OR(U4174="",U4174="ERRO_CHAVE"),"",IFERROR(MATCH(U4174,Fornecedores!$AF$1:$AF$6631,0),""))</f>
        <v/>
      </c>
      <c r="W4174" t="str">
        <f t="shared" si="3"/>
        <v/>
      </c>
      <c r="X4174" s="4" t="str">
        <f>IF(V4174="","",INDEX(Fornecedores!$X$1:$X$6631,V4174))</f>
        <v/>
      </c>
      <c r="Y4174" s="4" t="str">
        <f t="shared" si="4"/>
        <v/>
      </c>
    </row>
    <row r="4175" spans="19:25">
      <c r="S4175" t="str">
        <f t="shared" si="0"/>
        <v/>
      </c>
      <c r="T4175" t="str">
        <f t="shared" si="1"/>
        <v/>
      </c>
      <c r="U4175" t="str">
        <f t="shared" si="2"/>
        <v/>
      </c>
      <c r="V4175" t="str">
        <f>IF(OR(U4175="",U4175="ERRO_CHAVE"),"",IFERROR(MATCH(U4175,Fornecedores!$AF$1:$AF$6631,0),""))</f>
        <v/>
      </c>
      <c r="W4175" t="str">
        <f t="shared" si="3"/>
        <v/>
      </c>
      <c r="X4175" s="4" t="str">
        <f>IF(V4175="","",INDEX(Fornecedores!$X$1:$X$6631,V4175))</f>
        <v/>
      </c>
      <c r="Y4175" s="4" t="str">
        <f t="shared" si="4"/>
        <v/>
      </c>
    </row>
    <row r="4176" spans="19:25">
      <c r="S4176" t="str">
        <f t="shared" si="0"/>
        <v/>
      </c>
      <c r="T4176" t="str">
        <f t="shared" si="1"/>
        <v/>
      </c>
      <c r="U4176" t="str">
        <f t="shared" si="2"/>
        <v/>
      </c>
      <c r="V4176" t="str">
        <f>IF(OR(U4176="",U4176="ERRO_CHAVE"),"",IFERROR(MATCH(U4176,Fornecedores!$AF$1:$AF$6631,0),""))</f>
        <v/>
      </c>
      <c r="W4176" t="str">
        <f t="shared" si="3"/>
        <v/>
      </c>
      <c r="X4176" s="4" t="str">
        <f>IF(V4176="","",INDEX(Fornecedores!$X$1:$X$6631,V4176))</f>
        <v/>
      </c>
      <c r="Y4176" s="4" t="str">
        <f t="shared" si="4"/>
        <v/>
      </c>
    </row>
    <row r="4177" spans="19:25">
      <c r="S4177" t="str">
        <f t="shared" si="0"/>
        <v/>
      </c>
      <c r="T4177" t="str">
        <f t="shared" si="1"/>
        <v/>
      </c>
      <c r="U4177" t="str">
        <f t="shared" si="2"/>
        <v/>
      </c>
      <c r="V4177" t="str">
        <f>IF(OR(U4177="",U4177="ERRO_CHAVE"),"",IFERROR(MATCH(U4177,Fornecedores!$AF$1:$AF$6631,0),""))</f>
        <v/>
      </c>
      <c r="W4177" t="str">
        <f t="shared" si="3"/>
        <v/>
      </c>
      <c r="X4177" s="4" t="str">
        <f>IF(V4177="","",INDEX(Fornecedores!$X$1:$X$6631,V4177))</f>
        <v/>
      </c>
      <c r="Y4177" s="4" t="str">
        <f t="shared" si="4"/>
        <v/>
      </c>
    </row>
    <row r="4178" spans="19:25">
      <c r="S4178" t="str">
        <f t="shared" si="0"/>
        <v/>
      </c>
      <c r="T4178" t="str">
        <f t="shared" si="1"/>
        <v/>
      </c>
      <c r="U4178" t="str">
        <f t="shared" si="2"/>
        <v/>
      </c>
      <c r="V4178" t="str">
        <f>IF(OR(U4178="",U4178="ERRO_CHAVE"),"",IFERROR(MATCH(U4178,Fornecedores!$AF$1:$AF$6631,0),""))</f>
        <v/>
      </c>
      <c r="W4178" t="str">
        <f t="shared" si="3"/>
        <v/>
      </c>
      <c r="X4178" s="4" t="str">
        <f>IF(V4178="","",INDEX(Fornecedores!$X$1:$X$6631,V4178))</f>
        <v/>
      </c>
      <c r="Y4178" s="4" t="str">
        <f t="shared" si="4"/>
        <v/>
      </c>
    </row>
    <row r="4179" spans="19:25">
      <c r="S4179" t="str">
        <f t="shared" si="0"/>
        <v/>
      </c>
      <c r="T4179" t="str">
        <f t="shared" si="1"/>
        <v/>
      </c>
      <c r="U4179" t="str">
        <f t="shared" si="2"/>
        <v/>
      </c>
      <c r="V4179" t="str">
        <f>IF(OR(U4179="",U4179="ERRO_CHAVE"),"",IFERROR(MATCH(U4179,Fornecedores!$AF$1:$AF$6631,0),""))</f>
        <v/>
      </c>
      <c r="W4179" t="str">
        <f t="shared" si="3"/>
        <v/>
      </c>
      <c r="X4179" s="4" t="str">
        <f>IF(V4179="","",INDEX(Fornecedores!$X$1:$X$6631,V4179))</f>
        <v/>
      </c>
      <c r="Y4179" s="4" t="str">
        <f t="shared" si="4"/>
        <v/>
      </c>
    </row>
    <row r="4180" spans="19:25">
      <c r="S4180" t="str">
        <f t="shared" si="0"/>
        <v/>
      </c>
      <c r="T4180" t="str">
        <f t="shared" si="1"/>
        <v/>
      </c>
      <c r="U4180" t="str">
        <f t="shared" si="2"/>
        <v/>
      </c>
      <c r="V4180" t="str">
        <f>IF(OR(U4180="",U4180="ERRO_CHAVE"),"",IFERROR(MATCH(U4180,Fornecedores!$AF$1:$AF$6631,0),""))</f>
        <v/>
      </c>
      <c r="W4180" t="str">
        <f t="shared" si="3"/>
        <v/>
      </c>
      <c r="X4180" s="4" t="str">
        <f>IF(V4180="","",INDEX(Fornecedores!$X$1:$X$6631,V4180))</f>
        <v/>
      </c>
      <c r="Y4180" s="4" t="str">
        <f t="shared" si="4"/>
        <v/>
      </c>
    </row>
    <row r="4181" spans="19:25">
      <c r="S4181" t="str">
        <f t="shared" si="0"/>
        <v/>
      </c>
      <c r="T4181" t="str">
        <f t="shared" si="1"/>
        <v/>
      </c>
      <c r="U4181" t="str">
        <f t="shared" si="2"/>
        <v/>
      </c>
      <c r="V4181" t="str">
        <f>IF(OR(U4181="",U4181="ERRO_CHAVE"),"",IFERROR(MATCH(U4181,Fornecedores!$AF$1:$AF$6631,0),""))</f>
        <v/>
      </c>
      <c r="W4181" t="str">
        <f t="shared" si="3"/>
        <v/>
      </c>
      <c r="X4181" s="4" t="str">
        <f>IF(V4181="","",INDEX(Fornecedores!$X$1:$X$6631,V4181))</f>
        <v/>
      </c>
      <c r="Y4181" s="4" t="str">
        <f t="shared" si="4"/>
        <v/>
      </c>
    </row>
    <row r="4182" spans="19:25">
      <c r="S4182" t="str">
        <f t="shared" si="0"/>
        <v/>
      </c>
      <c r="T4182" t="str">
        <f t="shared" si="1"/>
        <v/>
      </c>
      <c r="U4182" t="str">
        <f t="shared" si="2"/>
        <v/>
      </c>
      <c r="V4182" t="str">
        <f>IF(OR(U4182="",U4182="ERRO_CHAVE"),"",IFERROR(MATCH(U4182,Fornecedores!$AF$1:$AF$6631,0),""))</f>
        <v/>
      </c>
      <c r="W4182" t="str">
        <f t="shared" si="3"/>
        <v/>
      </c>
      <c r="X4182" s="4" t="str">
        <f>IF(V4182="","",INDEX(Fornecedores!$X$1:$X$6631,V4182))</f>
        <v/>
      </c>
      <c r="Y4182" s="4" t="str">
        <f t="shared" si="4"/>
        <v/>
      </c>
    </row>
    <row r="4183" spans="19:25">
      <c r="S4183" t="str">
        <f t="shared" si="0"/>
        <v/>
      </c>
      <c r="T4183" t="str">
        <f t="shared" si="1"/>
        <v/>
      </c>
      <c r="U4183" t="str">
        <f t="shared" si="2"/>
        <v/>
      </c>
      <c r="V4183" t="str">
        <f>IF(OR(U4183="",U4183="ERRO_CHAVE"),"",IFERROR(MATCH(U4183,Fornecedores!$AF$1:$AF$6631,0),""))</f>
        <v/>
      </c>
      <c r="W4183" t="str">
        <f t="shared" si="3"/>
        <v/>
      </c>
      <c r="X4183" s="4" t="str">
        <f>IF(V4183="","",INDEX(Fornecedores!$X$1:$X$6631,V4183))</f>
        <v/>
      </c>
      <c r="Y4183" s="4" t="str">
        <f t="shared" si="4"/>
        <v/>
      </c>
    </row>
    <row r="4184" spans="19:25">
      <c r="S4184" t="str">
        <f t="shared" si="0"/>
        <v/>
      </c>
      <c r="T4184" t="str">
        <f t="shared" si="1"/>
        <v/>
      </c>
      <c r="U4184" t="str">
        <f t="shared" si="2"/>
        <v/>
      </c>
      <c r="V4184" t="str">
        <f>IF(OR(U4184="",U4184="ERRO_CHAVE"),"",IFERROR(MATCH(U4184,Fornecedores!$AF$1:$AF$6631,0),""))</f>
        <v/>
      </c>
      <c r="W4184" t="str">
        <f t="shared" si="3"/>
        <v/>
      </c>
      <c r="X4184" s="4" t="str">
        <f>IF(V4184="","",INDEX(Fornecedores!$X$1:$X$6631,V4184))</f>
        <v/>
      </c>
      <c r="Y4184" s="4" t="str">
        <f t="shared" si="4"/>
        <v/>
      </c>
    </row>
    <row r="4185" spans="19:25">
      <c r="S4185" t="str">
        <f t="shared" si="0"/>
        <v/>
      </c>
      <c r="T4185" t="str">
        <f t="shared" si="1"/>
        <v/>
      </c>
      <c r="U4185" t="str">
        <f t="shared" si="2"/>
        <v/>
      </c>
      <c r="V4185" t="str">
        <f>IF(OR(U4185="",U4185="ERRO_CHAVE"),"",IFERROR(MATCH(U4185,Fornecedores!$AF$1:$AF$6631,0),""))</f>
        <v/>
      </c>
      <c r="W4185" t="str">
        <f t="shared" si="3"/>
        <v/>
      </c>
      <c r="X4185" s="4" t="str">
        <f>IF(V4185="","",INDEX(Fornecedores!$X$1:$X$6631,V4185))</f>
        <v/>
      </c>
      <c r="Y4185" s="4" t="str">
        <f t="shared" si="4"/>
        <v/>
      </c>
    </row>
    <row r="4186" spans="19:25">
      <c r="S4186" t="str">
        <f t="shared" si="0"/>
        <v/>
      </c>
      <c r="T4186" t="str">
        <f t="shared" si="1"/>
        <v/>
      </c>
      <c r="U4186" t="str">
        <f t="shared" si="2"/>
        <v/>
      </c>
      <c r="V4186" t="str">
        <f>IF(OR(U4186="",U4186="ERRO_CHAVE"),"",IFERROR(MATCH(U4186,Fornecedores!$AF$1:$AF$6631,0),""))</f>
        <v/>
      </c>
      <c r="W4186" t="str">
        <f t="shared" si="3"/>
        <v/>
      </c>
      <c r="X4186" s="4" t="str">
        <f>IF(V4186="","",INDEX(Fornecedores!$X$1:$X$6631,V4186))</f>
        <v/>
      </c>
      <c r="Y4186" s="4" t="str">
        <f t="shared" si="4"/>
        <v/>
      </c>
    </row>
    <row r="4187" spans="19:25">
      <c r="S4187" t="str">
        <f t="shared" si="0"/>
        <v/>
      </c>
      <c r="T4187" t="str">
        <f t="shared" si="1"/>
        <v/>
      </c>
      <c r="U4187" t="str">
        <f t="shared" si="2"/>
        <v/>
      </c>
      <c r="V4187" t="str">
        <f>IF(OR(U4187="",U4187="ERRO_CHAVE"),"",IFERROR(MATCH(U4187,Fornecedores!$AF$1:$AF$6631,0),""))</f>
        <v/>
      </c>
      <c r="W4187" t="str">
        <f t="shared" si="3"/>
        <v/>
      </c>
      <c r="X4187" s="4" t="str">
        <f>IF(V4187="","",INDEX(Fornecedores!$X$1:$X$6631,V4187))</f>
        <v/>
      </c>
      <c r="Y4187" s="4" t="str">
        <f t="shared" si="4"/>
        <v/>
      </c>
    </row>
    <row r="4188" spans="19:25">
      <c r="S4188" t="str">
        <f t="shared" si="0"/>
        <v/>
      </c>
      <c r="T4188" t="str">
        <f t="shared" si="1"/>
        <v/>
      </c>
      <c r="U4188" t="str">
        <f t="shared" si="2"/>
        <v/>
      </c>
      <c r="V4188" t="str">
        <f>IF(OR(U4188="",U4188="ERRO_CHAVE"),"",IFERROR(MATCH(U4188,Fornecedores!$AF$1:$AF$6631,0),""))</f>
        <v/>
      </c>
      <c r="W4188" t="str">
        <f t="shared" si="3"/>
        <v/>
      </c>
      <c r="X4188" s="4" t="str">
        <f>IF(V4188="","",INDEX(Fornecedores!$X$1:$X$6631,V4188))</f>
        <v/>
      </c>
      <c r="Y4188" s="4" t="str">
        <f t="shared" si="4"/>
        <v/>
      </c>
    </row>
    <row r="4189" spans="19:25">
      <c r="S4189" t="str">
        <f t="shared" si="0"/>
        <v/>
      </c>
      <c r="T4189" t="str">
        <f t="shared" si="1"/>
        <v/>
      </c>
      <c r="U4189" t="str">
        <f t="shared" si="2"/>
        <v/>
      </c>
      <c r="V4189" t="str">
        <f>IF(OR(U4189="",U4189="ERRO_CHAVE"),"",IFERROR(MATCH(U4189,Fornecedores!$AF$1:$AF$6631,0),""))</f>
        <v/>
      </c>
      <c r="W4189" t="str">
        <f t="shared" si="3"/>
        <v/>
      </c>
      <c r="X4189" s="4" t="str">
        <f>IF(V4189="","",INDEX(Fornecedores!$X$1:$X$6631,V4189))</f>
        <v/>
      </c>
      <c r="Y4189" s="4" t="str">
        <f t="shared" si="4"/>
        <v/>
      </c>
    </row>
    <row r="4190" spans="19:25">
      <c r="S4190" t="str">
        <f t="shared" si="0"/>
        <v/>
      </c>
      <c r="T4190" t="str">
        <f t="shared" si="1"/>
        <v/>
      </c>
      <c r="U4190" t="str">
        <f t="shared" si="2"/>
        <v/>
      </c>
      <c r="V4190" t="str">
        <f>IF(OR(U4190="",U4190="ERRO_CHAVE"),"",IFERROR(MATCH(U4190,Fornecedores!$AF$1:$AF$6631,0),""))</f>
        <v/>
      </c>
      <c r="W4190" t="str">
        <f t="shared" si="3"/>
        <v/>
      </c>
      <c r="X4190" s="4" t="str">
        <f>IF(V4190="","",INDEX(Fornecedores!$X$1:$X$6631,V4190))</f>
        <v/>
      </c>
      <c r="Y4190" s="4" t="str">
        <f t="shared" si="4"/>
        <v/>
      </c>
    </row>
    <row r="4191" spans="19:25">
      <c r="S4191" t="str">
        <f t="shared" si="0"/>
        <v/>
      </c>
      <c r="T4191" t="str">
        <f t="shared" si="1"/>
        <v/>
      </c>
      <c r="U4191" t="str">
        <f t="shared" si="2"/>
        <v/>
      </c>
      <c r="V4191" t="str">
        <f>IF(OR(U4191="",U4191="ERRO_CHAVE"),"",IFERROR(MATCH(U4191,Fornecedores!$AF$1:$AF$6631,0),""))</f>
        <v/>
      </c>
      <c r="W4191" t="str">
        <f t="shared" si="3"/>
        <v/>
      </c>
      <c r="X4191" s="4" t="str">
        <f>IF(V4191="","",INDEX(Fornecedores!$X$1:$X$6631,V4191))</f>
        <v/>
      </c>
      <c r="Y4191" s="4" t="str">
        <f t="shared" si="4"/>
        <v/>
      </c>
    </row>
    <row r="4192" spans="19:25">
      <c r="S4192" t="str">
        <f t="shared" si="0"/>
        <v/>
      </c>
      <c r="T4192" t="str">
        <f t="shared" si="1"/>
        <v/>
      </c>
      <c r="U4192" t="str">
        <f t="shared" si="2"/>
        <v/>
      </c>
      <c r="V4192" t="str">
        <f>IF(OR(U4192="",U4192="ERRO_CHAVE"),"",IFERROR(MATCH(U4192,Fornecedores!$AF$1:$AF$6631,0),""))</f>
        <v/>
      </c>
      <c r="W4192" t="str">
        <f t="shared" si="3"/>
        <v/>
      </c>
      <c r="X4192" s="4" t="str">
        <f>IF(V4192="","",INDEX(Fornecedores!$X$1:$X$6631,V4192))</f>
        <v/>
      </c>
      <c r="Y4192" s="4" t="str">
        <f t="shared" si="4"/>
        <v/>
      </c>
    </row>
    <row r="4193" spans="19:25">
      <c r="S4193" t="str">
        <f t="shared" si="0"/>
        <v/>
      </c>
      <c r="T4193" t="str">
        <f t="shared" si="1"/>
        <v/>
      </c>
      <c r="U4193" t="str">
        <f t="shared" si="2"/>
        <v/>
      </c>
      <c r="V4193" t="str">
        <f>IF(OR(U4193="",U4193="ERRO_CHAVE"),"",IFERROR(MATCH(U4193,Fornecedores!$AF$1:$AF$6631,0),""))</f>
        <v/>
      </c>
      <c r="W4193" t="str">
        <f t="shared" si="3"/>
        <v/>
      </c>
      <c r="X4193" s="4" t="str">
        <f>IF(V4193="","",INDEX(Fornecedores!$X$1:$X$6631,V4193))</f>
        <v/>
      </c>
      <c r="Y4193" s="4" t="str">
        <f t="shared" si="4"/>
        <v/>
      </c>
    </row>
    <row r="4194" spans="19:25">
      <c r="S4194" t="str">
        <f t="shared" si="0"/>
        <v/>
      </c>
      <c r="T4194" t="str">
        <f t="shared" si="1"/>
        <v/>
      </c>
      <c r="U4194" t="str">
        <f t="shared" si="2"/>
        <v/>
      </c>
      <c r="V4194" t="str">
        <f>IF(OR(U4194="",U4194="ERRO_CHAVE"),"",IFERROR(MATCH(U4194,Fornecedores!$AF$1:$AF$6631,0),""))</f>
        <v/>
      </c>
      <c r="W4194" t="str">
        <f t="shared" si="3"/>
        <v/>
      </c>
      <c r="X4194" s="4" t="str">
        <f>IF(V4194="","",INDEX(Fornecedores!$X$1:$X$6631,V4194))</f>
        <v/>
      </c>
      <c r="Y4194" s="4" t="str">
        <f t="shared" si="4"/>
        <v/>
      </c>
    </row>
    <row r="4195" spans="19:25">
      <c r="S4195" t="str">
        <f t="shared" si="0"/>
        <v/>
      </c>
      <c r="T4195" t="str">
        <f t="shared" si="1"/>
        <v/>
      </c>
      <c r="U4195" t="str">
        <f t="shared" si="2"/>
        <v/>
      </c>
      <c r="V4195" t="str">
        <f>IF(OR(U4195="",U4195="ERRO_CHAVE"),"",IFERROR(MATCH(U4195,Fornecedores!$AF$1:$AF$6631,0),""))</f>
        <v/>
      </c>
      <c r="W4195" t="str">
        <f t="shared" si="3"/>
        <v/>
      </c>
      <c r="X4195" s="4" t="str">
        <f>IF(V4195="","",INDEX(Fornecedores!$X$1:$X$6631,V4195))</f>
        <v/>
      </c>
      <c r="Y4195" s="4" t="str">
        <f t="shared" si="4"/>
        <v/>
      </c>
    </row>
    <row r="4196" spans="19:25">
      <c r="S4196" t="str">
        <f t="shared" si="0"/>
        <v/>
      </c>
      <c r="T4196" t="str">
        <f t="shared" si="1"/>
        <v/>
      </c>
      <c r="U4196" t="str">
        <f t="shared" si="2"/>
        <v/>
      </c>
      <c r="V4196" t="str">
        <f>IF(OR(U4196="",U4196="ERRO_CHAVE"),"",IFERROR(MATCH(U4196,Fornecedores!$AF$1:$AF$6631,0),""))</f>
        <v/>
      </c>
      <c r="W4196" t="str">
        <f t="shared" si="3"/>
        <v/>
      </c>
      <c r="X4196" s="4" t="str">
        <f>IF(V4196="","",INDEX(Fornecedores!$X$1:$X$6631,V4196))</f>
        <v/>
      </c>
      <c r="Y4196" s="4" t="str">
        <f t="shared" si="4"/>
        <v/>
      </c>
    </row>
    <row r="4197" spans="19:25">
      <c r="S4197" t="str">
        <f t="shared" si="0"/>
        <v/>
      </c>
      <c r="T4197" t="str">
        <f t="shared" si="1"/>
        <v/>
      </c>
      <c r="U4197" t="str">
        <f t="shared" si="2"/>
        <v/>
      </c>
      <c r="V4197" t="str">
        <f>IF(OR(U4197="",U4197="ERRO_CHAVE"),"",IFERROR(MATCH(U4197,Fornecedores!$AF$1:$AF$6631,0),""))</f>
        <v/>
      </c>
      <c r="W4197" t="str">
        <f t="shared" si="3"/>
        <v/>
      </c>
      <c r="X4197" s="4" t="str">
        <f>IF(V4197="","",INDEX(Fornecedores!$X$1:$X$6631,V4197))</f>
        <v/>
      </c>
      <c r="Y4197" s="4" t="str">
        <f t="shared" si="4"/>
        <v/>
      </c>
    </row>
    <row r="4198" spans="19:25">
      <c r="S4198" t="str">
        <f t="shared" si="0"/>
        <v/>
      </c>
      <c r="T4198" t="str">
        <f t="shared" si="1"/>
        <v/>
      </c>
      <c r="U4198" t="str">
        <f t="shared" si="2"/>
        <v/>
      </c>
      <c r="V4198" t="str">
        <f>IF(OR(U4198="",U4198="ERRO_CHAVE"),"",IFERROR(MATCH(U4198,Fornecedores!$AF$1:$AF$6631,0),""))</f>
        <v/>
      </c>
      <c r="W4198" t="str">
        <f t="shared" si="3"/>
        <v/>
      </c>
      <c r="X4198" s="4" t="str">
        <f>IF(V4198="","",INDEX(Fornecedores!$X$1:$X$6631,V4198))</f>
        <v/>
      </c>
      <c r="Y4198" s="4" t="str">
        <f t="shared" si="4"/>
        <v/>
      </c>
    </row>
    <row r="4199" spans="19:25">
      <c r="S4199" t="str">
        <f t="shared" si="0"/>
        <v/>
      </c>
      <c r="T4199" t="str">
        <f t="shared" si="1"/>
        <v/>
      </c>
      <c r="U4199" t="str">
        <f t="shared" si="2"/>
        <v/>
      </c>
      <c r="V4199" t="str">
        <f>IF(OR(U4199="",U4199="ERRO_CHAVE"),"",IFERROR(MATCH(U4199,Fornecedores!$AF$1:$AF$6631,0),""))</f>
        <v/>
      </c>
      <c r="W4199" t="str">
        <f t="shared" si="3"/>
        <v/>
      </c>
      <c r="X4199" s="4" t="str">
        <f>IF(V4199="","",INDEX(Fornecedores!$X$1:$X$6631,V4199))</f>
        <v/>
      </c>
      <c r="Y4199" s="4" t="str">
        <f t="shared" si="4"/>
        <v/>
      </c>
    </row>
    <row r="4200" spans="19:25">
      <c r="S4200" t="str">
        <f t="shared" si="0"/>
        <v/>
      </c>
      <c r="T4200" t="str">
        <f t="shared" si="1"/>
        <v/>
      </c>
      <c r="U4200" t="str">
        <f t="shared" si="2"/>
        <v/>
      </c>
      <c r="V4200" t="str">
        <f>IF(OR(U4200="",U4200="ERRO_CHAVE"),"",IFERROR(MATCH(U4200,Fornecedores!$AF$1:$AF$6631,0),""))</f>
        <v/>
      </c>
      <c r="W4200" t="str">
        <f t="shared" si="3"/>
        <v/>
      </c>
      <c r="X4200" s="4" t="str">
        <f>IF(V4200="","",INDEX(Fornecedores!$X$1:$X$6631,V4200))</f>
        <v/>
      </c>
      <c r="Y4200" s="4" t="str">
        <f t="shared" si="4"/>
        <v/>
      </c>
    </row>
    <row r="4201" spans="19:25">
      <c r="S4201" t="str">
        <f t="shared" si="0"/>
        <v/>
      </c>
      <c r="T4201" t="str">
        <f t="shared" si="1"/>
        <v/>
      </c>
      <c r="U4201" t="str">
        <f t="shared" si="2"/>
        <v/>
      </c>
      <c r="V4201" t="str">
        <f>IF(OR(U4201="",U4201="ERRO_CHAVE"),"",IFERROR(MATCH(U4201,Fornecedores!$AF$1:$AF$6631,0),""))</f>
        <v/>
      </c>
      <c r="W4201" t="str">
        <f t="shared" si="3"/>
        <v/>
      </c>
      <c r="X4201" s="4" t="str">
        <f>IF(V4201="","",INDEX(Fornecedores!$X$1:$X$6631,V4201))</f>
        <v/>
      </c>
      <c r="Y4201" s="4" t="str">
        <f t="shared" si="4"/>
        <v/>
      </c>
    </row>
    <row r="4202" spans="19:25">
      <c r="S4202" t="str">
        <f t="shared" si="0"/>
        <v/>
      </c>
      <c r="T4202" t="str">
        <f t="shared" si="1"/>
        <v/>
      </c>
      <c r="U4202" t="str">
        <f t="shared" si="2"/>
        <v/>
      </c>
      <c r="V4202" t="str">
        <f>IF(OR(U4202="",U4202="ERRO_CHAVE"),"",IFERROR(MATCH(U4202,Fornecedores!$AF$1:$AF$6631,0),""))</f>
        <v/>
      </c>
      <c r="W4202" t="str">
        <f t="shared" si="3"/>
        <v/>
      </c>
      <c r="X4202" s="4" t="str">
        <f>IF(V4202="","",INDEX(Fornecedores!$X$1:$X$6631,V4202))</f>
        <v/>
      </c>
      <c r="Y4202" s="4" t="str">
        <f t="shared" si="4"/>
        <v/>
      </c>
    </row>
    <row r="4203" spans="19:25">
      <c r="S4203" t="str">
        <f t="shared" si="0"/>
        <v/>
      </c>
      <c r="T4203" t="str">
        <f t="shared" si="1"/>
        <v/>
      </c>
      <c r="U4203" t="str">
        <f t="shared" si="2"/>
        <v/>
      </c>
      <c r="V4203" t="str">
        <f>IF(OR(U4203="",U4203="ERRO_CHAVE"),"",IFERROR(MATCH(U4203,Fornecedores!$AF$1:$AF$6631,0),""))</f>
        <v/>
      </c>
      <c r="W4203" t="str">
        <f t="shared" si="3"/>
        <v/>
      </c>
      <c r="X4203" s="4" t="str">
        <f>IF(V4203="","",INDEX(Fornecedores!$X$1:$X$6631,V4203))</f>
        <v/>
      </c>
      <c r="Y4203" s="4" t="str">
        <f t="shared" si="4"/>
        <v/>
      </c>
    </row>
    <row r="4204" spans="19:25">
      <c r="S4204" t="str">
        <f t="shared" si="0"/>
        <v/>
      </c>
      <c r="T4204" t="str">
        <f t="shared" si="1"/>
        <v/>
      </c>
      <c r="U4204" t="str">
        <f t="shared" si="2"/>
        <v/>
      </c>
      <c r="V4204" t="str">
        <f>IF(OR(U4204="",U4204="ERRO_CHAVE"),"",IFERROR(MATCH(U4204,Fornecedores!$AF$1:$AF$6631,0),""))</f>
        <v/>
      </c>
      <c r="W4204" t="str">
        <f t="shared" si="3"/>
        <v/>
      </c>
      <c r="X4204" s="4" t="str">
        <f>IF(V4204="","",INDEX(Fornecedores!$X$1:$X$6631,V4204))</f>
        <v/>
      </c>
      <c r="Y4204" s="4" t="str">
        <f t="shared" si="4"/>
        <v/>
      </c>
    </row>
    <row r="4205" spans="19:25">
      <c r="S4205" t="str">
        <f t="shared" si="0"/>
        <v/>
      </c>
      <c r="T4205" t="str">
        <f t="shared" si="1"/>
        <v/>
      </c>
      <c r="U4205" t="str">
        <f t="shared" si="2"/>
        <v/>
      </c>
      <c r="V4205" t="str">
        <f>IF(OR(U4205="",U4205="ERRO_CHAVE"),"",IFERROR(MATCH(U4205,Fornecedores!$AF$1:$AF$6631,0),""))</f>
        <v/>
      </c>
      <c r="W4205" t="str">
        <f t="shared" si="3"/>
        <v/>
      </c>
      <c r="X4205" s="4" t="str">
        <f>IF(V4205="","",INDEX(Fornecedores!$X$1:$X$6631,V4205))</f>
        <v/>
      </c>
      <c r="Y4205" s="4" t="str">
        <f t="shared" si="4"/>
        <v/>
      </c>
    </row>
    <row r="4206" spans="19:25">
      <c r="S4206" t="str">
        <f t="shared" si="0"/>
        <v/>
      </c>
      <c r="T4206" t="str">
        <f t="shared" si="1"/>
        <v/>
      </c>
      <c r="U4206" t="str">
        <f t="shared" si="2"/>
        <v/>
      </c>
      <c r="V4206" t="str">
        <f>IF(OR(U4206="",U4206="ERRO_CHAVE"),"",IFERROR(MATCH(U4206,Fornecedores!$AF$1:$AF$6631,0),""))</f>
        <v/>
      </c>
      <c r="W4206" t="str">
        <f t="shared" si="3"/>
        <v/>
      </c>
      <c r="X4206" s="4" t="str">
        <f>IF(V4206="","",INDEX(Fornecedores!$X$1:$X$6631,V4206))</f>
        <v/>
      </c>
      <c r="Y4206" s="4" t="str">
        <f t="shared" si="4"/>
        <v/>
      </c>
    </row>
    <row r="4207" spans="19:25">
      <c r="S4207" t="str">
        <f t="shared" si="0"/>
        <v/>
      </c>
      <c r="T4207" t="str">
        <f t="shared" si="1"/>
        <v/>
      </c>
      <c r="U4207" t="str">
        <f t="shared" si="2"/>
        <v/>
      </c>
      <c r="V4207" t="str">
        <f>IF(OR(U4207="",U4207="ERRO_CHAVE"),"",IFERROR(MATCH(U4207,Fornecedores!$AF$1:$AF$6631,0),""))</f>
        <v/>
      </c>
      <c r="W4207" t="str">
        <f t="shared" si="3"/>
        <v/>
      </c>
      <c r="X4207" s="4" t="str">
        <f>IF(V4207="","",INDEX(Fornecedores!$X$1:$X$6631,V4207))</f>
        <v/>
      </c>
      <c r="Y4207" s="4" t="str">
        <f t="shared" si="4"/>
        <v/>
      </c>
    </row>
    <row r="4208" spans="19:25">
      <c r="S4208" t="str">
        <f t="shared" si="0"/>
        <v/>
      </c>
      <c r="T4208" t="str">
        <f t="shared" si="1"/>
        <v/>
      </c>
      <c r="U4208" t="str">
        <f t="shared" si="2"/>
        <v/>
      </c>
      <c r="V4208" t="str">
        <f>IF(OR(U4208="",U4208="ERRO_CHAVE"),"",IFERROR(MATCH(U4208,Fornecedores!$AF$1:$AF$6631,0),""))</f>
        <v/>
      </c>
      <c r="W4208" t="str">
        <f t="shared" si="3"/>
        <v/>
      </c>
      <c r="X4208" s="4" t="str">
        <f>IF(V4208="","",INDEX(Fornecedores!$X$1:$X$6631,V4208))</f>
        <v/>
      </c>
      <c r="Y4208" s="4" t="str">
        <f t="shared" si="4"/>
        <v/>
      </c>
    </row>
    <row r="4209" spans="19:25">
      <c r="S4209" t="str">
        <f t="shared" si="0"/>
        <v/>
      </c>
      <c r="T4209" t="str">
        <f t="shared" si="1"/>
        <v/>
      </c>
      <c r="U4209" t="str">
        <f t="shared" si="2"/>
        <v/>
      </c>
      <c r="V4209" t="str">
        <f>IF(OR(U4209="",U4209="ERRO_CHAVE"),"",IFERROR(MATCH(U4209,Fornecedores!$AF$1:$AF$6631,0),""))</f>
        <v/>
      </c>
      <c r="W4209" t="str">
        <f t="shared" si="3"/>
        <v/>
      </c>
      <c r="X4209" s="4" t="str">
        <f>IF(V4209="","",INDEX(Fornecedores!$X$1:$X$6631,V4209))</f>
        <v/>
      </c>
      <c r="Y4209" s="4" t="str">
        <f t="shared" si="4"/>
        <v/>
      </c>
    </row>
    <row r="4210" spans="19:25">
      <c r="S4210" t="str">
        <f t="shared" si="0"/>
        <v/>
      </c>
      <c r="T4210" t="str">
        <f t="shared" si="1"/>
        <v/>
      </c>
      <c r="U4210" t="str">
        <f t="shared" si="2"/>
        <v/>
      </c>
      <c r="V4210" t="str">
        <f>IF(OR(U4210="",U4210="ERRO_CHAVE"),"",IFERROR(MATCH(U4210,Fornecedores!$AF$1:$AF$6631,0),""))</f>
        <v/>
      </c>
      <c r="W4210" t="str">
        <f t="shared" si="3"/>
        <v/>
      </c>
      <c r="X4210" s="4" t="str">
        <f>IF(V4210="","",INDEX(Fornecedores!$X$1:$X$6631,V4210))</f>
        <v/>
      </c>
      <c r="Y4210" s="4" t="str">
        <f t="shared" si="4"/>
        <v/>
      </c>
    </row>
    <row r="4211" spans="19:25">
      <c r="S4211" t="str">
        <f t="shared" si="0"/>
        <v/>
      </c>
      <c r="T4211" t="str">
        <f t="shared" si="1"/>
        <v/>
      </c>
      <c r="U4211" t="str">
        <f t="shared" si="2"/>
        <v/>
      </c>
      <c r="V4211" t="str">
        <f>IF(OR(U4211="",U4211="ERRO_CHAVE"),"",IFERROR(MATCH(U4211,Fornecedores!$AF$1:$AF$6631,0),""))</f>
        <v/>
      </c>
      <c r="W4211" t="str">
        <f t="shared" si="3"/>
        <v/>
      </c>
      <c r="X4211" s="4" t="str">
        <f>IF(V4211="","",INDEX(Fornecedores!$X$1:$X$6631,V4211))</f>
        <v/>
      </c>
      <c r="Y4211" s="4" t="str">
        <f t="shared" si="4"/>
        <v/>
      </c>
    </row>
    <row r="4212" spans="19:25">
      <c r="S4212" t="str">
        <f t="shared" si="0"/>
        <v/>
      </c>
      <c r="T4212" t="str">
        <f t="shared" si="1"/>
        <v/>
      </c>
      <c r="U4212" t="str">
        <f t="shared" si="2"/>
        <v/>
      </c>
      <c r="V4212" t="str">
        <f>IF(OR(U4212="",U4212="ERRO_CHAVE"),"",IFERROR(MATCH(U4212,Fornecedores!$AF$1:$AF$6631,0),""))</f>
        <v/>
      </c>
      <c r="W4212" t="str">
        <f t="shared" si="3"/>
        <v/>
      </c>
      <c r="X4212" s="4" t="str">
        <f>IF(V4212="","",INDEX(Fornecedores!$X$1:$X$6631,V4212))</f>
        <v/>
      </c>
      <c r="Y4212" s="4" t="str">
        <f t="shared" si="4"/>
        <v/>
      </c>
    </row>
    <row r="4213" spans="19:25">
      <c r="S4213" t="str">
        <f t="shared" si="0"/>
        <v/>
      </c>
      <c r="T4213" t="str">
        <f t="shared" si="1"/>
        <v/>
      </c>
      <c r="U4213" t="str">
        <f t="shared" si="2"/>
        <v/>
      </c>
      <c r="V4213" t="str">
        <f>IF(OR(U4213="",U4213="ERRO_CHAVE"),"",IFERROR(MATCH(U4213,Fornecedores!$AF$1:$AF$6631,0),""))</f>
        <v/>
      </c>
      <c r="W4213" t="str">
        <f t="shared" si="3"/>
        <v/>
      </c>
      <c r="X4213" s="4" t="str">
        <f>IF(V4213="","",INDEX(Fornecedores!$X$1:$X$6631,V4213))</f>
        <v/>
      </c>
      <c r="Y4213" s="4" t="str">
        <f t="shared" si="4"/>
        <v/>
      </c>
    </row>
    <row r="4214" spans="19:25">
      <c r="S4214" t="str">
        <f t="shared" si="0"/>
        <v/>
      </c>
      <c r="T4214" t="str">
        <f t="shared" si="1"/>
        <v/>
      </c>
      <c r="U4214" t="str">
        <f t="shared" si="2"/>
        <v/>
      </c>
      <c r="V4214" t="str">
        <f>IF(OR(U4214="",U4214="ERRO_CHAVE"),"",IFERROR(MATCH(U4214,Fornecedores!$AF$1:$AF$6631,0),""))</f>
        <v/>
      </c>
      <c r="W4214" t="str">
        <f t="shared" si="3"/>
        <v/>
      </c>
      <c r="X4214" s="4" t="str">
        <f>IF(V4214="","",INDEX(Fornecedores!$X$1:$X$6631,V4214))</f>
        <v/>
      </c>
      <c r="Y4214" s="4" t="str">
        <f t="shared" si="4"/>
        <v/>
      </c>
    </row>
    <row r="4215" spans="19:25">
      <c r="S4215" t="str">
        <f t="shared" si="0"/>
        <v/>
      </c>
      <c r="T4215" t="str">
        <f t="shared" si="1"/>
        <v/>
      </c>
      <c r="U4215" t="str">
        <f t="shared" si="2"/>
        <v/>
      </c>
      <c r="V4215" t="str">
        <f>IF(OR(U4215="",U4215="ERRO_CHAVE"),"",IFERROR(MATCH(U4215,Fornecedores!$AF$1:$AF$6631,0),""))</f>
        <v/>
      </c>
      <c r="W4215" t="str">
        <f t="shared" si="3"/>
        <v/>
      </c>
      <c r="X4215" s="4" t="str">
        <f>IF(V4215="","",INDEX(Fornecedores!$X$1:$X$6631,V4215))</f>
        <v/>
      </c>
      <c r="Y4215" s="4" t="str">
        <f t="shared" si="4"/>
        <v/>
      </c>
    </row>
    <row r="4216" spans="19:25">
      <c r="S4216" t="str">
        <f t="shared" si="0"/>
        <v/>
      </c>
      <c r="T4216" t="str">
        <f t="shared" si="1"/>
        <v/>
      </c>
      <c r="U4216" t="str">
        <f t="shared" si="2"/>
        <v/>
      </c>
      <c r="V4216" t="str">
        <f>IF(OR(U4216="",U4216="ERRO_CHAVE"),"",IFERROR(MATCH(U4216,Fornecedores!$AF$1:$AF$6631,0),""))</f>
        <v/>
      </c>
      <c r="W4216" t="str">
        <f t="shared" si="3"/>
        <v/>
      </c>
      <c r="X4216" s="4" t="str">
        <f>IF(V4216="","",INDEX(Fornecedores!$X$1:$X$6631,V4216))</f>
        <v/>
      </c>
      <c r="Y4216" s="4" t="str">
        <f t="shared" si="4"/>
        <v/>
      </c>
    </row>
    <row r="4217" spans="19:25">
      <c r="S4217" t="str">
        <f t="shared" si="0"/>
        <v/>
      </c>
      <c r="T4217" t="str">
        <f t="shared" si="1"/>
        <v/>
      </c>
      <c r="U4217" t="str">
        <f t="shared" si="2"/>
        <v/>
      </c>
      <c r="V4217" t="str">
        <f>IF(OR(U4217="",U4217="ERRO_CHAVE"),"",IFERROR(MATCH(U4217,Fornecedores!$AF$1:$AF$6631,0),""))</f>
        <v/>
      </c>
      <c r="W4217" t="str">
        <f t="shared" si="3"/>
        <v/>
      </c>
      <c r="X4217" s="4" t="str">
        <f>IF(V4217="","",INDEX(Fornecedores!$X$1:$X$6631,V4217))</f>
        <v/>
      </c>
      <c r="Y4217" s="4" t="str">
        <f t="shared" si="4"/>
        <v/>
      </c>
    </row>
    <row r="4218" spans="19:25">
      <c r="S4218" t="str">
        <f t="shared" si="0"/>
        <v/>
      </c>
      <c r="T4218" t="str">
        <f t="shared" si="1"/>
        <v/>
      </c>
      <c r="U4218" t="str">
        <f t="shared" si="2"/>
        <v/>
      </c>
      <c r="V4218" t="str">
        <f>IF(OR(U4218="",U4218="ERRO_CHAVE"),"",IFERROR(MATCH(U4218,Fornecedores!$AF$1:$AF$6631,0),""))</f>
        <v/>
      </c>
      <c r="W4218" t="str">
        <f t="shared" si="3"/>
        <v/>
      </c>
      <c r="X4218" s="4" t="str">
        <f>IF(V4218="","",INDEX(Fornecedores!$X$1:$X$6631,V4218))</f>
        <v/>
      </c>
      <c r="Y4218" s="4" t="str">
        <f t="shared" si="4"/>
        <v/>
      </c>
    </row>
    <row r="4219" spans="19:25">
      <c r="S4219" t="str">
        <f t="shared" si="0"/>
        <v/>
      </c>
      <c r="T4219" t="str">
        <f t="shared" si="1"/>
        <v/>
      </c>
      <c r="U4219" t="str">
        <f t="shared" si="2"/>
        <v/>
      </c>
      <c r="V4219" t="str">
        <f>IF(OR(U4219="",U4219="ERRO_CHAVE"),"",IFERROR(MATCH(U4219,Fornecedores!$AF$1:$AF$6631,0),""))</f>
        <v/>
      </c>
      <c r="W4219" t="str">
        <f t="shared" si="3"/>
        <v/>
      </c>
      <c r="X4219" s="4" t="str">
        <f>IF(V4219="","",INDEX(Fornecedores!$X$1:$X$6631,V4219))</f>
        <v/>
      </c>
      <c r="Y4219" s="4" t="str">
        <f t="shared" si="4"/>
        <v/>
      </c>
    </row>
    <row r="4220" spans="19:25">
      <c r="S4220" t="str">
        <f t="shared" si="0"/>
        <v/>
      </c>
      <c r="T4220" t="str">
        <f t="shared" si="1"/>
        <v/>
      </c>
      <c r="U4220" t="str">
        <f t="shared" si="2"/>
        <v/>
      </c>
      <c r="V4220" t="str">
        <f>IF(OR(U4220="",U4220="ERRO_CHAVE"),"",IFERROR(MATCH(U4220,Fornecedores!$AF$1:$AF$6631,0),""))</f>
        <v/>
      </c>
      <c r="W4220" t="str">
        <f t="shared" si="3"/>
        <v/>
      </c>
      <c r="X4220" s="4" t="str">
        <f>IF(V4220="","",INDEX(Fornecedores!$X$1:$X$6631,V4220))</f>
        <v/>
      </c>
      <c r="Y4220" s="4" t="str">
        <f t="shared" si="4"/>
        <v/>
      </c>
    </row>
    <row r="4221" spans="19:25">
      <c r="S4221" t="str">
        <f t="shared" si="0"/>
        <v/>
      </c>
      <c r="T4221" t="str">
        <f t="shared" si="1"/>
        <v/>
      </c>
      <c r="U4221" t="str">
        <f t="shared" si="2"/>
        <v/>
      </c>
      <c r="V4221" t="str">
        <f>IF(OR(U4221="",U4221="ERRO_CHAVE"),"",IFERROR(MATCH(U4221,Fornecedores!$AF$1:$AF$6631,0),""))</f>
        <v/>
      </c>
      <c r="W4221" t="str">
        <f t="shared" si="3"/>
        <v/>
      </c>
      <c r="X4221" s="4" t="str">
        <f>IF(V4221="","",INDEX(Fornecedores!$X$1:$X$6631,V4221))</f>
        <v/>
      </c>
      <c r="Y4221" s="4" t="str">
        <f t="shared" si="4"/>
        <v/>
      </c>
    </row>
    <row r="4222" spans="19:25">
      <c r="S4222" t="str">
        <f t="shared" si="0"/>
        <v/>
      </c>
      <c r="T4222" t="str">
        <f t="shared" si="1"/>
        <v/>
      </c>
      <c r="U4222" t="str">
        <f t="shared" si="2"/>
        <v/>
      </c>
      <c r="V4222" t="str">
        <f>IF(OR(U4222="",U4222="ERRO_CHAVE"),"",IFERROR(MATCH(U4222,Fornecedores!$AF$1:$AF$6631,0),""))</f>
        <v/>
      </c>
      <c r="W4222" t="str">
        <f t="shared" si="3"/>
        <v/>
      </c>
      <c r="X4222" s="4" t="str">
        <f>IF(V4222="","",INDEX(Fornecedores!$X$1:$X$6631,V4222))</f>
        <v/>
      </c>
      <c r="Y4222" s="4" t="str">
        <f t="shared" si="4"/>
        <v/>
      </c>
    </row>
    <row r="4223" spans="19:25">
      <c r="S4223" t="str">
        <f t="shared" si="0"/>
        <v/>
      </c>
      <c r="T4223" t="str">
        <f t="shared" si="1"/>
        <v/>
      </c>
      <c r="U4223" t="str">
        <f t="shared" si="2"/>
        <v/>
      </c>
      <c r="V4223" t="str">
        <f>IF(OR(U4223="",U4223="ERRO_CHAVE"),"",IFERROR(MATCH(U4223,Fornecedores!$AF$1:$AF$6631,0),""))</f>
        <v/>
      </c>
      <c r="W4223" t="str">
        <f t="shared" si="3"/>
        <v/>
      </c>
      <c r="X4223" s="4" t="str">
        <f>IF(V4223="","",INDEX(Fornecedores!$X$1:$X$6631,V4223))</f>
        <v/>
      </c>
      <c r="Y4223" s="4" t="str">
        <f t="shared" si="4"/>
        <v/>
      </c>
    </row>
    <row r="4224" spans="19:25">
      <c r="S4224" t="str">
        <f t="shared" si="0"/>
        <v/>
      </c>
      <c r="T4224" t="str">
        <f t="shared" si="1"/>
        <v/>
      </c>
      <c r="U4224" t="str">
        <f t="shared" si="2"/>
        <v/>
      </c>
      <c r="V4224" t="str">
        <f>IF(OR(U4224="",U4224="ERRO_CHAVE"),"",IFERROR(MATCH(U4224,Fornecedores!$AF$1:$AF$6631,0),""))</f>
        <v/>
      </c>
      <c r="W4224" t="str">
        <f t="shared" si="3"/>
        <v/>
      </c>
      <c r="X4224" s="4" t="str">
        <f>IF(V4224="","",INDEX(Fornecedores!$X$1:$X$6631,V4224))</f>
        <v/>
      </c>
      <c r="Y4224" s="4" t="str">
        <f t="shared" si="4"/>
        <v/>
      </c>
    </row>
    <row r="4225" spans="19:25">
      <c r="S4225" t="str">
        <f t="shared" si="0"/>
        <v/>
      </c>
      <c r="T4225" t="str">
        <f t="shared" si="1"/>
        <v/>
      </c>
      <c r="U4225" t="str">
        <f t="shared" si="2"/>
        <v/>
      </c>
      <c r="V4225" t="str">
        <f>IF(OR(U4225="",U4225="ERRO_CHAVE"),"",IFERROR(MATCH(U4225,Fornecedores!$AF$1:$AF$6631,0),""))</f>
        <v/>
      </c>
      <c r="W4225" t="str">
        <f t="shared" si="3"/>
        <v/>
      </c>
      <c r="X4225" s="4" t="str">
        <f>IF(V4225="","",INDEX(Fornecedores!$X$1:$X$6631,V4225))</f>
        <v/>
      </c>
      <c r="Y4225" s="4" t="str">
        <f t="shared" si="4"/>
        <v/>
      </c>
    </row>
    <row r="4226" spans="19:25">
      <c r="S4226" t="str">
        <f t="shared" si="0"/>
        <v/>
      </c>
      <c r="T4226" t="str">
        <f t="shared" si="1"/>
        <v/>
      </c>
      <c r="U4226" t="str">
        <f t="shared" si="2"/>
        <v/>
      </c>
      <c r="V4226" t="str">
        <f>IF(OR(U4226="",U4226="ERRO_CHAVE"),"",IFERROR(MATCH(U4226,Fornecedores!$AF$1:$AF$6631,0),""))</f>
        <v/>
      </c>
      <c r="W4226" t="str">
        <f t="shared" si="3"/>
        <v/>
      </c>
      <c r="X4226" s="4" t="str">
        <f>IF(V4226="","",INDEX(Fornecedores!$X$1:$X$6631,V4226))</f>
        <v/>
      </c>
      <c r="Y4226" s="4" t="str">
        <f t="shared" si="4"/>
        <v/>
      </c>
    </row>
    <row r="4227" spans="19:25">
      <c r="S4227" t="str">
        <f t="shared" si="0"/>
        <v/>
      </c>
      <c r="T4227" t="str">
        <f t="shared" si="1"/>
        <v/>
      </c>
      <c r="U4227" t="str">
        <f t="shared" si="2"/>
        <v/>
      </c>
      <c r="V4227" t="str">
        <f>IF(OR(U4227="",U4227="ERRO_CHAVE"),"",IFERROR(MATCH(U4227,Fornecedores!$AF$1:$AF$6631,0),""))</f>
        <v/>
      </c>
      <c r="W4227" t="str">
        <f t="shared" si="3"/>
        <v/>
      </c>
      <c r="X4227" s="4" t="str">
        <f>IF(V4227="","",INDEX(Fornecedores!$X$1:$X$6631,V4227))</f>
        <v/>
      </c>
      <c r="Y4227" s="4" t="str">
        <f t="shared" si="4"/>
        <v/>
      </c>
    </row>
    <row r="4228" spans="19:25">
      <c r="S4228" t="str">
        <f t="shared" si="0"/>
        <v/>
      </c>
      <c r="T4228" t="str">
        <f t="shared" si="1"/>
        <v/>
      </c>
      <c r="U4228" t="str">
        <f t="shared" si="2"/>
        <v/>
      </c>
      <c r="V4228" t="str">
        <f>IF(OR(U4228="",U4228="ERRO_CHAVE"),"",IFERROR(MATCH(U4228,Fornecedores!$AF$1:$AF$6631,0),""))</f>
        <v/>
      </c>
      <c r="W4228" t="str">
        <f t="shared" si="3"/>
        <v/>
      </c>
      <c r="X4228" s="4" t="str">
        <f>IF(V4228="","",INDEX(Fornecedores!$X$1:$X$6631,V4228))</f>
        <v/>
      </c>
      <c r="Y4228" s="4" t="str">
        <f t="shared" si="4"/>
        <v/>
      </c>
    </row>
    <row r="4229" spans="19:25">
      <c r="S4229" t="str">
        <f t="shared" si="0"/>
        <v/>
      </c>
      <c r="T4229" t="str">
        <f t="shared" si="1"/>
        <v/>
      </c>
      <c r="U4229" t="str">
        <f t="shared" si="2"/>
        <v/>
      </c>
      <c r="V4229" t="str">
        <f>IF(OR(U4229="",U4229="ERRO_CHAVE"),"",IFERROR(MATCH(U4229,Fornecedores!$AF$1:$AF$6631,0),""))</f>
        <v/>
      </c>
      <c r="W4229" t="str">
        <f t="shared" si="3"/>
        <v/>
      </c>
      <c r="X4229" s="4" t="str">
        <f>IF(V4229="","",INDEX(Fornecedores!$X$1:$X$6631,V4229))</f>
        <v/>
      </c>
      <c r="Y4229" s="4" t="str">
        <f t="shared" si="4"/>
        <v/>
      </c>
    </row>
    <row r="4230" spans="19:25">
      <c r="S4230" t="str">
        <f t="shared" si="0"/>
        <v/>
      </c>
      <c r="T4230" t="str">
        <f t="shared" si="1"/>
        <v/>
      </c>
      <c r="U4230" t="str">
        <f t="shared" si="2"/>
        <v/>
      </c>
      <c r="V4230" t="str">
        <f>IF(OR(U4230="",U4230="ERRO_CHAVE"),"",IFERROR(MATCH(U4230,Fornecedores!$AF$1:$AF$6631,0),""))</f>
        <v/>
      </c>
      <c r="W4230" t="str">
        <f t="shared" si="3"/>
        <v/>
      </c>
      <c r="X4230" s="4" t="str">
        <f>IF(V4230="","",INDEX(Fornecedores!$X$1:$X$6631,V4230))</f>
        <v/>
      </c>
      <c r="Y4230" s="4" t="str">
        <f t="shared" si="4"/>
        <v/>
      </c>
    </row>
    <row r="4231" spans="19:25">
      <c r="S4231" t="str">
        <f t="shared" si="0"/>
        <v/>
      </c>
      <c r="T4231" t="str">
        <f t="shared" si="1"/>
        <v/>
      </c>
      <c r="U4231" t="str">
        <f t="shared" si="2"/>
        <v/>
      </c>
      <c r="V4231" t="str">
        <f>IF(OR(U4231="",U4231="ERRO_CHAVE"),"",IFERROR(MATCH(U4231,Fornecedores!$AF$1:$AF$6631,0),""))</f>
        <v/>
      </c>
      <c r="W4231" t="str">
        <f t="shared" si="3"/>
        <v/>
      </c>
      <c r="X4231" s="4" t="str">
        <f>IF(V4231="","",INDEX(Fornecedores!$X$1:$X$6631,V4231))</f>
        <v/>
      </c>
      <c r="Y4231" s="4" t="str">
        <f t="shared" si="4"/>
        <v/>
      </c>
    </row>
    <row r="4232" spans="19:25">
      <c r="S4232" t="str">
        <f t="shared" si="0"/>
        <v/>
      </c>
      <c r="T4232" t="str">
        <f t="shared" si="1"/>
        <v/>
      </c>
      <c r="U4232" t="str">
        <f t="shared" si="2"/>
        <v/>
      </c>
      <c r="V4232" t="str">
        <f>IF(OR(U4232="",U4232="ERRO_CHAVE"),"",IFERROR(MATCH(U4232,Fornecedores!$AF$1:$AF$6631,0),""))</f>
        <v/>
      </c>
      <c r="W4232" t="str">
        <f t="shared" si="3"/>
        <v/>
      </c>
      <c r="X4232" s="4" t="str">
        <f>IF(V4232="","",INDEX(Fornecedores!$X$1:$X$6631,V4232))</f>
        <v/>
      </c>
      <c r="Y4232" s="4" t="str">
        <f t="shared" si="4"/>
        <v/>
      </c>
    </row>
    <row r="4233" spans="19:25">
      <c r="S4233" t="str">
        <f t="shared" si="0"/>
        <v/>
      </c>
      <c r="T4233" t="str">
        <f t="shared" si="1"/>
        <v/>
      </c>
      <c r="U4233" t="str">
        <f t="shared" si="2"/>
        <v/>
      </c>
      <c r="V4233" t="str">
        <f>IF(OR(U4233="",U4233="ERRO_CHAVE"),"",IFERROR(MATCH(U4233,Fornecedores!$AF$1:$AF$6631,0),""))</f>
        <v/>
      </c>
      <c r="W4233" t="str">
        <f t="shared" si="3"/>
        <v/>
      </c>
      <c r="X4233" s="4" t="str">
        <f>IF(V4233="","",INDEX(Fornecedores!$X$1:$X$6631,V4233))</f>
        <v/>
      </c>
      <c r="Y4233" s="4" t="str">
        <f t="shared" si="4"/>
        <v/>
      </c>
    </row>
    <row r="4234" spans="19:25">
      <c r="S4234" t="str">
        <f t="shared" si="0"/>
        <v/>
      </c>
      <c r="T4234" t="str">
        <f t="shared" si="1"/>
        <v/>
      </c>
      <c r="U4234" t="str">
        <f t="shared" si="2"/>
        <v/>
      </c>
      <c r="V4234" t="str">
        <f>IF(OR(U4234="",U4234="ERRO_CHAVE"),"",IFERROR(MATCH(U4234,Fornecedores!$AF$1:$AF$6631,0),""))</f>
        <v/>
      </c>
      <c r="W4234" t="str">
        <f t="shared" si="3"/>
        <v/>
      </c>
      <c r="X4234" s="4" t="str">
        <f>IF(V4234="","",INDEX(Fornecedores!$X$1:$X$6631,V4234))</f>
        <v/>
      </c>
      <c r="Y4234" s="4" t="str">
        <f t="shared" si="4"/>
        <v/>
      </c>
    </row>
    <row r="4235" spans="19:25">
      <c r="S4235" t="str">
        <f t="shared" si="0"/>
        <v/>
      </c>
      <c r="T4235" t="str">
        <f t="shared" si="1"/>
        <v/>
      </c>
      <c r="U4235" t="str">
        <f t="shared" si="2"/>
        <v/>
      </c>
      <c r="V4235" t="str">
        <f>IF(OR(U4235="",U4235="ERRO_CHAVE"),"",IFERROR(MATCH(U4235,Fornecedores!$AF$1:$AF$6631,0),""))</f>
        <v/>
      </c>
      <c r="W4235" t="str">
        <f t="shared" si="3"/>
        <v/>
      </c>
      <c r="X4235" s="4" t="str">
        <f>IF(V4235="","",INDEX(Fornecedores!$X$1:$X$6631,V4235))</f>
        <v/>
      </c>
      <c r="Y4235" s="4" t="str">
        <f t="shared" si="4"/>
        <v/>
      </c>
    </row>
    <row r="4236" spans="19:25">
      <c r="S4236" t="str">
        <f t="shared" si="0"/>
        <v/>
      </c>
      <c r="T4236" t="str">
        <f t="shared" si="1"/>
        <v/>
      </c>
      <c r="U4236" t="str">
        <f t="shared" si="2"/>
        <v/>
      </c>
      <c r="V4236" t="str">
        <f>IF(OR(U4236="",U4236="ERRO_CHAVE"),"",IFERROR(MATCH(U4236,Fornecedores!$AF$1:$AF$6631,0),""))</f>
        <v/>
      </c>
      <c r="W4236" t="str">
        <f t="shared" si="3"/>
        <v/>
      </c>
      <c r="X4236" s="4" t="str">
        <f>IF(V4236="","",INDEX(Fornecedores!$X$1:$X$6631,V4236))</f>
        <v/>
      </c>
      <c r="Y4236" s="4" t="str">
        <f t="shared" si="4"/>
        <v/>
      </c>
    </row>
    <row r="4237" spans="19:25">
      <c r="S4237" t="str">
        <f t="shared" si="0"/>
        <v/>
      </c>
      <c r="T4237" t="str">
        <f t="shared" si="1"/>
        <v/>
      </c>
      <c r="U4237" t="str">
        <f t="shared" si="2"/>
        <v/>
      </c>
      <c r="V4237" t="str">
        <f>IF(OR(U4237="",U4237="ERRO_CHAVE"),"",IFERROR(MATCH(U4237,Fornecedores!$AF$1:$AF$6631,0),""))</f>
        <v/>
      </c>
      <c r="W4237" t="str">
        <f t="shared" si="3"/>
        <v/>
      </c>
      <c r="X4237" s="4" t="str">
        <f>IF(V4237="","",INDEX(Fornecedores!$X$1:$X$6631,V4237))</f>
        <v/>
      </c>
      <c r="Y4237" s="4" t="str">
        <f t="shared" si="4"/>
        <v/>
      </c>
    </row>
    <row r="4238" spans="19:25">
      <c r="S4238" t="str">
        <f t="shared" si="0"/>
        <v/>
      </c>
      <c r="T4238" t="str">
        <f t="shared" si="1"/>
        <v/>
      </c>
      <c r="U4238" t="str">
        <f t="shared" si="2"/>
        <v/>
      </c>
      <c r="V4238" t="str">
        <f>IF(OR(U4238="",U4238="ERRO_CHAVE"),"",IFERROR(MATCH(U4238,Fornecedores!$AF$1:$AF$6631,0),""))</f>
        <v/>
      </c>
      <c r="W4238" t="str">
        <f t="shared" si="3"/>
        <v/>
      </c>
      <c r="X4238" s="4" t="str">
        <f>IF(V4238="","",INDEX(Fornecedores!$X$1:$X$6631,V4238))</f>
        <v/>
      </c>
      <c r="Y4238" s="4" t="str">
        <f t="shared" si="4"/>
        <v/>
      </c>
    </row>
    <row r="4239" spans="19:25">
      <c r="S4239" t="str">
        <f t="shared" si="0"/>
        <v/>
      </c>
      <c r="T4239" t="str">
        <f t="shared" si="1"/>
        <v/>
      </c>
      <c r="U4239" t="str">
        <f t="shared" si="2"/>
        <v/>
      </c>
      <c r="V4239" t="str">
        <f>IF(OR(U4239="",U4239="ERRO_CHAVE"),"",IFERROR(MATCH(U4239,Fornecedores!$AF$1:$AF$6631,0),""))</f>
        <v/>
      </c>
      <c r="W4239" t="str">
        <f t="shared" si="3"/>
        <v/>
      </c>
      <c r="X4239" s="4" t="str">
        <f>IF(V4239="","",INDEX(Fornecedores!$X$1:$X$6631,V4239))</f>
        <v/>
      </c>
      <c r="Y4239" s="4" t="str">
        <f t="shared" si="4"/>
        <v/>
      </c>
    </row>
    <row r="4240" spans="19:25">
      <c r="S4240" t="str">
        <f t="shared" si="0"/>
        <v/>
      </c>
      <c r="T4240" t="str">
        <f t="shared" si="1"/>
        <v/>
      </c>
      <c r="U4240" t="str">
        <f t="shared" si="2"/>
        <v/>
      </c>
      <c r="V4240" t="str">
        <f>IF(OR(U4240="",U4240="ERRO_CHAVE"),"",IFERROR(MATCH(U4240,Fornecedores!$AF$1:$AF$6631,0),""))</f>
        <v/>
      </c>
      <c r="W4240" t="str">
        <f t="shared" si="3"/>
        <v/>
      </c>
      <c r="X4240" s="4" t="str">
        <f>IF(V4240="","",INDEX(Fornecedores!$X$1:$X$6631,V4240))</f>
        <v/>
      </c>
      <c r="Y4240" s="4" t="str">
        <f t="shared" si="4"/>
        <v/>
      </c>
    </row>
    <row r="4241" spans="19:25">
      <c r="S4241" t="str">
        <f t="shared" si="0"/>
        <v/>
      </c>
      <c r="T4241" t="str">
        <f t="shared" si="1"/>
        <v/>
      </c>
      <c r="U4241" t="str">
        <f t="shared" si="2"/>
        <v/>
      </c>
      <c r="V4241" t="str">
        <f>IF(OR(U4241="",U4241="ERRO_CHAVE"),"",IFERROR(MATCH(U4241,Fornecedores!$AF$1:$AF$6631,0),""))</f>
        <v/>
      </c>
      <c r="W4241" t="str">
        <f t="shared" si="3"/>
        <v/>
      </c>
      <c r="X4241" s="4" t="str">
        <f>IF(V4241="","",INDEX(Fornecedores!$X$1:$X$6631,V4241))</f>
        <v/>
      </c>
      <c r="Y4241" s="4" t="str">
        <f t="shared" si="4"/>
        <v/>
      </c>
    </row>
    <row r="4242" spans="19:25">
      <c r="S4242" t="str">
        <f t="shared" si="0"/>
        <v/>
      </c>
      <c r="T4242" t="str">
        <f t="shared" si="1"/>
        <v/>
      </c>
      <c r="U4242" t="str">
        <f t="shared" si="2"/>
        <v/>
      </c>
      <c r="V4242" t="str">
        <f>IF(OR(U4242="",U4242="ERRO_CHAVE"),"",IFERROR(MATCH(U4242,Fornecedores!$AF$1:$AF$6631,0),""))</f>
        <v/>
      </c>
      <c r="W4242" t="str">
        <f t="shared" si="3"/>
        <v/>
      </c>
      <c r="X4242" s="4" t="str">
        <f>IF(V4242="","",INDEX(Fornecedores!$X$1:$X$6631,V4242))</f>
        <v/>
      </c>
      <c r="Y4242" s="4" t="str">
        <f t="shared" si="4"/>
        <v/>
      </c>
    </row>
    <row r="4243" spans="19:25">
      <c r="S4243" t="str">
        <f t="shared" si="0"/>
        <v/>
      </c>
      <c r="T4243" t="str">
        <f t="shared" si="1"/>
        <v/>
      </c>
      <c r="U4243" t="str">
        <f t="shared" si="2"/>
        <v/>
      </c>
      <c r="V4243" t="str">
        <f>IF(OR(U4243="",U4243="ERRO_CHAVE"),"",IFERROR(MATCH(U4243,Fornecedores!$AF$1:$AF$6631,0),""))</f>
        <v/>
      </c>
      <c r="W4243" t="str">
        <f t="shared" si="3"/>
        <v/>
      </c>
      <c r="X4243" s="4" t="str">
        <f>IF(V4243="","",INDEX(Fornecedores!$X$1:$X$6631,V4243))</f>
        <v/>
      </c>
      <c r="Y4243" s="4" t="str">
        <f t="shared" si="4"/>
        <v/>
      </c>
    </row>
    <row r="4244" spans="19:25">
      <c r="S4244" t="str">
        <f t="shared" si="0"/>
        <v/>
      </c>
      <c r="T4244" t="str">
        <f t="shared" si="1"/>
        <v/>
      </c>
      <c r="U4244" t="str">
        <f t="shared" si="2"/>
        <v/>
      </c>
      <c r="V4244" t="str">
        <f>IF(OR(U4244="",U4244="ERRO_CHAVE"),"",IFERROR(MATCH(U4244,Fornecedores!$AF$1:$AF$6631,0),""))</f>
        <v/>
      </c>
      <c r="W4244" t="str">
        <f t="shared" si="3"/>
        <v/>
      </c>
      <c r="X4244" s="4" t="str">
        <f>IF(V4244="","",INDEX(Fornecedores!$X$1:$X$6631,V4244))</f>
        <v/>
      </c>
      <c r="Y4244" s="4" t="str">
        <f t="shared" si="4"/>
        <v/>
      </c>
    </row>
    <row r="4245" spans="19:25">
      <c r="S4245" t="str">
        <f t="shared" si="0"/>
        <v/>
      </c>
      <c r="T4245" t="str">
        <f t="shared" si="1"/>
        <v/>
      </c>
      <c r="U4245" t="str">
        <f t="shared" si="2"/>
        <v/>
      </c>
      <c r="V4245" t="str">
        <f>IF(OR(U4245="",U4245="ERRO_CHAVE"),"",IFERROR(MATCH(U4245,Fornecedores!$AF$1:$AF$6631,0),""))</f>
        <v/>
      </c>
      <c r="W4245" t="str">
        <f t="shared" si="3"/>
        <v/>
      </c>
      <c r="X4245" s="4" t="str">
        <f>IF(V4245="","",INDEX(Fornecedores!$X$1:$X$6631,V4245))</f>
        <v/>
      </c>
      <c r="Y4245" s="4" t="str">
        <f t="shared" si="4"/>
        <v/>
      </c>
    </row>
    <row r="4246" spans="19:25">
      <c r="S4246" t="str">
        <f t="shared" si="0"/>
        <v/>
      </c>
      <c r="T4246" t="str">
        <f t="shared" si="1"/>
        <v/>
      </c>
      <c r="U4246" t="str">
        <f t="shared" si="2"/>
        <v/>
      </c>
      <c r="V4246" t="str">
        <f>IF(OR(U4246="",U4246="ERRO_CHAVE"),"",IFERROR(MATCH(U4246,Fornecedores!$AF$1:$AF$6631,0),""))</f>
        <v/>
      </c>
      <c r="W4246" t="str">
        <f t="shared" si="3"/>
        <v/>
      </c>
      <c r="X4246" s="4" t="str">
        <f>IF(V4246="","",INDEX(Fornecedores!$X$1:$X$6631,V4246))</f>
        <v/>
      </c>
      <c r="Y4246" s="4" t="str">
        <f t="shared" si="4"/>
        <v/>
      </c>
    </row>
    <row r="4247" spans="19:25">
      <c r="S4247" t="str">
        <f t="shared" si="0"/>
        <v/>
      </c>
      <c r="T4247" t="str">
        <f t="shared" si="1"/>
        <v/>
      </c>
      <c r="U4247" t="str">
        <f t="shared" si="2"/>
        <v/>
      </c>
      <c r="V4247" t="str">
        <f>IF(OR(U4247="",U4247="ERRO_CHAVE"),"",IFERROR(MATCH(U4247,Fornecedores!$AF$1:$AF$6631,0),""))</f>
        <v/>
      </c>
      <c r="W4247" t="str">
        <f t="shared" si="3"/>
        <v/>
      </c>
      <c r="X4247" s="4" t="str">
        <f>IF(V4247="","",INDEX(Fornecedores!$X$1:$X$6631,V4247))</f>
        <v/>
      </c>
      <c r="Y4247" s="4" t="str">
        <f t="shared" si="4"/>
        <v/>
      </c>
    </row>
    <row r="4248" spans="19:25">
      <c r="S4248" t="str">
        <f t="shared" si="0"/>
        <v/>
      </c>
      <c r="T4248" t="str">
        <f t="shared" si="1"/>
        <v/>
      </c>
      <c r="U4248" t="str">
        <f t="shared" si="2"/>
        <v/>
      </c>
      <c r="V4248" t="str">
        <f>IF(OR(U4248="",U4248="ERRO_CHAVE"),"",IFERROR(MATCH(U4248,Fornecedores!$AF$1:$AF$6631,0),""))</f>
        <v/>
      </c>
      <c r="W4248" t="str">
        <f t="shared" si="3"/>
        <v/>
      </c>
      <c r="X4248" s="4" t="str">
        <f>IF(V4248="","",INDEX(Fornecedores!$X$1:$X$6631,V4248))</f>
        <v/>
      </c>
      <c r="Y4248" s="4" t="str">
        <f t="shared" si="4"/>
        <v/>
      </c>
    </row>
    <row r="4249" spans="19:25">
      <c r="S4249" t="str">
        <f t="shared" si="0"/>
        <v/>
      </c>
      <c r="T4249" t="str">
        <f t="shared" si="1"/>
        <v/>
      </c>
      <c r="U4249" t="str">
        <f t="shared" si="2"/>
        <v/>
      </c>
      <c r="V4249" t="str">
        <f>IF(OR(U4249="",U4249="ERRO_CHAVE"),"",IFERROR(MATCH(U4249,Fornecedores!$AF$1:$AF$6631,0),""))</f>
        <v/>
      </c>
      <c r="W4249" t="str">
        <f t="shared" si="3"/>
        <v/>
      </c>
      <c r="X4249" s="4" t="str">
        <f>IF(V4249="","",INDEX(Fornecedores!$X$1:$X$6631,V4249))</f>
        <v/>
      </c>
      <c r="Y4249" s="4" t="str">
        <f t="shared" si="4"/>
        <v/>
      </c>
    </row>
    <row r="4250" spans="19:25">
      <c r="S4250" t="str">
        <f t="shared" si="0"/>
        <v/>
      </c>
      <c r="T4250" t="str">
        <f t="shared" si="1"/>
        <v/>
      </c>
      <c r="U4250" t="str">
        <f t="shared" si="2"/>
        <v/>
      </c>
      <c r="V4250" t="str">
        <f>IF(OR(U4250="",U4250="ERRO_CHAVE"),"",IFERROR(MATCH(U4250,Fornecedores!$AF$1:$AF$6631,0),""))</f>
        <v/>
      </c>
      <c r="W4250" t="str">
        <f t="shared" si="3"/>
        <v/>
      </c>
      <c r="X4250" s="4" t="str">
        <f>IF(V4250="","",INDEX(Fornecedores!$X$1:$X$6631,V4250))</f>
        <v/>
      </c>
      <c r="Y4250" s="4" t="str">
        <f t="shared" si="4"/>
        <v/>
      </c>
    </row>
    <row r="4251" spans="19:25">
      <c r="S4251" t="str">
        <f t="shared" si="0"/>
        <v/>
      </c>
      <c r="T4251" t="str">
        <f t="shared" si="1"/>
        <v/>
      </c>
      <c r="U4251" t="str">
        <f t="shared" si="2"/>
        <v/>
      </c>
      <c r="V4251" t="str">
        <f>IF(OR(U4251="",U4251="ERRO_CHAVE"),"",IFERROR(MATCH(U4251,Fornecedores!$AF$1:$AF$6631,0),""))</f>
        <v/>
      </c>
      <c r="W4251" t="str">
        <f t="shared" si="3"/>
        <v/>
      </c>
      <c r="X4251" s="4" t="str">
        <f>IF(V4251="","",INDEX(Fornecedores!$X$1:$X$6631,V4251))</f>
        <v/>
      </c>
      <c r="Y4251" s="4" t="str">
        <f t="shared" si="4"/>
        <v/>
      </c>
    </row>
    <row r="4252" spans="19:25">
      <c r="S4252" t="str">
        <f t="shared" si="0"/>
        <v/>
      </c>
      <c r="T4252" t="str">
        <f t="shared" si="1"/>
        <v/>
      </c>
      <c r="U4252" t="str">
        <f t="shared" si="2"/>
        <v/>
      </c>
      <c r="V4252" t="str">
        <f>IF(OR(U4252="",U4252="ERRO_CHAVE"),"",IFERROR(MATCH(U4252,Fornecedores!$AF$1:$AF$6631,0),""))</f>
        <v/>
      </c>
      <c r="W4252" t="str">
        <f t="shared" si="3"/>
        <v/>
      </c>
      <c r="X4252" s="4" t="str">
        <f>IF(V4252="","",INDEX(Fornecedores!$X$1:$X$6631,V4252))</f>
        <v/>
      </c>
      <c r="Y4252" s="4" t="str">
        <f t="shared" si="4"/>
        <v/>
      </c>
    </row>
    <row r="4253" spans="19:25">
      <c r="S4253" t="str">
        <f t="shared" si="0"/>
        <v/>
      </c>
      <c r="T4253" t="str">
        <f t="shared" si="1"/>
        <v/>
      </c>
      <c r="U4253" t="str">
        <f t="shared" si="2"/>
        <v/>
      </c>
      <c r="V4253" t="str">
        <f>IF(OR(U4253="",U4253="ERRO_CHAVE"),"",IFERROR(MATCH(U4253,Fornecedores!$AF$1:$AF$6631,0),""))</f>
        <v/>
      </c>
      <c r="W4253" t="str">
        <f t="shared" si="3"/>
        <v/>
      </c>
      <c r="X4253" s="4" t="str">
        <f>IF(V4253="","",INDEX(Fornecedores!$X$1:$X$6631,V4253))</f>
        <v/>
      </c>
      <c r="Y4253" s="4" t="str">
        <f t="shared" si="4"/>
        <v/>
      </c>
    </row>
    <row r="4254" spans="19:25">
      <c r="S4254" t="str">
        <f t="shared" si="0"/>
        <v/>
      </c>
      <c r="T4254" t="str">
        <f t="shared" si="1"/>
        <v/>
      </c>
      <c r="U4254" t="str">
        <f t="shared" si="2"/>
        <v/>
      </c>
      <c r="V4254" t="str">
        <f>IF(OR(U4254="",U4254="ERRO_CHAVE"),"",IFERROR(MATCH(U4254,Fornecedores!$AF$1:$AF$6631,0),""))</f>
        <v/>
      </c>
      <c r="W4254" t="str">
        <f t="shared" si="3"/>
        <v/>
      </c>
      <c r="X4254" s="4" t="str">
        <f>IF(V4254="","",INDEX(Fornecedores!$X$1:$X$6631,V4254))</f>
        <v/>
      </c>
      <c r="Y4254" s="4" t="str">
        <f t="shared" si="4"/>
        <v/>
      </c>
    </row>
    <row r="4255" spans="19:25">
      <c r="S4255" t="str">
        <f t="shared" si="0"/>
        <v/>
      </c>
      <c r="T4255" t="str">
        <f t="shared" si="1"/>
        <v/>
      </c>
      <c r="U4255" t="str">
        <f t="shared" si="2"/>
        <v/>
      </c>
      <c r="V4255" t="str">
        <f>IF(OR(U4255="",U4255="ERRO_CHAVE"),"",IFERROR(MATCH(U4255,Fornecedores!$AF$1:$AF$6631,0),""))</f>
        <v/>
      </c>
      <c r="W4255" t="str">
        <f t="shared" si="3"/>
        <v/>
      </c>
      <c r="X4255" s="4" t="str">
        <f>IF(V4255="","",INDEX(Fornecedores!$X$1:$X$6631,V4255))</f>
        <v/>
      </c>
      <c r="Y4255" s="4" t="str">
        <f t="shared" si="4"/>
        <v/>
      </c>
    </row>
    <row r="4256" spans="19:25">
      <c r="S4256" t="str">
        <f t="shared" si="0"/>
        <v/>
      </c>
      <c r="T4256" t="str">
        <f t="shared" si="1"/>
        <v/>
      </c>
      <c r="U4256" t="str">
        <f t="shared" si="2"/>
        <v/>
      </c>
      <c r="V4256" t="str">
        <f>IF(OR(U4256="",U4256="ERRO_CHAVE"),"",IFERROR(MATCH(U4256,Fornecedores!$AF$1:$AF$6631,0),""))</f>
        <v/>
      </c>
      <c r="W4256" t="str">
        <f t="shared" si="3"/>
        <v/>
      </c>
      <c r="X4256" s="4" t="str">
        <f>IF(V4256="","",INDEX(Fornecedores!$X$1:$X$6631,V4256))</f>
        <v/>
      </c>
      <c r="Y4256" s="4" t="str">
        <f t="shared" si="4"/>
        <v/>
      </c>
    </row>
    <row r="4257" spans="19:25">
      <c r="S4257" t="str">
        <f t="shared" si="0"/>
        <v/>
      </c>
      <c r="T4257" t="str">
        <f t="shared" si="1"/>
        <v/>
      </c>
      <c r="U4257" t="str">
        <f t="shared" si="2"/>
        <v/>
      </c>
      <c r="V4257" t="str">
        <f>IF(OR(U4257="",U4257="ERRO_CHAVE"),"",IFERROR(MATCH(U4257,Fornecedores!$AF$1:$AF$6631,0),""))</f>
        <v/>
      </c>
      <c r="W4257" t="str">
        <f t="shared" si="3"/>
        <v/>
      </c>
      <c r="X4257" s="4" t="str">
        <f>IF(V4257="","",INDEX(Fornecedores!$X$1:$X$6631,V4257))</f>
        <v/>
      </c>
      <c r="Y4257" s="4" t="str">
        <f t="shared" si="4"/>
        <v/>
      </c>
    </row>
    <row r="4258" spans="19:25">
      <c r="S4258" t="str">
        <f t="shared" si="0"/>
        <v/>
      </c>
      <c r="T4258" t="str">
        <f t="shared" si="1"/>
        <v/>
      </c>
      <c r="U4258" t="str">
        <f t="shared" si="2"/>
        <v/>
      </c>
      <c r="V4258" t="str">
        <f>IF(OR(U4258="",U4258="ERRO_CHAVE"),"",IFERROR(MATCH(U4258,Fornecedores!$AF$1:$AF$6631,0),""))</f>
        <v/>
      </c>
      <c r="W4258" t="str">
        <f t="shared" si="3"/>
        <v/>
      </c>
      <c r="X4258" s="4" t="str">
        <f>IF(V4258="","",INDEX(Fornecedores!$X$1:$X$6631,V4258))</f>
        <v/>
      </c>
      <c r="Y4258" s="4" t="str">
        <f t="shared" si="4"/>
        <v/>
      </c>
    </row>
    <row r="4259" spans="19:25">
      <c r="S4259" t="str">
        <f t="shared" si="0"/>
        <v/>
      </c>
      <c r="T4259" t="str">
        <f t="shared" si="1"/>
        <v/>
      </c>
      <c r="U4259" t="str">
        <f t="shared" si="2"/>
        <v/>
      </c>
      <c r="V4259" t="str">
        <f>IF(OR(U4259="",U4259="ERRO_CHAVE"),"",IFERROR(MATCH(U4259,Fornecedores!$AF$1:$AF$6631,0),""))</f>
        <v/>
      </c>
      <c r="W4259" t="str">
        <f t="shared" si="3"/>
        <v/>
      </c>
      <c r="X4259" s="4" t="str">
        <f>IF(V4259="","",INDEX(Fornecedores!$X$1:$X$6631,V4259))</f>
        <v/>
      </c>
      <c r="Y4259" s="4" t="str">
        <f t="shared" si="4"/>
        <v/>
      </c>
    </row>
    <row r="4260" spans="19:25">
      <c r="S4260" t="str">
        <f t="shared" si="0"/>
        <v/>
      </c>
      <c r="T4260" t="str">
        <f t="shared" si="1"/>
        <v/>
      </c>
      <c r="U4260" t="str">
        <f t="shared" si="2"/>
        <v/>
      </c>
      <c r="V4260" t="str">
        <f>IF(OR(U4260="",U4260="ERRO_CHAVE"),"",IFERROR(MATCH(U4260,Fornecedores!$AF$1:$AF$6631,0),""))</f>
        <v/>
      </c>
      <c r="W4260" t="str">
        <f t="shared" si="3"/>
        <v/>
      </c>
      <c r="X4260" s="4" t="str">
        <f>IF(V4260="","",INDEX(Fornecedores!$X$1:$X$6631,V4260))</f>
        <v/>
      </c>
      <c r="Y4260" s="4" t="str">
        <f t="shared" si="4"/>
        <v/>
      </c>
    </row>
    <row r="4261" spans="19:25">
      <c r="S4261" t="str">
        <f t="shared" si="0"/>
        <v/>
      </c>
      <c r="T4261" t="str">
        <f t="shared" si="1"/>
        <v/>
      </c>
      <c r="U4261" t="str">
        <f t="shared" si="2"/>
        <v/>
      </c>
      <c r="V4261" t="str">
        <f>IF(OR(U4261="",U4261="ERRO_CHAVE"),"",IFERROR(MATCH(U4261,Fornecedores!$AF$1:$AF$6631,0),""))</f>
        <v/>
      </c>
      <c r="W4261" t="str">
        <f t="shared" si="3"/>
        <v/>
      </c>
      <c r="X4261" s="4" t="str">
        <f>IF(V4261="","",INDEX(Fornecedores!$X$1:$X$6631,V4261))</f>
        <v/>
      </c>
      <c r="Y4261" s="4" t="str">
        <f t="shared" si="4"/>
        <v/>
      </c>
    </row>
    <row r="4262" spans="19:25">
      <c r="S4262" t="str">
        <f t="shared" si="0"/>
        <v/>
      </c>
      <c r="T4262" t="str">
        <f t="shared" si="1"/>
        <v/>
      </c>
      <c r="U4262" t="str">
        <f t="shared" si="2"/>
        <v/>
      </c>
      <c r="V4262" t="str">
        <f>IF(OR(U4262="",U4262="ERRO_CHAVE"),"",IFERROR(MATCH(U4262,Fornecedores!$AF$1:$AF$6631,0),""))</f>
        <v/>
      </c>
      <c r="W4262" t="str">
        <f t="shared" si="3"/>
        <v/>
      </c>
      <c r="X4262" s="4" t="str">
        <f>IF(V4262="","",INDEX(Fornecedores!$X$1:$X$6631,V4262))</f>
        <v/>
      </c>
      <c r="Y4262" s="4" t="str">
        <f t="shared" si="4"/>
        <v/>
      </c>
    </row>
    <row r="4263" spans="19:25">
      <c r="S4263" t="str">
        <f t="shared" si="0"/>
        <v/>
      </c>
      <c r="T4263" t="str">
        <f t="shared" si="1"/>
        <v/>
      </c>
      <c r="U4263" t="str">
        <f t="shared" si="2"/>
        <v/>
      </c>
      <c r="V4263" t="str">
        <f>IF(OR(U4263="",U4263="ERRO_CHAVE"),"",IFERROR(MATCH(U4263,Fornecedores!$AF$1:$AF$6631,0),""))</f>
        <v/>
      </c>
      <c r="W4263" t="str">
        <f t="shared" si="3"/>
        <v/>
      </c>
      <c r="X4263" s="4" t="str">
        <f>IF(V4263="","",INDEX(Fornecedores!$X$1:$X$6631,V4263))</f>
        <v/>
      </c>
      <c r="Y4263" s="4" t="str">
        <f t="shared" si="4"/>
        <v/>
      </c>
    </row>
    <row r="4264" spans="19:25">
      <c r="S4264" t="str">
        <f t="shared" si="0"/>
        <v/>
      </c>
      <c r="T4264" t="str">
        <f t="shared" si="1"/>
        <v/>
      </c>
      <c r="U4264" t="str">
        <f t="shared" si="2"/>
        <v/>
      </c>
      <c r="V4264" t="str">
        <f>IF(OR(U4264="",U4264="ERRO_CHAVE"),"",IFERROR(MATCH(U4264,Fornecedores!$AF$1:$AF$6631,0),""))</f>
        <v/>
      </c>
      <c r="W4264" t="str">
        <f t="shared" si="3"/>
        <v/>
      </c>
      <c r="X4264" s="4" t="str">
        <f>IF(V4264="","",INDEX(Fornecedores!$X$1:$X$6631,V4264))</f>
        <v/>
      </c>
      <c r="Y4264" s="4" t="str">
        <f t="shared" si="4"/>
        <v/>
      </c>
    </row>
    <row r="4265" spans="19:25">
      <c r="S4265" t="str">
        <f t="shared" si="0"/>
        <v/>
      </c>
      <c r="T4265" t="str">
        <f t="shared" si="1"/>
        <v/>
      </c>
      <c r="U4265" t="str">
        <f t="shared" si="2"/>
        <v/>
      </c>
      <c r="V4265" t="str">
        <f>IF(OR(U4265="",U4265="ERRO_CHAVE"),"",IFERROR(MATCH(U4265,Fornecedores!$AF$1:$AF$6631,0),""))</f>
        <v/>
      </c>
      <c r="W4265" t="str">
        <f t="shared" si="3"/>
        <v/>
      </c>
      <c r="X4265" s="4" t="str">
        <f>IF(V4265="","",INDEX(Fornecedores!$X$1:$X$6631,V4265))</f>
        <v/>
      </c>
      <c r="Y4265" s="4" t="str">
        <f t="shared" si="4"/>
        <v/>
      </c>
    </row>
    <row r="4266" spans="19:25">
      <c r="S4266" t="str">
        <f t="shared" si="0"/>
        <v/>
      </c>
      <c r="T4266" t="str">
        <f t="shared" si="1"/>
        <v/>
      </c>
      <c r="U4266" t="str">
        <f t="shared" si="2"/>
        <v/>
      </c>
      <c r="V4266" t="str">
        <f>IF(OR(U4266="",U4266="ERRO_CHAVE"),"",IFERROR(MATCH(U4266,Fornecedores!$AF$1:$AF$6631,0),""))</f>
        <v/>
      </c>
      <c r="W4266" t="str">
        <f t="shared" si="3"/>
        <v/>
      </c>
      <c r="X4266" s="4" t="str">
        <f>IF(V4266="","",INDEX(Fornecedores!$X$1:$X$6631,V4266))</f>
        <v/>
      </c>
      <c r="Y4266" s="4" t="str">
        <f t="shared" si="4"/>
        <v/>
      </c>
    </row>
    <row r="4267" spans="19:25">
      <c r="S4267" t="str">
        <f t="shared" si="0"/>
        <v/>
      </c>
      <c r="T4267" t="str">
        <f t="shared" si="1"/>
        <v/>
      </c>
      <c r="U4267" t="str">
        <f t="shared" si="2"/>
        <v/>
      </c>
      <c r="V4267" t="str">
        <f>IF(OR(U4267="",U4267="ERRO_CHAVE"),"",IFERROR(MATCH(U4267,Fornecedores!$AF$1:$AF$6631,0),""))</f>
        <v/>
      </c>
      <c r="W4267" t="str">
        <f t="shared" si="3"/>
        <v/>
      </c>
      <c r="X4267" s="4" t="str">
        <f>IF(V4267="","",INDEX(Fornecedores!$X$1:$X$6631,V4267))</f>
        <v/>
      </c>
      <c r="Y4267" s="4" t="str">
        <f t="shared" si="4"/>
        <v/>
      </c>
    </row>
    <row r="4268" spans="19:25">
      <c r="S4268" t="str">
        <f t="shared" si="0"/>
        <v/>
      </c>
      <c r="T4268" t="str">
        <f t="shared" si="1"/>
        <v/>
      </c>
      <c r="U4268" t="str">
        <f t="shared" si="2"/>
        <v/>
      </c>
      <c r="V4268" t="str">
        <f>IF(OR(U4268="",U4268="ERRO_CHAVE"),"",IFERROR(MATCH(U4268,Fornecedores!$AF$1:$AF$6631,0),""))</f>
        <v/>
      </c>
      <c r="W4268" t="str">
        <f t="shared" si="3"/>
        <v/>
      </c>
      <c r="X4268" s="4" t="str">
        <f>IF(V4268="","",INDEX(Fornecedores!$X$1:$X$6631,V4268))</f>
        <v/>
      </c>
      <c r="Y4268" s="4" t="str">
        <f t="shared" si="4"/>
        <v/>
      </c>
    </row>
    <row r="4269" spans="19:25">
      <c r="S4269" t="str">
        <f t="shared" si="0"/>
        <v/>
      </c>
      <c r="T4269" t="str">
        <f t="shared" si="1"/>
        <v/>
      </c>
      <c r="U4269" t="str">
        <f t="shared" si="2"/>
        <v/>
      </c>
      <c r="V4269" t="str">
        <f>IF(OR(U4269="",U4269="ERRO_CHAVE"),"",IFERROR(MATCH(U4269,Fornecedores!$AF$1:$AF$6631,0),""))</f>
        <v/>
      </c>
      <c r="W4269" t="str">
        <f t="shared" si="3"/>
        <v/>
      </c>
      <c r="X4269" s="4" t="str">
        <f>IF(V4269="","",INDEX(Fornecedores!$X$1:$X$6631,V4269))</f>
        <v/>
      </c>
      <c r="Y4269" s="4" t="str">
        <f t="shared" si="4"/>
        <v/>
      </c>
    </row>
    <row r="4270" spans="19:25">
      <c r="S4270" t="str">
        <f t="shared" si="0"/>
        <v/>
      </c>
      <c r="T4270" t="str">
        <f t="shared" si="1"/>
        <v/>
      </c>
      <c r="U4270" t="str">
        <f t="shared" si="2"/>
        <v/>
      </c>
      <c r="V4270" t="str">
        <f>IF(OR(U4270="",U4270="ERRO_CHAVE"),"",IFERROR(MATCH(U4270,Fornecedores!$AF$1:$AF$6631,0),""))</f>
        <v/>
      </c>
      <c r="W4270" t="str">
        <f t="shared" si="3"/>
        <v/>
      </c>
      <c r="X4270" s="4" t="str">
        <f>IF(V4270="","",INDEX(Fornecedores!$X$1:$X$6631,V4270))</f>
        <v/>
      </c>
      <c r="Y4270" s="4" t="str">
        <f t="shared" si="4"/>
        <v/>
      </c>
    </row>
    <row r="4271" spans="19:25">
      <c r="S4271" t="str">
        <f t="shared" si="0"/>
        <v/>
      </c>
      <c r="T4271" t="str">
        <f t="shared" si="1"/>
        <v/>
      </c>
      <c r="U4271" t="str">
        <f t="shared" si="2"/>
        <v/>
      </c>
      <c r="V4271" t="str">
        <f>IF(OR(U4271="",U4271="ERRO_CHAVE"),"",IFERROR(MATCH(U4271,Fornecedores!$AF$1:$AF$6631,0),""))</f>
        <v/>
      </c>
      <c r="W4271" t="str">
        <f t="shared" si="3"/>
        <v/>
      </c>
      <c r="X4271" s="4" t="str">
        <f>IF(V4271="","",INDEX(Fornecedores!$X$1:$X$6631,V4271))</f>
        <v/>
      </c>
      <c r="Y4271" s="4" t="str">
        <f t="shared" si="4"/>
        <v/>
      </c>
    </row>
    <row r="4272" spans="19:25">
      <c r="S4272" t="str">
        <f t="shared" si="0"/>
        <v/>
      </c>
      <c r="T4272" t="str">
        <f t="shared" si="1"/>
        <v/>
      </c>
      <c r="U4272" t="str">
        <f t="shared" si="2"/>
        <v/>
      </c>
      <c r="V4272" t="str">
        <f>IF(OR(U4272="",U4272="ERRO_CHAVE"),"",IFERROR(MATCH(U4272,Fornecedores!$AF$1:$AF$6631,0),""))</f>
        <v/>
      </c>
      <c r="W4272" t="str">
        <f t="shared" si="3"/>
        <v/>
      </c>
      <c r="X4272" s="4" t="str">
        <f>IF(V4272="","",INDEX(Fornecedores!$X$1:$X$6631,V4272))</f>
        <v/>
      </c>
      <c r="Y4272" s="4" t="str">
        <f t="shared" si="4"/>
        <v/>
      </c>
    </row>
    <row r="4273" spans="19:25">
      <c r="S4273" t="str">
        <f t="shared" si="0"/>
        <v/>
      </c>
      <c r="T4273" t="str">
        <f t="shared" si="1"/>
        <v/>
      </c>
      <c r="U4273" t="str">
        <f t="shared" si="2"/>
        <v/>
      </c>
      <c r="V4273" t="str">
        <f>IF(OR(U4273="",U4273="ERRO_CHAVE"),"",IFERROR(MATCH(U4273,Fornecedores!$AF$1:$AF$6631,0),""))</f>
        <v/>
      </c>
      <c r="W4273" t="str">
        <f t="shared" si="3"/>
        <v/>
      </c>
      <c r="X4273" s="4" t="str">
        <f>IF(V4273="","",INDEX(Fornecedores!$X$1:$X$6631,V4273))</f>
        <v/>
      </c>
      <c r="Y4273" s="4" t="str">
        <f t="shared" si="4"/>
        <v/>
      </c>
    </row>
    <row r="4274" spans="19:25">
      <c r="S4274" t="str">
        <f t="shared" si="0"/>
        <v/>
      </c>
      <c r="T4274" t="str">
        <f t="shared" si="1"/>
        <v/>
      </c>
      <c r="U4274" t="str">
        <f t="shared" si="2"/>
        <v/>
      </c>
      <c r="V4274" t="str">
        <f>IF(OR(U4274="",U4274="ERRO_CHAVE"),"",IFERROR(MATCH(U4274,Fornecedores!$AF$1:$AF$6631,0),""))</f>
        <v/>
      </c>
      <c r="W4274" t="str">
        <f t="shared" si="3"/>
        <v/>
      </c>
      <c r="X4274" s="4" t="str">
        <f>IF(V4274="","",INDEX(Fornecedores!$X$1:$X$6631,V4274))</f>
        <v/>
      </c>
      <c r="Y4274" s="4" t="str">
        <f t="shared" si="4"/>
        <v/>
      </c>
    </row>
    <row r="4275" spans="19:25">
      <c r="S4275" t="str">
        <f t="shared" si="0"/>
        <v/>
      </c>
      <c r="T4275" t="str">
        <f t="shared" si="1"/>
        <v/>
      </c>
      <c r="U4275" t="str">
        <f t="shared" si="2"/>
        <v/>
      </c>
      <c r="V4275" t="str">
        <f>IF(OR(U4275="",U4275="ERRO_CHAVE"),"",IFERROR(MATCH(U4275,Fornecedores!$AF$1:$AF$6631,0),""))</f>
        <v/>
      </c>
      <c r="W4275" t="str">
        <f t="shared" si="3"/>
        <v/>
      </c>
      <c r="X4275" s="4" t="str">
        <f>IF(V4275="","",INDEX(Fornecedores!$X$1:$X$6631,V4275))</f>
        <v/>
      </c>
      <c r="Y4275" s="4" t="str">
        <f t="shared" si="4"/>
        <v/>
      </c>
    </row>
    <row r="4276" spans="19:25">
      <c r="S4276" t="str">
        <f t="shared" si="0"/>
        <v/>
      </c>
      <c r="T4276" t="str">
        <f t="shared" si="1"/>
        <v/>
      </c>
      <c r="U4276" t="str">
        <f t="shared" si="2"/>
        <v/>
      </c>
      <c r="V4276" t="str">
        <f>IF(OR(U4276="",U4276="ERRO_CHAVE"),"",IFERROR(MATCH(U4276,Fornecedores!$AF$1:$AF$6631,0),""))</f>
        <v/>
      </c>
      <c r="W4276" t="str">
        <f t="shared" si="3"/>
        <v/>
      </c>
      <c r="X4276" s="4" t="str">
        <f>IF(V4276="","",INDEX(Fornecedores!$X$1:$X$6631,V4276))</f>
        <v/>
      </c>
      <c r="Y4276" s="4" t="str">
        <f t="shared" si="4"/>
        <v/>
      </c>
    </row>
    <row r="4277" spans="19:25">
      <c r="S4277" t="str">
        <f t="shared" si="0"/>
        <v/>
      </c>
      <c r="T4277" t="str">
        <f t="shared" si="1"/>
        <v/>
      </c>
      <c r="U4277" t="str">
        <f t="shared" si="2"/>
        <v/>
      </c>
      <c r="V4277" t="str">
        <f>IF(OR(U4277="",U4277="ERRO_CHAVE"),"",IFERROR(MATCH(U4277,Fornecedores!$AF$1:$AF$6631,0),""))</f>
        <v/>
      </c>
      <c r="W4277" t="str">
        <f t="shared" si="3"/>
        <v/>
      </c>
      <c r="X4277" s="4" t="str">
        <f>IF(V4277="","",INDEX(Fornecedores!$X$1:$X$6631,V4277))</f>
        <v/>
      </c>
      <c r="Y4277" s="4" t="str">
        <f t="shared" si="4"/>
        <v/>
      </c>
    </row>
    <row r="4278" spans="19:25">
      <c r="S4278" t="str">
        <f t="shared" si="0"/>
        <v/>
      </c>
      <c r="T4278" t="str">
        <f t="shared" si="1"/>
        <v/>
      </c>
      <c r="U4278" t="str">
        <f t="shared" si="2"/>
        <v/>
      </c>
      <c r="V4278" t="str">
        <f>IF(OR(U4278="",U4278="ERRO_CHAVE"),"",IFERROR(MATCH(U4278,Fornecedores!$AF$1:$AF$6631,0),""))</f>
        <v/>
      </c>
      <c r="W4278" t="str">
        <f t="shared" si="3"/>
        <v/>
      </c>
      <c r="X4278" s="4" t="str">
        <f>IF(V4278="","",INDEX(Fornecedores!$X$1:$X$6631,V4278))</f>
        <v/>
      </c>
      <c r="Y4278" s="4" t="str">
        <f t="shared" si="4"/>
        <v/>
      </c>
    </row>
    <row r="4279" spans="19:25">
      <c r="S4279" t="str">
        <f t="shared" si="0"/>
        <v/>
      </c>
      <c r="T4279" t="str">
        <f t="shared" si="1"/>
        <v/>
      </c>
      <c r="U4279" t="str">
        <f t="shared" si="2"/>
        <v/>
      </c>
      <c r="V4279" t="str">
        <f>IF(OR(U4279="",U4279="ERRO_CHAVE"),"",IFERROR(MATCH(U4279,Fornecedores!$AF$1:$AF$6631,0),""))</f>
        <v/>
      </c>
      <c r="W4279" t="str">
        <f t="shared" si="3"/>
        <v/>
      </c>
      <c r="X4279" s="4" t="str">
        <f>IF(V4279="","",INDEX(Fornecedores!$X$1:$X$6631,V4279))</f>
        <v/>
      </c>
      <c r="Y4279" s="4" t="str">
        <f t="shared" si="4"/>
        <v/>
      </c>
    </row>
    <row r="4280" spans="19:25">
      <c r="S4280" t="str">
        <f t="shared" si="0"/>
        <v/>
      </c>
      <c r="T4280" t="str">
        <f t="shared" si="1"/>
        <v/>
      </c>
      <c r="U4280" t="str">
        <f t="shared" si="2"/>
        <v/>
      </c>
      <c r="V4280" t="str">
        <f>IF(OR(U4280="",U4280="ERRO_CHAVE"),"",IFERROR(MATCH(U4280,Fornecedores!$AF$1:$AF$6631,0),""))</f>
        <v/>
      </c>
      <c r="W4280" t="str">
        <f t="shared" si="3"/>
        <v/>
      </c>
      <c r="X4280" s="4" t="str">
        <f>IF(V4280="","",INDEX(Fornecedores!$X$1:$X$6631,V4280))</f>
        <v/>
      </c>
      <c r="Y4280" s="4" t="str">
        <f t="shared" si="4"/>
        <v/>
      </c>
    </row>
    <row r="4281" spans="19:25">
      <c r="S4281" t="str">
        <f t="shared" si="0"/>
        <v/>
      </c>
      <c r="T4281" t="str">
        <f t="shared" si="1"/>
        <v/>
      </c>
      <c r="U4281" t="str">
        <f t="shared" si="2"/>
        <v/>
      </c>
      <c r="V4281" t="str">
        <f>IF(OR(U4281="",U4281="ERRO_CHAVE"),"",IFERROR(MATCH(U4281,Fornecedores!$AF$1:$AF$6631,0),""))</f>
        <v/>
      </c>
      <c r="W4281" t="str">
        <f t="shared" si="3"/>
        <v/>
      </c>
      <c r="X4281" s="4" t="str">
        <f>IF(V4281="","",INDEX(Fornecedores!$X$1:$X$6631,V4281))</f>
        <v/>
      </c>
      <c r="Y4281" s="4" t="str">
        <f t="shared" si="4"/>
        <v/>
      </c>
    </row>
    <row r="4282" spans="19:25">
      <c r="S4282" t="str">
        <f t="shared" si="0"/>
        <v/>
      </c>
      <c r="T4282" t="str">
        <f t="shared" si="1"/>
        <v/>
      </c>
      <c r="U4282" t="str">
        <f t="shared" si="2"/>
        <v/>
      </c>
      <c r="V4282" t="str">
        <f>IF(OR(U4282="",U4282="ERRO_CHAVE"),"",IFERROR(MATCH(U4282,Fornecedores!$AF$1:$AF$6631,0),""))</f>
        <v/>
      </c>
      <c r="W4282" t="str">
        <f t="shared" si="3"/>
        <v/>
      </c>
      <c r="X4282" s="4" t="str">
        <f>IF(V4282="","",INDEX(Fornecedores!$X$1:$X$6631,V4282))</f>
        <v/>
      </c>
      <c r="Y4282" s="4" t="str">
        <f t="shared" si="4"/>
        <v/>
      </c>
    </row>
    <row r="4283" spans="19:25">
      <c r="S4283" t="str">
        <f t="shared" si="0"/>
        <v/>
      </c>
      <c r="T4283" t="str">
        <f t="shared" si="1"/>
        <v/>
      </c>
      <c r="U4283" t="str">
        <f t="shared" si="2"/>
        <v/>
      </c>
      <c r="V4283" t="str">
        <f>IF(OR(U4283="",U4283="ERRO_CHAVE"),"",IFERROR(MATCH(U4283,Fornecedores!$AF$1:$AF$6631,0),""))</f>
        <v/>
      </c>
      <c r="W4283" t="str">
        <f t="shared" si="3"/>
        <v/>
      </c>
      <c r="X4283" s="4" t="str">
        <f>IF(V4283="","",INDEX(Fornecedores!$X$1:$X$6631,V4283))</f>
        <v/>
      </c>
      <c r="Y4283" s="4" t="str">
        <f t="shared" si="4"/>
        <v/>
      </c>
    </row>
    <row r="4284" spans="19:25">
      <c r="S4284" t="str">
        <f t="shared" si="0"/>
        <v/>
      </c>
      <c r="T4284" t="str">
        <f t="shared" si="1"/>
        <v/>
      </c>
      <c r="U4284" t="str">
        <f t="shared" si="2"/>
        <v/>
      </c>
      <c r="V4284" t="str">
        <f>IF(OR(U4284="",U4284="ERRO_CHAVE"),"",IFERROR(MATCH(U4284,Fornecedores!$AF$1:$AF$6631,0),""))</f>
        <v/>
      </c>
      <c r="W4284" t="str">
        <f t="shared" si="3"/>
        <v/>
      </c>
      <c r="X4284" s="4" t="str">
        <f>IF(V4284="","",INDEX(Fornecedores!$X$1:$X$6631,V4284))</f>
        <v/>
      </c>
      <c r="Y4284" s="4" t="str">
        <f t="shared" si="4"/>
        <v/>
      </c>
    </row>
    <row r="4285" spans="19:25">
      <c r="S4285" t="str">
        <f t="shared" si="0"/>
        <v/>
      </c>
      <c r="T4285" t="str">
        <f t="shared" si="1"/>
        <v/>
      </c>
      <c r="U4285" t="str">
        <f t="shared" si="2"/>
        <v/>
      </c>
      <c r="V4285" t="str">
        <f>IF(OR(U4285="",U4285="ERRO_CHAVE"),"",IFERROR(MATCH(U4285,Fornecedores!$AF$1:$AF$6631,0),""))</f>
        <v/>
      </c>
      <c r="W4285" t="str">
        <f t="shared" si="3"/>
        <v/>
      </c>
      <c r="X4285" s="4" t="str">
        <f>IF(V4285="","",INDEX(Fornecedores!$X$1:$X$6631,V4285))</f>
        <v/>
      </c>
      <c r="Y4285" s="4" t="str">
        <f t="shared" si="4"/>
        <v/>
      </c>
    </row>
    <row r="4286" spans="19:25">
      <c r="S4286" t="str">
        <f t="shared" si="0"/>
        <v/>
      </c>
      <c r="T4286" t="str">
        <f t="shared" si="1"/>
        <v/>
      </c>
      <c r="U4286" t="str">
        <f t="shared" si="2"/>
        <v/>
      </c>
      <c r="V4286" t="str">
        <f>IF(OR(U4286="",U4286="ERRO_CHAVE"),"",IFERROR(MATCH(U4286,Fornecedores!$AF$1:$AF$6631,0),""))</f>
        <v/>
      </c>
      <c r="W4286" t="str">
        <f t="shared" si="3"/>
        <v/>
      </c>
      <c r="X4286" s="4" t="str">
        <f>IF(V4286="","",INDEX(Fornecedores!$X$1:$X$6631,V4286))</f>
        <v/>
      </c>
      <c r="Y4286" s="4" t="str">
        <f t="shared" si="4"/>
        <v/>
      </c>
    </row>
    <row r="4287" spans="19:25">
      <c r="S4287" t="str">
        <f t="shared" si="0"/>
        <v/>
      </c>
      <c r="T4287" t="str">
        <f t="shared" si="1"/>
        <v/>
      </c>
      <c r="U4287" t="str">
        <f t="shared" si="2"/>
        <v/>
      </c>
      <c r="V4287" t="str">
        <f>IF(OR(U4287="",U4287="ERRO_CHAVE"),"",IFERROR(MATCH(U4287,Fornecedores!$AF$1:$AF$6631,0),""))</f>
        <v/>
      </c>
      <c r="W4287" t="str">
        <f t="shared" si="3"/>
        <v/>
      </c>
      <c r="X4287" s="4" t="str">
        <f>IF(V4287="","",INDEX(Fornecedores!$X$1:$X$6631,V4287))</f>
        <v/>
      </c>
      <c r="Y4287" s="4" t="str">
        <f t="shared" si="4"/>
        <v/>
      </c>
    </row>
    <row r="4288" spans="19:25">
      <c r="S4288" t="str">
        <f t="shared" si="0"/>
        <v/>
      </c>
      <c r="T4288" t="str">
        <f t="shared" si="1"/>
        <v/>
      </c>
      <c r="U4288" t="str">
        <f t="shared" si="2"/>
        <v/>
      </c>
      <c r="V4288" t="str">
        <f>IF(OR(U4288="",U4288="ERRO_CHAVE"),"",IFERROR(MATCH(U4288,Fornecedores!$AF$1:$AF$6631,0),""))</f>
        <v/>
      </c>
      <c r="W4288" t="str">
        <f t="shared" si="3"/>
        <v/>
      </c>
      <c r="X4288" s="4" t="str">
        <f>IF(V4288="","",INDEX(Fornecedores!$X$1:$X$6631,V4288))</f>
        <v/>
      </c>
      <c r="Y4288" s="4" t="str">
        <f t="shared" si="4"/>
        <v/>
      </c>
    </row>
    <row r="4289" spans="19:25">
      <c r="S4289" t="str">
        <f t="shared" si="0"/>
        <v/>
      </c>
      <c r="T4289" t="str">
        <f t="shared" si="1"/>
        <v/>
      </c>
      <c r="U4289" t="str">
        <f t="shared" si="2"/>
        <v/>
      </c>
      <c r="V4289" t="str">
        <f>IF(OR(U4289="",U4289="ERRO_CHAVE"),"",IFERROR(MATCH(U4289,Fornecedores!$AF$1:$AF$6631,0),""))</f>
        <v/>
      </c>
      <c r="W4289" t="str">
        <f t="shared" si="3"/>
        <v/>
      </c>
      <c r="X4289" s="4" t="str">
        <f>IF(V4289="","",INDEX(Fornecedores!$X$1:$X$6631,V4289))</f>
        <v/>
      </c>
      <c r="Y4289" s="4" t="str">
        <f t="shared" si="4"/>
        <v/>
      </c>
    </row>
    <row r="4290" spans="19:25">
      <c r="S4290" t="str">
        <f t="shared" si="0"/>
        <v/>
      </c>
      <c r="T4290" t="str">
        <f t="shared" si="1"/>
        <v/>
      </c>
      <c r="U4290" t="str">
        <f t="shared" si="2"/>
        <v/>
      </c>
      <c r="V4290" t="str">
        <f>IF(OR(U4290="",U4290="ERRO_CHAVE"),"",IFERROR(MATCH(U4290,Fornecedores!$AF$1:$AF$6631,0),""))</f>
        <v/>
      </c>
      <c r="W4290" t="str">
        <f t="shared" si="3"/>
        <v/>
      </c>
      <c r="X4290" s="4" t="str">
        <f>IF(V4290="","",INDEX(Fornecedores!$X$1:$X$6631,V4290))</f>
        <v/>
      </c>
      <c r="Y4290" s="4" t="str">
        <f t="shared" si="4"/>
        <v/>
      </c>
    </row>
    <row r="4291" spans="19:25">
      <c r="S4291" t="str">
        <f t="shared" si="0"/>
        <v/>
      </c>
      <c r="T4291" t="str">
        <f t="shared" si="1"/>
        <v/>
      </c>
      <c r="U4291" t="str">
        <f t="shared" si="2"/>
        <v/>
      </c>
      <c r="V4291" t="str">
        <f>IF(OR(U4291="",U4291="ERRO_CHAVE"),"",IFERROR(MATCH(U4291,Fornecedores!$AF$1:$AF$6631,0),""))</f>
        <v/>
      </c>
      <c r="W4291" t="str">
        <f t="shared" si="3"/>
        <v/>
      </c>
      <c r="X4291" s="4" t="str">
        <f>IF(V4291="","",INDEX(Fornecedores!$X$1:$X$6631,V4291))</f>
        <v/>
      </c>
      <c r="Y4291" s="4" t="str">
        <f t="shared" si="4"/>
        <v/>
      </c>
    </row>
    <row r="4292" spans="19:25">
      <c r="S4292" t="str">
        <f t="shared" si="0"/>
        <v/>
      </c>
      <c r="T4292" t="str">
        <f t="shared" si="1"/>
        <v/>
      </c>
      <c r="U4292" t="str">
        <f t="shared" si="2"/>
        <v/>
      </c>
      <c r="V4292" t="str">
        <f>IF(OR(U4292="",U4292="ERRO_CHAVE"),"",IFERROR(MATCH(U4292,Fornecedores!$AF$1:$AF$6631,0),""))</f>
        <v/>
      </c>
      <c r="W4292" t="str">
        <f t="shared" si="3"/>
        <v/>
      </c>
      <c r="X4292" s="4" t="str">
        <f>IF(V4292="","",INDEX(Fornecedores!$X$1:$X$6631,V4292))</f>
        <v/>
      </c>
      <c r="Y4292" s="4" t="str">
        <f t="shared" si="4"/>
        <v/>
      </c>
    </row>
    <row r="4293" spans="19:25">
      <c r="S4293" t="str">
        <f t="shared" si="0"/>
        <v/>
      </c>
      <c r="T4293" t="str">
        <f t="shared" si="1"/>
        <v/>
      </c>
      <c r="U4293" t="str">
        <f t="shared" si="2"/>
        <v/>
      </c>
      <c r="V4293" t="str">
        <f>IF(OR(U4293="",U4293="ERRO_CHAVE"),"",IFERROR(MATCH(U4293,Fornecedores!$AF$1:$AF$6631,0),""))</f>
        <v/>
      </c>
      <c r="W4293" t="str">
        <f t="shared" si="3"/>
        <v/>
      </c>
      <c r="X4293" s="4" t="str">
        <f>IF(V4293="","",INDEX(Fornecedores!$X$1:$X$6631,V4293))</f>
        <v/>
      </c>
      <c r="Y4293" s="4" t="str">
        <f t="shared" si="4"/>
        <v/>
      </c>
    </row>
    <row r="4294" spans="19:25">
      <c r="S4294" t="str">
        <f t="shared" si="0"/>
        <v/>
      </c>
      <c r="T4294" t="str">
        <f t="shared" si="1"/>
        <v/>
      </c>
      <c r="U4294" t="str">
        <f t="shared" si="2"/>
        <v/>
      </c>
      <c r="V4294" t="str">
        <f>IF(OR(U4294="",U4294="ERRO_CHAVE"),"",IFERROR(MATCH(U4294,Fornecedores!$AF$1:$AF$6631,0),""))</f>
        <v/>
      </c>
      <c r="W4294" t="str">
        <f t="shared" si="3"/>
        <v/>
      </c>
      <c r="X4294" s="4" t="str">
        <f>IF(V4294="","",INDEX(Fornecedores!$X$1:$X$6631,V4294))</f>
        <v/>
      </c>
      <c r="Y4294" s="4" t="str">
        <f t="shared" si="4"/>
        <v/>
      </c>
    </row>
    <row r="4295" spans="19:25">
      <c r="S4295" t="str">
        <f t="shared" si="0"/>
        <v/>
      </c>
      <c r="T4295" t="str">
        <f t="shared" si="1"/>
        <v/>
      </c>
      <c r="U4295" t="str">
        <f t="shared" si="2"/>
        <v/>
      </c>
      <c r="V4295" t="str">
        <f>IF(OR(U4295="",U4295="ERRO_CHAVE"),"",IFERROR(MATCH(U4295,Fornecedores!$AF$1:$AF$6631,0),""))</f>
        <v/>
      </c>
      <c r="W4295" t="str">
        <f t="shared" si="3"/>
        <v/>
      </c>
      <c r="X4295" s="4" t="str">
        <f>IF(V4295="","",INDEX(Fornecedores!$X$1:$X$6631,V4295))</f>
        <v/>
      </c>
      <c r="Y4295" s="4" t="str">
        <f t="shared" si="4"/>
        <v/>
      </c>
    </row>
    <row r="4296" spans="19:25">
      <c r="S4296" t="str">
        <f t="shared" si="0"/>
        <v/>
      </c>
      <c r="T4296" t="str">
        <f t="shared" si="1"/>
        <v/>
      </c>
      <c r="U4296" t="str">
        <f t="shared" si="2"/>
        <v/>
      </c>
      <c r="V4296" t="str">
        <f>IF(OR(U4296="",U4296="ERRO_CHAVE"),"",IFERROR(MATCH(U4296,Fornecedores!$AF$1:$AF$6631,0),""))</f>
        <v/>
      </c>
      <c r="W4296" t="str">
        <f t="shared" si="3"/>
        <v/>
      </c>
      <c r="X4296" s="4" t="str">
        <f>IF(V4296="","",INDEX(Fornecedores!$X$1:$X$6631,V4296))</f>
        <v/>
      </c>
      <c r="Y4296" s="4" t="str">
        <f t="shared" si="4"/>
        <v/>
      </c>
    </row>
    <row r="4297" spans="19:25">
      <c r="S4297" t="str">
        <f t="shared" si="0"/>
        <v/>
      </c>
      <c r="T4297" t="str">
        <f t="shared" si="1"/>
        <v/>
      </c>
      <c r="U4297" t="str">
        <f t="shared" si="2"/>
        <v/>
      </c>
      <c r="V4297" t="str">
        <f>IF(OR(U4297="",U4297="ERRO_CHAVE"),"",IFERROR(MATCH(U4297,Fornecedores!$AF$1:$AF$6631,0),""))</f>
        <v/>
      </c>
      <c r="W4297" t="str">
        <f t="shared" si="3"/>
        <v/>
      </c>
      <c r="X4297" s="4" t="str">
        <f>IF(V4297="","",INDEX(Fornecedores!$X$1:$X$6631,V4297))</f>
        <v/>
      </c>
      <c r="Y4297" s="4" t="str">
        <f t="shared" si="4"/>
        <v/>
      </c>
    </row>
    <row r="4298" spans="19:25">
      <c r="S4298" t="str">
        <f t="shared" si="0"/>
        <v/>
      </c>
      <c r="T4298" t="str">
        <f t="shared" si="1"/>
        <v/>
      </c>
      <c r="U4298" t="str">
        <f t="shared" si="2"/>
        <v/>
      </c>
      <c r="V4298" t="str">
        <f>IF(OR(U4298="",U4298="ERRO_CHAVE"),"",IFERROR(MATCH(U4298,Fornecedores!$AF$1:$AF$6631,0),""))</f>
        <v/>
      </c>
      <c r="W4298" t="str">
        <f t="shared" si="3"/>
        <v/>
      </c>
      <c r="X4298" s="4" t="str">
        <f>IF(V4298="","",INDEX(Fornecedores!$X$1:$X$6631,V4298))</f>
        <v/>
      </c>
      <c r="Y4298" s="4" t="str">
        <f t="shared" si="4"/>
        <v/>
      </c>
    </row>
    <row r="4299" spans="19:25">
      <c r="S4299" t="str">
        <f t="shared" si="0"/>
        <v/>
      </c>
      <c r="T4299" t="str">
        <f t="shared" si="1"/>
        <v/>
      </c>
      <c r="U4299" t="str">
        <f t="shared" si="2"/>
        <v/>
      </c>
      <c r="V4299" t="str">
        <f>IF(OR(U4299="",U4299="ERRO_CHAVE"),"",IFERROR(MATCH(U4299,Fornecedores!$AF$1:$AF$6631,0),""))</f>
        <v/>
      </c>
      <c r="W4299" t="str">
        <f t="shared" si="3"/>
        <v/>
      </c>
      <c r="X4299" s="4" t="str">
        <f>IF(V4299="","",INDEX(Fornecedores!$X$1:$X$6631,V4299))</f>
        <v/>
      </c>
      <c r="Y4299" s="4" t="str">
        <f t="shared" si="4"/>
        <v/>
      </c>
    </row>
    <row r="4300" spans="19:25">
      <c r="S4300" t="str">
        <f t="shared" si="0"/>
        <v/>
      </c>
      <c r="T4300" t="str">
        <f t="shared" si="1"/>
        <v/>
      </c>
      <c r="U4300" t="str">
        <f t="shared" si="2"/>
        <v/>
      </c>
      <c r="V4300" t="str">
        <f>IF(OR(U4300="",U4300="ERRO_CHAVE"),"",IFERROR(MATCH(U4300,Fornecedores!$AF$1:$AF$6631,0),""))</f>
        <v/>
      </c>
      <c r="W4300" t="str">
        <f t="shared" si="3"/>
        <v/>
      </c>
      <c r="X4300" s="4" t="str">
        <f>IF(V4300="","",INDEX(Fornecedores!$X$1:$X$6631,V4300))</f>
        <v/>
      </c>
      <c r="Y4300" s="4" t="str">
        <f t="shared" si="4"/>
        <v/>
      </c>
    </row>
    <row r="4301" spans="19:25">
      <c r="S4301" t="str">
        <f t="shared" si="0"/>
        <v/>
      </c>
      <c r="T4301" t="str">
        <f t="shared" si="1"/>
        <v/>
      </c>
      <c r="U4301" t="str">
        <f t="shared" si="2"/>
        <v/>
      </c>
      <c r="V4301" t="str">
        <f>IF(OR(U4301="",U4301="ERRO_CHAVE"),"",IFERROR(MATCH(U4301,Fornecedores!$AF$1:$AF$6631,0),""))</f>
        <v/>
      </c>
      <c r="W4301" t="str">
        <f t="shared" si="3"/>
        <v/>
      </c>
      <c r="X4301" s="4" t="str">
        <f>IF(V4301="","",INDEX(Fornecedores!$X$1:$X$6631,V4301))</f>
        <v/>
      </c>
      <c r="Y4301" s="4" t="str">
        <f t="shared" si="4"/>
        <v/>
      </c>
    </row>
    <row r="4302" spans="19:25">
      <c r="S4302" t="str">
        <f t="shared" si="0"/>
        <v/>
      </c>
      <c r="T4302" t="str">
        <f t="shared" si="1"/>
        <v/>
      </c>
      <c r="U4302" t="str">
        <f t="shared" si="2"/>
        <v/>
      </c>
      <c r="V4302" t="str">
        <f>IF(OR(U4302="",U4302="ERRO_CHAVE"),"",IFERROR(MATCH(U4302,Fornecedores!$AF$1:$AF$6631,0),""))</f>
        <v/>
      </c>
      <c r="W4302" t="str">
        <f t="shared" si="3"/>
        <v/>
      </c>
      <c r="X4302" s="4" t="str">
        <f>IF(V4302="","",INDEX(Fornecedores!$X$1:$X$6631,V4302))</f>
        <v/>
      </c>
      <c r="Y4302" s="4" t="str">
        <f t="shared" si="4"/>
        <v/>
      </c>
    </row>
    <row r="4303" spans="19:25">
      <c r="S4303" t="str">
        <f t="shared" si="0"/>
        <v/>
      </c>
      <c r="T4303" t="str">
        <f t="shared" si="1"/>
        <v/>
      </c>
      <c r="U4303" t="str">
        <f t="shared" si="2"/>
        <v/>
      </c>
      <c r="V4303" t="str">
        <f>IF(OR(U4303="",U4303="ERRO_CHAVE"),"",IFERROR(MATCH(U4303,Fornecedores!$AF$1:$AF$6631,0),""))</f>
        <v/>
      </c>
      <c r="W4303" t="str">
        <f t="shared" si="3"/>
        <v/>
      </c>
      <c r="X4303" s="4" t="str">
        <f>IF(V4303="","",INDEX(Fornecedores!$X$1:$X$6631,V4303))</f>
        <v/>
      </c>
      <c r="Y4303" s="4" t="str">
        <f t="shared" si="4"/>
        <v/>
      </c>
    </row>
    <row r="4304" spans="19:25">
      <c r="S4304" t="str">
        <f t="shared" si="0"/>
        <v/>
      </c>
      <c r="T4304" t="str">
        <f t="shared" si="1"/>
        <v/>
      </c>
      <c r="U4304" t="str">
        <f t="shared" si="2"/>
        <v/>
      </c>
      <c r="V4304" t="str">
        <f>IF(OR(U4304="",U4304="ERRO_CHAVE"),"",IFERROR(MATCH(U4304,Fornecedores!$AF$1:$AF$6631,0),""))</f>
        <v/>
      </c>
      <c r="W4304" t="str">
        <f t="shared" si="3"/>
        <v/>
      </c>
      <c r="X4304" s="4" t="str">
        <f>IF(V4304="","",INDEX(Fornecedores!$X$1:$X$6631,V4304))</f>
        <v/>
      </c>
      <c r="Y4304" s="4" t="str">
        <f t="shared" si="4"/>
        <v/>
      </c>
    </row>
    <row r="4305" spans="19:25">
      <c r="S4305" t="str">
        <f t="shared" si="0"/>
        <v/>
      </c>
      <c r="T4305" t="str">
        <f t="shared" si="1"/>
        <v/>
      </c>
      <c r="U4305" t="str">
        <f t="shared" si="2"/>
        <v/>
      </c>
      <c r="V4305" t="str">
        <f>IF(OR(U4305="",U4305="ERRO_CHAVE"),"",IFERROR(MATCH(U4305,Fornecedores!$AF$1:$AF$6631,0),""))</f>
        <v/>
      </c>
      <c r="W4305" t="str">
        <f t="shared" si="3"/>
        <v/>
      </c>
      <c r="X4305" s="4" t="str">
        <f>IF(V4305="","",INDEX(Fornecedores!$X$1:$X$6631,V4305))</f>
        <v/>
      </c>
      <c r="Y4305" s="4" t="str">
        <f t="shared" si="4"/>
        <v/>
      </c>
    </row>
    <row r="4306" spans="19:25">
      <c r="S4306" t="str">
        <f t="shared" si="0"/>
        <v/>
      </c>
      <c r="T4306" t="str">
        <f t="shared" si="1"/>
        <v/>
      </c>
      <c r="U4306" t="str">
        <f t="shared" si="2"/>
        <v/>
      </c>
      <c r="V4306" t="str">
        <f>IF(OR(U4306="",U4306="ERRO_CHAVE"),"",IFERROR(MATCH(U4306,Fornecedores!$AF$1:$AF$6631,0),""))</f>
        <v/>
      </c>
      <c r="W4306" t="str">
        <f t="shared" si="3"/>
        <v/>
      </c>
      <c r="X4306" s="4" t="str">
        <f>IF(V4306="","",INDEX(Fornecedores!$X$1:$X$6631,V4306))</f>
        <v/>
      </c>
      <c r="Y4306" s="4" t="str">
        <f t="shared" si="4"/>
        <v/>
      </c>
    </row>
    <row r="4307" spans="19:25">
      <c r="S4307" t="str">
        <f t="shared" si="0"/>
        <v/>
      </c>
      <c r="T4307" t="str">
        <f t="shared" si="1"/>
        <v/>
      </c>
      <c r="U4307" t="str">
        <f t="shared" si="2"/>
        <v/>
      </c>
      <c r="V4307" t="str">
        <f>IF(OR(U4307="",U4307="ERRO_CHAVE"),"",IFERROR(MATCH(U4307,Fornecedores!$AF$1:$AF$6631,0),""))</f>
        <v/>
      </c>
      <c r="W4307" t="str">
        <f t="shared" si="3"/>
        <v/>
      </c>
      <c r="X4307" s="4" t="str">
        <f>IF(V4307="","",INDEX(Fornecedores!$X$1:$X$6631,V4307))</f>
        <v/>
      </c>
      <c r="Y4307" s="4" t="str">
        <f t="shared" si="4"/>
        <v/>
      </c>
    </row>
    <row r="4308" spans="19:25">
      <c r="S4308" t="str">
        <f t="shared" si="0"/>
        <v/>
      </c>
      <c r="T4308" t="str">
        <f t="shared" si="1"/>
        <v/>
      </c>
      <c r="U4308" t="str">
        <f t="shared" si="2"/>
        <v/>
      </c>
      <c r="V4308" t="str">
        <f>IF(OR(U4308="",U4308="ERRO_CHAVE"),"",IFERROR(MATCH(U4308,Fornecedores!$AF$1:$AF$6631,0),""))</f>
        <v/>
      </c>
      <c r="W4308" t="str">
        <f t="shared" si="3"/>
        <v/>
      </c>
      <c r="X4308" s="4" t="str">
        <f>IF(V4308="","",INDEX(Fornecedores!$X$1:$X$6631,V4308))</f>
        <v/>
      </c>
      <c r="Y4308" s="4" t="str">
        <f t="shared" si="4"/>
        <v/>
      </c>
    </row>
    <row r="4309" spans="19:25">
      <c r="S4309" t="str">
        <f t="shared" si="0"/>
        <v/>
      </c>
      <c r="T4309" t="str">
        <f t="shared" si="1"/>
        <v/>
      </c>
      <c r="U4309" t="str">
        <f t="shared" si="2"/>
        <v/>
      </c>
      <c r="V4309" t="str">
        <f>IF(OR(U4309="",U4309="ERRO_CHAVE"),"",IFERROR(MATCH(U4309,Fornecedores!$AF$1:$AF$6631,0),""))</f>
        <v/>
      </c>
      <c r="W4309" t="str">
        <f t="shared" si="3"/>
        <v/>
      </c>
      <c r="X4309" s="4" t="str">
        <f>IF(V4309="","",INDEX(Fornecedores!$X$1:$X$6631,V4309))</f>
        <v/>
      </c>
      <c r="Y4309" s="4" t="str">
        <f t="shared" si="4"/>
        <v/>
      </c>
    </row>
    <row r="4310" spans="19:25">
      <c r="S4310" t="str">
        <f t="shared" si="0"/>
        <v/>
      </c>
      <c r="T4310" t="str">
        <f t="shared" si="1"/>
        <v/>
      </c>
      <c r="U4310" t="str">
        <f t="shared" si="2"/>
        <v/>
      </c>
      <c r="V4310" t="str">
        <f>IF(OR(U4310="",U4310="ERRO_CHAVE"),"",IFERROR(MATCH(U4310,Fornecedores!$AF$1:$AF$6631,0),""))</f>
        <v/>
      </c>
      <c r="W4310" t="str">
        <f t="shared" si="3"/>
        <v/>
      </c>
      <c r="X4310" s="4" t="str">
        <f>IF(V4310="","",INDEX(Fornecedores!$X$1:$X$6631,V4310))</f>
        <v/>
      </c>
      <c r="Y4310" s="4" t="str">
        <f t="shared" si="4"/>
        <v/>
      </c>
    </row>
    <row r="4311" spans="19:25">
      <c r="S4311" t="str">
        <f t="shared" si="0"/>
        <v/>
      </c>
      <c r="T4311" t="str">
        <f t="shared" si="1"/>
        <v/>
      </c>
      <c r="U4311" t="str">
        <f t="shared" si="2"/>
        <v/>
      </c>
      <c r="V4311" t="str">
        <f>IF(OR(U4311="",U4311="ERRO_CHAVE"),"",IFERROR(MATCH(U4311,Fornecedores!$AF$1:$AF$6631,0),""))</f>
        <v/>
      </c>
      <c r="W4311" t="str">
        <f t="shared" si="3"/>
        <v/>
      </c>
      <c r="X4311" s="4" t="str">
        <f>IF(V4311="","",INDEX(Fornecedores!$X$1:$X$6631,V4311))</f>
        <v/>
      </c>
      <c r="Y4311" s="4" t="str">
        <f t="shared" si="4"/>
        <v/>
      </c>
    </row>
    <row r="4312" spans="19:25">
      <c r="S4312" t="str">
        <f t="shared" si="0"/>
        <v/>
      </c>
      <c r="T4312" t="str">
        <f t="shared" si="1"/>
        <v/>
      </c>
      <c r="U4312" t="str">
        <f t="shared" si="2"/>
        <v/>
      </c>
      <c r="V4312" t="str">
        <f>IF(OR(U4312="",U4312="ERRO_CHAVE"),"",IFERROR(MATCH(U4312,Fornecedores!$AF$1:$AF$6631,0),""))</f>
        <v/>
      </c>
      <c r="W4312" t="str">
        <f t="shared" si="3"/>
        <v/>
      </c>
      <c r="X4312" s="4" t="str">
        <f>IF(V4312="","",INDEX(Fornecedores!$X$1:$X$6631,V4312))</f>
        <v/>
      </c>
      <c r="Y4312" s="4" t="str">
        <f t="shared" si="4"/>
        <v/>
      </c>
    </row>
    <row r="4313" spans="19:25">
      <c r="S4313" t="str">
        <f t="shared" si="0"/>
        <v/>
      </c>
      <c r="T4313" t="str">
        <f t="shared" si="1"/>
        <v/>
      </c>
      <c r="U4313" t="str">
        <f t="shared" si="2"/>
        <v/>
      </c>
      <c r="V4313" t="str">
        <f>IF(OR(U4313="",U4313="ERRO_CHAVE"),"",IFERROR(MATCH(U4313,Fornecedores!$AF$1:$AF$6631,0),""))</f>
        <v/>
      </c>
      <c r="W4313" t="str">
        <f t="shared" si="3"/>
        <v/>
      </c>
      <c r="X4313" s="4" t="str">
        <f>IF(V4313="","",INDEX(Fornecedores!$X$1:$X$6631,V4313))</f>
        <v/>
      </c>
      <c r="Y4313" s="4" t="str">
        <f t="shared" si="4"/>
        <v/>
      </c>
    </row>
    <row r="4314" spans="19:25">
      <c r="S4314" t="str">
        <f t="shared" si="0"/>
        <v/>
      </c>
      <c r="T4314" t="str">
        <f t="shared" si="1"/>
        <v/>
      </c>
      <c r="U4314" t="str">
        <f t="shared" si="2"/>
        <v/>
      </c>
      <c r="V4314" t="str">
        <f>IF(OR(U4314="",U4314="ERRO_CHAVE"),"",IFERROR(MATCH(U4314,Fornecedores!$AF$1:$AF$6631,0),""))</f>
        <v/>
      </c>
      <c r="W4314" t="str">
        <f t="shared" si="3"/>
        <v/>
      </c>
      <c r="X4314" s="4" t="str">
        <f>IF(V4314="","",INDEX(Fornecedores!$X$1:$X$6631,V4314))</f>
        <v/>
      </c>
      <c r="Y4314" s="4" t="str">
        <f t="shared" si="4"/>
        <v/>
      </c>
    </row>
    <row r="4315" spans="19:25">
      <c r="S4315" t="str">
        <f t="shared" si="0"/>
        <v/>
      </c>
      <c r="T4315" t="str">
        <f t="shared" si="1"/>
        <v/>
      </c>
      <c r="U4315" t="str">
        <f t="shared" si="2"/>
        <v/>
      </c>
      <c r="V4315" t="str">
        <f>IF(OR(U4315="",U4315="ERRO_CHAVE"),"",IFERROR(MATCH(U4315,Fornecedores!$AF$1:$AF$6631,0),""))</f>
        <v/>
      </c>
      <c r="W4315" t="str">
        <f t="shared" si="3"/>
        <v/>
      </c>
      <c r="X4315" s="4" t="str">
        <f>IF(V4315="","",INDEX(Fornecedores!$X$1:$X$6631,V4315))</f>
        <v/>
      </c>
      <c r="Y4315" s="4" t="str">
        <f t="shared" si="4"/>
        <v/>
      </c>
    </row>
    <row r="4316" spans="19:25">
      <c r="S4316" t="str">
        <f t="shared" si="0"/>
        <v/>
      </c>
      <c r="T4316" t="str">
        <f t="shared" si="1"/>
        <v/>
      </c>
      <c r="U4316" t="str">
        <f t="shared" si="2"/>
        <v/>
      </c>
      <c r="V4316" t="str">
        <f>IF(OR(U4316="",U4316="ERRO_CHAVE"),"",IFERROR(MATCH(U4316,Fornecedores!$AF$1:$AF$6631,0),""))</f>
        <v/>
      </c>
      <c r="W4316" t="str">
        <f t="shared" si="3"/>
        <v/>
      </c>
      <c r="X4316" s="4" t="str">
        <f>IF(V4316="","",INDEX(Fornecedores!$X$1:$X$6631,V4316))</f>
        <v/>
      </c>
      <c r="Y4316" s="4" t="str">
        <f t="shared" si="4"/>
        <v/>
      </c>
    </row>
    <row r="4317" spans="19:25">
      <c r="S4317" t="str">
        <f t="shared" si="0"/>
        <v/>
      </c>
      <c r="T4317" t="str">
        <f t="shared" si="1"/>
        <v/>
      </c>
      <c r="U4317" t="str">
        <f t="shared" si="2"/>
        <v/>
      </c>
      <c r="V4317" t="str">
        <f>IF(OR(U4317="",U4317="ERRO_CHAVE"),"",IFERROR(MATCH(U4317,Fornecedores!$AF$1:$AF$6631,0),""))</f>
        <v/>
      </c>
      <c r="W4317" t="str">
        <f t="shared" si="3"/>
        <v/>
      </c>
      <c r="X4317" s="4" t="str">
        <f>IF(V4317="","",INDEX(Fornecedores!$X$1:$X$6631,V4317))</f>
        <v/>
      </c>
      <c r="Y4317" s="4" t="str">
        <f t="shared" si="4"/>
        <v/>
      </c>
    </row>
    <row r="4318" spans="19:25">
      <c r="S4318" t="str">
        <f t="shared" si="0"/>
        <v/>
      </c>
      <c r="T4318" t="str">
        <f t="shared" si="1"/>
        <v/>
      </c>
      <c r="U4318" t="str">
        <f t="shared" si="2"/>
        <v/>
      </c>
      <c r="V4318" t="str">
        <f>IF(OR(U4318="",U4318="ERRO_CHAVE"),"",IFERROR(MATCH(U4318,Fornecedores!$AF$1:$AF$6631,0),""))</f>
        <v/>
      </c>
      <c r="W4318" t="str">
        <f t="shared" si="3"/>
        <v/>
      </c>
      <c r="X4318" s="4" t="str">
        <f>IF(V4318="","",INDEX(Fornecedores!$X$1:$X$6631,V4318))</f>
        <v/>
      </c>
      <c r="Y4318" s="4" t="str">
        <f t="shared" si="4"/>
        <v/>
      </c>
    </row>
    <row r="4319" spans="19:25">
      <c r="S4319" t="str">
        <f t="shared" si="0"/>
        <v/>
      </c>
      <c r="T4319" t="str">
        <f t="shared" si="1"/>
        <v/>
      </c>
      <c r="U4319" t="str">
        <f t="shared" si="2"/>
        <v/>
      </c>
      <c r="V4319" t="str">
        <f>IF(OR(U4319="",U4319="ERRO_CHAVE"),"",IFERROR(MATCH(U4319,Fornecedores!$AF$1:$AF$6631,0),""))</f>
        <v/>
      </c>
      <c r="W4319" t="str">
        <f t="shared" si="3"/>
        <v/>
      </c>
      <c r="X4319" s="4" t="str">
        <f>IF(V4319="","",INDEX(Fornecedores!$X$1:$X$6631,V4319))</f>
        <v/>
      </c>
      <c r="Y4319" s="4" t="str">
        <f t="shared" si="4"/>
        <v/>
      </c>
    </row>
    <row r="4320" spans="19:25">
      <c r="S4320" t="str">
        <f t="shared" si="0"/>
        <v/>
      </c>
      <c r="T4320" t="str">
        <f t="shared" si="1"/>
        <v/>
      </c>
      <c r="U4320" t="str">
        <f t="shared" si="2"/>
        <v/>
      </c>
      <c r="V4320" t="str">
        <f>IF(OR(U4320="",U4320="ERRO_CHAVE"),"",IFERROR(MATCH(U4320,Fornecedores!$AF$1:$AF$6631,0),""))</f>
        <v/>
      </c>
      <c r="W4320" t="str">
        <f t="shared" si="3"/>
        <v/>
      </c>
      <c r="X4320" s="4" t="str">
        <f>IF(V4320="","",INDEX(Fornecedores!$X$1:$X$6631,V4320))</f>
        <v/>
      </c>
      <c r="Y4320" s="4" t="str">
        <f t="shared" si="4"/>
        <v/>
      </c>
    </row>
    <row r="4321" spans="19:25">
      <c r="S4321" t="str">
        <f t="shared" si="0"/>
        <v/>
      </c>
      <c r="T4321" t="str">
        <f t="shared" si="1"/>
        <v/>
      </c>
      <c r="U4321" t="str">
        <f t="shared" si="2"/>
        <v/>
      </c>
      <c r="V4321" t="str">
        <f>IF(OR(U4321="",U4321="ERRO_CHAVE"),"",IFERROR(MATCH(U4321,Fornecedores!$AF$1:$AF$6631,0),""))</f>
        <v/>
      </c>
      <c r="W4321" t="str">
        <f t="shared" si="3"/>
        <v/>
      </c>
      <c r="X4321" s="4" t="str">
        <f>IF(V4321="","",INDEX(Fornecedores!$X$1:$X$6631,V4321))</f>
        <v/>
      </c>
      <c r="Y4321" s="4" t="str">
        <f t="shared" si="4"/>
        <v/>
      </c>
    </row>
    <row r="4322" spans="19:25">
      <c r="S4322" t="str">
        <f t="shared" si="0"/>
        <v/>
      </c>
      <c r="T4322" t="str">
        <f t="shared" si="1"/>
        <v/>
      </c>
      <c r="U4322" t="str">
        <f t="shared" si="2"/>
        <v/>
      </c>
      <c r="V4322" t="str">
        <f>IF(OR(U4322="",U4322="ERRO_CHAVE"),"",IFERROR(MATCH(U4322,Fornecedores!$AF$1:$AF$6631,0),""))</f>
        <v/>
      </c>
      <c r="W4322" t="str">
        <f t="shared" si="3"/>
        <v/>
      </c>
      <c r="X4322" s="4" t="str">
        <f>IF(V4322="","",INDEX(Fornecedores!$X$1:$X$6631,V4322))</f>
        <v/>
      </c>
      <c r="Y4322" s="4" t="str">
        <f t="shared" si="4"/>
        <v/>
      </c>
    </row>
    <row r="4323" spans="19:25">
      <c r="S4323" t="str">
        <f t="shared" si="0"/>
        <v/>
      </c>
      <c r="T4323" t="str">
        <f t="shared" si="1"/>
        <v/>
      </c>
      <c r="U4323" t="str">
        <f t="shared" si="2"/>
        <v/>
      </c>
      <c r="V4323" t="str">
        <f>IF(OR(U4323="",U4323="ERRO_CHAVE"),"",IFERROR(MATCH(U4323,Fornecedores!$AF$1:$AF$6631,0),""))</f>
        <v/>
      </c>
      <c r="W4323" t="str">
        <f t="shared" si="3"/>
        <v/>
      </c>
      <c r="X4323" s="4" t="str">
        <f>IF(V4323="","",INDEX(Fornecedores!$X$1:$X$6631,V4323))</f>
        <v/>
      </c>
      <c r="Y4323" s="4" t="str">
        <f t="shared" si="4"/>
        <v/>
      </c>
    </row>
    <row r="4324" spans="19:25">
      <c r="S4324" t="str">
        <f t="shared" si="0"/>
        <v/>
      </c>
      <c r="T4324" t="str">
        <f t="shared" si="1"/>
        <v/>
      </c>
      <c r="U4324" t="str">
        <f t="shared" si="2"/>
        <v/>
      </c>
      <c r="V4324" t="str">
        <f>IF(OR(U4324="",U4324="ERRO_CHAVE"),"",IFERROR(MATCH(U4324,Fornecedores!$AF$1:$AF$6631,0),""))</f>
        <v/>
      </c>
      <c r="W4324" t="str">
        <f t="shared" si="3"/>
        <v/>
      </c>
      <c r="X4324" s="4" t="str">
        <f>IF(V4324="","",INDEX(Fornecedores!$X$1:$X$6631,V4324))</f>
        <v/>
      </c>
      <c r="Y4324" s="4" t="str">
        <f t="shared" si="4"/>
        <v/>
      </c>
    </row>
    <row r="4325" spans="19:25">
      <c r="S4325" t="str">
        <f t="shared" si="0"/>
        <v/>
      </c>
      <c r="T4325" t="str">
        <f t="shared" si="1"/>
        <v/>
      </c>
      <c r="U4325" t="str">
        <f t="shared" si="2"/>
        <v/>
      </c>
      <c r="V4325" t="str">
        <f>IF(OR(U4325="",U4325="ERRO_CHAVE"),"",IFERROR(MATCH(U4325,Fornecedores!$AF$1:$AF$6631,0),""))</f>
        <v/>
      </c>
      <c r="W4325" t="str">
        <f t="shared" si="3"/>
        <v/>
      </c>
      <c r="X4325" s="4" t="str">
        <f>IF(V4325="","",INDEX(Fornecedores!$X$1:$X$6631,V4325))</f>
        <v/>
      </c>
      <c r="Y4325" s="4" t="str">
        <f t="shared" si="4"/>
        <v/>
      </c>
    </row>
    <row r="4326" spans="19:25">
      <c r="S4326" t="str">
        <f t="shared" si="0"/>
        <v/>
      </c>
      <c r="T4326" t="str">
        <f t="shared" si="1"/>
        <v/>
      </c>
      <c r="U4326" t="str">
        <f t="shared" si="2"/>
        <v/>
      </c>
      <c r="V4326" t="str">
        <f>IF(OR(U4326="",U4326="ERRO_CHAVE"),"",IFERROR(MATCH(U4326,Fornecedores!$AF$1:$AF$6631,0),""))</f>
        <v/>
      </c>
      <c r="W4326" t="str">
        <f t="shared" si="3"/>
        <v/>
      </c>
      <c r="X4326" s="4" t="str">
        <f>IF(V4326="","",INDEX(Fornecedores!$X$1:$X$6631,V4326))</f>
        <v/>
      </c>
      <c r="Y4326" s="4" t="str">
        <f t="shared" si="4"/>
        <v/>
      </c>
    </row>
    <row r="4327" spans="19:25">
      <c r="S4327" t="str">
        <f t="shared" si="0"/>
        <v/>
      </c>
      <c r="T4327" t="str">
        <f t="shared" si="1"/>
        <v/>
      </c>
      <c r="U4327" t="str">
        <f t="shared" si="2"/>
        <v/>
      </c>
      <c r="V4327" t="str">
        <f>IF(OR(U4327="",U4327="ERRO_CHAVE"),"",IFERROR(MATCH(U4327,Fornecedores!$AF$1:$AF$6631,0),""))</f>
        <v/>
      </c>
      <c r="W4327" t="str">
        <f t="shared" si="3"/>
        <v/>
      </c>
      <c r="X4327" s="4" t="str">
        <f>IF(V4327="","",INDEX(Fornecedores!$X$1:$X$6631,V4327))</f>
        <v/>
      </c>
      <c r="Y4327" s="4" t="str">
        <f t="shared" si="4"/>
        <v/>
      </c>
    </row>
    <row r="4328" spans="19:25">
      <c r="S4328" t="str">
        <f t="shared" si="0"/>
        <v/>
      </c>
      <c r="T4328" t="str">
        <f t="shared" si="1"/>
        <v/>
      </c>
      <c r="U4328" t="str">
        <f t="shared" si="2"/>
        <v/>
      </c>
      <c r="V4328" t="str">
        <f>IF(OR(U4328="",U4328="ERRO_CHAVE"),"",IFERROR(MATCH(U4328,Fornecedores!$AF$1:$AF$6631,0),""))</f>
        <v/>
      </c>
      <c r="W4328" t="str">
        <f t="shared" si="3"/>
        <v/>
      </c>
      <c r="X4328" s="4" t="str">
        <f>IF(V4328="","",INDEX(Fornecedores!$X$1:$X$6631,V4328))</f>
        <v/>
      </c>
      <c r="Y4328" s="4" t="str">
        <f t="shared" si="4"/>
        <v/>
      </c>
    </row>
    <row r="4329" spans="19:25">
      <c r="S4329" t="str">
        <f t="shared" si="0"/>
        <v/>
      </c>
      <c r="T4329" t="str">
        <f t="shared" si="1"/>
        <v/>
      </c>
      <c r="U4329" t="str">
        <f t="shared" si="2"/>
        <v/>
      </c>
      <c r="V4329" t="str">
        <f>IF(OR(U4329="",U4329="ERRO_CHAVE"),"",IFERROR(MATCH(U4329,Fornecedores!$AF$1:$AF$6631,0),""))</f>
        <v/>
      </c>
      <c r="W4329" t="str">
        <f t="shared" si="3"/>
        <v/>
      </c>
      <c r="X4329" s="4" t="str">
        <f>IF(V4329="","",INDEX(Fornecedores!$X$1:$X$6631,V4329))</f>
        <v/>
      </c>
      <c r="Y4329" s="4" t="str">
        <f t="shared" si="4"/>
        <v/>
      </c>
    </row>
    <row r="4330" spans="19:25">
      <c r="S4330" t="str">
        <f t="shared" si="0"/>
        <v/>
      </c>
      <c r="T4330" t="str">
        <f t="shared" si="1"/>
        <v/>
      </c>
      <c r="U4330" t="str">
        <f t="shared" si="2"/>
        <v/>
      </c>
      <c r="V4330" t="str">
        <f>IF(OR(U4330="",U4330="ERRO_CHAVE"),"",IFERROR(MATCH(U4330,Fornecedores!$AF$1:$AF$6631,0),""))</f>
        <v/>
      </c>
      <c r="W4330" t="str">
        <f t="shared" si="3"/>
        <v/>
      </c>
      <c r="X4330" s="4" t="str">
        <f>IF(V4330="","",INDEX(Fornecedores!$X$1:$X$6631,V4330))</f>
        <v/>
      </c>
      <c r="Y4330" s="4" t="str">
        <f t="shared" si="4"/>
        <v/>
      </c>
    </row>
    <row r="4331" spans="19:25">
      <c r="S4331" t="str">
        <f t="shared" si="0"/>
        <v/>
      </c>
      <c r="T4331" t="str">
        <f t="shared" si="1"/>
        <v/>
      </c>
      <c r="U4331" t="str">
        <f t="shared" si="2"/>
        <v/>
      </c>
      <c r="V4331" t="str">
        <f>IF(OR(U4331="",U4331="ERRO_CHAVE"),"",IFERROR(MATCH(U4331,Fornecedores!$AF$1:$AF$6631,0),""))</f>
        <v/>
      </c>
      <c r="W4331" t="str">
        <f t="shared" si="3"/>
        <v/>
      </c>
      <c r="X4331" s="4" t="str">
        <f>IF(V4331="","",INDEX(Fornecedores!$X$1:$X$6631,V4331))</f>
        <v/>
      </c>
      <c r="Y4331" s="4" t="str">
        <f t="shared" si="4"/>
        <v/>
      </c>
    </row>
    <row r="4332" spans="19:25">
      <c r="S4332" t="str">
        <f t="shared" si="0"/>
        <v/>
      </c>
      <c r="T4332" t="str">
        <f t="shared" si="1"/>
        <v/>
      </c>
      <c r="U4332" t="str">
        <f t="shared" si="2"/>
        <v/>
      </c>
      <c r="V4332" t="str">
        <f>IF(OR(U4332="",U4332="ERRO_CHAVE"),"",IFERROR(MATCH(U4332,Fornecedores!$AF$1:$AF$6631,0),""))</f>
        <v/>
      </c>
      <c r="W4332" t="str">
        <f t="shared" si="3"/>
        <v/>
      </c>
      <c r="X4332" s="4" t="str">
        <f>IF(V4332="","",INDEX(Fornecedores!$X$1:$X$6631,V4332))</f>
        <v/>
      </c>
      <c r="Y4332" s="4" t="str">
        <f t="shared" si="4"/>
        <v/>
      </c>
    </row>
    <row r="4333" spans="19:25">
      <c r="S4333" t="str">
        <f t="shared" si="0"/>
        <v/>
      </c>
      <c r="T4333" t="str">
        <f t="shared" si="1"/>
        <v/>
      </c>
      <c r="U4333" t="str">
        <f t="shared" si="2"/>
        <v/>
      </c>
      <c r="V4333" t="str">
        <f>IF(OR(U4333="",U4333="ERRO_CHAVE"),"",IFERROR(MATCH(U4333,Fornecedores!$AF$1:$AF$6631,0),""))</f>
        <v/>
      </c>
      <c r="W4333" t="str">
        <f t="shared" si="3"/>
        <v/>
      </c>
      <c r="X4333" s="4" t="str">
        <f>IF(V4333="","",INDEX(Fornecedores!$X$1:$X$6631,V4333))</f>
        <v/>
      </c>
      <c r="Y4333" s="4" t="str">
        <f t="shared" si="4"/>
        <v/>
      </c>
    </row>
    <row r="4334" spans="19:25">
      <c r="S4334" t="str">
        <f t="shared" si="0"/>
        <v/>
      </c>
      <c r="T4334" t="str">
        <f t="shared" si="1"/>
        <v/>
      </c>
      <c r="U4334" t="str">
        <f t="shared" si="2"/>
        <v/>
      </c>
      <c r="V4334" t="str">
        <f>IF(OR(U4334="",U4334="ERRO_CHAVE"),"",IFERROR(MATCH(U4334,Fornecedores!$AF$1:$AF$6631,0),""))</f>
        <v/>
      </c>
      <c r="W4334" t="str">
        <f t="shared" si="3"/>
        <v/>
      </c>
      <c r="X4334" s="4" t="str">
        <f>IF(V4334="","",INDEX(Fornecedores!$X$1:$X$6631,V4334))</f>
        <v/>
      </c>
      <c r="Y4334" s="4" t="str">
        <f t="shared" si="4"/>
        <v/>
      </c>
    </row>
    <row r="4335" spans="19:25">
      <c r="S4335" t="str">
        <f t="shared" si="0"/>
        <v/>
      </c>
      <c r="T4335" t="str">
        <f t="shared" si="1"/>
        <v/>
      </c>
      <c r="U4335" t="str">
        <f t="shared" si="2"/>
        <v/>
      </c>
      <c r="V4335" t="str">
        <f>IF(OR(U4335="",U4335="ERRO_CHAVE"),"",IFERROR(MATCH(U4335,Fornecedores!$AF$1:$AF$6631,0),""))</f>
        <v/>
      </c>
      <c r="W4335" t="str">
        <f t="shared" si="3"/>
        <v/>
      </c>
      <c r="X4335" s="4" t="str">
        <f>IF(V4335="","",INDEX(Fornecedores!$X$1:$X$6631,V4335))</f>
        <v/>
      </c>
      <c r="Y4335" s="4" t="str">
        <f t="shared" si="4"/>
        <v/>
      </c>
    </row>
    <row r="4336" spans="19:25">
      <c r="S4336" t="str">
        <f t="shared" si="0"/>
        <v/>
      </c>
      <c r="T4336" t="str">
        <f t="shared" si="1"/>
        <v/>
      </c>
      <c r="U4336" t="str">
        <f t="shared" si="2"/>
        <v/>
      </c>
      <c r="V4336" t="str">
        <f>IF(OR(U4336="",U4336="ERRO_CHAVE"),"",IFERROR(MATCH(U4336,Fornecedores!$AF$1:$AF$6631,0),""))</f>
        <v/>
      </c>
      <c r="W4336" t="str">
        <f t="shared" si="3"/>
        <v/>
      </c>
      <c r="X4336" s="4" t="str">
        <f>IF(V4336="","",INDEX(Fornecedores!$X$1:$X$6631,V4336))</f>
        <v/>
      </c>
      <c r="Y4336" s="4" t="str">
        <f t="shared" si="4"/>
        <v/>
      </c>
    </row>
    <row r="4337" spans="19:25">
      <c r="S4337" t="str">
        <f t="shared" si="0"/>
        <v/>
      </c>
      <c r="T4337" t="str">
        <f t="shared" si="1"/>
        <v/>
      </c>
      <c r="U4337" t="str">
        <f t="shared" si="2"/>
        <v/>
      </c>
      <c r="V4337" t="str">
        <f>IF(OR(U4337="",U4337="ERRO_CHAVE"),"",IFERROR(MATCH(U4337,Fornecedores!$AF$1:$AF$6631,0),""))</f>
        <v/>
      </c>
      <c r="W4337" t="str">
        <f t="shared" si="3"/>
        <v/>
      </c>
      <c r="X4337" s="4" t="str">
        <f>IF(V4337="","",INDEX(Fornecedores!$X$1:$X$6631,V4337))</f>
        <v/>
      </c>
      <c r="Y4337" s="4" t="str">
        <f t="shared" si="4"/>
        <v/>
      </c>
    </row>
    <row r="4338" spans="19:25">
      <c r="S4338" t="str">
        <f t="shared" si="0"/>
        <v/>
      </c>
      <c r="T4338" t="str">
        <f t="shared" si="1"/>
        <v/>
      </c>
      <c r="U4338" t="str">
        <f t="shared" si="2"/>
        <v/>
      </c>
      <c r="V4338" t="str">
        <f>IF(OR(U4338="",U4338="ERRO_CHAVE"),"",IFERROR(MATCH(U4338,Fornecedores!$AF$1:$AF$6631,0),""))</f>
        <v/>
      </c>
      <c r="W4338" t="str">
        <f t="shared" si="3"/>
        <v/>
      </c>
      <c r="X4338" s="4" t="str">
        <f>IF(V4338="","",INDEX(Fornecedores!$X$1:$X$6631,V4338))</f>
        <v/>
      </c>
      <c r="Y4338" s="4" t="str">
        <f t="shared" si="4"/>
        <v/>
      </c>
    </row>
    <row r="4339" spans="19:25">
      <c r="S4339" t="str">
        <f t="shared" si="0"/>
        <v/>
      </c>
      <c r="T4339" t="str">
        <f t="shared" si="1"/>
        <v/>
      </c>
      <c r="U4339" t="str">
        <f t="shared" si="2"/>
        <v/>
      </c>
      <c r="V4339" t="str">
        <f>IF(OR(U4339="",U4339="ERRO_CHAVE"),"",IFERROR(MATCH(U4339,Fornecedores!$AF$1:$AF$6631,0),""))</f>
        <v/>
      </c>
      <c r="W4339" t="str">
        <f t="shared" si="3"/>
        <v/>
      </c>
      <c r="X4339" s="4" t="str">
        <f>IF(V4339="","",INDEX(Fornecedores!$X$1:$X$6631,V4339))</f>
        <v/>
      </c>
      <c r="Y4339" s="4" t="str">
        <f t="shared" si="4"/>
        <v/>
      </c>
    </row>
    <row r="4340" spans="19:25">
      <c r="S4340" t="str">
        <f t="shared" si="0"/>
        <v/>
      </c>
      <c r="T4340" t="str">
        <f t="shared" si="1"/>
        <v/>
      </c>
      <c r="U4340" t="str">
        <f t="shared" si="2"/>
        <v/>
      </c>
      <c r="V4340" t="str">
        <f>IF(OR(U4340="",U4340="ERRO_CHAVE"),"",IFERROR(MATCH(U4340,Fornecedores!$AF$1:$AF$6631,0),""))</f>
        <v/>
      </c>
      <c r="W4340" t="str">
        <f t="shared" si="3"/>
        <v/>
      </c>
      <c r="X4340" s="4" t="str">
        <f>IF(V4340="","",INDEX(Fornecedores!$X$1:$X$6631,V4340))</f>
        <v/>
      </c>
      <c r="Y4340" s="4" t="str">
        <f t="shared" si="4"/>
        <v/>
      </c>
    </row>
    <row r="4341" spans="19:25">
      <c r="S4341" t="str">
        <f t="shared" si="0"/>
        <v/>
      </c>
      <c r="T4341" t="str">
        <f t="shared" si="1"/>
        <v/>
      </c>
      <c r="U4341" t="str">
        <f t="shared" si="2"/>
        <v/>
      </c>
      <c r="V4341" t="str">
        <f>IF(OR(U4341="",U4341="ERRO_CHAVE"),"",IFERROR(MATCH(U4341,Fornecedores!$AF$1:$AF$6631,0),""))</f>
        <v/>
      </c>
      <c r="W4341" t="str">
        <f t="shared" si="3"/>
        <v/>
      </c>
      <c r="X4341" s="4" t="str">
        <f>IF(V4341="","",INDEX(Fornecedores!$X$1:$X$6631,V4341))</f>
        <v/>
      </c>
      <c r="Y4341" s="4" t="str">
        <f t="shared" si="4"/>
        <v/>
      </c>
    </row>
    <row r="4342" spans="19:25">
      <c r="S4342" t="str">
        <f t="shared" si="0"/>
        <v/>
      </c>
      <c r="T4342" t="str">
        <f t="shared" si="1"/>
        <v/>
      </c>
      <c r="U4342" t="str">
        <f t="shared" si="2"/>
        <v/>
      </c>
      <c r="V4342" t="str">
        <f>IF(OR(U4342="",U4342="ERRO_CHAVE"),"",IFERROR(MATCH(U4342,Fornecedores!$AF$1:$AF$6631,0),""))</f>
        <v/>
      </c>
      <c r="W4342" t="str">
        <f t="shared" si="3"/>
        <v/>
      </c>
      <c r="X4342" s="4" t="str">
        <f>IF(V4342="","",INDEX(Fornecedores!$X$1:$X$6631,V4342))</f>
        <v/>
      </c>
      <c r="Y4342" s="4" t="str">
        <f t="shared" si="4"/>
        <v/>
      </c>
    </row>
    <row r="4343" spans="19:25">
      <c r="S4343" t="str">
        <f t="shared" si="0"/>
        <v/>
      </c>
      <c r="T4343" t="str">
        <f t="shared" si="1"/>
        <v/>
      </c>
      <c r="U4343" t="str">
        <f t="shared" si="2"/>
        <v/>
      </c>
      <c r="V4343" t="str">
        <f>IF(OR(U4343="",U4343="ERRO_CHAVE"),"",IFERROR(MATCH(U4343,Fornecedores!$AF$1:$AF$6631,0),""))</f>
        <v/>
      </c>
      <c r="W4343" t="str">
        <f t="shared" si="3"/>
        <v/>
      </c>
      <c r="X4343" s="4" t="str">
        <f>IF(V4343="","",INDEX(Fornecedores!$X$1:$X$6631,V4343))</f>
        <v/>
      </c>
      <c r="Y4343" s="4" t="str">
        <f t="shared" si="4"/>
        <v/>
      </c>
    </row>
    <row r="4344" spans="19:25">
      <c r="S4344" t="str">
        <f t="shared" si="0"/>
        <v/>
      </c>
      <c r="T4344" t="str">
        <f t="shared" si="1"/>
        <v/>
      </c>
      <c r="U4344" t="str">
        <f t="shared" si="2"/>
        <v/>
      </c>
      <c r="V4344" t="str">
        <f>IF(OR(U4344="",U4344="ERRO_CHAVE"),"",IFERROR(MATCH(U4344,Fornecedores!$AF$1:$AF$6631,0),""))</f>
        <v/>
      </c>
      <c r="W4344" t="str">
        <f t="shared" si="3"/>
        <v/>
      </c>
      <c r="X4344" s="4" t="str">
        <f>IF(V4344="","",INDEX(Fornecedores!$X$1:$X$6631,V4344))</f>
        <v/>
      </c>
      <c r="Y4344" s="4" t="str">
        <f t="shared" si="4"/>
        <v/>
      </c>
    </row>
    <row r="4345" spans="19:25">
      <c r="S4345" t="str">
        <f t="shared" si="0"/>
        <v/>
      </c>
      <c r="T4345" t="str">
        <f t="shared" si="1"/>
        <v/>
      </c>
      <c r="U4345" t="str">
        <f t="shared" si="2"/>
        <v/>
      </c>
      <c r="V4345" t="str">
        <f>IF(OR(U4345="",U4345="ERRO_CHAVE"),"",IFERROR(MATCH(U4345,Fornecedores!$AF$1:$AF$6631,0),""))</f>
        <v/>
      </c>
      <c r="W4345" t="str">
        <f t="shared" si="3"/>
        <v/>
      </c>
      <c r="X4345" s="4" t="str">
        <f>IF(V4345="","",INDEX(Fornecedores!$X$1:$X$6631,V4345))</f>
        <v/>
      </c>
      <c r="Y4345" s="4" t="str">
        <f t="shared" si="4"/>
        <v/>
      </c>
    </row>
    <row r="4346" spans="19:25">
      <c r="S4346" t="str">
        <f t="shared" si="0"/>
        <v/>
      </c>
      <c r="T4346" t="str">
        <f t="shared" si="1"/>
        <v/>
      </c>
      <c r="U4346" t="str">
        <f t="shared" si="2"/>
        <v/>
      </c>
      <c r="V4346" t="str">
        <f>IF(OR(U4346="",U4346="ERRO_CHAVE"),"",IFERROR(MATCH(U4346,Fornecedores!$AF$1:$AF$6631,0),""))</f>
        <v/>
      </c>
      <c r="W4346" t="str">
        <f t="shared" si="3"/>
        <v/>
      </c>
      <c r="X4346" s="4" t="str">
        <f>IF(V4346="","",INDEX(Fornecedores!$X$1:$X$6631,V4346))</f>
        <v/>
      </c>
      <c r="Y4346" s="4" t="str">
        <f t="shared" si="4"/>
        <v/>
      </c>
    </row>
    <row r="4347" spans="19:25">
      <c r="S4347" t="str">
        <f t="shared" si="0"/>
        <v/>
      </c>
      <c r="T4347" t="str">
        <f t="shared" si="1"/>
        <v/>
      </c>
      <c r="U4347" t="str">
        <f t="shared" si="2"/>
        <v/>
      </c>
      <c r="V4347" t="str">
        <f>IF(OR(U4347="",U4347="ERRO_CHAVE"),"",IFERROR(MATCH(U4347,Fornecedores!$AF$1:$AF$6631,0),""))</f>
        <v/>
      </c>
      <c r="W4347" t="str">
        <f t="shared" si="3"/>
        <v/>
      </c>
      <c r="X4347" s="4" t="str">
        <f>IF(V4347="","",INDEX(Fornecedores!$X$1:$X$6631,V4347))</f>
        <v/>
      </c>
      <c r="Y4347" s="4" t="str">
        <f t="shared" si="4"/>
        <v/>
      </c>
    </row>
    <row r="4348" spans="19:25">
      <c r="S4348" t="str">
        <f t="shared" si="0"/>
        <v/>
      </c>
      <c r="T4348" t="str">
        <f t="shared" si="1"/>
        <v/>
      </c>
      <c r="U4348" t="str">
        <f t="shared" si="2"/>
        <v/>
      </c>
      <c r="V4348" t="str">
        <f>IF(OR(U4348="",U4348="ERRO_CHAVE"),"",IFERROR(MATCH(U4348,Fornecedores!$AF$1:$AF$6631,0),""))</f>
        <v/>
      </c>
      <c r="W4348" t="str">
        <f t="shared" si="3"/>
        <v/>
      </c>
      <c r="X4348" s="4" t="str">
        <f>IF(V4348="","",INDEX(Fornecedores!$X$1:$X$6631,V4348))</f>
        <v/>
      </c>
      <c r="Y4348" s="4" t="str">
        <f t="shared" si="4"/>
        <v/>
      </c>
    </row>
    <row r="4349" spans="19:25">
      <c r="S4349" t="str">
        <f t="shared" si="0"/>
        <v/>
      </c>
      <c r="T4349" t="str">
        <f t="shared" si="1"/>
        <v/>
      </c>
      <c r="U4349" t="str">
        <f t="shared" si="2"/>
        <v/>
      </c>
      <c r="V4349" t="str">
        <f>IF(OR(U4349="",U4349="ERRO_CHAVE"),"",IFERROR(MATCH(U4349,Fornecedores!$AF$1:$AF$6631,0),""))</f>
        <v/>
      </c>
      <c r="W4349" t="str">
        <f t="shared" si="3"/>
        <v/>
      </c>
      <c r="X4349" s="4" t="str">
        <f>IF(V4349="","",INDEX(Fornecedores!$X$1:$X$6631,V4349))</f>
        <v/>
      </c>
      <c r="Y4349" s="4" t="str">
        <f t="shared" si="4"/>
        <v/>
      </c>
    </row>
    <row r="4350" spans="19:25">
      <c r="S4350" t="str">
        <f t="shared" si="0"/>
        <v/>
      </c>
      <c r="T4350" t="str">
        <f t="shared" si="1"/>
        <v/>
      </c>
      <c r="U4350" t="str">
        <f t="shared" si="2"/>
        <v/>
      </c>
      <c r="V4350" t="str">
        <f>IF(OR(U4350="",U4350="ERRO_CHAVE"),"",IFERROR(MATCH(U4350,Fornecedores!$AF$1:$AF$6631,0),""))</f>
        <v/>
      </c>
      <c r="W4350" t="str">
        <f t="shared" si="3"/>
        <v/>
      </c>
      <c r="X4350" s="4" t="str">
        <f>IF(V4350="","",INDEX(Fornecedores!$X$1:$X$6631,V4350))</f>
        <v/>
      </c>
      <c r="Y4350" s="4" t="str">
        <f t="shared" si="4"/>
        <v/>
      </c>
    </row>
    <row r="4351" spans="19:25">
      <c r="S4351" t="str">
        <f t="shared" si="0"/>
        <v/>
      </c>
      <c r="T4351" t="str">
        <f t="shared" si="1"/>
        <v/>
      </c>
      <c r="U4351" t="str">
        <f t="shared" si="2"/>
        <v/>
      </c>
      <c r="V4351" t="str">
        <f>IF(OR(U4351="",U4351="ERRO_CHAVE"),"",IFERROR(MATCH(U4351,Fornecedores!$AF$1:$AF$6631,0),""))</f>
        <v/>
      </c>
      <c r="W4351" t="str">
        <f t="shared" si="3"/>
        <v/>
      </c>
      <c r="X4351" s="4" t="str">
        <f>IF(V4351="","",INDEX(Fornecedores!$X$1:$X$6631,V4351))</f>
        <v/>
      </c>
      <c r="Y4351" s="4" t="str">
        <f t="shared" si="4"/>
        <v/>
      </c>
    </row>
    <row r="4352" spans="19:25">
      <c r="S4352" t="str">
        <f t="shared" si="0"/>
        <v/>
      </c>
      <c r="T4352" t="str">
        <f t="shared" si="1"/>
        <v/>
      </c>
      <c r="U4352" t="str">
        <f t="shared" si="2"/>
        <v/>
      </c>
      <c r="V4352" t="str">
        <f>IF(OR(U4352="",U4352="ERRO_CHAVE"),"",IFERROR(MATCH(U4352,Fornecedores!$AF$1:$AF$6631,0),""))</f>
        <v/>
      </c>
      <c r="W4352" t="str">
        <f t="shared" si="3"/>
        <v/>
      </c>
      <c r="X4352" s="4" t="str">
        <f>IF(V4352="","",INDEX(Fornecedores!$X$1:$X$6631,V4352))</f>
        <v/>
      </c>
      <c r="Y4352" s="4" t="str">
        <f t="shared" si="4"/>
        <v/>
      </c>
    </row>
    <row r="4353" spans="19:25">
      <c r="S4353" t="str">
        <f t="shared" si="0"/>
        <v/>
      </c>
      <c r="T4353" t="str">
        <f t="shared" si="1"/>
        <v/>
      </c>
      <c r="U4353" t="str">
        <f t="shared" si="2"/>
        <v/>
      </c>
      <c r="V4353" t="str">
        <f>IF(OR(U4353="",U4353="ERRO_CHAVE"),"",IFERROR(MATCH(U4353,Fornecedores!$AF$1:$AF$6631,0),""))</f>
        <v/>
      </c>
      <c r="W4353" t="str">
        <f t="shared" si="3"/>
        <v/>
      </c>
      <c r="X4353" s="4" t="str">
        <f>IF(V4353="","",INDEX(Fornecedores!$X$1:$X$6631,V4353))</f>
        <v/>
      </c>
      <c r="Y4353" s="4" t="str">
        <f t="shared" si="4"/>
        <v/>
      </c>
    </row>
    <row r="4354" spans="19:25">
      <c r="S4354" t="str">
        <f t="shared" si="0"/>
        <v/>
      </c>
      <c r="T4354" t="str">
        <f t="shared" si="1"/>
        <v/>
      </c>
      <c r="U4354" t="str">
        <f t="shared" si="2"/>
        <v/>
      </c>
      <c r="V4354" t="str">
        <f>IF(OR(U4354="",U4354="ERRO_CHAVE"),"",IFERROR(MATCH(U4354,Fornecedores!$AF$1:$AF$6631,0),""))</f>
        <v/>
      </c>
      <c r="W4354" t="str">
        <f t="shared" si="3"/>
        <v/>
      </c>
      <c r="X4354" s="4" t="str">
        <f>IF(V4354="","",INDEX(Fornecedores!$X$1:$X$6631,V4354))</f>
        <v/>
      </c>
      <c r="Y4354" s="4" t="str">
        <f t="shared" si="4"/>
        <v/>
      </c>
    </row>
    <row r="4355" spans="19:25">
      <c r="S4355" t="str">
        <f t="shared" si="0"/>
        <v/>
      </c>
      <c r="T4355" t="str">
        <f t="shared" si="1"/>
        <v/>
      </c>
      <c r="U4355" t="str">
        <f t="shared" si="2"/>
        <v/>
      </c>
      <c r="V4355" t="str">
        <f>IF(OR(U4355="",U4355="ERRO_CHAVE"),"",IFERROR(MATCH(U4355,Fornecedores!$AF$1:$AF$6631,0),""))</f>
        <v/>
      </c>
      <c r="W4355" t="str">
        <f t="shared" si="3"/>
        <v/>
      </c>
      <c r="X4355" s="4" t="str">
        <f>IF(V4355="","",INDEX(Fornecedores!$X$1:$X$6631,V4355))</f>
        <v/>
      </c>
      <c r="Y4355" s="4" t="str">
        <f t="shared" si="4"/>
        <v/>
      </c>
    </row>
    <row r="4356" spans="19:25">
      <c r="S4356" t="str">
        <f t="shared" si="0"/>
        <v/>
      </c>
      <c r="T4356" t="str">
        <f t="shared" si="1"/>
        <v/>
      </c>
      <c r="U4356" t="str">
        <f t="shared" si="2"/>
        <v/>
      </c>
      <c r="V4356" t="str">
        <f>IF(OR(U4356="",U4356="ERRO_CHAVE"),"",IFERROR(MATCH(U4356,Fornecedores!$AF$1:$AF$6631,0),""))</f>
        <v/>
      </c>
      <c r="W4356" t="str">
        <f t="shared" si="3"/>
        <v/>
      </c>
      <c r="X4356" s="4" t="str">
        <f>IF(V4356="","",INDEX(Fornecedores!$X$1:$X$6631,V4356))</f>
        <v/>
      </c>
      <c r="Y4356" s="4" t="str">
        <f t="shared" si="4"/>
        <v/>
      </c>
    </row>
    <row r="4357" spans="19:25">
      <c r="S4357" t="str">
        <f t="shared" si="0"/>
        <v/>
      </c>
      <c r="T4357" t="str">
        <f t="shared" si="1"/>
        <v/>
      </c>
      <c r="U4357" t="str">
        <f t="shared" si="2"/>
        <v/>
      </c>
      <c r="V4357" t="str">
        <f>IF(OR(U4357="",U4357="ERRO_CHAVE"),"",IFERROR(MATCH(U4357,Fornecedores!$AF$1:$AF$6631,0),""))</f>
        <v/>
      </c>
      <c r="W4357" t="str">
        <f t="shared" si="3"/>
        <v/>
      </c>
      <c r="X4357" s="4" t="str">
        <f>IF(V4357="","",INDEX(Fornecedores!$X$1:$X$6631,V4357))</f>
        <v/>
      </c>
      <c r="Y4357" s="4" t="str">
        <f t="shared" si="4"/>
        <v/>
      </c>
    </row>
    <row r="4358" spans="19:25">
      <c r="S4358" t="str">
        <f t="shared" si="0"/>
        <v/>
      </c>
      <c r="T4358" t="str">
        <f t="shared" si="1"/>
        <v/>
      </c>
      <c r="U4358" t="str">
        <f t="shared" si="2"/>
        <v/>
      </c>
      <c r="V4358" t="str">
        <f>IF(OR(U4358="",U4358="ERRO_CHAVE"),"",IFERROR(MATCH(U4358,Fornecedores!$AF$1:$AF$6631,0),""))</f>
        <v/>
      </c>
      <c r="W4358" t="str">
        <f t="shared" si="3"/>
        <v/>
      </c>
      <c r="X4358" s="4" t="str">
        <f>IF(V4358="","",INDEX(Fornecedores!$X$1:$X$6631,V4358))</f>
        <v/>
      </c>
      <c r="Y4358" s="4" t="str">
        <f t="shared" si="4"/>
        <v/>
      </c>
    </row>
    <row r="4359" spans="19:25">
      <c r="S4359" t="str">
        <f t="shared" si="0"/>
        <v/>
      </c>
      <c r="T4359" t="str">
        <f t="shared" si="1"/>
        <v/>
      </c>
      <c r="U4359" t="str">
        <f t="shared" si="2"/>
        <v/>
      </c>
      <c r="V4359" t="str">
        <f>IF(OR(U4359="",U4359="ERRO_CHAVE"),"",IFERROR(MATCH(U4359,Fornecedores!$AF$1:$AF$6631,0),""))</f>
        <v/>
      </c>
      <c r="W4359" t="str">
        <f t="shared" si="3"/>
        <v/>
      </c>
      <c r="X4359" s="4" t="str">
        <f>IF(V4359="","",INDEX(Fornecedores!$X$1:$X$6631,V4359))</f>
        <v/>
      </c>
      <c r="Y4359" s="4" t="str">
        <f t="shared" si="4"/>
        <v/>
      </c>
    </row>
    <row r="4360" spans="19:25">
      <c r="S4360" t="str">
        <f t="shared" si="0"/>
        <v/>
      </c>
      <c r="T4360" t="str">
        <f t="shared" si="1"/>
        <v/>
      </c>
      <c r="U4360" t="str">
        <f t="shared" si="2"/>
        <v/>
      </c>
      <c r="V4360" t="str">
        <f>IF(OR(U4360="",U4360="ERRO_CHAVE"),"",IFERROR(MATCH(U4360,Fornecedores!$AF$1:$AF$6631,0),""))</f>
        <v/>
      </c>
      <c r="W4360" t="str">
        <f t="shared" si="3"/>
        <v/>
      </c>
      <c r="X4360" s="4" t="str">
        <f>IF(V4360="","",INDEX(Fornecedores!$X$1:$X$6631,V4360))</f>
        <v/>
      </c>
      <c r="Y4360" s="4" t="str">
        <f t="shared" si="4"/>
        <v/>
      </c>
    </row>
    <row r="4361" spans="19:25">
      <c r="S4361" t="str">
        <f t="shared" si="0"/>
        <v/>
      </c>
      <c r="T4361" t="str">
        <f t="shared" si="1"/>
        <v/>
      </c>
      <c r="U4361" t="str">
        <f t="shared" si="2"/>
        <v/>
      </c>
      <c r="V4361" t="str">
        <f>IF(OR(U4361="",U4361="ERRO_CHAVE"),"",IFERROR(MATCH(U4361,Fornecedores!$AF$1:$AF$6631,0),""))</f>
        <v/>
      </c>
      <c r="W4361" t="str">
        <f t="shared" si="3"/>
        <v/>
      </c>
      <c r="X4361" s="4" t="str">
        <f>IF(V4361="","",INDEX(Fornecedores!$X$1:$X$6631,V4361))</f>
        <v/>
      </c>
      <c r="Y4361" s="4" t="str">
        <f t="shared" si="4"/>
        <v/>
      </c>
    </row>
    <row r="4362" spans="19:25">
      <c r="S4362" t="str">
        <f t="shared" si="0"/>
        <v/>
      </c>
      <c r="T4362" t="str">
        <f t="shared" si="1"/>
        <v/>
      </c>
      <c r="U4362" t="str">
        <f t="shared" si="2"/>
        <v/>
      </c>
      <c r="V4362" t="str">
        <f>IF(OR(U4362="",U4362="ERRO_CHAVE"),"",IFERROR(MATCH(U4362,Fornecedores!$AF$1:$AF$6631,0),""))</f>
        <v/>
      </c>
      <c r="W4362" t="str">
        <f t="shared" si="3"/>
        <v/>
      </c>
      <c r="X4362" s="4" t="str">
        <f>IF(V4362="","",INDEX(Fornecedores!$X$1:$X$6631,V4362))</f>
        <v/>
      </c>
      <c r="Y4362" s="4" t="str">
        <f t="shared" si="4"/>
        <v/>
      </c>
    </row>
    <row r="4363" spans="19:25">
      <c r="S4363" t="str">
        <f t="shared" si="0"/>
        <v/>
      </c>
      <c r="T4363" t="str">
        <f t="shared" si="1"/>
        <v/>
      </c>
      <c r="U4363" t="str">
        <f t="shared" si="2"/>
        <v/>
      </c>
      <c r="V4363" t="str">
        <f>IF(OR(U4363="",U4363="ERRO_CHAVE"),"",IFERROR(MATCH(U4363,Fornecedores!$AF$1:$AF$6631,0),""))</f>
        <v/>
      </c>
      <c r="W4363" t="str">
        <f t="shared" si="3"/>
        <v/>
      </c>
      <c r="X4363" s="4" t="str">
        <f>IF(V4363="","",INDEX(Fornecedores!$X$1:$X$6631,V4363))</f>
        <v/>
      </c>
      <c r="Y4363" s="4" t="str">
        <f t="shared" si="4"/>
        <v/>
      </c>
    </row>
    <row r="4364" spans="19:25">
      <c r="S4364" t="str">
        <f t="shared" si="0"/>
        <v/>
      </c>
      <c r="T4364" t="str">
        <f t="shared" si="1"/>
        <v/>
      </c>
      <c r="U4364" t="str">
        <f t="shared" si="2"/>
        <v/>
      </c>
      <c r="V4364" t="str">
        <f>IF(OR(U4364="",U4364="ERRO_CHAVE"),"",IFERROR(MATCH(U4364,Fornecedores!$AF$1:$AF$6631,0),""))</f>
        <v/>
      </c>
      <c r="W4364" t="str">
        <f t="shared" si="3"/>
        <v/>
      </c>
      <c r="X4364" s="4" t="str">
        <f>IF(V4364="","",INDEX(Fornecedores!$X$1:$X$6631,V4364))</f>
        <v/>
      </c>
      <c r="Y4364" s="4" t="str">
        <f t="shared" si="4"/>
        <v/>
      </c>
    </row>
    <row r="4365" spans="19:25">
      <c r="S4365" t="str">
        <f t="shared" si="0"/>
        <v/>
      </c>
      <c r="T4365" t="str">
        <f t="shared" si="1"/>
        <v/>
      </c>
      <c r="U4365" t="str">
        <f t="shared" si="2"/>
        <v/>
      </c>
      <c r="V4365" t="str">
        <f>IF(OR(U4365="",U4365="ERRO_CHAVE"),"",IFERROR(MATCH(U4365,Fornecedores!$AF$1:$AF$6631,0),""))</f>
        <v/>
      </c>
      <c r="W4365" t="str">
        <f t="shared" si="3"/>
        <v/>
      </c>
      <c r="X4365" s="4" t="str">
        <f>IF(V4365="","",INDEX(Fornecedores!$X$1:$X$6631,V4365))</f>
        <v/>
      </c>
      <c r="Y4365" s="4" t="str">
        <f t="shared" si="4"/>
        <v/>
      </c>
    </row>
    <row r="4366" spans="19:25">
      <c r="S4366" t="str">
        <f t="shared" si="0"/>
        <v/>
      </c>
      <c r="T4366" t="str">
        <f t="shared" si="1"/>
        <v/>
      </c>
      <c r="U4366" t="str">
        <f t="shared" si="2"/>
        <v/>
      </c>
      <c r="V4366" t="str">
        <f>IF(OR(U4366="",U4366="ERRO_CHAVE"),"",IFERROR(MATCH(U4366,Fornecedores!$AF$1:$AF$6631,0),""))</f>
        <v/>
      </c>
      <c r="W4366" t="str">
        <f t="shared" si="3"/>
        <v/>
      </c>
      <c r="X4366" s="4" t="str">
        <f>IF(V4366="","",INDEX(Fornecedores!$X$1:$X$6631,V4366))</f>
        <v/>
      </c>
      <c r="Y4366" s="4" t="str">
        <f t="shared" si="4"/>
        <v/>
      </c>
    </row>
    <row r="4367" spans="19:25">
      <c r="S4367" t="str">
        <f t="shared" si="0"/>
        <v/>
      </c>
      <c r="T4367" t="str">
        <f t="shared" si="1"/>
        <v/>
      </c>
      <c r="U4367" t="str">
        <f t="shared" si="2"/>
        <v/>
      </c>
      <c r="V4367" t="str">
        <f>IF(OR(U4367="",U4367="ERRO_CHAVE"),"",IFERROR(MATCH(U4367,Fornecedores!$AF$1:$AF$6631,0),""))</f>
        <v/>
      </c>
      <c r="W4367" t="str">
        <f t="shared" si="3"/>
        <v/>
      </c>
      <c r="X4367" s="4" t="str">
        <f>IF(V4367="","",INDEX(Fornecedores!$X$1:$X$6631,V4367))</f>
        <v/>
      </c>
      <c r="Y4367" s="4" t="str">
        <f t="shared" si="4"/>
        <v/>
      </c>
    </row>
    <row r="4368" spans="19:25">
      <c r="S4368" t="str">
        <f t="shared" si="0"/>
        <v/>
      </c>
      <c r="T4368" t="str">
        <f t="shared" si="1"/>
        <v/>
      </c>
      <c r="U4368" t="str">
        <f t="shared" si="2"/>
        <v/>
      </c>
      <c r="V4368" t="str">
        <f>IF(OR(U4368="",U4368="ERRO_CHAVE"),"",IFERROR(MATCH(U4368,Fornecedores!$AF$1:$AF$6631,0),""))</f>
        <v/>
      </c>
      <c r="W4368" t="str">
        <f t="shared" si="3"/>
        <v/>
      </c>
      <c r="X4368" s="4" t="str">
        <f>IF(V4368="","",INDEX(Fornecedores!$X$1:$X$6631,V4368))</f>
        <v/>
      </c>
      <c r="Y4368" s="4" t="str">
        <f t="shared" si="4"/>
        <v/>
      </c>
    </row>
    <row r="4369" spans="19:25">
      <c r="S4369" t="str">
        <f t="shared" si="0"/>
        <v/>
      </c>
      <c r="T4369" t="str">
        <f t="shared" si="1"/>
        <v/>
      </c>
      <c r="U4369" t="str">
        <f t="shared" si="2"/>
        <v/>
      </c>
      <c r="V4369" t="str">
        <f>IF(OR(U4369="",U4369="ERRO_CHAVE"),"",IFERROR(MATCH(U4369,Fornecedores!$AF$1:$AF$6631,0),""))</f>
        <v/>
      </c>
      <c r="W4369" t="str">
        <f t="shared" si="3"/>
        <v/>
      </c>
      <c r="X4369" s="4" t="str">
        <f>IF(V4369="","",INDEX(Fornecedores!$X$1:$X$6631,V4369))</f>
        <v/>
      </c>
      <c r="Y4369" s="4" t="str">
        <f t="shared" si="4"/>
        <v/>
      </c>
    </row>
    <row r="4370" spans="19:25">
      <c r="S4370" t="str">
        <f t="shared" si="0"/>
        <v/>
      </c>
      <c r="T4370" t="str">
        <f t="shared" si="1"/>
        <v/>
      </c>
      <c r="U4370" t="str">
        <f t="shared" si="2"/>
        <v/>
      </c>
      <c r="V4370" t="str">
        <f>IF(OR(U4370="",U4370="ERRO_CHAVE"),"",IFERROR(MATCH(U4370,Fornecedores!$AF$1:$AF$6631,0),""))</f>
        <v/>
      </c>
      <c r="W4370" t="str">
        <f t="shared" si="3"/>
        <v/>
      </c>
      <c r="X4370" s="4" t="str">
        <f>IF(V4370="","",INDEX(Fornecedores!$X$1:$X$6631,V4370))</f>
        <v/>
      </c>
      <c r="Y4370" s="4" t="str">
        <f t="shared" si="4"/>
        <v/>
      </c>
    </row>
    <row r="4371" spans="19:25">
      <c r="S4371" t="str">
        <f t="shared" si="0"/>
        <v/>
      </c>
      <c r="T4371" t="str">
        <f t="shared" si="1"/>
        <v/>
      </c>
      <c r="U4371" t="str">
        <f t="shared" si="2"/>
        <v/>
      </c>
      <c r="V4371" t="str">
        <f>IF(OR(U4371="",U4371="ERRO_CHAVE"),"",IFERROR(MATCH(U4371,Fornecedores!$AF$1:$AF$6631,0),""))</f>
        <v/>
      </c>
      <c r="W4371" t="str">
        <f t="shared" si="3"/>
        <v/>
      </c>
      <c r="X4371" s="4" t="str">
        <f>IF(V4371="","",INDEX(Fornecedores!$X$1:$X$6631,V4371))</f>
        <v/>
      </c>
      <c r="Y4371" s="4" t="str">
        <f t="shared" si="4"/>
        <v/>
      </c>
    </row>
    <row r="4372" spans="19:25">
      <c r="S4372" t="str">
        <f t="shared" si="0"/>
        <v/>
      </c>
      <c r="T4372" t="str">
        <f t="shared" si="1"/>
        <v/>
      </c>
      <c r="U4372" t="str">
        <f t="shared" si="2"/>
        <v/>
      </c>
      <c r="V4372" t="str">
        <f>IF(OR(U4372="",U4372="ERRO_CHAVE"),"",IFERROR(MATCH(U4372,Fornecedores!$AF$1:$AF$6631,0),""))</f>
        <v/>
      </c>
      <c r="W4372" t="str">
        <f t="shared" si="3"/>
        <v/>
      </c>
      <c r="X4372" s="4" t="str">
        <f>IF(V4372="","",INDEX(Fornecedores!$X$1:$X$6631,V4372))</f>
        <v/>
      </c>
      <c r="Y4372" s="4" t="str">
        <f t="shared" si="4"/>
        <v/>
      </c>
    </row>
    <row r="4373" spans="19:25">
      <c r="S4373" t="str">
        <f t="shared" si="0"/>
        <v/>
      </c>
      <c r="T4373" t="str">
        <f t="shared" si="1"/>
        <v/>
      </c>
      <c r="U4373" t="str">
        <f t="shared" si="2"/>
        <v/>
      </c>
      <c r="V4373" t="str">
        <f>IF(OR(U4373="",U4373="ERRO_CHAVE"),"",IFERROR(MATCH(U4373,Fornecedores!$AF$1:$AF$6631,0),""))</f>
        <v/>
      </c>
      <c r="W4373" t="str">
        <f t="shared" si="3"/>
        <v/>
      </c>
      <c r="X4373" s="4" t="str">
        <f>IF(V4373="","",INDEX(Fornecedores!$X$1:$X$6631,V4373))</f>
        <v/>
      </c>
      <c r="Y4373" s="4" t="str">
        <f t="shared" si="4"/>
        <v/>
      </c>
    </row>
    <row r="4374" spans="19:25">
      <c r="S4374" t="str">
        <f t="shared" si="0"/>
        <v/>
      </c>
      <c r="T4374" t="str">
        <f t="shared" si="1"/>
        <v/>
      </c>
      <c r="U4374" t="str">
        <f t="shared" si="2"/>
        <v/>
      </c>
      <c r="V4374" t="str">
        <f>IF(OR(U4374="",U4374="ERRO_CHAVE"),"",IFERROR(MATCH(U4374,Fornecedores!$AF$1:$AF$6631,0),""))</f>
        <v/>
      </c>
      <c r="W4374" t="str">
        <f t="shared" si="3"/>
        <v/>
      </c>
      <c r="X4374" s="4" t="str">
        <f>IF(V4374="","",INDEX(Fornecedores!$X$1:$X$6631,V4374))</f>
        <v/>
      </c>
      <c r="Y4374" s="4" t="str">
        <f t="shared" si="4"/>
        <v/>
      </c>
    </row>
    <row r="4375" spans="19:25">
      <c r="S4375" t="str">
        <f t="shared" si="0"/>
        <v/>
      </c>
      <c r="T4375" t="str">
        <f t="shared" si="1"/>
        <v/>
      </c>
      <c r="U4375" t="str">
        <f t="shared" si="2"/>
        <v/>
      </c>
      <c r="V4375" t="str">
        <f>IF(OR(U4375="",U4375="ERRO_CHAVE"),"",IFERROR(MATCH(U4375,Fornecedores!$AF$1:$AF$6631,0),""))</f>
        <v/>
      </c>
      <c r="W4375" t="str">
        <f t="shared" si="3"/>
        <v/>
      </c>
      <c r="X4375" s="4" t="str">
        <f>IF(V4375="","",INDEX(Fornecedores!$X$1:$X$6631,V4375))</f>
        <v/>
      </c>
      <c r="Y4375" s="4" t="str">
        <f t="shared" si="4"/>
        <v/>
      </c>
    </row>
    <row r="4376" spans="19:25">
      <c r="S4376" t="str">
        <f t="shared" si="0"/>
        <v/>
      </c>
      <c r="T4376" t="str">
        <f t="shared" si="1"/>
        <v/>
      </c>
      <c r="U4376" t="str">
        <f t="shared" si="2"/>
        <v/>
      </c>
      <c r="V4376" t="str">
        <f>IF(OR(U4376="",U4376="ERRO_CHAVE"),"",IFERROR(MATCH(U4376,Fornecedores!$AF$1:$AF$6631,0),""))</f>
        <v/>
      </c>
      <c r="W4376" t="str">
        <f t="shared" si="3"/>
        <v/>
      </c>
      <c r="X4376" s="4" t="str">
        <f>IF(V4376="","",INDEX(Fornecedores!$X$1:$X$6631,V4376))</f>
        <v/>
      </c>
      <c r="Y4376" s="4" t="str">
        <f t="shared" si="4"/>
        <v/>
      </c>
    </row>
    <row r="4377" spans="19:25">
      <c r="S4377" t="str">
        <f t="shared" si="0"/>
        <v/>
      </c>
      <c r="T4377" t="str">
        <f t="shared" si="1"/>
        <v/>
      </c>
      <c r="U4377" t="str">
        <f t="shared" si="2"/>
        <v/>
      </c>
      <c r="V4377" t="str">
        <f>IF(OR(U4377="",U4377="ERRO_CHAVE"),"",IFERROR(MATCH(U4377,Fornecedores!$AF$1:$AF$6631,0),""))</f>
        <v/>
      </c>
      <c r="W4377" t="str">
        <f t="shared" si="3"/>
        <v/>
      </c>
      <c r="X4377" s="4" t="str">
        <f>IF(V4377="","",INDEX(Fornecedores!$X$1:$X$6631,V4377))</f>
        <v/>
      </c>
      <c r="Y4377" s="4" t="str">
        <f t="shared" si="4"/>
        <v/>
      </c>
    </row>
    <row r="4378" spans="19:25">
      <c r="S4378" t="str">
        <f t="shared" si="0"/>
        <v/>
      </c>
      <c r="T4378" t="str">
        <f t="shared" si="1"/>
        <v/>
      </c>
      <c r="U4378" t="str">
        <f t="shared" si="2"/>
        <v/>
      </c>
      <c r="V4378" t="str">
        <f>IF(OR(U4378="",U4378="ERRO_CHAVE"),"",IFERROR(MATCH(U4378,Fornecedores!$AF$1:$AF$6631,0),""))</f>
        <v/>
      </c>
      <c r="W4378" t="str">
        <f t="shared" si="3"/>
        <v/>
      </c>
      <c r="X4378" s="4" t="str">
        <f>IF(V4378="","",INDEX(Fornecedores!$X$1:$X$6631,V4378))</f>
        <v/>
      </c>
      <c r="Y4378" s="4" t="str">
        <f t="shared" si="4"/>
        <v/>
      </c>
    </row>
    <row r="4379" spans="19:25">
      <c r="S4379" t="str">
        <f t="shared" si="0"/>
        <v/>
      </c>
      <c r="T4379" t="str">
        <f t="shared" si="1"/>
        <v/>
      </c>
      <c r="U4379" t="str">
        <f t="shared" si="2"/>
        <v/>
      </c>
      <c r="V4379" t="str">
        <f>IF(OR(U4379="",U4379="ERRO_CHAVE"),"",IFERROR(MATCH(U4379,Fornecedores!$AF$1:$AF$6631,0),""))</f>
        <v/>
      </c>
      <c r="W4379" t="str">
        <f t="shared" si="3"/>
        <v/>
      </c>
      <c r="X4379" s="4" t="str">
        <f>IF(V4379="","",INDEX(Fornecedores!$X$1:$X$6631,V4379))</f>
        <v/>
      </c>
      <c r="Y4379" s="4" t="str">
        <f t="shared" si="4"/>
        <v/>
      </c>
    </row>
    <row r="4380" spans="19:25">
      <c r="S4380" t="str">
        <f t="shared" si="0"/>
        <v/>
      </c>
      <c r="T4380" t="str">
        <f t="shared" si="1"/>
        <v/>
      </c>
      <c r="U4380" t="str">
        <f t="shared" si="2"/>
        <v/>
      </c>
      <c r="V4380" t="str">
        <f>IF(OR(U4380="",U4380="ERRO_CHAVE"),"",IFERROR(MATCH(U4380,Fornecedores!$AF$1:$AF$6631,0),""))</f>
        <v/>
      </c>
      <c r="W4380" t="str">
        <f t="shared" si="3"/>
        <v/>
      </c>
      <c r="X4380" s="4" t="str">
        <f>IF(V4380="","",INDEX(Fornecedores!$X$1:$X$6631,V4380))</f>
        <v/>
      </c>
      <c r="Y4380" s="4" t="str">
        <f t="shared" si="4"/>
        <v/>
      </c>
    </row>
    <row r="4381" spans="19:25">
      <c r="S4381" t="str">
        <f t="shared" si="0"/>
        <v/>
      </c>
      <c r="T4381" t="str">
        <f t="shared" si="1"/>
        <v/>
      </c>
      <c r="U4381" t="str">
        <f t="shared" si="2"/>
        <v/>
      </c>
      <c r="V4381" t="str">
        <f>IF(OR(U4381="",U4381="ERRO_CHAVE"),"",IFERROR(MATCH(U4381,Fornecedores!$AF$1:$AF$6631,0),""))</f>
        <v/>
      </c>
      <c r="W4381" t="str">
        <f t="shared" si="3"/>
        <v/>
      </c>
      <c r="X4381" s="4" t="str">
        <f>IF(V4381="","",INDEX(Fornecedores!$X$1:$X$6631,V4381))</f>
        <v/>
      </c>
      <c r="Y4381" s="4" t="str">
        <f t="shared" si="4"/>
        <v/>
      </c>
    </row>
    <row r="4382" spans="19:25">
      <c r="S4382" t="str">
        <f t="shared" si="0"/>
        <v/>
      </c>
      <c r="T4382" t="str">
        <f t="shared" si="1"/>
        <v/>
      </c>
      <c r="U4382" t="str">
        <f t="shared" si="2"/>
        <v/>
      </c>
      <c r="V4382" t="str">
        <f>IF(OR(U4382="",U4382="ERRO_CHAVE"),"",IFERROR(MATCH(U4382,Fornecedores!$AF$1:$AF$6631,0),""))</f>
        <v/>
      </c>
      <c r="W4382" t="str">
        <f t="shared" si="3"/>
        <v/>
      </c>
      <c r="X4382" s="4" t="str">
        <f>IF(V4382="","",INDEX(Fornecedores!$X$1:$X$6631,V4382))</f>
        <v/>
      </c>
      <c r="Y4382" s="4" t="str">
        <f t="shared" si="4"/>
        <v/>
      </c>
    </row>
    <row r="4383" spans="19:25">
      <c r="S4383" t="str">
        <f t="shared" si="0"/>
        <v/>
      </c>
      <c r="T4383" t="str">
        <f t="shared" si="1"/>
        <v/>
      </c>
      <c r="U4383" t="str">
        <f t="shared" si="2"/>
        <v/>
      </c>
      <c r="V4383" t="str">
        <f>IF(OR(U4383="",U4383="ERRO_CHAVE"),"",IFERROR(MATCH(U4383,Fornecedores!$AF$1:$AF$6631,0),""))</f>
        <v/>
      </c>
      <c r="W4383" t="str">
        <f t="shared" si="3"/>
        <v/>
      </c>
      <c r="X4383" s="4" t="str">
        <f>IF(V4383="","",INDEX(Fornecedores!$X$1:$X$6631,V4383))</f>
        <v/>
      </c>
      <c r="Y4383" s="4" t="str">
        <f t="shared" si="4"/>
        <v/>
      </c>
    </row>
    <row r="4384" spans="19:25">
      <c r="S4384" t="str">
        <f t="shared" si="0"/>
        <v/>
      </c>
      <c r="T4384" t="str">
        <f t="shared" si="1"/>
        <v/>
      </c>
      <c r="U4384" t="str">
        <f t="shared" si="2"/>
        <v/>
      </c>
      <c r="V4384" t="str">
        <f>IF(OR(U4384="",U4384="ERRO_CHAVE"),"",IFERROR(MATCH(U4384,Fornecedores!$AF$1:$AF$6631,0),""))</f>
        <v/>
      </c>
      <c r="W4384" t="str">
        <f t="shared" si="3"/>
        <v/>
      </c>
      <c r="X4384" s="4" t="str">
        <f>IF(V4384="","",INDEX(Fornecedores!$X$1:$X$6631,V4384))</f>
        <v/>
      </c>
      <c r="Y4384" s="4" t="str">
        <f t="shared" si="4"/>
        <v/>
      </c>
    </row>
    <row r="4385" spans="19:25">
      <c r="S4385" t="str">
        <f t="shared" si="0"/>
        <v/>
      </c>
      <c r="T4385" t="str">
        <f t="shared" si="1"/>
        <v/>
      </c>
      <c r="U4385" t="str">
        <f t="shared" si="2"/>
        <v/>
      </c>
      <c r="V4385" t="str">
        <f>IF(OR(U4385="",U4385="ERRO_CHAVE"),"",IFERROR(MATCH(U4385,Fornecedores!$AF$1:$AF$6631,0),""))</f>
        <v/>
      </c>
      <c r="W4385" t="str">
        <f t="shared" si="3"/>
        <v/>
      </c>
      <c r="X4385" s="4" t="str">
        <f>IF(V4385="","",INDEX(Fornecedores!$X$1:$X$6631,V4385))</f>
        <v/>
      </c>
      <c r="Y4385" s="4" t="str">
        <f t="shared" si="4"/>
        <v/>
      </c>
    </row>
    <row r="4386" spans="19:25">
      <c r="S4386" t="str">
        <f t="shared" si="0"/>
        <v/>
      </c>
      <c r="T4386" t="str">
        <f t="shared" si="1"/>
        <v/>
      </c>
      <c r="U4386" t="str">
        <f t="shared" si="2"/>
        <v/>
      </c>
      <c r="V4386" t="str">
        <f>IF(OR(U4386="",U4386="ERRO_CHAVE"),"",IFERROR(MATCH(U4386,Fornecedores!$AF$1:$AF$6631,0),""))</f>
        <v/>
      </c>
      <c r="W4386" t="str">
        <f t="shared" si="3"/>
        <v/>
      </c>
      <c r="X4386" s="4" t="str">
        <f>IF(V4386="","",INDEX(Fornecedores!$X$1:$X$6631,V4386))</f>
        <v/>
      </c>
      <c r="Y4386" s="4" t="str">
        <f t="shared" si="4"/>
        <v/>
      </c>
    </row>
    <row r="4387" spans="19:25">
      <c r="S4387" t="str">
        <f t="shared" si="0"/>
        <v/>
      </c>
      <c r="T4387" t="str">
        <f t="shared" si="1"/>
        <v/>
      </c>
      <c r="U4387" t="str">
        <f t="shared" si="2"/>
        <v/>
      </c>
      <c r="V4387" t="str">
        <f>IF(OR(U4387="",U4387="ERRO_CHAVE"),"",IFERROR(MATCH(U4387,Fornecedores!$AF$1:$AF$6631,0),""))</f>
        <v/>
      </c>
      <c r="W4387" t="str">
        <f t="shared" si="3"/>
        <v/>
      </c>
      <c r="X4387" s="4" t="str">
        <f>IF(V4387="","",INDEX(Fornecedores!$X$1:$X$6631,V4387))</f>
        <v/>
      </c>
      <c r="Y4387" s="4" t="str">
        <f t="shared" si="4"/>
        <v/>
      </c>
    </row>
    <row r="4388" spans="19:25">
      <c r="S4388" t="str">
        <f t="shared" si="0"/>
        <v/>
      </c>
      <c r="T4388" t="str">
        <f t="shared" si="1"/>
        <v/>
      </c>
      <c r="U4388" t="str">
        <f t="shared" si="2"/>
        <v/>
      </c>
      <c r="V4388" t="str">
        <f>IF(OR(U4388="",U4388="ERRO_CHAVE"),"",IFERROR(MATCH(U4388,Fornecedores!$AF$1:$AF$6631,0),""))</f>
        <v/>
      </c>
      <c r="W4388" t="str">
        <f t="shared" si="3"/>
        <v/>
      </c>
      <c r="X4388" s="4" t="str">
        <f>IF(V4388="","",INDEX(Fornecedores!$X$1:$X$6631,V4388))</f>
        <v/>
      </c>
      <c r="Y4388" s="4" t="str">
        <f t="shared" si="4"/>
        <v/>
      </c>
    </row>
    <row r="4389" spans="19:25">
      <c r="S4389" t="str">
        <f t="shared" si="0"/>
        <v/>
      </c>
      <c r="T4389" t="str">
        <f t="shared" si="1"/>
        <v/>
      </c>
      <c r="U4389" t="str">
        <f t="shared" si="2"/>
        <v/>
      </c>
      <c r="V4389" t="str">
        <f>IF(OR(U4389="",U4389="ERRO_CHAVE"),"",IFERROR(MATCH(U4389,Fornecedores!$AF$1:$AF$6631,0),""))</f>
        <v/>
      </c>
      <c r="W4389" t="str">
        <f t="shared" si="3"/>
        <v/>
      </c>
      <c r="X4389" s="4" t="str">
        <f>IF(V4389="","",INDEX(Fornecedores!$X$1:$X$6631,V4389))</f>
        <v/>
      </c>
      <c r="Y4389" s="4" t="str">
        <f t="shared" si="4"/>
        <v/>
      </c>
    </row>
    <row r="4390" spans="19:25">
      <c r="S4390" t="str">
        <f t="shared" si="0"/>
        <v/>
      </c>
      <c r="T4390" t="str">
        <f t="shared" si="1"/>
        <v/>
      </c>
      <c r="U4390" t="str">
        <f t="shared" si="2"/>
        <v/>
      </c>
      <c r="V4390" t="str">
        <f>IF(OR(U4390="",U4390="ERRO_CHAVE"),"",IFERROR(MATCH(U4390,Fornecedores!$AF$1:$AF$6631,0),""))</f>
        <v/>
      </c>
      <c r="W4390" t="str">
        <f t="shared" si="3"/>
        <v/>
      </c>
      <c r="X4390" s="4" t="str">
        <f>IF(V4390="","",INDEX(Fornecedores!$X$1:$X$6631,V4390))</f>
        <v/>
      </c>
      <c r="Y4390" s="4" t="str">
        <f t="shared" si="4"/>
        <v/>
      </c>
    </row>
    <row r="4391" spans="19:25">
      <c r="S4391" t="str">
        <f t="shared" si="0"/>
        <v/>
      </c>
      <c r="T4391" t="str">
        <f t="shared" si="1"/>
        <v/>
      </c>
      <c r="U4391" t="str">
        <f t="shared" si="2"/>
        <v/>
      </c>
      <c r="V4391" t="str">
        <f>IF(OR(U4391="",U4391="ERRO_CHAVE"),"",IFERROR(MATCH(U4391,Fornecedores!$AF$1:$AF$6631,0),""))</f>
        <v/>
      </c>
      <c r="W4391" t="str">
        <f t="shared" si="3"/>
        <v/>
      </c>
      <c r="X4391" s="4" t="str">
        <f>IF(V4391="","",INDEX(Fornecedores!$X$1:$X$6631,V4391))</f>
        <v/>
      </c>
      <c r="Y4391" s="4" t="str">
        <f t="shared" si="4"/>
        <v/>
      </c>
    </row>
    <row r="4392" spans="19:25">
      <c r="S4392" t="str">
        <f t="shared" si="0"/>
        <v/>
      </c>
      <c r="T4392" t="str">
        <f t="shared" si="1"/>
        <v/>
      </c>
      <c r="U4392" t="str">
        <f t="shared" si="2"/>
        <v/>
      </c>
      <c r="V4392" t="str">
        <f>IF(OR(U4392="",U4392="ERRO_CHAVE"),"",IFERROR(MATCH(U4392,Fornecedores!$AF$1:$AF$6631,0),""))</f>
        <v/>
      </c>
      <c r="W4392" t="str">
        <f t="shared" si="3"/>
        <v/>
      </c>
      <c r="X4392" s="4" t="str">
        <f>IF(V4392="","",INDEX(Fornecedores!$X$1:$X$6631,V4392))</f>
        <v/>
      </c>
      <c r="Y4392" s="4" t="str">
        <f t="shared" si="4"/>
        <v/>
      </c>
    </row>
    <row r="4393" spans="19:25">
      <c r="S4393" t="str">
        <f t="shared" si="0"/>
        <v/>
      </c>
      <c r="T4393" t="str">
        <f t="shared" si="1"/>
        <v/>
      </c>
      <c r="U4393" t="str">
        <f t="shared" si="2"/>
        <v/>
      </c>
      <c r="V4393" t="str">
        <f>IF(OR(U4393="",U4393="ERRO_CHAVE"),"",IFERROR(MATCH(U4393,Fornecedores!$AF$1:$AF$6631,0),""))</f>
        <v/>
      </c>
      <c r="W4393" t="str">
        <f t="shared" si="3"/>
        <v/>
      </c>
      <c r="X4393" s="4" t="str">
        <f>IF(V4393="","",INDEX(Fornecedores!$X$1:$X$6631,V4393))</f>
        <v/>
      </c>
      <c r="Y4393" s="4" t="str">
        <f t="shared" si="4"/>
        <v/>
      </c>
    </row>
    <row r="4394" spans="19:25">
      <c r="S4394" t="str">
        <f t="shared" si="0"/>
        <v/>
      </c>
      <c r="T4394" t="str">
        <f t="shared" si="1"/>
        <v/>
      </c>
      <c r="U4394" t="str">
        <f t="shared" si="2"/>
        <v/>
      </c>
      <c r="V4394" t="str">
        <f>IF(OR(U4394="",U4394="ERRO_CHAVE"),"",IFERROR(MATCH(U4394,Fornecedores!$AF$1:$AF$6631,0),""))</f>
        <v/>
      </c>
      <c r="W4394" t="str">
        <f t="shared" si="3"/>
        <v/>
      </c>
      <c r="X4394" s="4" t="str">
        <f>IF(V4394="","",INDEX(Fornecedores!$X$1:$X$6631,V4394))</f>
        <v/>
      </c>
      <c r="Y4394" s="4" t="str">
        <f t="shared" si="4"/>
        <v/>
      </c>
    </row>
    <row r="4395" spans="19:25">
      <c r="S4395" t="str">
        <f t="shared" si="0"/>
        <v/>
      </c>
      <c r="T4395" t="str">
        <f t="shared" si="1"/>
        <v/>
      </c>
      <c r="U4395" t="str">
        <f t="shared" si="2"/>
        <v/>
      </c>
      <c r="V4395" t="str">
        <f>IF(OR(U4395="",U4395="ERRO_CHAVE"),"",IFERROR(MATCH(U4395,Fornecedores!$AF$1:$AF$6631,0),""))</f>
        <v/>
      </c>
      <c r="W4395" t="str">
        <f t="shared" si="3"/>
        <v/>
      </c>
      <c r="X4395" s="4" t="str">
        <f>IF(V4395="","",INDEX(Fornecedores!$X$1:$X$6631,V4395))</f>
        <v/>
      </c>
      <c r="Y4395" s="4" t="str">
        <f t="shared" si="4"/>
        <v/>
      </c>
    </row>
    <row r="4396" spans="19:25">
      <c r="S4396" t="str">
        <f t="shared" si="0"/>
        <v/>
      </c>
      <c r="T4396" t="str">
        <f t="shared" si="1"/>
        <v/>
      </c>
      <c r="U4396" t="str">
        <f t="shared" si="2"/>
        <v/>
      </c>
      <c r="V4396" t="str">
        <f>IF(OR(U4396="",U4396="ERRO_CHAVE"),"",IFERROR(MATCH(U4396,Fornecedores!$AF$1:$AF$6631,0),""))</f>
        <v/>
      </c>
      <c r="W4396" t="str">
        <f t="shared" si="3"/>
        <v/>
      </c>
      <c r="X4396" s="4" t="str">
        <f>IF(V4396="","",INDEX(Fornecedores!$X$1:$X$6631,V4396))</f>
        <v/>
      </c>
      <c r="Y4396" s="4" t="str">
        <f t="shared" si="4"/>
        <v/>
      </c>
    </row>
    <row r="4397" spans="19:25">
      <c r="S4397" t="str">
        <f t="shared" si="0"/>
        <v/>
      </c>
      <c r="T4397" t="str">
        <f t="shared" si="1"/>
        <v/>
      </c>
      <c r="U4397" t="str">
        <f t="shared" si="2"/>
        <v/>
      </c>
      <c r="V4397" t="str">
        <f>IF(OR(U4397="",U4397="ERRO_CHAVE"),"",IFERROR(MATCH(U4397,Fornecedores!$AF$1:$AF$6631,0),""))</f>
        <v/>
      </c>
      <c r="W4397" t="str">
        <f t="shared" si="3"/>
        <v/>
      </c>
      <c r="X4397" s="4" t="str">
        <f>IF(V4397="","",INDEX(Fornecedores!$X$1:$X$6631,V4397))</f>
        <v/>
      </c>
      <c r="Y4397" s="4" t="str">
        <f t="shared" si="4"/>
        <v/>
      </c>
    </row>
    <row r="4398" spans="19:25">
      <c r="S4398" t="str">
        <f t="shared" si="0"/>
        <v/>
      </c>
      <c r="T4398" t="str">
        <f t="shared" si="1"/>
        <v/>
      </c>
      <c r="U4398" t="str">
        <f t="shared" si="2"/>
        <v/>
      </c>
      <c r="V4398" t="str">
        <f>IF(OR(U4398="",U4398="ERRO_CHAVE"),"",IFERROR(MATCH(U4398,Fornecedores!$AF$1:$AF$6631,0),""))</f>
        <v/>
      </c>
      <c r="W4398" t="str">
        <f t="shared" si="3"/>
        <v/>
      </c>
      <c r="X4398" s="4" t="str">
        <f>IF(V4398="","",INDEX(Fornecedores!$X$1:$X$6631,V4398))</f>
        <v/>
      </c>
      <c r="Y4398" s="4" t="str">
        <f t="shared" si="4"/>
        <v/>
      </c>
    </row>
    <row r="4399" spans="19:25">
      <c r="S4399" t="str">
        <f t="shared" si="0"/>
        <v/>
      </c>
      <c r="T4399" t="str">
        <f t="shared" si="1"/>
        <v/>
      </c>
      <c r="U4399" t="str">
        <f t="shared" si="2"/>
        <v/>
      </c>
      <c r="V4399" t="str">
        <f>IF(OR(U4399="",U4399="ERRO_CHAVE"),"",IFERROR(MATCH(U4399,Fornecedores!$AF$1:$AF$6631,0),""))</f>
        <v/>
      </c>
      <c r="W4399" t="str">
        <f t="shared" si="3"/>
        <v/>
      </c>
      <c r="X4399" s="4" t="str">
        <f>IF(V4399="","",INDEX(Fornecedores!$X$1:$X$6631,V4399))</f>
        <v/>
      </c>
      <c r="Y4399" s="4" t="str">
        <f t="shared" si="4"/>
        <v/>
      </c>
    </row>
    <row r="4400" spans="19:25">
      <c r="S4400" t="str">
        <f t="shared" si="0"/>
        <v/>
      </c>
      <c r="T4400" t="str">
        <f t="shared" si="1"/>
        <v/>
      </c>
      <c r="U4400" t="str">
        <f t="shared" si="2"/>
        <v/>
      </c>
      <c r="V4400" t="str">
        <f>IF(OR(U4400="",U4400="ERRO_CHAVE"),"",IFERROR(MATCH(U4400,Fornecedores!$AF$1:$AF$6631,0),""))</f>
        <v/>
      </c>
      <c r="W4400" t="str">
        <f t="shared" si="3"/>
        <v/>
      </c>
      <c r="X4400" s="4" t="str">
        <f>IF(V4400="","",INDEX(Fornecedores!$X$1:$X$6631,V4400))</f>
        <v/>
      </c>
      <c r="Y4400" s="4" t="str">
        <f t="shared" si="4"/>
        <v/>
      </c>
    </row>
    <row r="4401" spans="19:25">
      <c r="S4401" t="str">
        <f t="shared" si="0"/>
        <v/>
      </c>
      <c r="T4401" t="str">
        <f t="shared" si="1"/>
        <v/>
      </c>
      <c r="U4401" t="str">
        <f t="shared" si="2"/>
        <v/>
      </c>
      <c r="V4401" t="str">
        <f>IF(OR(U4401="",U4401="ERRO_CHAVE"),"",IFERROR(MATCH(U4401,Fornecedores!$AF$1:$AF$6631,0),""))</f>
        <v/>
      </c>
      <c r="W4401" t="str">
        <f t="shared" si="3"/>
        <v/>
      </c>
      <c r="X4401" s="4" t="str">
        <f>IF(V4401="","",INDEX(Fornecedores!$X$1:$X$6631,V4401))</f>
        <v/>
      </c>
      <c r="Y4401" s="4" t="str">
        <f t="shared" si="4"/>
        <v/>
      </c>
    </row>
    <row r="4402" spans="19:25">
      <c r="S4402" t="str">
        <f t="shared" si="0"/>
        <v/>
      </c>
      <c r="T4402" t="str">
        <f t="shared" si="1"/>
        <v/>
      </c>
      <c r="U4402" t="str">
        <f t="shared" si="2"/>
        <v/>
      </c>
      <c r="V4402" t="str">
        <f>IF(OR(U4402="",U4402="ERRO_CHAVE"),"",IFERROR(MATCH(U4402,Fornecedores!$AF$1:$AF$6631,0),""))</f>
        <v/>
      </c>
      <c r="W4402" t="str">
        <f t="shared" si="3"/>
        <v/>
      </c>
      <c r="X4402" s="4" t="str">
        <f>IF(V4402="","",INDEX(Fornecedores!$X$1:$X$6631,V4402))</f>
        <v/>
      </c>
      <c r="Y4402" s="4" t="str">
        <f t="shared" si="4"/>
        <v/>
      </c>
    </row>
    <row r="4403" spans="19:25">
      <c r="S4403" t="str">
        <f t="shared" si="0"/>
        <v/>
      </c>
      <c r="T4403" t="str">
        <f t="shared" si="1"/>
        <v/>
      </c>
      <c r="U4403" t="str">
        <f t="shared" si="2"/>
        <v/>
      </c>
      <c r="V4403" t="str">
        <f>IF(OR(U4403="",U4403="ERRO_CHAVE"),"",IFERROR(MATCH(U4403,Fornecedores!$AF$1:$AF$6631,0),""))</f>
        <v/>
      </c>
      <c r="W4403" t="str">
        <f t="shared" si="3"/>
        <v/>
      </c>
      <c r="X4403" s="4" t="str">
        <f>IF(V4403="","",INDEX(Fornecedores!$X$1:$X$6631,V4403))</f>
        <v/>
      </c>
      <c r="Y4403" s="4" t="str">
        <f t="shared" si="4"/>
        <v/>
      </c>
    </row>
    <row r="4404" spans="19:25">
      <c r="S4404" t="str">
        <f t="shared" si="0"/>
        <v/>
      </c>
      <c r="T4404" t="str">
        <f t="shared" si="1"/>
        <v/>
      </c>
      <c r="U4404" t="str">
        <f t="shared" si="2"/>
        <v/>
      </c>
      <c r="V4404" t="str">
        <f>IF(OR(U4404="",U4404="ERRO_CHAVE"),"",IFERROR(MATCH(U4404,Fornecedores!$AF$1:$AF$6631,0),""))</f>
        <v/>
      </c>
      <c r="W4404" t="str">
        <f t="shared" si="3"/>
        <v/>
      </c>
      <c r="X4404" s="4" t="str">
        <f>IF(V4404="","",INDEX(Fornecedores!$X$1:$X$6631,V4404))</f>
        <v/>
      </c>
      <c r="Y4404" s="4" t="str">
        <f t="shared" si="4"/>
        <v/>
      </c>
    </row>
    <row r="4405" spans="19:25">
      <c r="S4405" t="str">
        <f t="shared" si="0"/>
        <v/>
      </c>
      <c r="T4405" t="str">
        <f t="shared" si="1"/>
        <v/>
      </c>
      <c r="U4405" t="str">
        <f t="shared" si="2"/>
        <v/>
      </c>
      <c r="V4405" t="str">
        <f>IF(OR(U4405="",U4405="ERRO_CHAVE"),"",IFERROR(MATCH(U4405,Fornecedores!$AF$1:$AF$6631,0),""))</f>
        <v/>
      </c>
      <c r="W4405" t="str">
        <f t="shared" si="3"/>
        <v/>
      </c>
      <c r="X4405" s="4" t="str">
        <f>IF(V4405="","",INDEX(Fornecedores!$X$1:$X$6631,V4405))</f>
        <v/>
      </c>
      <c r="Y4405" s="4" t="str">
        <f t="shared" si="4"/>
        <v/>
      </c>
    </row>
    <row r="4406" spans="19:25">
      <c r="S4406" t="str">
        <f t="shared" si="0"/>
        <v/>
      </c>
      <c r="T4406" t="str">
        <f t="shared" si="1"/>
        <v/>
      </c>
      <c r="U4406" t="str">
        <f t="shared" si="2"/>
        <v/>
      </c>
      <c r="V4406" t="str">
        <f>IF(OR(U4406="",U4406="ERRO_CHAVE"),"",IFERROR(MATCH(U4406,Fornecedores!$AF$1:$AF$6631,0),""))</f>
        <v/>
      </c>
      <c r="W4406" t="str">
        <f t="shared" si="3"/>
        <v/>
      </c>
      <c r="X4406" s="4" t="str">
        <f>IF(V4406="","",INDEX(Fornecedores!$X$1:$X$6631,V4406))</f>
        <v/>
      </c>
      <c r="Y4406" s="4" t="str">
        <f t="shared" si="4"/>
        <v/>
      </c>
    </row>
    <row r="4407" spans="19:25">
      <c r="S4407" t="str">
        <f t="shared" si="0"/>
        <v/>
      </c>
      <c r="T4407" t="str">
        <f t="shared" si="1"/>
        <v/>
      </c>
      <c r="U4407" t="str">
        <f t="shared" si="2"/>
        <v/>
      </c>
      <c r="V4407" t="str">
        <f>IF(OR(U4407="",U4407="ERRO_CHAVE"),"",IFERROR(MATCH(U4407,Fornecedores!$AF$1:$AF$6631,0),""))</f>
        <v/>
      </c>
      <c r="W4407" t="str">
        <f t="shared" si="3"/>
        <v/>
      </c>
      <c r="X4407" s="4" t="str">
        <f>IF(V4407="","",INDEX(Fornecedores!$X$1:$X$6631,V4407))</f>
        <v/>
      </c>
      <c r="Y4407" s="4" t="str">
        <f t="shared" si="4"/>
        <v/>
      </c>
    </row>
    <row r="4408" spans="19:25">
      <c r="S4408" t="str">
        <f t="shared" si="0"/>
        <v/>
      </c>
      <c r="T4408" t="str">
        <f t="shared" si="1"/>
        <v/>
      </c>
      <c r="U4408" t="str">
        <f t="shared" si="2"/>
        <v/>
      </c>
      <c r="V4408" t="str">
        <f>IF(OR(U4408="",U4408="ERRO_CHAVE"),"",IFERROR(MATCH(U4408,Fornecedores!$AF$1:$AF$6631,0),""))</f>
        <v/>
      </c>
      <c r="W4408" t="str">
        <f t="shared" si="3"/>
        <v/>
      </c>
      <c r="X4408" s="4" t="str">
        <f>IF(V4408="","",INDEX(Fornecedores!$X$1:$X$6631,V4408))</f>
        <v/>
      </c>
      <c r="Y4408" s="4" t="str">
        <f t="shared" si="4"/>
        <v/>
      </c>
    </row>
    <row r="4409" spans="19:25">
      <c r="S4409" t="str">
        <f t="shared" si="0"/>
        <v/>
      </c>
      <c r="T4409" t="str">
        <f t="shared" si="1"/>
        <v/>
      </c>
      <c r="U4409" t="str">
        <f t="shared" si="2"/>
        <v/>
      </c>
      <c r="V4409" t="str">
        <f>IF(OR(U4409="",U4409="ERRO_CHAVE"),"",IFERROR(MATCH(U4409,Fornecedores!$AF$1:$AF$6631,0),""))</f>
        <v/>
      </c>
      <c r="W4409" t="str">
        <f t="shared" si="3"/>
        <v/>
      </c>
      <c r="X4409" s="4" t="str">
        <f>IF(V4409="","",INDEX(Fornecedores!$X$1:$X$6631,V4409))</f>
        <v/>
      </c>
      <c r="Y4409" s="4" t="str">
        <f t="shared" si="4"/>
        <v/>
      </c>
    </row>
    <row r="4410" spans="19:25">
      <c r="S4410" t="str">
        <f t="shared" si="0"/>
        <v/>
      </c>
      <c r="T4410" t="str">
        <f t="shared" si="1"/>
        <v/>
      </c>
      <c r="U4410" t="str">
        <f t="shared" si="2"/>
        <v/>
      </c>
      <c r="V4410" t="str">
        <f>IF(OR(U4410="",U4410="ERRO_CHAVE"),"",IFERROR(MATCH(U4410,Fornecedores!$AF$1:$AF$6631,0),""))</f>
        <v/>
      </c>
      <c r="W4410" t="str">
        <f t="shared" si="3"/>
        <v/>
      </c>
      <c r="X4410" s="4" t="str">
        <f>IF(V4410="","",INDEX(Fornecedores!$X$1:$X$6631,V4410))</f>
        <v/>
      </c>
      <c r="Y4410" s="4" t="str">
        <f t="shared" si="4"/>
        <v/>
      </c>
    </row>
    <row r="4411" spans="19:25">
      <c r="S4411" t="str">
        <f t="shared" si="0"/>
        <v/>
      </c>
      <c r="T4411" t="str">
        <f t="shared" si="1"/>
        <v/>
      </c>
      <c r="U4411" t="str">
        <f t="shared" si="2"/>
        <v/>
      </c>
      <c r="V4411" t="str">
        <f>IF(OR(U4411="",U4411="ERRO_CHAVE"),"",IFERROR(MATCH(U4411,Fornecedores!$AF$1:$AF$6631,0),""))</f>
        <v/>
      </c>
      <c r="W4411" t="str">
        <f t="shared" si="3"/>
        <v/>
      </c>
      <c r="X4411" s="4" t="str">
        <f>IF(V4411="","",INDEX(Fornecedores!$X$1:$X$6631,V4411))</f>
        <v/>
      </c>
      <c r="Y4411" s="4" t="str">
        <f t="shared" si="4"/>
        <v/>
      </c>
    </row>
    <row r="4412" spans="19:25">
      <c r="S4412" t="str">
        <f t="shared" si="0"/>
        <v/>
      </c>
      <c r="T4412" t="str">
        <f t="shared" si="1"/>
        <v/>
      </c>
      <c r="U4412" t="str">
        <f t="shared" si="2"/>
        <v/>
      </c>
      <c r="V4412" t="str">
        <f>IF(OR(U4412="",U4412="ERRO_CHAVE"),"",IFERROR(MATCH(U4412,Fornecedores!$AF$1:$AF$6631,0),""))</f>
        <v/>
      </c>
      <c r="W4412" t="str">
        <f t="shared" si="3"/>
        <v/>
      </c>
      <c r="X4412" s="4" t="str">
        <f>IF(V4412="","",INDEX(Fornecedores!$X$1:$X$6631,V4412))</f>
        <v/>
      </c>
      <c r="Y4412" s="4" t="str">
        <f t="shared" si="4"/>
        <v/>
      </c>
    </row>
    <row r="4413" spans="19:25">
      <c r="S4413" t="str">
        <f t="shared" si="0"/>
        <v/>
      </c>
      <c r="T4413" t="str">
        <f t="shared" si="1"/>
        <v/>
      </c>
      <c r="U4413" t="str">
        <f t="shared" si="2"/>
        <v/>
      </c>
      <c r="V4413" t="str">
        <f>IF(OR(U4413="",U4413="ERRO_CHAVE"),"",IFERROR(MATCH(U4413,Fornecedores!$AF$1:$AF$6631,0),""))</f>
        <v/>
      </c>
      <c r="W4413" t="str">
        <f t="shared" si="3"/>
        <v/>
      </c>
      <c r="X4413" s="4" t="str">
        <f>IF(V4413="","",INDEX(Fornecedores!$X$1:$X$6631,V4413))</f>
        <v/>
      </c>
      <c r="Y4413" s="4" t="str">
        <f t="shared" si="4"/>
        <v/>
      </c>
    </row>
    <row r="4414" spans="19:25">
      <c r="S4414" t="str">
        <f t="shared" si="0"/>
        <v/>
      </c>
      <c r="T4414" t="str">
        <f t="shared" si="1"/>
        <v/>
      </c>
      <c r="U4414" t="str">
        <f t="shared" si="2"/>
        <v/>
      </c>
      <c r="V4414" t="str">
        <f>IF(OR(U4414="",U4414="ERRO_CHAVE"),"",IFERROR(MATCH(U4414,Fornecedores!$AF$1:$AF$6631,0),""))</f>
        <v/>
      </c>
      <c r="W4414" t="str">
        <f t="shared" si="3"/>
        <v/>
      </c>
      <c r="X4414" s="4" t="str">
        <f>IF(V4414="","",INDEX(Fornecedores!$X$1:$X$6631,V4414))</f>
        <v/>
      </c>
      <c r="Y4414" s="4" t="str">
        <f t="shared" si="4"/>
        <v/>
      </c>
    </row>
    <row r="4415" spans="19:25">
      <c r="S4415" t="str">
        <f t="shared" si="0"/>
        <v/>
      </c>
      <c r="T4415" t="str">
        <f t="shared" si="1"/>
        <v/>
      </c>
      <c r="U4415" t="str">
        <f t="shared" si="2"/>
        <v/>
      </c>
      <c r="V4415" t="str">
        <f>IF(OR(U4415="",U4415="ERRO_CHAVE"),"",IFERROR(MATCH(U4415,Fornecedores!$AF$1:$AF$6631,0),""))</f>
        <v/>
      </c>
      <c r="W4415" t="str">
        <f t="shared" si="3"/>
        <v/>
      </c>
      <c r="X4415" s="4" t="str">
        <f>IF(V4415="","",INDEX(Fornecedores!$X$1:$X$6631,V4415))</f>
        <v/>
      </c>
      <c r="Y4415" s="4" t="str">
        <f t="shared" si="4"/>
        <v/>
      </c>
    </row>
    <row r="4416" spans="19:25">
      <c r="S4416" t="str">
        <f t="shared" si="0"/>
        <v/>
      </c>
      <c r="T4416" t="str">
        <f t="shared" si="1"/>
        <v/>
      </c>
      <c r="U4416" t="str">
        <f t="shared" si="2"/>
        <v/>
      </c>
      <c r="V4416" t="str">
        <f>IF(OR(U4416="",U4416="ERRO_CHAVE"),"",IFERROR(MATCH(U4416,Fornecedores!$AF$1:$AF$6631,0),""))</f>
        <v/>
      </c>
      <c r="W4416" t="str">
        <f t="shared" si="3"/>
        <v/>
      </c>
      <c r="X4416" s="4" t="str">
        <f>IF(V4416="","",INDEX(Fornecedores!$X$1:$X$6631,V4416))</f>
        <v/>
      </c>
      <c r="Y4416" s="4" t="str">
        <f t="shared" si="4"/>
        <v/>
      </c>
    </row>
    <row r="4417" spans="19:25">
      <c r="S4417" t="str">
        <f t="shared" si="0"/>
        <v/>
      </c>
      <c r="T4417" t="str">
        <f t="shared" si="1"/>
        <v/>
      </c>
      <c r="U4417" t="str">
        <f t="shared" si="2"/>
        <v/>
      </c>
      <c r="V4417" t="str">
        <f>IF(OR(U4417="",U4417="ERRO_CHAVE"),"",IFERROR(MATCH(U4417,Fornecedores!$AF$1:$AF$6631,0),""))</f>
        <v/>
      </c>
      <c r="W4417" t="str">
        <f t="shared" si="3"/>
        <v/>
      </c>
      <c r="X4417" s="4" t="str">
        <f>IF(V4417="","",INDEX(Fornecedores!$X$1:$X$6631,V4417))</f>
        <v/>
      </c>
      <c r="Y4417" s="4" t="str">
        <f t="shared" si="4"/>
        <v/>
      </c>
    </row>
    <row r="4418" spans="19:25">
      <c r="S4418" t="str">
        <f t="shared" si="0"/>
        <v/>
      </c>
      <c r="T4418" t="str">
        <f t="shared" si="1"/>
        <v/>
      </c>
      <c r="U4418" t="str">
        <f t="shared" si="2"/>
        <v/>
      </c>
      <c r="V4418" t="str">
        <f>IF(OR(U4418="",U4418="ERRO_CHAVE"),"",IFERROR(MATCH(U4418,Fornecedores!$AF$1:$AF$6631,0),""))</f>
        <v/>
      </c>
      <c r="W4418" t="str">
        <f t="shared" si="3"/>
        <v/>
      </c>
      <c r="X4418" s="4" t="str">
        <f>IF(V4418="","",INDEX(Fornecedores!$X$1:$X$6631,V4418))</f>
        <v/>
      </c>
      <c r="Y4418" s="4" t="str">
        <f t="shared" si="4"/>
        <v/>
      </c>
    </row>
    <row r="4419" spans="19:25">
      <c r="S4419" t="str">
        <f t="shared" si="0"/>
        <v/>
      </c>
      <c r="T4419" t="str">
        <f t="shared" si="1"/>
        <v/>
      </c>
      <c r="U4419" t="str">
        <f t="shared" si="2"/>
        <v/>
      </c>
      <c r="V4419" t="str">
        <f>IF(OR(U4419="",U4419="ERRO_CHAVE"),"",IFERROR(MATCH(U4419,Fornecedores!$AF$1:$AF$6631,0),""))</f>
        <v/>
      </c>
      <c r="W4419" t="str">
        <f t="shared" si="3"/>
        <v/>
      </c>
      <c r="X4419" s="4" t="str">
        <f>IF(V4419="","",INDEX(Fornecedores!$X$1:$X$6631,V4419))</f>
        <v/>
      </c>
      <c r="Y4419" s="4" t="str">
        <f t="shared" si="4"/>
        <v/>
      </c>
    </row>
    <row r="4420" spans="19:25">
      <c r="S4420" t="str">
        <f t="shared" si="0"/>
        <v/>
      </c>
      <c r="T4420" t="str">
        <f t="shared" si="1"/>
        <v/>
      </c>
      <c r="U4420" t="str">
        <f t="shared" si="2"/>
        <v/>
      </c>
      <c r="V4420" t="str">
        <f>IF(OR(U4420="",U4420="ERRO_CHAVE"),"",IFERROR(MATCH(U4420,Fornecedores!$AF$1:$AF$6631,0),""))</f>
        <v/>
      </c>
      <c r="W4420" t="str">
        <f t="shared" si="3"/>
        <v/>
      </c>
      <c r="X4420" s="4" t="str">
        <f>IF(V4420="","",INDEX(Fornecedores!$X$1:$X$6631,V4420))</f>
        <v/>
      </c>
      <c r="Y4420" s="4" t="str">
        <f t="shared" si="4"/>
        <v/>
      </c>
    </row>
    <row r="4421" spans="19:25">
      <c r="S4421" t="str">
        <f t="shared" si="0"/>
        <v/>
      </c>
      <c r="T4421" t="str">
        <f t="shared" si="1"/>
        <v/>
      </c>
      <c r="U4421" t="str">
        <f t="shared" si="2"/>
        <v/>
      </c>
      <c r="V4421" t="str">
        <f>IF(OR(U4421="",U4421="ERRO_CHAVE"),"",IFERROR(MATCH(U4421,Fornecedores!$AF$1:$AF$6631,0),""))</f>
        <v/>
      </c>
      <c r="W4421" t="str">
        <f t="shared" si="3"/>
        <v/>
      </c>
      <c r="X4421" s="4" t="str">
        <f>IF(V4421="","",INDEX(Fornecedores!$X$1:$X$6631,V4421))</f>
        <v/>
      </c>
      <c r="Y4421" s="4" t="str">
        <f t="shared" si="4"/>
        <v/>
      </c>
    </row>
    <row r="4422" spans="19:25">
      <c r="S4422" t="str">
        <f t="shared" si="0"/>
        <v/>
      </c>
      <c r="T4422" t="str">
        <f t="shared" si="1"/>
        <v/>
      </c>
      <c r="U4422" t="str">
        <f t="shared" si="2"/>
        <v/>
      </c>
      <c r="V4422" t="str">
        <f>IF(OR(U4422="",U4422="ERRO_CHAVE"),"",IFERROR(MATCH(U4422,Fornecedores!$AF$1:$AF$6631,0),""))</f>
        <v/>
      </c>
      <c r="W4422" t="str">
        <f t="shared" si="3"/>
        <v/>
      </c>
      <c r="X4422" s="4" t="str">
        <f>IF(V4422="","",INDEX(Fornecedores!$X$1:$X$6631,V4422))</f>
        <v/>
      </c>
      <c r="Y4422" s="4" t="str">
        <f t="shared" si="4"/>
        <v/>
      </c>
    </row>
    <row r="4423" spans="19:25">
      <c r="S4423" t="str">
        <f t="shared" si="0"/>
        <v/>
      </c>
      <c r="T4423" t="str">
        <f t="shared" si="1"/>
        <v/>
      </c>
      <c r="U4423" t="str">
        <f t="shared" si="2"/>
        <v/>
      </c>
      <c r="V4423" t="str">
        <f>IF(OR(U4423="",U4423="ERRO_CHAVE"),"",IFERROR(MATCH(U4423,Fornecedores!$AF$1:$AF$6631,0),""))</f>
        <v/>
      </c>
      <c r="W4423" t="str">
        <f t="shared" si="3"/>
        <v/>
      </c>
      <c r="X4423" s="4" t="str">
        <f>IF(V4423="","",INDEX(Fornecedores!$X$1:$X$6631,V4423))</f>
        <v/>
      </c>
      <c r="Y4423" s="4" t="str">
        <f t="shared" si="4"/>
        <v/>
      </c>
    </row>
    <row r="4424" spans="19:25">
      <c r="S4424" t="str">
        <f t="shared" si="0"/>
        <v/>
      </c>
      <c r="T4424" t="str">
        <f t="shared" si="1"/>
        <v/>
      </c>
      <c r="U4424" t="str">
        <f t="shared" si="2"/>
        <v/>
      </c>
      <c r="V4424" t="str">
        <f>IF(OR(U4424="",U4424="ERRO_CHAVE"),"",IFERROR(MATCH(U4424,Fornecedores!$AF$1:$AF$6631,0),""))</f>
        <v/>
      </c>
      <c r="W4424" t="str">
        <f t="shared" si="3"/>
        <v/>
      </c>
      <c r="X4424" s="4" t="str">
        <f>IF(V4424="","",INDEX(Fornecedores!$X$1:$X$6631,V4424))</f>
        <v/>
      </c>
      <c r="Y4424" s="4" t="str">
        <f t="shared" si="4"/>
        <v/>
      </c>
    </row>
    <row r="4425" spans="19:25">
      <c r="S4425" t="str">
        <f t="shared" si="0"/>
        <v/>
      </c>
      <c r="T4425" t="str">
        <f t="shared" si="1"/>
        <v/>
      </c>
      <c r="U4425" t="str">
        <f t="shared" si="2"/>
        <v/>
      </c>
      <c r="V4425" t="str">
        <f>IF(OR(U4425="",U4425="ERRO_CHAVE"),"",IFERROR(MATCH(U4425,Fornecedores!$AF$1:$AF$6631,0),""))</f>
        <v/>
      </c>
      <c r="W4425" t="str">
        <f t="shared" si="3"/>
        <v/>
      </c>
      <c r="X4425" s="4" t="str">
        <f>IF(V4425="","",INDEX(Fornecedores!$X$1:$X$6631,V4425))</f>
        <v/>
      </c>
      <c r="Y4425" s="4" t="str">
        <f t="shared" si="4"/>
        <v/>
      </c>
    </row>
    <row r="4426" spans="19:25">
      <c r="S4426" t="str">
        <f t="shared" si="0"/>
        <v/>
      </c>
      <c r="T4426" t="str">
        <f t="shared" si="1"/>
        <v/>
      </c>
      <c r="U4426" t="str">
        <f t="shared" si="2"/>
        <v/>
      </c>
      <c r="V4426" t="str">
        <f>IF(OR(U4426="",U4426="ERRO_CHAVE"),"",IFERROR(MATCH(U4426,Fornecedores!$AF$1:$AF$6631,0),""))</f>
        <v/>
      </c>
      <c r="W4426" t="str">
        <f t="shared" si="3"/>
        <v/>
      </c>
      <c r="X4426" s="4" t="str">
        <f>IF(V4426="","",INDEX(Fornecedores!$X$1:$X$6631,V4426))</f>
        <v/>
      </c>
      <c r="Y4426" s="4" t="str">
        <f t="shared" si="4"/>
        <v/>
      </c>
    </row>
    <row r="4427" spans="19:25">
      <c r="S4427" t="str">
        <f t="shared" si="0"/>
        <v/>
      </c>
      <c r="T4427" t="str">
        <f t="shared" si="1"/>
        <v/>
      </c>
      <c r="U4427" t="str">
        <f t="shared" si="2"/>
        <v/>
      </c>
      <c r="V4427" t="str">
        <f>IF(OR(U4427="",U4427="ERRO_CHAVE"),"",IFERROR(MATCH(U4427,Fornecedores!$AF$1:$AF$6631,0),""))</f>
        <v/>
      </c>
      <c r="W4427" t="str">
        <f t="shared" si="3"/>
        <v/>
      </c>
      <c r="X4427" s="4" t="str">
        <f>IF(V4427="","",INDEX(Fornecedores!$X$1:$X$6631,V4427))</f>
        <v/>
      </c>
      <c r="Y4427" s="4" t="str">
        <f t="shared" si="4"/>
        <v/>
      </c>
    </row>
    <row r="4428" spans="19:25">
      <c r="S4428" t="str">
        <f t="shared" si="0"/>
        <v/>
      </c>
      <c r="T4428" t="str">
        <f t="shared" si="1"/>
        <v/>
      </c>
      <c r="U4428" t="str">
        <f t="shared" si="2"/>
        <v/>
      </c>
      <c r="V4428" t="str">
        <f>IF(OR(U4428="",U4428="ERRO_CHAVE"),"",IFERROR(MATCH(U4428,Fornecedores!$AF$1:$AF$6631,0),""))</f>
        <v/>
      </c>
      <c r="W4428" t="str">
        <f t="shared" si="3"/>
        <v/>
      </c>
      <c r="X4428" s="4" t="str">
        <f>IF(V4428="","",INDEX(Fornecedores!$X$1:$X$6631,V4428))</f>
        <v/>
      </c>
      <c r="Y4428" s="4" t="str">
        <f t="shared" si="4"/>
        <v/>
      </c>
    </row>
    <row r="4429" spans="19:25">
      <c r="S4429" t="str">
        <f t="shared" si="0"/>
        <v/>
      </c>
      <c r="T4429" t="str">
        <f t="shared" si="1"/>
        <v/>
      </c>
      <c r="U4429" t="str">
        <f t="shared" si="2"/>
        <v/>
      </c>
      <c r="V4429" t="str">
        <f>IF(OR(U4429="",U4429="ERRO_CHAVE"),"",IFERROR(MATCH(U4429,Fornecedores!$AF$1:$AF$6631,0),""))</f>
        <v/>
      </c>
      <c r="W4429" t="str">
        <f t="shared" si="3"/>
        <v/>
      </c>
      <c r="X4429" s="4" t="str">
        <f>IF(V4429="","",INDEX(Fornecedores!$X$1:$X$6631,V4429))</f>
        <v/>
      </c>
      <c r="Y4429" s="4" t="str">
        <f t="shared" si="4"/>
        <v/>
      </c>
    </row>
    <row r="4430" spans="19:25">
      <c r="S4430" t="str">
        <f t="shared" si="0"/>
        <v/>
      </c>
      <c r="T4430" t="str">
        <f t="shared" si="1"/>
        <v/>
      </c>
      <c r="U4430" t="str">
        <f t="shared" si="2"/>
        <v/>
      </c>
      <c r="V4430" t="str">
        <f>IF(OR(U4430="",U4430="ERRO_CHAVE"),"",IFERROR(MATCH(U4430,Fornecedores!$AF$1:$AF$6631,0),""))</f>
        <v/>
      </c>
      <c r="W4430" t="str">
        <f t="shared" si="3"/>
        <v/>
      </c>
      <c r="X4430" s="4" t="str">
        <f>IF(V4430="","",INDEX(Fornecedores!$X$1:$X$6631,V4430))</f>
        <v/>
      </c>
      <c r="Y4430" s="4" t="str">
        <f t="shared" si="4"/>
        <v/>
      </c>
    </row>
    <row r="4431" spans="19:25">
      <c r="S4431" t="str">
        <f t="shared" si="0"/>
        <v/>
      </c>
      <c r="T4431" t="str">
        <f t="shared" si="1"/>
        <v/>
      </c>
      <c r="U4431" t="str">
        <f t="shared" si="2"/>
        <v/>
      </c>
      <c r="V4431" t="str">
        <f>IF(OR(U4431="",U4431="ERRO_CHAVE"),"",IFERROR(MATCH(U4431,Fornecedores!$AF$1:$AF$6631,0),""))</f>
        <v/>
      </c>
      <c r="W4431" t="str">
        <f t="shared" si="3"/>
        <v/>
      </c>
      <c r="X4431" s="4" t="str">
        <f>IF(V4431="","",INDEX(Fornecedores!$X$1:$X$6631,V4431))</f>
        <v/>
      </c>
      <c r="Y4431" s="4" t="str">
        <f t="shared" si="4"/>
        <v/>
      </c>
    </row>
    <row r="4432" spans="19:25">
      <c r="S4432" t="str">
        <f t="shared" si="0"/>
        <v/>
      </c>
      <c r="T4432" t="str">
        <f t="shared" si="1"/>
        <v/>
      </c>
      <c r="U4432" t="str">
        <f t="shared" si="2"/>
        <v/>
      </c>
      <c r="V4432" t="str">
        <f>IF(OR(U4432="",U4432="ERRO_CHAVE"),"",IFERROR(MATCH(U4432,Fornecedores!$AF$1:$AF$6631,0),""))</f>
        <v/>
      </c>
      <c r="W4432" t="str">
        <f t="shared" si="3"/>
        <v/>
      </c>
      <c r="X4432" s="4" t="str">
        <f>IF(V4432="","",INDEX(Fornecedores!$X$1:$X$6631,V4432))</f>
        <v/>
      </c>
      <c r="Y4432" s="4" t="str">
        <f t="shared" si="4"/>
        <v/>
      </c>
    </row>
    <row r="4433" spans="19:25">
      <c r="S4433" t="str">
        <f t="shared" si="0"/>
        <v/>
      </c>
      <c r="T4433" t="str">
        <f t="shared" si="1"/>
        <v/>
      </c>
      <c r="U4433" t="str">
        <f t="shared" si="2"/>
        <v/>
      </c>
      <c r="V4433" t="str">
        <f>IF(OR(U4433="",U4433="ERRO_CHAVE"),"",IFERROR(MATCH(U4433,Fornecedores!$AF$1:$AF$6631,0),""))</f>
        <v/>
      </c>
      <c r="W4433" t="str">
        <f t="shared" si="3"/>
        <v/>
      </c>
      <c r="X4433" s="4" t="str">
        <f>IF(V4433="","",INDEX(Fornecedores!$X$1:$X$6631,V4433))</f>
        <v/>
      </c>
      <c r="Y4433" s="4" t="str">
        <f t="shared" si="4"/>
        <v/>
      </c>
    </row>
    <row r="4434" spans="19:25">
      <c r="S4434" t="str">
        <f t="shared" si="0"/>
        <v/>
      </c>
      <c r="T4434" t="str">
        <f t="shared" si="1"/>
        <v/>
      </c>
      <c r="U4434" t="str">
        <f t="shared" si="2"/>
        <v/>
      </c>
      <c r="V4434" t="str">
        <f>IF(OR(U4434="",U4434="ERRO_CHAVE"),"",IFERROR(MATCH(U4434,Fornecedores!$AF$1:$AF$6631,0),""))</f>
        <v/>
      </c>
      <c r="W4434" t="str">
        <f t="shared" si="3"/>
        <v/>
      </c>
      <c r="X4434" s="4" t="str">
        <f>IF(V4434="","",INDEX(Fornecedores!$X$1:$X$6631,V4434))</f>
        <v/>
      </c>
      <c r="Y4434" s="4" t="str">
        <f t="shared" si="4"/>
        <v/>
      </c>
    </row>
    <row r="4435" spans="19:25">
      <c r="S4435" t="str">
        <f t="shared" si="0"/>
        <v/>
      </c>
      <c r="T4435" t="str">
        <f t="shared" si="1"/>
        <v/>
      </c>
      <c r="U4435" t="str">
        <f t="shared" si="2"/>
        <v/>
      </c>
      <c r="V4435" t="str">
        <f>IF(OR(U4435="",U4435="ERRO_CHAVE"),"",IFERROR(MATCH(U4435,Fornecedores!$AF$1:$AF$6631,0),""))</f>
        <v/>
      </c>
      <c r="W4435" t="str">
        <f t="shared" si="3"/>
        <v/>
      </c>
      <c r="X4435" s="4" t="str">
        <f>IF(V4435="","",INDEX(Fornecedores!$X$1:$X$6631,V4435))</f>
        <v/>
      </c>
      <c r="Y4435" s="4" t="str">
        <f t="shared" si="4"/>
        <v/>
      </c>
    </row>
    <row r="4436" spans="19:25">
      <c r="S4436" t="str">
        <f t="shared" si="0"/>
        <v/>
      </c>
      <c r="T4436" t="str">
        <f t="shared" si="1"/>
        <v/>
      </c>
      <c r="U4436" t="str">
        <f t="shared" si="2"/>
        <v/>
      </c>
      <c r="V4436" t="str">
        <f>IF(OR(U4436="",U4436="ERRO_CHAVE"),"",IFERROR(MATCH(U4436,Fornecedores!$AF$1:$AF$6631,0),""))</f>
        <v/>
      </c>
      <c r="W4436" t="str">
        <f t="shared" si="3"/>
        <v/>
      </c>
      <c r="X4436" s="4" t="str">
        <f>IF(V4436="","",INDEX(Fornecedores!$X$1:$X$6631,V4436))</f>
        <v/>
      </c>
      <c r="Y4436" s="4" t="str">
        <f t="shared" si="4"/>
        <v/>
      </c>
    </row>
    <row r="4437" spans="19:25">
      <c r="S4437" t="str">
        <f t="shared" si="0"/>
        <v/>
      </c>
      <c r="T4437" t="str">
        <f t="shared" si="1"/>
        <v/>
      </c>
      <c r="U4437" t="str">
        <f t="shared" si="2"/>
        <v/>
      </c>
      <c r="V4437" t="str">
        <f>IF(OR(U4437="",U4437="ERRO_CHAVE"),"",IFERROR(MATCH(U4437,Fornecedores!$AF$1:$AF$6631,0),""))</f>
        <v/>
      </c>
      <c r="W4437" t="str">
        <f t="shared" si="3"/>
        <v/>
      </c>
      <c r="X4437" s="4" t="str">
        <f>IF(V4437="","",INDEX(Fornecedores!$X$1:$X$6631,V4437))</f>
        <v/>
      </c>
      <c r="Y4437" s="4" t="str">
        <f t="shared" si="4"/>
        <v/>
      </c>
    </row>
    <row r="4438" spans="19:25">
      <c r="S4438" t="str">
        <f t="shared" si="0"/>
        <v/>
      </c>
      <c r="T4438" t="str">
        <f t="shared" si="1"/>
        <v/>
      </c>
      <c r="U4438" t="str">
        <f t="shared" si="2"/>
        <v/>
      </c>
      <c r="V4438" t="str">
        <f>IF(OR(U4438="",U4438="ERRO_CHAVE"),"",IFERROR(MATCH(U4438,Fornecedores!$AF$1:$AF$6631,0),""))</f>
        <v/>
      </c>
      <c r="W4438" t="str">
        <f t="shared" si="3"/>
        <v/>
      </c>
      <c r="X4438" s="4" t="str">
        <f>IF(V4438="","",INDEX(Fornecedores!$X$1:$X$6631,V4438))</f>
        <v/>
      </c>
      <c r="Y4438" s="4" t="str">
        <f t="shared" si="4"/>
        <v/>
      </c>
    </row>
    <row r="4439" spans="19:25">
      <c r="S4439" t="str">
        <f t="shared" si="0"/>
        <v/>
      </c>
      <c r="T4439" t="str">
        <f t="shared" si="1"/>
        <v/>
      </c>
      <c r="U4439" t="str">
        <f t="shared" si="2"/>
        <v/>
      </c>
      <c r="V4439" t="str">
        <f>IF(OR(U4439="",U4439="ERRO_CHAVE"),"",IFERROR(MATCH(U4439,Fornecedores!$AF$1:$AF$6631,0),""))</f>
        <v/>
      </c>
      <c r="W4439" t="str">
        <f t="shared" si="3"/>
        <v/>
      </c>
      <c r="X4439" s="4" t="str">
        <f>IF(V4439="","",INDEX(Fornecedores!$X$1:$X$6631,V4439))</f>
        <v/>
      </c>
      <c r="Y4439" s="4" t="str">
        <f t="shared" si="4"/>
        <v/>
      </c>
    </row>
    <row r="4440" spans="19:25">
      <c r="S4440" t="str">
        <f t="shared" si="0"/>
        <v/>
      </c>
      <c r="T4440" t="str">
        <f t="shared" si="1"/>
        <v/>
      </c>
      <c r="U4440" t="str">
        <f t="shared" si="2"/>
        <v/>
      </c>
      <c r="V4440" t="str">
        <f>IF(OR(U4440="",U4440="ERRO_CHAVE"),"",IFERROR(MATCH(U4440,Fornecedores!$AF$1:$AF$6631,0),""))</f>
        <v/>
      </c>
      <c r="W4440" t="str">
        <f t="shared" si="3"/>
        <v/>
      </c>
      <c r="X4440" s="4" t="str">
        <f>IF(V4440="","",INDEX(Fornecedores!$X$1:$X$6631,V4440))</f>
        <v/>
      </c>
      <c r="Y4440" s="4" t="str">
        <f t="shared" si="4"/>
        <v/>
      </c>
    </row>
    <row r="4441" spans="19:25">
      <c r="S4441" t="str">
        <f t="shared" si="0"/>
        <v/>
      </c>
      <c r="T4441" t="str">
        <f t="shared" si="1"/>
        <v/>
      </c>
      <c r="U4441" t="str">
        <f t="shared" si="2"/>
        <v/>
      </c>
      <c r="V4441" t="str">
        <f>IF(OR(U4441="",U4441="ERRO_CHAVE"),"",IFERROR(MATCH(U4441,Fornecedores!$AF$1:$AF$6631,0),""))</f>
        <v/>
      </c>
      <c r="W4441" t="str">
        <f t="shared" si="3"/>
        <v/>
      </c>
      <c r="X4441" s="4" t="str">
        <f>IF(V4441="","",INDEX(Fornecedores!$X$1:$X$6631,V4441))</f>
        <v/>
      </c>
      <c r="Y4441" s="4" t="str">
        <f t="shared" si="4"/>
        <v/>
      </c>
    </row>
    <row r="4442" spans="19:25">
      <c r="S4442" t="str">
        <f t="shared" si="0"/>
        <v/>
      </c>
      <c r="T4442" t="str">
        <f t="shared" si="1"/>
        <v/>
      </c>
      <c r="U4442" t="str">
        <f t="shared" si="2"/>
        <v/>
      </c>
      <c r="V4442" t="str">
        <f>IF(OR(U4442="",U4442="ERRO_CHAVE"),"",IFERROR(MATCH(U4442,Fornecedores!$AF$1:$AF$6631,0),""))</f>
        <v/>
      </c>
      <c r="W4442" t="str">
        <f t="shared" si="3"/>
        <v/>
      </c>
      <c r="X4442" s="4" t="str">
        <f>IF(V4442="","",INDEX(Fornecedores!$X$1:$X$6631,V4442))</f>
        <v/>
      </c>
      <c r="Y4442" s="4" t="str">
        <f t="shared" si="4"/>
        <v/>
      </c>
    </row>
    <row r="4443" spans="19:25">
      <c r="S4443" t="str">
        <f t="shared" si="0"/>
        <v/>
      </c>
      <c r="T4443" t="str">
        <f t="shared" si="1"/>
        <v/>
      </c>
      <c r="U4443" t="str">
        <f t="shared" si="2"/>
        <v/>
      </c>
      <c r="V4443" t="str">
        <f>IF(OR(U4443="",U4443="ERRO_CHAVE"),"",IFERROR(MATCH(U4443,Fornecedores!$AF$1:$AF$6631,0),""))</f>
        <v/>
      </c>
      <c r="W4443" t="str">
        <f t="shared" si="3"/>
        <v/>
      </c>
      <c r="X4443" s="4" t="str">
        <f>IF(V4443="","",INDEX(Fornecedores!$X$1:$X$6631,V4443))</f>
        <v/>
      </c>
      <c r="Y4443" s="4" t="str">
        <f t="shared" si="4"/>
        <v/>
      </c>
    </row>
    <row r="4444" spans="19:25">
      <c r="S4444" t="str">
        <f t="shared" si="0"/>
        <v/>
      </c>
      <c r="T4444" t="str">
        <f t="shared" si="1"/>
        <v/>
      </c>
      <c r="U4444" t="str">
        <f t="shared" si="2"/>
        <v/>
      </c>
      <c r="V4444" t="str">
        <f>IF(OR(U4444="",U4444="ERRO_CHAVE"),"",IFERROR(MATCH(U4444,Fornecedores!$AF$1:$AF$6631,0),""))</f>
        <v/>
      </c>
      <c r="W4444" t="str">
        <f t="shared" si="3"/>
        <v/>
      </c>
      <c r="X4444" s="4" t="str">
        <f>IF(V4444="","",INDEX(Fornecedores!$X$1:$X$6631,V4444))</f>
        <v/>
      </c>
      <c r="Y4444" s="4" t="str">
        <f t="shared" si="4"/>
        <v/>
      </c>
    </row>
    <row r="4445" spans="19:25">
      <c r="S4445" t="str">
        <f t="shared" si="0"/>
        <v/>
      </c>
      <c r="T4445" t="str">
        <f t="shared" si="1"/>
        <v/>
      </c>
      <c r="U4445" t="str">
        <f t="shared" si="2"/>
        <v/>
      </c>
      <c r="V4445" t="str">
        <f>IF(OR(U4445="",U4445="ERRO_CHAVE"),"",IFERROR(MATCH(U4445,Fornecedores!$AF$1:$AF$6631,0),""))</f>
        <v/>
      </c>
      <c r="W4445" t="str">
        <f t="shared" si="3"/>
        <v/>
      </c>
      <c r="X4445" s="4" t="str">
        <f>IF(V4445="","",INDEX(Fornecedores!$X$1:$X$6631,V4445))</f>
        <v/>
      </c>
      <c r="Y4445" s="4" t="str">
        <f t="shared" si="4"/>
        <v/>
      </c>
    </row>
    <row r="4446" spans="19:25">
      <c r="S4446" t="str">
        <f t="shared" si="0"/>
        <v/>
      </c>
      <c r="T4446" t="str">
        <f t="shared" si="1"/>
        <v/>
      </c>
      <c r="U4446" t="str">
        <f t="shared" si="2"/>
        <v/>
      </c>
      <c r="V4446" t="str">
        <f>IF(OR(U4446="",U4446="ERRO_CHAVE"),"",IFERROR(MATCH(U4446,Fornecedores!$AF$1:$AF$6631,0),""))</f>
        <v/>
      </c>
      <c r="W4446" t="str">
        <f t="shared" si="3"/>
        <v/>
      </c>
      <c r="X4446" s="4" t="str">
        <f>IF(V4446="","",INDEX(Fornecedores!$X$1:$X$6631,V4446))</f>
        <v/>
      </c>
      <c r="Y4446" s="4" t="str">
        <f t="shared" si="4"/>
        <v/>
      </c>
    </row>
    <row r="4447" spans="19:25">
      <c r="S4447" t="str">
        <f t="shared" si="0"/>
        <v/>
      </c>
      <c r="T4447" t="str">
        <f t="shared" si="1"/>
        <v/>
      </c>
      <c r="U4447" t="str">
        <f t="shared" si="2"/>
        <v/>
      </c>
      <c r="V4447" t="str">
        <f>IF(OR(U4447="",U4447="ERRO_CHAVE"),"",IFERROR(MATCH(U4447,Fornecedores!$AF$1:$AF$6631,0),""))</f>
        <v/>
      </c>
      <c r="W4447" t="str">
        <f t="shared" si="3"/>
        <v/>
      </c>
      <c r="X4447" s="4" t="str">
        <f>IF(V4447="","",INDEX(Fornecedores!$X$1:$X$6631,V4447))</f>
        <v/>
      </c>
      <c r="Y4447" s="4" t="str">
        <f t="shared" si="4"/>
        <v/>
      </c>
    </row>
    <row r="4448" spans="19:25">
      <c r="S4448" t="str">
        <f t="shared" si="0"/>
        <v/>
      </c>
      <c r="T4448" t="str">
        <f t="shared" si="1"/>
        <v/>
      </c>
      <c r="U4448" t="str">
        <f t="shared" si="2"/>
        <v/>
      </c>
      <c r="V4448" t="str">
        <f>IF(OR(U4448="",U4448="ERRO_CHAVE"),"",IFERROR(MATCH(U4448,Fornecedores!$AF$1:$AF$6631,0),""))</f>
        <v/>
      </c>
      <c r="W4448" t="str">
        <f t="shared" si="3"/>
        <v/>
      </c>
      <c r="X4448" s="4" t="str">
        <f>IF(V4448="","",INDEX(Fornecedores!$X$1:$X$6631,V4448))</f>
        <v/>
      </c>
      <c r="Y4448" s="4" t="str">
        <f t="shared" si="4"/>
        <v/>
      </c>
    </row>
    <row r="4449" spans="19:25">
      <c r="S4449" t="str">
        <f t="shared" si="0"/>
        <v/>
      </c>
      <c r="T4449" t="str">
        <f t="shared" si="1"/>
        <v/>
      </c>
      <c r="U4449" t="str">
        <f t="shared" si="2"/>
        <v/>
      </c>
      <c r="V4449" t="str">
        <f>IF(OR(U4449="",U4449="ERRO_CHAVE"),"",IFERROR(MATCH(U4449,Fornecedores!$AF$1:$AF$6631,0),""))</f>
        <v/>
      </c>
      <c r="W4449" t="str">
        <f t="shared" si="3"/>
        <v/>
      </c>
      <c r="X4449" s="4" t="str">
        <f>IF(V4449="","",INDEX(Fornecedores!$X$1:$X$6631,V4449))</f>
        <v/>
      </c>
      <c r="Y4449" s="4" t="str">
        <f t="shared" si="4"/>
        <v/>
      </c>
    </row>
    <row r="4450" spans="19:25">
      <c r="S4450" t="str">
        <f t="shared" si="0"/>
        <v/>
      </c>
      <c r="T4450" t="str">
        <f t="shared" si="1"/>
        <v/>
      </c>
      <c r="U4450" t="str">
        <f t="shared" si="2"/>
        <v/>
      </c>
      <c r="V4450" t="str">
        <f>IF(OR(U4450="",U4450="ERRO_CHAVE"),"",IFERROR(MATCH(U4450,Fornecedores!$AF$1:$AF$6631,0),""))</f>
        <v/>
      </c>
      <c r="W4450" t="str">
        <f t="shared" si="3"/>
        <v/>
      </c>
      <c r="X4450" s="4" t="str">
        <f>IF(V4450="","",INDEX(Fornecedores!$X$1:$X$6631,V4450))</f>
        <v/>
      </c>
      <c r="Y4450" s="4" t="str">
        <f t="shared" si="4"/>
        <v/>
      </c>
    </row>
    <row r="4451" spans="19:25">
      <c r="S4451" t="str">
        <f t="shared" si="0"/>
        <v/>
      </c>
      <c r="T4451" t="str">
        <f t="shared" si="1"/>
        <v/>
      </c>
      <c r="U4451" t="str">
        <f t="shared" si="2"/>
        <v/>
      </c>
      <c r="V4451" t="str">
        <f>IF(OR(U4451="",U4451="ERRO_CHAVE"),"",IFERROR(MATCH(U4451,Fornecedores!$AF$1:$AF$6631,0),""))</f>
        <v/>
      </c>
      <c r="W4451" t="str">
        <f t="shared" si="3"/>
        <v/>
      </c>
      <c r="X4451" s="4" t="str">
        <f>IF(V4451="","",INDEX(Fornecedores!$X$1:$X$6631,V4451))</f>
        <v/>
      </c>
      <c r="Y4451" s="4" t="str">
        <f t="shared" si="4"/>
        <v/>
      </c>
    </row>
    <row r="4452" spans="19:25">
      <c r="S4452" t="str">
        <f t="shared" si="0"/>
        <v/>
      </c>
      <c r="T4452" t="str">
        <f t="shared" si="1"/>
        <v/>
      </c>
      <c r="U4452" t="str">
        <f t="shared" si="2"/>
        <v/>
      </c>
      <c r="V4452" t="str">
        <f>IF(OR(U4452="",U4452="ERRO_CHAVE"),"",IFERROR(MATCH(U4452,Fornecedores!$AF$1:$AF$6631,0),""))</f>
        <v/>
      </c>
      <c r="W4452" t="str">
        <f t="shared" si="3"/>
        <v/>
      </c>
      <c r="X4452" s="4" t="str">
        <f>IF(V4452="","",INDEX(Fornecedores!$X$1:$X$6631,V4452))</f>
        <v/>
      </c>
      <c r="Y4452" s="4" t="str">
        <f t="shared" si="4"/>
        <v/>
      </c>
    </row>
    <row r="4453" spans="19:25">
      <c r="S4453" t="str">
        <f t="shared" si="0"/>
        <v/>
      </c>
      <c r="T4453" t="str">
        <f t="shared" si="1"/>
        <v/>
      </c>
      <c r="U4453" t="str">
        <f t="shared" si="2"/>
        <v/>
      </c>
      <c r="V4453" t="str">
        <f>IF(OR(U4453="",U4453="ERRO_CHAVE"),"",IFERROR(MATCH(U4453,Fornecedores!$AF$1:$AF$6631,0),""))</f>
        <v/>
      </c>
      <c r="W4453" t="str">
        <f t="shared" si="3"/>
        <v/>
      </c>
      <c r="X4453" s="4" t="str">
        <f>IF(V4453="","",INDEX(Fornecedores!$X$1:$X$6631,V4453))</f>
        <v/>
      </c>
      <c r="Y4453" s="4" t="str">
        <f t="shared" si="4"/>
        <v/>
      </c>
    </row>
    <row r="4454" spans="19:25">
      <c r="S4454" t="str">
        <f t="shared" si="0"/>
        <v/>
      </c>
      <c r="T4454" t="str">
        <f t="shared" si="1"/>
        <v/>
      </c>
      <c r="U4454" t="str">
        <f t="shared" si="2"/>
        <v/>
      </c>
      <c r="V4454" t="str">
        <f>IF(OR(U4454="",U4454="ERRO_CHAVE"),"",IFERROR(MATCH(U4454,Fornecedores!$AF$1:$AF$6631,0),""))</f>
        <v/>
      </c>
      <c r="W4454" t="str">
        <f t="shared" si="3"/>
        <v/>
      </c>
      <c r="X4454" s="4" t="str">
        <f>IF(V4454="","",INDEX(Fornecedores!$X$1:$X$6631,V4454))</f>
        <v/>
      </c>
      <c r="Y4454" s="4" t="str">
        <f t="shared" si="4"/>
        <v/>
      </c>
    </row>
    <row r="4455" spans="19:25">
      <c r="S4455" t="str">
        <f t="shared" si="0"/>
        <v/>
      </c>
      <c r="T4455" t="str">
        <f t="shared" si="1"/>
        <v/>
      </c>
      <c r="U4455" t="str">
        <f t="shared" si="2"/>
        <v/>
      </c>
      <c r="V4455" t="str">
        <f>IF(OR(U4455="",U4455="ERRO_CHAVE"),"",IFERROR(MATCH(U4455,Fornecedores!$AF$1:$AF$6631,0),""))</f>
        <v/>
      </c>
      <c r="W4455" t="str">
        <f t="shared" si="3"/>
        <v/>
      </c>
      <c r="X4455" s="4" t="str">
        <f>IF(V4455="","",INDEX(Fornecedores!$X$1:$X$6631,V4455))</f>
        <v/>
      </c>
      <c r="Y4455" s="4" t="str">
        <f t="shared" si="4"/>
        <v/>
      </c>
    </row>
    <row r="4456" spans="19:25">
      <c r="S4456" t="str">
        <f t="shared" si="0"/>
        <v/>
      </c>
      <c r="T4456" t="str">
        <f t="shared" si="1"/>
        <v/>
      </c>
      <c r="U4456" t="str">
        <f t="shared" si="2"/>
        <v/>
      </c>
      <c r="V4456" t="str">
        <f>IF(OR(U4456="",U4456="ERRO_CHAVE"),"",IFERROR(MATCH(U4456,Fornecedores!$AF$1:$AF$6631,0),""))</f>
        <v/>
      </c>
      <c r="W4456" t="str">
        <f t="shared" si="3"/>
        <v/>
      </c>
      <c r="X4456" s="4" t="str">
        <f>IF(V4456="","",INDEX(Fornecedores!$X$1:$X$6631,V4456))</f>
        <v/>
      </c>
      <c r="Y4456" s="4" t="str">
        <f t="shared" si="4"/>
        <v/>
      </c>
    </row>
    <row r="4457" spans="19:25">
      <c r="S4457" t="str">
        <f t="shared" si="0"/>
        <v/>
      </c>
      <c r="T4457" t="str">
        <f t="shared" si="1"/>
        <v/>
      </c>
      <c r="U4457" t="str">
        <f t="shared" si="2"/>
        <v/>
      </c>
      <c r="V4457" t="str">
        <f>IF(OR(U4457="",U4457="ERRO_CHAVE"),"",IFERROR(MATCH(U4457,Fornecedores!$AF$1:$AF$6631,0),""))</f>
        <v/>
      </c>
      <c r="W4457" t="str">
        <f t="shared" si="3"/>
        <v/>
      </c>
      <c r="X4457" s="4" t="str">
        <f>IF(V4457="","",INDEX(Fornecedores!$X$1:$X$6631,V4457))</f>
        <v/>
      </c>
      <c r="Y4457" s="4" t="str">
        <f t="shared" si="4"/>
        <v/>
      </c>
    </row>
    <row r="4458" spans="19:25">
      <c r="S4458" t="str">
        <f t="shared" si="0"/>
        <v/>
      </c>
      <c r="T4458" t="str">
        <f t="shared" si="1"/>
        <v/>
      </c>
      <c r="U4458" t="str">
        <f t="shared" si="2"/>
        <v/>
      </c>
      <c r="V4458" t="str">
        <f>IF(OR(U4458="",U4458="ERRO_CHAVE"),"",IFERROR(MATCH(U4458,Fornecedores!$AF$1:$AF$6631,0),""))</f>
        <v/>
      </c>
      <c r="W4458" t="str">
        <f t="shared" si="3"/>
        <v/>
      </c>
      <c r="X4458" s="4" t="str">
        <f>IF(V4458="","",INDEX(Fornecedores!$X$1:$X$6631,V4458))</f>
        <v/>
      </c>
      <c r="Y4458" s="4" t="str">
        <f t="shared" si="4"/>
        <v/>
      </c>
    </row>
    <row r="4459" spans="19:25">
      <c r="S4459" t="str">
        <f t="shared" si="0"/>
        <v/>
      </c>
      <c r="T4459" t="str">
        <f t="shared" si="1"/>
        <v/>
      </c>
      <c r="U4459" t="str">
        <f t="shared" si="2"/>
        <v/>
      </c>
      <c r="V4459" t="str">
        <f>IF(OR(U4459="",U4459="ERRO_CHAVE"),"",IFERROR(MATCH(U4459,Fornecedores!$AF$1:$AF$6631,0),""))</f>
        <v/>
      </c>
      <c r="W4459" t="str">
        <f t="shared" si="3"/>
        <v/>
      </c>
      <c r="X4459" s="4" t="str">
        <f>IF(V4459="","",INDEX(Fornecedores!$X$1:$X$6631,V4459))</f>
        <v/>
      </c>
      <c r="Y4459" s="4" t="str">
        <f t="shared" si="4"/>
        <v/>
      </c>
    </row>
    <row r="4460" spans="19:25">
      <c r="S4460" t="str">
        <f t="shared" si="0"/>
        <v/>
      </c>
      <c r="T4460" t="str">
        <f t="shared" si="1"/>
        <v/>
      </c>
      <c r="U4460" t="str">
        <f t="shared" si="2"/>
        <v/>
      </c>
      <c r="V4460" t="str">
        <f>IF(OR(U4460="",U4460="ERRO_CHAVE"),"",IFERROR(MATCH(U4460,Fornecedores!$AF$1:$AF$6631,0),""))</f>
        <v/>
      </c>
      <c r="W4460" t="str">
        <f t="shared" si="3"/>
        <v/>
      </c>
      <c r="X4460" s="4" t="str">
        <f>IF(V4460="","",INDEX(Fornecedores!$X$1:$X$6631,V4460))</f>
        <v/>
      </c>
      <c r="Y4460" s="4" t="str">
        <f t="shared" si="4"/>
        <v/>
      </c>
    </row>
    <row r="4461" spans="19:25">
      <c r="S4461" t="str">
        <f t="shared" si="0"/>
        <v/>
      </c>
      <c r="T4461" t="str">
        <f t="shared" si="1"/>
        <v/>
      </c>
      <c r="U4461" t="str">
        <f t="shared" si="2"/>
        <v/>
      </c>
      <c r="V4461" t="str">
        <f>IF(OR(U4461="",U4461="ERRO_CHAVE"),"",IFERROR(MATCH(U4461,Fornecedores!$AF$1:$AF$6631,0),""))</f>
        <v/>
      </c>
      <c r="W4461" t="str">
        <f t="shared" si="3"/>
        <v/>
      </c>
      <c r="X4461" s="4" t="str">
        <f>IF(V4461="","",INDEX(Fornecedores!$X$1:$X$6631,V4461))</f>
        <v/>
      </c>
      <c r="Y4461" s="4" t="str">
        <f t="shared" si="4"/>
        <v/>
      </c>
    </row>
    <row r="4462" spans="19:25">
      <c r="S4462" t="str">
        <f t="shared" si="0"/>
        <v/>
      </c>
      <c r="T4462" t="str">
        <f t="shared" si="1"/>
        <v/>
      </c>
      <c r="U4462" t="str">
        <f t="shared" si="2"/>
        <v/>
      </c>
      <c r="V4462" t="str">
        <f>IF(OR(U4462="",U4462="ERRO_CHAVE"),"",IFERROR(MATCH(U4462,Fornecedores!$AF$1:$AF$6631,0),""))</f>
        <v/>
      </c>
      <c r="W4462" t="str">
        <f t="shared" si="3"/>
        <v/>
      </c>
      <c r="X4462" s="4" t="str">
        <f>IF(V4462="","",INDEX(Fornecedores!$X$1:$X$6631,V4462))</f>
        <v/>
      </c>
      <c r="Y4462" s="4" t="str">
        <f t="shared" si="4"/>
        <v/>
      </c>
    </row>
    <row r="4463" spans="19:25">
      <c r="S4463" t="str">
        <f t="shared" si="0"/>
        <v/>
      </c>
      <c r="T4463" t="str">
        <f t="shared" si="1"/>
        <v/>
      </c>
      <c r="U4463" t="str">
        <f t="shared" si="2"/>
        <v/>
      </c>
      <c r="V4463" t="str">
        <f>IF(OR(U4463="",U4463="ERRO_CHAVE"),"",IFERROR(MATCH(U4463,Fornecedores!$AF$1:$AF$6631,0),""))</f>
        <v/>
      </c>
      <c r="W4463" t="str">
        <f t="shared" si="3"/>
        <v/>
      </c>
      <c r="X4463" s="4" t="str">
        <f>IF(V4463="","",INDEX(Fornecedores!$X$1:$X$6631,V4463))</f>
        <v/>
      </c>
      <c r="Y4463" s="4" t="str">
        <f t="shared" si="4"/>
        <v/>
      </c>
    </row>
    <row r="4464" spans="19:25">
      <c r="S4464" t="str">
        <f t="shared" si="0"/>
        <v/>
      </c>
      <c r="T4464" t="str">
        <f t="shared" si="1"/>
        <v/>
      </c>
      <c r="U4464" t="str">
        <f t="shared" si="2"/>
        <v/>
      </c>
      <c r="V4464" t="str">
        <f>IF(OR(U4464="",U4464="ERRO_CHAVE"),"",IFERROR(MATCH(U4464,Fornecedores!$AF$1:$AF$6631,0),""))</f>
        <v/>
      </c>
      <c r="W4464" t="str">
        <f t="shared" si="3"/>
        <v/>
      </c>
      <c r="X4464" s="4" t="str">
        <f>IF(V4464="","",INDEX(Fornecedores!$X$1:$X$6631,V4464))</f>
        <v/>
      </c>
      <c r="Y4464" s="4" t="str">
        <f t="shared" si="4"/>
        <v/>
      </c>
    </row>
    <row r="4465" spans="19:25">
      <c r="S4465" t="str">
        <f t="shared" si="0"/>
        <v/>
      </c>
      <c r="T4465" t="str">
        <f t="shared" si="1"/>
        <v/>
      </c>
      <c r="U4465" t="str">
        <f t="shared" si="2"/>
        <v/>
      </c>
      <c r="V4465" t="str">
        <f>IF(OR(U4465="",U4465="ERRO_CHAVE"),"",IFERROR(MATCH(U4465,Fornecedores!$AF$1:$AF$6631,0),""))</f>
        <v/>
      </c>
      <c r="W4465" t="str">
        <f t="shared" si="3"/>
        <v/>
      </c>
      <c r="X4465" s="4" t="str">
        <f>IF(V4465="","",INDEX(Fornecedores!$X$1:$X$6631,V4465))</f>
        <v/>
      </c>
      <c r="Y4465" s="4" t="str">
        <f t="shared" si="4"/>
        <v/>
      </c>
    </row>
    <row r="4466" spans="19:25">
      <c r="S4466" t="str">
        <f t="shared" si="0"/>
        <v/>
      </c>
      <c r="T4466" t="str">
        <f t="shared" si="1"/>
        <v/>
      </c>
      <c r="U4466" t="str">
        <f t="shared" si="2"/>
        <v/>
      </c>
      <c r="V4466" t="str">
        <f>IF(OR(U4466="",U4466="ERRO_CHAVE"),"",IFERROR(MATCH(U4466,Fornecedores!$AF$1:$AF$6631,0),""))</f>
        <v/>
      </c>
      <c r="W4466" t="str">
        <f t="shared" si="3"/>
        <v/>
      </c>
      <c r="X4466" s="4" t="str">
        <f>IF(V4466="","",INDEX(Fornecedores!$X$1:$X$6631,V4466))</f>
        <v/>
      </c>
      <c r="Y4466" s="4" t="str">
        <f t="shared" si="4"/>
        <v/>
      </c>
    </row>
    <row r="4467" spans="19:25">
      <c r="S4467" t="str">
        <f t="shared" si="0"/>
        <v/>
      </c>
      <c r="T4467" t="str">
        <f t="shared" si="1"/>
        <v/>
      </c>
      <c r="U4467" t="str">
        <f t="shared" si="2"/>
        <v/>
      </c>
      <c r="V4467" t="str">
        <f>IF(OR(U4467="",U4467="ERRO_CHAVE"),"",IFERROR(MATCH(U4467,Fornecedores!$AF$1:$AF$6631,0),""))</f>
        <v/>
      </c>
      <c r="W4467" t="str">
        <f t="shared" si="3"/>
        <v/>
      </c>
      <c r="X4467" s="4" t="str">
        <f>IF(V4467="","",INDEX(Fornecedores!$X$1:$X$6631,V4467))</f>
        <v/>
      </c>
      <c r="Y4467" s="4" t="str">
        <f t="shared" si="4"/>
        <v/>
      </c>
    </row>
    <row r="4468" spans="19:25">
      <c r="S4468" t="str">
        <f t="shared" si="0"/>
        <v/>
      </c>
      <c r="T4468" t="str">
        <f t="shared" si="1"/>
        <v/>
      </c>
      <c r="U4468" t="str">
        <f t="shared" si="2"/>
        <v/>
      </c>
      <c r="V4468" t="str">
        <f>IF(OR(U4468="",U4468="ERRO_CHAVE"),"",IFERROR(MATCH(U4468,Fornecedores!$AF$1:$AF$6631,0),""))</f>
        <v/>
      </c>
      <c r="W4468" t="str">
        <f t="shared" si="3"/>
        <v/>
      </c>
      <c r="X4468" s="4" t="str">
        <f>IF(V4468="","",INDEX(Fornecedores!$X$1:$X$6631,V4468))</f>
        <v/>
      </c>
      <c r="Y4468" s="4" t="str">
        <f t="shared" si="4"/>
        <v/>
      </c>
    </row>
    <row r="4469" spans="19:25">
      <c r="S4469" t="str">
        <f t="shared" si="0"/>
        <v/>
      </c>
      <c r="T4469" t="str">
        <f t="shared" si="1"/>
        <v/>
      </c>
      <c r="U4469" t="str">
        <f t="shared" si="2"/>
        <v/>
      </c>
      <c r="V4469" t="str">
        <f>IF(OR(U4469="",U4469="ERRO_CHAVE"),"",IFERROR(MATCH(U4469,Fornecedores!$AF$1:$AF$6631,0),""))</f>
        <v/>
      </c>
      <c r="W4469" t="str">
        <f t="shared" si="3"/>
        <v/>
      </c>
      <c r="X4469" s="4" t="str">
        <f>IF(V4469="","",INDEX(Fornecedores!$X$1:$X$6631,V4469))</f>
        <v/>
      </c>
      <c r="Y4469" s="4" t="str">
        <f t="shared" si="4"/>
        <v/>
      </c>
    </row>
    <row r="4470" spans="19:25">
      <c r="S4470" t="str">
        <f t="shared" si="0"/>
        <v/>
      </c>
      <c r="T4470" t="str">
        <f t="shared" si="1"/>
        <v/>
      </c>
      <c r="U4470" t="str">
        <f t="shared" si="2"/>
        <v/>
      </c>
      <c r="V4470" t="str">
        <f>IF(OR(U4470="",U4470="ERRO_CHAVE"),"",IFERROR(MATCH(U4470,Fornecedores!$AF$1:$AF$6631,0),""))</f>
        <v/>
      </c>
      <c r="W4470" t="str">
        <f t="shared" si="3"/>
        <v/>
      </c>
      <c r="X4470" s="4" t="str">
        <f>IF(V4470="","",INDEX(Fornecedores!$X$1:$X$6631,V4470))</f>
        <v/>
      </c>
      <c r="Y4470" s="4" t="str">
        <f t="shared" si="4"/>
        <v/>
      </c>
    </row>
    <row r="4471" spans="19:25">
      <c r="S4471" t="str">
        <f t="shared" si="0"/>
        <v/>
      </c>
      <c r="T4471" t="str">
        <f t="shared" si="1"/>
        <v/>
      </c>
      <c r="U4471" t="str">
        <f t="shared" si="2"/>
        <v/>
      </c>
      <c r="V4471" t="str">
        <f>IF(OR(U4471="",U4471="ERRO_CHAVE"),"",IFERROR(MATCH(U4471,Fornecedores!$AF$1:$AF$6631,0),""))</f>
        <v/>
      </c>
      <c r="W4471" t="str">
        <f t="shared" si="3"/>
        <v/>
      </c>
      <c r="X4471" s="4" t="str">
        <f>IF(V4471="","",INDEX(Fornecedores!$X$1:$X$6631,V4471))</f>
        <v/>
      </c>
      <c r="Y4471" s="4" t="str">
        <f t="shared" si="4"/>
        <v/>
      </c>
    </row>
    <row r="4472" spans="19:25">
      <c r="S4472" t="str">
        <f t="shared" si="0"/>
        <v/>
      </c>
      <c r="T4472" t="str">
        <f t="shared" si="1"/>
        <v/>
      </c>
      <c r="U4472" t="str">
        <f t="shared" si="2"/>
        <v/>
      </c>
      <c r="V4472" t="str">
        <f>IF(OR(U4472="",U4472="ERRO_CHAVE"),"",IFERROR(MATCH(U4472,Fornecedores!$AF$1:$AF$6631,0),""))</f>
        <v/>
      </c>
      <c r="W4472" t="str">
        <f t="shared" si="3"/>
        <v/>
      </c>
      <c r="X4472" s="4" t="str">
        <f>IF(V4472="","",INDEX(Fornecedores!$X$1:$X$6631,V4472))</f>
        <v/>
      </c>
      <c r="Y4472" s="4" t="str">
        <f t="shared" si="4"/>
        <v/>
      </c>
    </row>
    <row r="4473" spans="19:25">
      <c r="S4473" t="str">
        <f t="shared" si="0"/>
        <v/>
      </c>
      <c r="T4473" t="str">
        <f t="shared" si="1"/>
        <v/>
      </c>
      <c r="U4473" t="str">
        <f t="shared" si="2"/>
        <v/>
      </c>
      <c r="V4473" t="str">
        <f>IF(OR(U4473="",U4473="ERRO_CHAVE"),"",IFERROR(MATCH(U4473,Fornecedores!$AF$1:$AF$6631,0),""))</f>
        <v/>
      </c>
      <c r="W4473" t="str">
        <f t="shared" si="3"/>
        <v/>
      </c>
      <c r="X4473" s="4" t="str">
        <f>IF(V4473="","",INDEX(Fornecedores!$X$1:$X$6631,V4473))</f>
        <v/>
      </c>
      <c r="Y4473" s="4" t="str">
        <f t="shared" si="4"/>
        <v/>
      </c>
    </row>
    <row r="4474" spans="19:25">
      <c r="S4474" t="str">
        <f t="shared" si="0"/>
        <v/>
      </c>
      <c r="T4474" t="str">
        <f t="shared" si="1"/>
        <v/>
      </c>
      <c r="U4474" t="str">
        <f t="shared" si="2"/>
        <v/>
      </c>
      <c r="V4474" t="str">
        <f>IF(OR(U4474="",U4474="ERRO_CHAVE"),"",IFERROR(MATCH(U4474,Fornecedores!$AF$1:$AF$6631,0),""))</f>
        <v/>
      </c>
      <c r="W4474" t="str">
        <f t="shared" si="3"/>
        <v/>
      </c>
      <c r="X4474" s="4" t="str">
        <f>IF(V4474="","",INDEX(Fornecedores!$X$1:$X$6631,V4474))</f>
        <v/>
      </c>
      <c r="Y4474" s="4" t="str">
        <f t="shared" si="4"/>
        <v/>
      </c>
    </row>
    <row r="4475" spans="19:25">
      <c r="S4475" t="str">
        <f t="shared" si="0"/>
        <v/>
      </c>
      <c r="T4475" t="str">
        <f t="shared" si="1"/>
        <v/>
      </c>
      <c r="U4475" t="str">
        <f t="shared" si="2"/>
        <v/>
      </c>
      <c r="V4475" t="str">
        <f>IF(OR(U4475="",U4475="ERRO_CHAVE"),"",IFERROR(MATCH(U4475,Fornecedores!$AF$1:$AF$6631,0),""))</f>
        <v/>
      </c>
      <c r="W4475" t="str">
        <f t="shared" si="3"/>
        <v/>
      </c>
      <c r="X4475" s="4" t="str">
        <f>IF(V4475="","",INDEX(Fornecedores!$X$1:$X$6631,V4475))</f>
        <v/>
      </c>
      <c r="Y4475" s="4" t="str">
        <f t="shared" si="4"/>
        <v/>
      </c>
    </row>
    <row r="4476" spans="19:25">
      <c r="S4476" t="str">
        <f t="shared" si="0"/>
        <v/>
      </c>
      <c r="T4476" t="str">
        <f t="shared" si="1"/>
        <v/>
      </c>
      <c r="U4476" t="str">
        <f t="shared" si="2"/>
        <v/>
      </c>
      <c r="V4476" t="str">
        <f>IF(OR(U4476="",U4476="ERRO_CHAVE"),"",IFERROR(MATCH(U4476,Fornecedores!$AF$1:$AF$6631,0),""))</f>
        <v/>
      </c>
      <c r="W4476" t="str">
        <f t="shared" si="3"/>
        <v/>
      </c>
      <c r="X4476" s="4" t="str">
        <f>IF(V4476="","",INDEX(Fornecedores!$X$1:$X$6631,V4476))</f>
        <v/>
      </c>
      <c r="Y4476" s="4" t="str">
        <f t="shared" si="4"/>
        <v/>
      </c>
    </row>
    <row r="4477" spans="19:25">
      <c r="S4477" t="str">
        <f t="shared" si="0"/>
        <v/>
      </c>
      <c r="T4477" t="str">
        <f t="shared" si="1"/>
        <v/>
      </c>
      <c r="U4477" t="str">
        <f t="shared" si="2"/>
        <v/>
      </c>
      <c r="V4477" t="str">
        <f>IF(OR(U4477="",U4477="ERRO_CHAVE"),"",IFERROR(MATCH(U4477,Fornecedores!$AF$1:$AF$6631,0),""))</f>
        <v/>
      </c>
      <c r="W4477" t="str">
        <f t="shared" si="3"/>
        <v/>
      </c>
      <c r="X4477" s="4" t="str">
        <f>IF(V4477="","",INDEX(Fornecedores!$X$1:$X$6631,V4477))</f>
        <v/>
      </c>
      <c r="Y4477" s="4" t="str">
        <f t="shared" si="4"/>
        <v/>
      </c>
    </row>
    <row r="4478" spans="19:25">
      <c r="S4478" t="str">
        <f t="shared" si="0"/>
        <v/>
      </c>
      <c r="T4478" t="str">
        <f t="shared" si="1"/>
        <v/>
      </c>
      <c r="U4478" t="str">
        <f t="shared" si="2"/>
        <v/>
      </c>
      <c r="V4478" t="str">
        <f>IF(OR(U4478="",U4478="ERRO_CHAVE"),"",IFERROR(MATCH(U4478,Fornecedores!$AF$1:$AF$6631,0),""))</f>
        <v/>
      </c>
      <c r="W4478" t="str">
        <f t="shared" si="3"/>
        <v/>
      </c>
      <c r="X4478" s="4" t="str">
        <f>IF(V4478="","",INDEX(Fornecedores!$X$1:$X$6631,V4478))</f>
        <v/>
      </c>
      <c r="Y4478" s="4" t="str">
        <f t="shared" si="4"/>
        <v/>
      </c>
    </row>
    <row r="4479" spans="19:25">
      <c r="S4479" t="str">
        <f t="shared" si="0"/>
        <v/>
      </c>
      <c r="T4479" t="str">
        <f t="shared" si="1"/>
        <v/>
      </c>
      <c r="U4479" t="str">
        <f t="shared" si="2"/>
        <v/>
      </c>
      <c r="V4479" t="str">
        <f>IF(OR(U4479="",U4479="ERRO_CHAVE"),"",IFERROR(MATCH(U4479,Fornecedores!$AF$1:$AF$6631,0),""))</f>
        <v/>
      </c>
      <c r="W4479" t="str">
        <f t="shared" si="3"/>
        <v/>
      </c>
      <c r="X4479" s="4" t="str">
        <f>IF(V4479="","",INDEX(Fornecedores!$X$1:$X$6631,V4479))</f>
        <v/>
      </c>
      <c r="Y4479" s="4" t="str">
        <f t="shared" si="4"/>
        <v/>
      </c>
    </row>
    <row r="4480" spans="19:25">
      <c r="S4480" t="str">
        <f t="shared" si="0"/>
        <v/>
      </c>
      <c r="T4480" t="str">
        <f t="shared" si="1"/>
        <v/>
      </c>
      <c r="U4480" t="str">
        <f t="shared" si="2"/>
        <v/>
      </c>
      <c r="V4480" t="str">
        <f>IF(OR(U4480="",U4480="ERRO_CHAVE"),"",IFERROR(MATCH(U4480,Fornecedores!$AF$1:$AF$6631,0),""))</f>
        <v/>
      </c>
      <c r="W4480" t="str">
        <f t="shared" si="3"/>
        <v/>
      </c>
      <c r="X4480" s="4" t="str">
        <f>IF(V4480="","",INDEX(Fornecedores!$X$1:$X$6631,V4480))</f>
        <v/>
      </c>
      <c r="Y4480" s="4" t="str">
        <f t="shared" si="4"/>
        <v/>
      </c>
    </row>
    <row r="4481" spans="19:25">
      <c r="S4481" t="str">
        <f t="shared" si="0"/>
        <v/>
      </c>
      <c r="T4481" t="str">
        <f t="shared" si="1"/>
        <v/>
      </c>
      <c r="U4481" t="str">
        <f t="shared" si="2"/>
        <v/>
      </c>
      <c r="V4481" t="str">
        <f>IF(OR(U4481="",U4481="ERRO_CHAVE"),"",IFERROR(MATCH(U4481,Fornecedores!$AF$1:$AF$6631,0),""))</f>
        <v/>
      </c>
      <c r="W4481" t="str">
        <f t="shared" si="3"/>
        <v/>
      </c>
      <c r="X4481" s="4" t="str">
        <f>IF(V4481="","",INDEX(Fornecedores!$X$1:$X$6631,V4481))</f>
        <v/>
      </c>
      <c r="Y4481" s="4" t="str">
        <f t="shared" si="4"/>
        <v/>
      </c>
    </row>
    <row r="4482" spans="19:25">
      <c r="S4482" t="str">
        <f t="shared" si="0"/>
        <v/>
      </c>
      <c r="T4482" t="str">
        <f t="shared" si="1"/>
        <v/>
      </c>
      <c r="U4482" t="str">
        <f t="shared" si="2"/>
        <v/>
      </c>
      <c r="V4482" t="str">
        <f>IF(OR(U4482="",U4482="ERRO_CHAVE"),"",IFERROR(MATCH(U4482,Fornecedores!$AF$1:$AF$6631,0),""))</f>
        <v/>
      </c>
      <c r="W4482" t="str">
        <f t="shared" si="3"/>
        <v/>
      </c>
      <c r="X4482" s="4" t="str">
        <f>IF(V4482="","",INDEX(Fornecedores!$X$1:$X$6631,V4482))</f>
        <v/>
      </c>
      <c r="Y4482" s="4" t="str">
        <f t="shared" si="4"/>
        <v/>
      </c>
    </row>
    <row r="4483" spans="19:25">
      <c r="S4483" t="str">
        <f t="shared" si="0"/>
        <v/>
      </c>
      <c r="T4483" t="str">
        <f t="shared" si="1"/>
        <v/>
      </c>
      <c r="U4483" t="str">
        <f t="shared" si="2"/>
        <v/>
      </c>
      <c r="V4483" t="str">
        <f>IF(OR(U4483="",U4483="ERRO_CHAVE"),"",IFERROR(MATCH(U4483,Fornecedores!$AF$1:$AF$6631,0),""))</f>
        <v/>
      </c>
      <c r="W4483" t="str">
        <f t="shared" si="3"/>
        <v/>
      </c>
      <c r="X4483" s="4" t="str">
        <f>IF(V4483="","",INDEX(Fornecedores!$X$1:$X$6631,V4483))</f>
        <v/>
      </c>
      <c r="Y4483" s="4" t="str">
        <f t="shared" si="4"/>
        <v/>
      </c>
    </row>
    <row r="4484" spans="19:25">
      <c r="S4484" t="str">
        <f t="shared" si="0"/>
        <v/>
      </c>
      <c r="T4484" t="str">
        <f t="shared" si="1"/>
        <v/>
      </c>
      <c r="U4484" t="str">
        <f t="shared" si="2"/>
        <v/>
      </c>
      <c r="V4484" t="str">
        <f>IF(OR(U4484="",U4484="ERRO_CHAVE"),"",IFERROR(MATCH(U4484,Fornecedores!$AF$1:$AF$6631,0),""))</f>
        <v/>
      </c>
      <c r="W4484" t="str">
        <f t="shared" si="3"/>
        <v/>
      </c>
      <c r="X4484" s="4" t="str">
        <f>IF(V4484="","",INDEX(Fornecedores!$X$1:$X$6631,V4484))</f>
        <v/>
      </c>
      <c r="Y4484" s="4" t="str">
        <f t="shared" si="4"/>
        <v/>
      </c>
    </row>
    <row r="4485" spans="19:25">
      <c r="S4485" t="str">
        <f t="shared" si="0"/>
        <v/>
      </c>
      <c r="T4485" t="str">
        <f t="shared" si="1"/>
        <v/>
      </c>
      <c r="U4485" t="str">
        <f t="shared" si="2"/>
        <v/>
      </c>
      <c r="V4485" t="str">
        <f>IF(OR(U4485="",U4485="ERRO_CHAVE"),"",IFERROR(MATCH(U4485,Fornecedores!$AF$1:$AF$6631,0),""))</f>
        <v/>
      </c>
      <c r="W4485" t="str">
        <f t="shared" si="3"/>
        <v/>
      </c>
      <c r="X4485" s="4" t="str">
        <f>IF(V4485="","",INDEX(Fornecedores!$X$1:$X$6631,V4485))</f>
        <v/>
      </c>
      <c r="Y4485" s="4" t="str">
        <f t="shared" si="4"/>
        <v/>
      </c>
    </row>
    <row r="4486" spans="19:25">
      <c r="S4486" t="str">
        <f t="shared" si="0"/>
        <v/>
      </c>
      <c r="T4486" t="str">
        <f t="shared" si="1"/>
        <v/>
      </c>
      <c r="U4486" t="str">
        <f t="shared" si="2"/>
        <v/>
      </c>
      <c r="V4486" t="str">
        <f>IF(OR(U4486="",U4486="ERRO_CHAVE"),"",IFERROR(MATCH(U4486,Fornecedores!$AF$1:$AF$6631,0),""))</f>
        <v/>
      </c>
      <c r="W4486" t="str">
        <f t="shared" si="3"/>
        <v/>
      </c>
      <c r="X4486" s="4" t="str">
        <f>IF(V4486="","",INDEX(Fornecedores!$X$1:$X$6631,V4486))</f>
        <v/>
      </c>
      <c r="Y4486" s="4" t="str">
        <f t="shared" si="4"/>
        <v/>
      </c>
    </row>
    <row r="4487" spans="19:25">
      <c r="S4487" t="str">
        <f t="shared" si="0"/>
        <v/>
      </c>
      <c r="T4487" t="str">
        <f t="shared" si="1"/>
        <v/>
      </c>
      <c r="U4487" t="str">
        <f t="shared" si="2"/>
        <v/>
      </c>
      <c r="V4487" t="str">
        <f>IF(OR(U4487="",U4487="ERRO_CHAVE"),"",IFERROR(MATCH(U4487,Fornecedores!$AF$1:$AF$6631,0),""))</f>
        <v/>
      </c>
      <c r="W4487" t="str">
        <f t="shared" si="3"/>
        <v/>
      </c>
      <c r="X4487" s="4" t="str">
        <f>IF(V4487="","",INDEX(Fornecedores!$X$1:$X$6631,V4487))</f>
        <v/>
      </c>
      <c r="Y4487" s="4" t="str">
        <f t="shared" si="4"/>
        <v/>
      </c>
    </row>
    <row r="4488" spans="19:25">
      <c r="S4488" t="str">
        <f t="shared" si="0"/>
        <v/>
      </c>
      <c r="T4488" t="str">
        <f t="shared" si="1"/>
        <v/>
      </c>
      <c r="U4488" t="str">
        <f t="shared" si="2"/>
        <v/>
      </c>
      <c r="V4488" t="str">
        <f>IF(OR(U4488="",U4488="ERRO_CHAVE"),"",IFERROR(MATCH(U4488,Fornecedores!$AF$1:$AF$6631,0),""))</f>
        <v/>
      </c>
      <c r="W4488" t="str">
        <f t="shared" si="3"/>
        <v/>
      </c>
      <c r="X4488" s="4" t="str">
        <f>IF(V4488="","",INDEX(Fornecedores!$X$1:$X$6631,V4488))</f>
        <v/>
      </c>
      <c r="Y4488" s="4" t="str">
        <f t="shared" si="4"/>
        <v/>
      </c>
    </row>
    <row r="4489" spans="19:25">
      <c r="S4489" t="str">
        <f t="shared" si="0"/>
        <v/>
      </c>
      <c r="T4489" t="str">
        <f t="shared" si="1"/>
        <v/>
      </c>
      <c r="U4489" t="str">
        <f t="shared" si="2"/>
        <v/>
      </c>
      <c r="V4489" t="str">
        <f>IF(OR(U4489="",U4489="ERRO_CHAVE"),"",IFERROR(MATCH(U4489,Fornecedores!$AF$1:$AF$6631,0),""))</f>
        <v/>
      </c>
      <c r="W4489" t="str">
        <f t="shared" si="3"/>
        <v/>
      </c>
      <c r="X4489" s="4" t="str">
        <f>IF(V4489="","",INDEX(Fornecedores!$X$1:$X$6631,V4489))</f>
        <v/>
      </c>
      <c r="Y4489" s="4" t="str">
        <f t="shared" si="4"/>
        <v/>
      </c>
    </row>
    <row r="4490" spans="19:25">
      <c r="S4490" t="str">
        <f t="shared" si="0"/>
        <v/>
      </c>
      <c r="T4490" t="str">
        <f t="shared" si="1"/>
        <v/>
      </c>
      <c r="U4490" t="str">
        <f t="shared" si="2"/>
        <v/>
      </c>
      <c r="V4490" t="str">
        <f>IF(OR(U4490="",U4490="ERRO_CHAVE"),"",IFERROR(MATCH(U4490,Fornecedores!$AF$1:$AF$6631,0),""))</f>
        <v/>
      </c>
      <c r="W4490" t="str">
        <f t="shared" si="3"/>
        <v/>
      </c>
      <c r="X4490" s="4" t="str">
        <f>IF(V4490="","",INDEX(Fornecedores!$X$1:$X$6631,V4490))</f>
        <v/>
      </c>
      <c r="Y4490" s="4" t="str">
        <f t="shared" si="4"/>
        <v/>
      </c>
    </row>
    <row r="4491" spans="19:25">
      <c r="S4491" t="str">
        <f t="shared" si="0"/>
        <v/>
      </c>
      <c r="T4491" t="str">
        <f t="shared" si="1"/>
        <v/>
      </c>
      <c r="U4491" t="str">
        <f t="shared" si="2"/>
        <v/>
      </c>
      <c r="V4491" t="str">
        <f>IF(OR(U4491="",U4491="ERRO_CHAVE"),"",IFERROR(MATCH(U4491,Fornecedores!$AF$1:$AF$6631,0),""))</f>
        <v/>
      </c>
      <c r="W4491" t="str">
        <f t="shared" si="3"/>
        <v/>
      </c>
      <c r="X4491" s="4" t="str">
        <f>IF(V4491="","",INDEX(Fornecedores!$X$1:$X$6631,V4491))</f>
        <v/>
      </c>
      <c r="Y4491" s="4" t="str">
        <f t="shared" si="4"/>
        <v/>
      </c>
    </row>
    <row r="4492" spans="19:25">
      <c r="S4492" t="str">
        <f t="shared" si="0"/>
        <v/>
      </c>
      <c r="T4492" t="str">
        <f t="shared" si="1"/>
        <v/>
      </c>
      <c r="U4492" t="str">
        <f t="shared" si="2"/>
        <v/>
      </c>
      <c r="V4492" t="str">
        <f>IF(OR(U4492="",U4492="ERRO_CHAVE"),"",IFERROR(MATCH(U4492,Fornecedores!$AF$1:$AF$6631,0),""))</f>
        <v/>
      </c>
      <c r="W4492" t="str">
        <f t="shared" si="3"/>
        <v/>
      </c>
      <c r="X4492" s="4" t="str">
        <f>IF(V4492="","",INDEX(Fornecedores!$X$1:$X$6631,V4492))</f>
        <v/>
      </c>
      <c r="Y4492" s="4" t="str">
        <f t="shared" si="4"/>
        <v/>
      </c>
    </row>
    <row r="4493" spans="19:25">
      <c r="S4493" t="str">
        <f t="shared" si="0"/>
        <v/>
      </c>
      <c r="T4493" t="str">
        <f t="shared" si="1"/>
        <v/>
      </c>
      <c r="U4493" t="str">
        <f t="shared" si="2"/>
        <v/>
      </c>
      <c r="V4493" t="str">
        <f>IF(OR(U4493="",U4493="ERRO_CHAVE"),"",IFERROR(MATCH(U4493,Fornecedores!$AF$1:$AF$6631,0),""))</f>
        <v/>
      </c>
      <c r="W4493" t="str">
        <f t="shared" si="3"/>
        <v/>
      </c>
      <c r="X4493" s="4" t="str">
        <f>IF(V4493="","",INDEX(Fornecedores!$X$1:$X$6631,V4493))</f>
        <v/>
      </c>
      <c r="Y4493" s="4" t="str">
        <f t="shared" si="4"/>
        <v/>
      </c>
    </row>
    <row r="4494" spans="19:25">
      <c r="S4494" t="str">
        <f t="shared" si="0"/>
        <v/>
      </c>
      <c r="T4494" t="str">
        <f t="shared" si="1"/>
        <v/>
      </c>
      <c r="U4494" t="str">
        <f t="shared" si="2"/>
        <v/>
      </c>
      <c r="V4494" t="str">
        <f>IF(OR(U4494="",U4494="ERRO_CHAVE"),"",IFERROR(MATCH(U4494,Fornecedores!$AF$1:$AF$6631,0),""))</f>
        <v/>
      </c>
      <c r="W4494" t="str">
        <f t="shared" si="3"/>
        <v/>
      </c>
      <c r="X4494" s="4" t="str">
        <f>IF(V4494="","",INDEX(Fornecedores!$X$1:$X$6631,V4494))</f>
        <v/>
      </c>
      <c r="Y4494" s="4" t="str">
        <f t="shared" si="4"/>
        <v/>
      </c>
    </row>
    <row r="4495" spans="19:25">
      <c r="S4495" t="str">
        <f t="shared" si="0"/>
        <v/>
      </c>
      <c r="T4495" t="str">
        <f t="shared" si="1"/>
        <v/>
      </c>
      <c r="U4495" t="str">
        <f t="shared" si="2"/>
        <v/>
      </c>
      <c r="V4495" t="str">
        <f>IF(OR(U4495="",U4495="ERRO_CHAVE"),"",IFERROR(MATCH(U4495,Fornecedores!$AF$1:$AF$6631,0),""))</f>
        <v/>
      </c>
      <c r="W4495" t="str">
        <f t="shared" si="3"/>
        <v/>
      </c>
      <c r="X4495" s="4" t="str">
        <f>IF(V4495="","",INDEX(Fornecedores!$X$1:$X$6631,V4495))</f>
        <v/>
      </c>
      <c r="Y4495" s="4" t="str">
        <f t="shared" si="4"/>
        <v/>
      </c>
    </row>
    <row r="4496" spans="19:25">
      <c r="S4496" t="str">
        <f t="shared" si="0"/>
        <v/>
      </c>
      <c r="T4496" t="str">
        <f t="shared" si="1"/>
        <v/>
      </c>
      <c r="U4496" t="str">
        <f t="shared" si="2"/>
        <v/>
      </c>
      <c r="V4496" t="str">
        <f>IF(OR(U4496="",U4496="ERRO_CHAVE"),"",IFERROR(MATCH(U4496,Fornecedores!$AF$1:$AF$6631,0),""))</f>
        <v/>
      </c>
      <c r="W4496" t="str">
        <f t="shared" si="3"/>
        <v/>
      </c>
      <c r="X4496" s="4" t="str">
        <f>IF(V4496="","",INDEX(Fornecedores!$X$1:$X$6631,V4496))</f>
        <v/>
      </c>
      <c r="Y4496" s="4" t="str">
        <f t="shared" si="4"/>
        <v/>
      </c>
    </row>
    <row r="4497" spans="19:25">
      <c r="S4497" t="str">
        <f t="shared" si="0"/>
        <v/>
      </c>
      <c r="T4497" t="str">
        <f t="shared" si="1"/>
        <v/>
      </c>
      <c r="U4497" t="str">
        <f t="shared" si="2"/>
        <v/>
      </c>
      <c r="V4497" t="str">
        <f>IF(OR(U4497="",U4497="ERRO_CHAVE"),"",IFERROR(MATCH(U4497,Fornecedores!$AF$1:$AF$6631,0),""))</f>
        <v/>
      </c>
      <c r="W4497" t="str">
        <f t="shared" si="3"/>
        <v/>
      </c>
      <c r="X4497" s="4" t="str">
        <f>IF(V4497="","",INDEX(Fornecedores!$X$1:$X$6631,V4497))</f>
        <v/>
      </c>
      <c r="Y4497" s="4" t="str">
        <f t="shared" si="4"/>
        <v/>
      </c>
    </row>
    <row r="4498" spans="19:25">
      <c r="S4498" t="str">
        <f t="shared" si="0"/>
        <v/>
      </c>
      <c r="T4498" t="str">
        <f t="shared" si="1"/>
        <v/>
      </c>
      <c r="U4498" t="str">
        <f t="shared" si="2"/>
        <v/>
      </c>
      <c r="V4498" t="str">
        <f>IF(OR(U4498="",U4498="ERRO_CHAVE"),"",IFERROR(MATCH(U4498,Fornecedores!$AF$1:$AF$6631,0),""))</f>
        <v/>
      </c>
      <c r="W4498" t="str">
        <f t="shared" si="3"/>
        <v/>
      </c>
      <c r="X4498" s="4" t="str">
        <f>IF(V4498="","",INDEX(Fornecedores!$X$1:$X$6631,V4498))</f>
        <v/>
      </c>
      <c r="Y4498" s="4" t="str">
        <f t="shared" si="4"/>
        <v/>
      </c>
    </row>
    <row r="4499" spans="19:25">
      <c r="S4499" t="str">
        <f t="shared" si="0"/>
        <v/>
      </c>
      <c r="T4499" t="str">
        <f t="shared" si="1"/>
        <v/>
      </c>
      <c r="U4499" t="str">
        <f t="shared" si="2"/>
        <v/>
      </c>
      <c r="V4499" t="str">
        <f>IF(OR(U4499="",U4499="ERRO_CHAVE"),"",IFERROR(MATCH(U4499,Fornecedores!$AF$1:$AF$6631,0),""))</f>
        <v/>
      </c>
      <c r="W4499" t="str">
        <f t="shared" si="3"/>
        <v/>
      </c>
      <c r="X4499" s="4" t="str">
        <f>IF(V4499="","",INDEX(Fornecedores!$X$1:$X$6631,V4499))</f>
        <v/>
      </c>
      <c r="Y4499" s="4" t="str">
        <f t="shared" si="4"/>
        <v/>
      </c>
    </row>
    <row r="4500" spans="19:25">
      <c r="S4500" t="str">
        <f t="shared" si="0"/>
        <v/>
      </c>
      <c r="T4500" t="str">
        <f t="shared" si="1"/>
        <v/>
      </c>
      <c r="U4500" t="str">
        <f t="shared" si="2"/>
        <v/>
      </c>
      <c r="V4500" t="str">
        <f>IF(OR(U4500="",U4500="ERRO_CHAVE"),"",IFERROR(MATCH(U4500,Fornecedores!$AF$1:$AF$6631,0),""))</f>
        <v/>
      </c>
      <c r="W4500" t="str">
        <f t="shared" si="3"/>
        <v/>
      </c>
      <c r="X4500" s="4" t="str">
        <f>IF(V4500="","",INDEX(Fornecedores!$X$1:$X$6631,V4500))</f>
        <v/>
      </c>
      <c r="Y4500" s="4" t="str">
        <f t="shared" si="4"/>
        <v/>
      </c>
    </row>
    <row r="4501" spans="19:25">
      <c r="S4501" t="str">
        <f t="shared" si="0"/>
        <v/>
      </c>
      <c r="T4501" t="str">
        <f t="shared" si="1"/>
        <v/>
      </c>
      <c r="U4501" t="str">
        <f t="shared" si="2"/>
        <v/>
      </c>
      <c r="V4501" t="str">
        <f>IF(OR(U4501="",U4501="ERRO_CHAVE"),"",IFERROR(MATCH(U4501,Fornecedores!$AF$1:$AF$6631,0),""))</f>
        <v/>
      </c>
      <c r="W4501" t="str">
        <f t="shared" si="3"/>
        <v/>
      </c>
      <c r="X4501" s="4" t="str">
        <f>IF(V4501="","",INDEX(Fornecedores!$X$1:$X$6631,V4501))</f>
        <v/>
      </c>
      <c r="Y4501" s="4" t="str">
        <f t="shared" si="4"/>
        <v/>
      </c>
    </row>
    <row r="4502" spans="19:25">
      <c r="S4502" t="str">
        <f t="shared" si="0"/>
        <v/>
      </c>
      <c r="T4502" t="str">
        <f t="shared" si="1"/>
        <v/>
      </c>
      <c r="U4502" t="str">
        <f t="shared" si="2"/>
        <v/>
      </c>
      <c r="V4502" t="str">
        <f>IF(OR(U4502="",U4502="ERRO_CHAVE"),"",IFERROR(MATCH(U4502,Fornecedores!$AF$1:$AF$6631,0),""))</f>
        <v/>
      </c>
      <c r="W4502" t="str">
        <f t="shared" si="3"/>
        <v/>
      </c>
      <c r="X4502" s="4" t="str">
        <f>IF(V4502="","",INDEX(Fornecedores!$X$1:$X$6631,V4502))</f>
        <v/>
      </c>
      <c r="Y4502" s="4" t="str">
        <f t="shared" si="4"/>
        <v/>
      </c>
    </row>
    <row r="4503" spans="19:25">
      <c r="S4503" t="str">
        <f t="shared" si="0"/>
        <v/>
      </c>
      <c r="T4503" t="str">
        <f t="shared" si="1"/>
        <v/>
      </c>
      <c r="U4503" t="str">
        <f t="shared" si="2"/>
        <v/>
      </c>
      <c r="V4503" t="str">
        <f>IF(OR(U4503="",U4503="ERRO_CHAVE"),"",IFERROR(MATCH(U4503,Fornecedores!$AF$1:$AF$6631,0),""))</f>
        <v/>
      </c>
      <c r="W4503" t="str">
        <f t="shared" si="3"/>
        <v/>
      </c>
      <c r="X4503" s="4" t="str">
        <f>IF(V4503="","",INDEX(Fornecedores!$X$1:$X$6631,V4503))</f>
        <v/>
      </c>
      <c r="Y4503" s="4" t="str">
        <f t="shared" si="4"/>
        <v/>
      </c>
    </row>
    <row r="4504" spans="19:25">
      <c r="S4504" t="str">
        <f t="shared" si="0"/>
        <v/>
      </c>
      <c r="T4504" t="str">
        <f t="shared" si="1"/>
        <v/>
      </c>
      <c r="U4504" t="str">
        <f t="shared" si="2"/>
        <v/>
      </c>
      <c r="V4504" t="str">
        <f>IF(OR(U4504="",U4504="ERRO_CHAVE"),"",IFERROR(MATCH(U4504,Fornecedores!$AF$1:$AF$6631,0),""))</f>
        <v/>
      </c>
      <c r="W4504" t="str">
        <f t="shared" si="3"/>
        <v/>
      </c>
      <c r="X4504" s="4" t="str">
        <f>IF(V4504="","",INDEX(Fornecedores!$X$1:$X$6631,V4504))</f>
        <v/>
      </c>
      <c r="Y4504" s="4" t="str">
        <f t="shared" si="4"/>
        <v/>
      </c>
    </row>
    <row r="4505" spans="19:25">
      <c r="S4505" t="str">
        <f t="shared" si="0"/>
        <v/>
      </c>
      <c r="T4505" t="str">
        <f t="shared" si="1"/>
        <v/>
      </c>
      <c r="U4505" t="str">
        <f t="shared" si="2"/>
        <v/>
      </c>
      <c r="V4505" t="str">
        <f>IF(OR(U4505="",U4505="ERRO_CHAVE"),"",IFERROR(MATCH(U4505,Fornecedores!$AF$1:$AF$6631,0),""))</f>
        <v/>
      </c>
      <c r="W4505" t="str">
        <f t="shared" si="3"/>
        <v/>
      </c>
      <c r="X4505" s="4" t="str">
        <f>IF(V4505="","",INDEX(Fornecedores!$X$1:$X$6631,V4505))</f>
        <v/>
      </c>
      <c r="Y4505" s="4" t="str">
        <f t="shared" si="4"/>
        <v/>
      </c>
    </row>
    <row r="4506" spans="19:25">
      <c r="S4506" t="str">
        <f t="shared" si="0"/>
        <v/>
      </c>
      <c r="T4506" t="str">
        <f t="shared" si="1"/>
        <v/>
      </c>
      <c r="U4506" t="str">
        <f t="shared" si="2"/>
        <v/>
      </c>
      <c r="V4506" t="str">
        <f>IF(OR(U4506="",U4506="ERRO_CHAVE"),"",IFERROR(MATCH(U4506,Fornecedores!$AF$1:$AF$6631,0),""))</f>
        <v/>
      </c>
      <c r="W4506" t="str">
        <f t="shared" si="3"/>
        <v/>
      </c>
      <c r="X4506" s="4" t="str">
        <f>IF(V4506="","",INDEX(Fornecedores!$X$1:$X$6631,V4506))</f>
        <v/>
      </c>
      <c r="Y4506" s="4" t="str">
        <f t="shared" si="4"/>
        <v/>
      </c>
    </row>
    <row r="4507" spans="19:25">
      <c r="S4507" t="str">
        <f t="shared" si="0"/>
        <v/>
      </c>
      <c r="T4507" t="str">
        <f t="shared" si="1"/>
        <v/>
      </c>
      <c r="U4507" t="str">
        <f t="shared" si="2"/>
        <v/>
      </c>
      <c r="V4507" t="str">
        <f>IF(OR(U4507="",U4507="ERRO_CHAVE"),"",IFERROR(MATCH(U4507,Fornecedores!$AF$1:$AF$6631,0),""))</f>
        <v/>
      </c>
      <c r="W4507" t="str">
        <f t="shared" si="3"/>
        <v/>
      </c>
      <c r="X4507" s="4" t="str">
        <f>IF(V4507="","",INDEX(Fornecedores!$X$1:$X$6631,V4507))</f>
        <v/>
      </c>
      <c r="Y4507" s="4" t="str">
        <f t="shared" si="4"/>
        <v/>
      </c>
    </row>
    <row r="4508" spans="19:25">
      <c r="S4508" t="str">
        <f t="shared" si="0"/>
        <v/>
      </c>
      <c r="T4508" t="str">
        <f t="shared" si="1"/>
        <v/>
      </c>
      <c r="U4508" t="str">
        <f t="shared" si="2"/>
        <v/>
      </c>
      <c r="V4508" t="str">
        <f>IF(OR(U4508="",U4508="ERRO_CHAVE"),"",IFERROR(MATCH(U4508,Fornecedores!$AF$1:$AF$6631,0),""))</f>
        <v/>
      </c>
      <c r="W4508" t="str">
        <f t="shared" si="3"/>
        <v/>
      </c>
      <c r="X4508" s="4" t="str">
        <f>IF(V4508="","",INDEX(Fornecedores!$X$1:$X$6631,V4508))</f>
        <v/>
      </c>
      <c r="Y4508" s="4" t="str">
        <f t="shared" si="4"/>
        <v/>
      </c>
    </row>
    <row r="4509" spans="19:25">
      <c r="S4509" t="str">
        <f t="shared" si="0"/>
        <v/>
      </c>
      <c r="T4509" t="str">
        <f t="shared" si="1"/>
        <v/>
      </c>
      <c r="U4509" t="str">
        <f t="shared" si="2"/>
        <v/>
      </c>
      <c r="V4509" t="str">
        <f>IF(OR(U4509="",U4509="ERRO_CHAVE"),"",IFERROR(MATCH(U4509,Fornecedores!$AF$1:$AF$6631,0),""))</f>
        <v/>
      </c>
      <c r="W4509" t="str">
        <f t="shared" si="3"/>
        <v/>
      </c>
      <c r="X4509" s="4" t="str">
        <f>IF(V4509="","",INDEX(Fornecedores!$X$1:$X$6631,V4509))</f>
        <v/>
      </c>
      <c r="Y4509" s="4" t="str">
        <f t="shared" si="4"/>
        <v/>
      </c>
    </row>
    <row r="4510" spans="19:25">
      <c r="S4510" t="str">
        <f t="shared" si="0"/>
        <v/>
      </c>
      <c r="T4510" t="str">
        <f t="shared" si="1"/>
        <v/>
      </c>
      <c r="U4510" t="str">
        <f t="shared" si="2"/>
        <v/>
      </c>
      <c r="V4510" t="str">
        <f>IF(OR(U4510="",U4510="ERRO_CHAVE"),"",IFERROR(MATCH(U4510,Fornecedores!$AF$1:$AF$6631,0),""))</f>
        <v/>
      </c>
      <c r="W4510" t="str">
        <f t="shared" si="3"/>
        <v/>
      </c>
      <c r="X4510" s="4" t="str">
        <f>IF(V4510="","",INDEX(Fornecedores!$X$1:$X$6631,V4510))</f>
        <v/>
      </c>
      <c r="Y4510" s="4" t="str">
        <f t="shared" si="4"/>
        <v/>
      </c>
    </row>
    <row r="4511" spans="19:25">
      <c r="S4511" t="str">
        <f t="shared" si="0"/>
        <v/>
      </c>
      <c r="T4511" t="str">
        <f t="shared" si="1"/>
        <v/>
      </c>
      <c r="U4511" t="str">
        <f t="shared" si="2"/>
        <v/>
      </c>
      <c r="V4511" t="str">
        <f>IF(OR(U4511="",U4511="ERRO_CHAVE"),"",IFERROR(MATCH(U4511,Fornecedores!$AF$1:$AF$6631,0),""))</f>
        <v/>
      </c>
      <c r="W4511" t="str">
        <f t="shared" si="3"/>
        <v/>
      </c>
      <c r="X4511" s="4" t="str">
        <f>IF(V4511="","",INDEX(Fornecedores!$X$1:$X$6631,V4511))</f>
        <v/>
      </c>
      <c r="Y4511" s="4" t="str">
        <f t="shared" si="4"/>
        <v/>
      </c>
    </row>
    <row r="4512" spans="19:25">
      <c r="S4512" t="str">
        <f t="shared" si="0"/>
        <v/>
      </c>
      <c r="T4512" t="str">
        <f t="shared" si="1"/>
        <v/>
      </c>
      <c r="U4512" t="str">
        <f t="shared" si="2"/>
        <v/>
      </c>
      <c r="V4512" t="str">
        <f>IF(OR(U4512="",U4512="ERRO_CHAVE"),"",IFERROR(MATCH(U4512,Fornecedores!$AF$1:$AF$6631,0),""))</f>
        <v/>
      </c>
      <c r="W4512" t="str">
        <f t="shared" si="3"/>
        <v/>
      </c>
      <c r="X4512" s="4" t="str">
        <f>IF(V4512="","",INDEX(Fornecedores!$X$1:$X$6631,V4512))</f>
        <v/>
      </c>
      <c r="Y4512" s="4" t="str">
        <f t="shared" si="4"/>
        <v/>
      </c>
    </row>
    <row r="4513" spans="19:25">
      <c r="S4513" t="str">
        <f t="shared" si="0"/>
        <v/>
      </c>
      <c r="T4513" t="str">
        <f t="shared" si="1"/>
        <v/>
      </c>
      <c r="U4513" t="str">
        <f t="shared" si="2"/>
        <v/>
      </c>
      <c r="V4513" t="str">
        <f>IF(OR(U4513="",U4513="ERRO_CHAVE"),"",IFERROR(MATCH(U4513,Fornecedores!$AF$1:$AF$6631,0),""))</f>
        <v/>
      </c>
      <c r="W4513" t="str">
        <f t="shared" si="3"/>
        <v/>
      </c>
      <c r="X4513" s="4" t="str">
        <f>IF(V4513="","",INDEX(Fornecedores!$X$1:$X$6631,V4513))</f>
        <v/>
      </c>
      <c r="Y4513" s="4" t="str">
        <f t="shared" si="4"/>
        <v/>
      </c>
    </row>
    <row r="4514" spans="19:25">
      <c r="S4514" t="str">
        <f t="shared" si="0"/>
        <v/>
      </c>
      <c r="T4514" t="str">
        <f t="shared" si="1"/>
        <v/>
      </c>
      <c r="U4514" t="str">
        <f t="shared" si="2"/>
        <v/>
      </c>
      <c r="V4514" t="str">
        <f>IF(OR(U4514="",U4514="ERRO_CHAVE"),"",IFERROR(MATCH(U4514,Fornecedores!$AF$1:$AF$6631,0),""))</f>
        <v/>
      </c>
      <c r="W4514" t="str">
        <f t="shared" si="3"/>
        <v/>
      </c>
      <c r="X4514" s="4" t="str">
        <f>IF(V4514="","",INDEX(Fornecedores!$X$1:$X$6631,V4514))</f>
        <v/>
      </c>
      <c r="Y4514" s="4" t="str">
        <f t="shared" si="4"/>
        <v/>
      </c>
    </row>
    <row r="4515" spans="19:25">
      <c r="S4515" t="str">
        <f t="shared" si="0"/>
        <v/>
      </c>
      <c r="T4515" t="str">
        <f t="shared" si="1"/>
        <v/>
      </c>
      <c r="U4515" t="str">
        <f t="shared" si="2"/>
        <v/>
      </c>
      <c r="V4515" t="str">
        <f>IF(OR(U4515="",U4515="ERRO_CHAVE"),"",IFERROR(MATCH(U4515,Fornecedores!$AF$1:$AF$6631,0),""))</f>
        <v/>
      </c>
      <c r="W4515" t="str">
        <f t="shared" si="3"/>
        <v/>
      </c>
      <c r="X4515" s="4" t="str">
        <f>IF(V4515="","",INDEX(Fornecedores!$X$1:$X$6631,V4515))</f>
        <v/>
      </c>
      <c r="Y4515" s="4" t="str">
        <f t="shared" si="4"/>
        <v/>
      </c>
    </row>
    <row r="4516" spans="19:25">
      <c r="S4516" t="str">
        <f t="shared" si="0"/>
        <v/>
      </c>
      <c r="T4516" t="str">
        <f t="shared" si="1"/>
        <v/>
      </c>
      <c r="U4516" t="str">
        <f t="shared" si="2"/>
        <v/>
      </c>
      <c r="V4516" t="str">
        <f>IF(OR(U4516="",U4516="ERRO_CHAVE"),"",IFERROR(MATCH(U4516,Fornecedores!$AF$1:$AF$6631,0),""))</f>
        <v/>
      </c>
      <c r="W4516" t="str">
        <f t="shared" si="3"/>
        <v/>
      </c>
      <c r="X4516" s="4" t="str">
        <f>IF(V4516="","",INDEX(Fornecedores!$X$1:$X$6631,V4516))</f>
        <v/>
      </c>
      <c r="Y4516" s="4" t="str">
        <f t="shared" si="4"/>
        <v/>
      </c>
    </row>
    <row r="4517" spans="19:25">
      <c r="S4517" t="str">
        <f t="shared" si="0"/>
        <v/>
      </c>
      <c r="T4517" t="str">
        <f t="shared" si="1"/>
        <v/>
      </c>
      <c r="U4517" t="str">
        <f t="shared" si="2"/>
        <v/>
      </c>
      <c r="V4517" t="str">
        <f>IF(OR(U4517="",U4517="ERRO_CHAVE"),"",IFERROR(MATCH(U4517,Fornecedores!$AF$1:$AF$6631,0),""))</f>
        <v/>
      </c>
      <c r="W4517" t="str">
        <f t="shared" si="3"/>
        <v/>
      </c>
      <c r="X4517" s="4" t="str">
        <f>IF(V4517="","",INDEX(Fornecedores!$X$1:$X$6631,V4517))</f>
        <v/>
      </c>
      <c r="Y4517" s="4" t="str">
        <f t="shared" si="4"/>
        <v/>
      </c>
    </row>
    <row r="4518" spans="19:25">
      <c r="S4518" t="str">
        <f t="shared" si="0"/>
        <v/>
      </c>
      <c r="T4518" t="str">
        <f t="shared" si="1"/>
        <v/>
      </c>
      <c r="U4518" t="str">
        <f t="shared" si="2"/>
        <v/>
      </c>
      <c r="V4518" t="str">
        <f>IF(OR(U4518="",U4518="ERRO_CHAVE"),"",IFERROR(MATCH(U4518,Fornecedores!$AF$1:$AF$6631,0),""))</f>
        <v/>
      </c>
      <c r="W4518" t="str">
        <f t="shared" si="3"/>
        <v/>
      </c>
      <c r="X4518" s="4" t="str">
        <f>IF(V4518="","",INDEX(Fornecedores!$X$1:$X$6631,V4518))</f>
        <v/>
      </c>
      <c r="Y4518" s="4" t="str">
        <f t="shared" si="4"/>
        <v/>
      </c>
    </row>
    <row r="4519" spans="19:25">
      <c r="S4519" t="str">
        <f t="shared" si="0"/>
        <v/>
      </c>
      <c r="T4519" t="str">
        <f t="shared" si="1"/>
        <v/>
      </c>
      <c r="U4519" t="str">
        <f t="shared" si="2"/>
        <v/>
      </c>
      <c r="V4519" t="str">
        <f>IF(OR(U4519="",U4519="ERRO_CHAVE"),"",IFERROR(MATCH(U4519,Fornecedores!$AF$1:$AF$6631,0),""))</f>
        <v/>
      </c>
      <c r="W4519" t="str">
        <f t="shared" si="3"/>
        <v/>
      </c>
      <c r="X4519" s="4" t="str">
        <f>IF(V4519="","",INDEX(Fornecedores!$X$1:$X$6631,V4519))</f>
        <v/>
      </c>
      <c r="Y4519" s="4" t="str">
        <f t="shared" si="4"/>
        <v/>
      </c>
    </row>
    <row r="4520" spans="19:25">
      <c r="S4520" t="str">
        <f t="shared" si="0"/>
        <v/>
      </c>
      <c r="T4520" t="str">
        <f t="shared" si="1"/>
        <v/>
      </c>
      <c r="U4520" t="str">
        <f t="shared" si="2"/>
        <v/>
      </c>
      <c r="V4520" t="str">
        <f>IF(OR(U4520="",U4520="ERRO_CHAVE"),"",IFERROR(MATCH(U4520,Fornecedores!$AF$1:$AF$6631,0),""))</f>
        <v/>
      </c>
      <c r="W4520" t="str">
        <f t="shared" si="3"/>
        <v/>
      </c>
      <c r="X4520" s="4" t="str">
        <f>IF(V4520="","",INDEX(Fornecedores!$X$1:$X$6631,V4520))</f>
        <v/>
      </c>
      <c r="Y4520" s="4" t="str">
        <f t="shared" si="4"/>
        <v/>
      </c>
    </row>
    <row r="4521" spans="19:25">
      <c r="S4521" t="str">
        <f t="shared" si="0"/>
        <v/>
      </c>
      <c r="T4521" t="str">
        <f t="shared" si="1"/>
        <v/>
      </c>
      <c r="U4521" t="str">
        <f t="shared" si="2"/>
        <v/>
      </c>
      <c r="V4521" t="str">
        <f>IF(OR(U4521="",U4521="ERRO_CHAVE"),"",IFERROR(MATCH(U4521,Fornecedores!$AF$1:$AF$6631,0),""))</f>
        <v/>
      </c>
      <c r="W4521" t="str">
        <f t="shared" si="3"/>
        <v/>
      </c>
      <c r="X4521" s="4" t="str">
        <f>IF(V4521="","",INDEX(Fornecedores!$X$1:$X$6631,V4521))</f>
        <v/>
      </c>
      <c r="Y4521" s="4" t="str">
        <f t="shared" si="4"/>
        <v/>
      </c>
    </row>
    <row r="4522" spans="19:25">
      <c r="S4522" t="str">
        <f t="shared" si="0"/>
        <v/>
      </c>
      <c r="T4522" t="str">
        <f t="shared" si="1"/>
        <v/>
      </c>
      <c r="U4522" t="str">
        <f t="shared" si="2"/>
        <v/>
      </c>
      <c r="V4522" t="str">
        <f>IF(OR(U4522="",U4522="ERRO_CHAVE"),"",IFERROR(MATCH(U4522,Fornecedores!$AF$1:$AF$6631,0),""))</f>
        <v/>
      </c>
      <c r="W4522" t="str">
        <f t="shared" si="3"/>
        <v/>
      </c>
      <c r="X4522" s="4" t="str">
        <f>IF(V4522="","",INDEX(Fornecedores!$X$1:$X$6631,V4522))</f>
        <v/>
      </c>
      <c r="Y4522" s="4" t="str">
        <f t="shared" si="4"/>
        <v/>
      </c>
    </row>
    <row r="4523" spans="19:25">
      <c r="S4523" t="str">
        <f t="shared" si="0"/>
        <v/>
      </c>
      <c r="T4523" t="str">
        <f t="shared" si="1"/>
        <v/>
      </c>
      <c r="U4523" t="str">
        <f t="shared" si="2"/>
        <v/>
      </c>
      <c r="V4523" t="str">
        <f>IF(OR(U4523="",U4523="ERRO_CHAVE"),"",IFERROR(MATCH(U4523,Fornecedores!$AF$1:$AF$6631,0),""))</f>
        <v/>
      </c>
      <c r="W4523" t="str">
        <f t="shared" si="3"/>
        <v/>
      </c>
      <c r="X4523" s="4" t="str">
        <f>IF(V4523="","",INDEX(Fornecedores!$X$1:$X$6631,V4523))</f>
        <v/>
      </c>
      <c r="Y4523" s="4" t="str">
        <f t="shared" si="4"/>
        <v/>
      </c>
    </row>
    <row r="4524" spans="19:25">
      <c r="S4524" t="str">
        <f t="shared" si="0"/>
        <v/>
      </c>
      <c r="T4524" t="str">
        <f t="shared" si="1"/>
        <v/>
      </c>
      <c r="U4524" t="str">
        <f t="shared" si="2"/>
        <v/>
      </c>
      <c r="V4524" t="str">
        <f>IF(OR(U4524="",U4524="ERRO_CHAVE"),"",IFERROR(MATCH(U4524,Fornecedores!$AF$1:$AF$6631,0),""))</f>
        <v/>
      </c>
      <c r="W4524" t="str">
        <f t="shared" si="3"/>
        <v/>
      </c>
      <c r="X4524" s="4" t="str">
        <f>IF(V4524="","",INDEX(Fornecedores!$X$1:$X$6631,V4524))</f>
        <v/>
      </c>
      <c r="Y4524" s="4" t="str">
        <f t="shared" si="4"/>
        <v/>
      </c>
    </row>
    <row r="4525" spans="19:25">
      <c r="S4525" t="str">
        <f t="shared" si="0"/>
        <v/>
      </c>
      <c r="T4525" t="str">
        <f t="shared" si="1"/>
        <v/>
      </c>
      <c r="U4525" t="str">
        <f t="shared" si="2"/>
        <v/>
      </c>
      <c r="V4525" t="str">
        <f>IF(OR(U4525="",U4525="ERRO_CHAVE"),"",IFERROR(MATCH(U4525,Fornecedores!$AF$1:$AF$6631,0),""))</f>
        <v/>
      </c>
      <c r="W4525" t="str">
        <f t="shared" si="3"/>
        <v/>
      </c>
      <c r="X4525" s="4" t="str">
        <f>IF(V4525="","",INDEX(Fornecedores!$X$1:$X$6631,V4525))</f>
        <v/>
      </c>
      <c r="Y4525" s="4" t="str">
        <f t="shared" si="4"/>
        <v/>
      </c>
    </row>
    <row r="4526" spans="19:25">
      <c r="S4526" t="str">
        <f t="shared" si="0"/>
        <v/>
      </c>
      <c r="T4526" t="str">
        <f t="shared" si="1"/>
        <v/>
      </c>
      <c r="U4526" t="str">
        <f t="shared" si="2"/>
        <v/>
      </c>
      <c r="V4526" t="str">
        <f>IF(OR(U4526="",U4526="ERRO_CHAVE"),"",IFERROR(MATCH(U4526,Fornecedores!$AF$1:$AF$6631,0),""))</f>
        <v/>
      </c>
      <c r="W4526" t="str">
        <f t="shared" si="3"/>
        <v/>
      </c>
      <c r="X4526" s="4" t="str">
        <f>IF(V4526="","",INDEX(Fornecedores!$X$1:$X$6631,V4526))</f>
        <v/>
      </c>
      <c r="Y4526" s="4" t="str">
        <f t="shared" si="4"/>
        <v/>
      </c>
    </row>
    <row r="4527" spans="19:25">
      <c r="S4527" t="str">
        <f t="shared" si="0"/>
        <v/>
      </c>
      <c r="T4527" t="str">
        <f t="shared" si="1"/>
        <v/>
      </c>
      <c r="U4527" t="str">
        <f t="shared" si="2"/>
        <v/>
      </c>
      <c r="V4527" t="str">
        <f>IF(OR(U4527="",U4527="ERRO_CHAVE"),"",IFERROR(MATCH(U4527,Fornecedores!$AF$1:$AF$6631,0),""))</f>
        <v/>
      </c>
      <c r="W4527" t="str">
        <f t="shared" si="3"/>
        <v/>
      </c>
      <c r="X4527" s="4" t="str">
        <f>IF(V4527="","",INDEX(Fornecedores!$X$1:$X$6631,V4527))</f>
        <v/>
      </c>
      <c r="Y4527" s="4" t="str">
        <f t="shared" si="4"/>
        <v/>
      </c>
    </row>
    <row r="4528" spans="19:25">
      <c r="S4528" t="str">
        <f t="shared" si="0"/>
        <v/>
      </c>
      <c r="T4528" t="str">
        <f t="shared" si="1"/>
        <v/>
      </c>
      <c r="U4528" t="str">
        <f t="shared" si="2"/>
        <v/>
      </c>
      <c r="V4528" t="str">
        <f>IF(OR(U4528="",U4528="ERRO_CHAVE"),"",IFERROR(MATCH(U4528,Fornecedores!$AF$1:$AF$6631,0),""))</f>
        <v/>
      </c>
      <c r="W4528" t="str">
        <f t="shared" si="3"/>
        <v/>
      </c>
      <c r="X4528" s="4" t="str">
        <f>IF(V4528="","",INDEX(Fornecedores!$X$1:$X$6631,V4528))</f>
        <v/>
      </c>
      <c r="Y4528" s="4" t="str">
        <f t="shared" si="4"/>
        <v/>
      </c>
    </row>
    <row r="4529" spans="19:25">
      <c r="S4529" t="str">
        <f t="shared" si="0"/>
        <v/>
      </c>
      <c r="T4529" t="str">
        <f t="shared" si="1"/>
        <v/>
      </c>
      <c r="U4529" t="str">
        <f t="shared" si="2"/>
        <v/>
      </c>
      <c r="V4529" t="str">
        <f>IF(OR(U4529="",U4529="ERRO_CHAVE"),"",IFERROR(MATCH(U4529,Fornecedores!$AF$1:$AF$6631,0),""))</f>
        <v/>
      </c>
      <c r="W4529" t="str">
        <f t="shared" si="3"/>
        <v/>
      </c>
      <c r="X4529" s="4" t="str">
        <f>IF(V4529="","",INDEX(Fornecedores!$X$1:$X$6631,V4529))</f>
        <v/>
      </c>
      <c r="Y4529" s="4" t="str">
        <f t="shared" si="4"/>
        <v/>
      </c>
    </row>
    <row r="4530" spans="19:25">
      <c r="S4530" t="str">
        <f t="shared" si="0"/>
        <v/>
      </c>
      <c r="T4530" t="str">
        <f t="shared" si="1"/>
        <v/>
      </c>
      <c r="U4530" t="str">
        <f t="shared" si="2"/>
        <v/>
      </c>
      <c r="V4530" t="str">
        <f>IF(OR(U4530="",U4530="ERRO_CHAVE"),"",IFERROR(MATCH(U4530,Fornecedores!$AF$1:$AF$6631,0),""))</f>
        <v/>
      </c>
      <c r="W4530" t="str">
        <f t="shared" si="3"/>
        <v/>
      </c>
      <c r="X4530" s="4" t="str">
        <f>IF(V4530="","",INDEX(Fornecedores!$X$1:$X$6631,V4530))</f>
        <v/>
      </c>
      <c r="Y4530" s="4" t="str">
        <f t="shared" si="4"/>
        <v/>
      </c>
    </row>
    <row r="4531" spans="19:25">
      <c r="S4531" t="str">
        <f t="shared" si="0"/>
        <v/>
      </c>
      <c r="T4531" t="str">
        <f t="shared" si="1"/>
        <v/>
      </c>
      <c r="U4531" t="str">
        <f t="shared" si="2"/>
        <v/>
      </c>
      <c r="V4531" t="str">
        <f>IF(OR(U4531="",U4531="ERRO_CHAVE"),"",IFERROR(MATCH(U4531,Fornecedores!$AF$1:$AF$6631,0),""))</f>
        <v/>
      </c>
      <c r="W4531" t="str">
        <f t="shared" si="3"/>
        <v/>
      </c>
      <c r="X4531" s="4" t="str">
        <f>IF(V4531="","",INDEX(Fornecedores!$X$1:$X$6631,V4531))</f>
        <v/>
      </c>
      <c r="Y4531" s="4" t="str">
        <f t="shared" si="4"/>
        <v/>
      </c>
    </row>
    <row r="4532" spans="19:25">
      <c r="S4532" t="str">
        <f t="shared" si="0"/>
        <v/>
      </c>
      <c r="T4532" t="str">
        <f t="shared" si="1"/>
        <v/>
      </c>
      <c r="U4532" t="str">
        <f t="shared" si="2"/>
        <v/>
      </c>
      <c r="V4532" t="str">
        <f>IF(OR(U4532="",U4532="ERRO_CHAVE"),"",IFERROR(MATCH(U4532,Fornecedores!$AF$1:$AF$6631,0),""))</f>
        <v/>
      </c>
      <c r="W4532" t="str">
        <f t="shared" si="3"/>
        <v/>
      </c>
      <c r="X4532" s="4" t="str">
        <f>IF(V4532="","",INDEX(Fornecedores!$X$1:$X$6631,V4532))</f>
        <v/>
      </c>
      <c r="Y4532" s="4" t="str">
        <f t="shared" si="4"/>
        <v/>
      </c>
    </row>
    <row r="4533" spans="19:25">
      <c r="S4533" t="str">
        <f t="shared" si="0"/>
        <v/>
      </c>
      <c r="T4533" t="str">
        <f t="shared" si="1"/>
        <v/>
      </c>
      <c r="U4533" t="str">
        <f t="shared" si="2"/>
        <v/>
      </c>
      <c r="V4533" t="str">
        <f>IF(OR(U4533="",U4533="ERRO_CHAVE"),"",IFERROR(MATCH(U4533,Fornecedores!$AF$1:$AF$6631,0),""))</f>
        <v/>
      </c>
      <c r="W4533" t="str">
        <f t="shared" si="3"/>
        <v/>
      </c>
      <c r="X4533" s="4" t="str">
        <f>IF(V4533="","",INDEX(Fornecedores!$X$1:$X$6631,V4533))</f>
        <v/>
      </c>
      <c r="Y4533" s="4" t="str">
        <f t="shared" si="4"/>
        <v/>
      </c>
    </row>
    <row r="4534" spans="19:25">
      <c r="S4534" t="str">
        <f t="shared" si="0"/>
        <v/>
      </c>
      <c r="T4534" t="str">
        <f t="shared" si="1"/>
        <v/>
      </c>
      <c r="U4534" t="str">
        <f t="shared" si="2"/>
        <v/>
      </c>
      <c r="V4534" t="str">
        <f>IF(OR(U4534="",U4534="ERRO_CHAVE"),"",IFERROR(MATCH(U4534,Fornecedores!$AF$1:$AF$6631,0),""))</f>
        <v/>
      </c>
      <c r="W4534" t="str">
        <f t="shared" si="3"/>
        <v/>
      </c>
      <c r="X4534" s="4" t="str">
        <f>IF(V4534="","",INDEX(Fornecedores!$X$1:$X$6631,V4534))</f>
        <v/>
      </c>
      <c r="Y4534" s="4" t="str">
        <f t="shared" si="4"/>
        <v/>
      </c>
    </row>
    <row r="4535" spans="19:25">
      <c r="S4535" t="str">
        <f t="shared" si="0"/>
        <v/>
      </c>
      <c r="T4535" t="str">
        <f t="shared" si="1"/>
        <v/>
      </c>
      <c r="U4535" t="str">
        <f t="shared" si="2"/>
        <v/>
      </c>
      <c r="V4535" t="str">
        <f>IF(OR(U4535="",U4535="ERRO_CHAVE"),"",IFERROR(MATCH(U4535,Fornecedores!$AF$1:$AF$6631,0),""))</f>
        <v/>
      </c>
      <c r="W4535" t="str">
        <f t="shared" si="3"/>
        <v/>
      </c>
      <c r="X4535" s="4" t="str">
        <f>IF(V4535="","",INDEX(Fornecedores!$X$1:$X$6631,V4535))</f>
        <v/>
      </c>
      <c r="Y4535" s="4" t="str">
        <f t="shared" si="4"/>
        <v/>
      </c>
    </row>
    <row r="4536" spans="19:25">
      <c r="S4536" t="str">
        <f t="shared" si="0"/>
        <v/>
      </c>
      <c r="T4536" t="str">
        <f t="shared" si="1"/>
        <v/>
      </c>
      <c r="U4536" t="str">
        <f t="shared" si="2"/>
        <v/>
      </c>
      <c r="V4536" t="str">
        <f>IF(OR(U4536="",U4536="ERRO_CHAVE"),"",IFERROR(MATCH(U4536,Fornecedores!$AF$1:$AF$6631,0),""))</f>
        <v/>
      </c>
      <c r="W4536" t="str">
        <f t="shared" si="3"/>
        <v/>
      </c>
      <c r="X4536" s="4" t="str">
        <f>IF(V4536="","",INDEX(Fornecedores!$X$1:$X$6631,V4536))</f>
        <v/>
      </c>
      <c r="Y4536" s="4" t="str">
        <f t="shared" si="4"/>
        <v/>
      </c>
    </row>
    <row r="4537" spans="19:25">
      <c r="S4537" t="str">
        <f t="shared" si="0"/>
        <v/>
      </c>
      <c r="T4537" t="str">
        <f t="shared" si="1"/>
        <v/>
      </c>
      <c r="U4537" t="str">
        <f t="shared" si="2"/>
        <v/>
      </c>
      <c r="V4537" t="str">
        <f>IF(OR(U4537="",U4537="ERRO_CHAVE"),"",IFERROR(MATCH(U4537,Fornecedores!$AF$1:$AF$6631,0),""))</f>
        <v/>
      </c>
      <c r="W4537" t="str">
        <f t="shared" si="3"/>
        <v/>
      </c>
      <c r="X4537" s="4" t="str">
        <f>IF(V4537="","",INDEX(Fornecedores!$X$1:$X$6631,V4537))</f>
        <v/>
      </c>
      <c r="Y4537" s="4" t="str">
        <f t="shared" si="4"/>
        <v/>
      </c>
    </row>
    <row r="4538" spans="19:25">
      <c r="S4538" t="str">
        <f t="shared" si="0"/>
        <v/>
      </c>
      <c r="T4538" t="str">
        <f t="shared" si="1"/>
        <v/>
      </c>
      <c r="U4538" t="str">
        <f t="shared" si="2"/>
        <v/>
      </c>
      <c r="V4538" t="str">
        <f>IF(OR(U4538="",U4538="ERRO_CHAVE"),"",IFERROR(MATCH(U4538,Fornecedores!$AF$1:$AF$6631,0),""))</f>
        <v/>
      </c>
      <c r="W4538" t="str">
        <f t="shared" si="3"/>
        <v/>
      </c>
      <c r="X4538" s="4" t="str">
        <f>IF(V4538="","",INDEX(Fornecedores!$X$1:$X$6631,V4538))</f>
        <v/>
      </c>
      <c r="Y4538" s="4" t="str">
        <f t="shared" si="4"/>
        <v/>
      </c>
    </row>
    <row r="4539" spans="19:25">
      <c r="S4539" t="str">
        <f t="shared" si="0"/>
        <v/>
      </c>
      <c r="T4539" t="str">
        <f t="shared" si="1"/>
        <v/>
      </c>
      <c r="U4539" t="str">
        <f t="shared" si="2"/>
        <v/>
      </c>
      <c r="V4539" t="str">
        <f>IF(OR(U4539="",U4539="ERRO_CHAVE"),"",IFERROR(MATCH(U4539,Fornecedores!$AF$1:$AF$6631,0),""))</f>
        <v/>
      </c>
      <c r="W4539" t="str">
        <f t="shared" si="3"/>
        <v/>
      </c>
      <c r="X4539" s="4" t="str">
        <f>IF(V4539="","",INDEX(Fornecedores!$X$1:$X$6631,V4539))</f>
        <v/>
      </c>
      <c r="Y4539" s="4" t="str">
        <f t="shared" si="4"/>
        <v/>
      </c>
    </row>
    <row r="4540" spans="19:25">
      <c r="S4540" t="str">
        <f t="shared" si="0"/>
        <v/>
      </c>
      <c r="T4540" t="str">
        <f t="shared" si="1"/>
        <v/>
      </c>
      <c r="U4540" t="str">
        <f t="shared" si="2"/>
        <v/>
      </c>
      <c r="V4540" t="str">
        <f>IF(OR(U4540="",U4540="ERRO_CHAVE"),"",IFERROR(MATCH(U4540,Fornecedores!$AF$1:$AF$6631,0),""))</f>
        <v/>
      </c>
      <c r="W4540" t="str">
        <f t="shared" si="3"/>
        <v/>
      </c>
      <c r="X4540" s="4" t="str">
        <f>IF(V4540="","",INDEX(Fornecedores!$X$1:$X$6631,V4540))</f>
        <v/>
      </c>
      <c r="Y4540" s="4" t="str">
        <f t="shared" si="4"/>
        <v/>
      </c>
    </row>
    <row r="4541" spans="19:25">
      <c r="S4541" t="str">
        <f t="shared" si="0"/>
        <v/>
      </c>
      <c r="T4541" t="str">
        <f t="shared" si="1"/>
        <v/>
      </c>
      <c r="U4541" t="str">
        <f t="shared" si="2"/>
        <v/>
      </c>
      <c r="V4541" t="str">
        <f>IF(OR(U4541="",U4541="ERRO_CHAVE"),"",IFERROR(MATCH(U4541,Fornecedores!$AF$1:$AF$6631,0),""))</f>
        <v/>
      </c>
      <c r="W4541" t="str">
        <f t="shared" si="3"/>
        <v/>
      </c>
      <c r="X4541" s="4" t="str">
        <f>IF(V4541="","",INDEX(Fornecedores!$X$1:$X$6631,V4541))</f>
        <v/>
      </c>
      <c r="Y4541" s="4" t="str">
        <f t="shared" si="4"/>
        <v/>
      </c>
    </row>
    <row r="4542" spans="19:25">
      <c r="S4542" t="str">
        <f t="shared" si="0"/>
        <v/>
      </c>
      <c r="T4542" t="str">
        <f t="shared" si="1"/>
        <v/>
      </c>
      <c r="U4542" t="str">
        <f t="shared" si="2"/>
        <v/>
      </c>
      <c r="V4542" t="str">
        <f>IF(OR(U4542="",U4542="ERRO_CHAVE"),"",IFERROR(MATCH(U4542,Fornecedores!$AF$1:$AF$6631,0),""))</f>
        <v/>
      </c>
      <c r="W4542" t="str">
        <f t="shared" si="3"/>
        <v/>
      </c>
      <c r="X4542" s="4" t="str">
        <f>IF(V4542="","",INDEX(Fornecedores!$X$1:$X$6631,V4542))</f>
        <v/>
      </c>
      <c r="Y4542" s="4" t="str">
        <f t="shared" si="4"/>
        <v/>
      </c>
    </row>
    <row r="4543" spans="19:25">
      <c r="S4543" t="str">
        <f t="shared" si="0"/>
        <v/>
      </c>
      <c r="T4543" t="str">
        <f t="shared" si="1"/>
        <v/>
      </c>
      <c r="U4543" t="str">
        <f t="shared" si="2"/>
        <v/>
      </c>
      <c r="V4543" t="str">
        <f>IF(OR(U4543="",U4543="ERRO_CHAVE"),"",IFERROR(MATCH(U4543,Fornecedores!$AF$1:$AF$6631,0),""))</f>
        <v/>
      </c>
      <c r="W4543" t="str">
        <f t="shared" si="3"/>
        <v/>
      </c>
      <c r="X4543" s="4" t="str">
        <f>IF(V4543="","",INDEX(Fornecedores!$X$1:$X$6631,V4543))</f>
        <v/>
      </c>
      <c r="Y4543" s="4" t="str">
        <f t="shared" si="4"/>
        <v/>
      </c>
    </row>
    <row r="4544" spans="19:25">
      <c r="S4544" t="str">
        <f t="shared" si="0"/>
        <v/>
      </c>
      <c r="T4544" t="str">
        <f t="shared" si="1"/>
        <v/>
      </c>
      <c r="U4544" t="str">
        <f t="shared" si="2"/>
        <v/>
      </c>
      <c r="V4544" t="str">
        <f>IF(OR(U4544="",U4544="ERRO_CHAVE"),"",IFERROR(MATCH(U4544,Fornecedores!$AF$1:$AF$6631,0),""))</f>
        <v/>
      </c>
      <c r="W4544" t="str">
        <f t="shared" si="3"/>
        <v/>
      </c>
      <c r="X4544" s="4" t="str">
        <f>IF(V4544="","",INDEX(Fornecedores!$X$1:$X$6631,V4544))</f>
        <v/>
      </c>
      <c r="Y4544" s="4" t="str">
        <f t="shared" si="4"/>
        <v/>
      </c>
    </row>
    <row r="4545" spans="19:25">
      <c r="S4545" t="str">
        <f t="shared" si="0"/>
        <v/>
      </c>
      <c r="T4545" t="str">
        <f t="shared" si="1"/>
        <v/>
      </c>
      <c r="U4545" t="str">
        <f t="shared" si="2"/>
        <v/>
      </c>
      <c r="V4545" t="str">
        <f>IF(OR(U4545="",U4545="ERRO_CHAVE"),"",IFERROR(MATCH(U4545,Fornecedores!$AF$1:$AF$6631,0),""))</f>
        <v/>
      </c>
      <c r="W4545" t="str">
        <f t="shared" si="3"/>
        <v/>
      </c>
      <c r="X4545" s="4" t="str">
        <f>IF(V4545="","",INDEX(Fornecedores!$X$1:$X$6631,V4545))</f>
        <v/>
      </c>
      <c r="Y4545" s="4" t="str">
        <f t="shared" si="4"/>
        <v/>
      </c>
    </row>
    <row r="4546" spans="19:25">
      <c r="S4546" t="str">
        <f t="shared" si="0"/>
        <v/>
      </c>
      <c r="T4546" t="str">
        <f t="shared" si="1"/>
        <v/>
      </c>
      <c r="U4546" t="str">
        <f t="shared" si="2"/>
        <v/>
      </c>
      <c r="V4546" t="str">
        <f>IF(OR(U4546="",U4546="ERRO_CHAVE"),"",IFERROR(MATCH(U4546,Fornecedores!$AF$1:$AF$6631,0),""))</f>
        <v/>
      </c>
      <c r="W4546" t="str">
        <f t="shared" si="3"/>
        <v/>
      </c>
      <c r="X4546" s="4" t="str">
        <f>IF(V4546="","",INDEX(Fornecedores!$X$1:$X$6631,V4546))</f>
        <v/>
      </c>
      <c r="Y4546" s="4" t="str">
        <f t="shared" si="4"/>
        <v/>
      </c>
    </row>
    <row r="4547" spans="19:25">
      <c r="S4547" t="str">
        <f t="shared" si="0"/>
        <v/>
      </c>
      <c r="T4547" t="str">
        <f t="shared" si="1"/>
        <v/>
      </c>
      <c r="U4547" t="str">
        <f t="shared" si="2"/>
        <v/>
      </c>
      <c r="V4547" t="str">
        <f>IF(OR(U4547="",U4547="ERRO_CHAVE"),"",IFERROR(MATCH(U4547,Fornecedores!$AF$1:$AF$6631,0),""))</f>
        <v/>
      </c>
      <c r="W4547" t="str">
        <f t="shared" si="3"/>
        <v/>
      </c>
      <c r="X4547" s="4" t="str">
        <f>IF(V4547="","",INDEX(Fornecedores!$X$1:$X$6631,V4547))</f>
        <v/>
      </c>
      <c r="Y4547" s="4" t="str">
        <f t="shared" si="4"/>
        <v/>
      </c>
    </row>
    <row r="4548" spans="19:25">
      <c r="S4548" t="str">
        <f t="shared" si="0"/>
        <v/>
      </c>
      <c r="T4548" t="str">
        <f t="shared" si="1"/>
        <v/>
      </c>
      <c r="U4548" t="str">
        <f t="shared" si="2"/>
        <v/>
      </c>
      <c r="V4548" t="str">
        <f>IF(OR(U4548="",U4548="ERRO_CHAVE"),"",IFERROR(MATCH(U4548,Fornecedores!$AF$1:$AF$6631,0),""))</f>
        <v/>
      </c>
      <c r="W4548" t="str">
        <f t="shared" si="3"/>
        <v/>
      </c>
      <c r="X4548" s="4" t="str">
        <f>IF(V4548="","",INDEX(Fornecedores!$X$1:$X$6631,V4548))</f>
        <v/>
      </c>
      <c r="Y4548" s="4" t="str">
        <f t="shared" si="4"/>
        <v/>
      </c>
    </row>
    <row r="4549" spans="19:25">
      <c r="S4549" t="str">
        <f t="shared" si="0"/>
        <v/>
      </c>
      <c r="T4549" t="str">
        <f t="shared" si="1"/>
        <v/>
      </c>
      <c r="U4549" t="str">
        <f t="shared" si="2"/>
        <v/>
      </c>
      <c r="V4549" t="str">
        <f>IF(OR(U4549="",U4549="ERRO_CHAVE"),"",IFERROR(MATCH(U4549,Fornecedores!$AF$1:$AF$6631,0),""))</f>
        <v/>
      </c>
      <c r="W4549" t="str">
        <f t="shared" si="3"/>
        <v/>
      </c>
      <c r="X4549" s="4" t="str">
        <f>IF(V4549="","",INDEX(Fornecedores!$X$1:$X$6631,V4549))</f>
        <v/>
      </c>
      <c r="Y4549" s="4" t="str">
        <f t="shared" si="4"/>
        <v/>
      </c>
    </row>
    <row r="4550" spans="19:25">
      <c r="S4550" t="str">
        <f t="shared" si="0"/>
        <v/>
      </c>
      <c r="T4550" t="str">
        <f t="shared" si="1"/>
        <v/>
      </c>
      <c r="U4550" t="str">
        <f t="shared" si="2"/>
        <v/>
      </c>
      <c r="V4550" t="str">
        <f>IF(OR(U4550="",U4550="ERRO_CHAVE"),"",IFERROR(MATCH(U4550,Fornecedores!$AF$1:$AF$6631,0),""))</f>
        <v/>
      </c>
      <c r="W4550" t="str">
        <f t="shared" si="3"/>
        <v/>
      </c>
      <c r="X4550" s="4" t="str">
        <f>IF(V4550="","",INDEX(Fornecedores!$X$1:$X$6631,V4550))</f>
        <v/>
      </c>
      <c r="Y4550" s="4" t="str">
        <f t="shared" si="4"/>
        <v/>
      </c>
    </row>
    <row r="4551" spans="19:25">
      <c r="S4551" t="str">
        <f t="shared" si="0"/>
        <v/>
      </c>
      <c r="T4551" t="str">
        <f t="shared" si="1"/>
        <v/>
      </c>
      <c r="U4551" t="str">
        <f t="shared" si="2"/>
        <v/>
      </c>
      <c r="V4551" t="str">
        <f>IF(OR(U4551="",U4551="ERRO_CHAVE"),"",IFERROR(MATCH(U4551,Fornecedores!$AF$1:$AF$6631,0),""))</f>
        <v/>
      </c>
      <c r="W4551" t="str">
        <f t="shared" si="3"/>
        <v/>
      </c>
      <c r="X4551" s="4" t="str">
        <f>IF(V4551="","",INDEX(Fornecedores!$X$1:$X$6631,V4551))</f>
        <v/>
      </c>
      <c r="Y4551" s="4" t="str">
        <f t="shared" si="4"/>
        <v/>
      </c>
    </row>
    <row r="4552" spans="19:25">
      <c r="S4552" t="str">
        <f t="shared" si="0"/>
        <v/>
      </c>
      <c r="T4552" t="str">
        <f t="shared" si="1"/>
        <v/>
      </c>
      <c r="U4552" t="str">
        <f t="shared" si="2"/>
        <v/>
      </c>
      <c r="V4552" t="str">
        <f>IF(OR(U4552="",U4552="ERRO_CHAVE"),"",IFERROR(MATCH(U4552,Fornecedores!$AF$1:$AF$6631,0),""))</f>
        <v/>
      </c>
      <c r="W4552" t="str">
        <f t="shared" si="3"/>
        <v/>
      </c>
      <c r="X4552" s="4" t="str">
        <f>IF(V4552="","",INDEX(Fornecedores!$X$1:$X$6631,V4552))</f>
        <v/>
      </c>
      <c r="Y4552" s="4" t="str">
        <f t="shared" si="4"/>
        <v/>
      </c>
    </row>
    <row r="4553" spans="19:25">
      <c r="S4553" t="str">
        <f t="shared" si="0"/>
        <v/>
      </c>
      <c r="T4553" t="str">
        <f t="shared" si="1"/>
        <v/>
      </c>
      <c r="U4553" t="str">
        <f t="shared" si="2"/>
        <v/>
      </c>
      <c r="V4553" t="str">
        <f>IF(OR(U4553="",U4553="ERRO_CHAVE"),"",IFERROR(MATCH(U4553,Fornecedores!$AF$1:$AF$6631,0),""))</f>
        <v/>
      </c>
      <c r="W4553" t="str">
        <f t="shared" si="3"/>
        <v/>
      </c>
      <c r="X4553" s="4" t="str">
        <f>IF(V4553="","",INDEX(Fornecedores!$X$1:$X$6631,V4553))</f>
        <v/>
      </c>
      <c r="Y4553" s="4" t="str">
        <f t="shared" si="4"/>
        <v/>
      </c>
    </row>
    <row r="4554" spans="19:25">
      <c r="S4554" t="str">
        <f t="shared" si="0"/>
        <v/>
      </c>
      <c r="T4554" t="str">
        <f t="shared" si="1"/>
        <v/>
      </c>
      <c r="U4554" t="str">
        <f t="shared" si="2"/>
        <v/>
      </c>
      <c r="V4554" t="str">
        <f>IF(OR(U4554="",U4554="ERRO_CHAVE"),"",IFERROR(MATCH(U4554,Fornecedores!$AF$1:$AF$6631,0),""))</f>
        <v/>
      </c>
      <c r="W4554" t="str">
        <f t="shared" si="3"/>
        <v/>
      </c>
      <c r="X4554" s="4" t="str">
        <f>IF(V4554="","",INDEX(Fornecedores!$X$1:$X$6631,V4554))</f>
        <v/>
      </c>
      <c r="Y4554" s="4" t="str">
        <f t="shared" si="4"/>
        <v/>
      </c>
    </row>
    <row r="4555" spans="19:25">
      <c r="S4555" t="str">
        <f t="shared" si="0"/>
        <v/>
      </c>
      <c r="T4555" t="str">
        <f t="shared" si="1"/>
        <v/>
      </c>
      <c r="U4555" t="str">
        <f t="shared" si="2"/>
        <v/>
      </c>
      <c r="V4555" t="str">
        <f>IF(OR(U4555="",U4555="ERRO_CHAVE"),"",IFERROR(MATCH(U4555,Fornecedores!$AF$1:$AF$6631,0),""))</f>
        <v/>
      </c>
      <c r="W4555" t="str">
        <f t="shared" si="3"/>
        <v/>
      </c>
      <c r="X4555" s="4" t="str">
        <f>IF(V4555="","",INDEX(Fornecedores!$X$1:$X$6631,V4555))</f>
        <v/>
      </c>
      <c r="Y4555" s="4" t="str">
        <f t="shared" si="4"/>
        <v/>
      </c>
    </row>
    <row r="4556" spans="19:25">
      <c r="S4556" t="str">
        <f t="shared" si="0"/>
        <v/>
      </c>
      <c r="T4556" t="str">
        <f t="shared" si="1"/>
        <v/>
      </c>
      <c r="U4556" t="str">
        <f t="shared" si="2"/>
        <v/>
      </c>
      <c r="V4556" t="str">
        <f>IF(OR(U4556="",U4556="ERRO_CHAVE"),"",IFERROR(MATCH(U4556,Fornecedores!$AF$1:$AF$6631,0),""))</f>
        <v/>
      </c>
      <c r="W4556" t="str">
        <f t="shared" si="3"/>
        <v/>
      </c>
      <c r="X4556" s="4" t="str">
        <f>IF(V4556="","",INDEX(Fornecedores!$X$1:$X$6631,V4556))</f>
        <v/>
      </c>
      <c r="Y4556" s="4" t="str">
        <f t="shared" si="4"/>
        <v/>
      </c>
    </row>
    <row r="4557" spans="19:25">
      <c r="S4557" t="str">
        <f t="shared" si="0"/>
        <v/>
      </c>
      <c r="T4557" t="str">
        <f t="shared" si="1"/>
        <v/>
      </c>
      <c r="U4557" t="str">
        <f t="shared" si="2"/>
        <v/>
      </c>
      <c r="V4557" t="str">
        <f>IF(OR(U4557="",U4557="ERRO_CHAVE"),"",IFERROR(MATCH(U4557,Fornecedores!$AF$1:$AF$6631,0),""))</f>
        <v/>
      </c>
      <c r="W4557" t="str">
        <f t="shared" si="3"/>
        <v/>
      </c>
      <c r="X4557" s="4" t="str">
        <f>IF(V4557="","",INDEX(Fornecedores!$X$1:$X$6631,V4557))</f>
        <v/>
      </c>
      <c r="Y4557" s="4" t="str">
        <f t="shared" si="4"/>
        <v/>
      </c>
    </row>
    <row r="4558" spans="19:25">
      <c r="S4558" t="str">
        <f t="shared" si="0"/>
        <v/>
      </c>
      <c r="T4558" t="str">
        <f t="shared" si="1"/>
        <v/>
      </c>
      <c r="U4558" t="str">
        <f t="shared" si="2"/>
        <v/>
      </c>
      <c r="V4558" t="str">
        <f>IF(OR(U4558="",U4558="ERRO_CHAVE"),"",IFERROR(MATCH(U4558,Fornecedores!$AF$1:$AF$6631,0),""))</f>
        <v/>
      </c>
      <c r="W4558" t="str">
        <f t="shared" si="3"/>
        <v/>
      </c>
      <c r="X4558" s="4" t="str">
        <f>IF(V4558="","",INDEX(Fornecedores!$X$1:$X$6631,V4558))</f>
        <v/>
      </c>
      <c r="Y4558" s="4" t="str">
        <f t="shared" si="4"/>
        <v/>
      </c>
    </row>
    <row r="4559" spans="19:25">
      <c r="S4559" t="str">
        <f t="shared" si="0"/>
        <v/>
      </c>
      <c r="T4559" t="str">
        <f t="shared" si="1"/>
        <v/>
      </c>
      <c r="U4559" t="str">
        <f t="shared" si="2"/>
        <v/>
      </c>
      <c r="V4559" t="str">
        <f>IF(OR(U4559="",U4559="ERRO_CHAVE"),"",IFERROR(MATCH(U4559,Fornecedores!$AF$1:$AF$6631,0),""))</f>
        <v/>
      </c>
      <c r="W4559" t="str">
        <f t="shared" si="3"/>
        <v/>
      </c>
      <c r="X4559" s="4" t="str">
        <f>IF(V4559="","",INDEX(Fornecedores!$X$1:$X$6631,V4559))</f>
        <v/>
      </c>
      <c r="Y4559" s="4" t="str">
        <f t="shared" si="4"/>
        <v/>
      </c>
    </row>
    <row r="4560" spans="19:25">
      <c r="S4560" t="str">
        <f t="shared" si="0"/>
        <v/>
      </c>
      <c r="T4560" t="str">
        <f t="shared" si="1"/>
        <v/>
      </c>
      <c r="U4560" t="str">
        <f t="shared" si="2"/>
        <v/>
      </c>
      <c r="V4560" t="str">
        <f>IF(OR(U4560="",U4560="ERRO_CHAVE"),"",IFERROR(MATCH(U4560,Fornecedores!$AF$1:$AF$6631,0),""))</f>
        <v/>
      </c>
      <c r="W4560" t="str">
        <f t="shared" si="3"/>
        <v/>
      </c>
      <c r="X4560" s="4" t="str">
        <f>IF(V4560="","",INDEX(Fornecedores!$X$1:$X$6631,V4560))</f>
        <v/>
      </c>
      <c r="Y4560" s="4" t="str">
        <f t="shared" si="4"/>
        <v/>
      </c>
    </row>
    <row r="4561" spans="19:25">
      <c r="S4561" t="str">
        <f t="shared" si="0"/>
        <v/>
      </c>
      <c r="T4561" t="str">
        <f t="shared" si="1"/>
        <v/>
      </c>
      <c r="U4561" t="str">
        <f t="shared" si="2"/>
        <v/>
      </c>
      <c r="V4561" t="str">
        <f>IF(OR(U4561="",U4561="ERRO_CHAVE"),"",IFERROR(MATCH(U4561,Fornecedores!$AF$1:$AF$6631,0),""))</f>
        <v/>
      </c>
      <c r="W4561" t="str">
        <f t="shared" si="3"/>
        <v/>
      </c>
      <c r="X4561" s="4" t="str">
        <f>IF(V4561="","",INDEX(Fornecedores!$X$1:$X$6631,V4561))</f>
        <v/>
      </c>
      <c r="Y4561" s="4" t="str">
        <f t="shared" si="4"/>
        <v/>
      </c>
    </row>
    <row r="4562" spans="19:25">
      <c r="S4562" t="str">
        <f t="shared" si="0"/>
        <v/>
      </c>
      <c r="T4562" t="str">
        <f t="shared" si="1"/>
        <v/>
      </c>
      <c r="U4562" t="str">
        <f t="shared" si="2"/>
        <v/>
      </c>
      <c r="V4562" t="str">
        <f>IF(OR(U4562="",U4562="ERRO_CHAVE"),"",IFERROR(MATCH(U4562,Fornecedores!$AF$1:$AF$6631,0),""))</f>
        <v/>
      </c>
      <c r="W4562" t="str">
        <f t="shared" si="3"/>
        <v/>
      </c>
      <c r="X4562" s="4" t="str">
        <f>IF(V4562="","",INDEX(Fornecedores!$X$1:$X$6631,V4562))</f>
        <v/>
      </c>
      <c r="Y4562" s="4" t="str">
        <f t="shared" si="4"/>
        <v/>
      </c>
    </row>
    <row r="4563" spans="19:25">
      <c r="S4563" t="str">
        <f t="shared" si="0"/>
        <v/>
      </c>
      <c r="T4563" t="str">
        <f t="shared" si="1"/>
        <v/>
      </c>
      <c r="U4563" t="str">
        <f t="shared" si="2"/>
        <v/>
      </c>
      <c r="V4563" t="str">
        <f>IF(OR(U4563="",U4563="ERRO_CHAVE"),"",IFERROR(MATCH(U4563,Fornecedores!$AF$1:$AF$6631,0),""))</f>
        <v/>
      </c>
      <c r="W4563" t="str">
        <f t="shared" si="3"/>
        <v/>
      </c>
      <c r="X4563" s="4" t="str">
        <f>IF(V4563="","",INDEX(Fornecedores!$X$1:$X$6631,V4563))</f>
        <v/>
      </c>
      <c r="Y4563" s="4" t="str">
        <f t="shared" si="4"/>
        <v/>
      </c>
    </row>
    <row r="4564" spans="19:25">
      <c r="S4564" t="str">
        <f t="shared" si="0"/>
        <v/>
      </c>
      <c r="T4564" t="str">
        <f t="shared" si="1"/>
        <v/>
      </c>
      <c r="U4564" t="str">
        <f t="shared" si="2"/>
        <v/>
      </c>
      <c r="V4564" t="str">
        <f>IF(OR(U4564="",U4564="ERRO_CHAVE"),"",IFERROR(MATCH(U4564,Fornecedores!$AF$1:$AF$6631,0),""))</f>
        <v/>
      </c>
      <c r="W4564" t="str">
        <f t="shared" si="3"/>
        <v/>
      </c>
      <c r="X4564" s="4" t="str">
        <f>IF(V4564="","",INDEX(Fornecedores!$X$1:$X$6631,V4564))</f>
        <v/>
      </c>
      <c r="Y4564" s="4" t="str">
        <f t="shared" si="4"/>
        <v/>
      </c>
    </row>
    <row r="4565" spans="19:25">
      <c r="S4565" t="str">
        <f t="shared" si="0"/>
        <v/>
      </c>
      <c r="T4565" t="str">
        <f t="shared" si="1"/>
        <v/>
      </c>
      <c r="U4565" t="str">
        <f t="shared" si="2"/>
        <v/>
      </c>
      <c r="V4565" t="str">
        <f>IF(OR(U4565="",U4565="ERRO_CHAVE"),"",IFERROR(MATCH(U4565,Fornecedores!$AF$1:$AF$6631,0),""))</f>
        <v/>
      </c>
      <c r="W4565" t="str">
        <f t="shared" si="3"/>
        <v/>
      </c>
      <c r="X4565" s="4" t="str">
        <f>IF(V4565="","",INDEX(Fornecedores!$X$1:$X$6631,V4565))</f>
        <v/>
      </c>
      <c r="Y4565" s="4" t="str">
        <f t="shared" si="4"/>
        <v/>
      </c>
    </row>
    <row r="4566" spans="19:25">
      <c r="S4566" t="str">
        <f t="shared" si="0"/>
        <v/>
      </c>
      <c r="T4566" t="str">
        <f t="shared" si="1"/>
        <v/>
      </c>
      <c r="U4566" t="str">
        <f t="shared" si="2"/>
        <v/>
      </c>
      <c r="V4566" t="str">
        <f>IF(OR(U4566="",U4566="ERRO_CHAVE"),"",IFERROR(MATCH(U4566,Fornecedores!$AF$1:$AF$6631,0),""))</f>
        <v/>
      </c>
      <c r="W4566" t="str">
        <f t="shared" si="3"/>
        <v/>
      </c>
      <c r="X4566" s="4" t="str">
        <f>IF(V4566="","",INDEX(Fornecedores!$X$1:$X$6631,V4566))</f>
        <v/>
      </c>
      <c r="Y4566" s="4" t="str">
        <f t="shared" si="4"/>
        <v/>
      </c>
    </row>
    <row r="4567" spans="19:25">
      <c r="S4567" t="str">
        <f t="shared" si="0"/>
        <v/>
      </c>
      <c r="T4567" t="str">
        <f t="shared" si="1"/>
        <v/>
      </c>
      <c r="U4567" t="str">
        <f t="shared" si="2"/>
        <v/>
      </c>
      <c r="V4567" t="str">
        <f>IF(OR(U4567="",U4567="ERRO_CHAVE"),"",IFERROR(MATCH(U4567,Fornecedores!$AF$1:$AF$6631,0),""))</f>
        <v/>
      </c>
      <c r="W4567" t="str">
        <f t="shared" si="3"/>
        <v/>
      </c>
      <c r="X4567" s="4" t="str">
        <f>IF(V4567="","",INDEX(Fornecedores!$X$1:$X$6631,V4567))</f>
        <v/>
      </c>
      <c r="Y4567" s="4" t="str">
        <f t="shared" si="4"/>
        <v/>
      </c>
    </row>
    <row r="4568" spans="19:25">
      <c r="S4568" t="str">
        <f t="shared" si="0"/>
        <v/>
      </c>
      <c r="T4568" t="str">
        <f t="shared" si="1"/>
        <v/>
      </c>
      <c r="U4568" t="str">
        <f t="shared" si="2"/>
        <v/>
      </c>
      <c r="V4568" t="str">
        <f>IF(OR(U4568="",U4568="ERRO_CHAVE"),"",IFERROR(MATCH(U4568,Fornecedores!$AF$1:$AF$6631,0),""))</f>
        <v/>
      </c>
      <c r="W4568" t="str">
        <f t="shared" si="3"/>
        <v/>
      </c>
      <c r="X4568" s="4" t="str">
        <f>IF(V4568="","",INDEX(Fornecedores!$X$1:$X$6631,V4568))</f>
        <v/>
      </c>
      <c r="Y4568" s="4" t="str">
        <f t="shared" si="4"/>
        <v/>
      </c>
    </row>
    <row r="4569" spans="19:25">
      <c r="S4569" t="str">
        <f t="shared" si="0"/>
        <v/>
      </c>
      <c r="T4569" t="str">
        <f t="shared" si="1"/>
        <v/>
      </c>
      <c r="U4569" t="str">
        <f t="shared" si="2"/>
        <v/>
      </c>
      <c r="V4569" t="str">
        <f>IF(OR(U4569="",U4569="ERRO_CHAVE"),"",IFERROR(MATCH(U4569,Fornecedores!$AF$1:$AF$6631,0),""))</f>
        <v/>
      </c>
      <c r="W4569" t="str">
        <f t="shared" si="3"/>
        <v/>
      </c>
      <c r="X4569" s="4" t="str">
        <f>IF(V4569="","",INDEX(Fornecedores!$X$1:$X$6631,V4569))</f>
        <v/>
      </c>
      <c r="Y4569" s="4" t="str">
        <f t="shared" si="4"/>
        <v/>
      </c>
    </row>
    <row r="4570" spans="19:25">
      <c r="S4570" t="str">
        <f t="shared" si="0"/>
        <v/>
      </c>
      <c r="T4570" t="str">
        <f t="shared" si="1"/>
        <v/>
      </c>
      <c r="U4570" t="str">
        <f t="shared" si="2"/>
        <v/>
      </c>
      <c r="V4570" t="str">
        <f>IF(OR(U4570="",U4570="ERRO_CHAVE"),"",IFERROR(MATCH(U4570,Fornecedores!$AF$1:$AF$6631,0),""))</f>
        <v/>
      </c>
      <c r="W4570" t="str">
        <f t="shared" si="3"/>
        <v/>
      </c>
      <c r="X4570" s="4" t="str">
        <f>IF(V4570="","",INDEX(Fornecedores!$X$1:$X$6631,V4570))</f>
        <v/>
      </c>
      <c r="Y4570" s="4" t="str">
        <f t="shared" si="4"/>
        <v/>
      </c>
    </row>
    <row r="4571" spans="19:25">
      <c r="S4571" t="str">
        <f t="shared" si="0"/>
        <v/>
      </c>
      <c r="T4571" t="str">
        <f t="shared" si="1"/>
        <v/>
      </c>
      <c r="U4571" t="str">
        <f t="shared" si="2"/>
        <v/>
      </c>
      <c r="V4571" t="str">
        <f>IF(OR(U4571="",U4571="ERRO_CHAVE"),"",IFERROR(MATCH(U4571,Fornecedores!$AF$1:$AF$6631,0),""))</f>
        <v/>
      </c>
      <c r="W4571" t="str">
        <f t="shared" si="3"/>
        <v/>
      </c>
      <c r="X4571" s="4" t="str">
        <f>IF(V4571="","",INDEX(Fornecedores!$X$1:$X$6631,V4571))</f>
        <v/>
      </c>
      <c r="Y4571" s="4" t="str">
        <f t="shared" si="4"/>
        <v/>
      </c>
    </row>
    <row r="4572" spans="19:25">
      <c r="S4572" t="str">
        <f t="shared" si="0"/>
        <v/>
      </c>
      <c r="T4572" t="str">
        <f t="shared" si="1"/>
        <v/>
      </c>
      <c r="U4572" t="str">
        <f t="shared" si="2"/>
        <v/>
      </c>
      <c r="V4572" t="str">
        <f>IF(OR(U4572="",U4572="ERRO_CHAVE"),"",IFERROR(MATCH(U4572,Fornecedores!$AF$1:$AF$6631,0),""))</f>
        <v/>
      </c>
      <c r="W4572" t="str">
        <f t="shared" si="3"/>
        <v/>
      </c>
      <c r="X4572" s="4" t="str">
        <f>IF(V4572="","",INDEX(Fornecedores!$X$1:$X$6631,V4572))</f>
        <v/>
      </c>
      <c r="Y4572" s="4" t="str">
        <f t="shared" si="4"/>
        <v/>
      </c>
    </row>
    <row r="4573" spans="19:25">
      <c r="S4573" t="str">
        <f t="shared" si="0"/>
        <v/>
      </c>
      <c r="T4573" t="str">
        <f t="shared" si="1"/>
        <v/>
      </c>
      <c r="U4573" t="str">
        <f t="shared" si="2"/>
        <v/>
      </c>
      <c r="V4573" t="str">
        <f>IF(OR(U4573="",U4573="ERRO_CHAVE"),"",IFERROR(MATCH(U4573,Fornecedores!$AF$1:$AF$6631,0),""))</f>
        <v/>
      </c>
      <c r="W4573" t="str">
        <f t="shared" si="3"/>
        <v/>
      </c>
      <c r="X4573" s="4" t="str">
        <f>IF(V4573="","",INDEX(Fornecedores!$X$1:$X$6631,V4573))</f>
        <v/>
      </c>
      <c r="Y4573" s="4" t="str">
        <f t="shared" si="4"/>
        <v/>
      </c>
    </row>
    <row r="4574" spans="19:25">
      <c r="S4574" t="str">
        <f t="shared" si="0"/>
        <v/>
      </c>
      <c r="T4574" t="str">
        <f t="shared" si="1"/>
        <v/>
      </c>
      <c r="U4574" t="str">
        <f t="shared" si="2"/>
        <v/>
      </c>
      <c r="V4574" t="str">
        <f>IF(OR(U4574="",U4574="ERRO_CHAVE"),"",IFERROR(MATCH(U4574,Fornecedores!$AF$1:$AF$6631,0),""))</f>
        <v/>
      </c>
      <c r="W4574" t="str">
        <f t="shared" si="3"/>
        <v/>
      </c>
      <c r="X4574" s="4" t="str">
        <f>IF(V4574="","",INDEX(Fornecedores!$X$1:$X$6631,V4574))</f>
        <v/>
      </c>
      <c r="Y4574" s="4" t="str">
        <f t="shared" si="4"/>
        <v/>
      </c>
    </row>
    <row r="4575" spans="19:25">
      <c r="S4575" t="str">
        <f t="shared" si="0"/>
        <v/>
      </c>
      <c r="T4575" t="str">
        <f t="shared" si="1"/>
        <v/>
      </c>
      <c r="U4575" t="str">
        <f t="shared" si="2"/>
        <v/>
      </c>
      <c r="V4575" t="str">
        <f>IF(OR(U4575="",U4575="ERRO_CHAVE"),"",IFERROR(MATCH(U4575,Fornecedores!$AF$1:$AF$6631,0),""))</f>
        <v/>
      </c>
      <c r="W4575" t="str">
        <f t="shared" si="3"/>
        <v/>
      </c>
      <c r="X4575" s="4" t="str">
        <f>IF(V4575="","",INDEX(Fornecedores!$X$1:$X$6631,V4575))</f>
        <v/>
      </c>
      <c r="Y4575" s="4" t="str">
        <f t="shared" si="4"/>
        <v/>
      </c>
    </row>
    <row r="4576" spans="19:25">
      <c r="S4576" t="str">
        <f t="shared" si="0"/>
        <v/>
      </c>
      <c r="T4576" t="str">
        <f t="shared" si="1"/>
        <v/>
      </c>
      <c r="U4576" t="str">
        <f t="shared" si="2"/>
        <v/>
      </c>
      <c r="V4576" t="str">
        <f>IF(OR(U4576="",U4576="ERRO_CHAVE"),"",IFERROR(MATCH(U4576,Fornecedores!$AF$1:$AF$6631,0),""))</f>
        <v/>
      </c>
      <c r="W4576" t="str">
        <f t="shared" si="3"/>
        <v/>
      </c>
      <c r="X4576" s="4" t="str">
        <f>IF(V4576="","",INDEX(Fornecedores!$X$1:$X$6631,V4576))</f>
        <v/>
      </c>
      <c r="Y4576" s="4" t="str">
        <f t="shared" si="4"/>
        <v/>
      </c>
    </row>
    <row r="4577" spans="19:25">
      <c r="S4577" t="str">
        <f t="shared" si="0"/>
        <v/>
      </c>
      <c r="T4577" t="str">
        <f t="shared" si="1"/>
        <v/>
      </c>
      <c r="U4577" t="str">
        <f t="shared" si="2"/>
        <v/>
      </c>
      <c r="V4577" t="str">
        <f>IF(OR(U4577="",U4577="ERRO_CHAVE"),"",IFERROR(MATCH(U4577,Fornecedores!$AF$1:$AF$6631,0),""))</f>
        <v/>
      </c>
      <c r="W4577" t="str">
        <f t="shared" si="3"/>
        <v/>
      </c>
      <c r="X4577" s="4" t="str">
        <f>IF(V4577="","",INDEX(Fornecedores!$X$1:$X$6631,V4577))</f>
        <v/>
      </c>
      <c r="Y4577" s="4" t="str">
        <f t="shared" si="4"/>
        <v/>
      </c>
    </row>
    <row r="4578" spans="19:25">
      <c r="S4578" t="str">
        <f t="shared" si="0"/>
        <v/>
      </c>
      <c r="T4578" t="str">
        <f t="shared" si="1"/>
        <v/>
      </c>
      <c r="U4578" t="str">
        <f t="shared" si="2"/>
        <v/>
      </c>
      <c r="V4578" t="str">
        <f>IF(OR(U4578="",U4578="ERRO_CHAVE"),"",IFERROR(MATCH(U4578,Fornecedores!$AF$1:$AF$6631,0),""))</f>
        <v/>
      </c>
      <c r="W4578" t="str">
        <f t="shared" si="3"/>
        <v/>
      </c>
      <c r="X4578" s="4" t="str">
        <f>IF(V4578="","",INDEX(Fornecedores!$X$1:$X$6631,V4578))</f>
        <v/>
      </c>
      <c r="Y4578" s="4" t="str">
        <f t="shared" si="4"/>
        <v/>
      </c>
    </row>
    <row r="4579" spans="19:25">
      <c r="S4579" t="str">
        <f t="shared" si="0"/>
        <v/>
      </c>
      <c r="T4579" t="str">
        <f t="shared" si="1"/>
        <v/>
      </c>
      <c r="U4579" t="str">
        <f t="shared" si="2"/>
        <v/>
      </c>
      <c r="V4579" t="str">
        <f>IF(OR(U4579="",U4579="ERRO_CHAVE"),"",IFERROR(MATCH(U4579,Fornecedores!$AF$1:$AF$6631,0),""))</f>
        <v/>
      </c>
      <c r="W4579" t="str">
        <f t="shared" si="3"/>
        <v/>
      </c>
      <c r="X4579" s="4" t="str">
        <f>IF(V4579="","",INDEX(Fornecedores!$X$1:$X$6631,V4579))</f>
        <v/>
      </c>
      <c r="Y4579" s="4" t="str">
        <f t="shared" si="4"/>
        <v/>
      </c>
    </row>
    <row r="4580" spans="19:25">
      <c r="S4580" t="str">
        <f t="shared" si="0"/>
        <v/>
      </c>
      <c r="T4580" t="str">
        <f t="shared" si="1"/>
        <v/>
      </c>
      <c r="U4580" t="str">
        <f t="shared" si="2"/>
        <v/>
      </c>
      <c r="V4580" t="str">
        <f>IF(OR(U4580="",U4580="ERRO_CHAVE"),"",IFERROR(MATCH(U4580,Fornecedores!$AF$1:$AF$6631,0),""))</f>
        <v/>
      </c>
      <c r="W4580" t="str">
        <f t="shared" si="3"/>
        <v/>
      </c>
      <c r="X4580" s="4" t="str">
        <f>IF(V4580="","",INDEX(Fornecedores!$X$1:$X$6631,V4580))</f>
        <v/>
      </c>
      <c r="Y4580" s="4" t="str">
        <f t="shared" si="4"/>
        <v/>
      </c>
    </row>
    <row r="4581" spans="19:25">
      <c r="S4581" t="str">
        <f t="shared" si="0"/>
        <v/>
      </c>
      <c r="T4581" t="str">
        <f t="shared" si="1"/>
        <v/>
      </c>
      <c r="U4581" t="str">
        <f t="shared" si="2"/>
        <v/>
      </c>
      <c r="V4581" t="str">
        <f>IF(OR(U4581="",U4581="ERRO_CHAVE"),"",IFERROR(MATCH(U4581,Fornecedores!$AF$1:$AF$6631,0),""))</f>
        <v/>
      </c>
      <c r="W4581" t="str">
        <f t="shared" si="3"/>
        <v/>
      </c>
      <c r="X4581" s="4" t="str">
        <f>IF(V4581="","",INDEX(Fornecedores!$X$1:$X$6631,V4581))</f>
        <v/>
      </c>
      <c r="Y4581" s="4" t="str">
        <f t="shared" si="4"/>
        <v/>
      </c>
    </row>
    <row r="4582" spans="19:25">
      <c r="S4582" t="str">
        <f t="shared" si="0"/>
        <v/>
      </c>
      <c r="T4582" t="str">
        <f t="shared" si="1"/>
        <v/>
      </c>
      <c r="U4582" t="str">
        <f t="shared" si="2"/>
        <v/>
      </c>
      <c r="V4582" t="str">
        <f>IF(OR(U4582="",U4582="ERRO_CHAVE"),"",IFERROR(MATCH(U4582,Fornecedores!$AF$1:$AF$6631,0),""))</f>
        <v/>
      </c>
      <c r="W4582" t="str">
        <f t="shared" si="3"/>
        <v/>
      </c>
      <c r="X4582" s="4" t="str">
        <f>IF(V4582="","",INDEX(Fornecedores!$X$1:$X$6631,V4582))</f>
        <v/>
      </c>
      <c r="Y4582" s="4" t="str">
        <f t="shared" si="4"/>
        <v/>
      </c>
    </row>
    <row r="4583" spans="19:25">
      <c r="S4583" t="str">
        <f t="shared" si="0"/>
        <v/>
      </c>
      <c r="T4583" t="str">
        <f t="shared" si="1"/>
        <v/>
      </c>
      <c r="U4583" t="str">
        <f t="shared" si="2"/>
        <v/>
      </c>
      <c r="V4583" t="str">
        <f>IF(OR(U4583="",U4583="ERRO_CHAVE"),"",IFERROR(MATCH(U4583,Fornecedores!$AF$1:$AF$6631,0),""))</f>
        <v/>
      </c>
      <c r="W4583" t="str">
        <f t="shared" si="3"/>
        <v/>
      </c>
      <c r="X4583" s="4" t="str">
        <f>IF(V4583="","",INDEX(Fornecedores!$X$1:$X$6631,V4583))</f>
        <v/>
      </c>
      <c r="Y4583" s="4" t="str">
        <f t="shared" si="4"/>
        <v/>
      </c>
    </row>
    <row r="4584" spans="19:25">
      <c r="S4584" t="str">
        <f t="shared" si="0"/>
        <v/>
      </c>
      <c r="T4584" t="str">
        <f t="shared" si="1"/>
        <v/>
      </c>
      <c r="U4584" t="str">
        <f t="shared" si="2"/>
        <v/>
      </c>
      <c r="V4584" t="str">
        <f>IF(OR(U4584="",U4584="ERRO_CHAVE"),"",IFERROR(MATCH(U4584,Fornecedores!$AF$1:$AF$6631,0),""))</f>
        <v/>
      </c>
      <c r="W4584" t="str">
        <f t="shared" si="3"/>
        <v/>
      </c>
      <c r="X4584" s="4" t="str">
        <f>IF(V4584="","",INDEX(Fornecedores!$X$1:$X$6631,V4584))</f>
        <v/>
      </c>
      <c r="Y4584" s="4" t="str">
        <f t="shared" si="4"/>
        <v/>
      </c>
    </row>
    <row r="4585" spans="19:25">
      <c r="S4585" t="str">
        <f t="shared" si="0"/>
        <v/>
      </c>
      <c r="T4585" t="str">
        <f t="shared" si="1"/>
        <v/>
      </c>
      <c r="U4585" t="str">
        <f t="shared" si="2"/>
        <v/>
      </c>
      <c r="V4585" t="str">
        <f>IF(OR(U4585="",U4585="ERRO_CHAVE"),"",IFERROR(MATCH(U4585,Fornecedores!$AF$1:$AF$6631,0),""))</f>
        <v/>
      </c>
      <c r="W4585" t="str">
        <f t="shared" si="3"/>
        <v/>
      </c>
      <c r="X4585" s="4" t="str">
        <f>IF(V4585="","",INDEX(Fornecedores!$X$1:$X$6631,V4585))</f>
        <v/>
      </c>
      <c r="Y4585" s="4" t="str">
        <f t="shared" si="4"/>
        <v/>
      </c>
    </row>
    <row r="4586" spans="19:25">
      <c r="S4586" t="str">
        <f t="shared" si="0"/>
        <v/>
      </c>
      <c r="T4586" t="str">
        <f t="shared" si="1"/>
        <v/>
      </c>
      <c r="U4586" t="str">
        <f t="shared" si="2"/>
        <v/>
      </c>
      <c r="V4586" t="str">
        <f>IF(OR(U4586="",U4586="ERRO_CHAVE"),"",IFERROR(MATCH(U4586,Fornecedores!$AF$1:$AF$6631,0),""))</f>
        <v/>
      </c>
      <c r="W4586" t="str">
        <f t="shared" si="3"/>
        <v/>
      </c>
      <c r="X4586" s="4" t="str">
        <f>IF(V4586="","",INDEX(Fornecedores!$X$1:$X$6631,V4586))</f>
        <v/>
      </c>
      <c r="Y4586" s="4" t="str">
        <f t="shared" si="4"/>
        <v/>
      </c>
    </row>
    <row r="4587" spans="19:25">
      <c r="S4587" t="str">
        <f t="shared" si="0"/>
        <v/>
      </c>
      <c r="T4587" t="str">
        <f t="shared" si="1"/>
        <v/>
      </c>
      <c r="U4587" t="str">
        <f t="shared" si="2"/>
        <v/>
      </c>
      <c r="V4587" t="str">
        <f>IF(OR(U4587="",U4587="ERRO_CHAVE"),"",IFERROR(MATCH(U4587,Fornecedores!$AF$1:$AF$6631,0),""))</f>
        <v/>
      </c>
      <c r="W4587" t="str">
        <f t="shared" si="3"/>
        <v/>
      </c>
      <c r="X4587" s="4" t="str">
        <f>IF(V4587="","",INDEX(Fornecedores!$X$1:$X$6631,V4587))</f>
        <v/>
      </c>
      <c r="Y4587" s="4" t="str">
        <f t="shared" si="4"/>
        <v/>
      </c>
    </row>
    <row r="4588" spans="19:25">
      <c r="S4588" t="str">
        <f t="shared" si="0"/>
        <v/>
      </c>
      <c r="T4588" t="str">
        <f t="shared" si="1"/>
        <v/>
      </c>
      <c r="U4588" t="str">
        <f t="shared" si="2"/>
        <v/>
      </c>
      <c r="V4588" t="str">
        <f>IF(OR(U4588="",U4588="ERRO_CHAVE"),"",IFERROR(MATCH(U4588,Fornecedores!$AF$1:$AF$6631,0),""))</f>
        <v/>
      </c>
      <c r="W4588" t="str">
        <f t="shared" si="3"/>
        <v/>
      </c>
      <c r="X4588" s="4" t="str">
        <f>IF(V4588="","",INDEX(Fornecedores!$X$1:$X$6631,V4588))</f>
        <v/>
      </c>
      <c r="Y4588" s="4" t="str">
        <f t="shared" si="4"/>
        <v/>
      </c>
    </row>
    <row r="4589" spans="19:25">
      <c r="S4589" t="str">
        <f t="shared" si="0"/>
        <v/>
      </c>
      <c r="T4589" t="str">
        <f t="shared" si="1"/>
        <v/>
      </c>
      <c r="U4589" t="str">
        <f t="shared" si="2"/>
        <v/>
      </c>
      <c r="V4589" t="str">
        <f>IF(OR(U4589="",U4589="ERRO_CHAVE"),"",IFERROR(MATCH(U4589,Fornecedores!$AF$1:$AF$6631,0),""))</f>
        <v/>
      </c>
      <c r="W4589" t="str">
        <f t="shared" si="3"/>
        <v/>
      </c>
      <c r="X4589" s="4" t="str">
        <f>IF(V4589="","",INDEX(Fornecedores!$X$1:$X$6631,V4589))</f>
        <v/>
      </c>
      <c r="Y4589" s="4" t="str">
        <f t="shared" si="4"/>
        <v/>
      </c>
    </row>
    <row r="4590" spans="19:25">
      <c r="S4590" t="str">
        <f t="shared" si="0"/>
        <v/>
      </c>
      <c r="T4590" t="str">
        <f t="shared" si="1"/>
        <v/>
      </c>
      <c r="U4590" t="str">
        <f t="shared" si="2"/>
        <v/>
      </c>
      <c r="V4590" t="str">
        <f>IF(OR(U4590="",U4590="ERRO_CHAVE"),"",IFERROR(MATCH(U4590,Fornecedores!$AF$1:$AF$6631,0),""))</f>
        <v/>
      </c>
      <c r="W4590" t="str">
        <f t="shared" si="3"/>
        <v/>
      </c>
      <c r="X4590" s="4" t="str">
        <f>IF(V4590="","",INDEX(Fornecedores!$X$1:$X$6631,V4590))</f>
        <v/>
      </c>
      <c r="Y4590" s="4" t="str">
        <f t="shared" si="4"/>
        <v/>
      </c>
    </row>
    <row r="4591" spans="19:25">
      <c r="S4591" t="str">
        <f t="shared" si="0"/>
        <v/>
      </c>
      <c r="T4591" t="str">
        <f t="shared" si="1"/>
        <v/>
      </c>
      <c r="U4591" t="str">
        <f t="shared" si="2"/>
        <v/>
      </c>
      <c r="V4591" t="str">
        <f>IF(OR(U4591="",U4591="ERRO_CHAVE"),"",IFERROR(MATCH(U4591,Fornecedores!$AF$1:$AF$6631,0),""))</f>
        <v/>
      </c>
      <c r="W4591" t="str">
        <f t="shared" si="3"/>
        <v/>
      </c>
      <c r="X4591" s="4" t="str">
        <f>IF(V4591="","",INDEX(Fornecedores!$X$1:$X$6631,V4591))</f>
        <v/>
      </c>
      <c r="Y4591" s="4" t="str">
        <f t="shared" si="4"/>
        <v/>
      </c>
    </row>
    <row r="4592" spans="19:25">
      <c r="S4592" t="str">
        <f t="shared" si="0"/>
        <v/>
      </c>
      <c r="T4592" t="str">
        <f t="shared" si="1"/>
        <v/>
      </c>
      <c r="U4592" t="str">
        <f t="shared" si="2"/>
        <v/>
      </c>
      <c r="V4592" t="str">
        <f>IF(OR(U4592="",U4592="ERRO_CHAVE"),"",IFERROR(MATCH(U4592,Fornecedores!$AF$1:$AF$6631,0),""))</f>
        <v/>
      </c>
      <c r="W4592" t="str">
        <f t="shared" si="3"/>
        <v/>
      </c>
      <c r="X4592" s="4" t="str">
        <f>IF(V4592="","",INDEX(Fornecedores!$X$1:$X$6631,V4592))</f>
        <v/>
      </c>
      <c r="Y4592" s="4" t="str">
        <f t="shared" si="4"/>
        <v/>
      </c>
    </row>
    <row r="4593" spans="19:25">
      <c r="S4593" t="str">
        <f t="shared" si="0"/>
        <v/>
      </c>
      <c r="T4593" t="str">
        <f t="shared" si="1"/>
        <v/>
      </c>
      <c r="U4593" t="str">
        <f t="shared" si="2"/>
        <v/>
      </c>
      <c r="V4593" t="str">
        <f>IF(OR(U4593="",U4593="ERRO_CHAVE"),"",IFERROR(MATCH(U4593,Fornecedores!$AF$1:$AF$6631,0),""))</f>
        <v/>
      </c>
      <c r="W4593" t="str">
        <f t="shared" si="3"/>
        <v/>
      </c>
      <c r="X4593" s="4" t="str">
        <f>IF(V4593="","",INDEX(Fornecedores!$X$1:$X$6631,V4593))</f>
        <v/>
      </c>
      <c r="Y4593" s="4" t="str">
        <f t="shared" si="4"/>
        <v/>
      </c>
    </row>
    <row r="4594" spans="19:25">
      <c r="S4594" t="str">
        <f t="shared" si="0"/>
        <v/>
      </c>
      <c r="T4594" t="str">
        <f t="shared" si="1"/>
        <v/>
      </c>
      <c r="U4594" t="str">
        <f t="shared" si="2"/>
        <v/>
      </c>
      <c r="V4594" t="str">
        <f>IF(OR(U4594="",U4594="ERRO_CHAVE"),"",IFERROR(MATCH(U4594,Fornecedores!$AF$1:$AF$6631,0),""))</f>
        <v/>
      </c>
      <c r="W4594" t="str">
        <f t="shared" si="3"/>
        <v/>
      </c>
      <c r="X4594" s="4" t="str">
        <f>IF(V4594="","",INDEX(Fornecedores!$X$1:$X$6631,V4594))</f>
        <v/>
      </c>
      <c r="Y4594" s="4" t="str">
        <f t="shared" si="4"/>
        <v/>
      </c>
    </row>
    <row r="4595" spans="19:25">
      <c r="S4595" t="str">
        <f t="shared" si="0"/>
        <v/>
      </c>
      <c r="T4595" t="str">
        <f t="shared" si="1"/>
        <v/>
      </c>
      <c r="U4595" t="str">
        <f t="shared" si="2"/>
        <v/>
      </c>
      <c r="V4595" t="str">
        <f>IF(OR(U4595="",U4595="ERRO_CHAVE"),"",IFERROR(MATCH(U4595,Fornecedores!$AF$1:$AF$6631,0),""))</f>
        <v/>
      </c>
      <c r="W4595" t="str">
        <f t="shared" si="3"/>
        <v/>
      </c>
      <c r="X4595" s="4" t="str">
        <f>IF(V4595="","",INDEX(Fornecedores!$X$1:$X$6631,V4595))</f>
        <v/>
      </c>
      <c r="Y4595" s="4" t="str">
        <f t="shared" si="4"/>
        <v/>
      </c>
    </row>
    <row r="4596" spans="19:25">
      <c r="S4596" t="str">
        <f t="shared" si="0"/>
        <v/>
      </c>
      <c r="T4596" t="str">
        <f t="shared" si="1"/>
        <v/>
      </c>
      <c r="U4596" t="str">
        <f t="shared" si="2"/>
        <v/>
      </c>
      <c r="V4596" t="str">
        <f>IF(OR(U4596="",U4596="ERRO_CHAVE"),"",IFERROR(MATCH(U4596,Fornecedores!$AF$1:$AF$6631,0),""))</f>
        <v/>
      </c>
      <c r="W4596" t="str">
        <f t="shared" si="3"/>
        <v/>
      </c>
      <c r="X4596" s="4" t="str">
        <f>IF(V4596="","",INDEX(Fornecedores!$X$1:$X$6631,V4596))</f>
        <v/>
      </c>
      <c r="Y4596" s="4" t="str">
        <f t="shared" si="4"/>
        <v/>
      </c>
    </row>
    <row r="4597" spans="19:25">
      <c r="S4597" t="str">
        <f t="shared" si="0"/>
        <v/>
      </c>
      <c r="T4597" t="str">
        <f t="shared" si="1"/>
        <v/>
      </c>
      <c r="U4597" t="str">
        <f t="shared" si="2"/>
        <v/>
      </c>
      <c r="V4597" t="str">
        <f>IF(OR(U4597="",U4597="ERRO_CHAVE"),"",IFERROR(MATCH(U4597,Fornecedores!$AF$1:$AF$6631,0),""))</f>
        <v/>
      </c>
      <c r="W4597" t="str">
        <f t="shared" si="3"/>
        <v/>
      </c>
      <c r="X4597" s="4" t="str">
        <f>IF(V4597="","",INDEX(Fornecedores!$X$1:$X$6631,V4597))</f>
        <v/>
      </c>
      <c r="Y4597" s="4" t="str">
        <f t="shared" si="4"/>
        <v/>
      </c>
    </row>
    <row r="4598" spans="19:25">
      <c r="S4598" t="str">
        <f t="shared" si="0"/>
        <v/>
      </c>
      <c r="T4598" t="str">
        <f t="shared" si="1"/>
        <v/>
      </c>
      <c r="U4598" t="str">
        <f t="shared" si="2"/>
        <v/>
      </c>
      <c r="V4598" t="str">
        <f>IF(OR(U4598="",U4598="ERRO_CHAVE"),"",IFERROR(MATCH(U4598,Fornecedores!$AF$1:$AF$6631,0),""))</f>
        <v/>
      </c>
      <c r="W4598" t="str">
        <f t="shared" si="3"/>
        <v/>
      </c>
      <c r="X4598" s="4" t="str">
        <f>IF(V4598="","",INDEX(Fornecedores!$X$1:$X$6631,V4598))</f>
        <v/>
      </c>
      <c r="Y4598" s="4" t="str">
        <f t="shared" si="4"/>
        <v/>
      </c>
    </row>
    <row r="4599" spans="19:25">
      <c r="S4599" t="str">
        <f t="shared" si="0"/>
        <v/>
      </c>
      <c r="T4599" t="str">
        <f t="shared" si="1"/>
        <v/>
      </c>
      <c r="U4599" t="str">
        <f t="shared" si="2"/>
        <v/>
      </c>
      <c r="V4599" t="str">
        <f>IF(OR(U4599="",U4599="ERRO_CHAVE"),"",IFERROR(MATCH(U4599,Fornecedores!$AF$1:$AF$6631,0),""))</f>
        <v/>
      </c>
      <c r="W4599" t="str">
        <f t="shared" si="3"/>
        <v/>
      </c>
      <c r="X4599" s="4" t="str">
        <f>IF(V4599="","",INDEX(Fornecedores!$X$1:$X$6631,V4599))</f>
        <v/>
      </c>
      <c r="Y4599" s="4" t="str">
        <f t="shared" si="4"/>
        <v/>
      </c>
    </row>
    <row r="4600" spans="19:25">
      <c r="S4600" t="str">
        <f t="shared" si="0"/>
        <v/>
      </c>
      <c r="T4600" t="str">
        <f t="shared" si="1"/>
        <v/>
      </c>
      <c r="U4600" t="str">
        <f t="shared" si="2"/>
        <v/>
      </c>
      <c r="V4600" t="str">
        <f>IF(OR(U4600="",U4600="ERRO_CHAVE"),"",IFERROR(MATCH(U4600,Fornecedores!$AF$1:$AF$6631,0),""))</f>
        <v/>
      </c>
      <c r="W4600" t="str">
        <f t="shared" si="3"/>
        <v/>
      </c>
      <c r="X4600" s="4" t="str">
        <f>IF(V4600="","",INDEX(Fornecedores!$X$1:$X$6631,V4600))</f>
        <v/>
      </c>
      <c r="Y4600" s="4" t="str">
        <f t="shared" si="4"/>
        <v/>
      </c>
    </row>
    <row r="4601" spans="19:25">
      <c r="S4601" t="str">
        <f t="shared" si="0"/>
        <v/>
      </c>
      <c r="T4601" t="str">
        <f t="shared" si="1"/>
        <v/>
      </c>
      <c r="U4601" t="str">
        <f t="shared" si="2"/>
        <v/>
      </c>
      <c r="V4601" t="str">
        <f>IF(OR(U4601="",U4601="ERRO_CHAVE"),"",IFERROR(MATCH(U4601,Fornecedores!$AF$1:$AF$6631,0),""))</f>
        <v/>
      </c>
      <c r="W4601" t="str">
        <f t="shared" si="3"/>
        <v/>
      </c>
      <c r="X4601" s="4" t="str">
        <f>IF(V4601="","",INDEX(Fornecedores!$X$1:$X$6631,V4601))</f>
        <v/>
      </c>
      <c r="Y4601" s="4" t="str">
        <f t="shared" si="4"/>
        <v/>
      </c>
    </row>
    <row r="4602" spans="19:25">
      <c r="S4602" t="str">
        <f t="shared" si="0"/>
        <v/>
      </c>
      <c r="T4602" t="str">
        <f t="shared" si="1"/>
        <v/>
      </c>
      <c r="U4602" t="str">
        <f t="shared" si="2"/>
        <v/>
      </c>
      <c r="V4602" t="str">
        <f>IF(OR(U4602="",U4602="ERRO_CHAVE"),"",IFERROR(MATCH(U4602,Fornecedores!$AF$1:$AF$6631,0),""))</f>
        <v/>
      </c>
      <c r="W4602" t="str">
        <f t="shared" si="3"/>
        <v/>
      </c>
      <c r="X4602" s="4" t="str">
        <f>IF(V4602="","",INDEX(Fornecedores!$X$1:$X$6631,V4602))</f>
        <v/>
      </c>
      <c r="Y4602" s="4" t="str">
        <f t="shared" si="4"/>
        <v/>
      </c>
    </row>
    <row r="4603" spans="19:25">
      <c r="S4603" t="str">
        <f t="shared" si="0"/>
        <v/>
      </c>
      <c r="T4603" t="str">
        <f t="shared" si="1"/>
        <v/>
      </c>
      <c r="U4603" t="str">
        <f t="shared" si="2"/>
        <v/>
      </c>
      <c r="V4603" t="str">
        <f>IF(OR(U4603="",U4603="ERRO_CHAVE"),"",IFERROR(MATCH(U4603,Fornecedores!$AF$1:$AF$6631,0),""))</f>
        <v/>
      </c>
      <c r="W4603" t="str">
        <f t="shared" si="3"/>
        <v/>
      </c>
      <c r="X4603" s="4" t="str">
        <f>IF(V4603="","",INDEX(Fornecedores!$X$1:$X$6631,V4603))</f>
        <v/>
      </c>
      <c r="Y4603" s="4" t="str">
        <f t="shared" si="4"/>
        <v/>
      </c>
    </row>
    <row r="4604" spans="19:25">
      <c r="S4604" t="str">
        <f t="shared" si="0"/>
        <v/>
      </c>
      <c r="T4604" t="str">
        <f t="shared" si="1"/>
        <v/>
      </c>
      <c r="U4604" t="str">
        <f t="shared" si="2"/>
        <v/>
      </c>
      <c r="V4604" t="str">
        <f>IF(OR(U4604="",U4604="ERRO_CHAVE"),"",IFERROR(MATCH(U4604,Fornecedores!$AF$1:$AF$6631,0),""))</f>
        <v/>
      </c>
      <c r="W4604" t="str">
        <f t="shared" si="3"/>
        <v/>
      </c>
      <c r="X4604" s="4" t="str">
        <f>IF(V4604="","",INDEX(Fornecedores!$X$1:$X$6631,V4604))</f>
        <v/>
      </c>
      <c r="Y4604" s="4" t="str">
        <f t="shared" si="4"/>
        <v/>
      </c>
    </row>
    <row r="4605" spans="19:25">
      <c r="S4605" t="str">
        <f t="shared" si="0"/>
        <v/>
      </c>
      <c r="T4605" t="str">
        <f t="shared" si="1"/>
        <v/>
      </c>
      <c r="U4605" t="str">
        <f t="shared" si="2"/>
        <v/>
      </c>
      <c r="V4605" t="str">
        <f>IF(OR(U4605="",U4605="ERRO_CHAVE"),"",IFERROR(MATCH(U4605,Fornecedores!$AF$1:$AF$6631,0),""))</f>
        <v/>
      </c>
      <c r="W4605" t="str">
        <f t="shared" si="3"/>
        <v/>
      </c>
      <c r="X4605" s="4" t="str">
        <f>IF(V4605="","",INDEX(Fornecedores!$X$1:$X$6631,V4605))</f>
        <v/>
      </c>
      <c r="Y4605" s="4" t="str">
        <f t="shared" si="4"/>
        <v/>
      </c>
    </row>
    <row r="4606" spans="19:25">
      <c r="S4606" t="str">
        <f t="shared" si="0"/>
        <v/>
      </c>
      <c r="T4606" t="str">
        <f t="shared" si="1"/>
        <v/>
      </c>
      <c r="U4606" t="str">
        <f t="shared" si="2"/>
        <v/>
      </c>
      <c r="V4606" t="str">
        <f>IF(OR(U4606="",U4606="ERRO_CHAVE"),"",IFERROR(MATCH(U4606,Fornecedores!$AF$1:$AF$6631,0),""))</f>
        <v/>
      </c>
      <c r="W4606" t="str">
        <f t="shared" si="3"/>
        <v/>
      </c>
      <c r="X4606" s="4" t="str">
        <f>IF(V4606="","",INDEX(Fornecedores!$X$1:$X$6631,V4606))</f>
        <v/>
      </c>
      <c r="Y4606" s="4" t="str">
        <f t="shared" si="4"/>
        <v/>
      </c>
    </row>
    <row r="4607" spans="19:25">
      <c r="S4607" t="str">
        <f t="shared" si="0"/>
        <v/>
      </c>
      <c r="T4607" t="str">
        <f t="shared" si="1"/>
        <v/>
      </c>
      <c r="U4607" t="str">
        <f t="shared" si="2"/>
        <v/>
      </c>
      <c r="V4607" t="str">
        <f>IF(OR(U4607="",U4607="ERRO_CHAVE"),"",IFERROR(MATCH(U4607,Fornecedores!$AF$1:$AF$6631,0),""))</f>
        <v/>
      </c>
      <c r="W4607" t="str">
        <f t="shared" si="3"/>
        <v/>
      </c>
      <c r="X4607" s="4" t="str">
        <f>IF(V4607="","",INDEX(Fornecedores!$X$1:$X$6631,V4607))</f>
        <v/>
      </c>
      <c r="Y4607" s="4" t="str">
        <f t="shared" si="4"/>
        <v/>
      </c>
    </row>
    <row r="4608" spans="19:25">
      <c r="S4608" t="str">
        <f t="shared" si="0"/>
        <v/>
      </c>
      <c r="T4608" t="str">
        <f t="shared" si="1"/>
        <v/>
      </c>
      <c r="U4608" t="str">
        <f t="shared" si="2"/>
        <v/>
      </c>
      <c r="V4608" t="str">
        <f>IF(OR(U4608="",U4608="ERRO_CHAVE"),"",IFERROR(MATCH(U4608,Fornecedores!$AF$1:$AF$6631,0),""))</f>
        <v/>
      </c>
      <c r="W4608" t="str">
        <f t="shared" si="3"/>
        <v/>
      </c>
      <c r="X4608" s="4" t="str">
        <f>IF(V4608="","",INDEX(Fornecedores!$X$1:$X$6631,V4608))</f>
        <v/>
      </c>
      <c r="Y4608" s="4" t="str">
        <f t="shared" si="4"/>
        <v/>
      </c>
    </row>
    <row r="4609" spans="19:25">
      <c r="S4609" t="str">
        <f t="shared" si="0"/>
        <v/>
      </c>
      <c r="T4609" t="str">
        <f t="shared" si="1"/>
        <v/>
      </c>
      <c r="U4609" t="str">
        <f t="shared" si="2"/>
        <v/>
      </c>
      <c r="V4609" t="str">
        <f>IF(OR(U4609="",U4609="ERRO_CHAVE"),"",IFERROR(MATCH(U4609,Fornecedores!$AF$1:$AF$6631,0),""))</f>
        <v/>
      </c>
      <c r="W4609" t="str">
        <f t="shared" si="3"/>
        <v/>
      </c>
      <c r="X4609" s="4" t="str">
        <f>IF(V4609="","",INDEX(Fornecedores!$X$1:$X$6631,V4609))</f>
        <v/>
      </c>
      <c r="Y4609" s="4" t="str">
        <f t="shared" si="4"/>
        <v/>
      </c>
    </row>
    <row r="4610" spans="19:25">
      <c r="S4610" t="str">
        <f t="shared" si="0"/>
        <v/>
      </c>
      <c r="T4610" t="str">
        <f t="shared" si="1"/>
        <v/>
      </c>
      <c r="U4610" t="str">
        <f t="shared" si="2"/>
        <v/>
      </c>
      <c r="V4610" t="str">
        <f>IF(OR(U4610="",U4610="ERRO_CHAVE"),"",IFERROR(MATCH(U4610,Fornecedores!$AF$1:$AF$6631,0),""))</f>
        <v/>
      </c>
      <c r="W4610" t="str">
        <f t="shared" si="3"/>
        <v/>
      </c>
      <c r="X4610" s="4" t="str">
        <f>IF(V4610="","",INDEX(Fornecedores!$X$1:$X$6631,V4610))</f>
        <v/>
      </c>
      <c r="Y4610" s="4" t="str">
        <f t="shared" si="4"/>
        <v/>
      </c>
    </row>
    <row r="4611" spans="19:25">
      <c r="S4611" t="str">
        <f t="shared" si="0"/>
        <v/>
      </c>
      <c r="T4611" t="str">
        <f t="shared" si="1"/>
        <v/>
      </c>
      <c r="U4611" t="str">
        <f t="shared" si="2"/>
        <v/>
      </c>
      <c r="V4611" t="str">
        <f>IF(OR(U4611="",U4611="ERRO_CHAVE"),"",IFERROR(MATCH(U4611,Fornecedores!$AF$1:$AF$6631,0),""))</f>
        <v/>
      </c>
      <c r="W4611" t="str">
        <f t="shared" si="3"/>
        <v/>
      </c>
      <c r="X4611" s="4" t="str">
        <f>IF(V4611="","",INDEX(Fornecedores!$X$1:$X$6631,V4611))</f>
        <v/>
      </c>
      <c r="Y4611" s="4" t="str">
        <f t="shared" si="4"/>
        <v/>
      </c>
    </row>
    <row r="4612" spans="19:25">
      <c r="S4612" t="str">
        <f t="shared" si="0"/>
        <v/>
      </c>
      <c r="T4612" t="str">
        <f t="shared" si="1"/>
        <v/>
      </c>
      <c r="U4612" t="str">
        <f t="shared" si="2"/>
        <v/>
      </c>
      <c r="V4612" t="str">
        <f>IF(OR(U4612="",U4612="ERRO_CHAVE"),"",IFERROR(MATCH(U4612,Fornecedores!$AF$1:$AF$6631,0),""))</f>
        <v/>
      </c>
      <c r="W4612" t="str">
        <f t="shared" si="3"/>
        <v/>
      </c>
      <c r="X4612" s="4" t="str">
        <f>IF(V4612="","",INDEX(Fornecedores!$X$1:$X$6631,V4612))</f>
        <v/>
      </c>
      <c r="Y4612" s="4" t="str">
        <f t="shared" si="4"/>
        <v/>
      </c>
    </row>
    <row r="4613" spans="19:25">
      <c r="S4613" t="str">
        <f t="shared" si="0"/>
        <v/>
      </c>
      <c r="T4613" t="str">
        <f t="shared" si="1"/>
        <v/>
      </c>
      <c r="U4613" t="str">
        <f t="shared" si="2"/>
        <v/>
      </c>
      <c r="V4613" t="str">
        <f>IF(OR(U4613="",U4613="ERRO_CHAVE"),"",IFERROR(MATCH(U4613,Fornecedores!$AF$1:$AF$6631,0),""))</f>
        <v/>
      </c>
      <c r="W4613" t="str">
        <f t="shared" si="3"/>
        <v/>
      </c>
      <c r="X4613" s="4" t="str">
        <f>IF(V4613="","",INDEX(Fornecedores!$X$1:$X$6631,V4613))</f>
        <v/>
      </c>
      <c r="Y4613" s="4" t="str">
        <f t="shared" si="4"/>
        <v/>
      </c>
    </row>
    <row r="4614" spans="19:25">
      <c r="S4614" t="str">
        <f t="shared" si="0"/>
        <v/>
      </c>
      <c r="T4614" t="str">
        <f t="shared" si="1"/>
        <v/>
      </c>
      <c r="U4614" t="str">
        <f t="shared" si="2"/>
        <v/>
      </c>
      <c r="V4614" t="str">
        <f>IF(OR(U4614="",U4614="ERRO_CHAVE"),"",IFERROR(MATCH(U4614,Fornecedores!$AF$1:$AF$6631,0),""))</f>
        <v/>
      </c>
      <c r="W4614" t="str">
        <f t="shared" si="3"/>
        <v/>
      </c>
      <c r="X4614" s="4" t="str">
        <f>IF(V4614="","",INDEX(Fornecedores!$X$1:$X$6631,V4614))</f>
        <v/>
      </c>
      <c r="Y4614" s="4" t="str">
        <f t="shared" si="4"/>
        <v/>
      </c>
    </row>
    <row r="4615" spans="19:25">
      <c r="S4615" t="str">
        <f t="shared" si="0"/>
        <v/>
      </c>
      <c r="T4615" t="str">
        <f t="shared" si="1"/>
        <v/>
      </c>
      <c r="U4615" t="str">
        <f t="shared" si="2"/>
        <v/>
      </c>
      <c r="V4615" t="str">
        <f>IF(OR(U4615="",U4615="ERRO_CHAVE"),"",IFERROR(MATCH(U4615,Fornecedores!$AF$1:$AF$6631,0),""))</f>
        <v/>
      </c>
      <c r="W4615" t="str">
        <f t="shared" si="3"/>
        <v/>
      </c>
      <c r="X4615" s="4" t="str">
        <f>IF(V4615="","",INDEX(Fornecedores!$X$1:$X$6631,V4615))</f>
        <v/>
      </c>
      <c r="Y4615" s="4" t="str">
        <f t="shared" si="4"/>
        <v/>
      </c>
    </row>
    <row r="4616" spans="19:25">
      <c r="S4616" t="str">
        <f t="shared" si="0"/>
        <v/>
      </c>
      <c r="T4616" t="str">
        <f t="shared" si="1"/>
        <v/>
      </c>
      <c r="U4616" t="str">
        <f t="shared" si="2"/>
        <v/>
      </c>
      <c r="V4616" t="str">
        <f>IF(OR(U4616="",U4616="ERRO_CHAVE"),"",IFERROR(MATCH(U4616,Fornecedores!$AF$1:$AF$6631,0),""))</f>
        <v/>
      </c>
      <c r="W4616" t="str">
        <f t="shared" si="3"/>
        <v/>
      </c>
      <c r="X4616" s="4" t="str">
        <f>IF(V4616="","",INDEX(Fornecedores!$X$1:$X$6631,V4616))</f>
        <v/>
      </c>
      <c r="Y4616" s="4" t="str">
        <f t="shared" si="4"/>
        <v/>
      </c>
    </row>
    <row r="4617" spans="19:25">
      <c r="S4617" t="str">
        <f t="shared" si="0"/>
        <v/>
      </c>
      <c r="T4617" t="str">
        <f t="shared" si="1"/>
        <v/>
      </c>
      <c r="U4617" t="str">
        <f t="shared" si="2"/>
        <v/>
      </c>
      <c r="V4617" t="str">
        <f>IF(OR(U4617="",U4617="ERRO_CHAVE"),"",IFERROR(MATCH(U4617,Fornecedores!$AF$1:$AF$6631,0),""))</f>
        <v/>
      </c>
      <c r="W4617" t="str">
        <f t="shared" si="3"/>
        <v/>
      </c>
      <c r="X4617" s="4" t="str">
        <f>IF(V4617="","",INDEX(Fornecedores!$X$1:$X$6631,V4617))</f>
        <v/>
      </c>
      <c r="Y4617" s="4" t="str">
        <f t="shared" si="4"/>
        <v/>
      </c>
    </row>
    <row r="4618" spans="19:25">
      <c r="S4618" t="str">
        <f t="shared" si="0"/>
        <v/>
      </c>
      <c r="T4618" t="str">
        <f t="shared" si="1"/>
        <v/>
      </c>
      <c r="U4618" t="str">
        <f t="shared" si="2"/>
        <v/>
      </c>
      <c r="V4618" t="str">
        <f>IF(OR(U4618="",U4618="ERRO_CHAVE"),"",IFERROR(MATCH(U4618,Fornecedores!$AF$1:$AF$6631,0),""))</f>
        <v/>
      </c>
      <c r="W4618" t="str">
        <f t="shared" si="3"/>
        <v/>
      </c>
      <c r="X4618" s="4" t="str">
        <f>IF(V4618="","",INDEX(Fornecedores!$X$1:$X$6631,V4618))</f>
        <v/>
      </c>
      <c r="Y4618" s="4" t="str">
        <f t="shared" si="4"/>
        <v/>
      </c>
    </row>
    <row r="4619" spans="19:25">
      <c r="S4619" t="str">
        <f t="shared" si="0"/>
        <v/>
      </c>
      <c r="T4619" t="str">
        <f t="shared" si="1"/>
        <v/>
      </c>
      <c r="U4619" t="str">
        <f t="shared" si="2"/>
        <v/>
      </c>
      <c r="V4619" t="str">
        <f>IF(OR(U4619="",U4619="ERRO_CHAVE"),"",IFERROR(MATCH(U4619,Fornecedores!$AF$1:$AF$6631,0),""))</f>
        <v/>
      </c>
      <c r="W4619" t="str">
        <f t="shared" si="3"/>
        <v/>
      </c>
      <c r="X4619" s="4" t="str">
        <f>IF(V4619="","",INDEX(Fornecedores!$X$1:$X$6631,V4619))</f>
        <v/>
      </c>
      <c r="Y4619" s="4" t="str">
        <f t="shared" si="4"/>
        <v/>
      </c>
    </row>
    <row r="4620" spans="19:25">
      <c r="S4620" t="str">
        <f t="shared" si="0"/>
        <v/>
      </c>
      <c r="T4620" t="str">
        <f t="shared" si="1"/>
        <v/>
      </c>
      <c r="U4620" t="str">
        <f t="shared" si="2"/>
        <v/>
      </c>
      <c r="V4620" t="str">
        <f>IF(OR(U4620="",U4620="ERRO_CHAVE"),"",IFERROR(MATCH(U4620,Fornecedores!$AF$1:$AF$6631,0),""))</f>
        <v/>
      </c>
      <c r="W4620" t="str">
        <f t="shared" si="3"/>
        <v/>
      </c>
      <c r="X4620" s="4" t="str">
        <f>IF(V4620="","",INDEX(Fornecedores!$X$1:$X$6631,V4620))</f>
        <v/>
      </c>
      <c r="Y4620" s="4" t="str">
        <f t="shared" si="4"/>
        <v/>
      </c>
    </row>
    <row r="4621" spans="19:25">
      <c r="S4621" t="str">
        <f t="shared" si="0"/>
        <v/>
      </c>
      <c r="T4621" t="str">
        <f t="shared" si="1"/>
        <v/>
      </c>
      <c r="U4621" t="str">
        <f t="shared" si="2"/>
        <v/>
      </c>
      <c r="V4621" t="str">
        <f>IF(OR(U4621="",U4621="ERRO_CHAVE"),"",IFERROR(MATCH(U4621,Fornecedores!$AF$1:$AF$6631,0),""))</f>
        <v/>
      </c>
      <c r="W4621" t="str">
        <f t="shared" si="3"/>
        <v/>
      </c>
      <c r="X4621" s="4" t="str">
        <f>IF(V4621="","",INDEX(Fornecedores!$X$1:$X$6631,V4621))</f>
        <v/>
      </c>
      <c r="Y4621" s="4" t="str">
        <f t="shared" si="4"/>
        <v/>
      </c>
    </row>
    <row r="4622" spans="19:25">
      <c r="S4622" t="str">
        <f t="shared" si="0"/>
        <v/>
      </c>
      <c r="T4622" t="str">
        <f t="shared" si="1"/>
        <v/>
      </c>
      <c r="U4622" t="str">
        <f t="shared" si="2"/>
        <v/>
      </c>
      <c r="V4622" t="str">
        <f>IF(OR(U4622="",U4622="ERRO_CHAVE"),"",IFERROR(MATCH(U4622,Fornecedores!$AF$1:$AF$6631,0),""))</f>
        <v/>
      </c>
      <c r="W4622" t="str">
        <f t="shared" si="3"/>
        <v/>
      </c>
      <c r="X4622" s="4" t="str">
        <f>IF(V4622="","",INDEX(Fornecedores!$X$1:$X$6631,V4622))</f>
        <v/>
      </c>
      <c r="Y4622" s="4" t="str">
        <f t="shared" si="4"/>
        <v/>
      </c>
    </row>
    <row r="4623" spans="19:25">
      <c r="S4623" t="str">
        <f t="shared" si="0"/>
        <v/>
      </c>
      <c r="T4623" t="str">
        <f t="shared" si="1"/>
        <v/>
      </c>
      <c r="U4623" t="str">
        <f t="shared" si="2"/>
        <v/>
      </c>
      <c r="V4623" t="str">
        <f>IF(OR(U4623="",U4623="ERRO_CHAVE"),"",IFERROR(MATCH(U4623,Fornecedores!$AF$1:$AF$6631,0),""))</f>
        <v/>
      </c>
      <c r="W4623" t="str">
        <f t="shared" si="3"/>
        <v/>
      </c>
      <c r="X4623" s="4" t="str">
        <f>IF(V4623="","",INDEX(Fornecedores!$X$1:$X$6631,V4623))</f>
        <v/>
      </c>
      <c r="Y4623" s="4" t="str">
        <f t="shared" si="4"/>
        <v/>
      </c>
    </row>
    <row r="4624" spans="19:25">
      <c r="S4624" t="str">
        <f t="shared" si="0"/>
        <v/>
      </c>
      <c r="T4624" t="str">
        <f t="shared" si="1"/>
        <v/>
      </c>
      <c r="U4624" t="str">
        <f t="shared" si="2"/>
        <v/>
      </c>
      <c r="V4624" t="str">
        <f>IF(OR(U4624="",U4624="ERRO_CHAVE"),"",IFERROR(MATCH(U4624,Fornecedores!$AF$1:$AF$6631,0),""))</f>
        <v/>
      </c>
      <c r="W4624" t="str">
        <f t="shared" si="3"/>
        <v/>
      </c>
      <c r="X4624" s="4" t="str">
        <f>IF(V4624="","",INDEX(Fornecedores!$X$1:$X$6631,V4624))</f>
        <v/>
      </c>
      <c r="Y4624" s="4" t="str">
        <f t="shared" si="4"/>
        <v/>
      </c>
    </row>
    <row r="4625" spans="19:25">
      <c r="S4625" t="str">
        <f t="shared" si="0"/>
        <v/>
      </c>
      <c r="T4625" t="str">
        <f t="shared" si="1"/>
        <v/>
      </c>
      <c r="U4625" t="str">
        <f t="shared" si="2"/>
        <v/>
      </c>
      <c r="V4625" t="str">
        <f>IF(OR(U4625="",U4625="ERRO_CHAVE"),"",IFERROR(MATCH(U4625,Fornecedores!$AF$1:$AF$6631,0),""))</f>
        <v/>
      </c>
      <c r="W4625" t="str">
        <f t="shared" si="3"/>
        <v/>
      </c>
      <c r="X4625" s="4" t="str">
        <f>IF(V4625="","",INDEX(Fornecedores!$X$1:$X$6631,V4625))</f>
        <v/>
      </c>
      <c r="Y4625" s="4" t="str">
        <f t="shared" si="4"/>
        <v/>
      </c>
    </row>
    <row r="4626" spans="19:25">
      <c r="S4626" t="str">
        <f t="shared" si="0"/>
        <v/>
      </c>
      <c r="T4626" t="str">
        <f t="shared" si="1"/>
        <v/>
      </c>
      <c r="U4626" t="str">
        <f t="shared" si="2"/>
        <v/>
      </c>
      <c r="V4626" t="str">
        <f>IF(OR(U4626="",U4626="ERRO_CHAVE"),"",IFERROR(MATCH(U4626,Fornecedores!$AF$1:$AF$6631,0),""))</f>
        <v/>
      </c>
      <c r="W4626" t="str">
        <f t="shared" si="3"/>
        <v/>
      </c>
      <c r="X4626" s="4" t="str">
        <f>IF(V4626="","",INDEX(Fornecedores!$X$1:$X$6631,V4626))</f>
        <v/>
      </c>
      <c r="Y4626" s="4" t="str">
        <f t="shared" si="4"/>
        <v/>
      </c>
    </row>
    <row r="4627" spans="19:25">
      <c r="S4627" t="str">
        <f t="shared" si="0"/>
        <v/>
      </c>
      <c r="T4627" t="str">
        <f t="shared" si="1"/>
        <v/>
      </c>
      <c r="U4627" t="str">
        <f t="shared" si="2"/>
        <v/>
      </c>
      <c r="V4627" t="str">
        <f>IF(OR(U4627="",U4627="ERRO_CHAVE"),"",IFERROR(MATCH(U4627,Fornecedores!$AF$1:$AF$6631,0),""))</f>
        <v/>
      </c>
      <c r="W4627" t="str">
        <f t="shared" si="3"/>
        <v/>
      </c>
      <c r="X4627" s="4" t="str">
        <f>IF(V4627="","",INDEX(Fornecedores!$X$1:$X$6631,V4627))</f>
        <v/>
      </c>
      <c r="Y4627" s="4" t="str">
        <f t="shared" si="4"/>
        <v/>
      </c>
    </row>
    <row r="4628" spans="19:25">
      <c r="S4628" t="str">
        <f t="shared" si="0"/>
        <v/>
      </c>
      <c r="T4628" t="str">
        <f t="shared" si="1"/>
        <v/>
      </c>
      <c r="U4628" t="str">
        <f t="shared" si="2"/>
        <v/>
      </c>
      <c r="V4628" t="str">
        <f>IF(OR(U4628="",U4628="ERRO_CHAVE"),"",IFERROR(MATCH(U4628,Fornecedores!$AF$1:$AF$6631,0),""))</f>
        <v/>
      </c>
      <c r="W4628" t="str">
        <f t="shared" si="3"/>
        <v/>
      </c>
      <c r="X4628" s="4" t="str">
        <f>IF(V4628="","",INDEX(Fornecedores!$X$1:$X$6631,V4628))</f>
        <v/>
      </c>
      <c r="Y4628" s="4" t="str">
        <f t="shared" si="4"/>
        <v/>
      </c>
    </row>
    <row r="4629" spans="19:25">
      <c r="S4629" t="str">
        <f t="shared" si="0"/>
        <v/>
      </c>
      <c r="T4629" t="str">
        <f t="shared" si="1"/>
        <v/>
      </c>
      <c r="U4629" t="str">
        <f t="shared" si="2"/>
        <v/>
      </c>
      <c r="V4629" t="str">
        <f>IF(OR(U4629="",U4629="ERRO_CHAVE"),"",IFERROR(MATCH(U4629,Fornecedores!$AF$1:$AF$6631,0),""))</f>
        <v/>
      </c>
      <c r="W4629" t="str">
        <f t="shared" si="3"/>
        <v/>
      </c>
      <c r="X4629" s="4" t="str">
        <f>IF(V4629="","",INDEX(Fornecedores!$X$1:$X$6631,V4629))</f>
        <v/>
      </c>
      <c r="Y4629" s="4" t="str">
        <f t="shared" si="4"/>
        <v/>
      </c>
    </row>
    <row r="4630" spans="19:25">
      <c r="S4630" t="str">
        <f t="shared" si="0"/>
        <v/>
      </c>
      <c r="T4630" t="str">
        <f t="shared" si="1"/>
        <v/>
      </c>
      <c r="U4630" t="str">
        <f t="shared" si="2"/>
        <v/>
      </c>
      <c r="V4630" t="str">
        <f>IF(OR(U4630="",U4630="ERRO_CHAVE"),"",IFERROR(MATCH(U4630,Fornecedores!$AF$1:$AF$6631,0),""))</f>
        <v/>
      </c>
      <c r="W4630" t="str">
        <f t="shared" si="3"/>
        <v/>
      </c>
      <c r="X4630" s="4" t="str">
        <f>IF(V4630="","",INDEX(Fornecedores!$X$1:$X$6631,V4630))</f>
        <v/>
      </c>
      <c r="Y4630" s="4" t="str">
        <f t="shared" si="4"/>
        <v/>
      </c>
    </row>
    <row r="4631" spans="19:25">
      <c r="S4631" t="str">
        <f t="shared" si="0"/>
        <v/>
      </c>
      <c r="T4631" t="str">
        <f t="shared" si="1"/>
        <v/>
      </c>
      <c r="U4631" t="str">
        <f t="shared" si="2"/>
        <v/>
      </c>
      <c r="V4631" t="str">
        <f>IF(OR(U4631="",U4631="ERRO_CHAVE"),"",IFERROR(MATCH(U4631,Fornecedores!$AF$1:$AF$6631,0),""))</f>
        <v/>
      </c>
      <c r="W4631" t="str">
        <f t="shared" si="3"/>
        <v/>
      </c>
      <c r="X4631" s="4" t="str">
        <f>IF(V4631="","",INDEX(Fornecedores!$X$1:$X$6631,V4631))</f>
        <v/>
      </c>
      <c r="Y4631" s="4" t="str">
        <f t="shared" si="4"/>
        <v/>
      </c>
    </row>
    <row r="4632" spans="19:25">
      <c r="S4632" t="str">
        <f t="shared" si="0"/>
        <v/>
      </c>
      <c r="T4632" t="str">
        <f t="shared" si="1"/>
        <v/>
      </c>
      <c r="U4632" t="str">
        <f t="shared" si="2"/>
        <v/>
      </c>
      <c r="V4632" t="str">
        <f>IF(OR(U4632="",U4632="ERRO_CHAVE"),"",IFERROR(MATCH(U4632,Fornecedores!$AF$1:$AF$6631,0),""))</f>
        <v/>
      </c>
      <c r="W4632" t="str">
        <f t="shared" si="3"/>
        <v/>
      </c>
      <c r="X4632" s="4" t="str">
        <f>IF(V4632="","",INDEX(Fornecedores!$X$1:$X$6631,V4632))</f>
        <v/>
      </c>
      <c r="Y4632" s="4" t="str">
        <f t="shared" si="4"/>
        <v/>
      </c>
    </row>
    <row r="4633" spans="19:25">
      <c r="S4633" t="str">
        <f t="shared" si="0"/>
        <v/>
      </c>
      <c r="T4633" t="str">
        <f t="shared" si="1"/>
        <v/>
      </c>
      <c r="U4633" t="str">
        <f t="shared" si="2"/>
        <v/>
      </c>
      <c r="V4633" t="str">
        <f>IF(OR(U4633="",U4633="ERRO_CHAVE"),"",IFERROR(MATCH(U4633,Fornecedores!$AF$1:$AF$6631,0),""))</f>
        <v/>
      </c>
      <c r="W4633" t="str">
        <f t="shared" si="3"/>
        <v/>
      </c>
      <c r="X4633" s="4" t="str">
        <f>IF(V4633="","",INDEX(Fornecedores!$X$1:$X$6631,V4633))</f>
        <v/>
      </c>
      <c r="Y4633" s="4" t="str">
        <f t="shared" si="4"/>
        <v/>
      </c>
    </row>
    <row r="4634" spans="19:25">
      <c r="S4634" t="str">
        <f t="shared" si="0"/>
        <v/>
      </c>
      <c r="T4634" t="str">
        <f t="shared" si="1"/>
        <v/>
      </c>
      <c r="U4634" t="str">
        <f t="shared" si="2"/>
        <v/>
      </c>
      <c r="V4634" t="str">
        <f>IF(OR(U4634="",U4634="ERRO_CHAVE"),"",IFERROR(MATCH(U4634,Fornecedores!$AF$1:$AF$6631,0),""))</f>
        <v/>
      </c>
      <c r="W4634" t="str">
        <f t="shared" si="3"/>
        <v/>
      </c>
      <c r="X4634" s="4" t="str">
        <f>IF(V4634="","",INDEX(Fornecedores!$X$1:$X$6631,V4634))</f>
        <v/>
      </c>
      <c r="Y4634" s="4" t="str">
        <f t="shared" si="4"/>
        <v/>
      </c>
    </row>
    <row r="4635" spans="19:25">
      <c r="S4635" t="str">
        <f t="shared" si="0"/>
        <v/>
      </c>
      <c r="T4635" t="str">
        <f t="shared" si="1"/>
        <v/>
      </c>
      <c r="U4635" t="str">
        <f t="shared" si="2"/>
        <v/>
      </c>
      <c r="V4635" t="str">
        <f>IF(OR(U4635="",U4635="ERRO_CHAVE"),"",IFERROR(MATCH(U4635,Fornecedores!$AF$1:$AF$6631,0),""))</f>
        <v/>
      </c>
      <c r="W4635" t="str">
        <f t="shared" si="3"/>
        <v/>
      </c>
      <c r="X4635" s="4" t="str">
        <f>IF(V4635="","",INDEX(Fornecedores!$X$1:$X$6631,V4635))</f>
        <v/>
      </c>
      <c r="Y4635" s="4" t="str">
        <f t="shared" si="4"/>
        <v/>
      </c>
    </row>
    <row r="4636" spans="19:25">
      <c r="S4636" t="str">
        <f t="shared" si="0"/>
        <v/>
      </c>
      <c r="T4636" t="str">
        <f t="shared" si="1"/>
        <v/>
      </c>
      <c r="U4636" t="str">
        <f t="shared" si="2"/>
        <v/>
      </c>
      <c r="V4636" t="str">
        <f>IF(OR(U4636="",U4636="ERRO_CHAVE"),"",IFERROR(MATCH(U4636,Fornecedores!$AF$1:$AF$6631,0),""))</f>
        <v/>
      </c>
      <c r="W4636" t="str">
        <f t="shared" si="3"/>
        <v/>
      </c>
      <c r="X4636" s="4" t="str">
        <f>IF(V4636="","",INDEX(Fornecedores!$X$1:$X$6631,V4636))</f>
        <v/>
      </c>
      <c r="Y4636" s="4" t="str">
        <f t="shared" si="4"/>
        <v/>
      </c>
    </row>
    <row r="4637" spans="19:25">
      <c r="S4637" t="str">
        <f t="shared" si="0"/>
        <v/>
      </c>
      <c r="T4637" t="str">
        <f t="shared" si="1"/>
        <v/>
      </c>
      <c r="U4637" t="str">
        <f t="shared" si="2"/>
        <v/>
      </c>
      <c r="V4637" t="str">
        <f>IF(OR(U4637="",U4637="ERRO_CHAVE"),"",IFERROR(MATCH(U4637,Fornecedores!$AF$1:$AF$6631,0),""))</f>
        <v/>
      </c>
      <c r="W4637" t="str">
        <f t="shared" si="3"/>
        <v/>
      </c>
      <c r="X4637" s="4" t="str">
        <f>IF(V4637="","",INDEX(Fornecedores!$X$1:$X$6631,V4637))</f>
        <v/>
      </c>
      <c r="Y4637" s="4" t="str">
        <f t="shared" si="4"/>
        <v/>
      </c>
    </row>
    <row r="4638" spans="19:25">
      <c r="S4638" t="str">
        <f t="shared" si="0"/>
        <v/>
      </c>
      <c r="T4638" t="str">
        <f t="shared" si="1"/>
        <v/>
      </c>
      <c r="U4638" t="str">
        <f t="shared" si="2"/>
        <v/>
      </c>
      <c r="V4638" t="str">
        <f>IF(OR(U4638="",U4638="ERRO_CHAVE"),"",IFERROR(MATCH(U4638,Fornecedores!$AF$1:$AF$6631,0),""))</f>
        <v/>
      </c>
      <c r="W4638" t="str">
        <f t="shared" si="3"/>
        <v/>
      </c>
      <c r="X4638" s="4" t="str">
        <f>IF(V4638="","",INDEX(Fornecedores!$X$1:$X$6631,V4638))</f>
        <v/>
      </c>
      <c r="Y4638" s="4" t="str">
        <f t="shared" si="4"/>
        <v/>
      </c>
    </row>
    <row r="4639" spans="19:25">
      <c r="S4639" t="str">
        <f t="shared" si="0"/>
        <v/>
      </c>
      <c r="T4639" t="str">
        <f t="shared" si="1"/>
        <v/>
      </c>
      <c r="U4639" t="str">
        <f t="shared" si="2"/>
        <v/>
      </c>
      <c r="V4639" t="str">
        <f>IF(OR(U4639="",U4639="ERRO_CHAVE"),"",IFERROR(MATCH(U4639,Fornecedores!$AF$1:$AF$6631,0),""))</f>
        <v/>
      </c>
      <c r="W4639" t="str">
        <f t="shared" si="3"/>
        <v/>
      </c>
      <c r="X4639" s="4" t="str">
        <f>IF(V4639="","",INDEX(Fornecedores!$X$1:$X$6631,V4639))</f>
        <v/>
      </c>
      <c r="Y4639" s="4" t="str">
        <f t="shared" si="4"/>
        <v/>
      </c>
    </row>
    <row r="4640" spans="19:25">
      <c r="S4640" t="str">
        <f t="shared" si="0"/>
        <v/>
      </c>
      <c r="T4640" t="str">
        <f t="shared" si="1"/>
        <v/>
      </c>
      <c r="U4640" t="str">
        <f t="shared" si="2"/>
        <v/>
      </c>
      <c r="V4640" t="str">
        <f>IF(OR(U4640="",U4640="ERRO_CHAVE"),"",IFERROR(MATCH(U4640,Fornecedores!$AF$1:$AF$6631,0),""))</f>
        <v/>
      </c>
      <c r="W4640" t="str">
        <f t="shared" si="3"/>
        <v/>
      </c>
      <c r="X4640" s="4" t="str">
        <f>IF(V4640="","",INDEX(Fornecedores!$X$1:$X$6631,V4640))</f>
        <v/>
      </c>
      <c r="Y4640" s="4" t="str">
        <f t="shared" si="4"/>
        <v/>
      </c>
    </row>
    <row r="4641" spans="19:25">
      <c r="S4641" t="str">
        <f t="shared" si="0"/>
        <v/>
      </c>
      <c r="T4641" t="str">
        <f t="shared" si="1"/>
        <v/>
      </c>
      <c r="U4641" t="str">
        <f t="shared" si="2"/>
        <v/>
      </c>
      <c r="V4641" t="str">
        <f>IF(OR(U4641="",U4641="ERRO_CHAVE"),"",IFERROR(MATCH(U4641,Fornecedores!$AF$1:$AF$6631,0),""))</f>
        <v/>
      </c>
      <c r="W4641" t="str">
        <f t="shared" si="3"/>
        <v/>
      </c>
      <c r="X4641" s="4" t="str">
        <f>IF(V4641="","",INDEX(Fornecedores!$X$1:$X$6631,V4641))</f>
        <v/>
      </c>
      <c r="Y4641" s="4" t="str">
        <f t="shared" si="4"/>
        <v/>
      </c>
    </row>
    <row r="4642" spans="19:25">
      <c r="S4642" t="str">
        <f t="shared" si="0"/>
        <v/>
      </c>
      <c r="T4642" t="str">
        <f t="shared" si="1"/>
        <v/>
      </c>
      <c r="U4642" t="str">
        <f t="shared" si="2"/>
        <v/>
      </c>
      <c r="V4642" t="str">
        <f>IF(OR(U4642="",U4642="ERRO_CHAVE"),"",IFERROR(MATCH(U4642,Fornecedores!$AF$1:$AF$6631,0),""))</f>
        <v/>
      </c>
      <c r="W4642" t="str">
        <f t="shared" si="3"/>
        <v/>
      </c>
      <c r="X4642" s="4" t="str">
        <f>IF(V4642="","",INDEX(Fornecedores!$X$1:$X$6631,V4642))</f>
        <v/>
      </c>
      <c r="Y4642" s="4" t="str">
        <f t="shared" si="4"/>
        <v/>
      </c>
    </row>
    <row r="4643" spans="19:25">
      <c r="S4643" t="str">
        <f t="shared" si="0"/>
        <v/>
      </c>
      <c r="T4643" t="str">
        <f t="shared" si="1"/>
        <v/>
      </c>
      <c r="U4643" t="str">
        <f t="shared" si="2"/>
        <v/>
      </c>
      <c r="V4643" t="str">
        <f>IF(OR(U4643="",U4643="ERRO_CHAVE"),"",IFERROR(MATCH(U4643,Fornecedores!$AF$1:$AF$6631,0),""))</f>
        <v/>
      </c>
      <c r="W4643" t="str">
        <f t="shared" si="3"/>
        <v/>
      </c>
      <c r="X4643" s="4" t="str">
        <f>IF(V4643="","",INDEX(Fornecedores!$X$1:$X$6631,V4643))</f>
        <v/>
      </c>
      <c r="Y4643" s="4" t="str">
        <f t="shared" si="4"/>
        <v/>
      </c>
    </row>
    <row r="4644" spans="19:25">
      <c r="S4644" t="str">
        <f t="shared" si="0"/>
        <v/>
      </c>
      <c r="T4644" t="str">
        <f t="shared" si="1"/>
        <v/>
      </c>
      <c r="U4644" t="str">
        <f t="shared" si="2"/>
        <v/>
      </c>
      <c r="V4644" t="str">
        <f>IF(OR(U4644="",U4644="ERRO_CHAVE"),"",IFERROR(MATCH(U4644,Fornecedores!$AF$1:$AF$6631,0),""))</f>
        <v/>
      </c>
      <c r="W4644" t="str">
        <f t="shared" si="3"/>
        <v/>
      </c>
      <c r="X4644" s="4" t="str">
        <f>IF(V4644="","",INDEX(Fornecedores!$X$1:$X$6631,V4644))</f>
        <v/>
      </c>
      <c r="Y4644" s="4" t="str">
        <f t="shared" si="4"/>
        <v/>
      </c>
    </row>
    <row r="4645" spans="19:25">
      <c r="S4645" t="str">
        <f t="shared" si="0"/>
        <v/>
      </c>
      <c r="T4645" t="str">
        <f t="shared" si="1"/>
        <v/>
      </c>
      <c r="U4645" t="str">
        <f t="shared" si="2"/>
        <v/>
      </c>
      <c r="V4645" t="str">
        <f>IF(OR(U4645="",U4645="ERRO_CHAVE"),"",IFERROR(MATCH(U4645,Fornecedores!$AF$1:$AF$6631,0),""))</f>
        <v/>
      </c>
      <c r="W4645" t="str">
        <f t="shared" si="3"/>
        <v/>
      </c>
      <c r="X4645" s="4" t="str">
        <f>IF(V4645="","",INDEX(Fornecedores!$X$1:$X$6631,V4645))</f>
        <v/>
      </c>
      <c r="Y4645" s="4" t="str">
        <f t="shared" si="4"/>
        <v/>
      </c>
    </row>
    <row r="4646" spans="19:25">
      <c r="S4646" t="str">
        <f t="shared" si="0"/>
        <v/>
      </c>
      <c r="T4646" t="str">
        <f t="shared" si="1"/>
        <v/>
      </c>
      <c r="U4646" t="str">
        <f t="shared" si="2"/>
        <v/>
      </c>
      <c r="V4646" t="str">
        <f>IF(OR(U4646="",U4646="ERRO_CHAVE"),"",IFERROR(MATCH(U4646,Fornecedores!$AF$1:$AF$6631,0),""))</f>
        <v/>
      </c>
      <c r="W4646" t="str">
        <f t="shared" si="3"/>
        <v/>
      </c>
      <c r="X4646" s="4" t="str">
        <f>IF(V4646="","",INDEX(Fornecedores!$X$1:$X$6631,V4646))</f>
        <v/>
      </c>
      <c r="Y4646" s="4" t="str">
        <f t="shared" si="4"/>
        <v/>
      </c>
    </row>
    <row r="4647" spans="19:25">
      <c r="S4647" t="str">
        <f t="shared" si="0"/>
        <v/>
      </c>
      <c r="T4647" t="str">
        <f t="shared" si="1"/>
        <v/>
      </c>
      <c r="U4647" t="str">
        <f t="shared" si="2"/>
        <v/>
      </c>
      <c r="V4647" t="str">
        <f>IF(OR(U4647="",U4647="ERRO_CHAVE"),"",IFERROR(MATCH(U4647,Fornecedores!$AF$1:$AF$6631,0),""))</f>
        <v/>
      </c>
      <c r="W4647" t="str">
        <f t="shared" si="3"/>
        <v/>
      </c>
      <c r="X4647" s="4" t="str">
        <f>IF(V4647="","",INDEX(Fornecedores!$X$1:$X$6631,V4647))</f>
        <v/>
      </c>
      <c r="Y4647" s="4" t="str">
        <f t="shared" si="4"/>
        <v/>
      </c>
    </row>
    <row r="4648" spans="19:25">
      <c r="S4648" t="str">
        <f t="shared" si="0"/>
        <v/>
      </c>
      <c r="T4648" t="str">
        <f t="shared" si="1"/>
        <v/>
      </c>
      <c r="U4648" t="str">
        <f t="shared" si="2"/>
        <v/>
      </c>
      <c r="V4648" t="str">
        <f>IF(OR(U4648="",U4648="ERRO_CHAVE"),"",IFERROR(MATCH(U4648,Fornecedores!$AF$1:$AF$6631,0),""))</f>
        <v/>
      </c>
      <c r="W4648" t="str">
        <f t="shared" si="3"/>
        <v/>
      </c>
      <c r="X4648" s="4" t="str">
        <f>IF(V4648="","",INDEX(Fornecedores!$X$1:$X$6631,V4648))</f>
        <v/>
      </c>
      <c r="Y4648" s="4" t="str">
        <f t="shared" si="4"/>
        <v/>
      </c>
    </row>
    <row r="4649" spans="19:25">
      <c r="S4649" t="str">
        <f t="shared" si="0"/>
        <v/>
      </c>
      <c r="T4649" t="str">
        <f t="shared" si="1"/>
        <v/>
      </c>
      <c r="U4649" t="str">
        <f t="shared" si="2"/>
        <v/>
      </c>
      <c r="V4649" t="str">
        <f>IF(OR(U4649="",U4649="ERRO_CHAVE"),"",IFERROR(MATCH(U4649,Fornecedores!$AF$1:$AF$6631,0),""))</f>
        <v/>
      </c>
      <c r="W4649" t="str">
        <f t="shared" si="3"/>
        <v/>
      </c>
      <c r="X4649" s="4" t="str">
        <f>IF(V4649="","",INDEX(Fornecedores!$X$1:$X$6631,V4649))</f>
        <v/>
      </c>
      <c r="Y4649" s="4" t="str">
        <f t="shared" si="4"/>
        <v/>
      </c>
    </row>
    <row r="4650" spans="19:25">
      <c r="S4650" t="str">
        <f t="shared" si="0"/>
        <v/>
      </c>
      <c r="T4650" t="str">
        <f t="shared" si="1"/>
        <v/>
      </c>
      <c r="U4650" t="str">
        <f t="shared" si="2"/>
        <v/>
      </c>
      <c r="V4650" t="str">
        <f>IF(OR(U4650="",U4650="ERRO_CHAVE"),"",IFERROR(MATCH(U4650,Fornecedores!$AF$1:$AF$6631,0),""))</f>
        <v/>
      </c>
      <c r="W4650" t="str">
        <f t="shared" si="3"/>
        <v/>
      </c>
      <c r="X4650" s="4" t="str">
        <f>IF(V4650="","",INDEX(Fornecedores!$X$1:$X$6631,V4650))</f>
        <v/>
      </c>
      <c r="Y4650" s="4" t="str">
        <f t="shared" si="4"/>
        <v/>
      </c>
    </row>
    <row r="4651" spans="19:25">
      <c r="S4651" t="str">
        <f t="shared" si="0"/>
        <v/>
      </c>
      <c r="T4651" t="str">
        <f t="shared" si="1"/>
        <v/>
      </c>
      <c r="U4651" t="str">
        <f t="shared" si="2"/>
        <v/>
      </c>
      <c r="V4651" t="str">
        <f>IF(OR(U4651="",U4651="ERRO_CHAVE"),"",IFERROR(MATCH(U4651,Fornecedores!$AF$1:$AF$6631,0),""))</f>
        <v/>
      </c>
      <c r="W4651" t="str">
        <f t="shared" si="3"/>
        <v/>
      </c>
      <c r="X4651" s="4" t="str">
        <f>IF(V4651="","",INDEX(Fornecedores!$X$1:$X$6631,V4651))</f>
        <v/>
      </c>
      <c r="Y4651" s="4" t="str">
        <f t="shared" si="4"/>
        <v/>
      </c>
    </row>
    <row r="4652" spans="19:25">
      <c r="S4652" t="str">
        <f t="shared" si="0"/>
        <v/>
      </c>
      <c r="T4652" t="str">
        <f t="shared" si="1"/>
        <v/>
      </c>
      <c r="U4652" t="str">
        <f t="shared" si="2"/>
        <v/>
      </c>
      <c r="V4652" t="str">
        <f>IF(OR(U4652="",U4652="ERRO_CHAVE"),"",IFERROR(MATCH(U4652,Fornecedores!$AF$1:$AF$6631,0),""))</f>
        <v/>
      </c>
      <c r="W4652" t="str">
        <f t="shared" si="3"/>
        <v/>
      </c>
      <c r="X4652" s="4" t="str">
        <f>IF(V4652="","",INDEX(Fornecedores!$X$1:$X$6631,V4652))</f>
        <v/>
      </c>
      <c r="Y4652" s="4" t="str">
        <f t="shared" si="4"/>
        <v/>
      </c>
    </row>
    <row r="4653" spans="19:25">
      <c r="S4653" t="str">
        <f t="shared" si="0"/>
        <v/>
      </c>
      <c r="T4653" t="str">
        <f t="shared" si="1"/>
        <v/>
      </c>
      <c r="U4653" t="str">
        <f t="shared" si="2"/>
        <v/>
      </c>
      <c r="V4653" t="str">
        <f>IF(OR(U4653="",U4653="ERRO_CHAVE"),"",IFERROR(MATCH(U4653,Fornecedores!$AF$1:$AF$6631,0),""))</f>
        <v/>
      </c>
      <c r="W4653" t="str">
        <f t="shared" si="3"/>
        <v/>
      </c>
      <c r="X4653" s="4" t="str">
        <f>IF(V4653="","",INDEX(Fornecedores!$X$1:$X$6631,V4653))</f>
        <v/>
      </c>
      <c r="Y4653" s="4" t="str">
        <f t="shared" si="4"/>
        <v/>
      </c>
    </row>
    <row r="4654" spans="19:25">
      <c r="S4654" t="str">
        <f t="shared" si="0"/>
        <v/>
      </c>
      <c r="T4654" t="str">
        <f t="shared" si="1"/>
        <v/>
      </c>
      <c r="U4654" t="str">
        <f t="shared" si="2"/>
        <v/>
      </c>
      <c r="V4654" t="str">
        <f>IF(OR(U4654="",U4654="ERRO_CHAVE"),"",IFERROR(MATCH(U4654,Fornecedores!$AF$1:$AF$6631,0),""))</f>
        <v/>
      </c>
      <c r="W4654" t="str">
        <f t="shared" si="3"/>
        <v/>
      </c>
      <c r="X4654" s="4" t="str">
        <f>IF(V4654="","",INDEX(Fornecedores!$X$1:$X$6631,V4654))</f>
        <v/>
      </c>
      <c r="Y4654" s="4" t="str">
        <f t="shared" si="4"/>
        <v/>
      </c>
    </row>
    <row r="4655" spans="19:25">
      <c r="S4655" t="str">
        <f t="shared" si="0"/>
        <v/>
      </c>
      <c r="T4655" t="str">
        <f t="shared" si="1"/>
        <v/>
      </c>
      <c r="U4655" t="str">
        <f t="shared" si="2"/>
        <v/>
      </c>
      <c r="V4655" t="str">
        <f>IF(OR(U4655="",U4655="ERRO_CHAVE"),"",IFERROR(MATCH(U4655,Fornecedores!$AF$1:$AF$6631,0),""))</f>
        <v/>
      </c>
      <c r="W4655" t="str">
        <f t="shared" si="3"/>
        <v/>
      </c>
      <c r="X4655" s="4" t="str">
        <f>IF(V4655="","",INDEX(Fornecedores!$X$1:$X$6631,V4655))</f>
        <v/>
      </c>
      <c r="Y4655" s="4" t="str">
        <f t="shared" si="4"/>
        <v/>
      </c>
    </row>
    <row r="4656" spans="19:25">
      <c r="S4656" t="str">
        <f t="shared" si="0"/>
        <v/>
      </c>
      <c r="T4656" t="str">
        <f t="shared" si="1"/>
        <v/>
      </c>
      <c r="U4656" t="str">
        <f t="shared" si="2"/>
        <v/>
      </c>
      <c r="V4656" t="str">
        <f>IF(OR(U4656="",U4656="ERRO_CHAVE"),"",IFERROR(MATCH(U4656,Fornecedores!$AF$1:$AF$6631,0),""))</f>
        <v/>
      </c>
      <c r="W4656" t="str">
        <f t="shared" si="3"/>
        <v/>
      </c>
      <c r="X4656" s="4" t="str">
        <f>IF(V4656="","",INDEX(Fornecedores!$X$1:$X$6631,V4656))</f>
        <v/>
      </c>
      <c r="Y4656" s="4" t="str">
        <f t="shared" si="4"/>
        <v/>
      </c>
    </row>
    <row r="4657" spans="19:25">
      <c r="S4657" t="str">
        <f t="shared" si="0"/>
        <v/>
      </c>
      <c r="T4657" t="str">
        <f t="shared" si="1"/>
        <v/>
      </c>
      <c r="U4657" t="str">
        <f t="shared" si="2"/>
        <v/>
      </c>
      <c r="V4657" t="str">
        <f>IF(OR(U4657="",U4657="ERRO_CHAVE"),"",IFERROR(MATCH(U4657,Fornecedores!$AF$1:$AF$6631,0),""))</f>
        <v/>
      </c>
      <c r="W4657" t="str">
        <f t="shared" si="3"/>
        <v/>
      </c>
      <c r="X4657" s="4" t="str">
        <f>IF(V4657="","",INDEX(Fornecedores!$X$1:$X$6631,V4657))</f>
        <v/>
      </c>
      <c r="Y4657" s="4" t="str">
        <f t="shared" si="4"/>
        <v/>
      </c>
    </row>
    <row r="4658" spans="19:25">
      <c r="S4658" t="str">
        <f t="shared" si="0"/>
        <v/>
      </c>
      <c r="T4658" t="str">
        <f t="shared" si="1"/>
        <v/>
      </c>
      <c r="U4658" t="str">
        <f t="shared" si="2"/>
        <v/>
      </c>
      <c r="V4658" t="str">
        <f>IF(OR(U4658="",U4658="ERRO_CHAVE"),"",IFERROR(MATCH(U4658,Fornecedores!$AF$1:$AF$6631,0),""))</f>
        <v/>
      </c>
      <c r="W4658" t="str">
        <f t="shared" si="3"/>
        <v/>
      </c>
      <c r="X4658" s="4" t="str">
        <f>IF(V4658="","",INDEX(Fornecedores!$X$1:$X$6631,V4658))</f>
        <v/>
      </c>
      <c r="Y4658" s="4" t="str">
        <f t="shared" si="4"/>
        <v/>
      </c>
    </row>
    <row r="4659" spans="19:25">
      <c r="S4659" t="str">
        <f t="shared" si="0"/>
        <v/>
      </c>
      <c r="T4659" t="str">
        <f t="shared" si="1"/>
        <v/>
      </c>
      <c r="U4659" t="str">
        <f t="shared" si="2"/>
        <v/>
      </c>
      <c r="V4659" t="str">
        <f>IF(OR(U4659="",U4659="ERRO_CHAVE"),"",IFERROR(MATCH(U4659,Fornecedores!$AF$1:$AF$6631,0),""))</f>
        <v/>
      </c>
      <c r="W4659" t="str">
        <f t="shared" si="3"/>
        <v/>
      </c>
      <c r="X4659" s="4" t="str">
        <f>IF(V4659="","",INDEX(Fornecedores!$X$1:$X$6631,V4659))</f>
        <v/>
      </c>
      <c r="Y4659" s="4" t="str">
        <f t="shared" si="4"/>
        <v/>
      </c>
    </row>
    <row r="4660" spans="19:25">
      <c r="S4660" t="str">
        <f t="shared" si="0"/>
        <v/>
      </c>
      <c r="T4660" t="str">
        <f t="shared" si="1"/>
        <v/>
      </c>
      <c r="U4660" t="str">
        <f t="shared" si="2"/>
        <v/>
      </c>
      <c r="V4660" t="str">
        <f>IF(OR(U4660="",U4660="ERRO_CHAVE"),"",IFERROR(MATCH(U4660,Fornecedores!$AF$1:$AF$6631,0),""))</f>
        <v/>
      </c>
      <c r="W4660" t="str">
        <f t="shared" si="3"/>
        <v/>
      </c>
      <c r="X4660" s="4" t="str">
        <f>IF(V4660="","",INDEX(Fornecedores!$X$1:$X$6631,V4660))</f>
        <v/>
      </c>
      <c r="Y4660" s="4" t="str">
        <f t="shared" si="4"/>
        <v/>
      </c>
    </row>
    <row r="4661" spans="19:25">
      <c r="S4661" t="str">
        <f t="shared" si="0"/>
        <v/>
      </c>
      <c r="T4661" t="str">
        <f t="shared" si="1"/>
        <v/>
      </c>
      <c r="U4661" t="str">
        <f t="shared" si="2"/>
        <v/>
      </c>
      <c r="V4661" t="str">
        <f>IF(OR(U4661="",U4661="ERRO_CHAVE"),"",IFERROR(MATCH(U4661,Fornecedores!$AF$1:$AF$6631,0),""))</f>
        <v/>
      </c>
      <c r="W4661" t="str">
        <f t="shared" si="3"/>
        <v/>
      </c>
      <c r="X4661" s="4" t="str">
        <f>IF(V4661="","",INDEX(Fornecedores!$X$1:$X$6631,V4661))</f>
        <v/>
      </c>
      <c r="Y4661" s="4" t="str">
        <f t="shared" si="4"/>
        <v/>
      </c>
    </row>
    <row r="4662" spans="19:25">
      <c r="S4662" t="str">
        <f t="shared" si="0"/>
        <v/>
      </c>
      <c r="T4662" t="str">
        <f t="shared" si="1"/>
        <v/>
      </c>
      <c r="U4662" t="str">
        <f t="shared" si="2"/>
        <v/>
      </c>
      <c r="V4662" t="str">
        <f>IF(OR(U4662="",U4662="ERRO_CHAVE"),"",IFERROR(MATCH(U4662,Fornecedores!$AF$1:$AF$6631,0),""))</f>
        <v/>
      </c>
      <c r="W4662" t="str">
        <f t="shared" si="3"/>
        <v/>
      </c>
      <c r="X4662" s="4" t="str">
        <f>IF(V4662="","",INDEX(Fornecedores!$X$1:$X$6631,V4662))</f>
        <v/>
      </c>
      <c r="Y4662" s="4" t="str">
        <f t="shared" si="4"/>
        <v/>
      </c>
    </row>
    <row r="4663" spans="19:25">
      <c r="S4663" t="str">
        <f t="shared" si="0"/>
        <v/>
      </c>
      <c r="T4663" t="str">
        <f t="shared" si="1"/>
        <v/>
      </c>
      <c r="U4663" t="str">
        <f t="shared" si="2"/>
        <v/>
      </c>
      <c r="V4663" t="str">
        <f>IF(OR(U4663="",U4663="ERRO_CHAVE"),"",IFERROR(MATCH(U4663,Fornecedores!$AF$1:$AF$6631,0),""))</f>
        <v/>
      </c>
      <c r="W4663" t="str">
        <f t="shared" si="3"/>
        <v/>
      </c>
      <c r="X4663" s="4" t="str">
        <f>IF(V4663="","",INDEX(Fornecedores!$X$1:$X$6631,V4663))</f>
        <v/>
      </c>
      <c r="Y4663" s="4" t="str">
        <f t="shared" si="4"/>
        <v/>
      </c>
    </row>
    <row r="4664" spans="19:25">
      <c r="S4664" t="str">
        <f t="shared" si="0"/>
        <v/>
      </c>
      <c r="T4664" t="str">
        <f t="shared" si="1"/>
        <v/>
      </c>
      <c r="U4664" t="str">
        <f t="shared" si="2"/>
        <v/>
      </c>
      <c r="V4664" t="str">
        <f>IF(OR(U4664="",U4664="ERRO_CHAVE"),"",IFERROR(MATCH(U4664,Fornecedores!$AF$1:$AF$6631,0),""))</f>
        <v/>
      </c>
      <c r="W4664" t="str">
        <f t="shared" si="3"/>
        <v/>
      </c>
      <c r="X4664" s="4" t="str">
        <f>IF(V4664="","",INDEX(Fornecedores!$X$1:$X$6631,V4664))</f>
        <v/>
      </c>
      <c r="Y4664" s="4" t="str">
        <f t="shared" si="4"/>
        <v/>
      </c>
    </row>
    <row r="4665" spans="19:25">
      <c r="S4665" t="str">
        <f t="shared" si="0"/>
        <v/>
      </c>
      <c r="T4665" t="str">
        <f t="shared" si="1"/>
        <v/>
      </c>
      <c r="U4665" t="str">
        <f t="shared" si="2"/>
        <v/>
      </c>
      <c r="V4665" t="str">
        <f>IF(OR(U4665="",U4665="ERRO_CHAVE"),"",IFERROR(MATCH(U4665,Fornecedores!$AF$1:$AF$6631,0),""))</f>
        <v/>
      </c>
      <c r="W4665" t="str">
        <f t="shared" si="3"/>
        <v/>
      </c>
      <c r="X4665" s="4" t="str">
        <f>IF(V4665="","",INDEX(Fornecedores!$X$1:$X$6631,V4665))</f>
        <v/>
      </c>
      <c r="Y4665" s="4" t="str">
        <f t="shared" si="4"/>
        <v/>
      </c>
    </row>
    <row r="4666" spans="19:25">
      <c r="S4666" t="str">
        <f t="shared" si="0"/>
        <v/>
      </c>
      <c r="T4666" t="str">
        <f t="shared" si="1"/>
        <v/>
      </c>
      <c r="U4666" t="str">
        <f t="shared" si="2"/>
        <v/>
      </c>
      <c r="V4666" t="str">
        <f>IF(OR(U4666="",U4666="ERRO_CHAVE"),"",IFERROR(MATCH(U4666,Fornecedores!$AF$1:$AF$6631,0),""))</f>
        <v/>
      </c>
      <c r="W4666" t="str">
        <f t="shared" si="3"/>
        <v/>
      </c>
      <c r="X4666" s="4" t="str">
        <f>IF(V4666="","",INDEX(Fornecedores!$X$1:$X$6631,V4666))</f>
        <v/>
      </c>
      <c r="Y4666" s="4" t="str">
        <f t="shared" si="4"/>
        <v/>
      </c>
    </row>
    <row r="4667" spans="19:25">
      <c r="S4667" t="str">
        <f t="shared" si="0"/>
        <v/>
      </c>
      <c r="T4667" t="str">
        <f t="shared" si="1"/>
        <v/>
      </c>
      <c r="U4667" t="str">
        <f t="shared" si="2"/>
        <v/>
      </c>
      <c r="V4667" t="str">
        <f>IF(OR(U4667="",U4667="ERRO_CHAVE"),"",IFERROR(MATCH(U4667,Fornecedores!$AF$1:$AF$6631,0),""))</f>
        <v/>
      </c>
      <c r="W4667" t="str">
        <f t="shared" si="3"/>
        <v/>
      </c>
      <c r="X4667" s="4" t="str">
        <f>IF(V4667="","",INDEX(Fornecedores!$X$1:$X$6631,V4667))</f>
        <v/>
      </c>
      <c r="Y4667" s="4" t="str">
        <f t="shared" si="4"/>
        <v/>
      </c>
    </row>
    <row r="4668" spans="19:25">
      <c r="S4668" t="str">
        <f t="shared" si="0"/>
        <v/>
      </c>
      <c r="T4668" t="str">
        <f t="shared" si="1"/>
        <v/>
      </c>
      <c r="U4668" t="str">
        <f t="shared" si="2"/>
        <v/>
      </c>
      <c r="V4668" t="str">
        <f>IF(OR(U4668="",U4668="ERRO_CHAVE"),"",IFERROR(MATCH(U4668,Fornecedores!$AF$1:$AF$6631,0),""))</f>
        <v/>
      </c>
      <c r="W4668" t="str">
        <f t="shared" si="3"/>
        <v/>
      </c>
      <c r="X4668" s="4" t="str">
        <f>IF(V4668="","",INDEX(Fornecedores!$X$1:$X$6631,V4668))</f>
        <v/>
      </c>
      <c r="Y4668" s="4" t="str">
        <f t="shared" si="4"/>
        <v/>
      </c>
    </row>
    <row r="4669" spans="19:25">
      <c r="S4669" t="str">
        <f t="shared" si="0"/>
        <v/>
      </c>
      <c r="T4669" t="str">
        <f t="shared" si="1"/>
        <v/>
      </c>
      <c r="U4669" t="str">
        <f t="shared" si="2"/>
        <v/>
      </c>
      <c r="V4669" t="str">
        <f>IF(OR(U4669="",U4669="ERRO_CHAVE"),"",IFERROR(MATCH(U4669,Fornecedores!$AF$1:$AF$6631,0),""))</f>
        <v/>
      </c>
      <c r="W4669" t="str">
        <f t="shared" si="3"/>
        <v/>
      </c>
      <c r="X4669" s="4" t="str">
        <f>IF(V4669="","",INDEX(Fornecedores!$X$1:$X$6631,V4669))</f>
        <v/>
      </c>
      <c r="Y4669" s="4" t="str">
        <f t="shared" si="4"/>
        <v/>
      </c>
    </row>
    <row r="4670" spans="19:25">
      <c r="S4670" t="str">
        <f t="shared" si="0"/>
        <v/>
      </c>
      <c r="T4670" t="str">
        <f t="shared" si="1"/>
        <v/>
      </c>
      <c r="U4670" t="str">
        <f t="shared" si="2"/>
        <v/>
      </c>
      <c r="V4670" t="str">
        <f>IF(OR(U4670="",U4670="ERRO_CHAVE"),"",IFERROR(MATCH(U4670,Fornecedores!$AF$1:$AF$6631,0),""))</f>
        <v/>
      </c>
      <c r="W4670" t="str">
        <f t="shared" si="3"/>
        <v/>
      </c>
      <c r="X4670" s="4" t="str">
        <f>IF(V4670="","",INDEX(Fornecedores!$X$1:$X$6631,V4670))</f>
        <v/>
      </c>
      <c r="Y4670" s="4" t="str">
        <f t="shared" si="4"/>
        <v/>
      </c>
    </row>
    <row r="4671" spans="19:25">
      <c r="S4671" t="str">
        <f t="shared" si="0"/>
        <v/>
      </c>
      <c r="T4671" t="str">
        <f t="shared" si="1"/>
        <v/>
      </c>
      <c r="U4671" t="str">
        <f t="shared" si="2"/>
        <v/>
      </c>
      <c r="V4671" t="str">
        <f>IF(OR(U4671="",U4671="ERRO_CHAVE"),"",IFERROR(MATCH(U4671,Fornecedores!$AF$1:$AF$6631,0),""))</f>
        <v/>
      </c>
      <c r="W4671" t="str">
        <f t="shared" si="3"/>
        <v/>
      </c>
      <c r="X4671" s="4" t="str">
        <f>IF(V4671="","",INDEX(Fornecedores!$X$1:$X$6631,V4671))</f>
        <v/>
      </c>
      <c r="Y4671" s="4" t="str">
        <f t="shared" si="4"/>
        <v/>
      </c>
    </row>
    <row r="4672" spans="19:25">
      <c r="S4672" t="str">
        <f t="shared" si="0"/>
        <v/>
      </c>
      <c r="T4672" t="str">
        <f t="shared" si="1"/>
        <v/>
      </c>
      <c r="U4672" t="str">
        <f t="shared" si="2"/>
        <v/>
      </c>
      <c r="V4672" t="str">
        <f>IF(OR(U4672="",U4672="ERRO_CHAVE"),"",IFERROR(MATCH(U4672,Fornecedores!$AF$1:$AF$6631,0),""))</f>
        <v/>
      </c>
      <c r="W4672" t="str">
        <f t="shared" si="3"/>
        <v/>
      </c>
      <c r="X4672" s="4" t="str">
        <f>IF(V4672="","",INDEX(Fornecedores!$X$1:$X$6631,V4672))</f>
        <v/>
      </c>
      <c r="Y4672" s="4" t="str">
        <f t="shared" si="4"/>
        <v/>
      </c>
    </row>
    <row r="4673" spans="19:25">
      <c r="S4673" t="str">
        <f t="shared" si="0"/>
        <v/>
      </c>
      <c r="T4673" t="str">
        <f t="shared" si="1"/>
        <v/>
      </c>
      <c r="U4673" t="str">
        <f t="shared" si="2"/>
        <v/>
      </c>
      <c r="V4673" t="str">
        <f>IF(OR(U4673="",U4673="ERRO_CHAVE"),"",IFERROR(MATCH(U4673,Fornecedores!$AF$1:$AF$6631,0),""))</f>
        <v/>
      </c>
      <c r="W4673" t="str">
        <f t="shared" si="3"/>
        <v/>
      </c>
      <c r="X4673" s="4" t="str">
        <f>IF(V4673="","",INDEX(Fornecedores!$X$1:$X$6631,V4673))</f>
        <v/>
      </c>
      <c r="Y4673" s="4" t="str">
        <f t="shared" si="4"/>
        <v/>
      </c>
    </row>
    <row r="4674" spans="19:25">
      <c r="S4674" t="str">
        <f t="shared" si="0"/>
        <v/>
      </c>
      <c r="T4674" t="str">
        <f t="shared" si="1"/>
        <v/>
      </c>
      <c r="U4674" t="str">
        <f t="shared" si="2"/>
        <v/>
      </c>
      <c r="V4674" t="str">
        <f>IF(OR(U4674="",U4674="ERRO_CHAVE"),"",IFERROR(MATCH(U4674,Fornecedores!$AF$1:$AF$6631,0),""))</f>
        <v/>
      </c>
      <c r="W4674" t="str">
        <f t="shared" si="3"/>
        <v/>
      </c>
      <c r="X4674" s="4" t="str">
        <f>IF(V4674="","",INDEX(Fornecedores!$X$1:$X$6631,V4674))</f>
        <v/>
      </c>
      <c r="Y4674" s="4" t="str">
        <f t="shared" si="4"/>
        <v/>
      </c>
    </row>
    <row r="4675" spans="19:25">
      <c r="S4675" t="str">
        <f t="shared" si="0"/>
        <v/>
      </c>
      <c r="T4675" t="str">
        <f t="shared" si="1"/>
        <v/>
      </c>
      <c r="U4675" t="str">
        <f t="shared" si="2"/>
        <v/>
      </c>
      <c r="V4675" t="str">
        <f>IF(OR(U4675="",U4675="ERRO_CHAVE"),"",IFERROR(MATCH(U4675,Fornecedores!$AF$1:$AF$6631,0),""))</f>
        <v/>
      </c>
      <c r="W4675" t="str">
        <f t="shared" si="3"/>
        <v/>
      </c>
      <c r="X4675" s="4" t="str">
        <f>IF(V4675="","",INDEX(Fornecedores!$X$1:$X$6631,V4675))</f>
        <v/>
      </c>
      <c r="Y4675" s="4" t="str">
        <f t="shared" si="4"/>
        <v/>
      </c>
    </row>
    <row r="4676" spans="19:25">
      <c r="S4676" t="str">
        <f t="shared" si="0"/>
        <v/>
      </c>
      <c r="T4676" t="str">
        <f t="shared" si="1"/>
        <v/>
      </c>
      <c r="U4676" t="str">
        <f t="shared" si="2"/>
        <v/>
      </c>
      <c r="V4676" t="str">
        <f>IF(OR(U4676="",U4676="ERRO_CHAVE"),"",IFERROR(MATCH(U4676,Fornecedores!$AF$1:$AF$6631,0),""))</f>
        <v/>
      </c>
      <c r="W4676" t="str">
        <f t="shared" si="3"/>
        <v/>
      </c>
      <c r="X4676" s="4" t="str">
        <f>IF(V4676="","",INDEX(Fornecedores!$X$1:$X$6631,V4676))</f>
        <v/>
      </c>
      <c r="Y4676" s="4" t="str">
        <f t="shared" si="4"/>
        <v/>
      </c>
    </row>
    <row r="4677" spans="19:25">
      <c r="S4677" t="str">
        <f t="shared" si="0"/>
        <v/>
      </c>
      <c r="T4677" t="str">
        <f t="shared" si="1"/>
        <v/>
      </c>
      <c r="U4677" t="str">
        <f t="shared" si="2"/>
        <v/>
      </c>
      <c r="V4677" t="str">
        <f>IF(OR(U4677="",U4677="ERRO_CHAVE"),"",IFERROR(MATCH(U4677,Fornecedores!$AF$1:$AF$6631,0),""))</f>
        <v/>
      </c>
      <c r="W4677" t="str">
        <f t="shared" si="3"/>
        <v/>
      </c>
      <c r="X4677" s="4" t="str">
        <f>IF(V4677="","",INDEX(Fornecedores!$X$1:$X$6631,V4677))</f>
        <v/>
      </c>
      <c r="Y4677" s="4" t="str">
        <f t="shared" si="4"/>
        <v/>
      </c>
    </row>
    <row r="4678" spans="19:25">
      <c r="S4678" t="str">
        <f t="shared" si="0"/>
        <v/>
      </c>
      <c r="T4678" t="str">
        <f t="shared" si="1"/>
        <v/>
      </c>
      <c r="U4678" t="str">
        <f t="shared" si="2"/>
        <v/>
      </c>
      <c r="V4678" t="str">
        <f>IF(OR(U4678="",U4678="ERRO_CHAVE"),"",IFERROR(MATCH(U4678,Fornecedores!$AF$1:$AF$6631,0),""))</f>
        <v/>
      </c>
      <c r="W4678" t="str">
        <f t="shared" si="3"/>
        <v/>
      </c>
      <c r="X4678" s="4" t="str">
        <f>IF(V4678="","",INDEX(Fornecedores!$X$1:$X$6631,V4678))</f>
        <v/>
      </c>
      <c r="Y4678" s="4" t="str">
        <f t="shared" si="4"/>
        <v/>
      </c>
    </row>
    <row r="4679" spans="19:25">
      <c r="S4679" t="str">
        <f t="shared" si="0"/>
        <v/>
      </c>
      <c r="T4679" t="str">
        <f t="shared" si="1"/>
        <v/>
      </c>
      <c r="U4679" t="str">
        <f t="shared" si="2"/>
        <v/>
      </c>
      <c r="V4679" t="str">
        <f>IF(OR(U4679="",U4679="ERRO_CHAVE"),"",IFERROR(MATCH(U4679,Fornecedores!$AF$1:$AF$6631,0),""))</f>
        <v/>
      </c>
      <c r="W4679" t="str">
        <f t="shared" si="3"/>
        <v/>
      </c>
      <c r="X4679" s="4" t="str">
        <f>IF(V4679="","",INDEX(Fornecedores!$X$1:$X$6631,V4679))</f>
        <v/>
      </c>
      <c r="Y4679" s="4" t="str">
        <f t="shared" si="4"/>
        <v/>
      </c>
    </row>
    <row r="4680" spans="19:25">
      <c r="S4680" t="str">
        <f t="shared" si="0"/>
        <v/>
      </c>
      <c r="T4680" t="str">
        <f t="shared" si="1"/>
        <v/>
      </c>
      <c r="U4680" t="str">
        <f t="shared" si="2"/>
        <v/>
      </c>
      <c r="V4680" t="str">
        <f>IF(OR(U4680="",U4680="ERRO_CHAVE"),"",IFERROR(MATCH(U4680,Fornecedores!$AF$1:$AF$6631,0),""))</f>
        <v/>
      </c>
      <c r="W4680" t="str">
        <f t="shared" si="3"/>
        <v/>
      </c>
      <c r="X4680" s="4" t="str">
        <f>IF(V4680="","",INDEX(Fornecedores!$X$1:$X$6631,V4680))</f>
        <v/>
      </c>
      <c r="Y4680" s="4" t="str">
        <f t="shared" si="4"/>
        <v/>
      </c>
    </row>
    <row r="4681" spans="19:25">
      <c r="S4681" t="str">
        <f t="shared" si="0"/>
        <v/>
      </c>
      <c r="T4681" t="str">
        <f t="shared" si="1"/>
        <v/>
      </c>
      <c r="U4681" t="str">
        <f t="shared" si="2"/>
        <v/>
      </c>
      <c r="V4681" t="str">
        <f>IF(OR(U4681="",U4681="ERRO_CHAVE"),"",IFERROR(MATCH(U4681,Fornecedores!$AF$1:$AF$6631,0),""))</f>
        <v/>
      </c>
      <c r="W4681" t="str">
        <f t="shared" si="3"/>
        <v/>
      </c>
      <c r="X4681" s="4" t="str">
        <f>IF(V4681="","",INDEX(Fornecedores!$X$1:$X$6631,V4681))</f>
        <v/>
      </c>
      <c r="Y4681" s="4" t="str">
        <f t="shared" si="4"/>
        <v/>
      </c>
    </row>
    <row r="4682" spans="19:25">
      <c r="S4682" t="str">
        <f t="shared" si="0"/>
        <v/>
      </c>
      <c r="T4682" t="str">
        <f t="shared" si="1"/>
        <v/>
      </c>
      <c r="U4682" t="str">
        <f t="shared" si="2"/>
        <v/>
      </c>
      <c r="V4682" t="str">
        <f>IF(OR(U4682="",U4682="ERRO_CHAVE"),"",IFERROR(MATCH(U4682,Fornecedores!$AF$1:$AF$6631,0),""))</f>
        <v/>
      </c>
      <c r="W4682" t="str">
        <f t="shared" si="3"/>
        <v/>
      </c>
      <c r="X4682" s="4" t="str">
        <f>IF(V4682="","",INDEX(Fornecedores!$X$1:$X$6631,V4682))</f>
        <v/>
      </c>
      <c r="Y4682" s="4" t="str">
        <f t="shared" si="4"/>
        <v/>
      </c>
    </row>
    <row r="4683" spans="19:25">
      <c r="S4683" t="str">
        <f t="shared" si="0"/>
        <v/>
      </c>
      <c r="T4683" t="str">
        <f t="shared" si="1"/>
        <v/>
      </c>
      <c r="U4683" t="str">
        <f t="shared" si="2"/>
        <v/>
      </c>
      <c r="V4683" t="str">
        <f>IF(OR(U4683="",U4683="ERRO_CHAVE"),"",IFERROR(MATCH(U4683,Fornecedores!$AF$1:$AF$6631,0),""))</f>
        <v/>
      </c>
      <c r="W4683" t="str">
        <f t="shared" si="3"/>
        <v/>
      </c>
      <c r="X4683" s="4" t="str">
        <f>IF(V4683="","",INDEX(Fornecedores!$X$1:$X$6631,V4683))</f>
        <v/>
      </c>
      <c r="Y4683" s="4" t="str">
        <f t="shared" si="4"/>
        <v/>
      </c>
    </row>
    <row r="4684" spans="19:25">
      <c r="S4684" t="str">
        <f t="shared" si="0"/>
        <v/>
      </c>
      <c r="T4684" t="str">
        <f t="shared" si="1"/>
        <v/>
      </c>
      <c r="U4684" t="str">
        <f t="shared" si="2"/>
        <v/>
      </c>
      <c r="V4684" t="str">
        <f>IF(OR(U4684="",U4684="ERRO_CHAVE"),"",IFERROR(MATCH(U4684,Fornecedores!$AF$1:$AF$6631,0),""))</f>
        <v/>
      </c>
      <c r="W4684" t="str">
        <f t="shared" si="3"/>
        <v/>
      </c>
      <c r="X4684" s="4" t="str">
        <f>IF(V4684="","",INDEX(Fornecedores!$X$1:$X$6631,V4684))</f>
        <v/>
      </c>
      <c r="Y4684" s="4" t="str">
        <f t="shared" si="4"/>
        <v/>
      </c>
    </row>
    <row r="4685" spans="19:25">
      <c r="S4685" t="str">
        <f t="shared" si="0"/>
        <v/>
      </c>
      <c r="T4685" t="str">
        <f t="shared" si="1"/>
        <v/>
      </c>
      <c r="U4685" t="str">
        <f t="shared" si="2"/>
        <v/>
      </c>
      <c r="V4685" t="str">
        <f>IF(OR(U4685="",U4685="ERRO_CHAVE"),"",IFERROR(MATCH(U4685,Fornecedores!$AF$1:$AF$6631,0),""))</f>
        <v/>
      </c>
      <c r="W4685" t="str">
        <f t="shared" si="3"/>
        <v/>
      </c>
      <c r="X4685" s="4" t="str">
        <f>IF(V4685="","",INDEX(Fornecedores!$X$1:$X$6631,V4685))</f>
        <v/>
      </c>
      <c r="Y4685" s="4" t="str">
        <f t="shared" si="4"/>
        <v/>
      </c>
    </row>
    <row r="4686" spans="19:25">
      <c r="S4686" t="str">
        <f t="shared" si="0"/>
        <v/>
      </c>
      <c r="T4686" t="str">
        <f t="shared" si="1"/>
        <v/>
      </c>
      <c r="U4686" t="str">
        <f t="shared" si="2"/>
        <v/>
      </c>
      <c r="V4686" t="str">
        <f>IF(OR(U4686="",U4686="ERRO_CHAVE"),"",IFERROR(MATCH(U4686,Fornecedores!$AF$1:$AF$6631,0),""))</f>
        <v/>
      </c>
      <c r="W4686" t="str">
        <f t="shared" si="3"/>
        <v/>
      </c>
      <c r="X4686" s="4" t="str">
        <f>IF(V4686="","",INDEX(Fornecedores!$X$1:$X$6631,V4686))</f>
        <v/>
      </c>
      <c r="Y4686" s="4" t="str">
        <f t="shared" si="4"/>
        <v/>
      </c>
    </row>
    <row r="4687" spans="19:25">
      <c r="S4687" t="str">
        <f t="shared" si="0"/>
        <v/>
      </c>
      <c r="T4687" t="str">
        <f t="shared" si="1"/>
        <v/>
      </c>
      <c r="U4687" t="str">
        <f t="shared" si="2"/>
        <v/>
      </c>
      <c r="V4687" t="str">
        <f>IF(OR(U4687="",U4687="ERRO_CHAVE"),"",IFERROR(MATCH(U4687,Fornecedores!$AF$1:$AF$6631,0),""))</f>
        <v/>
      </c>
      <c r="W4687" t="str">
        <f t="shared" si="3"/>
        <v/>
      </c>
      <c r="X4687" s="4" t="str">
        <f>IF(V4687="","",INDEX(Fornecedores!$X$1:$X$6631,V4687))</f>
        <v/>
      </c>
      <c r="Y4687" s="4" t="str">
        <f t="shared" si="4"/>
        <v/>
      </c>
    </row>
    <row r="4688" spans="19:25">
      <c r="S4688" t="str">
        <f t="shared" si="0"/>
        <v/>
      </c>
      <c r="T4688" t="str">
        <f t="shared" si="1"/>
        <v/>
      </c>
      <c r="U4688" t="str">
        <f t="shared" si="2"/>
        <v/>
      </c>
      <c r="V4688" t="str">
        <f>IF(OR(U4688="",U4688="ERRO_CHAVE"),"",IFERROR(MATCH(U4688,Fornecedores!$AF$1:$AF$6631,0),""))</f>
        <v/>
      </c>
      <c r="W4688" t="str">
        <f t="shared" si="3"/>
        <v/>
      </c>
      <c r="X4688" s="4" t="str">
        <f>IF(V4688="","",INDEX(Fornecedores!$X$1:$X$6631,V4688))</f>
        <v/>
      </c>
      <c r="Y4688" s="4" t="str">
        <f t="shared" si="4"/>
        <v/>
      </c>
    </row>
    <row r="4689" spans="19:25">
      <c r="S4689" t="str">
        <f t="shared" si="0"/>
        <v/>
      </c>
      <c r="T4689" t="str">
        <f t="shared" si="1"/>
        <v/>
      </c>
      <c r="U4689" t="str">
        <f t="shared" si="2"/>
        <v/>
      </c>
      <c r="V4689" t="str">
        <f>IF(OR(U4689="",U4689="ERRO_CHAVE"),"",IFERROR(MATCH(U4689,Fornecedores!$AF$1:$AF$6631,0),""))</f>
        <v/>
      </c>
      <c r="W4689" t="str">
        <f t="shared" si="3"/>
        <v/>
      </c>
      <c r="X4689" s="4" t="str">
        <f>IF(V4689="","",INDEX(Fornecedores!$X$1:$X$6631,V4689))</f>
        <v/>
      </c>
      <c r="Y4689" s="4" t="str">
        <f t="shared" si="4"/>
        <v/>
      </c>
    </row>
    <row r="4690" spans="19:25">
      <c r="S4690" t="str">
        <f t="shared" si="0"/>
        <v/>
      </c>
      <c r="T4690" t="str">
        <f t="shared" si="1"/>
        <v/>
      </c>
      <c r="U4690" t="str">
        <f t="shared" si="2"/>
        <v/>
      </c>
      <c r="V4690" t="str">
        <f>IF(OR(U4690="",U4690="ERRO_CHAVE"),"",IFERROR(MATCH(U4690,Fornecedores!$AF$1:$AF$6631,0),""))</f>
        <v/>
      </c>
      <c r="W4690" t="str">
        <f t="shared" si="3"/>
        <v/>
      </c>
      <c r="X4690" s="4" t="str">
        <f>IF(V4690="","",INDEX(Fornecedores!$X$1:$X$6631,V4690))</f>
        <v/>
      </c>
      <c r="Y4690" s="4" t="str">
        <f t="shared" si="4"/>
        <v/>
      </c>
    </row>
    <row r="4691" spans="19:25">
      <c r="S4691" t="str">
        <f t="shared" si="0"/>
        <v/>
      </c>
      <c r="T4691" t="str">
        <f t="shared" si="1"/>
        <v/>
      </c>
      <c r="U4691" t="str">
        <f t="shared" si="2"/>
        <v/>
      </c>
      <c r="V4691" t="str">
        <f>IF(OR(U4691="",U4691="ERRO_CHAVE"),"",IFERROR(MATCH(U4691,Fornecedores!$AF$1:$AF$6631,0),""))</f>
        <v/>
      </c>
      <c r="W4691" t="str">
        <f t="shared" si="3"/>
        <v/>
      </c>
      <c r="X4691" s="4" t="str">
        <f>IF(V4691="","",INDEX(Fornecedores!$X$1:$X$6631,V4691))</f>
        <v/>
      </c>
      <c r="Y4691" s="4" t="str">
        <f t="shared" si="4"/>
        <v/>
      </c>
    </row>
    <row r="4692" spans="19:25">
      <c r="S4692" t="str">
        <f t="shared" si="0"/>
        <v/>
      </c>
      <c r="T4692" t="str">
        <f t="shared" si="1"/>
        <v/>
      </c>
      <c r="U4692" t="str">
        <f t="shared" si="2"/>
        <v/>
      </c>
      <c r="V4692" t="str">
        <f>IF(OR(U4692="",U4692="ERRO_CHAVE"),"",IFERROR(MATCH(U4692,Fornecedores!$AF$1:$AF$6631,0),""))</f>
        <v/>
      </c>
      <c r="W4692" t="str">
        <f t="shared" si="3"/>
        <v/>
      </c>
      <c r="X4692" s="4" t="str">
        <f>IF(V4692="","",INDEX(Fornecedores!$X$1:$X$6631,V4692))</f>
        <v/>
      </c>
      <c r="Y4692" s="4" t="str">
        <f t="shared" si="4"/>
        <v/>
      </c>
    </row>
    <row r="4693" spans="19:25">
      <c r="S4693" t="str">
        <f t="shared" si="0"/>
        <v/>
      </c>
      <c r="T4693" t="str">
        <f t="shared" si="1"/>
        <v/>
      </c>
      <c r="U4693" t="str">
        <f t="shared" si="2"/>
        <v/>
      </c>
      <c r="V4693" t="str">
        <f>IF(OR(U4693="",U4693="ERRO_CHAVE"),"",IFERROR(MATCH(U4693,Fornecedores!$AF$1:$AF$6631,0),""))</f>
        <v/>
      </c>
      <c r="W4693" t="str">
        <f t="shared" si="3"/>
        <v/>
      </c>
      <c r="X4693" s="4" t="str">
        <f>IF(V4693="","",INDEX(Fornecedores!$X$1:$X$6631,V4693))</f>
        <v/>
      </c>
      <c r="Y4693" s="4" t="str">
        <f t="shared" si="4"/>
        <v/>
      </c>
    </row>
    <row r="4694" spans="19:25">
      <c r="S4694" t="str">
        <f t="shared" si="0"/>
        <v/>
      </c>
      <c r="T4694" t="str">
        <f t="shared" si="1"/>
        <v/>
      </c>
      <c r="U4694" t="str">
        <f t="shared" si="2"/>
        <v/>
      </c>
      <c r="V4694" t="str">
        <f>IF(OR(U4694="",U4694="ERRO_CHAVE"),"",IFERROR(MATCH(U4694,Fornecedores!$AF$1:$AF$6631,0),""))</f>
        <v/>
      </c>
      <c r="W4694" t="str">
        <f t="shared" si="3"/>
        <v/>
      </c>
      <c r="X4694" s="4" t="str">
        <f>IF(V4694="","",INDEX(Fornecedores!$X$1:$X$6631,V4694))</f>
        <v/>
      </c>
      <c r="Y4694" s="4" t="str">
        <f t="shared" si="4"/>
        <v/>
      </c>
    </row>
    <row r="4695" spans="19:25">
      <c r="S4695" t="str">
        <f t="shared" si="0"/>
        <v/>
      </c>
      <c r="T4695" t="str">
        <f t="shared" si="1"/>
        <v/>
      </c>
      <c r="U4695" t="str">
        <f t="shared" si="2"/>
        <v/>
      </c>
      <c r="V4695" t="str">
        <f>IF(OR(U4695="",U4695="ERRO_CHAVE"),"",IFERROR(MATCH(U4695,Fornecedores!$AF$1:$AF$6631,0),""))</f>
        <v/>
      </c>
      <c r="W4695" t="str">
        <f t="shared" si="3"/>
        <v/>
      </c>
      <c r="X4695" s="4" t="str">
        <f>IF(V4695="","",INDEX(Fornecedores!$X$1:$X$6631,V4695))</f>
        <v/>
      </c>
      <c r="Y4695" s="4" t="str">
        <f t="shared" si="4"/>
        <v/>
      </c>
    </row>
    <row r="4696" spans="19:25">
      <c r="S4696" t="str">
        <f t="shared" si="0"/>
        <v/>
      </c>
      <c r="T4696" t="str">
        <f t="shared" si="1"/>
        <v/>
      </c>
      <c r="U4696" t="str">
        <f t="shared" si="2"/>
        <v/>
      </c>
      <c r="V4696" t="str">
        <f>IF(OR(U4696="",U4696="ERRO_CHAVE"),"",IFERROR(MATCH(U4696,Fornecedores!$AF$1:$AF$6631,0),""))</f>
        <v/>
      </c>
      <c r="W4696" t="str">
        <f t="shared" si="3"/>
        <v/>
      </c>
      <c r="X4696" s="4" t="str">
        <f>IF(V4696="","",INDEX(Fornecedores!$X$1:$X$6631,V4696))</f>
        <v/>
      </c>
      <c r="Y4696" s="4" t="str">
        <f t="shared" si="4"/>
        <v/>
      </c>
    </row>
    <row r="4697" spans="19:25">
      <c r="S4697" t="str">
        <f t="shared" si="0"/>
        <v/>
      </c>
      <c r="T4697" t="str">
        <f t="shared" si="1"/>
        <v/>
      </c>
      <c r="U4697" t="str">
        <f t="shared" si="2"/>
        <v/>
      </c>
      <c r="V4697" t="str">
        <f>IF(OR(U4697="",U4697="ERRO_CHAVE"),"",IFERROR(MATCH(U4697,Fornecedores!$AF$1:$AF$6631,0),""))</f>
        <v/>
      </c>
      <c r="W4697" t="str">
        <f t="shared" si="3"/>
        <v/>
      </c>
      <c r="X4697" s="4" t="str">
        <f>IF(V4697="","",INDEX(Fornecedores!$X$1:$X$6631,V4697))</f>
        <v/>
      </c>
      <c r="Y4697" s="4" t="str">
        <f t="shared" si="4"/>
        <v/>
      </c>
    </row>
    <row r="4698" spans="19:25">
      <c r="S4698" t="str">
        <f t="shared" si="0"/>
        <v/>
      </c>
      <c r="T4698" t="str">
        <f t="shared" si="1"/>
        <v/>
      </c>
      <c r="U4698" t="str">
        <f t="shared" si="2"/>
        <v/>
      </c>
      <c r="V4698" t="str">
        <f>IF(OR(U4698="",U4698="ERRO_CHAVE"),"",IFERROR(MATCH(U4698,Fornecedores!$AF$1:$AF$6631,0),""))</f>
        <v/>
      </c>
      <c r="W4698" t="str">
        <f t="shared" si="3"/>
        <v/>
      </c>
      <c r="X4698" s="4" t="str">
        <f>IF(V4698="","",INDEX(Fornecedores!$X$1:$X$6631,V4698))</f>
        <v/>
      </c>
      <c r="Y4698" s="4" t="str">
        <f t="shared" si="4"/>
        <v/>
      </c>
    </row>
    <row r="4699" spans="19:25">
      <c r="S4699" t="str">
        <f t="shared" si="0"/>
        <v/>
      </c>
      <c r="T4699" t="str">
        <f t="shared" si="1"/>
        <v/>
      </c>
      <c r="U4699" t="str">
        <f t="shared" si="2"/>
        <v/>
      </c>
      <c r="V4699" t="str">
        <f>IF(OR(U4699="",U4699="ERRO_CHAVE"),"",IFERROR(MATCH(U4699,Fornecedores!$AF$1:$AF$6631,0),""))</f>
        <v/>
      </c>
      <c r="W4699" t="str">
        <f t="shared" si="3"/>
        <v/>
      </c>
      <c r="X4699" s="4" t="str">
        <f>IF(V4699="","",INDEX(Fornecedores!$X$1:$X$6631,V4699))</f>
        <v/>
      </c>
      <c r="Y4699" s="4" t="str">
        <f t="shared" si="4"/>
        <v/>
      </c>
    </row>
    <row r="4700" spans="19:25">
      <c r="S4700" t="str">
        <f t="shared" si="0"/>
        <v/>
      </c>
      <c r="T4700" t="str">
        <f t="shared" si="1"/>
        <v/>
      </c>
      <c r="U4700" t="str">
        <f t="shared" si="2"/>
        <v/>
      </c>
      <c r="V4700" t="str">
        <f>IF(OR(U4700="",U4700="ERRO_CHAVE"),"",IFERROR(MATCH(U4700,Fornecedores!$AF$1:$AF$6631,0),""))</f>
        <v/>
      </c>
      <c r="W4700" t="str">
        <f t="shared" si="3"/>
        <v/>
      </c>
      <c r="X4700" s="4" t="str">
        <f>IF(V4700="","",INDEX(Fornecedores!$X$1:$X$6631,V4700))</f>
        <v/>
      </c>
      <c r="Y4700" s="4" t="str">
        <f t="shared" si="4"/>
        <v/>
      </c>
    </row>
    <row r="4701" spans="19:25">
      <c r="S4701" t="str">
        <f t="shared" si="0"/>
        <v/>
      </c>
      <c r="T4701" t="str">
        <f t="shared" si="1"/>
        <v/>
      </c>
      <c r="U4701" t="str">
        <f t="shared" si="2"/>
        <v/>
      </c>
      <c r="V4701" t="str">
        <f>IF(OR(U4701="",U4701="ERRO_CHAVE"),"",IFERROR(MATCH(U4701,Fornecedores!$AF$1:$AF$6631,0),""))</f>
        <v/>
      </c>
      <c r="W4701" t="str">
        <f t="shared" si="3"/>
        <v/>
      </c>
      <c r="X4701" s="4" t="str">
        <f>IF(V4701="","",INDEX(Fornecedores!$X$1:$X$6631,V4701))</f>
        <v/>
      </c>
      <c r="Y4701" s="4" t="str">
        <f t="shared" si="4"/>
        <v/>
      </c>
    </row>
    <row r="4702" spans="19:25">
      <c r="S4702" t="str">
        <f t="shared" si="0"/>
        <v/>
      </c>
      <c r="T4702" t="str">
        <f t="shared" si="1"/>
        <v/>
      </c>
      <c r="U4702" t="str">
        <f t="shared" si="2"/>
        <v/>
      </c>
      <c r="V4702" t="str">
        <f>IF(OR(U4702="",U4702="ERRO_CHAVE"),"",IFERROR(MATCH(U4702,Fornecedores!$AF$1:$AF$6631,0),""))</f>
        <v/>
      </c>
      <c r="W4702" t="str">
        <f t="shared" si="3"/>
        <v/>
      </c>
      <c r="X4702" s="4" t="str">
        <f>IF(V4702="","",INDEX(Fornecedores!$X$1:$X$6631,V4702))</f>
        <v/>
      </c>
      <c r="Y4702" s="4" t="str">
        <f t="shared" si="4"/>
        <v/>
      </c>
    </row>
    <row r="4703" spans="19:25">
      <c r="S4703" t="str">
        <f t="shared" si="0"/>
        <v/>
      </c>
      <c r="T4703" t="str">
        <f t="shared" si="1"/>
        <v/>
      </c>
      <c r="U4703" t="str">
        <f t="shared" si="2"/>
        <v/>
      </c>
      <c r="V4703" t="str">
        <f>IF(OR(U4703="",U4703="ERRO_CHAVE"),"",IFERROR(MATCH(U4703,Fornecedores!$AF$1:$AF$6631,0),""))</f>
        <v/>
      </c>
      <c r="W4703" t="str">
        <f t="shared" si="3"/>
        <v/>
      </c>
      <c r="X4703" s="4" t="str">
        <f>IF(V4703="","",INDEX(Fornecedores!$X$1:$X$6631,V4703))</f>
        <v/>
      </c>
      <c r="Y4703" s="4" t="str">
        <f t="shared" si="4"/>
        <v/>
      </c>
    </row>
    <row r="4704" spans="19:25">
      <c r="S4704" t="str">
        <f t="shared" si="0"/>
        <v/>
      </c>
      <c r="T4704" t="str">
        <f t="shared" si="1"/>
        <v/>
      </c>
      <c r="U4704" t="str">
        <f t="shared" si="2"/>
        <v/>
      </c>
      <c r="V4704" t="str">
        <f>IF(OR(U4704="",U4704="ERRO_CHAVE"),"",IFERROR(MATCH(U4704,Fornecedores!$AF$1:$AF$6631,0),""))</f>
        <v/>
      </c>
      <c r="W4704" t="str">
        <f t="shared" si="3"/>
        <v/>
      </c>
      <c r="X4704" s="4" t="str">
        <f>IF(V4704="","",INDEX(Fornecedores!$X$1:$X$6631,V4704))</f>
        <v/>
      </c>
      <c r="Y4704" s="4" t="str">
        <f t="shared" si="4"/>
        <v/>
      </c>
    </row>
    <row r="4705" spans="19:25">
      <c r="S4705" t="str">
        <f t="shared" si="0"/>
        <v/>
      </c>
      <c r="T4705" t="str">
        <f t="shared" si="1"/>
        <v/>
      </c>
      <c r="U4705" t="str">
        <f t="shared" si="2"/>
        <v/>
      </c>
      <c r="V4705" t="str">
        <f>IF(OR(U4705="",U4705="ERRO_CHAVE"),"",IFERROR(MATCH(U4705,Fornecedores!$AF$1:$AF$6631,0),""))</f>
        <v/>
      </c>
      <c r="W4705" t="str">
        <f t="shared" si="3"/>
        <v/>
      </c>
      <c r="X4705" s="4" t="str">
        <f>IF(V4705="","",INDEX(Fornecedores!$X$1:$X$6631,V4705))</f>
        <v/>
      </c>
      <c r="Y4705" s="4" t="str">
        <f t="shared" si="4"/>
        <v/>
      </c>
    </row>
    <row r="4706" spans="19:25">
      <c r="S4706" t="str">
        <f t="shared" si="0"/>
        <v/>
      </c>
      <c r="T4706" t="str">
        <f t="shared" si="1"/>
        <v/>
      </c>
      <c r="U4706" t="str">
        <f t="shared" si="2"/>
        <v/>
      </c>
      <c r="V4706" t="str">
        <f>IF(OR(U4706="",U4706="ERRO_CHAVE"),"",IFERROR(MATCH(U4706,Fornecedores!$AF$1:$AF$6631,0),""))</f>
        <v/>
      </c>
      <c r="W4706" t="str">
        <f t="shared" si="3"/>
        <v/>
      </c>
      <c r="X4706" s="4" t="str">
        <f>IF(V4706="","",INDEX(Fornecedores!$X$1:$X$6631,V4706))</f>
        <v/>
      </c>
      <c r="Y4706" s="4" t="str">
        <f t="shared" si="4"/>
        <v/>
      </c>
    </row>
    <row r="4707" spans="19:25">
      <c r="S4707" t="str">
        <f t="shared" si="0"/>
        <v/>
      </c>
      <c r="T4707" t="str">
        <f t="shared" si="1"/>
        <v/>
      </c>
      <c r="U4707" t="str">
        <f t="shared" si="2"/>
        <v/>
      </c>
      <c r="V4707" t="str">
        <f>IF(OR(U4707="",U4707="ERRO_CHAVE"),"",IFERROR(MATCH(U4707,Fornecedores!$AF$1:$AF$6631,0),""))</f>
        <v/>
      </c>
      <c r="W4707" t="str">
        <f t="shared" si="3"/>
        <v/>
      </c>
      <c r="X4707" s="4" t="str">
        <f>IF(V4707="","",INDEX(Fornecedores!$X$1:$X$6631,V4707))</f>
        <v/>
      </c>
      <c r="Y4707" s="4" t="str">
        <f t="shared" si="4"/>
        <v/>
      </c>
    </row>
    <row r="4708" spans="19:25">
      <c r="S4708" t="str">
        <f t="shared" si="0"/>
        <v/>
      </c>
      <c r="T4708" t="str">
        <f t="shared" si="1"/>
        <v/>
      </c>
      <c r="U4708" t="str">
        <f t="shared" si="2"/>
        <v/>
      </c>
      <c r="V4708" t="str">
        <f>IF(OR(U4708="",U4708="ERRO_CHAVE"),"",IFERROR(MATCH(U4708,Fornecedores!$AF$1:$AF$6631,0),""))</f>
        <v/>
      </c>
      <c r="W4708" t="str">
        <f t="shared" si="3"/>
        <v/>
      </c>
      <c r="X4708" s="4" t="str">
        <f>IF(V4708="","",INDEX(Fornecedores!$X$1:$X$6631,V4708))</f>
        <v/>
      </c>
      <c r="Y4708" s="4" t="str">
        <f t="shared" si="4"/>
        <v/>
      </c>
    </row>
    <row r="4709" spans="19:25">
      <c r="S4709" t="str">
        <f t="shared" si="0"/>
        <v/>
      </c>
      <c r="T4709" t="str">
        <f t="shared" si="1"/>
        <v/>
      </c>
      <c r="U4709" t="str">
        <f t="shared" si="2"/>
        <v/>
      </c>
      <c r="V4709" t="str">
        <f>IF(OR(U4709="",U4709="ERRO_CHAVE"),"",IFERROR(MATCH(U4709,Fornecedores!$AF$1:$AF$6631,0),""))</f>
        <v/>
      </c>
      <c r="W4709" t="str">
        <f t="shared" si="3"/>
        <v/>
      </c>
      <c r="X4709" s="4" t="str">
        <f>IF(V4709="","",INDEX(Fornecedores!$X$1:$X$6631,V4709))</f>
        <v/>
      </c>
      <c r="Y4709" s="4" t="str">
        <f t="shared" si="4"/>
        <v/>
      </c>
    </row>
    <row r="4710" spans="19:25">
      <c r="S4710" t="str">
        <f t="shared" si="0"/>
        <v/>
      </c>
      <c r="T4710" t="str">
        <f t="shared" si="1"/>
        <v/>
      </c>
      <c r="U4710" t="str">
        <f t="shared" si="2"/>
        <v/>
      </c>
      <c r="V4710" t="str">
        <f>IF(OR(U4710="",U4710="ERRO_CHAVE"),"",IFERROR(MATCH(U4710,Fornecedores!$AF$1:$AF$6631,0),""))</f>
        <v/>
      </c>
      <c r="W4710" t="str">
        <f t="shared" si="3"/>
        <v/>
      </c>
      <c r="X4710" s="4" t="str">
        <f>IF(V4710="","",INDEX(Fornecedores!$X$1:$X$6631,V4710))</f>
        <v/>
      </c>
      <c r="Y4710" s="4" t="str">
        <f t="shared" si="4"/>
        <v/>
      </c>
    </row>
    <row r="4711" spans="19:25">
      <c r="S4711" t="str">
        <f t="shared" si="0"/>
        <v/>
      </c>
      <c r="T4711" t="str">
        <f t="shared" si="1"/>
        <v/>
      </c>
      <c r="U4711" t="str">
        <f t="shared" si="2"/>
        <v/>
      </c>
      <c r="V4711" t="str">
        <f>IF(OR(U4711="",U4711="ERRO_CHAVE"),"",IFERROR(MATCH(U4711,Fornecedores!$AF$1:$AF$6631,0),""))</f>
        <v/>
      </c>
      <c r="W4711" t="str">
        <f t="shared" si="3"/>
        <v/>
      </c>
      <c r="X4711" s="4" t="str">
        <f>IF(V4711="","",INDEX(Fornecedores!$X$1:$X$6631,V4711))</f>
        <v/>
      </c>
      <c r="Y4711" s="4" t="str">
        <f t="shared" si="4"/>
        <v/>
      </c>
    </row>
    <row r="4712" spans="19:25">
      <c r="S4712" t="str">
        <f t="shared" si="0"/>
        <v/>
      </c>
      <c r="T4712" t="str">
        <f t="shared" si="1"/>
        <v/>
      </c>
      <c r="U4712" t="str">
        <f t="shared" si="2"/>
        <v/>
      </c>
      <c r="V4712" t="str">
        <f>IF(OR(U4712="",U4712="ERRO_CHAVE"),"",IFERROR(MATCH(U4712,Fornecedores!$AF$1:$AF$6631,0),""))</f>
        <v/>
      </c>
      <c r="W4712" t="str">
        <f t="shared" si="3"/>
        <v/>
      </c>
      <c r="X4712" s="4" t="str">
        <f>IF(V4712="","",INDEX(Fornecedores!$X$1:$X$6631,V4712))</f>
        <v/>
      </c>
      <c r="Y4712" s="4" t="str">
        <f t="shared" si="4"/>
        <v/>
      </c>
    </row>
    <row r="4713" spans="19:25">
      <c r="S4713" t="str">
        <f t="shared" si="0"/>
        <v/>
      </c>
      <c r="T4713" t="str">
        <f t="shared" si="1"/>
        <v/>
      </c>
      <c r="U4713" t="str">
        <f t="shared" si="2"/>
        <v/>
      </c>
      <c r="V4713" t="str">
        <f>IF(OR(U4713="",U4713="ERRO_CHAVE"),"",IFERROR(MATCH(U4713,Fornecedores!$AF$1:$AF$6631,0),""))</f>
        <v/>
      </c>
      <c r="W4713" t="str">
        <f t="shared" si="3"/>
        <v/>
      </c>
      <c r="X4713" s="4" t="str">
        <f>IF(V4713="","",INDEX(Fornecedores!$X$1:$X$6631,V4713))</f>
        <v/>
      </c>
      <c r="Y4713" s="4" t="str">
        <f t="shared" si="4"/>
        <v/>
      </c>
    </row>
    <row r="4714" spans="19:25">
      <c r="S4714" t="str">
        <f t="shared" si="0"/>
        <v/>
      </c>
      <c r="T4714" t="str">
        <f t="shared" si="1"/>
        <v/>
      </c>
      <c r="U4714" t="str">
        <f t="shared" si="2"/>
        <v/>
      </c>
      <c r="V4714" t="str">
        <f>IF(OR(U4714="",U4714="ERRO_CHAVE"),"",IFERROR(MATCH(U4714,Fornecedores!$AF$1:$AF$6631,0),""))</f>
        <v/>
      </c>
      <c r="W4714" t="str">
        <f t="shared" si="3"/>
        <v/>
      </c>
      <c r="X4714" s="4" t="str">
        <f>IF(V4714="","",INDEX(Fornecedores!$X$1:$X$6631,V4714))</f>
        <v/>
      </c>
      <c r="Y4714" s="4" t="str">
        <f t="shared" si="4"/>
        <v/>
      </c>
    </row>
    <row r="4715" spans="19:25">
      <c r="S4715" t="str">
        <f t="shared" si="0"/>
        <v/>
      </c>
      <c r="T4715" t="str">
        <f t="shared" si="1"/>
        <v/>
      </c>
      <c r="U4715" t="str">
        <f t="shared" si="2"/>
        <v/>
      </c>
      <c r="V4715" t="str">
        <f>IF(OR(U4715="",U4715="ERRO_CHAVE"),"",IFERROR(MATCH(U4715,Fornecedores!$AF$1:$AF$6631,0),""))</f>
        <v/>
      </c>
      <c r="W4715" t="str">
        <f t="shared" si="3"/>
        <v/>
      </c>
      <c r="X4715" s="4" t="str">
        <f>IF(V4715="","",INDEX(Fornecedores!$X$1:$X$6631,V4715))</f>
        <v/>
      </c>
      <c r="Y4715" s="4" t="str">
        <f t="shared" si="4"/>
        <v/>
      </c>
    </row>
    <row r="4716" spans="19:25">
      <c r="S4716" t="str">
        <f t="shared" si="0"/>
        <v/>
      </c>
      <c r="T4716" t="str">
        <f t="shared" si="1"/>
        <v/>
      </c>
      <c r="U4716" t="str">
        <f t="shared" si="2"/>
        <v/>
      </c>
      <c r="V4716" t="str">
        <f>IF(OR(U4716="",U4716="ERRO_CHAVE"),"",IFERROR(MATCH(U4716,Fornecedores!$AF$1:$AF$6631,0),""))</f>
        <v/>
      </c>
      <c r="W4716" t="str">
        <f t="shared" si="3"/>
        <v/>
      </c>
      <c r="X4716" s="4" t="str">
        <f>IF(V4716="","",INDEX(Fornecedores!$X$1:$X$6631,V4716))</f>
        <v/>
      </c>
      <c r="Y4716" s="4" t="str">
        <f t="shared" si="4"/>
        <v/>
      </c>
    </row>
    <row r="4717" spans="19:25">
      <c r="S4717" t="str">
        <f t="shared" si="0"/>
        <v/>
      </c>
      <c r="T4717" t="str">
        <f t="shared" si="1"/>
        <v/>
      </c>
      <c r="U4717" t="str">
        <f t="shared" si="2"/>
        <v/>
      </c>
      <c r="V4717" t="str">
        <f>IF(OR(U4717="",U4717="ERRO_CHAVE"),"",IFERROR(MATCH(U4717,Fornecedores!$AF$1:$AF$6631,0),""))</f>
        <v/>
      </c>
      <c r="W4717" t="str">
        <f t="shared" si="3"/>
        <v/>
      </c>
      <c r="X4717" s="4" t="str">
        <f>IF(V4717="","",INDEX(Fornecedores!$X$1:$X$6631,V4717))</f>
        <v/>
      </c>
      <c r="Y4717" s="4" t="str">
        <f t="shared" si="4"/>
        <v/>
      </c>
    </row>
    <row r="4718" spans="19:25">
      <c r="S4718" t="str">
        <f t="shared" si="0"/>
        <v/>
      </c>
      <c r="T4718" t="str">
        <f t="shared" si="1"/>
        <v/>
      </c>
      <c r="U4718" t="str">
        <f t="shared" si="2"/>
        <v/>
      </c>
      <c r="V4718" t="str">
        <f>IF(OR(U4718="",U4718="ERRO_CHAVE"),"",IFERROR(MATCH(U4718,Fornecedores!$AF$1:$AF$6631,0),""))</f>
        <v/>
      </c>
      <c r="W4718" t="str">
        <f t="shared" si="3"/>
        <v/>
      </c>
      <c r="X4718" s="4" t="str">
        <f>IF(V4718="","",INDEX(Fornecedores!$X$1:$X$6631,V4718))</f>
        <v/>
      </c>
      <c r="Y4718" s="4" t="str">
        <f t="shared" si="4"/>
        <v/>
      </c>
    </row>
    <row r="4719" spans="19:25">
      <c r="S4719" t="str">
        <f t="shared" si="0"/>
        <v/>
      </c>
      <c r="T4719" t="str">
        <f t="shared" si="1"/>
        <v/>
      </c>
      <c r="U4719" t="str">
        <f t="shared" si="2"/>
        <v/>
      </c>
      <c r="V4719" t="str">
        <f>IF(OR(U4719="",U4719="ERRO_CHAVE"),"",IFERROR(MATCH(U4719,Fornecedores!$AF$1:$AF$6631,0),""))</f>
        <v/>
      </c>
      <c r="W4719" t="str">
        <f t="shared" si="3"/>
        <v/>
      </c>
      <c r="X4719" s="4" t="str">
        <f>IF(V4719="","",INDEX(Fornecedores!$X$1:$X$6631,V4719))</f>
        <v/>
      </c>
      <c r="Y4719" s="4" t="str">
        <f t="shared" si="4"/>
        <v/>
      </c>
    </row>
    <row r="4720" spans="19:25">
      <c r="S4720" t="str">
        <f t="shared" si="0"/>
        <v/>
      </c>
      <c r="T4720" t="str">
        <f t="shared" si="1"/>
        <v/>
      </c>
      <c r="U4720" t="str">
        <f t="shared" si="2"/>
        <v/>
      </c>
      <c r="V4720" t="str">
        <f>IF(OR(U4720="",U4720="ERRO_CHAVE"),"",IFERROR(MATCH(U4720,Fornecedores!$AF$1:$AF$6631,0),""))</f>
        <v/>
      </c>
      <c r="W4720" t="str">
        <f t="shared" si="3"/>
        <v/>
      </c>
      <c r="X4720" s="4" t="str">
        <f>IF(V4720="","",INDEX(Fornecedores!$X$1:$X$6631,V4720))</f>
        <v/>
      </c>
      <c r="Y4720" s="4" t="str">
        <f t="shared" si="4"/>
        <v/>
      </c>
    </row>
    <row r="4721" spans="19:25">
      <c r="S4721" t="str">
        <f t="shared" si="0"/>
        <v/>
      </c>
      <c r="T4721" t="str">
        <f t="shared" si="1"/>
        <v/>
      </c>
      <c r="U4721" t="str">
        <f t="shared" si="2"/>
        <v/>
      </c>
      <c r="V4721" t="str">
        <f>IF(OR(U4721="",U4721="ERRO_CHAVE"),"",IFERROR(MATCH(U4721,Fornecedores!$AF$1:$AF$6631,0),""))</f>
        <v/>
      </c>
      <c r="W4721" t="str">
        <f t="shared" si="3"/>
        <v/>
      </c>
      <c r="X4721" s="4" t="str">
        <f>IF(V4721="","",INDEX(Fornecedores!$X$1:$X$6631,V4721))</f>
        <v/>
      </c>
      <c r="Y4721" s="4" t="str">
        <f t="shared" si="4"/>
        <v/>
      </c>
    </row>
    <row r="4722" spans="19:25">
      <c r="S4722" t="str">
        <f t="shared" si="0"/>
        <v/>
      </c>
      <c r="T4722" t="str">
        <f t="shared" si="1"/>
        <v/>
      </c>
      <c r="U4722" t="str">
        <f t="shared" si="2"/>
        <v/>
      </c>
      <c r="V4722" t="str">
        <f>IF(OR(U4722="",U4722="ERRO_CHAVE"),"",IFERROR(MATCH(U4722,Fornecedores!$AF$1:$AF$6631,0),""))</f>
        <v/>
      </c>
      <c r="W4722" t="str">
        <f t="shared" si="3"/>
        <v/>
      </c>
      <c r="X4722" s="4" t="str">
        <f>IF(V4722="","",INDEX(Fornecedores!$X$1:$X$6631,V4722))</f>
        <v/>
      </c>
      <c r="Y4722" s="4" t="str">
        <f t="shared" si="4"/>
        <v/>
      </c>
    </row>
    <row r="4723" spans="19:25">
      <c r="S4723" t="str">
        <f t="shared" si="0"/>
        <v/>
      </c>
      <c r="T4723" t="str">
        <f t="shared" si="1"/>
        <v/>
      </c>
      <c r="U4723" t="str">
        <f t="shared" si="2"/>
        <v/>
      </c>
      <c r="V4723" t="str">
        <f>IF(OR(U4723="",U4723="ERRO_CHAVE"),"",IFERROR(MATCH(U4723,Fornecedores!$AF$1:$AF$6631,0),""))</f>
        <v/>
      </c>
      <c r="W4723" t="str">
        <f t="shared" si="3"/>
        <v/>
      </c>
      <c r="X4723" s="4" t="str">
        <f>IF(V4723="","",INDEX(Fornecedores!$X$1:$X$6631,V4723))</f>
        <v/>
      </c>
      <c r="Y4723" s="4" t="str">
        <f t="shared" si="4"/>
        <v/>
      </c>
    </row>
    <row r="4724" spans="19:25">
      <c r="S4724" t="str">
        <f t="shared" si="0"/>
        <v/>
      </c>
      <c r="T4724" t="str">
        <f t="shared" si="1"/>
        <v/>
      </c>
      <c r="U4724" t="str">
        <f t="shared" si="2"/>
        <v/>
      </c>
      <c r="V4724" t="str">
        <f>IF(OR(U4724="",U4724="ERRO_CHAVE"),"",IFERROR(MATCH(U4724,Fornecedores!$AF$1:$AF$6631,0),""))</f>
        <v/>
      </c>
      <c r="W4724" t="str">
        <f t="shared" si="3"/>
        <v/>
      </c>
      <c r="X4724" s="4" t="str">
        <f>IF(V4724="","",INDEX(Fornecedores!$X$1:$X$6631,V4724))</f>
        <v/>
      </c>
      <c r="Y4724" s="4" t="str">
        <f t="shared" si="4"/>
        <v/>
      </c>
    </row>
    <row r="4725" spans="19:25">
      <c r="S4725" t="str">
        <f t="shared" si="0"/>
        <v/>
      </c>
      <c r="T4725" t="str">
        <f t="shared" si="1"/>
        <v/>
      </c>
      <c r="U4725" t="str">
        <f t="shared" si="2"/>
        <v/>
      </c>
      <c r="V4725" t="str">
        <f>IF(OR(U4725="",U4725="ERRO_CHAVE"),"",IFERROR(MATCH(U4725,Fornecedores!$AF$1:$AF$6631,0),""))</f>
        <v/>
      </c>
      <c r="W4725" t="str">
        <f t="shared" si="3"/>
        <v/>
      </c>
      <c r="X4725" s="4" t="str">
        <f>IF(V4725="","",INDEX(Fornecedores!$X$1:$X$6631,V4725))</f>
        <v/>
      </c>
      <c r="Y4725" s="4" t="str">
        <f t="shared" si="4"/>
        <v/>
      </c>
    </row>
    <row r="4726" spans="19:25">
      <c r="S4726" t="str">
        <f t="shared" si="0"/>
        <v/>
      </c>
      <c r="T4726" t="str">
        <f t="shared" si="1"/>
        <v/>
      </c>
      <c r="U4726" t="str">
        <f t="shared" si="2"/>
        <v/>
      </c>
      <c r="V4726" t="str">
        <f>IF(OR(U4726="",U4726="ERRO_CHAVE"),"",IFERROR(MATCH(U4726,Fornecedores!$AF$1:$AF$6631,0),""))</f>
        <v/>
      </c>
      <c r="W4726" t="str">
        <f t="shared" si="3"/>
        <v/>
      </c>
      <c r="X4726" s="4" t="str">
        <f>IF(V4726="","",INDEX(Fornecedores!$X$1:$X$6631,V4726))</f>
        <v/>
      </c>
      <c r="Y4726" s="4" t="str">
        <f t="shared" si="4"/>
        <v/>
      </c>
    </row>
    <row r="4727" spans="19:25">
      <c r="S4727" t="str">
        <f t="shared" si="0"/>
        <v/>
      </c>
      <c r="T4727" t="str">
        <f t="shared" si="1"/>
        <v/>
      </c>
      <c r="U4727" t="str">
        <f t="shared" si="2"/>
        <v/>
      </c>
      <c r="V4727" t="str">
        <f>IF(OR(U4727="",U4727="ERRO_CHAVE"),"",IFERROR(MATCH(U4727,Fornecedores!$AF$1:$AF$6631,0),""))</f>
        <v/>
      </c>
      <c r="W4727" t="str">
        <f t="shared" si="3"/>
        <v/>
      </c>
      <c r="X4727" s="4" t="str">
        <f>IF(V4727="","",INDEX(Fornecedores!$X$1:$X$6631,V4727))</f>
        <v/>
      </c>
      <c r="Y4727" s="4" t="str">
        <f t="shared" si="4"/>
        <v/>
      </c>
    </row>
    <row r="4728" spans="19:25">
      <c r="S4728" t="str">
        <f t="shared" si="0"/>
        <v/>
      </c>
      <c r="T4728" t="str">
        <f t="shared" si="1"/>
        <v/>
      </c>
      <c r="U4728" t="str">
        <f t="shared" si="2"/>
        <v/>
      </c>
      <c r="V4728" t="str">
        <f>IF(OR(U4728="",U4728="ERRO_CHAVE"),"",IFERROR(MATCH(U4728,Fornecedores!$AF$1:$AF$6631,0),""))</f>
        <v/>
      </c>
      <c r="W4728" t="str">
        <f t="shared" si="3"/>
        <v/>
      </c>
      <c r="X4728" s="4" t="str">
        <f>IF(V4728="","",INDEX(Fornecedores!$X$1:$X$6631,V4728))</f>
        <v/>
      </c>
      <c r="Y4728" s="4" t="str">
        <f t="shared" si="4"/>
        <v/>
      </c>
    </row>
    <row r="4729" spans="19:25">
      <c r="S4729" t="str">
        <f t="shared" si="0"/>
        <v/>
      </c>
      <c r="T4729" t="str">
        <f t="shared" si="1"/>
        <v/>
      </c>
      <c r="U4729" t="str">
        <f t="shared" si="2"/>
        <v/>
      </c>
      <c r="V4729" t="str">
        <f>IF(OR(U4729="",U4729="ERRO_CHAVE"),"",IFERROR(MATCH(U4729,Fornecedores!$AF$1:$AF$6631,0),""))</f>
        <v/>
      </c>
      <c r="W4729" t="str">
        <f t="shared" si="3"/>
        <v/>
      </c>
      <c r="X4729" s="4" t="str">
        <f>IF(V4729="","",INDEX(Fornecedores!$X$1:$X$6631,V4729))</f>
        <v/>
      </c>
      <c r="Y4729" s="4" t="str">
        <f t="shared" si="4"/>
        <v/>
      </c>
    </row>
    <row r="4730" spans="19:25">
      <c r="S4730" t="str">
        <f t="shared" si="0"/>
        <v/>
      </c>
      <c r="T4730" t="str">
        <f t="shared" si="1"/>
        <v/>
      </c>
      <c r="U4730" t="str">
        <f t="shared" si="2"/>
        <v/>
      </c>
      <c r="V4730" t="str">
        <f>IF(OR(U4730="",U4730="ERRO_CHAVE"),"",IFERROR(MATCH(U4730,Fornecedores!$AF$1:$AF$6631,0),""))</f>
        <v/>
      </c>
      <c r="W4730" t="str">
        <f t="shared" si="3"/>
        <v/>
      </c>
      <c r="X4730" s="4" t="str">
        <f>IF(V4730="","",INDEX(Fornecedores!$X$1:$X$6631,V4730))</f>
        <v/>
      </c>
      <c r="Y4730" s="4" t="str">
        <f t="shared" si="4"/>
        <v/>
      </c>
    </row>
    <row r="4731" spans="19:25">
      <c r="S4731" t="str">
        <f t="shared" si="0"/>
        <v/>
      </c>
      <c r="T4731" t="str">
        <f t="shared" si="1"/>
        <v/>
      </c>
      <c r="U4731" t="str">
        <f t="shared" si="2"/>
        <v/>
      </c>
      <c r="V4731" t="str">
        <f>IF(OR(U4731="",U4731="ERRO_CHAVE"),"",IFERROR(MATCH(U4731,Fornecedores!$AF$1:$AF$6631,0),""))</f>
        <v/>
      </c>
      <c r="W4731" t="str">
        <f t="shared" si="3"/>
        <v/>
      </c>
      <c r="X4731" s="4" t="str">
        <f>IF(V4731="","",INDEX(Fornecedores!$X$1:$X$6631,V4731))</f>
        <v/>
      </c>
      <c r="Y4731" s="4" t="str">
        <f t="shared" si="4"/>
        <v/>
      </c>
    </row>
    <row r="4732" spans="19:25">
      <c r="S4732" t="str">
        <f t="shared" si="0"/>
        <v/>
      </c>
      <c r="T4732" t="str">
        <f t="shared" si="1"/>
        <v/>
      </c>
      <c r="U4732" t="str">
        <f t="shared" si="2"/>
        <v/>
      </c>
      <c r="V4732" t="str">
        <f>IF(OR(U4732="",U4732="ERRO_CHAVE"),"",IFERROR(MATCH(U4732,Fornecedores!$AF$1:$AF$6631,0),""))</f>
        <v/>
      </c>
      <c r="W4732" t="str">
        <f t="shared" si="3"/>
        <v/>
      </c>
      <c r="X4732" s="4" t="str">
        <f>IF(V4732="","",INDEX(Fornecedores!$X$1:$X$6631,V4732))</f>
        <v/>
      </c>
      <c r="Y4732" s="4" t="str">
        <f t="shared" si="4"/>
        <v/>
      </c>
    </row>
    <row r="4733" spans="19:25">
      <c r="S4733" t="str">
        <f t="shared" si="0"/>
        <v/>
      </c>
      <c r="T4733" t="str">
        <f t="shared" si="1"/>
        <v/>
      </c>
      <c r="U4733" t="str">
        <f t="shared" si="2"/>
        <v/>
      </c>
      <c r="V4733" t="str">
        <f>IF(OR(U4733="",U4733="ERRO_CHAVE"),"",IFERROR(MATCH(U4733,Fornecedores!$AF$1:$AF$6631,0),""))</f>
        <v/>
      </c>
      <c r="W4733" t="str">
        <f t="shared" si="3"/>
        <v/>
      </c>
      <c r="X4733" s="4" t="str">
        <f>IF(V4733="","",INDEX(Fornecedores!$X$1:$X$6631,V4733))</f>
        <v/>
      </c>
      <c r="Y4733" s="4" t="str">
        <f t="shared" si="4"/>
        <v/>
      </c>
    </row>
    <row r="4734" spans="19:25">
      <c r="S4734" t="str">
        <f t="shared" si="0"/>
        <v/>
      </c>
      <c r="T4734" t="str">
        <f t="shared" si="1"/>
        <v/>
      </c>
      <c r="U4734" t="str">
        <f t="shared" si="2"/>
        <v/>
      </c>
      <c r="V4734" t="str">
        <f>IF(OR(U4734="",U4734="ERRO_CHAVE"),"",IFERROR(MATCH(U4734,Fornecedores!$AF$1:$AF$6631,0),""))</f>
        <v/>
      </c>
      <c r="W4734" t="str">
        <f t="shared" si="3"/>
        <v/>
      </c>
      <c r="X4734" s="4" t="str">
        <f>IF(V4734="","",INDEX(Fornecedores!$X$1:$X$6631,V4734))</f>
        <v/>
      </c>
      <c r="Y4734" s="4" t="str">
        <f t="shared" si="4"/>
        <v/>
      </c>
    </row>
    <row r="4735" spans="19:25">
      <c r="S4735" t="str">
        <f t="shared" si="0"/>
        <v/>
      </c>
      <c r="T4735" t="str">
        <f t="shared" si="1"/>
        <v/>
      </c>
      <c r="U4735" t="str">
        <f t="shared" si="2"/>
        <v/>
      </c>
      <c r="V4735" t="str">
        <f>IF(OR(U4735="",U4735="ERRO_CHAVE"),"",IFERROR(MATCH(U4735,Fornecedores!$AF$1:$AF$6631,0),""))</f>
        <v/>
      </c>
      <c r="W4735" t="str">
        <f t="shared" si="3"/>
        <v/>
      </c>
      <c r="X4735" s="4" t="str">
        <f>IF(V4735="","",INDEX(Fornecedores!$X$1:$X$6631,V4735))</f>
        <v/>
      </c>
      <c r="Y4735" s="4" t="str">
        <f t="shared" si="4"/>
        <v/>
      </c>
    </row>
    <row r="4736" spans="19:25">
      <c r="S4736" t="str">
        <f t="shared" si="0"/>
        <v/>
      </c>
      <c r="T4736" t="str">
        <f t="shared" si="1"/>
        <v/>
      </c>
      <c r="U4736" t="str">
        <f t="shared" si="2"/>
        <v/>
      </c>
      <c r="V4736" t="str">
        <f>IF(OR(U4736="",U4736="ERRO_CHAVE"),"",IFERROR(MATCH(U4736,Fornecedores!$AF$1:$AF$6631,0),""))</f>
        <v/>
      </c>
      <c r="W4736" t="str">
        <f t="shared" si="3"/>
        <v/>
      </c>
      <c r="X4736" s="4" t="str">
        <f>IF(V4736="","",INDEX(Fornecedores!$X$1:$X$6631,V4736))</f>
        <v/>
      </c>
      <c r="Y4736" s="4" t="str">
        <f t="shared" si="4"/>
        <v/>
      </c>
    </row>
    <row r="4737" spans="19:25">
      <c r="S4737" t="str">
        <f t="shared" si="0"/>
        <v/>
      </c>
      <c r="T4737" t="str">
        <f t="shared" si="1"/>
        <v/>
      </c>
      <c r="U4737" t="str">
        <f t="shared" si="2"/>
        <v/>
      </c>
      <c r="V4737" t="str">
        <f>IF(OR(U4737="",U4737="ERRO_CHAVE"),"",IFERROR(MATCH(U4737,Fornecedores!$AF$1:$AF$6631,0),""))</f>
        <v/>
      </c>
      <c r="W4737" t="str">
        <f t="shared" si="3"/>
        <v/>
      </c>
      <c r="X4737" s="4" t="str">
        <f>IF(V4737="","",INDEX(Fornecedores!$X$1:$X$6631,V4737))</f>
        <v/>
      </c>
      <c r="Y4737" s="4" t="str">
        <f t="shared" si="4"/>
        <v/>
      </c>
    </row>
    <row r="4738" spans="19:25">
      <c r="S4738" t="str">
        <f t="shared" si="0"/>
        <v/>
      </c>
      <c r="T4738" t="str">
        <f t="shared" si="1"/>
        <v/>
      </c>
      <c r="U4738" t="str">
        <f t="shared" si="2"/>
        <v/>
      </c>
      <c r="V4738" t="str">
        <f>IF(OR(U4738="",U4738="ERRO_CHAVE"),"",IFERROR(MATCH(U4738,Fornecedores!$AF$1:$AF$6631,0),""))</f>
        <v/>
      </c>
      <c r="W4738" t="str">
        <f t="shared" si="3"/>
        <v/>
      </c>
      <c r="X4738" s="4" t="str">
        <f>IF(V4738="","",INDEX(Fornecedores!$X$1:$X$6631,V4738))</f>
        <v/>
      </c>
      <c r="Y4738" s="4" t="str">
        <f t="shared" si="4"/>
        <v/>
      </c>
    </row>
    <row r="4739" spans="19:25">
      <c r="S4739" t="str">
        <f t="shared" si="0"/>
        <v/>
      </c>
      <c r="T4739" t="str">
        <f t="shared" si="1"/>
        <v/>
      </c>
      <c r="U4739" t="str">
        <f t="shared" si="2"/>
        <v/>
      </c>
      <c r="V4739" t="str">
        <f>IF(OR(U4739="",U4739="ERRO_CHAVE"),"",IFERROR(MATCH(U4739,Fornecedores!$AF$1:$AF$6631,0),""))</f>
        <v/>
      </c>
      <c r="W4739" t="str">
        <f t="shared" si="3"/>
        <v/>
      </c>
      <c r="X4739" s="4" t="str">
        <f>IF(V4739="","",INDEX(Fornecedores!$X$1:$X$6631,V4739))</f>
        <v/>
      </c>
      <c r="Y4739" s="4" t="str">
        <f t="shared" si="4"/>
        <v/>
      </c>
    </row>
    <row r="4740" spans="19:25">
      <c r="S4740" t="str">
        <f t="shared" si="0"/>
        <v/>
      </c>
      <c r="T4740" t="str">
        <f t="shared" si="1"/>
        <v/>
      </c>
      <c r="U4740" t="str">
        <f t="shared" si="2"/>
        <v/>
      </c>
      <c r="V4740" t="str">
        <f>IF(OR(U4740="",U4740="ERRO_CHAVE"),"",IFERROR(MATCH(U4740,Fornecedores!$AF$1:$AF$6631,0),""))</f>
        <v/>
      </c>
      <c r="W4740" t="str">
        <f t="shared" si="3"/>
        <v/>
      </c>
      <c r="X4740" s="4" t="str">
        <f>IF(V4740="","",INDEX(Fornecedores!$X$1:$X$6631,V4740))</f>
        <v/>
      </c>
      <c r="Y4740" s="4" t="str">
        <f t="shared" si="4"/>
        <v/>
      </c>
    </row>
    <row r="4741" spans="19:25">
      <c r="S4741" t="str">
        <f t="shared" si="0"/>
        <v/>
      </c>
      <c r="T4741" t="str">
        <f t="shared" si="1"/>
        <v/>
      </c>
      <c r="U4741" t="str">
        <f t="shared" si="2"/>
        <v/>
      </c>
      <c r="V4741" t="str">
        <f>IF(OR(U4741="",U4741="ERRO_CHAVE"),"",IFERROR(MATCH(U4741,Fornecedores!$AF$1:$AF$6631,0),""))</f>
        <v/>
      </c>
      <c r="W4741" t="str">
        <f t="shared" si="3"/>
        <v/>
      </c>
      <c r="X4741" s="4" t="str">
        <f>IF(V4741="","",INDEX(Fornecedores!$X$1:$X$6631,V4741))</f>
        <v/>
      </c>
      <c r="Y4741" s="4" t="str">
        <f t="shared" si="4"/>
        <v/>
      </c>
    </row>
    <row r="4742" spans="19:25">
      <c r="S4742" t="str">
        <f t="shared" si="0"/>
        <v/>
      </c>
      <c r="T4742" t="str">
        <f t="shared" si="1"/>
        <v/>
      </c>
      <c r="U4742" t="str">
        <f t="shared" si="2"/>
        <v/>
      </c>
      <c r="V4742" t="str">
        <f>IF(OR(U4742="",U4742="ERRO_CHAVE"),"",IFERROR(MATCH(U4742,Fornecedores!$AF$1:$AF$6631,0),""))</f>
        <v/>
      </c>
      <c r="W4742" t="str">
        <f t="shared" si="3"/>
        <v/>
      </c>
      <c r="X4742" s="4" t="str">
        <f>IF(V4742="","",INDEX(Fornecedores!$X$1:$X$6631,V4742))</f>
        <v/>
      </c>
      <c r="Y4742" s="4" t="str">
        <f t="shared" si="4"/>
        <v/>
      </c>
    </row>
    <row r="4743" spans="19:25">
      <c r="S4743" t="str">
        <f t="shared" si="0"/>
        <v/>
      </c>
      <c r="T4743" t="str">
        <f t="shared" si="1"/>
        <v/>
      </c>
      <c r="U4743" t="str">
        <f t="shared" si="2"/>
        <v/>
      </c>
      <c r="V4743" t="str">
        <f>IF(OR(U4743="",U4743="ERRO_CHAVE"),"",IFERROR(MATCH(U4743,Fornecedores!$AF$1:$AF$6631,0),""))</f>
        <v/>
      </c>
      <c r="W4743" t="str">
        <f t="shared" si="3"/>
        <v/>
      </c>
      <c r="X4743" s="4" t="str">
        <f>IF(V4743="","",INDEX(Fornecedores!$X$1:$X$6631,V4743))</f>
        <v/>
      </c>
      <c r="Y4743" s="4" t="str">
        <f t="shared" si="4"/>
        <v/>
      </c>
    </row>
    <row r="4744" spans="19:25">
      <c r="S4744" t="str">
        <f t="shared" si="0"/>
        <v/>
      </c>
      <c r="T4744" t="str">
        <f t="shared" si="1"/>
        <v/>
      </c>
      <c r="U4744" t="str">
        <f t="shared" si="2"/>
        <v/>
      </c>
      <c r="V4744" t="str">
        <f>IF(OR(U4744="",U4744="ERRO_CHAVE"),"",IFERROR(MATCH(U4744,Fornecedores!$AF$1:$AF$6631,0),""))</f>
        <v/>
      </c>
      <c r="W4744" t="str">
        <f t="shared" si="3"/>
        <v/>
      </c>
      <c r="X4744" s="4" t="str">
        <f>IF(V4744="","",INDEX(Fornecedores!$X$1:$X$6631,V4744))</f>
        <v/>
      </c>
      <c r="Y4744" s="4" t="str">
        <f t="shared" si="4"/>
        <v/>
      </c>
    </row>
    <row r="4745" spans="19:25">
      <c r="S4745" t="str">
        <f t="shared" si="0"/>
        <v/>
      </c>
      <c r="T4745" t="str">
        <f t="shared" si="1"/>
        <v/>
      </c>
      <c r="U4745" t="str">
        <f t="shared" si="2"/>
        <v/>
      </c>
      <c r="V4745" t="str">
        <f>IF(OR(U4745="",U4745="ERRO_CHAVE"),"",IFERROR(MATCH(U4745,Fornecedores!$AF$1:$AF$6631,0),""))</f>
        <v/>
      </c>
      <c r="W4745" t="str">
        <f t="shared" si="3"/>
        <v/>
      </c>
      <c r="X4745" s="4" t="str">
        <f>IF(V4745="","",INDEX(Fornecedores!$X$1:$X$6631,V4745))</f>
        <v/>
      </c>
      <c r="Y4745" s="4" t="str">
        <f t="shared" si="4"/>
        <v/>
      </c>
    </row>
    <row r="4746" spans="19:25">
      <c r="S4746" t="str">
        <f t="shared" si="0"/>
        <v/>
      </c>
      <c r="T4746" t="str">
        <f t="shared" si="1"/>
        <v/>
      </c>
      <c r="U4746" t="str">
        <f t="shared" si="2"/>
        <v/>
      </c>
      <c r="V4746" t="str">
        <f>IF(OR(U4746="",U4746="ERRO_CHAVE"),"",IFERROR(MATCH(U4746,Fornecedores!$AF$1:$AF$6631,0),""))</f>
        <v/>
      </c>
      <c r="W4746" t="str">
        <f t="shared" si="3"/>
        <v/>
      </c>
      <c r="X4746" s="4" t="str">
        <f>IF(V4746="","",INDEX(Fornecedores!$X$1:$X$6631,V4746))</f>
        <v/>
      </c>
      <c r="Y4746" s="4" t="str">
        <f t="shared" si="4"/>
        <v/>
      </c>
    </row>
    <row r="4747" spans="19:25">
      <c r="S4747" t="str">
        <f t="shared" si="0"/>
        <v/>
      </c>
      <c r="T4747" t="str">
        <f t="shared" si="1"/>
        <v/>
      </c>
      <c r="U4747" t="str">
        <f t="shared" si="2"/>
        <v/>
      </c>
      <c r="V4747" t="str">
        <f>IF(OR(U4747="",U4747="ERRO_CHAVE"),"",IFERROR(MATCH(U4747,Fornecedores!$AF$1:$AF$6631,0),""))</f>
        <v/>
      </c>
      <c r="W4747" t="str">
        <f t="shared" si="3"/>
        <v/>
      </c>
      <c r="X4747" s="4" t="str">
        <f>IF(V4747="","",INDEX(Fornecedores!$X$1:$X$6631,V4747))</f>
        <v/>
      </c>
      <c r="Y4747" s="4" t="str">
        <f t="shared" si="4"/>
        <v/>
      </c>
    </row>
    <row r="4748" spans="19:25">
      <c r="S4748" t="str">
        <f t="shared" si="0"/>
        <v/>
      </c>
      <c r="T4748" t="str">
        <f t="shared" si="1"/>
        <v/>
      </c>
      <c r="U4748" t="str">
        <f t="shared" si="2"/>
        <v/>
      </c>
      <c r="V4748" t="str">
        <f>IF(OR(U4748="",U4748="ERRO_CHAVE"),"",IFERROR(MATCH(U4748,Fornecedores!$AF$1:$AF$6631,0),""))</f>
        <v/>
      </c>
      <c r="W4748" t="str">
        <f t="shared" si="3"/>
        <v/>
      </c>
      <c r="X4748" s="4" t="str">
        <f>IF(V4748="","",INDEX(Fornecedores!$X$1:$X$6631,V4748))</f>
        <v/>
      </c>
      <c r="Y4748" s="4" t="str">
        <f t="shared" si="4"/>
        <v/>
      </c>
    </row>
    <row r="4749" spans="19:25">
      <c r="S4749" t="str">
        <f t="shared" si="0"/>
        <v/>
      </c>
      <c r="T4749" t="str">
        <f t="shared" si="1"/>
        <v/>
      </c>
      <c r="U4749" t="str">
        <f t="shared" si="2"/>
        <v/>
      </c>
      <c r="V4749" t="str">
        <f>IF(OR(U4749="",U4749="ERRO_CHAVE"),"",IFERROR(MATCH(U4749,Fornecedores!$AF$1:$AF$6631,0),""))</f>
        <v/>
      </c>
      <c r="W4749" t="str">
        <f t="shared" si="3"/>
        <v/>
      </c>
      <c r="X4749" s="4" t="str">
        <f>IF(V4749="","",INDEX(Fornecedores!$X$1:$X$6631,V4749))</f>
        <v/>
      </c>
      <c r="Y4749" s="4" t="str">
        <f t="shared" si="4"/>
        <v/>
      </c>
    </row>
    <row r="4750" spans="19:25">
      <c r="S4750" t="str">
        <f t="shared" si="0"/>
        <v/>
      </c>
      <c r="T4750" t="str">
        <f t="shared" si="1"/>
        <v/>
      </c>
      <c r="U4750" t="str">
        <f t="shared" si="2"/>
        <v/>
      </c>
      <c r="V4750" t="str">
        <f>IF(OR(U4750="",U4750="ERRO_CHAVE"),"",IFERROR(MATCH(U4750,Fornecedores!$AF$1:$AF$6631,0),""))</f>
        <v/>
      </c>
      <c r="W4750" t="str">
        <f t="shared" si="3"/>
        <v/>
      </c>
      <c r="X4750" s="4" t="str">
        <f>IF(V4750="","",INDEX(Fornecedores!$X$1:$X$6631,V4750))</f>
        <v/>
      </c>
      <c r="Y4750" s="4" t="str">
        <f t="shared" si="4"/>
        <v/>
      </c>
    </row>
    <row r="4751" spans="19:25">
      <c r="S4751" t="str">
        <f t="shared" si="0"/>
        <v/>
      </c>
      <c r="T4751" t="str">
        <f t="shared" si="1"/>
        <v/>
      </c>
      <c r="U4751" t="str">
        <f t="shared" si="2"/>
        <v/>
      </c>
      <c r="V4751" t="str">
        <f>IF(OR(U4751="",U4751="ERRO_CHAVE"),"",IFERROR(MATCH(U4751,Fornecedores!$AF$1:$AF$6631,0),""))</f>
        <v/>
      </c>
      <c r="W4751" t="str">
        <f t="shared" si="3"/>
        <v/>
      </c>
      <c r="X4751" s="4" t="str">
        <f>IF(V4751="","",INDEX(Fornecedores!$X$1:$X$6631,V4751))</f>
        <v/>
      </c>
      <c r="Y4751" s="4" t="str">
        <f t="shared" si="4"/>
        <v/>
      </c>
    </row>
    <row r="4752" spans="19:25">
      <c r="S4752" t="str">
        <f t="shared" si="0"/>
        <v/>
      </c>
      <c r="T4752" t="str">
        <f t="shared" si="1"/>
        <v/>
      </c>
      <c r="U4752" t="str">
        <f t="shared" si="2"/>
        <v/>
      </c>
      <c r="V4752" t="str">
        <f>IF(OR(U4752="",U4752="ERRO_CHAVE"),"",IFERROR(MATCH(U4752,Fornecedores!$AF$1:$AF$6631,0),""))</f>
        <v/>
      </c>
      <c r="W4752" t="str">
        <f t="shared" si="3"/>
        <v/>
      </c>
      <c r="X4752" s="4" t="str">
        <f>IF(V4752="","",INDEX(Fornecedores!$X$1:$X$6631,V4752))</f>
        <v/>
      </c>
      <c r="Y4752" s="4" t="str">
        <f t="shared" si="4"/>
        <v/>
      </c>
    </row>
    <row r="4753" spans="19:25">
      <c r="S4753" t="str">
        <f t="shared" si="0"/>
        <v/>
      </c>
      <c r="T4753" t="str">
        <f t="shared" si="1"/>
        <v/>
      </c>
      <c r="U4753" t="str">
        <f t="shared" si="2"/>
        <v/>
      </c>
      <c r="V4753" t="str">
        <f>IF(OR(U4753="",U4753="ERRO_CHAVE"),"",IFERROR(MATCH(U4753,Fornecedores!$AF$1:$AF$6631,0),""))</f>
        <v/>
      </c>
      <c r="W4753" t="str">
        <f t="shared" si="3"/>
        <v/>
      </c>
      <c r="X4753" s="4" t="str">
        <f>IF(V4753="","",INDEX(Fornecedores!$X$1:$X$6631,V4753))</f>
        <v/>
      </c>
      <c r="Y4753" s="4" t="str">
        <f t="shared" si="4"/>
        <v/>
      </c>
    </row>
    <row r="4754" spans="19:25">
      <c r="S4754" t="str">
        <f t="shared" si="0"/>
        <v/>
      </c>
      <c r="T4754" t="str">
        <f t="shared" si="1"/>
        <v/>
      </c>
      <c r="U4754" t="str">
        <f t="shared" si="2"/>
        <v/>
      </c>
      <c r="V4754" t="str">
        <f>IF(OR(U4754="",U4754="ERRO_CHAVE"),"",IFERROR(MATCH(U4754,Fornecedores!$AF$1:$AF$6631,0),""))</f>
        <v/>
      </c>
      <c r="W4754" t="str">
        <f t="shared" si="3"/>
        <v/>
      </c>
      <c r="X4754" s="4" t="str">
        <f>IF(V4754="","",INDEX(Fornecedores!$X$1:$X$6631,V4754))</f>
        <v/>
      </c>
      <c r="Y4754" s="4" t="str">
        <f t="shared" si="4"/>
        <v/>
      </c>
    </row>
    <row r="4755" spans="19:25">
      <c r="S4755" t="str">
        <f t="shared" si="0"/>
        <v/>
      </c>
      <c r="T4755" t="str">
        <f t="shared" si="1"/>
        <v/>
      </c>
      <c r="U4755" t="str">
        <f t="shared" si="2"/>
        <v/>
      </c>
      <c r="V4755" t="str">
        <f>IF(OR(U4755="",U4755="ERRO_CHAVE"),"",IFERROR(MATCH(U4755,Fornecedores!$AF$1:$AF$6631,0),""))</f>
        <v/>
      </c>
      <c r="W4755" t="str">
        <f t="shared" si="3"/>
        <v/>
      </c>
      <c r="X4755" s="4" t="str">
        <f>IF(V4755="","",INDEX(Fornecedores!$X$1:$X$6631,V4755))</f>
        <v/>
      </c>
      <c r="Y4755" s="4" t="str">
        <f t="shared" si="4"/>
        <v/>
      </c>
    </row>
    <row r="4756" spans="19:25">
      <c r="S4756" t="str">
        <f t="shared" si="0"/>
        <v/>
      </c>
      <c r="T4756" t="str">
        <f t="shared" si="1"/>
        <v/>
      </c>
      <c r="U4756" t="str">
        <f t="shared" si="2"/>
        <v/>
      </c>
      <c r="V4756" t="str">
        <f>IF(OR(U4756="",U4756="ERRO_CHAVE"),"",IFERROR(MATCH(U4756,Fornecedores!$AF$1:$AF$6631,0),""))</f>
        <v/>
      </c>
      <c r="W4756" t="str">
        <f t="shared" si="3"/>
        <v/>
      </c>
      <c r="X4756" s="4" t="str">
        <f>IF(V4756="","",INDEX(Fornecedores!$X$1:$X$6631,V4756))</f>
        <v/>
      </c>
      <c r="Y4756" s="4" t="str">
        <f t="shared" si="4"/>
        <v/>
      </c>
    </row>
    <row r="4757" spans="19:25">
      <c r="S4757" t="str">
        <f t="shared" si="0"/>
        <v/>
      </c>
      <c r="T4757" t="str">
        <f t="shared" si="1"/>
        <v/>
      </c>
      <c r="U4757" t="str">
        <f t="shared" si="2"/>
        <v/>
      </c>
      <c r="V4757" t="str">
        <f>IF(OR(U4757="",U4757="ERRO_CHAVE"),"",IFERROR(MATCH(U4757,Fornecedores!$AF$1:$AF$6631,0),""))</f>
        <v/>
      </c>
      <c r="W4757" t="str">
        <f t="shared" si="3"/>
        <v/>
      </c>
      <c r="X4757" s="4" t="str">
        <f>IF(V4757="","",INDEX(Fornecedores!$X$1:$X$6631,V4757))</f>
        <v/>
      </c>
      <c r="Y4757" s="4" t="str">
        <f t="shared" si="4"/>
        <v/>
      </c>
    </row>
    <row r="4758" spans="19:25">
      <c r="S4758" t="str">
        <f t="shared" si="0"/>
        <v/>
      </c>
      <c r="T4758" t="str">
        <f t="shared" si="1"/>
        <v/>
      </c>
      <c r="U4758" t="str">
        <f t="shared" si="2"/>
        <v/>
      </c>
      <c r="V4758" t="str">
        <f>IF(OR(U4758="",U4758="ERRO_CHAVE"),"",IFERROR(MATCH(U4758,Fornecedores!$AF$1:$AF$6631,0),""))</f>
        <v/>
      </c>
      <c r="W4758" t="str">
        <f t="shared" si="3"/>
        <v/>
      </c>
      <c r="X4758" s="4" t="str">
        <f>IF(V4758="","",INDEX(Fornecedores!$X$1:$X$6631,V4758))</f>
        <v/>
      </c>
      <c r="Y4758" s="4" t="str">
        <f t="shared" si="4"/>
        <v/>
      </c>
    </row>
    <row r="4759" spans="19:25">
      <c r="S4759" t="str">
        <f t="shared" si="0"/>
        <v/>
      </c>
      <c r="T4759" t="str">
        <f t="shared" si="1"/>
        <v/>
      </c>
      <c r="U4759" t="str">
        <f t="shared" si="2"/>
        <v/>
      </c>
      <c r="V4759" t="str">
        <f>IF(OR(U4759="",U4759="ERRO_CHAVE"),"",IFERROR(MATCH(U4759,Fornecedores!$AF$1:$AF$6631,0),""))</f>
        <v/>
      </c>
      <c r="W4759" t="str">
        <f t="shared" si="3"/>
        <v/>
      </c>
      <c r="X4759" s="4" t="str">
        <f>IF(V4759="","",INDEX(Fornecedores!$X$1:$X$6631,V4759))</f>
        <v/>
      </c>
      <c r="Y4759" s="4" t="str">
        <f t="shared" si="4"/>
        <v/>
      </c>
    </row>
    <row r="4760" spans="19:25">
      <c r="S4760" t="str">
        <f t="shared" si="0"/>
        <v/>
      </c>
      <c r="T4760" t="str">
        <f t="shared" si="1"/>
        <v/>
      </c>
      <c r="U4760" t="str">
        <f t="shared" si="2"/>
        <v/>
      </c>
      <c r="V4760" t="str">
        <f>IF(OR(U4760="",U4760="ERRO_CHAVE"),"",IFERROR(MATCH(U4760,Fornecedores!$AF$1:$AF$6631,0),""))</f>
        <v/>
      </c>
      <c r="W4760" t="str">
        <f t="shared" si="3"/>
        <v/>
      </c>
      <c r="X4760" s="4" t="str">
        <f>IF(V4760="","",INDEX(Fornecedores!$X$1:$X$6631,V4760))</f>
        <v/>
      </c>
      <c r="Y4760" s="4" t="str">
        <f t="shared" si="4"/>
        <v/>
      </c>
    </row>
    <row r="4761" spans="19:25">
      <c r="S4761" t="str">
        <f t="shared" si="0"/>
        <v/>
      </c>
      <c r="T4761" t="str">
        <f t="shared" si="1"/>
        <v/>
      </c>
      <c r="U4761" t="str">
        <f t="shared" si="2"/>
        <v/>
      </c>
      <c r="V4761" t="str">
        <f>IF(OR(U4761="",U4761="ERRO_CHAVE"),"",IFERROR(MATCH(U4761,Fornecedores!$AF$1:$AF$6631,0),""))</f>
        <v/>
      </c>
      <c r="W4761" t="str">
        <f t="shared" si="3"/>
        <v/>
      </c>
      <c r="X4761" s="4" t="str">
        <f>IF(V4761="","",INDEX(Fornecedores!$X$1:$X$6631,V4761))</f>
        <v/>
      </c>
      <c r="Y4761" s="4" t="str">
        <f t="shared" si="4"/>
        <v/>
      </c>
    </row>
    <row r="4762" spans="19:25">
      <c r="S4762" t="str">
        <f t="shared" si="0"/>
        <v/>
      </c>
      <c r="T4762" t="str">
        <f t="shared" si="1"/>
        <v/>
      </c>
      <c r="U4762" t="str">
        <f t="shared" si="2"/>
        <v/>
      </c>
      <c r="V4762" t="str">
        <f>IF(OR(U4762="",U4762="ERRO_CHAVE"),"",IFERROR(MATCH(U4762,Fornecedores!$AF$1:$AF$6631,0),""))</f>
        <v/>
      </c>
      <c r="W4762" t="str">
        <f t="shared" si="3"/>
        <v/>
      </c>
      <c r="X4762" s="4" t="str">
        <f>IF(V4762="","",INDEX(Fornecedores!$X$1:$X$6631,V4762))</f>
        <v/>
      </c>
      <c r="Y4762" s="4" t="str">
        <f t="shared" si="4"/>
        <v/>
      </c>
    </row>
    <row r="4763" spans="19:25">
      <c r="S4763" t="str">
        <f t="shared" si="0"/>
        <v/>
      </c>
      <c r="T4763" t="str">
        <f t="shared" si="1"/>
        <v/>
      </c>
      <c r="U4763" t="str">
        <f t="shared" si="2"/>
        <v/>
      </c>
      <c r="V4763" t="str">
        <f>IF(OR(U4763="",U4763="ERRO_CHAVE"),"",IFERROR(MATCH(U4763,Fornecedores!$AF$1:$AF$6631,0),""))</f>
        <v/>
      </c>
      <c r="W4763" t="str">
        <f t="shared" si="3"/>
        <v/>
      </c>
      <c r="X4763" s="4" t="str">
        <f>IF(V4763="","",INDEX(Fornecedores!$X$1:$X$6631,V4763))</f>
        <v/>
      </c>
      <c r="Y4763" s="4" t="str">
        <f t="shared" si="4"/>
        <v/>
      </c>
    </row>
    <row r="4764" spans="19:25">
      <c r="S4764" t="str">
        <f t="shared" si="0"/>
        <v/>
      </c>
      <c r="T4764" t="str">
        <f t="shared" si="1"/>
        <v/>
      </c>
      <c r="U4764" t="str">
        <f t="shared" si="2"/>
        <v/>
      </c>
      <c r="V4764" t="str">
        <f>IF(OR(U4764="",U4764="ERRO_CHAVE"),"",IFERROR(MATCH(U4764,Fornecedores!$AF$1:$AF$6631,0),""))</f>
        <v/>
      </c>
      <c r="W4764" t="str">
        <f t="shared" si="3"/>
        <v/>
      </c>
      <c r="X4764" s="4" t="str">
        <f>IF(V4764="","",INDEX(Fornecedores!$X$1:$X$6631,V4764))</f>
        <v/>
      </c>
      <c r="Y4764" s="4" t="str">
        <f t="shared" si="4"/>
        <v/>
      </c>
    </row>
    <row r="4765" spans="19:25">
      <c r="S4765" t="str">
        <f t="shared" si="0"/>
        <v/>
      </c>
      <c r="T4765" t="str">
        <f t="shared" si="1"/>
        <v/>
      </c>
      <c r="U4765" t="str">
        <f t="shared" si="2"/>
        <v/>
      </c>
      <c r="V4765" t="str">
        <f>IF(OR(U4765="",U4765="ERRO_CHAVE"),"",IFERROR(MATCH(U4765,Fornecedores!$AF$1:$AF$6631,0),""))</f>
        <v/>
      </c>
      <c r="W4765" t="str">
        <f t="shared" si="3"/>
        <v/>
      </c>
      <c r="X4765" s="4" t="str">
        <f>IF(V4765="","",INDEX(Fornecedores!$X$1:$X$6631,V4765))</f>
        <v/>
      </c>
      <c r="Y4765" s="4" t="str">
        <f t="shared" si="4"/>
        <v/>
      </c>
    </row>
    <row r="4766" spans="19:25">
      <c r="S4766" t="str">
        <f t="shared" si="0"/>
        <v/>
      </c>
      <c r="T4766" t="str">
        <f t="shared" si="1"/>
        <v/>
      </c>
      <c r="U4766" t="str">
        <f t="shared" si="2"/>
        <v/>
      </c>
      <c r="V4766" t="str">
        <f>IF(OR(U4766="",U4766="ERRO_CHAVE"),"",IFERROR(MATCH(U4766,Fornecedores!$AF$1:$AF$6631,0),""))</f>
        <v/>
      </c>
      <c r="W4766" t="str">
        <f t="shared" si="3"/>
        <v/>
      </c>
      <c r="X4766" s="4" t="str">
        <f>IF(V4766="","",INDEX(Fornecedores!$X$1:$X$6631,V4766))</f>
        <v/>
      </c>
      <c r="Y4766" s="4" t="str">
        <f t="shared" si="4"/>
        <v/>
      </c>
    </row>
    <row r="4767" spans="19:25">
      <c r="S4767" t="str">
        <f t="shared" si="0"/>
        <v/>
      </c>
      <c r="T4767" t="str">
        <f t="shared" si="1"/>
        <v/>
      </c>
      <c r="U4767" t="str">
        <f t="shared" si="2"/>
        <v/>
      </c>
      <c r="V4767" t="str">
        <f>IF(OR(U4767="",U4767="ERRO_CHAVE"),"",IFERROR(MATCH(U4767,Fornecedores!$AF$1:$AF$6631,0),""))</f>
        <v/>
      </c>
      <c r="W4767" t="str">
        <f t="shared" si="3"/>
        <v/>
      </c>
      <c r="X4767" s="4" t="str">
        <f>IF(V4767="","",INDEX(Fornecedores!$X$1:$X$6631,V4767))</f>
        <v/>
      </c>
      <c r="Y4767" s="4" t="str">
        <f t="shared" si="4"/>
        <v/>
      </c>
    </row>
    <row r="4768" spans="19:25">
      <c r="S4768" t="str">
        <f t="shared" si="0"/>
        <v/>
      </c>
      <c r="T4768" t="str">
        <f t="shared" si="1"/>
        <v/>
      </c>
      <c r="U4768" t="str">
        <f t="shared" si="2"/>
        <v/>
      </c>
      <c r="V4768" t="str">
        <f>IF(OR(U4768="",U4768="ERRO_CHAVE"),"",IFERROR(MATCH(U4768,Fornecedores!$AF$1:$AF$6631,0),""))</f>
        <v/>
      </c>
      <c r="W4768" t="str">
        <f t="shared" si="3"/>
        <v/>
      </c>
      <c r="X4768" s="4" t="str">
        <f>IF(V4768="","",INDEX(Fornecedores!$X$1:$X$6631,V4768))</f>
        <v/>
      </c>
      <c r="Y4768" s="4" t="str">
        <f t="shared" si="4"/>
        <v/>
      </c>
    </row>
    <row r="4769" spans="19:25">
      <c r="S4769" t="str">
        <f t="shared" si="0"/>
        <v/>
      </c>
      <c r="T4769" t="str">
        <f t="shared" si="1"/>
        <v/>
      </c>
      <c r="U4769" t="str">
        <f t="shared" si="2"/>
        <v/>
      </c>
      <c r="V4769" t="str">
        <f>IF(OR(U4769="",U4769="ERRO_CHAVE"),"",IFERROR(MATCH(U4769,Fornecedores!$AF$1:$AF$6631,0),""))</f>
        <v/>
      </c>
      <c r="W4769" t="str">
        <f t="shared" si="3"/>
        <v/>
      </c>
      <c r="X4769" s="4" t="str">
        <f>IF(V4769="","",INDEX(Fornecedores!$X$1:$X$6631,V4769))</f>
        <v/>
      </c>
      <c r="Y4769" s="4" t="str">
        <f t="shared" si="4"/>
        <v/>
      </c>
    </row>
    <row r="4770" spans="19:25">
      <c r="S4770" t="str">
        <f t="shared" si="0"/>
        <v/>
      </c>
      <c r="T4770" t="str">
        <f t="shared" si="1"/>
        <v/>
      </c>
      <c r="U4770" t="str">
        <f t="shared" si="2"/>
        <v/>
      </c>
      <c r="V4770" t="str">
        <f>IF(OR(U4770="",U4770="ERRO_CHAVE"),"",IFERROR(MATCH(U4770,Fornecedores!$AF$1:$AF$6631,0),""))</f>
        <v/>
      </c>
      <c r="W4770" t="str">
        <f t="shared" si="3"/>
        <v/>
      </c>
      <c r="X4770" s="4" t="str">
        <f>IF(V4770="","",INDEX(Fornecedores!$X$1:$X$6631,V4770))</f>
        <v/>
      </c>
      <c r="Y4770" s="4" t="str">
        <f t="shared" si="4"/>
        <v/>
      </c>
    </row>
    <row r="4771" spans="19:25">
      <c r="S4771" t="str">
        <f t="shared" si="0"/>
        <v/>
      </c>
      <c r="T4771" t="str">
        <f t="shared" si="1"/>
        <v/>
      </c>
      <c r="U4771" t="str">
        <f t="shared" si="2"/>
        <v/>
      </c>
      <c r="V4771" t="str">
        <f>IF(OR(U4771="",U4771="ERRO_CHAVE"),"",IFERROR(MATCH(U4771,Fornecedores!$AF$1:$AF$6631,0),""))</f>
        <v/>
      </c>
      <c r="W4771" t="str">
        <f t="shared" si="3"/>
        <v/>
      </c>
      <c r="X4771" s="4" t="str">
        <f>IF(V4771="","",INDEX(Fornecedores!$X$1:$X$6631,V4771))</f>
        <v/>
      </c>
      <c r="Y4771" s="4" t="str">
        <f t="shared" si="4"/>
        <v/>
      </c>
    </row>
    <row r="4772" spans="19:25">
      <c r="S4772" t="str">
        <f t="shared" si="0"/>
        <v/>
      </c>
      <c r="T4772" t="str">
        <f t="shared" si="1"/>
        <v/>
      </c>
      <c r="U4772" t="str">
        <f t="shared" si="2"/>
        <v/>
      </c>
      <c r="V4772" t="str">
        <f>IF(OR(U4772="",U4772="ERRO_CHAVE"),"",IFERROR(MATCH(U4772,Fornecedores!$AF$1:$AF$6631,0),""))</f>
        <v/>
      </c>
      <c r="W4772" t="str">
        <f t="shared" si="3"/>
        <v/>
      </c>
      <c r="X4772" s="4" t="str">
        <f>IF(V4772="","",INDEX(Fornecedores!$X$1:$X$6631,V4772))</f>
        <v/>
      </c>
      <c r="Y4772" s="4" t="str">
        <f t="shared" si="4"/>
        <v/>
      </c>
    </row>
    <row r="4773" spans="19:25">
      <c r="S4773" t="str">
        <f t="shared" si="0"/>
        <v/>
      </c>
      <c r="T4773" t="str">
        <f t="shared" si="1"/>
        <v/>
      </c>
      <c r="U4773" t="str">
        <f t="shared" si="2"/>
        <v/>
      </c>
      <c r="V4773" t="str">
        <f>IF(OR(U4773="",U4773="ERRO_CHAVE"),"",IFERROR(MATCH(U4773,Fornecedores!$AF$1:$AF$6631,0),""))</f>
        <v/>
      </c>
      <c r="W4773" t="str">
        <f t="shared" si="3"/>
        <v/>
      </c>
      <c r="X4773" s="4" t="str">
        <f>IF(V4773="","",INDEX(Fornecedores!$X$1:$X$6631,V4773))</f>
        <v/>
      </c>
      <c r="Y4773" s="4" t="str">
        <f t="shared" si="4"/>
        <v/>
      </c>
    </row>
    <row r="4774" spans="19:25">
      <c r="S4774" t="str">
        <f t="shared" si="0"/>
        <v/>
      </c>
      <c r="T4774" t="str">
        <f t="shared" si="1"/>
        <v/>
      </c>
      <c r="U4774" t="str">
        <f t="shared" si="2"/>
        <v/>
      </c>
      <c r="V4774" t="str">
        <f>IF(OR(U4774="",U4774="ERRO_CHAVE"),"",IFERROR(MATCH(U4774,Fornecedores!$AF$1:$AF$6631,0),""))</f>
        <v/>
      </c>
      <c r="W4774" t="str">
        <f t="shared" si="3"/>
        <v/>
      </c>
      <c r="X4774" s="4" t="str">
        <f>IF(V4774="","",INDEX(Fornecedores!$X$1:$X$6631,V4774))</f>
        <v/>
      </c>
      <c r="Y4774" s="4" t="str">
        <f t="shared" si="4"/>
        <v/>
      </c>
    </row>
    <row r="4775" spans="19:25">
      <c r="S4775" t="str">
        <f t="shared" si="0"/>
        <v/>
      </c>
      <c r="T4775" t="str">
        <f t="shared" si="1"/>
        <v/>
      </c>
      <c r="U4775" t="str">
        <f t="shared" si="2"/>
        <v/>
      </c>
      <c r="V4775" t="str">
        <f>IF(OR(U4775="",U4775="ERRO_CHAVE"),"",IFERROR(MATCH(U4775,Fornecedores!$AF$1:$AF$6631,0),""))</f>
        <v/>
      </c>
      <c r="W4775" t="str">
        <f t="shared" si="3"/>
        <v/>
      </c>
      <c r="X4775" s="4" t="str">
        <f>IF(V4775="","",INDEX(Fornecedores!$X$1:$X$6631,V4775))</f>
        <v/>
      </c>
      <c r="Y4775" s="4" t="str">
        <f t="shared" si="4"/>
        <v/>
      </c>
    </row>
    <row r="4776" spans="19:25">
      <c r="S4776" t="str">
        <f t="shared" si="0"/>
        <v/>
      </c>
      <c r="T4776" t="str">
        <f t="shared" si="1"/>
        <v/>
      </c>
      <c r="U4776" t="str">
        <f t="shared" si="2"/>
        <v/>
      </c>
      <c r="V4776" t="str">
        <f>IF(OR(U4776="",U4776="ERRO_CHAVE"),"",IFERROR(MATCH(U4776,Fornecedores!$AF$1:$AF$6631,0),""))</f>
        <v/>
      </c>
      <c r="W4776" t="str">
        <f t="shared" si="3"/>
        <v/>
      </c>
      <c r="X4776" s="4" t="str">
        <f>IF(V4776="","",INDEX(Fornecedores!$X$1:$X$6631,V4776))</f>
        <v/>
      </c>
      <c r="Y4776" s="4" t="str">
        <f t="shared" si="4"/>
        <v/>
      </c>
    </row>
    <row r="4777" spans="19:25">
      <c r="S4777" t="str">
        <f t="shared" si="0"/>
        <v/>
      </c>
      <c r="T4777" t="str">
        <f t="shared" si="1"/>
        <v/>
      </c>
      <c r="U4777" t="str">
        <f t="shared" si="2"/>
        <v/>
      </c>
      <c r="V4777" t="str">
        <f>IF(OR(U4777="",U4777="ERRO_CHAVE"),"",IFERROR(MATCH(U4777,Fornecedores!$AF$1:$AF$6631,0),""))</f>
        <v/>
      </c>
      <c r="W4777" t="str">
        <f t="shared" si="3"/>
        <v/>
      </c>
      <c r="X4777" s="4" t="str">
        <f>IF(V4777="","",INDEX(Fornecedores!$X$1:$X$6631,V4777))</f>
        <v/>
      </c>
      <c r="Y4777" s="4" t="str">
        <f t="shared" si="4"/>
        <v/>
      </c>
    </row>
    <row r="4778" spans="19:25">
      <c r="S4778" t="str">
        <f t="shared" si="0"/>
        <v/>
      </c>
      <c r="T4778" t="str">
        <f t="shared" si="1"/>
        <v/>
      </c>
      <c r="U4778" t="str">
        <f t="shared" si="2"/>
        <v/>
      </c>
      <c r="V4778" t="str">
        <f>IF(OR(U4778="",U4778="ERRO_CHAVE"),"",IFERROR(MATCH(U4778,Fornecedores!$AF$1:$AF$6631,0),""))</f>
        <v/>
      </c>
      <c r="W4778" t="str">
        <f t="shared" si="3"/>
        <v/>
      </c>
      <c r="X4778" s="4" t="str">
        <f>IF(V4778="","",INDEX(Fornecedores!$X$1:$X$6631,V4778))</f>
        <v/>
      </c>
      <c r="Y4778" s="4" t="str">
        <f t="shared" si="4"/>
        <v/>
      </c>
    </row>
    <row r="4779" spans="19:25">
      <c r="S4779" t="str">
        <f t="shared" si="0"/>
        <v/>
      </c>
      <c r="T4779" t="str">
        <f t="shared" si="1"/>
        <v/>
      </c>
      <c r="U4779" t="str">
        <f t="shared" si="2"/>
        <v/>
      </c>
      <c r="V4779" t="str">
        <f>IF(OR(U4779="",U4779="ERRO_CHAVE"),"",IFERROR(MATCH(U4779,Fornecedores!$AF$1:$AF$6631,0),""))</f>
        <v/>
      </c>
      <c r="W4779" t="str">
        <f t="shared" si="3"/>
        <v/>
      </c>
      <c r="X4779" s="4" t="str">
        <f>IF(V4779="","",INDEX(Fornecedores!$X$1:$X$6631,V4779))</f>
        <v/>
      </c>
      <c r="Y4779" s="4" t="str">
        <f t="shared" si="4"/>
        <v/>
      </c>
    </row>
    <row r="4780" spans="19:25">
      <c r="S4780" t="str">
        <f t="shared" si="0"/>
        <v/>
      </c>
      <c r="T4780" t="str">
        <f t="shared" si="1"/>
        <v/>
      </c>
      <c r="U4780" t="str">
        <f t="shared" si="2"/>
        <v/>
      </c>
      <c r="V4780" t="str">
        <f>IF(OR(U4780="",U4780="ERRO_CHAVE"),"",IFERROR(MATCH(U4780,Fornecedores!$AF$1:$AF$6631,0),""))</f>
        <v/>
      </c>
      <c r="W4780" t="str">
        <f t="shared" si="3"/>
        <v/>
      </c>
      <c r="X4780" s="4" t="str">
        <f>IF(V4780="","",INDEX(Fornecedores!$X$1:$X$6631,V4780))</f>
        <v/>
      </c>
      <c r="Y4780" s="4" t="str">
        <f t="shared" si="4"/>
        <v/>
      </c>
    </row>
    <row r="4781" spans="19:25">
      <c r="S4781" t="str">
        <f t="shared" si="0"/>
        <v/>
      </c>
      <c r="T4781" t="str">
        <f t="shared" si="1"/>
        <v/>
      </c>
      <c r="U4781" t="str">
        <f t="shared" si="2"/>
        <v/>
      </c>
      <c r="V4781" t="str">
        <f>IF(OR(U4781="",U4781="ERRO_CHAVE"),"",IFERROR(MATCH(U4781,Fornecedores!$AF$1:$AF$6631,0),""))</f>
        <v/>
      </c>
      <c r="W4781" t="str">
        <f t="shared" si="3"/>
        <v/>
      </c>
      <c r="X4781" s="4" t="str">
        <f>IF(V4781="","",INDEX(Fornecedores!$X$1:$X$6631,V4781))</f>
        <v/>
      </c>
      <c r="Y4781" s="4" t="str">
        <f t="shared" si="4"/>
        <v/>
      </c>
    </row>
    <row r="4782" spans="19:25">
      <c r="S4782" t="str">
        <f t="shared" si="0"/>
        <v/>
      </c>
      <c r="T4782" t="str">
        <f t="shared" si="1"/>
        <v/>
      </c>
      <c r="U4782" t="str">
        <f t="shared" si="2"/>
        <v/>
      </c>
      <c r="V4782" t="str">
        <f>IF(OR(U4782="",U4782="ERRO_CHAVE"),"",IFERROR(MATCH(U4782,Fornecedores!$AF$1:$AF$6631,0),""))</f>
        <v/>
      </c>
      <c r="W4782" t="str">
        <f t="shared" si="3"/>
        <v/>
      </c>
      <c r="X4782" s="4" t="str">
        <f>IF(V4782="","",INDEX(Fornecedores!$X$1:$X$6631,V4782))</f>
        <v/>
      </c>
      <c r="Y4782" s="4" t="str">
        <f t="shared" si="4"/>
        <v/>
      </c>
    </row>
    <row r="4783" spans="19:25">
      <c r="S4783" t="str">
        <f t="shared" si="0"/>
        <v/>
      </c>
      <c r="T4783" t="str">
        <f t="shared" si="1"/>
        <v/>
      </c>
      <c r="U4783" t="str">
        <f t="shared" si="2"/>
        <v/>
      </c>
      <c r="V4783" t="str">
        <f>IF(OR(U4783="",U4783="ERRO_CHAVE"),"",IFERROR(MATCH(U4783,Fornecedores!$AF$1:$AF$6631,0),""))</f>
        <v/>
      </c>
      <c r="W4783" t="str">
        <f t="shared" si="3"/>
        <v/>
      </c>
      <c r="X4783" s="4" t="str">
        <f>IF(V4783="","",INDEX(Fornecedores!$X$1:$X$6631,V4783))</f>
        <v/>
      </c>
      <c r="Y4783" s="4" t="str">
        <f t="shared" si="4"/>
        <v/>
      </c>
    </row>
    <row r="4784" spans="19:25">
      <c r="S4784" t="str">
        <f t="shared" si="0"/>
        <v/>
      </c>
      <c r="T4784" t="str">
        <f t="shared" si="1"/>
        <v/>
      </c>
      <c r="U4784" t="str">
        <f t="shared" si="2"/>
        <v/>
      </c>
      <c r="V4784" t="str">
        <f>IF(OR(U4784="",U4784="ERRO_CHAVE"),"",IFERROR(MATCH(U4784,Fornecedores!$AF$1:$AF$6631,0),""))</f>
        <v/>
      </c>
      <c r="W4784" t="str">
        <f t="shared" si="3"/>
        <v/>
      </c>
      <c r="X4784" s="4" t="str">
        <f>IF(V4784="","",INDEX(Fornecedores!$X$1:$X$6631,V4784))</f>
        <v/>
      </c>
      <c r="Y4784" s="4" t="str">
        <f t="shared" si="4"/>
        <v/>
      </c>
    </row>
    <row r="4785" spans="19:25">
      <c r="S4785" t="str">
        <f t="shared" si="0"/>
        <v/>
      </c>
      <c r="T4785" t="str">
        <f t="shared" si="1"/>
        <v/>
      </c>
      <c r="U4785" t="str">
        <f t="shared" si="2"/>
        <v/>
      </c>
      <c r="V4785" t="str">
        <f>IF(OR(U4785="",U4785="ERRO_CHAVE"),"",IFERROR(MATCH(U4785,Fornecedores!$AF$1:$AF$6631,0),""))</f>
        <v/>
      </c>
      <c r="W4785" t="str">
        <f t="shared" si="3"/>
        <v/>
      </c>
      <c r="X4785" s="4" t="str">
        <f>IF(V4785="","",INDEX(Fornecedores!$X$1:$X$6631,V4785))</f>
        <v/>
      </c>
      <c r="Y4785" s="4" t="str">
        <f t="shared" si="4"/>
        <v/>
      </c>
    </row>
    <row r="4786" spans="19:25">
      <c r="S4786" t="str">
        <f t="shared" si="0"/>
        <v/>
      </c>
      <c r="T4786" t="str">
        <f t="shared" si="1"/>
        <v/>
      </c>
      <c r="U4786" t="str">
        <f t="shared" si="2"/>
        <v/>
      </c>
      <c r="V4786" t="str">
        <f>IF(OR(U4786="",U4786="ERRO_CHAVE"),"",IFERROR(MATCH(U4786,Fornecedores!$AF$1:$AF$6631,0),""))</f>
        <v/>
      </c>
      <c r="W4786" t="str">
        <f t="shared" si="3"/>
        <v/>
      </c>
      <c r="X4786" s="4" t="str">
        <f>IF(V4786="","",INDEX(Fornecedores!$X$1:$X$6631,V4786))</f>
        <v/>
      </c>
      <c r="Y4786" s="4" t="str">
        <f t="shared" si="4"/>
        <v/>
      </c>
    </row>
    <row r="4787" spans="19:25">
      <c r="S4787" t="str">
        <f t="shared" si="0"/>
        <v/>
      </c>
      <c r="T4787" t="str">
        <f t="shared" si="1"/>
        <v/>
      </c>
      <c r="U4787" t="str">
        <f t="shared" si="2"/>
        <v/>
      </c>
      <c r="V4787" t="str">
        <f>IF(OR(U4787="",U4787="ERRO_CHAVE"),"",IFERROR(MATCH(U4787,Fornecedores!$AF$1:$AF$6631,0),""))</f>
        <v/>
      </c>
      <c r="W4787" t="str">
        <f t="shared" si="3"/>
        <v/>
      </c>
      <c r="X4787" s="4" t="str">
        <f>IF(V4787="","",INDEX(Fornecedores!$X$1:$X$6631,V4787))</f>
        <v/>
      </c>
      <c r="Y4787" s="4" t="str">
        <f t="shared" si="4"/>
        <v/>
      </c>
    </row>
    <row r="4788" spans="19:25">
      <c r="S4788" t="str">
        <f t="shared" si="0"/>
        <v/>
      </c>
      <c r="T4788" t="str">
        <f t="shared" si="1"/>
        <v/>
      </c>
      <c r="U4788" t="str">
        <f t="shared" si="2"/>
        <v/>
      </c>
      <c r="V4788" t="str">
        <f>IF(OR(U4788="",U4788="ERRO_CHAVE"),"",IFERROR(MATCH(U4788,Fornecedores!$AF$1:$AF$6631,0),""))</f>
        <v/>
      </c>
      <c r="W4788" t="str">
        <f t="shared" si="3"/>
        <v/>
      </c>
      <c r="X4788" s="4" t="str">
        <f>IF(V4788="","",INDEX(Fornecedores!$X$1:$X$6631,V4788))</f>
        <v/>
      </c>
      <c r="Y4788" s="4" t="str">
        <f t="shared" si="4"/>
        <v/>
      </c>
    </row>
    <row r="4789" spans="19:25">
      <c r="S4789" t="str">
        <f t="shared" si="0"/>
        <v/>
      </c>
      <c r="T4789" t="str">
        <f t="shared" si="1"/>
        <v/>
      </c>
      <c r="U4789" t="str">
        <f t="shared" si="2"/>
        <v/>
      </c>
      <c r="V4789" t="str">
        <f>IF(OR(U4789="",U4789="ERRO_CHAVE"),"",IFERROR(MATCH(U4789,Fornecedores!$AF$1:$AF$6631,0),""))</f>
        <v/>
      </c>
      <c r="W4789" t="str">
        <f t="shared" si="3"/>
        <v/>
      </c>
      <c r="X4789" s="4" t="str">
        <f>IF(V4789="","",INDEX(Fornecedores!$X$1:$X$6631,V4789))</f>
        <v/>
      </c>
      <c r="Y4789" s="4" t="str">
        <f t="shared" si="4"/>
        <v/>
      </c>
    </row>
    <row r="4790" spans="19:25">
      <c r="S4790" t="str">
        <f t="shared" si="0"/>
        <v/>
      </c>
      <c r="T4790" t="str">
        <f t="shared" si="1"/>
        <v/>
      </c>
      <c r="U4790" t="str">
        <f t="shared" si="2"/>
        <v/>
      </c>
      <c r="V4790" t="str">
        <f>IF(OR(U4790="",U4790="ERRO_CHAVE"),"",IFERROR(MATCH(U4790,Fornecedores!$AF$1:$AF$6631,0),""))</f>
        <v/>
      </c>
      <c r="W4790" t="str">
        <f t="shared" si="3"/>
        <v/>
      </c>
      <c r="X4790" s="4" t="str">
        <f>IF(V4790="","",INDEX(Fornecedores!$X$1:$X$6631,V4790))</f>
        <v/>
      </c>
      <c r="Y4790" s="4" t="str">
        <f t="shared" si="4"/>
        <v/>
      </c>
    </row>
    <row r="4791" spans="19:25">
      <c r="S4791" t="str">
        <f t="shared" si="0"/>
        <v/>
      </c>
      <c r="T4791" t="str">
        <f t="shared" si="1"/>
        <v/>
      </c>
      <c r="U4791" t="str">
        <f t="shared" si="2"/>
        <v/>
      </c>
      <c r="V4791" t="str">
        <f>IF(OR(U4791="",U4791="ERRO_CHAVE"),"",IFERROR(MATCH(U4791,Fornecedores!$AF$1:$AF$6631,0),""))</f>
        <v/>
      </c>
      <c r="W4791" t="str">
        <f t="shared" si="3"/>
        <v/>
      </c>
      <c r="X4791" s="4" t="str">
        <f>IF(V4791="","",INDEX(Fornecedores!$X$1:$X$6631,V4791))</f>
        <v/>
      </c>
      <c r="Y4791" s="4" t="str">
        <f t="shared" si="4"/>
        <v/>
      </c>
    </row>
    <row r="4792" spans="19:25">
      <c r="S4792" t="str">
        <f t="shared" si="0"/>
        <v/>
      </c>
      <c r="T4792" t="str">
        <f t="shared" si="1"/>
        <v/>
      </c>
      <c r="U4792" t="str">
        <f t="shared" si="2"/>
        <v/>
      </c>
      <c r="V4792" t="str">
        <f>IF(OR(U4792="",U4792="ERRO_CHAVE"),"",IFERROR(MATCH(U4792,Fornecedores!$AF$1:$AF$6631,0),""))</f>
        <v/>
      </c>
      <c r="W4792" t="str">
        <f t="shared" si="3"/>
        <v/>
      </c>
      <c r="X4792" s="4" t="str">
        <f>IF(V4792="","",INDEX(Fornecedores!$X$1:$X$6631,V4792))</f>
        <v/>
      </c>
      <c r="Y4792" s="4" t="str">
        <f t="shared" si="4"/>
        <v/>
      </c>
    </row>
    <row r="4793" spans="19:25">
      <c r="S4793" t="str">
        <f t="shared" si="0"/>
        <v/>
      </c>
      <c r="T4793" t="str">
        <f t="shared" si="1"/>
        <v/>
      </c>
      <c r="U4793" t="str">
        <f t="shared" si="2"/>
        <v/>
      </c>
      <c r="V4793" t="str">
        <f>IF(OR(U4793="",U4793="ERRO_CHAVE"),"",IFERROR(MATCH(U4793,Fornecedores!$AF$1:$AF$6631,0),""))</f>
        <v/>
      </c>
      <c r="W4793" t="str">
        <f t="shared" si="3"/>
        <v/>
      </c>
      <c r="X4793" s="4" t="str">
        <f>IF(V4793="","",INDEX(Fornecedores!$X$1:$X$6631,V4793))</f>
        <v/>
      </c>
      <c r="Y4793" s="4" t="str">
        <f t="shared" si="4"/>
        <v/>
      </c>
    </row>
    <row r="4794" spans="19:25">
      <c r="S4794" t="str">
        <f t="shared" si="0"/>
        <v/>
      </c>
      <c r="T4794" t="str">
        <f t="shared" si="1"/>
        <v/>
      </c>
      <c r="U4794" t="str">
        <f t="shared" si="2"/>
        <v/>
      </c>
      <c r="V4794" t="str">
        <f>IF(OR(U4794="",U4794="ERRO_CHAVE"),"",IFERROR(MATCH(U4794,Fornecedores!$AF$1:$AF$6631,0),""))</f>
        <v/>
      </c>
      <c r="W4794" t="str">
        <f t="shared" si="3"/>
        <v/>
      </c>
      <c r="X4794" s="4" t="str">
        <f>IF(V4794="","",INDEX(Fornecedores!$X$1:$X$6631,V4794))</f>
        <v/>
      </c>
      <c r="Y4794" s="4" t="str">
        <f t="shared" si="4"/>
        <v/>
      </c>
    </row>
    <row r="4795" spans="19:25">
      <c r="S4795" t="str">
        <f t="shared" si="0"/>
        <v/>
      </c>
      <c r="T4795" t="str">
        <f t="shared" si="1"/>
        <v/>
      </c>
      <c r="U4795" t="str">
        <f t="shared" si="2"/>
        <v/>
      </c>
      <c r="V4795" t="str">
        <f>IF(OR(U4795="",U4795="ERRO_CHAVE"),"",IFERROR(MATCH(U4795,Fornecedores!$AF$1:$AF$6631,0),""))</f>
        <v/>
      </c>
      <c r="W4795" t="str">
        <f t="shared" si="3"/>
        <v/>
      </c>
      <c r="X4795" s="4" t="str">
        <f>IF(V4795="","",INDEX(Fornecedores!$X$1:$X$6631,V4795))</f>
        <v/>
      </c>
      <c r="Y4795" s="4" t="str">
        <f t="shared" si="4"/>
        <v/>
      </c>
    </row>
    <row r="4796" spans="19:25">
      <c r="S4796" t="str">
        <f t="shared" si="0"/>
        <v/>
      </c>
      <c r="T4796" t="str">
        <f t="shared" si="1"/>
        <v/>
      </c>
      <c r="U4796" t="str">
        <f t="shared" si="2"/>
        <v/>
      </c>
      <c r="V4796" t="str">
        <f>IF(OR(U4796="",U4796="ERRO_CHAVE"),"",IFERROR(MATCH(U4796,Fornecedores!$AF$1:$AF$6631,0),""))</f>
        <v/>
      </c>
      <c r="W4796" t="str">
        <f t="shared" si="3"/>
        <v/>
      </c>
      <c r="X4796" s="4" t="str">
        <f>IF(V4796="","",INDEX(Fornecedores!$X$1:$X$6631,V4796))</f>
        <v/>
      </c>
      <c r="Y4796" s="4" t="str">
        <f t="shared" si="4"/>
        <v/>
      </c>
    </row>
    <row r="4797" spans="19:25">
      <c r="S4797" t="str">
        <f t="shared" si="0"/>
        <v/>
      </c>
      <c r="T4797" t="str">
        <f t="shared" si="1"/>
        <v/>
      </c>
      <c r="U4797" t="str">
        <f t="shared" si="2"/>
        <v/>
      </c>
      <c r="V4797" t="str">
        <f>IF(OR(U4797="",U4797="ERRO_CHAVE"),"",IFERROR(MATCH(U4797,Fornecedores!$AF$1:$AF$6631,0),""))</f>
        <v/>
      </c>
      <c r="W4797" t="str">
        <f t="shared" si="3"/>
        <v/>
      </c>
      <c r="X4797" s="4" t="str">
        <f>IF(V4797="","",INDEX(Fornecedores!$X$1:$X$6631,V4797))</f>
        <v/>
      </c>
      <c r="Y4797" s="4" t="str">
        <f t="shared" si="4"/>
        <v/>
      </c>
    </row>
    <row r="4798" spans="19:25">
      <c r="S4798" t="str">
        <f t="shared" si="0"/>
        <v/>
      </c>
      <c r="T4798" t="str">
        <f t="shared" si="1"/>
        <v/>
      </c>
      <c r="U4798" t="str">
        <f t="shared" si="2"/>
        <v/>
      </c>
      <c r="V4798" t="str">
        <f>IF(OR(U4798="",U4798="ERRO_CHAVE"),"",IFERROR(MATCH(U4798,Fornecedores!$AF$1:$AF$6631,0),""))</f>
        <v/>
      </c>
      <c r="W4798" t="str">
        <f t="shared" si="3"/>
        <v/>
      </c>
      <c r="X4798" s="4" t="str">
        <f>IF(V4798="","",INDEX(Fornecedores!$X$1:$X$6631,V4798))</f>
        <v/>
      </c>
      <c r="Y4798" s="4" t="str">
        <f t="shared" si="4"/>
        <v/>
      </c>
    </row>
    <row r="4799" spans="19:25">
      <c r="S4799" t="str">
        <f t="shared" si="0"/>
        <v/>
      </c>
      <c r="T4799" t="str">
        <f t="shared" si="1"/>
        <v/>
      </c>
      <c r="U4799" t="str">
        <f t="shared" si="2"/>
        <v/>
      </c>
      <c r="V4799" t="str">
        <f>IF(OR(U4799="",U4799="ERRO_CHAVE"),"",IFERROR(MATCH(U4799,Fornecedores!$AF$1:$AF$6631,0),""))</f>
        <v/>
      </c>
      <c r="W4799" t="str">
        <f t="shared" si="3"/>
        <v/>
      </c>
      <c r="X4799" s="4" t="str">
        <f>IF(V4799="","",INDEX(Fornecedores!$X$1:$X$6631,V4799))</f>
        <v/>
      </c>
      <c r="Y4799" s="4" t="str">
        <f t="shared" si="4"/>
        <v/>
      </c>
    </row>
    <row r="4800" spans="19:25">
      <c r="S4800" t="str">
        <f t="shared" si="0"/>
        <v/>
      </c>
      <c r="T4800" t="str">
        <f t="shared" si="1"/>
        <v/>
      </c>
      <c r="U4800" t="str">
        <f t="shared" si="2"/>
        <v/>
      </c>
      <c r="V4800" t="str">
        <f>IF(OR(U4800="",U4800="ERRO_CHAVE"),"",IFERROR(MATCH(U4800,Fornecedores!$AF$1:$AF$6631,0),""))</f>
        <v/>
      </c>
      <c r="W4800" t="str">
        <f t="shared" si="3"/>
        <v/>
      </c>
      <c r="X4800" s="4" t="str">
        <f>IF(V4800="","",INDEX(Fornecedores!$X$1:$X$6631,V4800))</f>
        <v/>
      </c>
      <c r="Y4800" s="4" t="str">
        <f t="shared" si="4"/>
        <v/>
      </c>
    </row>
    <row r="4801" spans="19:25">
      <c r="S4801" t="str">
        <f t="shared" si="0"/>
        <v/>
      </c>
      <c r="T4801" t="str">
        <f t="shared" si="1"/>
        <v/>
      </c>
      <c r="U4801" t="str">
        <f t="shared" si="2"/>
        <v/>
      </c>
      <c r="V4801" t="str">
        <f>IF(OR(U4801="",U4801="ERRO_CHAVE"),"",IFERROR(MATCH(U4801,Fornecedores!$AF$1:$AF$6631,0),""))</f>
        <v/>
      </c>
      <c r="W4801" t="str">
        <f t="shared" si="3"/>
        <v/>
      </c>
      <c r="X4801" s="4" t="str">
        <f>IF(V4801="","",INDEX(Fornecedores!$X$1:$X$6631,V4801))</f>
        <v/>
      </c>
      <c r="Y4801" s="4" t="str">
        <f t="shared" si="4"/>
        <v/>
      </c>
    </row>
    <row r="4802" spans="19:25">
      <c r="S4802" t="str">
        <f t="shared" si="0"/>
        <v/>
      </c>
      <c r="T4802" t="str">
        <f t="shared" si="1"/>
        <v/>
      </c>
      <c r="U4802" t="str">
        <f t="shared" si="2"/>
        <v/>
      </c>
      <c r="V4802" t="str">
        <f>IF(OR(U4802="",U4802="ERRO_CHAVE"),"",IFERROR(MATCH(U4802,Fornecedores!$AF$1:$AF$6631,0),""))</f>
        <v/>
      </c>
      <c r="W4802" t="str">
        <f t="shared" si="3"/>
        <v/>
      </c>
      <c r="X4802" s="4" t="str">
        <f>IF(V4802="","",INDEX(Fornecedores!$X$1:$X$6631,V4802))</f>
        <v/>
      </c>
      <c r="Y4802" s="4" t="str">
        <f t="shared" si="4"/>
        <v/>
      </c>
    </row>
    <row r="4803" spans="19:25">
      <c r="S4803" t="str">
        <f t="shared" si="0"/>
        <v/>
      </c>
      <c r="T4803" t="str">
        <f t="shared" si="1"/>
        <v/>
      </c>
      <c r="U4803" t="str">
        <f t="shared" si="2"/>
        <v/>
      </c>
      <c r="V4803" t="str">
        <f>IF(OR(U4803="",U4803="ERRO_CHAVE"),"",IFERROR(MATCH(U4803,Fornecedores!$AF$1:$AF$6631,0),""))</f>
        <v/>
      </c>
      <c r="W4803" t="str">
        <f t="shared" si="3"/>
        <v/>
      </c>
      <c r="X4803" s="4" t="str">
        <f>IF(V4803="","",INDEX(Fornecedores!$X$1:$X$6631,V4803))</f>
        <v/>
      </c>
      <c r="Y4803" s="4" t="str">
        <f t="shared" si="4"/>
        <v/>
      </c>
    </row>
    <row r="4804" spans="19:25">
      <c r="S4804" t="str">
        <f t="shared" si="0"/>
        <v/>
      </c>
      <c r="T4804" t="str">
        <f t="shared" si="1"/>
        <v/>
      </c>
      <c r="U4804" t="str">
        <f t="shared" si="2"/>
        <v/>
      </c>
      <c r="V4804" t="str">
        <f>IF(OR(U4804="",U4804="ERRO_CHAVE"),"",IFERROR(MATCH(U4804,Fornecedores!$AF$1:$AF$6631,0),""))</f>
        <v/>
      </c>
      <c r="W4804" t="str">
        <f t="shared" si="3"/>
        <v/>
      </c>
      <c r="X4804" s="4" t="str">
        <f>IF(V4804="","",INDEX(Fornecedores!$X$1:$X$6631,V4804))</f>
        <v/>
      </c>
      <c r="Y4804" s="4" t="str">
        <f t="shared" si="4"/>
        <v/>
      </c>
    </row>
    <row r="4805" spans="19:25">
      <c r="S4805" t="str">
        <f t="shared" si="0"/>
        <v/>
      </c>
      <c r="T4805" t="str">
        <f t="shared" si="1"/>
        <v/>
      </c>
      <c r="U4805" t="str">
        <f t="shared" si="2"/>
        <v/>
      </c>
      <c r="V4805" t="str">
        <f>IF(OR(U4805="",U4805="ERRO_CHAVE"),"",IFERROR(MATCH(U4805,Fornecedores!$AF$1:$AF$6631,0),""))</f>
        <v/>
      </c>
      <c r="W4805" t="str">
        <f t="shared" si="3"/>
        <v/>
      </c>
      <c r="X4805" s="4" t="str">
        <f>IF(V4805="","",INDEX(Fornecedores!$X$1:$X$6631,V4805))</f>
        <v/>
      </c>
      <c r="Y4805" s="4" t="str">
        <f t="shared" si="4"/>
        <v/>
      </c>
    </row>
    <row r="4806" spans="19:25">
      <c r="S4806" t="str">
        <f t="shared" si="0"/>
        <v/>
      </c>
      <c r="T4806" t="str">
        <f t="shared" si="1"/>
        <v/>
      </c>
      <c r="U4806" t="str">
        <f t="shared" si="2"/>
        <v/>
      </c>
      <c r="V4806" t="str">
        <f>IF(OR(U4806="",U4806="ERRO_CHAVE"),"",IFERROR(MATCH(U4806,Fornecedores!$AF$1:$AF$6631,0),""))</f>
        <v/>
      </c>
      <c r="W4806" t="str">
        <f t="shared" si="3"/>
        <v/>
      </c>
      <c r="X4806" s="4" t="str">
        <f>IF(V4806="","",INDEX(Fornecedores!$X$1:$X$6631,V4806))</f>
        <v/>
      </c>
      <c r="Y4806" s="4" t="str">
        <f t="shared" si="4"/>
        <v/>
      </c>
    </row>
    <row r="4807" spans="19:25">
      <c r="S4807" t="str">
        <f t="shared" si="0"/>
        <v/>
      </c>
      <c r="T4807" t="str">
        <f t="shared" si="1"/>
        <v/>
      </c>
      <c r="U4807" t="str">
        <f t="shared" si="2"/>
        <v/>
      </c>
      <c r="V4807" t="str">
        <f>IF(OR(U4807="",U4807="ERRO_CHAVE"),"",IFERROR(MATCH(U4807,Fornecedores!$AF$1:$AF$6631,0),""))</f>
        <v/>
      </c>
      <c r="W4807" t="str">
        <f t="shared" si="3"/>
        <v/>
      </c>
      <c r="X4807" s="4" t="str">
        <f>IF(V4807="","",INDEX(Fornecedores!$X$1:$X$6631,V4807))</f>
        <v/>
      </c>
      <c r="Y4807" s="4" t="str">
        <f t="shared" si="4"/>
        <v/>
      </c>
    </row>
    <row r="4808" spans="19:25">
      <c r="S4808" t="str">
        <f t="shared" si="0"/>
        <v/>
      </c>
      <c r="T4808" t="str">
        <f t="shared" si="1"/>
        <v/>
      </c>
      <c r="U4808" t="str">
        <f t="shared" si="2"/>
        <v/>
      </c>
      <c r="V4808" t="str">
        <f>IF(OR(U4808="",U4808="ERRO_CHAVE"),"",IFERROR(MATCH(U4808,Fornecedores!$AF$1:$AF$6631,0),""))</f>
        <v/>
      </c>
      <c r="W4808" t="str">
        <f t="shared" si="3"/>
        <v/>
      </c>
      <c r="X4808" s="4" t="str">
        <f>IF(V4808="","",INDEX(Fornecedores!$X$1:$X$6631,V4808))</f>
        <v/>
      </c>
      <c r="Y4808" s="4" t="str">
        <f t="shared" si="4"/>
        <v/>
      </c>
    </row>
    <row r="4809" spans="19:25">
      <c r="S4809" t="str">
        <f t="shared" si="0"/>
        <v/>
      </c>
      <c r="T4809" t="str">
        <f t="shared" si="1"/>
        <v/>
      </c>
      <c r="U4809" t="str">
        <f t="shared" si="2"/>
        <v/>
      </c>
      <c r="V4809" t="str">
        <f>IF(OR(U4809="",U4809="ERRO_CHAVE"),"",IFERROR(MATCH(U4809,Fornecedores!$AF$1:$AF$6631,0),""))</f>
        <v/>
      </c>
      <c r="W4809" t="str">
        <f t="shared" si="3"/>
        <v/>
      </c>
      <c r="X4809" s="4" t="str">
        <f>IF(V4809="","",INDEX(Fornecedores!$X$1:$X$6631,V4809))</f>
        <v/>
      </c>
      <c r="Y4809" s="4" t="str">
        <f t="shared" si="4"/>
        <v/>
      </c>
    </row>
    <row r="4810" spans="19:25">
      <c r="S4810" t="str">
        <f t="shared" si="0"/>
        <v/>
      </c>
      <c r="T4810" t="str">
        <f t="shared" si="1"/>
        <v/>
      </c>
      <c r="U4810" t="str">
        <f t="shared" si="2"/>
        <v/>
      </c>
      <c r="V4810" t="str">
        <f>IF(OR(U4810="",U4810="ERRO_CHAVE"),"",IFERROR(MATCH(U4810,Fornecedores!$AF$1:$AF$6631,0),""))</f>
        <v/>
      </c>
      <c r="W4810" t="str">
        <f t="shared" si="3"/>
        <v/>
      </c>
      <c r="X4810" s="4" t="str">
        <f>IF(V4810="","",INDEX(Fornecedores!$X$1:$X$6631,V4810))</f>
        <v/>
      </c>
      <c r="Y4810" s="4" t="str">
        <f t="shared" si="4"/>
        <v/>
      </c>
    </row>
    <row r="4811" spans="19:25">
      <c r="S4811" t="str">
        <f t="shared" si="0"/>
        <v/>
      </c>
      <c r="T4811" t="str">
        <f t="shared" si="1"/>
        <v/>
      </c>
      <c r="U4811" t="str">
        <f t="shared" si="2"/>
        <v/>
      </c>
      <c r="V4811" t="str">
        <f>IF(OR(U4811="",U4811="ERRO_CHAVE"),"",IFERROR(MATCH(U4811,Fornecedores!$AF$1:$AF$6631,0),""))</f>
        <v/>
      </c>
      <c r="W4811" t="str">
        <f t="shared" si="3"/>
        <v/>
      </c>
      <c r="X4811" s="4" t="str">
        <f>IF(V4811="","",INDEX(Fornecedores!$X$1:$X$6631,V4811))</f>
        <v/>
      </c>
      <c r="Y4811" s="4" t="str">
        <f t="shared" si="4"/>
        <v/>
      </c>
    </row>
    <row r="4812" spans="19:25">
      <c r="S4812" t="str">
        <f t="shared" si="0"/>
        <v/>
      </c>
      <c r="T4812" t="str">
        <f t="shared" si="1"/>
        <v/>
      </c>
      <c r="U4812" t="str">
        <f t="shared" si="2"/>
        <v/>
      </c>
      <c r="V4812" t="str">
        <f>IF(OR(U4812="",U4812="ERRO_CHAVE"),"",IFERROR(MATCH(U4812,Fornecedores!$AF$1:$AF$6631,0),""))</f>
        <v/>
      </c>
      <c r="W4812" t="str">
        <f t="shared" si="3"/>
        <v/>
      </c>
      <c r="X4812" s="4" t="str">
        <f>IF(V4812="","",INDEX(Fornecedores!$X$1:$X$6631,V4812))</f>
        <v/>
      </c>
      <c r="Y4812" s="4" t="str">
        <f t="shared" si="4"/>
        <v/>
      </c>
    </row>
    <row r="4813" spans="19:25">
      <c r="S4813" t="str">
        <f t="shared" si="0"/>
        <v/>
      </c>
      <c r="T4813" t="str">
        <f t="shared" si="1"/>
        <v/>
      </c>
      <c r="U4813" t="str">
        <f t="shared" si="2"/>
        <v/>
      </c>
      <c r="V4813" t="str">
        <f>IF(OR(U4813="",U4813="ERRO_CHAVE"),"",IFERROR(MATCH(U4813,Fornecedores!$AF$1:$AF$6631,0),""))</f>
        <v/>
      </c>
      <c r="W4813" t="str">
        <f t="shared" si="3"/>
        <v/>
      </c>
      <c r="X4813" s="4" t="str">
        <f>IF(V4813="","",INDEX(Fornecedores!$X$1:$X$6631,V4813))</f>
        <v/>
      </c>
      <c r="Y4813" s="4" t="str">
        <f t="shared" si="4"/>
        <v/>
      </c>
    </row>
    <row r="4814" spans="19:25">
      <c r="S4814" t="str">
        <f t="shared" si="0"/>
        <v/>
      </c>
      <c r="T4814" t="str">
        <f t="shared" si="1"/>
        <v/>
      </c>
      <c r="U4814" t="str">
        <f t="shared" si="2"/>
        <v/>
      </c>
      <c r="V4814" t="str">
        <f>IF(OR(U4814="",U4814="ERRO_CHAVE"),"",IFERROR(MATCH(U4814,Fornecedores!$AF$1:$AF$6631,0),""))</f>
        <v/>
      </c>
      <c r="W4814" t="str">
        <f t="shared" si="3"/>
        <v/>
      </c>
      <c r="X4814" s="4" t="str">
        <f>IF(V4814="","",INDEX(Fornecedores!$X$1:$X$6631,V4814))</f>
        <v/>
      </c>
      <c r="Y4814" s="4" t="str">
        <f t="shared" si="4"/>
        <v/>
      </c>
    </row>
    <row r="4815" spans="19:25">
      <c r="S4815" t="str">
        <f t="shared" si="0"/>
        <v/>
      </c>
      <c r="T4815" t="str">
        <f t="shared" si="1"/>
        <v/>
      </c>
      <c r="U4815" t="str">
        <f t="shared" si="2"/>
        <v/>
      </c>
      <c r="V4815" t="str">
        <f>IF(OR(U4815="",U4815="ERRO_CHAVE"),"",IFERROR(MATCH(U4815,Fornecedores!$AF$1:$AF$6631,0),""))</f>
        <v/>
      </c>
      <c r="W4815" t="str">
        <f t="shared" si="3"/>
        <v/>
      </c>
      <c r="X4815" s="4" t="str">
        <f>IF(V4815="","",INDEX(Fornecedores!$X$1:$X$6631,V4815))</f>
        <v/>
      </c>
      <c r="Y4815" s="4" t="str">
        <f t="shared" si="4"/>
        <v/>
      </c>
    </row>
    <row r="4816" spans="19:25">
      <c r="S4816" t="str">
        <f t="shared" si="0"/>
        <v/>
      </c>
      <c r="T4816" t="str">
        <f t="shared" si="1"/>
        <v/>
      </c>
      <c r="U4816" t="str">
        <f t="shared" si="2"/>
        <v/>
      </c>
      <c r="V4816" t="str">
        <f>IF(OR(U4816="",U4816="ERRO_CHAVE"),"",IFERROR(MATCH(U4816,Fornecedores!$AF$1:$AF$6631,0),""))</f>
        <v/>
      </c>
      <c r="W4816" t="str">
        <f t="shared" si="3"/>
        <v/>
      </c>
      <c r="X4816" s="4" t="str">
        <f>IF(V4816="","",INDEX(Fornecedores!$X$1:$X$6631,V4816))</f>
        <v/>
      </c>
      <c r="Y4816" s="4" t="str">
        <f t="shared" si="4"/>
        <v/>
      </c>
    </row>
    <row r="4817" spans="19:25">
      <c r="S4817" t="str">
        <f t="shared" si="0"/>
        <v/>
      </c>
      <c r="T4817" t="str">
        <f t="shared" si="1"/>
        <v/>
      </c>
      <c r="U4817" t="str">
        <f t="shared" si="2"/>
        <v/>
      </c>
      <c r="V4817" t="str">
        <f>IF(OR(U4817="",U4817="ERRO_CHAVE"),"",IFERROR(MATCH(U4817,Fornecedores!$AF$1:$AF$6631,0),""))</f>
        <v/>
      </c>
      <c r="W4817" t="str">
        <f t="shared" si="3"/>
        <v/>
      </c>
      <c r="X4817" s="4" t="str">
        <f>IF(V4817="","",INDEX(Fornecedores!$X$1:$X$6631,V4817))</f>
        <v/>
      </c>
      <c r="Y4817" s="4" t="str">
        <f t="shared" si="4"/>
        <v/>
      </c>
    </row>
    <row r="4818" spans="19:25">
      <c r="S4818" t="str">
        <f t="shared" si="0"/>
        <v/>
      </c>
      <c r="T4818" t="str">
        <f t="shared" si="1"/>
        <v/>
      </c>
      <c r="U4818" t="str">
        <f t="shared" si="2"/>
        <v/>
      </c>
      <c r="V4818" t="str">
        <f>IF(OR(U4818="",U4818="ERRO_CHAVE"),"",IFERROR(MATCH(U4818,Fornecedores!$AF$1:$AF$6631,0),""))</f>
        <v/>
      </c>
      <c r="W4818" t="str">
        <f t="shared" si="3"/>
        <v/>
      </c>
      <c r="X4818" s="4" t="str">
        <f>IF(V4818="","",INDEX(Fornecedores!$X$1:$X$6631,V4818))</f>
        <v/>
      </c>
      <c r="Y4818" s="4" t="str">
        <f t="shared" si="4"/>
        <v/>
      </c>
    </row>
    <row r="4819" spans="19:25">
      <c r="S4819" t="str">
        <f t="shared" si="0"/>
        <v/>
      </c>
      <c r="T4819" t="str">
        <f t="shared" si="1"/>
        <v/>
      </c>
      <c r="U4819" t="str">
        <f t="shared" si="2"/>
        <v/>
      </c>
      <c r="V4819" t="str">
        <f>IF(OR(U4819="",U4819="ERRO_CHAVE"),"",IFERROR(MATCH(U4819,Fornecedores!$AF$1:$AF$6631,0),""))</f>
        <v/>
      </c>
      <c r="W4819" t="str">
        <f t="shared" si="3"/>
        <v/>
      </c>
      <c r="X4819" s="4" t="str">
        <f>IF(V4819="","",INDEX(Fornecedores!$X$1:$X$6631,V4819))</f>
        <v/>
      </c>
      <c r="Y4819" s="4" t="str">
        <f t="shared" si="4"/>
        <v/>
      </c>
    </row>
    <row r="4820" spans="19:25">
      <c r="S4820" t="str">
        <f t="shared" si="0"/>
        <v/>
      </c>
      <c r="T4820" t="str">
        <f t="shared" si="1"/>
        <v/>
      </c>
      <c r="U4820" t="str">
        <f t="shared" si="2"/>
        <v/>
      </c>
      <c r="V4820" t="str">
        <f>IF(OR(U4820="",U4820="ERRO_CHAVE"),"",IFERROR(MATCH(U4820,Fornecedores!$AF$1:$AF$6631,0),""))</f>
        <v/>
      </c>
      <c r="W4820" t="str">
        <f t="shared" si="3"/>
        <v/>
      </c>
      <c r="X4820" s="4" t="str">
        <f>IF(V4820="","",INDEX(Fornecedores!$X$1:$X$6631,V4820))</f>
        <v/>
      </c>
      <c r="Y4820" s="4" t="str">
        <f t="shared" si="4"/>
        <v/>
      </c>
    </row>
    <row r="4821" spans="19:25">
      <c r="S4821" t="str">
        <f t="shared" si="0"/>
        <v/>
      </c>
      <c r="T4821" t="str">
        <f t="shared" si="1"/>
        <v/>
      </c>
      <c r="U4821" t="str">
        <f t="shared" si="2"/>
        <v/>
      </c>
      <c r="V4821" t="str">
        <f>IF(OR(U4821="",U4821="ERRO_CHAVE"),"",IFERROR(MATCH(U4821,Fornecedores!$AF$1:$AF$6631,0),""))</f>
        <v/>
      </c>
      <c r="W4821" t="str">
        <f t="shared" si="3"/>
        <v/>
      </c>
      <c r="X4821" s="4" t="str">
        <f>IF(V4821="","",INDEX(Fornecedores!$X$1:$X$6631,V4821))</f>
        <v/>
      </c>
      <c r="Y4821" s="4" t="str">
        <f t="shared" si="4"/>
        <v/>
      </c>
    </row>
    <row r="4822" spans="19:25">
      <c r="S4822" t="str">
        <f t="shared" si="0"/>
        <v/>
      </c>
      <c r="T4822" t="str">
        <f t="shared" si="1"/>
        <v/>
      </c>
      <c r="U4822" t="str">
        <f t="shared" si="2"/>
        <v/>
      </c>
      <c r="V4822" t="str">
        <f>IF(OR(U4822="",U4822="ERRO_CHAVE"),"",IFERROR(MATCH(U4822,Fornecedores!$AF$1:$AF$6631,0),""))</f>
        <v/>
      </c>
      <c r="W4822" t="str">
        <f t="shared" si="3"/>
        <v/>
      </c>
      <c r="X4822" s="4" t="str">
        <f>IF(V4822="","",INDEX(Fornecedores!$X$1:$X$6631,V4822))</f>
        <v/>
      </c>
      <c r="Y4822" s="4" t="str">
        <f t="shared" si="4"/>
        <v/>
      </c>
    </row>
    <row r="4823" spans="19:25">
      <c r="S4823" t="str">
        <f t="shared" si="0"/>
        <v/>
      </c>
      <c r="T4823" t="str">
        <f t="shared" si="1"/>
        <v/>
      </c>
      <c r="U4823" t="str">
        <f t="shared" si="2"/>
        <v/>
      </c>
      <c r="V4823" t="str">
        <f>IF(OR(U4823="",U4823="ERRO_CHAVE"),"",IFERROR(MATCH(U4823,Fornecedores!$AF$1:$AF$6631,0),""))</f>
        <v/>
      </c>
      <c r="W4823" t="str">
        <f t="shared" si="3"/>
        <v/>
      </c>
      <c r="X4823" s="4" t="str">
        <f>IF(V4823="","",INDEX(Fornecedores!$X$1:$X$6631,V4823))</f>
        <v/>
      </c>
      <c r="Y4823" s="4" t="str">
        <f t="shared" si="4"/>
        <v/>
      </c>
    </row>
    <row r="4824" spans="19:25">
      <c r="S4824" t="str">
        <f t="shared" si="0"/>
        <v/>
      </c>
      <c r="T4824" t="str">
        <f t="shared" si="1"/>
        <v/>
      </c>
      <c r="U4824" t="str">
        <f t="shared" si="2"/>
        <v/>
      </c>
      <c r="V4824" t="str">
        <f>IF(OR(U4824="",U4824="ERRO_CHAVE"),"",IFERROR(MATCH(U4824,Fornecedores!$AF$1:$AF$6631,0),""))</f>
        <v/>
      </c>
      <c r="W4824" t="str">
        <f t="shared" si="3"/>
        <v/>
      </c>
      <c r="X4824" s="4" t="str">
        <f>IF(V4824="","",INDEX(Fornecedores!$X$1:$X$6631,V4824))</f>
        <v/>
      </c>
      <c r="Y4824" s="4" t="str">
        <f t="shared" si="4"/>
        <v/>
      </c>
    </row>
    <row r="4825" spans="19:25">
      <c r="S4825" t="str">
        <f t="shared" si="0"/>
        <v/>
      </c>
      <c r="T4825" t="str">
        <f t="shared" si="1"/>
        <v/>
      </c>
      <c r="U4825" t="str">
        <f t="shared" si="2"/>
        <v/>
      </c>
      <c r="V4825" t="str">
        <f>IF(OR(U4825="",U4825="ERRO_CHAVE"),"",IFERROR(MATCH(U4825,Fornecedores!$AF$1:$AF$6631,0),""))</f>
        <v/>
      </c>
      <c r="W4825" t="str">
        <f t="shared" si="3"/>
        <v/>
      </c>
      <c r="X4825" s="4" t="str">
        <f>IF(V4825="","",INDEX(Fornecedores!$X$1:$X$6631,V4825))</f>
        <v/>
      </c>
      <c r="Y4825" s="4" t="str">
        <f t="shared" si="4"/>
        <v/>
      </c>
    </row>
    <row r="4826" spans="19:25">
      <c r="S4826" t="str">
        <f t="shared" si="0"/>
        <v/>
      </c>
      <c r="T4826" t="str">
        <f t="shared" si="1"/>
        <v/>
      </c>
      <c r="U4826" t="str">
        <f t="shared" si="2"/>
        <v/>
      </c>
      <c r="V4826" t="str">
        <f>IF(OR(U4826="",U4826="ERRO_CHAVE"),"",IFERROR(MATCH(U4826,Fornecedores!$AF$1:$AF$6631,0),""))</f>
        <v/>
      </c>
      <c r="W4826" t="str">
        <f t="shared" si="3"/>
        <v/>
      </c>
      <c r="X4826" s="4" t="str">
        <f>IF(V4826="","",INDEX(Fornecedores!$X$1:$X$6631,V4826))</f>
        <v/>
      </c>
      <c r="Y4826" s="4" t="str">
        <f t="shared" si="4"/>
        <v/>
      </c>
    </row>
    <row r="4827" spans="19:25">
      <c r="S4827" t="str">
        <f t="shared" si="0"/>
        <v/>
      </c>
      <c r="T4827" t="str">
        <f t="shared" si="1"/>
        <v/>
      </c>
      <c r="U4827" t="str">
        <f t="shared" si="2"/>
        <v/>
      </c>
      <c r="V4827" t="str">
        <f>IF(OR(U4827="",U4827="ERRO_CHAVE"),"",IFERROR(MATCH(U4827,Fornecedores!$AF$1:$AF$6631,0),""))</f>
        <v/>
      </c>
      <c r="W4827" t="str">
        <f t="shared" si="3"/>
        <v/>
      </c>
      <c r="X4827" s="4" t="str">
        <f>IF(V4827="","",INDEX(Fornecedores!$X$1:$X$6631,V4827))</f>
        <v/>
      </c>
      <c r="Y4827" s="4" t="str">
        <f t="shared" si="4"/>
        <v/>
      </c>
    </row>
    <row r="4828" spans="19:25">
      <c r="S4828" t="str">
        <f t="shared" si="0"/>
        <v/>
      </c>
      <c r="T4828" t="str">
        <f t="shared" si="1"/>
        <v/>
      </c>
      <c r="U4828" t="str">
        <f t="shared" si="2"/>
        <v/>
      </c>
      <c r="V4828" t="str">
        <f>IF(OR(U4828="",U4828="ERRO_CHAVE"),"",IFERROR(MATCH(U4828,Fornecedores!$AF$1:$AF$6631,0),""))</f>
        <v/>
      </c>
      <c r="W4828" t="str">
        <f t="shared" si="3"/>
        <v/>
      </c>
      <c r="X4828" s="4" t="str">
        <f>IF(V4828="","",INDEX(Fornecedores!$X$1:$X$6631,V4828))</f>
        <v/>
      </c>
      <c r="Y4828" s="4" t="str">
        <f t="shared" si="4"/>
        <v/>
      </c>
    </row>
    <row r="4829" spans="19:25">
      <c r="S4829" t="str">
        <f t="shared" si="0"/>
        <v/>
      </c>
      <c r="T4829" t="str">
        <f t="shared" si="1"/>
        <v/>
      </c>
      <c r="U4829" t="str">
        <f t="shared" si="2"/>
        <v/>
      </c>
      <c r="V4829" t="str">
        <f>IF(OR(U4829="",U4829="ERRO_CHAVE"),"",IFERROR(MATCH(U4829,Fornecedores!$AF$1:$AF$6631,0),""))</f>
        <v/>
      </c>
      <c r="W4829" t="str">
        <f t="shared" si="3"/>
        <v/>
      </c>
      <c r="X4829" s="4" t="str">
        <f>IF(V4829="","",INDEX(Fornecedores!$X$1:$X$6631,V4829))</f>
        <v/>
      </c>
      <c r="Y4829" s="4" t="str">
        <f t="shared" si="4"/>
        <v/>
      </c>
    </row>
    <row r="4830" spans="19:25">
      <c r="S4830" t="str">
        <f t="shared" si="0"/>
        <v/>
      </c>
      <c r="T4830" t="str">
        <f t="shared" si="1"/>
        <v/>
      </c>
      <c r="U4830" t="str">
        <f t="shared" si="2"/>
        <v/>
      </c>
      <c r="V4830" t="str">
        <f>IF(OR(U4830="",U4830="ERRO_CHAVE"),"",IFERROR(MATCH(U4830,Fornecedores!$AF$1:$AF$6631,0),""))</f>
        <v/>
      </c>
      <c r="W4830" t="str">
        <f t="shared" si="3"/>
        <v/>
      </c>
      <c r="X4830" s="4" t="str">
        <f>IF(V4830="","",INDEX(Fornecedores!$X$1:$X$6631,V4830))</f>
        <v/>
      </c>
      <c r="Y4830" s="4" t="str">
        <f t="shared" si="4"/>
        <v/>
      </c>
    </row>
    <row r="4831" spans="19:25">
      <c r="S4831" t="str">
        <f t="shared" si="0"/>
        <v/>
      </c>
      <c r="T4831" t="str">
        <f t="shared" si="1"/>
        <v/>
      </c>
      <c r="U4831" t="str">
        <f t="shared" si="2"/>
        <v/>
      </c>
      <c r="V4831" t="str">
        <f>IF(OR(U4831="",U4831="ERRO_CHAVE"),"",IFERROR(MATCH(U4831,Fornecedores!$AF$1:$AF$6631,0),""))</f>
        <v/>
      </c>
      <c r="W4831" t="str">
        <f t="shared" si="3"/>
        <v/>
      </c>
      <c r="X4831" s="4" t="str">
        <f>IF(V4831="","",INDEX(Fornecedores!$X$1:$X$6631,V4831))</f>
        <v/>
      </c>
      <c r="Y4831" s="4" t="str">
        <f t="shared" si="4"/>
        <v/>
      </c>
    </row>
    <row r="4832" spans="19:25">
      <c r="S4832" t="str">
        <f t="shared" si="0"/>
        <v/>
      </c>
      <c r="T4832" t="str">
        <f t="shared" si="1"/>
        <v/>
      </c>
      <c r="U4832" t="str">
        <f t="shared" si="2"/>
        <v/>
      </c>
      <c r="V4832" t="str">
        <f>IF(OR(U4832="",U4832="ERRO_CHAVE"),"",IFERROR(MATCH(U4832,Fornecedores!$AF$1:$AF$6631,0),""))</f>
        <v/>
      </c>
      <c r="W4832" t="str">
        <f t="shared" si="3"/>
        <v/>
      </c>
      <c r="X4832" s="4" t="str">
        <f>IF(V4832="","",INDEX(Fornecedores!$X$1:$X$6631,V4832))</f>
        <v/>
      </c>
      <c r="Y4832" s="4" t="str">
        <f t="shared" si="4"/>
        <v/>
      </c>
    </row>
    <row r="4833" spans="19:25">
      <c r="S4833" t="str">
        <f t="shared" si="0"/>
        <v/>
      </c>
      <c r="T4833" t="str">
        <f t="shared" si="1"/>
        <v/>
      </c>
      <c r="U4833" t="str">
        <f t="shared" si="2"/>
        <v/>
      </c>
      <c r="V4833" t="str">
        <f>IF(OR(U4833="",U4833="ERRO_CHAVE"),"",IFERROR(MATCH(U4833,Fornecedores!$AF$1:$AF$6631,0),""))</f>
        <v/>
      </c>
      <c r="W4833" t="str">
        <f t="shared" si="3"/>
        <v/>
      </c>
      <c r="X4833" s="4" t="str">
        <f>IF(V4833="","",INDEX(Fornecedores!$X$1:$X$6631,V4833))</f>
        <v/>
      </c>
      <c r="Y4833" s="4" t="str">
        <f t="shared" si="4"/>
        <v/>
      </c>
    </row>
    <row r="4834" spans="19:25">
      <c r="S4834" t="str">
        <f t="shared" si="0"/>
        <v/>
      </c>
      <c r="T4834" t="str">
        <f t="shared" si="1"/>
        <v/>
      </c>
      <c r="U4834" t="str">
        <f t="shared" si="2"/>
        <v/>
      </c>
      <c r="V4834" t="str">
        <f>IF(OR(U4834="",U4834="ERRO_CHAVE"),"",IFERROR(MATCH(U4834,Fornecedores!$AF$1:$AF$6631,0),""))</f>
        <v/>
      </c>
      <c r="W4834" t="str">
        <f t="shared" si="3"/>
        <v/>
      </c>
      <c r="X4834" s="4" t="str">
        <f>IF(V4834="","",INDEX(Fornecedores!$X$1:$X$6631,V4834))</f>
        <v/>
      </c>
      <c r="Y4834" s="4" t="str">
        <f t="shared" si="4"/>
        <v/>
      </c>
    </row>
    <row r="4835" spans="19:25">
      <c r="S4835" t="str">
        <f t="shared" si="0"/>
        <v/>
      </c>
      <c r="T4835" t="str">
        <f t="shared" si="1"/>
        <v/>
      </c>
      <c r="U4835" t="str">
        <f t="shared" si="2"/>
        <v/>
      </c>
      <c r="V4835" t="str">
        <f>IF(OR(U4835="",U4835="ERRO_CHAVE"),"",IFERROR(MATCH(U4835,Fornecedores!$AF$1:$AF$6631,0),""))</f>
        <v/>
      </c>
      <c r="W4835" t="str">
        <f t="shared" si="3"/>
        <v/>
      </c>
      <c r="X4835" s="4" t="str">
        <f>IF(V4835="","",INDEX(Fornecedores!$X$1:$X$6631,V4835))</f>
        <v/>
      </c>
      <c r="Y4835" s="4" t="str">
        <f t="shared" si="4"/>
        <v/>
      </c>
    </row>
    <row r="4836" spans="19:25">
      <c r="S4836" t="str">
        <f t="shared" si="0"/>
        <v/>
      </c>
      <c r="T4836" t="str">
        <f t="shared" si="1"/>
        <v/>
      </c>
      <c r="U4836" t="str">
        <f t="shared" si="2"/>
        <v/>
      </c>
      <c r="V4836" t="str">
        <f>IF(OR(U4836="",U4836="ERRO_CHAVE"),"",IFERROR(MATCH(U4836,Fornecedores!$AF$1:$AF$6631,0),""))</f>
        <v/>
      </c>
      <c r="W4836" t="str">
        <f t="shared" si="3"/>
        <v/>
      </c>
      <c r="X4836" s="4" t="str">
        <f>IF(V4836="","",INDEX(Fornecedores!$X$1:$X$6631,V4836))</f>
        <v/>
      </c>
      <c r="Y4836" s="4" t="str">
        <f t="shared" si="4"/>
        <v/>
      </c>
    </row>
    <row r="4837" spans="19:25">
      <c r="S4837" t="str">
        <f t="shared" si="0"/>
        <v/>
      </c>
      <c r="T4837" t="str">
        <f t="shared" si="1"/>
        <v/>
      </c>
      <c r="U4837" t="str">
        <f t="shared" si="2"/>
        <v/>
      </c>
      <c r="V4837" t="str">
        <f>IF(OR(U4837="",U4837="ERRO_CHAVE"),"",IFERROR(MATCH(U4837,Fornecedores!$AF$1:$AF$6631,0),""))</f>
        <v/>
      </c>
      <c r="W4837" t="str">
        <f t="shared" si="3"/>
        <v/>
      </c>
      <c r="X4837" s="4" t="str">
        <f>IF(V4837="","",INDEX(Fornecedores!$X$1:$X$6631,V4837))</f>
        <v/>
      </c>
      <c r="Y4837" s="4" t="str">
        <f t="shared" si="4"/>
        <v/>
      </c>
    </row>
    <row r="4838" spans="19:25">
      <c r="S4838" t="str">
        <f t="shared" si="0"/>
        <v/>
      </c>
      <c r="T4838" t="str">
        <f t="shared" si="1"/>
        <v/>
      </c>
      <c r="U4838" t="str">
        <f t="shared" si="2"/>
        <v/>
      </c>
      <c r="V4838" t="str">
        <f>IF(OR(U4838="",U4838="ERRO_CHAVE"),"",IFERROR(MATCH(U4838,Fornecedores!$AF$1:$AF$6631,0),""))</f>
        <v/>
      </c>
      <c r="W4838" t="str">
        <f t="shared" si="3"/>
        <v/>
      </c>
      <c r="X4838" s="4" t="str">
        <f>IF(V4838="","",INDEX(Fornecedores!$X$1:$X$6631,V4838))</f>
        <v/>
      </c>
      <c r="Y4838" s="4" t="str">
        <f t="shared" si="4"/>
        <v/>
      </c>
    </row>
    <row r="4839" spans="19:25">
      <c r="S4839" t="str">
        <f t="shared" si="0"/>
        <v/>
      </c>
      <c r="T4839" t="str">
        <f t="shared" si="1"/>
        <v/>
      </c>
      <c r="U4839" t="str">
        <f t="shared" si="2"/>
        <v/>
      </c>
      <c r="V4839" t="str">
        <f>IF(OR(U4839="",U4839="ERRO_CHAVE"),"",IFERROR(MATCH(U4839,Fornecedores!$AF$1:$AF$6631,0),""))</f>
        <v/>
      </c>
      <c r="W4839" t="str">
        <f t="shared" si="3"/>
        <v/>
      </c>
      <c r="X4839" s="4" t="str">
        <f>IF(V4839="","",INDEX(Fornecedores!$X$1:$X$6631,V4839))</f>
        <v/>
      </c>
      <c r="Y4839" s="4" t="str">
        <f t="shared" si="4"/>
        <v/>
      </c>
    </row>
    <row r="4840" spans="19:25">
      <c r="S4840" t="str">
        <f t="shared" si="0"/>
        <v/>
      </c>
      <c r="T4840" t="str">
        <f t="shared" si="1"/>
        <v/>
      </c>
      <c r="U4840" t="str">
        <f t="shared" si="2"/>
        <v/>
      </c>
      <c r="V4840" t="str">
        <f>IF(OR(U4840="",U4840="ERRO_CHAVE"),"",IFERROR(MATCH(U4840,Fornecedores!$AF$1:$AF$6631,0),""))</f>
        <v/>
      </c>
      <c r="W4840" t="str">
        <f t="shared" si="3"/>
        <v/>
      </c>
      <c r="X4840" s="4" t="str">
        <f>IF(V4840="","",INDEX(Fornecedores!$X$1:$X$6631,V4840))</f>
        <v/>
      </c>
      <c r="Y4840" s="4" t="str">
        <f t="shared" si="4"/>
        <v/>
      </c>
    </row>
    <row r="4841" spans="19:25">
      <c r="S4841" t="str">
        <f t="shared" si="0"/>
        <v/>
      </c>
      <c r="T4841" t="str">
        <f t="shared" si="1"/>
        <v/>
      </c>
      <c r="U4841" t="str">
        <f t="shared" si="2"/>
        <v/>
      </c>
      <c r="V4841" t="str">
        <f>IF(OR(U4841="",U4841="ERRO_CHAVE"),"",IFERROR(MATCH(U4841,Fornecedores!$AF$1:$AF$6631,0),""))</f>
        <v/>
      </c>
      <c r="W4841" t="str">
        <f t="shared" si="3"/>
        <v/>
      </c>
      <c r="X4841" s="4" t="str">
        <f>IF(V4841="","",INDEX(Fornecedores!$X$1:$X$6631,V4841))</f>
        <v/>
      </c>
      <c r="Y4841" s="4" t="str">
        <f t="shared" si="4"/>
        <v/>
      </c>
    </row>
    <row r="4842" spans="19:25">
      <c r="S4842" t="str">
        <f t="shared" si="0"/>
        <v/>
      </c>
      <c r="T4842" t="str">
        <f t="shared" si="1"/>
        <v/>
      </c>
      <c r="U4842" t="str">
        <f t="shared" si="2"/>
        <v/>
      </c>
      <c r="V4842" t="str">
        <f>IF(OR(U4842="",U4842="ERRO_CHAVE"),"",IFERROR(MATCH(U4842,Fornecedores!$AF$1:$AF$6631,0),""))</f>
        <v/>
      </c>
      <c r="W4842" t="str">
        <f t="shared" si="3"/>
        <v/>
      </c>
      <c r="X4842" s="4" t="str">
        <f>IF(V4842="","",INDEX(Fornecedores!$X$1:$X$6631,V4842))</f>
        <v/>
      </c>
      <c r="Y4842" s="4" t="str">
        <f t="shared" si="4"/>
        <v/>
      </c>
    </row>
    <row r="4843" spans="19:25">
      <c r="S4843" t="str">
        <f t="shared" si="0"/>
        <v/>
      </c>
      <c r="T4843" t="str">
        <f t="shared" si="1"/>
        <v/>
      </c>
      <c r="U4843" t="str">
        <f t="shared" si="2"/>
        <v/>
      </c>
      <c r="V4843" t="str">
        <f>IF(OR(U4843="",U4843="ERRO_CHAVE"),"",IFERROR(MATCH(U4843,Fornecedores!$AF$1:$AF$6631,0),""))</f>
        <v/>
      </c>
      <c r="W4843" t="str">
        <f t="shared" si="3"/>
        <v/>
      </c>
      <c r="X4843" s="4" t="str">
        <f>IF(V4843="","",INDEX(Fornecedores!$X$1:$X$6631,V4843))</f>
        <v/>
      </c>
      <c r="Y4843" s="4" t="str">
        <f t="shared" si="4"/>
        <v/>
      </c>
    </row>
    <row r="4844" spans="19:25">
      <c r="S4844" t="str">
        <f t="shared" si="0"/>
        <v/>
      </c>
      <c r="T4844" t="str">
        <f t="shared" si="1"/>
        <v/>
      </c>
      <c r="U4844" t="str">
        <f t="shared" si="2"/>
        <v/>
      </c>
      <c r="V4844" t="str">
        <f>IF(OR(U4844="",U4844="ERRO_CHAVE"),"",IFERROR(MATCH(U4844,Fornecedores!$AF$1:$AF$6631,0),""))</f>
        <v/>
      </c>
      <c r="W4844" t="str">
        <f t="shared" si="3"/>
        <v/>
      </c>
      <c r="X4844" s="4" t="str">
        <f>IF(V4844="","",INDEX(Fornecedores!$X$1:$X$6631,V4844))</f>
        <v/>
      </c>
      <c r="Y4844" s="4" t="str">
        <f t="shared" si="4"/>
        <v/>
      </c>
    </row>
    <row r="4845" spans="19:25">
      <c r="S4845" t="str">
        <f t="shared" si="0"/>
        <v/>
      </c>
      <c r="T4845" t="str">
        <f t="shared" si="1"/>
        <v/>
      </c>
      <c r="U4845" t="str">
        <f t="shared" si="2"/>
        <v/>
      </c>
      <c r="V4845" t="str">
        <f>IF(OR(U4845="",U4845="ERRO_CHAVE"),"",IFERROR(MATCH(U4845,Fornecedores!$AF$1:$AF$6631,0),""))</f>
        <v/>
      </c>
      <c r="W4845" t="str">
        <f t="shared" si="3"/>
        <v/>
      </c>
      <c r="X4845" s="4" t="str">
        <f>IF(V4845="","",INDEX(Fornecedores!$X$1:$X$6631,V4845))</f>
        <v/>
      </c>
      <c r="Y4845" s="4" t="str">
        <f t="shared" si="4"/>
        <v/>
      </c>
    </row>
    <row r="4846" spans="19:25">
      <c r="S4846" t="str">
        <f t="shared" si="0"/>
        <v/>
      </c>
      <c r="T4846" t="str">
        <f t="shared" si="1"/>
        <v/>
      </c>
      <c r="U4846" t="str">
        <f t="shared" si="2"/>
        <v/>
      </c>
      <c r="V4846" t="str">
        <f>IF(OR(U4846="",U4846="ERRO_CHAVE"),"",IFERROR(MATCH(U4846,Fornecedores!$AF$1:$AF$6631,0),""))</f>
        <v/>
      </c>
      <c r="W4846" t="str">
        <f t="shared" si="3"/>
        <v/>
      </c>
      <c r="X4846" s="4" t="str">
        <f>IF(V4846="","",INDEX(Fornecedores!$X$1:$X$6631,V4846))</f>
        <v/>
      </c>
      <c r="Y4846" s="4" t="str">
        <f t="shared" si="4"/>
        <v/>
      </c>
    </row>
    <row r="4847" spans="19:25">
      <c r="S4847" t="str">
        <f t="shared" si="0"/>
        <v/>
      </c>
      <c r="T4847" t="str">
        <f t="shared" si="1"/>
        <v/>
      </c>
      <c r="U4847" t="str">
        <f t="shared" si="2"/>
        <v/>
      </c>
      <c r="V4847" t="str">
        <f>IF(OR(U4847="",U4847="ERRO_CHAVE"),"",IFERROR(MATCH(U4847,Fornecedores!$AF$1:$AF$6631,0),""))</f>
        <v/>
      </c>
      <c r="W4847" t="str">
        <f t="shared" si="3"/>
        <v/>
      </c>
      <c r="X4847" s="4" t="str">
        <f>IF(V4847="","",INDEX(Fornecedores!$X$1:$X$6631,V4847))</f>
        <v/>
      </c>
      <c r="Y4847" s="4" t="str">
        <f t="shared" si="4"/>
        <v/>
      </c>
    </row>
    <row r="4848" spans="19:25">
      <c r="S4848" t="str">
        <f t="shared" si="0"/>
        <v/>
      </c>
      <c r="T4848" t="str">
        <f t="shared" si="1"/>
        <v/>
      </c>
      <c r="U4848" t="str">
        <f t="shared" si="2"/>
        <v/>
      </c>
      <c r="V4848" t="str">
        <f>IF(OR(U4848="",U4848="ERRO_CHAVE"),"",IFERROR(MATCH(U4848,Fornecedores!$AF$1:$AF$6631,0),""))</f>
        <v/>
      </c>
      <c r="W4848" t="str">
        <f t="shared" si="3"/>
        <v/>
      </c>
      <c r="X4848" s="4" t="str">
        <f>IF(V4848="","",INDEX(Fornecedores!$X$1:$X$6631,V4848))</f>
        <v/>
      </c>
      <c r="Y4848" s="4" t="str">
        <f t="shared" si="4"/>
        <v/>
      </c>
    </row>
    <row r="4849" spans="19:25">
      <c r="S4849" t="str">
        <f t="shared" si="0"/>
        <v/>
      </c>
      <c r="T4849" t="str">
        <f t="shared" si="1"/>
        <v/>
      </c>
      <c r="U4849" t="str">
        <f t="shared" si="2"/>
        <v/>
      </c>
      <c r="V4849" t="str">
        <f>IF(OR(U4849="",U4849="ERRO_CHAVE"),"",IFERROR(MATCH(U4849,Fornecedores!$AF$1:$AF$6631,0),""))</f>
        <v/>
      </c>
      <c r="W4849" t="str">
        <f t="shared" si="3"/>
        <v/>
      </c>
      <c r="X4849" s="4" t="str">
        <f>IF(V4849="","",INDEX(Fornecedores!$X$1:$X$6631,V4849))</f>
        <v/>
      </c>
      <c r="Y4849" s="4" t="str">
        <f t="shared" si="4"/>
        <v/>
      </c>
    </row>
    <row r="4850" spans="19:25">
      <c r="S4850" t="str">
        <f t="shared" si="0"/>
        <v/>
      </c>
      <c r="T4850" t="str">
        <f t="shared" si="1"/>
        <v/>
      </c>
      <c r="U4850" t="str">
        <f t="shared" si="2"/>
        <v/>
      </c>
      <c r="V4850" t="str">
        <f>IF(OR(U4850="",U4850="ERRO_CHAVE"),"",IFERROR(MATCH(U4850,Fornecedores!$AF$1:$AF$6631,0),""))</f>
        <v/>
      </c>
      <c r="W4850" t="str">
        <f t="shared" si="3"/>
        <v/>
      </c>
      <c r="X4850" s="4" t="str">
        <f>IF(V4850="","",INDEX(Fornecedores!$X$1:$X$6631,V4850))</f>
        <v/>
      </c>
      <c r="Y4850" s="4" t="str">
        <f t="shared" si="4"/>
        <v/>
      </c>
    </row>
    <row r="4851" spans="19:25">
      <c r="S4851" t="str">
        <f t="shared" si="0"/>
        <v/>
      </c>
      <c r="T4851" t="str">
        <f t="shared" si="1"/>
        <v/>
      </c>
      <c r="U4851" t="str">
        <f t="shared" si="2"/>
        <v/>
      </c>
      <c r="V4851" t="str">
        <f>IF(OR(U4851="",U4851="ERRO_CHAVE"),"",IFERROR(MATCH(U4851,Fornecedores!$AF$1:$AF$6631,0),""))</f>
        <v/>
      </c>
      <c r="W4851" t="str">
        <f t="shared" si="3"/>
        <v/>
      </c>
      <c r="X4851" s="4" t="str">
        <f>IF(V4851="","",INDEX(Fornecedores!$X$1:$X$6631,V4851))</f>
        <v/>
      </c>
      <c r="Y4851" s="4" t="str">
        <f t="shared" si="4"/>
        <v/>
      </c>
    </row>
    <row r="4852" spans="19:25">
      <c r="S4852" t="str">
        <f t="shared" si="0"/>
        <v/>
      </c>
      <c r="T4852" t="str">
        <f t="shared" si="1"/>
        <v/>
      </c>
      <c r="U4852" t="str">
        <f t="shared" si="2"/>
        <v/>
      </c>
      <c r="V4852" t="str">
        <f>IF(OR(U4852="",U4852="ERRO_CHAVE"),"",IFERROR(MATCH(U4852,Fornecedores!$AF$1:$AF$6631,0),""))</f>
        <v/>
      </c>
      <c r="W4852" t="str">
        <f t="shared" si="3"/>
        <v/>
      </c>
      <c r="X4852" s="4" t="str">
        <f>IF(V4852="","",INDEX(Fornecedores!$X$1:$X$6631,V4852))</f>
        <v/>
      </c>
      <c r="Y4852" s="4" t="str">
        <f t="shared" si="4"/>
        <v/>
      </c>
    </row>
    <row r="4853" spans="19:25">
      <c r="S4853" t="str">
        <f t="shared" si="0"/>
        <v/>
      </c>
      <c r="T4853" t="str">
        <f t="shared" si="1"/>
        <v/>
      </c>
      <c r="U4853" t="str">
        <f t="shared" si="2"/>
        <v/>
      </c>
      <c r="V4853" t="str">
        <f>IF(OR(U4853="",U4853="ERRO_CHAVE"),"",IFERROR(MATCH(U4853,Fornecedores!$AF$1:$AF$6631,0),""))</f>
        <v/>
      </c>
      <c r="W4853" t="str">
        <f t="shared" si="3"/>
        <v/>
      </c>
      <c r="X4853" s="4" t="str">
        <f>IF(V4853="","",INDEX(Fornecedores!$X$1:$X$6631,V4853))</f>
        <v/>
      </c>
      <c r="Y4853" s="4" t="str">
        <f t="shared" si="4"/>
        <v/>
      </c>
    </row>
    <row r="4854" spans="19:25">
      <c r="S4854" t="str">
        <f t="shared" si="0"/>
        <v/>
      </c>
      <c r="T4854" t="str">
        <f t="shared" si="1"/>
        <v/>
      </c>
      <c r="U4854" t="str">
        <f t="shared" si="2"/>
        <v/>
      </c>
      <c r="V4854" t="str">
        <f>IF(OR(U4854="",U4854="ERRO_CHAVE"),"",IFERROR(MATCH(U4854,Fornecedores!$AF$1:$AF$6631,0),""))</f>
        <v/>
      </c>
      <c r="W4854" t="str">
        <f t="shared" si="3"/>
        <v/>
      </c>
      <c r="X4854" s="4" t="str">
        <f>IF(V4854="","",INDEX(Fornecedores!$X$1:$X$6631,V4854))</f>
        <v/>
      </c>
      <c r="Y4854" s="4" t="str">
        <f t="shared" si="4"/>
        <v/>
      </c>
    </row>
    <row r="4855" spans="19:25">
      <c r="S4855" t="str">
        <f t="shared" si="0"/>
        <v/>
      </c>
      <c r="T4855" t="str">
        <f t="shared" si="1"/>
        <v/>
      </c>
      <c r="U4855" t="str">
        <f t="shared" si="2"/>
        <v/>
      </c>
      <c r="V4855" t="str">
        <f>IF(OR(U4855="",U4855="ERRO_CHAVE"),"",IFERROR(MATCH(U4855,Fornecedores!$AF$1:$AF$6631,0),""))</f>
        <v/>
      </c>
      <c r="W4855" t="str">
        <f t="shared" si="3"/>
        <v/>
      </c>
      <c r="X4855" s="4" t="str">
        <f>IF(V4855="","",INDEX(Fornecedores!$X$1:$X$6631,V4855))</f>
        <v/>
      </c>
      <c r="Y4855" s="4" t="str">
        <f t="shared" si="4"/>
        <v/>
      </c>
    </row>
    <row r="4856" spans="19:25">
      <c r="S4856" t="str">
        <f t="shared" si="0"/>
        <v/>
      </c>
      <c r="T4856" t="str">
        <f t="shared" si="1"/>
        <v/>
      </c>
      <c r="U4856" t="str">
        <f t="shared" si="2"/>
        <v/>
      </c>
      <c r="V4856" t="str">
        <f>IF(OR(U4856="",U4856="ERRO_CHAVE"),"",IFERROR(MATCH(U4856,Fornecedores!$AF$1:$AF$6631,0),""))</f>
        <v/>
      </c>
      <c r="W4856" t="str">
        <f t="shared" si="3"/>
        <v/>
      </c>
      <c r="X4856" s="4" t="str">
        <f>IF(V4856="","",INDEX(Fornecedores!$X$1:$X$6631,V4856))</f>
        <v/>
      </c>
      <c r="Y4856" s="4" t="str">
        <f t="shared" si="4"/>
        <v/>
      </c>
    </row>
    <row r="4857" spans="19:25">
      <c r="S4857" t="str">
        <f t="shared" si="0"/>
        <v/>
      </c>
      <c r="T4857" t="str">
        <f t="shared" si="1"/>
        <v/>
      </c>
      <c r="U4857" t="str">
        <f t="shared" si="2"/>
        <v/>
      </c>
      <c r="V4857" t="str">
        <f>IF(OR(U4857="",U4857="ERRO_CHAVE"),"",IFERROR(MATCH(U4857,Fornecedores!$AF$1:$AF$6631,0),""))</f>
        <v/>
      </c>
      <c r="W4857" t="str">
        <f t="shared" si="3"/>
        <v/>
      </c>
      <c r="X4857" s="4" t="str">
        <f>IF(V4857="","",INDEX(Fornecedores!$X$1:$X$6631,V4857))</f>
        <v/>
      </c>
      <c r="Y4857" s="4" t="str">
        <f t="shared" si="4"/>
        <v/>
      </c>
    </row>
    <row r="4858" spans="19:25">
      <c r="S4858" t="str">
        <f t="shared" si="0"/>
        <v/>
      </c>
      <c r="T4858" t="str">
        <f t="shared" si="1"/>
        <v/>
      </c>
      <c r="U4858" t="str">
        <f t="shared" si="2"/>
        <v/>
      </c>
      <c r="V4858" t="str">
        <f>IF(OR(U4858="",U4858="ERRO_CHAVE"),"",IFERROR(MATCH(U4858,Fornecedores!$AF$1:$AF$6631,0),""))</f>
        <v/>
      </c>
      <c r="W4858" t="str">
        <f t="shared" si="3"/>
        <v/>
      </c>
      <c r="X4858" s="4" t="str">
        <f>IF(V4858="","",INDEX(Fornecedores!$X$1:$X$6631,V4858))</f>
        <v/>
      </c>
      <c r="Y4858" s="4" t="str">
        <f t="shared" si="4"/>
        <v/>
      </c>
    </row>
    <row r="4859" spans="19:25">
      <c r="S4859" t="str">
        <f t="shared" si="0"/>
        <v/>
      </c>
      <c r="T4859" t="str">
        <f t="shared" si="1"/>
        <v/>
      </c>
      <c r="U4859" t="str">
        <f t="shared" si="2"/>
        <v/>
      </c>
      <c r="V4859" t="str">
        <f>IF(OR(U4859="",U4859="ERRO_CHAVE"),"",IFERROR(MATCH(U4859,Fornecedores!$AF$1:$AF$6631,0),""))</f>
        <v/>
      </c>
      <c r="W4859" t="str">
        <f t="shared" si="3"/>
        <v/>
      </c>
      <c r="X4859" s="4" t="str">
        <f>IF(V4859="","",INDEX(Fornecedores!$X$1:$X$6631,V4859))</f>
        <v/>
      </c>
      <c r="Y4859" s="4" t="str">
        <f t="shared" si="4"/>
        <v/>
      </c>
    </row>
    <row r="4860" spans="19:25">
      <c r="S4860" t="str">
        <f t="shared" si="0"/>
        <v/>
      </c>
      <c r="T4860" t="str">
        <f t="shared" si="1"/>
        <v/>
      </c>
      <c r="U4860" t="str">
        <f t="shared" si="2"/>
        <v/>
      </c>
      <c r="V4860" t="str">
        <f>IF(OR(U4860="",U4860="ERRO_CHAVE"),"",IFERROR(MATCH(U4860,Fornecedores!$AF$1:$AF$6631,0),""))</f>
        <v/>
      </c>
      <c r="W4860" t="str">
        <f t="shared" si="3"/>
        <v/>
      </c>
      <c r="X4860" s="4" t="str">
        <f>IF(V4860="","",INDEX(Fornecedores!$X$1:$X$6631,V4860))</f>
        <v/>
      </c>
      <c r="Y4860" s="4" t="str">
        <f t="shared" si="4"/>
        <v/>
      </c>
    </row>
    <row r="4861" spans="19:25">
      <c r="S4861" t="str">
        <f t="shared" si="0"/>
        <v/>
      </c>
      <c r="T4861" t="str">
        <f t="shared" si="1"/>
        <v/>
      </c>
      <c r="U4861" t="str">
        <f t="shared" si="2"/>
        <v/>
      </c>
      <c r="V4861" t="str">
        <f>IF(OR(U4861="",U4861="ERRO_CHAVE"),"",IFERROR(MATCH(U4861,Fornecedores!$AF$1:$AF$6631,0),""))</f>
        <v/>
      </c>
      <c r="W4861" t="str">
        <f t="shared" si="3"/>
        <v/>
      </c>
      <c r="X4861" s="4" t="str">
        <f>IF(V4861="","",INDEX(Fornecedores!$X$1:$X$6631,V4861))</f>
        <v/>
      </c>
      <c r="Y4861" s="4" t="str">
        <f t="shared" si="4"/>
        <v/>
      </c>
    </row>
    <row r="4862" spans="19:25">
      <c r="S4862" t="str">
        <f t="shared" si="0"/>
        <v/>
      </c>
      <c r="T4862" t="str">
        <f t="shared" si="1"/>
        <v/>
      </c>
      <c r="U4862" t="str">
        <f t="shared" si="2"/>
        <v/>
      </c>
      <c r="V4862" t="str">
        <f>IF(OR(U4862="",U4862="ERRO_CHAVE"),"",IFERROR(MATCH(U4862,Fornecedores!$AF$1:$AF$6631,0),""))</f>
        <v/>
      </c>
      <c r="W4862" t="str">
        <f t="shared" si="3"/>
        <v/>
      </c>
      <c r="X4862" s="4" t="str">
        <f>IF(V4862="","",INDEX(Fornecedores!$X$1:$X$6631,V4862))</f>
        <v/>
      </c>
      <c r="Y4862" s="4" t="str">
        <f t="shared" si="4"/>
        <v/>
      </c>
    </row>
    <row r="4863" spans="19:25">
      <c r="S4863" t="str">
        <f t="shared" si="0"/>
        <v/>
      </c>
      <c r="T4863" t="str">
        <f t="shared" si="1"/>
        <v/>
      </c>
      <c r="U4863" t="str">
        <f t="shared" si="2"/>
        <v/>
      </c>
      <c r="V4863" t="str">
        <f>IF(OR(U4863="",U4863="ERRO_CHAVE"),"",IFERROR(MATCH(U4863,Fornecedores!$AF$1:$AF$6631,0),""))</f>
        <v/>
      </c>
      <c r="W4863" t="str">
        <f t="shared" si="3"/>
        <v/>
      </c>
      <c r="X4863" s="4" t="str">
        <f>IF(V4863="","",INDEX(Fornecedores!$X$1:$X$6631,V4863))</f>
        <v/>
      </c>
      <c r="Y4863" s="4" t="str">
        <f t="shared" si="4"/>
        <v/>
      </c>
    </row>
    <row r="4864" spans="19:25">
      <c r="S4864" t="str">
        <f t="shared" si="0"/>
        <v/>
      </c>
      <c r="T4864" t="str">
        <f t="shared" si="1"/>
        <v/>
      </c>
      <c r="U4864" t="str">
        <f t="shared" si="2"/>
        <v/>
      </c>
      <c r="V4864" t="str">
        <f>IF(OR(U4864="",U4864="ERRO_CHAVE"),"",IFERROR(MATCH(U4864,Fornecedores!$AF$1:$AF$6631,0),""))</f>
        <v/>
      </c>
      <c r="W4864" t="str">
        <f t="shared" si="3"/>
        <v/>
      </c>
      <c r="X4864" s="4" t="str">
        <f>IF(V4864="","",INDEX(Fornecedores!$X$1:$X$6631,V4864))</f>
        <v/>
      </c>
      <c r="Y4864" s="4" t="str">
        <f t="shared" si="4"/>
        <v/>
      </c>
    </row>
    <row r="4865" spans="19:25">
      <c r="S4865" t="str">
        <f t="shared" si="0"/>
        <v/>
      </c>
      <c r="T4865" t="str">
        <f t="shared" si="1"/>
        <v/>
      </c>
      <c r="U4865" t="str">
        <f t="shared" si="2"/>
        <v/>
      </c>
      <c r="V4865" t="str">
        <f>IF(OR(U4865="",U4865="ERRO_CHAVE"),"",IFERROR(MATCH(U4865,Fornecedores!$AF$1:$AF$6631,0),""))</f>
        <v/>
      </c>
      <c r="W4865" t="str">
        <f t="shared" si="3"/>
        <v/>
      </c>
      <c r="X4865" s="4" t="str">
        <f>IF(V4865="","",INDEX(Fornecedores!$X$1:$X$6631,V4865))</f>
        <v/>
      </c>
      <c r="Y4865" s="4" t="str">
        <f t="shared" si="4"/>
        <v/>
      </c>
    </row>
    <row r="4866" spans="19:25">
      <c r="S4866" t="str">
        <f t="shared" si="0"/>
        <v/>
      </c>
      <c r="T4866" t="str">
        <f t="shared" si="1"/>
        <v/>
      </c>
      <c r="U4866" t="str">
        <f t="shared" si="2"/>
        <v/>
      </c>
      <c r="V4866" t="str">
        <f>IF(OR(U4866="",U4866="ERRO_CHAVE"),"",IFERROR(MATCH(U4866,Fornecedores!$AF$1:$AF$6631,0),""))</f>
        <v/>
      </c>
      <c r="W4866" t="str">
        <f t="shared" si="3"/>
        <v/>
      </c>
      <c r="X4866" s="4" t="str">
        <f>IF(V4866="","",INDEX(Fornecedores!$X$1:$X$6631,V4866))</f>
        <v/>
      </c>
      <c r="Y4866" s="4" t="str">
        <f t="shared" si="4"/>
        <v/>
      </c>
    </row>
    <row r="4867" spans="19:25">
      <c r="S4867" t="str">
        <f t="shared" si="0"/>
        <v/>
      </c>
      <c r="T4867" t="str">
        <f t="shared" si="1"/>
        <v/>
      </c>
      <c r="U4867" t="str">
        <f t="shared" si="2"/>
        <v/>
      </c>
      <c r="V4867" t="str">
        <f>IF(OR(U4867="",U4867="ERRO_CHAVE"),"",IFERROR(MATCH(U4867,Fornecedores!$AF$1:$AF$6631,0),""))</f>
        <v/>
      </c>
      <c r="W4867" t="str">
        <f t="shared" si="3"/>
        <v/>
      </c>
      <c r="X4867" s="4" t="str">
        <f>IF(V4867="","",INDEX(Fornecedores!$X$1:$X$6631,V4867))</f>
        <v/>
      </c>
      <c r="Y4867" s="4" t="str">
        <f t="shared" si="4"/>
        <v/>
      </c>
    </row>
    <row r="4868" spans="19:25">
      <c r="S4868" t="str">
        <f t="shared" si="0"/>
        <v/>
      </c>
      <c r="T4868" t="str">
        <f t="shared" si="1"/>
        <v/>
      </c>
      <c r="U4868" t="str">
        <f t="shared" si="2"/>
        <v/>
      </c>
      <c r="V4868" t="str">
        <f>IF(OR(U4868="",U4868="ERRO_CHAVE"),"",IFERROR(MATCH(U4868,Fornecedores!$AF$1:$AF$6631,0),""))</f>
        <v/>
      </c>
      <c r="W4868" t="str">
        <f t="shared" si="3"/>
        <v/>
      </c>
      <c r="X4868" s="4" t="str">
        <f>IF(V4868="","",INDEX(Fornecedores!$X$1:$X$6631,V4868))</f>
        <v/>
      </c>
      <c r="Y4868" s="4" t="str">
        <f t="shared" si="4"/>
        <v/>
      </c>
    </row>
    <row r="4869" spans="19:25">
      <c r="S4869" t="str">
        <f t="shared" si="0"/>
        <v/>
      </c>
      <c r="T4869" t="str">
        <f t="shared" si="1"/>
        <v/>
      </c>
      <c r="U4869" t="str">
        <f t="shared" si="2"/>
        <v/>
      </c>
      <c r="V4869" t="str">
        <f>IF(OR(U4869="",U4869="ERRO_CHAVE"),"",IFERROR(MATCH(U4869,Fornecedores!$AF$1:$AF$6631,0),""))</f>
        <v/>
      </c>
      <c r="W4869" t="str">
        <f t="shared" si="3"/>
        <v/>
      </c>
      <c r="X4869" s="4" t="str">
        <f>IF(V4869="","",INDEX(Fornecedores!$X$1:$X$6631,V4869))</f>
        <v/>
      </c>
      <c r="Y4869" s="4" t="str">
        <f t="shared" si="4"/>
        <v/>
      </c>
    </row>
    <row r="4870" spans="19:25">
      <c r="S4870" t="str">
        <f t="shared" si="0"/>
        <v/>
      </c>
      <c r="T4870" t="str">
        <f t="shared" si="1"/>
        <v/>
      </c>
      <c r="U4870" t="str">
        <f t="shared" si="2"/>
        <v/>
      </c>
      <c r="V4870" t="str">
        <f>IF(OR(U4870="",U4870="ERRO_CHAVE"),"",IFERROR(MATCH(U4870,Fornecedores!$AF$1:$AF$6631,0),""))</f>
        <v/>
      </c>
      <c r="W4870" t="str">
        <f t="shared" si="3"/>
        <v/>
      </c>
      <c r="X4870" s="4" t="str">
        <f>IF(V4870="","",INDEX(Fornecedores!$X$1:$X$6631,V4870))</f>
        <v/>
      </c>
      <c r="Y4870" s="4" t="str">
        <f t="shared" si="4"/>
        <v/>
      </c>
    </row>
    <row r="4871" spans="19:25">
      <c r="S4871" t="str">
        <f t="shared" si="0"/>
        <v/>
      </c>
      <c r="T4871" t="str">
        <f t="shared" si="1"/>
        <v/>
      </c>
      <c r="U4871" t="str">
        <f t="shared" si="2"/>
        <v/>
      </c>
      <c r="V4871" t="str">
        <f>IF(OR(U4871="",U4871="ERRO_CHAVE"),"",IFERROR(MATCH(U4871,Fornecedores!$AF$1:$AF$6631,0),""))</f>
        <v/>
      </c>
      <c r="W4871" t="str">
        <f t="shared" si="3"/>
        <v/>
      </c>
      <c r="X4871" s="4" t="str">
        <f>IF(V4871="","",INDEX(Fornecedores!$X$1:$X$6631,V4871))</f>
        <v/>
      </c>
      <c r="Y4871" s="4" t="str">
        <f t="shared" si="4"/>
        <v/>
      </c>
    </row>
    <row r="4872" spans="19:25">
      <c r="S4872" t="str">
        <f t="shared" si="0"/>
        <v/>
      </c>
      <c r="T4872" t="str">
        <f t="shared" si="1"/>
        <v/>
      </c>
      <c r="U4872" t="str">
        <f t="shared" si="2"/>
        <v/>
      </c>
      <c r="V4872" t="str">
        <f>IF(OR(U4872="",U4872="ERRO_CHAVE"),"",IFERROR(MATCH(U4872,Fornecedores!$AF$1:$AF$6631,0),""))</f>
        <v/>
      </c>
      <c r="W4872" t="str">
        <f t="shared" si="3"/>
        <v/>
      </c>
      <c r="X4872" s="4" t="str">
        <f>IF(V4872="","",INDEX(Fornecedores!$X$1:$X$6631,V4872))</f>
        <v/>
      </c>
      <c r="Y4872" s="4" t="str">
        <f t="shared" si="4"/>
        <v/>
      </c>
    </row>
    <row r="4873" spans="19:25">
      <c r="S4873" t="str">
        <f t="shared" si="0"/>
        <v/>
      </c>
      <c r="T4873" t="str">
        <f t="shared" si="1"/>
        <v/>
      </c>
      <c r="U4873" t="str">
        <f t="shared" si="2"/>
        <v/>
      </c>
      <c r="V4873" t="str">
        <f>IF(OR(U4873="",U4873="ERRO_CHAVE"),"",IFERROR(MATCH(U4873,Fornecedores!$AF$1:$AF$6631,0),""))</f>
        <v/>
      </c>
      <c r="W4873" t="str">
        <f t="shared" si="3"/>
        <v/>
      </c>
      <c r="X4873" s="4" t="str">
        <f>IF(V4873="","",INDEX(Fornecedores!$X$1:$X$6631,V4873))</f>
        <v/>
      </c>
      <c r="Y4873" s="4" t="str">
        <f t="shared" si="4"/>
        <v/>
      </c>
    </row>
    <row r="4874" spans="19:25">
      <c r="S4874" t="str">
        <f t="shared" si="0"/>
        <v/>
      </c>
      <c r="T4874" t="str">
        <f t="shared" si="1"/>
        <v/>
      </c>
      <c r="U4874" t="str">
        <f t="shared" si="2"/>
        <v/>
      </c>
      <c r="V4874" t="str">
        <f>IF(OR(U4874="",U4874="ERRO_CHAVE"),"",IFERROR(MATCH(U4874,Fornecedores!$AF$1:$AF$6631,0),""))</f>
        <v/>
      </c>
      <c r="W4874" t="str">
        <f t="shared" si="3"/>
        <v/>
      </c>
      <c r="X4874" s="4" t="str">
        <f>IF(V4874="","",INDEX(Fornecedores!$X$1:$X$6631,V4874))</f>
        <v/>
      </c>
      <c r="Y4874" s="4" t="str">
        <f t="shared" si="4"/>
        <v/>
      </c>
    </row>
    <row r="4875" spans="19:25">
      <c r="S4875" t="str">
        <f t="shared" si="0"/>
        <v/>
      </c>
      <c r="T4875" t="str">
        <f t="shared" si="1"/>
        <v/>
      </c>
      <c r="U4875" t="str">
        <f t="shared" si="2"/>
        <v/>
      </c>
      <c r="V4875" t="str">
        <f>IF(OR(U4875="",U4875="ERRO_CHAVE"),"",IFERROR(MATCH(U4875,Fornecedores!$AF$1:$AF$6631,0),""))</f>
        <v/>
      </c>
      <c r="W4875" t="str">
        <f t="shared" si="3"/>
        <v/>
      </c>
      <c r="X4875" s="4" t="str">
        <f>IF(V4875="","",INDEX(Fornecedores!$X$1:$X$6631,V4875))</f>
        <v/>
      </c>
      <c r="Y4875" s="4" t="str">
        <f t="shared" si="4"/>
        <v/>
      </c>
    </row>
    <row r="4876" spans="19:25">
      <c r="S4876" t="str">
        <f t="shared" si="0"/>
        <v/>
      </c>
      <c r="T4876" t="str">
        <f t="shared" si="1"/>
        <v/>
      </c>
      <c r="U4876" t="str">
        <f t="shared" si="2"/>
        <v/>
      </c>
      <c r="V4876" t="str">
        <f>IF(OR(U4876="",U4876="ERRO_CHAVE"),"",IFERROR(MATCH(U4876,Fornecedores!$AF$1:$AF$6631,0),""))</f>
        <v/>
      </c>
      <c r="W4876" t="str">
        <f t="shared" si="3"/>
        <v/>
      </c>
      <c r="X4876" s="4" t="str">
        <f>IF(V4876="","",INDEX(Fornecedores!$X$1:$X$6631,V4876))</f>
        <v/>
      </c>
      <c r="Y4876" s="4" t="str">
        <f t="shared" si="4"/>
        <v/>
      </c>
    </row>
    <row r="4877" spans="19:25">
      <c r="S4877" t="str">
        <f t="shared" si="0"/>
        <v/>
      </c>
      <c r="T4877" t="str">
        <f t="shared" si="1"/>
        <v/>
      </c>
      <c r="U4877" t="str">
        <f t="shared" si="2"/>
        <v/>
      </c>
      <c r="V4877" t="str">
        <f>IF(OR(U4877="",U4877="ERRO_CHAVE"),"",IFERROR(MATCH(U4877,Fornecedores!$AF$1:$AF$6631,0),""))</f>
        <v/>
      </c>
      <c r="W4877" t="str">
        <f t="shared" si="3"/>
        <v/>
      </c>
      <c r="X4877" s="4" t="str">
        <f>IF(V4877="","",INDEX(Fornecedores!$X$1:$X$6631,V4877))</f>
        <v/>
      </c>
      <c r="Y4877" s="4" t="str">
        <f t="shared" si="4"/>
        <v/>
      </c>
    </row>
    <row r="4878" spans="19:25">
      <c r="S4878" t="str">
        <f t="shared" si="0"/>
        <v/>
      </c>
      <c r="T4878" t="str">
        <f t="shared" si="1"/>
        <v/>
      </c>
      <c r="U4878" t="str">
        <f t="shared" si="2"/>
        <v/>
      </c>
      <c r="V4878" t="str">
        <f>IF(OR(U4878="",U4878="ERRO_CHAVE"),"",IFERROR(MATCH(U4878,Fornecedores!$AF$1:$AF$6631,0),""))</f>
        <v/>
      </c>
      <c r="W4878" t="str">
        <f t="shared" si="3"/>
        <v/>
      </c>
      <c r="X4878" s="4" t="str">
        <f>IF(V4878="","",INDEX(Fornecedores!$X$1:$X$6631,V4878))</f>
        <v/>
      </c>
      <c r="Y4878" s="4" t="str">
        <f t="shared" si="4"/>
        <v/>
      </c>
    </row>
    <row r="4879" spans="19:25">
      <c r="S4879" t="str">
        <f t="shared" si="0"/>
        <v/>
      </c>
      <c r="T4879" t="str">
        <f t="shared" si="1"/>
        <v/>
      </c>
      <c r="U4879" t="str">
        <f t="shared" si="2"/>
        <v/>
      </c>
      <c r="V4879" t="str">
        <f>IF(OR(U4879="",U4879="ERRO_CHAVE"),"",IFERROR(MATCH(U4879,Fornecedores!$AF$1:$AF$6631,0),""))</f>
        <v/>
      </c>
      <c r="W4879" t="str">
        <f t="shared" si="3"/>
        <v/>
      </c>
      <c r="X4879" s="4" t="str">
        <f>IF(V4879="","",INDEX(Fornecedores!$X$1:$X$6631,V4879))</f>
        <v/>
      </c>
      <c r="Y4879" s="4" t="str">
        <f t="shared" si="4"/>
        <v/>
      </c>
    </row>
    <row r="4880" spans="19:25">
      <c r="S4880" t="str">
        <f t="shared" si="0"/>
        <v/>
      </c>
      <c r="T4880" t="str">
        <f t="shared" si="1"/>
        <v/>
      </c>
      <c r="U4880" t="str">
        <f t="shared" si="2"/>
        <v/>
      </c>
      <c r="V4880" t="str">
        <f>IF(OR(U4880="",U4880="ERRO_CHAVE"),"",IFERROR(MATCH(U4880,Fornecedores!$AF$1:$AF$6631,0),""))</f>
        <v/>
      </c>
      <c r="W4880" t="str">
        <f t="shared" si="3"/>
        <v/>
      </c>
      <c r="X4880" s="4" t="str">
        <f>IF(V4880="","",INDEX(Fornecedores!$X$1:$X$6631,V4880))</f>
        <v/>
      </c>
      <c r="Y4880" s="4" t="str">
        <f t="shared" si="4"/>
        <v/>
      </c>
    </row>
    <row r="4881" spans="19:25">
      <c r="S4881" t="str">
        <f t="shared" si="0"/>
        <v/>
      </c>
      <c r="T4881" t="str">
        <f t="shared" si="1"/>
        <v/>
      </c>
      <c r="U4881" t="str">
        <f t="shared" si="2"/>
        <v/>
      </c>
      <c r="V4881" t="str">
        <f>IF(OR(U4881="",U4881="ERRO_CHAVE"),"",IFERROR(MATCH(U4881,Fornecedores!$AF$1:$AF$6631,0),""))</f>
        <v/>
      </c>
      <c r="W4881" t="str">
        <f t="shared" si="3"/>
        <v/>
      </c>
      <c r="X4881" s="4" t="str">
        <f>IF(V4881="","",INDEX(Fornecedores!$X$1:$X$6631,V4881))</f>
        <v/>
      </c>
      <c r="Y4881" s="4" t="str">
        <f t="shared" si="4"/>
        <v/>
      </c>
    </row>
    <row r="4882" spans="19:25">
      <c r="S4882" t="str">
        <f t="shared" si="0"/>
        <v/>
      </c>
      <c r="T4882" t="str">
        <f t="shared" si="1"/>
        <v/>
      </c>
      <c r="U4882" t="str">
        <f t="shared" si="2"/>
        <v/>
      </c>
      <c r="V4882" t="str">
        <f>IF(OR(U4882="",U4882="ERRO_CHAVE"),"",IFERROR(MATCH(U4882,Fornecedores!$AF$1:$AF$6631,0),""))</f>
        <v/>
      </c>
      <c r="W4882" t="str">
        <f t="shared" si="3"/>
        <v/>
      </c>
      <c r="X4882" s="4" t="str">
        <f>IF(V4882="","",INDEX(Fornecedores!$X$1:$X$6631,V4882))</f>
        <v/>
      </c>
      <c r="Y4882" s="4" t="str">
        <f t="shared" si="4"/>
        <v/>
      </c>
    </row>
    <row r="4883" spans="19:25">
      <c r="S4883" t="str">
        <f t="shared" si="0"/>
        <v/>
      </c>
      <c r="T4883" t="str">
        <f t="shared" si="1"/>
        <v/>
      </c>
      <c r="U4883" t="str">
        <f t="shared" si="2"/>
        <v/>
      </c>
      <c r="V4883" t="str">
        <f>IF(OR(U4883="",U4883="ERRO_CHAVE"),"",IFERROR(MATCH(U4883,Fornecedores!$AF$1:$AF$6631,0),""))</f>
        <v/>
      </c>
      <c r="W4883" t="str">
        <f t="shared" si="3"/>
        <v/>
      </c>
      <c r="X4883" s="4" t="str">
        <f>IF(V4883="","",INDEX(Fornecedores!$X$1:$X$6631,V4883))</f>
        <v/>
      </c>
      <c r="Y4883" s="4" t="str">
        <f t="shared" si="4"/>
        <v/>
      </c>
    </row>
    <row r="4884" spans="19:25">
      <c r="S4884" t="str">
        <f t="shared" si="0"/>
        <v/>
      </c>
      <c r="T4884" t="str">
        <f t="shared" si="1"/>
        <v/>
      </c>
      <c r="U4884" t="str">
        <f t="shared" si="2"/>
        <v/>
      </c>
      <c r="V4884" t="str">
        <f>IF(OR(U4884="",U4884="ERRO_CHAVE"),"",IFERROR(MATCH(U4884,Fornecedores!$AF$1:$AF$6631,0),""))</f>
        <v/>
      </c>
      <c r="W4884" t="str">
        <f t="shared" si="3"/>
        <v/>
      </c>
      <c r="X4884" s="4" t="str">
        <f>IF(V4884="","",INDEX(Fornecedores!$X$1:$X$6631,V4884))</f>
        <v/>
      </c>
      <c r="Y4884" s="4" t="str">
        <f t="shared" si="4"/>
        <v/>
      </c>
    </row>
    <row r="4885" spans="19:25">
      <c r="S4885" t="str">
        <f t="shared" si="0"/>
        <v/>
      </c>
      <c r="T4885" t="str">
        <f t="shared" si="1"/>
        <v/>
      </c>
      <c r="U4885" t="str">
        <f t="shared" si="2"/>
        <v/>
      </c>
      <c r="V4885" t="str">
        <f>IF(OR(U4885="",U4885="ERRO_CHAVE"),"",IFERROR(MATCH(U4885,Fornecedores!$AF$1:$AF$6631,0),""))</f>
        <v/>
      </c>
      <c r="W4885" t="str">
        <f t="shared" si="3"/>
        <v/>
      </c>
      <c r="X4885" s="4" t="str">
        <f>IF(V4885="","",INDEX(Fornecedores!$X$1:$X$6631,V4885))</f>
        <v/>
      </c>
      <c r="Y4885" s="4" t="str">
        <f t="shared" si="4"/>
        <v/>
      </c>
    </row>
    <row r="4886" spans="19:25">
      <c r="S4886" t="str">
        <f t="shared" si="0"/>
        <v/>
      </c>
      <c r="T4886" t="str">
        <f t="shared" si="1"/>
        <v/>
      </c>
      <c r="U4886" t="str">
        <f t="shared" si="2"/>
        <v/>
      </c>
      <c r="V4886" t="str">
        <f>IF(OR(U4886="",U4886="ERRO_CHAVE"),"",IFERROR(MATCH(U4886,Fornecedores!$AF$1:$AF$6631,0),""))</f>
        <v/>
      </c>
      <c r="W4886" t="str">
        <f t="shared" si="3"/>
        <v/>
      </c>
      <c r="X4886" s="4" t="str">
        <f>IF(V4886="","",INDEX(Fornecedores!$X$1:$X$6631,V4886))</f>
        <v/>
      </c>
      <c r="Y4886" s="4" t="str">
        <f t="shared" si="4"/>
        <v/>
      </c>
    </row>
    <row r="4887" spans="19:25">
      <c r="S4887" t="str">
        <f t="shared" si="0"/>
        <v/>
      </c>
      <c r="T4887" t="str">
        <f t="shared" si="1"/>
        <v/>
      </c>
      <c r="U4887" t="str">
        <f t="shared" si="2"/>
        <v/>
      </c>
      <c r="V4887" t="str">
        <f>IF(OR(U4887="",U4887="ERRO_CHAVE"),"",IFERROR(MATCH(U4887,Fornecedores!$AF$1:$AF$6631,0),""))</f>
        <v/>
      </c>
      <c r="W4887" t="str">
        <f t="shared" si="3"/>
        <v/>
      </c>
      <c r="X4887" s="4" t="str">
        <f>IF(V4887="","",INDEX(Fornecedores!$X$1:$X$6631,V4887))</f>
        <v/>
      </c>
      <c r="Y4887" s="4" t="str">
        <f t="shared" si="4"/>
        <v/>
      </c>
    </row>
    <row r="4888" spans="19:25">
      <c r="S4888" t="str">
        <f t="shared" si="0"/>
        <v/>
      </c>
      <c r="T4888" t="str">
        <f t="shared" si="1"/>
        <v/>
      </c>
      <c r="U4888" t="str">
        <f t="shared" si="2"/>
        <v/>
      </c>
      <c r="V4888" t="str">
        <f>IF(OR(U4888="",U4888="ERRO_CHAVE"),"",IFERROR(MATCH(U4888,Fornecedores!$AF$1:$AF$6631,0),""))</f>
        <v/>
      </c>
      <c r="W4888" t="str">
        <f t="shared" si="3"/>
        <v/>
      </c>
      <c r="X4888" s="4" t="str">
        <f>IF(V4888="","",INDEX(Fornecedores!$X$1:$X$6631,V4888))</f>
        <v/>
      </c>
      <c r="Y4888" s="4" t="str">
        <f t="shared" si="4"/>
        <v/>
      </c>
    </row>
    <row r="4889" spans="19:25">
      <c r="S4889" t="str">
        <f t="shared" si="0"/>
        <v/>
      </c>
      <c r="T4889" t="str">
        <f t="shared" si="1"/>
        <v/>
      </c>
      <c r="U4889" t="str">
        <f t="shared" si="2"/>
        <v/>
      </c>
      <c r="V4889" t="str">
        <f>IF(OR(U4889="",U4889="ERRO_CHAVE"),"",IFERROR(MATCH(U4889,Fornecedores!$AF$1:$AF$6631,0),""))</f>
        <v/>
      </c>
      <c r="W4889" t="str">
        <f t="shared" si="3"/>
        <v/>
      </c>
      <c r="X4889" s="4" t="str">
        <f>IF(V4889="","",INDEX(Fornecedores!$X$1:$X$6631,V4889))</f>
        <v/>
      </c>
      <c r="Y4889" s="4" t="str">
        <f t="shared" si="4"/>
        <v/>
      </c>
    </row>
    <row r="4890" spans="19:25">
      <c r="S4890" t="str">
        <f t="shared" si="0"/>
        <v/>
      </c>
      <c r="T4890" t="str">
        <f t="shared" si="1"/>
        <v/>
      </c>
      <c r="U4890" t="str">
        <f t="shared" si="2"/>
        <v/>
      </c>
      <c r="V4890" t="str">
        <f>IF(OR(U4890="",U4890="ERRO_CHAVE"),"",IFERROR(MATCH(U4890,Fornecedores!$AF$1:$AF$6631,0),""))</f>
        <v/>
      </c>
      <c r="W4890" t="str">
        <f t="shared" si="3"/>
        <v/>
      </c>
      <c r="X4890" s="4" t="str">
        <f>IF(V4890="","",INDEX(Fornecedores!$X$1:$X$6631,V4890))</f>
        <v/>
      </c>
      <c r="Y4890" s="4" t="str">
        <f t="shared" si="4"/>
        <v/>
      </c>
    </row>
    <row r="4891" spans="19:25">
      <c r="S4891" t="str">
        <f t="shared" si="0"/>
        <v/>
      </c>
      <c r="T4891" t="str">
        <f t="shared" si="1"/>
        <v/>
      </c>
      <c r="U4891" t="str">
        <f t="shared" si="2"/>
        <v/>
      </c>
      <c r="V4891" t="str">
        <f>IF(OR(U4891="",U4891="ERRO_CHAVE"),"",IFERROR(MATCH(U4891,Fornecedores!$AF$1:$AF$6631,0),""))</f>
        <v/>
      </c>
      <c r="W4891" t="str">
        <f t="shared" si="3"/>
        <v/>
      </c>
      <c r="X4891" s="4" t="str">
        <f>IF(V4891="","",INDEX(Fornecedores!$X$1:$X$6631,V4891))</f>
        <v/>
      </c>
      <c r="Y4891" s="4" t="str">
        <f t="shared" si="4"/>
        <v/>
      </c>
    </row>
    <row r="4892" spans="19:25">
      <c r="S4892" t="str">
        <f t="shared" si="0"/>
        <v/>
      </c>
      <c r="T4892" t="str">
        <f t="shared" si="1"/>
        <v/>
      </c>
      <c r="U4892" t="str">
        <f t="shared" si="2"/>
        <v/>
      </c>
      <c r="V4892" t="str">
        <f>IF(OR(U4892="",U4892="ERRO_CHAVE"),"",IFERROR(MATCH(U4892,Fornecedores!$AF$1:$AF$6631,0),""))</f>
        <v/>
      </c>
      <c r="W4892" t="str">
        <f t="shared" si="3"/>
        <v/>
      </c>
      <c r="X4892" s="4" t="str">
        <f>IF(V4892="","",INDEX(Fornecedores!$X$1:$X$6631,V4892))</f>
        <v/>
      </c>
      <c r="Y4892" s="4" t="str">
        <f t="shared" si="4"/>
        <v/>
      </c>
    </row>
    <row r="4893" spans="19:25">
      <c r="S4893" t="str">
        <f t="shared" si="0"/>
        <v/>
      </c>
      <c r="T4893" t="str">
        <f t="shared" si="1"/>
        <v/>
      </c>
      <c r="U4893" t="str">
        <f t="shared" si="2"/>
        <v/>
      </c>
      <c r="V4893" t="str">
        <f>IF(OR(U4893="",U4893="ERRO_CHAVE"),"",IFERROR(MATCH(U4893,Fornecedores!$AF$1:$AF$6631,0),""))</f>
        <v/>
      </c>
      <c r="W4893" t="str">
        <f t="shared" si="3"/>
        <v/>
      </c>
      <c r="X4893" s="4" t="str">
        <f>IF(V4893="","",INDEX(Fornecedores!$X$1:$X$6631,V4893))</f>
        <v/>
      </c>
      <c r="Y4893" s="4" t="str">
        <f t="shared" si="4"/>
        <v/>
      </c>
    </row>
    <row r="4894" spans="19:25">
      <c r="S4894" t="str">
        <f t="shared" si="0"/>
        <v/>
      </c>
      <c r="T4894" t="str">
        <f t="shared" si="1"/>
        <v/>
      </c>
      <c r="U4894" t="str">
        <f t="shared" si="2"/>
        <v/>
      </c>
      <c r="V4894" t="str">
        <f>IF(OR(U4894="",U4894="ERRO_CHAVE"),"",IFERROR(MATCH(U4894,Fornecedores!$AF$1:$AF$6631,0),""))</f>
        <v/>
      </c>
      <c r="W4894" t="str">
        <f t="shared" si="3"/>
        <v/>
      </c>
      <c r="X4894" s="4" t="str">
        <f>IF(V4894="","",INDEX(Fornecedores!$X$1:$X$6631,V4894))</f>
        <v/>
      </c>
      <c r="Y4894" s="4" t="str">
        <f t="shared" si="4"/>
        <v/>
      </c>
    </row>
    <row r="4895" spans="19:25">
      <c r="S4895" t="str">
        <f t="shared" si="0"/>
        <v/>
      </c>
      <c r="T4895" t="str">
        <f t="shared" si="1"/>
        <v/>
      </c>
      <c r="U4895" t="str">
        <f t="shared" si="2"/>
        <v/>
      </c>
      <c r="V4895" t="str">
        <f>IF(OR(U4895="",U4895="ERRO_CHAVE"),"",IFERROR(MATCH(U4895,Fornecedores!$AF$1:$AF$6631,0),""))</f>
        <v/>
      </c>
      <c r="W4895" t="str">
        <f t="shared" si="3"/>
        <v/>
      </c>
      <c r="X4895" s="4" t="str">
        <f>IF(V4895="","",INDEX(Fornecedores!$X$1:$X$6631,V4895))</f>
        <v/>
      </c>
      <c r="Y4895" s="4" t="str">
        <f t="shared" si="4"/>
        <v/>
      </c>
    </row>
    <row r="4896" spans="19:25">
      <c r="S4896" t="str">
        <f t="shared" si="0"/>
        <v/>
      </c>
      <c r="T4896" t="str">
        <f t="shared" si="1"/>
        <v/>
      </c>
      <c r="U4896" t="str">
        <f t="shared" si="2"/>
        <v/>
      </c>
      <c r="V4896" t="str">
        <f>IF(OR(U4896="",U4896="ERRO_CHAVE"),"",IFERROR(MATCH(U4896,Fornecedores!$AF$1:$AF$6631,0),""))</f>
        <v/>
      </c>
      <c r="W4896" t="str">
        <f t="shared" si="3"/>
        <v/>
      </c>
      <c r="X4896" s="4" t="str">
        <f>IF(V4896="","",INDEX(Fornecedores!$X$1:$X$6631,V4896))</f>
        <v/>
      </c>
      <c r="Y4896" s="4" t="str">
        <f t="shared" si="4"/>
        <v/>
      </c>
    </row>
    <row r="4897" spans="19:25">
      <c r="S4897" t="str">
        <f t="shared" si="0"/>
        <v/>
      </c>
      <c r="T4897" t="str">
        <f t="shared" si="1"/>
        <v/>
      </c>
      <c r="U4897" t="str">
        <f t="shared" si="2"/>
        <v/>
      </c>
      <c r="V4897" t="str">
        <f>IF(OR(U4897="",U4897="ERRO_CHAVE"),"",IFERROR(MATCH(U4897,Fornecedores!$AF$1:$AF$6631,0),""))</f>
        <v/>
      </c>
      <c r="W4897" t="str">
        <f t="shared" si="3"/>
        <v/>
      </c>
      <c r="X4897" s="4" t="str">
        <f>IF(V4897="","",INDEX(Fornecedores!$X$1:$X$6631,V4897))</f>
        <v/>
      </c>
      <c r="Y4897" s="4" t="str">
        <f t="shared" si="4"/>
        <v/>
      </c>
    </row>
    <row r="4898" spans="19:25">
      <c r="S4898" t="str">
        <f t="shared" si="0"/>
        <v/>
      </c>
      <c r="T4898" t="str">
        <f t="shared" si="1"/>
        <v/>
      </c>
      <c r="U4898" t="str">
        <f t="shared" si="2"/>
        <v/>
      </c>
      <c r="V4898" t="str">
        <f>IF(OR(U4898="",U4898="ERRO_CHAVE"),"",IFERROR(MATCH(U4898,Fornecedores!$AF$1:$AF$6631,0),""))</f>
        <v/>
      </c>
      <c r="W4898" t="str">
        <f t="shared" si="3"/>
        <v/>
      </c>
      <c r="X4898" s="4" t="str">
        <f>IF(V4898="","",INDEX(Fornecedores!$X$1:$X$6631,V4898))</f>
        <v/>
      </c>
      <c r="Y4898" s="4" t="str">
        <f t="shared" si="4"/>
        <v/>
      </c>
    </row>
    <row r="4899" spans="19:25">
      <c r="S4899" t="str">
        <f t="shared" si="0"/>
        <v/>
      </c>
      <c r="T4899" t="str">
        <f t="shared" si="1"/>
        <v/>
      </c>
      <c r="U4899" t="str">
        <f t="shared" si="2"/>
        <v/>
      </c>
      <c r="V4899" t="str">
        <f>IF(OR(U4899="",U4899="ERRO_CHAVE"),"",IFERROR(MATCH(U4899,Fornecedores!$AF$1:$AF$6631,0),""))</f>
        <v/>
      </c>
      <c r="W4899" t="str">
        <f t="shared" si="3"/>
        <v/>
      </c>
      <c r="X4899" s="4" t="str">
        <f>IF(V4899="","",INDEX(Fornecedores!$X$1:$X$6631,V4899))</f>
        <v/>
      </c>
      <c r="Y4899" s="4" t="str">
        <f t="shared" si="4"/>
        <v/>
      </c>
    </row>
    <row r="4900" spans="19:25">
      <c r="S4900" t="str">
        <f t="shared" si="0"/>
        <v/>
      </c>
      <c r="T4900" t="str">
        <f t="shared" si="1"/>
        <v/>
      </c>
      <c r="U4900" t="str">
        <f t="shared" si="2"/>
        <v/>
      </c>
      <c r="V4900" t="str">
        <f>IF(OR(U4900="",U4900="ERRO_CHAVE"),"",IFERROR(MATCH(U4900,Fornecedores!$AF$1:$AF$6631,0),""))</f>
        <v/>
      </c>
      <c r="W4900" t="str">
        <f t="shared" si="3"/>
        <v/>
      </c>
      <c r="X4900" s="4" t="str">
        <f>IF(V4900="","",INDEX(Fornecedores!$X$1:$X$6631,V4900))</f>
        <v/>
      </c>
      <c r="Y4900" s="4" t="str">
        <f t="shared" si="4"/>
        <v/>
      </c>
    </row>
    <row r="4901" spans="19:25">
      <c r="S4901" t="str">
        <f t="shared" si="0"/>
        <v/>
      </c>
      <c r="T4901" t="str">
        <f t="shared" si="1"/>
        <v/>
      </c>
      <c r="U4901" t="str">
        <f t="shared" si="2"/>
        <v/>
      </c>
      <c r="V4901" t="str">
        <f>IF(OR(U4901="",U4901="ERRO_CHAVE"),"",IFERROR(MATCH(U4901,Fornecedores!$AF$1:$AF$6631,0),""))</f>
        <v/>
      </c>
      <c r="W4901" t="str">
        <f t="shared" si="3"/>
        <v/>
      </c>
      <c r="X4901" s="4" t="str">
        <f>IF(V4901="","",INDEX(Fornecedores!$X$1:$X$6631,V4901))</f>
        <v/>
      </c>
      <c r="Y4901" s="4" t="str">
        <f t="shared" si="4"/>
        <v/>
      </c>
    </row>
    <row r="4902" spans="19:25">
      <c r="S4902" t="str">
        <f t="shared" si="0"/>
        <v/>
      </c>
      <c r="T4902" t="str">
        <f t="shared" si="1"/>
        <v/>
      </c>
      <c r="U4902" t="str">
        <f t="shared" si="2"/>
        <v/>
      </c>
      <c r="V4902" t="str">
        <f>IF(OR(U4902="",U4902="ERRO_CHAVE"),"",IFERROR(MATCH(U4902,Fornecedores!$AF$1:$AF$6631,0),""))</f>
        <v/>
      </c>
      <c r="W4902" t="str">
        <f t="shared" si="3"/>
        <v/>
      </c>
      <c r="X4902" s="4" t="str">
        <f>IF(V4902="","",INDEX(Fornecedores!$X$1:$X$6631,V4902))</f>
        <v/>
      </c>
      <c r="Y4902" s="4" t="str">
        <f t="shared" si="4"/>
        <v/>
      </c>
    </row>
    <row r="4903" spans="19:25">
      <c r="S4903" t="str">
        <f t="shared" si="0"/>
        <v/>
      </c>
      <c r="T4903" t="str">
        <f t="shared" si="1"/>
        <v/>
      </c>
      <c r="U4903" t="str">
        <f t="shared" si="2"/>
        <v/>
      </c>
      <c r="V4903" t="str">
        <f>IF(OR(U4903="",U4903="ERRO_CHAVE"),"",IFERROR(MATCH(U4903,Fornecedores!$AF$1:$AF$6631,0),""))</f>
        <v/>
      </c>
      <c r="W4903" t="str">
        <f t="shared" si="3"/>
        <v/>
      </c>
      <c r="X4903" s="4" t="str">
        <f>IF(V4903="","",INDEX(Fornecedores!$X$1:$X$6631,V4903))</f>
        <v/>
      </c>
      <c r="Y4903" s="4" t="str">
        <f t="shared" si="4"/>
        <v/>
      </c>
    </row>
    <row r="4904" spans="19:25">
      <c r="S4904" t="str">
        <f t="shared" si="0"/>
        <v/>
      </c>
      <c r="T4904" t="str">
        <f t="shared" si="1"/>
        <v/>
      </c>
      <c r="U4904" t="str">
        <f t="shared" si="2"/>
        <v/>
      </c>
      <c r="V4904" t="str">
        <f>IF(OR(U4904="",U4904="ERRO_CHAVE"),"",IFERROR(MATCH(U4904,Fornecedores!$AF$1:$AF$6631,0),""))</f>
        <v/>
      </c>
      <c r="W4904" t="str">
        <f t="shared" si="3"/>
        <v/>
      </c>
      <c r="X4904" s="4" t="str">
        <f>IF(V4904="","",INDEX(Fornecedores!$X$1:$X$6631,V4904))</f>
        <v/>
      </c>
      <c r="Y4904" s="4" t="str">
        <f t="shared" si="4"/>
        <v/>
      </c>
    </row>
    <row r="4905" spans="19:25">
      <c r="S4905" t="str">
        <f t="shared" si="0"/>
        <v/>
      </c>
      <c r="T4905" t="str">
        <f t="shared" si="1"/>
        <v/>
      </c>
      <c r="U4905" t="str">
        <f t="shared" si="2"/>
        <v/>
      </c>
      <c r="V4905" t="str">
        <f>IF(OR(U4905="",U4905="ERRO_CHAVE"),"",IFERROR(MATCH(U4905,Fornecedores!$AF$1:$AF$6631,0),""))</f>
        <v/>
      </c>
      <c r="W4905" t="str">
        <f t="shared" si="3"/>
        <v/>
      </c>
      <c r="X4905" s="4" t="str">
        <f>IF(V4905="","",INDEX(Fornecedores!$X$1:$X$6631,V4905))</f>
        <v/>
      </c>
      <c r="Y4905" s="4" t="str">
        <f t="shared" si="4"/>
        <v/>
      </c>
    </row>
    <row r="4906" spans="19:25">
      <c r="S4906" t="str">
        <f t="shared" si="0"/>
        <v/>
      </c>
      <c r="T4906" t="str">
        <f t="shared" si="1"/>
        <v/>
      </c>
      <c r="U4906" t="str">
        <f t="shared" si="2"/>
        <v/>
      </c>
      <c r="V4906" t="str">
        <f>IF(OR(U4906="",U4906="ERRO_CHAVE"),"",IFERROR(MATCH(U4906,Fornecedores!$AF$1:$AF$6631,0),""))</f>
        <v/>
      </c>
      <c r="W4906" t="str">
        <f t="shared" si="3"/>
        <v/>
      </c>
      <c r="X4906" s="4" t="str">
        <f>IF(V4906="","",INDEX(Fornecedores!$X$1:$X$6631,V4906))</f>
        <v/>
      </c>
      <c r="Y4906" s="4" t="str">
        <f t="shared" si="4"/>
        <v/>
      </c>
    </row>
    <row r="4907" spans="19:25">
      <c r="S4907" t="str">
        <f t="shared" si="0"/>
        <v/>
      </c>
      <c r="T4907" t="str">
        <f t="shared" si="1"/>
        <v/>
      </c>
      <c r="U4907" t="str">
        <f t="shared" si="2"/>
        <v/>
      </c>
      <c r="V4907" t="str">
        <f>IF(OR(U4907="",U4907="ERRO_CHAVE"),"",IFERROR(MATCH(U4907,Fornecedores!$AF$1:$AF$6631,0),""))</f>
        <v/>
      </c>
      <c r="W4907" t="str">
        <f t="shared" si="3"/>
        <v/>
      </c>
      <c r="X4907" s="4" t="str">
        <f>IF(V4907="","",INDEX(Fornecedores!$X$1:$X$6631,V4907))</f>
        <v/>
      </c>
      <c r="Y4907" s="4" t="str">
        <f t="shared" si="4"/>
        <v/>
      </c>
    </row>
    <row r="4908" spans="19:25">
      <c r="S4908" t="str">
        <f t="shared" si="0"/>
        <v/>
      </c>
      <c r="T4908" t="str">
        <f t="shared" si="1"/>
        <v/>
      </c>
      <c r="U4908" t="str">
        <f t="shared" si="2"/>
        <v/>
      </c>
      <c r="V4908" t="str">
        <f>IF(OR(U4908="",U4908="ERRO_CHAVE"),"",IFERROR(MATCH(U4908,Fornecedores!$AF$1:$AF$6631,0),""))</f>
        <v/>
      </c>
      <c r="W4908" t="str">
        <f t="shared" si="3"/>
        <v/>
      </c>
      <c r="X4908" s="4" t="str">
        <f>IF(V4908="","",INDEX(Fornecedores!$X$1:$X$6631,V4908))</f>
        <v/>
      </c>
      <c r="Y4908" s="4" t="str">
        <f t="shared" si="4"/>
        <v/>
      </c>
    </row>
    <row r="4909" spans="19:25">
      <c r="S4909" t="str">
        <f t="shared" si="0"/>
        <v/>
      </c>
      <c r="T4909" t="str">
        <f t="shared" si="1"/>
        <v/>
      </c>
      <c r="U4909" t="str">
        <f t="shared" si="2"/>
        <v/>
      </c>
      <c r="V4909" t="str">
        <f>IF(OR(U4909="",U4909="ERRO_CHAVE"),"",IFERROR(MATCH(U4909,Fornecedores!$AF$1:$AF$6631,0),""))</f>
        <v/>
      </c>
      <c r="W4909" t="str">
        <f t="shared" si="3"/>
        <v/>
      </c>
      <c r="X4909" s="4" t="str">
        <f>IF(V4909="","",INDEX(Fornecedores!$X$1:$X$6631,V4909))</f>
        <v/>
      </c>
      <c r="Y4909" s="4" t="str">
        <f t="shared" si="4"/>
        <v/>
      </c>
    </row>
    <row r="4910" spans="19:25">
      <c r="S4910" t="str">
        <f t="shared" si="0"/>
        <v/>
      </c>
      <c r="T4910" t="str">
        <f t="shared" si="1"/>
        <v/>
      </c>
      <c r="U4910" t="str">
        <f t="shared" si="2"/>
        <v/>
      </c>
      <c r="V4910" t="str">
        <f>IF(OR(U4910="",U4910="ERRO_CHAVE"),"",IFERROR(MATCH(U4910,Fornecedores!$AF$1:$AF$6631,0),""))</f>
        <v/>
      </c>
      <c r="W4910" t="str">
        <f t="shared" si="3"/>
        <v/>
      </c>
      <c r="X4910" s="4" t="str">
        <f>IF(V4910="","",INDEX(Fornecedores!$X$1:$X$6631,V4910))</f>
        <v/>
      </c>
      <c r="Y4910" s="4" t="str">
        <f t="shared" si="4"/>
        <v/>
      </c>
    </row>
    <row r="4911" spans="19:25">
      <c r="S4911" t="str">
        <f t="shared" si="0"/>
        <v/>
      </c>
      <c r="T4911" t="str">
        <f t="shared" si="1"/>
        <v/>
      </c>
      <c r="U4911" t="str">
        <f t="shared" si="2"/>
        <v/>
      </c>
      <c r="V4911" t="str">
        <f>IF(OR(U4911="",U4911="ERRO_CHAVE"),"",IFERROR(MATCH(U4911,Fornecedores!$AF$1:$AF$6631,0),""))</f>
        <v/>
      </c>
      <c r="W4911" t="str">
        <f t="shared" si="3"/>
        <v/>
      </c>
      <c r="X4911" s="4" t="str">
        <f>IF(V4911="","",INDEX(Fornecedores!$X$1:$X$6631,V4911))</f>
        <v/>
      </c>
      <c r="Y4911" s="4" t="str">
        <f t="shared" si="4"/>
        <v/>
      </c>
    </row>
    <row r="4912" spans="19:25">
      <c r="S4912" t="str">
        <f t="shared" si="0"/>
        <v/>
      </c>
      <c r="T4912" t="str">
        <f t="shared" si="1"/>
        <v/>
      </c>
      <c r="U4912" t="str">
        <f t="shared" si="2"/>
        <v/>
      </c>
      <c r="V4912" t="str">
        <f>IF(OR(U4912="",U4912="ERRO_CHAVE"),"",IFERROR(MATCH(U4912,Fornecedores!$AF$1:$AF$6631,0),""))</f>
        <v/>
      </c>
      <c r="W4912" t="str">
        <f t="shared" si="3"/>
        <v/>
      </c>
      <c r="X4912" s="4" t="str">
        <f>IF(V4912="","",INDEX(Fornecedores!$X$1:$X$6631,V4912))</f>
        <v/>
      </c>
      <c r="Y4912" s="4" t="str">
        <f t="shared" si="4"/>
        <v/>
      </c>
    </row>
    <row r="4913" spans="19:25">
      <c r="S4913" t="str">
        <f t="shared" si="0"/>
        <v/>
      </c>
      <c r="T4913" t="str">
        <f t="shared" si="1"/>
        <v/>
      </c>
      <c r="U4913" t="str">
        <f t="shared" si="2"/>
        <v/>
      </c>
      <c r="V4913" t="str">
        <f>IF(OR(U4913="",U4913="ERRO_CHAVE"),"",IFERROR(MATCH(U4913,Fornecedores!$AF$1:$AF$6631,0),""))</f>
        <v/>
      </c>
      <c r="W4913" t="str">
        <f t="shared" si="3"/>
        <v/>
      </c>
      <c r="X4913" s="4" t="str">
        <f>IF(V4913="","",INDEX(Fornecedores!$X$1:$X$6631,V4913))</f>
        <v/>
      </c>
      <c r="Y4913" s="4" t="str">
        <f t="shared" si="4"/>
        <v/>
      </c>
    </row>
    <row r="4914" spans="19:25">
      <c r="S4914" t="str">
        <f t="shared" si="0"/>
        <v/>
      </c>
      <c r="T4914" t="str">
        <f t="shared" si="1"/>
        <v/>
      </c>
      <c r="U4914" t="str">
        <f t="shared" si="2"/>
        <v/>
      </c>
      <c r="V4914" t="str">
        <f>IF(OR(U4914="",U4914="ERRO_CHAVE"),"",IFERROR(MATCH(U4914,Fornecedores!$AF$1:$AF$6631,0),""))</f>
        <v/>
      </c>
      <c r="W4914" t="str">
        <f t="shared" si="3"/>
        <v/>
      </c>
      <c r="X4914" s="4" t="str">
        <f>IF(V4914="","",INDEX(Fornecedores!$X$1:$X$6631,V4914))</f>
        <v/>
      </c>
      <c r="Y4914" s="4" t="str">
        <f t="shared" si="4"/>
        <v/>
      </c>
    </row>
    <row r="4915" spans="19:25">
      <c r="S4915" t="str">
        <f t="shared" si="0"/>
        <v/>
      </c>
      <c r="T4915" t="str">
        <f t="shared" si="1"/>
        <v/>
      </c>
      <c r="U4915" t="str">
        <f t="shared" si="2"/>
        <v/>
      </c>
      <c r="V4915" t="str">
        <f>IF(OR(U4915="",U4915="ERRO_CHAVE"),"",IFERROR(MATCH(U4915,Fornecedores!$AF$1:$AF$6631,0),""))</f>
        <v/>
      </c>
      <c r="W4915" t="str">
        <f t="shared" si="3"/>
        <v/>
      </c>
      <c r="X4915" s="4" t="str">
        <f>IF(V4915="","",INDEX(Fornecedores!$X$1:$X$6631,V4915))</f>
        <v/>
      </c>
      <c r="Y4915" s="4" t="str">
        <f t="shared" si="4"/>
        <v/>
      </c>
    </row>
    <row r="4916" spans="19:25">
      <c r="S4916" t="str">
        <f t="shared" si="0"/>
        <v/>
      </c>
      <c r="T4916" t="str">
        <f t="shared" si="1"/>
        <v/>
      </c>
      <c r="U4916" t="str">
        <f t="shared" si="2"/>
        <v/>
      </c>
      <c r="V4916" t="str">
        <f>IF(OR(U4916="",U4916="ERRO_CHAVE"),"",IFERROR(MATCH(U4916,Fornecedores!$AF$1:$AF$6631,0),""))</f>
        <v/>
      </c>
      <c r="W4916" t="str">
        <f t="shared" si="3"/>
        <v/>
      </c>
      <c r="X4916" s="4" t="str">
        <f>IF(V4916="","",INDEX(Fornecedores!$X$1:$X$6631,V4916))</f>
        <v/>
      </c>
      <c r="Y4916" s="4" t="str">
        <f t="shared" si="4"/>
        <v/>
      </c>
    </row>
    <row r="4917" spans="19:25">
      <c r="S4917" t="str">
        <f t="shared" si="0"/>
        <v/>
      </c>
      <c r="T4917" t="str">
        <f t="shared" si="1"/>
        <v/>
      </c>
      <c r="U4917" t="str">
        <f t="shared" si="2"/>
        <v/>
      </c>
      <c r="V4917" t="str">
        <f>IF(OR(U4917="",U4917="ERRO_CHAVE"),"",IFERROR(MATCH(U4917,Fornecedores!$AF$1:$AF$6631,0),""))</f>
        <v/>
      </c>
      <c r="W4917" t="str">
        <f t="shared" si="3"/>
        <v/>
      </c>
      <c r="X4917" s="4" t="str">
        <f>IF(V4917="","",INDEX(Fornecedores!$X$1:$X$6631,V4917))</f>
        <v/>
      </c>
      <c r="Y4917" s="4" t="str">
        <f t="shared" si="4"/>
        <v/>
      </c>
    </row>
    <row r="4918" spans="19:25">
      <c r="S4918" t="str">
        <f t="shared" si="0"/>
        <v/>
      </c>
      <c r="T4918" t="str">
        <f t="shared" si="1"/>
        <v/>
      </c>
      <c r="U4918" t="str">
        <f t="shared" si="2"/>
        <v/>
      </c>
      <c r="V4918" t="str">
        <f>IF(OR(U4918="",U4918="ERRO_CHAVE"),"",IFERROR(MATCH(U4918,Fornecedores!$AF$1:$AF$6631,0),""))</f>
        <v/>
      </c>
      <c r="W4918" t="str">
        <f t="shared" si="3"/>
        <v/>
      </c>
      <c r="X4918" s="4" t="str">
        <f>IF(V4918="","",INDEX(Fornecedores!$X$1:$X$6631,V4918))</f>
        <v/>
      </c>
      <c r="Y4918" s="4" t="str">
        <f t="shared" si="4"/>
        <v/>
      </c>
    </row>
    <row r="4919" spans="19:25">
      <c r="S4919" t="str">
        <f t="shared" si="0"/>
        <v/>
      </c>
      <c r="T4919" t="str">
        <f t="shared" si="1"/>
        <v/>
      </c>
      <c r="U4919" t="str">
        <f t="shared" si="2"/>
        <v/>
      </c>
      <c r="V4919" t="str">
        <f>IF(OR(U4919="",U4919="ERRO_CHAVE"),"",IFERROR(MATCH(U4919,Fornecedores!$AF$1:$AF$6631,0),""))</f>
        <v/>
      </c>
      <c r="W4919" t="str">
        <f t="shared" si="3"/>
        <v/>
      </c>
      <c r="X4919" s="4" t="str">
        <f>IF(V4919="","",INDEX(Fornecedores!$X$1:$X$6631,V4919))</f>
        <v/>
      </c>
      <c r="Y4919" s="4" t="str">
        <f t="shared" si="4"/>
        <v/>
      </c>
    </row>
    <row r="4920" spans="19:25">
      <c r="S4920" t="str">
        <f t="shared" si="0"/>
        <v/>
      </c>
      <c r="T4920" t="str">
        <f t="shared" si="1"/>
        <v/>
      </c>
      <c r="U4920" t="str">
        <f t="shared" si="2"/>
        <v/>
      </c>
      <c r="V4920" t="str">
        <f>IF(OR(U4920="",U4920="ERRO_CHAVE"),"",IFERROR(MATCH(U4920,Fornecedores!$AF$1:$AF$6631,0),""))</f>
        <v/>
      </c>
      <c r="W4920" t="str">
        <f t="shared" si="3"/>
        <v/>
      </c>
      <c r="X4920" s="4" t="str">
        <f>IF(V4920="","",INDEX(Fornecedores!$X$1:$X$6631,V4920))</f>
        <v/>
      </c>
      <c r="Y4920" s="4" t="str">
        <f t="shared" si="4"/>
        <v/>
      </c>
    </row>
    <row r="4921" spans="19:25">
      <c r="S4921" t="str">
        <f t="shared" si="0"/>
        <v/>
      </c>
      <c r="T4921" t="str">
        <f t="shared" si="1"/>
        <v/>
      </c>
      <c r="U4921" t="str">
        <f t="shared" si="2"/>
        <v/>
      </c>
      <c r="V4921" t="str">
        <f>IF(OR(U4921="",U4921="ERRO_CHAVE"),"",IFERROR(MATCH(U4921,Fornecedores!$AF$1:$AF$6631,0),""))</f>
        <v/>
      </c>
      <c r="W4921" t="str">
        <f t="shared" si="3"/>
        <v/>
      </c>
      <c r="X4921" s="4" t="str">
        <f>IF(V4921="","",INDEX(Fornecedores!$X$1:$X$6631,V4921))</f>
        <v/>
      </c>
      <c r="Y4921" s="4" t="str">
        <f t="shared" si="4"/>
        <v/>
      </c>
    </row>
    <row r="4922" spans="19:25">
      <c r="S4922" t="str">
        <f t="shared" si="0"/>
        <v/>
      </c>
      <c r="T4922" t="str">
        <f t="shared" si="1"/>
        <v/>
      </c>
      <c r="U4922" t="str">
        <f t="shared" si="2"/>
        <v/>
      </c>
      <c r="V4922" t="str">
        <f>IF(OR(U4922="",U4922="ERRO_CHAVE"),"",IFERROR(MATCH(U4922,Fornecedores!$AF$1:$AF$6631,0),""))</f>
        <v/>
      </c>
      <c r="W4922" t="str">
        <f t="shared" si="3"/>
        <v/>
      </c>
      <c r="X4922" s="4" t="str">
        <f>IF(V4922="","",INDEX(Fornecedores!$X$1:$X$6631,V4922))</f>
        <v/>
      </c>
      <c r="Y4922" s="4" t="str">
        <f t="shared" si="4"/>
        <v/>
      </c>
    </row>
    <row r="4923" spans="19:25">
      <c r="S4923" t="str">
        <f t="shared" si="0"/>
        <v/>
      </c>
      <c r="T4923" t="str">
        <f t="shared" si="1"/>
        <v/>
      </c>
      <c r="U4923" t="str">
        <f t="shared" si="2"/>
        <v/>
      </c>
      <c r="V4923" t="str">
        <f>IF(OR(U4923="",U4923="ERRO_CHAVE"),"",IFERROR(MATCH(U4923,Fornecedores!$AF$1:$AF$6631,0),""))</f>
        <v/>
      </c>
      <c r="W4923" t="str">
        <f t="shared" si="3"/>
        <v/>
      </c>
      <c r="X4923" s="4" t="str">
        <f>IF(V4923="","",INDEX(Fornecedores!$X$1:$X$6631,V4923))</f>
        <v/>
      </c>
      <c r="Y4923" s="4" t="str">
        <f t="shared" si="4"/>
        <v/>
      </c>
    </row>
    <row r="4924" spans="19:25">
      <c r="S4924" t="str">
        <f t="shared" si="0"/>
        <v/>
      </c>
      <c r="T4924" t="str">
        <f t="shared" si="1"/>
        <v/>
      </c>
      <c r="U4924" t="str">
        <f t="shared" si="2"/>
        <v/>
      </c>
      <c r="V4924" t="str">
        <f>IF(OR(U4924="",U4924="ERRO_CHAVE"),"",IFERROR(MATCH(U4924,Fornecedores!$AF$1:$AF$6631,0),""))</f>
        <v/>
      </c>
      <c r="W4924" t="str">
        <f t="shared" si="3"/>
        <v/>
      </c>
      <c r="X4924" s="4" t="str">
        <f>IF(V4924="","",INDEX(Fornecedores!$X$1:$X$6631,V4924))</f>
        <v/>
      </c>
      <c r="Y4924" s="4" t="str">
        <f t="shared" si="4"/>
        <v/>
      </c>
    </row>
    <row r="4925" spans="19:25">
      <c r="S4925" t="str">
        <f t="shared" si="0"/>
        <v/>
      </c>
      <c r="T4925" t="str">
        <f t="shared" si="1"/>
        <v/>
      </c>
      <c r="U4925" t="str">
        <f t="shared" si="2"/>
        <v/>
      </c>
      <c r="V4925" t="str">
        <f>IF(OR(U4925="",U4925="ERRO_CHAVE"),"",IFERROR(MATCH(U4925,Fornecedores!$AF$1:$AF$6631,0),""))</f>
        <v/>
      </c>
      <c r="W4925" t="str">
        <f t="shared" si="3"/>
        <v/>
      </c>
      <c r="X4925" s="4" t="str">
        <f>IF(V4925="","",INDEX(Fornecedores!$X$1:$X$6631,V4925))</f>
        <v/>
      </c>
      <c r="Y4925" s="4" t="str">
        <f t="shared" si="4"/>
        <v/>
      </c>
    </row>
    <row r="4926" spans="19:25">
      <c r="S4926" t="str">
        <f t="shared" si="0"/>
        <v/>
      </c>
      <c r="T4926" t="str">
        <f t="shared" si="1"/>
        <v/>
      </c>
      <c r="U4926" t="str">
        <f t="shared" si="2"/>
        <v/>
      </c>
      <c r="V4926" t="str">
        <f>IF(OR(U4926="",U4926="ERRO_CHAVE"),"",IFERROR(MATCH(U4926,Fornecedores!$AF$1:$AF$6631,0),""))</f>
        <v/>
      </c>
      <c r="W4926" t="str">
        <f t="shared" si="3"/>
        <v/>
      </c>
      <c r="X4926" s="4" t="str">
        <f>IF(V4926="","",INDEX(Fornecedores!$X$1:$X$6631,V4926))</f>
        <v/>
      </c>
      <c r="Y4926" s="4" t="str">
        <f t="shared" si="4"/>
        <v/>
      </c>
    </row>
    <row r="4927" spans="19:25">
      <c r="S4927" t="str">
        <f t="shared" si="0"/>
        <v/>
      </c>
      <c r="T4927" t="str">
        <f t="shared" si="1"/>
        <v/>
      </c>
      <c r="U4927" t="str">
        <f t="shared" si="2"/>
        <v/>
      </c>
      <c r="V4927" t="str">
        <f>IF(OR(U4927="",U4927="ERRO_CHAVE"),"",IFERROR(MATCH(U4927,Fornecedores!$AF$1:$AF$6631,0),""))</f>
        <v/>
      </c>
      <c r="W4927" t="str">
        <f t="shared" si="3"/>
        <v/>
      </c>
      <c r="X4927" s="4" t="str">
        <f>IF(V4927="","",INDEX(Fornecedores!$X$1:$X$6631,V4927))</f>
        <v/>
      </c>
      <c r="Y4927" s="4" t="str">
        <f t="shared" si="4"/>
        <v/>
      </c>
    </row>
    <row r="4928" spans="19:25">
      <c r="S4928" t="str">
        <f t="shared" si="0"/>
        <v/>
      </c>
      <c r="T4928" t="str">
        <f t="shared" si="1"/>
        <v/>
      </c>
      <c r="U4928" t="str">
        <f t="shared" si="2"/>
        <v/>
      </c>
      <c r="V4928" t="str">
        <f>IF(OR(U4928="",U4928="ERRO_CHAVE"),"",IFERROR(MATCH(U4928,Fornecedores!$AF$1:$AF$6631,0),""))</f>
        <v/>
      </c>
      <c r="W4928" t="str">
        <f t="shared" si="3"/>
        <v/>
      </c>
      <c r="X4928" s="4" t="str">
        <f>IF(V4928="","",INDEX(Fornecedores!$X$1:$X$6631,V4928))</f>
        <v/>
      </c>
      <c r="Y4928" s="4" t="str">
        <f t="shared" si="4"/>
        <v/>
      </c>
    </row>
    <row r="4929" spans="19:25">
      <c r="S4929" t="str">
        <f t="shared" si="0"/>
        <v/>
      </c>
      <c r="T4929" t="str">
        <f t="shared" si="1"/>
        <v/>
      </c>
      <c r="U4929" t="str">
        <f t="shared" si="2"/>
        <v/>
      </c>
      <c r="V4929" t="str">
        <f>IF(OR(U4929="",U4929="ERRO_CHAVE"),"",IFERROR(MATCH(U4929,Fornecedores!$AF$1:$AF$6631,0),""))</f>
        <v/>
      </c>
      <c r="W4929" t="str">
        <f t="shared" si="3"/>
        <v/>
      </c>
      <c r="X4929" s="4" t="str">
        <f>IF(V4929="","",INDEX(Fornecedores!$X$1:$X$6631,V4929))</f>
        <v/>
      </c>
      <c r="Y4929" s="4" t="str">
        <f t="shared" si="4"/>
        <v/>
      </c>
    </row>
    <row r="4930" spans="19:25">
      <c r="S4930" t="str">
        <f t="shared" si="0"/>
        <v/>
      </c>
      <c r="T4930" t="str">
        <f t="shared" si="1"/>
        <v/>
      </c>
      <c r="U4930" t="str">
        <f t="shared" si="2"/>
        <v/>
      </c>
      <c r="V4930" t="str">
        <f>IF(OR(U4930="",U4930="ERRO_CHAVE"),"",IFERROR(MATCH(U4930,Fornecedores!$AF$1:$AF$6631,0),""))</f>
        <v/>
      </c>
      <c r="W4930" t="str">
        <f t="shared" si="3"/>
        <v/>
      </c>
      <c r="X4930" s="4" t="str">
        <f>IF(V4930="","",INDEX(Fornecedores!$X$1:$X$6631,V4930))</f>
        <v/>
      </c>
      <c r="Y4930" s="4" t="str">
        <f t="shared" si="4"/>
        <v/>
      </c>
    </row>
    <row r="4931" spans="19:25">
      <c r="S4931" t="str">
        <f t="shared" si="0"/>
        <v/>
      </c>
      <c r="T4931" t="str">
        <f t="shared" si="1"/>
        <v/>
      </c>
      <c r="U4931" t="str">
        <f t="shared" si="2"/>
        <v/>
      </c>
      <c r="V4931" t="str">
        <f>IF(OR(U4931="",U4931="ERRO_CHAVE"),"",IFERROR(MATCH(U4931,Fornecedores!$AF$1:$AF$6631,0),""))</f>
        <v/>
      </c>
      <c r="W4931" t="str">
        <f t="shared" si="3"/>
        <v/>
      </c>
      <c r="X4931" s="4" t="str">
        <f>IF(V4931="","",INDEX(Fornecedores!$X$1:$X$6631,V4931))</f>
        <v/>
      </c>
      <c r="Y4931" s="4" t="str">
        <f t="shared" si="4"/>
        <v/>
      </c>
    </row>
    <row r="4932" spans="19:25">
      <c r="S4932" t="str">
        <f t="shared" si="0"/>
        <v/>
      </c>
      <c r="T4932" t="str">
        <f t="shared" si="1"/>
        <v/>
      </c>
      <c r="U4932" t="str">
        <f t="shared" si="2"/>
        <v/>
      </c>
      <c r="V4932" t="str">
        <f>IF(OR(U4932="",U4932="ERRO_CHAVE"),"",IFERROR(MATCH(U4932,Fornecedores!$AF$1:$AF$6631,0),""))</f>
        <v/>
      </c>
      <c r="W4932" t="str">
        <f t="shared" si="3"/>
        <v/>
      </c>
      <c r="X4932" s="4" t="str">
        <f>IF(V4932="","",INDEX(Fornecedores!$X$1:$X$6631,V4932))</f>
        <v/>
      </c>
      <c r="Y4932" s="4" t="str">
        <f t="shared" si="4"/>
        <v/>
      </c>
    </row>
    <row r="4933" spans="19:25">
      <c r="S4933" t="str">
        <f t="shared" si="0"/>
        <v/>
      </c>
      <c r="T4933" t="str">
        <f t="shared" si="1"/>
        <v/>
      </c>
      <c r="U4933" t="str">
        <f t="shared" si="2"/>
        <v/>
      </c>
      <c r="V4933" t="str">
        <f>IF(OR(U4933="",U4933="ERRO_CHAVE"),"",IFERROR(MATCH(U4933,Fornecedores!$AF$1:$AF$6631,0),""))</f>
        <v/>
      </c>
      <c r="W4933" t="str">
        <f t="shared" si="3"/>
        <v/>
      </c>
      <c r="X4933" s="4" t="str">
        <f>IF(V4933="","",INDEX(Fornecedores!$X$1:$X$6631,V4933))</f>
        <v/>
      </c>
      <c r="Y4933" s="4" t="str">
        <f t="shared" si="4"/>
        <v/>
      </c>
    </row>
    <row r="4934" spans="19:25">
      <c r="S4934" t="str">
        <f t="shared" si="0"/>
        <v/>
      </c>
      <c r="T4934" t="str">
        <f t="shared" si="1"/>
        <v/>
      </c>
      <c r="U4934" t="str">
        <f t="shared" si="2"/>
        <v/>
      </c>
      <c r="V4934" t="str">
        <f>IF(OR(U4934="",U4934="ERRO_CHAVE"),"",IFERROR(MATCH(U4934,Fornecedores!$AF$1:$AF$6631,0),""))</f>
        <v/>
      </c>
      <c r="W4934" t="str">
        <f t="shared" si="3"/>
        <v/>
      </c>
      <c r="X4934" s="4" t="str">
        <f>IF(V4934="","",INDEX(Fornecedores!$X$1:$X$6631,V4934))</f>
        <v/>
      </c>
      <c r="Y4934" s="4" t="str">
        <f t="shared" si="4"/>
        <v/>
      </c>
    </row>
    <row r="4935" spans="19:25">
      <c r="S4935" t="str">
        <f t="shared" si="0"/>
        <v/>
      </c>
      <c r="T4935" t="str">
        <f t="shared" si="1"/>
        <v/>
      </c>
      <c r="U4935" t="str">
        <f t="shared" si="2"/>
        <v/>
      </c>
      <c r="V4935" t="str">
        <f>IF(OR(U4935="",U4935="ERRO_CHAVE"),"",IFERROR(MATCH(U4935,Fornecedores!$AF$1:$AF$6631,0),""))</f>
        <v/>
      </c>
      <c r="W4935" t="str">
        <f t="shared" si="3"/>
        <v/>
      </c>
      <c r="X4935" s="4" t="str">
        <f>IF(V4935="","",INDEX(Fornecedores!$X$1:$X$6631,V4935))</f>
        <v/>
      </c>
      <c r="Y4935" s="4" t="str">
        <f t="shared" si="4"/>
        <v/>
      </c>
    </row>
    <row r="4936" spans="19:25">
      <c r="S4936" t="str">
        <f t="shared" si="0"/>
        <v/>
      </c>
      <c r="T4936" t="str">
        <f t="shared" si="1"/>
        <v/>
      </c>
      <c r="U4936" t="str">
        <f t="shared" si="2"/>
        <v/>
      </c>
      <c r="V4936" t="str">
        <f>IF(OR(U4936="",U4936="ERRO_CHAVE"),"",IFERROR(MATCH(U4936,Fornecedores!$AF$1:$AF$6631,0),""))</f>
        <v/>
      </c>
      <c r="W4936" t="str">
        <f t="shared" si="3"/>
        <v/>
      </c>
      <c r="X4936" s="4" t="str">
        <f>IF(V4936="","",INDEX(Fornecedores!$X$1:$X$6631,V4936))</f>
        <v/>
      </c>
      <c r="Y4936" s="4" t="str">
        <f t="shared" si="4"/>
        <v/>
      </c>
    </row>
    <row r="4937" spans="19:25">
      <c r="S4937" t="str">
        <f t="shared" si="0"/>
        <v/>
      </c>
      <c r="T4937" t="str">
        <f t="shared" si="1"/>
        <v/>
      </c>
      <c r="U4937" t="str">
        <f t="shared" si="2"/>
        <v/>
      </c>
      <c r="V4937" t="str">
        <f>IF(OR(U4937="",U4937="ERRO_CHAVE"),"",IFERROR(MATCH(U4937,Fornecedores!$AF$1:$AF$6631,0),""))</f>
        <v/>
      </c>
      <c r="W4937" t="str">
        <f t="shared" si="3"/>
        <v/>
      </c>
      <c r="X4937" s="4" t="str">
        <f>IF(V4937="","",INDEX(Fornecedores!$X$1:$X$6631,V4937))</f>
        <v/>
      </c>
      <c r="Y4937" s="4" t="str">
        <f t="shared" si="4"/>
        <v/>
      </c>
    </row>
    <row r="4938" spans="19:25">
      <c r="S4938" t="str">
        <f t="shared" si="0"/>
        <v/>
      </c>
      <c r="T4938" t="str">
        <f t="shared" si="1"/>
        <v/>
      </c>
      <c r="U4938" t="str">
        <f t="shared" si="2"/>
        <v/>
      </c>
      <c r="V4938" t="str">
        <f>IF(OR(U4938="",U4938="ERRO_CHAVE"),"",IFERROR(MATCH(U4938,Fornecedores!$AF$1:$AF$6631,0),""))</f>
        <v/>
      </c>
      <c r="W4938" t="str">
        <f t="shared" si="3"/>
        <v/>
      </c>
      <c r="X4938" s="4" t="str">
        <f>IF(V4938="","",INDEX(Fornecedores!$X$1:$X$6631,V4938))</f>
        <v/>
      </c>
      <c r="Y4938" s="4" t="str">
        <f t="shared" si="4"/>
        <v/>
      </c>
    </row>
    <row r="4939" spans="19:25">
      <c r="S4939" t="str">
        <f t="shared" si="0"/>
        <v/>
      </c>
      <c r="T4939" t="str">
        <f t="shared" si="1"/>
        <v/>
      </c>
      <c r="U4939" t="str">
        <f t="shared" si="2"/>
        <v/>
      </c>
      <c r="V4939" t="str">
        <f>IF(OR(U4939="",U4939="ERRO_CHAVE"),"",IFERROR(MATCH(U4939,Fornecedores!$AF$1:$AF$6631,0),""))</f>
        <v/>
      </c>
      <c r="W4939" t="str">
        <f t="shared" si="3"/>
        <v/>
      </c>
      <c r="X4939" s="4" t="str">
        <f>IF(V4939="","",INDEX(Fornecedores!$X$1:$X$6631,V4939))</f>
        <v/>
      </c>
      <c r="Y4939" s="4" t="str">
        <f t="shared" si="4"/>
        <v/>
      </c>
    </row>
    <row r="4940" spans="19:25">
      <c r="S4940" t="str">
        <f t="shared" si="0"/>
        <v/>
      </c>
      <c r="T4940" t="str">
        <f t="shared" si="1"/>
        <v/>
      </c>
      <c r="U4940" t="str">
        <f t="shared" si="2"/>
        <v/>
      </c>
      <c r="V4940" t="str">
        <f>IF(OR(U4940="",U4940="ERRO_CHAVE"),"",IFERROR(MATCH(U4940,Fornecedores!$AF$1:$AF$6631,0),""))</f>
        <v/>
      </c>
      <c r="W4940" t="str">
        <f t="shared" si="3"/>
        <v/>
      </c>
      <c r="X4940" s="4" t="str">
        <f>IF(V4940="","",INDEX(Fornecedores!$X$1:$X$6631,V4940))</f>
        <v/>
      </c>
      <c r="Y4940" s="4" t="str">
        <f t="shared" si="4"/>
        <v/>
      </c>
    </row>
    <row r="4941" spans="19:25">
      <c r="S4941" t="str">
        <f t="shared" si="0"/>
        <v/>
      </c>
      <c r="T4941" t="str">
        <f t="shared" si="1"/>
        <v/>
      </c>
      <c r="U4941" t="str">
        <f t="shared" si="2"/>
        <v/>
      </c>
      <c r="V4941" t="str">
        <f>IF(OR(U4941="",U4941="ERRO_CHAVE"),"",IFERROR(MATCH(U4941,Fornecedores!$AF$1:$AF$6631,0),""))</f>
        <v/>
      </c>
      <c r="W4941" t="str">
        <f t="shared" si="3"/>
        <v/>
      </c>
      <c r="X4941" s="4" t="str">
        <f>IF(V4941="","",INDEX(Fornecedores!$X$1:$X$6631,V4941))</f>
        <v/>
      </c>
      <c r="Y4941" s="4" t="str">
        <f t="shared" si="4"/>
        <v/>
      </c>
    </row>
    <row r="4942" spans="19:25">
      <c r="S4942" t="str">
        <f t="shared" si="0"/>
        <v/>
      </c>
      <c r="T4942" t="str">
        <f t="shared" si="1"/>
        <v/>
      </c>
      <c r="U4942" t="str">
        <f t="shared" si="2"/>
        <v/>
      </c>
      <c r="V4942" t="str">
        <f>IF(OR(U4942="",U4942="ERRO_CHAVE"),"",IFERROR(MATCH(U4942,Fornecedores!$AF$1:$AF$6631,0),""))</f>
        <v/>
      </c>
      <c r="W4942" t="str">
        <f t="shared" si="3"/>
        <v/>
      </c>
      <c r="X4942" s="4" t="str">
        <f>IF(V4942="","",INDEX(Fornecedores!$X$1:$X$6631,V4942))</f>
        <v/>
      </c>
      <c r="Y4942" s="4" t="str">
        <f t="shared" si="4"/>
        <v/>
      </c>
    </row>
    <row r="4943" spans="19:25">
      <c r="S4943" t="str">
        <f t="shared" si="0"/>
        <v/>
      </c>
      <c r="T4943" t="str">
        <f t="shared" si="1"/>
        <v/>
      </c>
      <c r="U4943" t="str">
        <f t="shared" si="2"/>
        <v/>
      </c>
      <c r="V4943" t="str">
        <f>IF(OR(U4943="",U4943="ERRO_CHAVE"),"",IFERROR(MATCH(U4943,Fornecedores!$AF$1:$AF$6631,0),""))</f>
        <v/>
      </c>
      <c r="W4943" t="str">
        <f t="shared" si="3"/>
        <v/>
      </c>
      <c r="X4943" s="4" t="str">
        <f>IF(V4943="","",INDEX(Fornecedores!$X$1:$X$6631,V4943))</f>
        <v/>
      </c>
      <c r="Y4943" s="4" t="str">
        <f t="shared" si="4"/>
        <v/>
      </c>
    </row>
    <row r="4944" spans="19:25">
      <c r="S4944" t="str">
        <f t="shared" si="0"/>
        <v/>
      </c>
      <c r="T4944" t="str">
        <f t="shared" si="1"/>
        <v/>
      </c>
      <c r="U4944" t="str">
        <f t="shared" si="2"/>
        <v/>
      </c>
      <c r="V4944" t="str">
        <f>IF(OR(U4944="",U4944="ERRO_CHAVE"),"",IFERROR(MATCH(U4944,Fornecedores!$AF$1:$AF$6631,0),""))</f>
        <v/>
      </c>
      <c r="W4944" t="str">
        <f t="shared" si="3"/>
        <v/>
      </c>
      <c r="X4944" s="4" t="str">
        <f>IF(V4944="","",INDEX(Fornecedores!$X$1:$X$6631,V4944))</f>
        <v/>
      </c>
      <c r="Y4944" s="4" t="str">
        <f t="shared" si="4"/>
        <v/>
      </c>
    </row>
    <row r="4945" spans="19:25">
      <c r="S4945" t="str">
        <f t="shared" si="0"/>
        <v/>
      </c>
      <c r="T4945" t="str">
        <f t="shared" si="1"/>
        <v/>
      </c>
      <c r="U4945" t="str">
        <f t="shared" si="2"/>
        <v/>
      </c>
      <c r="V4945" t="str">
        <f>IF(OR(U4945="",U4945="ERRO_CHAVE"),"",IFERROR(MATCH(U4945,Fornecedores!$AF$1:$AF$6631,0),""))</f>
        <v/>
      </c>
      <c r="W4945" t="str">
        <f t="shared" si="3"/>
        <v/>
      </c>
      <c r="X4945" s="4" t="str">
        <f>IF(V4945="","",INDEX(Fornecedores!$X$1:$X$6631,V4945))</f>
        <v/>
      </c>
      <c r="Y4945" s="4" t="str">
        <f t="shared" si="4"/>
        <v/>
      </c>
    </row>
    <row r="4946" spans="19:25">
      <c r="S4946" t="str">
        <f t="shared" si="0"/>
        <v/>
      </c>
      <c r="T4946" t="str">
        <f t="shared" si="1"/>
        <v/>
      </c>
      <c r="U4946" t="str">
        <f t="shared" si="2"/>
        <v/>
      </c>
      <c r="V4946" t="str">
        <f>IF(OR(U4946="",U4946="ERRO_CHAVE"),"",IFERROR(MATCH(U4946,Fornecedores!$AF$1:$AF$6631,0),""))</f>
        <v/>
      </c>
      <c r="W4946" t="str">
        <f t="shared" si="3"/>
        <v/>
      </c>
      <c r="X4946" s="4" t="str">
        <f>IF(V4946="","",INDEX(Fornecedores!$X$1:$X$6631,V4946))</f>
        <v/>
      </c>
      <c r="Y4946" s="4" t="str">
        <f t="shared" si="4"/>
        <v/>
      </c>
    </row>
    <row r="4947" spans="19:25">
      <c r="S4947" t="str">
        <f t="shared" si="0"/>
        <v/>
      </c>
      <c r="T4947" t="str">
        <f t="shared" si="1"/>
        <v/>
      </c>
      <c r="U4947" t="str">
        <f t="shared" si="2"/>
        <v/>
      </c>
      <c r="V4947" t="str">
        <f>IF(OR(U4947="",U4947="ERRO_CHAVE"),"",IFERROR(MATCH(U4947,Fornecedores!$AF$1:$AF$6631,0),""))</f>
        <v/>
      </c>
      <c r="W4947" t="str">
        <f t="shared" si="3"/>
        <v/>
      </c>
      <c r="X4947" s="4" t="str">
        <f>IF(V4947="","",INDEX(Fornecedores!$X$1:$X$6631,V4947))</f>
        <v/>
      </c>
      <c r="Y4947" s="4" t="str">
        <f t="shared" si="4"/>
        <v/>
      </c>
    </row>
    <row r="4948" spans="19:25">
      <c r="S4948" t="str">
        <f t="shared" si="0"/>
        <v/>
      </c>
      <c r="T4948" t="str">
        <f t="shared" si="1"/>
        <v/>
      </c>
      <c r="U4948" t="str">
        <f t="shared" si="2"/>
        <v/>
      </c>
      <c r="V4948" t="str">
        <f>IF(OR(U4948="",U4948="ERRO_CHAVE"),"",IFERROR(MATCH(U4948,Fornecedores!$AF$1:$AF$6631,0),""))</f>
        <v/>
      </c>
      <c r="W4948" t="str">
        <f t="shared" si="3"/>
        <v/>
      </c>
      <c r="X4948" s="4" t="str">
        <f>IF(V4948="","",INDEX(Fornecedores!$X$1:$X$6631,V4948))</f>
        <v/>
      </c>
      <c r="Y4948" s="4" t="str">
        <f t="shared" si="4"/>
        <v/>
      </c>
    </row>
    <row r="4949" spans="19:25">
      <c r="S4949" t="str">
        <f t="shared" si="0"/>
        <v/>
      </c>
      <c r="T4949" t="str">
        <f t="shared" si="1"/>
        <v/>
      </c>
      <c r="U4949" t="str">
        <f t="shared" si="2"/>
        <v/>
      </c>
      <c r="V4949" t="str">
        <f>IF(OR(U4949="",U4949="ERRO_CHAVE"),"",IFERROR(MATCH(U4949,Fornecedores!$AF$1:$AF$6631,0),""))</f>
        <v/>
      </c>
      <c r="W4949" t="str">
        <f t="shared" si="3"/>
        <v/>
      </c>
      <c r="X4949" s="4" t="str">
        <f>IF(V4949="","",INDEX(Fornecedores!$X$1:$X$6631,V4949))</f>
        <v/>
      </c>
      <c r="Y4949" s="4" t="str">
        <f t="shared" si="4"/>
        <v/>
      </c>
    </row>
    <row r="4950" spans="19:25">
      <c r="S4950" t="str">
        <f t="shared" si="0"/>
        <v/>
      </c>
      <c r="T4950" t="str">
        <f t="shared" si="1"/>
        <v/>
      </c>
      <c r="U4950" t="str">
        <f t="shared" si="2"/>
        <v/>
      </c>
      <c r="V4950" t="str">
        <f>IF(OR(U4950="",U4950="ERRO_CHAVE"),"",IFERROR(MATCH(U4950,Fornecedores!$AF$1:$AF$6631,0),""))</f>
        <v/>
      </c>
      <c r="W4950" t="str">
        <f t="shared" si="3"/>
        <v/>
      </c>
      <c r="X4950" s="4" t="str">
        <f>IF(V4950="","",INDEX(Fornecedores!$X$1:$X$6631,V4950))</f>
        <v/>
      </c>
      <c r="Y4950" s="4" t="str">
        <f t="shared" si="4"/>
        <v/>
      </c>
    </row>
    <row r="4951" spans="19:25">
      <c r="S4951" t="str">
        <f t="shared" si="0"/>
        <v/>
      </c>
      <c r="T4951" t="str">
        <f t="shared" si="1"/>
        <v/>
      </c>
      <c r="U4951" t="str">
        <f t="shared" si="2"/>
        <v/>
      </c>
      <c r="V4951" t="str">
        <f>IF(OR(U4951="",U4951="ERRO_CHAVE"),"",IFERROR(MATCH(U4951,Fornecedores!$AF$1:$AF$6631,0),""))</f>
        <v/>
      </c>
      <c r="W4951" t="str">
        <f t="shared" si="3"/>
        <v/>
      </c>
      <c r="X4951" s="4" t="str">
        <f>IF(V4951="","",INDEX(Fornecedores!$X$1:$X$6631,V4951))</f>
        <v/>
      </c>
      <c r="Y4951" s="4" t="str">
        <f t="shared" si="4"/>
        <v/>
      </c>
    </row>
    <row r="4952" spans="19:25">
      <c r="S4952" t="str">
        <f t="shared" si="0"/>
        <v/>
      </c>
      <c r="T4952" t="str">
        <f t="shared" si="1"/>
        <v/>
      </c>
      <c r="U4952" t="str">
        <f t="shared" si="2"/>
        <v/>
      </c>
      <c r="V4952" t="str">
        <f>IF(OR(U4952="",U4952="ERRO_CHAVE"),"",IFERROR(MATCH(U4952,Fornecedores!$AF$1:$AF$6631,0),""))</f>
        <v/>
      </c>
      <c r="W4952" t="str">
        <f t="shared" si="3"/>
        <v/>
      </c>
      <c r="X4952" s="4" t="str">
        <f>IF(V4952="","",INDEX(Fornecedores!$X$1:$X$6631,V4952))</f>
        <v/>
      </c>
      <c r="Y4952" s="4" t="str">
        <f t="shared" si="4"/>
        <v/>
      </c>
    </row>
    <row r="4953" spans="19:25">
      <c r="S4953" t="str">
        <f t="shared" si="0"/>
        <v/>
      </c>
      <c r="T4953" t="str">
        <f t="shared" si="1"/>
        <v/>
      </c>
      <c r="U4953" t="str">
        <f t="shared" si="2"/>
        <v/>
      </c>
      <c r="V4953" t="str">
        <f>IF(OR(U4953="",U4953="ERRO_CHAVE"),"",IFERROR(MATCH(U4953,Fornecedores!$AF$1:$AF$6631,0),""))</f>
        <v/>
      </c>
      <c r="W4953" t="str">
        <f t="shared" si="3"/>
        <v/>
      </c>
      <c r="X4953" s="4" t="str">
        <f>IF(V4953="","",INDEX(Fornecedores!$X$1:$X$6631,V4953))</f>
        <v/>
      </c>
      <c r="Y4953" s="4" t="str">
        <f t="shared" si="4"/>
        <v/>
      </c>
    </row>
    <row r="4954" spans="19:25">
      <c r="S4954" t="str">
        <f t="shared" si="0"/>
        <v/>
      </c>
      <c r="T4954" t="str">
        <f t="shared" si="1"/>
        <v/>
      </c>
      <c r="U4954" t="str">
        <f t="shared" si="2"/>
        <v/>
      </c>
      <c r="V4954" t="str">
        <f>IF(OR(U4954="",U4954="ERRO_CHAVE"),"",IFERROR(MATCH(U4954,Fornecedores!$AF$1:$AF$6631,0),""))</f>
        <v/>
      </c>
      <c r="W4954" t="str">
        <f t="shared" si="3"/>
        <v/>
      </c>
      <c r="X4954" s="4" t="str">
        <f>IF(V4954="","",INDEX(Fornecedores!$X$1:$X$6631,V4954))</f>
        <v/>
      </c>
      <c r="Y4954" s="4" t="str">
        <f t="shared" si="4"/>
        <v/>
      </c>
    </row>
    <row r="4955" spans="19:25">
      <c r="S4955" t="str">
        <f t="shared" si="0"/>
        <v/>
      </c>
      <c r="T4955" t="str">
        <f t="shared" si="1"/>
        <v/>
      </c>
      <c r="U4955" t="str">
        <f t="shared" si="2"/>
        <v/>
      </c>
      <c r="V4955" t="str">
        <f>IF(OR(U4955="",U4955="ERRO_CHAVE"),"",IFERROR(MATCH(U4955,Fornecedores!$AF$1:$AF$6631,0),""))</f>
        <v/>
      </c>
      <c r="W4955" t="str">
        <f t="shared" si="3"/>
        <v/>
      </c>
      <c r="X4955" s="4" t="str">
        <f>IF(V4955="","",INDEX(Fornecedores!$X$1:$X$6631,V4955))</f>
        <v/>
      </c>
      <c r="Y4955" s="4" t="str">
        <f t="shared" si="4"/>
        <v/>
      </c>
    </row>
    <row r="4956" spans="19:25">
      <c r="S4956" t="str">
        <f t="shared" si="0"/>
        <v/>
      </c>
      <c r="T4956" t="str">
        <f t="shared" si="1"/>
        <v/>
      </c>
      <c r="U4956" t="str">
        <f t="shared" si="2"/>
        <v/>
      </c>
      <c r="V4956" t="str">
        <f>IF(OR(U4956="",U4956="ERRO_CHAVE"),"",IFERROR(MATCH(U4956,Fornecedores!$AF$1:$AF$6631,0),""))</f>
        <v/>
      </c>
      <c r="W4956" t="str">
        <f t="shared" si="3"/>
        <v/>
      </c>
      <c r="X4956" s="4" t="str">
        <f>IF(V4956="","",INDEX(Fornecedores!$X$1:$X$6631,V4956))</f>
        <v/>
      </c>
      <c r="Y4956" s="4" t="str">
        <f t="shared" si="4"/>
        <v/>
      </c>
    </row>
    <row r="4957" spans="19:25">
      <c r="S4957" t="str">
        <f t="shared" si="0"/>
        <v/>
      </c>
      <c r="T4957" t="str">
        <f t="shared" si="1"/>
        <v/>
      </c>
      <c r="U4957" t="str">
        <f t="shared" si="2"/>
        <v/>
      </c>
      <c r="V4957" t="str">
        <f>IF(OR(U4957="",U4957="ERRO_CHAVE"),"",IFERROR(MATCH(U4957,Fornecedores!$AF$1:$AF$6631,0),""))</f>
        <v/>
      </c>
      <c r="W4957" t="str">
        <f t="shared" si="3"/>
        <v/>
      </c>
      <c r="X4957" s="4" t="str">
        <f>IF(V4957="","",INDEX(Fornecedores!$X$1:$X$6631,V4957))</f>
        <v/>
      </c>
      <c r="Y4957" s="4" t="str">
        <f t="shared" si="4"/>
        <v/>
      </c>
    </row>
    <row r="4958" spans="19:25">
      <c r="S4958" t="str">
        <f t="shared" si="0"/>
        <v/>
      </c>
      <c r="T4958" t="str">
        <f t="shared" si="1"/>
        <v/>
      </c>
      <c r="U4958" t="str">
        <f t="shared" si="2"/>
        <v/>
      </c>
      <c r="V4958" t="str">
        <f>IF(OR(U4958="",U4958="ERRO_CHAVE"),"",IFERROR(MATCH(U4958,Fornecedores!$AF$1:$AF$6631,0),""))</f>
        <v/>
      </c>
      <c r="W4958" t="str">
        <f t="shared" si="3"/>
        <v/>
      </c>
      <c r="X4958" s="4" t="str">
        <f>IF(V4958="","",INDEX(Fornecedores!$X$1:$X$6631,V4958))</f>
        <v/>
      </c>
      <c r="Y4958" s="4" t="str">
        <f t="shared" si="4"/>
        <v/>
      </c>
    </row>
    <row r="4959" spans="19:25">
      <c r="S4959" t="str">
        <f t="shared" si="0"/>
        <v/>
      </c>
      <c r="T4959" t="str">
        <f t="shared" si="1"/>
        <v/>
      </c>
      <c r="U4959" t="str">
        <f t="shared" si="2"/>
        <v/>
      </c>
      <c r="V4959" t="str">
        <f>IF(OR(U4959="",U4959="ERRO_CHAVE"),"",IFERROR(MATCH(U4959,Fornecedores!$AF$1:$AF$6631,0),""))</f>
        <v/>
      </c>
      <c r="W4959" t="str">
        <f t="shared" si="3"/>
        <v/>
      </c>
      <c r="X4959" s="4" t="str">
        <f>IF(V4959="","",INDEX(Fornecedores!$X$1:$X$6631,V4959))</f>
        <v/>
      </c>
      <c r="Y4959" s="4" t="str">
        <f t="shared" si="4"/>
        <v/>
      </c>
    </row>
    <row r="4960" spans="19:25">
      <c r="S4960" t="str">
        <f t="shared" si="0"/>
        <v/>
      </c>
      <c r="T4960" t="str">
        <f t="shared" si="1"/>
        <v/>
      </c>
      <c r="U4960" t="str">
        <f t="shared" si="2"/>
        <v/>
      </c>
      <c r="V4960" t="str">
        <f>IF(OR(U4960="",U4960="ERRO_CHAVE"),"",IFERROR(MATCH(U4960,Fornecedores!$AF$1:$AF$6631,0),""))</f>
        <v/>
      </c>
      <c r="W4960" t="str">
        <f t="shared" si="3"/>
        <v/>
      </c>
      <c r="X4960" s="4" t="str">
        <f>IF(V4960="","",INDEX(Fornecedores!$X$1:$X$6631,V4960))</f>
        <v/>
      </c>
      <c r="Y4960" s="4" t="str">
        <f t="shared" si="4"/>
        <v/>
      </c>
    </row>
    <row r="4961" spans="19:25">
      <c r="S4961" t="str">
        <f t="shared" si="0"/>
        <v/>
      </c>
      <c r="T4961" t="str">
        <f t="shared" si="1"/>
        <v/>
      </c>
      <c r="U4961" t="str">
        <f t="shared" si="2"/>
        <v/>
      </c>
      <c r="V4961" t="str">
        <f>IF(OR(U4961="",U4961="ERRO_CHAVE"),"",IFERROR(MATCH(U4961,Fornecedores!$AF$1:$AF$6631,0),""))</f>
        <v/>
      </c>
      <c r="W4961" t="str">
        <f t="shared" si="3"/>
        <v/>
      </c>
      <c r="X4961" s="4" t="str">
        <f>IF(V4961="","",INDEX(Fornecedores!$X$1:$X$6631,V4961))</f>
        <v/>
      </c>
      <c r="Y4961" s="4" t="str">
        <f t="shared" si="4"/>
        <v/>
      </c>
    </row>
    <row r="4962" spans="19:25">
      <c r="S4962" t="str">
        <f t="shared" si="0"/>
        <v/>
      </c>
      <c r="T4962" t="str">
        <f t="shared" si="1"/>
        <v/>
      </c>
      <c r="U4962" t="str">
        <f t="shared" si="2"/>
        <v/>
      </c>
      <c r="V4962" t="str">
        <f>IF(OR(U4962="",U4962="ERRO_CHAVE"),"",IFERROR(MATCH(U4962,Fornecedores!$AF$1:$AF$6631,0),""))</f>
        <v/>
      </c>
      <c r="W4962" t="str">
        <f t="shared" si="3"/>
        <v/>
      </c>
      <c r="X4962" s="4" t="str">
        <f>IF(V4962="","",INDEX(Fornecedores!$X$1:$X$6631,V4962))</f>
        <v/>
      </c>
      <c r="Y4962" s="4" t="str">
        <f t="shared" si="4"/>
        <v/>
      </c>
    </row>
    <row r="4963" spans="19:25">
      <c r="S4963" t="str">
        <f t="shared" si="0"/>
        <v/>
      </c>
      <c r="T4963" t="str">
        <f t="shared" si="1"/>
        <v/>
      </c>
      <c r="U4963" t="str">
        <f t="shared" si="2"/>
        <v/>
      </c>
      <c r="V4963" t="str">
        <f>IF(OR(U4963="",U4963="ERRO_CHAVE"),"",IFERROR(MATCH(U4963,Fornecedores!$AF$1:$AF$6631,0),""))</f>
        <v/>
      </c>
      <c r="W4963" t="str">
        <f t="shared" si="3"/>
        <v/>
      </c>
      <c r="X4963" s="4" t="str">
        <f>IF(V4963="","",INDEX(Fornecedores!$X$1:$X$6631,V4963))</f>
        <v/>
      </c>
      <c r="Y4963" s="4" t="str">
        <f t="shared" si="4"/>
        <v/>
      </c>
    </row>
    <row r="4964" spans="19:25">
      <c r="S4964" t="str">
        <f t="shared" si="0"/>
        <v/>
      </c>
      <c r="T4964" t="str">
        <f t="shared" si="1"/>
        <v/>
      </c>
      <c r="U4964" t="str">
        <f t="shared" si="2"/>
        <v/>
      </c>
      <c r="V4964" t="str">
        <f>IF(OR(U4964="",U4964="ERRO_CHAVE"),"",IFERROR(MATCH(U4964,Fornecedores!$AF$1:$AF$6631,0),""))</f>
        <v/>
      </c>
      <c r="W4964" t="str">
        <f t="shared" si="3"/>
        <v/>
      </c>
      <c r="X4964" s="4" t="str">
        <f>IF(V4964="","",INDEX(Fornecedores!$X$1:$X$6631,V4964))</f>
        <v/>
      </c>
      <c r="Y4964" s="4" t="str">
        <f t="shared" si="4"/>
        <v/>
      </c>
    </row>
    <row r="4965" spans="19:25">
      <c r="S4965" t="str">
        <f t="shared" si="0"/>
        <v/>
      </c>
      <c r="T4965" t="str">
        <f t="shared" si="1"/>
        <v/>
      </c>
      <c r="U4965" t="str">
        <f t="shared" si="2"/>
        <v/>
      </c>
      <c r="V4965" t="str">
        <f>IF(OR(U4965="",U4965="ERRO_CHAVE"),"",IFERROR(MATCH(U4965,Fornecedores!$AF$1:$AF$6631,0),""))</f>
        <v/>
      </c>
      <c r="W4965" t="str">
        <f t="shared" si="3"/>
        <v/>
      </c>
      <c r="X4965" s="4" t="str">
        <f>IF(V4965="","",INDEX(Fornecedores!$X$1:$X$6631,V4965))</f>
        <v/>
      </c>
      <c r="Y4965" s="4" t="str">
        <f t="shared" si="4"/>
        <v/>
      </c>
    </row>
    <row r="4966" spans="19:25">
      <c r="S4966" t="str">
        <f t="shared" si="0"/>
        <v/>
      </c>
      <c r="T4966" t="str">
        <f t="shared" si="1"/>
        <v/>
      </c>
      <c r="U4966" t="str">
        <f t="shared" si="2"/>
        <v/>
      </c>
      <c r="V4966" t="str">
        <f>IF(OR(U4966="",U4966="ERRO_CHAVE"),"",IFERROR(MATCH(U4966,Fornecedores!$AF$1:$AF$6631,0),""))</f>
        <v/>
      </c>
      <c r="W4966" t="str">
        <f t="shared" si="3"/>
        <v/>
      </c>
      <c r="X4966" s="4" t="str">
        <f>IF(V4966="","",INDEX(Fornecedores!$X$1:$X$6631,V4966))</f>
        <v/>
      </c>
      <c r="Y4966" s="4" t="str">
        <f t="shared" si="4"/>
        <v/>
      </c>
    </row>
    <row r="4967" spans="19:25">
      <c r="S4967" t="str">
        <f t="shared" si="0"/>
        <v/>
      </c>
      <c r="T4967" t="str">
        <f t="shared" si="1"/>
        <v/>
      </c>
      <c r="U4967" t="str">
        <f t="shared" si="2"/>
        <v/>
      </c>
      <c r="V4967" t="str">
        <f>IF(OR(U4967="",U4967="ERRO_CHAVE"),"",IFERROR(MATCH(U4967,Fornecedores!$AF$1:$AF$6631,0),""))</f>
        <v/>
      </c>
      <c r="W4967" t="str">
        <f t="shared" si="3"/>
        <v/>
      </c>
      <c r="X4967" s="4" t="str">
        <f>IF(V4967="","",INDEX(Fornecedores!$X$1:$X$6631,V4967))</f>
        <v/>
      </c>
      <c r="Y4967" s="4" t="str">
        <f t="shared" si="4"/>
        <v/>
      </c>
    </row>
    <row r="4968" spans="19:25">
      <c r="S4968" t="str">
        <f t="shared" si="0"/>
        <v/>
      </c>
      <c r="T4968" t="str">
        <f t="shared" si="1"/>
        <v/>
      </c>
      <c r="U4968" t="str">
        <f t="shared" si="2"/>
        <v/>
      </c>
      <c r="V4968" t="str">
        <f>IF(OR(U4968="",U4968="ERRO_CHAVE"),"",IFERROR(MATCH(U4968,Fornecedores!$AF$1:$AF$6631,0),""))</f>
        <v/>
      </c>
      <c r="W4968" t="str">
        <f t="shared" si="3"/>
        <v/>
      </c>
      <c r="X4968" s="4" t="str">
        <f>IF(V4968="","",INDEX(Fornecedores!$X$1:$X$6631,V4968))</f>
        <v/>
      </c>
      <c r="Y4968" s="4" t="str">
        <f t="shared" si="4"/>
        <v/>
      </c>
    </row>
    <row r="4969" spans="19:25">
      <c r="S4969" t="str">
        <f t="shared" si="0"/>
        <v/>
      </c>
      <c r="T4969" t="str">
        <f t="shared" si="1"/>
        <v/>
      </c>
      <c r="U4969" t="str">
        <f t="shared" si="2"/>
        <v/>
      </c>
      <c r="V4969" t="str">
        <f>IF(OR(U4969="",U4969="ERRO_CHAVE"),"",IFERROR(MATCH(U4969,Fornecedores!$AF$1:$AF$6631,0),""))</f>
        <v/>
      </c>
      <c r="W4969" t="str">
        <f t="shared" si="3"/>
        <v/>
      </c>
      <c r="X4969" s="4" t="str">
        <f>IF(V4969="","",INDEX(Fornecedores!$X$1:$X$6631,V4969))</f>
        <v/>
      </c>
      <c r="Y4969" s="4" t="str">
        <f t="shared" si="4"/>
        <v/>
      </c>
    </row>
    <row r="4970" spans="19:25">
      <c r="S4970" t="str">
        <f t="shared" si="0"/>
        <v/>
      </c>
      <c r="T4970" t="str">
        <f t="shared" si="1"/>
        <v/>
      </c>
      <c r="U4970" t="str">
        <f t="shared" si="2"/>
        <v/>
      </c>
      <c r="V4970" t="str">
        <f>IF(OR(U4970="",U4970="ERRO_CHAVE"),"",IFERROR(MATCH(U4970,Fornecedores!$AF$1:$AF$6631,0),""))</f>
        <v/>
      </c>
      <c r="W4970" t="str">
        <f t="shared" si="3"/>
        <v/>
      </c>
      <c r="X4970" s="4" t="str">
        <f>IF(V4970="","",INDEX(Fornecedores!$X$1:$X$6631,V4970))</f>
        <v/>
      </c>
      <c r="Y4970" s="4" t="str">
        <f t="shared" si="4"/>
        <v/>
      </c>
    </row>
    <row r="4971" spans="19:25">
      <c r="S4971" t="str">
        <f t="shared" si="0"/>
        <v/>
      </c>
      <c r="T4971" t="str">
        <f t="shared" si="1"/>
        <v/>
      </c>
      <c r="U4971" t="str">
        <f t="shared" si="2"/>
        <v/>
      </c>
      <c r="V4971" t="str">
        <f>IF(OR(U4971="",U4971="ERRO_CHAVE"),"",IFERROR(MATCH(U4971,Fornecedores!$AF$1:$AF$6631,0),""))</f>
        <v/>
      </c>
      <c r="W4971" t="str">
        <f t="shared" si="3"/>
        <v/>
      </c>
      <c r="X4971" s="4" t="str">
        <f>IF(V4971="","",INDEX(Fornecedores!$X$1:$X$6631,V4971))</f>
        <v/>
      </c>
      <c r="Y4971" s="4" t="str">
        <f t="shared" si="4"/>
        <v/>
      </c>
    </row>
    <row r="4972" spans="19:25">
      <c r="S4972" t="str">
        <f t="shared" si="0"/>
        <v/>
      </c>
      <c r="T4972" t="str">
        <f t="shared" si="1"/>
        <v/>
      </c>
      <c r="U4972" t="str">
        <f t="shared" si="2"/>
        <v/>
      </c>
      <c r="V4972" t="str">
        <f>IF(OR(U4972="",U4972="ERRO_CHAVE"),"",IFERROR(MATCH(U4972,Fornecedores!$AF$1:$AF$6631,0),""))</f>
        <v/>
      </c>
      <c r="W4972" t="str">
        <f t="shared" si="3"/>
        <v/>
      </c>
      <c r="X4972" s="4" t="str">
        <f>IF(V4972="","",INDEX(Fornecedores!$X$1:$X$6631,V4972))</f>
        <v/>
      </c>
      <c r="Y4972" s="4" t="str">
        <f t="shared" si="4"/>
        <v/>
      </c>
    </row>
    <row r="4973" spans="19:25">
      <c r="S4973" t="str">
        <f t="shared" si="0"/>
        <v/>
      </c>
      <c r="T4973" t="str">
        <f t="shared" si="1"/>
        <v/>
      </c>
      <c r="U4973" t="str">
        <f t="shared" si="2"/>
        <v/>
      </c>
      <c r="V4973" t="str">
        <f>IF(OR(U4973="",U4973="ERRO_CHAVE"),"",IFERROR(MATCH(U4973,Fornecedores!$AF$1:$AF$6631,0),""))</f>
        <v/>
      </c>
      <c r="W4973" t="str">
        <f t="shared" si="3"/>
        <v/>
      </c>
      <c r="X4973" s="4" t="str">
        <f>IF(V4973="","",INDEX(Fornecedores!$X$1:$X$6631,V4973))</f>
        <v/>
      </c>
      <c r="Y4973" s="4" t="str">
        <f t="shared" si="4"/>
        <v/>
      </c>
    </row>
    <row r="4974" spans="19:25">
      <c r="S4974" t="str">
        <f t="shared" si="0"/>
        <v/>
      </c>
      <c r="T4974" t="str">
        <f t="shared" si="1"/>
        <v/>
      </c>
      <c r="U4974" t="str">
        <f t="shared" si="2"/>
        <v/>
      </c>
      <c r="V4974" t="str">
        <f>IF(OR(U4974="",U4974="ERRO_CHAVE"),"",IFERROR(MATCH(U4974,Fornecedores!$AF$1:$AF$6631,0),""))</f>
        <v/>
      </c>
      <c r="W4974" t="str">
        <f t="shared" si="3"/>
        <v/>
      </c>
      <c r="X4974" s="4" t="str">
        <f>IF(V4974="","",INDEX(Fornecedores!$X$1:$X$6631,V4974))</f>
        <v/>
      </c>
      <c r="Y4974" s="4" t="str">
        <f t="shared" si="4"/>
        <v/>
      </c>
    </row>
    <row r="4975" spans="19:25">
      <c r="S4975" t="str">
        <f t="shared" si="0"/>
        <v/>
      </c>
      <c r="T4975" t="str">
        <f t="shared" si="1"/>
        <v/>
      </c>
      <c r="U4975" t="str">
        <f t="shared" si="2"/>
        <v/>
      </c>
      <c r="V4975" t="str">
        <f>IF(OR(U4975="",U4975="ERRO_CHAVE"),"",IFERROR(MATCH(U4975,Fornecedores!$AF$1:$AF$6631,0),""))</f>
        <v/>
      </c>
      <c r="W4975" t="str">
        <f t="shared" si="3"/>
        <v/>
      </c>
      <c r="X4975" s="4" t="str">
        <f>IF(V4975="","",INDEX(Fornecedores!$X$1:$X$6631,V4975))</f>
        <v/>
      </c>
      <c r="Y4975" s="4" t="str">
        <f t="shared" si="4"/>
        <v/>
      </c>
    </row>
    <row r="4976" spans="19:25">
      <c r="S4976" t="str">
        <f t="shared" si="0"/>
        <v/>
      </c>
      <c r="T4976" t="str">
        <f t="shared" si="1"/>
        <v/>
      </c>
      <c r="U4976" t="str">
        <f t="shared" si="2"/>
        <v/>
      </c>
      <c r="V4976" t="str">
        <f>IF(OR(U4976="",U4976="ERRO_CHAVE"),"",IFERROR(MATCH(U4976,Fornecedores!$AF$1:$AF$6631,0),""))</f>
        <v/>
      </c>
      <c r="W4976" t="str">
        <f t="shared" si="3"/>
        <v/>
      </c>
      <c r="X4976" s="4" t="str">
        <f>IF(V4976="","",INDEX(Fornecedores!$X$1:$X$6631,V4976))</f>
        <v/>
      </c>
      <c r="Y4976" s="4" t="str">
        <f t="shared" si="4"/>
        <v/>
      </c>
    </row>
    <row r="4977" spans="19:25">
      <c r="S4977" t="str">
        <f t="shared" si="0"/>
        <v/>
      </c>
      <c r="T4977" t="str">
        <f t="shared" si="1"/>
        <v/>
      </c>
      <c r="U4977" t="str">
        <f t="shared" si="2"/>
        <v/>
      </c>
      <c r="V4977" t="str">
        <f>IF(OR(U4977="",U4977="ERRO_CHAVE"),"",IFERROR(MATCH(U4977,Fornecedores!$AF$1:$AF$6631,0),""))</f>
        <v/>
      </c>
      <c r="W4977" t="str">
        <f t="shared" si="3"/>
        <v/>
      </c>
      <c r="X4977" s="4" t="str">
        <f>IF(V4977="","",INDEX(Fornecedores!$X$1:$X$6631,V4977))</f>
        <v/>
      </c>
      <c r="Y4977" s="4" t="str">
        <f t="shared" si="4"/>
        <v/>
      </c>
    </row>
    <row r="4978" spans="19:25">
      <c r="S4978" t="str">
        <f t="shared" si="0"/>
        <v/>
      </c>
      <c r="T4978" t="str">
        <f t="shared" si="1"/>
        <v/>
      </c>
      <c r="U4978" t="str">
        <f t="shared" si="2"/>
        <v/>
      </c>
      <c r="V4978" t="str">
        <f>IF(OR(U4978="",U4978="ERRO_CHAVE"),"",IFERROR(MATCH(U4978,Fornecedores!$AF$1:$AF$6631,0),""))</f>
        <v/>
      </c>
      <c r="W4978" t="str">
        <f t="shared" si="3"/>
        <v/>
      </c>
      <c r="X4978" s="4" t="str">
        <f>IF(V4978="","",INDEX(Fornecedores!$X$1:$X$6631,V4978))</f>
        <v/>
      </c>
      <c r="Y4978" s="4" t="str">
        <f t="shared" si="4"/>
        <v/>
      </c>
    </row>
    <row r="4979" spans="19:25">
      <c r="S4979" t="str">
        <f t="shared" si="0"/>
        <v/>
      </c>
      <c r="T4979" t="str">
        <f t="shared" si="1"/>
        <v/>
      </c>
      <c r="U4979" t="str">
        <f t="shared" si="2"/>
        <v/>
      </c>
      <c r="V4979" t="str">
        <f>IF(OR(U4979="",U4979="ERRO_CHAVE"),"",IFERROR(MATCH(U4979,Fornecedores!$AF$1:$AF$6631,0),""))</f>
        <v/>
      </c>
      <c r="W4979" t="str">
        <f t="shared" si="3"/>
        <v/>
      </c>
      <c r="X4979" s="4" t="str">
        <f>IF(V4979="","",INDEX(Fornecedores!$X$1:$X$6631,V4979))</f>
        <v/>
      </c>
      <c r="Y4979" s="4" t="str">
        <f t="shared" si="4"/>
        <v/>
      </c>
    </row>
    <row r="4980" spans="19:25">
      <c r="S4980" t="str">
        <f t="shared" si="0"/>
        <v/>
      </c>
      <c r="T4980" t="str">
        <f t="shared" si="1"/>
        <v/>
      </c>
      <c r="U4980" t="str">
        <f t="shared" si="2"/>
        <v/>
      </c>
      <c r="V4980" t="str">
        <f>IF(OR(U4980="",U4980="ERRO_CHAVE"),"",IFERROR(MATCH(U4980,Fornecedores!$AF$1:$AF$6631,0),""))</f>
        <v/>
      </c>
      <c r="W4980" t="str">
        <f t="shared" si="3"/>
        <v/>
      </c>
      <c r="X4980" s="4" t="str">
        <f>IF(V4980="","",INDEX(Fornecedores!$X$1:$X$6631,V4980))</f>
        <v/>
      </c>
      <c r="Y4980" s="4" t="str">
        <f t="shared" si="4"/>
        <v/>
      </c>
    </row>
    <row r="4981" spans="19:25">
      <c r="S4981" t="str">
        <f t="shared" si="0"/>
        <v/>
      </c>
      <c r="T4981" t="str">
        <f t="shared" si="1"/>
        <v/>
      </c>
      <c r="U4981" t="str">
        <f t="shared" si="2"/>
        <v/>
      </c>
      <c r="V4981" t="str">
        <f>IF(OR(U4981="",U4981="ERRO_CHAVE"),"",IFERROR(MATCH(U4981,Fornecedores!$AF$1:$AF$6631,0),""))</f>
        <v/>
      </c>
      <c r="W4981" t="str">
        <f t="shared" si="3"/>
        <v/>
      </c>
      <c r="X4981" s="4" t="str">
        <f>IF(V4981="","",INDEX(Fornecedores!$X$1:$X$6631,V4981))</f>
        <v/>
      </c>
      <c r="Y4981" s="4" t="str">
        <f t="shared" si="4"/>
        <v/>
      </c>
    </row>
    <row r="4982" spans="19:25">
      <c r="S4982" t="str">
        <f t="shared" si="0"/>
        <v/>
      </c>
      <c r="T4982" t="str">
        <f t="shared" si="1"/>
        <v/>
      </c>
      <c r="U4982" t="str">
        <f t="shared" si="2"/>
        <v/>
      </c>
      <c r="V4982" t="str">
        <f>IF(OR(U4982="",U4982="ERRO_CHAVE"),"",IFERROR(MATCH(U4982,Fornecedores!$AF$1:$AF$6631,0),""))</f>
        <v/>
      </c>
      <c r="W4982" t="str">
        <f t="shared" si="3"/>
        <v/>
      </c>
      <c r="X4982" s="4" t="str">
        <f>IF(V4982="","",INDEX(Fornecedores!$X$1:$X$6631,V4982))</f>
        <v/>
      </c>
      <c r="Y4982" s="4" t="str">
        <f t="shared" si="4"/>
        <v/>
      </c>
    </row>
    <row r="4983" spans="19:25">
      <c r="S4983" t="str">
        <f t="shared" si="0"/>
        <v/>
      </c>
      <c r="T4983" t="str">
        <f t="shared" si="1"/>
        <v/>
      </c>
      <c r="U4983" t="str">
        <f t="shared" si="2"/>
        <v/>
      </c>
      <c r="V4983" t="str">
        <f>IF(OR(U4983="",U4983="ERRO_CHAVE"),"",IFERROR(MATCH(U4983,Fornecedores!$AF$1:$AF$6631,0),""))</f>
        <v/>
      </c>
      <c r="W4983" t="str">
        <f t="shared" si="3"/>
        <v/>
      </c>
      <c r="X4983" s="4" t="str">
        <f>IF(V4983="","",INDEX(Fornecedores!$X$1:$X$6631,V4983))</f>
        <v/>
      </c>
      <c r="Y4983" s="4" t="str">
        <f t="shared" si="4"/>
        <v/>
      </c>
    </row>
    <row r="4984" spans="19:25">
      <c r="S4984" t="str">
        <f t="shared" si="0"/>
        <v/>
      </c>
      <c r="T4984" t="str">
        <f t="shared" si="1"/>
        <v/>
      </c>
      <c r="U4984" t="str">
        <f t="shared" si="2"/>
        <v/>
      </c>
      <c r="V4984" t="str">
        <f>IF(OR(U4984="",U4984="ERRO_CHAVE"),"",IFERROR(MATCH(U4984,Fornecedores!$AF$1:$AF$6631,0),""))</f>
        <v/>
      </c>
      <c r="W4984" t="str">
        <f t="shared" si="3"/>
        <v/>
      </c>
      <c r="X4984" s="4" t="str">
        <f>IF(V4984="","",INDEX(Fornecedores!$X$1:$X$6631,V4984))</f>
        <v/>
      </c>
      <c r="Y4984" s="4" t="str">
        <f t="shared" si="4"/>
        <v/>
      </c>
    </row>
    <row r="4985" spans="19:25">
      <c r="S4985" t="str">
        <f t="shared" si="0"/>
        <v/>
      </c>
      <c r="T4985" t="str">
        <f t="shared" si="1"/>
        <v/>
      </c>
      <c r="U4985" t="str">
        <f t="shared" si="2"/>
        <v/>
      </c>
      <c r="V4985" t="str">
        <f>IF(OR(U4985="",U4985="ERRO_CHAVE"),"",IFERROR(MATCH(U4985,Fornecedores!$AF$1:$AF$6631,0),""))</f>
        <v/>
      </c>
      <c r="W4985" t="str">
        <f t="shared" si="3"/>
        <v/>
      </c>
      <c r="X4985" s="4" t="str">
        <f>IF(V4985="","",INDEX(Fornecedores!$X$1:$X$6631,V4985))</f>
        <v/>
      </c>
      <c r="Y4985" s="4" t="str">
        <f t="shared" si="4"/>
        <v/>
      </c>
    </row>
    <row r="4986" spans="19:25">
      <c r="S4986" t="str">
        <f t="shared" si="0"/>
        <v/>
      </c>
      <c r="T4986" t="str">
        <f t="shared" si="1"/>
        <v/>
      </c>
      <c r="U4986" t="str">
        <f t="shared" si="2"/>
        <v/>
      </c>
      <c r="V4986" t="str">
        <f>IF(OR(U4986="",U4986="ERRO_CHAVE"),"",IFERROR(MATCH(U4986,Fornecedores!$AF$1:$AF$6631,0),""))</f>
        <v/>
      </c>
      <c r="W4986" t="str">
        <f t="shared" si="3"/>
        <v/>
      </c>
      <c r="X4986" s="4" t="str">
        <f>IF(V4986="","",INDEX(Fornecedores!$X$1:$X$6631,V4986))</f>
        <v/>
      </c>
      <c r="Y4986" s="4" t="str">
        <f t="shared" si="4"/>
        <v/>
      </c>
    </row>
    <row r="4987" spans="19:25">
      <c r="S4987" t="str">
        <f t="shared" si="0"/>
        <v/>
      </c>
      <c r="T4987" t="str">
        <f t="shared" si="1"/>
        <v/>
      </c>
      <c r="U4987" t="str">
        <f t="shared" si="2"/>
        <v/>
      </c>
      <c r="V4987" t="str">
        <f>IF(OR(U4987="",U4987="ERRO_CHAVE"),"",IFERROR(MATCH(U4987,Fornecedores!$AF$1:$AF$6631,0),""))</f>
        <v/>
      </c>
      <c r="W4987" t="str">
        <f t="shared" si="3"/>
        <v/>
      </c>
      <c r="X4987" s="4" t="str">
        <f>IF(V4987="","",INDEX(Fornecedores!$X$1:$X$6631,V4987))</f>
        <v/>
      </c>
      <c r="Y4987" s="4" t="str">
        <f t="shared" si="4"/>
        <v/>
      </c>
    </row>
    <row r="4988" spans="19:25">
      <c r="S4988" t="str">
        <f t="shared" si="0"/>
        <v/>
      </c>
      <c r="T4988" t="str">
        <f t="shared" si="1"/>
        <v/>
      </c>
      <c r="U4988" t="str">
        <f t="shared" si="2"/>
        <v/>
      </c>
      <c r="V4988" t="str">
        <f>IF(OR(U4988="",U4988="ERRO_CHAVE"),"",IFERROR(MATCH(U4988,Fornecedores!$AF$1:$AF$6631,0),""))</f>
        <v/>
      </c>
      <c r="W4988" t="str">
        <f t="shared" si="3"/>
        <v/>
      </c>
      <c r="X4988" s="4" t="str">
        <f>IF(V4988="","",INDEX(Fornecedores!$X$1:$X$6631,V4988))</f>
        <v/>
      </c>
      <c r="Y4988" s="4" t="str">
        <f t="shared" si="4"/>
        <v/>
      </c>
    </row>
    <row r="4989" spans="19:25">
      <c r="S4989" t="str">
        <f t="shared" si="0"/>
        <v/>
      </c>
      <c r="T4989" t="str">
        <f t="shared" si="1"/>
        <v/>
      </c>
      <c r="U4989" t="str">
        <f t="shared" si="2"/>
        <v/>
      </c>
      <c r="V4989" t="str">
        <f>IF(OR(U4989="",U4989="ERRO_CHAVE"),"",IFERROR(MATCH(U4989,Fornecedores!$AF$1:$AF$6631,0),""))</f>
        <v/>
      </c>
      <c r="W4989" t="str">
        <f t="shared" si="3"/>
        <v/>
      </c>
      <c r="X4989" s="4" t="str">
        <f>IF(V4989="","",INDEX(Fornecedores!$X$1:$X$6631,V4989))</f>
        <v/>
      </c>
      <c r="Y4989" s="4" t="str">
        <f t="shared" si="4"/>
        <v/>
      </c>
    </row>
    <row r="4990" spans="19:25">
      <c r="S4990" t="str">
        <f t="shared" si="0"/>
        <v/>
      </c>
      <c r="T4990" t="str">
        <f t="shared" si="1"/>
        <v/>
      </c>
      <c r="U4990" t="str">
        <f t="shared" si="2"/>
        <v/>
      </c>
      <c r="V4990" t="str">
        <f>IF(OR(U4990="",U4990="ERRO_CHAVE"),"",IFERROR(MATCH(U4990,Fornecedores!$AF$1:$AF$6631,0),""))</f>
        <v/>
      </c>
      <c r="W4990" t="str">
        <f t="shared" si="3"/>
        <v/>
      </c>
      <c r="X4990" s="4" t="str">
        <f>IF(V4990="","",INDEX(Fornecedores!$X$1:$X$6631,V4990))</f>
        <v/>
      </c>
      <c r="Y4990" s="4" t="str">
        <f t="shared" si="4"/>
        <v/>
      </c>
    </row>
    <row r="4991" spans="19:25">
      <c r="S4991" t="str">
        <f t="shared" si="0"/>
        <v/>
      </c>
      <c r="T4991" t="str">
        <f t="shared" si="1"/>
        <v/>
      </c>
      <c r="U4991" t="str">
        <f t="shared" si="2"/>
        <v/>
      </c>
      <c r="V4991" t="str">
        <f>IF(OR(U4991="",U4991="ERRO_CHAVE"),"",IFERROR(MATCH(U4991,Fornecedores!$AF$1:$AF$6631,0),""))</f>
        <v/>
      </c>
      <c r="W4991" t="str">
        <f t="shared" si="3"/>
        <v/>
      </c>
      <c r="X4991" s="4" t="str">
        <f>IF(V4991="","",INDEX(Fornecedores!$X$1:$X$6631,V4991))</f>
        <v/>
      </c>
      <c r="Y4991" s="4" t="str">
        <f t="shared" si="4"/>
        <v/>
      </c>
    </row>
    <row r="4992" spans="19:25">
      <c r="S4992" t="str">
        <f t="shared" si="0"/>
        <v/>
      </c>
      <c r="T4992" t="str">
        <f t="shared" si="1"/>
        <v/>
      </c>
      <c r="U4992" t="str">
        <f t="shared" si="2"/>
        <v/>
      </c>
      <c r="V4992" t="str">
        <f>IF(OR(U4992="",U4992="ERRO_CHAVE"),"",IFERROR(MATCH(U4992,Fornecedores!$AF$1:$AF$6631,0),""))</f>
        <v/>
      </c>
      <c r="W4992" t="str">
        <f t="shared" si="3"/>
        <v/>
      </c>
      <c r="X4992" s="4" t="str">
        <f>IF(V4992="","",INDEX(Fornecedores!$X$1:$X$6631,V4992))</f>
        <v/>
      </c>
      <c r="Y4992" s="4" t="str">
        <f t="shared" si="4"/>
        <v/>
      </c>
    </row>
    <row r="4993" spans="19:25">
      <c r="S4993" t="str">
        <f t="shared" si="0"/>
        <v/>
      </c>
      <c r="T4993" t="str">
        <f t="shared" si="1"/>
        <v/>
      </c>
      <c r="U4993" t="str">
        <f t="shared" si="2"/>
        <v/>
      </c>
      <c r="V4993" t="str">
        <f>IF(OR(U4993="",U4993="ERRO_CHAVE"),"",IFERROR(MATCH(U4993,Fornecedores!$AF$1:$AF$6631,0),""))</f>
        <v/>
      </c>
      <c r="W4993" t="str">
        <f t="shared" si="3"/>
        <v/>
      </c>
      <c r="X4993" s="4" t="str">
        <f>IF(V4993="","",INDEX(Fornecedores!$X$1:$X$6631,V4993))</f>
        <v/>
      </c>
      <c r="Y4993" s="4" t="str">
        <f t="shared" si="4"/>
        <v/>
      </c>
    </row>
    <row r="4994" spans="19:25">
      <c r="S4994" t="str">
        <f t="shared" si="0"/>
        <v/>
      </c>
      <c r="T4994" t="str">
        <f t="shared" si="1"/>
        <v/>
      </c>
      <c r="U4994" t="str">
        <f t="shared" si="2"/>
        <v/>
      </c>
      <c r="V4994" t="str">
        <f>IF(OR(U4994="",U4994="ERRO_CHAVE"),"",IFERROR(MATCH(U4994,Fornecedores!$AF$1:$AF$6631,0),""))</f>
        <v/>
      </c>
      <c r="W4994" t="str">
        <f t="shared" si="3"/>
        <v/>
      </c>
      <c r="X4994" s="4" t="str">
        <f>IF(V4994="","",INDEX(Fornecedores!$X$1:$X$6631,V4994))</f>
        <v/>
      </c>
      <c r="Y4994" s="4" t="str">
        <f t="shared" si="4"/>
        <v/>
      </c>
    </row>
    <row r="4995" spans="19:25">
      <c r="S4995" t="str">
        <f t="shared" si="0"/>
        <v/>
      </c>
      <c r="T4995" t="str">
        <f t="shared" si="1"/>
        <v/>
      </c>
      <c r="U4995" t="str">
        <f t="shared" si="2"/>
        <v/>
      </c>
      <c r="V4995" t="str">
        <f>IF(OR(U4995="",U4995="ERRO_CHAVE"),"",IFERROR(MATCH(U4995,Fornecedores!$AF$1:$AF$6631,0),""))</f>
        <v/>
      </c>
      <c r="W4995" t="str">
        <f t="shared" si="3"/>
        <v/>
      </c>
      <c r="X4995" s="4" t="str">
        <f>IF(V4995="","",INDEX(Fornecedores!$X$1:$X$6631,V4995))</f>
        <v/>
      </c>
      <c r="Y4995" s="4" t="str">
        <f t="shared" si="4"/>
        <v/>
      </c>
    </row>
    <row r="4996" spans="19:25">
      <c r="S4996" t="str">
        <f t="shared" si="0"/>
        <v/>
      </c>
      <c r="T4996" t="str">
        <f t="shared" si="1"/>
        <v/>
      </c>
      <c r="U4996" t="str">
        <f t="shared" si="2"/>
        <v/>
      </c>
      <c r="V4996" t="str">
        <f>IF(OR(U4996="",U4996="ERRO_CHAVE"),"",IFERROR(MATCH(U4996,Fornecedores!$AF$1:$AF$6631,0),""))</f>
        <v/>
      </c>
      <c r="W4996" t="str">
        <f t="shared" si="3"/>
        <v/>
      </c>
      <c r="X4996" s="4" t="str">
        <f>IF(V4996="","",INDEX(Fornecedores!$X$1:$X$6631,V4996))</f>
        <v/>
      </c>
      <c r="Y4996" s="4" t="str">
        <f t="shared" si="4"/>
        <v/>
      </c>
    </row>
    <row r="4997" spans="19:25">
      <c r="S4997" t="str">
        <f t="shared" si="0"/>
        <v/>
      </c>
      <c r="T4997" t="str">
        <f t="shared" si="1"/>
        <v/>
      </c>
      <c r="U4997" t="str">
        <f t="shared" si="2"/>
        <v/>
      </c>
      <c r="V4997" t="str">
        <f>IF(OR(U4997="",U4997="ERRO_CHAVE"),"",IFERROR(MATCH(U4997,Fornecedores!$AF$1:$AF$6631,0),""))</f>
        <v/>
      </c>
      <c r="W4997" t="str">
        <f t="shared" si="3"/>
        <v/>
      </c>
      <c r="X4997" s="4" t="str">
        <f>IF(V4997="","",INDEX(Fornecedores!$X$1:$X$6631,V4997))</f>
        <v/>
      </c>
      <c r="Y4997" s="4" t="str">
        <f t="shared" si="4"/>
        <v/>
      </c>
    </row>
    <row r="4998" spans="19:25">
      <c r="S4998" t="str">
        <f t="shared" si="0"/>
        <v/>
      </c>
      <c r="T4998" t="str">
        <f t="shared" si="1"/>
        <v/>
      </c>
      <c r="U4998" t="str">
        <f t="shared" si="2"/>
        <v/>
      </c>
      <c r="V4998" t="str">
        <f>IF(OR(U4998="",U4998="ERRO_CHAVE"),"",IFERROR(MATCH(U4998,Fornecedores!$AF$1:$AF$6631,0),""))</f>
        <v/>
      </c>
      <c r="W4998" t="str">
        <f t="shared" si="3"/>
        <v/>
      </c>
      <c r="X4998" s="4" t="str">
        <f>IF(V4998="","",INDEX(Fornecedores!$X$1:$X$6631,V4998))</f>
        <v/>
      </c>
      <c r="Y4998" s="4" t="str">
        <f t="shared" si="4"/>
        <v/>
      </c>
    </row>
    <row r="4999" spans="19:25">
      <c r="S4999" t="str">
        <f t="shared" si="0"/>
        <v/>
      </c>
      <c r="T4999" t="str">
        <f t="shared" si="1"/>
        <v/>
      </c>
      <c r="U4999" t="str">
        <f t="shared" si="2"/>
        <v/>
      </c>
      <c r="V4999" t="str">
        <f>IF(OR(U4999="",U4999="ERRO_CHAVE"),"",IFERROR(MATCH(U4999,Fornecedores!$AF$1:$AF$6631,0),""))</f>
        <v/>
      </c>
      <c r="W4999" t="str">
        <f t="shared" si="3"/>
        <v/>
      </c>
      <c r="X4999" s="4" t="str">
        <f>IF(V4999="","",INDEX(Fornecedores!$X$1:$X$6631,V4999))</f>
        <v/>
      </c>
      <c r="Y4999" s="4" t="str">
        <f t="shared" si="4"/>
        <v/>
      </c>
    </row>
    <row r="5000" spans="19:25">
      <c r="S5000" t="str">
        <f t="shared" si="0"/>
        <v/>
      </c>
      <c r="T5000" t="str">
        <f t="shared" si="1"/>
        <v/>
      </c>
      <c r="U5000" t="str">
        <f t="shared" si="2"/>
        <v/>
      </c>
      <c r="V5000" t="str">
        <f>IF(OR(U5000="",U5000="ERRO_CHAVE"),"",IFERROR(MATCH(U5000,Fornecedores!$AF$1:$AF$6631,0),""))</f>
        <v/>
      </c>
      <c r="W5000" t="str">
        <f t="shared" si="3"/>
        <v/>
      </c>
      <c r="X5000" s="4" t="str">
        <f>IF(V5000="","",INDEX(Fornecedores!$X$1:$X$6631,V5000))</f>
        <v/>
      </c>
      <c r="Y5000" s="4" t="str">
        <f t="shared" si="4"/>
        <v/>
      </c>
    </row>
    <row r="5001" spans="19:25">
      <c r="S5001" t="str">
        <f t="shared" si="0"/>
        <v/>
      </c>
      <c r="T5001" t="str">
        <f t="shared" si="1"/>
        <v/>
      </c>
      <c r="U5001" t="str">
        <f t="shared" si="2"/>
        <v/>
      </c>
      <c r="V5001" t="str">
        <f>IF(OR(U5001="",U5001="ERRO_CHAVE"),"",IFERROR(MATCH(U5001,Fornecedores!$AF$1:$AF$6631,0),""))</f>
        <v/>
      </c>
      <c r="W5001" t="str">
        <f t="shared" si="3"/>
        <v/>
      </c>
      <c r="X5001" s="4" t="str">
        <f>IF(V5001="","",INDEX(Fornecedores!$X$1:$X$6631,V5001))</f>
        <v/>
      </c>
      <c r="Y5001" s="4" t="str">
        <f t="shared" si="4"/>
        <v/>
      </c>
    </row>
    <row r="5002" spans="19:25">
      <c r="S5002" t="str">
        <f t="shared" si="0"/>
        <v/>
      </c>
      <c r="T5002" t="str">
        <f t="shared" si="1"/>
        <v/>
      </c>
      <c r="U5002" t="str">
        <f t="shared" si="2"/>
        <v/>
      </c>
      <c r="V5002" t="str">
        <f>IF(OR(U5002="",U5002="ERRO_CHAVE"),"",IFERROR(MATCH(U5002,Fornecedores!$AF$1:$AF$6631,0),""))</f>
        <v/>
      </c>
      <c r="W5002" t="str">
        <f t="shared" si="3"/>
        <v/>
      </c>
      <c r="X5002" s="4" t="str">
        <f>IF(V5002="","",INDEX(Fornecedores!$X$1:$X$6631,V5002))</f>
        <v/>
      </c>
      <c r="Y5002" s="4" t="str">
        <f t="shared" si="4"/>
        <v/>
      </c>
    </row>
    <row r="5003" spans="19:25">
      <c r="S5003" t="str">
        <f t="shared" si="0"/>
        <v/>
      </c>
      <c r="T5003" t="str">
        <f t="shared" si="1"/>
        <v/>
      </c>
      <c r="U5003" t="str">
        <f t="shared" si="2"/>
        <v/>
      </c>
      <c r="V5003" t="str">
        <f>IF(OR(U5003="",U5003="ERRO_CHAVE"),"",IFERROR(MATCH(U5003,Fornecedores!$AF$1:$AF$6631,0),""))</f>
        <v/>
      </c>
      <c r="W5003" t="str">
        <f t="shared" si="3"/>
        <v/>
      </c>
      <c r="X5003" s="4" t="str">
        <f>IF(V5003="","",INDEX(Fornecedores!$X$1:$X$6631,V5003))</f>
        <v/>
      </c>
      <c r="Y5003" s="4" t="str">
        <f t="shared" si="4"/>
        <v/>
      </c>
    </row>
    <row r="5004" spans="19:25">
      <c r="S5004" t="str">
        <f t="shared" si="0"/>
        <v/>
      </c>
      <c r="T5004" t="str">
        <f t="shared" si="1"/>
        <v/>
      </c>
      <c r="U5004" t="str">
        <f t="shared" si="2"/>
        <v/>
      </c>
      <c r="V5004" t="str">
        <f>IF(OR(U5004="",U5004="ERRO_CHAVE"),"",IFERROR(MATCH(U5004,Fornecedores!$AF$1:$AF$6631,0),""))</f>
        <v/>
      </c>
      <c r="W5004" t="str">
        <f t="shared" si="3"/>
        <v/>
      </c>
      <c r="X5004" s="4" t="str">
        <f>IF(V5004="","",INDEX(Fornecedores!$X$1:$X$6631,V5004))</f>
        <v/>
      </c>
      <c r="Y5004" s="4" t="str">
        <f t="shared" si="4"/>
        <v/>
      </c>
    </row>
    <row r="5005" spans="19:25">
      <c r="S5005" t="str">
        <f t="shared" si="0"/>
        <v/>
      </c>
      <c r="T5005" t="str">
        <f t="shared" si="1"/>
        <v/>
      </c>
      <c r="U5005" t="str">
        <f t="shared" si="2"/>
        <v/>
      </c>
      <c r="V5005" t="str">
        <f>IF(OR(U5005="",U5005="ERRO_CHAVE"),"",IFERROR(MATCH(U5005,Fornecedores!$AF$1:$AF$6631,0),""))</f>
        <v/>
      </c>
      <c r="W5005" t="str">
        <f t="shared" si="3"/>
        <v/>
      </c>
      <c r="X5005" s="4" t="str">
        <f>IF(V5005="","",INDEX(Fornecedores!$X$1:$X$6631,V5005))</f>
        <v/>
      </c>
      <c r="Y5005" s="4" t="str">
        <f t="shared" si="4"/>
        <v/>
      </c>
    </row>
    <row r="5006" spans="19:25">
      <c r="S5006" t="str">
        <f t="shared" si="0"/>
        <v/>
      </c>
      <c r="T5006" t="str">
        <f t="shared" si="1"/>
        <v/>
      </c>
      <c r="U5006" t="str">
        <f t="shared" si="2"/>
        <v/>
      </c>
      <c r="V5006" t="str">
        <f>IF(OR(U5006="",U5006="ERRO_CHAVE"),"",IFERROR(MATCH(U5006,Fornecedores!$AF$1:$AF$6631,0),""))</f>
        <v/>
      </c>
      <c r="W5006" t="str">
        <f t="shared" si="3"/>
        <v/>
      </c>
      <c r="X5006" s="4" t="str">
        <f>IF(V5006="","",INDEX(Fornecedores!$X$1:$X$6631,V5006))</f>
        <v/>
      </c>
      <c r="Y5006" s="4" t="str">
        <f t="shared" si="4"/>
        <v/>
      </c>
    </row>
    <row r="5007" spans="19:25">
      <c r="S5007" t="str">
        <f t="shared" si="0"/>
        <v/>
      </c>
      <c r="T5007" t="str">
        <f t="shared" si="1"/>
        <v/>
      </c>
      <c r="U5007" t="str">
        <f t="shared" si="2"/>
        <v/>
      </c>
      <c r="V5007" t="str">
        <f>IF(OR(U5007="",U5007="ERRO_CHAVE"),"",IFERROR(MATCH(U5007,Fornecedores!$AF$1:$AF$6631,0),""))</f>
        <v/>
      </c>
      <c r="W5007" t="str">
        <f t="shared" si="3"/>
        <v/>
      </c>
      <c r="X5007" s="4" t="str">
        <f>IF(V5007="","",INDEX(Fornecedores!$X$1:$X$6631,V5007))</f>
        <v/>
      </c>
      <c r="Y5007" s="4" t="str">
        <f t="shared" si="4"/>
        <v/>
      </c>
    </row>
    <row r="5008" spans="19:25">
      <c r="S5008" t="str">
        <f t="shared" si="0"/>
        <v/>
      </c>
      <c r="T5008" t="str">
        <f t="shared" si="1"/>
        <v/>
      </c>
      <c r="U5008" t="str">
        <f t="shared" si="2"/>
        <v/>
      </c>
      <c r="V5008" t="str">
        <f>IF(OR(U5008="",U5008="ERRO_CHAVE"),"",IFERROR(MATCH(U5008,Fornecedores!$AF$1:$AF$6631,0),""))</f>
        <v/>
      </c>
      <c r="W5008" t="str">
        <f t="shared" si="3"/>
        <v/>
      </c>
      <c r="X5008" s="4" t="str">
        <f>IF(V5008="","",INDEX(Fornecedores!$X$1:$X$6631,V5008))</f>
        <v/>
      </c>
      <c r="Y5008" s="4" t="str">
        <f t="shared" si="4"/>
        <v/>
      </c>
    </row>
    <row r="5009" spans="19:25">
      <c r="S5009" t="str">
        <f t="shared" si="0"/>
        <v/>
      </c>
      <c r="T5009" t="str">
        <f t="shared" si="1"/>
        <v/>
      </c>
      <c r="U5009" t="str">
        <f t="shared" si="2"/>
        <v/>
      </c>
      <c r="V5009" t="str">
        <f>IF(OR(U5009="",U5009="ERRO_CHAVE"),"",IFERROR(MATCH(U5009,Fornecedores!$AF$1:$AF$6631,0),""))</f>
        <v/>
      </c>
      <c r="W5009" t="str">
        <f t="shared" si="3"/>
        <v/>
      </c>
      <c r="X5009" s="4" t="str">
        <f>IF(V5009="","",INDEX(Fornecedores!$X$1:$X$6631,V5009))</f>
        <v/>
      </c>
      <c r="Y5009" s="4" t="str">
        <f t="shared" si="4"/>
        <v/>
      </c>
    </row>
    <row r="5010" spans="19:25">
      <c r="S5010" t="str">
        <f t="shared" si="0"/>
        <v/>
      </c>
      <c r="T5010" t="str">
        <f t="shared" si="1"/>
        <v/>
      </c>
      <c r="U5010" t="str">
        <f t="shared" si="2"/>
        <v/>
      </c>
      <c r="V5010" t="str">
        <f>IF(OR(U5010="",U5010="ERRO_CHAVE"),"",IFERROR(MATCH(U5010,Fornecedores!$AF$1:$AF$6631,0),""))</f>
        <v/>
      </c>
      <c r="W5010" t="str">
        <f t="shared" si="3"/>
        <v/>
      </c>
      <c r="X5010" s="4" t="str">
        <f>IF(V5010="","",INDEX(Fornecedores!$X$1:$X$6631,V5010))</f>
        <v/>
      </c>
      <c r="Y5010" s="4" t="str">
        <f t="shared" si="4"/>
        <v/>
      </c>
    </row>
    <row r="5011" spans="19:25">
      <c r="S5011" t="str">
        <f t="shared" si="0"/>
        <v/>
      </c>
      <c r="T5011" t="str">
        <f t="shared" si="1"/>
        <v/>
      </c>
      <c r="U5011" t="str">
        <f t="shared" si="2"/>
        <v/>
      </c>
      <c r="V5011" t="str">
        <f>IF(OR(U5011="",U5011="ERRO_CHAVE"),"",IFERROR(MATCH(U5011,Fornecedores!$AF$1:$AF$6631,0),""))</f>
        <v/>
      </c>
      <c r="W5011" t="str">
        <f t="shared" si="3"/>
        <v/>
      </c>
      <c r="X5011" s="4" t="str">
        <f>IF(V5011="","",INDEX(Fornecedores!$X$1:$X$6631,V5011))</f>
        <v/>
      </c>
      <c r="Y5011" s="4" t="str">
        <f t="shared" si="4"/>
        <v/>
      </c>
    </row>
    <row r="5012" spans="19:25">
      <c r="S5012" t="str">
        <f t="shared" si="0"/>
        <v/>
      </c>
      <c r="T5012" t="str">
        <f t="shared" si="1"/>
        <v/>
      </c>
      <c r="U5012" t="str">
        <f t="shared" si="2"/>
        <v/>
      </c>
      <c r="V5012" t="str">
        <f>IF(OR(U5012="",U5012="ERRO_CHAVE"),"",IFERROR(MATCH(U5012,Fornecedores!$AF$1:$AF$6631,0),""))</f>
        <v/>
      </c>
      <c r="W5012" t="str">
        <f t="shared" si="3"/>
        <v/>
      </c>
      <c r="X5012" s="4" t="str">
        <f>IF(V5012="","",INDEX(Fornecedores!$X$1:$X$6631,V5012))</f>
        <v/>
      </c>
      <c r="Y5012" s="4" t="str">
        <f t="shared" si="4"/>
        <v/>
      </c>
    </row>
    <row r="5013" spans="19:25">
      <c r="S5013" t="str">
        <f t="shared" si="0"/>
        <v/>
      </c>
      <c r="T5013" t="str">
        <f t="shared" si="1"/>
        <v/>
      </c>
      <c r="U5013" t="str">
        <f t="shared" si="2"/>
        <v/>
      </c>
      <c r="V5013" t="str">
        <f>IF(OR(U5013="",U5013="ERRO_CHAVE"),"",IFERROR(MATCH(U5013,Fornecedores!$AF$1:$AF$6631,0),""))</f>
        <v/>
      </c>
      <c r="W5013" t="str">
        <f t="shared" si="3"/>
        <v/>
      </c>
      <c r="X5013" s="4" t="str">
        <f>IF(V5013="","",INDEX(Fornecedores!$X$1:$X$6631,V5013))</f>
        <v/>
      </c>
      <c r="Y5013" s="4" t="str">
        <f t="shared" si="4"/>
        <v/>
      </c>
    </row>
    <row r="5014" spans="19:25">
      <c r="S5014" t="str">
        <f t="shared" si="0"/>
        <v/>
      </c>
      <c r="T5014" t="str">
        <f t="shared" si="1"/>
        <v/>
      </c>
      <c r="U5014" t="str">
        <f t="shared" si="2"/>
        <v/>
      </c>
      <c r="V5014" t="str">
        <f>IF(OR(U5014="",U5014="ERRO_CHAVE"),"",IFERROR(MATCH(U5014,Fornecedores!$AF$1:$AF$6631,0),""))</f>
        <v/>
      </c>
      <c r="W5014" t="str">
        <f t="shared" si="3"/>
        <v/>
      </c>
      <c r="X5014" s="4" t="str">
        <f>IF(V5014="","",INDEX(Fornecedores!$X$1:$X$6631,V5014))</f>
        <v/>
      </c>
      <c r="Y5014" s="4" t="str">
        <f t="shared" si="4"/>
        <v/>
      </c>
    </row>
    <row r="5015" spans="19:25">
      <c r="S5015" t="str">
        <f t="shared" si="0"/>
        <v/>
      </c>
      <c r="T5015" t="str">
        <f t="shared" si="1"/>
        <v/>
      </c>
      <c r="U5015" t="str">
        <f t="shared" si="2"/>
        <v/>
      </c>
      <c r="V5015" t="str">
        <f>IF(OR(U5015="",U5015="ERRO_CHAVE"),"",IFERROR(MATCH(U5015,Fornecedores!$AF$1:$AF$6631,0),""))</f>
        <v/>
      </c>
      <c r="W5015" t="str">
        <f t="shared" si="3"/>
        <v/>
      </c>
      <c r="X5015" s="4" t="str">
        <f>IF(V5015="","",INDEX(Fornecedores!$X$1:$X$6631,V5015))</f>
        <v/>
      </c>
      <c r="Y5015" s="4" t="str">
        <f t="shared" si="4"/>
        <v/>
      </c>
    </row>
    <row r="5016" spans="19:25">
      <c r="S5016" t="str">
        <f t="shared" si="0"/>
        <v/>
      </c>
      <c r="T5016" t="str">
        <f t="shared" si="1"/>
        <v/>
      </c>
      <c r="U5016" t="str">
        <f t="shared" si="2"/>
        <v/>
      </c>
      <c r="V5016" t="str">
        <f>IF(OR(U5016="",U5016="ERRO_CHAVE"),"",IFERROR(MATCH(U5016,Fornecedores!$AF$1:$AF$6631,0),""))</f>
        <v/>
      </c>
      <c r="W5016" t="str">
        <f t="shared" si="3"/>
        <v/>
      </c>
      <c r="X5016" s="4" t="str">
        <f>IF(V5016="","",INDEX(Fornecedores!$X$1:$X$6631,V5016))</f>
        <v/>
      </c>
      <c r="Y5016" s="4" t="str">
        <f t="shared" si="4"/>
        <v/>
      </c>
    </row>
    <row r="5017" spans="19:25">
      <c r="S5017" t="str">
        <f t="shared" si="0"/>
        <v/>
      </c>
      <c r="T5017" t="str">
        <f t="shared" si="1"/>
        <v/>
      </c>
      <c r="U5017" t="str">
        <f t="shared" si="2"/>
        <v/>
      </c>
      <c r="V5017" t="str">
        <f>IF(OR(U5017="",U5017="ERRO_CHAVE"),"",IFERROR(MATCH(U5017,Fornecedores!$AF$1:$AF$6631,0),""))</f>
        <v/>
      </c>
      <c r="W5017" t="str">
        <f t="shared" si="3"/>
        <v/>
      </c>
      <c r="X5017" s="4" t="str">
        <f>IF(V5017="","",INDEX(Fornecedores!$X$1:$X$6631,V5017))</f>
        <v/>
      </c>
      <c r="Y5017" s="4" t="str">
        <f t="shared" si="4"/>
        <v/>
      </c>
    </row>
    <row r="5018" spans="19:25">
      <c r="S5018" t="str">
        <f t="shared" si="0"/>
        <v/>
      </c>
      <c r="T5018" t="str">
        <f t="shared" si="1"/>
        <v/>
      </c>
      <c r="U5018" t="str">
        <f t="shared" si="2"/>
        <v/>
      </c>
      <c r="V5018" t="str">
        <f>IF(OR(U5018="",U5018="ERRO_CHAVE"),"",IFERROR(MATCH(U5018,Fornecedores!$AF$1:$AF$6631,0),""))</f>
        <v/>
      </c>
      <c r="W5018" t="str">
        <f t="shared" si="3"/>
        <v/>
      </c>
      <c r="X5018" s="4" t="str">
        <f>IF(V5018="","",INDEX(Fornecedores!$X$1:$X$6631,V5018))</f>
        <v/>
      </c>
      <c r="Y5018" s="4" t="str">
        <f t="shared" si="4"/>
        <v/>
      </c>
    </row>
    <row r="5019" spans="19:25">
      <c r="S5019" t="str">
        <f t="shared" si="0"/>
        <v/>
      </c>
      <c r="T5019" t="str">
        <f t="shared" si="1"/>
        <v/>
      </c>
      <c r="U5019" t="str">
        <f t="shared" si="2"/>
        <v/>
      </c>
      <c r="V5019" t="str">
        <f>IF(OR(U5019="",U5019="ERRO_CHAVE"),"",IFERROR(MATCH(U5019,Fornecedores!$AF$1:$AF$6631,0),""))</f>
        <v/>
      </c>
      <c r="W5019" t="str">
        <f t="shared" si="3"/>
        <v/>
      </c>
      <c r="X5019" s="4" t="str">
        <f>IF(V5019="","",INDEX(Fornecedores!$X$1:$X$6631,V5019))</f>
        <v/>
      </c>
      <c r="Y5019" s="4" t="str">
        <f t="shared" si="4"/>
        <v/>
      </c>
    </row>
    <row r="5020" spans="19:25">
      <c r="S5020" t="str">
        <f t="shared" si="0"/>
        <v/>
      </c>
      <c r="T5020" t="str">
        <f t="shared" si="1"/>
        <v/>
      </c>
      <c r="U5020" t="str">
        <f t="shared" si="2"/>
        <v/>
      </c>
      <c r="V5020" t="str">
        <f>IF(OR(U5020="",U5020="ERRO_CHAVE"),"",IFERROR(MATCH(U5020,Fornecedores!$AF$1:$AF$6631,0),""))</f>
        <v/>
      </c>
      <c r="W5020" t="str">
        <f t="shared" si="3"/>
        <v/>
      </c>
      <c r="X5020" s="4" t="str">
        <f>IF(V5020="","",INDEX(Fornecedores!$X$1:$X$6631,V5020))</f>
        <v/>
      </c>
      <c r="Y5020" s="4" t="str">
        <f t="shared" si="4"/>
        <v/>
      </c>
    </row>
    <row r="5021" spans="19:25">
      <c r="S5021" t="str">
        <f t="shared" si="0"/>
        <v/>
      </c>
      <c r="T5021" t="str">
        <f t="shared" si="1"/>
        <v/>
      </c>
      <c r="U5021" t="str">
        <f t="shared" si="2"/>
        <v/>
      </c>
      <c r="V5021" t="str">
        <f>IF(OR(U5021="",U5021="ERRO_CHAVE"),"",IFERROR(MATCH(U5021,Fornecedores!$AF$1:$AF$6631,0),""))</f>
        <v/>
      </c>
      <c r="W5021" t="str">
        <f t="shared" si="3"/>
        <v/>
      </c>
      <c r="X5021" s="4" t="str">
        <f>IF(V5021="","",INDEX(Fornecedores!$X$1:$X$6631,V5021))</f>
        <v/>
      </c>
      <c r="Y5021" s="4" t="str">
        <f t="shared" si="4"/>
        <v/>
      </c>
    </row>
    <row r="5022" spans="19:25">
      <c r="S5022" t="str">
        <f t="shared" si="0"/>
        <v/>
      </c>
      <c r="T5022" t="str">
        <f t="shared" si="1"/>
        <v/>
      </c>
      <c r="U5022" t="str">
        <f t="shared" si="2"/>
        <v/>
      </c>
      <c r="V5022" t="str">
        <f>IF(OR(U5022="",U5022="ERRO_CHAVE"),"",IFERROR(MATCH(U5022,Fornecedores!$AF$1:$AF$6631,0),""))</f>
        <v/>
      </c>
      <c r="W5022" t="str">
        <f t="shared" si="3"/>
        <v/>
      </c>
      <c r="X5022" s="4" t="str">
        <f>IF(V5022="","",INDEX(Fornecedores!$X$1:$X$6631,V5022))</f>
        <v/>
      </c>
      <c r="Y5022" s="4" t="str">
        <f t="shared" si="4"/>
        <v/>
      </c>
    </row>
    <row r="5023" spans="19:25">
      <c r="S5023" t="str">
        <f t="shared" si="0"/>
        <v/>
      </c>
      <c r="T5023" t="str">
        <f t="shared" si="1"/>
        <v/>
      </c>
      <c r="U5023" t="str">
        <f t="shared" si="2"/>
        <v/>
      </c>
      <c r="V5023" t="str">
        <f>IF(OR(U5023="",U5023="ERRO_CHAVE"),"",IFERROR(MATCH(U5023,Fornecedores!$AF$1:$AF$6631,0),""))</f>
        <v/>
      </c>
      <c r="W5023" t="str">
        <f t="shared" si="3"/>
        <v/>
      </c>
      <c r="X5023" s="4" t="str">
        <f>IF(V5023="","",INDEX(Fornecedores!$X$1:$X$6631,V5023))</f>
        <v/>
      </c>
      <c r="Y5023" s="4" t="str">
        <f t="shared" si="4"/>
        <v/>
      </c>
    </row>
    <row r="5024" spans="19:25">
      <c r="S5024" t="str">
        <f t="shared" si="0"/>
        <v/>
      </c>
      <c r="T5024" t="str">
        <f t="shared" si="1"/>
        <v/>
      </c>
      <c r="U5024" t="str">
        <f t="shared" si="2"/>
        <v/>
      </c>
      <c r="V5024" t="str">
        <f>IF(OR(U5024="",U5024="ERRO_CHAVE"),"",IFERROR(MATCH(U5024,Fornecedores!$AF$1:$AF$6631,0),""))</f>
        <v/>
      </c>
      <c r="W5024" t="str">
        <f t="shared" si="3"/>
        <v/>
      </c>
      <c r="X5024" s="4" t="str">
        <f>IF(V5024="","",INDEX(Fornecedores!$X$1:$X$6631,V5024))</f>
        <v/>
      </c>
      <c r="Y5024" s="4" t="str">
        <f t="shared" si="4"/>
        <v/>
      </c>
    </row>
    <row r="5025" spans="19:25">
      <c r="S5025" t="str">
        <f t="shared" si="0"/>
        <v/>
      </c>
      <c r="T5025" t="str">
        <f t="shared" si="1"/>
        <v/>
      </c>
      <c r="U5025" t="str">
        <f t="shared" si="2"/>
        <v/>
      </c>
      <c r="V5025" t="str">
        <f>IF(OR(U5025="",U5025="ERRO_CHAVE"),"",IFERROR(MATCH(U5025,Fornecedores!$AF$1:$AF$6631,0),""))</f>
        <v/>
      </c>
      <c r="W5025" t="str">
        <f t="shared" si="3"/>
        <v/>
      </c>
      <c r="X5025" s="4" t="str">
        <f>IF(V5025="","",INDEX(Fornecedores!$X$1:$X$6631,V5025))</f>
        <v/>
      </c>
      <c r="Y5025" s="4" t="str">
        <f t="shared" si="4"/>
        <v/>
      </c>
    </row>
    <row r="5026" spans="19:25">
      <c r="S5026" t="str">
        <f t="shared" si="0"/>
        <v/>
      </c>
      <c r="T5026" t="str">
        <f t="shared" si="1"/>
        <v/>
      </c>
      <c r="U5026" t="str">
        <f t="shared" si="2"/>
        <v/>
      </c>
      <c r="V5026" t="str">
        <f>IF(OR(U5026="",U5026="ERRO_CHAVE"),"",IFERROR(MATCH(U5026,Fornecedores!$AF$1:$AF$6631,0),""))</f>
        <v/>
      </c>
      <c r="W5026" t="str">
        <f t="shared" si="3"/>
        <v/>
      </c>
      <c r="X5026" s="4" t="str">
        <f>IF(V5026="","",INDEX(Fornecedores!$X$1:$X$6631,V5026))</f>
        <v/>
      </c>
      <c r="Y5026" s="4" t="str">
        <f t="shared" si="4"/>
        <v/>
      </c>
    </row>
    <row r="5027" spans="19:25">
      <c r="S5027" t="str">
        <f t="shared" si="0"/>
        <v/>
      </c>
      <c r="T5027" t="str">
        <f t="shared" si="1"/>
        <v/>
      </c>
      <c r="U5027" t="str">
        <f t="shared" si="2"/>
        <v/>
      </c>
      <c r="V5027" t="str">
        <f>IF(OR(U5027="",U5027="ERRO_CHAVE"),"",IFERROR(MATCH(U5027,Fornecedores!$AF$1:$AF$6631,0),""))</f>
        <v/>
      </c>
      <c r="W5027" t="str">
        <f t="shared" si="3"/>
        <v/>
      </c>
      <c r="X5027" s="4" t="str">
        <f>IF(V5027="","",INDEX(Fornecedores!$X$1:$X$6631,V5027))</f>
        <v/>
      </c>
      <c r="Y5027" s="4" t="str">
        <f t="shared" si="4"/>
        <v/>
      </c>
    </row>
    <row r="5028" spans="19:25">
      <c r="S5028" t="str">
        <f t="shared" si="0"/>
        <v/>
      </c>
      <c r="T5028" t="str">
        <f t="shared" si="1"/>
        <v/>
      </c>
      <c r="U5028" t="str">
        <f t="shared" si="2"/>
        <v/>
      </c>
      <c r="V5028" t="str">
        <f>IF(OR(U5028="",U5028="ERRO_CHAVE"),"",IFERROR(MATCH(U5028,Fornecedores!$AF$1:$AF$6631,0),""))</f>
        <v/>
      </c>
      <c r="W5028" t="str">
        <f t="shared" si="3"/>
        <v/>
      </c>
      <c r="X5028" s="4" t="str">
        <f>IF(V5028="","",INDEX(Fornecedores!$X$1:$X$6631,V5028))</f>
        <v/>
      </c>
      <c r="Y5028" s="4" t="str">
        <f t="shared" si="4"/>
        <v/>
      </c>
    </row>
    <row r="5029" spans="19:25">
      <c r="S5029" t="str">
        <f t="shared" si="0"/>
        <v/>
      </c>
      <c r="T5029" t="str">
        <f t="shared" si="1"/>
        <v/>
      </c>
      <c r="U5029" t="str">
        <f t="shared" si="2"/>
        <v/>
      </c>
      <c r="V5029" t="str">
        <f>IF(OR(U5029="",U5029="ERRO_CHAVE"),"",IFERROR(MATCH(U5029,Fornecedores!$AF$1:$AF$6631,0),""))</f>
        <v/>
      </c>
      <c r="W5029" t="str">
        <f t="shared" si="3"/>
        <v/>
      </c>
      <c r="X5029" s="4" t="str">
        <f>IF(V5029="","",INDEX(Fornecedores!$X$1:$X$6631,V5029))</f>
        <v/>
      </c>
      <c r="Y5029" s="4" t="str">
        <f t="shared" si="4"/>
        <v/>
      </c>
    </row>
    <row r="5030" spans="19:25">
      <c r="S5030" t="str">
        <f t="shared" si="0"/>
        <v/>
      </c>
      <c r="T5030" t="str">
        <f t="shared" si="1"/>
        <v/>
      </c>
      <c r="U5030" t="str">
        <f t="shared" si="2"/>
        <v/>
      </c>
      <c r="V5030" t="str">
        <f>IF(OR(U5030="",U5030="ERRO_CHAVE"),"",IFERROR(MATCH(U5030,Fornecedores!$AF$1:$AF$6631,0),""))</f>
        <v/>
      </c>
      <c r="W5030" t="str">
        <f t="shared" si="3"/>
        <v/>
      </c>
      <c r="X5030" s="4" t="str">
        <f>IF(V5030="","",INDEX(Fornecedores!$X$1:$X$6631,V5030))</f>
        <v/>
      </c>
      <c r="Y5030" s="4" t="str">
        <f t="shared" si="4"/>
        <v/>
      </c>
    </row>
    <row r="5031" spans="19:25">
      <c r="S5031" t="str">
        <f t="shared" si="0"/>
        <v/>
      </c>
      <c r="T5031" t="str">
        <f t="shared" si="1"/>
        <v/>
      </c>
      <c r="U5031" t="str">
        <f t="shared" si="2"/>
        <v/>
      </c>
      <c r="V5031" t="str">
        <f>IF(OR(U5031="",U5031="ERRO_CHAVE"),"",IFERROR(MATCH(U5031,Fornecedores!$AF$1:$AF$6631,0),""))</f>
        <v/>
      </c>
      <c r="W5031" t="str">
        <f t="shared" si="3"/>
        <v/>
      </c>
      <c r="X5031" s="4" t="str">
        <f>IF(V5031="","",INDEX(Fornecedores!$X$1:$X$6631,V5031))</f>
        <v/>
      </c>
      <c r="Y5031" s="4" t="str">
        <f t="shared" si="4"/>
        <v/>
      </c>
    </row>
    <row r="5032" spans="19:25">
      <c r="S5032" t="str">
        <f t="shared" si="0"/>
        <v/>
      </c>
      <c r="T5032" t="str">
        <f t="shared" si="1"/>
        <v/>
      </c>
      <c r="U5032" t="str">
        <f t="shared" si="2"/>
        <v/>
      </c>
      <c r="V5032" t="str">
        <f>IF(OR(U5032="",U5032="ERRO_CHAVE"),"",IFERROR(MATCH(U5032,Fornecedores!$AF$1:$AF$6631,0),""))</f>
        <v/>
      </c>
      <c r="W5032" t="str">
        <f t="shared" si="3"/>
        <v/>
      </c>
      <c r="X5032" s="4" t="str">
        <f>IF(V5032="","",INDEX(Fornecedores!$X$1:$X$6631,V5032))</f>
        <v/>
      </c>
      <c r="Y5032" s="4" t="str">
        <f t="shared" si="4"/>
        <v/>
      </c>
    </row>
    <row r="5033" spans="19:25">
      <c r="S5033" t="str">
        <f t="shared" si="0"/>
        <v/>
      </c>
      <c r="T5033" t="str">
        <f t="shared" si="1"/>
        <v/>
      </c>
      <c r="U5033" t="str">
        <f t="shared" si="2"/>
        <v/>
      </c>
      <c r="V5033" t="str">
        <f>IF(OR(U5033="",U5033="ERRO_CHAVE"),"",IFERROR(MATCH(U5033,Fornecedores!$AF$1:$AF$6631,0),""))</f>
        <v/>
      </c>
      <c r="W5033" t="str">
        <f t="shared" si="3"/>
        <v/>
      </c>
      <c r="X5033" s="4" t="str">
        <f>IF(V5033="","",INDEX(Fornecedores!$X$1:$X$6631,V5033))</f>
        <v/>
      </c>
      <c r="Y5033" s="4" t="str">
        <f t="shared" si="4"/>
        <v/>
      </c>
    </row>
    <row r="5034" spans="19:25">
      <c r="S5034" t="str">
        <f t="shared" si="0"/>
        <v/>
      </c>
      <c r="T5034" t="str">
        <f t="shared" si="1"/>
        <v/>
      </c>
      <c r="U5034" t="str">
        <f t="shared" si="2"/>
        <v/>
      </c>
      <c r="V5034" t="str">
        <f>IF(OR(U5034="",U5034="ERRO_CHAVE"),"",IFERROR(MATCH(U5034,Fornecedores!$AF$1:$AF$6631,0),""))</f>
        <v/>
      </c>
      <c r="W5034" t="str">
        <f t="shared" si="3"/>
        <v/>
      </c>
      <c r="X5034" s="4" t="str">
        <f>IF(V5034="","",INDEX(Fornecedores!$X$1:$X$6631,V5034))</f>
        <v/>
      </c>
      <c r="Y5034" s="4" t="str">
        <f t="shared" si="4"/>
        <v/>
      </c>
    </row>
    <row r="5035" spans="19:25">
      <c r="S5035" t="str">
        <f t="shared" si="0"/>
        <v/>
      </c>
      <c r="T5035" t="str">
        <f t="shared" si="1"/>
        <v/>
      </c>
      <c r="U5035" t="str">
        <f t="shared" si="2"/>
        <v/>
      </c>
      <c r="V5035" t="str">
        <f>IF(OR(U5035="",U5035="ERRO_CHAVE"),"",IFERROR(MATCH(U5035,Fornecedores!$AF$1:$AF$6631,0),""))</f>
        <v/>
      </c>
      <c r="W5035" t="str">
        <f t="shared" si="3"/>
        <v/>
      </c>
      <c r="X5035" s="4" t="str">
        <f>IF(V5035="","",INDEX(Fornecedores!$X$1:$X$6631,V5035))</f>
        <v/>
      </c>
      <c r="Y5035" s="4" t="str">
        <f t="shared" si="4"/>
        <v/>
      </c>
    </row>
    <row r="5036" spans="19:25">
      <c r="S5036" t="str">
        <f t="shared" si="0"/>
        <v/>
      </c>
      <c r="T5036" t="str">
        <f t="shared" si="1"/>
        <v/>
      </c>
      <c r="U5036" t="str">
        <f t="shared" si="2"/>
        <v/>
      </c>
      <c r="V5036" t="str">
        <f>IF(OR(U5036="",U5036="ERRO_CHAVE"),"",IFERROR(MATCH(U5036,Fornecedores!$AF$1:$AF$6631,0),""))</f>
        <v/>
      </c>
      <c r="W5036" t="str">
        <f t="shared" si="3"/>
        <v/>
      </c>
      <c r="X5036" s="4" t="str">
        <f>IF(V5036="","",INDEX(Fornecedores!$X$1:$X$6631,V5036))</f>
        <v/>
      </c>
      <c r="Y5036" s="4" t="str">
        <f t="shared" si="4"/>
        <v/>
      </c>
    </row>
    <row r="5037" spans="19:25">
      <c r="S5037" t="str">
        <f t="shared" si="0"/>
        <v/>
      </c>
      <c r="T5037" t="str">
        <f t="shared" si="1"/>
        <v/>
      </c>
      <c r="U5037" t="str">
        <f t="shared" si="2"/>
        <v/>
      </c>
      <c r="V5037" t="str">
        <f>IF(OR(U5037="",U5037="ERRO_CHAVE"),"",IFERROR(MATCH(U5037,Fornecedores!$AF$1:$AF$6631,0),""))</f>
        <v/>
      </c>
      <c r="W5037" t="str">
        <f t="shared" si="3"/>
        <v/>
      </c>
      <c r="X5037" s="4" t="str">
        <f>IF(V5037="","",INDEX(Fornecedores!$X$1:$X$6631,V5037))</f>
        <v/>
      </c>
      <c r="Y5037" s="4" t="str">
        <f t="shared" si="4"/>
        <v/>
      </c>
    </row>
    <row r="5038" spans="19:25">
      <c r="S5038" t="str">
        <f t="shared" si="0"/>
        <v/>
      </c>
      <c r="T5038" t="str">
        <f t="shared" si="1"/>
        <v/>
      </c>
      <c r="U5038" t="str">
        <f t="shared" si="2"/>
        <v/>
      </c>
      <c r="V5038" t="str">
        <f>IF(OR(U5038="",U5038="ERRO_CHAVE"),"",IFERROR(MATCH(U5038,Fornecedores!$AF$1:$AF$6631,0),""))</f>
        <v/>
      </c>
      <c r="W5038" t="str">
        <f t="shared" si="3"/>
        <v/>
      </c>
      <c r="X5038" s="4" t="str">
        <f>IF(V5038="","",INDEX(Fornecedores!$X$1:$X$6631,V5038))</f>
        <v/>
      </c>
      <c r="Y5038" s="4" t="str">
        <f t="shared" si="4"/>
        <v/>
      </c>
    </row>
    <row r="5039" spans="19:25">
      <c r="S5039" t="str">
        <f t="shared" si="0"/>
        <v/>
      </c>
      <c r="T5039" t="str">
        <f t="shared" si="1"/>
        <v/>
      </c>
      <c r="U5039" t="str">
        <f t="shared" si="2"/>
        <v/>
      </c>
      <c r="V5039" t="str">
        <f>IF(OR(U5039="",U5039="ERRO_CHAVE"),"",IFERROR(MATCH(U5039,Fornecedores!$AF$1:$AF$6631,0),""))</f>
        <v/>
      </c>
      <c r="W5039" t="str">
        <f t="shared" si="3"/>
        <v/>
      </c>
      <c r="X5039" s="4" t="str">
        <f>IF(V5039="","",INDEX(Fornecedores!$X$1:$X$6631,V5039))</f>
        <v/>
      </c>
      <c r="Y5039" s="4" t="str">
        <f t="shared" si="4"/>
        <v/>
      </c>
    </row>
    <row r="5040" spans="19:25">
      <c r="S5040" t="str">
        <f t="shared" si="0"/>
        <v/>
      </c>
      <c r="T5040" t="str">
        <f t="shared" si="1"/>
        <v/>
      </c>
      <c r="U5040" t="str">
        <f t="shared" si="2"/>
        <v/>
      </c>
      <c r="V5040" t="str">
        <f>IF(OR(U5040="",U5040="ERRO_CHAVE"),"",IFERROR(MATCH(U5040,Fornecedores!$AF$1:$AF$6631,0),""))</f>
        <v/>
      </c>
      <c r="W5040" t="str">
        <f t="shared" si="3"/>
        <v/>
      </c>
      <c r="X5040" s="4" t="str">
        <f>IF(V5040="","",INDEX(Fornecedores!$X$1:$X$6631,V5040))</f>
        <v/>
      </c>
      <c r="Y5040" s="4" t="str">
        <f t="shared" si="4"/>
        <v/>
      </c>
    </row>
    <row r="5041" spans="19:25">
      <c r="S5041" t="str">
        <f t="shared" si="0"/>
        <v/>
      </c>
      <c r="T5041" t="str">
        <f t="shared" si="1"/>
        <v/>
      </c>
      <c r="U5041" t="str">
        <f t="shared" si="2"/>
        <v/>
      </c>
      <c r="V5041" t="str">
        <f>IF(OR(U5041="",U5041="ERRO_CHAVE"),"",IFERROR(MATCH(U5041,Fornecedores!$AF$1:$AF$6631,0),""))</f>
        <v/>
      </c>
      <c r="W5041" t="str">
        <f t="shared" si="3"/>
        <v/>
      </c>
      <c r="X5041" s="4" t="str">
        <f>IF(V5041="","",INDEX(Fornecedores!$X$1:$X$6631,V5041))</f>
        <v/>
      </c>
      <c r="Y5041" s="4" t="str">
        <f t="shared" si="4"/>
        <v/>
      </c>
    </row>
    <row r="5042" spans="19:25">
      <c r="S5042" t="str">
        <f t="shared" si="0"/>
        <v/>
      </c>
      <c r="T5042" t="str">
        <f t="shared" si="1"/>
        <v/>
      </c>
      <c r="U5042" t="str">
        <f t="shared" si="2"/>
        <v/>
      </c>
      <c r="V5042" t="str">
        <f>IF(OR(U5042="",U5042="ERRO_CHAVE"),"",IFERROR(MATCH(U5042,Fornecedores!$AF$1:$AF$6631,0),""))</f>
        <v/>
      </c>
      <c r="W5042" t="str">
        <f t="shared" si="3"/>
        <v/>
      </c>
      <c r="X5042" s="4" t="str">
        <f>IF(V5042="","",INDEX(Fornecedores!$X$1:$X$6631,V5042))</f>
        <v/>
      </c>
      <c r="Y5042" s="4" t="str">
        <f t="shared" si="4"/>
        <v/>
      </c>
    </row>
    <row r="5043" spans="19:25">
      <c r="S5043" t="str">
        <f t="shared" si="0"/>
        <v/>
      </c>
      <c r="T5043" t="str">
        <f t="shared" si="1"/>
        <v/>
      </c>
      <c r="U5043" t="str">
        <f t="shared" si="2"/>
        <v/>
      </c>
      <c r="V5043" t="str">
        <f>IF(OR(U5043="",U5043="ERRO_CHAVE"),"",IFERROR(MATCH(U5043,Fornecedores!$AF$1:$AF$6631,0),""))</f>
        <v/>
      </c>
      <c r="W5043" t="str">
        <f t="shared" si="3"/>
        <v/>
      </c>
      <c r="X5043" s="4" t="str">
        <f>IF(V5043="","",INDEX(Fornecedores!$X$1:$X$6631,V5043))</f>
        <v/>
      </c>
      <c r="Y5043" s="4" t="str">
        <f t="shared" si="4"/>
        <v/>
      </c>
    </row>
    <row r="5044" spans="19:25">
      <c r="S5044" t="str">
        <f t="shared" si="0"/>
        <v/>
      </c>
      <c r="T5044" t="str">
        <f t="shared" si="1"/>
        <v/>
      </c>
      <c r="U5044" t="str">
        <f t="shared" si="2"/>
        <v/>
      </c>
      <c r="V5044" t="str">
        <f>IF(OR(U5044="",U5044="ERRO_CHAVE"),"",IFERROR(MATCH(U5044,Fornecedores!$AF$1:$AF$6631,0),""))</f>
        <v/>
      </c>
      <c r="W5044" t="str">
        <f t="shared" si="3"/>
        <v/>
      </c>
      <c r="X5044" s="4" t="str">
        <f>IF(V5044="","",INDEX(Fornecedores!$X$1:$X$6631,V5044))</f>
        <v/>
      </c>
      <c r="Y5044" s="4" t="str">
        <f t="shared" si="4"/>
        <v/>
      </c>
    </row>
    <row r="5045" spans="19:25">
      <c r="S5045" t="str">
        <f t="shared" si="0"/>
        <v/>
      </c>
      <c r="T5045" t="str">
        <f t="shared" si="1"/>
        <v/>
      </c>
      <c r="U5045" t="str">
        <f t="shared" si="2"/>
        <v/>
      </c>
      <c r="V5045" t="str">
        <f>IF(OR(U5045="",U5045="ERRO_CHAVE"),"",IFERROR(MATCH(U5045,Fornecedores!$AF$1:$AF$6631,0),""))</f>
        <v/>
      </c>
      <c r="W5045" t="str">
        <f t="shared" si="3"/>
        <v/>
      </c>
      <c r="X5045" s="4" t="str">
        <f>IF(V5045="","",INDEX(Fornecedores!$X$1:$X$6631,V5045))</f>
        <v/>
      </c>
      <c r="Y5045" s="4" t="str">
        <f t="shared" si="4"/>
        <v/>
      </c>
    </row>
    <row r="5046" spans="19:25">
      <c r="S5046" t="str">
        <f t="shared" si="0"/>
        <v/>
      </c>
      <c r="T5046" t="str">
        <f t="shared" si="1"/>
        <v/>
      </c>
      <c r="U5046" t="str">
        <f t="shared" si="2"/>
        <v/>
      </c>
      <c r="V5046" t="str">
        <f>IF(OR(U5046="",U5046="ERRO_CHAVE"),"",IFERROR(MATCH(U5046,Fornecedores!$AF$1:$AF$6631,0),""))</f>
        <v/>
      </c>
      <c r="W5046" t="str">
        <f t="shared" si="3"/>
        <v/>
      </c>
      <c r="X5046" s="4" t="str">
        <f>IF(V5046="","",INDEX(Fornecedores!$X$1:$X$6631,V5046))</f>
        <v/>
      </c>
      <c r="Y5046" s="4" t="str">
        <f t="shared" si="4"/>
        <v/>
      </c>
    </row>
    <row r="5047" spans="19:25">
      <c r="S5047" t="str">
        <f t="shared" si="0"/>
        <v/>
      </c>
      <c r="T5047" t="str">
        <f t="shared" si="1"/>
        <v/>
      </c>
      <c r="U5047" t="str">
        <f t="shared" si="2"/>
        <v/>
      </c>
      <c r="V5047" t="str">
        <f>IF(OR(U5047="",U5047="ERRO_CHAVE"),"",IFERROR(MATCH(U5047,Fornecedores!$AF$1:$AF$6631,0),""))</f>
        <v/>
      </c>
      <c r="W5047" t="str">
        <f t="shared" si="3"/>
        <v/>
      </c>
      <c r="X5047" s="4" t="str">
        <f>IF(V5047="","",INDEX(Fornecedores!$X$1:$X$6631,V5047))</f>
        <v/>
      </c>
      <c r="Y5047" s="4" t="str">
        <f t="shared" si="4"/>
        <v/>
      </c>
    </row>
    <row r="5048" spans="19:25">
      <c r="S5048" t="str">
        <f t="shared" si="0"/>
        <v/>
      </c>
      <c r="T5048" t="str">
        <f t="shared" si="1"/>
        <v/>
      </c>
      <c r="U5048" t="str">
        <f t="shared" si="2"/>
        <v/>
      </c>
      <c r="V5048" t="str">
        <f>IF(OR(U5048="",U5048="ERRO_CHAVE"),"",IFERROR(MATCH(U5048,Fornecedores!$AF$1:$AF$6631,0),""))</f>
        <v/>
      </c>
      <c r="W5048" t="str">
        <f t="shared" si="3"/>
        <v/>
      </c>
      <c r="X5048" s="4" t="str">
        <f>IF(V5048="","",INDEX(Fornecedores!$X$1:$X$6631,V5048))</f>
        <v/>
      </c>
      <c r="Y5048" s="4" t="str">
        <f t="shared" si="4"/>
        <v/>
      </c>
    </row>
    <row r="5049" spans="19:25">
      <c r="S5049" t="str">
        <f t="shared" si="0"/>
        <v/>
      </c>
      <c r="T5049" t="str">
        <f t="shared" si="1"/>
        <v/>
      </c>
      <c r="U5049" t="str">
        <f t="shared" si="2"/>
        <v/>
      </c>
      <c r="V5049" t="str">
        <f>IF(OR(U5049="",U5049="ERRO_CHAVE"),"",IFERROR(MATCH(U5049,Fornecedores!$AF$1:$AF$6631,0),""))</f>
        <v/>
      </c>
      <c r="W5049" t="str">
        <f t="shared" si="3"/>
        <v/>
      </c>
      <c r="X5049" s="4" t="str">
        <f>IF(V5049="","",INDEX(Fornecedores!$X$1:$X$6631,V5049))</f>
        <v/>
      </c>
      <c r="Y5049" s="4" t="str">
        <f t="shared" si="4"/>
        <v/>
      </c>
    </row>
    <row r="5050" spans="19:25">
      <c r="S5050" t="str">
        <f t="shared" si="0"/>
        <v/>
      </c>
      <c r="T5050" t="str">
        <f t="shared" si="1"/>
        <v/>
      </c>
      <c r="U5050" t="str">
        <f t="shared" si="2"/>
        <v/>
      </c>
      <c r="V5050" t="str">
        <f>IF(OR(U5050="",U5050="ERRO_CHAVE"),"",IFERROR(MATCH(U5050,Fornecedores!$AF$1:$AF$6631,0),""))</f>
        <v/>
      </c>
      <c r="W5050" t="str">
        <f t="shared" si="3"/>
        <v/>
      </c>
      <c r="X5050" s="4" t="str">
        <f>IF(V5050="","",INDEX(Fornecedores!$X$1:$X$6631,V5050))</f>
        <v/>
      </c>
      <c r="Y5050" s="4" t="str">
        <f t="shared" si="4"/>
        <v/>
      </c>
    </row>
    <row r="5051" spans="19:25">
      <c r="S5051" t="str">
        <f t="shared" si="0"/>
        <v/>
      </c>
      <c r="T5051" t="str">
        <f t="shared" si="1"/>
        <v/>
      </c>
      <c r="U5051" t="str">
        <f t="shared" si="2"/>
        <v/>
      </c>
      <c r="V5051" t="str">
        <f>IF(OR(U5051="",U5051="ERRO_CHAVE"),"",IFERROR(MATCH(U5051,Fornecedores!$AF$1:$AF$6631,0),""))</f>
        <v/>
      </c>
      <c r="W5051" t="str">
        <f t="shared" si="3"/>
        <v/>
      </c>
      <c r="X5051" s="4" t="str">
        <f>IF(V5051="","",INDEX(Fornecedores!$X$1:$X$6631,V5051))</f>
        <v/>
      </c>
      <c r="Y5051" s="4" t="str">
        <f t="shared" si="4"/>
        <v/>
      </c>
    </row>
    <row r="5052" spans="19:25">
      <c r="S5052" t="str">
        <f t="shared" si="0"/>
        <v/>
      </c>
      <c r="T5052" t="str">
        <f t="shared" si="1"/>
        <v/>
      </c>
      <c r="U5052" t="str">
        <f t="shared" si="2"/>
        <v/>
      </c>
      <c r="V5052" t="str">
        <f>IF(OR(U5052="",U5052="ERRO_CHAVE"),"",IFERROR(MATCH(U5052,Fornecedores!$AF$1:$AF$6631,0),""))</f>
        <v/>
      </c>
      <c r="W5052" t="str">
        <f t="shared" si="3"/>
        <v/>
      </c>
      <c r="X5052" s="4" t="str">
        <f>IF(V5052="","",INDEX(Fornecedores!$X$1:$X$6631,V5052))</f>
        <v/>
      </c>
      <c r="Y5052" s="4" t="str">
        <f t="shared" si="4"/>
        <v/>
      </c>
    </row>
    <row r="5053" spans="19:25">
      <c r="S5053" t="str">
        <f t="shared" si="0"/>
        <v/>
      </c>
      <c r="T5053" t="str">
        <f t="shared" si="1"/>
        <v/>
      </c>
      <c r="U5053" t="str">
        <f t="shared" si="2"/>
        <v/>
      </c>
      <c r="V5053" t="str">
        <f>IF(OR(U5053="",U5053="ERRO_CHAVE"),"",IFERROR(MATCH(U5053,Fornecedores!$AF$1:$AF$6631,0),""))</f>
        <v/>
      </c>
      <c r="W5053" t="str">
        <f t="shared" si="3"/>
        <v/>
      </c>
      <c r="X5053" s="4" t="str">
        <f>IF(V5053="","",INDEX(Fornecedores!$X$1:$X$6631,V5053))</f>
        <v/>
      </c>
      <c r="Y5053" s="4" t="str">
        <f t="shared" si="4"/>
        <v/>
      </c>
    </row>
    <row r="5054" spans="19:25">
      <c r="S5054" t="str">
        <f t="shared" si="0"/>
        <v/>
      </c>
      <c r="T5054" t="str">
        <f t="shared" si="1"/>
        <v/>
      </c>
      <c r="U5054" t="str">
        <f t="shared" si="2"/>
        <v/>
      </c>
      <c r="V5054" t="str">
        <f>IF(OR(U5054="",U5054="ERRO_CHAVE"),"",IFERROR(MATCH(U5054,Fornecedores!$AF$1:$AF$6631,0),""))</f>
        <v/>
      </c>
      <c r="W5054" t="str">
        <f t="shared" si="3"/>
        <v/>
      </c>
      <c r="X5054" s="4" t="str">
        <f>IF(V5054="","",INDEX(Fornecedores!$X$1:$X$6631,V5054))</f>
        <v/>
      </c>
      <c r="Y5054" s="4" t="str">
        <f t="shared" si="4"/>
        <v/>
      </c>
    </row>
    <row r="5055" spans="19:25">
      <c r="S5055" t="str">
        <f t="shared" si="0"/>
        <v/>
      </c>
      <c r="T5055" t="str">
        <f t="shared" si="1"/>
        <v/>
      </c>
      <c r="U5055" t="str">
        <f t="shared" si="2"/>
        <v/>
      </c>
      <c r="V5055" t="str">
        <f>IF(OR(U5055="",U5055="ERRO_CHAVE"),"",IFERROR(MATCH(U5055,Fornecedores!$AF$1:$AF$6631,0),""))</f>
        <v/>
      </c>
      <c r="W5055" t="str">
        <f t="shared" si="3"/>
        <v/>
      </c>
      <c r="X5055" s="4" t="str">
        <f>IF(V5055="","",INDEX(Fornecedores!$X$1:$X$6631,V5055))</f>
        <v/>
      </c>
      <c r="Y5055" s="4" t="str">
        <f t="shared" si="4"/>
        <v/>
      </c>
    </row>
    <row r="5056" spans="19:25">
      <c r="S5056" t="str">
        <f t="shared" si="0"/>
        <v/>
      </c>
      <c r="T5056" t="str">
        <f t="shared" si="1"/>
        <v/>
      </c>
      <c r="U5056" t="str">
        <f t="shared" si="2"/>
        <v/>
      </c>
      <c r="V5056" t="str">
        <f>IF(OR(U5056="",U5056="ERRO_CHAVE"),"",IFERROR(MATCH(U5056,Fornecedores!$AF$1:$AF$6631,0),""))</f>
        <v/>
      </c>
      <c r="W5056" t="str">
        <f t="shared" si="3"/>
        <v/>
      </c>
      <c r="X5056" s="4" t="str">
        <f>IF(V5056="","",INDEX(Fornecedores!$X$1:$X$6631,V5056))</f>
        <v/>
      </c>
      <c r="Y5056" s="4" t="str">
        <f t="shared" si="4"/>
        <v/>
      </c>
    </row>
    <row r="5057" spans="19:25">
      <c r="S5057" t="str">
        <f t="shared" si="0"/>
        <v/>
      </c>
      <c r="T5057" t="str">
        <f t="shared" si="1"/>
        <v/>
      </c>
      <c r="U5057" t="str">
        <f t="shared" si="2"/>
        <v/>
      </c>
      <c r="V5057" t="str">
        <f>IF(OR(U5057="",U5057="ERRO_CHAVE"),"",IFERROR(MATCH(U5057,Fornecedores!$AF$1:$AF$6631,0),""))</f>
        <v/>
      </c>
      <c r="W5057" t="str">
        <f t="shared" si="3"/>
        <v/>
      </c>
      <c r="X5057" s="4" t="str">
        <f>IF(V5057="","",INDEX(Fornecedores!$X$1:$X$6631,V5057))</f>
        <v/>
      </c>
      <c r="Y5057" s="4" t="str">
        <f t="shared" si="4"/>
        <v/>
      </c>
    </row>
    <row r="5058" spans="19:25">
      <c r="S5058" t="str">
        <f t="shared" si="0"/>
        <v/>
      </c>
      <c r="T5058" t="str">
        <f t="shared" si="1"/>
        <v/>
      </c>
      <c r="U5058" t="str">
        <f t="shared" si="2"/>
        <v/>
      </c>
      <c r="V5058" t="str">
        <f>IF(OR(U5058="",U5058="ERRO_CHAVE"),"",IFERROR(MATCH(U5058,Fornecedores!$AF$1:$AF$6631,0),""))</f>
        <v/>
      </c>
      <c r="W5058" t="str">
        <f t="shared" si="3"/>
        <v/>
      </c>
      <c r="X5058" s="4" t="str">
        <f>IF(V5058="","",INDEX(Fornecedores!$X$1:$X$6631,V5058))</f>
        <v/>
      </c>
      <c r="Y5058" s="4" t="str">
        <f t="shared" si="4"/>
        <v/>
      </c>
    </row>
    <row r="5059" spans="19:25">
      <c r="S5059" t="str">
        <f t="shared" si="0"/>
        <v/>
      </c>
      <c r="T5059" t="str">
        <f t="shared" si="1"/>
        <v/>
      </c>
      <c r="U5059" t="str">
        <f t="shared" si="2"/>
        <v/>
      </c>
      <c r="V5059" t="str">
        <f>IF(OR(U5059="",U5059="ERRO_CHAVE"),"",IFERROR(MATCH(U5059,Fornecedores!$AF$1:$AF$6631,0),""))</f>
        <v/>
      </c>
      <c r="W5059" t="str">
        <f t="shared" si="3"/>
        <v/>
      </c>
      <c r="X5059" s="4" t="str">
        <f>IF(V5059="","",INDEX(Fornecedores!$X$1:$X$6631,V5059))</f>
        <v/>
      </c>
      <c r="Y5059" s="4" t="str">
        <f t="shared" si="4"/>
        <v/>
      </c>
    </row>
    <row r="5060" spans="19:25">
      <c r="S5060" t="str">
        <f t="shared" si="0"/>
        <v/>
      </c>
      <c r="T5060" t="str">
        <f t="shared" si="1"/>
        <v/>
      </c>
      <c r="U5060" t="str">
        <f t="shared" si="2"/>
        <v/>
      </c>
      <c r="V5060" t="str">
        <f>IF(OR(U5060="",U5060="ERRO_CHAVE"),"",IFERROR(MATCH(U5060,Fornecedores!$AF$1:$AF$6631,0),""))</f>
        <v/>
      </c>
      <c r="W5060" t="str">
        <f t="shared" si="3"/>
        <v/>
      </c>
      <c r="X5060" s="4" t="str">
        <f>IF(V5060="","",INDEX(Fornecedores!$X$1:$X$6631,V5060))</f>
        <v/>
      </c>
      <c r="Y5060" s="4" t="str">
        <f t="shared" si="4"/>
        <v/>
      </c>
    </row>
    <row r="5061" spans="19:25">
      <c r="S5061" t="str">
        <f t="shared" si="0"/>
        <v/>
      </c>
      <c r="T5061" t="str">
        <f t="shared" si="1"/>
        <v/>
      </c>
      <c r="U5061" t="str">
        <f t="shared" si="2"/>
        <v/>
      </c>
      <c r="V5061" t="str">
        <f>IF(OR(U5061="",U5061="ERRO_CHAVE"),"",IFERROR(MATCH(U5061,Fornecedores!$AF$1:$AF$6631,0),""))</f>
        <v/>
      </c>
      <c r="W5061" t="str">
        <f t="shared" si="3"/>
        <v/>
      </c>
      <c r="X5061" s="4" t="str">
        <f>IF(V5061="","",INDEX(Fornecedores!$X$1:$X$6631,V5061))</f>
        <v/>
      </c>
      <c r="Y5061" s="4" t="str">
        <f t="shared" si="4"/>
        <v/>
      </c>
    </row>
    <row r="5062" spans="19:25">
      <c r="S5062" t="str">
        <f t="shared" si="0"/>
        <v/>
      </c>
      <c r="T5062" t="str">
        <f t="shared" si="1"/>
        <v/>
      </c>
      <c r="U5062" t="str">
        <f t="shared" si="2"/>
        <v/>
      </c>
      <c r="V5062" t="str">
        <f>IF(OR(U5062="",U5062="ERRO_CHAVE"),"",IFERROR(MATCH(U5062,Fornecedores!$AF$1:$AF$6631,0),""))</f>
        <v/>
      </c>
      <c r="W5062" t="str">
        <f t="shared" si="3"/>
        <v/>
      </c>
      <c r="X5062" s="4" t="str">
        <f>IF(V5062="","",INDEX(Fornecedores!$X$1:$X$6631,V5062))</f>
        <v/>
      </c>
      <c r="Y5062" s="4" t="str">
        <f t="shared" si="4"/>
        <v/>
      </c>
    </row>
    <row r="5063" spans="19:25">
      <c r="S5063" t="str">
        <f t="shared" si="0"/>
        <v/>
      </c>
      <c r="T5063" t="str">
        <f t="shared" si="1"/>
        <v/>
      </c>
      <c r="U5063" t="str">
        <f t="shared" si="2"/>
        <v/>
      </c>
      <c r="V5063" t="str">
        <f>IF(OR(U5063="",U5063="ERRO_CHAVE"),"",IFERROR(MATCH(U5063,Fornecedores!$AF$1:$AF$6631,0),""))</f>
        <v/>
      </c>
      <c r="W5063" t="str">
        <f t="shared" si="3"/>
        <v/>
      </c>
      <c r="X5063" s="4" t="str">
        <f>IF(V5063="","",INDEX(Fornecedores!$X$1:$X$6631,V5063))</f>
        <v/>
      </c>
      <c r="Y5063" s="4" t="str">
        <f t="shared" si="4"/>
        <v/>
      </c>
    </row>
    <row r="5064" spans="19:25">
      <c r="S5064" t="str">
        <f t="shared" si="0"/>
        <v/>
      </c>
      <c r="T5064" t="str">
        <f t="shared" si="1"/>
        <v/>
      </c>
      <c r="U5064" t="str">
        <f t="shared" si="2"/>
        <v/>
      </c>
      <c r="V5064" t="str">
        <f>IF(OR(U5064="",U5064="ERRO_CHAVE"),"",IFERROR(MATCH(U5064,Fornecedores!$AF$1:$AF$6631,0),""))</f>
        <v/>
      </c>
      <c r="W5064" t="str">
        <f t="shared" si="3"/>
        <v/>
      </c>
      <c r="X5064" s="4" t="str">
        <f>IF(V5064="","",INDEX(Fornecedores!$X$1:$X$6631,V5064))</f>
        <v/>
      </c>
      <c r="Y5064" s="4" t="str">
        <f t="shared" si="4"/>
        <v/>
      </c>
    </row>
    <row r="5065" spans="19:25">
      <c r="S5065" t="str">
        <f t="shared" si="0"/>
        <v/>
      </c>
      <c r="T5065" t="str">
        <f t="shared" si="1"/>
        <v/>
      </c>
      <c r="U5065" t="str">
        <f t="shared" si="2"/>
        <v/>
      </c>
      <c r="V5065" t="str">
        <f>IF(OR(U5065="",U5065="ERRO_CHAVE"),"",IFERROR(MATCH(U5065,Fornecedores!$AF$1:$AF$6631,0),""))</f>
        <v/>
      </c>
      <c r="W5065" t="str">
        <f t="shared" si="3"/>
        <v/>
      </c>
      <c r="X5065" s="4" t="str">
        <f>IF(V5065="","",INDEX(Fornecedores!$X$1:$X$6631,V5065))</f>
        <v/>
      </c>
      <c r="Y5065" s="4" t="str">
        <f t="shared" si="4"/>
        <v/>
      </c>
    </row>
    <row r="5066" spans="19:25">
      <c r="S5066" t="str">
        <f t="shared" si="0"/>
        <v/>
      </c>
      <c r="T5066" t="str">
        <f t="shared" si="1"/>
        <v/>
      </c>
      <c r="U5066" t="str">
        <f t="shared" si="2"/>
        <v/>
      </c>
      <c r="V5066" t="str">
        <f>IF(OR(U5066="",U5066="ERRO_CHAVE"),"",IFERROR(MATCH(U5066,Fornecedores!$AF$1:$AF$6631,0),""))</f>
        <v/>
      </c>
      <c r="W5066" t="str">
        <f t="shared" si="3"/>
        <v/>
      </c>
      <c r="X5066" s="4" t="str">
        <f>IF(V5066="","",INDEX(Fornecedores!$X$1:$X$6631,V5066))</f>
        <v/>
      </c>
      <c r="Y5066" s="4" t="str">
        <f t="shared" si="4"/>
        <v/>
      </c>
    </row>
    <row r="5067" spans="19:25">
      <c r="S5067" t="str">
        <f t="shared" si="0"/>
        <v/>
      </c>
      <c r="T5067" t="str">
        <f t="shared" si="1"/>
        <v/>
      </c>
      <c r="U5067" t="str">
        <f t="shared" si="2"/>
        <v/>
      </c>
      <c r="V5067" t="str">
        <f>IF(OR(U5067="",U5067="ERRO_CHAVE"),"",IFERROR(MATCH(U5067,Fornecedores!$AF$1:$AF$6631,0),""))</f>
        <v/>
      </c>
      <c r="W5067" t="str">
        <f t="shared" si="3"/>
        <v/>
      </c>
      <c r="X5067" s="4" t="str">
        <f>IF(V5067="","",INDEX(Fornecedores!$X$1:$X$6631,V5067))</f>
        <v/>
      </c>
      <c r="Y5067" s="4" t="str">
        <f t="shared" si="4"/>
        <v/>
      </c>
    </row>
    <row r="5068" spans="19:25">
      <c r="S5068" t="str">
        <f t="shared" si="0"/>
        <v/>
      </c>
      <c r="T5068" t="str">
        <f t="shared" si="1"/>
        <v/>
      </c>
      <c r="U5068" t="str">
        <f t="shared" si="2"/>
        <v/>
      </c>
      <c r="V5068" t="str">
        <f>IF(OR(U5068="",U5068="ERRO_CHAVE"),"",IFERROR(MATCH(U5068,Fornecedores!$AF$1:$AF$6631,0),""))</f>
        <v/>
      </c>
      <c r="W5068" t="str">
        <f t="shared" si="3"/>
        <v/>
      </c>
      <c r="X5068" s="4" t="str">
        <f>IF(V5068="","",INDEX(Fornecedores!$X$1:$X$6631,V5068))</f>
        <v/>
      </c>
      <c r="Y5068" s="4" t="str">
        <f t="shared" si="4"/>
        <v/>
      </c>
    </row>
    <row r="5069" spans="19:25">
      <c r="S5069" t="str">
        <f t="shared" si="0"/>
        <v/>
      </c>
      <c r="T5069" t="str">
        <f t="shared" si="1"/>
        <v/>
      </c>
      <c r="U5069" t="str">
        <f t="shared" si="2"/>
        <v/>
      </c>
      <c r="V5069" t="str">
        <f>IF(OR(U5069="",U5069="ERRO_CHAVE"),"",IFERROR(MATCH(U5069,Fornecedores!$AF$1:$AF$6631,0),""))</f>
        <v/>
      </c>
      <c r="W5069" t="str">
        <f t="shared" si="3"/>
        <v/>
      </c>
      <c r="X5069" s="4" t="str">
        <f>IF(V5069="","",INDEX(Fornecedores!$X$1:$X$6631,V5069))</f>
        <v/>
      </c>
      <c r="Y5069" s="4" t="str">
        <f t="shared" si="4"/>
        <v/>
      </c>
    </row>
    <row r="5070" spans="19:25">
      <c r="S5070" t="str">
        <f t="shared" si="0"/>
        <v/>
      </c>
      <c r="T5070" t="str">
        <f t="shared" si="1"/>
        <v/>
      </c>
      <c r="U5070" t="str">
        <f t="shared" si="2"/>
        <v/>
      </c>
      <c r="V5070" t="str">
        <f>IF(OR(U5070="",U5070="ERRO_CHAVE"),"",IFERROR(MATCH(U5070,Fornecedores!$AF$1:$AF$6631,0),""))</f>
        <v/>
      </c>
      <c r="W5070" t="str">
        <f t="shared" si="3"/>
        <v/>
      </c>
      <c r="X5070" s="4" t="str">
        <f>IF(V5070="","",INDEX(Fornecedores!$X$1:$X$6631,V5070))</f>
        <v/>
      </c>
      <c r="Y5070" s="4" t="str">
        <f t="shared" si="4"/>
        <v/>
      </c>
    </row>
    <row r="5071" spans="19:25">
      <c r="S5071" t="str">
        <f t="shared" si="0"/>
        <v/>
      </c>
      <c r="T5071" t="str">
        <f t="shared" si="1"/>
        <v/>
      </c>
      <c r="U5071" t="str">
        <f t="shared" si="2"/>
        <v/>
      </c>
      <c r="V5071" t="str">
        <f>IF(OR(U5071="",U5071="ERRO_CHAVE"),"",IFERROR(MATCH(U5071,Fornecedores!$AF$1:$AF$6631,0),""))</f>
        <v/>
      </c>
      <c r="W5071" t="str">
        <f t="shared" si="3"/>
        <v/>
      </c>
      <c r="X5071" s="4" t="str">
        <f>IF(V5071="","",INDEX(Fornecedores!$X$1:$X$6631,V5071))</f>
        <v/>
      </c>
      <c r="Y5071" s="4" t="str">
        <f t="shared" si="4"/>
        <v/>
      </c>
    </row>
    <row r="5072" spans="19:25">
      <c r="S5072" t="str">
        <f t="shared" si="0"/>
        <v/>
      </c>
      <c r="T5072" t="str">
        <f t="shared" si="1"/>
        <v/>
      </c>
      <c r="U5072" t="str">
        <f t="shared" si="2"/>
        <v/>
      </c>
      <c r="V5072" t="str">
        <f>IF(OR(U5072="",U5072="ERRO_CHAVE"),"",IFERROR(MATCH(U5072,Fornecedores!$AF$1:$AF$6631,0),""))</f>
        <v/>
      </c>
      <c r="W5072" t="str">
        <f t="shared" si="3"/>
        <v/>
      </c>
      <c r="X5072" s="4" t="str">
        <f>IF(V5072="","",INDEX(Fornecedores!$X$1:$X$6631,V5072))</f>
        <v/>
      </c>
      <c r="Y5072" s="4" t="str">
        <f t="shared" si="4"/>
        <v/>
      </c>
    </row>
    <row r="5073" spans="19:25">
      <c r="S5073" t="str">
        <f t="shared" si="0"/>
        <v/>
      </c>
      <c r="T5073" t="str">
        <f t="shared" si="1"/>
        <v/>
      </c>
      <c r="U5073" t="str">
        <f t="shared" si="2"/>
        <v/>
      </c>
      <c r="V5073" t="str">
        <f>IF(OR(U5073="",U5073="ERRO_CHAVE"),"",IFERROR(MATCH(U5073,Fornecedores!$AF$1:$AF$6631,0),""))</f>
        <v/>
      </c>
      <c r="W5073" t="str">
        <f t="shared" si="3"/>
        <v/>
      </c>
      <c r="X5073" s="4" t="str">
        <f>IF(V5073="","",INDEX(Fornecedores!$X$1:$X$6631,V5073))</f>
        <v/>
      </c>
      <c r="Y5073" s="4" t="str">
        <f t="shared" si="4"/>
        <v/>
      </c>
    </row>
    <row r="5074" spans="19:25">
      <c r="S5074" t="str">
        <f t="shared" si="0"/>
        <v/>
      </c>
      <c r="T5074" t="str">
        <f t="shared" si="1"/>
        <v/>
      </c>
      <c r="U5074" t="str">
        <f t="shared" si="2"/>
        <v/>
      </c>
      <c r="V5074" t="str">
        <f>IF(OR(U5074="",U5074="ERRO_CHAVE"),"",IFERROR(MATCH(U5074,Fornecedores!$AF$1:$AF$6631,0),""))</f>
        <v/>
      </c>
      <c r="W5074" t="str">
        <f t="shared" si="3"/>
        <v/>
      </c>
      <c r="X5074" s="4" t="str">
        <f>IF(V5074="","",INDEX(Fornecedores!$X$1:$X$6631,V5074))</f>
        <v/>
      </c>
      <c r="Y5074" s="4" t="str">
        <f t="shared" si="4"/>
        <v/>
      </c>
    </row>
    <row r="5075" spans="19:25">
      <c r="S5075" t="str">
        <f t="shared" si="0"/>
        <v/>
      </c>
      <c r="T5075" t="str">
        <f t="shared" si="1"/>
        <v/>
      </c>
      <c r="U5075" t="str">
        <f t="shared" si="2"/>
        <v/>
      </c>
      <c r="V5075" t="str">
        <f>IF(OR(U5075="",U5075="ERRO_CHAVE"),"",IFERROR(MATCH(U5075,Fornecedores!$AF$1:$AF$6631,0),""))</f>
        <v/>
      </c>
      <c r="W5075" t="str">
        <f t="shared" si="3"/>
        <v/>
      </c>
      <c r="X5075" s="4" t="str">
        <f>IF(V5075="","",INDEX(Fornecedores!$X$1:$X$6631,V5075))</f>
        <v/>
      </c>
      <c r="Y5075" s="4" t="str">
        <f t="shared" si="4"/>
        <v/>
      </c>
    </row>
    <row r="5076" spans="19:25">
      <c r="S5076" t="str">
        <f t="shared" si="0"/>
        <v/>
      </c>
      <c r="T5076" t="str">
        <f t="shared" si="1"/>
        <v/>
      </c>
      <c r="U5076" t="str">
        <f t="shared" si="2"/>
        <v/>
      </c>
      <c r="V5076" t="str">
        <f>IF(OR(U5076="",U5076="ERRO_CHAVE"),"",IFERROR(MATCH(U5076,Fornecedores!$AF$1:$AF$6631,0),""))</f>
        <v/>
      </c>
      <c r="W5076" t="str">
        <f t="shared" si="3"/>
        <v/>
      </c>
      <c r="X5076" s="4" t="str">
        <f>IF(V5076="","",INDEX(Fornecedores!$X$1:$X$6631,V5076))</f>
        <v/>
      </c>
      <c r="Y5076" s="4" t="str">
        <f t="shared" si="4"/>
        <v/>
      </c>
    </row>
    <row r="5077" spans="19:25">
      <c r="S5077" t="str">
        <f t="shared" si="0"/>
        <v/>
      </c>
      <c r="T5077" t="str">
        <f t="shared" si="1"/>
        <v/>
      </c>
      <c r="U5077" t="str">
        <f t="shared" si="2"/>
        <v/>
      </c>
      <c r="V5077" t="str">
        <f>IF(OR(U5077="",U5077="ERRO_CHAVE"),"",IFERROR(MATCH(U5077,Fornecedores!$AF$1:$AF$6631,0),""))</f>
        <v/>
      </c>
      <c r="W5077" t="str">
        <f t="shared" si="3"/>
        <v/>
      </c>
      <c r="X5077" s="4" t="str">
        <f>IF(V5077="","",INDEX(Fornecedores!$X$1:$X$6631,V5077))</f>
        <v/>
      </c>
      <c r="Y5077" s="4" t="str">
        <f t="shared" si="4"/>
        <v/>
      </c>
    </row>
    <row r="5078" spans="19:25">
      <c r="S5078" t="str">
        <f t="shared" si="0"/>
        <v/>
      </c>
      <c r="T5078" t="str">
        <f t="shared" si="1"/>
        <v/>
      </c>
      <c r="U5078" t="str">
        <f t="shared" si="2"/>
        <v/>
      </c>
      <c r="V5078" t="str">
        <f>IF(OR(U5078="",U5078="ERRO_CHAVE"),"",IFERROR(MATCH(U5078,Fornecedores!$AF$1:$AF$6631,0),""))</f>
        <v/>
      </c>
      <c r="W5078" t="str">
        <f t="shared" si="3"/>
        <v/>
      </c>
      <c r="X5078" s="4" t="str">
        <f>IF(V5078="","",INDEX(Fornecedores!$X$1:$X$6631,V5078))</f>
        <v/>
      </c>
      <c r="Y5078" s="4" t="str">
        <f t="shared" si="4"/>
        <v/>
      </c>
    </row>
    <row r="5079" spans="19:25">
      <c r="S5079" t="str">
        <f t="shared" si="0"/>
        <v/>
      </c>
      <c r="T5079" t="str">
        <f t="shared" si="1"/>
        <v/>
      </c>
      <c r="U5079" t="str">
        <f t="shared" si="2"/>
        <v/>
      </c>
      <c r="V5079" t="str">
        <f>IF(OR(U5079="",U5079="ERRO_CHAVE"),"",IFERROR(MATCH(U5079,Fornecedores!$AF$1:$AF$6631,0),""))</f>
        <v/>
      </c>
      <c r="W5079" t="str">
        <f t="shared" si="3"/>
        <v/>
      </c>
      <c r="X5079" s="4" t="str">
        <f>IF(V5079="","",INDEX(Fornecedores!$X$1:$X$6631,V5079))</f>
        <v/>
      </c>
      <c r="Y5079" s="4" t="str">
        <f t="shared" si="4"/>
        <v/>
      </c>
    </row>
    <row r="5080" spans="19:25">
      <c r="S5080" t="str">
        <f t="shared" si="0"/>
        <v/>
      </c>
      <c r="T5080" t="str">
        <f t="shared" si="1"/>
        <v/>
      </c>
      <c r="U5080" t="str">
        <f t="shared" si="2"/>
        <v/>
      </c>
      <c r="V5080" t="str">
        <f>IF(OR(U5080="",U5080="ERRO_CHAVE"),"",IFERROR(MATCH(U5080,Fornecedores!$AF$1:$AF$6631,0),""))</f>
        <v/>
      </c>
      <c r="W5080" t="str">
        <f t="shared" si="3"/>
        <v/>
      </c>
      <c r="X5080" s="4" t="str">
        <f>IF(V5080="","",INDEX(Fornecedores!$X$1:$X$6631,V5080))</f>
        <v/>
      </c>
      <c r="Y5080" s="4" t="str">
        <f t="shared" si="4"/>
        <v/>
      </c>
    </row>
    <row r="5081" spans="19:25">
      <c r="S5081" t="str">
        <f t="shared" si="0"/>
        <v/>
      </c>
      <c r="T5081" t="str">
        <f t="shared" si="1"/>
        <v/>
      </c>
      <c r="U5081" t="str">
        <f t="shared" si="2"/>
        <v/>
      </c>
      <c r="V5081" t="str">
        <f>IF(OR(U5081="",U5081="ERRO_CHAVE"),"",IFERROR(MATCH(U5081,Fornecedores!$AF$1:$AF$6631,0),""))</f>
        <v/>
      </c>
      <c r="W5081" t="str">
        <f t="shared" si="3"/>
        <v/>
      </c>
      <c r="X5081" s="4" t="str">
        <f>IF(V5081="","",INDEX(Fornecedores!$X$1:$X$6631,V5081))</f>
        <v/>
      </c>
      <c r="Y5081" s="4" t="str">
        <f t="shared" si="4"/>
        <v/>
      </c>
    </row>
    <row r="5082" spans="19:25">
      <c r="S5082" t="str">
        <f t="shared" si="0"/>
        <v/>
      </c>
      <c r="T5082" t="str">
        <f t="shared" si="1"/>
        <v/>
      </c>
      <c r="U5082" t="str">
        <f t="shared" si="2"/>
        <v/>
      </c>
      <c r="V5082" t="str">
        <f>IF(OR(U5082="",U5082="ERRO_CHAVE"),"",IFERROR(MATCH(U5082,Fornecedores!$AF$1:$AF$6631,0),""))</f>
        <v/>
      </c>
      <c r="W5082" t="str">
        <f t="shared" si="3"/>
        <v/>
      </c>
      <c r="X5082" s="4" t="str">
        <f>IF(V5082="","",INDEX(Fornecedores!$X$1:$X$6631,V5082))</f>
        <v/>
      </c>
      <c r="Y5082" s="4" t="str">
        <f t="shared" si="4"/>
        <v/>
      </c>
    </row>
    <row r="5083" spans="19:25">
      <c r="S5083" t="str">
        <f t="shared" si="0"/>
        <v/>
      </c>
      <c r="T5083" t="str">
        <f t="shared" si="1"/>
        <v/>
      </c>
      <c r="U5083" t="str">
        <f t="shared" si="2"/>
        <v/>
      </c>
      <c r="V5083" t="str">
        <f>IF(OR(U5083="",U5083="ERRO_CHAVE"),"",IFERROR(MATCH(U5083,Fornecedores!$AF$1:$AF$6631,0),""))</f>
        <v/>
      </c>
      <c r="W5083" t="str">
        <f t="shared" si="3"/>
        <v/>
      </c>
      <c r="X5083" s="4" t="str">
        <f>IF(V5083="","",INDEX(Fornecedores!$X$1:$X$6631,V5083))</f>
        <v/>
      </c>
      <c r="Y5083" s="4" t="str">
        <f t="shared" si="4"/>
        <v/>
      </c>
    </row>
    <row r="5084" spans="19:25">
      <c r="S5084" t="str">
        <f t="shared" si="0"/>
        <v/>
      </c>
      <c r="T5084" t="str">
        <f t="shared" si="1"/>
        <v/>
      </c>
      <c r="U5084" t="str">
        <f t="shared" si="2"/>
        <v/>
      </c>
      <c r="V5084" t="str">
        <f>IF(OR(U5084="",U5084="ERRO_CHAVE"),"",IFERROR(MATCH(U5084,Fornecedores!$AF$1:$AF$6631,0),""))</f>
        <v/>
      </c>
      <c r="W5084" t="str">
        <f t="shared" si="3"/>
        <v/>
      </c>
      <c r="X5084" s="4" t="str">
        <f>IF(V5084="","",INDEX(Fornecedores!$X$1:$X$6631,V5084))</f>
        <v/>
      </c>
      <c r="Y5084" s="4" t="str">
        <f t="shared" si="4"/>
        <v/>
      </c>
    </row>
    <row r="5085" spans="19:25">
      <c r="S5085" t="str">
        <f t="shared" si="0"/>
        <v/>
      </c>
      <c r="T5085" t="str">
        <f t="shared" si="1"/>
        <v/>
      </c>
      <c r="U5085" t="str">
        <f t="shared" si="2"/>
        <v/>
      </c>
      <c r="V5085" t="str">
        <f>IF(OR(U5085="",U5085="ERRO_CHAVE"),"",IFERROR(MATCH(U5085,Fornecedores!$AF$1:$AF$6631,0),""))</f>
        <v/>
      </c>
      <c r="W5085" t="str">
        <f t="shared" si="3"/>
        <v/>
      </c>
      <c r="X5085" s="4" t="str">
        <f>IF(V5085="","",INDEX(Fornecedores!$X$1:$X$6631,V5085))</f>
        <v/>
      </c>
      <c r="Y5085" s="4" t="str">
        <f t="shared" si="4"/>
        <v/>
      </c>
    </row>
    <row r="5086" spans="19:25">
      <c r="S5086" t="str">
        <f t="shared" si="0"/>
        <v/>
      </c>
      <c r="T5086" t="str">
        <f t="shared" si="1"/>
        <v/>
      </c>
      <c r="U5086" t="str">
        <f t="shared" si="2"/>
        <v/>
      </c>
      <c r="V5086" t="str">
        <f>IF(OR(U5086="",U5086="ERRO_CHAVE"),"",IFERROR(MATCH(U5086,Fornecedores!$AF$1:$AF$6631,0),""))</f>
        <v/>
      </c>
      <c r="W5086" t="str">
        <f t="shared" si="3"/>
        <v/>
      </c>
      <c r="X5086" s="4" t="str">
        <f>IF(V5086="","",INDEX(Fornecedores!$X$1:$X$6631,V5086))</f>
        <v/>
      </c>
      <c r="Y5086" s="4" t="str">
        <f t="shared" si="4"/>
        <v/>
      </c>
    </row>
    <row r="5087" spans="19:25">
      <c r="S5087" t="str">
        <f t="shared" si="0"/>
        <v/>
      </c>
      <c r="T5087" t="str">
        <f t="shared" si="1"/>
        <v/>
      </c>
      <c r="U5087" t="str">
        <f t="shared" si="2"/>
        <v/>
      </c>
      <c r="V5087" t="str">
        <f>IF(OR(U5087="",U5087="ERRO_CHAVE"),"",IFERROR(MATCH(U5087,Fornecedores!$AF$1:$AF$6631,0),""))</f>
        <v/>
      </c>
      <c r="W5087" t="str">
        <f t="shared" si="3"/>
        <v/>
      </c>
      <c r="X5087" s="4" t="str">
        <f>IF(V5087="","",INDEX(Fornecedores!$X$1:$X$6631,V5087))</f>
        <v/>
      </c>
      <c r="Y5087" s="4" t="str">
        <f t="shared" si="4"/>
        <v/>
      </c>
    </row>
    <row r="5088" spans="19:25">
      <c r="S5088" t="str">
        <f t="shared" si="0"/>
        <v/>
      </c>
      <c r="T5088" t="str">
        <f t="shared" si="1"/>
        <v/>
      </c>
      <c r="U5088" t="str">
        <f t="shared" si="2"/>
        <v/>
      </c>
      <c r="V5088" t="str">
        <f>IF(OR(U5088="",U5088="ERRO_CHAVE"),"",IFERROR(MATCH(U5088,Fornecedores!$AF$1:$AF$6631,0),""))</f>
        <v/>
      </c>
      <c r="W5088" t="str">
        <f t="shared" si="3"/>
        <v/>
      </c>
      <c r="X5088" s="4" t="str">
        <f>IF(V5088="","",INDEX(Fornecedores!$X$1:$X$6631,V5088))</f>
        <v/>
      </c>
      <c r="Y5088" s="4" t="str">
        <f t="shared" si="4"/>
        <v/>
      </c>
    </row>
    <row r="5089" spans="19:25">
      <c r="S5089" t="str">
        <f t="shared" si="0"/>
        <v/>
      </c>
      <c r="T5089" t="str">
        <f t="shared" si="1"/>
        <v/>
      </c>
      <c r="U5089" t="str">
        <f t="shared" si="2"/>
        <v/>
      </c>
      <c r="V5089" t="str">
        <f>IF(OR(U5089="",U5089="ERRO_CHAVE"),"",IFERROR(MATCH(U5089,Fornecedores!$AF$1:$AF$6631,0),""))</f>
        <v/>
      </c>
      <c r="W5089" t="str">
        <f t="shared" si="3"/>
        <v/>
      </c>
      <c r="X5089" s="4" t="str">
        <f>IF(V5089="","",INDEX(Fornecedores!$X$1:$X$6631,V5089))</f>
        <v/>
      </c>
      <c r="Y5089" s="4" t="str">
        <f t="shared" si="4"/>
        <v/>
      </c>
    </row>
    <row r="5090" spans="19:25">
      <c r="S5090" t="str">
        <f t="shared" si="0"/>
        <v/>
      </c>
      <c r="T5090" t="str">
        <f t="shared" si="1"/>
        <v/>
      </c>
      <c r="U5090" t="str">
        <f t="shared" si="2"/>
        <v/>
      </c>
      <c r="V5090" t="str">
        <f>IF(OR(U5090="",U5090="ERRO_CHAVE"),"",IFERROR(MATCH(U5090,Fornecedores!$AF$1:$AF$6631,0),""))</f>
        <v/>
      </c>
      <c r="W5090" t="str">
        <f t="shared" si="3"/>
        <v/>
      </c>
      <c r="X5090" s="4" t="str">
        <f>IF(V5090="","",INDEX(Fornecedores!$X$1:$X$6631,V5090))</f>
        <v/>
      </c>
      <c r="Y5090" s="4" t="str">
        <f t="shared" si="4"/>
        <v/>
      </c>
    </row>
    <row r="5091" spans="19:25">
      <c r="S5091" t="str">
        <f t="shared" si="0"/>
        <v/>
      </c>
      <c r="T5091" t="str">
        <f t="shared" si="1"/>
        <v/>
      </c>
      <c r="U5091" t="str">
        <f t="shared" si="2"/>
        <v/>
      </c>
      <c r="V5091" t="str">
        <f>IF(OR(U5091="",U5091="ERRO_CHAVE"),"",IFERROR(MATCH(U5091,Fornecedores!$AF$1:$AF$6631,0),""))</f>
        <v/>
      </c>
      <c r="W5091" t="str">
        <f t="shared" si="3"/>
        <v/>
      </c>
      <c r="X5091" s="4" t="str">
        <f>IF(V5091="","",INDEX(Fornecedores!$X$1:$X$6631,V5091))</f>
        <v/>
      </c>
      <c r="Y5091" s="4" t="str">
        <f t="shared" si="4"/>
        <v/>
      </c>
    </row>
    <row r="5092" spans="19:25">
      <c r="S5092" t="str">
        <f t="shared" si="0"/>
        <v/>
      </c>
      <c r="T5092" t="str">
        <f t="shared" si="1"/>
        <v/>
      </c>
      <c r="U5092" t="str">
        <f t="shared" si="2"/>
        <v/>
      </c>
      <c r="V5092" t="str">
        <f>IF(OR(U5092="",U5092="ERRO_CHAVE"),"",IFERROR(MATCH(U5092,Fornecedores!$AF$1:$AF$6631,0),""))</f>
        <v/>
      </c>
      <c r="W5092" t="str">
        <f t="shared" si="3"/>
        <v/>
      </c>
      <c r="X5092" s="4" t="str">
        <f>IF(V5092="","",INDEX(Fornecedores!$X$1:$X$6631,V5092))</f>
        <v/>
      </c>
      <c r="Y5092" s="4" t="str">
        <f t="shared" si="4"/>
        <v/>
      </c>
    </row>
    <row r="5093" spans="19:25">
      <c r="S5093" t="str">
        <f t="shared" si="0"/>
        <v/>
      </c>
      <c r="T5093" t="str">
        <f t="shared" si="1"/>
        <v/>
      </c>
      <c r="U5093" t="str">
        <f t="shared" si="2"/>
        <v/>
      </c>
      <c r="V5093" t="str">
        <f>IF(OR(U5093="",U5093="ERRO_CHAVE"),"",IFERROR(MATCH(U5093,Fornecedores!$AF$1:$AF$6631,0),""))</f>
        <v/>
      </c>
      <c r="W5093" t="str">
        <f t="shared" si="3"/>
        <v/>
      </c>
      <c r="X5093" s="4" t="str">
        <f>IF(V5093="","",INDEX(Fornecedores!$X$1:$X$6631,V5093))</f>
        <v/>
      </c>
      <c r="Y5093" s="4" t="str">
        <f t="shared" si="4"/>
        <v/>
      </c>
    </row>
    <row r="5094" spans="19:25">
      <c r="S5094" t="str">
        <f t="shared" si="0"/>
        <v/>
      </c>
      <c r="T5094" t="str">
        <f t="shared" si="1"/>
        <v/>
      </c>
      <c r="U5094" t="str">
        <f t="shared" si="2"/>
        <v/>
      </c>
      <c r="V5094" t="str">
        <f>IF(OR(U5094="",U5094="ERRO_CHAVE"),"",IFERROR(MATCH(U5094,Fornecedores!$AF$1:$AF$6631,0),""))</f>
        <v/>
      </c>
      <c r="W5094" t="str">
        <f t="shared" si="3"/>
        <v/>
      </c>
      <c r="X5094" s="4" t="str">
        <f>IF(V5094="","",INDEX(Fornecedores!$X$1:$X$6631,V5094))</f>
        <v/>
      </c>
      <c r="Y5094" s="4" t="str">
        <f t="shared" si="4"/>
        <v/>
      </c>
    </row>
    <row r="5095" spans="19:25">
      <c r="S5095" t="str">
        <f t="shared" si="0"/>
        <v/>
      </c>
      <c r="T5095" t="str">
        <f t="shared" si="1"/>
        <v/>
      </c>
      <c r="U5095" t="str">
        <f t="shared" si="2"/>
        <v/>
      </c>
      <c r="V5095" t="str">
        <f>IF(OR(U5095="",U5095="ERRO_CHAVE"),"",IFERROR(MATCH(U5095,Fornecedores!$AF$1:$AF$6631,0),""))</f>
        <v/>
      </c>
      <c r="W5095" t="str">
        <f t="shared" si="3"/>
        <v/>
      </c>
      <c r="X5095" s="4" t="str">
        <f>IF(V5095="","",INDEX(Fornecedores!$X$1:$X$6631,V5095))</f>
        <v/>
      </c>
      <c r="Y5095" s="4" t="str">
        <f t="shared" si="4"/>
        <v/>
      </c>
    </row>
    <row r="5096" spans="19:25">
      <c r="S5096" t="str">
        <f t="shared" si="0"/>
        <v/>
      </c>
      <c r="T5096" t="str">
        <f t="shared" si="1"/>
        <v/>
      </c>
      <c r="U5096" t="str">
        <f t="shared" si="2"/>
        <v/>
      </c>
      <c r="V5096" t="str">
        <f>IF(OR(U5096="",U5096="ERRO_CHAVE"),"",IFERROR(MATCH(U5096,Fornecedores!$AF$1:$AF$6631,0),""))</f>
        <v/>
      </c>
      <c r="W5096" t="str">
        <f t="shared" si="3"/>
        <v/>
      </c>
      <c r="X5096" s="4" t="str">
        <f>IF(V5096="","",INDEX(Fornecedores!$X$1:$X$6631,V5096))</f>
        <v/>
      </c>
      <c r="Y5096" s="4" t="str">
        <f t="shared" si="4"/>
        <v/>
      </c>
    </row>
    <row r="5097" spans="19:25">
      <c r="S5097" t="str">
        <f t="shared" si="0"/>
        <v/>
      </c>
      <c r="T5097" t="str">
        <f t="shared" si="1"/>
        <v/>
      </c>
      <c r="U5097" t="str">
        <f t="shared" si="2"/>
        <v/>
      </c>
      <c r="V5097" t="str">
        <f>IF(OR(U5097="",U5097="ERRO_CHAVE"),"",IFERROR(MATCH(U5097,Fornecedores!$AF$1:$AF$6631,0),""))</f>
        <v/>
      </c>
      <c r="W5097" t="str">
        <f t="shared" si="3"/>
        <v/>
      </c>
      <c r="X5097" s="4" t="str">
        <f>IF(V5097="","",INDEX(Fornecedores!$X$1:$X$6631,V5097))</f>
        <v/>
      </c>
      <c r="Y5097" s="4" t="str">
        <f t="shared" si="4"/>
        <v/>
      </c>
    </row>
    <row r="5098" spans="19:25">
      <c r="S5098" t="str">
        <f t="shared" si="0"/>
        <v/>
      </c>
      <c r="T5098" t="str">
        <f t="shared" si="1"/>
        <v/>
      </c>
      <c r="U5098" t="str">
        <f t="shared" si="2"/>
        <v/>
      </c>
      <c r="V5098" t="str">
        <f>IF(OR(U5098="",U5098="ERRO_CHAVE"),"",IFERROR(MATCH(U5098,Fornecedores!$AF$1:$AF$6631,0),""))</f>
        <v/>
      </c>
      <c r="W5098" t="str">
        <f t="shared" si="3"/>
        <v/>
      </c>
      <c r="X5098" s="4" t="str">
        <f>IF(V5098="","",INDEX(Fornecedores!$X$1:$X$6631,V5098))</f>
        <v/>
      </c>
      <c r="Y5098" s="4" t="str">
        <f t="shared" si="4"/>
        <v/>
      </c>
    </row>
    <row r="5099" spans="19:25">
      <c r="S5099" t="str">
        <f t="shared" si="0"/>
        <v/>
      </c>
      <c r="T5099" t="str">
        <f t="shared" si="1"/>
        <v/>
      </c>
      <c r="U5099" t="str">
        <f t="shared" si="2"/>
        <v/>
      </c>
      <c r="V5099" t="str">
        <f>IF(OR(U5099="",U5099="ERRO_CHAVE"),"",IFERROR(MATCH(U5099,Fornecedores!$AF$1:$AF$6631,0),""))</f>
        <v/>
      </c>
      <c r="W5099" t="str">
        <f t="shared" si="3"/>
        <v/>
      </c>
      <c r="X5099" s="4" t="str">
        <f>IF(V5099="","",INDEX(Fornecedores!$X$1:$X$6631,V5099))</f>
        <v/>
      </c>
      <c r="Y5099" s="4" t="str">
        <f t="shared" si="4"/>
        <v/>
      </c>
    </row>
    <row r="5100" spans="19:25">
      <c r="S5100" t="str">
        <f t="shared" si="0"/>
        <v/>
      </c>
      <c r="T5100" t="str">
        <f t="shared" si="1"/>
        <v/>
      </c>
      <c r="U5100" t="str">
        <f t="shared" si="2"/>
        <v/>
      </c>
      <c r="V5100" t="str">
        <f>IF(OR(U5100="",U5100="ERRO_CHAVE"),"",IFERROR(MATCH(U5100,Fornecedores!$AF$1:$AF$6631,0),""))</f>
        <v/>
      </c>
      <c r="W5100" t="str">
        <f t="shared" si="3"/>
        <v/>
      </c>
      <c r="X5100" s="4" t="str">
        <f>IF(V5100="","",INDEX(Fornecedores!$X$1:$X$6631,V5100))</f>
        <v/>
      </c>
      <c r="Y5100" s="4" t="str">
        <f t="shared" si="4"/>
        <v/>
      </c>
    </row>
    <row r="5101" spans="19:25">
      <c r="S5101" t="str">
        <f t="shared" si="0"/>
        <v/>
      </c>
      <c r="T5101" t="str">
        <f t="shared" si="1"/>
        <v/>
      </c>
      <c r="U5101" t="str">
        <f t="shared" si="2"/>
        <v/>
      </c>
      <c r="V5101" t="str">
        <f>IF(OR(U5101="",U5101="ERRO_CHAVE"),"",IFERROR(MATCH(U5101,Fornecedores!$AF$1:$AF$6631,0),""))</f>
        <v/>
      </c>
      <c r="W5101" t="str">
        <f t="shared" si="3"/>
        <v/>
      </c>
      <c r="X5101" s="4" t="str">
        <f>IF(V5101="","",INDEX(Fornecedores!$X$1:$X$6631,V5101))</f>
        <v/>
      </c>
      <c r="Y5101" s="4" t="str">
        <f t="shared" si="4"/>
        <v/>
      </c>
    </row>
    <row r="5102" spans="19:25">
      <c r="S5102" t="str">
        <f t="shared" si="0"/>
        <v/>
      </c>
      <c r="T5102" t="str">
        <f t="shared" si="1"/>
        <v/>
      </c>
      <c r="U5102" t="str">
        <f t="shared" si="2"/>
        <v/>
      </c>
      <c r="V5102" t="str">
        <f>IF(OR(U5102="",U5102="ERRO_CHAVE"),"",IFERROR(MATCH(U5102,Fornecedores!$AF$1:$AF$6631,0),""))</f>
        <v/>
      </c>
      <c r="W5102" t="str">
        <f t="shared" si="3"/>
        <v/>
      </c>
      <c r="X5102" s="4" t="str">
        <f>IF(V5102="","",INDEX(Fornecedores!$X$1:$X$6631,V5102))</f>
        <v/>
      </c>
      <c r="Y5102" s="4" t="str">
        <f t="shared" si="4"/>
        <v/>
      </c>
    </row>
    <row r="5103" spans="19:25">
      <c r="S5103" t="str">
        <f t="shared" si="0"/>
        <v/>
      </c>
      <c r="T5103" t="str">
        <f t="shared" si="1"/>
        <v/>
      </c>
      <c r="U5103" t="str">
        <f t="shared" si="2"/>
        <v/>
      </c>
      <c r="V5103" t="str">
        <f>IF(OR(U5103="",U5103="ERRO_CHAVE"),"",IFERROR(MATCH(U5103,Fornecedores!$AF$1:$AF$6631,0),""))</f>
        <v/>
      </c>
      <c r="W5103" t="str">
        <f t="shared" si="3"/>
        <v/>
      </c>
      <c r="X5103" s="4" t="str">
        <f>IF(V5103="","",INDEX(Fornecedores!$X$1:$X$6631,V5103))</f>
        <v/>
      </c>
      <c r="Y5103" s="4" t="str">
        <f t="shared" si="4"/>
        <v/>
      </c>
    </row>
    <row r="5104" spans="19:25">
      <c r="S5104" t="str">
        <f t="shared" si="0"/>
        <v/>
      </c>
      <c r="T5104" t="str">
        <f t="shared" si="1"/>
        <v/>
      </c>
      <c r="U5104" t="str">
        <f t="shared" si="2"/>
        <v/>
      </c>
      <c r="V5104" t="str">
        <f>IF(OR(U5104="",U5104="ERRO_CHAVE"),"",IFERROR(MATCH(U5104,Fornecedores!$AF$1:$AF$6631,0),""))</f>
        <v/>
      </c>
      <c r="W5104" t="str">
        <f t="shared" si="3"/>
        <v/>
      </c>
      <c r="X5104" s="4" t="str">
        <f>IF(V5104="","",INDEX(Fornecedores!$X$1:$X$6631,V5104))</f>
        <v/>
      </c>
      <c r="Y5104" s="4" t="str">
        <f t="shared" si="4"/>
        <v/>
      </c>
    </row>
    <row r="5105" spans="19:25">
      <c r="S5105" t="str">
        <f t="shared" si="0"/>
        <v/>
      </c>
      <c r="T5105" t="str">
        <f t="shared" si="1"/>
        <v/>
      </c>
      <c r="U5105" t="str">
        <f t="shared" si="2"/>
        <v/>
      </c>
      <c r="V5105" t="str">
        <f>IF(OR(U5105="",U5105="ERRO_CHAVE"),"",IFERROR(MATCH(U5105,Fornecedores!$AF$1:$AF$6631,0),""))</f>
        <v/>
      </c>
      <c r="W5105" t="str">
        <f t="shared" si="3"/>
        <v/>
      </c>
      <c r="X5105" s="4" t="str">
        <f>IF(V5105="","",INDEX(Fornecedores!$X$1:$X$6631,V5105))</f>
        <v/>
      </c>
      <c r="Y5105" s="4" t="str">
        <f t="shared" si="4"/>
        <v/>
      </c>
    </row>
    <row r="5106" spans="19:25">
      <c r="S5106" t="str">
        <f t="shared" si="0"/>
        <v/>
      </c>
      <c r="T5106" t="str">
        <f t="shared" si="1"/>
        <v/>
      </c>
      <c r="U5106" t="str">
        <f t="shared" si="2"/>
        <v/>
      </c>
      <c r="V5106" t="str">
        <f>IF(OR(U5106="",U5106="ERRO_CHAVE"),"",IFERROR(MATCH(U5106,Fornecedores!$AF$1:$AF$6631,0),""))</f>
        <v/>
      </c>
      <c r="W5106" t="str">
        <f t="shared" si="3"/>
        <v/>
      </c>
      <c r="X5106" s="4" t="str">
        <f>IF(V5106="","",INDEX(Fornecedores!$X$1:$X$6631,V5106))</f>
        <v/>
      </c>
      <c r="Y5106" s="4" t="str">
        <f t="shared" si="4"/>
        <v/>
      </c>
    </row>
    <row r="5107" spans="19:25">
      <c r="S5107" t="str">
        <f t="shared" si="0"/>
        <v/>
      </c>
      <c r="T5107" t="str">
        <f t="shared" si="1"/>
        <v/>
      </c>
      <c r="U5107" t="str">
        <f t="shared" si="2"/>
        <v/>
      </c>
      <c r="V5107" t="str">
        <f>IF(OR(U5107="",U5107="ERRO_CHAVE"),"",IFERROR(MATCH(U5107,Fornecedores!$AF$1:$AF$6631,0),""))</f>
        <v/>
      </c>
      <c r="W5107" t="str">
        <f t="shared" si="3"/>
        <v/>
      </c>
      <c r="X5107" s="4" t="str">
        <f>IF(V5107="","",INDEX(Fornecedores!$X$1:$X$6631,V5107))</f>
        <v/>
      </c>
      <c r="Y5107" s="4" t="str">
        <f t="shared" si="4"/>
        <v/>
      </c>
    </row>
    <row r="5108" spans="19:25">
      <c r="S5108" t="str">
        <f t="shared" si="0"/>
        <v/>
      </c>
      <c r="T5108" t="str">
        <f t="shared" si="1"/>
        <v/>
      </c>
      <c r="U5108" t="str">
        <f t="shared" si="2"/>
        <v/>
      </c>
      <c r="V5108" t="str">
        <f>IF(OR(U5108="",U5108="ERRO_CHAVE"),"",IFERROR(MATCH(U5108,Fornecedores!$AF$1:$AF$6631,0),""))</f>
        <v/>
      </c>
      <c r="W5108" t="str">
        <f t="shared" si="3"/>
        <v/>
      </c>
      <c r="X5108" s="4" t="str">
        <f>IF(V5108="","",INDEX(Fornecedores!$X$1:$X$6631,V5108))</f>
        <v/>
      </c>
      <c r="Y5108" s="4" t="str">
        <f t="shared" si="4"/>
        <v/>
      </c>
    </row>
    <row r="5109" spans="19:25">
      <c r="S5109" t="str">
        <f t="shared" si="0"/>
        <v/>
      </c>
      <c r="T5109" t="str">
        <f t="shared" si="1"/>
        <v/>
      </c>
      <c r="U5109" t="str">
        <f t="shared" si="2"/>
        <v/>
      </c>
      <c r="V5109" t="str">
        <f>IF(OR(U5109="",U5109="ERRO_CHAVE"),"",IFERROR(MATCH(U5109,Fornecedores!$AF$1:$AF$6631,0),""))</f>
        <v/>
      </c>
      <c r="W5109" t="str">
        <f t="shared" si="3"/>
        <v/>
      </c>
      <c r="X5109" s="4" t="str">
        <f>IF(V5109="","",INDEX(Fornecedores!$X$1:$X$6631,V5109))</f>
        <v/>
      </c>
      <c r="Y5109" s="4" t="str">
        <f t="shared" si="4"/>
        <v/>
      </c>
    </row>
    <row r="5110" spans="19:25">
      <c r="S5110" t="str">
        <f t="shared" si="0"/>
        <v/>
      </c>
      <c r="T5110" t="str">
        <f t="shared" si="1"/>
        <v/>
      </c>
      <c r="U5110" t="str">
        <f t="shared" si="2"/>
        <v/>
      </c>
      <c r="V5110" t="str">
        <f>IF(OR(U5110="",U5110="ERRO_CHAVE"),"",IFERROR(MATCH(U5110,Fornecedores!$AF$1:$AF$6631,0),""))</f>
        <v/>
      </c>
      <c r="W5110" t="str">
        <f t="shared" si="3"/>
        <v/>
      </c>
      <c r="X5110" s="4" t="str">
        <f>IF(V5110="","",INDEX(Fornecedores!$X$1:$X$6631,V5110))</f>
        <v/>
      </c>
      <c r="Y5110" s="4" t="str">
        <f t="shared" si="4"/>
        <v/>
      </c>
    </row>
    <row r="5111" spans="19:25">
      <c r="S5111" t="str">
        <f t="shared" si="0"/>
        <v/>
      </c>
      <c r="T5111" t="str">
        <f t="shared" si="1"/>
        <v/>
      </c>
      <c r="U5111" t="str">
        <f t="shared" si="2"/>
        <v/>
      </c>
      <c r="V5111" t="str">
        <f>IF(OR(U5111="",U5111="ERRO_CHAVE"),"",IFERROR(MATCH(U5111,Fornecedores!$AF$1:$AF$6631,0),""))</f>
        <v/>
      </c>
      <c r="W5111" t="str">
        <f t="shared" si="3"/>
        <v/>
      </c>
      <c r="X5111" s="4" t="str">
        <f>IF(V5111="","",INDEX(Fornecedores!$X$1:$X$6631,V5111))</f>
        <v/>
      </c>
      <c r="Y5111" s="4" t="str">
        <f t="shared" si="4"/>
        <v/>
      </c>
    </row>
    <row r="5112" spans="19:25">
      <c r="S5112" t="str">
        <f t="shared" si="0"/>
        <v/>
      </c>
      <c r="T5112" t="str">
        <f t="shared" si="1"/>
        <v/>
      </c>
      <c r="U5112" t="str">
        <f t="shared" si="2"/>
        <v/>
      </c>
      <c r="V5112" t="str">
        <f>IF(OR(U5112="",U5112="ERRO_CHAVE"),"",IFERROR(MATCH(U5112,Fornecedores!$AF$1:$AF$6631,0),""))</f>
        <v/>
      </c>
      <c r="W5112" t="str">
        <f t="shared" si="3"/>
        <v/>
      </c>
      <c r="X5112" s="4" t="str">
        <f>IF(V5112="","",INDEX(Fornecedores!$X$1:$X$6631,V5112))</f>
        <v/>
      </c>
      <c r="Y5112" s="4" t="str">
        <f t="shared" si="4"/>
        <v/>
      </c>
    </row>
    <row r="5113" spans="19:25">
      <c r="S5113" t="str">
        <f t="shared" si="0"/>
        <v/>
      </c>
      <c r="T5113" t="str">
        <f t="shared" si="1"/>
        <v/>
      </c>
      <c r="U5113" t="str">
        <f t="shared" si="2"/>
        <v/>
      </c>
      <c r="V5113" t="str">
        <f>IF(OR(U5113="",U5113="ERRO_CHAVE"),"",IFERROR(MATCH(U5113,Fornecedores!$AF$1:$AF$6631,0),""))</f>
        <v/>
      </c>
      <c r="W5113" t="str">
        <f t="shared" si="3"/>
        <v/>
      </c>
      <c r="X5113" s="4" t="str">
        <f>IF(V5113="","",INDEX(Fornecedores!$X$1:$X$6631,V5113))</f>
        <v/>
      </c>
      <c r="Y5113" s="4" t="str">
        <f t="shared" si="4"/>
        <v/>
      </c>
    </row>
    <row r="5114" spans="19:25">
      <c r="S5114" t="str">
        <f t="shared" si="0"/>
        <v/>
      </c>
      <c r="T5114" t="str">
        <f t="shared" si="1"/>
        <v/>
      </c>
      <c r="U5114" t="str">
        <f t="shared" si="2"/>
        <v/>
      </c>
      <c r="V5114" t="str">
        <f>IF(OR(U5114="",U5114="ERRO_CHAVE"),"",IFERROR(MATCH(U5114,Fornecedores!$AF$1:$AF$6631,0),""))</f>
        <v/>
      </c>
      <c r="W5114" t="str">
        <f t="shared" si="3"/>
        <v/>
      </c>
      <c r="X5114" s="4" t="str">
        <f>IF(V5114="","",INDEX(Fornecedores!$X$1:$X$6631,V5114))</f>
        <v/>
      </c>
      <c r="Y5114" s="4" t="str">
        <f t="shared" si="4"/>
        <v/>
      </c>
    </row>
    <row r="5115" spans="19:25">
      <c r="S5115" t="str">
        <f t="shared" si="0"/>
        <v/>
      </c>
      <c r="T5115" t="str">
        <f t="shared" si="1"/>
        <v/>
      </c>
      <c r="U5115" t="str">
        <f t="shared" si="2"/>
        <v/>
      </c>
      <c r="V5115" t="str">
        <f>IF(OR(U5115="",U5115="ERRO_CHAVE"),"",IFERROR(MATCH(U5115,Fornecedores!$AF$1:$AF$6631,0),""))</f>
        <v/>
      </c>
      <c r="W5115" t="str">
        <f t="shared" si="3"/>
        <v/>
      </c>
      <c r="X5115" s="4" t="str">
        <f>IF(V5115="","",INDEX(Fornecedores!$X$1:$X$6631,V5115))</f>
        <v/>
      </c>
      <c r="Y5115" s="4" t="str">
        <f t="shared" si="4"/>
        <v/>
      </c>
    </row>
    <row r="5116" spans="19:25">
      <c r="S5116" t="str">
        <f t="shared" si="0"/>
        <v/>
      </c>
      <c r="T5116" t="str">
        <f t="shared" si="1"/>
        <v/>
      </c>
      <c r="U5116" t="str">
        <f t="shared" si="2"/>
        <v/>
      </c>
      <c r="V5116" t="str">
        <f>IF(OR(U5116="",U5116="ERRO_CHAVE"),"",IFERROR(MATCH(U5116,Fornecedores!$AF$1:$AF$6631,0),""))</f>
        <v/>
      </c>
      <c r="W5116" t="str">
        <f t="shared" si="3"/>
        <v/>
      </c>
      <c r="X5116" s="4" t="str">
        <f>IF(V5116="","",INDEX(Fornecedores!$X$1:$X$6631,V5116))</f>
        <v/>
      </c>
      <c r="Y5116" s="4" t="str">
        <f t="shared" si="4"/>
        <v/>
      </c>
    </row>
    <row r="5117" spans="19:25">
      <c r="S5117" t="str">
        <f t="shared" si="0"/>
        <v/>
      </c>
      <c r="T5117" t="str">
        <f t="shared" si="1"/>
        <v/>
      </c>
      <c r="U5117" t="str">
        <f t="shared" si="2"/>
        <v/>
      </c>
      <c r="V5117" t="str">
        <f>IF(OR(U5117="",U5117="ERRO_CHAVE"),"",IFERROR(MATCH(U5117,Fornecedores!$AF$1:$AF$6631,0),""))</f>
        <v/>
      </c>
      <c r="W5117" t="str">
        <f t="shared" si="3"/>
        <v/>
      </c>
      <c r="X5117" s="4" t="str">
        <f>IF(V5117="","",INDEX(Fornecedores!$X$1:$X$6631,V5117))</f>
        <v/>
      </c>
      <c r="Y5117" s="4" t="str">
        <f t="shared" si="4"/>
        <v/>
      </c>
    </row>
    <row r="5118" spans="19:25">
      <c r="S5118" t="str">
        <f t="shared" si="0"/>
        <v/>
      </c>
      <c r="T5118" t="str">
        <f t="shared" si="1"/>
        <v/>
      </c>
      <c r="U5118" t="str">
        <f t="shared" si="2"/>
        <v/>
      </c>
      <c r="V5118" t="str">
        <f>IF(OR(U5118="",U5118="ERRO_CHAVE"),"",IFERROR(MATCH(U5118,Fornecedores!$AF$1:$AF$6631,0),""))</f>
        <v/>
      </c>
      <c r="W5118" t="str">
        <f t="shared" si="3"/>
        <v/>
      </c>
      <c r="X5118" s="4" t="str">
        <f>IF(V5118="","",INDEX(Fornecedores!$X$1:$X$6631,V5118))</f>
        <v/>
      </c>
      <c r="Y5118" s="4" t="str">
        <f t="shared" si="4"/>
        <v/>
      </c>
    </row>
    <row r="5119" spans="19:25">
      <c r="S5119" t="str">
        <f t="shared" si="0"/>
        <v/>
      </c>
      <c r="T5119" t="str">
        <f t="shared" si="1"/>
        <v/>
      </c>
      <c r="U5119" t="str">
        <f t="shared" si="2"/>
        <v/>
      </c>
      <c r="V5119" t="str">
        <f>IF(OR(U5119="",U5119="ERRO_CHAVE"),"",IFERROR(MATCH(U5119,Fornecedores!$AF$1:$AF$6631,0),""))</f>
        <v/>
      </c>
      <c r="W5119" t="str">
        <f t="shared" si="3"/>
        <v/>
      </c>
      <c r="X5119" s="4" t="str">
        <f>IF(V5119="","",INDEX(Fornecedores!$X$1:$X$6631,V5119))</f>
        <v/>
      </c>
      <c r="Y5119" s="4" t="str">
        <f t="shared" si="4"/>
        <v/>
      </c>
    </row>
    <row r="5120" spans="19:25">
      <c r="S5120" t="str">
        <f t="shared" si="0"/>
        <v/>
      </c>
      <c r="T5120" t="str">
        <f t="shared" si="1"/>
        <v/>
      </c>
      <c r="U5120" t="str">
        <f t="shared" si="2"/>
        <v/>
      </c>
      <c r="V5120" t="str">
        <f>IF(OR(U5120="",U5120="ERRO_CHAVE"),"",IFERROR(MATCH(U5120,Fornecedores!$AF$1:$AF$6631,0),""))</f>
        <v/>
      </c>
      <c r="W5120" t="str">
        <f t="shared" si="3"/>
        <v/>
      </c>
      <c r="X5120" s="4" t="str">
        <f>IF(V5120="","",INDEX(Fornecedores!$X$1:$X$6631,V5120))</f>
        <v/>
      </c>
      <c r="Y5120" s="4" t="str">
        <f t="shared" si="4"/>
        <v/>
      </c>
    </row>
    <row r="5121" spans="19:25">
      <c r="S5121" t="str">
        <f t="shared" si="0"/>
        <v/>
      </c>
      <c r="T5121" t="str">
        <f t="shared" si="1"/>
        <v/>
      </c>
      <c r="U5121" t="str">
        <f t="shared" si="2"/>
        <v/>
      </c>
      <c r="V5121" t="str">
        <f>IF(OR(U5121="",U5121="ERRO_CHAVE"),"",IFERROR(MATCH(U5121,Fornecedores!$AF$1:$AF$6631,0),""))</f>
        <v/>
      </c>
      <c r="W5121" t="str">
        <f t="shared" si="3"/>
        <v/>
      </c>
      <c r="X5121" s="4" t="str">
        <f>IF(V5121="","",INDEX(Fornecedores!$X$1:$X$6631,V5121))</f>
        <v/>
      </c>
      <c r="Y5121" s="4" t="str">
        <f t="shared" si="4"/>
        <v/>
      </c>
    </row>
    <row r="5122" spans="19:25">
      <c r="S5122" t="str">
        <f t="shared" si="0"/>
        <v/>
      </c>
      <c r="T5122" t="str">
        <f t="shared" si="1"/>
        <v/>
      </c>
      <c r="U5122" t="str">
        <f t="shared" si="2"/>
        <v/>
      </c>
      <c r="V5122" t="str">
        <f>IF(OR(U5122="",U5122="ERRO_CHAVE"),"",IFERROR(MATCH(U5122,Fornecedores!$AF$1:$AF$6631,0),""))</f>
        <v/>
      </c>
      <c r="W5122" t="str">
        <f t="shared" si="3"/>
        <v/>
      </c>
      <c r="X5122" s="4" t="str">
        <f>IF(V5122="","",INDEX(Fornecedores!$X$1:$X$6631,V5122))</f>
        <v/>
      </c>
      <c r="Y5122" s="4" t="str">
        <f t="shared" si="4"/>
        <v/>
      </c>
    </row>
    <row r="5123" spans="19:25">
      <c r="S5123" t="str">
        <f t="shared" si="0"/>
        <v/>
      </c>
      <c r="T5123" t="str">
        <f t="shared" si="1"/>
        <v/>
      </c>
      <c r="U5123" t="str">
        <f t="shared" si="2"/>
        <v/>
      </c>
      <c r="V5123" t="str">
        <f>IF(OR(U5123="",U5123="ERRO_CHAVE"),"",IFERROR(MATCH(U5123,Fornecedores!$AF$1:$AF$6631,0),""))</f>
        <v/>
      </c>
      <c r="W5123" t="str">
        <f t="shared" si="3"/>
        <v/>
      </c>
      <c r="X5123" s="4" t="str">
        <f>IF(V5123="","",INDEX(Fornecedores!$X$1:$X$6631,V5123))</f>
        <v/>
      </c>
      <c r="Y5123" s="4" t="str">
        <f t="shared" si="4"/>
        <v/>
      </c>
    </row>
    <row r="5124" spans="19:25">
      <c r="S5124" t="str">
        <f t="shared" si="0"/>
        <v/>
      </c>
      <c r="T5124" t="str">
        <f t="shared" si="1"/>
        <v/>
      </c>
      <c r="U5124" t="str">
        <f t="shared" si="2"/>
        <v/>
      </c>
      <c r="V5124" t="str">
        <f>IF(OR(U5124="",U5124="ERRO_CHAVE"),"",IFERROR(MATCH(U5124,Fornecedores!$AF$1:$AF$6631,0),""))</f>
        <v/>
      </c>
      <c r="W5124" t="str">
        <f t="shared" si="3"/>
        <v/>
      </c>
      <c r="X5124" s="4" t="str">
        <f>IF(V5124="","",INDEX(Fornecedores!$X$1:$X$6631,V5124))</f>
        <v/>
      </c>
      <c r="Y5124" s="4" t="str">
        <f t="shared" si="4"/>
        <v/>
      </c>
    </row>
    <row r="5125" spans="19:25">
      <c r="S5125" t="str">
        <f t="shared" si="0"/>
        <v/>
      </c>
      <c r="T5125" t="str">
        <f t="shared" si="1"/>
        <v/>
      </c>
      <c r="U5125" t="str">
        <f t="shared" si="2"/>
        <v/>
      </c>
      <c r="V5125" t="str">
        <f>IF(OR(U5125="",U5125="ERRO_CHAVE"),"",IFERROR(MATCH(U5125,Fornecedores!$AF$1:$AF$6631,0),""))</f>
        <v/>
      </c>
      <c r="W5125" t="str">
        <f t="shared" si="3"/>
        <v/>
      </c>
      <c r="X5125" s="4" t="str">
        <f>IF(V5125="","",INDEX(Fornecedores!$X$1:$X$6631,V5125))</f>
        <v/>
      </c>
      <c r="Y5125" s="4" t="str">
        <f t="shared" si="4"/>
        <v/>
      </c>
    </row>
    <row r="5126" spans="19:25">
      <c r="S5126" t="str">
        <f t="shared" si="0"/>
        <v/>
      </c>
      <c r="T5126" t="str">
        <f t="shared" si="1"/>
        <v/>
      </c>
      <c r="U5126" t="str">
        <f t="shared" si="2"/>
        <v/>
      </c>
      <c r="V5126" t="str">
        <f>IF(OR(U5126="",U5126="ERRO_CHAVE"),"",IFERROR(MATCH(U5126,Fornecedores!$AF$1:$AF$6631,0),""))</f>
        <v/>
      </c>
      <c r="W5126" t="str">
        <f t="shared" si="3"/>
        <v/>
      </c>
      <c r="X5126" s="4" t="str">
        <f>IF(V5126="","",INDEX(Fornecedores!$X$1:$X$6631,V5126))</f>
        <v/>
      </c>
      <c r="Y5126" s="4" t="str">
        <f t="shared" si="4"/>
        <v/>
      </c>
    </row>
    <row r="5127" spans="19:25">
      <c r="S5127" t="str">
        <f t="shared" si="0"/>
        <v/>
      </c>
      <c r="T5127" t="str">
        <f t="shared" si="1"/>
        <v/>
      </c>
      <c r="U5127" t="str">
        <f t="shared" si="2"/>
        <v/>
      </c>
      <c r="V5127" t="str">
        <f>IF(OR(U5127="",U5127="ERRO_CHAVE"),"",IFERROR(MATCH(U5127,Fornecedores!$AF$1:$AF$6631,0),""))</f>
        <v/>
      </c>
      <c r="W5127" t="str">
        <f t="shared" si="3"/>
        <v/>
      </c>
      <c r="X5127" s="4" t="str">
        <f>IF(V5127="","",INDEX(Fornecedores!$X$1:$X$6631,V5127))</f>
        <v/>
      </c>
      <c r="Y5127" s="4" t="str">
        <f t="shared" si="4"/>
        <v/>
      </c>
    </row>
    <row r="5128" spans="19:25">
      <c r="S5128" t="str">
        <f t="shared" si="0"/>
        <v/>
      </c>
      <c r="T5128" t="str">
        <f t="shared" si="1"/>
        <v/>
      </c>
      <c r="U5128" t="str">
        <f t="shared" si="2"/>
        <v/>
      </c>
      <c r="V5128" t="str">
        <f>IF(OR(U5128="",U5128="ERRO_CHAVE"),"",IFERROR(MATCH(U5128,Fornecedores!$AF$1:$AF$6631,0),""))</f>
        <v/>
      </c>
      <c r="W5128" t="str">
        <f t="shared" si="3"/>
        <v/>
      </c>
      <c r="X5128" s="4" t="str">
        <f>IF(V5128="","",INDEX(Fornecedores!$X$1:$X$6631,V5128))</f>
        <v/>
      </c>
      <c r="Y5128" s="4" t="str">
        <f t="shared" si="4"/>
        <v/>
      </c>
    </row>
    <row r="5129" spans="19:25">
      <c r="S5129" t="str">
        <f t="shared" si="0"/>
        <v/>
      </c>
      <c r="T5129" t="str">
        <f t="shared" si="1"/>
        <v/>
      </c>
      <c r="U5129" t="str">
        <f t="shared" si="2"/>
        <v/>
      </c>
      <c r="V5129" t="str">
        <f>IF(OR(U5129="",U5129="ERRO_CHAVE"),"",IFERROR(MATCH(U5129,Fornecedores!$AF$1:$AF$6631,0),""))</f>
        <v/>
      </c>
      <c r="W5129" t="str">
        <f t="shared" si="3"/>
        <v/>
      </c>
      <c r="X5129" s="4" t="str">
        <f>IF(V5129="","",INDEX(Fornecedores!$X$1:$X$6631,V5129))</f>
        <v/>
      </c>
      <c r="Y5129" s="4" t="str">
        <f t="shared" si="4"/>
        <v/>
      </c>
    </row>
    <row r="5130" spans="19:25">
      <c r="S5130" t="str">
        <f t="shared" si="0"/>
        <v/>
      </c>
      <c r="T5130" t="str">
        <f t="shared" si="1"/>
        <v/>
      </c>
      <c r="U5130" t="str">
        <f t="shared" si="2"/>
        <v/>
      </c>
      <c r="V5130" t="str">
        <f>IF(OR(U5130="",U5130="ERRO_CHAVE"),"",IFERROR(MATCH(U5130,Fornecedores!$AF$1:$AF$6631,0),""))</f>
        <v/>
      </c>
      <c r="W5130" t="str">
        <f t="shared" si="3"/>
        <v/>
      </c>
      <c r="X5130" s="4" t="str">
        <f>IF(V5130="","",INDEX(Fornecedores!$X$1:$X$6631,V5130))</f>
        <v/>
      </c>
      <c r="Y5130" s="4" t="str">
        <f t="shared" si="4"/>
        <v/>
      </c>
    </row>
    <row r="5131" spans="19:25">
      <c r="S5131" t="str">
        <f t="shared" si="0"/>
        <v/>
      </c>
      <c r="T5131" t="str">
        <f t="shared" si="1"/>
        <v/>
      </c>
      <c r="U5131" t="str">
        <f t="shared" si="2"/>
        <v/>
      </c>
      <c r="V5131" t="str">
        <f>IF(OR(U5131="",U5131="ERRO_CHAVE"),"",IFERROR(MATCH(U5131,Fornecedores!$AF$1:$AF$6631,0),""))</f>
        <v/>
      </c>
      <c r="W5131" t="str">
        <f t="shared" si="3"/>
        <v/>
      </c>
      <c r="X5131" s="4" t="str">
        <f>IF(V5131="","",INDEX(Fornecedores!$X$1:$X$6631,V5131))</f>
        <v/>
      </c>
      <c r="Y5131" s="4" t="str">
        <f t="shared" si="4"/>
        <v/>
      </c>
    </row>
    <row r="5132" spans="19:25">
      <c r="S5132" t="str">
        <f t="shared" si="0"/>
        <v/>
      </c>
      <c r="T5132" t="str">
        <f t="shared" si="1"/>
        <v/>
      </c>
      <c r="U5132" t="str">
        <f t="shared" si="2"/>
        <v/>
      </c>
      <c r="V5132" t="str">
        <f>IF(OR(U5132="",U5132="ERRO_CHAVE"),"",IFERROR(MATCH(U5132,Fornecedores!$AF$1:$AF$6631,0),""))</f>
        <v/>
      </c>
      <c r="W5132" t="str">
        <f t="shared" si="3"/>
        <v/>
      </c>
      <c r="X5132" s="4" t="str">
        <f>IF(V5132="","",INDEX(Fornecedores!$X$1:$X$6631,V5132))</f>
        <v/>
      </c>
      <c r="Y5132" s="4" t="str">
        <f t="shared" si="4"/>
        <v/>
      </c>
    </row>
    <row r="5133" spans="19:25">
      <c r="S5133" t="str">
        <f t="shared" si="0"/>
        <v/>
      </c>
      <c r="T5133" t="str">
        <f t="shared" si="1"/>
        <v/>
      </c>
      <c r="U5133" t="str">
        <f t="shared" si="2"/>
        <v/>
      </c>
      <c r="V5133" t="str">
        <f>IF(OR(U5133="",U5133="ERRO_CHAVE"),"",IFERROR(MATCH(U5133,Fornecedores!$AF$1:$AF$6631,0),""))</f>
        <v/>
      </c>
      <c r="W5133" t="str">
        <f t="shared" si="3"/>
        <v/>
      </c>
      <c r="X5133" s="4" t="str">
        <f>IF(V5133="","",INDEX(Fornecedores!$X$1:$X$6631,V5133))</f>
        <v/>
      </c>
      <c r="Y5133" s="4" t="str">
        <f t="shared" si="4"/>
        <v/>
      </c>
    </row>
    <row r="5134" spans="19:25">
      <c r="S5134" t="str">
        <f t="shared" si="0"/>
        <v/>
      </c>
      <c r="T5134" t="str">
        <f t="shared" si="1"/>
        <v/>
      </c>
      <c r="U5134" t="str">
        <f t="shared" si="2"/>
        <v/>
      </c>
      <c r="V5134" t="str">
        <f>IF(OR(U5134="",U5134="ERRO_CHAVE"),"",IFERROR(MATCH(U5134,Fornecedores!$AF$1:$AF$6631,0),""))</f>
        <v/>
      </c>
      <c r="W5134" t="str">
        <f t="shared" si="3"/>
        <v/>
      </c>
      <c r="X5134" s="4" t="str">
        <f>IF(V5134="","",INDEX(Fornecedores!$X$1:$X$6631,V5134))</f>
        <v/>
      </c>
      <c r="Y5134" s="4" t="str">
        <f t="shared" si="4"/>
        <v/>
      </c>
    </row>
    <row r="5135" spans="19:25">
      <c r="S5135" t="str">
        <f t="shared" si="0"/>
        <v/>
      </c>
      <c r="T5135" t="str">
        <f t="shared" si="1"/>
        <v/>
      </c>
      <c r="U5135" t="str">
        <f t="shared" si="2"/>
        <v/>
      </c>
      <c r="V5135" t="str">
        <f>IF(OR(U5135="",U5135="ERRO_CHAVE"),"",IFERROR(MATCH(U5135,Fornecedores!$AF$1:$AF$6631,0),""))</f>
        <v/>
      </c>
      <c r="W5135" t="str">
        <f t="shared" si="3"/>
        <v/>
      </c>
      <c r="X5135" s="4" t="str">
        <f>IF(V5135="","",INDEX(Fornecedores!$X$1:$X$6631,V5135))</f>
        <v/>
      </c>
      <c r="Y5135" s="4" t="str">
        <f t="shared" si="4"/>
        <v/>
      </c>
    </row>
    <row r="5136" spans="19:25">
      <c r="S5136" t="str">
        <f t="shared" si="0"/>
        <v/>
      </c>
      <c r="T5136" t="str">
        <f t="shared" si="1"/>
        <v/>
      </c>
      <c r="U5136" t="str">
        <f t="shared" si="2"/>
        <v/>
      </c>
      <c r="V5136" t="str">
        <f>IF(OR(U5136="",U5136="ERRO_CHAVE"),"",IFERROR(MATCH(U5136,Fornecedores!$AF$1:$AF$6631,0),""))</f>
        <v/>
      </c>
      <c r="W5136" t="str">
        <f t="shared" si="3"/>
        <v/>
      </c>
      <c r="X5136" s="4" t="str">
        <f>IF(V5136="","",INDEX(Fornecedores!$X$1:$X$6631,V5136))</f>
        <v/>
      </c>
      <c r="Y5136" s="4" t="str">
        <f t="shared" si="4"/>
        <v/>
      </c>
    </row>
    <row r="5137" spans="19:25">
      <c r="S5137" t="str">
        <f t="shared" si="0"/>
        <v/>
      </c>
      <c r="T5137" t="str">
        <f t="shared" si="1"/>
        <v/>
      </c>
      <c r="U5137" t="str">
        <f t="shared" si="2"/>
        <v/>
      </c>
      <c r="V5137" t="str">
        <f>IF(OR(U5137="",U5137="ERRO_CHAVE"),"",IFERROR(MATCH(U5137,Fornecedores!$AF$1:$AF$6631,0),""))</f>
        <v/>
      </c>
      <c r="W5137" t="str">
        <f t="shared" si="3"/>
        <v/>
      </c>
      <c r="X5137" s="4" t="str">
        <f>IF(V5137="","",INDEX(Fornecedores!$X$1:$X$6631,V5137))</f>
        <v/>
      </c>
      <c r="Y5137" s="4" t="str">
        <f t="shared" si="4"/>
        <v/>
      </c>
    </row>
    <row r="5138" spans="19:25">
      <c r="S5138" t="str">
        <f t="shared" si="0"/>
        <v/>
      </c>
      <c r="T5138" t="str">
        <f t="shared" si="1"/>
        <v/>
      </c>
      <c r="U5138" t="str">
        <f t="shared" si="2"/>
        <v/>
      </c>
      <c r="V5138" t="str">
        <f>IF(OR(U5138="",U5138="ERRO_CHAVE"),"",IFERROR(MATCH(U5138,Fornecedores!$AF$1:$AF$6631,0),""))</f>
        <v/>
      </c>
      <c r="W5138" t="str">
        <f t="shared" si="3"/>
        <v/>
      </c>
      <c r="X5138" s="4" t="str">
        <f>IF(V5138="","",INDEX(Fornecedores!$X$1:$X$6631,V5138))</f>
        <v/>
      </c>
      <c r="Y5138" s="4" t="str">
        <f t="shared" si="4"/>
        <v/>
      </c>
    </row>
    <row r="5139" spans="19:25">
      <c r="S5139" t="str">
        <f t="shared" si="0"/>
        <v/>
      </c>
      <c r="T5139" t="str">
        <f t="shared" si="1"/>
        <v/>
      </c>
      <c r="U5139" t="str">
        <f t="shared" si="2"/>
        <v/>
      </c>
      <c r="V5139" t="str">
        <f>IF(OR(U5139="",U5139="ERRO_CHAVE"),"",IFERROR(MATCH(U5139,Fornecedores!$AF$1:$AF$6631,0),""))</f>
        <v/>
      </c>
      <c r="W5139" t="str">
        <f t="shared" si="3"/>
        <v/>
      </c>
      <c r="X5139" s="4" t="str">
        <f>IF(V5139="","",INDEX(Fornecedores!$X$1:$X$6631,V5139))</f>
        <v/>
      </c>
      <c r="Y5139" s="4" t="str">
        <f t="shared" si="4"/>
        <v/>
      </c>
    </row>
    <row r="5140" spans="19:25">
      <c r="S5140" t="str">
        <f t="shared" si="0"/>
        <v/>
      </c>
      <c r="T5140" t="str">
        <f t="shared" si="1"/>
        <v/>
      </c>
      <c r="U5140" t="str">
        <f t="shared" si="2"/>
        <v/>
      </c>
      <c r="V5140" t="str">
        <f>IF(OR(U5140="",U5140="ERRO_CHAVE"),"",IFERROR(MATCH(U5140,Fornecedores!$AF$1:$AF$6631,0),""))</f>
        <v/>
      </c>
      <c r="W5140" t="str">
        <f t="shared" si="3"/>
        <v/>
      </c>
      <c r="X5140" s="4" t="str">
        <f>IF(V5140="","",INDEX(Fornecedores!$X$1:$X$6631,V5140))</f>
        <v/>
      </c>
      <c r="Y5140" s="4" t="str">
        <f t="shared" si="4"/>
        <v/>
      </c>
    </row>
    <row r="5141" spans="19:25">
      <c r="S5141" t="str">
        <f t="shared" si="0"/>
        <v/>
      </c>
      <c r="T5141" t="str">
        <f t="shared" si="1"/>
        <v/>
      </c>
      <c r="U5141" t="str">
        <f t="shared" si="2"/>
        <v/>
      </c>
      <c r="V5141" t="str">
        <f>IF(OR(U5141="",U5141="ERRO_CHAVE"),"",IFERROR(MATCH(U5141,Fornecedores!$AF$1:$AF$6631,0),""))</f>
        <v/>
      </c>
      <c r="W5141" t="str">
        <f t="shared" si="3"/>
        <v/>
      </c>
      <c r="X5141" s="4" t="str">
        <f>IF(V5141="","",INDEX(Fornecedores!$X$1:$X$6631,V5141))</f>
        <v/>
      </c>
      <c r="Y5141" s="4" t="str">
        <f t="shared" si="4"/>
        <v/>
      </c>
    </row>
    <row r="5142" spans="19:25">
      <c r="S5142" t="str">
        <f t="shared" si="0"/>
        <v/>
      </c>
      <c r="T5142" t="str">
        <f t="shared" si="1"/>
        <v/>
      </c>
      <c r="U5142" t="str">
        <f t="shared" si="2"/>
        <v/>
      </c>
      <c r="V5142" t="str">
        <f>IF(OR(U5142="",U5142="ERRO_CHAVE"),"",IFERROR(MATCH(U5142,Fornecedores!$AF$1:$AF$6631,0),""))</f>
        <v/>
      </c>
      <c r="W5142" t="str">
        <f t="shared" si="3"/>
        <v/>
      </c>
      <c r="X5142" s="4" t="str">
        <f>IF(V5142="","",INDEX(Fornecedores!$X$1:$X$6631,V5142))</f>
        <v/>
      </c>
      <c r="Y5142" s="4" t="str">
        <f t="shared" si="4"/>
        <v/>
      </c>
    </row>
    <row r="5143" spans="19:25">
      <c r="S5143" t="str">
        <f t="shared" si="0"/>
        <v/>
      </c>
      <c r="T5143" t="str">
        <f t="shared" si="1"/>
        <v/>
      </c>
      <c r="U5143" t="str">
        <f t="shared" si="2"/>
        <v/>
      </c>
      <c r="V5143" t="str">
        <f>IF(OR(U5143="",U5143="ERRO_CHAVE"),"",IFERROR(MATCH(U5143,Fornecedores!$AF$1:$AF$6631,0),""))</f>
        <v/>
      </c>
      <c r="W5143" t="str">
        <f t="shared" si="3"/>
        <v/>
      </c>
      <c r="X5143" s="4" t="str">
        <f>IF(V5143="","",INDEX(Fornecedores!$X$1:$X$6631,V5143))</f>
        <v/>
      </c>
      <c r="Y5143" s="4" t="str">
        <f t="shared" si="4"/>
        <v/>
      </c>
    </row>
    <row r="5144" spans="19:25">
      <c r="S5144" t="str">
        <f t="shared" si="0"/>
        <v/>
      </c>
      <c r="T5144" t="str">
        <f t="shared" si="1"/>
        <v/>
      </c>
      <c r="U5144" t="str">
        <f t="shared" si="2"/>
        <v/>
      </c>
      <c r="V5144" t="str">
        <f>IF(OR(U5144="",U5144="ERRO_CHAVE"),"",IFERROR(MATCH(U5144,Fornecedores!$AF$1:$AF$6631,0),""))</f>
        <v/>
      </c>
      <c r="W5144" t="str">
        <f t="shared" si="3"/>
        <v/>
      </c>
      <c r="X5144" s="4" t="str">
        <f>IF(V5144="","",INDEX(Fornecedores!$X$1:$X$6631,V5144))</f>
        <v/>
      </c>
      <c r="Y5144" s="4" t="str">
        <f t="shared" si="4"/>
        <v/>
      </c>
    </row>
    <row r="5145" spans="19:25">
      <c r="S5145" t="str">
        <f t="shared" si="0"/>
        <v/>
      </c>
      <c r="T5145" t="str">
        <f t="shared" si="1"/>
        <v/>
      </c>
      <c r="U5145" t="str">
        <f t="shared" si="2"/>
        <v/>
      </c>
      <c r="V5145" t="str">
        <f>IF(OR(U5145="",U5145="ERRO_CHAVE"),"",IFERROR(MATCH(U5145,Fornecedores!$AF$1:$AF$6631,0),""))</f>
        <v/>
      </c>
      <c r="W5145" t="str">
        <f t="shared" si="3"/>
        <v/>
      </c>
      <c r="X5145" s="4" t="str">
        <f>IF(V5145="","",INDEX(Fornecedores!$X$1:$X$6631,V5145))</f>
        <v/>
      </c>
      <c r="Y5145" s="4" t="str">
        <f t="shared" si="4"/>
        <v/>
      </c>
    </row>
    <row r="5146" spans="19:25">
      <c r="S5146" t="str">
        <f t="shared" si="0"/>
        <v/>
      </c>
      <c r="T5146" t="str">
        <f t="shared" si="1"/>
        <v/>
      </c>
      <c r="U5146" t="str">
        <f t="shared" si="2"/>
        <v/>
      </c>
      <c r="V5146" t="str">
        <f>IF(OR(U5146="",U5146="ERRO_CHAVE"),"",IFERROR(MATCH(U5146,Fornecedores!$AF$1:$AF$6631,0),""))</f>
        <v/>
      </c>
      <c r="W5146" t="str">
        <f t="shared" si="3"/>
        <v/>
      </c>
      <c r="X5146" s="4" t="str">
        <f>IF(V5146="","",INDEX(Fornecedores!$X$1:$X$6631,V5146))</f>
        <v/>
      </c>
      <c r="Y5146" s="4" t="str">
        <f t="shared" si="4"/>
        <v/>
      </c>
    </row>
    <row r="5147" spans="19:25">
      <c r="S5147" t="str">
        <f t="shared" si="0"/>
        <v/>
      </c>
      <c r="T5147" t="str">
        <f t="shared" si="1"/>
        <v/>
      </c>
      <c r="U5147" t="str">
        <f t="shared" si="2"/>
        <v/>
      </c>
      <c r="V5147" t="str">
        <f>IF(OR(U5147="",U5147="ERRO_CHAVE"),"",IFERROR(MATCH(U5147,Fornecedores!$AF$1:$AF$6631,0),""))</f>
        <v/>
      </c>
      <c r="W5147" t="str">
        <f t="shared" si="3"/>
        <v/>
      </c>
      <c r="X5147" s="4" t="str">
        <f>IF(V5147="","",INDEX(Fornecedores!$X$1:$X$6631,V5147))</f>
        <v/>
      </c>
      <c r="Y5147" s="4" t="str">
        <f t="shared" si="4"/>
        <v/>
      </c>
    </row>
    <row r="5148" spans="19:25">
      <c r="S5148" t="str">
        <f t="shared" si="0"/>
        <v/>
      </c>
      <c r="T5148" t="str">
        <f t="shared" si="1"/>
        <v/>
      </c>
      <c r="U5148" t="str">
        <f t="shared" si="2"/>
        <v/>
      </c>
      <c r="V5148" t="str">
        <f>IF(OR(U5148="",U5148="ERRO_CHAVE"),"",IFERROR(MATCH(U5148,Fornecedores!$AF$1:$AF$6631,0),""))</f>
        <v/>
      </c>
      <c r="W5148" t="str">
        <f t="shared" si="3"/>
        <v/>
      </c>
      <c r="X5148" s="4" t="str">
        <f>IF(V5148="","",INDEX(Fornecedores!$X$1:$X$6631,V5148))</f>
        <v/>
      </c>
      <c r="Y5148" s="4" t="str">
        <f t="shared" si="4"/>
        <v/>
      </c>
    </row>
    <row r="5149" spans="19:25">
      <c r="S5149" t="str">
        <f t="shared" si="0"/>
        <v/>
      </c>
      <c r="T5149" t="str">
        <f t="shared" si="1"/>
        <v/>
      </c>
      <c r="U5149" t="str">
        <f t="shared" si="2"/>
        <v/>
      </c>
      <c r="V5149" t="str">
        <f>IF(OR(U5149="",U5149="ERRO_CHAVE"),"",IFERROR(MATCH(U5149,Fornecedores!$AF$1:$AF$6631,0),""))</f>
        <v/>
      </c>
      <c r="W5149" t="str">
        <f t="shared" si="3"/>
        <v/>
      </c>
      <c r="X5149" s="4" t="str">
        <f>IF(V5149="","",INDEX(Fornecedores!$X$1:$X$6631,V5149))</f>
        <v/>
      </c>
      <c r="Y5149" s="4" t="str">
        <f t="shared" si="4"/>
        <v/>
      </c>
    </row>
    <row r="5150" spans="19:25">
      <c r="S5150" t="str">
        <f t="shared" si="0"/>
        <v/>
      </c>
      <c r="T5150" t="str">
        <f t="shared" si="1"/>
        <v/>
      </c>
      <c r="U5150" t="str">
        <f t="shared" si="2"/>
        <v/>
      </c>
      <c r="V5150" t="str">
        <f>IF(OR(U5150="",U5150="ERRO_CHAVE"),"",IFERROR(MATCH(U5150,Fornecedores!$AF$1:$AF$6631,0),""))</f>
        <v/>
      </c>
      <c r="W5150" t="str">
        <f t="shared" si="3"/>
        <v/>
      </c>
      <c r="X5150" s="4" t="str">
        <f>IF(V5150="","",INDEX(Fornecedores!$X$1:$X$6631,V5150))</f>
        <v/>
      </c>
      <c r="Y5150" s="4" t="str">
        <f t="shared" si="4"/>
        <v/>
      </c>
    </row>
    <row r="5151" spans="19:25">
      <c r="S5151" t="str">
        <f t="shared" si="0"/>
        <v/>
      </c>
      <c r="T5151" t="str">
        <f t="shared" si="1"/>
        <v/>
      </c>
      <c r="U5151" t="str">
        <f t="shared" si="2"/>
        <v/>
      </c>
      <c r="V5151" t="str">
        <f>IF(OR(U5151="",U5151="ERRO_CHAVE"),"",IFERROR(MATCH(U5151,Fornecedores!$AF$1:$AF$6631,0),""))</f>
        <v/>
      </c>
      <c r="W5151" t="str">
        <f t="shared" si="3"/>
        <v/>
      </c>
      <c r="X5151" s="4" t="str">
        <f>IF(V5151="","",INDEX(Fornecedores!$X$1:$X$6631,V5151))</f>
        <v/>
      </c>
      <c r="Y5151" s="4" t="str">
        <f t="shared" si="4"/>
        <v/>
      </c>
    </row>
    <row r="5152" spans="19:25">
      <c r="S5152" t="str">
        <f t="shared" si="0"/>
        <v/>
      </c>
      <c r="T5152" t="str">
        <f t="shared" si="1"/>
        <v/>
      </c>
      <c r="U5152" t="str">
        <f t="shared" si="2"/>
        <v/>
      </c>
      <c r="V5152" t="str">
        <f>IF(OR(U5152="",U5152="ERRO_CHAVE"),"",IFERROR(MATCH(U5152,Fornecedores!$AF$1:$AF$6631,0),""))</f>
        <v/>
      </c>
      <c r="W5152" t="str">
        <f t="shared" si="3"/>
        <v/>
      </c>
      <c r="X5152" s="4" t="str">
        <f>IF(V5152="","",INDEX(Fornecedores!$X$1:$X$6631,V5152))</f>
        <v/>
      </c>
      <c r="Y5152" s="4" t="str">
        <f t="shared" si="4"/>
        <v/>
      </c>
    </row>
    <row r="5153" spans="19:25">
      <c r="S5153" t="str">
        <f t="shared" si="0"/>
        <v/>
      </c>
      <c r="T5153" t="str">
        <f t="shared" si="1"/>
        <v/>
      </c>
      <c r="U5153" t="str">
        <f t="shared" si="2"/>
        <v/>
      </c>
      <c r="V5153" t="str">
        <f>IF(OR(U5153="",U5153="ERRO_CHAVE"),"",IFERROR(MATCH(U5153,Fornecedores!$AF$1:$AF$6631,0),""))</f>
        <v/>
      </c>
      <c r="W5153" t="str">
        <f t="shared" si="3"/>
        <v/>
      </c>
      <c r="X5153" s="4" t="str">
        <f>IF(V5153="","",INDEX(Fornecedores!$X$1:$X$6631,V5153))</f>
        <v/>
      </c>
      <c r="Y5153" s="4" t="str">
        <f t="shared" si="4"/>
        <v/>
      </c>
    </row>
    <row r="5154" spans="19:25">
      <c r="S5154" t="str">
        <f t="shared" si="0"/>
        <v/>
      </c>
      <c r="T5154" t="str">
        <f t="shared" si="1"/>
        <v/>
      </c>
      <c r="U5154" t="str">
        <f t="shared" si="2"/>
        <v/>
      </c>
      <c r="V5154" t="str">
        <f>IF(OR(U5154="",U5154="ERRO_CHAVE"),"",IFERROR(MATCH(U5154,Fornecedores!$AF$1:$AF$6631,0),""))</f>
        <v/>
      </c>
      <c r="W5154" t="str">
        <f t="shared" si="3"/>
        <v/>
      </c>
      <c r="X5154" s="4" t="str">
        <f>IF(V5154="","",INDEX(Fornecedores!$X$1:$X$6631,V5154))</f>
        <v/>
      </c>
      <c r="Y5154" s="4" t="str">
        <f t="shared" si="4"/>
        <v/>
      </c>
    </row>
    <row r="5155" spans="19:25">
      <c r="S5155" t="str">
        <f t="shared" si="0"/>
        <v/>
      </c>
      <c r="T5155" t="str">
        <f t="shared" si="1"/>
        <v/>
      </c>
      <c r="U5155" t="str">
        <f t="shared" si="2"/>
        <v/>
      </c>
      <c r="V5155" t="str">
        <f>IF(OR(U5155="",U5155="ERRO_CHAVE"),"",IFERROR(MATCH(U5155,Fornecedores!$AF$1:$AF$6631,0),""))</f>
        <v/>
      </c>
      <c r="W5155" t="str">
        <f t="shared" si="3"/>
        <v/>
      </c>
      <c r="X5155" s="4" t="str">
        <f>IF(V5155="","",INDEX(Fornecedores!$X$1:$X$6631,V5155))</f>
        <v/>
      </c>
      <c r="Y5155" s="4" t="str">
        <f t="shared" si="4"/>
        <v/>
      </c>
    </row>
    <row r="5156" spans="19:25">
      <c r="S5156" t="str">
        <f t="shared" si="0"/>
        <v/>
      </c>
      <c r="T5156" t="str">
        <f t="shared" si="1"/>
        <v/>
      </c>
      <c r="U5156" t="str">
        <f t="shared" si="2"/>
        <v/>
      </c>
      <c r="V5156" t="str">
        <f>IF(OR(U5156="",U5156="ERRO_CHAVE"),"",IFERROR(MATCH(U5156,Fornecedores!$AF$1:$AF$6631,0),""))</f>
        <v/>
      </c>
      <c r="W5156" t="str">
        <f t="shared" si="3"/>
        <v/>
      </c>
      <c r="X5156" s="4" t="str">
        <f>IF(V5156="","",INDEX(Fornecedores!$X$1:$X$6631,V5156))</f>
        <v/>
      </c>
      <c r="Y5156" s="4" t="str">
        <f t="shared" si="4"/>
        <v/>
      </c>
    </row>
    <row r="5157" spans="19:25">
      <c r="S5157" t="str">
        <f t="shared" si="0"/>
        <v/>
      </c>
      <c r="T5157" t="str">
        <f t="shared" si="1"/>
        <v/>
      </c>
      <c r="U5157" t="str">
        <f t="shared" si="2"/>
        <v/>
      </c>
      <c r="V5157" t="str">
        <f>IF(OR(U5157="",U5157="ERRO_CHAVE"),"",IFERROR(MATCH(U5157,Fornecedores!$AF$1:$AF$6631,0),""))</f>
        <v/>
      </c>
      <c r="W5157" t="str">
        <f t="shared" si="3"/>
        <v/>
      </c>
      <c r="X5157" s="4" t="str">
        <f>IF(V5157="","",INDEX(Fornecedores!$X$1:$X$6631,V5157))</f>
        <v/>
      </c>
      <c r="Y5157" s="4" t="str">
        <f t="shared" si="4"/>
        <v/>
      </c>
    </row>
    <row r="5158" spans="19:25">
      <c r="S5158" t="str">
        <f t="shared" si="0"/>
        <v/>
      </c>
      <c r="T5158" t="str">
        <f t="shared" si="1"/>
        <v/>
      </c>
      <c r="U5158" t="str">
        <f t="shared" si="2"/>
        <v/>
      </c>
      <c r="V5158" t="str">
        <f>IF(OR(U5158="",U5158="ERRO_CHAVE"),"",IFERROR(MATCH(U5158,Fornecedores!$AF$1:$AF$6631,0),""))</f>
        <v/>
      </c>
      <c r="W5158" t="str">
        <f t="shared" si="3"/>
        <v/>
      </c>
      <c r="X5158" s="4" t="str">
        <f>IF(V5158="","",INDEX(Fornecedores!$X$1:$X$6631,V5158))</f>
        <v/>
      </c>
      <c r="Y5158" s="4" t="str">
        <f t="shared" si="4"/>
        <v/>
      </c>
    </row>
    <row r="5159" spans="19:25">
      <c r="S5159" t="str">
        <f t="shared" si="0"/>
        <v/>
      </c>
      <c r="T5159" t="str">
        <f t="shared" si="1"/>
        <v/>
      </c>
      <c r="U5159" t="str">
        <f t="shared" si="2"/>
        <v/>
      </c>
      <c r="V5159" t="str">
        <f>IF(OR(U5159="",U5159="ERRO_CHAVE"),"",IFERROR(MATCH(U5159,Fornecedores!$AF$1:$AF$6631,0),""))</f>
        <v/>
      </c>
      <c r="W5159" t="str">
        <f t="shared" si="3"/>
        <v/>
      </c>
      <c r="X5159" s="4" t="str">
        <f>IF(V5159="","",INDEX(Fornecedores!$X$1:$X$6631,V5159))</f>
        <v/>
      </c>
      <c r="Y5159" s="4" t="str">
        <f t="shared" si="4"/>
        <v/>
      </c>
    </row>
    <row r="5160" spans="19:25">
      <c r="S5160" t="str">
        <f t="shared" si="0"/>
        <v/>
      </c>
      <c r="T5160" t="str">
        <f t="shared" si="1"/>
        <v/>
      </c>
      <c r="U5160" t="str">
        <f t="shared" si="2"/>
        <v/>
      </c>
      <c r="V5160" t="str">
        <f>IF(OR(U5160="",U5160="ERRO_CHAVE"),"",IFERROR(MATCH(U5160,Fornecedores!$AF$1:$AF$6631,0),""))</f>
        <v/>
      </c>
      <c r="W5160" t="str">
        <f t="shared" si="3"/>
        <v/>
      </c>
      <c r="X5160" s="4" t="str">
        <f>IF(V5160="","",INDEX(Fornecedores!$X$1:$X$6631,V5160))</f>
        <v/>
      </c>
      <c r="Y5160" s="4" t="str">
        <f t="shared" si="4"/>
        <v/>
      </c>
    </row>
    <row r="5161" spans="19:25">
      <c r="S5161" t="str">
        <f t="shared" si="0"/>
        <v/>
      </c>
      <c r="T5161" t="str">
        <f t="shared" si="1"/>
        <v/>
      </c>
      <c r="U5161" t="str">
        <f t="shared" si="2"/>
        <v/>
      </c>
      <c r="V5161" t="str">
        <f>IF(OR(U5161="",U5161="ERRO_CHAVE"),"",IFERROR(MATCH(U5161,Fornecedores!$AF$1:$AF$6631,0),""))</f>
        <v/>
      </c>
      <c r="W5161" t="str">
        <f t="shared" si="3"/>
        <v/>
      </c>
      <c r="X5161" s="4" t="str">
        <f>IF(V5161="","",INDEX(Fornecedores!$X$1:$X$6631,V5161))</f>
        <v/>
      </c>
      <c r="Y5161" s="4" t="str">
        <f t="shared" si="4"/>
        <v/>
      </c>
    </row>
    <row r="5162" spans="19:25">
      <c r="S5162" t="str">
        <f t="shared" si="0"/>
        <v/>
      </c>
      <c r="T5162" t="str">
        <f t="shared" si="1"/>
        <v/>
      </c>
      <c r="U5162" t="str">
        <f t="shared" si="2"/>
        <v/>
      </c>
      <c r="V5162" t="str">
        <f>IF(OR(U5162="",U5162="ERRO_CHAVE"),"",IFERROR(MATCH(U5162,Fornecedores!$AF$1:$AF$6631,0),""))</f>
        <v/>
      </c>
      <c r="W5162" t="str">
        <f t="shared" si="3"/>
        <v/>
      </c>
      <c r="X5162" s="4" t="str">
        <f>IF(V5162="","",INDEX(Fornecedores!$X$1:$X$6631,V5162))</f>
        <v/>
      </c>
      <c r="Y5162" s="4" t="str">
        <f t="shared" si="4"/>
        <v/>
      </c>
    </row>
    <row r="5163" spans="19:25">
      <c r="S5163" t="str">
        <f t="shared" si="0"/>
        <v/>
      </c>
      <c r="T5163" t="str">
        <f t="shared" si="1"/>
        <v/>
      </c>
      <c r="U5163" t="str">
        <f t="shared" si="2"/>
        <v/>
      </c>
      <c r="V5163" t="str">
        <f>IF(OR(U5163="",U5163="ERRO_CHAVE"),"",IFERROR(MATCH(U5163,Fornecedores!$AF$1:$AF$6631,0),""))</f>
        <v/>
      </c>
      <c r="W5163" t="str">
        <f t="shared" si="3"/>
        <v/>
      </c>
      <c r="X5163" s="4" t="str">
        <f>IF(V5163="","",INDEX(Fornecedores!$X$1:$X$6631,V5163))</f>
        <v/>
      </c>
      <c r="Y5163" s="4" t="str">
        <f t="shared" si="4"/>
        <v/>
      </c>
    </row>
    <row r="5164" spans="19:25">
      <c r="S5164" t="str">
        <f t="shared" si="0"/>
        <v/>
      </c>
      <c r="T5164" t="str">
        <f t="shared" si="1"/>
        <v/>
      </c>
      <c r="U5164" t="str">
        <f t="shared" si="2"/>
        <v/>
      </c>
      <c r="V5164" t="str">
        <f>IF(OR(U5164="",U5164="ERRO_CHAVE"),"",IFERROR(MATCH(U5164,Fornecedores!$AF$1:$AF$6631,0),""))</f>
        <v/>
      </c>
      <c r="W5164" t="str">
        <f t="shared" si="3"/>
        <v/>
      </c>
      <c r="X5164" s="4" t="str">
        <f>IF(V5164="","",INDEX(Fornecedores!$X$1:$X$6631,V5164))</f>
        <v/>
      </c>
      <c r="Y5164" s="4" t="str">
        <f t="shared" si="4"/>
        <v/>
      </c>
    </row>
    <row r="5165" spans="19:25">
      <c r="S5165" t="str">
        <f t="shared" si="0"/>
        <v/>
      </c>
      <c r="T5165" t="str">
        <f t="shared" si="1"/>
        <v/>
      </c>
      <c r="U5165" t="str">
        <f t="shared" si="2"/>
        <v/>
      </c>
      <c r="V5165" t="str">
        <f>IF(OR(U5165="",U5165="ERRO_CHAVE"),"",IFERROR(MATCH(U5165,Fornecedores!$AF$1:$AF$6631,0),""))</f>
        <v/>
      </c>
      <c r="W5165" t="str">
        <f t="shared" si="3"/>
        <v/>
      </c>
      <c r="X5165" s="4" t="str">
        <f>IF(V5165="","",INDEX(Fornecedores!$X$1:$X$6631,V5165))</f>
        <v/>
      </c>
      <c r="Y5165" s="4" t="str">
        <f t="shared" si="4"/>
        <v/>
      </c>
    </row>
    <row r="5166" spans="19:25">
      <c r="S5166" t="str">
        <f t="shared" si="0"/>
        <v/>
      </c>
      <c r="T5166" t="str">
        <f t="shared" si="1"/>
        <v/>
      </c>
      <c r="U5166" t="str">
        <f t="shared" si="2"/>
        <v/>
      </c>
      <c r="V5166" t="str">
        <f>IF(OR(U5166="",U5166="ERRO_CHAVE"),"",IFERROR(MATCH(U5166,Fornecedores!$AF$1:$AF$6631,0),""))</f>
        <v/>
      </c>
      <c r="W5166" t="str">
        <f t="shared" si="3"/>
        <v/>
      </c>
      <c r="X5166" s="4" t="str">
        <f>IF(V5166="","",INDEX(Fornecedores!$X$1:$X$6631,V5166))</f>
        <v/>
      </c>
      <c r="Y5166" s="4" t="str">
        <f t="shared" si="4"/>
        <v/>
      </c>
    </row>
    <row r="5167" spans="19:25">
      <c r="S5167" t="str">
        <f t="shared" si="0"/>
        <v/>
      </c>
      <c r="T5167" t="str">
        <f t="shared" si="1"/>
        <v/>
      </c>
      <c r="U5167" t="str">
        <f t="shared" si="2"/>
        <v/>
      </c>
      <c r="V5167" t="str">
        <f>IF(OR(U5167="",U5167="ERRO_CHAVE"),"",IFERROR(MATCH(U5167,Fornecedores!$AF$1:$AF$6631,0),""))</f>
        <v/>
      </c>
      <c r="W5167" t="str">
        <f t="shared" si="3"/>
        <v/>
      </c>
      <c r="X5167" s="4" t="str">
        <f>IF(V5167="","",INDEX(Fornecedores!$X$1:$X$6631,V5167))</f>
        <v/>
      </c>
      <c r="Y5167" s="4" t="str">
        <f t="shared" si="4"/>
        <v/>
      </c>
    </row>
    <row r="5168" spans="19:25">
      <c r="S5168" t="str">
        <f t="shared" si="0"/>
        <v/>
      </c>
      <c r="T5168" t="str">
        <f t="shared" si="1"/>
        <v/>
      </c>
      <c r="U5168" t="str">
        <f t="shared" si="2"/>
        <v/>
      </c>
      <c r="V5168" t="str">
        <f>IF(OR(U5168="",U5168="ERRO_CHAVE"),"",IFERROR(MATCH(U5168,Fornecedores!$AF$1:$AF$6631,0),""))</f>
        <v/>
      </c>
      <c r="W5168" t="str">
        <f t="shared" si="3"/>
        <v/>
      </c>
      <c r="X5168" s="4" t="str">
        <f>IF(V5168="","",INDEX(Fornecedores!$X$1:$X$6631,V5168))</f>
        <v/>
      </c>
      <c r="Y5168" s="4" t="str">
        <f t="shared" si="4"/>
        <v/>
      </c>
    </row>
    <row r="5169" spans="19:25">
      <c r="S5169" t="str">
        <f t="shared" si="0"/>
        <v/>
      </c>
      <c r="T5169" t="str">
        <f t="shared" si="1"/>
        <v/>
      </c>
      <c r="U5169" t="str">
        <f t="shared" si="2"/>
        <v/>
      </c>
      <c r="V5169" t="str">
        <f>IF(OR(U5169="",U5169="ERRO_CHAVE"),"",IFERROR(MATCH(U5169,Fornecedores!$AF$1:$AF$6631,0),""))</f>
        <v/>
      </c>
      <c r="W5169" t="str">
        <f t="shared" si="3"/>
        <v/>
      </c>
      <c r="X5169" s="4" t="str">
        <f>IF(V5169="","",INDEX(Fornecedores!$X$1:$X$6631,V5169))</f>
        <v/>
      </c>
      <c r="Y5169" s="4" t="str">
        <f t="shared" si="4"/>
        <v/>
      </c>
    </row>
    <row r="5170" spans="19:25">
      <c r="S5170" t="str">
        <f t="shared" si="0"/>
        <v/>
      </c>
      <c r="T5170" t="str">
        <f t="shared" si="1"/>
        <v/>
      </c>
      <c r="U5170" t="str">
        <f t="shared" si="2"/>
        <v/>
      </c>
      <c r="V5170" t="str">
        <f>IF(OR(U5170="",U5170="ERRO_CHAVE"),"",IFERROR(MATCH(U5170,Fornecedores!$AF$1:$AF$6631,0),""))</f>
        <v/>
      </c>
      <c r="W5170" t="str">
        <f t="shared" si="3"/>
        <v/>
      </c>
      <c r="X5170" s="4" t="str">
        <f>IF(V5170="","",INDEX(Fornecedores!$X$1:$X$6631,V5170))</f>
        <v/>
      </c>
      <c r="Y5170" s="4" t="str">
        <f t="shared" si="4"/>
        <v/>
      </c>
    </row>
    <row r="5171" spans="19:25">
      <c r="S5171" t="str">
        <f t="shared" si="0"/>
        <v/>
      </c>
      <c r="T5171" t="str">
        <f t="shared" si="1"/>
        <v/>
      </c>
      <c r="U5171" t="str">
        <f t="shared" si="2"/>
        <v/>
      </c>
      <c r="V5171" t="str">
        <f>IF(OR(U5171="",U5171="ERRO_CHAVE"),"",IFERROR(MATCH(U5171,Fornecedores!$AF$1:$AF$6631,0),""))</f>
        <v/>
      </c>
      <c r="W5171" t="str">
        <f t="shared" si="3"/>
        <v/>
      </c>
      <c r="X5171" s="4" t="str">
        <f>IF(V5171="","",INDEX(Fornecedores!$X$1:$X$6631,V5171))</f>
        <v/>
      </c>
      <c r="Y5171" s="4" t="str">
        <f t="shared" si="4"/>
        <v/>
      </c>
    </row>
    <row r="5172" spans="19:25">
      <c r="S5172" t="str">
        <f t="shared" si="0"/>
        <v/>
      </c>
      <c r="T5172" t="str">
        <f t="shared" si="1"/>
        <v/>
      </c>
      <c r="U5172" t="str">
        <f t="shared" si="2"/>
        <v/>
      </c>
      <c r="V5172" t="str">
        <f>IF(OR(U5172="",U5172="ERRO_CHAVE"),"",IFERROR(MATCH(U5172,Fornecedores!$AF$1:$AF$6631,0),""))</f>
        <v/>
      </c>
      <c r="W5172" t="str">
        <f t="shared" si="3"/>
        <v/>
      </c>
      <c r="X5172" s="4" t="str">
        <f>IF(V5172="","",INDEX(Fornecedores!$X$1:$X$6631,V5172))</f>
        <v/>
      </c>
      <c r="Y5172" s="4" t="str">
        <f t="shared" si="4"/>
        <v/>
      </c>
    </row>
    <row r="5173" spans="19:25">
      <c r="S5173" t="str">
        <f t="shared" si="0"/>
        <v/>
      </c>
      <c r="T5173" t="str">
        <f t="shared" si="1"/>
        <v/>
      </c>
      <c r="U5173" t="str">
        <f t="shared" si="2"/>
        <v/>
      </c>
      <c r="V5173" t="str">
        <f>IF(OR(U5173="",U5173="ERRO_CHAVE"),"",IFERROR(MATCH(U5173,Fornecedores!$AF$1:$AF$6631,0),""))</f>
        <v/>
      </c>
      <c r="W5173" t="str">
        <f t="shared" si="3"/>
        <v/>
      </c>
      <c r="X5173" s="4" t="str">
        <f>IF(V5173="","",INDEX(Fornecedores!$X$1:$X$6631,V5173))</f>
        <v/>
      </c>
      <c r="Y5173" s="4" t="str">
        <f t="shared" si="4"/>
        <v/>
      </c>
    </row>
    <row r="5174" spans="19:25">
      <c r="S5174" t="str">
        <f t="shared" si="0"/>
        <v/>
      </c>
      <c r="T5174" t="str">
        <f t="shared" si="1"/>
        <v/>
      </c>
      <c r="U5174" t="str">
        <f t="shared" si="2"/>
        <v/>
      </c>
      <c r="V5174" t="str">
        <f>IF(OR(U5174="",U5174="ERRO_CHAVE"),"",IFERROR(MATCH(U5174,Fornecedores!$AF$1:$AF$6631,0),""))</f>
        <v/>
      </c>
      <c r="W5174" t="str">
        <f t="shared" si="3"/>
        <v/>
      </c>
      <c r="X5174" s="4" t="str">
        <f>IF(V5174="","",INDEX(Fornecedores!$X$1:$X$6631,V5174))</f>
        <v/>
      </c>
      <c r="Y5174" s="4" t="str">
        <f t="shared" si="4"/>
        <v/>
      </c>
    </row>
    <row r="5175" spans="19:25">
      <c r="S5175" t="str">
        <f t="shared" si="0"/>
        <v/>
      </c>
      <c r="T5175" t="str">
        <f t="shared" si="1"/>
        <v/>
      </c>
      <c r="U5175" t="str">
        <f t="shared" si="2"/>
        <v/>
      </c>
      <c r="V5175" t="str">
        <f>IF(OR(U5175="",U5175="ERRO_CHAVE"),"",IFERROR(MATCH(U5175,Fornecedores!$AF$1:$AF$6631,0),""))</f>
        <v/>
      </c>
      <c r="W5175" t="str">
        <f t="shared" si="3"/>
        <v/>
      </c>
      <c r="X5175" s="4" t="str">
        <f>IF(V5175="","",INDEX(Fornecedores!$X$1:$X$6631,V5175))</f>
        <v/>
      </c>
      <c r="Y5175" s="4" t="str">
        <f t="shared" si="4"/>
        <v/>
      </c>
    </row>
    <row r="5176" spans="19:25">
      <c r="S5176" t="str">
        <f t="shared" si="0"/>
        <v/>
      </c>
      <c r="T5176" t="str">
        <f t="shared" si="1"/>
        <v/>
      </c>
      <c r="U5176" t="str">
        <f t="shared" si="2"/>
        <v/>
      </c>
      <c r="V5176" t="str">
        <f>IF(OR(U5176="",U5176="ERRO_CHAVE"),"",IFERROR(MATCH(U5176,Fornecedores!$AF$1:$AF$6631,0),""))</f>
        <v/>
      </c>
      <c r="W5176" t="str">
        <f t="shared" si="3"/>
        <v/>
      </c>
      <c r="X5176" s="4" t="str">
        <f>IF(V5176="","",INDEX(Fornecedores!$X$1:$X$6631,V5176))</f>
        <v/>
      </c>
      <c r="Y5176" s="4" t="str">
        <f t="shared" si="4"/>
        <v/>
      </c>
    </row>
    <row r="5177" spans="19:25">
      <c r="S5177" t="str">
        <f t="shared" si="0"/>
        <v/>
      </c>
      <c r="T5177" t="str">
        <f t="shared" si="1"/>
        <v/>
      </c>
      <c r="U5177" t="str">
        <f t="shared" si="2"/>
        <v/>
      </c>
      <c r="V5177" t="str">
        <f>IF(OR(U5177="",U5177="ERRO_CHAVE"),"",IFERROR(MATCH(U5177,Fornecedores!$AF$1:$AF$6631,0),""))</f>
        <v/>
      </c>
      <c r="W5177" t="str">
        <f t="shared" si="3"/>
        <v/>
      </c>
      <c r="X5177" s="4" t="str">
        <f>IF(V5177="","",INDEX(Fornecedores!$X$1:$X$6631,V5177))</f>
        <v/>
      </c>
      <c r="Y5177" s="4" t="str">
        <f t="shared" si="4"/>
        <v/>
      </c>
    </row>
    <row r="5178" spans="19:25">
      <c r="S5178" t="str">
        <f t="shared" si="0"/>
        <v/>
      </c>
      <c r="T5178" t="str">
        <f t="shared" si="1"/>
        <v/>
      </c>
      <c r="U5178" t="str">
        <f t="shared" si="2"/>
        <v/>
      </c>
      <c r="V5178" t="str">
        <f>IF(OR(U5178="",U5178="ERRO_CHAVE"),"",IFERROR(MATCH(U5178,Fornecedores!$AF$1:$AF$6631,0),""))</f>
        <v/>
      </c>
      <c r="W5178" t="str">
        <f t="shared" si="3"/>
        <v/>
      </c>
      <c r="X5178" s="4" t="str">
        <f>IF(V5178="","",INDEX(Fornecedores!$X$1:$X$6631,V5178))</f>
        <v/>
      </c>
      <c r="Y5178" s="4" t="str">
        <f t="shared" si="4"/>
        <v/>
      </c>
    </row>
    <row r="5179" spans="19:25">
      <c r="S5179" t="str">
        <f t="shared" si="0"/>
        <v/>
      </c>
      <c r="T5179" t="str">
        <f t="shared" si="1"/>
        <v/>
      </c>
      <c r="U5179" t="str">
        <f t="shared" si="2"/>
        <v/>
      </c>
      <c r="V5179" t="str">
        <f>IF(OR(U5179="",U5179="ERRO_CHAVE"),"",IFERROR(MATCH(U5179,Fornecedores!$AF$1:$AF$6631,0),""))</f>
        <v/>
      </c>
      <c r="W5179" t="str">
        <f t="shared" si="3"/>
        <v/>
      </c>
      <c r="X5179" s="4" t="str">
        <f>IF(V5179="","",INDEX(Fornecedores!$X$1:$X$6631,V5179))</f>
        <v/>
      </c>
      <c r="Y5179" s="4" t="str">
        <f t="shared" si="4"/>
        <v/>
      </c>
    </row>
    <row r="5180" spans="19:25">
      <c r="S5180" t="str">
        <f t="shared" si="0"/>
        <v/>
      </c>
      <c r="T5180" t="str">
        <f t="shared" si="1"/>
        <v/>
      </c>
      <c r="U5180" t="str">
        <f t="shared" si="2"/>
        <v/>
      </c>
      <c r="V5180" t="str">
        <f>IF(OR(U5180="",U5180="ERRO_CHAVE"),"",IFERROR(MATCH(U5180,Fornecedores!$AF$1:$AF$6631,0),""))</f>
        <v/>
      </c>
      <c r="W5180" t="str">
        <f t="shared" si="3"/>
        <v/>
      </c>
      <c r="X5180" s="4" t="str">
        <f>IF(V5180="","",INDEX(Fornecedores!$X$1:$X$6631,V5180))</f>
        <v/>
      </c>
      <c r="Y5180" s="4" t="str">
        <f t="shared" si="4"/>
        <v/>
      </c>
    </row>
    <row r="5181" spans="19:25">
      <c r="S5181" t="str">
        <f t="shared" si="0"/>
        <v/>
      </c>
      <c r="T5181" t="str">
        <f t="shared" si="1"/>
        <v/>
      </c>
      <c r="U5181" t="str">
        <f t="shared" si="2"/>
        <v/>
      </c>
      <c r="V5181" t="str">
        <f>IF(OR(U5181="",U5181="ERRO_CHAVE"),"",IFERROR(MATCH(U5181,Fornecedores!$AF$1:$AF$6631,0),""))</f>
        <v/>
      </c>
      <c r="W5181" t="str">
        <f t="shared" si="3"/>
        <v/>
      </c>
      <c r="X5181" s="4" t="str">
        <f>IF(V5181="","",INDEX(Fornecedores!$X$1:$X$6631,V5181))</f>
        <v/>
      </c>
      <c r="Y5181" s="4" t="str">
        <f t="shared" si="4"/>
        <v/>
      </c>
    </row>
    <row r="5182" spans="19:25">
      <c r="S5182" t="str">
        <f t="shared" si="0"/>
        <v/>
      </c>
      <c r="T5182" t="str">
        <f t="shared" si="1"/>
        <v/>
      </c>
      <c r="U5182" t="str">
        <f t="shared" si="2"/>
        <v/>
      </c>
      <c r="V5182" t="str">
        <f>IF(OR(U5182="",U5182="ERRO_CHAVE"),"",IFERROR(MATCH(U5182,Fornecedores!$AF$1:$AF$6631,0),""))</f>
        <v/>
      </c>
      <c r="W5182" t="str">
        <f t="shared" si="3"/>
        <v/>
      </c>
      <c r="X5182" s="4" t="str">
        <f>IF(V5182="","",INDEX(Fornecedores!$X$1:$X$6631,V5182))</f>
        <v/>
      </c>
      <c r="Y5182" s="4" t="str">
        <f t="shared" si="4"/>
        <v/>
      </c>
    </row>
    <row r="5183" spans="19:25">
      <c r="S5183" t="str">
        <f t="shared" si="0"/>
        <v/>
      </c>
      <c r="T5183" t="str">
        <f t="shared" si="1"/>
        <v/>
      </c>
      <c r="U5183" t="str">
        <f t="shared" si="2"/>
        <v/>
      </c>
      <c r="V5183" t="str">
        <f>IF(OR(U5183="",U5183="ERRO_CHAVE"),"",IFERROR(MATCH(U5183,Fornecedores!$AF$1:$AF$6631,0),""))</f>
        <v/>
      </c>
      <c r="W5183" t="str">
        <f t="shared" si="3"/>
        <v/>
      </c>
      <c r="X5183" s="4" t="str">
        <f>IF(V5183="","",INDEX(Fornecedores!$X$1:$X$6631,V5183))</f>
        <v/>
      </c>
      <c r="Y5183" s="4" t="str">
        <f t="shared" si="4"/>
        <v/>
      </c>
    </row>
    <row r="5184" spans="19:25">
      <c r="S5184" t="str">
        <f t="shared" si="0"/>
        <v/>
      </c>
      <c r="T5184" t="str">
        <f t="shared" si="1"/>
        <v/>
      </c>
      <c r="U5184" t="str">
        <f t="shared" si="2"/>
        <v/>
      </c>
      <c r="V5184" t="str">
        <f>IF(OR(U5184="",U5184="ERRO_CHAVE"),"",IFERROR(MATCH(U5184,Fornecedores!$AF$1:$AF$6631,0),""))</f>
        <v/>
      </c>
      <c r="W5184" t="str">
        <f t="shared" si="3"/>
        <v/>
      </c>
      <c r="X5184" s="4" t="str">
        <f>IF(V5184="","",INDEX(Fornecedores!$X$1:$X$6631,V5184))</f>
        <v/>
      </c>
      <c r="Y5184" s="4" t="str">
        <f t="shared" si="4"/>
        <v/>
      </c>
    </row>
    <row r="5185" spans="19:25">
      <c r="S5185" t="str">
        <f t="shared" si="0"/>
        <v/>
      </c>
      <c r="T5185" t="str">
        <f t="shared" si="1"/>
        <v/>
      </c>
      <c r="U5185" t="str">
        <f t="shared" si="2"/>
        <v/>
      </c>
      <c r="V5185" t="str">
        <f>IF(OR(U5185="",U5185="ERRO_CHAVE"),"",IFERROR(MATCH(U5185,Fornecedores!$AF$1:$AF$6631,0),""))</f>
        <v/>
      </c>
      <c r="W5185" t="str">
        <f t="shared" si="3"/>
        <v/>
      </c>
      <c r="X5185" s="4" t="str">
        <f>IF(V5185="","",INDEX(Fornecedores!$X$1:$X$6631,V5185))</f>
        <v/>
      </c>
      <c r="Y5185" s="4" t="str">
        <f t="shared" si="4"/>
        <v/>
      </c>
    </row>
    <row r="5186" spans="19:25">
      <c r="S5186" t="str">
        <f t="shared" si="0"/>
        <v/>
      </c>
      <c r="T5186" t="str">
        <f t="shared" si="1"/>
        <v/>
      </c>
      <c r="U5186" t="str">
        <f t="shared" si="2"/>
        <v/>
      </c>
      <c r="V5186" t="str">
        <f>IF(OR(U5186="",U5186="ERRO_CHAVE"),"",IFERROR(MATCH(U5186,Fornecedores!$AF$1:$AF$6631,0),""))</f>
        <v/>
      </c>
      <c r="W5186" t="str">
        <f t="shared" si="3"/>
        <v/>
      </c>
      <c r="X5186" s="4" t="str">
        <f>IF(V5186="","",INDEX(Fornecedores!$X$1:$X$6631,V5186))</f>
        <v/>
      </c>
      <c r="Y5186" s="4" t="str">
        <f t="shared" si="4"/>
        <v/>
      </c>
    </row>
    <row r="5187" spans="19:25">
      <c r="S5187" t="str">
        <f t="shared" si="0"/>
        <v/>
      </c>
      <c r="T5187" t="str">
        <f t="shared" si="1"/>
        <v/>
      </c>
      <c r="U5187" t="str">
        <f t="shared" si="2"/>
        <v/>
      </c>
      <c r="V5187" t="str">
        <f>IF(OR(U5187="",U5187="ERRO_CHAVE"),"",IFERROR(MATCH(U5187,Fornecedores!$AF$1:$AF$6631,0),""))</f>
        <v/>
      </c>
      <c r="W5187" t="str">
        <f t="shared" si="3"/>
        <v/>
      </c>
      <c r="X5187" s="4" t="str">
        <f>IF(V5187="","",INDEX(Fornecedores!$X$1:$X$6631,V5187))</f>
        <v/>
      </c>
      <c r="Y5187" s="4" t="str">
        <f t="shared" si="4"/>
        <v/>
      </c>
    </row>
    <row r="5188" spans="19:25">
      <c r="S5188" t="str">
        <f t="shared" si="0"/>
        <v/>
      </c>
      <c r="T5188" t="str">
        <f t="shared" si="1"/>
        <v/>
      </c>
      <c r="U5188" t="str">
        <f t="shared" si="2"/>
        <v/>
      </c>
      <c r="V5188" t="str">
        <f>IF(OR(U5188="",U5188="ERRO_CHAVE"),"",IFERROR(MATCH(U5188,Fornecedores!$AF$1:$AF$6631,0),""))</f>
        <v/>
      </c>
      <c r="W5188" t="str">
        <f t="shared" si="3"/>
        <v/>
      </c>
      <c r="X5188" s="4" t="str">
        <f>IF(V5188="","",INDEX(Fornecedores!$X$1:$X$6631,V5188))</f>
        <v/>
      </c>
      <c r="Y5188" s="4" t="str">
        <f t="shared" si="4"/>
        <v/>
      </c>
    </row>
    <row r="5189" spans="19:25">
      <c r="S5189" t="str">
        <f t="shared" si="0"/>
        <v/>
      </c>
      <c r="T5189" t="str">
        <f t="shared" si="1"/>
        <v/>
      </c>
      <c r="U5189" t="str">
        <f t="shared" si="2"/>
        <v/>
      </c>
      <c r="V5189" t="str">
        <f>IF(OR(U5189="",U5189="ERRO_CHAVE"),"",IFERROR(MATCH(U5189,Fornecedores!$AF$1:$AF$6631,0),""))</f>
        <v/>
      </c>
      <c r="W5189" t="str">
        <f t="shared" si="3"/>
        <v/>
      </c>
      <c r="X5189" s="4" t="str">
        <f>IF(V5189="","",INDEX(Fornecedores!$X$1:$X$6631,V5189))</f>
        <v/>
      </c>
      <c r="Y5189" s="4" t="str">
        <f t="shared" si="4"/>
        <v/>
      </c>
    </row>
    <row r="5190" spans="19:25">
      <c r="S5190" t="str">
        <f t="shared" si="0"/>
        <v/>
      </c>
      <c r="T5190" t="str">
        <f t="shared" si="1"/>
        <v/>
      </c>
      <c r="U5190" t="str">
        <f t="shared" si="2"/>
        <v/>
      </c>
      <c r="V5190" t="str">
        <f>IF(OR(U5190="",U5190="ERRO_CHAVE"),"",IFERROR(MATCH(U5190,Fornecedores!$AF$1:$AF$6631,0),""))</f>
        <v/>
      </c>
      <c r="W5190" t="str">
        <f t="shared" si="3"/>
        <v/>
      </c>
      <c r="X5190" s="4" t="str">
        <f>IF(V5190="","",INDEX(Fornecedores!$X$1:$X$6631,V5190))</f>
        <v/>
      </c>
      <c r="Y5190" s="4" t="str">
        <f t="shared" si="4"/>
        <v/>
      </c>
    </row>
    <row r="5191" spans="19:25">
      <c r="S5191" t="str">
        <f t="shared" si="0"/>
        <v/>
      </c>
      <c r="T5191" t="str">
        <f t="shared" si="1"/>
        <v/>
      </c>
      <c r="U5191" t="str">
        <f t="shared" si="2"/>
        <v/>
      </c>
      <c r="V5191" t="str">
        <f>IF(OR(U5191="",U5191="ERRO_CHAVE"),"",IFERROR(MATCH(U5191,Fornecedores!$AF$1:$AF$6631,0),""))</f>
        <v/>
      </c>
      <c r="W5191" t="str">
        <f t="shared" si="3"/>
        <v/>
      </c>
      <c r="X5191" s="4" t="str">
        <f>IF(V5191="","",INDEX(Fornecedores!$X$1:$X$6631,V5191))</f>
        <v/>
      </c>
      <c r="Y5191" s="4" t="str">
        <f t="shared" si="4"/>
        <v/>
      </c>
    </row>
    <row r="5192" spans="19:25">
      <c r="S5192" t="str">
        <f t="shared" si="0"/>
        <v/>
      </c>
      <c r="T5192" t="str">
        <f t="shared" si="1"/>
        <v/>
      </c>
      <c r="U5192" t="str">
        <f t="shared" si="2"/>
        <v/>
      </c>
      <c r="V5192" t="str">
        <f>IF(OR(U5192="",U5192="ERRO_CHAVE"),"",IFERROR(MATCH(U5192,Fornecedores!$AF$1:$AF$6631,0),""))</f>
        <v/>
      </c>
      <c r="W5192" t="str">
        <f t="shared" si="3"/>
        <v/>
      </c>
      <c r="X5192" s="4" t="str">
        <f>IF(V5192="","",INDEX(Fornecedores!$X$1:$X$6631,V5192))</f>
        <v/>
      </c>
      <c r="Y5192" s="4" t="str">
        <f t="shared" si="4"/>
        <v/>
      </c>
    </row>
    <row r="5193" spans="19:25">
      <c r="S5193" t="str">
        <f t="shared" si="0"/>
        <v/>
      </c>
      <c r="T5193" t="str">
        <f t="shared" si="1"/>
        <v/>
      </c>
      <c r="U5193" t="str">
        <f t="shared" si="2"/>
        <v/>
      </c>
      <c r="V5193" t="str">
        <f>IF(OR(U5193="",U5193="ERRO_CHAVE"),"",IFERROR(MATCH(U5193,Fornecedores!$AF$1:$AF$6631,0),""))</f>
        <v/>
      </c>
      <c r="W5193" t="str">
        <f t="shared" si="3"/>
        <v/>
      </c>
      <c r="X5193" s="4" t="str">
        <f>IF(V5193="","",INDEX(Fornecedores!$X$1:$X$6631,V5193))</f>
        <v/>
      </c>
      <c r="Y5193" s="4" t="str">
        <f t="shared" si="4"/>
        <v/>
      </c>
    </row>
    <row r="5194" spans="19:25">
      <c r="S5194" t="str">
        <f t="shared" si="0"/>
        <v/>
      </c>
      <c r="T5194" t="str">
        <f t="shared" si="1"/>
        <v/>
      </c>
      <c r="U5194" t="str">
        <f t="shared" si="2"/>
        <v/>
      </c>
      <c r="V5194" t="str">
        <f>IF(OR(U5194="",U5194="ERRO_CHAVE"),"",IFERROR(MATCH(U5194,Fornecedores!$AF$1:$AF$6631,0),""))</f>
        <v/>
      </c>
      <c r="W5194" t="str">
        <f t="shared" si="3"/>
        <v/>
      </c>
      <c r="X5194" s="4" t="str">
        <f>IF(V5194="","",INDEX(Fornecedores!$X$1:$X$6631,V5194))</f>
        <v/>
      </c>
      <c r="Y5194" s="4" t="str">
        <f t="shared" si="4"/>
        <v/>
      </c>
    </row>
    <row r="5195" spans="19:25">
      <c r="S5195" t="str">
        <f t="shared" si="0"/>
        <v/>
      </c>
      <c r="T5195" t="str">
        <f t="shared" si="1"/>
        <v/>
      </c>
      <c r="U5195" t="str">
        <f t="shared" si="2"/>
        <v/>
      </c>
      <c r="V5195" t="str">
        <f>IF(OR(U5195="",U5195="ERRO_CHAVE"),"",IFERROR(MATCH(U5195,Fornecedores!$AF$1:$AF$6631,0),""))</f>
        <v/>
      </c>
      <c r="W5195" t="str">
        <f t="shared" si="3"/>
        <v/>
      </c>
      <c r="X5195" s="4" t="str">
        <f>IF(V5195="","",INDEX(Fornecedores!$X$1:$X$6631,V5195))</f>
        <v/>
      </c>
      <c r="Y5195" s="4" t="str">
        <f t="shared" si="4"/>
        <v/>
      </c>
    </row>
    <row r="5196" spans="19:25">
      <c r="S5196" t="str">
        <f t="shared" si="0"/>
        <v/>
      </c>
      <c r="T5196" t="str">
        <f t="shared" si="1"/>
        <v/>
      </c>
      <c r="U5196" t="str">
        <f t="shared" si="2"/>
        <v/>
      </c>
      <c r="V5196" t="str">
        <f>IF(OR(U5196="",U5196="ERRO_CHAVE"),"",IFERROR(MATCH(U5196,Fornecedores!$AF$1:$AF$6631,0),""))</f>
        <v/>
      </c>
      <c r="W5196" t="str">
        <f t="shared" si="3"/>
        <v/>
      </c>
      <c r="X5196" s="4" t="str">
        <f>IF(V5196="","",INDEX(Fornecedores!$X$1:$X$6631,V5196))</f>
        <v/>
      </c>
      <c r="Y5196" s="4" t="str">
        <f t="shared" si="4"/>
        <v/>
      </c>
    </row>
    <row r="5197" spans="19:25">
      <c r="S5197" t="str">
        <f t="shared" si="0"/>
        <v/>
      </c>
      <c r="T5197" t="str">
        <f t="shared" si="1"/>
        <v/>
      </c>
      <c r="U5197" t="str">
        <f t="shared" si="2"/>
        <v/>
      </c>
      <c r="V5197" t="str">
        <f>IF(OR(U5197="",U5197="ERRO_CHAVE"),"",IFERROR(MATCH(U5197,Fornecedores!$AF$1:$AF$6631,0),""))</f>
        <v/>
      </c>
      <c r="W5197" t="str">
        <f t="shared" si="3"/>
        <v/>
      </c>
      <c r="X5197" s="4" t="str">
        <f>IF(V5197="","",INDEX(Fornecedores!$X$1:$X$6631,V5197))</f>
        <v/>
      </c>
      <c r="Y5197" s="4" t="str">
        <f t="shared" si="4"/>
        <v/>
      </c>
    </row>
    <row r="5198" spans="19:25">
      <c r="S5198" t="str">
        <f t="shared" si="0"/>
        <v/>
      </c>
      <c r="T5198" t="str">
        <f t="shared" si="1"/>
        <v/>
      </c>
      <c r="U5198" t="str">
        <f t="shared" si="2"/>
        <v/>
      </c>
      <c r="V5198" t="str">
        <f>IF(OR(U5198="",U5198="ERRO_CHAVE"),"",IFERROR(MATCH(U5198,Fornecedores!$AF$1:$AF$6631,0),""))</f>
        <v/>
      </c>
      <c r="W5198" t="str">
        <f t="shared" si="3"/>
        <v/>
      </c>
      <c r="X5198" s="4" t="str">
        <f>IF(V5198="","",INDEX(Fornecedores!$X$1:$X$6631,V5198))</f>
        <v/>
      </c>
      <c r="Y5198" s="4" t="str">
        <f t="shared" si="4"/>
        <v/>
      </c>
    </row>
    <row r="5199" spans="19:25">
      <c r="S5199" t="str">
        <f t="shared" si="0"/>
        <v/>
      </c>
      <c r="T5199" t="str">
        <f t="shared" si="1"/>
        <v/>
      </c>
      <c r="U5199" t="str">
        <f t="shared" si="2"/>
        <v/>
      </c>
      <c r="V5199" t="str">
        <f>IF(OR(U5199="",U5199="ERRO_CHAVE"),"",IFERROR(MATCH(U5199,Fornecedores!$AF$1:$AF$6631,0),""))</f>
        <v/>
      </c>
      <c r="W5199" t="str">
        <f t="shared" si="3"/>
        <v/>
      </c>
      <c r="X5199" s="4" t="str">
        <f>IF(V5199="","",INDEX(Fornecedores!$X$1:$X$6631,V5199))</f>
        <v/>
      </c>
      <c r="Y5199" s="4" t="str">
        <f t="shared" si="4"/>
        <v/>
      </c>
    </row>
    <row r="5200" spans="19:25">
      <c r="S5200" t="str">
        <f t="shared" si="0"/>
        <v/>
      </c>
      <c r="T5200" t="str">
        <f t="shared" si="1"/>
        <v/>
      </c>
      <c r="U5200" t="str">
        <f t="shared" si="2"/>
        <v/>
      </c>
      <c r="V5200" t="str">
        <f>IF(OR(U5200="",U5200="ERRO_CHAVE"),"",IFERROR(MATCH(U5200,Fornecedores!$AF$1:$AF$6631,0),""))</f>
        <v/>
      </c>
      <c r="W5200" t="str">
        <f t="shared" si="3"/>
        <v/>
      </c>
      <c r="X5200" s="4" t="str">
        <f>IF(V5200="","",INDEX(Fornecedores!$X$1:$X$6631,V5200))</f>
        <v/>
      </c>
      <c r="Y5200" s="4" t="str">
        <f t="shared" si="4"/>
        <v/>
      </c>
    </row>
    <row r="5201" spans="19:25">
      <c r="S5201" t="str">
        <f t="shared" si="0"/>
        <v/>
      </c>
      <c r="T5201" t="str">
        <f t="shared" si="1"/>
        <v/>
      </c>
      <c r="U5201" t="str">
        <f t="shared" si="2"/>
        <v/>
      </c>
      <c r="V5201" t="str">
        <f>IF(OR(U5201="",U5201="ERRO_CHAVE"),"",IFERROR(MATCH(U5201,Fornecedores!$AF$1:$AF$6631,0),""))</f>
        <v/>
      </c>
      <c r="W5201" t="str">
        <f t="shared" si="3"/>
        <v/>
      </c>
      <c r="X5201" s="4" t="str">
        <f>IF(V5201="","",INDEX(Fornecedores!$X$1:$X$6631,V5201))</f>
        <v/>
      </c>
      <c r="Y5201" s="4" t="str">
        <f t="shared" si="4"/>
        <v/>
      </c>
    </row>
    <row r="5202" spans="19:25">
      <c r="S5202" t="str">
        <f t="shared" si="0"/>
        <v/>
      </c>
      <c r="T5202" t="str">
        <f t="shared" si="1"/>
        <v/>
      </c>
      <c r="U5202" t="str">
        <f t="shared" si="2"/>
        <v/>
      </c>
      <c r="V5202" t="str">
        <f>IF(OR(U5202="",U5202="ERRO_CHAVE"),"",IFERROR(MATCH(U5202,Fornecedores!$AF$1:$AF$6631,0),""))</f>
        <v/>
      </c>
      <c r="W5202" t="str">
        <f t="shared" si="3"/>
        <v/>
      </c>
      <c r="X5202" s="4" t="str">
        <f>IF(V5202="","",INDEX(Fornecedores!$X$1:$X$6631,V5202))</f>
        <v/>
      </c>
      <c r="Y5202" s="4" t="str">
        <f t="shared" si="4"/>
        <v/>
      </c>
    </row>
    <row r="5203" spans="19:25">
      <c r="S5203" t="str">
        <f t="shared" si="0"/>
        <v/>
      </c>
      <c r="T5203" t="str">
        <f t="shared" si="1"/>
        <v/>
      </c>
      <c r="U5203" t="str">
        <f t="shared" si="2"/>
        <v/>
      </c>
      <c r="V5203" t="str">
        <f>IF(OR(U5203="",U5203="ERRO_CHAVE"),"",IFERROR(MATCH(U5203,Fornecedores!$AF$1:$AF$6631,0),""))</f>
        <v/>
      </c>
      <c r="W5203" t="str">
        <f t="shared" si="3"/>
        <v/>
      </c>
      <c r="X5203" s="4" t="str">
        <f>IF(V5203="","",INDEX(Fornecedores!$X$1:$X$6631,V5203))</f>
        <v/>
      </c>
      <c r="Y5203" s="4" t="str">
        <f t="shared" si="4"/>
        <v/>
      </c>
    </row>
    <row r="5204" spans="19:25">
      <c r="S5204" t="str">
        <f t="shared" si="0"/>
        <v/>
      </c>
      <c r="T5204" t="str">
        <f t="shared" si="1"/>
        <v/>
      </c>
      <c r="U5204" t="str">
        <f t="shared" si="2"/>
        <v/>
      </c>
      <c r="V5204" t="str">
        <f>IF(OR(U5204="",U5204="ERRO_CHAVE"),"",IFERROR(MATCH(U5204,Fornecedores!$AF$1:$AF$6631,0),""))</f>
        <v/>
      </c>
      <c r="W5204" t="str">
        <f t="shared" si="3"/>
        <v/>
      </c>
      <c r="X5204" s="4" t="str">
        <f>IF(V5204="","",INDEX(Fornecedores!$X$1:$X$6631,V5204))</f>
        <v/>
      </c>
      <c r="Y5204" s="4" t="str">
        <f t="shared" si="4"/>
        <v/>
      </c>
    </row>
    <row r="5205" spans="19:25">
      <c r="S5205" t="str">
        <f t="shared" si="0"/>
        <v/>
      </c>
      <c r="T5205" t="str">
        <f t="shared" si="1"/>
        <v/>
      </c>
      <c r="U5205" t="str">
        <f t="shared" si="2"/>
        <v/>
      </c>
      <c r="V5205" t="str">
        <f>IF(OR(U5205="",U5205="ERRO_CHAVE"),"",IFERROR(MATCH(U5205,Fornecedores!$AF$1:$AF$6631,0),""))</f>
        <v/>
      </c>
      <c r="W5205" t="str">
        <f t="shared" si="3"/>
        <v/>
      </c>
      <c r="X5205" s="4" t="str">
        <f>IF(V5205="","",INDEX(Fornecedores!$X$1:$X$6631,V5205))</f>
        <v/>
      </c>
      <c r="Y5205" s="4" t="str">
        <f t="shared" si="4"/>
        <v/>
      </c>
    </row>
    <row r="5206" spans="19:25">
      <c r="S5206" t="str">
        <f t="shared" si="0"/>
        <v/>
      </c>
      <c r="T5206" t="str">
        <f t="shared" si="1"/>
        <v/>
      </c>
      <c r="U5206" t="str">
        <f t="shared" si="2"/>
        <v/>
      </c>
      <c r="V5206" t="str">
        <f>IF(OR(U5206="",U5206="ERRO_CHAVE"),"",IFERROR(MATCH(U5206,Fornecedores!$AF$1:$AF$6631,0),""))</f>
        <v/>
      </c>
      <c r="W5206" t="str">
        <f t="shared" si="3"/>
        <v/>
      </c>
      <c r="X5206" s="4" t="str">
        <f>IF(V5206="","",INDEX(Fornecedores!$X$1:$X$6631,V5206))</f>
        <v/>
      </c>
      <c r="Y5206" s="4" t="str">
        <f t="shared" si="4"/>
        <v/>
      </c>
    </row>
    <row r="5207" spans="19:25">
      <c r="S5207" t="str">
        <f t="shared" si="0"/>
        <v/>
      </c>
      <c r="T5207" t="str">
        <f t="shared" si="1"/>
        <v/>
      </c>
      <c r="U5207" t="str">
        <f t="shared" si="2"/>
        <v/>
      </c>
      <c r="V5207" t="str">
        <f>IF(OR(U5207="",U5207="ERRO_CHAVE"),"",IFERROR(MATCH(U5207,Fornecedores!$AF$1:$AF$6631,0),""))</f>
        <v/>
      </c>
      <c r="W5207" t="str">
        <f t="shared" si="3"/>
        <v/>
      </c>
      <c r="X5207" s="4" t="str">
        <f>IF(V5207="","",INDEX(Fornecedores!$X$1:$X$6631,V5207))</f>
        <v/>
      </c>
      <c r="Y5207" s="4" t="str">
        <f t="shared" si="4"/>
        <v/>
      </c>
    </row>
    <row r="5208" spans="19:25">
      <c r="S5208" t="str">
        <f t="shared" si="0"/>
        <v/>
      </c>
      <c r="T5208" t="str">
        <f t="shared" si="1"/>
        <v/>
      </c>
      <c r="U5208" t="str">
        <f t="shared" si="2"/>
        <v/>
      </c>
      <c r="V5208" t="str">
        <f>IF(OR(U5208="",U5208="ERRO_CHAVE"),"",IFERROR(MATCH(U5208,Fornecedores!$AF$1:$AF$6631,0),""))</f>
        <v/>
      </c>
      <c r="W5208" t="str">
        <f t="shared" si="3"/>
        <v/>
      </c>
      <c r="X5208" s="4" t="str">
        <f>IF(V5208="","",INDEX(Fornecedores!$X$1:$X$6631,V5208))</f>
        <v/>
      </c>
      <c r="Y5208" s="4" t="str">
        <f t="shared" si="4"/>
        <v/>
      </c>
    </row>
    <row r="5209" spans="19:25">
      <c r="S5209" t="str">
        <f t="shared" si="0"/>
        <v/>
      </c>
      <c r="T5209" t="str">
        <f t="shared" si="1"/>
        <v/>
      </c>
      <c r="U5209" t="str">
        <f t="shared" si="2"/>
        <v/>
      </c>
      <c r="V5209" t="str">
        <f>IF(OR(U5209="",U5209="ERRO_CHAVE"),"",IFERROR(MATCH(U5209,Fornecedores!$AF$1:$AF$6631,0),""))</f>
        <v/>
      </c>
      <c r="W5209" t="str">
        <f t="shared" si="3"/>
        <v/>
      </c>
      <c r="X5209" s="4" t="str">
        <f>IF(V5209="","",INDEX(Fornecedores!$X$1:$X$6631,V5209))</f>
        <v/>
      </c>
      <c r="Y5209" s="4" t="str">
        <f t="shared" si="4"/>
        <v/>
      </c>
    </row>
    <row r="5210" spans="19:25">
      <c r="S5210" t="str">
        <f t="shared" si="0"/>
        <v/>
      </c>
      <c r="T5210" t="str">
        <f t="shared" si="1"/>
        <v/>
      </c>
      <c r="U5210" t="str">
        <f t="shared" si="2"/>
        <v/>
      </c>
      <c r="V5210" t="str">
        <f>IF(OR(U5210="",U5210="ERRO_CHAVE"),"",IFERROR(MATCH(U5210,Fornecedores!$AF$1:$AF$6631,0),""))</f>
        <v/>
      </c>
      <c r="W5210" t="str">
        <f t="shared" si="3"/>
        <v/>
      </c>
      <c r="X5210" s="4" t="str">
        <f>IF(V5210="","",INDEX(Fornecedores!$X$1:$X$6631,V5210))</f>
        <v/>
      </c>
      <c r="Y5210" s="4" t="str">
        <f t="shared" si="4"/>
        <v/>
      </c>
    </row>
    <row r="5211" spans="19:25">
      <c r="S5211" t="str">
        <f t="shared" si="0"/>
        <v/>
      </c>
      <c r="T5211" t="str">
        <f t="shared" si="1"/>
        <v/>
      </c>
      <c r="U5211" t="str">
        <f t="shared" si="2"/>
        <v/>
      </c>
      <c r="V5211" t="str">
        <f>IF(OR(U5211="",U5211="ERRO_CHAVE"),"",IFERROR(MATCH(U5211,Fornecedores!$AF$1:$AF$6631,0),""))</f>
        <v/>
      </c>
      <c r="W5211" t="str">
        <f t="shared" si="3"/>
        <v/>
      </c>
      <c r="X5211" s="4" t="str">
        <f>IF(V5211="","",INDEX(Fornecedores!$X$1:$X$6631,V5211))</f>
        <v/>
      </c>
      <c r="Y5211" s="4" t="str">
        <f t="shared" si="4"/>
        <v/>
      </c>
    </row>
    <row r="5212" spans="19:25">
      <c r="S5212" t="str">
        <f t="shared" si="0"/>
        <v/>
      </c>
      <c r="T5212" t="str">
        <f t="shared" si="1"/>
        <v/>
      </c>
      <c r="U5212" t="str">
        <f t="shared" si="2"/>
        <v/>
      </c>
      <c r="V5212" t="str">
        <f>IF(OR(U5212="",U5212="ERRO_CHAVE"),"",IFERROR(MATCH(U5212,Fornecedores!$AF$1:$AF$6631,0),""))</f>
        <v/>
      </c>
      <c r="W5212" t="str">
        <f t="shared" si="3"/>
        <v/>
      </c>
      <c r="X5212" s="4" t="str">
        <f>IF(V5212="","",INDEX(Fornecedores!$X$1:$X$6631,V5212))</f>
        <v/>
      </c>
      <c r="Y5212" s="4" t="str">
        <f t="shared" si="4"/>
        <v/>
      </c>
    </row>
    <row r="5213" spans="19:25">
      <c r="S5213" t="str">
        <f t="shared" si="0"/>
        <v/>
      </c>
      <c r="T5213" t="str">
        <f t="shared" si="1"/>
        <v/>
      </c>
      <c r="U5213" t="str">
        <f t="shared" si="2"/>
        <v/>
      </c>
      <c r="V5213" t="str">
        <f>IF(OR(U5213="",U5213="ERRO_CHAVE"),"",IFERROR(MATCH(U5213,Fornecedores!$AF$1:$AF$6631,0),""))</f>
        <v/>
      </c>
      <c r="W5213" t="str">
        <f t="shared" si="3"/>
        <v/>
      </c>
      <c r="X5213" s="4" t="str">
        <f>IF(V5213="","",INDEX(Fornecedores!$X$1:$X$6631,V5213))</f>
        <v/>
      </c>
      <c r="Y5213" s="4" t="str">
        <f t="shared" si="4"/>
        <v/>
      </c>
    </row>
    <row r="5214" spans="19:25">
      <c r="S5214" t="str">
        <f t="shared" si="0"/>
        <v/>
      </c>
      <c r="T5214" t="str">
        <f t="shared" si="1"/>
        <v/>
      </c>
      <c r="U5214" t="str">
        <f t="shared" si="2"/>
        <v/>
      </c>
      <c r="V5214" t="str">
        <f>IF(OR(U5214="",U5214="ERRO_CHAVE"),"",IFERROR(MATCH(U5214,Fornecedores!$AF$1:$AF$6631,0),""))</f>
        <v/>
      </c>
      <c r="W5214" t="str">
        <f t="shared" si="3"/>
        <v/>
      </c>
      <c r="X5214" s="4" t="str">
        <f>IF(V5214="","",INDEX(Fornecedores!$X$1:$X$6631,V5214))</f>
        <v/>
      </c>
      <c r="Y5214" s="4" t="str">
        <f t="shared" si="4"/>
        <v/>
      </c>
    </row>
    <row r="5215" spans="19:25">
      <c r="S5215" t="str">
        <f t="shared" si="0"/>
        <v/>
      </c>
      <c r="T5215" t="str">
        <f t="shared" si="1"/>
        <v/>
      </c>
      <c r="U5215" t="str">
        <f t="shared" si="2"/>
        <v/>
      </c>
      <c r="V5215" t="str">
        <f>IF(OR(U5215="",U5215="ERRO_CHAVE"),"",IFERROR(MATCH(U5215,Fornecedores!$AF$1:$AF$6631,0),""))</f>
        <v/>
      </c>
      <c r="W5215" t="str">
        <f t="shared" si="3"/>
        <v/>
      </c>
      <c r="X5215" s="4" t="str">
        <f>IF(V5215="","",INDEX(Fornecedores!$X$1:$X$6631,V5215))</f>
        <v/>
      </c>
      <c r="Y5215" s="4" t="str">
        <f t="shared" si="4"/>
        <v/>
      </c>
    </row>
    <row r="5216" spans="19:25">
      <c r="S5216" t="str">
        <f t="shared" si="0"/>
        <v/>
      </c>
      <c r="T5216" t="str">
        <f t="shared" si="1"/>
        <v/>
      </c>
      <c r="U5216" t="str">
        <f t="shared" si="2"/>
        <v/>
      </c>
      <c r="V5216" t="str">
        <f>IF(OR(U5216="",U5216="ERRO_CHAVE"),"",IFERROR(MATCH(U5216,Fornecedores!$AF$1:$AF$6631,0),""))</f>
        <v/>
      </c>
      <c r="W5216" t="str">
        <f t="shared" si="3"/>
        <v/>
      </c>
      <c r="X5216" s="4" t="str">
        <f>IF(V5216="","",INDEX(Fornecedores!$X$1:$X$6631,V5216))</f>
        <v/>
      </c>
      <c r="Y5216" s="4" t="str">
        <f t="shared" si="4"/>
        <v/>
      </c>
    </row>
    <row r="5217" spans="19:25">
      <c r="S5217" t="str">
        <f t="shared" si="0"/>
        <v/>
      </c>
      <c r="T5217" t="str">
        <f t="shared" si="1"/>
        <v/>
      </c>
      <c r="U5217" t="str">
        <f t="shared" si="2"/>
        <v/>
      </c>
      <c r="V5217" t="str">
        <f>IF(OR(U5217="",U5217="ERRO_CHAVE"),"",IFERROR(MATCH(U5217,Fornecedores!$AF$1:$AF$6631,0),""))</f>
        <v/>
      </c>
      <c r="W5217" t="str">
        <f t="shared" si="3"/>
        <v/>
      </c>
      <c r="X5217" s="4" t="str">
        <f>IF(V5217="","",INDEX(Fornecedores!$X$1:$X$6631,V5217))</f>
        <v/>
      </c>
      <c r="Y5217" s="4" t="str">
        <f t="shared" si="4"/>
        <v/>
      </c>
    </row>
    <row r="5218" spans="19:25">
      <c r="S5218" t="str">
        <f t="shared" si="0"/>
        <v/>
      </c>
      <c r="T5218" t="str">
        <f t="shared" si="1"/>
        <v/>
      </c>
      <c r="U5218" t="str">
        <f t="shared" si="2"/>
        <v/>
      </c>
      <c r="V5218" t="str">
        <f>IF(OR(U5218="",U5218="ERRO_CHAVE"),"",IFERROR(MATCH(U5218,Fornecedores!$AF$1:$AF$6631,0),""))</f>
        <v/>
      </c>
      <c r="W5218" t="str">
        <f t="shared" si="3"/>
        <v/>
      </c>
      <c r="X5218" s="4" t="str">
        <f>IF(V5218="","",INDEX(Fornecedores!$X$1:$X$6631,V5218))</f>
        <v/>
      </c>
      <c r="Y5218" s="4" t="str">
        <f t="shared" si="4"/>
        <v/>
      </c>
    </row>
    <row r="5219" spans="19:25">
      <c r="S5219" t="str">
        <f t="shared" si="0"/>
        <v/>
      </c>
      <c r="T5219" t="str">
        <f t="shared" si="1"/>
        <v/>
      </c>
      <c r="U5219" t="str">
        <f t="shared" si="2"/>
        <v/>
      </c>
      <c r="V5219" t="str">
        <f>IF(OR(U5219="",U5219="ERRO_CHAVE"),"",IFERROR(MATCH(U5219,Fornecedores!$AF$1:$AF$6631,0),""))</f>
        <v/>
      </c>
      <c r="W5219" t="str">
        <f t="shared" si="3"/>
        <v/>
      </c>
      <c r="X5219" s="4" t="str">
        <f>IF(V5219="","",INDEX(Fornecedores!$X$1:$X$6631,V5219))</f>
        <v/>
      </c>
      <c r="Y5219" s="4" t="str">
        <f t="shared" si="4"/>
        <v/>
      </c>
    </row>
    <row r="5220" spans="19:25">
      <c r="S5220" t="str">
        <f t="shared" si="0"/>
        <v/>
      </c>
      <c r="T5220" t="str">
        <f t="shared" si="1"/>
        <v/>
      </c>
      <c r="U5220" t="str">
        <f t="shared" si="2"/>
        <v/>
      </c>
      <c r="V5220" t="str">
        <f>IF(OR(U5220="",U5220="ERRO_CHAVE"),"",IFERROR(MATCH(U5220,Fornecedores!$AF$1:$AF$6631,0),""))</f>
        <v/>
      </c>
      <c r="W5220" t="str">
        <f t="shared" si="3"/>
        <v/>
      </c>
      <c r="X5220" s="4" t="str">
        <f>IF(V5220="","",INDEX(Fornecedores!$X$1:$X$6631,V5220))</f>
        <v/>
      </c>
      <c r="Y5220" s="4" t="str">
        <f t="shared" si="4"/>
        <v/>
      </c>
    </row>
    <row r="5221" spans="19:25">
      <c r="S5221" t="str">
        <f t="shared" si="0"/>
        <v/>
      </c>
      <c r="T5221" t="str">
        <f t="shared" si="1"/>
        <v/>
      </c>
      <c r="U5221" t="str">
        <f t="shared" si="2"/>
        <v/>
      </c>
      <c r="V5221" t="str">
        <f>IF(OR(U5221="",U5221="ERRO_CHAVE"),"",IFERROR(MATCH(U5221,Fornecedores!$AF$1:$AF$6631,0),""))</f>
        <v/>
      </c>
      <c r="W5221" t="str">
        <f t="shared" si="3"/>
        <v/>
      </c>
      <c r="X5221" s="4" t="str">
        <f>IF(V5221="","",INDEX(Fornecedores!$X$1:$X$6631,V5221))</f>
        <v/>
      </c>
      <c r="Y5221" s="4" t="str">
        <f t="shared" si="4"/>
        <v/>
      </c>
    </row>
    <row r="5222" spans="19:25">
      <c r="S5222" t="str">
        <f t="shared" si="0"/>
        <v/>
      </c>
      <c r="T5222" t="str">
        <f t="shared" si="1"/>
        <v/>
      </c>
      <c r="U5222" t="str">
        <f t="shared" si="2"/>
        <v/>
      </c>
      <c r="V5222" t="str">
        <f>IF(OR(U5222="",U5222="ERRO_CHAVE"),"",IFERROR(MATCH(U5222,Fornecedores!$AF$1:$AF$6631,0),""))</f>
        <v/>
      </c>
      <c r="W5222" t="str">
        <f t="shared" si="3"/>
        <v/>
      </c>
      <c r="X5222" s="4" t="str">
        <f>IF(V5222="","",INDEX(Fornecedores!$X$1:$X$6631,V5222))</f>
        <v/>
      </c>
      <c r="Y5222" s="4" t="str">
        <f t="shared" si="4"/>
        <v/>
      </c>
    </row>
    <row r="5223" spans="19:25">
      <c r="S5223" t="str">
        <f t="shared" si="0"/>
        <v/>
      </c>
      <c r="T5223" t="str">
        <f t="shared" si="1"/>
        <v/>
      </c>
      <c r="U5223" t="str">
        <f t="shared" si="2"/>
        <v/>
      </c>
      <c r="V5223" t="str">
        <f>IF(OR(U5223="",U5223="ERRO_CHAVE"),"",IFERROR(MATCH(U5223,Fornecedores!$AF$1:$AF$6631,0),""))</f>
        <v/>
      </c>
      <c r="W5223" t="str">
        <f t="shared" si="3"/>
        <v/>
      </c>
      <c r="X5223" s="4" t="str">
        <f>IF(V5223="","",INDEX(Fornecedores!$X$1:$X$6631,V5223))</f>
        <v/>
      </c>
      <c r="Y5223" s="4" t="str">
        <f t="shared" si="4"/>
        <v/>
      </c>
    </row>
    <row r="5224" spans="19:25">
      <c r="S5224" t="str">
        <f t="shared" si="0"/>
        <v/>
      </c>
      <c r="T5224" t="str">
        <f t="shared" si="1"/>
        <v/>
      </c>
      <c r="U5224" t="str">
        <f t="shared" si="2"/>
        <v/>
      </c>
      <c r="V5224" t="str">
        <f>IF(OR(U5224="",U5224="ERRO_CHAVE"),"",IFERROR(MATCH(U5224,Fornecedores!$AF$1:$AF$6631,0),""))</f>
        <v/>
      </c>
      <c r="W5224" t="str">
        <f t="shared" si="3"/>
        <v/>
      </c>
      <c r="X5224" s="4" t="str">
        <f>IF(V5224="","",INDEX(Fornecedores!$X$1:$X$6631,V5224))</f>
        <v/>
      </c>
      <c r="Y5224" s="4" t="str">
        <f t="shared" si="4"/>
        <v/>
      </c>
    </row>
    <row r="5225" spans="19:25">
      <c r="S5225" t="str">
        <f t="shared" si="0"/>
        <v/>
      </c>
      <c r="T5225" t="str">
        <f t="shared" si="1"/>
        <v/>
      </c>
      <c r="U5225" t="str">
        <f t="shared" si="2"/>
        <v/>
      </c>
      <c r="V5225" t="str">
        <f>IF(OR(U5225="",U5225="ERRO_CHAVE"),"",IFERROR(MATCH(U5225,Fornecedores!$AF$1:$AF$6631,0),""))</f>
        <v/>
      </c>
      <c r="W5225" t="str">
        <f t="shared" si="3"/>
        <v/>
      </c>
      <c r="X5225" s="4" t="str">
        <f>IF(V5225="","",INDEX(Fornecedores!$X$1:$X$6631,V5225))</f>
        <v/>
      </c>
      <c r="Y5225" s="4" t="str">
        <f t="shared" si="4"/>
        <v/>
      </c>
    </row>
    <row r="5226" spans="19:25">
      <c r="S5226" t="str">
        <f t="shared" si="0"/>
        <v/>
      </c>
      <c r="T5226" t="str">
        <f t="shared" si="1"/>
        <v/>
      </c>
      <c r="U5226" t="str">
        <f t="shared" si="2"/>
        <v/>
      </c>
      <c r="V5226" t="str">
        <f>IF(OR(U5226="",U5226="ERRO_CHAVE"),"",IFERROR(MATCH(U5226,Fornecedores!$AF$1:$AF$6631,0),""))</f>
        <v/>
      </c>
      <c r="W5226" t="str">
        <f t="shared" si="3"/>
        <v/>
      </c>
      <c r="X5226" s="4" t="str">
        <f>IF(V5226="","",INDEX(Fornecedores!$X$1:$X$6631,V5226))</f>
        <v/>
      </c>
      <c r="Y5226" s="4" t="str">
        <f t="shared" si="4"/>
        <v/>
      </c>
    </row>
    <row r="5227" spans="19:25">
      <c r="S5227" t="str">
        <f t="shared" si="0"/>
        <v/>
      </c>
      <c r="T5227" t="str">
        <f t="shared" si="1"/>
        <v/>
      </c>
      <c r="U5227" t="str">
        <f t="shared" si="2"/>
        <v/>
      </c>
      <c r="V5227" t="str">
        <f>IF(OR(U5227="",U5227="ERRO_CHAVE"),"",IFERROR(MATCH(U5227,Fornecedores!$AF$1:$AF$6631,0),""))</f>
        <v/>
      </c>
      <c r="W5227" t="str">
        <f t="shared" si="3"/>
        <v/>
      </c>
      <c r="X5227" s="4" t="str">
        <f>IF(V5227="","",INDEX(Fornecedores!$X$1:$X$6631,V5227))</f>
        <v/>
      </c>
      <c r="Y5227" s="4" t="str">
        <f t="shared" si="4"/>
        <v/>
      </c>
    </row>
    <row r="5228" spans="19:25">
      <c r="S5228" t="str">
        <f t="shared" si="0"/>
        <v/>
      </c>
      <c r="T5228" t="str">
        <f t="shared" si="1"/>
        <v/>
      </c>
      <c r="U5228" t="str">
        <f t="shared" si="2"/>
        <v/>
      </c>
      <c r="V5228" t="str">
        <f>IF(OR(U5228="",U5228="ERRO_CHAVE"),"",IFERROR(MATCH(U5228,Fornecedores!$AF$1:$AF$6631,0),""))</f>
        <v/>
      </c>
      <c r="W5228" t="str">
        <f t="shared" si="3"/>
        <v/>
      </c>
      <c r="X5228" s="4" t="str">
        <f>IF(V5228="","",INDEX(Fornecedores!$X$1:$X$6631,V5228))</f>
        <v/>
      </c>
      <c r="Y5228" s="4" t="str">
        <f t="shared" si="4"/>
        <v/>
      </c>
    </row>
    <row r="5229" spans="19:25">
      <c r="S5229" t="str">
        <f t="shared" si="0"/>
        <v/>
      </c>
      <c r="T5229" t="str">
        <f t="shared" si="1"/>
        <v/>
      </c>
      <c r="U5229" t="str">
        <f t="shared" si="2"/>
        <v/>
      </c>
      <c r="V5229" t="str">
        <f>IF(OR(U5229="",U5229="ERRO_CHAVE"),"",IFERROR(MATCH(U5229,Fornecedores!$AF$1:$AF$6631,0),""))</f>
        <v/>
      </c>
      <c r="W5229" t="str">
        <f t="shared" si="3"/>
        <v/>
      </c>
      <c r="X5229" s="4" t="str">
        <f>IF(V5229="","",INDEX(Fornecedores!$X$1:$X$6631,V5229))</f>
        <v/>
      </c>
      <c r="Y5229" s="4" t="str">
        <f t="shared" si="4"/>
        <v/>
      </c>
    </row>
    <row r="5230" spans="19:25">
      <c r="S5230" t="str">
        <f t="shared" si="0"/>
        <v/>
      </c>
      <c r="T5230" t="str">
        <f t="shared" si="1"/>
        <v/>
      </c>
      <c r="U5230" t="str">
        <f t="shared" si="2"/>
        <v/>
      </c>
      <c r="V5230" t="str">
        <f>IF(OR(U5230="",U5230="ERRO_CHAVE"),"",IFERROR(MATCH(U5230,Fornecedores!$AF$1:$AF$6631,0),""))</f>
        <v/>
      </c>
      <c r="W5230" t="str">
        <f t="shared" si="3"/>
        <v/>
      </c>
      <c r="X5230" s="4" t="str">
        <f>IF(V5230="","",INDEX(Fornecedores!$X$1:$X$6631,V5230))</f>
        <v/>
      </c>
      <c r="Y5230" s="4" t="str">
        <f t="shared" si="4"/>
        <v/>
      </c>
    </row>
    <row r="5231" spans="19:25">
      <c r="S5231" t="str">
        <f t="shared" si="0"/>
        <v/>
      </c>
      <c r="T5231" t="str">
        <f t="shared" si="1"/>
        <v/>
      </c>
      <c r="U5231" t="str">
        <f t="shared" si="2"/>
        <v/>
      </c>
      <c r="V5231" t="str">
        <f>IF(OR(U5231="",U5231="ERRO_CHAVE"),"",IFERROR(MATCH(U5231,Fornecedores!$AF$1:$AF$6631,0),""))</f>
        <v/>
      </c>
      <c r="W5231" t="str">
        <f t="shared" si="3"/>
        <v/>
      </c>
      <c r="X5231" s="4" t="str">
        <f>IF(V5231="","",INDEX(Fornecedores!$X$1:$X$6631,V5231))</f>
        <v/>
      </c>
      <c r="Y5231" s="4" t="str">
        <f t="shared" si="4"/>
        <v/>
      </c>
    </row>
    <row r="5232" spans="19:25">
      <c r="S5232" t="str">
        <f t="shared" si="0"/>
        <v/>
      </c>
      <c r="T5232" t="str">
        <f t="shared" si="1"/>
        <v/>
      </c>
      <c r="U5232" t="str">
        <f t="shared" si="2"/>
        <v/>
      </c>
      <c r="V5232" t="str">
        <f>IF(OR(U5232="",U5232="ERRO_CHAVE"),"",IFERROR(MATCH(U5232,Fornecedores!$AF$1:$AF$6631,0),""))</f>
        <v/>
      </c>
      <c r="W5232" t="str">
        <f t="shared" si="3"/>
        <v/>
      </c>
      <c r="X5232" s="4" t="str">
        <f>IF(V5232="","",INDEX(Fornecedores!$X$1:$X$6631,V5232))</f>
        <v/>
      </c>
      <c r="Y5232" s="4" t="str">
        <f t="shared" si="4"/>
        <v/>
      </c>
    </row>
    <row r="5233" spans="19:25">
      <c r="S5233" t="str">
        <f t="shared" si="0"/>
        <v/>
      </c>
      <c r="T5233" t="str">
        <f t="shared" si="1"/>
        <v/>
      </c>
      <c r="U5233" t="str">
        <f t="shared" si="2"/>
        <v/>
      </c>
      <c r="V5233" t="str">
        <f>IF(OR(U5233="",U5233="ERRO_CHAVE"),"",IFERROR(MATCH(U5233,Fornecedores!$AF$1:$AF$6631,0),""))</f>
        <v/>
      </c>
      <c r="W5233" t="str">
        <f t="shared" si="3"/>
        <v/>
      </c>
      <c r="X5233" s="4" t="str">
        <f>IF(V5233="","",INDEX(Fornecedores!$X$1:$X$6631,V5233))</f>
        <v/>
      </c>
      <c r="Y5233" s="4" t="str">
        <f t="shared" si="4"/>
        <v/>
      </c>
    </row>
    <row r="5234" spans="19:25">
      <c r="S5234" t="str">
        <f t="shared" si="0"/>
        <v/>
      </c>
      <c r="T5234" t="str">
        <f t="shared" si="1"/>
        <v/>
      </c>
      <c r="U5234" t="str">
        <f t="shared" si="2"/>
        <v/>
      </c>
      <c r="V5234" t="str">
        <f>IF(OR(U5234="",U5234="ERRO_CHAVE"),"",IFERROR(MATCH(U5234,Fornecedores!$AF$1:$AF$6631,0),""))</f>
        <v/>
      </c>
      <c r="W5234" t="str">
        <f t="shared" si="3"/>
        <v/>
      </c>
      <c r="X5234" s="4" t="str">
        <f>IF(V5234="","",INDEX(Fornecedores!$X$1:$X$6631,V5234))</f>
        <v/>
      </c>
      <c r="Y5234" s="4" t="str">
        <f t="shared" si="4"/>
        <v/>
      </c>
    </row>
    <row r="5235" spans="19:25">
      <c r="S5235" t="str">
        <f t="shared" si="0"/>
        <v/>
      </c>
      <c r="T5235" t="str">
        <f t="shared" si="1"/>
        <v/>
      </c>
      <c r="U5235" t="str">
        <f t="shared" si="2"/>
        <v/>
      </c>
      <c r="V5235" t="str">
        <f>IF(OR(U5235="",U5235="ERRO_CHAVE"),"",IFERROR(MATCH(U5235,Fornecedores!$AF$1:$AF$6631,0),""))</f>
        <v/>
      </c>
      <c r="W5235" t="str">
        <f t="shared" si="3"/>
        <v/>
      </c>
      <c r="X5235" s="4" t="str">
        <f>IF(V5235="","",INDEX(Fornecedores!$X$1:$X$6631,V5235))</f>
        <v/>
      </c>
      <c r="Y5235" s="4" t="str">
        <f t="shared" si="4"/>
        <v/>
      </c>
    </row>
    <row r="5236" spans="19:25">
      <c r="S5236" t="str">
        <f t="shared" si="0"/>
        <v/>
      </c>
      <c r="T5236" t="str">
        <f t="shared" si="1"/>
        <v/>
      </c>
      <c r="U5236" t="str">
        <f t="shared" si="2"/>
        <v/>
      </c>
      <c r="V5236" t="str">
        <f>IF(OR(U5236="",U5236="ERRO_CHAVE"),"",IFERROR(MATCH(U5236,Fornecedores!$AF$1:$AF$6631,0),""))</f>
        <v/>
      </c>
      <c r="W5236" t="str">
        <f t="shared" si="3"/>
        <v/>
      </c>
      <c r="X5236" s="4" t="str">
        <f>IF(V5236="","",INDEX(Fornecedores!$X$1:$X$6631,V5236))</f>
        <v/>
      </c>
      <c r="Y5236" s="4" t="str">
        <f t="shared" si="4"/>
        <v/>
      </c>
    </row>
    <row r="5237" spans="19:25">
      <c r="S5237" t="str">
        <f t="shared" si="0"/>
        <v/>
      </c>
      <c r="T5237" t="str">
        <f t="shared" si="1"/>
        <v/>
      </c>
      <c r="U5237" t="str">
        <f t="shared" si="2"/>
        <v/>
      </c>
      <c r="V5237" t="str">
        <f>IF(OR(U5237="",U5237="ERRO_CHAVE"),"",IFERROR(MATCH(U5237,Fornecedores!$AF$1:$AF$6631,0),""))</f>
        <v/>
      </c>
      <c r="W5237" t="str">
        <f t="shared" si="3"/>
        <v/>
      </c>
      <c r="X5237" s="4" t="str">
        <f>IF(V5237="","",INDEX(Fornecedores!$X$1:$X$6631,V5237))</f>
        <v/>
      </c>
      <c r="Y5237" s="4" t="str">
        <f t="shared" si="4"/>
        <v/>
      </c>
    </row>
    <row r="5238" spans="19:25">
      <c r="S5238" t="str">
        <f t="shared" si="0"/>
        <v/>
      </c>
      <c r="T5238" t="str">
        <f t="shared" si="1"/>
        <v/>
      </c>
      <c r="U5238" t="str">
        <f t="shared" si="2"/>
        <v/>
      </c>
      <c r="V5238" t="str">
        <f>IF(OR(U5238="",U5238="ERRO_CHAVE"),"",IFERROR(MATCH(U5238,Fornecedores!$AF$1:$AF$6631,0),""))</f>
        <v/>
      </c>
      <c r="W5238" t="str">
        <f t="shared" si="3"/>
        <v/>
      </c>
      <c r="X5238" s="4" t="str">
        <f>IF(V5238="","",INDEX(Fornecedores!$X$1:$X$6631,V5238))</f>
        <v/>
      </c>
      <c r="Y5238" s="4" t="str">
        <f t="shared" si="4"/>
        <v/>
      </c>
    </row>
    <row r="5239" spans="19:25">
      <c r="S5239" t="str">
        <f t="shared" si="0"/>
        <v/>
      </c>
      <c r="T5239" t="str">
        <f t="shared" si="1"/>
        <v/>
      </c>
      <c r="U5239" t="str">
        <f t="shared" si="2"/>
        <v/>
      </c>
      <c r="V5239" t="str">
        <f>IF(OR(U5239="",U5239="ERRO_CHAVE"),"",IFERROR(MATCH(U5239,Fornecedores!$AF$1:$AF$6631,0),""))</f>
        <v/>
      </c>
      <c r="W5239" t="str">
        <f t="shared" si="3"/>
        <v/>
      </c>
      <c r="X5239" s="4" t="str">
        <f>IF(V5239="","",INDEX(Fornecedores!$X$1:$X$6631,V5239))</f>
        <v/>
      </c>
      <c r="Y5239" s="4" t="str">
        <f t="shared" si="4"/>
        <v/>
      </c>
    </row>
    <row r="5240" spans="19:25">
      <c r="S5240" t="str">
        <f t="shared" si="0"/>
        <v/>
      </c>
      <c r="T5240" t="str">
        <f t="shared" si="1"/>
        <v/>
      </c>
      <c r="U5240" t="str">
        <f t="shared" si="2"/>
        <v/>
      </c>
      <c r="V5240" t="str">
        <f>IF(OR(U5240="",U5240="ERRO_CHAVE"),"",IFERROR(MATCH(U5240,Fornecedores!$AF$1:$AF$6631,0),""))</f>
        <v/>
      </c>
      <c r="W5240" t="str">
        <f t="shared" si="3"/>
        <v/>
      </c>
      <c r="X5240" s="4" t="str">
        <f>IF(V5240="","",INDEX(Fornecedores!$X$1:$X$6631,V5240))</f>
        <v/>
      </c>
      <c r="Y5240" s="4" t="str">
        <f t="shared" si="4"/>
        <v/>
      </c>
    </row>
    <row r="5241" spans="19:25">
      <c r="S5241" t="str">
        <f t="shared" si="0"/>
        <v/>
      </c>
      <c r="T5241" t="str">
        <f t="shared" si="1"/>
        <v/>
      </c>
      <c r="U5241" t="str">
        <f t="shared" si="2"/>
        <v/>
      </c>
      <c r="V5241" t="str">
        <f>IF(OR(U5241="",U5241="ERRO_CHAVE"),"",IFERROR(MATCH(U5241,Fornecedores!$AF$1:$AF$6631,0),""))</f>
        <v/>
      </c>
      <c r="W5241" t="str">
        <f t="shared" si="3"/>
        <v/>
      </c>
      <c r="X5241" s="4" t="str">
        <f>IF(V5241="","",INDEX(Fornecedores!$X$1:$X$6631,V5241))</f>
        <v/>
      </c>
      <c r="Y5241" s="4" t="str">
        <f t="shared" si="4"/>
        <v/>
      </c>
    </row>
    <row r="5242" spans="19:25">
      <c r="S5242" t="str">
        <f t="shared" si="0"/>
        <v/>
      </c>
      <c r="T5242" t="str">
        <f t="shared" si="1"/>
        <v/>
      </c>
      <c r="U5242" t="str">
        <f t="shared" si="2"/>
        <v/>
      </c>
      <c r="V5242" t="str">
        <f>IF(OR(U5242="",U5242="ERRO_CHAVE"),"",IFERROR(MATCH(U5242,Fornecedores!$AF$1:$AF$6631,0),""))</f>
        <v/>
      </c>
      <c r="W5242" t="str">
        <f t="shared" si="3"/>
        <v/>
      </c>
      <c r="X5242" s="4" t="str">
        <f>IF(V5242="","",INDEX(Fornecedores!$X$1:$X$6631,V5242))</f>
        <v/>
      </c>
      <c r="Y5242" s="4" t="str">
        <f t="shared" si="4"/>
        <v/>
      </c>
    </row>
    <row r="5243" spans="19:25">
      <c r="S5243" t="str">
        <f t="shared" si="0"/>
        <v/>
      </c>
      <c r="T5243" t="str">
        <f t="shared" si="1"/>
        <v/>
      </c>
      <c r="U5243" t="str">
        <f t="shared" si="2"/>
        <v/>
      </c>
      <c r="V5243" t="str">
        <f>IF(OR(U5243="",U5243="ERRO_CHAVE"),"",IFERROR(MATCH(U5243,Fornecedores!$AF$1:$AF$6631,0),""))</f>
        <v/>
      </c>
      <c r="W5243" t="str">
        <f t="shared" si="3"/>
        <v/>
      </c>
      <c r="X5243" s="4" t="str">
        <f>IF(V5243="","",INDEX(Fornecedores!$X$1:$X$6631,V5243))</f>
        <v/>
      </c>
      <c r="Y5243" s="4" t="str">
        <f t="shared" si="4"/>
        <v/>
      </c>
    </row>
    <row r="5244" spans="19:25">
      <c r="S5244" t="str">
        <f t="shared" si="0"/>
        <v/>
      </c>
      <c r="T5244" t="str">
        <f t="shared" si="1"/>
        <v/>
      </c>
      <c r="U5244" t="str">
        <f t="shared" si="2"/>
        <v/>
      </c>
      <c r="V5244" t="str">
        <f>IF(OR(U5244="",U5244="ERRO_CHAVE"),"",IFERROR(MATCH(U5244,Fornecedores!$AF$1:$AF$6631,0),""))</f>
        <v/>
      </c>
      <c r="W5244" t="str">
        <f t="shared" si="3"/>
        <v/>
      </c>
      <c r="X5244" s="4" t="str">
        <f>IF(V5244="","",INDEX(Fornecedores!$X$1:$X$6631,V5244))</f>
        <v/>
      </c>
      <c r="Y5244" s="4" t="str">
        <f t="shared" si="4"/>
        <v/>
      </c>
    </row>
    <row r="5245" spans="19:25">
      <c r="S5245" t="str">
        <f t="shared" si="0"/>
        <v/>
      </c>
      <c r="T5245" t="str">
        <f t="shared" si="1"/>
        <v/>
      </c>
      <c r="U5245" t="str">
        <f t="shared" si="2"/>
        <v/>
      </c>
      <c r="V5245" t="str">
        <f>IF(OR(U5245="",U5245="ERRO_CHAVE"),"",IFERROR(MATCH(U5245,Fornecedores!$AF$1:$AF$6631,0),""))</f>
        <v/>
      </c>
      <c r="W5245" t="str">
        <f t="shared" si="3"/>
        <v/>
      </c>
      <c r="X5245" s="4" t="str">
        <f>IF(V5245="","",INDEX(Fornecedores!$X$1:$X$6631,V5245))</f>
        <v/>
      </c>
      <c r="Y5245" s="4" t="str">
        <f t="shared" si="4"/>
        <v/>
      </c>
    </row>
    <row r="5246" spans="19:25">
      <c r="S5246" t="str">
        <f t="shared" si="0"/>
        <v/>
      </c>
      <c r="T5246" t="str">
        <f t="shared" si="1"/>
        <v/>
      </c>
      <c r="U5246" t="str">
        <f t="shared" si="2"/>
        <v/>
      </c>
      <c r="V5246" t="str">
        <f>IF(OR(U5246="",U5246="ERRO_CHAVE"),"",IFERROR(MATCH(U5246,Fornecedores!$AF$1:$AF$6631,0),""))</f>
        <v/>
      </c>
      <c r="W5246" t="str">
        <f t="shared" si="3"/>
        <v/>
      </c>
      <c r="X5246" s="4" t="str">
        <f>IF(V5246="","",INDEX(Fornecedores!$X$1:$X$6631,V5246))</f>
        <v/>
      </c>
      <c r="Y5246" s="4" t="str">
        <f t="shared" si="4"/>
        <v/>
      </c>
    </row>
    <row r="5247" spans="19:25">
      <c r="S5247" t="str">
        <f t="shared" si="0"/>
        <v/>
      </c>
      <c r="T5247" t="str">
        <f t="shared" si="1"/>
        <v/>
      </c>
      <c r="U5247" t="str">
        <f t="shared" si="2"/>
        <v/>
      </c>
      <c r="V5247" t="str">
        <f>IF(OR(U5247="",U5247="ERRO_CHAVE"),"",IFERROR(MATCH(U5247,Fornecedores!$AF$1:$AF$6631,0),""))</f>
        <v/>
      </c>
      <c r="W5247" t="str">
        <f t="shared" si="3"/>
        <v/>
      </c>
      <c r="X5247" s="4" t="str">
        <f>IF(V5247="","",INDEX(Fornecedores!$X$1:$X$6631,V5247))</f>
        <v/>
      </c>
      <c r="Y5247" s="4" t="str">
        <f t="shared" si="4"/>
        <v/>
      </c>
    </row>
    <row r="5248" spans="19:25">
      <c r="S5248" t="str">
        <f t="shared" si="0"/>
        <v/>
      </c>
      <c r="T5248" t="str">
        <f t="shared" si="1"/>
        <v/>
      </c>
      <c r="U5248" t="str">
        <f t="shared" si="2"/>
        <v/>
      </c>
      <c r="V5248" t="str">
        <f>IF(OR(U5248="",U5248="ERRO_CHAVE"),"",IFERROR(MATCH(U5248,Fornecedores!$AF$1:$AF$6631,0),""))</f>
        <v/>
      </c>
      <c r="W5248" t="str">
        <f t="shared" si="3"/>
        <v/>
      </c>
      <c r="X5248" s="4" t="str">
        <f>IF(V5248="","",INDEX(Fornecedores!$X$1:$X$6631,V5248))</f>
        <v/>
      </c>
      <c r="Y5248" s="4" t="str">
        <f t="shared" si="4"/>
        <v/>
      </c>
    </row>
    <row r="5249" spans="19:25">
      <c r="S5249" t="str">
        <f t="shared" si="0"/>
        <v/>
      </c>
      <c r="T5249" t="str">
        <f t="shared" si="1"/>
        <v/>
      </c>
      <c r="U5249" t="str">
        <f t="shared" si="2"/>
        <v/>
      </c>
      <c r="V5249" t="str">
        <f>IF(OR(U5249="",U5249="ERRO_CHAVE"),"",IFERROR(MATCH(U5249,Fornecedores!$AF$1:$AF$6631,0),""))</f>
        <v/>
      </c>
      <c r="W5249" t="str">
        <f t="shared" si="3"/>
        <v/>
      </c>
      <c r="X5249" s="4" t="str">
        <f>IF(V5249="","",INDEX(Fornecedores!$X$1:$X$6631,V5249))</f>
        <v/>
      </c>
      <c r="Y5249" s="4" t="str">
        <f t="shared" si="4"/>
        <v/>
      </c>
    </row>
    <row r="5250" spans="19:25">
      <c r="S5250" t="str">
        <f t="shared" si="0"/>
        <v/>
      </c>
      <c r="T5250" t="str">
        <f t="shared" si="1"/>
        <v/>
      </c>
      <c r="U5250" t="str">
        <f t="shared" si="2"/>
        <v/>
      </c>
      <c r="V5250" t="str">
        <f>IF(OR(U5250="",U5250="ERRO_CHAVE"),"",IFERROR(MATCH(U5250,Fornecedores!$AF$1:$AF$6631,0),""))</f>
        <v/>
      </c>
      <c r="W5250" t="str">
        <f t="shared" si="3"/>
        <v/>
      </c>
      <c r="X5250" s="4" t="str">
        <f>IF(V5250="","",INDEX(Fornecedores!$X$1:$X$6631,V5250))</f>
        <v/>
      </c>
      <c r="Y5250" s="4" t="str">
        <f t="shared" si="4"/>
        <v/>
      </c>
    </row>
    <row r="5251" spans="19:25">
      <c r="S5251" t="str">
        <f t="shared" si="0"/>
        <v/>
      </c>
      <c r="T5251" t="str">
        <f t="shared" si="1"/>
        <v/>
      </c>
      <c r="U5251" t="str">
        <f t="shared" si="2"/>
        <v/>
      </c>
      <c r="V5251" t="str">
        <f>IF(OR(U5251="",U5251="ERRO_CHAVE"),"",IFERROR(MATCH(U5251,Fornecedores!$AF$1:$AF$6631,0),""))</f>
        <v/>
      </c>
      <c r="W5251" t="str">
        <f t="shared" si="3"/>
        <v/>
      </c>
      <c r="X5251" s="4" t="str">
        <f>IF(V5251="","",INDEX(Fornecedores!$X$1:$X$6631,V5251))</f>
        <v/>
      </c>
      <c r="Y5251" s="4" t="str">
        <f t="shared" si="4"/>
        <v/>
      </c>
    </row>
    <row r="5252" spans="19:25">
      <c r="S5252" t="str">
        <f t="shared" si="0"/>
        <v/>
      </c>
      <c r="T5252" t="str">
        <f t="shared" si="1"/>
        <v/>
      </c>
      <c r="U5252" t="str">
        <f t="shared" si="2"/>
        <v/>
      </c>
      <c r="V5252" t="str">
        <f>IF(OR(U5252="",U5252="ERRO_CHAVE"),"",IFERROR(MATCH(U5252,Fornecedores!$AF$1:$AF$6631,0),""))</f>
        <v/>
      </c>
      <c r="W5252" t="str">
        <f t="shared" si="3"/>
        <v/>
      </c>
      <c r="X5252" s="4" t="str">
        <f>IF(V5252="","",INDEX(Fornecedores!$X$1:$X$6631,V5252))</f>
        <v/>
      </c>
      <c r="Y5252" s="4" t="str">
        <f t="shared" si="4"/>
        <v/>
      </c>
    </row>
    <row r="5253" spans="19:25">
      <c r="S5253" t="str">
        <f t="shared" si="0"/>
        <v/>
      </c>
      <c r="T5253" t="str">
        <f t="shared" si="1"/>
        <v/>
      </c>
      <c r="U5253" t="str">
        <f t="shared" si="2"/>
        <v/>
      </c>
      <c r="V5253" t="str">
        <f>IF(OR(U5253="",U5253="ERRO_CHAVE"),"",IFERROR(MATCH(U5253,Fornecedores!$AF$1:$AF$6631,0),""))</f>
        <v/>
      </c>
      <c r="W5253" t="str">
        <f t="shared" si="3"/>
        <v/>
      </c>
      <c r="X5253" s="4" t="str">
        <f>IF(V5253="","",INDEX(Fornecedores!$X$1:$X$6631,V5253))</f>
        <v/>
      </c>
      <c r="Y5253" s="4" t="str">
        <f t="shared" si="4"/>
        <v/>
      </c>
    </row>
    <row r="5254" spans="19:25">
      <c r="S5254" t="str">
        <f t="shared" si="0"/>
        <v/>
      </c>
      <c r="T5254" t="str">
        <f t="shared" si="1"/>
        <v/>
      </c>
      <c r="U5254" t="str">
        <f t="shared" si="2"/>
        <v/>
      </c>
      <c r="V5254" t="str">
        <f>IF(OR(U5254="",U5254="ERRO_CHAVE"),"",IFERROR(MATCH(U5254,Fornecedores!$AF$1:$AF$6631,0),""))</f>
        <v/>
      </c>
      <c r="W5254" t="str">
        <f t="shared" si="3"/>
        <v/>
      </c>
      <c r="X5254" s="4" t="str">
        <f>IF(V5254="","",INDEX(Fornecedores!$X$1:$X$6631,V5254))</f>
        <v/>
      </c>
      <c r="Y5254" s="4" t="str">
        <f t="shared" si="4"/>
        <v/>
      </c>
    </row>
    <row r="5255" spans="19:25">
      <c r="S5255" t="str">
        <f t="shared" si="0"/>
        <v/>
      </c>
      <c r="T5255" t="str">
        <f t="shared" si="1"/>
        <v/>
      </c>
      <c r="U5255" t="str">
        <f t="shared" si="2"/>
        <v/>
      </c>
      <c r="V5255" t="str">
        <f>IF(OR(U5255="",U5255="ERRO_CHAVE"),"",IFERROR(MATCH(U5255,Fornecedores!$AF$1:$AF$6631,0),""))</f>
        <v/>
      </c>
      <c r="W5255" t="str">
        <f t="shared" si="3"/>
        <v/>
      </c>
      <c r="X5255" s="4" t="str">
        <f>IF(V5255="","",INDEX(Fornecedores!$X$1:$X$6631,V5255))</f>
        <v/>
      </c>
      <c r="Y5255" s="4" t="str">
        <f t="shared" si="4"/>
        <v/>
      </c>
    </row>
    <row r="5256" spans="19:25">
      <c r="S5256" t="str">
        <f t="shared" si="0"/>
        <v/>
      </c>
      <c r="T5256" t="str">
        <f t="shared" si="1"/>
        <v/>
      </c>
      <c r="U5256" t="str">
        <f t="shared" si="2"/>
        <v/>
      </c>
      <c r="V5256" t="str">
        <f>IF(OR(U5256="",U5256="ERRO_CHAVE"),"",IFERROR(MATCH(U5256,Fornecedores!$AF$1:$AF$6631,0),""))</f>
        <v/>
      </c>
      <c r="W5256" t="str">
        <f t="shared" si="3"/>
        <v/>
      </c>
      <c r="X5256" s="4" t="str">
        <f>IF(V5256="","",INDEX(Fornecedores!$X$1:$X$6631,V5256))</f>
        <v/>
      </c>
      <c r="Y5256" s="4" t="str">
        <f t="shared" si="4"/>
        <v/>
      </c>
    </row>
    <row r="5257" spans="19:25">
      <c r="S5257" t="str">
        <f t="shared" si="0"/>
        <v/>
      </c>
      <c r="T5257" t="str">
        <f t="shared" si="1"/>
        <v/>
      </c>
      <c r="U5257" t="str">
        <f t="shared" si="2"/>
        <v/>
      </c>
      <c r="V5257" t="str">
        <f>IF(OR(U5257="",U5257="ERRO_CHAVE"),"",IFERROR(MATCH(U5257,Fornecedores!$AF$1:$AF$6631,0),""))</f>
        <v/>
      </c>
      <c r="W5257" t="str">
        <f t="shared" si="3"/>
        <v/>
      </c>
      <c r="X5257" s="4" t="str">
        <f>IF(V5257="","",INDEX(Fornecedores!$X$1:$X$6631,V5257))</f>
        <v/>
      </c>
      <c r="Y5257" s="4" t="str">
        <f t="shared" si="4"/>
        <v/>
      </c>
    </row>
    <row r="5258" spans="19:25">
      <c r="S5258" t="str">
        <f t="shared" si="0"/>
        <v/>
      </c>
      <c r="T5258" t="str">
        <f t="shared" si="1"/>
        <v/>
      </c>
      <c r="U5258" t="str">
        <f t="shared" si="2"/>
        <v/>
      </c>
      <c r="V5258" t="str">
        <f>IF(OR(U5258="",U5258="ERRO_CHAVE"),"",IFERROR(MATCH(U5258,Fornecedores!$AF$1:$AF$6631,0),""))</f>
        <v/>
      </c>
      <c r="W5258" t="str">
        <f t="shared" si="3"/>
        <v/>
      </c>
      <c r="X5258" s="4" t="str">
        <f>IF(V5258="","",INDEX(Fornecedores!$X$1:$X$6631,V5258))</f>
        <v/>
      </c>
      <c r="Y5258" s="4" t="str">
        <f t="shared" si="4"/>
        <v/>
      </c>
    </row>
    <row r="5259" spans="19:25">
      <c r="S5259" t="str">
        <f t="shared" si="0"/>
        <v/>
      </c>
      <c r="T5259" t="str">
        <f t="shared" si="1"/>
        <v/>
      </c>
      <c r="U5259" t="str">
        <f t="shared" si="2"/>
        <v/>
      </c>
      <c r="V5259" t="str">
        <f>IF(OR(U5259="",U5259="ERRO_CHAVE"),"",IFERROR(MATCH(U5259,Fornecedores!$AF$1:$AF$6631,0),""))</f>
        <v/>
      </c>
      <c r="W5259" t="str">
        <f t="shared" si="3"/>
        <v/>
      </c>
      <c r="X5259" s="4" t="str">
        <f>IF(V5259="","",INDEX(Fornecedores!$X$1:$X$6631,V5259))</f>
        <v/>
      </c>
      <c r="Y5259" s="4" t="str">
        <f t="shared" si="4"/>
        <v/>
      </c>
    </row>
    <row r="5260" spans="19:25">
      <c r="S5260" t="str">
        <f t="shared" si="0"/>
        <v/>
      </c>
      <c r="T5260" t="str">
        <f t="shared" si="1"/>
        <v/>
      </c>
      <c r="U5260" t="str">
        <f t="shared" si="2"/>
        <v/>
      </c>
      <c r="V5260" t="str">
        <f>IF(OR(U5260="",U5260="ERRO_CHAVE"),"",IFERROR(MATCH(U5260,Fornecedores!$AF$1:$AF$6631,0),""))</f>
        <v/>
      </c>
      <c r="W5260" t="str">
        <f t="shared" si="3"/>
        <v/>
      </c>
      <c r="X5260" s="4" t="str">
        <f>IF(V5260="","",INDEX(Fornecedores!$X$1:$X$6631,V5260))</f>
        <v/>
      </c>
      <c r="Y5260" s="4" t="str">
        <f t="shared" si="4"/>
        <v/>
      </c>
    </row>
    <row r="5261" spans="19:25">
      <c r="S5261" t="str">
        <f t="shared" si="0"/>
        <v/>
      </c>
      <c r="T5261" t="str">
        <f t="shared" si="1"/>
        <v/>
      </c>
      <c r="U5261" t="str">
        <f t="shared" si="2"/>
        <v/>
      </c>
      <c r="V5261" t="str">
        <f>IF(OR(U5261="",U5261="ERRO_CHAVE"),"",IFERROR(MATCH(U5261,Fornecedores!$AF$1:$AF$6631,0),""))</f>
        <v/>
      </c>
      <c r="W5261" t="str">
        <f t="shared" si="3"/>
        <v/>
      </c>
      <c r="X5261" s="4" t="str">
        <f>IF(V5261="","",INDEX(Fornecedores!$X$1:$X$6631,V5261))</f>
        <v/>
      </c>
      <c r="Y5261" s="4" t="str">
        <f t="shared" si="4"/>
        <v/>
      </c>
    </row>
    <row r="5262" spans="19:25">
      <c r="S5262" t="str">
        <f t="shared" si="0"/>
        <v/>
      </c>
      <c r="T5262" t="str">
        <f t="shared" si="1"/>
        <v/>
      </c>
      <c r="U5262" t="str">
        <f t="shared" si="2"/>
        <v/>
      </c>
      <c r="V5262" t="str">
        <f>IF(OR(U5262="",U5262="ERRO_CHAVE"),"",IFERROR(MATCH(U5262,Fornecedores!$AF$1:$AF$6631,0),""))</f>
        <v/>
      </c>
      <c r="W5262" t="str">
        <f t="shared" si="3"/>
        <v/>
      </c>
      <c r="X5262" s="4" t="str">
        <f>IF(V5262="","",INDEX(Fornecedores!$X$1:$X$6631,V5262))</f>
        <v/>
      </c>
      <c r="Y5262" s="4" t="str">
        <f t="shared" si="4"/>
        <v/>
      </c>
    </row>
    <row r="5263" spans="19:25">
      <c r="S5263" t="str">
        <f t="shared" si="0"/>
        <v/>
      </c>
      <c r="T5263" t="str">
        <f t="shared" si="1"/>
        <v/>
      </c>
      <c r="U5263" t="str">
        <f t="shared" si="2"/>
        <v/>
      </c>
      <c r="V5263" t="str">
        <f>IF(OR(U5263="",U5263="ERRO_CHAVE"),"",IFERROR(MATCH(U5263,Fornecedores!$AF$1:$AF$6631,0),""))</f>
        <v/>
      </c>
      <c r="W5263" t="str">
        <f t="shared" si="3"/>
        <v/>
      </c>
      <c r="X5263" s="4" t="str">
        <f>IF(V5263="","",INDEX(Fornecedores!$X$1:$X$6631,V5263))</f>
        <v/>
      </c>
      <c r="Y5263" s="4" t="str">
        <f t="shared" si="4"/>
        <v/>
      </c>
    </row>
    <row r="5264" spans="19:25">
      <c r="S5264" t="str">
        <f t="shared" si="0"/>
        <v/>
      </c>
      <c r="T5264" t="str">
        <f t="shared" si="1"/>
        <v/>
      </c>
      <c r="U5264" t="str">
        <f t="shared" si="2"/>
        <v/>
      </c>
      <c r="V5264" t="str">
        <f>IF(OR(U5264="",U5264="ERRO_CHAVE"),"",IFERROR(MATCH(U5264,Fornecedores!$AF$1:$AF$6631,0),""))</f>
        <v/>
      </c>
      <c r="W5264" t="str">
        <f t="shared" si="3"/>
        <v/>
      </c>
      <c r="X5264" s="4" t="str">
        <f>IF(V5264="","",INDEX(Fornecedores!$X$1:$X$6631,V5264))</f>
        <v/>
      </c>
      <c r="Y5264" s="4" t="str">
        <f t="shared" si="4"/>
        <v/>
      </c>
    </row>
    <row r="5265" spans="19:25">
      <c r="S5265" t="str">
        <f t="shared" si="0"/>
        <v/>
      </c>
      <c r="T5265" t="str">
        <f t="shared" si="1"/>
        <v/>
      </c>
      <c r="U5265" t="str">
        <f t="shared" si="2"/>
        <v/>
      </c>
      <c r="V5265" t="str">
        <f>IF(OR(U5265="",U5265="ERRO_CHAVE"),"",IFERROR(MATCH(U5265,Fornecedores!$AF$1:$AF$6631,0),""))</f>
        <v/>
      </c>
      <c r="W5265" t="str">
        <f t="shared" si="3"/>
        <v/>
      </c>
      <c r="X5265" s="4" t="str">
        <f>IF(V5265="","",INDEX(Fornecedores!$X$1:$X$6631,V5265))</f>
        <v/>
      </c>
      <c r="Y5265" s="4" t="str">
        <f t="shared" si="4"/>
        <v/>
      </c>
    </row>
    <row r="5266" spans="19:25">
      <c r="S5266" t="str">
        <f t="shared" si="0"/>
        <v/>
      </c>
      <c r="T5266" t="str">
        <f t="shared" si="1"/>
        <v/>
      </c>
      <c r="U5266" t="str">
        <f t="shared" si="2"/>
        <v/>
      </c>
      <c r="V5266" t="str">
        <f>IF(OR(U5266="",U5266="ERRO_CHAVE"),"",IFERROR(MATCH(U5266,Fornecedores!$AF$1:$AF$6631,0),""))</f>
        <v/>
      </c>
      <c r="W5266" t="str">
        <f t="shared" si="3"/>
        <v/>
      </c>
      <c r="X5266" s="4" t="str">
        <f>IF(V5266="","",INDEX(Fornecedores!$X$1:$X$6631,V5266))</f>
        <v/>
      </c>
      <c r="Y5266" s="4" t="str">
        <f t="shared" si="4"/>
        <v/>
      </c>
    </row>
    <row r="5267" spans="19:25">
      <c r="S5267" t="str">
        <f t="shared" si="0"/>
        <v/>
      </c>
      <c r="T5267" t="str">
        <f t="shared" si="1"/>
        <v/>
      </c>
      <c r="U5267" t="str">
        <f t="shared" si="2"/>
        <v/>
      </c>
      <c r="V5267" t="str">
        <f>IF(OR(U5267="",U5267="ERRO_CHAVE"),"",IFERROR(MATCH(U5267,Fornecedores!$AF$1:$AF$6631,0),""))</f>
        <v/>
      </c>
      <c r="W5267" t="str">
        <f t="shared" si="3"/>
        <v/>
      </c>
      <c r="X5267" s="4" t="str">
        <f>IF(V5267="","",INDEX(Fornecedores!$X$1:$X$6631,V5267))</f>
        <v/>
      </c>
      <c r="Y5267" s="4" t="str">
        <f t="shared" si="4"/>
        <v/>
      </c>
    </row>
    <row r="5268" spans="19:25">
      <c r="S5268" t="str">
        <f t="shared" si="0"/>
        <v/>
      </c>
      <c r="T5268" t="str">
        <f t="shared" si="1"/>
        <v/>
      </c>
      <c r="U5268" t="str">
        <f t="shared" si="2"/>
        <v/>
      </c>
      <c r="V5268" t="str">
        <f>IF(OR(U5268="",U5268="ERRO_CHAVE"),"",IFERROR(MATCH(U5268,Fornecedores!$AF$1:$AF$6631,0),""))</f>
        <v/>
      </c>
      <c r="W5268" t="str">
        <f t="shared" si="3"/>
        <v/>
      </c>
      <c r="X5268" s="4" t="str">
        <f>IF(V5268="","",INDEX(Fornecedores!$X$1:$X$6631,V5268))</f>
        <v/>
      </c>
      <c r="Y5268" s="4" t="str">
        <f t="shared" si="4"/>
        <v/>
      </c>
    </row>
    <row r="5269" spans="19:25">
      <c r="S5269" t="str">
        <f t="shared" si="0"/>
        <v/>
      </c>
      <c r="T5269" t="str">
        <f t="shared" si="1"/>
        <v/>
      </c>
      <c r="U5269" t="str">
        <f t="shared" si="2"/>
        <v/>
      </c>
      <c r="V5269" t="str">
        <f>IF(OR(U5269="",U5269="ERRO_CHAVE"),"",IFERROR(MATCH(U5269,Fornecedores!$AF$1:$AF$6631,0),""))</f>
        <v/>
      </c>
      <c r="W5269" t="str">
        <f t="shared" si="3"/>
        <v/>
      </c>
      <c r="X5269" s="4" t="str">
        <f>IF(V5269="","",INDEX(Fornecedores!$X$1:$X$6631,V5269))</f>
        <v/>
      </c>
      <c r="Y5269" s="4" t="str">
        <f t="shared" si="4"/>
        <v/>
      </c>
    </row>
    <row r="5270" spans="19:25">
      <c r="S5270" t="str">
        <f t="shared" si="0"/>
        <v/>
      </c>
      <c r="T5270" t="str">
        <f t="shared" si="1"/>
        <v/>
      </c>
      <c r="U5270" t="str">
        <f t="shared" si="2"/>
        <v/>
      </c>
      <c r="V5270" t="str">
        <f>IF(OR(U5270="",U5270="ERRO_CHAVE"),"",IFERROR(MATCH(U5270,Fornecedores!$AF$1:$AF$6631,0),""))</f>
        <v/>
      </c>
      <c r="W5270" t="str">
        <f t="shared" si="3"/>
        <v/>
      </c>
      <c r="X5270" s="4" t="str">
        <f>IF(V5270="","",INDEX(Fornecedores!$X$1:$X$6631,V5270))</f>
        <v/>
      </c>
      <c r="Y5270" s="4" t="str">
        <f t="shared" si="4"/>
        <v/>
      </c>
    </row>
    <row r="5271" spans="19:25">
      <c r="S5271" t="str">
        <f t="shared" si="0"/>
        <v/>
      </c>
      <c r="T5271" t="str">
        <f t="shared" si="1"/>
        <v/>
      </c>
      <c r="U5271" t="str">
        <f t="shared" si="2"/>
        <v/>
      </c>
      <c r="V5271" t="str">
        <f>IF(OR(U5271="",U5271="ERRO_CHAVE"),"",IFERROR(MATCH(U5271,Fornecedores!$AF$1:$AF$6631,0),""))</f>
        <v/>
      </c>
      <c r="W5271" t="str">
        <f t="shared" si="3"/>
        <v/>
      </c>
      <c r="X5271" s="4" t="str">
        <f>IF(V5271="","",INDEX(Fornecedores!$X$1:$X$6631,V5271))</f>
        <v/>
      </c>
      <c r="Y5271" s="4" t="str">
        <f t="shared" si="4"/>
        <v/>
      </c>
    </row>
    <row r="5272" spans="19:25">
      <c r="S5272" t="str">
        <f t="shared" si="0"/>
        <v/>
      </c>
      <c r="T5272" t="str">
        <f t="shared" si="1"/>
        <v/>
      </c>
      <c r="U5272" t="str">
        <f t="shared" si="2"/>
        <v/>
      </c>
      <c r="V5272" t="str">
        <f>IF(OR(U5272="",U5272="ERRO_CHAVE"),"",IFERROR(MATCH(U5272,Fornecedores!$AF$1:$AF$6631,0),""))</f>
        <v/>
      </c>
      <c r="W5272" t="str">
        <f t="shared" si="3"/>
        <v/>
      </c>
      <c r="X5272" s="4" t="str">
        <f>IF(V5272="","",INDEX(Fornecedores!$X$1:$X$6631,V5272))</f>
        <v/>
      </c>
      <c r="Y5272" s="4" t="str">
        <f t="shared" si="4"/>
        <v/>
      </c>
    </row>
    <row r="5273" spans="19:25">
      <c r="S5273" t="str">
        <f t="shared" si="0"/>
        <v/>
      </c>
      <c r="T5273" t="str">
        <f t="shared" si="1"/>
        <v/>
      </c>
      <c r="U5273" t="str">
        <f t="shared" si="2"/>
        <v/>
      </c>
      <c r="V5273" t="str">
        <f>IF(OR(U5273="",U5273="ERRO_CHAVE"),"",IFERROR(MATCH(U5273,Fornecedores!$AF$1:$AF$6631,0),""))</f>
        <v/>
      </c>
      <c r="W5273" t="str">
        <f t="shared" si="3"/>
        <v/>
      </c>
      <c r="X5273" s="4" t="str">
        <f>IF(V5273="","",INDEX(Fornecedores!$X$1:$X$6631,V5273))</f>
        <v/>
      </c>
      <c r="Y5273" s="4" t="str">
        <f t="shared" si="4"/>
        <v/>
      </c>
    </row>
    <row r="5274" spans="19:25">
      <c r="S5274" t="str">
        <f t="shared" si="0"/>
        <v/>
      </c>
      <c r="T5274" t="str">
        <f t="shared" si="1"/>
        <v/>
      </c>
      <c r="U5274" t="str">
        <f t="shared" si="2"/>
        <v/>
      </c>
      <c r="V5274" t="str">
        <f>IF(OR(U5274="",U5274="ERRO_CHAVE"),"",IFERROR(MATCH(U5274,Fornecedores!$AF$1:$AF$6631,0),""))</f>
        <v/>
      </c>
      <c r="W5274" t="str">
        <f t="shared" si="3"/>
        <v/>
      </c>
      <c r="X5274" s="4" t="str">
        <f>IF(V5274="","",INDEX(Fornecedores!$X$1:$X$6631,V5274))</f>
        <v/>
      </c>
      <c r="Y5274" s="4" t="str">
        <f t="shared" si="4"/>
        <v/>
      </c>
    </row>
    <row r="5275" spans="19:25">
      <c r="S5275" t="str">
        <f t="shared" si="0"/>
        <v/>
      </c>
      <c r="T5275" t="str">
        <f t="shared" si="1"/>
        <v/>
      </c>
      <c r="U5275" t="str">
        <f t="shared" si="2"/>
        <v/>
      </c>
      <c r="V5275" t="str">
        <f>IF(OR(U5275="",U5275="ERRO_CHAVE"),"",IFERROR(MATCH(U5275,Fornecedores!$AF$1:$AF$6631,0),""))</f>
        <v/>
      </c>
      <c r="W5275" t="str">
        <f t="shared" si="3"/>
        <v/>
      </c>
      <c r="X5275" s="4" t="str">
        <f>IF(V5275="","",INDEX(Fornecedores!$X$1:$X$6631,V5275))</f>
        <v/>
      </c>
      <c r="Y5275" s="4" t="str">
        <f t="shared" si="4"/>
        <v/>
      </c>
    </row>
    <row r="5276" spans="19:25">
      <c r="S5276" t="str">
        <f t="shared" si="0"/>
        <v/>
      </c>
      <c r="T5276" t="str">
        <f t="shared" si="1"/>
        <v/>
      </c>
      <c r="U5276" t="str">
        <f t="shared" si="2"/>
        <v/>
      </c>
      <c r="V5276" t="str">
        <f>IF(OR(U5276="",U5276="ERRO_CHAVE"),"",IFERROR(MATCH(U5276,Fornecedores!$AF$1:$AF$6631,0),""))</f>
        <v/>
      </c>
      <c r="W5276" t="str">
        <f t="shared" si="3"/>
        <v/>
      </c>
      <c r="X5276" s="4" t="str">
        <f>IF(V5276="","",INDEX(Fornecedores!$X$1:$X$6631,V5276))</f>
        <v/>
      </c>
      <c r="Y5276" s="4" t="str">
        <f t="shared" si="4"/>
        <v/>
      </c>
    </row>
    <row r="5277" spans="19:25">
      <c r="S5277" t="str">
        <f t="shared" si="0"/>
        <v/>
      </c>
      <c r="T5277" t="str">
        <f t="shared" si="1"/>
        <v/>
      </c>
      <c r="U5277" t="str">
        <f t="shared" si="2"/>
        <v/>
      </c>
      <c r="V5277" t="str">
        <f>IF(OR(U5277="",U5277="ERRO_CHAVE"),"",IFERROR(MATCH(U5277,Fornecedores!$AF$1:$AF$6631,0),""))</f>
        <v/>
      </c>
      <c r="W5277" t="str">
        <f t="shared" si="3"/>
        <v/>
      </c>
      <c r="X5277" s="4" t="str">
        <f>IF(V5277="","",INDEX(Fornecedores!$X$1:$X$6631,V5277))</f>
        <v/>
      </c>
      <c r="Y5277" s="4" t="str">
        <f t="shared" si="4"/>
        <v/>
      </c>
    </row>
    <row r="5278" spans="19:25">
      <c r="S5278" t="str">
        <f t="shared" si="0"/>
        <v/>
      </c>
      <c r="T5278" t="str">
        <f t="shared" si="1"/>
        <v/>
      </c>
      <c r="U5278" t="str">
        <f t="shared" si="2"/>
        <v/>
      </c>
      <c r="V5278" t="str">
        <f>IF(OR(U5278="",U5278="ERRO_CHAVE"),"",IFERROR(MATCH(U5278,Fornecedores!$AF$1:$AF$6631,0),""))</f>
        <v/>
      </c>
      <c r="W5278" t="str">
        <f t="shared" si="3"/>
        <v/>
      </c>
      <c r="X5278" s="4" t="str">
        <f>IF(V5278="","",INDEX(Fornecedores!$X$1:$X$6631,V5278))</f>
        <v/>
      </c>
      <c r="Y5278" s="4" t="str">
        <f t="shared" si="4"/>
        <v/>
      </c>
    </row>
    <row r="5279" spans="19:25">
      <c r="S5279" t="str">
        <f t="shared" si="0"/>
        <v/>
      </c>
      <c r="T5279" t="str">
        <f t="shared" si="1"/>
        <v/>
      </c>
      <c r="U5279" t="str">
        <f t="shared" si="2"/>
        <v/>
      </c>
      <c r="V5279" t="str">
        <f>IF(OR(U5279="",U5279="ERRO_CHAVE"),"",IFERROR(MATCH(U5279,Fornecedores!$AF$1:$AF$6631,0),""))</f>
        <v/>
      </c>
      <c r="W5279" t="str">
        <f t="shared" si="3"/>
        <v/>
      </c>
      <c r="X5279" s="4" t="str">
        <f>IF(V5279="","",INDEX(Fornecedores!$X$1:$X$6631,V5279))</f>
        <v/>
      </c>
      <c r="Y5279" s="4" t="str">
        <f t="shared" si="4"/>
        <v/>
      </c>
    </row>
    <row r="5280" spans="19:25">
      <c r="S5280" t="str">
        <f t="shared" si="0"/>
        <v/>
      </c>
      <c r="T5280" t="str">
        <f t="shared" si="1"/>
        <v/>
      </c>
      <c r="U5280" t="str">
        <f t="shared" si="2"/>
        <v/>
      </c>
      <c r="V5280" t="str">
        <f>IF(OR(U5280="",U5280="ERRO_CHAVE"),"",IFERROR(MATCH(U5280,Fornecedores!$AF$1:$AF$6631,0),""))</f>
        <v/>
      </c>
      <c r="W5280" t="str">
        <f t="shared" si="3"/>
        <v/>
      </c>
      <c r="X5280" s="4" t="str">
        <f>IF(V5280="","",INDEX(Fornecedores!$X$1:$X$6631,V5280))</f>
        <v/>
      </c>
      <c r="Y5280" s="4" t="str">
        <f t="shared" si="4"/>
        <v/>
      </c>
    </row>
    <row r="5281" spans="19:25">
      <c r="S5281" t="str">
        <f t="shared" si="0"/>
        <v/>
      </c>
      <c r="T5281" t="str">
        <f t="shared" si="1"/>
        <v/>
      </c>
      <c r="U5281" t="str">
        <f t="shared" si="2"/>
        <v/>
      </c>
      <c r="V5281" t="str">
        <f>IF(OR(U5281="",U5281="ERRO_CHAVE"),"",IFERROR(MATCH(U5281,Fornecedores!$AF$1:$AF$6631,0),""))</f>
        <v/>
      </c>
      <c r="W5281" t="str">
        <f t="shared" si="3"/>
        <v/>
      </c>
      <c r="X5281" s="4" t="str">
        <f>IF(V5281="","",INDEX(Fornecedores!$X$1:$X$6631,V5281))</f>
        <v/>
      </c>
      <c r="Y5281" s="4" t="str">
        <f t="shared" si="4"/>
        <v/>
      </c>
    </row>
    <row r="5282" spans="19:25">
      <c r="S5282" t="str">
        <f t="shared" si="0"/>
        <v/>
      </c>
      <c r="T5282" t="str">
        <f t="shared" si="1"/>
        <v/>
      </c>
      <c r="U5282" t="str">
        <f t="shared" si="2"/>
        <v/>
      </c>
      <c r="V5282" t="str">
        <f>IF(OR(U5282="",U5282="ERRO_CHAVE"),"",IFERROR(MATCH(U5282,Fornecedores!$AF$1:$AF$6631,0),""))</f>
        <v/>
      </c>
      <c r="W5282" t="str">
        <f t="shared" si="3"/>
        <v/>
      </c>
      <c r="X5282" s="4" t="str">
        <f>IF(V5282="","",INDEX(Fornecedores!$X$1:$X$6631,V5282))</f>
        <v/>
      </c>
      <c r="Y5282" s="4" t="str">
        <f t="shared" si="4"/>
        <v/>
      </c>
    </row>
    <row r="5283" spans="19:25">
      <c r="S5283" t="str">
        <f t="shared" si="0"/>
        <v/>
      </c>
      <c r="T5283" t="str">
        <f t="shared" si="1"/>
        <v/>
      </c>
      <c r="U5283" t="str">
        <f t="shared" si="2"/>
        <v/>
      </c>
      <c r="V5283" t="str">
        <f>IF(OR(U5283="",U5283="ERRO_CHAVE"),"",IFERROR(MATCH(U5283,Fornecedores!$AF$1:$AF$6631,0),""))</f>
        <v/>
      </c>
      <c r="W5283" t="str">
        <f t="shared" si="3"/>
        <v/>
      </c>
      <c r="X5283" s="4" t="str">
        <f>IF(V5283="","",INDEX(Fornecedores!$X$1:$X$6631,V5283))</f>
        <v/>
      </c>
      <c r="Y5283" s="4" t="str">
        <f t="shared" si="4"/>
        <v/>
      </c>
    </row>
    <row r="5284" spans="19:25">
      <c r="S5284" t="str">
        <f t="shared" si="0"/>
        <v/>
      </c>
      <c r="T5284" t="str">
        <f t="shared" si="1"/>
        <v/>
      </c>
      <c r="U5284" t="str">
        <f t="shared" si="2"/>
        <v/>
      </c>
      <c r="V5284" t="str">
        <f>IF(OR(U5284="",U5284="ERRO_CHAVE"),"",IFERROR(MATCH(U5284,Fornecedores!$AF$1:$AF$6631,0),""))</f>
        <v/>
      </c>
      <c r="W5284" t="str">
        <f t="shared" si="3"/>
        <v/>
      </c>
      <c r="X5284" s="4" t="str">
        <f>IF(V5284="","",INDEX(Fornecedores!$X$1:$X$6631,V5284))</f>
        <v/>
      </c>
      <c r="Y5284" s="4" t="str">
        <f t="shared" si="4"/>
        <v/>
      </c>
    </row>
    <row r="5285" spans="19:25">
      <c r="S5285" t="str">
        <f t="shared" si="0"/>
        <v/>
      </c>
      <c r="T5285" t="str">
        <f t="shared" si="1"/>
        <v/>
      </c>
      <c r="U5285" t="str">
        <f t="shared" si="2"/>
        <v/>
      </c>
      <c r="V5285" t="str">
        <f>IF(OR(U5285="",U5285="ERRO_CHAVE"),"",IFERROR(MATCH(U5285,Fornecedores!$AF$1:$AF$6631,0),""))</f>
        <v/>
      </c>
      <c r="W5285" t="str">
        <f t="shared" si="3"/>
        <v/>
      </c>
      <c r="X5285" s="4" t="str">
        <f>IF(V5285="","",INDEX(Fornecedores!$X$1:$X$6631,V5285))</f>
        <v/>
      </c>
      <c r="Y5285" s="4" t="str">
        <f t="shared" si="4"/>
        <v/>
      </c>
    </row>
    <row r="5286" spans="19:25">
      <c r="S5286" t="str">
        <f t="shared" si="0"/>
        <v/>
      </c>
      <c r="T5286" t="str">
        <f t="shared" si="1"/>
        <v/>
      </c>
      <c r="U5286" t="str">
        <f t="shared" si="2"/>
        <v/>
      </c>
      <c r="V5286" t="str">
        <f>IF(OR(U5286="",U5286="ERRO_CHAVE"),"",IFERROR(MATCH(U5286,Fornecedores!$AF$1:$AF$6631,0),""))</f>
        <v/>
      </c>
      <c r="W5286" t="str">
        <f t="shared" si="3"/>
        <v/>
      </c>
      <c r="X5286" s="4" t="str">
        <f>IF(V5286="","",INDEX(Fornecedores!$X$1:$X$6631,V5286))</f>
        <v/>
      </c>
      <c r="Y5286" s="4" t="str">
        <f t="shared" si="4"/>
        <v/>
      </c>
    </row>
    <row r="5287" spans="19:25">
      <c r="S5287" t="str">
        <f t="shared" si="0"/>
        <v/>
      </c>
      <c r="T5287" t="str">
        <f t="shared" si="1"/>
        <v/>
      </c>
      <c r="U5287" t="str">
        <f t="shared" si="2"/>
        <v/>
      </c>
      <c r="V5287" t="str">
        <f>IF(OR(U5287="",U5287="ERRO_CHAVE"),"",IFERROR(MATCH(U5287,Fornecedores!$AF$1:$AF$6631,0),""))</f>
        <v/>
      </c>
      <c r="W5287" t="str">
        <f t="shared" si="3"/>
        <v/>
      </c>
      <c r="X5287" s="4" t="str">
        <f>IF(V5287="","",INDEX(Fornecedores!$X$1:$X$6631,V5287))</f>
        <v/>
      </c>
      <c r="Y5287" s="4" t="str">
        <f t="shared" si="4"/>
        <v/>
      </c>
    </row>
    <row r="5288" spans="19:25">
      <c r="S5288" t="str">
        <f t="shared" si="0"/>
        <v/>
      </c>
      <c r="T5288" t="str">
        <f t="shared" si="1"/>
        <v/>
      </c>
      <c r="U5288" t="str">
        <f t="shared" si="2"/>
        <v/>
      </c>
      <c r="V5288" t="str">
        <f>IF(OR(U5288="",U5288="ERRO_CHAVE"),"",IFERROR(MATCH(U5288,Fornecedores!$AF$1:$AF$6631,0),""))</f>
        <v/>
      </c>
      <c r="W5288" t="str">
        <f t="shared" si="3"/>
        <v/>
      </c>
      <c r="X5288" s="4" t="str">
        <f>IF(V5288="","",INDEX(Fornecedores!$X$1:$X$6631,V5288))</f>
        <v/>
      </c>
      <c r="Y5288" s="4" t="str">
        <f t="shared" si="4"/>
        <v/>
      </c>
    </row>
    <row r="5289" spans="19:25">
      <c r="S5289" t="str">
        <f t="shared" si="0"/>
        <v/>
      </c>
      <c r="T5289" t="str">
        <f t="shared" si="1"/>
        <v/>
      </c>
      <c r="U5289" t="str">
        <f t="shared" si="2"/>
        <v/>
      </c>
      <c r="V5289" t="str">
        <f>IF(OR(U5289="",U5289="ERRO_CHAVE"),"",IFERROR(MATCH(U5289,Fornecedores!$AF$1:$AF$6631,0),""))</f>
        <v/>
      </c>
      <c r="W5289" t="str">
        <f t="shared" si="3"/>
        <v/>
      </c>
      <c r="X5289" s="4" t="str">
        <f>IF(V5289="","",INDEX(Fornecedores!$X$1:$X$6631,V5289))</f>
        <v/>
      </c>
      <c r="Y5289" s="4" t="str">
        <f t="shared" si="4"/>
        <v/>
      </c>
    </row>
    <row r="5290" spans="19:25">
      <c r="S5290" t="str">
        <f t="shared" si="0"/>
        <v/>
      </c>
      <c r="T5290" t="str">
        <f t="shared" si="1"/>
        <v/>
      </c>
      <c r="U5290" t="str">
        <f t="shared" si="2"/>
        <v/>
      </c>
      <c r="V5290" t="str">
        <f>IF(OR(U5290="",U5290="ERRO_CHAVE"),"",IFERROR(MATCH(U5290,Fornecedores!$AF$1:$AF$6631,0),""))</f>
        <v/>
      </c>
      <c r="W5290" t="str">
        <f t="shared" si="3"/>
        <v/>
      </c>
      <c r="X5290" s="4" t="str">
        <f>IF(V5290="","",INDEX(Fornecedores!$X$1:$X$6631,V5290))</f>
        <v/>
      </c>
      <c r="Y5290" s="4" t="str">
        <f t="shared" si="4"/>
        <v/>
      </c>
    </row>
    <row r="5291" spans="19:25">
      <c r="S5291" t="str">
        <f t="shared" si="0"/>
        <v/>
      </c>
      <c r="T5291" t="str">
        <f t="shared" si="1"/>
        <v/>
      </c>
      <c r="U5291" t="str">
        <f t="shared" si="2"/>
        <v/>
      </c>
      <c r="V5291" t="str">
        <f>IF(OR(U5291="",U5291="ERRO_CHAVE"),"",IFERROR(MATCH(U5291,Fornecedores!$AF$1:$AF$6631,0),""))</f>
        <v/>
      </c>
      <c r="W5291" t="str">
        <f t="shared" si="3"/>
        <v/>
      </c>
      <c r="X5291" s="4" t="str">
        <f>IF(V5291="","",INDEX(Fornecedores!$X$1:$X$6631,V5291))</f>
        <v/>
      </c>
      <c r="Y5291" s="4" t="str">
        <f t="shared" si="4"/>
        <v/>
      </c>
    </row>
    <row r="5292" spans="19:25">
      <c r="S5292" t="str">
        <f t="shared" si="0"/>
        <v/>
      </c>
      <c r="T5292" t="str">
        <f t="shared" si="1"/>
        <v/>
      </c>
      <c r="U5292" t="str">
        <f t="shared" si="2"/>
        <v/>
      </c>
      <c r="V5292" t="str">
        <f>IF(OR(U5292="",U5292="ERRO_CHAVE"),"",IFERROR(MATCH(U5292,Fornecedores!$AF$1:$AF$6631,0),""))</f>
        <v/>
      </c>
      <c r="W5292" t="str">
        <f t="shared" si="3"/>
        <v/>
      </c>
      <c r="X5292" s="4" t="str">
        <f>IF(V5292="","",INDEX(Fornecedores!$X$1:$X$6631,V5292))</f>
        <v/>
      </c>
      <c r="Y5292" s="4" t="str">
        <f t="shared" si="4"/>
        <v/>
      </c>
    </row>
    <row r="5293" spans="19:25">
      <c r="S5293" t="str">
        <f t="shared" si="0"/>
        <v/>
      </c>
      <c r="T5293" t="str">
        <f t="shared" si="1"/>
        <v/>
      </c>
      <c r="U5293" t="str">
        <f t="shared" si="2"/>
        <v/>
      </c>
      <c r="V5293" t="str">
        <f>IF(OR(U5293="",U5293="ERRO_CHAVE"),"",IFERROR(MATCH(U5293,Fornecedores!$AF$1:$AF$6631,0),""))</f>
        <v/>
      </c>
      <c r="W5293" t="str">
        <f t="shared" si="3"/>
        <v/>
      </c>
      <c r="X5293" s="4" t="str">
        <f>IF(V5293="","",INDEX(Fornecedores!$X$1:$X$6631,V5293))</f>
        <v/>
      </c>
      <c r="Y5293" s="4" t="str">
        <f t="shared" si="4"/>
        <v/>
      </c>
    </row>
    <row r="5294" spans="19:25">
      <c r="S5294" t="str">
        <f t="shared" si="0"/>
        <v/>
      </c>
      <c r="T5294" t="str">
        <f t="shared" si="1"/>
        <v/>
      </c>
      <c r="U5294" t="str">
        <f t="shared" si="2"/>
        <v/>
      </c>
      <c r="V5294" t="str">
        <f>IF(OR(U5294="",U5294="ERRO_CHAVE"),"",IFERROR(MATCH(U5294,Fornecedores!$AF$1:$AF$6631,0),""))</f>
        <v/>
      </c>
      <c r="W5294" t="str">
        <f t="shared" si="3"/>
        <v/>
      </c>
      <c r="X5294" s="4" t="str">
        <f>IF(V5294="","",INDEX(Fornecedores!$X$1:$X$6631,V5294))</f>
        <v/>
      </c>
      <c r="Y5294" s="4" t="str">
        <f t="shared" si="4"/>
        <v/>
      </c>
    </row>
    <row r="5295" spans="19:25">
      <c r="S5295" t="str">
        <f t="shared" si="0"/>
        <v/>
      </c>
      <c r="T5295" t="str">
        <f t="shared" si="1"/>
        <v/>
      </c>
      <c r="U5295" t="str">
        <f t="shared" si="2"/>
        <v/>
      </c>
      <c r="V5295" t="str">
        <f>IF(OR(U5295="",U5295="ERRO_CHAVE"),"",IFERROR(MATCH(U5295,Fornecedores!$AF$1:$AF$6631,0),""))</f>
        <v/>
      </c>
      <c r="W5295" t="str">
        <f t="shared" si="3"/>
        <v/>
      </c>
      <c r="X5295" s="4" t="str">
        <f>IF(V5295="","",INDEX(Fornecedores!$X$1:$X$6631,V5295))</f>
        <v/>
      </c>
      <c r="Y5295" s="4" t="str">
        <f t="shared" si="4"/>
        <v/>
      </c>
    </row>
    <row r="5296" spans="19:25">
      <c r="S5296" t="str">
        <f t="shared" si="0"/>
        <v/>
      </c>
      <c r="T5296" t="str">
        <f t="shared" si="1"/>
        <v/>
      </c>
      <c r="U5296" t="str">
        <f t="shared" si="2"/>
        <v/>
      </c>
      <c r="V5296" t="str">
        <f>IF(OR(U5296="",U5296="ERRO_CHAVE"),"",IFERROR(MATCH(U5296,Fornecedores!$AF$1:$AF$6631,0),""))</f>
        <v/>
      </c>
      <c r="W5296" t="str">
        <f t="shared" si="3"/>
        <v/>
      </c>
      <c r="X5296" s="4" t="str">
        <f>IF(V5296="","",INDEX(Fornecedores!$X$1:$X$6631,V5296))</f>
        <v/>
      </c>
      <c r="Y5296" s="4" t="str">
        <f t="shared" si="4"/>
        <v/>
      </c>
    </row>
    <row r="5297" spans="19:25">
      <c r="S5297" t="str">
        <f t="shared" si="0"/>
        <v/>
      </c>
      <c r="T5297" t="str">
        <f t="shared" si="1"/>
        <v/>
      </c>
      <c r="U5297" t="str">
        <f t="shared" si="2"/>
        <v/>
      </c>
      <c r="V5297" t="str">
        <f>IF(OR(U5297="",U5297="ERRO_CHAVE"),"",IFERROR(MATCH(U5297,Fornecedores!$AF$1:$AF$6631,0),""))</f>
        <v/>
      </c>
      <c r="W5297" t="str">
        <f t="shared" si="3"/>
        <v/>
      </c>
      <c r="X5297" s="4" t="str">
        <f>IF(V5297="","",INDEX(Fornecedores!$X$1:$X$6631,V5297))</f>
        <v/>
      </c>
      <c r="Y5297" s="4" t="str">
        <f t="shared" si="4"/>
        <v/>
      </c>
    </row>
    <row r="5298" spans="19:25">
      <c r="S5298" t="str">
        <f t="shared" si="0"/>
        <v/>
      </c>
      <c r="T5298" t="str">
        <f t="shared" si="1"/>
        <v/>
      </c>
      <c r="U5298" t="str">
        <f t="shared" si="2"/>
        <v/>
      </c>
      <c r="V5298" t="str">
        <f>IF(OR(U5298="",U5298="ERRO_CHAVE"),"",IFERROR(MATCH(U5298,Fornecedores!$AF$1:$AF$6631,0),""))</f>
        <v/>
      </c>
      <c r="W5298" t="str">
        <f t="shared" si="3"/>
        <v/>
      </c>
      <c r="X5298" s="4" t="str">
        <f>IF(V5298="","",INDEX(Fornecedores!$X$1:$X$6631,V5298))</f>
        <v/>
      </c>
      <c r="Y5298" s="4" t="str">
        <f t="shared" si="4"/>
        <v/>
      </c>
    </row>
    <row r="5299" spans="19:25">
      <c r="S5299" t="str">
        <f t="shared" si="0"/>
        <v/>
      </c>
      <c r="T5299" t="str">
        <f t="shared" si="1"/>
        <v/>
      </c>
      <c r="U5299" t="str">
        <f t="shared" si="2"/>
        <v/>
      </c>
      <c r="V5299" t="str">
        <f>IF(OR(U5299="",U5299="ERRO_CHAVE"),"",IFERROR(MATCH(U5299,Fornecedores!$AF$1:$AF$6631,0),""))</f>
        <v/>
      </c>
      <c r="W5299" t="str">
        <f t="shared" si="3"/>
        <v/>
      </c>
      <c r="X5299" s="4" t="str">
        <f>IF(V5299="","",INDEX(Fornecedores!$X$1:$X$6631,V5299))</f>
        <v/>
      </c>
      <c r="Y5299" s="4" t="str">
        <f t="shared" si="4"/>
        <v/>
      </c>
    </row>
    <row r="5300" spans="19:25">
      <c r="S5300" t="str">
        <f t="shared" si="0"/>
        <v/>
      </c>
      <c r="T5300" t="str">
        <f t="shared" si="1"/>
        <v/>
      </c>
      <c r="U5300" t="str">
        <f t="shared" si="2"/>
        <v/>
      </c>
      <c r="V5300" t="str">
        <f>IF(OR(U5300="",U5300="ERRO_CHAVE"),"",IFERROR(MATCH(U5300,Fornecedores!$AF$1:$AF$6631,0),""))</f>
        <v/>
      </c>
      <c r="W5300" t="str">
        <f t="shared" si="3"/>
        <v/>
      </c>
      <c r="X5300" s="4" t="str">
        <f>IF(V5300="","",INDEX(Fornecedores!$X$1:$X$6631,V5300))</f>
        <v/>
      </c>
      <c r="Y5300" s="4" t="str">
        <f t="shared" si="4"/>
        <v/>
      </c>
    </row>
    <row r="5301" spans="19:25">
      <c r="S5301" t="str">
        <f t="shared" si="0"/>
        <v/>
      </c>
      <c r="T5301" t="str">
        <f t="shared" si="1"/>
        <v/>
      </c>
      <c r="U5301" t="str">
        <f t="shared" si="2"/>
        <v/>
      </c>
      <c r="V5301" t="str">
        <f>IF(OR(U5301="",U5301="ERRO_CHAVE"),"",IFERROR(MATCH(U5301,Fornecedores!$AF$1:$AF$6631,0),""))</f>
        <v/>
      </c>
      <c r="W5301" t="str">
        <f t="shared" si="3"/>
        <v/>
      </c>
      <c r="X5301" s="4" t="str">
        <f>IF(V5301="","",INDEX(Fornecedores!$X$1:$X$6631,V5301))</f>
        <v/>
      </c>
      <c r="Y5301" s="4" t="str">
        <f t="shared" si="4"/>
        <v/>
      </c>
    </row>
    <row r="5302" spans="19:25">
      <c r="S5302" t="str">
        <f t="shared" si="0"/>
        <v/>
      </c>
      <c r="T5302" t="str">
        <f t="shared" si="1"/>
        <v/>
      </c>
      <c r="U5302" t="str">
        <f t="shared" si="2"/>
        <v/>
      </c>
      <c r="V5302" t="str">
        <f>IF(OR(U5302="",U5302="ERRO_CHAVE"),"",IFERROR(MATCH(U5302,Fornecedores!$AF$1:$AF$6631,0),""))</f>
        <v/>
      </c>
      <c r="W5302" t="str">
        <f t="shared" si="3"/>
        <v/>
      </c>
      <c r="X5302" s="4" t="str">
        <f>IF(V5302="","",INDEX(Fornecedores!$X$1:$X$6631,V5302))</f>
        <v/>
      </c>
      <c r="Y5302" s="4" t="str">
        <f t="shared" si="4"/>
        <v/>
      </c>
    </row>
    <row r="5303" spans="19:25">
      <c r="S5303" t="str">
        <f t="shared" si="0"/>
        <v/>
      </c>
      <c r="T5303" t="str">
        <f t="shared" si="1"/>
        <v/>
      </c>
      <c r="U5303" t="str">
        <f t="shared" si="2"/>
        <v/>
      </c>
      <c r="V5303" t="str">
        <f>IF(OR(U5303="",U5303="ERRO_CHAVE"),"",IFERROR(MATCH(U5303,Fornecedores!$AF$1:$AF$6631,0),""))</f>
        <v/>
      </c>
      <c r="W5303" t="str">
        <f t="shared" si="3"/>
        <v/>
      </c>
      <c r="X5303" s="4" t="str">
        <f>IF(V5303="","",INDEX(Fornecedores!$X$1:$X$6631,V5303))</f>
        <v/>
      </c>
      <c r="Y5303" s="4" t="str">
        <f t="shared" si="4"/>
        <v/>
      </c>
    </row>
    <row r="5304" spans="19:25">
      <c r="S5304" t="str">
        <f t="shared" si="0"/>
        <v/>
      </c>
      <c r="T5304" t="str">
        <f t="shared" si="1"/>
        <v/>
      </c>
      <c r="U5304" t="str">
        <f t="shared" si="2"/>
        <v/>
      </c>
      <c r="V5304" t="str">
        <f>IF(OR(U5304="",U5304="ERRO_CHAVE"),"",IFERROR(MATCH(U5304,Fornecedores!$AF$1:$AF$6631,0),""))</f>
        <v/>
      </c>
      <c r="W5304" t="str">
        <f t="shared" si="3"/>
        <v/>
      </c>
      <c r="X5304" s="4" t="str">
        <f>IF(V5304="","",INDEX(Fornecedores!$X$1:$X$6631,V5304))</f>
        <v/>
      </c>
      <c r="Y5304" s="4" t="str">
        <f t="shared" si="4"/>
        <v/>
      </c>
    </row>
    <row r="5305" spans="19:25">
      <c r="S5305" t="str">
        <f t="shared" si="0"/>
        <v/>
      </c>
      <c r="T5305" t="str">
        <f t="shared" si="1"/>
        <v/>
      </c>
      <c r="U5305" t="str">
        <f t="shared" si="2"/>
        <v/>
      </c>
      <c r="V5305" t="str">
        <f>IF(OR(U5305="",U5305="ERRO_CHAVE"),"",IFERROR(MATCH(U5305,Fornecedores!$AF$1:$AF$6631,0),""))</f>
        <v/>
      </c>
      <c r="W5305" t="str">
        <f t="shared" si="3"/>
        <v/>
      </c>
      <c r="X5305" s="4" t="str">
        <f>IF(V5305="","",INDEX(Fornecedores!$X$1:$X$6631,V5305))</f>
        <v/>
      </c>
      <c r="Y5305" s="4" t="str">
        <f t="shared" si="4"/>
        <v/>
      </c>
    </row>
    <row r="5306" spans="19:25">
      <c r="S5306" t="str">
        <f t="shared" si="0"/>
        <v/>
      </c>
      <c r="T5306" t="str">
        <f t="shared" si="1"/>
        <v/>
      </c>
      <c r="U5306" t="str">
        <f t="shared" si="2"/>
        <v/>
      </c>
      <c r="V5306" t="str">
        <f>IF(OR(U5306="",U5306="ERRO_CHAVE"),"",IFERROR(MATCH(U5306,Fornecedores!$AF$1:$AF$6631,0),""))</f>
        <v/>
      </c>
      <c r="W5306" t="str">
        <f t="shared" si="3"/>
        <v/>
      </c>
      <c r="X5306" s="4" t="str">
        <f>IF(V5306="","",INDEX(Fornecedores!$X$1:$X$6631,V5306))</f>
        <v/>
      </c>
      <c r="Y5306" s="4" t="str">
        <f t="shared" si="4"/>
        <v/>
      </c>
    </row>
    <row r="5307" spans="19:25">
      <c r="S5307" t="str">
        <f t="shared" si="0"/>
        <v/>
      </c>
      <c r="T5307" t="str">
        <f t="shared" si="1"/>
        <v/>
      </c>
      <c r="U5307" t="str">
        <f t="shared" si="2"/>
        <v/>
      </c>
      <c r="V5307" t="str">
        <f>IF(OR(U5307="",U5307="ERRO_CHAVE"),"",IFERROR(MATCH(U5307,Fornecedores!$AF$1:$AF$6631,0),""))</f>
        <v/>
      </c>
      <c r="W5307" t="str">
        <f t="shared" si="3"/>
        <v/>
      </c>
      <c r="X5307" s="4" t="str">
        <f>IF(V5307="","",INDEX(Fornecedores!$X$1:$X$6631,V5307))</f>
        <v/>
      </c>
      <c r="Y5307" s="4" t="str">
        <f t="shared" si="4"/>
        <v/>
      </c>
    </row>
    <row r="5308" spans="19:25">
      <c r="S5308" t="str">
        <f t="shared" si="0"/>
        <v/>
      </c>
      <c r="T5308" t="str">
        <f t="shared" si="1"/>
        <v/>
      </c>
      <c r="U5308" t="str">
        <f t="shared" si="2"/>
        <v/>
      </c>
      <c r="V5308" t="str">
        <f>IF(OR(U5308="",U5308="ERRO_CHAVE"),"",IFERROR(MATCH(U5308,Fornecedores!$AF$1:$AF$6631,0),""))</f>
        <v/>
      </c>
      <c r="W5308" t="str">
        <f t="shared" si="3"/>
        <v/>
      </c>
      <c r="X5308" s="4" t="str">
        <f>IF(V5308="","",INDEX(Fornecedores!$X$1:$X$6631,V5308))</f>
        <v/>
      </c>
      <c r="Y5308" s="4" t="str">
        <f t="shared" si="4"/>
        <v/>
      </c>
    </row>
    <row r="5309" spans="19:25">
      <c r="S5309" t="str">
        <f t="shared" si="0"/>
        <v/>
      </c>
      <c r="T5309" t="str">
        <f t="shared" si="1"/>
        <v/>
      </c>
      <c r="U5309" t="str">
        <f t="shared" si="2"/>
        <v/>
      </c>
      <c r="V5309" t="str">
        <f>IF(OR(U5309="",U5309="ERRO_CHAVE"),"",IFERROR(MATCH(U5309,Fornecedores!$AF$1:$AF$6631,0),""))</f>
        <v/>
      </c>
      <c r="W5309" t="str">
        <f t="shared" si="3"/>
        <v/>
      </c>
      <c r="X5309" s="4" t="str">
        <f>IF(V5309="","",INDEX(Fornecedores!$X$1:$X$6631,V5309))</f>
        <v/>
      </c>
      <c r="Y5309" s="4" t="str">
        <f t="shared" si="4"/>
        <v/>
      </c>
    </row>
    <row r="5310" spans="19:25">
      <c r="S5310" t="str">
        <f t="shared" si="0"/>
        <v/>
      </c>
      <c r="T5310" t="str">
        <f t="shared" si="1"/>
        <v/>
      </c>
      <c r="U5310" t="str">
        <f t="shared" si="2"/>
        <v/>
      </c>
      <c r="V5310" t="str">
        <f>IF(OR(U5310="",U5310="ERRO_CHAVE"),"",IFERROR(MATCH(U5310,Fornecedores!$AF$1:$AF$6631,0),""))</f>
        <v/>
      </c>
      <c r="W5310" t="str">
        <f t="shared" si="3"/>
        <v/>
      </c>
      <c r="X5310" s="4" t="str">
        <f>IF(V5310="","",INDEX(Fornecedores!$X$1:$X$6631,V5310))</f>
        <v/>
      </c>
      <c r="Y5310" s="4" t="str">
        <f t="shared" si="4"/>
        <v/>
      </c>
    </row>
    <row r="5311" spans="19:25">
      <c r="S5311" t="str">
        <f t="shared" si="0"/>
        <v/>
      </c>
      <c r="T5311" t="str">
        <f t="shared" si="1"/>
        <v/>
      </c>
      <c r="U5311" t="str">
        <f t="shared" si="2"/>
        <v/>
      </c>
      <c r="V5311" t="str">
        <f>IF(OR(U5311="",U5311="ERRO_CHAVE"),"",IFERROR(MATCH(U5311,Fornecedores!$AF$1:$AF$6631,0),""))</f>
        <v/>
      </c>
      <c r="W5311" t="str">
        <f t="shared" si="3"/>
        <v/>
      </c>
      <c r="X5311" s="4" t="str">
        <f>IF(V5311="","",INDEX(Fornecedores!$X$1:$X$6631,V5311))</f>
        <v/>
      </c>
      <c r="Y5311" s="4" t="str">
        <f t="shared" si="4"/>
        <v/>
      </c>
    </row>
    <row r="5312" spans="19:25">
      <c r="S5312" t="str">
        <f t="shared" si="0"/>
        <v/>
      </c>
      <c r="T5312" t="str">
        <f t="shared" si="1"/>
        <v/>
      </c>
      <c r="U5312" t="str">
        <f t="shared" si="2"/>
        <v/>
      </c>
      <c r="V5312" t="str">
        <f>IF(OR(U5312="",U5312="ERRO_CHAVE"),"",IFERROR(MATCH(U5312,Fornecedores!$AF$1:$AF$6631,0),""))</f>
        <v/>
      </c>
      <c r="W5312" t="str">
        <f t="shared" si="3"/>
        <v/>
      </c>
      <c r="X5312" s="4" t="str">
        <f>IF(V5312="","",INDEX(Fornecedores!$X$1:$X$6631,V5312))</f>
        <v/>
      </c>
      <c r="Y5312" s="4" t="str">
        <f t="shared" si="4"/>
        <v/>
      </c>
    </row>
    <row r="5313" spans="19:25">
      <c r="S5313" t="str">
        <f t="shared" si="0"/>
        <v/>
      </c>
      <c r="T5313" t="str">
        <f t="shared" si="1"/>
        <v/>
      </c>
      <c r="U5313" t="str">
        <f t="shared" si="2"/>
        <v/>
      </c>
      <c r="V5313" t="str">
        <f>IF(OR(U5313="",U5313="ERRO_CHAVE"),"",IFERROR(MATCH(U5313,Fornecedores!$AF$1:$AF$6631,0),""))</f>
        <v/>
      </c>
      <c r="W5313" t="str">
        <f t="shared" si="3"/>
        <v/>
      </c>
      <c r="X5313" s="4" t="str">
        <f>IF(V5313="","",INDEX(Fornecedores!$X$1:$X$6631,V5313))</f>
        <v/>
      </c>
      <c r="Y5313" s="4" t="str">
        <f t="shared" si="4"/>
        <v/>
      </c>
    </row>
    <row r="5314" spans="19:25">
      <c r="S5314" t="str">
        <f t="shared" si="0"/>
        <v/>
      </c>
      <c r="T5314" t="str">
        <f t="shared" si="1"/>
        <v/>
      </c>
      <c r="U5314" t="str">
        <f t="shared" si="2"/>
        <v/>
      </c>
      <c r="V5314" t="str">
        <f>IF(OR(U5314="",U5314="ERRO_CHAVE"),"",IFERROR(MATCH(U5314,Fornecedores!$AF$1:$AF$6631,0),""))</f>
        <v/>
      </c>
      <c r="W5314" t="str">
        <f t="shared" si="3"/>
        <v/>
      </c>
      <c r="X5314" s="4" t="str">
        <f>IF(V5314="","",INDEX(Fornecedores!$X$1:$X$6631,V5314))</f>
        <v/>
      </c>
      <c r="Y5314" s="4" t="str">
        <f t="shared" si="4"/>
        <v/>
      </c>
    </row>
    <row r="5315" spans="19:25">
      <c r="S5315" t="str">
        <f t="shared" si="0"/>
        <v/>
      </c>
      <c r="T5315" t="str">
        <f t="shared" si="1"/>
        <v/>
      </c>
      <c r="U5315" t="str">
        <f t="shared" si="2"/>
        <v/>
      </c>
      <c r="V5315" t="str">
        <f>IF(OR(U5315="",U5315="ERRO_CHAVE"),"",IFERROR(MATCH(U5315,Fornecedores!$AF$1:$AF$6631,0),""))</f>
        <v/>
      </c>
      <c r="W5315" t="str">
        <f t="shared" si="3"/>
        <v/>
      </c>
      <c r="X5315" s="4" t="str">
        <f>IF(V5315="","",INDEX(Fornecedores!$X$1:$X$6631,V5315))</f>
        <v/>
      </c>
      <c r="Y5315" s="4" t="str">
        <f t="shared" si="4"/>
        <v/>
      </c>
    </row>
    <row r="5316" spans="19:25">
      <c r="S5316" t="str">
        <f t="shared" si="0"/>
        <v/>
      </c>
      <c r="T5316" t="str">
        <f t="shared" si="1"/>
        <v/>
      </c>
      <c r="U5316" t="str">
        <f t="shared" si="2"/>
        <v/>
      </c>
      <c r="V5316" t="str">
        <f>IF(OR(U5316="",U5316="ERRO_CHAVE"),"",IFERROR(MATCH(U5316,Fornecedores!$AF$1:$AF$6631,0),""))</f>
        <v/>
      </c>
      <c r="W5316" t="str">
        <f t="shared" si="3"/>
        <v/>
      </c>
      <c r="X5316" s="4" t="str">
        <f>IF(V5316="","",INDEX(Fornecedores!$X$1:$X$6631,V5316))</f>
        <v/>
      </c>
      <c r="Y5316" s="4" t="str">
        <f t="shared" si="4"/>
        <v/>
      </c>
    </row>
    <row r="5317" spans="19:25">
      <c r="S5317" t="str">
        <f t="shared" si="0"/>
        <v/>
      </c>
      <c r="T5317" t="str">
        <f t="shared" si="1"/>
        <v/>
      </c>
      <c r="U5317" t="str">
        <f t="shared" si="2"/>
        <v/>
      </c>
      <c r="V5317" t="str">
        <f>IF(OR(U5317="",U5317="ERRO_CHAVE"),"",IFERROR(MATCH(U5317,Fornecedores!$AF$1:$AF$6631,0),""))</f>
        <v/>
      </c>
      <c r="W5317" t="str">
        <f t="shared" si="3"/>
        <v/>
      </c>
      <c r="X5317" s="4" t="str">
        <f>IF(V5317="","",INDEX(Fornecedores!$X$1:$X$6631,V5317))</f>
        <v/>
      </c>
      <c r="Y5317" s="4" t="str">
        <f t="shared" si="4"/>
        <v/>
      </c>
    </row>
    <row r="5318" spans="19:25">
      <c r="S5318" t="str">
        <f t="shared" si="0"/>
        <v/>
      </c>
      <c r="T5318" t="str">
        <f t="shared" si="1"/>
        <v/>
      </c>
      <c r="U5318" t="str">
        <f t="shared" si="2"/>
        <v/>
      </c>
      <c r="V5318" t="str">
        <f>IF(OR(U5318="",U5318="ERRO_CHAVE"),"",IFERROR(MATCH(U5318,Fornecedores!$AF$1:$AF$6631,0),""))</f>
        <v/>
      </c>
      <c r="W5318" t="str">
        <f t="shared" si="3"/>
        <v/>
      </c>
      <c r="X5318" s="4" t="str">
        <f>IF(V5318="","",INDEX(Fornecedores!$X$1:$X$6631,V5318))</f>
        <v/>
      </c>
      <c r="Y5318" s="4" t="str">
        <f t="shared" si="4"/>
        <v/>
      </c>
    </row>
    <row r="5319" spans="19:25">
      <c r="S5319" t="str">
        <f t="shared" si="0"/>
        <v/>
      </c>
      <c r="T5319" t="str">
        <f t="shared" si="1"/>
        <v/>
      </c>
      <c r="U5319" t="str">
        <f t="shared" si="2"/>
        <v/>
      </c>
      <c r="V5319" t="str">
        <f>IF(OR(U5319="",U5319="ERRO_CHAVE"),"",IFERROR(MATCH(U5319,Fornecedores!$AF$1:$AF$6631,0),""))</f>
        <v/>
      </c>
      <c r="W5319" t="str">
        <f t="shared" si="3"/>
        <v/>
      </c>
      <c r="X5319" s="4" t="str">
        <f>IF(V5319="","",INDEX(Fornecedores!$X$1:$X$6631,V5319))</f>
        <v/>
      </c>
      <c r="Y5319" s="4" t="str">
        <f t="shared" si="4"/>
        <v/>
      </c>
    </row>
    <row r="5320" spans="19:25">
      <c r="S5320" t="str">
        <f t="shared" si="0"/>
        <v/>
      </c>
      <c r="T5320" t="str">
        <f t="shared" si="1"/>
        <v/>
      </c>
      <c r="U5320" t="str">
        <f t="shared" si="2"/>
        <v/>
      </c>
      <c r="V5320" t="str">
        <f>IF(OR(U5320="",U5320="ERRO_CHAVE"),"",IFERROR(MATCH(U5320,Fornecedores!$AF$1:$AF$6631,0),""))</f>
        <v/>
      </c>
      <c r="W5320" t="str">
        <f t="shared" si="3"/>
        <v/>
      </c>
      <c r="X5320" s="4" t="str">
        <f>IF(V5320="","",INDEX(Fornecedores!$X$1:$X$6631,V5320))</f>
        <v/>
      </c>
      <c r="Y5320" s="4" t="str">
        <f t="shared" si="4"/>
        <v/>
      </c>
    </row>
    <row r="5321" spans="19:25">
      <c r="S5321" t="str">
        <f t="shared" si="0"/>
        <v/>
      </c>
      <c r="T5321" t="str">
        <f t="shared" si="1"/>
        <v/>
      </c>
      <c r="U5321" t="str">
        <f t="shared" si="2"/>
        <v/>
      </c>
      <c r="V5321" t="str">
        <f>IF(OR(U5321="",U5321="ERRO_CHAVE"),"",IFERROR(MATCH(U5321,Fornecedores!$AF$1:$AF$6631,0),""))</f>
        <v/>
      </c>
      <c r="W5321" t="str">
        <f t="shared" si="3"/>
        <v/>
      </c>
      <c r="X5321" s="4" t="str">
        <f>IF(V5321="","",INDEX(Fornecedores!$X$1:$X$6631,V5321))</f>
        <v/>
      </c>
      <c r="Y5321" s="4" t="str">
        <f t="shared" si="4"/>
        <v/>
      </c>
    </row>
    <row r="5322" spans="19:25">
      <c r="S5322" t="str">
        <f t="shared" si="0"/>
        <v/>
      </c>
      <c r="T5322" t="str">
        <f t="shared" si="1"/>
        <v/>
      </c>
      <c r="U5322" t="str">
        <f t="shared" si="2"/>
        <v/>
      </c>
      <c r="V5322" t="str">
        <f>IF(OR(U5322="",U5322="ERRO_CHAVE"),"",IFERROR(MATCH(U5322,Fornecedores!$AF$1:$AF$6631,0),""))</f>
        <v/>
      </c>
      <c r="W5322" t="str">
        <f t="shared" si="3"/>
        <v/>
      </c>
      <c r="X5322" s="4" t="str">
        <f>IF(V5322="","",INDEX(Fornecedores!$X$1:$X$6631,V5322))</f>
        <v/>
      </c>
      <c r="Y5322" s="4" t="str">
        <f t="shared" si="4"/>
        <v/>
      </c>
    </row>
    <row r="5323" spans="19:25">
      <c r="S5323" t="str">
        <f t="shared" si="0"/>
        <v/>
      </c>
      <c r="T5323" t="str">
        <f t="shared" si="1"/>
        <v/>
      </c>
      <c r="U5323" t="str">
        <f t="shared" si="2"/>
        <v/>
      </c>
      <c r="V5323" t="str">
        <f>IF(OR(U5323="",U5323="ERRO_CHAVE"),"",IFERROR(MATCH(U5323,Fornecedores!$AF$1:$AF$6631,0),""))</f>
        <v/>
      </c>
      <c r="W5323" t="str">
        <f t="shared" si="3"/>
        <v/>
      </c>
      <c r="X5323" s="4" t="str">
        <f>IF(V5323="","",INDEX(Fornecedores!$X$1:$X$6631,V5323))</f>
        <v/>
      </c>
      <c r="Y5323" s="4" t="str">
        <f t="shared" si="4"/>
        <v/>
      </c>
    </row>
    <row r="5324" spans="19:25">
      <c r="S5324" t="str">
        <f t="shared" si="0"/>
        <v/>
      </c>
      <c r="T5324" t="str">
        <f t="shared" si="1"/>
        <v/>
      </c>
      <c r="U5324" t="str">
        <f t="shared" si="2"/>
        <v/>
      </c>
      <c r="V5324" t="str">
        <f>IF(OR(U5324="",U5324="ERRO_CHAVE"),"",IFERROR(MATCH(U5324,Fornecedores!$AF$1:$AF$6631,0),""))</f>
        <v/>
      </c>
      <c r="W5324" t="str">
        <f t="shared" si="3"/>
        <v/>
      </c>
      <c r="X5324" s="4" t="str">
        <f>IF(V5324="","",INDEX(Fornecedores!$X$1:$X$6631,V5324))</f>
        <v/>
      </c>
      <c r="Y5324" s="4" t="str">
        <f t="shared" si="4"/>
        <v/>
      </c>
    </row>
    <row r="5325" spans="19:25">
      <c r="S5325" t="str">
        <f t="shared" si="0"/>
        <v/>
      </c>
      <c r="T5325" t="str">
        <f t="shared" si="1"/>
        <v/>
      </c>
      <c r="U5325" t="str">
        <f t="shared" si="2"/>
        <v/>
      </c>
      <c r="V5325" t="str">
        <f>IF(OR(U5325="",U5325="ERRO_CHAVE"),"",IFERROR(MATCH(U5325,Fornecedores!$AF$1:$AF$6631,0),""))</f>
        <v/>
      </c>
      <c r="W5325" t="str">
        <f t="shared" si="3"/>
        <v/>
      </c>
      <c r="X5325" s="4" t="str">
        <f>IF(V5325="","",INDEX(Fornecedores!$X$1:$X$6631,V5325))</f>
        <v/>
      </c>
      <c r="Y5325" s="4" t="str">
        <f t="shared" si="4"/>
        <v/>
      </c>
    </row>
    <row r="5326" spans="19:25">
      <c r="S5326" t="str">
        <f t="shared" si="0"/>
        <v/>
      </c>
      <c r="T5326" t="str">
        <f t="shared" si="1"/>
        <v/>
      </c>
      <c r="U5326" t="str">
        <f t="shared" si="2"/>
        <v/>
      </c>
      <c r="V5326" t="str">
        <f>IF(OR(U5326="",U5326="ERRO_CHAVE"),"",IFERROR(MATCH(U5326,Fornecedores!$AF$1:$AF$6631,0),""))</f>
        <v/>
      </c>
      <c r="W5326" t="str">
        <f t="shared" si="3"/>
        <v/>
      </c>
      <c r="X5326" s="4" t="str">
        <f>IF(V5326="","",INDEX(Fornecedores!$X$1:$X$6631,V5326))</f>
        <v/>
      </c>
      <c r="Y5326" s="4" t="str">
        <f t="shared" si="4"/>
        <v/>
      </c>
    </row>
    <row r="5327" spans="19:25">
      <c r="S5327" t="str">
        <f t="shared" si="0"/>
        <v/>
      </c>
      <c r="T5327" t="str">
        <f t="shared" si="1"/>
        <v/>
      </c>
      <c r="U5327" t="str">
        <f t="shared" si="2"/>
        <v/>
      </c>
      <c r="V5327" t="str">
        <f>IF(OR(U5327="",U5327="ERRO_CHAVE"),"",IFERROR(MATCH(U5327,Fornecedores!$AF$1:$AF$6631,0),""))</f>
        <v/>
      </c>
      <c r="W5327" t="str">
        <f t="shared" si="3"/>
        <v/>
      </c>
      <c r="X5327" s="4" t="str">
        <f>IF(V5327="","",INDEX(Fornecedores!$X$1:$X$6631,V5327))</f>
        <v/>
      </c>
      <c r="Y5327" s="4" t="str">
        <f t="shared" si="4"/>
        <v/>
      </c>
    </row>
    <row r="5328" spans="19:25">
      <c r="S5328" t="str">
        <f t="shared" si="0"/>
        <v/>
      </c>
      <c r="T5328" t="str">
        <f t="shared" si="1"/>
        <v/>
      </c>
      <c r="U5328" t="str">
        <f t="shared" si="2"/>
        <v/>
      </c>
      <c r="V5328" t="str">
        <f>IF(OR(U5328="",U5328="ERRO_CHAVE"),"",IFERROR(MATCH(U5328,Fornecedores!$AF$1:$AF$6631,0),""))</f>
        <v/>
      </c>
      <c r="W5328" t="str">
        <f t="shared" si="3"/>
        <v/>
      </c>
      <c r="X5328" s="4" t="str">
        <f>IF(V5328="","",INDEX(Fornecedores!$X$1:$X$6631,V5328))</f>
        <v/>
      </c>
      <c r="Y5328" s="4" t="str">
        <f t="shared" si="4"/>
        <v/>
      </c>
    </row>
    <row r="5329" spans="19:25">
      <c r="S5329" t="str">
        <f t="shared" si="0"/>
        <v/>
      </c>
      <c r="T5329" t="str">
        <f t="shared" si="1"/>
        <v/>
      </c>
      <c r="U5329" t="str">
        <f t="shared" si="2"/>
        <v/>
      </c>
      <c r="V5329" t="str">
        <f>IF(OR(U5329="",U5329="ERRO_CHAVE"),"",IFERROR(MATCH(U5329,Fornecedores!$AF$1:$AF$6631,0),""))</f>
        <v/>
      </c>
      <c r="W5329" t="str">
        <f t="shared" si="3"/>
        <v/>
      </c>
      <c r="X5329" s="4" t="str">
        <f>IF(V5329="","",INDEX(Fornecedores!$X$1:$X$6631,V5329))</f>
        <v/>
      </c>
      <c r="Y5329" s="4" t="str">
        <f t="shared" si="4"/>
        <v/>
      </c>
    </row>
    <row r="5330" spans="19:25">
      <c r="S5330" t="str">
        <f t="shared" si="0"/>
        <v/>
      </c>
      <c r="T5330" t="str">
        <f t="shared" si="1"/>
        <v/>
      </c>
      <c r="U5330" t="str">
        <f t="shared" si="2"/>
        <v/>
      </c>
      <c r="V5330" t="str">
        <f>IF(OR(U5330="",U5330="ERRO_CHAVE"),"",IFERROR(MATCH(U5330,Fornecedores!$AF$1:$AF$6631,0),""))</f>
        <v/>
      </c>
      <c r="W5330" t="str">
        <f t="shared" si="3"/>
        <v/>
      </c>
      <c r="X5330" s="4" t="str">
        <f>IF(V5330="","",INDEX(Fornecedores!$X$1:$X$6631,V5330))</f>
        <v/>
      </c>
      <c r="Y5330" s="4" t="str">
        <f t="shared" si="4"/>
        <v/>
      </c>
    </row>
    <row r="5331" spans="19:25">
      <c r="S5331" t="str">
        <f t="shared" si="0"/>
        <v/>
      </c>
      <c r="T5331" t="str">
        <f t="shared" si="1"/>
        <v/>
      </c>
      <c r="U5331" t="str">
        <f t="shared" si="2"/>
        <v/>
      </c>
      <c r="V5331" t="str">
        <f>IF(OR(U5331="",U5331="ERRO_CHAVE"),"",IFERROR(MATCH(U5331,Fornecedores!$AF$1:$AF$6631,0),""))</f>
        <v/>
      </c>
      <c r="W5331" t="str">
        <f t="shared" si="3"/>
        <v/>
      </c>
      <c r="X5331" s="4" t="str">
        <f>IF(V5331="","",INDEX(Fornecedores!$X$1:$X$6631,V5331))</f>
        <v/>
      </c>
      <c r="Y5331" s="4" t="str">
        <f t="shared" si="4"/>
        <v/>
      </c>
    </row>
    <row r="5332" spans="19:25">
      <c r="S5332" t="str">
        <f t="shared" si="0"/>
        <v/>
      </c>
      <c r="T5332" t="str">
        <f t="shared" si="1"/>
        <v/>
      </c>
      <c r="U5332" t="str">
        <f t="shared" si="2"/>
        <v/>
      </c>
      <c r="V5332" t="str">
        <f>IF(OR(U5332="",U5332="ERRO_CHAVE"),"",IFERROR(MATCH(U5332,Fornecedores!$AF$1:$AF$6631,0),""))</f>
        <v/>
      </c>
      <c r="W5332" t="str">
        <f t="shared" si="3"/>
        <v/>
      </c>
      <c r="X5332" s="4" t="str">
        <f>IF(V5332="","",INDEX(Fornecedores!$X$1:$X$6631,V5332))</f>
        <v/>
      </c>
      <c r="Y5332" s="4" t="str">
        <f t="shared" si="4"/>
        <v/>
      </c>
    </row>
    <row r="5333" spans="19:25">
      <c r="S5333" t="str">
        <f t="shared" si="0"/>
        <v/>
      </c>
      <c r="T5333" t="str">
        <f t="shared" si="1"/>
        <v/>
      </c>
      <c r="U5333" t="str">
        <f t="shared" si="2"/>
        <v/>
      </c>
      <c r="V5333" t="str">
        <f>IF(OR(U5333="",U5333="ERRO_CHAVE"),"",IFERROR(MATCH(U5333,Fornecedores!$AF$1:$AF$6631,0),""))</f>
        <v/>
      </c>
      <c r="W5333" t="str">
        <f t="shared" si="3"/>
        <v/>
      </c>
      <c r="X5333" s="4" t="str">
        <f>IF(V5333="","",INDEX(Fornecedores!$X$1:$X$6631,V5333))</f>
        <v/>
      </c>
      <c r="Y5333" s="4" t="str">
        <f t="shared" si="4"/>
        <v/>
      </c>
    </row>
    <row r="5334" spans="19:25">
      <c r="S5334" t="str">
        <f t="shared" si="0"/>
        <v/>
      </c>
      <c r="T5334" t="str">
        <f t="shared" si="1"/>
        <v/>
      </c>
      <c r="U5334" t="str">
        <f t="shared" si="2"/>
        <v/>
      </c>
      <c r="V5334" t="str">
        <f>IF(OR(U5334="",U5334="ERRO_CHAVE"),"",IFERROR(MATCH(U5334,Fornecedores!$AF$1:$AF$6631,0),""))</f>
        <v/>
      </c>
      <c r="W5334" t="str">
        <f t="shared" si="3"/>
        <v/>
      </c>
      <c r="X5334" s="4" t="str">
        <f>IF(V5334="","",INDEX(Fornecedores!$X$1:$X$6631,V5334))</f>
        <v/>
      </c>
      <c r="Y5334" s="4" t="str">
        <f t="shared" si="4"/>
        <v/>
      </c>
    </row>
    <row r="5335" spans="19:25">
      <c r="S5335" t="str">
        <f t="shared" si="0"/>
        <v/>
      </c>
      <c r="T5335" t="str">
        <f t="shared" si="1"/>
        <v/>
      </c>
      <c r="U5335" t="str">
        <f t="shared" si="2"/>
        <v/>
      </c>
      <c r="V5335" t="str">
        <f>IF(OR(U5335="",U5335="ERRO_CHAVE"),"",IFERROR(MATCH(U5335,Fornecedores!$AF$1:$AF$6631,0),""))</f>
        <v/>
      </c>
      <c r="W5335" t="str">
        <f t="shared" si="3"/>
        <v/>
      </c>
      <c r="X5335" s="4" t="str">
        <f>IF(V5335="","",INDEX(Fornecedores!$X$1:$X$6631,V5335))</f>
        <v/>
      </c>
      <c r="Y5335" s="4" t="str">
        <f t="shared" si="4"/>
        <v/>
      </c>
    </row>
    <row r="5336" spans="19:25">
      <c r="S5336" t="str">
        <f t="shared" si="0"/>
        <v/>
      </c>
      <c r="T5336" t="str">
        <f t="shared" si="1"/>
        <v/>
      </c>
      <c r="U5336" t="str">
        <f t="shared" si="2"/>
        <v/>
      </c>
      <c r="V5336" t="str">
        <f>IF(OR(U5336="",U5336="ERRO_CHAVE"),"",IFERROR(MATCH(U5336,Fornecedores!$AF$1:$AF$6631,0),""))</f>
        <v/>
      </c>
      <c r="W5336" t="str">
        <f t="shared" si="3"/>
        <v/>
      </c>
      <c r="X5336" s="4" t="str">
        <f>IF(V5336="","",INDEX(Fornecedores!$X$1:$X$6631,V5336))</f>
        <v/>
      </c>
      <c r="Y5336" s="4" t="str">
        <f t="shared" si="4"/>
        <v/>
      </c>
    </row>
    <row r="5337" spans="19:25">
      <c r="S5337" t="str">
        <f t="shared" si="0"/>
        <v/>
      </c>
      <c r="T5337" t="str">
        <f t="shared" si="1"/>
        <v/>
      </c>
      <c r="U5337" t="str">
        <f t="shared" si="2"/>
        <v/>
      </c>
      <c r="V5337" t="str">
        <f>IF(OR(U5337="",U5337="ERRO_CHAVE"),"",IFERROR(MATCH(U5337,Fornecedores!$AF$1:$AF$6631,0),""))</f>
        <v/>
      </c>
      <c r="W5337" t="str">
        <f t="shared" si="3"/>
        <v/>
      </c>
      <c r="X5337" s="4" t="str">
        <f>IF(V5337="","",INDEX(Fornecedores!$X$1:$X$6631,V5337))</f>
        <v/>
      </c>
      <c r="Y5337" s="4" t="str">
        <f t="shared" si="4"/>
        <v/>
      </c>
    </row>
    <row r="5338" spans="19:25">
      <c r="S5338" t="str">
        <f t="shared" si="0"/>
        <v/>
      </c>
      <c r="T5338" t="str">
        <f t="shared" si="1"/>
        <v/>
      </c>
      <c r="U5338" t="str">
        <f t="shared" si="2"/>
        <v/>
      </c>
      <c r="V5338" t="str">
        <f>IF(OR(U5338="",U5338="ERRO_CHAVE"),"",IFERROR(MATCH(U5338,Fornecedores!$AF$1:$AF$6631,0),""))</f>
        <v/>
      </c>
      <c r="W5338" t="str">
        <f t="shared" si="3"/>
        <v/>
      </c>
      <c r="X5338" s="4" t="str">
        <f>IF(V5338="","",INDEX(Fornecedores!$X$1:$X$6631,V5338))</f>
        <v/>
      </c>
      <c r="Y5338" s="4" t="str">
        <f t="shared" si="4"/>
        <v/>
      </c>
    </row>
    <row r="5339" spans="19:25">
      <c r="S5339" t="str">
        <f t="shared" si="0"/>
        <v/>
      </c>
      <c r="T5339" t="str">
        <f t="shared" si="1"/>
        <v/>
      </c>
      <c r="U5339" t="str">
        <f t="shared" si="2"/>
        <v/>
      </c>
      <c r="V5339" t="str">
        <f>IF(OR(U5339="",U5339="ERRO_CHAVE"),"",IFERROR(MATCH(U5339,Fornecedores!$AF$1:$AF$6631,0),""))</f>
        <v/>
      </c>
      <c r="W5339" t="str">
        <f t="shared" si="3"/>
        <v/>
      </c>
      <c r="X5339" s="4" t="str">
        <f>IF(V5339="","",INDEX(Fornecedores!$X$1:$X$6631,V5339))</f>
        <v/>
      </c>
      <c r="Y5339" s="4" t="str">
        <f t="shared" si="4"/>
        <v/>
      </c>
    </row>
    <row r="5340" spans="19:25">
      <c r="S5340" t="str">
        <f t="shared" si="0"/>
        <v/>
      </c>
      <c r="T5340" t="str">
        <f t="shared" si="1"/>
        <v/>
      </c>
      <c r="U5340" t="str">
        <f t="shared" si="2"/>
        <v/>
      </c>
      <c r="V5340" t="str">
        <f>IF(OR(U5340="",U5340="ERRO_CHAVE"),"",IFERROR(MATCH(U5340,Fornecedores!$AF$1:$AF$6631,0),""))</f>
        <v/>
      </c>
      <c r="W5340" t="str">
        <f t="shared" si="3"/>
        <v/>
      </c>
      <c r="X5340" s="4" t="str">
        <f>IF(V5340="","",INDEX(Fornecedores!$X$1:$X$6631,V5340))</f>
        <v/>
      </c>
      <c r="Y5340" s="4" t="str">
        <f t="shared" si="4"/>
        <v/>
      </c>
    </row>
    <row r="5341" spans="19:25">
      <c r="S5341" t="str">
        <f t="shared" si="0"/>
        <v/>
      </c>
      <c r="T5341" t="str">
        <f t="shared" si="1"/>
        <v/>
      </c>
      <c r="U5341" t="str">
        <f t="shared" si="2"/>
        <v/>
      </c>
      <c r="V5341" t="str">
        <f>IF(OR(U5341="",U5341="ERRO_CHAVE"),"",IFERROR(MATCH(U5341,Fornecedores!$AF$1:$AF$6631,0),""))</f>
        <v/>
      </c>
      <c r="W5341" t="str">
        <f t="shared" si="3"/>
        <v/>
      </c>
      <c r="X5341" s="4" t="str">
        <f>IF(V5341="","",INDEX(Fornecedores!$X$1:$X$6631,V5341))</f>
        <v/>
      </c>
      <c r="Y5341" s="4" t="str">
        <f t="shared" si="4"/>
        <v/>
      </c>
    </row>
    <row r="5342" spans="19:25">
      <c r="S5342" t="str">
        <f t="shared" si="0"/>
        <v/>
      </c>
      <c r="T5342" t="str">
        <f t="shared" si="1"/>
        <v/>
      </c>
      <c r="U5342" t="str">
        <f t="shared" si="2"/>
        <v/>
      </c>
      <c r="V5342" t="str">
        <f>IF(OR(U5342="",U5342="ERRO_CHAVE"),"",IFERROR(MATCH(U5342,Fornecedores!$AF$1:$AF$6631,0),""))</f>
        <v/>
      </c>
      <c r="W5342" t="str">
        <f t="shared" si="3"/>
        <v/>
      </c>
      <c r="X5342" s="4" t="str">
        <f>IF(V5342="","",INDEX(Fornecedores!$X$1:$X$6631,V5342))</f>
        <v/>
      </c>
      <c r="Y5342" s="4" t="str">
        <f t="shared" si="4"/>
        <v/>
      </c>
    </row>
    <row r="5343" spans="19:25">
      <c r="S5343" t="str">
        <f t="shared" si="0"/>
        <v/>
      </c>
      <c r="T5343" t="str">
        <f t="shared" si="1"/>
        <v/>
      </c>
      <c r="U5343" t="str">
        <f t="shared" si="2"/>
        <v/>
      </c>
      <c r="V5343" t="str">
        <f>IF(OR(U5343="",U5343="ERRO_CHAVE"),"",IFERROR(MATCH(U5343,Fornecedores!$AF$1:$AF$6631,0),""))</f>
        <v/>
      </c>
      <c r="W5343" t="str">
        <f t="shared" si="3"/>
        <v/>
      </c>
      <c r="X5343" s="4" t="str">
        <f>IF(V5343="","",INDEX(Fornecedores!$X$1:$X$6631,V5343))</f>
        <v/>
      </c>
      <c r="Y5343" s="4" t="str">
        <f t="shared" si="4"/>
        <v/>
      </c>
    </row>
    <row r="5344" spans="19:25">
      <c r="S5344" t="str">
        <f t="shared" si="0"/>
        <v/>
      </c>
      <c r="T5344" t="str">
        <f t="shared" si="1"/>
        <v/>
      </c>
      <c r="U5344" t="str">
        <f t="shared" si="2"/>
        <v/>
      </c>
      <c r="V5344" t="str">
        <f>IF(OR(U5344="",U5344="ERRO_CHAVE"),"",IFERROR(MATCH(U5344,Fornecedores!$AF$1:$AF$6631,0),""))</f>
        <v/>
      </c>
      <c r="W5344" t="str">
        <f t="shared" si="3"/>
        <v/>
      </c>
      <c r="X5344" s="4" t="str">
        <f>IF(V5344="","",INDEX(Fornecedores!$X$1:$X$6631,V5344))</f>
        <v/>
      </c>
      <c r="Y5344" s="4" t="str">
        <f t="shared" si="4"/>
        <v/>
      </c>
    </row>
    <row r="5345" spans="19:25">
      <c r="S5345" t="str">
        <f t="shared" si="0"/>
        <v/>
      </c>
      <c r="T5345" t="str">
        <f t="shared" si="1"/>
        <v/>
      </c>
      <c r="U5345" t="str">
        <f t="shared" si="2"/>
        <v/>
      </c>
      <c r="V5345" t="str">
        <f>IF(OR(U5345="",U5345="ERRO_CHAVE"),"",IFERROR(MATCH(U5345,Fornecedores!$AF$1:$AF$6631,0),""))</f>
        <v/>
      </c>
      <c r="W5345" t="str">
        <f t="shared" si="3"/>
        <v/>
      </c>
      <c r="X5345" s="4" t="str">
        <f>IF(V5345="","",INDEX(Fornecedores!$X$1:$X$6631,V5345))</f>
        <v/>
      </c>
      <c r="Y5345" s="4" t="str">
        <f t="shared" si="4"/>
        <v/>
      </c>
    </row>
    <row r="5346" spans="19:25">
      <c r="S5346" t="str">
        <f t="shared" si="0"/>
        <v/>
      </c>
      <c r="T5346" t="str">
        <f t="shared" si="1"/>
        <v/>
      </c>
      <c r="U5346" t="str">
        <f t="shared" si="2"/>
        <v/>
      </c>
      <c r="V5346" t="str">
        <f>IF(OR(U5346="",U5346="ERRO_CHAVE"),"",IFERROR(MATCH(U5346,Fornecedores!$AF$1:$AF$6631,0),""))</f>
        <v/>
      </c>
      <c r="W5346" t="str">
        <f t="shared" si="3"/>
        <v/>
      </c>
      <c r="X5346" s="4" t="str">
        <f>IF(V5346="","",INDEX(Fornecedores!$X$1:$X$6631,V5346))</f>
        <v/>
      </c>
      <c r="Y5346" s="4" t="str">
        <f t="shared" si="4"/>
        <v/>
      </c>
    </row>
    <row r="5347" spans="19:25">
      <c r="S5347" t="str">
        <f t="shared" si="0"/>
        <v/>
      </c>
      <c r="T5347" t="str">
        <f t="shared" si="1"/>
        <v/>
      </c>
      <c r="U5347" t="str">
        <f t="shared" si="2"/>
        <v/>
      </c>
      <c r="V5347" t="str">
        <f>IF(OR(U5347="",U5347="ERRO_CHAVE"),"",IFERROR(MATCH(U5347,Fornecedores!$AF$1:$AF$6631,0),""))</f>
        <v/>
      </c>
      <c r="W5347" t="str">
        <f t="shared" si="3"/>
        <v/>
      </c>
      <c r="X5347" s="4" t="str">
        <f>IF(V5347="","",INDEX(Fornecedores!$X$1:$X$6631,V5347))</f>
        <v/>
      </c>
      <c r="Y5347" s="4" t="str">
        <f t="shared" si="4"/>
        <v/>
      </c>
    </row>
    <row r="5348" spans="19:25">
      <c r="S5348" t="str">
        <f t="shared" si="0"/>
        <v/>
      </c>
      <c r="T5348" t="str">
        <f t="shared" si="1"/>
        <v/>
      </c>
      <c r="U5348" t="str">
        <f t="shared" si="2"/>
        <v/>
      </c>
      <c r="V5348" t="str">
        <f>IF(OR(U5348="",U5348="ERRO_CHAVE"),"",IFERROR(MATCH(U5348,Fornecedores!$AF$1:$AF$6631,0),""))</f>
        <v/>
      </c>
      <c r="W5348" t="str">
        <f t="shared" si="3"/>
        <v/>
      </c>
      <c r="X5348" s="4" t="str">
        <f>IF(V5348="","",INDEX(Fornecedores!$X$1:$X$6631,V5348))</f>
        <v/>
      </c>
      <c r="Y5348" s="4" t="str">
        <f t="shared" si="4"/>
        <v/>
      </c>
    </row>
    <row r="5349" spans="19:25">
      <c r="S5349" t="str">
        <f t="shared" si="0"/>
        <v/>
      </c>
      <c r="T5349" t="str">
        <f t="shared" si="1"/>
        <v/>
      </c>
      <c r="U5349" t="str">
        <f t="shared" si="2"/>
        <v/>
      </c>
      <c r="V5349" t="str">
        <f>IF(OR(U5349="",U5349="ERRO_CHAVE"),"",IFERROR(MATCH(U5349,Fornecedores!$AF$1:$AF$6631,0),""))</f>
        <v/>
      </c>
      <c r="W5349" t="str">
        <f t="shared" si="3"/>
        <v/>
      </c>
      <c r="X5349" s="4" t="str">
        <f>IF(V5349="","",INDEX(Fornecedores!$X$1:$X$6631,V5349))</f>
        <v/>
      </c>
      <c r="Y5349" s="4" t="str">
        <f t="shared" si="4"/>
        <v/>
      </c>
    </row>
    <row r="5350" spans="19:25">
      <c r="S5350" t="str">
        <f t="shared" si="0"/>
        <v/>
      </c>
      <c r="T5350" t="str">
        <f t="shared" si="1"/>
        <v/>
      </c>
      <c r="U5350" t="str">
        <f t="shared" si="2"/>
        <v/>
      </c>
      <c r="V5350" t="str">
        <f>IF(OR(U5350="",U5350="ERRO_CHAVE"),"",IFERROR(MATCH(U5350,Fornecedores!$AF$1:$AF$6631,0),""))</f>
        <v/>
      </c>
      <c r="W5350" t="str">
        <f t="shared" si="3"/>
        <v/>
      </c>
      <c r="X5350" s="4" t="str">
        <f>IF(V5350="","",INDEX(Fornecedores!$X$1:$X$6631,V5350))</f>
        <v/>
      </c>
      <c r="Y5350" s="4" t="str">
        <f t="shared" si="4"/>
        <v/>
      </c>
    </row>
    <row r="5351" spans="19:25">
      <c r="S5351" t="str">
        <f t="shared" si="0"/>
        <v/>
      </c>
      <c r="T5351" t="str">
        <f t="shared" si="1"/>
        <v/>
      </c>
      <c r="U5351" t="str">
        <f t="shared" si="2"/>
        <v/>
      </c>
      <c r="V5351" t="str">
        <f>IF(OR(U5351="",U5351="ERRO_CHAVE"),"",IFERROR(MATCH(U5351,Fornecedores!$AF$1:$AF$6631,0),""))</f>
        <v/>
      </c>
      <c r="W5351" t="str">
        <f t="shared" si="3"/>
        <v/>
      </c>
      <c r="X5351" s="4" t="str">
        <f>IF(V5351="","",INDEX(Fornecedores!$X$1:$X$6631,V5351))</f>
        <v/>
      </c>
      <c r="Y5351" s="4" t="str">
        <f t="shared" si="4"/>
        <v/>
      </c>
    </row>
    <row r="5352" spans="19:25">
      <c r="S5352" t="str">
        <f t="shared" si="0"/>
        <v/>
      </c>
      <c r="T5352" t="str">
        <f t="shared" si="1"/>
        <v/>
      </c>
      <c r="U5352" t="str">
        <f t="shared" si="2"/>
        <v/>
      </c>
      <c r="V5352" t="str">
        <f>IF(OR(U5352="",U5352="ERRO_CHAVE"),"",IFERROR(MATCH(U5352,Fornecedores!$AF$1:$AF$6631,0),""))</f>
        <v/>
      </c>
      <c r="W5352" t="str">
        <f t="shared" si="3"/>
        <v/>
      </c>
      <c r="X5352" s="4" t="str">
        <f>IF(V5352="","",INDEX(Fornecedores!$X$1:$X$6631,V5352))</f>
        <v/>
      </c>
      <c r="Y5352" s="4" t="str">
        <f t="shared" si="4"/>
        <v/>
      </c>
    </row>
    <row r="5353" spans="19:25">
      <c r="S5353" t="str">
        <f t="shared" si="0"/>
        <v/>
      </c>
      <c r="T5353" t="str">
        <f t="shared" si="1"/>
        <v/>
      </c>
      <c r="U5353" t="str">
        <f t="shared" si="2"/>
        <v/>
      </c>
      <c r="V5353" t="str">
        <f>IF(OR(U5353="",U5353="ERRO_CHAVE"),"",IFERROR(MATCH(U5353,Fornecedores!$AF$1:$AF$6631,0),""))</f>
        <v/>
      </c>
      <c r="W5353" t="str">
        <f t="shared" si="3"/>
        <v/>
      </c>
      <c r="X5353" s="4" t="str">
        <f>IF(V5353="","",INDEX(Fornecedores!$X$1:$X$6631,V5353))</f>
        <v/>
      </c>
      <c r="Y5353" s="4" t="str">
        <f t="shared" si="4"/>
        <v/>
      </c>
    </row>
    <row r="5354" spans="19:25">
      <c r="S5354" t="str">
        <f t="shared" si="0"/>
        <v/>
      </c>
      <c r="T5354" t="str">
        <f t="shared" si="1"/>
        <v/>
      </c>
      <c r="U5354" t="str">
        <f t="shared" si="2"/>
        <v/>
      </c>
      <c r="V5354" t="str">
        <f>IF(OR(U5354="",U5354="ERRO_CHAVE"),"",IFERROR(MATCH(U5354,Fornecedores!$AF$1:$AF$6631,0),""))</f>
        <v/>
      </c>
      <c r="W5354" t="str">
        <f t="shared" si="3"/>
        <v/>
      </c>
      <c r="X5354" s="4" t="str">
        <f>IF(V5354="","",INDEX(Fornecedores!$X$1:$X$6631,V5354))</f>
        <v/>
      </c>
      <c r="Y5354" s="4" t="str">
        <f t="shared" si="4"/>
        <v/>
      </c>
    </row>
    <row r="5355" spans="19:25">
      <c r="S5355" t="str">
        <f t="shared" si="0"/>
        <v/>
      </c>
      <c r="T5355" t="str">
        <f t="shared" si="1"/>
        <v/>
      </c>
      <c r="U5355" t="str">
        <f t="shared" si="2"/>
        <v/>
      </c>
      <c r="V5355" t="str">
        <f>IF(OR(U5355="",U5355="ERRO_CHAVE"),"",IFERROR(MATCH(U5355,Fornecedores!$AF$1:$AF$6631,0),""))</f>
        <v/>
      </c>
      <c r="W5355" t="str">
        <f t="shared" si="3"/>
        <v/>
      </c>
      <c r="X5355" s="4" t="str">
        <f>IF(V5355="","",INDEX(Fornecedores!$X$1:$X$6631,V5355))</f>
        <v/>
      </c>
      <c r="Y5355" s="4" t="str">
        <f t="shared" si="4"/>
        <v/>
      </c>
    </row>
    <row r="5356" spans="19:25">
      <c r="S5356" t="str">
        <f t="shared" si="0"/>
        <v/>
      </c>
      <c r="T5356" t="str">
        <f t="shared" si="1"/>
        <v/>
      </c>
      <c r="U5356" t="str">
        <f t="shared" si="2"/>
        <v/>
      </c>
      <c r="V5356" t="str">
        <f>IF(OR(U5356="",U5356="ERRO_CHAVE"),"",IFERROR(MATCH(U5356,Fornecedores!$AF$1:$AF$6631,0),""))</f>
        <v/>
      </c>
      <c r="W5356" t="str">
        <f t="shared" si="3"/>
        <v/>
      </c>
      <c r="X5356" s="4" t="str">
        <f>IF(V5356="","",INDEX(Fornecedores!$X$1:$X$6631,V5356))</f>
        <v/>
      </c>
      <c r="Y5356" s="4" t="str">
        <f t="shared" si="4"/>
        <v/>
      </c>
    </row>
    <row r="5357" spans="19:25">
      <c r="S5357" t="str">
        <f t="shared" si="0"/>
        <v/>
      </c>
      <c r="T5357" t="str">
        <f t="shared" si="1"/>
        <v/>
      </c>
      <c r="U5357" t="str">
        <f t="shared" si="2"/>
        <v/>
      </c>
      <c r="V5357" t="str">
        <f>IF(OR(U5357="",U5357="ERRO_CHAVE"),"",IFERROR(MATCH(U5357,Fornecedores!$AF$1:$AF$6631,0),""))</f>
        <v/>
      </c>
      <c r="W5357" t="str">
        <f t="shared" si="3"/>
        <v/>
      </c>
      <c r="X5357" s="4" t="str">
        <f>IF(V5357="","",INDEX(Fornecedores!$X$1:$X$6631,V5357))</f>
        <v/>
      </c>
      <c r="Y5357" s="4" t="str">
        <f t="shared" si="4"/>
        <v/>
      </c>
    </row>
    <row r="5358" spans="19:25">
      <c r="S5358" t="str">
        <f t="shared" si="0"/>
        <v/>
      </c>
      <c r="T5358" t="str">
        <f t="shared" si="1"/>
        <v/>
      </c>
      <c r="U5358" t="str">
        <f t="shared" si="2"/>
        <v/>
      </c>
      <c r="V5358" t="str">
        <f>IF(OR(U5358="",U5358="ERRO_CHAVE"),"",IFERROR(MATCH(U5358,Fornecedores!$AF$1:$AF$6631,0),""))</f>
        <v/>
      </c>
      <c r="W5358" t="str">
        <f t="shared" si="3"/>
        <v/>
      </c>
      <c r="X5358" s="4" t="str">
        <f>IF(V5358="","",INDEX(Fornecedores!$X$1:$X$6631,V5358))</f>
        <v/>
      </c>
      <c r="Y5358" s="4" t="str">
        <f t="shared" si="4"/>
        <v/>
      </c>
    </row>
    <row r="5359" spans="19:25">
      <c r="S5359" t="str">
        <f t="shared" si="0"/>
        <v/>
      </c>
      <c r="T5359" t="str">
        <f t="shared" si="1"/>
        <v/>
      </c>
      <c r="U5359" t="str">
        <f t="shared" si="2"/>
        <v/>
      </c>
      <c r="V5359" t="str">
        <f>IF(OR(U5359="",U5359="ERRO_CHAVE"),"",IFERROR(MATCH(U5359,Fornecedores!$AF$1:$AF$6631,0),""))</f>
        <v/>
      </c>
      <c r="W5359" t="str">
        <f t="shared" si="3"/>
        <v/>
      </c>
      <c r="X5359" s="4" t="str">
        <f>IF(V5359="","",INDEX(Fornecedores!$X$1:$X$6631,V5359))</f>
        <v/>
      </c>
      <c r="Y5359" s="4" t="str">
        <f t="shared" si="4"/>
        <v/>
      </c>
    </row>
    <row r="5360" spans="19:25">
      <c r="S5360" t="str">
        <f t="shared" si="0"/>
        <v/>
      </c>
      <c r="T5360" t="str">
        <f t="shared" si="1"/>
        <v/>
      </c>
      <c r="U5360" t="str">
        <f t="shared" si="2"/>
        <v/>
      </c>
      <c r="V5360" t="str">
        <f>IF(OR(U5360="",U5360="ERRO_CHAVE"),"",IFERROR(MATCH(U5360,Fornecedores!$AF$1:$AF$6631,0),""))</f>
        <v/>
      </c>
      <c r="W5360" t="str">
        <f t="shared" si="3"/>
        <v/>
      </c>
      <c r="X5360" s="4" t="str">
        <f>IF(V5360="","",INDEX(Fornecedores!$X$1:$X$6631,V5360))</f>
        <v/>
      </c>
      <c r="Y5360" s="4" t="str">
        <f t="shared" si="4"/>
        <v/>
      </c>
    </row>
    <row r="5361" spans="19:25">
      <c r="S5361" t="str">
        <f t="shared" si="0"/>
        <v/>
      </c>
      <c r="T5361" t="str">
        <f t="shared" si="1"/>
        <v/>
      </c>
      <c r="U5361" t="str">
        <f t="shared" si="2"/>
        <v/>
      </c>
      <c r="V5361" t="str">
        <f>IF(OR(U5361="",U5361="ERRO_CHAVE"),"",IFERROR(MATCH(U5361,Fornecedores!$AF$1:$AF$6631,0),""))</f>
        <v/>
      </c>
      <c r="W5361" t="str">
        <f t="shared" si="3"/>
        <v/>
      </c>
      <c r="X5361" s="4" t="str">
        <f>IF(V5361="","",INDEX(Fornecedores!$X$1:$X$6631,V5361))</f>
        <v/>
      </c>
      <c r="Y5361" s="4" t="str">
        <f t="shared" si="4"/>
        <v/>
      </c>
    </row>
    <row r="5362" spans="19:25">
      <c r="S5362" t="str">
        <f t="shared" si="0"/>
        <v/>
      </c>
      <c r="T5362" t="str">
        <f t="shared" si="1"/>
        <v/>
      </c>
      <c r="U5362" t="str">
        <f t="shared" si="2"/>
        <v/>
      </c>
      <c r="V5362" t="str">
        <f>IF(OR(U5362="",U5362="ERRO_CHAVE"),"",IFERROR(MATCH(U5362,Fornecedores!$AF$1:$AF$6631,0),""))</f>
        <v/>
      </c>
      <c r="W5362" t="str">
        <f t="shared" si="3"/>
        <v/>
      </c>
      <c r="X5362" s="4" t="str">
        <f>IF(V5362="","",INDEX(Fornecedores!$X$1:$X$6631,V5362))</f>
        <v/>
      </c>
      <c r="Y5362" s="4" t="str">
        <f t="shared" si="4"/>
        <v/>
      </c>
    </row>
    <row r="5363" spans="19:25">
      <c r="S5363" t="str">
        <f t="shared" si="0"/>
        <v/>
      </c>
      <c r="T5363" t="str">
        <f t="shared" si="1"/>
        <v/>
      </c>
      <c r="U5363" t="str">
        <f t="shared" si="2"/>
        <v/>
      </c>
      <c r="V5363" t="str">
        <f>IF(OR(U5363="",U5363="ERRO_CHAVE"),"",IFERROR(MATCH(U5363,Fornecedores!$AF$1:$AF$6631,0),""))</f>
        <v/>
      </c>
      <c r="W5363" t="str">
        <f t="shared" si="3"/>
        <v/>
      </c>
      <c r="X5363" s="4" t="str">
        <f>IF(V5363="","",INDEX(Fornecedores!$X$1:$X$6631,V5363))</f>
        <v/>
      </c>
      <c r="Y5363" s="4" t="str">
        <f t="shared" si="4"/>
        <v/>
      </c>
    </row>
    <row r="5364" spans="19:25">
      <c r="S5364" t="str">
        <f t="shared" si="0"/>
        <v/>
      </c>
      <c r="T5364" t="str">
        <f t="shared" si="1"/>
        <v/>
      </c>
      <c r="U5364" t="str">
        <f t="shared" si="2"/>
        <v/>
      </c>
      <c r="V5364" t="str">
        <f>IF(OR(U5364="",U5364="ERRO_CHAVE"),"",IFERROR(MATCH(U5364,Fornecedores!$AF$1:$AF$6631,0),""))</f>
        <v/>
      </c>
      <c r="W5364" t="str">
        <f t="shared" si="3"/>
        <v/>
      </c>
      <c r="X5364" s="4" t="str">
        <f>IF(V5364="","",INDEX(Fornecedores!$X$1:$X$6631,V5364))</f>
        <v/>
      </c>
      <c r="Y5364" s="4" t="str">
        <f t="shared" si="4"/>
        <v/>
      </c>
    </row>
    <row r="5365" spans="19:25">
      <c r="S5365" t="str">
        <f t="shared" si="0"/>
        <v/>
      </c>
      <c r="T5365" t="str">
        <f t="shared" si="1"/>
        <v/>
      </c>
      <c r="U5365" t="str">
        <f t="shared" si="2"/>
        <v/>
      </c>
      <c r="V5365" t="str">
        <f>IF(OR(U5365="",U5365="ERRO_CHAVE"),"",IFERROR(MATCH(U5365,Fornecedores!$AF$1:$AF$6631,0),""))</f>
        <v/>
      </c>
      <c r="W5365" t="str">
        <f t="shared" si="3"/>
        <v/>
      </c>
      <c r="X5365" s="4" t="str">
        <f>IF(V5365="","",INDEX(Fornecedores!$X$1:$X$6631,V5365))</f>
        <v/>
      </c>
      <c r="Y5365" s="4" t="str">
        <f t="shared" si="4"/>
        <v/>
      </c>
    </row>
    <row r="5366" spans="19:25">
      <c r="S5366" t="str">
        <f t="shared" si="0"/>
        <v/>
      </c>
      <c r="T5366" t="str">
        <f t="shared" si="1"/>
        <v/>
      </c>
      <c r="U5366" t="str">
        <f t="shared" si="2"/>
        <v/>
      </c>
      <c r="V5366" t="str">
        <f>IF(OR(U5366="",U5366="ERRO_CHAVE"),"",IFERROR(MATCH(U5366,Fornecedores!$AF$1:$AF$6631,0),""))</f>
        <v/>
      </c>
      <c r="W5366" t="str">
        <f t="shared" si="3"/>
        <v/>
      </c>
      <c r="X5366" s="4" t="str">
        <f>IF(V5366="","",INDEX(Fornecedores!$X$1:$X$6631,V5366))</f>
        <v/>
      </c>
      <c r="Y5366" s="4" t="str">
        <f t="shared" si="4"/>
        <v/>
      </c>
    </row>
    <row r="5367" spans="19:25">
      <c r="S5367" t="str">
        <f t="shared" si="0"/>
        <v/>
      </c>
      <c r="T5367" t="str">
        <f t="shared" si="1"/>
        <v/>
      </c>
      <c r="U5367" t="str">
        <f t="shared" si="2"/>
        <v/>
      </c>
      <c r="V5367" t="str">
        <f>IF(OR(U5367="",U5367="ERRO_CHAVE"),"",IFERROR(MATCH(U5367,Fornecedores!$AF$1:$AF$6631,0),""))</f>
        <v/>
      </c>
      <c r="W5367" t="str">
        <f t="shared" si="3"/>
        <v/>
      </c>
      <c r="X5367" s="4" t="str">
        <f>IF(V5367="","",INDEX(Fornecedores!$X$1:$X$6631,V5367))</f>
        <v/>
      </c>
      <c r="Y5367" s="4" t="str">
        <f t="shared" si="4"/>
        <v/>
      </c>
    </row>
    <row r="5368" spans="19:25">
      <c r="S5368" t="str">
        <f t="shared" si="0"/>
        <v/>
      </c>
      <c r="T5368" t="str">
        <f t="shared" si="1"/>
        <v/>
      </c>
      <c r="U5368" t="str">
        <f t="shared" si="2"/>
        <v/>
      </c>
      <c r="V5368" t="str">
        <f>IF(OR(U5368="",U5368="ERRO_CHAVE"),"",IFERROR(MATCH(U5368,Fornecedores!$AF$1:$AF$6631,0),""))</f>
        <v/>
      </c>
      <c r="W5368" t="str">
        <f t="shared" si="3"/>
        <v/>
      </c>
      <c r="X5368" s="4" t="str">
        <f>IF(V5368="","",INDEX(Fornecedores!$X$1:$X$6631,V5368))</f>
        <v/>
      </c>
      <c r="Y5368" s="4" t="str">
        <f t="shared" si="4"/>
        <v/>
      </c>
    </row>
    <row r="5369" spans="19:25">
      <c r="S5369" t="str">
        <f t="shared" si="0"/>
        <v/>
      </c>
      <c r="T5369" t="str">
        <f t="shared" si="1"/>
        <v/>
      </c>
      <c r="U5369" t="str">
        <f t="shared" si="2"/>
        <v/>
      </c>
      <c r="V5369" t="str">
        <f>IF(OR(U5369="",U5369="ERRO_CHAVE"),"",IFERROR(MATCH(U5369,Fornecedores!$AF$1:$AF$6631,0),""))</f>
        <v/>
      </c>
      <c r="W5369" t="str">
        <f t="shared" si="3"/>
        <v/>
      </c>
      <c r="X5369" s="4" t="str">
        <f>IF(V5369="","",INDEX(Fornecedores!$X$1:$X$6631,V5369))</f>
        <v/>
      </c>
      <c r="Y5369" s="4" t="str">
        <f t="shared" si="4"/>
        <v/>
      </c>
    </row>
    <row r="5370" spans="19:25">
      <c r="S5370" t="str">
        <f t="shared" si="0"/>
        <v/>
      </c>
      <c r="T5370" t="str">
        <f t="shared" si="1"/>
        <v/>
      </c>
      <c r="U5370" t="str">
        <f t="shared" si="2"/>
        <v/>
      </c>
      <c r="V5370" t="str">
        <f>IF(OR(U5370="",U5370="ERRO_CHAVE"),"",IFERROR(MATCH(U5370,Fornecedores!$AF$1:$AF$6631,0),""))</f>
        <v/>
      </c>
      <c r="W5370" t="str">
        <f t="shared" si="3"/>
        <v/>
      </c>
      <c r="X5370" s="4" t="str">
        <f>IF(V5370="","",INDEX(Fornecedores!$X$1:$X$6631,V5370))</f>
        <v/>
      </c>
      <c r="Y5370" s="4" t="str">
        <f t="shared" si="4"/>
        <v/>
      </c>
    </row>
    <row r="5371" spans="19:25">
      <c r="S5371" t="str">
        <f t="shared" si="0"/>
        <v/>
      </c>
      <c r="T5371" t="str">
        <f t="shared" si="1"/>
        <v/>
      </c>
      <c r="U5371" t="str">
        <f t="shared" si="2"/>
        <v/>
      </c>
      <c r="V5371" t="str">
        <f>IF(OR(U5371="",U5371="ERRO_CHAVE"),"",IFERROR(MATCH(U5371,Fornecedores!$AF$1:$AF$6631,0),""))</f>
        <v/>
      </c>
      <c r="W5371" t="str">
        <f t="shared" si="3"/>
        <v/>
      </c>
      <c r="X5371" s="4" t="str">
        <f>IF(V5371="","",INDEX(Fornecedores!$X$1:$X$6631,V5371))</f>
        <v/>
      </c>
      <c r="Y5371" s="4" t="str">
        <f t="shared" si="4"/>
        <v/>
      </c>
    </row>
    <row r="5372" spans="19:25">
      <c r="S5372" t="str">
        <f t="shared" si="0"/>
        <v/>
      </c>
      <c r="T5372" t="str">
        <f t="shared" si="1"/>
        <v/>
      </c>
      <c r="U5372" t="str">
        <f t="shared" si="2"/>
        <v/>
      </c>
      <c r="V5372" t="str">
        <f>IF(OR(U5372="",U5372="ERRO_CHAVE"),"",IFERROR(MATCH(U5372,Fornecedores!$AF$1:$AF$6631,0),""))</f>
        <v/>
      </c>
      <c r="W5372" t="str">
        <f t="shared" si="3"/>
        <v/>
      </c>
      <c r="X5372" s="4" t="str">
        <f>IF(V5372="","",INDEX(Fornecedores!$X$1:$X$6631,V5372))</f>
        <v/>
      </c>
      <c r="Y5372" s="4" t="str">
        <f t="shared" si="4"/>
        <v/>
      </c>
    </row>
    <row r="5373" spans="19:25">
      <c r="S5373" t="str">
        <f t="shared" si="0"/>
        <v/>
      </c>
      <c r="T5373" t="str">
        <f t="shared" si="1"/>
        <v/>
      </c>
      <c r="U5373" t="str">
        <f t="shared" si="2"/>
        <v/>
      </c>
      <c r="V5373" t="str">
        <f>IF(OR(U5373="",U5373="ERRO_CHAVE"),"",IFERROR(MATCH(U5373,Fornecedores!$AF$1:$AF$6631,0),""))</f>
        <v/>
      </c>
      <c r="W5373" t="str">
        <f t="shared" si="3"/>
        <v/>
      </c>
      <c r="X5373" s="4" t="str">
        <f>IF(V5373="","",INDEX(Fornecedores!$X$1:$X$6631,V5373))</f>
        <v/>
      </c>
      <c r="Y5373" s="4" t="str">
        <f t="shared" si="4"/>
        <v/>
      </c>
    </row>
    <row r="5374" spans="19:25">
      <c r="S5374" t="str">
        <f t="shared" si="0"/>
        <v/>
      </c>
      <c r="T5374" t="str">
        <f t="shared" si="1"/>
        <v/>
      </c>
      <c r="U5374" t="str">
        <f t="shared" si="2"/>
        <v/>
      </c>
      <c r="V5374" t="str">
        <f>IF(OR(U5374="",U5374="ERRO_CHAVE"),"",IFERROR(MATCH(U5374,Fornecedores!$AF$1:$AF$6631,0),""))</f>
        <v/>
      </c>
      <c r="W5374" t="str">
        <f t="shared" si="3"/>
        <v/>
      </c>
      <c r="X5374" s="4" t="str">
        <f>IF(V5374="","",INDEX(Fornecedores!$X$1:$X$6631,V5374))</f>
        <v/>
      </c>
      <c r="Y5374" s="4" t="str">
        <f t="shared" si="4"/>
        <v/>
      </c>
    </row>
    <row r="5375" spans="19:25">
      <c r="S5375" t="str">
        <f t="shared" si="0"/>
        <v/>
      </c>
      <c r="T5375" t="str">
        <f t="shared" si="1"/>
        <v/>
      </c>
      <c r="U5375" t="str">
        <f t="shared" si="2"/>
        <v/>
      </c>
      <c r="V5375" t="str">
        <f>IF(OR(U5375="",U5375="ERRO_CHAVE"),"",IFERROR(MATCH(U5375,Fornecedores!$AF$1:$AF$6631,0),""))</f>
        <v/>
      </c>
      <c r="W5375" t="str">
        <f t="shared" si="3"/>
        <v/>
      </c>
      <c r="X5375" s="4" t="str">
        <f>IF(V5375="","",INDEX(Fornecedores!$X$1:$X$6631,V5375))</f>
        <v/>
      </c>
      <c r="Y5375" s="4" t="str">
        <f t="shared" si="4"/>
        <v/>
      </c>
    </row>
    <row r="5376" spans="19:25">
      <c r="S5376" t="str">
        <f t="shared" si="0"/>
        <v/>
      </c>
      <c r="T5376" t="str">
        <f t="shared" si="1"/>
        <v/>
      </c>
      <c r="U5376" t="str">
        <f t="shared" si="2"/>
        <v/>
      </c>
      <c r="V5376" t="str">
        <f>IF(OR(U5376="",U5376="ERRO_CHAVE"),"",IFERROR(MATCH(U5376,Fornecedores!$AF$1:$AF$6631,0),""))</f>
        <v/>
      </c>
      <c r="W5376" t="str">
        <f t="shared" si="3"/>
        <v/>
      </c>
      <c r="X5376" s="4" t="str">
        <f>IF(V5376="","",INDEX(Fornecedores!$X$1:$X$6631,V5376))</f>
        <v/>
      </c>
      <c r="Y5376" s="4" t="str">
        <f t="shared" si="4"/>
        <v/>
      </c>
    </row>
    <row r="5377" spans="19:25">
      <c r="S5377" t="str">
        <f t="shared" si="0"/>
        <v/>
      </c>
      <c r="T5377" t="str">
        <f t="shared" si="1"/>
        <v/>
      </c>
      <c r="U5377" t="str">
        <f t="shared" si="2"/>
        <v/>
      </c>
      <c r="V5377" t="str">
        <f>IF(OR(U5377="",U5377="ERRO_CHAVE"),"",IFERROR(MATCH(U5377,Fornecedores!$AF$1:$AF$6631,0),""))</f>
        <v/>
      </c>
      <c r="W5377" t="str">
        <f t="shared" si="3"/>
        <v/>
      </c>
      <c r="X5377" s="4" t="str">
        <f>IF(V5377="","",INDEX(Fornecedores!$X$1:$X$6631,V5377))</f>
        <v/>
      </c>
      <c r="Y5377" s="4" t="str">
        <f t="shared" si="4"/>
        <v/>
      </c>
    </row>
    <row r="5378" spans="19:25">
      <c r="S5378" t="str">
        <f t="shared" si="0"/>
        <v/>
      </c>
      <c r="T5378" t="str">
        <f t="shared" si="1"/>
        <v/>
      </c>
      <c r="U5378" t="str">
        <f t="shared" si="2"/>
        <v/>
      </c>
      <c r="V5378" t="str">
        <f>IF(OR(U5378="",U5378="ERRO_CHAVE"),"",IFERROR(MATCH(U5378,Fornecedores!$AF$1:$AF$6631,0),""))</f>
        <v/>
      </c>
      <c r="W5378" t="str">
        <f t="shared" si="3"/>
        <v/>
      </c>
      <c r="X5378" s="4" t="str">
        <f>IF(V5378="","",INDEX(Fornecedores!$X$1:$X$6631,V5378))</f>
        <v/>
      </c>
      <c r="Y5378" s="4" t="str">
        <f t="shared" si="4"/>
        <v/>
      </c>
    </row>
    <row r="5379" spans="19:25">
      <c r="S5379" t="str">
        <f t="shared" si="0"/>
        <v/>
      </c>
      <c r="T5379" t="str">
        <f t="shared" si="1"/>
        <v/>
      </c>
      <c r="U5379" t="str">
        <f t="shared" si="2"/>
        <v/>
      </c>
      <c r="V5379" t="str">
        <f>IF(OR(U5379="",U5379="ERRO_CHAVE"),"",IFERROR(MATCH(U5379,Fornecedores!$AF$1:$AF$6631,0),""))</f>
        <v/>
      </c>
      <c r="W5379" t="str">
        <f t="shared" si="3"/>
        <v/>
      </c>
      <c r="X5379" s="4" t="str">
        <f>IF(V5379="","",INDEX(Fornecedores!$X$1:$X$6631,V5379))</f>
        <v/>
      </c>
      <c r="Y5379" s="4" t="str">
        <f t="shared" si="4"/>
        <v/>
      </c>
    </row>
    <row r="5380" spans="19:25">
      <c r="S5380" t="str">
        <f t="shared" si="0"/>
        <v/>
      </c>
      <c r="T5380" t="str">
        <f t="shared" si="1"/>
        <v/>
      </c>
      <c r="U5380" t="str">
        <f t="shared" si="2"/>
        <v/>
      </c>
      <c r="V5380" t="str">
        <f>IF(OR(U5380="",U5380="ERRO_CHAVE"),"",IFERROR(MATCH(U5380,Fornecedores!$AF$1:$AF$6631,0),""))</f>
        <v/>
      </c>
      <c r="W5380" t="str">
        <f t="shared" si="3"/>
        <v/>
      </c>
      <c r="X5380" s="4" t="str">
        <f>IF(V5380="","",INDEX(Fornecedores!$X$1:$X$6631,V5380))</f>
        <v/>
      </c>
      <c r="Y5380" s="4" t="str">
        <f t="shared" si="4"/>
        <v/>
      </c>
    </row>
    <row r="5381" spans="19:25">
      <c r="S5381" t="str">
        <f t="shared" si="0"/>
        <v/>
      </c>
      <c r="T5381" t="str">
        <f t="shared" si="1"/>
        <v/>
      </c>
      <c r="U5381" t="str">
        <f t="shared" si="2"/>
        <v/>
      </c>
      <c r="V5381" t="str">
        <f>IF(OR(U5381="",U5381="ERRO_CHAVE"),"",IFERROR(MATCH(U5381,Fornecedores!$AF$1:$AF$6631,0),""))</f>
        <v/>
      </c>
      <c r="W5381" t="str">
        <f t="shared" si="3"/>
        <v/>
      </c>
      <c r="X5381" s="4" t="str">
        <f>IF(V5381="","",INDEX(Fornecedores!$X$1:$X$6631,V5381))</f>
        <v/>
      </c>
      <c r="Y5381" s="4" t="str">
        <f t="shared" si="4"/>
        <v/>
      </c>
    </row>
    <row r="5382" spans="19:25">
      <c r="S5382" t="str">
        <f t="shared" si="0"/>
        <v/>
      </c>
      <c r="T5382" t="str">
        <f t="shared" si="1"/>
        <v/>
      </c>
      <c r="U5382" t="str">
        <f t="shared" si="2"/>
        <v/>
      </c>
      <c r="V5382" t="str">
        <f>IF(OR(U5382="",U5382="ERRO_CHAVE"),"",IFERROR(MATCH(U5382,Fornecedores!$AF$1:$AF$6631,0),""))</f>
        <v/>
      </c>
      <c r="W5382" t="str">
        <f t="shared" si="3"/>
        <v/>
      </c>
      <c r="X5382" s="4" t="str">
        <f>IF(V5382="","",INDEX(Fornecedores!$X$1:$X$6631,V5382))</f>
        <v/>
      </c>
      <c r="Y5382" s="4" t="str">
        <f t="shared" si="4"/>
        <v/>
      </c>
    </row>
    <row r="5383" spans="19:25">
      <c r="S5383" t="str">
        <f t="shared" si="0"/>
        <v/>
      </c>
      <c r="T5383" t="str">
        <f t="shared" si="1"/>
        <v/>
      </c>
      <c r="U5383" t="str">
        <f t="shared" si="2"/>
        <v/>
      </c>
      <c r="V5383" t="str">
        <f>IF(OR(U5383="",U5383="ERRO_CHAVE"),"",IFERROR(MATCH(U5383,Fornecedores!$AF$1:$AF$6631,0),""))</f>
        <v/>
      </c>
      <c r="W5383" t="str">
        <f t="shared" si="3"/>
        <v/>
      </c>
      <c r="X5383" s="4" t="str">
        <f>IF(V5383="","",INDEX(Fornecedores!$X$1:$X$6631,V5383))</f>
        <v/>
      </c>
      <c r="Y5383" s="4" t="str">
        <f t="shared" si="4"/>
        <v/>
      </c>
    </row>
    <row r="5384" spans="19:25">
      <c r="S5384" t="str">
        <f t="shared" si="0"/>
        <v/>
      </c>
      <c r="T5384" t="str">
        <f t="shared" si="1"/>
        <v/>
      </c>
      <c r="U5384" t="str">
        <f t="shared" si="2"/>
        <v/>
      </c>
      <c r="V5384" t="str">
        <f>IF(OR(U5384="",U5384="ERRO_CHAVE"),"",IFERROR(MATCH(U5384,Fornecedores!$AF$1:$AF$6631,0),""))</f>
        <v/>
      </c>
      <c r="W5384" t="str">
        <f t="shared" si="3"/>
        <v/>
      </c>
      <c r="X5384" s="4" t="str">
        <f>IF(V5384="","",INDEX(Fornecedores!$X$1:$X$6631,V5384))</f>
        <v/>
      </c>
      <c r="Y5384" s="4" t="str">
        <f t="shared" si="4"/>
        <v/>
      </c>
    </row>
    <row r="5385" spans="19:25">
      <c r="S5385" t="str">
        <f t="shared" si="0"/>
        <v/>
      </c>
      <c r="T5385" t="str">
        <f t="shared" si="1"/>
        <v/>
      </c>
      <c r="U5385" t="str">
        <f t="shared" si="2"/>
        <v/>
      </c>
      <c r="V5385" t="str">
        <f>IF(OR(U5385="",U5385="ERRO_CHAVE"),"",IFERROR(MATCH(U5385,Fornecedores!$AF$1:$AF$6631,0),""))</f>
        <v/>
      </c>
      <c r="W5385" t="str">
        <f t="shared" si="3"/>
        <v/>
      </c>
      <c r="X5385" s="4" t="str">
        <f>IF(V5385="","",INDEX(Fornecedores!$X$1:$X$6631,V5385))</f>
        <v/>
      </c>
      <c r="Y5385" s="4" t="str">
        <f t="shared" si="4"/>
        <v/>
      </c>
    </row>
    <row r="5386" spans="19:25">
      <c r="S5386" t="str">
        <f t="shared" si="0"/>
        <v/>
      </c>
      <c r="T5386" t="str">
        <f t="shared" si="1"/>
        <v/>
      </c>
      <c r="U5386" t="str">
        <f t="shared" si="2"/>
        <v/>
      </c>
      <c r="V5386" t="str">
        <f>IF(OR(U5386="",U5386="ERRO_CHAVE"),"",IFERROR(MATCH(U5386,Fornecedores!$AF$1:$AF$6631,0),""))</f>
        <v/>
      </c>
      <c r="W5386" t="str">
        <f t="shared" si="3"/>
        <v/>
      </c>
      <c r="X5386" s="4" t="str">
        <f>IF(V5386="","",INDEX(Fornecedores!$X$1:$X$6631,V5386))</f>
        <v/>
      </c>
      <c r="Y5386" s="4" t="str">
        <f t="shared" si="4"/>
        <v/>
      </c>
    </row>
    <row r="5387" spans="19:25">
      <c r="S5387" t="str">
        <f t="shared" si="0"/>
        <v/>
      </c>
      <c r="T5387" t="str">
        <f t="shared" si="1"/>
        <v/>
      </c>
      <c r="U5387" t="str">
        <f t="shared" si="2"/>
        <v/>
      </c>
      <c r="V5387" t="str">
        <f>IF(OR(U5387="",U5387="ERRO_CHAVE"),"",IFERROR(MATCH(U5387,Fornecedores!$AF$1:$AF$6631,0),""))</f>
        <v/>
      </c>
      <c r="W5387" t="str">
        <f t="shared" si="3"/>
        <v/>
      </c>
      <c r="X5387" s="4" t="str">
        <f>IF(V5387="","",INDEX(Fornecedores!$X$1:$X$6631,V5387))</f>
        <v/>
      </c>
      <c r="Y5387" s="4" t="str">
        <f t="shared" si="4"/>
        <v/>
      </c>
    </row>
    <row r="5388" spans="19:25">
      <c r="S5388" t="str">
        <f t="shared" si="0"/>
        <v/>
      </c>
      <c r="T5388" t="str">
        <f t="shared" si="1"/>
        <v/>
      </c>
      <c r="U5388" t="str">
        <f t="shared" si="2"/>
        <v/>
      </c>
      <c r="V5388" t="str">
        <f>IF(OR(U5388="",U5388="ERRO_CHAVE"),"",IFERROR(MATCH(U5388,Fornecedores!$AF$1:$AF$6631,0),""))</f>
        <v/>
      </c>
      <c r="W5388" t="str">
        <f t="shared" si="3"/>
        <v/>
      </c>
      <c r="X5388" s="4" t="str">
        <f>IF(V5388="","",INDEX(Fornecedores!$X$1:$X$6631,V5388))</f>
        <v/>
      </c>
      <c r="Y5388" s="4" t="str">
        <f t="shared" si="4"/>
        <v/>
      </c>
    </row>
    <row r="5389" spans="19:25">
      <c r="S5389" t="str">
        <f t="shared" si="0"/>
        <v/>
      </c>
      <c r="T5389" t="str">
        <f t="shared" si="1"/>
        <v/>
      </c>
      <c r="U5389" t="str">
        <f t="shared" si="2"/>
        <v/>
      </c>
      <c r="V5389" t="str">
        <f>IF(OR(U5389="",U5389="ERRO_CHAVE"),"",IFERROR(MATCH(U5389,Fornecedores!$AF$1:$AF$6631,0),""))</f>
        <v/>
      </c>
      <c r="W5389" t="str">
        <f t="shared" si="3"/>
        <v/>
      </c>
      <c r="X5389" s="4" t="str">
        <f>IF(V5389="","",INDEX(Fornecedores!$X$1:$X$6631,V5389))</f>
        <v/>
      </c>
      <c r="Y5389" s="4" t="str">
        <f t="shared" si="4"/>
        <v/>
      </c>
    </row>
    <row r="5390" spans="19:25">
      <c r="S5390" t="str">
        <f t="shared" si="0"/>
        <v/>
      </c>
      <c r="T5390" t="str">
        <f t="shared" si="1"/>
        <v/>
      </c>
      <c r="U5390" t="str">
        <f t="shared" si="2"/>
        <v/>
      </c>
      <c r="V5390" t="str">
        <f>IF(OR(U5390="",U5390="ERRO_CHAVE"),"",IFERROR(MATCH(U5390,Fornecedores!$AF$1:$AF$6631,0),""))</f>
        <v/>
      </c>
      <c r="W5390" t="str">
        <f t="shared" si="3"/>
        <v/>
      </c>
      <c r="X5390" s="4" t="str">
        <f>IF(V5390="","",INDEX(Fornecedores!$X$1:$X$6631,V5390))</f>
        <v/>
      </c>
      <c r="Y5390" s="4" t="str">
        <f t="shared" si="4"/>
        <v/>
      </c>
    </row>
    <row r="5391" spans="19:25">
      <c r="S5391" t="str">
        <f t="shared" si="0"/>
        <v/>
      </c>
      <c r="T5391" t="str">
        <f t="shared" si="1"/>
        <v/>
      </c>
      <c r="U5391" t="str">
        <f t="shared" si="2"/>
        <v/>
      </c>
      <c r="V5391" t="str">
        <f>IF(OR(U5391="",U5391="ERRO_CHAVE"),"",IFERROR(MATCH(U5391,Fornecedores!$AF$1:$AF$6631,0),""))</f>
        <v/>
      </c>
      <c r="W5391" t="str">
        <f t="shared" si="3"/>
        <v/>
      </c>
      <c r="X5391" s="4" t="str">
        <f>IF(V5391="","",INDEX(Fornecedores!$X$1:$X$6631,V5391))</f>
        <v/>
      </c>
      <c r="Y5391" s="4" t="str">
        <f t="shared" si="4"/>
        <v/>
      </c>
    </row>
    <row r="5392" spans="19:25">
      <c r="S5392" t="str">
        <f t="shared" si="0"/>
        <v/>
      </c>
      <c r="T5392" t="str">
        <f t="shared" si="1"/>
        <v/>
      </c>
      <c r="U5392" t="str">
        <f t="shared" si="2"/>
        <v/>
      </c>
      <c r="V5392" t="str">
        <f>IF(OR(U5392="",U5392="ERRO_CHAVE"),"",IFERROR(MATCH(U5392,Fornecedores!$AF$1:$AF$6631,0),""))</f>
        <v/>
      </c>
      <c r="W5392" t="str">
        <f t="shared" si="3"/>
        <v/>
      </c>
      <c r="X5392" s="4" t="str">
        <f>IF(V5392="","",INDEX(Fornecedores!$X$1:$X$6631,V5392))</f>
        <v/>
      </c>
      <c r="Y5392" s="4" t="str">
        <f t="shared" si="4"/>
        <v/>
      </c>
    </row>
    <row r="5393" spans="19:25">
      <c r="S5393" t="str">
        <f t="shared" si="0"/>
        <v/>
      </c>
      <c r="T5393" t="str">
        <f t="shared" si="1"/>
        <v/>
      </c>
      <c r="U5393" t="str">
        <f t="shared" si="2"/>
        <v/>
      </c>
      <c r="V5393" t="str">
        <f>IF(OR(U5393="",U5393="ERRO_CHAVE"),"",IFERROR(MATCH(U5393,Fornecedores!$AF$1:$AF$6631,0),""))</f>
        <v/>
      </c>
      <c r="W5393" t="str">
        <f t="shared" si="3"/>
        <v/>
      </c>
      <c r="X5393" s="4" t="str">
        <f>IF(V5393="","",INDEX(Fornecedores!$X$1:$X$6631,V5393))</f>
        <v/>
      </c>
      <c r="Y5393" s="4" t="str">
        <f t="shared" si="4"/>
        <v/>
      </c>
    </row>
    <row r="5394" spans="19:25">
      <c r="S5394" t="str">
        <f t="shared" si="0"/>
        <v/>
      </c>
      <c r="T5394" t="str">
        <f t="shared" si="1"/>
        <v/>
      </c>
      <c r="U5394" t="str">
        <f t="shared" si="2"/>
        <v/>
      </c>
      <c r="V5394" t="str">
        <f>IF(OR(U5394="",U5394="ERRO_CHAVE"),"",IFERROR(MATCH(U5394,Fornecedores!$AF$1:$AF$6631,0),""))</f>
        <v/>
      </c>
      <c r="W5394" t="str">
        <f t="shared" si="3"/>
        <v/>
      </c>
      <c r="X5394" s="4" t="str">
        <f>IF(V5394="","",INDEX(Fornecedores!$X$1:$X$6631,V5394))</f>
        <v/>
      </c>
      <c r="Y5394" s="4" t="str">
        <f t="shared" si="4"/>
        <v/>
      </c>
    </row>
    <row r="5395" spans="19:25">
      <c r="S5395" t="str">
        <f t="shared" si="0"/>
        <v/>
      </c>
      <c r="T5395" t="str">
        <f t="shared" si="1"/>
        <v/>
      </c>
      <c r="U5395" t="str">
        <f t="shared" si="2"/>
        <v/>
      </c>
      <c r="V5395" t="str">
        <f>IF(OR(U5395="",U5395="ERRO_CHAVE"),"",IFERROR(MATCH(U5395,Fornecedores!$AF$1:$AF$6631,0),""))</f>
        <v/>
      </c>
      <c r="W5395" t="str">
        <f t="shared" si="3"/>
        <v/>
      </c>
      <c r="X5395" s="4" t="str">
        <f>IF(V5395="","",INDEX(Fornecedores!$X$1:$X$6631,V5395))</f>
        <v/>
      </c>
      <c r="Y5395" s="4" t="str">
        <f t="shared" si="4"/>
        <v/>
      </c>
    </row>
    <row r="5396" spans="19:25">
      <c r="S5396" t="str">
        <f t="shared" si="0"/>
        <v/>
      </c>
      <c r="T5396" t="str">
        <f t="shared" si="1"/>
        <v/>
      </c>
      <c r="U5396" t="str">
        <f t="shared" si="2"/>
        <v/>
      </c>
      <c r="V5396" t="str">
        <f>IF(OR(U5396="",U5396="ERRO_CHAVE"),"",IFERROR(MATCH(U5396,Fornecedores!$AF$1:$AF$6631,0),""))</f>
        <v/>
      </c>
      <c r="W5396" t="str">
        <f t="shared" si="3"/>
        <v/>
      </c>
      <c r="X5396" s="4" t="str">
        <f>IF(V5396="","",INDEX(Fornecedores!$X$1:$X$6631,V5396))</f>
        <v/>
      </c>
      <c r="Y5396" s="4" t="str">
        <f t="shared" si="4"/>
        <v/>
      </c>
    </row>
    <row r="5397" spans="19:25">
      <c r="S5397" t="str">
        <f t="shared" si="0"/>
        <v/>
      </c>
      <c r="T5397" t="str">
        <f t="shared" si="1"/>
        <v/>
      </c>
      <c r="U5397" t="str">
        <f t="shared" si="2"/>
        <v/>
      </c>
      <c r="V5397" t="str">
        <f>IF(OR(U5397="",U5397="ERRO_CHAVE"),"",IFERROR(MATCH(U5397,Fornecedores!$AF$1:$AF$6631,0),""))</f>
        <v/>
      </c>
      <c r="W5397" t="str">
        <f t="shared" si="3"/>
        <v/>
      </c>
      <c r="X5397" s="4" t="str">
        <f>IF(V5397="","",INDEX(Fornecedores!$X$1:$X$6631,V5397))</f>
        <v/>
      </c>
      <c r="Y5397" s="4" t="str">
        <f t="shared" si="4"/>
        <v/>
      </c>
    </row>
    <row r="5398" spans="19:25">
      <c r="S5398" t="str">
        <f t="shared" si="0"/>
        <v/>
      </c>
      <c r="T5398" t="str">
        <f t="shared" si="1"/>
        <v/>
      </c>
      <c r="U5398" t="str">
        <f t="shared" si="2"/>
        <v/>
      </c>
      <c r="V5398" t="str">
        <f>IF(OR(U5398="",U5398="ERRO_CHAVE"),"",IFERROR(MATCH(U5398,Fornecedores!$AF$1:$AF$6631,0),""))</f>
        <v/>
      </c>
      <c r="W5398" t="str">
        <f t="shared" si="3"/>
        <v/>
      </c>
      <c r="X5398" s="4" t="str">
        <f>IF(V5398="","",INDEX(Fornecedores!$X$1:$X$6631,V5398))</f>
        <v/>
      </c>
      <c r="Y5398" s="4" t="str">
        <f t="shared" si="4"/>
        <v/>
      </c>
    </row>
    <row r="5399" spans="19:25">
      <c r="S5399" t="str">
        <f t="shared" si="0"/>
        <v/>
      </c>
      <c r="T5399" t="str">
        <f t="shared" si="1"/>
        <v/>
      </c>
      <c r="U5399" t="str">
        <f t="shared" si="2"/>
        <v/>
      </c>
      <c r="V5399" t="str">
        <f>IF(OR(U5399="",U5399="ERRO_CHAVE"),"",IFERROR(MATCH(U5399,Fornecedores!$AF$1:$AF$6631,0),""))</f>
        <v/>
      </c>
      <c r="W5399" t="str">
        <f t="shared" si="3"/>
        <v/>
      </c>
      <c r="X5399" s="4" t="str">
        <f>IF(V5399="","",INDEX(Fornecedores!$X$1:$X$6631,V5399))</f>
        <v/>
      </c>
      <c r="Y5399" s="4" t="str">
        <f t="shared" si="4"/>
        <v/>
      </c>
    </row>
    <row r="5400" spans="19:25">
      <c r="S5400" t="str">
        <f t="shared" si="0"/>
        <v/>
      </c>
      <c r="T5400" t="str">
        <f t="shared" si="1"/>
        <v/>
      </c>
      <c r="U5400" t="str">
        <f t="shared" si="2"/>
        <v/>
      </c>
      <c r="V5400" t="str">
        <f>IF(OR(U5400="",U5400="ERRO_CHAVE"),"",IFERROR(MATCH(U5400,Fornecedores!$AF$1:$AF$6631,0),""))</f>
        <v/>
      </c>
      <c r="W5400" t="str">
        <f t="shared" si="3"/>
        <v/>
      </c>
      <c r="X5400" s="4" t="str">
        <f>IF(V5400="","",INDEX(Fornecedores!$X$1:$X$6631,V5400))</f>
        <v/>
      </c>
      <c r="Y5400" s="4" t="str">
        <f t="shared" si="4"/>
        <v/>
      </c>
    </row>
    <row r="5401" spans="19:25">
      <c r="S5401" t="str">
        <f t="shared" si="0"/>
        <v/>
      </c>
      <c r="T5401" t="str">
        <f t="shared" si="1"/>
        <v/>
      </c>
      <c r="U5401" t="str">
        <f t="shared" si="2"/>
        <v/>
      </c>
      <c r="V5401" t="str">
        <f>IF(OR(U5401="",U5401="ERRO_CHAVE"),"",IFERROR(MATCH(U5401,Fornecedores!$AF$1:$AF$6631,0),""))</f>
        <v/>
      </c>
      <c r="W5401" t="str">
        <f t="shared" si="3"/>
        <v/>
      </c>
      <c r="X5401" s="4" t="str">
        <f>IF(V5401="","",INDEX(Fornecedores!$X$1:$X$6631,V5401))</f>
        <v/>
      </c>
      <c r="Y5401" s="4" t="str">
        <f t="shared" si="4"/>
        <v/>
      </c>
    </row>
    <row r="5402" spans="19:25">
      <c r="S5402" t="str">
        <f t="shared" si="0"/>
        <v/>
      </c>
      <c r="T5402" t="str">
        <f t="shared" si="1"/>
        <v/>
      </c>
      <c r="U5402" t="str">
        <f t="shared" si="2"/>
        <v/>
      </c>
      <c r="V5402" t="str">
        <f>IF(OR(U5402="",U5402="ERRO_CHAVE"),"",IFERROR(MATCH(U5402,Fornecedores!$AF$1:$AF$6631,0),""))</f>
        <v/>
      </c>
      <c r="W5402" t="str">
        <f t="shared" si="3"/>
        <v/>
      </c>
      <c r="X5402" s="4" t="str">
        <f>IF(V5402="","",INDEX(Fornecedores!$X$1:$X$6631,V5402))</f>
        <v/>
      </c>
      <c r="Y5402" s="4" t="str">
        <f t="shared" si="4"/>
        <v/>
      </c>
    </row>
    <row r="5403" spans="19:25">
      <c r="S5403" t="str">
        <f t="shared" si="0"/>
        <v/>
      </c>
      <c r="T5403" t="str">
        <f t="shared" si="1"/>
        <v/>
      </c>
      <c r="U5403" t="str">
        <f t="shared" si="2"/>
        <v/>
      </c>
      <c r="V5403" t="str">
        <f>IF(OR(U5403="",U5403="ERRO_CHAVE"),"",IFERROR(MATCH(U5403,Fornecedores!$AF$1:$AF$6631,0),""))</f>
        <v/>
      </c>
      <c r="W5403" t="str">
        <f t="shared" si="3"/>
        <v/>
      </c>
      <c r="X5403" s="4" t="str">
        <f>IF(V5403="","",INDEX(Fornecedores!$X$1:$X$6631,V5403))</f>
        <v/>
      </c>
      <c r="Y5403" s="4" t="str">
        <f t="shared" si="4"/>
        <v/>
      </c>
    </row>
    <row r="5404" spans="19:25">
      <c r="S5404" t="str">
        <f t="shared" si="0"/>
        <v/>
      </c>
      <c r="T5404" t="str">
        <f t="shared" si="1"/>
        <v/>
      </c>
      <c r="U5404" t="str">
        <f t="shared" si="2"/>
        <v/>
      </c>
      <c r="V5404" t="str">
        <f>IF(OR(U5404="",U5404="ERRO_CHAVE"),"",IFERROR(MATCH(U5404,Fornecedores!$AF$1:$AF$6631,0),""))</f>
        <v/>
      </c>
      <c r="W5404" t="str">
        <f t="shared" si="3"/>
        <v/>
      </c>
      <c r="X5404" s="4" t="str">
        <f>IF(V5404="","",INDEX(Fornecedores!$X$1:$X$6631,V5404))</f>
        <v/>
      </c>
      <c r="Y5404" s="4" t="str">
        <f t="shared" si="4"/>
        <v/>
      </c>
    </row>
    <row r="5405" spans="19:25">
      <c r="S5405" t="str">
        <f t="shared" si="0"/>
        <v/>
      </c>
      <c r="T5405" t="str">
        <f t="shared" si="1"/>
        <v/>
      </c>
      <c r="U5405" t="str">
        <f t="shared" si="2"/>
        <v/>
      </c>
      <c r="V5405" t="str">
        <f>IF(OR(U5405="",U5405="ERRO_CHAVE"),"",IFERROR(MATCH(U5405,Fornecedores!$AF$1:$AF$6631,0),""))</f>
        <v/>
      </c>
      <c r="W5405" t="str">
        <f t="shared" si="3"/>
        <v/>
      </c>
      <c r="X5405" s="4" t="str">
        <f>IF(V5405="","",INDEX(Fornecedores!$X$1:$X$6631,V5405))</f>
        <v/>
      </c>
      <c r="Y5405" s="4" t="str">
        <f t="shared" si="4"/>
        <v/>
      </c>
    </row>
    <row r="5406" spans="19:25">
      <c r="S5406" t="str">
        <f t="shared" si="0"/>
        <v/>
      </c>
      <c r="T5406" t="str">
        <f t="shared" si="1"/>
        <v/>
      </c>
      <c r="U5406" t="str">
        <f t="shared" si="2"/>
        <v/>
      </c>
      <c r="V5406" t="str">
        <f>IF(OR(U5406="",U5406="ERRO_CHAVE"),"",IFERROR(MATCH(U5406,Fornecedores!$AF$1:$AF$6631,0),""))</f>
        <v/>
      </c>
      <c r="W5406" t="str">
        <f t="shared" si="3"/>
        <v/>
      </c>
      <c r="X5406" s="4" t="str">
        <f>IF(V5406="","",INDEX(Fornecedores!$X$1:$X$6631,V5406))</f>
        <v/>
      </c>
      <c r="Y5406" s="4" t="str">
        <f t="shared" si="4"/>
        <v/>
      </c>
    </row>
    <row r="5407" spans="19:25">
      <c r="S5407" t="str">
        <f t="shared" si="0"/>
        <v/>
      </c>
      <c r="T5407" t="str">
        <f t="shared" si="1"/>
        <v/>
      </c>
      <c r="U5407" t="str">
        <f t="shared" si="2"/>
        <v/>
      </c>
      <c r="V5407" t="str">
        <f>IF(OR(U5407="",U5407="ERRO_CHAVE"),"",IFERROR(MATCH(U5407,Fornecedores!$AF$1:$AF$6631,0),""))</f>
        <v/>
      </c>
      <c r="W5407" t="str">
        <f t="shared" si="3"/>
        <v/>
      </c>
      <c r="X5407" s="4" t="str">
        <f>IF(V5407="","",INDEX(Fornecedores!$X$1:$X$6631,V5407))</f>
        <v/>
      </c>
      <c r="Y5407" s="4" t="str">
        <f t="shared" si="4"/>
        <v/>
      </c>
    </row>
    <row r="5408" spans="19:25">
      <c r="S5408" t="str">
        <f t="shared" si="0"/>
        <v/>
      </c>
      <c r="T5408" t="str">
        <f t="shared" si="1"/>
        <v/>
      </c>
      <c r="U5408" t="str">
        <f t="shared" si="2"/>
        <v/>
      </c>
      <c r="V5408" t="str">
        <f>IF(OR(U5408="",U5408="ERRO_CHAVE"),"",IFERROR(MATCH(U5408,Fornecedores!$AF$1:$AF$6631,0),""))</f>
        <v/>
      </c>
      <c r="W5408" t="str">
        <f t="shared" si="3"/>
        <v/>
      </c>
      <c r="X5408" s="4" t="str">
        <f>IF(V5408="","",INDEX(Fornecedores!$X$1:$X$6631,V5408))</f>
        <v/>
      </c>
      <c r="Y5408" s="4" t="str">
        <f t="shared" si="4"/>
        <v/>
      </c>
    </row>
    <row r="5409" spans="19:25">
      <c r="S5409" t="str">
        <f t="shared" si="0"/>
        <v/>
      </c>
      <c r="T5409" t="str">
        <f t="shared" si="1"/>
        <v/>
      </c>
      <c r="U5409" t="str">
        <f t="shared" si="2"/>
        <v/>
      </c>
      <c r="V5409" t="str">
        <f>IF(OR(U5409="",U5409="ERRO_CHAVE"),"",IFERROR(MATCH(U5409,Fornecedores!$AF$1:$AF$6631,0),""))</f>
        <v/>
      </c>
      <c r="W5409" t="str">
        <f t="shared" si="3"/>
        <v/>
      </c>
      <c r="X5409" s="4" t="str">
        <f>IF(V5409="","",INDEX(Fornecedores!$X$1:$X$6631,V5409))</f>
        <v/>
      </c>
      <c r="Y5409" s="4" t="str">
        <f t="shared" si="4"/>
        <v/>
      </c>
    </row>
    <row r="5410" spans="19:25">
      <c r="S5410" t="str">
        <f t="shared" si="0"/>
        <v/>
      </c>
      <c r="T5410" t="str">
        <f t="shared" si="1"/>
        <v/>
      </c>
      <c r="U5410" t="str">
        <f t="shared" si="2"/>
        <v/>
      </c>
      <c r="V5410" t="str">
        <f>IF(OR(U5410="",U5410="ERRO_CHAVE"),"",IFERROR(MATCH(U5410,Fornecedores!$AF$1:$AF$6631,0),""))</f>
        <v/>
      </c>
      <c r="W5410" t="str">
        <f t="shared" si="3"/>
        <v/>
      </c>
      <c r="X5410" s="4" t="str">
        <f>IF(V5410="","",INDEX(Fornecedores!$X$1:$X$6631,V5410))</f>
        <v/>
      </c>
      <c r="Y5410" s="4" t="str">
        <f t="shared" si="4"/>
        <v/>
      </c>
    </row>
    <row r="5411" spans="19:25">
      <c r="S5411" t="str">
        <f t="shared" si="0"/>
        <v/>
      </c>
      <c r="T5411" t="str">
        <f t="shared" si="1"/>
        <v/>
      </c>
      <c r="U5411" t="str">
        <f t="shared" si="2"/>
        <v/>
      </c>
      <c r="V5411" t="str">
        <f>IF(OR(U5411="",U5411="ERRO_CHAVE"),"",IFERROR(MATCH(U5411,Fornecedores!$AF$1:$AF$6631,0),""))</f>
        <v/>
      </c>
      <c r="W5411" t="str">
        <f t="shared" si="3"/>
        <v/>
      </c>
      <c r="X5411" s="4" t="str">
        <f>IF(V5411="","",INDEX(Fornecedores!$X$1:$X$6631,V5411))</f>
        <v/>
      </c>
      <c r="Y5411" s="4" t="str">
        <f t="shared" si="4"/>
        <v/>
      </c>
    </row>
    <row r="5412" spans="19:25">
      <c r="S5412" t="str">
        <f t="shared" si="0"/>
        <v/>
      </c>
      <c r="T5412" t="str">
        <f t="shared" si="1"/>
        <v/>
      </c>
      <c r="U5412" t="str">
        <f t="shared" si="2"/>
        <v/>
      </c>
      <c r="V5412" t="str">
        <f>IF(OR(U5412="",U5412="ERRO_CHAVE"),"",IFERROR(MATCH(U5412,Fornecedores!$AF$1:$AF$6631,0),""))</f>
        <v/>
      </c>
      <c r="W5412" t="str">
        <f t="shared" si="3"/>
        <v/>
      </c>
      <c r="X5412" s="4" t="str">
        <f>IF(V5412="","",INDEX(Fornecedores!$X$1:$X$6631,V5412))</f>
        <v/>
      </c>
      <c r="Y5412" s="4" t="str">
        <f t="shared" si="4"/>
        <v/>
      </c>
    </row>
    <row r="5413" spans="19:25">
      <c r="S5413" t="str">
        <f t="shared" si="0"/>
        <v/>
      </c>
      <c r="T5413" t="str">
        <f t="shared" si="1"/>
        <v/>
      </c>
      <c r="U5413" t="str">
        <f t="shared" si="2"/>
        <v/>
      </c>
      <c r="V5413" t="str">
        <f>IF(OR(U5413="",U5413="ERRO_CHAVE"),"",IFERROR(MATCH(U5413,Fornecedores!$AF$1:$AF$6631,0),""))</f>
        <v/>
      </c>
      <c r="W5413" t="str">
        <f t="shared" si="3"/>
        <v/>
      </c>
      <c r="X5413" s="4" t="str">
        <f>IF(V5413="","",INDEX(Fornecedores!$X$1:$X$6631,V5413))</f>
        <v/>
      </c>
      <c r="Y5413" s="4" t="str">
        <f t="shared" si="4"/>
        <v/>
      </c>
    </row>
    <row r="5414" spans="19:25">
      <c r="S5414" t="str">
        <f t="shared" si="0"/>
        <v/>
      </c>
      <c r="T5414" t="str">
        <f t="shared" si="1"/>
        <v/>
      </c>
      <c r="U5414" t="str">
        <f t="shared" si="2"/>
        <v/>
      </c>
      <c r="V5414" t="str">
        <f>IF(OR(U5414="",U5414="ERRO_CHAVE"),"",IFERROR(MATCH(U5414,Fornecedores!$AF$1:$AF$6631,0),""))</f>
        <v/>
      </c>
      <c r="W5414" t="str">
        <f t="shared" si="3"/>
        <v/>
      </c>
      <c r="X5414" s="4" t="str">
        <f>IF(V5414="","",INDEX(Fornecedores!$X$1:$X$6631,V5414))</f>
        <v/>
      </c>
      <c r="Y5414" s="4" t="str">
        <f t="shared" si="4"/>
        <v/>
      </c>
    </row>
    <row r="5415" spans="19:25">
      <c r="S5415" t="str">
        <f t="shared" si="0"/>
        <v/>
      </c>
      <c r="T5415" t="str">
        <f t="shared" si="1"/>
        <v/>
      </c>
      <c r="U5415" t="str">
        <f t="shared" si="2"/>
        <v/>
      </c>
      <c r="V5415" t="str">
        <f>IF(OR(U5415="",U5415="ERRO_CHAVE"),"",IFERROR(MATCH(U5415,Fornecedores!$AF$1:$AF$6631,0),""))</f>
        <v/>
      </c>
      <c r="W5415" t="str">
        <f t="shared" si="3"/>
        <v/>
      </c>
      <c r="X5415" s="4" t="str">
        <f>IF(V5415="","",INDEX(Fornecedores!$X$1:$X$6631,V5415))</f>
        <v/>
      </c>
      <c r="Y5415" s="4" t="str">
        <f t="shared" si="4"/>
        <v/>
      </c>
    </row>
    <row r="5416" spans="19:25">
      <c r="S5416" t="str">
        <f t="shared" si="0"/>
        <v/>
      </c>
      <c r="T5416" t="str">
        <f t="shared" si="1"/>
        <v/>
      </c>
      <c r="U5416" t="str">
        <f t="shared" si="2"/>
        <v/>
      </c>
      <c r="V5416" t="str">
        <f>IF(OR(U5416="",U5416="ERRO_CHAVE"),"",IFERROR(MATCH(U5416,Fornecedores!$AF$1:$AF$6631,0),""))</f>
        <v/>
      </c>
      <c r="W5416" t="str">
        <f t="shared" si="3"/>
        <v/>
      </c>
      <c r="X5416" s="4" t="str">
        <f>IF(V5416="","",INDEX(Fornecedores!$X$1:$X$6631,V5416))</f>
        <v/>
      </c>
      <c r="Y5416" s="4" t="str">
        <f t="shared" si="4"/>
        <v/>
      </c>
    </row>
    <row r="5417" spans="19:25">
      <c r="S5417" t="str">
        <f t="shared" si="0"/>
        <v/>
      </c>
      <c r="T5417" t="str">
        <f t="shared" si="1"/>
        <v/>
      </c>
      <c r="U5417" t="str">
        <f t="shared" si="2"/>
        <v/>
      </c>
      <c r="V5417" t="str">
        <f>IF(OR(U5417="",U5417="ERRO_CHAVE"),"",IFERROR(MATCH(U5417,Fornecedores!$AF$1:$AF$6631,0),""))</f>
        <v/>
      </c>
      <c r="W5417" t="str">
        <f t="shared" si="3"/>
        <v/>
      </c>
      <c r="X5417" s="4" t="str">
        <f>IF(V5417="","",INDEX(Fornecedores!$X$1:$X$6631,V5417))</f>
        <v/>
      </c>
      <c r="Y5417" s="4" t="str">
        <f t="shared" si="4"/>
        <v/>
      </c>
    </row>
    <row r="5418" spans="19:25">
      <c r="S5418" t="str">
        <f t="shared" si="0"/>
        <v/>
      </c>
      <c r="T5418" t="str">
        <f t="shared" si="1"/>
        <v/>
      </c>
      <c r="U5418" t="str">
        <f t="shared" si="2"/>
        <v/>
      </c>
      <c r="V5418" t="str">
        <f>IF(OR(U5418="",U5418="ERRO_CHAVE"),"",IFERROR(MATCH(U5418,Fornecedores!$AF$1:$AF$6631,0),""))</f>
        <v/>
      </c>
      <c r="W5418" t="str">
        <f t="shared" si="3"/>
        <v/>
      </c>
      <c r="X5418" s="4" t="str">
        <f>IF(V5418="","",INDEX(Fornecedores!$X$1:$X$6631,V5418))</f>
        <v/>
      </c>
      <c r="Y5418" s="4" t="str">
        <f t="shared" si="4"/>
        <v/>
      </c>
    </row>
    <row r="5419" spans="19:25">
      <c r="S5419" t="str">
        <f t="shared" si="0"/>
        <v/>
      </c>
      <c r="T5419" t="str">
        <f t="shared" si="1"/>
        <v/>
      </c>
      <c r="U5419" t="str">
        <f t="shared" si="2"/>
        <v/>
      </c>
      <c r="V5419" t="str">
        <f>IF(OR(U5419="",U5419="ERRO_CHAVE"),"",IFERROR(MATCH(U5419,Fornecedores!$AF$1:$AF$6631,0),""))</f>
        <v/>
      </c>
      <c r="W5419" t="str">
        <f t="shared" si="3"/>
        <v/>
      </c>
      <c r="X5419" s="4" t="str">
        <f>IF(V5419="","",INDEX(Fornecedores!$X$1:$X$6631,V5419))</f>
        <v/>
      </c>
      <c r="Y5419" s="4" t="str">
        <f t="shared" si="4"/>
        <v/>
      </c>
    </row>
    <row r="5420" spans="19:25">
      <c r="S5420" t="str">
        <f t="shared" si="0"/>
        <v/>
      </c>
      <c r="T5420" t="str">
        <f t="shared" si="1"/>
        <v/>
      </c>
      <c r="U5420" t="str">
        <f t="shared" si="2"/>
        <v/>
      </c>
      <c r="V5420" t="str">
        <f>IF(OR(U5420="",U5420="ERRO_CHAVE"),"",IFERROR(MATCH(U5420,Fornecedores!$AF$1:$AF$6631,0),""))</f>
        <v/>
      </c>
      <c r="W5420" t="str">
        <f t="shared" si="3"/>
        <v/>
      </c>
      <c r="X5420" s="4" t="str">
        <f>IF(V5420="","",INDEX(Fornecedores!$X$1:$X$6631,V5420))</f>
        <v/>
      </c>
      <c r="Y5420" s="4" t="str">
        <f t="shared" si="4"/>
        <v/>
      </c>
    </row>
    <row r="5421" spans="19:25">
      <c r="S5421" t="str">
        <f t="shared" si="0"/>
        <v/>
      </c>
      <c r="T5421" t="str">
        <f t="shared" si="1"/>
        <v/>
      </c>
      <c r="U5421" t="str">
        <f t="shared" si="2"/>
        <v/>
      </c>
      <c r="V5421" t="str">
        <f>IF(OR(U5421="",U5421="ERRO_CHAVE"),"",IFERROR(MATCH(U5421,Fornecedores!$AF$1:$AF$6631,0),""))</f>
        <v/>
      </c>
      <c r="W5421" t="str">
        <f t="shared" si="3"/>
        <v/>
      </c>
      <c r="X5421" s="4" t="str">
        <f>IF(V5421="","",INDEX(Fornecedores!$X$1:$X$6631,V5421))</f>
        <v/>
      </c>
      <c r="Y5421" s="4" t="str">
        <f t="shared" si="4"/>
        <v/>
      </c>
    </row>
    <row r="5422" spans="19:25">
      <c r="S5422" t="str">
        <f t="shared" si="0"/>
        <v/>
      </c>
      <c r="T5422" t="str">
        <f t="shared" si="1"/>
        <v/>
      </c>
      <c r="U5422" t="str">
        <f t="shared" si="2"/>
        <v/>
      </c>
      <c r="V5422" t="str">
        <f>IF(OR(U5422="",U5422="ERRO_CHAVE"),"",IFERROR(MATCH(U5422,Fornecedores!$AF$1:$AF$6631,0),""))</f>
        <v/>
      </c>
      <c r="W5422" t="str">
        <f t="shared" si="3"/>
        <v/>
      </c>
      <c r="X5422" s="4" t="str">
        <f>IF(V5422="","",INDEX(Fornecedores!$X$1:$X$6631,V5422))</f>
        <v/>
      </c>
      <c r="Y5422" s="4" t="str">
        <f t="shared" si="4"/>
        <v/>
      </c>
    </row>
    <row r="5423" spans="19:25">
      <c r="S5423" t="str">
        <f t="shared" si="0"/>
        <v/>
      </c>
      <c r="T5423" t="str">
        <f t="shared" si="1"/>
        <v/>
      </c>
      <c r="U5423" t="str">
        <f t="shared" si="2"/>
        <v/>
      </c>
      <c r="V5423" t="str">
        <f>IF(OR(U5423="",U5423="ERRO_CHAVE"),"",IFERROR(MATCH(U5423,Fornecedores!$AF$1:$AF$6631,0),""))</f>
        <v/>
      </c>
      <c r="W5423" t="str">
        <f t="shared" si="3"/>
        <v/>
      </c>
      <c r="X5423" s="4" t="str">
        <f>IF(V5423="","",INDEX(Fornecedores!$X$1:$X$6631,V5423))</f>
        <v/>
      </c>
      <c r="Y5423" s="4" t="str">
        <f t="shared" si="4"/>
        <v/>
      </c>
    </row>
    <row r="5424" spans="19:25">
      <c r="S5424" t="str">
        <f t="shared" si="0"/>
        <v/>
      </c>
      <c r="T5424" t="str">
        <f t="shared" si="1"/>
        <v/>
      </c>
      <c r="U5424" t="str">
        <f t="shared" si="2"/>
        <v/>
      </c>
      <c r="V5424" t="str">
        <f>IF(OR(U5424="",U5424="ERRO_CHAVE"),"",IFERROR(MATCH(U5424,Fornecedores!$AF$1:$AF$6631,0),""))</f>
        <v/>
      </c>
      <c r="W5424" t="str">
        <f t="shared" si="3"/>
        <v/>
      </c>
      <c r="X5424" s="4" t="str">
        <f>IF(V5424="","",INDEX(Fornecedores!$X$1:$X$6631,V5424))</f>
        <v/>
      </c>
      <c r="Y5424" s="4" t="str">
        <f t="shared" si="4"/>
        <v/>
      </c>
    </row>
    <row r="5425" spans="19:25">
      <c r="S5425" t="str">
        <f t="shared" si="0"/>
        <v/>
      </c>
      <c r="T5425" t="str">
        <f t="shared" si="1"/>
        <v/>
      </c>
      <c r="U5425" t="str">
        <f t="shared" si="2"/>
        <v/>
      </c>
      <c r="V5425" t="str">
        <f>IF(OR(U5425="",U5425="ERRO_CHAVE"),"",IFERROR(MATCH(U5425,Fornecedores!$AF$1:$AF$6631,0),""))</f>
        <v/>
      </c>
      <c r="W5425" t="str">
        <f t="shared" si="3"/>
        <v/>
      </c>
      <c r="X5425" s="4" t="str">
        <f>IF(V5425="","",INDEX(Fornecedores!$X$1:$X$6631,V5425))</f>
        <v/>
      </c>
      <c r="Y5425" s="4" t="str">
        <f t="shared" si="4"/>
        <v/>
      </c>
    </row>
    <row r="5426" spans="19:25">
      <c r="S5426" t="str">
        <f t="shared" si="0"/>
        <v/>
      </c>
      <c r="T5426" t="str">
        <f t="shared" si="1"/>
        <v/>
      </c>
      <c r="U5426" t="str">
        <f t="shared" si="2"/>
        <v/>
      </c>
      <c r="V5426" t="str">
        <f>IF(OR(U5426="",U5426="ERRO_CHAVE"),"",IFERROR(MATCH(U5426,Fornecedores!$AF$1:$AF$6631,0),""))</f>
        <v/>
      </c>
      <c r="W5426" t="str">
        <f t="shared" si="3"/>
        <v/>
      </c>
      <c r="X5426" s="4" t="str">
        <f>IF(V5426="","",INDEX(Fornecedores!$X$1:$X$6631,V5426))</f>
        <v/>
      </c>
      <c r="Y5426" s="4" t="str">
        <f t="shared" si="4"/>
        <v/>
      </c>
    </row>
    <row r="5427" spans="19:25">
      <c r="S5427" t="str">
        <f t="shared" si="0"/>
        <v/>
      </c>
      <c r="T5427" t="str">
        <f t="shared" si="1"/>
        <v/>
      </c>
      <c r="U5427" t="str">
        <f t="shared" si="2"/>
        <v/>
      </c>
      <c r="V5427" t="str">
        <f>IF(OR(U5427="",U5427="ERRO_CHAVE"),"",IFERROR(MATCH(U5427,Fornecedores!$AF$1:$AF$6631,0),""))</f>
        <v/>
      </c>
      <c r="W5427" t="str">
        <f t="shared" si="3"/>
        <v/>
      </c>
      <c r="X5427" s="4" t="str">
        <f>IF(V5427="","",INDEX(Fornecedores!$X$1:$X$6631,V5427))</f>
        <v/>
      </c>
      <c r="Y5427" s="4" t="str">
        <f t="shared" si="4"/>
        <v/>
      </c>
    </row>
    <row r="5428" spans="19:25">
      <c r="S5428" t="str">
        <f t="shared" si="0"/>
        <v/>
      </c>
      <c r="T5428" t="str">
        <f t="shared" si="1"/>
        <v/>
      </c>
      <c r="U5428" t="str">
        <f t="shared" si="2"/>
        <v/>
      </c>
      <c r="V5428" t="str">
        <f>IF(OR(U5428="",U5428="ERRO_CHAVE"),"",IFERROR(MATCH(U5428,Fornecedores!$AF$1:$AF$6631,0),""))</f>
        <v/>
      </c>
      <c r="W5428" t="str">
        <f t="shared" si="3"/>
        <v/>
      </c>
      <c r="X5428" s="4" t="str">
        <f>IF(V5428="","",INDEX(Fornecedores!$X$1:$X$6631,V5428))</f>
        <v/>
      </c>
      <c r="Y5428" s="4" t="str">
        <f t="shared" si="4"/>
        <v/>
      </c>
    </row>
    <row r="5429" spans="19:25">
      <c r="S5429" t="str">
        <f t="shared" si="0"/>
        <v/>
      </c>
      <c r="T5429" t="str">
        <f t="shared" si="1"/>
        <v/>
      </c>
      <c r="U5429" t="str">
        <f t="shared" si="2"/>
        <v/>
      </c>
      <c r="V5429" t="str">
        <f>IF(OR(U5429="",U5429="ERRO_CHAVE"),"",IFERROR(MATCH(U5429,Fornecedores!$AF$1:$AF$6631,0),""))</f>
        <v/>
      </c>
      <c r="W5429" t="str">
        <f t="shared" si="3"/>
        <v/>
      </c>
      <c r="X5429" s="4" t="str">
        <f>IF(V5429="","",INDEX(Fornecedores!$X$1:$X$6631,V5429))</f>
        <v/>
      </c>
      <c r="Y5429" s="4" t="str">
        <f t="shared" si="4"/>
        <v/>
      </c>
    </row>
    <row r="5430" spans="19:25">
      <c r="S5430" t="str">
        <f t="shared" si="0"/>
        <v/>
      </c>
      <c r="T5430" t="str">
        <f t="shared" si="1"/>
        <v/>
      </c>
      <c r="U5430" t="str">
        <f t="shared" si="2"/>
        <v/>
      </c>
      <c r="V5430" t="str">
        <f>IF(OR(U5430="",U5430="ERRO_CHAVE"),"",IFERROR(MATCH(U5430,Fornecedores!$AF$1:$AF$6631,0),""))</f>
        <v/>
      </c>
      <c r="W5430" t="str">
        <f t="shared" si="3"/>
        <v/>
      </c>
      <c r="X5430" s="4" t="str">
        <f>IF(V5430="","",INDEX(Fornecedores!$X$1:$X$6631,V5430))</f>
        <v/>
      </c>
      <c r="Y5430" s="4" t="str">
        <f t="shared" si="4"/>
        <v/>
      </c>
    </row>
    <row r="5431" spans="19:25">
      <c r="S5431" t="str">
        <f t="shared" si="0"/>
        <v/>
      </c>
      <c r="T5431" t="str">
        <f t="shared" si="1"/>
        <v/>
      </c>
      <c r="U5431" t="str">
        <f t="shared" si="2"/>
        <v/>
      </c>
      <c r="V5431" t="str">
        <f>IF(OR(U5431="",U5431="ERRO_CHAVE"),"",IFERROR(MATCH(U5431,Fornecedores!$AF$1:$AF$6631,0),""))</f>
        <v/>
      </c>
      <c r="W5431" t="str">
        <f t="shared" si="3"/>
        <v/>
      </c>
      <c r="X5431" s="4" t="str">
        <f>IF(V5431="","",INDEX(Fornecedores!$X$1:$X$6631,V5431))</f>
        <v/>
      </c>
      <c r="Y5431" s="4" t="str">
        <f t="shared" si="4"/>
        <v/>
      </c>
    </row>
    <row r="5432" spans="19:25">
      <c r="S5432" t="str">
        <f t="shared" si="0"/>
        <v/>
      </c>
      <c r="T5432" t="str">
        <f t="shared" si="1"/>
        <v/>
      </c>
      <c r="U5432" t="str">
        <f t="shared" si="2"/>
        <v/>
      </c>
      <c r="V5432" t="str">
        <f>IF(OR(U5432="",U5432="ERRO_CHAVE"),"",IFERROR(MATCH(U5432,Fornecedores!$AF$1:$AF$6631,0),""))</f>
        <v/>
      </c>
      <c r="W5432" t="str">
        <f t="shared" si="3"/>
        <v/>
      </c>
      <c r="X5432" s="4" t="str">
        <f>IF(V5432="","",INDEX(Fornecedores!$X$1:$X$6631,V5432))</f>
        <v/>
      </c>
      <c r="Y5432" s="4" t="str">
        <f t="shared" si="4"/>
        <v/>
      </c>
    </row>
    <row r="5433" spans="19:25">
      <c r="S5433" t="str">
        <f t="shared" si="0"/>
        <v/>
      </c>
      <c r="T5433" t="str">
        <f t="shared" si="1"/>
        <v/>
      </c>
      <c r="U5433" t="str">
        <f t="shared" si="2"/>
        <v/>
      </c>
      <c r="V5433" t="str">
        <f>IF(OR(U5433="",U5433="ERRO_CHAVE"),"",IFERROR(MATCH(U5433,Fornecedores!$AF$1:$AF$6631,0),""))</f>
        <v/>
      </c>
      <c r="W5433" t="str">
        <f t="shared" si="3"/>
        <v/>
      </c>
      <c r="X5433" s="4" t="str">
        <f>IF(V5433="","",INDEX(Fornecedores!$X$1:$X$6631,V5433))</f>
        <v/>
      </c>
      <c r="Y5433" s="4" t="str">
        <f t="shared" si="4"/>
        <v/>
      </c>
    </row>
    <row r="5434" spans="19:25">
      <c r="S5434" t="str">
        <f t="shared" si="0"/>
        <v/>
      </c>
      <c r="T5434" t="str">
        <f t="shared" si="1"/>
        <v/>
      </c>
      <c r="U5434" t="str">
        <f t="shared" si="2"/>
        <v/>
      </c>
      <c r="V5434" t="str">
        <f>IF(OR(U5434="",U5434="ERRO_CHAVE"),"",IFERROR(MATCH(U5434,Fornecedores!$AF$1:$AF$6631,0),""))</f>
        <v/>
      </c>
      <c r="W5434" t="str">
        <f t="shared" si="3"/>
        <v/>
      </c>
      <c r="X5434" s="4" t="str">
        <f>IF(V5434="","",INDEX(Fornecedores!$X$1:$X$6631,V5434))</f>
        <v/>
      </c>
      <c r="Y5434" s="4" t="str">
        <f t="shared" si="4"/>
        <v/>
      </c>
    </row>
    <row r="5435" spans="19:25">
      <c r="S5435" t="str">
        <f t="shared" si="0"/>
        <v/>
      </c>
      <c r="T5435" t="str">
        <f t="shared" si="1"/>
        <v/>
      </c>
      <c r="U5435" t="str">
        <f t="shared" si="2"/>
        <v/>
      </c>
      <c r="V5435" t="str">
        <f>IF(OR(U5435="",U5435="ERRO_CHAVE"),"",IFERROR(MATCH(U5435,Fornecedores!$AF$1:$AF$6631,0),""))</f>
        <v/>
      </c>
      <c r="W5435" t="str">
        <f t="shared" si="3"/>
        <v/>
      </c>
      <c r="X5435" s="4" t="str">
        <f>IF(V5435="","",INDEX(Fornecedores!$X$1:$X$6631,V5435))</f>
        <v/>
      </c>
      <c r="Y5435" s="4" t="str">
        <f t="shared" si="4"/>
        <v/>
      </c>
    </row>
    <row r="5436" spans="19:25">
      <c r="S5436" t="str">
        <f t="shared" si="0"/>
        <v/>
      </c>
      <c r="T5436" t="str">
        <f t="shared" si="1"/>
        <v/>
      </c>
      <c r="U5436" t="str">
        <f t="shared" si="2"/>
        <v/>
      </c>
      <c r="V5436" t="str">
        <f>IF(OR(U5436="",U5436="ERRO_CHAVE"),"",IFERROR(MATCH(U5436,Fornecedores!$AF$1:$AF$6631,0),""))</f>
        <v/>
      </c>
      <c r="W5436" t="str">
        <f t="shared" si="3"/>
        <v/>
      </c>
      <c r="X5436" s="4" t="str">
        <f>IF(V5436="","",INDEX(Fornecedores!$X$1:$X$6631,V5436))</f>
        <v/>
      </c>
      <c r="Y5436" s="4" t="str">
        <f t="shared" si="4"/>
        <v/>
      </c>
    </row>
    <row r="5437" spans="19:25">
      <c r="S5437" t="str">
        <f t="shared" si="0"/>
        <v/>
      </c>
      <c r="T5437" t="str">
        <f t="shared" si="1"/>
        <v/>
      </c>
      <c r="U5437" t="str">
        <f t="shared" si="2"/>
        <v/>
      </c>
      <c r="V5437" t="str">
        <f>IF(OR(U5437="",U5437="ERRO_CHAVE"),"",IFERROR(MATCH(U5437,Fornecedores!$AF$1:$AF$6631,0),""))</f>
        <v/>
      </c>
      <c r="W5437" t="str">
        <f t="shared" si="3"/>
        <v/>
      </c>
      <c r="X5437" s="4" t="str">
        <f>IF(V5437="","",INDEX(Fornecedores!$X$1:$X$6631,V5437))</f>
        <v/>
      </c>
      <c r="Y5437" s="4" t="str">
        <f t="shared" si="4"/>
        <v/>
      </c>
    </row>
    <row r="5438" spans="19:25">
      <c r="S5438" t="str">
        <f t="shared" si="0"/>
        <v/>
      </c>
      <c r="T5438" t="str">
        <f t="shared" si="1"/>
        <v/>
      </c>
      <c r="U5438" t="str">
        <f t="shared" si="2"/>
        <v/>
      </c>
      <c r="V5438" t="str">
        <f>IF(OR(U5438="",U5438="ERRO_CHAVE"),"",IFERROR(MATCH(U5438,Fornecedores!$AF$1:$AF$6631,0),""))</f>
        <v/>
      </c>
      <c r="W5438" t="str">
        <f t="shared" si="3"/>
        <v/>
      </c>
      <c r="X5438" s="4" t="str">
        <f>IF(V5438="","",INDEX(Fornecedores!$X$1:$X$6631,V5438))</f>
        <v/>
      </c>
      <c r="Y5438" s="4" t="str">
        <f t="shared" si="4"/>
        <v/>
      </c>
    </row>
    <row r="5439" spans="19:25">
      <c r="S5439" t="str">
        <f t="shared" si="0"/>
        <v/>
      </c>
      <c r="T5439" t="str">
        <f t="shared" si="1"/>
        <v/>
      </c>
      <c r="U5439" t="str">
        <f t="shared" si="2"/>
        <v/>
      </c>
      <c r="V5439" t="str">
        <f>IF(OR(U5439="",U5439="ERRO_CHAVE"),"",IFERROR(MATCH(U5439,Fornecedores!$AF$1:$AF$6631,0),""))</f>
        <v/>
      </c>
      <c r="W5439" t="str">
        <f t="shared" si="3"/>
        <v/>
      </c>
      <c r="X5439" s="4" t="str">
        <f>IF(V5439="","",INDEX(Fornecedores!$X$1:$X$6631,V5439))</f>
        <v/>
      </c>
      <c r="Y5439" s="4" t="str">
        <f t="shared" si="4"/>
        <v/>
      </c>
    </row>
    <row r="5440" spans="19:25">
      <c r="S5440" t="str">
        <f t="shared" si="0"/>
        <v/>
      </c>
      <c r="T5440" t="str">
        <f t="shared" si="1"/>
        <v/>
      </c>
      <c r="U5440" t="str">
        <f t="shared" si="2"/>
        <v/>
      </c>
      <c r="V5440" t="str">
        <f>IF(OR(U5440="",U5440="ERRO_CHAVE"),"",IFERROR(MATCH(U5440,Fornecedores!$AF$1:$AF$6631,0),""))</f>
        <v/>
      </c>
      <c r="W5440" t="str">
        <f t="shared" si="3"/>
        <v/>
      </c>
      <c r="X5440" s="4" t="str">
        <f>IF(V5440="","",INDEX(Fornecedores!$X$1:$X$6631,V5440))</f>
        <v/>
      </c>
      <c r="Y5440" s="4" t="str">
        <f t="shared" si="4"/>
        <v/>
      </c>
    </row>
    <row r="5441" spans="19:25">
      <c r="S5441" t="str">
        <f t="shared" si="0"/>
        <v/>
      </c>
      <c r="T5441" t="str">
        <f t="shared" si="1"/>
        <v/>
      </c>
      <c r="U5441" t="str">
        <f t="shared" si="2"/>
        <v/>
      </c>
      <c r="V5441" t="str">
        <f>IF(OR(U5441="",U5441="ERRO_CHAVE"),"",IFERROR(MATCH(U5441,Fornecedores!$AF$1:$AF$6631,0),""))</f>
        <v/>
      </c>
      <c r="W5441" t="str">
        <f t="shared" si="3"/>
        <v/>
      </c>
      <c r="X5441" s="4" t="str">
        <f>IF(V5441="","",INDEX(Fornecedores!$X$1:$X$6631,V5441))</f>
        <v/>
      </c>
      <c r="Y5441" s="4" t="str">
        <f t="shared" si="4"/>
        <v/>
      </c>
    </row>
    <row r="5442" spans="19:25">
      <c r="S5442" t="str">
        <f t="shared" si="0"/>
        <v/>
      </c>
      <c r="T5442" t="str">
        <f t="shared" si="1"/>
        <v/>
      </c>
      <c r="U5442" t="str">
        <f t="shared" si="2"/>
        <v/>
      </c>
      <c r="V5442" t="str">
        <f>IF(OR(U5442="",U5442="ERRO_CHAVE"),"",IFERROR(MATCH(U5442,Fornecedores!$AF$1:$AF$6631,0),""))</f>
        <v/>
      </c>
      <c r="W5442" t="str">
        <f t="shared" si="3"/>
        <v/>
      </c>
      <c r="X5442" s="4" t="str">
        <f>IF(V5442="","",INDEX(Fornecedores!$X$1:$X$6631,V5442))</f>
        <v/>
      </c>
      <c r="Y5442" s="4" t="str">
        <f t="shared" si="4"/>
        <v/>
      </c>
    </row>
    <row r="5443" spans="19:25">
      <c r="S5443" t="str">
        <f t="shared" si="0"/>
        <v/>
      </c>
      <c r="T5443" t="str">
        <f t="shared" si="1"/>
        <v/>
      </c>
      <c r="U5443" t="str">
        <f t="shared" si="2"/>
        <v/>
      </c>
      <c r="V5443" t="str">
        <f>IF(OR(U5443="",U5443="ERRO_CHAVE"),"",IFERROR(MATCH(U5443,Fornecedores!$AF$1:$AF$6631,0),""))</f>
        <v/>
      </c>
      <c r="W5443" t="str">
        <f t="shared" si="3"/>
        <v/>
      </c>
      <c r="X5443" s="4" t="str">
        <f>IF(V5443="","",INDEX(Fornecedores!$X$1:$X$6631,V5443))</f>
        <v/>
      </c>
      <c r="Y5443" s="4" t="str">
        <f t="shared" si="4"/>
        <v/>
      </c>
    </row>
    <row r="5444" spans="19:25">
      <c r="S5444" t="str">
        <f t="shared" si="0"/>
        <v/>
      </c>
      <c r="T5444" t="str">
        <f t="shared" si="1"/>
        <v/>
      </c>
      <c r="U5444" t="str">
        <f t="shared" si="2"/>
        <v/>
      </c>
      <c r="V5444" t="str">
        <f>IF(OR(U5444="",U5444="ERRO_CHAVE"),"",IFERROR(MATCH(U5444,Fornecedores!$AF$1:$AF$6631,0),""))</f>
        <v/>
      </c>
      <c r="W5444" t="str">
        <f t="shared" si="3"/>
        <v/>
      </c>
      <c r="X5444" s="4" t="str">
        <f>IF(V5444="","",INDEX(Fornecedores!$X$1:$X$6631,V5444))</f>
        <v/>
      </c>
      <c r="Y5444" s="4" t="str">
        <f t="shared" si="4"/>
        <v/>
      </c>
    </row>
    <row r="5445" spans="19:25">
      <c r="S5445" t="str">
        <f t="shared" si="0"/>
        <v/>
      </c>
      <c r="T5445" t="str">
        <f t="shared" si="1"/>
        <v/>
      </c>
      <c r="U5445" t="str">
        <f t="shared" si="2"/>
        <v/>
      </c>
      <c r="V5445" t="str">
        <f>IF(OR(U5445="",U5445="ERRO_CHAVE"),"",IFERROR(MATCH(U5445,Fornecedores!$AF$1:$AF$6631,0),""))</f>
        <v/>
      </c>
      <c r="W5445" t="str">
        <f t="shared" si="3"/>
        <v/>
      </c>
      <c r="X5445" s="4" t="str">
        <f>IF(V5445="","",INDEX(Fornecedores!$X$1:$X$6631,V5445))</f>
        <v/>
      </c>
      <c r="Y5445" s="4" t="str">
        <f t="shared" si="4"/>
        <v/>
      </c>
    </row>
    <row r="5446" spans="19:25">
      <c r="S5446" t="str">
        <f t="shared" si="0"/>
        <v/>
      </c>
      <c r="T5446" t="str">
        <f t="shared" si="1"/>
        <v/>
      </c>
      <c r="U5446" t="str">
        <f t="shared" si="2"/>
        <v/>
      </c>
      <c r="V5446" t="str">
        <f>IF(OR(U5446="",U5446="ERRO_CHAVE"),"",IFERROR(MATCH(U5446,Fornecedores!$AF$1:$AF$6631,0),""))</f>
        <v/>
      </c>
      <c r="W5446" t="str">
        <f t="shared" si="3"/>
        <v/>
      </c>
      <c r="X5446" s="4" t="str">
        <f>IF(V5446="","",INDEX(Fornecedores!$X$1:$X$6631,V5446))</f>
        <v/>
      </c>
      <c r="Y5446" s="4" t="str">
        <f t="shared" si="4"/>
        <v/>
      </c>
    </row>
    <row r="5447" spans="19:25">
      <c r="S5447" t="str">
        <f t="shared" si="0"/>
        <v/>
      </c>
      <c r="T5447" t="str">
        <f t="shared" si="1"/>
        <v/>
      </c>
      <c r="U5447" t="str">
        <f t="shared" si="2"/>
        <v/>
      </c>
      <c r="V5447" t="str">
        <f>IF(OR(U5447="",U5447="ERRO_CHAVE"),"",IFERROR(MATCH(U5447,Fornecedores!$AF$1:$AF$6631,0),""))</f>
        <v/>
      </c>
      <c r="W5447" t="str">
        <f t="shared" si="3"/>
        <v/>
      </c>
      <c r="X5447" s="4" t="str">
        <f>IF(V5447="","",INDEX(Fornecedores!$X$1:$X$6631,V5447))</f>
        <v/>
      </c>
      <c r="Y5447" s="4" t="str">
        <f t="shared" si="4"/>
        <v/>
      </c>
    </row>
    <row r="5448" spans="19:25">
      <c r="S5448" t="str">
        <f t="shared" si="0"/>
        <v/>
      </c>
      <c r="T5448" t="str">
        <f t="shared" si="1"/>
        <v/>
      </c>
      <c r="U5448" t="str">
        <f t="shared" si="2"/>
        <v/>
      </c>
      <c r="V5448" t="str">
        <f>IF(OR(U5448="",U5448="ERRO_CHAVE"),"",IFERROR(MATCH(U5448,Fornecedores!$AF$1:$AF$6631,0),""))</f>
        <v/>
      </c>
      <c r="W5448" t="str">
        <f t="shared" si="3"/>
        <v/>
      </c>
      <c r="X5448" s="4" t="str">
        <f>IF(V5448="","",INDEX(Fornecedores!$X$1:$X$6631,V5448))</f>
        <v/>
      </c>
      <c r="Y5448" s="4" t="str">
        <f t="shared" si="4"/>
        <v/>
      </c>
    </row>
    <row r="5449" spans="19:25">
      <c r="S5449" t="str">
        <f t="shared" si="0"/>
        <v/>
      </c>
      <c r="T5449" t="str">
        <f t="shared" si="1"/>
        <v/>
      </c>
      <c r="U5449" t="str">
        <f t="shared" si="2"/>
        <v/>
      </c>
      <c r="V5449" t="str">
        <f>IF(OR(U5449="",U5449="ERRO_CHAVE"),"",IFERROR(MATCH(U5449,Fornecedores!$AF$1:$AF$6631,0),""))</f>
        <v/>
      </c>
      <c r="W5449" t="str">
        <f t="shared" si="3"/>
        <v/>
      </c>
      <c r="X5449" s="4" t="str">
        <f>IF(V5449="","",INDEX(Fornecedores!$X$1:$X$6631,V5449))</f>
        <v/>
      </c>
      <c r="Y5449" s="4" t="str">
        <f t="shared" si="4"/>
        <v/>
      </c>
    </row>
    <row r="5450" spans="19:25">
      <c r="S5450" t="str">
        <f t="shared" si="0"/>
        <v/>
      </c>
      <c r="T5450" t="str">
        <f t="shared" si="1"/>
        <v/>
      </c>
      <c r="U5450" t="str">
        <f t="shared" si="2"/>
        <v/>
      </c>
      <c r="V5450" t="str">
        <f>IF(OR(U5450="",U5450="ERRO_CHAVE"),"",IFERROR(MATCH(U5450,Fornecedores!$AF$1:$AF$6631,0),""))</f>
        <v/>
      </c>
      <c r="W5450" t="str">
        <f t="shared" si="3"/>
        <v/>
      </c>
      <c r="X5450" s="4" t="str">
        <f>IF(V5450="","",INDEX(Fornecedores!$X$1:$X$6631,V5450))</f>
        <v/>
      </c>
      <c r="Y5450" s="4" t="str">
        <f t="shared" si="4"/>
        <v/>
      </c>
    </row>
    <row r="5451" spans="19:25">
      <c r="S5451" t="str">
        <f t="shared" si="0"/>
        <v/>
      </c>
      <c r="T5451" t="str">
        <f t="shared" si="1"/>
        <v/>
      </c>
      <c r="U5451" t="str">
        <f t="shared" si="2"/>
        <v/>
      </c>
      <c r="V5451" t="str">
        <f>IF(OR(U5451="",U5451="ERRO_CHAVE"),"",IFERROR(MATCH(U5451,Fornecedores!$AF$1:$AF$6631,0),""))</f>
        <v/>
      </c>
      <c r="W5451" t="str">
        <f t="shared" si="3"/>
        <v/>
      </c>
      <c r="X5451" s="4" t="str">
        <f>IF(V5451="","",INDEX(Fornecedores!$X$1:$X$6631,V5451))</f>
        <v/>
      </c>
      <c r="Y5451" s="4" t="str">
        <f t="shared" si="4"/>
        <v/>
      </c>
    </row>
    <row r="5452" spans="19:25">
      <c r="S5452" t="str">
        <f t="shared" si="0"/>
        <v/>
      </c>
      <c r="T5452" t="str">
        <f t="shared" si="1"/>
        <v/>
      </c>
      <c r="U5452" t="str">
        <f t="shared" si="2"/>
        <v/>
      </c>
      <c r="V5452" t="str">
        <f>IF(OR(U5452="",U5452="ERRO_CHAVE"),"",IFERROR(MATCH(U5452,Fornecedores!$AF$1:$AF$6631,0),""))</f>
        <v/>
      </c>
      <c r="W5452" t="str">
        <f t="shared" si="3"/>
        <v/>
      </c>
      <c r="X5452" s="4" t="str">
        <f>IF(V5452="","",INDEX(Fornecedores!$X$1:$X$6631,V5452))</f>
        <v/>
      </c>
      <c r="Y5452" s="4" t="str">
        <f t="shared" si="4"/>
        <v/>
      </c>
    </row>
    <row r="5453" spans="19:25">
      <c r="S5453" t="str">
        <f t="shared" si="0"/>
        <v/>
      </c>
      <c r="T5453" t="str">
        <f t="shared" si="1"/>
        <v/>
      </c>
      <c r="U5453" t="str">
        <f t="shared" si="2"/>
        <v/>
      </c>
      <c r="V5453" t="str">
        <f>IF(OR(U5453="",U5453="ERRO_CHAVE"),"",IFERROR(MATCH(U5453,Fornecedores!$AF$1:$AF$6631,0),""))</f>
        <v/>
      </c>
      <c r="W5453" t="str">
        <f t="shared" si="3"/>
        <v/>
      </c>
      <c r="X5453" s="4" t="str">
        <f>IF(V5453="","",INDEX(Fornecedores!$X$1:$X$6631,V5453))</f>
        <v/>
      </c>
      <c r="Y5453" s="4" t="str">
        <f t="shared" si="4"/>
        <v/>
      </c>
    </row>
    <row r="5454" spans="19:25">
      <c r="S5454" t="str">
        <f t="shared" si="0"/>
        <v/>
      </c>
      <c r="T5454" t="str">
        <f t="shared" si="1"/>
        <v/>
      </c>
      <c r="U5454" t="str">
        <f t="shared" si="2"/>
        <v/>
      </c>
      <c r="V5454" t="str">
        <f>IF(OR(U5454="",U5454="ERRO_CHAVE"),"",IFERROR(MATCH(U5454,Fornecedores!$AF$1:$AF$6631,0),""))</f>
        <v/>
      </c>
      <c r="W5454" t="str">
        <f t="shared" si="3"/>
        <v/>
      </c>
      <c r="X5454" s="4" t="str">
        <f>IF(V5454="","",INDEX(Fornecedores!$X$1:$X$6631,V5454))</f>
        <v/>
      </c>
      <c r="Y5454" s="4" t="str">
        <f t="shared" si="4"/>
        <v/>
      </c>
    </row>
    <row r="5455" spans="19:25">
      <c r="S5455" t="str">
        <f t="shared" si="0"/>
        <v/>
      </c>
      <c r="T5455" t="str">
        <f t="shared" si="1"/>
        <v/>
      </c>
      <c r="U5455" t="str">
        <f t="shared" si="2"/>
        <v/>
      </c>
      <c r="V5455" t="str">
        <f>IF(OR(U5455="",U5455="ERRO_CHAVE"),"",IFERROR(MATCH(U5455,Fornecedores!$AF$1:$AF$6631,0),""))</f>
        <v/>
      </c>
      <c r="W5455" t="str">
        <f t="shared" si="3"/>
        <v/>
      </c>
      <c r="X5455" s="4" t="str">
        <f>IF(V5455="","",INDEX(Fornecedores!$X$1:$X$6631,V5455))</f>
        <v/>
      </c>
      <c r="Y5455" s="4" t="str">
        <f t="shared" si="4"/>
        <v/>
      </c>
    </row>
    <row r="5456" spans="19:25">
      <c r="S5456" t="str">
        <f t="shared" si="0"/>
        <v/>
      </c>
      <c r="T5456" t="str">
        <f t="shared" si="1"/>
        <v/>
      </c>
      <c r="U5456" t="str">
        <f t="shared" si="2"/>
        <v/>
      </c>
      <c r="V5456" t="str">
        <f>IF(OR(U5456="",U5456="ERRO_CHAVE"),"",IFERROR(MATCH(U5456,Fornecedores!$AF$1:$AF$6631,0),""))</f>
        <v/>
      </c>
      <c r="W5456" t="str">
        <f t="shared" si="3"/>
        <v/>
      </c>
      <c r="X5456" s="4" t="str">
        <f>IF(V5456="","",INDEX(Fornecedores!$X$1:$X$6631,V5456))</f>
        <v/>
      </c>
      <c r="Y5456" s="4" t="str">
        <f t="shared" si="4"/>
        <v/>
      </c>
    </row>
    <row r="5457" spans="19:25">
      <c r="S5457" t="str">
        <f t="shared" si="0"/>
        <v/>
      </c>
      <c r="T5457" t="str">
        <f t="shared" si="1"/>
        <v/>
      </c>
      <c r="U5457" t="str">
        <f t="shared" si="2"/>
        <v/>
      </c>
      <c r="V5457" t="str">
        <f>IF(OR(U5457="",U5457="ERRO_CHAVE"),"",IFERROR(MATCH(U5457,Fornecedores!$AF$1:$AF$6631,0),""))</f>
        <v/>
      </c>
      <c r="W5457" t="str">
        <f t="shared" si="3"/>
        <v/>
      </c>
      <c r="X5457" s="4" t="str">
        <f>IF(V5457="","",INDEX(Fornecedores!$X$1:$X$6631,V5457))</f>
        <v/>
      </c>
      <c r="Y5457" s="4" t="str">
        <f t="shared" si="4"/>
        <v/>
      </c>
    </row>
    <row r="5458" spans="19:25">
      <c r="S5458" t="str">
        <f t="shared" si="0"/>
        <v/>
      </c>
      <c r="T5458" t="str">
        <f t="shared" si="1"/>
        <v/>
      </c>
      <c r="U5458" t="str">
        <f t="shared" si="2"/>
        <v/>
      </c>
      <c r="V5458" t="str">
        <f>IF(OR(U5458="",U5458="ERRO_CHAVE"),"",IFERROR(MATCH(U5458,Fornecedores!$AF$1:$AF$6631,0),""))</f>
        <v/>
      </c>
      <c r="W5458" t="str">
        <f t="shared" si="3"/>
        <v/>
      </c>
      <c r="X5458" s="4" t="str">
        <f>IF(V5458="","",INDEX(Fornecedores!$X$1:$X$6631,V5458))</f>
        <v/>
      </c>
      <c r="Y5458" s="4" t="str">
        <f t="shared" si="4"/>
        <v/>
      </c>
    </row>
    <row r="5459" spans="19:25">
      <c r="S5459" t="str">
        <f t="shared" si="0"/>
        <v/>
      </c>
      <c r="T5459" t="str">
        <f t="shared" si="1"/>
        <v/>
      </c>
      <c r="U5459" t="str">
        <f t="shared" si="2"/>
        <v/>
      </c>
      <c r="V5459" t="str">
        <f>IF(OR(U5459="",U5459="ERRO_CHAVE"),"",IFERROR(MATCH(U5459,Fornecedores!$AF$1:$AF$6631,0),""))</f>
        <v/>
      </c>
      <c r="W5459" t="str">
        <f t="shared" si="3"/>
        <v/>
      </c>
      <c r="X5459" s="4" t="str">
        <f>IF(V5459="","",INDEX(Fornecedores!$X$1:$X$6631,V5459))</f>
        <v/>
      </c>
      <c r="Y5459" s="4" t="str">
        <f t="shared" si="4"/>
        <v/>
      </c>
    </row>
    <row r="5460" spans="19:25">
      <c r="S5460" t="str">
        <f t="shared" si="0"/>
        <v/>
      </c>
      <c r="T5460" t="str">
        <f t="shared" si="1"/>
        <v/>
      </c>
      <c r="U5460" t="str">
        <f t="shared" si="2"/>
        <v/>
      </c>
      <c r="V5460" t="str">
        <f>IF(OR(U5460="",U5460="ERRO_CHAVE"),"",IFERROR(MATCH(U5460,Fornecedores!$AF$1:$AF$6631,0),""))</f>
        <v/>
      </c>
      <c r="W5460" t="str">
        <f t="shared" si="3"/>
        <v/>
      </c>
      <c r="X5460" s="4" t="str">
        <f>IF(V5460="","",INDEX(Fornecedores!$X$1:$X$6631,V5460))</f>
        <v/>
      </c>
      <c r="Y5460" s="4" t="str">
        <f t="shared" si="4"/>
        <v/>
      </c>
    </row>
    <row r="5461" spans="19:25">
      <c r="S5461" t="str">
        <f t="shared" si="0"/>
        <v/>
      </c>
      <c r="T5461" t="str">
        <f t="shared" si="1"/>
        <v/>
      </c>
      <c r="U5461" t="str">
        <f t="shared" si="2"/>
        <v/>
      </c>
      <c r="V5461" t="str">
        <f>IF(OR(U5461="",U5461="ERRO_CHAVE"),"",IFERROR(MATCH(U5461,Fornecedores!$AF$1:$AF$6631,0),""))</f>
        <v/>
      </c>
      <c r="W5461" t="str">
        <f t="shared" si="3"/>
        <v/>
      </c>
      <c r="X5461" s="4" t="str">
        <f>IF(V5461="","",INDEX(Fornecedores!$X$1:$X$6631,V5461))</f>
        <v/>
      </c>
      <c r="Y5461" s="4" t="str">
        <f t="shared" si="4"/>
        <v/>
      </c>
    </row>
    <row r="5462" spans="19:25">
      <c r="S5462" t="str">
        <f t="shared" si="0"/>
        <v/>
      </c>
      <c r="T5462" t="str">
        <f t="shared" si="1"/>
        <v/>
      </c>
      <c r="U5462" t="str">
        <f t="shared" si="2"/>
        <v/>
      </c>
      <c r="V5462" t="str">
        <f>IF(OR(U5462="",U5462="ERRO_CHAVE"),"",IFERROR(MATCH(U5462,Fornecedores!$AF$1:$AF$6631,0),""))</f>
        <v/>
      </c>
      <c r="W5462" t="str">
        <f t="shared" si="3"/>
        <v/>
      </c>
      <c r="X5462" s="4" t="str">
        <f>IF(V5462="","",INDEX(Fornecedores!$X$1:$X$6631,V5462))</f>
        <v/>
      </c>
      <c r="Y5462" s="4" t="str">
        <f t="shared" si="4"/>
        <v/>
      </c>
    </row>
    <row r="5463" spans="19:25">
      <c r="S5463" t="str">
        <f t="shared" si="0"/>
        <v/>
      </c>
      <c r="T5463" t="str">
        <f t="shared" si="1"/>
        <v/>
      </c>
      <c r="U5463" t="str">
        <f t="shared" si="2"/>
        <v/>
      </c>
      <c r="V5463" t="str">
        <f>IF(OR(U5463="",U5463="ERRO_CHAVE"),"",IFERROR(MATCH(U5463,Fornecedores!$AF$1:$AF$6631,0),""))</f>
        <v/>
      </c>
      <c r="W5463" t="str">
        <f t="shared" si="3"/>
        <v/>
      </c>
      <c r="X5463" s="4" t="str">
        <f>IF(V5463="","",INDEX(Fornecedores!$X$1:$X$6631,V5463))</f>
        <v/>
      </c>
      <c r="Y5463" s="4" t="str">
        <f t="shared" si="4"/>
        <v/>
      </c>
    </row>
    <row r="5464" spans="19:25">
      <c r="S5464" t="str">
        <f t="shared" si="0"/>
        <v/>
      </c>
      <c r="T5464" t="str">
        <f t="shared" si="1"/>
        <v/>
      </c>
      <c r="U5464" t="str">
        <f t="shared" si="2"/>
        <v/>
      </c>
      <c r="V5464" t="str">
        <f>IF(OR(U5464="",U5464="ERRO_CHAVE"),"",IFERROR(MATCH(U5464,Fornecedores!$AF$1:$AF$6631,0),""))</f>
        <v/>
      </c>
      <c r="W5464" t="str">
        <f t="shared" si="3"/>
        <v/>
      </c>
      <c r="X5464" s="4" t="str">
        <f>IF(V5464="","",INDEX(Fornecedores!$X$1:$X$6631,V5464))</f>
        <v/>
      </c>
      <c r="Y5464" s="4" t="str">
        <f t="shared" si="4"/>
        <v/>
      </c>
    </row>
    <row r="5465" spans="19:25">
      <c r="S5465" t="str">
        <f t="shared" si="0"/>
        <v/>
      </c>
      <c r="T5465" t="str">
        <f t="shared" si="1"/>
        <v/>
      </c>
      <c r="U5465" t="str">
        <f t="shared" si="2"/>
        <v/>
      </c>
      <c r="V5465" t="str">
        <f>IF(OR(U5465="",U5465="ERRO_CHAVE"),"",IFERROR(MATCH(U5465,Fornecedores!$AF$1:$AF$6631,0),""))</f>
        <v/>
      </c>
      <c r="W5465" t="str">
        <f t="shared" si="3"/>
        <v/>
      </c>
      <c r="X5465" s="4" t="str">
        <f>IF(V5465="","",INDEX(Fornecedores!$X$1:$X$6631,V5465))</f>
        <v/>
      </c>
      <c r="Y5465" s="4" t="str">
        <f t="shared" si="4"/>
        <v/>
      </c>
    </row>
    <row r="5466" spans="19:25">
      <c r="S5466" t="str">
        <f t="shared" si="0"/>
        <v/>
      </c>
      <c r="T5466" t="str">
        <f t="shared" si="1"/>
        <v/>
      </c>
      <c r="U5466" t="str">
        <f t="shared" si="2"/>
        <v/>
      </c>
      <c r="V5466" t="str">
        <f>IF(OR(U5466="",U5466="ERRO_CHAVE"),"",IFERROR(MATCH(U5466,Fornecedores!$AF$1:$AF$6631,0),""))</f>
        <v/>
      </c>
      <c r="W5466" t="str">
        <f t="shared" si="3"/>
        <v/>
      </c>
      <c r="X5466" s="4" t="str">
        <f>IF(V5466="","",INDEX(Fornecedores!$X$1:$X$6631,V5466))</f>
        <v/>
      </c>
      <c r="Y5466" s="4" t="str">
        <f t="shared" si="4"/>
        <v/>
      </c>
    </row>
    <row r="5467" spans="19:25">
      <c r="S5467" t="str">
        <f t="shared" si="0"/>
        <v/>
      </c>
      <c r="T5467" t="str">
        <f t="shared" si="1"/>
        <v/>
      </c>
      <c r="U5467" t="str">
        <f t="shared" si="2"/>
        <v/>
      </c>
      <c r="V5467" t="str">
        <f>IF(OR(U5467="",U5467="ERRO_CHAVE"),"",IFERROR(MATCH(U5467,Fornecedores!$AF$1:$AF$6631,0),""))</f>
        <v/>
      </c>
      <c r="W5467" t="str">
        <f t="shared" si="3"/>
        <v/>
      </c>
      <c r="X5467" s="4" t="str">
        <f>IF(V5467="","",INDEX(Fornecedores!$X$1:$X$6631,V5467))</f>
        <v/>
      </c>
      <c r="Y5467" s="4" t="str">
        <f t="shared" si="4"/>
        <v/>
      </c>
    </row>
    <row r="5468" spans="19:25">
      <c r="S5468" t="str">
        <f t="shared" si="0"/>
        <v/>
      </c>
      <c r="T5468" t="str">
        <f t="shared" si="1"/>
        <v/>
      </c>
      <c r="U5468" t="str">
        <f t="shared" si="2"/>
        <v/>
      </c>
      <c r="V5468" t="str">
        <f>IF(OR(U5468="",U5468="ERRO_CHAVE"),"",IFERROR(MATCH(U5468,Fornecedores!$AF$1:$AF$6631,0),""))</f>
        <v/>
      </c>
      <c r="W5468" t="str">
        <f t="shared" si="3"/>
        <v/>
      </c>
      <c r="X5468" s="4" t="str">
        <f>IF(V5468="","",INDEX(Fornecedores!$X$1:$X$6631,V5468))</f>
        <v/>
      </c>
      <c r="Y5468" s="4" t="str">
        <f t="shared" si="4"/>
        <v/>
      </c>
    </row>
    <row r="5469" spans="19:25">
      <c r="S5469" t="str">
        <f t="shared" si="0"/>
        <v/>
      </c>
      <c r="T5469" t="str">
        <f t="shared" si="1"/>
        <v/>
      </c>
      <c r="U5469" t="str">
        <f t="shared" si="2"/>
        <v/>
      </c>
      <c r="V5469" t="str">
        <f>IF(OR(U5469="",U5469="ERRO_CHAVE"),"",IFERROR(MATCH(U5469,Fornecedores!$AF$1:$AF$6631,0),""))</f>
        <v/>
      </c>
      <c r="W5469" t="str">
        <f t="shared" si="3"/>
        <v/>
      </c>
      <c r="X5469" s="4" t="str">
        <f>IF(V5469="","",INDEX(Fornecedores!$X$1:$X$6631,V5469))</f>
        <v/>
      </c>
      <c r="Y5469" s="4" t="str">
        <f t="shared" si="4"/>
        <v/>
      </c>
    </row>
    <row r="5470" spans="19:25">
      <c r="S5470" t="str">
        <f t="shared" si="0"/>
        <v/>
      </c>
      <c r="T5470" t="str">
        <f t="shared" si="1"/>
        <v/>
      </c>
      <c r="U5470" t="str">
        <f t="shared" si="2"/>
        <v/>
      </c>
      <c r="V5470" t="str">
        <f>IF(OR(U5470="",U5470="ERRO_CHAVE"),"",IFERROR(MATCH(U5470,Fornecedores!$AF$1:$AF$6631,0),""))</f>
        <v/>
      </c>
      <c r="W5470" t="str">
        <f t="shared" si="3"/>
        <v/>
      </c>
      <c r="X5470" s="4" t="str">
        <f>IF(V5470="","",INDEX(Fornecedores!$X$1:$X$6631,V5470))</f>
        <v/>
      </c>
      <c r="Y5470" s="4" t="str">
        <f t="shared" si="4"/>
        <v/>
      </c>
    </row>
    <row r="5471" spans="19:25">
      <c r="S5471" t="str">
        <f t="shared" si="0"/>
        <v/>
      </c>
      <c r="T5471" t="str">
        <f t="shared" si="1"/>
        <v/>
      </c>
      <c r="U5471" t="str">
        <f t="shared" si="2"/>
        <v/>
      </c>
      <c r="V5471" t="str">
        <f>IF(OR(U5471="",U5471="ERRO_CHAVE"),"",IFERROR(MATCH(U5471,Fornecedores!$AF$1:$AF$6631,0),""))</f>
        <v/>
      </c>
      <c r="W5471" t="str">
        <f t="shared" si="3"/>
        <v/>
      </c>
      <c r="X5471" s="4" t="str">
        <f>IF(V5471="","",INDEX(Fornecedores!$X$1:$X$6631,V5471))</f>
        <v/>
      </c>
      <c r="Y5471" s="4" t="str">
        <f t="shared" si="4"/>
        <v/>
      </c>
    </row>
    <row r="5472" spans="19:25">
      <c r="S5472" t="str">
        <f t="shared" si="0"/>
        <v/>
      </c>
      <c r="T5472" t="str">
        <f t="shared" si="1"/>
        <v/>
      </c>
      <c r="U5472" t="str">
        <f t="shared" si="2"/>
        <v/>
      </c>
      <c r="V5472" t="str">
        <f>IF(OR(U5472="",U5472="ERRO_CHAVE"),"",IFERROR(MATCH(U5472,Fornecedores!$AF$1:$AF$6631,0),""))</f>
        <v/>
      </c>
      <c r="W5472" t="str">
        <f t="shared" si="3"/>
        <v/>
      </c>
      <c r="X5472" s="4" t="str">
        <f>IF(V5472="","",INDEX(Fornecedores!$X$1:$X$6631,V5472))</f>
        <v/>
      </c>
      <c r="Y5472" s="4" t="str">
        <f t="shared" si="4"/>
        <v/>
      </c>
    </row>
    <row r="5473" spans="19:25">
      <c r="S5473" t="str">
        <f t="shared" si="0"/>
        <v/>
      </c>
      <c r="T5473" t="str">
        <f t="shared" si="1"/>
        <v/>
      </c>
      <c r="U5473" t="str">
        <f t="shared" si="2"/>
        <v/>
      </c>
      <c r="V5473" t="str">
        <f>IF(OR(U5473="",U5473="ERRO_CHAVE"),"",IFERROR(MATCH(U5473,Fornecedores!$AF$1:$AF$6631,0),""))</f>
        <v/>
      </c>
      <c r="W5473" t="str">
        <f t="shared" si="3"/>
        <v/>
      </c>
      <c r="X5473" s="4" t="str">
        <f>IF(V5473="","",INDEX(Fornecedores!$X$1:$X$6631,V5473))</f>
        <v/>
      </c>
      <c r="Y5473" s="4" t="str">
        <f t="shared" si="4"/>
        <v/>
      </c>
    </row>
    <row r="5474" spans="19:25">
      <c r="S5474" t="str">
        <f t="shared" si="0"/>
        <v/>
      </c>
      <c r="T5474" t="str">
        <f t="shared" si="1"/>
        <v/>
      </c>
      <c r="U5474" t="str">
        <f t="shared" si="2"/>
        <v/>
      </c>
      <c r="V5474" t="str">
        <f>IF(OR(U5474="",U5474="ERRO_CHAVE"),"",IFERROR(MATCH(U5474,Fornecedores!$AF$1:$AF$6631,0),""))</f>
        <v/>
      </c>
      <c r="W5474" t="str">
        <f t="shared" si="3"/>
        <v/>
      </c>
      <c r="X5474" s="4" t="str">
        <f>IF(V5474="","",INDEX(Fornecedores!$X$1:$X$6631,V5474))</f>
        <v/>
      </c>
      <c r="Y5474" s="4" t="str">
        <f t="shared" si="4"/>
        <v/>
      </c>
    </row>
    <row r="5475" spans="19:25">
      <c r="S5475" t="str">
        <f t="shared" si="0"/>
        <v/>
      </c>
      <c r="T5475" t="str">
        <f t="shared" si="1"/>
        <v/>
      </c>
      <c r="U5475" t="str">
        <f t="shared" si="2"/>
        <v/>
      </c>
      <c r="V5475" t="str">
        <f>IF(OR(U5475="",U5475="ERRO_CHAVE"),"",IFERROR(MATCH(U5475,Fornecedores!$AF$1:$AF$6631,0),""))</f>
        <v/>
      </c>
      <c r="W5475" t="str">
        <f t="shared" si="3"/>
        <v/>
      </c>
      <c r="X5475" s="4" t="str">
        <f>IF(V5475="","",INDEX(Fornecedores!$X$1:$X$6631,V5475))</f>
        <v/>
      </c>
      <c r="Y5475" s="4" t="str">
        <f t="shared" si="4"/>
        <v/>
      </c>
    </row>
    <row r="5476" spans="19:25">
      <c r="S5476" t="str">
        <f t="shared" si="0"/>
        <v/>
      </c>
      <c r="T5476" t="str">
        <f t="shared" si="1"/>
        <v/>
      </c>
      <c r="U5476" t="str">
        <f t="shared" si="2"/>
        <v/>
      </c>
      <c r="V5476" t="str">
        <f>IF(OR(U5476="",U5476="ERRO_CHAVE"),"",IFERROR(MATCH(U5476,Fornecedores!$AF$1:$AF$6631,0),""))</f>
        <v/>
      </c>
      <c r="W5476" t="str">
        <f t="shared" si="3"/>
        <v/>
      </c>
      <c r="X5476" s="4" t="str">
        <f>IF(V5476="","",INDEX(Fornecedores!$X$1:$X$6631,V5476))</f>
        <v/>
      </c>
      <c r="Y5476" s="4" t="str">
        <f t="shared" si="4"/>
        <v/>
      </c>
    </row>
    <row r="5477" spans="19:25">
      <c r="S5477" t="str">
        <f t="shared" si="0"/>
        <v/>
      </c>
      <c r="T5477" t="str">
        <f t="shared" si="1"/>
        <v/>
      </c>
      <c r="U5477" t="str">
        <f t="shared" si="2"/>
        <v/>
      </c>
      <c r="V5477" t="str">
        <f>IF(OR(U5477="",U5477="ERRO_CHAVE"),"",IFERROR(MATCH(U5477,Fornecedores!$AF$1:$AF$6631,0),""))</f>
        <v/>
      </c>
      <c r="W5477" t="str">
        <f t="shared" si="3"/>
        <v/>
      </c>
      <c r="X5477" s="4" t="str">
        <f>IF(V5477="","",INDEX(Fornecedores!$X$1:$X$6631,V5477))</f>
        <v/>
      </c>
      <c r="Y5477" s="4" t="str">
        <f t="shared" si="4"/>
        <v/>
      </c>
    </row>
    <row r="5478" spans="19:25">
      <c r="S5478" t="str">
        <f t="shared" si="0"/>
        <v/>
      </c>
      <c r="T5478" t="str">
        <f t="shared" si="1"/>
        <v/>
      </c>
      <c r="U5478" t="str">
        <f t="shared" si="2"/>
        <v/>
      </c>
      <c r="V5478" t="str">
        <f>IF(OR(U5478="",U5478="ERRO_CHAVE"),"",IFERROR(MATCH(U5478,Fornecedores!$AF$1:$AF$6631,0),""))</f>
        <v/>
      </c>
      <c r="W5478" t="str">
        <f t="shared" si="3"/>
        <v/>
      </c>
      <c r="X5478" s="4" t="str">
        <f>IF(V5478="","",INDEX(Fornecedores!$X$1:$X$6631,V5478))</f>
        <v/>
      </c>
      <c r="Y5478" s="4" t="str">
        <f t="shared" si="4"/>
        <v/>
      </c>
    </row>
    <row r="5479" spans="19:25">
      <c r="S5479" t="str">
        <f t="shared" si="0"/>
        <v/>
      </c>
      <c r="T5479" t="str">
        <f t="shared" si="1"/>
        <v/>
      </c>
      <c r="U5479" t="str">
        <f t="shared" si="2"/>
        <v/>
      </c>
      <c r="V5479" t="str">
        <f>IF(OR(U5479="",U5479="ERRO_CHAVE"),"",IFERROR(MATCH(U5479,Fornecedores!$AF$1:$AF$6631,0),""))</f>
        <v/>
      </c>
      <c r="W5479" t="str">
        <f t="shared" si="3"/>
        <v/>
      </c>
      <c r="X5479" s="4" t="str">
        <f>IF(V5479="","",INDEX(Fornecedores!$X$1:$X$6631,V5479))</f>
        <v/>
      </c>
      <c r="Y5479" s="4" t="str">
        <f t="shared" si="4"/>
        <v/>
      </c>
    </row>
    <row r="5480" spans="19:25">
      <c r="S5480" t="str">
        <f t="shared" si="0"/>
        <v/>
      </c>
      <c r="T5480" t="str">
        <f t="shared" si="1"/>
        <v/>
      </c>
      <c r="U5480" t="str">
        <f t="shared" si="2"/>
        <v/>
      </c>
      <c r="V5480" t="str">
        <f>IF(OR(U5480="",U5480="ERRO_CHAVE"),"",IFERROR(MATCH(U5480,Fornecedores!$AF$1:$AF$6631,0),""))</f>
        <v/>
      </c>
      <c r="W5480" t="str">
        <f t="shared" si="3"/>
        <v/>
      </c>
      <c r="X5480" s="4" t="str">
        <f>IF(V5480="","",INDEX(Fornecedores!$X$1:$X$6631,V5480))</f>
        <v/>
      </c>
      <c r="Y5480" s="4" t="str">
        <f t="shared" si="4"/>
        <v/>
      </c>
    </row>
    <row r="5481" spans="19:25">
      <c r="S5481" t="str">
        <f t="shared" si="0"/>
        <v/>
      </c>
      <c r="T5481" t="str">
        <f t="shared" si="1"/>
        <v/>
      </c>
      <c r="U5481" t="str">
        <f t="shared" si="2"/>
        <v/>
      </c>
      <c r="V5481" t="str">
        <f>IF(OR(U5481="",U5481="ERRO_CHAVE"),"",IFERROR(MATCH(U5481,Fornecedores!$AF$1:$AF$6631,0),""))</f>
        <v/>
      </c>
      <c r="W5481" t="str">
        <f t="shared" si="3"/>
        <v/>
      </c>
      <c r="X5481" s="4" t="str">
        <f>IF(V5481="","",INDEX(Fornecedores!$X$1:$X$6631,V5481))</f>
        <v/>
      </c>
      <c r="Y5481" s="4" t="str">
        <f t="shared" si="4"/>
        <v/>
      </c>
    </row>
    <row r="5482" spans="19:25">
      <c r="S5482" t="str">
        <f t="shared" si="0"/>
        <v/>
      </c>
      <c r="T5482" t="str">
        <f t="shared" si="1"/>
        <v/>
      </c>
      <c r="U5482" t="str">
        <f t="shared" si="2"/>
        <v/>
      </c>
      <c r="V5482" t="str">
        <f>IF(OR(U5482="",U5482="ERRO_CHAVE"),"",IFERROR(MATCH(U5482,Fornecedores!$AF$1:$AF$6631,0),""))</f>
        <v/>
      </c>
      <c r="W5482" t="str">
        <f t="shared" si="3"/>
        <v/>
      </c>
      <c r="X5482" s="4" t="str">
        <f>IF(V5482="","",INDEX(Fornecedores!$X$1:$X$6631,V5482))</f>
        <v/>
      </c>
      <c r="Y5482" s="4" t="str">
        <f t="shared" si="4"/>
        <v/>
      </c>
    </row>
    <row r="5483" spans="19:25">
      <c r="S5483" t="str">
        <f t="shared" si="0"/>
        <v/>
      </c>
      <c r="T5483" t="str">
        <f t="shared" si="1"/>
        <v/>
      </c>
      <c r="U5483" t="str">
        <f t="shared" si="2"/>
        <v/>
      </c>
      <c r="V5483" t="str">
        <f>IF(OR(U5483="",U5483="ERRO_CHAVE"),"",IFERROR(MATCH(U5483,Fornecedores!$AF$1:$AF$6631,0),""))</f>
        <v/>
      </c>
      <c r="W5483" t="str">
        <f t="shared" si="3"/>
        <v/>
      </c>
      <c r="X5483" s="4" t="str">
        <f>IF(V5483="","",INDEX(Fornecedores!$X$1:$X$6631,V5483))</f>
        <v/>
      </c>
      <c r="Y5483" s="4" t="str">
        <f t="shared" si="4"/>
        <v/>
      </c>
    </row>
    <row r="5484" spans="19:25">
      <c r="S5484" t="str">
        <f t="shared" si="0"/>
        <v/>
      </c>
      <c r="T5484" t="str">
        <f t="shared" si="1"/>
        <v/>
      </c>
      <c r="U5484" t="str">
        <f t="shared" si="2"/>
        <v/>
      </c>
      <c r="V5484" t="str">
        <f>IF(OR(U5484="",U5484="ERRO_CHAVE"),"",IFERROR(MATCH(U5484,Fornecedores!$AF$1:$AF$6631,0),""))</f>
        <v/>
      </c>
      <c r="W5484" t="str">
        <f t="shared" si="3"/>
        <v/>
      </c>
      <c r="X5484" s="4" t="str">
        <f>IF(V5484="","",INDEX(Fornecedores!$X$1:$X$6631,V5484))</f>
        <v/>
      </c>
      <c r="Y5484" s="4" t="str">
        <f t="shared" si="4"/>
        <v/>
      </c>
    </row>
    <row r="5485" spans="19:25">
      <c r="S5485" t="str">
        <f t="shared" si="0"/>
        <v/>
      </c>
      <c r="T5485" t="str">
        <f t="shared" si="1"/>
        <v/>
      </c>
      <c r="U5485" t="str">
        <f t="shared" si="2"/>
        <v/>
      </c>
      <c r="V5485" t="str">
        <f>IF(OR(U5485="",U5485="ERRO_CHAVE"),"",IFERROR(MATCH(U5485,Fornecedores!$AF$1:$AF$6631,0),""))</f>
        <v/>
      </c>
      <c r="W5485" t="str">
        <f t="shared" si="3"/>
        <v/>
      </c>
      <c r="X5485" s="4" t="str">
        <f>IF(V5485="","",INDEX(Fornecedores!$X$1:$X$6631,V5485))</f>
        <v/>
      </c>
      <c r="Y5485" s="4" t="str">
        <f t="shared" si="4"/>
        <v/>
      </c>
    </row>
    <row r="5486" spans="19:25">
      <c r="S5486" t="str">
        <f t="shared" si="0"/>
        <v/>
      </c>
      <c r="T5486" t="str">
        <f t="shared" si="1"/>
        <v/>
      </c>
      <c r="U5486" t="str">
        <f t="shared" si="2"/>
        <v/>
      </c>
      <c r="V5486" t="str">
        <f>IF(OR(U5486="",U5486="ERRO_CHAVE"),"",IFERROR(MATCH(U5486,Fornecedores!$AF$1:$AF$6631,0),""))</f>
        <v/>
      </c>
      <c r="W5486" t="str">
        <f t="shared" si="3"/>
        <v/>
      </c>
      <c r="X5486" s="4" t="str">
        <f>IF(V5486="","",INDEX(Fornecedores!$X$1:$X$6631,V5486))</f>
        <v/>
      </c>
      <c r="Y5486" s="4" t="str">
        <f t="shared" si="4"/>
        <v/>
      </c>
    </row>
    <row r="5487" spans="19:25">
      <c r="S5487" t="str">
        <f t="shared" si="0"/>
        <v/>
      </c>
      <c r="T5487" t="str">
        <f t="shared" si="1"/>
        <v/>
      </c>
      <c r="U5487" t="str">
        <f t="shared" si="2"/>
        <v/>
      </c>
      <c r="V5487" t="str">
        <f>IF(OR(U5487="",U5487="ERRO_CHAVE"),"",IFERROR(MATCH(U5487,Fornecedores!$AF$1:$AF$6631,0),""))</f>
        <v/>
      </c>
      <c r="W5487" t="str">
        <f t="shared" si="3"/>
        <v/>
      </c>
      <c r="X5487" s="4" t="str">
        <f>IF(V5487="","",INDEX(Fornecedores!$X$1:$X$6631,V5487))</f>
        <v/>
      </c>
      <c r="Y5487" s="4" t="str">
        <f t="shared" si="4"/>
        <v/>
      </c>
    </row>
    <row r="5488" spans="19:25">
      <c r="S5488" t="str">
        <f t="shared" si="0"/>
        <v/>
      </c>
      <c r="T5488" t="str">
        <f t="shared" si="1"/>
        <v/>
      </c>
      <c r="U5488" t="str">
        <f t="shared" si="2"/>
        <v/>
      </c>
      <c r="V5488" t="str">
        <f>IF(OR(U5488="",U5488="ERRO_CHAVE"),"",IFERROR(MATCH(U5488,Fornecedores!$AF$1:$AF$6631,0),""))</f>
        <v/>
      </c>
      <c r="W5488" t="str">
        <f t="shared" si="3"/>
        <v/>
      </c>
      <c r="X5488" s="4" t="str">
        <f>IF(V5488="","",INDEX(Fornecedores!$X$1:$X$6631,V5488))</f>
        <v/>
      </c>
      <c r="Y5488" s="4" t="str">
        <f t="shared" si="4"/>
        <v/>
      </c>
    </row>
    <row r="5489" spans="19:25">
      <c r="S5489" t="str">
        <f t="shared" si="0"/>
        <v/>
      </c>
      <c r="T5489" t="str">
        <f t="shared" si="1"/>
        <v/>
      </c>
      <c r="U5489" t="str">
        <f t="shared" si="2"/>
        <v/>
      </c>
      <c r="V5489" t="str">
        <f>IF(OR(U5489="",U5489="ERRO_CHAVE"),"",IFERROR(MATCH(U5489,Fornecedores!$AF$1:$AF$6631,0),""))</f>
        <v/>
      </c>
      <c r="W5489" t="str">
        <f t="shared" si="3"/>
        <v/>
      </c>
      <c r="X5489" s="4" t="str">
        <f>IF(V5489="","",INDEX(Fornecedores!$X$1:$X$6631,V5489))</f>
        <v/>
      </c>
      <c r="Y5489" s="4" t="str">
        <f t="shared" si="4"/>
        <v/>
      </c>
    </row>
    <row r="5490" spans="19:25">
      <c r="S5490" t="str">
        <f t="shared" si="0"/>
        <v/>
      </c>
      <c r="T5490" t="str">
        <f t="shared" si="1"/>
        <v/>
      </c>
      <c r="U5490" t="str">
        <f t="shared" si="2"/>
        <v/>
      </c>
      <c r="V5490" t="str">
        <f>IF(OR(U5490="",U5490="ERRO_CHAVE"),"",IFERROR(MATCH(U5490,Fornecedores!$AF$1:$AF$6631,0),""))</f>
        <v/>
      </c>
      <c r="W5490" t="str">
        <f t="shared" si="3"/>
        <v/>
      </c>
      <c r="X5490" s="4" t="str">
        <f>IF(V5490="","",INDEX(Fornecedores!$X$1:$X$6631,V5490))</f>
        <v/>
      </c>
      <c r="Y5490" s="4" t="str">
        <f t="shared" si="4"/>
        <v/>
      </c>
    </row>
    <row r="5491" spans="19:25">
      <c r="S5491" t="str">
        <f t="shared" si="0"/>
        <v/>
      </c>
      <c r="T5491" t="str">
        <f t="shared" si="1"/>
        <v/>
      </c>
      <c r="U5491" t="str">
        <f t="shared" si="2"/>
        <v/>
      </c>
      <c r="V5491" t="str">
        <f>IF(OR(U5491="",U5491="ERRO_CHAVE"),"",IFERROR(MATCH(U5491,Fornecedores!$AF$1:$AF$6631,0),""))</f>
        <v/>
      </c>
      <c r="W5491" t="str">
        <f t="shared" si="3"/>
        <v/>
      </c>
      <c r="X5491" s="4" t="str">
        <f>IF(V5491="","",INDEX(Fornecedores!$X$1:$X$6631,V5491))</f>
        <v/>
      </c>
      <c r="Y5491" s="4" t="str">
        <f t="shared" si="4"/>
        <v/>
      </c>
    </row>
    <row r="5492" spans="19:25">
      <c r="S5492" t="str">
        <f t="shared" si="0"/>
        <v/>
      </c>
      <c r="T5492" t="str">
        <f t="shared" si="1"/>
        <v/>
      </c>
      <c r="U5492" t="str">
        <f t="shared" si="2"/>
        <v/>
      </c>
      <c r="V5492" t="str">
        <f>IF(OR(U5492="",U5492="ERRO_CHAVE"),"",IFERROR(MATCH(U5492,Fornecedores!$AF$1:$AF$6631,0),""))</f>
        <v/>
      </c>
      <c r="W5492" t="str">
        <f t="shared" si="3"/>
        <v/>
      </c>
      <c r="X5492" s="4" t="str">
        <f>IF(V5492="","",INDEX(Fornecedores!$X$1:$X$6631,V5492))</f>
        <v/>
      </c>
      <c r="Y5492" s="4" t="str">
        <f t="shared" si="4"/>
        <v/>
      </c>
    </row>
    <row r="5493" spans="19:25">
      <c r="S5493" t="str">
        <f t="shared" si="0"/>
        <v/>
      </c>
      <c r="T5493" t="str">
        <f t="shared" si="1"/>
        <v/>
      </c>
      <c r="U5493" t="str">
        <f t="shared" si="2"/>
        <v/>
      </c>
      <c r="V5493" t="str">
        <f>IF(OR(U5493="",U5493="ERRO_CHAVE"),"",IFERROR(MATCH(U5493,Fornecedores!$AF$1:$AF$6631,0),""))</f>
        <v/>
      </c>
      <c r="W5493" t="str">
        <f t="shared" si="3"/>
        <v/>
      </c>
      <c r="X5493" s="4" t="str">
        <f>IF(V5493="","",INDEX(Fornecedores!$X$1:$X$6631,V5493))</f>
        <v/>
      </c>
      <c r="Y5493" s="4" t="str">
        <f t="shared" si="4"/>
        <v/>
      </c>
    </row>
    <row r="5494" spans="19:25">
      <c r="S5494" t="str">
        <f t="shared" si="0"/>
        <v/>
      </c>
      <c r="T5494" t="str">
        <f t="shared" si="1"/>
        <v/>
      </c>
      <c r="U5494" t="str">
        <f t="shared" si="2"/>
        <v/>
      </c>
      <c r="V5494" t="str">
        <f>IF(OR(U5494="",U5494="ERRO_CHAVE"),"",IFERROR(MATCH(U5494,Fornecedores!$AF$1:$AF$6631,0),""))</f>
        <v/>
      </c>
      <c r="W5494" t="str">
        <f t="shared" si="3"/>
        <v/>
      </c>
      <c r="X5494" s="4" t="str">
        <f>IF(V5494="","",INDEX(Fornecedores!$X$1:$X$6631,V5494))</f>
        <v/>
      </c>
      <c r="Y5494" s="4" t="str">
        <f t="shared" si="4"/>
        <v/>
      </c>
    </row>
    <row r="5495" spans="19:25">
      <c r="S5495" t="str">
        <f t="shared" si="0"/>
        <v/>
      </c>
      <c r="T5495" t="str">
        <f t="shared" si="1"/>
        <v/>
      </c>
      <c r="U5495" t="str">
        <f t="shared" si="2"/>
        <v/>
      </c>
      <c r="V5495" t="str">
        <f>IF(OR(U5495="",U5495="ERRO_CHAVE"),"",IFERROR(MATCH(U5495,Fornecedores!$AF$1:$AF$6631,0),""))</f>
        <v/>
      </c>
      <c r="W5495" t="str">
        <f t="shared" si="3"/>
        <v/>
      </c>
      <c r="X5495" s="4" t="str">
        <f>IF(V5495="","",INDEX(Fornecedores!$X$1:$X$6631,V5495))</f>
        <v/>
      </c>
      <c r="Y5495" s="4" t="str">
        <f t="shared" si="4"/>
        <v/>
      </c>
    </row>
    <row r="5496" spans="19:25">
      <c r="S5496" t="str">
        <f t="shared" si="0"/>
        <v/>
      </c>
      <c r="T5496" t="str">
        <f t="shared" si="1"/>
        <v/>
      </c>
      <c r="U5496" t="str">
        <f t="shared" si="2"/>
        <v/>
      </c>
      <c r="V5496" t="str">
        <f>IF(OR(U5496="",U5496="ERRO_CHAVE"),"",IFERROR(MATCH(U5496,Fornecedores!$AF$1:$AF$6631,0),""))</f>
        <v/>
      </c>
      <c r="W5496" t="str">
        <f t="shared" si="3"/>
        <v/>
      </c>
      <c r="X5496" s="4" t="str">
        <f>IF(V5496="","",INDEX(Fornecedores!$X$1:$X$6631,V5496))</f>
        <v/>
      </c>
      <c r="Y5496" s="4" t="str">
        <f t="shared" si="4"/>
        <v/>
      </c>
    </row>
    <row r="5497" spans="19:25">
      <c r="S5497" t="str">
        <f t="shared" si="0"/>
        <v/>
      </c>
      <c r="T5497" t="str">
        <f t="shared" si="1"/>
        <v/>
      </c>
      <c r="U5497" t="str">
        <f t="shared" si="2"/>
        <v/>
      </c>
      <c r="V5497" t="str">
        <f>IF(OR(U5497="",U5497="ERRO_CHAVE"),"",IFERROR(MATCH(U5497,Fornecedores!$AF$1:$AF$6631,0),""))</f>
        <v/>
      </c>
      <c r="W5497" t="str">
        <f t="shared" si="3"/>
        <v/>
      </c>
      <c r="X5497" s="4" t="str">
        <f>IF(V5497="","",INDEX(Fornecedores!$X$1:$X$6631,V5497))</f>
        <v/>
      </c>
      <c r="Y5497" s="4" t="str">
        <f t="shared" si="4"/>
        <v/>
      </c>
    </row>
    <row r="5498" spans="19:25">
      <c r="S5498" t="str">
        <f t="shared" si="0"/>
        <v/>
      </c>
      <c r="T5498" t="str">
        <f t="shared" si="1"/>
        <v/>
      </c>
      <c r="U5498" t="str">
        <f t="shared" si="2"/>
        <v/>
      </c>
      <c r="V5498" t="str">
        <f>IF(OR(U5498="",U5498="ERRO_CHAVE"),"",IFERROR(MATCH(U5498,Fornecedores!$AF$1:$AF$6631,0),""))</f>
        <v/>
      </c>
      <c r="W5498" t="str">
        <f t="shared" si="3"/>
        <v/>
      </c>
      <c r="X5498" s="4" t="str">
        <f>IF(V5498="","",INDEX(Fornecedores!$X$1:$X$6631,V5498))</f>
        <v/>
      </c>
      <c r="Y5498" s="4" t="str">
        <f t="shared" si="4"/>
        <v/>
      </c>
    </row>
    <row r="5499" spans="19:25">
      <c r="S5499" t="str">
        <f t="shared" si="0"/>
        <v/>
      </c>
      <c r="T5499" t="str">
        <f t="shared" si="1"/>
        <v/>
      </c>
      <c r="U5499" t="str">
        <f t="shared" si="2"/>
        <v/>
      </c>
      <c r="V5499" t="str">
        <f>IF(OR(U5499="",U5499="ERRO_CHAVE"),"",IFERROR(MATCH(U5499,Fornecedores!$AF$1:$AF$6631,0),""))</f>
        <v/>
      </c>
      <c r="W5499" t="str">
        <f t="shared" si="3"/>
        <v/>
      </c>
      <c r="X5499" s="4" t="str">
        <f>IF(V5499="","",INDEX(Fornecedores!$X$1:$X$6631,V5499))</f>
        <v/>
      </c>
      <c r="Y5499" s="4" t="str">
        <f t="shared" si="4"/>
        <v/>
      </c>
    </row>
    <row r="5500" spans="19:25">
      <c r="S5500" t="str">
        <f t="shared" si="0"/>
        <v/>
      </c>
      <c r="T5500" t="str">
        <f t="shared" si="1"/>
        <v/>
      </c>
      <c r="U5500" t="str">
        <f t="shared" si="2"/>
        <v/>
      </c>
      <c r="V5500" t="str">
        <f>IF(OR(U5500="",U5500="ERRO_CHAVE"),"",IFERROR(MATCH(U5500,Fornecedores!$AF$1:$AF$6631,0),""))</f>
        <v/>
      </c>
      <c r="W5500" t="str">
        <f t="shared" si="3"/>
        <v/>
      </c>
      <c r="X5500" s="4" t="str">
        <f>IF(V5500="","",INDEX(Fornecedores!$X$1:$X$6631,V5500))</f>
        <v/>
      </c>
      <c r="Y5500" s="4" t="str">
        <f t="shared" si="4"/>
        <v/>
      </c>
    </row>
    <row r="5501" spans="19:25">
      <c r="S5501" t="str">
        <f t="shared" si="0"/>
        <v/>
      </c>
      <c r="T5501" t="str">
        <f t="shared" si="1"/>
        <v/>
      </c>
      <c r="U5501" t="str">
        <f t="shared" si="2"/>
        <v/>
      </c>
      <c r="V5501" t="str">
        <f>IF(OR(U5501="",U5501="ERRO_CHAVE"),"",IFERROR(MATCH(U5501,Fornecedores!$AF$1:$AF$6631,0),""))</f>
        <v/>
      </c>
      <c r="W5501" t="str">
        <f t="shared" si="3"/>
        <v/>
      </c>
      <c r="X5501" s="4" t="str">
        <f>IF(V5501="","",INDEX(Fornecedores!$X$1:$X$6631,V5501))</f>
        <v/>
      </c>
      <c r="Y5501" s="4" t="str">
        <f t="shared" si="4"/>
        <v/>
      </c>
    </row>
    <row r="5502" spans="19:25">
      <c r="S5502" t="str">
        <f t="shared" si="0"/>
        <v/>
      </c>
      <c r="T5502" t="str">
        <f t="shared" si="1"/>
        <v/>
      </c>
      <c r="U5502" t="str">
        <f t="shared" si="2"/>
        <v/>
      </c>
      <c r="V5502" t="str">
        <f>IF(OR(U5502="",U5502="ERRO_CHAVE"),"",IFERROR(MATCH(U5502,Fornecedores!$AF$1:$AF$6631,0),""))</f>
        <v/>
      </c>
      <c r="W5502" t="str">
        <f t="shared" si="3"/>
        <v/>
      </c>
      <c r="X5502" s="4" t="str">
        <f>IF(V5502="","",INDEX(Fornecedores!$X$1:$X$6631,V5502))</f>
        <v/>
      </c>
      <c r="Y5502" s="4" t="str">
        <f t="shared" si="4"/>
        <v/>
      </c>
    </row>
    <row r="5503" spans="19:25">
      <c r="S5503" t="str">
        <f t="shared" si="0"/>
        <v/>
      </c>
      <c r="T5503" t="str">
        <f t="shared" si="1"/>
        <v/>
      </c>
      <c r="U5503" t="str">
        <f t="shared" si="2"/>
        <v/>
      </c>
      <c r="V5503" t="str">
        <f>IF(OR(U5503="",U5503="ERRO_CHAVE"),"",IFERROR(MATCH(U5503,Fornecedores!$AF$1:$AF$6631,0),""))</f>
        <v/>
      </c>
      <c r="W5503" t="str">
        <f t="shared" si="3"/>
        <v/>
      </c>
      <c r="X5503" s="4" t="str">
        <f>IF(V5503="","",INDEX(Fornecedores!$X$1:$X$6631,V5503))</f>
        <v/>
      </c>
      <c r="Y5503" s="4" t="str">
        <f t="shared" si="4"/>
        <v/>
      </c>
    </row>
    <row r="5504" spans="19:25">
      <c r="S5504" t="str">
        <f t="shared" si="0"/>
        <v/>
      </c>
      <c r="T5504" t="str">
        <f t="shared" si="1"/>
        <v/>
      </c>
      <c r="U5504" t="str">
        <f t="shared" si="2"/>
        <v/>
      </c>
      <c r="V5504" t="str">
        <f>IF(OR(U5504="",U5504="ERRO_CHAVE"),"",IFERROR(MATCH(U5504,Fornecedores!$AF$1:$AF$6631,0),""))</f>
        <v/>
      </c>
      <c r="W5504" t="str">
        <f t="shared" si="3"/>
        <v/>
      </c>
      <c r="X5504" s="4" t="str">
        <f>IF(V5504="","",INDEX(Fornecedores!$X$1:$X$6631,V5504))</f>
        <v/>
      </c>
      <c r="Y5504" s="4" t="str">
        <f t="shared" si="4"/>
        <v/>
      </c>
    </row>
    <row r="5505" spans="19:25">
      <c r="S5505" t="str">
        <f t="shared" si="0"/>
        <v/>
      </c>
      <c r="T5505" t="str">
        <f t="shared" si="1"/>
        <v/>
      </c>
      <c r="U5505" t="str">
        <f t="shared" si="2"/>
        <v/>
      </c>
      <c r="V5505" t="str">
        <f>IF(OR(U5505="",U5505="ERRO_CHAVE"),"",IFERROR(MATCH(U5505,Fornecedores!$AF$1:$AF$6631,0),""))</f>
        <v/>
      </c>
      <c r="W5505" t="str">
        <f t="shared" si="3"/>
        <v/>
      </c>
      <c r="X5505" s="4" t="str">
        <f>IF(V5505="","",INDEX(Fornecedores!$X$1:$X$6631,V5505))</f>
        <v/>
      </c>
      <c r="Y5505" s="4" t="str">
        <f t="shared" si="4"/>
        <v/>
      </c>
    </row>
    <row r="5506" spans="19:25">
      <c r="S5506" t="str">
        <f t="shared" si="0"/>
        <v/>
      </c>
      <c r="T5506" t="str">
        <f t="shared" si="1"/>
        <v/>
      </c>
      <c r="U5506" t="str">
        <f t="shared" si="2"/>
        <v/>
      </c>
      <c r="V5506" t="str">
        <f>IF(OR(U5506="",U5506="ERRO_CHAVE"),"",IFERROR(MATCH(U5506,Fornecedores!$AF$1:$AF$6631,0),""))</f>
        <v/>
      </c>
      <c r="W5506" t="str">
        <f t="shared" si="3"/>
        <v/>
      </c>
      <c r="X5506" s="4" t="str">
        <f>IF(V5506="","",INDEX(Fornecedores!$X$1:$X$6631,V5506))</f>
        <v/>
      </c>
      <c r="Y5506" s="4" t="str">
        <f t="shared" si="4"/>
        <v/>
      </c>
    </row>
    <row r="5507" spans="19:25">
      <c r="S5507" t="str">
        <f t="shared" si="0"/>
        <v/>
      </c>
      <c r="T5507" t="str">
        <f t="shared" si="1"/>
        <v/>
      </c>
      <c r="U5507" t="str">
        <f t="shared" si="2"/>
        <v/>
      </c>
      <c r="V5507" t="str">
        <f>IF(OR(U5507="",U5507="ERRO_CHAVE"),"",IFERROR(MATCH(U5507,Fornecedores!$AF$1:$AF$6631,0),""))</f>
        <v/>
      </c>
      <c r="W5507" t="str">
        <f t="shared" si="3"/>
        <v/>
      </c>
      <c r="X5507" s="4" t="str">
        <f>IF(V5507="","",INDEX(Fornecedores!$X$1:$X$6631,V5507))</f>
        <v/>
      </c>
      <c r="Y5507" s="4" t="str">
        <f t="shared" si="4"/>
        <v/>
      </c>
    </row>
    <row r="5508" spans="19:25">
      <c r="S5508" t="str">
        <f t="shared" si="0"/>
        <v/>
      </c>
      <c r="T5508" t="str">
        <f t="shared" si="1"/>
        <v/>
      </c>
      <c r="U5508" t="str">
        <f t="shared" si="2"/>
        <v/>
      </c>
      <c r="V5508" t="str">
        <f>IF(OR(U5508="",U5508="ERRO_CHAVE"),"",IFERROR(MATCH(U5508,Fornecedores!$AF$1:$AF$6631,0),""))</f>
        <v/>
      </c>
      <c r="W5508" t="str">
        <f t="shared" si="3"/>
        <v/>
      </c>
      <c r="X5508" s="4" t="str">
        <f>IF(V5508="","",INDEX(Fornecedores!$X$1:$X$6631,V5508))</f>
        <v/>
      </c>
      <c r="Y5508" s="4" t="str">
        <f t="shared" si="4"/>
        <v/>
      </c>
    </row>
    <row r="5509" spans="19:25">
      <c r="S5509" t="str">
        <f t="shared" si="0"/>
        <v/>
      </c>
      <c r="T5509" t="str">
        <f t="shared" si="1"/>
        <v/>
      </c>
      <c r="U5509" t="str">
        <f t="shared" si="2"/>
        <v/>
      </c>
      <c r="V5509" t="str">
        <f>IF(OR(U5509="",U5509="ERRO_CHAVE"),"",IFERROR(MATCH(U5509,Fornecedores!$AF$1:$AF$6631,0),""))</f>
        <v/>
      </c>
      <c r="W5509" t="str">
        <f t="shared" si="3"/>
        <v/>
      </c>
      <c r="X5509" s="4" t="str">
        <f>IF(V5509="","",INDEX(Fornecedores!$X$1:$X$6631,V5509))</f>
        <v/>
      </c>
      <c r="Y5509" s="4" t="str">
        <f t="shared" si="4"/>
        <v/>
      </c>
    </row>
    <row r="5510" spans="19:25">
      <c r="S5510" t="str">
        <f t="shared" si="0"/>
        <v/>
      </c>
      <c r="T5510" t="str">
        <f t="shared" si="1"/>
        <v/>
      </c>
      <c r="U5510" t="str">
        <f t="shared" si="2"/>
        <v/>
      </c>
      <c r="V5510" t="str">
        <f>IF(OR(U5510="",U5510="ERRO_CHAVE"),"",IFERROR(MATCH(U5510,Fornecedores!$AF$1:$AF$6631,0),""))</f>
        <v/>
      </c>
      <c r="W5510" t="str">
        <f t="shared" si="3"/>
        <v/>
      </c>
      <c r="X5510" s="4" t="str">
        <f>IF(V5510="","",INDEX(Fornecedores!$X$1:$X$6631,V5510))</f>
        <v/>
      </c>
      <c r="Y5510" s="4" t="str">
        <f t="shared" si="4"/>
        <v/>
      </c>
    </row>
    <row r="5511" spans="19:25">
      <c r="S5511" t="str">
        <f t="shared" si="0"/>
        <v/>
      </c>
      <c r="T5511" t="str">
        <f t="shared" si="1"/>
        <v/>
      </c>
      <c r="U5511" t="str">
        <f t="shared" si="2"/>
        <v/>
      </c>
      <c r="V5511" t="str">
        <f>IF(OR(U5511="",U5511="ERRO_CHAVE"),"",IFERROR(MATCH(U5511,Fornecedores!$AF$1:$AF$6631,0),""))</f>
        <v/>
      </c>
      <c r="W5511" t="str">
        <f t="shared" si="3"/>
        <v/>
      </c>
      <c r="X5511" s="4" t="str">
        <f>IF(V5511="","",INDEX(Fornecedores!$X$1:$X$6631,V5511))</f>
        <v/>
      </c>
      <c r="Y5511" s="4" t="str">
        <f t="shared" si="4"/>
        <v/>
      </c>
    </row>
    <row r="5512" spans="19:25">
      <c r="S5512" t="str">
        <f t="shared" si="0"/>
        <v/>
      </c>
      <c r="T5512" t="str">
        <f t="shared" si="1"/>
        <v/>
      </c>
      <c r="U5512" t="str">
        <f t="shared" si="2"/>
        <v/>
      </c>
      <c r="V5512" t="str">
        <f>IF(OR(U5512="",U5512="ERRO_CHAVE"),"",IFERROR(MATCH(U5512,Fornecedores!$AF$1:$AF$6631,0),""))</f>
        <v/>
      </c>
      <c r="W5512" t="str">
        <f t="shared" si="3"/>
        <v/>
      </c>
      <c r="X5512" s="4" t="str">
        <f>IF(V5512="","",INDEX(Fornecedores!$X$1:$X$6631,V5512))</f>
        <v/>
      </c>
      <c r="Y5512" s="4" t="str">
        <f t="shared" si="4"/>
        <v/>
      </c>
    </row>
    <row r="5513" spans="19:25">
      <c r="S5513" t="str">
        <f t="shared" si="0"/>
        <v/>
      </c>
      <c r="T5513" t="str">
        <f t="shared" si="1"/>
        <v/>
      </c>
      <c r="U5513" t="str">
        <f t="shared" si="2"/>
        <v/>
      </c>
      <c r="V5513" t="str">
        <f>IF(OR(U5513="",U5513="ERRO_CHAVE"),"",IFERROR(MATCH(U5513,Fornecedores!$AF$1:$AF$6631,0),""))</f>
        <v/>
      </c>
      <c r="W5513" t="str">
        <f t="shared" si="3"/>
        <v/>
      </c>
      <c r="X5513" s="4" t="str">
        <f>IF(V5513="","",INDEX(Fornecedores!$X$1:$X$6631,V5513))</f>
        <v/>
      </c>
      <c r="Y5513" s="4" t="str">
        <f t="shared" si="4"/>
        <v/>
      </c>
    </row>
    <row r="5514" spans="19:25">
      <c r="S5514" t="str">
        <f t="shared" si="0"/>
        <v/>
      </c>
      <c r="T5514" t="str">
        <f t="shared" si="1"/>
        <v/>
      </c>
      <c r="U5514" t="str">
        <f t="shared" si="2"/>
        <v/>
      </c>
      <c r="V5514" t="str">
        <f>IF(OR(U5514="",U5514="ERRO_CHAVE"),"",IFERROR(MATCH(U5514,Fornecedores!$AF$1:$AF$6631,0),""))</f>
        <v/>
      </c>
      <c r="W5514" t="str">
        <f t="shared" si="3"/>
        <v/>
      </c>
      <c r="X5514" s="4" t="str">
        <f>IF(V5514="","",INDEX(Fornecedores!$X$1:$X$6631,V5514))</f>
        <v/>
      </c>
      <c r="Y5514" s="4" t="str">
        <f t="shared" si="4"/>
        <v/>
      </c>
    </row>
    <row r="5515" spans="19:25">
      <c r="S5515" t="str">
        <f t="shared" si="0"/>
        <v/>
      </c>
      <c r="T5515" t="str">
        <f t="shared" si="1"/>
        <v/>
      </c>
      <c r="U5515" t="str">
        <f t="shared" si="2"/>
        <v/>
      </c>
      <c r="V5515" t="str">
        <f>IF(OR(U5515="",U5515="ERRO_CHAVE"),"",IFERROR(MATCH(U5515,Fornecedores!$AF$1:$AF$6631,0),""))</f>
        <v/>
      </c>
      <c r="W5515" t="str">
        <f t="shared" si="3"/>
        <v/>
      </c>
      <c r="X5515" s="4" t="str">
        <f>IF(V5515="","",INDEX(Fornecedores!$X$1:$X$6631,V5515))</f>
        <v/>
      </c>
      <c r="Y5515" s="4" t="str">
        <f t="shared" si="4"/>
        <v/>
      </c>
    </row>
    <row r="5516" spans="19:25">
      <c r="S5516" t="str">
        <f t="shared" si="0"/>
        <v/>
      </c>
      <c r="T5516" t="str">
        <f t="shared" si="1"/>
        <v/>
      </c>
      <c r="U5516" t="str">
        <f t="shared" si="2"/>
        <v/>
      </c>
      <c r="V5516" t="str">
        <f>IF(OR(U5516="",U5516="ERRO_CHAVE"),"",IFERROR(MATCH(U5516,Fornecedores!$AF$1:$AF$6631,0),""))</f>
        <v/>
      </c>
      <c r="W5516" t="str">
        <f t="shared" si="3"/>
        <v/>
      </c>
      <c r="X5516" s="4" t="str">
        <f>IF(V5516="","",INDEX(Fornecedores!$X$1:$X$6631,V5516))</f>
        <v/>
      </c>
      <c r="Y5516" s="4" t="str">
        <f t="shared" si="4"/>
        <v/>
      </c>
    </row>
    <row r="5517" spans="19:25">
      <c r="S5517" t="str">
        <f t="shared" si="0"/>
        <v/>
      </c>
      <c r="T5517" t="str">
        <f t="shared" si="1"/>
        <v/>
      </c>
      <c r="U5517" t="str">
        <f t="shared" si="2"/>
        <v/>
      </c>
      <c r="V5517" t="str">
        <f>IF(OR(U5517="",U5517="ERRO_CHAVE"),"",IFERROR(MATCH(U5517,Fornecedores!$AF$1:$AF$6631,0),""))</f>
        <v/>
      </c>
      <c r="W5517" t="str">
        <f t="shared" si="3"/>
        <v/>
      </c>
      <c r="X5517" s="4" t="str">
        <f>IF(V5517="","",INDEX(Fornecedores!$X$1:$X$6631,V5517))</f>
        <v/>
      </c>
      <c r="Y5517" s="4" t="str">
        <f t="shared" si="4"/>
        <v/>
      </c>
    </row>
    <row r="5518" spans="19:25">
      <c r="S5518" t="str">
        <f t="shared" si="0"/>
        <v/>
      </c>
      <c r="T5518" t="str">
        <f t="shared" si="1"/>
        <v/>
      </c>
      <c r="U5518" t="str">
        <f t="shared" si="2"/>
        <v/>
      </c>
      <c r="V5518" t="str">
        <f>IF(OR(U5518="",U5518="ERRO_CHAVE"),"",IFERROR(MATCH(U5518,Fornecedores!$AF$1:$AF$6631,0),""))</f>
        <v/>
      </c>
      <c r="W5518" t="str">
        <f t="shared" si="3"/>
        <v/>
      </c>
      <c r="X5518" s="4" t="str">
        <f>IF(V5518="","",INDEX(Fornecedores!$X$1:$X$6631,V5518))</f>
        <v/>
      </c>
      <c r="Y5518" s="4" t="str">
        <f t="shared" si="4"/>
        <v/>
      </c>
    </row>
    <row r="5519" spans="19:25">
      <c r="S5519" t="str">
        <f t="shared" si="0"/>
        <v/>
      </c>
      <c r="T5519" t="str">
        <f t="shared" si="1"/>
        <v/>
      </c>
      <c r="U5519" t="str">
        <f t="shared" si="2"/>
        <v/>
      </c>
      <c r="V5519" t="str">
        <f>IF(OR(U5519="",U5519="ERRO_CHAVE"),"",IFERROR(MATCH(U5519,Fornecedores!$AF$1:$AF$6631,0),""))</f>
        <v/>
      </c>
      <c r="W5519" t="str">
        <f t="shared" si="3"/>
        <v/>
      </c>
      <c r="X5519" s="4" t="str">
        <f>IF(V5519="","",INDEX(Fornecedores!$X$1:$X$6631,V5519))</f>
        <v/>
      </c>
      <c r="Y5519" s="4" t="str">
        <f t="shared" si="4"/>
        <v/>
      </c>
    </row>
    <row r="5520" spans="19:25">
      <c r="S5520" t="str">
        <f t="shared" si="0"/>
        <v/>
      </c>
      <c r="T5520" t="str">
        <f t="shared" si="1"/>
        <v/>
      </c>
      <c r="U5520" t="str">
        <f t="shared" si="2"/>
        <v/>
      </c>
      <c r="V5520" t="str">
        <f>IF(OR(U5520="",U5520="ERRO_CHAVE"),"",IFERROR(MATCH(U5520,Fornecedores!$AF$1:$AF$6631,0),""))</f>
        <v/>
      </c>
      <c r="W5520" t="str">
        <f t="shared" si="3"/>
        <v/>
      </c>
      <c r="X5520" s="4" t="str">
        <f>IF(V5520="","",INDEX(Fornecedores!$X$1:$X$6631,V5520))</f>
        <v/>
      </c>
      <c r="Y5520" s="4" t="str">
        <f t="shared" si="4"/>
        <v/>
      </c>
    </row>
    <row r="5521" spans="19:25">
      <c r="S5521" t="str">
        <f t="shared" si="0"/>
        <v/>
      </c>
      <c r="T5521" t="str">
        <f t="shared" si="1"/>
        <v/>
      </c>
      <c r="U5521" t="str">
        <f t="shared" si="2"/>
        <v/>
      </c>
      <c r="V5521" t="str">
        <f>IF(OR(U5521="",U5521="ERRO_CHAVE"),"",IFERROR(MATCH(U5521,Fornecedores!$AF$1:$AF$6631,0),""))</f>
        <v/>
      </c>
      <c r="W5521" t="str">
        <f t="shared" si="3"/>
        <v/>
      </c>
      <c r="X5521" s="4" t="str">
        <f>IF(V5521="","",INDEX(Fornecedores!$X$1:$X$6631,V5521))</f>
        <v/>
      </c>
      <c r="Y5521" s="4" t="str">
        <f t="shared" si="4"/>
        <v/>
      </c>
    </row>
    <row r="5522" spans="19:25">
      <c r="S5522" t="str">
        <f t="shared" si="0"/>
        <v/>
      </c>
      <c r="T5522" t="str">
        <f t="shared" si="1"/>
        <v/>
      </c>
      <c r="U5522" t="str">
        <f t="shared" si="2"/>
        <v/>
      </c>
      <c r="V5522" t="str">
        <f>IF(OR(U5522="",U5522="ERRO_CHAVE"),"",IFERROR(MATCH(U5522,Fornecedores!$AF$1:$AF$6631,0),""))</f>
        <v/>
      </c>
      <c r="W5522" t="str">
        <f t="shared" si="3"/>
        <v/>
      </c>
      <c r="X5522" s="4" t="str">
        <f>IF(V5522="","",INDEX(Fornecedores!$X$1:$X$6631,V5522))</f>
        <v/>
      </c>
      <c r="Y5522" s="4" t="str">
        <f t="shared" si="4"/>
        <v/>
      </c>
    </row>
    <row r="5523" spans="19:25">
      <c r="S5523" t="str">
        <f t="shared" si="0"/>
        <v/>
      </c>
      <c r="T5523" t="str">
        <f t="shared" si="1"/>
        <v/>
      </c>
      <c r="U5523" t="str">
        <f t="shared" si="2"/>
        <v/>
      </c>
      <c r="V5523" t="str">
        <f>IF(OR(U5523="",U5523="ERRO_CHAVE"),"",IFERROR(MATCH(U5523,Fornecedores!$AF$1:$AF$6631,0),""))</f>
        <v/>
      </c>
      <c r="W5523" t="str">
        <f t="shared" si="3"/>
        <v/>
      </c>
      <c r="X5523" s="4" t="str">
        <f>IF(V5523="","",INDEX(Fornecedores!$X$1:$X$6631,V5523))</f>
        <v/>
      </c>
      <c r="Y5523" s="4" t="str">
        <f t="shared" si="4"/>
        <v/>
      </c>
    </row>
    <row r="5524" spans="19:25">
      <c r="S5524" t="str">
        <f t="shared" si="0"/>
        <v/>
      </c>
      <c r="T5524" t="str">
        <f t="shared" si="1"/>
        <v/>
      </c>
      <c r="U5524" t="str">
        <f t="shared" si="2"/>
        <v/>
      </c>
      <c r="V5524" t="str">
        <f>IF(OR(U5524="",U5524="ERRO_CHAVE"),"",IFERROR(MATCH(U5524,Fornecedores!$AF$1:$AF$6631,0),""))</f>
        <v/>
      </c>
      <c r="W5524" t="str">
        <f t="shared" si="3"/>
        <v/>
      </c>
      <c r="X5524" s="4" t="str">
        <f>IF(V5524="","",INDEX(Fornecedores!$X$1:$X$6631,V5524))</f>
        <v/>
      </c>
      <c r="Y5524" s="4" t="str">
        <f t="shared" si="4"/>
        <v/>
      </c>
    </row>
    <row r="5525" spans="19:25">
      <c r="S5525" t="str">
        <f t="shared" si="0"/>
        <v/>
      </c>
      <c r="T5525" t="str">
        <f t="shared" si="1"/>
        <v/>
      </c>
      <c r="U5525" t="str">
        <f t="shared" si="2"/>
        <v/>
      </c>
      <c r="V5525" t="str">
        <f>IF(OR(U5525="",U5525="ERRO_CHAVE"),"",IFERROR(MATCH(U5525,Fornecedores!$AF$1:$AF$6631,0),""))</f>
        <v/>
      </c>
      <c r="W5525" t="str">
        <f t="shared" si="3"/>
        <v/>
      </c>
      <c r="X5525" s="4" t="str">
        <f>IF(V5525="","",INDEX(Fornecedores!$X$1:$X$6631,V5525))</f>
        <v/>
      </c>
      <c r="Y5525" s="4" t="str">
        <f t="shared" si="4"/>
        <v/>
      </c>
    </row>
    <row r="5526" spans="19:25">
      <c r="S5526" t="str">
        <f t="shared" si="0"/>
        <v/>
      </c>
      <c r="T5526" t="str">
        <f t="shared" si="1"/>
        <v/>
      </c>
      <c r="U5526" t="str">
        <f t="shared" si="2"/>
        <v/>
      </c>
      <c r="V5526" t="str">
        <f>IF(OR(U5526="",U5526="ERRO_CHAVE"),"",IFERROR(MATCH(U5526,Fornecedores!$AF$1:$AF$6631,0),""))</f>
        <v/>
      </c>
      <c r="W5526" t="str">
        <f t="shared" si="3"/>
        <v/>
      </c>
      <c r="X5526" s="4" t="str">
        <f>IF(V5526="","",INDEX(Fornecedores!$X$1:$X$6631,V5526))</f>
        <v/>
      </c>
      <c r="Y5526" s="4" t="str">
        <f t="shared" si="4"/>
        <v/>
      </c>
    </row>
    <row r="5527" spans="19:25">
      <c r="S5527" t="str">
        <f t="shared" si="0"/>
        <v/>
      </c>
      <c r="T5527" t="str">
        <f t="shared" si="1"/>
        <v/>
      </c>
      <c r="U5527" t="str">
        <f t="shared" si="2"/>
        <v/>
      </c>
      <c r="V5527" t="str">
        <f>IF(OR(U5527="",U5527="ERRO_CHAVE"),"",IFERROR(MATCH(U5527,Fornecedores!$AF$1:$AF$6631,0),""))</f>
        <v/>
      </c>
      <c r="W5527" t="str">
        <f t="shared" si="3"/>
        <v/>
      </c>
      <c r="X5527" s="4" t="str">
        <f>IF(V5527="","",INDEX(Fornecedores!$X$1:$X$6631,V5527))</f>
        <v/>
      </c>
      <c r="Y5527" s="4" t="str">
        <f t="shared" si="4"/>
        <v/>
      </c>
    </row>
    <row r="5528" spans="19:25">
      <c r="S5528" t="str">
        <f t="shared" si="0"/>
        <v/>
      </c>
      <c r="T5528" t="str">
        <f t="shared" si="1"/>
        <v/>
      </c>
      <c r="U5528" t="str">
        <f t="shared" si="2"/>
        <v/>
      </c>
      <c r="V5528" t="str">
        <f>IF(OR(U5528="",U5528="ERRO_CHAVE"),"",IFERROR(MATCH(U5528,Fornecedores!$AF$1:$AF$6631,0),""))</f>
        <v/>
      </c>
      <c r="W5528" t="str">
        <f t="shared" si="3"/>
        <v/>
      </c>
      <c r="X5528" s="4" t="str">
        <f>IF(V5528="","",INDEX(Fornecedores!$X$1:$X$6631,V5528))</f>
        <v/>
      </c>
      <c r="Y5528" s="4" t="str">
        <f t="shared" si="4"/>
        <v/>
      </c>
    </row>
    <row r="5529" spans="19:25">
      <c r="S5529" t="str">
        <f t="shared" si="0"/>
        <v/>
      </c>
      <c r="T5529" t="str">
        <f t="shared" si="1"/>
        <v/>
      </c>
      <c r="U5529" t="str">
        <f t="shared" si="2"/>
        <v/>
      </c>
      <c r="V5529" t="str">
        <f>IF(OR(U5529="",U5529="ERRO_CHAVE"),"",IFERROR(MATCH(U5529,Fornecedores!$AF$1:$AF$6631,0),""))</f>
        <v/>
      </c>
      <c r="W5529" t="str">
        <f t="shared" si="3"/>
        <v/>
      </c>
      <c r="X5529" s="4" t="str">
        <f>IF(V5529="","",INDEX(Fornecedores!$X$1:$X$6631,V5529))</f>
        <v/>
      </c>
      <c r="Y5529" s="4" t="str">
        <f t="shared" si="4"/>
        <v/>
      </c>
    </row>
    <row r="5530" spans="19:25">
      <c r="S5530" t="str">
        <f t="shared" si="0"/>
        <v/>
      </c>
      <c r="T5530" t="str">
        <f t="shared" si="1"/>
        <v/>
      </c>
      <c r="U5530" t="str">
        <f t="shared" si="2"/>
        <v/>
      </c>
      <c r="V5530" t="str">
        <f>IF(OR(U5530="",U5530="ERRO_CHAVE"),"",IFERROR(MATCH(U5530,Fornecedores!$AF$1:$AF$6631,0),""))</f>
        <v/>
      </c>
      <c r="W5530" t="str">
        <f t="shared" si="3"/>
        <v/>
      </c>
      <c r="X5530" s="4" t="str">
        <f>IF(V5530="","",INDEX(Fornecedores!$X$1:$X$6631,V5530))</f>
        <v/>
      </c>
      <c r="Y5530" s="4" t="str">
        <f t="shared" si="4"/>
        <v/>
      </c>
    </row>
    <row r="5531" spans="19:25">
      <c r="S5531" t="str">
        <f t="shared" si="0"/>
        <v/>
      </c>
      <c r="T5531" t="str">
        <f t="shared" si="1"/>
        <v/>
      </c>
      <c r="U5531" t="str">
        <f t="shared" si="2"/>
        <v/>
      </c>
      <c r="V5531" t="str">
        <f>IF(OR(U5531="",U5531="ERRO_CHAVE"),"",IFERROR(MATCH(U5531,Fornecedores!$AF$1:$AF$6631,0),""))</f>
        <v/>
      </c>
      <c r="W5531" t="str">
        <f t="shared" si="3"/>
        <v/>
      </c>
      <c r="X5531" s="4" t="str">
        <f>IF(V5531="","",INDEX(Fornecedores!$X$1:$X$6631,V5531))</f>
        <v/>
      </c>
      <c r="Y5531" s="4" t="str">
        <f t="shared" si="4"/>
        <v/>
      </c>
    </row>
    <row r="5532" spans="19:25">
      <c r="S5532" t="str">
        <f t="shared" si="0"/>
        <v/>
      </c>
      <c r="T5532" t="str">
        <f t="shared" si="1"/>
        <v/>
      </c>
      <c r="U5532" t="str">
        <f t="shared" si="2"/>
        <v/>
      </c>
      <c r="V5532" t="str">
        <f>IF(OR(U5532="",U5532="ERRO_CHAVE"),"",IFERROR(MATCH(U5532,Fornecedores!$AF$1:$AF$6631,0),""))</f>
        <v/>
      </c>
      <c r="W5532" t="str">
        <f t="shared" si="3"/>
        <v/>
      </c>
      <c r="X5532" s="4" t="str">
        <f>IF(V5532="","",INDEX(Fornecedores!$X$1:$X$6631,V5532))</f>
        <v/>
      </c>
      <c r="Y5532" s="4" t="str">
        <f t="shared" si="4"/>
        <v/>
      </c>
    </row>
    <row r="5533" spans="19:25">
      <c r="S5533" t="str">
        <f t="shared" si="0"/>
        <v/>
      </c>
      <c r="T5533" t="str">
        <f t="shared" si="1"/>
        <v/>
      </c>
      <c r="U5533" t="str">
        <f t="shared" si="2"/>
        <v/>
      </c>
      <c r="V5533" t="str">
        <f>IF(OR(U5533="",U5533="ERRO_CHAVE"),"",IFERROR(MATCH(U5533,Fornecedores!$AF$1:$AF$6631,0),""))</f>
        <v/>
      </c>
      <c r="W5533" t="str">
        <f t="shared" si="3"/>
        <v/>
      </c>
      <c r="X5533" s="4" t="str">
        <f>IF(V5533="","",INDEX(Fornecedores!$X$1:$X$6631,V5533))</f>
        <v/>
      </c>
      <c r="Y5533" s="4" t="str">
        <f t="shared" si="4"/>
        <v/>
      </c>
    </row>
    <row r="5534" spans="19:25">
      <c r="S5534" t="str">
        <f t="shared" si="0"/>
        <v/>
      </c>
      <c r="T5534" t="str">
        <f t="shared" si="1"/>
        <v/>
      </c>
      <c r="U5534" t="str">
        <f t="shared" si="2"/>
        <v/>
      </c>
      <c r="V5534" t="str">
        <f>IF(OR(U5534="",U5534="ERRO_CHAVE"),"",IFERROR(MATCH(U5534,Fornecedores!$AF$1:$AF$6631,0),""))</f>
        <v/>
      </c>
      <c r="W5534" t="str">
        <f t="shared" si="3"/>
        <v/>
      </c>
      <c r="X5534" s="4" t="str">
        <f>IF(V5534="","",INDEX(Fornecedores!$X$1:$X$6631,V5534))</f>
        <v/>
      </c>
      <c r="Y5534" s="4" t="str">
        <f t="shared" si="4"/>
        <v/>
      </c>
    </row>
    <row r="5535" spans="19:25">
      <c r="S5535" t="str">
        <f t="shared" si="0"/>
        <v/>
      </c>
      <c r="T5535" t="str">
        <f t="shared" si="1"/>
        <v/>
      </c>
      <c r="U5535" t="str">
        <f t="shared" si="2"/>
        <v/>
      </c>
      <c r="V5535" t="str">
        <f>IF(OR(U5535="",U5535="ERRO_CHAVE"),"",IFERROR(MATCH(U5535,Fornecedores!$AF$1:$AF$6631,0),""))</f>
        <v/>
      </c>
      <c r="W5535" t="str">
        <f t="shared" si="3"/>
        <v/>
      </c>
      <c r="X5535" s="4" t="str">
        <f>IF(V5535="","",INDEX(Fornecedores!$X$1:$X$6631,V5535))</f>
        <v/>
      </c>
      <c r="Y5535" s="4" t="str">
        <f t="shared" si="4"/>
        <v/>
      </c>
    </row>
    <row r="5536" spans="19:25">
      <c r="S5536" t="str">
        <f t="shared" si="0"/>
        <v/>
      </c>
      <c r="T5536" t="str">
        <f t="shared" si="1"/>
        <v/>
      </c>
      <c r="U5536" t="str">
        <f t="shared" si="2"/>
        <v/>
      </c>
      <c r="V5536" t="str">
        <f>IF(OR(U5536="",U5536="ERRO_CHAVE"),"",IFERROR(MATCH(U5536,Fornecedores!$AF$1:$AF$6631,0),""))</f>
        <v/>
      </c>
      <c r="W5536" t="str">
        <f t="shared" si="3"/>
        <v/>
      </c>
      <c r="X5536" s="4" t="str">
        <f>IF(V5536="","",INDEX(Fornecedores!$X$1:$X$6631,V5536))</f>
        <v/>
      </c>
      <c r="Y5536" s="4" t="str">
        <f t="shared" si="4"/>
        <v/>
      </c>
    </row>
    <row r="5537" spans="19:25">
      <c r="S5537" t="str">
        <f t="shared" si="0"/>
        <v/>
      </c>
      <c r="T5537" t="str">
        <f t="shared" si="1"/>
        <v/>
      </c>
      <c r="U5537" t="str">
        <f t="shared" si="2"/>
        <v/>
      </c>
      <c r="V5537" t="str">
        <f>IF(OR(U5537="",U5537="ERRO_CHAVE"),"",IFERROR(MATCH(U5537,Fornecedores!$AF$1:$AF$6631,0),""))</f>
        <v/>
      </c>
      <c r="W5537" t="str">
        <f t="shared" si="3"/>
        <v/>
      </c>
      <c r="X5537" s="4" t="str">
        <f>IF(V5537="","",INDEX(Fornecedores!$X$1:$X$6631,V5537))</f>
        <v/>
      </c>
      <c r="Y5537" s="4" t="str">
        <f t="shared" si="4"/>
        <v/>
      </c>
    </row>
    <row r="5538" spans="19:25">
      <c r="S5538" t="str">
        <f t="shared" si="0"/>
        <v/>
      </c>
      <c r="T5538" t="str">
        <f t="shared" si="1"/>
        <v/>
      </c>
      <c r="U5538" t="str">
        <f t="shared" si="2"/>
        <v/>
      </c>
      <c r="V5538" t="str">
        <f>IF(OR(U5538="",U5538="ERRO_CHAVE"),"",IFERROR(MATCH(U5538,Fornecedores!$AF$1:$AF$6631,0),""))</f>
        <v/>
      </c>
      <c r="W5538" t="str">
        <f t="shared" si="3"/>
        <v/>
      </c>
      <c r="X5538" s="4" t="str">
        <f>IF(V5538="","",INDEX(Fornecedores!$X$1:$X$6631,V5538))</f>
        <v/>
      </c>
      <c r="Y5538" s="4" t="str">
        <f t="shared" si="4"/>
        <v/>
      </c>
    </row>
    <row r="5539" spans="19:25">
      <c r="S5539" t="str">
        <f t="shared" si="0"/>
        <v/>
      </c>
      <c r="T5539" t="str">
        <f t="shared" si="1"/>
        <v/>
      </c>
      <c r="U5539" t="str">
        <f t="shared" si="2"/>
        <v/>
      </c>
      <c r="V5539" t="str">
        <f>IF(OR(U5539="",U5539="ERRO_CHAVE"),"",IFERROR(MATCH(U5539,Fornecedores!$AF$1:$AF$6631,0),""))</f>
        <v/>
      </c>
      <c r="W5539" t="str">
        <f t="shared" si="3"/>
        <v/>
      </c>
      <c r="X5539" s="4" t="str">
        <f>IF(V5539="","",INDEX(Fornecedores!$X$1:$X$6631,V5539))</f>
        <v/>
      </c>
      <c r="Y5539" s="4" t="str">
        <f t="shared" si="4"/>
        <v/>
      </c>
    </row>
    <row r="5540" spans="19:25">
      <c r="S5540" t="str">
        <f t="shared" si="0"/>
        <v/>
      </c>
      <c r="T5540" t="str">
        <f t="shared" si="1"/>
        <v/>
      </c>
      <c r="U5540" t="str">
        <f t="shared" si="2"/>
        <v/>
      </c>
      <c r="V5540" t="str">
        <f>IF(OR(U5540="",U5540="ERRO_CHAVE"),"",IFERROR(MATCH(U5540,Fornecedores!$AF$1:$AF$6631,0),""))</f>
        <v/>
      </c>
      <c r="W5540" t="str">
        <f t="shared" si="3"/>
        <v/>
      </c>
      <c r="X5540" s="4" t="str">
        <f>IF(V5540="","",INDEX(Fornecedores!$X$1:$X$6631,V5540))</f>
        <v/>
      </c>
      <c r="Y5540" s="4" t="str">
        <f t="shared" si="4"/>
        <v/>
      </c>
    </row>
    <row r="5541" spans="19:25">
      <c r="S5541" t="str">
        <f t="shared" si="0"/>
        <v/>
      </c>
      <c r="T5541" t="str">
        <f t="shared" si="1"/>
        <v/>
      </c>
      <c r="U5541" t="str">
        <f t="shared" si="2"/>
        <v/>
      </c>
      <c r="V5541" t="str">
        <f>IF(OR(U5541="",U5541="ERRO_CHAVE"),"",IFERROR(MATCH(U5541,Fornecedores!$AF$1:$AF$6631,0),""))</f>
        <v/>
      </c>
      <c r="W5541" t="str">
        <f t="shared" si="3"/>
        <v/>
      </c>
      <c r="X5541" s="4" t="str">
        <f>IF(V5541="","",INDEX(Fornecedores!$X$1:$X$6631,V5541))</f>
        <v/>
      </c>
      <c r="Y5541" s="4" t="str">
        <f t="shared" si="4"/>
        <v/>
      </c>
    </row>
    <row r="5542" spans="19:25">
      <c r="S5542" t="str">
        <f t="shared" si="0"/>
        <v/>
      </c>
      <c r="T5542" t="str">
        <f t="shared" si="1"/>
        <v/>
      </c>
      <c r="U5542" t="str">
        <f t="shared" si="2"/>
        <v/>
      </c>
      <c r="V5542" t="str">
        <f>IF(OR(U5542="",U5542="ERRO_CHAVE"),"",IFERROR(MATCH(U5542,Fornecedores!$AF$1:$AF$6631,0),""))</f>
        <v/>
      </c>
      <c r="W5542" t="str">
        <f t="shared" si="3"/>
        <v/>
      </c>
      <c r="X5542" s="4" t="str">
        <f>IF(V5542="","",INDEX(Fornecedores!$X$1:$X$6631,V5542))</f>
        <v/>
      </c>
      <c r="Y5542" s="4" t="str">
        <f t="shared" si="4"/>
        <v/>
      </c>
    </row>
    <row r="5543" spans="19:25">
      <c r="S5543" t="str">
        <f t="shared" si="0"/>
        <v/>
      </c>
      <c r="T5543" t="str">
        <f t="shared" si="1"/>
        <v/>
      </c>
      <c r="U5543" t="str">
        <f t="shared" si="2"/>
        <v/>
      </c>
      <c r="V5543" t="str">
        <f>IF(OR(U5543="",U5543="ERRO_CHAVE"),"",IFERROR(MATCH(U5543,Fornecedores!$AF$1:$AF$6631,0),""))</f>
        <v/>
      </c>
      <c r="W5543" t="str">
        <f t="shared" si="3"/>
        <v/>
      </c>
      <c r="X5543" s="4" t="str">
        <f>IF(V5543="","",INDEX(Fornecedores!$X$1:$X$6631,V5543))</f>
        <v/>
      </c>
      <c r="Y5543" s="4" t="str">
        <f t="shared" si="4"/>
        <v/>
      </c>
    </row>
    <row r="5544" spans="19:25">
      <c r="S5544" t="str">
        <f t="shared" si="0"/>
        <v/>
      </c>
      <c r="T5544" t="str">
        <f t="shared" si="1"/>
        <v/>
      </c>
      <c r="U5544" t="str">
        <f t="shared" si="2"/>
        <v/>
      </c>
      <c r="V5544" t="str">
        <f>IF(OR(U5544="",U5544="ERRO_CHAVE"),"",IFERROR(MATCH(U5544,Fornecedores!$AF$1:$AF$6631,0),""))</f>
        <v/>
      </c>
      <c r="W5544" t="str">
        <f t="shared" si="3"/>
        <v/>
      </c>
      <c r="X5544" s="4" t="str">
        <f>IF(V5544="","",INDEX(Fornecedores!$X$1:$X$6631,V5544))</f>
        <v/>
      </c>
      <c r="Y5544" s="4" t="str">
        <f t="shared" si="4"/>
        <v/>
      </c>
    </row>
    <row r="5545" spans="19:25">
      <c r="S5545" t="str">
        <f t="shared" si="0"/>
        <v/>
      </c>
      <c r="T5545" t="str">
        <f t="shared" si="1"/>
        <v/>
      </c>
      <c r="U5545" t="str">
        <f t="shared" si="2"/>
        <v/>
      </c>
      <c r="V5545" t="str">
        <f>IF(OR(U5545="",U5545="ERRO_CHAVE"),"",IFERROR(MATCH(U5545,Fornecedores!$AF$1:$AF$6631,0),""))</f>
        <v/>
      </c>
      <c r="W5545" t="str">
        <f t="shared" si="3"/>
        <v/>
      </c>
      <c r="X5545" s="4" t="str">
        <f>IF(V5545="","",INDEX(Fornecedores!$X$1:$X$6631,V5545))</f>
        <v/>
      </c>
      <c r="Y5545" s="4" t="str">
        <f t="shared" si="4"/>
        <v/>
      </c>
    </row>
    <row r="5546" spans="19:25">
      <c r="S5546" t="str">
        <f t="shared" si="0"/>
        <v/>
      </c>
      <c r="T5546" t="str">
        <f t="shared" si="1"/>
        <v/>
      </c>
      <c r="U5546" t="str">
        <f t="shared" si="2"/>
        <v/>
      </c>
      <c r="V5546" t="str">
        <f>IF(OR(U5546="",U5546="ERRO_CHAVE"),"",IFERROR(MATCH(U5546,Fornecedores!$AF$1:$AF$6631,0),""))</f>
        <v/>
      </c>
      <c r="W5546" t="str">
        <f t="shared" si="3"/>
        <v/>
      </c>
      <c r="X5546" s="4" t="str">
        <f>IF(V5546="","",INDEX(Fornecedores!$X$1:$X$6631,V5546))</f>
        <v/>
      </c>
      <c r="Y5546" s="4" t="str">
        <f t="shared" si="4"/>
        <v/>
      </c>
    </row>
    <row r="5547" spans="19:25">
      <c r="S5547" t="str">
        <f t="shared" si="0"/>
        <v/>
      </c>
      <c r="T5547" t="str">
        <f t="shared" si="1"/>
        <v/>
      </c>
      <c r="U5547" t="str">
        <f t="shared" si="2"/>
        <v/>
      </c>
      <c r="V5547" t="str">
        <f>IF(OR(U5547="",U5547="ERRO_CHAVE"),"",IFERROR(MATCH(U5547,Fornecedores!$AF$1:$AF$6631,0),""))</f>
        <v/>
      </c>
      <c r="W5547" t="str">
        <f t="shared" si="3"/>
        <v/>
      </c>
      <c r="X5547" s="4" t="str">
        <f>IF(V5547="","",INDEX(Fornecedores!$X$1:$X$6631,V5547))</f>
        <v/>
      </c>
      <c r="Y5547" s="4" t="str">
        <f t="shared" si="4"/>
        <v/>
      </c>
    </row>
    <row r="5548" spans="19:25">
      <c r="S5548" t="str">
        <f t="shared" si="0"/>
        <v/>
      </c>
      <c r="T5548" t="str">
        <f t="shared" si="1"/>
        <v/>
      </c>
      <c r="U5548" t="str">
        <f t="shared" si="2"/>
        <v/>
      </c>
      <c r="V5548" t="str">
        <f>IF(OR(U5548="",U5548="ERRO_CHAVE"),"",IFERROR(MATCH(U5548,Fornecedores!$AF$1:$AF$6631,0),""))</f>
        <v/>
      </c>
      <c r="W5548" t="str">
        <f t="shared" si="3"/>
        <v/>
      </c>
      <c r="X5548" s="4" t="str">
        <f>IF(V5548="","",INDEX(Fornecedores!$X$1:$X$6631,V5548))</f>
        <v/>
      </c>
      <c r="Y5548" s="4" t="str">
        <f t="shared" si="4"/>
        <v/>
      </c>
    </row>
    <row r="5549" spans="19:25">
      <c r="S5549" t="str">
        <f t="shared" si="0"/>
        <v/>
      </c>
      <c r="T5549" t="str">
        <f t="shared" si="1"/>
        <v/>
      </c>
      <c r="U5549" t="str">
        <f t="shared" si="2"/>
        <v/>
      </c>
      <c r="V5549" t="str">
        <f>IF(OR(U5549="",U5549="ERRO_CHAVE"),"",IFERROR(MATCH(U5549,Fornecedores!$AF$1:$AF$6631,0),""))</f>
        <v/>
      </c>
      <c r="W5549" t="str">
        <f t="shared" si="3"/>
        <v/>
      </c>
      <c r="X5549" s="4" t="str">
        <f>IF(V5549="","",INDEX(Fornecedores!$X$1:$X$6631,V5549))</f>
        <v/>
      </c>
      <c r="Y5549" s="4" t="str">
        <f t="shared" si="4"/>
        <v/>
      </c>
    </row>
    <row r="5550" spans="19:25">
      <c r="S5550" t="str">
        <f t="shared" si="0"/>
        <v/>
      </c>
      <c r="T5550" t="str">
        <f t="shared" si="1"/>
        <v/>
      </c>
      <c r="U5550" t="str">
        <f t="shared" si="2"/>
        <v/>
      </c>
      <c r="V5550" t="str">
        <f>IF(OR(U5550="",U5550="ERRO_CHAVE"),"",IFERROR(MATCH(U5550,Fornecedores!$AF$1:$AF$6631,0),""))</f>
        <v/>
      </c>
      <c r="W5550" t="str">
        <f t="shared" si="3"/>
        <v/>
      </c>
      <c r="X5550" s="4" t="str">
        <f>IF(V5550="","",INDEX(Fornecedores!$X$1:$X$6631,V5550))</f>
        <v/>
      </c>
      <c r="Y5550" s="4" t="str">
        <f t="shared" si="4"/>
        <v/>
      </c>
    </row>
    <row r="5551" spans="19:25">
      <c r="S5551" t="str">
        <f t="shared" si="0"/>
        <v/>
      </c>
      <c r="T5551" t="str">
        <f t="shared" si="1"/>
        <v/>
      </c>
      <c r="U5551" t="str">
        <f t="shared" si="2"/>
        <v/>
      </c>
      <c r="V5551" t="str">
        <f>IF(OR(U5551="",U5551="ERRO_CHAVE"),"",IFERROR(MATCH(U5551,Fornecedores!$AF$1:$AF$6631,0),""))</f>
        <v/>
      </c>
      <c r="W5551" t="str">
        <f t="shared" si="3"/>
        <v/>
      </c>
      <c r="X5551" s="4" t="str">
        <f>IF(V5551="","",INDEX(Fornecedores!$X$1:$X$6631,V5551))</f>
        <v/>
      </c>
      <c r="Y5551" s="4" t="str">
        <f t="shared" si="4"/>
        <v/>
      </c>
    </row>
    <row r="5552" spans="19:25">
      <c r="S5552" t="str">
        <f t="shared" si="0"/>
        <v/>
      </c>
      <c r="T5552" t="str">
        <f t="shared" si="1"/>
        <v/>
      </c>
      <c r="U5552" t="str">
        <f t="shared" si="2"/>
        <v/>
      </c>
      <c r="V5552" t="str">
        <f>IF(OR(U5552="",U5552="ERRO_CHAVE"),"",IFERROR(MATCH(U5552,Fornecedores!$AF$1:$AF$6631,0),""))</f>
        <v/>
      </c>
      <c r="W5552" t="str">
        <f t="shared" si="3"/>
        <v/>
      </c>
      <c r="X5552" s="4" t="str">
        <f>IF(V5552="","",INDEX(Fornecedores!$X$1:$X$6631,V5552))</f>
        <v/>
      </c>
      <c r="Y5552" s="4" t="str">
        <f t="shared" si="4"/>
        <v/>
      </c>
    </row>
    <row r="5553" spans="19:25">
      <c r="S5553" t="str">
        <f t="shared" si="0"/>
        <v/>
      </c>
      <c r="T5553" t="str">
        <f t="shared" si="1"/>
        <v/>
      </c>
      <c r="U5553" t="str">
        <f t="shared" si="2"/>
        <v/>
      </c>
      <c r="V5553" t="str">
        <f>IF(OR(U5553="",U5553="ERRO_CHAVE"),"",IFERROR(MATCH(U5553,Fornecedores!$AF$1:$AF$6631,0),""))</f>
        <v/>
      </c>
      <c r="W5553" t="str">
        <f t="shared" si="3"/>
        <v/>
      </c>
      <c r="X5553" s="4" t="str">
        <f>IF(V5553="","",INDEX(Fornecedores!$X$1:$X$6631,V5553))</f>
        <v/>
      </c>
      <c r="Y5553" s="4" t="str">
        <f t="shared" si="4"/>
        <v/>
      </c>
    </row>
    <row r="5554" spans="19:25">
      <c r="S5554" t="str">
        <f t="shared" si="0"/>
        <v/>
      </c>
      <c r="T5554" t="str">
        <f t="shared" si="1"/>
        <v/>
      </c>
      <c r="U5554" t="str">
        <f t="shared" si="2"/>
        <v/>
      </c>
      <c r="V5554" t="str">
        <f>IF(OR(U5554="",U5554="ERRO_CHAVE"),"",IFERROR(MATCH(U5554,Fornecedores!$AF$1:$AF$6631,0),""))</f>
        <v/>
      </c>
      <c r="W5554" t="str">
        <f t="shared" si="3"/>
        <v/>
      </c>
      <c r="X5554" s="4" t="str">
        <f>IF(V5554="","",INDEX(Fornecedores!$X$1:$X$6631,V5554))</f>
        <v/>
      </c>
      <c r="Y5554" s="4" t="str">
        <f t="shared" si="4"/>
        <v/>
      </c>
    </row>
    <row r="5555" spans="19:25">
      <c r="S5555" t="str">
        <f t="shared" si="0"/>
        <v/>
      </c>
      <c r="T5555" t="str">
        <f t="shared" si="1"/>
        <v/>
      </c>
      <c r="U5555" t="str">
        <f t="shared" si="2"/>
        <v/>
      </c>
      <c r="V5555" t="str">
        <f>IF(OR(U5555="",U5555="ERRO_CHAVE"),"",IFERROR(MATCH(U5555,Fornecedores!$AF$1:$AF$6631,0),""))</f>
        <v/>
      </c>
      <c r="W5555" t="str">
        <f t="shared" si="3"/>
        <v/>
      </c>
      <c r="X5555" s="4" t="str">
        <f>IF(V5555="","",INDEX(Fornecedores!$X$1:$X$6631,V5555))</f>
        <v/>
      </c>
      <c r="Y5555" s="4" t="str">
        <f t="shared" si="4"/>
        <v/>
      </c>
    </row>
    <row r="5556" spans="19:25">
      <c r="S5556" t="str">
        <f t="shared" si="0"/>
        <v/>
      </c>
      <c r="T5556" t="str">
        <f t="shared" si="1"/>
        <v/>
      </c>
      <c r="U5556" t="str">
        <f t="shared" si="2"/>
        <v/>
      </c>
      <c r="V5556" t="str">
        <f>IF(OR(U5556="",U5556="ERRO_CHAVE"),"",IFERROR(MATCH(U5556,Fornecedores!$AF$1:$AF$6631,0),""))</f>
        <v/>
      </c>
      <c r="W5556" t="str">
        <f t="shared" si="3"/>
        <v/>
      </c>
      <c r="X5556" s="4" t="str">
        <f>IF(V5556="","",INDEX(Fornecedores!$X$1:$X$6631,V5556))</f>
        <v/>
      </c>
      <c r="Y5556" s="4" t="str">
        <f t="shared" si="4"/>
        <v/>
      </c>
    </row>
    <row r="5557" spans="19:25">
      <c r="S5557" t="str">
        <f t="shared" si="0"/>
        <v/>
      </c>
      <c r="T5557" t="str">
        <f t="shared" si="1"/>
        <v/>
      </c>
      <c r="U5557" t="str">
        <f t="shared" si="2"/>
        <v/>
      </c>
      <c r="V5557" t="str">
        <f>IF(OR(U5557="",U5557="ERRO_CHAVE"),"",IFERROR(MATCH(U5557,Fornecedores!$AF$1:$AF$6631,0),""))</f>
        <v/>
      </c>
      <c r="W5557" t="str">
        <f t="shared" si="3"/>
        <v/>
      </c>
      <c r="X5557" s="4" t="str">
        <f>IF(V5557="","",INDEX(Fornecedores!$X$1:$X$6631,V5557))</f>
        <v/>
      </c>
      <c r="Y5557" s="4" t="str">
        <f t="shared" si="4"/>
        <v/>
      </c>
    </row>
    <row r="5558" spans="19:25">
      <c r="S5558" t="str">
        <f t="shared" si="0"/>
        <v/>
      </c>
      <c r="T5558" t="str">
        <f t="shared" si="1"/>
        <v/>
      </c>
      <c r="U5558" t="str">
        <f t="shared" si="2"/>
        <v/>
      </c>
      <c r="V5558" t="str">
        <f>IF(OR(U5558="",U5558="ERRO_CHAVE"),"",IFERROR(MATCH(U5558,Fornecedores!$AF$1:$AF$6631,0),""))</f>
        <v/>
      </c>
      <c r="W5558" t="str">
        <f t="shared" si="3"/>
        <v/>
      </c>
      <c r="X5558" s="4" t="str">
        <f>IF(V5558="","",INDEX(Fornecedores!$X$1:$X$6631,V5558))</f>
        <v/>
      </c>
      <c r="Y5558" s="4" t="str">
        <f t="shared" si="4"/>
        <v/>
      </c>
    </row>
    <row r="5559" spans="19:25">
      <c r="S5559" t="str">
        <f t="shared" si="0"/>
        <v/>
      </c>
      <c r="T5559" t="str">
        <f t="shared" si="1"/>
        <v/>
      </c>
      <c r="U5559" t="str">
        <f t="shared" si="2"/>
        <v/>
      </c>
      <c r="V5559" t="str">
        <f>IF(OR(U5559="",U5559="ERRO_CHAVE"),"",IFERROR(MATCH(U5559,Fornecedores!$AF$1:$AF$6631,0),""))</f>
        <v/>
      </c>
      <c r="W5559" t="str">
        <f t="shared" si="3"/>
        <v/>
      </c>
      <c r="X5559" s="4" t="str">
        <f>IF(V5559="","",INDEX(Fornecedores!$X$1:$X$6631,V5559))</f>
        <v/>
      </c>
      <c r="Y5559" s="4" t="str">
        <f t="shared" si="4"/>
        <v/>
      </c>
    </row>
    <row r="5560" spans="19:25">
      <c r="S5560" t="str">
        <f t="shared" si="0"/>
        <v/>
      </c>
      <c r="T5560" t="str">
        <f t="shared" si="1"/>
        <v/>
      </c>
      <c r="U5560" t="str">
        <f t="shared" si="2"/>
        <v/>
      </c>
      <c r="V5560" t="str">
        <f>IF(OR(U5560="",U5560="ERRO_CHAVE"),"",IFERROR(MATCH(U5560,Fornecedores!$AF$1:$AF$6631,0),""))</f>
        <v/>
      </c>
      <c r="W5560" t="str">
        <f t="shared" si="3"/>
        <v/>
      </c>
      <c r="X5560" s="4" t="str">
        <f>IF(V5560="","",INDEX(Fornecedores!$X$1:$X$6631,V5560))</f>
        <v/>
      </c>
      <c r="Y5560" s="4" t="str">
        <f t="shared" si="4"/>
        <v/>
      </c>
    </row>
    <row r="5561" spans="19:25">
      <c r="S5561" t="str">
        <f t="shared" si="0"/>
        <v/>
      </c>
      <c r="T5561" t="str">
        <f t="shared" si="1"/>
        <v/>
      </c>
      <c r="U5561" t="str">
        <f t="shared" si="2"/>
        <v/>
      </c>
      <c r="V5561" t="str">
        <f>IF(OR(U5561="",U5561="ERRO_CHAVE"),"",IFERROR(MATCH(U5561,Fornecedores!$AF$1:$AF$6631,0),""))</f>
        <v/>
      </c>
      <c r="W5561" t="str">
        <f t="shared" si="3"/>
        <v/>
      </c>
      <c r="X5561" s="4" t="str">
        <f>IF(V5561="","",INDEX(Fornecedores!$X$1:$X$6631,V5561))</f>
        <v/>
      </c>
      <c r="Y5561" s="4" t="str">
        <f t="shared" si="4"/>
        <v/>
      </c>
    </row>
    <row r="5562" spans="19:25">
      <c r="S5562" t="str">
        <f t="shared" si="0"/>
        <v/>
      </c>
      <c r="T5562" t="str">
        <f t="shared" si="1"/>
        <v/>
      </c>
      <c r="U5562" t="str">
        <f t="shared" si="2"/>
        <v/>
      </c>
      <c r="V5562" t="str">
        <f>IF(OR(U5562="",U5562="ERRO_CHAVE"),"",IFERROR(MATCH(U5562,Fornecedores!$AF$1:$AF$6631,0),""))</f>
        <v/>
      </c>
      <c r="W5562" t="str">
        <f t="shared" si="3"/>
        <v/>
      </c>
      <c r="X5562" s="4" t="str">
        <f>IF(V5562="","",INDEX(Fornecedores!$X$1:$X$6631,V5562))</f>
        <v/>
      </c>
      <c r="Y5562" s="4" t="str">
        <f t="shared" si="4"/>
        <v/>
      </c>
    </row>
    <row r="5563" spans="19:25">
      <c r="S5563" t="str">
        <f t="shared" si="0"/>
        <v/>
      </c>
      <c r="T5563" t="str">
        <f t="shared" si="1"/>
        <v/>
      </c>
      <c r="U5563" t="str">
        <f t="shared" si="2"/>
        <v/>
      </c>
      <c r="V5563" t="str">
        <f>IF(OR(U5563="",U5563="ERRO_CHAVE"),"",IFERROR(MATCH(U5563,Fornecedores!$AF$1:$AF$6631,0),""))</f>
        <v/>
      </c>
      <c r="W5563" t="str">
        <f t="shared" si="3"/>
        <v/>
      </c>
      <c r="X5563" s="4" t="str">
        <f>IF(V5563="","",INDEX(Fornecedores!$X$1:$X$6631,V5563))</f>
        <v/>
      </c>
      <c r="Y5563" s="4" t="str">
        <f t="shared" si="4"/>
        <v/>
      </c>
    </row>
    <row r="5564" spans="19:25">
      <c r="S5564" t="str">
        <f t="shared" si="0"/>
        <v/>
      </c>
      <c r="T5564" t="str">
        <f t="shared" si="1"/>
        <v/>
      </c>
      <c r="U5564" t="str">
        <f t="shared" si="2"/>
        <v/>
      </c>
      <c r="V5564" t="str">
        <f>IF(OR(U5564="",U5564="ERRO_CHAVE"),"",IFERROR(MATCH(U5564,Fornecedores!$AF$1:$AF$6631,0),""))</f>
        <v/>
      </c>
      <c r="W5564" t="str">
        <f t="shared" si="3"/>
        <v/>
      </c>
      <c r="X5564" s="4" t="str">
        <f>IF(V5564="","",INDEX(Fornecedores!$X$1:$X$6631,V5564))</f>
        <v/>
      </c>
      <c r="Y5564" s="4" t="str">
        <f t="shared" si="4"/>
        <v/>
      </c>
    </row>
    <row r="5565" spans="19:25">
      <c r="S5565" t="str">
        <f t="shared" si="0"/>
        <v/>
      </c>
      <c r="T5565" t="str">
        <f t="shared" si="1"/>
        <v/>
      </c>
      <c r="U5565" t="str">
        <f t="shared" si="2"/>
        <v/>
      </c>
      <c r="V5565" t="str">
        <f>IF(OR(U5565="",U5565="ERRO_CHAVE"),"",IFERROR(MATCH(U5565,Fornecedores!$AF$1:$AF$6631,0),""))</f>
        <v/>
      </c>
      <c r="W5565" t="str">
        <f t="shared" si="3"/>
        <v/>
      </c>
      <c r="X5565" s="4" t="str">
        <f>IF(V5565="","",INDEX(Fornecedores!$X$1:$X$6631,V5565))</f>
        <v/>
      </c>
      <c r="Y5565" s="4" t="str">
        <f t="shared" si="4"/>
        <v/>
      </c>
    </row>
    <row r="5566" spans="19:25">
      <c r="S5566" t="str">
        <f t="shared" si="0"/>
        <v/>
      </c>
      <c r="T5566" t="str">
        <f t="shared" si="1"/>
        <v/>
      </c>
      <c r="U5566" t="str">
        <f t="shared" si="2"/>
        <v/>
      </c>
      <c r="V5566" t="str">
        <f>IF(OR(U5566="",U5566="ERRO_CHAVE"),"",IFERROR(MATCH(U5566,Fornecedores!$AF$1:$AF$6631,0),""))</f>
        <v/>
      </c>
      <c r="W5566" t="str">
        <f t="shared" si="3"/>
        <v/>
      </c>
      <c r="X5566" s="4" t="str">
        <f>IF(V5566="","",INDEX(Fornecedores!$X$1:$X$6631,V5566))</f>
        <v/>
      </c>
      <c r="Y5566" s="4" t="str">
        <f t="shared" si="4"/>
        <v/>
      </c>
    </row>
    <row r="5567" spans="19:25">
      <c r="S5567" t="str">
        <f t="shared" si="0"/>
        <v/>
      </c>
      <c r="T5567" t="str">
        <f t="shared" si="1"/>
        <v/>
      </c>
      <c r="U5567" t="str">
        <f t="shared" si="2"/>
        <v/>
      </c>
      <c r="V5567" t="str">
        <f>IF(OR(U5567="",U5567="ERRO_CHAVE"),"",IFERROR(MATCH(U5567,Fornecedores!$AF$1:$AF$6631,0),""))</f>
        <v/>
      </c>
      <c r="W5567" t="str">
        <f t="shared" si="3"/>
        <v/>
      </c>
      <c r="X5567" s="4" t="str">
        <f>IF(V5567="","",INDEX(Fornecedores!$X$1:$X$6631,V5567))</f>
        <v/>
      </c>
      <c r="Y5567" s="4" t="str">
        <f t="shared" si="4"/>
        <v/>
      </c>
    </row>
    <row r="5568" spans="19:25">
      <c r="S5568" t="str">
        <f t="shared" si="0"/>
        <v/>
      </c>
      <c r="T5568" t="str">
        <f t="shared" si="1"/>
        <v/>
      </c>
      <c r="U5568" t="str">
        <f t="shared" si="2"/>
        <v/>
      </c>
      <c r="V5568" t="str">
        <f>IF(OR(U5568="",U5568="ERRO_CHAVE"),"",IFERROR(MATCH(U5568,Fornecedores!$AF$1:$AF$6631,0),""))</f>
        <v/>
      </c>
      <c r="W5568" t="str">
        <f t="shared" si="3"/>
        <v/>
      </c>
      <c r="X5568" s="4" t="str">
        <f>IF(V5568="","",INDEX(Fornecedores!$X$1:$X$6631,V5568))</f>
        <v/>
      </c>
      <c r="Y5568" s="4" t="str">
        <f t="shared" si="4"/>
        <v/>
      </c>
    </row>
    <row r="5569" spans="19:25">
      <c r="S5569" t="str">
        <f t="shared" si="0"/>
        <v/>
      </c>
      <c r="T5569" t="str">
        <f t="shared" si="1"/>
        <v/>
      </c>
      <c r="U5569" t="str">
        <f t="shared" si="2"/>
        <v/>
      </c>
      <c r="V5569" t="str">
        <f>IF(OR(U5569="",U5569="ERRO_CHAVE"),"",IFERROR(MATCH(U5569,Fornecedores!$AF$1:$AF$6631,0),""))</f>
        <v/>
      </c>
      <c r="W5569" t="str">
        <f t="shared" si="3"/>
        <v/>
      </c>
      <c r="X5569" s="4" t="str">
        <f>IF(V5569="","",INDEX(Fornecedores!$X$1:$X$6631,V5569))</f>
        <v/>
      </c>
      <c r="Y5569" s="4" t="str">
        <f t="shared" si="4"/>
        <v/>
      </c>
    </row>
    <row r="5570" spans="19:25">
      <c r="S5570" t="str">
        <f t="shared" si="0"/>
        <v/>
      </c>
      <c r="T5570" t="str">
        <f t="shared" si="1"/>
        <v/>
      </c>
      <c r="U5570" t="str">
        <f t="shared" si="2"/>
        <v/>
      </c>
      <c r="V5570" t="str">
        <f>IF(OR(U5570="",U5570="ERRO_CHAVE"),"",IFERROR(MATCH(U5570,Fornecedores!$AF$1:$AF$6631,0),""))</f>
        <v/>
      </c>
      <c r="W5570" t="str">
        <f t="shared" si="3"/>
        <v/>
      </c>
      <c r="X5570" s="4" t="str">
        <f>IF(V5570="","",INDEX(Fornecedores!$X$1:$X$6631,V5570))</f>
        <v/>
      </c>
      <c r="Y5570" s="4" t="str">
        <f t="shared" si="4"/>
        <v/>
      </c>
    </row>
    <row r="5571" spans="19:25">
      <c r="S5571" t="str">
        <f t="shared" si="0"/>
        <v/>
      </c>
      <c r="T5571" t="str">
        <f t="shared" si="1"/>
        <v/>
      </c>
      <c r="U5571" t="str">
        <f t="shared" si="2"/>
        <v/>
      </c>
      <c r="V5571" t="str">
        <f>IF(OR(U5571="",U5571="ERRO_CHAVE"),"",IFERROR(MATCH(U5571,Fornecedores!$AF$1:$AF$6631,0),""))</f>
        <v/>
      </c>
      <c r="W5571" t="str">
        <f t="shared" si="3"/>
        <v/>
      </c>
      <c r="X5571" s="4" t="str">
        <f>IF(V5571="","",INDEX(Fornecedores!$X$1:$X$6631,V5571))</f>
        <v/>
      </c>
      <c r="Y5571" s="4" t="str">
        <f t="shared" si="4"/>
        <v/>
      </c>
    </row>
    <row r="5572" spans="19:25">
      <c r="S5572" t="str">
        <f t="shared" si="0"/>
        <v/>
      </c>
      <c r="T5572" t="str">
        <f t="shared" si="1"/>
        <v/>
      </c>
      <c r="U5572" t="str">
        <f t="shared" si="2"/>
        <v/>
      </c>
      <c r="V5572" t="str">
        <f>IF(OR(U5572="",U5572="ERRO_CHAVE"),"",IFERROR(MATCH(U5572,Fornecedores!$AF$1:$AF$6631,0),""))</f>
        <v/>
      </c>
      <c r="W5572" t="str">
        <f t="shared" si="3"/>
        <v/>
      </c>
      <c r="X5572" s="4" t="str">
        <f>IF(V5572="","",INDEX(Fornecedores!$X$1:$X$6631,V5572))</f>
        <v/>
      </c>
      <c r="Y5572" s="4" t="str">
        <f t="shared" si="4"/>
        <v/>
      </c>
    </row>
    <row r="5573" spans="19:25">
      <c r="S5573" t="str">
        <f t="shared" si="0"/>
        <v/>
      </c>
      <c r="T5573" t="str">
        <f t="shared" si="1"/>
        <v/>
      </c>
      <c r="U5573" t="str">
        <f t="shared" si="2"/>
        <v/>
      </c>
      <c r="V5573" t="str">
        <f>IF(OR(U5573="",U5573="ERRO_CHAVE"),"",IFERROR(MATCH(U5573,Fornecedores!$AF$1:$AF$6631,0),""))</f>
        <v/>
      </c>
      <c r="W5573" t="str">
        <f t="shared" si="3"/>
        <v/>
      </c>
      <c r="X5573" s="4" t="str">
        <f>IF(V5573="","",INDEX(Fornecedores!$X$1:$X$6631,V5573))</f>
        <v/>
      </c>
      <c r="Y5573" s="4" t="str">
        <f t="shared" si="4"/>
        <v/>
      </c>
    </row>
    <row r="5574" spans="19:25">
      <c r="S5574" t="str">
        <f t="shared" si="0"/>
        <v/>
      </c>
      <c r="T5574" t="str">
        <f t="shared" si="1"/>
        <v/>
      </c>
      <c r="U5574" t="str">
        <f t="shared" si="2"/>
        <v/>
      </c>
      <c r="V5574" t="str">
        <f>IF(OR(U5574="",U5574="ERRO_CHAVE"),"",IFERROR(MATCH(U5574,Fornecedores!$AF$1:$AF$6631,0),""))</f>
        <v/>
      </c>
      <c r="W5574" t="str">
        <f t="shared" si="3"/>
        <v/>
      </c>
      <c r="X5574" s="4" t="str">
        <f>IF(V5574="","",INDEX(Fornecedores!$X$1:$X$6631,V5574))</f>
        <v/>
      </c>
      <c r="Y5574" s="4" t="str">
        <f t="shared" si="4"/>
        <v/>
      </c>
    </row>
    <row r="5575" spans="19:25">
      <c r="S5575" t="str">
        <f t="shared" si="0"/>
        <v/>
      </c>
      <c r="T5575" t="str">
        <f t="shared" si="1"/>
        <v/>
      </c>
      <c r="U5575" t="str">
        <f t="shared" si="2"/>
        <v/>
      </c>
      <c r="V5575" t="str">
        <f>IF(OR(U5575="",U5575="ERRO_CHAVE"),"",IFERROR(MATCH(U5575,Fornecedores!$AF$1:$AF$6631,0),""))</f>
        <v/>
      </c>
      <c r="W5575" t="str">
        <f t="shared" si="3"/>
        <v/>
      </c>
      <c r="X5575" s="4" t="str">
        <f>IF(V5575="","",INDEX(Fornecedores!$X$1:$X$6631,V5575))</f>
        <v/>
      </c>
      <c r="Y5575" s="4" t="str">
        <f t="shared" si="4"/>
        <v/>
      </c>
    </row>
    <row r="5576" spans="19:25">
      <c r="S5576" t="str">
        <f t="shared" si="0"/>
        <v/>
      </c>
      <c r="T5576" t="str">
        <f t="shared" si="1"/>
        <v/>
      </c>
      <c r="U5576" t="str">
        <f t="shared" si="2"/>
        <v/>
      </c>
      <c r="V5576" t="str">
        <f>IF(OR(U5576="",U5576="ERRO_CHAVE"),"",IFERROR(MATCH(U5576,Fornecedores!$AF$1:$AF$6631,0),""))</f>
        <v/>
      </c>
      <c r="W5576" t="str">
        <f t="shared" si="3"/>
        <v/>
      </c>
      <c r="X5576" s="4" t="str">
        <f>IF(V5576="","",INDEX(Fornecedores!$X$1:$X$6631,V5576))</f>
        <v/>
      </c>
      <c r="Y5576" s="4" t="str">
        <f t="shared" si="4"/>
        <v/>
      </c>
    </row>
    <row r="5577" spans="19:25">
      <c r="S5577" t="str">
        <f t="shared" si="0"/>
        <v/>
      </c>
      <c r="T5577" t="str">
        <f t="shared" si="1"/>
        <v/>
      </c>
      <c r="U5577" t="str">
        <f t="shared" si="2"/>
        <v/>
      </c>
      <c r="V5577" t="str">
        <f>IF(OR(U5577="",U5577="ERRO_CHAVE"),"",IFERROR(MATCH(U5577,Fornecedores!$AF$1:$AF$6631,0),""))</f>
        <v/>
      </c>
      <c r="W5577" t="str">
        <f t="shared" si="3"/>
        <v/>
      </c>
      <c r="X5577" s="4" t="str">
        <f>IF(V5577="","",INDEX(Fornecedores!$X$1:$X$6631,V5577))</f>
        <v/>
      </c>
      <c r="Y5577" s="4" t="str">
        <f t="shared" si="4"/>
        <v/>
      </c>
    </row>
    <row r="5578" spans="19:25">
      <c r="S5578" t="str">
        <f t="shared" si="0"/>
        <v/>
      </c>
      <c r="T5578" t="str">
        <f t="shared" si="1"/>
        <v/>
      </c>
      <c r="U5578" t="str">
        <f t="shared" si="2"/>
        <v/>
      </c>
      <c r="V5578" t="str">
        <f>IF(OR(U5578="",U5578="ERRO_CHAVE"),"",IFERROR(MATCH(U5578,Fornecedores!$AF$1:$AF$6631,0),""))</f>
        <v/>
      </c>
      <c r="W5578" t="str">
        <f t="shared" si="3"/>
        <v/>
      </c>
      <c r="X5578" s="4" t="str">
        <f>IF(V5578="","",INDEX(Fornecedores!$X$1:$X$6631,V5578))</f>
        <v/>
      </c>
      <c r="Y5578" s="4" t="str">
        <f t="shared" si="4"/>
        <v/>
      </c>
    </row>
    <row r="5579" spans="19:25">
      <c r="S5579" t="str">
        <f t="shared" si="0"/>
        <v/>
      </c>
      <c r="T5579" t="str">
        <f t="shared" si="1"/>
        <v/>
      </c>
      <c r="U5579" t="str">
        <f t="shared" si="2"/>
        <v/>
      </c>
      <c r="V5579" t="str">
        <f>IF(OR(U5579="",U5579="ERRO_CHAVE"),"",IFERROR(MATCH(U5579,Fornecedores!$AF$1:$AF$6631,0),""))</f>
        <v/>
      </c>
      <c r="W5579" t="str">
        <f t="shared" si="3"/>
        <v/>
      </c>
      <c r="X5579" s="4" t="str">
        <f>IF(V5579="","",INDEX(Fornecedores!$X$1:$X$6631,V5579))</f>
        <v/>
      </c>
      <c r="Y5579" s="4" t="str">
        <f t="shared" si="4"/>
        <v/>
      </c>
    </row>
    <row r="5580" spans="19:25">
      <c r="S5580" t="str">
        <f t="shared" si="0"/>
        <v/>
      </c>
      <c r="T5580" t="str">
        <f t="shared" si="1"/>
        <v/>
      </c>
      <c r="U5580" t="str">
        <f t="shared" si="2"/>
        <v/>
      </c>
      <c r="V5580" t="str">
        <f>IF(OR(U5580="",U5580="ERRO_CHAVE"),"",IFERROR(MATCH(U5580,Fornecedores!$AF$1:$AF$6631,0),""))</f>
        <v/>
      </c>
      <c r="W5580" t="str">
        <f t="shared" si="3"/>
        <v/>
      </c>
      <c r="X5580" s="4" t="str">
        <f>IF(V5580="","",INDEX(Fornecedores!$X$1:$X$6631,V5580))</f>
        <v/>
      </c>
      <c r="Y5580" s="4" t="str">
        <f t="shared" si="4"/>
        <v/>
      </c>
    </row>
    <row r="5581" spans="19:25">
      <c r="S5581" t="str">
        <f t="shared" si="0"/>
        <v/>
      </c>
      <c r="T5581" t="str">
        <f t="shared" si="1"/>
        <v/>
      </c>
      <c r="U5581" t="str">
        <f t="shared" si="2"/>
        <v/>
      </c>
      <c r="V5581" t="str">
        <f>IF(OR(U5581="",U5581="ERRO_CHAVE"),"",IFERROR(MATCH(U5581,Fornecedores!$AF$1:$AF$6631,0),""))</f>
        <v/>
      </c>
      <c r="W5581" t="str">
        <f t="shared" si="3"/>
        <v/>
      </c>
      <c r="X5581" s="4" t="str">
        <f>IF(V5581="","",INDEX(Fornecedores!$X$1:$X$6631,V5581))</f>
        <v/>
      </c>
      <c r="Y5581" s="4" t="str">
        <f t="shared" si="4"/>
        <v/>
      </c>
    </row>
    <row r="5582" spans="19:25">
      <c r="S5582" t="str">
        <f t="shared" si="0"/>
        <v/>
      </c>
      <c r="T5582" t="str">
        <f t="shared" si="1"/>
        <v/>
      </c>
      <c r="U5582" t="str">
        <f t="shared" si="2"/>
        <v/>
      </c>
      <c r="V5582" t="str">
        <f>IF(OR(U5582="",U5582="ERRO_CHAVE"),"",IFERROR(MATCH(U5582,Fornecedores!$AF$1:$AF$6631,0),""))</f>
        <v/>
      </c>
      <c r="W5582" t="str">
        <f t="shared" si="3"/>
        <v/>
      </c>
      <c r="X5582" s="4" t="str">
        <f>IF(V5582="","",INDEX(Fornecedores!$X$1:$X$6631,V5582))</f>
        <v/>
      </c>
      <c r="Y5582" s="4" t="str">
        <f t="shared" si="4"/>
        <v/>
      </c>
    </row>
    <row r="5583" spans="19:25">
      <c r="S5583" t="str">
        <f t="shared" si="0"/>
        <v/>
      </c>
      <c r="T5583" t="str">
        <f t="shared" si="1"/>
        <v/>
      </c>
      <c r="U5583" t="str">
        <f t="shared" si="2"/>
        <v/>
      </c>
      <c r="V5583" t="str">
        <f>IF(OR(U5583="",U5583="ERRO_CHAVE"),"",IFERROR(MATCH(U5583,Fornecedores!$AF$1:$AF$6631,0),""))</f>
        <v/>
      </c>
      <c r="W5583" t="str">
        <f t="shared" si="3"/>
        <v/>
      </c>
      <c r="X5583" s="4" t="str">
        <f>IF(V5583="","",INDEX(Fornecedores!$X$1:$X$6631,V5583))</f>
        <v/>
      </c>
      <c r="Y5583" s="4" t="str">
        <f t="shared" si="4"/>
        <v/>
      </c>
    </row>
    <row r="5584" spans="19:25">
      <c r="S5584" t="str">
        <f t="shared" si="0"/>
        <v/>
      </c>
      <c r="T5584" t="str">
        <f t="shared" si="1"/>
        <v/>
      </c>
      <c r="U5584" t="str">
        <f t="shared" si="2"/>
        <v/>
      </c>
      <c r="V5584" t="str">
        <f>IF(OR(U5584="",U5584="ERRO_CHAVE"),"",IFERROR(MATCH(U5584,Fornecedores!$AF$1:$AF$6631,0),""))</f>
        <v/>
      </c>
      <c r="W5584" t="str">
        <f t="shared" si="3"/>
        <v/>
      </c>
      <c r="X5584" s="4" t="str">
        <f>IF(V5584="","",INDEX(Fornecedores!$X$1:$X$6631,V5584))</f>
        <v/>
      </c>
      <c r="Y5584" s="4" t="str">
        <f t="shared" si="4"/>
        <v/>
      </c>
    </row>
    <row r="5585" spans="19:25">
      <c r="S5585" t="str">
        <f t="shared" si="0"/>
        <v/>
      </c>
      <c r="T5585" t="str">
        <f t="shared" si="1"/>
        <v/>
      </c>
      <c r="U5585" t="str">
        <f t="shared" si="2"/>
        <v/>
      </c>
      <c r="V5585" t="str">
        <f>IF(OR(U5585="",U5585="ERRO_CHAVE"),"",IFERROR(MATCH(U5585,Fornecedores!$AF$1:$AF$6631,0),""))</f>
        <v/>
      </c>
      <c r="W5585" t="str">
        <f t="shared" si="3"/>
        <v/>
      </c>
      <c r="X5585" s="4" t="str">
        <f>IF(V5585="","",INDEX(Fornecedores!$X$1:$X$6631,V5585))</f>
        <v/>
      </c>
      <c r="Y5585" s="4" t="str">
        <f t="shared" si="4"/>
        <v/>
      </c>
    </row>
    <row r="5586" spans="19:25">
      <c r="S5586" t="str">
        <f t="shared" si="0"/>
        <v/>
      </c>
      <c r="T5586" t="str">
        <f t="shared" si="1"/>
        <v/>
      </c>
      <c r="U5586" t="str">
        <f t="shared" si="2"/>
        <v/>
      </c>
      <c r="V5586" t="str">
        <f>IF(OR(U5586="",U5586="ERRO_CHAVE"),"",IFERROR(MATCH(U5586,Fornecedores!$AF$1:$AF$6631,0),""))</f>
        <v/>
      </c>
      <c r="W5586" t="str">
        <f t="shared" si="3"/>
        <v/>
      </c>
      <c r="X5586" s="4" t="str">
        <f>IF(V5586="","",INDEX(Fornecedores!$X$1:$X$6631,V5586))</f>
        <v/>
      </c>
      <c r="Y5586" s="4" t="str">
        <f t="shared" si="4"/>
        <v/>
      </c>
    </row>
    <row r="5587" spans="19:25">
      <c r="S5587" t="str">
        <f t="shared" si="0"/>
        <v/>
      </c>
      <c r="T5587" t="str">
        <f t="shared" si="1"/>
        <v/>
      </c>
      <c r="U5587" t="str">
        <f t="shared" si="2"/>
        <v/>
      </c>
      <c r="V5587" t="str">
        <f>IF(OR(U5587="",U5587="ERRO_CHAVE"),"",IFERROR(MATCH(U5587,Fornecedores!$AF$1:$AF$6631,0),""))</f>
        <v/>
      </c>
      <c r="W5587" t="str">
        <f t="shared" si="3"/>
        <v/>
      </c>
      <c r="X5587" s="4" t="str">
        <f>IF(V5587="","",INDEX(Fornecedores!$X$1:$X$6631,V5587))</f>
        <v/>
      </c>
      <c r="Y5587" s="4" t="str">
        <f t="shared" si="4"/>
        <v/>
      </c>
    </row>
    <row r="5588" spans="19:25">
      <c r="S5588" t="str">
        <f t="shared" si="0"/>
        <v/>
      </c>
      <c r="T5588" t="str">
        <f t="shared" si="1"/>
        <v/>
      </c>
      <c r="U5588" t="str">
        <f t="shared" si="2"/>
        <v/>
      </c>
      <c r="V5588" t="str">
        <f>IF(OR(U5588="",U5588="ERRO_CHAVE"),"",IFERROR(MATCH(U5588,Fornecedores!$AF$1:$AF$6631,0),""))</f>
        <v/>
      </c>
      <c r="W5588" t="str">
        <f t="shared" si="3"/>
        <v/>
      </c>
      <c r="X5588" s="4" t="str">
        <f>IF(V5588="","",INDEX(Fornecedores!$X$1:$X$6631,V5588))</f>
        <v/>
      </c>
      <c r="Y5588" s="4" t="str">
        <f t="shared" si="4"/>
        <v/>
      </c>
    </row>
    <row r="5589" spans="19:25">
      <c r="S5589" t="str">
        <f t="shared" si="0"/>
        <v/>
      </c>
      <c r="T5589" t="str">
        <f t="shared" si="1"/>
        <v/>
      </c>
      <c r="U5589" t="str">
        <f t="shared" si="2"/>
        <v/>
      </c>
      <c r="V5589" t="str">
        <f>IF(OR(U5589="",U5589="ERRO_CHAVE"),"",IFERROR(MATCH(U5589,Fornecedores!$AF$1:$AF$6631,0),""))</f>
        <v/>
      </c>
      <c r="W5589" t="str">
        <f t="shared" si="3"/>
        <v/>
      </c>
      <c r="X5589" s="4" t="str">
        <f>IF(V5589="","",INDEX(Fornecedores!$X$1:$X$6631,V5589))</f>
        <v/>
      </c>
      <c r="Y5589" s="4" t="str">
        <f t="shared" si="4"/>
        <v/>
      </c>
    </row>
    <row r="5590" spans="19:25">
      <c r="S5590" t="str">
        <f t="shared" si="0"/>
        <v/>
      </c>
      <c r="T5590" t="str">
        <f t="shared" si="1"/>
        <v/>
      </c>
      <c r="U5590" t="str">
        <f t="shared" si="2"/>
        <v/>
      </c>
      <c r="V5590" t="str">
        <f>IF(OR(U5590="",U5590="ERRO_CHAVE"),"",IFERROR(MATCH(U5590,Fornecedores!$AF$1:$AF$6631,0),""))</f>
        <v/>
      </c>
      <c r="W5590" t="str">
        <f t="shared" si="3"/>
        <v/>
      </c>
      <c r="X5590" s="4" t="str">
        <f>IF(V5590="","",INDEX(Fornecedores!$X$1:$X$6631,V5590))</f>
        <v/>
      </c>
      <c r="Y5590" s="4" t="str">
        <f t="shared" si="4"/>
        <v/>
      </c>
    </row>
    <row r="5591" spans="19:25">
      <c r="S5591" t="str">
        <f t="shared" si="0"/>
        <v/>
      </c>
      <c r="T5591" t="str">
        <f t="shared" si="1"/>
        <v/>
      </c>
      <c r="U5591" t="str">
        <f t="shared" si="2"/>
        <v/>
      </c>
      <c r="V5591" t="str">
        <f>IF(OR(U5591="",U5591="ERRO_CHAVE"),"",IFERROR(MATCH(U5591,Fornecedores!$AF$1:$AF$6631,0),""))</f>
        <v/>
      </c>
      <c r="W5591" t="str">
        <f t="shared" si="3"/>
        <v/>
      </c>
      <c r="X5591" s="4" t="str">
        <f>IF(V5591="","",INDEX(Fornecedores!$X$1:$X$6631,V5591))</f>
        <v/>
      </c>
      <c r="Y5591" s="4" t="str">
        <f t="shared" si="4"/>
        <v/>
      </c>
    </row>
    <row r="5592" spans="19:25">
      <c r="S5592" t="str">
        <f t="shared" si="0"/>
        <v/>
      </c>
      <c r="T5592" t="str">
        <f t="shared" si="1"/>
        <v/>
      </c>
      <c r="U5592" t="str">
        <f t="shared" si="2"/>
        <v/>
      </c>
      <c r="V5592" t="str">
        <f>IF(OR(U5592="",U5592="ERRO_CHAVE"),"",IFERROR(MATCH(U5592,Fornecedores!$AF$1:$AF$6631,0),""))</f>
        <v/>
      </c>
      <c r="W5592" t="str">
        <f t="shared" si="3"/>
        <v/>
      </c>
      <c r="X5592" s="4" t="str">
        <f>IF(V5592="","",INDEX(Fornecedores!$X$1:$X$6631,V5592))</f>
        <v/>
      </c>
      <c r="Y5592" s="4" t="str">
        <f t="shared" si="4"/>
        <v/>
      </c>
    </row>
    <row r="5593" spans="19:25">
      <c r="S5593" t="str">
        <f t="shared" si="0"/>
        <v/>
      </c>
      <c r="T5593" t="str">
        <f t="shared" si="1"/>
        <v/>
      </c>
      <c r="U5593" t="str">
        <f t="shared" si="2"/>
        <v/>
      </c>
      <c r="V5593" t="str">
        <f>IF(OR(U5593="",U5593="ERRO_CHAVE"),"",IFERROR(MATCH(U5593,Fornecedores!$AF$1:$AF$6631,0),""))</f>
        <v/>
      </c>
      <c r="W5593" t="str">
        <f t="shared" si="3"/>
        <v/>
      </c>
      <c r="X5593" s="4" t="str">
        <f>IF(V5593="","",INDEX(Fornecedores!$X$1:$X$6631,V5593))</f>
        <v/>
      </c>
      <c r="Y5593" s="4" t="str">
        <f t="shared" si="4"/>
        <v/>
      </c>
    </row>
    <row r="5594" spans="19:25">
      <c r="S5594" t="str">
        <f t="shared" si="0"/>
        <v/>
      </c>
      <c r="T5594" t="str">
        <f t="shared" si="1"/>
        <v/>
      </c>
      <c r="U5594" t="str">
        <f t="shared" si="2"/>
        <v/>
      </c>
      <c r="V5594" t="str">
        <f>IF(OR(U5594="",U5594="ERRO_CHAVE"),"",IFERROR(MATCH(U5594,Fornecedores!$AF$1:$AF$6631,0),""))</f>
        <v/>
      </c>
      <c r="W5594" t="str">
        <f t="shared" si="3"/>
        <v/>
      </c>
      <c r="X5594" s="4" t="str">
        <f>IF(V5594="","",INDEX(Fornecedores!$X$1:$X$6631,V5594))</f>
        <v/>
      </c>
      <c r="Y5594" s="4" t="str">
        <f t="shared" si="4"/>
        <v/>
      </c>
    </row>
    <row r="5595" spans="19:25">
      <c r="S5595" t="str">
        <f t="shared" si="0"/>
        <v/>
      </c>
      <c r="T5595" t="str">
        <f t="shared" si="1"/>
        <v/>
      </c>
      <c r="U5595" t="str">
        <f t="shared" si="2"/>
        <v/>
      </c>
      <c r="V5595" t="str">
        <f>IF(OR(U5595="",U5595="ERRO_CHAVE"),"",IFERROR(MATCH(U5595,Fornecedores!$AF$1:$AF$6631,0),""))</f>
        <v/>
      </c>
      <c r="W5595" t="str">
        <f t="shared" si="3"/>
        <v/>
      </c>
      <c r="X5595" s="4" t="str">
        <f>IF(V5595="","",INDEX(Fornecedores!$X$1:$X$6631,V5595))</f>
        <v/>
      </c>
      <c r="Y5595" s="4" t="str">
        <f t="shared" si="4"/>
        <v/>
      </c>
    </row>
    <row r="5596" spans="19:25">
      <c r="S5596" t="str">
        <f t="shared" si="0"/>
        <v/>
      </c>
      <c r="T5596" t="str">
        <f t="shared" si="1"/>
        <v/>
      </c>
      <c r="U5596" t="str">
        <f t="shared" si="2"/>
        <v/>
      </c>
      <c r="V5596" t="str">
        <f>IF(OR(U5596="",U5596="ERRO_CHAVE"),"",IFERROR(MATCH(U5596,Fornecedores!$AF$1:$AF$6631,0),""))</f>
        <v/>
      </c>
      <c r="W5596" t="str">
        <f t="shared" si="3"/>
        <v/>
      </c>
      <c r="X5596" s="4" t="str">
        <f>IF(V5596="","",INDEX(Fornecedores!$X$1:$X$6631,V5596))</f>
        <v/>
      </c>
      <c r="Y5596" s="4" t="str">
        <f t="shared" si="4"/>
        <v/>
      </c>
    </row>
    <row r="5597" spans="19:25">
      <c r="S5597" t="str">
        <f t="shared" si="0"/>
        <v/>
      </c>
      <c r="T5597" t="str">
        <f t="shared" si="1"/>
        <v/>
      </c>
      <c r="U5597" t="str">
        <f t="shared" si="2"/>
        <v/>
      </c>
      <c r="V5597" t="str">
        <f>IF(OR(U5597="",U5597="ERRO_CHAVE"),"",IFERROR(MATCH(U5597,Fornecedores!$AF$1:$AF$6631,0),""))</f>
        <v/>
      </c>
      <c r="W5597" t="str">
        <f t="shared" si="3"/>
        <v/>
      </c>
      <c r="X5597" s="4" t="str">
        <f>IF(V5597="","",INDEX(Fornecedores!$X$1:$X$6631,V5597))</f>
        <v/>
      </c>
      <c r="Y5597" s="4" t="str">
        <f t="shared" si="4"/>
        <v/>
      </c>
    </row>
    <row r="5598" spans="19:25">
      <c r="S5598" t="str">
        <f t="shared" si="0"/>
        <v/>
      </c>
      <c r="T5598" t="str">
        <f t="shared" si="1"/>
        <v/>
      </c>
      <c r="U5598" t="str">
        <f t="shared" si="2"/>
        <v/>
      </c>
      <c r="V5598" t="str">
        <f>IF(OR(U5598="",U5598="ERRO_CHAVE"),"",IFERROR(MATCH(U5598,Fornecedores!$AF$1:$AF$6631,0),""))</f>
        <v/>
      </c>
      <c r="W5598" t="str">
        <f t="shared" si="3"/>
        <v/>
      </c>
      <c r="X5598" s="4" t="str">
        <f>IF(V5598="","",INDEX(Fornecedores!$X$1:$X$6631,V5598))</f>
        <v/>
      </c>
      <c r="Y5598" s="4" t="str">
        <f t="shared" si="4"/>
        <v/>
      </c>
    </row>
    <row r="5599" spans="19:25">
      <c r="S5599" t="str">
        <f t="shared" si="0"/>
        <v/>
      </c>
      <c r="T5599" t="str">
        <f t="shared" si="1"/>
        <v/>
      </c>
      <c r="U5599" t="str">
        <f t="shared" si="2"/>
        <v/>
      </c>
      <c r="V5599" t="str">
        <f>IF(OR(U5599="",U5599="ERRO_CHAVE"),"",IFERROR(MATCH(U5599,Fornecedores!$AF$1:$AF$6631,0),""))</f>
        <v/>
      </c>
      <c r="W5599" t="str">
        <f t="shared" si="3"/>
        <v/>
      </c>
      <c r="X5599" s="4" t="str">
        <f>IF(V5599="","",INDEX(Fornecedores!$X$1:$X$6631,V5599))</f>
        <v/>
      </c>
      <c r="Y5599" s="4" t="str">
        <f t="shared" si="4"/>
        <v/>
      </c>
    </row>
    <row r="5600" spans="19:25">
      <c r="S5600" t="str">
        <f t="shared" si="0"/>
        <v/>
      </c>
      <c r="T5600" t="str">
        <f t="shared" si="1"/>
        <v/>
      </c>
      <c r="U5600" t="str">
        <f t="shared" si="2"/>
        <v/>
      </c>
      <c r="V5600" t="str">
        <f>IF(OR(U5600="",U5600="ERRO_CHAVE"),"",IFERROR(MATCH(U5600,Fornecedores!$AF$1:$AF$6631,0),""))</f>
        <v/>
      </c>
      <c r="W5600" t="str">
        <f t="shared" si="3"/>
        <v/>
      </c>
      <c r="X5600" s="4" t="str">
        <f>IF(V5600="","",INDEX(Fornecedores!$X$1:$X$6631,V5600))</f>
        <v/>
      </c>
      <c r="Y5600" s="4" t="str">
        <f t="shared" si="4"/>
        <v/>
      </c>
    </row>
    <row r="5601" spans="19:25">
      <c r="S5601" t="str">
        <f t="shared" si="0"/>
        <v/>
      </c>
      <c r="T5601" t="str">
        <f t="shared" si="1"/>
        <v/>
      </c>
      <c r="U5601" t="str">
        <f t="shared" si="2"/>
        <v/>
      </c>
      <c r="V5601" t="str">
        <f>IF(OR(U5601="",U5601="ERRO_CHAVE"),"",IFERROR(MATCH(U5601,Fornecedores!$AF$1:$AF$6631,0),""))</f>
        <v/>
      </c>
      <c r="W5601" t="str">
        <f t="shared" si="3"/>
        <v/>
      </c>
      <c r="X5601" s="4" t="str">
        <f>IF(V5601="","",INDEX(Fornecedores!$X$1:$X$6631,V5601))</f>
        <v/>
      </c>
      <c r="Y5601" s="4" t="str">
        <f t="shared" si="4"/>
        <v/>
      </c>
    </row>
    <row r="5602" spans="19:25">
      <c r="S5602" t="str">
        <f t="shared" si="0"/>
        <v/>
      </c>
      <c r="T5602" t="str">
        <f t="shared" si="1"/>
        <v/>
      </c>
      <c r="U5602" t="str">
        <f t="shared" si="2"/>
        <v/>
      </c>
      <c r="V5602" t="str">
        <f>IF(OR(U5602="",U5602="ERRO_CHAVE"),"",IFERROR(MATCH(U5602,Fornecedores!$AF$1:$AF$6631,0),""))</f>
        <v/>
      </c>
      <c r="W5602" t="str">
        <f t="shared" si="3"/>
        <v/>
      </c>
      <c r="X5602" s="4" t="str">
        <f>IF(V5602="","",INDEX(Fornecedores!$X$1:$X$6631,V5602))</f>
        <v/>
      </c>
      <c r="Y5602" s="4" t="str">
        <f t="shared" si="4"/>
        <v/>
      </c>
    </row>
    <row r="5603" spans="19:25">
      <c r="S5603" t="str">
        <f t="shared" si="0"/>
        <v/>
      </c>
      <c r="T5603" t="str">
        <f t="shared" si="1"/>
        <v/>
      </c>
      <c r="U5603" t="str">
        <f t="shared" si="2"/>
        <v/>
      </c>
      <c r="V5603" t="str">
        <f>IF(OR(U5603="",U5603="ERRO_CHAVE"),"",IFERROR(MATCH(U5603,Fornecedores!$AF$1:$AF$6631,0),""))</f>
        <v/>
      </c>
      <c r="W5603" t="str">
        <f t="shared" si="3"/>
        <v/>
      </c>
      <c r="X5603" s="4" t="str">
        <f>IF(V5603="","",INDEX(Fornecedores!$X$1:$X$6631,V5603))</f>
        <v/>
      </c>
      <c r="Y5603" s="4" t="str">
        <f t="shared" si="4"/>
        <v/>
      </c>
    </row>
    <row r="5604" spans="19:25">
      <c r="S5604" t="str">
        <f t="shared" si="0"/>
        <v/>
      </c>
      <c r="T5604" t="str">
        <f t="shared" si="1"/>
        <v/>
      </c>
      <c r="U5604" t="str">
        <f t="shared" si="2"/>
        <v/>
      </c>
      <c r="V5604" t="str">
        <f>IF(OR(U5604="",U5604="ERRO_CHAVE"),"",IFERROR(MATCH(U5604,Fornecedores!$AF$1:$AF$6631,0),""))</f>
        <v/>
      </c>
      <c r="W5604" t="str">
        <f t="shared" si="3"/>
        <v/>
      </c>
      <c r="X5604" s="4" t="str">
        <f>IF(V5604="","",INDEX(Fornecedores!$X$1:$X$6631,V5604))</f>
        <v/>
      </c>
      <c r="Y5604" s="4" t="str">
        <f t="shared" si="4"/>
        <v/>
      </c>
    </row>
    <row r="5605" spans="19:25">
      <c r="S5605" t="str">
        <f t="shared" si="0"/>
        <v/>
      </c>
      <c r="T5605" t="str">
        <f t="shared" si="1"/>
        <v/>
      </c>
      <c r="U5605" t="str">
        <f t="shared" si="2"/>
        <v/>
      </c>
      <c r="V5605" t="str">
        <f>IF(OR(U5605="",U5605="ERRO_CHAVE"),"",IFERROR(MATCH(U5605,Fornecedores!$AF$1:$AF$6631,0),""))</f>
        <v/>
      </c>
      <c r="W5605" t="str">
        <f t="shared" si="3"/>
        <v/>
      </c>
      <c r="X5605" s="4" t="str">
        <f>IF(V5605="","",INDEX(Fornecedores!$X$1:$X$6631,V5605))</f>
        <v/>
      </c>
      <c r="Y5605" s="4" t="str">
        <f t="shared" si="4"/>
        <v/>
      </c>
    </row>
    <row r="5606" spans="19:25">
      <c r="S5606" t="str">
        <f t="shared" si="0"/>
        <v/>
      </c>
      <c r="T5606" t="str">
        <f t="shared" si="1"/>
        <v/>
      </c>
      <c r="U5606" t="str">
        <f t="shared" si="2"/>
        <v/>
      </c>
      <c r="V5606" t="str">
        <f>IF(OR(U5606="",U5606="ERRO_CHAVE"),"",IFERROR(MATCH(U5606,Fornecedores!$AF$1:$AF$6631,0),""))</f>
        <v/>
      </c>
      <c r="W5606" t="str">
        <f t="shared" si="3"/>
        <v/>
      </c>
      <c r="X5606" s="4" t="str">
        <f>IF(V5606="","",INDEX(Fornecedores!$X$1:$X$6631,V5606))</f>
        <v/>
      </c>
      <c r="Y5606" s="4" t="str">
        <f t="shared" si="4"/>
        <v/>
      </c>
    </row>
    <row r="5607" spans="19:25">
      <c r="S5607" t="str">
        <f t="shared" si="0"/>
        <v/>
      </c>
      <c r="T5607" t="str">
        <f t="shared" si="1"/>
        <v/>
      </c>
      <c r="U5607" t="str">
        <f t="shared" si="2"/>
        <v/>
      </c>
      <c r="V5607" t="str">
        <f>IF(OR(U5607="",U5607="ERRO_CHAVE"),"",IFERROR(MATCH(U5607,Fornecedores!$AF$1:$AF$6631,0),""))</f>
        <v/>
      </c>
      <c r="W5607" t="str">
        <f t="shared" si="3"/>
        <v/>
      </c>
      <c r="X5607" s="4" t="str">
        <f>IF(V5607="","",INDEX(Fornecedores!$X$1:$X$6631,V5607))</f>
        <v/>
      </c>
      <c r="Y5607" s="4" t="str">
        <f t="shared" si="4"/>
        <v/>
      </c>
    </row>
    <row r="5608" spans="19:25">
      <c r="S5608" t="str">
        <f t="shared" si="0"/>
        <v/>
      </c>
      <c r="T5608" t="str">
        <f t="shared" si="1"/>
        <v/>
      </c>
      <c r="U5608" t="str">
        <f t="shared" si="2"/>
        <v/>
      </c>
      <c r="V5608" t="str">
        <f>IF(OR(U5608="",U5608="ERRO_CHAVE"),"",IFERROR(MATCH(U5608,Fornecedores!$AF$1:$AF$6631,0),""))</f>
        <v/>
      </c>
      <c r="W5608" t="str">
        <f t="shared" si="3"/>
        <v/>
      </c>
      <c r="X5608" s="4" t="str">
        <f>IF(V5608="","",INDEX(Fornecedores!$X$1:$X$6631,V5608))</f>
        <v/>
      </c>
      <c r="Y5608" s="4" t="str">
        <f t="shared" si="4"/>
        <v/>
      </c>
    </row>
    <row r="5609" spans="19:25">
      <c r="S5609" t="str">
        <f t="shared" si="0"/>
        <v/>
      </c>
      <c r="T5609" t="str">
        <f t="shared" si="1"/>
        <v/>
      </c>
      <c r="U5609" t="str">
        <f t="shared" si="2"/>
        <v/>
      </c>
      <c r="V5609" t="str">
        <f>IF(OR(U5609="",U5609="ERRO_CHAVE"),"",IFERROR(MATCH(U5609,Fornecedores!$AF$1:$AF$6631,0),""))</f>
        <v/>
      </c>
      <c r="W5609" t="str">
        <f t="shared" si="3"/>
        <v/>
      </c>
      <c r="X5609" s="4" t="str">
        <f>IF(V5609="","",INDEX(Fornecedores!$X$1:$X$6631,V5609))</f>
        <v/>
      </c>
      <c r="Y5609" s="4" t="str">
        <f t="shared" si="4"/>
        <v/>
      </c>
    </row>
    <row r="5610" spans="19:25">
      <c r="S5610" t="str">
        <f t="shared" si="0"/>
        <v/>
      </c>
      <c r="T5610" t="str">
        <f t="shared" si="1"/>
        <v/>
      </c>
      <c r="U5610" t="str">
        <f t="shared" si="2"/>
        <v/>
      </c>
      <c r="V5610" t="str">
        <f>IF(OR(U5610="",U5610="ERRO_CHAVE"),"",IFERROR(MATCH(U5610,Fornecedores!$AF$1:$AF$6631,0),""))</f>
        <v/>
      </c>
      <c r="W5610" t="str">
        <f t="shared" si="3"/>
        <v/>
      </c>
      <c r="X5610" s="4" t="str">
        <f>IF(V5610="","",INDEX(Fornecedores!$X$1:$X$6631,V5610))</f>
        <v/>
      </c>
      <c r="Y5610" s="4" t="str">
        <f t="shared" si="4"/>
        <v/>
      </c>
    </row>
    <row r="5611" spans="19:25">
      <c r="S5611" t="str">
        <f t="shared" si="0"/>
        <v/>
      </c>
      <c r="T5611" t="str">
        <f t="shared" si="1"/>
        <v/>
      </c>
      <c r="U5611" t="str">
        <f t="shared" si="2"/>
        <v/>
      </c>
      <c r="V5611" t="str">
        <f>IF(OR(U5611="",U5611="ERRO_CHAVE"),"",IFERROR(MATCH(U5611,Fornecedores!$AF$1:$AF$6631,0),""))</f>
        <v/>
      </c>
      <c r="W5611" t="str">
        <f t="shared" si="3"/>
        <v/>
      </c>
      <c r="X5611" s="4" t="str">
        <f>IF(V5611="","",INDEX(Fornecedores!$X$1:$X$6631,V5611))</f>
        <v/>
      </c>
      <c r="Y5611" s="4" t="str">
        <f t="shared" si="4"/>
        <v/>
      </c>
    </row>
    <row r="5612" spans="19:25">
      <c r="S5612" t="str">
        <f t="shared" si="0"/>
        <v/>
      </c>
      <c r="T5612" t="str">
        <f t="shared" si="1"/>
        <v/>
      </c>
      <c r="U5612" t="str">
        <f t="shared" si="2"/>
        <v/>
      </c>
      <c r="V5612" t="str">
        <f>IF(OR(U5612="",U5612="ERRO_CHAVE"),"",IFERROR(MATCH(U5612,Fornecedores!$AF$1:$AF$6631,0),""))</f>
        <v/>
      </c>
      <c r="W5612" t="str">
        <f t="shared" si="3"/>
        <v/>
      </c>
      <c r="X5612" s="4" t="str">
        <f>IF(V5612="","",INDEX(Fornecedores!$X$1:$X$6631,V5612))</f>
        <v/>
      </c>
      <c r="Y5612" s="4" t="str">
        <f t="shared" si="4"/>
        <v/>
      </c>
    </row>
    <row r="5613" spans="19:25">
      <c r="S5613" t="str">
        <f t="shared" si="0"/>
        <v/>
      </c>
      <c r="T5613" t="str">
        <f t="shared" si="1"/>
        <v/>
      </c>
      <c r="U5613" t="str">
        <f t="shared" si="2"/>
        <v/>
      </c>
      <c r="V5613" t="str">
        <f>IF(OR(U5613="",U5613="ERRO_CHAVE"),"",IFERROR(MATCH(U5613,Fornecedores!$AF$1:$AF$6631,0),""))</f>
        <v/>
      </c>
      <c r="W5613" t="str">
        <f t="shared" si="3"/>
        <v/>
      </c>
      <c r="X5613" s="4" t="str">
        <f>IF(V5613="","",INDEX(Fornecedores!$X$1:$X$6631,V5613))</f>
        <v/>
      </c>
      <c r="Y5613" s="4" t="str">
        <f t="shared" si="4"/>
        <v/>
      </c>
    </row>
    <row r="5614" spans="19:25">
      <c r="S5614" t="str">
        <f t="shared" si="0"/>
        <v/>
      </c>
      <c r="T5614" t="str">
        <f t="shared" si="1"/>
        <v/>
      </c>
      <c r="U5614" t="str">
        <f t="shared" si="2"/>
        <v/>
      </c>
      <c r="V5614" t="str">
        <f>IF(OR(U5614="",U5614="ERRO_CHAVE"),"",IFERROR(MATCH(U5614,Fornecedores!$AF$1:$AF$6631,0),""))</f>
        <v/>
      </c>
      <c r="W5614" t="str">
        <f t="shared" si="3"/>
        <v/>
      </c>
      <c r="X5614" s="4" t="str">
        <f>IF(V5614="","",INDEX(Fornecedores!$X$1:$X$6631,V5614))</f>
        <v/>
      </c>
      <c r="Y5614" s="4" t="str">
        <f t="shared" si="4"/>
        <v/>
      </c>
    </row>
    <row r="5615" spans="19:25">
      <c r="S5615" t="str">
        <f t="shared" si="0"/>
        <v/>
      </c>
      <c r="T5615" t="str">
        <f t="shared" si="1"/>
        <v/>
      </c>
      <c r="U5615" t="str">
        <f t="shared" si="2"/>
        <v/>
      </c>
      <c r="V5615" t="str">
        <f>IF(OR(U5615="",U5615="ERRO_CHAVE"),"",IFERROR(MATCH(U5615,Fornecedores!$AF$1:$AF$6631,0),""))</f>
        <v/>
      </c>
      <c r="W5615" t="str">
        <f t="shared" si="3"/>
        <v/>
      </c>
      <c r="X5615" s="4" t="str">
        <f>IF(V5615="","",INDEX(Fornecedores!$X$1:$X$6631,V5615))</f>
        <v/>
      </c>
      <c r="Y5615" s="4" t="str">
        <f t="shared" si="4"/>
        <v/>
      </c>
    </row>
    <row r="5616" spans="19:25">
      <c r="S5616" t="str">
        <f t="shared" si="0"/>
        <v/>
      </c>
      <c r="T5616" t="str">
        <f t="shared" si="1"/>
        <v/>
      </c>
      <c r="U5616" t="str">
        <f t="shared" si="2"/>
        <v/>
      </c>
      <c r="V5616" t="str">
        <f>IF(OR(U5616="",U5616="ERRO_CHAVE"),"",IFERROR(MATCH(U5616,Fornecedores!$AF$1:$AF$6631,0),""))</f>
        <v/>
      </c>
      <c r="W5616" t="str">
        <f t="shared" si="3"/>
        <v/>
      </c>
      <c r="X5616" s="4" t="str">
        <f>IF(V5616="","",INDEX(Fornecedores!$X$1:$X$6631,V5616))</f>
        <v/>
      </c>
      <c r="Y5616" s="4" t="str">
        <f t="shared" si="4"/>
        <v/>
      </c>
    </row>
    <row r="5617" spans="19:25">
      <c r="S5617" t="str">
        <f t="shared" si="0"/>
        <v/>
      </c>
      <c r="T5617" t="str">
        <f t="shared" si="1"/>
        <v/>
      </c>
      <c r="U5617" t="str">
        <f t="shared" si="2"/>
        <v/>
      </c>
      <c r="V5617" t="str">
        <f>IF(OR(U5617="",U5617="ERRO_CHAVE"),"",IFERROR(MATCH(U5617,Fornecedores!$AF$1:$AF$6631,0),""))</f>
        <v/>
      </c>
      <c r="W5617" t="str">
        <f t="shared" si="3"/>
        <v/>
      </c>
      <c r="X5617" s="4" t="str">
        <f>IF(V5617="","",INDEX(Fornecedores!$X$1:$X$6631,V5617))</f>
        <v/>
      </c>
      <c r="Y5617" s="4" t="str">
        <f t="shared" si="4"/>
        <v/>
      </c>
    </row>
    <row r="5618" spans="19:25">
      <c r="S5618" t="str">
        <f t="shared" si="0"/>
        <v/>
      </c>
      <c r="T5618" t="str">
        <f t="shared" si="1"/>
        <v/>
      </c>
      <c r="U5618" t="str">
        <f t="shared" si="2"/>
        <v/>
      </c>
      <c r="V5618" t="str">
        <f>IF(OR(U5618="",U5618="ERRO_CHAVE"),"",IFERROR(MATCH(U5618,Fornecedores!$AF$1:$AF$6631,0),""))</f>
        <v/>
      </c>
      <c r="W5618" t="str">
        <f t="shared" si="3"/>
        <v/>
      </c>
      <c r="X5618" s="4" t="str">
        <f>IF(V5618="","",INDEX(Fornecedores!$X$1:$X$6631,V5618))</f>
        <v/>
      </c>
      <c r="Y5618" s="4" t="str">
        <f t="shared" si="4"/>
        <v/>
      </c>
    </row>
    <row r="5619" spans="19:25">
      <c r="S5619" t="str">
        <f t="shared" si="0"/>
        <v/>
      </c>
      <c r="T5619" t="str">
        <f t="shared" si="1"/>
        <v/>
      </c>
      <c r="U5619" t="str">
        <f t="shared" si="2"/>
        <v/>
      </c>
      <c r="V5619" t="str">
        <f>IF(OR(U5619="",U5619="ERRO_CHAVE"),"",IFERROR(MATCH(U5619,Fornecedores!$AF$1:$AF$6631,0),""))</f>
        <v/>
      </c>
      <c r="W5619" t="str">
        <f t="shared" si="3"/>
        <v/>
      </c>
      <c r="X5619" s="4" t="str">
        <f>IF(V5619="","",INDEX(Fornecedores!$X$1:$X$6631,V5619))</f>
        <v/>
      </c>
      <c r="Y5619" s="4" t="str">
        <f t="shared" si="4"/>
        <v/>
      </c>
    </row>
    <row r="5620" spans="19:25">
      <c r="S5620" t="str">
        <f t="shared" si="0"/>
        <v/>
      </c>
      <c r="T5620" t="str">
        <f t="shared" si="1"/>
        <v/>
      </c>
      <c r="U5620" t="str">
        <f t="shared" si="2"/>
        <v/>
      </c>
      <c r="V5620" t="str">
        <f>IF(OR(U5620="",U5620="ERRO_CHAVE"),"",IFERROR(MATCH(U5620,Fornecedores!$AF$1:$AF$6631,0),""))</f>
        <v/>
      </c>
      <c r="W5620" t="str">
        <f t="shared" si="3"/>
        <v/>
      </c>
      <c r="X5620" s="4" t="str">
        <f>IF(V5620="","",INDEX(Fornecedores!$X$1:$X$6631,V5620))</f>
        <v/>
      </c>
      <c r="Y5620" s="4" t="str">
        <f t="shared" si="4"/>
        <v/>
      </c>
    </row>
    <row r="5621" spans="19:25">
      <c r="S5621" t="str">
        <f t="shared" si="0"/>
        <v/>
      </c>
      <c r="T5621" t="str">
        <f t="shared" si="1"/>
        <v/>
      </c>
      <c r="U5621" t="str">
        <f t="shared" si="2"/>
        <v/>
      </c>
      <c r="V5621" t="str">
        <f>IF(OR(U5621="",U5621="ERRO_CHAVE"),"",IFERROR(MATCH(U5621,Fornecedores!$AF$1:$AF$6631,0),""))</f>
        <v/>
      </c>
      <c r="W5621" t="str">
        <f t="shared" si="3"/>
        <v/>
      </c>
      <c r="X5621" s="4" t="str">
        <f>IF(V5621="","",INDEX(Fornecedores!$X$1:$X$6631,V5621))</f>
        <v/>
      </c>
      <c r="Y5621" s="4" t="str">
        <f t="shared" si="4"/>
        <v/>
      </c>
    </row>
    <row r="5622" spans="19:25">
      <c r="S5622" t="str">
        <f t="shared" si="0"/>
        <v/>
      </c>
      <c r="T5622" t="str">
        <f t="shared" si="1"/>
        <v/>
      </c>
      <c r="U5622" t="str">
        <f t="shared" si="2"/>
        <v/>
      </c>
      <c r="V5622" t="str">
        <f>IF(OR(U5622="",U5622="ERRO_CHAVE"),"",IFERROR(MATCH(U5622,Fornecedores!$AF$1:$AF$6631,0),""))</f>
        <v/>
      </c>
      <c r="W5622" t="str">
        <f t="shared" si="3"/>
        <v/>
      </c>
      <c r="X5622" s="4" t="str">
        <f>IF(V5622="","",INDEX(Fornecedores!$X$1:$X$6631,V5622))</f>
        <v/>
      </c>
      <c r="Y5622" s="4" t="str">
        <f t="shared" si="4"/>
        <v/>
      </c>
    </row>
    <row r="5623" spans="19:25">
      <c r="S5623" t="str">
        <f t="shared" si="0"/>
        <v/>
      </c>
      <c r="T5623" t="str">
        <f t="shared" si="1"/>
        <v/>
      </c>
      <c r="U5623" t="str">
        <f t="shared" si="2"/>
        <v/>
      </c>
      <c r="V5623" t="str">
        <f>IF(OR(U5623="",U5623="ERRO_CHAVE"),"",IFERROR(MATCH(U5623,Fornecedores!$AF$1:$AF$6631,0),""))</f>
        <v/>
      </c>
      <c r="W5623" t="str">
        <f t="shared" si="3"/>
        <v/>
      </c>
      <c r="X5623" s="4" t="str">
        <f>IF(V5623="","",INDEX(Fornecedores!$X$1:$X$6631,V5623))</f>
        <v/>
      </c>
      <c r="Y5623" s="4" t="str">
        <f t="shared" si="4"/>
        <v/>
      </c>
    </row>
    <row r="5624" spans="19:25">
      <c r="S5624" t="str">
        <f t="shared" si="0"/>
        <v/>
      </c>
      <c r="T5624" t="str">
        <f t="shared" si="1"/>
        <v/>
      </c>
      <c r="U5624" t="str">
        <f t="shared" si="2"/>
        <v/>
      </c>
      <c r="V5624" t="str">
        <f>IF(OR(U5624="",U5624="ERRO_CHAVE"),"",IFERROR(MATCH(U5624,Fornecedores!$AF$1:$AF$6631,0),""))</f>
        <v/>
      </c>
      <c r="W5624" t="str">
        <f t="shared" si="3"/>
        <v/>
      </c>
      <c r="X5624" s="4" t="str">
        <f>IF(V5624="","",INDEX(Fornecedores!$X$1:$X$6631,V5624))</f>
        <v/>
      </c>
      <c r="Y5624" s="4" t="str">
        <f t="shared" si="4"/>
        <v/>
      </c>
    </row>
    <row r="5625" spans="19:25">
      <c r="S5625" t="str">
        <f t="shared" si="0"/>
        <v/>
      </c>
      <c r="T5625" t="str">
        <f t="shared" si="1"/>
        <v/>
      </c>
      <c r="U5625" t="str">
        <f t="shared" si="2"/>
        <v/>
      </c>
      <c r="V5625" t="str">
        <f>IF(OR(U5625="",U5625="ERRO_CHAVE"),"",IFERROR(MATCH(U5625,Fornecedores!$AF$1:$AF$6631,0),""))</f>
        <v/>
      </c>
      <c r="W5625" t="str">
        <f t="shared" si="3"/>
        <v/>
      </c>
      <c r="X5625" s="4" t="str">
        <f>IF(V5625="","",INDEX(Fornecedores!$X$1:$X$6631,V5625))</f>
        <v/>
      </c>
      <c r="Y5625" s="4" t="str">
        <f t="shared" si="4"/>
        <v/>
      </c>
    </row>
    <row r="5626" spans="19:25">
      <c r="S5626" t="str">
        <f t="shared" si="0"/>
        <v/>
      </c>
      <c r="T5626" t="str">
        <f t="shared" si="1"/>
        <v/>
      </c>
      <c r="U5626" t="str">
        <f t="shared" si="2"/>
        <v/>
      </c>
      <c r="V5626" t="str">
        <f>IF(OR(U5626="",U5626="ERRO_CHAVE"),"",IFERROR(MATCH(U5626,Fornecedores!$AF$1:$AF$6631,0),""))</f>
        <v/>
      </c>
      <c r="W5626" t="str">
        <f t="shared" si="3"/>
        <v/>
      </c>
      <c r="X5626" s="4" t="str">
        <f>IF(V5626="","",INDEX(Fornecedores!$X$1:$X$6631,V5626))</f>
        <v/>
      </c>
      <c r="Y5626" s="4" t="str">
        <f t="shared" si="4"/>
        <v/>
      </c>
    </row>
    <row r="5627" spans="19:25">
      <c r="S5627" t="str">
        <f t="shared" si="0"/>
        <v/>
      </c>
      <c r="T5627" t="str">
        <f t="shared" si="1"/>
        <v/>
      </c>
      <c r="U5627" t="str">
        <f t="shared" si="2"/>
        <v/>
      </c>
      <c r="V5627" t="str">
        <f>IF(OR(U5627="",U5627="ERRO_CHAVE"),"",IFERROR(MATCH(U5627,Fornecedores!$AF$1:$AF$6631,0),""))</f>
        <v/>
      </c>
      <c r="W5627" t="str">
        <f t="shared" si="3"/>
        <v/>
      </c>
      <c r="X5627" s="4" t="str">
        <f>IF(V5627="","",INDEX(Fornecedores!$X$1:$X$6631,V5627))</f>
        <v/>
      </c>
      <c r="Y5627" s="4" t="str">
        <f t="shared" si="4"/>
        <v/>
      </c>
    </row>
    <row r="5628" spans="19:25">
      <c r="S5628" t="str">
        <f t="shared" si="0"/>
        <v/>
      </c>
      <c r="T5628" t="str">
        <f t="shared" si="1"/>
        <v/>
      </c>
      <c r="U5628" t="str">
        <f t="shared" si="2"/>
        <v/>
      </c>
      <c r="V5628" t="str">
        <f>IF(OR(U5628="",U5628="ERRO_CHAVE"),"",IFERROR(MATCH(U5628,Fornecedores!$AF$1:$AF$6631,0),""))</f>
        <v/>
      </c>
      <c r="W5628" t="str">
        <f t="shared" si="3"/>
        <v/>
      </c>
      <c r="X5628" s="4" t="str">
        <f>IF(V5628="","",INDEX(Fornecedores!$X$1:$X$6631,V5628))</f>
        <v/>
      </c>
      <c r="Y5628" s="4" t="str">
        <f t="shared" si="4"/>
        <v/>
      </c>
    </row>
    <row r="5629" spans="19:25">
      <c r="S5629" t="str">
        <f t="shared" si="0"/>
        <v/>
      </c>
      <c r="T5629" t="str">
        <f t="shared" si="1"/>
        <v/>
      </c>
      <c r="U5629" t="str">
        <f t="shared" si="2"/>
        <v/>
      </c>
      <c r="V5629" t="str">
        <f>IF(OR(U5629="",U5629="ERRO_CHAVE"),"",IFERROR(MATCH(U5629,Fornecedores!$AF$1:$AF$6631,0),""))</f>
        <v/>
      </c>
      <c r="W5629" t="str">
        <f t="shared" si="3"/>
        <v/>
      </c>
      <c r="X5629" s="4" t="str">
        <f>IF(V5629="","",INDEX(Fornecedores!$X$1:$X$6631,V5629))</f>
        <v/>
      </c>
      <c r="Y5629" s="4" t="str">
        <f t="shared" si="4"/>
        <v/>
      </c>
    </row>
    <row r="5630" spans="19:25">
      <c r="S5630" t="str">
        <f t="shared" si="0"/>
        <v/>
      </c>
      <c r="T5630" t="str">
        <f t="shared" si="1"/>
        <v/>
      </c>
      <c r="U5630" t="str">
        <f t="shared" si="2"/>
        <v/>
      </c>
      <c r="V5630" t="str">
        <f>IF(OR(U5630="",U5630="ERRO_CHAVE"),"",IFERROR(MATCH(U5630,Fornecedores!$AF$1:$AF$6631,0),""))</f>
        <v/>
      </c>
      <c r="W5630" t="str">
        <f t="shared" si="3"/>
        <v/>
      </c>
      <c r="X5630" s="4" t="str">
        <f>IF(V5630="","",INDEX(Fornecedores!$X$1:$X$6631,V5630))</f>
        <v/>
      </c>
      <c r="Y5630" s="4" t="str">
        <f t="shared" si="4"/>
        <v/>
      </c>
    </row>
    <row r="5631" spans="19:25">
      <c r="S5631" t="str">
        <f t="shared" si="0"/>
        <v/>
      </c>
      <c r="T5631" t="str">
        <f t="shared" si="1"/>
        <v/>
      </c>
      <c r="U5631" t="str">
        <f t="shared" si="2"/>
        <v/>
      </c>
      <c r="V5631" t="str">
        <f>IF(OR(U5631="",U5631="ERRO_CHAVE"),"",IFERROR(MATCH(U5631,Fornecedores!$AF$1:$AF$6631,0),""))</f>
        <v/>
      </c>
      <c r="W5631" t="str">
        <f t="shared" si="3"/>
        <v/>
      </c>
      <c r="X5631" s="4" t="str">
        <f>IF(V5631="","",INDEX(Fornecedores!$X$1:$X$6631,V5631))</f>
        <v/>
      </c>
      <c r="Y5631" s="4" t="str">
        <f t="shared" si="4"/>
        <v/>
      </c>
    </row>
    <row r="5632" spans="19:25">
      <c r="S5632" t="str">
        <f t="shared" si="0"/>
        <v/>
      </c>
      <c r="T5632" t="str">
        <f t="shared" si="1"/>
        <v/>
      </c>
      <c r="U5632" t="str">
        <f t="shared" si="2"/>
        <v/>
      </c>
      <c r="V5632" t="str">
        <f>IF(OR(U5632="",U5632="ERRO_CHAVE"),"",IFERROR(MATCH(U5632,Fornecedores!$AF$1:$AF$6631,0),""))</f>
        <v/>
      </c>
      <c r="W5632" t="str">
        <f t="shared" si="3"/>
        <v/>
      </c>
      <c r="X5632" s="4" t="str">
        <f>IF(V5632="","",INDEX(Fornecedores!$X$1:$X$6631,V5632))</f>
        <v/>
      </c>
      <c r="Y5632" s="4" t="str">
        <f t="shared" si="4"/>
        <v/>
      </c>
    </row>
    <row r="5633" spans="19:25">
      <c r="S5633" t="str">
        <f t="shared" si="0"/>
        <v/>
      </c>
      <c r="T5633" t="str">
        <f t="shared" si="1"/>
        <v/>
      </c>
      <c r="U5633" t="str">
        <f t="shared" si="2"/>
        <v/>
      </c>
      <c r="V5633" t="str">
        <f>IF(OR(U5633="",U5633="ERRO_CHAVE"),"",IFERROR(MATCH(U5633,Fornecedores!$AF$1:$AF$6631,0),""))</f>
        <v/>
      </c>
      <c r="W5633" t="str">
        <f t="shared" si="3"/>
        <v/>
      </c>
      <c r="X5633" s="4" t="str">
        <f>IF(V5633="","",INDEX(Fornecedores!$X$1:$X$6631,V5633))</f>
        <v/>
      </c>
      <c r="Y5633" s="4" t="str">
        <f t="shared" si="4"/>
        <v/>
      </c>
    </row>
    <row r="5634" spans="19:25">
      <c r="S5634" t="str">
        <f t="shared" si="0"/>
        <v/>
      </c>
      <c r="T5634" t="str">
        <f t="shared" si="1"/>
        <v/>
      </c>
      <c r="U5634" t="str">
        <f t="shared" si="2"/>
        <v/>
      </c>
      <c r="V5634" t="str">
        <f>IF(OR(U5634="",U5634="ERRO_CHAVE"),"",IFERROR(MATCH(U5634,Fornecedores!$AF$1:$AF$6631,0),""))</f>
        <v/>
      </c>
      <c r="W5634" t="str">
        <f t="shared" si="3"/>
        <v/>
      </c>
      <c r="X5634" s="4" t="str">
        <f>IF(V5634="","",INDEX(Fornecedores!$X$1:$X$6631,V5634))</f>
        <v/>
      </c>
      <c r="Y5634" s="4" t="str">
        <f t="shared" si="4"/>
        <v/>
      </c>
    </row>
    <row r="5635" spans="19:25">
      <c r="S5635" t="str">
        <f t="shared" si="0"/>
        <v/>
      </c>
      <c r="T5635" t="str">
        <f t="shared" si="1"/>
        <v/>
      </c>
      <c r="U5635" t="str">
        <f t="shared" si="2"/>
        <v/>
      </c>
      <c r="V5635" t="str">
        <f>IF(OR(U5635="",U5635="ERRO_CHAVE"),"",IFERROR(MATCH(U5635,Fornecedores!$AF$1:$AF$6631,0),""))</f>
        <v/>
      </c>
      <c r="W5635" t="str">
        <f t="shared" si="3"/>
        <v/>
      </c>
      <c r="X5635" s="4" t="str">
        <f>IF(V5635="","",INDEX(Fornecedores!$X$1:$X$6631,V5635))</f>
        <v/>
      </c>
      <c r="Y5635" s="4" t="str">
        <f t="shared" si="4"/>
        <v/>
      </c>
    </row>
    <row r="5636" spans="19:25">
      <c r="S5636" t="str">
        <f t="shared" si="0"/>
        <v/>
      </c>
      <c r="T5636" t="str">
        <f t="shared" si="1"/>
        <v/>
      </c>
      <c r="U5636" t="str">
        <f t="shared" si="2"/>
        <v/>
      </c>
      <c r="V5636" t="str">
        <f>IF(OR(U5636="",U5636="ERRO_CHAVE"),"",IFERROR(MATCH(U5636,Fornecedores!$AF$1:$AF$6631,0),""))</f>
        <v/>
      </c>
      <c r="W5636" t="str">
        <f t="shared" si="3"/>
        <v/>
      </c>
      <c r="X5636" s="4" t="str">
        <f>IF(V5636="","",INDEX(Fornecedores!$X$1:$X$6631,V5636))</f>
        <v/>
      </c>
      <c r="Y5636" s="4" t="str">
        <f t="shared" si="4"/>
        <v/>
      </c>
    </row>
    <row r="5637" spans="19:25">
      <c r="S5637" t="str">
        <f t="shared" si="0"/>
        <v/>
      </c>
      <c r="T5637" t="str">
        <f t="shared" si="1"/>
        <v/>
      </c>
      <c r="U5637" t="str">
        <f t="shared" si="2"/>
        <v/>
      </c>
      <c r="V5637" t="str">
        <f>IF(OR(U5637="",U5637="ERRO_CHAVE"),"",IFERROR(MATCH(U5637,Fornecedores!$AF$1:$AF$6631,0),""))</f>
        <v/>
      </c>
      <c r="W5637" t="str">
        <f t="shared" si="3"/>
        <v/>
      </c>
      <c r="X5637" s="4" t="str">
        <f>IF(V5637="","",INDEX(Fornecedores!$X$1:$X$6631,V5637))</f>
        <v/>
      </c>
      <c r="Y5637" s="4" t="str">
        <f t="shared" si="4"/>
        <v/>
      </c>
    </row>
    <row r="5638" spans="19:25">
      <c r="S5638" t="str">
        <f t="shared" si="0"/>
        <v/>
      </c>
      <c r="T5638" t="str">
        <f t="shared" si="1"/>
        <v/>
      </c>
      <c r="U5638" t="str">
        <f t="shared" si="2"/>
        <v/>
      </c>
      <c r="V5638" t="str">
        <f>IF(OR(U5638="",U5638="ERRO_CHAVE"),"",IFERROR(MATCH(U5638,Fornecedores!$AF$1:$AF$6631,0),""))</f>
        <v/>
      </c>
      <c r="W5638" t="str">
        <f t="shared" si="3"/>
        <v/>
      </c>
      <c r="X5638" s="4" t="str">
        <f>IF(V5638="","",INDEX(Fornecedores!$X$1:$X$6631,V5638))</f>
        <v/>
      </c>
      <c r="Y5638" s="4" t="str">
        <f t="shared" si="4"/>
        <v/>
      </c>
    </row>
    <row r="5639" spans="19:25">
      <c r="S5639" t="str">
        <f t="shared" si="0"/>
        <v/>
      </c>
      <c r="T5639" t="str">
        <f t="shared" si="1"/>
        <v/>
      </c>
      <c r="U5639" t="str">
        <f t="shared" si="2"/>
        <v/>
      </c>
      <c r="V5639" t="str">
        <f>IF(OR(U5639="",U5639="ERRO_CHAVE"),"",IFERROR(MATCH(U5639,Fornecedores!$AF$1:$AF$6631,0),""))</f>
        <v/>
      </c>
      <c r="W5639" t="str">
        <f t="shared" si="3"/>
        <v/>
      </c>
      <c r="X5639" s="4" t="str">
        <f>IF(V5639="","",INDEX(Fornecedores!$X$1:$X$6631,V5639))</f>
        <v/>
      </c>
      <c r="Y5639" s="4" t="str">
        <f t="shared" si="4"/>
        <v/>
      </c>
    </row>
    <row r="5640" spans="19:25">
      <c r="S5640" t="str">
        <f t="shared" si="0"/>
        <v/>
      </c>
      <c r="T5640" t="str">
        <f t="shared" si="1"/>
        <v/>
      </c>
      <c r="U5640" t="str">
        <f t="shared" si="2"/>
        <v/>
      </c>
      <c r="V5640" t="str">
        <f>IF(OR(U5640="",U5640="ERRO_CHAVE"),"",IFERROR(MATCH(U5640,Fornecedores!$AF$1:$AF$6631,0),""))</f>
        <v/>
      </c>
      <c r="W5640" t="str">
        <f t="shared" si="3"/>
        <v/>
      </c>
      <c r="X5640" s="4" t="str">
        <f>IF(V5640="","",INDEX(Fornecedores!$X$1:$X$6631,V5640))</f>
        <v/>
      </c>
      <c r="Y5640" s="4" t="str">
        <f t="shared" si="4"/>
        <v/>
      </c>
    </row>
    <row r="5641" spans="19:25">
      <c r="S5641" t="str">
        <f t="shared" si="0"/>
        <v/>
      </c>
      <c r="T5641" t="str">
        <f t="shared" si="1"/>
        <v/>
      </c>
      <c r="U5641" t="str">
        <f t="shared" si="2"/>
        <v/>
      </c>
      <c r="V5641" t="str">
        <f>IF(OR(U5641="",U5641="ERRO_CHAVE"),"",IFERROR(MATCH(U5641,Fornecedores!$AF$1:$AF$6631,0),""))</f>
        <v/>
      </c>
      <c r="W5641" t="str">
        <f t="shared" si="3"/>
        <v/>
      </c>
      <c r="X5641" s="4" t="str">
        <f>IF(V5641="","",INDEX(Fornecedores!$X$1:$X$6631,V5641))</f>
        <v/>
      </c>
      <c r="Y5641" s="4" t="str">
        <f t="shared" si="4"/>
        <v/>
      </c>
    </row>
    <row r="5642" spans="19:25">
      <c r="S5642" t="str">
        <f t="shared" si="0"/>
        <v/>
      </c>
      <c r="T5642" t="str">
        <f t="shared" si="1"/>
        <v/>
      </c>
      <c r="U5642" t="str">
        <f t="shared" si="2"/>
        <v/>
      </c>
      <c r="V5642" t="str">
        <f>IF(OR(U5642="",U5642="ERRO_CHAVE"),"",IFERROR(MATCH(U5642,Fornecedores!$AF$1:$AF$6631,0),""))</f>
        <v/>
      </c>
      <c r="W5642" t="str">
        <f t="shared" si="3"/>
        <v/>
      </c>
      <c r="X5642" s="4" t="str">
        <f>IF(V5642="","",INDEX(Fornecedores!$X$1:$X$6631,V5642))</f>
        <v/>
      </c>
      <c r="Y5642" s="4" t="str">
        <f t="shared" si="4"/>
        <v/>
      </c>
    </row>
    <row r="5643" spans="19:25">
      <c r="S5643" t="str">
        <f t="shared" si="0"/>
        <v/>
      </c>
      <c r="T5643" t="str">
        <f t="shared" si="1"/>
        <v/>
      </c>
      <c r="U5643" t="str">
        <f t="shared" si="2"/>
        <v/>
      </c>
      <c r="V5643" t="str">
        <f>IF(OR(U5643="",U5643="ERRO_CHAVE"),"",IFERROR(MATCH(U5643,Fornecedores!$AF$1:$AF$6631,0),""))</f>
        <v/>
      </c>
      <c r="W5643" t="str">
        <f t="shared" si="3"/>
        <v/>
      </c>
      <c r="X5643" s="4" t="str">
        <f>IF(V5643="","",INDEX(Fornecedores!$X$1:$X$6631,V5643))</f>
        <v/>
      </c>
      <c r="Y5643" s="4" t="str">
        <f t="shared" si="4"/>
        <v/>
      </c>
    </row>
    <row r="5644" spans="19:25">
      <c r="S5644" t="str">
        <f t="shared" si="0"/>
        <v/>
      </c>
      <c r="T5644" t="str">
        <f t="shared" si="1"/>
        <v/>
      </c>
      <c r="U5644" t="str">
        <f t="shared" si="2"/>
        <v/>
      </c>
      <c r="V5644" t="str">
        <f>IF(OR(U5644="",U5644="ERRO_CHAVE"),"",IFERROR(MATCH(U5644,Fornecedores!$AF$1:$AF$6631,0),""))</f>
        <v/>
      </c>
      <c r="W5644" t="str">
        <f t="shared" si="3"/>
        <v/>
      </c>
      <c r="X5644" s="4" t="str">
        <f>IF(V5644="","",INDEX(Fornecedores!$X$1:$X$6631,V5644))</f>
        <v/>
      </c>
      <c r="Y5644" s="4" t="str">
        <f t="shared" si="4"/>
        <v/>
      </c>
    </row>
    <row r="5645" spans="19:25">
      <c r="S5645" t="str">
        <f t="shared" si="0"/>
        <v/>
      </c>
      <c r="T5645" t="str">
        <f t="shared" si="1"/>
        <v/>
      </c>
      <c r="U5645" t="str">
        <f t="shared" si="2"/>
        <v/>
      </c>
      <c r="V5645" t="str">
        <f>IF(OR(U5645="",U5645="ERRO_CHAVE"),"",IFERROR(MATCH(U5645,Fornecedores!$AF$1:$AF$6631,0),""))</f>
        <v/>
      </c>
      <c r="W5645" t="str">
        <f t="shared" si="3"/>
        <v/>
      </c>
      <c r="X5645" s="4" t="str">
        <f>IF(V5645="","",INDEX(Fornecedores!$X$1:$X$6631,V5645))</f>
        <v/>
      </c>
      <c r="Y5645" s="4" t="str">
        <f t="shared" si="4"/>
        <v/>
      </c>
    </row>
    <row r="5646" spans="19:25">
      <c r="S5646" t="str">
        <f t="shared" si="0"/>
        <v/>
      </c>
      <c r="T5646" t="str">
        <f t="shared" si="1"/>
        <v/>
      </c>
      <c r="U5646" t="str">
        <f t="shared" si="2"/>
        <v/>
      </c>
      <c r="V5646" t="str">
        <f>IF(OR(U5646="",U5646="ERRO_CHAVE"),"",IFERROR(MATCH(U5646,Fornecedores!$AF$1:$AF$6631,0),""))</f>
        <v/>
      </c>
      <c r="W5646" t="str">
        <f t="shared" si="3"/>
        <v/>
      </c>
      <c r="X5646" s="4" t="str">
        <f>IF(V5646="","",INDEX(Fornecedores!$X$1:$X$6631,V5646))</f>
        <v/>
      </c>
      <c r="Y5646" s="4" t="str">
        <f t="shared" si="4"/>
        <v/>
      </c>
    </row>
    <row r="5647" spans="19:25">
      <c r="S5647" t="str">
        <f t="shared" si="0"/>
        <v/>
      </c>
      <c r="T5647" t="str">
        <f t="shared" si="1"/>
        <v/>
      </c>
      <c r="U5647" t="str">
        <f t="shared" si="2"/>
        <v/>
      </c>
      <c r="V5647" t="str">
        <f>IF(OR(U5647="",U5647="ERRO_CHAVE"),"",IFERROR(MATCH(U5647,Fornecedores!$AF$1:$AF$6631,0),""))</f>
        <v/>
      </c>
      <c r="W5647" t="str">
        <f t="shared" si="3"/>
        <v/>
      </c>
      <c r="X5647" s="4" t="str">
        <f>IF(V5647="","",INDEX(Fornecedores!$X$1:$X$6631,V5647))</f>
        <v/>
      </c>
      <c r="Y5647" s="4" t="str">
        <f t="shared" si="4"/>
        <v/>
      </c>
    </row>
    <row r="5648" spans="19:25">
      <c r="S5648" t="str">
        <f t="shared" si="0"/>
        <v/>
      </c>
      <c r="T5648" t="str">
        <f t="shared" si="1"/>
        <v/>
      </c>
      <c r="U5648" t="str">
        <f t="shared" si="2"/>
        <v/>
      </c>
      <c r="V5648" t="str">
        <f>IF(OR(U5648="",U5648="ERRO_CHAVE"),"",IFERROR(MATCH(U5648,Fornecedores!$AF$1:$AF$6631,0),""))</f>
        <v/>
      </c>
      <c r="W5648" t="str">
        <f t="shared" si="3"/>
        <v/>
      </c>
      <c r="X5648" s="4" t="str">
        <f>IF(V5648="","",INDEX(Fornecedores!$X$1:$X$6631,V5648))</f>
        <v/>
      </c>
      <c r="Y5648" s="4" t="str">
        <f t="shared" si="4"/>
        <v/>
      </c>
    </row>
    <row r="5649" spans="19:25">
      <c r="S5649" t="str">
        <f t="shared" si="0"/>
        <v/>
      </c>
      <c r="T5649" t="str">
        <f t="shared" si="1"/>
        <v/>
      </c>
      <c r="U5649" t="str">
        <f t="shared" si="2"/>
        <v/>
      </c>
      <c r="V5649" t="str">
        <f>IF(OR(U5649="",U5649="ERRO_CHAVE"),"",IFERROR(MATCH(U5649,Fornecedores!$AF$1:$AF$6631,0),""))</f>
        <v/>
      </c>
      <c r="W5649" t="str">
        <f t="shared" si="3"/>
        <v/>
      </c>
      <c r="X5649" s="4" t="str">
        <f>IF(V5649="","",INDEX(Fornecedores!$X$1:$X$6631,V5649))</f>
        <v/>
      </c>
      <c r="Y5649" s="4" t="str">
        <f t="shared" si="4"/>
        <v/>
      </c>
    </row>
    <row r="5650" spans="19:25">
      <c r="S5650" t="str">
        <f t="shared" si="0"/>
        <v/>
      </c>
      <c r="T5650" t="str">
        <f t="shared" si="1"/>
        <v/>
      </c>
      <c r="U5650" t="str">
        <f t="shared" si="2"/>
        <v/>
      </c>
      <c r="V5650" t="str">
        <f>IF(OR(U5650="",U5650="ERRO_CHAVE"),"",IFERROR(MATCH(U5650,Fornecedores!$AF$1:$AF$6631,0),""))</f>
        <v/>
      </c>
      <c r="W5650" t="str">
        <f t="shared" si="3"/>
        <v/>
      </c>
      <c r="X5650" s="4" t="str">
        <f>IF(V5650="","",INDEX(Fornecedores!$X$1:$X$6631,V5650))</f>
        <v/>
      </c>
      <c r="Y5650" s="4" t="str">
        <f t="shared" si="4"/>
        <v/>
      </c>
    </row>
    <row r="5651" spans="19:25">
      <c r="S5651" t="str">
        <f t="shared" si="0"/>
        <v/>
      </c>
      <c r="T5651" t="str">
        <f t="shared" si="1"/>
        <v/>
      </c>
      <c r="U5651" t="str">
        <f t="shared" si="2"/>
        <v/>
      </c>
      <c r="V5651" t="str">
        <f>IF(OR(U5651="",U5651="ERRO_CHAVE"),"",IFERROR(MATCH(U5651,Fornecedores!$AF$1:$AF$6631,0),""))</f>
        <v/>
      </c>
      <c r="W5651" t="str">
        <f t="shared" si="3"/>
        <v/>
      </c>
      <c r="X5651" s="4" t="str">
        <f>IF(V5651="","",INDEX(Fornecedores!$X$1:$X$6631,V5651))</f>
        <v/>
      </c>
      <c r="Y5651" s="4" t="str">
        <f t="shared" si="4"/>
        <v/>
      </c>
    </row>
    <row r="5652" spans="19:25">
      <c r="S5652" t="str">
        <f t="shared" si="0"/>
        <v/>
      </c>
      <c r="T5652" t="str">
        <f t="shared" si="1"/>
        <v/>
      </c>
      <c r="U5652" t="str">
        <f t="shared" si="2"/>
        <v/>
      </c>
      <c r="V5652" t="str">
        <f>IF(OR(U5652="",U5652="ERRO_CHAVE"),"",IFERROR(MATCH(U5652,Fornecedores!$AF$1:$AF$6631,0),""))</f>
        <v/>
      </c>
      <c r="W5652" t="str">
        <f t="shared" si="3"/>
        <v/>
      </c>
      <c r="X5652" s="4" t="str">
        <f>IF(V5652="","",INDEX(Fornecedores!$X$1:$X$6631,V5652))</f>
        <v/>
      </c>
      <c r="Y5652" s="4" t="str">
        <f t="shared" si="4"/>
        <v/>
      </c>
    </row>
    <row r="5653" spans="19:25">
      <c r="S5653" t="str">
        <f t="shared" si="0"/>
        <v/>
      </c>
      <c r="T5653" t="str">
        <f t="shared" si="1"/>
        <v/>
      </c>
      <c r="U5653" t="str">
        <f t="shared" si="2"/>
        <v/>
      </c>
      <c r="V5653" t="str">
        <f>IF(OR(U5653="",U5653="ERRO_CHAVE"),"",IFERROR(MATCH(U5653,Fornecedores!$AF$1:$AF$6631,0),""))</f>
        <v/>
      </c>
      <c r="W5653" t="str">
        <f t="shared" si="3"/>
        <v/>
      </c>
      <c r="X5653" s="4" t="str">
        <f>IF(V5653="","",INDEX(Fornecedores!$X$1:$X$6631,V5653))</f>
        <v/>
      </c>
      <c r="Y5653" s="4" t="str">
        <f t="shared" si="4"/>
        <v/>
      </c>
    </row>
    <row r="5654" spans="19:25">
      <c r="S5654" t="str">
        <f t="shared" si="0"/>
        <v/>
      </c>
      <c r="T5654" t="str">
        <f t="shared" si="1"/>
        <v/>
      </c>
      <c r="U5654" t="str">
        <f t="shared" si="2"/>
        <v/>
      </c>
      <c r="V5654" t="str">
        <f>IF(OR(U5654="",U5654="ERRO_CHAVE"),"",IFERROR(MATCH(U5654,Fornecedores!$AF$1:$AF$6631,0),""))</f>
        <v/>
      </c>
      <c r="W5654" t="str">
        <f t="shared" si="3"/>
        <v/>
      </c>
      <c r="X5654" s="4" t="str">
        <f>IF(V5654="","",INDEX(Fornecedores!$X$1:$X$6631,V5654))</f>
        <v/>
      </c>
      <c r="Y5654" s="4" t="str">
        <f t="shared" si="4"/>
        <v/>
      </c>
    </row>
    <row r="5655" spans="19:25">
      <c r="S5655" t="str">
        <f t="shared" si="0"/>
        <v/>
      </c>
      <c r="T5655" t="str">
        <f t="shared" si="1"/>
        <v/>
      </c>
      <c r="U5655" t="str">
        <f t="shared" si="2"/>
        <v/>
      </c>
      <c r="V5655" t="str">
        <f>IF(OR(U5655="",U5655="ERRO_CHAVE"),"",IFERROR(MATCH(U5655,Fornecedores!$AF$1:$AF$6631,0),""))</f>
        <v/>
      </c>
      <c r="W5655" t="str">
        <f t="shared" si="3"/>
        <v/>
      </c>
      <c r="X5655" s="4" t="str">
        <f>IF(V5655="","",INDEX(Fornecedores!$X$1:$X$6631,V5655))</f>
        <v/>
      </c>
      <c r="Y5655" s="4" t="str">
        <f t="shared" si="4"/>
        <v/>
      </c>
    </row>
    <row r="5656" spans="19:25">
      <c r="S5656" t="str">
        <f t="shared" si="0"/>
        <v/>
      </c>
      <c r="T5656" t="str">
        <f t="shared" si="1"/>
        <v/>
      </c>
      <c r="U5656" t="str">
        <f t="shared" si="2"/>
        <v/>
      </c>
      <c r="V5656" t="str">
        <f>IF(OR(U5656="",U5656="ERRO_CHAVE"),"",IFERROR(MATCH(U5656,Fornecedores!$AF$1:$AF$6631,0),""))</f>
        <v/>
      </c>
      <c r="W5656" t="str">
        <f t="shared" si="3"/>
        <v/>
      </c>
      <c r="X5656" s="4" t="str">
        <f>IF(V5656="","",INDEX(Fornecedores!$X$1:$X$6631,V5656))</f>
        <v/>
      </c>
      <c r="Y5656" s="4" t="str">
        <f t="shared" si="4"/>
        <v/>
      </c>
    </row>
    <row r="5657" spans="19:25">
      <c r="S5657" t="str">
        <f t="shared" si="0"/>
        <v/>
      </c>
      <c r="T5657" t="str">
        <f t="shared" si="1"/>
        <v/>
      </c>
      <c r="U5657" t="str">
        <f t="shared" si="2"/>
        <v/>
      </c>
      <c r="V5657" t="str">
        <f>IF(OR(U5657="",U5657="ERRO_CHAVE"),"",IFERROR(MATCH(U5657,Fornecedores!$AF$1:$AF$6631,0),""))</f>
        <v/>
      </c>
      <c r="W5657" t="str">
        <f t="shared" si="3"/>
        <v/>
      </c>
      <c r="X5657" s="4" t="str">
        <f>IF(V5657="","",INDEX(Fornecedores!$X$1:$X$6631,V5657))</f>
        <v/>
      </c>
      <c r="Y5657" s="4" t="str">
        <f t="shared" si="4"/>
        <v/>
      </c>
    </row>
    <row r="5658" spans="19:25">
      <c r="S5658" t="str">
        <f t="shared" si="0"/>
        <v/>
      </c>
      <c r="T5658" t="str">
        <f t="shared" si="1"/>
        <v/>
      </c>
      <c r="U5658" t="str">
        <f t="shared" si="2"/>
        <v/>
      </c>
      <c r="V5658" t="str">
        <f>IF(OR(U5658="",U5658="ERRO_CHAVE"),"",IFERROR(MATCH(U5658,Fornecedores!$AF$1:$AF$6631,0),""))</f>
        <v/>
      </c>
      <c r="W5658" t="str">
        <f t="shared" si="3"/>
        <v/>
      </c>
      <c r="X5658" s="4" t="str">
        <f>IF(V5658="","",INDEX(Fornecedores!$X$1:$X$6631,V5658))</f>
        <v/>
      </c>
      <c r="Y5658" s="4" t="str">
        <f t="shared" si="4"/>
        <v/>
      </c>
    </row>
    <row r="5659" spans="19:25">
      <c r="S5659" t="str">
        <f t="shared" si="0"/>
        <v/>
      </c>
      <c r="T5659" t="str">
        <f t="shared" si="1"/>
        <v/>
      </c>
      <c r="U5659" t="str">
        <f t="shared" si="2"/>
        <v/>
      </c>
      <c r="V5659" t="str">
        <f>IF(OR(U5659="",U5659="ERRO_CHAVE"),"",IFERROR(MATCH(U5659,Fornecedores!$AF$1:$AF$6631,0),""))</f>
        <v/>
      </c>
      <c r="W5659" t="str">
        <f t="shared" si="3"/>
        <v/>
      </c>
      <c r="X5659" s="4" t="str">
        <f>IF(V5659="","",INDEX(Fornecedores!$X$1:$X$6631,V5659))</f>
        <v/>
      </c>
      <c r="Y5659" s="4" t="str">
        <f t="shared" si="4"/>
        <v/>
      </c>
    </row>
    <row r="5660" spans="19:25">
      <c r="S5660" t="str">
        <f t="shared" si="0"/>
        <v/>
      </c>
      <c r="T5660" t="str">
        <f t="shared" si="1"/>
        <v/>
      </c>
      <c r="U5660" t="str">
        <f t="shared" si="2"/>
        <v/>
      </c>
      <c r="V5660" t="str">
        <f>IF(OR(U5660="",U5660="ERRO_CHAVE"),"",IFERROR(MATCH(U5660,Fornecedores!$AF$1:$AF$6631,0),""))</f>
        <v/>
      </c>
      <c r="W5660" t="str">
        <f t="shared" si="3"/>
        <v/>
      </c>
      <c r="X5660" s="4" t="str">
        <f>IF(V5660="","",INDEX(Fornecedores!$X$1:$X$6631,V5660))</f>
        <v/>
      </c>
      <c r="Y5660" s="4" t="str">
        <f t="shared" si="4"/>
        <v/>
      </c>
    </row>
    <row r="5661" spans="19:25">
      <c r="S5661" t="str">
        <f t="shared" si="0"/>
        <v/>
      </c>
      <c r="T5661" t="str">
        <f t="shared" si="1"/>
        <v/>
      </c>
      <c r="U5661" t="str">
        <f t="shared" si="2"/>
        <v/>
      </c>
      <c r="V5661" t="str">
        <f>IF(OR(U5661="",U5661="ERRO_CHAVE"),"",IFERROR(MATCH(U5661,Fornecedores!$AF$1:$AF$6631,0),""))</f>
        <v/>
      </c>
      <c r="W5661" t="str">
        <f t="shared" si="3"/>
        <v/>
      </c>
      <c r="X5661" s="4" t="str">
        <f>IF(V5661="","",INDEX(Fornecedores!$X$1:$X$6631,V5661))</f>
        <v/>
      </c>
      <c r="Y5661" s="4" t="str">
        <f t="shared" si="4"/>
        <v/>
      </c>
    </row>
    <row r="5662" spans="19:25">
      <c r="S5662" t="str">
        <f t="shared" si="0"/>
        <v/>
      </c>
      <c r="T5662" t="str">
        <f t="shared" si="1"/>
        <v/>
      </c>
      <c r="U5662" t="str">
        <f t="shared" si="2"/>
        <v/>
      </c>
      <c r="V5662" t="str">
        <f>IF(OR(U5662="",U5662="ERRO_CHAVE"),"",IFERROR(MATCH(U5662,Fornecedores!$AF$1:$AF$6631,0),""))</f>
        <v/>
      </c>
      <c r="W5662" t="str">
        <f t="shared" si="3"/>
        <v/>
      </c>
      <c r="X5662" s="4" t="str">
        <f>IF(V5662="","",INDEX(Fornecedores!$X$1:$X$6631,V5662))</f>
        <v/>
      </c>
      <c r="Y5662" s="4" t="str">
        <f t="shared" si="4"/>
        <v/>
      </c>
    </row>
    <row r="5663" spans="19:25">
      <c r="S5663" t="str">
        <f t="shared" si="0"/>
        <v/>
      </c>
      <c r="T5663" t="str">
        <f t="shared" si="1"/>
        <v/>
      </c>
      <c r="U5663" t="str">
        <f t="shared" si="2"/>
        <v/>
      </c>
      <c r="V5663" t="str">
        <f>IF(OR(U5663="",U5663="ERRO_CHAVE"),"",IFERROR(MATCH(U5663,Fornecedores!$AF$1:$AF$6631,0),""))</f>
        <v/>
      </c>
      <c r="W5663" t="str">
        <f t="shared" si="3"/>
        <v/>
      </c>
      <c r="X5663" s="4" t="str">
        <f>IF(V5663="","",INDEX(Fornecedores!$X$1:$X$6631,V5663))</f>
        <v/>
      </c>
      <c r="Y5663" s="4" t="str">
        <f t="shared" si="4"/>
        <v/>
      </c>
    </row>
    <row r="5664" spans="19:25">
      <c r="S5664" t="str">
        <f t="shared" si="0"/>
        <v/>
      </c>
      <c r="T5664" t="str">
        <f t="shared" si="1"/>
        <v/>
      </c>
      <c r="U5664" t="str">
        <f t="shared" si="2"/>
        <v/>
      </c>
      <c r="V5664" t="str">
        <f>IF(OR(U5664="",U5664="ERRO_CHAVE"),"",IFERROR(MATCH(U5664,Fornecedores!$AF$1:$AF$6631,0),""))</f>
        <v/>
      </c>
      <c r="W5664" t="str">
        <f t="shared" si="3"/>
        <v/>
      </c>
      <c r="X5664" s="4" t="str">
        <f>IF(V5664="","",INDEX(Fornecedores!$X$1:$X$6631,V5664))</f>
        <v/>
      </c>
      <c r="Y5664" s="4" t="str">
        <f t="shared" si="4"/>
        <v/>
      </c>
    </row>
    <row r="5665" spans="19:25">
      <c r="S5665" t="str">
        <f t="shared" si="0"/>
        <v/>
      </c>
      <c r="T5665" t="str">
        <f t="shared" si="1"/>
        <v/>
      </c>
      <c r="U5665" t="str">
        <f t="shared" si="2"/>
        <v/>
      </c>
      <c r="V5665" t="str">
        <f>IF(OR(U5665="",U5665="ERRO_CHAVE"),"",IFERROR(MATCH(U5665,Fornecedores!$AF$1:$AF$6631,0),""))</f>
        <v/>
      </c>
      <c r="W5665" t="str">
        <f t="shared" si="3"/>
        <v/>
      </c>
      <c r="X5665" s="4" t="str">
        <f>IF(V5665="","",INDEX(Fornecedores!$X$1:$X$6631,V5665))</f>
        <v/>
      </c>
      <c r="Y5665" s="4" t="str">
        <f t="shared" si="4"/>
        <v/>
      </c>
    </row>
    <row r="5666" spans="19:25">
      <c r="S5666" t="str">
        <f t="shared" si="0"/>
        <v/>
      </c>
      <c r="T5666" t="str">
        <f t="shared" si="1"/>
        <v/>
      </c>
      <c r="U5666" t="str">
        <f t="shared" si="2"/>
        <v/>
      </c>
      <c r="V5666" t="str">
        <f>IF(OR(U5666="",U5666="ERRO_CHAVE"),"",IFERROR(MATCH(U5666,Fornecedores!$AF$1:$AF$6631,0),""))</f>
        <v/>
      </c>
      <c r="W5666" t="str">
        <f t="shared" si="3"/>
        <v/>
      </c>
      <c r="X5666" s="4" t="str">
        <f>IF(V5666="","",INDEX(Fornecedores!$X$1:$X$6631,V5666))</f>
        <v/>
      </c>
      <c r="Y5666" s="4" t="str">
        <f t="shared" si="4"/>
        <v/>
      </c>
    </row>
    <row r="5667" spans="19:25">
      <c r="S5667" t="str">
        <f t="shared" si="0"/>
        <v/>
      </c>
      <c r="T5667" t="str">
        <f t="shared" si="1"/>
        <v/>
      </c>
      <c r="U5667" t="str">
        <f t="shared" si="2"/>
        <v/>
      </c>
      <c r="V5667" t="str">
        <f>IF(OR(U5667="",U5667="ERRO_CHAVE"),"",IFERROR(MATCH(U5667,Fornecedores!$AF$1:$AF$6631,0),""))</f>
        <v/>
      </c>
      <c r="W5667" t="str">
        <f t="shared" si="3"/>
        <v/>
      </c>
      <c r="X5667" s="4" t="str">
        <f>IF(V5667="","",INDEX(Fornecedores!$X$1:$X$6631,V5667))</f>
        <v/>
      </c>
      <c r="Y5667" s="4" t="str">
        <f t="shared" si="4"/>
        <v/>
      </c>
    </row>
    <row r="5668" spans="19:25">
      <c r="S5668" t="str">
        <f t="shared" si="0"/>
        <v/>
      </c>
      <c r="T5668" t="str">
        <f t="shared" si="1"/>
        <v/>
      </c>
      <c r="U5668" t="str">
        <f t="shared" si="2"/>
        <v/>
      </c>
      <c r="V5668" t="str">
        <f>IF(OR(U5668="",U5668="ERRO_CHAVE"),"",IFERROR(MATCH(U5668,Fornecedores!$AF$1:$AF$6631,0),""))</f>
        <v/>
      </c>
      <c r="W5668" t="str">
        <f t="shared" si="3"/>
        <v/>
      </c>
      <c r="X5668" s="4" t="str">
        <f>IF(V5668="","",INDEX(Fornecedores!$X$1:$X$6631,V5668))</f>
        <v/>
      </c>
      <c r="Y5668" s="4" t="str">
        <f t="shared" si="4"/>
        <v/>
      </c>
    </row>
    <row r="5669" spans="19:25">
      <c r="S5669" t="str">
        <f t="shared" si="0"/>
        <v/>
      </c>
      <c r="T5669" t="str">
        <f t="shared" si="1"/>
        <v/>
      </c>
      <c r="U5669" t="str">
        <f t="shared" si="2"/>
        <v/>
      </c>
      <c r="V5669" t="str">
        <f>IF(OR(U5669="",U5669="ERRO_CHAVE"),"",IFERROR(MATCH(U5669,Fornecedores!$AF$1:$AF$6631,0),""))</f>
        <v/>
      </c>
      <c r="W5669" t="str">
        <f t="shared" si="3"/>
        <v/>
      </c>
      <c r="X5669" s="4" t="str">
        <f>IF(V5669="","",INDEX(Fornecedores!$X$1:$X$6631,V5669))</f>
        <v/>
      </c>
      <c r="Y5669" s="4" t="str">
        <f t="shared" si="4"/>
        <v/>
      </c>
    </row>
    <row r="5670" spans="19:25">
      <c r="S5670" t="str">
        <f t="shared" si="0"/>
        <v/>
      </c>
      <c r="T5670" t="str">
        <f t="shared" si="1"/>
        <v/>
      </c>
      <c r="U5670" t="str">
        <f t="shared" si="2"/>
        <v/>
      </c>
      <c r="V5670" t="str">
        <f>IF(OR(U5670="",U5670="ERRO_CHAVE"),"",IFERROR(MATCH(U5670,Fornecedores!$AF$1:$AF$6631,0),""))</f>
        <v/>
      </c>
      <c r="W5670" t="str">
        <f t="shared" si="3"/>
        <v/>
      </c>
      <c r="X5670" s="4" t="str">
        <f>IF(V5670="","",INDEX(Fornecedores!$X$1:$X$6631,V5670))</f>
        <v/>
      </c>
      <c r="Y5670" s="4" t="str">
        <f t="shared" si="4"/>
        <v/>
      </c>
    </row>
    <row r="5671" spans="19:25">
      <c r="S5671" t="str">
        <f t="shared" si="0"/>
        <v/>
      </c>
      <c r="T5671" t="str">
        <f t="shared" si="1"/>
        <v/>
      </c>
      <c r="U5671" t="str">
        <f t="shared" si="2"/>
        <v/>
      </c>
      <c r="V5671" t="str">
        <f>IF(OR(U5671="",U5671="ERRO_CHAVE"),"",IFERROR(MATCH(U5671,Fornecedores!$AF$1:$AF$6631,0),""))</f>
        <v/>
      </c>
      <c r="W5671" t="str">
        <f t="shared" si="3"/>
        <v/>
      </c>
      <c r="X5671" s="4" t="str">
        <f>IF(V5671="","",INDEX(Fornecedores!$X$1:$X$6631,V5671))</f>
        <v/>
      </c>
      <c r="Y5671" s="4" t="str">
        <f t="shared" si="4"/>
        <v/>
      </c>
    </row>
    <row r="5672" spans="19:25">
      <c r="S5672" t="str">
        <f t="shared" si="0"/>
        <v/>
      </c>
      <c r="T5672" t="str">
        <f t="shared" si="1"/>
        <v/>
      </c>
      <c r="U5672" t="str">
        <f t="shared" si="2"/>
        <v/>
      </c>
      <c r="V5672" t="str">
        <f>IF(OR(U5672="",U5672="ERRO_CHAVE"),"",IFERROR(MATCH(U5672,Fornecedores!$AF$1:$AF$6631,0),""))</f>
        <v/>
      </c>
      <c r="W5672" t="str">
        <f t="shared" si="3"/>
        <v/>
      </c>
      <c r="X5672" s="4" t="str">
        <f>IF(V5672="","",INDEX(Fornecedores!$X$1:$X$6631,V5672))</f>
        <v/>
      </c>
      <c r="Y5672" s="4" t="str">
        <f t="shared" si="4"/>
        <v/>
      </c>
    </row>
    <row r="5673" spans="19:25">
      <c r="S5673" t="str">
        <f t="shared" si="0"/>
        <v/>
      </c>
      <c r="T5673" t="str">
        <f t="shared" si="1"/>
        <v/>
      </c>
      <c r="U5673" t="str">
        <f t="shared" si="2"/>
        <v/>
      </c>
      <c r="V5673" t="str">
        <f>IF(OR(U5673="",U5673="ERRO_CHAVE"),"",IFERROR(MATCH(U5673,Fornecedores!$AF$1:$AF$6631,0),""))</f>
        <v/>
      </c>
      <c r="W5673" t="str">
        <f t="shared" si="3"/>
        <v/>
      </c>
      <c r="X5673" s="4" t="str">
        <f>IF(V5673="","",INDEX(Fornecedores!$X$1:$X$6631,V5673))</f>
        <v/>
      </c>
      <c r="Y5673" s="4" t="str">
        <f t="shared" si="4"/>
        <v/>
      </c>
    </row>
    <row r="5674" spans="19:25">
      <c r="S5674" t="str">
        <f t="shared" si="0"/>
        <v/>
      </c>
      <c r="T5674" t="str">
        <f t="shared" si="1"/>
        <v/>
      </c>
      <c r="U5674" t="str">
        <f t="shared" si="2"/>
        <v/>
      </c>
      <c r="V5674" t="str">
        <f>IF(OR(U5674="",U5674="ERRO_CHAVE"),"",IFERROR(MATCH(U5674,Fornecedores!$AF$1:$AF$6631,0),""))</f>
        <v/>
      </c>
      <c r="W5674" t="str">
        <f t="shared" si="3"/>
        <v/>
      </c>
      <c r="X5674" s="4" t="str">
        <f>IF(V5674="","",INDEX(Fornecedores!$X$1:$X$6631,V5674))</f>
        <v/>
      </c>
      <c r="Y5674" s="4" t="str">
        <f t="shared" si="4"/>
        <v/>
      </c>
    </row>
    <row r="5675" spans="19:25">
      <c r="S5675" t="str">
        <f t="shared" si="0"/>
        <v/>
      </c>
      <c r="T5675" t="str">
        <f t="shared" si="1"/>
        <v/>
      </c>
      <c r="U5675" t="str">
        <f t="shared" si="2"/>
        <v/>
      </c>
      <c r="V5675" t="str">
        <f>IF(OR(U5675="",U5675="ERRO_CHAVE"),"",IFERROR(MATCH(U5675,Fornecedores!$AF$1:$AF$6631,0),""))</f>
        <v/>
      </c>
      <c r="W5675" t="str">
        <f t="shared" si="3"/>
        <v/>
      </c>
      <c r="X5675" s="4" t="str">
        <f>IF(V5675="","",INDEX(Fornecedores!$X$1:$X$6631,V5675))</f>
        <v/>
      </c>
      <c r="Y5675" s="4" t="str">
        <f t="shared" si="4"/>
        <v/>
      </c>
    </row>
    <row r="5676" spans="19:25">
      <c r="S5676" t="str">
        <f t="shared" si="0"/>
        <v/>
      </c>
      <c r="T5676" t="str">
        <f t="shared" si="1"/>
        <v/>
      </c>
      <c r="U5676" t="str">
        <f t="shared" si="2"/>
        <v/>
      </c>
      <c r="V5676" t="str">
        <f>IF(OR(U5676="",U5676="ERRO_CHAVE"),"",IFERROR(MATCH(U5676,Fornecedores!$AF$1:$AF$6631,0),""))</f>
        <v/>
      </c>
      <c r="W5676" t="str">
        <f t="shared" si="3"/>
        <v/>
      </c>
      <c r="X5676" s="4" t="str">
        <f>IF(V5676="","",INDEX(Fornecedores!$X$1:$X$6631,V5676))</f>
        <v/>
      </c>
      <c r="Y5676" s="4" t="str">
        <f t="shared" si="4"/>
        <v/>
      </c>
    </row>
    <row r="5677" spans="19:25">
      <c r="S5677" t="str">
        <f t="shared" si="0"/>
        <v/>
      </c>
      <c r="T5677" t="str">
        <f t="shared" si="1"/>
        <v/>
      </c>
      <c r="U5677" t="str">
        <f t="shared" si="2"/>
        <v/>
      </c>
      <c r="V5677" t="str">
        <f>IF(OR(U5677="",U5677="ERRO_CHAVE"),"",IFERROR(MATCH(U5677,Fornecedores!$AF$1:$AF$6631,0),""))</f>
        <v/>
      </c>
      <c r="W5677" t="str">
        <f t="shared" si="3"/>
        <v/>
      </c>
      <c r="X5677" s="4" t="str">
        <f>IF(V5677="","",INDEX(Fornecedores!$X$1:$X$6631,V5677))</f>
        <v/>
      </c>
      <c r="Y5677" s="4" t="str">
        <f t="shared" si="4"/>
        <v/>
      </c>
    </row>
    <row r="5678" spans="19:25">
      <c r="S5678" t="str">
        <f t="shared" si="0"/>
        <v/>
      </c>
      <c r="T5678" t="str">
        <f t="shared" si="1"/>
        <v/>
      </c>
      <c r="U5678" t="str">
        <f t="shared" si="2"/>
        <v/>
      </c>
      <c r="V5678" t="str">
        <f>IF(OR(U5678="",U5678="ERRO_CHAVE"),"",IFERROR(MATCH(U5678,Fornecedores!$AF$1:$AF$6631,0),""))</f>
        <v/>
      </c>
      <c r="W5678" t="str">
        <f t="shared" si="3"/>
        <v/>
      </c>
      <c r="X5678" s="4" t="str">
        <f>IF(V5678="","",INDEX(Fornecedores!$X$1:$X$6631,V5678))</f>
        <v/>
      </c>
      <c r="Y5678" s="4" t="str">
        <f t="shared" si="4"/>
        <v/>
      </c>
    </row>
    <row r="5679" spans="19:25">
      <c r="S5679" t="str">
        <f t="shared" si="0"/>
        <v/>
      </c>
      <c r="T5679" t="str">
        <f t="shared" si="1"/>
        <v/>
      </c>
      <c r="U5679" t="str">
        <f t="shared" si="2"/>
        <v/>
      </c>
      <c r="V5679" t="str">
        <f>IF(OR(U5679="",U5679="ERRO_CHAVE"),"",IFERROR(MATCH(U5679,Fornecedores!$AF$1:$AF$6631,0),""))</f>
        <v/>
      </c>
      <c r="W5679" t="str">
        <f t="shared" si="3"/>
        <v/>
      </c>
      <c r="X5679" s="4" t="str">
        <f>IF(V5679="","",INDEX(Fornecedores!$X$1:$X$6631,V5679))</f>
        <v/>
      </c>
      <c r="Y5679" s="4" t="str">
        <f t="shared" si="4"/>
        <v/>
      </c>
    </row>
    <row r="5680" spans="19:25">
      <c r="S5680" t="str">
        <f t="shared" si="0"/>
        <v/>
      </c>
      <c r="T5680" t="str">
        <f t="shared" si="1"/>
        <v/>
      </c>
      <c r="U5680" t="str">
        <f t="shared" si="2"/>
        <v/>
      </c>
      <c r="V5680" t="str">
        <f>IF(OR(U5680="",U5680="ERRO_CHAVE"),"",IFERROR(MATCH(U5680,Fornecedores!$AF$1:$AF$6631,0),""))</f>
        <v/>
      </c>
      <c r="W5680" t="str">
        <f t="shared" si="3"/>
        <v/>
      </c>
      <c r="X5680" s="4" t="str">
        <f>IF(V5680="","",INDEX(Fornecedores!$X$1:$X$6631,V5680))</f>
        <v/>
      </c>
      <c r="Y5680" s="4" t="str">
        <f t="shared" si="4"/>
        <v/>
      </c>
    </row>
    <row r="5681" spans="19:25">
      <c r="S5681" t="str">
        <f t="shared" si="0"/>
        <v/>
      </c>
      <c r="T5681" t="str">
        <f t="shared" si="1"/>
        <v/>
      </c>
      <c r="U5681" t="str">
        <f t="shared" si="2"/>
        <v/>
      </c>
      <c r="V5681" t="str">
        <f>IF(OR(U5681="",U5681="ERRO_CHAVE"),"",IFERROR(MATCH(U5681,Fornecedores!$AF$1:$AF$6631,0),""))</f>
        <v/>
      </c>
      <c r="W5681" t="str">
        <f t="shared" si="3"/>
        <v/>
      </c>
      <c r="X5681" s="4" t="str">
        <f>IF(V5681="","",INDEX(Fornecedores!$X$1:$X$6631,V5681))</f>
        <v/>
      </c>
      <c r="Y5681" s="4" t="str">
        <f t="shared" si="4"/>
        <v/>
      </c>
    </row>
    <row r="5682" spans="19:25">
      <c r="S5682" t="str">
        <f t="shared" si="0"/>
        <v/>
      </c>
      <c r="T5682" t="str">
        <f t="shared" si="1"/>
        <v/>
      </c>
      <c r="U5682" t="str">
        <f t="shared" si="2"/>
        <v/>
      </c>
      <c r="V5682" t="str">
        <f>IF(OR(U5682="",U5682="ERRO_CHAVE"),"",IFERROR(MATCH(U5682,Fornecedores!$AF$1:$AF$6631,0),""))</f>
        <v/>
      </c>
      <c r="W5682" t="str">
        <f t="shared" si="3"/>
        <v/>
      </c>
      <c r="X5682" s="4" t="str">
        <f>IF(V5682="","",INDEX(Fornecedores!$X$1:$X$6631,V5682))</f>
        <v/>
      </c>
      <c r="Y5682" s="4" t="str">
        <f t="shared" si="4"/>
        <v/>
      </c>
    </row>
    <row r="5683" spans="19:25">
      <c r="S5683" t="str">
        <f t="shared" si="0"/>
        <v/>
      </c>
      <c r="T5683" t="str">
        <f t="shared" si="1"/>
        <v/>
      </c>
      <c r="U5683" t="str">
        <f t="shared" si="2"/>
        <v/>
      </c>
      <c r="V5683" t="str">
        <f>IF(OR(U5683="",U5683="ERRO_CHAVE"),"",IFERROR(MATCH(U5683,Fornecedores!$AF$1:$AF$6631,0),""))</f>
        <v/>
      </c>
      <c r="W5683" t="str">
        <f t="shared" si="3"/>
        <v/>
      </c>
      <c r="X5683" s="4" t="str">
        <f>IF(V5683="","",INDEX(Fornecedores!$X$1:$X$6631,V5683))</f>
        <v/>
      </c>
      <c r="Y5683" s="4" t="str">
        <f t="shared" si="4"/>
        <v/>
      </c>
    </row>
    <row r="5684" spans="19:25">
      <c r="S5684" t="str">
        <f t="shared" si="0"/>
        <v/>
      </c>
      <c r="T5684" t="str">
        <f t="shared" si="1"/>
        <v/>
      </c>
      <c r="U5684" t="str">
        <f t="shared" si="2"/>
        <v/>
      </c>
      <c r="V5684" t="str">
        <f>IF(OR(U5684="",U5684="ERRO_CHAVE"),"",IFERROR(MATCH(U5684,Fornecedores!$AF$1:$AF$6631,0),""))</f>
        <v/>
      </c>
      <c r="W5684" t="str">
        <f t="shared" si="3"/>
        <v/>
      </c>
      <c r="X5684" s="4" t="str">
        <f>IF(V5684="","",INDEX(Fornecedores!$X$1:$X$6631,V5684))</f>
        <v/>
      </c>
      <c r="Y5684" s="4" t="str">
        <f t="shared" si="4"/>
        <v/>
      </c>
    </row>
    <row r="5685" spans="19:25">
      <c r="S5685" t="str">
        <f t="shared" si="0"/>
        <v/>
      </c>
      <c r="T5685" t="str">
        <f t="shared" si="1"/>
        <v/>
      </c>
      <c r="U5685" t="str">
        <f t="shared" si="2"/>
        <v/>
      </c>
      <c r="V5685" t="str">
        <f>IF(OR(U5685="",U5685="ERRO_CHAVE"),"",IFERROR(MATCH(U5685,Fornecedores!$AF$1:$AF$6631,0),""))</f>
        <v/>
      </c>
      <c r="W5685" t="str">
        <f t="shared" si="3"/>
        <v/>
      </c>
      <c r="X5685" s="4" t="str">
        <f>IF(V5685="","",INDEX(Fornecedores!$X$1:$X$6631,V5685))</f>
        <v/>
      </c>
      <c r="Y5685" s="4" t="str">
        <f t="shared" si="4"/>
        <v/>
      </c>
    </row>
    <row r="5686" spans="19:25">
      <c r="S5686" t="str">
        <f t="shared" si="0"/>
        <v/>
      </c>
      <c r="T5686" t="str">
        <f t="shared" si="1"/>
        <v/>
      </c>
      <c r="U5686" t="str">
        <f t="shared" si="2"/>
        <v/>
      </c>
      <c r="V5686" t="str">
        <f>IF(OR(U5686="",U5686="ERRO_CHAVE"),"",IFERROR(MATCH(U5686,Fornecedores!$AF$1:$AF$6631,0),""))</f>
        <v/>
      </c>
      <c r="W5686" t="str">
        <f t="shared" si="3"/>
        <v/>
      </c>
      <c r="X5686" s="4" t="str">
        <f>IF(V5686="","",INDEX(Fornecedores!$X$1:$X$6631,V5686))</f>
        <v/>
      </c>
      <c r="Y5686" s="4" t="str">
        <f t="shared" si="4"/>
        <v/>
      </c>
    </row>
    <row r="5687" spans="19:25">
      <c r="S5687" t="str">
        <f t="shared" si="0"/>
        <v/>
      </c>
      <c r="T5687" t="str">
        <f t="shared" si="1"/>
        <v/>
      </c>
      <c r="U5687" t="str">
        <f t="shared" si="2"/>
        <v/>
      </c>
      <c r="V5687" t="str">
        <f>IF(OR(U5687="",U5687="ERRO_CHAVE"),"",IFERROR(MATCH(U5687,Fornecedores!$AF$1:$AF$6631,0),""))</f>
        <v/>
      </c>
      <c r="W5687" t="str">
        <f t="shared" si="3"/>
        <v/>
      </c>
      <c r="X5687" s="4" t="str">
        <f>IF(V5687="","",INDEX(Fornecedores!$X$1:$X$6631,V5687))</f>
        <v/>
      </c>
      <c r="Y5687" s="4" t="str">
        <f t="shared" si="4"/>
        <v/>
      </c>
    </row>
    <row r="5688" spans="19:25">
      <c r="S5688" t="str">
        <f t="shared" si="0"/>
        <v/>
      </c>
      <c r="T5688" t="str">
        <f t="shared" si="1"/>
        <v/>
      </c>
      <c r="U5688" t="str">
        <f t="shared" si="2"/>
        <v/>
      </c>
      <c r="V5688" t="str">
        <f>IF(OR(U5688="",U5688="ERRO_CHAVE"),"",IFERROR(MATCH(U5688,Fornecedores!$AF$1:$AF$6631,0),""))</f>
        <v/>
      </c>
      <c r="W5688" t="str">
        <f t="shared" si="3"/>
        <v/>
      </c>
      <c r="X5688" s="4" t="str">
        <f>IF(V5688="","",INDEX(Fornecedores!$X$1:$X$6631,V5688))</f>
        <v/>
      </c>
      <c r="Y5688" s="4" t="str">
        <f t="shared" si="4"/>
        <v/>
      </c>
    </row>
    <row r="5689" spans="19:25">
      <c r="S5689" t="str">
        <f t="shared" si="0"/>
        <v/>
      </c>
      <c r="T5689" t="str">
        <f t="shared" si="1"/>
        <v/>
      </c>
      <c r="U5689" t="str">
        <f t="shared" si="2"/>
        <v/>
      </c>
      <c r="V5689" t="str">
        <f>IF(OR(U5689="",U5689="ERRO_CHAVE"),"",IFERROR(MATCH(U5689,Fornecedores!$AF$1:$AF$6631,0),""))</f>
        <v/>
      </c>
      <c r="W5689" t="str">
        <f t="shared" si="3"/>
        <v/>
      </c>
      <c r="X5689" s="4" t="str">
        <f>IF(V5689="","",INDEX(Fornecedores!$X$1:$X$6631,V5689))</f>
        <v/>
      </c>
      <c r="Y5689" s="4" t="str">
        <f t="shared" si="4"/>
        <v/>
      </c>
    </row>
    <row r="5690" spans="19:25">
      <c r="S5690" t="str">
        <f t="shared" si="0"/>
        <v/>
      </c>
      <c r="T5690" t="str">
        <f t="shared" si="1"/>
        <v/>
      </c>
      <c r="U5690" t="str">
        <f t="shared" si="2"/>
        <v/>
      </c>
      <c r="V5690" t="str">
        <f>IF(OR(U5690="",U5690="ERRO_CHAVE"),"",IFERROR(MATCH(U5690,Fornecedores!$AF$1:$AF$6631,0),""))</f>
        <v/>
      </c>
      <c r="W5690" t="str">
        <f t="shared" si="3"/>
        <v/>
      </c>
      <c r="X5690" s="4" t="str">
        <f>IF(V5690="","",INDEX(Fornecedores!$X$1:$X$6631,V5690))</f>
        <v/>
      </c>
      <c r="Y5690" s="4" t="str">
        <f t="shared" si="4"/>
        <v/>
      </c>
    </row>
    <row r="5691" spans="19:25">
      <c r="S5691" t="str">
        <f t="shared" si="0"/>
        <v/>
      </c>
      <c r="T5691" t="str">
        <f t="shared" si="1"/>
        <v/>
      </c>
      <c r="U5691" t="str">
        <f t="shared" si="2"/>
        <v/>
      </c>
      <c r="V5691" t="str">
        <f>IF(OR(U5691="",U5691="ERRO_CHAVE"),"",IFERROR(MATCH(U5691,Fornecedores!$AF$1:$AF$6631,0),""))</f>
        <v/>
      </c>
      <c r="W5691" t="str">
        <f t="shared" si="3"/>
        <v/>
      </c>
      <c r="X5691" s="4" t="str">
        <f>IF(V5691="","",INDEX(Fornecedores!$X$1:$X$6631,V5691))</f>
        <v/>
      </c>
      <c r="Y5691" s="4" t="str">
        <f t="shared" si="4"/>
        <v/>
      </c>
    </row>
    <row r="5692" spans="19:25">
      <c r="S5692" t="str">
        <f t="shared" si="0"/>
        <v/>
      </c>
      <c r="T5692" t="str">
        <f t="shared" si="1"/>
        <v/>
      </c>
      <c r="U5692" t="str">
        <f t="shared" si="2"/>
        <v/>
      </c>
      <c r="V5692" t="str">
        <f>IF(OR(U5692="",U5692="ERRO_CHAVE"),"",IFERROR(MATCH(U5692,Fornecedores!$AF$1:$AF$6631,0),""))</f>
        <v/>
      </c>
      <c r="W5692" t="str">
        <f t="shared" si="3"/>
        <v/>
      </c>
      <c r="X5692" s="4" t="str">
        <f>IF(V5692="","",INDEX(Fornecedores!$X$1:$X$6631,V5692))</f>
        <v/>
      </c>
      <c r="Y5692" s="4" t="str">
        <f t="shared" si="4"/>
        <v/>
      </c>
    </row>
    <row r="5693" spans="19:25">
      <c r="S5693" t="str">
        <f t="shared" si="0"/>
        <v/>
      </c>
      <c r="T5693" t="str">
        <f t="shared" si="1"/>
        <v/>
      </c>
      <c r="U5693" t="str">
        <f t="shared" si="2"/>
        <v/>
      </c>
      <c r="V5693" t="str">
        <f>IF(OR(U5693="",U5693="ERRO_CHAVE"),"",IFERROR(MATCH(U5693,Fornecedores!$AF$1:$AF$6631,0),""))</f>
        <v/>
      </c>
      <c r="W5693" t="str">
        <f t="shared" si="3"/>
        <v/>
      </c>
      <c r="X5693" s="4" t="str">
        <f>IF(V5693="","",INDEX(Fornecedores!$X$1:$X$6631,V5693))</f>
        <v/>
      </c>
      <c r="Y5693" s="4" t="str">
        <f t="shared" si="4"/>
        <v/>
      </c>
    </row>
    <row r="5694" spans="19:25">
      <c r="S5694" t="str">
        <f t="shared" si="0"/>
        <v/>
      </c>
      <c r="T5694" t="str">
        <f t="shared" si="1"/>
        <v/>
      </c>
      <c r="U5694" t="str">
        <f t="shared" si="2"/>
        <v/>
      </c>
      <c r="V5694" t="str">
        <f>IF(OR(U5694="",U5694="ERRO_CHAVE"),"",IFERROR(MATCH(U5694,Fornecedores!$AF$1:$AF$6631,0),""))</f>
        <v/>
      </c>
      <c r="W5694" t="str">
        <f t="shared" si="3"/>
        <v/>
      </c>
      <c r="X5694" s="4" t="str">
        <f>IF(V5694="","",INDEX(Fornecedores!$X$1:$X$6631,V5694))</f>
        <v/>
      </c>
      <c r="Y5694" s="4" t="str">
        <f t="shared" si="4"/>
        <v/>
      </c>
    </row>
    <row r="5695" spans="19:25">
      <c r="S5695" t="str">
        <f t="shared" si="0"/>
        <v/>
      </c>
      <c r="T5695" t="str">
        <f t="shared" si="1"/>
        <v/>
      </c>
      <c r="U5695" t="str">
        <f t="shared" si="2"/>
        <v/>
      </c>
      <c r="V5695" t="str">
        <f>IF(OR(U5695="",U5695="ERRO_CHAVE"),"",IFERROR(MATCH(U5695,Fornecedores!$AF$1:$AF$6631,0),""))</f>
        <v/>
      </c>
      <c r="W5695" t="str">
        <f t="shared" si="3"/>
        <v/>
      </c>
      <c r="X5695" s="4" t="str">
        <f>IF(V5695="","",INDEX(Fornecedores!$X$1:$X$6631,V5695))</f>
        <v/>
      </c>
      <c r="Y5695" s="4" t="str">
        <f t="shared" si="4"/>
        <v/>
      </c>
    </row>
    <row r="5696" spans="19:25">
      <c r="S5696" t="str">
        <f t="shared" si="0"/>
        <v/>
      </c>
      <c r="T5696" t="str">
        <f t="shared" si="1"/>
        <v/>
      </c>
      <c r="U5696" t="str">
        <f t="shared" si="2"/>
        <v/>
      </c>
      <c r="V5696" t="str">
        <f>IF(OR(U5696="",U5696="ERRO_CHAVE"),"",IFERROR(MATCH(U5696,Fornecedores!$AF$1:$AF$6631,0),""))</f>
        <v/>
      </c>
      <c r="W5696" t="str">
        <f t="shared" si="3"/>
        <v/>
      </c>
      <c r="X5696" s="4" t="str">
        <f>IF(V5696="","",INDEX(Fornecedores!$X$1:$X$6631,V5696))</f>
        <v/>
      </c>
      <c r="Y5696" s="4" t="str">
        <f t="shared" si="4"/>
        <v/>
      </c>
    </row>
    <row r="5697" spans="19:25">
      <c r="S5697" t="str">
        <f t="shared" si="0"/>
        <v/>
      </c>
      <c r="T5697" t="str">
        <f t="shared" si="1"/>
        <v/>
      </c>
      <c r="U5697" t="str">
        <f t="shared" si="2"/>
        <v/>
      </c>
      <c r="V5697" t="str">
        <f>IF(OR(U5697="",U5697="ERRO_CHAVE"),"",IFERROR(MATCH(U5697,Fornecedores!$AF$1:$AF$6631,0),""))</f>
        <v/>
      </c>
      <c r="W5697" t="str">
        <f t="shared" si="3"/>
        <v/>
      </c>
      <c r="X5697" s="4" t="str">
        <f>IF(V5697="","",INDEX(Fornecedores!$X$1:$X$6631,V5697))</f>
        <v/>
      </c>
      <c r="Y5697" s="4" t="str">
        <f t="shared" si="4"/>
        <v/>
      </c>
    </row>
    <row r="5698" spans="19:25">
      <c r="S5698" t="str">
        <f t="shared" si="0"/>
        <v/>
      </c>
      <c r="T5698" t="str">
        <f t="shared" si="1"/>
        <v/>
      </c>
      <c r="U5698" t="str">
        <f t="shared" si="2"/>
        <v/>
      </c>
      <c r="V5698" t="str">
        <f>IF(OR(U5698="",U5698="ERRO_CHAVE"),"",IFERROR(MATCH(U5698,Fornecedores!$AF$1:$AF$6631,0),""))</f>
        <v/>
      </c>
      <c r="W5698" t="str">
        <f t="shared" si="3"/>
        <v/>
      </c>
      <c r="X5698" s="4" t="str">
        <f>IF(V5698="","",INDEX(Fornecedores!$X$1:$X$6631,V5698))</f>
        <v/>
      </c>
      <c r="Y5698" s="4" t="str">
        <f t="shared" si="4"/>
        <v/>
      </c>
    </row>
    <row r="5699" spans="19:25">
      <c r="S5699" t="str">
        <f t="shared" si="0"/>
        <v/>
      </c>
      <c r="T5699" t="str">
        <f t="shared" si="1"/>
        <v/>
      </c>
      <c r="U5699" t="str">
        <f t="shared" si="2"/>
        <v/>
      </c>
      <c r="V5699" t="str">
        <f>IF(OR(U5699="",U5699="ERRO_CHAVE"),"",IFERROR(MATCH(U5699,Fornecedores!$AF$1:$AF$6631,0),""))</f>
        <v/>
      </c>
      <c r="W5699" t="str">
        <f t="shared" si="3"/>
        <v/>
      </c>
      <c r="X5699" s="4" t="str">
        <f>IF(V5699="","",INDEX(Fornecedores!$X$1:$X$6631,V5699))</f>
        <v/>
      </c>
      <c r="Y5699" s="4" t="str">
        <f t="shared" si="4"/>
        <v/>
      </c>
    </row>
    <row r="5700" spans="19:25">
      <c r="S5700" t="str">
        <f t="shared" si="0"/>
        <v/>
      </c>
      <c r="T5700" t="str">
        <f t="shared" si="1"/>
        <v/>
      </c>
      <c r="U5700" t="str">
        <f t="shared" si="2"/>
        <v/>
      </c>
      <c r="V5700" t="str">
        <f>IF(OR(U5700="",U5700="ERRO_CHAVE"),"",IFERROR(MATCH(U5700,Fornecedores!$AF$1:$AF$6631,0),""))</f>
        <v/>
      </c>
      <c r="W5700" t="str">
        <f t="shared" si="3"/>
        <v/>
      </c>
      <c r="X5700" s="4" t="str">
        <f>IF(V5700="","",INDEX(Fornecedores!$X$1:$X$6631,V5700))</f>
        <v/>
      </c>
      <c r="Y5700" s="4" t="str">
        <f t="shared" si="4"/>
        <v/>
      </c>
    </row>
    <row r="5701" spans="19:25">
      <c r="S5701" t="str">
        <f t="shared" si="0"/>
        <v/>
      </c>
      <c r="T5701" t="str">
        <f t="shared" si="1"/>
        <v/>
      </c>
      <c r="U5701" t="str">
        <f t="shared" si="2"/>
        <v/>
      </c>
      <c r="V5701" t="str">
        <f>IF(OR(U5701="",U5701="ERRO_CHAVE"),"",IFERROR(MATCH(U5701,Fornecedores!$AF$1:$AF$6631,0),""))</f>
        <v/>
      </c>
      <c r="W5701" t="str">
        <f t="shared" si="3"/>
        <v/>
      </c>
      <c r="X5701" s="4" t="str">
        <f>IF(V5701="","",INDEX(Fornecedores!$X$1:$X$6631,V5701))</f>
        <v/>
      </c>
      <c r="Y5701" s="4" t="str">
        <f t="shared" si="4"/>
        <v/>
      </c>
    </row>
    <row r="5702" spans="19:25">
      <c r="S5702" t="str">
        <f t="shared" si="0"/>
        <v/>
      </c>
      <c r="T5702" t="str">
        <f t="shared" si="1"/>
        <v/>
      </c>
      <c r="U5702" t="str">
        <f t="shared" si="2"/>
        <v/>
      </c>
      <c r="V5702" t="str">
        <f>IF(OR(U5702="",U5702="ERRO_CHAVE"),"",IFERROR(MATCH(U5702,Fornecedores!$AF$1:$AF$6631,0),""))</f>
        <v/>
      </c>
      <c r="W5702" t="str">
        <f t="shared" si="3"/>
        <v/>
      </c>
      <c r="X5702" s="4" t="str">
        <f>IF(V5702="","",INDEX(Fornecedores!$X$1:$X$6631,V5702))</f>
        <v/>
      </c>
      <c r="Y5702" s="4" t="str">
        <f t="shared" si="4"/>
        <v/>
      </c>
    </row>
    <row r="5703" spans="19:25">
      <c r="S5703" t="str">
        <f t="shared" si="0"/>
        <v/>
      </c>
      <c r="T5703" t="str">
        <f t="shared" si="1"/>
        <v/>
      </c>
      <c r="U5703" t="str">
        <f t="shared" si="2"/>
        <v/>
      </c>
      <c r="V5703" t="str">
        <f>IF(OR(U5703="",U5703="ERRO_CHAVE"),"",IFERROR(MATCH(U5703,Fornecedores!$AF$1:$AF$6631,0),""))</f>
        <v/>
      </c>
      <c r="W5703" t="str">
        <f t="shared" si="3"/>
        <v/>
      </c>
      <c r="X5703" s="4" t="str">
        <f>IF(V5703="","",INDEX(Fornecedores!$X$1:$X$6631,V5703))</f>
        <v/>
      </c>
      <c r="Y5703" s="4" t="str">
        <f t="shared" si="4"/>
        <v/>
      </c>
    </row>
    <row r="5704" spans="19:25">
      <c r="S5704" t="str">
        <f t="shared" si="0"/>
        <v/>
      </c>
      <c r="T5704" t="str">
        <f t="shared" si="1"/>
        <v/>
      </c>
      <c r="U5704" t="str">
        <f t="shared" si="2"/>
        <v/>
      </c>
      <c r="V5704" t="str">
        <f>IF(OR(U5704="",U5704="ERRO_CHAVE"),"",IFERROR(MATCH(U5704,Fornecedores!$AF$1:$AF$6631,0),""))</f>
        <v/>
      </c>
      <c r="W5704" t="str">
        <f t="shared" si="3"/>
        <v/>
      </c>
      <c r="X5704" s="4" t="str">
        <f>IF(V5704="","",INDEX(Fornecedores!$X$1:$X$6631,V5704))</f>
        <v/>
      </c>
      <c r="Y5704" s="4" t="str">
        <f t="shared" si="4"/>
        <v/>
      </c>
    </row>
    <row r="5705" spans="19:25">
      <c r="S5705" t="str">
        <f t="shared" si="0"/>
        <v/>
      </c>
      <c r="T5705" t="str">
        <f t="shared" si="1"/>
        <v/>
      </c>
      <c r="U5705" t="str">
        <f t="shared" si="2"/>
        <v/>
      </c>
      <c r="V5705" t="str">
        <f>IF(OR(U5705="",U5705="ERRO_CHAVE"),"",IFERROR(MATCH(U5705,Fornecedores!$AF$1:$AF$6631,0),""))</f>
        <v/>
      </c>
      <c r="W5705" t="str">
        <f t="shared" si="3"/>
        <v/>
      </c>
      <c r="X5705" s="4" t="str">
        <f>IF(V5705="","",INDEX(Fornecedores!$X$1:$X$6631,V5705))</f>
        <v/>
      </c>
      <c r="Y5705" s="4" t="str">
        <f t="shared" si="4"/>
        <v/>
      </c>
    </row>
    <row r="5706" spans="19:25">
      <c r="S5706" t="str">
        <f t="shared" si="0"/>
        <v/>
      </c>
      <c r="T5706" t="str">
        <f t="shared" si="1"/>
        <v/>
      </c>
      <c r="U5706" t="str">
        <f t="shared" si="2"/>
        <v/>
      </c>
      <c r="V5706" t="str">
        <f>IF(OR(U5706="",U5706="ERRO_CHAVE"),"",IFERROR(MATCH(U5706,Fornecedores!$AF$1:$AF$6631,0),""))</f>
        <v/>
      </c>
      <c r="W5706" t="str">
        <f t="shared" si="3"/>
        <v/>
      </c>
      <c r="X5706" s="4" t="str">
        <f>IF(V5706="","",INDEX(Fornecedores!$X$1:$X$6631,V5706))</f>
        <v/>
      </c>
      <c r="Y5706" s="4" t="str">
        <f t="shared" si="4"/>
        <v/>
      </c>
    </row>
    <row r="5707" spans="19:25">
      <c r="S5707" t="str">
        <f t="shared" si="0"/>
        <v/>
      </c>
      <c r="T5707" t="str">
        <f t="shared" si="1"/>
        <v/>
      </c>
      <c r="U5707" t="str">
        <f t="shared" si="2"/>
        <v/>
      </c>
      <c r="V5707" t="str">
        <f>IF(OR(U5707="",U5707="ERRO_CHAVE"),"",IFERROR(MATCH(U5707,Fornecedores!$AF$1:$AF$6631,0),""))</f>
        <v/>
      </c>
      <c r="W5707" t="str">
        <f t="shared" si="3"/>
        <v/>
      </c>
      <c r="X5707" s="4" t="str">
        <f>IF(V5707="","",INDEX(Fornecedores!$X$1:$X$6631,V5707))</f>
        <v/>
      </c>
      <c r="Y5707" s="4" t="str">
        <f t="shared" si="4"/>
        <v/>
      </c>
    </row>
    <row r="5708" spans="19:25">
      <c r="S5708" t="str">
        <f t="shared" si="0"/>
        <v/>
      </c>
      <c r="T5708" t="str">
        <f t="shared" si="1"/>
        <v/>
      </c>
      <c r="U5708" t="str">
        <f t="shared" si="2"/>
        <v/>
      </c>
      <c r="V5708" t="str">
        <f>IF(OR(U5708="",U5708="ERRO_CHAVE"),"",IFERROR(MATCH(U5708,Fornecedores!$AF$1:$AF$6631,0),""))</f>
        <v/>
      </c>
      <c r="W5708" t="str">
        <f t="shared" si="3"/>
        <v/>
      </c>
      <c r="X5708" s="4" t="str">
        <f>IF(V5708="","",INDEX(Fornecedores!$X$1:$X$6631,V5708))</f>
        <v/>
      </c>
      <c r="Y5708" s="4" t="str">
        <f t="shared" si="4"/>
        <v/>
      </c>
    </row>
    <row r="5709" spans="19:25">
      <c r="S5709" t="str">
        <f t="shared" si="0"/>
        <v/>
      </c>
      <c r="T5709" t="str">
        <f t="shared" si="1"/>
        <v/>
      </c>
      <c r="U5709" t="str">
        <f t="shared" si="2"/>
        <v/>
      </c>
      <c r="V5709" t="str">
        <f>IF(OR(U5709="",U5709="ERRO_CHAVE"),"",IFERROR(MATCH(U5709,Fornecedores!$AF$1:$AF$6631,0),""))</f>
        <v/>
      </c>
      <c r="W5709" t="str">
        <f t="shared" si="3"/>
        <v/>
      </c>
      <c r="X5709" s="4" t="str">
        <f>IF(V5709="","",INDEX(Fornecedores!$X$1:$X$6631,V5709))</f>
        <v/>
      </c>
      <c r="Y5709" s="4" t="str">
        <f t="shared" si="4"/>
        <v/>
      </c>
    </row>
    <row r="5710" spans="19:25">
      <c r="S5710" t="str">
        <f t="shared" si="0"/>
        <v/>
      </c>
      <c r="T5710" t="str">
        <f t="shared" si="1"/>
        <v/>
      </c>
      <c r="U5710" t="str">
        <f t="shared" si="2"/>
        <v/>
      </c>
      <c r="V5710" t="str">
        <f>IF(OR(U5710="",U5710="ERRO_CHAVE"),"",IFERROR(MATCH(U5710,Fornecedores!$AF$1:$AF$6631,0),""))</f>
        <v/>
      </c>
      <c r="W5710" t="str">
        <f t="shared" si="3"/>
        <v/>
      </c>
      <c r="X5710" s="4" t="str">
        <f>IF(V5710="","",INDEX(Fornecedores!$X$1:$X$6631,V5710))</f>
        <v/>
      </c>
      <c r="Y5710" s="4" t="str">
        <f t="shared" si="4"/>
        <v/>
      </c>
    </row>
    <row r="5711" spans="19:25">
      <c r="S5711" t="str">
        <f t="shared" si="0"/>
        <v/>
      </c>
      <c r="T5711" t="str">
        <f t="shared" si="1"/>
        <v/>
      </c>
      <c r="U5711" t="str">
        <f t="shared" si="2"/>
        <v/>
      </c>
      <c r="V5711" t="str">
        <f>IF(OR(U5711="",U5711="ERRO_CHAVE"),"",IFERROR(MATCH(U5711,Fornecedores!$AF$1:$AF$6631,0),""))</f>
        <v/>
      </c>
      <c r="W5711" t="str">
        <f t="shared" si="3"/>
        <v/>
      </c>
      <c r="X5711" s="4" t="str">
        <f>IF(V5711="","",INDEX(Fornecedores!$X$1:$X$6631,V5711))</f>
        <v/>
      </c>
      <c r="Y5711" s="4" t="str">
        <f t="shared" si="4"/>
        <v/>
      </c>
    </row>
    <row r="5712" spans="19:25">
      <c r="S5712" t="str">
        <f t="shared" si="0"/>
        <v/>
      </c>
      <c r="T5712" t="str">
        <f t="shared" si="1"/>
        <v/>
      </c>
      <c r="U5712" t="str">
        <f t="shared" si="2"/>
        <v/>
      </c>
      <c r="V5712" t="str">
        <f>IF(OR(U5712="",U5712="ERRO_CHAVE"),"",IFERROR(MATCH(U5712,Fornecedores!$AF$1:$AF$6631,0),""))</f>
        <v/>
      </c>
      <c r="W5712" t="str">
        <f t="shared" si="3"/>
        <v/>
      </c>
      <c r="X5712" s="4" t="str">
        <f>IF(V5712="","",INDEX(Fornecedores!$X$1:$X$6631,V5712))</f>
        <v/>
      </c>
      <c r="Y5712" s="4" t="str">
        <f t="shared" si="4"/>
        <v/>
      </c>
    </row>
    <row r="5713" spans="19:25">
      <c r="S5713" t="str">
        <f t="shared" si="0"/>
        <v/>
      </c>
      <c r="T5713" t="str">
        <f t="shared" si="1"/>
        <v/>
      </c>
      <c r="U5713" t="str">
        <f t="shared" si="2"/>
        <v/>
      </c>
      <c r="V5713" t="str">
        <f>IF(OR(U5713="",U5713="ERRO_CHAVE"),"",IFERROR(MATCH(U5713,Fornecedores!$AF$1:$AF$6631,0),""))</f>
        <v/>
      </c>
      <c r="W5713" t="str">
        <f t="shared" si="3"/>
        <v/>
      </c>
      <c r="X5713" s="4" t="str">
        <f>IF(V5713="","",INDEX(Fornecedores!$X$1:$X$6631,V5713))</f>
        <v/>
      </c>
      <c r="Y5713" s="4" t="str">
        <f t="shared" si="4"/>
        <v/>
      </c>
    </row>
    <row r="5714" spans="19:25">
      <c r="S5714" t="str">
        <f t="shared" si="0"/>
        <v/>
      </c>
      <c r="T5714" t="str">
        <f t="shared" si="1"/>
        <v/>
      </c>
      <c r="U5714" t="str">
        <f t="shared" si="2"/>
        <v/>
      </c>
      <c r="V5714" t="str">
        <f>IF(OR(U5714="",U5714="ERRO_CHAVE"),"",IFERROR(MATCH(U5714,Fornecedores!$AF$1:$AF$6631,0),""))</f>
        <v/>
      </c>
      <c r="W5714" t="str">
        <f t="shared" si="3"/>
        <v/>
      </c>
      <c r="X5714" s="4" t="str">
        <f>IF(V5714="","",INDEX(Fornecedores!$X$1:$X$6631,V5714))</f>
        <v/>
      </c>
      <c r="Y5714" s="4" t="str">
        <f t="shared" si="4"/>
        <v/>
      </c>
    </row>
    <row r="5715" spans="19:25">
      <c r="S5715" t="str">
        <f t="shared" si="0"/>
        <v/>
      </c>
      <c r="T5715" t="str">
        <f t="shared" si="1"/>
        <v/>
      </c>
      <c r="U5715" t="str">
        <f t="shared" si="2"/>
        <v/>
      </c>
      <c r="V5715" t="str">
        <f>IF(OR(U5715="",U5715="ERRO_CHAVE"),"",IFERROR(MATCH(U5715,Fornecedores!$AF$1:$AF$6631,0),""))</f>
        <v/>
      </c>
      <c r="W5715" t="str">
        <f t="shared" si="3"/>
        <v/>
      </c>
      <c r="X5715" s="4" t="str">
        <f>IF(V5715="","",INDEX(Fornecedores!$X$1:$X$6631,V5715))</f>
        <v/>
      </c>
      <c r="Y5715" s="4" t="str">
        <f t="shared" si="4"/>
        <v/>
      </c>
    </row>
    <row r="5716" spans="19:25">
      <c r="S5716" t="str">
        <f t="shared" si="0"/>
        <v/>
      </c>
      <c r="T5716" t="str">
        <f t="shared" si="1"/>
        <v/>
      </c>
      <c r="U5716" t="str">
        <f t="shared" si="2"/>
        <v/>
      </c>
      <c r="V5716" t="str">
        <f>IF(OR(U5716="",U5716="ERRO_CHAVE"),"",IFERROR(MATCH(U5716,Fornecedores!$AF$1:$AF$6631,0),""))</f>
        <v/>
      </c>
      <c r="W5716" t="str">
        <f t="shared" si="3"/>
        <v/>
      </c>
      <c r="X5716" s="4" t="str">
        <f>IF(V5716="","",INDEX(Fornecedores!$X$1:$X$6631,V5716))</f>
        <v/>
      </c>
      <c r="Y5716" s="4" t="str">
        <f t="shared" si="4"/>
        <v/>
      </c>
    </row>
    <row r="5717" spans="19:25">
      <c r="S5717" t="str">
        <f t="shared" si="0"/>
        <v/>
      </c>
      <c r="T5717" t="str">
        <f t="shared" si="1"/>
        <v/>
      </c>
      <c r="U5717" t="str">
        <f t="shared" si="2"/>
        <v/>
      </c>
      <c r="V5717" t="str">
        <f>IF(OR(U5717="",U5717="ERRO_CHAVE"),"",IFERROR(MATCH(U5717,Fornecedores!$AF$1:$AF$6631,0),""))</f>
        <v/>
      </c>
      <c r="W5717" t="str">
        <f t="shared" si="3"/>
        <v/>
      </c>
      <c r="X5717" s="4" t="str">
        <f>IF(V5717="","",INDEX(Fornecedores!$X$1:$X$6631,V5717))</f>
        <v/>
      </c>
      <c r="Y5717" s="4" t="str">
        <f t="shared" si="4"/>
        <v/>
      </c>
    </row>
    <row r="5718" spans="19:25">
      <c r="S5718" t="str">
        <f t="shared" si="0"/>
        <v/>
      </c>
      <c r="T5718" t="str">
        <f t="shared" si="1"/>
        <v/>
      </c>
      <c r="U5718" t="str">
        <f t="shared" si="2"/>
        <v/>
      </c>
      <c r="V5718" t="str">
        <f>IF(OR(U5718="",U5718="ERRO_CHAVE"),"",IFERROR(MATCH(U5718,Fornecedores!$AF$1:$AF$6631,0),""))</f>
        <v/>
      </c>
      <c r="W5718" t="str">
        <f t="shared" si="3"/>
        <v/>
      </c>
      <c r="X5718" s="4" t="str">
        <f>IF(V5718="","",INDEX(Fornecedores!$X$1:$X$6631,V5718))</f>
        <v/>
      </c>
      <c r="Y5718" s="4" t="str">
        <f t="shared" si="4"/>
        <v/>
      </c>
    </row>
    <row r="5719" spans="19:25">
      <c r="S5719" t="str">
        <f t="shared" si="0"/>
        <v/>
      </c>
      <c r="T5719" t="str">
        <f t="shared" si="1"/>
        <v/>
      </c>
      <c r="U5719" t="str">
        <f t="shared" si="2"/>
        <v/>
      </c>
      <c r="V5719" t="str">
        <f>IF(OR(U5719="",U5719="ERRO_CHAVE"),"",IFERROR(MATCH(U5719,Fornecedores!$AF$1:$AF$6631,0),""))</f>
        <v/>
      </c>
      <c r="W5719" t="str">
        <f t="shared" si="3"/>
        <v/>
      </c>
      <c r="X5719" s="4" t="str">
        <f>IF(V5719="","",INDEX(Fornecedores!$X$1:$X$6631,V5719))</f>
        <v/>
      </c>
      <c r="Y5719" s="4" t="str">
        <f t="shared" si="4"/>
        <v/>
      </c>
    </row>
    <row r="5720" spans="19:25">
      <c r="S5720" t="str">
        <f t="shared" si="0"/>
        <v/>
      </c>
      <c r="T5720" t="str">
        <f t="shared" si="1"/>
        <v/>
      </c>
      <c r="U5720" t="str">
        <f t="shared" si="2"/>
        <v/>
      </c>
      <c r="V5720" t="str">
        <f>IF(OR(U5720="",U5720="ERRO_CHAVE"),"",IFERROR(MATCH(U5720,Fornecedores!$AF$1:$AF$6631,0),""))</f>
        <v/>
      </c>
      <c r="W5720" t="str">
        <f t="shared" si="3"/>
        <v/>
      </c>
      <c r="X5720" s="4" t="str">
        <f>IF(V5720="","",INDEX(Fornecedores!$X$1:$X$6631,V5720))</f>
        <v/>
      </c>
      <c r="Y5720" s="4" t="str">
        <f t="shared" si="4"/>
        <v/>
      </c>
    </row>
    <row r="5721" spans="19:25">
      <c r="S5721" t="str">
        <f t="shared" si="0"/>
        <v/>
      </c>
      <c r="T5721" t="str">
        <f t="shared" si="1"/>
        <v/>
      </c>
      <c r="U5721" t="str">
        <f t="shared" si="2"/>
        <v/>
      </c>
      <c r="V5721" t="str">
        <f>IF(OR(U5721="",U5721="ERRO_CHAVE"),"",IFERROR(MATCH(U5721,Fornecedores!$AF$1:$AF$6631,0),""))</f>
        <v/>
      </c>
      <c r="W5721" t="str">
        <f t="shared" si="3"/>
        <v/>
      </c>
      <c r="X5721" s="4" t="str">
        <f>IF(V5721="","",INDEX(Fornecedores!$X$1:$X$6631,V5721))</f>
        <v/>
      </c>
      <c r="Y5721" s="4" t="str">
        <f t="shared" si="4"/>
        <v/>
      </c>
    </row>
    <row r="5722" spans="19:25">
      <c r="S5722" t="str">
        <f t="shared" si="0"/>
        <v/>
      </c>
      <c r="T5722" t="str">
        <f t="shared" si="1"/>
        <v/>
      </c>
      <c r="U5722" t="str">
        <f t="shared" si="2"/>
        <v/>
      </c>
      <c r="V5722" t="str">
        <f>IF(OR(U5722="",U5722="ERRO_CHAVE"),"",IFERROR(MATCH(U5722,Fornecedores!$AF$1:$AF$6631,0),""))</f>
        <v/>
      </c>
      <c r="W5722" t="str">
        <f t="shared" si="3"/>
        <v/>
      </c>
      <c r="X5722" s="4" t="str">
        <f>IF(V5722="","",INDEX(Fornecedores!$X$1:$X$6631,V5722))</f>
        <v/>
      </c>
      <c r="Y5722" s="4" t="str">
        <f t="shared" si="4"/>
        <v/>
      </c>
    </row>
    <row r="5723" spans="19:25">
      <c r="S5723" t="str">
        <f t="shared" si="0"/>
        <v/>
      </c>
      <c r="T5723" t="str">
        <f t="shared" si="1"/>
        <v/>
      </c>
      <c r="U5723" t="str">
        <f t="shared" si="2"/>
        <v/>
      </c>
      <c r="V5723" t="str">
        <f>IF(OR(U5723="",U5723="ERRO_CHAVE"),"",IFERROR(MATCH(U5723,Fornecedores!$AF$1:$AF$6631,0),""))</f>
        <v/>
      </c>
      <c r="W5723" t="str">
        <f t="shared" si="3"/>
        <v/>
      </c>
      <c r="X5723" s="4" t="str">
        <f>IF(V5723="","",INDEX(Fornecedores!$X$1:$X$6631,V5723))</f>
        <v/>
      </c>
      <c r="Y5723" s="4" t="str">
        <f t="shared" si="4"/>
        <v/>
      </c>
    </row>
    <row r="5724" spans="19:25">
      <c r="S5724" t="str">
        <f t="shared" si="0"/>
        <v/>
      </c>
      <c r="T5724" t="str">
        <f t="shared" si="1"/>
        <v/>
      </c>
      <c r="U5724" t="str">
        <f t="shared" si="2"/>
        <v/>
      </c>
      <c r="V5724" t="str">
        <f>IF(OR(U5724="",U5724="ERRO_CHAVE"),"",IFERROR(MATCH(U5724,Fornecedores!$AF$1:$AF$6631,0),""))</f>
        <v/>
      </c>
      <c r="W5724" t="str">
        <f t="shared" si="3"/>
        <v/>
      </c>
      <c r="X5724" s="4" t="str">
        <f>IF(V5724="","",INDEX(Fornecedores!$X$1:$X$6631,V5724))</f>
        <v/>
      </c>
      <c r="Y5724" s="4" t="str">
        <f t="shared" si="4"/>
        <v/>
      </c>
    </row>
    <row r="5725" spans="19:25">
      <c r="S5725" t="str">
        <f t="shared" si="0"/>
        <v/>
      </c>
      <c r="T5725" t="str">
        <f t="shared" si="1"/>
        <v/>
      </c>
      <c r="U5725" t="str">
        <f t="shared" si="2"/>
        <v/>
      </c>
      <c r="V5725" t="str">
        <f>IF(OR(U5725="",U5725="ERRO_CHAVE"),"",IFERROR(MATCH(U5725,Fornecedores!$AF$1:$AF$6631,0),""))</f>
        <v/>
      </c>
      <c r="W5725" t="str">
        <f t="shared" si="3"/>
        <v/>
      </c>
      <c r="X5725" s="4" t="str">
        <f>IF(V5725="","",INDEX(Fornecedores!$X$1:$X$6631,V5725))</f>
        <v/>
      </c>
      <c r="Y5725" s="4" t="str">
        <f t="shared" si="4"/>
        <v/>
      </c>
    </row>
    <row r="5726" spans="19:25">
      <c r="S5726" t="str">
        <f t="shared" si="0"/>
        <v/>
      </c>
      <c r="T5726" t="str">
        <f t="shared" si="1"/>
        <v/>
      </c>
      <c r="U5726" t="str">
        <f t="shared" si="2"/>
        <v/>
      </c>
      <c r="V5726" t="str">
        <f>IF(OR(U5726="",U5726="ERRO_CHAVE"),"",IFERROR(MATCH(U5726,Fornecedores!$AF$1:$AF$6631,0),""))</f>
        <v/>
      </c>
      <c r="W5726" t="str">
        <f t="shared" si="3"/>
        <v/>
      </c>
      <c r="X5726" s="4" t="str">
        <f>IF(V5726="","",INDEX(Fornecedores!$X$1:$X$6631,V5726))</f>
        <v/>
      </c>
      <c r="Y5726" s="4" t="str">
        <f t="shared" si="4"/>
        <v/>
      </c>
    </row>
    <row r="5727" spans="19:25">
      <c r="S5727" t="str">
        <f t="shared" si="0"/>
        <v/>
      </c>
      <c r="T5727" t="str">
        <f t="shared" si="1"/>
        <v/>
      </c>
      <c r="U5727" t="str">
        <f t="shared" si="2"/>
        <v/>
      </c>
      <c r="V5727" t="str">
        <f>IF(OR(U5727="",U5727="ERRO_CHAVE"),"",IFERROR(MATCH(U5727,Fornecedores!$AF$1:$AF$6631,0),""))</f>
        <v/>
      </c>
      <c r="W5727" t="str">
        <f t="shared" si="3"/>
        <v/>
      </c>
      <c r="X5727" s="4" t="str">
        <f>IF(V5727="","",INDEX(Fornecedores!$X$1:$X$6631,V5727))</f>
        <v/>
      </c>
      <c r="Y5727" s="4" t="str">
        <f t="shared" si="4"/>
        <v/>
      </c>
    </row>
    <row r="5728" spans="19:25">
      <c r="S5728" t="str">
        <f t="shared" si="0"/>
        <v/>
      </c>
      <c r="T5728" t="str">
        <f t="shared" si="1"/>
        <v/>
      </c>
      <c r="U5728" t="str">
        <f t="shared" si="2"/>
        <v/>
      </c>
      <c r="V5728" t="str">
        <f>IF(OR(U5728="",U5728="ERRO_CHAVE"),"",IFERROR(MATCH(U5728,Fornecedores!$AF$1:$AF$6631,0),""))</f>
        <v/>
      </c>
      <c r="W5728" t="str">
        <f t="shared" si="3"/>
        <v/>
      </c>
      <c r="X5728" s="4" t="str">
        <f>IF(V5728="","",INDEX(Fornecedores!$X$1:$X$6631,V5728))</f>
        <v/>
      </c>
      <c r="Y5728" s="4" t="str">
        <f t="shared" si="4"/>
        <v/>
      </c>
    </row>
    <row r="5729" spans="19:25">
      <c r="S5729" t="str">
        <f t="shared" si="0"/>
        <v/>
      </c>
      <c r="T5729" t="str">
        <f t="shared" si="1"/>
        <v/>
      </c>
      <c r="U5729" t="str">
        <f t="shared" si="2"/>
        <v/>
      </c>
      <c r="V5729" t="str">
        <f>IF(OR(U5729="",U5729="ERRO_CHAVE"),"",IFERROR(MATCH(U5729,Fornecedores!$AF$1:$AF$6631,0),""))</f>
        <v/>
      </c>
      <c r="W5729" t="str">
        <f t="shared" si="3"/>
        <v/>
      </c>
      <c r="X5729" s="4" t="str">
        <f>IF(V5729="","",INDEX(Fornecedores!$X$1:$X$6631,V5729))</f>
        <v/>
      </c>
      <c r="Y5729" s="4" t="str">
        <f t="shared" si="4"/>
        <v/>
      </c>
    </row>
    <row r="5730" spans="19:25">
      <c r="S5730" t="str">
        <f t="shared" si="0"/>
        <v/>
      </c>
      <c r="T5730" t="str">
        <f t="shared" si="1"/>
        <v/>
      </c>
      <c r="U5730" t="str">
        <f t="shared" si="2"/>
        <v/>
      </c>
      <c r="V5730" t="str">
        <f>IF(OR(U5730="",U5730="ERRO_CHAVE"),"",IFERROR(MATCH(U5730,Fornecedores!$AF$1:$AF$6631,0),""))</f>
        <v/>
      </c>
      <c r="W5730" t="str">
        <f t="shared" si="3"/>
        <v/>
      </c>
      <c r="X5730" s="4" t="str">
        <f>IF(V5730="","",INDEX(Fornecedores!$X$1:$X$6631,V5730))</f>
        <v/>
      </c>
      <c r="Y5730" s="4" t="str">
        <f t="shared" si="4"/>
        <v/>
      </c>
    </row>
    <row r="5731" spans="19:25">
      <c r="S5731" t="str">
        <f t="shared" si="0"/>
        <v/>
      </c>
      <c r="T5731" t="str">
        <f t="shared" si="1"/>
        <v/>
      </c>
      <c r="U5731" t="str">
        <f t="shared" si="2"/>
        <v/>
      </c>
      <c r="V5731" t="str">
        <f>IF(OR(U5731="",U5731="ERRO_CHAVE"),"",IFERROR(MATCH(U5731,Fornecedores!$AF$1:$AF$6631,0),""))</f>
        <v/>
      </c>
      <c r="W5731" t="str">
        <f t="shared" si="3"/>
        <v/>
      </c>
      <c r="X5731" s="4" t="str">
        <f>IF(V5731="","",INDEX(Fornecedores!$X$1:$X$6631,V5731))</f>
        <v/>
      </c>
      <c r="Y5731" s="4" t="str">
        <f t="shared" si="4"/>
        <v/>
      </c>
    </row>
    <row r="5732" spans="19:25">
      <c r="S5732" t="str">
        <f t="shared" si="0"/>
        <v/>
      </c>
      <c r="T5732" t="str">
        <f t="shared" si="1"/>
        <v/>
      </c>
      <c r="U5732" t="str">
        <f t="shared" si="2"/>
        <v/>
      </c>
      <c r="V5732" t="str">
        <f>IF(OR(U5732="",U5732="ERRO_CHAVE"),"",IFERROR(MATCH(U5732,Fornecedores!$AF$1:$AF$6631,0),""))</f>
        <v/>
      </c>
      <c r="W5732" t="str">
        <f t="shared" si="3"/>
        <v/>
      </c>
      <c r="X5732" s="4" t="str">
        <f>IF(V5732="","",INDEX(Fornecedores!$X$1:$X$6631,V5732))</f>
        <v/>
      </c>
      <c r="Y5732" s="4" t="str">
        <f t="shared" si="4"/>
        <v/>
      </c>
    </row>
    <row r="5733" spans="19:25">
      <c r="S5733" t="str">
        <f t="shared" si="0"/>
        <v/>
      </c>
      <c r="T5733" t="str">
        <f t="shared" si="1"/>
        <v/>
      </c>
      <c r="U5733" t="str">
        <f t="shared" si="2"/>
        <v/>
      </c>
      <c r="V5733" t="str">
        <f>IF(OR(U5733="",U5733="ERRO_CHAVE"),"",IFERROR(MATCH(U5733,Fornecedores!$AF$1:$AF$6631,0),""))</f>
        <v/>
      </c>
      <c r="W5733" t="str">
        <f t="shared" si="3"/>
        <v/>
      </c>
      <c r="X5733" s="4" t="str">
        <f>IF(V5733="","",INDEX(Fornecedores!$X$1:$X$6631,V5733))</f>
        <v/>
      </c>
      <c r="Y5733" s="4" t="str">
        <f t="shared" si="4"/>
        <v/>
      </c>
    </row>
    <row r="5734" spans="19:25">
      <c r="S5734" t="str">
        <f t="shared" si="0"/>
        <v/>
      </c>
      <c r="T5734" t="str">
        <f t="shared" si="1"/>
        <v/>
      </c>
      <c r="U5734" t="str">
        <f t="shared" si="2"/>
        <v/>
      </c>
      <c r="V5734" t="str">
        <f>IF(OR(U5734="",U5734="ERRO_CHAVE"),"",IFERROR(MATCH(U5734,Fornecedores!$AF$1:$AF$6631,0),""))</f>
        <v/>
      </c>
      <c r="W5734" t="str">
        <f t="shared" si="3"/>
        <v/>
      </c>
      <c r="X5734" s="4" t="str">
        <f>IF(V5734="","",INDEX(Fornecedores!$X$1:$X$6631,V5734))</f>
        <v/>
      </c>
      <c r="Y5734" s="4" t="str">
        <f t="shared" si="4"/>
        <v/>
      </c>
    </row>
    <row r="5735" spans="19:25">
      <c r="S5735" t="str">
        <f t="shared" si="0"/>
        <v/>
      </c>
      <c r="T5735" t="str">
        <f t="shared" si="1"/>
        <v/>
      </c>
      <c r="U5735" t="str">
        <f t="shared" si="2"/>
        <v/>
      </c>
      <c r="V5735" t="str">
        <f>IF(OR(U5735="",U5735="ERRO_CHAVE"),"",IFERROR(MATCH(U5735,Fornecedores!$AF$1:$AF$6631,0),""))</f>
        <v/>
      </c>
      <c r="W5735" t="str">
        <f t="shared" si="3"/>
        <v/>
      </c>
      <c r="X5735" s="4" t="str">
        <f>IF(V5735="","",INDEX(Fornecedores!$X$1:$X$6631,V5735))</f>
        <v/>
      </c>
      <c r="Y5735" s="4" t="str">
        <f t="shared" si="4"/>
        <v/>
      </c>
    </row>
    <row r="5736" spans="19:25">
      <c r="S5736" t="str">
        <f t="shared" si="0"/>
        <v/>
      </c>
      <c r="T5736" t="str">
        <f t="shared" si="1"/>
        <v/>
      </c>
      <c r="U5736" t="str">
        <f t="shared" si="2"/>
        <v/>
      </c>
      <c r="V5736" t="str">
        <f>IF(OR(U5736="",U5736="ERRO_CHAVE"),"",IFERROR(MATCH(U5736,Fornecedores!$AF$1:$AF$6631,0),""))</f>
        <v/>
      </c>
      <c r="W5736" t="str">
        <f t="shared" si="3"/>
        <v/>
      </c>
      <c r="X5736" s="4" t="str">
        <f>IF(V5736="","",INDEX(Fornecedores!$X$1:$X$6631,V5736))</f>
        <v/>
      </c>
      <c r="Y5736" s="4" t="str">
        <f t="shared" si="4"/>
        <v/>
      </c>
    </row>
    <row r="5737" spans="19:25">
      <c r="S5737" t="str">
        <f t="shared" si="0"/>
        <v/>
      </c>
      <c r="T5737" t="str">
        <f t="shared" si="1"/>
        <v/>
      </c>
      <c r="U5737" t="str">
        <f t="shared" si="2"/>
        <v/>
      </c>
      <c r="V5737" t="str">
        <f>IF(OR(U5737="",U5737="ERRO_CHAVE"),"",IFERROR(MATCH(U5737,Fornecedores!$AF$1:$AF$6631,0),""))</f>
        <v/>
      </c>
      <c r="W5737" t="str">
        <f t="shared" si="3"/>
        <v/>
      </c>
      <c r="X5737" s="4" t="str">
        <f>IF(V5737="","",INDEX(Fornecedores!$X$1:$X$6631,V5737))</f>
        <v/>
      </c>
      <c r="Y5737" s="4" t="str">
        <f t="shared" si="4"/>
        <v/>
      </c>
    </row>
    <row r="5738" spans="19:25">
      <c r="S5738" t="str">
        <f t="shared" si="0"/>
        <v/>
      </c>
      <c r="T5738" t="str">
        <f t="shared" si="1"/>
        <v/>
      </c>
      <c r="U5738" t="str">
        <f t="shared" si="2"/>
        <v/>
      </c>
      <c r="V5738" t="str">
        <f>IF(OR(U5738="",U5738="ERRO_CHAVE"),"",IFERROR(MATCH(U5738,Fornecedores!$AF$1:$AF$6631,0),""))</f>
        <v/>
      </c>
      <c r="W5738" t="str">
        <f t="shared" si="3"/>
        <v/>
      </c>
      <c r="X5738" s="4" t="str">
        <f>IF(V5738="","",INDEX(Fornecedores!$X$1:$X$6631,V5738))</f>
        <v/>
      </c>
      <c r="Y5738" s="4" t="str">
        <f t="shared" si="4"/>
        <v/>
      </c>
    </row>
    <row r="5739" spans="19:25">
      <c r="S5739" t="str">
        <f t="shared" si="0"/>
        <v/>
      </c>
      <c r="T5739" t="str">
        <f t="shared" si="1"/>
        <v/>
      </c>
      <c r="U5739" t="str">
        <f t="shared" si="2"/>
        <v/>
      </c>
      <c r="V5739" t="str">
        <f>IF(OR(U5739="",U5739="ERRO_CHAVE"),"",IFERROR(MATCH(U5739,Fornecedores!$AF$1:$AF$6631,0),""))</f>
        <v/>
      </c>
      <c r="W5739" t="str">
        <f t="shared" si="3"/>
        <v/>
      </c>
      <c r="X5739" s="4" t="str">
        <f>IF(V5739="","",INDEX(Fornecedores!$X$1:$X$6631,V5739))</f>
        <v/>
      </c>
      <c r="Y5739" s="4" t="str">
        <f t="shared" si="4"/>
        <v/>
      </c>
    </row>
    <row r="5740" spans="19:25">
      <c r="S5740" t="str">
        <f t="shared" si="0"/>
        <v/>
      </c>
      <c r="T5740" t="str">
        <f t="shared" si="1"/>
        <v/>
      </c>
      <c r="U5740" t="str">
        <f t="shared" si="2"/>
        <v/>
      </c>
      <c r="V5740" t="str">
        <f>IF(OR(U5740="",U5740="ERRO_CHAVE"),"",IFERROR(MATCH(U5740,Fornecedores!$AF$1:$AF$6631,0),""))</f>
        <v/>
      </c>
      <c r="W5740" t="str">
        <f t="shared" si="3"/>
        <v/>
      </c>
      <c r="X5740" s="4" t="str">
        <f>IF(V5740="","",INDEX(Fornecedores!$X$1:$X$6631,V5740))</f>
        <v/>
      </c>
      <c r="Y5740" s="4" t="str">
        <f t="shared" si="4"/>
        <v/>
      </c>
    </row>
    <row r="5741" spans="19:25">
      <c r="S5741" t="str">
        <f t="shared" si="0"/>
        <v/>
      </c>
      <c r="T5741" t="str">
        <f t="shared" si="1"/>
        <v/>
      </c>
      <c r="U5741" t="str">
        <f t="shared" si="2"/>
        <v/>
      </c>
      <c r="V5741" t="str">
        <f>IF(OR(U5741="",U5741="ERRO_CHAVE"),"",IFERROR(MATCH(U5741,Fornecedores!$AF$1:$AF$6631,0),""))</f>
        <v/>
      </c>
      <c r="W5741" t="str">
        <f t="shared" si="3"/>
        <v/>
      </c>
      <c r="X5741" s="4" t="str">
        <f>IF(V5741="","",INDEX(Fornecedores!$X$1:$X$6631,V5741))</f>
        <v/>
      </c>
      <c r="Y5741" s="4" t="str">
        <f t="shared" si="4"/>
        <v/>
      </c>
    </row>
    <row r="5742" spans="19:25">
      <c r="S5742" t="str">
        <f t="shared" si="0"/>
        <v/>
      </c>
      <c r="T5742" t="str">
        <f t="shared" si="1"/>
        <v/>
      </c>
      <c r="U5742" t="str">
        <f t="shared" si="2"/>
        <v/>
      </c>
      <c r="V5742" t="str">
        <f>IF(OR(U5742="",U5742="ERRO_CHAVE"),"",IFERROR(MATCH(U5742,Fornecedores!$AF$1:$AF$6631,0),""))</f>
        <v/>
      </c>
      <c r="W5742" t="str">
        <f t="shared" si="3"/>
        <v/>
      </c>
      <c r="X5742" s="4" t="str">
        <f>IF(V5742="","",INDEX(Fornecedores!$X$1:$X$6631,V5742))</f>
        <v/>
      </c>
      <c r="Y5742" s="4" t="str">
        <f t="shared" si="4"/>
        <v/>
      </c>
    </row>
    <row r="5743" spans="19:25">
      <c r="S5743" t="str">
        <f t="shared" si="0"/>
        <v/>
      </c>
      <c r="T5743" t="str">
        <f t="shared" si="1"/>
        <v/>
      </c>
      <c r="U5743" t="str">
        <f t="shared" si="2"/>
        <v/>
      </c>
      <c r="V5743" t="str">
        <f>IF(OR(U5743="",U5743="ERRO_CHAVE"),"",IFERROR(MATCH(U5743,Fornecedores!$AF$1:$AF$6631,0),""))</f>
        <v/>
      </c>
      <c r="W5743" t="str">
        <f t="shared" si="3"/>
        <v/>
      </c>
      <c r="X5743" s="4" t="str">
        <f>IF(V5743="","",INDEX(Fornecedores!$X$1:$X$6631,V5743))</f>
        <v/>
      </c>
      <c r="Y5743" s="4" t="str">
        <f t="shared" si="4"/>
        <v/>
      </c>
    </row>
    <row r="5744" spans="19:25">
      <c r="S5744" t="str">
        <f t="shared" si="0"/>
        <v/>
      </c>
      <c r="T5744" t="str">
        <f t="shared" si="1"/>
        <v/>
      </c>
      <c r="U5744" t="str">
        <f t="shared" si="2"/>
        <v/>
      </c>
      <c r="V5744" t="str">
        <f>IF(OR(U5744="",U5744="ERRO_CHAVE"),"",IFERROR(MATCH(U5744,Fornecedores!$AF$1:$AF$6631,0),""))</f>
        <v/>
      </c>
      <c r="W5744" t="str">
        <f t="shared" si="3"/>
        <v/>
      </c>
      <c r="X5744" s="4" t="str">
        <f>IF(V5744="","",INDEX(Fornecedores!$X$1:$X$6631,V5744))</f>
        <v/>
      </c>
      <c r="Y5744" s="4" t="str">
        <f t="shared" si="4"/>
        <v/>
      </c>
    </row>
    <row r="5745" spans="19:25">
      <c r="S5745" t="str">
        <f t="shared" si="0"/>
        <v/>
      </c>
      <c r="T5745" t="str">
        <f t="shared" si="1"/>
        <v/>
      </c>
      <c r="U5745" t="str">
        <f t="shared" si="2"/>
        <v/>
      </c>
      <c r="V5745" t="str">
        <f>IF(OR(U5745="",U5745="ERRO_CHAVE"),"",IFERROR(MATCH(U5745,Fornecedores!$AF$1:$AF$6631,0),""))</f>
        <v/>
      </c>
      <c r="W5745" t="str">
        <f t="shared" si="3"/>
        <v/>
      </c>
      <c r="X5745" s="4" t="str">
        <f>IF(V5745="","",INDEX(Fornecedores!$X$1:$X$6631,V5745))</f>
        <v/>
      </c>
      <c r="Y5745" s="4" t="str">
        <f t="shared" si="4"/>
        <v/>
      </c>
    </row>
    <row r="5746" spans="19:25">
      <c r="S5746" t="str">
        <f t="shared" si="0"/>
        <v/>
      </c>
      <c r="T5746" t="str">
        <f t="shared" si="1"/>
        <v/>
      </c>
      <c r="U5746" t="str">
        <f t="shared" si="2"/>
        <v/>
      </c>
      <c r="V5746" t="str">
        <f>IF(OR(U5746="",U5746="ERRO_CHAVE"),"",IFERROR(MATCH(U5746,Fornecedores!$AF$1:$AF$6631,0),""))</f>
        <v/>
      </c>
      <c r="W5746" t="str">
        <f t="shared" si="3"/>
        <v/>
      </c>
      <c r="X5746" s="4" t="str">
        <f>IF(V5746="","",INDEX(Fornecedores!$X$1:$X$6631,V5746))</f>
        <v/>
      </c>
      <c r="Y5746" s="4" t="str">
        <f t="shared" si="4"/>
        <v/>
      </c>
    </row>
    <row r="5747" spans="19:25">
      <c r="S5747" t="str">
        <f t="shared" si="0"/>
        <v/>
      </c>
      <c r="T5747" t="str">
        <f t="shared" si="1"/>
        <v/>
      </c>
      <c r="U5747" t="str">
        <f t="shared" si="2"/>
        <v/>
      </c>
      <c r="V5747" t="str">
        <f>IF(OR(U5747="",U5747="ERRO_CHAVE"),"",IFERROR(MATCH(U5747,Fornecedores!$AF$1:$AF$6631,0),""))</f>
        <v/>
      </c>
      <c r="W5747" t="str">
        <f t="shared" si="3"/>
        <v/>
      </c>
      <c r="X5747" s="4" t="str">
        <f>IF(V5747="","",INDEX(Fornecedores!$X$1:$X$6631,V5747))</f>
        <v/>
      </c>
      <c r="Y5747" s="4" t="str">
        <f t="shared" si="4"/>
        <v/>
      </c>
    </row>
    <row r="5748" spans="19:25">
      <c r="S5748" t="str">
        <f t="shared" si="0"/>
        <v/>
      </c>
      <c r="T5748" t="str">
        <f t="shared" si="1"/>
        <v/>
      </c>
      <c r="U5748" t="str">
        <f t="shared" si="2"/>
        <v/>
      </c>
      <c r="V5748" t="str">
        <f>IF(OR(U5748="",U5748="ERRO_CHAVE"),"",IFERROR(MATCH(U5748,Fornecedores!$AF$1:$AF$6631,0),""))</f>
        <v/>
      </c>
      <c r="W5748" t="str">
        <f t="shared" si="3"/>
        <v/>
      </c>
      <c r="X5748" s="4" t="str">
        <f>IF(V5748="","",INDEX(Fornecedores!$X$1:$X$6631,V5748))</f>
        <v/>
      </c>
      <c r="Y5748" s="4" t="str">
        <f t="shared" si="4"/>
        <v/>
      </c>
    </row>
    <row r="5749" spans="19:25">
      <c r="S5749" t="str">
        <f t="shared" si="0"/>
        <v/>
      </c>
      <c r="T5749" t="str">
        <f t="shared" si="1"/>
        <v/>
      </c>
      <c r="U5749" t="str">
        <f t="shared" si="2"/>
        <v/>
      </c>
      <c r="V5749" t="str">
        <f>IF(OR(U5749="",U5749="ERRO_CHAVE"),"",IFERROR(MATCH(U5749,Fornecedores!$AF$1:$AF$6631,0),""))</f>
        <v/>
      </c>
      <c r="W5749" t="str">
        <f t="shared" si="3"/>
        <v/>
      </c>
      <c r="X5749" s="4" t="str">
        <f>IF(V5749="","",INDEX(Fornecedores!$X$1:$X$6631,V5749))</f>
        <v/>
      </c>
      <c r="Y5749" s="4" t="str">
        <f t="shared" si="4"/>
        <v/>
      </c>
    </row>
    <row r="5750" spans="19:25">
      <c r="S5750" t="str">
        <f t="shared" si="0"/>
        <v/>
      </c>
      <c r="T5750" t="str">
        <f t="shared" si="1"/>
        <v/>
      </c>
      <c r="U5750" t="str">
        <f t="shared" si="2"/>
        <v/>
      </c>
      <c r="V5750" t="str">
        <f>IF(OR(U5750="",U5750="ERRO_CHAVE"),"",IFERROR(MATCH(U5750,Fornecedores!$AF$1:$AF$6631,0),""))</f>
        <v/>
      </c>
      <c r="W5750" t="str">
        <f t="shared" si="3"/>
        <v/>
      </c>
      <c r="X5750" s="4" t="str">
        <f>IF(V5750="","",INDEX(Fornecedores!$X$1:$X$6631,V5750))</f>
        <v/>
      </c>
      <c r="Y5750" s="4" t="str">
        <f t="shared" si="4"/>
        <v/>
      </c>
    </row>
    <row r="5751" spans="19:25">
      <c r="S5751" t="str">
        <f t="shared" si="0"/>
        <v/>
      </c>
      <c r="T5751" t="str">
        <f t="shared" si="1"/>
        <v/>
      </c>
      <c r="U5751" t="str">
        <f t="shared" si="2"/>
        <v/>
      </c>
      <c r="V5751" t="str">
        <f>IF(OR(U5751="",U5751="ERRO_CHAVE"),"",IFERROR(MATCH(U5751,Fornecedores!$AF$1:$AF$6631,0),""))</f>
        <v/>
      </c>
      <c r="W5751" t="str">
        <f t="shared" si="3"/>
        <v/>
      </c>
      <c r="X5751" s="4" t="str">
        <f>IF(V5751="","",INDEX(Fornecedores!$X$1:$X$6631,V5751))</f>
        <v/>
      </c>
      <c r="Y5751" s="4" t="str">
        <f t="shared" si="4"/>
        <v/>
      </c>
    </row>
    <row r="5752" spans="19:25">
      <c r="S5752" t="str">
        <f t="shared" si="0"/>
        <v/>
      </c>
      <c r="T5752" t="str">
        <f t="shared" si="1"/>
        <v/>
      </c>
      <c r="U5752" t="str">
        <f t="shared" si="2"/>
        <v/>
      </c>
      <c r="V5752" t="str">
        <f>IF(OR(U5752="",U5752="ERRO_CHAVE"),"",IFERROR(MATCH(U5752,Fornecedores!$AF$1:$AF$6631,0),""))</f>
        <v/>
      </c>
      <c r="W5752" t="str">
        <f t="shared" si="3"/>
        <v/>
      </c>
      <c r="X5752" s="4" t="str">
        <f>IF(V5752="","",INDEX(Fornecedores!$X$1:$X$6631,V5752))</f>
        <v/>
      </c>
      <c r="Y5752" s="4" t="str">
        <f t="shared" si="4"/>
        <v/>
      </c>
    </row>
    <row r="5753" spans="19:25">
      <c r="S5753" t="str">
        <f t="shared" si="0"/>
        <v/>
      </c>
      <c r="T5753" t="str">
        <f t="shared" si="1"/>
        <v/>
      </c>
      <c r="U5753" t="str">
        <f t="shared" si="2"/>
        <v/>
      </c>
      <c r="V5753" t="str">
        <f>IF(OR(U5753="",U5753="ERRO_CHAVE"),"",IFERROR(MATCH(U5753,Fornecedores!$AF$1:$AF$6631,0),""))</f>
        <v/>
      </c>
      <c r="W5753" t="str">
        <f t="shared" si="3"/>
        <v/>
      </c>
      <c r="X5753" s="4" t="str">
        <f>IF(V5753="","",INDEX(Fornecedores!$X$1:$X$6631,V5753))</f>
        <v/>
      </c>
      <c r="Y5753" s="4" t="str">
        <f t="shared" si="4"/>
        <v/>
      </c>
    </row>
    <row r="5754" spans="19:25">
      <c r="S5754" t="str">
        <f t="shared" si="0"/>
        <v/>
      </c>
      <c r="T5754" t="str">
        <f t="shared" si="1"/>
        <v/>
      </c>
      <c r="U5754" t="str">
        <f t="shared" si="2"/>
        <v/>
      </c>
      <c r="V5754" t="str">
        <f>IF(OR(U5754="",U5754="ERRO_CHAVE"),"",IFERROR(MATCH(U5754,Fornecedores!$AF$1:$AF$6631,0),""))</f>
        <v/>
      </c>
      <c r="W5754" t="str">
        <f t="shared" si="3"/>
        <v/>
      </c>
      <c r="X5754" s="4" t="str">
        <f>IF(V5754="","",INDEX(Fornecedores!$X$1:$X$6631,V5754))</f>
        <v/>
      </c>
      <c r="Y5754" s="4" t="str">
        <f t="shared" si="4"/>
        <v/>
      </c>
    </row>
    <row r="5755" spans="19:25">
      <c r="S5755" t="str">
        <f t="shared" si="0"/>
        <v/>
      </c>
      <c r="T5755" t="str">
        <f t="shared" si="1"/>
        <v/>
      </c>
      <c r="U5755" t="str">
        <f t="shared" si="2"/>
        <v/>
      </c>
      <c r="V5755" t="str">
        <f>IF(OR(U5755="",U5755="ERRO_CHAVE"),"",IFERROR(MATCH(U5755,Fornecedores!$AF$1:$AF$6631,0),""))</f>
        <v/>
      </c>
      <c r="W5755" t="str">
        <f t="shared" si="3"/>
        <v/>
      </c>
      <c r="X5755" s="4" t="str">
        <f>IF(V5755="","",INDEX(Fornecedores!$X$1:$X$6631,V5755))</f>
        <v/>
      </c>
      <c r="Y5755" s="4" t="str">
        <f t="shared" si="4"/>
        <v/>
      </c>
    </row>
    <row r="5756" spans="19:25">
      <c r="S5756" t="str">
        <f t="shared" si="0"/>
        <v/>
      </c>
      <c r="T5756" t="str">
        <f t="shared" si="1"/>
        <v/>
      </c>
      <c r="U5756" t="str">
        <f t="shared" si="2"/>
        <v/>
      </c>
      <c r="V5756" t="str">
        <f>IF(OR(U5756="",U5756="ERRO_CHAVE"),"",IFERROR(MATCH(U5756,Fornecedores!$AF$1:$AF$6631,0),""))</f>
        <v/>
      </c>
      <c r="W5756" t="str">
        <f t="shared" si="3"/>
        <v/>
      </c>
      <c r="X5756" s="4" t="str">
        <f>IF(V5756="","",INDEX(Fornecedores!$X$1:$X$6631,V5756))</f>
        <v/>
      </c>
      <c r="Y5756" s="4" t="str">
        <f t="shared" si="4"/>
        <v/>
      </c>
    </row>
    <row r="5757" spans="19:25">
      <c r="S5757" t="str">
        <f t="shared" si="0"/>
        <v/>
      </c>
      <c r="T5757" t="str">
        <f t="shared" si="1"/>
        <v/>
      </c>
      <c r="U5757" t="str">
        <f t="shared" si="2"/>
        <v/>
      </c>
      <c r="V5757" t="str">
        <f>IF(OR(U5757="",U5757="ERRO_CHAVE"),"",IFERROR(MATCH(U5757,Fornecedores!$AF$1:$AF$6631,0),""))</f>
        <v/>
      </c>
      <c r="W5757" t="str">
        <f t="shared" si="3"/>
        <v/>
      </c>
      <c r="X5757" s="4" t="str">
        <f>IF(V5757="","",INDEX(Fornecedores!$X$1:$X$6631,V5757))</f>
        <v/>
      </c>
      <c r="Y5757" s="4" t="str">
        <f t="shared" si="4"/>
        <v/>
      </c>
    </row>
    <row r="5758" spans="19:25">
      <c r="S5758" t="str">
        <f t="shared" si="0"/>
        <v/>
      </c>
      <c r="T5758" t="str">
        <f t="shared" si="1"/>
        <v/>
      </c>
      <c r="U5758" t="str">
        <f t="shared" si="2"/>
        <v/>
      </c>
      <c r="V5758" t="str">
        <f>IF(OR(U5758="",U5758="ERRO_CHAVE"),"",IFERROR(MATCH(U5758,Fornecedores!$AF$1:$AF$6631,0),""))</f>
        <v/>
      </c>
      <c r="W5758" t="str">
        <f t="shared" si="3"/>
        <v/>
      </c>
      <c r="X5758" s="4" t="str">
        <f>IF(V5758="","",INDEX(Fornecedores!$X$1:$X$6631,V5758))</f>
        <v/>
      </c>
      <c r="Y5758" s="4" t="str">
        <f t="shared" si="4"/>
        <v/>
      </c>
    </row>
    <row r="5759" spans="19:25">
      <c r="S5759" t="str">
        <f t="shared" si="0"/>
        <v/>
      </c>
      <c r="T5759" t="str">
        <f t="shared" si="1"/>
        <v/>
      </c>
      <c r="U5759" t="str">
        <f t="shared" si="2"/>
        <v/>
      </c>
      <c r="V5759" t="str">
        <f>IF(OR(U5759="",U5759="ERRO_CHAVE"),"",IFERROR(MATCH(U5759,Fornecedores!$AF$1:$AF$6631,0),""))</f>
        <v/>
      </c>
      <c r="W5759" t="str">
        <f t="shared" si="3"/>
        <v/>
      </c>
      <c r="X5759" s="4" t="str">
        <f>IF(V5759="","",INDEX(Fornecedores!$X$1:$X$6631,V5759))</f>
        <v/>
      </c>
      <c r="Y5759" s="4" t="str">
        <f t="shared" si="4"/>
        <v/>
      </c>
    </row>
    <row r="5760" spans="19:25">
      <c r="S5760" t="str">
        <f t="shared" si="0"/>
        <v/>
      </c>
      <c r="T5760" t="str">
        <f t="shared" si="1"/>
        <v/>
      </c>
      <c r="U5760" t="str">
        <f t="shared" si="2"/>
        <v/>
      </c>
      <c r="V5760" t="str">
        <f>IF(OR(U5760="",U5760="ERRO_CHAVE"),"",IFERROR(MATCH(U5760,Fornecedores!$AF$1:$AF$6631,0),""))</f>
        <v/>
      </c>
      <c r="W5760" t="str">
        <f t="shared" si="3"/>
        <v/>
      </c>
      <c r="X5760" s="4" t="str">
        <f>IF(V5760="","",INDEX(Fornecedores!$X$1:$X$6631,V5760))</f>
        <v/>
      </c>
      <c r="Y5760" s="4" t="str">
        <f t="shared" si="4"/>
        <v/>
      </c>
    </row>
    <row r="5761" spans="19:25">
      <c r="S5761" t="str">
        <f t="shared" si="0"/>
        <v/>
      </c>
      <c r="T5761" t="str">
        <f t="shared" si="1"/>
        <v/>
      </c>
      <c r="U5761" t="str">
        <f t="shared" si="2"/>
        <v/>
      </c>
      <c r="V5761" t="str">
        <f>IF(OR(U5761="",U5761="ERRO_CHAVE"),"",IFERROR(MATCH(U5761,Fornecedores!$AF$1:$AF$6631,0),""))</f>
        <v/>
      </c>
      <c r="W5761" t="str">
        <f t="shared" si="3"/>
        <v/>
      </c>
      <c r="X5761" s="4" t="str">
        <f>IF(V5761="","",INDEX(Fornecedores!$X$1:$X$6631,V5761))</f>
        <v/>
      </c>
      <c r="Y5761" s="4" t="str">
        <f t="shared" si="4"/>
        <v/>
      </c>
    </row>
    <row r="5762" spans="19:25">
      <c r="S5762" t="str">
        <f t="shared" si="0"/>
        <v/>
      </c>
      <c r="T5762" t="str">
        <f t="shared" si="1"/>
        <v/>
      </c>
      <c r="U5762" t="str">
        <f t="shared" si="2"/>
        <v/>
      </c>
      <c r="V5762" t="str">
        <f>IF(OR(U5762="",U5762="ERRO_CHAVE"),"",IFERROR(MATCH(U5762,Fornecedores!$AF$1:$AF$6631,0),""))</f>
        <v/>
      </c>
      <c r="W5762" t="str">
        <f t="shared" si="3"/>
        <v/>
      </c>
      <c r="X5762" s="4" t="str">
        <f>IF(V5762="","",INDEX(Fornecedores!$X$1:$X$6631,V5762))</f>
        <v/>
      </c>
      <c r="Y5762" s="4" t="str">
        <f t="shared" si="4"/>
        <v/>
      </c>
    </row>
    <row r="5763" spans="19:25">
      <c r="S5763" t="str">
        <f t="shared" si="0"/>
        <v/>
      </c>
      <c r="T5763" t="str">
        <f t="shared" si="1"/>
        <v/>
      </c>
      <c r="U5763" t="str">
        <f t="shared" si="2"/>
        <v/>
      </c>
      <c r="V5763" t="str">
        <f>IF(OR(U5763="",U5763="ERRO_CHAVE"),"",IFERROR(MATCH(U5763,Fornecedores!$AF$1:$AF$6631,0),""))</f>
        <v/>
      </c>
      <c r="W5763" t="str">
        <f t="shared" si="3"/>
        <v/>
      </c>
      <c r="X5763" s="4" t="str">
        <f>IF(V5763="","",INDEX(Fornecedores!$X$1:$X$6631,V5763))</f>
        <v/>
      </c>
      <c r="Y5763" s="4" t="str">
        <f t="shared" si="4"/>
        <v/>
      </c>
    </row>
    <row r="5764" spans="19:25">
      <c r="S5764" t="str">
        <f t="shared" si="0"/>
        <v/>
      </c>
      <c r="T5764" t="str">
        <f t="shared" si="1"/>
        <v/>
      </c>
      <c r="U5764" t="str">
        <f t="shared" si="2"/>
        <v/>
      </c>
      <c r="V5764" t="str">
        <f>IF(OR(U5764="",U5764="ERRO_CHAVE"),"",IFERROR(MATCH(U5764,Fornecedores!$AF$1:$AF$6631,0),""))</f>
        <v/>
      </c>
      <c r="W5764" t="str">
        <f t="shared" si="3"/>
        <v/>
      </c>
      <c r="X5764" s="4" t="str">
        <f>IF(V5764="","",INDEX(Fornecedores!$X$1:$X$6631,V5764))</f>
        <v/>
      </c>
      <c r="Y5764" s="4" t="str">
        <f t="shared" si="4"/>
        <v/>
      </c>
    </row>
    <row r="5765" spans="19:25">
      <c r="S5765" t="str">
        <f t="shared" si="0"/>
        <v/>
      </c>
      <c r="T5765" t="str">
        <f t="shared" si="1"/>
        <v/>
      </c>
      <c r="U5765" t="str">
        <f t="shared" si="2"/>
        <v/>
      </c>
      <c r="V5765" t="str">
        <f>IF(OR(U5765="",U5765="ERRO_CHAVE"),"",IFERROR(MATCH(U5765,Fornecedores!$AF$1:$AF$6631,0),""))</f>
        <v/>
      </c>
      <c r="W5765" t="str">
        <f t="shared" si="3"/>
        <v/>
      </c>
      <c r="X5765" s="4" t="str">
        <f>IF(V5765="","",INDEX(Fornecedores!$X$1:$X$6631,V5765))</f>
        <v/>
      </c>
      <c r="Y5765" s="4" t="str">
        <f t="shared" si="4"/>
        <v/>
      </c>
    </row>
    <row r="5766" spans="19:25">
      <c r="S5766" t="str">
        <f t="shared" si="0"/>
        <v/>
      </c>
      <c r="T5766" t="str">
        <f t="shared" si="1"/>
        <v/>
      </c>
      <c r="U5766" t="str">
        <f t="shared" si="2"/>
        <v/>
      </c>
      <c r="V5766" t="str">
        <f>IF(OR(U5766="",U5766="ERRO_CHAVE"),"",IFERROR(MATCH(U5766,Fornecedores!$AF$1:$AF$6631,0),""))</f>
        <v/>
      </c>
      <c r="W5766" t="str">
        <f t="shared" si="3"/>
        <v/>
      </c>
      <c r="X5766" s="4" t="str">
        <f>IF(V5766="","",INDEX(Fornecedores!$X$1:$X$6631,V5766))</f>
        <v/>
      </c>
      <c r="Y5766" s="4" t="str">
        <f t="shared" si="4"/>
        <v/>
      </c>
    </row>
    <row r="5767" spans="19:25">
      <c r="S5767" t="str">
        <f t="shared" si="0"/>
        <v/>
      </c>
      <c r="T5767" t="str">
        <f t="shared" si="1"/>
        <v/>
      </c>
      <c r="U5767" t="str">
        <f t="shared" si="2"/>
        <v/>
      </c>
      <c r="V5767" t="str">
        <f>IF(OR(U5767="",U5767="ERRO_CHAVE"),"",IFERROR(MATCH(U5767,Fornecedores!$AF$1:$AF$6631,0),""))</f>
        <v/>
      </c>
      <c r="W5767" t="str">
        <f t="shared" si="3"/>
        <v/>
      </c>
      <c r="X5767" s="4" t="str">
        <f>IF(V5767="","",INDEX(Fornecedores!$X$1:$X$6631,V5767))</f>
        <v/>
      </c>
      <c r="Y5767" s="4" t="str">
        <f t="shared" si="4"/>
        <v/>
      </c>
    </row>
    <row r="5768" spans="19:25">
      <c r="S5768" t="str">
        <f t="shared" si="0"/>
        <v/>
      </c>
      <c r="T5768" t="str">
        <f t="shared" si="1"/>
        <v/>
      </c>
      <c r="U5768" t="str">
        <f t="shared" si="2"/>
        <v/>
      </c>
      <c r="V5768" t="str">
        <f>IF(OR(U5768="",U5768="ERRO_CHAVE"),"",IFERROR(MATCH(U5768,Fornecedores!$AF$1:$AF$6631,0),""))</f>
        <v/>
      </c>
      <c r="W5768" t="str">
        <f t="shared" si="3"/>
        <v/>
      </c>
      <c r="X5768" s="4" t="str">
        <f>IF(V5768="","",INDEX(Fornecedores!$X$1:$X$6631,V5768))</f>
        <v/>
      </c>
      <c r="Y5768" s="4" t="str">
        <f t="shared" si="4"/>
        <v/>
      </c>
    </row>
    <row r="5769" spans="19:25">
      <c r="S5769" t="str">
        <f t="shared" si="0"/>
        <v/>
      </c>
      <c r="T5769" t="str">
        <f t="shared" si="1"/>
        <v/>
      </c>
      <c r="U5769" t="str">
        <f t="shared" si="2"/>
        <v/>
      </c>
      <c r="V5769" t="str">
        <f>IF(OR(U5769="",U5769="ERRO_CHAVE"),"",IFERROR(MATCH(U5769,Fornecedores!$AF$1:$AF$6631,0),""))</f>
        <v/>
      </c>
      <c r="W5769" t="str">
        <f t="shared" si="3"/>
        <v/>
      </c>
      <c r="X5769" s="4" t="str">
        <f>IF(V5769="","",INDEX(Fornecedores!$X$1:$X$6631,V5769))</f>
        <v/>
      </c>
      <c r="Y5769" s="4" t="str">
        <f t="shared" si="4"/>
        <v/>
      </c>
    </row>
    <row r="5770" spans="19:25">
      <c r="S5770" t="str">
        <f t="shared" si="0"/>
        <v/>
      </c>
      <c r="T5770" t="str">
        <f t="shared" si="1"/>
        <v/>
      </c>
      <c r="U5770" t="str">
        <f t="shared" si="2"/>
        <v/>
      </c>
      <c r="V5770" t="str">
        <f>IF(OR(U5770="",U5770="ERRO_CHAVE"),"",IFERROR(MATCH(U5770,Fornecedores!$AF$1:$AF$6631,0),""))</f>
        <v/>
      </c>
      <c r="W5770" t="str">
        <f t="shared" si="3"/>
        <v/>
      </c>
      <c r="X5770" s="4" t="str">
        <f>IF(V5770="","",INDEX(Fornecedores!$X$1:$X$6631,V5770))</f>
        <v/>
      </c>
      <c r="Y5770" s="4" t="str">
        <f t="shared" si="4"/>
        <v/>
      </c>
    </row>
    <row r="5771" spans="19:25">
      <c r="S5771" t="str">
        <f t="shared" si="0"/>
        <v/>
      </c>
      <c r="T5771" t="str">
        <f t="shared" si="1"/>
        <v/>
      </c>
      <c r="U5771" t="str">
        <f t="shared" si="2"/>
        <v/>
      </c>
      <c r="V5771" t="str">
        <f>IF(OR(U5771="",U5771="ERRO_CHAVE"),"",IFERROR(MATCH(U5771,Fornecedores!$AF$1:$AF$6631,0),""))</f>
        <v/>
      </c>
      <c r="W5771" t="str">
        <f t="shared" si="3"/>
        <v/>
      </c>
      <c r="X5771" s="4" t="str">
        <f>IF(V5771="","",INDEX(Fornecedores!$X$1:$X$6631,V5771))</f>
        <v/>
      </c>
      <c r="Y5771" s="4" t="str">
        <f t="shared" si="4"/>
        <v/>
      </c>
    </row>
    <row r="5772" spans="19:25">
      <c r="S5772" t="str">
        <f t="shared" si="0"/>
        <v/>
      </c>
      <c r="T5772" t="str">
        <f t="shared" si="1"/>
        <v/>
      </c>
      <c r="U5772" t="str">
        <f t="shared" si="2"/>
        <v/>
      </c>
      <c r="V5772" t="str">
        <f>IF(OR(U5772="",U5772="ERRO_CHAVE"),"",IFERROR(MATCH(U5772,Fornecedores!$AF$1:$AF$6631,0),""))</f>
        <v/>
      </c>
      <c r="W5772" t="str">
        <f t="shared" si="3"/>
        <v/>
      </c>
      <c r="X5772" s="4" t="str">
        <f>IF(V5772="","",INDEX(Fornecedores!$X$1:$X$6631,V5772))</f>
        <v/>
      </c>
      <c r="Y5772" s="4" t="str">
        <f t="shared" si="4"/>
        <v/>
      </c>
    </row>
    <row r="5773" spans="19:25">
      <c r="S5773" t="str">
        <f t="shared" si="0"/>
        <v/>
      </c>
      <c r="T5773" t="str">
        <f t="shared" si="1"/>
        <v/>
      </c>
      <c r="U5773" t="str">
        <f t="shared" si="2"/>
        <v/>
      </c>
      <c r="V5773" t="str">
        <f>IF(OR(U5773="",U5773="ERRO_CHAVE"),"",IFERROR(MATCH(U5773,Fornecedores!$AF$1:$AF$6631,0),""))</f>
        <v/>
      </c>
      <c r="W5773" t="str">
        <f t="shared" si="3"/>
        <v/>
      </c>
      <c r="X5773" s="4" t="str">
        <f>IF(V5773="","",INDEX(Fornecedores!$X$1:$X$6631,V5773))</f>
        <v/>
      </c>
      <c r="Y5773" s="4" t="str">
        <f t="shared" si="4"/>
        <v/>
      </c>
    </row>
    <row r="5774" spans="19:25">
      <c r="S5774" t="str">
        <f t="shared" si="0"/>
        <v/>
      </c>
      <c r="T5774" t="str">
        <f t="shared" si="1"/>
        <v/>
      </c>
      <c r="U5774" t="str">
        <f t="shared" si="2"/>
        <v/>
      </c>
      <c r="V5774" t="str">
        <f>IF(OR(U5774="",U5774="ERRO_CHAVE"),"",IFERROR(MATCH(U5774,Fornecedores!$AF$1:$AF$6631,0),""))</f>
        <v/>
      </c>
      <c r="W5774" t="str">
        <f t="shared" si="3"/>
        <v/>
      </c>
      <c r="X5774" s="4" t="str">
        <f>IF(V5774="","",INDEX(Fornecedores!$X$1:$X$6631,V5774))</f>
        <v/>
      </c>
      <c r="Y5774" s="4" t="str">
        <f t="shared" si="4"/>
        <v/>
      </c>
    </row>
    <row r="5775" spans="19:25">
      <c r="S5775" t="str">
        <f t="shared" si="0"/>
        <v/>
      </c>
      <c r="T5775" t="str">
        <f t="shared" si="1"/>
        <v/>
      </c>
      <c r="U5775" t="str">
        <f t="shared" si="2"/>
        <v/>
      </c>
      <c r="V5775" t="str">
        <f>IF(OR(U5775="",U5775="ERRO_CHAVE"),"",IFERROR(MATCH(U5775,Fornecedores!$AF$1:$AF$6631,0),""))</f>
        <v/>
      </c>
      <c r="W5775" t="str">
        <f t="shared" si="3"/>
        <v/>
      </c>
      <c r="X5775" s="4" t="str">
        <f>IF(V5775="","",INDEX(Fornecedores!$X$1:$X$6631,V5775))</f>
        <v/>
      </c>
      <c r="Y5775" s="4" t="str">
        <f t="shared" si="4"/>
        <v/>
      </c>
    </row>
    <row r="5776" spans="19:25">
      <c r="S5776" t="str">
        <f t="shared" si="0"/>
        <v/>
      </c>
      <c r="T5776" t="str">
        <f t="shared" si="1"/>
        <v/>
      </c>
      <c r="U5776" t="str">
        <f t="shared" si="2"/>
        <v/>
      </c>
      <c r="V5776" t="str">
        <f>IF(OR(U5776="",U5776="ERRO_CHAVE"),"",IFERROR(MATCH(U5776,Fornecedores!$AF$1:$AF$6631,0),""))</f>
        <v/>
      </c>
      <c r="W5776" t="str">
        <f t="shared" si="3"/>
        <v/>
      </c>
      <c r="X5776" s="4" t="str">
        <f>IF(V5776="","",INDEX(Fornecedores!$X$1:$X$6631,V5776))</f>
        <v/>
      </c>
      <c r="Y5776" s="4" t="str">
        <f t="shared" si="4"/>
        <v/>
      </c>
    </row>
    <row r="5777" spans="19:25">
      <c r="S5777" t="str">
        <f t="shared" si="0"/>
        <v/>
      </c>
      <c r="T5777" t="str">
        <f t="shared" si="1"/>
        <v/>
      </c>
      <c r="U5777" t="str">
        <f t="shared" si="2"/>
        <v/>
      </c>
      <c r="V5777" t="str">
        <f>IF(OR(U5777="",U5777="ERRO_CHAVE"),"",IFERROR(MATCH(U5777,Fornecedores!$AF$1:$AF$6631,0),""))</f>
        <v/>
      </c>
      <c r="W5777" t="str">
        <f t="shared" si="3"/>
        <v/>
      </c>
      <c r="X5777" s="4" t="str">
        <f>IF(V5777="","",INDEX(Fornecedores!$X$1:$X$6631,V5777))</f>
        <v/>
      </c>
      <c r="Y5777" s="4" t="str">
        <f t="shared" si="4"/>
        <v/>
      </c>
    </row>
    <row r="5778" spans="19:25">
      <c r="S5778" t="str">
        <f t="shared" si="0"/>
        <v/>
      </c>
      <c r="T5778" t="str">
        <f t="shared" si="1"/>
        <v/>
      </c>
      <c r="U5778" t="str">
        <f t="shared" si="2"/>
        <v/>
      </c>
      <c r="V5778" t="str">
        <f>IF(OR(U5778="",U5778="ERRO_CHAVE"),"",IFERROR(MATCH(U5778,Fornecedores!$AF$1:$AF$6631,0),""))</f>
        <v/>
      </c>
      <c r="W5778" t="str">
        <f t="shared" si="3"/>
        <v/>
      </c>
      <c r="X5778" s="4" t="str">
        <f>IF(V5778="","",INDEX(Fornecedores!$X$1:$X$6631,V5778))</f>
        <v/>
      </c>
      <c r="Y5778" s="4" t="str">
        <f t="shared" si="4"/>
        <v/>
      </c>
    </row>
    <row r="5779" spans="19:25">
      <c r="S5779" t="str">
        <f t="shared" si="0"/>
        <v/>
      </c>
      <c r="T5779" t="str">
        <f t="shared" si="1"/>
        <v/>
      </c>
      <c r="U5779" t="str">
        <f t="shared" si="2"/>
        <v/>
      </c>
      <c r="V5779" t="str">
        <f>IF(OR(U5779="",U5779="ERRO_CHAVE"),"",IFERROR(MATCH(U5779,Fornecedores!$AF$1:$AF$6631,0),""))</f>
        <v/>
      </c>
      <c r="W5779" t="str">
        <f t="shared" si="3"/>
        <v/>
      </c>
      <c r="X5779" s="4" t="str">
        <f>IF(V5779="","",INDEX(Fornecedores!$X$1:$X$6631,V5779))</f>
        <v/>
      </c>
      <c r="Y5779" s="4" t="str">
        <f t="shared" si="4"/>
        <v/>
      </c>
    </row>
    <row r="5780" spans="19:25">
      <c r="S5780" t="str">
        <f t="shared" si="0"/>
        <v/>
      </c>
      <c r="T5780" t="str">
        <f t="shared" si="1"/>
        <v/>
      </c>
      <c r="U5780" t="str">
        <f t="shared" si="2"/>
        <v/>
      </c>
      <c r="V5780" t="str">
        <f>IF(OR(U5780="",U5780="ERRO_CHAVE"),"",IFERROR(MATCH(U5780,Fornecedores!$AF$1:$AF$6631,0),""))</f>
        <v/>
      </c>
      <c r="W5780" t="str">
        <f t="shared" si="3"/>
        <v/>
      </c>
      <c r="X5780" s="4" t="str">
        <f>IF(V5780="","",INDEX(Fornecedores!$X$1:$X$6631,V5780))</f>
        <v/>
      </c>
      <c r="Y5780" s="4" t="str">
        <f t="shared" si="4"/>
        <v/>
      </c>
    </row>
    <row r="5781" spans="19:25">
      <c r="S5781" t="str">
        <f t="shared" si="0"/>
        <v/>
      </c>
      <c r="T5781" t="str">
        <f t="shared" si="1"/>
        <v/>
      </c>
      <c r="U5781" t="str">
        <f t="shared" si="2"/>
        <v/>
      </c>
      <c r="V5781" t="str">
        <f>IF(OR(U5781="",U5781="ERRO_CHAVE"),"",IFERROR(MATCH(U5781,Fornecedores!$AF$1:$AF$6631,0),""))</f>
        <v/>
      </c>
      <c r="W5781" t="str">
        <f t="shared" si="3"/>
        <v/>
      </c>
      <c r="X5781" s="4" t="str">
        <f>IF(V5781="","",INDEX(Fornecedores!$X$1:$X$6631,V5781))</f>
        <v/>
      </c>
      <c r="Y5781" s="4" t="str">
        <f t="shared" si="4"/>
        <v/>
      </c>
    </row>
    <row r="5782" spans="19:25">
      <c r="S5782" t="str">
        <f t="shared" si="0"/>
        <v/>
      </c>
      <c r="T5782" t="str">
        <f t="shared" si="1"/>
        <v/>
      </c>
      <c r="U5782" t="str">
        <f t="shared" si="2"/>
        <v/>
      </c>
      <c r="V5782" t="str">
        <f>IF(OR(U5782="",U5782="ERRO_CHAVE"),"",IFERROR(MATCH(U5782,Fornecedores!$AF$1:$AF$6631,0),""))</f>
        <v/>
      </c>
      <c r="W5782" t="str">
        <f t="shared" si="3"/>
        <v/>
      </c>
      <c r="X5782" s="4" t="str">
        <f>IF(V5782="","",INDEX(Fornecedores!$X$1:$X$6631,V5782))</f>
        <v/>
      </c>
      <c r="Y5782" s="4" t="str">
        <f t="shared" si="4"/>
        <v/>
      </c>
    </row>
    <row r="5783" spans="19:25">
      <c r="S5783" t="str">
        <f t="shared" si="0"/>
        <v/>
      </c>
      <c r="T5783" t="str">
        <f t="shared" si="1"/>
        <v/>
      </c>
      <c r="U5783" t="str">
        <f t="shared" si="2"/>
        <v/>
      </c>
      <c r="V5783" t="str">
        <f>IF(OR(U5783="",U5783="ERRO_CHAVE"),"",IFERROR(MATCH(U5783,Fornecedores!$AF$1:$AF$6631,0),""))</f>
        <v/>
      </c>
      <c r="W5783" t="str">
        <f t="shared" si="3"/>
        <v/>
      </c>
      <c r="X5783" s="4" t="str">
        <f>IF(V5783="","",INDEX(Fornecedores!$X$1:$X$6631,V5783))</f>
        <v/>
      </c>
      <c r="Y5783" s="4" t="str">
        <f t="shared" si="4"/>
        <v/>
      </c>
    </row>
    <row r="5784" spans="19:25">
      <c r="S5784" t="str">
        <f t="shared" si="0"/>
        <v/>
      </c>
      <c r="T5784" t="str">
        <f t="shared" si="1"/>
        <v/>
      </c>
      <c r="U5784" t="str">
        <f t="shared" si="2"/>
        <v/>
      </c>
      <c r="V5784" t="str">
        <f>IF(OR(U5784="",U5784="ERRO_CHAVE"),"",IFERROR(MATCH(U5784,Fornecedores!$AF$1:$AF$6631,0),""))</f>
        <v/>
      </c>
      <c r="W5784" t="str">
        <f t="shared" si="3"/>
        <v/>
      </c>
      <c r="X5784" s="4" t="str">
        <f>IF(V5784="","",INDEX(Fornecedores!$X$1:$X$6631,V5784))</f>
        <v/>
      </c>
      <c r="Y5784" s="4" t="str">
        <f t="shared" si="4"/>
        <v/>
      </c>
    </row>
    <row r="5785" spans="19:25">
      <c r="S5785" t="str">
        <f t="shared" si="0"/>
        <v/>
      </c>
      <c r="T5785" t="str">
        <f t="shared" si="1"/>
        <v/>
      </c>
      <c r="U5785" t="str">
        <f t="shared" si="2"/>
        <v/>
      </c>
      <c r="V5785" t="str">
        <f>IF(OR(U5785="",U5785="ERRO_CHAVE"),"",IFERROR(MATCH(U5785,Fornecedores!$AF$1:$AF$6631,0),""))</f>
        <v/>
      </c>
      <c r="W5785" t="str">
        <f t="shared" si="3"/>
        <v/>
      </c>
      <c r="X5785" s="4" t="str">
        <f>IF(V5785="","",INDEX(Fornecedores!$X$1:$X$6631,V5785))</f>
        <v/>
      </c>
      <c r="Y5785" s="4" t="str">
        <f t="shared" si="4"/>
        <v/>
      </c>
    </row>
    <row r="5786" spans="19:25">
      <c r="S5786" t="str">
        <f t="shared" si="0"/>
        <v/>
      </c>
      <c r="T5786" t="str">
        <f t="shared" si="1"/>
        <v/>
      </c>
      <c r="U5786" t="str">
        <f t="shared" si="2"/>
        <v/>
      </c>
      <c r="V5786" t="str">
        <f>IF(OR(U5786="",U5786="ERRO_CHAVE"),"",IFERROR(MATCH(U5786,Fornecedores!$AF$1:$AF$6631,0),""))</f>
        <v/>
      </c>
      <c r="W5786" t="str">
        <f t="shared" si="3"/>
        <v/>
      </c>
      <c r="X5786" s="4" t="str">
        <f>IF(V5786="","",INDEX(Fornecedores!$X$1:$X$6631,V5786))</f>
        <v/>
      </c>
      <c r="Y5786" s="4" t="str">
        <f t="shared" si="4"/>
        <v/>
      </c>
    </row>
    <row r="5787" spans="19:25">
      <c r="S5787" t="str">
        <f t="shared" si="0"/>
        <v/>
      </c>
      <c r="T5787" t="str">
        <f t="shared" si="1"/>
        <v/>
      </c>
      <c r="U5787" t="str">
        <f t="shared" si="2"/>
        <v/>
      </c>
      <c r="V5787" t="str">
        <f>IF(OR(U5787="",U5787="ERRO_CHAVE"),"",IFERROR(MATCH(U5787,Fornecedores!$AF$1:$AF$6631,0),""))</f>
        <v/>
      </c>
      <c r="W5787" t="str">
        <f t="shared" si="3"/>
        <v/>
      </c>
      <c r="X5787" s="4" t="str">
        <f>IF(V5787="","",INDEX(Fornecedores!$X$1:$X$6631,V5787))</f>
        <v/>
      </c>
      <c r="Y5787" s="4" t="str">
        <f t="shared" si="4"/>
        <v/>
      </c>
    </row>
    <row r="5788" spans="19:25">
      <c r="S5788" t="str">
        <f t="shared" si="0"/>
        <v/>
      </c>
      <c r="T5788" t="str">
        <f t="shared" si="1"/>
        <v/>
      </c>
      <c r="U5788" t="str">
        <f t="shared" si="2"/>
        <v/>
      </c>
      <c r="V5788" t="str">
        <f>IF(OR(U5788="",U5788="ERRO_CHAVE"),"",IFERROR(MATCH(U5788,Fornecedores!$AF$1:$AF$6631,0),""))</f>
        <v/>
      </c>
      <c r="W5788" t="str">
        <f t="shared" si="3"/>
        <v/>
      </c>
      <c r="X5788" s="4" t="str">
        <f>IF(V5788="","",INDEX(Fornecedores!$X$1:$X$6631,V5788))</f>
        <v/>
      </c>
      <c r="Y5788" s="4" t="str">
        <f t="shared" si="4"/>
        <v/>
      </c>
    </row>
    <row r="5789" spans="19:25">
      <c r="S5789" t="str">
        <f t="shared" si="0"/>
        <v/>
      </c>
      <c r="T5789" t="str">
        <f t="shared" si="1"/>
        <v/>
      </c>
      <c r="U5789" t="str">
        <f t="shared" si="2"/>
        <v/>
      </c>
      <c r="V5789" t="str">
        <f>IF(OR(U5789="",U5789="ERRO_CHAVE"),"",IFERROR(MATCH(U5789,Fornecedores!$AF$1:$AF$6631,0),""))</f>
        <v/>
      </c>
      <c r="W5789" t="str">
        <f t="shared" si="3"/>
        <v/>
      </c>
      <c r="X5789" s="4" t="str">
        <f>IF(V5789="","",INDEX(Fornecedores!$X$1:$X$6631,V5789))</f>
        <v/>
      </c>
      <c r="Y5789" s="4" t="str">
        <f t="shared" si="4"/>
        <v/>
      </c>
    </row>
    <row r="5790" spans="19:25">
      <c r="S5790" t="str">
        <f t="shared" si="0"/>
        <v/>
      </c>
      <c r="T5790" t="str">
        <f t="shared" si="1"/>
        <v/>
      </c>
      <c r="U5790" t="str">
        <f t="shared" si="2"/>
        <v/>
      </c>
      <c r="V5790" t="str">
        <f>IF(OR(U5790="",U5790="ERRO_CHAVE"),"",IFERROR(MATCH(U5790,Fornecedores!$AF$1:$AF$6631,0),""))</f>
        <v/>
      </c>
      <c r="W5790" t="str">
        <f t="shared" si="3"/>
        <v/>
      </c>
      <c r="X5790" s="4" t="str">
        <f>IF(V5790="","",INDEX(Fornecedores!$X$1:$X$6631,V5790))</f>
        <v/>
      </c>
      <c r="Y5790" s="4" t="str">
        <f t="shared" si="4"/>
        <v/>
      </c>
    </row>
    <row r="5791" spans="19:25">
      <c r="S5791" t="str">
        <f t="shared" si="0"/>
        <v/>
      </c>
      <c r="T5791" t="str">
        <f t="shared" si="1"/>
        <v/>
      </c>
      <c r="U5791" t="str">
        <f t="shared" si="2"/>
        <v/>
      </c>
      <c r="V5791" t="str">
        <f>IF(OR(U5791="",U5791="ERRO_CHAVE"),"",IFERROR(MATCH(U5791,Fornecedores!$AF$1:$AF$6631,0),""))</f>
        <v/>
      </c>
      <c r="W5791" t="str">
        <f t="shared" si="3"/>
        <v/>
      </c>
      <c r="X5791" s="4" t="str">
        <f>IF(V5791="","",INDEX(Fornecedores!$X$1:$X$6631,V5791))</f>
        <v/>
      </c>
      <c r="Y5791" s="4" t="str">
        <f t="shared" si="4"/>
        <v/>
      </c>
    </row>
    <row r="5792" spans="19:25">
      <c r="S5792" t="str">
        <f t="shared" si="0"/>
        <v/>
      </c>
      <c r="T5792" t="str">
        <f t="shared" si="1"/>
        <v/>
      </c>
      <c r="U5792" t="str">
        <f t="shared" si="2"/>
        <v/>
      </c>
      <c r="V5792" t="str">
        <f>IF(OR(U5792="",U5792="ERRO_CHAVE"),"",IFERROR(MATCH(U5792,Fornecedores!$AF$1:$AF$6631,0),""))</f>
        <v/>
      </c>
      <c r="W5792" t="str">
        <f t="shared" si="3"/>
        <v/>
      </c>
      <c r="X5792" s="4" t="str">
        <f>IF(V5792="","",INDEX(Fornecedores!$X$1:$X$6631,V5792))</f>
        <v/>
      </c>
      <c r="Y5792" s="4" t="str">
        <f t="shared" si="4"/>
        <v/>
      </c>
    </row>
    <row r="5793" spans="19:25">
      <c r="S5793" t="str">
        <f t="shared" si="0"/>
        <v/>
      </c>
      <c r="T5793" t="str">
        <f t="shared" si="1"/>
        <v/>
      </c>
      <c r="U5793" t="str">
        <f t="shared" si="2"/>
        <v/>
      </c>
      <c r="V5793" t="str">
        <f>IF(OR(U5793="",U5793="ERRO_CHAVE"),"",IFERROR(MATCH(U5793,Fornecedores!$AF$1:$AF$6631,0),""))</f>
        <v/>
      </c>
      <c r="W5793" t="str">
        <f t="shared" si="3"/>
        <v/>
      </c>
      <c r="X5793" s="4" t="str">
        <f>IF(V5793="","",INDEX(Fornecedores!$X$1:$X$6631,V5793))</f>
        <v/>
      </c>
      <c r="Y5793" s="4" t="str">
        <f t="shared" si="4"/>
        <v/>
      </c>
    </row>
    <row r="5794" spans="19:25">
      <c r="S5794" t="str">
        <f t="shared" si="0"/>
        <v/>
      </c>
      <c r="T5794" t="str">
        <f t="shared" si="1"/>
        <v/>
      </c>
      <c r="U5794" t="str">
        <f t="shared" si="2"/>
        <v/>
      </c>
      <c r="V5794" t="str">
        <f>IF(OR(U5794="",U5794="ERRO_CHAVE"),"",IFERROR(MATCH(U5794,Fornecedores!$AF$1:$AF$6631,0),""))</f>
        <v/>
      </c>
      <c r="W5794" t="str">
        <f t="shared" si="3"/>
        <v/>
      </c>
      <c r="X5794" s="4" t="str">
        <f>IF(V5794="","",INDEX(Fornecedores!$X$1:$X$6631,V5794))</f>
        <v/>
      </c>
      <c r="Y5794" s="4" t="str">
        <f t="shared" si="4"/>
        <v/>
      </c>
    </row>
    <row r="5795" spans="19:25">
      <c r="S5795" t="str">
        <f t="shared" si="0"/>
        <v/>
      </c>
      <c r="T5795" t="str">
        <f t="shared" si="1"/>
        <v/>
      </c>
      <c r="U5795" t="str">
        <f t="shared" si="2"/>
        <v/>
      </c>
      <c r="V5795" t="str">
        <f>IF(OR(U5795="",U5795="ERRO_CHAVE"),"",IFERROR(MATCH(U5795,Fornecedores!$AF$1:$AF$6631,0),""))</f>
        <v/>
      </c>
      <c r="W5795" t="str">
        <f t="shared" si="3"/>
        <v/>
      </c>
      <c r="X5795" s="4" t="str">
        <f>IF(V5795="","",INDEX(Fornecedores!$X$1:$X$6631,V5795))</f>
        <v/>
      </c>
      <c r="Y5795" s="4" t="str">
        <f t="shared" si="4"/>
        <v/>
      </c>
    </row>
    <row r="5796" spans="19:25">
      <c r="S5796" t="str">
        <f t="shared" si="0"/>
        <v/>
      </c>
      <c r="T5796" t="str">
        <f t="shared" si="1"/>
        <v/>
      </c>
      <c r="U5796" t="str">
        <f t="shared" si="2"/>
        <v/>
      </c>
      <c r="V5796" t="str">
        <f>IF(OR(U5796="",U5796="ERRO_CHAVE"),"",IFERROR(MATCH(U5796,Fornecedores!$AF$1:$AF$6631,0),""))</f>
        <v/>
      </c>
      <c r="W5796" t="str">
        <f t="shared" si="3"/>
        <v/>
      </c>
      <c r="X5796" s="4" t="str">
        <f>IF(V5796="","",INDEX(Fornecedores!$X$1:$X$6631,V5796))</f>
        <v/>
      </c>
      <c r="Y5796" s="4" t="str">
        <f t="shared" si="4"/>
        <v/>
      </c>
    </row>
    <row r="5797" spans="19:25">
      <c r="S5797" t="str">
        <f t="shared" si="0"/>
        <v/>
      </c>
      <c r="T5797" t="str">
        <f t="shared" si="1"/>
        <v/>
      </c>
      <c r="U5797" t="str">
        <f t="shared" si="2"/>
        <v/>
      </c>
      <c r="V5797" t="str">
        <f>IF(OR(U5797="",U5797="ERRO_CHAVE"),"",IFERROR(MATCH(U5797,Fornecedores!$AF$1:$AF$6631,0),""))</f>
        <v/>
      </c>
      <c r="W5797" t="str">
        <f t="shared" si="3"/>
        <v/>
      </c>
      <c r="X5797" s="4" t="str">
        <f>IF(V5797="","",INDEX(Fornecedores!$X$1:$X$6631,V5797))</f>
        <v/>
      </c>
      <c r="Y5797" s="4" t="str">
        <f t="shared" si="4"/>
        <v/>
      </c>
    </row>
    <row r="5798" spans="19:25">
      <c r="S5798" t="str">
        <f t="shared" si="0"/>
        <v/>
      </c>
      <c r="T5798" t="str">
        <f t="shared" si="1"/>
        <v/>
      </c>
      <c r="U5798" t="str">
        <f t="shared" si="2"/>
        <v/>
      </c>
      <c r="V5798" t="str">
        <f>IF(OR(U5798="",U5798="ERRO_CHAVE"),"",IFERROR(MATCH(U5798,Fornecedores!$AF$1:$AF$6631,0),""))</f>
        <v/>
      </c>
      <c r="W5798" t="str">
        <f t="shared" si="3"/>
        <v/>
      </c>
      <c r="X5798" s="4" t="str">
        <f>IF(V5798="","",INDEX(Fornecedores!$X$1:$X$6631,V5798))</f>
        <v/>
      </c>
      <c r="Y5798" s="4" t="str">
        <f t="shared" si="4"/>
        <v/>
      </c>
    </row>
    <row r="5799" spans="19:25">
      <c r="S5799" t="str">
        <f t="shared" si="0"/>
        <v/>
      </c>
      <c r="T5799" t="str">
        <f t="shared" si="1"/>
        <v/>
      </c>
      <c r="U5799" t="str">
        <f t="shared" si="2"/>
        <v/>
      </c>
      <c r="V5799" t="str">
        <f>IF(OR(U5799="",U5799="ERRO_CHAVE"),"",IFERROR(MATCH(U5799,Fornecedores!$AF$1:$AF$6631,0),""))</f>
        <v/>
      </c>
      <c r="W5799" t="str">
        <f t="shared" si="3"/>
        <v/>
      </c>
      <c r="X5799" s="4" t="str">
        <f>IF(V5799="","",INDEX(Fornecedores!$X$1:$X$6631,V5799))</f>
        <v/>
      </c>
      <c r="Y5799" s="4" t="str">
        <f t="shared" si="4"/>
        <v/>
      </c>
    </row>
    <row r="5800" spans="19:25">
      <c r="S5800" t="str">
        <f t="shared" si="0"/>
        <v/>
      </c>
      <c r="T5800" t="str">
        <f t="shared" si="1"/>
        <v/>
      </c>
      <c r="U5800" t="str">
        <f t="shared" si="2"/>
        <v/>
      </c>
      <c r="V5800" t="str">
        <f>IF(OR(U5800="",U5800="ERRO_CHAVE"),"",IFERROR(MATCH(U5800,Fornecedores!$AF$1:$AF$6631,0),""))</f>
        <v/>
      </c>
      <c r="W5800" t="str">
        <f t="shared" si="3"/>
        <v/>
      </c>
      <c r="X5800" s="4" t="str">
        <f>IF(V5800="","",INDEX(Fornecedores!$X$1:$X$6631,V5800))</f>
        <v/>
      </c>
      <c r="Y5800" s="4" t="str">
        <f t="shared" si="4"/>
        <v/>
      </c>
    </row>
    <row r="5801" spans="19:25">
      <c r="S5801" t="str">
        <f t="shared" si="0"/>
        <v/>
      </c>
      <c r="T5801" t="str">
        <f t="shared" si="1"/>
        <v/>
      </c>
      <c r="U5801" t="str">
        <f t="shared" si="2"/>
        <v/>
      </c>
      <c r="V5801" t="str">
        <f>IF(OR(U5801="",U5801="ERRO_CHAVE"),"",IFERROR(MATCH(U5801,Fornecedores!$AF$1:$AF$6631,0),""))</f>
        <v/>
      </c>
      <c r="W5801" t="str">
        <f t="shared" si="3"/>
        <v/>
      </c>
      <c r="X5801" s="4" t="str">
        <f>IF(V5801="","",INDEX(Fornecedores!$X$1:$X$6631,V5801))</f>
        <v/>
      </c>
      <c r="Y5801" s="4" t="str">
        <f t="shared" si="4"/>
        <v/>
      </c>
    </row>
    <row r="5802" spans="19:25">
      <c r="S5802" t="str">
        <f t="shared" si="0"/>
        <v/>
      </c>
      <c r="T5802" t="str">
        <f t="shared" si="1"/>
        <v/>
      </c>
      <c r="U5802" t="str">
        <f t="shared" si="2"/>
        <v/>
      </c>
      <c r="V5802" t="str">
        <f>IF(OR(U5802="",U5802="ERRO_CHAVE"),"",IFERROR(MATCH(U5802,Fornecedores!$AF$1:$AF$6631,0),""))</f>
        <v/>
      </c>
      <c r="W5802" t="str">
        <f t="shared" si="3"/>
        <v/>
      </c>
      <c r="X5802" s="4" t="str">
        <f>IF(V5802="","",INDEX(Fornecedores!$X$1:$X$6631,V5802))</f>
        <v/>
      </c>
      <c r="Y5802" s="4" t="str">
        <f t="shared" si="4"/>
        <v/>
      </c>
    </row>
    <row r="5803" spans="19:25">
      <c r="S5803" t="str">
        <f t="shared" si="0"/>
        <v/>
      </c>
      <c r="T5803" t="str">
        <f t="shared" si="1"/>
        <v/>
      </c>
      <c r="U5803" t="str">
        <f t="shared" si="2"/>
        <v/>
      </c>
      <c r="V5803" t="str">
        <f>IF(OR(U5803="",U5803="ERRO_CHAVE"),"",IFERROR(MATCH(U5803,Fornecedores!$AF$1:$AF$6631,0),""))</f>
        <v/>
      </c>
      <c r="W5803" t="str">
        <f t="shared" si="3"/>
        <v/>
      </c>
      <c r="X5803" s="4" t="str">
        <f>IF(V5803="","",INDEX(Fornecedores!$X$1:$X$6631,V5803))</f>
        <v/>
      </c>
      <c r="Y5803" s="4" t="str">
        <f t="shared" si="4"/>
        <v/>
      </c>
    </row>
    <row r="5804" spans="19:25">
      <c r="S5804" t="str">
        <f t="shared" si="0"/>
        <v/>
      </c>
      <c r="T5804" t="str">
        <f t="shared" si="1"/>
        <v/>
      </c>
      <c r="U5804" t="str">
        <f t="shared" si="2"/>
        <v/>
      </c>
      <c r="V5804" t="str">
        <f>IF(OR(U5804="",U5804="ERRO_CHAVE"),"",IFERROR(MATCH(U5804,Fornecedores!$AF$1:$AF$6631,0),""))</f>
        <v/>
      </c>
      <c r="W5804" t="str">
        <f t="shared" si="3"/>
        <v/>
      </c>
      <c r="X5804" s="4" t="str">
        <f>IF(V5804="","",INDEX(Fornecedores!$X$1:$X$6631,V5804))</f>
        <v/>
      </c>
      <c r="Y5804" s="4" t="str">
        <f t="shared" si="4"/>
        <v/>
      </c>
    </row>
    <row r="5805" spans="19:25">
      <c r="S5805" t="str">
        <f t="shared" si="0"/>
        <v/>
      </c>
      <c r="T5805" t="str">
        <f t="shared" si="1"/>
        <v/>
      </c>
      <c r="U5805" t="str">
        <f t="shared" si="2"/>
        <v/>
      </c>
      <c r="V5805" t="str">
        <f>IF(OR(U5805="",U5805="ERRO_CHAVE"),"",IFERROR(MATCH(U5805,Fornecedores!$AF$1:$AF$6631,0),""))</f>
        <v/>
      </c>
      <c r="W5805" t="str">
        <f t="shared" si="3"/>
        <v/>
      </c>
      <c r="X5805" s="4" t="str">
        <f>IF(V5805="","",INDEX(Fornecedores!$X$1:$X$6631,V5805))</f>
        <v/>
      </c>
      <c r="Y5805" s="4" t="str">
        <f t="shared" si="4"/>
        <v/>
      </c>
    </row>
    <row r="5806" spans="19:25">
      <c r="S5806" t="str">
        <f t="shared" si="0"/>
        <v/>
      </c>
      <c r="T5806" t="str">
        <f t="shared" si="1"/>
        <v/>
      </c>
      <c r="U5806" t="str">
        <f t="shared" si="2"/>
        <v/>
      </c>
      <c r="V5806" t="str">
        <f>IF(OR(U5806="",U5806="ERRO_CHAVE"),"",IFERROR(MATCH(U5806,Fornecedores!$AF$1:$AF$6631,0),""))</f>
        <v/>
      </c>
      <c r="W5806" t="str">
        <f t="shared" si="3"/>
        <v/>
      </c>
      <c r="X5806" s="4" t="str">
        <f>IF(V5806="","",INDEX(Fornecedores!$X$1:$X$6631,V5806))</f>
        <v/>
      </c>
      <c r="Y5806" s="4" t="str">
        <f t="shared" si="4"/>
        <v/>
      </c>
    </row>
    <row r="5807" spans="19:25">
      <c r="S5807" t="str">
        <f t="shared" si="0"/>
        <v/>
      </c>
      <c r="T5807" t="str">
        <f t="shared" si="1"/>
        <v/>
      </c>
      <c r="U5807" t="str">
        <f t="shared" si="2"/>
        <v/>
      </c>
      <c r="V5807" t="str">
        <f>IF(OR(U5807="",U5807="ERRO_CHAVE"),"",IFERROR(MATCH(U5807,Fornecedores!$AF$1:$AF$6631,0),""))</f>
        <v/>
      </c>
      <c r="W5807" t="str">
        <f t="shared" si="3"/>
        <v/>
      </c>
      <c r="X5807" s="4" t="str">
        <f>IF(V5807="","",INDEX(Fornecedores!$X$1:$X$6631,V5807))</f>
        <v/>
      </c>
      <c r="Y5807" s="4" t="str">
        <f t="shared" si="4"/>
        <v/>
      </c>
    </row>
    <row r="5808" spans="19:25">
      <c r="S5808" t="str">
        <f t="shared" si="0"/>
        <v/>
      </c>
      <c r="T5808" t="str">
        <f t="shared" si="1"/>
        <v/>
      </c>
      <c r="U5808" t="str">
        <f t="shared" si="2"/>
        <v/>
      </c>
      <c r="V5808" t="str">
        <f>IF(OR(U5808="",U5808="ERRO_CHAVE"),"",IFERROR(MATCH(U5808,Fornecedores!$AF$1:$AF$6631,0),""))</f>
        <v/>
      </c>
      <c r="W5808" t="str">
        <f t="shared" si="3"/>
        <v/>
      </c>
      <c r="X5808" s="4" t="str">
        <f>IF(V5808="","",INDEX(Fornecedores!$X$1:$X$6631,V5808))</f>
        <v/>
      </c>
      <c r="Y5808" s="4" t="str">
        <f t="shared" si="4"/>
        <v/>
      </c>
    </row>
    <row r="5809" spans="19:25">
      <c r="S5809" t="str">
        <f t="shared" si="0"/>
        <v/>
      </c>
      <c r="T5809" t="str">
        <f t="shared" si="1"/>
        <v/>
      </c>
      <c r="U5809" t="str">
        <f t="shared" si="2"/>
        <v/>
      </c>
      <c r="V5809" t="str">
        <f>IF(OR(U5809="",U5809="ERRO_CHAVE"),"",IFERROR(MATCH(U5809,Fornecedores!$AF$1:$AF$6631,0),""))</f>
        <v/>
      </c>
      <c r="W5809" t="str">
        <f t="shared" si="3"/>
        <v/>
      </c>
      <c r="X5809" s="4" t="str">
        <f>IF(V5809="","",INDEX(Fornecedores!$X$1:$X$6631,V5809))</f>
        <v/>
      </c>
      <c r="Y5809" s="4" t="str">
        <f t="shared" si="4"/>
        <v/>
      </c>
    </row>
    <row r="5810" spans="19:25">
      <c r="S5810" t="str">
        <f t="shared" si="0"/>
        <v/>
      </c>
      <c r="T5810" t="str">
        <f t="shared" si="1"/>
        <v/>
      </c>
      <c r="U5810" t="str">
        <f t="shared" si="2"/>
        <v/>
      </c>
      <c r="V5810" t="str">
        <f>IF(OR(U5810="",U5810="ERRO_CHAVE"),"",IFERROR(MATCH(U5810,Fornecedores!$AF$1:$AF$6631,0),""))</f>
        <v/>
      </c>
      <c r="W5810" t="str">
        <f t="shared" si="3"/>
        <v/>
      </c>
      <c r="X5810" s="4" t="str">
        <f>IF(V5810="","",INDEX(Fornecedores!$X$1:$X$6631,V5810))</f>
        <v/>
      </c>
      <c r="Y5810" s="4" t="str">
        <f t="shared" si="4"/>
        <v/>
      </c>
    </row>
    <row r="5811" spans="19:25">
      <c r="S5811" t="str">
        <f t="shared" si="0"/>
        <v/>
      </c>
      <c r="T5811" t="str">
        <f t="shared" si="1"/>
        <v/>
      </c>
      <c r="U5811" t="str">
        <f t="shared" si="2"/>
        <v/>
      </c>
      <c r="V5811" t="str">
        <f>IF(OR(U5811="",U5811="ERRO_CHAVE"),"",IFERROR(MATCH(U5811,Fornecedores!$AF$1:$AF$6631,0),""))</f>
        <v/>
      </c>
      <c r="W5811" t="str">
        <f t="shared" si="3"/>
        <v/>
      </c>
      <c r="X5811" s="4" t="str">
        <f>IF(V5811="","",INDEX(Fornecedores!$X$1:$X$6631,V5811))</f>
        <v/>
      </c>
      <c r="Y5811" s="4" t="str">
        <f t="shared" si="4"/>
        <v/>
      </c>
    </row>
    <row r="5812" spans="19:25">
      <c r="S5812" t="str">
        <f t="shared" si="0"/>
        <v/>
      </c>
      <c r="T5812" t="str">
        <f t="shared" si="1"/>
        <v/>
      </c>
      <c r="U5812" t="str">
        <f t="shared" si="2"/>
        <v/>
      </c>
      <c r="V5812" t="str">
        <f>IF(OR(U5812="",U5812="ERRO_CHAVE"),"",IFERROR(MATCH(U5812,Fornecedores!$AF$1:$AF$6631,0),""))</f>
        <v/>
      </c>
      <c r="W5812" t="str">
        <f t="shared" si="3"/>
        <v/>
      </c>
      <c r="X5812" s="4" t="str">
        <f>IF(V5812="","",INDEX(Fornecedores!$X$1:$X$6631,V5812))</f>
        <v/>
      </c>
      <c r="Y5812" s="4" t="str">
        <f t="shared" si="4"/>
        <v/>
      </c>
    </row>
    <row r="5813" spans="19:25">
      <c r="S5813" t="str">
        <f t="shared" si="0"/>
        <v/>
      </c>
      <c r="T5813" t="str">
        <f t="shared" si="1"/>
        <v/>
      </c>
      <c r="U5813" t="str">
        <f t="shared" si="2"/>
        <v/>
      </c>
      <c r="V5813" t="str">
        <f>IF(OR(U5813="",U5813="ERRO_CHAVE"),"",IFERROR(MATCH(U5813,Fornecedores!$AF$1:$AF$6631,0),""))</f>
        <v/>
      </c>
      <c r="W5813" t="str">
        <f t="shared" si="3"/>
        <v/>
      </c>
      <c r="X5813" s="4" t="str">
        <f>IF(V5813="","",INDEX(Fornecedores!$X$1:$X$6631,V5813))</f>
        <v/>
      </c>
      <c r="Y5813" s="4" t="str">
        <f t="shared" si="4"/>
        <v/>
      </c>
    </row>
    <row r="5814" spans="19:25">
      <c r="S5814" t="str">
        <f t="shared" si="0"/>
        <v/>
      </c>
      <c r="T5814" t="str">
        <f t="shared" si="1"/>
        <v/>
      </c>
      <c r="U5814" t="str">
        <f t="shared" si="2"/>
        <v/>
      </c>
      <c r="V5814" t="str">
        <f>IF(OR(U5814="",U5814="ERRO_CHAVE"),"",IFERROR(MATCH(U5814,Fornecedores!$AF$1:$AF$6631,0),""))</f>
        <v/>
      </c>
      <c r="W5814" t="str">
        <f t="shared" si="3"/>
        <v/>
      </c>
      <c r="X5814" s="4" t="str">
        <f>IF(V5814="","",INDEX(Fornecedores!$X$1:$X$6631,V5814))</f>
        <v/>
      </c>
      <c r="Y5814" s="4" t="str">
        <f t="shared" si="4"/>
        <v/>
      </c>
    </row>
    <row r="5815" spans="19:25">
      <c r="S5815" t="str">
        <f t="shared" si="0"/>
        <v/>
      </c>
      <c r="T5815" t="str">
        <f t="shared" si="1"/>
        <v/>
      </c>
      <c r="U5815" t="str">
        <f t="shared" si="2"/>
        <v/>
      </c>
      <c r="V5815" t="str">
        <f>IF(OR(U5815="",U5815="ERRO_CHAVE"),"",IFERROR(MATCH(U5815,Fornecedores!$AF$1:$AF$6631,0),""))</f>
        <v/>
      </c>
      <c r="W5815" t="str">
        <f t="shared" si="3"/>
        <v/>
      </c>
      <c r="X5815" s="4" t="str">
        <f>IF(V5815="","",INDEX(Fornecedores!$X$1:$X$6631,V5815))</f>
        <v/>
      </c>
      <c r="Y5815" s="4" t="str">
        <f t="shared" si="4"/>
        <v/>
      </c>
    </row>
    <row r="5816" spans="19:25">
      <c r="S5816" t="str">
        <f t="shared" si="0"/>
        <v/>
      </c>
      <c r="T5816" t="str">
        <f t="shared" si="1"/>
        <v/>
      </c>
      <c r="U5816" t="str">
        <f t="shared" si="2"/>
        <v/>
      </c>
      <c r="V5816" t="str">
        <f>IF(OR(U5816="",U5816="ERRO_CHAVE"),"",IFERROR(MATCH(U5816,Fornecedores!$AF$1:$AF$6631,0),""))</f>
        <v/>
      </c>
      <c r="W5816" t="str">
        <f t="shared" si="3"/>
        <v/>
      </c>
      <c r="X5816" s="4" t="str">
        <f>IF(V5816="","",INDEX(Fornecedores!$X$1:$X$6631,V5816))</f>
        <v/>
      </c>
      <c r="Y5816" s="4" t="str">
        <f t="shared" si="4"/>
        <v/>
      </c>
    </row>
    <row r="5817" spans="19:25">
      <c r="S5817" t="str">
        <f t="shared" si="0"/>
        <v/>
      </c>
      <c r="T5817" t="str">
        <f t="shared" si="1"/>
        <v/>
      </c>
      <c r="U5817" t="str">
        <f t="shared" si="2"/>
        <v/>
      </c>
      <c r="V5817" t="str">
        <f>IF(OR(U5817="",U5817="ERRO_CHAVE"),"",IFERROR(MATCH(U5817,Fornecedores!$AF$1:$AF$6631,0),""))</f>
        <v/>
      </c>
      <c r="W5817" t="str">
        <f t="shared" si="3"/>
        <v/>
      </c>
      <c r="X5817" s="4" t="str">
        <f>IF(V5817="","",INDEX(Fornecedores!$X$1:$X$6631,V5817))</f>
        <v/>
      </c>
      <c r="Y5817" s="4" t="str">
        <f t="shared" si="4"/>
        <v/>
      </c>
    </row>
    <row r="5818" spans="19:25">
      <c r="S5818" t="str">
        <f t="shared" si="0"/>
        <v/>
      </c>
      <c r="T5818" t="str">
        <f t="shared" si="1"/>
        <v/>
      </c>
      <c r="U5818" t="str">
        <f t="shared" si="2"/>
        <v/>
      </c>
      <c r="V5818" t="str">
        <f>IF(OR(U5818="",U5818="ERRO_CHAVE"),"",IFERROR(MATCH(U5818,Fornecedores!$AF$1:$AF$6631,0),""))</f>
        <v/>
      </c>
      <c r="W5818" t="str">
        <f t="shared" si="3"/>
        <v/>
      </c>
      <c r="X5818" s="4" t="str">
        <f>IF(V5818="","",INDEX(Fornecedores!$X$1:$X$6631,V5818))</f>
        <v/>
      </c>
      <c r="Y5818" s="4" t="str">
        <f t="shared" si="4"/>
        <v/>
      </c>
    </row>
    <row r="5819" spans="19:25">
      <c r="S5819" t="str">
        <f t="shared" si="0"/>
        <v/>
      </c>
      <c r="T5819" t="str">
        <f t="shared" si="1"/>
        <v/>
      </c>
      <c r="U5819" t="str">
        <f t="shared" si="2"/>
        <v/>
      </c>
      <c r="V5819" t="str">
        <f>IF(OR(U5819="",U5819="ERRO_CHAVE"),"",IFERROR(MATCH(U5819,Fornecedores!$AF$1:$AF$6631,0),""))</f>
        <v/>
      </c>
      <c r="W5819" t="str">
        <f t="shared" si="3"/>
        <v/>
      </c>
      <c r="X5819" s="4" t="str">
        <f>IF(V5819="","",INDEX(Fornecedores!$X$1:$X$6631,V5819))</f>
        <v/>
      </c>
      <c r="Y5819" s="4" t="str">
        <f t="shared" si="4"/>
        <v/>
      </c>
    </row>
    <row r="5820" spans="19:25">
      <c r="S5820" t="str">
        <f t="shared" si="0"/>
        <v/>
      </c>
      <c r="T5820" t="str">
        <f t="shared" si="1"/>
        <v/>
      </c>
      <c r="U5820" t="str">
        <f t="shared" si="2"/>
        <v/>
      </c>
      <c r="V5820" t="str">
        <f>IF(OR(U5820="",U5820="ERRO_CHAVE"),"",IFERROR(MATCH(U5820,Fornecedores!$AF$1:$AF$6631,0),""))</f>
        <v/>
      </c>
      <c r="W5820" t="str">
        <f t="shared" si="3"/>
        <v/>
      </c>
      <c r="X5820" s="4" t="str">
        <f>IF(V5820="","",INDEX(Fornecedores!$X$1:$X$6631,V5820))</f>
        <v/>
      </c>
      <c r="Y5820" s="4" t="str">
        <f t="shared" si="4"/>
        <v/>
      </c>
    </row>
    <row r="5821" spans="19:25">
      <c r="S5821" t="str">
        <f t="shared" si="0"/>
        <v/>
      </c>
      <c r="T5821" t="str">
        <f t="shared" si="1"/>
        <v/>
      </c>
      <c r="U5821" t="str">
        <f t="shared" si="2"/>
        <v/>
      </c>
      <c r="V5821" t="str">
        <f>IF(OR(U5821="",U5821="ERRO_CHAVE"),"",IFERROR(MATCH(U5821,Fornecedores!$AF$1:$AF$6631,0),""))</f>
        <v/>
      </c>
      <c r="W5821" t="str">
        <f t="shared" si="3"/>
        <v/>
      </c>
      <c r="X5821" s="4" t="str">
        <f>IF(V5821="","",INDEX(Fornecedores!$X$1:$X$6631,V5821))</f>
        <v/>
      </c>
      <c r="Y5821" s="4" t="str">
        <f t="shared" si="4"/>
        <v/>
      </c>
    </row>
    <row r="5822" spans="19:25">
      <c r="S5822" t="str">
        <f t="shared" si="0"/>
        <v/>
      </c>
      <c r="T5822" t="str">
        <f t="shared" si="1"/>
        <v/>
      </c>
      <c r="U5822" t="str">
        <f t="shared" si="2"/>
        <v/>
      </c>
      <c r="V5822" t="str">
        <f>IF(OR(U5822="",U5822="ERRO_CHAVE"),"",IFERROR(MATCH(U5822,Fornecedores!$AF$1:$AF$6631,0),""))</f>
        <v/>
      </c>
      <c r="W5822" t="str">
        <f t="shared" si="3"/>
        <v/>
      </c>
      <c r="X5822" s="4" t="str">
        <f>IF(V5822="","",INDEX(Fornecedores!$X$1:$X$6631,V5822))</f>
        <v/>
      </c>
      <c r="Y5822" s="4" t="str">
        <f t="shared" si="4"/>
        <v/>
      </c>
    </row>
    <row r="5823" spans="19:25">
      <c r="S5823" t="str">
        <f t="shared" si="0"/>
        <v/>
      </c>
      <c r="T5823" t="str">
        <f t="shared" si="1"/>
        <v/>
      </c>
      <c r="U5823" t="str">
        <f t="shared" si="2"/>
        <v/>
      </c>
      <c r="V5823" t="str">
        <f>IF(OR(U5823="",U5823="ERRO_CHAVE"),"",IFERROR(MATCH(U5823,Fornecedores!$AF$1:$AF$6631,0),""))</f>
        <v/>
      </c>
      <c r="W5823" t="str">
        <f t="shared" si="3"/>
        <v/>
      </c>
      <c r="X5823" s="4" t="str">
        <f>IF(V5823="","",INDEX(Fornecedores!$X$1:$X$6631,V5823))</f>
        <v/>
      </c>
      <c r="Y5823" s="4" t="str">
        <f t="shared" si="4"/>
        <v/>
      </c>
    </row>
    <row r="5824" spans="19:25">
      <c r="S5824" t="str">
        <f t="shared" si="0"/>
        <v/>
      </c>
      <c r="T5824" t="str">
        <f t="shared" si="1"/>
        <v/>
      </c>
      <c r="U5824" t="str">
        <f t="shared" si="2"/>
        <v/>
      </c>
      <c r="V5824" t="str">
        <f>IF(OR(U5824="",U5824="ERRO_CHAVE"),"",IFERROR(MATCH(U5824,Fornecedores!$AF$1:$AF$6631,0),""))</f>
        <v/>
      </c>
      <c r="W5824" t="str">
        <f t="shared" si="3"/>
        <v/>
      </c>
      <c r="X5824" s="4" t="str">
        <f>IF(V5824="","",INDEX(Fornecedores!$X$1:$X$6631,V5824))</f>
        <v/>
      </c>
      <c r="Y5824" s="4" t="str">
        <f t="shared" si="4"/>
        <v/>
      </c>
    </row>
    <row r="5825" spans="19:25">
      <c r="S5825" t="str">
        <f t="shared" si="0"/>
        <v/>
      </c>
      <c r="T5825" t="str">
        <f t="shared" si="1"/>
        <v/>
      </c>
      <c r="U5825" t="str">
        <f t="shared" si="2"/>
        <v/>
      </c>
      <c r="V5825" t="str">
        <f>IF(OR(U5825="",U5825="ERRO_CHAVE"),"",IFERROR(MATCH(U5825,Fornecedores!$AF$1:$AF$6631,0),""))</f>
        <v/>
      </c>
      <c r="W5825" t="str">
        <f t="shared" si="3"/>
        <v/>
      </c>
      <c r="X5825" s="4" t="str">
        <f>IF(V5825="","",INDEX(Fornecedores!$X$1:$X$6631,V5825))</f>
        <v/>
      </c>
      <c r="Y5825" s="4" t="str">
        <f t="shared" si="4"/>
        <v/>
      </c>
    </row>
    <row r="5826" spans="19:25">
      <c r="S5826" t="str">
        <f t="shared" si="0"/>
        <v/>
      </c>
      <c r="T5826" t="str">
        <f t="shared" si="1"/>
        <v/>
      </c>
      <c r="U5826" t="str">
        <f t="shared" si="2"/>
        <v/>
      </c>
      <c r="V5826" t="str">
        <f>IF(OR(U5826="",U5826="ERRO_CHAVE"),"",IFERROR(MATCH(U5826,Fornecedores!$AF$1:$AF$6631,0),""))</f>
        <v/>
      </c>
      <c r="W5826" t="str">
        <f t="shared" si="3"/>
        <v/>
      </c>
      <c r="X5826" s="4" t="str">
        <f>IF(V5826="","",INDEX(Fornecedores!$X$1:$X$6631,V5826))</f>
        <v/>
      </c>
      <c r="Y5826" s="4" t="str">
        <f t="shared" si="4"/>
        <v/>
      </c>
    </row>
    <row r="5827" spans="19:25">
      <c r="S5827" t="str">
        <f t="shared" si="0"/>
        <v/>
      </c>
      <c r="T5827" t="str">
        <f t="shared" si="1"/>
        <v/>
      </c>
      <c r="U5827" t="str">
        <f t="shared" si="2"/>
        <v/>
      </c>
      <c r="V5827" t="str">
        <f>IF(OR(U5827="",U5827="ERRO_CHAVE"),"",IFERROR(MATCH(U5827,Fornecedores!$AF$1:$AF$6631,0),""))</f>
        <v/>
      </c>
      <c r="W5827" t="str">
        <f t="shared" si="3"/>
        <v/>
      </c>
      <c r="X5827" s="4" t="str">
        <f>IF(V5827="","",INDEX(Fornecedores!$X$1:$X$6631,V5827))</f>
        <v/>
      </c>
      <c r="Y5827" s="4" t="str">
        <f t="shared" si="4"/>
        <v/>
      </c>
    </row>
    <row r="5828" spans="19:25">
      <c r="S5828" t="str">
        <f t="shared" si="0"/>
        <v/>
      </c>
      <c r="T5828" t="str">
        <f t="shared" si="1"/>
        <v/>
      </c>
      <c r="U5828" t="str">
        <f t="shared" si="2"/>
        <v/>
      </c>
      <c r="V5828" t="str">
        <f>IF(OR(U5828="",U5828="ERRO_CHAVE"),"",IFERROR(MATCH(U5828,Fornecedores!$AF$1:$AF$6631,0),""))</f>
        <v/>
      </c>
      <c r="W5828" t="str">
        <f t="shared" si="3"/>
        <v/>
      </c>
      <c r="X5828" s="4" t="str">
        <f>IF(V5828="","",INDEX(Fornecedores!$X$1:$X$6631,V5828))</f>
        <v/>
      </c>
      <c r="Y5828" s="4" t="str">
        <f t="shared" si="4"/>
        <v/>
      </c>
    </row>
    <row r="5829" spans="19:25">
      <c r="S5829" t="str">
        <f t="shared" si="0"/>
        <v/>
      </c>
      <c r="T5829" t="str">
        <f t="shared" si="1"/>
        <v/>
      </c>
      <c r="U5829" t="str">
        <f t="shared" si="2"/>
        <v/>
      </c>
      <c r="V5829" t="str">
        <f>IF(OR(U5829="",U5829="ERRO_CHAVE"),"",IFERROR(MATCH(U5829,Fornecedores!$AF$1:$AF$6631,0),""))</f>
        <v/>
      </c>
      <c r="W5829" t="str">
        <f t="shared" si="3"/>
        <v/>
      </c>
      <c r="X5829" s="4" t="str">
        <f>IF(V5829="","",INDEX(Fornecedores!$X$1:$X$6631,V5829))</f>
        <v/>
      </c>
      <c r="Y5829" s="4" t="str">
        <f t="shared" si="4"/>
        <v/>
      </c>
    </row>
    <row r="5830" spans="19:25">
      <c r="S5830" t="str">
        <f t="shared" si="0"/>
        <v/>
      </c>
      <c r="T5830" t="str">
        <f t="shared" si="1"/>
        <v/>
      </c>
      <c r="U5830" t="str">
        <f t="shared" si="2"/>
        <v/>
      </c>
      <c r="V5830" t="str">
        <f>IF(OR(U5830="",U5830="ERRO_CHAVE"),"",IFERROR(MATCH(U5830,Fornecedores!$AF$1:$AF$6631,0),""))</f>
        <v/>
      </c>
      <c r="W5830" t="str">
        <f t="shared" si="3"/>
        <v/>
      </c>
      <c r="X5830" s="4" t="str">
        <f>IF(V5830="","",INDEX(Fornecedores!$X$1:$X$6631,V5830))</f>
        <v/>
      </c>
      <c r="Y5830" s="4" t="str">
        <f t="shared" si="4"/>
        <v/>
      </c>
    </row>
    <row r="5831" spans="19:25">
      <c r="S5831" t="str">
        <f t="shared" si="0"/>
        <v/>
      </c>
      <c r="T5831" t="str">
        <f t="shared" si="1"/>
        <v/>
      </c>
      <c r="U5831" t="str">
        <f t="shared" si="2"/>
        <v/>
      </c>
      <c r="V5831" t="str">
        <f>IF(OR(U5831="",U5831="ERRO_CHAVE"),"",IFERROR(MATCH(U5831,Fornecedores!$AF$1:$AF$6631,0),""))</f>
        <v/>
      </c>
      <c r="W5831" t="str">
        <f t="shared" si="3"/>
        <v/>
      </c>
      <c r="X5831" s="4" t="str">
        <f>IF(V5831="","",INDEX(Fornecedores!$X$1:$X$6631,V5831))</f>
        <v/>
      </c>
      <c r="Y5831" s="4" t="str">
        <f t="shared" si="4"/>
        <v/>
      </c>
    </row>
    <row r="5832" spans="19:25">
      <c r="S5832" t="str">
        <f t="shared" si="0"/>
        <v/>
      </c>
      <c r="T5832" t="str">
        <f t="shared" si="1"/>
        <v/>
      </c>
      <c r="U5832" t="str">
        <f t="shared" si="2"/>
        <v/>
      </c>
      <c r="V5832" t="str">
        <f>IF(OR(U5832="",U5832="ERRO_CHAVE"),"",IFERROR(MATCH(U5832,Fornecedores!$AF$1:$AF$6631,0),""))</f>
        <v/>
      </c>
      <c r="W5832" t="str">
        <f t="shared" si="3"/>
        <v/>
      </c>
      <c r="X5832" s="4" t="str">
        <f>IF(V5832="","",INDEX(Fornecedores!$X$1:$X$6631,V5832))</f>
        <v/>
      </c>
      <c r="Y5832" s="4" t="str">
        <f t="shared" si="4"/>
        <v/>
      </c>
    </row>
    <row r="5833" spans="19:25">
      <c r="S5833" t="str">
        <f t="shared" si="0"/>
        <v/>
      </c>
      <c r="T5833" t="str">
        <f t="shared" si="1"/>
        <v/>
      </c>
      <c r="U5833" t="str">
        <f t="shared" si="2"/>
        <v/>
      </c>
      <c r="V5833" t="str">
        <f>IF(OR(U5833="",U5833="ERRO_CHAVE"),"",IFERROR(MATCH(U5833,Fornecedores!$AF$1:$AF$6631,0),""))</f>
        <v/>
      </c>
      <c r="W5833" t="str">
        <f t="shared" si="3"/>
        <v/>
      </c>
      <c r="X5833" s="4" t="str">
        <f>IF(V5833="","",INDEX(Fornecedores!$X$1:$X$6631,V5833))</f>
        <v/>
      </c>
      <c r="Y5833" s="4" t="str">
        <f t="shared" si="4"/>
        <v/>
      </c>
    </row>
    <row r="5834" spans="19:25">
      <c r="S5834" t="str">
        <f t="shared" si="0"/>
        <v/>
      </c>
      <c r="T5834" t="str">
        <f t="shared" si="1"/>
        <v/>
      </c>
      <c r="U5834" t="str">
        <f t="shared" si="2"/>
        <v/>
      </c>
      <c r="V5834" t="str">
        <f>IF(OR(U5834="",U5834="ERRO_CHAVE"),"",IFERROR(MATCH(U5834,Fornecedores!$AF$1:$AF$6631,0),""))</f>
        <v/>
      </c>
      <c r="W5834" t="str">
        <f t="shared" si="3"/>
        <v/>
      </c>
      <c r="X5834" s="4" t="str">
        <f>IF(V5834="","",INDEX(Fornecedores!$X$1:$X$6631,V5834))</f>
        <v/>
      </c>
      <c r="Y5834" s="4" t="str">
        <f t="shared" si="4"/>
        <v/>
      </c>
    </row>
    <row r="5835" spans="19:25">
      <c r="S5835" t="str">
        <f t="shared" si="0"/>
        <v/>
      </c>
      <c r="T5835" t="str">
        <f t="shared" si="1"/>
        <v/>
      </c>
      <c r="U5835" t="str">
        <f t="shared" si="2"/>
        <v/>
      </c>
      <c r="V5835" t="str">
        <f>IF(OR(U5835="",U5835="ERRO_CHAVE"),"",IFERROR(MATCH(U5835,Fornecedores!$AF$1:$AF$6631,0),""))</f>
        <v/>
      </c>
      <c r="W5835" t="str">
        <f t="shared" si="3"/>
        <v/>
      </c>
      <c r="X5835" s="4" t="str">
        <f>IF(V5835="","",INDEX(Fornecedores!$X$1:$X$6631,V5835))</f>
        <v/>
      </c>
      <c r="Y5835" s="4" t="str">
        <f t="shared" si="4"/>
        <v/>
      </c>
    </row>
    <row r="5836" spans="19:25">
      <c r="S5836" t="str">
        <f t="shared" si="0"/>
        <v/>
      </c>
      <c r="T5836" t="str">
        <f t="shared" si="1"/>
        <v/>
      </c>
      <c r="U5836" t="str">
        <f t="shared" si="2"/>
        <v/>
      </c>
      <c r="V5836" t="str">
        <f>IF(OR(U5836="",U5836="ERRO_CHAVE"),"",IFERROR(MATCH(U5836,Fornecedores!$AF$1:$AF$6631,0),""))</f>
        <v/>
      </c>
      <c r="W5836" t="str">
        <f t="shared" si="3"/>
        <v/>
      </c>
      <c r="X5836" s="4" t="str">
        <f>IF(V5836="","",INDEX(Fornecedores!$X$1:$X$6631,V5836))</f>
        <v/>
      </c>
      <c r="Y5836" s="4" t="str">
        <f t="shared" si="4"/>
        <v/>
      </c>
    </row>
    <row r="5837" spans="19:25">
      <c r="S5837" t="str">
        <f t="shared" si="0"/>
        <v/>
      </c>
      <c r="T5837" t="str">
        <f t="shared" si="1"/>
        <v/>
      </c>
      <c r="U5837" t="str">
        <f t="shared" si="2"/>
        <v/>
      </c>
      <c r="V5837" t="str">
        <f>IF(OR(U5837="",U5837="ERRO_CHAVE"),"",IFERROR(MATCH(U5837,Fornecedores!$AF$1:$AF$6631,0),""))</f>
        <v/>
      </c>
      <c r="W5837" t="str">
        <f t="shared" si="3"/>
        <v/>
      </c>
      <c r="X5837" s="4" t="str">
        <f>IF(V5837="","",INDEX(Fornecedores!$X$1:$X$6631,V5837))</f>
        <v/>
      </c>
      <c r="Y5837" s="4" t="str">
        <f t="shared" si="4"/>
        <v/>
      </c>
    </row>
    <row r="5838" spans="19:25">
      <c r="S5838" t="str">
        <f t="shared" si="0"/>
        <v/>
      </c>
      <c r="T5838" t="str">
        <f t="shared" si="1"/>
        <v/>
      </c>
      <c r="U5838" t="str">
        <f t="shared" si="2"/>
        <v/>
      </c>
      <c r="V5838" t="str">
        <f>IF(OR(U5838="",U5838="ERRO_CHAVE"),"",IFERROR(MATCH(U5838,Fornecedores!$AF$1:$AF$6631,0),""))</f>
        <v/>
      </c>
      <c r="W5838" t="str">
        <f t="shared" si="3"/>
        <v/>
      </c>
      <c r="X5838" s="4" t="str">
        <f>IF(V5838="","",INDEX(Fornecedores!$X$1:$X$6631,V5838))</f>
        <v/>
      </c>
      <c r="Y5838" s="4" t="str">
        <f t="shared" si="4"/>
        <v/>
      </c>
    </row>
    <row r="5839" spans="19:25">
      <c r="S5839" t="str">
        <f t="shared" si="0"/>
        <v/>
      </c>
      <c r="T5839" t="str">
        <f t="shared" si="1"/>
        <v/>
      </c>
      <c r="U5839" t="str">
        <f t="shared" si="2"/>
        <v/>
      </c>
      <c r="V5839" t="str">
        <f>IF(OR(U5839="",U5839="ERRO_CHAVE"),"",IFERROR(MATCH(U5839,Fornecedores!$AF$1:$AF$6631,0),""))</f>
        <v/>
      </c>
      <c r="W5839" t="str">
        <f t="shared" si="3"/>
        <v/>
      </c>
      <c r="X5839" s="4" t="str">
        <f>IF(V5839="","",INDEX(Fornecedores!$X$1:$X$6631,V5839))</f>
        <v/>
      </c>
      <c r="Y5839" s="4" t="str">
        <f t="shared" si="4"/>
        <v/>
      </c>
    </row>
    <row r="5840" spans="19:25">
      <c r="S5840" t="str">
        <f t="shared" si="0"/>
        <v/>
      </c>
      <c r="T5840" t="str">
        <f t="shared" si="1"/>
        <v/>
      </c>
      <c r="U5840" t="str">
        <f t="shared" si="2"/>
        <v/>
      </c>
      <c r="V5840" t="str">
        <f>IF(OR(U5840="",U5840="ERRO_CHAVE"),"",IFERROR(MATCH(U5840,Fornecedores!$AF$1:$AF$6631,0),""))</f>
        <v/>
      </c>
      <c r="W5840" t="str">
        <f t="shared" si="3"/>
        <v/>
      </c>
      <c r="X5840" s="4" t="str">
        <f>IF(V5840="","",INDEX(Fornecedores!$X$1:$X$6631,V5840))</f>
        <v/>
      </c>
      <c r="Y5840" s="4" t="str">
        <f t="shared" si="4"/>
        <v/>
      </c>
    </row>
    <row r="5841" spans="19:25">
      <c r="S5841" t="str">
        <f t="shared" si="0"/>
        <v/>
      </c>
      <c r="T5841" t="str">
        <f t="shared" si="1"/>
        <v/>
      </c>
      <c r="U5841" t="str">
        <f t="shared" si="2"/>
        <v/>
      </c>
      <c r="V5841" t="str">
        <f>IF(OR(U5841="",U5841="ERRO_CHAVE"),"",IFERROR(MATCH(U5841,Fornecedores!$AF$1:$AF$6631,0),""))</f>
        <v/>
      </c>
      <c r="W5841" t="str">
        <f t="shared" si="3"/>
        <v/>
      </c>
      <c r="X5841" s="4" t="str">
        <f>IF(V5841="","",INDEX(Fornecedores!$X$1:$X$6631,V5841))</f>
        <v/>
      </c>
      <c r="Y5841" s="4" t="str">
        <f t="shared" si="4"/>
        <v/>
      </c>
    </row>
    <row r="5842" spans="19:25">
      <c r="S5842" t="str">
        <f t="shared" si="0"/>
        <v/>
      </c>
      <c r="T5842" t="str">
        <f t="shared" si="1"/>
        <v/>
      </c>
      <c r="U5842" t="str">
        <f t="shared" si="2"/>
        <v/>
      </c>
      <c r="V5842" t="str">
        <f>IF(OR(U5842="",U5842="ERRO_CHAVE"),"",IFERROR(MATCH(U5842,Fornecedores!$AF$1:$AF$6631,0),""))</f>
        <v/>
      </c>
      <c r="W5842" t="str">
        <f t="shared" si="3"/>
        <v/>
      </c>
      <c r="X5842" s="4" t="str">
        <f>IF(V5842="","",INDEX(Fornecedores!$X$1:$X$6631,V5842))</f>
        <v/>
      </c>
      <c r="Y5842" s="4" t="str">
        <f t="shared" si="4"/>
        <v/>
      </c>
    </row>
    <row r="5843" spans="19:25">
      <c r="S5843" t="str">
        <f t="shared" si="0"/>
        <v/>
      </c>
      <c r="T5843" t="str">
        <f t="shared" si="1"/>
        <v/>
      </c>
      <c r="U5843" t="str">
        <f t="shared" si="2"/>
        <v/>
      </c>
      <c r="V5843" t="str">
        <f>IF(OR(U5843="",U5843="ERRO_CHAVE"),"",IFERROR(MATCH(U5843,Fornecedores!$AF$1:$AF$6631,0),""))</f>
        <v/>
      </c>
      <c r="W5843" t="str">
        <f t="shared" si="3"/>
        <v/>
      </c>
      <c r="X5843" s="4" t="str">
        <f>IF(V5843="","",INDEX(Fornecedores!$X$1:$X$6631,V5843))</f>
        <v/>
      </c>
      <c r="Y5843" s="4" t="str">
        <f t="shared" si="4"/>
        <v/>
      </c>
    </row>
    <row r="5844" spans="19:25">
      <c r="S5844" t="str">
        <f t="shared" si="0"/>
        <v/>
      </c>
      <c r="T5844" t="str">
        <f t="shared" si="1"/>
        <v/>
      </c>
      <c r="U5844" t="str">
        <f t="shared" si="2"/>
        <v/>
      </c>
      <c r="V5844" t="str">
        <f>IF(OR(U5844="",U5844="ERRO_CHAVE"),"",IFERROR(MATCH(U5844,Fornecedores!$AF$1:$AF$6631,0),""))</f>
        <v/>
      </c>
      <c r="W5844" t="str">
        <f t="shared" si="3"/>
        <v/>
      </c>
      <c r="X5844" s="4" t="str">
        <f>IF(V5844="","",INDEX(Fornecedores!$X$1:$X$6631,V5844))</f>
        <v/>
      </c>
      <c r="Y5844" s="4" t="str">
        <f t="shared" si="4"/>
        <v/>
      </c>
    </row>
    <row r="5845" spans="19:25">
      <c r="S5845" t="str">
        <f t="shared" si="0"/>
        <v/>
      </c>
      <c r="T5845" t="str">
        <f t="shared" si="1"/>
        <v/>
      </c>
      <c r="U5845" t="str">
        <f t="shared" si="2"/>
        <v/>
      </c>
      <c r="V5845" t="str">
        <f>IF(OR(U5845="",U5845="ERRO_CHAVE"),"",IFERROR(MATCH(U5845,Fornecedores!$AF$1:$AF$6631,0),""))</f>
        <v/>
      </c>
      <c r="W5845" t="str">
        <f t="shared" si="3"/>
        <v/>
      </c>
      <c r="X5845" s="4" t="str">
        <f>IF(V5845="","",INDEX(Fornecedores!$X$1:$X$6631,V5845))</f>
        <v/>
      </c>
      <c r="Y5845" s="4" t="str">
        <f t="shared" si="4"/>
        <v/>
      </c>
    </row>
    <row r="5846" spans="19:25">
      <c r="S5846" t="str">
        <f t="shared" si="0"/>
        <v/>
      </c>
      <c r="T5846" t="str">
        <f t="shared" si="1"/>
        <v/>
      </c>
      <c r="U5846" t="str">
        <f t="shared" si="2"/>
        <v/>
      </c>
      <c r="V5846" t="str">
        <f>IF(OR(U5846="",U5846="ERRO_CHAVE"),"",IFERROR(MATCH(U5846,Fornecedores!$AF$1:$AF$6631,0),""))</f>
        <v/>
      </c>
      <c r="W5846" t="str">
        <f t="shared" si="3"/>
        <v/>
      </c>
      <c r="X5846" s="4" t="str">
        <f>IF(V5846="","",INDEX(Fornecedores!$X$1:$X$6631,V5846))</f>
        <v/>
      </c>
      <c r="Y5846" s="4" t="str">
        <f t="shared" si="4"/>
        <v/>
      </c>
    </row>
    <row r="5847" spans="19:25">
      <c r="S5847" t="str">
        <f t="shared" si="0"/>
        <v/>
      </c>
      <c r="T5847" t="str">
        <f t="shared" si="1"/>
        <v/>
      </c>
      <c r="U5847" t="str">
        <f t="shared" si="2"/>
        <v/>
      </c>
      <c r="V5847" t="str">
        <f>IF(OR(U5847="",U5847="ERRO_CHAVE"),"",IFERROR(MATCH(U5847,Fornecedores!$AF$1:$AF$6631,0),""))</f>
        <v/>
      </c>
      <c r="W5847" t="str">
        <f t="shared" si="3"/>
        <v/>
      </c>
      <c r="X5847" s="4" t="str">
        <f>IF(V5847="","",INDEX(Fornecedores!$X$1:$X$6631,V5847))</f>
        <v/>
      </c>
      <c r="Y5847" s="4" t="str">
        <f t="shared" si="4"/>
        <v/>
      </c>
    </row>
    <row r="5848" spans="19:25">
      <c r="S5848" t="str">
        <f t="shared" si="0"/>
        <v/>
      </c>
      <c r="T5848" t="str">
        <f t="shared" si="1"/>
        <v/>
      </c>
      <c r="U5848" t="str">
        <f t="shared" si="2"/>
        <v/>
      </c>
      <c r="V5848" t="str">
        <f>IF(OR(U5848="",U5848="ERRO_CHAVE"),"",IFERROR(MATCH(U5848,Fornecedores!$AF$1:$AF$6631,0),""))</f>
        <v/>
      </c>
      <c r="W5848" t="str">
        <f t="shared" si="3"/>
        <v/>
      </c>
      <c r="X5848" s="4" t="str">
        <f>IF(V5848="","",INDEX(Fornecedores!$X$1:$X$6631,V5848))</f>
        <v/>
      </c>
      <c r="Y5848" s="4" t="str">
        <f t="shared" si="4"/>
        <v/>
      </c>
    </row>
    <row r="5849" spans="19:25">
      <c r="S5849" t="str">
        <f t="shared" si="0"/>
        <v/>
      </c>
      <c r="T5849" t="str">
        <f t="shared" si="1"/>
        <v/>
      </c>
      <c r="U5849" t="str">
        <f t="shared" si="2"/>
        <v/>
      </c>
      <c r="V5849" t="str">
        <f>IF(OR(U5849="",U5849="ERRO_CHAVE"),"",IFERROR(MATCH(U5849,Fornecedores!$AF$1:$AF$6631,0),""))</f>
        <v/>
      </c>
      <c r="W5849" t="str">
        <f t="shared" si="3"/>
        <v/>
      </c>
      <c r="X5849" s="4" t="str">
        <f>IF(V5849="","",INDEX(Fornecedores!$X$1:$X$6631,V5849))</f>
        <v/>
      </c>
      <c r="Y5849" s="4" t="str">
        <f t="shared" si="4"/>
        <v/>
      </c>
    </row>
    <row r="5850" spans="19:25">
      <c r="S5850" t="str">
        <f t="shared" si="0"/>
        <v/>
      </c>
      <c r="T5850" t="str">
        <f t="shared" si="1"/>
        <v/>
      </c>
      <c r="U5850" t="str">
        <f t="shared" si="2"/>
        <v/>
      </c>
      <c r="V5850" t="str">
        <f>IF(OR(U5850="",U5850="ERRO_CHAVE"),"",IFERROR(MATCH(U5850,Fornecedores!$AF$1:$AF$6631,0),""))</f>
        <v/>
      </c>
      <c r="W5850" t="str">
        <f t="shared" si="3"/>
        <v/>
      </c>
      <c r="X5850" s="4" t="str">
        <f>IF(V5850="","",INDEX(Fornecedores!$X$1:$X$6631,V5850))</f>
        <v/>
      </c>
      <c r="Y5850" s="4" t="str">
        <f t="shared" si="4"/>
        <v/>
      </c>
    </row>
    <row r="5851" spans="19:25">
      <c r="S5851" t="str">
        <f t="shared" si="0"/>
        <v/>
      </c>
      <c r="T5851" t="str">
        <f t="shared" si="1"/>
        <v/>
      </c>
      <c r="U5851" t="str">
        <f t="shared" si="2"/>
        <v/>
      </c>
      <c r="V5851" t="str">
        <f>IF(OR(U5851="",U5851="ERRO_CHAVE"),"",IFERROR(MATCH(U5851,Fornecedores!$AF$1:$AF$6631,0),""))</f>
        <v/>
      </c>
      <c r="W5851" t="str">
        <f t="shared" si="3"/>
        <v/>
      </c>
      <c r="X5851" s="4" t="str">
        <f>IF(V5851="","",INDEX(Fornecedores!$X$1:$X$6631,V5851))</f>
        <v/>
      </c>
      <c r="Y5851" s="4" t="str">
        <f t="shared" si="4"/>
        <v/>
      </c>
    </row>
    <row r="5852" spans="19:25">
      <c r="S5852" t="str">
        <f t="shared" si="0"/>
        <v/>
      </c>
      <c r="T5852" t="str">
        <f t="shared" si="1"/>
        <v/>
      </c>
      <c r="U5852" t="str">
        <f t="shared" si="2"/>
        <v/>
      </c>
      <c r="V5852" t="str">
        <f>IF(OR(U5852="",U5852="ERRO_CHAVE"),"",IFERROR(MATCH(U5852,Fornecedores!$AF$1:$AF$6631,0),""))</f>
        <v/>
      </c>
      <c r="W5852" t="str">
        <f t="shared" si="3"/>
        <v/>
      </c>
      <c r="X5852" s="4" t="str">
        <f>IF(V5852="","",INDEX(Fornecedores!$X$1:$X$6631,V5852))</f>
        <v/>
      </c>
      <c r="Y5852" s="4" t="str">
        <f t="shared" si="4"/>
        <v/>
      </c>
    </row>
    <row r="5853" spans="19:25">
      <c r="S5853" t="str">
        <f t="shared" si="0"/>
        <v/>
      </c>
      <c r="T5853" t="str">
        <f t="shared" si="1"/>
        <v/>
      </c>
      <c r="U5853" t="str">
        <f t="shared" si="2"/>
        <v/>
      </c>
      <c r="V5853" t="str">
        <f>IF(OR(U5853="",U5853="ERRO_CHAVE"),"",IFERROR(MATCH(U5853,Fornecedores!$AF$1:$AF$6631,0),""))</f>
        <v/>
      </c>
      <c r="W5853" t="str">
        <f t="shared" si="3"/>
        <v/>
      </c>
      <c r="X5853" s="4" t="str">
        <f>IF(V5853="","",INDEX(Fornecedores!$X$1:$X$6631,V5853))</f>
        <v/>
      </c>
      <c r="Y5853" s="4" t="str">
        <f t="shared" si="4"/>
        <v/>
      </c>
    </row>
    <row r="5854" spans="19:25">
      <c r="S5854" t="str">
        <f t="shared" si="0"/>
        <v/>
      </c>
      <c r="T5854" t="str">
        <f t="shared" si="1"/>
        <v/>
      </c>
      <c r="U5854" t="str">
        <f t="shared" si="2"/>
        <v/>
      </c>
      <c r="V5854" t="str">
        <f>IF(OR(U5854="",U5854="ERRO_CHAVE"),"",IFERROR(MATCH(U5854,Fornecedores!$AF$1:$AF$6631,0),""))</f>
        <v/>
      </c>
      <c r="W5854" t="str">
        <f t="shared" si="3"/>
        <v/>
      </c>
      <c r="X5854" s="4" t="str">
        <f>IF(V5854="","",INDEX(Fornecedores!$X$1:$X$6631,V5854))</f>
        <v/>
      </c>
      <c r="Y5854" s="4" t="str">
        <f t="shared" si="4"/>
        <v/>
      </c>
    </row>
    <row r="5855" spans="19:25">
      <c r="S5855" t="str">
        <f t="shared" si="0"/>
        <v/>
      </c>
      <c r="T5855" t="str">
        <f t="shared" si="1"/>
        <v/>
      </c>
      <c r="U5855" t="str">
        <f t="shared" si="2"/>
        <v/>
      </c>
      <c r="V5855" t="str">
        <f>IF(OR(U5855="",U5855="ERRO_CHAVE"),"",IFERROR(MATCH(U5855,Fornecedores!$AF$1:$AF$6631,0),""))</f>
        <v/>
      </c>
      <c r="W5855" t="str">
        <f t="shared" si="3"/>
        <v/>
      </c>
      <c r="X5855" s="4" t="str">
        <f>IF(V5855="","",INDEX(Fornecedores!$X$1:$X$6631,V5855))</f>
        <v/>
      </c>
      <c r="Y5855" s="4" t="str">
        <f t="shared" si="4"/>
        <v/>
      </c>
    </row>
    <row r="5856" spans="19:25">
      <c r="S5856" t="str">
        <f t="shared" si="0"/>
        <v/>
      </c>
      <c r="T5856" t="str">
        <f t="shared" si="1"/>
        <v/>
      </c>
      <c r="U5856" t="str">
        <f t="shared" si="2"/>
        <v/>
      </c>
      <c r="V5856" t="str">
        <f>IF(OR(U5856="",U5856="ERRO_CHAVE"),"",IFERROR(MATCH(U5856,Fornecedores!$AF$1:$AF$6631,0),""))</f>
        <v/>
      </c>
      <c r="W5856" t="str">
        <f t="shared" si="3"/>
        <v/>
      </c>
      <c r="X5856" s="4" t="str">
        <f>IF(V5856="","",INDEX(Fornecedores!$X$1:$X$6631,V5856))</f>
        <v/>
      </c>
      <c r="Y5856" s="4" t="str">
        <f t="shared" si="4"/>
        <v/>
      </c>
    </row>
    <row r="5857" spans="19:25">
      <c r="S5857" t="str">
        <f t="shared" si="0"/>
        <v/>
      </c>
      <c r="T5857" t="str">
        <f t="shared" si="1"/>
        <v/>
      </c>
      <c r="U5857" t="str">
        <f t="shared" si="2"/>
        <v/>
      </c>
      <c r="V5857" t="str">
        <f>IF(OR(U5857="",U5857="ERRO_CHAVE"),"",IFERROR(MATCH(U5857,Fornecedores!$AF$1:$AF$6631,0),""))</f>
        <v/>
      </c>
      <c r="W5857" t="str">
        <f t="shared" si="3"/>
        <v/>
      </c>
      <c r="X5857" s="4" t="str">
        <f>IF(V5857="","",INDEX(Fornecedores!$X$1:$X$6631,V5857))</f>
        <v/>
      </c>
      <c r="Y5857" s="4" t="str">
        <f t="shared" si="4"/>
        <v/>
      </c>
    </row>
    <row r="5858" spans="19:25">
      <c r="S5858" t="str">
        <f t="shared" si="0"/>
        <v/>
      </c>
      <c r="T5858" t="str">
        <f t="shared" si="1"/>
        <v/>
      </c>
      <c r="U5858" t="str">
        <f t="shared" si="2"/>
        <v/>
      </c>
      <c r="V5858" t="str">
        <f>IF(OR(U5858="",U5858="ERRO_CHAVE"),"",IFERROR(MATCH(U5858,Fornecedores!$AF$1:$AF$6631,0),""))</f>
        <v/>
      </c>
      <c r="W5858" t="str">
        <f t="shared" si="3"/>
        <v/>
      </c>
      <c r="X5858" s="4" t="str">
        <f>IF(V5858="","",INDEX(Fornecedores!$X$1:$X$6631,V5858))</f>
        <v/>
      </c>
      <c r="Y5858" s="4" t="str">
        <f t="shared" si="4"/>
        <v/>
      </c>
    </row>
    <row r="5859" spans="19:25">
      <c r="S5859" t="str">
        <f t="shared" si="0"/>
        <v/>
      </c>
      <c r="T5859" t="str">
        <f t="shared" si="1"/>
        <v/>
      </c>
      <c r="U5859" t="str">
        <f t="shared" si="2"/>
        <v/>
      </c>
      <c r="V5859" t="str">
        <f>IF(OR(U5859="",U5859="ERRO_CHAVE"),"",IFERROR(MATCH(U5859,Fornecedores!$AF$1:$AF$6631,0),""))</f>
        <v/>
      </c>
      <c r="W5859" t="str">
        <f t="shared" si="3"/>
        <v/>
      </c>
      <c r="X5859" s="4" t="str">
        <f>IF(V5859="","",INDEX(Fornecedores!$X$1:$X$6631,V5859))</f>
        <v/>
      </c>
      <c r="Y5859" s="4" t="str">
        <f t="shared" si="4"/>
        <v/>
      </c>
    </row>
    <row r="5860" spans="19:25">
      <c r="S5860" t="str">
        <f t="shared" si="0"/>
        <v/>
      </c>
      <c r="T5860" t="str">
        <f t="shared" si="1"/>
        <v/>
      </c>
      <c r="U5860" t="str">
        <f t="shared" si="2"/>
        <v/>
      </c>
      <c r="V5860" t="str">
        <f>IF(OR(U5860="",U5860="ERRO_CHAVE"),"",IFERROR(MATCH(U5860,Fornecedores!$AF$1:$AF$6631,0),""))</f>
        <v/>
      </c>
      <c r="W5860" t="str">
        <f t="shared" si="3"/>
        <v/>
      </c>
      <c r="X5860" s="4" t="str">
        <f>IF(V5860="","",INDEX(Fornecedores!$X$1:$X$6631,V5860))</f>
        <v/>
      </c>
      <c r="Y5860" s="4" t="str">
        <f t="shared" si="4"/>
        <v/>
      </c>
    </row>
    <row r="5861" spans="19:25">
      <c r="S5861" t="str">
        <f t="shared" si="0"/>
        <v/>
      </c>
      <c r="T5861" t="str">
        <f t="shared" si="1"/>
        <v/>
      </c>
      <c r="U5861" t="str">
        <f t="shared" si="2"/>
        <v/>
      </c>
      <c r="V5861" t="str">
        <f>IF(OR(U5861="",U5861="ERRO_CHAVE"),"",IFERROR(MATCH(U5861,Fornecedores!$AF$1:$AF$6631,0),""))</f>
        <v/>
      </c>
      <c r="W5861" t="str">
        <f t="shared" si="3"/>
        <v/>
      </c>
      <c r="X5861" s="4" t="str">
        <f>IF(V5861="","",INDEX(Fornecedores!$X$1:$X$6631,V5861))</f>
        <v/>
      </c>
      <c r="Y5861" s="4" t="str">
        <f t="shared" si="4"/>
        <v/>
      </c>
    </row>
    <row r="5862" spans="19:25">
      <c r="S5862" t="str">
        <f t="shared" si="0"/>
        <v/>
      </c>
      <c r="T5862" t="str">
        <f t="shared" si="1"/>
        <v/>
      </c>
      <c r="U5862" t="str">
        <f t="shared" si="2"/>
        <v/>
      </c>
      <c r="V5862" t="str">
        <f>IF(OR(U5862="",U5862="ERRO_CHAVE"),"",IFERROR(MATCH(U5862,Fornecedores!$AF$1:$AF$6631,0),""))</f>
        <v/>
      </c>
      <c r="W5862" t="str">
        <f t="shared" si="3"/>
        <v/>
      </c>
      <c r="X5862" s="4" t="str">
        <f>IF(V5862="","",INDEX(Fornecedores!$X$1:$X$6631,V5862))</f>
        <v/>
      </c>
      <c r="Y5862" s="4" t="str">
        <f t="shared" si="4"/>
        <v/>
      </c>
    </row>
    <row r="5863" spans="19:25">
      <c r="S5863" t="str">
        <f t="shared" si="0"/>
        <v/>
      </c>
      <c r="T5863" t="str">
        <f t="shared" si="1"/>
        <v/>
      </c>
      <c r="U5863" t="str">
        <f t="shared" si="2"/>
        <v/>
      </c>
      <c r="V5863" t="str">
        <f>IF(OR(U5863="",U5863="ERRO_CHAVE"),"",IFERROR(MATCH(U5863,Fornecedores!$AF$1:$AF$6631,0),""))</f>
        <v/>
      </c>
      <c r="W5863" t="str">
        <f t="shared" si="3"/>
        <v/>
      </c>
      <c r="X5863" s="4" t="str">
        <f>IF(V5863="","",INDEX(Fornecedores!$X$1:$X$6631,V5863))</f>
        <v/>
      </c>
      <c r="Y5863" s="4" t="str">
        <f t="shared" si="4"/>
        <v/>
      </c>
    </row>
    <row r="5864" spans="19:25">
      <c r="S5864" t="str">
        <f t="shared" si="0"/>
        <v/>
      </c>
      <c r="T5864" t="str">
        <f t="shared" si="1"/>
        <v/>
      </c>
      <c r="U5864" t="str">
        <f t="shared" si="2"/>
        <v/>
      </c>
      <c r="V5864" t="str">
        <f>IF(OR(U5864="",U5864="ERRO_CHAVE"),"",IFERROR(MATCH(U5864,Fornecedores!$AF$1:$AF$6631,0),""))</f>
        <v/>
      </c>
      <c r="W5864" t="str">
        <f t="shared" si="3"/>
        <v/>
      </c>
      <c r="X5864" s="4" t="str">
        <f>IF(V5864="","",INDEX(Fornecedores!$X$1:$X$6631,V5864))</f>
        <v/>
      </c>
      <c r="Y5864" s="4" t="str">
        <f t="shared" si="4"/>
        <v/>
      </c>
    </row>
    <row r="5865" spans="19:25">
      <c r="S5865" t="str">
        <f t="shared" si="0"/>
        <v/>
      </c>
      <c r="T5865" t="str">
        <f t="shared" si="1"/>
        <v/>
      </c>
      <c r="U5865" t="str">
        <f t="shared" si="2"/>
        <v/>
      </c>
      <c r="V5865" t="str">
        <f>IF(OR(U5865="",U5865="ERRO_CHAVE"),"",IFERROR(MATCH(U5865,Fornecedores!$AF$1:$AF$6631,0),""))</f>
        <v/>
      </c>
      <c r="W5865" t="str">
        <f t="shared" si="3"/>
        <v/>
      </c>
      <c r="X5865" s="4" t="str">
        <f>IF(V5865="","",INDEX(Fornecedores!$X$1:$X$6631,V5865))</f>
        <v/>
      </c>
      <c r="Y5865" s="4" t="str">
        <f t="shared" si="4"/>
        <v/>
      </c>
    </row>
    <row r="5866" spans="19:25">
      <c r="S5866" t="str">
        <f t="shared" si="0"/>
        <v/>
      </c>
      <c r="T5866" t="str">
        <f t="shared" si="1"/>
        <v/>
      </c>
      <c r="U5866" t="str">
        <f t="shared" si="2"/>
        <v/>
      </c>
      <c r="V5866" t="str">
        <f>IF(OR(U5866="",U5866="ERRO_CHAVE"),"",IFERROR(MATCH(U5866,Fornecedores!$AF$1:$AF$6631,0),""))</f>
        <v/>
      </c>
      <c r="W5866" t="str">
        <f t="shared" si="3"/>
        <v/>
      </c>
      <c r="X5866" s="4" t="str">
        <f>IF(V5866="","",INDEX(Fornecedores!$X$1:$X$6631,V5866))</f>
        <v/>
      </c>
      <c r="Y5866" s="4" t="str">
        <f t="shared" si="4"/>
        <v/>
      </c>
    </row>
    <row r="5867" spans="19:25">
      <c r="S5867" t="str">
        <f t="shared" si="0"/>
        <v/>
      </c>
      <c r="T5867" t="str">
        <f t="shared" si="1"/>
        <v/>
      </c>
      <c r="U5867" t="str">
        <f t="shared" si="2"/>
        <v/>
      </c>
      <c r="V5867" t="str">
        <f>IF(OR(U5867="",U5867="ERRO_CHAVE"),"",IFERROR(MATCH(U5867,Fornecedores!$AF$1:$AF$6631,0),""))</f>
        <v/>
      </c>
      <c r="W5867" t="str">
        <f t="shared" si="3"/>
        <v/>
      </c>
      <c r="X5867" s="4" t="str">
        <f>IF(V5867="","",INDEX(Fornecedores!$X$1:$X$6631,V5867))</f>
        <v/>
      </c>
      <c r="Y5867" s="4" t="str">
        <f t="shared" si="4"/>
        <v/>
      </c>
    </row>
    <row r="5868" spans="19:25">
      <c r="S5868" t="str">
        <f t="shared" si="0"/>
        <v/>
      </c>
      <c r="T5868" t="str">
        <f t="shared" si="1"/>
        <v/>
      </c>
      <c r="U5868" t="str">
        <f t="shared" si="2"/>
        <v/>
      </c>
      <c r="V5868" t="str">
        <f>IF(OR(U5868="",U5868="ERRO_CHAVE"),"",IFERROR(MATCH(U5868,Fornecedores!$AF$1:$AF$6631,0),""))</f>
        <v/>
      </c>
      <c r="W5868" t="str">
        <f t="shared" si="3"/>
        <v/>
      </c>
      <c r="X5868" s="4" t="str">
        <f>IF(V5868="","",INDEX(Fornecedores!$X$1:$X$6631,V5868))</f>
        <v/>
      </c>
      <c r="Y5868" s="4" t="str">
        <f t="shared" si="4"/>
        <v/>
      </c>
    </row>
    <row r="5869" spans="19:25">
      <c r="S5869" t="str">
        <f t="shared" si="0"/>
        <v/>
      </c>
      <c r="T5869" t="str">
        <f t="shared" si="1"/>
        <v/>
      </c>
      <c r="U5869" t="str">
        <f t="shared" si="2"/>
        <v/>
      </c>
      <c r="V5869" t="str">
        <f>IF(OR(U5869="",U5869="ERRO_CHAVE"),"",IFERROR(MATCH(U5869,Fornecedores!$AF$1:$AF$6631,0),""))</f>
        <v/>
      </c>
      <c r="W5869" t="str">
        <f t="shared" si="3"/>
        <v/>
      </c>
      <c r="X5869" s="4" t="str">
        <f>IF(V5869="","",INDEX(Fornecedores!$X$1:$X$6631,V5869))</f>
        <v/>
      </c>
      <c r="Y5869" s="4" t="str">
        <f t="shared" si="4"/>
        <v/>
      </c>
    </row>
    <row r="5870" spans="19:25">
      <c r="S5870" t="str">
        <f t="shared" si="0"/>
        <v/>
      </c>
      <c r="T5870" t="str">
        <f t="shared" si="1"/>
        <v/>
      </c>
      <c r="U5870" t="str">
        <f t="shared" si="2"/>
        <v/>
      </c>
      <c r="V5870" t="str">
        <f>IF(OR(U5870="",U5870="ERRO_CHAVE"),"",IFERROR(MATCH(U5870,Fornecedores!$AF$1:$AF$6631,0),""))</f>
        <v/>
      </c>
      <c r="W5870" t="str">
        <f t="shared" si="3"/>
        <v/>
      </c>
      <c r="X5870" s="4" t="str">
        <f>IF(V5870="","",INDEX(Fornecedores!$X$1:$X$6631,V5870))</f>
        <v/>
      </c>
      <c r="Y5870" s="4" t="str">
        <f t="shared" si="4"/>
        <v/>
      </c>
    </row>
    <row r="5871" spans="19:25">
      <c r="S5871" t="str">
        <f t="shared" si="0"/>
        <v/>
      </c>
      <c r="T5871" t="str">
        <f t="shared" si="1"/>
        <v/>
      </c>
      <c r="U5871" t="str">
        <f t="shared" si="2"/>
        <v/>
      </c>
      <c r="V5871" t="str">
        <f>IF(OR(U5871="",U5871="ERRO_CHAVE"),"",IFERROR(MATCH(U5871,Fornecedores!$AF$1:$AF$6631,0),""))</f>
        <v/>
      </c>
      <c r="W5871" t="str">
        <f t="shared" si="3"/>
        <v/>
      </c>
      <c r="X5871" s="4" t="str">
        <f>IF(V5871="","",INDEX(Fornecedores!$X$1:$X$6631,V5871))</f>
        <v/>
      </c>
      <c r="Y5871" s="4" t="str">
        <f t="shared" si="4"/>
        <v/>
      </c>
    </row>
    <row r="5872" spans="19:25">
      <c r="S5872" t="str">
        <f t="shared" si="0"/>
        <v/>
      </c>
      <c r="T5872" t="str">
        <f t="shared" si="1"/>
        <v/>
      </c>
      <c r="U5872" t="str">
        <f t="shared" si="2"/>
        <v/>
      </c>
      <c r="V5872" t="str">
        <f>IF(OR(U5872="",U5872="ERRO_CHAVE"),"",IFERROR(MATCH(U5872,Fornecedores!$AF$1:$AF$6631,0),""))</f>
        <v/>
      </c>
      <c r="W5872" t="str">
        <f t="shared" si="3"/>
        <v/>
      </c>
      <c r="X5872" s="4" t="str">
        <f>IF(V5872="","",INDEX(Fornecedores!$X$1:$X$6631,V5872))</f>
        <v/>
      </c>
      <c r="Y5872" s="4" t="str">
        <f t="shared" si="4"/>
        <v/>
      </c>
    </row>
    <row r="5873" spans="19:25">
      <c r="S5873" t="str">
        <f t="shared" si="0"/>
        <v/>
      </c>
      <c r="T5873" t="str">
        <f t="shared" si="1"/>
        <v/>
      </c>
      <c r="U5873" t="str">
        <f t="shared" si="2"/>
        <v/>
      </c>
      <c r="V5873" t="str">
        <f>IF(OR(U5873="",U5873="ERRO_CHAVE"),"",IFERROR(MATCH(U5873,Fornecedores!$AF$1:$AF$6631,0),""))</f>
        <v/>
      </c>
      <c r="W5873" t="str">
        <f t="shared" si="3"/>
        <v/>
      </c>
      <c r="X5873" s="4" t="str">
        <f>IF(V5873="","",INDEX(Fornecedores!$X$1:$X$6631,V5873))</f>
        <v/>
      </c>
      <c r="Y5873" s="4" t="str">
        <f t="shared" si="4"/>
        <v/>
      </c>
    </row>
    <row r="5874" spans="19:25">
      <c r="S5874" t="str">
        <f t="shared" si="0"/>
        <v/>
      </c>
      <c r="T5874" t="str">
        <f t="shared" si="1"/>
        <v/>
      </c>
      <c r="U5874" t="str">
        <f t="shared" si="2"/>
        <v/>
      </c>
      <c r="V5874" t="str">
        <f>IF(OR(U5874="",U5874="ERRO_CHAVE"),"",IFERROR(MATCH(U5874,Fornecedores!$AF$1:$AF$6631,0),""))</f>
        <v/>
      </c>
      <c r="W5874" t="str">
        <f t="shared" si="3"/>
        <v/>
      </c>
      <c r="X5874" s="4" t="str">
        <f>IF(V5874="","",INDEX(Fornecedores!$X$1:$X$6631,V5874))</f>
        <v/>
      </c>
      <c r="Y5874" s="4" t="str">
        <f t="shared" si="4"/>
        <v/>
      </c>
    </row>
    <row r="5875" spans="19:25">
      <c r="S5875" t="str">
        <f t="shared" si="0"/>
        <v/>
      </c>
      <c r="T5875" t="str">
        <f t="shared" si="1"/>
        <v/>
      </c>
      <c r="U5875" t="str">
        <f t="shared" si="2"/>
        <v/>
      </c>
      <c r="V5875" t="str">
        <f>IF(OR(U5875="",U5875="ERRO_CHAVE"),"",IFERROR(MATCH(U5875,Fornecedores!$AF$1:$AF$6631,0),""))</f>
        <v/>
      </c>
      <c r="W5875" t="str">
        <f t="shared" si="3"/>
        <v/>
      </c>
      <c r="X5875" s="4" t="str">
        <f>IF(V5875="","",INDEX(Fornecedores!$X$1:$X$6631,V5875))</f>
        <v/>
      </c>
      <c r="Y5875" s="4" t="str">
        <f t="shared" si="4"/>
        <v/>
      </c>
    </row>
    <row r="5876" spans="19:25">
      <c r="S5876" t="str">
        <f t="shared" si="0"/>
        <v/>
      </c>
      <c r="T5876" t="str">
        <f t="shared" si="1"/>
        <v/>
      </c>
      <c r="U5876" t="str">
        <f t="shared" si="2"/>
        <v/>
      </c>
      <c r="V5876" t="str">
        <f>IF(OR(U5876="",U5876="ERRO_CHAVE"),"",IFERROR(MATCH(U5876,Fornecedores!$AF$1:$AF$6631,0),""))</f>
        <v/>
      </c>
      <c r="W5876" t="str">
        <f t="shared" si="3"/>
        <v/>
      </c>
      <c r="X5876" s="4" t="str">
        <f>IF(V5876="","",INDEX(Fornecedores!$X$1:$X$6631,V5876))</f>
        <v/>
      </c>
      <c r="Y5876" s="4" t="str">
        <f t="shared" si="4"/>
        <v/>
      </c>
    </row>
    <row r="5877" spans="19:25">
      <c r="S5877" t="str">
        <f t="shared" si="0"/>
        <v/>
      </c>
      <c r="T5877" t="str">
        <f t="shared" si="1"/>
        <v/>
      </c>
      <c r="U5877" t="str">
        <f t="shared" si="2"/>
        <v/>
      </c>
      <c r="V5877" t="str">
        <f>IF(OR(U5877="",U5877="ERRO_CHAVE"),"",IFERROR(MATCH(U5877,Fornecedores!$AF$1:$AF$6631,0),""))</f>
        <v/>
      </c>
      <c r="W5877" t="str">
        <f t="shared" si="3"/>
        <v/>
      </c>
      <c r="X5877" s="4" t="str">
        <f>IF(V5877="","",INDEX(Fornecedores!$X$1:$X$6631,V5877))</f>
        <v/>
      </c>
      <c r="Y5877" s="4" t="str">
        <f t="shared" si="4"/>
        <v/>
      </c>
    </row>
    <row r="5878" spans="19:25">
      <c r="S5878" t="str">
        <f t="shared" si="0"/>
        <v/>
      </c>
      <c r="T5878" t="str">
        <f t="shared" si="1"/>
        <v/>
      </c>
      <c r="U5878" t="str">
        <f t="shared" si="2"/>
        <v/>
      </c>
      <c r="V5878" t="str">
        <f>IF(OR(U5878="",U5878="ERRO_CHAVE"),"",IFERROR(MATCH(U5878,Fornecedores!$AF$1:$AF$6631,0),""))</f>
        <v/>
      </c>
      <c r="W5878" t="str">
        <f t="shared" si="3"/>
        <v/>
      </c>
      <c r="X5878" s="4" t="str">
        <f>IF(V5878="","",INDEX(Fornecedores!$X$1:$X$6631,V5878))</f>
        <v/>
      </c>
      <c r="Y5878" s="4" t="str">
        <f t="shared" si="4"/>
        <v/>
      </c>
    </row>
    <row r="5879" spans="19:25">
      <c r="S5879" t="str">
        <f t="shared" si="0"/>
        <v/>
      </c>
      <c r="T5879" t="str">
        <f t="shared" si="1"/>
        <v/>
      </c>
      <c r="U5879" t="str">
        <f t="shared" si="2"/>
        <v/>
      </c>
      <c r="V5879" t="str">
        <f>IF(OR(U5879="",U5879="ERRO_CHAVE"),"",IFERROR(MATCH(U5879,Fornecedores!$AF$1:$AF$6631,0),""))</f>
        <v/>
      </c>
      <c r="W5879" t="str">
        <f t="shared" si="3"/>
        <v/>
      </c>
      <c r="X5879" s="4" t="str">
        <f>IF(V5879="","",INDEX(Fornecedores!$X$1:$X$6631,V5879))</f>
        <v/>
      </c>
      <c r="Y5879" s="4" t="str">
        <f t="shared" si="4"/>
        <v/>
      </c>
    </row>
    <row r="5880" spans="19:25">
      <c r="S5880" t="str">
        <f t="shared" si="0"/>
        <v/>
      </c>
      <c r="T5880" t="str">
        <f t="shared" si="1"/>
        <v/>
      </c>
      <c r="U5880" t="str">
        <f t="shared" si="2"/>
        <v/>
      </c>
      <c r="V5880" t="str">
        <f>IF(OR(U5880="",U5880="ERRO_CHAVE"),"",IFERROR(MATCH(U5880,Fornecedores!$AF$1:$AF$6631,0),""))</f>
        <v/>
      </c>
      <c r="W5880" t="str">
        <f t="shared" si="3"/>
        <v/>
      </c>
      <c r="X5880" s="4" t="str">
        <f>IF(V5880="","",INDEX(Fornecedores!$X$1:$X$6631,V5880))</f>
        <v/>
      </c>
      <c r="Y5880" s="4" t="str">
        <f t="shared" si="4"/>
        <v/>
      </c>
    </row>
    <row r="5881" spans="19:25">
      <c r="S5881" t="str">
        <f t="shared" si="0"/>
        <v/>
      </c>
      <c r="T5881" t="str">
        <f t="shared" si="1"/>
        <v/>
      </c>
      <c r="U5881" t="str">
        <f t="shared" si="2"/>
        <v/>
      </c>
      <c r="V5881" t="str">
        <f>IF(OR(U5881="",U5881="ERRO_CHAVE"),"",IFERROR(MATCH(U5881,Fornecedores!$AF$1:$AF$6631,0),""))</f>
        <v/>
      </c>
      <c r="W5881" t="str">
        <f t="shared" si="3"/>
        <v/>
      </c>
      <c r="X5881" s="4" t="str">
        <f>IF(V5881="","",INDEX(Fornecedores!$X$1:$X$6631,V5881))</f>
        <v/>
      </c>
      <c r="Y5881" s="4" t="str">
        <f t="shared" si="4"/>
        <v/>
      </c>
    </row>
    <row r="5882" spans="19:25">
      <c r="S5882" t="str">
        <f t="shared" si="0"/>
        <v/>
      </c>
      <c r="T5882" t="str">
        <f t="shared" si="1"/>
        <v/>
      </c>
      <c r="U5882" t="str">
        <f t="shared" si="2"/>
        <v/>
      </c>
      <c r="V5882" t="str">
        <f>IF(OR(U5882="",U5882="ERRO_CHAVE"),"",IFERROR(MATCH(U5882,Fornecedores!$AF$1:$AF$6631,0),""))</f>
        <v/>
      </c>
      <c r="W5882" t="str">
        <f t="shared" si="3"/>
        <v/>
      </c>
      <c r="X5882" s="4" t="str">
        <f>IF(V5882="","",INDEX(Fornecedores!$X$1:$X$6631,V5882))</f>
        <v/>
      </c>
      <c r="Y5882" s="4" t="str">
        <f t="shared" si="4"/>
        <v/>
      </c>
    </row>
    <row r="5883" spans="19:25">
      <c r="S5883" t="str">
        <f t="shared" si="0"/>
        <v/>
      </c>
      <c r="T5883" t="str">
        <f t="shared" si="1"/>
        <v/>
      </c>
      <c r="U5883" t="str">
        <f t="shared" si="2"/>
        <v/>
      </c>
      <c r="V5883" t="str">
        <f>IF(OR(U5883="",U5883="ERRO_CHAVE"),"",IFERROR(MATCH(U5883,Fornecedores!$AF$1:$AF$6631,0),""))</f>
        <v/>
      </c>
      <c r="W5883" t="str">
        <f t="shared" si="3"/>
        <v/>
      </c>
      <c r="X5883" s="4" t="str">
        <f>IF(V5883="","",INDEX(Fornecedores!$X$1:$X$6631,V5883))</f>
        <v/>
      </c>
      <c r="Y5883" s="4" t="str">
        <f t="shared" si="4"/>
        <v/>
      </c>
    </row>
    <row r="5884" spans="19:25">
      <c r="S5884" t="str">
        <f t="shared" si="0"/>
        <v/>
      </c>
      <c r="T5884" t="str">
        <f t="shared" si="1"/>
        <v/>
      </c>
      <c r="U5884" t="str">
        <f t="shared" si="2"/>
        <v/>
      </c>
      <c r="V5884" t="str">
        <f>IF(OR(U5884="",U5884="ERRO_CHAVE"),"",IFERROR(MATCH(U5884,Fornecedores!$AF$1:$AF$6631,0),""))</f>
        <v/>
      </c>
      <c r="W5884" t="str">
        <f t="shared" si="3"/>
        <v/>
      </c>
      <c r="X5884" s="4" t="str">
        <f>IF(V5884="","",INDEX(Fornecedores!$X$1:$X$6631,V5884))</f>
        <v/>
      </c>
      <c r="Y5884" s="4" t="str">
        <f t="shared" si="4"/>
        <v/>
      </c>
    </row>
    <row r="5885" spans="19:25">
      <c r="S5885" t="str">
        <f t="shared" si="0"/>
        <v/>
      </c>
      <c r="T5885" t="str">
        <f t="shared" si="1"/>
        <v/>
      </c>
      <c r="U5885" t="str">
        <f t="shared" si="2"/>
        <v/>
      </c>
      <c r="V5885" t="str">
        <f>IF(OR(U5885="",U5885="ERRO_CHAVE"),"",IFERROR(MATCH(U5885,Fornecedores!$AF$1:$AF$6631,0),""))</f>
        <v/>
      </c>
      <c r="W5885" t="str">
        <f t="shared" si="3"/>
        <v/>
      </c>
      <c r="X5885" s="4" t="str">
        <f>IF(V5885="","",INDEX(Fornecedores!$X$1:$X$6631,V5885))</f>
        <v/>
      </c>
      <c r="Y5885" s="4" t="str">
        <f t="shared" si="4"/>
        <v/>
      </c>
    </row>
    <row r="5886" spans="19:25">
      <c r="S5886" t="str">
        <f t="shared" si="0"/>
        <v/>
      </c>
      <c r="T5886" t="str">
        <f t="shared" si="1"/>
        <v/>
      </c>
      <c r="U5886" t="str">
        <f t="shared" si="2"/>
        <v/>
      </c>
      <c r="V5886" t="str">
        <f>IF(OR(U5886="",U5886="ERRO_CHAVE"),"",IFERROR(MATCH(U5886,Fornecedores!$AF$1:$AF$6631,0),""))</f>
        <v/>
      </c>
      <c r="W5886" t="str">
        <f t="shared" si="3"/>
        <v/>
      </c>
      <c r="X5886" s="4" t="str">
        <f>IF(V5886="","",INDEX(Fornecedores!$X$1:$X$6631,V5886))</f>
        <v/>
      </c>
      <c r="Y5886" s="4" t="str">
        <f t="shared" si="4"/>
        <v/>
      </c>
    </row>
    <row r="5887" spans="19:25">
      <c r="S5887" t="str">
        <f t="shared" si="0"/>
        <v/>
      </c>
      <c r="T5887" t="str">
        <f t="shared" si="1"/>
        <v/>
      </c>
      <c r="U5887" t="str">
        <f t="shared" si="2"/>
        <v/>
      </c>
      <c r="V5887" t="str">
        <f>IF(OR(U5887="",U5887="ERRO_CHAVE"),"",IFERROR(MATCH(U5887,Fornecedores!$AF$1:$AF$6631,0),""))</f>
        <v/>
      </c>
      <c r="W5887" t="str">
        <f t="shared" si="3"/>
        <v/>
      </c>
      <c r="X5887" s="4" t="str">
        <f>IF(V5887="","",INDEX(Fornecedores!$X$1:$X$6631,V5887))</f>
        <v/>
      </c>
      <c r="Y5887" s="4" t="str">
        <f t="shared" si="4"/>
        <v/>
      </c>
    </row>
    <row r="5888" spans="19:25">
      <c r="S5888" t="str">
        <f t="shared" si="0"/>
        <v/>
      </c>
      <c r="T5888" t="str">
        <f t="shared" si="1"/>
        <v/>
      </c>
      <c r="U5888" t="str">
        <f t="shared" si="2"/>
        <v/>
      </c>
      <c r="V5888" t="str">
        <f>IF(OR(U5888="",U5888="ERRO_CHAVE"),"",IFERROR(MATCH(U5888,Fornecedores!$AF$1:$AF$6631,0),""))</f>
        <v/>
      </c>
      <c r="W5888" t="str">
        <f t="shared" si="3"/>
        <v/>
      </c>
      <c r="X5888" s="4" t="str">
        <f>IF(V5888="","",INDEX(Fornecedores!$X$1:$X$6631,V5888))</f>
        <v/>
      </c>
      <c r="Y5888" s="4" t="str">
        <f t="shared" si="4"/>
        <v/>
      </c>
    </row>
    <row r="5889" spans="19:25">
      <c r="S5889" t="str">
        <f t="shared" si="0"/>
        <v/>
      </c>
      <c r="T5889" t="str">
        <f t="shared" si="1"/>
        <v/>
      </c>
      <c r="U5889" t="str">
        <f t="shared" si="2"/>
        <v/>
      </c>
      <c r="V5889" t="str">
        <f>IF(OR(U5889="",U5889="ERRO_CHAVE"),"",IFERROR(MATCH(U5889,Fornecedores!$AF$1:$AF$6631,0),""))</f>
        <v/>
      </c>
      <c r="W5889" t="str">
        <f t="shared" si="3"/>
        <v/>
      </c>
      <c r="X5889" s="4" t="str">
        <f>IF(V5889="","",INDEX(Fornecedores!$X$1:$X$6631,V5889))</f>
        <v/>
      </c>
      <c r="Y5889" s="4" t="str">
        <f t="shared" si="4"/>
        <v/>
      </c>
    </row>
    <row r="5890" spans="19:25">
      <c r="S5890" t="str">
        <f t="shared" si="0"/>
        <v/>
      </c>
      <c r="T5890" t="str">
        <f t="shared" si="1"/>
        <v/>
      </c>
      <c r="U5890" t="str">
        <f t="shared" si="2"/>
        <v/>
      </c>
      <c r="V5890" t="str">
        <f>IF(OR(U5890="",U5890="ERRO_CHAVE"),"",IFERROR(MATCH(U5890,Fornecedores!$AF$1:$AF$6631,0),""))</f>
        <v/>
      </c>
      <c r="W5890" t="str">
        <f t="shared" si="3"/>
        <v/>
      </c>
      <c r="X5890" s="4" t="str">
        <f>IF(V5890="","",INDEX(Fornecedores!$X$1:$X$6631,V5890))</f>
        <v/>
      </c>
      <c r="Y5890" s="4" t="str">
        <f t="shared" si="4"/>
        <v/>
      </c>
    </row>
    <row r="5891" spans="19:25">
      <c r="S5891" t="str">
        <f t="shared" si="0"/>
        <v/>
      </c>
      <c r="T5891" t="str">
        <f t="shared" si="1"/>
        <v/>
      </c>
      <c r="U5891" t="str">
        <f t="shared" si="2"/>
        <v/>
      </c>
      <c r="V5891" t="str">
        <f>IF(OR(U5891="",U5891="ERRO_CHAVE"),"",IFERROR(MATCH(U5891,Fornecedores!$AF$1:$AF$6631,0),""))</f>
        <v/>
      </c>
      <c r="W5891" t="str">
        <f t="shared" si="3"/>
        <v/>
      </c>
      <c r="X5891" s="4" t="str">
        <f>IF(V5891="","",INDEX(Fornecedores!$X$1:$X$6631,V5891))</f>
        <v/>
      </c>
      <c r="Y5891" s="4" t="str">
        <f t="shared" si="4"/>
        <v/>
      </c>
    </row>
    <row r="5892" spans="19:25">
      <c r="S5892" t="str">
        <f t="shared" si="0"/>
        <v/>
      </c>
      <c r="T5892" t="str">
        <f t="shared" si="1"/>
        <v/>
      </c>
      <c r="U5892" t="str">
        <f t="shared" si="2"/>
        <v/>
      </c>
      <c r="V5892" t="str">
        <f>IF(OR(U5892="",U5892="ERRO_CHAVE"),"",IFERROR(MATCH(U5892,Fornecedores!$AF$1:$AF$6631,0),""))</f>
        <v/>
      </c>
      <c r="W5892" t="str">
        <f t="shared" si="3"/>
        <v/>
      </c>
      <c r="X5892" s="4" t="str">
        <f>IF(V5892="","",INDEX(Fornecedores!$X$1:$X$6631,V5892))</f>
        <v/>
      </c>
      <c r="Y5892" s="4" t="str">
        <f t="shared" si="4"/>
        <v/>
      </c>
    </row>
    <row r="5893" spans="19:25">
      <c r="S5893" t="str">
        <f t="shared" si="0"/>
        <v/>
      </c>
      <c r="T5893" t="str">
        <f t="shared" si="1"/>
        <v/>
      </c>
      <c r="U5893" t="str">
        <f t="shared" si="2"/>
        <v/>
      </c>
      <c r="V5893" t="str">
        <f>IF(OR(U5893="",U5893="ERRO_CHAVE"),"",IFERROR(MATCH(U5893,Fornecedores!$AF$1:$AF$6631,0),""))</f>
        <v/>
      </c>
      <c r="W5893" t="str">
        <f t="shared" si="3"/>
        <v/>
      </c>
      <c r="X5893" s="4" t="str">
        <f>IF(V5893="","",INDEX(Fornecedores!$X$1:$X$6631,V5893))</f>
        <v/>
      </c>
      <c r="Y5893" s="4" t="str">
        <f t="shared" si="4"/>
        <v/>
      </c>
    </row>
    <row r="5894" spans="19:25">
      <c r="S5894" t="str">
        <f t="shared" si="0"/>
        <v/>
      </c>
      <c r="T5894" t="str">
        <f t="shared" si="1"/>
        <v/>
      </c>
      <c r="U5894" t="str">
        <f t="shared" si="2"/>
        <v/>
      </c>
      <c r="V5894" t="str">
        <f>IF(OR(U5894="",U5894="ERRO_CHAVE"),"",IFERROR(MATCH(U5894,Fornecedores!$AF$1:$AF$6631,0),""))</f>
        <v/>
      </c>
      <c r="W5894" t="str">
        <f t="shared" si="3"/>
        <v/>
      </c>
      <c r="X5894" s="4" t="str">
        <f>IF(V5894="","",INDEX(Fornecedores!$X$1:$X$6631,V5894))</f>
        <v/>
      </c>
      <c r="Y5894" s="4" t="str">
        <f t="shared" si="4"/>
        <v/>
      </c>
    </row>
    <row r="5895" spans="19:25">
      <c r="S5895" t="str">
        <f t="shared" si="0"/>
        <v/>
      </c>
      <c r="T5895" t="str">
        <f t="shared" si="1"/>
        <v/>
      </c>
      <c r="U5895" t="str">
        <f t="shared" si="2"/>
        <v/>
      </c>
      <c r="V5895" t="str">
        <f>IF(OR(U5895="",U5895="ERRO_CHAVE"),"",IFERROR(MATCH(U5895,Fornecedores!$AF$1:$AF$6631,0),""))</f>
        <v/>
      </c>
      <c r="W5895" t="str">
        <f t="shared" si="3"/>
        <v/>
      </c>
      <c r="X5895" s="4" t="str">
        <f>IF(V5895="","",INDEX(Fornecedores!$X$1:$X$6631,V5895))</f>
        <v/>
      </c>
      <c r="Y5895" s="4" t="str">
        <f t="shared" si="4"/>
        <v/>
      </c>
    </row>
    <row r="5896" spans="19:25">
      <c r="S5896" t="str">
        <f t="shared" si="0"/>
        <v/>
      </c>
      <c r="T5896" t="str">
        <f t="shared" si="1"/>
        <v/>
      </c>
      <c r="U5896" t="str">
        <f t="shared" si="2"/>
        <v/>
      </c>
      <c r="V5896" t="str">
        <f>IF(OR(U5896="",U5896="ERRO_CHAVE"),"",IFERROR(MATCH(U5896,Fornecedores!$AF$1:$AF$6631,0),""))</f>
        <v/>
      </c>
      <c r="W5896" t="str">
        <f t="shared" si="3"/>
        <v/>
      </c>
      <c r="X5896" s="4" t="str">
        <f>IF(V5896="","",INDEX(Fornecedores!$X$1:$X$6631,V5896))</f>
        <v/>
      </c>
      <c r="Y5896" s="4" t="str">
        <f t="shared" si="4"/>
        <v/>
      </c>
    </row>
    <row r="5897" spans="19:25">
      <c r="S5897" t="str">
        <f t="shared" si="0"/>
        <v/>
      </c>
      <c r="T5897" t="str">
        <f t="shared" si="1"/>
        <v/>
      </c>
      <c r="U5897" t="str">
        <f t="shared" si="2"/>
        <v/>
      </c>
      <c r="V5897" t="str">
        <f>IF(OR(U5897="",U5897="ERRO_CHAVE"),"",IFERROR(MATCH(U5897,Fornecedores!$AF$1:$AF$6631,0),""))</f>
        <v/>
      </c>
      <c r="W5897" t="str">
        <f t="shared" si="3"/>
        <v/>
      </c>
      <c r="X5897" s="4" t="str">
        <f>IF(V5897="","",INDEX(Fornecedores!$X$1:$X$6631,V5897))</f>
        <v/>
      </c>
      <c r="Y5897" s="4" t="str">
        <f t="shared" si="4"/>
        <v/>
      </c>
    </row>
    <row r="5898" spans="19:25">
      <c r="S5898" t="str">
        <f t="shared" si="0"/>
        <v/>
      </c>
      <c r="T5898" t="str">
        <f t="shared" si="1"/>
        <v/>
      </c>
      <c r="U5898" t="str">
        <f t="shared" si="2"/>
        <v/>
      </c>
      <c r="V5898" t="str">
        <f>IF(OR(U5898="",U5898="ERRO_CHAVE"),"",IFERROR(MATCH(U5898,Fornecedores!$AF$1:$AF$6631,0),""))</f>
        <v/>
      </c>
      <c r="W5898" t="str">
        <f t="shared" si="3"/>
        <v/>
      </c>
      <c r="X5898" s="4" t="str">
        <f>IF(V5898="","",INDEX(Fornecedores!$X$1:$X$6631,V5898))</f>
        <v/>
      </c>
      <c r="Y5898" s="4" t="str">
        <f t="shared" si="4"/>
        <v/>
      </c>
    </row>
    <row r="5899" spans="19:25">
      <c r="S5899" t="str">
        <f t="shared" si="0"/>
        <v/>
      </c>
      <c r="T5899" t="str">
        <f t="shared" si="1"/>
        <v/>
      </c>
      <c r="U5899" t="str">
        <f t="shared" si="2"/>
        <v/>
      </c>
      <c r="V5899" t="str">
        <f>IF(OR(U5899="",U5899="ERRO_CHAVE"),"",IFERROR(MATCH(U5899,Fornecedores!$AF$1:$AF$6631,0),""))</f>
        <v/>
      </c>
      <c r="W5899" t="str">
        <f t="shared" si="3"/>
        <v/>
      </c>
      <c r="X5899" s="4" t="str">
        <f>IF(V5899="","",INDEX(Fornecedores!$X$1:$X$6631,V5899))</f>
        <v/>
      </c>
      <c r="Y5899" s="4" t="str">
        <f t="shared" si="4"/>
        <v/>
      </c>
    </row>
    <row r="5900" spans="19:25">
      <c r="S5900" t="str">
        <f t="shared" si="0"/>
        <v/>
      </c>
      <c r="T5900" t="str">
        <f t="shared" si="1"/>
        <v/>
      </c>
      <c r="U5900" t="str">
        <f t="shared" si="2"/>
        <v/>
      </c>
      <c r="V5900" t="str">
        <f>IF(OR(U5900="",U5900="ERRO_CHAVE"),"",IFERROR(MATCH(U5900,Fornecedores!$AF$1:$AF$6631,0),""))</f>
        <v/>
      </c>
      <c r="W5900" t="str">
        <f t="shared" si="3"/>
        <v/>
      </c>
      <c r="X5900" s="4" t="str">
        <f>IF(V5900="","",INDEX(Fornecedores!$X$1:$X$6631,V5900))</f>
        <v/>
      </c>
      <c r="Y5900" s="4" t="str">
        <f t="shared" si="4"/>
        <v/>
      </c>
    </row>
    <row r="5901" spans="19:25">
      <c r="S5901" t="str">
        <f t="shared" si="0"/>
        <v/>
      </c>
      <c r="T5901" t="str">
        <f t="shared" si="1"/>
        <v/>
      </c>
      <c r="U5901" t="str">
        <f t="shared" si="2"/>
        <v/>
      </c>
      <c r="V5901" t="str">
        <f>IF(OR(U5901="",U5901="ERRO_CHAVE"),"",IFERROR(MATCH(U5901,Fornecedores!$AF$1:$AF$6631,0),""))</f>
        <v/>
      </c>
      <c r="W5901" t="str">
        <f t="shared" si="3"/>
        <v/>
      </c>
      <c r="X5901" s="4" t="str">
        <f>IF(V5901="","",INDEX(Fornecedores!$X$1:$X$6631,V5901))</f>
        <v/>
      </c>
      <c r="Y5901" s="4" t="str">
        <f t="shared" si="4"/>
        <v/>
      </c>
    </row>
    <row r="5902" spans="19:25">
      <c r="S5902" t="str">
        <f t="shared" si="0"/>
        <v/>
      </c>
      <c r="T5902" t="str">
        <f t="shared" si="1"/>
        <v/>
      </c>
      <c r="U5902" t="str">
        <f t="shared" si="2"/>
        <v/>
      </c>
      <c r="V5902" t="str">
        <f>IF(OR(U5902="",U5902="ERRO_CHAVE"),"",IFERROR(MATCH(U5902,Fornecedores!$AF$1:$AF$6631,0),""))</f>
        <v/>
      </c>
      <c r="W5902" t="str">
        <f t="shared" si="3"/>
        <v/>
      </c>
      <c r="X5902" s="4" t="str">
        <f>IF(V5902="","",INDEX(Fornecedores!$X$1:$X$6631,V5902))</f>
        <v/>
      </c>
      <c r="Y5902" s="4" t="str">
        <f t="shared" si="4"/>
        <v/>
      </c>
    </row>
    <row r="5903" spans="19:25">
      <c r="S5903" t="str">
        <f t="shared" si="0"/>
        <v/>
      </c>
      <c r="T5903" t="str">
        <f t="shared" si="1"/>
        <v/>
      </c>
      <c r="U5903" t="str">
        <f t="shared" si="2"/>
        <v/>
      </c>
      <c r="V5903" t="str">
        <f>IF(OR(U5903="",U5903="ERRO_CHAVE"),"",IFERROR(MATCH(U5903,Fornecedores!$AF$1:$AF$6631,0),""))</f>
        <v/>
      </c>
      <c r="W5903" t="str">
        <f t="shared" si="3"/>
        <v/>
      </c>
      <c r="X5903" s="4" t="str">
        <f>IF(V5903="","",INDEX(Fornecedores!$X$1:$X$6631,V5903))</f>
        <v/>
      </c>
      <c r="Y5903" s="4" t="str">
        <f t="shared" si="4"/>
        <v/>
      </c>
    </row>
    <row r="5904" spans="19:25">
      <c r="S5904" t="str">
        <f t="shared" si="0"/>
        <v/>
      </c>
      <c r="T5904" t="str">
        <f t="shared" si="1"/>
        <v/>
      </c>
      <c r="U5904" t="str">
        <f t="shared" si="2"/>
        <v/>
      </c>
      <c r="V5904" t="str">
        <f>IF(OR(U5904="",U5904="ERRO_CHAVE"),"",IFERROR(MATCH(U5904,Fornecedores!$AF$1:$AF$6631,0),""))</f>
        <v/>
      </c>
      <c r="W5904" t="str">
        <f t="shared" si="3"/>
        <v/>
      </c>
      <c r="X5904" s="4" t="str">
        <f>IF(V5904="","",INDEX(Fornecedores!$X$1:$X$6631,V5904))</f>
        <v/>
      </c>
      <c r="Y5904" s="4" t="str">
        <f t="shared" si="4"/>
        <v/>
      </c>
    </row>
    <row r="5905" spans="19:25">
      <c r="S5905" t="str">
        <f t="shared" si="0"/>
        <v/>
      </c>
      <c r="T5905" t="str">
        <f t="shared" si="1"/>
        <v/>
      </c>
      <c r="U5905" t="str">
        <f t="shared" si="2"/>
        <v/>
      </c>
      <c r="V5905" t="str">
        <f>IF(OR(U5905="",U5905="ERRO_CHAVE"),"",IFERROR(MATCH(U5905,Fornecedores!$AF$1:$AF$6631,0),""))</f>
        <v/>
      </c>
      <c r="W5905" t="str">
        <f t="shared" si="3"/>
        <v/>
      </c>
      <c r="X5905" s="4" t="str">
        <f>IF(V5905="","",INDEX(Fornecedores!$X$1:$X$6631,V5905))</f>
        <v/>
      </c>
      <c r="Y5905" s="4" t="str">
        <f t="shared" si="4"/>
        <v/>
      </c>
    </row>
    <row r="5906" spans="19:25">
      <c r="S5906" t="str">
        <f t="shared" si="0"/>
        <v/>
      </c>
      <c r="T5906" t="str">
        <f t="shared" si="1"/>
        <v/>
      </c>
      <c r="U5906" t="str">
        <f t="shared" si="2"/>
        <v/>
      </c>
      <c r="V5906" t="str">
        <f>IF(OR(U5906="",U5906="ERRO_CHAVE"),"",IFERROR(MATCH(U5906,Fornecedores!$AF$1:$AF$6631,0),""))</f>
        <v/>
      </c>
      <c r="W5906" t="str">
        <f t="shared" si="3"/>
        <v/>
      </c>
      <c r="X5906" s="4" t="str">
        <f>IF(V5906="","",INDEX(Fornecedores!$X$1:$X$6631,V5906))</f>
        <v/>
      </c>
      <c r="Y5906" s="4" t="str">
        <f t="shared" si="4"/>
        <v/>
      </c>
    </row>
    <row r="5907" spans="19:25">
      <c r="S5907" t="str">
        <f t="shared" si="0"/>
        <v/>
      </c>
      <c r="T5907" t="str">
        <f t="shared" si="1"/>
        <v/>
      </c>
      <c r="U5907" t="str">
        <f t="shared" si="2"/>
        <v/>
      </c>
      <c r="V5907" t="str">
        <f>IF(OR(U5907="",U5907="ERRO_CHAVE"),"",IFERROR(MATCH(U5907,Fornecedores!$AF$1:$AF$6631,0),""))</f>
        <v/>
      </c>
      <c r="W5907" t="str">
        <f t="shared" si="3"/>
        <v/>
      </c>
      <c r="X5907" s="4" t="str">
        <f>IF(V5907="","",INDEX(Fornecedores!$X$1:$X$6631,V5907))</f>
        <v/>
      </c>
      <c r="Y5907" s="4" t="str">
        <f t="shared" si="4"/>
        <v/>
      </c>
    </row>
    <row r="5908" spans="19:25">
      <c r="S5908" t="str">
        <f t="shared" si="0"/>
        <v/>
      </c>
      <c r="T5908" t="str">
        <f t="shared" si="1"/>
        <v/>
      </c>
      <c r="U5908" t="str">
        <f t="shared" si="2"/>
        <v/>
      </c>
      <c r="V5908" t="str">
        <f>IF(OR(U5908="",U5908="ERRO_CHAVE"),"",IFERROR(MATCH(U5908,Fornecedores!$AF$1:$AF$6631,0),""))</f>
        <v/>
      </c>
      <c r="W5908" t="str">
        <f t="shared" si="3"/>
        <v/>
      </c>
      <c r="X5908" s="4" t="str">
        <f>IF(V5908="","",INDEX(Fornecedores!$X$1:$X$6631,V5908))</f>
        <v/>
      </c>
      <c r="Y5908" s="4" t="str">
        <f t="shared" si="4"/>
        <v/>
      </c>
    </row>
    <row r="5909" spans="19:25">
      <c r="S5909" t="str">
        <f t="shared" si="0"/>
        <v/>
      </c>
      <c r="T5909" t="str">
        <f t="shared" si="1"/>
        <v/>
      </c>
      <c r="U5909" t="str">
        <f t="shared" si="2"/>
        <v/>
      </c>
      <c r="V5909" t="str">
        <f>IF(OR(U5909="",U5909="ERRO_CHAVE"),"",IFERROR(MATCH(U5909,Fornecedores!$AF$1:$AF$6631,0),""))</f>
        <v/>
      </c>
      <c r="W5909" t="str">
        <f t="shared" si="3"/>
        <v/>
      </c>
      <c r="X5909" s="4" t="str">
        <f>IF(V5909="","",INDEX(Fornecedores!$X$1:$X$6631,V5909))</f>
        <v/>
      </c>
      <c r="Y5909" s="4" t="str">
        <f t="shared" si="4"/>
        <v/>
      </c>
    </row>
    <row r="5910" spans="19:25">
      <c r="S5910" t="str">
        <f t="shared" si="0"/>
        <v/>
      </c>
      <c r="T5910" t="str">
        <f t="shared" si="1"/>
        <v/>
      </c>
      <c r="U5910" t="str">
        <f t="shared" si="2"/>
        <v/>
      </c>
      <c r="V5910" t="str">
        <f>IF(OR(U5910="",U5910="ERRO_CHAVE"),"",IFERROR(MATCH(U5910,Fornecedores!$AF$1:$AF$6631,0),""))</f>
        <v/>
      </c>
      <c r="W5910" t="str">
        <f t="shared" si="3"/>
        <v/>
      </c>
      <c r="X5910" s="4" t="str">
        <f>IF(V5910="","",INDEX(Fornecedores!$X$1:$X$6631,V5910))</f>
        <v/>
      </c>
      <c r="Y5910" s="4" t="str">
        <f t="shared" si="4"/>
        <v/>
      </c>
    </row>
    <row r="5911" spans="19:25">
      <c r="S5911" t="str">
        <f t="shared" si="0"/>
        <v/>
      </c>
      <c r="T5911" t="str">
        <f t="shared" si="1"/>
        <v/>
      </c>
      <c r="U5911" t="str">
        <f t="shared" si="2"/>
        <v/>
      </c>
      <c r="V5911" t="str">
        <f>IF(OR(U5911="",U5911="ERRO_CHAVE"),"",IFERROR(MATCH(U5911,Fornecedores!$AF$1:$AF$6631,0),""))</f>
        <v/>
      </c>
      <c r="W5911" t="str">
        <f t="shared" si="3"/>
        <v/>
      </c>
      <c r="X5911" s="4" t="str">
        <f>IF(V5911="","",INDEX(Fornecedores!$X$1:$X$6631,V5911))</f>
        <v/>
      </c>
      <c r="Y5911" s="4" t="str">
        <f t="shared" si="4"/>
        <v/>
      </c>
    </row>
    <row r="5912" spans="19:25">
      <c r="S5912" t="str">
        <f t="shared" si="0"/>
        <v/>
      </c>
      <c r="T5912" t="str">
        <f t="shared" si="1"/>
        <v/>
      </c>
      <c r="U5912" t="str">
        <f t="shared" si="2"/>
        <v/>
      </c>
      <c r="V5912" t="str">
        <f>IF(OR(U5912="",U5912="ERRO_CHAVE"),"",IFERROR(MATCH(U5912,Fornecedores!$AF$1:$AF$6631,0),""))</f>
        <v/>
      </c>
      <c r="W5912" t="str">
        <f t="shared" si="3"/>
        <v/>
      </c>
      <c r="X5912" s="4" t="str">
        <f>IF(V5912="","",INDEX(Fornecedores!$X$1:$X$6631,V5912))</f>
        <v/>
      </c>
      <c r="Y5912" s="4" t="str">
        <f t="shared" si="4"/>
        <v/>
      </c>
    </row>
    <row r="5913" spans="19:25">
      <c r="S5913" t="str">
        <f t="shared" si="0"/>
        <v/>
      </c>
      <c r="T5913" t="str">
        <f t="shared" si="1"/>
        <v/>
      </c>
      <c r="U5913" t="str">
        <f t="shared" si="2"/>
        <v/>
      </c>
      <c r="V5913" t="str">
        <f>IF(OR(U5913="",U5913="ERRO_CHAVE"),"",IFERROR(MATCH(U5913,Fornecedores!$AF$1:$AF$6631,0),""))</f>
        <v/>
      </c>
      <c r="W5913" t="str">
        <f t="shared" si="3"/>
        <v/>
      </c>
      <c r="X5913" s="4" t="str">
        <f>IF(V5913="","",INDEX(Fornecedores!$X$1:$X$6631,V5913))</f>
        <v/>
      </c>
      <c r="Y5913" s="4" t="str">
        <f t="shared" si="4"/>
        <v/>
      </c>
    </row>
    <row r="5914" spans="19:25">
      <c r="S5914" t="str">
        <f t="shared" si="0"/>
        <v/>
      </c>
      <c r="T5914" t="str">
        <f t="shared" si="1"/>
        <v/>
      </c>
      <c r="U5914" t="str">
        <f t="shared" si="2"/>
        <v/>
      </c>
      <c r="V5914" t="str">
        <f>IF(OR(U5914="",U5914="ERRO_CHAVE"),"",IFERROR(MATCH(U5914,Fornecedores!$AF$1:$AF$6631,0),""))</f>
        <v/>
      </c>
      <c r="W5914" t="str">
        <f t="shared" si="3"/>
        <v/>
      </c>
      <c r="X5914" s="4" t="str">
        <f>IF(V5914="","",INDEX(Fornecedores!$X$1:$X$6631,V5914))</f>
        <v/>
      </c>
      <c r="Y5914" s="4" t="str">
        <f t="shared" si="4"/>
        <v/>
      </c>
    </row>
    <row r="5915" spans="19:25">
      <c r="S5915" t="str">
        <f t="shared" si="0"/>
        <v/>
      </c>
      <c r="T5915" t="str">
        <f t="shared" si="1"/>
        <v/>
      </c>
      <c r="U5915" t="str">
        <f t="shared" si="2"/>
        <v/>
      </c>
      <c r="V5915" t="str">
        <f>IF(OR(U5915="",U5915="ERRO_CHAVE"),"",IFERROR(MATCH(U5915,Fornecedores!$AF$1:$AF$6631,0),""))</f>
        <v/>
      </c>
      <c r="W5915" t="str">
        <f t="shared" si="3"/>
        <v/>
      </c>
      <c r="X5915" s="4" t="str">
        <f>IF(V5915="","",INDEX(Fornecedores!$X$1:$X$6631,V5915))</f>
        <v/>
      </c>
      <c r="Y5915" s="4" t="str">
        <f t="shared" si="4"/>
        <v/>
      </c>
    </row>
    <row r="5916" spans="19:25">
      <c r="S5916" t="str">
        <f t="shared" si="0"/>
        <v/>
      </c>
      <c r="T5916" t="str">
        <f t="shared" si="1"/>
        <v/>
      </c>
      <c r="U5916" t="str">
        <f t="shared" si="2"/>
        <v/>
      </c>
      <c r="V5916" t="str">
        <f>IF(OR(U5916="",U5916="ERRO_CHAVE"),"",IFERROR(MATCH(U5916,Fornecedores!$AF$1:$AF$6631,0),""))</f>
        <v/>
      </c>
      <c r="W5916" t="str">
        <f t="shared" si="3"/>
        <v/>
      </c>
      <c r="X5916" s="4" t="str">
        <f>IF(V5916="","",INDEX(Fornecedores!$X$1:$X$6631,V5916))</f>
        <v/>
      </c>
      <c r="Y5916" s="4" t="str">
        <f t="shared" si="4"/>
        <v/>
      </c>
    </row>
    <row r="5917" spans="19:25">
      <c r="S5917" t="str">
        <f t="shared" si="0"/>
        <v/>
      </c>
      <c r="T5917" t="str">
        <f t="shared" si="1"/>
        <v/>
      </c>
      <c r="U5917" t="str">
        <f t="shared" si="2"/>
        <v/>
      </c>
      <c r="V5917" t="str">
        <f>IF(OR(U5917="",U5917="ERRO_CHAVE"),"",IFERROR(MATCH(U5917,Fornecedores!$AF$1:$AF$6631,0),""))</f>
        <v/>
      </c>
      <c r="W5917" t="str">
        <f t="shared" si="3"/>
        <v/>
      </c>
      <c r="X5917" s="4" t="str">
        <f>IF(V5917="","",INDEX(Fornecedores!$X$1:$X$6631,V5917))</f>
        <v/>
      </c>
      <c r="Y5917" s="4" t="str">
        <f t="shared" si="4"/>
        <v/>
      </c>
    </row>
    <row r="5918" spans="19:25">
      <c r="S5918" t="str">
        <f t="shared" si="0"/>
        <v/>
      </c>
      <c r="T5918" t="str">
        <f t="shared" si="1"/>
        <v/>
      </c>
      <c r="U5918" t="str">
        <f t="shared" si="2"/>
        <v/>
      </c>
      <c r="V5918" t="str">
        <f>IF(OR(U5918="",U5918="ERRO_CHAVE"),"",IFERROR(MATCH(U5918,Fornecedores!$AF$1:$AF$6631,0),""))</f>
        <v/>
      </c>
      <c r="W5918" t="str">
        <f t="shared" si="3"/>
        <v/>
      </c>
      <c r="X5918" s="4" t="str">
        <f>IF(V5918="","",INDEX(Fornecedores!$X$1:$X$6631,V5918))</f>
        <v/>
      </c>
      <c r="Y5918" s="4" t="str">
        <f t="shared" si="4"/>
        <v/>
      </c>
    </row>
    <row r="5919" spans="19:25">
      <c r="S5919" t="str">
        <f t="shared" si="0"/>
        <v/>
      </c>
      <c r="T5919" t="str">
        <f t="shared" si="1"/>
        <v/>
      </c>
      <c r="U5919" t="str">
        <f t="shared" si="2"/>
        <v/>
      </c>
      <c r="V5919" t="str">
        <f>IF(OR(U5919="",U5919="ERRO_CHAVE"),"",IFERROR(MATCH(U5919,Fornecedores!$AF$1:$AF$6631,0),""))</f>
        <v/>
      </c>
      <c r="W5919" t="str">
        <f t="shared" si="3"/>
        <v/>
      </c>
      <c r="X5919" s="4" t="str">
        <f>IF(V5919="","",INDEX(Fornecedores!$X$1:$X$6631,V5919))</f>
        <v/>
      </c>
      <c r="Y5919" s="4" t="str">
        <f t="shared" si="4"/>
        <v/>
      </c>
    </row>
    <row r="5920" spans="19:25">
      <c r="S5920" t="str">
        <f t="shared" si="0"/>
        <v/>
      </c>
      <c r="T5920" t="str">
        <f t="shared" si="1"/>
        <v/>
      </c>
      <c r="U5920" t="str">
        <f t="shared" si="2"/>
        <v/>
      </c>
      <c r="V5920" t="str">
        <f>IF(OR(U5920="",U5920="ERRO_CHAVE"),"",IFERROR(MATCH(U5920,Fornecedores!$AF$1:$AF$6631,0),""))</f>
        <v/>
      </c>
      <c r="W5920" t="str">
        <f t="shared" si="3"/>
        <v/>
      </c>
      <c r="X5920" s="4" t="str">
        <f>IF(V5920="","",INDEX(Fornecedores!$X$1:$X$6631,V5920))</f>
        <v/>
      </c>
      <c r="Y5920" s="4" t="str">
        <f t="shared" si="4"/>
        <v/>
      </c>
    </row>
    <row r="5921" spans="19:25">
      <c r="S5921" t="str">
        <f t="shared" si="0"/>
        <v/>
      </c>
      <c r="T5921" t="str">
        <f t="shared" si="1"/>
        <v/>
      </c>
      <c r="U5921" t="str">
        <f t="shared" si="2"/>
        <v/>
      </c>
      <c r="V5921" t="str">
        <f>IF(OR(U5921="",U5921="ERRO_CHAVE"),"",IFERROR(MATCH(U5921,Fornecedores!$AF$1:$AF$6631,0),""))</f>
        <v/>
      </c>
      <c r="W5921" t="str">
        <f t="shared" si="3"/>
        <v/>
      </c>
      <c r="X5921" s="4" t="str">
        <f>IF(V5921="","",INDEX(Fornecedores!$X$1:$X$6631,V5921))</f>
        <v/>
      </c>
      <c r="Y5921" s="4" t="str">
        <f t="shared" si="4"/>
        <v/>
      </c>
    </row>
    <row r="5922" spans="19:25">
      <c r="S5922" t="str">
        <f t="shared" si="0"/>
        <v/>
      </c>
      <c r="T5922" t="str">
        <f t="shared" si="1"/>
        <v/>
      </c>
      <c r="U5922" t="str">
        <f t="shared" si="2"/>
        <v/>
      </c>
      <c r="V5922" t="str">
        <f>IF(OR(U5922="",U5922="ERRO_CHAVE"),"",IFERROR(MATCH(U5922,Fornecedores!$AF$1:$AF$6631,0),""))</f>
        <v/>
      </c>
      <c r="W5922" t="str">
        <f t="shared" si="3"/>
        <v/>
      </c>
      <c r="X5922" s="4" t="str">
        <f>IF(V5922="","",INDEX(Fornecedores!$X$1:$X$6631,V5922))</f>
        <v/>
      </c>
      <c r="Y5922" s="4" t="str">
        <f t="shared" si="4"/>
        <v/>
      </c>
    </row>
    <row r="5923" spans="19:25">
      <c r="S5923" t="str">
        <f t="shared" si="0"/>
        <v/>
      </c>
      <c r="T5923" t="str">
        <f t="shared" si="1"/>
        <v/>
      </c>
      <c r="U5923" t="str">
        <f t="shared" si="2"/>
        <v/>
      </c>
      <c r="V5923" t="str">
        <f>IF(OR(U5923="",U5923="ERRO_CHAVE"),"",IFERROR(MATCH(U5923,Fornecedores!$AF$1:$AF$6631,0),""))</f>
        <v/>
      </c>
      <c r="W5923" t="str">
        <f t="shared" si="3"/>
        <v/>
      </c>
      <c r="X5923" s="4" t="str">
        <f>IF(V5923="","",INDEX(Fornecedores!$X$1:$X$6631,V5923))</f>
        <v/>
      </c>
      <c r="Y5923" s="4" t="str">
        <f t="shared" si="4"/>
        <v/>
      </c>
    </row>
    <row r="5924" spans="19:25">
      <c r="S5924" t="str">
        <f t="shared" si="0"/>
        <v/>
      </c>
      <c r="T5924" t="str">
        <f t="shared" si="1"/>
        <v/>
      </c>
      <c r="U5924" t="str">
        <f t="shared" si="2"/>
        <v/>
      </c>
      <c r="V5924" t="str">
        <f>IF(OR(U5924="",U5924="ERRO_CHAVE"),"",IFERROR(MATCH(U5924,Fornecedores!$AF$1:$AF$6631,0),""))</f>
        <v/>
      </c>
      <c r="W5924" t="str">
        <f t="shared" si="3"/>
        <v/>
      </c>
      <c r="X5924" s="4" t="str">
        <f>IF(V5924="","",INDEX(Fornecedores!$X$1:$X$6631,V5924))</f>
        <v/>
      </c>
      <c r="Y5924" s="4" t="str">
        <f t="shared" si="4"/>
        <v/>
      </c>
    </row>
    <row r="5925" spans="19:25">
      <c r="S5925" t="str">
        <f t="shared" si="0"/>
        <v/>
      </c>
      <c r="T5925" t="str">
        <f t="shared" si="1"/>
        <v/>
      </c>
      <c r="U5925" t="str">
        <f t="shared" si="2"/>
        <v/>
      </c>
      <c r="V5925" t="str">
        <f>IF(OR(U5925="",U5925="ERRO_CHAVE"),"",IFERROR(MATCH(U5925,Fornecedores!$AF$1:$AF$6631,0),""))</f>
        <v/>
      </c>
      <c r="W5925" t="str">
        <f t="shared" si="3"/>
        <v/>
      </c>
      <c r="X5925" s="4" t="str">
        <f>IF(V5925="","",INDEX(Fornecedores!$X$1:$X$6631,V5925))</f>
        <v/>
      </c>
      <c r="Y5925" s="4" t="str">
        <f t="shared" si="4"/>
        <v/>
      </c>
    </row>
    <row r="5926" spans="19:25">
      <c r="S5926" t="str">
        <f t="shared" si="0"/>
        <v/>
      </c>
      <c r="T5926" t="str">
        <f t="shared" si="1"/>
        <v/>
      </c>
      <c r="U5926" t="str">
        <f t="shared" si="2"/>
        <v/>
      </c>
      <c r="V5926" t="str">
        <f>IF(OR(U5926="",U5926="ERRO_CHAVE"),"",IFERROR(MATCH(U5926,Fornecedores!$AF$1:$AF$6631,0),""))</f>
        <v/>
      </c>
      <c r="W5926" t="str">
        <f t="shared" si="3"/>
        <v/>
      </c>
      <c r="X5926" s="4" t="str">
        <f>IF(V5926="","",INDEX(Fornecedores!$X$1:$X$6631,V5926))</f>
        <v/>
      </c>
      <c r="Y5926" s="4" t="str">
        <f t="shared" si="4"/>
        <v/>
      </c>
    </row>
    <row r="5927" spans="19:25">
      <c r="S5927" t="str">
        <f t="shared" si="0"/>
        <v/>
      </c>
      <c r="T5927" t="str">
        <f t="shared" si="1"/>
        <v/>
      </c>
      <c r="U5927" t="str">
        <f t="shared" si="2"/>
        <v/>
      </c>
      <c r="V5927" t="str">
        <f>IF(OR(U5927="",U5927="ERRO_CHAVE"),"",IFERROR(MATCH(U5927,Fornecedores!$AF$1:$AF$6631,0),""))</f>
        <v/>
      </c>
      <c r="W5927" t="str">
        <f t="shared" si="3"/>
        <v/>
      </c>
      <c r="X5927" s="4" t="str">
        <f>IF(V5927="","",INDEX(Fornecedores!$X$1:$X$6631,V5927))</f>
        <v/>
      </c>
      <c r="Y5927" s="4" t="str">
        <f t="shared" si="4"/>
        <v/>
      </c>
    </row>
    <row r="5928" spans="19:25">
      <c r="S5928" t="str">
        <f t="shared" si="0"/>
        <v/>
      </c>
      <c r="T5928" t="str">
        <f t="shared" si="1"/>
        <v/>
      </c>
      <c r="U5928" t="str">
        <f t="shared" si="2"/>
        <v/>
      </c>
      <c r="V5928" t="str">
        <f>IF(OR(U5928="",U5928="ERRO_CHAVE"),"",IFERROR(MATCH(U5928,Fornecedores!$AF$1:$AF$6631,0),""))</f>
        <v/>
      </c>
      <c r="W5928" t="str">
        <f t="shared" si="3"/>
        <v/>
      </c>
      <c r="X5928" s="4" t="str">
        <f>IF(V5928="","",INDEX(Fornecedores!$X$1:$X$6631,V5928))</f>
        <v/>
      </c>
      <c r="Y5928" s="4" t="str">
        <f t="shared" si="4"/>
        <v/>
      </c>
    </row>
    <row r="5929" spans="19:25">
      <c r="S5929" t="str">
        <f t="shared" si="0"/>
        <v/>
      </c>
      <c r="T5929" t="str">
        <f t="shared" si="1"/>
        <v/>
      </c>
      <c r="U5929" t="str">
        <f t="shared" si="2"/>
        <v/>
      </c>
      <c r="V5929" t="str">
        <f>IF(OR(U5929="",U5929="ERRO_CHAVE"),"",IFERROR(MATCH(U5929,Fornecedores!$AF$1:$AF$6631,0),""))</f>
        <v/>
      </c>
      <c r="W5929" t="str">
        <f t="shared" si="3"/>
        <v/>
      </c>
      <c r="X5929" s="4" t="str">
        <f>IF(V5929="","",INDEX(Fornecedores!$X$1:$X$6631,V5929))</f>
        <v/>
      </c>
      <c r="Y5929" s="4" t="str">
        <f t="shared" si="4"/>
        <v/>
      </c>
    </row>
    <row r="5930" spans="19:25">
      <c r="S5930" t="str">
        <f t="shared" si="0"/>
        <v/>
      </c>
      <c r="T5930" t="str">
        <f t="shared" si="1"/>
        <v/>
      </c>
      <c r="U5930" t="str">
        <f t="shared" si="2"/>
        <v/>
      </c>
      <c r="V5930" t="str">
        <f>IF(OR(U5930="",U5930="ERRO_CHAVE"),"",IFERROR(MATCH(U5930,Fornecedores!$AF$1:$AF$6631,0),""))</f>
        <v/>
      </c>
      <c r="W5930" t="str">
        <f t="shared" si="3"/>
        <v/>
      </c>
      <c r="X5930" s="4" t="str">
        <f>IF(V5930="","",INDEX(Fornecedores!$X$1:$X$6631,V5930))</f>
        <v/>
      </c>
      <c r="Y5930" s="4" t="str">
        <f t="shared" si="4"/>
        <v/>
      </c>
    </row>
    <row r="5931" spans="19:25">
      <c r="S5931" t="str">
        <f t="shared" si="0"/>
        <v/>
      </c>
      <c r="T5931" t="str">
        <f t="shared" si="1"/>
        <v/>
      </c>
      <c r="U5931" t="str">
        <f t="shared" si="2"/>
        <v/>
      </c>
      <c r="V5931" t="str">
        <f>IF(OR(U5931="",U5931="ERRO_CHAVE"),"",IFERROR(MATCH(U5931,Fornecedores!$AF$1:$AF$6631,0),""))</f>
        <v/>
      </c>
      <c r="W5931" t="str">
        <f t="shared" si="3"/>
        <v/>
      </c>
      <c r="X5931" s="4" t="str">
        <f>IF(V5931="","",INDEX(Fornecedores!$X$1:$X$6631,V5931))</f>
        <v/>
      </c>
      <c r="Y5931" s="4" t="str">
        <f t="shared" si="4"/>
        <v/>
      </c>
    </row>
    <row r="5932" spans="19:25">
      <c r="S5932" t="str">
        <f t="shared" si="0"/>
        <v/>
      </c>
      <c r="T5932" t="str">
        <f t="shared" si="1"/>
        <v/>
      </c>
      <c r="U5932" t="str">
        <f t="shared" si="2"/>
        <v/>
      </c>
      <c r="V5932" t="str">
        <f>IF(OR(U5932="",U5932="ERRO_CHAVE"),"",IFERROR(MATCH(U5932,Fornecedores!$AF$1:$AF$6631,0),""))</f>
        <v/>
      </c>
      <c r="W5932" t="str">
        <f t="shared" si="3"/>
        <v/>
      </c>
      <c r="X5932" s="4" t="str">
        <f>IF(V5932="","",INDEX(Fornecedores!$X$1:$X$6631,V5932))</f>
        <v/>
      </c>
      <c r="Y5932" s="4" t="str">
        <f t="shared" si="4"/>
        <v/>
      </c>
    </row>
    <row r="5933" spans="19:25">
      <c r="S5933" t="str">
        <f t="shared" si="0"/>
        <v/>
      </c>
      <c r="T5933" t="str">
        <f t="shared" si="1"/>
        <v/>
      </c>
      <c r="U5933" t="str">
        <f t="shared" si="2"/>
        <v/>
      </c>
      <c r="V5933" t="str">
        <f>IF(OR(U5933="",U5933="ERRO_CHAVE"),"",IFERROR(MATCH(U5933,Fornecedores!$AF$1:$AF$6631,0),""))</f>
        <v/>
      </c>
      <c r="W5933" t="str">
        <f t="shared" si="3"/>
        <v/>
      </c>
      <c r="X5933" s="4" t="str">
        <f>IF(V5933="","",INDEX(Fornecedores!$X$1:$X$6631,V5933))</f>
        <v/>
      </c>
      <c r="Y5933" s="4" t="str">
        <f t="shared" si="4"/>
        <v/>
      </c>
    </row>
    <row r="5934" spans="19:25">
      <c r="S5934" t="str">
        <f t="shared" si="0"/>
        <v/>
      </c>
      <c r="T5934" t="str">
        <f t="shared" si="1"/>
        <v/>
      </c>
      <c r="U5934" t="str">
        <f t="shared" si="2"/>
        <v/>
      </c>
      <c r="V5934" t="str">
        <f>IF(OR(U5934="",U5934="ERRO_CHAVE"),"",IFERROR(MATCH(U5934,Fornecedores!$AF$1:$AF$6631,0),""))</f>
        <v/>
      </c>
      <c r="W5934" t="str">
        <f t="shared" si="3"/>
        <v/>
      </c>
      <c r="X5934" s="4" t="str">
        <f>IF(V5934="","",INDEX(Fornecedores!$X$1:$X$6631,V5934))</f>
        <v/>
      </c>
      <c r="Y5934" s="4" t="str">
        <f t="shared" si="4"/>
        <v/>
      </c>
    </row>
    <row r="5935" spans="19:25">
      <c r="S5935" t="str">
        <f t="shared" si="0"/>
        <v/>
      </c>
      <c r="T5935" t="str">
        <f t="shared" si="1"/>
        <v/>
      </c>
      <c r="U5935" t="str">
        <f t="shared" si="2"/>
        <v/>
      </c>
      <c r="V5935" t="str">
        <f>IF(OR(U5935="",U5935="ERRO_CHAVE"),"",IFERROR(MATCH(U5935,Fornecedores!$AF$1:$AF$6631,0),""))</f>
        <v/>
      </c>
      <c r="W5935" t="str">
        <f t="shared" si="3"/>
        <v/>
      </c>
      <c r="X5935" s="4" t="str">
        <f>IF(V5935="","",INDEX(Fornecedores!$X$1:$X$6631,V5935))</f>
        <v/>
      </c>
      <c r="Y5935" s="4" t="str">
        <f t="shared" si="4"/>
        <v/>
      </c>
    </row>
    <row r="5936" spans="19:25">
      <c r="S5936" t="str">
        <f t="shared" si="0"/>
        <v/>
      </c>
      <c r="T5936" t="str">
        <f t="shared" si="1"/>
        <v/>
      </c>
      <c r="U5936" t="str">
        <f t="shared" si="2"/>
        <v/>
      </c>
      <c r="V5936" t="str">
        <f>IF(OR(U5936="",U5936="ERRO_CHAVE"),"",IFERROR(MATCH(U5936,Fornecedores!$AF$1:$AF$6631,0),""))</f>
        <v/>
      </c>
      <c r="W5936" t="str">
        <f t="shared" si="3"/>
        <v/>
      </c>
      <c r="X5936" s="4" t="str">
        <f>IF(V5936="","",INDEX(Fornecedores!$X$1:$X$6631,V5936))</f>
        <v/>
      </c>
      <c r="Y5936" s="4" t="str">
        <f t="shared" si="4"/>
        <v/>
      </c>
    </row>
    <row r="5937" spans="19:25">
      <c r="S5937" t="str">
        <f t="shared" si="0"/>
        <v/>
      </c>
      <c r="T5937" t="str">
        <f t="shared" si="1"/>
        <v/>
      </c>
      <c r="U5937" t="str">
        <f t="shared" si="2"/>
        <v/>
      </c>
      <c r="V5937" t="str">
        <f>IF(OR(U5937="",U5937="ERRO_CHAVE"),"",IFERROR(MATCH(U5937,Fornecedores!$AF$1:$AF$6631,0),""))</f>
        <v/>
      </c>
      <c r="W5937" t="str">
        <f t="shared" si="3"/>
        <v/>
      </c>
      <c r="X5937" s="4" t="str">
        <f>IF(V5937="","",INDEX(Fornecedores!$X$1:$X$6631,V5937))</f>
        <v/>
      </c>
      <c r="Y5937" s="4" t="str">
        <f t="shared" si="4"/>
        <v/>
      </c>
    </row>
    <row r="5938" spans="19:25">
      <c r="S5938" t="str">
        <f t="shared" si="0"/>
        <v/>
      </c>
      <c r="T5938" t="str">
        <f t="shared" si="1"/>
        <v/>
      </c>
      <c r="U5938" t="str">
        <f t="shared" si="2"/>
        <v/>
      </c>
      <c r="V5938" t="str">
        <f>IF(OR(U5938="",U5938="ERRO_CHAVE"),"",IFERROR(MATCH(U5938,Fornecedores!$AF$1:$AF$6631,0),""))</f>
        <v/>
      </c>
      <c r="W5938" t="str">
        <f t="shared" si="3"/>
        <v/>
      </c>
      <c r="X5938" s="4" t="str">
        <f>IF(V5938="","",INDEX(Fornecedores!$X$1:$X$6631,V5938))</f>
        <v/>
      </c>
      <c r="Y5938" s="4" t="str">
        <f t="shared" si="4"/>
        <v/>
      </c>
    </row>
    <row r="5939" spans="19:25">
      <c r="S5939" t="str">
        <f t="shared" si="0"/>
        <v/>
      </c>
      <c r="T5939" t="str">
        <f t="shared" si="1"/>
        <v/>
      </c>
      <c r="U5939" t="str">
        <f t="shared" si="2"/>
        <v/>
      </c>
      <c r="V5939" t="str">
        <f>IF(OR(U5939="",U5939="ERRO_CHAVE"),"",IFERROR(MATCH(U5939,Fornecedores!$AF$1:$AF$6631,0),""))</f>
        <v/>
      </c>
      <c r="W5939" t="str">
        <f t="shared" si="3"/>
        <v/>
      </c>
      <c r="X5939" s="4" t="str">
        <f>IF(V5939="","",INDEX(Fornecedores!$X$1:$X$6631,V5939))</f>
        <v/>
      </c>
      <c r="Y5939" s="4" t="str">
        <f t="shared" si="4"/>
        <v/>
      </c>
    </row>
    <row r="5940" spans="19:25">
      <c r="S5940" t="str">
        <f t="shared" si="0"/>
        <v/>
      </c>
      <c r="T5940" t="str">
        <f t="shared" si="1"/>
        <v/>
      </c>
      <c r="U5940" t="str">
        <f t="shared" si="2"/>
        <v/>
      </c>
      <c r="V5940" t="str">
        <f>IF(OR(U5940="",U5940="ERRO_CHAVE"),"",IFERROR(MATCH(U5940,Fornecedores!$AF$1:$AF$6631,0),""))</f>
        <v/>
      </c>
      <c r="W5940" t="str">
        <f t="shared" si="3"/>
        <v/>
      </c>
      <c r="X5940" s="4" t="str">
        <f>IF(V5940="","",INDEX(Fornecedores!$X$1:$X$6631,V5940))</f>
        <v/>
      </c>
      <c r="Y5940" s="4" t="str">
        <f t="shared" si="4"/>
        <v/>
      </c>
    </row>
    <row r="5941" spans="19:25">
      <c r="S5941" t="str">
        <f t="shared" si="0"/>
        <v/>
      </c>
      <c r="T5941" t="str">
        <f t="shared" si="1"/>
        <v/>
      </c>
      <c r="U5941" t="str">
        <f t="shared" si="2"/>
        <v/>
      </c>
      <c r="V5941" t="str">
        <f>IF(OR(U5941="",U5941="ERRO_CHAVE"),"",IFERROR(MATCH(U5941,Fornecedores!$AF$1:$AF$6631,0),""))</f>
        <v/>
      </c>
      <c r="W5941" t="str">
        <f t="shared" si="3"/>
        <v/>
      </c>
      <c r="X5941" s="4" t="str">
        <f>IF(V5941="","",INDEX(Fornecedores!$X$1:$X$6631,V5941))</f>
        <v/>
      </c>
      <c r="Y5941" s="4" t="str">
        <f t="shared" si="4"/>
        <v/>
      </c>
    </row>
    <row r="5942" spans="19:25">
      <c r="S5942" t="str">
        <f t="shared" si="0"/>
        <v/>
      </c>
      <c r="T5942" t="str">
        <f t="shared" si="1"/>
        <v/>
      </c>
      <c r="U5942" t="str">
        <f t="shared" si="2"/>
        <v/>
      </c>
      <c r="V5942" t="str">
        <f>IF(OR(U5942="",U5942="ERRO_CHAVE"),"",IFERROR(MATCH(U5942,Fornecedores!$AF$1:$AF$6631,0),""))</f>
        <v/>
      </c>
      <c r="W5942" t="str">
        <f t="shared" si="3"/>
        <v/>
      </c>
      <c r="X5942" s="4" t="str">
        <f>IF(V5942="","",INDEX(Fornecedores!$X$1:$X$6631,V5942))</f>
        <v/>
      </c>
      <c r="Y5942" s="4" t="str">
        <f t="shared" si="4"/>
        <v/>
      </c>
    </row>
    <row r="5943" spans="19:25">
      <c r="S5943" t="str">
        <f t="shared" si="0"/>
        <v/>
      </c>
      <c r="T5943" t="str">
        <f t="shared" si="1"/>
        <v/>
      </c>
      <c r="U5943" t="str">
        <f t="shared" si="2"/>
        <v/>
      </c>
      <c r="V5943" t="str">
        <f>IF(OR(U5943="",U5943="ERRO_CHAVE"),"",IFERROR(MATCH(U5943,Fornecedores!$AF$1:$AF$6631,0),""))</f>
        <v/>
      </c>
      <c r="W5943" t="str">
        <f t="shared" si="3"/>
        <v/>
      </c>
      <c r="X5943" s="4" t="str">
        <f>IF(V5943="","",INDEX(Fornecedores!$X$1:$X$6631,V5943))</f>
        <v/>
      </c>
      <c r="Y5943" s="4" t="str">
        <f t="shared" si="4"/>
        <v/>
      </c>
    </row>
    <row r="5944" spans="19:25">
      <c r="S5944" t="str">
        <f t="shared" si="0"/>
        <v/>
      </c>
      <c r="T5944" t="str">
        <f t="shared" si="1"/>
        <v/>
      </c>
      <c r="U5944" t="str">
        <f t="shared" si="2"/>
        <v/>
      </c>
      <c r="V5944" t="str">
        <f>IF(OR(U5944="",U5944="ERRO_CHAVE"),"",IFERROR(MATCH(U5944,Fornecedores!$AF$1:$AF$6631,0),""))</f>
        <v/>
      </c>
      <c r="W5944" t="str">
        <f t="shared" si="3"/>
        <v/>
      </c>
      <c r="X5944" s="4" t="str">
        <f>IF(V5944="","",INDEX(Fornecedores!$X$1:$X$6631,V5944))</f>
        <v/>
      </c>
      <c r="Y5944" s="4" t="str">
        <f t="shared" si="4"/>
        <v/>
      </c>
    </row>
    <row r="5945" spans="19:25">
      <c r="S5945" t="str">
        <f t="shared" si="0"/>
        <v/>
      </c>
      <c r="T5945" t="str">
        <f t="shared" si="1"/>
        <v/>
      </c>
      <c r="U5945" t="str">
        <f t="shared" si="2"/>
        <v/>
      </c>
      <c r="V5945" t="str">
        <f>IF(OR(U5945="",U5945="ERRO_CHAVE"),"",IFERROR(MATCH(U5945,Fornecedores!$AF$1:$AF$6631,0),""))</f>
        <v/>
      </c>
      <c r="W5945" t="str">
        <f t="shared" si="3"/>
        <v/>
      </c>
      <c r="X5945" s="4" t="str">
        <f>IF(V5945="","",INDEX(Fornecedores!$X$1:$X$6631,V5945))</f>
        <v/>
      </c>
      <c r="Y5945" s="4" t="str">
        <f t="shared" si="4"/>
        <v/>
      </c>
    </row>
    <row r="5946" spans="19:25">
      <c r="S5946" t="str">
        <f t="shared" si="0"/>
        <v/>
      </c>
      <c r="T5946" t="str">
        <f t="shared" si="1"/>
        <v/>
      </c>
      <c r="U5946" t="str">
        <f t="shared" si="2"/>
        <v/>
      </c>
      <c r="V5946" t="str">
        <f>IF(OR(U5946="",U5946="ERRO_CHAVE"),"",IFERROR(MATCH(U5946,Fornecedores!$AF$1:$AF$6631,0),""))</f>
        <v/>
      </c>
      <c r="W5946" t="str">
        <f t="shared" si="3"/>
        <v/>
      </c>
      <c r="X5946" s="4" t="str">
        <f>IF(V5946="","",INDEX(Fornecedores!$X$1:$X$6631,V5946))</f>
        <v/>
      </c>
      <c r="Y5946" s="4" t="str">
        <f t="shared" si="4"/>
        <v/>
      </c>
    </row>
    <row r="5947" spans="19:25">
      <c r="S5947" t="str">
        <f t="shared" si="0"/>
        <v/>
      </c>
      <c r="T5947" t="str">
        <f t="shared" si="1"/>
        <v/>
      </c>
      <c r="U5947" t="str">
        <f t="shared" si="2"/>
        <v/>
      </c>
      <c r="V5947" t="str">
        <f>IF(OR(U5947="",U5947="ERRO_CHAVE"),"",IFERROR(MATCH(U5947,Fornecedores!$AF$1:$AF$6631,0),""))</f>
        <v/>
      </c>
      <c r="W5947" t="str">
        <f t="shared" si="3"/>
        <v/>
      </c>
      <c r="X5947" s="4" t="str">
        <f>IF(V5947="","",INDEX(Fornecedores!$X$1:$X$6631,V5947))</f>
        <v/>
      </c>
      <c r="Y5947" s="4" t="str">
        <f t="shared" si="4"/>
        <v/>
      </c>
    </row>
    <row r="5948" spans="19:25">
      <c r="S5948" t="str">
        <f t="shared" si="0"/>
        <v/>
      </c>
      <c r="T5948" t="str">
        <f t="shared" si="1"/>
        <v/>
      </c>
      <c r="U5948" t="str">
        <f t="shared" si="2"/>
        <v/>
      </c>
      <c r="V5948" t="str">
        <f>IF(OR(U5948="",U5948="ERRO_CHAVE"),"",IFERROR(MATCH(U5948,Fornecedores!$AF$1:$AF$6631,0),""))</f>
        <v/>
      </c>
      <c r="W5948" t="str">
        <f t="shared" si="3"/>
        <v/>
      </c>
      <c r="X5948" s="4" t="str">
        <f>IF(V5948="","",INDEX(Fornecedores!$X$1:$X$6631,V5948))</f>
        <v/>
      </c>
      <c r="Y5948" s="4" t="str">
        <f t="shared" si="4"/>
        <v/>
      </c>
    </row>
    <row r="5949" spans="19:25">
      <c r="S5949" t="str">
        <f t="shared" si="0"/>
        <v/>
      </c>
      <c r="T5949" t="str">
        <f t="shared" si="1"/>
        <v/>
      </c>
      <c r="U5949" t="str">
        <f t="shared" si="2"/>
        <v/>
      </c>
      <c r="V5949" t="str">
        <f>IF(OR(U5949="",U5949="ERRO_CHAVE"),"",IFERROR(MATCH(U5949,Fornecedores!$AF$1:$AF$6631,0),""))</f>
        <v/>
      </c>
      <c r="W5949" t="str">
        <f t="shared" si="3"/>
        <v/>
      </c>
      <c r="X5949" s="4" t="str">
        <f>IF(V5949="","",INDEX(Fornecedores!$X$1:$X$6631,V5949))</f>
        <v/>
      </c>
      <c r="Y5949" s="4" t="str">
        <f t="shared" si="4"/>
        <v/>
      </c>
    </row>
    <row r="5950" spans="19:25">
      <c r="S5950" t="str">
        <f t="shared" si="0"/>
        <v/>
      </c>
      <c r="T5950" t="str">
        <f t="shared" si="1"/>
        <v/>
      </c>
      <c r="U5950" t="str">
        <f t="shared" si="2"/>
        <v/>
      </c>
      <c r="V5950" t="str">
        <f>IF(OR(U5950="",U5950="ERRO_CHAVE"),"",IFERROR(MATCH(U5950,Fornecedores!$AF$1:$AF$6631,0),""))</f>
        <v/>
      </c>
      <c r="W5950" t="str">
        <f t="shared" si="3"/>
        <v/>
      </c>
      <c r="X5950" s="4" t="str">
        <f>IF(V5950="","",INDEX(Fornecedores!$X$1:$X$6631,V5950))</f>
        <v/>
      </c>
      <c r="Y5950" s="4" t="str">
        <f t="shared" si="4"/>
        <v/>
      </c>
    </row>
    <row r="5951" spans="19:25">
      <c r="S5951" t="str">
        <f t="shared" si="0"/>
        <v/>
      </c>
      <c r="T5951" t="str">
        <f t="shared" si="1"/>
        <v/>
      </c>
      <c r="U5951" t="str">
        <f t="shared" si="2"/>
        <v/>
      </c>
      <c r="V5951" t="str">
        <f>IF(OR(U5951="",U5951="ERRO_CHAVE"),"",IFERROR(MATCH(U5951,Fornecedores!$AF$1:$AF$6631,0),""))</f>
        <v/>
      </c>
      <c r="W5951" t="str">
        <f t="shared" si="3"/>
        <v/>
      </c>
      <c r="X5951" s="4" t="str">
        <f>IF(V5951="","",INDEX(Fornecedores!$X$1:$X$6631,V5951))</f>
        <v/>
      </c>
      <c r="Y5951" s="4" t="str">
        <f t="shared" si="4"/>
        <v/>
      </c>
    </row>
    <row r="5952" spans="19:25">
      <c r="S5952" t="str">
        <f t="shared" si="0"/>
        <v/>
      </c>
      <c r="T5952" t="str">
        <f t="shared" si="1"/>
        <v/>
      </c>
      <c r="U5952" t="str">
        <f t="shared" si="2"/>
        <v/>
      </c>
      <c r="V5952" t="str">
        <f>IF(OR(U5952="",U5952="ERRO_CHAVE"),"",IFERROR(MATCH(U5952,Fornecedores!$AF$1:$AF$6631,0),""))</f>
        <v/>
      </c>
      <c r="W5952" t="str">
        <f t="shared" si="3"/>
        <v/>
      </c>
      <c r="X5952" s="4" t="str">
        <f>IF(V5952="","",INDEX(Fornecedores!$X$1:$X$6631,V5952))</f>
        <v/>
      </c>
      <c r="Y5952" s="4" t="str">
        <f t="shared" si="4"/>
        <v/>
      </c>
    </row>
    <row r="5953" spans="19:25">
      <c r="S5953" t="str">
        <f t="shared" si="0"/>
        <v/>
      </c>
      <c r="T5953" t="str">
        <f t="shared" si="1"/>
        <v/>
      </c>
      <c r="U5953" t="str">
        <f t="shared" si="2"/>
        <v/>
      </c>
      <c r="V5953" t="str">
        <f>IF(OR(U5953="",U5953="ERRO_CHAVE"),"",IFERROR(MATCH(U5953,Fornecedores!$AF$1:$AF$6631,0),""))</f>
        <v/>
      </c>
      <c r="W5953" t="str">
        <f t="shared" si="3"/>
        <v/>
      </c>
      <c r="X5953" s="4" t="str">
        <f>IF(V5953="","",INDEX(Fornecedores!$X$1:$X$6631,V5953))</f>
        <v/>
      </c>
      <c r="Y5953" s="4" t="str">
        <f t="shared" si="4"/>
        <v/>
      </c>
    </row>
    <row r="5954" spans="19:25">
      <c r="S5954" t="str">
        <f t="shared" si="0"/>
        <v/>
      </c>
      <c r="T5954" t="str">
        <f t="shared" si="1"/>
        <v/>
      </c>
      <c r="U5954" t="str">
        <f t="shared" si="2"/>
        <v/>
      </c>
      <c r="V5954" t="str">
        <f>IF(OR(U5954="",U5954="ERRO_CHAVE"),"",IFERROR(MATCH(U5954,Fornecedores!$AF$1:$AF$6631,0),""))</f>
        <v/>
      </c>
      <c r="W5954" t="str">
        <f t="shared" si="3"/>
        <v/>
      </c>
      <c r="X5954" s="4" t="str">
        <f>IF(V5954="","",INDEX(Fornecedores!$X$1:$X$6631,V5954))</f>
        <v/>
      </c>
      <c r="Y5954" s="4" t="str">
        <f t="shared" si="4"/>
        <v/>
      </c>
    </row>
    <row r="5955" spans="19:25">
      <c r="S5955" t="str">
        <f t="shared" si="0"/>
        <v/>
      </c>
      <c r="T5955" t="str">
        <f t="shared" si="1"/>
        <v/>
      </c>
      <c r="U5955" t="str">
        <f t="shared" si="2"/>
        <v/>
      </c>
      <c r="V5955" t="str">
        <f>IF(OR(U5955="",U5955="ERRO_CHAVE"),"",IFERROR(MATCH(U5955,Fornecedores!$AF$1:$AF$6631,0),""))</f>
        <v/>
      </c>
      <c r="W5955" t="str">
        <f t="shared" si="3"/>
        <v/>
      </c>
      <c r="X5955" s="4" t="str">
        <f>IF(V5955="","",INDEX(Fornecedores!$X$1:$X$6631,V5955))</f>
        <v/>
      </c>
      <c r="Y5955" s="4" t="str">
        <f t="shared" si="4"/>
        <v/>
      </c>
    </row>
    <row r="5956" spans="19:25">
      <c r="S5956" t="str">
        <f t="shared" si="0"/>
        <v/>
      </c>
      <c r="T5956" t="str">
        <f t="shared" si="1"/>
        <v/>
      </c>
      <c r="U5956" t="str">
        <f t="shared" si="2"/>
        <v/>
      </c>
      <c r="V5956" t="str">
        <f>IF(OR(U5956="",U5956="ERRO_CHAVE"),"",IFERROR(MATCH(U5956,Fornecedores!$AF$1:$AF$6631,0),""))</f>
        <v/>
      </c>
      <c r="W5956" t="str">
        <f t="shared" si="3"/>
        <v/>
      </c>
      <c r="X5956" s="4" t="str">
        <f>IF(V5956="","",INDEX(Fornecedores!$X$1:$X$6631,V5956))</f>
        <v/>
      </c>
      <c r="Y5956" s="4" t="str">
        <f t="shared" si="4"/>
        <v/>
      </c>
    </row>
    <row r="5957" spans="19:25">
      <c r="S5957" t="str">
        <f t="shared" si="0"/>
        <v/>
      </c>
      <c r="T5957" t="str">
        <f t="shared" si="1"/>
        <v/>
      </c>
      <c r="U5957" t="str">
        <f t="shared" si="2"/>
        <v/>
      </c>
      <c r="V5957" t="str">
        <f>IF(OR(U5957="",U5957="ERRO_CHAVE"),"",IFERROR(MATCH(U5957,Fornecedores!$AF$1:$AF$6631,0),""))</f>
        <v/>
      </c>
      <c r="W5957" t="str">
        <f t="shared" si="3"/>
        <v/>
      </c>
      <c r="X5957" s="4" t="str">
        <f>IF(V5957="","",INDEX(Fornecedores!$X$1:$X$6631,V5957))</f>
        <v/>
      </c>
      <c r="Y5957" s="4" t="str">
        <f t="shared" si="4"/>
        <v/>
      </c>
    </row>
    <row r="5958" spans="19:25">
      <c r="S5958" t="str">
        <f t="shared" si="0"/>
        <v/>
      </c>
      <c r="T5958" t="str">
        <f t="shared" si="1"/>
        <v/>
      </c>
      <c r="U5958" t="str">
        <f t="shared" si="2"/>
        <v/>
      </c>
      <c r="V5958" t="str">
        <f>IF(OR(U5958="",U5958="ERRO_CHAVE"),"",IFERROR(MATCH(U5958,Fornecedores!$AF$1:$AF$6631,0),""))</f>
        <v/>
      </c>
      <c r="W5958" t="str">
        <f t="shared" si="3"/>
        <v/>
      </c>
      <c r="X5958" s="4" t="str">
        <f>IF(V5958="","",INDEX(Fornecedores!$X$1:$X$6631,V5958))</f>
        <v/>
      </c>
      <c r="Y5958" s="4" t="str">
        <f t="shared" si="4"/>
        <v/>
      </c>
    </row>
    <row r="5959" spans="19:25">
      <c r="S5959" t="str">
        <f t="shared" si="0"/>
        <v/>
      </c>
      <c r="T5959" t="str">
        <f t="shared" si="1"/>
        <v/>
      </c>
      <c r="U5959" t="str">
        <f t="shared" si="2"/>
        <v/>
      </c>
      <c r="V5959" t="str">
        <f>IF(OR(U5959="",U5959="ERRO_CHAVE"),"",IFERROR(MATCH(U5959,Fornecedores!$AF$1:$AF$6631,0),""))</f>
        <v/>
      </c>
      <c r="W5959" t="str">
        <f t="shared" si="3"/>
        <v/>
      </c>
      <c r="X5959" s="4" t="str">
        <f>IF(V5959="","",INDEX(Fornecedores!$X$1:$X$6631,V5959))</f>
        <v/>
      </c>
      <c r="Y5959" s="4" t="str">
        <f t="shared" si="4"/>
        <v/>
      </c>
    </row>
    <row r="5960" spans="19:25">
      <c r="S5960" t="str">
        <f t="shared" si="0"/>
        <v/>
      </c>
      <c r="T5960" t="str">
        <f t="shared" si="1"/>
        <v/>
      </c>
      <c r="U5960" t="str">
        <f t="shared" si="2"/>
        <v/>
      </c>
      <c r="V5960" t="str">
        <f>IF(OR(U5960="",U5960="ERRO_CHAVE"),"",IFERROR(MATCH(U5960,Fornecedores!$AF$1:$AF$6631,0),""))</f>
        <v/>
      </c>
      <c r="W5960" t="str">
        <f t="shared" si="3"/>
        <v/>
      </c>
      <c r="X5960" s="4" t="str">
        <f>IF(V5960="","",INDEX(Fornecedores!$X$1:$X$6631,V5960))</f>
        <v/>
      </c>
      <c r="Y5960" s="4" t="str">
        <f t="shared" si="4"/>
        <v/>
      </c>
    </row>
    <row r="5961" spans="19:25">
      <c r="S5961" t="str">
        <f t="shared" si="0"/>
        <v/>
      </c>
      <c r="T5961" t="str">
        <f t="shared" si="1"/>
        <v/>
      </c>
      <c r="U5961" t="str">
        <f t="shared" si="2"/>
        <v/>
      </c>
      <c r="V5961" t="str">
        <f>IF(OR(U5961="",U5961="ERRO_CHAVE"),"",IFERROR(MATCH(U5961,Fornecedores!$AF$1:$AF$6631,0),""))</f>
        <v/>
      </c>
      <c r="W5961" t="str">
        <f t="shared" si="3"/>
        <v/>
      </c>
      <c r="X5961" s="4" t="str">
        <f>IF(V5961="","",INDEX(Fornecedores!$X$1:$X$6631,V5961))</f>
        <v/>
      </c>
      <c r="Y5961" s="4" t="str">
        <f t="shared" si="4"/>
        <v/>
      </c>
    </row>
    <row r="5962" spans="19:25">
      <c r="S5962" t="str">
        <f t="shared" si="0"/>
        <v/>
      </c>
      <c r="T5962" t="str">
        <f t="shared" si="1"/>
        <v/>
      </c>
      <c r="U5962" t="str">
        <f t="shared" si="2"/>
        <v/>
      </c>
      <c r="V5962" t="str">
        <f>IF(OR(U5962="",U5962="ERRO_CHAVE"),"",IFERROR(MATCH(U5962,Fornecedores!$AF$1:$AF$6631,0),""))</f>
        <v/>
      </c>
      <c r="W5962" t="str">
        <f t="shared" si="3"/>
        <v/>
      </c>
      <c r="X5962" s="4" t="str">
        <f>IF(V5962="","",INDEX(Fornecedores!$X$1:$X$6631,V5962))</f>
        <v/>
      </c>
      <c r="Y5962" s="4" t="str">
        <f t="shared" si="4"/>
        <v/>
      </c>
    </row>
    <row r="5963" spans="19:25">
      <c r="S5963" t="str">
        <f t="shared" si="0"/>
        <v/>
      </c>
      <c r="T5963" t="str">
        <f t="shared" si="1"/>
        <v/>
      </c>
      <c r="U5963" t="str">
        <f t="shared" si="2"/>
        <v/>
      </c>
      <c r="V5963" t="str">
        <f>IF(OR(U5963="",U5963="ERRO_CHAVE"),"",IFERROR(MATCH(U5963,Fornecedores!$AF$1:$AF$6631,0),""))</f>
        <v/>
      </c>
      <c r="W5963" t="str">
        <f t="shared" si="3"/>
        <v/>
      </c>
      <c r="X5963" s="4" t="str">
        <f>IF(V5963="","",INDEX(Fornecedores!$X$1:$X$6631,V5963))</f>
        <v/>
      </c>
      <c r="Y5963" s="4" t="str">
        <f t="shared" si="4"/>
        <v/>
      </c>
    </row>
    <row r="5964" spans="19:25">
      <c r="S5964" t="str">
        <f t="shared" si="0"/>
        <v/>
      </c>
      <c r="T5964" t="str">
        <f t="shared" si="1"/>
        <v/>
      </c>
      <c r="U5964" t="str">
        <f t="shared" si="2"/>
        <v/>
      </c>
      <c r="V5964" t="str">
        <f>IF(OR(U5964="",U5964="ERRO_CHAVE"),"",IFERROR(MATCH(U5964,Fornecedores!$AF$1:$AF$6631,0),""))</f>
        <v/>
      </c>
      <c r="W5964" t="str">
        <f t="shared" si="3"/>
        <v/>
      </c>
      <c r="X5964" s="4" t="str">
        <f>IF(V5964="","",INDEX(Fornecedores!$X$1:$X$6631,V5964))</f>
        <v/>
      </c>
      <c r="Y5964" s="4" t="str">
        <f t="shared" si="4"/>
        <v/>
      </c>
    </row>
    <row r="5965" spans="19:25">
      <c r="S5965" t="str">
        <f t="shared" si="0"/>
        <v/>
      </c>
      <c r="T5965" t="str">
        <f t="shared" si="1"/>
        <v/>
      </c>
      <c r="U5965" t="str">
        <f t="shared" si="2"/>
        <v/>
      </c>
      <c r="V5965" t="str">
        <f>IF(OR(U5965="",U5965="ERRO_CHAVE"),"",IFERROR(MATCH(U5965,Fornecedores!$AF$1:$AF$6631,0),""))</f>
        <v/>
      </c>
      <c r="W5965" t="str">
        <f t="shared" si="3"/>
        <v/>
      </c>
      <c r="X5965" s="4" t="str">
        <f>IF(V5965="","",INDEX(Fornecedores!$X$1:$X$6631,V5965))</f>
        <v/>
      </c>
      <c r="Y5965" s="4" t="str">
        <f t="shared" si="4"/>
        <v/>
      </c>
    </row>
    <row r="5966" spans="19:25">
      <c r="S5966" t="str">
        <f t="shared" si="0"/>
        <v/>
      </c>
      <c r="T5966" t="str">
        <f t="shared" si="1"/>
        <v/>
      </c>
      <c r="U5966" t="str">
        <f t="shared" si="2"/>
        <v/>
      </c>
      <c r="V5966" t="str">
        <f>IF(OR(U5966="",U5966="ERRO_CHAVE"),"",IFERROR(MATCH(U5966,Fornecedores!$AF$1:$AF$6631,0),""))</f>
        <v/>
      </c>
      <c r="W5966" t="str">
        <f t="shared" si="3"/>
        <v/>
      </c>
      <c r="X5966" s="4" t="str">
        <f>IF(V5966="","",INDEX(Fornecedores!$X$1:$X$6631,V5966))</f>
        <v/>
      </c>
      <c r="Y5966" s="4" t="str">
        <f t="shared" si="4"/>
        <v/>
      </c>
    </row>
    <row r="5967" spans="19:25">
      <c r="S5967" t="str">
        <f t="shared" si="0"/>
        <v/>
      </c>
      <c r="T5967" t="str">
        <f t="shared" si="1"/>
        <v/>
      </c>
      <c r="U5967" t="str">
        <f t="shared" si="2"/>
        <v/>
      </c>
      <c r="V5967" t="str">
        <f>IF(OR(U5967="",U5967="ERRO_CHAVE"),"",IFERROR(MATCH(U5967,Fornecedores!$AF$1:$AF$6631,0),""))</f>
        <v/>
      </c>
      <c r="W5967" t="str">
        <f t="shared" si="3"/>
        <v/>
      </c>
      <c r="X5967" s="4" t="str">
        <f>IF(V5967="","",INDEX(Fornecedores!$X$1:$X$6631,V5967))</f>
        <v/>
      </c>
      <c r="Y5967" s="4" t="str">
        <f t="shared" si="4"/>
        <v/>
      </c>
    </row>
    <row r="5968" spans="19:25">
      <c r="S5968" t="str">
        <f t="shared" si="0"/>
        <v/>
      </c>
      <c r="T5968" t="str">
        <f t="shared" si="1"/>
        <v/>
      </c>
      <c r="U5968" t="str">
        <f t="shared" si="2"/>
        <v/>
      </c>
      <c r="V5968" t="str">
        <f>IF(OR(U5968="",U5968="ERRO_CHAVE"),"",IFERROR(MATCH(U5968,Fornecedores!$AF$1:$AF$6631,0),""))</f>
        <v/>
      </c>
      <c r="W5968" t="str">
        <f t="shared" si="3"/>
        <v/>
      </c>
      <c r="X5968" s="4" t="str">
        <f>IF(V5968="","",INDEX(Fornecedores!$X$1:$X$6631,V5968))</f>
        <v/>
      </c>
      <c r="Y5968" s="4" t="str">
        <f t="shared" si="4"/>
        <v/>
      </c>
    </row>
    <row r="5969" spans="19:25">
      <c r="S5969" t="str">
        <f t="shared" si="0"/>
        <v/>
      </c>
      <c r="T5969" t="str">
        <f t="shared" si="1"/>
        <v/>
      </c>
      <c r="U5969" t="str">
        <f t="shared" si="2"/>
        <v/>
      </c>
      <c r="V5969" t="str">
        <f>IF(OR(U5969="",U5969="ERRO_CHAVE"),"",IFERROR(MATCH(U5969,Fornecedores!$AF$1:$AF$6631,0),""))</f>
        <v/>
      </c>
      <c r="W5969" t="str">
        <f t="shared" si="3"/>
        <v/>
      </c>
      <c r="X5969" s="4" t="str">
        <f>IF(V5969="","",INDEX(Fornecedores!$X$1:$X$6631,V5969))</f>
        <v/>
      </c>
      <c r="Y5969" s="4" t="str">
        <f t="shared" si="4"/>
        <v/>
      </c>
    </row>
    <row r="5970" spans="19:25">
      <c r="S5970" t="str">
        <f t="shared" si="0"/>
        <v/>
      </c>
      <c r="T5970" t="str">
        <f t="shared" si="1"/>
        <v/>
      </c>
      <c r="U5970" t="str">
        <f t="shared" si="2"/>
        <v/>
      </c>
      <c r="V5970" t="str">
        <f>IF(OR(U5970="",U5970="ERRO_CHAVE"),"",IFERROR(MATCH(U5970,Fornecedores!$AF$1:$AF$6631,0),""))</f>
        <v/>
      </c>
      <c r="W5970" t="str">
        <f t="shared" si="3"/>
        <v/>
      </c>
      <c r="X5970" s="4" t="str">
        <f>IF(V5970="","",INDEX(Fornecedores!$X$1:$X$6631,V5970))</f>
        <v/>
      </c>
      <c r="Y5970" s="4" t="str">
        <f t="shared" si="4"/>
        <v/>
      </c>
    </row>
    <row r="5971" spans="19:25">
      <c r="S5971" t="str">
        <f t="shared" si="0"/>
        <v/>
      </c>
      <c r="T5971" t="str">
        <f t="shared" si="1"/>
        <v/>
      </c>
      <c r="U5971" t="str">
        <f t="shared" si="2"/>
        <v/>
      </c>
      <c r="V5971" t="str">
        <f>IF(OR(U5971="",U5971="ERRO_CHAVE"),"",IFERROR(MATCH(U5971,Fornecedores!$AF$1:$AF$6631,0),""))</f>
        <v/>
      </c>
      <c r="W5971" t="str">
        <f t="shared" si="3"/>
        <v/>
      </c>
      <c r="X5971" s="4" t="str">
        <f>IF(V5971="","",INDEX(Fornecedores!$X$1:$X$6631,V5971))</f>
        <v/>
      </c>
      <c r="Y5971" s="4" t="str">
        <f t="shared" si="4"/>
        <v/>
      </c>
    </row>
    <row r="5972" spans="19:25">
      <c r="S5972" t="str">
        <f t="shared" si="0"/>
        <v/>
      </c>
      <c r="T5972" t="str">
        <f t="shared" si="1"/>
        <v/>
      </c>
      <c r="U5972" t="str">
        <f t="shared" si="2"/>
        <v/>
      </c>
      <c r="V5972" t="str">
        <f>IF(OR(U5972="",U5972="ERRO_CHAVE"),"",IFERROR(MATCH(U5972,Fornecedores!$AF$1:$AF$6631,0),""))</f>
        <v/>
      </c>
      <c r="W5972" t="str">
        <f t="shared" si="3"/>
        <v/>
      </c>
      <c r="X5972" s="4" t="str">
        <f>IF(V5972="","",INDEX(Fornecedores!$X$1:$X$6631,V5972))</f>
        <v/>
      </c>
      <c r="Y5972" s="4" t="str">
        <f t="shared" si="4"/>
        <v/>
      </c>
    </row>
    <row r="5973" spans="19:25">
      <c r="S5973" t="str">
        <f t="shared" si="0"/>
        <v/>
      </c>
      <c r="T5973" t="str">
        <f t="shared" si="1"/>
        <v/>
      </c>
      <c r="U5973" t="str">
        <f t="shared" si="2"/>
        <v/>
      </c>
      <c r="V5973" t="str">
        <f>IF(OR(U5973="",U5973="ERRO_CHAVE"),"",IFERROR(MATCH(U5973,Fornecedores!$AF$1:$AF$6631,0),""))</f>
        <v/>
      </c>
      <c r="W5973" t="str">
        <f t="shared" si="3"/>
        <v/>
      </c>
      <c r="X5973" s="4" t="str">
        <f>IF(V5973="","",INDEX(Fornecedores!$X$1:$X$6631,V5973))</f>
        <v/>
      </c>
      <c r="Y5973" s="4" t="str">
        <f t="shared" si="4"/>
        <v/>
      </c>
    </row>
    <row r="5974" spans="19:25">
      <c r="S5974" t="str">
        <f t="shared" si="0"/>
        <v/>
      </c>
      <c r="T5974" t="str">
        <f t="shared" si="1"/>
        <v/>
      </c>
      <c r="U5974" t="str">
        <f t="shared" si="2"/>
        <v/>
      </c>
      <c r="V5974" t="str">
        <f>IF(OR(U5974="",U5974="ERRO_CHAVE"),"",IFERROR(MATCH(U5974,Fornecedores!$AF$1:$AF$6631,0),""))</f>
        <v/>
      </c>
      <c r="W5974" t="str">
        <f t="shared" si="3"/>
        <v/>
      </c>
      <c r="X5974" s="4" t="str">
        <f>IF(V5974="","",INDEX(Fornecedores!$X$1:$X$6631,V5974))</f>
        <v/>
      </c>
      <c r="Y5974" s="4" t="str">
        <f t="shared" si="4"/>
        <v/>
      </c>
    </row>
    <row r="5975" spans="19:25">
      <c r="S5975" t="str">
        <f t="shared" si="0"/>
        <v/>
      </c>
      <c r="T5975" t="str">
        <f t="shared" si="1"/>
        <v/>
      </c>
      <c r="U5975" t="str">
        <f t="shared" si="2"/>
        <v/>
      </c>
      <c r="V5975" t="str">
        <f>IF(OR(U5975="",U5975="ERRO_CHAVE"),"",IFERROR(MATCH(U5975,Fornecedores!$AF$1:$AF$6631,0),""))</f>
        <v/>
      </c>
      <c r="W5975" t="str">
        <f t="shared" si="3"/>
        <v/>
      </c>
      <c r="X5975" s="4" t="str">
        <f>IF(V5975="","",INDEX(Fornecedores!$X$1:$X$6631,V5975))</f>
        <v/>
      </c>
      <c r="Y5975" s="4" t="str">
        <f t="shared" si="4"/>
        <v/>
      </c>
    </row>
    <row r="5976" spans="19:25">
      <c r="S5976" t="str">
        <f t="shared" si="0"/>
        <v/>
      </c>
      <c r="T5976" t="str">
        <f t="shared" si="1"/>
        <v/>
      </c>
      <c r="U5976" t="str">
        <f t="shared" si="2"/>
        <v/>
      </c>
      <c r="V5976" t="str">
        <f>IF(OR(U5976="",U5976="ERRO_CHAVE"),"",IFERROR(MATCH(U5976,Fornecedores!$AF$1:$AF$6631,0),""))</f>
        <v/>
      </c>
      <c r="W5976" t="str">
        <f t="shared" si="3"/>
        <v/>
      </c>
      <c r="X5976" s="4" t="str">
        <f>IF(V5976="","",INDEX(Fornecedores!$X$1:$X$6631,V5976))</f>
        <v/>
      </c>
      <c r="Y5976" s="4" t="str">
        <f t="shared" si="4"/>
        <v/>
      </c>
    </row>
    <row r="5977" spans="19:25">
      <c r="S5977" t="str">
        <f t="shared" si="0"/>
        <v/>
      </c>
      <c r="T5977" t="str">
        <f t="shared" si="1"/>
        <v/>
      </c>
      <c r="U5977" t="str">
        <f t="shared" si="2"/>
        <v/>
      </c>
      <c r="V5977" t="str">
        <f>IF(OR(U5977="",U5977="ERRO_CHAVE"),"",IFERROR(MATCH(U5977,Fornecedores!$AF$1:$AF$6631,0),""))</f>
        <v/>
      </c>
      <c r="W5977" t="str">
        <f t="shared" si="3"/>
        <v/>
      </c>
      <c r="X5977" s="4" t="str">
        <f>IF(V5977="","",INDEX(Fornecedores!$X$1:$X$6631,V5977))</f>
        <v/>
      </c>
      <c r="Y5977" s="4" t="str">
        <f t="shared" si="4"/>
        <v/>
      </c>
    </row>
    <row r="5978" spans="19:25">
      <c r="S5978" t="str">
        <f t="shared" si="0"/>
        <v/>
      </c>
      <c r="T5978" t="str">
        <f t="shared" si="1"/>
        <v/>
      </c>
      <c r="U5978" t="str">
        <f t="shared" si="2"/>
        <v/>
      </c>
      <c r="V5978" t="str">
        <f>IF(OR(U5978="",U5978="ERRO_CHAVE"),"",IFERROR(MATCH(U5978,Fornecedores!$AF$1:$AF$6631,0),""))</f>
        <v/>
      </c>
      <c r="W5978" t="str">
        <f t="shared" si="3"/>
        <v/>
      </c>
      <c r="X5978" s="4" t="str">
        <f>IF(V5978="","",INDEX(Fornecedores!$X$1:$X$6631,V5978))</f>
        <v/>
      </c>
      <c r="Y5978" s="4" t="str">
        <f t="shared" si="4"/>
        <v/>
      </c>
    </row>
    <row r="5979" spans="19:25">
      <c r="S5979" t="str">
        <f t="shared" si="0"/>
        <v/>
      </c>
      <c r="T5979" t="str">
        <f t="shared" si="1"/>
        <v/>
      </c>
      <c r="U5979" t="str">
        <f t="shared" si="2"/>
        <v/>
      </c>
      <c r="V5979" t="str">
        <f>IF(OR(U5979="",U5979="ERRO_CHAVE"),"",IFERROR(MATCH(U5979,Fornecedores!$AF$1:$AF$6631,0),""))</f>
        <v/>
      </c>
      <c r="W5979" t="str">
        <f t="shared" si="3"/>
        <v/>
      </c>
      <c r="X5979" s="4" t="str">
        <f>IF(V5979="","",INDEX(Fornecedores!$X$1:$X$6631,V5979))</f>
        <v/>
      </c>
      <c r="Y5979" s="4" t="str">
        <f t="shared" si="4"/>
        <v/>
      </c>
    </row>
    <row r="5980" spans="19:25">
      <c r="S5980" t="str">
        <f t="shared" si="0"/>
        <v/>
      </c>
      <c r="T5980" t="str">
        <f t="shared" si="1"/>
        <v/>
      </c>
      <c r="U5980" t="str">
        <f t="shared" si="2"/>
        <v/>
      </c>
      <c r="V5980" t="str">
        <f>IF(OR(U5980="",U5980="ERRO_CHAVE"),"",IFERROR(MATCH(U5980,Fornecedores!$AF$1:$AF$6631,0),""))</f>
        <v/>
      </c>
      <c r="W5980" t="str">
        <f t="shared" si="3"/>
        <v/>
      </c>
      <c r="X5980" s="4" t="str">
        <f>IF(V5980="","",INDEX(Fornecedores!$X$1:$X$6631,V5980))</f>
        <v/>
      </c>
      <c r="Y5980" s="4" t="str">
        <f t="shared" si="4"/>
        <v/>
      </c>
    </row>
    <row r="5981" spans="19:25">
      <c r="S5981" t="str">
        <f t="shared" si="0"/>
        <v/>
      </c>
      <c r="T5981" t="str">
        <f t="shared" si="1"/>
        <v/>
      </c>
      <c r="U5981" t="str">
        <f t="shared" si="2"/>
        <v/>
      </c>
      <c r="V5981" t="str">
        <f>IF(OR(U5981="",U5981="ERRO_CHAVE"),"",IFERROR(MATCH(U5981,Fornecedores!$AF$1:$AF$6631,0),""))</f>
        <v/>
      </c>
      <c r="W5981" t="str">
        <f t="shared" si="3"/>
        <v/>
      </c>
      <c r="X5981" s="4" t="str">
        <f>IF(V5981="","",INDEX(Fornecedores!$X$1:$X$6631,V5981))</f>
        <v/>
      </c>
      <c r="Y5981" s="4" t="str">
        <f t="shared" si="4"/>
        <v/>
      </c>
    </row>
    <row r="5982" spans="19:25">
      <c r="S5982" t="str">
        <f t="shared" si="0"/>
        <v/>
      </c>
      <c r="T5982" t="str">
        <f t="shared" si="1"/>
        <v/>
      </c>
      <c r="U5982" t="str">
        <f t="shared" si="2"/>
        <v/>
      </c>
      <c r="V5982" t="str">
        <f>IF(OR(U5982="",U5982="ERRO_CHAVE"),"",IFERROR(MATCH(U5982,Fornecedores!$AF$1:$AF$6631,0),""))</f>
        <v/>
      </c>
      <c r="W5982" t="str">
        <f t="shared" si="3"/>
        <v/>
      </c>
      <c r="X5982" s="4" t="str">
        <f>IF(V5982="","",INDEX(Fornecedores!$X$1:$X$6631,V5982))</f>
        <v/>
      </c>
      <c r="Y5982" s="4" t="str">
        <f t="shared" si="4"/>
        <v/>
      </c>
    </row>
    <row r="5983" spans="19:25">
      <c r="S5983" t="str">
        <f t="shared" si="0"/>
        <v/>
      </c>
      <c r="T5983" t="str">
        <f t="shared" si="1"/>
        <v/>
      </c>
      <c r="U5983" t="str">
        <f t="shared" si="2"/>
        <v/>
      </c>
      <c r="V5983" t="str">
        <f>IF(OR(U5983="",U5983="ERRO_CHAVE"),"",IFERROR(MATCH(U5983,Fornecedores!$AF$1:$AF$6631,0),""))</f>
        <v/>
      </c>
      <c r="W5983" t="str">
        <f t="shared" si="3"/>
        <v/>
      </c>
      <c r="X5983" s="4" t="str">
        <f>IF(V5983="","",INDEX(Fornecedores!$X$1:$X$6631,V5983))</f>
        <v/>
      </c>
      <c r="Y5983" s="4" t="str">
        <f t="shared" si="4"/>
        <v/>
      </c>
    </row>
    <row r="5984" spans="19:25">
      <c r="S5984" t="str">
        <f t="shared" si="0"/>
        <v/>
      </c>
      <c r="T5984" t="str">
        <f t="shared" si="1"/>
        <v/>
      </c>
      <c r="U5984" t="str">
        <f t="shared" si="2"/>
        <v/>
      </c>
      <c r="V5984" t="str">
        <f>IF(OR(U5984="",U5984="ERRO_CHAVE"),"",IFERROR(MATCH(U5984,Fornecedores!$AF$1:$AF$6631,0),""))</f>
        <v/>
      </c>
      <c r="W5984" t="str">
        <f t="shared" si="3"/>
        <v/>
      </c>
      <c r="X5984" s="4" t="str">
        <f>IF(V5984="","",INDEX(Fornecedores!$X$1:$X$6631,V5984))</f>
        <v/>
      </c>
      <c r="Y5984" s="4" t="str">
        <f t="shared" si="4"/>
        <v/>
      </c>
    </row>
    <row r="5985" spans="19:25">
      <c r="S5985" t="str">
        <f t="shared" si="0"/>
        <v/>
      </c>
      <c r="T5985" t="str">
        <f t="shared" si="1"/>
        <v/>
      </c>
      <c r="U5985" t="str">
        <f t="shared" si="2"/>
        <v/>
      </c>
      <c r="V5985" t="str">
        <f>IF(OR(U5985="",U5985="ERRO_CHAVE"),"",IFERROR(MATCH(U5985,Fornecedores!$AF$1:$AF$6631,0),""))</f>
        <v/>
      </c>
      <c r="W5985" t="str">
        <f t="shared" si="3"/>
        <v/>
      </c>
      <c r="X5985" s="4" t="str">
        <f>IF(V5985="","",INDEX(Fornecedores!$X$1:$X$6631,V5985))</f>
        <v/>
      </c>
      <c r="Y5985" s="4" t="str">
        <f t="shared" si="4"/>
        <v/>
      </c>
    </row>
    <row r="5986" spans="19:25">
      <c r="S5986" t="str">
        <f t="shared" si="0"/>
        <v/>
      </c>
      <c r="T5986" t="str">
        <f t="shared" si="1"/>
        <v/>
      </c>
      <c r="U5986" t="str">
        <f t="shared" si="2"/>
        <v/>
      </c>
      <c r="V5986" t="str">
        <f>IF(OR(U5986="",U5986="ERRO_CHAVE"),"",IFERROR(MATCH(U5986,Fornecedores!$AF$1:$AF$6631,0),""))</f>
        <v/>
      </c>
      <c r="W5986" t="str">
        <f t="shared" si="3"/>
        <v/>
      </c>
      <c r="X5986" s="4" t="str">
        <f>IF(V5986="","",INDEX(Fornecedores!$X$1:$X$6631,V5986))</f>
        <v/>
      </c>
      <c r="Y5986" s="4" t="str">
        <f t="shared" si="4"/>
        <v/>
      </c>
    </row>
    <row r="5987" spans="19:25">
      <c r="S5987" t="str">
        <f t="shared" si="0"/>
        <v/>
      </c>
      <c r="T5987" t="str">
        <f t="shared" si="1"/>
        <v/>
      </c>
      <c r="U5987" t="str">
        <f t="shared" si="2"/>
        <v/>
      </c>
      <c r="V5987" t="str">
        <f>IF(OR(U5987="",U5987="ERRO_CHAVE"),"",IFERROR(MATCH(U5987,Fornecedores!$AF$1:$AF$6631,0),""))</f>
        <v/>
      </c>
      <c r="W5987" t="str">
        <f t="shared" si="3"/>
        <v/>
      </c>
      <c r="X5987" s="4" t="str">
        <f>IF(V5987="","",INDEX(Fornecedores!$X$1:$X$6631,V5987))</f>
        <v/>
      </c>
      <c r="Y5987" s="4" t="str">
        <f t="shared" si="4"/>
        <v/>
      </c>
    </row>
    <row r="5988" spans="19:25">
      <c r="S5988" t="str">
        <f t="shared" si="0"/>
        <v/>
      </c>
      <c r="T5988" t="str">
        <f t="shared" si="1"/>
        <v/>
      </c>
      <c r="U5988" t="str">
        <f t="shared" si="2"/>
        <v/>
      </c>
      <c r="V5988" t="str">
        <f>IF(OR(U5988="",U5988="ERRO_CHAVE"),"",IFERROR(MATCH(U5988,Fornecedores!$AF$1:$AF$6631,0),""))</f>
        <v/>
      </c>
      <c r="W5988" t="str">
        <f t="shared" si="3"/>
        <v/>
      </c>
      <c r="X5988" s="4" t="str">
        <f>IF(V5988="","",INDEX(Fornecedores!$X$1:$X$6631,V5988))</f>
        <v/>
      </c>
      <c r="Y5988" s="4" t="str">
        <f t="shared" si="4"/>
        <v/>
      </c>
    </row>
    <row r="5989" spans="19:25">
      <c r="S5989" t="str">
        <f t="shared" si="0"/>
        <v/>
      </c>
      <c r="T5989" t="str">
        <f t="shared" si="1"/>
        <v/>
      </c>
      <c r="U5989" t="str">
        <f t="shared" si="2"/>
        <v/>
      </c>
      <c r="V5989" t="str">
        <f>IF(OR(U5989="",U5989="ERRO_CHAVE"),"",IFERROR(MATCH(U5989,Fornecedores!$AF$1:$AF$6631,0),""))</f>
        <v/>
      </c>
      <c r="W5989" t="str">
        <f t="shared" si="3"/>
        <v/>
      </c>
      <c r="X5989" s="4" t="str">
        <f>IF(V5989="","",INDEX(Fornecedores!$X$1:$X$6631,V5989))</f>
        <v/>
      </c>
      <c r="Y5989" s="4" t="str">
        <f t="shared" si="4"/>
        <v/>
      </c>
    </row>
    <row r="5990" spans="19:25">
      <c r="S5990" t="str">
        <f t="shared" si="0"/>
        <v/>
      </c>
      <c r="T5990" t="str">
        <f t="shared" si="1"/>
        <v/>
      </c>
      <c r="U5990" t="str">
        <f t="shared" si="2"/>
        <v/>
      </c>
      <c r="V5990" t="str">
        <f>IF(OR(U5990="",U5990="ERRO_CHAVE"),"",IFERROR(MATCH(U5990,Fornecedores!$AF$1:$AF$6631,0),""))</f>
        <v/>
      </c>
      <c r="W5990" t="str">
        <f t="shared" si="3"/>
        <v/>
      </c>
      <c r="X5990" s="4" t="str">
        <f>IF(V5990="","",INDEX(Fornecedores!$X$1:$X$6631,V5990))</f>
        <v/>
      </c>
      <c r="Y5990" s="4" t="str">
        <f t="shared" si="4"/>
        <v/>
      </c>
    </row>
    <row r="5991" spans="19:25">
      <c r="S5991" t="str">
        <f t="shared" si="0"/>
        <v/>
      </c>
      <c r="T5991" t="str">
        <f t="shared" si="1"/>
        <v/>
      </c>
      <c r="U5991" t="str">
        <f t="shared" si="2"/>
        <v/>
      </c>
      <c r="V5991" t="str">
        <f>IF(OR(U5991="",U5991="ERRO_CHAVE"),"",IFERROR(MATCH(U5991,Fornecedores!$AF$1:$AF$6631,0),""))</f>
        <v/>
      </c>
      <c r="W5991" t="str">
        <f t="shared" si="3"/>
        <v/>
      </c>
      <c r="X5991" s="4" t="str">
        <f>IF(V5991="","",INDEX(Fornecedores!$X$1:$X$6631,V5991))</f>
        <v/>
      </c>
      <c r="Y5991" s="4" t="str">
        <f t="shared" si="4"/>
        <v/>
      </c>
    </row>
    <row r="5992" spans="19:25">
      <c r="S5992" t="str">
        <f t="shared" si="0"/>
        <v/>
      </c>
      <c r="T5992" t="str">
        <f t="shared" si="1"/>
        <v/>
      </c>
      <c r="U5992" t="str">
        <f t="shared" si="2"/>
        <v/>
      </c>
      <c r="V5992" t="str">
        <f>IF(OR(U5992="",U5992="ERRO_CHAVE"),"",IFERROR(MATCH(U5992,Fornecedores!$AF$1:$AF$6631,0),""))</f>
        <v/>
      </c>
      <c r="W5992" t="str">
        <f t="shared" si="3"/>
        <v/>
      </c>
      <c r="X5992" s="4" t="str">
        <f>IF(V5992="","",INDEX(Fornecedores!$X$1:$X$6631,V5992))</f>
        <v/>
      </c>
      <c r="Y5992" s="4" t="str">
        <f t="shared" si="4"/>
        <v/>
      </c>
    </row>
    <row r="5993" spans="19:25">
      <c r="S5993" t="str">
        <f t="shared" si="0"/>
        <v/>
      </c>
      <c r="T5993" t="str">
        <f t="shared" si="1"/>
        <v/>
      </c>
      <c r="U5993" t="str">
        <f t="shared" si="2"/>
        <v/>
      </c>
      <c r="V5993" t="str">
        <f>IF(OR(U5993="",U5993="ERRO_CHAVE"),"",IFERROR(MATCH(U5993,Fornecedores!$AF$1:$AF$6631,0),""))</f>
        <v/>
      </c>
      <c r="W5993" t="str">
        <f t="shared" si="3"/>
        <v/>
      </c>
      <c r="X5993" s="4" t="str">
        <f>IF(V5993="","",INDEX(Fornecedores!$X$1:$X$6631,V5993))</f>
        <v/>
      </c>
      <c r="Y5993" s="4" t="str">
        <f t="shared" si="4"/>
        <v/>
      </c>
    </row>
    <row r="5994" spans="19:25">
      <c r="S5994" t="str">
        <f t="shared" si="0"/>
        <v/>
      </c>
      <c r="T5994" t="str">
        <f t="shared" si="1"/>
        <v/>
      </c>
      <c r="U5994" t="str">
        <f t="shared" si="2"/>
        <v/>
      </c>
      <c r="V5994" t="str">
        <f>IF(OR(U5994="",U5994="ERRO_CHAVE"),"",IFERROR(MATCH(U5994,Fornecedores!$AF$1:$AF$6631,0),""))</f>
        <v/>
      </c>
      <c r="W5994" t="str">
        <f t="shared" si="3"/>
        <v/>
      </c>
      <c r="X5994" s="4" t="str">
        <f>IF(V5994="","",INDEX(Fornecedores!$X$1:$X$6631,V5994))</f>
        <v/>
      </c>
      <c r="Y5994" s="4" t="str">
        <f t="shared" si="4"/>
        <v/>
      </c>
    </row>
    <row r="5995" spans="19:25">
      <c r="S5995" t="str">
        <f t="shared" si="0"/>
        <v/>
      </c>
      <c r="T5995" t="str">
        <f t="shared" si="1"/>
        <v/>
      </c>
      <c r="U5995" t="str">
        <f t="shared" si="2"/>
        <v/>
      </c>
      <c r="V5995" t="str">
        <f>IF(OR(U5995="",U5995="ERRO_CHAVE"),"",IFERROR(MATCH(U5995,Fornecedores!$AF$1:$AF$6631,0),""))</f>
        <v/>
      </c>
      <c r="W5995" t="str">
        <f t="shared" si="3"/>
        <v/>
      </c>
      <c r="X5995" s="4" t="str">
        <f>IF(V5995="","",INDEX(Fornecedores!$X$1:$X$6631,V5995))</f>
        <v/>
      </c>
      <c r="Y5995" s="4" t="str">
        <f t="shared" si="4"/>
        <v/>
      </c>
    </row>
    <row r="5996" spans="19:25">
      <c r="S5996" t="str">
        <f t="shared" si="0"/>
        <v/>
      </c>
      <c r="T5996" t="str">
        <f t="shared" si="1"/>
        <v/>
      </c>
      <c r="U5996" t="str">
        <f t="shared" si="2"/>
        <v/>
      </c>
      <c r="V5996" t="str">
        <f>IF(OR(U5996="",U5996="ERRO_CHAVE"),"",IFERROR(MATCH(U5996,Fornecedores!$AF$1:$AF$6631,0),""))</f>
        <v/>
      </c>
      <c r="W5996" t="str">
        <f t="shared" si="3"/>
        <v/>
      </c>
      <c r="X5996" s="4" t="str">
        <f>IF(V5996="","",INDEX(Fornecedores!$X$1:$X$6631,V5996))</f>
        <v/>
      </c>
      <c r="Y5996" s="4" t="str">
        <f t="shared" si="4"/>
        <v/>
      </c>
    </row>
    <row r="5997" spans="19:25">
      <c r="S5997" t="str">
        <f t="shared" si="0"/>
        <v/>
      </c>
      <c r="T5997" t="str">
        <f t="shared" si="1"/>
        <v/>
      </c>
      <c r="U5997" t="str">
        <f t="shared" si="2"/>
        <v/>
      </c>
      <c r="V5997" t="str">
        <f>IF(OR(U5997="",U5997="ERRO_CHAVE"),"",IFERROR(MATCH(U5997,Fornecedores!$AF$1:$AF$6631,0),""))</f>
        <v/>
      </c>
      <c r="W5997" t="str">
        <f t="shared" si="3"/>
        <v/>
      </c>
      <c r="X5997" s="4" t="str">
        <f>IF(V5997="","",INDEX(Fornecedores!$X$1:$X$6631,V5997))</f>
        <v/>
      </c>
      <c r="Y5997" s="4" t="str">
        <f t="shared" si="4"/>
        <v/>
      </c>
    </row>
    <row r="5998" spans="19:25">
      <c r="S5998" t="str">
        <f t="shared" si="0"/>
        <v/>
      </c>
      <c r="T5998" t="str">
        <f t="shared" si="1"/>
        <v/>
      </c>
      <c r="U5998" t="str">
        <f t="shared" si="2"/>
        <v/>
      </c>
      <c r="V5998" t="str">
        <f>IF(OR(U5998="",U5998="ERRO_CHAVE"),"",IFERROR(MATCH(U5998,Fornecedores!$AF$1:$AF$6631,0),""))</f>
        <v/>
      </c>
      <c r="W5998" t="str">
        <f t="shared" si="3"/>
        <v/>
      </c>
      <c r="X5998" s="4" t="str">
        <f>IF(V5998="","",INDEX(Fornecedores!$X$1:$X$6631,V5998))</f>
        <v/>
      </c>
      <c r="Y5998" s="4" t="str">
        <f t="shared" si="4"/>
        <v/>
      </c>
    </row>
    <row r="5999" spans="19:25">
      <c r="S5999" t="str">
        <f t="shared" si="0"/>
        <v/>
      </c>
      <c r="T5999" t="str">
        <f t="shared" si="1"/>
        <v/>
      </c>
      <c r="U5999" t="str">
        <f t="shared" si="2"/>
        <v/>
      </c>
      <c r="V5999" t="str">
        <f>IF(OR(U5999="",U5999="ERRO_CHAVE"),"",IFERROR(MATCH(U5999,Fornecedores!$AF$1:$AF$6631,0),""))</f>
        <v/>
      </c>
      <c r="W5999" t="str">
        <f t="shared" si="3"/>
        <v/>
      </c>
      <c r="X5999" s="4" t="str">
        <f>IF(V5999="","",INDEX(Fornecedores!$X$1:$X$6631,V5999))</f>
        <v/>
      </c>
      <c r="Y5999" s="4" t="str">
        <f t="shared" si="4"/>
        <v/>
      </c>
    </row>
    <row r="6000" spans="19:25">
      <c r="S6000" t="str">
        <f t="shared" si="0"/>
        <v/>
      </c>
      <c r="T6000" t="str">
        <f t="shared" si="1"/>
        <v/>
      </c>
      <c r="U6000" t="str">
        <f t="shared" si="2"/>
        <v/>
      </c>
      <c r="V6000" t="str">
        <f>IF(OR(U6000="",U6000="ERRO_CHAVE"),"",IFERROR(MATCH(U6000,Fornecedores!$AF$1:$AF$6631,0),""))</f>
        <v/>
      </c>
      <c r="W6000" t="str">
        <f t="shared" si="3"/>
        <v/>
      </c>
      <c r="X6000" s="4" t="str">
        <f>IF(V6000="","",INDEX(Fornecedores!$X$1:$X$6631,V6000))</f>
        <v/>
      </c>
      <c r="Y6000" s="4" t="str">
        <f t="shared" si="4"/>
        <v/>
      </c>
    </row>
    <row r="6001" spans="19:25">
      <c r="S6001" t="str">
        <f t="shared" si="0"/>
        <v/>
      </c>
      <c r="T6001" t="str">
        <f t="shared" si="1"/>
        <v/>
      </c>
      <c r="U6001" t="str">
        <f t="shared" si="2"/>
        <v/>
      </c>
      <c r="V6001" t="str">
        <f>IF(OR(U6001="",U6001="ERRO_CHAVE"),"",IFERROR(MATCH(U6001,Fornecedores!$AF$1:$AF$6631,0),""))</f>
        <v/>
      </c>
      <c r="W6001" t="str">
        <f t="shared" si="3"/>
        <v/>
      </c>
      <c r="X6001" s="4" t="str">
        <f>IF(V6001="","",INDEX(Fornecedores!$X$1:$X$6631,V6001))</f>
        <v/>
      </c>
      <c r="Y6001" s="4" t="str">
        <f t="shared" si="4"/>
        <v/>
      </c>
    </row>
    <row r="6002" spans="19:25">
      <c r="S6002" t="str">
        <f t="shared" si="0"/>
        <v/>
      </c>
      <c r="T6002" t="str">
        <f t="shared" si="1"/>
        <v/>
      </c>
      <c r="U6002" t="str">
        <f t="shared" si="2"/>
        <v/>
      </c>
      <c r="V6002" t="str">
        <f>IF(OR(U6002="",U6002="ERRO_CHAVE"),"",IFERROR(MATCH(U6002,Fornecedores!$AF$1:$AF$6631,0),""))</f>
        <v/>
      </c>
      <c r="W6002" t="str">
        <f t="shared" si="3"/>
        <v/>
      </c>
      <c r="X6002" s="4" t="str">
        <f>IF(V6002="","",INDEX(Fornecedores!$X$1:$X$6631,V6002))</f>
        <v/>
      </c>
      <c r="Y6002" s="4" t="str">
        <f t="shared" si="4"/>
        <v/>
      </c>
    </row>
    <row r="6003" spans="19:25">
      <c r="S6003" t="str">
        <f t="shared" si="0"/>
        <v/>
      </c>
      <c r="T6003" t="str">
        <f t="shared" si="1"/>
        <v/>
      </c>
      <c r="U6003" t="str">
        <f t="shared" si="2"/>
        <v/>
      </c>
      <c r="V6003" t="str">
        <f>IF(OR(U6003="",U6003="ERRO_CHAVE"),"",IFERROR(MATCH(U6003,Fornecedores!$AF$1:$AF$6631,0),""))</f>
        <v/>
      </c>
      <c r="W6003" t="str">
        <f t="shared" si="3"/>
        <v/>
      </c>
      <c r="X6003" s="4" t="str">
        <f>IF(V6003="","",INDEX(Fornecedores!$X$1:$X$6631,V6003))</f>
        <v/>
      </c>
      <c r="Y6003" s="4" t="str">
        <f t="shared" si="4"/>
        <v/>
      </c>
    </row>
    <row r="6004" spans="19:25">
      <c r="S6004" t="str">
        <f t="shared" si="0"/>
        <v/>
      </c>
      <c r="T6004" t="str">
        <f t="shared" si="1"/>
        <v/>
      </c>
      <c r="U6004" t="str">
        <f t="shared" si="2"/>
        <v/>
      </c>
      <c r="V6004" t="str">
        <f>IF(OR(U6004="",U6004="ERRO_CHAVE"),"",IFERROR(MATCH(U6004,Fornecedores!$AF$1:$AF$6631,0),""))</f>
        <v/>
      </c>
      <c r="W6004" t="str">
        <f t="shared" si="3"/>
        <v/>
      </c>
      <c r="X6004" s="4" t="str">
        <f>IF(V6004="","",INDEX(Fornecedores!$X$1:$X$6631,V6004))</f>
        <v/>
      </c>
      <c r="Y6004" s="4" t="str">
        <f t="shared" si="4"/>
        <v/>
      </c>
    </row>
    <row r="6005" spans="19:25">
      <c r="S6005" t="str">
        <f t="shared" si="0"/>
        <v/>
      </c>
      <c r="T6005" t="str">
        <f t="shared" si="1"/>
        <v/>
      </c>
      <c r="U6005" t="str">
        <f t="shared" si="2"/>
        <v/>
      </c>
      <c r="V6005" t="str">
        <f>IF(OR(U6005="",U6005="ERRO_CHAVE"),"",IFERROR(MATCH(U6005,Fornecedores!$AF$1:$AF$6631,0),""))</f>
        <v/>
      </c>
      <c r="W6005" t="str">
        <f t="shared" si="3"/>
        <v/>
      </c>
      <c r="X6005" s="4" t="str">
        <f>IF(V6005="","",INDEX(Fornecedores!$X$1:$X$6631,V6005))</f>
        <v/>
      </c>
      <c r="Y6005" s="4" t="str">
        <f t="shared" si="4"/>
        <v/>
      </c>
    </row>
    <row r="6006" spans="19:25">
      <c r="S6006" t="str">
        <f t="shared" si="0"/>
        <v/>
      </c>
      <c r="T6006" t="str">
        <f t="shared" si="1"/>
        <v/>
      </c>
      <c r="U6006" t="str">
        <f t="shared" si="2"/>
        <v/>
      </c>
      <c r="V6006" t="str">
        <f>IF(OR(U6006="",U6006="ERRO_CHAVE"),"",IFERROR(MATCH(U6006,Fornecedores!$AF$1:$AF$6631,0),""))</f>
        <v/>
      </c>
      <c r="W6006" t="str">
        <f t="shared" si="3"/>
        <v/>
      </c>
      <c r="X6006" s="4" t="str">
        <f>IF(V6006="","",INDEX(Fornecedores!$X$1:$X$6631,V6006))</f>
        <v/>
      </c>
      <c r="Y6006" s="4" t="str">
        <f t="shared" si="4"/>
        <v/>
      </c>
    </row>
    <row r="6007" spans="19:25">
      <c r="S6007" t="str">
        <f t="shared" si="0"/>
        <v/>
      </c>
      <c r="T6007" t="str">
        <f t="shared" si="1"/>
        <v/>
      </c>
      <c r="U6007" t="str">
        <f t="shared" si="2"/>
        <v/>
      </c>
      <c r="V6007" t="str">
        <f>IF(OR(U6007="",U6007="ERRO_CHAVE"),"",IFERROR(MATCH(U6007,Fornecedores!$AF$1:$AF$6631,0),""))</f>
        <v/>
      </c>
      <c r="W6007" t="str">
        <f t="shared" si="3"/>
        <v/>
      </c>
      <c r="X6007" s="4" t="str">
        <f>IF(V6007="","",INDEX(Fornecedores!$X$1:$X$6631,V6007))</f>
        <v/>
      </c>
      <c r="Y6007" s="4" t="str">
        <f t="shared" si="4"/>
        <v/>
      </c>
    </row>
    <row r="6008" spans="19:25">
      <c r="S6008" t="str">
        <f t="shared" si="0"/>
        <v/>
      </c>
      <c r="T6008" t="str">
        <f t="shared" si="1"/>
        <v/>
      </c>
      <c r="U6008" t="str">
        <f t="shared" si="2"/>
        <v/>
      </c>
      <c r="V6008" t="str">
        <f>IF(OR(U6008="",U6008="ERRO_CHAVE"),"",IFERROR(MATCH(U6008,Fornecedores!$AF$1:$AF$6631,0),""))</f>
        <v/>
      </c>
      <c r="W6008" t="str">
        <f t="shared" si="3"/>
        <v/>
      </c>
      <c r="X6008" s="4" t="str">
        <f>IF(V6008="","",INDEX(Fornecedores!$X$1:$X$6631,V6008))</f>
        <v/>
      </c>
      <c r="Y6008" s="4" t="str">
        <f t="shared" si="4"/>
        <v/>
      </c>
    </row>
    <row r="6009" spans="19:25">
      <c r="S6009" t="str">
        <f t="shared" si="0"/>
        <v/>
      </c>
      <c r="T6009" t="str">
        <f t="shared" si="1"/>
        <v/>
      </c>
      <c r="U6009" t="str">
        <f t="shared" si="2"/>
        <v/>
      </c>
      <c r="V6009" t="str">
        <f>IF(OR(U6009="",U6009="ERRO_CHAVE"),"",IFERROR(MATCH(U6009,Fornecedores!$AF$1:$AF$6631,0),""))</f>
        <v/>
      </c>
      <c r="W6009" t="str">
        <f t="shared" si="3"/>
        <v/>
      </c>
      <c r="X6009" s="4" t="str">
        <f>IF(V6009="","",INDEX(Fornecedores!$X$1:$X$6631,V6009))</f>
        <v/>
      </c>
      <c r="Y6009" s="4" t="str">
        <f t="shared" si="4"/>
        <v/>
      </c>
    </row>
    <row r="6010" spans="19:25">
      <c r="S6010" t="str">
        <f t="shared" si="0"/>
        <v/>
      </c>
      <c r="T6010" t="str">
        <f t="shared" si="1"/>
        <v/>
      </c>
      <c r="U6010" t="str">
        <f t="shared" si="2"/>
        <v/>
      </c>
      <c r="V6010" t="str">
        <f>IF(OR(U6010="",U6010="ERRO_CHAVE"),"",IFERROR(MATCH(U6010,Fornecedores!$AF$1:$AF$6631,0),""))</f>
        <v/>
      </c>
      <c r="W6010" t="str">
        <f t="shared" si="3"/>
        <v/>
      </c>
      <c r="X6010" s="4" t="str">
        <f>IF(V6010="","",INDEX(Fornecedores!$X$1:$X$6631,V6010))</f>
        <v/>
      </c>
      <c r="Y6010" s="4" t="str">
        <f t="shared" si="4"/>
        <v/>
      </c>
    </row>
    <row r="6011" spans="19:25">
      <c r="S6011" t="str">
        <f t="shared" si="0"/>
        <v/>
      </c>
      <c r="T6011" t="str">
        <f t="shared" si="1"/>
        <v/>
      </c>
      <c r="U6011" t="str">
        <f t="shared" si="2"/>
        <v/>
      </c>
      <c r="V6011" t="str">
        <f>IF(OR(U6011="",U6011="ERRO_CHAVE"),"",IFERROR(MATCH(U6011,Fornecedores!$AF$1:$AF$6631,0),""))</f>
        <v/>
      </c>
      <c r="W6011" t="str">
        <f t="shared" si="3"/>
        <v/>
      </c>
      <c r="X6011" s="4" t="str">
        <f>IF(V6011="","",INDEX(Fornecedores!$X$1:$X$6631,V6011))</f>
        <v/>
      </c>
      <c r="Y6011" s="4" t="str">
        <f t="shared" si="4"/>
        <v/>
      </c>
    </row>
    <row r="6012" spans="19:25">
      <c r="S6012" t="str">
        <f t="shared" si="0"/>
        <v/>
      </c>
      <c r="T6012" t="str">
        <f t="shared" si="1"/>
        <v/>
      </c>
      <c r="U6012" t="str">
        <f t="shared" si="2"/>
        <v/>
      </c>
      <c r="V6012" t="str">
        <f>IF(OR(U6012="",U6012="ERRO_CHAVE"),"",IFERROR(MATCH(U6012,Fornecedores!$AF$1:$AF$6631,0),""))</f>
        <v/>
      </c>
      <c r="W6012" t="str">
        <f t="shared" si="3"/>
        <v/>
      </c>
      <c r="X6012" s="4" t="str">
        <f>IF(V6012="","",INDEX(Fornecedores!$X$1:$X$6631,V6012))</f>
        <v/>
      </c>
      <c r="Y6012" s="4" t="str">
        <f t="shared" si="4"/>
        <v/>
      </c>
    </row>
    <row r="6013" spans="19:25">
      <c r="S6013" t="str">
        <f t="shared" si="0"/>
        <v/>
      </c>
      <c r="T6013" t="str">
        <f t="shared" si="1"/>
        <v/>
      </c>
      <c r="U6013" t="str">
        <f t="shared" si="2"/>
        <v/>
      </c>
      <c r="V6013" t="str">
        <f>IF(OR(U6013="",U6013="ERRO_CHAVE"),"",IFERROR(MATCH(U6013,Fornecedores!$AF$1:$AF$6631,0),""))</f>
        <v/>
      </c>
      <c r="W6013" t="str">
        <f t="shared" si="3"/>
        <v/>
      </c>
      <c r="X6013" s="4" t="str">
        <f>IF(V6013="","",INDEX(Fornecedores!$X$1:$X$6631,V6013))</f>
        <v/>
      </c>
      <c r="Y6013" s="4" t="str">
        <f t="shared" si="4"/>
        <v/>
      </c>
    </row>
    <row r="6014" spans="19:25">
      <c r="S6014" t="str">
        <f t="shared" si="0"/>
        <v/>
      </c>
      <c r="T6014" t="str">
        <f t="shared" si="1"/>
        <v/>
      </c>
      <c r="U6014" t="str">
        <f t="shared" si="2"/>
        <v/>
      </c>
      <c r="V6014" t="str">
        <f>IF(OR(U6014="",U6014="ERRO_CHAVE"),"",IFERROR(MATCH(U6014,Fornecedores!$AF$1:$AF$6631,0),""))</f>
        <v/>
      </c>
      <c r="W6014" t="str">
        <f t="shared" si="3"/>
        <v/>
      </c>
      <c r="X6014" s="4" t="str">
        <f>IF(V6014="","",INDEX(Fornecedores!$X$1:$X$6631,V6014))</f>
        <v/>
      </c>
      <c r="Y6014" s="4" t="str">
        <f t="shared" si="4"/>
        <v/>
      </c>
    </row>
    <row r="6015" spans="19:25">
      <c r="S6015" t="str">
        <f t="shared" si="0"/>
        <v/>
      </c>
      <c r="T6015" t="str">
        <f t="shared" si="1"/>
        <v/>
      </c>
      <c r="U6015" t="str">
        <f t="shared" si="2"/>
        <v/>
      </c>
      <c r="V6015" t="str">
        <f>IF(OR(U6015="",U6015="ERRO_CHAVE"),"",IFERROR(MATCH(U6015,Fornecedores!$AF$1:$AF$6631,0),""))</f>
        <v/>
      </c>
      <c r="W6015" t="str">
        <f t="shared" si="3"/>
        <v/>
      </c>
      <c r="X6015" s="4" t="str">
        <f>IF(V6015="","",INDEX(Fornecedores!$X$1:$X$6631,V6015))</f>
        <v/>
      </c>
      <c r="Y6015" s="4" t="str">
        <f t="shared" si="4"/>
        <v/>
      </c>
    </row>
    <row r="6016" spans="19:25">
      <c r="S6016" t="str">
        <f t="shared" si="0"/>
        <v/>
      </c>
      <c r="T6016" t="str">
        <f t="shared" si="1"/>
        <v/>
      </c>
      <c r="U6016" t="str">
        <f t="shared" si="2"/>
        <v/>
      </c>
      <c r="V6016" t="str">
        <f>IF(OR(U6016="",U6016="ERRO_CHAVE"),"",IFERROR(MATCH(U6016,Fornecedores!$AF$1:$AF$6631,0),""))</f>
        <v/>
      </c>
      <c r="W6016" t="str">
        <f t="shared" si="3"/>
        <v/>
      </c>
      <c r="X6016" s="4" t="str">
        <f>IF(V6016="","",INDEX(Fornecedores!$X$1:$X$6631,V6016))</f>
        <v/>
      </c>
      <c r="Y6016" s="4" t="str">
        <f t="shared" si="4"/>
        <v/>
      </c>
    </row>
    <row r="6017" spans="19:25">
      <c r="S6017" t="str">
        <f t="shared" si="0"/>
        <v/>
      </c>
      <c r="T6017" t="str">
        <f t="shared" si="1"/>
        <v/>
      </c>
      <c r="U6017" t="str">
        <f t="shared" si="2"/>
        <v/>
      </c>
      <c r="V6017" t="str">
        <f>IF(OR(U6017="",U6017="ERRO_CHAVE"),"",IFERROR(MATCH(U6017,Fornecedores!$AF$1:$AF$6631,0),""))</f>
        <v/>
      </c>
      <c r="W6017" t="str">
        <f t="shared" si="3"/>
        <v/>
      </c>
      <c r="X6017" s="4" t="str">
        <f>IF(V6017="","",INDEX(Fornecedores!$X$1:$X$6631,V6017))</f>
        <v/>
      </c>
      <c r="Y6017" s="4" t="str">
        <f t="shared" si="4"/>
        <v/>
      </c>
    </row>
    <row r="6018" spans="19:25">
      <c r="S6018" t="str">
        <f t="shared" si="0"/>
        <v/>
      </c>
      <c r="T6018" t="str">
        <f t="shared" si="1"/>
        <v/>
      </c>
      <c r="U6018" t="str">
        <f t="shared" si="2"/>
        <v/>
      </c>
      <c r="V6018" t="str">
        <f>IF(OR(U6018="",U6018="ERRO_CHAVE"),"",IFERROR(MATCH(U6018,Fornecedores!$AF$1:$AF$6631,0),""))</f>
        <v/>
      </c>
      <c r="W6018" t="str">
        <f t="shared" si="3"/>
        <v/>
      </c>
      <c r="X6018" s="4" t="str">
        <f>IF(V6018="","",INDEX(Fornecedores!$X$1:$X$6631,V6018))</f>
        <v/>
      </c>
      <c r="Y6018" s="4" t="str">
        <f t="shared" si="4"/>
        <v/>
      </c>
    </row>
    <row r="6019" spans="19:25">
      <c r="S6019" t="str">
        <f t="shared" si="0"/>
        <v/>
      </c>
      <c r="T6019" t="str">
        <f t="shared" si="1"/>
        <v/>
      </c>
      <c r="U6019" t="str">
        <f t="shared" si="2"/>
        <v/>
      </c>
      <c r="V6019" t="str">
        <f>IF(OR(U6019="",U6019="ERRO_CHAVE"),"",IFERROR(MATCH(U6019,Fornecedores!$AF$1:$AF$6631,0),""))</f>
        <v/>
      </c>
      <c r="W6019" t="str">
        <f t="shared" si="3"/>
        <v/>
      </c>
      <c r="X6019" s="4" t="str">
        <f>IF(V6019="","",INDEX(Fornecedores!$X$1:$X$6631,V6019))</f>
        <v/>
      </c>
      <c r="Y6019" s="4" t="str">
        <f t="shared" si="4"/>
        <v/>
      </c>
    </row>
    <row r="6020" spans="19:25">
      <c r="S6020" t="str">
        <f t="shared" si="0"/>
        <v/>
      </c>
      <c r="T6020" t="str">
        <f t="shared" si="1"/>
        <v/>
      </c>
      <c r="U6020" t="str">
        <f t="shared" si="2"/>
        <v/>
      </c>
      <c r="V6020" t="str">
        <f>IF(OR(U6020="",U6020="ERRO_CHAVE"),"",IFERROR(MATCH(U6020,Fornecedores!$AF$1:$AF$6631,0),""))</f>
        <v/>
      </c>
      <c r="W6020" t="str">
        <f t="shared" si="3"/>
        <v/>
      </c>
      <c r="X6020" s="4" t="str">
        <f>IF(V6020="","",INDEX(Fornecedores!$X$1:$X$6631,V6020))</f>
        <v/>
      </c>
      <c r="Y6020" s="4" t="str">
        <f t="shared" si="4"/>
        <v/>
      </c>
    </row>
    <row r="6021" spans="19:25">
      <c r="S6021" t="str">
        <f t="shared" si="0"/>
        <v/>
      </c>
      <c r="T6021" t="str">
        <f t="shared" si="1"/>
        <v/>
      </c>
      <c r="U6021" t="str">
        <f t="shared" si="2"/>
        <v/>
      </c>
      <c r="V6021" t="str">
        <f>IF(OR(U6021="",U6021="ERRO_CHAVE"),"",IFERROR(MATCH(U6021,Fornecedores!$AF$1:$AF$6631,0),""))</f>
        <v/>
      </c>
      <c r="W6021" t="str">
        <f t="shared" si="3"/>
        <v/>
      </c>
      <c r="X6021" s="4" t="str">
        <f>IF(V6021="","",INDEX(Fornecedores!$X$1:$X$6631,V6021))</f>
        <v/>
      </c>
      <c r="Y6021" s="4" t="str">
        <f t="shared" si="4"/>
        <v/>
      </c>
    </row>
    <row r="6022" spans="19:25">
      <c r="S6022" t="str">
        <f t="shared" si="0"/>
        <v/>
      </c>
      <c r="T6022" t="str">
        <f t="shared" si="1"/>
        <v/>
      </c>
      <c r="U6022" t="str">
        <f t="shared" si="2"/>
        <v/>
      </c>
      <c r="V6022" t="str">
        <f>IF(OR(U6022="",U6022="ERRO_CHAVE"),"",IFERROR(MATCH(U6022,Fornecedores!$AF$1:$AF$6631,0),""))</f>
        <v/>
      </c>
      <c r="W6022" t="str">
        <f t="shared" si="3"/>
        <v/>
      </c>
      <c r="X6022" s="4" t="str">
        <f>IF(V6022="","",INDEX(Fornecedores!$X$1:$X$6631,V6022))</f>
        <v/>
      </c>
      <c r="Y6022" s="4" t="str">
        <f t="shared" si="4"/>
        <v/>
      </c>
    </row>
    <row r="6023" spans="19:25">
      <c r="S6023" t="str">
        <f t="shared" si="0"/>
        <v/>
      </c>
      <c r="T6023" t="str">
        <f t="shared" si="1"/>
        <v/>
      </c>
      <c r="U6023" t="str">
        <f t="shared" si="2"/>
        <v/>
      </c>
      <c r="V6023" t="str">
        <f>IF(OR(U6023="",U6023="ERRO_CHAVE"),"",IFERROR(MATCH(U6023,Fornecedores!$AF$1:$AF$6631,0),""))</f>
        <v/>
      </c>
      <c r="W6023" t="str">
        <f t="shared" si="3"/>
        <v/>
      </c>
      <c r="X6023" s="4" t="str">
        <f>IF(V6023="","",INDEX(Fornecedores!$X$1:$X$6631,V6023))</f>
        <v/>
      </c>
      <c r="Y6023" s="4" t="str">
        <f t="shared" si="4"/>
        <v/>
      </c>
    </row>
    <row r="6024" spans="19:25">
      <c r="S6024" t="str">
        <f t="shared" si="0"/>
        <v/>
      </c>
      <c r="T6024" t="str">
        <f t="shared" si="1"/>
        <v/>
      </c>
      <c r="U6024" t="str">
        <f t="shared" si="2"/>
        <v/>
      </c>
      <c r="V6024" t="str">
        <f>IF(OR(U6024="",U6024="ERRO_CHAVE"),"",IFERROR(MATCH(U6024,Fornecedores!$AF$1:$AF$6631,0),""))</f>
        <v/>
      </c>
      <c r="W6024" t="str">
        <f t="shared" si="3"/>
        <v/>
      </c>
      <c r="X6024" s="4" t="str">
        <f>IF(V6024="","",INDEX(Fornecedores!$X$1:$X$6631,V6024))</f>
        <v/>
      </c>
      <c r="Y6024" s="4" t="str">
        <f t="shared" si="4"/>
        <v/>
      </c>
    </row>
    <row r="6025" spans="19:25">
      <c r="S6025" t="str">
        <f t="shared" si="0"/>
        <v/>
      </c>
      <c r="T6025" t="str">
        <f t="shared" si="1"/>
        <v/>
      </c>
      <c r="U6025" t="str">
        <f t="shared" si="2"/>
        <v/>
      </c>
      <c r="V6025" t="str">
        <f>IF(OR(U6025="",U6025="ERRO_CHAVE"),"",IFERROR(MATCH(U6025,Fornecedores!$AF$1:$AF$6631,0),""))</f>
        <v/>
      </c>
      <c r="W6025" t="str">
        <f t="shared" si="3"/>
        <v/>
      </c>
      <c r="X6025" s="4" t="str">
        <f>IF(V6025="","",INDEX(Fornecedores!$X$1:$X$6631,V6025))</f>
        <v/>
      </c>
      <c r="Y6025" s="4" t="str">
        <f t="shared" si="4"/>
        <v/>
      </c>
    </row>
    <row r="6026" spans="19:25">
      <c r="S6026" t="str">
        <f t="shared" si="0"/>
        <v/>
      </c>
      <c r="T6026" t="str">
        <f t="shared" si="1"/>
        <v/>
      </c>
      <c r="U6026" t="str">
        <f t="shared" si="2"/>
        <v/>
      </c>
      <c r="V6026" t="str">
        <f>IF(OR(U6026="",U6026="ERRO_CHAVE"),"",IFERROR(MATCH(U6026,Fornecedores!$AF$1:$AF$6631,0),""))</f>
        <v/>
      </c>
      <c r="W6026" t="str">
        <f t="shared" si="3"/>
        <v/>
      </c>
      <c r="X6026" s="4" t="str">
        <f>IF(V6026="","",INDEX(Fornecedores!$X$1:$X$6631,V6026))</f>
        <v/>
      </c>
      <c r="Y6026" s="4" t="str">
        <f t="shared" si="4"/>
        <v/>
      </c>
    </row>
    <row r="6027" spans="19:25">
      <c r="S6027" t="str">
        <f t="shared" si="0"/>
        <v/>
      </c>
      <c r="T6027" t="str">
        <f t="shared" si="1"/>
        <v/>
      </c>
      <c r="U6027" t="str">
        <f t="shared" si="2"/>
        <v/>
      </c>
      <c r="V6027" t="str">
        <f>IF(OR(U6027="",U6027="ERRO_CHAVE"),"",IFERROR(MATCH(U6027,Fornecedores!$AF$1:$AF$6631,0),""))</f>
        <v/>
      </c>
      <c r="W6027" t="str">
        <f t="shared" si="3"/>
        <v/>
      </c>
      <c r="X6027" s="4" t="str">
        <f>IF(V6027="","",INDEX(Fornecedores!$X$1:$X$6631,V6027))</f>
        <v/>
      </c>
      <c r="Y6027" s="4" t="str">
        <f t="shared" si="4"/>
        <v/>
      </c>
    </row>
    <row r="6028" spans="19:25">
      <c r="S6028" t="str">
        <f t="shared" si="0"/>
        <v/>
      </c>
      <c r="T6028" t="str">
        <f t="shared" si="1"/>
        <v/>
      </c>
      <c r="U6028" t="str">
        <f t="shared" si="2"/>
        <v/>
      </c>
      <c r="V6028" t="str">
        <f>IF(OR(U6028="",U6028="ERRO_CHAVE"),"",IFERROR(MATCH(U6028,Fornecedores!$AF$1:$AF$6631,0),""))</f>
        <v/>
      </c>
      <c r="W6028" t="str">
        <f t="shared" si="3"/>
        <v/>
      </c>
      <c r="X6028" s="4" t="str">
        <f>IF(V6028="","",INDEX(Fornecedores!$X$1:$X$6631,V6028))</f>
        <v/>
      </c>
      <c r="Y6028" s="4" t="str">
        <f t="shared" si="4"/>
        <v/>
      </c>
    </row>
    <row r="6029" spans="19:25">
      <c r="S6029" t="str">
        <f t="shared" si="0"/>
        <v/>
      </c>
      <c r="T6029" t="str">
        <f t="shared" si="1"/>
        <v/>
      </c>
      <c r="U6029" t="str">
        <f t="shared" si="2"/>
        <v/>
      </c>
      <c r="V6029" t="str">
        <f>IF(OR(U6029="",U6029="ERRO_CHAVE"),"",IFERROR(MATCH(U6029,Fornecedores!$AF$1:$AF$6631,0),""))</f>
        <v/>
      </c>
      <c r="W6029" t="str">
        <f t="shared" si="3"/>
        <v/>
      </c>
      <c r="X6029" s="4" t="str">
        <f>IF(V6029="","",INDEX(Fornecedores!$X$1:$X$6631,V6029))</f>
        <v/>
      </c>
      <c r="Y6029" s="4" t="str">
        <f t="shared" si="4"/>
        <v/>
      </c>
    </row>
    <row r="6030" spans="19:25">
      <c r="S6030" t="str">
        <f t="shared" si="0"/>
        <v/>
      </c>
      <c r="T6030" t="str">
        <f t="shared" si="1"/>
        <v/>
      </c>
      <c r="U6030" t="str">
        <f t="shared" si="2"/>
        <v/>
      </c>
      <c r="V6030" t="str">
        <f>IF(OR(U6030="",U6030="ERRO_CHAVE"),"",IFERROR(MATCH(U6030,Fornecedores!$AF$1:$AF$6631,0),""))</f>
        <v/>
      </c>
      <c r="W6030" t="str">
        <f t="shared" si="3"/>
        <v/>
      </c>
      <c r="X6030" s="4" t="str">
        <f>IF(V6030="","",INDEX(Fornecedores!$X$1:$X$6631,V6030))</f>
        <v/>
      </c>
      <c r="Y6030" s="4" t="str">
        <f t="shared" si="4"/>
        <v/>
      </c>
    </row>
    <row r="6031" spans="19:25">
      <c r="S6031" t="str">
        <f t="shared" si="0"/>
        <v/>
      </c>
      <c r="T6031" t="str">
        <f t="shared" si="1"/>
        <v/>
      </c>
      <c r="U6031" t="str">
        <f t="shared" si="2"/>
        <v/>
      </c>
      <c r="V6031" t="str">
        <f>IF(OR(U6031="",U6031="ERRO_CHAVE"),"",IFERROR(MATCH(U6031,Fornecedores!$AF$1:$AF$6631,0),""))</f>
        <v/>
      </c>
      <c r="W6031" t="str">
        <f t="shared" si="3"/>
        <v/>
      </c>
      <c r="X6031" s="4" t="str">
        <f>IF(V6031="","",INDEX(Fornecedores!$X$1:$X$6631,V6031))</f>
        <v/>
      </c>
      <c r="Y6031" s="4" t="str">
        <f t="shared" si="4"/>
        <v/>
      </c>
    </row>
    <row r="6032" spans="19:25">
      <c r="S6032" t="str">
        <f t="shared" si="0"/>
        <v/>
      </c>
      <c r="T6032" t="str">
        <f t="shared" si="1"/>
        <v/>
      </c>
      <c r="U6032" t="str">
        <f t="shared" si="2"/>
        <v/>
      </c>
      <c r="V6032" t="str">
        <f>IF(OR(U6032="",U6032="ERRO_CHAVE"),"",IFERROR(MATCH(U6032,Fornecedores!$AF$1:$AF$6631,0),""))</f>
        <v/>
      </c>
      <c r="W6032" t="str">
        <f t="shared" si="3"/>
        <v/>
      </c>
      <c r="X6032" s="4" t="str">
        <f>IF(V6032="","",INDEX(Fornecedores!$X$1:$X$6631,V6032))</f>
        <v/>
      </c>
      <c r="Y6032" s="4" t="str">
        <f t="shared" si="4"/>
        <v/>
      </c>
    </row>
    <row r="6033" spans="19:25">
      <c r="S6033" t="str">
        <f t="shared" si="0"/>
        <v/>
      </c>
      <c r="T6033" t="str">
        <f t="shared" si="1"/>
        <v/>
      </c>
      <c r="U6033" t="str">
        <f t="shared" si="2"/>
        <v/>
      </c>
      <c r="V6033" t="str">
        <f>IF(OR(U6033="",U6033="ERRO_CHAVE"),"",IFERROR(MATCH(U6033,Fornecedores!$AF$1:$AF$6631,0),""))</f>
        <v/>
      </c>
      <c r="W6033" t="str">
        <f t="shared" si="3"/>
        <v/>
      </c>
      <c r="X6033" s="4" t="str">
        <f>IF(V6033="","",INDEX(Fornecedores!$X$1:$X$6631,V6033))</f>
        <v/>
      </c>
      <c r="Y6033" s="4" t="str">
        <f t="shared" si="4"/>
        <v/>
      </c>
    </row>
    <row r="6034" spans="19:25">
      <c r="S6034" t="str">
        <f t="shared" si="0"/>
        <v/>
      </c>
      <c r="T6034" t="str">
        <f t="shared" si="1"/>
        <v/>
      </c>
      <c r="U6034" t="str">
        <f t="shared" si="2"/>
        <v/>
      </c>
      <c r="V6034" t="str">
        <f>IF(OR(U6034="",U6034="ERRO_CHAVE"),"",IFERROR(MATCH(U6034,Fornecedores!$AF$1:$AF$6631,0),""))</f>
        <v/>
      </c>
      <c r="W6034" t="str">
        <f t="shared" si="3"/>
        <v/>
      </c>
      <c r="X6034" s="4" t="str">
        <f>IF(V6034="","",INDEX(Fornecedores!$X$1:$X$6631,V6034))</f>
        <v/>
      </c>
      <c r="Y6034" s="4" t="str">
        <f t="shared" si="4"/>
        <v/>
      </c>
    </row>
    <row r="6035" spans="19:25">
      <c r="S6035" t="str">
        <f t="shared" si="0"/>
        <v/>
      </c>
      <c r="T6035" t="str">
        <f t="shared" si="1"/>
        <v/>
      </c>
      <c r="U6035" t="str">
        <f t="shared" si="2"/>
        <v/>
      </c>
      <c r="V6035" t="str">
        <f>IF(OR(U6035="",U6035="ERRO_CHAVE"),"",IFERROR(MATCH(U6035,Fornecedores!$AF$1:$AF$6631,0),""))</f>
        <v/>
      </c>
      <c r="W6035" t="str">
        <f t="shared" si="3"/>
        <v/>
      </c>
      <c r="X6035" s="4" t="str">
        <f>IF(V6035="","",INDEX(Fornecedores!$X$1:$X$6631,V6035))</f>
        <v/>
      </c>
      <c r="Y6035" s="4" t="str">
        <f t="shared" si="4"/>
        <v/>
      </c>
    </row>
    <row r="6036" spans="19:25">
      <c r="S6036" t="str">
        <f t="shared" si="0"/>
        <v/>
      </c>
      <c r="T6036" t="str">
        <f t="shared" si="1"/>
        <v/>
      </c>
      <c r="U6036" t="str">
        <f t="shared" si="2"/>
        <v/>
      </c>
      <c r="V6036" t="str">
        <f>IF(OR(U6036="",U6036="ERRO_CHAVE"),"",IFERROR(MATCH(U6036,Fornecedores!$AF$1:$AF$6631,0),""))</f>
        <v/>
      </c>
      <c r="W6036" t="str">
        <f t="shared" si="3"/>
        <v/>
      </c>
      <c r="X6036" s="4" t="str">
        <f>IF(V6036="","",INDEX(Fornecedores!$X$1:$X$6631,V6036))</f>
        <v/>
      </c>
      <c r="Y6036" s="4" t="str">
        <f t="shared" si="4"/>
        <v/>
      </c>
    </row>
    <row r="6037" spans="19:25">
      <c r="S6037" t="str">
        <f t="shared" si="0"/>
        <v/>
      </c>
      <c r="T6037" t="str">
        <f t="shared" si="1"/>
        <v/>
      </c>
      <c r="U6037" t="str">
        <f t="shared" si="2"/>
        <v/>
      </c>
      <c r="V6037" t="str">
        <f>IF(OR(U6037="",U6037="ERRO_CHAVE"),"",IFERROR(MATCH(U6037,Fornecedores!$AF$1:$AF$6631,0),""))</f>
        <v/>
      </c>
      <c r="W6037" t="str">
        <f t="shared" si="3"/>
        <v/>
      </c>
      <c r="X6037" s="4" t="str">
        <f>IF(V6037="","",INDEX(Fornecedores!$X$1:$X$6631,V6037))</f>
        <v/>
      </c>
      <c r="Y6037" s="4" t="str">
        <f t="shared" si="4"/>
        <v/>
      </c>
    </row>
    <row r="6038" spans="19:25">
      <c r="S6038" t="str">
        <f t="shared" si="0"/>
        <v/>
      </c>
      <c r="T6038" t="str">
        <f t="shared" si="1"/>
        <v/>
      </c>
      <c r="U6038" t="str">
        <f t="shared" si="2"/>
        <v/>
      </c>
      <c r="V6038" t="str">
        <f>IF(OR(U6038="",U6038="ERRO_CHAVE"),"",IFERROR(MATCH(U6038,Fornecedores!$AF$1:$AF$6631,0),""))</f>
        <v/>
      </c>
      <c r="W6038" t="str">
        <f t="shared" si="3"/>
        <v/>
      </c>
      <c r="X6038" s="4" t="str">
        <f>IF(V6038="","",INDEX(Fornecedores!$X$1:$X$6631,V6038))</f>
        <v/>
      </c>
      <c r="Y6038" s="4" t="str">
        <f t="shared" si="4"/>
        <v/>
      </c>
    </row>
    <row r="6039" spans="19:25">
      <c r="S6039" t="str">
        <f t="shared" si="0"/>
        <v/>
      </c>
      <c r="T6039" t="str">
        <f t="shared" si="1"/>
        <v/>
      </c>
      <c r="U6039" t="str">
        <f t="shared" si="2"/>
        <v/>
      </c>
      <c r="V6039" t="str">
        <f>IF(OR(U6039="",U6039="ERRO_CHAVE"),"",IFERROR(MATCH(U6039,Fornecedores!$AF$1:$AF$6631,0),""))</f>
        <v/>
      </c>
      <c r="W6039" t="str">
        <f t="shared" si="3"/>
        <v/>
      </c>
      <c r="X6039" s="4" t="str">
        <f>IF(V6039="","",INDEX(Fornecedores!$X$1:$X$6631,V6039))</f>
        <v/>
      </c>
      <c r="Y6039" s="4" t="str">
        <f t="shared" si="4"/>
        <v/>
      </c>
    </row>
    <row r="6040" spans="19:25">
      <c r="S6040" t="str">
        <f t="shared" si="0"/>
        <v/>
      </c>
      <c r="T6040" t="str">
        <f t="shared" si="1"/>
        <v/>
      </c>
      <c r="U6040" t="str">
        <f t="shared" si="2"/>
        <v/>
      </c>
      <c r="V6040" t="str">
        <f>IF(OR(U6040="",U6040="ERRO_CHAVE"),"",IFERROR(MATCH(U6040,Fornecedores!$AF$1:$AF$6631,0),""))</f>
        <v/>
      </c>
      <c r="W6040" t="str">
        <f t="shared" si="3"/>
        <v/>
      </c>
      <c r="X6040" s="4" t="str">
        <f>IF(V6040="","",INDEX(Fornecedores!$X$1:$X$6631,V6040))</f>
        <v/>
      </c>
      <c r="Y6040" s="4" t="str">
        <f t="shared" si="4"/>
        <v/>
      </c>
    </row>
    <row r="6041" spans="19:25">
      <c r="S6041" t="str">
        <f t="shared" si="0"/>
        <v/>
      </c>
      <c r="T6041" t="str">
        <f t="shared" si="1"/>
        <v/>
      </c>
      <c r="U6041" t="str">
        <f t="shared" si="2"/>
        <v/>
      </c>
      <c r="V6041" t="str">
        <f>IF(OR(U6041="",U6041="ERRO_CHAVE"),"",IFERROR(MATCH(U6041,Fornecedores!$AF$1:$AF$6631,0),""))</f>
        <v/>
      </c>
      <c r="W6041" t="str">
        <f t="shared" si="3"/>
        <v/>
      </c>
      <c r="X6041" s="4" t="str">
        <f>IF(V6041="","",INDEX(Fornecedores!$X$1:$X$6631,V6041))</f>
        <v/>
      </c>
      <c r="Y6041" s="4" t="str">
        <f t="shared" si="4"/>
        <v/>
      </c>
    </row>
    <row r="6042" spans="19:25">
      <c r="S6042" t="str">
        <f t="shared" si="0"/>
        <v/>
      </c>
      <c r="T6042" t="str">
        <f t="shared" si="1"/>
        <v/>
      </c>
      <c r="U6042" t="str">
        <f t="shared" si="2"/>
        <v/>
      </c>
      <c r="V6042" t="str">
        <f>IF(OR(U6042="",U6042="ERRO_CHAVE"),"",IFERROR(MATCH(U6042,Fornecedores!$AF$1:$AF$6631,0),""))</f>
        <v/>
      </c>
      <c r="W6042" t="str">
        <f t="shared" si="3"/>
        <v/>
      </c>
      <c r="X6042" s="4" t="str">
        <f>IF(V6042="","",INDEX(Fornecedores!$X$1:$X$6631,V6042))</f>
        <v/>
      </c>
      <c r="Y6042" s="4" t="str">
        <f t="shared" si="4"/>
        <v/>
      </c>
    </row>
    <row r="6043" spans="19:25">
      <c r="S6043" t="str">
        <f t="shared" si="0"/>
        <v/>
      </c>
      <c r="T6043" t="str">
        <f t="shared" si="1"/>
        <v/>
      </c>
      <c r="U6043" t="str">
        <f t="shared" si="2"/>
        <v/>
      </c>
      <c r="V6043" t="str">
        <f>IF(OR(U6043="",U6043="ERRO_CHAVE"),"",IFERROR(MATCH(U6043,Fornecedores!$AF$1:$AF$6631,0),""))</f>
        <v/>
      </c>
      <c r="W6043" t="str">
        <f t="shared" si="3"/>
        <v/>
      </c>
      <c r="X6043" s="4" t="str">
        <f>IF(V6043="","",INDEX(Fornecedores!$X$1:$X$6631,V6043))</f>
        <v/>
      </c>
      <c r="Y6043" s="4" t="str">
        <f t="shared" si="4"/>
        <v/>
      </c>
    </row>
    <row r="6044" spans="19:25">
      <c r="S6044" t="str">
        <f t="shared" si="0"/>
        <v/>
      </c>
      <c r="T6044" t="str">
        <f t="shared" si="1"/>
        <v/>
      </c>
      <c r="U6044" t="str">
        <f t="shared" si="2"/>
        <v/>
      </c>
      <c r="V6044" t="str">
        <f>IF(OR(U6044="",U6044="ERRO_CHAVE"),"",IFERROR(MATCH(U6044,Fornecedores!$AF$1:$AF$6631,0),""))</f>
        <v/>
      </c>
      <c r="W6044" t="str">
        <f t="shared" si="3"/>
        <v/>
      </c>
      <c r="X6044" s="4" t="str">
        <f>IF(V6044="","",INDEX(Fornecedores!$X$1:$X$6631,V6044))</f>
        <v/>
      </c>
      <c r="Y6044" s="4" t="str">
        <f t="shared" si="4"/>
        <v/>
      </c>
    </row>
    <row r="6045" spans="19:25">
      <c r="S6045" t="str">
        <f t="shared" si="0"/>
        <v/>
      </c>
      <c r="T6045" t="str">
        <f t="shared" si="1"/>
        <v/>
      </c>
      <c r="U6045" t="str">
        <f t="shared" si="2"/>
        <v/>
      </c>
      <c r="V6045" t="str">
        <f>IF(OR(U6045="",U6045="ERRO_CHAVE"),"",IFERROR(MATCH(U6045,Fornecedores!$AF$1:$AF$6631,0),""))</f>
        <v/>
      </c>
      <c r="W6045" t="str">
        <f t="shared" si="3"/>
        <v/>
      </c>
      <c r="X6045" s="4" t="str">
        <f>IF(V6045="","",INDEX(Fornecedores!$X$1:$X$6631,V6045))</f>
        <v/>
      </c>
      <c r="Y6045" s="4" t="str">
        <f t="shared" si="4"/>
        <v/>
      </c>
    </row>
    <row r="6046" spans="19:25">
      <c r="S6046" t="str">
        <f t="shared" si="0"/>
        <v/>
      </c>
      <c r="T6046" t="str">
        <f t="shared" si="1"/>
        <v/>
      </c>
      <c r="U6046" t="str">
        <f t="shared" si="2"/>
        <v/>
      </c>
      <c r="V6046" t="str">
        <f>IF(OR(U6046="",U6046="ERRO_CHAVE"),"",IFERROR(MATCH(U6046,Fornecedores!$AF$1:$AF$6631,0),""))</f>
        <v/>
      </c>
      <c r="W6046" t="str">
        <f t="shared" si="3"/>
        <v/>
      </c>
      <c r="X6046" s="4" t="str">
        <f>IF(V6046="","",INDEX(Fornecedores!$X$1:$X$6631,V6046))</f>
        <v/>
      </c>
      <c r="Y6046" s="4" t="str">
        <f t="shared" si="4"/>
        <v/>
      </c>
    </row>
    <row r="6047" spans="19:25">
      <c r="S6047" t="str">
        <f t="shared" si="0"/>
        <v/>
      </c>
      <c r="T6047" t="str">
        <f t="shared" si="1"/>
        <v/>
      </c>
      <c r="U6047" t="str">
        <f t="shared" si="2"/>
        <v/>
      </c>
      <c r="V6047" t="str">
        <f>IF(OR(U6047="",U6047="ERRO_CHAVE"),"",IFERROR(MATCH(U6047,Fornecedores!$AF$1:$AF$6631,0),""))</f>
        <v/>
      </c>
      <c r="W6047" t="str">
        <f t="shared" si="3"/>
        <v/>
      </c>
      <c r="X6047" s="4" t="str">
        <f>IF(V6047="","",INDEX(Fornecedores!$X$1:$X$6631,V6047))</f>
        <v/>
      </c>
      <c r="Y6047" s="4" t="str">
        <f t="shared" si="4"/>
        <v/>
      </c>
    </row>
    <row r="6048" spans="19:25">
      <c r="S6048" t="str">
        <f t="shared" si="0"/>
        <v/>
      </c>
      <c r="T6048" t="str">
        <f t="shared" si="1"/>
        <v/>
      </c>
      <c r="U6048" t="str">
        <f t="shared" si="2"/>
        <v/>
      </c>
      <c r="V6048" t="str">
        <f>IF(OR(U6048="",U6048="ERRO_CHAVE"),"",IFERROR(MATCH(U6048,Fornecedores!$AF$1:$AF$6631,0),""))</f>
        <v/>
      </c>
      <c r="W6048" t="str">
        <f t="shared" si="3"/>
        <v/>
      </c>
      <c r="X6048" s="4" t="str">
        <f>IF(V6048="","",INDEX(Fornecedores!$X$1:$X$6631,V6048))</f>
        <v/>
      </c>
      <c r="Y6048" s="4" t="str">
        <f t="shared" si="4"/>
        <v/>
      </c>
    </row>
    <row r="6049" spans="19:25">
      <c r="S6049" t="str">
        <f t="shared" si="0"/>
        <v/>
      </c>
      <c r="T6049" t="str">
        <f t="shared" si="1"/>
        <v/>
      </c>
      <c r="U6049" t="str">
        <f t="shared" si="2"/>
        <v/>
      </c>
      <c r="V6049" t="str">
        <f>IF(OR(U6049="",U6049="ERRO_CHAVE"),"",IFERROR(MATCH(U6049,Fornecedores!$AF$1:$AF$6631,0),""))</f>
        <v/>
      </c>
      <c r="W6049" t="str">
        <f t="shared" si="3"/>
        <v/>
      </c>
      <c r="X6049" s="4" t="str">
        <f>IF(V6049="","",INDEX(Fornecedores!$X$1:$X$6631,V6049))</f>
        <v/>
      </c>
      <c r="Y6049" s="4" t="str">
        <f t="shared" si="4"/>
        <v/>
      </c>
    </row>
    <row r="6050" spans="19:25">
      <c r="S6050" t="str">
        <f t="shared" si="0"/>
        <v/>
      </c>
      <c r="T6050" t="str">
        <f t="shared" si="1"/>
        <v/>
      </c>
      <c r="U6050" t="str">
        <f t="shared" si="2"/>
        <v/>
      </c>
      <c r="V6050" t="str">
        <f>IF(OR(U6050="",U6050="ERRO_CHAVE"),"",IFERROR(MATCH(U6050,Fornecedores!$AF$1:$AF$6631,0),""))</f>
        <v/>
      </c>
      <c r="W6050" t="str">
        <f t="shared" si="3"/>
        <v/>
      </c>
      <c r="X6050" s="4" t="str">
        <f>IF(V6050="","",INDEX(Fornecedores!$X$1:$X$6631,V6050))</f>
        <v/>
      </c>
      <c r="Y6050" s="4" t="str">
        <f t="shared" si="4"/>
        <v/>
      </c>
    </row>
    <row r="6051" spans="19:25">
      <c r="S6051" t="str">
        <f t="shared" si="0"/>
        <v/>
      </c>
      <c r="T6051" t="str">
        <f t="shared" si="1"/>
        <v/>
      </c>
      <c r="U6051" t="str">
        <f t="shared" si="2"/>
        <v/>
      </c>
      <c r="V6051" t="str">
        <f>IF(OR(U6051="",U6051="ERRO_CHAVE"),"",IFERROR(MATCH(U6051,Fornecedores!$AF$1:$AF$6631,0),""))</f>
        <v/>
      </c>
      <c r="W6051" t="str">
        <f t="shared" si="3"/>
        <v/>
      </c>
      <c r="X6051" s="4" t="str">
        <f>IF(V6051="","",INDEX(Fornecedores!$X$1:$X$6631,V6051))</f>
        <v/>
      </c>
      <c r="Y6051" s="4" t="str">
        <f t="shared" si="4"/>
        <v/>
      </c>
    </row>
    <row r="6052" spans="19:25">
      <c r="S6052" t="str">
        <f t="shared" si="0"/>
        <v/>
      </c>
      <c r="T6052" t="str">
        <f t="shared" si="1"/>
        <v/>
      </c>
      <c r="U6052" t="str">
        <f t="shared" si="2"/>
        <v/>
      </c>
      <c r="V6052" t="str">
        <f>IF(OR(U6052="",U6052="ERRO_CHAVE"),"",IFERROR(MATCH(U6052,Fornecedores!$AF$1:$AF$6631,0),""))</f>
        <v/>
      </c>
      <c r="W6052" t="str">
        <f t="shared" si="3"/>
        <v/>
      </c>
      <c r="X6052" s="4" t="str">
        <f>IF(V6052="","",INDEX(Fornecedores!$X$1:$X$6631,V6052))</f>
        <v/>
      </c>
      <c r="Y6052" s="4" t="str">
        <f t="shared" si="4"/>
        <v/>
      </c>
    </row>
    <row r="6053" spans="19:25">
      <c r="S6053" t="str">
        <f t="shared" si="0"/>
        <v/>
      </c>
      <c r="T6053" t="str">
        <f t="shared" si="1"/>
        <v/>
      </c>
      <c r="U6053" t="str">
        <f t="shared" si="2"/>
        <v/>
      </c>
      <c r="V6053" t="str">
        <f>IF(OR(U6053="",U6053="ERRO_CHAVE"),"",IFERROR(MATCH(U6053,Fornecedores!$AF$1:$AF$6631,0),""))</f>
        <v/>
      </c>
      <c r="W6053" t="str">
        <f t="shared" si="3"/>
        <v/>
      </c>
      <c r="X6053" s="4" t="str">
        <f>IF(V6053="","",INDEX(Fornecedores!$X$1:$X$6631,V6053))</f>
        <v/>
      </c>
      <c r="Y6053" s="4" t="str">
        <f t="shared" si="4"/>
        <v/>
      </c>
    </row>
    <row r="6054" spans="19:25">
      <c r="S6054" t="str">
        <f t="shared" si="0"/>
        <v/>
      </c>
      <c r="T6054" t="str">
        <f t="shared" si="1"/>
        <v/>
      </c>
      <c r="U6054" t="str">
        <f t="shared" si="2"/>
        <v/>
      </c>
      <c r="V6054" t="str">
        <f>IF(OR(U6054="",U6054="ERRO_CHAVE"),"",IFERROR(MATCH(U6054,Fornecedores!$AF$1:$AF$6631,0),""))</f>
        <v/>
      </c>
      <c r="W6054" t="str">
        <f t="shared" si="3"/>
        <v/>
      </c>
      <c r="X6054" s="4" t="str">
        <f>IF(V6054="","",INDEX(Fornecedores!$X$1:$X$6631,V6054))</f>
        <v/>
      </c>
      <c r="Y6054" s="4" t="str">
        <f t="shared" si="4"/>
        <v/>
      </c>
    </row>
    <row r="6055" spans="19:25">
      <c r="S6055" t="str">
        <f t="shared" si="0"/>
        <v/>
      </c>
      <c r="T6055" t="str">
        <f t="shared" si="1"/>
        <v/>
      </c>
      <c r="U6055" t="str">
        <f t="shared" si="2"/>
        <v/>
      </c>
      <c r="V6055" t="str">
        <f>IF(OR(U6055="",U6055="ERRO_CHAVE"),"",IFERROR(MATCH(U6055,Fornecedores!$AF$1:$AF$6631,0),""))</f>
        <v/>
      </c>
      <c r="W6055" t="str">
        <f t="shared" si="3"/>
        <v/>
      </c>
      <c r="X6055" s="4" t="str">
        <f>IF(V6055="","",INDEX(Fornecedores!$X$1:$X$6631,V6055))</f>
        <v/>
      </c>
      <c r="Y6055" s="4" t="str">
        <f t="shared" si="4"/>
        <v/>
      </c>
    </row>
    <row r="6056" spans="19:25">
      <c r="S6056" t="str">
        <f t="shared" si="0"/>
        <v/>
      </c>
      <c r="T6056" t="str">
        <f t="shared" si="1"/>
        <v/>
      </c>
      <c r="U6056" t="str">
        <f t="shared" si="2"/>
        <v/>
      </c>
      <c r="V6056" t="str">
        <f>IF(OR(U6056="",U6056="ERRO_CHAVE"),"",IFERROR(MATCH(U6056,Fornecedores!$AF$1:$AF$6631,0),""))</f>
        <v/>
      </c>
      <c r="W6056" t="str">
        <f t="shared" si="3"/>
        <v/>
      </c>
      <c r="X6056" s="4" t="str">
        <f>IF(V6056="","",INDEX(Fornecedores!$X$1:$X$6631,V6056))</f>
        <v/>
      </c>
      <c r="Y6056" s="4" t="str">
        <f t="shared" si="4"/>
        <v/>
      </c>
    </row>
    <row r="6057" spans="19:25">
      <c r="S6057" t="str">
        <f t="shared" si="0"/>
        <v/>
      </c>
      <c r="T6057" t="str">
        <f t="shared" si="1"/>
        <v/>
      </c>
      <c r="U6057" t="str">
        <f t="shared" si="2"/>
        <v/>
      </c>
      <c r="V6057" t="str">
        <f>IF(OR(U6057="",U6057="ERRO_CHAVE"),"",IFERROR(MATCH(U6057,Fornecedores!$AF$1:$AF$6631,0),""))</f>
        <v/>
      </c>
      <c r="W6057" t="str">
        <f t="shared" si="3"/>
        <v/>
      </c>
      <c r="X6057" s="4" t="str">
        <f>IF(V6057="","",INDEX(Fornecedores!$X$1:$X$6631,V6057))</f>
        <v/>
      </c>
      <c r="Y6057" s="4" t="str">
        <f t="shared" si="4"/>
        <v/>
      </c>
    </row>
    <row r="6058" spans="19:25">
      <c r="S6058" t="str">
        <f t="shared" si="0"/>
        <v/>
      </c>
      <c r="T6058" t="str">
        <f t="shared" si="1"/>
        <v/>
      </c>
      <c r="U6058" t="str">
        <f t="shared" si="2"/>
        <v/>
      </c>
      <c r="V6058" t="str">
        <f>IF(OR(U6058="",U6058="ERRO_CHAVE"),"",IFERROR(MATCH(U6058,Fornecedores!$AF$1:$AF$6631,0),""))</f>
        <v/>
      </c>
      <c r="W6058" t="str">
        <f t="shared" si="3"/>
        <v/>
      </c>
      <c r="X6058" s="4" t="str">
        <f>IF(V6058="","",INDEX(Fornecedores!$X$1:$X$6631,V6058))</f>
        <v/>
      </c>
      <c r="Y6058" s="4" t="str">
        <f t="shared" si="4"/>
        <v/>
      </c>
    </row>
    <row r="6059" spans="19:25">
      <c r="S6059" t="str">
        <f t="shared" si="0"/>
        <v/>
      </c>
      <c r="T6059" t="str">
        <f t="shared" si="1"/>
        <v/>
      </c>
      <c r="U6059" t="str">
        <f t="shared" si="2"/>
        <v/>
      </c>
      <c r="V6059" t="str">
        <f>IF(OR(U6059="",U6059="ERRO_CHAVE"),"",IFERROR(MATCH(U6059,Fornecedores!$AF$1:$AF$6631,0),""))</f>
        <v/>
      </c>
      <c r="W6059" t="str">
        <f t="shared" si="3"/>
        <v/>
      </c>
      <c r="X6059" s="4" t="str">
        <f>IF(V6059="","",INDEX(Fornecedores!$X$1:$X$6631,V6059))</f>
        <v/>
      </c>
      <c r="Y6059" s="4" t="str">
        <f t="shared" si="4"/>
        <v/>
      </c>
    </row>
    <row r="6060" spans="19:25">
      <c r="S6060" t="str">
        <f t="shared" si="0"/>
        <v/>
      </c>
      <c r="T6060" t="str">
        <f t="shared" si="1"/>
        <v/>
      </c>
      <c r="U6060" t="str">
        <f t="shared" si="2"/>
        <v/>
      </c>
      <c r="V6060" t="str">
        <f>IF(OR(U6060="",U6060="ERRO_CHAVE"),"",IFERROR(MATCH(U6060,Fornecedores!$AF$1:$AF$6631,0),""))</f>
        <v/>
      </c>
      <c r="W6060" t="str">
        <f t="shared" si="3"/>
        <v/>
      </c>
      <c r="X6060" s="4" t="str">
        <f>IF(V6060="","",INDEX(Fornecedores!$X$1:$X$6631,V6060))</f>
        <v/>
      </c>
      <c r="Y6060" s="4" t="str">
        <f t="shared" si="4"/>
        <v/>
      </c>
    </row>
    <row r="6061" spans="19:25">
      <c r="S6061" t="str">
        <f t="shared" si="0"/>
        <v/>
      </c>
      <c r="T6061" t="str">
        <f t="shared" si="1"/>
        <v/>
      </c>
      <c r="U6061" t="str">
        <f t="shared" si="2"/>
        <v/>
      </c>
      <c r="V6061" t="str">
        <f>IF(OR(U6061="",U6061="ERRO_CHAVE"),"",IFERROR(MATCH(U6061,Fornecedores!$AF$1:$AF$6631,0),""))</f>
        <v/>
      </c>
      <c r="W6061" t="str">
        <f t="shared" si="3"/>
        <v/>
      </c>
      <c r="X6061" s="4" t="str">
        <f>IF(V6061="","",INDEX(Fornecedores!$X$1:$X$6631,V6061))</f>
        <v/>
      </c>
      <c r="Y6061" s="4" t="str">
        <f t="shared" si="4"/>
        <v/>
      </c>
    </row>
    <row r="6062" spans="19:25">
      <c r="S6062" t="str">
        <f t="shared" si="0"/>
        <v/>
      </c>
      <c r="T6062" t="str">
        <f t="shared" si="1"/>
        <v/>
      </c>
      <c r="U6062" t="str">
        <f t="shared" si="2"/>
        <v/>
      </c>
      <c r="V6062" t="str">
        <f>IF(OR(U6062="",U6062="ERRO_CHAVE"),"",IFERROR(MATCH(U6062,Fornecedores!$AF$1:$AF$6631,0),""))</f>
        <v/>
      </c>
      <c r="W6062" t="str">
        <f t="shared" si="3"/>
        <v/>
      </c>
      <c r="X6062" s="4" t="str">
        <f>IF(V6062="","",INDEX(Fornecedores!$X$1:$X$6631,V6062))</f>
        <v/>
      </c>
      <c r="Y6062" s="4" t="str">
        <f t="shared" si="4"/>
        <v/>
      </c>
    </row>
    <row r="6063" spans="19:25">
      <c r="S6063" t="str">
        <f t="shared" si="0"/>
        <v/>
      </c>
      <c r="T6063" t="str">
        <f t="shared" si="1"/>
        <v/>
      </c>
      <c r="U6063" t="str">
        <f t="shared" si="2"/>
        <v/>
      </c>
      <c r="V6063" t="str">
        <f>IF(OR(U6063="",U6063="ERRO_CHAVE"),"",IFERROR(MATCH(U6063,Fornecedores!$AF$1:$AF$6631,0),""))</f>
        <v/>
      </c>
      <c r="W6063" t="str">
        <f t="shared" si="3"/>
        <v/>
      </c>
      <c r="X6063" s="4" t="str">
        <f>IF(V6063="","",INDEX(Fornecedores!$X$1:$X$6631,V6063))</f>
        <v/>
      </c>
      <c r="Y6063" s="4" t="str">
        <f t="shared" si="4"/>
        <v/>
      </c>
    </row>
    <row r="6064" spans="19:25">
      <c r="S6064" t="str">
        <f t="shared" si="0"/>
        <v/>
      </c>
      <c r="T6064" t="str">
        <f t="shared" si="1"/>
        <v/>
      </c>
      <c r="U6064" t="str">
        <f t="shared" si="2"/>
        <v/>
      </c>
      <c r="V6064" t="str">
        <f>IF(OR(U6064="",U6064="ERRO_CHAVE"),"",IFERROR(MATCH(U6064,Fornecedores!$AF$1:$AF$6631,0),""))</f>
        <v/>
      </c>
      <c r="W6064" t="str">
        <f t="shared" si="3"/>
        <v/>
      </c>
      <c r="X6064" s="4" t="str">
        <f>IF(V6064="","",INDEX(Fornecedores!$X$1:$X$6631,V6064))</f>
        <v/>
      </c>
      <c r="Y6064" s="4" t="str">
        <f t="shared" si="4"/>
        <v/>
      </c>
    </row>
    <row r="6065" spans="19:25">
      <c r="S6065" t="str">
        <f t="shared" si="0"/>
        <v/>
      </c>
      <c r="T6065" t="str">
        <f t="shared" si="1"/>
        <v/>
      </c>
      <c r="U6065" t="str">
        <f t="shared" si="2"/>
        <v/>
      </c>
      <c r="V6065" t="str">
        <f>IF(OR(U6065="",U6065="ERRO_CHAVE"),"",IFERROR(MATCH(U6065,Fornecedores!$AF$1:$AF$6631,0),""))</f>
        <v/>
      </c>
      <c r="W6065" t="str">
        <f t="shared" si="3"/>
        <v/>
      </c>
      <c r="X6065" s="4" t="str">
        <f>IF(V6065="","",INDEX(Fornecedores!$X$1:$X$6631,V6065))</f>
        <v/>
      </c>
      <c r="Y6065" s="4" t="str">
        <f t="shared" si="4"/>
        <v/>
      </c>
    </row>
    <row r="6066" spans="19:25">
      <c r="S6066" t="str">
        <f t="shared" si="0"/>
        <v/>
      </c>
      <c r="T6066" t="str">
        <f t="shared" si="1"/>
        <v/>
      </c>
      <c r="U6066" t="str">
        <f t="shared" si="2"/>
        <v/>
      </c>
      <c r="V6066" t="str">
        <f>IF(OR(U6066="",U6066="ERRO_CHAVE"),"",IFERROR(MATCH(U6066,Fornecedores!$AF$1:$AF$6631,0),""))</f>
        <v/>
      </c>
      <c r="W6066" t="str">
        <f t="shared" si="3"/>
        <v/>
      </c>
      <c r="X6066" s="4" t="str">
        <f>IF(V6066="","",INDEX(Fornecedores!$X$1:$X$6631,V6066))</f>
        <v/>
      </c>
      <c r="Y6066" s="4" t="str">
        <f t="shared" si="4"/>
        <v/>
      </c>
    </row>
    <row r="6067" spans="19:25">
      <c r="S6067" t="str">
        <f t="shared" si="0"/>
        <v/>
      </c>
      <c r="T6067" t="str">
        <f t="shared" si="1"/>
        <v/>
      </c>
      <c r="U6067" t="str">
        <f t="shared" si="2"/>
        <v/>
      </c>
      <c r="V6067" t="str">
        <f>IF(OR(U6067="",U6067="ERRO_CHAVE"),"",IFERROR(MATCH(U6067,Fornecedores!$AF$1:$AF$6631,0),""))</f>
        <v/>
      </c>
      <c r="W6067" t="str">
        <f t="shared" si="3"/>
        <v/>
      </c>
      <c r="X6067" s="4" t="str">
        <f>IF(V6067="","",INDEX(Fornecedores!$X$1:$X$6631,V6067))</f>
        <v/>
      </c>
      <c r="Y6067" s="4" t="str">
        <f t="shared" si="4"/>
        <v/>
      </c>
    </row>
    <row r="6068" spans="19:25">
      <c r="S6068" t="str">
        <f t="shared" si="0"/>
        <v/>
      </c>
      <c r="T6068" t="str">
        <f t="shared" si="1"/>
        <v/>
      </c>
      <c r="U6068" t="str">
        <f t="shared" si="2"/>
        <v/>
      </c>
      <c r="V6068" t="str">
        <f>IF(OR(U6068="",U6068="ERRO_CHAVE"),"",IFERROR(MATCH(U6068,Fornecedores!$AF$1:$AF$6631,0),""))</f>
        <v/>
      </c>
      <c r="W6068" t="str">
        <f t="shared" si="3"/>
        <v/>
      </c>
      <c r="X6068" s="4" t="str">
        <f>IF(V6068="","",INDEX(Fornecedores!$X$1:$X$6631,V6068))</f>
        <v/>
      </c>
      <c r="Y6068" s="4" t="str">
        <f t="shared" si="4"/>
        <v/>
      </c>
    </row>
    <row r="6069" spans="19:25">
      <c r="S6069" t="str">
        <f t="shared" si="0"/>
        <v/>
      </c>
      <c r="T6069" t="str">
        <f t="shared" si="1"/>
        <v/>
      </c>
      <c r="U6069" t="str">
        <f t="shared" si="2"/>
        <v/>
      </c>
      <c r="V6069" t="str">
        <f>IF(OR(U6069="",U6069="ERRO_CHAVE"),"",IFERROR(MATCH(U6069,Fornecedores!$AF$1:$AF$6631,0),""))</f>
        <v/>
      </c>
      <c r="W6069" t="str">
        <f t="shared" si="3"/>
        <v/>
      </c>
      <c r="X6069" s="4" t="str">
        <f>IF(V6069="","",INDEX(Fornecedores!$X$1:$X$6631,V6069))</f>
        <v/>
      </c>
      <c r="Y6069" s="4" t="str">
        <f t="shared" si="4"/>
        <v/>
      </c>
    </row>
    <row r="6070" spans="19:25">
      <c r="S6070" t="str">
        <f t="shared" si="0"/>
        <v/>
      </c>
      <c r="T6070" t="str">
        <f t="shared" si="1"/>
        <v/>
      </c>
      <c r="U6070" t="str">
        <f t="shared" si="2"/>
        <v/>
      </c>
      <c r="V6070" t="str">
        <f>IF(OR(U6070="",U6070="ERRO_CHAVE"),"",IFERROR(MATCH(U6070,Fornecedores!$AF$1:$AF$6631,0),""))</f>
        <v/>
      </c>
      <c r="W6070" t="str">
        <f t="shared" si="3"/>
        <v/>
      </c>
      <c r="X6070" s="4" t="str">
        <f>IF(V6070="","",INDEX(Fornecedores!$X$1:$X$6631,V6070))</f>
        <v/>
      </c>
      <c r="Y6070" s="4" t="str">
        <f t="shared" si="4"/>
        <v/>
      </c>
    </row>
    <row r="6071" spans="19:25">
      <c r="S6071" t="str">
        <f t="shared" si="0"/>
        <v/>
      </c>
      <c r="T6071" t="str">
        <f t="shared" si="1"/>
        <v/>
      </c>
      <c r="U6071" t="str">
        <f t="shared" si="2"/>
        <v/>
      </c>
      <c r="V6071" t="str">
        <f>IF(OR(U6071="",U6071="ERRO_CHAVE"),"",IFERROR(MATCH(U6071,Fornecedores!$AF$1:$AF$6631,0),""))</f>
        <v/>
      </c>
      <c r="W6071" t="str">
        <f t="shared" si="3"/>
        <v/>
      </c>
      <c r="X6071" s="4" t="str">
        <f>IF(V6071="","",INDEX(Fornecedores!$X$1:$X$6631,V6071))</f>
        <v/>
      </c>
      <c r="Y6071" s="4" t="str">
        <f t="shared" si="4"/>
        <v/>
      </c>
    </row>
    <row r="6072" spans="19:25">
      <c r="S6072" t="str">
        <f t="shared" si="0"/>
        <v/>
      </c>
      <c r="T6072" t="str">
        <f t="shared" si="1"/>
        <v/>
      </c>
      <c r="U6072" t="str">
        <f t="shared" si="2"/>
        <v/>
      </c>
      <c r="V6072" t="str">
        <f>IF(OR(U6072="",U6072="ERRO_CHAVE"),"",IFERROR(MATCH(U6072,Fornecedores!$AF$1:$AF$6631,0),""))</f>
        <v/>
      </c>
      <c r="W6072" t="str">
        <f t="shared" si="3"/>
        <v/>
      </c>
      <c r="X6072" s="4" t="str">
        <f>IF(V6072="","",INDEX(Fornecedores!$X$1:$X$6631,V6072))</f>
        <v/>
      </c>
      <c r="Y6072" s="4" t="str">
        <f t="shared" si="4"/>
        <v/>
      </c>
    </row>
    <row r="6073" spans="19:25">
      <c r="S6073" t="str">
        <f t="shared" si="0"/>
        <v/>
      </c>
      <c r="T6073" t="str">
        <f t="shared" si="1"/>
        <v/>
      </c>
      <c r="U6073" t="str">
        <f t="shared" si="2"/>
        <v/>
      </c>
      <c r="V6073" t="str">
        <f>IF(OR(U6073="",U6073="ERRO_CHAVE"),"",IFERROR(MATCH(U6073,Fornecedores!$AF$1:$AF$6631,0),""))</f>
        <v/>
      </c>
      <c r="W6073" t="str">
        <f t="shared" si="3"/>
        <v/>
      </c>
      <c r="X6073" s="4" t="str">
        <f>IF(V6073="","",INDEX(Fornecedores!$X$1:$X$6631,V6073))</f>
        <v/>
      </c>
      <c r="Y6073" s="4" t="str">
        <f t="shared" si="4"/>
        <v/>
      </c>
    </row>
    <row r="6074" spans="19:25">
      <c r="S6074" t="str">
        <f t="shared" si="0"/>
        <v/>
      </c>
      <c r="T6074" t="str">
        <f t="shared" si="1"/>
        <v/>
      </c>
      <c r="U6074" t="str">
        <f t="shared" si="2"/>
        <v/>
      </c>
      <c r="V6074" t="str">
        <f>IF(OR(U6074="",U6074="ERRO_CHAVE"),"",IFERROR(MATCH(U6074,Fornecedores!$AF$1:$AF$6631,0),""))</f>
        <v/>
      </c>
      <c r="W6074" t="str">
        <f t="shared" si="3"/>
        <v/>
      </c>
      <c r="X6074" s="4" t="str">
        <f>IF(V6074="","",INDEX(Fornecedores!$X$1:$X$6631,V6074))</f>
        <v/>
      </c>
      <c r="Y6074" s="4" t="str">
        <f t="shared" si="4"/>
        <v/>
      </c>
    </row>
    <row r="6075" spans="19:25">
      <c r="S6075" t="str">
        <f t="shared" si="0"/>
        <v/>
      </c>
      <c r="T6075" t="str">
        <f t="shared" si="1"/>
        <v/>
      </c>
      <c r="U6075" t="str">
        <f t="shared" si="2"/>
        <v/>
      </c>
      <c r="V6075" t="str">
        <f>IF(OR(U6075="",U6075="ERRO_CHAVE"),"",IFERROR(MATCH(U6075,Fornecedores!$AF$1:$AF$6631,0),""))</f>
        <v/>
      </c>
      <c r="W6075" t="str">
        <f t="shared" si="3"/>
        <v/>
      </c>
      <c r="X6075" s="4" t="str">
        <f>IF(V6075="","",INDEX(Fornecedores!$X$1:$X$6631,V6075))</f>
        <v/>
      </c>
      <c r="Y6075" s="4" t="str">
        <f t="shared" si="4"/>
        <v/>
      </c>
    </row>
    <row r="6076" spans="19:25">
      <c r="S6076" t="str">
        <f t="shared" si="0"/>
        <v/>
      </c>
      <c r="T6076" t="str">
        <f t="shared" si="1"/>
        <v/>
      </c>
      <c r="U6076" t="str">
        <f t="shared" si="2"/>
        <v/>
      </c>
      <c r="V6076" t="str">
        <f>IF(OR(U6076="",U6076="ERRO_CHAVE"),"",IFERROR(MATCH(U6076,Fornecedores!$AF$1:$AF$6631,0),""))</f>
        <v/>
      </c>
      <c r="W6076" t="str">
        <f t="shared" si="3"/>
        <v/>
      </c>
      <c r="X6076" s="4" t="str">
        <f>IF(V6076="","",INDEX(Fornecedores!$X$1:$X$6631,V6076))</f>
        <v/>
      </c>
      <c r="Y6076" s="4" t="str">
        <f t="shared" si="4"/>
        <v/>
      </c>
    </row>
    <row r="6077" spans="19:25">
      <c r="S6077" t="str">
        <f t="shared" si="0"/>
        <v/>
      </c>
      <c r="T6077" t="str">
        <f t="shared" si="1"/>
        <v/>
      </c>
      <c r="U6077" t="str">
        <f t="shared" si="2"/>
        <v/>
      </c>
      <c r="V6077" t="str">
        <f>IF(OR(U6077="",U6077="ERRO_CHAVE"),"",IFERROR(MATCH(U6077,Fornecedores!$AF$1:$AF$6631,0),""))</f>
        <v/>
      </c>
      <c r="W6077" t="str">
        <f t="shared" si="3"/>
        <v/>
      </c>
      <c r="X6077" s="4" t="str">
        <f>IF(V6077="","",INDEX(Fornecedores!$X$1:$X$6631,V6077))</f>
        <v/>
      </c>
      <c r="Y6077" s="4" t="str">
        <f t="shared" si="4"/>
        <v/>
      </c>
    </row>
    <row r="6078" spans="19:25">
      <c r="S6078" t="str">
        <f t="shared" si="0"/>
        <v/>
      </c>
      <c r="T6078" t="str">
        <f t="shared" si="1"/>
        <v/>
      </c>
      <c r="U6078" t="str">
        <f t="shared" si="2"/>
        <v/>
      </c>
      <c r="V6078" t="str">
        <f>IF(OR(U6078="",U6078="ERRO_CHAVE"),"",IFERROR(MATCH(U6078,Fornecedores!$AF$1:$AF$6631,0),""))</f>
        <v/>
      </c>
      <c r="W6078" t="str">
        <f t="shared" si="3"/>
        <v/>
      </c>
      <c r="X6078" s="4" t="str">
        <f>IF(V6078="","",INDEX(Fornecedores!$X$1:$X$6631,V6078))</f>
        <v/>
      </c>
      <c r="Y6078" s="4" t="str">
        <f t="shared" si="4"/>
        <v/>
      </c>
    </row>
    <row r="6079" spans="19:25">
      <c r="S6079" t="str">
        <f t="shared" si="0"/>
        <v/>
      </c>
      <c r="T6079" t="str">
        <f t="shared" si="1"/>
        <v/>
      </c>
      <c r="U6079" t="str">
        <f t="shared" si="2"/>
        <v/>
      </c>
      <c r="V6079" t="str">
        <f>IF(OR(U6079="",U6079="ERRO_CHAVE"),"",IFERROR(MATCH(U6079,Fornecedores!$AF$1:$AF$6631,0),""))</f>
        <v/>
      </c>
      <c r="W6079" t="str">
        <f t="shared" si="3"/>
        <v/>
      </c>
      <c r="X6079" s="4" t="str">
        <f>IF(V6079="","",INDEX(Fornecedores!$X$1:$X$6631,V6079))</f>
        <v/>
      </c>
      <c r="Y6079" s="4" t="str">
        <f t="shared" si="4"/>
        <v/>
      </c>
    </row>
    <row r="6080" spans="19:25">
      <c r="S6080" t="str">
        <f t="shared" si="0"/>
        <v/>
      </c>
      <c r="T6080" t="str">
        <f t="shared" si="1"/>
        <v/>
      </c>
      <c r="U6080" t="str">
        <f t="shared" si="2"/>
        <v/>
      </c>
      <c r="V6080" t="str">
        <f>IF(OR(U6080="",U6080="ERRO_CHAVE"),"",IFERROR(MATCH(U6080,Fornecedores!$AF$1:$AF$6631,0),""))</f>
        <v/>
      </c>
      <c r="W6080" t="str">
        <f t="shared" si="3"/>
        <v/>
      </c>
      <c r="X6080" s="4" t="str">
        <f>IF(V6080="","",INDEX(Fornecedores!$X$1:$X$6631,V6080))</f>
        <v/>
      </c>
      <c r="Y6080" s="4" t="str">
        <f t="shared" si="4"/>
        <v/>
      </c>
    </row>
    <row r="6081" spans="19:25">
      <c r="S6081" t="str">
        <f t="shared" si="0"/>
        <v/>
      </c>
      <c r="T6081" t="str">
        <f t="shared" si="1"/>
        <v/>
      </c>
      <c r="U6081" t="str">
        <f t="shared" si="2"/>
        <v/>
      </c>
      <c r="V6081" t="str">
        <f>IF(OR(U6081="",U6081="ERRO_CHAVE"),"",IFERROR(MATCH(U6081,Fornecedores!$AF$1:$AF$6631,0),""))</f>
        <v/>
      </c>
      <c r="W6081" t="str">
        <f t="shared" si="3"/>
        <v/>
      </c>
      <c r="X6081" s="4" t="str">
        <f>IF(V6081="","",INDEX(Fornecedores!$X$1:$X$6631,V6081))</f>
        <v/>
      </c>
      <c r="Y6081" s="4" t="str">
        <f t="shared" si="4"/>
        <v/>
      </c>
    </row>
    <row r="6082" spans="19:25">
      <c r="S6082" t="str">
        <f t="shared" si="0"/>
        <v/>
      </c>
      <c r="T6082" t="str">
        <f t="shared" si="1"/>
        <v/>
      </c>
      <c r="U6082" t="str">
        <f t="shared" si="2"/>
        <v/>
      </c>
      <c r="V6082" t="str">
        <f>IF(OR(U6082="",U6082="ERRO_CHAVE"),"",IFERROR(MATCH(U6082,Fornecedores!$AF$1:$AF$6631,0),""))</f>
        <v/>
      </c>
      <c r="W6082" t="str">
        <f t="shared" si="3"/>
        <v/>
      </c>
      <c r="X6082" s="4" t="str">
        <f>IF(V6082="","",INDEX(Fornecedores!$X$1:$X$6631,V6082))</f>
        <v/>
      </c>
      <c r="Y6082" s="4" t="str">
        <f t="shared" si="4"/>
        <v/>
      </c>
    </row>
    <row r="6083" spans="19:25">
      <c r="S6083" t="str">
        <f t="shared" si="0"/>
        <v/>
      </c>
      <c r="T6083" t="str">
        <f t="shared" si="1"/>
        <v/>
      </c>
      <c r="U6083" t="str">
        <f t="shared" si="2"/>
        <v/>
      </c>
      <c r="V6083" t="str">
        <f>IF(OR(U6083="",U6083="ERRO_CHAVE"),"",IFERROR(MATCH(U6083,Fornecedores!$AF$1:$AF$6631,0),""))</f>
        <v/>
      </c>
      <c r="W6083" t="str">
        <f t="shared" si="3"/>
        <v/>
      </c>
      <c r="X6083" s="4" t="str">
        <f>IF(V6083="","",INDEX(Fornecedores!$X$1:$X$6631,V6083))</f>
        <v/>
      </c>
      <c r="Y6083" s="4" t="str">
        <f t="shared" si="4"/>
        <v/>
      </c>
    </row>
    <row r="6084" spans="19:25">
      <c r="S6084" t="str">
        <f t="shared" si="0"/>
        <v/>
      </c>
      <c r="T6084" t="str">
        <f t="shared" si="1"/>
        <v/>
      </c>
      <c r="U6084" t="str">
        <f t="shared" si="2"/>
        <v/>
      </c>
      <c r="V6084" t="str">
        <f>IF(OR(U6084="",U6084="ERRO_CHAVE"),"",IFERROR(MATCH(U6084,Fornecedores!$AF$1:$AF$6631,0),""))</f>
        <v/>
      </c>
      <c r="W6084" t="str">
        <f t="shared" si="3"/>
        <v/>
      </c>
      <c r="X6084" s="4" t="str">
        <f>IF(V6084="","",INDEX(Fornecedores!$X$1:$X$6631,V6084))</f>
        <v/>
      </c>
      <c r="Y6084" s="4" t="str">
        <f t="shared" si="4"/>
        <v/>
      </c>
    </row>
    <row r="6085" spans="19:25">
      <c r="S6085" t="str">
        <f t="shared" si="0"/>
        <v/>
      </c>
      <c r="T6085" t="str">
        <f t="shared" si="1"/>
        <v/>
      </c>
      <c r="U6085" t="str">
        <f t="shared" si="2"/>
        <v/>
      </c>
      <c r="V6085" t="str">
        <f>IF(OR(U6085="",U6085="ERRO_CHAVE"),"",IFERROR(MATCH(U6085,Fornecedores!$AF$1:$AF$6631,0),""))</f>
        <v/>
      </c>
      <c r="W6085" t="str">
        <f t="shared" si="3"/>
        <v/>
      </c>
      <c r="X6085" s="4" t="str">
        <f>IF(V6085="","",INDEX(Fornecedores!$X$1:$X$6631,V6085))</f>
        <v/>
      </c>
      <c r="Y6085" s="4" t="str">
        <f t="shared" si="4"/>
        <v/>
      </c>
    </row>
    <row r="6086" spans="19:25">
      <c r="S6086" t="str">
        <f t="shared" si="0"/>
        <v/>
      </c>
      <c r="T6086" t="str">
        <f t="shared" si="1"/>
        <v/>
      </c>
      <c r="U6086" t="str">
        <f t="shared" si="2"/>
        <v/>
      </c>
      <c r="V6086" t="str">
        <f>IF(OR(U6086="",U6086="ERRO_CHAVE"),"",IFERROR(MATCH(U6086,Fornecedores!$AF$1:$AF$6631,0),""))</f>
        <v/>
      </c>
      <c r="W6086" t="str">
        <f t="shared" si="3"/>
        <v/>
      </c>
      <c r="X6086" s="4" t="str">
        <f>IF(V6086="","",INDEX(Fornecedores!$X$1:$X$6631,V6086))</f>
        <v/>
      </c>
      <c r="Y6086" s="4" t="str">
        <f t="shared" si="4"/>
        <v/>
      </c>
    </row>
    <row r="6087" spans="19:25">
      <c r="S6087" t="str">
        <f t="shared" si="0"/>
        <v/>
      </c>
      <c r="T6087" t="str">
        <f t="shared" si="1"/>
        <v/>
      </c>
      <c r="U6087" t="str">
        <f t="shared" si="2"/>
        <v/>
      </c>
      <c r="V6087" t="str">
        <f>IF(OR(U6087="",U6087="ERRO_CHAVE"),"",IFERROR(MATCH(U6087,Fornecedores!$AF$1:$AF$6631,0),""))</f>
        <v/>
      </c>
      <c r="W6087" t="str">
        <f t="shared" si="3"/>
        <v/>
      </c>
      <c r="X6087" s="4" t="str">
        <f>IF(V6087="","",INDEX(Fornecedores!$X$1:$X$6631,V6087))</f>
        <v/>
      </c>
      <c r="Y6087" s="4" t="str">
        <f t="shared" si="4"/>
        <v/>
      </c>
    </row>
    <row r="6088" spans="19:25">
      <c r="S6088" t="str">
        <f t="shared" si="0"/>
        <v/>
      </c>
      <c r="T6088" t="str">
        <f t="shared" si="1"/>
        <v/>
      </c>
      <c r="U6088" t="str">
        <f t="shared" si="2"/>
        <v/>
      </c>
      <c r="V6088" t="str">
        <f>IF(OR(U6088="",U6088="ERRO_CHAVE"),"",IFERROR(MATCH(U6088,Fornecedores!$AF$1:$AF$6631,0),""))</f>
        <v/>
      </c>
      <c r="W6088" t="str">
        <f t="shared" si="3"/>
        <v/>
      </c>
      <c r="X6088" s="4" t="str">
        <f>IF(V6088="","",INDEX(Fornecedores!$X$1:$X$6631,V6088))</f>
        <v/>
      </c>
      <c r="Y6088" s="4" t="str">
        <f t="shared" si="4"/>
        <v/>
      </c>
    </row>
    <row r="6089" spans="19:25">
      <c r="S6089" t="str">
        <f t="shared" si="0"/>
        <v/>
      </c>
      <c r="T6089" t="str">
        <f t="shared" si="1"/>
        <v/>
      </c>
      <c r="U6089" t="str">
        <f t="shared" si="2"/>
        <v/>
      </c>
      <c r="V6089" t="str">
        <f>IF(OR(U6089="",U6089="ERRO_CHAVE"),"",IFERROR(MATCH(U6089,Fornecedores!$AF$1:$AF$6631,0),""))</f>
        <v/>
      </c>
      <c r="W6089" t="str">
        <f t="shared" si="3"/>
        <v/>
      </c>
      <c r="X6089" s="4" t="str">
        <f>IF(V6089="","",INDEX(Fornecedores!$X$1:$X$6631,V6089))</f>
        <v/>
      </c>
      <c r="Y6089" s="4" t="str">
        <f t="shared" si="4"/>
        <v/>
      </c>
    </row>
    <row r="6090" spans="19:25">
      <c r="S6090" t="str">
        <f t="shared" si="0"/>
        <v/>
      </c>
      <c r="T6090" t="str">
        <f t="shared" si="1"/>
        <v/>
      </c>
      <c r="U6090" t="str">
        <f t="shared" si="2"/>
        <v/>
      </c>
      <c r="V6090" t="str">
        <f>IF(OR(U6090="",U6090="ERRO_CHAVE"),"",IFERROR(MATCH(U6090,Fornecedores!$AF$1:$AF$6631,0),""))</f>
        <v/>
      </c>
      <c r="W6090" t="str">
        <f t="shared" si="3"/>
        <v/>
      </c>
      <c r="X6090" s="4" t="str">
        <f>IF(V6090="","",INDEX(Fornecedores!$X$1:$X$6631,V6090))</f>
        <v/>
      </c>
      <c r="Y6090" s="4" t="str">
        <f t="shared" si="4"/>
        <v/>
      </c>
    </row>
    <row r="6091" spans="19:25">
      <c r="S6091" t="str">
        <f t="shared" si="0"/>
        <v/>
      </c>
      <c r="T6091" t="str">
        <f t="shared" si="1"/>
        <v/>
      </c>
      <c r="U6091" t="str">
        <f t="shared" si="2"/>
        <v/>
      </c>
      <c r="V6091" t="str">
        <f>IF(OR(U6091="",U6091="ERRO_CHAVE"),"",IFERROR(MATCH(U6091,Fornecedores!$AF$1:$AF$6631,0),""))</f>
        <v/>
      </c>
      <c r="W6091" t="str">
        <f t="shared" si="3"/>
        <v/>
      </c>
      <c r="X6091" s="4" t="str">
        <f>IF(V6091="","",INDEX(Fornecedores!$X$1:$X$6631,V6091))</f>
        <v/>
      </c>
      <c r="Y6091" s="4" t="str">
        <f t="shared" si="4"/>
        <v/>
      </c>
    </row>
    <row r="6092" spans="19:25">
      <c r="S6092" t="str">
        <f t="shared" si="0"/>
        <v/>
      </c>
      <c r="T6092" t="str">
        <f t="shared" si="1"/>
        <v/>
      </c>
      <c r="U6092" t="str">
        <f t="shared" si="2"/>
        <v/>
      </c>
      <c r="V6092" t="str">
        <f>IF(OR(U6092="",U6092="ERRO_CHAVE"),"",IFERROR(MATCH(U6092,Fornecedores!$AF$1:$AF$6631,0),""))</f>
        <v/>
      </c>
      <c r="W6092" t="str">
        <f t="shared" si="3"/>
        <v/>
      </c>
      <c r="X6092" s="4" t="str">
        <f>IF(V6092="","",INDEX(Fornecedores!$X$1:$X$6631,V6092))</f>
        <v/>
      </c>
      <c r="Y6092" s="4" t="str">
        <f t="shared" si="4"/>
        <v/>
      </c>
    </row>
    <row r="6093" spans="19:25">
      <c r="S6093" t="str">
        <f t="shared" si="0"/>
        <v/>
      </c>
      <c r="T6093" t="str">
        <f t="shared" si="1"/>
        <v/>
      </c>
      <c r="U6093" t="str">
        <f t="shared" si="2"/>
        <v/>
      </c>
      <c r="V6093" t="str">
        <f>IF(OR(U6093="",U6093="ERRO_CHAVE"),"",IFERROR(MATCH(U6093,Fornecedores!$AF$1:$AF$6631,0),""))</f>
        <v/>
      </c>
      <c r="W6093" t="str">
        <f t="shared" si="3"/>
        <v/>
      </c>
      <c r="X6093" s="4" t="str">
        <f>IF(V6093="","",INDEX(Fornecedores!$X$1:$X$6631,V6093))</f>
        <v/>
      </c>
      <c r="Y6093" s="4" t="str">
        <f t="shared" si="4"/>
        <v/>
      </c>
    </row>
    <row r="6094" spans="19:25">
      <c r="S6094" t="str">
        <f t="shared" si="0"/>
        <v/>
      </c>
      <c r="T6094" t="str">
        <f t="shared" si="1"/>
        <v/>
      </c>
      <c r="U6094" t="str">
        <f t="shared" si="2"/>
        <v/>
      </c>
      <c r="V6094" t="str">
        <f>IF(OR(U6094="",U6094="ERRO_CHAVE"),"",IFERROR(MATCH(U6094,Fornecedores!$AF$1:$AF$6631,0),""))</f>
        <v/>
      </c>
      <c r="W6094" t="str">
        <f t="shared" si="3"/>
        <v/>
      </c>
      <c r="X6094" s="4" t="str">
        <f>IF(V6094="","",INDEX(Fornecedores!$X$1:$X$6631,V6094))</f>
        <v/>
      </c>
      <c r="Y6094" s="4" t="str">
        <f t="shared" si="4"/>
        <v/>
      </c>
    </row>
    <row r="6095" spans="19:25">
      <c r="S6095" t="str">
        <f t="shared" si="0"/>
        <v/>
      </c>
      <c r="T6095" t="str">
        <f t="shared" si="1"/>
        <v/>
      </c>
      <c r="U6095" t="str">
        <f t="shared" si="2"/>
        <v/>
      </c>
      <c r="V6095" t="str">
        <f>IF(OR(U6095="",U6095="ERRO_CHAVE"),"",IFERROR(MATCH(U6095,Fornecedores!$AF$1:$AF$6631,0),""))</f>
        <v/>
      </c>
      <c r="W6095" t="str">
        <f t="shared" si="3"/>
        <v/>
      </c>
      <c r="X6095" s="4" t="str">
        <f>IF(V6095="","",INDEX(Fornecedores!$X$1:$X$6631,V6095))</f>
        <v/>
      </c>
      <c r="Y6095" s="4" t="str">
        <f t="shared" si="4"/>
        <v/>
      </c>
    </row>
    <row r="6096" spans="19:25">
      <c r="S6096" t="str">
        <f t="shared" si="0"/>
        <v/>
      </c>
      <c r="T6096" t="str">
        <f t="shared" si="1"/>
        <v/>
      </c>
      <c r="U6096" t="str">
        <f t="shared" si="2"/>
        <v/>
      </c>
      <c r="V6096" t="str">
        <f>IF(OR(U6096="",U6096="ERRO_CHAVE"),"",IFERROR(MATCH(U6096,Fornecedores!$AF$1:$AF$6631,0),""))</f>
        <v/>
      </c>
      <c r="W6096" t="str">
        <f t="shared" si="3"/>
        <v/>
      </c>
      <c r="X6096" s="4" t="str">
        <f>IF(V6096="","",INDEX(Fornecedores!$X$1:$X$6631,V6096))</f>
        <v/>
      </c>
      <c r="Y6096" s="4" t="str">
        <f t="shared" si="4"/>
        <v/>
      </c>
    </row>
    <row r="6097" spans="19:25">
      <c r="S6097" t="str">
        <f t="shared" si="0"/>
        <v/>
      </c>
      <c r="T6097" t="str">
        <f t="shared" si="1"/>
        <v/>
      </c>
      <c r="U6097" t="str">
        <f t="shared" si="2"/>
        <v/>
      </c>
      <c r="V6097" t="str">
        <f>IF(OR(U6097="",U6097="ERRO_CHAVE"),"",IFERROR(MATCH(U6097,Fornecedores!$AF$1:$AF$6631,0),""))</f>
        <v/>
      </c>
      <c r="W6097" t="str">
        <f t="shared" si="3"/>
        <v/>
      </c>
      <c r="X6097" s="4" t="str">
        <f>IF(V6097="","",INDEX(Fornecedores!$X$1:$X$6631,V6097))</f>
        <v/>
      </c>
      <c r="Y6097" s="4" t="str">
        <f t="shared" si="4"/>
        <v/>
      </c>
    </row>
    <row r="6098" spans="19:25">
      <c r="S6098" t="str">
        <f t="shared" si="0"/>
        <v/>
      </c>
      <c r="T6098" t="str">
        <f t="shared" si="1"/>
        <v/>
      </c>
      <c r="U6098" t="str">
        <f t="shared" si="2"/>
        <v/>
      </c>
      <c r="V6098" t="str">
        <f>IF(OR(U6098="",U6098="ERRO_CHAVE"),"",IFERROR(MATCH(U6098,Fornecedores!$AF$1:$AF$6631,0),""))</f>
        <v/>
      </c>
      <c r="W6098" t="str">
        <f t="shared" si="3"/>
        <v/>
      </c>
      <c r="X6098" s="4" t="str">
        <f>IF(V6098="","",INDEX(Fornecedores!$X$1:$X$6631,V6098))</f>
        <v/>
      </c>
      <c r="Y6098" s="4" t="str">
        <f t="shared" si="4"/>
        <v/>
      </c>
    </row>
    <row r="6099" spans="19:25">
      <c r="S6099" t="str">
        <f t="shared" si="0"/>
        <v/>
      </c>
      <c r="T6099" t="str">
        <f t="shared" si="1"/>
        <v/>
      </c>
      <c r="U6099" t="str">
        <f t="shared" si="2"/>
        <v/>
      </c>
      <c r="V6099" t="str">
        <f>IF(OR(U6099="",U6099="ERRO_CHAVE"),"",IFERROR(MATCH(U6099,Fornecedores!$AF$1:$AF$6631,0),""))</f>
        <v/>
      </c>
      <c r="W6099" t="str">
        <f t="shared" si="3"/>
        <v/>
      </c>
      <c r="X6099" s="4" t="str">
        <f>IF(V6099="","",INDEX(Fornecedores!$X$1:$X$6631,V6099))</f>
        <v/>
      </c>
      <c r="Y6099" s="4" t="str">
        <f t="shared" si="4"/>
        <v/>
      </c>
    </row>
    <row r="6100" spans="19:25">
      <c r="S6100" t="str">
        <f t="shared" si="0"/>
        <v/>
      </c>
      <c r="T6100" t="str">
        <f t="shared" si="1"/>
        <v/>
      </c>
      <c r="U6100" t="str">
        <f t="shared" si="2"/>
        <v/>
      </c>
      <c r="V6100" t="str">
        <f>IF(OR(U6100="",U6100="ERRO_CHAVE"),"",IFERROR(MATCH(U6100,Fornecedores!$AF$1:$AF$6631,0),""))</f>
        <v/>
      </c>
      <c r="W6100" t="str">
        <f t="shared" si="3"/>
        <v/>
      </c>
      <c r="X6100" s="4" t="str">
        <f>IF(V6100="","",INDEX(Fornecedores!$X$1:$X$6631,V6100))</f>
        <v/>
      </c>
      <c r="Y6100" s="4" t="str">
        <f t="shared" si="4"/>
        <v/>
      </c>
    </row>
    <row r="6101" spans="19:25">
      <c r="S6101" t="str">
        <f t="shared" si="0"/>
        <v/>
      </c>
      <c r="T6101" t="str">
        <f t="shared" si="1"/>
        <v/>
      </c>
      <c r="U6101" t="str">
        <f t="shared" si="2"/>
        <v/>
      </c>
      <c r="V6101" t="str">
        <f>IF(OR(U6101="",U6101="ERRO_CHAVE"),"",IFERROR(MATCH(U6101,Fornecedores!$AF$1:$AF$6631,0),""))</f>
        <v/>
      </c>
      <c r="W6101" t="str">
        <f t="shared" si="3"/>
        <v/>
      </c>
      <c r="X6101" s="4" t="str">
        <f>IF(V6101="","",INDEX(Fornecedores!$X$1:$X$6631,V6101))</f>
        <v/>
      </c>
      <c r="Y6101" s="4" t="str">
        <f t="shared" si="4"/>
        <v/>
      </c>
    </row>
    <row r="6102" spans="19:25">
      <c r="S6102" t="str">
        <f t="shared" si="0"/>
        <v/>
      </c>
      <c r="T6102" t="str">
        <f t="shared" si="1"/>
        <v/>
      </c>
      <c r="U6102" t="str">
        <f t="shared" si="2"/>
        <v/>
      </c>
      <c r="V6102" t="str">
        <f>IF(OR(U6102="",U6102="ERRO_CHAVE"),"",IFERROR(MATCH(U6102,Fornecedores!$AF$1:$AF$6631,0),""))</f>
        <v/>
      </c>
      <c r="W6102" t="str">
        <f t="shared" si="3"/>
        <v/>
      </c>
      <c r="X6102" s="4" t="str">
        <f>IF(V6102="","",INDEX(Fornecedores!$X$1:$X$6631,V6102))</f>
        <v/>
      </c>
      <c r="Y6102" s="4" t="str">
        <f t="shared" si="4"/>
        <v/>
      </c>
    </row>
    <row r="6103" spans="19:25">
      <c r="S6103" t="str">
        <f t="shared" si="0"/>
        <v/>
      </c>
      <c r="T6103" t="str">
        <f t="shared" si="1"/>
        <v/>
      </c>
      <c r="U6103" t="str">
        <f t="shared" si="2"/>
        <v/>
      </c>
      <c r="V6103" t="str">
        <f>IF(OR(U6103="",U6103="ERRO_CHAVE"),"",IFERROR(MATCH(U6103,Fornecedores!$AF$1:$AF$6631,0),""))</f>
        <v/>
      </c>
      <c r="W6103" t="str">
        <f t="shared" si="3"/>
        <v/>
      </c>
      <c r="X6103" s="4" t="str">
        <f>IF(V6103="","",INDEX(Fornecedores!$X$1:$X$6631,V6103))</f>
        <v/>
      </c>
      <c r="Y6103" s="4" t="str">
        <f t="shared" si="4"/>
        <v/>
      </c>
    </row>
    <row r="6104" spans="19:25">
      <c r="S6104" t="str">
        <f t="shared" si="0"/>
        <v/>
      </c>
      <c r="T6104" t="str">
        <f t="shared" si="1"/>
        <v/>
      </c>
      <c r="U6104" t="str">
        <f t="shared" si="2"/>
        <v/>
      </c>
      <c r="V6104" t="str">
        <f>IF(OR(U6104="",U6104="ERRO_CHAVE"),"",IFERROR(MATCH(U6104,Fornecedores!$AF$1:$AF$6631,0),""))</f>
        <v/>
      </c>
      <c r="W6104" t="str">
        <f t="shared" si="3"/>
        <v/>
      </c>
      <c r="X6104" s="4" t="str">
        <f>IF(V6104="","",INDEX(Fornecedores!$X$1:$X$6631,V6104))</f>
        <v/>
      </c>
      <c r="Y6104" s="4" t="str">
        <f t="shared" si="4"/>
        <v/>
      </c>
    </row>
    <row r="6105" spans="19:25">
      <c r="S6105" t="str">
        <f t="shared" si="0"/>
        <v/>
      </c>
      <c r="T6105" t="str">
        <f t="shared" si="1"/>
        <v/>
      </c>
      <c r="U6105" t="str">
        <f t="shared" si="2"/>
        <v/>
      </c>
      <c r="V6105" t="str">
        <f>IF(OR(U6105="",U6105="ERRO_CHAVE"),"",IFERROR(MATCH(U6105,Fornecedores!$AF$1:$AF$6631,0),""))</f>
        <v/>
      </c>
      <c r="W6105" t="str">
        <f t="shared" si="3"/>
        <v/>
      </c>
      <c r="X6105" s="4" t="str">
        <f>IF(V6105="","",INDEX(Fornecedores!$X$1:$X$6631,V6105))</f>
        <v/>
      </c>
      <c r="Y6105" s="4" t="str">
        <f t="shared" si="4"/>
        <v/>
      </c>
    </row>
    <row r="6106" spans="19:25">
      <c r="S6106" t="str">
        <f t="shared" si="0"/>
        <v/>
      </c>
      <c r="T6106" t="str">
        <f t="shared" si="1"/>
        <v/>
      </c>
      <c r="U6106" t="str">
        <f t="shared" si="2"/>
        <v/>
      </c>
      <c r="V6106" t="str">
        <f>IF(OR(U6106="",U6106="ERRO_CHAVE"),"",IFERROR(MATCH(U6106,Fornecedores!$AF$1:$AF$6631,0),""))</f>
        <v/>
      </c>
      <c r="W6106" t="str">
        <f t="shared" si="3"/>
        <v/>
      </c>
      <c r="X6106" s="4" t="str">
        <f>IF(V6106="","",INDEX(Fornecedores!$X$1:$X$6631,V6106))</f>
        <v/>
      </c>
      <c r="Y6106" s="4" t="str">
        <f t="shared" si="4"/>
        <v/>
      </c>
    </row>
    <row r="6107" spans="19:25">
      <c r="S6107" t="str">
        <f t="shared" si="0"/>
        <v/>
      </c>
      <c r="T6107" t="str">
        <f t="shared" si="1"/>
        <v/>
      </c>
      <c r="U6107" t="str">
        <f t="shared" si="2"/>
        <v/>
      </c>
      <c r="V6107" t="str">
        <f>IF(OR(U6107="",U6107="ERRO_CHAVE"),"",IFERROR(MATCH(U6107,Fornecedores!$AF$1:$AF$6631,0),""))</f>
        <v/>
      </c>
      <c r="W6107" t="str">
        <f t="shared" si="3"/>
        <v/>
      </c>
      <c r="X6107" s="4" t="str">
        <f>IF(V6107="","",INDEX(Fornecedores!$X$1:$X$6631,V6107))</f>
        <v/>
      </c>
      <c r="Y6107" s="4" t="str">
        <f t="shared" si="4"/>
        <v/>
      </c>
    </row>
    <row r="6108" spans="19:25">
      <c r="S6108" t="str">
        <f t="shared" si="0"/>
        <v/>
      </c>
      <c r="T6108" t="str">
        <f t="shared" si="1"/>
        <v/>
      </c>
      <c r="U6108" t="str">
        <f t="shared" si="2"/>
        <v/>
      </c>
      <c r="V6108" t="str">
        <f>IF(OR(U6108="",U6108="ERRO_CHAVE"),"",IFERROR(MATCH(U6108,Fornecedores!$AF$1:$AF$6631,0),""))</f>
        <v/>
      </c>
      <c r="W6108" t="str">
        <f t="shared" si="3"/>
        <v/>
      </c>
      <c r="X6108" s="4" t="str">
        <f>IF(V6108="","",INDEX(Fornecedores!$X$1:$X$6631,V6108))</f>
        <v/>
      </c>
      <c r="Y6108" s="4" t="str">
        <f t="shared" si="4"/>
        <v/>
      </c>
    </row>
    <row r="6109" spans="19:25">
      <c r="S6109" t="str">
        <f t="shared" si="0"/>
        <v/>
      </c>
      <c r="T6109" t="str">
        <f t="shared" si="1"/>
        <v/>
      </c>
      <c r="U6109" t="str">
        <f t="shared" si="2"/>
        <v/>
      </c>
      <c r="V6109" t="str">
        <f>IF(OR(U6109="",U6109="ERRO_CHAVE"),"",IFERROR(MATCH(U6109,Fornecedores!$AF$1:$AF$6631,0),""))</f>
        <v/>
      </c>
      <c r="W6109" t="str">
        <f t="shared" si="3"/>
        <v/>
      </c>
      <c r="X6109" s="4" t="str">
        <f>IF(V6109="","",INDEX(Fornecedores!$X$1:$X$6631,V6109))</f>
        <v/>
      </c>
      <c r="Y6109" s="4" t="str">
        <f t="shared" si="4"/>
        <v/>
      </c>
    </row>
    <row r="6110" spans="19:25">
      <c r="S6110" t="str">
        <f t="shared" si="0"/>
        <v/>
      </c>
      <c r="T6110" t="str">
        <f t="shared" si="1"/>
        <v/>
      </c>
      <c r="U6110" t="str">
        <f t="shared" si="2"/>
        <v/>
      </c>
      <c r="V6110" t="str">
        <f>IF(OR(U6110="",U6110="ERRO_CHAVE"),"",IFERROR(MATCH(U6110,Fornecedores!$AF$1:$AF$6631,0),""))</f>
        <v/>
      </c>
      <c r="W6110" t="str">
        <f t="shared" si="3"/>
        <v/>
      </c>
      <c r="X6110" s="4" t="str">
        <f>IF(V6110="","",INDEX(Fornecedores!$X$1:$X$6631,V6110))</f>
        <v/>
      </c>
      <c r="Y6110" s="4" t="str">
        <f t="shared" si="4"/>
        <v/>
      </c>
    </row>
    <row r="6111" spans="19:25">
      <c r="S6111" t="str">
        <f t="shared" si="0"/>
        <v/>
      </c>
      <c r="T6111" t="str">
        <f t="shared" si="1"/>
        <v/>
      </c>
      <c r="U6111" t="str">
        <f t="shared" si="2"/>
        <v/>
      </c>
      <c r="V6111" t="str">
        <f>IF(OR(U6111="",U6111="ERRO_CHAVE"),"",IFERROR(MATCH(U6111,Fornecedores!$AF$1:$AF$6631,0),""))</f>
        <v/>
      </c>
      <c r="W6111" t="str">
        <f t="shared" si="3"/>
        <v/>
      </c>
      <c r="X6111" s="4" t="str">
        <f>IF(V6111="","",INDEX(Fornecedores!$X$1:$X$6631,V6111))</f>
        <v/>
      </c>
      <c r="Y6111" s="4" t="str">
        <f t="shared" si="4"/>
        <v/>
      </c>
    </row>
    <row r="6112" spans="19:25">
      <c r="S6112" t="str">
        <f t="shared" si="0"/>
        <v/>
      </c>
      <c r="T6112" t="str">
        <f t="shared" si="1"/>
        <v/>
      </c>
      <c r="U6112" t="str">
        <f t="shared" si="2"/>
        <v/>
      </c>
      <c r="V6112" t="str">
        <f>IF(OR(U6112="",U6112="ERRO_CHAVE"),"",IFERROR(MATCH(U6112,Fornecedores!$AF$1:$AF$6631,0),""))</f>
        <v/>
      </c>
      <c r="W6112" t="str">
        <f t="shared" si="3"/>
        <v/>
      </c>
      <c r="X6112" s="4" t="str">
        <f>IF(V6112="","",INDEX(Fornecedores!$X$1:$X$6631,V6112))</f>
        <v/>
      </c>
      <c r="Y6112" s="4" t="str">
        <f t="shared" si="4"/>
        <v/>
      </c>
    </row>
    <row r="6113" spans="19:25">
      <c r="S6113" t="str">
        <f t="shared" si="0"/>
        <v/>
      </c>
      <c r="T6113" t="str">
        <f t="shared" si="1"/>
        <v/>
      </c>
      <c r="U6113" t="str">
        <f t="shared" si="2"/>
        <v/>
      </c>
      <c r="V6113" t="str">
        <f>IF(OR(U6113="",U6113="ERRO_CHAVE"),"",IFERROR(MATCH(U6113,Fornecedores!$AF$1:$AF$6631,0),""))</f>
        <v/>
      </c>
      <c r="W6113" t="str">
        <f t="shared" si="3"/>
        <v/>
      </c>
      <c r="X6113" s="4" t="str">
        <f>IF(V6113="","",INDEX(Fornecedores!$X$1:$X$6631,V6113))</f>
        <v/>
      </c>
      <c r="Y6113" s="4" t="str">
        <f t="shared" si="4"/>
        <v/>
      </c>
    </row>
    <row r="6114" spans="19:25">
      <c r="S6114" t="str">
        <f t="shared" si="0"/>
        <v/>
      </c>
      <c r="T6114" t="str">
        <f t="shared" si="1"/>
        <v/>
      </c>
      <c r="U6114" t="str">
        <f t="shared" si="2"/>
        <v/>
      </c>
      <c r="V6114" t="str">
        <f>IF(OR(U6114="",U6114="ERRO_CHAVE"),"",IFERROR(MATCH(U6114,Fornecedores!$AF$1:$AF$6631,0),""))</f>
        <v/>
      </c>
      <c r="W6114" t="str">
        <f t="shared" si="3"/>
        <v/>
      </c>
      <c r="X6114" s="4" t="str">
        <f>IF(V6114="","",INDEX(Fornecedores!$X$1:$X$6631,V6114))</f>
        <v/>
      </c>
      <c r="Y6114" s="4" t="str">
        <f t="shared" si="4"/>
        <v/>
      </c>
    </row>
    <row r="6115" spans="19:25">
      <c r="S6115" t="str">
        <f t="shared" si="0"/>
        <v/>
      </c>
      <c r="T6115" t="str">
        <f t="shared" si="1"/>
        <v/>
      </c>
      <c r="U6115" t="str">
        <f t="shared" si="2"/>
        <v/>
      </c>
      <c r="V6115" t="str">
        <f>IF(OR(U6115="",U6115="ERRO_CHAVE"),"",IFERROR(MATCH(U6115,Fornecedores!$AF$1:$AF$6631,0),""))</f>
        <v/>
      </c>
      <c r="W6115" t="str">
        <f t="shared" si="3"/>
        <v/>
      </c>
      <c r="X6115" s="4" t="str">
        <f>IF(V6115="","",INDEX(Fornecedores!$X$1:$X$6631,V6115))</f>
        <v/>
      </c>
      <c r="Y6115" s="4" t="str">
        <f t="shared" si="4"/>
        <v/>
      </c>
    </row>
    <row r="6116" spans="19:25">
      <c r="S6116" t="str">
        <f t="shared" si="0"/>
        <v/>
      </c>
      <c r="T6116" t="str">
        <f t="shared" si="1"/>
        <v/>
      </c>
      <c r="U6116" t="str">
        <f t="shared" si="2"/>
        <v/>
      </c>
      <c r="V6116" t="str">
        <f>IF(OR(U6116="",U6116="ERRO_CHAVE"),"",IFERROR(MATCH(U6116,Fornecedores!$AF$1:$AF$6631,0),""))</f>
        <v/>
      </c>
      <c r="W6116" t="str">
        <f t="shared" si="3"/>
        <v/>
      </c>
      <c r="X6116" s="4" t="str">
        <f>IF(V6116="","",INDEX(Fornecedores!$X$1:$X$6631,V6116))</f>
        <v/>
      </c>
      <c r="Y6116" s="4" t="str">
        <f t="shared" si="4"/>
        <v/>
      </c>
    </row>
    <row r="6117" spans="19:25">
      <c r="S6117" t="str">
        <f t="shared" si="0"/>
        <v/>
      </c>
      <c r="T6117" t="str">
        <f t="shared" si="1"/>
        <v/>
      </c>
      <c r="U6117" t="str">
        <f t="shared" si="2"/>
        <v/>
      </c>
      <c r="V6117" t="str">
        <f>IF(OR(U6117="",U6117="ERRO_CHAVE"),"",IFERROR(MATCH(U6117,Fornecedores!$AF$1:$AF$6631,0),""))</f>
        <v/>
      </c>
      <c r="W6117" t="str">
        <f t="shared" si="3"/>
        <v/>
      </c>
      <c r="X6117" s="4" t="str">
        <f>IF(V6117="","",INDEX(Fornecedores!$X$1:$X$6631,V6117))</f>
        <v/>
      </c>
      <c r="Y6117" s="4" t="str">
        <f t="shared" si="4"/>
        <v/>
      </c>
    </row>
    <row r="6118" spans="19:25">
      <c r="S6118" t="str">
        <f t="shared" si="0"/>
        <v/>
      </c>
      <c r="T6118" t="str">
        <f t="shared" si="1"/>
        <v/>
      </c>
      <c r="U6118" t="str">
        <f t="shared" si="2"/>
        <v/>
      </c>
      <c r="V6118" t="str">
        <f>IF(OR(U6118="",U6118="ERRO_CHAVE"),"",IFERROR(MATCH(U6118,Fornecedores!$AF$1:$AF$6631,0),""))</f>
        <v/>
      </c>
      <c r="W6118" t="str">
        <f t="shared" si="3"/>
        <v/>
      </c>
      <c r="X6118" s="4" t="str">
        <f>IF(V6118="","",INDEX(Fornecedores!$X$1:$X$6631,V6118))</f>
        <v/>
      </c>
      <c r="Y6118" s="4" t="str">
        <f t="shared" si="4"/>
        <v/>
      </c>
    </row>
    <row r="6119" spans="19:25">
      <c r="S6119" t="str">
        <f t="shared" si="0"/>
        <v/>
      </c>
      <c r="T6119" t="str">
        <f t="shared" si="1"/>
        <v/>
      </c>
      <c r="U6119" t="str">
        <f t="shared" si="2"/>
        <v/>
      </c>
      <c r="V6119" t="str">
        <f>IF(OR(U6119="",U6119="ERRO_CHAVE"),"",IFERROR(MATCH(U6119,Fornecedores!$AF$1:$AF$6631,0),""))</f>
        <v/>
      </c>
      <c r="W6119" t="str">
        <f t="shared" si="3"/>
        <v/>
      </c>
      <c r="X6119" s="4" t="str">
        <f>IF(V6119="","",INDEX(Fornecedores!$X$1:$X$6631,V6119))</f>
        <v/>
      </c>
      <c r="Y6119" s="4" t="str">
        <f t="shared" si="4"/>
        <v/>
      </c>
    </row>
    <row r="6120" spans="19:25">
      <c r="S6120" t="str">
        <f t="shared" si="0"/>
        <v/>
      </c>
      <c r="T6120" t="str">
        <f t="shared" si="1"/>
        <v/>
      </c>
      <c r="U6120" t="str">
        <f t="shared" si="2"/>
        <v/>
      </c>
      <c r="V6120" t="str">
        <f>IF(OR(U6120="",U6120="ERRO_CHAVE"),"",IFERROR(MATCH(U6120,Fornecedores!$AF$1:$AF$6631,0),""))</f>
        <v/>
      </c>
      <c r="W6120" t="str">
        <f t="shared" si="3"/>
        <v/>
      </c>
      <c r="X6120" s="4" t="str">
        <f>IF(V6120="","",INDEX(Fornecedores!$X$1:$X$6631,V6120))</f>
        <v/>
      </c>
      <c r="Y6120" s="4" t="str">
        <f t="shared" si="4"/>
        <v/>
      </c>
    </row>
    <row r="6121" spans="19:25">
      <c r="S6121" t="str">
        <f t="shared" si="0"/>
        <v/>
      </c>
      <c r="T6121" t="str">
        <f t="shared" si="1"/>
        <v/>
      </c>
      <c r="U6121" t="str">
        <f t="shared" si="2"/>
        <v/>
      </c>
      <c r="V6121" t="str">
        <f>IF(OR(U6121="",U6121="ERRO_CHAVE"),"",IFERROR(MATCH(U6121,Fornecedores!$AF$1:$AF$6631,0),""))</f>
        <v/>
      </c>
      <c r="W6121" t="str">
        <f t="shared" si="3"/>
        <v/>
      </c>
      <c r="X6121" s="4" t="str">
        <f>IF(V6121="","",INDEX(Fornecedores!$X$1:$X$6631,V6121))</f>
        <v/>
      </c>
      <c r="Y6121" s="4" t="str">
        <f t="shared" si="4"/>
        <v/>
      </c>
    </row>
    <row r="6122" spans="19:25">
      <c r="S6122" t="str">
        <f t="shared" si="0"/>
        <v/>
      </c>
      <c r="T6122" t="str">
        <f t="shared" si="1"/>
        <v/>
      </c>
      <c r="U6122" t="str">
        <f t="shared" si="2"/>
        <v/>
      </c>
      <c r="V6122" t="str">
        <f>IF(OR(U6122="",U6122="ERRO_CHAVE"),"",IFERROR(MATCH(U6122,Fornecedores!$AF$1:$AF$6631,0),""))</f>
        <v/>
      </c>
      <c r="W6122" t="str">
        <f t="shared" si="3"/>
        <v/>
      </c>
      <c r="X6122" s="4" t="str">
        <f>IF(V6122="","",INDEX(Fornecedores!$X$1:$X$6631,V6122))</f>
        <v/>
      </c>
      <c r="Y6122" s="4" t="str">
        <f t="shared" si="4"/>
        <v/>
      </c>
    </row>
    <row r="6123" spans="19:25">
      <c r="S6123" t="str">
        <f t="shared" si="0"/>
        <v/>
      </c>
      <c r="T6123" t="str">
        <f t="shared" si="1"/>
        <v/>
      </c>
      <c r="U6123" t="str">
        <f t="shared" si="2"/>
        <v/>
      </c>
      <c r="V6123" t="str">
        <f>IF(OR(U6123="",U6123="ERRO_CHAVE"),"",IFERROR(MATCH(U6123,Fornecedores!$AF$1:$AF$6631,0),""))</f>
        <v/>
      </c>
      <c r="W6123" t="str">
        <f t="shared" si="3"/>
        <v/>
      </c>
      <c r="X6123" s="4" t="str">
        <f>IF(V6123="","",INDEX(Fornecedores!$X$1:$X$6631,V6123))</f>
        <v/>
      </c>
      <c r="Y6123" s="4" t="str">
        <f t="shared" si="4"/>
        <v/>
      </c>
    </row>
    <row r="6124" spans="19:25">
      <c r="S6124" t="str">
        <f t="shared" si="0"/>
        <v/>
      </c>
      <c r="T6124" t="str">
        <f t="shared" si="1"/>
        <v/>
      </c>
      <c r="U6124" t="str">
        <f t="shared" si="2"/>
        <v/>
      </c>
      <c r="V6124" t="str">
        <f>IF(OR(U6124="",U6124="ERRO_CHAVE"),"",IFERROR(MATCH(U6124,Fornecedores!$AF$1:$AF$6631,0),""))</f>
        <v/>
      </c>
      <c r="W6124" t="str">
        <f t="shared" si="3"/>
        <v/>
      </c>
      <c r="X6124" s="4" t="str">
        <f>IF(V6124="","",INDEX(Fornecedores!$X$1:$X$6631,V6124))</f>
        <v/>
      </c>
      <c r="Y6124" s="4" t="str">
        <f t="shared" si="4"/>
        <v/>
      </c>
    </row>
    <row r="6125" spans="19:25">
      <c r="S6125" t="str">
        <f t="shared" si="0"/>
        <v/>
      </c>
      <c r="T6125" t="str">
        <f t="shared" si="1"/>
        <v/>
      </c>
      <c r="U6125" t="str">
        <f t="shared" si="2"/>
        <v/>
      </c>
      <c r="V6125" t="str">
        <f>IF(OR(U6125="",U6125="ERRO_CHAVE"),"",IFERROR(MATCH(U6125,Fornecedores!$AF$1:$AF$6631,0),""))</f>
        <v/>
      </c>
      <c r="W6125" t="str">
        <f t="shared" si="3"/>
        <v/>
      </c>
      <c r="X6125" s="4" t="str">
        <f>IF(V6125="","",INDEX(Fornecedores!$X$1:$X$6631,V6125))</f>
        <v/>
      </c>
      <c r="Y6125" s="4" t="str">
        <f t="shared" si="4"/>
        <v/>
      </c>
    </row>
    <row r="6126" spans="19:25">
      <c r="S6126" t="str">
        <f t="shared" si="0"/>
        <v/>
      </c>
      <c r="T6126" t="str">
        <f t="shared" si="1"/>
        <v/>
      </c>
      <c r="U6126" t="str">
        <f t="shared" si="2"/>
        <v/>
      </c>
      <c r="V6126" t="str">
        <f>IF(OR(U6126="",U6126="ERRO_CHAVE"),"",IFERROR(MATCH(U6126,Fornecedores!$AF$1:$AF$6631,0),""))</f>
        <v/>
      </c>
      <c r="W6126" t="str">
        <f t="shared" si="3"/>
        <v/>
      </c>
      <c r="X6126" s="4" t="str">
        <f>IF(V6126="","",INDEX(Fornecedores!$X$1:$X$6631,V6126))</f>
        <v/>
      </c>
      <c r="Y6126" s="4" t="str">
        <f t="shared" si="4"/>
        <v/>
      </c>
    </row>
    <row r="6127" spans="19:25">
      <c r="S6127" t="str">
        <f t="shared" si="0"/>
        <v/>
      </c>
      <c r="T6127" t="str">
        <f t="shared" si="1"/>
        <v/>
      </c>
      <c r="U6127" t="str">
        <f t="shared" si="2"/>
        <v/>
      </c>
      <c r="V6127" t="str">
        <f>IF(OR(U6127="",U6127="ERRO_CHAVE"),"",IFERROR(MATCH(U6127,Fornecedores!$AF$1:$AF$6631,0),""))</f>
        <v/>
      </c>
      <c r="W6127" t="str">
        <f t="shared" si="3"/>
        <v/>
      </c>
      <c r="X6127" s="4" t="str">
        <f>IF(V6127="","",INDEX(Fornecedores!$X$1:$X$6631,V6127))</f>
        <v/>
      </c>
      <c r="Y6127" s="4" t="str">
        <f t="shared" si="4"/>
        <v/>
      </c>
    </row>
    <row r="6128" spans="19:25">
      <c r="S6128" t="str">
        <f t="shared" si="0"/>
        <v/>
      </c>
      <c r="T6128" t="str">
        <f t="shared" si="1"/>
        <v/>
      </c>
      <c r="U6128" t="str">
        <f t="shared" si="2"/>
        <v/>
      </c>
      <c r="V6128" t="str">
        <f>IF(OR(U6128="",U6128="ERRO_CHAVE"),"",IFERROR(MATCH(U6128,Fornecedores!$AF$1:$AF$6631,0),""))</f>
        <v/>
      </c>
      <c r="W6128" t="str">
        <f t="shared" si="3"/>
        <v/>
      </c>
      <c r="X6128" s="4" t="str">
        <f>IF(V6128="","",INDEX(Fornecedores!$X$1:$X$6631,V6128))</f>
        <v/>
      </c>
      <c r="Y6128" s="4" t="str">
        <f t="shared" si="4"/>
        <v/>
      </c>
    </row>
    <row r="6129" spans="19:25">
      <c r="S6129" t="str">
        <f t="shared" si="0"/>
        <v/>
      </c>
      <c r="T6129" t="str">
        <f t="shared" si="1"/>
        <v/>
      </c>
      <c r="U6129" t="str">
        <f t="shared" si="2"/>
        <v/>
      </c>
      <c r="V6129" t="str">
        <f>IF(OR(U6129="",U6129="ERRO_CHAVE"),"",IFERROR(MATCH(U6129,Fornecedores!$AF$1:$AF$6631,0),""))</f>
        <v/>
      </c>
      <c r="W6129" t="str">
        <f t="shared" si="3"/>
        <v/>
      </c>
      <c r="X6129" s="4" t="str">
        <f>IF(V6129="","",INDEX(Fornecedores!$X$1:$X$6631,V6129))</f>
        <v/>
      </c>
      <c r="Y6129" s="4" t="str">
        <f t="shared" si="4"/>
        <v/>
      </c>
    </row>
    <row r="6130" spans="19:25">
      <c r="S6130" t="str">
        <f t="shared" si="0"/>
        <v/>
      </c>
      <c r="T6130" t="str">
        <f t="shared" si="1"/>
        <v/>
      </c>
      <c r="U6130" t="str">
        <f t="shared" si="2"/>
        <v/>
      </c>
      <c r="V6130" t="str">
        <f>IF(OR(U6130="",U6130="ERRO_CHAVE"),"",IFERROR(MATCH(U6130,Fornecedores!$AF$1:$AF$6631,0),""))</f>
        <v/>
      </c>
      <c r="W6130" t="str">
        <f t="shared" si="3"/>
        <v/>
      </c>
      <c r="X6130" s="4" t="str">
        <f>IF(V6130="","",INDEX(Fornecedores!$X$1:$X$6631,V6130))</f>
        <v/>
      </c>
      <c r="Y6130" s="4" t="str">
        <f t="shared" si="4"/>
        <v/>
      </c>
    </row>
    <row r="6131" spans="19:25">
      <c r="S6131" t="str">
        <f t="shared" si="0"/>
        <v/>
      </c>
      <c r="T6131" t="str">
        <f t="shared" si="1"/>
        <v/>
      </c>
      <c r="U6131" t="str">
        <f t="shared" si="2"/>
        <v/>
      </c>
      <c r="V6131" t="str">
        <f>IF(OR(U6131="",U6131="ERRO_CHAVE"),"",IFERROR(MATCH(U6131,Fornecedores!$AF$1:$AF$6631,0),""))</f>
        <v/>
      </c>
      <c r="W6131" t="str">
        <f t="shared" si="3"/>
        <v/>
      </c>
      <c r="X6131" s="4" t="str">
        <f>IF(V6131="","",INDEX(Fornecedores!$X$1:$X$6631,V6131))</f>
        <v/>
      </c>
      <c r="Y6131" s="4" t="str">
        <f t="shared" si="4"/>
        <v/>
      </c>
    </row>
    <row r="6132" spans="19:25">
      <c r="S6132" t="str">
        <f t="shared" si="0"/>
        <v/>
      </c>
      <c r="T6132" t="str">
        <f t="shared" si="1"/>
        <v/>
      </c>
      <c r="U6132" t="str">
        <f t="shared" si="2"/>
        <v/>
      </c>
      <c r="V6132" t="str">
        <f>IF(OR(U6132="",U6132="ERRO_CHAVE"),"",IFERROR(MATCH(U6132,Fornecedores!$AF$1:$AF$6631,0),""))</f>
        <v/>
      </c>
      <c r="W6132" t="str">
        <f t="shared" si="3"/>
        <v/>
      </c>
      <c r="X6132" s="4" t="str">
        <f>IF(V6132="","",INDEX(Fornecedores!$X$1:$X$6631,V6132))</f>
        <v/>
      </c>
      <c r="Y6132" s="4" t="str">
        <f t="shared" si="4"/>
        <v/>
      </c>
    </row>
    <row r="6133" spans="19:25">
      <c r="S6133" t="str">
        <f t="shared" si="0"/>
        <v/>
      </c>
      <c r="T6133" t="str">
        <f t="shared" si="1"/>
        <v/>
      </c>
      <c r="U6133" t="str">
        <f t="shared" si="2"/>
        <v/>
      </c>
      <c r="V6133" t="str">
        <f>IF(OR(U6133="",U6133="ERRO_CHAVE"),"",IFERROR(MATCH(U6133,Fornecedores!$AF$1:$AF$6631,0),""))</f>
        <v/>
      </c>
      <c r="W6133" t="str">
        <f t="shared" si="3"/>
        <v/>
      </c>
      <c r="X6133" s="4" t="str">
        <f>IF(V6133="","",INDEX(Fornecedores!$X$1:$X$6631,V6133))</f>
        <v/>
      </c>
      <c r="Y6133" s="4" t="str">
        <f t="shared" si="4"/>
        <v/>
      </c>
    </row>
    <row r="6134" spans="19:25">
      <c r="S6134" t="str">
        <f t="shared" si="0"/>
        <v/>
      </c>
      <c r="T6134" t="str">
        <f t="shared" si="1"/>
        <v/>
      </c>
      <c r="U6134" t="str">
        <f t="shared" si="2"/>
        <v/>
      </c>
      <c r="V6134" t="str">
        <f>IF(OR(U6134="",U6134="ERRO_CHAVE"),"",IFERROR(MATCH(U6134,Fornecedores!$AF$1:$AF$6631,0),""))</f>
        <v/>
      </c>
      <c r="W6134" t="str">
        <f t="shared" si="3"/>
        <v/>
      </c>
      <c r="X6134" s="4" t="str">
        <f>IF(V6134="","",INDEX(Fornecedores!$X$1:$X$6631,V6134))</f>
        <v/>
      </c>
      <c r="Y6134" s="4" t="str">
        <f t="shared" si="4"/>
        <v/>
      </c>
    </row>
    <row r="6135" spans="19:25">
      <c r="S6135" t="str">
        <f t="shared" si="0"/>
        <v/>
      </c>
      <c r="T6135" t="str">
        <f t="shared" si="1"/>
        <v/>
      </c>
      <c r="U6135" t="str">
        <f t="shared" si="2"/>
        <v/>
      </c>
      <c r="V6135" t="str">
        <f>IF(OR(U6135="",U6135="ERRO_CHAVE"),"",IFERROR(MATCH(U6135,Fornecedores!$AF$1:$AF$6631,0),""))</f>
        <v/>
      </c>
      <c r="W6135" t="str">
        <f t="shared" si="3"/>
        <v/>
      </c>
      <c r="X6135" s="4" t="str">
        <f>IF(V6135="","",INDEX(Fornecedores!$X$1:$X$6631,V6135))</f>
        <v/>
      </c>
      <c r="Y6135" s="4" t="str">
        <f t="shared" si="4"/>
        <v/>
      </c>
    </row>
    <row r="6136" spans="19:25">
      <c r="S6136" t="str">
        <f t="shared" si="0"/>
        <v/>
      </c>
      <c r="T6136" t="str">
        <f t="shared" si="1"/>
        <v/>
      </c>
      <c r="U6136" t="str">
        <f t="shared" si="2"/>
        <v/>
      </c>
      <c r="V6136" t="str">
        <f>IF(OR(U6136="",U6136="ERRO_CHAVE"),"",IFERROR(MATCH(U6136,Fornecedores!$AF$1:$AF$6631,0),""))</f>
        <v/>
      </c>
      <c r="W6136" t="str">
        <f t="shared" si="3"/>
        <v/>
      </c>
      <c r="X6136" s="4" t="str">
        <f>IF(V6136="","",INDEX(Fornecedores!$X$1:$X$6631,V6136))</f>
        <v/>
      </c>
      <c r="Y6136" s="4" t="str">
        <f t="shared" si="4"/>
        <v/>
      </c>
    </row>
    <row r="6137" spans="19:25">
      <c r="S6137" t="str">
        <f t="shared" si="0"/>
        <v/>
      </c>
      <c r="T6137" t="str">
        <f t="shared" si="1"/>
        <v/>
      </c>
      <c r="U6137" t="str">
        <f t="shared" si="2"/>
        <v/>
      </c>
      <c r="V6137" t="str">
        <f>IF(OR(U6137="",U6137="ERRO_CHAVE"),"",IFERROR(MATCH(U6137,Fornecedores!$AF$1:$AF$6631,0),""))</f>
        <v/>
      </c>
      <c r="W6137" t="str">
        <f t="shared" si="3"/>
        <v/>
      </c>
      <c r="X6137" s="4" t="str">
        <f>IF(V6137="","",INDEX(Fornecedores!$X$1:$X$6631,V6137))</f>
        <v/>
      </c>
      <c r="Y6137" s="4" t="str">
        <f t="shared" si="4"/>
        <v/>
      </c>
    </row>
    <row r="6138" spans="19:25">
      <c r="S6138" t="str">
        <f t="shared" si="0"/>
        <v/>
      </c>
      <c r="T6138" t="str">
        <f t="shared" si="1"/>
        <v/>
      </c>
      <c r="U6138" t="str">
        <f t="shared" si="2"/>
        <v/>
      </c>
      <c r="V6138" t="str">
        <f>IF(OR(U6138="",U6138="ERRO_CHAVE"),"",IFERROR(MATCH(U6138,Fornecedores!$AF$1:$AF$6631,0),""))</f>
        <v/>
      </c>
      <c r="W6138" t="str">
        <f t="shared" si="3"/>
        <v/>
      </c>
      <c r="X6138" s="4" t="str">
        <f>IF(V6138="","",INDEX(Fornecedores!$X$1:$X$6631,V6138))</f>
        <v/>
      </c>
      <c r="Y6138" s="4" t="str">
        <f t="shared" si="4"/>
        <v/>
      </c>
    </row>
    <row r="6139" spans="19:25">
      <c r="S6139" t="str">
        <f t="shared" si="0"/>
        <v/>
      </c>
      <c r="T6139" t="str">
        <f t="shared" si="1"/>
        <v/>
      </c>
      <c r="U6139" t="str">
        <f t="shared" si="2"/>
        <v/>
      </c>
      <c r="V6139" t="str">
        <f>IF(OR(U6139="",U6139="ERRO_CHAVE"),"",IFERROR(MATCH(U6139,Fornecedores!$AF$1:$AF$6631,0),""))</f>
        <v/>
      </c>
      <c r="W6139" t="str">
        <f t="shared" si="3"/>
        <v/>
      </c>
      <c r="X6139" s="4" t="str">
        <f>IF(V6139="","",INDEX(Fornecedores!$X$1:$X$6631,V6139))</f>
        <v/>
      </c>
      <c r="Y6139" s="4" t="str">
        <f t="shared" si="4"/>
        <v/>
      </c>
    </row>
    <row r="6140" spans="19:25">
      <c r="S6140" t="str">
        <f t="shared" si="0"/>
        <v/>
      </c>
      <c r="T6140" t="str">
        <f t="shared" si="1"/>
        <v/>
      </c>
      <c r="U6140" t="str">
        <f t="shared" si="2"/>
        <v/>
      </c>
      <c r="V6140" t="str">
        <f>IF(OR(U6140="",U6140="ERRO_CHAVE"),"",IFERROR(MATCH(U6140,Fornecedores!$AF$1:$AF$6631,0),""))</f>
        <v/>
      </c>
      <c r="W6140" t="str">
        <f t="shared" si="3"/>
        <v/>
      </c>
      <c r="X6140" s="4" t="str">
        <f>IF(V6140="","",INDEX(Fornecedores!$X$1:$X$6631,V6140))</f>
        <v/>
      </c>
      <c r="Y6140" s="4" t="str">
        <f t="shared" si="4"/>
        <v/>
      </c>
    </row>
    <row r="6141" spans="19:25">
      <c r="S6141" t="str">
        <f t="shared" si="0"/>
        <v/>
      </c>
      <c r="T6141" t="str">
        <f t="shared" si="1"/>
        <v/>
      </c>
      <c r="U6141" t="str">
        <f t="shared" si="2"/>
        <v/>
      </c>
      <c r="V6141" t="str">
        <f>IF(OR(U6141="",U6141="ERRO_CHAVE"),"",IFERROR(MATCH(U6141,Fornecedores!$AF$1:$AF$6631,0),""))</f>
        <v/>
      </c>
      <c r="W6141" t="str">
        <f t="shared" si="3"/>
        <v/>
      </c>
      <c r="X6141" s="4" t="str">
        <f>IF(V6141="","",INDEX(Fornecedores!$X$1:$X$6631,V6141))</f>
        <v/>
      </c>
      <c r="Y6141" s="4" t="str">
        <f t="shared" si="4"/>
        <v/>
      </c>
    </row>
    <row r="6142" spans="19:25">
      <c r="S6142" t="str">
        <f t="shared" si="0"/>
        <v/>
      </c>
      <c r="T6142" t="str">
        <f t="shared" si="1"/>
        <v/>
      </c>
      <c r="U6142" t="str">
        <f t="shared" si="2"/>
        <v/>
      </c>
      <c r="V6142" t="str">
        <f>IF(OR(U6142="",U6142="ERRO_CHAVE"),"",IFERROR(MATCH(U6142,Fornecedores!$AF$1:$AF$6631,0),""))</f>
        <v/>
      </c>
      <c r="W6142" t="str">
        <f t="shared" si="3"/>
        <v/>
      </c>
      <c r="X6142" s="4" t="str">
        <f>IF(V6142="","",INDEX(Fornecedores!$X$1:$X$6631,V6142))</f>
        <v/>
      </c>
      <c r="Y6142" s="4" t="str">
        <f t="shared" si="4"/>
        <v/>
      </c>
    </row>
    <row r="6143" spans="19:25">
      <c r="S6143" t="str">
        <f t="shared" si="0"/>
        <v/>
      </c>
      <c r="T6143" t="str">
        <f t="shared" si="1"/>
        <v/>
      </c>
      <c r="U6143" t="str">
        <f t="shared" si="2"/>
        <v/>
      </c>
      <c r="V6143" t="str">
        <f>IF(OR(U6143="",U6143="ERRO_CHAVE"),"",IFERROR(MATCH(U6143,Fornecedores!$AF$1:$AF$6631,0),""))</f>
        <v/>
      </c>
      <c r="W6143" t="str">
        <f t="shared" si="3"/>
        <v/>
      </c>
      <c r="X6143" s="4" t="str">
        <f>IF(V6143="","",INDEX(Fornecedores!$X$1:$X$6631,V6143))</f>
        <v/>
      </c>
      <c r="Y6143" s="4" t="str">
        <f t="shared" si="4"/>
        <v/>
      </c>
    </row>
    <row r="6144" spans="19:25">
      <c r="S6144" t="str">
        <f t="shared" si="0"/>
        <v/>
      </c>
      <c r="T6144" t="str">
        <f t="shared" si="1"/>
        <v/>
      </c>
      <c r="U6144" t="str">
        <f t="shared" si="2"/>
        <v/>
      </c>
      <c r="V6144" t="str">
        <f>IF(OR(U6144="",U6144="ERRO_CHAVE"),"",IFERROR(MATCH(U6144,Fornecedores!$AF$1:$AF$6631,0),""))</f>
        <v/>
      </c>
      <c r="W6144" t="str">
        <f t="shared" si="3"/>
        <v/>
      </c>
      <c r="X6144" s="4" t="str">
        <f>IF(V6144="","",INDEX(Fornecedores!$X$1:$X$6631,V6144))</f>
        <v/>
      </c>
      <c r="Y6144" s="4" t="str">
        <f t="shared" si="4"/>
        <v/>
      </c>
    </row>
    <row r="6145" spans="19:25">
      <c r="S6145" t="str">
        <f t="shared" si="0"/>
        <v/>
      </c>
      <c r="T6145" t="str">
        <f t="shared" si="1"/>
        <v/>
      </c>
      <c r="U6145" t="str">
        <f t="shared" si="2"/>
        <v/>
      </c>
      <c r="V6145" t="str">
        <f>IF(OR(U6145="",U6145="ERRO_CHAVE"),"",IFERROR(MATCH(U6145,Fornecedores!$AF$1:$AF$6631,0),""))</f>
        <v/>
      </c>
      <c r="W6145" t="str">
        <f t="shared" si="3"/>
        <v/>
      </c>
      <c r="X6145" s="4" t="str">
        <f>IF(V6145="","",INDEX(Fornecedores!$X$1:$X$6631,V6145))</f>
        <v/>
      </c>
      <c r="Y6145" s="4" t="str">
        <f t="shared" si="4"/>
        <v/>
      </c>
    </row>
    <row r="6146" spans="19:25">
      <c r="S6146" t="str">
        <f t="shared" si="0"/>
        <v/>
      </c>
      <c r="T6146" t="str">
        <f t="shared" si="1"/>
        <v/>
      </c>
      <c r="U6146" t="str">
        <f t="shared" si="2"/>
        <v/>
      </c>
      <c r="V6146" t="str">
        <f>IF(OR(U6146="",U6146="ERRO_CHAVE"),"",IFERROR(MATCH(U6146,Fornecedores!$AF$1:$AF$6631,0),""))</f>
        <v/>
      </c>
      <c r="W6146" t="str">
        <f t="shared" si="3"/>
        <v/>
      </c>
      <c r="X6146" s="4" t="str">
        <f>IF(V6146="","",INDEX(Fornecedores!$X$1:$X$6631,V6146))</f>
        <v/>
      </c>
      <c r="Y6146" s="4" t="str">
        <f t="shared" si="4"/>
        <v/>
      </c>
    </row>
    <row r="6147" spans="19:25">
      <c r="S6147" t="str">
        <f t="shared" si="0"/>
        <v/>
      </c>
      <c r="T6147" t="str">
        <f t="shared" si="1"/>
        <v/>
      </c>
      <c r="U6147" t="str">
        <f t="shared" si="2"/>
        <v/>
      </c>
      <c r="V6147" t="str">
        <f>IF(OR(U6147="",U6147="ERRO_CHAVE"),"",IFERROR(MATCH(U6147,Fornecedores!$AF$1:$AF$6631,0),""))</f>
        <v/>
      </c>
      <c r="W6147" t="str">
        <f t="shared" si="3"/>
        <v/>
      </c>
      <c r="X6147" s="4" t="str">
        <f>IF(V6147="","",INDEX(Fornecedores!$X$1:$X$6631,V6147))</f>
        <v/>
      </c>
      <c r="Y6147" s="4" t="str">
        <f t="shared" si="4"/>
        <v/>
      </c>
    </row>
    <row r="6148" spans="19:25">
      <c r="S6148" t="str">
        <f t="shared" si="0"/>
        <v/>
      </c>
      <c r="T6148" t="str">
        <f t="shared" si="1"/>
        <v/>
      </c>
      <c r="U6148" t="str">
        <f t="shared" si="2"/>
        <v/>
      </c>
      <c r="V6148" t="str">
        <f>IF(OR(U6148="",U6148="ERRO_CHAVE"),"",IFERROR(MATCH(U6148,Fornecedores!$AF$1:$AF$6631,0),""))</f>
        <v/>
      </c>
      <c r="W6148" t="str">
        <f t="shared" si="3"/>
        <v/>
      </c>
      <c r="X6148" s="4" t="str">
        <f>IF(V6148="","",INDEX(Fornecedores!$X$1:$X$6631,V6148))</f>
        <v/>
      </c>
      <c r="Y6148" s="4" t="str">
        <f t="shared" si="4"/>
        <v/>
      </c>
    </row>
    <row r="6149" spans="19:25">
      <c r="S6149" t="str">
        <f t="shared" si="0"/>
        <v/>
      </c>
      <c r="T6149" t="str">
        <f t="shared" si="1"/>
        <v/>
      </c>
      <c r="U6149" t="str">
        <f t="shared" si="2"/>
        <v/>
      </c>
      <c r="V6149" t="str">
        <f>IF(OR(U6149="",U6149="ERRO_CHAVE"),"",IFERROR(MATCH(U6149,Fornecedores!$AF$1:$AF$6631,0),""))</f>
        <v/>
      </c>
      <c r="W6149" t="str">
        <f t="shared" si="3"/>
        <v/>
      </c>
      <c r="X6149" s="4" t="str">
        <f>IF(V6149="","",INDEX(Fornecedores!$X$1:$X$6631,V6149))</f>
        <v/>
      </c>
      <c r="Y6149" s="4" t="str">
        <f t="shared" si="4"/>
        <v/>
      </c>
    </row>
    <row r="6150" spans="19:25">
      <c r="S6150" t="str">
        <f t="shared" si="0"/>
        <v/>
      </c>
      <c r="T6150" t="str">
        <f t="shared" si="1"/>
        <v/>
      </c>
      <c r="U6150" t="str">
        <f t="shared" si="2"/>
        <v/>
      </c>
      <c r="V6150" t="str">
        <f>IF(OR(U6150="",U6150="ERRO_CHAVE"),"",IFERROR(MATCH(U6150,Fornecedores!$AF$1:$AF$6631,0),""))</f>
        <v/>
      </c>
      <c r="W6150" t="str">
        <f t="shared" si="3"/>
        <v/>
      </c>
      <c r="X6150" s="4" t="str">
        <f>IF(V6150="","",INDEX(Fornecedores!$X$1:$X$6631,V6150))</f>
        <v/>
      </c>
      <c r="Y6150" s="4" t="str">
        <f t="shared" si="4"/>
        <v/>
      </c>
    </row>
    <row r="6151" spans="19:25">
      <c r="S6151" t="str">
        <f t="shared" si="0"/>
        <v/>
      </c>
      <c r="T6151" t="str">
        <f t="shared" si="1"/>
        <v/>
      </c>
      <c r="U6151" t="str">
        <f t="shared" si="2"/>
        <v/>
      </c>
      <c r="V6151" t="str">
        <f>IF(OR(U6151="",U6151="ERRO_CHAVE"),"",IFERROR(MATCH(U6151,Fornecedores!$AF$1:$AF$6631,0),""))</f>
        <v/>
      </c>
      <c r="W6151" t="str">
        <f t="shared" si="3"/>
        <v/>
      </c>
      <c r="X6151" s="4" t="str">
        <f>IF(V6151="","",INDEX(Fornecedores!$X$1:$X$6631,V6151))</f>
        <v/>
      </c>
      <c r="Y6151" s="4" t="str">
        <f t="shared" si="4"/>
        <v/>
      </c>
    </row>
    <row r="6152" spans="19:25">
      <c r="S6152" t="str">
        <f t="shared" si="0"/>
        <v/>
      </c>
      <c r="T6152" t="str">
        <f t="shared" si="1"/>
        <v/>
      </c>
      <c r="U6152" t="str">
        <f t="shared" si="2"/>
        <v/>
      </c>
      <c r="V6152" t="str">
        <f>IF(OR(U6152="",U6152="ERRO_CHAVE"),"",IFERROR(MATCH(U6152,Fornecedores!$AF$1:$AF$6631,0),""))</f>
        <v/>
      </c>
      <c r="W6152" t="str">
        <f t="shared" si="3"/>
        <v/>
      </c>
      <c r="X6152" s="4" t="str">
        <f>IF(V6152="","",INDEX(Fornecedores!$X$1:$X$6631,V6152))</f>
        <v/>
      </c>
      <c r="Y6152" s="4" t="str">
        <f t="shared" si="4"/>
        <v/>
      </c>
    </row>
    <row r="6153" spans="19:25">
      <c r="S6153" t="str">
        <f t="shared" si="0"/>
        <v/>
      </c>
      <c r="T6153" t="str">
        <f t="shared" si="1"/>
        <v/>
      </c>
      <c r="U6153" t="str">
        <f t="shared" si="2"/>
        <v/>
      </c>
      <c r="V6153" t="str">
        <f>IF(OR(U6153="",U6153="ERRO_CHAVE"),"",IFERROR(MATCH(U6153,Fornecedores!$AF$1:$AF$6631,0),""))</f>
        <v/>
      </c>
      <c r="W6153" t="str">
        <f t="shared" si="3"/>
        <v/>
      </c>
      <c r="X6153" s="4" t="str">
        <f>IF(V6153="","",INDEX(Fornecedores!$X$1:$X$6631,V6153))</f>
        <v/>
      </c>
      <c r="Y6153" s="4" t="str">
        <f t="shared" si="4"/>
        <v/>
      </c>
    </row>
    <row r="6154" spans="19:25">
      <c r="S6154" t="str">
        <f t="shared" si="0"/>
        <v/>
      </c>
      <c r="T6154" t="str">
        <f t="shared" si="1"/>
        <v/>
      </c>
      <c r="U6154" t="str">
        <f t="shared" si="2"/>
        <v/>
      </c>
      <c r="V6154" t="str">
        <f>IF(OR(U6154="",U6154="ERRO_CHAVE"),"",IFERROR(MATCH(U6154,Fornecedores!$AF$1:$AF$6631,0),""))</f>
        <v/>
      </c>
      <c r="W6154" t="str">
        <f t="shared" si="3"/>
        <v/>
      </c>
      <c r="X6154" s="4" t="str">
        <f>IF(V6154="","",INDEX(Fornecedores!$X$1:$X$6631,V6154))</f>
        <v/>
      </c>
      <c r="Y6154" s="4" t="str">
        <f t="shared" si="4"/>
        <v/>
      </c>
    </row>
    <row r="6155" spans="19:25">
      <c r="S6155" t="str">
        <f t="shared" si="0"/>
        <v/>
      </c>
      <c r="T6155" t="str">
        <f t="shared" si="1"/>
        <v/>
      </c>
      <c r="U6155" t="str">
        <f t="shared" si="2"/>
        <v/>
      </c>
      <c r="V6155" t="str">
        <f>IF(OR(U6155="",U6155="ERRO_CHAVE"),"",IFERROR(MATCH(U6155,Fornecedores!$AF$1:$AF$6631,0),""))</f>
        <v/>
      </c>
      <c r="W6155" t="str">
        <f t="shared" si="3"/>
        <v/>
      </c>
      <c r="X6155" s="4" t="str">
        <f>IF(V6155="","",INDEX(Fornecedores!$X$1:$X$6631,V6155))</f>
        <v/>
      </c>
      <c r="Y6155" s="4" t="str">
        <f t="shared" si="4"/>
        <v/>
      </c>
    </row>
    <row r="6156" spans="19:25">
      <c r="S6156" t="str">
        <f t="shared" si="0"/>
        <v/>
      </c>
      <c r="T6156" t="str">
        <f t="shared" si="1"/>
        <v/>
      </c>
      <c r="U6156" t="str">
        <f t="shared" si="2"/>
        <v/>
      </c>
      <c r="V6156" t="str">
        <f>IF(OR(U6156="",U6156="ERRO_CHAVE"),"",IFERROR(MATCH(U6156,Fornecedores!$AF$1:$AF$6631,0),""))</f>
        <v/>
      </c>
      <c r="W6156" t="str">
        <f t="shared" si="3"/>
        <v/>
      </c>
      <c r="X6156" s="4" t="str">
        <f>IF(V6156="","",INDEX(Fornecedores!$X$1:$X$6631,V6156))</f>
        <v/>
      </c>
      <c r="Y6156" s="4" t="str">
        <f t="shared" si="4"/>
        <v/>
      </c>
    </row>
    <row r="6157" spans="19:25">
      <c r="S6157" t="str">
        <f t="shared" si="0"/>
        <v/>
      </c>
      <c r="T6157" t="str">
        <f t="shared" si="1"/>
        <v/>
      </c>
      <c r="U6157" t="str">
        <f t="shared" si="2"/>
        <v/>
      </c>
      <c r="V6157" t="str">
        <f>IF(OR(U6157="",U6157="ERRO_CHAVE"),"",IFERROR(MATCH(U6157,Fornecedores!$AF$1:$AF$6631,0),""))</f>
        <v/>
      </c>
      <c r="W6157" t="str">
        <f t="shared" si="3"/>
        <v/>
      </c>
      <c r="X6157" s="4" t="str">
        <f>IF(V6157="","",INDEX(Fornecedores!$X$1:$X$6631,V6157))</f>
        <v/>
      </c>
      <c r="Y6157" s="4" t="str">
        <f t="shared" si="4"/>
        <v/>
      </c>
    </row>
    <row r="6158" spans="19:25">
      <c r="S6158" t="str">
        <f t="shared" si="0"/>
        <v/>
      </c>
      <c r="T6158" t="str">
        <f t="shared" si="1"/>
        <v/>
      </c>
      <c r="U6158" t="str">
        <f t="shared" si="2"/>
        <v/>
      </c>
      <c r="V6158" t="str">
        <f>IF(OR(U6158="",U6158="ERRO_CHAVE"),"",IFERROR(MATCH(U6158,Fornecedores!$AF$1:$AF$6631,0),""))</f>
        <v/>
      </c>
      <c r="W6158" t="str">
        <f t="shared" si="3"/>
        <v/>
      </c>
      <c r="X6158" s="4" t="str">
        <f>IF(V6158="","",INDEX(Fornecedores!$X$1:$X$6631,V6158))</f>
        <v/>
      </c>
      <c r="Y6158" s="4" t="str">
        <f t="shared" si="4"/>
        <v/>
      </c>
    </row>
    <row r="6159" spans="19:25">
      <c r="S6159" t="str">
        <f t="shared" si="0"/>
        <v/>
      </c>
      <c r="T6159" t="str">
        <f t="shared" si="1"/>
        <v/>
      </c>
      <c r="U6159" t="str">
        <f t="shared" si="2"/>
        <v/>
      </c>
      <c r="V6159" t="str">
        <f>IF(OR(U6159="",U6159="ERRO_CHAVE"),"",IFERROR(MATCH(U6159,Fornecedores!$AF$1:$AF$6631,0),""))</f>
        <v/>
      </c>
      <c r="W6159" t="str">
        <f t="shared" si="3"/>
        <v/>
      </c>
      <c r="X6159" s="4" t="str">
        <f>IF(V6159="","",INDEX(Fornecedores!$X$1:$X$6631,V6159))</f>
        <v/>
      </c>
      <c r="Y6159" s="4" t="str">
        <f t="shared" si="4"/>
        <v/>
      </c>
    </row>
    <row r="6160" spans="19:25">
      <c r="S6160" t="str">
        <f t="shared" si="0"/>
        <v/>
      </c>
      <c r="T6160" t="str">
        <f t="shared" si="1"/>
        <v/>
      </c>
      <c r="U6160" t="str">
        <f t="shared" si="2"/>
        <v/>
      </c>
      <c r="V6160" t="str">
        <f>IF(OR(U6160="",U6160="ERRO_CHAVE"),"",IFERROR(MATCH(U6160,Fornecedores!$AF$1:$AF$6631,0),""))</f>
        <v/>
      </c>
      <c r="W6160" t="str">
        <f t="shared" si="3"/>
        <v/>
      </c>
      <c r="X6160" s="4" t="str">
        <f>IF(V6160="","",INDEX(Fornecedores!$X$1:$X$6631,V6160))</f>
        <v/>
      </c>
      <c r="Y6160" s="4" t="str">
        <f t="shared" si="4"/>
        <v/>
      </c>
    </row>
    <row r="6161" spans="19:25">
      <c r="S6161" t="str">
        <f t="shared" si="0"/>
        <v/>
      </c>
      <c r="T6161" t="str">
        <f t="shared" si="1"/>
        <v/>
      </c>
      <c r="U6161" t="str">
        <f t="shared" si="2"/>
        <v/>
      </c>
      <c r="V6161" t="str">
        <f>IF(OR(U6161="",U6161="ERRO_CHAVE"),"",IFERROR(MATCH(U6161,Fornecedores!$AF$1:$AF$6631,0),""))</f>
        <v/>
      </c>
      <c r="W6161" t="str">
        <f t="shared" si="3"/>
        <v/>
      </c>
      <c r="X6161" s="4" t="str">
        <f>IF(V6161="","",INDEX(Fornecedores!$X$1:$X$6631,V6161))</f>
        <v/>
      </c>
      <c r="Y6161" s="4" t="str">
        <f t="shared" si="4"/>
        <v/>
      </c>
    </row>
    <row r="6162" spans="19:25">
      <c r="S6162" t="str">
        <f t="shared" si="0"/>
        <v/>
      </c>
      <c r="T6162" t="str">
        <f t="shared" si="1"/>
        <v/>
      </c>
      <c r="U6162" t="str">
        <f t="shared" si="2"/>
        <v/>
      </c>
      <c r="V6162" t="str">
        <f>IF(OR(U6162="",U6162="ERRO_CHAVE"),"",IFERROR(MATCH(U6162,Fornecedores!$AF$1:$AF$6631,0),""))</f>
        <v/>
      </c>
      <c r="W6162" t="str">
        <f t="shared" si="3"/>
        <v/>
      </c>
      <c r="X6162" s="4" t="str">
        <f>IF(V6162="","",INDEX(Fornecedores!$X$1:$X$6631,V6162))</f>
        <v/>
      </c>
      <c r="Y6162" s="4" t="str">
        <f t="shared" si="4"/>
        <v/>
      </c>
    </row>
    <row r="6163" spans="19:25">
      <c r="S6163" t="str">
        <f t="shared" si="0"/>
        <v/>
      </c>
      <c r="T6163" t="str">
        <f t="shared" si="1"/>
        <v/>
      </c>
      <c r="U6163" t="str">
        <f t="shared" si="2"/>
        <v/>
      </c>
      <c r="V6163" t="str">
        <f>IF(OR(U6163="",U6163="ERRO_CHAVE"),"",IFERROR(MATCH(U6163,Fornecedores!$AF$1:$AF$6631,0),""))</f>
        <v/>
      </c>
      <c r="W6163" t="str">
        <f t="shared" si="3"/>
        <v/>
      </c>
      <c r="X6163" s="4" t="str">
        <f>IF(V6163="","",INDEX(Fornecedores!$X$1:$X$6631,V6163))</f>
        <v/>
      </c>
      <c r="Y6163" s="4" t="str">
        <f t="shared" si="4"/>
        <v/>
      </c>
    </row>
    <row r="6164" spans="19:25">
      <c r="S6164" t="str">
        <f t="shared" si="0"/>
        <v/>
      </c>
      <c r="T6164" t="str">
        <f t="shared" si="1"/>
        <v/>
      </c>
      <c r="U6164" t="str">
        <f t="shared" si="2"/>
        <v/>
      </c>
      <c r="V6164" t="str">
        <f>IF(OR(U6164="",U6164="ERRO_CHAVE"),"",IFERROR(MATCH(U6164,Fornecedores!$AF$1:$AF$6631,0),""))</f>
        <v/>
      </c>
      <c r="W6164" t="str">
        <f t="shared" si="3"/>
        <v/>
      </c>
      <c r="X6164" s="4" t="str">
        <f>IF(V6164="","",INDEX(Fornecedores!$X$1:$X$6631,V6164))</f>
        <v/>
      </c>
      <c r="Y6164" s="4" t="str">
        <f t="shared" si="4"/>
        <v/>
      </c>
    </row>
    <row r="6165" spans="19:25">
      <c r="S6165" t="str">
        <f t="shared" si="0"/>
        <v/>
      </c>
      <c r="T6165" t="str">
        <f t="shared" si="1"/>
        <v/>
      </c>
      <c r="U6165" t="str">
        <f t="shared" si="2"/>
        <v/>
      </c>
      <c r="V6165" t="str">
        <f>IF(OR(U6165="",U6165="ERRO_CHAVE"),"",IFERROR(MATCH(U6165,Fornecedores!$AF$1:$AF$6631,0),""))</f>
        <v/>
      </c>
      <c r="W6165" t="str">
        <f t="shared" si="3"/>
        <v/>
      </c>
      <c r="X6165" s="4" t="str">
        <f>IF(V6165="","",INDEX(Fornecedores!$X$1:$X$6631,V6165))</f>
        <v/>
      </c>
      <c r="Y6165" s="4" t="str">
        <f t="shared" si="4"/>
        <v/>
      </c>
    </row>
    <row r="6166" spans="19:25">
      <c r="S6166" t="str">
        <f t="shared" si="0"/>
        <v/>
      </c>
      <c r="T6166" t="str">
        <f t="shared" si="1"/>
        <v/>
      </c>
      <c r="U6166" t="str">
        <f t="shared" si="2"/>
        <v/>
      </c>
      <c r="V6166" t="str">
        <f>IF(OR(U6166="",U6166="ERRO_CHAVE"),"",IFERROR(MATCH(U6166,Fornecedores!$AF$1:$AF$6631,0),""))</f>
        <v/>
      </c>
      <c r="W6166" t="str">
        <f t="shared" si="3"/>
        <v/>
      </c>
      <c r="X6166" s="4" t="str">
        <f>IF(V6166="","",INDEX(Fornecedores!$X$1:$X$6631,V6166))</f>
        <v/>
      </c>
      <c r="Y6166" s="4" t="str">
        <f t="shared" si="4"/>
        <v/>
      </c>
    </row>
    <row r="6167" spans="19:25">
      <c r="S6167" t="str">
        <f t="shared" si="0"/>
        <v/>
      </c>
      <c r="T6167" t="str">
        <f t="shared" si="1"/>
        <v/>
      </c>
      <c r="U6167" t="str">
        <f t="shared" si="2"/>
        <v/>
      </c>
      <c r="V6167" t="str">
        <f>IF(OR(U6167="",U6167="ERRO_CHAVE"),"",IFERROR(MATCH(U6167,Fornecedores!$AF$1:$AF$6631,0),""))</f>
        <v/>
      </c>
      <c r="W6167" t="str">
        <f t="shared" si="3"/>
        <v/>
      </c>
      <c r="X6167" s="4" t="str">
        <f>IF(V6167="","",INDEX(Fornecedores!$X$1:$X$6631,V6167))</f>
        <v/>
      </c>
      <c r="Y6167" s="4" t="str">
        <f t="shared" si="4"/>
        <v/>
      </c>
    </row>
    <row r="6168" spans="19:25">
      <c r="S6168" t="str">
        <f t="shared" si="0"/>
        <v/>
      </c>
      <c r="T6168" t="str">
        <f t="shared" si="1"/>
        <v/>
      </c>
      <c r="U6168" t="str">
        <f t="shared" si="2"/>
        <v/>
      </c>
      <c r="V6168" t="str">
        <f>IF(OR(U6168="",U6168="ERRO_CHAVE"),"",IFERROR(MATCH(U6168,Fornecedores!$AF$1:$AF$6631,0),""))</f>
        <v/>
      </c>
      <c r="W6168" t="str">
        <f t="shared" si="3"/>
        <v/>
      </c>
      <c r="X6168" s="4" t="str">
        <f>IF(V6168="","",INDEX(Fornecedores!$X$1:$X$6631,V6168))</f>
        <v/>
      </c>
      <c r="Y6168" s="4" t="str">
        <f t="shared" si="4"/>
        <v/>
      </c>
    </row>
    <row r="6169" spans="19:25">
      <c r="S6169" t="str">
        <f t="shared" si="0"/>
        <v/>
      </c>
      <c r="T6169" t="str">
        <f t="shared" si="1"/>
        <v/>
      </c>
      <c r="U6169" t="str">
        <f t="shared" si="2"/>
        <v/>
      </c>
      <c r="V6169" t="str">
        <f>IF(OR(U6169="",U6169="ERRO_CHAVE"),"",IFERROR(MATCH(U6169,Fornecedores!$AF$1:$AF$6631,0),""))</f>
        <v/>
      </c>
      <c r="W6169" t="str">
        <f t="shared" si="3"/>
        <v/>
      </c>
      <c r="X6169" s="4" t="str">
        <f>IF(V6169="","",INDEX(Fornecedores!$X$1:$X$6631,V6169))</f>
        <v/>
      </c>
      <c r="Y6169" s="4" t="str">
        <f t="shared" si="4"/>
        <v/>
      </c>
    </row>
    <row r="6170" spans="19:25">
      <c r="S6170" t="str">
        <f t="shared" si="0"/>
        <v/>
      </c>
      <c r="T6170" t="str">
        <f t="shared" si="1"/>
        <v/>
      </c>
      <c r="U6170" t="str">
        <f t="shared" si="2"/>
        <v/>
      </c>
      <c r="V6170" t="str">
        <f>IF(OR(U6170="",U6170="ERRO_CHAVE"),"",IFERROR(MATCH(U6170,Fornecedores!$AF$1:$AF$6631,0),""))</f>
        <v/>
      </c>
      <c r="W6170" t="str">
        <f t="shared" si="3"/>
        <v/>
      </c>
      <c r="X6170" s="4" t="str">
        <f>IF(V6170="","",INDEX(Fornecedores!$X$1:$X$6631,V6170))</f>
        <v/>
      </c>
      <c r="Y6170" s="4" t="str">
        <f t="shared" si="4"/>
        <v/>
      </c>
    </row>
    <row r="6171" spans="19:25">
      <c r="S6171" t="str">
        <f t="shared" si="0"/>
        <v/>
      </c>
      <c r="T6171" t="str">
        <f t="shared" si="1"/>
        <v/>
      </c>
      <c r="U6171" t="str">
        <f t="shared" si="2"/>
        <v/>
      </c>
      <c r="V6171" t="str">
        <f>IF(OR(U6171="",U6171="ERRO_CHAVE"),"",IFERROR(MATCH(U6171,Fornecedores!$AF$1:$AF$6631,0),""))</f>
        <v/>
      </c>
      <c r="W6171" t="str">
        <f t="shared" si="3"/>
        <v/>
      </c>
      <c r="X6171" s="4" t="str">
        <f>IF(V6171="","",INDEX(Fornecedores!$X$1:$X$6631,V6171))</f>
        <v/>
      </c>
      <c r="Y6171" s="4" t="str">
        <f t="shared" si="4"/>
        <v/>
      </c>
    </row>
    <row r="6172" spans="19:25">
      <c r="S6172" t="str">
        <f t="shared" si="0"/>
        <v/>
      </c>
      <c r="T6172" t="str">
        <f t="shared" si="1"/>
        <v/>
      </c>
      <c r="U6172" t="str">
        <f t="shared" si="2"/>
        <v/>
      </c>
      <c r="V6172" t="str">
        <f>IF(OR(U6172="",U6172="ERRO_CHAVE"),"",IFERROR(MATCH(U6172,Fornecedores!$AF$1:$AF$6631,0),""))</f>
        <v/>
      </c>
      <c r="W6172" t="str">
        <f t="shared" si="3"/>
        <v/>
      </c>
      <c r="X6172" s="4" t="str">
        <f>IF(V6172="","",INDEX(Fornecedores!$X$1:$X$6631,V6172))</f>
        <v/>
      </c>
      <c r="Y6172" s="4" t="str">
        <f t="shared" si="4"/>
        <v/>
      </c>
    </row>
    <row r="6173" spans="19:25">
      <c r="S6173" t="str">
        <f t="shared" si="0"/>
        <v/>
      </c>
      <c r="T6173" t="str">
        <f t="shared" si="1"/>
        <v/>
      </c>
      <c r="U6173" t="str">
        <f t="shared" si="2"/>
        <v/>
      </c>
      <c r="V6173" t="str">
        <f>IF(OR(U6173="",U6173="ERRO_CHAVE"),"",IFERROR(MATCH(U6173,Fornecedores!$AF$1:$AF$6631,0),""))</f>
        <v/>
      </c>
      <c r="W6173" t="str">
        <f t="shared" si="3"/>
        <v/>
      </c>
      <c r="X6173" s="4" t="str">
        <f>IF(V6173="","",INDEX(Fornecedores!$X$1:$X$6631,V6173))</f>
        <v/>
      </c>
      <c r="Y6173" s="4" t="str">
        <f t="shared" si="4"/>
        <v/>
      </c>
    </row>
    <row r="6174" spans="19:25">
      <c r="S6174" t="str">
        <f t="shared" si="0"/>
        <v/>
      </c>
      <c r="T6174" t="str">
        <f t="shared" si="1"/>
        <v/>
      </c>
      <c r="U6174" t="str">
        <f t="shared" si="2"/>
        <v/>
      </c>
      <c r="V6174" t="str">
        <f>IF(OR(U6174="",U6174="ERRO_CHAVE"),"",IFERROR(MATCH(U6174,Fornecedores!$AF$1:$AF$6631,0),""))</f>
        <v/>
      </c>
      <c r="W6174" t="str">
        <f t="shared" si="3"/>
        <v/>
      </c>
      <c r="X6174" s="4" t="str">
        <f>IF(V6174="","",INDEX(Fornecedores!$X$1:$X$6631,V6174))</f>
        <v/>
      </c>
      <c r="Y6174" s="4" t="str">
        <f t="shared" si="4"/>
        <v/>
      </c>
    </row>
    <row r="6175" spans="19:25">
      <c r="S6175" t="str">
        <f t="shared" si="0"/>
        <v/>
      </c>
      <c r="T6175" t="str">
        <f t="shared" si="1"/>
        <v/>
      </c>
      <c r="U6175" t="str">
        <f t="shared" si="2"/>
        <v/>
      </c>
      <c r="V6175" t="str">
        <f>IF(OR(U6175="",U6175="ERRO_CHAVE"),"",IFERROR(MATCH(U6175,Fornecedores!$AF$1:$AF$6631,0),""))</f>
        <v/>
      </c>
      <c r="W6175" t="str">
        <f t="shared" si="3"/>
        <v/>
      </c>
      <c r="X6175" s="4" t="str">
        <f>IF(V6175="","",INDEX(Fornecedores!$X$1:$X$6631,V6175))</f>
        <v/>
      </c>
      <c r="Y6175" s="4" t="str">
        <f t="shared" si="4"/>
        <v/>
      </c>
    </row>
    <row r="6176" spans="19:25">
      <c r="S6176" t="str">
        <f t="shared" si="0"/>
        <v/>
      </c>
      <c r="T6176" t="str">
        <f t="shared" si="1"/>
        <v/>
      </c>
      <c r="U6176" t="str">
        <f t="shared" si="2"/>
        <v/>
      </c>
      <c r="V6176" t="str">
        <f>IF(OR(U6176="",U6176="ERRO_CHAVE"),"",IFERROR(MATCH(U6176,Fornecedores!$AF$1:$AF$6631,0),""))</f>
        <v/>
      </c>
      <c r="W6176" t="str">
        <f t="shared" si="3"/>
        <v/>
      </c>
      <c r="X6176" s="4" t="str">
        <f>IF(V6176="","",INDEX(Fornecedores!$X$1:$X$6631,V6176))</f>
        <v/>
      </c>
      <c r="Y6176" s="4" t="str">
        <f t="shared" si="4"/>
        <v/>
      </c>
    </row>
    <row r="6177" spans="19:25">
      <c r="S6177" t="str">
        <f t="shared" si="0"/>
        <v/>
      </c>
      <c r="T6177" t="str">
        <f t="shared" si="1"/>
        <v/>
      </c>
      <c r="U6177" t="str">
        <f t="shared" si="2"/>
        <v/>
      </c>
      <c r="V6177" t="str">
        <f>IF(OR(U6177="",U6177="ERRO_CHAVE"),"",IFERROR(MATCH(U6177,Fornecedores!$AF$1:$AF$6631,0),""))</f>
        <v/>
      </c>
      <c r="W6177" t="str">
        <f t="shared" si="3"/>
        <v/>
      </c>
      <c r="X6177" s="4" t="str">
        <f>IF(V6177="","",INDEX(Fornecedores!$X$1:$X$6631,V6177))</f>
        <v/>
      </c>
      <c r="Y6177" s="4" t="str">
        <f t="shared" si="4"/>
        <v/>
      </c>
    </row>
    <row r="6178" spans="19:25">
      <c r="S6178" t="str">
        <f t="shared" si="0"/>
        <v/>
      </c>
      <c r="T6178" t="str">
        <f t="shared" si="1"/>
        <v/>
      </c>
      <c r="U6178" t="str">
        <f t="shared" si="2"/>
        <v/>
      </c>
      <c r="V6178" t="str">
        <f>IF(OR(U6178="",U6178="ERRO_CHAVE"),"",IFERROR(MATCH(U6178,Fornecedores!$AF$1:$AF$6631,0),""))</f>
        <v/>
      </c>
      <c r="W6178" t="str">
        <f t="shared" si="3"/>
        <v/>
      </c>
      <c r="X6178" s="4" t="str">
        <f>IF(V6178="","",INDEX(Fornecedores!$X$1:$X$6631,V6178))</f>
        <v/>
      </c>
      <c r="Y6178" s="4" t="str">
        <f t="shared" si="4"/>
        <v/>
      </c>
    </row>
    <row r="6179" spans="19:25">
      <c r="S6179" t="str">
        <f t="shared" si="0"/>
        <v/>
      </c>
      <c r="T6179" t="str">
        <f t="shared" si="1"/>
        <v/>
      </c>
      <c r="U6179" t="str">
        <f t="shared" si="2"/>
        <v/>
      </c>
      <c r="V6179" t="str">
        <f>IF(OR(U6179="",U6179="ERRO_CHAVE"),"",IFERROR(MATCH(U6179,Fornecedores!$AF$1:$AF$6631,0),""))</f>
        <v/>
      </c>
      <c r="W6179" t="str">
        <f t="shared" si="3"/>
        <v/>
      </c>
      <c r="X6179" s="4" t="str">
        <f>IF(V6179="","",INDEX(Fornecedores!$X$1:$X$6631,V6179))</f>
        <v/>
      </c>
      <c r="Y6179" s="4" t="str">
        <f t="shared" si="4"/>
        <v/>
      </c>
    </row>
    <row r="6180" spans="19:25">
      <c r="S6180" t="str">
        <f t="shared" si="0"/>
        <v/>
      </c>
      <c r="T6180" t="str">
        <f t="shared" si="1"/>
        <v/>
      </c>
      <c r="U6180" t="str">
        <f t="shared" si="2"/>
        <v/>
      </c>
      <c r="V6180" t="str">
        <f>IF(OR(U6180="",U6180="ERRO_CHAVE"),"",IFERROR(MATCH(U6180,Fornecedores!$AF$1:$AF$6631,0),""))</f>
        <v/>
      </c>
      <c r="W6180" t="str">
        <f t="shared" si="3"/>
        <v/>
      </c>
      <c r="X6180" s="4" t="str">
        <f>IF(V6180="","",INDEX(Fornecedores!$X$1:$X$6631,V6180))</f>
        <v/>
      </c>
      <c r="Y6180" s="4" t="str">
        <f t="shared" si="4"/>
        <v/>
      </c>
    </row>
    <row r="6181" spans="19:25">
      <c r="S6181" t="str">
        <f t="shared" si="0"/>
        <v/>
      </c>
      <c r="T6181" t="str">
        <f t="shared" si="1"/>
        <v/>
      </c>
      <c r="U6181" t="str">
        <f t="shared" si="2"/>
        <v/>
      </c>
      <c r="V6181" t="str">
        <f>IF(OR(U6181="",U6181="ERRO_CHAVE"),"",IFERROR(MATCH(U6181,Fornecedores!$AF$1:$AF$6631,0),""))</f>
        <v/>
      </c>
      <c r="W6181" t="str">
        <f t="shared" si="3"/>
        <v/>
      </c>
      <c r="X6181" s="4" t="str">
        <f>IF(V6181="","",INDEX(Fornecedores!$X$1:$X$6631,V6181))</f>
        <v/>
      </c>
      <c r="Y6181" s="4" t="str">
        <f t="shared" si="4"/>
        <v/>
      </c>
    </row>
    <row r="6182" spans="19:25">
      <c r="S6182" t="str">
        <f t="shared" si="0"/>
        <v/>
      </c>
      <c r="T6182" t="str">
        <f t="shared" si="1"/>
        <v/>
      </c>
      <c r="U6182" t="str">
        <f t="shared" si="2"/>
        <v/>
      </c>
      <c r="V6182" t="str">
        <f>IF(OR(U6182="",U6182="ERRO_CHAVE"),"",IFERROR(MATCH(U6182,Fornecedores!$AF$1:$AF$6631,0),""))</f>
        <v/>
      </c>
      <c r="W6182" t="str">
        <f t="shared" si="3"/>
        <v/>
      </c>
      <c r="X6182" s="4" t="str">
        <f>IF(V6182="","",INDEX(Fornecedores!$X$1:$X$6631,V6182))</f>
        <v/>
      </c>
      <c r="Y6182" s="4" t="str">
        <f t="shared" si="4"/>
        <v/>
      </c>
    </row>
    <row r="6183" spans="19:25">
      <c r="S6183" t="str">
        <f t="shared" si="0"/>
        <v/>
      </c>
      <c r="T6183" t="str">
        <f t="shared" si="1"/>
        <v/>
      </c>
      <c r="U6183" t="str">
        <f t="shared" si="2"/>
        <v/>
      </c>
      <c r="V6183" t="str">
        <f>IF(OR(U6183="",U6183="ERRO_CHAVE"),"",IFERROR(MATCH(U6183,Fornecedores!$AF$1:$AF$6631,0),""))</f>
        <v/>
      </c>
      <c r="W6183" t="str">
        <f t="shared" si="3"/>
        <v/>
      </c>
      <c r="X6183" s="4" t="str">
        <f>IF(V6183="","",INDEX(Fornecedores!$X$1:$X$6631,V6183))</f>
        <v/>
      </c>
      <c r="Y6183" s="4" t="str">
        <f t="shared" si="4"/>
        <v/>
      </c>
    </row>
    <row r="6184" spans="19:25">
      <c r="S6184" t="str">
        <f t="shared" si="0"/>
        <v/>
      </c>
      <c r="T6184" t="str">
        <f t="shared" si="1"/>
        <v/>
      </c>
      <c r="U6184" t="str">
        <f t="shared" si="2"/>
        <v/>
      </c>
      <c r="V6184" t="str">
        <f>IF(OR(U6184="",U6184="ERRO_CHAVE"),"",IFERROR(MATCH(U6184,Fornecedores!$AF$1:$AF$6631,0),""))</f>
        <v/>
      </c>
      <c r="W6184" t="str">
        <f t="shared" si="3"/>
        <v/>
      </c>
      <c r="X6184" s="4" t="str">
        <f>IF(V6184="","",INDEX(Fornecedores!$X$1:$X$6631,V6184))</f>
        <v/>
      </c>
      <c r="Y6184" s="4" t="str">
        <f t="shared" si="4"/>
        <v/>
      </c>
    </row>
    <row r="6185" spans="19:25">
      <c r="S6185" t="str">
        <f t="shared" si="0"/>
        <v/>
      </c>
      <c r="T6185" t="str">
        <f t="shared" si="1"/>
        <v/>
      </c>
      <c r="U6185" t="str">
        <f t="shared" si="2"/>
        <v/>
      </c>
      <c r="V6185" t="str">
        <f>IF(OR(U6185="",U6185="ERRO_CHAVE"),"",IFERROR(MATCH(U6185,Fornecedores!$AF$1:$AF$6631,0),""))</f>
        <v/>
      </c>
      <c r="W6185" t="str">
        <f t="shared" si="3"/>
        <v/>
      </c>
      <c r="X6185" s="4" t="str">
        <f>IF(V6185="","",INDEX(Fornecedores!$X$1:$X$6631,V6185))</f>
        <v/>
      </c>
      <c r="Y6185" s="4" t="str">
        <f t="shared" si="4"/>
        <v/>
      </c>
    </row>
    <row r="6186" spans="19:25">
      <c r="S6186" t="str">
        <f t="shared" si="0"/>
        <v/>
      </c>
      <c r="T6186" t="str">
        <f t="shared" si="1"/>
        <v/>
      </c>
      <c r="U6186" t="str">
        <f t="shared" si="2"/>
        <v/>
      </c>
      <c r="V6186" t="str">
        <f>IF(OR(U6186="",U6186="ERRO_CHAVE"),"",IFERROR(MATCH(U6186,Fornecedores!$AF$1:$AF$6631,0),""))</f>
        <v/>
      </c>
      <c r="W6186" t="str">
        <f t="shared" si="3"/>
        <v/>
      </c>
      <c r="X6186" s="4" t="str">
        <f>IF(V6186="","",INDEX(Fornecedores!$X$1:$X$6631,V6186))</f>
        <v/>
      </c>
      <c r="Y6186" s="4" t="str">
        <f t="shared" si="4"/>
        <v/>
      </c>
    </row>
    <row r="6187" spans="19:25">
      <c r="S6187" t="str">
        <f t="shared" si="0"/>
        <v/>
      </c>
      <c r="T6187" t="str">
        <f t="shared" si="1"/>
        <v/>
      </c>
      <c r="U6187" t="str">
        <f t="shared" si="2"/>
        <v/>
      </c>
      <c r="V6187" t="str">
        <f>IF(OR(U6187="",U6187="ERRO_CHAVE"),"",IFERROR(MATCH(U6187,Fornecedores!$AF$1:$AF$6631,0),""))</f>
        <v/>
      </c>
      <c r="W6187" t="str">
        <f t="shared" si="3"/>
        <v/>
      </c>
      <c r="X6187" s="4" t="str">
        <f>IF(V6187="","",INDEX(Fornecedores!$X$1:$X$6631,V6187))</f>
        <v/>
      </c>
      <c r="Y6187" s="4" t="str">
        <f t="shared" si="4"/>
        <v/>
      </c>
    </row>
    <row r="6188" spans="19:25">
      <c r="S6188" t="str">
        <f t="shared" si="0"/>
        <v/>
      </c>
      <c r="T6188" t="str">
        <f t="shared" si="1"/>
        <v/>
      </c>
      <c r="U6188" t="str">
        <f t="shared" si="2"/>
        <v/>
      </c>
      <c r="V6188" t="str">
        <f>IF(OR(U6188="",U6188="ERRO_CHAVE"),"",IFERROR(MATCH(U6188,Fornecedores!$AF$1:$AF$6631,0),""))</f>
        <v/>
      </c>
      <c r="W6188" t="str">
        <f t="shared" si="3"/>
        <v/>
      </c>
      <c r="X6188" s="4" t="str">
        <f>IF(V6188="","",INDEX(Fornecedores!$X$1:$X$6631,V6188))</f>
        <v/>
      </c>
      <c r="Y6188" s="4" t="str">
        <f t="shared" si="4"/>
        <v/>
      </c>
    </row>
    <row r="6189" spans="19:25">
      <c r="S6189" t="str">
        <f t="shared" si="0"/>
        <v/>
      </c>
      <c r="T6189" t="str">
        <f t="shared" si="1"/>
        <v/>
      </c>
      <c r="U6189" t="str">
        <f t="shared" si="2"/>
        <v/>
      </c>
      <c r="V6189" t="str">
        <f>IF(OR(U6189="",U6189="ERRO_CHAVE"),"",IFERROR(MATCH(U6189,Fornecedores!$AF$1:$AF$6631,0),""))</f>
        <v/>
      </c>
      <c r="W6189" t="str">
        <f t="shared" si="3"/>
        <v/>
      </c>
      <c r="X6189" s="4" t="str">
        <f>IF(V6189="","",INDEX(Fornecedores!$X$1:$X$6631,V6189))</f>
        <v/>
      </c>
      <c r="Y6189" s="4" t="str">
        <f t="shared" si="4"/>
        <v/>
      </c>
    </row>
    <row r="6190" spans="19:25">
      <c r="S6190" t="str">
        <f t="shared" si="0"/>
        <v/>
      </c>
      <c r="T6190" t="str">
        <f t="shared" si="1"/>
        <v/>
      </c>
      <c r="U6190" t="str">
        <f t="shared" si="2"/>
        <v/>
      </c>
      <c r="V6190" t="str">
        <f>IF(OR(U6190="",U6190="ERRO_CHAVE"),"",IFERROR(MATCH(U6190,Fornecedores!$AF$1:$AF$6631,0),""))</f>
        <v/>
      </c>
      <c r="W6190" t="str">
        <f t="shared" si="3"/>
        <v/>
      </c>
      <c r="X6190" s="4" t="str">
        <f>IF(V6190="","",INDEX(Fornecedores!$X$1:$X$6631,V6190))</f>
        <v/>
      </c>
      <c r="Y6190" s="4" t="str">
        <f t="shared" si="4"/>
        <v/>
      </c>
    </row>
    <row r="6191" spans="19:25">
      <c r="S6191" t="str">
        <f t="shared" si="0"/>
        <v/>
      </c>
      <c r="T6191" t="str">
        <f t="shared" si="1"/>
        <v/>
      </c>
      <c r="U6191" t="str">
        <f t="shared" si="2"/>
        <v/>
      </c>
      <c r="V6191" t="str">
        <f>IF(OR(U6191="",U6191="ERRO_CHAVE"),"",IFERROR(MATCH(U6191,Fornecedores!$AF$1:$AF$6631,0),""))</f>
        <v/>
      </c>
      <c r="W6191" t="str">
        <f t="shared" si="3"/>
        <v/>
      </c>
      <c r="X6191" s="4" t="str">
        <f>IF(V6191="","",INDEX(Fornecedores!$X$1:$X$6631,V6191))</f>
        <v/>
      </c>
      <c r="Y6191" s="4" t="str">
        <f t="shared" si="4"/>
        <v/>
      </c>
    </row>
    <row r="6192" spans="19:25">
      <c r="S6192" t="str">
        <f t="shared" si="0"/>
        <v/>
      </c>
      <c r="T6192" t="str">
        <f t="shared" si="1"/>
        <v/>
      </c>
      <c r="U6192" t="str">
        <f t="shared" si="2"/>
        <v/>
      </c>
      <c r="V6192" t="str">
        <f>IF(OR(U6192="",U6192="ERRO_CHAVE"),"",IFERROR(MATCH(U6192,Fornecedores!$AF$1:$AF$6631,0),""))</f>
        <v/>
      </c>
      <c r="W6192" t="str">
        <f t="shared" si="3"/>
        <v/>
      </c>
      <c r="X6192" s="4" t="str">
        <f>IF(V6192="","",INDEX(Fornecedores!$X$1:$X$6631,V6192))</f>
        <v/>
      </c>
      <c r="Y6192" s="4" t="str">
        <f t="shared" si="4"/>
        <v/>
      </c>
    </row>
    <row r="6193" spans="19:25">
      <c r="S6193" t="str">
        <f t="shared" si="0"/>
        <v/>
      </c>
      <c r="T6193" t="str">
        <f t="shared" si="1"/>
        <v/>
      </c>
      <c r="U6193" t="str">
        <f t="shared" si="2"/>
        <v/>
      </c>
      <c r="V6193" t="str">
        <f>IF(OR(U6193="",U6193="ERRO_CHAVE"),"",IFERROR(MATCH(U6193,Fornecedores!$AF$1:$AF$6631,0),""))</f>
        <v/>
      </c>
      <c r="W6193" t="str">
        <f t="shared" si="3"/>
        <v/>
      </c>
      <c r="X6193" s="4" t="str">
        <f>IF(V6193="","",INDEX(Fornecedores!$X$1:$X$6631,V6193))</f>
        <v/>
      </c>
      <c r="Y6193" s="4" t="str">
        <f t="shared" si="4"/>
        <v/>
      </c>
    </row>
    <row r="6194" spans="19:25">
      <c r="S6194" t="str">
        <f t="shared" si="0"/>
        <v/>
      </c>
      <c r="T6194" t="str">
        <f t="shared" si="1"/>
        <v/>
      </c>
      <c r="U6194" t="str">
        <f t="shared" si="2"/>
        <v/>
      </c>
      <c r="V6194" t="str">
        <f>IF(OR(U6194="",U6194="ERRO_CHAVE"),"",IFERROR(MATCH(U6194,Fornecedores!$AF$1:$AF$6631,0),""))</f>
        <v/>
      </c>
      <c r="W6194" t="str">
        <f t="shared" si="3"/>
        <v/>
      </c>
      <c r="X6194" s="4" t="str">
        <f>IF(V6194="","",INDEX(Fornecedores!$X$1:$X$6631,V6194))</f>
        <v/>
      </c>
      <c r="Y6194" s="4" t="str">
        <f t="shared" si="4"/>
        <v/>
      </c>
    </row>
    <row r="6195" spans="19:25">
      <c r="S6195" t="str">
        <f t="shared" si="0"/>
        <v/>
      </c>
      <c r="T6195" t="str">
        <f t="shared" si="1"/>
        <v/>
      </c>
      <c r="U6195" t="str">
        <f t="shared" si="2"/>
        <v/>
      </c>
      <c r="V6195" t="str">
        <f>IF(OR(U6195="",U6195="ERRO_CHAVE"),"",IFERROR(MATCH(U6195,Fornecedores!$AF$1:$AF$6631,0),""))</f>
        <v/>
      </c>
      <c r="W6195" t="str">
        <f t="shared" si="3"/>
        <v/>
      </c>
      <c r="X6195" s="4" t="str">
        <f>IF(V6195="","",INDEX(Fornecedores!$X$1:$X$6631,V6195))</f>
        <v/>
      </c>
      <c r="Y6195" s="4" t="str">
        <f t="shared" si="4"/>
        <v/>
      </c>
    </row>
    <row r="6196" spans="19:25">
      <c r="S6196" t="str">
        <f t="shared" si="0"/>
        <v/>
      </c>
      <c r="T6196" t="str">
        <f t="shared" si="1"/>
        <v/>
      </c>
      <c r="U6196" t="str">
        <f t="shared" si="2"/>
        <v/>
      </c>
      <c r="V6196" t="str">
        <f>IF(OR(U6196="",U6196="ERRO_CHAVE"),"",IFERROR(MATCH(U6196,Fornecedores!$AF$1:$AF$6631,0),""))</f>
        <v/>
      </c>
      <c r="W6196" t="str">
        <f t="shared" si="3"/>
        <v/>
      </c>
      <c r="X6196" s="4" t="str">
        <f>IF(V6196="","",INDEX(Fornecedores!$X$1:$X$6631,V6196))</f>
        <v/>
      </c>
      <c r="Y6196" s="4" t="str">
        <f t="shared" si="4"/>
        <v/>
      </c>
    </row>
    <row r="6197" spans="19:25">
      <c r="S6197" t="str">
        <f t="shared" si="0"/>
        <v/>
      </c>
      <c r="T6197" t="str">
        <f t="shared" si="1"/>
        <v/>
      </c>
      <c r="U6197" t="str">
        <f t="shared" si="2"/>
        <v/>
      </c>
      <c r="V6197" t="str">
        <f>IF(OR(U6197="",U6197="ERRO_CHAVE"),"",IFERROR(MATCH(U6197,Fornecedores!$AF$1:$AF$6631,0),""))</f>
        <v/>
      </c>
      <c r="W6197" t="str">
        <f t="shared" si="3"/>
        <v/>
      </c>
      <c r="X6197" s="4" t="str">
        <f>IF(V6197="","",INDEX(Fornecedores!$X$1:$X$6631,V6197))</f>
        <v/>
      </c>
      <c r="Y6197" s="4" t="str">
        <f t="shared" si="4"/>
        <v/>
      </c>
    </row>
    <row r="6198" spans="19:25">
      <c r="S6198" t="str">
        <f t="shared" si="0"/>
        <v/>
      </c>
      <c r="T6198" t="str">
        <f t="shared" si="1"/>
        <v/>
      </c>
      <c r="U6198" t="str">
        <f t="shared" si="2"/>
        <v/>
      </c>
      <c r="V6198" t="str">
        <f>IF(OR(U6198="",U6198="ERRO_CHAVE"),"",IFERROR(MATCH(U6198,Fornecedores!$AF$1:$AF$6631,0),""))</f>
        <v/>
      </c>
      <c r="W6198" t="str">
        <f t="shared" si="3"/>
        <v/>
      </c>
      <c r="X6198" s="4" t="str">
        <f>IF(V6198="","",INDEX(Fornecedores!$X$1:$X$6631,V6198))</f>
        <v/>
      </c>
      <c r="Y6198" s="4" t="str">
        <f t="shared" si="4"/>
        <v/>
      </c>
    </row>
    <row r="6199" spans="19:25">
      <c r="S6199" t="str">
        <f t="shared" si="0"/>
        <v/>
      </c>
      <c r="T6199" t="str">
        <f t="shared" si="1"/>
        <v/>
      </c>
      <c r="U6199" t="str">
        <f t="shared" si="2"/>
        <v/>
      </c>
      <c r="V6199" t="str">
        <f>IF(OR(U6199="",U6199="ERRO_CHAVE"),"",IFERROR(MATCH(U6199,Fornecedores!$AF$1:$AF$6631,0),""))</f>
        <v/>
      </c>
      <c r="W6199" t="str">
        <f t="shared" si="3"/>
        <v/>
      </c>
      <c r="X6199" s="4" t="str">
        <f>IF(V6199="","",INDEX(Fornecedores!$X$1:$X$6631,V6199))</f>
        <v/>
      </c>
      <c r="Y6199" s="4" t="str">
        <f t="shared" si="4"/>
        <v/>
      </c>
    </row>
    <row r="6200" spans="19:25">
      <c r="S6200" t="str">
        <f t="shared" si="0"/>
        <v/>
      </c>
      <c r="T6200" t="str">
        <f t="shared" si="1"/>
        <v/>
      </c>
      <c r="U6200" t="str">
        <f t="shared" si="2"/>
        <v/>
      </c>
      <c r="V6200" t="str">
        <f>IF(OR(U6200="",U6200="ERRO_CHAVE"),"",IFERROR(MATCH(U6200,Fornecedores!$AF$1:$AF$6631,0),""))</f>
        <v/>
      </c>
      <c r="W6200" t="str">
        <f t="shared" si="3"/>
        <v/>
      </c>
      <c r="X6200" s="4" t="str">
        <f>IF(V6200="","",INDEX(Fornecedores!$X$1:$X$6631,V6200))</f>
        <v/>
      </c>
      <c r="Y6200" s="4" t="str">
        <f t="shared" si="4"/>
        <v/>
      </c>
    </row>
    <row r="6201" spans="19:25">
      <c r="S6201" t="str">
        <f t="shared" si="0"/>
        <v/>
      </c>
      <c r="T6201" t="str">
        <f t="shared" si="1"/>
        <v/>
      </c>
      <c r="U6201" t="str">
        <f t="shared" si="2"/>
        <v/>
      </c>
      <c r="V6201" t="str">
        <f>IF(OR(U6201="",U6201="ERRO_CHAVE"),"",IFERROR(MATCH(U6201,Fornecedores!$AF$1:$AF$6631,0),""))</f>
        <v/>
      </c>
      <c r="W6201" t="str">
        <f t="shared" si="3"/>
        <v/>
      </c>
      <c r="X6201" s="4" t="str">
        <f>IF(V6201="","",INDEX(Fornecedores!$X$1:$X$6631,V6201))</f>
        <v/>
      </c>
      <c r="Y6201" s="4" t="str">
        <f t="shared" si="4"/>
        <v/>
      </c>
    </row>
    <row r="6202" spans="19:25">
      <c r="S6202" t="str">
        <f t="shared" si="0"/>
        <v/>
      </c>
      <c r="T6202" t="str">
        <f t="shared" si="1"/>
        <v/>
      </c>
      <c r="U6202" t="str">
        <f t="shared" si="2"/>
        <v/>
      </c>
      <c r="V6202" t="str">
        <f>IF(OR(U6202="",U6202="ERRO_CHAVE"),"",IFERROR(MATCH(U6202,Fornecedores!$AF$1:$AF$6631,0),""))</f>
        <v/>
      </c>
      <c r="W6202" t="str">
        <f t="shared" si="3"/>
        <v/>
      </c>
      <c r="X6202" s="4" t="str">
        <f>IF(V6202="","",INDEX(Fornecedores!$X$1:$X$6631,V6202))</f>
        <v/>
      </c>
      <c r="Y6202" s="4" t="str">
        <f t="shared" si="4"/>
        <v/>
      </c>
    </row>
    <row r="6203" spans="19:25">
      <c r="S6203" t="str">
        <f t="shared" si="0"/>
        <v/>
      </c>
      <c r="T6203" t="str">
        <f t="shared" si="1"/>
        <v/>
      </c>
      <c r="U6203" t="str">
        <f t="shared" si="2"/>
        <v/>
      </c>
      <c r="V6203" t="str">
        <f>IF(OR(U6203="",U6203="ERRO_CHAVE"),"",IFERROR(MATCH(U6203,Fornecedores!$AF$1:$AF$6631,0),""))</f>
        <v/>
      </c>
      <c r="W6203" t="str">
        <f t="shared" si="3"/>
        <v/>
      </c>
      <c r="X6203" s="4" t="str">
        <f>IF(V6203="","",INDEX(Fornecedores!$X$1:$X$6631,V6203))</f>
        <v/>
      </c>
      <c r="Y6203" s="4" t="str">
        <f t="shared" si="4"/>
        <v/>
      </c>
    </row>
    <row r="6204" spans="19:25">
      <c r="S6204" t="str">
        <f t="shared" si="0"/>
        <v/>
      </c>
      <c r="T6204" t="str">
        <f t="shared" si="1"/>
        <v/>
      </c>
      <c r="U6204" t="str">
        <f t="shared" si="2"/>
        <v/>
      </c>
      <c r="V6204" t="str">
        <f>IF(OR(U6204="",U6204="ERRO_CHAVE"),"",IFERROR(MATCH(U6204,Fornecedores!$AF$1:$AF$6631,0),""))</f>
        <v/>
      </c>
      <c r="W6204" t="str">
        <f t="shared" si="3"/>
        <v/>
      </c>
      <c r="X6204" s="4" t="str">
        <f>IF(V6204="","",INDEX(Fornecedores!$X$1:$X$6631,V6204))</f>
        <v/>
      </c>
      <c r="Y6204" s="4" t="str">
        <f t="shared" si="4"/>
        <v/>
      </c>
    </row>
    <row r="6205" spans="19:25">
      <c r="S6205" t="str">
        <f t="shared" si="0"/>
        <v/>
      </c>
      <c r="T6205" t="str">
        <f t="shared" si="1"/>
        <v/>
      </c>
      <c r="U6205" t="str">
        <f t="shared" si="2"/>
        <v/>
      </c>
      <c r="V6205" t="str">
        <f>IF(OR(U6205="",U6205="ERRO_CHAVE"),"",IFERROR(MATCH(U6205,Fornecedores!$AF$1:$AF$6631,0),""))</f>
        <v/>
      </c>
      <c r="W6205" t="str">
        <f t="shared" si="3"/>
        <v/>
      </c>
      <c r="X6205" s="4" t="str">
        <f>IF(V6205="","",INDEX(Fornecedores!$X$1:$X$6631,V6205))</f>
        <v/>
      </c>
      <c r="Y6205" s="4" t="str">
        <f t="shared" si="4"/>
        <v/>
      </c>
    </row>
    <row r="6206" spans="19:25">
      <c r="S6206" t="str">
        <f t="shared" si="0"/>
        <v/>
      </c>
      <c r="T6206" t="str">
        <f t="shared" si="1"/>
        <v/>
      </c>
      <c r="U6206" t="str">
        <f t="shared" si="2"/>
        <v/>
      </c>
      <c r="V6206" t="str">
        <f>IF(OR(U6206="",U6206="ERRO_CHAVE"),"",IFERROR(MATCH(U6206,Fornecedores!$AF$1:$AF$6631,0),""))</f>
        <v/>
      </c>
      <c r="W6206" t="str">
        <f t="shared" si="3"/>
        <v/>
      </c>
      <c r="X6206" s="4" t="str">
        <f>IF(V6206="","",INDEX(Fornecedores!$X$1:$X$6631,V6206))</f>
        <v/>
      </c>
      <c r="Y6206" s="4" t="str">
        <f t="shared" si="4"/>
        <v/>
      </c>
    </row>
    <row r="6207" spans="19:25">
      <c r="S6207" t="str">
        <f t="shared" si="0"/>
        <v/>
      </c>
      <c r="T6207" t="str">
        <f t="shared" si="1"/>
        <v/>
      </c>
      <c r="U6207" t="str">
        <f t="shared" si="2"/>
        <v/>
      </c>
      <c r="V6207" t="str">
        <f>IF(OR(U6207="",U6207="ERRO_CHAVE"),"",IFERROR(MATCH(U6207,Fornecedores!$AF$1:$AF$6631,0),""))</f>
        <v/>
      </c>
      <c r="W6207" t="str">
        <f t="shared" si="3"/>
        <v/>
      </c>
      <c r="X6207" s="4" t="str">
        <f>IF(V6207="","",INDEX(Fornecedores!$X$1:$X$6631,V6207))</f>
        <v/>
      </c>
      <c r="Y6207" s="4" t="str">
        <f t="shared" si="4"/>
        <v/>
      </c>
    </row>
    <row r="6208" spans="19:25">
      <c r="S6208" t="str">
        <f t="shared" si="0"/>
        <v/>
      </c>
      <c r="T6208" t="str">
        <f t="shared" si="1"/>
        <v/>
      </c>
      <c r="U6208" t="str">
        <f t="shared" si="2"/>
        <v/>
      </c>
      <c r="V6208" t="str">
        <f>IF(OR(U6208="",U6208="ERRO_CHAVE"),"",IFERROR(MATCH(U6208,Fornecedores!$AF$1:$AF$6631,0),""))</f>
        <v/>
      </c>
      <c r="W6208" t="str">
        <f t="shared" si="3"/>
        <v/>
      </c>
      <c r="X6208" s="4" t="str">
        <f>IF(V6208="","",INDEX(Fornecedores!$X$1:$X$6631,V6208))</f>
        <v/>
      </c>
      <c r="Y6208" s="4" t="str">
        <f t="shared" si="4"/>
        <v/>
      </c>
    </row>
    <row r="6209" spans="19:25">
      <c r="S6209" t="str">
        <f t="shared" si="0"/>
        <v/>
      </c>
      <c r="T6209" t="str">
        <f t="shared" si="1"/>
        <v/>
      </c>
      <c r="U6209" t="str">
        <f t="shared" si="2"/>
        <v/>
      </c>
      <c r="V6209" t="str">
        <f>IF(OR(U6209="",U6209="ERRO_CHAVE"),"",IFERROR(MATCH(U6209,Fornecedores!$AF$1:$AF$6631,0),""))</f>
        <v/>
      </c>
      <c r="W6209" t="str">
        <f t="shared" si="3"/>
        <v/>
      </c>
      <c r="X6209" s="4" t="str">
        <f>IF(V6209="","",INDEX(Fornecedores!$X$1:$X$6631,V6209))</f>
        <v/>
      </c>
      <c r="Y6209" s="4" t="str">
        <f t="shared" si="4"/>
        <v/>
      </c>
    </row>
    <row r="6210" spans="19:25">
      <c r="S6210" t="str">
        <f t="shared" si="0"/>
        <v/>
      </c>
      <c r="T6210" t="str">
        <f t="shared" si="1"/>
        <v/>
      </c>
      <c r="U6210" t="str">
        <f t="shared" si="2"/>
        <v/>
      </c>
      <c r="V6210" t="str">
        <f>IF(OR(U6210="",U6210="ERRO_CHAVE"),"",IFERROR(MATCH(U6210,Fornecedores!$AF$1:$AF$6631,0),""))</f>
        <v/>
      </c>
      <c r="W6210" t="str">
        <f t="shared" si="3"/>
        <v/>
      </c>
      <c r="X6210" s="4" t="str">
        <f>IF(V6210="","",INDEX(Fornecedores!$X$1:$X$6631,V6210))</f>
        <v/>
      </c>
      <c r="Y6210" s="4" t="str">
        <f t="shared" si="4"/>
        <v/>
      </c>
    </row>
    <row r="6211" spans="19:25">
      <c r="S6211" t="str">
        <f t="shared" si="0"/>
        <v/>
      </c>
      <c r="T6211" t="str">
        <f t="shared" si="1"/>
        <v/>
      </c>
      <c r="U6211" t="str">
        <f t="shared" si="2"/>
        <v/>
      </c>
      <c r="V6211" t="str">
        <f>IF(OR(U6211="",U6211="ERRO_CHAVE"),"",IFERROR(MATCH(U6211,Fornecedores!$AF$1:$AF$6631,0),""))</f>
        <v/>
      </c>
      <c r="W6211" t="str">
        <f t="shared" si="3"/>
        <v/>
      </c>
      <c r="X6211" s="4" t="str">
        <f>IF(V6211="","",INDEX(Fornecedores!$X$1:$X$6631,V6211))</f>
        <v/>
      </c>
      <c r="Y6211" s="4" t="str">
        <f t="shared" si="4"/>
        <v/>
      </c>
    </row>
    <row r="6212" spans="19:25">
      <c r="S6212" t="str">
        <f t="shared" si="0"/>
        <v/>
      </c>
      <c r="T6212" t="str">
        <f t="shared" si="1"/>
        <v/>
      </c>
      <c r="U6212" t="str">
        <f t="shared" si="2"/>
        <v/>
      </c>
      <c r="V6212" t="str">
        <f>IF(OR(U6212="",U6212="ERRO_CHAVE"),"",IFERROR(MATCH(U6212,Fornecedores!$AF$1:$AF$6631,0),""))</f>
        <v/>
      </c>
      <c r="W6212" t="str">
        <f t="shared" si="3"/>
        <v/>
      </c>
      <c r="X6212" s="4" t="str">
        <f>IF(V6212="","",INDEX(Fornecedores!$X$1:$X$6631,V6212))</f>
        <v/>
      </c>
      <c r="Y6212" s="4" t="str">
        <f t="shared" si="4"/>
        <v/>
      </c>
    </row>
    <row r="6213" spans="19:25">
      <c r="S6213" t="str">
        <f t="shared" si="0"/>
        <v/>
      </c>
      <c r="T6213" t="str">
        <f t="shared" si="1"/>
        <v/>
      </c>
      <c r="U6213" t="str">
        <f t="shared" si="2"/>
        <v/>
      </c>
      <c r="V6213" t="str">
        <f>IF(OR(U6213="",U6213="ERRO_CHAVE"),"",IFERROR(MATCH(U6213,Fornecedores!$AF$1:$AF$6631,0),""))</f>
        <v/>
      </c>
      <c r="W6213" t="str">
        <f t="shared" si="3"/>
        <v/>
      </c>
      <c r="X6213" s="4" t="str">
        <f>IF(V6213="","",INDEX(Fornecedores!$X$1:$X$6631,V6213))</f>
        <v/>
      </c>
      <c r="Y6213" s="4" t="str">
        <f t="shared" si="4"/>
        <v/>
      </c>
    </row>
    <row r="6214" spans="19:25">
      <c r="S6214" t="str">
        <f t="shared" si="0"/>
        <v/>
      </c>
      <c r="T6214" t="str">
        <f t="shared" si="1"/>
        <v/>
      </c>
      <c r="U6214" t="str">
        <f t="shared" si="2"/>
        <v/>
      </c>
      <c r="V6214" t="str">
        <f>IF(OR(U6214="",U6214="ERRO_CHAVE"),"",IFERROR(MATCH(U6214,Fornecedores!$AF$1:$AF$6631,0),""))</f>
        <v/>
      </c>
      <c r="W6214" t="str">
        <f t="shared" si="3"/>
        <v/>
      </c>
      <c r="X6214" s="4" t="str">
        <f>IF(V6214="","",INDEX(Fornecedores!$X$1:$X$6631,V6214))</f>
        <v/>
      </c>
      <c r="Y6214" s="4" t="str">
        <f t="shared" si="4"/>
        <v/>
      </c>
    </row>
    <row r="6215" spans="19:25">
      <c r="S6215" t="str">
        <f t="shared" si="0"/>
        <v/>
      </c>
      <c r="T6215" t="str">
        <f t="shared" si="1"/>
        <v/>
      </c>
      <c r="U6215" t="str">
        <f t="shared" si="2"/>
        <v/>
      </c>
      <c r="V6215" t="str">
        <f>IF(OR(U6215="",U6215="ERRO_CHAVE"),"",IFERROR(MATCH(U6215,Fornecedores!$AF$1:$AF$6631,0),""))</f>
        <v/>
      </c>
      <c r="W6215" t="str">
        <f t="shared" si="3"/>
        <v/>
      </c>
      <c r="X6215" s="4" t="str">
        <f>IF(V6215="","",INDEX(Fornecedores!$X$1:$X$6631,V6215))</f>
        <v/>
      </c>
      <c r="Y6215" s="4" t="str">
        <f t="shared" si="4"/>
        <v/>
      </c>
    </row>
    <row r="6216" spans="19:25">
      <c r="S6216" t="str">
        <f t="shared" si="0"/>
        <v/>
      </c>
      <c r="T6216" t="str">
        <f t="shared" si="1"/>
        <v/>
      </c>
      <c r="U6216" t="str">
        <f t="shared" si="2"/>
        <v/>
      </c>
      <c r="V6216" t="str">
        <f>IF(OR(U6216="",U6216="ERRO_CHAVE"),"",IFERROR(MATCH(U6216,Fornecedores!$AF$1:$AF$6631,0),""))</f>
        <v/>
      </c>
      <c r="W6216" t="str">
        <f t="shared" si="3"/>
        <v/>
      </c>
      <c r="X6216" s="4" t="str">
        <f>IF(V6216="","",INDEX(Fornecedores!$X$1:$X$6631,V6216))</f>
        <v/>
      </c>
      <c r="Y6216" s="4" t="str">
        <f t="shared" si="4"/>
        <v/>
      </c>
    </row>
    <row r="6217" spans="19:25">
      <c r="S6217" t="str">
        <f t="shared" si="0"/>
        <v/>
      </c>
      <c r="T6217" t="str">
        <f t="shared" si="1"/>
        <v/>
      </c>
      <c r="U6217" t="str">
        <f t="shared" si="2"/>
        <v/>
      </c>
      <c r="V6217" t="str">
        <f>IF(OR(U6217="",U6217="ERRO_CHAVE"),"",IFERROR(MATCH(U6217,Fornecedores!$AF$1:$AF$6631,0),""))</f>
        <v/>
      </c>
      <c r="W6217" t="str">
        <f t="shared" si="3"/>
        <v/>
      </c>
      <c r="X6217" s="4" t="str">
        <f>IF(V6217="","",INDEX(Fornecedores!$X$1:$X$6631,V6217))</f>
        <v/>
      </c>
      <c r="Y6217" s="4" t="str">
        <f t="shared" si="4"/>
        <v/>
      </c>
    </row>
    <row r="6218" spans="19:25">
      <c r="S6218" t="str">
        <f t="shared" si="0"/>
        <v/>
      </c>
      <c r="T6218" t="str">
        <f t="shared" si="1"/>
        <v/>
      </c>
      <c r="U6218" t="str">
        <f t="shared" si="2"/>
        <v/>
      </c>
      <c r="V6218" t="str">
        <f>IF(OR(U6218="",U6218="ERRO_CHAVE"),"",IFERROR(MATCH(U6218,Fornecedores!$AF$1:$AF$6631,0),""))</f>
        <v/>
      </c>
      <c r="W6218" t="str">
        <f t="shared" si="3"/>
        <v/>
      </c>
      <c r="X6218" s="4" t="str">
        <f>IF(V6218="","",INDEX(Fornecedores!$X$1:$X$6631,V6218))</f>
        <v/>
      </c>
      <c r="Y6218" s="4" t="str">
        <f t="shared" si="4"/>
        <v/>
      </c>
    </row>
    <row r="6219" spans="19:25">
      <c r="S6219" t="str">
        <f t="shared" si="0"/>
        <v/>
      </c>
      <c r="T6219" t="str">
        <f t="shared" si="1"/>
        <v/>
      </c>
      <c r="U6219" t="str">
        <f t="shared" si="2"/>
        <v/>
      </c>
      <c r="V6219" t="str">
        <f>IF(OR(U6219="",U6219="ERRO_CHAVE"),"",IFERROR(MATCH(U6219,Fornecedores!$AF$1:$AF$6631,0),""))</f>
        <v/>
      </c>
      <c r="W6219" t="str">
        <f t="shared" si="3"/>
        <v/>
      </c>
      <c r="X6219" s="4" t="str">
        <f>IF(V6219="","",INDEX(Fornecedores!$X$1:$X$6631,V6219))</f>
        <v/>
      </c>
      <c r="Y6219" s="4" t="str">
        <f t="shared" si="4"/>
        <v/>
      </c>
    </row>
    <row r="6220" spans="19:25">
      <c r="S6220" t="str">
        <f t="shared" si="0"/>
        <v/>
      </c>
      <c r="T6220" t="str">
        <f t="shared" si="1"/>
        <v/>
      </c>
      <c r="U6220" t="str">
        <f t="shared" si="2"/>
        <v/>
      </c>
      <c r="V6220" t="str">
        <f>IF(OR(U6220="",U6220="ERRO_CHAVE"),"",IFERROR(MATCH(U6220,Fornecedores!$AF$1:$AF$6631,0),""))</f>
        <v/>
      </c>
      <c r="W6220" t="str">
        <f t="shared" si="3"/>
        <v/>
      </c>
      <c r="X6220" s="4" t="str">
        <f>IF(V6220="","",INDEX(Fornecedores!$X$1:$X$6631,V6220))</f>
        <v/>
      </c>
      <c r="Y6220" s="4" t="str">
        <f t="shared" si="4"/>
        <v/>
      </c>
    </row>
    <row r="6221" spans="19:25">
      <c r="S6221" t="str">
        <f t="shared" si="0"/>
        <v/>
      </c>
      <c r="T6221" t="str">
        <f t="shared" si="1"/>
        <v/>
      </c>
      <c r="U6221" t="str">
        <f t="shared" si="2"/>
        <v/>
      </c>
      <c r="V6221" t="str">
        <f>IF(OR(U6221="",U6221="ERRO_CHAVE"),"",IFERROR(MATCH(U6221,Fornecedores!$AF$1:$AF$6631,0),""))</f>
        <v/>
      </c>
      <c r="W6221" t="str">
        <f t="shared" si="3"/>
        <v/>
      </c>
      <c r="X6221" s="4" t="str">
        <f>IF(V6221="","",INDEX(Fornecedores!$X$1:$X$6631,V6221))</f>
        <v/>
      </c>
      <c r="Y6221" s="4" t="str">
        <f t="shared" si="4"/>
        <v/>
      </c>
    </row>
    <row r="6222" spans="19:25">
      <c r="S6222" t="str">
        <f t="shared" si="0"/>
        <v/>
      </c>
      <c r="T6222" t="str">
        <f t="shared" si="1"/>
        <v/>
      </c>
      <c r="U6222" t="str">
        <f t="shared" si="2"/>
        <v/>
      </c>
      <c r="V6222" t="str">
        <f>IF(OR(U6222="",U6222="ERRO_CHAVE"),"",IFERROR(MATCH(U6222,Fornecedores!$AF$1:$AF$6631,0),""))</f>
        <v/>
      </c>
      <c r="W6222" t="str">
        <f t="shared" si="3"/>
        <v/>
      </c>
      <c r="X6222" s="4" t="str">
        <f>IF(V6222="","",INDEX(Fornecedores!$X$1:$X$6631,V6222))</f>
        <v/>
      </c>
      <c r="Y6222" s="4" t="str">
        <f t="shared" si="4"/>
        <v/>
      </c>
    </row>
    <row r="6223" spans="19:25">
      <c r="S6223" t="str">
        <f t="shared" si="0"/>
        <v/>
      </c>
      <c r="T6223" t="str">
        <f t="shared" si="1"/>
        <v/>
      </c>
      <c r="U6223" t="str">
        <f t="shared" si="2"/>
        <v/>
      </c>
      <c r="V6223" t="str">
        <f>IF(OR(U6223="",U6223="ERRO_CHAVE"),"",IFERROR(MATCH(U6223,Fornecedores!$AF$1:$AF$6631,0),""))</f>
        <v/>
      </c>
      <c r="W6223" t="str">
        <f t="shared" si="3"/>
        <v/>
      </c>
      <c r="X6223" s="4" t="str">
        <f>IF(V6223="","",INDEX(Fornecedores!$X$1:$X$6631,V6223))</f>
        <v/>
      </c>
      <c r="Y6223" s="4" t="str">
        <f t="shared" si="4"/>
        <v/>
      </c>
    </row>
    <row r="6224" spans="19:25">
      <c r="S6224" t="str">
        <f t="shared" si="0"/>
        <v/>
      </c>
      <c r="T6224" t="str">
        <f t="shared" si="1"/>
        <v/>
      </c>
      <c r="U6224" t="str">
        <f t="shared" si="2"/>
        <v/>
      </c>
      <c r="V6224" t="str">
        <f>IF(OR(U6224="",U6224="ERRO_CHAVE"),"",IFERROR(MATCH(U6224,Fornecedores!$AF$1:$AF$6631,0),""))</f>
        <v/>
      </c>
      <c r="W6224" t="str">
        <f t="shared" si="3"/>
        <v/>
      </c>
      <c r="X6224" s="4" t="str">
        <f>IF(V6224="","",INDEX(Fornecedores!$X$1:$X$6631,V6224))</f>
        <v/>
      </c>
      <c r="Y6224" s="4" t="str">
        <f t="shared" si="4"/>
        <v/>
      </c>
    </row>
    <row r="6225" spans="19:25">
      <c r="S6225" t="str">
        <f t="shared" si="0"/>
        <v/>
      </c>
      <c r="T6225" t="str">
        <f t="shared" si="1"/>
        <v/>
      </c>
      <c r="U6225" t="str">
        <f t="shared" si="2"/>
        <v/>
      </c>
      <c r="V6225" t="str">
        <f>IF(OR(U6225="",U6225="ERRO_CHAVE"),"",IFERROR(MATCH(U6225,Fornecedores!$AF$1:$AF$6631,0),""))</f>
        <v/>
      </c>
      <c r="W6225" t="str">
        <f t="shared" si="3"/>
        <v/>
      </c>
      <c r="X6225" s="4" t="str">
        <f>IF(V6225="","",INDEX(Fornecedores!$X$1:$X$6631,V6225))</f>
        <v/>
      </c>
      <c r="Y6225" s="4" t="str">
        <f t="shared" si="4"/>
        <v/>
      </c>
    </row>
    <row r="6226" spans="19:25">
      <c r="S6226" t="str">
        <f t="shared" si="0"/>
        <v/>
      </c>
      <c r="T6226" t="str">
        <f t="shared" si="1"/>
        <v/>
      </c>
      <c r="U6226" t="str">
        <f t="shared" si="2"/>
        <v/>
      </c>
      <c r="V6226" t="str">
        <f>IF(OR(U6226="",U6226="ERRO_CHAVE"),"",IFERROR(MATCH(U6226,Fornecedores!$AF$1:$AF$6631,0),""))</f>
        <v/>
      </c>
      <c r="W6226" t="str">
        <f t="shared" si="3"/>
        <v/>
      </c>
      <c r="X6226" s="4" t="str">
        <f>IF(V6226="","",INDEX(Fornecedores!$X$1:$X$6631,V6226))</f>
        <v/>
      </c>
      <c r="Y6226" s="4" t="str">
        <f t="shared" si="4"/>
        <v/>
      </c>
    </row>
    <row r="6227" spans="19:25">
      <c r="S6227" t="str">
        <f t="shared" si="0"/>
        <v/>
      </c>
      <c r="T6227" t="str">
        <f t="shared" si="1"/>
        <v/>
      </c>
      <c r="U6227" t="str">
        <f t="shared" si="2"/>
        <v/>
      </c>
      <c r="V6227" t="str">
        <f>IF(OR(U6227="",U6227="ERRO_CHAVE"),"",IFERROR(MATCH(U6227,Fornecedores!$AF$1:$AF$6631,0),""))</f>
        <v/>
      </c>
      <c r="W6227" t="str">
        <f t="shared" si="3"/>
        <v/>
      </c>
      <c r="X6227" s="4" t="str">
        <f>IF(V6227="","",INDEX(Fornecedores!$X$1:$X$6631,V6227))</f>
        <v/>
      </c>
      <c r="Y6227" s="4" t="str">
        <f t="shared" si="4"/>
        <v/>
      </c>
    </row>
    <row r="6228" spans="19:25">
      <c r="S6228" t="str">
        <f t="shared" si="0"/>
        <v/>
      </c>
      <c r="T6228" t="str">
        <f t="shared" si="1"/>
        <v/>
      </c>
      <c r="U6228" t="str">
        <f t="shared" si="2"/>
        <v/>
      </c>
      <c r="V6228" t="str">
        <f>IF(OR(U6228="",U6228="ERRO_CHAVE"),"",IFERROR(MATCH(U6228,Fornecedores!$AF$1:$AF$6631,0),""))</f>
        <v/>
      </c>
      <c r="W6228" t="str">
        <f t="shared" si="3"/>
        <v/>
      </c>
      <c r="X6228" s="4" t="str">
        <f>IF(V6228="","",INDEX(Fornecedores!$X$1:$X$6631,V6228))</f>
        <v/>
      </c>
      <c r="Y6228" s="4" t="str">
        <f t="shared" si="4"/>
        <v/>
      </c>
    </row>
    <row r="6229" spans="19:25">
      <c r="S6229" t="str">
        <f t="shared" si="0"/>
        <v/>
      </c>
      <c r="T6229" t="str">
        <f t="shared" si="1"/>
        <v/>
      </c>
      <c r="U6229" t="str">
        <f t="shared" si="2"/>
        <v/>
      </c>
      <c r="V6229" t="str">
        <f>IF(OR(U6229="",U6229="ERRO_CHAVE"),"",IFERROR(MATCH(U6229,Fornecedores!$AF$1:$AF$6631,0),""))</f>
        <v/>
      </c>
      <c r="W6229" t="str">
        <f t="shared" si="3"/>
        <v/>
      </c>
      <c r="X6229" s="4" t="str">
        <f>IF(V6229="","",INDEX(Fornecedores!$X$1:$X$6631,V6229))</f>
        <v/>
      </c>
      <c r="Y6229" s="4" t="str">
        <f t="shared" si="4"/>
        <v/>
      </c>
    </row>
    <row r="6230" spans="19:25">
      <c r="S6230" t="str">
        <f t="shared" si="0"/>
        <v/>
      </c>
      <c r="T6230" t="str">
        <f t="shared" si="1"/>
        <v/>
      </c>
      <c r="U6230" t="str">
        <f t="shared" si="2"/>
        <v/>
      </c>
      <c r="V6230" t="str">
        <f>IF(OR(U6230="",U6230="ERRO_CHAVE"),"",IFERROR(MATCH(U6230,Fornecedores!$AF$1:$AF$6631,0),""))</f>
        <v/>
      </c>
      <c r="W6230" t="str">
        <f t="shared" si="3"/>
        <v/>
      </c>
      <c r="X6230" s="4" t="str">
        <f>IF(V6230="","",INDEX(Fornecedores!$X$1:$X$6631,V6230))</f>
        <v/>
      </c>
      <c r="Y6230" s="4" t="str">
        <f t="shared" si="4"/>
        <v/>
      </c>
    </row>
    <row r="6231" spans="19:25">
      <c r="S6231" t="str">
        <f t="shared" si="0"/>
        <v/>
      </c>
      <c r="T6231" t="str">
        <f t="shared" si="1"/>
        <v/>
      </c>
      <c r="U6231" t="str">
        <f t="shared" si="2"/>
        <v/>
      </c>
      <c r="V6231" t="str">
        <f>IF(OR(U6231="",U6231="ERRO_CHAVE"),"",IFERROR(MATCH(U6231,Fornecedores!$AF$1:$AF$6631,0),""))</f>
        <v/>
      </c>
      <c r="W6231" t="str">
        <f t="shared" si="3"/>
        <v/>
      </c>
      <c r="X6231" s="4" t="str">
        <f>IF(V6231="","",INDEX(Fornecedores!$X$1:$X$6631,V6231))</f>
        <v/>
      </c>
      <c r="Y6231" s="4" t="str">
        <f t="shared" si="4"/>
        <v/>
      </c>
    </row>
    <row r="6232" spans="19:25">
      <c r="S6232" t="str">
        <f t="shared" si="0"/>
        <v/>
      </c>
      <c r="T6232" t="str">
        <f t="shared" si="1"/>
        <v/>
      </c>
      <c r="U6232" t="str">
        <f t="shared" si="2"/>
        <v/>
      </c>
      <c r="V6232" t="str">
        <f>IF(OR(U6232="",U6232="ERRO_CHAVE"),"",IFERROR(MATCH(U6232,Fornecedores!$AF$1:$AF$6631,0),""))</f>
        <v/>
      </c>
      <c r="W6232" t="str">
        <f t="shared" si="3"/>
        <v/>
      </c>
      <c r="X6232" s="4" t="str">
        <f>IF(V6232="","",INDEX(Fornecedores!$X$1:$X$6631,V6232))</f>
        <v/>
      </c>
      <c r="Y6232" s="4" t="str">
        <f t="shared" si="4"/>
        <v/>
      </c>
    </row>
    <row r="6233" spans="19:25">
      <c r="S6233" t="str">
        <f t="shared" si="0"/>
        <v/>
      </c>
      <c r="T6233" t="str">
        <f t="shared" si="1"/>
        <v/>
      </c>
      <c r="U6233" t="str">
        <f t="shared" si="2"/>
        <v/>
      </c>
      <c r="V6233" t="str">
        <f>IF(OR(U6233="",U6233="ERRO_CHAVE"),"",IFERROR(MATCH(U6233,Fornecedores!$AF$1:$AF$6631,0),""))</f>
        <v/>
      </c>
      <c r="W6233" t="str">
        <f t="shared" si="3"/>
        <v/>
      </c>
      <c r="X6233" s="4" t="str">
        <f>IF(V6233="","",INDEX(Fornecedores!$X$1:$X$6631,V6233))</f>
        <v/>
      </c>
      <c r="Y6233" s="4" t="str">
        <f t="shared" si="4"/>
        <v/>
      </c>
    </row>
    <row r="6234" spans="19:25">
      <c r="S6234" t="str">
        <f t="shared" si="0"/>
        <v/>
      </c>
      <c r="T6234" t="str">
        <f t="shared" si="1"/>
        <v/>
      </c>
      <c r="U6234" t="str">
        <f t="shared" si="2"/>
        <v/>
      </c>
      <c r="V6234" t="str">
        <f>IF(OR(U6234="",U6234="ERRO_CHAVE"),"",IFERROR(MATCH(U6234,Fornecedores!$AF$1:$AF$6631,0),""))</f>
        <v/>
      </c>
      <c r="W6234" t="str">
        <f t="shared" si="3"/>
        <v/>
      </c>
      <c r="X6234" s="4" t="str">
        <f>IF(V6234="","",INDEX(Fornecedores!$X$1:$X$6631,V6234))</f>
        <v/>
      </c>
      <c r="Y6234" s="4" t="str">
        <f t="shared" si="4"/>
        <v/>
      </c>
    </row>
    <row r="6235" spans="19:25">
      <c r="S6235" t="str">
        <f t="shared" si="0"/>
        <v/>
      </c>
      <c r="T6235" t="str">
        <f t="shared" si="1"/>
        <v/>
      </c>
      <c r="U6235" t="str">
        <f t="shared" si="2"/>
        <v/>
      </c>
      <c r="V6235" t="str">
        <f>IF(OR(U6235="",U6235="ERRO_CHAVE"),"",IFERROR(MATCH(U6235,Fornecedores!$AF$1:$AF$6631,0),""))</f>
        <v/>
      </c>
      <c r="W6235" t="str">
        <f t="shared" si="3"/>
        <v/>
      </c>
      <c r="X6235" s="4" t="str">
        <f>IF(V6235="","",INDEX(Fornecedores!$X$1:$X$6631,V6235))</f>
        <v/>
      </c>
      <c r="Y6235" s="4" t="str">
        <f t="shared" si="4"/>
        <v/>
      </c>
    </row>
    <row r="6236" spans="19:25">
      <c r="S6236" t="str">
        <f t="shared" si="0"/>
        <v/>
      </c>
      <c r="T6236" t="str">
        <f t="shared" si="1"/>
        <v/>
      </c>
      <c r="U6236" t="str">
        <f t="shared" si="2"/>
        <v/>
      </c>
      <c r="V6236" t="str">
        <f>IF(OR(U6236="",U6236="ERRO_CHAVE"),"",IFERROR(MATCH(U6236,Fornecedores!$AF$1:$AF$6631,0),""))</f>
        <v/>
      </c>
      <c r="W6236" t="str">
        <f t="shared" si="3"/>
        <v/>
      </c>
      <c r="X6236" s="4" t="str">
        <f>IF(V6236="","",INDEX(Fornecedores!$X$1:$X$6631,V6236))</f>
        <v/>
      </c>
      <c r="Y6236" s="4" t="str">
        <f t="shared" si="4"/>
        <v/>
      </c>
    </row>
    <row r="6237" spans="19:25">
      <c r="S6237" t="str">
        <f t="shared" si="0"/>
        <v/>
      </c>
      <c r="T6237" t="str">
        <f t="shared" si="1"/>
        <v/>
      </c>
      <c r="U6237" t="str">
        <f t="shared" si="2"/>
        <v/>
      </c>
      <c r="V6237" t="str">
        <f>IF(OR(U6237="",U6237="ERRO_CHAVE"),"",IFERROR(MATCH(U6237,Fornecedores!$AF$1:$AF$6631,0),""))</f>
        <v/>
      </c>
      <c r="W6237" t="str">
        <f t="shared" si="3"/>
        <v/>
      </c>
      <c r="X6237" s="4" t="str">
        <f>IF(V6237="","",INDEX(Fornecedores!$X$1:$X$6631,V6237))</f>
        <v/>
      </c>
      <c r="Y6237" s="4" t="str">
        <f t="shared" si="4"/>
        <v/>
      </c>
    </row>
    <row r="6238" spans="19:25">
      <c r="S6238" t="str">
        <f t="shared" si="0"/>
        <v/>
      </c>
      <c r="T6238" t="str">
        <f t="shared" si="1"/>
        <v/>
      </c>
      <c r="U6238" t="str">
        <f t="shared" si="2"/>
        <v/>
      </c>
      <c r="V6238" t="str">
        <f>IF(OR(U6238="",U6238="ERRO_CHAVE"),"",IFERROR(MATCH(U6238,Fornecedores!$AF$1:$AF$6631,0),""))</f>
        <v/>
      </c>
      <c r="W6238" t="str">
        <f t="shared" si="3"/>
        <v/>
      </c>
      <c r="X6238" s="4" t="str">
        <f>IF(V6238="","",INDEX(Fornecedores!$X$1:$X$6631,V6238))</f>
        <v/>
      </c>
      <c r="Y6238" s="4" t="str">
        <f t="shared" si="4"/>
        <v/>
      </c>
    </row>
    <row r="6239" spans="19:25">
      <c r="S6239" t="str">
        <f t="shared" si="0"/>
        <v/>
      </c>
      <c r="T6239" t="str">
        <f t="shared" si="1"/>
        <v/>
      </c>
      <c r="U6239" t="str">
        <f t="shared" si="2"/>
        <v/>
      </c>
      <c r="V6239" t="str">
        <f>IF(OR(U6239="",U6239="ERRO_CHAVE"),"",IFERROR(MATCH(U6239,Fornecedores!$AF$1:$AF$6631,0),""))</f>
        <v/>
      </c>
      <c r="W6239" t="str">
        <f t="shared" si="3"/>
        <v/>
      </c>
      <c r="X6239" s="4" t="str">
        <f>IF(V6239="","",INDEX(Fornecedores!$X$1:$X$6631,V6239))</f>
        <v/>
      </c>
      <c r="Y6239" s="4" t="str">
        <f t="shared" si="4"/>
        <v/>
      </c>
    </row>
    <row r="6240" spans="19:25">
      <c r="S6240" t="str">
        <f t="shared" si="0"/>
        <v/>
      </c>
      <c r="T6240" t="str">
        <f t="shared" si="1"/>
        <v/>
      </c>
      <c r="U6240" t="str">
        <f t="shared" si="2"/>
        <v/>
      </c>
      <c r="V6240" t="str">
        <f>IF(OR(U6240="",U6240="ERRO_CHAVE"),"",IFERROR(MATCH(U6240,Fornecedores!$AF$1:$AF$6631,0),""))</f>
        <v/>
      </c>
      <c r="W6240" t="str">
        <f t="shared" si="3"/>
        <v/>
      </c>
      <c r="X6240" s="4" t="str">
        <f>IF(V6240="","",INDEX(Fornecedores!$X$1:$X$6631,V6240))</f>
        <v/>
      </c>
      <c r="Y6240" s="4" t="str">
        <f t="shared" si="4"/>
        <v/>
      </c>
    </row>
    <row r="6241" spans="19:25">
      <c r="S6241" t="str">
        <f t="shared" si="0"/>
        <v/>
      </c>
      <c r="T6241" t="str">
        <f t="shared" si="1"/>
        <v/>
      </c>
      <c r="U6241" t="str">
        <f t="shared" si="2"/>
        <v/>
      </c>
      <c r="V6241" t="str">
        <f>IF(OR(U6241="",U6241="ERRO_CHAVE"),"",IFERROR(MATCH(U6241,Fornecedores!$AF$1:$AF$6631,0),""))</f>
        <v/>
      </c>
      <c r="W6241" t="str">
        <f t="shared" si="3"/>
        <v/>
      </c>
      <c r="X6241" s="4" t="str">
        <f>IF(V6241="","",INDEX(Fornecedores!$X$1:$X$6631,V6241))</f>
        <v/>
      </c>
      <c r="Y6241" s="4" t="str">
        <f t="shared" si="4"/>
        <v/>
      </c>
    </row>
    <row r="6242" spans="19:25">
      <c r="S6242" t="str">
        <f t="shared" si="0"/>
        <v/>
      </c>
      <c r="T6242" t="str">
        <f t="shared" si="1"/>
        <v/>
      </c>
      <c r="U6242" t="str">
        <f t="shared" si="2"/>
        <v/>
      </c>
      <c r="V6242" t="str">
        <f>IF(OR(U6242="",U6242="ERRO_CHAVE"),"",IFERROR(MATCH(U6242,Fornecedores!$AF$1:$AF$6631,0),""))</f>
        <v/>
      </c>
      <c r="W6242" t="str">
        <f t="shared" si="3"/>
        <v/>
      </c>
      <c r="X6242" s="4" t="str">
        <f>IF(V6242="","",INDEX(Fornecedores!$X$1:$X$6631,V6242))</f>
        <v/>
      </c>
      <c r="Y6242" s="4" t="str">
        <f t="shared" si="4"/>
        <v/>
      </c>
    </row>
    <row r="6243" spans="19:25">
      <c r="S6243" t="str">
        <f t="shared" si="0"/>
        <v/>
      </c>
      <c r="T6243" t="str">
        <f t="shared" si="1"/>
        <v/>
      </c>
      <c r="U6243" t="str">
        <f t="shared" si="2"/>
        <v/>
      </c>
      <c r="V6243" t="str">
        <f>IF(OR(U6243="",U6243="ERRO_CHAVE"),"",IFERROR(MATCH(U6243,Fornecedores!$AF$1:$AF$6631,0),""))</f>
        <v/>
      </c>
      <c r="W6243" t="str">
        <f t="shared" si="3"/>
        <v/>
      </c>
      <c r="X6243" s="4" t="str">
        <f>IF(V6243="","",INDEX(Fornecedores!$X$1:$X$6631,V6243))</f>
        <v/>
      </c>
      <c r="Y6243" s="4" t="str">
        <f t="shared" si="4"/>
        <v/>
      </c>
    </row>
    <row r="6244" spans="19:25">
      <c r="S6244" t="str">
        <f t="shared" si="0"/>
        <v/>
      </c>
      <c r="T6244" t="str">
        <f t="shared" si="1"/>
        <v/>
      </c>
      <c r="U6244" t="str">
        <f t="shared" si="2"/>
        <v/>
      </c>
      <c r="V6244" t="str">
        <f>IF(OR(U6244="",U6244="ERRO_CHAVE"),"",IFERROR(MATCH(U6244,Fornecedores!$AF$1:$AF$6631,0),""))</f>
        <v/>
      </c>
      <c r="W6244" t="str">
        <f t="shared" si="3"/>
        <v/>
      </c>
      <c r="X6244" s="4" t="str">
        <f>IF(V6244="","",INDEX(Fornecedores!$X$1:$X$6631,V6244))</f>
        <v/>
      </c>
      <c r="Y6244" s="4" t="str">
        <f t="shared" si="4"/>
        <v/>
      </c>
    </row>
    <row r="6245" spans="19:25">
      <c r="S6245" t="str">
        <f t="shared" si="0"/>
        <v/>
      </c>
      <c r="T6245" t="str">
        <f t="shared" si="1"/>
        <v/>
      </c>
      <c r="U6245" t="str">
        <f t="shared" si="2"/>
        <v/>
      </c>
      <c r="V6245" t="str">
        <f>IF(OR(U6245="",U6245="ERRO_CHAVE"),"",IFERROR(MATCH(U6245,Fornecedores!$AF$1:$AF$6631,0),""))</f>
        <v/>
      </c>
      <c r="W6245" t="str">
        <f t="shared" si="3"/>
        <v/>
      </c>
      <c r="X6245" s="4" t="str">
        <f>IF(V6245="","",INDEX(Fornecedores!$X$1:$X$6631,V6245))</f>
        <v/>
      </c>
      <c r="Y6245" s="4" t="str">
        <f t="shared" si="4"/>
        <v/>
      </c>
    </row>
    <row r="6246" spans="19:25">
      <c r="S6246" t="str">
        <f t="shared" si="0"/>
        <v/>
      </c>
      <c r="T6246" t="str">
        <f t="shared" si="1"/>
        <v/>
      </c>
      <c r="U6246" t="str">
        <f t="shared" si="2"/>
        <v/>
      </c>
      <c r="V6246" t="str">
        <f>IF(OR(U6246="",U6246="ERRO_CHAVE"),"",IFERROR(MATCH(U6246,Fornecedores!$AF$1:$AF$6631,0),""))</f>
        <v/>
      </c>
      <c r="W6246" t="str">
        <f t="shared" si="3"/>
        <v/>
      </c>
      <c r="X6246" s="4" t="str">
        <f>IF(V6246="","",INDEX(Fornecedores!$X$1:$X$6631,V6246))</f>
        <v/>
      </c>
      <c r="Y6246" s="4" t="str">
        <f t="shared" si="4"/>
        <v/>
      </c>
    </row>
    <row r="6247" spans="19:25">
      <c r="S6247" t="str">
        <f t="shared" si="0"/>
        <v/>
      </c>
      <c r="T6247" t="str">
        <f t="shared" si="1"/>
        <v/>
      </c>
      <c r="U6247" t="str">
        <f t="shared" si="2"/>
        <v/>
      </c>
      <c r="V6247" t="str">
        <f>IF(OR(U6247="",U6247="ERRO_CHAVE"),"",IFERROR(MATCH(U6247,Fornecedores!$AF$1:$AF$6631,0),""))</f>
        <v/>
      </c>
      <c r="W6247" t="str">
        <f t="shared" si="3"/>
        <v/>
      </c>
      <c r="X6247" s="4" t="str">
        <f>IF(V6247="","",INDEX(Fornecedores!$X$1:$X$6631,V6247))</f>
        <v/>
      </c>
      <c r="Y6247" s="4" t="str">
        <f t="shared" si="4"/>
        <v/>
      </c>
    </row>
    <row r="6248" spans="19:25">
      <c r="S6248" t="str">
        <f t="shared" si="0"/>
        <v/>
      </c>
      <c r="T6248" t="str">
        <f t="shared" si="1"/>
        <v/>
      </c>
      <c r="U6248" t="str">
        <f t="shared" si="2"/>
        <v/>
      </c>
      <c r="V6248" t="str">
        <f>IF(OR(U6248="",U6248="ERRO_CHAVE"),"",IFERROR(MATCH(U6248,Fornecedores!$AF$1:$AF$6631,0),""))</f>
        <v/>
      </c>
      <c r="W6248" t="str">
        <f t="shared" si="3"/>
        <v/>
      </c>
      <c r="X6248" s="4" t="str">
        <f>IF(V6248="","",INDEX(Fornecedores!$X$1:$X$6631,V6248))</f>
        <v/>
      </c>
      <c r="Y6248" s="4" t="str">
        <f t="shared" si="4"/>
        <v/>
      </c>
    </row>
    <row r="6249" spans="19:25">
      <c r="S6249" t="str">
        <f t="shared" si="0"/>
        <v/>
      </c>
      <c r="T6249" t="str">
        <f t="shared" si="1"/>
        <v/>
      </c>
      <c r="U6249" t="str">
        <f t="shared" si="2"/>
        <v/>
      </c>
      <c r="V6249" t="str">
        <f>IF(OR(U6249="",U6249="ERRO_CHAVE"),"",IFERROR(MATCH(U6249,Fornecedores!$AF$1:$AF$6631,0),""))</f>
        <v/>
      </c>
      <c r="W6249" t="str">
        <f t="shared" si="3"/>
        <v/>
      </c>
      <c r="X6249" s="4" t="str">
        <f>IF(V6249="","",INDEX(Fornecedores!$X$1:$X$6631,V6249))</f>
        <v/>
      </c>
      <c r="Y6249" s="4" t="str">
        <f t="shared" si="4"/>
        <v/>
      </c>
    </row>
    <row r="6250" spans="19:25">
      <c r="S6250" t="str">
        <f t="shared" si="0"/>
        <v/>
      </c>
      <c r="T6250" t="str">
        <f t="shared" si="1"/>
        <v/>
      </c>
      <c r="U6250" t="str">
        <f t="shared" si="2"/>
        <v/>
      </c>
      <c r="V6250" t="str">
        <f>IF(OR(U6250="",U6250="ERRO_CHAVE"),"",IFERROR(MATCH(U6250,Fornecedores!$AF$1:$AF$6631,0),""))</f>
        <v/>
      </c>
      <c r="W6250" t="str">
        <f t="shared" si="3"/>
        <v/>
      </c>
      <c r="X6250" s="4" t="str">
        <f>IF(V6250="","",INDEX(Fornecedores!$X$1:$X$6631,V6250))</f>
        <v/>
      </c>
      <c r="Y6250" s="4" t="str">
        <f t="shared" si="4"/>
        <v/>
      </c>
    </row>
    <row r="6251" spans="19:25">
      <c r="S6251" t="str">
        <f t="shared" si="0"/>
        <v/>
      </c>
      <c r="T6251" t="str">
        <f t="shared" si="1"/>
        <v/>
      </c>
      <c r="U6251" t="str">
        <f t="shared" si="2"/>
        <v/>
      </c>
      <c r="V6251" t="str">
        <f>IF(OR(U6251="",U6251="ERRO_CHAVE"),"",IFERROR(MATCH(U6251,Fornecedores!$AF$1:$AF$6631,0),""))</f>
        <v/>
      </c>
      <c r="W6251" t="str">
        <f t="shared" si="3"/>
        <v/>
      </c>
      <c r="X6251" s="4" t="str">
        <f>IF(V6251="","",INDEX(Fornecedores!$X$1:$X$6631,V6251))</f>
        <v/>
      </c>
      <c r="Y6251" s="4" t="str">
        <f t="shared" si="4"/>
        <v/>
      </c>
    </row>
    <row r="6252" spans="19:25">
      <c r="S6252" t="str">
        <f t="shared" si="0"/>
        <v/>
      </c>
      <c r="T6252" t="str">
        <f t="shared" si="1"/>
        <v/>
      </c>
      <c r="U6252" t="str">
        <f t="shared" si="2"/>
        <v/>
      </c>
      <c r="V6252" t="str">
        <f>IF(OR(U6252="",U6252="ERRO_CHAVE"),"",IFERROR(MATCH(U6252,Fornecedores!$AF$1:$AF$6631,0),""))</f>
        <v/>
      </c>
      <c r="W6252" t="str">
        <f t="shared" si="3"/>
        <v/>
      </c>
      <c r="X6252" s="4" t="str">
        <f>IF(V6252="","",INDEX(Fornecedores!$X$1:$X$6631,V6252))</f>
        <v/>
      </c>
      <c r="Y6252" s="4" t="str">
        <f t="shared" si="4"/>
        <v/>
      </c>
    </row>
    <row r="6253" spans="19:25">
      <c r="S6253" t="str">
        <f t="shared" si="0"/>
        <v/>
      </c>
      <c r="T6253" t="str">
        <f t="shared" si="1"/>
        <v/>
      </c>
      <c r="U6253" t="str">
        <f t="shared" si="2"/>
        <v/>
      </c>
      <c r="V6253" t="str">
        <f>IF(OR(U6253="",U6253="ERRO_CHAVE"),"",IFERROR(MATCH(U6253,Fornecedores!$AF$1:$AF$6631,0),""))</f>
        <v/>
      </c>
      <c r="W6253" t="str">
        <f t="shared" si="3"/>
        <v/>
      </c>
      <c r="X6253" s="4" t="str">
        <f>IF(V6253="","",INDEX(Fornecedores!$X$1:$X$6631,V6253))</f>
        <v/>
      </c>
      <c r="Y6253" s="4" t="str">
        <f t="shared" si="4"/>
        <v/>
      </c>
    </row>
    <row r="6254" spans="19:25">
      <c r="S6254" t="str">
        <f t="shared" si="0"/>
        <v/>
      </c>
      <c r="T6254" t="str">
        <f t="shared" si="1"/>
        <v/>
      </c>
      <c r="U6254" t="str">
        <f t="shared" si="2"/>
        <v/>
      </c>
      <c r="V6254" t="str">
        <f>IF(OR(U6254="",U6254="ERRO_CHAVE"),"",IFERROR(MATCH(U6254,Fornecedores!$AF$1:$AF$6631,0),""))</f>
        <v/>
      </c>
      <c r="W6254" t="str">
        <f t="shared" si="3"/>
        <v/>
      </c>
      <c r="X6254" s="4" t="str">
        <f>IF(V6254="","",INDEX(Fornecedores!$X$1:$X$6631,V6254))</f>
        <v/>
      </c>
      <c r="Y6254" s="4" t="str">
        <f t="shared" si="4"/>
        <v/>
      </c>
    </row>
    <row r="6255" spans="19:25">
      <c r="S6255" t="str">
        <f t="shared" si="0"/>
        <v/>
      </c>
      <c r="T6255" t="str">
        <f t="shared" si="1"/>
        <v/>
      </c>
      <c r="U6255" t="str">
        <f t="shared" si="2"/>
        <v/>
      </c>
      <c r="V6255" t="str">
        <f>IF(OR(U6255="",U6255="ERRO_CHAVE"),"",IFERROR(MATCH(U6255,Fornecedores!$AF$1:$AF$6631,0),""))</f>
        <v/>
      </c>
      <c r="W6255" t="str">
        <f t="shared" si="3"/>
        <v/>
      </c>
      <c r="X6255" s="4" t="str">
        <f>IF(V6255="","",INDEX(Fornecedores!$X$1:$X$6631,V6255))</f>
        <v/>
      </c>
      <c r="Y6255" s="4" t="str">
        <f t="shared" si="4"/>
        <v/>
      </c>
    </row>
    <row r="6256" spans="19:25">
      <c r="S6256" t="str">
        <f t="shared" si="0"/>
        <v/>
      </c>
      <c r="T6256" t="str">
        <f t="shared" si="1"/>
        <v/>
      </c>
      <c r="U6256" t="str">
        <f t="shared" si="2"/>
        <v/>
      </c>
      <c r="V6256" t="str">
        <f>IF(OR(U6256="",U6256="ERRO_CHAVE"),"",IFERROR(MATCH(U6256,Fornecedores!$AF$1:$AF$6631,0),""))</f>
        <v/>
      </c>
      <c r="W6256" t="str">
        <f t="shared" si="3"/>
        <v/>
      </c>
      <c r="X6256" s="4" t="str">
        <f>IF(V6256="","",INDEX(Fornecedores!$X$1:$X$6631,V6256))</f>
        <v/>
      </c>
      <c r="Y6256" s="4" t="str">
        <f t="shared" si="4"/>
        <v/>
      </c>
    </row>
    <row r="6257" spans="19:25">
      <c r="S6257" t="str">
        <f t="shared" si="0"/>
        <v/>
      </c>
      <c r="T6257" t="str">
        <f t="shared" si="1"/>
        <v/>
      </c>
      <c r="U6257" t="str">
        <f t="shared" si="2"/>
        <v/>
      </c>
      <c r="V6257" t="str">
        <f>IF(OR(U6257="",U6257="ERRO_CHAVE"),"",IFERROR(MATCH(U6257,Fornecedores!$AF$1:$AF$6631,0),""))</f>
        <v/>
      </c>
      <c r="W6257" t="str">
        <f t="shared" si="3"/>
        <v/>
      </c>
      <c r="X6257" s="4" t="str">
        <f>IF(V6257="","",INDEX(Fornecedores!$X$1:$X$6631,V6257))</f>
        <v/>
      </c>
      <c r="Y6257" s="4" t="str">
        <f t="shared" si="4"/>
        <v/>
      </c>
    </row>
    <row r="6258" spans="19:25">
      <c r="S6258" t="str">
        <f t="shared" si="0"/>
        <v/>
      </c>
      <c r="T6258" t="str">
        <f t="shared" si="1"/>
        <v/>
      </c>
      <c r="U6258" t="str">
        <f t="shared" si="2"/>
        <v/>
      </c>
      <c r="V6258" t="str">
        <f>IF(OR(U6258="",U6258="ERRO_CHAVE"),"",IFERROR(MATCH(U6258,Fornecedores!$AF$1:$AF$6631,0),""))</f>
        <v/>
      </c>
      <c r="W6258" t="str">
        <f t="shared" si="3"/>
        <v/>
      </c>
      <c r="X6258" s="4" t="str">
        <f>IF(V6258="","",INDEX(Fornecedores!$X$1:$X$6631,V6258))</f>
        <v/>
      </c>
      <c r="Y6258" s="4" t="str">
        <f t="shared" si="4"/>
        <v/>
      </c>
    </row>
    <row r="6259" spans="19:25">
      <c r="S6259" t="str">
        <f t="shared" si="0"/>
        <v/>
      </c>
      <c r="T6259" t="str">
        <f t="shared" si="1"/>
        <v/>
      </c>
      <c r="U6259" t="str">
        <f t="shared" si="2"/>
        <v/>
      </c>
      <c r="V6259" t="str">
        <f>IF(OR(U6259="",U6259="ERRO_CHAVE"),"",IFERROR(MATCH(U6259,Fornecedores!$AF$1:$AF$6631,0),""))</f>
        <v/>
      </c>
      <c r="W6259" t="str">
        <f t="shared" si="3"/>
        <v/>
      </c>
      <c r="X6259" s="4" t="str">
        <f>IF(V6259="","",INDEX(Fornecedores!$X$1:$X$6631,V6259))</f>
        <v/>
      </c>
      <c r="Y6259" s="4" t="str">
        <f t="shared" si="4"/>
        <v/>
      </c>
    </row>
    <row r="6260" spans="19:25">
      <c r="S6260" t="str">
        <f t="shared" si="0"/>
        <v/>
      </c>
      <c r="T6260" t="str">
        <f t="shared" si="1"/>
        <v/>
      </c>
      <c r="U6260" t="str">
        <f t="shared" si="2"/>
        <v/>
      </c>
      <c r="V6260" t="str">
        <f>IF(OR(U6260="",U6260="ERRO_CHAVE"),"",IFERROR(MATCH(U6260,Fornecedores!$AF$1:$AF$6631,0),""))</f>
        <v/>
      </c>
      <c r="W6260" t="str">
        <f t="shared" si="3"/>
        <v/>
      </c>
      <c r="X6260" s="4" t="str">
        <f>IF(V6260="","",INDEX(Fornecedores!$X$1:$X$6631,V6260))</f>
        <v/>
      </c>
      <c r="Y6260" s="4" t="str">
        <f t="shared" si="4"/>
        <v/>
      </c>
    </row>
    <row r="6261" spans="19:25">
      <c r="S6261" t="str">
        <f t="shared" si="0"/>
        <v/>
      </c>
      <c r="T6261" t="str">
        <f t="shared" si="1"/>
        <v/>
      </c>
      <c r="U6261" t="str">
        <f t="shared" si="2"/>
        <v/>
      </c>
      <c r="V6261" t="str">
        <f>IF(OR(U6261="",U6261="ERRO_CHAVE"),"",IFERROR(MATCH(U6261,Fornecedores!$AF$1:$AF$6631,0),""))</f>
        <v/>
      </c>
      <c r="W6261" t="str">
        <f t="shared" si="3"/>
        <v/>
      </c>
      <c r="X6261" s="4" t="str">
        <f>IF(V6261="","",INDEX(Fornecedores!$X$1:$X$6631,V6261))</f>
        <v/>
      </c>
      <c r="Y6261" s="4" t="str">
        <f t="shared" si="4"/>
        <v/>
      </c>
    </row>
    <row r="6262" spans="19:25">
      <c r="S6262" t="str">
        <f t="shared" si="0"/>
        <v/>
      </c>
      <c r="T6262" t="str">
        <f t="shared" si="1"/>
        <v/>
      </c>
      <c r="U6262" t="str">
        <f t="shared" si="2"/>
        <v/>
      </c>
      <c r="V6262" t="str">
        <f>IF(OR(U6262="",U6262="ERRO_CHAVE"),"",IFERROR(MATCH(U6262,Fornecedores!$AF$1:$AF$6631,0),""))</f>
        <v/>
      </c>
      <c r="W6262" t="str">
        <f t="shared" si="3"/>
        <v/>
      </c>
      <c r="X6262" s="4" t="str">
        <f>IF(V6262="","",INDEX(Fornecedores!$X$1:$X$6631,V6262))</f>
        <v/>
      </c>
      <c r="Y6262" s="4" t="str">
        <f t="shared" si="4"/>
        <v/>
      </c>
    </row>
    <row r="6263" spans="19:25">
      <c r="S6263" t="str">
        <f t="shared" si="0"/>
        <v/>
      </c>
      <c r="T6263" t="str">
        <f t="shared" si="1"/>
        <v/>
      </c>
      <c r="U6263" t="str">
        <f t="shared" si="2"/>
        <v/>
      </c>
      <c r="V6263" t="str">
        <f>IF(OR(U6263="",U6263="ERRO_CHAVE"),"",IFERROR(MATCH(U6263,Fornecedores!$AF$1:$AF$6631,0),""))</f>
        <v/>
      </c>
      <c r="W6263" t="str">
        <f t="shared" si="3"/>
        <v/>
      </c>
      <c r="X6263" s="4" t="str">
        <f>IF(V6263="","",INDEX(Fornecedores!$X$1:$X$6631,V6263))</f>
        <v/>
      </c>
      <c r="Y6263" s="4" t="str">
        <f t="shared" si="4"/>
        <v/>
      </c>
    </row>
    <row r="6264" spans="19:25">
      <c r="S6264" t="str">
        <f t="shared" si="0"/>
        <v/>
      </c>
      <c r="T6264" t="str">
        <f t="shared" si="1"/>
        <v/>
      </c>
      <c r="U6264" t="str">
        <f t="shared" si="2"/>
        <v/>
      </c>
      <c r="V6264" t="str">
        <f>IF(OR(U6264="",U6264="ERRO_CHAVE"),"",IFERROR(MATCH(U6264,Fornecedores!$AF$1:$AF$6631,0),""))</f>
        <v/>
      </c>
      <c r="W6264" t="str">
        <f t="shared" si="3"/>
        <v/>
      </c>
      <c r="X6264" s="4" t="str">
        <f>IF(V6264="","",INDEX(Fornecedores!$X$1:$X$6631,V6264))</f>
        <v/>
      </c>
      <c r="Y6264" s="4" t="str">
        <f t="shared" si="4"/>
        <v/>
      </c>
    </row>
    <row r="6265" spans="19:25">
      <c r="S6265" t="str">
        <f t="shared" si="0"/>
        <v/>
      </c>
      <c r="T6265" t="str">
        <f t="shared" si="1"/>
        <v/>
      </c>
      <c r="U6265" t="str">
        <f t="shared" si="2"/>
        <v/>
      </c>
      <c r="V6265" t="str">
        <f>IF(OR(U6265="",U6265="ERRO_CHAVE"),"",IFERROR(MATCH(U6265,Fornecedores!$AF$1:$AF$6631,0),""))</f>
        <v/>
      </c>
      <c r="W6265" t="str">
        <f t="shared" si="3"/>
        <v/>
      </c>
      <c r="X6265" s="4" t="str">
        <f>IF(V6265="","",INDEX(Fornecedores!$X$1:$X$6631,V6265))</f>
        <v/>
      </c>
      <c r="Y6265" s="4" t="str">
        <f t="shared" si="4"/>
        <v/>
      </c>
    </row>
    <row r="6266" spans="19:25">
      <c r="S6266" t="str">
        <f t="shared" si="0"/>
        <v/>
      </c>
      <c r="T6266" t="str">
        <f t="shared" si="1"/>
        <v/>
      </c>
      <c r="U6266" t="str">
        <f t="shared" si="2"/>
        <v/>
      </c>
      <c r="V6266" t="str">
        <f>IF(OR(U6266="",U6266="ERRO_CHAVE"),"",IFERROR(MATCH(U6266,Fornecedores!$AF$1:$AF$6631,0),""))</f>
        <v/>
      </c>
      <c r="W6266" t="str">
        <f t="shared" si="3"/>
        <v/>
      </c>
      <c r="X6266" s="4" t="str">
        <f>IF(V6266="","",INDEX(Fornecedores!$X$1:$X$6631,V6266))</f>
        <v/>
      </c>
      <c r="Y6266" s="4" t="str">
        <f t="shared" si="4"/>
        <v/>
      </c>
    </row>
    <row r="6267" spans="19:25">
      <c r="S6267" t="str">
        <f t="shared" si="0"/>
        <v/>
      </c>
      <c r="T6267" t="str">
        <f t="shared" si="1"/>
        <v/>
      </c>
      <c r="U6267" t="str">
        <f t="shared" si="2"/>
        <v/>
      </c>
      <c r="V6267" t="str">
        <f>IF(OR(U6267="",U6267="ERRO_CHAVE"),"",IFERROR(MATCH(U6267,Fornecedores!$AF$1:$AF$6631,0),""))</f>
        <v/>
      </c>
      <c r="W6267" t="str">
        <f t="shared" si="3"/>
        <v/>
      </c>
      <c r="X6267" s="4" t="str">
        <f>IF(V6267="","",INDEX(Fornecedores!$X$1:$X$6631,V6267))</f>
        <v/>
      </c>
      <c r="Y6267" s="4" t="str">
        <f t="shared" si="4"/>
        <v/>
      </c>
    </row>
    <row r="6268" spans="19:25">
      <c r="S6268" t="str">
        <f t="shared" si="0"/>
        <v/>
      </c>
      <c r="T6268" t="str">
        <f t="shared" si="1"/>
        <v/>
      </c>
      <c r="U6268" t="str">
        <f t="shared" si="2"/>
        <v/>
      </c>
      <c r="V6268" t="str">
        <f>IF(OR(U6268="",U6268="ERRO_CHAVE"),"",IFERROR(MATCH(U6268,Fornecedores!$AF$1:$AF$6631,0),""))</f>
        <v/>
      </c>
      <c r="W6268" t="str">
        <f t="shared" si="3"/>
        <v/>
      </c>
      <c r="X6268" s="4" t="str">
        <f>IF(V6268="","",INDEX(Fornecedores!$X$1:$X$6631,V6268))</f>
        <v/>
      </c>
      <c r="Y6268" s="4" t="str">
        <f t="shared" si="4"/>
        <v/>
      </c>
    </row>
    <row r="6269" spans="19:25">
      <c r="S6269" t="str">
        <f t="shared" si="0"/>
        <v/>
      </c>
      <c r="T6269" t="str">
        <f t="shared" si="1"/>
        <v/>
      </c>
      <c r="U6269" t="str">
        <f t="shared" si="2"/>
        <v/>
      </c>
      <c r="V6269" t="str">
        <f>IF(OR(U6269="",U6269="ERRO_CHAVE"),"",IFERROR(MATCH(U6269,Fornecedores!$AF$1:$AF$6631,0),""))</f>
        <v/>
      </c>
      <c r="W6269" t="str">
        <f t="shared" si="3"/>
        <v/>
      </c>
      <c r="X6269" s="4" t="str">
        <f>IF(V6269="","",INDEX(Fornecedores!$X$1:$X$6631,V6269))</f>
        <v/>
      </c>
      <c r="Y6269" s="4" t="str">
        <f t="shared" si="4"/>
        <v/>
      </c>
    </row>
    <row r="6270" spans="19:25">
      <c r="S6270" t="str">
        <f t="shared" si="0"/>
        <v/>
      </c>
      <c r="T6270" t="str">
        <f t="shared" si="1"/>
        <v/>
      </c>
      <c r="U6270" t="str">
        <f t="shared" si="2"/>
        <v/>
      </c>
      <c r="V6270" t="str">
        <f>IF(OR(U6270="",U6270="ERRO_CHAVE"),"",IFERROR(MATCH(U6270,Fornecedores!$AF$1:$AF$6631,0),""))</f>
        <v/>
      </c>
      <c r="W6270" t="str">
        <f t="shared" si="3"/>
        <v/>
      </c>
      <c r="X6270" s="4" t="str">
        <f>IF(V6270="","",INDEX(Fornecedores!$X$1:$X$6631,V6270))</f>
        <v/>
      </c>
      <c r="Y6270" s="4" t="str">
        <f t="shared" si="4"/>
        <v/>
      </c>
    </row>
    <row r="6271" spans="19:25">
      <c r="S6271" t="str">
        <f t="shared" si="0"/>
        <v/>
      </c>
      <c r="T6271" t="str">
        <f t="shared" si="1"/>
        <v/>
      </c>
      <c r="U6271" t="str">
        <f t="shared" si="2"/>
        <v/>
      </c>
      <c r="V6271" t="str">
        <f>IF(OR(U6271="",U6271="ERRO_CHAVE"),"",IFERROR(MATCH(U6271,Fornecedores!$AF$1:$AF$6631,0),""))</f>
        <v/>
      </c>
      <c r="W6271" t="str">
        <f t="shared" si="3"/>
        <v/>
      </c>
      <c r="X6271" s="4" t="str">
        <f>IF(V6271="","",INDEX(Fornecedores!$X$1:$X$6631,V6271))</f>
        <v/>
      </c>
      <c r="Y6271" s="4" t="str">
        <f t="shared" si="4"/>
        <v/>
      </c>
    </row>
    <row r="6272" spans="19:25">
      <c r="S6272" t="str">
        <f t="shared" si="0"/>
        <v/>
      </c>
      <c r="T6272" t="str">
        <f t="shared" si="1"/>
        <v/>
      </c>
      <c r="U6272" t="str">
        <f t="shared" si="2"/>
        <v/>
      </c>
      <c r="V6272" t="str">
        <f>IF(OR(U6272="",U6272="ERRO_CHAVE"),"",IFERROR(MATCH(U6272,Fornecedores!$AF$1:$AF$6631,0),""))</f>
        <v/>
      </c>
      <c r="W6272" t="str">
        <f t="shared" si="3"/>
        <v/>
      </c>
      <c r="X6272" s="4" t="str">
        <f>IF(V6272="","",INDEX(Fornecedores!$X$1:$X$6631,V6272))</f>
        <v/>
      </c>
      <c r="Y6272" s="4" t="str">
        <f t="shared" si="4"/>
        <v/>
      </c>
    </row>
    <row r="6273" spans="19:25">
      <c r="S6273" t="str">
        <f t="shared" si="0"/>
        <v/>
      </c>
      <c r="T6273" t="str">
        <f t="shared" si="1"/>
        <v/>
      </c>
      <c r="U6273" t="str">
        <f t="shared" si="2"/>
        <v/>
      </c>
      <c r="V6273" t="str">
        <f>IF(OR(U6273="",U6273="ERRO_CHAVE"),"",IFERROR(MATCH(U6273,Fornecedores!$AF$1:$AF$6631,0),""))</f>
        <v/>
      </c>
      <c r="W6273" t="str">
        <f t="shared" si="3"/>
        <v/>
      </c>
      <c r="X6273" s="4" t="str">
        <f>IF(V6273="","",INDEX(Fornecedores!$X$1:$X$6631,V6273))</f>
        <v/>
      </c>
      <c r="Y6273" s="4" t="str">
        <f t="shared" si="4"/>
        <v/>
      </c>
    </row>
    <row r="6274" spans="19:25">
      <c r="S6274" t="str">
        <f t="shared" si="0"/>
        <v/>
      </c>
      <c r="T6274" t="str">
        <f t="shared" si="1"/>
        <v/>
      </c>
      <c r="U6274" t="str">
        <f t="shared" si="2"/>
        <v/>
      </c>
      <c r="V6274" t="str">
        <f>IF(OR(U6274="",U6274="ERRO_CHAVE"),"",IFERROR(MATCH(U6274,Fornecedores!$AF$1:$AF$6631,0),""))</f>
        <v/>
      </c>
      <c r="W6274" t="str">
        <f t="shared" si="3"/>
        <v/>
      </c>
      <c r="X6274" s="4" t="str">
        <f>IF(V6274="","",INDEX(Fornecedores!$X$1:$X$6631,V6274))</f>
        <v/>
      </c>
      <c r="Y6274" s="4" t="str">
        <f t="shared" si="4"/>
        <v/>
      </c>
    </row>
    <row r="6275" spans="19:25">
      <c r="S6275" t="str">
        <f t="shared" si="0"/>
        <v/>
      </c>
      <c r="T6275" t="str">
        <f t="shared" si="1"/>
        <v/>
      </c>
      <c r="U6275" t="str">
        <f t="shared" si="2"/>
        <v/>
      </c>
      <c r="V6275" t="str">
        <f>IF(OR(U6275="",U6275="ERRO_CHAVE"),"",IFERROR(MATCH(U6275,Fornecedores!$AF$1:$AF$6631,0),""))</f>
        <v/>
      </c>
      <c r="W6275" t="str">
        <f t="shared" si="3"/>
        <v/>
      </c>
      <c r="X6275" s="4" t="str">
        <f>IF(V6275="","",INDEX(Fornecedores!$X$1:$X$6631,V6275))</f>
        <v/>
      </c>
      <c r="Y6275" s="4" t="str">
        <f t="shared" si="4"/>
        <v/>
      </c>
    </row>
    <row r="6276" spans="19:25">
      <c r="S6276" t="str">
        <f t="shared" si="0"/>
        <v/>
      </c>
      <c r="T6276" t="str">
        <f t="shared" si="1"/>
        <v/>
      </c>
      <c r="U6276" t="str">
        <f t="shared" si="2"/>
        <v/>
      </c>
      <c r="V6276" t="str">
        <f>IF(OR(U6276="",U6276="ERRO_CHAVE"),"",IFERROR(MATCH(U6276,Fornecedores!$AF$1:$AF$6631,0),""))</f>
        <v/>
      </c>
      <c r="W6276" t="str">
        <f t="shared" si="3"/>
        <v/>
      </c>
      <c r="X6276" s="4" t="str">
        <f>IF(V6276="","",INDEX(Fornecedores!$X$1:$X$6631,V6276))</f>
        <v/>
      </c>
      <c r="Y6276" s="4" t="str">
        <f t="shared" si="4"/>
        <v/>
      </c>
    </row>
    <row r="6277" spans="19:25">
      <c r="S6277" t="str">
        <f t="shared" si="0"/>
        <v/>
      </c>
      <c r="T6277" t="str">
        <f t="shared" si="1"/>
        <v/>
      </c>
      <c r="U6277" t="str">
        <f t="shared" si="2"/>
        <v/>
      </c>
      <c r="V6277" t="str">
        <f>IF(OR(U6277="",U6277="ERRO_CHAVE"),"",IFERROR(MATCH(U6277,Fornecedores!$AF$1:$AF$6631,0),""))</f>
        <v/>
      </c>
      <c r="W6277" t="str">
        <f t="shared" si="3"/>
        <v/>
      </c>
      <c r="X6277" s="4" t="str">
        <f>IF(V6277="","",INDEX(Fornecedores!$X$1:$X$6631,V6277))</f>
        <v/>
      </c>
      <c r="Y6277" s="4" t="str">
        <f t="shared" si="4"/>
        <v/>
      </c>
    </row>
    <row r="6278" spans="19:25">
      <c r="S6278" t="str">
        <f t="shared" si="0"/>
        <v/>
      </c>
      <c r="T6278" t="str">
        <f t="shared" si="1"/>
        <v/>
      </c>
      <c r="U6278" t="str">
        <f t="shared" si="2"/>
        <v/>
      </c>
      <c r="V6278" t="str">
        <f>IF(OR(U6278="",U6278="ERRO_CHAVE"),"",IFERROR(MATCH(U6278,Fornecedores!$AF$1:$AF$6631,0),""))</f>
        <v/>
      </c>
      <c r="W6278" t="str">
        <f t="shared" si="3"/>
        <v/>
      </c>
      <c r="X6278" s="4" t="str">
        <f>IF(V6278="","",INDEX(Fornecedores!$X$1:$X$6631,V6278))</f>
        <v/>
      </c>
      <c r="Y6278" s="4" t="str">
        <f t="shared" si="4"/>
        <v/>
      </c>
    </row>
    <row r="6279" spans="19:25">
      <c r="S6279" t="str">
        <f t="shared" si="0"/>
        <v/>
      </c>
      <c r="T6279" t="str">
        <f t="shared" si="1"/>
        <v/>
      </c>
      <c r="U6279" t="str">
        <f t="shared" si="2"/>
        <v/>
      </c>
      <c r="V6279" t="str">
        <f>IF(OR(U6279="",U6279="ERRO_CHAVE"),"",IFERROR(MATCH(U6279,Fornecedores!$AF$1:$AF$6631,0),""))</f>
        <v/>
      </c>
      <c r="W6279" t="str">
        <f t="shared" si="3"/>
        <v/>
      </c>
      <c r="X6279" s="4" t="str">
        <f>IF(V6279="","",INDEX(Fornecedores!$X$1:$X$6631,V6279))</f>
        <v/>
      </c>
      <c r="Y6279" s="4" t="str">
        <f t="shared" si="4"/>
        <v/>
      </c>
    </row>
    <row r="6280" spans="19:25">
      <c r="S6280" t="str">
        <f t="shared" si="0"/>
        <v/>
      </c>
      <c r="T6280" t="str">
        <f t="shared" si="1"/>
        <v/>
      </c>
      <c r="U6280" t="str">
        <f t="shared" si="2"/>
        <v/>
      </c>
      <c r="V6280" t="str">
        <f>IF(OR(U6280="",U6280="ERRO_CHAVE"),"",IFERROR(MATCH(U6280,Fornecedores!$AF$1:$AF$6631,0),""))</f>
        <v/>
      </c>
      <c r="W6280" t="str">
        <f t="shared" si="3"/>
        <v/>
      </c>
      <c r="X6280" s="4" t="str">
        <f>IF(V6280="","",INDEX(Fornecedores!$X$1:$X$6631,V6280))</f>
        <v/>
      </c>
      <c r="Y6280" s="4" t="str">
        <f t="shared" si="4"/>
        <v/>
      </c>
    </row>
    <row r="6281" spans="19:25">
      <c r="S6281" t="str">
        <f t="shared" si="0"/>
        <v/>
      </c>
      <c r="T6281" t="str">
        <f t="shared" si="1"/>
        <v/>
      </c>
      <c r="U6281" t="str">
        <f t="shared" si="2"/>
        <v/>
      </c>
      <c r="V6281" t="str">
        <f>IF(OR(U6281="",U6281="ERRO_CHAVE"),"",IFERROR(MATCH(U6281,Fornecedores!$AF$1:$AF$6631,0),""))</f>
        <v/>
      </c>
      <c r="W6281" t="str">
        <f t="shared" si="3"/>
        <v/>
      </c>
      <c r="X6281" s="4" t="str">
        <f>IF(V6281="","",INDEX(Fornecedores!$X$1:$X$6631,V6281))</f>
        <v/>
      </c>
      <c r="Y6281" s="4" t="str">
        <f t="shared" si="4"/>
        <v/>
      </c>
    </row>
    <row r="6282" spans="19:25">
      <c r="S6282" t="str">
        <f t="shared" si="0"/>
        <v/>
      </c>
      <c r="T6282" t="str">
        <f t="shared" si="1"/>
        <v/>
      </c>
      <c r="U6282" t="str">
        <f t="shared" si="2"/>
        <v/>
      </c>
      <c r="V6282" t="str">
        <f>IF(OR(U6282="",U6282="ERRO_CHAVE"),"",IFERROR(MATCH(U6282,Fornecedores!$AF$1:$AF$6631,0),""))</f>
        <v/>
      </c>
      <c r="W6282" t="str">
        <f t="shared" si="3"/>
        <v/>
      </c>
      <c r="X6282" s="4" t="str">
        <f>IF(V6282="","",INDEX(Fornecedores!$X$1:$X$6631,V6282))</f>
        <v/>
      </c>
      <c r="Y6282" s="4" t="str">
        <f t="shared" si="4"/>
        <v/>
      </c>
    </row>
    <row r="6283" spans="19:25">
      <c r="S6283" t="str">
        <f t="shared" si="0"/>
        <v/>
      </c>
      <c r="T6283" t="str">
        <f t="shared" si="1"/>
        <v/>
      </c>
      <c r="U6283" t="str">
        <f t="shared" si="2"/>
        <v/>
      </c>
      <c r="V6283" t="str">
        <f>IF(OR(U6283="",U6283="ERRO_CHAVE"),"",IFERROR(MATCH(U6283,Fornecedores!$AF$1:$AF$6631,0),""))</f>
        <v/>
      </c>
      <c r="W6283" t="str">
        <f t="shared" si="3"/>
        <v/>
      </c>
      <c r="X6283" s="4" t="str">
        <f>IF(V6283="","",INDEX(Fornecedores!$X$1:$X$6631,V6283))</f>
        <v/>
      </c>
      <c r="Y6283" s="4" t="str">
        <f t="shared" si="4"/>
        <v/>
      </c>
    </row>
    <row r="6284" spans="19:25">
      <c r="S6284" t="str">
        <f t="shared" si="0"/>
        <v/>
      </c>
      <c r="T6284" t="str">
        <f t="shared" si="1"/>
        <v/>
      </c>
      <c r="U6284" t="str">
        <f t="shared" si="2"/>
        <v/>
      </c>
      <c r="V6284" t="str">
        <f>IF(OR(U6284="",U6284="ERRO_CHAVE"),"",IFERROR(MATCH(U6284,Fornecedores!$AF$1:$AF$6631,0),""))</f>
        <v/>
      </c>
      <c r="W6284" t="str">
        <f t="shared" si="3"/>
        <v/>
      </c>
      <c r="X6284" s="4" t="str">
        <f>IF(V6284="","",INDEX(Fornecedores!$X$1:$X$6631,V6284))</f>
        <v/>
      </c>
      <c r="Y6284" s="4" t="str">
        <f t="shared" si="4"/>
        <v/>
      </c>
    </row>
    <row r="6285" spans="19:25">
      <c r="S6285" t="str">
        <f t="shared" si="0"/>
        <v/>
      </c>
      <c r="T6285" t="str">
        <f t="shared" si="1"/>
        <v/>
      </c>
      <c r="U6285" t="str">
        <f t="shared" si="2"/>
        <v/>
      </c>
      <c r="V6285" t="str">
        <f>IF(OR(U6285="",U6285="ERRO_CHAVE"),"",IFERROR(MATCH(U6285,Fornecedores!$AF$1:$AF$6631,0),""))</f>
        <v/>
      </c>
      <c r="W6285" t="str">
        <f t="shared" si="3"/>
        <v/>
      </c>
      <c r="X6285" s="4" t="str">
        <f>IF(V6285="","",INDEX(Fornecedores!$X$1:$X$6631,V6285))</f>
        <v/>
      </c>
      <c r="Y6285" s="4" t="str">
        <f t="shared" si="4"/>
        <v/>
      </c>
    </row>
    <row r="6286" spans="19:25">
      <c r="S6286" t="str">
        <f t="shared" si="0"/>
        <v/>
      </c>
      <c r="T6286" t="str">
        <f t="shared" si="1"/>
        <v/>
      </c>
      <c r="U6286" t="str">
        <f t="shared" si="2"/>
        <v/>
      </c>
      <c r="V6286" t="str">
        <f>IF(OR(U6286="",U6286="ERRO_CHAVE"),"",IFERROR(MATCH(U6286,Fornecedores!$AF$1:$AF$6631,0),""))</f>
        <v/>
      </c>
      <c r="W6286" t="str">
        <f t="shared" si="3"/>
        <v/>
      </c>
      <c r="X6286" s="4" t="str">
        <f>IF(V6286="","",INDEX(Fornecedores!$X$1:$X$6631,V6286))</f>
        <v/>
      </c>
      <c r="Y6286" s="4" t="str">
        <f t="shared" si="4"/>
        <v/>
      </c>
    </row>
    <row r="6287" spans="19:25">
      <c r="S6287" t="str">
        <f t="shared" si="0"/>
        <v/>
      </c>
      <c r="T6287" t="str">
        <f t="shared" si="1"/>
        <v/>
      </c>
      <c r="U6287" t="str">
        <f t="shared" si="2"/>
        <v/>
      </c>
      <c r="V6287" t="str">
        <f>IF(OR(U6287="",U6287="ERRO_CHAVE"),"",IFERROR(MATCH(U6287,Fornecedores!$AF$1:$AF$6631,0),""))</f>
        <v/>
      </c>
      <c r="W6287" t="str">
        <f t="shared" si="3"/>
        <v/>
      </c>
      <c r="X6287" s="4" t="str">
        <f>IF(V6287="","",INDEX(Fornecedores!$X$1:$X$6631,V6287))</f>
        <v/>
      </c>
      <c r="Y6287" s="4" t="str">
        <f t="shared" si="4"/>
        <v/>
      </c>
    </row>
    <row r="6288" spans="19:25">
      <c r="S6288" t="str">
        <f t="shared" si="0"/>
        <v/>
      </c>
      <c r="T6288" t="str">
        <f t="shared" si="1"/>
        <v/>
      </c>
      <c r="U6288" t="str">
        <f t="shared" si="2"/>
        <v/>
      </c>
      <c r="V6288" t="str">
        <f>IF(OR(U6288="",U6288="ERRO_CHAVE"),"",IFERROR(MATCH(U6288,Fornecedores!$AF$1:$AF$6631,0),""))</f>
        <v/>
      </c>
      <c r="W6288" t="str">
        <f t="shared" si="3"/>
        <v/>
      </c>
      <c r="X6288" s="4" t="str">
        <f>IF(V6288="","",INDEX(Fornecedores!$X$1:$X$6631,V6288))</f>
        <v/>
      </c>
      <c r="Y6288" s="4" t="str">
        <f t="shared" si="4"/>
        <v/>
      </c>
    </row>
    <row r="6289" spans="19:25">
      <c r="S6289" t="str">
        <f t="shared" si="0"/>
        <v/>
      </c>
      <c r="T6289" t="str">
        <f t="shared" si="1"/>
        <v/>
      </c>
      <c r="U6289" t="str">
        <f t="shared" si="2"/>
        <v/>
      </c>
      <c r="V6289" t="str">
        <f>IF(OR(U6289="",U6289="ERRO_CHAVE"),"",IFERROR(MATCH(U6289,Fornecedores!$AF$1:$AF$6631,0),""))</f>
        <v/>
      </c>
      <c r="W6289" t="str">
        <f t="shared" si="3"/>
        <v/>
      </c>
      <c r="X6289" s="4" t="str">
        <f>IF(V6289="","",INDEX(Fornecedores!$X$1:$X$6631,V6289))</f>
        <v/>
      </c>
      <c r="Y6289" s="4" t="str">
        <f t="shared" si="4"/>
        <v/>
      </c>
    </row>
    <row r="6290" spans="19:25">
      <c r="S6290" t="str">
        <f t="shared" si="0"/>
        <v/>
      </c>
      <c r="T6290" t="str">
        <f t="shared" si="1"/>
        <v/>
      </c>
      <c r="U6290" t="str">
        <f t="shared" si="2"/>
        <v/>
      </c>
      <c r="V6290" t="str">
        <f>IF(OR(U6290="",U6290="ERRO_CHAVE"),"",IFERROR(MATCH(U6290,Fornecedores!$AF$1:$AF$6631,0),""))</f>
        <v/>
      </c>
      <c r="W6290" t="str">
        <f t="shared" si="3"/>
        <v/>
      </c>
      <c r="X6290" s="4" t="str">
        <f>IF(V6290="","",INDEX(Fornecedores!$X$1:$X$6631,V6290))</f>
        <v/>
      </c>
      <c r="Y6290" s="4" t="str">
        <f t="shared" si="4"/>
        <v/>
      </c>
    </row>
    <row r="6291" spans="19:25">
      <c r="S6291" t="str">
        <f t="shared" si="0"/>
        <v/>
      </c>
      <c r="T6291" t="str">
        <f t="shared" si="1"/>
        <v/>
      </c>
      <c r="U6291" t="str">
        <f t="shared" si="2"/>
        <v/>
      </c>
      <c r="V6291" t="str">
        <f>IF(OR(U6291="",U6291="ERRO_CHAVE"),"",IFERROR(MATCH(U6291,Fornecedores!$AF$1:$AF$6631,0),""))</f>
        <v/>
      </c>
      <c r="W6291" t="str">
        <f t="shared" si="3"/>
        <v/>
      </c>
      <c r="X6291" s="4" t="str">
        <f>IF(V6291="","",INDEX(Fornecedores!$X$1:$X$6631,V6291))</f>
        <v/>
      </c>
      <c r="Y6291" s="4" t="str">
        <f t="shared" si="4"/>
        <v/>
      </c>
    </row>
    <row r="6292" spans="19:25">
      <c r="S6292" t="str">
        <f t="shared" si="0"/>
        <v/>
      </c>
      <c r="T6292" t="str">
        <f t="shared" si="1"/>
        <v/>
      </c>
      <c r="U6292" t="str">
        <f t="shared" si="2"/>
        <v/>
      </c>
      <c r="V6292" t="str">
        <f>IF(OR(U6292="",U6292="ERRO_CHAVE"),"",IFERROR(MATCH(U6292,Fornecedores!$AF$1:$AF$6631,0),""))</f>
        <v/>
      </c>
      <c r="W6292" t="str">
        <f t="shared" si="3"/>
        <v/>
      </c>
      <c r="X6292" s="4" t="str">
        <f>IF(V6292="","",INDEX(Fornecedores!$X$1:$X$6631,V6292))</f>
        <v/>
      </c>
      <c r="Y6292" s="4" t="str">
        <f t="shared" si="4"/>
        <v/>
      </c>
    </row>
    <row r="6293" spans="19:25">
      <c r="S6293" t="str">
        <f t="shared" si="0"/>
        <v/>
      </c>
      <c r="T6293" t="str">
        <f t="shared" si="1"/>
        <v/>
      </c>
      <c r="U6293" t="str">
        <f t="shared" si="2"/>
        <v/>
      </c>
      <c r="V6293" t="str">
        <f>IF(OR(U6293="",U6293="ERRO_CHAVE"),"",IFERROR(MATCH(U6293,Fornecedores!$AF$1:$AF$6631,0),""))</f>
        <v/>
      </c>
      <c r="W6293" t="str">
        <f t="shared" si="3"/>
        <v/>
      </c>
      <c r="X6293" s="4" t="str">
        <f>IF(V6293="","",INDEX(Fornecedores!$X$1:$X$6631,V6293))</f>
        <v/>
      </c>
      <c r="Y6293" s="4" t="str">
        <f t="shared" si="4"/>
        <v/>
      </c>
    </row>
    <row r="6294" spans="19:25">
      <c r="S6294" t="str">
        <f t="shared" si="0"/>
        <v/>
      </c>
      <c r="T6294" t="str">
        <f t="shared" si="1"/>
        <v/>
      </c>
      <c r="U6294" t="str">
        <f t="shared" si="2"/>
        <v/>
      </c>
      <c r="V6294" t="str">
        <f>IF(OR(U6294="",U6294="ERRO_CHAVE"),"",IFERROR(MATCH(U6294,Fornecedores!$AF$1:$AF$6631,0),""))</f>
        <v/>
      </c>
      <c r="W6294" t="str">
        <f t="shared" si="3"/>
        <v/>
      </c>
      <c r="X6294" s="4" t="str">
        <f>IF(V6294="","",INDEX(Fornecedores!$X$1:$X$6631,V6294))</f>
        <v/>
      </c>
      <c r="Y6294" s="4" t="str">
        <f t="shared" si="4"/>
        <v/>
      </c>
    </row>
    <row r="6295" spans="19:25">
      <c r="S6295" t="str">
        <f t="shared" si="0"/>
        <v/>
      </c>
      <c r="T6295" t="str">
        <f t="shared" si="1"/>
        <v/>
      </c>
      <c r="U6295" t="str">
        <f t="shared" si="2"/>
        <v/>
      </c>
      <c r="V6295" t="str">
        <f>IF(OR(U6295="",U6295="ERRO_CHAVE"),"",IFERROR(MATCH(U6295,Fornecedores!$AF$1:$AF$6631,0),""))</f>
        <v/>
      </c>
      <c r="W6295" t="str">
        <f t="shared" si="3"/>
        <v/>
      </c>
      <c r="X6295" s="4" t="str">
        <f>IF(V6295="","",INDEX(Fornecedores!$X$1:$X$6631,V6295))</f>
        <v/>
      </c>
      <c r="Y6295" s="4" t="str">
        <f t="shared" si="4"/>
        <v/>
      </c>
    </row>
    <row r="6296" spans="19:25">
      <c r="S6296" t="str">
        <f t="shared" si="0"/>
        <v/>
      </c>
      <c r="T6296" t="str">
        <f t="shared" si="1"/>
        <v/>
      </c>
      <c r="U6296" t="str">
        <f t="shared" si="2"/>
        <v/>
      </c>
      <c r="V6296" t="str">
        <f>IF(OR(U6296="",U6296="ERRO_CHAVE"),"",IFERROR(MATCH(U6296,Fornecedores!$AF$1:$AF$6631,0),""))</f>
        <v/>
      </c>
      <c r="W6296" t="str">
        <f t="shared" si="3"/>
        <v/>
      </c>
      <c r="X6296" s="4" t="str">
        <f>IF(V6296="","",INDEX(Fornecedores!$X$1:$X$6631,V6296))</f>
        <v/>
      </c>
      <c r="Y6296" s="4" t="str">
        <f t="shared" si="4"/>
        <v/>
      </c>
    </row>
    <row r="6297" spans="19:25">
      <c r="S6297" t="str">
        <f t="shared" si="0"/>
        <v/>
      </c>
      <c r="T6297" t="str">
        <f t="shared" si="1"/>
        <v/>
      </c>
      <c r="U6297" t="str">
        <f t="shared" si="2"/>
        <v/>
      </c>
      <c r="V6297" t="str">
        <f>IF(OR(U6297="",U6297="ERRO_CHAVE"),"",IFERROR(MATCH(U6297,Fornecedores!$AF$1:$AF$6631,0),""))</f>
        <v/>
      </c>
      <c r="W6297" t="str">
        <f t="shared" si="3"/>
        <v/>
      </c>
      <c r="X6297" s="4" t="str">
        <f>IF(V6297="","",INDEX(Fornecedores!$X$1:$X$6631,V6297))</f>
        <v/>
      </c>
      <c r="Y6297" s="4" t="str">
        <f t="shared" si="4"/>
        <v/>
      </c>
    </row>
    <row r="6298" spans="19:25">
      <c r="S6298" t="str">
        <f t="shared" si="0"/>
        <v/>
      </c>
      <c r="T6298" t="str">
        <f t="shared" si="1"/>
        <v/>
      </c>
      <c r="U6298" t="str">
        <f t="shared" si="2"/>
        <v/>
      </c>
      <c r="V6298" t="str">
        <f>IF(OR(U6298="",U6298="ERRO_CHAVE"),"",IFERROR(MATCH(U6298,Fornecedores!$AF$1:$AF$6631,0),""))</f>
        <v/>
      </c>
      <c r="W6298" t="str">
        <f t="shared" si="3"/>
        <v/>
      </c>
      <c r="X6298" s="4" t="str">
        <f>IF(V6298="","",INDEX(Fornecedores!$X$1:$X$6631,V6298))</f>
        <v/>
      </c>
      <c r="Y6298" s="4" t="str">
        <f t="shared" si="4"/>
        <v/>
      </c>
    </row>
    <row r="6299" spans="19:25">
      <c r="S6299" t="str">
        <f t="shared" si="0"/>
        <v/>
      </c>
      <c r="T6299" t="str">
        <f t="shared" si="1"/>
        <v/>
      </c>
      <c r="U6299" t="str">
        <f t="shared" si="2"/>
        <v/>
      </c>
      <c r="V6299" t="str">
        <f>IF(OR(U6299="",U6299="ERRO_CHAVE"),"",IFERROR(MATCH(U6299,Fornecedores!$AF$1:$AF$6631,0),""))</f>
        <v/>
      </c>
      <c r="W6299" t="str">
        <f t="shared" si="3"/>
        <v/>
      </c>
      <c r="X6299" s="4" t="str">
        <f>IF(V6299="","",INDEX(Fornecedores!$X$1:$X$6631,V6299))</f>
        <v/>
      </c>
      <c r="Y6299" s="4" t="str">
        <f t="shared" si="4"/>
        <v/>
      </c>
    </row>
    <row r="6300" spans="19:25">
      <c r="S6300" t="str">
        <f t="shared" si="0"/>
        <v/>
      </c>
      <c r="T6300" t="str">
        <f t="shared" si="1"/>
        <v/>
      </c>
      <c r="U6300" t="str">
        <f t="shared" si="2"/>
        <v/>
      </c>
      <c r="V6300" t="str">
        <f>IF(OR(U6300="",U6300="ERRO_CHAVE"),"",IFERROR(MATCH(U6300,Fornecedores!$AF$1:$AF$6631,0),""))</f>
        <v/>
      </c>
      <c r="W6300" t="str">
        <f t="shared" si="3"/>
        <v/>
      </c>
      <c r="X6300" s="4" t="str">
        <f>IF(V6300="","",INDEX(Fornecedores!$X$1:$X$6631,V6300))</f>
        <v/>
      </c>
      <c r="Y6300" s="4" t="str">
        <f t="shared" si="4"/>
        <v/>
      </c>
    </row>
    <row r="6301" spans="19:25">
      <c r="S6301" t="str">
        <f t="shared" si="0"/>
        <v/>
      </c>
      <c r="T6301" t="str">
        <f t="shared" si="1"/>
        <v/>
      </c>
      <c r="U6301" t="str">
        <f t="shared" si="2"/>
        <v/>
      </c>
      <c r="V6301" t="str">
        <f>IF(OR(U6301="",U6301="ERRO_CHAVE"),"",IFERROR(MATCH(U6301,Fornecedores!$AF$1:$AF$6631,0),""))</f>
        <v/>
      </c>
      <c r="W6301" t="str">
        <f t="shared" si="3"/>
        <v/>
      </c>
      <c r="X6301" s="4" t="str">
        <f>IF(V6301="","",INDEX(Fornecedores!$X$1:$X$6631,V6301))</f>
        <v/>
      </c>
      <c r="Y6301" s="4" t="str">
        <f t="shared" si="4"/>
        <v/>
      </c>
    </row>
    <row r="6302" spans="19:25">
      <c r="S6302" t="str">
        <f t="shared" si="0"/>
        <v/>
      </c>
      <c r="T6302" t="str">
        <f t="shared" si="1"/>
        <v/>
      </c>
      <c r="U6302" t="str">
        <f t="shared" si="2"/>
        <v/>
      </c>
      <c r="V6302" t="str">
        <f>IF(OR(U6302="",U6302="ERRO_CHAVE"),"",IFERROR(MATCH(U6302,Fornecedores!$AF$1:$AF$6631,0),""))</f>
        <v/>
      </c>
      <c r="W6302" t="str">
        <f t="shared" si="3"/>
        <v/>
      </c>
      <c r="X6302" s="4" t="str">
        <f>IF(V6302="","",INDEX(Fornecedores!$X$1:$X$6631,V6302))</f>
        <v/>
      </c>
      <c r="Y6302" s="4" t="str">
        <f t="shared" si="4"/>
        <v/>
      </c>
    </row>
    <row r="6303" spans="19:25">
      <c r="S6303" t="str">
        <f t="shared" si="0"/>
        <v/>
      </c>
      <c r="T6303" t="str">
        <f t="shared" si="1"/>
        <v/>
      </c>
      <c r="U6303" t="str">
        <f t="shared" si="2"/>
        <v/>
      </c>
      <c r="V6303" t="str">
        <f>IF(OR(U6303="",U6303="ERRO_CHAVE"),"",IFERROR(MATCH(U6303,Fornecedores!$AF$1:$AF$6631,0),""))</f>
        <v/>
      </c>
      <c r="W6303" t="str">
        <f t="shared" si="3"/>
        <v/>
      </c>
      <c r="X6303" s="4" t="str">
        <f>IF(V6303="","",INDEX(Fornecedores!$X$1:$X$6631,V6303))</f>
        <v/>
      </c>
      <c r="Y6303" s="4" t="str">
        <f t="shared" si="4"/>
        <v/>
      </c>
    </row>
    <row r="6304" spans="19:25">
      <c r="S6304" t="str">
        <f t="shared" si="0"/>
        <v/>
      </c>
      <c r="T6304" t="str">
        <f t="shared" si="1"/>
        <v/>
      </c>
      <c r="U6304" t="str">
        <f t="shared" si="2"/>
        <v/>
      </c>
      <c r="V6304" t="str">
        <f>IF(OR(U6304="",U6304="ERRO_CHAVE"),"",IFERROR(MATCH(U6304,Fornecedores!$AF$1:$AF$6631,0),""))</f>
        <v/>
      </c>
      <c r="W6304" t="str">
        <f t="shared" si="3"/>
        <v/>
      </c>
      <c r="X6304" s="4" t="str">
        <f>IF(V6304="","",INDEX(Fornecedores!$X$1:$X$6631,V6304))</f>
        <v/>
      </c>
      <c r="Y6304" s="4" t="str">
        <f t="shared" si="4"/>
        <v/>
      </c>
    </row>
    <row r="6305" spans="19:25">
      <c r="S6305" t="str">
        <f t="shared" si="0"/>
        <v/>
      </c>
      <c r="T6305" t="str">
        <f t="shared" si="1"/>
        <v/>
      </c>
      <c r="U6305" t="str">
        <f t="shared" si="2"/>
        <v/>
      </c>
      <c r="V6305" t="str">
        <f>IF(OR(U6305="",U6305="ERRO_CHAVE"),"",IFERROR(MATCH(U6305,Fornecedores!$AF$1:$AF$6631,0),""))</f>
        <v/>
      </c>
      <c r="W6305" t="str">
        <f t="shared" si="3"/>
        <v/>
      </c>
      <c r="X6305" s="4" t="str">
        <f>IF(V6305="","",INDEX(Fornecedores!$X$1:$X$6631,V6305))</f>
        <v/>
      </c>
      <c r="Y6305" s="4" t="str">
        <f t="shared" si="4"/>
        <v/>
      </c>
    </row>
    <row r="6306" spans="19:25">
      <c r="S6306" t="str">
        <f t="shared" si="0"/>
        <v/>
      </c>
      <c r="T6306" t="str">
        <f t="shared" si="1"/>
        <v/>
      </c>
      <c r="U6306" t="str">
        <f t="shared" si="2"/>
        <v/>
      </c>
      <c r="V6306" t="str">
        <f>IF(OR(U6306="",U6306="ERRO_CHAVE"),"",IFERROR(MATCH(U6306,Fornecedores!$AF$1:$AF$6631,0),""))</f>
        <v/>
      </c>
      <c r="W6306" t="str">
        <f t="shared" si="3"/>
        <v/>
      </c>
      <c r="X6306" s="4" t="str">
        <f>IF(V6306="","",INDEX(Fornecedores!$X$1:$X$6631,V6306))</f>
        <v/>
      </c>
      <c r="Y6306" s="4" t="str">
        <f t="shared" si="4"/>
        <v/>
      </c>
    </row>
    <row r="6307" spans="19:25">
      <c r="S6307" t="str">
        <f t="shared" si="0"/>
        <v/>
      </c>
      <c r="T6307" t="str">
        <f t="shared" si="1"/>
        <v/>
      </c>
      <c r="U6307" t="str">
        <f t="shared" si="2"/>
        <v/>
      </c>
      <c r="V6307" t="str">
        <f>IF(OR(U6307="",U6307="ERRO_CHAVE"),"",IFERROR(MATCH(U6307,Fornecedores!$AF$1:$AF$6631,0),""))</f>
        <v/>
      </c>
      <c r="W6307" t="str">
        <f t="shared" si="3"/>
        <v/>
      </c>
      <c r="X6307" s="4" t="str">
        <f>IF(V6307="","",INDEX(Fornecedores!$X$1:$X$6631,V6307))</f>
        <v/>
      </c>
      <c r="Y6307" s="4" t="str">
        <f t="shared" si="4"/>
        <v/>
      </c>
    </row>
    <row r="6308" spans="19:25">
      <c r="S6308" t="str">
        <f t="shared" si="0"/>
        <v/>
      </c>
      <c r="T6308" t="str">
        <f t="shared" si="1"/>
        <v/>
      </c>
      <c r="U6308" t="str">
        <f t="shared" si="2"/>
        <v/>
      </c>
      <c r="V6308" t="str">
        <f>IF(OR(U6308="",U6308="ERRO_CHAVE"),"",IFERROR(MATCH(U6308,Fornecedores!$AF$1:$AF$6631,0),""))</f>
        <v/>
      </c>
      <c r="W6308" t="str">
        <f t="shared" si="3"/>
        <v/>
      </c>
      <c r="X6308" s="4" t="str">
        <f>IF(V6308="","",INDEX(Fornecedores!$X$1:$X$6631,V6308))</f>
        <v/>
      </c>
      <c r="Y6308" s="4" t="str">
        <f t="shared" si="4"/>
        <v/>
      </c>
    </row>
    <row r="6309" spans="19:25">
      <c r="S6309" t="str">
        <f t="shared" si="0"/>
        <v/>
      </c>
      <c r="T6309" t="str">
        <f t="shared" si="1"/>
        <v/>
      </c>
      <c r="U6309" t="str">
        <f t="shared" si="2"/>
        <v/>
      </c>
      <c r="V6309" t="str">
        <f>IF(OR(U6309="",U6309="ERRO_CHAVE"),"",IFERROR(MATCH(U6309,Fornecedores!$AF$1:$AF$6631,0),""))</f>
        <v/>
      </c>
      <c r="W6309" t="str">
        <f t="shared" si="3"/>
        <v/>
      </c>
      <c r="X6309" s="4" t="str">
        <f>IF(V6309="","",INDEX(Fornecedores!$X$1:$X$6631,V6309))</f>
        <v/>
      </c>
      <c r="Y6309" s="4" t="str">
        <f t="shared" si="4"/>
        <v/>
      </c>
    </row>
    <row r="6310" spans="19:25">
      <c r="S6310" t="str">
        <f t="shared" si="0"/>
        <v/>
      </c>
      <c r="T6310" t="str">
        <f t="shared" si="1"/>
        <v/>
      </c>
      <c r="U6310" t="str">
        <f t="shared" si="2"/>
        <v/>
      </c>
      <c r="V6310" t="str">
        <f>IF(OR(U6310="",U6310="ERRO_CHAVE"),"",IFERROR(MATCH(U6310,Fornecedores!$AF$1:$AF$6631,0),""))</f>
        <v/>
      </c>
      <c r="W6310" t="str">
        <f t="shared" si="3"/>
        <v/>
      </c>
      <c r="X6310" s="4" t="str">
        <f>IF(V6310="","",INDEX(Fornecedores!$X$1:$X$6631,V6310))</f>
        <v/>
      </c>
      <c r="Y6310" s="4" t="str">
        <f t="shared" si="4"/>
        <v/>
      </c>
    </row>
    <row r="6311" spans="19:25">
      <c r="S6311" t="str">
        <f t="shared" si="0"/>
        <v/>
      </c>
      <c r="T6311" t="str">
        <f t="shared" si="1"/>
        <v/>
      </c>
      <c r="U6311" t="str">
        <f t="shared" si="2"/>
        <v/>
      </c>
      <c r="V6311" t="str">
        <f>IF(OR(U6311="",U6311="ERRO_CHAVE"),"",IFERROR(MATCH(U6311,Fornecedores!$AF$1:$AF$6631,0),""))</f>
        <v/>
      </c>
      <c r="W6311" t="str">
        <f t="shared" si="3"/>
        <v/>
      </c>
      <c r="X6311" s="4" t="str">
        <f>IF(V6311="","",INDEX(Fornecedores!$X$1:$X$6631,V6311))</f>
        <v/>
      </c>
      <c r="Y6311" s="4" t="str">
        <f t="shared" si="4"/>
        <v/>
      </c>
    </row>
    <row r="6312" spans="19:25">
      <c r="S6312" t="str">
        <f t="shared" si="0"/>
        <v/>
      </c>
      <c r="T6312" t="str">
        <f t="shared" si="1"/>
        <v/>
      </c>
      <c r="U6312" t="str">
        <f t="shared" si="2"/>
        <v/>
      </c>
      <c r="V6312" t="str">
        <f>IF(OR(U6312="",U6312="ERRO_CHAVE"),"",IFERROR(MATCH(U6312,Fornecedores!$AF$1:$AF$6631,0),""))</f>
        <v/>
      </c>
      <c r="W6312" t="str">
        <f t="shared" si="3"/>
        <v/>
      </c>
      <c r="X6312" s="4" t="str">
        <f>IF(V6312="","",INDEX(Fornecedores!$X$1:$X$6631,V6312))</f>
        <v/>
      </c>
      <c r="Y6312" s="4" t="str">
        <f t="shared" si="4"/>
        <v/>
      </c>
    </row>
    <row r="6313" spans="19:25">
      <c r="S6313" t="str">
        <f t="shared" si="0"/>
        <v/>
      </c>
      <c r="T6313" t="str">
        <f t="shared" si="1"/>
        <v/>
      </c>
      <c r="U6313" t="str">
        <f t="shared" si="2"/>
        <v/>
      </c>
      <c r="V6313" t="str">
        <f>IF(OR(U6313="",U6313="ERRO_CHAVE"),"",IFERROR(MATCH(U6313,Fornecedores!$AF$1:$AF$6631,0),""))</f>
        <v/>
      </c>
      <c r="W6313" t="str">
        <f t="shared" si="3"/>
        <v/>
      </c>
      <c r="X6313" s="4" t="str">
        <f>IF(V6313="","",INDEX(Fornecedores!$X$1:$X$6631,V6313))</f>
        <v/>
      </c>
      <c r="Y6313" s="4" t="str">
        <f t="shared" si="4"/>
        <v/>
      </c>
    </row>
    <row r="6314" spans="19:25">
      <c r="S6314" t="str">
        <f t="shared" si="0"/>
        <v/>
      </c>
      <c r="T6314" t="str">
        <f t="shared" si="1"/>
        <v/>
      </c>
      <c r="U6314" t="str">
        <f t="shared" si="2"/>
        <v/>
      </c>
      <c r="V6314" t="str">
        <f>IF(OR(U6314="",U6314="ERRO_CHAVE"),"",IFERROR(MATCH(U6314,Fornecedores!$AF$1:$AF$6631,0),""))</f>
        <v/>
      </c>
      <c r="W6314" t="str">
        <f t="shared" si="3"/>
        <v/>
      </c>
      <c r="X6314" s="4" t="str">
        <f>IF(V6314="","",INDEX(Fornecedores!$X$1:$X$6631,V6314))</f>
        <v/>
      </c>
      <c r="Y6314" s="4" t="str">
        <f t="shared" si="4"/>
        <v/>
      </c>
    </row>
    <row r="6315" spans="19:25">
      <c r="S6315" t="str">
        <f t="shared" si="0"/>
        <v/>
      </c>
      <c r="T6315" t="str">
        <f t="shared" si="1"/>
        <v/>
      </c>
      <c r="U6315" t="str">
        <f t="shared" si="2"/>
        <v/>
      </c>
      <c r="V6315" t="str">
        <f>IF(OR(U6315="",U6315="ERRO_CHAVE"),"",IFERROR(MATCH(U6315,Fornecedores!$AF$1:$AF$6631,0),""))</f>
        <v/>
      </c>
      <c r="W6315" t="str">
        <f t="shared" si="3"/>
        <v/>
      </c>
      <c r="X6315" s="4" t="str">
        <f>IF(V6315="","",INDEX(Fornecedores!$X$1:$X$6631,V6315))</f>
        <v/>
      </c>
      <c r="Y6315" s="4" t="str">
        <f t="shared" si="4"/>
        <v/>
      </c>
    </row>
    <row r="6316" spans="19:25">
      <c r="S6316" t="str">
        <f t="shared" si="0"/>
        <v/>
      </c>
      <c r="T6316" t="str">
        <f t="shared" si="1"/>
        <v/>
      </c>
      <c r="U6316" t="str">
        <f t="shared" si="2"/>
        <v/>
      </c>
      <c r="V6316" t="str">
        <f>IF(OR(U6316="",U6316="ERRO_CHAVE"),"",IFERROR(MATCH(U6316,Fornecedores!$AF$1:$AF$6631,0),""))</f>
        <v/>
      </c>
      <c r="W6316" t="str">
        <f t="shared" si="3"/>
        <v/>
      </c>
      <c r="X6316" s="4" t="str">
        <f>IF(V6316="","",INDEX(Fornecedores!$X$1:$X$6631,V6316))</f>
        <v/>
      </c>
      <c r="Y6316" s="4" t="str">
        <f t="shared" si="4"/>
        <v/>
      </c>
    </row>
    <row r="6317" spans="19:25">
      <c r="S6317" t="str">
        <f t="shared" si="0"/>
        <v/>
      </c>
      <c r="T6317" t="str">
        <f t="shared" si="1"/>
        <v/>
      </c>
      <c r="U6317" t="str">
        <f t="shared" si="2"/>
        <v/>
      </c>
      <c r="V6317" t="str">
        <f>IF(OR(U6317="",U6317="ERRO_CHAVE"),"",IFERROR(MATCH(U6317,Fornecedores!$AF$1:$AF$6631,0),""))</f>
        <v/>
      </c>
      <c r="W6317" t="str">
        <f t="shared" si="3"/>
        <v/>
      </c>
      <c r="X6317" s="4" t="str">
        <f>IF(V6317="","",INDEX(Fornecedores!$X$1:$X$6631,V6317))</f>
        <v/>
      </c>
      <c r="Y6317" s="4" t="str">
        <f t="shared" si="4"/>
        <v/>
      </c>
    </row>
    <row r="6318" spans="19:25">
      <c r="S6318" t="str">
        <f t="shared" si="0"/>
        <v/>
      </c>
      <c r="T6318" t="str">
        <f t="shared" si="1"/>
        <v/>
      </c>
      <c r="U6318" t="str">
        <f t="shared" si="2"/>
        <v/>
      </c>
      <c r="V6318" t="str">
        <f>IF(OR(U6318="",U6318="ERRO_CHAVE"),"",IFERROR(MATCH(U6318,Fornecedores!$AF$1:$AF$6631,0),""))</f>
        <v/>
      </c>
      <c r="W6318" t="str">
        <f t="shared" si="3"/>
        <v/>
      </c>
      <c r="X6318" s="4" t="str">
        <f>IF(V6318="","",INDEX(Fornecedores!$X$1:$X$6631,V6318))</f>
        <v/>
      </c>
      <c r="Y6318" s="4" t="str">
        <f t="shared" si="4"/>
        <v/>
      </c>
    </row>
    <row r="6319" spans="19:25">
      <c r="S6319" t="str">
        <f t="shared" si="0"/>
        <v/>
      </c>
      <c r="T6319" t="str">
        <f t="shared" si="1"/>
        <v/>
      </c>
      <c r="U6319" t="str">
        <f t="shared" si="2"/>
        <v/>
      </c>
      <c r="V6319" t="str">
        <f>IF(OR(U6319="",U6319="ERRO_CHAVE"),"",IFERROR(MATCH(U6319,Fornecedores!$AF$1:$AF$6631,0),""))</f>
        <v/>
      </c>
      <c r="W6319" t="str">
        <f t="shared" si="3"/>
        <v/>
      </c>
      <c r="X6319" s="4" t="str">
        <f>IF(V6319="","",INDEX(Fornecedores!$X$1:$X$6631,V6319))</f>
        <v/>
      </c>
      <c r="Y6319" s="4" t="str">
        <f t="shared" si="4"/>
        <v/>
      </c>
    </row>
    <row r="6320" spans="19:25">
      <c r="S6320" t="str">
        <f t="shared" si="0"/>
        <v/>
      </c>
      <c r="T6320" t="str">
        <f t="shared" si="1"/>
        <v/>
      </c>
      <c r="U6320" t="str">
        <f t="shared" si="2"/>
        <v/>
      </c>
      <c r="V6320" t="str">
        <f>IF(OR(U6320="",U6320="ERRO_CHAVE"),"",IFERROR(MATCH(U6320,Fornecedores!$AF$1:$AF$6631,0),""))</f>
        <v/>
      </c>
      <c r="W6320" t="str">
        <f t="shared" si="3"/>
        <v/>
      </c>
      <c r="X6320" s="4" t="str">
        <f>IF(V6320="","",INDEX(Fornecedores!$X$1:$X$6631,V6320))</f>
        <v/>
      </c>
      <c r="Y6320" s="4" t="str">
        <f t="shared" si="4"/>
        <v/>
      </c>
    </row>
    <row r="6321" spans="19:25">
      <c r="S6321" t="str">
        <f t="shared" si="0"/>
        <v/>
      </c>
      <c r="T6321" t="str">
        <f t="shared" si="1"/>
        <v/>
      </c>
      <c r="U6321" t="str">
        <f t="shared" si="2"/>
        <v/>
      </c>
      <c r="V6321" t="str">
        <f>IF(OR(U6321="",U6321="ERRO_CHAVE"),"",IFERROR(MATCH(U6321,Fornecedores!$AF$1:$AF$6631,0),""))</f>
        <v/>
      </c>
      <c r="W6321" t="str">
        <f t="shared" si="3"/>
        <v/>
      </c>
      <c r="X6321" s="4" t="str">
        <f>IF(V6321="","",INDEX(Fornecedores!$X$1:$X$6631,V6321))</f>
        <v/>
      </c>
      <c r="Y6321" s="4" t="str">
        <f t="shared" si="4"/>
        <v/>
      </c>
    </row>
    <row r="6322" spans="19:25">
      <c r="S6322" t="str">
        <f t="shared" si="0"/>
        <v/>
      </c>
      <c r="T6322" t="str">
        <f t="shared" si="1"/>
        <v/>
      </c>
      <c r="U6322" t="str">
        <f t="shared" si="2"/>
        <v/>
      </c>
      <c r="V6322" t="str">
        <f>IF(OR(U6322="",U6322="ERRO_CHAVE"),"",IFERROR(MATCH(U6322,Fornecedores!$AF$1:$AF$6631,0),""))</f>
        <v/>
      </c>
      <c r="W6322" t="str">
        <f t="shared" si="3"/>
        <v/>
      </c>
      <c r="X6322" s="4" t="str">
        <f>IF(V6322="","",INDEX(Fornecedores!$X$1:$X$6631,V6322))</f>
        <v/>
      </c>
      <c r="Y6322" s="4" t="str">
        <f t="shared" si="4"/>
        <v/>
      </c>
    </row>
    <row r="6323" spans="19:25">
      <c r="S6323" t="str">
        <f t="shared" si="0"/>
        <v/>
      </c>
      <c r="T6323" t="str">
        <f t="shared" si="1"/>
        <v/>
      </c>
      <c r="U6323" t="str">
        <f t="shared" si="2"/>
        <v/>
      </c>
      <c r="V6323" t="str">
        <f>IF(OR(U6323="",U6323="ERRO_CHAVE"),"",IFERROR(MATCH(U6323,Fornecedores!$AF$1:$AF$6631,0),""))</f>
        <v/>
      </c>
      <c r="W6323" t="str">
        <f t="shared" si="3"/>
        <v/>
      </c>
      <c r="X6323" s="4" t="str">
        <f>IF(V6323="","",INDEX(Fornecedores!$X$1:$X$6631,V6323))</f>
        <v/>
      </c>
      <c r="Y6323" s="4" t="str">
        <f t="shared" si="4"/>
        <v/>
      </c>
    </row>
    <row r="6324" spans="19:25">
      <c r="S6324" t="str">
        <f t="shared" si="0"/>
        <v/>
      </c>
      <c r="T6324" t="str">
        <f t="shared" si="1"/>
        <v/>
      </c>
      <c r="U6324" t="str">
        <f t="shared" si="2"/>
        <v/>
      </c>
      <c r="V6324" t="str">
        <f>IF(OR(U6324="",U6324="ERRO_CHAVE"),"",IFERROR(MATCH(U6324,Fornecedores!$AF$1:$AF$6631,0),""))</f>
        <v/>
      </c>
      <c r="W6324" t="str">
        <f t="shared" si="3"/>
        <v/>
      </c>
      <c r="X6324" s="4" t="str">
        <f>IF(V6324="","",INDEX(Fornecedores!$X$1:$X$6631,V6324))</f>
        <v/>
      </c>
      <c r="Y6324" s="4" t="str">
        <f t="shared" si="4"/>
        <v/>
      </c>
    </row>
    <row r="6325" spans="19:25">
      <c r="S6325" t="str">
        <f t="shared" si="0"/>
        <v/>
      </c>
      <c r="T6325" t="str">
        <f t="shared" si="1"/>
        <v/>
      </c>
      <c r="U6325" t="str">
        <f t="shared" si="2"/>
        <v/>
      </c>
      <c r="V6325" t="str">
        <f>IF(OR(U6325="",U6325="ERRO_CHAVE"),"",IFERROR(MATCH(U6325,Fornecedores!$AF$1:$AF$6631,0),""))</f>
        <v/>
      </c>
      <c r="W6325" t="str">
        <f t="shared" si="3"/>
        <v/>
      </c>
      <c r="X6325" s="4" t="str">
        <f>IF(V6325="","",INDEX(Fornecedores!$X$1:$X$6631,V6325))</f>
        <v/>
      </c>
      <c r="Y6325" s="4" t="str">
        <f t="shared" si="4"/>
        <v/>
      </c>
    </row>
    <row r="6326" spans="19:25">
      <c r="S6326" t="str">
        <f t="shared" si="0"/>
        <v/>
      </c>
      <c r="T6326" t="str">
        <f t="shared" si="1"/>
        <v/>
      </c>
      <c r="U6326" t="str">
        <f t="shared" si="2"/>
        <v/>
      </c>
      <c r="V6326" t="str">
        <f>IF(OR(U6326="",U6326="ERRO_CHAVE"),"",IFERROR(MATCH(U6326,Fornecedores!$AF$1:$AF$6631,0),""))</f>
        <v/>
      </c>
      <c r="W6326" t="str">
        <f t="shared" si="3"/>
        <v/>
      </c>
      <c r="X6326" s="4" t="str">
        <f>IF(V6326="","",INDEX(Fornecedores!$X$1:$X$6631,V6326))</f>
        <v/>
      </c>
      <c r="Y6326" s="4" t="str">
        <f t="shared" si="4"/>
        <v/>
      </c>
    </row>
    <row r="6327" spans="19:25">
      <c r="S6327" t="str">
        <f t="shared" si="0"/>
        <v/>
      </c>
      <c r="T6327" t="str">
        <f t="shared" si="1"/>
        <v/>
      </c>
      <c r="U6327" t="str">
        <f t="shared" si="2"/>
        <v/>
      </c>
      <c r="V6327" t="str">
        <f>IF(OR(U6327="",U6327="ERRO_CHAVE"),"",IFERROR(MATCH(U6327,Fornecedores!$AF$1:$AF$6631,0),""))</f>
        <v/>
      </c>
      <c r="W6327" t="str">
        <f t="shared" si="3"/>
        <v/>
      </c>
      <c r="X6327" s="4" t="str">
        <f>IF(V6327="","",INDEX(Fornecedores!$X$1:$X$6631,V6327))</f>
        <v/>
      </c>
      <c r="Y6327" s="4" t="str">
        <f t="shared" si="4"/>
        <v/>
      </c>
    </row>
    <row r="6328" spans="19:25">
      <c r="S6328" t="str">
        <f t="shared" si="0"/>
        <v/>
      </c>
      <c r="T6328" t="str">
        <f t="shared" si="1"/>
        <v/>
      </c>
      <c r="U6328" t="str">
        <f t="shared" si="2"/>
        <v/>
      </c>
      <c r="V6328" t="str">
        <f>IF(OR(U6328="",U6328="ERRO_CHAVE"),"",IFERROR(MATCH(U6328,Fornecedores!$AF$1:$AF$6631,0),""))</f>
        <v/>
      </c>
      <c r="W6328" t="str">
        <f t="shared" si="3"/>
        <v/>
      </c>
      <c r="X6328" s="4" t="str">
        <f>IF(V6328="","",INDEX(Fornecedores!$X$1:$X$6631,V6328))</f>
        <v/>
      </c>
      <c r="Y6328" s="4" t="str">
        <f t="shared" si="4"/>
        <v/>
      </c>
    </row>
    <row r="6329" spans="19:25">
      <c r="S6329" t="str">
        <f t="shared" si="0"/>
        <v/>
      </c>
      <c r="T6329" t="str">
        <f t="shared" si="1"/>
        <v/>
      </c>
      <c r="U6329" t="str">
        <f t="shared" si="2"/>
        <v/>
      </c>
      <c r="V6329" t="str">
        <f>IF(OR(U6329="",U6329="ERRO_CHAVE"),"",IFERROR(MATCH(U6329,Fornecedores!$AF$1:$AF$6631,0),""))</f>
        <v/>
      </c>
      <c r="W6329" t="str">
        <f t="shared" si="3"/>
        <v/>
      </c>
      <c r="X6329" s="4" t="str">
        <f>IF(V6329="","",INDEX(Fornecedores!$X$1:$X$6631,V6329))</f>
        <v/>
      </c>
      <c r="Y6329" s="4" t="str">
        <f t="shared" si="4"/>
        <v/>
      </c>
    </row>
    <row r="6330" spans="19:25">
      <c r="S6330" t="str">
        <f t="shared" si="0"/>
        <v/>
      </c>
      <c r="T6330" t="str">
        <f t="shared" si="1"/>
        <v/>
      </c>
      <c r="U6330" t="str">
        <f t="shared" si="2"/>
        <v/>
      </c>
      <c r="V6330" t="str">
        <f>IF(OR(U6330="",U6330="ERRO_CHAVE"),"",IFERROR(MATCH(U6330,Fornecedores!$AF$1:$AF$6631,0),""))</f>
        <v/>
      </c>
      <c r="W6330" t="str">
        <f t="shared" si="3"/>
        <v/>
      </c>
      <c r="X6330" s="4" t="str">
        <f>IF(V6330="","",INDEX(Fornecedores!$X$1:$X$6631,V6330))</f>
        <v/>
      </c>
      <c r="Y6330" s="4" t="str">
        <f t="shared" si="4"/>
        <v/>
      </c>
    </row>
    <row r="6331" spans="19:25">
      <c r="S6331" t="str">
        <f t="shared" si="0"/>
        <v/>
      </c>
      <c r="T6331" t="str">
        <f t="shared" si="1"/>
        <v/>
      </c>
      <c r="U6331" t="str">
        <f t="shared" si="2"/>
        <v/>
      </c>
      <c r="V6331" t="str">
        <f>IF(OR(U6331="",U6331="ERRO_CHAVE"),"",IFERROR(MATCH(U6331,Fornecedores!$AF$1:$AF$6631,0),""))</f>
        <v/>
      </c>
      <c r="W6331" t="str">
        <f t="shared" si="3"/>
        <v/>
      </c>
      <c r="X6331" s="4" t="str">
        <f>IF(V6331="","",INDEX(Fornecedores!$X$1:$X$6631,V6331))</f>
        <v/>
      </c>
      <c r="Y6331" s="4" t="str">
        <f t="shared" si="4"/>
        <v/>
      </c>
    </row>
    <row r="6332" spans="19:25">
      <c r="S6332" t="str">
        <f t="shared" si="0"/>
        <v/>
      </c>
      <c r="T6332" t="str">
        <f t="shared" si="1"/>
        <v/>
      </c>
      <c r="U6332" t="str">
        <f t="shared" si="2"/>
        <v/>
      </c>
      <c r="V6332" t="str">
        <f>IF(OR(U6332="",U6332="ERRO_CHAVE"),"",IFERROR(MATCH(U6332,Fornecedores!$AF$1:$AF$6631,0),""))</f>
        <v/>
      </c>
      <c r="W6332" t="str">
        <f t="shared" si="3"/>
        <v/>
      </c>
      <c r="X6332" s="4" t="str">
        <f>IF(V6332="","",INDEX(Fornecedores!$X$1:$X$6631,V6332))</f>
        <v/>
      </c>
      <c r="Y6332" s="4" t="str">
        <f t="shared" si="4"/>
        <v/>
      </c>
    </row>
    <row r="6333" spans="19:25">
      <c r="S6333" t="str">
        <f t="shared" si="0"/>
        <v/>
      </c>
      <c r="T6333" t="str">
        <f t="shared" si="1"/>
        <v/>
      </c>
      <c r="U6333" t="str">
        <f t="shared" si="2"/>
        <v/>
      </c>
      <c r="V6333" t="str">
        <f>IF(OR(U6333="",U6333="ERRO_CHAVE"),"",IFERROR(MATCH(U6333,Fornecedores!$AF$1:$AF$6631,0),""))</f>
        <v/>
      </c>
      <c r="W6333" t="str">
        <f t="shared" si="3"/>
        <v/>
      </c>
      <c r="X6333" s="4" t="str">
        <f>IF(V6333="","",INDEX(Fornecedores!$X$1:$X$6631,V6333))</f>
        <v/>
      </c>
      <c r="Y6333" s="4" t="str">
        <f t="shared" si="4"/>
        <v/>
      </c>
    </row>
    <row r="6334" spans="19:25">
      <c r="S6334" t="str">
        <f t="shared" si="0"/>
        <v/>
      </c>
      <c r="T6334" t="str">
        <f t="shared" si="1"/>
        <v/>
      </c>
      <c r="U6334" t="str">
        <f t="shared" si="2"/>
        <v/>
      </c>
      <c r="V6334" t="str">
        <f>IF(OR(U6334="",U6334="ERRO_CHAVE"),"",IFERROR(MATCH(U6334,Fornecedores!$AF$1:$AF$6631,0),""))</f>
        <v/>
      </c>
      <c r="W6334" t="str">
        <f t="shared" si="3"/>
        <v/>
      </c>
      <c r="X6334" s="4" t="str">
        <f>IF(V6334="","",INDEX(Fornecedores!$X$1:$X$6631,V6334))</f>
        <v/>
      </c>
      <c r="Y6334" s="4" t="str">
        <f t="shared" si="4"/>
        <v/>
      </c>
    </row>
    <row r="6335" spans="19:25">
      <c r="S6335" t="str">
        <f t="shared" si="0"/>
        <v/>
      </c>
      <c r="T6335" t="str">
        <f t="shared" si="1"/>
        <v/>
      </c>
      <c r="U6335" t="str">
        <f t="shared" si="2"/>
        <v/>
      </c>
      <c r="V6335" t="str">
        <f>IF(OR(U6335="",U6335="ERRO_CHAVE"),"",IFERROR(MATCH(U6335,Fornecedores!$AF$1:$AF$6631,0),""))</f>
        <v/>
      </c>
      <c r="W6335" t="str">
        <f t="shared" si="3"/>
        <v/>
      </c>
      <c r="X6335" s="4" t="str">
        <f>IF(V6335="","",INDEX(Fornecedores!$X$1:$X$6631,V6335))</f>
        <v/>
      </c>
      <c r="Y6335" s="4" t="str">
        <f t="shared" si="4"/>
        <v/>
      </c>
    </row>
    <row r="6336" spans="19:25">
      <c r="S6336" t="str">
        <f t="shared" si="0"/>
        <v/>
      </c>
      <c r="T6336" t="str">
        <f t="shared" si="1"/>
        <v/>
      </c>
      <c r="U6336" t="str">
        <f t="shared" si="2"/>
        <v/>
      </c>
      <c r="V6336" t="str">
        <f>IF(OR(U6336="",U6336="ERRO_CHAVE"),"",IFERROR(MATCH(U6336,Fornecedores!$AF$1:$AF$6631,0),""))</f>
        <v/>
      </c>
      <c r="W6336" t="str">
        <f t="shared" si="3"/>
        <v/>
      </c>
      <c r="X6336" s="4" t="str">
        <f>IF(V6336="","",INDEX(Fornecedores!$X$1:$X$6631,V6336))</f>
        <v/>
      </c>
      <c r="Y6336" s="4" t="str">
        <f t="shared" si="4"/>
        <v/>
      </c>
    </row>
    <row r="6337" spans="19:25">
      <c r="S6337" t="str">
        <f t="shared" si="0"/>
        <v/>
      </c>
      <c r="T6337" t="str">
        <f t="shared" si="1"/>
        <v/>
      </c>
      <c r="U6337" t="str">
        <f t="shared" si="2"/>
        <v/>
      </c>
      <c r="V6337" t="str">
        <f>IF(OR(U6337="",U6337="ERRO_CHAVE"),"",IFERROR(MATCH(U6337,Fornecedores!$AF$1:$AF$6631,0),""))</f>
        <v/>
      </c>
      <c r="W6337" t="str">
        <f t="shared" si="3"/>
        <v/>
      </c>
      <c r="X6337" s="4" t="str">
        <f>IF(V6337="","",INDEX(Fornecedores!$X$1:$X$6631,V6337))</f>
        <v/>
      </c>
      <c r="Y6337" s="4" t="str">
        <f t="shared" si="4"/>
        <v/>
      </c>
    </row>
    <row r="6338" spans="19:25">
      <c r="S6338" t="str">
        <f t="shared" si="0"/>
        <v/>
      </c>
      <c r="T6338" t="str">
        <f t="shared" si="1"/>
        <v/>
      </c>
      <c r="U6338" t="str">
        <f t="shared" si="2"/>
        <v/>
      </c>
      <c r="V6338" t="str">
        <f>IF(OR(U6338="",U6338="ERRO_CHAVE"),"",IFERROR(MATCH(U6338,Fornecedores!$AF$1:$AF$6631,0),""))</f>
        <v/>
      </c>
      <c r="W6338" t="str">
        <f t="shared" si="3"/>
        <v/>
      </c>
      <c r="X6338" s="4" t="str">
        <f>IF(V6338="","",INDEX(Fornecedores!$X$1:$X$6631,V6338))</f>
        <v/>
      </c>
      <c r="Y6338" s="4" t="str">
        <f t="shared" si="4"/>
        <v/>
      </c>
    </row>
    <row r="6339" spans="19:25">
      <c r="S6339" t="str">
        <f t="shared" si="0"/>
        <v/>
      </c>
      <c r="T6339" t="str">
        <f t="shared" si="1"/>
        <v/>
      </c>
      <c r="U6339" t="str">
        <f t="shared" si="2"/>
        <v/>
      </c>
      <c r="V6339" t="str">
        <f>IF(OR(U6339="",U6339="ERRO_CHAVE"),"",IFERROR(MATCH(U6339,Fornecedores!$AF$1:$AF$6631,0),""))</f>
        <v/>
      </c>
      <c r="W6339" t="str">
        <f t="shared" si="3"/>
        <v/>
      </c>
      <c r="X6339" s="4" t="str">
        <f>IF(V6339="","",INDEX(Fornecedores!$X$1:$X$6631,V6339))</f>
        <v/>
      </c>
      <c r="Y6339" s="4" t="str">
        <f t="shared" si="4"/>
        <v/>
      </c>
    </row>
    <row r="6340" spans="19:25">
      <c r="S6340" t="str">
        <f t="shared" si="0"/>
        <v/>
      </c>
      <c r="T6340" t="str">
        <f t="shared" si="1"/>
        <v/>
      </c>
      <c r="U6340" t="str">
        <f t="shared" si="2"/>
        <v/>
      </c>
      <c r="V6340" t="str">
        <f>IF(OR(U6340="",U6340="ERRO_CHAVE"),"",IFERROR(MATCH(U6340,Fornecedores!$AF$1:$AF$6631,0),""))</f>
        <v/>
      </c>
      <c r="W6340" t="str">
        <f t="shared" si="3"/>
        <v/>
      </c>
      <c r="X6340" s="4" t="str">
        <f>IF(V6340="","",INDEX(Fornecedores!$X$1:$X$6631,V6340))</f>
        <v/>
      </c>
      <c r="Y6340" s="4" t="str">
        <f t="shared" si="4"/>
        <v/>
      </c>
    </row>
    <row r="6341" spans="19:25">
      <c r="S6341" t="str">
        <f t="shared" si="0"/>
        <v/>
      </c>
      <c r="T6341" t="str">
        <f t="shared" si="1"/>
        <v/>
      </c>
      <c r="U6341" t="str">
        <f t="shared" si="2"/>
        <v/>
      </c>
      <c r="V6341" t="str">
        <f>IF(OR(U6341="",U6341="ERRO_CHAVE"),"",IFERROR(MATCH(U6341,Fornecedores!$AF$1:$AF$6631,0),""))</f>
        <v/>
      </c>
      <c r="W6341" t="str">
        <f t="shared" si="3"/>
        <v/>
      </c>
      <c r="X6341" s="4" t="str">
        <f>IF(V6341="","",INDEX(Fornecedores!$X$1:$X$6631,V6341))</f>
        <v/>
      </c>
      <c r="Y6341" s="4" t="str">
        <f t="shared" si="4"/>
        <v/>
      </c>
    </row>
    <row r="6342" spans="19:25">
      <c r="S6342" t="str">
        <f t="shared" si="0"/>
        <v/>
      </c>
      <c r="T6342" t="str">
        <f t="shared" si="1"/>
        <v/>
      </c>
      <c r="U6342" t="str">
        <f t="shared" si="2"/>
        <v/>
      </c>
      <c r="V6342" t="str">
        <f>IF(OR(U6342="",U6342="ERRO_CHAVE"),"",IFERROR(MATCH(U6342,Fornecedores!$AF$1:$AF$6631,0),""))</f>
        <v/>
      </c>
      <c r="W6342" t="str">
        <f t="shared" si="3"/>
        <v/>
      </c>
      <c r="X6342" s="4" t="str">
        <f>IF(V6342="","",INDEX(Fornecedores!$X$1:$X$6631,V6342))</f>
        <v/>
      </c>
      <c r="Y6342" s="4" t="str">
        <f t="shared" si="4"/>
        <v/>
      </c>
    </row>
    <row r="6343" spans="19:25">
      <c r="S6343" t="str">
        <f t="shared" si="0"/>
        <v/>
      </c>
      <c r="T6343" t="str">
        <f t="shared" si="1"/>
        <v/>
      </c>
      <c r="U6343" t="str">
        <f t="shared" si="2"/>
        <v/>
      </c>
      <c r="V6343" t="str">
        <f>IF(OR(U6343="",U6343="ERRO_CHAVE"),"",IFERROR(MATCH(U6343,Fornecedores!$AF$1:$AF$6631,0),""))</f>
        <v/>
      </c>
      <c r="W6343" t="str">
        <f t="shared" si="3"/>
        <v/>
      </c>
      <c r="X6343" s="4" t="str">
        <f>IF(V6343="","",INDEX(Fornecedores!$X$1:$X$6631,V6343))</f>
        <v/>
      </c>
      <c r="Y6343" s="4" t="str">
        <f t="shared" si="4"/>
        <v/>
      </c>
    </row>
    <row r="6344" spans="19:25">
      <c r="S6344" t="str">
        <f t="shared" si="0"/>
        <v/>
      </c>
      <c r="T6344" t="str">
        <f t="shared" si="1"/>
        <v/>
      </c>
      <c r="U6344" t="str">
        <f t="shared" si="2"/>
        <v/>
      </c>
      <c r="V6344" t="str">
        <f>IF(OR(U6344="",U6344="ERRO_CHAVE"),"",IFERROR(MATCH(U6344,Fornecedores!$AF$1:$AF$6631,0),""))</f>
        <v/>
      </c>
      <c r="W6344" t="str">
        <f t="shared" si="3"/>
        <v/>
      </c>
      <c r="X6344" s="4" t="str">
        <f>IF(V6344="","",INDEX(Fornecedores!$X$1:$X$6631,V6344))</f>
        <v/>
      </c>
      <c r="Y6344" s="4" t="str">
        <f t="shared" si="4"/>
        <v/>
      </c>
    </row>
    <row r="6345" spans="19:25">
      <c r="S6345" t="str">
        <f t="shared" si="0"/>
        <v/>
      </c>
      <c r="T6345" t="str">
        <f t="shared" si="1"/>
        <v/>
      </c>
      <c r="U6345" t="str">
        <f t="shared" si="2"/>
        <v/>
      </c>
      <c r="V6345" t="str">
        <f>IF(OR(U6345="",U6345="ERRO_CHAVE"),"",IFERROR(MATCH(U6345,Fornecedores!$AF$1:$AF$6631,0),""))</f>
        <v/>
      </c>
      <c r="W6345" t="str">
        <f t="shared" si="3"/>
        <v/>
      </c>
      <c r="X6345" s="4" t="str">
        <f>IF(V6345="","",INDEX(Fornecedores!$X$1:$X$6631,V6345))</f>
        <v/>
      </c>
      <c r="Y6345" s="4" t="str">
        <f t="shared" si="4"/>
        <v/>
      </c>
    </row>
    <row r="6346" spans="19:25">
      <c r="S6346" t="str">
        <f t="shared" si="0"/>
        <v/>
      </c>
      <c r="T6346" t="str">
        <f t="shared" si="1"/>
        <v/>
      </c>
      <c r="U6346" t="str">
        <f t="shared" si="2"/>
        <v/>
      </c>
      <c r="V6346" t="str">
        <f>IF(OR(U6346="",U6346="ERRO_CHAVE"),"",IFERROR(MATCH(U6346,Fornecedores!$AF$1:$AF$6631,0),""))</f>
        <v/>
      </c>
      <c r="W6346" t="str">
        <f t="shared" si="3"/>
        <v/>
      </c>
      <c r="X6346" s="4" t="str">
        <f>IF(V6346="","",INDEX(Fornecedores!$X$1:$X$6631,V6346))</f>
        <v/>
      </c>
      <c r="Y6346" s="4" t="str">
        <f t="shared" si="4"/>
        <v/>
      </c>
    </row>
    <row r="6347" spans="19:25">
      <c r="S6347" t="str">
        <f t="shared" si="0"/>
        <v/>
      </c>
      <c r="T6347" t="str">
        <f t="shared" si="1"/>
        <v/>
      </c>
      <c r="U6347" t="str">
        <f t="shared" si="2"/>
        <v/>
      </c>
      <c r="V6347" t="str">
        <f>IF(OR(U6347="",U6347="ERRO_CHAVE"),"",IFERROR(MATCH(U6347,Fornecedores!$AF$1:$AF$6631,0),""))</f>
        <v/>
      </c>
      <c r="W6347" t="str">
        <f t="shared" si="3"/>
        <v/>
      </c>
      <c r="X6347" s="4" t="str">
        <f>IF(V6347="","",INDEX(Fornecedores!$X$1:$X$6631,V6347))</f>
        <v/>
      </c>
      <c r="Y6347" s="4" t="str">
        <f t="shared" si="4"/>
        <v/>
      </c>
    </row>
    <row r="6348" spans="19:25">
      <c r="S6348" t="str">
        <f t="shared" si="0"/>
        <v/>
      </c>
      <c r="T6348" t="str">
        <f t="shared" si="1"/>
        <v/>
      </c>
      <c r="U6348" t="str">
        <f t="shared" si="2"/>
        <v/>
      </c>
      <c r="V6348" t="str">
        <f>IF(OR(U6348="",U6348="ERRO_CHAVE"),"",IFERROR(MATCH(U6348,Fornecedores!$AF$1:$AF$6631,0),""))</f>
        <v/>
      </c>
      <c r="W6348" t="str">
        <f t="shared" si="3"/>
        <v/>
      </c>
      <c r="X6348" s="4" t="str">
        <f>IF(V6348="","",INDEX(Fornecedores!$X$1:$X$6631,V6348))</f>
        <v/>
      </c>
      <c r="Y6348" s="4" t="str">
        <f t="shared" si="4"/>
        <v/>
      </c>
    </row>
    <row r="6349" spans="19:25">
      <c r="S6349" t="str">
        <f t="shared" si="0"/>
        <v/>
      </c>
      <c r="T6349" t="str">
        <f t="shared" si="1"/>
        <v/>
      </c>
      <c r="U6349" t="str">
        <f t="shared" si="2"/>
        <v/>
      </c>
      <c r="V6349" t="str">
        <f>IF(OR(U6349="",U6349="ERRO_CHAVE"),"",IFERROR(MATCH(U6349,Fornecedores!$AF$1:$AF$6631,0),""))</f>
        <v/>
      </c>
      <c r="W6349" t="str">
        <f t="shared" si="3"/>
        <v/>
      </c>
      <c r="X6349" s="4" t="str">
        <f>IF(V6349="","",INDEX(Fornecedores!$X$1:$X$6631,V6349))</f>
        <v/>
      </c>
      <c r="Y6349" s="4" t="str">
        <f t="shared" si="4"/>
        <v/>
      </c>
    </row>
    <row r="6350" spans="19:25">
      <c r="S6350" t="str">
        <f t="shared" si="0"/>
        <v/>
      </c>
      <c r="T6350" t="str">
        <f t="shared" si="1"/>
        <v/>
      </c>
      <c r="U6350" t="str">
        <f t="shared" si="2"/>
        <v/>
      </c>
      <c r="V6350" t="str">
        <f>IF(OR(U6350="",U6350="ERRO_CHAVE"),"",IFERROR(MATCH(U6350,Fornecedores!$AF$1:$AF$6631,0),""))</f>
        <v/>
      </c>
      <c r="W6350" t="str">
        <f t="shared" si="3"/>
        <v/>
      </c>
      <c r="X6350" s="4" t="str">
        <f>IF(V6350="","",INDEX(Fornecedores!$X$1:$X$6631,V6350))</f>
        <v/>
      </c>
      <c r="Y6350" s="4" t="str">
        <f t="shared" si="4"/>
        <v/>
      </c>
    </row>
    <row r="6351" spans="19:25">
      <c r="S6351" t="str">
        <f t="shared" si="0"/>
        <v/>
      </c>
      <c r="T6351" t="str">
        <f t="shared" si="1"/>
        <v/>
      </c>
      <c r="U6351" t="str">
        <f t="shared" si="2"/>
        <v/>
      </c>
      <c r="V6351" t="str">
        <f>IF(OR(U6351="",U6351="ERRO_CHAVE"),"",IFERROR(MATCH(U6351,Fornecedores!$AF$1:$AF$6631,0),""))</f>
        <v/>
      </c>
      <c r="W6351" t="str">
        <f t="shared" si="3"/>
        <v/>
      </c>
      <c r="X6351" s="4" t="str">
        <f>IF(V6351="","",INDEX(Fornecedores!$X$1:$X$6631,V6351))</f>
        <v/>
      </c>
      <c r="Y6351" s="4" t="str">
        <f t="shared" si="4"/>
        <v/>
      </c>
    </row>
    <row r="6352" spans="19:25">
      <c r="S6352" t="str">
        <f t="shared" si="0"/>
        <v/>
      </c>
      <c r="T6352" t="str">
        <f t="shared" si="1"/>
        <v/>
      </c>
      <c r="U6352" t="str">
        <f t="shared" si="2"/>
        <v/>
      </c>
      <c r="V6352" t="str">
        <f>IF(OR(U6352="",U6352="ERRO_CHAVE"),"",IFERROR(MATCH(U6352,Fornecedores!$AF$1:$AF$6631,0),""))</f>
        <v/>
      </c>
      <c r="W6352" t="str">
        <f t="shared" si="3"/>
        <v/>
      </c>
      <c r="X6352" s="4" t="str">
        <f>IF(V6352="","",INDEX(Fornecedores!$X$1:$X$6631,V6352))</f>
        <v/>
      </c>
      <c r="Y6352" s="4" t="str">
        <f t="shared" si="4"/>
        <v/>
      </c>
    </row>
    <row r="6353" spans="19:25">
      <c r="S6353" t="str">
        <f t="shared" si="0"/>
        <v/>
      </c>
      <c r="T6353" t="str">
        <f t="shared" si="1"/>
        <v/>
      </c>
      <c r="U6353" t="str">
        <f t="shared" si="2"/>
        <v/>
      </c>
      <c r="V6353" t="str">
        <f>IF(OR(U6353="",U6353="ERRO_CHAVE"),"",IFERROR(MATCH(U6353,Fornecedores!$AF$1:$AF$6631,0),""))</f>
        <v/>
      </c>
      <c r="W6353" t="str">
        <f t="shared" si="3"/>
        <v/>
      </c>
      <c r="X6353" s="4" t="str">
        <f>IF(V6353="","",INDEX(Fornecedores!$X$1:$X$6631,V6353))</f>
        <v/>
      </c>
      <c r="Y6353" s="4" t="str">
        <f t="shared" si="4"/>
        <v/>
      </c>
    </row>
    <row r="6354" spans="19:25">
      <c r="S6354" t="str">
        <f t="shared" si="0"/>
        <v/>
      </c>
      <c r="T6354" t="str">
        <f t="shared" si="1"/>
        <v/>
      </c>
      <c r="U6354" t="str">
        <f t="shared" si="2"/>
        <v/>
      </c>
      <c r="V6354" t="str">
        <f>IF(OR(U6354="",U6354="ERRO_CHAVE"),"",IFERROR(MATCH(U6354,Fornecedores!$AF$1:$AF$6631,0),""))</f>
        <v/>
      </c>
      <c r="W6354" t="str">
        <f t="shared" si="3"/>
        <v/>
      </c>
      <c r="X6354" s="4" t="str">
        <f>IF(V6354="","",INDEX(Fornecedores!$X$1:$X$6631,V6354))</f>
        <v/>
      </c>
      <c r="Y6354" s="4" t="str">
        <f t="shared" si="4"/>
        <v/>
      </c>
    </row>
    <row r="6355" spans="19:25">
      <c r="S6355" t="str">
        <f t="shared" si="0"/>
        <v/>
      </c>
      <c r="T6355" t="str">
        <f t="shared" si="1"/>
        <v/>
      </c>
      <c r="U6355" t="str">
        <f t="shared" si="2"/>
        <v/>
      </c>
      <c r="V6355" t="str">
        <f>IF(OR(U6355="",U6355="ERRO_CHAVE"),"",IFERROR(MATCH(U6355,Fornecedores!$AF$1:$AF$6631,0),""))</f>
        <v/>
      </c>
      <c r="W6355" t="str">
        <f t="shared" si="3"/>
        <v/>
      </c>
      <c r="X6355" s="4" t="str">
        <f>IF(V6355="","",INDEX(Fornecedores!$X$1:$X$6631,V6355))</f>
        <v/>
      </c>
      <c r="Y6355" s="4" t="str">
        <f t="shared" si="4"/>
        <v/>
      </c>
    </row>
    <row r="6356" spans="19:25">
      <c r="S6356" t="str">
        <f t="shared" si="0"/>
        <v/>
      </c>
      <c r="T6356" t="str">
        <f t="shared" si="1"/>
        <v/>
      </c>
      <c r="U6356" t="str">
        <f t="shared" si="2"/>
        <v/>
      </c>
      <c r="V6356" t="str">
        <f>IF(OR(U6356="",U6356="ERRO_CHAVE"),"",IFERROR(MATCH(U6356,Fornecedores!$AF$1:$AF$6631,0),""))</f>
        <v/>
      </c>
      <c r="W6356" t="str">
        <f t="shared" si="3"/>
        <v/>
      </c>
      <c r="X6356" s="4" t="str">
        <f>IF(V6356="","",INDEX(Fornecedores!$X$1:$X$6631,V6356))</f>
        <v/>
      </c>
      <c r="Y6356" s="4" t="str">
        <f t="shared" si="4"/>
        <v/>
      </c>
    </row>
    <row r="6357" spans="19:25">
      <c r="S6357" t="str">
        <f t="shared" si="0"/>
        <v/>
      </c>
      <c r="T6357" t="str">
        <f t="shared" si="1"/>
        <v/>
      </c>
      <c r="U6357" t="str">
        <f t="shared" si="2"/>
        <v/>
      </c>
      <c r="V6357" t="str">
        <f>IF(OR(U6357="",U6357="ERRO_CHAVE"),"",IFERROR(MATCH(U6357,Fornecedores!$AF$1:$AF$6631,0),""))</f>
        <v/>
      </c>
      <c r="W6357" t="str">
        <f t="shared" si="3"/>
        <v/>
      </c>
      <c r="X6357" s="4" t="str">
        <f>IF(V6357="","",INDEX(Fornecedores!$X$1:$X$6631,V6357))</f>
        <v/>
      </c>
      <c r="Y6357" s="4" t="str">
        <f t="shared" si="4"/>
        <v/>
      </c>
    </row>
    <row r="6358" spans="19:25">
      <c r="S6358" t="str">
        <f t="shared" si="0"/>
        <v/>
      </c>
      <c r="T6358" t="str">
        <f t="shared" si="1"/>
        <v/>
      </c>
      <c r="U6358" t="str">
        <f t="shared" si="2"/>
        <v/>
      </c>
      <c r="V6358" t="str">
        <f>IF(OR(U6358="",U6358="ERRO_CHAVE"),"",IFERROR(MATCH(U6358,Fornecedores!$AF$1:$AF$6631,0),""))</f>
        <v/>
      </c>
      <c r="W6358" t="str">
        <f t="shared" si="3"/>
        <v/>
      </c>
      <c r="X6358" s="4" t="str">
        <f>IF(V6358="","",INDEX(Fornecedores!$X$1:$X$6631,V6358))</f>
        <v/>
      </c>
      <c r="Y6358" s="4" t="str">
        <f t="shared" si="4"/>
        <v/>
      </c>
    </row>
    <row r="6359" spans="19:25">
      <c r="S6359" t="str">
        <f t="shared" si="0"/>
        <v/>
      </c>
      <c r="T6359" t="str">
        <f t="shared" si="1"/>
        <v/>
      </c>
      <c r="U6359" t="str">
        <f t="shared" si="2"/>
        <v/>
      </c>
      <c r="V6359" t="str">
        <f>IF(OR(U6359="",U6359="ERRO_CHAVE"),"",IFERROR(MATCH(U6359,Fornecedores!$AF$1:$AF$6631,0),""))</f>
        <v/>
      </c>
      <c r="W6359" t="str">
        <f t="shared" si="3"/>
        <v/>
      </c>
      <c r="X6359" s="4" t="str">
        <f>IF(V6359="","",INDEX(Fornecedores!$X$1:$X$6631,V6359))</f>
        <v/>
      </c>
      <c r="Y6359" s="4" t="str">
        <f t="shared" si="4"/>
        <v/>
      </c>
    </row>
    <row r="6360" spans="19:25">
      <c r="S6360" t="str">
        <f t="shared" si="0"/>
        <v/>
      </c>
      <c r="T6360" t="str">
        <f t="shared" si="1"/>
        <v/>
      </c>
      <c r="U6360" t="str">
        <f t="shared" si="2"/>
        <v/>
      </c>
      <c r="V6360" t="str">
        <f>IF(OR(U6360="",U6360="ERRO_CHAVE"),"",IFERROR(MATCH(U6360,Fornecedores!$AF$1:$AF$6631,0),""))</f>
        <v/>
      </c>
      <c r="W6360" t="str">
        <f t="shared" si="3"/>
        <v/>
      </c>
      <c r="X6360" s="4" t="str">
        <f>IF(V6360="","",INDEX(Fornecedores!$X$1:$X$6631,V6360))</f>
        <v/>
      </c>
      <c r="Y6360" s="4" t="str">
        <f t="shared" si="4"/>
        <v/>
      </c>
    </row>
    <row r="6361" spans="19:25">
      <c r="S6361" t="str">
        <f t="shared" si="0"/>
        <v/>
      </c>
      <c r="T6361" t="str">
        <f t="shared" si="1"/>
        <v/>
      </c>
      <c r="U6361" t="str">
        <f t="shared" si="2"/>
        <v/>
      </c>
      <c r="V6361" t="str">
        <f>IF(OR(U6361="",U6361="ERRO_CHAVE"),"",IFERROR(MATCH(U6361,Fornecedores!$AF$1:$AF$6631,0),""))</f>
        <v/>
      </c>
      <c r="W6361" t="str">
        <f t="shared" si="3"/>
        <v/>
      </c>
      <c r="X6361" s="4" t="str">
        <f>IF(V6361="","",INDEX(Fornecedores!$X$1:$X$6631,V6361))</f>
        <v/>
      </c>
      <c r="Y6361" s="4" t="str">
        <f t="shared" si="4"/>
        <v/>
      </c>
    </row>
    <row r="6362" spans="19:25">
      <c r="S6362" t="str">
        <f t="shared" si="0"/>
        <v/>
      </c>
      <c r="T6362" t="str">
        <f t="shared" si="1"/>
        <v/>
      </c>
      <c r="U6362" t="str">
        <f t="shared" si="2"/>
        <v/>
      </c>
      <c r="V6362" t="str">
        <f>IF(OR(U6362="",U6362="ERRO_CHAVE"),"",IFERROR(MATCH(U6362,Fornecedores!$AF$1:$AF$6631,0),""))</f>
        <v/>
      </c>
      <c r="W6362" t="str">
        <f t="shared" si="3"/>
        <v/>
      </c>
      <c r="X6362" s="4" t="str">
        <f>IF(V6362="","",INDEX(Fornecedores!$X$1:$X$6631,V6362))</f>
        <v/>
      </c>
      <c r="Y6362" s="4" t="str">
        <f t="shared" si="4"/>
        <v/>
      </c>
    </row>
    <row r="6363" spans="19:25">
      <c r="S6363" t="str">
        <f t="shared" si="0"/>
        <v/>
      </c>
      <c r="T6363" t="str">
        <f t="shared" si="1"/>
        <v/>
      </c>
      <c r="U6363" t="str">
        <f t="shared" si="2"/>
        <v/>
      </c>
      <c r="V6363" t="str">
        <f>IF(OR(U6363="",U6363="ERRO_CHAVE"),"",IFERROR(MATCH(U6363,Fornecedores!$AF$1:$AF$6631,0),""))</f>
        <v/>
      </c>
      <c r="W6363" t="str">
        <f t="shared" si="3"/>
        <v/>
      </c>
      <c r="X6363" s="4" t="str">
        <f>IF(V6363="","",INDEX(Fornecedores!$X$1:$X$6631,V6363))</f>
        <v/>
      </c>
      <c r="Y6363" s="4" t="str">
        <f t="shared" si="4"/>
        <v/>
      </c>
    </row>
    <row r="6364" spans="19:25">
      <c r="S6364" t="str">
        <f t="shared" si="0"/>
        <v/>
      </c>
      <c r="T6364" t="str">
        <f t="shared" si="1"/>
        <v/>
      </c>
      <c r="U6364" t="str">
        <f t="shared" si="2"/>
        <v/>
      </c>
      <c r="V6364" t="str">
        <f>IF(OR(U6364="",U6364="ERRO_CHAVE"),"",IFERROR(MATCH(U6364,Fornecedores!$AF$1:$AF$6631,0),""))</f>
        <v/>
      </c>
      <c r="W6364" t="str">
        <f t="shared" si="3"/>
        <v/>
      </c>
      <c r="X6364" s="4" t="str">
        <f>IF(V6364="","",INDEX(Fornecedores!$X$1:$X$6631,V6364))</f>
        <v/>
      </c>
      <c r="Y6364" s="4" t="str">
        <f t="shared" si="4"/>
        <v/>
      </c>
    </row>
    <row r="6365" spans="19:25">
      <c r="S6365" t="str">
        <f t="shared" si="0"/>
        <v/>
      </c>
      <c r="T6365" t="str">
        <f t="shared" si="1"/>
        <v/>
      </c>
      <c r="U6365" t="str">
        <f t="shared" si="2"/>
        <v/>
      </c>
      <c r="V6365" t="str">
        <f>IF(OR(U6365="",U6365="ERRO_CHAVE"),"",IFERROR(MATCH(U6365,Fornecedores!$AF$1:$AF$6631,0),""))</f>
        <v/>
      </c>
      <c r="W6365" t="str">
        <f t="shared" si="3"/>
        <v/>
      </c>
      <c r="X6365" s="4" t="str">
        <f>IF(V6365="","",INDEX(Fornecedores!$X$1:$X$6631,V6365))</f>
        <v/>
      </c>
      <c r="Y6365" s="4" t="str">
        <f t="shared" si="4"/>
        <v/>
      </c>
    </row>
    <row r="6366" spans="19:25">
      <c r="S6366" t="str">
        <f t="shared" si="0"/>
        <v/>
      </c>
      <c r="T6366" t="str">
        <f t="shared" si="1"/>
        <v/>
      </c>
      <c r="U6366" t="str">
        <f t="shared" si="2"/>
        <v/>
      </c>
      <c r="V6366" t="str">
        <f>IF(OR(U6366="",U6366="ERRO_CHAVE"),"",IFERROR(MATCH(U6366,Fornecedores!$AF$1:$AF$6631,0),""))</f>
        <v/>
      </c>
      <c r="W6366" t="str">
        <f t="shared" si="3"/>
        <v/>
      </c>
      <c r="X6366" s="4" t="str">
        <f>IF(V6366="","",INDEX(Fornecedores!$X$1:$X$6631,V6366))</f>
        <v/>
      </c>
      <c r="Y6366" s="4" t="str">
        <f t="shared" si="4"/>
        <v/>
      </c>
    </row>
    <row r="6367" spans="19:25">
      <c r="S6367" t="str">
        <f t="shared" si="0"/>
        <v/>
      </c>
      <c r="T6367" t="str">
        <f t="shared" si="1"/>
        <v/>
      </c>
      <c r="U6367" t="str">
        <f t="shared" si="2"/>
        <v/>
      </c>
      <c r="V6367" t="str">
        <f>IF(OR(U6367="",U6367="ERRO_CHAVE"),"",IFERROR(MATCH(U6367,Fornecedores!$AF$1:$AF$6631,0),""))</f>
        <v/>
      </c>
      <c r="W6367" t="str">
        <f t="shared" si="3"/>
        <v/>
      </c>
      <c r="X6367" s="4" t="str">
        <f>IF(V6367="","",INDEX(Fornecedores!$X$1:$X$6631,V6367))</f>
        <v/>
      </c>
      <c r="Y6367" s="4" t="str">
        <f t="shared" si="4"/>
        <v/>
      </c>
    </row>
    <row r="6368" spans="19:25">
      <c r="S6368" t="str">
        <f t="shared" si="0"/>
        <v/>
      </c>
      <c r="T6368" t="str">
        <f t="shared" si="1"/>
        <v/>
      </c>
      <c r="U6368" t="str">
        <f t="shared" si="2"/>
        <v/>
      </c>
      <c r="V6368" t="str">
        <f>IF(OR(U6368="",U6368="ERRO_CHAVE"),"",IFERROR(MATCH(U6368,Fornecedores!$AF$1:$AF$6631,0),""))</f>
        <v/>
      </c>
      <c r="W6368" t="str">
        <f t="shared" si="3"/>
        <v/>
      </c>
      <c r="X6368" s="4" t="str">
        <f>IF(V6368="","",INDEX(Fornecedores!$X$1:$X$6631,V6368))</f>
        <v/>
      </c>
      <c r="Y6368" s="4" t="str">
        <f t="shared" si="4"/>
        <v/>
      </c>
    </row>
    <row r="6369" spans="19:25">
      <c r="S6369" t="str">
        <f t="shared" si="0"/>
        <v/>
      </c>
      <c r="T6369" t="str">
        <f t="shared" si="1"/>
        <v/>
      </c>
      <c r="U6369" t="str">
        <f t="shared" si="2"/>
        <v/>
      </c>
      <c r="V6369" t="str">
        <f>IF(OR(U6369="",U6369="ERRO_CHAVE"),"",IFERROR(MATCH(U6369,Fornecedores!$AF$1:$AF$6631,0),""))</f>
        <v/>
      </c>
      <c r="W6369" t="str">
        <f t="shared" si="3"/>
        <v/>
      </c>
      <c r="X6369" s="4" t="str">
        <f>IF(V6369="","",INDEX(Fornecedores!$X$1:$X$6631,V6369))</f>
        <v/>
      </c>
      <c r="Y6369" s="4" t="str">
        <f t="shared" si="4"/>
        <v/>
      </c>
    </row>
    <row r="6370" spans="19:25">
      <c r="S6370" t="str">
        <f t="shared" si="0"/>
        <v/>
      </c>
      <c r="T6370" t="str">
        <f t="shared" si="1"/>
        <v/>
      </c>
      <c r="U6370" t="str">
        <f t="shared" si="2"/>
        <v/>
      </c>
      <c r="V6370" t="str">
        <f>IF(OR(U6370="",U6370="ERRO_CHAVE"),"",IFERROR(MATCH(U6370,Fornecedores!$AF$1:$AF$6631,0),""))</f>
        <v/>
      </c>
      <c r="W6370" t="str">
        <f t="shared" si="3"/>
        <v/>
      </c>
      <c r="X6370" s="4" t="str">
        <f>IF(V6370="","",INDEX(Fornecedores!$X$1:$X$6631,V6370))</f>
        <v/>
      </c>
      <c r="Y6370" s="4" t="str">
        <f t="shared" si="4"/>
        <v/>
      </c>
    </row>
    <row r="6371" spans="19:25">
      <c r="S6371" t="str">
        <f t="shared" si="0"/>
        <v/>
      </c>
      <c r="T6371" t="str">
        <f t="shared" si="1"/>
        <v/>
      </c>
      <c r="U6371" t="str">
        <f t="shared" si="2"/>
        <v/>
      </c>
      <c r="V6371" t="str">
        <f>IF(OR(U6371="",U6371="ERRO_CHAVE"),"",IFERROR(MATCH(U6371,Fornecedores!$AF$1:$AF$6631,0),""))</f>
        <v/>
      </c>
      <c r="W6371" t="str">
        <f t="shared" si="3"/>
        <v/>
      </c>
      <c r="X6371" s="4" t="str">
        <f>IF(V6371="","",INDEX(Fornecedores!$X$1:$X$6631,V6371))</f>
        <v/>
      </c>
      <c r="Y6371" s="4" t="str">
        <f t="shared" si="4"/>
        <v/>
      </c>
    </row>
    <row r="6372" spans="19:25">
      <c r="S6372" t="str">
        <f t="shared" si="0"/>
        <v/>
      </c>
      <c r="T6372" t="str">
        <f t="shared" si="1"/>
        <v/>
      </c>
      <c r="U6372" t="str">
        <f t="shared" si="2"/>
        <v/>
      </c>
      <c r="V6372" t="str">
        <f>IF(OR(U6372="",U6372="ERRO_CHAVE"),"",IFERROR(MATCH(U6372,Fornecedores!$AF$1:$AF$6631,0),""))</f>
        <v/>
      </c>
      <c r="W6372" t="str">
        <f t="shared" si="3"/>
        <v/>
      </c>
      <c r="X6372" s="4" t="str">
        <f>IF(V6372="","",INDEX(Fornecedores!$X$1:$X$6631,V6372))</f>
        <v/>
      </c>
      <c r="Y6372" s="4" t="str">
        <f t="shared" si="4"/>
        <v/>
      </c>
    </row>
    <row r="6373" spans="19:25">
      <c r="S6373" t="str">
        <f t="shared" si="0"/>
        <v/>
      </c>
      <c r="T6373" t="str">
        <f t="shared" si="1"/>
        <v/>
      </c>
      <c r="U6373" t="str">
        <f t="shared" si="2"/>
        <v/>
      </c>
      <c r="V6373" t="str">
        <f>IF(OR(U6373="",U6373="ERRO_CHAVE"),"",IFERROR(MATCH(U6373,Fornecedores!$AF$1:$AF$6631,0),""))</f>
        <v/>
      </c>
      <c r="W6373" t="str">
        <f t="shared" si="3"/>
        <v/>
      </c>
      <c r="X6373" s="4" t="str">
        <f>IF(V6373="","",INDEX(Fornecedores!$X$1:$X$6631,V6373))</f>
        <v/>
      </c>
      <c r="Y6373" s="4" t="str">
        <f t="shared" si="4"/>
        <v/>
      </c>
    </row>
    <row r="6374" spans="19:25">
      <c r="S6374" t="str">
        <f t="shared" si="0"/>
        <v/>
      </c>
      <c r="T6374" t="str">
        <f t="shared" si="1"/>
        <v/>
      </c>
      <c r="U6374" t="str">
        <f t="shared" si="2"/>
        <v/>
      </c>
      <c r="V6374" t="str">
        <f>IF(OR(U6374="",U6374="ERRO_CHAVE"),"",IFERROR(MATCH(U6374,Fornecedores!$AF$1:$AF$6631,0),""))</f>
        <v/>
      </c>
      <c r="W6374" t="str">
        <f t="shared" si="3"/>
        <v/>
      </c>
      <c r="X6374" s="4" t="str">
        <f>IF(V6374="","",INDEX(Fornecedores!$X$1:$X$6631,V6374))</f>
        <v/>
      </c>
      <c r="Y6374" s="4" t="str">
        <f t="shared" si="4"/>
        <v/>
      </c>
    </row>
    <row r="6375" spans="19:25">
      <c r="S6375" t="str">
        <f t="shared" si="0"/>
        <v/>
      </c>
      <c r="T6375" t="str">
        <f t="shared" si="1"/>
        <v/>
      </c>
      <c r="U6375" t="str">
        <f t="shared" si="2"/>
        <v/>
      </c>
      <c r="V6375" t="str">
        <f>IF(OR(U6375="",U6375="ERRO_CHAVE"),"",IFERROR(MATCH(U6375,Fornecedores!$AF$1:$AF$6631,0),""))</f>
        <v/>
      </c>
      <c r="W6375" t="str">
        <f t="shared" si="3"/>
        <v/>
      </c>
      <c r="X6375" s="4" t="str">
        <f>IF(V6375="","",INDEX(Fornecedores!$X$1:$X$6631,V6375))</f>
        <v/>
      </c>
      <c r="Y6375" s="4" t="str">
        <f t="shared" si="4"/>
        <v/>
      </c>
    </row>
    <row r="6376" spans="19:25">
      <c r="S6376" t="str">
        <f t="shared" si="0"/>
        <v/>
      </c>
      <c r="T6376" t="str">
        <f t="shared" si="1"/>
        <v/>
      </c>
      <c r="U6376" t="str">
        <f t="shared" si="2"/>
        <v/>
      </c>
      <c r="V6376" t="str">
        <f>IF(OR(U6376="",U6376="ERRO_CHAVE"),"",IFERROR(MATCH(U6376,Fornecedores!$AF$1:$AF$6631,0),""))</f>
        <v/>
      </c>
      <c r="W6376" t="str">
        <f t="shared" si="3"/>
        <v/>
      </c>
      <c r="X6376" s="4" t="str">
        <f>IF(V6376="","",INDEX(Fornecedores!$X$1:$X$6631,V6376))</f>
        <v/>
      </c>
      <c r="Y6376" s="4" t="str">
        <f t="shared" si="4"/>
        <v/>
      </c>
    </row>
    <row r="6377" spans="19:25">
      <c r="S6377" t="str">
        <f t="shared" si="0"/>
        <v/>
      </c>
      <c r="T6377" t="str">
        <f t="shared" si="1"/>
        <v/>
      </c>
      <c r="U6377" t="str">
        <f t="shared" si="2"/>
        <v/>
      </c>
      <c r="V6377" t="str">
        <f>IF(OR(U6377="",U6377="ERRO_CHAVE"),"",IFERROR(MATCH(U6377,Fornecedores!$AF$1:$AF$6631,0),""))</f>
        <v/>
      </c>
      <c r="W6377" t="str">
        <f t="shared" si="3"/>
        <v/>
      </c>
      <c r="X6377" s="4" t="str">
        <f>IF(V6377="","",INDEX(Fornecedores!$X$1:$X$6631,V6377))</f>
        <v/>
      </c>
      <c r="Y6377" s="4" t="str">
        <f t="shared" si="4"/>
        <v/>
      </c>
    </row>
    <row r="6378" spans="19:25">
      <c r="S6378" t="str">
        <f t="shared" si="0"/>
        <v/>
      </c>
      <c r="T6378" t="str">
        <f t="shared" si="1"/>
        <v/>
      </c>
      <c r="U6378" t="str">
        <f t="shared" si="2"/>
        <v/>
      </c>
      <c r="V6378" t="str">
        <f>IF(OR(U6378="",U6378="ERRO_CHAVE"),"",IFERROR(MATCH(U6378,Fornecedores!$AF$1:$AF$6631,0),""))</f>
        <v/>
      </c>
      <c r="W6378" t="str">
        <f t="shared" si="3"/>
        <v/>
      </c>
      <c r="X6378" s="4" t="str">
        <f>IF(V6378="","",INDEX(Fornecedores!$X$1:$X$6631,V6378))</f>
        <v/>
      </c>
      <c r="Y6378" s="4" t="str">
        <f t="shared" si="4"/>
        <v/>
      </c>
    </row>
    <row r="6379" spans="19:25">
      <c r="S6379" t="str">
        <f t="shared" si="0"/>
        <v/>
      </c>
      <c r="T6379" t="str">
        <f t="shared" si="1"/>
        <v/>
      </c>
      <c r="U6379" t="str">
        <f t="shared" si="2"/>
        <v/>
      </c>
      <c r="V6379" t="str">
        <f>IF(OR(U6379="",U6379="ERRO_CHAVE"),"",IFERROR(MATCH(U6379,Fornecedores!$AF$1:$AF$6631,0),""))</f>
        <v/>
      </c>
      <c r="W6379" t="str">
        <f t="shared" si="3"/>
        <v/>
      </c>
      <c r="X6379" s="4" t="str">
        <f>IF(V6379="","",INDEX(Fornecedores!$X$1:$X$6631,V6379))</f>
        <v/>
      </c>
      <c r="Y6379" s="4" t="str">
        <f t="shared" si="4"/>
        <v/>
      </c>
    </row>
    <row r="6380" spans="19:25">
      <c r="S6380" t="str">
        <f t="shared" si="0"/>
        <v/>
      </c>
      <c r="T6380" t="str">
        <f t="shared" si="1"/>
        <v/>
      </c>
      <c r="U6380" t="str">
        <f t="shared" si="2"/>
        <v/>
      </c>
      <c r="V6380" t="str">
        <f>IF(OR(U6380="",U6380="ERRO_CHAVE"),"",IFERROR(MATCH(U6380,Fornecedores!$AF$1:$AF$6631,0),""))</f>
        <v/>
      </c>
      <c r="W6380" t="str">
        <f t="shared" si="3"/>
        <v/>
      </c>
      <c r="X6380" s="4" t="str">
        <f>IF(V6380="","",INDEX(Fornecedores!$X$1:$X$6631,V6380))</f>
        <v/>
      </c>
      <c r="Y6380" s="4" t="str">
        <f t="shared" si="4"/>
        <v/>
      </c>
    </row>
    <row r="6381" spans="19:25">
      <c r="S6381" t="str">
        <f t="shared" si="0"/>
        <v/>
      </c>
      <c r="T6381" t="str">
        <f t="shared" si="1"/>
        <v/>
      </c>
      <c r="U6381" t="str">
        <f t="shared" si="2"/>
        <v/>
      </c>
      <c r="V6381" t="str">
        <f>IF(OR(U6381="",U6381="ERRO_CHAVE"),"",IFERROR(MATCH(U6381,Fornecedores!$AF$1:$AF$6631,0),""))</f>
        <v/>
      </c>
      <c r="W6381" t="str">
        <f t="shared" si="3"/>
        <v/>
      </c>
      <c r="X6381" s="4" t="str">
        <f>IF(V6381="","",INDEX(Fornecedores!$X$1:$X$6631,V6381))</f>
        <v/>
      </c>
      <c r="Y6381" s="4" t="str">
        <f t="shared" si="4"/>
        <v/>
      </c>
    </row>
    <row r="6382" spans="19:25">
      <c r="S6382" t="str">
        <f t="shared" si="0"/>
        <v/>
      </c>
      <c r="T6382" t="str">
        <f t="shared" si="1"/>
        <v/>
      </c>
      <c r="U6382" t="str">
        <f t="shared" si="2"/>
        <v/>
      </c>
      <c r="V6382" t="str">
        <f>IF(OR(U6382="",U6382="ERRO_CHAVE"),"",IFERROR(MATCH(U6382,Fornecedores!$AF$1:$AF$6631,0),""))</f>
        <v/>
      </c>
      <c r="W6382" t="str">
        <f t="shared" si="3"/>
        <v/>
      </c>
      <c r="X6382" s="4" t="str">
        <f>IF(V6382="","",INDEX(Fornecedores!$X$1:$X$6631,V6382))</f>
        <v/>
      </c>
      <c r="Y6382" s="4" t="str">
        <f t="shared" si="4"/>
        <v/>
      </c>
    </row>
    <row r="6383" spans="19:25">
      <c r="S6383" t="str">
        <f t="shared" si="0"/>
        <v/>
      </c>
      <c r="T6383" t="str">
        <f t="shared" si="1"/>
        <v/>
      </c>
      <c r="U6383" t="str">
        <f t="shared" si="2"/>
        <v/>
      </c>
      <c r="V6383" t="str">
        <f>IF(OR(U6383="",U6383="ERRO_CHAVE"),"",IFERROR(MATCH(U6383,Fornecedores!$AF$1:$AF$6631,0),""))</f>
        <v/>
      </c>
      <c r="W6383" t="str">
        <f t="shared" si="3"/>
        <v/>
      </c>
      <c r="X6383" s="4" t="str">
        <f>IF(V6383="","",INDEX(Fornecedores!$X$1:$X$6631,V6383))</f>
        <v/>
      </c>
      <c r="Y6383" s="4" t="str">
        <f t="shared" si="4"/>
        <v/>
      </c>
    </row>
    <row r="6384" spans="19:25">
      <c r="S6384" t="str">
        <f t="shared" si="0"/>
        <v/>
      </c>
      <c r="T6384" t="str">
        <f t="shared" si="1"/>
        <v/>
      </c>
      <c r="U6384" t="str">
        <f t="shared" si="2"/>
        <v/>
      </c>
      <c r="V6384" t="str">
        <f>IF(OR(U6384="",U6384="ERRO_CHAVE"),"",IFERROR(MATCH(U6384,Fornecedores!$AF$1:$AF$6631,0),""))</f>
        <v/>
      </c>
      <c r="W6384" t="str">
        <f t="shared" si="3"/>
        <v/>
      </c>
      <c r="X6384" s="4" t="str">
        <f>IF(V6384="","",INDEX(Fornecedores!$X$1:$X$6631,V6384))</f>
        <v/>
      </c>
      <c r="Y6384" s="4" t="str">
        <f t="shared" si="4"/>
        <v/>
      </c>
    </row>
    <row r="6385" spans="19:25">
      <c r="S6385" t="str">
        <f t="shared" si="0"/>
        <v/>
      </c>
      <c r="T6385" t="str">
        <f t="shared" si="1"/>
        <v/>
      </c>
      <c r="U6385" t="str">
        <f t="shared" si="2"/>
        <v/>
      </c>
      <c r="V6385" t="str">
        <f>IF(OR(U6385="",U6385="ERRO_CHAVE"),"",IFERROR(MATCH(U6385,Fornecedores!$AF$1:$AF$6631,0),""))</f>
        <v/>
      </c>
      <c r="W6385" t="str">
        <f t="shared" si="3"/>
        <v/>
      </c>
      <c r="X6385" s="4" t="str">
        <f>IF(V6385="","",INDEX(Fornecedores!$X$1:$X$6631,V6385))</f>
        <v/>
      </c>
      <c r="Y6385" s="4" t="str">
        <f t="shared" si="4"/>
        <v/>
      </c>
    </row>
    <row r="6386" spans="19:25">
      <c r="S6386" t="str">
        <f t="shared" si="0"/>
        <v/>
      </c>
      <c r="T6386" t="str">
        <f t="shared" si="1"/>
        <v/>
      </c>
      <c r="U6386" t="str">
        <f t="shared" si="2"/>
        <v/>
      </c>
      <c r="V6386" t="str">
        <f>IF(OR(U6386="",U6386="ERRO_CHAVE"),"",IFERROR(MATCH(U6386,Fornecedores!$AF$1:$AF$6631,0),""))</f>
        <v/>
      </c>
      <c r="W6386" t="str">
        <f t="shared" si="3"/>
        <v/>
      </c>
      <c r="X6386" s="4" t="str">
        <f>IF(V6386="","",INDEX(Fornecedores!$X$1:$X$6631,V6386))</f>
        <v/>
      </c>
      <c r="Y6386" s="4" t="str">
        <f t="shared" si="4"/>
        <v/>
      </c>
    </row>
    <row r="6387" spans="19:25">
      <c r="S6387" t="str">
        <f t="shared" si="0"/>
        <v/>
      </c>
      <c r="T6387" t="str">
        <f t="shared" si="1"/>
        <v/>
      </c>
      <c r="U6387" t="str">
        <f t="shared" si="2"/>
        <v/>
      </c>
      <c r="V6387" t="str">
        <f>IF(OR(U6387="",U6387="ERRO_CHAVE"),"",IFERROR(MATCH(U6387,Fornecedores!$AF$1:$AF$6631,0),""))</f>
        <v/>
      </c>
      <c r="W6387" t="str">
        <f t="shared" si="3"/>
        <v/>
      </c>
      <c r="X6387" s="4" t="str">
        <f>IF(V6387="","",INDEX(Fornecedores!$X$1:$X$6631,V6387))</f>
        <v/>
      </c>
      <c r="Y6387" s="4" t="str">
        <f t="shared" si="4"/>
        <v/>
      </c>
    </row>
    <row r="6388" spans="19:25">
      <c r="S6388" t="str">
        <f t="shared" si="0"/>
        <v/>
      </c>
      <c r="T6388" t="str">
        <f t="shared" si="1"/>
        <v/>
      </c>
      <c r="U6388" t="str">
        <f t="shared" si="2"/>
        <v/>
      </c>
      <c r="V6388" t="str">
        <f>IF(OR(U6388="",U6388="ERRO_CHAVE"),"",IFERROR(MATCH(U6388,Fornecedores!$AF$1:$AF$6631,0),""))</f>
        <v/>
      </c>
      <c r="W6388" t="str">
        <f t="shared" si="3"/>
        <v/>
      </c>
      <c r="X6388" s="4" t="str">
        <f>IF(V6388="","",INDEX(Fornecedores!$X$1:$X$6631,V6388))</f>
        <v/>
      </c>
      <c r="Y6388" s="4" t="str">
        <f t="shared" si="4"/>
        <v/>
      </c>
    </row>
    <row r="6389" spans="19:25">
      <c r="S6389" t="str">
        <f t="shared" si="0"/>
        <v/>
      </c>
      <c r="T6389" t="str">
        <f t="shared" si="1"/>
        <v/>
      </c>
      <c r="U6389" t="str">
        <f t="shared" si="2"/>
        <v/>
      </c>
      <c r="V6389" t="str">
        <f>IF(OR(U6389="",U6389="ERRO_CHAVE"),"",IFERROR(MATCH(U6389,Fornecedores!$AF$1:$AF$6631,0),""))</f>
        <v/>
      </c>
      <c r="W6389" t="str">
        <f t="shared" si="3"/>
        <v/>
      </c>
      <c r="X6389" s="4" t="str">
        <f>IF(V6389="","",INDEX(Fornecedores!$X$1:$X$6631,V6389))</f>
        <v/>
      </c>
      <c r="Y6389" s="4" t="str">
        <f t="shared" si="4"/>
        <v/>
      </c>
    </row>
    <row r="6390" spans="19:25">
      <c r="S6390" t="str">
        <f t="shared" si="0"/>
        <v/>
      </c>
      <c r="T6390" t="str">
        <f t="shared" si="1"/>
        <v/>
      </c>
      <c r="U6390" t="str">
        <f t="shared" si="2"/>
        <v/>
      </c>
      <c r="V6390" t="str">
        <f>IF(OR(U6390="",U6390="ERRO_CHAVE"),"",IFERROR(MATCH(U6390,Fornecedores!$AF$1:$AF$6631,0),""))</f>
        <v/>
      </c>
      <c r="W6390" t="str">
        <f t="shared" si="3"/>
        <v/>
      </c>
      <c r="X6390" s="4" t="str">
        <f>IF(V6390="","",INDEX(Fornecedores!$X$1:$X$6631,V6390))</f>
        <v/>
      </c>
      <c r="Y6390" s="4" t="str">
        <f t="shared" si="4"/>
        <v/>
      </c>
    </row>
    <row r="6391" spans="19:25">
      <c r="S6391" t="str">
        <f t="shared" si="0"/>
        <v/>
      </c>
      <c r="T6391" t="str">
        <f t="shared" si="1"/>
        <v/>
      </c>
      <c r="U6391" t="str">
        <f t="shared" si="2"/>
        <v/>
      </c>
      <c r="V6391" t="str">
        <f>IF(OR(U6391="",U6391="ERRO_CHAVE"),"",IFERROR(MATCH(U6391,Fornecedores!$AF$1:$AF$6631,0),""))</f>
        <v/>
      </c>
      <c r="W6391" t="str">
        <f t="shared" si="3"/>
        <v/>
      </c>
      <c r="X6391" s="4" t="str">
        <f>IF(V6391="","",INDEX(Fornecedores!$X$1:$X$6631,V6391))</f>
        <v/>
      </c>
      <c r="Y6391" s="4" t="str">
        <f t="shared" si="4"/>
        <v/>
      </c>
    </row>
    <row r="6392" spans="19:25">
      <c r="S6392" t="str">
        <f t="shared" si="0"/>
        <v/>
      </c>
      <c r="T6392" t="str">
        <f t="shared" si="1"/>
        <v/>
      </c>
      <c r="U6392" t="str">
        <f t="shared" si="2"/>
        <v/>
      </c>
      <c r="V6392" t="str">
        <f>IF(OR(U6392="",U6392="ERRO_CHAVE"),"",IFERROR(MATCH(U6392,Fornecedores!$AF$1:$AF$6631,0),""))</f>
        <v/>
      </c>
      <c r="W6392" t="str">
        <f t="shared" si="3"/>
        <v/>
      </c>
      <c r="X6392" s="4" t="str">
        <f>IF(V6392="","",INDEX(Fornecedores!$X$1:$X$6631,V6392))</f>
        <v/>
      </c>
      <c r="Y6392" s="4" t="str">
        <f t="shared" si="4"/>
        <v/>
      </c>
    </row>
    <row r="6393" spans="19:25">
      <c r="S6393" t="str">
        <f t="shared" si="0"/>
        <v/>
      </c>
      <c r="T6393" t="str">
        <f t="shared" si="1"/>
        <v/>
      </c>
      <c r="U6393" t="str">
        <f t="shared" si="2"/>
        <v/>
      </c>
      <c r="V6393" t="str">
        <f>IF(OR(U6393="",U6393="ERRO_CHAVE"),"",IFERROR(MATCH(U6393,Fornecedores!$AF$1:$AF$6631,0),""))</f>
        <v/>
      </c>
      <c r="W6393" t="str">
        <f t="shared" si="3"/>
        <v/>
      </c>
      <c r="X6393" s="4" t="str">
        <f>IF(V6393="","",INDEX(Fornecedores!$X$1:$X$6631,V6393))</f>
        <v/>
      </c>
      <c r="Y6393" s="4" t="str">
        <f t="shared" si="4"/>
        <v/>
      </c>
    </row>
    <row r="6394" spans="19:25">
      <c r="S6394" t="str">
        <f t="shared" si="0"/>
        <v/>
      </c>
      <c r="T6394" t="str">
        <f t="shared" si="1"/>
        <v/>
      </c>
      <c r="U6394" t="str">
        <f t="shared" si="2"/>
        <v/>
      </c>
      <c r="V6394" t="str">
        <f>IF(OR(U6394="",U6394="ERRO_CHAVE"),"",IFERROR(MATCH(U6394,Fornecedores!$AF$1:$AF$6631,0),""))</f>
        <v/>
      </c>
      <c r="W6394" t="str">
        <f t="shared" si="3"/>
        <v/>
      </c>
      <c r="X6394" s="4" t="str">
        <f>IF(V6394="","",INDEX(Fornecedores!$X$1:$X$6631,V6394))</f>
        <v/>
      </c>
      <c r="Y6394" s="4" t="str">
        <f t="shared" si="4"/>
        <v/>
      </c>
    </row>
    <row r="6395" spans="19:25">
      <c r="S6395" t="str">
        <f t="shared" si="0"/>
        <v/>
      </c>
      <c r="T6395" t="str">
        <f t="shared" si="1"/>
        <v/>
      </c>
      <c r="U6395" t="str">
        <f t="shared" si="2"/>
        <v/>
      </c>
      <c r="V6395" t="str">
        <f>IF(OR(U6395="",U6395="ERRO_CHAVE"),"",IFERROR(MATCH(U6395,Fornecedores!$AF$1:$AF$6631,0),""))</f>
        <v/>
      </c>
      <c r="W6395" t="str">
        <f t="shared" si="3"/>
        <v/>
      </c>
      <c r="X6395" s="4" t="str">
        <f>IF(V6395="","",INDEX(Fornecedores!$X$1:$X$6631,V6395))</f>
        <v/>
      </c>
      <c r="Y6395" s="4" t="str">
        <f t="shared" si="4"/>
        <v/>
      </c>
    </row>
    <row r="6396" spans="19:25">
      <c r="S6396" t="str">
        <f t="shared" si="0"/>
        <v/>
      </c>
      <c r="T6396" t="str">
        <f t="shared" si="1"/>
        <v/>
      </c>
      <c r="U6396" t="str">
        <f t="shared" si="2"/>
        <v/>
      </c>
      <c r="V6396" t="str">
        <f>IF(OR(U6396="",U6396="ERRO_CHAVE"),"",IFERROR(MATCH(U6396,Fornecedores!$AF$1:$AF$6631,0),""))</f>
        <v/>
      </c>
      <c r="W6396" t="str">
        <f t="shared" si="3"/>
        <v/>
      </c>
      <c r="X6396" s="4" t="str">
        <f>IF(V6396="","",INDEX(Fornecedores!$X$1:$X$6631,V6396))</f>
        <v/>
      </c>
      <c r="Y6396" s="4" t="str">
        <f t="shared" si="4"/>
        <v/>
      </c>
    </row>
    <row r="6397" spans="19:25">
      <c r="S6397" t="str">
        <f t="shared" si="0"/>
        <v/>
      </c>
      <c r="T6397" t="str">
        <f t="shared" si="1"/>
        <v/>
      </c>
      <c r="U6397" t="str">
        <f t="shared" si="2"/>
        <v/>
      </c>
      <c r="V6397" t="str">
        <f>IF(OR(U6397="",U6397="ERRO_CHAVE"),"",IFERROR(MATCH(U6397,Fornecedores!$AF$1:$AF$6631,0),""))</f>
        <v/>
      </c>
      <c r="W6397" t="str">
        <f t="shared" si="3"/>
        <v/>
      </c>
      <c r="X6397" s="4" t="str">
        <f>IF(V6397="","",INDEX(Fornecedores!$X$1:$X$6631,V6397))</f>
        <v/>
      </c>
      <c r="Y6397" s="4" t="str">
        <f t="shared" si="4"/>
        <v/>
      </c>
    </row>
    <row r="6398" spans="19:25">
      <c r="S6398" t="str">
        <f t="shared" si="0"/>
        <v/>
      </c>
      <c r="T6398" t="str">
        <f t="shared" si="1"/>
        <v/>
      </c>
      <c r="U6398" t="str">
        <f t="shared" si="2"/>
        <v/>
      </c>
      <c r="V6398" t="str">
        <f>IF(OR(U6398="",U6398="ERRO_CHAVE"),"",IFERROR(MATCH(U6398,Fornecedores!$AF$1:$AF$6631,0),""))</f>
        <v/>
      </c>
      <c r="W6398" t="str">
        <f t="shared" si="3"/>
        <v/>
      </c>
      <c r="X6398" s="4" t="str">
        <f>IF(V6398="","",INDEX(Fornecedores!$X$1:$X$6631,V6398))</f>
        <v/>
      </c>
      <c r="Y6398" s="4" t="str">
        <f t="shared" si="4"/>
        <v/>
      </c>
    </row>
    <row r="6399" spans="19:25">
      <c r="S6399" t="str">
        <f t="shared" si="0"/>
        <v/>
      </c>
      <c r="T6399" t="str">
        <f t="shared" si="1"/>
        <v/>
      </c>
      <c r="U6399" t="str">
        <f t="shared" si="2"/>
        <v/>
      </c>
      <c r="V6399" t="str">
        <f>IF(OR(U6399="",U6399="ERRO_CHAVE"),"",IFERROR(MATCH(U6399,Fornecedores!$AF$1:$AF$6631,0),""))</f>
        <v/>
      </c>
      <c r="W6399" t="str">
        <f t="shared" si="3"/>
        <v/>
      </c>
      <c r="X6399" s="4" t="str">
        <f>IF(V6399="","",INDEX(Fornecedores!$X$1:$X$6631,V6399))</f>
        <v/>
      </c>
      <c r="Y6399" s="4" t="str">
        <f t="shared" si="4"/>
        <v/>
      </c>
    </row>
    <row r="6400" spans="19:25">
      <c r="S6400" t="str">
        <f t="shared" si="0"/>
        <v/>
      </c>
      <c r="T6400" t="str">
        <f t="shared" si="1"/>
        <v/>
      </c>
      <c r="U6400" t="str">
        <f t="shared" si="2"/>
        <v/>
      </c>
      <c r="V6400" t="str">
        <f>IF(OR(U6400="",U6400="ERRO_CHAVE"),"",IFERROR(MATCH(U6400,Fornecedores!$AF$1:$AF$6631,0),""))</f>
        <v/>
      </c>
      <c r="W6400" t="str">
        <f t="shared" si="3"/>
        <v/>
      </c>
      <c r="X6400" s="4" t="str">
        <f>IF(V6400="","",INDEX(Fornecedores!$X$1:$X$6631,V6400))</f>
        <v/>
      </c>
      <c r="Y6400" s="4" t="str">
        <f t="shared" si="4"/>
        <v/>
      </c>
    </row>
    <row r="6401" spans="19:25">
      <c r="S6401" t="str">
        <f t="shared" si="0"/>
        <v/>
      </c>
      <c r="T6401" t="str">
        <f t="shared" si="1"/>
        <v/>
      </c>
      <c r="U6401" t="str">
        <f t="shared" si="2"/>
        <v/>
      </c>
      <c r="V6401" t="str">
        <f>IF(OR(U6401="",U6401="ERRO_CHAVE"),"",IFERROR(MATCH(U6401,Fornecedores!$AF$1:$AF$6631,0),""))</f>
        <v/>
      </c>
      <c r="W6401" t="str">
        <f t="shared" si="3"/>
        <v/>
      </c>
      <c r="X6401" s="4" t="str">
        <f>IF(V6401="","",INDEX(Fornecedores!$X$1:$X$6631,V6401))</f>
        <v/>
      </c>
      <c r="Y6401" s="4" t="str">
        <f t="shared" si="4"/>
        <v/>
      </c>
    </row>
    <row r="6402" spans="19:25">
      <c r="S6402" t="str">
        <f t="shared" si="0"/>
        <v/>
      </c>
      <c r="T6402" t="str">
        <f t="shared" si="1"/>
        <v/>
      </c>
      <c r="U6402" t="str">
        <f t="shared" si="2"/>
        <v/>
      </c>
      <c r="V6402" t="str">
        <f>IF(OR(U6402="",U6402="ERRO_CHAVE"),"",IFERROR(MATCH(U6402,Fornecedores!$AF$1:$AF$6631,0),""))</f>
        <v/>
      </c>
      <c r="W6402" t="str">
        <f t="shared" si="3"/>
        <v/>
      </c>
      <c r="X6402" s="4" t="str">
        <f>IF(V6402="","",INDEX(Fornecedores!$X$1:$X$6631,V6402))</f>
        <v/>
      </c>
      <c r="Y6402" s="4" t="str">
        <f t="shared" si="4"/>
        <v/>
      </c>
    </row>
    <row r="6403" spans="19:25">
      <c r="S6403" t="str">
        <f t="shared" si="0"/>
        <v/>
      </c>
      <c r="T6403" t="str">
        <f t="shared" si="1"/>
        <v/>
      </c>
      <c r="U6403" t="str">
        <f t="shared" si="2"/>
        <v/>
      </c>
      <c r="V6403" t="str">
        <f>IF(OR(U6403="",U6403="ERRO_CHAVE"),"",IFERROR(MATCH(U6403,Fornecedores!$AF$1:$AF$6631,0),""))</f>
        <v/>
      </c>
      <c r="W6403" t="str">
        <f t="shared" si="3"/>
        <v/>
      </c>
      <c r="X6403" s="4" t="str">
        <f>IF(V6403="","",INDEX(Fornecedores!$X$1:$X$6631,V6403))</f>
        <v/>
      </c>
      <c r="Y6403" s="4" t="str">
        <f t="shared" si="4"/>
        <v/>
      </c>
    </row>
    <row r="6404" spans="19:25">
      <c r="S6404" t="str">
        <f t="shared" si="0"/>
        <v/>
      </c>
      <c r="T6404" t="str">
        <f t="shared" si="1"/>
        <v/>
      </c>
      <c r="U6404" t="str">
        <f t="shared" si="2"/>
        <v/>
      </c>
      <c r="V6404" t="str">
        <f>IF(OR(U6404="",U6404="ERRO_CHAVE"),"",IFERROR(MATCH(U6404,Fornecedores!$AF$1:$AF$6631,0),""))</f>
        <v/>
      </c>
      <c r="W6404" t="str">
        <f t="shared" si="3"/>
        <v/>
      </c>
      <c r="X6404" s="4" t="str">
        <f>IF(V6404="","",INDEX(Fornecedores!$X$1:$X$6631,V6404))</f>
        <v/>
      </c>
      <c r="Y6404" s="4" t="str">
        <f t="shared" si="4"/>
        <v/>
      </c>
    </row>
    <row r="6405" spans="19:25">
      <c r="S6405" t="str">
        <f t="shared" si="0"/>
        <v/>
      </c>
      <c r="T6405" t="str">
        <f t="shared" si="1"/>
        <v/>
      </c>
      <c r="U6405" t="str">
        <f t="shared" si="2"/>
        <v/>
      </c>
      <c r="V6405" t="str">
        <f>IF(OR(U6405="",U6405="ERRO_CHAVE"),"",IFERROR(MATCH(U6405,Fornecedores!$AF$1:$AF$6631,0),""))</f>
        <v/>
      </c>
      <c r="W6405" t="str">
        <f t="shared" si="3"/>
        <v/>
      </c>
      <c r="X6405" s="4" t="str">
        <f>IF(V6405="","",INDEX(Fornecedores!$X$1:$X$6631,V6405))</f>
        <v/>
      </c>
      <c r="Y6405" s="4" t="str">
        <f t="shared" si="4"/>
        <v/>
      </c>
    </row>
    <row r="6406" spans="19:25">
      <c r="S6406" t="str">
        <f t="shared" si="0"/>
        <v/>
      </c>
      <c r="T6406" t="str">
        <f t="shared" si="1"/>
        <v/>
      </c>
      <c r="U6406" t="str">
        <f t="shared" si="2"/>
        <v/>
      </c>
      <c r="V6406" t="str">
        <f>IF(OR(U6406="",U6406="ERRO_CHAVE"),"",IFERROR(MATCH(U6406,Fornecedores!$AF$1:$AF$6631,0),""))</f>
        <v/>
      </c>
      <c r="W6406" t="str">
        <f t="shared" si="3"/>
        <v/>
      </c>
      <c r="X6406" s="4" t="str">
        <f>IF(V6406="","",INDEX(Fornecedores!$X$1:$X$6631,V6406))</f>
        <v/>
      </c>
      <c r="Y6406" s="4" t="str">
        <f t="shared" si="4"/>
        <v/>
      </c>
    </row>
    <row r="6407" spans="19:25">
      <c r="S6407" t="str">
        <f t="shared" si="0"/>
        <v/>
      </c>
      <c r="T6407" t="str">
        <f t="shared" si="1"/>
        <v/>
      </c>
      <c r="U6407" t="str">
        <f t="shared" si="2"/>
        <v/>
      </c>
      <c r="V6407" t="str">
        <f>IF(OR(U6407="",U6407="ERRO_CHAVE"),"",IFERROR(MATCH(U6407,Fornecedores!$AF$1:$AF$6631,0),""))</f>
        <v/>
      </c>
      <c r="W6407" t="str">
        <f t="shared" si="3"/>
        <v/>
      </c>
      <c r="X6407" s="4" t="str">
        <f>IF(V6407="","",INDEX(Fornecedores!$X$1:$X$6631,V6407))</f>
        <v/>
      </c>
      <c r="Y6407" s="4" t="str">
        <f t="shared" si="4"/>
        <v/>
      </c>
    </row>
    <row r="6408" spans="19:25">
      <c r="S6408" t="str">
        <f t="shared" si="0"/>
        <v/>
      </c>
      <c r="T6408" t="str">
        <f t="shared" si="1"/>
        <v/>
      </c>
      <c r="U6408" t="str">
        <f t="shared" si="2"/>
        <v/>
      </c>
      <c r="V6408" t="str">
        <f>IF(OR(U6408="",U6408="ERRO_CHAVE"),"",IFERROR(MATCH(U6408,Fornecedores!$AF$1:$AF$6631,0),""))</f>
        <v/>
      </c>
      <c r="W6408" t="str">
        <f t="shared" si="3"/>
        <v/>
      </c>
      <c r="X6408" s="4" t="str">
        <f>IF(V6408="","",INDEX(Fornecedores!$X$1:$X$6631,V6408))</f>
        <v/>
      </c>
      <c r="Y6408" s="4" t="str">
        <f t="shared" si="4"/>
        <v/>
      </c>
    </row>
    <row r="6409" spans="19:25">
      <c r="S6409" t="str">
        <f t="shared" si="0"/>
        <v/>
      </c>
      <c r="T6409" t="str">
        <f t="shared" si="1"/>
        <v/>
      </c>
      <c r="U6409" t="str">
        <f t="shared" si="2"/>
        <v/>
      </c>
      <c r="V6409" t="str">
        <f>IF(OR(U6409="",U6409="ERRO_CHAVE"),"",IFERROR(MATCH(U6409,Fornecedores!$AF$1:$AF$6631,0),""))</f>
        <v/>
      </c>
      <c r="W6409" t="str">
        <f t="shared" si="3"/>
        <v/>
      </c>
      <c r="X6409" s="4" t="str">
        <f>IF(V6409="","",INDEX(Fornecedores!$X$1:$X$6631,V6409))</f>
        <v/>
      </c>
      <c r="Y6409" s="4" t="str">
        <f t="shared" si="4"/>
        <v/>
      </c>
    </row>
    <row r="6410" spans="19:25">
      <c r="S6410" t="str">
        <f t="shared" si="0"/>
        <v/>
      </c>
      <c r="T6410" t="str">
        <f t="shared" si="1"/>
        <v/>
      </c>
      <c r="U6410" t="str">
        <f t="shared" si="2"/>
        <v/>
      </c>
      <c r="V6410" t="str">
        <f>IF(OR(U6410="",U6410="ERRO_CHAVE"),"",IFERROR(MATCH(U6410,Fornecedores!$AF$1:$AF$6631,0),""))</f>
        <v/>
      </c>
      <c r="W6410" t="str">
        <f t="shared" si="3"/>
        <v/>
      </c>
      <c r="X6410" s="4" t="str">
        <f>IF(V6410="","",INDEX(Fornecedores!$X$1:$X$6631,V6410))</f>
        <v/>
      </c>
      <c r="Y6410" s="4" t="str">
        <f t="shared" si="4"/>
        <v/>
      </c>
    </row>
    <row r="6411" spans="19:25">
      <c r="S6411" t="str">
        <f t="shared" si="0"/>
        <v/>
      </c>
      <c r="T6411" t="str">
        <f t="shared" si="1"/>
        <v/>
      </c>
      <c r="U6411" t="str">
        <f t="shared" si="2"/>
        <v/>
      </c>
      <c r="V6411" t="str">
        <f>IF(OR(U6411="",U6411="ERRO_CHAVE"),"",IFERROR(MATCH(U6411,Fornecedores!$AF$1:$AF$6631,0),""))</f>
        <v/>
      </c>
      <c r="W6411" t="str">
        <f t="shared" si="3"/>
        <v/>
      </c>
      <c r="X6411" s="4" t="str">
        <f>IF(V6411="","",INDEX(Fornecedores!$X$1:$X$6631,V6411))</f>
        <v/>
      </c>
      <c r="Y6411" s="4" t="str">
        <f t="shared" si="4"/>
        <v/>
      </c>
    </row>
    <row r="6412" spans="19:25">
      <c r="S6412" t="str">
        <f t="shared" si="0"/>
        <v/>
      </c>
      <c r="T6412" t="str">
        <f t="shared" si="1"/>
        <v/>
      </c>
      <c r="U6412" t="str">
        <f t="shared" si="2"/>
        <v/>
      </c>
      <c r="V6412" t="str">
        <f>IF(OR(U6412="",U6412="ERRO_CHAVE"),"",IFERROR(MATCH(U6412,Fornecedores!$AF$1:$AF$6631,0),""))</f>
        <v/>
      </c>
      <c r="W6412" t="str">
        <f t="shared" si="3"/>
        <v/>
      </c>
      <c r="X6412" s="4" t="str">
        <f>IF(V6412="","",INDEX(Fornecedores!$X$1:$X$6631,V6412))</f>
        <v/>
      </c>
      <c r="Y6412" s="4" t="str">
        <f t="shared" si="4"/>
        <v/>
      </c>
    </row>
    <row r="6413" spans="19:25">
      <c r="S6413" t="str">
        <f t="shared" si="0"/>
        <v/>
      </c>
      <c r="T6413" t="str">
        <f t="shared" si="1"/>
        <v/>
      </c>
      <c r="U6413" t="str">
        <f t="shared" si="2"/>
        <v/>
      </c>
      <c r="V6413" t="str">
        <f>IF(OR(U6413="",U6413="ERRO_CHAVE"),"",IFERROR(MATCH(U6413,Fornecedores!$AF$1:$AF$6631,0),""))</f>
        <v/>
      </c>
      <c r="W6413" t="str">
        <f t="shared" si="3"/>
        <v/>
      </c>
      <c r="X6413" s="4" t="str">
        <f>IF(V6413="","",INDEX(Fornecedores!$X$1:$X$6631,V6413))</f>
        <v/>
      </c>
      <c r="Y6413" s="4" t="str">
        <f t="shared" si="4"/>
        <v/>
      </c>
    </row>
    <row r="6414" spans="19:25">
      <c r="S6414" t="str">
        <f t="shared" si="0"/>
        <v/>
      </c>
      <c r="T6414" t="str">
        <f t="shared" si="1"/>
        <v/>
      </c>
      <c r="U6414" t="str">
        <f t="shared" si="2"/>
        <v/>
      </c>
      <c r="V6414" t="str">
        <f>IF(OR(U6414="",U6414="ERRO_CHAVE"),"",IFERROR(MATCH(U6414,Fornecedores!$AF$1:$AF$6631,0),""))</f>
        <v/>
      </c>
      <c r="W6414" t="str">
        <f t="shared" si="3"/>
        <v/>
      </c>
      <c r="X6414" s="4" t="str">
        <f>IF(V6414="","",INDEX(Fornecedores!$X$1:$X$6631,V6414))</f>
        <v/>
      </c>
      <c r="Y6414" s="4" t="str">
        <f t="shared" si="4"/>
        <v/>
      </c>
    </row>
    <row r="6415" spans="19:25">
      <c r="S6415" t="str">
        <f t="shared" si="0"/>
        <v/>
      </c>
      <c r="T6415" t="str">
        <f t="shared" si="1"/>
        <v/>
      </c>
      <c r="U6415" t="str">
        <f t="shared" si="2"/>
        <v/>
      </c>
      <c r="V6415" t="str">
        <f>IF(OR(U6415="",U6415="ERRO_CHAVE"),"",IFERROR(MATCH(U6415,Fornecedores!$AF$1:$AF$6631,0),""))</f>
        <v/>
      </c>
      <c r="W6415" t="str">
        <f t="shared" si="3"/>
        <v/>
      </c>
      <c r="X6415" s="4" t="str">
        <f>IF(V6415="","",INDEX(Fornecedores!$X$1:$X$6631,V6415))</f>
        <v/>
      </c>
      <c r="Y6415" s="4" t="str">
        <f t="shared" si="4"/>
        <v/>
      </c>
    </row>
    <row r="6416" spans="19:25">
      <c r="S6416" t="str">
        <f t="shared" si="0"/>
        <v/>
      </c>
      <c r="T6416" t="str">
        <f t="shared" si="1"/>
        <v/>
      </c>
      <c r="U6416" t="str">
        <f t="shared" si="2"/>
        <v/>
      </c>
      <c r="V6416" t="str">
        <f>IF(OR(U6416="",U6416="ERRO_CHAVE"),"",IFERROR(MATCH(U6416,Fornecedores!$AF$1:$AF$6631,0),""))</f>
        <v/>
      </c>
      <c r="W6416" t="str">
        <f t="shared" si="3"/>
        <v/>
      </c>
      <c r="X6416" s="4" t="str">
        <f>IF(V6416="","",INDEX(Fornecedores!$X$1:$X$6631,V6416))</f>
        <v/>
      </c>
      <c r="Y6416" s="4" t="str">
        <f t="shared" si="4"/>
        <v/>
      </c>
    </row>
    <row r="6417" spans="19:25">
      <c r="S6417" t="str">
        <f t="shared" si="0"/>
        <v/>
      </c>
      <c r="T6417" t="str">
        <f t="shared" si="1"/>
        <v/>
      </c>
      <c r="U6417" t="str">
        <f t="shared" si="2"/>
        <v/>
      </c>
      <c r="V6417" t="str">
        <f>IF(OR(U6417="",U6417="ERRO_CHAVE"),"",IFERROR(MATCH(U6417,Fornecedores!$AF$1:$AF$6631,0),""))</f>
        <v/>
      </c>
      <c r="W6417" t="str">
        <f t="shared" si="3"/>
        <v/>
      </c>
      <c r="X6417" s="4" t="str">
        <f>IF(V6417="","",INDEX(Fornecedores!$X$1:$X$6631,V6417))</f>
        <v/>
      </c>
      <c r="Y6417" s="4" t="str">
        <f t="shared" si="4"/>
        <v/>
      </c>
    </row>
    <row r="6418" spans="19:25">
      <c r="S6418" t="str">
        <f t="shared" si="0"/>
        <v/>
      </c>
      <c r="T6418" t="str">
        <f t="shared" si="1"/>
        <v/>
      </c>
      <c r="U6418" t="str">
        <f t="shared" si="2"/>
        <v/>
      </c>
      <c r="V6418" t="str">
        <f>IF(OR(U6418="",U6418="ERRO_CHAVE"),"",IFERROR(MATCH(U6418,Fornecedores!$AF$1:$AF$6631,0),""))</f>
        <v/>
      </c>
      <c r="W6418" t="str">
        <f t="shared" si="3"/>
        <v/>
      </c>
      <c r="X6418" s="4" t="str">
        <f>IF(V6418="","",INDEX(Fornecedores!$X$1:$X$6631,V6418))</f>
        <v/>
      </c>
      <c r="Y6418" s="4" t="str">
        <f t="shared" si="4"/>
        <v/>
      </c>
    </row>
    <row r="6419" spans="19:25">
      <c r="S6419" t="str">
        <f t="shared" si="0"/>
        <v/>
      </c>
      <c r="T6419" t="str">
        <f t="shared" si="1"/>
        <v/>
      </c>
      <c r="U6419" t="str">
        <f t="shared" si="2"/>
        <v/>
      </c>
      <c r="V6419" t="str">
        <f>IF(OR(U6419="",U6419="ERRO_CHAVE"),"",IFERROR(MATCH(U6419,Fornecedores!$AF$1:$AF$6631,0),""))</f>
        <v/>
      </c>
      <c r="W6419" t="str">
        <f t="shared" si="3"/>
        <v/>
      </c>
      <c r="X6419" s="4" t="str">
        <f>IF(V6419="","",INDEX(Fornecedores!$X$1:$X$6631,V6419))</f>
        <v/>
      </c>
      <c r="Y6419" s="4" t="str">
        <f t="shared" si="4"/>
        <v/>
      </c>
    </row>
    <row r="6420" spans="19:25">
      <c r="S6420" t="str">
        <f t="shared" si="0"/>
        <v/>
      </c>
      <c r="T6420" t="str">
        <f t="shared" si="1"/>
        <v/>
      </c>
      <c r="U6420" t="str">
        <f t="shared" si="2"/>
        <v/>
      </c>
      <c r="V6420" t="str">
        <f>IF(OR(U6420="",U6420="ERRO_CHAVE"),"",IFERROR(MATCH(U6420,Fornecedores!$AF$1:$AF$6631,0),""))</f>
        <v/>
      </c>
      <c r="W6420" t="str">
        <f t="shared" si="3"/>
        <v/>
      </c>
      <c r="X6420" s="4" t="str">
        <f>IF(V6420="","",INDEX(Fornecedores!$X$1:$X$6631,V6420))</f>
        <v/>
      </c>
      <c r="Y6420" s="4" t="str">
        <f t="shared" si="4"/>
        <v/>
      </c>
    </row>
    <row r="6421" spans="19:25">
      <c r="S6421" t="str">
        <f t="shared" si="0"/>
        <v/>
      </c>
      <c r="T6421" t="str">
        <f t="shared" si="1"/>
        <v/>
      </c>
      <c r="U6421" t="str">
        <f t="shared" si="2"/>
        <v/>
      </c>
      <c r="V6421" t="str">
        <f>IF(OR(U6421="",U6421="ERRO_CHAVE"),"",IFERROR(MATCH(U6421,Fornecedores!$AF$1:$AF$6631,0),""))</f>
        <v/>
      </c>
      <c r="W6421" t="str">
        <f t="shared" si="3"/>
        <v/>
      </c>
      <c r="X6421" s="4" t="str">
        <f>IF(V6421="","",INDEX(Fornecedores!$X$1:$X$6631,V6421))</f>
        <v/>
      </c>
      <c r="Y6421" s="4" t="str">
        <f t="shared" si="4"/>
        <v/>
      </c>
    </row>
    <row r="6422" spans="19:25">
      <c r="S6422" t="str">
        <f t="shared" si="0"/>
        <v/>
      </c>
      <c r="T6422" t="str">
        <f t="shared" si="1"/>
        <v/>
      </c>
      <c r="U6422" t="str">
        <f t="shared" si="2"/>
        <v/>
      </c>
      <c r="V6422" t="str">
        <f>IF(OR(U6422="",U6422="ERRO_CHAVE"),"",IFERROR(MATCH(U6422,Fornecedores!$AF$1:$AF$6631,0),""))</f>
        <v/>
      </c>
      <c r="W6422" t="str">
        <f t="shared" si="3"/>
        <v/>
      </c>
      <c r="X6422" s="4" t="str">
        <f>IF(V6422="","",INDEX(Fornecedores!$X$1:$X$6631,V6422))</f>
        <v/>
      </c>
      <c r="Y6422" s="4" t="str">
        <f t="shared" si="4"/>
        <v/>
      </c>
    </row>
    <row r="6423" spans="19:25">
      <c r="S6423" t="str">
        <f t="shared" si="0"/>
        <v/>
      </c>
      <c r="T6423" t="str">
        <f t="shared" si="1"/>
        <v/>
      </c>
      <c r="U6423" t="str">
        <f t="shared" si="2"/>
        <v/>
      </c>
      <c r="V6423" t="str">
        <f>IF(OR(U6423="",U6423="ERRO_CHAVE"),"",IFERROR(MATCH(U6423,Fornecedores!$AF$1:$AF$6631,0),""))</f>
        <v/>
      </c>
      <c r="W6423" t="str">
        <f t="shared" si="3"/>
        <v/>
      </c>
      <c r="X6423" s="4" t="str">
        <f>IF(V6423="","",INDEX(Fornecedores!$X$1:$X$6631,V6423))</f>
        <v/>
      </c>
      <c r="Y6423" s="4" t="str">
        <f t="shared" si="4"/>
        <v/>
      </c>
    </row>
    <row r="6424" spans="19:25">
      <c r="S6424" t="str">
        <f t="shared" si="0"/>
        <v/>
      </c>
      <c r="T6424" t="str">
        <f t="shared" si="1"/>
        <v/>
      </c>
      <c r="U6424" t="str">
        <f t="shared" si="2"/>
        <v/>
      </c>
      <c r="V6424" t="str">
        <f>IF(OR(U6424="",U6424="ERRO_CHAVE"),"",IFERROR(MATCH(U6424,Fornecedores!$AF$1:$AF$6631,0),""))</f>
        <v/>
      </c>
      <c r="W6424" t="str">
        <f t="shared" si="3"/>
        <v/>
      </c>
      <c r="X6424" s="4" t="str">
        <f>IF(V6424="","",INDEX(Fornecedores!$X$1:$X$6631,V6424))</f>
        <v/>
      </c>
      <c r="Y6424" s="4" t="str">
        <f t="shared" si="4"/>
        <v/>
      </c>
    </row>
    <row r="6425" spans="19:25">
      <c r="S6425" t="str">
        <f t="shared" si="0"/>
        <v/>
      </c>
      <c r="T6425" t="str">
        <f t="shared" si="1"/>
        <v/>
      </c>
      <c r="U6425" t="str">
        <f t="shared" si="2"/>
        <v/>
      </c>
      <c r="V6425" t="str">
        <f>IF(OR(U6425="",U6425="ERRO_CHAVE"),"",IFERROR(MATCH(U6425,Fornecedores!$AF$1:$AF$6631,0),""))</f>
        <v/>
      </c>
      <c r="W6425" t="str">
        <f t="shared" si="3"/>
        <v/>
      </c>
      <c r="X6425" s="4" t="str">
        <f>IF(V6425="","",INDEX(Fornecedores!$X$1:$X$6631,V6425))</f>
        <v/>
      </c>
      <c r="Y6425" s="4" t="str">
        <f t="shared" si="4"/>
        <v/>
      </c>
    </row>
    <row r="6426" spans="19:25">
      <c r="S6426" t="str">
        <f t="shared" si="0"/>
        <v/>
      </c>
      <c r="T6426" t="str">
        <f t="shared" si="1"/>
        <v/>
      </c>
      <c r="U6426" t="str">
        <f t="shared" si="2"/>
        <v/>
      </c>
      <c r="V6426" t="str">
        <f>IF(OR(U6426="",U6426="ERRO_CHAVE"),"",IFERROR(MATCH(U6426,Fornecedores!$AF$1:$AF$6631,0),""))</f>
        <v/>
      </c>
      <c r="W6426" t="str">
        <f t="shared" si="3"/>
        <v/>
      </c>
      <c r="X6426" s="4" t="str">
        <f>IF(V6426="","",INDEX(Fornecedores!$X$1:$X$6631,V6426))</f>
        <v/>
      </c>
      <c r="Y6426" s="4" t="str">
        <f t="shared" si="4"/>
        <v/>
      </c>
    </row>
    <row r="6427" spans="19:25">
      <c r="S6427" t="str">
        <f t="shared" si="0"/>
        <v/>
      </c>
      <c r="T6427" t="str">
        <f t="shared" si="1"/>
        <v/>
      </c>
      <c r="U6427" t="str">
        <f t="shared" si="2"/>
        <v/>
      </c>
      <c r="V6427" t="str">
        <f>IF(OR(U6427="",U6427="ERRO_CHAVE"),"",IFERROR(MATCH(U6427,Fornecedores!$AF$1:$AF$6631,0),""))</f>
        <v/>
      </c>
      <c r="W6427" t="str">
        <f t="shared" si="3"/>
        <v/>
      </c>
      <c r="X6427" s="4" t="str">
        <f>IF(V6427="","",INDEX(Fornecedores!$X$1:$X$6631,V6427))</f>
        <v/>
      </c>
      <c r="Y6427" s="4" t="str">
        <f t="shared" si="4"/>
        <v/>
      </c>
    </row>
    <row r="6428" spans="19:25">
      <c r="S6428" t="str">
        <f t="shared" si="0"/>
        <v/>
      </c>
      <c r="T6428" t="str">
        <f t="shared" si="1"/>
        <v/>
      </c>
      <c r="U6428" t="str">
        <f t="shared" si="2"/>
        <v/>
      </c>
      <c r="V6428" t="str">
        <f>IF(OR(U6428="",U6428="ERRO_CHAVE"),"",IFERROR(MATCH(U6428,Fornecedores!$AF$1:$AF$6631,0),""))</f>
        <v/>
      </c>
      <c r="W6428" t="str">
        <f t="shared" si="3"/>
        <v/>
      </c>
      <c r="X6428" s="4" t="str">
        <f>IF(V6428="","",INDEX(Fornecedores!$X$1:$X$6631,V6428))</f>
        <v/>
      </c>
      <c r="Y6428" s="4" t="str">
        <f t="shared" si="4"/>
        <v/>
      </c>
    </row>
    <row r="6429" spans="19:25">
      <c r="S6429" t="str">
        <f t="shared" si="0"/>
        <v/>
      </c>
      <c r="T6429" t="str">
        <f t="shared" si="1"/>
        <v/>
      </c>
      <c r="U6429" t="str">
        <f t="shared" si="2"/>
        <v/>
      </c>
      <c r="V6429" t="str">
        <f>IF(OR(U6429="",U6429="ERRO_CHAVE"),"",IFERROR(MATCH(U6429,Fornecedores!$AF$1:$AF$6631,0),""))</f>
        <v/>
      </c>
      <c r="W6429" t="str">
        <f t="shared" si="3"/>
        <v/>
      </c>
      <c r="X6429" s="4" t="str">
        <f>IF(V6429="","",INDEX(Fornecedores!$X$1:$X$6631,V6429))</f>
        <v/>
      </c>
      <c r="Y6429" s="4" t="str">
        <f t="shared" si="4"/>
        <v/>
      </c>
    </row>
    <row r="6430" spans="19:25">
      <c r="S6430" t="str">
        <f t="shared" si="0"/>
        <v/>
      </c>
      <c r="T6430" t="str">
        <f t="shared" si="1"/>
        <v/>
      </c>
      <c r="U6430" t="str">
        <f t="shared" si="2"/>
        <v/>
      </c>
      <c r="V6430" t="str">
        <f>IF(OR(U6430="",U6430="ERRO_CHAVE"),"",IFERROR(MATCH(U6430,Fornecedores!$AF$1:$AF$6631,0),""))</f>
        <v/>
      </c>
      <c r="W6430" t="str">
        <f t="shared" si="3"/>
        <v/>
      </c>
      <c r="X6430" s="4" t="str">
        <f>IF(V6430="","",INDEX(Fornecedores!$X$1:$X$6631,V6430))</f>
        <v/>
      </c>
      <c r="Y6430" s="4" t="str">
        <f t="shared" si="4"/>
        <v/>
      </c>
    </row>
    <row r="6431" spans="19:25">
      <c r="S6431" t="str">
        <f t="shared" si="0"/>
        <v/>
      </c>
      <c r="T6431" t="str">
        <f t="shared" si="1"/>
        <v/>
      </c>
      <c r="U6431" t="str">
        <f t="shared" si="2"/>
        <v/>
      </c>
      <c r="V6431" t="str">
        <f>IF(OR(U6431="",U6431="ERRO_CHAVE"),"",IFERROR(MATCH(U6431,Fornecedores!$AF$1:$AF$6631,0),""))</f>
        <v/>
      </c>
      <c r="W6431" t="str">
        <f t="shared" si="3"/>
        <v/>
      </c>
      <c r="X6431" s="4" t="str">
        <f>IF(V6431="","",INDEX(Fornecedores!$X$1:$X$6631,V6431))</f>
        <v/>
      </c>
      <c r="Y6431" s="4" t="str">
        <f t="shared" si="4"/>
        <v/>
      </c>
    </row>
    <row r="6432" spans="19:25">
      <c r="S6432" t="str">
        <f t="shared" si="0"/>
        <v/>
      </c>
      <c r="T6432" t="str">
        <f t="shared" si="1"/>
        <v/>
      </c>
      <c r="U6432" t="str">
        <f t="shared" si="2"/>
        <v/>
      </c>
      <c r="V6432" t="str">
        <f>IF(OR(U6432="",U6432="ERRO_CHAVE"),"",IFERROR(MATCH(U6432,Fornecedores!$AF$1:$AF$6631,0),""))</f>
        <v/>
      </c>
      <c r="W6432" t="str">
        <f t="shared" si="3"/>
        <v/>
      </c>
      <c r="X6432" s="4" t="str">
        <f>IF(V6432="","",INDEX(Fornecedores!$X$1:$X$6631,V6432))</f>
        <v/>
      </c>
      <c r="Y6432" s="4" t="str">
        <f t="shared" si="4"/>
        <v/>
      </c>
    </row>
    <row r="6433" spans="19:25">
      <c r="S6433" t="str">
        <f t="shared" si="0"/>
        <v/>
      </c>
      <c r="T6433" t="str">
        <f t="shared" si="1"/>
        <v/>
      </c>
      <c r="U6433" t="str">
        <f t="shared" si="2"/>
        <v/>
      </c>
      <c r="V6433" t="str">
        <f>IF(OR(U6433="",U6433="ERRO_CHAVE"),"",IFERROR(MATCH(U6433,Fornecedores!$AF$1:$AF$6631,0),""))</f>
        <v/>
      </c>
      <c r="W6433" t="str">
        <f t="shared" si="3"/>
        <v/>
      </c>
      <c r="X6433" s="4" t="str">
        <f>IF(V6433="","",INDEX(Fornecedores!$X$1:$X$6631,V6433))</f>
        <v/>
      </c>
      <c r="Y6433" s="4" t="str">
        <f t="shared" si="4"/>
        <v/>
      </c>
    </row>
    <row r="6434" spans="19:25">
      <c r="S6434" t="str">
        <f t="shared" si="0"/>
        <v/>
      </c>
      <c r="T6434" t="str">
        <f t="shared" si="1"/>
        <v/>
      </c>
      <c r="U6434" t="str">
        <f t="shared" si="2"/>
        <v/>
      </c>
      <c r="V6434" t="str">
        <f>IF(OR(U6434="",U6434="ERRO_CHAVE"),"",IFERROR(MATCH(U6434,Fornecedores!$AF$1:$AF$6631,0),""))</f>
        <v/>
      </c>
      <c r="W6434" t="str">
        <f t="shared" si="3"/>
        <v/>
      </c>
      <c r="X6434" s="4" t="str">
        <f>IF(V6434="","",INDEX(Fornecedores!$X$1:$X$6631,V6434))</f>
        <v/>
      </c>
      <c r="Y6434" s="4" t="str">
        <f t="shared" si="4"/>
        <v/>
      </c>
    </row>
    <row r="6435" spans="19:25">
      <c r="S6435" t="str">
        <f t="shared" si="0"/>
        <v/>
      </c>
      <c r="T6435" t="str">
        <f t="shared" si="1"/>
        <v/>
      </c>
      <c r="U6435" t="str">
        <f t="shared" si="2"/>
        <v/>
      </c>
      <c r="V6435" t="str">
        <f>IF(OR(U6435="",U6435="ERRO_CHAVE"),"",IFERROR(MATCH(U6435,Fornecedores!$AF$1:$AF$6631,0),""))</f>
        <v/>
      </c>
      <c r="W6435" t="str">
        <f t="shared" si="3"/>
        <v/>
      </c>
      <c r="X6435" s="4" t="str">
        <f>IF(V6435="","",INDEX(Fornecedores!$X$1:$X$6631,V6435))</f>
        <v/>
      </c>
      <c r="Y6435" s="4" t="str">
        <f t="shared" si="4"/>
        <v/>
      </c>
    </row>
    <row r="6436" spans="19:25">
      <c r="S6436" t="str">
        <f t="shared" si="0"/>
        <v/>
      </c>
      <c r="T6436" t="str">
        <f t="shared" si="1"/>
        <v/>
      </c>
      <c r="U6436" t="str">
        <f t="shared" si="2"/>
        <v/>
      </c>
      <c r="V6436" t="str">
        <f>IF(OR(U6436="",U6436="ERRO_CHAVE"),"",IFERROR(MATCH(U6436,Fornecedores!$AF$1:$AF$6631,0),""))</f>
        <v/>
      </c>
      <c r="W6436" t="str">
        <f t="shared" si="3"/>
        <v/>
      </c>
      <c r="X6436" s="4" t="str">
        <f>IF(V6436="","",INDEX(Fornecedores!$X$1:$X$6631,V6436))</f>
        <v/>
      </c>
      <c r="Y6436" s="4" t="str">
        <f t="shared" si="4"/>
        <v/>
      </c>
    </row>
    <row r="6437" spans="19:25">
      <c r="S6437" t="str">
        <f t="shared" si="0"/>
        <v/>
      </c>
      <c r="T6437" t="str">
        <f t="shared" si="1"/>
        <v/>
      </c>
      <c r="U6437" t="str">
        <f t="shared" si="2"/>
        <v/>
      </c>
      <c r="V6437" t="str">
        <f>IF(OR(U6437="",U6437="ERRO_CHAVE"),"",IFERROR(MATCH(U6437,Fornecedores!$AF$1:$AF$6631,0),""))</f>
        <v/>
      </c>
      <c r="W6437" t="str">
        <f t="shared" si="3"/>
        <v/>
      </c>
      <c r="X6437" s="4" t="str">
        <f>IF(V6437="","",INDEX(Fornecedores!$X$1:$X$6631,V6437))</f>
        <v/>
      </c>
      <c r="Y6437" s="4" t="str">
        <f t="shared" si="4"/>
        <v/>
      </c>
    </row>
    <row r="6438" spans="19:25">
      <c r="S6438" t="str">
        <f t="shared" si="0"/>
        <v/>
      </c>
      <c r="T6438" t="str">
        <f t="shared" si="1"/>
        <v/>
      </c>
      <c r="U6438" t="str">
        <f t="shared" si="2"/>
        <v/>
      </c>
      <c r="V6438" t="str">
        <f>IF(OR(U6438="",U6438="ERRO_CHAVE"),"",IFERROR(MATCH(U6438,Fornecedores!$AF$1:$AF$6631,0),""))</f>
        <v/>
      </c>
      <c r="W6438" t="str">
        <f t="shared" si="3"/>
        <v/>
      </c>
      <c r="X6438" s="4" t="str">
        <f>IF(V6438="","",INDEX(Fornecedores!$X$1:$X$6631,V6438))</f>
        <v/>
      </c>
      <c r="Y6438" s="4" t="str">
        <f t="shared" si="4"/>
        <v/>
      </c>
    </row>
    <row r="6439" spans="19:25">
      <c r="S6439" t="str">
        <f t="shared" si="0"/>
        <v/>
      </c>
      <c r="T6439" t="str">
        <f t="shared" si="1"/>
        <v/>
      </c>
      <c r="U6439" t="str">
        <f t="shared" si="2"/>
        <v/>
      </c>
      <c r="V6439" t="str">
        <f>IF(OR(U6439="",U6439="ERRO_CHAVE"),"",IFERROR(MATCH(U6439,Fornecedores!$AF$1:$AF$6631,0),""))</f>
        <v/>
      </c>
      <c r="W6439" t="str">
        <f t="shared" si="3"/>
        <v/>
      </c>
      <c r="X6439" s="4" t="str">
        <f>IF(V6439="","",INDEX(Fornecedores!$X$1:$X$6631,V6439))</f>
        <v/>
      </c>
      <c r="Y6439" s="4" t="str">
        <f t="shared" si="4"/>
        <v/>
      </c>
    </row>
    <row r="6440" spans="19:25">
      <c r="S6440" t="str">
        <f t="shared" si="0"/>
        <v/>
      </c>
      <c r="T6440" t="str">
        <f t="shared" si="1"/>
        <v/>
      </c>
      <c r="U6440" t="str">
        <f t="shared" si="2"/>
        <v/>
      </c>
      <c r="V6440" t="str">
        <f>IF(OR(U6440="",U6440="ERRO_CHAVE"),"",IFERROR(MATCH(U6440,Fornecedores!$AF$1:$AF$6631,0),""))</f>
        <v/>
      </c>
      <c r="W6440" t="str">
        <f t="shared" si="3"/>
        <v/>
      </c>
      <c r="X6440" s="4" t="str">
        <f>IF(V6440="","",INDEX(Fornecedores!$X$1:$X$6631,V6440))</f>
        <v/>
      </c>
      <c r="Y6440" s="4" t="str">
        <f t="shared" si="4"/>
        <v/>
      </c>
    </row>
    <row r="6441" spans="19:25">
      <c r="S6441" t="str">
        <f t="shared" si="0"/>
        <v/>
      </c>
      <c r="T6441" t="str">
        <f t="shared" si="1"/>
        <v/>
      </c>
      <c r="U6441" t="str">
        <f t="shared" si="2"/>
        <v/>
      </c>
      <c r="V6441" t="str">
        <f>IF(OR(U6441="",U6441="ERRO_CHAVE"),"",IFERROR(MATCH(U6441,Fornecedores!$AF$1:$AF$6631,0),""))</f>
        <v/>
      </c>
      <c r="W6441" t="str">
        <f t="shared" si="3"/>
        <v/>
      </c>
      <c r="X6441" s="4" t="str">
        <f>IF(V6441="","",INDEX(Fornecedores!$X$1:$X$6631,V6441))</f>
        <v/>
      </c>
      <c r="Y6441" s="4" t="str">
        <f t="shared" si="4"/>
        <v/>
      </c>
    </row>
    <row r="6442" spans="19:25">
      <c r="S6442" t="str">
        <f t="shared" si="0"/>
        <v/>
      </c>
      <c r="T6442" t="str">
        <f t="shared" si="1"/>
        <v/>
      </c>
      <c r="U6442" t="str">
        <f t="shared" si="2"/>
        <v/>
      </c>
      <c r="V6442" t="str">
        <f>IF(OR(U6442="",U6442="ERRO_CHAVE"),"",IFERROR(MATCH(U6442,Fornecedores!$AF$1:$AF$6631,0),""))</f>
        <v/>
      </c>
      <c r="W6442" t="str">
        <f t="shared" si="3"/>
        <v/>
      </c>
      <c r="X6442" s="4" t="str">
        <f>IF(V6442="","",INDEX(Fornecedores!$X$1:$X$6631,V6442))</f>
        <v/>
      </c>
      <c r="Y6442" s="4" t="str">
        <f t="shared" si="4"/>
        <v/>
      </c>
    </row>
    <row r="6443" spans="19:25">
      <c r="S6443" t="str">
        <f t="shared" si="0"/>
        <v/>
      </c>
      <c r="T6443" t="str">
        <f t="shared" si="1"/>
        <v/>
      </c>
      <c r="U6443" t="str">
        <f t="shared" si="2"/>
        <v/>
      </c>
      <c r="V6443" t="str">
        <f>IF(OR(U6443="",U6443="ERRO_CHAVE"),"",IFERROR(MATCH(U6443,Fornecedores!$AF$1:$AF$6631,0),""))</f>
        <v/>
      </c>
      <c r="W6443" t="str">
        <f t="shared" si="3"/>
        <v/>
      </c>
      <c r="X6443" s="4" t="str">
        <f>IF(V6443="","",INDEX(Fornecedores!$X$1:$X$6631,V6443))</f>
        <v/>
      </c>
      <c r="Y6443" s="4" t="str">
        <f t="shared" si="4"/>
        <v/>
      </c>
    </row>
    <row r="6444" spans="19:25">
      <c r="S6444" t="str">
        <f t="shared" si="0"/>
        <v/>
      </c>
      <c r="T6444" t="str">
        <f t="shared" si="1"/>
        <v/>
      </c>
      <c r="U6444" t="str">
        <f t="shared" si="2"/>
        <v/>
      </c>
      <c r="V6444" t="str">
        <f>IF(OR(U6444="",U6444="ERRO_CHAVE"),"",IFERROR(MATCH(U6444,Fornecedores!$AF$1:$AF$6631,0),""))</f>
        <v/>
      </c>
      <c r="W6444" t="str">
        <f t="shared" si="3"/>
        <v/>
      </c>
      <c r="X6444" s="4" t="str">
        <f>IF(V6444="","",INDEX(Fornecedores!$X$1:$X$6631,V6444))</f>
        <v/>
      </c>
      <c r="Y6444" s="4" t="str">
        <f t="shared" si="4"/>
        <v/>
      </c>
    </row>
    <row r="6445" spans="19:25">
      <c r="S6445" t="str">
        <f t="shared" si="0"/>
        <v/>
      </c>
      <c r="T6445" t="str">
        <f t="shared" si="1"/>
        <v/>
      </c>
      <c r="U6445" t="str">
        <f t="shared" si="2"/>
        <v/>
      </c>
      <c r="V6445" t="str">
        <f>IF(OR(U6445="",U6445="ERRO_CHAVE"),"",IFERROR(MATCH(U6445,Fornecedores!$AF$1:$AF$6631,0),""))</f>
        <v/>
      </c>
      <c r="W6445" t="str">
        <f t="shared" si="3"/>
        <v/>
      </c>
      <c r="X6445" s="4" t="str">
        <f>IF(V6445="","",INDEX(Fornecedores!$X$1:$X$6631,V6445))</f>
        <v/>
      </c>
      <c r="Y6445" s="4" t="str">
        <f t="shared" si="4"/>
        <v/>
      </c>
    </row>
    <row r="6446" spans="19:25">
      <c r="S6446" t="str">
        <f t="shared" si="0"/>
        <v/>
      </c>
      <c r="T6446" t="str">
        <f t="shared" si="1"/>
        <v/>
      </c>
      <c r="U6446" t="str">
        <f t="shared" si="2"/>
        <v/>
      </c>
      <c r="V6446" t="str">
        <f>IF(OR(U6446="",U6446="ERRO_CHAVE"),"",IFERROR(MATCH(U6446,Fornecedores!$AF$1:$AF$6631,0),""))</f>
        <v/>
      </c>
      <c r="W6446" t="str">
        <f t="shared" si="3"/>
        <v/>
      </c>
      <c r="X6446" s="4" t="str">
        <f>IF(V6446="","",INDEX(Fornecedores!$X$1:$X$6631,V6446))</f>
        <v/>
      </c>
      <c r="Y6446" s="4" t="str">
        <f t="shared" si="4"/>
        <v/>
      </c>
    </row>
    <row r="6447" spans="19:25">
      <c r="S6447" t="str">
        <f t="shared" si="0"/>
        <v/>
      </c>
      <c r="T6447" t="str">
        <f t="shared" si="1"/>
        <v/>
      </c>
      <c r="U6447" t="str">
        <f t="shared" si="2"/>
        <v/>
      </c>
      <c r="V6447" t="str">
        <f>IF(OR(U6447="",U6447="ERRO_CHAVE"),"",IFERROR(MATCH(U6447,Fornecedores!$AF$1:$AF$6631,0),""))</f>
        <v/>
      </c>
      <c r="W6447" t="str">
        <f t="shared" si="3"/>
        <v/>
      </c>
      <c r="X6447" s="4" t="str">
        <f>IF(V6447="","",INDEX(Fornecedores!$X$1:$X$6631,V6447))</f>
        <v/>
      </c>
      <c r="Y6447" s="4" t="str">
        <f t="shared" si="4"/>
        <v/>
      </c>
    </row>
    <row r="6448" spans="19:25">
      <c r="S6448" t="str">
        <f t="shared" si="0"/>
        <v/>
      </c>
      <c r="T6448" t="str">
        <f t="shared" si="1"/>
        <v/>
      </c>
      <c r="U6448" t="str">
        <f t="shared" si="2"/>
        <v/>
      </c>
      <c r="V6448" t="str">
        <f>IF(OR(U6448="",U6448="ERRO_CHAVE"),"",IFERROR(MATCH(U6448,Fornecedores!$AF$1:$AF$6631,0),""))</f>
        <v/>
      </c>
      <c r="W6448" t="str">
        <f t="shared" si="3"/>
        <v/>
      </c>
      <c r="X6448" s="4" t="str">
        <f>IF(V6448="","",INDEX(Fornecedores!$X$1:$X$6631,V6448))</f>
        <v/>
      </c>
      <c r="Y6448" s="4" t="str">
        <f t="shared" si="4"/>
        <v/>
      </c>
    </row>
    <row r="6449" spans="19:25">
      <c r="S6449" t="str">
        <f t="shared" si="0"/>
        <v/>
      </c>
      <c r="T6449" t="str">
        <f t="shared" si="1"/>
        <v/>
      </c>
      <c r="U6449" t="str">
        <f t="shared" si="2"/>
        <v/>
      </c>
      <c r="V6449" t="str">
        <f>IF(OR(U6449="",U6449="ERRO_CHAVE"),"",IFERROR(MATCH(U6449,Fornecedores!$AF$1:$AF$6631,0),""))</f>
        <v/>
      </c>
      <c r="W6449" t="str">
        <f t="shared" si="3"/>
        <v/>
      </c>
      <c r="X6449" s="4" t="str">
        <f>IF(V6449="","",INDEX(Fornecedores!$X$1:$X$6631,V6449))</f>
        <v/>
      </c>
      <c r="Y6449" s="4" t="str">
        <f t="shared" si="4"/>
        <v/>
      </c>
    </row>
    <row r="6450" spans="19:25">
      <c r="S6450" t="str">
        <f t="shared" si="0"/>
        <v/>
      </c>
      <c r="T6450" t="str">
        <f t="shared" si="1"/>
        <v/>
      </c>
      <c r="U6450" t="str">
        <f t="shared" si="2"/>
        <v/>
      </c>
      <c r="V6450" t="str">
        <f>IF(OR(U6450="",U6450="ERRO_CHAVE"),"",IFERROR(MATCH(U6450,Fornecedores!$AF$1:$AF$6631,0),""))</f>
        <v/>
      </c>
      <c r="W6450" t="str">
        <f t="shared" si="3"/>
        <v/>
      </c>
      <c r="X6450" s="4" t="str">
        <f>IF(V6450="","",INDEX(Fornecedores!$X$1:$X$6631,V6450))</f>
        <v/>
      </c>
      <c r="Y6450" s="4" t="str">
        <f t="shared" si="4"/>
        <v/>
      </c>
    </row>
    <row r="6451" spans="19:25">
      <c r="S6451" t="str">
        <f t="shared" si="0"/>
        <v/>
      </c>
      <c r="T6451" t="str">
        <f t="shared" si="1"/>
        <v/>
      </c>
      <c r="U6451" t="str">
        <f t="shared" si="2"/>
        <v/>
      </c>
      <c r="V6451" t="str">
        <f>IF(OR(U6451="",U6451="ERRO_CHAVE"),"",IFERROR(MATCH(U6451,Fornecedores!$AF$1:$AF$6631,0),""))</f>
        <v/>
      </c>
      <c r="W6451" t="str">
        <f t="shared" si="3"/>
        <v/>
      </c>
      <c r="X6451" s="4" t="str">
        <f>IF(V6451="","",INDEX(Fornecedores!$X$1:$X$6631,V6451))</f>
        <v/>
      </c>
      <c r="Y6451" s="4" t="str">
        <f t="shared" si="4"/>
        <v/>
      </c>
    </row>
    <row r="6452" spans="19:25">
      <c r="S6452" t="str">
        <f t="shared" si="0"/>
        <v/>
      </c>
      <c r="T6452" t="str">
        <f t="shared" si="1"/>
        <v/>
      </c>
      <c r="U6452" t="str">
        <f t="shared" si="2"/>
        <v/>
      </c>
      <c r="V6452" t="str">
        <f>IF(OR(U6452="",U6452="ERRO_CHAVE"),"",IFERROR(MATCH(U6452,Fornecedores!$AF$1:$AF$6631,0),""))</f>
        <v/>
      </c>
      <c r="W6452" t="str">
        <f t="shared" si="3"/>
        <v/>
      </c>
      <c r="X6452" s="4" t="str">
        <f>IF(V6452="","",INDEX(Fornecedores!$X$1:$X$6631,V6452))</f>
        <v/>
      </c>
      <c r="Y6452" s="4" t="str">
        <f t="shared" si="4"/>
        <v/>
      </c>
    </row>
    <row r="6453" spans="19:25">
      <c r="S6453" t="str">
        <f t="shared" si="0"/>
        <v/>
      </c>
      <c r="T6453" t="str">
        <f t="shared" si="1"/>
        <v/>
      </c>
      <c r="U6453" t="str">
        <f t="shared" si="2"/>
        <v/>
      </c>
      <c r="V6453" t="str">
        <f>IF(OR(U6453="",U6453="ERRO_CHAVE"),"",IFERROR(MATCH(U6453,Fornecedores!$AF$1:$AF$6631,0),""))</f>
        <v/>
      </c>
      <c r="W6453" t="str">
        <f t="shared" si="3"/>
        <v/>
      </c>
      <c r="X6453" s="4" t="str">
        <f>IF(V6453="","",INDEX(Fornecedores!$X$1:$X$6631,V6453))</f>
        <v/>
      </c>
      <c r="Y6453" s="4" t="str">
        <f t="shared" si="4"/>
        <v/>
      </c>
    </row>
    <row r="6454" spans="19:25">
      <c r="S6454" t="str">
        <f t="shared" si="0"/>
        <v/>
      </c>
      <c r="T6454" t="str">
        <f t="shared" si="1"/>
        <v/>
      </c>
      <c r="U6454" t="str">
        <f t="shared" si="2"/>
        <v/>
      </c>
      <c r="V6454" t="str">
        <f>IF(OR(U6454="",U6454="ERRO_CHAVE"),"",IFERROR(MATCH(U6454,Fornecedores!$AF$1:$AF$6631,0),""))</f>
        <v/>
      </c>
      <c r="W6454" t="str">
        <f t="shared" si="3"/>
        <v/>
      </c>
      <c r="X6454" s="4" t="str">
        <f>IF(V6454="","",INDEX(Fornecedores!$X$1:$X$6631,V6454))</f>
        <v/>
      </c>
      <c r="Y6454" s="4" t="str">
        <f t="shared" si="4"/>
        <v/>
      </c>
    </row>
    <row r="6455" spans="19:25">
      <c r="S6455" t="str">
        <f t="shared" si="0"/>
        <v/>
      </c>
      <c r="T6455" t="str">
        <f t="shared" si="1"/>
        <v/>
      </c>
      <c r="U6455" t="str">
        <f t="shared" si="2"/>
        <v/>
      </c>
      <c r="V6455" t="str">
        <f>IF(OR(U6455="",U6455="ERRO_CHAVE"),"",IFERROR(MATCH(U6455,Fornecedores!$AF$1:$AF$6631,0),""))</f>
        <v/>
      </c>
      <c r="W6455" t="str">
        <f t="shared" si="3"/>
        <v/>
      </c>
      <c r="X6455" s="4" t="str">
        <f>IF(V6455="","",INDEX(Fornecedores!$X$1:$X$6631,V6455))</f>
        <v/>
      </c>
      <c r="Y6455" s="4" t="str">
        <f t="shared" si="4"/>
        <v/>
      </c>
    </row>
    <row r="6456" spans="19:25">
      <c r="S6456" t="str">
        <f t="shared" si="0"/>
        <v/>
      </c>
      <c r="T6456" t="str">
        <f t="shared" si="1"/>
        <v/>
      </c>
      <c r="U6456" t="str">
        <f t="shared" si="2"/>
        <v/>
      </c>
      <c r="V6456" t="str">
        <f>IF(OR(U6456="",U6456="ERRO_CHAVE"),"",IFERROR(MATCH(U6456,Fornecedores!$AF$1:$AF$6631,0),""))</f>
        <v/>
      </c>
      <c r="W6456" t="str">
        <f t="shared" si="3"/>
        <v/>
      </c>
      <c r="X6456" s="4" t="str">
        <f>IF(V6456="","",INDEX(Fornecedores!$X$1:$X$6631,V6456))</f>
        <v/>
      </c>
      <c r="Y6456" s="4" t="str">
        <f t="shared" si="4"/>
        <v/>
      </c>
    </row>
    <row r="6457" spans="19:25">
      <c r="S6457" t="str">
        <f t="shared" si="0"/>
        <v/>
      </c>
      <c r="T6457" t="str">
        <f t="shared" si="1"/>
        <v/>
      </c>
      <c r="U6457" t="str">
        <f t="shared" si="2"/>
        <v/>
      </c>
      <c r="V6457" t="str">
        <f>IF(OR(U6457="",U6457="ERRO_CHAVE"),"",IFERROR(MATCH(U6457,Fornecedores!$AF$1:$AF$6631,0),""))</f>
        <v/>
      </c>
      <c r="W6457" t="str">
        <f t="shared" si="3"/>
        <v/>
      </c>
      <c r="X6457" s="4" t="str">
        <f>IF(V6457="","",INDEX(Fornecedores!$X$1:$X$6631,V6457))</f>
        <v/>
      </c>
      <c r="Y6457" s="4" t="str">
        <f t="shared" si="4"/>
        <v/>
      </c>
    </row>
    <row r="6458" spans="19:25">
      <c r="S6458" t="str">
        <f t="shared" si="0"/>
        <v/>
      </c>
      <c r="T6458" t="str">
        <f t="shared" si="1"/>
        <v/>
      </c>
      <c r="U6458" t="str">
        <f t="shared" si="2"/>
        <v/>
      </c>
      <c r="V6458" t="str">
        <f>IF(OR(U6458="",U6458="ERRO_CHAVE"),"",IFERROR(MATCH(U6458,Fornecedores!$AF$1:$AF$6631,0),""))</f>
        <v/>
      </c>
      <c r="W6458" t="str">
        <f t="shared" si="3"/>
        <v/>
      </c>
      <c r="X6458" s="4" t="str">
        <f>IF(V6458="","",INDEX(Fornecedores!$X$1:$X$6631,V6458))</f>
        <v/>
      </c>
      <c r="Y6458" s="4" t="str">
        <f t="shared" si="4"/>
        <v/>
      </c>
    </row>
    <row r="6459" spans="19:25">
      <c r="S6459" t="str">
        <f t="shared" si="0"/>
        <v/>
      </c>
      <c r="T6459" t="str">
        <f t="shared" si="1"/>
        <v/>
      </c>
      <c r="U6459" t="str">
        <f t="shared" si="2"/>
        <v/>
      </c>
      <c r="V6459" t="str">
        <f>IF(OR(U6459="",U6459="ERRO_CHAVE"),"",IFERROR(MATCH(U6459,Fornecedores!$AF$1:$AF$6631,0),""))</f>
        <v/>
      </c>
      <c r="W6459" t="str">
        <f t="shared" si="3"/>
        <v/>
      </c>
      <c r="X6459" s="4" t="str">
        <f>IF(V6459="","",INDEX(Fornecedores!$X$1:$X$6631,V6459))</f>
        <v/>
      </c>
      <c r="Y6459" s="4" t="str">
        <f t="shared" si="4"/>
        <v/>
      </c>
    </row>
    <row r="6460" spans="19:25">
      <c r="S6460" t="str">
        <f t="shared" si="0"/>
        <v/>
      </c>
      <c r="T6460" t="str">
        <f t="shared" si="1"/>
        <v/>
      </c>
      <c r="U6460" t="str">
        <f t="shared" si="2"/>
        <v/>
      </c>
      <c r="V6460" t="str">
        <f>IF(OR(U6460="",U6460="ERRO_CHAVE"),"",IFERROR(MATCH(U6460,Fornecedores!$AF$1:$AF$6631,0),""))</f>
        <v/>
      </c>
      <c r="W6460" t="str">
        <f t="shared" si="3"/>
        <v/>
      </c>
      <c r="X6460" s="4" t="str">
        <f>IF(V6460="","",INDEX(Fornecedores!$X$1:$X$6631,V6460))</f>
        <v/>
      </c>
      <c r="Y6460" s="4" t="str">
        <f t="shared" si="4"/>
        <v/>
      </c>
    </row>
    <row r="6461" spans="19:25">
      <c r="S6461" t="str">
        <f t="shared" si="0"/>
        <v/>
      </c>
      <c r="T6461" t="str">
        <f t="shared" si="1"/>
        <v/>
      </c>
      <c r="U6461" t="str">
        <f t="shared" si="2"/>
        <v/>
      </c>
      <c r="V6461" t="str">
        <f>IF(OR(U6461="",U6461="ERRO_CHAVE"),"",IFERROR(MATCH(U6461,Fornecedores!$AF$1:$AF$6631,0),""))</f>
        <v/>
      </c>
      <c r="W6461" t="str">
        <f t="shared" si="3"/>
        <v/>
      </c>
      <c r="X6461" s="4" t="str">
        <f>IF(V6461="","",INDEX(Fornecedores!$X$1:$X$6631,V6461))</f>
        <v/>
      </c>
      <c r="Y6461" s="4" t="str">
        <f t="shared" si="4"/>
        <v/>
      </c>
    </row>
    <row r="6462" spans="19:25">
      <c r="S6462" t="str">
        <f t="shared" si="0"/>
        <v/>
      </c>
      <c r="T6462" t="str">
        <f t="shared" si="1"/>
        <v/>
      </c>
      <c r="U6462" t="str">
        <f t="shared" si="2"/>
        <v/>
      </c>
      <c r="V6462" t="str">
        <f>IF(OR(U6462="",U6462="ERRO_CHAVE"),"",IFERROR(MATCH(U6462,Fornecedores!$AF$1:$AF$6631,0),""))</f>
        <v/>
      </c>
      <c r="W6462" t="str">
        <f t="shared" si="3"/>
        <v/>
      </c>
      <c r="X6462" s="4" t="str">
        <f>IF(V6462="","",INDEX(Fornecedores!$X$1:$X$6631,V6462))</f>
        <v/>
      </c>
      <c r="Y6462" s="4" t="str">
        <f t="shared" si="4"/>
        <v/>
      </c>
    </row>
    <row r="6463" spans="19:25">
      <c r="S6463" t="str">
        <f t="shared" si="0"/>
        <v/>
      </c>
      <c r="T6463" t="str">
        <f t="shared" si="1"/>
        <v/>
      </c>
      <c r="U6463" t="str">
        <f t="shared" si="2"/>
        <v/>
      </c>
      <c r="V6463" t="str">
        <f>IF(OR(U6463="",U6463="ERRO_CHAVE"),"",IFERROR(MATCH(U6463,Fornecedores!$AF$1:$AF$6631,0),""))</f>
        <v/>
      </c>
      <c r="W6463" t="str">
        <f t="shared" si="3"/>
        <v/>
      </c>
      <c r="X6463" s="4" t="str">
        <f>IF(V6463="","",INDEX(Fornecedores!$X$1:$X$6631,V6463))</f>
        <v/>
      </c>
      <c r="Y6463" s="4" t="str">
        <f t="shared" si="4"/>
        <v/>
      </c>
    </row>
    <row r="6464" spans="19:25">
      <c r="S6464" t="str">
        <f t="shared" si="0"/>
        <v/>
      </c>
      <c r="T6464" t="str">
        <f t="shared" si="1"/>
        <v/>
      </c>
      <c r="U6464" t="str">
        <f t="shared" si="2"/>
        <v/>
      </c>
      <c r="V6464" t="str">
        <f>IF(OR(U6464="",U6464="ERRO_CHAVE"),"",IFERROR(MATCH(U6464,Fornecedores!$AF$1:$AF$6631,0),""))</f>
        <v/>
      </c>
      <c r="W6464" t="str">
        <f t="shared" si="3"/>
        <v/>
      </c>
      <c r="X6464" s="4" t="str">
        <f>IF(V6464="","",INDEX(Fornecedores!$X$1:$X$6631,V6464))</f>
        <v/>
      </c>
      <c r="Y6464" s="4" t="str">
        <f t="shared" si="4"/>
        <v/>
      </c>
    </row>
    <row r="6465" spans="19:25">
      <c r="S6465" t="str">
        <f t="shared" si="0"/>
        <v/>
      </c>
      <c r="T6465" t="str">
        <f t="shared" si="1"/>
        <v/>
      </c>
      <c r="U6465" t="str">
        <f t="shared" si="2"/>
        <v/>
      </c>
      <c r="V6465" t="str">
        <f>IF(OR(U6465="",U6465="ERRO_CHAVE"),"",IFERROR(MATCH(U6465,Fornecedores!$AF$1:$AF$6631,0),""))</f>
        <v/>
      </c>
      <c r="W6465" t="str">
        <f t="shared" si="3"/>
        <v/>
      </c>
      <c r="X6465" s="4" t="str">
        <f>IF(V6465="","",INDEX(Fornecedores!$X$1:$X$6631,V6465))</f>
        <v/>
      </c>
      <c r="Y6465" s="4" t="str">
        <f t="shared" si="4"/>
        <v/>
      </c>
    </row>
    <row r="6466" spans="19:25">
      <c r="S6466" t="str">
        <f t="shared" si="0"/>
        <v/>
      </c>
      <c r="T6466" t="str">
        <f t="shared" si="1"/>
        <v/>
      </c>
      <c r="U6466" t="str">
        <f t="shared" si="2"/>
        <v/>
      </c>
      <c r="V6466" t="str">
        <f>IF(OR(U6466="",U6466="ERRO_CHAVE"),"",IFERROR(MATCH(U6466,Fornecedores!$AF$1:$AF$6631,0),""))</f>
        <v/>
      </c>
      <c r="W6466" t="str">
        <f t="shared" si="3"/>
        <v/>
      </c>
      <c r="X6466" s="4" t="str">
        <f>IF(V6466="","",INDEX(Fornecedores!$X$1:$X$6631,V6466))</f>
        <v/>
      </c>
      <c r="Y6466" s="4" t="str">
        <f t="shared" si="4"/>
        <v/>
      </c>
    </row>
    <row r="6467" spans="19:25">
      <c r="S6467" t="str">
        <f t="shared" si="0"/>
        <v/>
      </c>
      <c r="T6467" t="str">
        <f t="shared" si="1"/>
        <v/>
      </c>
      <c r="U6467" t="str">
        <f t="shared" si="2"/>
        <v/>
      </c>
      <c r="V6467" t="str">
        <f>IF(OR(U6467="",U6467="ERRO_CHAVE"),"",IFERROR(MATCH(U6467,Fornecedores!$AF$1:$AF$6631,0),""))</f>
        <v/>
      </c>
      <c r="W6467" t="str">
        <f t="shared" si="3"/>
        <v/>
      </c>
      <c r="X6467" s="4" t="str">
        <f>IF(V6467="","",INDEX(Fornecedores!$X$1:$X$6631,V6467))</f>
        <v/>
      </c>
      <c r="Y6467" s="4" t="str">
        <f t="shared" si="4"/>
        <v/>
      </c>
    </row>
    <row r="6468" spans="19:25">
      <c r="S6468" t="str">
        <f t="shared" si="0"/>
        <v/>
      </c>
      <c r="T6468" t="str">
        <f t="shared" si="1"/>
        <v/>
      </c>
      <c r="U6468" t="str">
        <f t="shared" si="2"/>
        <v/>
      </c>
      <c r="V6468" t="str">
        <f>IF(OR(U6468="",U6468="ERRO_CHAVE"),"",IFERROR(MATCH(U6468,Fornecedores!$AF$1:$AF$6631,0),""))</f>
        <v/>
      </c>
      <c r="W6468" t="str">
        <f t="shared" si="3"/>
        <v/>
      </c>
      <c r="X6468" s="4" t="str">
        <f>IF(V6468="","",INDEX(Fornecedores!$X$1:$X$6631,V6468))</f>
        <v/>
      </c>
      <c r="Y6468" s="4" t="str">
        <f t="shared" si="4"/>
        <v/>
      </c>
    </row>
    <row r="6469" spans="19:25">
      <c r="S6469" t="str">
        <f t="shared" si="0"/>
        <v/>
      </c>
      <c r="T6469" t="str">
        <f t="shared" si="1"/>
        <v/>
      </c>
      <c r="U6469" t="str">
        <f t="shared" si="2"/>
        <v/>
      </c>
      <c r="V6469" t="str">
        <f>IF(OR(U6469="",U6469="ERRO_CHAVE"),"",IFERROR(MATCH(U6469,Fornecedores!$AF$1:$AF$6631,0),""))</f>
        <v/>
      </c>
      <c r="W6469" t="str">
        <f t="shared" si="3"/>
        <v/>
      </c>
      <c r="X6469" s="4" t="str">
        <f>IF(V6469="","",INDEX(Fornecedores!$X$1:$X$6631,V6469))</f>
        <v/>
      </c>
      <c r="Y6469" s="4" t="str">
        <f t="shared" si="4"/>
        <v/>
      </c>
    </row>
    <row r="6470" spans="19:25">
      <c r="S6470" t="str">
        <f t="shared" si="0"/>
        <v/>
      </c>
      <c r="T6470" t="str">
        <f t="shared" si="1"/>
        <v/>
      </c>
      <c r="U6470" t="str">
        <f t="shared" si="2"/>
        <v/>
      </c>
      <c r="V6470" t="str">
        <f>IF(OR(U6470="",U6470="ERRO_CHAVE"),"",IFERROR(MATCH(U6470,Fornecedores!$AF$1:$AF$6631,0),""))</f>
        <v/>
      </c>
      <c r="W6470" t="str">
        <f t="shared" si="3"/>
        <v/>
      </c>
      <c r="X6470" s="4" t="str">
        <f>IF(V6470="","",INDEX(Fornecedores!$X$1:$X$6631,V6470))</f>
        <v/>
      </c>
      <c r="Y6470" s="4" t="str">
        <f t="shared" si="4"/>
        <v/>
      </c>
    </row>
    <row r="6471" spans="19:25">
      <c r="S6471" t="str">
        <f t="shared" si="0"/>
        <v/>
      </c>
      <c r="T6471" t="str">
        <f t="shared" si="1"/>
        <v/>
      </c>
      <c r="U6471" t="str">
        <f t="shared" si="2"/>
        <v/>
      </c>
      <c r="V6471" t="str">
        <f>IF(OR(U6471="",U6471="ERRO_CHAVE"),"",IFERROR(MATCH(U6471,Fornecedores!$AF$1:$AF$6631,0),""))</f>
        <v/>
      </c>
      <c r="W6471" t="str">
        <f t="shared" si="3"/>
        <v/>
      </c>
      <c r="X6471" s="4" t="str">
        <f>IF(V6471="","",INDEX(Fornecedores!$X$1:$X$6631,V6471))</f>
        <v/>
      </c>
      <c r="Y6471" s="4" t="str">
        <f t="shared" si="4"/>
        <v/>
      </c>
    </row>
    <row r="6472" spans="19:25">
      <c r="S6472" t="str">
        <f t="shared" si="0"/>
        <v/>
      </c>
      <c r="T6472" t="str">
        <f t="shared" si="1"/>
        <v/>
      </c>
      <c r="U6472" t="str">
        <f t="shared" si="2"/>
        <v/>
      </c>
      <c r="V6472" t="str">
        <f>IF(OR(U6472="",U6472="ERRO_CHAVE"),"",IFERROR(MATCH(U6472,Fornecedores!$AF$1:$AF$6631,0),""))</f>
        <v/>
      </c>
      <c r="W6472" t="str">
        <f t="shared" si="3"/>
        <v/>
      </c>
      <c r="X6472" s="4" t="str">
        <f>IF(V6472="","",INDEX(Fornecedores!$X$1:$X$6631,V6472))</f>
        <v/>
      </c>
      <c r="Y6472" s="4" t="str">
        <f t="shared" si="4"/>
        <v/>
      </c>
    </row>
    <row r="6473" spans="19:25">
      <c r="S6473" t="str">
        <f t="shared" si="0"/>
        <v/>
      </c>
      <c r="T6473" t="str">
        <f t="shared" si="1"/>
        <v/>
      </c>
      <c r="U6473" t="str">
        <f t="shared" si="2"/>
        <v/>
      </c>
      <c r="V6473" t="str">
        <f>IF(OR(U6473="",U6473="ERRO_CHAVE"),"",IFERROR(MATCH(U6473,Fornecedores!$AF$1:$AF$6631,0),""))</f>
        <v/>
      </c>
      <c r="W6473" t="str">
        <f t="shared" si="3"/>
        <v/>
      </c>
      <c r="X6473" s="4" t="str">
        <f>IF(V6473="","",INDEX(Fornecedores!$X$1:$X$6631,V6473))</f>
        <v/>
      </c>
      <c r="Y6473" s="4" t="str">
        <f t="shared" si="4"/>
        <v/>
      </c>
    </row>
    <row r="6474" spans="19:25">
      <c r="S6474" t="str">
        <f t="shared" si="0"/>
        <v/>
      </c>
      <c r="T6474" t="str">
        <f t="shared" si="1"/>
        <v/>
      </c>
      <c r="U6474" t="str">
        <f t="shared" si="2"/>
        <v/>
      </c>
      <c r="V6474" t="str">
        <f>IF(OR(U6474="",U6474="ERRO_CHAVE"),"",IFERROR(MATCH(U6474,Fornecedores!$AF$1:$AF$6631,0),""))</f>
        <v/>
      </c>
      <c r="W6474" t="str">
        <f t="shared" si="3"/>
        <v/>
      </c>
      <c r="X6474" s="4" t="str">
        <f>IF(V6474="","",INDEX(Fornecedores!$X$1:$X$6631,V6474))</f>
        <v/>
      </c>
      <c r="Y6474" s="4" t="str">
        <f t="shared" si="4"/>
        <v/>
      </c>
    </row>
    <row r="6475" spans="19:25">
      <c r="S6475" t="str">
        <f t="shared" si="0"/>
        <v/>
      </c>
      <c r="T6475" t="str">
        <f t="shared" si="1"/>
        <v/>
      </c>
      <c r="U6475" t="str">
        <f t="shared" si="2"/>
        <v/>
      </c>
      <c r="V6475" t="str">
        <f>IF(OR(U6475="",U6475="ERRO_CHAVE"),"",IFERROR(MATCH(U6475,Fornecedores!$AF$1:$AF$6631,0),""))</f>
        <v/>
      </c>
      <c r="W6475" t="str">
        <f t="shared" si="3"/>
        <v/>
      </c>
      <c r="X6475" s="4" t="str">
        <f>IF(V6475="","",INDEX(Fornecedores!$X$1:$X$6631,V6475))</f>
        <v/>
      </c>
      <c r="Y6475" s="4" t="str">
        <f t="shared" si="4"/>
        <v/>
      </c>
    </row>
    <row r="6476" spans="19:25">
      <c r="S6476" t="str">
        <f t="shared" si="0"/>
        <v/>
      </c>
      <c r="T6476" t="str">
        <f t="shared" si="1"/>
        <v/>
      </c>
      <c r="U6476" t="str">
        <f t="shared" si="2"/>
        <v/>
      </c>
      <c r="V6476" t="str">
        <f>IF(OR(U6476="",U6476="ERRO_CHAVE"),"",IFERROR(MATCH(U6476,Fornecedores!$AF$1:$AF$6631,0),""))</f>
        <v/>
      </c>
      <c r="W6476" t="str">
        <f t="shared" si="3"/>
        <v/>
      </c>
      <c r="X6476" s="4" t="str">
        <f>IF(V6476="","",INDEX(Fornecedores!$X$1:$X$6631,V6476))</f>
        <v/>
      </c>
      <c r="Y6476" s="4" t="str">
        <f t="shared" si="4"/>
        <v/>
      </c>
    </row>
    <row r="6477" spans="19:25">
      <c r="S6477" t="str">
        <f t="shared" si="0"/>
        <v/>
      </c>
      <c r="T6477" t="str">
        <f t="shared" si="1"/>
        <v/>
      </c>
      <c r="U6477" t="str">
        <f t="shared" si="2"/>
        <v/>
      </c>
      <c r="V6477" t="str">
        <f>IF(OR(U6477="",U6477="ERRO_CHAVE"),"",IFERROR(MATCH(U6477,Fornecedores!$AF$1:$AF$6631,0),""))</f>
        <v/>
      </c>
      <c r="W6477" t="str">
        <f t="shared" si="3"/>
        <v/>
      </c>
      <c r="X6477" s="4" t="str">
        <f>IF(V6477="","",INDEX(Fornecedores!$X$1:$X$6631,V6477))</f>
        <v/>
      </c>
      <c r="Y6477" s="4" t="str">
        <f t="shared" si="4"/>
        <v/>
      </c>
    </row>
    <row r="6478" spans="19:25">
      <c r="S6478" t="str">
        <f t="shared" si="0"/>
        <v/>
      </c>
      <c r="T6478" t="str">
        <f t="shared" si="1"/>
        <v/>
      </c>
      <c r="U6478" t="str">
        <f t="shared" si="2"/>
        <v/>
      </c>
      <c r="V6478" t="str">
        <f>IF(OR(U6478="",U6478="ERRO_CHAVE"),"",IFERROR(MATCH(U6478,Fornecedores!$AF$1:$AF$6631,0),""))</f>
        <v/>
      </c>
      <c r="W6478" t="str">
        <f t="shared" si="3"/>
        <v/>
      </c>
      <c r="X6478" s="4" t="str">
        <f>IF(V6478="","",INDEX(Fornecedores!$X$1:$X$6631,V6478))</f>
        <v/>
      </c>
      <c r="Y6478" s="4" t="str">
        <f t="shared" si="4"/>
        <v/>
      </c>
    </row>
    <row r="6479" spans="19:25">
      <c r="S6479" t="str">
        <f t="shared" si="0"/>
        <v/>
      </c>
      <c r="T6479" t="str">
        <f t="shared" si="1"/>
        <v/>
      </c>
      <c r="U6479" t="str">
        <f t="shared" si="2"/>
        <v/>
      </c>
      <c r="V6479" t="str">
        <f>IF(OR(U6479="",U6479="ERRO_CHAVE"),"",IFERROR(MATCH(U6479,Fornecedores!$AF$1:$AF$6631,0),""))</f>
        <v/>
      </c>
      <c r="W6479" t="str">
        <f t="shared" si="3"/>
        <v/>
      </c>
      <c r="X6479" s="4" t="str">
        <f>IF(V6479="","",INDEX(Fornecedores!$X$1:$X$6631,V6479))</f>
        <v/>
      </c>
      <c r="Y6479" s="4" t="str">
        <f t="shared" si="4"/>
        <v/>
      </c>
    </row>
    <row r="6480" spans="19:25">
      <c r="S6480" t="str">
        <f t="shared" si="0"/>
        <v/>
      </c>
      <c r="T6480" t="str">
        <f t="shared" si="1"/>
        <v/>
      </c>
      <c r="U6480" t="str">
        <f t="shared" si="2"/>
        <v/>
      </c>
      <c r="V6480" t="str">
        <f>IF(OR(U6480="",U6480="ERRO_CHAVE"),"",IFERROR(MATCH(U6480,Fornecedores!$AF$1:$AF$6631,0),""))</f>
        <v/>
      </c>
      <c r="W6480" t="str">
        <f t="shared" si="3"/>
        <v/>
      </c>
      <c r="X6480" s="4" t="str">
        <f>IF(V6480="","",INDEX(Fornecedores!$X$1:$X$6631,V6480))</f>
        <v/>
      </c>
      <c r="Y6480" s="4" t="str">
        <f t="shared" si="4"/>
        <v/>
      </c>
    </row>
    <row r="6481" spans="19:25">
      <c r="S6481" t="str">
        <f t="shared" si="0"/>
        <v/>
      </c>
      <c r="T6481" t="str">
        <f t="shared" si="1"/>
        <v/>
      </c>
      <c r="U6481" t="str">
        <f t="shared" si="2"/>
        <v/>
      </c>
      <c r="V6481" t="str">
        <f>IF(OR(U6481="",U6481="ERRO_CHAVE"),"",IFERROR(MATCH(U6481,Fornecedores!$AF$1:$AF$6631,0),""))</f>
        <v/>
      </c>
      <c r="W6481" t="str">
        <f t="shared" si="3"/>
        <v/>
      </c>
      <c r="X6481" s="4" t="str">
        <f>IF(V6481="","",INDEX(Fornecedores!$X$1:$X$6631,V6481))</f>
        <v/>
      </c>
      <c r="Y6481" s="4" t="str">
        <f t="shared" si="4"/>
        <v/>
      </c>
    </row>
    <row r="6482" spans="19:25">
      <c r="S6482" t="str">
        <f t="shared" si="0"/>
        <v/>
      </c>
      <c r="T6482" t="str">
        <f t="shared" si="1"/>
        <v/>
      </c>
      <c r="U6482" t="str">
        <f t="shared" si="2"/>
        <v/>
      </c>
      <c r="V6482" t="str">
        <f>IF(OR(U6482="",U6482="ERRO_CHAVE"),"",IFERROR(MATCH(U6482,Fornecedores!$AF$1:$AF$6631,0),""))</f>
        <v/>
      </c>
      <c r="W6482" t="str">
        <f t="shared" si="3"/>
        <v/>
      </c>
      <c r="X6482" s="4" t="str">
        <f>IF(V6482="","",INDEX(Fornecedores!$X$1:$X$6631,V6482))</f>
        <v/>
      </c>
      <c r="Y6482" s="4" t="str">
        <f t="shared" si="4"/>
        <v/>
      </c>
    </row>
    <row r="6483" spans="19:25">
      <c r="S6483" t="str">
        <f t="shared" si="0"/>
        <v/>
      </c>
      <c r="T6483" t="str">
        <f t="shared" si="1"/>
        <v/>
      </c>
      <c r="U6483" t="str">
        <f t="shared" si="2"/>
        <v/>
      </c>
      <c r="V6483" t="str">
        <f>IF(OR(U6483="",U6483="ERRO_CHAVE"),"",IFERROR(MATCH(U6483,Fornecedores!$AF$1:$AF$6631,0),""))</f>
        <v/>
      </c>
      <c r="W6483" t="str">
        <f t="shared" si="3"/>
        <v/>
      </c>
      <c r="X6483" s="4" t="str">
        <f>IF(V6483="","",INDEX(Fornecedores!$X$1:$X$6631,V6483))</f>
        <v/>
      </c>
      <c r="Y6483" s="4" t="str">
        <f t="shared" si="4"/>
        <v/>
      </c>
    </row>
    <row r="6484" spans="19:25">
      <c r="S6484" t="str">
        <f t="shared" si="0"/>
        <v/>
      </c>
      <c r="T6484" t="str">
        <f t="shared" si="1"/>
        <v/>
      </c>
      <c r="U6484" t="str">
        <f t="shared" si="2"/>
        <v/>
      </c>
      <c r="V6484" t="str">
        <f>IF(OR(U6484="",U6484="ERRO_CHAVE"),"",IFERROR(MATCH(U6484,Fornecedores!$AF$1:$AF$6631,0),""))</f>
        <v/>
      </c>
      <c r="W6484" t="str">
        <f t="shared" si="3"/>
        <v/>
      </c>
      <c r="X6484" s="4" t="str">
        <f>IF(V6484="","",INDEX(Fornecedores!$X$1:$X$6631,V6484))</f>
        <v/>
      </c>
      <c r="Y6484" s="4" t="str">
        <f t="shared" si="4"/>
        <v/>
      </c>
    </row>
    <row r="6485" spans="19:25">
      <c r="S6485" t="str">
        <f t="shared" si="0"/>
        <v/>
      </c>
      <c r="T6485" t="str">
        <f t="shared" si="1"/>
        <v/>
      </c>
      <c r="U6485" t="str">
        <f t="shared" si="2"/>
        <v/>
      </c>
      <c r="V6485" t="str">
        <f>IF(OR(U6485="",U6485="ERRO_CHAVE"),"",IFERROR(MATCH(U6485,Fornecedores!$AF$1:$AF$6631,0),""))</f>
        <v/>
      </c>
      <c r="W6485" t="str">
        <f t="shared" si="3"/>
        <v/>
      </c>
      <c r="X6485" s="4" t="str">
        <f>IF(V6485="","",INDEX(Fornecedores!$X$1:$X$6631,V6485))</f>
        <v/>
      </c>
      <c r="Y6485" s="4" t="str">
        <f t="shared" si="4"/>
        <v/>
      </c>
    </row>
    <row r="6486" spans="19:25">
      <c r="S6486" t="str">
        <f t="shared" si="0"/>
        <v/>
      </c>
      <c r="T6486" t="str">
        <f t="shared" si="1"/>
        <v/>
      </c>
      <c r="U6486" t="str">
        <f t="shared" si="2"/>
        <v/>
      </c>
      <c r="V6486" t="str">
        <f>IF(OR(U6486="",U6486="ERRO_CHAVE"),"",IFERROR(MATCH(U6486,Fornecedores!$AF$1:$AF$6631,0),""))</f>
        <v/>
      </c>
      <c r="W6486" t="str">
        <f t="shared" si="3"/>
        <v/>
      </c>
      <c r="X6486" s="4" t="str">
        <f>IF(V6486="","",INDEX(Fornecedores!$X$1:$X$6631,V6486))</f>
        <v/>
      </c>
      <c r="Y6486" s="4" t="str">
        <f t="shared" si="4"/>
        <v/>
      </c>
    </row>
    <row r="6487" spans="19:25">
      <c r="S6487" t="str">
        <f t="shared" si="0"/>
        <v/>
      </c>
      <c r="T6487" t="str">
        <f t="shared" si="1"/>
        <v/>
      </c>
      <c r="U6487" t="str">
        <f t="shared" si="2"/>
        <v/>
      </c>
      <c r="V6487" t="str">
        <f>IF(OR(U6487="",U6487="ERRO_CHAVE"),"",IFERROR(MATCH(U6487,Fornecedores!$AF$1:$AF$6631,0),""))</f>
        <v/>
      </c>
      <c r="W6487" t="str">
        <f t="shared" si="3"/>
        <v/>
      </c>
      <c r="X6487" s="4" t="str">
        <f>IF(V6487="","",INDEX(Fornecedores!$X$1:$X$6631,V6487))</f>
        <v/>
      </c>
      <c r="Y6487" s="4" t="str">
        <f t="shared" si="4"/>
        <v/>
      </c>
    </row>
    <row r="6488" spans="19:25">
      <c r="S6488" t="str">
        <f t="shared" si="0"/>
        <v/>
      </c>
      <c r="T6488" t="str">
        <f t="shared" si="1"/>
        <v/>
      </c>
      <c r="U6488" t="str">
        <f t="shared" si="2"/>
        <v/>
      </c>
      <c r="V6488" t="str">
        <f>IF(OR(U6488="",U6488="ERRO_CHAVE"),"",IFERROR(MATCH(U6488,Fornecedores!$AF$1:$AF$6631,0),""))</f>
        <v/>
      </c>
      <c r="W6488" t="str">
        <f t="shared" si="3"/>
        <v/>
      </c>
      <c r="X6488" s="4" t="str">
        <f>IF(V6488="","",INDEX(Fornecedores!$X$1:$X$6631,V6488))</f>
        <v/>
      </c>
      <c r="Y6488" s="4" t="str">
        <f t="shared" si="4"/>
        <v/>
      </c>
    </row>
    <row r="6489" spans="19:25">
      <c r="S6489" t="str">
        <f t="shared" si="0"/>
        <v/>
      </c>
      <c r="T6489" t="str">
        <f t="shared" si="1"/>
        <v/>
      </c>
      <c r="U6489" t="str">
        <f t="shared" si="2"/>
        <v/>
      </c>
      <c r="V6489" t="str">
        <f>IF(OR(U6489="",U6489="ERRO_CHAVE"),"",IFERROR(MATCH(U6489,Fornecedores!$AF$1:$AF$6631,0),""))</f>
        <v/>
      </c>
      <c r="W6489" t="str">
        <f t="shared" si="3"/>
        <v/>
      </c>
      <c r="X6489" s="4" t="str">
        <f>IF(V6489="","",INDEX(Fornecedores!$X$1:$X$6631,V6489))</f>
        <v/>
      </c>
      <c r="Y6489" s="4" t="str">
        <f t="shared" si="4"/>
        <v/>
      </c>
    </row>
    <row r="6490" spans="19:25">
      <c r="S6490" t="str">
        <f t="shared" si="0"/>
        <v/>
      </c>
      <c r="T6490" t="str">
        <f t="shared" si="1"/>
        <v/>
      </c>
      <c r="U6490" t="str">
        <f t="shared" si="2"/>
        <v/>
      </c>
      <c r="V6490" t="str">
        <f>IF(OR(U6490="",U6490="ERRO_CHAVE"),"",IFERROR(MATCH(U6490,Fornecedores!$AF$1:$AF$6631,0),""))</f>
        <v/>
      </c>
      <c r="W6490" t="str">
        <f t="shared" si="3"/>
        <v/>
      </c>
      <c r="X6490" s="4" t="str">
        <f>IF(V6490="","",INDEX(Fornecedores!$X$1:$X$6631,V6490))</f>
        <v/>
      </c>
      <c r="Y6490" s="4" t="str">
        <f t="shared" si="4"/>
        <v/>
      </c>
    </row>
    <row r="6491" spans="19:25">
      <c r="S6491" t="str">
        <f t="shared" si="0"/>
        <v/>
      </c>
      <c r="T6491" t="str">
        <f t="shared" si="1"/>
        <v/>
      </c>
      <c r="U6491" t="str">
        <f t="shared" si="2"/>
        <v/>
      </c>
      <c r="V6491" t="str">
        <f>IF(OR(U6491="",U6491="ERRO_CHAVE"),"",IFERROR(MATCH(U6491,Fornecedores!$AF$1:$AF$6631,0),""))</f>
        <v/>
      </c>
      <c r="W6491" t="str">
        <f t="shared" si="3"/>
        <v/>
      </c>
      <c r="X6491" s="4" t="str">
        <f>IF(V6491="","",INDEX(Fornecedores!$X$1:$X$6631,V6491))</f>
        <v/>
      </c>
      <c r="Y6491" s="4" t="str">
        <f t="shared" si="4"/>
        <v/>
      </c>
    </row>
    <row r="6492" spans="19:25">
      <c r="S6492" t="str">
        <f t="shared" si="0"/>
        <v/>
      </c>
      <c r="T6492" t="str">
        <f t="shared" si="1"/>
        <v/>
      </c>
      <c r="U6492" t="str">
        <f t="shared" si="2"/>
        <v/>
      </c>
      <c r="V6492" t="str">
        <f>IF(OR(U6492="",U6492="ERRO_CHAVE"),"",IFERROR(MATCH(U6492,Fornecedores!$AF$1:$AF$6631,0),""))</f>
        <v/>
      </c>
      <c r="W6492" t="str">
        <f t="shared" si="3"/>
        <v/>
      </c>
      <c r="X6492" s="4" t="str">
        <f>IF(V6492="","",INDEX(Fornecedores!$X$1:$X$6631,V6492))</f>
        <v/>
      </c>
      <c r="Y6492" s="4" t="str">
        <f t="shared" si="4"/>
        <v/>
      </c>
    </row>
    <row r="6493" spans="19:25">
      <c r="S6493" t="str">
        <f t="shared" si="0"/>
        <v/>
      </c>
      <c r="T6493" t="str">
        <f t="shared" si="1"/>
        <v/>
      </c>
      <c r="U6493" t="str">
        <f t="shared" si="2"/>
        <v/>
      </c>
      <c r="V6493" t="str">
        <f>IF(OR(U6493="",U6493="ERRO_CHAVE"),"",IFERROR(MATCH(U6493,Fornecedores!$AF$1:$AF$6631,0),""))</f>
        <v/>
      </c>
      <c r="W6493" t="str">
        <f t="shared" si="3"/>
        <v/>
      </c>
      <c r="X6493" s="4" t="str">
        <f>IF(V6493="","",INDEX(Fornecedores!$X$1:$X$6631,V6493))</f>
        <v/>
      </c>
      <c r="Y6493" s="4" t="str">
        <f t="shared" si="4"/>
        <v/>
      </c>
    </row>
    <row r="6494" spans="19:25">
      <c r="S6494" t="str">
        <f t="shared" si="0"/>
        <v/>
      </c>
      <c r="T6494" t="str">
        <f t="shared" si="1"/>
        <v/>
      </c>
      <c r="U6494" t="str">
        <f t="shared" si="2"/>
        <v/>
      </c>
      <c r="V6494" t="str">
        <f>IF(OR(U6494="",U6494="ERRO_CHAVE"),"",IFERROR(MATCH(U6494,Fornecedores!$AF$1:$AF$6631,0),""))</f>
        <v/>
      </c>
      <c r="W6494" t="str">
        <f t="shared" si="3"/>
        <v/>
      </c>
      <c r="X6494" s="4" t="str">
        <f>IF(V6494="","",INDEX(Fornecedores!$X$1:$X$6631,V6494))</f>
        <v/>
      </c>
      <c r="Y6494" s="4" t="str">
        <f t="shared" si="4"/>
        <v/>
      </c>
    </row>
    <row r="6495" spans="19:25">
      <c r="S6495" t="str">
        <f t="shared" si="0"/>
        <v/>
      </c>
      <c r="T6495" t="str">
        <f t="shared" si="1"/>
        <v/>
      </c>
      <c r="U6495" t="str">
        <f t="shared" si="2"/>
        <v/>
      </c>
      <c r="V6495" t="str">
        <f>IF(OR(U6495="",U6495="ERRO_CHAVE"),"",IFERROR(MATCH(U6495,Fornecedores!$AF$1:$AF$6631,0),""))</f>
        <v/>
      </c>
      <c r="W6495" t="str">
        <f t="shared" si="3"/>
        <v/>
      </c>
      <c r="X6495" s="4" t="str">
        <f>IF(V6495="","",INDEX(Fornecedores!$X$1:$X$6631,V6495))</f>
        <v/>
      </c>
      <c r="Y6495" s="4" t="str">
        <f t="shared" si="4"/>
        <v/>
      </c>
    </row>
    <row r="6496" spans="19:25">
      <c r="S6496" t="str">
        <f t="shared" si="0"/>
        <v/>
      </c>
      <c r="T6496" t="str">
        <f t="shared" si="1"/>
        <v/>
      </c>
      <c r="U6496" t="str">
        <f t="shared" si="2"/>
        <v/>
      </c>
      <c r="V6496" t="str">
        <f>IF(OR(U6496="",U6496="ERRO_CHAVE"),"",IFERROR(MATCH(U6496,Fornecedores!$AF$1:$AF$6631,0),""))</f>
        <v/>
      </c>
      <c r="W6496" t="str">
        <f t="shared" si="3"/>
        <v/>
      </c>
      <c r="X6496" s="4" t="str">
        <f>IF(V6496="","",INDEX(Fornecedores!$X$1:$X$6631,V6496))</f>
        <v/>
      </c>
      <c r="Y6496" s="4" t="str">
        <f t="shared" si="4"/>
        <v/>
      </c>
    </row>
    <row r="6497" spans="19:25">
      <c r="S6497" t="str">
        <f t="shared" si="0"/>
        <v/>
      </c>
      <c r="T6497" t="str">
        <f t="shared" si="1"/>
        <v/>
      </c>
      <c r="U6497" t="str">
        <f t="shared" si="2"/>
        <v/>
      </c>
      <c r="V6497" t="str">
        <f>IF(OR(U6497="",U6497="ERRO_CHAVE"),"",IFERROR(MATCH(U6497,Fornecedores!$AF$1:$AF$6631,0),""))</f>
        <v/>
      </c>
      <c r="W6497" t="str">
        <f t="shared" si="3"/>
        <v/>
      </c>
      <c r="X6497" s="4" t="str">
        <f>IF(V6497="","",INDEX(Fornecedores!$X$1:$X$6631,V6497))</f>
        <v/>
      </c>
      <c r="Y6497" s="4" t="str">
        <f t="shared" si="4"/>
        <v/>
      </c>
    </row>
    <row r="6498" spans="19:25">
      <c r="S6498" t="str">
        <f t="shared" si="0"/>
        <v/>
      </c>
      <c r="T6498" t="str">
        <f t="shared" si="1"/>
        <v/>
      </c>
      <c r="U6498" t="str">
        <f t="shared" si="2"/>
        <v/>
      </c>
      <c r="V6498" t="str">
        <f>IF(OR(U6498="",U6498="ERRO_CHAVE"),"",IFERROR(MATCH(U6498,Fornecedores!$AF$1:$AF$6631,0),""))</f>
        <v/>
      </c>
      <c r="W6498" t="str">
        <f t="shared" si="3"/>
        <v/>
      </c>
      <c r="X6498" s="4" t="str">
        <f>IF(V6498="","",INDEX(Fornecedores!$X$1:$X$6631,V6498))</f>
        <v/>
      </c>
      <c r="Y6498" s="4" t="str">
        <f t="shared" si="4"/>
        <v/>
      </c>
    </row>
    <row r="6499" spans="19:25">
      <c r="S6499" t="str">
        <f t="shared" si="0"/>
        <v/>
      </c>
      <c r="T6499" t="str">
        <f t="shared" si="1"/>
        <v/>
      </c>
      <c r="U6499" t="str">
        <f t="shared" si="2"/>
        <v/>
      </c>
      <c r="V6499" t="str">
        <f>IF(OR(U6499="",U6499="ERRO_CHAVE"),"",IFERROR(MATCH(U6499,Fornecedores!$AF$1:$AF$6631,0),""))</f>
        <v/>
      </c>
      <c r="W6499" t="str">
        <f t="shared" si="3"/>
        <v/>
      </c>
      <c r="X6499" s="4" t="str">
        <f>IF(V6499="","",INDEX(Fornecedores!$X$1:$X$6631,V6499))</f>
        <v/>
      </c>
      <c r="Y6499" s="4" t="str">
        <f t="shared" si="4"/>
        <v/>
      </c>
    </row>
    <row r="6500" spans="19:25">
      <c r="S6500" t="str">
        <f t="shared" si="0"/>
        <v/>
      </c>
      <c r="T6500" t="str">
        <f t="shared" si="1"/>
        <v/>
      </c>
      <c r="U6500" t="str">
        <f t="shared" si="2"/>
        <v/>
      </c>
      <c r="V6500" t="str">
        <f>IF(OR(U6500="",U6500="ERRO_CHAVE"),"",IFERROR(MATCH(U6500,Fornecedores!$AF$1:$AF$6631,0),""))</f>
        <v/>
      </c>
      <c r="W6500" t="str">
        <f t="shared" si="3"/>
        <v/>
      </c>
      <c r="X6500" s="4" t="str">
        <f>IF(V6500="","",INDEX(Fornecedores!$X$1:$X$6631,V6500))</f>
        <v/>
      </c>
      <c r="Y6500" s="4" t="str">
        <f t="shared" si="4"/>
        <v/>
      </c>
    </row>
    <row r="6501" spans="19:25">
      <c r="S6501" t="str">
        <f t="shared" si="0"/>
        <v/>
      </c>
      <c r="T6501" t="str">
        <f t="shared" si="1"/>
        <v/>
      </c>
      <c r="U6501" t="str">
        <f t="shared" si="2"/>
        <v/>
      </c>
      <c r="V6501" t="str">
        <f>IF(OR(U6501="",U6501="ERRO_CHAVE"),"",IFERROR(MATCH(U6501,Fornecedores!$AF$1:$AF$6631,0),""))</f>
        <v/>
      </c>
      <c r="W6501" t="str">
        <f t="shared" si="3"/>
        <v/>
      </c>
      <c r="X6501" s="4" t="str">
        <f>IF(V6501="","",INDEX(Fornecedores!$X$1:$X$6631,V6501))</f>
        <v/>
      </c>
      <c r="Y6501" s="4" t="str">
        <f t="shared" si="4"/>
        <v/>
      </c>
    </row>
    <row r="6502" spans="19:25">
      <c r="S6502" t="str">
        <f t="shared" si="0"/>
        <v/>
      </c>
      <c r="T6502" t="str">
        <f t="shared" si="1"/>
        <v/>
      </c>
      <c r="U6502" t="str">
        <f t="shared" si="2"/>
        <v/>
      </c>
      <c r="V6502" t="str">
        <f>IF(OR(U6502="",U6502="ERRO_CHAVE"),"",IFERROR(MATCH(U6502,Fornecedores!$AF$1:$AF$6631,0),""))</f>
        <v/>
      </c>
      <c r="W6502" t="str">
        <f t="shared" si="3"/>
        <v/>
      </c>
      <c r="X6502" s="4" t="str">
        <f>IF(V6502="","",INDEX(Fornecedores!$X$1:$X$6631,V6502))</f>
        <v/>
      </c>
      <c r="Y6502" s="4" t="str">
        <f t="shared" si="4"/>
        <v/>
      </c>
    </row>
    <row r="6503" spans="19:25">
      <c r="S6503" t="str">
        <f t="shared" si="0"/>
        <v/>
      </c>
      <c r="T6503" t="str">
        <f t="shared" si="1"/>
        <v/>
      </c>
      <c r="U6503" t="str">
        <f t="shared" si="2"/>
        <v/>
      </c>
      <c r="V6503" t="str">
        <f>IF(OR(U6503="",U6503="ERRO_CHAVE"),"",IFERROR(MATCH(U6503,Fornecedores!$AF$1:$AF$6631,0),""))</f>
        <v/>
      </c>
      <c r="W6503" t="str">
        <f t="shared" si="3"/>
        <v/>
      </c>
      <c r="X6503" s="4" t="str">
        <f>IF(V6503="","",INDEX(Fornecedores!$X$1:$X$6631,V6503))</f>
        <v/>
      </c>
      <c r="Y6503" s="4" t="str">
        <f t="shared" si="4"/>
        <v/>
      </c>
    </row>
    <row r="6504" spans="19:25">
      <c r="S6504" t="str">
        <f t="shared" si="0"/>
        <v/>
      </c>
      <c r="T6504" t="str">
        <f t="shared" si="1"/>
        <v/>
      </c>
      <c r="U6504" t="str">
        <f t="shared" si="2"/>
        <v/>
      </c>
      <c r="V6504" t="str">
        <f>IF(OR(U6504="",U6504="ERRO_CHAVE"),"",IFERROR(MATCH(U6504,Fornecedores!$AF$1:$AF$6631,0),""))</f>
        <v/>
      </c>
      <c r="W6504" t="str">
        <f t="shared" si="3"/>
        <v/>
      </c>
      <c r="X6504" s="4" t="str">
        <f>IF(V6504="","",INDEX(Fornecedores!$X$1:$X$6631,V6504))</f>
        <v/>
      </c>
      <c r="Y6504" s="4" t="str">
        <f t="shared" si="4"/>
        <v/>
      </c>
    </row>
    <row r="6505" spans="19:25">
      <c r="S6505" t="str">
        <f t="shared" si="0"/>
        <v/>
      </c>
      <c r="T6505" t="str">
        <f t="shared" si="1"/>
        <v/>
      </c>
      <c r="U6505" t="str">
        <f t="shared" si="2"/>
        <v/>
      </c>
      <c r="V6505" t="str">
        <f>IF(OR(U6505="",U6505="ERRO_CHAVE"),"",IFERROR(MATCH(U6505,Fornecedores!$AF$1:$AF$6631,0),""))</f>
        <v/>
      </c>
      <c r="W6505" t="str">
        <f t="shared" si="3"/>
        <v/>
      </c>
      <c r="X6505" s="4" t="str">
        <f>IF(V6505="","",INDEX(Fornecedores!$X$1:$X$6631,V6505))</f>
        <v/>
      </c>
      <c r="Y6505" s="4" t="str">
        <f t="shared" si="4"/>
        <v/>
      </c>
    </row>
    <row r="6506" spans="19:25">
      <c r="S6506" t="str">
        <f t="shared" si="0"/>
        <v/>
      </c>
      <c r="T6506" t="str">
        <f t="shared" si="1"/>
        <v/>
      </c>
      <c r="U6506" t="str">
        <f t="shared" si="2"/>
        <v/>
      </c>
      <c r="V6506" t="str">
        <f>IF(OR(U6506="",U6506="ERRO_CHAVE"),"",IFERROR(MATCH(U6506,Fornecedores!$AF$1:$AF$6631,0),""))</f>
        <v/>
      </c>
      <c r="W6506" t="str">
        <f t="shared" si="3"/>
        <v/>
      </c>
      <c r="X6506" s="4" t="str">
        <f>IF(V6506="","",INDEX(Fornecedores!$X$1:$X$6631,V6506))</f>
        <v/>
      </c>
      <c r="Y6506" s="4" t="str">
        <f t="shared" si="4"/>
        <v/>
      </c>
    </row>
    <row r="6507" spans="19:25">
      <c r="S6507" t="str">
        <f t="shared" si="0"/>
        <v/>
      </c>
      <c r="T6507" t="str">
        <f t="shared" si="1"/>
        <v/>
      </c>
      <c r="U6507" t="str">
        <f t="shared" si="2"/>
        <v/>
      </c>
      <c r="V6507" t="str">
        <f>IF(OR(U6507="",U6507="ERRO_CHAVE"),"",IFERROR(MATCH(U6507,Fornecedores!$AF$1:$AF$6631,0),""))</f>
        <v/>
      </c>
      <c r="W6507" t="str">
        <f t="shared" si="3"/>
        <v/>
      </c>
      <c r="X6507" s="4" t="str">
        <f>IF(V6507="","",INDEX(Fornecedores!$X$1:$X$6631,V6507))</f>
        <v/>
      </c>
      <c r="Y6507" s="4" t="str">
        <f t="shared" si="4"/>
        <v/>
      </c>
    </row>
    <row r="6508" spans="19:25">
      <c r="S6508" t="str">
        <f t="shared" si="0"/>
        <v/>
      </c>
      <c r="T6508" t="str">
        <f t="shared" si="1"/>
        <v/>
      </c>
      <c r="U6508" t="str">
        <f t="shared" si="2"/>
        <v/>
      </c>
      <c r="V6508" t="str">
        <f>IF(OR(U6508="",U6508="ERRO_CHAVE"),"",IFERROR(MATCH(U6508,Fornecedores!$AF$1:$AF$6631,0),""))</f>
        <v/>
      </c>
      <c r="W6508" t="str">
        <f t="shared" si="3"/>
        <v/>
      </c>
      <c r="X6508" s="4" t="str">
        <f>IF(V6508="","",INDEX(Fornecedores!$X$1:$X$6631,V6508))</f>
        <v/>
      </c>
      <c r="Y6508" s="4" t="str">
        <f t="shared" si="4"/>
        <v/>
      </c>
    </row>
    <row r="6509" spans="19:25">
      <c r="S6509" t="str">
        <f t="shared" si="0"/>
        <v/>
      </c>
      <c r="T6509" t="str">
        <f t="shared" si="1"/>
        <v/>
      </c>
      <c r="U6509" t="str">
        <f t="shared" si="2"/>
        <v/>
      </c>
      <c r="V6509" t="str">
        <f>IF(OR(U6509="",U6509="ERRO_CHAVE"),"",IFERROR(MATCH(U6509,Fornecedores!$AF$1:$AF$6631,0),""))</f>
        <v/>
      </c>
      <c r="W6509" t="str">
        <f t="shared" si="3"/>
        <v/>
      </c>
      <c r="X6509" s="4" t="str">
        <f>IF(V6509="","",INDEX(Fornecedores!$X$1:$X$6631,V6509))</f>
        <v/>
      </c>
      <c r="Y6509" s="4" t="str">
        <f t="shared" si="4"/>
        <v/>
      </c>
    </row>
    <row r="6510" spans="19:25">
      <c r="S6510" t="str">
        <f t="shared" si="0"/>
        <v/>
      </c>
      <c r="T6510" t="str">
        <f t="shared" si="1"/>
        <v/>
      </c>
      <c r="U6510" t="str">
        <f t="shared" si="2"/>
        <v/>
      </c>
      <c r="V6510" t="str">
        <f>IF(OR(U6510="",U6510="ERRO_CHAVE"),"",IFERROR(MATCH(U6510,Fornecedores!$AF$1:$AF$6631,0),""))</f>
        <v/>
      </c>
      <c r="W6510" t="str">
        <f t="shared" si="3"/>
        <v/>
      </c>
      <c r="X6510" s="4" t="str">
        <f>IF(V6510="","",INDEX(Fornecedores!$X$1:$X$6631,V6510))</f>
        <v/>
      </c>
      <c r="Y6510" s="4" t="str">
        <f t="shared" si="4"/>
        <v/>
      </c>
    </row>
    <row r="6511" spans="19:25">
      <c r="S6511" t="str">
        <f t="shared" si="0"/>
        <v/>
      </c>
      <c r="T6511" t="str">
        <f t="shared" si="1"/>
        <v/>
      </c>
      <c r="U6511" t="str">
        <f t="shared" si="2"/>
        <v/>
      </c>
      <c r="V6511" t="str">
        <f>IF(OR(U6511="",U6511="ERRO_CHAVE"),"",IFERROR(MATCH(U6511,Fornecedores!$AF$1:$AF$6631,0),""))</f>
        <v/>
      </c>
      <c r="W6511" t="str">
        <f t="shared" si="3"/>
        <v/>
      </c>
      <c r="X6511" s="4" t="str">
        <f>IF(V6511="","",INDEX(Fornecedores!$X$1:$X$6631,V6511))</f>
        <v/>
      </c>
      <c r="Y6511" s="4" t="str">
        <f t="shared" si="4"/>
        <v/>
      </c>
    </row>
    <row r="6512" spans="19:25">
      <c r="S6512" t="str">
        <f t="shared" si="0"/>
        <v/>
      </c>
      <c r="T6512" t="str">
        <f t="shared" si="1"/>
        <v/>
      </c>
      <c r="U6512" t="str">
        <f t="shared" si="2"/>
        <v/>
      </c>
      <c r="V6512" t="str">
        <f>IF(OR(U6512="",U6512="ERRO_CHAVE"),"",IFERROR(MATCH(U6512,Fornecedores!$AF$1:$AF$6631,0),""))</f>
        <v/>
      </c>
      <c r="W6512" t="str">
        <f t="shared" si="3"/>
        <v/>
      </c>
      <c r="X6512" s="4" t="str">
        <f>IF(V6512="","",INDEX(Fornecedores!$X$1:$X$6631,V6512))</f>
        <v/>
      </c>
      <c r="Y6512" s="4" t="str">
        <f t="shared" si="4"/>
        <v/>
      </c>
    </row>
    <row r="6513" spans="19:25">
      <c r="S6513" t="str">
        <f t="shared" si="0"/>
        <v/>
      </c>
      <c r="T6513" t="str">
        <f t="shared" si="1"/>
        <v/>
      </c>
      <c r="U6513" t="str">
        <f t="shared" si="2"/>
        <v/>
      </c>
      <c r="V6513" t="str">
        <f>IF(OR(U6513="",U6513="ERRO_CHAVE"),"",IFERROR(MATCH(U6513,Fornecedores!$AF$1:$AF$6631,0),""))</f>
        <v/>
      </c>
      <c r="W6513" t="str">
        <f t="shared" si="3"/>
        <v/>
      </c>
      <c r="X6513" s="4" t="str">
        <f>IF(V6513="","",INDEX(Fornecedores!$X$1:$X$6631,V6513))</f>
        <v/>
      </c>
      <c r="Y6513" s="4" t="str">
        <f t="shared" si="4"/>
        <v/>
      </c>
    </row>
    <row r="6514" spans="19:25">
      <c r="S6514" t="str">
        <f t="shared" si="0"/>
        <v/>
      </c>
      <c r="T6514" t="str">
        <f t="shared" si="1"/>
        <v/>
      </c>
      <c r="U6514" t="str">
        <f t="shared" si="2"/>
        <v/>
      </c>
      <c r="V6514" t="str">
        <f>IF(OR(U6514="",U6514="ERRO_CHAVE"),"",IFERROR(MATCH(U6514,Fornecedores!$AF$1:$AF$6631,0),""))</f>
        <v/>
      </c>
      <c r="W6514" t="str">
        <f t="shared" si="3"/>
        <v/>
      </c>
      <c r="X6514" s="4" t="str">
        <f>IF(V6514="","",INDEX(Fornecedores!$X$1:$X$6631,V6514))</f>
        <v/>
      </c>
      <c r="Y6514" s="4" t="str">
        <f t="shared" si="4"/>
        <v/>
      </c>
    </row>
    <row r="6515" spans="19:25">
      <c r="S6515" t="str">
        <f t="shared" si="0"/>
        <v/>
      </c>
      <c r="T6515" t="str">
        <f t="shared" si="1"/>
        <v/>
      </c>
      <c r="U6515" t="str">
        <f t="shared" si="2"/>
        <v/>
      </c>
      <c r="V6515" t="str">
        <f>IF(OR(U6515="",U6515="ERRO_CHAVE"),"",IFERROR(MATCH(U6515,Fornecedores!$AF$1:$AF$6631,0),""))</f>
        <v/>
      </c>
      <c r="W6515" t="str">
        <f t="shared" si="3"/>
        <v/>
      </c>
      <c r="X6515" s="4" t="str">
        <f>IF(V6515="","",INDEX(Fornecedores!$X$1:$X$6631,V6515))</f>
        <v/>
      </c>
      <c r="Y6515" s="4" t="str">
        <f t="shared" si="4"/>
        <v/>
      </c>
    </row>
    <row r="6516" spans="19:25">
      <c r="S6516" t="str">
        <f t="shared" si="0"/>
        <v/>
      </c>
      <c r="T6516" t="str">
        <f t="shared" si="1"/>
        <v/>
      </c>
      <c r="U6516" t="str">
        <f t="shared" si="2"/>
        <v/>
      </c>
      <c r="V6516" t="str">
        <f>IF(OR(U6516="",U6516="ERRO_CHAVE"),"",IFERROR(MATCH(U6516,Fornecedores!$AF$1:$AF$6631,0),""))</f>
        <v/>
      </c>
      <c r="W6516" t="str">
        <f t="shared" si="3"/>
        <v/>
      </c>
      <c r="X6516" s="4" t="str">
        <f>IF(V6516="","",INDEX(Fornecedores!$X$1:$X$6631,V6516))</f>
        <v/>
      </c>
      <c r="Y6516" s="4" t="str">
        <f t="shared" si="4"/>
        <v/>
      </c>
    </row>
    <row r="6517" spans="19:25">
      <c r="S6517" t="str">
        <f t="shared" si="0"/>
        <v/>
      </c>
      <c r="T6517" t="str">
        <f t="shared" si="1"/>
        <v/>
      </c>
      <c r="U6517" t="str">
        <f t="shared" si="2"/>
        <v/>
      </c>
      <c r="V6517" t="str">
        <f>IF(OR(U6517="",U6517="ERRO_CHAVE"),"",IFERROR(MATCH(U6517,Fornecedores!$AF$1:$AF$6631,0),""))</f>
        <v/>
      </c>
      <c r="W6517" t="str">
        <f t="shared" si="3"/>
        <v/>
      </c>
      <c r="X6517" s="4" t="str">
        <f>IF(V6517="","",INDEX(Fornecedores!$X$1:$X$6631,V6517))</f>
        <v/>
      </c>
      <c r="Y6517" s="4" t="str">
        <f t="shared" si="4"/>
        <v/>
      </c>
    </row>
    <row r="6518" spans="19:25">
      <c r="S6518" t="str">
        <f t="shared" si="0"/>
        <v/>
      </c>
      <c r="T6518" t="str">
        <f t="shared" si="1"/>
        <v/>
      </c>
      <c r="U6518" t="str">
        <f t="shared" si="2"/>
        <v/>
      </c>
      <c r="V6518" t="str">
        <f>IF(OR(U6518="",U6518="ERRO_CHAVE"),"",IFERROR(MATCH(U6518,Fornecedores!$AF$1:$AF$6631,0),""))</f>
        <v/>
      </c>
      <c r="W6518" t="str">
        <f t="shared" si="3"/>
        <v/>
      </c>
      <c r="X6518" s="4" t="str">
        <f>IF(V6518="","",INDEX(Fornecedores!$X$1:$X$6631,V6518))</f>
        <v/>
      </c>
      <c r="Y6518" s="4" t="str">
        <f t="shared" si="4"/>
        <v/>
      </c>
    </row>
    <row r="6519" spans="19:25">
      <c r="S6519" t="str">
        <f t="shared" si="0"/>
        <v/>
      </c>
      <c r="T6519" t="str">
        <f t="shared" si="1"/>
        <v/>
      </c>
      <c r="U6519" t="str">
        <f t="shared" si="2"/>
        <v/>
      </c>
      <c r="V6519" t="str">
        <f>IF(OR(U6519="",U6519="ERRO_CHAVE"),"",IFERROR(MATCH(U6519,Fornecedores!$AF$1:$AF$6631,0),""))</f>
        <v/>
      </c>
      <c r="W6519" t="str">
        <f t="shared" si="3"/>
        <v/>
      </c>
      <c r="X6519" s="4" t="str">
        <f>IF(V6519="","",INDEX(Fornecedores!$X$1:$X$6631,V6519))</f>
        <v/>
      </c>
      <c r="Y6519" s="4" t="str">
        <f t="shared" si="4"/>
        <v/>
      </c>
    </row>
    <row r="6520" spans="19:25">
      <c r="S6520" t="str">
        <f t="shared" si="0"/>
        <v/>
      </c>
      <c r="T6520" t="str">
        <f t="shared" si="1"/>
        <v/>
      </c>
      <c r="U6520" t="str">
        <f t="shared" si="2"/>
        <v/>
      </c>
      <c r="V6520" t="str">
        <f>IF(OR(U6520="",U6520="ERRO_CHAVE"),"",IFERROR(MATCH(U6520,Fornecedores!$AF$1:$AF$6631,0),""))</f>
        <v/>
      </c>
      <c r="W6520" t="str">
        <f t="shared" si="3"/>
        <v/>
      </c>
      <c r="X6520" s="4" t="str">
        <f>IF(V6520="","",INDEX(Fornecedores!$X$1:$X$6631,V6520))</f>
        <v/>
      </c>
      <c r="Y6520" s="4" t="str">
        <f t="shared" si="4"/>
        <v/>
      </c>
    </row>
    <row r="6521" spans="19:25">
      <c r="S6521" t="str">
        <f t="shared" si="0"/>
        <v/>
      </c>
      <c r="T6521" t="str">
        <f t="shared" si="1"/>
        <v/>
      </c>
      <c r="U6521" t="str">
        <f t="shared" si="2"/>
        <v/>
      </c>
      <c r="V6521" t="str">
        <f>IF(OR(U6521="",U6521="ERRO_CHAVE"),"",IFERROR(MATCH(U6521,Fornecedores!$AF$1:$AF$6631,0),""))</f>
        <v/>
      </c>
      <c r="W6521" t="str">
        <f t="shared" si="3"/>
        <v/>
      </c>
      <c r="X6521" s="4" t="str">
        <f>IF(V6521="","",INDEX(Fornecedores!$X$1:$X$6631,V6521))</f>
        <v/>
      </c>
      <c r="Y6521" s="4" t="str">
        <f t="shared" si="4"/>
        <v/>
      </c>
    </row>
    <row r="6522" spans="19:25">
      <c r="S6522" t="str">
        <f t="shared" si="0"/>
        <v/>
      </c>
      <c r="T6522" t="str">
        <f t="shared" si="1"/>
        <v/>
      </c>
      <c r="U6522" t="str">
        <f t="shared" si="2"/>
        <v/>
      </c>
      <c r="V6522" t="str">
        <f>IF(OR(U6522="",U6522="ERRO_CHAVE"),"",IFERROR(MATCH(U6522,Fornecedores!$AF$1:$AF$6631,0),""))</f>
        <v/>
      </c>
      <c r="W6522" t="str">
        <f t="shared" si="3"/>
        <v/>
      </c>
      <c r="X6522" s="4" t="str">
        <f>IF(V6522="","",INDEX(Fornecedores!$X$1:$X$6631,V6522))</f>
        <v/>
      </c>
      <c r="Y6522" s="4" t="str">
        <f t="shared" si="4"/>
        <v/>
      </c>
    </row>
    <row r="6523" spans="19:25">
      <c r="S6523" t="str">
        <f t="shared" si="0"/>
        <v/>
      </c>
      <c r="T6523" t="str">
        <f t="shared" si="1"/>
        <v/>
      </c>
      <c r="U6523" t="str">
        <f t="shared" si="2"/>
        <v/>
      </c>
      <c r="V6523" t="str">
        <f>IF(OR(U6523="",U6523="ERRO_CHAVE"),"",IFERROR(MATCH(U6523,Fornecedores!$AF$1:$AF$6631,0),""))</f>
        <v/>
      </c>
      <c r="W6523" t="str">
        <f t="shared" si="3"/>
        <v/>
      </c>
      <c r="X6523" s="4" t="str">
        <f>IF(V6523="","",INDEX(Fornecedores!$X$1:$X$6631,V6523))</f>
        <v/>
      </c>
      <c r="Y6523" s="4" t="str">
        <f t="shared" si="4"/>
        <v/>
      </c>
    </row>
    <row r="6524" spans="19:25">
      <c r="S6524" t="str">
        <f t="shared" si="0"/>
        <v/>
      </c>
      <c r="T6524" t="str">
        <f t="shared" si="1"/>
        <v/>
      </c>
      <c r="U6524" t="str">
        <f t="shared" si="2"/>
        <v/>
      </c>
      <c r="V6524" t="str">
        <f>IF(OR(U6524="",U6524="ERRO_CHAVE"),"",IFERROR(MATCH(U6524,Fornecedores!$AF$1:$AF$6631,0),""))</f>
        <v/>
      </c>
      <c r="W6524" t="str">
        <f t="shared" si="3"/>
        <v/>
      </c>
      <c r="X6524" s="4" t="str">
        <f>IF(V6524="","",INDEX(Fornecedores!$X$1:$X$6631,V6524))</f>
        <v/>
      </c>
      <c r="Y6524" s="4" t="str">
        <f t="shared" si="4"/>
        <v/>
      </c>
    </row>
    <row r="6525" spans="19:25">
      <c r="S6525" t="str">
        <f t="shared" si="0"/>
        <v/>
      </c>
      <c r="T6525" t="str">
        <f t="shared" si="1"/>
        <v/>
      </c>
      <c r="U6525" t="str">
        <f t="shared" si="2"/>
        <v/>
      </c>
      <c r="V6525" t="str">
        <f>IF(OR(U6525="",U6525="ERRO_CHAVE"),"",IFERROR(MATCH(U6525,Fornecedores!$AF$1:$AF$6631,0),""))</f>
        <v/>
      </c>
      <c r="W6525" t="str">
        <f t="shared" si="3"/>
        <v/>
      </c>
      <c r="X6525" s="4" t="str">
        <f>IF(V6525="","",INDEX(Fornecedores!$X$1:$X$6631,V6525))</f>
        <v/>
      </c>
      <c r="Y6525" s="4" t="str">
        <f t="shared" si="4"/>
        <v/>
      </c>
    </row>
    <row r="6526" spans="19:25">
      <c r="S6526" t="str">
        <f t="shared" si="0"/>
        <v/>
      </c>
      <c r="T6526" t="str">
        <f t="shared" si="1"/>
        <v/>
      </c>
      <c r="U6526" t="str">
        <f t="shared" si="2"/>
        <v/>
      </c>
      <c r="V6526" t="str">
        <f>IF(OR(U6526="",U6526="ERRO_CHAVE"),"",IFERROR(MATCH(U6526,Fornecedores!$AF$1:$AF$6631,0),""))</f>
        <v/>
      </c>
      <c r="W6526" t="str">
        <f t="shared" si="3"/>
        <v/>
      </c>
      <c r="X6526" s="4" t="str">
        <f>IF(V6526="","",INDEX(Fornecedores!$X$1:$X$6631,V6526))</f>
        <v/>
      </c>
      <c r="Y6526" s="4" t="str">
        <f t="shared" si="4"/>
        <v/>
      </c>
    </row>
    <row r="6527" spans="19:25">
      <c r="S6527" t="str">
        <f t="shared" si="0"/>
        <v/>
      </c>
      <c r="T6527" t="str">
        <f t="shared" si="1"/>
        <v/>
      </c>
      <c r="U6527" t="str">
        <f t="shared" si="2"/>
        <v/>
      </c>
      <c r="V6527" t="str">
        <f>IF(OR(U6527="",U6527="ERRO_CHAVE"),"",IFERROR(MATCH(U6527,Fornecedores!$AF$1:$AF$6631,0),""))</f>
        <v/>
      </c>
      <c r="W6527" t="str">
        <f t="shared" si="3"/>
        <v/>
      </c>
      <c r="X6527" s="4" t="str">
        <f>IF(V6527="","",INDEX(Fornecedores!$X$1:$X$6631,V6527))</f>
        <v/>
      </c>
      <c r="Y6527" s="4" t="str">
        <f t="shared" si="4"/>
        <v/>
      </c>
    </row>
    <row r="6528" spans="19:25">
      <c r="S6528" t="str">
        <f t="shared" si="0"/>
        <v/>
      </c>
      <c r="T6528" t="str">
        <f t="shared" si="1"/>
        <v/>
      </c>
      <c r="U6528" t="str">
        <f t="shared" si="2"/>
        <v/>
      </c>
      <c r="V6528" t="str">
        <f>IF(OR(U6528="",U6528="ERRO_CHAVE"),"",IFERROR(MATCH(U6528,Fornecedores!$AF$1:$AF$6631,0),""))</f>
        <v/>
      </c>
      <c r="W6528" t="str">
        <f t="shared" si="3"/>
        <v/>
      </c>
      <c r="X6528" s="4" t="str">
        <f>IF(V6528="","",INDEX(Fornecedores!$X$1:$X$6631,V6528))</f>
        <v/>
      </c>
      <c r="Y6528" s="4" t="str">
        <f t="shared" si="4"/>
        <v/>
      </c>
    </row>
    <row r="6529" spans="19:25">
      <c r="S6529" t="str">
        <f t="shared" si="0"/>
        <v/>
      </c>
      <c r="T6529" t="str">
        <f t="shared" si="1"/>
        <v/>
      </c>
      <c r="U6529" t="str">
        <f t="shared" si="2"/>
        <v/>
      </c>
      <c r="V6529" t="str">
        <f>IF(OR(U6529="",U6529="ERRO_CHAVE"),"",IFERROR(MATCH(U6529,Fornecedores!$AF$1:$AF$6631,0),""))</f>
        <v/>
      </c>
      <c r="W6529" t="str">
        <f t="shared" si="3"/>
        <v/>
      </c>
      <c r="X6529" s="4" t="str">
        <f>IF(V6529="","",INDEX(Fornecedores!$X$1:$X$6631,V6529))</f>
        <v/>
      </c>
      <c r="Y6529" s="4" t="str">
        <f t="shared" si="4"/>
        <v/>
      </c>
    </row>
    <row r="6530" spans="19:25">
      <c r="S6530" t="str">
        <f t="shared" si="0"/>
        <v/>
      </c>
      <c r="T6530" t="str">
        <f t="shared" si="1"/>
        <v/>
      </c>
      <c r="U6530" t="str">
        <f t="shared" si="2"/>
        <v/>
      </c>
      <c r="V6530" t="str">
        <f>IF(OR(U6530="",U6530="ERRO_CHAVE"),"",IFERROR(MATCH(U6530,Fornecedores!$AF$1:$AF$6631,0),""))</f>
        <v/>
      </c>
      <c r="W6530" t="str">
        <f t="shared" si="3"/>
        <v/>
      </c>
      <c r="X6530" s="4" t="str">
        <f>IF(V6530="","",INDEX(Fornecedores!$X$1:$X$6631,V6530))</f>
        <v/>
      </c>
      <c r="Y6530" s="4" t="str">
        <f t="shared" si="4"/>
        <v/>
      </c>
    </row>
    <row r="6531" spans="19:25">
      <c r="S6531" t="str">
        <f t="shared" si="0"/>
        <v/>
      </c>
      <c r="T6531" t="str">
        <f t="shared" si="1"/>
        <v/>
      </c>
      <c r="U6531" t="str">
        <f t="shared" si="2"/>
        <v/>
      </c>
      <c r="V6531" t="str">
        <f>IF(OR(U6531="",U6531="ERRO_CHAVE"),"",IFERROR(MATCH(U6531,Fornecedores!$AF$1:$AF$6631,0),""))</f>
        <v/>
      </c>
      <c r="W6531" t="str">
        <f t="shared" si="3"/>
        <v/>
      </c>
      <c r="X6531" s="4" t="str">
        <f>IF(V6531="","",INDEX(Fornecedores!$X$1:$X$6631,V6531))</f>
        <v/>
      </c>
      <c r="Y6531" s="4" t="str">
        <f t="shared" si="4"/>
        <v/>
      </c>
    </row>
    <row r="6532" spans="19:25">
      <c r="S6532" t="str">
        <f t="shared" si="0"/>
        <v/>
      </c>
      <c r="T6532" t="str">
        <f t="shared" si="1"/>
        <v/>
      </c>
      <c r="U6532" t="str">
        <f t="shared" si="2"/>
        <v/>
      </c>
      <c r="V6532" t="str">
        <f>IF(OR(U6532="",U6532="ERRO_CHAVE"),"",IFERROR(MATCH(U6532,Fornecedores!$AF$1:$AF$6631,0),""))</f>
        <v/>
      </c>
      <c r="W6532" t="str">
        <f t="shared" si="3"/>
        <v/>
      </c>
      <c r="X6532" s="4" t="str">
        <f>IF(V6532="","",INDEX(Fornecedores!$X$1:$X$6631,V6532))</f>
        <v/>
      </c>
      <c r="Y6532" s="4" t="str">
        <f t="shared" si="4"/>
        <v/>
      </c>
    </row>
    <row r="6533" spans="19:25">
      <c r="S6533" t="str">
        <f t="shared" si="0"/>
        <v/>
      </c>
      <c r="T6533" t="str">
        <f t="shared" si="1"/>
        <v/>
      </c>
      <c r="U6533" t="str">
        <f t="shared" si="2"/>
        <v/>
      </c>
      <c r="V6533" t="str">
        <f>IF(OR(U6533="",U6533="ERRO_CHAVE"),"",IFERROR(MATCH(U6533,Fornecedores!$AF$1:$AF$6631,0),""))</f>
        <v/>
      </c>
      <c r="W6533" t="str">
        <f t="shared" si="3"/>
        <v/>
      </c>
      <c r="X6533" s="4" t="str">
        <f>IF(V6533="","",INDEX(Fornecedores!$X$1:$X$6631,V6533))</f>
        <v/>
      </c>
      <c r="Y6533" s="4" t="str">
        <f t="shared" si="4"/>
        <v/>
      </c>
    </row>
    <row r="6534" spans="19:25">
      <c r="S6534" t="str">
        <f t="shared" si="0"/>
        <v/>
      </c>
      <c r="T6534" t="str">
        <f t="shared" si="1"/>
        <v/>
      </c>
      <c r="U6534" t="str">
        <f t="shared" si="2"/>
        <v/>
      </c>
      <c r="V6534" t="str">
        <f>IF(OR(U6534="",U6534="ERRO_CHAVE"),"",IFERROR(MATCH(U6534,Fornecedores!$AF$1:$AF$6631,0),""))</f>
        <v/>
      </c>
      <c r="W6534" t="str">
        <f t="shared" si="3"/>
        <v/>
      </c>
      <c r="X6534" s="4" t="str">
        <f>IF(V6534="","",INDEX(Fornecedores!$X$1:$X$6631,V6534))</f>
        <v/>
      </c>
      <c r="Y6534" s="4" t="str">
        <f t="shared" si="4"/>
        <v/>
      </c>
    </row>
    <row r="6535" spans="19:25">
      <c r="S6535" t="str">
        <f t="shared" si="0"/>
        <v/>
      </c>
      <c r="T6535" t="str">
        <f t="shared" si="1"/>
        <v/>
      </c>
      <c r="U6535" t="str">
        <f t="shared" si="2"/>
        <v/>
      </c>
      <c r="V6535" t="str">
        <f>IF(OR(U6535="",U6535="ERRO_CHAVE"),"",IFERROR(MATCH(U6535,Fornecedores!$AF$1:$AF$6631,0),""))</f>
        <v/>
      </c>
      <c r="W6535" t="str">
        <f t="shared" si="3"/>
        <v/>
      </c>
      <c r="X6535" s="4" t="str">
        <f>IF(V6535="","",INDEX(Fornecedores!$X$1:$X$6631,V6535))</f>
        <v/>
      </c>
      <c r="Y6535" s="4" t="str">
        <f t="shared" si="4"/>
        <v/>
      </c>
    </row>
    <row r="6536" spans="19:25">
      <c r="S6536" t="str">
        <f t="shared" si="0"/>
        <v/>
      </c>
      <c r="T6536" t="str">
        <f t="shared" si="1"/>
        <v/>
      </c>
      <c r="U6536" t="str">
        <f t="shared" si="2"/>
        <v/>
      </c>
      <c r="V6536" t="str">
        <f>IF(OR(U6536="",U6536="ERRO_CHAVE"),"",IFERROR(MATCH(U6536,Fornecedores!$AF$1:$AF$6631,0),""))</f>
        <v/>
      </c>
      <c r="W6536" t="str">
        <f t="shared" si="3"/>
        <v/>
      </c>
      <c r="X6536" s="4" t="str">
        <f>IF(V6536="","",INDEX(Fornecedores!$X$1:$X$6631,V6536))</f>
        <v/>
      </c>
      <c r="Y6536" s="4" t="str">
        <f t="shared" si="4"/>
        <v/>
      </c>
    </row>
    <row r="6537" spans="19:25">
      <c r="S6537" t="str">
        <f t="shared" si="0"/>
        <v/>
      </c>
      <c r="T6537" t="str">
        <f t="shared" si="1"/>
        <v/>
      </c>
      <c r="U6537" t="str">
        <f t="shared" si="2"/>
        <v/>
      </c>
      <c r="V6537" t="str">
        <f>IF(OR(U6537="",U6537="ERRO_CHAVE"),"",IFERROR(MATCH(U6537,Fornecedores!$AF$1:$AF$6631,0),""))</f>
        <v/>
      </c>
      <c r="W6537" t="str">
        <f t="shared" si="3"/>
        <v/>
      </c>
      <c r="X6537" s="4" t="str">
        <f>IF(V6537="","",INDEX(Fornecedores!$X$1:$X$6631,V6537))</f>
        <v/>
      </c>
      <c r="Y6537" s="4" t="str">
        <f t="shared" si="4"/>
        <v/>
      </c>
    </row>
    <row r="6538" spans="19:25">
      <c r="S6538" t="str">
        <f t="shared" si="0"/>
        <v/>
      </c>
      <c r="T6538" t="str">
        <f t="shared" si="1"/>
        <v/>
      </c>
      <c r="U6538" t="str">
        <f t="shared" si="2"/>
        <v/>
      </c>
      <c r="V6538" t="str">
        <f>IF(OR(U6538="",U6538="ERRO_CHAVE"),"",IFERROR(MATCH(U6538,Fornecedores!$AF$1:$AF$6631,0),""))</f>
        <v/>
      </c>
      <c r="W6538" t="str">
        <f t="shared" si="3"/>
        <v/>
      </c>
      <c r="X6538" s="4" t="str">
        <f>IF(V6538="","",INDEX(Fornecedores!$X$1:$X$6631,V6538))</f>
        <v/>
      </c>
      <c r="Y6538" s="4" t="str">
        <f t="shared" si="4"/>
        <v/>
      </c>
    </row>
    <row r="6539" spans="19:25">
      <c r="S6539" t="str">
        <f t="shared" si="0"/>
        <v/>
      </c>
      <c r="T6539" t="str">
        <f t="shared" si="1"/>
        <v/>
      </c>
      <c r="U6539" t="str">
        <f t="shared" si="2"/>
        <v/>
      </c>
      <c r="V6539" t="str">
        <f>IF(OR(U6539="",U6539="ERRO_CHAVE"),"",IFERROR(MATCH(U6539,Fornecedores!$AF$1:$AF$6631,0),""))</f>
        <v/>
      </c>
      <c r="W6539" t="str">
        <f t="shared" si="3"/>
        <v/>
      </c>
      <c r="X6539" s="4" t="str">
        <f>IF(V6539="","",INDEX(Fornecedores!$X$1:$X$6631,V6539))</f>
        <v/>
      </c>
      <c r="Y6539" s="4" t="str">
        <f t="shared" si="4"/>
        <v/>
      </c>
    </row>
    <row r="6540" spans="19:25">
      <c r="S6540" t="str">
        <f t="shared" si="0"/>
        <v/>
      </c>
      <c r="T6540" t="str">
        <f t="shared" si="1"/>
        <v/>
      </c>
      <c r="U6540" t="str">
        <f t="shared" si="2"/>
        <v/>
      </c>
      <c r="V6540" t="str">
        <f>IF(OR(U6540="",U6540="ERRO_CHAVE"),"",IFERROR(MATCH(U6540,Fornecedores!$AF$1:$AF$6631,0),""))</f>
        <v/>
      </c>
      <c r="W6540" t="str">
        <f t="shared" si="3"/>
        <v/>
      </c>
      <c r="X6540" s="4" t="str">
        <f>IF(V6540="","",INDEX(Fornecedores!$X$1:$X$6631,V6540))</f>
        <v/>
      </c>
      <c r="Y6540" s="4" t="str">
        <f t="shared" si="4"/>
        <v/>
      </c>
    </row>
    <row r="6541" spans="19:25">
      <c r="S6541" t="str">
        <f t="shared" si="0"/>
        <v/>
      </c>
      <c r="T6541" t="str">
        <f t="shared" si="1"/>
        <v/>
      </c>
      <c r="U6541" t="str">
        <f t="shared" si="2"/>
        <v/>
      </c>
      <c r="V6541" t="str">
        <f>IF(OR(U6541="",U6541="ERRO_CHAVE"),"",IFERROR(MATCH(U6541,Fornecedores!$AF$1:$AF$6631,0),""))</f>
        <v/>
      </c>
      <c r="W6541" t="str">
        <f t="shared" si="3"/>
        <v/>
      </c>
      <c r="X6541" s="4" t="str">
        <f>IF(V6541="","",INDEX(Fornecedores!$X$1:$X$6631,V6541))</f>
        <v/>
      </c>
      <c r="Y6541" s="4" t="str">
        <f t="shared" si="4"/>
        <v/>
      </c>
    </row>
    <row r="6542" spans="19:25">
      <c r="S6542" t="str">
        <f t="shared" si="0"/>
        <v/>
      </c>
      <c r="T6542" t="str">
        <f t="shared" si="1"/>
        <v/>
      </c>
      <c r="U6542" t="str">
        <f t="shared" si="2"/>
        <v/>
      </c>
      <c r="V6542" t="str">
        <f>IF(OR(U6542="",U6542="ERRO_CHAVE"),"",IFERROR(MATCH(U6542,Fornecedores!$AF$1:$AF$6631,0),""))</f>
        <v/>
      </c>
      <c r="W6542" t="str">
        <f t="shared" si="3"/>
        <v/>
      </c>
      <c r="X6542" s="4" t="str">
        <f>IF(V6542="","",INDEX(Fornecedores!$X$1:$X$6631,V6542))</f>
        <v/>
      </c>
      <c r="Y6542" s="4" t="str">
        <f t="shared" si="4"/>
        <v/>
      </c>
    </row>
    <row r="6543" spans="19:25">
      <c r="S6543" t="str">
        <f t="shared" si="0"/>
        <v/>
      </c>
      <c r="T6543" t="str">
        <f t="shared" si="1"/>
        <v/>
      </c>
      <c r="U6543" t="str">
        <f t="shared" si="2"/>
        <v/>
      </c>
      <c r="V6543" t="str">
        <f>IF(OR(U6543="",U6543="ERRO_CHAVE"),"",IFERROR(MATCH(U6543,Fornecedores!$AF$1:$AF$6631,0),""))</f>
        <v/>
      </c>
      <c r="W6543" t="str">
        <f t="shared" si="3"/>
        <v/>
      </c>
      <c r="X6543" s="4" t="str">
        <f>IF(V6543="","",INDEX(Fornecedores!$X$1:$X$6631,V6543))</f>
        <v/>
      </c>
      <c r="Y6543" s="4" t="str">
        <f t="shared" si="4"/>
        <v/>
      </c>
    </row>
    <row r="6544" spans="19:25">
      <c r="S6544" t="str">
        <f t="shared" si="0"/>
        <v/>
      </c>
      <c r="T6544" t="str">
        <f t="shared" si="1"/>
        <v/>
      </c>
      <c r="U6544" t="str">
        <f t="shared" si="2"/>
        <v/>
      </c>
      <c r="V6544" t="str">
        <f>IF(OR(U6544="",U6544="ERRO_CHAVE"),"",IFERROR(MATCH(U6544,Fornecedores!$AF$1:$AF$6631,0),""))</f>
        <v/>
      </c>
      <c r="W6544" t="str">
        <f t="shared" si="3"/>
        <v/>
      </c>
      <c r="X6544" s="4" t="str">
        <f>IF(V6544="","",INDEX(Fornecedores!$X$1:$X$6631,V6544))</f>
        <v/>
      </c>
      <c r="Y6544" s="4" t="str">
        <f t="shared" si="4"/>
        <v/>
      </c>
    </row>
    <row r="6545" spans="19:25">
      <c r="S6545" t="str">
        <f t="shared" si="0"/>
        <v/>
      </c>
      <c r="T6545" t="str">
        <f t="shared" si="1"/>
        <v/>
      </c>
      <c r="U6545" t="str">
        <f t="shared" si="2"/>
        <v/>
      </c>
      <c r="V6545" t="str">
        <f>IF(OR(U6545="",U6545="ERRO_CHAVE"),"",IFERROR(MATCH(U6545,Fornecedores!$AF$1:$AF$6631,0),""))</f>
        <v/>
      </c>
      <c r="W6545" t="str">
        <f t="shared" si="3"/>
        <v/>
      </c>
      <c r="X6545" s="4" t="str">
        <f>IF(V6545="","",INDEX(Fornecedores!$X$1:$X$6631,V6545))</f>
        <v/>
      </c>
      <c r="Y6545" s="4" t="str">
        <f t="shared" si="4"/>
        <v/>
      </c>
    </row>
    <row r="6546" spans="19:25">
      <c r="S6546" t="str">
        <f t="shared" si="0"/>
        <v/>
      </c>
      <c r="T6546" t="str">
        <f t="shared" si="1"/>
        <v/>
      </c>
      <c r="U6546" t="str">
        <f t="shared" si="2"/>
        <v/>
      </c>
      <c r="V6546" t="str">
        <f>IF(OR(U6546="",U6546="ERRO_CHAVE"),"",IFERROR(MATCH(U6546,Fornecedores!$AF$1:$AF$6631,0),""))</f>
        <v/>
      </c>
      <c r="W6546" t="str">
        <f t="shared" si="3"/>
        <v/>
      </c>
      <c r="X6546" s="4" t="str">
        <f>IF(V6546="","",INDEX(Fornecedores!$X$1:$X$6631,V6546))</f>
        <v/>
      </c>
      <c r="Y6546" s="4" t="str">
        <f t="shared" si="4"/>
        <v/>
      </c>
    </row>
    <row r="6547" spans="19:25">
      <c r="S6547" t="str">
        <f t="shared" si="0"/>
        <v/>
      </c>
      <c r="T6547" t="str">
        <f t="shared" si="1"/>
        <v/>
      </c>
      <c r="U6547" t="str">
        <f t="shared" si="2"/>
        <v/>
      </c>
      <c r="V6547" t="str">
        <f>IF(OR(U6547="",U6547="ERRO_CHAVE"),"",IFERROR(MATCH(U6547,Fornecedores!$AF$1:$AF$6631,0),""))</f>
        <v/>
      </c>
      <c r="W6547" t="str">
        <f t="shared" si="3"/>
        <v/>
      </c>
      <c r="X6547" s="4" t="str">
        <f>IF(V6547="","",INDEX(Fornecedores!$X$1:$X$6631,V6547))</f>
        <v/>
      </c>
      <c r="Y6547" s="4" t="str">
        <f t="shared" si="4"/>
        <v/>
      </c>
    </row>
    <row r="6548" spans="19:25">
      <c r="S6548" t="str">
        <f t="shared" si="0"/>
        <v/>
      </c>
      <c r="T6548" t="str">
        <f t="shared" si="1"/>
        <v/>
      </c>
      <c r="U6548" t="str">
        <f t="shared" si="2"/>
        <v/>
      </c>
      <c r="V6548" t="str">
        <f>IF(OR(U6548="",U6548="ERRO_CHAVE"),"",IFERROR(MATCH(U6548,Fornecedores!$AF$1:$AF$6631,0),""))</f>
        <v/>
      </c>
      <c r="W6548" t="str">
        <f t="shared" si="3"/>
        <v/>
      </c>
      <c r="X6548" s="4" t="str">
        <f>IF(V6548="","",INDEX(Fornecedores!$X$1:$X$6631,V6548))</f>
        <v/>
      </c>
      <c r="Y6548" s="4" t="str">
        <f t="shared" si="4"/>
        <v/>
      </c>
    </row>
    <row r="6549" spans="19:25">
      <c r="S6549" t="str">
        <f t="shared" si="0"/>
        <v/>
      </c>
      <c r="T6549" t="str">
        <f t="shared" si="1"/>
        <v/>
      </c>
      <c r="U6549" t="str">
        <f t="shared" si="2"/>
        <v/>
      </c>
      <c r="V6549" t="str">
        <f>IF(OR(U6549="",U6549="ERRO_CHAVE"),"",IFERROR(MATCH(U6549,Fornecedores!$AF$1:$AF$6631,0),""))</f>
        <v/>
      </c>
      <c r="W6549" t="str">
        <f t="shared" si="3"/>
        <v/>
      </c>
      <c r="X6549" s="4" t="str">
        <f>IF(V6549="","",INDEX(Fornecedores!$X$1:$X$6631,V6549))</f>
        <v/>
      </c>
      <c r="Y6549" s="4" t="str">
        <f t="shared" si="4"/>
        <v/>
      </c>
    </row>
    <row r="6550" spans="19:25">
      <c r="S6550" t="str">
        <f t="shared" si="0"/>
        <v/>
      </c>
      <c r="T6550" t="str">
        <f t="shared" si="1"/>
        <v/>
      </c>
      <c r="U6550" t="str">
        <f t="shared" si="2"/>
        <v/>
      </c>
      <c r="V6550" t="str">
        <f>IF(OR(U6550="",U6550="ERRO_CHAVE"),"",IFERROR(MATCH(U6550,Fornecedores!$AF$1:$AF$6631,0),""))</f>
        <v/>
      </c>
      <c r="W6550" t="str">
        <f t="shared" si="3"/>
        <v/>
      </c>
      <c r="X6550" s="4" t="str">
        <f>IF(V6550="","",INDEX(Fornecedores!$X$1:$X$6631,V6550))</f>
        <v/>
      </c>
      <c r="Y6550" s="4" t="str">
        <f t="shared" si="4"/>
        <v/>
      </c>
    </row>
    <row r="6551" spans="19:25">
      <c r="S6551" t="str">
        <f t="shared" si="0"/>
        <v/>
      </c>
      <c r="T6551" t="str">
        <f t="shared" si="1"/>
        <v/>
      </c>
      <c r="U6551" t="str">
        <f t="shared" si="2"/>
        <v/>
      </c>
      <c r="V6551" t="str">
        <f>IF(OR(U6551="",U6551="ERRO_CHAVE"),"",IFERROR(MATCH(U6551,Fornecedores!$AF$1:$AF$6631,0),""))</f>
        <v/>
      </c>
      <c r="W6551" t="str">
        <f t="shared" si="3"/>
        <v/>
      </c>
      <c r="X6551" s="4" t="str">
        <f>IF(V6551="","",INDEX(Fornecedores!$X$1:$X$6631,V6551))</f>
        <v/>
      </c>
      <c r="Y6551" s="4" t="str">
        <f t="shared" si="4"/>
        <v/>
      </c>
    </row>
    <row r="6552" spans="19:25">
      <c r="S6552" t="str">
        <f t="shared" si="0"/>
        <v/>
      </c>
      <c r="T6552" t="str">
        <f t="shared" si="1"/>
        <v/>
      </c>
      <c r="U6552" t="str">
        <f t="shared" si="2"/>
        <v/>
      </c>
      <c r="V6552" t="str">
        <f>IF(OR(U6552="",U6552="ERRO_CHAVE"),"",IFERROR(MATCH(U6552,Fornecedores!$AF$1:$AF$6631,0),""))</f>
        <v/>
      </c>
      <c r="W6552" t="str">
        <f t="shared" si="3"/>
        <v/>
      </c>
      <c r="X6552" s="4" t="str">
        <f>IF(V6552="","",INDEX(Fornecedores!$X$1:$X$6631,V6552))</f>
        <v/>
      </c>
      <c r="Y6552" s="4" t="str">
        <f t="shared" si="4"/>
        <v/>
      </c>
    </row>
    <row r="6553" spans="19:25">
      <c r="S6553" t="str">
        <f t="shared" si="0"/>
        <v/>
      </c>
      <c r="T6553" t="str">
        <f t="shared" si="1"/>
        <v/>
      </c>
      <c r="U6553" t="str">
        <f t="shared" si="2"/>
        <v/>
      </c>
      <c r="V6553" t="str">
        <f>IF(OR(U6553="",U6553="ERRO_CHAVE"),"",IFERROR(MATCH(U6553,Fornecedores!$AF$1:$AF$6631,0),""))</f>
        <v/>
      </c>
      <c r="W6553" t="str">
        <f t="shared" si="3"/>
        <v/>
      </c>
      <c r="X6553" s="4" t="str">
        <f>IF(V6553="","",INDEX(Fornecedores!$X$1:$X$6631,V6553))</f>
        <v/>
      </c>
      <c r="Y6553" s="4" t="str">
        <f t="shared" si="4"/>
        <v/>
      </c>
    </row>
    <row r="6554" spans="19:25">
      <c r="S6554" t="str">
        <f t="shared" si="0"/>
        <v/>
      </c>
      <c r="T6554" t="str">
        <f t="shared" si="1"/>
        <v/>
      </c>
      <c r="U6554" t="str">
        <f t="shared" si="2"/>
        <v/>
      </c>
      <c r="V6554" t="str">
        <f>IF(OR(U6554="",U6554="ERRO_CHAVE"),"",IFERROR(MATCH(U6554,Fornecedores!$AF$1:$AF$6631,0),""))</f>
        <v/>
      </c>
      <c r="W6554" t="str">
        <f t="shared" si="3"/>
        <v/>
      </c>
      <c r="X6554" s="4" t="str">
        <f>IF(V6554="","",INDEX(Fornecedores!$X$1:$X$6631,V6554))</f>
        <v/>
      </c>
      <c r="Y6554" s="4" t="str">
        <f t="shared" si="4"/>
        <v/>
      </c>
    </row>
    <row r="6555" spans="19:25">
      <c r="S6555" t="str">
        <f t="shared" si="0"/>
        <v/>
      </c>
      <c r="T6555" t="str">
        <f t="shared" si="1"/>
        <v/>
      </c>
      <c r="U6555" t="str">
        <f t="shared" si="2"/>
        <v/>
      </c>
      <c r="V6555" t="str">
        <f>IF(OR(U6555="",U6555="ERRO_CHAVE"),"",IFERROR(MATCH(U6555,Fornecedores!$AF$1:$AF$6631,0),""))</f>
        <v/>
      </c>
      <c r="W6555" t="str">
        <f t="shared" si="3"/>
        <v/>
      </c>
      <c r="X6555" s="4" t="str">
        <f>IF(V6555="","",INDEX(Fornecedores!$X$1:$X$6631,V6555))</f>
        <v/>
      </c>
      <c r="Y6555" s="4" t="str">
        <f t="shared" si="4"/>
        <v/>
      </c>
    </row>
    <row r="6556" spans="19:25">
      <c r="S6556" t="str">
        <f t="shared" si="0"/>
        <v/>
      </c>
      <c r="T6556" t="str">
        <f t="shared" si="1"/>
        <v/>
      </c>
      <c r="U6556" t="str">
        <f t="shared" si="2"/>
        <v/>
      </c>
      <c r="V6556" t="str">
        <f>IF(OR(U6556="",U6556="ERRO_CHAVE"),"",IFERROR(MATCH(U6556,Fornecedores!$AF$1:$AF$6631,0),""))</f>
        <v/>
      </c>
      <c r="W6556" t="str">
        <f t="shared" si="3"/>
        <v/>
      </c>
      <c r="X6556" s="4" t="str">
        <f>IF(V6556="","",INDEX(Fornecedores!$X$1:$X$6631,V6556))</f>
        <v/>
      </c>
      <c r="Y6556" s="4" t="str">
        <f t="shared" si="4"/>
        <v/>
      </c>
    </row>
    <row r="6557" spans="19:25">
      <c r="S6557" t="str">
        <f t="shared" si="0"/>
        <v/>
      </c>
      <c r="T6557" t="str">
        <f t="shared" si="1"/>
        <v/>
      </c>
      <c r="U6557" t="str">
        <f t="shared" si="2"/>
        <v/>
      </c>
      <c r="V6557" t="str">
        <f>IF(OR(U6557="",U6557="ERRO_CHAVE"),"",IFERROR(MATCH(U6557,Fornecedores!$AF$1:$AF$6631,0),""))</f>
        <v/>
      </c>
      <c r="W6557" t="str">
        <f t="shared" si="3"/>
        <v/>
      </c>
      <c r="X6557" s="4" t="str">
        <f>IF(V6557="","",INDEX(Fornecedores!$X$1:$X$6631,V6557))</f>
        <v/>
      </c>
      <c r="Y6557" s="4" t="str">
        <f t="shared" si="4"/>
        <v/>
      </c>
    </row>
    <row r="6558" spans="19:25">
      <c r="S6558" t="str">
        <f t="shared" si="0"/>
        <v/>
      </c>
      <c r="T6558" t="str">
        <f t="shared" si="1"/>
        <v/>
      </c>
      <c r="U6558" t="str">
        <f t="shared" si="2"/>
        <v/>
      </c>
      <c r="V6558" t="str">
        <f>IF(OR(U6558="",U6558="ERRO_CHAVE"),"",IFERROR(MATCH(U6558,Fornecedores!$AF$1:$AF$6631,0),""))</f>
        <v/>
      </c>
      <c r="W6558" t="str">
        <f t="shared" si="3"/>
        <v/>
      </c>
      <c r="X6558" s="4" t="str">
        <f>IF(V6558="","",INDEX(Fornecedores!$X$1:$X$6631,V6558))</f>
        <v/>
      </c>
      <c r="Y6558" s="4" t="str">
        <f t="shared" si="4"/>
        <v/>
      </c>
    </row>
    <row r="6559" spans="19:25">
      <c r="S6559" t="str">
        <f t="shared" si="0"/>
        <v/>
      </c>
      <c r="T6559" t="str">
        <f t="shared" si="1"/>
        <v/>
      </c>
      <c r="U6559" t="str">
        <f t="shared" si="2"/>
        <v/>
      </c>
      <c r="V6559" t="str">
        <f>IF(OR(U6559="",U6559="ERRO_CHAVE"),"",IFERROR(MATCH(U6559,Fornecedores!$AF$1:$AF$6631,0),""))</f>
        <v/>
      </c>
      <c r="W6559" t="str">
        <f t="shared" si="3"/>
        <v/>
      </c>
      <c r="X6559" s="4" t="str">
        <f>IF(V6559="","",INDEX(Fornecedores!$X$1:$X$6631,V6559))</f>
        <v/>
      </c>
      <c r="Y6559" s="4" t="str">
        <f t="shared" si="4"/>
        <v/>
      </c>
    </row>
    <row r="6560" spans="19:25">
      <c r="S6560" t="str">
        <f t="shared" si="0"/>
        <v/>
      </c>
      <c r="T6560" t="str">
        <f t="shared" si="1"/>
        <v/>
      </c>
      <c r="U6560" t="str">
        <f t="shared" si="2"/>
        <v/>
      </c>
      <c r="V6560" t="str">
        <f>IF(OR(U6560="",U6560="ERRO_CHAVE"),"",IFERROR(MATCH(U6560,Fornecedores!$AF$1:$AF$6631,0),""))</f>
        <v/>
      </c>
      <c r="W6560" t="str">
        <f t="shared" si="3"/>
        <v/>
      </c>
      <c r="X6560" s="4" t="str">
        <f>IF(V6560="","",INDEX(Fornecedores!$X$1:$X$6631,V6560))</f>
        <v/>
      </c>
      <c r="Y6560" s="4" t="str">
        <f t="shared" si="4"/>
        <v/>
      </c>
    </row>
    <row r="6561" spans="19:25">
      <c r="S6561" t="str">
        <f t="shared" si="0"/>
        <v/>
      </c>
      <c r="T6561" t="str">
        <f t="shared" si="1"/>
        <v/>
      </c>
      <c r="U6561" t="str">
        <f t="shared" si="2"/>
        <v/>
      </c>
      <c r="V6561" t="str">
        <f>IF(OR(U6561="",U6561="ERRO_CHAVE"),"",IFERROR(MATCH(U6561,Fornecedores!$AF$1:$AF$6631,0),""))</f>
        <v/>
      </c>
      <c r="W6561" t="str">
        <f t="shared" si="3"/>
        <v/>
      </c>
      <c r="X6561" s="4" t="str">
        <f>IF(V6561="","",INDEX(Fornecedores!$X$1:$X$6631,V6561))</f>
        <v/>
      </c>
      <c r="Y6561" s="4" t="str">
        <f t="shared" si="4"/>
        <v/>
      </c>
    </row>
    <row r="6562" spans="19:25">
      <c r="S6562" t="str">
        <f t="shared" si="0"/>
        <v/>
      </c>
      <c r="T6562" t="str">
        <f t="shared" si="1"/>
        <v/>
      </c>
      <c r="U6562" t="str">
        <f t="shared" si="2"/>
        <v/>
      </c>
      <c r="V6562" t="str">
        <f>IF(OR(U6562="",U6562="ERRO_CHAVE"),"",IFERROR(MATCH(U6562,Fornecedores!$AF$1:$AF$6631,0),""))</f>
        <v/>
      </c>
      <c r="W6562" t="str">
        <f t="shared" si="3"/>
        <v/>
      </c>
      <c r="X6562" s="4" t="str">
        <f>IF(V6562="","",INDEX(Fornecedores!$X$1:$X$6631,V6562))</f>
        <v/>
      </c>
      <c r="Y6562" s="4" t="str">
        <f t="shared" si="4"/>
        <v/>
      </c>
    </row>
    <row r="6563" spans="19:25">
      <c r="S6563" t="str">
        <f t="shared" si="0"/>
        <v/>
      </c>
      <c r="T6563" t="str">
        <f t="shared" si="1"/>
        <v/>
      </c>
      <c r="U6563" t="str">
        <f t="shared" si="2"/>
        <v/>
      </c>
      <c r="V6563" t="str">
        <f>IF(OR(U6563="",U6563="ERRO_CHAVE"),"",IFERROR(MATCH(U6563,Fornecedores!$AF$1:$AF$6631,0),""))</f>
        <v/>
      </c>
      <c r="W6563" t="str">
        <f t="shared" si="3"/>
        <v/>
      </c>
      <c r="X6563" s="4" t="str">
        <f>IF(V6563="","",INDEX(Fornecedores!$X$1:$X$6631,V6563))</f>
        <v/>
      </c>
      <c r="Y6563" s="4" t="str">
        <f t="shared" si="4"/>
        <v/>
      </c>
    </row>
    <row r="6564" spans="19:25">
      <c r="S6564" t="str">
        <f t="shared" si="0"/>
        <v/>
      </c>
      <c r="T6564" t="str">
        <f t="shared" si="1"/>
        <v/>
      </c>
      <c r="U6564" t="str">
        <f t="shared" si="2"/>
        <v/>
      </c>
      <c r="V6564" t="str">
        <f>IF(OR(U6564="",U6564="ERRO_CHAVE"),"",IFERROR(MATCH(U6564,Fornecedores!$AF$1:$AF$6631,0),""))</f>
        <v/>
      </c>
      <c r="W6564" t="str">
        <f t="shared" si="3"/>
        <v/>
      </c>
      <c r="X6564" s="4" t="str">
        <f>IF(V6564="","",INDEX(Fornecedores!$X$1:$X$6631,V6564))</f>
        <v/>
      </c>
      <c r="Y6564" s="4" t="str">
        <f t="shared" si="4"/>
        <v/>
      </c>
    </row>
    <row r="6565" spans="19:25">
      <c r="S6565" t="str">
        <f t="shared" si="0"/>
        <v/>
      </c>
      <c r="T6565" t="str">
        <f t="shared" si="1"/>
        <v/>
      </c>
      <c r="U6565" t="str">
        <f t="shared" si="2"/>
        <v/>
      </c>
      <c r="V6565" t="str">
        <f>IF(OR(U6565="",U6565="ERRO_CHAVE"),"",IFERROR(MATCH(U6565,Fornecedores!$AF$1:$AF$6631,0),""))</f>
        <v/>
      </c>
      <c r="W6565" t="str">
        <f t="shared" si="3"/>
        <v/>
      </c>
      <c r="X6565" s="4" t="str">
        <f>IF(V6565="","",INDEX(Fornecedores!$X$1:$X$6631,V6565))</f>
        <v/>
      </c>
      <c r="Y6565" s="4" t="str">
        <f t="shared" si="4"/>
        <v/>
      </c>
    </row>
    <row r="6566" spans="19:25">
      <c r="S6566" t="str">
        <f t="shared" si="0"/>
        <v/>
      </c>
      <c r="T6566" t="str">
        <f t="shared" si="1"/>
        <v/>
      </c>
      <c r="U6566" t="str">
        <f t="shared" si="2"/>
        <v/>
      </c>
      <c r="V6566" t="str">
        <f>IF(OR(U6566="",U6566="ERRO_CHAVE"),"",IFERROR(MATCH(U6566,Fornecedores!$AF$1:$AF$6631,0),""))</f>
        <v/>
      </c>
      <c r="W6566" t="str">
        <f t="shared" si="3"/>
        <v/>
      </c>
      <c r="X6566" s="4" t="str">
        <f>IF(V6566="","",INDEX(Fornecedores!$X$1:$X$6631,V6566))</f>
        <v/>
      </c>
      <c r="Y6566" s="4" t="str">
        <f t="shared" si="4"/>
        <v/>
      </c>
    </row>
    <row r="6567" spans="19:25">
      <c r="S6567" t="str">
        <f t="shared" si="0"/>
        <v/>
      </c>
      <c r="T6567" t="str">
        <f t="shared" si="1"/>
        <v/>
      </c>
      <c r="U6567" t="str">
        <f t="shared" si="2"/>
        <v/>
      </c>
      <c r="V6567" t="str">
        <f>IF(OR(U6567="",U6567="ERRO_CHAVE"),"",IFERROR(MATCH(U6567,Fornecedores!$AF$1:$AF$6631,0),""))</f>
        <v/>
      </c>
      <c r="W6567" t="str">
        <f t="shared" si="3"/>
        <v/>
      </c>
      <c r="X6567" s="4" t="str">
        <f>IF(V6567="","",INDEX(Fornecedores!$X$1:$X$6631,V6567))</f>
        <v/>
      </c>
      <c r="Y6567" s="4" t="str">
        <f t="shared" si="4"/>
        <v/>
      </c>
    </row>
    <row r="6568" spans="19:25">
      <c r="S6568" t="str">
        <f t="shared" si="0"/>
        <v/>
      </c>
      <c r="T6568" t="str">
        <f t="shared" si="1"/>
        <v/>
      </c>
      <c r="U6568" t="str">
        <f t="shared" si="2"/>
        <v/>
      </c>
      <c r="V6568" t="str">
        <f>IF(OR(U6568="",U6568="ERRO_CHAVE"),"",IFERROR(MATCH(U6568,Fornecedores!$AF$1:$AF$6631,0),""))</f>
        <v/>
      </c>
      <c r="W6568" t="str">
        <f t="shared" si="3"/>
        <v/>
      </c>
      <c r="X6568" s="4" t="str">
        <f>IF(V6568="","",INDEX(Fornecedores!$X$1:$X$6631,V6568))</f>
        <v/>
      </c>
      <c r="Y6568" s="4" t="str">
        <f t="shared" si="4"/>
        <v/>
      </c>
    </row>
    <row r="6569" spans="19:25">
      <c r="S6569" t="str">
        <f t="shared" si="0"/>
        <v/>
      </c>
      <c r="T6569" t="str">
        <f t="shared" si="1"/>
        <v/>
      </c>
      <c r="U6569" t="str">
        <f t="shared" si="2"/>
        <v/>
      </c>
      <c r="V6569" t="str">
        <f>IF(OR(U6569="",U6569="ERRO_CHAVE"),"",IFERROR(MATCH(U6569,Fornecedores!$AF$1:$AF$6631,0),""))</f>
        <v/>
      </c>
      <c r="W6569" t="str">
        <f t="shared" si="3"/>
        <v/>
      </c>
      <c r="X6569" s="4" t="str">
        <f>IF(V6569="","",INDEX(Fornecedores!$X$1:$X$6631,V6569))</f>
        <v/>
      </c>
      <c r="Y6569" s="4" t="str">
        <f t="shared" si="4"/>
        <v/>
      </c>
    </row>
    <row r="6570" spans="19:25">
      <c r="S6570" t="str">
        <f t="shared" si="0"/>
        <v/>
      </c>
      <c r="T6570" t="str">
        <f t="shared" si="1"/>
        <v/>
      </c>
      <c r="U6570" t="str">
        <f t="shared" si="2"/>
        <v/>
      </c>
      <c r="V6570" t="str">
        <f>IF(OR(U6570="",U6570="ERRO_CHAVE"),"",IFERROR(MATCH(U6570,Fornecedores!$AF$1:$AF$6631,0),""))</f>
        <v/>
      </c>
      <c r="W6570" t="str">
        <f t="shared" si="3"/>
        <v/>
      </c>
      <c r="X6570" s="4" t="str">
        <f>IF(V6570="","",INDEX(Fornecedores!$X$1:$X$6631,V6570))</f>
        <v/>
      </c>
      <c r="Y6570" s="4" t="str">
        <f t="shared" si="4"/>
        <v/>
      </c>
    </row>
    <row r="6571" spans="19:25">
      <c r="S6571" t="str">
        <f t="shared" si="0"/>
        <v/>
      </c>
      <c r="T6571" t="str">
        <f t="shared" si="1"/>
        <v/>
      </c>
      <c r="U6571" t="str">
        <f t="shared" si="2"/>
        <v/>
      </c>
      <c r="V6571" t="str">
        <f>IF(OR(U6571="",U6571="ERRO_CHAVE"),"",IFERROR(MATCH(U6571,Fornecedores!$AF$1:$AF$6631,0),""))</f>
        <v/>
      </c>
      <c r="W6571" t="str">
        <f t="shared" si="3"/>
        <v/>
      </c>
      <c r="X6571" s="4" t="str">
        <f>IF(V6571="","",INDEX(Fornecedores!$X$1:$X$6631,V6571))</f>
        <v/>
      </c>
      <c r="Y6571" s="4" t="str">
        <f t="shared" si="4"/>
        <v/>
      </c>
    </row>
    <row r="6572" spans="19:25">
      <c r="S6572" t="str">
        <f t="shared" si="0"/>
        <v/>
      </c>
      <c r="T6572" t="str">
        <f t="shared" si="1"/>
        <v/>
      </c>
      <c r="U6572" t="str">
        <f t="shared" si="2"/>
        <v/>
      </c>
      <c r="V6572" t="str">
        <f>IF(OR(U6572="",U6572="ERRO_CHAVE"),"",IFERROR(MATCH(U6572,Fornecedores!$AF$1:$AF$6631,0),""))</f>
        <v/>
      </c>
      <c r="W6572" t="str">
        <f t="shared" si="3"/>
        <v/>
      </c>
      <c r="X6572" s="4" t="str">
        <f>IF(V6572="","",INDEX(Fornecedores!$X$1:$X$6631,V6572))</f>
        <v/>
      </c>
      <c r="Y6572" s="4" t="str">
        <f t="shared" si="4"/>
        <v/>
      </c>
    </row>
    <row r="6573" spans="19:25">
      <c r="S6573" t="str">
        <f t="shared" si="0"/>
        <v/>
      </c>
      <c r="T6573" t="str">
        <f t="shared" si="1"/>
        <v/>
      </c>
      <c r="U6573" t="str">
        <f t="shared" si="2"/>
        <v/>
      </c>
      <c r="V6573" t="str">
        <f>IF(OR(U6573="",U6573="ERRO_CHAVE"),"",IFERROR(MATCH(U6573,Fornecedores!$AF$1:$AF$6631,0),""))</f>
        <v/>
      </c>
      <c r="W6573" t="str">
        <f t="shared" si="3"/>
        <v/>
      </c>
      <c r="X6573" s="4" t="str">
        <f>IF(V6573="","",INDEX(Fornecedores!$X$1:$X$6631,V6573))</f>
        <v/>
      </c>
      <c r="Y6573" s="4" t="str">
        <f t="shared" si="4"/>
        <v/>
      </c>
    </row>
    <row r="6574" spans="19:25">
      <c r="S6574" t="str">
        <f t="shared" si="0"/>
        <v/>
      </c>
      <c r="T6574" t="str">
        <f t="shared" si="1"/>
        <v/>
      </c>
      <c r="U6574" t="str">
        <f t="shared" si="2"/>
        <v/>
      </c>
      <c r="V6574" t="str">
        <f>IF(OR(U6574="",U6574="ERRO_CHAVE"),"",IFERROR(MATCH(U6574,Fornecedores!$AF$1:$AF$6631,0),""))</f>
        <v/>
      </c>
      <c r="W6574" t="str">
        <f t="shared" si="3"/>
        <v/>
      </c>
      <c r="X6574" s="4" t="str">
        <f>IF(V6574="","",INDEX(Fornecedores!$X$1:$X$6631,V6574))</f>
        <v/>
      </c>
      <c r="Y6574" s="4" t="str">
        <f t="shared" si="4"/>
        <v/>
      </c>
    </row>
    <row r="6575" spans="19:25">
      <c r="S6575" t="str">
        <f t="shared" si="0"/>
        <v/>
      </c>
      <c r="T6575" t="str">
        <f t="shared" si="1"/>
        <v/>
      </c>
      <c r="U6575" t="str">
        <f t="shared" si="2"/>
        <v/>
      </c>
      <c r="V6575" t="str">
        <f>IF(OR(U6575="",U6575="ERRO_CHAVE"),"",IFERROR(MATCH(U6575,Fornecedores!$AF$1:$AF$6631,0),""))</f>
        <v/>
      </c>
      <c r="W6575" t="str">
        <f t="shared" si="3"/>
        <v/>
      </c>
      <c r="X6575" s="4" t="str">
        <f>IF(V6575="","",INDEX(Fornecedores!$X$1:$X$6631,V6575))</f>
        <v/>
      </c>
      <c r="Y6575" s="4" t="str">
        <f t="shared" si="4"/>
        <v/>
      </c>
    </row>
    <row r="6576" spans="19:25">
      <c r="S6576" t="str">
        <f t="shared" si="0"/>
        <v/>
      </c>
      <c r="T6576" t="str">
        <f t="shared" si="1"/>
        <v/>
      </c>
      <c r="U6576" t="str">
        <f t="shared" si="2"/>
        <v/>
      </c>
      <c r="V6576" t="str">
        <f>IF(OR(U6576="",U6576="ERRO_CHAVE"),"",IFERROR(MATCH(U6576,Fornecedores!$AF$1:$AF$6631,0),""))</f>
        <v/>
      </c>
      <c r="W6576" t="str">
        <f t="shared" si="3"/>
        <v/>
      </c>
      <c r="X6576" s="4" t="str">
        <f>IF(V6576="","",INDEX(Fornecedores!$X$1:$X$6631,V6576))</f>
        <v/>
      </c>
      <c r="Y6576" s="4" t="str">
        <f t="shared" si="4"/>
        <v/>
      </c>
    </row>
    <row r="6577" spans="19:25">
      <c r="S6577" t="str">
        <f t="shared" si="0"/>
        <v/>
      </c>
      <c r="T6577" t="str">
        <f t="shared" si="1"/>
        <v/>
      </c>
      <c r="U6577" t="str">
        <f t="shared" si="2"/>
        <v/>
      </c>
      <c r="V6577" t="str">
        <f>IF(OR(U6577="",U6577="ERRO_CHAVE"),"",IFERROR(MATCH(U6577,Fornecedores!$AF$1:$AF$6631,0),""))</f>
        <v/>
      </c>
      <c r="W6577" t="str">
        <f t="shared" si="3"/>
        <v/>
      </c>
      <c r="X6577" s="4" t="str">
        <f>IF(V6577="","",INDEX(Fornecedores!$X$1:$X$6631,V6577))</f>
        <v/>
      </c>
      <c r="Y6577" s="4" t="str">
        <f t="shared" si="4"/>
        <v/>
      </c>
    </row>
    <row r="6578" spans="19:25">
      <c r="S6578" t="str">
        <f t="shared" si="0"/>
        <v/>
      </c>
      <c r="T6578" t="str">
        <f t="shared" si="1"/>
        <v/>
      </c>
      <c r="U6578" t="str">
        <f t="shared" si="2"/>
        <v/>
      </c>
      <c r="V6578" t="str">
        <f>IF(OR(U6578="",U6578="ERRO_CHAVE"),"",IFERROR(MATCH(U6578,Fornecedores!$AF$1:$AF$6631,0),""))</f>
        <v/>
      </c>
      <c r="W6578" t="str">
        <f t="shared" si="3"/>
        <v/>
      </c>
      <c r="X6578" s="4" t="str">
        <f>IF(V6578="","",INDEX(Fornecedores!$X$1:$X$6631,V6578))</f>
        <v/>
      </c>
      <c r="Y6578" s="4" t="str">
        <f t="shared" si="4"/>
        <v/>
      </c>
    </row>
    <row r="6579" spans="19:25">
      <c r="S6579" t="str">
        <f t="shared" si="0"/>
        <v/>
      </c>
      <c r="T6579" t="str">
        <f t="shared" si="1"/>
        <v/>
      </c>
      <c r="U6579" t="str">
        <f t="shared" si="2"/>
        <v/>
      </c>
      <c r="V6579" t="str">
        <f>IF(OR(U6579="",U6579="ERRO_CHAVE"),"",IFERROR(MATCH(U6579,Fornecedores!$AF$1:$AF$6631,0),""))</f>
        <v/>
      </c>
      <c r="W6579" t="str">
        <f t="shared" si="3"/>
        <v/>
      </c>
      <c r="X6579" s="4" t="str">
        <f>IF(V6579="","",INDEX(Fornecedores!$X$1:$X$6631,V6579))</f>
        <v/>
      </c>
      <c r="Y6579" s="4" t="str">
        <f t="shared" si="4"/>
        <v/>
      </c>
    </row>
    <row r="6580" spans="19:25">
      <c r="S6580" t="str">
        <f t="shared" si="0"/>
        <v/>
      </c>
      <c r="T6580" t="str">
        <f t="shared" si="1"/>
        <v/>
      </c>
      <c r="U6580" t="str">
        <f t="shared" si="2"/>
        <v/>
      </c>
      <c r="V6580" t="str">
        <f>IF(OR(U6580="",U6580="ERRO_CHAVE"),"",IFERROR(MATCH(U6580,Fornecedores!$AF$1:$AF$6631,0),""))</f>
        <v/>
      </c>
      <c r="W6580" t="str">
        <f t="shared" si="3"/>
        <v/>
      </c>
      <c r="X6580" s="4" t="str">
        <f>IF(V6580="","",INDEX(Fornecedores!$X$1:$X$6631,V6580))</f>
        <v/>
      </c>
      <c r="Y6580" s="4" t="str">
        <f t="shared" si="4"/>
        <v/>
      </c>
    </row>
    <row r="6581" spans="19:25">
      <c r="S6581" t="str">
        <f t="shared" si="0"/>
        <v/>
      </c>
      <c r="T6581" t="str">
        <f t="shared" si="1"/>
        <v/>
      </c>
      <c r="U6581" t="str">
        <f t="shared" si="2"/>
        <v/>
      </c>
      <c r="V6581" t="str">
        <f>IF(OR(U6581="",U6581="ERRO_CHAVE"),"",IFERROR(MATCH(U6581,Fornecedores!$AF$1:$AF$6631,0),""))</f>
        <v/>
      </c>
      <c r="W6581" t="str">
        <f t="shared" si="3"/>
        <v/>
      </c>
      <c r="X6581" s="4" t="str">
        <f>IF(V6581="","",INDEX(Fornecedores!$X$1:$X$6631,V6581))</f>
        <v/>
      </c>
      <c r="Y6581" s="4" t="str">
        <f t="shared" si="4"/>
        <v/>
      </c>
    </row>
    <row r="6582" spans="19:25">
      <c r="S6582" t="str">
        <f t="shared" si="0"/>
        <v/>
      </c>
      <c r="T6582" t="str">
        <f t="shared" si="1"/>
        <v/>
      </c>
      <c r="U6582" t="str">
        <f t="shared" si="2"/>
        <v/>
      </c>
      <c r="V6582" t="str">
        <f>IF(OR(U6582="",U6582="ERRO_CHAVE"),"",IFERROR(MATCH(U6582,Fornecedores!$AF$1:$AF$6631,0),""))</f>
        <v/>
      </c>
      <c r="W6582" t="str">
        <f t="shared" si="3"/>
        <v/>
      </c>
      <c r="X6582" s="4" t="str">
        <f>IF(V6582="","",INDEX(Fornecedores!$X$1:$X$6631,V6582))</f>
        <v/>
      </c>
      <c r="Y6582" s="4" t="str">
        <f t="shared" si="4"/>
        <v/>
      </c>
    </row>
    <row r="6583" spans="19:25">
      <c r="S6583" t="str">
        <f t="shared" si="0"/>
        <v/>
      </c>
      <c r="T6583" t="str">
        <f t="shared" si="1"/>
        <v/>
      </c>
      <c r="U6583" t="str">
        <f t="shared" si="2"/>
        <v/>
      </c>
      <c r="V6583" t="str">
        <f>IF(OR(U6583="",U6583="ERRO_CHAVE"),"",IFERROR(MATCH(U6583,Fornecedores!$AF$1:$AF$6631,0),""))</f>
        <v/>
      </c>
      <c r="W6583" t="str">
        <f t="shared" si="3"/>
        <v/>
      </c>
      <c r="X6583" s="4" t="str">
        <f>IF(V6583="","",INDEX(Fornecedores!$X$1:$X$6631,V6583))</f>
        <v/>
      </c>
      <c r="Y6583" s="4" t="str">
        <f t="shared" si="4"/>
        <v/>
      </c>
    </row>
    <row r="6584" spans="19:25">
      <c r="S6584" t="str">
        <f t="shared" si="0"/>
        <v/>
      </c>
      <c r="T6584" t="str">
        <f t="shared" si="1"/>
        <v/>
      </c>
      <c r="U6584" t="str">
        <f t="shared" si="2"/>
        <v/>
      </c>
      <c r="V6584" t="str">
        <f>IF(OR(U6584="",U6584="ERRO_CHAVE"),"",IFERROR(MATCH(U6584,Fornecedores!$AF$1:$AF$6631,0),""))</f>
        <v/>
      </c>
      <c r="W6584" t="str">
        <f t="shared" si="3"/>
        <v/>
      </c>
      <c r="X6584" s="4" t="str">
        <f>IF(V6584="","",INDEX(Fornecedores!$X$1:$X$6631,V6584))</f>
        <v/>
      </c>
      <c r="Y6584" s="4" t="str">
        <f t="shared" si="4"/>
        <v/>
      </c>
    </row>
    <row r="6585" spans="19:25">
      <c r="S6585" t="str">
        <f t="shared" si="0"/>
        <v/>
      </c>
      <c r="T6585" t="str">
        <f t="shared" si="1"/>
        <v/>
      </c>
      <c r="U6585" t="str">
        <f t="shared" si="2"/>
        <v/>
      </c>
      <c r="V6585" t="str">
        <f>IF(OR(U6585="",U6585="ERRO_CHAVE"),"",IFERROR(MATCH(U6585,Fornecedores!$AF$1:$AF$6631,0),""))</f>
        <v/>
      </c>
      <c r="W6585" t="str">
        <f t="shared" si="3"/>
        <v/>
      </c>
      <c r="X6585" s="4" t="str">
        <f>IF(V6585="","",INDEX(Fornecedores!$X$1:$X$6631,V6585))</f>
        <v/>
      </c>
      <c r="Y6585" s="4" t="str">
        <f t="shared" si="4"/>
        <v/>
      </c>
    </row>
    <row r="6586" spans="19:25">
      <c r="S6586" t="str">
        <f t="shared" si="0"/>
        <v/>
      </c>
      <c r="T6586" t="str">
        <f t="shared" si="1"/>
        <v/>
      </c>
      <c r="U6586" t="str">
        <f t="shared" si="2"/>
        <v/>
      </c>
      <c r="V6586" t="str">
        <f>IF(OR(U6586="",U6586="ERRO_CHAVE"),"",IFERROR(MATCH(U6586,Fornecedores!$AF$1:$AF$6631,0),""))</f>
        <v/>
      </c>
      <c r="W6586" t="str">
        <f t="shared" si="3"/>
        <v/>
      </c>
      <c r="X6586" s="4" t="str">
        <f>IF(V6586="","",INDEX(Fornecedores!$X$1:$X$6631,V6586))</f>
        <v/>
      </c>
      <c r="Y6586" s="4" t="str">
        <f t="shared" si="4"/>
        <v/>
      </c>
    </row>
    <row r="6587" spans="19:25">
      <c r="S6587" t="str">
        <f t="shared" si="0"/>
        <v/>
      </c>
      <c r="T6587" t="str">
        <f t="shared" si="1"/>
        <v/>
      </c>
      <c r="U6587" t="str">
        <f t="shared" si="2"/>
        <v/>
      </c>
      <c r="V6587" t="str">
        <f>IF(OR(U6587="",U6587="ERRO_CHAVE"),"",IFERROR(MATCH(U6587,Fornecedores!$AF$1:$AF$6631,0),""))</f>
        <v/>
      </c>
      <c r="W6587" t="str">
        <f t="shared" si="3"/>
        <v/>
      </c>
      <c r="X6587" s="4" t="str">
        <f>IF(V6587="","",INDEX(Fornecedores!$X$1:$X$6631,V6587))</f>
        <v/>
      </c>
      <c r="Y6587" s="4" t="str">
        <f t="shared" si="4"/>
        <v/>
      </c>
    </row>
    <row r="6588" spans="19:25">
      <c r="S6588" t="str">
        <f t="shared" si="0"/>
        <v/>
      </c>
      <c r="T6588" t="str">
        <f t="shared" si="1"/>
        <v/>
      </c>
      <c r="U6588" t="str">
        <f t="shared" si="2"/>
        <v/>
      </c>
      <c r="V6588" t="str">
        <f>IF(OR(U6588="",U6588="ERRO_CHAVE"),"",IFERROR(MATCH(U6588,Fornecedores!$AF$1:$AF$6631,0),""))</f>
        <v/>
      </c>
      <c r="W6588" t="str">
        <f t="shared" si="3"/>
        <v/>
      </c>
      <c r="X6588" s="4" t="str">
        <f>IF(V6588="","",INDEX(Fornecedores!$X$1:$X$6631,V6588))</f>
        <v/>
      </c>
      <c r="Y6588" s="4" t="str">
        <f t="shared" si="4"/>
        <v/>
      </c>
    </row>
    <row r="6589" spans="19:25">
      <c r="S6589" t="str">
        <f t="shared" si="0"/>
        <v/>
      </c>
      <c r="T6589" t="str">
        <f t="shared" si="1"/>
        <v/>
      </c>
      <c r="U6589" t="str">
        <f t="shared" si="2"/>
        <v/>
      </c>
      <c r="V6589" t="str">
        <f>IF(OR(U6589="",U6589="ERRO_CHAVE"),"",IFERROR(MATCH(U6589,Fornecedores!$AF$1:$AF$6631,0),""))</f>
        <v/>
      </c>
      <c r="W6589" t="str">
        <f t="shared" si="3"/>
        <v/>
      </c>
      <c r="X6589" s="4" t="str">
        <f>IF(V6589="","",INDEX(Fornecedores!$X$1:$X$6631,V6589))</f>
        <v/>
      </c>
      <c r="Y6589" s="4" t="str">
        <f t="shared" si="4"/>
        <v/>
      </c>
    </row>
    <row r="6590" spans="19:25">
      <c r="S6590" t="str">
        <f t="shared" si="0"/>
        <v/>
      </c>
      <c r="T6590" t="str">
        <f t="shared" si="1"/>
        <v/>
      </c>
      <c r="U6590" t="str">
        <f t="shared" si="2"/>
        <v/>
      </c>
      <c r="V6590" t="str">
        <f>IF(OR(U6590="",U6590="ERRO_CHAVE"),"",IFERROR(MATCH(U6590,Fornecedores!$AF$1:$AF$6631,0),""))</f>
        <v/>
      </c>
      <c r="W6590" t="str">
        <f t="shared" si="3"/>
        <v/>
      </c>
      <c r="X6590" s="4" t="str">
        <f>IF(V6590="","",INDEX(Fornecedores!$X$1:$X$6631,V6590))</f>
        <v/>
      </c>
      <c r="Y6590" s="4" t="str">
        <f t="shared" si="4"/>
        <v/>
      </c>
    </row>
    <row r="6591" spans="19:25">
      <c r="S6591" t="str">
        <f t="shared" si="0"/>
        <v/>
      </c>
      <c r="T6591" t="str">
        <f t="shared" si="1"/>
        <v/>
      </c>
      <c r="U6591" t="str">
        <f t="shared" si="2"/>
        <v/>
      </c>
      <c r="V6591" t="str">
        <f>IF(OR(U6591="",U6591="ERRO_CHAVE"),"",IFERROR(MATCH(U6591,Fornecedores!$AF$1:$AF$6631,0),""))</f>
        <v/>
      </c>
      <c r="W6591" t="str">
        <f t="shared" si="3"/>
        <v/>
      </c>
      <c r="X6591" s="4" t="str">
        <f>IF(V6591="","",INDEX(Fornecedores!$X$1:$X$6631,V6591))</f>
        <v/>
      </c>
      <c r="Y6591" s="4" t="str">
        <f t="shared" si="4"/>
        <v/>
      </c>
    </row>
    <row r="6592" spans="19:25">
      <c r="S6592" t="str">
        <f t="shared" si="0"/>
        <v/>
      </c>
      <c r="T6592" t="str">
        <f t="shared" si="1"/>
        <v/>
      </c>
      <c r="U6592" t="str">
        <f t="shared" si="2"/>
        <v/>
      </c>
      <c r="V6592" t="str">
        <f>IF(OR(U6592="",U6592="ERRO_CHAVE"),"",IFERROR(MATCH(U6592,Fornecedores!$AF$1:$AF$6631,0),""))</f>
        <v/>
      </c>
      <c r="W6592" t="str">
        <f t="shared" si="3"/>
        <v/>
      </c>
      <c r="X6592" s="4" t="str">
        <f>IF(V6592="","",INDEX(Fornecedores!$X$1:$X$6631,V6592))</f>
        <v/>
      </c>
      <c r="Y6592" s="4" t="str">
        <f t="shared" si="4"/>
        <v/>
      </c>
    </row>
    <row r="6593" spans="19:25">
      <c r="S6593" t="str">
        <f t="shared" si="0"/>
        <v/>
      </c>
      <c r="T6593" t="str">
        <f t="shared" si="1"/>
        <v/>
      </c>
      <c r="U6593" t="str">
        <f t="shared" si="2"/>
        <v/>
      </c>
      <c r="V6593" t="str">
        <f>IF(OR(U6593="",U6593="ERRO_CHAVE"),"",IFERROR(MATCH(U6593,Fornecedores!$AF$1:$AF$6631,0),""))</f>
        <v/>
      </c>
      <c r="W6593" t="str">
        <f t="shared" si="3"/>
        <v/>
      </c>
      <c r="X6593" s="4" t="str">
        <f>IF(V6593="","",INDEX(Fornecedores!$X$1:$X$6631,V6593))</f>
        <v/>
      </c>
      <c r="Y6593" s="4" t="str">
        <f t="shared" si="4"/>
        <v/>
      </c>
    </row>
    <row r="6594" spans="19:25">
      <c r="S6594" t="str">
        <f t="shared" si="0"/>
        <v/>
      </c>
      <c r="T6594" t="str">
        <f t="shared" si="1"/>
        <v/>
      </c>
      <c r="U6594" t="str">
        <f t="shared" si="2"/>
        <v/>
      </c>
      <c r="V6594" t="str">
        <f>IF(OR(U6594="",U6594="ERRO_CHAVE"),"",IFERROR(MATCH(U6594,Fornecedores!$AF$1:$AF$6631,0),""))</f>
        <v/>
      </c>
      <c r="W6594" t="str">
        <f t="shared" si="3"/>
        <v/>
      </c>
      <c r="X6594" s="4" t="str">
        <f>IF(V6594="","",INDEX(Fornecedores!$X$1:$X$6631,V6594))</f>
        <v/>
      </c>
      <c r="Y6594" s="4" t="str">
        <f t="shared" si="4"/>
        <v/>
      </c>
    </row>
    <row r="6595" spans="19:25">
      <c r="S6595" t="str">
        <f t="shared" si="0"/>
        <v/>
      </c>
      <c r="T6595" t="str">
        <f t="shared" si="1"/>
        <v/>
      </c>
      <c r="U6595" t="str">
        <f t="shared" si="2"/>
        <v/>
      </c>
      <c r="V6595" t="str">
        <f>IF(OR(U6595="",U6595="ERRO_CHAVE"),"",IFERROR(MATCH(U6595,Fornecedores!$AF$1:$AF$6631,0),""))</f>
        <v/>
      </c>
      <c r="W6595" t="str">
        <f t="shared" si="3"/>
        <v/>
      </c>
      <c r="X6595" s="4" t="str">
        <f>IF(V6595="","",INDEX(Fornecedores!$X$1:$X$6631,V6595))</f>
        <v/>
      </c>
      <c r="Y6595" s="4" t="str">
        <f t="shared" si="4"/>
        <v/>
      </c>
    </row>
    <row r="6596" spans="19:25">
      <c r="S6596" t="str">
        <f t="shared" si="0"/>
        <v/>
      </c>
      <c r="T6596" t="str">
        <f t="shared" si="1"/>
        <v/>
      </c>
      <c r="U6596" t="str">
        <f t="shared" si="2"/>
        <v/>
      </c>
      <c r="V6596" t="str">
        <f>IF(OR(U6596="",U6596="ERRO_CHAVE"),"",IFERROR(MATCH(U6596,Fornecedores!$AF$1:$AF$6631,0),""))</f>
        <v/>
      </c>
      <c r="W6596" t="str">
        <f t="shared" si="3"/>
        <v/>
      </c>
      <c r="X6596" s="4" t="str">
        <f>IF(V6596="","",INDEX(Fornecedores!$X$1:$X$6631,V6596))</f>
        <v/>
      </c>
      <c r="Y6596" s="4" t="str">
        <f t="shared" si="4"/>
        <v/>
      </c>
    </row>
    <row r="6597" spans="19:25">
      <c r="S6597" t="str">
        <f t="shared" si="0"/>
        <v/>
      </c>
      <c r="T6597" t="str">
        <f t="shared" si="1"/>
        <v/>
      </c>
      <c r="U6597" t="str">
        <f t="shared" si="2"/>
        <v/>
      </c>
      <c r="V6597" t="str">
        <f>IF(OR(U6597="",U6597="ERRO_CHAVE"),"",IFERROR(MATCH(U6597,Fornecedores!$AF$1:$AF$6631,0),""))</f>
        <v/>
      </c>
      <c r="W6597" t="str">
        <f t="shared" si="3"/>
        <v/>
      </c>
      <c r="X6597" s="4" t="str">
        <f>IF(V6597="","",INDEX(Fornecedores!$X$1:$X$6631,V6597))</f>
        <v/>
      </c>
      <c r="Y6597" s="4" t="str">
        <f t="shared" si="4"/>
        <v/>
      </c>
    </row>
    <row r="6598" spans="19:25">
      <c r="S6598" t="str">
        <f t="shared" si="0"/>
        <v/>
      </c>
      <c r="T6598" t="str">
        <f t="shared" si="1"/>
        <v/>
      </c>
      <c r="U6598" t="str">
        <f t="shared" si="2"/>
        <v/>
      </c>
      <c r="V6598" t="str">
        <f>IF(OR(U6598="",U6598="ERRO_CHAVE"),"",IFERROR(MATCH(U6598,Fornecedores!$AF$1:$AF$6631,0),""))</f>
        <v/>
      </c>
      <c r="W6598" t="str">
        <f t="shared" si="3"/>
        <v/>
      </c>
      <c r="X6598" s="4" t="str">
        <f>IF(V6598="","",INDEX(Fornecedores!$X$1:$X$6631,V6598))</f>
        <v/>
      </c>
      <c r="Y6598" s="4" t="str">
        <f t="shared" si="4"/>
        <v/>
      </c>
    </row>
    <row r="6599" spans="19:25">
      <c r="S6599" t="str">
        <f t="shared" si="0"/>
        <v/>
      </c>
      <c r="T6599" t="str">
        <f t="shared" si="1"/>
        <v/>
      </c>
      <c r="U6599" t="str">
        <f t="shared" si="2"/>
        <v/>
      </c>
      <c r="V6599" t="str">
        <f>IF(OR(U6599="",U6599="ERRO_CHAVE"),"",IFERROR(MATCH(U6599,Fornecedores!$AF$1:$AF$6631,0),""))</f>
        <v/>
      </c>
      <c r="W6599" t="str">
        <f t="shared" si="3"/>
        <v/>
      </c>
      <c r="X6599" s="4" t="str">
        <f>IF(V6599="","",INDEX(Fornecedores!$X$1:$X$6631,V6599))</f>
        <v/>
      </c>
      <c r="Y6599" s="4" t="str">
        <f t="shared" si="4"/>
        <v/>
      </c>
    </row>
    <row r="6600" spans="19:25">
      <c r="S6600" t="str">
        <f t="shared" si="0"/>
        <v/>
      </c>
      <c r="T6600" t="str">
        <f t="shared" si="1"/>
        <v/>
      </c>
      <c r="U6600" t="str">
        <f t="shared" si="2"/>
        <v/>
      </c>
      <c r="V6600" t="str">
        <f>IF(OR(U6600="",U6600="ERRO_CHAVE"),"",IFERROR(MATCH(U6600,Fornecedores!$AF$1:$AF$6631,0),""))</f>
        <v/>
      </c>
      <c r="W6600" t="str">
        <f t="shared" si="3"/>
        <v/>
      </c>
      <c r="X6600" s="4" t="str">
        <f>IF(V6600="","",INDEX(Fornecedores!$X$1:$X$6631,V6600))</f>
        <v/>
      </c>
      <c r="Y6600" s="4" t="str">
        <f t="shared" si="4"/>
        <v/>
      </c>
    </row>
    <row r="6601" spans="19:25">
      <c r="S6601" t="str">
        <f t="shared" si="0"/>
        <v/>
      </c>
      <c r="T6601" t="str">
        <f t="shared" si="1"/>
        <v/>
      </c>
      <c r="U6601" t="str">
        <f t="shared" si="2"/>
        <v/>
      </c>
      <c r="V6601" t="str">
        <f>IF(OR(U6601="",U6601="ERRO_CHAVE"),"",IFERROR(MATCH(U6601,Fornecedores!$AF$1:$AF$6631,0),""))</f>
        <v/>
      </c>
      <c r="W6601" t="str">
        <f t="shared" si="3"/>
        <v/>
      </c>
      <c r="X6601" s="4" t="str">
        <f>IF(V6601="","",INDEX(Fornecedores!$X$1:$X$6631,V6601))</f>
        <v/>
      </c>
      <c r="Y6601" s="4" t="str">
        <f t="shared" si="4"/>
        <v/>
      </c>
    </row>
    <row r="6602" spans="19:25">
      <c r="S6602" t="str">
        <f t="shared" si="0"/>
        <v/>
      </c>
      <c r="T6602" t="str">
        <f t="shared" si="1"/>
        <v/>
      </c>
      <c r="U6602" t="str">
        <f t="shared" si="2"/>
        <v/>
      </c>
      <c r="V6602" t="str">
        <f>IF(OR(U6602="",U6602="ERRO_CHAVE"),"",IFERROR(MATCH(U6602,Fornecedores!$AF$1:$AF$6631,0),""))</f>
        <v/>
      </c>
      <c r="W6602" t="str">
        <f t="shared" si="3"/>
        <v/>
      </c>
      <c r="X6602" s="4" t="str">
        <f>IF(V6602="","",INDEX(Fornecedores!$X$1:$X$6631,V6602))</f>
        <v/>
      </c>
      <c r="Y6602" s="4" t="str">
        <f t="shared" si="4"/>
        <v/>
      </c>
    </row>
    <row r="6603" spans="19:25">
      <c r="S6603" t="str">
        <f t="shared" si="0"/>
        <v/>
      </c>
      <c r="T6603" t="str">
        <f t="shared" si="1"/>
        <v/>
      </c>
      <c r="U6603" t="str">
        <f t="shared" si="2"/>
        <v/>
      </c>
      <c r="V6603" t="str">
        <f>IF(OR(U6603="",U6603="ERRO_CHAVE"),"",IFERROR(MATCH(U6603,Fornecedores!$AF$1:$AF$6631,0),""))</f>
        <v/>
      </c>
      <c r="W6603" t="str">
        <f t="shared" si="3"/>
        <v/>
      </c>
      <c r="X6603" s="4" t="str">
        <f>IF(V6603="","",INDEX(Fornecedores!$X$1:$X$6631,V6603))</f>
        <v/>
      </c>
      <c r="Y6603" s="4" t="str">
        <f t="shared" si="4"/>
        <v/>
      </c>
    </row>
    <row r="6604" spans="19:25">
      <c r="S6604" t="str">
        <f t="shared" si="0"/>
        <v/>
      </c>
      <c r="T6604" t="str">
        <f t="shared" si="1"/>
        <v/>
      </c>
      <c r="U6604" t="str">
        <f t="shared" si="2"/>
        <v/>
      </c>
      <c r="V6604" t="str">
        <f>IF(OR(U6604="",U6604="ERRO_CHAVE"),"",IFERROR(MATCH(U6604,Fornecedores!$AF$1:$AF$6631,0),""))</f>
        <v/>
      </c>
      <c r="W6604" t="str">
        <f t="shared" si="3"/>
        <v/>
      </c>
      <c r="X6604" s="4" t="str">
        <f>IF(V6604="","",INDEX(Fornecedores!$X$1:$X$6631,V6604))</f>
        <v/>
      </c>
      <c r="Y6604" s="4" t="str">
        <f t="shared" si="4"/>
        <v/>
      </c>
    </row>
    <row r="6605" spans="19:25">
      <c r="S6605" t="str">
        <f t="shared" si="0"/>
        <v/>
      </c>
      <c r="T6605" t="str">
        <f t="shared" si="1"/>
        <v/>
      </c>
      <c r="U6605" t="str">
        <f t="shared" si="2"/>
        <v/>
      </c>
      <c r="V6605" t="str">
        <f>IF(OR(U6605="",U6605="ERRO_CHAVE"),"",IFERROR(MATCH(U6605,Fornecedores!$AF$1:$AF$6631,0),""))</f>
        <v/>
      </c>
      <c r="W6605" t="str">
        <f t="shared" si="3"/>
        <v/>
      </c>
      <c r="X6605" s="4" t="str">
        <f>IF(V6605="","",INDEX(Fornecedores!$X$1:$X$6631,V6605))</f>
        <v/>
      </c>
      <c r="Y6605" s="4" t="str">
        <f t="shared" si="4"/>
        <v/>
      </c>
    </row>
    <row r="6606" spans="19:25">
      <c r="S6606" t="str">
        <f t="shared" si="0"/>
        <v/>
      </c>
      <c r="T6606" t="str">
        <f t="shared" si="1"/>
        <v/>
      </c>
      <c r="U6606" t="str">
        <f t="shared" si="2"/>
        <v/>
      </c>
      <c r="V6606" t="str">
        <f>IF(OR(U6606="",U6606="ERRO_CHAVE"),"",IFERROR(MATCH(U6606,Fornecedores!$AF$1:$AF$6631,0),""))</f>
        <v/>
      </c>
      <c r="W6606" t="str">
        <f t="shared" si="3"/>
        <v/>
      </c>
      <c r="X6606" s="4" t="str">
        <f>IF(V6606="","",INDEX(Fornecedores!$X$1:$X$6631,V6606))</f>
        <v/>
      </c>
      <c r="Y6606" s="4" t="str">
        <f t="shared" si="4"/>
        <v/>
      </c>
    </row>
    <row r="6607" spans="19:25">
      <c r="S6607" t="str">
        <f t="shared" si="0"/>
        <v/>
      </c>
      <c r="T6607" t="str">
        <f t="shared" si="1"/>
        <v/>
      </c>
      <c r="U6607" t="str">
        <f t="shared" si="2"/>
        <v/>
      </c>
      <c r="V6607" t="str">
        <f>IF(OR(U6607="",U6607="ERRO_CHAVE"),"",IFERROR(MATCH(U6607,Fornecedores!$AF$1:$AF$6631,0),""))</f>
        <v/>
      </c>
      <c r="W6607" t="str">
        <f t="shared" si="3"/>
        <v/>
      </c>
      <c r="X6607" s="4" t="str">
        <f>IF(V6607="","",INDEX(Fornecedores!$X$1:$X$6631,V6607))</f>
        <v/>
      </c>
      <c r="Y6607" s="4" t="str">
        <f t="shared" si="4"/>
        <v/>
      </c>
    </row>
    <row r="6608" spans="19:25">
      <c r="S6608" t="str">
        <f t="shared" si="0"/>
        <v/>
      </c>
      <c r="T6608" t="str">
        <f t="shared" si="1"/>
        <v/>
      </c>
      <c r="U6608" t="str">
        <f t="shared" si="2"/>
        <v/>
      </c>
      <c r="V6608" t="str">
        <f>IF(OR(U6608="",U6608="ERRO_CHAVE"),"",IFERROR(MATCH(U6608,Fornecedores!$AF$1:$AF$6631,0),""))</f>
        <v/>
      </c>
      <c r="W6608" t="str">
        <f t="shared" si="3"/>
        <v/>
      </c>
      <c r="X6608" s="4" t="str">
        <f>IF(V6608="","",INDEX(Fornecedores!$X$1:$X$6631,V6608))</f>
        <v/>
      </c>
      <c r="Y6608" s="4" t="str">
        <f t="shared" si="4"/>
        <v/>
      </c>
    </row>
    <row r="6609" spans="19:25">
      <c r="S6609" t="str">
        <f t="shared" si="0"/>
        <v/>
      </c>
      <c r="T6609" t="str">
        <f t="shared" si="1"/>
        <v/>
      </c>
      <c r="U6609" t="str">
        <f t="shared" si="2"/>
        <v/>
      </c>
      <c r="V6609" t="str">
        <f>IF(OR(U6609="",U6609="ERRO_CHAVE"),"",IFERROR(MATCH(U6609,Fornecedores!$AF$1:$AF$6631,0),""))</f>
        <v/>
      </c>
      <c r="W6609" t="str">
        <f t="shared" si="3"/>
        <v/>
      </c>
      <c r="X6609" s="4" t="str">
        <f>IF(V6609="","",INDEX(Fornecedores!$X$1:$X$6631,V6609))</f>
        <v/>
      </c>
      <c r="Y6609" s="4" t="str">
        <f t="shared" si="4"/>
        <v/>
      </c>
    </row>
    <row r="6610" spans="19:25">
      <c r="S6610" t="str">
        <f t="shared" si="0"/>
        <v/>
      </c>
      <c r="T6610" t="str">
        <f t="shared" si="1"/>
        <v/>
      </c>
      <c r="U6610" t="str">
        <f t="shared" si="2"/>
        <v/>
      </c>
      <c r="V6610" t="str">
        <f>IF(OR(U6610="",U6610="ERRO_CHAVE"),"",IFERROR(MATCH(U6610,Fornecedores!$AF$1:$AF$6631,0),""))</f>
        <v/>
      </c>
      <c r="W6610" t="str">
        <f t="shared" si="3"/>
        <v/>
      </c>
      <c r="X6610" s="4" t="str">
        <f>IF(V6610="","",INDEX(Fornecedores!$X$1:$X$6631,V6610))</f>
        <v/>
      </c>
      <c r="Y6610" s="4" t="str">
        <f t="shared" si="4"/>
        <v/>
      </c>
    </row>
    <row r="6611" spans="19:25">
      <c r="S6611" t="str">
        <f t="shared" si="0"/>
        <v/>
      </c>
      <c r="T6611" t="str">
        <f t="shared" si="1"/>
        <v/>
      </c>
      <c r="U6611" t="str">
        <f t="shared" si="2"/>
        <v/>
      </c>
      <c r="V6611" t="str">
        <f>IF(OR(U6611="",U6611="ERRO_CHAVE"),"",IFERROR(MATCH(U6611,Fornecedores!$AF$1:$AF$6631,0),""))</f>
        <v/>
      </c>
      <c r="W6611" t="str">
        <f t="shared" si="3"/>
        <v/>
      </c>
      <c r="X6611" s="4" t="str">
        <f>IF(V6611="","",INDEX(Fornecedores!$X$1:$X$6631,V6611))</f>
        <v/>
      </c>
      <c r="Y6611" s="4" t="str">
        <f t="shared" si="4"/>
        <v/>
      </c>
    </row>
    <row r="6612" spans="19:25">
      <c r="S6612" t="str">
        <f t="shared" si="0"/>
        <v/>
      </c>
      <c r="T6612" t="str">
        <f t="shared" si="1"/>
        <v/>
      </c>
      <c r="U6612" t="str">
        <f t="shared" si="2"/>
        <v/>
      </c>
      <c r="V6612" t="str">
        <f>IF(OR(U6612="",U6612="ERRO_CHAVE"),"",IFERROR(MATCH(U6612,Fornecedores!$AF$1:$AF$6631,0),""))</f>
        <v/>
      </c>
      <c r="W6612" t="str">
        <f t="shared" si="3"/>
        <v/>
      </c>
      <c r="X6612" s="4" t="str">
        <f>IF(V6612="","",INDEX(Fornecedores!$X$1:$X$6631,V6612))</f>
        <v/>
      </c>
      <c r="Y6612" s="4" t="str">
        <f t="shared" si="4"/>
        <v/>
      </c>
    </row>
    <row r="6613" spans="19:25">
      <c r="S6613" t="str">
        <f t="shared" si="0"/>
        <v/>
      </c>
      <c r="T6613" t="str">
        <f t="shared" si="1"/>
        <v/>
      </c>
      <c r="U6613" t="str">
        <f t="shared" si="2"/>
        <v/>
      </c>
      <c r="V6613" t="str">
        <f>IF(OR(U6613="",U6613="ERRO_CHAVE"),"",IFERROR(MATCH(U6613,Fornecedores!$AF$1:$AF$6631,0),""))</f>
        <v/>
      </c>
      <c r="W6613" t="str">
        <f t="shared" si="3"/>
        <v/>
      </c>
      <c r="X6613" s="4" t="str">
        <f>IF(V6613="","",INDEX(Fornecedores!$X$1:$X$6631,V6613))</f>
        <v/>
      </c>
      <c r="Y6613" s="4" t="str">
        <f t="shared" si="4"/>
        <v/>
      </c>
    </row>
    <row r="6614" spans="19:25">
      <c r="S6614" t="str">
        <f t="shared" si="0"/>
        <v/>
      </c>
      <c r="T6614" t="str">
        <f t="shared" si="1"/>
        <v/>
      </c>
      <c r="U6614" t="str">
        <f t="shared" si="2"/>
        <v/>
      </c>
      <c r="V6614" t="str">
        <f>IF(OR(U6614="",U6614="ERRO_CHAVE"),"",IFERROR(MATCH(U6614,Fornecedores!$AF$1:$AF$6631,0),""))</f>
        <v/>
      </c>
      <c r="W6614" t="str">
        <f t="shared" si="3"/>
        <v/>
      </c>
      <c r="X6614" s="4" t="str">
        <f>IF(V6614="","",INDEX(Fornecedores!$X$1:$X$6631,V6614))</f>
        <v/>
      </c>
      <c r="Y6614" s="4" t="str">
        <f t="shared" si="4"/>
        <v/>
      </c>
    </row>
    <row r="6615" spans="19:25">
      <c r="S6615" t="str">
        <f t="shared" si="0"/>
        <v/>
      </c>
      <c r="T6615" t="str">
        <f t="shared" si="1"/>
        <v/>
      </c>
      <c r="U6615" t="str">
        <f t="shared" si="2"/>
        <v/>
      </c>
      <c r="V6615" t="str">
        <f>IF(OR(U6615="",U6615="ERRO_CHAVE"),"",IFERROR(MATCH(U6615,Fornecedores!$AF$1:$AF$6631,0),""))</f>
        <v/>
      </c>
      <c r="W6615" t="str">
        <f t="shared" si="3"/>
        <v/>
      </c>
      <c r="X6615" s="4" t="str">
        <f>IF(V6615="","",INDEX(Fornecedores!$X$1:$X$6631,V6615))</f>
        <v/>
      </c>
      <c r="Y6615" s="4" t="str">
        <f t="shared" si="4"/>
        <v/>
      </c>
    </row>
    <row r="6616" spans="19:25">
      <c r="S6616" t="str">
        <f t="shared" si="0"/>
        <v/>
      </c>
      <c r="T6616" t="str">
        <f t="shared" si="1"/>
        <v/>
      </c>
      <c r="U6616" t="str">
        <f t="shared" si="2"/>
        <v/>
      </c>
      <c r="V6616" t="str">
        <f>IF(OR(U6616="",U6616="ERRO_CHAVE"),"",IFERROR(MATCH(U6616,Fornecedores!$AF$1:$AF$6631,0),""))</f>
        <v/>
      </c>
      <c r="W6616" t="str">
        <f t="shared" si="3"/>
        <v/>
      </c>
      <c r="X6616" s="4" t="str">
        <f>IF(V6616="","",INDEX(Fornecedores!$X$1:$X$6631,V6616))</f>
        <v/>
      </c>
      <c r="Y6616" s="4" t="str">
        <f t="shared" si="4"/>
        <v/>
      </c>
    </row>
    <row r="6617" spans="19:25">
      <c r="S6617" t="str">
        <f t="shared" si="0"/>
        <v/>
      </c>
      <c r="T6617" t="str">
        <f t="shared" si="1"/>
        <v/>
      </c>
      <c r="U6617" t="str">
        <f t="shared" si="2"/>
        <v/>
      </c>
      <c r="V6617" t="str">
        <f>IF(OR(U6617="",U6617="ERRO_CHAVE"),"",IFERROR(MATCH(U6617,Fornecedores!$AF$1:$AF$6631,0),""))</f>
        <v/>
      </c>
      <c r="W6617" t="str">
        <f t="shared" si="3"/>
        <v/>
      </c>
      <c r="X6617" s="4" t="str">
        <f>IF(V6617="","",INDEX(Fornecedores!$X$1:$X$6631,V6617))</f>
        <v/>
      </c>
      <c r="Y6617" s="4" t="str">
        <f t="shared" si="4"/>
        <v/>
      </c>
    </row>
    <row r="6618" spans="19:25">
      <c r="S6618" t="str">
        <f t="shared" si="0"/>
        <v/>
      </c>
      <c r="T6618" t="str">
        <f t="shared" si="1"/>
        <v/>
      </c>
      <c r="U6618" t="str">
        <f t="shared" si="2"/>
        <v/>
      </c>
      <c r="V6618" t="str">
        <f>IF(OR(U6618="",U6618="ERRO_CHAVE"),"",IFERROR(MATCH(U6618,Fornecedores!$AF$1:$AF$6631,0),""))</f>
        <v/>
      </c>
      <c r="W6618" t="str">
        <f t="shared" si="3"/>
        <v/>
      </c>
      <c r="X6618" s="4" t="str">
        <f>IF(V6618="","",INDEX(Fornecedores!$X$1:$X$6631,V6618))</f>
        <v/>
      </c>
      <c r="Y6618" s="4" t="str">
        <f t="shared" si="4"/>
        <v/>
      </c>
    </row>
    <row r="6619" spans="19:25">
      <c r="S6619" t="str">
        <f t="shared" si="0"/>
        <v/>
      </c>
      <c r="T6619" t="str">
        <f t="shared" si="1"/>
        <v/>
      </c>
      <c r="U6619" t="str">
        <f t="shared" si="2"/>
        <v/>
      </c>
      <c r="V6619" t="str">
        <f>IF(OR(U6619="",U6619="ERRO_CHAVE"),"",IFERROR(MATCH(U6619,Fornecedores!$AF$1:$AF$6631,0),""))</f>
        <v/>
      </c>
      <c r="W6619" t="str">
        <f t="shared" si="3"/>
        <v/>
      </c>
      <c r="X6619" s="4" t="str">
        <f>IF(V6619="","",INDEX(Fornecedores!$X$1:$X$6631,V6619))</f>
        <v/>
      </c>
      <c r="Y6619" s="4" t="str">
        <f t="shared" si="4"/>
        <v/>
      </c>
    </row>
    <row r="6620" spans="19:25">
      <c r="S6620" t="str">
        <f t="shared" si="0"/>
        <v/>
      </c>
      <c r="T6620" t="str">
        <f t="shared" si="1"/>
        <v/>
      </c>
      <c r="U6620" t="str">
        <f t="shared" si="2"/>
        <v/>
      </c>
      <c r="V6620" t="str">
        <f>IF(OR(U6620="",U6620="ERRO_CHAVE"),"",IFERROR(MATCH(U6620,Fornecedores!$AF$1:$AF$6631,0),""))</f>
        <v/>
      </c>
      <c r="W6620" t="str">
        <f t="shared" si="3"/>
        <v/>
      </c>
      <c r="X6620" s="4" t="str">
        <f>IF(V6620="","",INDEX(Fornecedores!$X$1:$X$6631,V6620))</f>
        <v/>
      </c>
      <c r="Y6620" s="4" t="str">
        <f t="shared" si="4"/>
        <v/>
      </c>
    </row>
    <row r="6621" spans="19:25">
      <c r="S6621" t="str">
        <f t="shared" si="0"/>
        <v/>
      </c>
      <c r="T6621" t="str">
        <f t="shared" si="1"/>
        <v/>
      </c>
      <c r="U6621" t="str">
        <f t="shared" si="2"/>
        <v/>
      </c>
      <c r="V6621" t="str">
        <f>IF(OR(U6621="",U6621="ERRO_CHAVE"),"",IFERROR(MATCH(U6621,Fornecedores!$AF$1:$AF$6631,0),""))</f>
        <v/>
      </c>
      <c r="W6621" t="str">
        <f t="shared" si="3"/>
        <v/>
      </c>
      <c r="X6621" s="4" t="str">
        <f>IF(V6621="","",INDEX(Fornecedores!$X$1:$X$6631,V6621))</f>
        <v/>
      </c>
      <c r="Y6621" s="4" t="str">
        <f t="shared" si="4"/>
        <v/>
      </c>
    </row>
    <row r="6622" spans="19:25">
      <c r="S6622" t="str">
        <f t="shared" si="0"/>
        <v/>
      </c>
      <c r="T6622" t="str">
        <f t="shared" si="1"/>
        <v/>
      </c>
      <c r="U6622" t="str">
        <f t="shared" si="2"/>
        <v/>
      </c>
      <c r="V6622" t="str">
        <f>IF(OR(U6622="",U6622="ERRO_CHAVE"),"",IFERROR(MATCH(U6622,Fornecedores!$AF$1:$AF$6631,0),""))</f>
        <v/>
      </c>
      <c r="W6622" t="str">
        <f t="shared" si="3"/>
        <v/>
      </c>
      <c r="X6622" s="4" t="str">
        <f>IF(V6622="","",INDEX(Fornecedores!$X$1:$X$6631,V6622))</f>
        <v/>
      </c>
      <c r="Y6622" s="4" t="str">
        <f t="shared" si="4"/>
        <v/>
      </c>
    </row>
    <row r="6623" spans="19:25">
      <c r="S6623" t="str">
        <f t="shared" si="0"/>
        <v/>
      </c>
      <c r="T6623" t="str">
        <f t="shared" si="1"/>
        <v/>
      </c>
      <c r="U6623" t="str">
        <f t="shared" si="2"/>
        <v/>
      </c>
      <c r="V6623" t="str">
        <f>IF(OR(U6623="",U6623="ERRO_CHAVE"),"",IFERROR(MATCH(U6623,Fornecedores!$AF$1:$AF$6631,0),""))</f>
        <v/>
      </c>
      <c r="W6623" t="str">
        <f t="shared" si="3"/>
        <v/>
      </c>
      <c r="X6623" s="4" t="str">
        <f>IF(V6623="","",INDEX(Fornecedores!$X$1:$X$6631,V6623))</f>
        <v/>
      </c>
      <c r="Y6623" s="4" t="str">
        <f t="shared" si="4"/>
        <v/>
      </c>
    </row>
    <row r="6624" spans="19:25">
      <c r="S6624" t="str">
        <f t="shared" si="0"/>
        <v/>
      </c>
      <c r="T6624" t="str">
        <f t="shared" si="1"/>
        <v/>
      </c>
      <c r="U6624" t="str">
        <f t="shared" si="2"/>
        <v/>
      </c>
      <c r="V6624" t="str">
        <f>IF(OR(U6624="",U6624="ERRO_CHAVE"),"",IFERROR(MATCH(U6624,Fornecedores!$AF$1:$AF$6631,0),""))</f>
        <v/>
      </c>
      <c r="W6624" t="str">
        <f t="shared" si="3"/>
        <v/>
      </c>
      <c r="X6624" s="4" t="str">
        <f>IF(V6624="","",INDEX(Fornecedores!$X$1:$X$6631,V6624))</f>
        <v/>
      </c>
      <c r="Y6624" s="4" t="str">
        <f t="shared" si="4"/>
        <v/>
      </c>
    </row>
    <row r="6625" spans="19:25">
      <c r="S6625" t="str">
        <f t="shared" si="0"/>
        <v/>
      </c>
      <c r="T6625" t="str">
        <f t="shared" si="1"/>
        <v/>
      </c>
      <c r="U6625" t="str">
        <f t="shared" si="2"/>
        <v/>
      </c>
      <c r="V6625" t="str">
        <f>IF(OR(U6625="",U6625="ERRO_CHAVE"),"",IFERROR(MATCH(U6625,Fornecedores!$AF$1:$AF$6631,0),""))</f>
        <v/>
      </c>
      <c r="W6625" t="str">
        <f t="shared" si="3"/>
        <v/>
      </c>
      <c r="X6625" s="4" t="str">
        <f>IF(V6625="","",INDEX(Fornecedores!$X$1:$X$6631,V6625))</f>
        <v/>
      </c>
      <c r="Y6625" s="4" t="str">
        <f t="shared" si="4"/>
        <v/>
      </c>
    </row>
    <row r="6626" spans="19:25">
      <c r="S6626" t="str">
        <f t="shared" si="0"/>
        <v/>
      </c>
      <c r="T6626" t="str">
        <f t="shared" si="1"/>
        <v/>
      </c>
      <c r="U6626" t="str">
        <f t="shared" si="2"/>
        <v/>
      </c>
      <c r="V6626" t="str">
        <f>IF(OR(U6626="",U6626="ERRO_CHAVE"),"",IFERROR(MATCH(U6626,Fornecedores!$AF$1:$AF$6631,0),""))</f>
        <v/>
      </c>
      <c r="W6626" t="str">
        <f t="shared" si="3"/>
        <v/>
      </c>
      <c r="X6626" s="4" t="str">
        <f>IF(V6626="","",INDEX(Fornecedores!$X$1:$X$6631,V6626))</f>
        <v/>
      </c>
      <c r="Y6626" s="4" t="str">
        <f t="shared" si="4"/>
        <v/>
      </c>
    </row>
    <row r="6627" spans="19:25">
      <c r="S6627" t="str">
        <f t="shared" si="0"/>
        <v/>
      </c>
      <c r="T6627" t="str">
        <f t="shared" si="1"/>
        <v/>
      </c>
      <c r="U6627" t="str">
        <f t="shared" si="2"/>
        <v/>
      </c>
      <c r="V6627" t="str">
        <f>IF(OR(U6627="",U6627="ERRO_CHAVE"),"",IFERROR(MATCH(U6627,Fornecedores!$AF$1:$AF$6631,0),""))</f>
        <v/>
      </c>
      <c r="W6627" t="str">
        <f t="shared" si="3"/>
        <v/>
      </c>
      <c r="X6627" s="4" t="str">
        <f>IF(V6627="","",INDEX(Fornecedores!$X$1:$X$6631,V6627))</f>
        <v/>
      </c>
      <c r="Y6627" s="4" t="str">
        <f t="shared" si="4"/>
        <v/>
      </c>
    </row>
    <row r="6628" spans="19:25">
      <c r="S6628" t="str">
        <f t="shared" si="0"/>
        <v/>
      </c>
      <c r="T6628" t="str">
        <f t="shared" si="1"/>
        <v/>
      </c>
      <c r="U6628" t="str">
        <f t="shared" si="2"/>
        <v/>
      </c>
      <c r="V6628" t="str">
        <f>IF(OR(U6628="",U6628="ERRO_CHAVE"),"",IFERROR(MATCH(U6628,Fornecedores!$AF$1:$AF$6631,0),""))</f>
        <v/>
      </c>
      <c r="W6628" t="str">
        <f t="shared" si="3"/>
        <v/>
      </c>
      <c r="X6628" s="4" t="str">
        <f>IF(V6628="","",INDEX(Fornecedores!$X$1:$X$6631,V6628))</f>
        <v/>
      </c>
      <c r="Y6628" s="4" t="str">
        <f t="shared" si="4"/>
        <v/>
      </c>
    </row>
    <row r="6629" spans="19:25">
      <c r="S6629" t="str">
        <f t="shared" si="0"/>
        <v/>
      </c>
      <c r="T6629" t="str">
        <f t="shared" si="1"/>
        <v/>
      </c>
      <c r="U6629" t="str">
        <f t="shared" si="2"/>
        <v/>
      </c>
      <c r="V6629" t="str">
        <f>IF(OR(U6629="",U6629="ERRO_CHAVE"),"",IFERROR(MATCH(U6629,Fornecedores!$AF$1:$AF$6631,0),""))</f>
        <v/>
      </c>
      <c r="W6629" t="str">
        <f t="shared" si="3"/>
        <v/>
      </c>
      <c r="X6629" s="4" t="str">
        <f>IF(V6629="","",INDEX(Fornecedores!$X$1:$X$6631,V6629))</f>
        <v/>
      </c>
      <c r="Y6629" s="4" t="str">
        <f t="shared" si="4"/>
        <v/>
      </c>
    </row>
    <row r="6630" spans="19:25">
      <c r="S6630" t="str">
        <f t="shared" si="0"/>
        <v/>
      </c>
      <c r="T6630" t="str">
        <f t="shared" si="1"/>
        <v/>
      </c>
      <c r="U6630" t="str">
        <f t="shared" si="2"/>
        <v/>
      </c>
      <c r="V6630" t="str">
        <f>IF(OR(U6630="",U6630="ERRO_CHAVE"),"",IFERROR(MATCH(U6630,Fornecedores!$AF$1:$AF$6631,0),""))</f>
        <v/>
      </c>
      <c r="W6630" t="str">
        <f t="shared" si="3"/>
        <v/>
      </c>
      <c r="X6630" s="4" t="str">
        <f>IF(V6630="","",INDEX(Fornecedores!$X$1:$X$6631,V6630))</f>
        <v/>
      </c>
      <c r="Y6630" s="4" t="str">
        <f t="shared" si="4"/>
        <v/>
      </c>
    </row>
    <row r="6631" spans="19:25">
      <c r="S6631" t="str">
        <f t="shared" si="0"/>
        <v/>
      </c>
      <c r="T6631" t="str">
        <f t="shared" si="1"/>
        <v/>
      </c>
      <c r="U6631" t="str">
        <f t="shared" si="2"/>
        <v/>
      </c>
      <c r="V6631" t="str">
        <f>IF(OR(U6631="",U6631="ERRO_CHAVE"),"",IFERROR(MATCH(U6631,Fornecedores!$AF$1:$AF$6631,0),""))</f>
        <v/>
      </c>
      <c r="W6631" t="str">
        <f t="shared" si="3"/>
        <v/>
      </c>
      <c r="X6631" s="4" t="str">
        <f>IF(V6631="","",INDEX(Fornecedores!$X$1:$X$6631,V6631))</f>
        <v/>
      </c>
      <c r="Y6631" s="4" t="str">
        <f t="shared" si="4"/>
        <v/>
      </c>
    </row>
    <row r="6632" spans="19:25">
      <c r="S6632" t="str">
        <f t="shared" si="0"/>
        <v/>
      </c>
      <c r="T6632" t="str">
        <f t="shared" si="1"/>
        <v/>
      </c>
      <c r="U6632" t="str">
        <f t="shared" si="2"/>
        <v/>
      </c>
      <c r="V6632" t="str">
        <f>IF(OR(U6632="",U6632="ERRO_CHAVE"),"",IFERROR(MATCH(U6632,Fornecedores!$AF$1:$AF$6631,0),""))</f>
        <v/>
      </c>
      <c r="W6632" t="str">
        <f t="shared" si="3"/>
        <v/>
      </c>
      <c r="X6632" s="4" t="str">
        <f>IF(V6632="","",INDEX(Fornecedores!$X$1:$X$6631,V6632))</f>
        <v/>
      </c>
      <c r="Y6632" s="4" t="str">
        <f t="shared" si="4"/>
        <v/>
      </c>
    </row>
    <row r="6633" spans="19:25">
      <c r="S6633" t="str">
        <f t="shared" si="0"/>
        <v/>
      </c>
      <c r="T6633" t="str">
        <f t="shared" si="1"/>
        <v/>
      </c>
      <c r="U6633" t="str">
        <f t="shared" si="2"/>
        <v/>
      </c>
      <c r="V6633" t="str">
        <f>IF(OR(U6633="",U6633="ERRO_CHAVE"),"",IFERROR(MATCH(U6633,Fornecedores!$AF$1:$AF$6631,0),""))</f>
        <v/>
      </c>
      <c r="W6633" t="str">
        <f t="shared" si="3"/>
        <v/>
      </c>
      <c r="X6633" s="4" t="str">
        <f>IF(V6633="","",INDEX(Fornecedores!$X$1:$X$6631,V6633))</f>
        <v/>
      </c>
      <c r="Y6633" s="4" t="str">
        <f t="shared" si="4"/>
        <v/>
      </c>
    </row>
    <row r="6634" spans="19:25">
      <c r="S6634" t="str">
        <f t="shared" si="0"/>
        <v/>
      </c>
      <c r="T6634" t="str">
        <f t="shared" si="1"/>
        <v/>
      </c>
      <c r="U6634" t="str">
        <f t="shared" si="2"/>
        <v/>
      </c>
      <c r="V6634" t="str">
        <f>IF(OR(U6634="",U6634="ERRO_CHAVE"),"",IFERROR(MATCH(U6634,Fornecedores!$AF$1:$AF$6631,0),""))</f>
        <v/>
      </c>
      <c r="W6634" t="str">
        <f t="shared" si="3"/>
        <v/>
      </c>
      <c r="X6634" s="4" t="str">
        <f>IF(V6634="","",INDEX(Fornecedores!$X$1:$X$6631,V6634))</f>
        <v/>
      </c>
      <c r="Y6634" s="4" t="str">
        <f t="shared" si="4"/>
        <v/>
      </c>
    </row>
    <row r="6635" spans="19:25">
      <c r="S6635" t="str">
        <f t="shared" si="0"/>
        <v/>
      </c>
      <c r="T6635" t="str">
        <f t="shared" si="1"/>
        <v/>
      </c>
      <c r="U6635" t="str">
        <f t="shared" si="2"/>
        <v/>
      </c>
      <c r="V6635" t="str">
        <f>IF(OR(U6635="",U6635="ERRO_CHAVE"),"",IFERROR(MATCH(U6635,Fornecedores!$AF$1:$AF$6631,0),""))</f>
        <v/>
      </c>
      <c r="W6635" t="str">
        <f t="shared" si="3"/>
        <v/>
      </c>
      <c r="X6635" s="4" t="str">
        <f>IF(V6635="","",INDEX(Fornecedores!$X$1:$X$6631,V6635))</f>
        <v/>
      </c>
      <c r="Y6635" s="4" t="str">
        <f t="shared" si="4"/>
        <v/>
      </c>
    </row>
  </sheetData>
  <conditionalFormatting sqref="S2:S6635">
    <cfRule type="expression" dxfId="30" priority="1">
      <formula>S2="PAGO"</formula>
    </cfRule>
    <cfRule type="expression" dxfId="31" priority="2">
      <formula>S2="NÃO PAGO"</formula>
    </cfRule>
    <cfRule type="expression" dxfId="32" priority="3">
      <formula>S2="FORA DA PREVISÃO"</formula>
    </cfRule>
    <cfRule type="expression" dxfId="33" priority="4">
      <formula>S2="VERIFICAR"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C4" sqref="C4"/>
    </sheetView>
  </sheetViews>
  <sheetFormatPr defaultColWidth="9" defaultRowHeight="14"/>
  <cols>
    <col min="1" max="1" width="34" customWidth="1"/>
    <col min="2" max="9" width="22" customWidth="1"/>
  </cols>
  <sheetData>
    <row r="1" ht="14.5" spans="1:9">
      <c r="A1" s="1" t="s">
        <v>160</v>
      </c>
      <c r="B1" s="1" t="s">
        <v>161</v>
      </c>
      <c r="C1" s="1" t="s">
        <v>161</v>
      </c>
      <c r="D1" s="1" t="s">
        <v>161</v>
      </c>
      <c r="E1" s="1" t="s">
        <v>161</v>
      </c>
      <c r="F1" s="1" t="s">
        <v>161</v>
      </c>
      <c r="G1" s="1" t="s">
        <v>161</v>
      </c>
      <c r="H1" s="1" t="s">
        <v>161</v>
      </c>
      <c r="I1" s="1" t="s">
        <v>161</v>
      </c>
    </row>
    <row r="3" ht="14.5" spans="1:9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</row>
    <row r="4" spans="1:9">
      <c r="A4" t="s">
        <v>171</v>
      </c>
      <c r="B4">
        <f>COUNTIF(Fornecedores!$AE$2:$AE$6631,"?*")</f>
        <v>12</v>
      </c>
      <c r="C4">
        <f>COUNTIF(Fornecedores!$AE$2:$AE$6631,"PAGO")</f>
        <v>0</v>
      </c>
      <c r="D4">
        <f>COUNTIF(Fornecedores!$AE$2:$AE$6631,"NÃO PAGO")</f>
        <v>11</v>
      </c>
      <c r="E4">
        <f>COUNTIF(Fornecedores!$AE$2:$AE$6631,"FORA DA PREVISÃO")</f>
        <v>0</v>
      </c>
      <c r="F4">
        <f>COUNTIF(Fornecedores!$AE$2:$AE$6631,"VERIFICAR")</f>
        <v>0</v>
      </c>
      <c r="G4">
        <f>COUNTIF(Fornecedores!$AH$2:$AH$6631,"&gt;1")</f>
        <v>0</v>
      </c>
      <c r="H4">
        <f>COUNTIF(Fornecedores!$AJ$2:$AJ$6631,"&gt;0.009")+COUNTIF(Fornecedores!$AJ$2:$AJ$6631,"&lt;-0.009")</f>
        <v>6630</v>
      </c>
      <c r="I4" t="str">
        <f>IF(C4+D4+E4+F4=B4,"OK","CONFERIR")</f>
        <v>CONFERIR</v>
      </c>
    </row>
    <row r="5" spans="1:9">
      <c r="A5" t="s">
        <v>172</v>
      </c>
      <c r="B5">
        <f>COUNTIF('Quitados DUPP'!$S$2:$S$6635,"?*")</f>
        <v>23</v>
      </c>
      <c r="C5">
        <f>COUNTIF('Quitados DUPP'!$S$2:$S$6635,"PAGO")</f>
        <v>0</v>
      </c>
      <c r="D5">
        <f>COUNTIF('Quitados DUPP'!$S$2:$S$6635,"NÃO PAGO")</f>
        <v>0</v>
      </c>
      <c r="E5">
        <f>COUNTIF('Quitados DUPP'!$S$2:$S$6635,"FORA DA PREVISÃO")</f>
        <v>22</v>
      </c>
      <c r="F5">
        <f>COUNTIF('Quitados DUPP'!$S$2:$S$6635,"VERIFICAR")</f>
        <v>0</v>
      </c>
      <c r="G5">
        <f>COUNTIF('Quitados DUPP'!$W$2:$W$6635,"&gt;1")</f>
        <v>0</v>
      </c>
      <c r="H5">
        <f>COUNTIF('Quitados DUPP'!$Y$2:$Y$6635,"&gt;0.009")+COUNTIF('Quitados DUPP'!$Y$2:$Y$6635,"&lt;-0.009")</f>
        <v>6634</v>
      </c>
      <c r="I5" t="str">
        <f>IF(C5+D5+E5+F5=B5,"OK","CONFERIR")</f>
        <v>CONFERIR</v>
      </c>
    </row>
    <row r="6" spans="1:9">
      <c r="A6" t="s">
        <v>173</v>
      </c>
      <c r="B6">
        <f>COUNTIF(Despesa!$AE$2:$AE$4603,"?*")</f>
        <v>7</v>
      </c>
      <c r="C6">
        <f>COUNTIF(Despesa!$AE$2:$AE$4603,"PAGO")</f>
        <v>0</v>
      </c>
      <c r="D6">
        <f>COUNTIF(Despesa!$AE$2:$AE$4603,"NÃO PAGO")</f>
        <v>6</v>
      </c>
      <c r="E6">
        <f>COUNTIF(Despesa!$AE$2:$AE$4603,"FORA DA PREVISÃO")</f>
        <v>0</v>
      </c>
      <c r="F6">
        <f>COUNTIF(Despesa!$AE$2:$AE$4603,"VERIFICAR")</f>
        <v>0</v>
      </c>
      <c r="G6">
        <f>COUNTIF(Despesa!$AH$2:$AH$4603,"&gt;1")</f>
        <v>0</v>
      </c>
      <c r="H6">
        <f>COUNTIF(Despesa!$AJ$2:$AJ$4603,"&gt;0.009")+COUNTIF(Despesa!$AJ$2:$AJ$4603,"&lt;-0.009")</f>
        <v>4602</v>
      </c>
      <c r="I6" t="str">
        <f>IF(C6+D6+E6+F6=B6,"OK","CONFERIR")</f>
        <v>CONFERIR</v>
      </c>
    </row>
    <row r="7" spans="1:9">
      <c r="A7" t="s">
        <v>174</v>
      </c>
      <c r="B7">
        <f>COUNTIF('quitado Despesa'!$T$2:$T$12,"?*")</f>
        <v>11</v>
      </c>
      <c r="C7">
        <f>COUNTIF('quitado Despesa'!$T$2:$T$12,"PAGO")</f>
        <v>0</v>
      </c>
      <c r="D7">
        <f>COUNTIF('quitado Despesa'!$T$2:$T$12,"NÃO PAGO")</f>
        <v>0</v>
      </c>
      <c r="E7">
        <f>COUNTIF('quitado Despesa'!$T$2:$T$12,"FORA DA PREVISÃO")</f>
        <v>11</v>
      </c>
      <c r="F7">
        <f>COUNTIF('quitado Despesa'!$T$2:$T$12,"VERIFICAR")</f>
        <v>0</v>
      </c>
      <c r="G7">
        <f>COUNTIF('quitado Despesa'!$X$2:$X$12,"&gt;1")</f>
        <v>0</v>
      </c>
      <c r="H7">
        <f>COUNTIF('quitado Despesa'!$Z$2:$Z$12,"&gt;0.009")+COUNTIF('quitado Despesa'!$Z$2:$Z$12,"&lt;-0.009")</f>
        <v>11</v>
      </c>
      <c r="I7" t="str">
        <f>IF(C7+D7+E7+F7=B7,"OK","CONFERIR")</f>
        <v>OK</v>
      </c>
    </row>
    <row r="9" ht="14.5" spans="1:4">
      <c r="A9" s="1" t="s">
        <v>175</v>
      </c>
      <c r="B9" s="1" t="s">
        <v>161</v>
      </c>
      <c r="C9" s="1" t="s">
        <v>161</v>
      </c>
      <c r="D9" s="1" t="s">
        <v>161</v>
      </c>
    </row>
    <row r="10" spans="1:4">
      <c r="A10" t="s">
        <v>176</v>
      </c>
      <c r="B10" t="s">
        <v>177</v>
      </c>
      <c r="C10">
        <f>C4</f>
        <v>0</v>
      </c>
      <c r="D10" t="str">
        <f>IF(C4=C5,"OK","CONFERIR: veja títulos repetidos")</f>
        <v>OK</v>
      </c>
    </row>
    <row r="11" spans="1:4">
      <c r="A11" t="s">
        <v>178</v>
      </c>
      <c r="B11" t="s">
        <v>177</v>
      </c>
      <c r="C11">
        <f>C6</f>
        <v>0</v>
      </c>
      <c r="D11" t="str">
        <f>IF(C6=C7,"OK","CONFERIR: veja títulos repetidos")</f>
        <v>OK</v>
      </c>
    </row>
    <row r="13" ht="14.5" spans="1:1">
      <c r="A13" s="1" t="s">
        <v>179</v>
      </c>
    </row>
    <row r="14" spans="1:1">
      <c r="A14" t="s">
        <v>180</v>
      </c>
    </row>
    <row r="15" spans="1:1">
      <c r="A15" t="s">
        <v>181</v>
      </c>
    </row>
    <row r="16" spans="1:1">
      <c r="A16" t="s">
        <v>182</v>
      </c>
    </row>
    <row r="17" spans="1:1">
      <c r="A17" t="s">
        <v>183</v>
      </c>
    </row>
    <row r="18" spans="1:1">
      <c r="A18" t="s">
        <v>184</v>
      </c>
    </row>
    <row r="20" ht="14.5" spans="1:1">
      <c r="A20" s="1" t="s">
        <v>185</v>
      </c>
    </row>
    <row r="21" spans="1:1">
      <c r="A21" t="s">
        <v>186</v>
      </c>
    </row>
    <row r="22" spans="1:1">
      <c r="A22" t="s">
        <v>187</v>
      </c>
    </row>
    <row r="23" spans="1:1">
      <c r="A23" t="s">
        <v>188</v>
      </c>
    </row>
    <row r="24" spans="1:1">
      <c r="A24" t="s">
        <v>189</v>
      </c>
    </row>
    <row r="25" spans="1:1">
      <c r="A25" t="s">
        <v>190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36B489-F59B-4454-8644-81D627111A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Despesa</vt:lpstr>
      <vt:lpstr>quitado Despesa</vt:lpstr>
      <vt:lpstr>Fornecedores</vt:lpstr>
      <vt:lpstr>Quitados DUPP</vt:lpstr>
      <vt:lpstr>CONFERENCIA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Controladoria2 RC</dc:creator>
  <cp:lastModifiedBy>carlos Alexandre de Santana</cp:lastModifiedBy>
  <dcterms:created xsi:type="dcterms:W3CDTF">2026-08-17T15:14:00Z</dcterms:created>
  <dcterms:modified xsi:type="dcterms:W3CDTF">2026-10-17T00:43:06Z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2BA7313299F5479791C9FE811ACEEA13_12</vt:lpwstr>
  </property>
  <property fmtid="{D5CDD505-2E9C-101B-9397-08002B2CF9AE}" pid="3" name="KSOProductBuildVer">
    <vt:lpwstr>1046-12.2.0.23206</vt:lpwstr>
  </property>
</Properties>
</file>